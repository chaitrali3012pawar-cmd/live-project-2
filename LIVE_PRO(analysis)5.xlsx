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rali\OneDrive\ドキュメント\Desktop\New folder\"/>
    </mc:Choice>
  </mc:AlternateContent>
  <xr:revisionPtr revIDLastSave="0" documentId="13_ncr:1_{3EA3787F-BF6D-481C-B240-9572B7944B5D}" xr6:coauthVersionLast="47" xr6:coauthVersionMax="47" xr10:uidLastSave="{00000000-0000-0000-0000-000000000000}"/>
  <bookViews>
    <workbookView xWindow="-108" yWindow="-108" windowWidth="23256" windowHeight="12456" activeTab="3" xr2:uid="{A5C6BBE6-F354-4AB2-B328-4EF956654F37}"/>
  </bookViews>
  <sheets>
    <sheet name="Sheet1" sheetId="2" r:id="rId1"/>
    <sheet name="Sheet2" sheetId="3" r:id="rId2"/>
    <sheet name="Sheet3" sheetId="4" r:id="rId3"/>
    <sheet name="LIVE_PRO(analysis)4" sheetId="1" r:id="rId4"/>
  </sheets>
  <externalReferences>
    <externalReference r:id="rId5"/>
  </externalReferenc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75" i="1" l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5" i="1"/>
  <c r="L4566" i="1"/>
  <c r="L4567" i="1"/>
  <c r="L4568" i="1"/>
  <c r="L187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10" i="1"/>
  <c r="L10911" i="1"/>
  <c r="L10912" i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 s="1"/>
  <c r="I1478" i="1" a="1"/>
  <c r="I1478" i="1" s="1"/>
  <c r="I1479" i="1" a="1"/>
  <c r="I1479" i="1" s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 s="1"/>
  <c r="I1487" i="1" a="1"/>
  <c r="I1487" i="1" s="1"/>
  <c r="I1488" i="1" a="1"/>
  <c r="I1488" i="1" s="1"/>
  <c r="I1489" i="1" a="1"/>
  <c r="I1489" i="1" s="1"/>
  <c r="I1490" i="1" a="1"/>
  <c r="I1490" i="1" s="1"/>
  <c r="I1491" i="1" a="1"/>
  <c r="I1491" i="1" s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 s="1"/>
  <c r="I1499" i="1" a="1"/>
  <c r="I1499" i="1" s="1"/>
  <c r="I1500" i="1" a="1"/>
  <c r="I1500" i="1" s="1"/>
  <c r="I1501" i="1" a="1"/>
  <c r="I1501" i="1" s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 s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 s="1"/>
  <c r="I1521" i="1" a="1"/>
  <c r="I1521" i="1" s="1"/>
  <c r="I1522" i="1" a="1"/>
  <c r="I1522" i="1" s="1"/>
  <c r="I1523" i="1" a="1"/>
  <c r="I1523" i="1" s="1"/>
  <c r="I1524" i="1" a="1"/>
  <c r="I1524" i="1" s="1"/>
  <c r="I1525" i="1" a="1"/>
  <c r="I1525" i="1" s="1"/>
  <c r="I1526" i="1" a="1"/>
  <c r="I1526" i="1" s="1"/>
  <c r="I1527" i="1" a="1"/>
  <c r="I1527" i="1" s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 s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 s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 s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 s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 s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 s="1"/>
  <c r="I1573" i="1" a="1"/>
  <c r="I1573" i="1" s="1"/>
  <c r="I1574" i="1" a="1"/>
  <c r="I1574" i="1" s="1"/>
  <c r="I1575" i="1" a="1"/>
  <c r="I1575" i="1" s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 s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 s="1"/>
  <c r="I1593" i="1" a="1"/>
  <c r="I1593" i="1" s="1"/>
  <c r="I1594" i="1" a="1"/>
  <c r="I1594" i="1" s="1"/>
  <c r="I1595" i="1" a="1"/>
  <c r="I1595" i="1" s="1"/>
  <c r="I1596" i="1" a="1"/>
  <c r="I1596" i="1" s="1"/>
  <c r="I1597" i="1" a="1"/>
  <c r="I1597" i="1" s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 s="1"/>
  <c r="I1605" i="1" a="1"/>
  <c r="I1605" i="1" s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 s="1"/>
  <c r="I1614" i="1" a="1"/>
  <c r="I1614" i="1" s="1"/>
  <c r="I1615" i="1" a="1"/>
  <c r="I1615" i="1" s="1"/>
  <c r="I1616" i="1" a="1"/>
  <c r="I1616" i="1" s="1"/>
  <c r="I1617" i="1" a="1"/>
  <c r="I1617" i="1" s="1"/>
  <c r="I1618" i="1" a="1"/>
  <c r="I1618" i="1" s="1"/>
  <c r="I1619" i="1" a="1"/>
  <c r="I1619" i="1" s="1"/>
  <c r="I1620" i="1" a="1"/>
  <c r="I1620" i="1" s="1"/>
  <c r="I1621" i="1" a="1"/>
  <c r="I1621" i="1" s="1"/>
  <c r="I1622" i="1" a="1"/>
  <c r="I1622" i="1" s="1"/>
  <c r="I1623" i="1" a="1"/>
  <c r="I1623" i="1" s="1"/>
  <c r="I1624" i="1" a="1"/>
  <c r="I1624" i="1" s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 s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 s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 s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 s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 s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 s="1"/>
  <c r="I1713" i="1" a="1"/>
  <c r="I1713" i="1" s="1"/>
  <c r="I1714" i="1" a="1"/>
  <c r="I1714" i="1" s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 s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 s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765" i="1" a="1"/>
  <c r="I1765" i="1" s="1"/>
  <c r="I1766" i="1" a="1"/>
  <c r="I1766" i="1" s="1"/>
  <c r="I1767" i="1" a="1"/>
  <c r="I1767" i="1" s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 s="1"/>
  <c r="I1774" i="1" a="1"/>
  <c r="I1774" i="1" s="1"/>
  <c r="I1775" i="1" a="1"/>
  <c r="I1775" i="1" s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 s="1"/>
  <c r="I1781" i="1" a="1"/>
  <c r="I1781" i="1" s="1"/>
  <c r="I1782" i="1" a="1"/>
  <c r="I1782" i="1" s="1"/>
  <c r="I1783" i="1" a="1"/>
  <c r="I1783" i="1" s="1"/>
  <c r="I1784" i="1" a="1"/>
  <c r="I1784" i="1" s="1"/>
  <c r="I1785" i="1" a="1"/>
  <c r="I1785" i="1" s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 s="1"/>
  <c r="I1791" i="1" a="1"/>
  <c r="I1791" i="1" s="1"/>
  <c r="I1792" i="1" a="1"/>
  <c r="I1792" i="1" s="1"/>
  <c r="I1793" i="1" a="1"/>
  <c r="I1793" i="1" s="1"/>
  <c r="I1794" i="1" a="1"/>
  <c r="I1794" i="1" s="1"/>
  <c r="I1795" i="1" a="1"/>
  <c r="I1795" i="1" s="1"/>
  <c r="I1796" i="1" a="1"/>
  <c r="I1796" i="1" s="1"/>
  <c r="I1797" i="1" a="1"/>
  <c r="I1797" i="1" s="1"/>
  <c r="I1798" i="1" a="1"/>
  <c r="I1798" i="1" s="1"/>
  <c r="I1799" i="1" a="1"/>
  <c r="I1799" i="1" s="1"/>
  <c r="I1800" i="1" a="1"/>
  <c r="I1800" i="1" s="1"/>
  <c r="I1801" i="1" a="1"/>
  <c r="I1801" i="1" s="1"/>
  <c r="I1802" i="1" a="1"/>
  <c r="I1802" i="1" s="1"/>
  <c r="I1803" i="1" a="1"/>
  <c r="I1803" i="1" s="1"/>
  <c r="I1804" i="1" a="1"/>
  <c r="I1804" i="1" s="1"/>
  <c r="I1805" i="1" a="1"/>
  <c r="I1805" i="1" s="1"/>
  <c r="I1806" i="1" a="1"/>
  <c r="I1806" i="1" s="1"/>
  <c r="I1807" i="1" a="1"/>
  <c r="I1807" i="1" s="1"/>
  <c r="I1808" i="1" a="1"/>
  <c r="I1808" i="1" s="1"/>
  <c r="I1809" i="1" a="1"/>
  <c r="I1809" i="1" s="1"/>
  <c r="I1810" i="1" a="1"/>
  <c r="I1810" i="1" s="1"/>
  <c r="I1811" i="1" a="1"/>
  <c r="I1811" i="1" s="1"/>
  <c r="I1812" i="1" a="1"/>
  <c r="I1812" i="1" s="1"/>
  <c r="I1813" i="1" a="1"/>
  <c r="I1813" i="1" s="1"/>
  <c r="I1814" i="1" a="1"/>
  <c r="I1814" i="1" s="1"/>
  <c r="I1815" i="1" a="1"/>
  <c r="I1815" i="1" s="1"/>
  <c r="I1816" i="1" a="1"/>
  <c r="I1816" i="1" s="1"/>
  <c r="I1817" i="1" a="1"/>
  <c r="I1817" i="1" s="1"/>
  <c r="I1818" i="1" a="1"/>
  <c r="I1818" i="1" s="1"/>
  <c r="I1819" i="1" a="1"/>
  <c r="I1819" i="1" s="1"/>
  <c r="I1820" i="1" a="1"/>
  <c r="I1820" i="1" s="1"/>
  <c r="I1821" i="1" a="1"/>
  <c r="I1821" i="1" s="1"/>
  <c r="I1822" i="1" a="1"/>
  <c r="I1822" i="1" s="1"/>
  <c r="I1823" i="1" a="1"/>
  <c r="I1823" i="1" s="1"/>
  <c r="I1824" i="1" a="1"/>
  <c r="I1824" i="1" s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 s="1"/>
  <c r="I1830" i="1" a="1"/>
  <c r="I1830" i="1" s="1"/>
  <c r="I1831" i="1" a="1"/>
  <c r="I1831" i="1" s="1"/>
  <c r="I1832" i="1" a="1"/>
  <c r="I1832" i="1" s="1"/>
  <c r="I1833" i="1" a="1"/>
  <c r="I1833" i="1" s="1"/>
  <c r="I1834" i="1" a="1"/>
  <c r="I1834" i="1" s="1"/>
  <c r="I1835" i="1" a="1"/>
  <c r="I1835" i="1" s="1"/>
  <c r="I1836" i="1" a="1"/>
  <c r="I1836" i="1" s="1"/>
  <c r="I1837" i="1" a="1"/>
  <c r="I1837" i="1" s="1"/>
  <c r="I1838" i="1" a="1"/>
  <c r="I1838" i="1" s="1"/>
  <c r="I1839" i="1" a="1"/>
  <c r="I1839" i="1" s="1"/>
  <c r="I1840" i="1" a="1"/>
  <c r="I1840" i="1" s="1"/>
  <c r="I1841" i="1" a="1"/>
  <c r="I1841" i="1" s="1"/>
  <c r="I1842" i="1" a="1"/>
  <c r="I1842" i="1" s="1"/>
  <c r="I1843" i="1" a="1"/>
  <c r="I1843" i="1" s="1"/>
  <c r="I1844" i="1" a="1"/>
  <c r="I1844" i="1" s="1"/>
  <c r="I1845" i="1" a="1"/>
  <c r="I1845" i="1" s="1"/>
  <c r="I1846" i="1" a="1"/>
  <c r="I1846" i="1" s="1"/>
  <c r="I1847" i="1" a="1"/>
  <c r="I1847" i="1" s="1"/>
  <c r="I1848" i="1" a="1"/>
  <c r="I1848" i="1" s="1"/>
  <c r="I1849" i="1" a="1"/>
  <c r="I1849" i="1" s="1"/>
  <c r="I1850" i="1" a="1"/>
  <c r="I1850" i="1" s="1"/>
  <c r="I1851" i="1" a="1"/>
  <c r="I1851" i="1" s="1"/>
  <c r="I1852" i="1" a="1"/>
  <c r="I1852" i="1" s="1"/>
  <c r="I1853" i="1" a="1"/>
  <c r="I1853" i="1" s="1"/>
  <c r="I1854" i="1" a="1"/>
  <c r="I1854" i="1" s="1"/>
  <c r="I1855" i="1" a="1"/>
  <c r="I1855" i="1" s="1"/>
  <c r="I1856" i="1" a="1"/>
  <c r="I1856" i="1" s="1"/>
  <c r="I1857" i="1" a="1"/>
  <c r="I1857" i="1" s="1"/>
  <c r="I1858" i="1" a="1"/>
  <c r="I1858" i="1" s="1"/>
  <c r="I1859" i="1" a="1"/>
  <c r="I1859" i="1" s="1"/>
  <c r="I1860" i="1" a="1"/>
  <c r="I1860" i="1" s="1"/>
  <c r="I1861" i="1" a="1"/>
  <c r="I1861" i="1" s="1"/>
  <c r="I1862" i="1" a="1"/>
  <c r="I1862" i="1" s="1"/>
  <c r="I1863" i="1" a="1"/>
  <c r="I1863" i="1" s="1"/>
  <c r="I1864" i="1" a="1"/>
  <c r="I1864" i="1" s="1"/>
  <c r="I1865" i="1" a="1"/>
  <c r="I1865" i="1" s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 s="1"/>
  <c r="I1871" i="1" a="1"/>
  <c r="I1871" i="1" s="1"/>
  <c r="I1872" i="1" a="1"/>
  <c r="I1872" i="1" s="1"/>
  <c r="I1873" i="1" a="1"/>
  <c r="I1873" i="1" s="1"/>
  <c r="I1874" i="1" a="1"/>
  <c r="I1874" i="1" s="1"/>
  <c r="I1875" i="1" a="1"/>
  <c r="I1875" i="1" s="1"/>
  <c r="I1876" i="1" a="1"/>
  <c r="I1876" i="1" s="1"/>
  <c r="I1877" i="1" a="1"/>
  <c r="I1877" i="1" s="1"/>
  <c r="I1878" i="1" a="1"/>
  <c r="I1878" i="1" s="1"/>
  <c r="I1879" i="1" a="1"/>
  <c r="I1879" i="1" s="1"/>
  <c r="I1880" i="1" a="1"/>
  <c r="I1880" i="1" s="1"/>
  <c r="I1881" i="1" a="1"/>
  <c r="I1881" i="1" s="1"/>
  <c r="I1882" i="1" a="1"/>
  <c r="I1882" i="1" s="1"/>
  <c r="I1883" i="1" a="1"/>
  <c r="I1883" i="1" s="1"/>
  <c r="I1884" i="1" a="1"/>
  <c r="I1884" i="1" s="1"/>
  <c r="I1885" i="1" a="1"/>
  <c r="I1885" i="1" s="1"/>
  <c r="I1886" i="1" a="1"/>
  <c r="I1886" i="1" s="1"/>
  <c r="I1887" i="1" a="1"/>
  <c r="I1887" i="1" s="1"/>
  <c r="I1888" i="1" a="1"/>
  <c r="I1888" i="1" s="1"/>
  <c r="I1889" i="1" a="1"/>
  <c r="I1889" i="1" s="1"/>
  <c r="I1890" i="1" a="1"/>
  <c r="I1890" i="1" s="1"/>
  <c r="I1891" i="1" a="1"/>
  <c r="I1891" i="1" s="1"/>
  <c r="I1892" i="1" a="1"/>
  <c r="I1892" i="1" s="1"/>
  <c r="I1893" i="1" a="1"/>
  <c r="I1893" i="1" s="1"/>
  <c r="I1894" i="1" a="1"/>
  <c r="I1894" i="1" s="1"/>
  <c r="I1895" i="1" a="1"/>
  <c r="I1895" i="1" s="1"/>
  <c r="I1896" i="1" a="1"/>
  <c r="I1896" i="1" s="1"/>
  <c r="I1897" i="1" a="1"/>
  <c r="I1897" i="1" s="1"/>
  <c r="I1898" i="1" a="1"/>
  <c r="I1898" i="1" s="1"/>
  <c r="I1899" i="1" a="1"/>
  <c r="I1899" i="1" s="1"/>
  <c r="I1900" i="1" a="1"/>
  <c r="I1900" i="1" s="1"/>
  <c r="I1901" i="1" a="1"/>
  <c r="I1901" i="1" s="1"/>
  <c r="I1902" i="1" a="1"/>
  <c r="I1902" i="1" s="1"/>
  <c r="I1903" i="1" a="1"/>
  <c r="I1903" i="1" s="1"/>
  <c r="I1904" i="1" a="1"/>
  <c r="I1904" i="1" s="1"/>
  <c r="I1905" i="1" a="1"/>
  <c r="I1905" i="1" s="1"/>
  <c r="I1906" i="1" a="1"/>
  <c r="I1906" i="1" s="1"/>
  <c r="I1907" i="1" a="1"/>
  <c r="I1907" i="1" s="1"/>
  <c r="I1908" i="1" a="1"/>
  <c r="I1908" i="1" s="1"/>
  <c r="I1909" i="1" a="1"/>
  <c r="I1909" i="1" s="1"/>
  <c r="I1910" i="1" a="1"/>
  <c r="I1910" i="1" s="1"/>
  <c r="I1911" i="1" a="1"/>
  <c r="I1911" i="1" s="1"/>
  <c r="I1912" i="1" a="1"/>
  <c r="I1912" i="1" s="1"/>
  <c r="I1913" i="1" a="1"/>
  <c r="I1913" i="1" s="1"/>
  <c r="I1914" i="1" a="1"/>
  <c r="I1914" i="1" s="1"/>
  <c r="I1915" i="1" a="1"/>
  <c r="I1915" i="1" s="1"/>
  <c r="I1916" i="1" a="1"/>
  <c r="I1916" i="1" s="1"/>
  <c r="I1917" i="1" a="1"/>
  <c r="I1917" i="1" s="1"/>
  <c r="I1918" i="1" a="1"/>
  <c r="I1918" i="1" s="1"/>
  <c r="I1919" i="1" a="1"/>
  <c r="I1919" i="1" s="1"/>
  <c r="I1920" i="1" a="1"/>
  <c r="I1920" i="1" s="1"/>
  <c r="I1921" i="1" a="1"/>
  <c r="I1921" i="1" s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I1927" i="1" a="1"/>
  <c r="I1927" i="1" s="1"/>
  <c r="I1928" i="1" a="1"/>
  <c r="I1928" i="1" s="1"/>
  <c r="I1929" i="1" a="1"/>
  <c r="I1929" i="1" s="1"/>
  <c r="I1930" i="1" a="1"/>
  <c r="I1930" i="1" s="1"/>
  <c r="I1931" i="1" a="1"/>
  <c r="I1931" i="1" s="1"/>
  <c r="I1932" i="1" a="1"/>
  <c r="I1932" i="1" s="1"/>
  <c r="I1933" i="1" a="1"/>
  <c r="I1933" i="1" s="1"/>
  <c r="I1934" i="1" a="1"/>
  <c r="I1934" i="1" s="1"/>
  <c r="I1935" i="1" a="1"/>
  <c r="I1935" i="1" s="1"/>
  <c r="I1936" i="1" a="1"/>
  <c r="I1936" i="1" s="1"/>
  <c r="I1937" i="1" a="1"/>
  <c r="I1937" i="1" s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 s="1"/>
  <c r="I1944" i="1" a="1"/>
  <c r="I1944" i="1" s="1"/>
  <c r="I1945" i="1" a="1"/>
  <c r="I1945" i="1" s="1"/>
  <c r="I1946" i="1" a="1"/>
  <c r="I1946" i="1" s="1"/>
  <c r="I1947" i="1" a="1"/>
  <c r="I1947" i="1" s="1"/>
  <c r="I1948" i="1" a="1"/>
  <c r="I1948" i="1" s="1"/>
  <c r="I1949" i="1" a="1"/>
  <c r="I1949" i="1" s="1"/>
  <c r="I1950" i="1" a="1"/>
  <c r="I1950" i="1" s="1"/>
  <c r="I1951" i="1" a="1"/>
  <c r="I1951" i="1" s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 s="1"/>
  <c r="I1957" i="1" a="1"/>
  <c r="I1957" i="1" s="1"/>
  <c r="I1958" i="1" a="1"/>
  <c r="I1958" i="1" s="1"/>
  <c r="I1959" i="1" a="1"/>
  <c r="I1959" i="1" s="1"/>
  <c r="I1960" i="1" a="1"/>
  <c r="I1960" i="1" s="1"/>
  <c r="I1961" i="1" a="1"/>
  <c r="I1961" i="1" s="1"/>
  <c r="I1962" i="1" a="1"/>
  <c r="I1962" i="1" s="1"/>
  <c r="I1963" i="1" a="1"/>
  <c r="I1963" i="1" s="1"/>
  <c r="I1964" i="1" a="1"/>
  <c r="I1964" i="1" s="1"/>
  <c r="I1965" i="1" a="1"/>
  <c r="I1965" i="1" s="1"/>
  <c r="I1966" i="1" a="1"/>
  <c r="I1966" i="1" s="1"/>
  <c r="I1967" i="1" a="1"/>
  <c r="I1967" i="1" s="1"/>
  <c r="I1968" i="1" a="1"/>
  <c r="I1968" i="1" s="1"/>
  <c r="I1969" i="1" a="1"/>
  <c r="I1969" i="1" s="1"/>
  <c r="I1970" i="1" a="1"/>
  <c r="I1970" i="1" s="1"/>
  <c r="I1971" i="1" a="1"/>
  <c r="I1971" i="1" s="1"/>
  <c r="I1972" i="1" a="1"/>
  <c r="I1972" i="1" s="1"/>
  <c r="I1973" i="1" a="1"/>
  <c r="I1973" i="1" s="1"/>
  <c r="I1974" i="1" a="1"/>
  <c r="I1974" i="1" s="1"/>
  <c r="I1975" i="1" a="1"/>
  <c r="I1975" i="1" s="1"/>
  <c r="I1976" i="1" a="1"/>
  <c r="I1976" i="1" s="1"/>
  <c r="I1977" i="1" a="1"/>
  <c r="I1977" i="1" s="1"/>
  <c r="I1978" i="1" a="1"/>
  <c r="I1978" i="1" s="1"/>
  <c r="I1979" i="1" a="1"/>
  <c r="I1979" i="1" s="1"/>
  <c r="I1980" i="1" a="1"/>
  <c r="I1980" i="1" s="1"/>
  <c r="I1981" i="1" a="1"/>
  <c r="I1981" i="1" s="1"/>
  <c r="I1982" i="1" a="1"/>
  <c r="I1982" i="1" s="1"/>
  <c r="I1983" i="1" a="1"/>
  <c r="I1983" i="1" s="1"/>
  <c r="I1984" i="1" a="1"/>
  <c r="I1984" i="1" s="1"/>
  <c r="I1985" i="1" a="1"/>
  <c r="I1985" i="1" s="1"/>
  <c r="I1986" i="1" a="1"/>
  <c r="I1986" i="1" s="1"/>
  <c r="I1987" i="1" a="1"/>
  <c r="I1987" i="1" s="1"/>
  <c r="I1988" i="1" a="1"/>
  <c r="I1988" i="1" s="1"/>
  <c r="I1989" i="1" a="1"/>
  <c r="I1989" i="1" s="1"/>
  <c r="I1990" i="1" a="1"/>
  <c r="I1990" i="1" s="1"/>
  <c r="I1991" i="1" a="1"/>
  <c r="I1991" i="1" s="1"/>
  <c r="I1992" i="1" a="1"/>
  <c r="I1992" i="1" s="1"/>
  <c r="I1993" i="1" a="1"/>
  <c r="I1993" i="1" s="1"/>
  <c r="I1994" i="1" a="1"/>
  <c r="I1994" i="1" s="1"/>
  <c r="I1995" i="1" a="1"/>
  <c r="I1995" i="1" s="1"/>
  <c r="I1996" i="1" a="1"/>
  <c r="I1996" i="1" s="1"/>
  <c r="I1997" i="1" a="1"/>
  <c r="I1997" i="1" s="1"/>
  <c r="I1998" i="1" a="1"/>
  <c r="I1998" i="1" s="1"/>
  <c r="I1999" i="1" a="1"/>
  <c r="I1999" i="1" s="1"/>
  <c r="I2000" i="1" a="1"/>
  <c r="I2000" i="1" s="1"/>
  <c r="I2001" i="1" a="1"/>
  <c r="I2001" i="1" s="1"/>
  <c r="I2002" i="1" a="1"/>
  <c r="I2002" i="1" s="1"/>
  <c r="I2003" i="1" a="1"/>
  <c r="I2003" i="1" s="1"/>
  <c r="I2004" i="1" a="1"/>
  <c r="I2004" i="1" s="1"/>
  <c r="I2005" i="1" a="1"/>
  <c r="I2005" i="1" s="1"/>
  <c r="I2006" i="1" a="1"/>
  <c r="I2006" i="1" s="1"/>
  <c r="I2007" i="1" a="1"/>
  <c r="I2007" i="1" s="1"/>
  <c r="I2008" i="1" a="1"/>
  <c r="I2008" i="1" s="1"/>
  <c r="I2009" i="1" a="1"/>
  <c r="I2009" i="1" s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 s="1"/>
  <c r="I2016" i="1" a="1"/>
  <c r="I2016" i="1" s="1"/>
  <c r="I2017" i="1" a="1"/>
  <c r="I2017" i="1" s="1"/>
  <c r="I2018" i="1" a="1"/>
  <c r="I2018" i="1" s="1"/>
  <c r="I2019" i="1" a="1"/>
  <c r="I2019" i="1" s="1"/>
  <c r="I2020" i="1" a="1"/>
  <c r="I2020" i="1" s="1"/>
  <c r="I2021" i="1" a="1"/>
  <c r="I2021" i="1" s="1"/>
  <c r="I2022" i="1" a="1"/>
  <c r="I2022" i="1" s="1"/>
  <c r="I2023" i="1" a="1"/>
  <c r="I2023" i="1" s="1"/>
  <c r="I2024" i="1" a="1"/>
  <c r="I2024" i="1" s="1"/>
  <c r="I2025" i="1" a="1"/>
  <c r="I2025" i="1" s="1"/>
  <c r="I2026" i="1" a="1"/>
  <c r="I2026" i="1" s="1"/>
  <c r="I2027" i="1" a="1"/>
  <c r="I2027" i="1" s="1"/>
  <c r="I2028" i="1" a="1"/>
  <c r="I2028" i="1" s="1"/>
  <c r="I2029" i="1" a="1"/>
  <c r="I2029" i="1" s="1"/>
  <c r="I2030" i="1" a="1"/>
  <c r="I2030" i="1" s="1"/>
  <c r="I2031" i="1" a="1"/>
  <c r="I2031" i="1" s="1"/>
  <c r="I2032" i="1" a="1"/>
  <c r="I2032" i="1" s="1"/>
  <c r="I2033" i="1" a="1"/>
  <c r="I2033" i="1" s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 s="1"/>
  <c r="I2040" i="1" a="1"/>
  <c r="I2040" i="1" s="1"/>
  <c r="I2041" i="1" a="1"/>
  <c r="I2041" i="1" s="1"/>
  <c r="I2042" i="1" a="1"/>
  <c r="I2042" i="1" s="1"/>
  <c r="I2043" i="1" a="1"/>
  <c r="I2043" i="1" s="1"/>
  <c r="I2044" i="1" a="1"/>
  <c r="I2044" i="1" s="1"/>
  <c r="I2045" i="1" a="1"/>
  <c r="I2045" i="1" s="1"/>
  <c r="I2046" i="1" a="1"/>
  <c r="I2046" i="1" s="1"/>
  <c r="I2047" i="1" a="1"/>
  <c r="I2047" i="1" s="1"/>
  <c r="I2048" i="1" a="1"/>
  <c r="I2048" i="1" s="1"/>
  <c r="I2049" i="1" a="1"/>
  <c r="I2049" i="1" s="1"/>
  <c r="I2050" i="1" a="1"/>
  <c r="I2050" i="1" s="1"/>
  <c r="I2051" i="1" a="1"/>
  <c r="I2051" i="1" s="1"/>
  <c r="I2052" i="1" a="1"/>
  <c r="I2052" i="1" s="1"/>
  <c r="I2053" i="1" a="1"/>
  <c r="I2053" i="1" s="1"/>
  <c r="I2054" i="1" a="1"/>
  <c r="I2054" i="1" s="1"/>
  <c r="I2055" i="1" a="1"/>
  <c r="I2055" i="1" s="1"/>
  <c r="I2056" i="1" a="1"/>
  <c r="I2056" i="1" s="1"/>
  <c r="I2057" i="1" a="1"/>
  <c r="I2057" i="1" s="1"/>
  <c r="I2058" i="1" a="1"/>
  <c r="I2058" i="1" s="1"/>
  <c r="I2059" i="1" a="1"/>
  <c r="I2059" i="1" s="1"/>
  <c r="I2060" i="1" a="1"/>
  <c r="I2060" i="1" s="1"/>
  <c r="I2061" i="1" a="1"/>
  <c r="I2061" i="1" s="1"/>
  <c r="I2062" i="1" a="1"/>
  <c r="I2062" i="1" s="1"/>
  <c r="I2063" i="1" a="1"/>
  <c r="I2063" i="1" s="1"/>
  <c r="I2064" i="1" a="1"/>
  <c r="I2064" i="1" s="1"/>
  <c r="I2065" i="1" a="1"/>
  <c r="I2065" i="1" s="1"/>
  <c r="I2066" i="1" a="1"/>
  <c r="I2066" i="1" s="1"/>
  <c r="I2067" i="1" a="1"/>
  <c r="I2067" i="1" s="1"/>
  <c r="I2068" i="1" a="1"/>
  <c r="I2068" i="1" s="1"/>
  <c r="I2069" i="1" a="1"/>
  <c r="I2069" i="1" s="1"/>
  <c r="I2070" i="1" a="1"/>
  <c r="I2070" i="1" s="1"/>
  <c r="I2071" i="1" a="1"/>
  <c r="I2071" i="1" s="1"/>
  <c r="I2072" i="1" a="1"/>
  <c r="I2072" i="1" s="1"/>
  <c r="I2073" i="1" a="1"/>
  <c r="I2073" i="1" s="1"/>
  <c r="I2074" i="1" a="1"/>
  <c r="I2074" i="1" s="1"/>
  <c r="I2075" i="1" a="1"/>
  <c r="I2075" i="1" s="1"/>
  <c r="I2076" i="1" a="1"/>
  <c r="I2076" i="1" s="1"/>
  <c r="I2077" i="1" a="1"/>
  <c r="I2077" i="1" s="1"/>
  <c r="I2078" i="1" a="1"/>
  <c r="I2078" i="1" s="1"/>
  <c r="I2079" i="1" a="1"/>
  <c r="I2079" i="1" s="1"/>
  <c r="I2080" i="1" a="1"/>
  <c r="I2080" i="1" s="1"/>
  <c r="I2081" i="1" a="1"/>
  <c r="I2081" i="1" s="1"/>
  <c r="I2082" i="1" a="1"/>
  <c r="I2082" i="1" s="1"/>
  <c r="I2083" i="1" a="1"/>
  <c r="I2083" i="1" s="1"/>
  <c r="I2084" i="1" a="1"/>
  <c r="I2084" i="1" s="1"/>
  <c r="I2085" i="1" a="1"/>
  <c r="I2085" i="1" s="1"/>
  <c r="I2086" i="1" a="1"/>
  <c r="I2086" i="1" s="1"/>
  <c r="I2087" i="1" a="1"/>
  <c r="I2087" i="1" s="1"/>
  <c r="I2088" i="1" a="1"/>
  <c r="I2088" i="1" s="1"/>
  <c r="I2089" i="1" a="1"/>
  <c r="I2089" i="1" s="1"/>
  <c r="I2090" i="1" a="1"/>
  <c r="I2090" i="1" s="1"/>
  <c r="I2091" i="1" a="1"/>
  <c r="I2091" i="1" s="1"/>
  <c r="I2092" i="1" a="1"/>
  <c r="I2092" i="1" s="1"/>
  <c r="I2093" i="1" a="1"/>
  <c r="I2093" i="1" s="1"/>
  <c r="I2094" i="1" a="1"/>
  <c r="I2094" i="1" s="1"/>
  <c r="I2095" i="1" a="1"/>
  <c r="I2095" i="1" s="1"/>
  <c r="I2096" i="1" a="1"/>
  <c r="I2096" i="1" s="1"/>
  <c r="I2097" i="1" a="1"/>
  <c r="I2097" i="1" s="1"/>
  <c r="I2098" i="1" a="1"/>
  <c r="I2098" i="1" s="1"/>
  <c r="I2099" i="1" a="1"/>
  <c r="I2099" i="1" s="1"/>
  <c r="I2100" i="1" a="1"/>
  <c r="I2100" i="1" s="1"/>
  <c r="I2101" i="1" a="1"/>
  <c r="I2101" i="1" s="1"/>
  <c r="I2102" i="1" a="1"/>
  <c r="I2102" i="1" s="1"/>
  <c r="I2103" i="1" a="1"/>
  <c r="I2103" i="1" s="1"/>
  <c r="I2104" i="1" a="1"/>
  <c r="I2104" i="1" s="1"/>
  <c r="I2105" i="1" a="1"/>
  <c r="I2105" i="1" s="1"/>
  <c r="I2106" i="1" a="1"/>
  <c r="I2106" i="1" s="1"/>
  <c r="I2107" i="1" a="1"/>
  <c r="I2107" i="1" s="1"/>
  <c r="I2108" i="1" a="1"/>
  <c r="I2108" i="1" s="1"/>
  <c r="I2109" i="1" a="1"/>
  <c r="I2109" i="1" s="1"/>
  <c r="I2110" i="1" a="1"/>
  <c r="I2110" i="1" s="1"/>
  <c r="I2111" i="1" a="1"/>
  <c r="I2111" i="1" s="1"/>
  <c r="I2112" i="1" a="1"/>
  <c r="I2112" i="1" s="1"/>
  <c r="I2113" i="1" a="1"/>
  <c r="I2113" i="1" s="1"/>
  <c r="I2114" i="1" a="1"/>
  <c r="I2114" i="1" s="1"/>
  <c r="I2115" i="1" a="1"/>
  <c r="I2115" i="1" s="1"/>
  <c r="I2116" i="1" a="1"/>
  <c r="I2116" i="1" s="1"/>
  <c r="I2117" i="1" a="1"/>
  <c r="I2117" i="1" s="1"/>
  <c r="I2118" i="1" a="1"/>
  <c r="I2118" i="1" s="1"/>
  <c r="I2119" i="1" a="1"/>
  <c r="I2119" i="1" s="1"/>
  <c r="I2120" i="1" a="1"/>
  <c r="I2120" i="1" s="1"/>
  <c r="I2121" i="1" a="1"/>
  <c r="I2121" i="1" s="1"/>
  <c r="I2122" i="1" a="1"/>
  <c r="I2122" i="1" s="1"/>
  <c r="I2123" i="1" a="1"/>
  <c r="I2123" i="1" s="1"/>
  <c r="I2124" i="1" a="1"/>
  <c r="I2124" i="1" s="1"/>
  <c r="I2125" i="1" a="1"/>
  <c r="I2125" i="1" s="1"/>
  <c r="I2126" i="1" a="1"/>
  <c r="I2126" i="1" s="1"/>
  <c r="I2127" i="1" a="1"/>
  <c r="I2127" i="1" s="1"/>
  <c r="I2128" i="1" a="1"/>
  <c r="I2128" i="1" s="1"/>
  <c r="I2129" i="1" a="1"/>
  <c r="I2129" i="1" s="1"/>
  <c r="I2130" i="1" a="1"/>
  <c r="I2130" i="1" s="1"/>
  <c r="I2131" i="1" a="1"/>
  <c r="I2131" i="1" s="1"/>
  <c r="I2132" i="1" a="1"/>
  <c r="I2132" i="1" s="1"/>
  <c r="I2133" i="1" a="1"/>
  <c r="I2133" i="1" s="1"/>
  <c r="I2134" i="1" a="1"/>
  <c r="I2134" i="1" s="1"/>
  <c r="I2135" i="1" a="1"/>
  <c r="I2135" i="1" s="1"/>
  <c r="I2136" i="1" a="1"/>
  <c r="I2136" i="1" s="1"/>
  <c r="I2137" i="1" a="1"/>
  <c r="I2137" i="1" s="1"/>
  <c r="I2138" i="1" a="1"/>
  <c r="I2138" i="1" s="1"/>
  <c r="I2139" i="1" a="1"/>
  <c r="I2139" i="1" s="1"/>
  <c r="I2140" i="1" a="1"/>
  <c r="I2140" i="1" s="1"/>
  <c r="I2141" i="1" a="1"/>
  <c r="I2141" i="1" s="1"/>
  <c r="I2142" i="1" a="1"/>
  <c r="I2142" i="1" s="1"/>
  <c r="I2143" i="1" a="1"/>
  <c r="I2143" i="1" s="1"/>
  <c r="I2144" i="1" a="1"/>
  <c r="I2144" i="1" s="1"/>
  <c r="I2145" i="1" a="1"/>
  <c r="I2145" i="1" s="1"/>
  <c r="I2146" i="1" a="1"/>
  <c r="I2146" i="1" s="1"/>
  <c r="I2147" i="1" a="1"/>
  <c r="I2147" i="1" s="1"/>
  <c r="I2148" i="1" a="1"/>
  <c r="I2148" i="1" s="1"/>
  <c r="I2149" i="1" a="1"/>
  <c r="I2149" i="1" s="1"/>
  <c r="I2150" i="1" a="1"/>
  <c r="I2150" i="1" s="1"/>
  <c r="I2151" i="1" a="1"/>
  <c r="I2151" i="1" s="1"/>
  <c r="I2152" i="1" a="1"/>
  <c r="I2152" i="1" s="1"/>
  <c r="I2153" i="1" a="1"/>
  <c r="I2153" i="1" s="1"/>
  <c r="I2154" i="1" a="1"/>
  <c r="I2154" i="1" s="1"/>
  <c r="I2155" i="1" a="1"/>
  <c r="I2155" i="1" s="1"/>
  <c r="I2156" i="1" a="1"/>
  <c r="I2156" i="1" s="1"/>
  <c r="I2157" i="1" a="1"/>
  <c r="I2157" i="1" s="1"/>
  <c r="I2158" i="1" a="1"/>
  <c r="I2158" i="1" s="1"/>
  <c r="I2159" i="1" a="1"/>
  <c r="I2159" i="1" s="1"/>
  <c r="I2160" i="1" a="1"/>
  <c r="I2160" i="1" s="1"/>
  <c r="I2161" i="1" a="1"/>
  <c r="I2161" i="1" s="1"/>
  <c r="I2162" i="1" a="1"/>
  <c r="I2162" i="1" s="1"/>
  <c r="I2163" i="1" a="1"/>
  <c r="I2163" i="1" s="1"/>
  <c r="I2164" i="1" a="1"/>
  <c r="I2164" i="1" s="1"/>
  <c r="I2165" i="1" a="1"/>
  <c r="I2165" i="1" s="1"/>
  <c r="I2166" i="1" a="1"/>
  <c r="I2166" i="1" s="1"/>
  <c r="I2167" i="1" a="1"/>
  <c r="I2167" i="1" s="1"/>
  <c r="I2168" i="1" a="1"/>
  <c r="I2168" i="1" s="1"/>
  <c r="I2169" i="1" a="1"/>
  <c r="I2169" i="1" s="1"/>
  <c r="I2170" i="1" a="1"/>
  <c r="I2170" i="1" s="1"/>
  <c r="I2171" i="1" a="1"/>
  <c r="I2171" i="1" s="1"/>
  <c r="I2172" i="1" a="1"/>
  <c r="I2172" i="1" s="1"/>
  <c r="I2173" i="1" a="1"/>
  <c r="I2173" i="1" s="1"/>
  <c r="I2174" i="1" a="1"/>
  <c r="I2174" i="1" s="1"/>
  <c r="I2175" i="1" a="1"/>
  <c r="I2175" i="1" s="1"/>
  <c r="I2176" i="1" a="1"/>
  <c r="I2176" i="1" s="1"/>
  <c r="I2177" i="1" a="1"/>
  <c r="I2177" i="1" s="1"/>
  <c r="I2178" i="1" a="1"/>
  <c r="I2178" i="1" s="1"/>
  <c r="I2179" i="1" a="1"/>
  <c r="I2179" i="1" s="1"/>
  <c r="I2180" i="1" a="1"/>
  <c r="I2180" i="1" s="1"/>
  <c r="I2181" i="1" a="1"/>
  <c r="I2181" i="1" s="1"/>
  <c r="I2182" i="1" a="1"/>
  <c r="I2182" i="1" s="1"/>
  <c r="I2183" i="1" a="1"/>
  <c r="I2183" i="1" s="1"/>
  <c r="I2184" i="1" a="1"/>
  <c r="I2184" i="1" s="1"/>
  <c r="I2185" i="1" a="1"/>
  <c r="I2185" i="1" s="1"/>
  <c r="I2186" i="1" a="1"/>
  <c r="I2186" i="1" s="1"/>
  <c r="I2187" i="1" a="1"/>
  <c r="I2187" i="1" s="1"/>
  <c r="I2188" i="1" a="1"/>
  <c r="I2188" i="1" s="1"/>
  <c r="I2189" i="1" a="1"/>
  <c r="I2189" i="1" s="1"/>
  <c r="I2190" i="1" a="1"/>
  <c r="I2190" i="1" s="1"/>
  <c r="I2191" i="1" a="1"/>
  <c r="I2191" i="1" s="1"/>
  <c r="I2192" i="1" a="1"/>
  <c r="I2192" i="1" s="1"/>
  <c r="I2193" i="1" a="1"/>
  <c r="I2193" i="1" s="1"/>
  <c r="I2194" i="1" a="1"/>
  <c r="I2194" i="1" s="1"/>
  <c r="I2195" i="1" a="1"/>
  <c r="I2195" i="1" s="1"/>
  <c r="I2196" i="1" a="1"/>
  <c r="I2196" i="1" s="1"/>
  <c r="I2197" i="1" a="1"/>
  <c r="I2197" i="1" s="1"/>
  <c r="I2198" i="1" a="1"/>
  <c r="I2198" i="1" s="1"/>
  <c r="I2199" i="1" a="1"/>
  <c r="I2199" i="1" s="1"/>
  <c r="I2200" i="1" a="1"/>
  <c r="I2200" i="1" s="1"/>
  <c r="I2201" i="1" a="1"/>
  <c r="I2201" i="1" s="1"/>
  <c r="I2202" i="1" a="1"/>
  <c r="I2202" i="1" s="1"/>
  <c r="I2203" i="1" a="1"/>
  <c r="I2203" i="1" s="1"/>
  <c r="I2204" i="1" a="1"/>
  <c r="I2204" i="1" s="1"/>
  <c r="I2205" i="1" a="1"/>
  <c r="I2205" i="1" s="1"/>
  <c r="I2206" i="1" a="1"/>
  <c r="I2206" i="1" s="1"/>
  <c r="I2207" i="1" a="1"/>
  <c r="I2207" i="1" s="1"/>
  <c r="I2208" i="1" a="1"/>
  <c r="I2208" i="1" s="1"/>
  <c r="I2209" i="1" a="1"/>
  <c r="I2209" i="1" s="1"/>
  <c r="I2210" i="1" a="1"/>
  <c r="I2210" i="1" s="1"/>
  <c r="I2211" i="1" a="1"/>
  <c r="I2211" i="1" s="1"/>
  <c r="I2212" i="1" a="1"/>
  <c r="I2212" i="1" s="1"/>
  <c r="I2213" i="1" a="1"/>
  <c r="I2213" i="1" s="1"/>
  <c r="I2214" i="1" a="1"/>
  <c r="I2214" i="1" s="1"/>
  <c r="I2215" i="1" a="1"/>
  <c r="I2215" i="1" s="1"/>
  <c r="I2216" i="1" a="1"/>
  <c r="I2216" i="1" s="1"/>
  <c r="I2217" i="1" a="1"/>
  <c r="I2217" i="1" s="1"/>
  <c r="I2218" i="1" a="1"/>
  <c r="I2218" i="1" s="1"/>
  <c r="I2219" i="1" a="1"/>
  <c r="I2219" i="1" s="1"/>
  <c r="I2220" i="1" a="1"/>
  <c r="I2220" i="1" s="1"/>
  <c r="I2221" i="1" a="1"/>
  <c r="I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 s="1"/>
  <c r="I2227" i="1" a="1"/>
  <c r="I2227" i="1" s="1"/>
  <c r="I2228" i="1" a="1"/>
  <c r="I2228" i="1" s="1"/>
  <c r="I2229" i="1" a="1"/>
  <c r="I2229" i="1" s="1"/>
  <c r="I2230" i="1" a="1"/>
  <c r="I2230" i="1" s="1"/>
  <c r="I2231" i="1" a="1"/>
  <c r="I2231" i="1" s="1"/>
  <c r="I2232" i="1" a="1"/>
  <c r="I2232" i="1" s="1"/>
  <c r="I2233" i="1" a="1"/>
  <c r="I2233" i="1" s="1"/>
  <c r="I2234" i="1" a="1"/>
  <c r="I2234" i="1" s="1"/>
  <c r="I2235" i="1" a="1"/>
  <c r="I2235" i="1" s="1"/>
  <c r="I2236" i="1" a="1"/>
  <c r="I2236" i="1" s="1"/>
  <c r="I2237" i="1" a="1"/>
  <c r="I2237" i="1" s="1"/>
  <c r="I2238" i="1" a="1"/>
  <c r="I2238" i="1" s="1"/>
  <c r="I2239" i="1" a="1"/>
  <c r="I2239" i="1" s="1"/>
  <c r="I2240" i="1" a="1"/>
  <c r="I2240" i="1" s="1"/>
  <c r="I2241" i="1" a="1"/>
  <c r="I2241" i="1" s="1"/>
  <c r="I2242" i="1" a="1"/>
  <c r="I2242" i="1" s="1"/>
  <c r="I2243" i="1" a="1"/>
  <c r="I2243" i="1" s="1"/>
  <c r="I2244" i="1" a="1"/>
  <c r="I2244" i="1" s="1"/>
  <c r="I2245" i="1" a="1"/>
  <c r="I2245" i="1" s="1"/>
  <c r="I2246" i="1" a="1"/>
  <c r="I2246" i="1" s="1"/>
  <c r="I2247" i="1" a="1"/>
  <c r="I2247" i="1" s="1"/>
  <c r="I2248" i="1" a="1"/>
  <c r="I2248" i="1" s="1"/>
  <c r="I2249" i="1" a="1"/>
  <c r="I2249" i="1" s="1"/>
  <c r="I2250" i="1" a="1"/>
  <c r="I2250" i="1" s="1"/>
  <c r="I2251" i="1" a="1"/>
  <c r="I2251" i="1" s="1"/>
  <c r="I2252" i="1" a="1"/>
  <c r="I2252" i="1" s="1"/>
  <c r="I2253" i="1" a="1"/>
  <c r="I2253" i="1" s="1"/>
  <c r="I2254" i="1" a="1"/>
  <c r="I2254" i="1" s="1"/>
  <c r="I2255" i="1" a="1"/>
  <c r="I2255" i="1" s="1"/>
  <c r="I2256" i="1" a="1"/>
  <c r="I2256" i="1" s="1"/>
  <c r="I2257" i="1" a="1"/>
  <c r="I2257" i="1" s="1"/>
  <c r="I2258" i="1" a="1"/>
  <c r="I2258" i="1" s="1"/>
  <c r="I2259" i="1" a="1"/>
  <c r="I2259" i="1" s="1"/>
  <c r="I2260" i="1" a="1"/>
  <c r="I2260" i="1" s="1"/>
  <c r="I2261" i="1" a="1"/>
  <c r="I2261" i="1" s="1"/>
  <c r="I2262" i="1" a="1"/>
  <c r="I2262" i="1" s="1"/>
  <c r="I2263" i="1" a="1"/>
  <c r="I2263" i="1" s="1"/>
  <c r="I2264" i="1" a="1"/>
  <c r="I2264" i="1" s="1"/>
  <c r="I2265" i="1" a="1"/>
  <c r="I2265" i="1" s="1"/>
  <c r="I2266" i="1" a="1"/>
  <c r="I2266" i="1" s="1"/>
  <c r="I2267" i="1" a="1"/>
  <c r="I2267" i="1" s="1"/>
  <c r="I2268" i="1" a="1"/>
  <c r="I2268" i="1" s="1"/>
  <c r="I2269" i="1" a="1"/>
  <c r="I2269" i="1" s="1"/>
  <c r="I2270" i="1" a="1"/>
  <c r="I2270" i="1" s="1"/>
  <c r="I2271" i="1" a="1"/>
  <c r="I2271" i="1" s="1"/>
  <c r="I2272" i="1" a="1"/>
  <c r="I2272" i="1" s="1"/>
  <c r="I2273" i="1" a="1"/>
  <c r="I2273" i="1" s="1"/>
  <c r="I2274" i="1" a="1"/>
  <c r="I2274" i="1" s="1"/>
  <c r="I2275" i="1" a="1"/>
  <c r="I2275" i="1" s="1"/>
  <c r="I2276" i="1" a="1"/>
  <c r="I2276" i="1" s="1"/>
  <c r="I2277" i="1" a="1"/>
  <c r="I2277" i="1" s="1"/>
  <c r="I2278" i="1" a="1"/>
  <c r="I2278" i="1" s="1"/>
  <c r="I2279" i="1" a="1"/>
  <c r="I2279" i="1" s="1"/>
  <c r="I2280" i="1" a="1"/>
  <c r="I2280" i="1" s="1"/>
  <c r="I2281" i="1" a="1"/>
  <c r="I2281" i="1" s="1"/>
  <c r="I2282" i="1" a="1"/>
  <c r="I2282" i="1" s="1"/>
  <c r="I2283" i="1" a="1"/>
  <c r="I2283" i="1" s="1"/>
  <c r="I2284" i="1" a="1"/>
  <c r="I2284" i="1" s="1"/>
  <c r="I2285" i="1" a="1"/>
  <c r="I2285" i="1" s="1"/>
  <c r="I2286" i="1" a="1"/>
  <c r="I2286" i="1" s="1"/>
  <c r="I2287" i="1" a="1"/>
  <c r="I2287" i="1" s="1"/>
  <c r="I2288" i="1" a="1"/>
  <c r="I2288" i="1" s="1"/>
  <c r="I2289" i="1" a="1"/>
  <c r="I2289" i="1" s="1"/>
  <c r="I2290" i="1" a="1"/>
  <c r="I2290" i="1" s="1"/>
  <c r="I2291" i="1" a="1"/>
  <c r="I2291" i="1" s="1"/>
  <c r="I2292" i="1" a="1"/>
  <c r="I2292" i="1" s="1"/>
  <c r="I2293" i="1" a="1"/>
  <c r="I2293" i="1" s="1"/>
  <c r="I2294" i="1" a="1"/>
  <c r="I2294" i="1" s="1"/>
  <c r="I2295" i="1" a="1"/>
  <c r="I2295" i="1" s="1"/>
  <c r="I2296" i="1" a="1"/>
  <c r="I2296" i="1" s="1"/>
  <c r="I2297" i="1" a="1"/>
  <c r="I2297" i="1" s="1"/>
  <c r="I2298" i="1" a="1"/>
  <c r="I2298" i="1" s="1"/>
  <c r="I2299" i="1" a="1"/>
  <c r="I2299" i="1" s="1"/>
  <c r="I2300" i="1" a="1"/>
  <c r="I2300" i="1" s="1"/>
  <c r="I2301" i="1" a="1"/>
  <c r="I2301" i="1" s="1"/>
  <c r="I2302" i="1" a="1"/>
  <c r="I2302" i="1" s="1"/>
  <c r="I2303" i="1" a="1"/>
  <c r="I2303" i="1" s="1"/>
  <c r="I2304" i="1" a="1"/>
  <c r="I2304" i="1" s="1"/>
  <c r="I2305" i="1" a="1"/>
  <c r="I2305" i="1" s="1"/>
  <c r="I2306" i="1" a="1"/>
  <c r="I2306" i="1" s="1"/>
  <c r="I2307" i="1" a="1"/>
  <c r="I2307" i="1" s="1"/>
  <c r="I2308" i="1" a="1"/>
  <c r="I2308" i="1" s="1"/>
  <c r="I2309" i="1" a="1"/>
  <c r="I2309" i="1" s="1"/>
  <c r="I2310" i="1" a="1"/>
  <c r="I2310" i="1" s="1"/>
  <c r="I2311" i="1" a="1"/>
  <c r="I2311" i="1" s="1"/>
  <c r="I2312" i="1" a="1"/>
  <c r="I2312" i="1" s="1"/>
  <c r="I2313" i="1" a="1"/>
  <c r="I2313" i="1" s="1"/>
  <c r="I2314" i="1" a="1"/>
  <c r="I2314" i="1" s="1"/>
  <c r="I2315" i="1" a="1"/>
  <c r="I2315" i="1" s="1"/>
  <c r="I2316" i="1" a="1"/>
  <c r="I2316" i="1" s="1"/>
  <c r="I2317" i="1" a="1"/>
  <c r="I2317" i="1" s="1"/>
  <c r="I2318" i="1" a="1"/>
  <c r="I2318" i="1" s="1"/>
  <c r="I2319" i="1" a="1"/>
  <c r="I2319" i="1" s="1"/>
  <c r="I2320" i="1" a="1"/>
  <c r="I2320" i="1" s="1"/>
  <c r="I2321" i="1" a="1"/>
  <c r="I2321" i="1" s="1"/>
  <c r="I2322" i="1" a="1"/>
  <c r="I2322" i="1" s="1"/>
  <c r="I2323" i="1" a="1"/>
  <c r="I2323" i="1" s="1"/>
  <c r="I2324" i="1" a="1"/>
  <c r="I2324" i="1" s="1"/>
  <c r="I2325" i="1" a="1"/>
  <c r="I2325" i="1" s="1"/>
  <c r="I2326" i="1" a="1"/>
  <c r="I2326" i="1" s="1"/>
  <c r="I2327" i="1" a="1"/>
  <c r="I2327" i="1" s="1"/>
  <c r="I2328" i="1" a="1"/>
  <c r="I2328" i="1" s="1"/>
  <c r="I2329" i="1" a="1"/>
  <c r="I2329" i="1" s="1"/>
  <c r="I2330" i="1" a="1"/>
  <c r="I2330" i="1" s="1"/>
  <c r="I2331" i="1" a="1"/>
  <c r="I2331" i="1" s="1"/>
  <c r="I2332" i="1" a="1"/>
  <c r="I2332" i="1" s="1"/>
  <c r="I2333" i="1" a="1"/>
  <c r="I2333" i="1" s="1"/>
  <c r="I2334" i="1" a="1"/>
  <c r="I2334" i="1" s="1"/>
  <c r="I2335" i="1" a="1"/>
  <c r="I2335" i="1" s="1"/>
  <c r="I2336" i="1" a="1"/>
  <c r="I2336" i="1" s="1"/>
  <c r="I2337" i="1" a="1"/>
  <c r="I2337" i="1" s="1"/>
  <c r="I2338" i="1" a="1"/>
  <c r="I2338" i="1" s="1"/>
  <c r="I2339" i="1" a="1"/>
  <c r="I2339" i="1" s="1"/>
  <c r="I2340" i="1" a="1"/>
  <c r="I2340" i="1" s="1"/>
  <c r="I2341" i="1" a="1"/>
  <c r="I2341" i="1" s="1"/>
  <c r="I2342" i="1" a="1"/>
  <c r="I2342" i="1" s="1"/>
  <c r="I2343" i="1" a="1"/>
  <c r="I2343" i="1" s="1"/>
  <c r="I2344" i="1" a="1"/>
  <c r="I2344" i="1" s="1"/>
  <c r="I2345" i="1" a="1"/>
  <c r="I2345" i="1" s="1"/>
  <c r="I2346" i="1" a="1"/>
  <c r="I2346" i="1" s="1"/>
  <c r="I2347" i="1" a="1"/>
  <c r="I2347" i="1" s="1"/>
  <c r="I2348" i="1" a="1"/>
  <c r="I2348" i="1" s="1"/>
  <c r="I2349" i="1" a="1"/>
  <c r="I2349" i="1" s="1"/>
  <c r="I2350" i="1" a="1"/>
  <c r="I2350" i="1" s="1"/>
  <c r="I2351" i="1" a="1"/>
  <c r="I2351" i="1" s="1"/>
  <c r="I2352" i="1" a="1"/>
  <c r="I2352" i="1" s="1"/>
  <c r="I2353" i="1" a="1"/>
  <c r="I2353" i="1" s="1"/>
  <c r="I2354" i="1" a="1"/>
  <c r="I2354" i="1" s="1"/>
  <c r="I2355" i="1" a="1"/>
  <c r="I2355" i="1" s="1"/>
  <c r="I2356" i="1" a="1"/>
  <c r="I2356" i="1" s="1"/>
  <c r="I2357" i="1" a="1"/>
  <c r="I2357" i="1" s="1"/>
  <c r="I2358" i="1" a="1"/>
  <c r="I2358" i="1" s="1"/>
  <c r="I2359" i="1" a="1"/>
  <c r="I2359" i="1" s="1"/>
  <c r="I2360" i="1" a="1"/>
  <c r="I2360" i="1" s="1"/>
  <c r="I2361" i="1" a="1"/>
  <c r="I2361" i="1" s="1"/>
  <c r="I2362" i="1" a="1"/>
  <c r="I2362" i="1" s="1"/>
  <c r="I2363" i="1" a="1"/>
  <c r="I2363" i="1" s="1"/>
  <c r="I2364" i="1" a="1"/>
  <c r="I2364" i="1" s="1"/>
  <c r="I2365" i="1" a="1"/>
  <c r="I2365" i="1" s="1"/>
  <c r="I2366" i="1" a="1"/>
  <c r="I2366" i="1" s="1"/>
  <c r="I2367" i="1" a="1"/>
  <c r="I2367" i="1" s="1"/>
  <c r="I2368" i="1" a="1"/>
  <c r="I2368" i="1" s="1"/>
  <c r="I2369" i="1" a="1"/>
  <c r="I2369" i="1" s="1"/>
  <c r="I2370" i="1" a="1"/>
  <c r="I2370" i="1" s="1"/>
  <c r="I2371" i="1" a="1"/>
  <c r="I2371" i="1" s="1"/>
  <c r="I2372" i="1" a="1"/>
  <c r="I2372" i="1" s="1"/>
  <c r="I2373" i="1" a="1"/>
  <c r="I2373" i="1" s="1"/>
  <c r="I2374" i="1" a="1"/>
  <c r="I2374" i="1" s="1"/>
  <c r="I2375" i="1" a="1"/>
  <c r="I2375" i="1" s="1"/>
  <c r="I2376" i="1" a="1"/>
  <c r="I2376" i="1" s="1"/>
  <c r="I2377" i="1" a="1"/>
  <c r="I2377" i="1" s="1"/>
  <c r="I2378" i="1" a="1"/>
  <c r="I2378" i="1" s="1"/>
  <c r="I2379" i="1" a="1"/>
  <c r="I2379" i="1" s="1"/>
  <c r="I2380" i="1" a="1"/>
  <c r="I2380" i="1" s="1"/>
  <c r="I2381" i="1" a="1"/>
  <c r="I2381" i="1" s="1"/>
  <c r="I2382" i="1" a="1"/>
  <c r="I2382" i="1" s="1"/>
  <c r="I2383" i="1" a="1"/>
  <c r="I2383" i="1" s="1"/>
  <c r="I2384" i="1" a="1"/>
  <c r="I2384" i="1" s="1"/>
  <c r="I2385" i="1" a="1"/>
  <c r="I2385" i="1" s="1"/>
  <c r="I2386" i="1" a="1"/>
  <c r="I2386" i="1" s="1"/>
  <c r="I2387" i="1" a="1"/>
  <c r="I2387" i="1" s="1"/>
  <c r="I2388" i="1" a="1"/>
  <c r="I2388" i="1" s="1"/>
  <c r="I2389" i="1" a="1"/>
  <c r="I2389" i="1" s="1"/>
  <c r="I2390" i="1" a="1"/>
  <c r="I2390" i="1" s="1"/>
  <c r="I2391" i="1" a="1"/>
  <c r="I2391" i="1" s="1"/>
  <c r="I2392" i="1" a="1"/>
  <c r="I2392" i="1" s="1"/>
  <c r="I2393" i="1" a="1"/>
  <c r="I2393" i="1" s="1"/>
  <c r="I2394" i="1" a="1"/>
  <c r="I2394" i="1" s="1"/>
  <c r="I2395" i="1" a="1"/>
  <c r="I2395" i="1" s="1"/>
  <c r="I2396" i="1" a="1"/>
  <c r="I2396" i="1" s="1"/>
  <c r="I2397" i="1" a="1"/>
  <c r="I2397" i="1" s="1"/>
  <c r="I2398" i="1" a="1"/>
  <c r="I2398" i="1" s="1"/>
  <c r="I2399" i="1" a="1"/>
  <c r="I2399" i="1" s="1"/>
  <c r="I2400" i="1" a="1"/>
  <c r="I2400" i="1" s="1"/>
  <c r="I2401" i="1" a="1"/>
  <c r="I2401" i="1" s="1"/>
  <c r="I2402" i="1" a="1"/>
  <c r="I2402" i="1" s="1"/>
  <c r="I2403" i="1" a="1"/>
  <c r="I2403" i="1" s="1"/>
  <c r="I2404" i="1" a="1"/>
  <c r="I2404" i="1" s="1"/>
  <c r="I2405" i="1" a="1"/>
  <c r="I2405" i="1" s="1"/>
  <c r="I2406" i="1" a="1"/>
  <c r="I2406" i="1" s="1"/>
  <c r="I2407" i="1" a="1"/>
  <c r="I2407" i="1" s="1"/>
  <c r="I2408" i="1" a="1"/>
  <c r="I2408" i="1" s="1"/>
  <c r="I2409" i="1" a="1"/>
  <c r="I2409" i="1" s="1"/>
  <c r="I2410" i="1" a="1"/>
  <c r="I2410" i="1" s="1"/>
  <c r="I2411" i="1" a="1"/>
  <c r="I2411" i="1" s="1"/>
  <c r="I2412" i="1" a="1"/>
  <c r="I2412" i="1" s="1"/>
  <c r="I2413" i="1" a="1"/>
  <c r="I2413" i="1" s="1"/>
  <c r="I2414" i="1" a="1"/>
  <c r="I2414" i="1" s="1"/>
  <c r="I2415" i="1" a="1"/>
  <c r="I2415" i="1" s="1"/>
  <c r="I2416" i="1" a="1"/>
  <c r="I2416" i="1" s="1"/>
  <c r="I2417" i="1" a="1"/>
  <c r="I2417" i="1" s="1"/>
  <c r="I2418" i="1" a="1"/>
  <c r="I2418" i="1" s="1"/>
  <c r="I2419" i="1" a="1"/>
  <c r="I2419" i="1" s="1"/>
  <c r="I2420" i="1" a="1"/>
  <c r="I2420" i="1" s="1"/>
  <c r="I2421" i="1" a="1"/>
  <c r="I2421" i="1" s="1"/>
  <c r="I2422" i="1" a="1"/>
  <c r="I2422" i="1" s="1"/>
  <c r="I2423" i="1" a="1"/>
  <c r="I2423" i="1" s="1"/>
  <c r="I2424" i="1" a="1"/>
  <c r="I2424" i="1" s="1"/>
  <c r="I2425" i="1" a="1"/>
  <c r="I2425" i="1" s="1"/>
  <c r="I2426" i="1" a="1"/>
  <c r="I2426" i="1" s="1"/>
  <c r="I2427" i="1" a="1"/>
  <c r="I2427" i="1" s="1"/>
  <c r="I2428" i="1" a="1"/>
  <c r="I2428" i="1" s="1"/>
  <c r="I2429" i="1" a="1"/>
  <c r="I2429" i="1" s="1"/>
  <c r="I2430" i="1" a="1"/>
  <c r="I2430" i="1" s="1"/>
  <c r="I2431" i="1" a="1"/>
  <c r="I2431" i="1" s="1"/>
  <c r="I2432" i="1" a="1"/>
  <c r="I2432" i="1" s="1"/>
  <c r="I2433" i="1" a="1"/>
  <c r="I2433" i="1" s="1"/>
  <c r="I2434" i="1" a="1"/>
  <c r="I2434" i="1" s="1"/>
  <c r="I2435" i="1" a="1"/>
  <c r="I2435" i="1" s="1"/>
  <c r="I2436" i="1" a="1"/>
  <c r="I2436" i="1" s="1"/>
  <c r="I2437" i="1" a="1"/>
  <c r="I2437" i="1" s="1"/>
  <c r="I2438" i="1" a="1"/>
  <c r="I2438" i="1" s="1"/>
  <c r="I2439" i="1" a="1"/>
  <c r="I2439" i="1" s="1"/>
  <c r="I2440" i="1" a="1"/>
  <c r="I2440" i="1" s="1"/>
  <c r="I2441" i="1" a="1"/>
  <c r="I2441" i="1" s="1"/>
  <c r="I2442" i="1" a="1"/>
  <c r="I2442" i="1" s="1"/>
  <c r="I2443" i="1" a="1"/>
  <c r="I2443" i="1" s="1"/>
  <c r="I2444" i="1" a="1"/>
  <c r="I2444" i="1" s="1"/>
  <c r="I2445" i="1" a="1"/>
  <c r="I2445" i="1" s="1"/>
  <c r="I2446" i="1" a="1"/>
  <c r="I2446" i="1" s="1"/>
  <c r="I2447" i="1" a="1"/>
  <c r="I2447" i="1" s="1"/>
  <c r="I2448" i="1" a="1"/>
  <c r="I2448" i="1" s="1"/>
  <c r="I2449" i="1" a="1"/>
  <c r="I2449" i="1" s="1"/>
  <c r="I2450" i="1" a="1"/>
  <c r="I2450" i="1" s="1"/>
  <c r="I2451" i="1" a="1"/>
  <c r="I2451" i="1" s="1"/>
  <c r="I2452" i="1" a="1"/>
  <c r="I2452" i="1" s="1"/>
  <c r="I2453" i="1" a="1"/>
  <c r="I2453" i="1" s="1"/>
  <c r="I2454" i="1" a="1"/>
  <c r="I2454" i="1" s="1"/>
  <c r="I2455" i="1" a="1"/>
  <c r="I2455" i="1" s="1"/>
  <c r="I2456" i="1" a="1"/>
  <c r="I2456" i="1" s="1"/>
  <c r="I2457" i="1" a="1"/>
  <c r="I2457" i="1" s="1"/>
  <c r="I2458" i="1" a="1"/>
  <c r="I2458" i="1" s="1"/>
  <c r="I2459" i="1" a="1"/>
  <c r="I2459" i="1" s="1"/>
  <c r="I2460" i="1" a="1"/>
  <c r="I2460" i="1" s="1"/>
  <c r="I2461" i="1" a="1"/>
  <c r="I2461" i="1" s="1"/>
  <c r="I2462" i="1" a="1"/>
  <c r="I2462" i="1" s="1"/>
  <c r="I2463" i="1" a="1"/>
  <c r="I2463" i="1" s="1"/>
  <c r="I2464" i="1" a="1"/>
  <c r="I2464" i="1" s="1"/>
  <c r="I2465" i="1" a="1"/>
  <c r="I2465" i="1" s="1"/>
  <c r="I2466" i="1" a="1"/>
  <c r="I2466" i="1" s="1"/>
  <c r="I2467" i="1" a="1"/>
  <c r="I2467" i="1" s="1"/>
  <c r="I2468" i="1" a="1"/>
  <c r="I2468" i="1" s="1"/>
  <c r="I2469" i="1" a="1"/>
  <c r="I2469" i="1" s="1"/>
  <c r="I2470" i="1" a="1"/>
  <c r="I2470" i="1" s="1"/>
  <c r="I2471" i="1" a="1"/>
  <c r="I2471" i="1" s="1"/>
  <c r="I2472" i="1" a="1"/>
  <c r="I2472" i="1" s="1"/>
  <c r="I2473" i="1" a="1"/>
  <c r="I2473" i="1" s="1"/>
  <c r="I2474" i="1" a="1"/>
  <c r="I2474" i="1" s="1"/>
  <c r="I2475" i="1" a="1"/>
  <c r="I2475" i="1" s="1"/>
  <c r="I2476" i="1" a="1"/>
  <c r="I2476" i="1" s="1"/>
  <c r="I2477" i="1" a="1"/>
  <c r="I2477" i="1" s="1"/>
  <c r="I2478" i="1" a="1"/>
  <c r="I2478" i="1" s="1"/>
  <c r="I2479" i="1" a="1"/>
  <c r="I2479" i="1" s="1"/>
  <c r="I2480" i="1" a="1"/>
  <c r="I2480" i="1" s="1"/>
  <c r="I2481" i="1" a="1"/>
  <c r="I2481" i="1" s="1"/>
  <c r="I2482" i="1" a="1"/>
  <c r="I2482" i="1" s="1"/>
  <c r="I2483" i="1" a="1"/>
  <c r="I2483" i="1" s="1"/>
  <c r="I2484" i="1" a="1"/>
  <c r="I2484" i="1" s="1"/>
  <c r="I2485" i="1" a="1"/>
  <c r="I2485" i="1" s="1"/>
  <c r="I2486" i="1" a="1"/>
  <c r="I2486" i="1" s="1"/>
  <c r="I2487" i="1" a="1"/>
  <c r="I2487" i="1" s="1"/>
  <c r="I2488" i="1" a="1"/>
  <c r="I2488" i="1" s="1"/>
  <c r="I2489" i="1" a="1"/>
  <c r="I2489" i="1" s="1"/>
  <c r="I2490" i="1" a="1"/>
  <c r="I2490" i="1" s="1"/>
  <c r="I2491" i="1" a="1"/>
  <c r="I2491" i="1" s="1"/>
  <c r="I2492" i="1" a="1"/>
  <c r="I2492" i="1" s="1"/>
  <c r="I2493" i="1" a="1"/>
  <c r="I2493" i="1" s="1"/>
  <c r="I2494" i="1" a="1"/>
  <c r="I2494" i="1" s="1"/>
  <c r="I2495" i="1" a="1"/>
  <c r="I2495" i="1" s="1"/>
  <c r="I2496" i="1" a="1"/>
  <c r="I2496" i="1" s="1"/>
  <c r="I2497" i="1" a="1"/>
  <c r="I2497" i="1" s="1"/>
  <c r="I2498" i="1" a="1"/>
  <c r="I2498" i="1" s="1"/>
  <c r="I2499" i="1" a="1"/>
  <c r="I2499" i="1" s="1"/>
  <c r="I2500" i="1" a="1"/>
  <c r="I2500" i="1" s="1"/>
  <c r="I2501" i="1" a="1"/>
  <c r="I2501" i="1" s="1"/>
  <c r="I2502" i="1" a="1"/>
  <c r="I2502" i="1" s="1"/>
  <c r="I2503" i="1" a="1"/>
  <c r="I2503" i="1" s="1"/>
  <c r="I2504" i="1" a="1"/>
  <c r="I2504" i="1" s="1"/>
  <c r="I2505" i="1" a="1"/>
  <c r="I2505" i="1" s="1"/>
  <c r="I2506" i="1" a="1"/>
  <c r="I2506" i="1" s="1"/>
  <c r="I2507" i="1" a="1"/>
  <c r="I2507" i="1" s="1"/>
  <c r="I2508" i="1" a="1"/>
  <c r="I2508" i="1" s="1"/>
  <c r="I2509" i="1" a="1"/>
  <c r="I2509" i="1" s="1"/>
  <c r="I2510" i="1" a="1"/>
  <c r="I2510" i="1" s="1"/>
  <c r="I2511" i="1" a="1"/>
  <c r="I2511" i="1" s="1"/>
  <c r="I2512" i="1" a="1"/>
  <c r="I2512" i="1" s="1"/>
  <c r="I2513" i="1" a="1"/>
  <c r="I2513" i="1" s="1"/>
  <c r="I2514" i="1" a="1"/>
  <c r="I2514" i="1" s="1"/>
  <c r="I2515" i="1" a="1"/>
  <c r="I2515" i="1" s="1"/>
  <c r="I2516" i="1" a="1"/>
  <c r="I2516" i="1" s="1"/>
  <c r="I2517" i="1" a="1"/>
  <c r="I2517" i="1" s="1"/>
  <c r="I2518" i="1" a="1"/>
  <c r="I2518" i="1" s="1"/>
  <c r="I2519" i="1" a="1"/>
  <c r="I2519" i="1" s="1"/>
  <c r="I2520" i="1" a="1"/>
  <c r="I2520" i="1" s="1"/>
  <c r="I2521" i="1" a="1"/>
  <c r="I2521" i="1" s="1"/>
  <c r="I2522" i="1" a="1"/>
  <c r="I2522" i="1" s="1"/>
  <c r="I2523" i="1" a="1"/>
  <c r="I2523" i="1" s="1"/>
  <c r="I2524" i="1" a="1"/>
  <c r="I2524" i="1" s="1"/>
  <c r="I2525" i="1" a="1"/>
  <c r="I2525" i="1" s="1"/>
  <c r="I2526" i="1" a="1"/>
  <c r="I2526" i="1" s="1"/>
  <c r="I2527" i="1" a="1"/>
  <c r="I2527" i="1" s="1"/>
  <c r="I2528" i="1" a="1"/>
  <c r="I2528" i="1" s="1"/>
  <c r="I2529" i="1" a="1"/>
  <c r="I2529" i="1" s="1"/>
  <c r="I2530" i="1" a="1"/>
  <c r="I2530" i="1" s="1"/>
  <c r="I2531" i="1" a="1"/>
  <c r="I2531" i="1" s="1"/>
  <c r="I2532" i="1" a="1"/>
  <c r="I2532" i="1" s="1"/>
  <c r="I2533" i="1" a="1"/>
  <c r="I2533" i="1" s="1"/>
  <c r="I2534" i="1" a="1"/>
  <c r="I2534" i="1" s="1"/>
  <c r="I2535" i="1" a="1"/>
  <c r="I2535" i="1" s="1"/>
  <c r="I2536" i="1" a="1"/>
  <c r="I2536" i="1" s="1"/>
  <c r="I2537" i="1" a="1"/>
  <c r="I2537" i="1" s="1"/>
  <c r="I2538" i="1" a="1"/>
  <c r="I2538" i="1" s="1"/>
  <c r="I2539" i="1" a="1"/>
  <c r="I2539" i="1" s="1"/>
  <c r="I2540" i="1" a="1"/>
  <c r="I2540" i="1" s="1"/>
  <c r="I2541" i="1" a="1"/>
  <c r="I2541" i="1" s="1"/>
  <c r="I2542" i="1" a="1"/>
  <c r="I2542" i="1" s="1"/>
  <c r="I2543" i="1" a="1"/>
  <c r="I2543" i="1" s="1"/>
  <c r="I2544" i="1" a="1"/>
  <c r="I2544" i="1" s="1"/>
  <c r="I2545" i="1" a="1"/>
  <c r="I2545" i="1" s="1"/>
  <c r="I2546" i="1" a="1"/>
  <c r="I2546" i="1" s="1"/>
  <c r="I2547" i="1" a="1"/>
  <c r="I2547" i="1" s="1"/>
  <c r="I2548" i="1" a="1"/>
  <c r="I2548" i="1" s="1"/>
  <c r="I2549" i="1" a="1"/>
  <c r="I2549" i="1" s="1"/>
  <c r="I2550" i="1" a="1"/>
  <c r="I2550" i="1" s="1"/>
  <c r="I2551" i="1" a="1"/>
  <c r="I2551" i="1" s="1"/>
  <c r="I2552" i="1" a="1"/>
  <c r="I2552" i="1" s="1"/>
  <c r="I2553" i="1" a="1"/>
  <c r="I2553" i="1" s="1"/>
  <c r="I2554" i="1" a="1"/>
  <c r="I2554" i="1" s="1"/>
  <c r="I2555" i="1" a="1"/>
  <c r="I2555" i="1" s="1"/>
  <c r="I2556" i="1" a="1"/>
  <c r="I2556" i="1" s="1"/>
  <c r="I2557" i="1" a="1"/>
  <c r="I2557" i="1" s="1"/>
  <c r="I2558" i="1" a="1"/>
  <c r="I2558" i="1" s="1"/>
  <c r="I2559" i="1" a="1"/>
  <c r="I2559" i="1" s="1"/>
  <c r="I2560" i="1" a="1"/>
  <c r="I2560" i="1" s="1"/>
  <c r="I2561" i="1" a="1"/>
  <c r="I2561" i="1" s="1"/>
  <c r="I2562" i="1" a="1"/>
  <c r="I2562" i="1" s="1"/>
  <c r="I2563" i="1" a="1"/>
  <c r="I2563" i="1" s="1"/>
  <c r="I2564" i="1" a="1"/>
  <c r="I2564" i="1" s="1"/>
  <c r="I2565" i="1" a="1"/>
  <c r="I2565" i="1" s="1"/>
  <c r="I2566" i="1" a="1"/>
  <c r="I2566" i="1" s="1"/>
  <c r="I2567" i="1" a="1"/>
  <c r="I2567" i="1" s="1"/>
  <c r="I2568" i="1" a="1"/>
  <c r="I2568" i="1" s="1"/>
  <c r="I2569" i="1" a="1"/>
  <c r="I2569" i="1" s="1"/>
  <c r="I2570" i="1" a="1"/>
  <c r="I2570" i="1" s="1"/>
  <c r="I2571" i="1" a="1"/>
  <c r="I2571" i="1" s="1"/>
  <c r="I2572" i="1" a="1"/>
  <c r="I2572" i="1" s="1"/>
  <c r="I2573" i="1" a="1"/>
  <c r="I2573" i="1" s="1"/>
  <c r="I2574" i="1" a="1"/>
  <c r="I2574" i="1" s="1"/>
  <c r="I2575" i="1" a="1"/>
  <c r="I2575" i="1" s="1"/>
  <c r="I2576" i="1" a="1"/>
  <c r="I2576" i="1" s="1"/>
  <c r="I2577" i="1" a="1"/>
  <c r="I2577" i="1" s="1"/>
  <c r="I2578" i="1" a="1"/>
  <c r="I2578" i="1" s="1"/>
  <c r="I2579" i="1" a="1"/>
  <c r="I2579" i="1" s="1"/>
  <c r="I2580" i="1" a="1"/>
  <c r="I2580" i="1" s="1"/>
  <c r="I2581" i="1" a="1"/>
  <c r="I2581" i="1" s="1"/>
  <c r="I2582" i="1" a="1"/>
  <c r="I2582" i="1" s="1"/>
  <c r="I2583" i="1" a="1"/>
  <c r="I2583" i="1" s="1"/>
  <c r="I2584" i="1" a="1"/>
  <c r="I2584" i="1" s="1"/>
  <c r="I2585" i="1" a="1"/>
  <c r="I2585" i="1" s="1"/>
  <c r="I2586" i="1" a="1"/>
  <c r="I2586" i="1" s="1"/>
  <c r="I2587" i="1" a="1"/>
  <c r="I2587" i="1" s="1"/>
  <c r="I2588" i="1" a="1"/>
  <c r="I2588" i="1" s="1"/>
  <c r="I2589" i="1" a="1"/>
  <c r="I2589" i="1" s="1"/>
  <c r="I2590" i="1" a="1"/>
  <c r="I2590" i="1" s="1"/>
  <c r="I2591" i="1" a="1"/>
  <c r="I2591" i="1" s="1"/>
  <c r="I2592" i="1" a="1"/>
  <c r="I2592" i="1" s="1"/>
  <c r="I2593" i="1" a="1"/>
  <c r="I2593" i="1" s="1"/>
  <c r="I2594" i="1" a="1"/>
  <c r="I2594" i="1" s="1"/>
  <c r="I2595" i="1" a="1"/>
  <c r="I2595" i="1" s="1"/>
  <c r="I2596" i="1" a="1"/>
  <c r="I2596" i="1" s="1"/>
  <c r="I2597" i="1" a="1"/>
  <c r="I2597" i="1" s="1"/>
  <c r="I2598" i="1" a="1"/>
  <c r="I2598" i="1" s="1"/>
  <c r="I2599" i="1" a="1"/>
  <c r="I2599" i="1" s="1"/>
  <c r="I2600" i="1" a="1"/>
  <c r="I2600" i="1" s="1"/>
  <c r="I2601" i="1" a="1"/>
  <c r="I2601" i="1" s="1"/>
  <c r="I2602" i="1" a="1"/>
  <c r="I2602" i="1" s="1"/>
  <c r="I2603" i="1" a="1"/>
  <c r="I2603" i="1" s="1"/>
  <c r="I2604" i="1" a="1"/>
  <c r="I2604" i="1" s="1"/>
  <c r="I2605" i="1" a="1"/>
  <c r="I2605" i="1" s="1"/>
  <c r="I2606" i="1" a="1"/>
  <c r="I2606" i="1" s="1"/>
  <c r="I2607" i="1" a="1"/>
  <c r="I2607" i="1" s="1"/>
  <c r="I2608" i="1" a="1"/>
  <c r="I2608" i="1" s="1"/>
  <c r="I2609" i="1" a="1"/>
  <c r="I2609" i="1" s="1"/>
  <c r="I2610" i="1" a="1"/>
  <c r="I2610" i="1" s="1"/>
  <c r="I2611" i="1" a="1"/>
  <c r="I2611" i="1" s="1"/>
  <c r="I2612" i="1" a="1"/>
  <c r="I2612" i="1" s="1"/>
  <c r="I2613" i="1" a="1"/>
  <c r="I2613" i="1" s="1"/>
  <c r="I2614" i="1" a="1"/>
  <c r="I2614" i="1" s="1"/>
  <c r="I2615" i="1" a="1"/>
  <c r="I2615" i="1" s="1"/>
  <c r="I2616" i="1" a="1"/>
  <c r="I2616" i="1" s="1"/>
  <c r="I2617" i="1" a="1"/>
  <c r="I2617" i="1" s="1"/>
  <c r="I2618" i="1" a="1"/>
  <c r="I2618" i="1" s="1"/>
  <c r="I2619" i="1" a="1"/>
  <c r="I2619" i="1" s="1"/>
  <c r="I2620" i="1" a="1"/>
  <c r="I2620" i="1" s="1"/>
  <c r="I2621" i="1" a="1"/>
  <c r="I2621" i="1" s="1"/>
  <c r="I2622" i="1" a="1"/>
  <c r="I2622" i="1" s="1"/>
  <c r="I2623" i="1" a="1"/>
  <c r="I2623" i="1" s="1"/>
  <c r="I2624" i="1" a="1"/>
  <c r="I2624" i="1" s="1"/>
  <c r="I2625" i="1" a="1"/>
  <c r="I2625" i="1" s="1"/>
  <c r="I2626" i="1" a="1"/>
  <c r="I2626" i="1" s="1"/>
  <c r="I2627" i="1" a="1"/>
  <c r="I2627" i="1" s="1"/>
  <c r="I2628" i="1" a="1"/>
  <c r="I2628" i="1" s="1"/>
  <c r="I2629" i="1" a="1"/>
  <c r="I2629" i="1" s="1"/>
  <c r="I2630" i="1" a="1"/>
  <c r="I2630" i="1" s="1"/>
  <c r="I2631" i="1" a="1"/>
  <c r="I2631" i="1" s="1"/>
  <c r="I2632" i="1" a="1"/>
  <c r="I2632" i="1" s="1"/>
  <c r="I2633" i="1" a="1"/>
  <c r="I2633" i="1" s="1"/>
  <c r="I2634" i="1" a="1"/>
  <c r="I2634" i="1" s="1"/>
  <c r="I2635" i="1" a="1"/>
  <c r="I2635" i="1" s="1"/>
  <c r="I2636" i="1" a="1"/>
  <c r="I2636" i="1" s="1"/>
  <c r="I2637" i="1" a="1"/>
  <c r="I2637" i="1" s="1"/>
  <c r="I2638" i="1" a="1"/>
  <c r="I2638" i="1" s="1"/>
  <c r="I2639" i="1" a="1"/>
  <c r="I2639" i="1" s="1"/>
  <c r="I2640" i="1" a="1"/>
  <c r="I2640" i="1" s="1"/>
  <c r="I2641" i="1" a="1"/>
  <c r="I2641" i="1" s="1"/>
  <c r="I2642" i="1" a="1"/>
  <c r="I2642" i="1" s="1"/>
  <c r="I2643" i="1" a="1"/>
  <c r="I2643" i="1" s="1"/>
  <c r="I2644" i="1" a="1"/>
  <c r="I2644" i="1" s="1"/>
  <c r="I2645" i="1" a="1"/>
  <c r="I2645" i="1" s="1"/>
  <c r="I2646" i="1" a="1"/>
  <c r="I2646" i="1" s="1"/>
  <c r="I2647" i="1" a="1"/>
  <c r="I2647" i="1" s="1"/>
  <c r="I2648" i="1" a="1"/>
  <c r="I2648" i="1" s="1"/>
  <c r="I2649" i="1" a="1"/>
  <c r="I2649" i="1" s="1"/>
  <c r="I2650" i="1" a="1"/>
  <c r="I2650" i="1" s="1"/>
  <c r="I2651" i="1" a="1"/>
  <c r="I2651" i="1" s="1"/>
  <c r="I2652" i="1" a="1"/>
  <c r="I2652" i="1" s="1"/>
  <c r="I2653" i="1" a="1"/>
  <c r="I2653" i="1" s="1"/>
  <c r="I2654" i="1" a="1"/>
  <c r="I2654" i="1" s="1"/>
  <c r="I2655" i="1" a="1"/>
  <c r="I2655" i="1" s="1"/>
  <c r="I2656" i="1" a="1"/>
  <c r="I2656" i="1" s="1"/>
  <c r="I2657" i="1" a="1"/>
  <c r="I2657" i="1" s="1"/>
  <c r="I2658" i="1" a="1"/>
  <c r="I2658" i="1" s="1"/>
  <c r="I2659" i="1" a="1"/>
  <c r="I2659" i="1" s="1"/>
  <c r="I2660" i="1" a="1"/>
  <c r="I2660" i="1" s="1"/>
  <c r="I2661" i="1" a="1"/>
  <c r="I2661" i="1" s="1"/>
  <c r="I2662" i="1" a="1"/>
  <c r="I2662" i="1" s="1"/>
  <c r="I2663" i="1" a="1"/>
  <c r="I2663" i="1" s="1"/>
  <c r="I2664" i="1" a="1"/>
  <c r="I2664" i="1" s="1"/>
  <c r="I2665" i="1" a="1"/>
  <c r="I2665" i="1" s="1"/>
  <c r="I2666" i="1" a="1"/>
  <c r="I2666" i="1" s="1"/>
  <c r="I2667" i="1" a="1"/>
  <c r="I2667" i="1" s="1"/>
  <c r="I2668" i="1" a="1"/>
  <c r="I2668" i="1" s="1"/>
  <c r="I2669" i="1" a="1"/>
  <c r="I2669" i="1" s="1"/>
  <c r="I2670" i="1" a="1"/>
  <c r="I2670" i="1" s="1"/>
  <c r="I2671" i="1" a="1"/>
  <c r="I2671" i="1" s="1"/>
  <c r="I2672" i="1" a="1"/>
  <c r="I2672" i="1" s="1"/>
  <c r="I2673" i="1" a="1"/>
  <c r="I2673" i="1" s="1"/>
  <c r="I2674" i="1" a="1"/>
  <c r="I2674" i="1" s="1"/>
  <c r="I2675" i="1" a="1"/>
  <c r="I2675" i="1" s="1"/>
  <c r="I2676" i="1" a="1"/>
  <c r="I2676" i="1" s="1"/>
  <c r="I2677" i="1" a="1"/>
  <c r="I2677" i="1" s="1"/>
  <c r="I2678" i="1" a="1"/>
  <c r="I2678" i="1" s="1"/>
  <c r="I2679" i="1" a="1"/>
  <c r="I2679" i="1" s="1"/>
  <c r="I2680" i="1" a="1"/>
  <c r="I2680" i="1" s="1"/>
  <c r="I2681" i="1" a="1"/>
  <c r="I2681" i="1" s="1"/>
  <c r="I2682" i="1" a="1"/>
  <c r="I2682" i="1" s="1"/>
  <c r="I2683" i="1" a="1"/>
  <c r="I2683" i="1" s="1"/>
  <c r="I2684" i="1" a="1"/>
  <c r="I2684" i="1" s="1"/>
  <c r="I2685" i="1" a="1"/>
  <c r="I2685" i="1" s="1"/>
  <c r="I2686" i="1" a="1"/>
  <c r="I2686" i="1" s="1"/>
  <c r="I2687" i="1" a="1"/>
  <c r="I2687" i="1" s="1"/>
  <c r="I2688" i="1" a="1"/>
  <c r="I2688" i="1" s="1"/>
  <c r="I2689" i="1" a="1"/>
  <c r="I2689" i="1" s="1"/>
  <c r="I2690" i="1" a="1"/>
  <c r="I2690" i="1" s="1"/>
  <c r="I2691" i="1" a="1"/>
  <c r="I2691" i="1" s="1"/>
  <c r="I2692" i="1" a="1"/>
  <c r="I2692" i="1" s="1"/>
  <c r="I2693" i="1" a="1"/>
  <c r="I2693" i="1" s="1"/>
  <c r="I2694" i="1" a="1"/>
  <c r="I2694" i="1" s="1"/>
  <c r="I2695" i="1" a="1"/>
  <c r="I2695" i="1" s="1"/>
  <c r="I2696" i="1" a="1"/>
  <c r="I2696" i="1" s="1"/>
  <c r="I2697" i="1" a="1"/>
  <c r="I2697" i="1" s="1"/>
  <c r="I2698" i="1" a="1"/>
  <c r="I2698" i="1" s="1"/>
  <c r="I2699" i="1" a="1"/>
  <c r="I2699" i="1" s="1"/>
  <c r="I2700" i="1" a="1"/>
  <c r="I2700" i="1" s="1"/>
  <c r="I2701" i="1" a="1"/>
  <c r="I2701" i="1" s="1"/>
  <c r="I2702" i="1" a="1"/>
  <c r="I2702" i="1" s="1"/>
  <c r="I2703" i="1" a="1"/>
  <c r="I2703" i="1" s="1"/>
  <c r="I2704" i="1" a="1"/>
  <c r="I2704" i="1" s="1"/>
  <c r="I2705" i="1" a="1"/>
  <c r="I2705" i="1" s="1"/>
  <c r="I2706" i="1" a="1"/>
  <c r="I2706" i="1" s="1"/>
  <c r="I2707" i="1" a="1"/>
  <c r="I2707" i="1" s="1"/>
  <c r="I2708" i="1" a="1"/>
  <c r="I2708" i="1" s="1"/>
  <c r="I2709" i="1" a="1"/>
  <c r="I2709" i="1" s="1"/>
  <c r="I2710" i="1" a="1"/>
  <c r="I2710" i="1" s="1"/>
  <c r="I2711" i="1" a="1"/>
  <c r="I2711" i="1" s="1"/>
  <c r="I2712" i="1" a="1"/>
  <c r="I2712" i="1" s="1"/>
  <c r="I2713" i="1" a="1"/>
  <c r="I2713" i="1" s="1"/>
  <c r="I2714" i="1" a="1"/>
  <c r="I2714" i="1" s="1"/>
  <c r="I2715" i="1" a="1"/>
  <c r="I2715" i="1" s="1"/>
  <c r="I2716" i="1" a="1"/>
  <c r="I2716" i="1" s="1"/>
  <c r="I2717" i="1" a="1"/>
  <c r="I2717" i="1" s="1"/>
  <c r="I2718" i="1" a="1"/>
  <c r="I2718" i="1" s="1"/>
  <c r="I2719" i="1" a="1"/>
  <c r="I2719" i="1" s="1"/>
  <c r="I2720" i="1" a="1"/>
  <c r="I2720" i="1" s="1"/>
  <c r="I2721" i="1" a="1"/>
  <c r="I2721" i="1" s="1"/>
  <c r="I2722" i="1" a="1"/>
  <c r="I2722" i="1" s="1"/>
  <c r="I2723" i="1" a="1"/>
  <c r="I2723" i="1" s="1"/>
  <c r="I2724" i="1" a="1"/>
  <c r="I2724" i="1" s="1"/>
  <c r="I2725" i="1" a="1"/>
  <c r="I2725" i="1" s="1"/>
  <c r="I2726" i="1" a="1"/>
  <c r="I2726" i="1" s="1"/>
  <c r="I2727" i="1" a="1"/>
  <c r="I2727" i="1" s="1"/>
  <c r="I2728" i="1" a="1"/>
  <c r="I2728" i="1" s="1"/>
  <c r="I2729" i="1" a="1"/>
  <c r="I2729" i="1" s="1"/>
  <c r="I2730" i="1" a="1"/>
  <c r="I2730" i="1" s="1"/>
  <c r="I2731" i="1" a="1"/>
  <c r="I2731" i="1" s="1"/>
  <c r="I2732" i="1" a="1"/>
  <c r="I2732" i="1" s="1"/>
  <c r="I2733" i="1" a="1"/>
  <c r="I2733" i="1" s="1"/>
  <c r="I2734" i="1" a="1"/>
  <c r="I2734" i="1" s="1"/>
  <c r="I2735" i="1" a="1"/>
  <c r="I2735" i="1" s="1"/>
  <c r="I2736" i="1" a="1"/>
  <c r="I2736" i="1" s="1"/>
  <c r="I2737" i="1" a="1"/>
  <c r="I2737" i="1" s="1"/>
  <c r="I2738" i="1" a="1"/>
  <c r="I2738" i="1" s="1"/>
  <c r="I2739" i="1" a="1"/>
  <c r="I2739" i="1" s="1"/>
  <c r="I2740" i="1" a="1"/>
  <c r="I2740" i="1" s="1"/>
  <c r="I2741" i="1" a="1"/>
  <c r="I2741" i="1" s="1"/>
  <c r="I2742" i="1" a="1"/>
  <c r="I2742" i="1" s="1"/>
  <c r="I2743" i="1" a="1"/>
  <c r="I2743" i="1" s="1"/>
  <c r="I2744" i="1" a="1"/>
  <c r="I2744" i="1" s="1"/>
  <c r="I2745" i="1" a="1"/>
  <c r="I2745" i="1" s="1"/>
  <c r="I2746" i="1" a="1"/>
  <c r="I2746" i="1" s="1"/>
  <c r="I2747" i="1" a="1"/>
  <c r="I2747" i="1" s="1"/>
  <c r="I2748" i="1" a="1"/>
  <c r="I2748" i="1" s="1"/>
  <c r="I2749" i="1" a="1"/>
  <c r="I2749" i="1" s="1"/>
  <c r="I2750" i="1" a="1"/>
  <c r="I2750" i="1" s="1"/>
  <c r="I2751" i="1" a="1"/>
  <c r="I2751" i="1" s="1"/>
  <c r="I2752" i="1" a="1"/>
  <c r="I2752" i="1" s="1"/>
  <c r="I2753" i="1" a="1"/>
  <c r="I2753" i="1" s="1"/>
  <c r="I2754" i="1" a="1"/>
  <c r="I2754" i="1" s="1"/>
  <c r="I2755" i="1" a="1"/>
  <c r="I2755" i="1" s="1"/>
  <c r="I2756" i="1" a="1"/>
  <c r="I2756" i="1" s="1"/>
  <c r="I2757" i="1" a="1"/>
  <c r="I2757" i="1" s="1"/>
  <c r="I2758" i="1" a="1"/>
  <c r="I2758" i="1" s="1"/>
  <c r="I2759" i="1" a="1"/>
  <c r="I2759" i="1" s="1"/>
  <c r="I2760" i="1" a="1"/>
  <c r="I2760" i="1" s="1"/>
  <c r="I2761" i="1" a="1"/>
  <c r="I2761" i="1" s="1"/>
  <c r="I2762" i="1" a="1"/>
  <c r="I2762" i="1" s="1"/>
  <c r="I2763" i="1" a="1"/>
  <c r="I2763" i="1" s="1"/>
  <c r="I2764" i="1" a="1"/>
  <c r="I2764" i="1" s="1"/>
  <c r="I2765" i="1" a="1"/>
  <c r="I2765" i="1" s="1"/>
  <c r="I2766" i="1" a="1"/>
  <c r="I2766" i="1" s="1"/>
  <c r="I2767" i="1" a="1"/>
  <c r="I2767" i="1" s="1"/>
  <c r="I2768" i="1" a="1"/>
  <c r="I2768" i="1" s="1"/>
  <c r="I2769" i="1" a="1"/>
  <c r="I2769" i="1" s="1"/>
  <c r="I2770" i="1" a="1"/>
  <c r="I2770" i="1" s="1"/>
  <c r="I2771" i="1" a="1"/>
  <c r="I2771" i="1" s="1"/>
  <c r="I2772" i="1" a="1"/>
  <c r="I2772" i="1" s="1"/>
  <c r="I2773" i="1" a="1"/>
  <c r="I2773" i="1" s="1"/>
  <c r="I2774" i="1" a="1"/>
  <c r="I2774" i="1" s="1"/>
  <c r="I2775" i="1" a="1"/>
  <c r="I2775" i="1" s="1"/>
  <c r="I2776" i="1" a="1"/>
  <c r="I2776" i="1" s="1"/>
  <c r="I2777" i="1" a="1"/>
  <c r="I2777" i="1" s="1"/>
  <c r="I2778" i="1" a="1"/>
  <c r="I2778" i="1" s="1"/>
  <c r="I2779" i="1" a="1"/>
  <c r="I2779" i="1" s="1"/>
  <c r="I2780" i="1" a="1"/>
  <c r="I2780" i="1" s="1"/>
  <c r="I2781" i="1" a="1"/>
  <c r="I2781" i="1" s="1"/>
  <c r="I2782" i="1" a="1"/>
  <c r="I2782" i="1" s="1"/>
  <c r="I2783" i="1" a="1"/>
  <c r="I2783" i="1" s="1"/>
  <c r="I2784" i="1" a="1"/>
  <c r="I2784" i="1" s="1"/>
  <c r="I2785" i="1" a="1"/>
  <c r="I2785" i="1" s="1"/>
  <c r="I2786" i="1" a="1"/>
  <c r="I2786" i="1" s="1"/>
  <c r="I2787" i="1" a="1"/>
  <c r="I2787" i="1" s="1"/>
  <c r="I2788" i="1" a="1"/>
  <c r="I2788" i="1" s="1"/>
  <c r="I2789" i="1" a="1"/>
  <c r="I2789" i="1" s="1"/>
  <c r="I2790" i="1" a="1"/>
  <c r="I2790" i="1" s="1"/>
  <c r="I2791" i="1" a="1"/>
  <c r="I2791" i="1" s="1"/>
  <c r="I2792" i="1" a="1"/>
  <c r="I2792" i="1" s="1"/>
  <c r="I2793" i="1" a="1"/>
  <c r="I2793" i="1" s="1"/>
  <c r="I2794" i="1" a="1"/>
  <c r="I2794" i="1" s="1"/>
  <c r="I2795" i="1" a="1"/>
  <c r="I2795" i="1" s="1"/>
  <c r="I2796" i="1" a="1"/>
  <c r="I2796" i="1" s="1"/>
  <c r="I2797" i="1" a="1"/>
  <c r="I2797" i="1" s="1"/>
  <c r="I2798" i="1" a="1"/>
  <c r="I2798" i="1" s="1"/>
  <c r="I2799" i="1" a="1"/>
  <c r="I2799" i="1" s="1"/>
  <c r="I2800" i="1" a="1"/>
  <c r="I2800" i="1" s="1"/>
  <c r="I2801" i="1" a="1"/>
  <c r="I2801" i="1" s="1"/>
  <c r="I2802" i="1" a="1"/>
  <c r="I2802" i="1" s="1"/>
  <c r="I2803" i="1" a="1"/>
  <c r="I2803" i="1" s="1"/>
  <c r="I2804" i="1" a="1"/>
  <c r="I2804" i="1" s="1"/>
  <c r="I2805" i="1" a="1"/>
  <c r="I2805" i="1" s="1"/>
  <c r="I2806" i="1" a="1"/>
  <c r="I2806" i="1" s="1"/>
  <c r="I2807" i="1" a="1"/>
  <c r="I2807" i="1" s="1"/>
  <c r="I2808" i="1" a="1"/>
  <c r="I2808" i="1" s="1"/>
  <c r="I2809" i="1" a="1"/>
  <c r="I2809" i="1" s="1"/>
  <c r="I2810" i="1" a="1"/>
  <c r="I2810" i="1" s="1"/>
  <c r="I2811" i="1" a="1"/>
  <c r="I2811" i="1" s="1"/>
  <c r="I2812" i="1" a="1"/>
  <c r="I2812" i="1" s="1"/>
  <c r="I2813" i="1" a="1"/>
  <c r="I2813" i="1" s="1"/>
  <c r="I2814" i="1" a="1"/>
  <c r="I2814" i="1" s="1"/>
  <c r="I2815" i="1" a="1"/>
  <c r="I2815" i="1" s="1"/>
  <c r="I2816" i="1" a="1"/>
  <c r="I2816" i="1" s="1"/>
  <c r="I2817" i="1" a="1"/>
  <c r="I2817" i="1" s="1"/>
  <c r="I2818" i="1" a="1"/>
  <c r="I2818" i="1" s="1"/>
  <c r="I2819" i="1" a="1"/>
  <c r="I2819" i="1" s="1"/>
  <c r="I2820" i="1" a="1"/>
  <c r="I2820" i="1" s="1"/>
  <c r="I2821" i="1" a="1"/>
  <c r="I2821" i="1" s="1"/>
  <c r="I2822" i="1" a="1"/>
  <c r="I2822" i="1" s="1"/>
  <c r="I2823" i="1" a="1"/>
  <c r="I2823" i="1" s="1"/>
  <c r="I2824" i="1" a="1"/>
  <c r="I2824" i="1" s="1"/>
  <c r="I2825" i="1" a="1"/>
  <c r="I2825" i="1" s="1"/>
  <c r="I2826" i="1" a="1"/>
  <c r="I2826" i="1" s="1"/>
  <c r="I2827" i="1" a="1"/>
  <c r="I2827" i="1" s="1"/>
  <c r="I2828" i="1" a="1"/>
  <c r="I2828" i="1" s="1"/>
  <c r="I2829" i="1" a="1"/>
  <c r="I2829" i="1" s="1"/>
  <c r="I2830" i="1" a="1"/>
  <c r="I2830" i="1" s="1"/>
  <c r="I2831" i="1" a="1"/>
  <c r="I2831" i="1" s="1"/>
  <c r="I2832" i="1" a="1"/>
  <c r="I2832" i="1" s="1"/>
  <c r="I2833" i="1" a="1"/>
  <c r="I2833" i="1" s="1"/>
  <c r="I2834" i="1" a="1"/>
  <c r="I2834" i="1" s="1"/>
  <c r="I2835" i="1" a="1"/>
  <c r="I2835" i="1" s="1"/>
  <c r="I2836" i="1" a="1"/>
  <c r="I2836" i="1" s="1"/>
  <c r="I2837" i="1" a="1"/>
  <c r="I2837" i="1" s="1"/>
  <c r="I2838" i="1" a="1"/>
  <c r="I2838" i="1" s="1"/>
  <c r="I2839" i="1" a="1"/>
  <c r="I2839" i="1" s="1"/>
  <c r="I2840" i="1" a="1"/>
  <c r="I2840" i="1" s="1"/>
  <c r="I2841" i="1" a="1"/>
  <c r="I2841" i="1" s="1"/>
  <c r="I2842" i="1" a="1"/>
  <c r="I2842" i="1" s="1"/>
  <c r="I2843" i="1" a="1"/>
  <c r="I2843" i="1" s="1"/>
  <c r="I2844" i="1" a="1"/>
  <c r="I2844" i="1" s="1"/>
  <c r="I2845" i="1" a="1"/>
  <c r="I2845" i="1" s="1"/>
  <c r="I2846" i="1" a="1"/>
  <c r="I2846" i="1" s="1"/>
  <c r="I2847" i="1" a="1"/>
  <c r="I2847" i="1" s="1"/>
  <c r="I2848" i="1" a="1"/>
  <c r="I2848" i="1" s="1"/>
  <c r="I2849" i="1" a="1"/>
  <c r="I2849" i="1" s="1"/>
  <c r="I2850" i="1" a="1"/>
  <c r="I2850" i="1" s="1"/>
  <c r="I2851" i="1" a="1"/>
  <c r="I2851" i="1" s="1"/>
  <c r="I2852" i="1" a="1"/>
  <c r="I2852" i="1" s="1"/>
  <c r="I2853" i="1" a="1"/>
  <c r="I2853" i="1" s="1"/>
  <c r="I2854" i="1" a="1"/>
  <c r="I2854" i="1" s="1"/>
  <c r="I2855" i="1" a="1"/>
  <c r="I2855" i="1" s="1"/>
  <c r="I2856" i="1" a="1"/>
  <c r="I2856" i="1" s="1"/>
  <c r="I2857" i="1" a="1"/>
  <c r="I2857" i="1" s="1"/>
  <c r="I2858" i="1" a="1"/>
  <c r="I2858" i="1" s="1"/>
  <c r="I2859" i="1" a="1"/>
  <c r="I2859" i="1" s="1"/>
  <c r="I2860" i="1" a="1"/>
  <c r="I2860" i="1" s="1"/>
  <c r="I2861" i="1" a="1"/>
  <c r="I2861" i="1" s="1"/>
  <c r="I2862" i="1" a="1"/>
  <c r="I2862" i="1" s="1"/>
  <c r="I2863" i="1" a="1"/>
  <c r="I2863" i="1" s="1"/>
  <c r="I2864" i="1" a="1"/>
  <c r="I2864" i="1" s="1"/>
  <c r="I2865" i="1" a="1"/>
  <c r="I2865" i="1" s="1"/>
  <c r="I2866" i="1" a="1"/>
  <c r="I2866" i="1" s="1"/>
  <c r="I2867" i="1" a="1"/>
  <c r="I2867" i="1" s="1"/>
  <c r="I2868" i="1" a="1"/>
  <c r="I2868" i="1" s="1"/>
  <c r="I2869" i="1" a="1"/>
  <c r="I2869" i="1" s="1"/>
  <c r="I2870" i="1" a="1"/>
  <c r="I2870" i="1" s="1"/>
  <c r="I2871" i="1" a="1"/>
  <c r="I2871" i="1" s="1"/>
  <c r="I2872" i="1" a="1"/>
  <c r="I2872" i="1" s="1"/>
  <c r="I2873" i="1" a="1"/>
  <c r="I2873" i="1" s="1"/>
  <c r="I2874" i="1" a="1"/>
  <c r="I2874" i="1" s="1"/>
  <c r="I2875" i="1" a="1"/>
  <c r="I2875" i="1" s="1"/>
  <c r="I2876" i="1" a="1"/>
  <c r="I2876" i="1" s="1"/>
  <c r="I2877" i="1" a="1"/>
  <c r="I2877" i="1" s="1"/>
  <c r="I2878" i="1" a="1"/>
  <c r="I2878" i="1" s="1"/>
  <c r="I2879" i="1" a="1"/>
  <c r="I2879" i="1" s="1"/>
  <c r="I2880" i="1" a="1"/>
  <c r="I2880" i="1" s="1"/>
  <c r="I2881" i="1" a="1"/>
  <c r="I2881" i="1" s="1"/>
  <c r="I2882" i="1" a="1"/>
  <c r="I2882" i="1" s="1"/>
  <c r="I2883" i="1" a="1"/>
  <c r="I2883" i="1" s="1"/>
  <c r="I2884" i="1" a="1"/>
  <c r="I2884" i="1" s="1"/>
  <c r="I2885" i="1" a="1"/>
  <c r="I2885" i="1" s="1"/>
  <c r="I2886" i="1" a="1"/>
  <c r="I2886" i="1" s="1"/>
  <c r="I2887" i="1" a="1"/>
  <c r="I2887" i="1" s="1"/>
  <c r="I2888" i="1" a="1"/>
  <c r="I2888" i="1" s="1"/>
  <c r="I2889" i="1" a="1"/>
  <c r="I2889" i="1" s="1"/>
  <c r="I2890" i="1" a="1"/>
  <c r="I2890" i="1" s="1"/>
  <c r="I2891" i="1" a="1"/>
  <c r="I2891" i="1" s="1"/>
  <c r="I2892" i="1" a="1"/>
  <c r="I2892" i="1" s="1"/>
  <c r="I2893" i="1" a="1"/>
  <c r="I2893" i="1" s="1"/>
  <c r="I2894" i="1" a="1"/>
  <c r="I2894" i="1" s="1"/>
  <c r="I2895" i="1" a="1"/>
  <c r="I2895" i="1" s="1"/>
  <c r="I2896" i="1" a="1"/>
  <c r="I2896" i="1" s="1"/>
  <c r="I2897" i="1" a="1"/>
  <c r="I2897" i="1" s="1"/>
  <c r="I2898" i="1" a="1"/>
  <c r="I2898" i="1" s="1"/>
  <c r="I2899" i="1" a="1"/>
  <c r="I2899" i="1" s="1"/>
  <c r="I2900" i="1" a="1"/>
  <c r="I2900" i="1" s="1"/>
  <c r="I2901" i="1" a="1"/>
  <c r="I2901" i="1" s="1"/>
  <c r="I2902" i="1" a="1"/>
  <c r="I2902" i="1" s="1"/>
  <c r="I2903" i="1" a="1"/>
  <c r="I2903" i="1" s="1"/>
  <c r="I2904" i="1" a="1"/>
  <c r="I2904" i="1" s="1"/>
  <c r="I2905" i="1" a="1"/>
  <c r="I2905" i="1" s="1"/>
  <c r="I2906" i="1" a="1"/>
  <c r="I2906" i="1" s="1"/>
  <c r="I2907" i="1" a="1"/>
  <c r="I2907" i="1" s="1"/>
  <c r="I2908" i="1" a="1"/>
  <c r="I2908" i="1" s="1"/>
  <c r="I2909" i="1" a="1"/>
  <c r="I2909" i="1" s="1"/>
  <c r="I2910" i="1" a="1"/>
  <c r="I2910" i="1" s="1"/>
  <c r="I2911" i="1" a="1"/>
  <c r="I2911" i="1" s="1"/>
  <c r="I2912" i="1" a="1"/>
  <c r="I2912" i="1" s="1"/>
  <c r="I2913" i="1" a="1"/>
  <c r="I2913" i="1" s="1"/>
  <c r="I2914" i="1" a="1"/>
  <c r="I2914" i="1" s="1"/>
  <c r="I2915" i="1" a="1"/>
  <c r="I2915" i="1" s="1"/>
  <c r="I2916" i="1" a="1"/>
  <c r="I2916" i="1" s="1"/>
  <c r="I2917" i="1" a="1"/>
  <c r="I2917" i="1" s="1"/>
  <c r="I2918" i="1" a="1"/>
  <c r="I2918" i="1" s="1"/>
  <c r="I2919" i="1" a="1"/>
  <c r="I2919" i="1" s="1"/>
  <c r="I2920" i="1" a="1"/>
  <c r="I2920" i="1" s="1"/>
  <c r="I2921" i="1" a="1"/>
  <c r="I2921" i="1" s="1"/>
  <c r="I2922" i="1" a="1"/>
  <c r="I2922" i="1" s="1"/>
  <c r="I2923" i="1" a="1"/>
  <c r="I2923" i="1" s="1"/>
  <c r="I2924" i="1" a="1"/>
  <c r="I2924" i="1" s="1"/>
  <c r="I2925" i="1" a="1"/>
  <c r="I2925" i="1" s="1"/>
  <c r="I2926" i="1" a="1"/>
  <c r="I2926" i="1" s="1"/>
  <c r="I2927" i="1" a="1"/>
  <c r="I2927" i="1" s="1"/>
  <c r="I2928" i="1" a="1"/>
  <c r="I2928" i="1" s="1"/>
  <c r="I2929" i="1" a="1"/>
  <c r="I2929" i="1" s="1"/>
  <c r="I2930" i="1" a="1"/>
  <c r="I2930" i="1" s="1"/>
  <c r="I2931" i="1" a="1"/>
  <c r="I2931" i="1" s="1"/>
  <c r="I2932" i="1" a="1"/>
  <c r="I2932" i="1" s="1"/>
  <c r="I2933" i="1" a="1"/>
  <c r="I2933" i="1" s="1"/>
  <c r="I2934" i="1" a="1"/>
  <c r="I2934" i="1" s="1"/>
  <c r="I2935" i="1" a="1"/>
  <c r="I2935" i="1" s="1"/>
  <c r="I2936" i="1" a="1"/>
  <c r="I2936" i="1" s="1"/>
  <c r="I2937" i="1" a="1"/>
  <c r="I2937" i="1" s="1"/>
  <c r="I2938" i="1" a="1"/>
  <c r="I2938" i="1" s="1"/>
  <c r="I2939" i="1" a="1"/>
  <c r="I2939" i="1" s="1"/>
  <c r="I2940" i="1" a="1"/>
  <c r="I2940" i="1" s="1"/>
  <c r="I2941" i="1" a="1"/>
  <c r="I2941" i="1" s="1"/>
  <c r="I2942" i="1" a="1"/>
  <c r="I2942" i="1" s="1"/>
  <c r="I2943" i="1" a="1"/>
  <c r="I2943" i="1" s="1"/>
  <c r="I2944" i="1" a="1"/>
  <c r="I2944" i="1" s="1"/>
  <c r="I2945" i="1" a="1"/>
  <c r="I2945" i="1" s="1"/>
  <c r="I2946" i="1" a="1"/>
  <c r="I2946" i="1" s="1"/>
  <c r="I2947" i="1" a="1"/>
  <c r="I2947" i="1" s="1"/>
  <c r="I2948" i="1" a="1"/>
  <c r="I2948" i="1" s="1"/>
  <c r="I2949" i="1" a="1"/>
  <c r="I2949" i="1" s="1"/>
  <c r="I2950" i="1" a="1"/>
  <c r="I2950" i="1" s="1"/>
  <c r="I2951" i="1" a="1"/>
  <c r="I2951" i="1" s="1"/>
  <c r="I2952" i="1" a="1"/>
  <c r="I2952" i="1" s="1"/>
  <c r="I2953" i="1" a="1"/>
  <c r="I2953" i="1" s="1"/>
  <c r="I2954" i="1" a="1"/>
  <c r="I2954" i="1" s="1"/>
  <c r="I2955" i="1" a="1"/>
  <c r="I2955" i="1" s="1"/>
  <c r="I2956" i="1" a="1"/>
  <c r="I2956" i="1" s="1"/>
  <c r="I2957" i="1" a="1"/>
  <c r="I2957" i="1" s="1"/>
  <c r="I2958" i="1" a="1"/>
  <c r="I2958" i="1" s="1"/>
  <c r="I2959" i="1" a="1"/>
  <c r="I2959" i="1" s="1"/>
  <c r="I2960" i="1" a="1"/>
  <c r="I2960" i="1" s="1"/>
  <c r="I2961" i="1" a="1"/>
  <c r="I2961" i="1" s="1"/>
  <c r="I2962" i="1" a="1"/>
  <c r="I2962" i="1" s="1"/>
  <c r="I2963" i="1" a="1"/>
  <c r="I2963" i="1" s="1"/>
  <c r="I2964" i="1" a="1"/>
  <c r="I2964" i="1" s="1"/>
  <c r="I2965" i="1" a="1"/>
  <c r="I2965" i="1" s="1"/>
  <c r="I2966" i="1" a="1"/>
  <c r="I2966" i="1" s="1"/>
  <c r="I2967" i="1" a="1"/>
  <c r="I2967" i="1" s="1"/>
  <c r="I2968" i="1" a="1"/>
  <c r="I2968" i="1" s="1"/>
  <c r="I2969" i="1" a="1"/>
  <c r="I2969" i="1" s="1"/>
  <c r="I2970" i="1" a="1"/>
  <c r="I2970" i="1" s="1"/>
  <c r="I2971" i="1" a="1"/>
  <c r="I2971" i="1" s="1"/>
  <c r="I2972" i="1" a="1"/>
  <c r="I2972" i="1" s="1"/>
  <c r="I2973" i="1" a="1"/>
  <c r="I2973" i="1" s="1"/>
  <c r="I2974" i="1" a="1"/>
  <c r="I2974" i="1" s="1"/>
  <c r="I2975" i="1" a="1"/>
  <c r="I2975" i="1" s="1"/>
  <c r="I2976" i="1" a="1"/>
  <c r="I2976" i="1" s="1"/>
  <c r="I2977" i="1" a="1"/>
  <c r="I2977" i="1" s="1"/>
  <c r="I2978" i="1" a="1"/>
  <c r="I2978" i="1" s="1"/>
  <c r="I2979" i="1" a="1"/>
  <c r="I2979" i="1" s="1"/>
  <c r="I2980" i="1" a="1"/>
  <c r="I2980" i="1" s="1"/>
  <c r="I2981" i="1" a="1"/>
  <c r="I2981" i="1" s="1"/>
  <c r="I2982" i="1" a="1"/>
  <c r="I2982" i="1" s="1"/>
  <c r="I2983" i="1" a="1"/>
  <c r="I2983" i="1" s="1"/>
  <c r="I2984" i="1" a="1"/>
  <c r="I2984" i="1" s="1"/>
  <c r="I2985" i="1" a="1"/>
  <c r="I2985" i="1" s="1"/>
  <c r="I2986" i="1" a="1"/>
  <c r="I2986" i="1" s="1"/>
  <c r="I2987" i="1" a="1"/>
  <c r="I2987" i="1" s="1"/>
  <c r="I2988" i="1" a="1"/>
  <c r="I2988" i="1" s="1"/>
  <c r="I2989" i="1" a="1"/>
  <c r="I2989" i="1" s="1"/>
  <c r="I2990" i="1" a="1"/>
  <c r="I2990" i="1" s="1"/>
  <c r="I2991" i="1" a="1"/>
  <c r="I2991" i="1" s="1"/>
  <c r="I2992" i="1" a="1"/>
  <c r="I2992" i="1" s="1"/>
  <c r="I2993" i="1" a="1"/>
  <c r="I2993" i="1" s="1"/>
  <c r="I2994" i="1" a="1"/>
  <c r="I2994" i="1" s="1"/>
  <c r="I2995" i="1" a="1"/>
  <c r="I2995" i="1" s="1"/>
  <c r="I2996" i="1" a="1"/>
  <c r="I2996" i="1" s="1"/>
  <c r="I2997" i="1" a="1"/>
  <c r="I2997" i="1" s="1"/>
  <c r="I2998" i="1" a="1"/>
  <c r="I2998" i="1" s="1"/>
  <c r="I2999" i="1" a="1"/>
  <c r="I2999" i="1" s="1"/>
  <c r="I3000" i="1" a="1"/>
  <c r="I3000" i="1" s="1"/>
  <c r="I3001" i="1" a="1"/>
  <c r="I3001" i="1" s="1"/>
  <c r="I3002" i="1" a="1"/>
  <c r="I3002" i="1" s="1"/>
  <c r="I3003" i="1" a="1"/>
  <c r="I3003" i="1" s="1"/>
  <c r="I3004" i="1" a="1"/>
  <c r="I3004" i="1" s="1"/>
  <c r="I3005" i="1" a="1"/>
  <c r="I3005" i="1" s="1"/>
  <c r="I3006" i="1" a="1"/>
  <c r="I3006" i="1" s="1"/>
  <c r="I3007" i="1" a="1"/>
  <c r="I3007" i="1" s="1"/>
  <c r="I3008" i="1" a="1"/>
  <c r="I3008" i="1" s="1"/>
  <c r="I3009" i="1" a="1"/>
  <c r="I3009" i="1" s="1"/>
  <c r="I3010" i="1" a="1"/>
  <c r="I3010" i="1" s="1"/>
  <c r="I3011" i="1" a="1"/>
  <c r="I3011" i="1" s="1"/>
  <c r="I3012" i="1" a="1"/>
  <c r="I3012" i="1" s="1"/>
  <c r="I3013" i="1" a="1"/>
  <c r="I3013" i="1" s="1"/>
  <c r="I3014" i="1" a="1"/>
  <c r="I3014" i="1" s="1"/>
  <c r="I3015" i="1" a="1"/>
  <c r="I3015" i="1" s="1"/>
  <c r="I3016" i="1" a="1"/>
  <c r="I3016" i="1" s="1"/>
  <c r="I3017" i="1" a="1"/>
  <c r="I3017" i="1" s="1"/>
  <c r="I3018" i="1" a="1"/>
  <c r="I3018" i="1" s="1"/>
  <c r="I3019" i="1" a="1"/>
  <c r="I3019" i="1" s="1"/>
  <c r="I3020" i="1" a="1"/>
  <c r="I3020" i="1" s="1"/>
  <c r="I3021" i="1" a="1"/>
  <c r="I3021" i="1" s="1"/>
  <c r="I3022" i="1" a="1"/>
  <c r="I3022" i="1" s="1"/>
  <c r="I3023" i="1" a="1"/>
  <c r="I3023" i="1" s="1"/>
  <c r="I3024" i="1" a="1"/>
  <c r="I3024" i="1" s="1"/>
  <c r="I3025" i="1" a="1"/>
  <c r="I3025" i="1" s="1"/>
  <c r="I3026" i="1" a="1"/>
  <c r="I3026" i="1" s="1"/>
  <c r="I3027" i="1" a="1"/>
  <c r="I3027" i="1" s="1"/>
  <c r="I3028" i="1" a="1"/>
  <c r="I3028" i="1" s="1"/>
  <c r="I3029" i="1" a="1"/>
  <c r="I3029" i="1" s="1"/>
  <c r="I3030" i="1" a="1"/>
  <c r="I3030" i="1" s="1"/>
  <c r="I3031" i="1" a="1"/>
  <c r="I3031" i="1" s="1"/>
  <c r="I3032" i="1" a="1"/>
  <c r="I3032" i="1" s="1"/>
  <c r="I3033" i="1" a="1"/>
  <c r="I3033" i="1" s="1"/>
  <c r="I3034" i="1" a="1"/>
  <c r="I3034" i="1" s="1"/>
  <c r="I3035" i="1" a="1"/>
  <c r="I3035" i="1" s="1"/>
  <c r="I3036" i="1" a="1"/>
  <c r="I3036" i="1" s="1"/>
  <c r="I3037" i="1" a="1"/>
  <c r="I3037" i="1" s="1"/>
  <c r="I3038" i="1" a="1"/>
  <c r="I3038" i="1" s="1"/>
  <c r="I3039" i="1" a="1"/>
  <c r="I3039" i="1" s="1"/>
  <c r="I3040" i="1" a="1"/>
  <c r="I3040" i="1" s="1"/>
  <c r="I3041" i="1" a="1"/>
  <c r="I3041" i="1" s="1"/>
  <c r="I3042" i="1" a="1"/>
  <c r="I3042" i="1" s="1"/>
  <c r="I3043" i="1" a="1"/>
  <c r="I3043" i="1" s="1"/>
  <c r="I3044" i="1" a="1"/>
  <c r="I3044" i="1" s="1"/>
  <c r="I3045" i="1" a="1"/>
  <c r="I3045" i="1" s="1"/>
  <c r="I3046" i="1" a="1"/>
  <c r="I3046" i="1" s="1"/>
  <c r="I3047" i="1" a="1"/>
  <c r="I3047" i="1" s="1"/>
  <c r="I3048" i="1" a="1"/>
  <c r="I3048" i="1" s="1"/>
  <c r="I3049" i="1" a="1"/>
  <c r="I3049" i="1" s="1"/>
  <c r="I3050" i="1" a="1"/>
  <c r="I3050" i="1" s="1"/>
  <c r="I3051" i="1" a="1"/>
  <c r="I3051" i="1" s="1"/>
  <c r="I3052" i="1" a="1"/>
  <c r="I3052" i="1" s="1"/>
  <c r="I3053" i="1" a="1"/>
  <c r="I3053" i="1" s="1"/>
  <c r="I3054" i="1" a="1"/>
  <c r="I3054" i="1" s="1"/>
  <c r="I3055" i="1" a="1"/>
  <c r="I3055" i="1" s="1"/>
  <c r="I3056" i="1" a="1"/>
  <c r="I3056" i="1" s="1"/>
  <c r="I3057" i="1" a="1"/>
  <c r="I3057" i="1" s="1"/>
  <c r="I3058" i="1" a="1"/>
  <c r="I3058" i="1" s="1"/>
  <c r="I3059" i="1" a="1"/>
  <c r="I3059" i="1" s="1"/>
  <c r="I3060" i="1" a="1"/>
  <c r="I3060" i="1" s="1"/>
  <c r="I3061" i="1" a="1"/>
  <c r="I3061" i="1" s="1"/>
  <c r="I3062" i="1" a="1"/>
  <c r="I3062" i="1" s="1"/>
  <c r="I3063" i="1" a="1"/>
  <c r="I3063" i="1" s="1"/>
  <c r="I3064" i="1" a="1"/>
  <c r="I3064" i="1" s="1"/>
  <c r="I3065" i="1" a="1"/>
  <c r="I3065" i="1" s="1"/>
  <c r="I3066" i="1" a="1"/>
  <c r="I3066" i="1" s="1"/>
  <c r="I3067" i="1" a="1"/>
  <c r="I3067" i="1" s="1"/>
  <c r="I3068" i="1" a="1"/>
  <c r="I3068" i="1" s="1"/>
  <c r="I3069" i="1" a="1"/>
  <c r="I3069" i="1" s="1"/>
  <c r="I3070" i="1" a="1"/>
  <c r="I3070" i="1" s="1"/>
  <c r="I3071" i="1" a="1"/>
  <c r="I3071" i="1" s="1"/>
  <c r="I3072" i="1" a="1"/>
  <c r="I3072" i="1" s="1"/>
  <c r="I3073" i="1" a="1"/>
  <c r="I3073" i="1" s="1"/>
  <c r="I3074" i="1" a="1"/>
  <c r="I3074" i="1" s="1"/>
  <c r="I3075" i="1" a="1"/>
  <c r="I3075" i="1" s="1"/>
  <c r="I3076" i="1" a="1"/>
  <c r="I3076" i="1" s="1"/>
  <c r="I3077" i="1" a="1"/>
  <c r="I3077" i="1" s="1"/>
  <c r="I3078" i="1" a="1"/>
  <c r="I3078" i="1" s="1"/>
  <c r="I3079" i="1" a="1"/>
  <c r="I3079" i="1" s="1"/>
  <c r="I3080" i="1" a="1"/>
  <c r="I3080" i="1" s="1"/>
  <c r="I3081" i="1" a="1"/>
  <c r="I3081" i="1" s="1"/>
  <c r="I3082" i="1" a="1"/>
  <c r="I3082" i="1" s="1"/>
  <c r="I3083" i="1" a="1"/>
  <c r="I3083" i="1" s="1"/>
  <c r="I3084" i="1" a="1"/>
  <c r="I3084" i="1" s="1"/>
  <c r="I3085" i="1" a="1"/>
  <c r="I3085" i="1" s="1"/>
  <c r="I3086" i="1" a="1"/>
  <c r="I3086" i="1" s="1"/>
  <c r="I3087" i="1" a="1"/>
  <c r="I3087" i="1" s="1"/>
  <c r="I3088" i="1" a="1"/>
  <c r="I3088" i="1" s="1"/>
  <c r="I3089" i="1" a="1"/>
  <c r="I3089" i="1" s="1"/>
  <c r="I3090" i="1" a="1"/>
  <c r="I3090" i="1" s="1"/>
  <c r="I3091" i="1" a="1"/>
  <c r="I3091" i="1" s="1"/>
  <c r="I3092" i="1" a="1"/>
  <c r="I3092" i="1" s="1"/>
  <c r="I3093" i="1" a="1"/>
  <c r="I3093" i="1" s="1"/>
  <c r="I3094" i="1" a="1"/>
  <c r="I3094" i="1" s="1"/>
  <c r="I3095" i="1" a="1"/>
  <c r="I3095" i="1" s="1"/>
  <c r="I3096" i="1" a="1"/>
  <c r="I3096" i="1" s="1"/>
  <c r="I3097" i="1" a="1"/>
  <c r="I3097" i="1" s="1"/>
  <c r="I3098" i="1" a="1"/>
  <c r="I3098" i="1" s="1"/>
  <c r="I3099" i="1" a="1"/>
  <c r="I3099" i="1" s="1"/>
  <c r="I3100" i="1" a="1"/>
  <c r="I3100" i="1" s="1"/>
  <c r="I3101" i="1" a="1"/>
  <c r="I3101" i="1" s="1"/>
  <c r="I3102" i="1" a="1"/>
  <c r="I3102" i="1" s="1"/>
  <c r="I3103" i="1" a="1"/>
  <c r="I3103" i="1" s="1"/>
  <c r="I3104" i="1" a="1"/>
  <c r="I3104" i="1" s="1"/>
  <c r="I3105" i="1" a="1"/>
  <c r="I3105" i="1" s="1"/>
  <c r="I3106" i="1" a="1"/>
  <c r="I3106" i="1" s="1"/>
  <c r="I3107" i="1" a="1"/>
  <c r="I3107" i="1" s="1"/>
  <c r="I3108" i="1" a="1"/>
  <c r="I3108" i="1" s="1"/>
  <c r="I3109" i="1" a="1"/>
  <c r="I3109" i="1" s="1"/>
  <c r="I3110" i="1" a="1"/>
  <c r="I3110" i="1" s="1"/>
  <c r="I3111" i="1" a="1"/>
  <c r="I3111" i="1" s="1"/>
  <c r="I3112" i="1" a="1"/>
  <c r="I3112" i="1" s="1"/>
  <c r="I3113" i="1" a="1"/>
  <c r="I3113" i="1" s="1"/>
  <c r="I3114" i="1" a="1"/>
  <c r="I3114" i="1" s="1"/>
  <c r="I3115" i="1" a="1"/>
  <c r="I3115" i="1" s="1"/>
  <c r="I3116" i="1" a="1"/>
  <c r="I3116" i="1" s="1"/>
  <c r="I3117" i="1" a="1"/>
  <c r="I3117" i="1" s="1"/>
  <c r="I3118" i="1" a="1"/>
  <c r="I3118" i="1" s="1"/>
  <c r="I3119" i="1" a="1"/>
  <c r="I3119" i="1" s="1"/>
  <c r="I3120" i="1" a="1"/>
  <c r="I3120" i="1" s="1"/>
  <c r="I3121" i="1" a="1"/>
  <c r="I3121" i="1" s="1"/>
  <c r="I3122" i="1" a="1"/>
  <c r="I3122" i="1" s="1"/>
  <c r="I3123" i="1" a="1"/>
  <c r="I3123" i="1" s="1"/>
  <c r="I3124" i="1" a="1"/>
  <c r="I3124" i="1" s="1"/>
  <c r="I3125" i="1" a="1"/>
  <c r="I3125" i="1" s="1"/>
  <c r="I3126" i="1" a="1"/>
  <c r="I3126" i="1" s="1"/>
  <c r="I3127" i="1" a="1"/>
  <c r="I3127" i="1" s="1"/>
  <c r="I3128" i="1" a="1"/>
  <c r="I3128" i="1" s="1"/>
  <c r="I3129" i="1" a="1"/>
  <c r="I3129" i="1" s="1"/>
  <c r="I3130" i="1" a="1"/>
  <c r="I3130" i="1" s="1"/>
  <c r="I3131" i="1" a="1"/>
  <c r="I3131" i="1" s="1"/>
  <c r="I3132" i="1" a="1"/>
  <c r="I3132" i="1" s="1"/>
  <c r="I3133" i="1" a="1"/>
  <c r="I3133" i="1" s="1"/>
  <c r="I3134" i="1" a="1"/>
  <c r="I3134" i="1" s="1"/>
  <c r="I3135" i="1" a="1"/>
  <c r="I3135" i="1" s="1"/>
  <c r="I3136" i="1" a="1"/>
  <c r="I3136" i="1" s="1"/>
  <c r="I3137" i="1" a="1"/>
  <c r="I3137" i="1" s="1"/>
  <c r="I3138" i="1" a="1"/>
  <c r="I3138" i="1" s="1"/>
  <c r="I3139" i="1" a="1"/>
  <c r="I3139" i="1" s="1"/>
  <c r="I3140" i="1" a="1"/>
  <c r="I3140" i="1" s="1"/>
  <c r="I3141" i="1" a="1"/>
  <c r="I3141" i="1" s="1"/>
  <c r="I3142" i="1" a="1"/>
  <c r="I3142" i="1" s="1"/>
  <c r="I3143" i="1" a="1"/>
  <c r="I3143" i="1" s="1"/>
  <c r="I3144" i="1" a="1"/>
  <c r="I3144" i="1" s="1"/>
  <c r="I3145" i="1" a="1"/>
  <c r="I3145" i="1" s="1"/>
  <c r="I3146" i="1" a="1"/>
  <c r="I3146" i="1" s="1"/>
  <c r="I3147" i="1" a="1"/>
  <c r="I3147" i="1" s="1"/>
  <c r="I3148" i="1" a="1"/>
  <c r="I3148" i="1" s="1"/>
  <c r="I3149" i="1" a="1"/>
  <c r="I3149" i="1" s="1"/>
  <c r="I3150" i="1" a="1"/>
  <c r="I3150" i="1" s="1"/>
  <c r="I3151" i="1" a="1"/>
  <c r="I3151" i="1" s="1"/>
  <c r="I3152" i="1" a="1"/>
  <c r="I3152" i="1" s="1"/>
  <c r="I3153" i="1" a="1"/>
  <c r="I3153" i="1" s="1"/>
  <c r="I3154" i="1" a="1"/>
  <c r="I3154" i="1" s="1"/>
  <c r="I3155" i="1" a="1"/>
  <c r="I3155" i="1" s="1"/>
  <c r="I3156" i="1" a="1"/>
  <c r="I3156" i="1" s="1"/>
  <c r="I3157" i="1" a="1"/>
  <c r="I3157" i="1" s="1"/>
  <c r="I3158" i="1" a="1"/>
  <c r="I3158" i="1" s="1"/>
  <c r="I3159" i="1" a="1"/>
  <c r="I3159" i="1" s="1"/>
  <c r="I3160" i="1" a="1"/>
  <c r="I3160" i="1" s="1"/>
  <c r="I3161" i="1" a="1"/>
  <c r="I3161" i="1" s="1"/>
  <c r="I3162" i="1" a="1"/>
  <c r="I3162" i="1" s="1"/>
  <c r="I3163" i="1" a="1"/>
  <c r="I3163" i="1" s="1"/>
  <c r="I3164" i="1" a="1"/>
  <c r="I3164" i="1" s="1"/>
  <c r="I3165" i="1" a="1"/>
  <c r="I3165" i="1" s="1"/>
  <c r="I3166" i="1" a="1"/>
  <c r="I3166" i="1" s="1"/>
  <c r="I3167" i="1" a="1"/>
  <c r="I3167" i="1" s="1"/>
  <c r="I3168" i="1" a="1"/>
  <c r="I3168" i="1" s="1"/>
  <c r="I3169" i="1" a="1"/>
  <c r="I3169" i="1" s="1"/>
  <c r="I3170" i="1" a="1"/>
  <c r="I3170" i="1" s="1"/>
  <c r="I3171" i="1" a="1"/>
  <c r="I3171" i="1" s="1"/>
  <c r="I3172" i="1" a="1"/>
  <c r="I3172" i="1" s="1"/>
  <c r="I3173" i="1" a="1"/>
  <c r="I3173" i="1" s="1"/>
  <c r="I3174" i="1" a="1"/>
  <c r="I3174" i="1" s="1"/>
  <c r="I3175" i="1" a="1"/>
  <c r="I3175" i="1" s="1"/>
  <c r="I3176" i="1" a="1"/>
  <c r="I3176" i="1" s="1"/>
  <c r="I3177" i="1" a="1"/>
  <c r="I3177" i="1" s="1"/>
  <c r="I3178" i="1" a="1"/>
  <c r="I3178" i="1" s="1"/>
  <c r="I3179" i="1" a="1"/>
  <c r="I3179" i="1" s="1"/>
  <c r="I3180" i="1" a="1"/>
  <c r="I3180" i="1" s="1"/>
  <c r="I3181" i="1" a="1"/>
  <c r="I3181" i="1" s="1"/>
  <c r="I3182" i="1" a="1"/>
  <c r="I3182" i="1" s="1"/>
  <c r="I3183" i="1" a="1"/>
  <c r="I3183" i="1" s="1"/>
  <c r="I3184" i="1" a="1"/>
  <c r="I3184" i="1" s="1"/>
  <c r="I3185" i="1" a="1"/>
  <c r="I3185" i="1" s="1"/>
  <c r="I3186" i="1" a="1"/>
  <c r="I3186" i="1" s="1"/>
  <c r="I3187" i="1" a="1"/>
  <c r="I3187" i="1" s="1"/>
  <c r="I3188" i="1" a="1"/>
  <c r="I3188" i="1" s="1"/>
  <c r="I3189" i="1" a="1"/>
  <c r="I3189" i="1" s="1"/>
  <c r="I3190" i="1" a="1"/>
  <c r="I3190" i="1" s="1"/>
  <c r="I3191" i="1" a="1"/>
  <c r="I3191" i="1" s="1"/>
  <c r="I3192" i="1" a="1"/>
  <c r="I3192" i="1" s="1"/>
  <c r="I3193" i="1" a="1"/>
  <c r="I3193" i="1" s="1"/>
  <c r="I3194" i="1" a="1"/>
  <c r="I3194" i="1" s="1"/>
  <c r="I3195" i="1" a="1"/>
  <c r="I3195" i="1" s="1"/>
  <c r="I3196" i="1" a="1"/>
  <c r="I3196" i="1" s="1"/>
  <c r="I3197" i="1" a="1"/>
  <c r="I3197" i="1" s="1"/>
  <c r="I3198" i="1" a="1"/>
  <c r="I3198" i="1" s="1"/>
  <c r="I3199" i="1" a="1"/>
  <c r="I3199" i="1" s="1"/>
  <c r="I3200" i="1" a="1"/>
  <c r="I3200" i="1" s="1"/>
  <c r="I3201" i="1" a="1"/>
  <c r="I3201" i="1" s="1"/>
  <c r="I3202" i="1" a="1"/>
  <c r="I3202" i="1" s="1"/>
  <c r="I3203" i="1" a="1"/>
  <c r="I3203" i="1" s="1"/>
  <c r="I3204" i="1" a="1"/>
  <c r="I3204" i="1" s="1"/>
  <c r="I3205" i="1" a="1"/>
  <c r="I3205" i="1" s="1"/>
  <c r="I3206" i="1" a="1"/>
  <c r="I3206" i="1" s="1"/>
  <c r="I3207" i="1" a="1"/>
  <c r="I3207" i="1" s="1"/>
  <c r="I3208" i="1" a="1"/>
  <c r="I3208" i="1" s="1"/>
  <c r="I3209" i="1" a="1"/>
  <c r="I3209" i="1" s="1"/>
  <c r="I3210" i="1" a="1"/>
  <c r="I3210" i="1" s="1"/>
  <c r="I3211" i="1" a="1"/>
  <c r="I3211" i="1" s="1"/>
  <c r="I3212" i="1" a="1"/>
  <c r="I3212" i="1" s="1"/>
  <c r="I3213" i="1" a="1"/>
  <c r="I3213" i="1" s="1"/>
  <c r="I3214" i="1" a="1"/>
  <c r="I3214" i="1" s="1"/>
  <c r="I3215" i="1" a="1"/>
  <c r="I3215" i="1" s="1"/>
  <c r="I3216" i="1" a="1"/>
  <c r="I3216" i="1" s="1"/>
  <c r="I3217" i="1" a="1"/>
  <c r="I3217" i="1" s="1"/>
  <c r="I3218" i="1" a="1"/>
  <c r="I3218" i="1" s="1"/>
  <c r="I3219" i="1" a="1"/>
  <c r="I3219" i="1" s="1"/>
  <c r="I3220" i="1" a="1"/>
  <c r="I3220" i="1" s="1"/>
  <c r="I3221" i="1" a="1"/>
  <c r="I3221" i="1" s="1"/>
  <c r="I3222" i="1" a="1"/>
  <c r="I3222" i="1" s="1"/>
  <c r="I3223" i="1" a="1"/>
  <c r="I3223" i="1" s="1"/>
  <c r="I3224" i="1" a="1"/>
  <c r="I3224" i="1" s="1"/>
  <c r="I3225" i="1" a="1"/>
  <c r="I3225" i="1" s="1"/>
  <c r="I3226" i="1" a="1"/>
  <c r="I3226" i="1" s="1"/>
  <c r="I3227" i="1" a="1"/>
  <c r="I3227" i="1" s="1"/>
  <c r="I3228" i="1" a="1"/>
  <c r="I3228" i="1" s="1"/>
  <c r="I3229" i="1" a="1"/>
  <c r="I3229" i="1" s="1"/>
  <c r="I3230" i="1" a="1"/>
  <c r="I3230" i="1" s="1"/>
  <c r="I3231" i="1" a="1"/>
  <c r="I3231" i="1" s="1"/>
  <c r="I3232" i="1" a="1"/>
  <c r="I3232" i="1" s="1"/>
  <c r="I3233" i="1" a="1"/>
  <c r="I3233" i="1" s="1"/>
  <c r="I3234" i="1" a="1"/>
  <c r="I3234" i="1" s="1"/>
  <c r="I3235" i="1" a="1"/>
  <c r="I3235" i="1" s="1"/>
  <c r="I3236" i="1" a="1"/>
  <c r="I3236" i="1" s="1"/>
  <c r="I3237" i="1" a="1"/>
  <c r="I3237" i="1" s="1"/>
  <c r="I3238" i="1" a="1"/>
  <c r="I3238" i="1" s="1"/>
  <c r="I3239" i="1" a="1"/>
  <c r="I3239" i="1" s="1"/>
  <c r="I3240" i="1" a="1"/>
  <c r="I3240" i="1" s="1"/>
  <c r="I3241" i="1" a="1"/>
  <c r="I3241" i="1" s="1"/>
  <c r="I3242" i="1" a="1"/>
  <c r="I3242" i="1" s="1"/>
  <c r="I3243" i="1" a="1"/>
  <c r="I3243" i="1" s="1"/>
  <c r="I3244" i="1" a="1"/>
  <c r="I3244" i="1" s="1"/>
  <c r="I3245" i="1" a="1"/>
  <c r="I3245" i="1" s="1"/>
  <c r="I3246" i="1" a="1"/>
  <c r="I3246" i="1" s="1"/>
  <c r="I3247" i="1" a="1"/>
  <c r="I3247" i="1" s="1"/>
  <c r="I3248" i="1" a="1"/>
  <c r="I3248" i="1" s="1"/>
  <c r="I3249" i="1" a="1"/>
  <c r="I3249" i="1" s="1"/>
  <c r="I3250" i="1" a="1"/>
  <c r="I3250" i="1" s="1"/>
  <c r="I3251" i="1" a="1"/>
  <c r="I3251" i="1" s="1"/>
  <c r="I3252" i="1" a="1"/>
  <c r="I3252" i="1" s="1"/>
  <c r="I3253" i="1" a="1"/>
  <c r="I3253" i="1" s="1"/>
  <c r="I3254" i="1" a="1"/>
  <c r="I3254" i="1" s="1"/>
  <c r="I3255" i="1" a="1"/>
  <c r="I3255" i="1" s="1"/>
  <c r="I3256" i="1" a="1"/>
  <c r="I3256" i="1" s="1"/>
  <c r="I3257" i="1" a="1"/>
  <c r="I3257" i="1" s="1"/>
  <c r="I3258" i="1" a="1"/>
  <c r="I3258" i="1" s="1"/>
  <c r="I3259" i="1" a="1"/>
  <c r="I3259" i="1" s="1"/>
  <c r="I3260" i="1" a="1"/>
  <c r="I3260" i="1" s="1"/>
  <c r="I3261" i="1" a="1"/>
  <c r="I3261" i="1" s="1"/>
  <c r="I3262" i="1" a="1"/>
  <c r="I3262" i="1" s="1"/>
  <c r="I3263" i="1" a="1"/>
  <c r="I3263" i="1" s="1"/>
  <c r="I3264" i="1" a="1"/>
  <c r="I3264" i="1" s="1"/>
  <c r="I3265" i="1" a="1"/>
  <c r="I3265" i="1" s="1"/>
  <c r="I3266" i="1" a="1"/>
  <c r="I3266" i="1" s="1"/>
  <c r="I3267" i="1" a="1"/>
  <c r="I3267" i="1" s="1"/>
  <c r="I3268" i="1" a="1"/>
  <c r="I3268" i="1" s="1"/>
  <c r="I3269" i="1" a="1"/>
  <c r="I3269" i="1" s="1"/>
  <c r="I3270" i="1" a="1"/>
  <c r="I3270" i="1" s="1"/>
  <c r="I3271" i="1" a="1"/>
  <c r="I3271" i="1" s="1"/>
  <c r="I3272" i="1" a="1"/>
  <c r="I3272" i="1" s="1"/>
  <c r="I3273" i="1" a="1"/>
  <c r="I3273" i="1" s="1"/>
  <c r="I3274" i="1" a="1"/>
  <c r="I3274" i="1" s="1"/>
  <c r="I3275" i="1" a="1"/>
  <c r="I3275" i="1" s="1"/>
  <c r="I3276" i="1" a="1"/>
  <c r="I3276" i="1" s="1"/>
  <c r="I3277" i="1" a="1"/>
  <c r="I3277" i="1" s="1"/>
  <c r="I3278" i="1" a="1"/>
  <c r="I3278" i="1" s="1"/>
  <c r="I3279" i="1" a="1"/>
  <c r="I3279" i="1" s="1"/>
  <c r="I3280" i="1" a="1"/>
  <c r="I3280" i="1" s="1"/>
  <c r="I3281" i="1" a="1"/>
  <c r="I3281" i="1" s="1"/>
  <c r="I3282" i="1" a="1"/>
  <c r="I3282" i="1" s="1"/>
  <c r="I3283" i="1" a="1"/>
  <c r="I3283" i="1" s="1"/>
  <c r="I3284" i="1" a="1"/>
  <c r="I3284" i="1" s="1"/>
  <c r="I3285" i="1" a="1"/>
  <c r="I3285" i="1" s="1"/>
  <c r="I3286" i="1" a="1"/>
  <c r="I3286" i="1" s="1"/>
  <c r="I3287" i="1" a="1"/>
  <c r="I3287" i="1" s="1"/>
  <c r="I3288" i="1" a="1"/>
  <c r="I3288" i="1" s="1"/>
  <c r="I3289" i="1" a="1"/>
  <c r="I3289" i="1" s="1"/>
  <c r="I3290" i="1" a="1"/>
  <c r="I3290" i="1" s="1"/>
  <c r="I3291" i="1" a="1"/>
  <c r="I3291" i="1" s="1"/>
  <c r="I3292" i="1" a="1"/>
  <c r="I3292" i="1" s="1"/>
  <c r="I3293" i="1" a="1"/>
  <c r="I3293" i="1" s="1"/>
  <c r="I3294" i="1" a="1"/>
  <c r="I3294" i="1" s="1"/>
  <c r="I3295" i="1" a="1"/>
  <c r="I3295" i="1" s="1"/>
  <c r="I3296" i="1" a="1"/>
  <c r="I3296" i="1" s="1"/>
  <c r="I3297" i="1" a="1"/>
  <c r="I3297" i="1" s="1"/>
  <c r="I3298" i="1" a="1"/>
  <c r="I3298" i="1" s="1"/>
  <c r="I3299" i="1" a="1"/>
  <c r="I3299" i="1" s="1"/>
  <c r="I3300" i="1" a="1"/>
  <c r="I3300" i="1" s="1"/>
  <c r="I3301" i="1" a="1"/>
  <c r="I3301" i="1" s="1"/>
  <c r="I3302" i="1" a="1"/>
  <c r="I3302" i="1" s="1"/>
  <c r="I3303" i="1" a="1"/>
  <c r="I3303" i="1" s="1"/>
  <c r="I3304" i="1" a="1"/>
  <c r="I3304" i="1" s="1"/>
  <c r="I3305" i="1" a="1"/>
  <c r="I3305" i="1" s="1"/>
  <c r="I3306" i="1" a="1"/>
  <c r="I3306" i="1" s="1"/>
  <c r="I3307" i="1" a="1"/>
  <c r="I3307" i="1" s="1"/>
  <c r="I3308" i="1" a="1"/>
  <c r="I3308" i="1" s="1"/>
  <c r="I3309" i="1" a="1"/>
  <c r="I3309" i="1" s="1"/>
  <c r="I3310" i="1" a="1"/>
  <c r="I3310" i="1" s="1"/>
  <c r="I3311" i="1" a="1"/>
  <c r="I3311" i="1" s="1"/>
  <c r="I3312" i="1" a="1"/>
  <c r="I3312" i="1" s="1"/>
  <c r="I3313" i="1" a="1"/>
  <c r="I3313" i="1" s="1"/>
  <c r="I3314" i="1" a="1"/>
  <c r="I3314" i="1" s="1"/>
  <c r="I3315" i="1" a="1"/>
  <c r="I3315" i="1" s="1"/>
  <c r="I3316" i="1" a="1"/>
  <c r="I3316" i="1" s="1"/>
  <c r="I3317" i="1" a="1"/>
  <c r="I3317" i="1" s="1"/>
  <c r="I3318" i="1" a="1"/>
  <c r="I3318" i="1" s="1"/>
  <c r="I3319" i="1" a="1"/>
  <c r="I3319" i="1" s="1"/>
  <c r="I3320" i="1" a="1"/>
  <c r="I3320" i="1" s="1"/>
  <c r="I3321" i="1" a="1"/>
  <c r="I3321" i="1" s="1"/>
  <c r="I3322" i="1" a="1"/>
  <c r="I3322" i="1" s="1"/>
  <c r="I3323" i="1" a="1"/>
  <c r="I3323" i="1" s="1"/>
  <c r="I3324" i="1" a="1"/>
  <c r="I3324" i="1" s="1"/>
  <c r="I3325" i="1" a="1"/>
  <c r="I3325" i="1" s="1"/>
  <c r="I3326" i="1" a="1"/>
  <c r="I3326" i="1" s="1"/>
  <c r="I3327" i="1" a="1"/>
  <c r="I3327" i="1" s="1"/>
  <c r="I3328" i="1" a="1"/>
  <c r="I3328" i="1" s="1"/>
  <c r="I3329" i="1" a="1"/>
  <c r="I3329" i="1" s="1"/>
  <c r="I3330" i="1" a="1"/>
  <c r="I3330" i="1" s="1"/>
  <c r="I3331" i="1" a="1"/>
  <c r="I3331" i="1" s="1"/>
  <c r="I3332" i="1" a="1"/>
  <c r="I3332" i="1" s="1"/>
  <c r="I3333" i="1" a="1"/>
  <c r="I3333" i="1" s="1"/>
  <c r="I3334" i="1" a="1"/>
  <c r="I3334" i="1" s="1"/>
  <c r="I3335" i="1" a="1"/>
  <c r="I3335" i="1" s="1"/>
  <c r="I3336" i="1" a="1"/>
  <c r="I3336" i="1" s="1"/>
  <c r="I3337" i="1" a="1"/>
  <c r="I3337" i="1" s="1"/>
  <c r="I3338" i="1" a="1"/>
  <c r="I3338" i="1" s="1"/>
  <c r="I3339" i="1" a="1"/>
  <c r="I3339" i="1" s="1"/>
  <c r="I3340" i="1" a="1"/>
  <c r="I3340" i="1" s="1"/>
  <c r="I3341" i="1" a="1"/>
  <c r="I3341" i="1" s="1"/>
  <c r="I3342" i="1" a="1"/>
  <c r="I3342" i="1" s="1"/>
  <c r="I3343" i="1" a="1"/>
  <c r="I3343" i="1" s="1"/>
  <c r="I3344" i="1" a="1"/>
  <c r="I3344" i="1" s="1"/>
  <c r="I3345" i="1" a="1"/>
  <c r="I3345" i="1" s="1"/>
  <c r="I3346" i="1" a="1"/>
  <c r="I3346" i="1" s="1"/>
  <c r="I3347" i="1" a="1"/>
  <c r="I3347" i="1" s="1"/>
  <c r="I3348" i="1" a="1"/>
  <c r="I3348" i="1" s="1"/>
  <c r="I3349" i="1" a="1"/>
  <c r="I3349" i="1" s="1"/>
  <c r="I3350" i="1" a="1"/>
  <c r="I3350" i="1" s="1"/>
  <c r="I3351" i="1" a="1"/>
  <c r="I3351" i="1" s="1"/>
  <c r="I3352" i="1" a="1"/>
  <c r="I3352" i="1" s="1"/>
  <c r="I3353" i="1" a="1"/>
  <c r="I3353" i="1" s="1"/>
  <c r="I3354" i="1" a="1"/>
  <c r="I3354" i="1" s="1"/>
  <c r="I3355" i="1" a="1"/>
  <c r="I3355" i="1" s="1"/>
  <c r="I3356" i="1" a="1"/>
  <c r="I3356" i="1" s="1"/>
  <c r="I3357" i="1" a="1"/>
  <c r="I3357" i="1" s="1"/>
  <c r="I3358" i="1" a="1"/>
  <c r="I3358" i="1" s="1"/>
  <c r="I3359" i="1" a="1"/>
  <c r="I3359" i="1" s="1"/>
  <c r="I3360" i="1" a="1"/>
  <c r="I3360" i="1" s="1"/>
  <c r="I3361" i="1" a="1"/>
  <c r="I3361" i="1" s="1"/>
  <c r="I3362" i="1" a="1"/>
  <c r="I3362" i="1" s="1"/>
  <c r="I3363" i="1" a="1"/>
  <c r="I3363" i="1" s="1"/>
  <c r="I3364" i="1" a="1"/>
  <c r="I3364" i="1" s="1"/>
  <c r="I3365" i="1" a="1"/>
  <c r="I3365" i="1" s="1"/>
  <c r="I3366" i="1" a="1"/>
  <c r="I3366" i="1" s="1"/>
  <c r="I3367" i="1" a="1"/>
  <c r="I3367" i="1" s="1"/>
  <c r="I3368" i="1" a="1"/>
  <c r="I3368" i="1" s="1"/>
  <c r="I3369" i="1" a="1"/>
  <c r="I3369" i="1" s="1"/>
  <c r="I3370" i="1" a="1"/>
  <c r="I3370" i="1" s="1"/>
  <c r="I3371" i="1" a="1"/>
  <c r="I3371" i="1" s="1"/>
  <c r="I3372" i="1" a="1"/>
  <c r="I3372" i="1" s="1"/>
  <c r="I3373" i="1" a="1"/>
  <c r="I3373" i="1" s="1"/>
  <c r="I3374" i="1" a="1"/>
  <c r="I3374" i="1" s="1"/>
  <c r="I3375" i="1" a="1"/>
  <c r="I3375" i="1" s="1"/>
  <c r="I3376" i="1" a="1"/>
  <c r="I3376" i="1" s="1"/>
  <c r="I3377" i="1" a="1"/>
  <c r="I3377" i="1" s="1"/>
  <c r="I3378" i="1" a="1"/>
  <c r="I3378" i="1" s="1"/>
  <c r="I3379" i="1" a="1"/>
  <c r="I3379" i="1" s="1"/>
  <c r="I3380" i="1" a="1"/>
  <c r="I3380" i="1" s="1"/>
  <c r="I3381" i="1" a="1"/>
  <c r="I3381" i="1" s="1"/>
  <c r="I3382" i="1" a="1"/>
  <c r="I3382" i="1" s="1"/>
  <c r="I3383" i="1" a="1"/>
  <c r="I3383" i="1" s="1"/>
  <c r="I3384" i="1" a="1"/>
  <c r="I3384" i="1" s="1"/>
  <c r="I3385" i="1" a="1"/>
  <c r="I3385" i="1" s="1"/>
  <c r="I3386" i="1" a="1"/>
  <c r="I3386" i="1" s="1"/>
  <c r="I3387" i="1" a="1"/>
  <c r="I3387" i="1" s="1"/>
  <c r="I3388" i="1" a="1"/>
  <c r="I3388" i="1" s="1"/>
  <c r="I3389" i="1" a="1"/>
  <c r="I3389" i="1" s="1"/>
  <c r="I3390" i="1" a="1"/>
  <c r="I3390" i="1" s="1"/>
  <c r="I3391" i="1" a="1"/>
  <c r="I3391" i="1" s="1"/>
  <c r="I3392" i="1" a="1"/>
  <c r="I3392" i="1" s="1"/>
  <c r="I3393" i="1" a="1"/>
  <c r="I3393" i="1" s="1"/>
  <c r="I3394" i="1" a="1"/>
  <c r="I3394" i="1" s="1"/>
  <c r="I3395" i="1" a="1"/>
  <c r="I3395" i="1" s="1"/>
  <c r="I3396" i="1" a="1"/>
  <c r="I3396" i="1" s="1"/>
  <c r="I3397" i="1" a="1"/>
  <c r="I3397" i="1" s="1"/>
  <c r="I3398" i="1" a="1"/>
  <c r="I3398" i="1" s="1"/>
  <c r="I3399" i="1" a="1"/>
  <c r="I3399" i="1" s="1"/>
  <c r="I3400" i="1" a="1"/>
  <c r="I3400" i="1" s="1"/>
  <c r="I3401" i="1" a="1"/>
  <c r="I3401" i="1" s="1"/>
  <c r="I3402" i="1" a="1"/>
  <c r="I3402" i="1" s="1"/>
  <c r="I3403" i="1" a="1"/>
  <c r="I3403" i="1" s="1"/>
  <c r="I3404" i="1" a="1"/>
  <c r="I3404" i="1" s="1"/>
  <c r="I3405" i="1" a="1"/>
  <c r="I3405" i="1" s="1"/>
  <c r="I3406" i="1" a="1"/>
  <c r="I3406" i="1" s="1"/>
  <c r="I3407" i="1" a="1"/>
  <c r="I3407" i="1" s="1"/>
  <c r="I3408" i="1" a="1"/>
  <c r="I3408" i="1" s="1"/>
  <c r="I3409" i="1" a="1"/>
  <c r="I3409" i="1" s="1"/>
  <c r="I3410" i="1" a="1"/>
  <c r="I3410" i="1" s="1"/>
  <c r="I3411" i="1" a="1"/>
  <c r="I3411" i="1" s="1"/>
  <c r="I3412" i="1" a="1"/>
  <c r="I3412" i="1" s="1"/>
  <c r="I3413" i="1" a="1"/>
  <c r="I3413" i="1" s="1"/>
  <c r="I3414" i="1" a="1"/>
  <c r="I3414" i="1" s="1"/>
  <c r="I3415" i="1" a="1"/>
  <c r="I3415" i="1" s="1"/>
  <c r="I3416" i="1" a="1"/>
  <c r="I3416" i="1" s="1"/>
  <c r="I3417" i="1" a="1"/>
  <c r="I3417" i="1" s="1"/>
  <c r="I3418" i="1" a="1"/>
  <c r="I3418" i="1" s="1"/>
  <c r="I3419" i="1" a="1"/>
  <c r="I3419" i="1" s="1"/>
  <c r="I3420" i="1" a="1"/>
  <c r="I3420" i="1" s="1"/>
  <c r="I3421" i="1" a="1"/>
  <c r="I3421" i="1" s="1"/>
  <c r="I3422" i="1" a="1"/>
  <c r="I3422" i="1" s="1"/>
  <c r="I3423" i="1" a="1"/>
  <c r="I3423" i="1" s="1"/>
  <c r="I3424" i="1" a="1"/>
  <c r="I3424" i="1" s="1"/>
  <c r="I3425" i="1" a="1"/>
  <c r="I3425" i="1" s="1"/>
  <c r="I3426" i="1" a="1"/>
  <c r="I3426" i="1" s="1"/>
  <c r="I3427" i="1" a="1"/>
  <c r="I3427" i="1" s="1"/>
  <c r="I3428" i="1" a="1"/>
  <c r="I3428" i="1" s="1"/>
  <c r="I3429" i="1" a="1"/>
  <c r="I3429" i="1" s="1"/>
  <c r="I3430" i="1" a="1"/>
  <c r="I3430" i="1" s="1"/>
  <c r="I3431" i="1" a="1"/>
  <c r="I3431" i="1" s="1"/>
  <c r="I3432" i="1" a="1"/>
  <c r="I3432" i="1" s="1"/>
  <c r="I3433" i="1" a="1"/>
  <c r="I3433" i="1" s="1"/>
  <c r="I3434" i="1" a="1"/>
  <c r="I3434" i="1" s="1"/>
  <c r="I3435" i="1" a="1"/>
  <c r="I3435" i="1" s="1"/>
  <c r="I3436" i="1" a="1"/>
  <c r="I3436" i="1" s="1"/>
  <c r="I3437" i="1" a="1"/>
  <c r="I3437" i="1" s="1"/>
  <c r="I3438" i="1" a="1"/>
  <c r="I3438" i="1" s="1"/>
  <c r="I3439" i="1" a="1"/>
  <c r="I3439" i="1" s="1"/>
  <c r="I3440" i="1" a="1"/>
  <c r="I3440" i="1" s="1"/>
  <c r="I3441" i="1" a="1"/>
  <c r="I3441" i="1" s="1"/>
  <c r="I3442" i="1" a="1"/>
  <c r="I3442" i="1" s="1"/>
  <c r="I3443" i="1" a="1"/>
  <c r="I3443" i="1" s="1"/>
  <c r="I3444" i="1" a="1"/>
  <c r="I3444" i="1" s="1"/>
  <c r="I3445" i="1" a="1"/>
  <c r="I3445" i="1" s="1"/>
  <c r="I3446" i="1" a="1"/>
  <c r="I3446" i="1" s="1"/>
  <c r="I3447" i="1" a="1"/>
  <c r="I3447" i="1" s="1"/>
  <c r="I3448" i="1" a="1"/>
  <c r="I3448" i="1" s="1"/>
  <c r="I3449" i="1" a="1"/>
  <c r="I3449" i="1" s="1"/>
  <c r="I3450" i="1" a="1"/>
  <c r="I3450" i="1" s="1"/>
  <c r="I3451" i="1" a="1"/>
  <c r="I3451" i="1" s="1"/>
  <c r="I3452" i="1" a="1"/>
  <c r="I3452" i="1" s="1"/>
  <c r="I3453" i="1" a="1"/>
  <c r="I3453" i="1" s="1"/>
  <c r="I3454" i="1" a="1"/>
  <c r="I3454" i="1" s="1"/>
  <c r="I3455" i="1" a="1"/>
  <c r="I3455" i="1" s="1"/>
  <c r="I3456" i="1" a="1"/>
  <c r="I3456" i="1" s="1"/>
  <c r="I3457" i="1" a="1"/>
  <c r="I3457" i="1" s="1"/>
  <c r="I3458" i="1" a="1"/>
  <c r="I3458" i="1" s="1"/>
  <c r="I3459" i="1" a="1"/>
  <c r="I3459" i="1" s="1"/>
  <c r="I3460" i="1" a="1"/>
  <c r="I3460" i="1" s="1"/>
  <c r="I3461" i="1" a="1"/>
  <c r="I3461" i="1" s="1"/>
  <c r="I3462" i="1" a="1"/>
  <c r="I3462" i="1" s="1"/>
  <c r="I3463" i="1" a="1"/>
  <c r="I3463" i="1" s="1"/>
  <c r="I3464" i="1" a="1"/>
  <c r="I3464" i="1" s="1"/>
  <c r="I3465" i="1" a="1"/>
  <c r="I3465" i="1" s="1"/>
  <c r="I3466" i="1" a="1"/>
  <c r="I3466" i="1" s="1"/>
  <c r="I3467" i="1" a="1"/>
  <c r="I3467" i="1" s="1"/>
  <c r="I3468" i="1" a="1"/>
  <c r="I3468" i="1" s="1"/>
  <c r="I3469" i="1" a="1"/>
  <c r="I3469" i="1" s="1"/>
  <c r="I3470" i="1" a="1"/>
  <c r="I3470" i="1" s="1"/>
  <c r="I3471" i="1" a="1"/>
  <c r="I3471" i="1" s="1"/>
  <c r="I3472" i="1" a="1"/>
  <c r="I3472" i="1" s="1"/>
  <c r="I3473" i="1" a="1"/>
  <c r="I3473" i="1" s="1"/>
  <c r="I3474" i="1" a="1"/>
  <c r="I3474" i="1" s="1"/>
  <c r="I3475" i="1" a="1"/>
  <c r="I3475" i="1" s="1"/>
  <c r="I3476" i="1" a="1"/>
  <c r="I3476" i="1" s="1"/>
  <c r="I3477" i="1" a="1"/>
  <c r="I3477" i="1" s="1"/>
  <c r="I3478" i="1" a="1"/>
  <c r="I3478" i="1" s="1"/>
  <c r="I3479" i="1" a="1"/>
  <c r="I3479" i="1" s="1"/>
  <c r="I3480" i="1" a="1"/>
  <c r="I3480" i="1" s="1"/>
  <c r="I3481" i="1" a="1"/>
  <c r="I3481" i="1" s="1"/>
  <c r="I3482" i="1" a="1"/>
  <c r="I3482" i="1" s="1"/>
  <c r="I3483" i="1" a="1"/>
  <c r="I3483" i="1" s="1"/>
  <c r="I3484" i="1" a="1"/>
  <c r="I3484" i="1" s="1"/>
  <c r="I3485" i="1" a="1"/>
  <c r="I3485" i="1" s="1"/>
  <c r="I3486" i="1" a="1"/>
  <c r="I3486" i="1" s="1"/>
  <c r="I3487" i="1" a="1"/>
  <c r="I3487" i="1" s="1"/>
  <c r="I3488" i="1" a="1"/>
  <c r="I3488" i="1" s="1"/>
  <c r="I3489" i="1" a="1"/>
  <c r="I3489" i="1" s="1"/>
  <c r="I3490" i="1" a="1"/>
  <c r="I3490" i="1" s="1"/>
  <c r="I3491" i="1" a="1"/>
  <c r="I3491" i="1" s="1"/>
  <c r="I3492" i="1" a="1"/>
  <c r="I3492" i="1" s="1"/>
  <c r="I3493" i="1" a="1"/>
  <c r="I3493" i="1" s="1"/>
  <c r="I3494" i="1" a="1"/>
  <c r="I3494" i="1" s="1"/>
  <c r="I3495" i="1" a="1"/>
  <c r="I3495" i="1" s="1"/>
  <c r="I3496" i="1" a="1"/>
  <c r="I3496" i="1" s="1"/>
  <c r="I3497" i="1" a="1"/>
  <c r="I3497" i="1" s="1"/>
  <c r="I3498" i="1" a="1"/>
  <c r="I3498" i="1" s="1"/>
  <c r="I3499" i="1" a="1"/>
  <c r="I3499" i="1" s="1"/>
  <c r="I3500" i="1" a="1"/>
  <c r="I3500" i="1" s="1"/>
  <c r="I3501" i="1" a="1"/>
  <c r="I3501" i="1" s="1"/>
  <c r="I3502" i="1" a="1"/>
  <c r="I3502" i="1" s="1"/>
  <c r="I3503" i="1" a="1"/>
  <c r="I3503" i="1" s="1"/>
  <c r="I3504" i="1" a="1"/>
  <c r="I3504" i="1" s="1"/>
  <c r="I3505" i="1" a="1"/>
  <c r="I3505" i="1" s="1"/>
  <c r="I3506" i="1" a="1"/>
  <c r="I3506" i="1" s="1"/>
  <c r="I3507" i="1" a="1"/>
  <c r="I3507" i="1" s="1"/>
  <c r="I3508" i="1" a="1"/>
  <c r="I3508" i="1" s="1"/>
  <c r="I3509" i="1" a="1"/>
  <c r="I3509" i="1" s="1"/>
  <c r="I3510" i="1" a="1"/>
  <c r="I3510" i="1" s="1"/>
  <c r="I3511" i="1" a="1"/>
  <c r="I3511" i="1" s="1"/>
  <c r="I3512" i="1" a="1"/>
  <c r="I3512" i="1" s="1"/>
  <c r="I3513" i="1" a="1"/>
  <c r="I3513" i="1" s="1"/>
  <c r="I3514" i="1" a="1"/>
  <c r="I3514" i="1" s="1"/>
  <c r="I3515" i="1" a="1"/>
  <c r="I3515" i="1" s="1"/>
  <c r="I3516" i="1" a="1"/>
  <c r="I3516" i="1" s="1"/>
  <c r="I3517" i="1" a="1"/>
  <c r="I3517" i="1" s="1"/>
  <c r="I3518" i="1" a="1"/>
  <c r="I3518" i="1" s="1"/>
  <c r="I3519" i="1" a="1"/>
  <c r="I3519" i="1" s="1"/>
  <c r="I3520" i="1" a="1"/>
  <c r="I3520" i="1" s="1"/>
  <c r="I3521" i="1" a="1"/>
  <c r="I3521" i="1" s="1"/>
  <c r="I3522" i="1" a="1"/>
  <c r="I3522" i="1" s="1"/>
  <c r="I3523" i="1" a="1"/>
  <c r="I3523" i="1" s="1"/>
  <c r="I3524" i="1" a="1"/>
  <c r="I3524" i="1" s="1"/>
  <c r="I3525" i="1" a="1"/>
  <c r="I3525" i="1" s="1"/>
  <c r="I3526" i="1" a="1"/>
  <c r="I3526" i="1" s="1"/>
  <c r="I3527" i="1" a="1"/>
  <c r="I3527" i="1" s="1"/>
  <c r="I3528" i="1" a="1"/>
  <c r="I3528" i="1" s="1"/>
  <c r="I3529" i="1" a="1"/>
  <c r="I3529" i="1" s="1"/>
  <c r="I3530" i="1" a="1"/>
  <c r="I3530" i="1" s="1"/>
  <c r="I3531" i="1" a="1"/>
  <c r="I3531" i="1" s="1"/>
  <c r="I3532" i="1" a="1"/>
  <c r="I3532" i="1" s="1"/>
  <c r="I3533" i="1" a="1"/>
  <c r="I3533" i="1" s="1"/>
  <c r="I3534" i="1" a="1"/>
  <c r="I3534" i="1" s="1"/>
  <c r="I3535" i="1" a="1"/>
  <c r="I3535" i="1" s="1"/>
  <c r="I3536" i="1" a="1"/>
  <c r="I3536" i="1" s="1"/>
  <c r="I3537" i="1" a="1"/>
  <c r="I3537" i="1" s="1"/>
  <c r="I3538" i="1" a="1"/>
  <c r="I3538" i="1" s="1"/>
  <c r="I3539" i="1" a="1"/>
  <c r="I3539" i="1" s="1"/>
  <c r="I3540" i="1" a="1"/>
  <c r="I3540" i="1" s="1"/>
  <c r="I3541" i="1" a="1"/>
  <c r="I3541" i="1" s="1"/>
  <c r="I3542" i="1" a="1"/>
  <c r="I3542" i="1" s="1"/>
  <c r="I3543" i="1" a="1"/>
  <c r="I3543" i="1" s="1"/>
  <c r="I3544" i="1" a="1"/>
  <c r="I3544" i="1" s="1"/>
  <c r="I3545" i="1" a="1"/>
  <c r="I3545" i="1" s="1"/>
  <c r="I3546" i="1" a="1"/>
  <c r="I3546" i="1" s="1"/>
  <c r="I3547" i="1" a="1"/>
  <c r="I3547" i="1" s="1"/>
  <c r="I3548" i="1" a="1"/>
  <c r="I3548" i="1" s="1"/>
  <c r="I3549" i="1" a="1"/>
  <c r="I3549" i="1" s="1"/>
  <c r="I3550" i="1" a="1"/>
  <c r="I3550" i="1" s="1"/>
  <c r="I3551" i="1" a="1"/>
  <c r="I3551" i="1" s="1"/>
  <c r="I3552" i="1" a="1"/>
  <c r="I3552" i="1" s="1"/>
  <c r="I3553" i="1" a="1"/>
  <c r="I3553" i="1" s="1"/>
  <c r="I3554" i="1" a="1"/>
  <c r="I3554" i="1" s="1"/>
  <c r="I3555" i="1" a="1"/>
  <c r="I3555" i="1" s="1"/>
  <c r="I3556" i="1" a="1"/>
  <c r="I3556" i="1" s="1"/>
  <c r="I3557" i="1" a="1"/>
  <c r="I3557" i="1" s="1"/>
  <c r="I3558" i="1" a="1"/>
  <c r="I3558" i="1" s="1"/>
  <c r="I3559" i="1" a="1"/>
  <c r="I3559" i="1" s="1"/>
  <c r="I3560" i="1" a="1"/>
  <c r="I3560" i="1" s="1"/>
  <c r="I3561" i="1" a="1"/>
  <c r="I3561" i="1" s="1"/>
  <c r="I3562" i="1" a="1"/>
  <c r="I3562" i="1" s="1"/>
  <c r="I3563" i="1" a="1"/>
  <c r="I3563" i="1" s="1"/>
  <c r="I3564" i="1" a="1"/>
  <c r="I3564" i="1" s="1"/>
  <c r="I3565" i="1" a="1"/>
  <c r="I3565" i="1" s="1"/>
  <c r="I3566" i="1" a="1"/>
  <c r="I3566" i="1" s="1"/>
  <c r="I3567" i="1" a="1"/>
  <c r="I3567" i="1" s="1"/>
  <c r="I3568" i="1" a="1"/>
  <c r="I3568" i="1" s="1"/>
  <c r="I3569" i="1" a="1"/>
  <c r="I3569" i="1" s="1"/>
  <c r="I3570" i="1" a="1"/>
  <c r="I3570" i="1" s="1"/>
  <c r="I3571" i="1" a="1"/>
  <c r="I3571" i="1" s="1"/>
  <c r="I3572" i="1" a="1"/>
  <c r="I3572" i="1" s="1"/>
  <c r="I3573" i="1" a="1"/>
  <c r="I3573" i="1" s="1"/>
  <c r="I3574" i="1" a="1"/>
  <c r="I3574" i="1" s="1"/>
  <c r="I3575" i="1" a="1"/>
  <c r="I3575" i="1" s="1"/>
  <c r="I3576" i="1" a="1"/>
  <c r="I3576" i="1" s="1"/>
  <c r="I3577" i="1" a="1"/>
  <c r="I3577" i="1" s="1"/>
  <c r="I3578" i="1" a="1"/>
  <c r="I3578" i="1" s="1"/>
  <c r="I3579" i="1" a="1"/>
  <c r="I3579" i="1" s="1"/>
  <c r="I3580" i="1" a="1"/>
  <c r="I3580" i="1" s="1"/>
  <c r="I3581" i="1" a="1"/>
  <c r="I3581" i="1" s="1"/>
  <c r="I3582" i="1" a="1"/>
  <c r="I3582" i="1" s="1"/>
  <c r="I3583" i="1" a="1"/>
  <c r="I3583" i="1" s="1"/>
  <c r="I3584" i="1" a="1"/>
  <c r="I3584" i="1" s="1"/>
  <c r="I3585" i="1" a="1"/>
  <c r="I3585" i="1" s="1"/>
  <c r="I3586" i="1" a="1"/>
  <c r="I3586" i="1" s="1"/>
  <c r="I3587" i="1" a="1"/>
  <c r="I3587" i="1" s="1"/>
  <c r="I3588" i="1" a="1"/>
  <c r="I3588" i="1" s="1"/>
  <c r="I3589" i="1" a="1"/>
  <c r="I3589" i="1" s="1"/>
  <c r="I3590" i="1" a="1"/>
  <c r="I3590" i="1" s="1"/>
  <c r="I3591" i="1" a="1"/>
  <c r="I3591" i="1" s="1"/>
  <c r="I3592" i="1" a="1"/>
  <c r="I3592" i="1" s="1"/>
  <c r="I3593" i="1" a="1"/>
  <c r="I3593" i="1" s="1"/>
  <c r="I3594" i="1" a="1"/>
  <c r="I3594" i="1" s="1"/>
  <c r="I3595" i="1" a="1"/>
  <c r="I3595" i="1" s="1"/>
  <c r="I3596" i="1" a="1"/>
  <c r="I3596" i="1" s="1"/>
  <c r="I3597" i="1" a="1"/>
  <c r="I3597" i="1" s="1"/>
  <c r="I3598" i="1" a="1"/>
  <c r="I3598" i="1" s="1"/>
  <c r="I3599" i="1" a="1"/>
  <c r="I3599" i="1" s="1"/>
  <c r="I3600" i="1" a="1"/>
  <c r="I3600" i="1" s="1"/>
  <c r="I3601" i="1" a="1"/>
  <c r="I3601" i="1" s="1"/>
  <c r="I3602" i="1" a="1"/>
  <c r="I3602" i="1" s="1"/>
  <c r="I3603" i="1" a="1"/>
  <c r="I3603" i="1" s="1"/>
  <c r="I3604" i="1" a="1"/>
  <c r="I3604" i="1" s="1"/>
  <c r="I3605" i="1" a="1"/>
  <c r="I3605" i="1" s="1"/>
  <c r="I3606" i="1" a="1"/>
  <c r="I3606" i="1" s="1"/>
  <c r="I3607" i="1" a="1"/>
  <c r="I3607" i="1" s="1"/>
  <c r="I3608" i="1" a="1"/>
  <c r="I3608" i="1" s="1"/>
  <c r="I3609" i="1" a="1"/>
  <c r="I3609" i="1" s="1"/>
  <c r="I3610" i="1" a="1"/>
  <c r="I3610" i="1" s="1"/>
  <c r="I3611" i="1" a="1"/>
  <c r="I3611" i="1" s="1"/>
  <c r="I3612" i="1" a="1"/>
  <c r="I3612" i="1" s="1"/>
  <c r="I3613" i="1" a="1"/>
  <c r="I3613" i="1" s="1"/>
  <c r="I3614" i="1" a="1"/>
  <c r="I3614" i="1" s="1"/>
  <c r="I3615" i="1" a="1"/>
  <c r="I3615" i="1" s="1"/>
  <c r="I3616" i="1" a="1"/>
  <c r="I3616" i="1" s="1"/>
  <c r="I3617" i="1" a="1"/>
  <c r="I3617" i="1" s="1"/>
  <c r="I3618" i="1" a="1"/>
  <c r="I3618" i="1" s="1"/>
  <c r="I3619" i="1" a="1"/>
  <c r="I3619" i="1" s="1"/>
  <c r="I3620" i="1" a="1"/>
  <c r="I3620" i="1" s="1"/>
  <c r="I3621" i="1" a="1"/>
  <c r="I3621" i="1" s="1"/>
  <c r="I3622" i="1" a="1"/>
  <c r="I3622" i="1" s="1"/>
  <c r="I3623" i="1" a="1"/>
  <c r="I3623" i="1" s="1"/>
  <c r="I3624" i="1" a="1"/>
  <c r="I3624" i="1" s="1"/>
  <c r="I3625" i="1" a="1"/>
  <c r="I3625" i="1" s="1"/>
  <c r="I3626" i="1" a="1"/>
  <c r="I3626" i="1" s="1"/>
  <c r="I3627" i="1" a="1"/>
  <c r="I3627" i="1" s="1"/>
  <c r="I3628" i="1" a="1"/>
  <c r="I3628" i="1" s="1"/>
  <c r="I3629" i="1" a="1"/>
  <c r="I3629" i="1" s="1"/>
  <c r="I3630" i="1" a="1"/>
  <c r="I3630" i="1" s="1"/>
  <c r="I3631" i="1" a="1"/>
  <c r="I3631" i="1" s="1"/>
  <c r="I3632" i="1" a="1"/>
  <c r="I3632" i="1" s="1"/>
  <c r="I3633" i="1" a="1"/>
  <c r="I3633" i="1" s="1"/>
  <c r="I3634" i="1" a="1"/>
  <c r="I3634" i="1" s="1"/>
  <c r="I3635" i="1" a="1"/>
  <c r="I3635" i="1" s="1"/>
  <c r="I3636" i="1" a="1"/>
  <c r="I3636" i="1" s="1"/>
  <c r="I3637" i="1" a="1"/>
  <c r="I3637" i="1" s="1"/>
  <c r="I3638" i="1" a="1"/>
  <c r="I3638" i="1" s="1"/>
  <c r="I3639" i="1" a="1"/>
  <c r="I3639" i="1" s="1"/>
  <c r="I3640" i="1" a="1"/>
  <c r="I3640" i="1" s="1"/>
  <c r="I3641" i="1" a="1"/>
  <c r="I3641" i="1" s="1"/>
  <c r="I3642" i="1" a="1"/>
  <c r="I3642" i="1" s="1"/>
  <c r="I3643" i="1" a="1"/>
  <c r="I3643" i="1" s="1"/>
  <c r="I3644" i="1" a="1"/>
  <c r="I3644" i="1" s="1"/>
  <c r="I3645" i="1" a="1"/>
  <c r="I3645" i="1" s="1"/>
  <c r="I3646" i="1" a="1"/>
  <c r="I3646" i="1" s="1"/>
  <c r="I3647" i="1" a="1"/>
  <c r="I3647" i="1" s="1"/>
  <c r="I3648" i="1" a="1"/>
  <c r="I3648" i="1" s="1"/>
  <c r="I3649" i="1" a="1"/>
  <c r="I3649" i="1" s="1"/>
  <c r="I3650" i="1" a="1"/>
  <c r="I3650" i="1" s="1"/>
  <c r="I3651" i="1" a="1"/>
  <c r="I3651" i="1" s="1"/>
  <c r="I3652" i="1" a="1"/>
  <c r="I3652" i="1" s="1"/>
  <c r="I3653" i="1" a="1"/>
  <c r="I3653" i="1" s="1"/>
  <c r="I3654" i="1" a="1"/>
  <c r="I3654" i="1" s="1"/>
  <c r="I3655" i="1" a="1"/>
  <c r="I3655" i="1" s="1"/>
  <c r="I3656" i="1" a="1"/>
  <c r="I3656" i="1" s="1"/>
  <c r="I3657" i="1" a="1"/>
  <c r="I3657" i="1" s="1"/>
  <c r="I3658" i="1" a="1"/>
  <c r="I3658" i="1" s="1"/>
  <c r="I3659" i="1" a="1"/>
  <c r="I3659" i="1" s="1"/>
  <c r="I3660" i="1" a="1"/>
  <c r="I3660" i="1" s="1"/>
  <c r="I3661" i="1" a="1"/>
  <c r="I3661" i="1" s="1"/>
  <c r="I3662" i="1" a="1"/>
  <c r="I3662" i="1" s="1"/>
  <c r="I3663" i="1" a="1"/>
  <c r="I3663" i="1" s="1"/>
  <c r="I3664" i="1" a="1"/>
  <c r="I3664" i="1" s="1"/>
  <c r="I3665" i="1" a="1"/>
  <c r="I3665" i="1" s="1"/>
  <c r="I3666" i="1" a="1"/>
  <c r="I3666" i="1" s="1"/>
  <c r="I3667" i="1" a="1"/>
  <c r="I3667" i="1" s="1"/>
  <c r="I3668" i="1" a="1"/>
  <c r="I3668" i="1" s="1"/>
  <c r="I3669" i="1" a="1"/>
  <c r="I3669" i="1" s="1"/>
  <c r="I3670" i="1" a="1"/>
  <c r="I3670" i="1" s="1"/>
  <c r="I3671" i="1" a="1"/>
  <c r="I3671" i="1" s="1"/>
  <c r="I3672" i="1" a="1"/>
  <c r="I3672" i="1" s="1"/>
  <c r="I3673" i="1" a="1"/>
  <c r="I3673" i="1" s="1"/>
  <c r="I3674" i="1" a="1"/>
  <c r="I3674" i="1" s="1"/>
  <c r="I3675" i="1" a="1"/>
  <c r="I3675" i="1" s="1"/>
  <c r="I3676" i="1" a="1"/>
  <c r="I3676" i="1" s="1"/>
  <c r="I3677" i="1" a="1"/>
  <c r="I3677" i="1" s="1"/>
  <c r="I3678" i="1" a="1"/>
  <c r="I3678" i="1" s="1"/>
  <c r="I3679" i="1" a="1"/>
  <c r="I3679" i="1" s="1"/>
  <c r="I3680" i="1" a="1"/>
  <c r="I3680" i="1" s="1"/>
  <c r="I3681" i="1" a="1"/>
  <c r="I3681" i="1" s="1"/>
  <c r="I3682" i="1" a="1"/>
  <c r="I3682" i="1" s="1"/>
  <c r="I3683" i="1" a="1"/>
  <c r="I3683" i="1" s="1"/>
  <c r="I3684" i="1" a="1"/>
  <c r="I3684" i="1" s="1"/>
  <c r="I3685" i="1" a="1"/>
  <c r="I3685" i="1" s="1"/>
  <c r="I3686" i="1" a="1"/>
  <c r="I3686" i="1" s="1"/>
  <c r="I3687" i="1" a="1"/>
  <c r="I3687" i="1" s="1"/>
  <c r="I3688" i="1" a="1"/>
  <c r="I3688" i="1" s="1"/>
  <c r="I3689" i="1" a="1"/>
  <c r="I3689" i="1" s="1"/>
  <c r="I3690" i="1" a="1"/>
  <c r="I3690" i="1" s="1"/>
  <c r="I3691" i="1" a="1"/>
  <c r="I3691" i="1" s="1"/>
  <c r="I3692" i="1" a="1"/>
  <c r="I3692" i="1" s="1"/>
  <c r="I3693" i="1" a="1"/>
  <c r="I3693" i="1" s="1"/>
  <c r="I3694" i="1" a="1"/>
  <c r="I3694" i="1" s="1"/>
  <c r="I3695" i="1" a="1"/>
  <c r="I3695" i="1" s="1"/>
  <c r="I3696" i="1" a="1"/>
  <c r="I3696" i="1" s="1"/>
  <c r="I3697" i="1" a="1"/>
  <c r="I3697" i="1" s="1"/>
  <c r="I3698" i="1" a="1"/>
  <c r="I3698" i="1" s="1"/>
  <c r="I3699" i="1" a="1"/>
  <c r="I3699" i="1" s="1"/>
  <c r="I3700" i="1" a="1"/>
  <c r="I3700" i="1" s="1"/>
  <c r="I3701" i="1" a="1"/>
  <c r="I3701" i="1" s="1"/>
  <c r="I3702" i="1" a="1"/>
  <c r="I3702" i="1" s="1"/>
  <c r="I3703" i="1" a="1"/>
  <c r="I3703" i="1" s="1"/>
  <c r="I3704" i="1" a="1"/>
  <c r="I3704" i="1" s="1"/>
  <c r="I3705" i="1" a="1"/>
  <c r="I3705" i="1" s="1"/>
  <c r="I3706" i="1" a="1"/>
  <c r="I3706" i="1" s="1"/>
  <c r="I3707" i="1" a="1"/>
  <c r="I3707" i="1" s="1"/>
  <c r="I3708" i="1" a="1"/>
  <c r="I3708" i="1" s="1"/>
  <c r="I3709" i="1" a="1"/>
  <c r="I3709" i="1" s="1"/>
  <c r="I3710" i="1" a="1"/>
  <c r="I3710" i="1" s="1"/>
  <c r="I3711" i="1" a="1"/>
  <c r="I3711" i="1" s="1"/>
  <c r="I3712" i="1" a="1"/>
  <c r="I3712" i="1" s="1"/>
  <c r="I3713" i="1" a="1"/>
  <c r="I3713" i="1" s="1"/>
  <c r="I3714" i="1" a="1"/>
  <c r="I3714" i="1" s="1"/>
  <c r="I3715" i="1" a="1"/>
  <c r="I3715" i="1" s="1"/>
  <c r="I3716" i="1" a="1"/>
  <c r="I3716" i="1" s="1"/>
  <c r="I3717" i="1" a="1"/>
  <c r="I3717" i="1" s="1"/>
  <c r="I3718" i="1" a="1"/>
  <c r="I3718" i="1" s="1"/>
  <c r="I3719" i="1" a="1"/>
  <c r="I3719" i="1" s="1"/>
  <c r="I3720" i="1" a="1"/>
  <c r="I3720" i="1" s="1"/>
  <c r="I3721" i="1" a="1"/>
  <c r="I3721" i="1" s="1"/>
  <c r="I3722" i="1" a="1"/>
  <c r="I3722" i="1" s="1"/>
  <c r="I3723" i="1" a="1"/>
  <c r="I3723" i="1" s="1"/>
  <c r="I3724" i="1" a="1"/>
  <c r="I3724" i="1" s="1"/>
  <c r="I3725" i="1" a="1"/>
  <c r="I3725" i="1" s="1"/>
  <c r="I3726" i="1" a="1"/>
  <c r="I3726" i="1" s="1"/>
  <c r="I3727" i="1" a="1"/>
  <c r="I3727" i="1" s="1"/>
  <c r="I3728" i="1" a="1"/>
  <c r="I3728" i="1" s="1"/>
  <c r="I3729" i="1" a="1"/>
  <c r="I3729" i="1" s="1"/>
  <c r="I3730" i="1" a="1"/>
  <c r="I3730" i="1" s="1"/>
  <c r="I3731" i="1" a="1"/>
  <c r="I3731" i="1" s="1"/>
  <c r="I3732" i="1" a="1"/>
  <c r="I3732" i="1" s="1"/>
  <c r="I3733" i="1" a="1"/>
  <c r="I3733" i="1" s="1"/>
  <c r="I3734" i="1" a="1"/>
  <c r="I3734" i="1" s="1"/>
  <c r="I3735" i="1" a="1"/>
  <c r="I3735" i="1" s="1"/>
  <c r="I3736" i="1" a="1"/>
  <c r="I3736" i="1" s="1"/>
  <c r="I3737" i="1" a="1"/>
  <c r="I3737" i="1" s="1"/>
  <c r="I3738" i="1" a="1"/>
  <c r="I3738" i="1" s="1"/>
  <c r="I3739" i="1" a="1"/>
  <c r="I3739" i="1" s="1"/>
  <c r="I3740" i="1" a="1"/>
  <c r="I3740" i="1" s="1"/>
  <c r="I3741" i="1" a="1"/>
  <c r="I3741" i="1" s="1"/>
  <c r="I3742" i="1" a="1"/>
  <c r="I3742" i="1" s="1"/>
  <c r="I3743" i="1" a="1"/>
  <c r="I3743" i="1" s="1"/>
  <c r="I3744" i="1" a="1"/>
  <c r="I3744" i="1" s="1"/>
  <c r="I3745" i="1" a="1"/>
  <c r="I3745" i="1" s="1"/>
  <c r="I3746" i="1" a="1"/>
  <c r="I3746" i="1" s="1"/>
  <c r="I3747" i="1" a="1"/>
  <c r="I3747" i="1" s="1"/>
  <c r="I3748" i="1" a="1"/>
  <c r="I3748" i="1" s="1"/>
  <c r="I3749" i="1" a="1"/>
  <c r="I3749" i="1" s="1"/>
  <c r="I3750" i="1" a="1"/>
  <c r="I3750" i="1" s="1"/>
  <c r="I3751" i="1" a="1"/>
  <c r="I3751" i="1" s="1"/>
  <c r="I3752" i="1" a="1"/>
  <c r="I3752" i="1" s="1"/>
  <c r="I3753" i="1" a="1"/>
  <c r="I3753" i="1" s="1"/>
  <c r="I3754" i="1" a="1"/>
  <c r="I3754" i="1" s="1"/>
  <c r="I3755" i="1" a="1"/>
  <c r="I3755" i="1" s="1"/>
  <c r="I3756" i="1" a="1"/>
  <c r="I3756" i="1" s="1"/>
  <c r="I3757" i="1" a="1"/>
  <c r="I3757" i="1" s="1"/>
  <c r="I3758" i="1" a="1"/>
  <c r="I3758" i="1" s="1"/>
  <c r="I3759" i="1" a="1"/>
  <c r="I3759" i="1" s="1"/>
  <c r="I3760" i="1" a="1"/>
  <c r="I3760" i="1" s="1"/>
  <c r="I3761" i="1" a="1"/>
  <c r="I3761" i="1" s="1"/>
  <c r="I3762" i="1" a="1"/>
  <c r="I3762" i="1" s="1"/>
  <c r="I3763" i="1" a="1"/>
  <c r="I3763" i="1" s="1"/>
  <c r="I3764" i="1" a="1"/>
  <c r="I3764" i="1" s="1"/>
  <c r="I3765" i="1" a="1"/>
  <c r="I3765" i="1" s="1"/>
  <c r="I3766" i="1" a="1"/>
  <c r="I3766" i="1" s="1"/>
  <c r="I3767" i="1" a="1"/>
  <c r="I3767" i="1" s="1"/>
  <c r="I3768" i="1" a="1"/>
  <c r="I3768" i="1" s="1"/>
  <c r="I3769" i="1" a="1"/>
  <c r="I3769" i="1" s="1"/>
  <c r="I3770" i="1" a="1"/>
  <c r="I3770" i="1" s="1"/>
  <c r="I3771" i="1" a="1"/>
  <c r="I3771" i="1" s="1"/>
  <c r="I3772" i="1" a="1"/>
  <c r="I3772" i="1" s="1"/>
  <c r="I3773" i="1" a="1"/>
  <c r="I3773" i="1" s="1"/>
  <c r="I3774" i="1" a="1"/>
  <c r="I3774" i="1" s="1"/>
  <c r="I3775" i="1" a="1"/>
  <c r="I3775" i="1" s="1"/>
  <c r="I3776" i="1" a="1"/>
  <c r="I3776" i="1" s="1"/>
  <c r="I3777" i="1" a="1"/>
  <c r="I3777" i="1" s="1"/>
  <c r="I3778" i="1" a="1"/>
  <c r="I3778" i="1" s="1"/>
  <c r="I3779" i="1" a="1"/>
  <c r="I3779" i="1" s="1"/>
  <c r="I3780" i="1" a="1"/>
  <c r="I3780" i="1" s="1"/>
  <c r="I3781" i="1" a="1"/>
  <c r="I3781" i="1" s="1"/>
  <c r="I3782" i="1" a="1"/>
  <c r="I3782" i="1" s="1"/>
  <c r="I3783" i="1" a="1"/>
  <c r="I3783" i="1" s="1"/>
  <c r="I3784" i="1" a="1"/>
  <c r="I3784" i="1" s="1"/>
  <c r="I3785" i="1" a="1"/>
  <c r="I3785" i="1" s="1"/>
  <c r="I3786" i="1" a="1"/>
  <c r="I3786" i="1" s="1"/>
  <c r="I3787" i="1" a="1"/>
  <c r="I3787" i="1" s="1"/>
  <c r="I3788" i="1" a="1"/>
  <c r="I3788" i="1" s="1"/>
  <c r="I3789" i="1" a="1"/>
  <c r="I3789" i="1" s="1"/>
  <c r="I3790" i="1" a="1"/>
  <c r="I3790" i="1" s="1"/>
  <c r="I3791" i="1" a="1"/>
  <c r="I3791" i="1" s="1"/>
  <c r="I3792" i="1" a="1"/>
  <c r="I3792" i="1" s="1"/>
  <c r="I3793" i="1" a="1"/>
  <c r="I3793" i="1" s="1"/>
  <c r="I3794" i="1" a="1"/>
  <c r="I3794" i="1" s="1"/>
  <c r="I3795" i="1" a="1"/>
  <c r="I3795" i="1" s="1"/>
  <c r="I3796" i="1" a="1"/>
  <c r="I3796" i="1" s="1"/>
  <c r="I3797" i="1" a="1"/>
  <c r="I3797" i="1" s="1"/>
  <c r="I3798" i="1" a="1"/>
  <c r="I3798" i="1" s="1"/>
  <c r="I3799" i="1" a="1"/>
  <c r="I3799" i="1" s="1"/>
  <c r="I3800" i="1" a="1"/>
  <c r="I3800" i="1" s="1"/>
  <c r="I3801" i="1" a="1"/>
  <c r="I3801" i="1" s="1"/>
  <c r="I3802" i="1" a="1"/>
  <c r="I3802" i="1" s="1"/>
  <c r="I3803" i="1" a="1"/>
  <c r="I3803" i="1" s="1"/>
  <c r="I3804" i="1" a="1"/>
  <c r="I3804" i="1" s="1"/>
  <c r="I3805" i="1" a="1"/>
  <c r="I3805" i="1" s="1"/>
  <c r="I3806" i="1" a="1"/>
  <c r="I3806" i="1" s="1"/>
  <c r="I3807" i="1" a="1"/>
  <c r="I3807" i="1" s="1"/>
  <c r="I3808" i="1" a="1"/>
  <c r="I3808" i="1" s="1"/>
  <c r="I3809" i="1" a="1"/>
  <c r="I3809" i="1" s="1"/>
  <c r="I3810" i="1" a="1"/>
  <c r="I3810" i="1" s="1"/>
  <c r="I3811" i="1" a="1"/>
  <c r="I3811" i="1" s="1"/>
  <c r="I3812" i="1" a="1"/>
  <c r="I3812" i="1" s="1"/>
  <c r="I3813" i="1" a="1"/>
  <c r="I3813" i="1" s="1"/>
  <c r="I3814" i="1" a="1"/>
  <c r="I3814" i="1" s="1"/>
  <c r="I3815" i="1" a="1"/>
  <c r="I3815" i="1" s="1"/>
  <c r="I3816" i="1" a="1"/>
  <c r="I3816" i="1" s="1"/>
  <c r="I3817" i="1" a="1"/>
  <c r="I3817" i="1" s="1"/>
  <c r="I3818" i="1" a="1"/>
  <c r="I3818" i="1" s="1"/>
  <c r="I3819" i="1" a="1"/>
  <c r="I3819" i="1" s="1"/>
  <c r="I3820" i="1" a="1"/>
  <c r="I3820" i="1" s="1"/>
  <c r="I3821" i="1" a="1"/>
  <c r="I3821" i="1" s="1"/>
  <c r="I3822" i="1" a="1"/>
  <c r="I3822" i="1" s="1"/>
  <c r="I3823" i="1" a="1"/>
  <c r="I3823" i="1" s="1"/>
  <c r="I3824" i="1" a="1"/>
  <c r="I3824" i="1" s="1"/>
  <c r="I3825" i="1" a="1"/>
  <c r="I3825" i="1" s="1"/>
  <c r="I3826" i="1" a="1"/>
  <c r="I3826" i="1" s="1"/>
  <c r="I3827" i="1" a="1"/>
  <c r="I3827" i="1" s="1"/>
  <c r="I3828" i="1" a="1"/>
  <c r="I3828" i="1" s="1"/>
  <c r="I3829" i="1" a="1"/>
  <c r="I3829" i="1" s="1"/>
  <c r="I3830" i="1" a="1"/>
  <c r="I3830" i="1" s="1"/>
  <c r="I3831" i="1" a="1"/>
  <c r="I3831" i="1" s="1"/>
  <c r="I3832" i="1" a="1"/>
  <c r="I3832" i="1" s="1"/>
  <c r="I3833" i="1" a="1"/>
  <c r="I3833" i="1" s="1"/>
  <c r="I3834" i="1" a="1"/>
  <c r="I3834" i="1" s="1"/>
  <c r="I3835" i="1" a="1"/>
  <c r="I3835" i="1" s="1"/>
  <c r="I3836" i="1" a="1"/>
  <c r="I3836" i="1" s="1"/>
  <c r="I3837" i="1" a="1"/>
  <c r="I3837" i="1" s="1"/>
  <c r="I3838" i="1" a="1"/>
  <c r="I3838" i="1" s="1"/>
  <c r="I3839" i="1" a="1"/>
  <c r="I3839" i="1" s="1"/>
  <c r="I3840" i="1" a="1"/>
  <c r="I3840" i="1" s="1"/>
  <c r="I3841" i="1" a="1"/>
  <c r="I3841" i="1" s="1"/>
  <c r="I3842" i="1" a="1"/>
  <c r="I3842" i="1" s="1"/>
  <c r="I3843" i="1" a="1"/>
  <c r="I3843" i="1" s="1"/>
  <c r="I3844" i="1" a="1"/>
  <c r="I3844" i="1" s="1"/>
  <c r="I3845" i="1" a="1"/>
  <c r="I3845" i="1" s="1"/>
  <c r="I3846" i="1" a="1"/>
  <c r="I3846" i="1" s="1"/>
  <c r="I3847" i="1" a="1"/>
  <c r="I3847" i="1" s="1"/>
  <c r="I3848" i="1" a="1"/>
  <c r="I3848" i="1" s="1"/>
  <c r="I3849" i="1" a="1"/>
  <c r="I3849" i="1" s="1"/>
  <c r="I3850" i="1" a="1"/>
  <c r="I3850" i="1" s="1"/>
  <c r="I3851" i="1" a="1"/>
  <c r="I3851" i="1" s="1"/>
  <c r="I3852" i="1" a="1"/>
  <c r="I3852" i="1" s="1"/>
  <c r="I3853" i="1" a="1"/>
  <c r="I3853" i="1" s="1"/>
  <c r="I3854" i="1" a="1"/>
  <c r="I3854" i="1" s="1"/>
  <c r="I3855" i="1" a="1"/>
  <c r="I3855" i="1" s="1"/>
  <c r="I3856" i="1" a="1"/>
  <c r="I3856" i="1" s="1"/>
  <c r="I3857" i="1" a="1"/>
  <c r="I3857" i="1" s="1"/>
  <c r="I3858" i="1" a="1"/>
  <c r="I3858" i="1" s="1"/>
  <c r="I3859" i="1" a="1"/>
  <c r="I3859" i="1" s="1"/>
  <c r="I3860" i="1" a="1"/>
  <c r="I3860" i="1" s="1"/>
  <c r="I3861" i="1" a="1"/>
  <c r="I3861" i="1" s="1"/>
  <c r="I3862" i="1" a="1"/>
  <c r="I3862" i="1" s="1"/>
  <c r="I3863" i="1" a="1"/>
  <c r="I3863" i="1" s="1"/>
  <c r="I3864" i="1" a="1"/>
  <c r="I3864" i="1" s="1"/>
  <c r="I3865" i="1" a="1"/>
  <c r="I3865" i="1" s="1"/>
  <c r="I3866" i="1" a="1"/>
  <c r="I3866" i="1" s="1"/>
  <c r="I3867" i="1" a="1"/>
  <c r="I3867" i="1" s="1"/>
  <c r="I3868" i="1" a="1"/>
  <c r="I3868" i="1" s="1"/>
  <c r="I3869" i="1" a="1"/>
  <c r="I3869" i="1" s="1"/>
  <c r="I3870" i="1" a="1"/>
  <c r="I3870" i="1" s="1"/>
  <c r="I3871" i="1" a="1"/>
  <c r="I3871" i="1" s="1"/>
  <c r="I3872" i="1" a="1"/>
  <c r="I3872" i="1" s="1"/>
  <c r="I3873" i="1" a="1"/>
  <c r="I3873" i="1" s="1"/>
  <c r="I3874" i="1" a="1"/>
  <c r="I3874" i="1" s="1"/>
  <c r="I3875" i="1" a="1"/>
  <c r="I3875" i="1" s="1"/>
  <c r="I3876" i="1" a="1"/>
  <c r="I3876" i="1" s="1"/>
  <c r="I3877" i="1" a="1"/>
  <c r="I3877" i="1" s="1"/>
  <c r="I3878" i="1" a="1"/>
  <c r="I3878" i="1" s="1"/>
  <c r="I3879" i="1" a="1"/>
  <c r="I3879" i="1" s="1"/>
  <c r="I3880" i="1" a="1"/>
  <c r="I3880" i="1" s="1"/>
  <c r="I3881" i="1" a="1"/>
  <c r="I3881" i="1" s="1"/>
  <c r="I3882" i="1" a="1"/>
  <c r="I3882" i="1" s="1"/>
  <c r="I3883" i="1" a="1"/>
  <c r="I3883" i="1" s="1"/>
  <c r="I3884" i="1" a="1"/>
  <c r="I3884" i="1" s="1"/>
  <c r="I3885" i="1" a="1"/>
  <c r="I3885" i="1" s="1"/>
  <c r="I3886" i="1" a="1"/>
  <c r="I3886" i="1" s="1"/>
  <c r="I3887" i="1" a="1"/>
  <c r="I3887" i="1" s="1"/>
  <c r="I3888" i="1" a="1"/>
  <c r="I3888" i="1" s="1"/>
  <c r="I3889" i="1" a="1"/>
  <c r="I3889" i="1" s="1"/>
  <c r="I3890" i="1" a="1"/>
  <c r="I3890" i="1" s="1"/>
  <c r="I3891" i="1" a="1"/>
  <c r="I3891" i="1" s="1"/>
  <c r="I3892" i="1" a="1"/>
  <c r="I3892" i="1" s="1"/>
  <c r="I3893" i="1" a="1"/>
  <c r="I3893" i="1" s="1"/>
  <c r="I3894" i="1" a="1"/>
  <c r="I3894" i="1" s="1"/>
  <c r="I3895" i="1" a="1"/>
  <c r="I3895" i="1" s="1"/>
  <c r="I3896" i="1" a="1"/>
  <c r="I3896" i="1" s="1"/>
  <c r="I3897" i="1" a="1"/>
  <c r="I3897" i="1" s="1"/>
  <c r="I3898" i="1" a="1"/>
  <c r="I3898" i="1" s="1"/>
  <c r="I3899" i="1" a="1"/>
  <c r="I3899" i="1" s="1"/>
  <c r="I3900" i="1" a="1"/>
  <c r="I3900" i="1" s="1"/>
  <c r="I3901" i="1" a="1"/>
  <c r="I3901" i="1" s="1"/>
  <c r="I3902" i="1" a="1"/>
  <c r="I3902" i="1" s="1"/>
  <c r="I3903" i="1" a="1"/>
  <c r="I3903" i="1" s="1"/>
  <c r="I3904" i="1" a="1"/>
  <c r="I3904" i="1" s="1"/>
  <c r="I3905" i="1" a="1"/>
  <c r="I3905" i="1" s="1"/>
  <c r="I3906" i="1" a="1"/>
  <c r="I3906" i="1" s="1"/>
  <c r="I3907" i="1" a="1"/>
  <c r="I3907" i="1" s="1"/>
  <c r="I3908" i="1" a="1"/>
  <c r="I3908" i="1" s="1"/>
  <c r="I3909" i="1" a="1"/>
  <c r="I3909" i="1" s="1"/>
  <c r="I3910" i="1" a="1"/>
  <c r="I3910" i="1" s="1"/>
  <c r="I3911" i="1" a="1"/>
  <c r="I3911" i="1" s="1"/>
  <c r="I3912" i="1" a="1"/>
  <c r="I3912" i="1" s="1"/>
  <c r="I3913" i="1" a="1"/>
  <c r="I3913" i="1" s="1"/>
  <c r="I3914" i="1" a="1"/>
  <c r="I3914" i="1" s="1"/>
  <c r="I3915" i="1" a="1"/>
  <c r="I3915" i="1" s="1"/>
  <c r="I3916" i="1" a="1"/>
  <c r="I3916" i="1" s="1"/>
  <c r="I3917" i="1" a="1"/>
  <c r="I3917" i="1" s="1"/>
  <c r="I3918" i="1" a="1"/>
  <c r="I3918" i="1" s="1"/>
  <c r="I3919" i="1" a="1"/>
  <c r="I3919" i="1" s="1"/>
  <c r="I3920" i="1" a="1"/>
  <c r="I3920" i="1" s="1"/>
  <c r="I3921" i="1" a="1"/>
  <c r="I3921" i="1" s="1"/>
  <c r="I3922" i="1" a="1"/>
  <c r="I3922" i="1" s="1"/>
  <c r="I3923" i="1" a="1"/>
  <c r="I3923" i="1" s="1"/>
  <c r="I3924" i="1" a="1"/>
  <c r="I3924" i="1" s="1"/>
  <c r="I3925" i="1" a="1"/>
  <c r="I3925" i="1" s="1"/>
  <c r="I3926" i="1" a="1"/>
  <c r="I3926" i="1" s="1"/>
  <c r="I3927" i="1" a="1"/>
  <c r="I3927" i="1" s="1"/>
  <c r="I3928" i="1" a="1"/>
  <c r="I3928" i="1" s="1"/>
  <c r="I3929" i="1" a="1"/>
  <c r="I3929" i="1" s="1"/>
  <c r="I3930" i="1" a="1"/>
  <c r="I3930" i="1" s="1"/>
  <c r="I3931" i="1" a="1"/>
  <c r="I3931" i="1" s="1"/>
  <c r="I3932" i="1" a="1"/>
  <c r="I3932" i="1" s="1"/>
  <c r="I3933" i="1" a="1"/>
  <c r="I3933" i="1" s="1"/>
  <c r="I3934" i="1" a="1"/>
  <c r="I3934" i="1" s="1"/>
  <c r="I3935" i="1" a="1"/>
  <c r="I3935" i="1" s="1"/>
  <c r="I3936" i="1" a="1"/>
  <c r="I3936" i="1" s="1"/>
  <c r="I3937" i="1" a="1"/>
  <c r="I3937" i="1" s="1"/>
  <c r="I3938" i="1" a="1"/>
  <c r="I3938" i="1" s="1"/>
  <c r="I3939" i="1" a="1"/>
  <c r="I3939" i="1" s="1"/>
  <c r="I3940" i="1" a="1"/>
  <c r="I3940" i="1" s="1"/>
  <c r="I3941" i="1" a="1"/>
  <c r="I3941" i="1" s="1"/>
  <c r="I3942" i="1" a="1"/>
  <c r="I3942" i="1" s="1"/>
  <c r="I3943" i="1" a="1"/>
  <c r="I3943" i="1" s="1"/>
  <c r="I3944" i="1" a="1"/>
  <c r="I3944" i="1" s="1"/>
  <c r="I3945" i="1" a="1"/>
  <c r="I3945" i="1" s="1"/>
  <c r="I3946" i="1" a="1"/>
  <c r="I3946" i="1" s="1"/>
  <c r="I3947" i="1" a="1"/>
  <c r="I3947" i="1" s="1"/>
  <c r="I3948" i="1" a="1"/>
  <c r="I3948" i="1" s="1"/>
  <c r="I3949" i="1" a="1"/>
  <c r="I3949" i="1" s="1"/>
  <c r="I3950" i="1" a="1"/>
  <c r="I3950" i="1" s="1"/>
  <c r="I3951" i="1" a="1"/>
  <c r="I3951" i="1" s="1"/>
  <c r="I3952" i="1" a="1"/>
  <c r="I3952" i="1" s="1"/>
  <c r="I3953" i="1" a="1"/>
  <c r="I3953" i="1" s="1"/>
  <c r="I3954" i="1" a="1"/>
  <c r="I3954" i="1" s="1"/>
  <c r="I3955" i="1" a="1"/>
  <c r="I3955" i="1" s="1"/>
  <c r="I3956" i="1" a="1"/>
  <c r="I3956" i="1" s="1"/>
  <c r="I3957" i="1" a="1"/>
  <c r="I3957" i="1" s="1"/>
  <c r="I3958" i="1" a="1"/>
  <c r="I3958" i="1" s="1"/>
  <c r="I3959" i="1" a="1"/>
  <c r="I3959" i="1" s="1"/>
  <c r="I3960" i="1" a="1"/>
  <c r="I3960" i="1" s="1"/>
  <c r="I3961" i="1" a="1"/>
  <c r="I3961" i="1" s="1"/>
  <c r="I3962" i="1" a="1"/>
  <c r="I3962" i="1" s="1"/>
  <c r="I3963" i="1" a="1"/>
  <c r="I3963" i="1" s="1"/>
  <c r="I3964" i="1" a="1"/>
  <c r="I3964" i="1" s="1"/>
  <c r="I3965" i="1" a="1"/>
  <c r="I3965" i="1" s="1"/>
  <c r="I3966" i="1" a="1"/>
  <c r="I3966" i="1" s="1"/>
  <c r="I3967" i="1" a="1"/>
  <c r="I3967" i="1" s="1"/>
  <c r="I3968" i="1" a="1"/>
  <c r="I3968" i="1" s="1"/>
  <c r="I3969" i="1" a="1"/>
  <c r="I3969" i="1" s="1"/>
  <c r="I3970" i="1" a="1"/>
  <c r="I3970" i="1" s="1"/>
  <c r="I3971" i="1" a="1"/>
  <c r="I3971" i="1" s="1"/>
  <c r="I3972" i="1" a="1"/>
  <c r="I3972" i="1" s="1"/>
  <c r="I3973" i="1" a="1"/>
  <c r="I3973" i="1" s="1"/>
  <c r="I3974" i="1" a="1"/>
  <c r="I3974" i="1" s="1"/>
  <c r="I3975" i="1" a="1"/>
  <c r="I3975" i="1" s="1"/>
  <c r="I3976" i="1" a="1"/>
  <c r="I3976" i="1" s="1"/>
  <c r="I3977" i="1" a="1"/>
  <c r="I3977" i="1" s="1"/>
  <c r="I3978" i="1" a="1"/>
  <c r="I3978" i="1" s="1"/>
  <c r="I3979" i="1" a="1"/>
  <c r="I3979" i="1" s="1"/>
  <c r="I3980" i="1" a="1"/>
  <c r="I3980" i="1" s="1"/>
  <c r="I3981" i="1" a="1"/>
  <c r="I3981" i="1" s="1"/>
  <c r="I3982" i="1" a="1"/>
  <c r="I3982" i="1" s="1"/>
  <c r="I3983" i="1" a="1"/>
  <c r="I3983" i="1" s="1"/>
  <c r="I3984" i="1" a="1"/>
  <c r="I3984" i="1" s="1"/>
  <c r="I3985" i="1" a="1"/>
  <c r="I3985" i="1" s="1"/>
  <c r="I3986" i="1" a="1"/>
  <c r="I3986" i="1" s="1"/>
  <c r="I3987" i="1" a="1"/>
  <c r="I3987" i="1" s="1"/>
  <c r="I3988" i="1" a="1"/>
  <c r="I3988" i="1" s="1"/>
  <c r="I3989" i="1" a="1"/>
  <c r="I3989" i="1" s="1"/>
  <c r="I3990" i="1" a="1"/>
  <c r="I3990" i="1" s="1"/>
  <c r="I3991" i="1" a="1"/>
  <c r="I3991" i="1" s="1"/>
  <c r="I3992" i="1" a="1"/>
  <c r="I3992" i="1" s="1"/>
  <c r="I3993" i="1" a="1"/>
  <c r="I3993" i="1" s="1"/>
  <c r="I3994" i="1" a="1"/>
  <c r="I3994" i="1" s="1"/>
  <c r="I3995" i="1" a="1"/>
  <c r="I3995" i="1" s="1"/>
  <c r="I3996" i="1" a="1"/>
  <c r="I3996" i="1" s="1"/>
  <c r="I3997" i="1" a="1"/>
  <c r="I3997" i="1" s="1"/>
  <c r="I3998" i="1" a="1"/>
  <c r="I3998" i="1" s="1"/>
  <c r="I3999" i="1" a="1"/>
  <c r="I3999" i="1" s="1"/>
  <c r="I4000" i="1" a="1"/>
  <c r="I4000" i="1" s="1"/>
  <c r="I4001" i="1" a="1"/>
  <c r="I4001" i="1" s="1"/>
  <c r="I4002" i="1" a="1"/>
  <c r="I4002" i="1" s="1"/>
  <c r="I4003" i="1" a="1"/>
  <c r="I4003" i="1" s="1"/>
  <c r="I4004" i="1" a="1"/>
  <c r="I4004" i="1" s="1"/>
  <c r="I4005" i="1" a="1"/>
  <c r="I4005" i="1" s="1"/>
  <c r="I4006" i="1" a="1"/>
  <c r="I4006" i="1" s="1"/>
  <c r="I4007" i="1" a="1"/>
  <c r="I4007" i="1" s="1"/>
  <c r="I4008" i="1" a="1"/>
  <c r="I4008" i="1" s="1"/>
  <c r="I4009" i="1" a="1"/>
  <c r="I4009" i="1" s="1"/>
  <c r="I4010" i="1" a="1"/>
  <c r="I4010" i="1" s="1"/>
  <c r="I4011" i="1" a="1"/>
  <c r="I4011" i="1" s="1"/>
  <c r="I4012" i="1" a="1"/>
  <c r="I4012" i="1" s="1"/>
  <c r="I4013" i="1" a="1"/>
  <c r="I4013" i="1" s="1"/>
  <c r="I4014" i="1" a="1"/>
  <c r="I4014" i="1" s="1"/>
  <c r="I4015" i="1" a="1"/>
  <c r="I4015" i="1" s="1"/>
  <c r="I4016" i="1" a="1"/>
  <c r="I4016" i="1" s="1"/>
  <c r="I4017" i="1" a="1"/>
  <c r="I4017" i="1" s="1"/>
  <c r="I4018" i="1" a="1"/>
  <c r="I4018" i="1" s="1"/>
  <c r="I4019" i="1" a="1"/>
  <c r="I4019" i="1" s="1"/>
  <c r="I4020" i="1" a="1"/>
  <c r="I4020" i="1" s="1"/>
  <c r="I4021" i="1" a="1"/>
  <c r="I4021" i="1" s="1"/>
  <c r="I4022" i="1" a="1"/>
  <c r="I4022" i="1" s="1"/>
  <c r="I4023" i="1" a="1"/>
  <c r="I4023" i="1" s="1"/>
  <c r="I4024" i="1" a="1"/>
  <c r="I4024" i="1" s="1"/>
  <c r="I4025" i="1" a="1"/>
  <c r="I4025" i="1" s="1"/>
  <c r="I4026" i="1" a="1"/>
  <c r="I4026" i="1" s="1"/>
  <c r="I4027" i="1" a="1"/>
  <c r="I4027" i="1" s="1"/>
  <c r="I4028" i="1" a="1"/>
  <c r="I4028" i="1" s="1"/>
  <c r="I4029" i="1" a="1"/>
  <c r="I4029" i="1" s="1"/>
  <c r="I4030" i="1" a="1"/>
  <c r="I4030" i="1" s="1"/>
  <c r="I4031" i="1" a="1"/>
  <c r="I4031" i="1" s="1"/>
  <c r="I4032" i="1" a="1"/>
  <c r="I4032" i="1" s="1"/>
  <c r="I4033" i="1" a="1"/>
  <c r="I4033" i="1" s="1"/>
  <c r="I4034" i="1" a="1"/>
  <c r="I4034" i="1" s="1"/>
  <c r="I4035" i="1" a="1"/>
  <c r="I4035" i="1" s="1"/>
  <c r="I4036" i="1" a="1"/>
  <c r="I4036" i="1" s="1"/>
  <c r="I4037" i="1" a="1"/>
  <c r="I4037" i="1" s="1"/>
  <c r="I4038" i="1" a="1"/>
  <c r="I4038" i="1" s="1"/>
  <c r="I4039" i="1" a="1"/>
  <c r="I4039" i="1" s="1"/>
  <c r="I4040" i="1" a="1"/>
  <c r="I4040" i="1" s="1"/>
  <c r="I4041" i="1" a="1"/>
  <c r="I4041" i="1" s="1"/>
  <c r="I4042" i="1" a="1"/>
  <c r="I4042" i="1" s="1"/>
  <c r="I4043" i="1" a="1"/>
  <c r="I4043" i="1" s="1"/>
  <c r="I4044" i="1" a="1"/>
  <c r="I4044" i="1" s="1"/>
  <c r="I4045" i="1" a="1"/>
  <c r="I4045" i="1" s="1"/>
  <c r="I4046" i="1" a="1"/>
  <c r="I4046" i="1" s="1"/>
  <c r="I4047" i="1" a="1"/>
  <c r="I4047" i="1" s="1"/>
  <c r="I4048" i="1" a="1"/>
  <c r="I4048" i="1" s="1"/>
  <c r="I4049" i="1" a="1"/>
  <c r="I4049" i="1" s="1"/>
  <c r="I4050" i="1" a="1"/>
  <c r="I4050" i="1" s="1"/>
  <c r="I4051" i="1" a="1"/>
  <c r="I4051" i="1" s="1"/>
  <c r="I4052" i="1" a="1"/>
  <c r="I4052" i="1" s="1"/>
  <c r="I4053" i="1" a="1"/>
  <c r="I4053" i="1" s="1"/>
  <c r="I4054" i="1" a="1"/>
  <c r="I4054" i="1" s="1"/>
  <c r="I4055" i="1" a="1"/>
  <c r="I4055" i="1" s="1"/>
  <c r="I4056" i="1" a="1"/>
  <c r="I4056" i="1" s="1"/>
  <c r="I4057" i="1" a="1"/>
  <c r="I4057" i="1" s="1"/>
  <c r="I4058" i="1" a="1"/>
  <c r="I4058" i="1" s="1"/>
  <c r="I4059" i="1" a="1"/>
  <c r="I4059" i="1" s="1"/>
  <c r="I4060" i="1" a="1"/>
  <c r="I4060" i="1" s="1"/>
  <c r="I4061" i="1" a="1"/>
  <c r="I4061" i="1" s="1"/>
  <c r="I4062" i="1" a="1"/>
  <c r="I4062" i="1" s="1"/>
  <c r="I4063" i="1" a="1"/>
  <c r="I4063" i="1" s="1"/>
  <c r="I4064" i="1" a="1"/>
  <c r="I4064" i="1" s="1"/>
  <c r="I4065" i="1" a="1"/>
  <c r="I4065" i="1" s="1"/>
  <c r="I4066" i="1" a="1"/>
  <c r="I4066" i="1" s="1"/>
  <c r="I4067" i="1" a="1"/>
  <c r="I4067" i="1" s="1"/>
  <c r="I4068" i="1" a="1"/>
  <c r="I4068" i="1" s="1"/>
  <c r="I4069" i="1" a="1"/>
  <c r="I4069" i="1" s="1"/>
  <c r="I4070" i="1" a="1"/>
  <c r="I4070" i="1" s="1"/>
  <c r="I4071" i="1" a="1"/>
  <c r="I4071" i="1" s="1"/>
  <c r="I4072" i="1" a="1"/>
  <c r="I4072" i="1" s="1"/>
  <c r="I4073" i="1" a="1"/>
  <c r="I4073" i="1" s="1"/>
  <c r="I4074" i="1" a="1"/>
  <c r="I4074" i="1" s="1"/>
  <c r="I4075" i="1" a="1"/>
  <c r="I4075" i="1" s="1"/>
  <c r="I4076" i="1" a="1"/>
  <c r="I4076" i="1" s="1"/>
  <c r="I4077" i="1" a="1"/>
  <c r="I4077" i="1" s="1"/>
  <c r="I4078" i="1" a="1"/>
  <c r="I4078" i="1" s="1"/>
  <c r="I4079" i="1" a="1"/>
  <c r="I4079" i="1" s="1"/>
  <c r="I4080" i="1" a="1"/>
  <c r="I4080" i="1" s="1"/>
  <c r="I4081" i="1" a="1"/>
  <c r="I4081" i="1" s="1"/>
  <c r="I4082" i="1" a="1"/>
  <c r="I4082" i="1" s="1"/>
  <c r="I4083" i="1" a="1"/>
  <c r="I4083" i="1" s="1"/>
  <c r="I4084" i="1" a="1"/>
  <c r="I4084" i="1" s="1"/>
  <c r="I4085" i="1" a="1"/>
  <c r="I4085" i="1" s="1"/>
  <c r="I4086" i="1" a="1"/>
  <c r="I4086" i="1" s="1"/>
  <c r="I4087" i="1" a="1"/>
  <c r="I4087" i="1" s="1"/>
  <c r="I4088" i="1" a="1"/>
  <c r="I4088" i="1" s="1"/>
  <c r="I4089" i="1" a="1"/>
  <c r="I4089" i="1" s="1"/>
  <c r="I4090" i="1" a="1"/>
  <c r="I4090" i="1" s="1"/>
  <c r="I4091" i="1" a="1"/>
  <c r="I4091" i="1" s="1"/>
  <c r="I4092" i="1" a="1"/>
  <c r="I4092" i="1" s="1"/>
  <c r="I4093" i="1" a="1"/>
  <c r="I4093" i="1" s="1"/>
  <c r="I4094" i="1" a="1"/>
  <c r="I4094" i="1" s="1"/>
  <c r="I4095" i="1" a="1"/>
  <c r="I4095" i="1" s="1"/>
  <c r="I4096" i="1" a="1"/>
  <c r="I4096" i="1" s="1"/>
  <c r="I4097" i="1" a="1"/>
  <c r="I4097" i="1" s="1"/>
  <c r="I4098" i="1" a="1"/>
  <c r="I4098" i="1" s="1"/>
  <c r="I4099" i="1" a="1"/>
  <c r="I4099" i="1" s="1"/>
  <c r="I4100" i="1" a="1"/>
  <c r="I4100" i="1" s="1"/>
  <c r="I4101" i="1" a="1"/>
  <c r="I4101" i="1" s="1"/>
  <c r="I4102" i="1" a="1"/>
  <c r="I4102" i="1" s="1"/>
  <c r="I4103" i="1" a="1"/>
  <c r="I4103" i="1" s="1"/>
  <c r="I4104" i="1" a="1"/>
  <c r="I4104" i="1" s="1"/>
  <c r="I4105" i="1" a="1"/>
  <c r="I4105" i="1" s="1"/>
  <c r="I4106" i="1" a="1"/>
  <c r="I4106" i="1" s="1"/>
  <c r="I4107" i="1" a="1"/>
  <c r="I4107" i="1" s="1"/>
  <c r="I4108" i="1" a="1"/>
  <c r="I4108" i="1" s="1"/>
  <c r="I4109" i="1" a="1"/>
  <c r="I4109" i="1" s="1"/>
  <c r="I4110" i="1" a="1"/>
  <c r="I4110" i="1" s="1"/>
  <c r="I4111" i="1" a="1"/>
  <c r="I4111" i="1" s="1"/>
  <c r="I4112" i="1" a="1"/>
  <c r="I4112" i="1" s="1"/>
  <c r="I4113" i="1" a="1"/>
  <c r="I4113" i="1" s="1"/>
  <c r="I4114" i="1" a="1"/>
  <c r="I4114" i="1" s="1"/>
  <c r="I4115" i="1" a="1"/>
  <c r="I4115" i="1" s="1"/>
  <c r="I4116" i="1" a="1"/>
  <c r="I4116" i="1" s="1"/>
  <c r="I4117" i="1" a="1"/>
  <c r="I4117" i="1" s="1"/>
  <c r="I4118" i="1" a="1"/>
  <c r="I4118" i="1" s="1"/>
  <c r="I4119" i="1" a="1"/>
  <c r="I4119" i="1" s="1"/>
  <c r="I4120" i="1" a="1"/>
  <c r="I4120" i="1" s="1"/>
  <c r="I4121" i="1" a="1"/>
  <c r="I4121" i="1" s="1"/>
  <c r="I4122" i="1" a="1"/>
  <c r="I4122" i="1" s="1"/>
  <c r="I4123" i="1" a="1"/>
  <c r="I4123" i="1" s="1"/>
  <c r="I4124" i="1" a="1"/>
  <c r="I4124" i="1" s="1"/>
  <c r="I4125" i="1" a="1"/>
  <c r="I4125" i="1" s="1"/>
  <c r="I4126" i="1" a="1"/>
  <c r="I4126" i="1" s="1"/>
  <c r="I4127" i="1" a="1"/>
  <c r="I4127" i="1" s="1"/>
  <c r="I4128" i="1" a="1"/>
  <c r="I4128" i="1" s="1"/>
  <c r="I4129" i="1" a="1"/>
  <c r="I4129" i="1" s="1"/>
  <c r="I4130" i="1" a="1"/>
  <c r="I4130" i="1" s="1"/>
  <c r="I4131" i="1" a="1"/>
  <c r="I4131" i="1" s="1"/>
  <c r="I4132" i="1" a="1"/>
  <c r="I4132" i="1" s="1"/>
  <c r="I4133" i="1" a="1"/>
  <c r="I4133" i="1" s="1"/>
  <c r="I4134" i="1" a="1"/>
  <c r="I4134" i="1" s="1"/>
  <c r="I4135" i="1" a="1"/>
  <c r="I4135" i="1" s="1"/>
  <c r="I4136" i="1" a="1"/>
  <c r="I4136" i="1" s="1"/>
  <c r="I4137" i="1" a="1"/>
  <c r="I4137" i="1" s="1"/>
  <c r="I4138" i="1" a="1"/>
  <c r="I4138" i="1" s="1"/>
  <c r="I4139" i="1" a="1"/>
  <c r="I4139" i="1" s="1"/>
  <c r="I4140" i="1" a="1"/>
  <c r="I4140" i="1" s="1"/>
  <c r="I4141" i="1" a="1"/>
  <c r="I4141" i="1" s="1"/>
  <c r="I4142" i="1" a="1"/>
  <c r="I4142" i="1" s="1"/>
  <c r="I4143" i="1" a="1"/>
  <c r="I4143" i="1" s="1"/>
  <c r="I4144" i="1" a="1"/>
  <c r="I4144" i="1" s="1"/>
  <c r="I4145" i="1" a="1"/>
  <c r="I4145" i="1" s="1"/>
  <c r="I4146" i="1" a="1"/>
  <c r="I4146" i="1" s="1"/>
  <c r="I4147" i="1" a="1"/>
  <c r="I4147" i="1" s="1"/>
  <c r="I4148" i="1" a="1"/>
  <c r="I4148" i="1" s="1"/>
  <c r="I4149" i="1" a="1"/>
  <c r="I4149" i="1" s="1"/>
  <c r="I4150" i="1" a="1"/>
  <c r="I4150" i="1" s="1"/>
  <c r="I4151" i="1" a="1"/>
  <c r="I4151" i="1" s="1"/>
  <c r="I4152" i="1" a="1"/>
  <c r="I4152" i="1" s="1"/>
  <c r="I4153" i="1" a="1"/>
  <c r="I4153" i="1" s="1"/>
  <c r="I4154" i="1" a="1"/>
  <c r="I4154" i="1" s="1"/>
  <c r="I4155" i="1" a="1"/>
  <c r="I4155" i="1" s="1"/>
  <c r="I4156" i="1" a="1"/>
  <c r="I4156" i="1" s="1"/>
  <c r="I4157" i="1" a="1"/>
  <c r="I4157" i="1" s="1"/>
  <c r="I4158" i="1" a="1"/>
  <c r="I4158" i="1" s="1"/>
  <c r="I4159" i="1" a="1"/>
  <c r="I4159" i="1" s="1"/>
  <c r="I4160" i="1" a="1"/>
  <c r="I4160" i="1" s="1"/>
  <c r="I4161" i="1" a="1"/>
  <c r="I4161" i="1" s="1"/>
  <c r="I4162" i="1" a="1"/>
  <c r="I4162" i="1" s="1"/>
  <c r="I4163" i="1" a="1"/>
  <c r="I4163" i="1" s="1"/>
  <c r="I4164" i="1" a="1"/>
  <c r="I4164" i="1" s="1"/>
  <c r="I4165" i="1" a="1"/>
  <c r="I4165" i="1" s="1"/>
  <c r="I4166" i="1" a="1"/>
  <c r="I4166" i="1" s="1"/>
  <c r="I4167" i="1" a="1"/>
  <c r="I4167" i="1" s="1"/>
  <c r="I4168" i="1" a="1"/>
  <c r="I4168" i="1" s="1"/>
  <c r="I4169" i="1" a="1"/>
  <c r="I4169" i="1" s="1"/>
  <c r="I4170" i="1" a="1"/>
  <c r="I4170" i="1" s="1"/>
  <c r="I4171" i="1" a="1"/>
  <c r="I4171" i="1" s="1"/>
  <c r="I4172" i="1" a="1"/>
  <c r="I4172" i="1" s="1"/>
  <c r="I4173" i="1" a="1"/>
  <c r="I4173" i="1" s="1"/>
  <c r="I4174" i="1" a="1"/>
  <c r="I4174" i="1" s="1"/>
  <c r="I4175" i="1" a="1"/>
  <c r="I4175" i="1" s="1"/>
  <c r="I4176" i="1" a="1"/>
  <c r="I4176" i="1" s="1"/>
  <c r="I4177" i="1" a="1"/>
  <c r="I4177" i="1" s="1"/>
  <c r="I4178" i="1" a="1"/>
  <c r="I4178" i="1" s="1"/>
  <c r="I4179" i="1" a="1"/>
  <c r="I4179" i="1" s="1"/>
  <c r="I4180" i="1" a="1"/>
  <c r="I4180" i="1" s="1"/>
  <c r="I4181" i="1" a="1"/>
  <c r="I4181" i="1" s="1"/>
  <c r="I4182" i="1" a="1"/>
  <c r="I4182" i="1" s="1"/>
  <c r="I4183" i="1" a="1"/>
  <c r="I4183" i="1" s="1"/>
  <c r="I4184" i="1" a="1"/>
  <c r="I4184" i="1" s="1"/>
  <c r="I4185" i="1" a="1"/>
  <c r="I4185" i="1" s="1"/>
  <c r="I4186" i="1" a="1"/>
  <c r="I4186" i="1" s="1"/>
  <c r="I4187" i="1" a="1"/>
  <c r="I4187" i="1" s="1"/>
  <c r="I4188" i="1" a="1"/>
  <c r="I4188" i="1" s="1"/>
  <c r="I4189" i="1" a="1"/>
  <c r="I4189" i="1" s="1"/>
  <c r="I4190" i="1" a="1"/>
  <c r="I4190" i="1" s="1"/>
  <c r="I4191" i="1" a="1"/>
  <c r="I4191" i="1" s="1"/>
  <c r="I4192" i="1" a="1"/>
  <c r="I4192" i="1" s="1"/>
  <c r="I4193" i="1" a="1"/>
  <c r="I4193" i="1" s="1"/>
  <c r="I4194" i="1" a="1"/>
  <c r="I4194" i="1" s="1"/>
  <c r="I4195" i="1" a="1"/>
  <c r="I4195" i="1" s="1"/>
  <c r="I4196" i="1" a="1"/>
  <c r="I4196" i="1" s="1"/>
  <c r="I4197" i="1" a="1"/>
  <c r="I4197" i="1" s="1"/>
  <c r="I4198" i="1" a="1"/>
  <c r="I4198" i="1" s="1"/>
  <c r="I4199" i="1" a="1"/>
  <c r="I4199" i="1" s="1"/>
  <c r="I4200" i="1" a="1"/>
  <c r="I4200" i="1" s="1"/>
  <c r="I4201" i="1" a="1"/>
  <c r="I4201" i="1" s="1"/>
  <c r="I4202" i="1" a="1"/>
  <c r="I4202" i="1" s="1"/>
  <c r="I4203" i="1" a="1"/>
  <c r="I4203" i="1" s="1"/>
  <c r="I4204" i="1" a="1"/>
  <c r="I4204" i="1" s="1"/>
  <c r="I4205" i="1" a="1"/>
  <c r="I4205" i="1" s="1"/>
  <c r="I4206" i="1" a="1"/>
  <c r="I4206" i="1" s="1"/>
  <c r="I4207" i="1" a="1"/>
  <c r="I4207" i="1" s="1"/>
  <c r="I4208" i="1" a="1"/>
  <c r="I4208" i="1" s="1"/>
  <c r="I4209" i="1" a="1"/>
  <c r="I4209" i="1" s="1"/>
  <c r="I4210" i="1" a="1"/>
  <c r="I4210" i="1" s="1"/>
  <c r="I4211" i="1" a="1"/>
  <c r="I4211" i="1" s="1"/>
  <c r="I4212" i="1" a="1"/>
  <c r="I4212" i="1" s="1"/>
  <c r="I4213" i="1" a="1"/>
  <c r="I4213" i="1" s="1"/>
  <c r="I4214" i="1" a="1"/>
  <c r="I4214" i="1" s="1"/>
  <c r="I4215" i="1" a="1"/>
  <c r="I4215" i="1" s="1"/>
  <c r="I4216" i="1" a="1"/>
  <c r="I4216" i="1" s="1"/>
  <c r="I4217" i="1" a="1"/>
  <c r="I4217" i="1" s="1"/>
  <c r="I4218" i="1" a="1"/>
  <c r="I4218" i="1" s="1"/>
  <c r="I4219" i="1" a="1"/>
  <c r="I4219" i="1" s="1"/>
  <c r="I4220" i="1" a="1"/>
  <c r="I4220" i="1" s="1"/>
  <c r="I4221" i="1" a="1"/>
  <c r="I4221" i="1" s="1"/>
  <c r="I4222" i="1" a="1"/>
  <c r="I4222" i="1" s="1"/>
  <c r="I4223" i="1" a="1"/>
  <c r="I4223" i="1" s="1"/>
  <c r="I4224" i="1" a="1"/>
  <c r="I4224" i="1" s="1"/>
  <c r="I4225" i="1" a="1"/>
  <c r="I4225" i="1" s="1"/>
  <c r="I4226" i="1" a="1"/>
  <c r="I4226" i="1" s="1"/>
  <c r="I4227" i="1" a="1"/>
  <c r="I4227" i="1" s="1"/>
  <c r="I4228" i="1" a="1"/>
  <c r="I4228" i="1" s="1"/>
  <c r="I4229" i="1" a="1"/>
  <c r="I4229" i="1" s="1"/>
  <c r="I4230" i="1" a="1"/>
  <c r="I4230" i="1" s="1"/>
  <c r="I4231" i="1" a="1"/>
  <c r="I4231" i="1" s="1"/>
  <c r="I4232" i="1" a="1"/>
  <c r="I4232" i="1" s="1"/>
  <c r="I4233" i="1" a="1"/>
  <c r="I4233" i="1" s="1"/>
  <c r="I4234" i="1" a="1"/>
  <c r="I4234" i="1" s="1"/>
  <c r="I4235" i="1" a="1"/>
  <c r="I4235" i="1" s="1"/>
  <c r="I4236" i="1" a="1"/>
  <c r="I4236" i="1" s="1"/>
  <c r="I4237" i="1" a="1"/>
  <c r="I4237" i="1" s="1"/>
  <c r="I4238" i="1" a="1"/>
  <c r="I4238" i="1" s="1"/>
  <c r="I4239" i="1" a="1"/>
  <c r="I4239" i="1" s="1"/>
  <c r="I4240" i="1" a="1"/>
  <c r="I4240" i="1" s="1"/>
  <c r="I4241" i="1" a="1"/>
  <c r="I4241" i="1" s="1"/>
  <c r="I4242" i="1" a="1"/>
  <c r="I4242" i="1" s="1"/>
  <c r="I4243" i="1" a="1"/>
  <c r="I4243" i="1" s="1"/>
  <c r="I4244" i="1" a="1"/>
  <c r="I4244" i="1" s="1"/>
  <c r="I4245" i="1" a="1"/>
  <c r="I4245" i="1" s="1"/>
  <c r="I4246" i="1" a="1"/>
  <c r="I4246" i="1" s="1"/>
  <c r="I4247" i="1" a="1"/>
  <c r="I4247" i="1" s="1"/>
  <c r="I4248" i="1" a="1"/>
  <c r="I4248" i="1" s="1"/>
  <c r="I4249" i="1" a="1"/>
  <c r="I4249" i="1" s="1"/>
  <c r="I4250" i="1" a="1"/>
  <c r="I4250" i="1" s="1"/>
  <c r="I4251" i="1" a="1"/>
  <c r="I4251" i="1" s="1"/>
  <c r="I4252" i="1" a="1"/>
  <c r="I4252" i="1" s="1"/>
  <c r="I4253" i="1" a="1"/>
  <c r="I4253" i="1" s="1"/>
  <c r="I4254" i="1" a="1"/>
  <c r="I4254" i="1" s="1"/>
  <c r="I4255" i="1" a="1"/>
  <c r="I4255" i="1" s="1"/>
  <c r="I4256" i="1" a="1"/>
  <c r="I4256" i="1" s="1"/>
  <c r="I4257" i="1" a="1"/>
  <c r="I4257" i="1" s="1"/>
  <c r="I4258" i="1" a="1"/>
  <c r="I4258" i="1" s="1"/>
  <c r="I4259" i="1" a="1"/>
  <c r="I4259" i="1" s="1"/>
  <c r="I4260" i="1" a="1"/>
  <c r="I4260" i="1" s="1"/>
  <c r="I4261" i="1" a="1"/>
  <c r="I4261" i="1" s="1"/>
  <c r="I4262" i="1" a="1"/>
  <c r="I4262" i="1" s="1"/>
  <c r="I4263" i="1" a="1"/>
  <c r="I4263" i="1" s="1"/>
  <c r="I4264" i="1" a="1"/>
  <c r="I4264" i="1" s="1"/>
  <c r="I4265" i="1" a="1"/>
  <c r="I4265" i="1" s="1"/>
  <c r="I4266" i="1" a="1"/>
  <c r="I4266" i="1" s="1"/>
  <c r="I4267" i="1" a="1"/>
  <c r="I4267" i="1" s="1"/>
  <c r="I4268" i="1" a="1"/>
  <c r="I4268" i="1" s="1"/>
  <c r="I4269" i="1" a="1"/>
  <c r="I4269" i="1" s="1"/>
  <c r="I4270" i="1" a="1"/>
  <c r="I4270" i="1" s="1"/>
  <c r="I4271" i="1" a="1"/>
  <c r="I4271" i="1" s="1"/>
  <c r="I4272" i="1" a="1"/>
  <c r="I4272" i="1" s="1"/>
  <c r="I4273" i="1" a="1"/>
  <c r="I4273" i="1" s="1"/>
  <c r="I4274" i="1" a="1"/>
  <c r="I4274" i="1" s="1"/>
  <c r="I4275" i="1" a="1"/>
  <c r="I4275" i="1" s="1"/>
  <c r="I4276" i="1" a="1"/>
  <c r="I4276" i="1" s="1"/>
  <c r="I4277" i="1" a="1"/>
  <c r="I4277" i="1" s="1"/>
  <c r="I4278" i="1" a="1"/>
  <c r="I4278" i="1" s="1"/>
  <c r="I4279" i="1" a="1"/>
  <c r="I4279" i="1" s="1"/>
  <c r="I4280" i="1" a="1"/>
  <c r="I4280" i="1" s="1"/>
  <c r="I4281" i="1" a="1"/>
  <c r="I4281" i="1" s="1"/>
  <c r="I4282" i="1" a="1"/>
  <c r="I4282" i="1" s="1"/>
  <c r="I4283" i="1" a="1"/>
  <c r="I4283" i="1" s="1"/>
  <c r="I4284" i="1" a="1"/>
  <c r="I4284" i="1" s="1"/>
  <c r="I4285" i="1" a="1"/>
  <c r="I4285" i="1" s="1"/>
  <c r="I4286" i="1" a="1"/>
  <c r="I4286" i="1" s="1"/>
  <c r="I4287" i="1" a="1"/>
  <c r="I4287" i="1" s="1"/>
  <c r="I4288" i="1" a="1"/>
  <c r="I4288" i="1" s="1"/>
  <c r="I4289" i="1" a="1"/>
  <c r="I4289" i="1" s="1"/>
  <c r="I4290" i="1" a="1"/>
  <c r="I4290" i="1" s="1"/>
  <c r="I4291" i="1" a="1"/>
  <c r="I4291" i="1" s="1"/>
  <c r="I4292" i="1" a="1"/>
  <c r="I4292" i="1" s="1"/>
  <c r="I4293" i="1" a="1"/>
  <c r="I4293" i="1" s="1"/>
  <c r="I4294" i="1" a="1"/>
  <c r="I4294" i="1" s="1"/>
  <c r="I4295" i="1" a="1"/>
  <c r="I4295" i="1" s="1"/>
  <c r="I4296" i="1" a="1"/>
  <c r="I4296" i="1" s="1"/>
  <c r="I4297" i="1" a="1"/>
  <c r="I4297" i="1" s="1"/>
  <c r="I4298" i="1" a="1"/>
  <c r="I4298" i="1" s="1"/>
  <c r="I4299" i="1" a="1"/>
  <c r="I4299" i="1" s="1"/>
  <c r="I4300" i="1" a="1"/>
  <c r="I4300" i="1" s="1"/>
  <c r="I4301" i="1" a="1"/>
  <c r="I4301" i="1" s="1"/>
  <c r="I4302" i="1" a="1"/>
  <c r="I4302" i="1" s="1"/>
  <c r="I4303" i="1" a="1"/>
  <c r="I4303" i="1" s="1"/>
  <c r="I4304" i="1" a="1"/>
  <c r="I4304" i="1" s="1"/>
  <c r="I4305" i="1" a="1"/>
  <c r="I4305" i="1" s="1"/>
  <c r="I4306" i="1" a="1"/>
  <c r="I4306" i="1" s="1"/>
  <c r="I4307" i="1" a="1"/>
  <c r="I4307" i="1" s="1"/>
  <c r="I4308" i="1" a="1"/>
  <c r="I4308" i="1" s="1"/>
  <c r="I4309" i="1" a="1"/>
  <c r="I4309" i="1" s="1"/>
  <c r="I4310" i="1" a="1"/>
  <c r="I4310" i="1" s="1"/>
  <c r="I4311" i="1" a="1"/>
  <c r="I4311" i="1" s="1"/>
  <c r="I4312" i="1" a="1"/>
  <c r="I4312" i="1" s="1"/>
  <c r="I4313" i="1" a="1"/>
  <c r="I4313" i="1" s="1"/>
  <c r="I4314" i="1" a="1"/>
  <c r="I4314" i="1" s="1"/>
  <c r="I4315" i="1" a="1"/>
  <c r="I4315" i="1" s="1"/>
  <c r="I4316" i="1" a="1"/>
  <c r="I4316" i="1" s="1"/>
  <c r="I4317" i="1" a="1"/>
  <c r="I4317" i="1" s="1"/>
  <c r="I4318" i="1" a="1"/>
  <c r="I4318" i="1" s="1"/>
  <c r="I4319" i="1" a="1"/>
  <c r="I4319" i="1" s="1"/>
  <c r="I4320" i="1" a="1"/>
  <c r="I4320" i="1" s="1"/>
  <c r="I4321" i="1" a="1"/>
  <c r="I4321" i="1" s="1"/>
  <c r="I4322" i="1" a="1"/>
  <c r="I4322" i="1" s="1"/>
  <c r="I4323" i="1" a="1"/>
  <c r="I4323" i="1" s="1"/>
  <c r="I4324" i="1" a="1"/>
  <c r="I4324" i="1" s="1"/>
  <c r="I4325" i="1" a="1"/>
  <c r="I4325" i="1" s="1"/>
  <c r="I4326" i="1" a="1"/>
  <c r="I4326" i="1" s="1"/>
  <c r="I4327" i="1" a="1"/>
  <c r="I4327" i="1" s="1"/>
  <c r="I4328" i="1" a="1"/>
  <c r="I4328" i="1" s="1"/>
  <c r="I4329" i="1" a="1"/>
  <c r="I4329" i="1" s="1"/>
  <c r="I4330" i="1" a="1"/>
  <c r="I4330" i="1" s="1"/>
  <c r="I4331" i="1" a="1"/>
  <c r="I4331" i="1" s="1"/>
  <c r="I4332" i="1" a="1"/>
  <c r="I4332" i="1" s="1"/>
  <c r="I4333" i="1" a="1"/>
  <c r="I4333" i="1" s="1"/>
  <c r="I4334" i="1" a="1"/>
  <c r="I4334" i="1" s="1"/>
  <c r="I4335" i="1" a="1"/>
  <c r="I4335" i="1" s="1"/>
  <c r="I4336" i="1" a="1"/>
  <c r="I4336" i="1" s="1"/>
  <c r="I4337" i="1" a="1"/>
  <c r="I4337" i="1" s="1"/>
  <c r="I4338" i="1" a="1"/>
  <c r="I4338" i="1" s="1"/>
  <c r="I4339" i="1" a="1"/>
  <c r="I4339" i="1" s="1"/>
  <c r="I4340" i="1" a="1"/>
  <c r="I4340" i="1" s="1"/>
  <c r="I4341" i="1" a="1"/>
  <c r="I4341" i="1" s="1"/>
  <c r="I4342" i="1" a="1"/>
  <c r="I4342" i="1" s="1"/>
  <c r="I4343" i="1" a="1"/>
  <c r="I4343" i="1" s="1"/>
  <c r="I4344" i="1" a="1"/>
  <c r="I4344" i="1" s="1"/>
  <c r="I4345" i="1" a="1"/>
  <c r="I4345" i="1" s="1"/>
  <c r="I4346" i="1" a="1"/>
  <c r="I4346" i="1" s="1"/>
  <c r="I4347" i="1" a="1"/>
  <c r="I4347" i="1" s="1"/>
  <c r="I4348" i="1" a="1"/>
  <c r="I4348" i="1" s="1"/>
  <c r="I4349" i="1" a="1"/>
  <c r="I4349" i="1" s="1"/>
  <c r="I4350" i="1" a="1"/>
  <c r="I4350" i="1" s="1"/>
  <c r="I4351" i="1" a="1"/>
  <c r="I4351" i="1" s="1"/>
  <c r="I4352" i="1" a="1"/>
  <c r="I4352" i="1" s="1"/>
  <c r="I4353" i="1" a="1"/>
  <c r="I4353" i="1" s="1"/>
  <c r="I4354" i="1" a="1"/>
  <c r="I4354" i="1" s="1"/>
  <c r="I4355" i="1" a="1"/>
  <c r="I4355" i="1" s="1"/>
  <c r="I4356" i="1" a="1"/>
  <c r="I4356" i="1" s="1"/>
  <c r="I4357" i="1" a="1"/>
  <c r="I4357" i="1" s="1"/>
  <c r="I4358" i="1" a="1"/>
  <c r="I4358" i="1" s="1"/>
  <c r="I4359" i="1" a="1"/>
  <c r="I4359" i="1" s="1"/>
  <c r="I4360" i="1" a="1"/>
  <c r="I4360" i="1" s="1"/>
  <c r="I4361" i="1" a="1"/>
  <c r="I4361" i="1" s="1"/>
  <c r="I4362" i="1" a="1"/>
  <c r="I4362" i="1" s="1"/>
  <c r="I4363" i="1" a="1"/>
  <c r="I4363" i="1" s="1"/>
  <c r="I4364" i="1" a="1"/>
  <c r="I4364" i="1" s="1"/>
  <c r="I4365" i="1" a="1"/>
  <c r="I4365" i="1" s="1"/>
  <c r="I4366" i="1" a="1"/>
  <c r="I4366" i="1" s="1"/>
  <c r="I4367" i="1" a="1"/>
  <c r="I4367" i="1" s="1"/>
  <c r="I4368" i="1" a="1"/>
  <c r="I4368" i="1" s="1"/>
  <c r="I4369" i="1" a="1"/>
  <c r="I4369" i="1" s="1"/>
  <c r="I4370" i="1" a="1"/>
  <c r="I4370" i="1" s="1"/>
  <c r="I4371" i="1" a="1"/>
  <c r="I4371" i="1" s="1"/>
  <c r="I4372" i="1" a="1"/>
  <c r="I4372" i="1" s="1"/>
  <c r="I4373" i="1" a="1"/>
  <c r="I4373" i="1" s="1"/>
  <c r="I4374" i="1" a="1"/>
  <c r="I4374" i="1" s="1"/>
  <c r="I4375" i="1" a="1"/>
  <c r="I4375" i="1" s="1"/>
  <c r="I4376" i="1" a="1"/>
  <c r="I4376" i="1" s="1"/>
  <c r="I4377" i="1" a="1"/>
  <c r="I4377" i="1" s="1"/>
  <c r="I4378" i="1" a="1"/>
  <c r="I4378" i="1" s="1"/>
  <c r="I4379" i="1" a="1"/>
  <c r="I4379" i="1" s="1"/>
  <c r="I4380" i="1" a="1"/>
  <c r="I4380" i="1" s="1"/>
  <c r="I4381" i="1" a="1"/>
  <c r="I4381" i="1" s="1"/>
  <c r="I4382" i="1" a="1"/>
  <c r="I4382" i="1" s="1"/>
  <c r="I4383" i="1" a="1"/>
  <c r="I4383" i="1" s="1"/>
  <c r="I4384" i="1" a="1"/>
  <c r="I4384" i="1" s="1"/>
  <c r="I4385" i="1" a="1"/>
  <c r="I4385" i="1" s="1"/>
  <c r="I4386" i="1" a="1"/>
  <c r="I4386" i="1" s="1"/>
  <c r="I4387" i="1" a="1"/>
  <c r="I4387" i="1" s="1"/>
  <c r="I4388" i="1" a="1"/>
  <c r="I4388" i="1" s="1"/>
  <c r="I4389" i="1" a="1"/>
  <c r="I4389" i="1" s="1"/>
  <c r="I4390" i="1" a="1"/>
  <c r="I4390" i="1" s="1"/>
  <c r="I4391" i="1" a="1"/>
  <c r="I4391" i="1" s="1"/>
  <c r="I4392" i="1" a="1"/>
  <c r="I4392" i="1" s="1"/>
  <c r="I4393" i="1" a="1"/>
  <c r="I4393" i="1" s="1"/>
  <c r="I4394" i="1" a="1"/>
  <c r="I4394" i="1" s="1"/>
  <c r="I4395" i="1" a="1"/>
  <c r="I4395" i="1" s="1"/>
  <c r="I4396" i="1" a="1"/>
  <c r="I4396" i="1" s="1"/>
  <c r="I4397" i="1" a="1"/>
  <c r="I4397" i="1" s="1"/>
  <c r="I4398" i="1" a="1"/>
  <c r="I4398" i="1" s="1"/>
  <c r="I4399" i="1" a="1"/>
  <c r="I4399" i="1" s="1"/>
  <c r="I4400" i="1" a="1"/>
  <c r="I4400" i="1" s="1"/>
  <c r="I4401" i="1" a="1"/>
  <c r="I4401" i="1" s="1"/>
  <c r="I4402" i="1" a="1"/>
  <c r="I4402" i="1" s="1"/>
  <c r="I4403" i="1" a="1"/>
  <c r="I4403" i="1" s="1"/>
  <c r="I4404" i="1" a="1"/>
  <c r="I4404" i="1" s="1"/>
  <c r="I4405" i="1" a="1"/>
  <c r="I4405" i="1" s="1"/>
  <c r="I4406" i="1" a="1"/>
  <c r="I4406" i="1" s="1"/>
  <c r="I4407" i="1" a="1"/>
  <c r="I4407" i="1" s="1"/>
  <c r="I4408" i="1" a="1"/>
  <c r="I4408" i="1" s="1"/>
  <c r="I4409" i="1" a="1"/>
  <c r="I4409" i="1" s="1"/>
  <c r="I4410" i="1" a="1"/>
  <c r="I4410" i="1" s="1"/>
  <c r="I4411" i="1" a="1"/>
  <c r="I4411" i="1" s="1"/>
  <c r="I4412" i="1" a="1"/>
  <c r="I4412" i="1" s="1"/>
  <c r="I4413" i="1" a="1"/>
  <c r="I4413" i="1" s="1"/>
  <c r="I4414" i="1" a="1"/>
  <c r="I4414" i="1" s="1"/>
  <c r="I4415" i="1" a="1"/>
  <c r="I4415" i="1" s="1"/>
  <c r="I4416" i="1" a="1"/>
  <c r="I4416" i="1" s="1"/>
  <c r="I4417" i="1" a="1"/>
  <c r="I4417" i="1" s="1"/>
  <c r="I4418" i="1" a="1"/>
  <c r="I4418" i="1" s="1"/>
  <c r="I4419" i="1" a="1"/>
  <c r="I4419" i="1" s="1"/>
  <c r="I4420" i="1" a="1"/>
  <c r="I4420" i="1" s="1"/>
  <c r="I4421" i="1" a="1"/>
  <c r="I4421" i="1" s="1"/>
  <c r="I4422" i="1" a="1"/>
  <c r="I4422" i="1" s="1"/>
  <c r="I4423" i="1" a="1"/>
  <c r="I4423" i="1" s="1"/>
  <c r="I4424" i="1" a="1"/>
  <c r="I4424" i="1" s="1"/>
  <c r="I4425" i="1" a="1"/>
  <c r="I4425" i="1" s="1"/>
  <c r="I4426" i="1" a="1"/>
  <c r="I4426" i="1" s="1"/>
  <c r="I4427" i="1" a="1"/>
  <c r="I4427" i="1" s="1"/>
  <c r="I4428" i="1" a="1"/>
  <c r="I4428" i="1" s="1"/>
  <c r="I4429" i="1" a="1"/>
  <c r="I4429" i="1" s="1"/>
  <c r="I4430" i="1" a="1"/>
  <c r="I4430" i="1" s="1"/>
  <c r="I4431" i="1" a="1"/>
  <c r="I4431" i="1" s="1"/>
  <c r="I4432" i="1" a="1"/>
  <c r="I4432" i="1" s="1"/>
  <c r="I4433" i="1" a="1"/>
  <c r="I4433" i="1" s="1"/>
  <c r="I4434" i="1" a="1"/>
  <c r="I4434" i="1" s="1"/>
  <c r="I4435" i="1" a="1"/>
  <c r="I4435" i="1" s="1"/>
  <c r="I4436" i="1" a="1"/>
  <c r="I4436" i="1" s="1"/>
  <c r="I4437" i="1" a="1"/>
  <c r="I4437" i="1" s="1"/>
  <c r="I4438" i="1" a="1"/>
  <c r="I4438" i="1" s="1"/>
  <c r="I4439" i="1" a="1"/>
  <c r="I4439" i="1" s="1"/>
  <c r="I4440" i="1" a="1"/>
  <c r="I4440" i="1" s="1"/>
  <c r="I4441" i="1" a="1"/>
  <c r="I4441" i="1" s="1"/>
  <c r="I4442" i="1" a="1"/>
  <c r="I4442" i="1" s="1"/>
  <c r="I4443" i="1" a="1"/>
  <c r="I4443" i="1" s="1"/>
  <c r="I4444" i="1" a="1"/>
  <c r="I4444" i="1" s="1"/>
  <c r="I4445" i="1" a="1"/>
  <c r="I4445" i="1" s="1"/>
  <c r="I4446" i="1" a="1"/>
  <c r="I4446" i="1" s="1"/>
  <c r="I4447" i="1" a="1"/>
  <c r="I4447" i="1" s="1"/>
  <c r="I4448" i="1" a="1"/>
  <c r="I4448" i="1" s="1"/>
  <c r="I4449" i="1" a="1"/>
  <c r="I4449" i="1" s="1"/>
  <c r="I4450" i="1" a="1"/>
  <c r="I4450" i="1" s="1"/>
  <c r="I4451" i="1" a="1"/>
  <c r="I4451" i="1" s="1"/>
  <c r="I4452" i="1" a="1"/>
  <c r="I4452" i="1" s="1"/>
  <c r="I4453" i="1" a="1"/>
  <c r="I4453" i="1" s="1"/>
  <c r="I4454" i="1" a="1"/>
  <c r="I4454" i="1" s="1"/>
  <c r="I4455" i="1" a="1"/>
  <c r="I4455" i="1" s="1"/>
  <c r="I4456" i="1" a="1"/>
  <c r="I4456" i="1" s="1"/>
  <c r="I4457" i="1" a="1"/>
  <c r="I4457" i="1" s="1"/>
  <c r="I4458" i="1" a="1"/>
  <c r="I4458" i="1" s="1"/>
  <c r="I4459" i="1" a="1"/>
  <c r="I4459" i="1" s="1"/>
  <c r="I4460" i="1" a="1"/>
  <c r="I4460" i="1" s="1"/>
  <c r="I4461" i="1" a="1"/>
  <c r="I4461" i="1" s="1"/>
  <c r="I4462" i="1" a="1"/>
  <c r="I4462" i="1" s="1"/>
  <c r="I4463" i="1" a="1"/>
  <c r="I4463" i="1" s="1"/>
  <c r="I4464" i="1" a="1"/>
  <c r="I4464" i="1" s="1"/>
  <c r="I4465" i="1" a="1"/>
  <c r="I4465" i="1" s="1"/>
  <c r="I4466" i="1" a="1"/>
  <c r="I4466" i="1" s="1"/>
  <c r="I4467" i="1" a="1"/>
  <c r="I4467" i="1" s="1"/>
  <c r="I4468" i="1" a="1"/>
  <c r="I4468" i="1" s="1"/>
  <c r="I4469" i="1" a="1"/>
  <c r="I4469" i="1" s="1"/>
  <c r="I4470" i="1" a="1"/>
  <c r="I4470" i="1" s="1"/>
  <c r="I4471" i="1" a="1"/>
  <c r="I4471" i="1" s="1"/>
  <c r="I4472" i="1" a="1"/>
  <c r="I4472" i="1" s="1"/>
  <c r="I4473" i="1" a="1"/>
  <c r="I4473" i="1" s="1"/>
  <c r="I4474" i="1" a="1"/>
  <c r="I4474" i="1" s="1"/>
  <c r="I4475" i="1" a="1"/>
  <c r="I4475" i="1" s="1"/>
  <c r="I4476" i="1" a="1"/>
  <c r="I4476" i="1" s="1"/>
  <c r="I4477" i="1" a="1"/>
  <c r="I4477" i="1" s="1"/>
  <c r="I4478" i="1" a="1"/>
  <c r="I4478" i="1" s="1"/>
  <c r="I4479" i="1" a="1"/>
  <c r="I4479" i="1" s="1"/>
  <c r="I4480" i="1" a="1"/>
  <c r="I4480" i="1" s="1"/>
  <c r="I4481" i="1" a="1"/>
  <c r="I4481" i="1" s="1"/>
  <c r="I4482" i="1" a="1"/>
  <c r="I4482" i="1" s="1"/>
  <c r="I4483" i="1" a="1"/>
  <c r="I4483" i="1" s="1"/>
  <c r="I4484" i="1" a="1"/>
  <c r="I4484" i="1" s="1"/>
  <c r="I4485" i="1" a="1"/>
  <c r="I4485" i="1" s="1"/>
  <c r="I4486" i="1" a="1"/>
  <c r="I4486" i="1" s="1"/>
  <c r="I4487" i="1" a="1"/>
  <c r="I4487" i="1" s="1"/>
  <c r="I4488" i="1" a="1"/>
  <c r="I4488" i="1" s="1"/>
  <c r="I4489" i="1" a="1"/>
  <c r="I4489" i="1" s="1"/>
  <c r="I4490" i="1" a="1"/>
  <c r="I4490" i="1" s="1"/>
  <c r="I4491" i="1" a="1"/>
  <c r="I4491" i="1" s="1"/>
  <c r="I4492" i="1" a="1"/>
  <c r="I4492" i="1" s="1"/>
  <c r="I4493" i="1" a="1"/>
  <c r="I4493" i="1" s="1"/>
  <c r="I4494" i="1" a="1"/>
  <c r="I4494" i="1" s="1"/>
  <c r="I4495" i="1" a="1"/>
  <c r="I4495" i="1" s="1"/>
  <c r="I4496" i="1" a="1"/>
  <c r="I4496" i="1" s="1"/>
  <c r="I4497" i="1" a="1"/>
  <c r="I4497" i="1" s="1"/>
  <c r="I4498" i="1" a="1"/>
  <c r="I4498" i="1" s="1"/>
  <c r="I4499" i="1" a="1"/>
  <c r="I4499" i="1" s="1"/>
  <c r="I4500" i="1" a="1"/>
  <c r="I4500" i="1" s="1"/>
  <c r="I4501" i="1" a="1"/>
  <c r="I4501" i="1" s="1"/>
  <c r="I4502" i="1" a="1"/>
  <c r="I4502" i="1" s="1"/>
  <c r="I4503" i="1" a="1"/>
  <c r="I4503" i="1" s="1"/>
  <c r="I4504" i="1" a="1"/>
  <c r="I4504" i="1" s="1"/>
  <c r="I4505" i="1" a="1"/>
  <c r="I4505" i="1" s="1"/>
  <c r="I4506" i="1" a="1"/>
  <c r="I4506" i="1" s="1"/>
  <c r="I4507" i="1" a="1"/>
  <c r="I4507" i="1" s="1"/>
  <c r="I4508" i="1" a="1"/>
  <c r="I4508" i="1" s="1"/>
  <c r="I4509" i="1" a="1"/>
  <c r="I4509" i="1" s="1"/>
  <c r="I4510" i="1" a="1"/>
  <c r="I4510" i="1" s="1"/>
  <c r="I4511" i="1" a="1"/>
  <c r="I4511" i="1" s="1"/>
  <c r="I4512" i="1" a="1"/>
  <c r="I4512" i="1" s="1"/>
  <c r="I4513" i="1" a="1"/>
  <c r="I4513" i="1" s="1"/>
  <c r="I4514" i="1" a="1"/>
  <c r="I4514" i="1" s="1"/>
  <c r="I4515" i="1" a="1"/>
  <c r="I4515" i="1" s="1"/>
  <c r="I4516" i="1" a="1"/>
  <c r="I4516" i="1" s="1"/>
  <c r="I4517" i="1" a="1"/>
  <c r="I4517" i="1" s="1"/>
  <c r="I4518" i="1" a="1"/>
  <c r="I4518" i="1" s="1"/>
  <c r="I4519" i="1" a="1"/>
  <c r="I4519" i="1" s="1"/>
  <c r="I4520" i="1" a="1"/>
  <c r="I4520" i="1" s="1"/>
  <c r="I4521" i="1" a="1"/>
  <c r="I4521" i="1" s="1"/>
  <c r="I4522" i="1" a="1"/>
  <c r="I4522" i="1" s="1"/>
  <c r="I4523" i="1" a="1"/>
  <c r="I4523" i="1" s="1"/>
  <c r="I4524" i="1" a="1"/>
  <c r="I4524" i="1" s="1"/>
  <c r="I4525" i="1" a="1"/>
  <c r="I4525" i="1" s="1"/>
  <c r="I4526" i="1" a="1"/>
  <c r="I4526" i="1" s="1"/>
  <c r="I4527" i="1" a="1"/>
  <c r="I4527" i="1" s="1"/>
  <c r="I4528" i="1" a="1"/>
  <c r="I4528" i="1" s="1"/>
  <c r="I4529" i="1" a="1"/>
  <c r="I4529" i="1" s="1"/>
  <c r="I4530" i="1" a="1"/>
  <c r="I4530" i="1" s="1"/>
  <c r="I4531" i="1" a="1"/>
  <c r="I4531" i="1" s="1"/>
  <c r="I4532" i="1" a="1"/>
  <c r="I4532" i="1" s="1"/>
  <c r="I4533" i="1" a="1"/>
  <c r="I4533" i="1" s="1"/>
  <c r="I4534" i="1" a="1"/>
  <c r="I4534" i="1" s="1"/>
  <c r="I4535" i="1" a="1"/>
  <c r="I4535" i="1" s="1"/>
  <c r="I4536" i="1" a="1"/>
  <c r="I4536" i="1" s="1"/>
  <c r="I4537" i="1" a="1"/>
  <c r="I4537" i="1" s="1"/>
  <c r="I4538" i="1" a="1"/>
  <c r="I4538" i="1" s="1"/>
  <c r="I4539" i="1" a="1"/>
  <c r="I4539" i="1" s="1"/>
  <c r="I4540" i="1" a="1"/>
  <c r="I4540" i="1" s="1"/>
  <c r="I4541" i="1" a="1"/>
  <c r="I4541" i="1" s="1"/>
  <c r="I4542" i="1" a="1"/>
  <c r="I4542" i="1" s="1"/>
  <c r="I4543" i="1" a="1"/>
  <c r="I4543" i="1" s="1"/>
  <c r="I4544" i="1" a="1"/>
  <c r="I4544" i="1" s="1"/>
  <c r="I4545" i="1" a="1"/>
  <c r="I4545" i="1" s="1"/>
  <c r="I4546" i="1" a="1"/>
  <c r="I4546" i="1" s="1"/>
  <c r="I4547" i="1" a="1"/>
  <c r="I4547" i="1" s="1"/>
  <c r="I4548" i="1" a="1"/>
  <c r="I4548" i="1" s="1"/>
  <c r="I4549" i="1" a="1"/>
  <c r="I4549" i="1" s="1"/>
  <c r="I4550" i="1" a="1"/>
  <c r="I4550" i="1" s="1"/>
  <c r="I4551" i="1" a="1"/>
  <c r="I4551" i="1" s="1"/>
  <c r="I4552" i="1" a="1"/>
  <c r="I4552" i="1" s="1"/>
  <c r="I4553" i="1" a="1"/>
  <c r="I4553" i="1" s="1"/>
  <c r="I4554" i="1" a="1"/>
  <c r="I4554" i="1" s="1"/>
  <c r="I4555" i="1" a="1"/>
  <c r="I4555" i="1" s="1"/>
  <c r="I4556" i="1" a="1"/>
  <c r="I4556" i="1" s="1"/>
  <c r="I4557" i="1" a="1"/>
  <c r="I4557" i="1" s="1"/>
  <c r="I4558" i="1" a="1"/>
  <c r="I4558" i="1" s="1"/>
  <c r="I4559" i="1" a="1"/>
  <c r="I4559" i="1" s="1"/>
  <c r="I4560" i="1" a="1"/>
  <c r="I4560" i="1" s="1"/>
  <c r="I4561" i="1" a="1"/>
  <c r="I4561" i="1" s="1"/>
  <c r="I4562" i="1" a="1"/>
  <c r="I4562" i="1" s="1"/>
  <c r="I4563" i="1" a="1"/>
  <c r="I4563" i="1" s="1"/>
  <c r="I4564" i="1" a="1"/>
  <c r="I4564" i="1" s="1"/>
  <c r="I4565" i="1" a="1"/>
  <c r="I4565" i="1" s="1"/>
  <c r="I4566" i="1" a="1"/>
  <c r="I4566" i="1" s="1"/>
  <c r="I4567" i="1" a="1"/>
  <c r="I4567" i="1" s="1"/>
  <c r="I4568" i="1" a="1"/>
  <c r="I4568" i="1" s="1"/>
  <c r="I4569" i="1" a="1"/>
  <c r="I4569" i="1" s="1"/>
  <c r="I4570" i="1" a="1"/>
  <c r="I4570" i="1" s="1"/>
  <c r="I4571" i="1" a="1"/>
  <c r="I4571" i="1" s="1"/>
  <c r="I4572" i="1" a="1"/>
  <c r="I4572" i="1" s="1"/>
  <c r="I4573" i="1" a="1"/>
  <c r="I4573" i="1" s="1"/>
  <c r="I4574" i="1" a="1"/>
  <c r="I4574" i="1" s="1"/>
  <c r="I4575" i="1" a="1"/>
  <c r="I4575" i="1" s="1"/>
  <c r="I4576" i="1" a="1"/>
  <c r="I4576" i="1" s="1"/>
  <c r="I4577" i="1" a="1"/>
  <c r="I4577" i="1" s="1"/>
  <c r="I4578" i="1" a="1"/>
  <c r="I4578" i="1" s="1"/>
  <c r="I4579" i="1" a="1"/>
  <c r="I4579" i="1" s="1"/>
  <c r="I4580" i="1" a="1"/>
  <c r="I4580" i="1" s="1"/>
  <c r="I4581" i="1" a="1"/>
  <c r="I4581" i="1" s="1"/>
  <c r="I4582" i="1" a="1"/>
  <c r="I4582" i="1" s="1"/>
  <c r="I4583" i="1" a="1"/>
  <c r="I4583" i="1" s="1"/>
  <c r="I4584" i="1" a="1"/>
  <c r="I4584" i="1" s="1"/>
  <c r="I4585" i="1" a="1"/>
  <c r="I4585" i="1" s="1"/>
  <c r="I4586" i="1" a="1"/>
  <c r="I4586" i="1" s="1"/>
  <c r="I4587" i="1" a="1"/>
  <c r="I4587" i="1" s="1"/>
  <c r="I4588" i="1" a="1"/>
  <c r="I4588" i="1" s="1"/>
  <c r="I4589" i="1" a="1"/>
  <c r="I4589" i="1" s="1"/>
  <c r="I4590" i="1" a="1"/>
  <c r="I4590" i="1" s="1"/>
  <c r="I4591" i="1" a="1"/>
  <c r="I4591" i="1" s="1"/>
  <c r="I4592" i="1" a="1"/>
  <c r="I4592" i="1" s="1"/>
  <c r="I4593" i="1" a="1"/>
  <c r="I4593" i="1" s="1"/>
  <c r="I4594" i="1" a="1"/>
  <c r="I4594" i="1" s="1"/>
  <c r="I4595" i="1" a="1"/>
  <c r="I4595" i="1" s="1"/>
  <c r="I4596" i="1" a="1"/>
  <c r="I4596" i="1" s="1"/>
  <c r="I4597" i="1" a="1"/>
  <c r="I4597" i="1" s="1"/>
  <c r="I4598" i="1" a="1"/>
  <c r="I4598" i="1" s="1"/>
  <c r="I4599" i="1" a="1"/>
  <c r="I4599" i="1" s="1"/>
  <c r="I4600" i="1" a="1"/>
  <c r="I4600" i="1" s="1"/>
  <c r="I4601" i="1" a="1"/>
  <c r="I4601" i="1" s="1"/>
  <c r="I4602" i="1" a="1"/>
  <c r="I4602" i="1" s="1"/>
  <c r="I4603" i="1" a="1"/>
  <c r="I4603" i="1" s="1"/>
  <c r="I4604" i="1" a="1"/>
  <c r="I4604" i="1" s="1"/>
  <c r="I4605" i="1" a="1"/>
  <c r="I4605" i="1" s="1"/>
  <c r="I4606" i="1" a="1"/>
  <c r="I4606" i="1" s="1"/>
  <c r="I4607" i="1" a="1"/>
  <c r="I4607" i="1" s="1"/>
  <c r="I4608" i="1" a="1"/>
  <c r="I4608" i="1" s="1"/>
  <c r="I4609" i="1" a="1"/>
  <c r="I4609" i="1" s="1"/>
  <c r="I4610" i="1" a="1"/>
  <c r="I4610" i="1" s="1"/>
  <c r="I4611" i="1" a="1"/>
  <c r="I4611" i="1" s="1"/>
  <c r="I4612" i="1" a="1"/>
  <c r="I4612" i="1" s="1"/>
  <c r="I4613" i="1" a="1"/>
  <c r="I4613" i="1" s="1"/>
  <c r="I4614" i="1" a="1"/>
  <c r="I4614" i="1" s="1"/>
  <c r="I4615" i="1" a="1"/>
  <c r="I4615" i="1" s="1"/>
  <c r="I4616" i="1" a="1"/>
  <c r="I4616" i="1" s="1"/>
  <c r="I4617" i="1" a="1"/>
  <c r="I4617" i="1" s="1"/>
  <c r="I4618" i="1" a="1"/>
  <c r="I4618" i="1" s="1"/>
  <c r="I4619" i="1" a="1"/>
  <c r="I4619" i="1" s="1"/>
  <c r="I4620" i="1" a="1"/>
  <c r="I4620" i="1" s="1"/>
  <c r="I4621" i="1" a="1"/>
  <c r="I4621" i="1" s="1"/>
  <c r="I4622" i="1" a="1"/>
  <c r="I4622" i="1" s="1"/>
  <c r="I4623" i="1" a="1"/>
  <c r="I4623" i="1" s="1"/>
  <c r="I4624" i="1" a="1"/>
  <c r="I4624" i="1" s="1"/>
  <c r="I4625" i="1" a="1"/>
  <c r="I4625" i="1" s="1"/>
  <c r="I4626" i="1" a="1"/>
  <c r="I4626" i="1" s="1"/>
  <c r="I4627" i="1" a="1"/>
  <c r="I4627" i="1" s="1"/>
  <c r="I4628" i="1" a="1"/>
  <c r="I4628" i="1" s="1"/>
  <c r="I4629" i="1" a="1"/>
  <c r="I4629" i="1" s="1"/>
  <c r="I4630" i="1" a="1"/>
  <c r="I4630" i="1" s="1"/>
  <c r="I4631" i="1" a="1"/>
  <c r="I4631" i="1" s="1"/>
  <c r="I4632" i="1" a="1"/>
  <c r="I4632" i="1" s="1"/>
  <c r="I4633" i="1" a="1"/>
  <c r="I4633" i="1" s="1"/>
  <c r="I4634" i="1" a="1"/>
  <c r="I4634" i="1" s="1"/>
  <c r="I4635" i="1" a="1"/>
  <c r="I4635" i="1" s="1"/>
  <c r="I4636" i="1" a="1"/>
  <c r="I4636" i="1" s="1"/>
  <c r="I4637" i="1" a="1"/>
  <c r="I4637" i="1" s="1"/>
  <c r="I4638" i="1" a="1"/>
  <c r="I4638" i="1" s="1"/>
  <c r="I4639" i="1" a="1"/>
  <c r="I4639" i="1" s="1"/>
  <c r="I4640" i="1" a="1"/>
  <c r="I4640" i="1" s="1"/>
  <c r="I4641" i="1" a="1"/>
  <c r="I4641" i="1" s="1"/>
  <c r="I4642" i="1" a="1"/>
  <c r="I4642" i="1" s="1"/>
  <c r="I4643" i="1" a="1"/>
  <c r="I4643" i="1" s="1"/>
  <c r="I4644" i="1" a="1"/>
  <c r="I4644" i="1" s="1"/>
  <c r="I4645" i="1" a="1"/>
  <c r="I4645" i="1" s="1"/>
  <c r="I4646" i="1" a="1"/>
  <c r="I4646" i="1" s="1"/>
  <c r="I4647" i="1" a="1"/>
  <c r="I4647" i="1" s="1"/>
  <c r="I4648" i="1" a="1"/>
  <c r="I4648" i="1" s="1"/>
  <c r="I4649" i="1" a="1"/>
  <c r="I4649" i="1" s="1"/>
  <c r="I4650" i="1" a="1"/>
  <c r="I4650" i="1" s="1"/>
  <c r="I4651" i="1" a="1"/>
  <c r="I4651" i="1" s="1"/>
  <c r="I4652" i="1" a="1"/>
  <c r="I4652" i="1" s="1"/>
  <c r="I4653" i="1" a="1"/>
  <c r="I4653" i="1" s="1"/>
  <c r="I4654" i="1" a="1"/>
  <c r="I4654" i="1" s="1"/>
  <c r="I4655" i="1" a="1"/>
  <c r="I4655" i="1" s="1"/>
  <c r="I4656" i="1" a="1"/>
  <c r="I4656" i="1" s="1"/>
  <c r="I4657" i="1" a="1"/>
  <c r="I4657" i="1" s="1"/>
  <c r="I4658" i="1" a="1"/>
  <c r="I4658" i="1" s="1"/>
  <c r="I4659" i="1" a="1"/>
  <c r="I4659" i="1" s="1"/>
  <c r="I4660" i="1" a="1"/>
  <c r="I4660" i="1" s="1"/>
  <c r="I4661" i="1" a="1"/>
  <c r="I4661" i="1" s="1"/>
  <c r="I4662" i="1" a="1"/>
  <c r="I4662" i="1" s="1"/>
  <c r="I4663" i="1" a="1"/>
  <c r="I4663" i="1" s="1"/>
  <c r="I4664" i="1" a="1"/>
  <c r="I4664" i="1" s="1"/>
  <c r="I4665" i="1" a="1"/>
  <c r="I4665" i="1" s="1"/>
  <c r="I4666" i="1" a="1"/>
  <c r="I4666" i="1" s="1"/>
  <c r="I4667" i="1" a="1"/>
  <c r="I4667" i="1" s="1"/>
  <c r="I4668" i="1" a="1"/>
  <c r="I4668" i="1" s="1"/>
  <c r="I4669" i="1" a="1"/>
  <c r="I4669" i="1" s="1"/>
  <c r="I4670" i="1" a="1"/>
  <c r="I4670" i="1" s="1"/>
  <c r="I4671" i="1" a="1"/>
  <c r="I4671" i="1" s="1"/>
  <c r="I4672" i="1" a="1"/>
  <c r="I4672" i="1" s="1"/>
  <c r="I4673" i="1" a="1"/>
  <c r="I4673" i="1" s="1"/>
  <c r="I4674" i="1" a="1"/>
  <c r="I4674" i="1" s="1"/>
  <c r="I4675" i="1" a="1"/>
  <c r="I4675" i="1" s="1"/>
  <c r="I4676" i="1" a="1"/>
  <c r="I4676" i="1" s="1"/>
  <c r="I4677" i="1" a="1"/>
  <c r="I4677" i="1" s="1"/>
  <c r="I4678" i="1" a="1"/>
  <c r="I4678" i="1" s="1"/>
  <c r="I4679" i="1" a="1"/>
  <c r="I4679" i="1" s="1"/>
  <c r="I4680" i="1" a="1"/>
  <c r="I4680" i="1" s="1"/>
  <c r="I4681" i="1" a="1"/>
  <c r="I4681" i="1" s="1"/>
  <c r="I4682" i="1" a="1"/>
  <c r="I4682" i="1" s="1"/>
  <c r="I4683" i="1" a="1"/>
  <c r="I4683" i="1" s="1"/>
  <c r="I4684" i="1" a="1"/>
  <c r="I4684" i="1" s="1"/>
  <c r="I4685" i="1" a="1"/>
  <c r="I4685" i="1" s="1"/>
  <c r="I4686" i="1" a="1"/>
  <c r="I4686" i="1" s="1"/>
  <c r="I4687" i="1" a="1"/>
  <c r="I4687" i="1" s="1"/>
  <c r="I4688" i="1" a="1"/>
  <c r="I4688" i="1" s="1"/>
  <c r="I4689" i="1" a="1"/>
  <c r="I4689" i="1" s="1"/>
  <c r="I4690" i="1" a="1"/>
  <c r="I4690" i="1" s="1"/>
  <c r="I4691" i="1" a="1"/>
  <c r="I4691" i="1" s="1"/>
  <c r="I4692" i="1" a="1"/>
  <c r="I4692" i="1" s="1"/>
  <c r="I4693" i="1" a="1"/>
  <c r="I4693" i="1" s="1"/>
  <c r="I4694" i="1" a="1"/>
  <c r="I4694" i="1" s="1"/>
  <c r="I4695" i="1" a="1"/>
  <c r="I4695" i="1" s="1"/>
  <c r="I4696" i="1" a="1"/>
  <c r="I4696" i="1" s="1"/>
  <c r="I4697" i="1" a="1"/>
  <c r="I4697" i="1" s="1"/>
  <c r="I4698" i="1" a="1"/>
  <c r="I4698" i="1" s="1"/>
  <c r="I4699" i="1" a="1"/>
  <c r="I4699" i="1" s="1"/>
  <c r="I4700" i="1" a="1"/>
  <c r="I4700" i="1" s="1"/>
  <c r="I4701" i="1" a="1"/>
  <c r="I4701" i="1" s="1"/>
  <c r="I4702" i="1" a="1"/>
  <c r="I4702" i="1" s="1"/>
  <c r="I4703" i="1" a="1"/>
  <c r="I4703" i="1" s="1"/>
  <c r="I4704" i="1" a="1"/>
  <c r="I4704" i="1" s="1"/>
  <c r="I4705" i="1" a="1"/>
  <c r="I4705" i="1" s="1"/>
  <c r="I4706" i="1" a="1"/>
  <c r="I4706" i="1" s="1"/>
  <c r="I4707" i="1" a="1"/>
  <c r="I4707" i="1" s="1"/>
  <c r="I4708" i="1" a="1"/>
  <c r="I4708" i="1" s="1"/>
  <c r="I4709" i="1" a="1"/>
  <c r="I4709" i="1" s="1"/>
  <c r="I4710" i="1" a="1"/>
  <c r="I4710" i="1" s="1"/>
  <c r="I4711" i="1" a="1"/>
  <c r="I4711" i="1" s="1"/>
  <c r="I4712" i="1" a="1"/>
  <c r="I4712" i="1" s="1"/>
  <c r="I4713" i="1" a="1"/>
  <c r="I4713" i="1" s="1"/>
  <c r="I4714" i="1" a="1"/>
  <c r="I4714" i="1" s="1"/>
  <c r="I4715" i="1" a="1"/>
  <c r="I4715" i="1" s="1"/>
  <c r="I4716" i="1" a="1"/>
  <c r="I4716" i="1" s="1"/>
  <c r="I4717" i="1" a="1"/>
  <c r="I4717" i="1" s="1"/>
  <c r="I4718" i="1" a="1"/>
  <c r="I4718" i="1" s="1"/>
  <c r="I4719" i="1" a="1"/>
  <c r="I4719" i="1" s="1"/>
  <c r="I4720" i="1" a="1"/>
  <c r="I4720" i="1" s="1"/>
  <c r="I4721" i="1" a="1"/>
  <c r="I4721" i="1" s="1"/>
  <c r="I4722" i="1" a="1"/>
  <c r="I4722" i="1" s="1"/>
  <c r="I4723" i="1" a="1"/>
  <c r="I4723" i="1" s="1"/>
  <c r="I4724" i="1" a="1"/>
  <c r="I4724" i="1" s="1"/>
  <c r="I4725" i="1" a="1"/>
  <c r="I4725" i="1" s="1"/>
  <c r="I4726" i="1" a="1"/>
  <c r="I4726" i="1" s="1"/>
  <c r="I4727" i="1" a="1"/>
  <c r="I4727" i="1" s="1"/>
  <c r="I4728" i="1" a="1"/>
  <c r="I4728" i="1" s="1"/>
  <c r="I4729" i="1" a="1"/>
  <c r="I4729" i="1" s="1"/>
  <c r="I4730" i="1" a="1"/>
  <c r="I4730" i="1" s="1"/>
  <c r="I4731" i="1" a="1"/>
  <c r="I4731" i="1" s="1"/>
  <c r="I4732" i="1" a="1"/>
  <c r="I4732" i="1" s="1"/>
  <c r="I4733" i="1" a="1"/>
  <c r="I4733" i="1" s="1"/>
  <c r="I4734" i="1" a="1"/>
  <c r="I4734" i="1" s="1"/>
  <c r="I4735" i="1" a="1"/>
  <c r="I4735" i="1" s="1"/>
  <c r="I4736" i="1" a="1"/>
  <c r="I4736" i="1" s="1"/>
  <c r="I4737" i="1" a="1"/>
  <c r="I4737" i="1" s="1"/>
  <c r="I4738" i="1" a="1"/>
  <c r="I4738" i="1" s="1"/>
  <c r="I4739" i="1" a="1"/>
  <c r="I4739" i="1" s="1"/>
  <c r="I4740" i="1" a="1"/>
  <c r="I4740" i="1" s="1"/>
  <c r="I4741" i="1" a="1"/>
  <c r="I4741" i="1" s="1"/>
  <c r="I4742" i="1" a="1"/>
  <c r="I4742" i="1" s="1"/>
  <c r="I4743" i="1" a="1"/>
  <c r="I4743" i="1" s="1"/>
  <c r="I4744" i="1" a="1"/>
  <c r="I4744" i="1" s="1"/>
  <c r="I4745" i="1" a="1"/>
  <c r="I4745" i="1" s="1"/>
  <c r="I4746" i="1" a="1"/>
  <c r="I4746" i="1" s="1"/>
  <c r="I4747" i="1" a="1"/>
  <c r="I4747" i="1" s="1"/>
  <c r="I4748" i="1" a="1"/>
  <c r="I4748" i="1" s="1"/>
  <c r="I4749" i="1" a="1"/>
  <c r="I4749" i="1" s="1"/>
  <c r="I4750" i="1" a="1"/>
  <c r="I4750" i="1" s="1"/>
  <c r="I4751" i="1" a="1"/>
  <c r="I4751" i="1" s="1"/>
  <c r="I4752" i="1" a="1"/>
  <c r="I4752" i="1" s="1"/>
  <c r="I4753" i="1" a="1"/>
  <c r="I4753" i="1" s="1"/>
  <c r="I4754" i="1" a="1"/>
  <c r="I4754" i="1" s="1"/>
  <c r="I4755" i="1" a="1"/>
  <c r="I4755" i="1" s="1"/>
  <c r="I4756" i="1" a="1"/>
  <c r="I4756" i="1" s="1"/>
  <c r="I4757" i="1" a="1"/>
  <c r="I4757" i="1" s="1"/>
  <c r="I4758" i="1" a="1"/>
  <c r="I4758" i="1" s="1"/>
  <c r="I4759" i="1" a="1"/>
  <c r="I4759" i="1" s="1"/>
  <c r="I4760" i="1" a="1"/>
  <c r="I4760" i="1" s="1"/>
  <c r="I4761" i="1" a="1"/>
  <c r="I4761" i="1" s="1"/>
  <c r="I4762" i="1" a="1"/>
  <c r="I4762" i="1" s="1"/>
  <c r="I4763" i="1" a="1"/>
  <c r="I4763" i="1" s="1"/>
  <c r="I4764" i="1" a="1"/>
  <c r="I4764" i="1" s="1"/>
  <c r="I4765" i="1" a="1"/>
  <c r="I4765" i="1" s="1"/>
  <c r="I4766" i="1" a="1"/>
  <c r="I4766" i="1" s="1"/>
  <c r="I4767" i="1" a="1"/>
  <c r="I4767" i="1" s="1"/>
  <c r="I4768" i="1" a="1"/>
  <c r="I4768" i="1" s="1"/>
  <c r="I4769" i="1" a="1"/>
  <c r="I4769" i="1" s="1"/>
  <c r="I4770" i="1" a="1"/>
  <c r="I4770" i="1" s="1"/>
  <c r="I4771" i="1" a="1"/>
  <c r="I4771" i="1" s="1"/>
  <c r="I4772" i="1" a="1"/>
  <c r="I4772" i="1" s="1"/>
  <c r="I4773" i="1" a="1"/>
  <c r="I4773" i="1" s="1"/>
  <c r="I4774" i="1" a="1"/>
  <c r="I4774" i="1" s="1"/>
  <c r="I4775" i="1" a="1"/>
  <c r="I4775" i="1" s="1"/>
  <c r="I4776" i="1" a="1"/>
  <c r="I4776" i="1" s="1"/>
  <c r="I4777" i="1" a="1"/>
  <c r="I4777" i="1" s="1"/>
  <c r="I4778" i="1" a="1"/>
  <c r="I4778" i="1" s="1"/>
  <c r="I4779" i="1" a="1"/>
  <c r="I4779" i="1" s="1"/>
  <c r="I4780" i="1" a="1"/>
  <c r="I4780" i="1" s="1"/>
  <c r="I4781" i="1" a="1"/>
  <c r="I4781" i="1" s="1"/>
  <c r="I4782" i="1" a="1"/>
  <c r="I4782" i="1" s="1"/>
  <c r="I4783" i="1" a="1"/>
  <c r="I4783" i="1" s="1"/>
  <c r="I4784" i="1" a="1"/>
  <c r="I4784" i="1" s="1"/>
  <c r="I4785" i="1" a="1"/>
  <c r="I4785" i="1" s="1"/>
  <c r="I4786" i="1" a="1"/>
  <c r="I4786" i="1" s="1"/>
  <c r="I4787" i="1" a="1"/>
  <c r="I4787" i="1" s="1"/>
  <c r="I4788" i="1" a="1"/>
  <c r="I4788" i="1" s="1"/>
  <c r="I4789" i="1" a="1"/>
  <c r="I4789" i="1" s="1"/>
  <c r="I4790" i="1" a="1"/>
  <c r="I4790" i="1" s="1"/>
  <c r="I4791" i="1" a="1"/>
  <c r="I4791" i="1" s="1"/>
  <c r="I4792" i="1" a="1"/>
  <c r="I4792" i="1" s="1"/>
  <c r="I4793" i="1" a="1"/>
  <c r="I4793" i="1" s="1"/>
  <c r="I4794" i="1" a="1"/>
  <c r="I4794" i="1" s="1"/>
  <c r="I4795" i="1" a="1"/>
  <c r="I4795" i="1" s="1"/>
  <c r="I4796" i="1" a="1"/>
  <c r="I4796" i="1" s="1"/>
  <c r="I4797" i="1" a="1"/>
  <c r="I4797" i="1" s="1"/>
  <c r="I4798" i="1" a="1"/>
  <c r="I4798" i="1" s="1"/>
  <c r="I4799" i="1" a="1"/>
  <c r="I4799" i="1" s="1"/>
  <c r="I4800" i="1" a="1"/>
  <c r="I4800" i="1" s="1"/>
  <c r="I4801" i="1" a="1"/>
  <c r="I4801" i="1" s="1"/>
  <c r="I4802" i="1" a="1"/>
  <c r="I4802" i="1" s="1"/>
  <c r="I4803" i="1" a="1"/>
  <c r="I4803" i="1" s="1"/>
  <c r="I4804" i="1" a="1"/>
  <c r="I4804" i="1" s="1"/>
  <c r="I4805" i="1" a="1"/>
  <c r="I4805" i="1" s="1"/>
  <c r="I4806" i="1" a="1"/>
  <c r="I4806" i="1" s="1"/>
  <c r="I4807" i="1" a="1"/>
  <c r="I4807" i="1" s="1"/>
  <c r="I4808" i="1" a="1"/>
  <c r="I4808" i="1" s="1"/>
  <c r="I4809" i="1" a="1"/>
  <c r="I4809" i="1" s="1"/>
  <c r="I4810" i="1" a="1"/>
  <c r="I4810" i="1" s="1"/>
  <c r="I4811" i="1" a="1"/>
  <c r="I4811" i="1" s="1"/>
  <c r="I4812" i="1" a="1"/>
  <c r="I4812" i="1" s="1"/>
  <c r="I4813" i="1" a="1"/>
  <c r="I4813" i="1" s="1"/>
  <c r="I4814" i="1" a="1"/>
  <c r="I4814" i="1" s="1"/>
  <c r="I4815" i="1" a="1"/>
  <c r="I4815" i="1" s="1"/>
  <c r="I4816" i="1" a="1"/>
  <c r="I4816" i="1" s="1"/>
  <c r="I4817" i="1" a="1"/>
  <c r="I4817" i="1" s="1"/>
  <c r="I4818" i="1" a="1"/>
  <c r="I4818" i="1" s="1"/>
  <c r="I4819" i="1" a="1"/>
  <c r="I4819" i="1" s="1"/>
  <c r="I4820" i="1" a="1"/>
  <c r="I4820" i="1" s="1"/>
  <c r="I4821" i="1" a="1"/>
  <c r="I4821" i="1" s="1"/>
  <c r="I4822" i="1" a="1"/>
  <c r="I4822" i="1" s="1"/>
  <c r="I4823" i="1" a="1"/>
  <c r="I4823" i="1" s="1"/>
  <c r="I4824" i="1" a="1"/>
  <c r="I4824" i="1" s="1"/>
  <c r="I4825" i="1" a="1"/>
  <c r="I4825" i="1" s="1"/>
  <c r="I4826" i="1" a="1"/>
  <c r="I4826" i="1" s="1"/>
  <c r="I4827" i="1" a="1"/>
  <c r="I4827" i="1" s="1"/>
  <c r="I4828" i="1" a="1"/>
  <c r="I4828" i="1" s="1"/>
  <c r="I4829" i="1" a="1"/>
  <c r="I4829" i="1" s="1"/>
  <c r="I4830" i="1" a="1"/>
  <c r="I4830" i="1" s="1"/>
  <c r="I4831" i="1" a="1"/>
  <c r="I4831" i="1" s="1"/>
  <c r="I4832" i="1" a="1"/>
  <c r="I4832" i="1" s="1"/>
  <c r="I4833" i="1" a="1"/>
  <c r="I4833" i="1" s="1"/>
  <c r="I4834" i="1" a="1"/>
  <c r="I4834" i="1" s="1"/>
  <c r="I4835" i="1" a="1"/>
  <c r="I4835" i="1" s="1"/>
  <c r="I4836" i="1" a="1"/>
  <c r="I4836" i="1" s="1"/>
  <c r="I4837" i="1" a="1"/>
  <c r="I4837" i="1" s="1"/>
  <c r="I4838" i="1" a="1"/>
  <c r="I4838" i="1" s="1"/>
  <c r="I4839" i="1" a="1"/>
  <c r="I4839" i="1" s="1"/>
  <c r="I4840" i="1" a="1"/>
  <c r="I4840" i="1" s="1"/>
  <c r="I4841" i="1" a="1"/>
  <c r="I4841" i="1" s="1"/>
  <c r="I4842" i="1" a="1"/>
  <c r="I4842" i="1" s="1"/>
  <c r="I4843" i="1" a="1"/>
  <c r="I4843" i="1" s="1"/>
  <c r="I4844" i="1" a="1"/>
  <c r="I4844" i="1" s="1"/>
  <c r="I4845" i="1" a="1"/>
  <c r="I4845" i="1" s="1"/>
  <c r="I4846" i="1" a="1"/>
  <c r="I4846" i="1" s="1"/>
  <c r="I4847" i="1" a="1"/>
  <c r="I4847" i="1" s="1"/>
  <c r="I4848" i="1" a="1"/>
  <c r="I4848" i="1" s="1"/>
  <c r="I4849" i="1" a="1"/>
  <c r="I4849" i="1" s="1"/>
  <c r="I4850" i="1" a="1"/>
  <c r="I4850" i="1" s="1"/>
  <c r="I4851" i="1" a="1"/>
  <c r="I4851" i="1" s="1"/>
  <c r="I4852" i="1" a="1"/>
  <c r="I4852" i="1" s="1"/>
  <c r="I4853" i="1" a="1"/>
  <c r="I4853" i="1" s="1"/>
  <c r="I4854" i="1" a="1"/>
  <c r="I4854" i="1" s="1"/>
  <c r="I4855" i="1" a="1"/>
  <c r="I4855" i="1" s="1"/>
  <c r="I4856" i="1" a="1"/>
  <c r="I4856" i="1" s="1"/>
  <c r="I4857" i="1" a="1"/>
  <c r="I4857" i="1" s="1"/>
  <c r="I4858" i="1" a="1"/>
  <c r="I4858" i="1" s="1"/>
  <c r="I4859" i="1" a="1"/>
  <c r="I4859" i="1" s="1"/>
  <c r="I4860" i="1" a="1"/>
  <c r="I4860" i="1" s="1"/>
  <c r="I4861" i="1" a="1"/>
  <c r="I4861" i="1" s="1"/>
  <c r="I4862" i="1" a="1"/>
  <c r="I4862" i="1" s="1"/>
  <c r="I4863" i="1" a="1"/>
  <c r="I4863" i="1" s="1"/>
  <c r="I4864" i="1" a="1"/>
  <c r="I4864" i="1" s="1"/>
  <c r="I4865" i="1" a="1"/>
  <c r="I4865" i="1" s="1"/>
  <c r="I4866" i="1" a="1"/>
  <c r="I4866" i="1" s="1"/>
  <c r="I4867" i="1" a="1"/>
  <c r="I4867" i="1" s="1"/>
  <c r="I4868" i="1" a="1"/>
  <c r="I4868" i="1" s="1"/>
  <c r="I4869" i="1" a="1"/>
  <c r="I4869" i="1" s="1"/>
  <c r="I4870" i="1" a="1"/>
  <c r="I4870" i="1" s="1"/>
  <c r="I4871" i="1" a="1"/>
  <c r="I4871" i="1" s="1"/>
  <c r="I4872" i="1" a="1"/>
  <c r="I4872" i="1" s="1"/>
  <c r="I4873" i="1" a="1"/>
  <c r="I4873" i="1" s="1"/>
  <c r="I4874" i="1" a="1"/>
  <c r="I4874" i="1" s="1"/>
  <c r="I4875" i="1" a="1"/>
  <c r="I4875" i="1" s="1"/>
  <c r="I4876" i="1" a="1"/>
  <c r="I4876" i="1" s="1"/>
  <c r="I4877" i="1" a="1"/>
  <c r="I4877" i="1" s="1"/>
  <c r="I4878" i="1" a="1"/>
  <c r="I4878" i="1" s="1"/>
  <c r="I4879" i="1" a="1"/>
  <c r="I4879" i="1" s="1"/>
  <c r="I4880" i="1" a="1"/>
  <c r="I4880" i="1" s="1"/>
  <c r="I4881" i="1" a="1"/>
  <c r="I4881" i="1" s="1"/>
  <c r="I4882" i="1" a="1"/>
  <c r="I4882" i="1" s="1"/>
  <c r="I4883" i="1" a="1"/>
  <c r="I4883" i="1" s="1"/>
  <c r="I4884" i="1" a="1"/>
  <c r="I4884" i="1" s="1"/>
  <c r="I4885" i="1" a="1"/>
  <c r="I4885" i="1" s="1"/>
  <c r="I4886" i="1" a="1"/>
  <c r="I4886" i="1" s="1"/>
  <c r="I4887" i="1" a="1"/>
  <c r="I4887" i="1" s="1"/>
  <c r="I4888" i="1" a="1"/>
  <c r="I4888" i="1" s="1"/>
  <c r="I4889" i="1" a="1"/>
  <c r="I4889" i="1" s="1"/>
  <c r="I4890" i="1" a="1"/>
  <c r="I4890" i="1" s="1"/>
  <c r="I4891" i="1" a="1"/>
  <c r="I4891" i="1" s="1"/>
  <c r="I4892" i="1" a="1"/>
  <c r="I4892" i="1" s="1"/>
  <c r="I4893" i="1" a="1"/>
  <c r="I4893" i="1" s="1"/>
  <c r="I4894" i="1" a="1"/>
  <c r="I4894" i="1" s="1"/>
  <c r="I4895" i="1" a="1"/>
  <c r="I4895" i="1" s="1"/>
  <c r="I4896" i="1" a="1"/>
  <c r="I4896" i="1" s="1"/>
  <c r="I4897" i="1" a="1"/>
  <c r="I4897" i="1" s="1"/>
  <c r="I4898" i="1" a="1"/>
  <c r="I4898" i="1" s="1"/>
  <c r="I4899" i="1" a="1"/>
  <c r="I4899" i="1" s="1"/>
  <c r="I4900" i="1" a="1"/>
  <c r="I4900" i="1" s="1"/>
  <c r="I4901" i="1" a="1"/>
  <c r="I4901" i="1" s="1"/>
  <c r="I4902" i="1" a="1"/>
  <c r="I4902" i="1" s="1"/>
  <c r="I4903" i="1" a="1"/>
  <c r="I4903" i="1" s="1"/>
  <c r="I4904" i="1" a="1"/>
  <c r="I4904" i="1" s="1"/>
  <c r="I4905" i="1" a="1"/>
  <c r="I4905" i="1" s="1"/>
  <c r="I4906" i="1" a="1"/>
  <c r="I4906" i="1" s="1"/>
  <c r="I4907" i="1" a="1"/>
  <c r="I4907" i="1" s="1"/>
  <c r="I4908" i="1" a="1"/>
  <c r="I4908" i="1" s="1"/>
  <c r="I4909" i="1" a="1"/>
  <c r="I4909" i="1" s="1"/>
  <c r="I4910" i="1" a="1"/>
  <c r="I4910" i="1" s="1"/>
  <c r="I4911" i="1" a="1"/>
  <c r="I4911" i="1" s="1"/>
  <c r="I4912" i="1" a="1"/>
  <c r="I4912" i="1" s="1"/>
  <c r="I4913" i="1" a="1"/>
  <c r="I4913" i="1" s="1"/>
  <c r="I4914" i="1" a="1"/>
  <c r="I4914" i="1" s="1"/>
  <c r="I4915" i="1" a="1"/>
  <c r="I4915" i="1" s="1"/>
  <c r="I4916" i="1" a="1"/>
  <c r="I4916" i="1" s="1"/>
  <c r="I4917" i="1" a="1"/>
  <c r="I4917" i="1" s="1"/>
  <c r="I4918" i="1" a="1"/>
  <c r="I4918" i="1" s="1"/>
  <c r="I4919" i="1" a="1"/>
  <c r="I4919" i="1" s="1"/>
  <c r="I4920" i="1" a="1"/>
  <c r="I4920" i="1" s="1"/>
  <c r="I4921" i="1" a="1"/>
  <c r="I4921" i="1" s="1"/>
  <c r="I4922" i="1" a="1"/>
  <c r="I4922" i="1" s="1"/>
  <c r="I4923" i="1" a="1"/>
  <c r="I4923" i="1" s="1"/>
  <c r="I4924" i="1" a="1"/>
  <c r="I4924" i="1" s="1"/>
  <c r="I4925" i="1" a="1"/>
  <c r="I4925" i="1" s="1"/>
  <c r="I4926" i="1" a="1"/>
  <c r="I4926" i="1" s="1"/>
  <c r="I4927" i="1" a="1"/>
  <c r="I4927" i="1" s="1"/>
  <c r="I4928" i="1" a="1"/>
  <c r="I4928" i="1" s="1"/>
  <c r="I4929" i="1" a="1"/>
  <c r="I4929" i="1" s="1"/>
  <c r="I4930" i="1" a="1"/>
  <c r="I4930" i="1" s="1"/>
  <c r="I4931" i="1" a="1"/>
  <c r="I4931" i="1" s="1"/>
  <c r="I4932" i="1" a="1"/>
  <c r="I4932" i="1" s="1"/>
  <c r="I4933" i="1" a="1"/>
  <c r="I4933" i="1" s="1"/>
  <c r="I4934" i="1" a="1"/>
  <c r="I4934" i="1" s="1"/>
  <c r="I4935" i="1" a="1"/>
  <c r="I4935" i="1" s="1"/>
  <c r="I4936" i="1" a="1"/>
  <c r="I4936" i="1" s="1"/>
  <c r="I4937" i="1" a="1"/>
  <c r="I4937" i="1" s="1"/>
  <c r="I4938" i="1" a="1"/>
  <c r="I4938" i="1" s="1"/>
  <c r="I4939" i="1" a="1"/>
  <c r="I4939" i="1" s="1"/>
  <c r="I4940" i="1" a="1"/>
  <c r="I4940" i="1" s="1"/>
  <c r="I4941" i="1" a="1"/>
  <c r="I4941" i="1" s="1"/>
  <c r="I4942" i="1" a="1"/>
  <c r="I4942" i="1" s="1"/>
  <c r="I4943" i="1" a="1"/>
  <c r="I4943" i="1" s="1"/>
  <c r="I4944" i="1" a="1"/>
  <c r="I4944" i="1" s="1"/>
  <c r="I4945" i="1" a="1"/>
  <c r="I4945" i="1" s="1"/>
  <c r="I4946" i="1" a="1"/>
  <c r="I4946" i="1" s="1"/>
  <c r="I4947" i="1" a="1"/>
  <c r="I4947" i="1" s="1"/>
  <c r="I4948" i="1" a="1"/>
  <c r="I4948" i="1" s="1"/>
  <c r="I4949" i="1" a="1"/>
  <c r="I4949" i="1" s="1"/>
  <c r="I4950" i="1" a="1"/>
  <c r="I4950" i="1" s="1"/>
  <c r="I4951" i="1" a="1"/>
  <c r="I4951" i="1" s="1"/>
  <c r="I4952" i="1" a="1"/>
  <c r="I4952" i="1" s="1"/>
  <c r="I4953" i="1" a="1"/>
  <c r="I4953" i="1" s="1"/>
  <c r="I4954" i="1" a="1"/>
  <c r="I4954" i="1" s="1"/>
  <c r="I4955" i="1" a="1"/>
  <c r="I4955" i="1" s="1"/>
  <c r="I4956" i="1" a="1"/>
  <c r="I4956" i="1" s="1"/>
  <c r="I4957" i="1" a="1"/>
  <c r="I4957" i="1" s="1"/>
  <c r="I4958" i="1" a="1"/>
  <c r="I4958" i="1" s="1"/>
  <c r="I4959" i="1" a="1"/>
  <c r="I4959" i="1" s="1"/>
  <c r="I4960" i="1" a="1"/>
  <c r="I4960" i="1" s="1"/>
  <c r="I4961" i="1" a="1"/>
  <c r="I4961" i="1" s="1"/>
  <c r="I4962" i="1" a="1"/>
  <c r="I4962" i="1" s="1"/>
  <c r="I4963" i="1" a="1"/>
  <c r="I4963" i="1" s="1"/>
  <c r="I4964" i="1" a="1"/>
  <c r="I4964" i="1" s="1"/>
  <c r="I4965" i="1" a="1"/>
  <c r="I4965" i="1" s="1"/>
  <c r="I4966" i="1" a="1"/>
  <c r="I4966" i="1" s="1"/>
  <c r="I4967" i="1" a="1"/>
  <c r="I4967" i="1" s="1"/>
  <c r="I4968" i="1" a="1"/>
  <c r="I4968" i="1" s="1"/>
  <c r="I4969" i="1" a="1"/>
  <c r="I4969" i="1" s="1"/>
  <c r="I4970" i="1" a="1"/>
  <c r="I4970" i="1" s="1"/>
  <c r="I4971" i="1" a="1"/>
  <c r="I4971" i="1" s="1"/>
  <c r="I4972" i="1" a="1"/>
  <c r="I4972" i="1" s="1"/>
  <c r="I4973" i="1" a="1"/>
  <c r="I4973" i="1" s="1"/>
  <c r="I4974" i="1" a="1"/>
  <c r="I4974" i="1" s="1"/>
  <c r="I4975" i="1" a="1"/>
  <c r="I4975" i="1" s="1"/>
  <c r="I4976" i="1" a="1"/>
  <c r="I4976" i="1" s="1"/>
  <c r="I4977" i="1" a="1"/>
  <c r="I4977" i="1" s="1"/>
  <c r="I4978" i="1" a="1"/>
  <c r="I4978" i="1" s="1"/>
  <c r="I4979" i="1" a="1"/>
  <c r="I4979" i="1" s="1"/>
  <c r="I4980" i="1" a="1"/>
  <c r="I4980" i="1" s="1"/>
  <c r="I4981" i="1" a="1"/>
  <c r="I4981" i="1" s="1"/>
  <c r="I4982" i="1" a="1"/>
  <c r="I4982" i="1" s="1"/>
  <c r="I4983" i="1" a="1"/>
  <c r="I4983" i="1" s="1"/>
  <c r="I4984" i="1" a="1"/>
  <c r="I4984" i="1" s="1"/>
  <c r="I4985" i="1" a="1"/>
  <c r="I4985" i="1" s="1"/>
  <c r="I4986" i="1" a="1"/>
  <c r="I4986" i="1" s="1"/>
  <c r="I4987" i="1" a="1"/>
  <c r="I4987" i="1" s="1"/>
  <c r="I4988" i="1" a="1"/>
  <c r="I4988" i="1" s="1"/>
  <c r="I4989" i="1" a="1"/>
  <c r="I4989" i="1" s="1"/>
  <c r="I4990" i="1" a="1"/>
  <c r="I4990" i="1" s="1"/>
  <c r="I4991" i="1" a="1"/>
  <c r="I4991" i="1" s="1"/>
  <c r="I4992" i="1" a="1"/>
  <c r="I4992" i="1" s="1"/>
  <c r="I4993" i="1" a="1"/>
  <c r="I4993" i="1" s="1"/>
  <c r="I4994" i="1" a="1"/>
  <c r="I4994" i="1" s="1"/>
  <c r="I4995" i="1" a="1"/>
  <c r="I4995" i="1" s="1"/>
  <c r="I4996" i="1" a="1"/>
  <c r="I4996" i="1" s="1"/>
  <c r="I4997" i="1" a="1"/>
  <c r="I4997" i="1" s="1"/>
  <c r="I4998" i="1" a="1"/>
  <c r="I4998" i="1" s="1"/>
  <c r="I4999" i="1" a="1"/>
  <c r="I4999" i="1" s="1"/>
  <c r="I5000" i="1" a="1"/>
  <c r="I5000" i="1" s="1"/>
  <c r="I5001" i="1" a="1"/>
  <c r="I5001" i="1" s="1"/>
  <c r="I5002" i="1" a="1"/>
  <c r="I5002" i="1" s="1"/>
  <c r="I5003" i="1" a="1"/>
  <c r="I5003" i="1" s="1"/>
  <c r="I5004" i="1" a="1"/>
  <c r="I5004" i="1" s="1"/>
  <c r="I5005" i="1" a="1"/>
  <c r="I5005" i="1" s="1"/>
  <c r="I5006" i="1" a="1"/>
  <c r="I5006" i="1" s="1"/>
  <c r="I5007" i="1" a="1"/>
  <c r="I5007" i="1" s="1"/>
  <c r="I5008" i="1" a="1"/>
  <c r="I5008" i="1" s="1"/>
  <c r="I5009" i="1" a="1"/>
  <c r="I5009" i="1" s="1"/>
  <c r="I5010" i="1" a="1"/>
  <c r="I5010" i="1" s="1"/>
  <c r="I5011" i="1" a="1"/>
  <c r="I5011" i="1" s="1"/>
  <c r="I5012" i="1" a="1"/>
  <c r="I5012" i="1" s="1"/>
  <c r="I5013" i="1" a="1"/>
  <c r="I5013" i="1" s="1"/>
  <c r="I5014" i="1" a="1"/>
  <c r="I5014" i="1" s="1"/>
  <c r="I5015" i="1" a="1"/>
  <c r="I5015" i="1" s="1"/>
  <c r="I5016" i="1" a="1"/>
  <c r="I5016" i="1" s="1"/>
  <c r="I5017" i="1" a="1"/>
  <c r="I5017" i="1" s="1"/>
  <c r="I5018" i="1" a="1"/>
  <c r="I5018" i="1" s="1"/>
  <c r="I5019" i="1" a="1"/>
  <c r="I5019" i="1" s="1"/>
  <c r="I5020" i="1" a="1"/>
  <c r="I5020" i="1" s="1"/>
  <c r="I5021" i="1" a="1"/>
  <c r="I5021" i="1" s="1"/>
  <c r="I5022" i="1" a="1"/>
  <c r="I5022" i="1" s="1"/>
  <c r="I5023" i="1" a="1"/>
  <c r="I5023" i="1" s="1"/>
  <c r="I5024" i="1" a="1"/>
  <c r="I5024" i="1" s="1"/>
  <c r="I5025" i="1" a="1"/>
  <c r="I5025" i="1" s="1"/>
  <c r="I5026" i="1" a="1"/>
  <c r="I5026" i="1" s="1"/>
  <c r="I5027" i="1" a="1"/>
  <c r="I5027" i="1" s="1"/>
  <c r="I5028" i="1" a="1"/>
  <c r="I5028" i="1" s="1"/>
  <c r="I5029" i="1" a="1"/>
  <c r="I5029" i="1" s="1"/>
  <c r="I5030" i="1" a="1"/>
  <c r="I5030" i="1" s="1"/>
  <c r="I5031" i="1" a="1"/>
  <c r="I5031" i="1" s="1"/>
  <c r="I5032" i="1" a="1"/>
  <c r="I5032" i="1" s="1"/>
  <c r="I5033" i="1" a="1"/>
  <c r="I5033" i="1" s="1"/>
  <c r="I5034" i="1" a="1"/>
  <c r="I5034" i="1" s="1"/>
  <c r="I5035" i="1" a="1"/>
  <c r="I5035" i="1" s="1"/>
  <c r="I5036" i="1" a="1"/>
  <c r="I5036" i="1" s="1"/>
  <c r="I5037" i="1" a="1"/>
  <c r="I5037" i="1" s="1"/>
  <c r="I5038" i="1" a="1"/>
  <c r="I5038" i="1" s="1"/>
  <c r="I5039" i="1" a="1"/>
  <c r="I5039" i="1" s="1"/>
  <c r="I5040" i="1" a="1"/>
  <c r="I5040" i="1" s="1"/>
  <c r="I5041" i="1" a="1"/>
  <c r="I5041" i="1" s="1"/>
  <c r="I5042" i="1" a="1"/>
  <c r="I5042" i="1" s="1"/>
  <c r="I5043" i="1" a="1"/>
  <c r="I5043" i="1" s="1"/>
  <c r="I5044" i="1" a="1"/>
  <c r="I5044" i="1" s="1"/>
  <c r="I5045" i="1" a="1"/>
  <c r="I5045" i="1" s="1"/>
  <c r="I5046" i="1" a="1"/>
  <c r="I5046" i="1" s="1"/>
  <c r="I5047" i="1" a="1"/>
  <c r="I5047" i="1" s="1"/>
  <c r="I5048" i="1" a="1"/>
  <c r="I5048" i="1" s="1"/>
  <c r="I5049" i="1" a="1"/>
  <c r="I5049" i="1" s="1"/>
  <c r="I5050" i="1" a="1"/>
  <c r="I5050" i="1" s="1"/>
  <c r="I5051" i="1" a="1"/>
  <c r="I5051" i="1" s="1"/>
  <c r="I5052" i="1" a="1"/>
  <c r="I5052" i="1" s="1"/>
  <c r="I5053" i="1" a="1"/>
  <c r="I5053" i="1" s="1"/>
  <c r="I5054" i="1" a="1"/>
  <c r="I5054" i="1" s="1"/>
  <c r="I5055" i="1" a="1"/>
  <c r="I5055" i="1" s="1"/>
  <c r="I5056" i="1" a="1"/>
  <c r="I5056" i="1" s="1"/>
  <c r="I5057" i="1" a="1"/>
  <c r="I5057" i="1" s="1"/>
  <c r="I5058" i="1" a="1"/>
  <c r="I5058" i="1" s="1"/>
  <c r="I5059" i="1" a="1"/>
  <c r="I5059" i="1" s="1"/>
  <c r="I5060" i="1" a="1"/>
  <c r="I5060" i="1" s="1"/>
  <c r="I5061" i="1" a="1"/>
  <c r="I5061" i="1" s="1"/>
  <c r="I5062" i="1" a="1"/>
  <c r="I5062" i="1" s="1"/>
  <c r="I5063" i="1" a="1"/>
  <c r="I5063" i="1" s="1"/>
  <c r="I5064" i="1" a="1"/>
  <c r="I5064" i="1" s="1"/>
  <c r="I5065" i="1" a="1"/>
  <c r="I5065" i="1" s="1"/>
  <c r="I5066" i="1" a="1"/>
  <c r="I5066" i="1" s="1"/>
  <c r="I5067" i="1" a="1"/>
  <c r="I5067" i="1" s="1"/>
  <c r="I5068" i="1" a="1"/>
  <c r="I5068" i="1" s="1"/>
  <c r="I5069" i="1" a="1"/>
  <c r="I5069" i="1" s="1"/>
  <c r="I5070" i="1" a="1"/>
  <c r="I5070" i="1" s="1"/>
  <c r="I5071" i="1" a="1"/>
  <c r="I5071" i="1" s="1"/>
  <c r="I5072" i="1" a="1"/>
  <c r="I5072" i="1" s="1"/>
  <c r="I5073" i="1" a="1"/>
  <c r="I5073" i="1" s="1"/>
  <c r="I5074" i="1" a="1"/>
  <c r="I5074" i="1" s="1"/>
  <c r="I5075" i="1" a="1"/>
  <c r="I5075" i="1" s="1"/>
  <c r="I5076" i="1" a="1"/>
  <c r="I5076" i="1" s="1"/>
  <c r="I5077" i="1" a="1"/>
  <c r="I5077" i="1" s="1"/>
  <c r="I5078" i="1" a="1"/>
  <c r="I5078" i="1" s="1"/>
  <c r="I5079" i="1" a="1"/>
  <c r="I5079" i="1" s="1"/>
  <c r="I5080" i="1" a="1"/>
  <c r="I5080" i="1" s="1"/>
  <c r="I5081" i="1" a="1"/>
  <c r="I5081" i="1" s="1"/>
  <c r="I5082" i="1" a="1"/>
  <c r="I5082" i="1" s="1"/>
  <c r="I5083" i="1" a="1"/>
  <c r="I5083" i="1" s="1"/>
  <c r="I5084" i="1" a="1"/>
  <c r="I5084" i="1" s="1"/>
  <c r="I5085" i="1" a="1"/>
  <c r="I5085" i="1" s="1"/>
  <c r="I5086" i="1" a="1"/>
  <c r="I5086" i="1" s="1"/>
  <c r="I5087" i="1" a="1"/>
  <c r="I5087" i="1" s="1"/>
  <c r="I5088" i="1" a="1"/>
  <c r="I5088" i="1" s="1"/>
  <c r="I5089" i="1" a="1"/>
  <c r="I5089" i="1" s="1"/>
  <c r="I5090" i="1" a="1"/>
  <c r="I5090" i="1" s="1"/>
  <c r="I5091" i="1" a="1"/>
  <c r="I5091" i="1" s="1"/>
  <c r="I5092" i="1" a="1"/>
  <c r="I5092" i="1" s="1"/>
  <c r="I5093" i="1" a="1"/>
  <c r="I5093" i="1" s="1"/>
  <c r="I5094" i="1" a="1"/>
  <c r="I5094" i="1" s="1"/>
  <c r="I5095" i="1" a="1"/>
  <c r="I5095" i="1" s="1"/>
  <c r="I5096" i="1" a="1"/>
  <c r="I5096" i="1" s="1"/>
  <c r="I5097" i="1" a="1"/>
  <c r="I5097" i="1" s="1"/>
  <c r="I5098" i="1" a="1"/>
  <c r="I5098" i="1" s="1"/>
  <c r="I5099" i="1" a="1"/>
  <c r="I5099" i="1" s="1"/>
  <c r="I5100" i="1" a="1"/>
  <c r="I5100" i="1" s="1"/>
  <c r="I5101" i="1" a="1"/>
  <c r="I5101" i="1" s="1"/>
  <c r="I5102" i="1" a="1"/>
  <c r="I5102" i="1" s="1"/>
  <c r="I5103" i="1" a="1"/>
  <c r="I5103" i="1" s="1"/>
  <c r="I5104" i="1" a="1"/>
  <c r="I5104" i="1" s="1"/>
  <c r="I5105" i="1" a="1"/>
  <c r="I5105" i="1" s="1"/>
  <c r="I5106" i="1" a="1"/>
  <c r="I5106" i="1" s="1"/>
  <c r="I5107" i="1" a="1"/>
  <c r="I5107" i="1" s="1"/>
  <c r="I5108" i="1" a="1"/>
  <c r="I5108" i="1" s="1"/>
  <c r="I5109" i="1" a="1"/>
  <c r="I5109" i="1" s="1"/>
  <c r="I5110" i="1" a="1"/>
  <c r="I5110" i="1" s="1"/>
  <c r="I5111" i="1" a="1"/>
  <c r="I5111" i="1" s="1"/>
  <c r="I5112" i="1" a="1"/>
  <c r="I5112" i="1" s="1"/>
  <c r="I5113" i="1" a="1"/>
  <c r="I5113" i="1" s="1"/>
  <c r="I5114" i="1" a="1"/>
  <c r="I5114" i="1" s="1"/>
  <c r="I5115" i="1" a="1"/>
  <c r="I5115" i="1" s="1"/>
  <c r="I5116" i="1" a="1"/>
  <c r="I5116" i="1" s="1"/>
  <c r="I5117" i="1" a="1"/>
  <c r="I5117" i="1" s="1"/>
  <c r="I5118" i="1" a="1"/>
  <c r="I5118" i="1" s="1"/>
  <c r="I5119" i="1" a="1"/>
  <c r="I5119" i="1" s="1"/>
  <c r="I5120" i="1" a="1"/>
  <c r="I5120" i="1" s="1"/>
  <c r="I5121" i="1" a="1"/>
  <c r="I5121" i="1" s="1"/>
  <c r="I5122" i="1" a="1"/>
  <c r="I5122" i="1" s="1"/>
  <c r="I5123" i="1" a="1"/>
  <c r="I5123" i="1" s="1"/>
  <c r="I5124" i="1" a="1"/>
  <c r="I5124" i="1" s="1"/>
  <c r="I5125" i="1" a="1"/>
  <c r="I5125" i="1" s="1"/>
  <c r="I5126" i="1" a="1"/>
  <c r="I5126" i="1" s="1"/>
  <c r="I5127" i="1" a="1"/>
  <c r="I5127" i="1" s="1"/>
  <c r="I5128" i="1" a="1"/>
  <c r="I5128" i="1" s="1"/>
  <c r="I5129" i="1" a="1"/>
  <c r="I5129" i="1" s="1"/>
  <c r="I5130" i="1" a="1"/>
  <c r="I5130" i="1" s="1"/>
  <c r="I5131" i="1" a="1"/>
  <c r="I5131" i="1" s="1"/>
  <c r="I5132" i="1" a="1"/>
  <c r="I5132" i="1" s="1"/>
  <c r="I5133" i="1" a="1"/>
  <c r="I5133" i="1" s="1"/>
  <c r="I5134" i="1" a="1"/>
  <c r="I5134" i="1" s="1"/>
  <c r="I5135" i="1" a="1"/>
  <c r="I5135" i="1" s="1"/>
  <c r="I5136" i="1" a="1"/>
  <c r="I5136" i="1" s="1"/>
  <c r="I5137" i="1" a="1"/>
  <c r="I5137" i="1" s="1"/>
  <c r="I5138" i="1" a="1"/>
  <c r="I5138" i="1" s="1"/>
  <c r="I5139" i="1" a="1"/>
  <c r="I5139" i="1" s="1"/>
  <c r="I5140" i="1" a="1"/>
  <c r="I5140" i="1" s="1"/>
  <c r="I5141" i="1" a="1"/>
  <c r="I5141" i="1" s="1"/>
  <c r="I5142" i="1" a="1"/>
  <c r="I5142" i="1" s="1"/>
  <c r="I5143" i="1" a="1"/>
  <c r="I5143" i="1" s="1"/>
  <c r="I5144" i="1" a="1"/>
  <c r="I5144" i="1" s="1"/>
  <c r="I5145" i="1" a="1"/>
  <c r="I5145" i="1" s="1"/>
  <c r="I5146" i="1" a="1"/>
  <c r="I5146" i="1" s="1"/>
  <c r="I5147" i="1" a="1"/>
  <c r="I5147" i="1" s="1"/>
  <c r="I5148" i="1" a="1"/>
  <c r="I5148" i="1" s="1"/>
  <c r="I5149" i="1" a="1"/>
  <c r="I5149" i="1" s="1"/>
  <c r="I5150" i="1" a="1"/>
  <c r="I5150" i="1" s="1"/>
  <c r="I5151" i="1" a="1"/>
  <c r="I5151" i="1" s="1"/>
  <c r="I5152" i="1" a="1"/>
  <c r="I5152" i="1" s="1"/>
  <c r="I5153" i="1" a="1"/>
  <c r="I5153" i="1" s="1"/>
  <c r="I5154" i="1" a="1"/>
  <c r="I5154" i="1" s="1"/>
  <c r="I5155" i="1" a="1"/>
  <c r="I5155" i="1" s="1"/>
  <c r="I5156" i="1" a="1"/>
  <c r="I5156" i="1" s="1"/>
  <c r="I5157" i="1" a="1"/>
  <c r="I5157" i="1" s="1"/>
  <c r="I5158" i="1" a="1"/>
  <c r="I5158" i="1" s="1"/>
  <c r="I5159" i="1" a="1"/>
  <c r="I5159" i="1" s="1"/>
  <c r="I5160" i="1" a="1"/>
  <c r="I5160" i="1" s="1"/>
  <c r="I5161" i="1" a="1"/>
  <c r="I5161" i="1" s="1"/>
  <c r="I5162" i="1" a="1"/>
  <c r="I5162" i="1" s="1"/>
  <c r="I5163" i="1" a="1"/>
  <c r="I5163" i="1" s="1"/>
  <c r="I5164" i="1" a="1"/>
  <c r="I5164" i="1" s="1"/>
  <c r="I5165" i="1" a="1"/>
  <c r="I5165" i="1" s="1"/>
  <c r="I5166" i="1" a="1"/>
  <c r="I5166" i="1" s="1"/>
  <c r="I5167" i="1" a="1"/>
  <c r="I5167" i="1" s="1"/>
  <c r="I5168" i="1" a="1"/>
  <c r="I5168" i="1" s="1"/>
  <c r="I5169" i="1" a="1"/>
  <c r="I5169" i="1" s="1"/>
  <c r="I5170" i="1" a="1"/>
  <c r="I5170" i="1" s="1"/>
  <c r="I5171" i="1" a="1"/>
  <c r="I5171" i="1" s="1"/>
  <c r="I5172" i="1" a="1"/>
  <c r="I5172" i="1" s="1"/>
  <c r="I5173" i="1" a="1"/>
  <c r="I5173" i="1" s="1"/>
  <c r="I5174" i="1" a="1"/>
  <c r="I5174" i="1" s="1"/>
  <c r="I5175" i="1" a="1"/>
  <c r="I5175" i="1" s="1"/>
  <c r="I5176" i="1" a="1"/>
  <c r="I5176" i="1" s="1"/>
  <c r="I5177" i="1" a="1"/>
  <c r="I5177" i="1" s="1"/>
  <c r="I5178" i="1" a="1"/>
  <c r="I5178" i="1" s="1"/>
  <c r="I5179" i="1" a="1"/>
  <c r="I5179" i="1" s="1"/>
  <c r="I5180" i="1" a="1"/>
  <c r="I5180" i="1" s="1"/>
  <c r="I5181" i="1" a="1"/>
  <c r="I5181" i="1" s="1"/>
  <c r="I5182" i="1" a="1"/>
  <c r="I5182" i="1" s="1"/>
  <c r="I5183" i="1" a="1"/>
  <c r="I5183" i="1" s="1"/>
  <c r="I5184" i="1" a="1"/>
  <c r="I5184" i="1" s="1"/>
  <c r="I5185" i="1" a="1"/>
  <c r="I5185" i="1" s="1"/>
  <c r="I5186" i="1" a="1"/>
  <c r="I5186" i="1" s="1"/>
  <c r="I5187" i="1" a="1"/>
  <c r="I5187" i="1" s="1"/>
  <c r="I5188" i="1" a="1"/>
  <c r="I5188" i="1" s="1"/>
  <c r="I5189" i="1" a="1"/>
  <c r="I5189" i="1" s="1"/>
  <c r="I5190" i="1" a="1"/>
  <c r="I5190" i="1" s="1"/>
  <c r="I5191" i="1" a="1"/>
  <c r="I5191" i="1" s="1"/>
  <c r="I5192" i="1" a="1"/>
  <c r="I5192" i="1" s="1"/>
  <c r="I5193" i="1" a="1"/>
  <c r="I5193" i="1" s="1"/>
  <c r="I5194" i="1" a="1"/>
  <c r="I5194" i="1" s="1"/>
  <c r="I5195" i="1" a="1"/>
  <c r="I5195" i="1" s="1"/>
  <c r="I5196" i="1" a="1"/>
  <c r="I5196" i="1" s="1"/>
  <c r="I5197" i="1" a="1"/>
  <c r="I5197" i="1" s="1"/>
  <c r="I5198" i="1" a="1"/>
  <c r="I5198" i="1" s="1"/>
  <c r="I5199" i="1" a="1"/>
  <c r="I5199" i="1" s="1"/>
  <c r="I5200" i="1" a="1"/>
  <c r="I5200" i="1" s="1"/>
  <c r="I5201" i="1" a="1"/>
  <c r="I5201" i="1" s="1"/>
  <c r="I5202" i="1" a="1"/>
  <c r="I5202" i="1" s="1"/>
  <c r="I5203" i="1" a="1"/>
  <c r="I5203" i="1" s="1"/>
  <c r="I5204" i="1" a="1"/>
  <c r="I5204" i="1" s="1"/>
  <c r="I5205" i="1" a="1"/>
  <c r="I5205" i="1" s="1"/>
  <c r="I5206" i="1" a="1"/>
  <c r="I5206" i="1" s="1"/>
  <c r="I5207" i="1" a="1"/>
  <c r="I5207" i="1" s="1"/>
  <c r="I5208" i="1" a="1"/>
  <c r="I5208" i="1" s="1"/>
  <c r="I5209" i="1" a="1"/>
  <c r="I5209" i="1" s="1"/>
  <c r="I5210" i="1" a="1"/>
  <c r="I5210" i="1" s="1"/>
  <c r="I5211" i="1" a="1"/>
  <c r="I5211" i="1" s="1"/>
  <c r="I5212" i="1" a="1"/>
  <c r="I5212" i="1" s="1"/>
  <c r="I5213" i="1" a="1"/>
  <c r="I5213" i="1" s="1"/>
  <c r="I5214" i="1" a="1"/>
  <c r="I5214" i="1" s="1"/>
  <c r="I5215" i="1" a="1"/>
  <c r="I5215" i="1" s="1"/>
  <c r="I5216" i="1" a="1"/>
  <c r="I5216" i="1" s="1"/>
  <c r="I5217" i="1" a="1"/>
  <c r="I5217" i="1" s="1"/>
  <c r="I5218" i="1" a="1"/>
  <c r="I5218" i="1" s="1"/>
  <c r="I5219" i="1" a="1"/>
  <c r="I5219" i="1" s="1"/>
  <c r="I5220" i="1" a="1"/>
  <c r="I5220" i="1" s="1"/>
  <c r="I5221" i="1" a="1"/>
  <c r="I5221" i="1" s="1"/>
  <c r="I5222" i="1" a="1"/>
  <c r="I5222" i="1" s="1"/>
  <c r="I5223" i="1" a="1"/>
  <c r="I5223" i="1" s="1"/>
  <c r="I5224" i="1" a="1"/>
  <c r="I5224" i="1" s="1"/>
  <c r="I5225" i="1" a="1"/>
  <c r="I5225" i="1" s="1"/>
  <c r="I5226" i="1" a="1"/>
  <c r="I5226" i="1" s="1"/>
  <c r="I5227" i="1" a="1"/>
  <c r="I5227" i="1" s="1"/>
  <c r="I5228" i="1" a="1"/>
  <c r="I5228" i="1" s="1"/>
  <c r="I5229" i="1" a="1"/>
  <c r="I5229" i="1" s="1"/>
  <c r="I5230" i="1" a="1"/>
  <c r="I5230" i="1" s="1"/>
  <c r="I5231" i="1" a="1"/>
  <c r="I5231" i="1" s="1"/>
  <c r="I5232" i="1" a="1"/>
  <c r="I5232" i="1" s="1"/>
  <c r="I5233" i="1" a="1"/>
  <c r="I5233" i="1" s="1"/>
  <c r="I5234" i="1" a="1"/>
  <c r="I5234" i="1" s="1"/>
  <c r="I5235" i="1" a="1"/>
  <c r="I5235" i="1" s="1"/>
  <c r="I5236" i="1" a="1"/>
  <c r="I5236" i="1" s="1"/>
  <c r="I5237" i="1" a="1"/>
  <c r="I5237" i="1" s="1"/>
  <c r="I5238" i="1" a="1"/>
  <c r="I5238" i="1" s="1"/>
  <c r="I5239" i="1" a="1"/>
  <c r="I5239" i="1" s="1"/>
  <c r="I5240" i="1" a="1"/>
  <c r="I5240" i="1" s="1"/>
  <c r="I5241" i="1" a="1"/>
  <c r="I5241" i="1" s="1"/>
  <c r="I5242" i="1" a="1"/>
  <c r="I5242" i="1" s="1"/>
  <c r="I5243" i="1" a="1"/>
  <c r="I5243" i="1" s="1"/>
  <c r="I5244" i="1" a="1"/>
  <c r="I5244" i="1" s="1"/>
  <c r="I5245" i="1" a="1"/>
  <c r="I5245" i="1" s="1"/>
  <c r="I5246" i="1" a="1"/>
  <c r="I5246" i="1" s="1"/>
  <c r="I5247" i="1" a="1"/>
  <c r="I5247" i="1" s="1"/>
  <c r="I5248" i="1" a="1"/>
  <c r="I5248" i="1" s="1"/>
  <c r="I5249" i="1" a="1"/>
  <c r="I5249" i="1" s="1"/>
  <c r="I5250" i="1" a="1"/>
  <c r="I5250" i="1" s="1"/>
  <c r="I5251" i="1" a="1"/>
  <c r="I5251" i="1" s="1"/>
  <c r="I5252" i="1" a="1"/>
  <c r="I5252" i="1" s="1"/>
  <c r="I5253" i="1" a="1"/>
  <c r="I5253" i="1" s="1"/>
  <c r="I5254" i="1" a="1"/>
  <c r="I5254" i="1" s="1"/>
  <c r="I5255" i="1" a="1"/>
  <c r="I5255" i="1" s="1"/>
  <c r="I5256" i="1" a="1"/>
  <c r="I5256" i="1" s="1"/>
  <c r="I5257" i="1" a="1"/>
  <c r="I5257" i="1" s="1"/>
  <c r="I5258" i="1" a="1"/>
  <c r="I5258" i="1" s="1"/>
  <c r="I5259" i="1" a="1"/>
  <c r="I5259" i="1" s="1"/>
  <c r="I5260" i="1" a="1"/>
  <c r="I5260" i="1" s="1"/>
  <c r="I5261" i="1" a="1"/>
  <c r="I5261" i="1" s="1"/>
  <c r="I5262" i="1" a="1"/>
  <c r="I5262" i="1" s="1"/>
  <c r="I5263" i="1" a="1"/>
  <c r="I5263" i="1" s="1"/>
  <c r="I5264" i="1" a="1"/>
  <c r="I5264" i="1" s="1"/>
  <c r="I5265" i="1" a="1"/>
  <c r="I5265" i="1" s="1"/>
  <c r="I5266" i="1" a="1"/>
  <c r="I5266" i="1" s="1"/>
  <c r="I5267" i="1" a="1"/>
  <c r="I5267" i="1" s="1"/>
  <c r="I5268" i="1" a="1"/>
  <c r="I5268" i="1" s="1"/>
  <c r="I5269" i="1" a="1"/>
  <c r="I5269" i="1" s="1"/>
  <c r="I5270" i="1" a="1"/>
  <c r="I5270" i="1" s="1"/>
  <c r="I5271" i="1" a="1"/>
  <c r="I5271" i="1" s="1"/>
  <c r="I5272" i="1" a="1"/>
  <c r="I5272" i="1" s="1"/>
  <c r="I5273" i="1" a="1"/>
  <c r="I5273" i="1" s="1"/>
  <c r="I5274" i="1" a="1"/>
  <c r="I5274" i="1" s="1"/>
  <c r="I5275" i="1" a="1"/>
  <c r="I5275" i="1" s="1"/>
  <c r="I5276" i="1" a="1"/>
  <c r="I5276" i="1" s="1"/>
  <c r="I5277" i="1" a="1"/>
  <c r="I5277" i="1" s="1"/>
  <c r="I5278" i="1" a="1"/>
  <c r="I5278" i="1" s="1"/>
  <c r="I5279" i="1" a="1"/>
  <c r="I5279" i="1" s="1"/>
  <c r="I5280" i="1" a="1"/>
  <c r="I5280" i="1" s="1"/>
  <c r="I5281" i="1" a="1"/>
  <c r="I5281" i="1" s="1"/>
  <c r="I5282" i="1" a="1"/>
  <c r="I5282" i="1" s="1"/>
  <c r="I5283" i="1" a="1"/>
  <c r="I5283" i="1" s="1"/>
  <c r="I5284" i="1" a="1"/>
  <c r="I5284" i="1" s="1"/>
  <c r="I5285" i="1" a="1"/>
  <c r="I5285" i="1" s="1"/>
  <c r="I5286" i="1" a="1"/>
  <c r="I5286" i="1" s="1"/>
  <c r="I5287" i="1" a="1"/>
  <c r="I5287" i="1" s="1"/>
  <c r="I5288" i="1" a="1"/>
  <c r="I5288" i="1" s="1"/>
  <c r="I5289" i="1" a="1"/>
  <c r="I5289" i="1" s="1"/>
  <c r="I5290" i="1" a="1"/>
  <c r="I5290" i="1" s="1"/>
  <c r="I5291" i="1" a="1"/>
  <c r="I5291" i="1" s="1"/>
  <c r="I5292" i="1" a="1"/>
  <c r="I5292" i="1" s="1"/>
  <c r="I5293" i="1" a="1"/>
  <c r="I5293" i="1" s="1"/>
  <c r="I5294" i="1" a="1"/>
  <c r="I5294" i="1" s="1"/>
  <c r="I5295" i="1" a="1"/>
  <c r="I5295" i="1" s="1"/>
  <c r="I5296" i="1" a="1"/>
  <c r="I5296" i="1" s="1"/>
  <c r="I5297" i="1" a="1"/>
  <c r="I5297" i="1" s="1"/>
  <c r="I5298" i="1" a="1"/>
  <c r="I5298" i="1" s="1"/>
  <c r="I5299" i="1" a="1"/>
  <c r="I5299" i="1" s="1"/>
  <c r="I5300" i="1" a="1"/>
  <c r="I5300" i="1" s="1"/>
  <c r="I5301" i="1" a="1"/>
  <c r="I5301" i="1" s="1"/>
  <c r="I5302" i="1" a="1"/>
  <c r="I5302" i="1" s="1"/>
  <c r="I5303" i="1" a="1"/>
  <c r="I5303" i="1" s="1"/>
  <c r="I5304" i="1" a="1"/>
  <c r="I5304" i="1" s="1"/>
  <c r="I5305" i="1" a="1"/>
  <c r="I5305" i="1" s="1"/>
  <c r="I5306" i="1" a="1"/>
  <c r="I5306" i="1" s="1"/>
  <c r="I5307" i="1" a="1"/>
  <c r="I5307" i="1" s="1"/>
  <c r="I5308" i="1" a="1"/>
  <c r="I5308" i="1" s="1"/>
  <c r="I5309" i="1" a="1"/>
  <c r="I5309" i="1" s="1"/>
  <c r="I5310" i="1" a="1"/>
  <c r="I5310" i="1" s="1"/>
  <c r="I5311" i="1" a="1"/>
  <c r="I5311" i="1" s="1"/>
  <c r="I5312" i="1" a="1"/>
  <c r="I5312" i="1" s="1"/>
  <c r="I5313" i="1" a="1"/>
  <c r="I5313" i="1" s="1"/>
  <c r="I5314" i="1" a="1"/>
  <c r="I5314" i="1" s="1"/>
  <c r="I5315" i="1" a="1"/>
  <c r="I5315" i="1" s="1"/>
  <c r="I5316" i="1" a="1"/>
  <c r="I5316" i="1" s="1"/>
  <c r="I5317" i="1" a="1"/>
  <c r="I5317" i="1" s="1"/>
  <c r="I5318" i="1" a="1"/>
  <c r="I5318" i="1" s="1"/>
  <c r="I5319" i="1" a="1"/>
  <c r="I5319" i="1" s="1"/>
  <c r="I5320" i="1" a="1"/>
  <c r="I5320" i="1" s="1"/>
  <c r="I5321" i="1" a="1"/>
  <c r="I5321" i="1" s="1"/>
  <c r="I5322" i="1" a="1"/>
  <c r="I5322" i="1" s="1"/>
  <c r="I5323" i="1" a="1"/>
  <c r="I5323" i="1" s="1"/>
  <c r="I5324" i="1" a="1"/>
  <c r="I5324" i="1" s="1"/>
  <c r="I5325" i="1" a="1"/>
  <c r="I5325" i="1" s="1"/>
  <c r="I5326" i="1" a="1"/>
  <c r="I5326" i="1" s="1"/>
  <c r="I5327" i="1" a="1"/>
  <c r="I5327" i="1" s="1"/>
  <c r="I5328" i="1" a="1"/>
  <c r="I5328" i="1" s="1"/>
  <c r="I5329" i="1" a="1"/>
  <c r="I5329" i="1" s="1"/>
  <c r="I5330" i="1" a="1"/>
  <c r="I5330" i="1" s="1"/>
  <c r="I5331" i="1" a="1"/>
  <c r="I5331" i="1" s="1"/>
  <c r="I5332" i="1" a="1"/>
  <c r="I5332" i="1" s="1"/>
  <c r="I5333" i="1" a="1"/>
  <c r="I5333" i="1" s="1"/>
  <c r="I5334" i="1" a="1"/>
  <c r="I5334" i="1" s="1"/>
  <c r="I5335" i="1" a="1"/>
  <c r="I5335" i="1" s="1"/>
  <c r="I5336" i="1" a="1"/>
  <c r="I5336" i="1" s="1"/>
  <c r="I5337" i="1" a="1"/>
  <c r="I5337" i="1" s="1"/>
  <c r="I5338" i="1" a="1"/>
  <c r="I5338" i="1" s="1"/>
  <c r="I5339" i="1" a="1"/>
  <c r="I5339" i="1" s="1"/>
  <c r="I5340" i="1" a="1"/>
  <c r="I5340" i="1" s="1"/>
  <c r="I5341" i="1" a="1"/>
  <c r="I5341" i="1" s="1"/>
  <c r="I5342" i="1" a="1"/>
  <c r="I5342" i="1" s="1"/>
  <c r="I5343" i="1" a="1"/>
  <c r="I5343" i="1" s="1"/>
  <c r="I5344" i="1" a="1"/>
  <c r="I5344" i="1" s="1"/>
  <c r="I5345" i="1" a="1"/>
  <c r="I5345" i="1" s="1"/>
  <c r="I5346" i="1" a="1"/>
  <c r="I5346" i="1" s="1"/>
  <c r="I5347" i="1" a="1"/>
  <c r="I5347" i="1" s="1"/>
  <c r="I5348" i="1" a="1"/>
  <c r="I5348" i="1" s="1"/>
  <c r="I5349" i="1" a="1"/>
  <c r="I5349" i="1" s="1"/>
  <c r="I5350" i="1" a="1"/>
  <c r="I5350" i="1" s="1"/>
  <c r="I5351" i="1" a="1"/>
  <c r="I5351" i="1" s="1"/>
  <c r="I5352" i="1" a="1"/>
  <c r="I5352" i="1" s="1"/>
  <c r="I5353" i="1" a="1"/>
  <c r="I5353" i="1" s="1"/>
  <c r="I5354" i="1" a="1"/>
  <c r="I5354" i="1" s="1"/>
  <c r="I5355" i="1" a="1"/>
  <c r="I5355" i="1" s="1"/>
  <c r="I5356" i="1" a="1"/>
  <c r="I5356" i="1" s="1"/>
  <c r="I5357" i="1" a="1"/>
  <c r="I5357" i="1" s="1"/>
  <c r="I5358" i="1" a="1"/>
  <c r="I5358" i="1" s="1"/>
  <c r="I5359" i="1" a="1"/>
  <c r="I5359" i="1" s="1"/>
  <c r="I5360" i="1" a="1"/>
  <c r="I5360" i="1" s="1"/>
  <c r="I5361" i="1" a="1"/>
  <c r="I5361" i="1" s="1"/>
  <c r="I5362" i="1" a="1"/>
  <c r="I5362" i="1" s="1"/>
  <c r="I5363" i="1" a="1"/>
  <c r="I5363" i="1" s="1"/>
  <c r="I5364" i="1" a="1"/>
  <c r="I5364" i="1" s="1"/>
  <c r="I5365" i="1" a="1"/>
  <c r="I5365" i="1" s="1"/>
  <c r="I5366" i="1" a="1"/>
  <c r="I5366" i="1" s="1"/>
  <c r="I5367" i="1" a="1"/>
  <c r="I5367" i="1" s="1"/>
  <c r="I5368" i="1" a="1"/>
  <c r="I5368" i="1" s="1"/>
  <c r="I5369" i="1" a="1"/>
  <c r="I5369" i="1" s="1"/>
  <c r="I5370" i="1" a="1"/>
  <c r="I5370" i="1" s="1"/>
  <c r="I5371" i="1" a="1"/>
  <c r="I5371" i="1" s="1"/>
  <c r="I5372" i="1" a="1"/>
  <c r="I5372" i="1" s="1"/>
  <c r="I5373" i="1" a="1"/>
  <c r="I5373" i="1" s="1"/>
  <c r="I5374" i="1" a="1"/>
  <c r="I5374" i="1" s="1"/>
  <c r="I5375" i="1" a="1"/>
  <c r="I5375" i="1" s="1"/>
  <c r="I5376" i="1" a="1"/>
  <c r="I5376" i="1" s="1"/>
  <c r="I5377" i="1" a="1"/>
  <c r="I5377" i="1" s="1"/>
  <c r="I5378" i="1" a="1"/>
  <c r="I5378" i="1" s="1"/>
  <c r="I5379" i="1" a="1"/>
  <c r="I5379" i="1" s="1"/>
  <c r="I5380" i="1" a="1"/>
  <c r="I5380" i="1" s="1"/>
  <c r="I5381" i="1" a="1"/>
  <c r="I5381" i="1" s="1"/>
  <c r="I5382" i="1" a="1"/>
  <c r="I5382" i="1" s="1"/>
  <c r="I5383" i="1" a="1"/>
  <c r="I5383" i="1" s="1"/>
  <c r="I5384" i="1" a="1"/>
  <c r="I5384" i="1" s="1"/>
  <c r="I5385" i="1" a="1"/>
  <c r="I5385" i="1" s="1"/>
  <c r="I5386" i="1" a="1"/>
  <c r="I5386" i="1" s="1"/>
  <c r="I5387" i="1" a="1"/>
  <c r="I5387" i="1" s="1"/>
  <c r="I5388" i="1" a="1"/>
  <c r="I5388" i="1" s="1"/>
  <c r="I5389" i="1" a="1"/>
  <c r="I5389" i="1" s="1"/>
  <c r="I5390" i="1" a="1"/>
  <c r="I5390" i="1" s="1"/>
  <c r="I5391" i="1" a="1"/>
  <c r="I5391" i="1" s="1"/>
  <c r="I5392" i="1" a="1"/>
  <c r="I5392" i="1" s="1"/>
  <c r="I5393" i="1" a="1"/>
  <c r="I5393" i="1" s="1"/>
  <c r="I5394" i="1" a="1"/>
  <c r="I5394" i="1" s="1"/>
  <c r="I5395" i="1" a="1"/>
  <c r="I5395" i="1" s="1"/>
  <c r="I5396" i="1" a="1"/>
  <c r="I5396" i="1" s="1"/>
  <c r="I5397" i="1" a="1"/>
  <c r="I5397" i="1" s="1"/>
  <c r="I5398" i="1" a="1"/>
  <c r="I5398" i="1" s="1"/>
  <c r="I5399" i="1" a="1"/>
  <c r="I5399" i="1" s="1"/>
  <c r="I5400" i="1" a="1"/>
  <c r="I5400" i="1" s="1"/>
  <c r="I5401" i="1" a="1"/>
  <c r="I5401" i="1" s="1"/>
  <c r="I5402" i="1" a="1"/>
  <c r="I5402" i="1" s="1"/>
  <c r="I5403" i="1" a="1"/>
  <c r="I5403" i="1" s="1"/>
  <c r="I5404" i="1" a="1"/>
  <c r="I5404" i="1" s="1"/>
  <c r="I5405" i="1" a="1"/>
  <c r="I5405" i="1" s="1"/>
  <c r="I5406" i="1" a="1"/>
  <c r="I5406" i="1" s="1"/>
  <c r="I5407" i="1" a="1"/>
  <c r="I5407" i="1" s="1"/>
  <c r="I5408" i="1" a="1"/>
  <c r="I5408" i="1" s="1"/>
  <c r="I5409" i="1" a="1"/>
  <c r="I5409" i="1" s="1"/>
  <c r="I5410" i="1" a="1"/>
  <c r="I5410" i="1" s="1"/>
  <c r="I5411" i="1" a="1"/>
  <c r="I5411" i="1" s="1"/>
  <c r="I5412" i="1" a="1"/>
  <c r="I5412" i="1" s="1"/>
  <c r="I5413" i="1" a="1"/>
  <c r="I5413" i="1" s="1"/>
  <c r="I5414" i="1" a="1"/>
  <c r="I5414" i="1" s="1"/>
  <c r="I5415" i="1" a="1"/>
  <c r="I5415" i="1" s="1"/>
  <c r="I5416" i="1" a="1"/>
  <c r="I5416" i="1" s="1"/>
  <c r="I5417" i="1" a="1"/>
  <c r="I5417" i="1" s="1"/>
  <c r="I5418" i="1" a="1"/>
  <c r="I5418" i="1" s="1"/>
  <c r="I5419" i="1" a="1"/>
  <c r="I5419" i="1" s="1"/>
  <c r="I5420" i="1" a="1"/>
  <c r="I5420" i="1" s="1"/>
  <c r="I5421" i="1" a="1"/>
  <c r="I5421" i="1" s="1"/>
  <c r="I5422" i="1" a="1"/>
  <c r="I5422" i="1" s="1"/>
  <c r="I5423" i="1" a="1"/>
  <c r="I5423" i="1" s="1"/>
  <c r="I5424" i="1" a="1"/>
  <c r="I5424" i="1" s="1"/>
  <c r="I5425" i="1" a="1"/>
  <c r="I5425" i="1" s="1"/>
  <c r="I5426" i="1" a="1"/>
  <c r="I5426" i="1" s="1"/>
  <c r="I5427" i="1" a="1"/>
  <c r="I5427" i="1" s="1"/>
  <c r="I5428" i="1" a="1"/>
  <c r="I5428" i="1" s="1"/>
  <c r="I5429" i="1" a="1"/>
  <c r="I5429" i="1" s="1"/>
  <c r="I5430" i="1" a="1"/>
  <c r="I5430" i="1" s="1"/>
  <c r="I5431" i="1" a="1"/>
  <c r="I5431" i="1" s="1"/>
  <c r="I5432" i="1" a="1"/>
  <c r="I5432" i="1" s="1"/>
  <c r="I5433" i="1" a="1"/>
  <c r="I5433" i="1" s="1"/>
  <c r="I5434" i="1" a="1"/>
  <c r="I5434" i="1" s="1"/>
  <c r="I5435" i="1" a="1"/>
  <c r="I5435" i="1" s="1"/>
  <c r="I5436" i="1" a="1"/>
  <c r="I5436" i="1" s="1"/>
  <c r="I5437" i="1" a="1"/>
  <c r="I5437" i="1" s="1"/>
  <c r="I5438" i="1" a="1"/>
  <c r="I5438" i="1" s="1"/>
  <c r="I5439" i="1" a="1"/>
  <c r="I5439" i="1" s="1"/>
  <c r="I5440" i="1" a="1"/>
  <c r="I5440" i="1" s="1"/>
  <c r="I5441" i="1" a="1"/>
  <c r="I5441" i="1" s="1"/>
  <c r="I5442" i="1" a="1"/>
  <c r="I5442" i="1" s="1"/>
  <c r="I5443" i="1" a="1"/>
  <c r="I5443" i="1" s="1"/>
  <c r="I5444" i="1" a="1"/>
  <c r="I5444" i="1" s="1"/>
  <c r="I5445" i="1" a="1"/>
  <c r="I5445" i="1" s="1"/>
  <c r="I5446" i="1" a="1"/>
  <c r="I5446" i="1" s="1"/>
  <c r="I5447" i="1" a="1"/>
  <c r="I5447" i="1" s="1"/>
  <c r="I5448" i="1" a="1"/>
  <c r="I5448" i="1" s="1"/>
  <c r="I5449" i="1" a="1"/>
  <c r="I5449" i="1" s="1"/>
  <c r="I5450" i="1" a="1"/>
  <c r="I5450" i="1" s="1"/>
  <c r="I5451" i="1" a="1"/>
  <c r="I5451" i="1" s="1"/>
  <c r="I5452" i="1" a="1"/>
  <c r="I5452" i="1" s="1"/>
  <c r="I5453" i="1" a="1"/>
  <c r="I5453" i="1" s="1"/>
  <c r="I5454" i="1" a="1"/>
  <c r="I5454" i="1" s="1"/>
  <c r="I5455" i="1" a="1"/>
  <c r="I5455" i="1" s="1"/>
  <c r="I5456" i="1" a="1"/>
  <c r="I5456" i="1" s="1"/>
  <c r="I5457" i="1" a="1"/>
  <c r="I5457" i="1" s="1"/>
  <c r="I5458" i="1" a="1"/>
  <c r="I5458" i="1" s="1"/>
  <c r="I5459" i="1" a="1"/>
  <c r="I5459" i="1" s="1"/>
  <c r="I5460" i="1" a="1"/>
  <c r="I5460" i="1" s="1"/>
  <c r="I5461" i="1" a="1"/>
  <c r="I5461" i="1" s="1"/>
  <c r="I5462" i="1" a="1"/>
  <c r="I5462" i="1" s="1"/>
  <c r="I5463" i="1" a="1"/>
  <c r="I5463" i="1" s="1"/>
  <c r="I5464" i="1" a="1"/>
  <c r="I5464" i="1" s="1"/>
  <c r="I5465" i="1" a="1"/>
  <c r="I5465" i="1" s="1"/>
  <c r="I5466" i="1" a="1"/>
  <c r="I5466" i="1" s="1"/>
  <c r="I5467" i="1" a="1"/>
  <c r="I5467" i="1" s="1"/>
  <c r="I5468" i="1" a="1"/>
  <c r="I5468" i="1" s="1"/>
  <c r="I5469" i="1" a="1"/>
  <c r="I5469" i="1" s="1"/>
  <c r="I5470" i="1" a="1"/>
  <c r="I5470" i="1" s="1"/>
  <c r="I5471" i="1" a="1"/>
  <c r="I5471" i="1" s="1"/>
  <c r="I5472" i="1" a="1"/>
  <c r="I5472" i="1" s="1"/>
  <c r="I5473" i="1" a="1"/>
  <c r="I5473" i="1" s="1"/>
  <c r="I5474" i="1" a="1"/>
  <c r="I5474" i="1" s="1"/>
  <c r="I5475" i="1" a="1"/>
  <c r="I5475" i="1" s="1"/>
  <c r="I5476" i="1" a="1"/>
  <c r="I5476" i="1" s="1"/>
  <c r="I5477" i="1" a="1"/>
  <c r="I5477" i="1" s="1"/>
  <c r="I5478" i="1" a="1"/>
  <c r="I5478" i="1" s="1"/>
  <c r="I5479" i="1" a="1"/>
  <c r="I5479" i="1" s="1"/>
  <c r="I5480" i="1" a="1"/>
  <c r="I5480" i="1" s="1"/>
  <c r="I5481" i="1" a="1"/>
  <c r="I5481" i="1" s="1"/>
  <c r="I5482" i="1" a="1"/>
  <c r="I5482" i="1" s="1"/>
  <c r="I5483" i="1" a="1"/>
  <c r="I5483" i="1" s="1"/>
  <c r="I5484" i="1" a="1"/>
  <c r="I5484" i="1" s="1"/>
  <c r="I5485" i="1" a="1"/>
  <c r="I5485" i="1" s="1"/>
  <c r="I5486" i="1" a="1"/>
  <c r="I5486" i="1" s="1"/>
  <c r="I5487" i="1" a="1"/>
  <c r="I5487" i="1" s="1"/>
  <c r="I5488" i="1" a="1"/>
  <c r="I5488" i="1" s="1"/>
  <c r="I5489" i="1" a="1"/>
  <c r="I5489" i="1" s="1"/>
  <c r="I5490" i="1" a="1"/>
  <c r="I5490" i="1" s="1"/>
  <c r="I5491" i="1" a="1"/>
  <c r="I5491" i="1" s="1"/>
  <c r="I5492" i="1" a="1"/>
  <c r="I5492" i="1" s="1"/>
  <c r="I5493" i="1" a="1"/>
  <c r="I5493" i="1" s="1"/>
  <c r="I5494" i="1" a="1"/>
  <c r="I5494" i="1" s="1"/>
  <c r="I5495" i="1" a="1"/>
  <c r="I5495" i="1" s="1"/>
  <c r="I5496" i="1" a="1"/>
  <c r="I5496" i="1" s="1"/>
  <c r="I5497" i="1" a="1"/>
  <c r="I5497" i="1" s="1"/>
  <c r="I5498" i="1" a="1"/>
  <c r="I5498" i="1" s="1"/>
  <c r="I5499" i="1" a="1"/>
  <c r="I5499" i="1" s="1"/>
  <c r="I5500" i="1" a="1"/>
  <c r="I5500" i="1" s="1"/>
  <c r="I5501" i="1" a="1"/>
  <c r="I5501" i="1" s="1"/>
  <c r="I5502" i="1" a="1"/>
  <c r="I5502" i="1" s="1"/>
  <c r="I5503" i="1" a="1"/>
  <c r="I5503" i="1" s="1"/>
  <c r="I5504" i="1" a="1"/>
  <c r="I5504" i="1" s="1"/>
  <c r="I5505" i="1" a="1"/>
  <c r="I5505" i="1" s="1"/>
  <c r="I5506" i="1" a="1"/>
  <c r="I5506" i="1" s="1"/>
  <c r="I5507" i="1" a="1"/>
  <c r="I5507" i="1" s="1"/>
  <c r="I5508" i="1" a="1"/>
  <c r="I5508" i="1" s="1"/>
  <c r="I5509" i="1" a="1"/>
  <c r="I5509" i="1" s="1"/>
  <c r="I5510" i="1" a="1"/>
  <c r="I5510" i="1" s="1"/>
  <c r="I5511" i="1" a="1"/>
  <c r="I5511" i="1" s="1"/>
  <c r="I5512" i="1" a="1"/>
  <c r="I5512" i="1" s="1"/>
  <c r="I5513" i="1" a="1"/>
  <c r="I5513" i="1" s="1"/>
  <c r="I5514" i="1" a="1"/>
  <c r="I5514" i="1" s="1"/>
  <c r="I5515" i="1" a="1"/>
  <c r="I5515" i="1" s="1"/>
  <c r="I5516" i="1" a="1"/>
  <c r="I5516" i="1" s="1"/>
  <c r="I5517" i="1" a="1"/>
  <c r="I5517" i="1" s="1"/>
  <c r="I5518" i="1" a="1"/>
  <c r="I5518" i="1" s="1"/>
  <c r="I5519" i="1" a="1"/>
  <c r="I5519" i="1" s="1"/>
  <c r="I5520" i="1" a="1"/>
  <c r="I5520" i="1" s="1"/>
  <c r="I5521" i="1" a="1"/>
  <c r="I5521" i="1" s="1"/>
  <c r="I5522" i="1" a="1"/>
  <c r="I5522" i="1" s="1"/>
  <c r="I5523" i="1" a="1"/>
  <c r="I5523" i="1" s="1"/>
  <c r="I5524" i="1" a="1"/>
  <c r="I5524" i="1" s="1"/>
  <c r="I5525" i="1" a="1"/>
  <c r="I5525" i="1" s="1"/>
  <c r="I5526" i="1" a="1"/>
  <c r="I5526" i="1" s="1"/>
  <c r="I5527" i="1" a="1"/>
  <c r="I5527" i="1" s="1"/>
  <c r="I5528" i="1" a="1"/>
  <c r="I5528" i="1" s="1"/>
  <c r="I5529" i="1" a="1"/>
  <c r="I5529" i="1" s="1"/>
  <c r="I5530" i="1" a="1"/>
  <c r="I5530" i="1" s="1"/>
  <c r="I5531" i="1" a="1"/>
  <c r="I5531" i="1" s="1"/>
  <c r="I5532" i="1" a="1"/>
  <c r="I5532" i="1" s="1"/>
  <c r="I5533" i="1" a="1"/>
  <c r="I5533" i="1" s="1"/>
  <c r="I5534" i="1" a="1"/>
  <c r="I5534" i="1" s="1"/>
  <c r="I5535" i="1" a="1"/>
  <c r="I5535" i="1" s="1"/>
  <c r="I5536" i="1" a="1"/>
  <c r="I5536" i="1" s="1"/>
  <c r="I5537" i="1" a="1"/>
  <c r="I5537" i="1" s="1"/>
  <c r="I5538" i="1" a="1"/>
  <c r="I5538" i="1" s="1"/>
  <c r="I5539" i="1" a="1"/>
  <c r="I5539" i="1" s="1"/>
  <c r="I5540" i="1" a="1"/>
  <c r="I5540" i="1" s="1"/>
  <c r="I5541" i="1" a="1"/>
  <c r="I5541" i="1" s="1"/>
  <c r="I5542" i="1" a="1"/>
  <c r="I5542" i="1" s="1"/>
  <c r="I5543" i="1" a="1"/>
  <c r="I5543" i="1" s="1"/>
  <c r="I5544" i="1" a="1"/>
  <c r="I5544" i="1" s="1"/>
  <c r="I5545" i="1" a="1"/>
  <c r="I5545" i="1" s="1"/>
  <c r="I5546" i="1" a="1"/>
  <c r="I5546" i="1" s="1"/>
  <c r="I5547" i="1" a="1"/>
  <c r="I5547" i="1" s="1"/>
  <c r="I5548" i="1" a="1"/>
  <c r="I5548" i="1" s="1"/>
  <c r="I5549" i="1" a="1"/>
  <c r="I5549" i="1" s="1"/>
  <c r="I5550" i="1" a="1"/>
  <c r="I5550" i="1" s="1"/>
  <c r="I5551" i="1" a="1"/>
  <c r="I5551" i="1" s="1"/>
  <c r="I5552" i="1" a="1"/>
  <c r="I5552" i="1" s="1"/>
  <c r="I5553" i="1" a="1"/>
  <c r="I5553" i="1" s="1"/>
  <c r="I5554" i="1" a="1"/>
  <c r="I5554" i="1" s="1"/>
  <c r="I5555" i="1" a="1"/>
  <c r="I5555" i="1" s="1"/>
  <c r="I5556" i="1" a="1"/>
  <c r="I5556" i="1" s="1"/>
  <c r="I5557" i="1" a="1"/>
  <c r="I5557" i="1" s="1"/>
  <c r="I5558" i="1" a="1"/>
  <c r="I5558" i="1" s="1"/>
  <c r="I5559" i="1" a="1"/>
  <c r="I5559" i="1" s="1"/>
  <c r="I5560" i="1" a="1"/>
  <c r="I5560" i="1" s="1"/>
  <c r="I5561" i="1" a="1"/>
  <c r="I5561" i="1" s="1"/>
  <c r="I5562" i="1" a="1"/>
  <c r="I5562" i="1" s="1"/>
  <c r="I5563" i="1" a="1"/>
  <c r="I5563" i="1" s="1"/>
  <c r="I5564" i="1" a="1"/>
  <c r="I5564" i="1" s="1"/>
  <c r="I5565" i="1" a="1"/>
  <c r="I5565" i="1" s="1"/>
  <c r="I5566" i="1" a="1"/>
  <c r="I5566" i="1" s="1"/>
  <c r="I5567" i="1" a="1"/>
  <c r="I5567" i="1" s="1"/>
  <c r="I5568" i="1" a="1"/>
  <c r="I5568" i="1" s="1"/>
  <c r="I5569" i="1" a="1"/>
  <c r="I5569" i="1" s="1"/>
  <c r="I5570" i="1" a="1"/>
  <c r="I5570" i="1" s="1"/>
  <c r="I5571" i="1" a="1"/>
  <c r="I5571" i="1" s="1"/>
  <c r="I5572" i="1" a="1"/>
  <c r="I5572" i="1" s="1"/>
  <c r="I5573" i="1" a="1"/>
  <c r="I5573" i="1" s="1"/>
  <c r="I5574" i="1" a="1"/>
  <c r="I5574" i="1" s="1"/>
  <c r="I5575" i="1" a="1"/>
  <c r="I5575" i="1" s="1"/>
  <c r="I5576" i="1" a="1"/>
  <c r="I5576" i="1" s="1"/>
  <c r="I5577" i="1" a="1"/>
  <c r="I5577" i="1" s="1"/>
  <c r="I5578" i="1" a="1"/>
  <c r="I5578" i="1" s="1"/>
  <c r="I5579" i="1" a="1"/>
  <c r="I5579" i="1" s="1"/>
  <c r="I5580" i="1" a="1"/>
  <c r="I5580" i="1" s="1"/>
  <c r="I5581" i="1" a="1"/>
  <c r="I5581" i="1" s="1"/>
  <c r="I5582" i="1" a="1"/>
  <c r="I5582" i="1" s="1"/>
  <c r="I5583" i="1" a="1"/>
  <c r="I5583" i="1" s="1"/>
  <c r="I5584" i="1" a="1"/>
  <c r="I5584" i="1" s="1"/>
  <c r="I5585" i="1" a="1"/>
  <c r="I5585" i="1" s="1"/>
  <c r="I5586" i="1" a="1"/>
  <c r="I5586" i="1" s="1"/>
  <c r="I5587" i="1" a="1"/>
  <c r="I5587" i="1" s="1"/>
  <c r="I5588" i="1" a="1"/>
  <c r="I5588" i="1" s="1"/>
  <c r="I5589" i="1" a="1"/>
  <c r="I5589" i="1" s="1"/>
  <c r="I5590" i="1" a="1"/>
  <c r="I5590" i="1" s="1"/>
  <c r="I5591" i="1" a="1"/>
  <c r="I5591" i="1" s="1"/>
  <c r="I5592" i="1" a="1"/>
  <c r="I5592" i="1" s="1"/>
  <c r="I5593" i="1" a="1"/>
  <c r="I5593" i="1" s="1"/>
  <c r="I5594" i="1" a="1"/>
  <c r="I5594" i="1" s="1"/>
  <c r="I5595" i="1" a="1"/>
  <c r="I5595" i="1" s="1"/>
  <c r="I5596" i="1" a="1"/>
  <c r="I5596" i="1" s="1"/>
  <c r="I5597" i="1" a="1"/>
  <c r="I5597" i="1" s="1"/>
  <c r="I5598" i="1" a="1"/>
  <c r="I5598" i="1" s="1"/>
  <c r="I5599" i="1" a="1"/>
  <c r="I5599" i="1" s="1"/>
  <c r="I5600" i="1" a="1"/>
  <c r="I5600" i="1" s="1"/>
  <c r="I5601" i="1" a="1"/>
  <c r="I5601" i="1" s="1"/>
  <c r="I5602" i="1" a="1"/>
  <c r="I5602" i="1" s="1"/>
  <c r="I5603" i="1" a="1"/>
  <c r="I5603" i="1" s="1"/>
  <c r="I5604" i="1" a="1"/>
  <c r="I5604" i="1" s="1"/>
  <c r="I5605" i="1" a="1"/>
  <c r="I5605" i="1" s="1"/>
  <c r="I5606" i="1" a="1"/>
  <c r="I5606" i="1" s="1"/>
  <c r="I5607" i="1" a="1"/>
  <c r="I5607" i="1" s="1"/>
  <c r="I5608" i="1" a="1"/>
  <c r="I5608" i="1" s="1"/>
  <c r="I5609" i="1" a="1"/>
  <c r="I5609" i="1" s="1"/>
  <c r="I5610" i="1" a="1"/>
  <c r="I5610" i="1" s="1"/>
  <c r="I5611" i="1" a="1"/>
  <c r="I5611" i="1" s="1"/>
  <c r="I5612" i="1" a="1"/>
  <c r="I5612" i="1" s="1"/>
  <c r="I5613" i="1" a="1"/>
  <c r="I5613" i="1" s="1"/>
  <c r="I5614" i="1" a="1"/>
  <c r="I5614" i="1" s="1"/>
  <c r="I5615" i="1" a="1"/>
  <c r="I5615" i="1" s="1"/>
  <c r="I5616" i="1" a="1"/>
  <c r="I5616" i="1" s="1"/>
  <c r="I5617" i="1" a="1"/>
  <c r="I5617" i="1" s="1"/>
  <c r="I5618" i="1" a="1"/>
  <c r="I5618" i="1" s="1"/>
  <c r="I5619" i="1" a="1"/>
  <c r="I5619" i="1" s="1"/>
  <c r="I5620" i="1" a="1"/>
  <c r="I5620" i="1" s="1"/>
  <c r="I5621" i="1" a="1"/>
  <c r="I5621" i="1" s="1"/>
  <c r="I5622" i="1" a="1"/>
  <c r="I5622" i="1" s="1"/>
  <c r="I5623" i="1" a="1"/>
  <c r="I5623" i="1" s="1"/>
  <c r="I5624" i="1" a="1"/>
  <c r="I5624" i="1" s="1"/>
  <c r="I5625" i="1" a="1"/>
  <c r="I5625" i="1" s="1"/>
  <c r="I5626" i="1" a="1"/>
  <c r="I5626" i="1" s="1"/>
  <c r="I5627" i="1" a="1"/>
  <c r="I5627" i="1" s="1"/>
  <c r="I5628" i="1" a="1"/>
  <c r="I5628" i="1" s="1"/>
  <c r="I5629" i="1" a="1"/>
  <c r="I5629" i="1" s="1"/>
  <c r="I5630" i="1" a="1"/>
  <c r="I5630" i="1" s="1"/>
  <c r="I5631" i="1" a="1"/>
  <c r="I5631" i="1" s="1"/>
  <c r="I5632" i="1" a="1"/>
  <c r="I5632" i="1" s="1"/>
  <c r="I5633" i="1" a="1"/>
  <c r="I5633" i="1" s="1"/>
  <c r="I5634" i="1" a="1"/>
  <c r="I5634" i="1" s="1"/>
  <c r="I5635" i="1" a="1"/>
  <c r="I5635" i="1" s="1"/>
  <c r="I5636" i="1" a="1"/>
  <c r="I5636" i="1" s="1"/>
  <c r="I5637" i="1" a="1"/>
  <c r="I5637" i="1" s="1"/>
  <c r="I5638" i="1" a="1"/>
  <c r="I5638" i="1" s="1"/>
  <c r="I5639" i="1" a="1"/>
  <c r="I5639" i="1" s="1"/>
  <c r="I5640" i="1" a="1"/>
  <c r="I5640" i="1" s="1"/>
  <c r="I5641" i="1" a="1"/>
  <c r="I5641" i="1" s="1"/>
  <c r="I5642" i="1" a="1"/>
  <c r="I5642" i="1" s="1"/>
  <c r="I5643" i="1" a="1"/>
  <c r="I5643" i="1" s="1"/>
  <c r="I5644" i="1" a="1"/>
  <c r="I5644" i="1" s="1"/>
  <c r="I5645" i="1" a="1"/>
  <c r="I5645" i="1" s="1"/>
  <c r="I5646" i="1" a="1"/>
  <c r="I5646" i="1" s="1"/>
  <c r="I5647" i="1" a="1"/>
  <c r="I5647" i="1" s="1"/>
  <c r="I5648" i="1" a="1"/>
  <c r="I5648" i="1" s="1"/>
  <c r="I5649" i="1" a="1"/>
  <c r="I5649" i="1" s="1"/>
  <c r="I5650" i="1" a="1"/>
  <c r="I5650" i="1" s="1"/>
  <c r="I5651" i="1" a="1"/>
  <c r="I5651" i="1" s="1"/>
  <c r="I5652" i="1" a="1"/>
  <c r="I5652" i="1" s="1"/>
  <c r="I5653" i="1" a="1"/>
  <c r="I5653" i="1" s="1"/>
  <c r="I5654" i="1" a="1"/>
  <c r="I5654" i="1" s="1"/>
  <c r="I5655" i="1" a="1"/>
  <c r="I5655" i="1" s="1"/>
  <c r="I5656" i="1" a="1"/>
  <c r="I5656" i="1" s="1"/>
  <c r="I5657" i="1" a="1"/>
  <c r="I5657" i="1" s="1"/>
  <c r="I5658" i="1" a="1"/>
  <c r="I5658" i="1" s="1"/>
  <c r="I5659" i="1" a="1"/>
  <c r="I5659" i="1" s="1"/>
  <c r="I5660" i="1" a="1"/>
  <c r="I5660" i="1" s="1"/>
  <c r="I5661" i="1" a="1"/>
  <c r="I5661" i="1" s="1"/>
  <c r="I5662" i="1" a="1"/>
  <c r="I5662" i="1" s="1"/>
  <c r="I5663" i="1" a="1"/>
  <c r="I5663" i="1" s="1"/>
  <c r="I5664" i="1" a="1"/>
  <c r="I5664" i="1" s="1"/>
  <c r="I5665" i="1" a="1"/>
  <c r="I5665" i="1" s="1"/>
  <c r="I5666" i="1" a="1"/>
  <c r="I5666" i="1" s="1"/>
  <c r="I5667" i="1" a="1"/>
  <c r="I5667" i="1" s="1"/>
  <c r="I5668" i="1" a="1"/>
  <c r="I5668" i="1" s="1"/>
  <c r="I5669" i="1" a="1"/>
  <c r="I5669" i="1" s="1"/>
  <c r="I5670" i="1" a="1"/>
  <c r="I5670" i="1" s="1"/>
  <c r="I5671" i="1" a="1"/>
  <c r="I5671" i="1" s="1"/>
  <c r="I5672" i="1" a="1"/>
  <c r="I5672" i="1" s="1"/>
  <c r="I5673" i="1" a="1"/>
  <c r="I5673" i="1" s="1"/>
  <c r="I5674" i="1" a="1"/>
  <c r="I5674" i="1" s="1"/>
  <c r="I5675" i="1" a="1"/>
  <c r="I5675" i="1" s="1"/>
  <c r="I5676" i="1" a="1"/>
  <c r="I5676" i="1" s="1"/>
  <c r="I5677" i="1" a="1"/>
  <c r="I5677" i="1" s="1"/>
  <c r="I5678" i="1" a="1"/>
  <c r="I5678" i="1" s="1"/>
  <c r="I5679" i="1" a="1"/>
  <c r="I5679" i="1" s="1"/>
  <c r="I5680" i="1" a="1"/>
  <c r="I5680" i="1" s="1"/>
  <c r="I5681" i="1" a="1"/>
  <c r="I5681" i="1" s="1"/>
  <c r="I5682" i="1" a="1"/>
  <c r="I5682" i="1" s="1"/>
  <c r="I5683" i="1" a="1"/>
  <c r="I5683" i="1" s="1"/>
  <c r="I5684" i="1" a="1"/>
  <c r="I5684" i="1" s="1"/>
  <c r="I5685" i="1" a="1"/>
  <c r="I5685" i="1" s="1"/>
  <c r="I5686" i="1" a="1"/>
  <c r="I5686" i="1" s="1"/>
  <c r="I5687" i="1" a="1"/>
  <c r="I5687" i="1" s="1"/>
  <c r="I5688" i="1" a="1"/>
  <c r="I5688" i="1" s="1"/>
  <c r="I5689" i="1" a="1"/>
  <c r="I5689" i="1" s="1"/>
  <c r="I5690" i="1" a="1"/>
  <c r="I5690" i="1" s="1"/>
  <c r="I5691" i="1" a="1"/>
  <c r="I5691" i="1" s="1"/>
  <c r="I5692" i="1" a="1"/>
  <c r="I5692" i="1" s="1"/>
  <c r="I5693" i="1" a="1"/>
  <c r="I5693" i="1" s="1"/>
  <c r="I5694" i="1" a="1"/>
  <c r="I5694" i="1" s="1"/>
  <c r="I5695" i="1" a="1"/>
  <c r="I5695" i="1" s="1"/>
  <c r="I5696" i="1" a="1"/>
  <c r="I5696" i="1" s="1"/>
  <c r="I5697" i="1" a="1"/>
  <c r="I5697" i="1" s="1"/>
  <c r="I5698" i="1" a="1"/>
  <c r="I5698" i="1" s="1"/>
  <c r="I5699" i="1" a="1"/>
  <c r="I5699" i="1" s="1"/>
  <c r="I5700" i="1" a="1"/>
  <c r="I5700" i="1" s="1"/>
  <c r="I5701" i="1" a="1"/>
  <c r="I5701" i="1" s="1"/>
  <c r="I5702" i="1" a="1"/>
  <c r="I5702" i="1" s="1"/>
  <c r="I5703" i="1" a="1"/>
  <c r="I5703" i="1" s="1"/>
  <c r="I5704" i="1" a="1"/>
  <c r="I5704" i="1" s="1"/>
  <c r="I5705" i="1" a="1"/>
  <c r="I5705" i="1" s="1"/>
  <c r="I5706" i="1" a="1"/>
  <c r="I5706" i="1" s="1"/>
  <c r="I5707" i="1" a="1"/>
  <c r="I5707" i="1" s="1"/>
  <c r="I5708" i="1" a="1"/>
  <c r="I5708" i="1" s="1"/>
  <c r="I5709" i="1" a="1"/>
  <c r="I5709" i="1" s="1"/>
  <c r="I5710" i="1" a="1"/>
  <c r="I5710" i="1" s="1"/>
  <c r="I5711" i="1" a="1"/>
  <c r="I5711" i="1" s="1"/>
  <c r="I5712" i="1" a="1"/>
  <c r="I5712" i="1" s="1"/>
  <c r="I5713" i="1" a="1"/>
  <c r="I5713" i="1" s="1"/>
  <c r="I5714" i="1" a="1"/>
  <c r="I5714" i="1" s="1"/>
  <c r="I5715" i="1" a="1"/>
  <c r="I5715" i="1" s="1"/>
  <c r="I5716" i="1" a="1"/>
  <c r="I5716" i="1" s="1"/>
  <c r="I5717" i="1" a="1"/>
  <c r="I5717" i="1" s="1"/>
  <c r="I5718" i="1" a="1"/>
  <c r="I5718" i="1" s="1"/>
  <c r="I5719" i="1" a="1"/>
  <c r="I5719" i="1" s="1"/>
  <c r="I5720" i="1" a="1"/>
  <c r="I5720" i="1" s="1"/>
  <c r="I5721" i="1" a="1"/>
  <c r="I5721" i="1" s="1"/>
  <c r="I5722" i="1" a="1"/>
  <c r="I5722" i="1" s="1"/>
  <c r="I5723" i="1" a="1"/>
  <c r="I5723" i="1" s="1"/>
  <c r="I5724" i="1" a="1"/>
  <c r="I5724" i="1" s="1"/>
  <c r="I5725" i="1" a="1"/>
  <c r="I5725" i="1" s="1"/>
  <c r="I5726" i="1" a="1"/>
  <c r="I5726" i="1" s="1"/>
  <c r="I5727" i="1" a="1"/>
  <c r="I5727" i="1" s="1"/>
  <c r="I5728" i="1" a="1"/>
  <c r="I5728" i="1" s="1"/>
  <c r="I5729" i="1" a="1"/>
  <c r="I5729" i="1" s="1"/>
  <c r="I5730" i="1" a="1"/>
  <c r="I5730" i="1" s="1"/>
  <c r="I5731" i="1" a="1"/>
  <c r="I5731" i="1" s="1"/>
  <c r="I5732" i="1" a="1"/>
  <c r="I5732" i="1" s="1"/>
  <c r="I5733" i="1" a="1"/>
  <c r="I5733" i="1" s="1"/>
  <c r="I5734" i="1" a="1"/>
  <c r="I5734" i="1" s="1"/>
  <c r="I5735" i="1" a="1"/>
  <c r="I5735" i="1" s="1"/>
  <c r="I5736" i="1" a="1"/>
  <c r="I5736" i="1" s="1"/>
  <c r="I5737" i="1" a="1"/>
  <c r="I5737" i="1" s="1"/>
  <c r="I5738" i="1" a="1"/>
  <c r="I5738" i="1" s="1"/>
  <c r="I5739" i="1" a="1"/>
  <c r="I5739" i="1" s="1"/>
  <c r="I5740" i="1" a="1"/>
  <c r="I5740" i="1" s="1"/>
  <c r="I5741" i="1" a="1"/>
  <c r="I5741" i="1" s="1"/>
  <c r="I5742" i="1" a="1"/>
  <c r="I5742" i="1" s="1"/>
  <c r="I5743" i="1" a="1"/>
  <c r="I5743" i="1" s="1"/>
  <c r="I5744" i="1" a="1"/>
  <c r="I5744" i="1" s="1"/>
  <c r="I5745" i="1" a="1"/>
  <c r="I5745" i="1" s="1"/>
  <c r="I5746" i="1" a="1"/>
  <c r="I5746" i="1" s="1"/>
  <c r="I5747" i="1" a="1"/>
  <c r="I5747" i="1" s="1"/>
  <c r="I5748" i="1" a="1"/>
  <c r="I5748" i="1" s="1"/>
  <c r="I5749" i="1" a="1"/>
  <c r="I5749" i="1" s="1"/>
  <c r="I5750" i="1" a="1"/>
  <c r="I5750" i="1" s="1"/>
  <c r="I5751" i="1" a="1"/>
  <c r="I5751" i="1" s="1"/>
  <c r="I5752" i="1" a="1"/>
  <c r="I5752" i="1" s="1"/>
  <c r="I5753" i="1" a="1"/>
  <c r="I5753" i="1" s="1"/>
  <c r="I5754" i="1" a="1"/>
  <c r="I5754" i="1" s="1"/>
  <c r="I5755" i="1" a="1"/>
  <c r="I5755" i="1" s="1"/>
  <c r="I5756" i="1" a="1"/>
  <c r="I5756" i="1" s="1"/>
  <c r="I5757" i="1" a="1"/>
  <c r="I5757" i="1" s="1"/>
  <c r="I5758" i="1" a="1"/>
  <c r="I5758" i="1" s="1"/>
  <c r="I5759" i="1" a="1"/>
  <c r="I5759" i="1" s="1"/>
  <c r="I5760" i="1" a="1"/>
  <c r="I5760" i="1" s="1"/>
  <c r="I5761" i="1" a="1"/>
  <c r="I5761" i="1" s="1"/>
  <c r="I5762" i="1" a="1"/>
  <c r="I5762" i="1" s="1"/>
  <c r="I5763" i="1" a="1"/>
  <c r="I5763" i="1" s="1"/>
  <c r="I5764" i="1" a="1"/>
  <c r="I5764" i="1" s="1"/>
  <c r="I5765" i="1" a="1"/>
  <c r="I5765" i="1" s="1"/>
  <c r="I5766" i="1" a="1"/>
  <c r="I5766" i="1" s="1"/>
  <c r="I5767" i="1" a="1"/>
  <c r="I5767" i="1" s="1"/>
  <c r="I5768" i="1" a="1"/>
  <c r="I5768" i="1" s="1"/>
  <c r="I5769" i="1" a="1"/>
  <c r="I5769" i="1" s="1"/>
  <c r="I5770" i="1" a="1"/>
  <c r="I5770" i="1" s="1"/>
  <c r="I5771" i="1" a="1"/>
  <c r="I5771" i="1" s="1"/>
  <c r="I5772" i="1" a="1"/>
  <c r="I5772" i="1" s="1"/>
  <c r="I5773" i="1" a="1"/>
  <c r="I5773" i="1" s="1"/>
  <c r="I5774" i="1" a="1"/>
  <c r="I5774" i="1" s="1"/>
  <c r="I5775" i="1" a="1"/>
  <c r="I5775" i="1" s="1"/>
  <c r="I5776" i="1" a="1"/>
  <c r="I5776" i="1" s="1"/>
  <c r="I5777" i="1" a="1"/>
  <c r="I5777" i="1" s="1"/>
  <c r="I5778" i="1" a="1"/>
  <c r="I5778" i="1" s="1"/>
  <c r="I5779" i="1" a="1"/>
  <c r="I5779" i="1" s="1"/>
  <c r="I5780" i="1" a="1"/>
  <c r="I5780" i="1" s="1"/>
  <c r="I5781" i="1" a="1"/>
  <c r="I5781" i="1" s="1"/>
  <c r="I5782" i="1" a="1"/>
  <c r="I5782" i="1" s="1"/>
  <c r="I5783" i="1" a="1"/>
  <c r="I5783" i="1" s="1"/>
  <c r="I5784" i="1" a="1"/>
  <c r="I5784" i="1" s="1"/>
  <c r="I5785" i="1" a="1"/>
  <c r="I5785" i="1" s="1"/>
  <c r="I5786" i="1" a="1"/>
  <c r="I5786" i="1" s="1"/>
  <c r="I5787" i="1" a="1"/>
  <c r="I5787" i="1" s="1"/>
  <c r="I5788" i="1" a="1"/>
  <c r="I5788" i="1" s="1"/>
  <c r="I5789" i="1" a="1"/>
  <c r="I5789" i="1" s="1"/>
  <c r="I5790" i="1" a="1"/>
  <c r="I5790" i="1" s="1"/>
  <c r="I5791" i="1" a="1"/>
  <c r="I5791" i="1" s="1"/>
  <c r="I5792" i="1" a="1"/>
  <c r="I5792" i="1" s="1"/>
  <c r="I5793" i="1" a="1"/>
  <c r="I5793" i="1" s="1"/>
  <c r="I5794" i="1" a="1"/>
  <c r="I5794" i="1" s="1"/>
  <c r="I5795" i="1" a="1"/>
  <c r="I5795" i="1" s="1"/>
  <c r="I5796" i="1" a="1"/>
  <c r="I5796" i="1" s="1"/>
  <c r="I5797" i="1" a="1"/>
  <c r="I5797" i="1" s="1"/>
  <c r="I5798" i="1" a="1"/>
  <c r="I5798" i="1" s="1"/>
  <c r="I5799" i="1" a="1"/>
  <c r="I5799" i="1" s="1"/>
  <c r="I5800" i="1" a="1"/>
  <c r="I5800" i="1" s="1"/>
  <c r="I5801" i="1" a="1"/>
  <c r="I5801" i="1" s="1"/>
  <c r="I5802" i="1" a="1"/>
  <c r="I5802" i="1" s="1"/>
  <c r="I5803" i="1" a="1"/>
  <c r="I5803" i="1" s="1"/>
  <c r="I5804" i="1" a="1"/>
  <c r="I5804" i="1" s="1"/>
  <c r="I5805" i="1" a="1"/>
  <c r="I5805" i="1" s="1"/>
  <c r="I5806" i="1" a="1"/>
  <c r="I5806" i="1" s="1"/>
  <c r="I5807" i="1" a="1"/>
  <c r="I5807" i="1" s="1"/>
  <c r="I5808" i="1" a="1"/>
  <c r="I5808" i="1" s="1"/>
  <c r="I5809" i="1" a="1"/>
  <c r="I5809" i="1" s="1"/>
  <c r="I5810" i="1" a="1"/>
  <c r="I5810" i="1" s="1"/>
  <c r="I5811" i="1" a="1"/>
  <c r="I5811" i="1" s="1"/>
  <c r="I5812" i="1" a="1"/>
  <c r="I5812" i="1" s="1"/>
  <c r="I5813" i="1" a="1"/>
  <c r="I5813" i="1" s="1"/>
  <c r="I5814" i="1" a="1"/>
  <c r="I5814" i="1" s="1"/>
  <c r="I5815" i="1" a="1"/>
  <c r="I5815" i="1" s="1"/>
  <c r="I5816" i="1" a="1"/>
  <c r="I5816" i="1" s="1"/>
  <c r="I5817" i="1" a="1"/>
  <c r="I5817" i="1" s="1"/>
  <c r="I5818" i="1" a="1"/>
  <c r="I5818" i="1" s="1"/>
  <c r="I5819" i="1" a="1"/>
  <c r="I5819" i="1" s="1"/>
  <c r="I5820" i="1" a="1"/>
  <c r="I5820" i="1" s="1"/>
  <c r="I5821" i="1" a="1"/>
  <c r="I5821" i="1" s="1"/>
  <c r="I5822" i="1" a="1"/>
  <c r="I5822" i="1" s="1"/>
  <c r="I5823" i="1" a="1"/>
  <c r="I5823" i="1" s="1"/>
  <c r="I5824" i="1" a="1"/>
  <c r="I5824" i="1" s="1"/>
  <c r="I5825" i="1" a="1"/>
  <c r="I5825" i="1" s="1"/>
  <c r="I5826" i="1" a="1"/>
  <c r="I5826" i="1" s="1"/>
  <c r="I5827" i="1" a="1"/>
  <c r="I5827" i="1" s="1"/>
  <c r="I5828" i="1" a="1"/>
  <c r="I5828" i="1" s="1"/>
  <c r="I5829" i="1" a="1"/>
  <c r="I5829" i="1" s="1"/>
  <c r="I5830" i="1" a="1"/>
  <c r="I5830" i="1" s="1"/>
  <c r="I5831" i="1" a="1"/>
  <c r="I5831" i="1" s="1"/>
  <c r="I5832" i="1" a="1"/>
  <c r="I5832" i="1" s="1"/>
  <c r="I5833" i="1" a="1"/>
  <c r="I5833" i="1" s="1"/>
  <c r="I5834" i="1" a="1"/>
  <c r="I5834" i="1" s="1"/>
  <c r="I5835" i="1" a="1"/>
  <c r="I5835" i="1" s="1"/>
  <c r="I5836" i="1" a="1"/>
  <c r="I5836" i="1" s="1"/>
  <c r="I5837" i="1" a="1"/>
  <c r="I5837" i="1" s="1"/>
  <c r="I5838" i="1" a="1"/>
  <c r="I5838" i="1" s="1"/>
  <c r="I5839" i="1" a="1"/>
  <c r="I5839" i="1" s="1"/>
  <c r="I5840" i="1" a="1"/>
  <c r="I5840" i="1" s="1"/>
  <c r="I5841" i="1" a="1"/>
  <c r="I5841" i="1" s="1"/>
  <c r="I5842" i="1" a="1"/>
  <c r="I5842" i="1" s="1"/>
  <c r="I5843" i="1" a="1"/>
  <c r="I5843" i="1" s="1"/>
  <c r="I5844" i="1" a="1"/>
  <c r="I5844" i="1" s="1"/>
  <c r="I5845" i="1" a="1"/>
  <c r="I5845" i="1" s="1"/>
  <c r="I5846" i="1" a="1"/>
  <c r="I5846" i="1" s="1"/>
  <c r="I5847" i="1" a="1"/>
  <c r="I5847" i="1" s="1"/>
  <c r="I5848" i="1" a="1"/>
  <c r="I5848" i="1" s="1"/>
  <c r="I5849" i="1" a="1"/>
  <c r="I5849" i="1" s="1"/>
  <c r="I5850" i="1" a="1"/>
  <c r="I5850" i="1" s="1"/>
  <c r="I5851" i="1" a="1"/>
  <c r="I5851" i="1" s="1"/>
  <c r="I5852" i="1" a="1"/>
  <c r="I5852" i="1" s="1"/>
  <c r="I5853" i="1" a="1"/>
  <c r="I5853" i="1" s="1"/>
  <c r="I5854" i="1" a="1"/>
  <c r="I5854" i="1" s="1"/>
  <c r="I5855" i="1" a="1"/>
  <c r="I5855" i="1" s="1"/>
  <c r="I5856" i="1" a="1"/>
  <c r="I5856" i="1" s="1"/>
  <c r="I5857" i="1" a="1"/>
  <c r="I5857" i="1" s="1"/>
  <c r="I5858" i="1" a="1"/>
  <c r="I5858" i="1" s="1"/>
  <c r="I5859" i="1" a="1"/>
  <c r="I5859" i="1" s="1"/>
  <c r="I5860" i="1" a="1"/>
  <c r="I5860" i="1" s="1"/>
  <c r="I5861" i="1" a="1"/>
  <c r="I5861" i="1" s="1"/>
  <c r="I5862" i="1" a="1"/>
  <c r="I5862" i="1" s="1"/>
  <c r="I5863" i="1" a="1"/>
  <c r="I5863" i="1" s="1"/>
  <c r="I5864" i="1" a="1"/>
  <c r="I5864" i="1" s="1"/>
  <c r="I5865" i="1" a="1"/>
  <c r="I5865" i="1" s="1"/>
  <c r="I5866" i="1" a="1"/>
  <c r="I5866" i="1" s="1"/>
  <c r="I5867" i="1" a="1"/>
  <c r="I5867" i="1" s="1"/>
  <c r="I5868" i="1" a="1"/>
  <c r="I5868" i="1" s="1"/>
  <c r="I5869" i="1" a="1"/>
  <c r="I5869" i="1" s="1"/>
  <c r="I5870" i="1" a="1"/>
  <c r="I5870" i="1" s="1"/>
  <c r="I5871" i="1" a="1"/>
  <c r="I5871" i="1" s="1"/>
  <c r="I5872" i="1" a="1"/>
  <c r="I5872" i="1" s="1"/>
  <c r="I5873" i="1" a="1"/>
  <c r="I5873" i="1" s="1"/>
  <c r="I5874" i="1" a="1"/>
  <c r="I5874" i="1" s="1"/>
  <c r="I5875" i="1" a="1"/>
  <c r="I5875" i="1" s="1"/>
  <c r="I5876" i="1" a="1"/>
  <c r="I5876" i="1" s="1"/>
  <c r="I5877" i="1" a="1"/>
  <c r="I5877" i="1" s="1"/>
  <c r="I5878" i="1" a="1"/>
  <c r="I5878" i="1" s="1"/>
  <c r="I5879" i="1" a="1"/>
  <c r="I5879" i="1" s="1"/>
  <c r="I5880" i="1" a="1"/>
  <c r="I5880" i="1" s="1"/>
  <c r="I5881" i="1" a="1"/>
  <c r="I5881" i="1" s="1"/>
  <c r="I5882" i="1" a="1"/>
  <c r="I5882" i="1" s="1"/>
  <c r="I5883" i="1" a="1"/>
  <c r="I5883" i="1" s="1"/>
  <c r="I5884" i="1" a="1"/>
  <c r="I5884" i="1" s="1"/>
  <c r="I5885" i="1" a="1"/>
  <c r="I5885" i="1" s="1"/>
  <c r="I5886" i="1" a="1"/>
  <c r="I5886" i="1" s="1"/>
  <c r="I5887" i="1" a="1"/>
  <c r="I5887" i="1" s="1"/>
  <c r="I5888" i="1" a="1"/>
  <c r="I5888" i="1" s="1"/>
  <c r="I5889" i="1" a="1"/>
  <c r="I5889" i="1" s="1"/>
  <c r="I5890" i="1" a="1"/>
  <c r="I5890" i="1" s="1"/>
  <c r="I5891" i="1" a="1"/>
  <c r="I5891" i="1" s="1"/>
  <c r="I5892" i="1" a="1"/>
  <c r="I5892" i="1" s="1"/>
  <c r="I5893" i="1" a="1"/>
  <c r="I5893" i="1" s="1"/>
  <c r="I5894" i="1" a="1"/>
  <c r="I5894" i="1" s="1"/>
  <c r="I5895" i="1" a="1"/>
  <c r="I5895" i="1" s="1"/>
  <c r="I5896" i="1" a="1"/>
  <c r="I5896" i="1" s="1"/>
  <c r="I5897" i="1" a="1"/>
  <c r="I5897" i="1" s="1"/>
  <c r="I5898" i="1" a="1"/>
  <c r="I5898" i="1" s="1"/>
  <c r="I5899" i="1" a="1"/>
  <c r="I5899" i="1" s="1"/>
  <c r="I5900" i="1" a="1"/>
  <c r="I5900" i="1" s="1"/>
  <c r="I5901" i="1" a="1"/>
  <c r="I5901" i="1" s="1"/>
  <c r="I5902" i="1" a="1"/>
  <c r="I5902" i="1" s="1"/>
  <c r="I5903" i="1" a="1"/>
  <c r="I5903" i="1" s="1"/>
  <c r="I5904" i="1" a="1"/>
  <c r="I5904" i="1" s="1"/>
  <c r="I5905" i="1" a="1"/>
  <c r="I5905" i="1" s="1"/>
  <c r="I5906" i="1" a="1"/>
  <c r="I5906" i="1" s="1"/>
  <c r="I5907" i="1" a="1"/>
  <c r="I5907" i="1" s="1"/>
  <c r="I5908" i="1" a="1"/>
  <c r="I5908" i="1" s="1"/>
  <c r="I5909" i="1" a="1"/>
  <c r="I5909" i="1" s="1"/>
  <c r="I5910" i="1" a="1"/>
  <c r="I5910" i="1" s="1"/>
  <c r="I5911" i="1" a="1"/>
  <c r="I5911" i="1" s="1"/>
  <c r="I5912" i="1" a="1"/>
  <c r="I5912" i="1" s="1"/>
  <c r="I5913" i="1" a="1"/>
  <c r="I5913" i="1" s="1"/>
  <c r="I5914" i="1" a="1"/>
  <c r="I5914" i="1" s="1"/>
  <c r="I5915" i="1" a="1"/>
  <c r="I5915" i="1" s="1"/>
  <c r="I5916" i="1" a="1"/>
  <c r="I5916" i="1" s="1"/>
  <c r="I5917" i="1" a="1"/>
  <c r="I5917" i="1" s="1"/>
  <c r="I5918" i="1" a="1"/>
  <c r="I5918" i="1" s="1"/>
  <c r="I5919" i="1" a="1"/>
  <c r="I5919" i="1" s="1"/>
  <c r="I5920" i="1" a="1"/>
  <c r="I5920" i="1" s="1"/>
  <c r="I5921" i="1" a="1"/>
  <c r="I5921" i="1" s="1"/>
  <c r="I5922" i="1" a="1"/>
  <c r="I5922" i="1" s="1"/>
  <c r="I5923" i="1" a="1"/>
  <c r="I5923" i="1" s="1"/>
  <c r="I5924" i="1" a="1"/>
  <c r="I5924" i="1" s="1"/>
  <c r="I5925" i="1" a="1"/>
  <c r="I5925" i="1" s="1"/>
  <c r="I5926" i="1" a="1"/>
  <c r="I5926" i="1" s="1"/>
  <c r="I5927" i="1" a="1"/>
  <c r="I5927" i="1" s="1"/>
  <c r="I5928" i="1" a="1"/>
  <c r="I5928" i="1" s="1"/>
  <c r="I5929" i="1" a="1"/>
  <c r="I5929" i="1" s="1"/>
  <c r="I5930" i="1" a="1"/>
  <c r="I5930" i="1" s="1"/>
  <c r="I5931" i="1" a="1"/>
  <c r="I5931" i="1" s="1"/>
  <c r="I5932" i="1" a="1"/>
  <c r="I5932" i="1" s="1"/>
  <c r="I5933" i="1" a="1"/>
  <c r="I5933" i="1" s="1"/>
  <c r="I5934" i="1" a="1"/>
  <c r="I5934" i="1" s="1"/>
  <c r="I5935" i="1" a="1"/>
  <c r="I5935" i="1" s="1"/>
  <c r="I5936" i="1" a="1"/>
  <c r="I5936" i="1" s="1"/>
  <c r="I5937" i="1" a="1"/>
  <c r="I5937" i="1" s="1"/>
  <c r="I5938" i="1" a="1"/>
  <c r="I5938" i="1" s="1"/>
  <c r="I5939" i="1" a="1"/>
  <c r="I5939" i="1" s="1"/>
  <c r="I5940" i="1" a="1"/>
  <c r="I5940" i="1" s="1"/>
  <c r="I5941" i="1" a="1"/>
  <c r="I5941" i="1" s="1"/>
  <c r="I5942" i="1" a="1"/>
  <c r="I5942" i="1" s="1"/>
  <c r="I5943" i="1" a="1"/>
  <c r="I5943" i="1" s="1"/>
  <c r="I5944" i="1" a="1"/>
  <c r="I5944" i="1" s="1"/>
  <c r="I5945" i="1" a="1"/>
  <c r="I5945" i="1" s="1"/>
  <c r="I5946" i="1" a="1"/>
  <c r="I5946" i="1" s="1"/>
  <c r="I5947" i="1" a="1"/>
  <c r="I5947" i="1" s="1"/>
  <c r="I5948" i="1" a="1"/>
  <c r="I5948" i="1" s="1"/>
  <c r="I5949" i="1" a="1"/>
  <c r="I5949" i="1" s="1"/>
  <c r="I5950" i="1" a="1"/>
  <c r="I5950" i="1" s="1"/>
  <c r="I5951" i="1" a="1"/>
  <c r="I5951" i="1" s="1"/>
  <c r="I5952" i="1" a="1"/>
  <c r="I5952" i="1" s="1"/>
  <c r="I5953" i="1" a="1"/>
  <c r="I5953" i="1" s="1"/>
  <c r="I5954" i="1" a="1"/>
  <c r="I5954" i="1" s="1"/>
  <c r="I5955" i="1" a="1"/>
  <c r="I5955" i="1" s="1"/>
  <c r="I5956" i="1" a="1"/>
  <c r="I5956" i="1" s="1"/>
  <c r="I5957" i="1" a="1"/>
  <c r="I5957" i="1" s="1"/>
  <c r="I5958" i="1" a="1"/>
  <c r="I5958" i="1" s="1"/>
  <c r="I5959" i="1" a="1"/>
  <c r="I5959" i="1" s="1"/>
  <c r="I5960" i="1" a="1"/>
  <c r="I5960" i="1" s="1"/>
  <c r="I5961" i="1" a="1"/>
  <c r="I5961" i="1" s="1"/>
  <c r="I5962" i="1" a="1"/>
  <c r="I5962" i="1" s="1"/>
  <c r="I5963" i="1" a="1"/>
  <c r="I5963" i="1" s="1"/>
  <c r="I5964" i="1" a="1"/>
  <c r="I5964" i="1" s="1"/>
  <c r="I5965" i="1" a="1"/>
  <c r="I5965" i="1" s="1"/>
  <c r="I5966" i="1" a="1"/>
  <c r="I5966" i="1" s="1"/>
  <c r="I5967" i="1" a="1"/>
  <c r="I5967" i="1" s="1"/>
  <c r="I5968" i="1" a="1"/>
  <c r="I5968" i="1" s="1"/>
  <c r="I5969" i="1" a="1"/>
  <c r="I5969" i="1" s="1"/>
  <c r="I5970" i="1" a="1"/>
  <c r="I5970" i="1" s="1"/>
  <c r="I5971" i="1" a="1"/>
  <c r="I5971" i="1" s="1"/>
  <c r="I5972" i="1" a="1"/>
  <c r="I5972" i="1" s="1"/>
  <c r="I5973" i="1" a="1"/>
  <c r="I5973" i="1" s="1"/>
  <c r="I5974" i="1" a="1"/>
  <c r="I5974" i="1" s="1"/>
  <c r="I5975" i="1" a="1"/>
  <c r="I5975" i="1" s="1"/>
  <c r="I5976" i="1" a="1"/>
  <c r="I5976" i="1" s="1"/>
  <c r="I5977" i="1" a="1"/>
  <c r="I5977" i="1" s="1"/>
  <c r="I5978" i="1" a="1"/>
  <c r="I5978" i="1" s="1"/>
  <c r="I5979" i="1" a="1"/>
  <c r="I5979" i="1" s="1"/>
  <c r="I5980" i="1" a="1"/>
  <c r="I5980" i="1" s="1"/>
  <c r="I5981" i="1" a="1"/>
  <c r="I5981" i="1" s="1"/>
  <c r="I5982" i="1" a="1"/>
  <c r="I5982" i="1" s="1"/>
  <c r="I5983" i="1" a="1"/>
  <c r="I5983" i="1" s="1"/>
  <c r="I5984" i="1" a="1"/>
  <c r="I5984" i="1" s="1"/>
  <c r="I5985" i="1" a="1"/>
  <c r="I5985" i="1" s="1"/>
  <c r="I5986" i="1" a="1"/>
  <c r="I5986" i="1" s="1"/>
  <c r="I5987" i="1" a="1"/>
  <c r="I5987" i="1" s="1"/>
  <c r="I5988" i="1" a="1"/>
  <c r="I5988" i="1" s="1"/>
  <c r="I5989" i="1" a="1"/>
  <c r="I5989" i="1" s="1"/>
  <c r="I5990" i="1" a="1"/>
  <c r="I5990" i="1" s="1"/>
  <c r="I5991" i="1" a="1"/>
  <c r="I5991" i="1" s="1"/>
  <c r="I5992" i="1" a="1"/>
  <c r="I5992" i="1" s="1"/>
  <c r="I5993" i="1" a="1"/>
  <c r="I5993" i="1" s="1"/>
  <c r="I5994" i="1" a="1"/>
  <c r="I5994" i="1" s="1"/>
  <c r="I5995" i="1" a="1"/>
  <c r="I5995" i="1" s="1"/>
  <c r="I5996" i="1" a="1"/>
  <c r="I5996" i="1" s="1"/>
  <c r="I5997" i="1" a="1"/>
  <c r="I5997" i="1" s="1"/>
  <c r="I5998" i="1" a="1"/>
  <c r="I5998" i="1" s="1"/>
  <c r="I5999" i="1" a="1"/>
  <c r="I5999" i="1" s="1"/>
  <c r="I6000" i="1" a="1"/>
  <c r="I6000" i="1" s="1"/>
  <c r="I6001" i="1" a="1"/>
  <c r="I6001" i="1" s="1"/>
  <c r="I6002" i="1" a="1"/>
  <c r="I6002" i="1" s="1"/>
  <c r="I6003" i="1" a="1"/>
  <c r="I6003" i="1" s="1"/>
  <c r="I6004" i="1" a="1"/>
  <c r="I6004" i="1" s="1"/>
  <c r="I6005" i="1" a="1"/>
  <c r="I6005" i="1" s="1"/>
  <c r="I6006" i="1" a="1"/>
  <c r="I6006" i="1" s="1"/>
  <c r="I6007" i="1" a="1"/>
  <c r="I6007" i="1" s="1"/>
  <c r="I6008" i="1" a="1"/>
  <c r="I6008" i="1" s="1"/>
  <c r="I6009" i="1" a="1"/>
  <c r="I6009" i="1" s="1"/>
  <c r="I6010" i="1" a="1"/>
  <c r="I6010" i="1" s="1"/>
  <c r="I6011" i="1" a="1"/>
  <c r="I6011" i="1" s="1"/>
  <c r="I6012" i="1" a="1"/>
  <c r="I6012" i="1" s="1"/>
  <c r="I6013" i="1" a="1"/>
  <c r="I6013" i="1" s="1"/>
  <c r="I6014" i="1" a="1"/>
  <c r="I6014" i="1" s="1"/>
  <c r="I6015" i="1" a="1"/>
  <c r="I6015" i="1" s="1"/>
  <c r="I6016" i="1" a="1"/>
  <c r="I6016" i="1" s="1"/>
  <c r="I6017" i="1" a="1"/>
  <c r="I6017" i="1" s="1"/>
  <c r="I6018" i="1" a="1"/>
  <c r="I6018" i="1" s="1"/>
  <c r="I6019" i="1" a="1"/>
  <c r="I6019" i="1" s="1"/>
  <c r="I6020" i="1" a="1"/>
  <c r="I6020" i="1" s="1"/>
  <c r="I6021" i="1" a="1"/>
  <c r="I6021" i="1" s="1"/>
  <c r="I6022" i="1" a="1"/>
  <c r="I6022" i="1" s="1"/>
  <c r="I6023" i="1" a="1"/>
  <c r="I6023" i="1" s="1"/>
  <c r="I6024" i="1" a="1"/>
  <c r="I6024" i="1" s="1"/>
  <c r="I6025" i="1" a="1"/>
  <c r="I6025" i="1" s="1"/>
  <c r="I6026" i="1" a="1"/>
  <c r="I6026" i="1" s="1"/>
  <c r="I6027" i="1" a="1"/>
  <c r="I6027" i="1" s="1"/>
  <c r="I6028" i="1" a="1"/>
  <c r="I6028" i="1" s="1"/>
  <c r="I6029" i="1" a="1"/>
  <c r="I6029" i="1" s="1"/>
  <c r="I6030" i="1" a="1"/>
  <c r="I6030" i="1" s="1"/>
  <c r="I6031" i="1" a="1"/>
  <c r="I6031" i="1" s="1"/>
  <c r="I6032" i="1" a="1"/>
  <c r="I6032" i="1" s="1"/>
  <c r="I6033" i="1" a="1"/>
  <c r="I6033" i="1" s="1"/>
  <c r="I6034" i="1" a="1"/>
  <c r="I6034" i="1" s="1"/>
  <c r="I6035" i="1" a="1"/>
  <c r="I6035" i="1" s="1"/>
  <c r="I6036" i="1" a="1"/>
  <c r="I6036" i="1" s="1"/>
  <c r="I6037" i="1" a="1"/>
  <c r="I6037" i="1" s="1"/>
  <c r="I6038" i="1" a="1"/>
  <c r="I6038" i="1" s="1"/>
  <c r="I6039" i="1" a="1"/>
  <c r="I6039" i="1" s="1"/>
  <c r="I6040" i="1" a="1"/>
  <c r="I6040" i="1" s="1"/>
  <c r="I6041" i="1" a="1"/>
  <c r="I6041" i="1" s="1"/>
  <c r="I6042" i="1" a="1"/>
  <c r="I6042" i="1" s="1"/>
  <c r="I6043" i="1" a="1"/>
  <c r="I6043" i="1" s="1"/>
  <c r="I6044" i="1" a="1"/>
  <c r="I6044" i="1" s="1"/>
  <c r="I6045" i="1" a="1"/>
  <c r="I6045" i="1" s="1"/>
  <c r="I6046" i="1" a="1"/>
  <c r="I6046" i="1" s="1"/>
  <c r="I6047" i="1" a="1"/>
  <c r="I6047" i="1" s="1"/>
  <c r="I6048" i="1" a="1"/>
  <c r="I6048" i="1" s="1"/>
  <c r="I6049" i="1" a="1"/>
  <c r="I6049" i="1" s="1"/>
  <c r="I6050" i="1" a="1"/>
  <c r="I6050" i="1" s="1"/>
  <c r="I6051" i="1" a="1"/>
  <c r="I6051" i="1" s="1"/>
  <c r="I6052" i="1" a="1"/>
  <c r="I6052" i="1" s="1"/>
  <c r="I6053" i="1" a="1"/>
  <c r="I6053" i="1" s="1"/>
  <c r="I6054" i="1" a="1"/>
  <c r="I6054" i="1" s="1"/>
  <c r="I6055" i="1" a="1"/>
  <c r="I6055" i="1" s="1"/>
  <c r="I6056" i="1" a="1"/>
  <c r="I6056" i="1" s="1"/>
  <c r="I6057" i="1" a="1"/>
  <c r="I6057" i="1" s="1"/>
  <c r="I6058" i="1" a="1"/>
  <c r="I6058" i="1" s="1"/>
  <c r="I6059" i="1" a="1"/>
  <c r="I6059" i="1" s="1"/>
  <c r="I6060" i="1" a="1"/>
  <c r="I6060" i="1" s="1"/>
  <c r="I6061" i="1" a="1"/>
  <c r="I6061" i="1" s="1"/>
  <c r="I6062" i="1" a="1"/>
  <c r="I6062" i="1" s="1"/>
  <c r="I6063" i="1" a="1"/>
  <c r="I6063" i="1" s="1"/>
  <c r="I6064" i="1" a="1"/>
  <c r="I6064" i="1" s="1"/>
  <c r="I6065" i="1" a="1"/>
  <c r="I6065" i="1" s="1"/>
  <c r="I6066" i="1" a="1"/>
  <c r="I6066" i="1" s="1"/>
  <c r="I6067" i="1" a="1"/>
  <c r="I6067" i="1" s="1"/>
  <c r="I6068" i="1" a="1"/>
  <c r="I6068" i="1" s="1"/>
  <c r="I6069" i="1" a="1"/>
  <c r="I6069" i="1" s="1"/>
  <c r="I6070" i="1" a="1"/>
  <c r="I6070" i="1" s="1"/>
  <c r="I6071" i="1" a="1"/>
  <c r="I6071" i="1" s="1"/>
  <c r="I6072" i="1" a="1"/>
  <c r="I6072" i="1" s="1"/>
  <c r="I6073" i="1" a="1"/>
  <c r="I6073" i="1" s="1"/>
  <c r="I6074" i="1" a="1"/>
  <c r="I6074" i="1" s="1"/>
  <c r="I6075" i="1" a="1"/>
  <c r="I6075" i="1" s="1"/>
  <c r="I6076" i="1" a="1"/>
  <c r="I6076" i="1" s="1"/>
  <c r="I6077" i="1" a="1"/>
  <c r="I6077" i="1" s="1"/>
  <c r="I6078" i="1" a="1"/>
  <c r="I6078" i="1" s="1"/>
  <c r="I6079" i="1" a="1"/>
  <c r="I6079" i="1" s="1"/>
  <c r="I6080" i="1" a="1"/>
  <c r="I6080" i="1" s="1"/>
  <c r="I6081" i="1" a="1"/>
  <c r="I6081" i="1" s="1"/>
  <c r="I6082" i="1" a="1"/>
  <c r="I6082" i="1" s="1"/>
  <c r="I6083" i="1" a="1"/>
  <c r="I6083" i="1" s="1"/>
  <c r="I6084" i="1" a="1"/>
  <c r="I6084" i="1" s="1"/>
  <c r="I6085" i="1" a="1"/>
  <c r="I6085" i="1" s="1"/>
  <c r="I6086" i="1" a="1"/>
  <c r="I6086" i="1" s="1"/>
  <c r="I6087" i="1" a="1"/>
  <c r="I6087" i="1" s="1"/>
  <c r="I6088" i="1" a="1"/>
  <c r="I6088" i="1" s="1"/>
  <c r="I6089" i="1" a="1"/>
  <c r="I6089" i="1" s="1"/>
  <c r="I6090" i="1" a="1"/>
  <c r="I6090" i="1" s="1"/>
  <c r="I6091" i="1" a="1"/>
  <c r="I6091" i="1" s="1"/>
  <c r="I6092" i="1" a="1"/>
  <c r="I6092" i="1" s="1"/>
  <c r="I6093" i="1" a="1"/>
  <c r="I6093" i="1" s="1"/>
  <c r="I6094" i="1" a="1"/>
  <c r="I6094" i="1" s="1"/>
  <c r="I6095" i="1" a="1"/>
  <c r="I6095" i="1" s="1"/>
  <c r="I6096" i="1" a="1"/>
  <c r="I6096" i="1" s="1"/>
  <c r="I6097" i="1" a="1"/>
  <c r="I6097" i="1" s="1"/>
  <c r="I6098" i="1" a="1"/>
  <c r="I6098" i="1" s="1"/>
  <c r="I6099" i="1" a="1"/>
  <c r="I6099" i="1" s="1"/>
  <c r="I6100" i="1" a="1"/>
  <c r="I6100" i="1" s="1"/>
  <c r="I6101" i="1" a="1"/>
  <c r="I6101" i="1" s="1"/>
  <c r="I6102" i="1" a="1"/>
  <c r="I6102" i="1" s="1"/>
  <c r="I6103" i="1" a="1"/>
  <c r="I6103" i="1" s="1"/>
  <c r="I6104" i="1" a="1"/>
  <c r="I6104" i="1" s="1"/>
  <c r="I6105" i="1" a="1"/>
  <c r="I6105" i="1" s="1"/>
  <c r="I6106" i="1" a="1"/>
  <c r="I6106" i="1" s="1"/>
  <c r="I6107" i="1" a="1"/>
  <c r="I6107" i="1" s="1"/>
  <c r="I6108" i="1" a="1"/>
  <c r="I6108" i="1" s="1"/>
  <c r="I6109" i="1" a="1"/>
  <c r="I6109" i="1" s="1"/>
  <c r="I6110" i="1" a="1"/>
  <c r="I6110" i="1" s="1"/>
  <c r="I6111" i="1" a="1"/>
  <c r="I6111" i="1" s="1"/>
  <c r="I6112" i="1" a="1"/>
  <c r="I6112" i="1" s="1"/>
  <c r="I6113" i="1" a="1"/>
  <c r="I6113" i="1" s="1"/>
  <c r="I6114" i="1" a="1"/>
  <c r="I6114" i="1" s="1"/>
  <c r="I6115" i="1" a="1"/>
  <c r="I6115" i="1" s="1"/>
  <c r="I6116" i="1" a="1"/>
  <c r="I6116" i="1" s="1"/>
  <c r="I6117" i="1" a="1"/>
  <c r="I6117" i="1" s="1"/>
  <c r="I6118" i="1" a="1"/>
  <c r="I6118" i="1" s="1"/>
  <c r="I6119" i="1" a="1"/>
  <c r="I6119" i="1" s="1"/>
  <c r="I6120" i="1" a="1"/>
  <c r="I6120" i="1" s="1"/>
  <c r="I6121" i="1" a="1"/>
  <c r="I6121" i="1" s="1"/>
  <c r="I6122" i="1" a="1"/>
  <c r="I6122" i="1" s="1"/>
  <c r="I6123" i="1" a="1"/>
  <c r="I6123" i="1" s="1"/>
  <c r="I6124" i="1" a="1"/>
  <c r="I6124" i="1" s="1"/>
  <c r="I6125" i="1" a="1"/>
  <c r="I6125" i="1" s="1"/>
  <c r="I6126" i="1" a="1"/>
  <c r="I6126" i="1" s="1"/>
  <c r="I6127" i="1" a="1"/>
  <c r="I6127" i="1" s="1"/>
  <c r="I6128" i="1" a="1"/>
  <c r="I6128" i="1" s="1"/>
  <c r="I6129" i="1" a="1"/>
  <c r="I6129" i="1" s="1"/>
  <c r="I6130" i="1" a="1"/>
  <c r="I6130" i="1" s="1"/>
  <c r="I6131" i="1" a="1"/>
  <c r="I6131" i="1" s="1"/>
  <c r="I6132" i="1" a="1"/>
  <c r="I6132" i="1" s="1"/>
  <c r="I6133" i="1" a="1"/>
  <c r="I6133" i="1" s="1"/>
  <c r="I6134" i="1" a="1"/>
  <c r="I6134" i="1" s="1"/>
  <c r="I6135" i="1" a="1"/>
  <c r="I6135" i="1" s="1"/>
  <c r="I6136" i="1" a="1"/>
  <c r="I6136" i="1" s="1"/>
  <c r="I6137" i="1" a="1"/>
  <c r="I6137" i="1" s="1"/>
  <c r="I6138" i="1" a="1"/>
  <c r="I6138" i="1" s="1"/>
  <c r="I6139" i="1" a="1"/>
  <c r="I6139" i="1" s="1"/>
  <c r="I6140" i="1" a="1"/>
  <c r="I6140" i="1" s="1"/>
  <c r="I6141" i="1" a="1"/>
  <c r="I6141" i="1" s="1"/>
  <c r="I6142" i="1" a="1"/>
  <c r="I6142" i="1" s="1"/>
  <c r="I6143" i="1" a="1"/>
  <c r="I6143" i="1" s="1"/>
  <c r="I6144" i="1" a="1"/>
  <c r="I6144" i="1" s="1"/>
  <c r="I6145" i="1" a="1"/>
  <c r="I6145" i="1" s="1"/>
  <c r="I6146" i="1" a="1"/>
  <c r="I6146" i="1" s="1"/>
  <c r="I6147" i="1" a="1"/>
  <c r="I6147" i="1" s="1"/>
  <c r="I6148" i="1" a="1"/>
  <c r="I6148" i="1" s="1"/>
  <c r="I6149" i="1" a="1"/>
  <c r="I6149" i="1" s="1"/>
  <c r="I6150" i="1" a="1"/>
  <c r="I6150" i="1" s="1"/>
  <c r="I6151" i="1" a="1"/>
  <c r="I6151" i="1" s="1"/>
  <c r="I6152" i="1" a="1"/>
  <c r="I6152" i="1" s="1"/>
  <c r="I6153" i="1" a="1"/>
  <c r="I6153" i="1" s="1"/>
  <c r="I6154" i="1" a="1"/>
  <c r="I6154" i="1" s="1"/>
  <c r="I6155" i="1" a="1"/>
  <c r="I6155" i="1" s="1"/>
  <c r="I6156" i="1" a="1"/>
  <c r="I6156" i="1" s="1"/>
  <c r="I6157" i="1" a="1"/>
  <c r="I6157" i="1" s="1"/>
  <c r="I6158" i="1" a="1"/>
  <c r="I6158" i="1" s="1"/>
  <c r="I6159" i="1" a="1"/>
  <c r="I6159" i="1" s="1"/>
  <c r="I6160" i="1" a="1"/>
  <c r="I6160" i="1" s="1"/>
  <c r="I6161" i="1" a="1"/>
  <c r="I6161" i="1" s="1"/>
  <c r="I6162" i="1" a="1"/>
  <c r="I6162" i="1" s="1"/>
  <c r="I6163" i="1" a="1"/>
  <c r="I6163" i="1" s="1"/>
  <c r="I6164" i="1" a="1"/>
  <c r="I6164" i="1" s="1"/>
  <c r="I6165" i="1" a="1"/>
  <c r="I6165" i="1" s="1"/>
  <c r="I6166" i="1" a="1"/>
  <c r="I6166" i="1" s="1"/>
  <c r="I6167" i="1" a="1"/>
  <c r="I6167" i="1" s="1"/>
  <c r="I6168" i="1" a="1"/>
  <c r="I6168" i="1" s="1"/>
  <c r="I6169" i="1" a="1"/>
  <c r="I6169" i="1" s="1"/>
  <c r="I6170" i="1" a="1"/>
  <c r="I6170" i="1" s="1"/>
  <c r="I6171" i="1" a="1"/>
  <c r="I6171" i="1" s="1"/>
  <c r="I6172" i="1" a="1"/>
  <c r="I6172" i="1" s="1"/>
  <c r="I6173" i="1" a="1"/>
  <c r="I6173" i="1" s="1"/>
  <c r="I6174" i="1" a="1"/>
  <c r="I6174" i="1" s="1"/>
  <c r="I6175" i="1" a="1"/>
  <c r="I6175" i="1" s="1"/>
  <c r="I6176" i="1" a="1"/>
  <c r="I6176" i="1" s="1"/>
  <c r="I6177" i="1" a="1"/>
  <c r="I6177" i="1" s="1"/>
  <c r="I6178" i="1" a="1"/>
  <c r="I6178" i="1" s="1"/>
  <c r="I6179" i="1" a="1"/>
  <c r="I6179" i="1" s="1"/>
  <c r="I6180" i="1" a="1"/>
  <c r="I6180" i="1" s="1"/>
  <c r="I6181" i="1" a="1"/>
  <c r="I6181" i="1" s="1"/>
  <c r="I6182" i="1" a="1"/>
  <c r="I6182" i="1" s="1"/>
  <c r="I6183" i="1" a="1"/>
  <c r="I6183" i="1" s="1"/>
  <c r="I6184" i="1" a="1"/>
  <c r="I6184" i="1" s="1"/>
  <c r="I6185" i="1" a="1"/>
  <c r="I6185" i="1" s="1"/>
  <c r="I6186" i="1" a="1"/>
  <c r="I6186" i="1" s="1"/>
  <c r="I6187" i="1" a="1"/>
  <c r="I6187" i="1" s="1"/>
  <c r="I6188" i="1" a="1"/>
  <c r="I6188" i="1" s="1"/>
  <c r="I6189" i="1" a="1"/>
  <c r="I6189" i="1" s="1"/>
  <c r="I6190" i="1" a="1"/>
  <c r="I6190" i="1" s="1"/>
  <c r="I6191" i="1" a="1"/>
  <c r="I6191" i="1" s="1"/>
  <c r="I6192" i="1" a="1"/>
  <c r="I6192" i="1" s="1"/>
  <c r="I6193" i="1" a="1"/>
  <c r="I6193" i="1" s="1"/>
  <c r="I6194" i="1" a="1"/>
  <c r="I6194" i="1" s="1"/>
  <c r="I6195" i="1" a="1"/>
  <c r="I6195" i="1" s="1"/>
  <c r="I6196" i="1" a="1"/>
  <c r="I6196" i="1" s="1"/>
  <c r="I6197" i="1" a="1"/>
  <c r="I6197" i="1" s="1"/>
  <c r="I6198" i="1" a="1"/>
  <c r="I6198" i="1" s="1"/>
  <c r="I6199" i="1" a="1"/>
  <c r="I6199" i="1" s="1"/>
  <c r="I6200" i="1" a="1"/>
  <c r="I6200" i="1" s="1"/>
  <c r="I6201" i="1" a="1"/>
  <c r="I6201" i="1" s="1"/>
  <c r="I6202" i="1" a="1"/>
  <c r="I6202" i="1" s="1"/>
  <c r="I6203" i="1" a="1"/>
  <c r="I6203" i="1" s="1"/>
  <c r="I6204" i="1" a="1"/>
  <c r="I6204" i="1" s="1"/>
  <c r="I6205" i="1" a="1"/>
  <c r="I6205" i="1" s="1"/>
  <c r="I6206" i="1" a="1"/>
  <c r="I6206" i="1" s="1"/>
  <c r="I6207" i="1" a="1"/>
  <c r="I6207" i="1" s="1"/>
  <c r="I6208" i="1" a="1"/>
  <c r="I6208" i="1" s="1"/>
  <c r="I6209" i="1" a="1"/>
  <c r="I6209" i="1" s="1"/>
  <c r="I6210" i="1" a="1"/>
  <c r="I6210" i="1" s="1"/>
  <c r="I6211" i="1" a="1"/>
  <c r="I6211" i="1" s="1"/>
  <c r="I6212" i="1" a="1"/>
  <c r="I6212" i="1" s="1"/>
  <c r="I6213" i="1" a="1"/>
  <c r="I6213" i="1" s="1"/>
  <c r="I6214" i="1" a="1"/>
  <c r="I6214" i="1" s="1"/>
  <c r="I6215" i="1" a="1"/>
  <c r="I6215" i="1" s="1"/>
  <c r="I6216" i="1" a="1"/>
  <c r="I6216" i="1" s="1"/>
  <c r="I6217" i="1" a="1"/>
  <c r="I6217" i="1" s="1"/>
  <c r="I6218" i="1" a="1"/>
  <c r="I6218" i="1" s="1"/>
  <c r="I6219" i="1" a="1"/>
  <c r="I6219" i="1" s="1"/>
  <c r="I6220" i="1" a="1"/>
  <c r="I6220" i="1" s="1"/>
  <c r="I6221" i="1" a="1"/>
  <c r="I6221" i="1" s="1"/>
  <c r="I6222" i="1" a="1"/>
  <c r="I6222" i="1" s="1"/>
  <c r="I6223" i="1" a="1"/>
  <c r="I6223" i="1" s="1"/>
  <c r="I6224" i="1" a="1"/>
  <c r="I6224" i="1" s="1"/>
  <c r="I6225" i="1" a="1"/>
  <c r="I6225" i="1" s="1"/>
  <c r="I6226" i="1" a="1"/>
  <c r="I6226" i="1" s="1"/>
  <c r="I6227" i="1" a="1"/>
  <c r="I6227" i="1" s="1"/>
  <c r="I6228" i="1" a="1"/>
  <c r="I6228" i="1" s="1"/>
  <c r="I6229" i="1" a="1"/>
  <c r="I6229" i="1" s="1"/>
  <c r="I6230" i="1" a="1"/>
  <c r="I6230" i="1" s="1"/>
  <c r="I6231" i="1" a="1"/>
  <c r="I6231" i="1" s="1"/>
  <c r="I6232" i="1" a="1"/>
  <c r="I6232" i="1" s="1"/>
  <c r="I6233" i="1" a="1"/>
  <c r="I6233" i="1" s="1"/>
  <c r="I6234" i="1" a="1"/>
  <c r="I6234" i="1" s="1"/>
  <c r="I6235" i="1" a="1"/>
  <c r="I6235" i="1" s="1"/>
  <c r="I6236" i="1" a="1"/>
  <c r="I6236" i="1" s="1"/>
  <c r="I6237" i="1" a="1"/>
  <c r="I6237" i="1" s="1"/>
  <c r="I6238" i="1" a="1"/>
  <c r="I6238" i="1" s="1"/>
  <c r="I6239" i="1" a="1"/>
  <c r="I6239" i="1" s="1"/>
  <c r="I6240" i="1" a="1"/>
  <c r="I6240" i="1" s="1"/>
  <c r="I6241" i="1" a="1"/>
  <c r="I6241" i="1" s="1"/>
  <c r="I6242" i="1" a="1"/>
  <c r="I6242" i="1" s="1"/>
  <c r="I6243" i="1" a="1"/>
  <c r="I6243" i="1" s="1"/>
  <c r="I6244" i="1" a="1"/>
  <c r="I6244" i="1" s="1"/>
  <c r="I6245" i="1" a="1"/>
  <c r="I6245" i="1" s="1"/>
  <c r="I6246" i="1" a="1"/>
  <c r="I6246" i="1" s="1"/>
  <c r="I6247" i="1" a="1"/>
  <c r="I6247" i="1" s="1"/>
  <c r="I6248" i="1" a="1"/>
  <c r="I6248" i="1" s="1"/>
  <c r="I6249" i="1" a="1"/>
  <c r="I6249" i="1" s="1"/>
  <c r="I6250" i="1" a="1"/>
  <c r="I6250" i="1" s="1"/>
  <c r="I6251" i="1" a="1"/>
  <c r="I6251" i="1" s="1"/>
  <c r="I6252" i="1" a="1"/>
  <c r="I6252" i="1" s="1"/>
  <c r="I6253" i="1" a="1"/>
  <c r="I6253" i="1" s="1"/>
  <c r="I6254" i="1" a="1"/>
  <c r="I6254" i="1" s="1"/>
  <c r="I6255" i="1" a="1"/>
  <c r="I6255" i="1" s="1"/>
  <c r="I6256" i="1" a="1"/>
  <c r="I6256" i="1" s="1"/>
  <c r="I6257" i="1" a="1"/>
  <c r="I6257" i="1" s="1"/>
  <c r="I6258" i="1" a="1"/>
  <c r="I6258" i="1" s="1"/>
  <c r="I6259" i="1" a="1"/>
  <c r="I6259" i="1" s="1"/>
  <c r="I6260" i="1" a="1"/>
  <c r="I6260" i="1" s="1"/>
  <c r="I6261" i="1" a="1"/>
  <c r="I6261" i="1" s="1"/>
  <c r="I6262" i="1" a="1"/>
  <c r="I6262" i="1" s="1"/>
  <c r="I6263" i="1" a="1"/>
  <c r="I6263" i="1" s="1"/>
  <c r="I6264" i="1" a="1"/>
  <c r="I6264" i="1" s="1"/>
  <c r="I6265" i="1" a="1"/>
  <c r="I6265" i="1" s="1"/>
  <c r="I6266" i="1" a="1"/>
  <c r="I6266" i="1" s="1"/>
  <c r="I6267" i="1" a="1"/>
  <c r="I6267" i="1" s="1"/>
  <c r="I6268" i="1" a="1"/>
  <c r="I6268" i="1" s="1"/>
  <c r="I6269" i="1" a="1"/>
  <c r="I6269" i="1" s="1"/>
  <c r="I6270" i="1" a="1"/>
  <c r="I6270" i="1" s="1"/>
  <c r="I6271" i="1" a="1"/>
  <c r="I6271" i="1" s="1"/>
  <c r="I6272" i="1" a="1"/>
  <c r="I6272" i="1" s="1"/>
  <c r="I6273" i="1" a="1"/>
  <c r="I6273" i="1" s="1"/>
  <c r="I6274" i="1" a="1"/>
  <c r="I6274" i="1" s="1"/>
  <c r="I6275" i="1" a="1"/>
  <c r="I6275" i="1" s="1"/>
  <c r="I6276" i="1" a="1"/>
  <c r="I6276" i="1" s="1"/>
  <c r="I6277" i="1" a="1"/>
  <c r="I6277" i="1" s="1"/>
  <c r="I6278" i="1" a="1"/>
  <c r="I6278" i="1" s="1"/>
  <c r="I6279" i="1" a="1"/>
  <c r="I6279" i="1" s="1"/>
  <c r="I6280" i="1" a="1"/>
  <c r="I6280" i="1" s="1"/>
  <c r="I6281" i="1" a="1"/>
  <c r="I6281" i="1" s="1"/>
  <c r="I6282" i="1" a="1"/>
  <c r="I6282" i="1" s="1"/>
  <c r="I6283" i="1" a="1"/>
  <c r="I6283" i="1" s="1"/>
  <c r="I6284" i="1" a="1"/>
  <c r="I6284" i="1" s="1"/>
  <c r="I6285" i="1" a="1"/>
  <c r="I6285" i="1" s="1"/>
  <c r="I6286" i="1" a="1"/>
  <c r="I6286" i="1" s="1"/>
  <c r="I6287" i="1" a="1"/>
  <c r="I6287" i="1" s="1"/>
  <c r="I6288" i="1" a="1"/>
  <c r="I6288" i="1" s="1"/>
  <c r="I6289" i="1" a="1"/>
  <c r="I6289" i="1" s="1"/>
  <c r="I6290" i="1" a="1"/>
  <c r="I6290" i="1" s="1"/>
  <c r="I6291" i="1" a="1"/>
  <c r="I6291" i="1" s="1"/>
  <c r="I6292" i="1" a="1"/>
  <c r="I6292" i="1" s="1"/>
  <c r="I6293" i="1" a="1"/>
  <c r="I6293" i="1" s="1"/>
  <c r="I6294" i="1" a="1"/>
  <c r="I6294" i="1" s="1"/>
  <c r="I6295" i="1" a="1"/>
  <c r="I6295" i="1" s="1"/>
  <c r="I6296" i="1" a="1"/>
  <c r="I6296" i="1" s="1"/>
  <c r="I6297" i="1" a="1"/>
  <c r="I6297" i="1" s="1"/>
  <c r="I6298" i="1" a="1"/>
  <c r="I6298" i="1" s="1"/>
  <c r="I6299" i="1" a="1"/>
  <c r="I6299" i="1" s="1"/>
  <c r="I6300" i="1" a="1"/>
  <c r="I6300" i="1" s="1"/>
  <c r="I6301" i="1" a="1"/>
  <c r="I6301" i="1" s="1"/>
  <c r="I6302" i="1" a="1"/>
  <c r="I6302" i="1" s="1"/>
  <c r="I6303" i="1" a="1"/>
  <c r="I6303" i="1" s="1"/>
  <c r="I6304" i="1" a="1"/>
  <c r="I6304" i="1" s="1"/>
  <c r="I6305" i="1" a="1"/>
  <c r="I6305" i="1" s="1"/>
  <c r="I6306" i="1" a="1"/>
  <c r="I6306" i="1" s="1"/>
  <c r="I6307" i="1" a="1"/>
  <c r="I6307" i="1" s="1"/>
  <c r="I6308" i="1" a="1"/>
  <c r="I6308" i="1" s="1"/>
  <c r="I6309" i="1" a="1"/>
  <c r="I6309" i="1" s="1"/>
  <c r="I6310" i="1" a="1"/>
  <c r="I6310" i="1" s="1"/>
  <c r="I6311" i="1" a="1"/>
  <c r="I6311" i="1" s="1"/>
  <c r="I6312" i="1" a="1"/>
  <c r="I6312" i="1" s="1"/>
  <c r="I6313" i="1" a="1"/>
  <c r="I6313" i="1" s="1"/>
  <c r="I6314" i="1" a="1"/>
  <c r="I6314" i="1" s="1"/>
  <c r="I6315" i="1" a="1"/>
  <c r="I6315" i="1" s="1"/>
  <c r="I6316" i="1" a="1"/>
  <c r="I6316" i="1" s="1"/>
  <c r="I6317" i="1" a="1"/>
  <c r="I6317" i="1" s="1"/>
  <c r="I6318" i="1" a="1"/>
  <c r="I6318" i="1" s="1"/>
  <c r="I6319" i="1" a="1"/>
  <c r="I6319" i="1" s="1"/>
  <c r="I6320" i="1" a="1"/>
  <c r="I6320" i="1" s="1"/>
  <c r="I6321" i="1" a="1"/>
  <c r="I6321" i="1" s="1"/>
  <c r="I6322" i="1" a="1"/>
  <c r="I6322" i="1" s="1"/>
  <c r="I6323" i="1" a="1"/>
  <c r="I6323" i="1" s="1"/>
  <c r="I6324" i="1" a="1"/>
  <c r="I6324" i="1" s="1"/>
  <c r="I6325" i="1" a="1"/>
  <c r="I6325" i="1" s="1"/>
  <c r="I6326" i="1" a="1"/>
  <c r="I6326" i="1" s="1"/>
  <c r="I6327" i="1" a="1"/>
  <c r="I6327" i="1" s="1"/>
  <c r="I6328" i="1" a="1"/>
  <c r="I6328" i="1" s="1"/>
  <c r="I6329" i="1" a="1"/>
  <c r="I6329" i="1" s="1"/>
  <c r="I6330" i="1" a="1"/>
  <c r="I6330" i="1" s="1"/>
  <c r="I6331" i="1" a="1"/>
  <c r="I6331" i="1" s="1"/>
  <c r="I6332" i="1" a="1"/>
  <c r="I6332" i="1" s="1"/>
  <c r="I6333" i="1" a="1"/>
  <c r="I6333" i="1" s="1"/>
  <c r="I6334" i="1" a="1"/>
  <c r="I6334" i="1" s="1"/>
  <c r="I6335" i="1" a="1"/>
  <c r="I6335" i="1" s="1"/>
  <c r="I6336" i="1" a="1"/>
  <c r="I6336" i="1" s="1"/>
  <c r="I6337" i="1" a="1"/>
  <c r="I6337" i="1" s="1"/>
  <c r="I6338" i="1" a="1"/>
  <c r="I6338" i="1" s="1"/>
  <c r="I6339" i="1" a="1"/>
  <c r="I6339" i="1" s="1"/>
  <c r="I6340" i="1" a="1"/>
  <c r="I6340" i="1" s="1"/>
  <c r="I6341" i="1" a="1"/>
  <c r="I6341" i="1" s="1"/>
  <c r="I6342" i="1" a="1"/>
  <c r="I6342" i="1" s="1"/>
  <c r="I6343" i="1" a="1"/>
  <c r="I6343" i="1" s="1"/>
  <c r="I6344" i="1" a="1"/>
  <c r="I6344" i="1" s="1"/>
  <c r="I6345" i="1" a="1"/>
  <c r="I6345" i="1" s="1"/>
  <c r="I6346" i="1" a="1"/>
  <c r="I6346" i="1" s="1"/>
  <c r="I6347" i="1" a="1"/>
  <c r="I6347" i="1" s="1"/>
  <c r="I6348" i="1" a="1"/>
  <c r="I6348" i="1" s="1"/>
  <c r="I6349" i="1" a="1"/>
  <c r="I6349" i="1" s="1"/>
  <c r="I6350" i="1" a="1"/>
  <c r="I6350" i="1" s="1"/>
  <c r="I6351" i="1" a="1"/>
  <c r="I6351" i="1" s="1"/>
  <c r="I6352" i="1" a="1"/>
  <c r="I6352" i="1" s="1"/>
  <c r="I6353" i="1" a="1"/>
  <c r="I6353" i="1" s="1"/>
  <c r="I6354" i="1" a="1"/>
  <c r="I6354" i="1" s="1"/>
  <c r="I6355" i="1" a="1"/>
  <c r="I6355" i="1" s="1"/>
  <c r="I6356" i="1" a="1"/>
  <c r="I6356" i="1" s="1"/>
  <c r="I6357" i="1" a="1"/>
  <c r="I6357" i="1" s="1"/>
  <c r="I6358" i="1" a="1"/>
  <c r="I6358" i="1" s="1"/>
  <c r="I6359" i="1" a="1"/>
  <c r="I6359" i="1" s="1"/>
  <c r="I6360" i="1" a="1"/>
  <c r="I6360" i="1" s="1"/>
  <c r="I6361" i="1" a="1"/>
  <c r="I6361" i="1" s="1"/>
  <c r="I6362" i="1" a="1"/>
  <c r="I6362" i="1" s="1"/>
  <c r="I6363" i="1" a="1"/>
  <c r="I6363" i="1" s="1"/>
  <c r="I6364" i="1" a="1"/>
  <c r="I6364" i="1" s="1"/>
  <c r="I6365" i="1" a="1"/>
  <c r="I6365" i="1" s="1"/>
  <c r="I6366" i="1" a="1"/>
  <c r="I6366" i="1" s="1"/>
  <c r="I6367" i="1" a="1"/>
  <c r="I6367" i="1" s="1"/>
  <c r="I6368" i="1" a="1"/>
  <c r="I6368" i="1" s="1"/>
  <c r="I6369" i="1" a="1"/>
  <c r="I6369" i="1" s="1"/>
  <c r="I6370" i="1" a="1"/>
  <c r="I6370" i="1" s="1"/>
  <c r="I6371" i="1" a="1"/>
  <c r="I6371" i="1" s="1"/>
  <c r="I6372" i="1" a="1"/>
  <c r="I6372" i="1" s="1"/>
  <c r="I6373" i="1" a="1"/>
  <c r="I6373" i="1" s="1"/>
  <c r="I6374" i="1" a="1"/>
  <c r="I6374" i="1" s="1"/>
  <c r="I6375" i="1" a="1"/>
  <c r="I6375" i="1" s="1"/>
  <c r="I6376" i="1" a="1"/>
  <c r="I6376" i="1" s="1"/>
  <c r="I6377" i="1" a="1"/>
  <c r="I6377" i="1" s="1"/>
  <c r="I6378" i="1" a="1"/>
  <c r="I6378" i="1" s="1"/>
  <c r="I6379" i="1" a="1"/>
  <c r="I6379" i="1" s="1"/>
  <c r="I6380" i="1" a="1"/>
  <c r="I6380" i="1" s="1"/>
  <c r="I6381" i="1" a="1"/>
  <c r="I6381" i="1" s="1"/>
  <c r="I6382" i="1" a="1"/>
  <c r="I6382" i="1" s="1"/>
  <c r="I6383" i="1" a="1"/>
  <c r="I6383" i="1" s="1"/>
  <c r="I6384" i="1" a="1"/>
  <c r="I6384" i="1" s="1"/>
  <c r="I6385" i="1" a="1"/>
  <c r="I6385" i="1" s="1"/>
  <c r="I6386" i="1" a="1"/>
  <c r="I6386" i="1" s="1"/>
  <c r="I6387" i="1" a="1"/>
  <c r="I6387" i="1" s="1"/>
  <c r="I6388" i="1" a="1"/>
  <c r="I6388" i="1" s="1"/>
  <c r="I6389" i="1" a="1"/>
  <c r="I6389" i="1" s="1"/>
  <c r="I6390" i="1" a="1"/>
  <c r="I6390" i="1" s="1"/>
  <c r="I6391" i="1" a="1"/>
  <c r="I6391" i="1" s="1"/>
  <c r="I6392" i="1" a="1"/>
  <c r="I6392" i="1" s="1"/>
  <c r="I6393" i="1" a="1"/>
  <c r="I6393" i="1" s="1"/>
  <c r="I6394" i="1" a="1"/>
  <c r="I6394" i="1" s="1"/>
  <c r="I6395" i="1" a="1"/>
  <c r="I6395" i="1" s="1"/>
  <c r="I6396" i="1" a="1"/>
  <c r="I6396" i="1" s="1"/>
  <c r="I6397" i="1" a="1"/>
  <c r="I6397" i="1" s="1"/>
  <c r="I6398" i="1" a="1"/>
  <c r="I6398" i="1" s="1"/>
  <c r="I6399" i="1" a="1"/>
  <c r="I6399" i="1" s="1"/>
  <c r="I6400" i="1" a="1"/>
  <c r="I6400" i="1" s="1"/>
  <c r="I6401" i="1" a="1"/>
  <c r="I6401" i="1" s="1"/>
  <c r="I6402" i="1" a="1"/>
  <c r="I6402" i="1" s="1"/>
  <c r="I6403" i="1" a="1"/>
  <c r="I6403" i="1" s="1"/>
  <c r="I6404" i="1" a="1"/>
  <c r="I6404" i="1" s="1"/>
  <c r="I6405" i="1" a="1"/>
  <c r="I6405" i="1" s="1"/>
  <c r="I6406" i="1" a="1"/>
  <c r="I6406" i="1" s="1"/>
  <c r="I6407" i="1" a="1"/>
  <c r="I6407" i="1" s="1"/>
  <c r="I6408" i="1" a="1"/>
  <c r="I6408" i="1" s="1"/>
  <c r="I6409" i="1" a="1"/>
  <c r="I6409" i="1" s="1"/>
  <c r="I6410" i="1" a="1"/>
  <c r="I6410" i="1" s="1"/>
  <c r="I6411" i="1" a="1"/>
  <c r="I6411" i="1" s="1"/>
  <c r="I6412" i="1" a="1"/>
  <c r="I6412" i="1" s="1"/>
  <c r="I6413" i="1" a="1"/>
  <c r="I6413" i="1" s="1"/>
  <c r="I6414" i="1" a="1"/>
  <c r="I6414" i="1" s="1"/>
  <c r="I6415" i="1" a="1"/>
  <c r="I6415" i="1" s="1"/>
  <c r="I6416" i="1" a="1"/>
  <c r="I6416" i="1" s="1"/>
  <c r="I6417" i="1" a="1"/>
  <c r="I6417" i="1" s="1"/>
  <c r="I6418" i="1" a="1"/>
  <c r="I6418" i="1" s="1"/>
  <c r="I6419" i="1" a="1"/>
  <c r="I6419" i="1" s="1"/>
  <c r="I6420" i="1" a="1"/>
  <c r="I6420" i="1" s="1"/>
  <c r="I6421" i="1" a="1"/>
  <c r="I6421" i="1" s="1"/>
  <c r="I6422" i="1" a="1"/>
  <c r="I6422" i="1" s="1"/>
  <c r="I6423" i="1" a="1"/>
  <c r="I6423" i="1" s="1"/>
  <c r="I6424" i="1" a="1"/>
  <c r="I6424" i="1" s="1"/>
  <c r="I6425" i="1" a="1"/>
  <c r="I6425" i="1" s="1"/>
  <c r="I6426" i="1" a="1"/>
  <c r="I6426" i="1" s="1"/>
  <c r="I6427" i="1" a="1"/>
  <c r="I6427" i="1" s="1"/>
  <c r="I6428" i="1" a="1"/>
  <c r="I6428" i="1" s="1"/>
  <c r="I6429" i="1" a="1"/>
  <c r="I6429" i="1" s="1"/>
  <c r="I6430" i="1" a="1"/>
  <c r="I6430" i="1" s="1"/>
  <c r="I6431" i="1" a="1"/>
  <c r="I6431" i="1" s="1"/>
  <c r="I6432" i="1" a="1"/>
  <c r="I6432" i="1" s="1"/>
  <c r="I6433" i="1" a="1"/>
  <c r="I6433" i="1" s="1"/>
  <c r="I6434" i="1" a="1"/>
  <c r="I6434" i="1" s="1"/>
  <c r="I6435" i="1" a="1"/>
  <c r="I6435" i="1" s="1"/>
  <c r="I6436" i="1" a="1"/>
  <c r="I6436" i="1" s="1"/>
  <c r="I6437" i="1" a="1"/>
  <c r="I6437" i="1" s="1"/>
  <c r="I6438" i="1" a="1"/>
  <c r="I6438" i="1" s="1"/>
  <c r="I6439" i="1" a="1"/>
  <c r="I6439" i="1" s="1"/>
  <c r="I6440" i="1" a="1"/>
  <c r="I6440" i="1" s="1"/>
  <c r="I6441" i="1" a="1"/>
  <c r="I6441" i="1" s="1"/>
  <c r="I6442" i="1" a="1"/>
  <c r="I6442" i="1" s="1"/>
  <c r="I6443" i="1" a="1"/>
  <c r="I6443" i="1" s="1"/>
  <c r="I6444" i="1" a="1"/>
  <c r="I6444" i="1" s="1"/>
  <c r="I6445" i="1" a="1"/>
  <c r="I6445" i="1" s="1"/>
  <c r="I6446" i="1" a="1"/>
  <c r="I6446" i="1" s="1"/>
  <c r="I6447" i="1" a="1"/>
  <c r="I6447" i="1" s="1"/>
  <c r="I6448" i="1" a="1"/>
  <c r="I6448" i="1" s="1"/>
  <c r="I6449" i="1" a="1"/>
  <c r="I6449" i="1" s="1"/>
  <c r="I6450" i="1" a="1"/>
  <c r="I6450" i="1" s="1"/>
  <c r="I6451" i="1" a="1"/>
  <c r="I6451" i="1" s="1"/>
  <c r="I6452" i="1" a="1"/>
  <c r="I6452" i="1" s="1"/>
  <c r="I6453" i="1" a="1"/>
  <c r="I6453" i="1" s="1"/>
  <c r="I6454" i="1" a="1"/>
  <c r="I6454" i="1" s="1"/>
  <c r="I6455" i="1" a="1"/>
  <c r="I6455" i="1" s="1"/>
  <c r="I6456" i="1" a="1"/>
  <c r="I6456" i="1" s="1"/>
  <c r="I6457" i="1" a="1"/>
  <c r="I6457" i="1" s="1"/>
  <c r="I6458" i="1" a="1"/>
  <c r="I6458" i="1" s="1"/>
  <c r="I6459" i="1" a="1"/>
  <c r="I6459" i="1" s="1"/>
  <c r="I6460" i="1" a="1"/>
  <c r="I6460" i="1" s="1"/>
  <c r="I6461" i="1" a="1"/>
  <c r="I6461" i="1" s="1"/>
  <c r="I6462" i="1" a="1"/>
  <c r="I6462" i="1" s="1"/>
  <c r="I6463" i="1" a="1"/>
  <c r="I6463" i="1" s="1"/>
  <c r="I6464" i="1" a="1"/>
  <c r="I6464" i="1" s="1"/>
  <c r="I6465" i="1" a="1"/>
  <c r="I6465" i="1" s="1"/>
  <c r="I6466" i="1" a="1"/>
  <c r="I6466" i="1" s="1"/>
  <c r="I6467" i="1" a="1"/>
  <c r="I6467" i="1" s="1"/>
  <c r="I6468" i="1" a="1"/>
  <c r="I6468" i="1" s="1"/>
  <c r="I6469" i="1" a="1"/>
  <c r="I6469" i="1" s="1"/>
  <c r="I6470" i="1" a="1"/>
  <c r="I6470" i="1" s="1"/>
  <c r="I6471" i="1" a="1"/>
  <c r="I6471" i="1" s="1"/>
  <c r="I6472" i="1" a="1"/>
  <c r="I6472" i="1" s="1"/>
  <c r="I6473" i="1" a="1"/>
  <c r="I6473" i="1" s="1"/>
  <c r="I6474" i="1" a="1"/>
  <c r="I6474" i="1" s="1"/>
  <c r="I6475" i="1" a="1"/>
  <c r="I6475" i="1" s="1"/>
  <c r="I6476" i="1" a="1"/>
  <c r="I6476" i="1" s="1"/>
  <c r="I6477" i="1" a="1"/>
  <c r="I6477" i="1" s="1"/>
  <c r="I6478" i="1" a="1"/>
  <c r="I6478" i="1" s="1"/>
  <c r="I6479" i="1" a="1"/>
  <c r="I6479" i="1" s="1"/>
  <c r="I6480" i="1" a="1"/>
  <c r="I6480" i="1" s="1"/>
  <c r="I6481" i="1" a="1"/>
  <c r="I6481" i="1" s="1"/>
  <c r="I6482" i="1" a="1"/>
  <c r="I6482" i="1" s="1"/>
  <c r="I6483" i="1" a="1"/>
  <c r="I6483" i="1" s="1"/>
  <c r="I6484" i="1" a="1"/>
  <c r="I6484" i="1" s="1"/>
  <c r="I6485" i="1" a="1"/>
  <c r="I6485" i="1" s="1"/>
  <c r="I6486" i="1" a="1"/>
  <c r="I6486" i="1" s="1"/>
  <c r="I6487" i="1" a="1"/>
  <c r="I6487" i="1" s="1"/>
  <c r="I6488" i="1" a="1"/>
  <c r="I6488" i="1" s="1"/>
  <c r="I6489" i="1" a="1"/>
  <c r="I6489" i="1" s="1"/>
  <c r="I6490" i="1" a="1"/>
  <c r="I6490" i="1" s="1"/>
  <c r="I6491" i="1" a="1"/>
  <c r="I6491" i="1" s="1"/>
  <c r="I6492" i="1" a="1"/>
  <c r="I6492" i="1" s="1"/>
  <c r="I6493" i="1" a="1"/>
  <c r="I6493" i="1" s="1"/>
  <c r="I6494" i="1" a="1"/>
  <c r="I6494" i="1" s="1"/>
  <c r="I6495" i="1" a="1"/>
  <c r="I6495" i="1" s="1"/>
  <c r="I6496" i="1" a="1"/>
  <c r="I6496" i="1" s="1"/>
  <c r="I6497" i="1" a="1"/>
  <c r="I6497" i="1" s="1"/>
  <c r="I6498" i="1" a="1"/>
  <c r="I6498" i="1" s="1"/>
  <c r="I6499" i="1" a="1"/>
  <c r="I6499" i="1" s="1"/>
  <c r="I6500" i="1" a="1"/>
  <c r="I6500" i="1" s="1"/>
  <c r="I6501" i="1" a="1"/>
  <c r="I6501" i="1" s="1"/>
  <c r="I6502" i="1" a="1"/>
  <c r="I6502" i="1" s="1"/>
  <c r="I6503" i="1" a="1"/>
  <c r="I6503" i="1" s="1"/>
  <c r="I6504" i="1" a="1"/>
  <c r="I6504" i="1" s="1"/>
  <c r="I6505" i="1" a="1"/>
  <c r="I6505" i="1" s="1"/>
  <c r="I6506" i="1" a="1"/>
  <c r="I6506" i="1" s="1"/>
  <c r="I6507" i="1" a="1"/>
  <c r="I6507" i="1" s="1"/>
  <c r="I6508" i="1" a="1"/>
  <c r="I6508" i="1" s="1"/>
  <c r="I6509" i="1" a="1"/>
  <c r="I6509" i="1" s="1"/>
  <c r="I6510" i="1" a="1"/>
  <c r="I6510" i="1" s="1"/>
  <c r="I6511" i="1" a="1"/>
  <c r="I6511" i="1" s="1"/>
  <c r="I6512" i="1" a="1"/>
  <c r="I6512" i="1" s="1"/>
  <c r="I6513" i="1" a="1"/>
  <c r="I6513" i="1" s="1"/>
  <c r="I6514" i="1" a="1"/>
  <c r="I6514" i="1" s="1"/>
  <c r="I6515" i="1" a="1"/>
  <c r="I6515" i="1" s="1"/>
  <c r="I6516" i="1" a="1"/>
  <c r="I6516" i="1" s="1"/>
  <c r="I6517" i="1" a="1"/>
  <c r="I6517" i="1" s="1"/>
  <c r="I6518" i="1" a="1"/>
  <c r="I6518" i="1" s="1"/>
  <c r="I6519" i="1" a="1"/>
  <c r="I6519" i="1" s="1"/>
  <c r="I6520" i="1" a="1"/>
  <c r="I6520" i="1" s="1"/>
  <c r="I6521" i="1" a="1"/>
  <c r="I6521" i="1" s="1"/>
  <c r="I6522" i="1" a="1"/>
  <c r="I6522" i="1" s="1"/>
  <c r="I6523" i="1" a="1"/>
  <c r="I6523" i="1" s="1"/>
  <c r="I6524" i="1" a="1"/>
  <c r="I6524" i="1" s="1"/>
  <c r="I6525" i="1" a="1"/>
  <c r="I6525" i="1" s="1"/>
  <c r="I6526" i="1" a="1"/>
  <c r="I6526" i="1" s="1"/>
  <c r="I6527" i="1" a="1"/>
  <c r="I6527" i="1" s="1"/>
  <c r="I6528" i="1" a="1"/>
  <c r="I6528" i="1" s="1"/>
  <c r="I6529" i="1" a="1"/>
  <c r="I6529" i="1" s="1"/>
  <c r="I6530" i="1" a="1"/>
  <c r="I6530" i="1" s="1"/>
  <c r="I6531" i="1" a="1"/>
  <c r="I6531" i="1" s="1"/>
  <c r="I6532" i="1" a="1"/>
  <c r="I6532" i="1" s="1"/>
  <c r="I6533" i="1" a="1"/>
  <c r="I6533" i="1" s="1"/>
  <c r="I6534" i="1" a="1"/>
  <c r="I6534" i="1" s="1"/>
  <c r="I6535" i="1" a="1"/>
  <c r="I6535" i="1" s="1"/>
  <c r="I6536" i="1" a="1"/>
  <c r="I6536" i="1" s="1"/>
  <c r="I6537" i="1" a="1"/>
  <c r="I6537" i="1" s="1"/>
  <c r="I6538" i="1" a="1"/>
  <c r="I6538" i="1" s="1"/>
  <c r="I6539" i="1" a="1"/>
  <c r="I6539" i="1" s="1"/>
  <c r="I6540" i="1" a="1"/>
  <c r="I6540" i="1" s="1"/>
  <c r="I6541" i="1" a="1"/>
  <c r="I6541" i="1" s="1"/>
  <c r="I6542" i="1" a="1"/>
  <c r="I6542" i="1" s="1"/>
  <c r="I6543" i="1" a="1"/>
  <c r="I6543" i="1" s="1"/>
  <c r="I6544" i="1" a="1"/>
  <c r="I6544" i="1" s="1"/>
  <c r="I6545" i="1" a="1"/>
  <c r="I6545" i="1" s="1"/>
  <c r="I6546" i="1" a="1"/>
  <c r="I6546" i="1" s="1"/>
  <c r="I6547" i="1" a="1"/>
  <c r="I6547" i="1" s="1"/>
  <c r="I6548" i="1" a="1"/>
  <c r="I6548" i="1" s="1"/>
  <c r="I6549" i="1" a="1"/>
  <c r="I6549" i="1" s="1"/>
  <c r="I6550" i="1" a="1"/>
  <c r="I6550" i="1" s="1"/>
  <c r="I6551" i="1" a="1"/>
  <c r="I6551" i="1" s="1"/>
  <c r="I6552" i="1" a="1"/>
  <c r="I6552" i="1" s="1"/>
  <c r="I6553" i="1" a="1"/>
  <c r="I6553" i="1" s="1"/>
  <c r="I6554" i="1" a="1"/>
  <c r="I6554" i="1" s="1"/>
  <c r="I6555" i="1" a="1"/>
  <c r="I6555" i="1" s="1"/>
  <c r="I6556" i="1" a="1"/>
  <c r="I6556" i="1" s="1"/>
  <c r="I6557" i="1" a="1"/>
  <c r="I6557" i="1" s="1"/>
  <c r="I6558" i="1" a="1"/>
  <c r="I6558" i="1" s="1"/>
  <c r="I6559" i="1" a="1"/>
  <c r="I6559" i="1" s="1"/>
  <c r="I6560" i="1" a="1"/>
  <c r="I6560" i="1" s="1"/>
  <c r="I6561" i="1" a="1"/>
  <c r="I6561" i="1" s="1"/>
  <c r="I6562" i="1" a="1"/>
  <c r="I6562" i="1" s="1"/>
  <c r="I6563" i="1" a="1"/>
  <c r="I6563" i="1" s="1"/>
  <c r="I6564" i="1" a="1"/>
  <c r="I6564" i="1" s="1"/>
  <c r="I6565" i="1" a="1"/>
  <c r="I6565" i="1" s="1"/>
  <c r="I6566" i="1" a="1"/>
  <c r="I6566" i="1" s="1"/>
  <c r="I6567" i="1" a="1"/>
  <c r="I6567" i="1" s="1"/>
  <c r="I6568" i="1" a="1"/>
  <c r="I6568" i="1" s="1"/>
  <c r="I6569" i="1" a="1"/>
  <c r="I6569" i="1" s="1"/>
  <c r="I6570" i="1" a="1"/>
  <c r="I6570" i="1" s="1"/>
  <c r="I6571" i="1" a="1"/>
  <c r="I6571" i="1" s="1"/>
  <c r="I6572" i="1" a="1"/>
  <c r="I6572" i="1" s="1"/>
  <c r="I6573" i="1" a="1"/>
  <c r="I6573" i="1" s="1"/>
  <c r="I6574" i="1" a="1"/>
  <c r="I6574" i="1" s="1"/>
  <c r="I6575" i="1" a="1"/>
  <c r="I6575" i="1" s="1"/>
  <c r="I6576" i="1" a="1"/>
  <c r="I6576" i="1" s="1"/>
  <c r="I6577" i="1" a="1"/>
  <c r="I6577" i="1" s="1"/>
  <c r="I6578" i="1" a="1"/>
  <c r="I6578" i="1" s="1"/>
  <c r="I6579" i="1" a="1"/>
  <c r="I6579" i="1" s="1"/>
  <c r="I6580" i="1" a="1"/>
  <c r="I6580" i="1" s="1"/>
  <c r="I6581" i="1" a="1"/>
  <c r="I6581" i="1" s="1"/>
  <c r="I6582" i="1" a="1"/>
  <c r="I6582" i="1" s="1"/>
  <c r="I6583" i="1" a="1"/>
  <c r="I6583" i="1" s="1"/>
  <c r="I6584" i="1" a="1"/>
  <c r="I6584" i="1" s="1"/>
  <c r="I6585" i="1" a="1"/>
  <c r="I6585" i="1" s="1"/>
  <c r="I6586" i="1" a="1"/>
  <c r="I6586" i="1" s="1"/>
  <c r="I6587" i="1" a="1"/>
  <c r="I6587" i="1" s="1"/>
  <c r="I6588" i="1" a="1"/>
  <c r="I6588" i="1" s="1"/>
  <c r="I6589" i="1" a="1"/>
  <c r="I6589" i="1" s="1"/>
  <c r="I6590" i="1" a="1"/>
  <c r="I6590" i="1" s="1"/>
  <c r="I6591" i="1" a="1"/>
  <c r="I6591" i="1" s="1"/>
  <c r="I6592" i="1" a="1"/>
  <c r="I6592" i="1" s="1"/>
  <c r="I6593" i="1" a="1"/>
  <c r="I6593" i="1" s="1"/>
  <c r="I6594" i="1" a="1"/>
  <c r="I6594" i="1" s="1"/>
  <c r="I6595" i="1" a="1"/>
  <c r="I6595" i="1" s="1"/>
  <c r="I6596" i="1" a="1"/>
  <c r="I6596" i="1" s="1"/>
  <c r="I6597" i="1" a="1"/>
  <c r="I6597" i="1" s="1"/>
  <c r="I6598" i="1" a="1"/>
  <c r="I6598" i="1" s="1"/>
  <c r="I6599" i="1" a="1"/>
  <c r="I6599" i="1" s="1"/>
  <c r="I6600" i="1" a="1"/>
  <c r="I6600" i="1" s="1"/>
  <c r="I6601" i="1" a="1"/>
  <c r="I6601" i="1" s="1"/>
  <c r="I6602" i="1" a="1"/>
  <c r="I6602" i="1" s="1"/>
  <c r="I6603" i="1" a="1"/>
  <c r="I6603" i="1" s="1"/>
  <c r="I6604" i="1" a="1"/>
  <c r="I6604" i="1" s="1"/>
  <c r="I6605" i="1" a="1"/>
  <c r="I6605" i="1" s="1"/>
  <c r="I6606" i="1" a="1"/>
  <c r="I6606" i="1" s="1"/>
  <c r="I6607" i="1" a="1"/>
  <c r="I6607" i="1" s="1"/>
  <c r="I6608" i="1" a="1"/>
  <c r="I6608" i="1" s="1"/>
  <c r="I6609" i="1" a="1"/>
  <c r="I6609" i="1" s="1"/>
  <c r="I6610" i="1" a="1"/>
  <c r="I6610" i="1" s="1"/>
  <c r="I6611" i="1" a="1"/>
  <c r="I6611" i="1" s="1"/>
  <c r="I6612" i="1" a="1"/>
  <c r="I6612" i="1" s="1"/>
  <c r="I6613" i="1" a="1"/>
  <c r="I6613" i="1" s="1"/>
  <c r="I6614" i="1" a="1"/>
  <c r="I6614" i="1" s="1"/>
  <c r="I6615" i="1" a="1"/>
  <c r="I6615" i="1" s="1"/>
  <c r="I6616" i="1" a="1"/>
  <c r="I6616" i="1" s="1"/>
  <c r="I6617" i="1" a="1"/>
  <c r="I6617" i="1" s="1"/>
  <c r="I6618" i="1" a="1"/>
  <c r="I6618" i="1" s="1"/>
  <c r="I6619" i="1" a="1"/>
  <c r="I6619" i="1" s="1"/>
  <c r="I6620" i="1" a="1"/>
  <c r="I6620" i="1" s="1"/>
  <c r="I6621" i="1" a="1"/>
  <c r="I6621" i="1" s="1"/>
  <c r="I6622" i="1" a="1"/>
  <c r="I6622" i="1" s="1"/>
  <c r="I6623" i="1" a="1"/>
  <c r="I6623" i="1" s="1"/>
  <c r="I6624" i="1" a="1"/>
  <c r="I6624" i="1" s="1"/>
  <c r="I6625" i="1" a="1"/>
  <c r="I6625" i="1" s="1"/>
  <c r="I6626" i="1" a="1"/>
  <c r="I6626" i="1" s="1"/>
  <c r="I6627" i="1" a="1"/>
  <c r="I6627" i="1" s="1"/>
  <c r="I6628" i="1" a="1"/>
  <c r="I6628" i="1" s="1"/>
  <c r="I6629" i="1" a="1"/>
  <c r="I6629" i="1" s="1"/>
  <c r="I6630" i="1" a="1"/>
  <c r="I6630" i="1" s="1"/>
  <c r="I6631" i="1" a="1"/>
  <c r="I6631" i="1" s="1"/>
  <c r="I6632" i="1" a="1"/>
  <c r="I6632" i="1" s="1"/>
  <c r="I6633" i="1" a="1"/>
  <c r="I6633" i="1" s="1"/>
  <c r="I6634" i="1" a="1"/>
  <c r="I6634" i="1" s="1"/>
  <c r="I6635" i="1" a="1"/>
  <c r="I6635" i="1" s="1"/>
  <c r="I6636" i="1" a="1"/>
  <c r="I6636" i="1" s="1"/>
  <c r="I6637" i="1" a="1"/>
  <c r="I6637" i="1" s="1"/>
  <c r="I6638" i="1" a="1"/>
  <c r="I6638" i="1" s="1"/>
  <c r="I6639" i="1" a="1"/>
  <c r="I6639" i="1" s="1"/>
  <c r="I6640" i="1" a="1"/>
  <c r="I6640" i="1" s="1"/>
  <c r="I6641" i="1" a="1"/>
  <c r="I6641" i="1" s="1"/>
  <c r="I6642" i="1" a="1"/>
  <c r="I6642" i="1" s="1"/>
  <c r="I6643" i="1" a="1"/>
  <c r="I6643" i="1" s="1"/>
  <c r="I6644" i="1" a="1"/>
  <c r="I6644" i="1" s="1"/>
  <c r="I6645" i="1" a="1"/>
  <c r="I6645" i="1" s="1"/>
  <c r="I6646" i="1" a="1"/>
  <c r="I6646" i="1" s="1"/>
  <c r="I6647" i="1" a="1"/>
  <c r="I6647" i="1" s="1"/>
  <c r="I6648" i="1" a="1"/>
  <c r="I6648" i="1" s="1"/>
  <c r="I6649" i="1" a="1"/>
  <c r="I6649" i="1" s="1"/>
  <c r="I6650" i="1" a="1"/>
  <c r="I6650" i="1" s="1"/>
  <c r="I6651" i="1" a="1"/>
  <c r="I6651" i="1" s="1"/>
  <c r="I6652" i="1" a="1"/>
  <c r="I6652" i="1" s="1"/>
  <c r="I6653" i="1" a="1"/>
  <c r="I6653" i="1" s="1"/>
  <c r="I6654" i="1" a="1"/>
  <c r="I6654" i="1" s="1"/>
  <c r="I6655" i="1" a="1"/>
  <c r="I6655" i="1" s="1"/>
  <c r="I6656" i="1" a="1"/>
  <c r="I6656" i="1" s="1"/>
  <c r="I6657" i="1" a="1"/>
  <c r="I6657" i="1" s="1"/>
  <c r="I6658" i="1" a="1"/>
  <c r="I6658" i="1" s="1"/>
  <c r="I6659" i="1" a="1"/>
  <c r="I6659" i="1" s="1"/>
  <c r="I6660" i="1" a="1"/>
  <c r="I6660" i="1" s="1"/>
  <c r="I6661" i="1" a="1"/>
  <c r="I6661" i="1" s="1"/>
  <c r="I6662" i="1" a="1"/>
  <c r="I6662" i="1" s="1"/>
  <c r="I6663" i="1" a="1"/>
  <c r="I6663" i="1" s="1"/>
  <c r="I6664" i="1" a="1"/>
  <c r="I6664" i="1" s="1"/>
  <c r="I6665" i="1" a="1"/>
  <c r="I6665" i="1" s="1"/>
  <c r="I6666" i="1" a="1"/>
  <c r="I6666" i="1" s="1"/>
  <c r="I6667" i="1" a="1"/>
  <c r="I6667" i="1" s="1"/>
  <c r="I6668" i="1" a="1"/>
  <c r="I6668" i="1" s="1"/>
  <c r="I6669" i="1" a="1"/>
  <c r="I6669" i="1" s="1"/>
  <c r="I6670" i="1" a="1"/>
  <c r="I6670" i="1" s="1"/>
  <c r="I6671" i="1" a="1"/>
  <c r="I6671" i="1" s="1"/>
  <c r="I6672" i="1" a="1"/>
  <c r="I6672" i="1" s="1"/>
  <c r="I6673" i="1" a="1"/>
  <c r="I6673" i="1" s="1"/>
  <c r="I6674" i="1" a="1"/>
  <c r="I6674" i="1" s="1"/>
  <c r="I6675" i="1" a="1"/>
  <c r="I6675" i="1" s="1"/>
  <c r="I6676" i="1" a="1"/>
  <c r="I6676" i="1" s="1"/>
  <c r="I6677" i="1" a="1"/>
  <c r="I6677" i="1" s="1"/>
  <c r="I6678" i="1" a="1"/>
  <c r="I6678" i="1" s="1"/>
  <c r="I6679" i="1" a="1"/>
  <c r="I6679" i="1" s="1"/>
  <c r="I6680" i="1" a="1"/>
  <c r="I6680" i="1" s="1"/>
  <c r="I6681" i="1" a="1"/>
  <c r="I6681" i="1" s="1"/>
  <c r="I6682" i="1" a="1"/>
  <c r="I6682" i="1" s="1"/>
  <c r="I6683" i="1" a="1"/>
  <c r="I6683" i="1" s="1"/>
  <c r="I6684" i="1" a="1"/>
  <c r="I6684" i="1" s="1"/>
  <c r="I6685" i="1" a="1"/>
  <c r="I6685" i="1" s="1"/>
  <c r="I6686" i="1" a="1"/>
  <c r="I6686" i="1" s="1"/>
  <c r="I6687" i="1" a="1"/>
  <c r="I6687" i="1" s="1"/>
  <c r="I6688" i="1" a="1"/>
  <c r="I6688" i="1" s="1"/>
  <c r="I6689" i="1" a="1"/>
  <c r="I6689" i="1" s="1"/>
  <c r="I6690" i="1" a="1"/>
  <c r="I6690" i="1" s="1"/>
  <c r="I6691" i="1" a="1"/>
  <c r="I6691" i="1" s="1"/>
  <c r="I6692" i="1" a="1"/>
  <c r="I6692" i="1" s="1"/>
  <c r="I6693" i="1" a="1"/>
  <c r="I6693" i="1" s="1"/>
  <c r="I6694" i="1" a="1"/>
  <c r="I6694" i="1" s="1"/>
  <c r="I6695" i="1" a="1"/>
  <c r="I6695" i="1" s="1"/>
  <c r="I6696" i="1" a="1"/>
  <c r="I6696" i="1" s="1"/>
  <c r="I6697" i="1" a="1"/>
  <c r="I6697" i="1" s="1"/>
  <c r="I6698" i="1" a="1"/>
  <c r="I6698" i="1" s="1"/>
  <c r="I6699" i="1" a="1"/>
  <c r="I6699" i="1" s="1"/>
  <c r="I6700" i="1" a="1"/>
  <c r="I6700" i="1" s="1"/>
  <c r="I6701" i="1" a="1"/>
  <c r="I6701" i="1" s="1"/>
  <c r="I6702" i="1" a="1"/>
  <c r="I6702" i="1" s="1"/>
  <c r="I6703" i="1" a="1"/>
  <c r="I6703" i="1" s="1"/>
  <c r="I6704" i="1" a="1"/>
  <c r="I6704" i="1" s="1"/>
  <c r="I6705" i="1" a="1"/>
  <c r="I6705" i="1" s="1"/>
  <c r="I6706" i="1" a="1"/>
  <c r="I6706" i="1" s="1"/>
  <c r="I6707" i="1" a="1"/>
  <c r="I6707" i="1" s="1"/>
  <c r="I6708" i="1" a="1"/>
  <c r="I6708" i="1" s="1"/>
  <c r="I6709" i="1" a="1"/>
  <c r="I6709" i="1" s="1"/>
  <c r="I6710" i="1" a="1"/>
  <c r="I6710" i="1" s="1"/>
  <c r="I6711" i="1" a="1"/>
  <c r="I6711" i="1" s="1"/>
  <c r="I6712" i="1" a="1"/>
  <c r="I6712" i="1" s="1"/>
  <c r="I6713" i="1" a="1"/>
  <c r="I6713" i="1" s="1"/>
  <c r="I6714" i="1" a="1"/>
  <c r="I6714" i="1" s="1"/>
  <c r="I6715" i="1" a="1"/>
  <c r="I6715" i="1" s="1"/>
  <c r="I6716" i="1" a="1"/>
  <c r="I6716" i="1" s="1"/>
  <c r="I6717" i="1" a="1"/>
  <c r="I6717" i="1" s="1"/>
  <c r="I6718" i="1" a="1"/>
  <c r="I6718" i="1" s="1"/>
  <c r="I6719" i="1" a="1"/>
  <c r="I6719" i="1" s="1"/>
  <c r="I6720" i="1" a="1"/>
  <c r="I6720" i="1" s="1"/>
  <c r="I6721" i="1" a="1"/>
  <c r="I6721" i="1" s="1"/>
  <c r="I6722" i="1" a="1"/>
  <c r="I6722" i="1" s="1"/>
  <c r="I6723" i="1" a="1"/>
  <c r="I6723" i="1" s="1"/>
  <c r="I6724" i="1" a="1"/>
  <c r="I6724" i="1" s="1"/>
  <c r="I6725" i="1" a="1"/>
  <c r="I6725" i="1" s="1"/>
  <c r="I6726" i="1" a="1"/>
  <c r="I6726" i="1" s="1"/>
  <c r="I6727" i="1" a="1"/>
  <c r="I6727" i="1" s="1"/>
  <c r="I6728" i="1" a="1"/>
  <c r="I6728" i="1" s="1"/>
  <c r="I6729" i="1" a="1"/>
  <c r="I6729" i="1" s="1"/>
  <c r="I6730" i="1" a="1"/>
  <c r="I6730" i="1" s="1"/>
  <c r="I6731" i="1" a="1"/>
  <c r="I6731" i="1" s="1"/>
  <c r="I6732" i="1" a="1"/>
  <c r="I6732" i="1" s="1"/>
  <c r="I6733" i="1" a="1"/>
  <c r="I6733" i="1" s="1"/>
  <c r="I6734" i="1" a="1"/>
  <c r="I6734" i="1" s="1"/>
  <c r="I6735" i="1" a="1"/>
  <c r="I6735" i="1" s="1"/>
  <c r="I6736" i="1" a="1"/>
  <c r="I6736" i="1" s="1"/>
  <c r="I6737" i="1" a="1"/>
  <c r="I6737" i="1" s="1"/>
  <c r="I6738" i="1" a="1"/>
  <c r="I6738" i="1" s="1"/>
  <c r="I6739" i="1" a="1"/>
  <c r="I6739" i="1" s="1"/>
  <c r="I6740" i="1" a="1"/>
  <c r="I6740" i="1" s="1"/>
  <c r="I6741" i="1" a="1"/>
  <c r="I6741" i="1" s="1"/>
  <c r="I6742" i="1" a="1"/>
  <c r="I6742" i="1" s="1"/>
  <c r="I6743" i="1" a="1"/>
  <c r="I6743" i="1" s="1"/>
  <c r="I6744" i="1" a="1"/>
  <c r="I6744" i="1" s="1"/>
  <c r="I6745" i="1" a="1"/>
  <c r="I6745" i="1" s="1"/>
  <c r="I6746" i="1" a="1"/>
  <c r="I6746" i="1" s="1"/>
  <c r="I6747" i="1" a="1"/>
  <c r="I6747" i="1" s="1"/>
  <c r="I6748" i="1" a="1"/>
  <c r="I6748" i="1" s="1"/>
  <c r="I6749" i="1" a="1"/>
  <c r="I6749" i="1" s="1"/>
  <c r="I6750" i="1" a="1"/>
  <c r="I6750" i="1" s="1"/>
  <c r="I6751" i="1" a="1"/>
  <c r="I6751" i="1" s="1"/>
  <c r="I6752" i="1" a="1"/>
  <c r="I6752" i="1" s="1"/>
  <c r="I6753" i="1" a="1"/>
  <c r="I6753" i="1" s="1"/>
  <c r="I6754" i="1" a="1"/>
  <c r="I6754" i="1" s="1"/>
  <c r="I6755" i="1" a="1"/>
  <c r="I6755" i="1" s="1"/>
  <c r="I6756" i="1" a="1"/>
  <c r="I6756" i="1" s="1"/>
  <c r="I6757" i="1" a="1"/>
  <c r="I6757" i="1" s="1"/>
  <c r="I6758" i="1" a="1"/>
  <c r="I6758" i="1" s="1"/>
  <c r="I6759" i="1" a="1"/>
  <c r="I6759" i="1" s="1"/>
  <c r="I6760" i="1" a="1"/>
  <c r="I6760" i="1" s="1"/>
  <c r="I6761" i="1" a="1"/>
  <c r="I6761" i="1" s="1"/>
  <c r="I6762" i="1" a="1"/>
  <c r="I6762" i="1" s="1"/>
  <c r="I6763" i="1" a="1"/>
  <c r="I6763" i="1" s="1"/>
  <c r="I6764" i="1" a="1"/>
  <c r="I6764" i="1" s="1"/>
  <c r="I6765" i="1" a="1"/>
  <c r="I6765" i="1" s="1"/>
  <c r="I6766" i="1" a="1"/>
  <c r="I6766" i="1" s="1"/>
  <c r="I6767" i="1" a="1"/>
  <c r="I6767" i="1" s="1"/>
  <c r="I6768" i="1" a="1"/>
  <c r="I6768" i="1" s="1"/>
  <c r="I6769" i="1" a="1"/>
  <c r="I6769" i="1" s="1"/>
  <c r="I6770" i="1" a="1"/>
  <c r="I6770" i="1" s="1"/>
  <c r="I6771" i="1" a="1"/>
  <c r="I6771" i="1" s="1"/>
  <c r="I6772" i="1" a="1"/>
  <c r="I6772" i="1" s="1"/>
  <c r="I6773" i="1" a="1"/>
  <c r="I6773" i="1" s="1"/>
  <c r="I6774" i="1" a="1"/>
  <c r="I6774" i="1" s="1"/>
  <c r="I6775" i="1" a="1"/>
  <c r="I6775" i="1" s="1"/>
  <c r="I6776" i="1" a="1"/>
  <c r="I6776" i="1" s="1"/>
  <c r="I6777" i="1" a="1"/>
  <c r="I6777" i="1" s="1"/>
  <c r="I6778" i="1" a="1"/>
  <c r="I6778" i="1" s="1"/>
  <c r="I6779" i="1" a="1"/>
  <c r="I6779" i="1" s="1"/>
  <c r="I6780" i="1" a="1"/>
  <c r="I6780" i="1" s="1"/>
  <c r="I6781" i="1" a="1"/>
  <c r="I6781" i="1" s="1"/>
  <c r="I6782" i="1" a="1"/>
  <c r="I6782" i="1" s="1"/>
  <c r="I6783" i="1" a="1"/>
  <c r="I6783" i="1" s="1"/>
  <c r="I6784" i="1" a="1"/>
  <c r="I6784" i="1" s="1"/>
  <c r="I6785" i="1" a="1"/>
  <c r="I6785" i="1" s="1"/>
  <c r="I6786" i="1" a="1"/>
  <c r="I6786" i="1" s="1"/>
  <c r="I6787" i="1" a="1"/>
  <c r="I6787" i="1" s="1"/>
  <c r="I6788" i="1" a="1"/>
  <c r="I6788" i="1" s="1"/>
  <c r="I6789" i="1" a="1"/>
  <c r="I6789" i="1" s="1"/>
  <c r="I6790" i="1" a="1"/>
  <c r="I6790" i="1" s="1"/>
  <c r="I6791" i="1" a="1"/>
  <c r="I6791" i="1" s="1"/>
  <c r="I6792" i="1" a="1"/>
  <c r="I6792" i="1" s="1"/>
  <c r="I6793" i="1" a="1"/>
  <c r="I6793" i="1" s="1"/>
  <c r="I6794" i="1" a="1"/>
  <c r="I6794" i="1" s="1"/>
  <c r="I6795" i="1" a="1"/>
  <c r="I6795" i="1" s="1"/>
  <c r="I6796" i="1" a="1"/>
  <c r="I6796" i="1" s="1"/>
  <c r="I6797" i="1" a="1"/>
  <c r="I6797" i="1" s="1"/>
  <c r="I6798" i="1" a="1"/>
  <c r="I6798" i="1" s="1"/>
  <c r="I6799" i="1" a="1"/>
  <c r="I6799" i="1" s="1"/>
  <c r="I6800" i="1" a="1"/>
  <c r="I6800" i="1" s="1"/>
  <c r="I6801" i="1" a="1"/>
  <c r="I6801" i="1" s="1"/>
  <c r="I6802" i="1" a="1"/>
  <c r="I6802" i="1" s="1"/>
  <c r="I6803" i="1" a="1"/>
  <c r="I6803" i="1" s="1"/>
  <c r="I6804" i="1" a="1"/>
  <c r="I6804" i="1" s="1"/>
  <c r="I6805" i="1" a="1"/>
  <c r="I6805" i="1" s="1"/>
  <c r="I6806" i="1" a="1"/>
  <c r="I6806" i="1" s="1"/>
  <c r="I6807" i="1" a="1"/>
  <c r="I6807" i="1" s="1"/>
  <c r="I6808" i="1" a="1"/>
  <c r="I6808" i="1" s="1"/>
  <c r="I6809" i="1" a="1"/>
  <c r="I6809" i="1" s="1"/>
  <c r="I6810" i="1" a="1"/>
  <c r="I6810" i="1" s="1"/>
  <c r="I6811" i="1" a="1"/>
  <c r="I6811" i="1" s="1"/>
  <c r="I6812" i="1" a="1"/>
  <c r="I6812" i="1" s="1"/>
  <c r="I6813" i="1" a="1"/>
  <c r="I6813" i="1" s="1"/>
  <c r="I6814" i="1" a="1"/>
  <c r="I6814" i="1" s="1"/>
  <c r="I6815" i="1" a="1"/>
  <c r="I6815" i="1" s="1"/>
  <c r="I6816" i="1" a="1"/>
  <c r="I6816" i="1" s="1"/>
  <c r="I6817" i="1" a="1"/>
  <c r="I6817" i="1" s="1"/>
  <c r="I6818" i="1" a="1"/>
  <c r="I6818" i="1" s="1"/>
  <c r="I6819" i="1" a="1"/>
  <c r="I6819" i="1" s="1"/>
  <c r="I6820" i="1" a="1"/>
  <c r="I6820" i="1" s="1"/>
  <c r="I6821" i="1" a="1"/>
  <c r="I6821" i="1" s="1"/>
  <c r="I6822" i="1" a="1"/>
  <c r="I6822" i="1" s="1"/>
  <c r="I6823" i="1" a="1"/>
  <c r="I6823" i="1" s="1"/>
  <c r="I6824" i="1" a="1"/>
  <c r="I6824" i="1" s="1"/>
  <c r="I6825" i="1" a="1"/>
  <c r="I6825" i="1" s="1"/>
  <c r="I6826" i="1" a="1"/>
  <c r="I6826" i="1" s="1"/>
  <c r="I6827" i="1" a="1"/>
  <c r="I6827" i="1" s="1"/>
  <c r="I6828" i="1" a="1"/>
  <c r="I6828" i="1" s="1"/>
  <c r="I6829" i="1" a="1"/>
  <c r="I6829" i="1" s="1"/>
  <c r="I6830" i="1" a="1"/>
  <c r="I6830" i="1" s="1"/>
  <c r="I6831" i="1" a="1"/>
  <c r="I6831" i="1" s="1"/>
  <c r="I6832" i="1" a="1"/>
  <c r="I6832" i="1" s="1"/>
  <c r="I6833" i="1" a="1"/>
  <c r="I6833" i="1" s="1"/>
  <c r="I6834" i="1" a="1"/>
  <c r="I6834" i="1" s="1"/>
  <c r="I6835" i="1" a="1"/>
  <c r="I6835" i="1" s="1"/>
  <c r="I6836" i="1" a="1"/>
  <c r="I6836" i="1" s="1"/>
  <c r="I6837" i="1" a="1"/>
  <c r="I6837" i="1" s="1"/>
  <c r="I6838" i="1" a="1"/>
  <c r="I6838" i="1" s="1"/>
  <c r="I6839" i="1" a="1"/>
  <c r="I6839" i="1" s="1"/>
  <c r="I6840" i="1" a="1"/>
  <c r="I6840" i="1" s="1"/>
  <c r="I6841" i="1" a="1"/>
  <c r="I6841" i="1" s="1"/>
  <c r="I6842" i="1" a="1"/>
  <c r="I6842" i="1" s="1"/>
  <c r="I6843" i="1" a="1"/>
  <c r="I6843" i="1" s="1"/>
  <c r="I6844" i="1" a="1"/>
  <c r="I6844" i="1" s="1"/>
  <c r="I6845" i="1" a="1"/>
  <c r="I6845" i="1" s="1"/>
  <c r="I6846" i="1" a="1"/>
  <c r="I6846" i="1" s="1"/>
  <c r="I6847" i="1" a="1"/>
  <c r="I6847" i="1" s="1"/>
  <c r="I6848" i="1" a="1"/>
  <c r="I6848" i="1" s="1"/>
  <c r="I6849" i="1" a="1"/>
  <c r="I6849" i="1" s="1"/>
  <c r="I6850" i="1" a="1"/>
  <c r="I6850" i="1" s="1"/>
  <c r="I6851" i="1" a="1"/>
  <c r="I6851" i="1" s="1"/>
  <c r="I6852" i="1" a="1"/>
  <c r="I6852" i="1" s="1"/>
  <c r="I6853" i="1" a="1"/>
  <c r="I6853" i="1" s="1"/>
  <c r="I6854" i="1" a="1"/>
  <c r="I6854" i="1" s="1"/>
  <c r="I6855" i="1" a="1"/>
  <c r="I6855" i="1" s="1"/>
  <c r="I6856" i="1" a="1"/>
  <c r="I6856" i="1" s="1"/>
  <c r="I6857" i="1" a="1"/>
  <c r="I6857" i="1" s="1"/>
  <c r="I6858" i="1" a="1"/>
  <c r="I6858" i="1" s="1"/>
  <c r="I6859" i="1" a="1"/>
  <c r="I6859" i="1" s="1"/>
  <c r="I6860" i="1" a="1"/>
  <c r="I6860" i="1" s="1"/>
  <c r="I6861" i="1" a="1"/>
  <c r="I6861" i="1" s="1"/>
  <c r="I6862" i="1" a="1"/>
  <c r="I6862" i="1" s="1"/>
  <c r="I6863" i="1" a="1"/>
  <c r="I6863" i="1" s="1"/>
  <c r="I6864" i="1" a="1"/>
  <c r="I6864" i="1" s="1"/>
  <c r="I6865" i="1" a="1"/>
  <c r="I6865" i="1" s="1"/>
  <c r="I6866" i="1" a="1"/>
  <c r="I6866" i="1" s="1"/>
  <c r="I6867" i="1" a="1"/>
  <c r="I6867" i="1" s="1"/>
  <c r="I6868" i="1" a="1"/>
  <c r="I6868" i="1" s="1"/>
  <c r="I6869" i="1" a="1"/>
  <c r="I6869" i="1" s="1"/>
  <c r="I6870" i="1" a="1"/>
  <c r="I6870" i="1" s="1"/>
  <c r="I6871" i="1" a="1"/>
  <c r="I6871" i="1" s="1"/>
  <c r="I6872" i="1" a="1"/>
  <c r="I6872" i="1" s="1"/>
  <c r="I6873" i="1" a="1"/>
  <c r="I6873" i="1" s="1"/>
  <c r="I6874" i="1" a="1"/>
  <c r="I6874" i="1" s="1"/>
  <c r="I6875" i="1" a="1"/>
  <c r="I6875" i="1" s="1"/>
  <c r="I6876" i="1" a="1"/>
  <c r="I6876" i="1" s="1"/>
  <c r="I6877" i="1" a="1"/>
  <c r="I6877" i="1" s="1"/>
  <c r="I6878" i="1" a="1"/>
  <c r="I6878" i="1" s="1"/>
  <c r="I6879" i="1" a="1"/>
  <c r="I6879" i="1" s="1"/>
  <c r="I6880" i="1" a="1"/>
  <c r="I6880" i="1" s="1"/>
  <c r="I6881" i="1" a="1"/>
  <c r="I6881" i="1" s="1"/>
  <c r="I6882" i="1" a="1"/>
  <c r="I6882" i="1" s="1"/>
  <c r="I6883" i="1" a="1"/>
  <c r="I6883" i="1" s="1"/>
  <c r="I6884" i="1" a="1"/>
  <c r="I6884" i="1" s="1"/>
  <c r="I6885" i="1" a="1"/>
  <c r="I6885" i="1" s="1"/>
  <c r="I6886" i="1" a="1"/>
  <c r="I6886" i="1" s="1"/>
  <c r="I6887" i="1" a="1"/>
  <c r="I6887" i="1" s="1"/>
  <c r="I6888" i="1" a="1"/>
  <c r="I6888" i="1" s="1"/>
  <c r="I6889" i="1" a="1"/>
  <c r="I6889" i="1" s="1"/>
  <c r="I6890" i="1" a="1"/>
  <c r="I6890" i="1" s="1"/>
  <c r="I6891" i="1" a="1"/>
  <c r="I6891" i="1" s="1"/>
  <c r="I6892" i="1" a="1"/>
  <c r="I6892" i="1" s="1"/>
  <c r="I6893" i="1" a="1"/>
  <c r="I6893" i="1" s="1"/>
  <c r="I6894" i="1" a="1"/>
  <c r="I6894" i="1" s="1"/>
  <c r="I6895" i="1" a="1"/>
  <c r="I6895" i="1" s="1"/>
  <c r="I6896" i="1" a="1"/>
  <c r="I6896" i="1" s="1"/>
  <c r="I6897" i="1" a="1"/>
  <c r="I6897" i="1" s="1"/>
  <c r="I6898" i="1" a="1"/>
  <c r="I6898" i="1" s="1"/>
  <c r="I6899" i="1" a="1"/>
  <c r="I6899" i="1" s="1"/>
  <c r="I6900" i="1" a="1"/>
  <c r="I6900" i="1" s="1"/>
  <c r="I6901" i="1" a="1"/>
  <c r="I6901" i="1" s="1"/>
  <c r="I6902" i="1" a="1"/>
  <c r="I6902" i="1" s="1"/>
  <c r="I6903" i="1" a="1"/>
  <c r="I6903" i="1" s="1"/>
  <c r="I6904" i="1" a="1"/>
  <c r="I6904" i="1" s="1"/>
  <c r="I6905" i="1" a="1"/>
  <c r="I6905" i="1" s="1"/>
  <c r="I6906" i="1" a="1"/>
  <c r="I6906" i="1" s="1"/>
  <c r="I6907" i="1" a="1"/>
  <c r="I6907" i="1" s="1"/>
  <c r="I6908" i="1" a="1"/>
  <c r="I6908" i="1" s="1"/>
  <c r="I6909" i="1" a="1"/>
  <c r="I6909" i="1" s="1"/>
  <c r="I6910" i="1" a="1"/>
  <c r="I6910" i="1" s="1"/>
  <c r="I6911" i="1" a="1"/>
  <c r="I6911" i="1" s="1"/>
  <c r="I6912" i="1" a="1"/>
  <c r="I6912" i="1" s="1"/>
  <c r="I6913" i="1" a="1"/>
  <c r="I6913" i="1" s="1"/>
  <c r="I6914" i="1" a="1"/>
  <c r="I6914" i="1" s="1"/>
  <c r="I6915" i="1" a="1"/>
  <c r="I6915" i="1" s="1"/>
  <c r="I6916" i="1" a="1"/>
  <c r="I6916" i="1" s="1"/>
  <c r="I6917" i="1" a="1"/>
  <c r="I6917" i="1" s="1"/>
  <c r="I6918" i="1" a="1"/>
  <c r="I6918" i="1" s="1"/>
  <c r="I6919" i="1" a="1"/>
  <c r="I6919" i="1" s="1"/>
  <c r="I6920" i="1" a="1"/>
  <c r="I6920" i="1" s="1"/>
  <c r="I6921" i="1" a="1"/>
  <c r="I6921" i="1" s="1"/>
  <c r="I6922" i="1" a="1"/>
  <c r="I6922" i="1" s="1"/>
  <c r="I6923" i="1" a="1"/>
  <c r="I6923" i="1" s="1"/>
  <c r="I6924" i="1" a="1"/>
  <c r="I6924" i="1" s="1"/>
  <c r="I6925" i="1" a="1"/>
  <c r="I6925" i="1" s="1"/>
  <c r="I6926" i="1" a="1"/>
  <c r="I6926" i="1" s="1"/>
  <c r="I6927" i="1" a="1"/>
  <c r="I6927" i="1" s="1"/>
  <c r="I6928" i="1" a="1"/>
  <c r="I6928" i="1" s="1"/>
  <c r="I6929" i="1" a="1"/>
  <c r="I6929" i="1" s="1"/>
  <c r="I6930" i="1" a="1"/>
  <c r="I6930" i="1" s="1"/>
  <c r="I6931" i="1" a="1"/>
  <c r="I6931" i="1" s="1"/>
  <c r="I6932" i="1" a="1"/>
  <c r="I6932" i="1" s="1"/>
  <c r="I6933" i="1" a="1"/>
  <c r="I6933" i="1" s="1"/>
  <c r="I6934" i="1" a="1"/>
  <c r="I6934" i="1" s="1"/>
  <c r="I6935" i="1" a="1"/>
  <c r="I6935" i="1" s="1"/>
  <c r="I6936" i="1" a="1"/>
  <c r="I6936" i="1" s="1"/>
  <c r="I6937" i="1" a="1"/>
  <c r="I6937" i="1" s="1"/>
  <c r="I6938" i="1" a="1"/>
  <c r="I6938" i="1" s="1"/>
  <c r="I6939" i="1" a="1"/>
  <c r="I6939" i="1" s="1"/>
  <c r="I6940" i="1" a="1"/>
  <c r="I6940" i="1" s="1"/>
  <c r="I6941" i="1" a="1"/>
  <c r="I6941" i="1" s="1"/>
  <c r="I6942" i="1" a="1"/>
  <c r="I6942" i="1" s="1"/>
  <c r="I6943" i="1" a="1"/>
  <c r="I6943" i="1" s="1"/>
  <c r="I6944" i="1" a="1"/>
  <c r="I6944" i="1" s="1"/>
  <c r="I6945" i="1" a="1"/>
  <c r="I6945" i="1" s="1"/>
  <c r="I6946" i="1" a="1"/>
  <c r="I6946" i="1" s="1"/>
  <c r="I6947" i="1" a="1"/>
  <c r="I6947" i="1" s="1"/>
  <c r="I6948" i="1" a="1"/>
  <c r="I6948" i="1" s="1"/>
  <c r="I6949" i="1" a="1"/>
  <c r="I6949" i="1" s="1"/>
  <c r="I6950" i="1" a="1"/>
  <c r="I6950" i="1" s="1"/>
  <c r="I6951" i="1" a="1"/>
  <c r="I6951" i="1" s="1"/>
  <c r="I6952" i="1" a="1"/>
  <c r="I6952" i="1" s="1"/>
  <c r="I6953" i="1" a="1"/>
  <c r="I6953" i="1" s="1"/>
  <c r="I6954" i="1" a="1"/>
  <c r="I6954" i="1" s="1"/>
  <c r="I6955" i="1" a="1"/>
  <c r="I6955" i="1" s="1"/>
  <c r="I6956" i="1" a="1"/>
  <c r="I6956" i="1" s="1"/>
  <c r="I6957" i="1" a="1"/>
  <c r="I6957" i="1" s="1"/>
  <c r="I6958" i="1" a="1"/>
  <c r="I6958" i="1" s="1"/>
  <c r="I6959" i="1" a="1"/>
  <c r="I6959" i="1" s="1"/>
  <c r="I6960" i="1" a="1"/>
  <c r="I6960" i="1" s="1"/>
  <c r="I6961" i="1" a="1"/>
  <c r="I6961" i="1" s="1"/>
  <c r="I6962" i="1" a="1"/>
  <c r="I6962" i="1" s="1"/>
  <c r="I6963" i="1" a="1"/>
  <c r="I6963" i="1" s="1"/>
  <c r="I6964" i="1" a="1"/>
  <c r="I6964" i="1" s="1"/>
  <c r="I6965" i="1" a="1"/>
  <c r="I6965" i="1" s="1"/>
  <c r="I6966" i="1" a="1"/>
  <c r="I6966" i="1" s="1"/>
  <c r="I6967" i="1" a="1"/>
  <c r="I6967" i="1" s="1"/>
  <c r="I6968" i="1" a="1"/>
  <c r="I6968" i="1" s="1"/>
  <c r="I6969" i="1" a="1"/>
  <c r="I6969" i="1" s="1"/>
  <c r="I6970" i="1" a="1"/>
  <c r="I6970" i="1" s="1"/>
  <c r="I6971" i="1" a="1"/>
  <c r="I6971" i="1" s="1"/>
  <c r="I6972" i="1" a="1"/>
  <c r="I6972" i="1" s="1"/>
  <c r="I6973" i="1" a="1"/>
  <c r="I6973" i="1" s="1"/>
  <c r="I6974" i="1" a="1"/>
  <c r="I6974" i="1" s="1"/>
  <c r="I6975" i="1" a="1"/>
  <c r="I6975" i="1" s="1"/>
  <c r="I6976" i="1" a="1"/>
  <c r="I6976" i="1" s="1"/>
  <c r="I6977" i="1" a="1"/>
  <c r="I6977" i="1" s="1"/>
  <c r="I6978" i="1" a="1"/>
  <c r="I6978" i="1" s="1"/>
  <c r="I6979" i="1" a="1"/>
  <c r="I6979" i="1" s="1"/>
  <c r="I6980" i="1" a="1"/>
  <c r="I6980" i="1" s="1"/>
  <c r="I6981" i="1" a="1"/>
  <c r="I6981" i="1" s="1"/>
  <c r="I6982" i="1" a="1"/>
  <c r="I6982" i="1" s="1"/>
  <c r="I6983" i="1" a="1"/>
  <c r="I6983" i="1" s="1"/>
  <c r="I6984" i="1" a="1"/>
  <c r="I6984" i="1" s="1"/>
  <c r="I6985" i="1" a="1"/>
  <c r="I6985" i="1" s="1"/>
  <c r="I6986" i="1" a="1"/>
  <c r="I6986" i="1" s="1"/>
  <c r="I6987" i="1" a="1"/>
  <c r="I6987" i="1" s="1"/>
  <c r="I6988" i="1" a="1"/>
  <c r="I6988" i="1" s="1"/>
  <c r="I6989" i="1" a="1"/>
  <c r="I6989" i="1" s="1"/>
  <c r="I6990" i="1" a="1"/>
  <c r="I6990" i="1" s="1"/>
  <c r="I6991" i="1" a="1"/>
  <c r="I6991" i="1" s="1"/>
  <c r="I6992" i="1" a="1"/>
  <c r="I6992" i="1" s="1"/>
  <c r="I6993" i="1" a="1"/>
  <c r="I6993" i="1" s="1"/>
  <c r="I6994" i="1" a="1"/>
  <c r="I6994" i="1" s="1"/>
  <c r="I6995" i="1" a="1"/>
  <c r="I6995" i="1" s="1"/>
  <c r="I6996" i="1" a="1"/>
  <c r="I6996" i="1" s="1"/>
  <c r="I6997" i="1" a="1"/>
  <c r="I6997" i="1" s="1"/>
  <c r="I6998" i="1" a="1"/>
  <c r="I6998" i="1" s="1"/>
  <c r="I6999" i="1" a="1"/>
  <c r="I6999" i="1" s="1"/>
  <c r="I7000" i="1" a="1"/>
  <c r="I7000" i="1" s="1"/>
  <c r="I7001" i="1" a="1"/>
  <c r="I7001" i="1" s="1"/>
  <c r="I7002" i="1" a="1"/>
  <c r="I7002" i="1" s="1"/>
  <c r="I7003" i="1" a="1"/>
  <c r="I7003" i="1" s="1"/>
  <c r="I7004" i="1" a="1"/>
  <c r="I7004" i="1" s="1"/>
  <c r="I7005" i="1" a="1"/>
  <c r="I7005" i="1" s="1"/>
  <c r="I7006" i="1" a="1"/>
  <c r="I7006" i="1" s="1"/>
  <c r="I7007" i="1" a="1"/>
  <c r="I7007" i="1" s="1"/>
  <c r="I7008" i="1" a="1"/>
  <c r="I7008" i="1" s="1"/>
  <c r="I7009" i="1" a="1"/>
  <c r="I7009" i="1" s="1"/>
  <c r="I7010" i="1" a="1"/>
  <c r="I7010" i="1" s="1"/>
  <c r="I7011" i="1" a="1"/>
  <c r="I7011" i="1" s="1"/>
  <c r="I7012" i="1" a="1"/>
  <c r="I7012" i="1" s="1"/>
  <c r="I7013" i="1" a="1"/>
  <c r="I7013" i="1" s="1"/>
  <c r="I7014" i="1" a="1"/>
  <c r="I7014" i="1" s="1"/>
  <c r="I7015" i="1" a="1"/>
  <c r="I7015" i="1" s="1"/>
  <c r="I7016" i="1" a="1"/>
  <c r="I7016" i="1" s="1"/>
  <c r="I7017" i="1" a="1"/>
  <c r="I7017" i="1" s="1"/>
  <c r="I7018" i="1" a="1"/>
  <c r="I7018" i="1" s="1"/>
  <c r="I7019" i="1" a="1"/>
  <c r="I7019" i="1" s="1"/>
  <c r="I7020" i="1" a="1"/>
  <c r="I7020" i="1" s="1"/>
  <c r="I7021" i="1" a="1"/>
  <c r="I7021" i="1" s="1"/>
  <c r="I7022" i="1" a="1"/>
  <c r="I7022" i="1" s="1"/>
  <c r="I7023" i="1" a="1"/>
  <c r="I7023" i="1" s="1"/>
  <c r="I7024" i="1" a="1"/>
  <c r="I7024" i="1" s="1"/>
  <c r="I7025" i="1" a="1"/>
  <c r="I7025" i="1" s="1"/>
  <c r="I7026" i="1" a="1"/>
  <c r="I7026" i="1" s="1"/>
  <c r="I7027" i="1" a="1"/>
  <c r="I7027" i="1" s="1"/>
  <c r="I7028" i="1" a="1"/>
  <c r="I7028" i="1" s="1"/>
  <c r="I7029" i="1" a="1"/>
  <c r="I7029" i="1" s="1"/>
  <c r="I7030" i="1" a="1"/>
  <c r="I7030" i="1" s="1"/>
  <c r="I7031" i="1" a="1"/>
  <c r="I7031" i="1" s="1"/>
  <c r="I7032" i="1" a="1"/>
  <c r="I7032" i="1" s="1"/>
  <c r="I7033" i="1" a="1"/>
  <c r="I7033" i="1" s="1"/>
  <c r="I7034" i="1" a="1"/>
  <c r="I7034" i="1" s="1"/>
  <c r="I7035" i="1" a="1"/>
  <c r="I7035" i="1" s="1"/>
  <c r="I7036" i="1" a="1"/>
  <c r="I7036" i="1" s="1"/>
  <c r="I7037" i="1" a="1"/>
  <c r="I7037" i="1" s="1"/>
  <c r="I7038" i="1" a="1"/>
  <c r="I7038" i="1" s="1"/>
  <c r="I7039" i="1" a="1"/>
  <c r="I7039" i="1" s="1"/>
  <c r="I7040" i="1" a="1"/>
  <c r="I7040" i="1" s="1"/>
  <c r="I7041" i="1" a="1"/>
  <c r="I7041" i="1" s="1"/>
  <c r="I7042" i="1" a="1"/>
  <c r="I7042" i="1" s="1"/>
  <c r="I7043" i="1" a="1"/>
  <c r="I7043" i="1" s="1"/>
  <c r="I7044" i="1" a="1"/>
  <c r="I7044" i="1" s="1"/>
  <c r="I7045" i="1" a="1"/>
  <c r="I7045" i="1" s="1"/>
  <c r="I7046" i="1" a="1"/>
  <c r="I7046" i="1" s="1"/>
  <c r="I7047" i="1" a="1"/>
  <c r="I7047" i="1" s="1"/>
  <c r="I7048" i="1" a="1"/>
  <c r="I7048" i="1" s="1"/>
  <c r="I7049" i="1" a="1"/>
  <c r="I7049" i="1" s="1"/>
  <c r="I7050" i="1" a="1"/>
  <c r="I7050" i="1" s="1"/>
  <c r="I7051" i="1" a="1"/>
  <c r="I7051" i="1" s="1"/>
  <c r="I7052" i="1" a="1"/>
  <c r="I7052" i="1" s="1"/>
  <c r="I7053" i="1" a="1"/>
  <c r="I7053" i="1" s="1"/>
  <c r="I7054" i="1" a="1"/>
  <c r="I7054" i="1" s="1"/>
  <c r="I7055" i="1" a="1"/>
  <c r="I7055" i="1" s="1"/>
  <c r="I7056" i="1" a="1"/>
  <c r="I7056" i="1" s="1"/>
  <c r="I7057" i="1" a="1"/>
  <c r="I7057" i="1" s="1"/>
  <c r="I7058" i="1" a="1"/>
  <c r="I7058" i="1" s="1"/>
  <c r="I7059" i="1" a="1"/>
  <c r="I7059" i="1" s="1"/>
  <c r="I7060" i="1" a="1"/>
  <c r="I7060" i="1" s="1"/>
  <c r="I7061" i="1" a="1"/>
  <c r="I7061" i="1" s="1"/>
  <c r="I7062" i="1" a="1"/>
  <c r="I7062" i="1" s="1"/>
  <c r="I7063" i="1" a="1"/>
  <c r="I7063" i="1" s="1"/>
  <c r="I7064" i="1" a="1"/>
  <c r="I7064" i="1" s="1"/>
  <c r="I7065" i="1" a="1"/>
  <c r="I7065" i="1" s="1"/>
  <c r="I7066" i="1" a="1"/>
  <c r="I7066" i="1" s="1"/>
  <c r="I7067" i="1" a="1"/>
  <c r="I7067" i="1" s="1"/>
  <c r="I7068" i="1" a="1"/>
  <c r="I7068" i="1" s="1"/>
  <c r="I7069" i="1" a="1"/>
  <c r="I7069" i="1" s="1"/>
  <c r="I7070" i="1" a="1"/>
  <c r="I7070" i="1" s="1"/>
  <c r="I7071" i="1" a="1"/>
  <c r="I7071" i="1" s="1"/>
  <c r="I7072" i="1" a="1"/>
  <c r="I7072" i="1" s="1"/>
  <c r="I7073" i="1" a="1"/>
  <c r="I7073" i="1" s="1"/>
  <c r="I7074" i="1" a="1"/>
  <c r="I7074" i="1" s="1"/>
  <c r="I7075" i="1" a="1"/>
  <c r="I7075" i="1" s="1"/>
  <c r="I7076" i="1" a="1"/>
  <c r="I7076" i="1" s="1"/>
  <c r="I7077" i="1" a="1"/>
  <c r="I7077" i="1" s="1"/>
  <c r="I7078" i="1" a="1"/>
  <c r="I7078" i="1" s="1"/>
  <c r="I7079" i="1" a="1"/>
  <c r="I7079" i="1" s="1"/>
  <c r="I7080" i="1" a="1"/>
  <c r="I7080" i="1" s="1"/>
  <c r="I7081" i="1" a="1"/>
  <c r="I7081" i="1" s="1"/>
  <c r="I7082" i="1" a="1"/>
  <c r="I7082" i="1" s="1"/>
  <c r="I7083" i="1" a="1"/>
  <c r="I7083" i="1" s="1"/>
  <c r="I7084" i="1" a="1"/>
  <c r="I7084" i="1" s="1"/>
  <c r="I7085" i="1" a="1"/>
  <c r="I7085" i="1" s="1"/>
  <c r="I7086" i="1" a="1"/>
  <c r="I7086" i="1" s="1"/>
  <c r="I7087" i="1" a="1"/>
  <c r="I7087" i="1" s="1"/>
  <c r="I7088" i="1" a="1"/>
  <c r="I7088" i="1" s="1"/>
  <c r="I7089" i="1" a="1"/>
  <c r="I7089" i="1" s="1"/>
  <c r="I7090" i="1" a="1"/>
  <c r="I7090" i="1" s="1"/>
  <c r="I7091" i="1" a="1"/>
  <c r="I7091" i="1" s="1"/>
  <c r="I7092" i="1" a="1"/>
  <c r="I7092" i="1" s="1"/>
  <c r="I7093" i="1" a="1"/>
  <c r="I7093" i="1" s="1"/>
  <c r="I7094" i="1" a="1"/>
  <c r="I7094" i="1" s="1"/>
  <c r="I7095" i="1" a="1"/>
  <c r="I7095" i="1" s="1"/>
  <c r="I7096" i="1" a="1"/>
  <c r="I7096" i="1" s="1"/>
  <c r="I7097" i="1" a="1"/>
  <c r="I7097" i="1" s="1"/>
  <c r="I7098" i="1" a="1"/>
  <c r="I7098" i="1" s="1"/>
  <c r="I7099" i="1" a="1"/>
  <c r="I7099" i="1" s="1"/>
  <c r="I7100" i="1" a="1"/>
  <c r="I7100" i="1" s="1"/>
  <c r="I7101" i="1" a="1"/>
  <c r="I7101" i="1" s="1"/>
  <c r="I7102" i="1" a="1"/>
  <c r="I7102" i="1" s="1"/>
  <c r="I7103" i="1" a="1"/>
  <c r="I7103" i="1" s="1"/>
  <c r="I7104" i="1" a="1"/>
  <c r="I7104" i="1" s="1"/>
  <c r="I7105" i="1" a="1"/>
  <c r="I7105" i="1" s="1"/>
  <c r="I7106" i="1" a="1"/>
  <c r="I7106" i="1" s="1"/>
  <c r="I7107" i="1" a="1"/>
  <c r="I7107" i="1" s="1"/>
  <c r="I7108" i="1" a="1"/>
  <c r="I7108" i="1" s="1"/>
  <c r="I7109" i="1" a="1"/>
  <c r="I7109" i="1" s="1"/>
  <c r="I7110" i="1" a="1"/>
  <c r="I7110" i="1" s="1"/>
  <c r="I7111" i="1" a="1"/>
  <c r="I7111" i="1" s="1"/>
  <c r="I7112" i="1" a="1"/>
  <c r="I7112" i="1" s="1"/>
  <c r="I7113" i="1" a="1"/>
  <c r="I7113" i="1" s="1"/>
  <c r="I7114" i="1" a="1"/>
  <c r="I7114" i="1" s="1"/>
  <c r="I7115" i="1" a="1"/>
  <c r="I7115" i="1" s="1"/>
  <c r="I7116" i="1" a="1"/>
  <c r="I7116" i="1" s="1"/>
  <c r="I7117" i="1" a="1"/>
  <c r="I7117" i="1" s="1"/>
  <c r="I7118" i="1" a="1"/>
  <c r="I7118" i="1" s="1"/>
  <c r="I7119" i="1" a="1"/>
  <c r="I7119" i="1" s="1"/>
  <c r="I7120" i="1" a="1"/>
  <c r="I7120" i="1" s="1"/>
  <c r="I7121" i="1" a="1"/>
  <c r="I7121" i="1" s="1"/>
  <c r="I7122" i="1" a="1"/>
  <c r="I7122" i="1" s="1"/>
  <c r="I7123" i="1" a="1"/>
  <c r="I7123" i="1" s="1"/>
  <c r="I7124" i="1" a="1"/>
  <c r="I7124" i="1" s="1"/>
  <c r="I7125" i="1" a="1"/>
  <c r="I7125" i="1" s="1"/>
  <c r="I7126" i="1" a="1"/>
  <c r="I7126" i="1" s="1"/>
  <c r="I7127" i="1" a="1"/>
  <c r="I7127" i="1" s="1"/>
  <c r="I7128" i="1" a="1"/>
  <c r="I7128" i="1" s="1"/>
  <c r="I7129" i="1" a="1"/>
  <c r="I7129" i="1" s="1"/>
  <c r="I7130" i="1" a="1"/>
  <c r="I7130" i="1" s="1"/>
  <c r="I7131" i="1" a="1"/>
  <c r="I7131" i="1" s="1"/>
  <c r="I7132" i="1" a="1"/>
  <c r="I7132" i="1" s="1"/>
  <c r="I7133" i="1" a="1"/>
  <c r="I7133" i="1" s="1"/>
  <c r="I7134" i="1" a="1"/>
  <c r="I7134" i="1" s="1"/>
  <c r="I7135" i="1" a="1"/>
  <c r="I7135" i="1" s="1"/>
  <c r="I7136" i="1" a="1"/>
  <c r="I7136" i="1" s="1"/>
  <c r="I7137" i="1" a="1"/>
  <c r="I7137" i="1" s="1"/>
  <c r="I7138" i="1" a="1"/>
  <c r="I7138" i="1" s="1"/>
  <c r="I7139" i="1" a="1"/>
  <c r="I7139" i="1" s="1"/>
  <c r="I7140" i="1" a="1"/>
  <c r="I7140" i="1" s="1"/>
  <c r="I7141" i="1" a="1"/>
  <c r="I7141" i="1" s="1"/>
  <c r="I7142" i="1" a="1"/>
  <c r="I7142" i="1" s="1"/>
  <c r="I7143" i="1" a="1"/>
  <c r="I7143" i="1" s="1"/>
  <c r="I7144" i="1" a="1"/>
  <c r="I7144" i="1" s="1"/>
  <c r="I7145" i="1" a="1"/>
  <c r="I7145" i="1" s="1"/>
  <c r="I7146" i="1" a="1"/>
  <c r="I7146" i="1" s="1"/>
  <c r="I7147" i="1" a="1"/>
  <c r="I7147" i="1" s="1"/>
  <c r="I7148" i="1" a="1"/>
  <c r="I7148" i="1" s="1"/>
  <c r="I7149" i="1" a="1"/>
  <c r="I7149" i="1" s="1"/>
  <c r="I7150" i="1" a="1"/>
  <c r="I7150" i="1" s="1"/>
  <c r="I7151" i="1" a="1"/>
  <c r="I7151" i="1" s="1"/>
  <c r="I7152" i="1" a="1"/>
  <c r="I7152" i="1" s="1"/>
  <c r="I7153" i="1" a="1"/>
  <c r="I7153" i="1" s="1"/>
  <c r="I7154" i="1" a="1"/>
  <c r="I7154" i="1" s="1"/>
  <c r="I7155" i="1" a="1"/>
  <c r="I7155" i="1" s="1"/>
  <c r="I7156" i="1" a="1"/>
  <c r="I7156" i="1" s="1"/>
  <c r="I7157" i="1" a="1"/>
  <c r="I7157" i="1" s="1"/>
  <c r="I7158" i="1" a="1"/>
  <c r="I7158" i="1" s="1"/>
  <c r="I7159" i="1" a="1"/>
  <c r="I7159" i="1" s="1"/>
  <c r="I7160" i="1" a="1"/>
  <c r="I7160" i="1" s="1"/>
  <c r="I7161" i="1" a="1"/>
  <c r="I7161" i="1" s="1"/>
  <c r="I7162" i="1" a="1"/>
  <c r="I7162" i="1" s="1"/>
  <c r="I7163" i="1" a="1"/>
  <c r="I7163" i="1" s="1"/>
  <c r="I7164" i="1" a="1"/>
  <c r="I7164" i="1" s="1"/>
  <c r="I7165" i="1" a="1"/>
  <c r="I7165" i="1" s="1"/>
  <c r="I7166" i="1" a="1"/>
  <c r="I7166" i="1" s="1"/>
  <c r="I7167" i="1" a="1"/>
  <c r="I7167" i="1" s="1"/>
  <c r="I7168" i="1" a="1"/>
  <c r="I7168" i="1" s="1"/>
  <c r="I7169" i="1" a="1"/>
  <c r="I7169" i="1" s="1"/>
  <c r="I7170" i="1" a="1"/>
  <c r="I7170" i="1" s="1"/>
  <c r="I7171" i="1" a="1"/>
  <c r="I7171" i="1" s="1"/>
  <c r="I7172" i="1" a="1"/>
  <c r="I7172" i="1" s="1"/>
  <c r="I7173" i="1" a="1"/>
  <c r="I7173" i="1" s="1"/>
  <c r="I7174" i="1" a="1"/>
  <c r="I7174" i="1" s="1"/>
  <c r="I7175" i="1" a="1"/>
  <c r="I7175" i="1" s="1"/>
  <c r="I7176" i="1" a="1"/>
  <c r="I7176" i="1" s="1"/>
  <c r="I7177" i="1" a="1"/>
  <c r="I7177" i="1" s="1"/>
  <c r="I7178" i="1" a="1"/>
  <c r="I7178" i="1" s="1"/>
  <c r="I7179" i="1" a="1"/>
  <c r="I7179" i="1" s="1"/>
  <c r="I7180" i="1" a="1"/>
  <c r="I7180" i="1" s="1"/>
  <c r="I7181" i="1" a="1"/>
  <c r="I7181" i="1" s="1"/>
  <c r="I7182" i="1" a="1"/>
  <c r="I7182" i="1" s="1"/>
  <c r="I7183" i="1" a="1"/>
  <c r="I7183" i="1" s="1"/>
  <c r="I7184" i="1" a="1"/>
  <c r="I7184" i="1" s="1"/>
  <c r="I7185" i="1" a="1"/>
  <c r="I7185" i="1" s="1"/>
  <c r="I7186" i="1" a="1"/>
  <c r="I7186" i="1" s="1"/>
  <c r="I7187" i="1" a="1"/>
  <c r="I7187" i="1" s="1"/>
  <c r="I7188" i="1" a="1"/>
  <c r="I7188" i="1" s="1"/>
  <c r="I7189" i="1" a="1"/>
  <c r="I7189" i="1" s="1"/>
  <c r="I7190" i="1" a="1"/>
  <c r="I7190" i="1" s="1"/>
  <c r="I7191" i="1" a="1"/>
  <c r="I7191" i="1" s="1"/>
  <c r="I7192" i="1" a="1"/>
  <c r="I7192" i="1" s="1"/>
  <c r="I7193" i="1" a="1"/>
  <c r="I7193" i="1" s="1"/>
  <c r="I7194" i="1" a="1"/>
  <c r="I7194" i="1" s="1"/>
  <c r="I7195" i="1" a="1"/>
  <c r="I7195" i="1" s="1"/>
  <c r="I7196" i="1" a="1"/>
  <c r="I7196" i="1" s="1"/>
  <c r="I7197" i="1" a="1"/>
  <c r="I7197" i="1" s="1"/>
  <c r="I7198" i="1" a="1"/>
  <c r="I7198" i="1" s="1"/>
  <c r="I7199" i="1" a="1"/>
  <c r="I7199" i="1" s="1"/>
  <c r="I7200" i="1" a="1"/>
  <c r="I7200" i="1" s="1"/>
  <c r="I7201" i="1" a="1"/>
  <c r="I7201" i="1" s="1"/>
  <c r="I7202" i="1" a="1"/>
  <c r="I7202" i="1" s="1"/>
  <c r="I7203" i="1" a="1"/>
  <c r="I7203" i="1" s="1"/>
  <c r="I7204" i="1" a="1"/>
  <c r="I7204" i="1" s="1"/>
  <c r="I7205" i="1" a="1"/>
  <c r="I7205" i="1" s="1"/>
  <c r="I7206" i="1" a="1"/>
  <c r="I7206" i="1" s="1"/>
  <c r="I7207" i="1" a="1"/>
  <c r="I7207" i="1" s="1"/>
  <c r="I7208" i="1" a="1"/>
  <c r="I7208" i="1" s="1"/>
  <c r="I7209" i="1" a="1"/>
  <c r="I7209" i="1" s="1"/>
  <c r="I7210" i="1" a="1"/>
  <c r="I7210" i="1" s="1"/>
  <c r="I7211" i="1" a="1"/>
  <c r="I7211" i="1" s="1"/>
  <c r="I7212" i="1" a="1"/>
  <c r="I7212" i="1" s="1"/>
  <c r="I7213" i="1" a="1"/>
  <c r="I7213" i="1" s="1"/>
  <c r="I7214" i="1" a="1"/>
  <c r="I7214" i="1" s="1"/>
  <c r="I7215" i="1" a="1"/>
  <c r="I7215" i="1" s="1"/>
  <c r="I7216" i="1" a="1"/>
  <c r="I7216" i="1" s="1"/>
  <c r="I7217" i="1" a="1"/>
  <c r="I7217" i="1" s="1"/>
  <c r="I7218" i="1" a="1"/>
  <c r="I7218" i="1" s="1"/>
  <c r="I7219" i="1" a="1"/>
  <c r="I7219" i="1" s="1"/>
  <c r="I7220" i="1" a="1"/>
  <c r="I7220" i="1" s="1"/>
  <c r="I7221" i="1" a="1"/>
  <c r="I7221" i="1" s="1"/>
  <c r="I7222" i="1" a="1"/>
  <c r="I7222" i="1" s="1"/>
  <c r="I7223" i="1" a="1"/>
  <c r="I7223" i="1" s="1"/>
  <c r="I7224" i="1" a="1"/>
  <c r="I7224" i="1" s="1"/>
  <c r="I7225" i="1" a="1"/>
  <c r="I7225" i="1" s="1"/>
  <c r="I7226" i="1" a="1"/>
  <c r="I7226" i="1" s="1"/>
  <c r="I7227" i="1" a="1"/>
  <c r="I7227" i="1" s="1"/>
  <c r="I7228" i="1" a="1"/>
  <c r="I7228" i="1" s="1"/>
  <c r="I7229" i="1" a="1"/>
  <c r="I7229" i="1" s="1"/>
  <c r="I7230" i="1" a="1"/>
  <c r="I7230" i="1" s="1"/>
  <c r="I7231" i="1" a="1"/>
  <c r="I7231" i="1" s="1"/>
  <c r="I7232" i="1" a="1"/>
  <c r="I7232" i="1" s="1"/>
  <c r="I7233" i="1" a="1"/>
  <c r="I7233" i="1" s="1"/>
  <c r="I7234" i="1" a="1"/>
  <c r="I7234" i="1" s="1"/>
  <c r="I7235" i="1" a="1"/>
  <c r="I7235" i="1" s="1"/>
  <c r="I7236" i="1" a="1"/>
  <c r="I7236" i="1" s="1"/>
  <c r="I7237" i="1" a="1"/>
  <c r="I7237" i="1" s="1"/>
  <c r="I7238" i="1" a="1"/>
  <c r="I7238" i="1" s="1"/>
  <c r="I7239" i="1" a="1"/>
  <c r="I7239" i="1" s="1"/>
  <c r="I7240" i="1" a="1"/>
  <c r="I7240" i="1" s="1"/>
  <c r="I7241" i="1" a="1"/>
  <c r="I7241" i="1" s="1"/>
  <c r="I7242" i="1" a="1"/>
  <c r="I7242" i="1" s="1"/>
  <c r="I7243" i="1" a="1"/>
  <c r="I7243" i="1" s="1"/>
  <c r="I7244" i="1" a="1"/>
  <c r="I7244" i="1" s="1"/>
  <c r="I7245" i="1" a="1"/>
  <c r="I7245" i="1" s="1"/>
  <c r="I7246" i="1" a="1"/>
  <c r="I7246" i="1" s="1"/>
  <c r="I7247" i="1" a="1"/>
  <c r="I7247" i="1" s="1"/>
  <c r="I7248" i="1" a="1"/>
  <c r="I7248" i="1" s="1"/>
  <c r="I7249" i="1" a="1"/>
  <c r="I7249" i="1" s="1"/>
  <c r="I7250" i="1" a="1"/>
  <c r="I7250" i="1" s="1"/>
  <c r="I7251" i="1" a="1"/>
  <c r="I7251" i="1" s="1"/>
  <c r="I7252" i="1" a="1"/>
  <c r="I7252" i="1" s="1"/>
  <c r="I7253" i="1" a="1"/>
  <c r="I7253" i="1" s="1"/>
  <c r="I7254" i="1" a="1"/>
  <c r="I7254" i="1" s="1"/>
  <c r="I7255" i="1" a="1"/>
  <c r="I7255" i="1" s="1"/>
  <c r="I7256" i="1" a="1"/>
  <c r="I7256" i="1" s="1"/>
  <c r="I7257" i="1" a="1"/>
  <c r="I7257" i="1" s="1"/>
  <c r="I7258" i="1" a="1"/>
  <c r="I7258" i="1" s="1"/>
  <c r="I7259" i="1" a="1"/>
  <c r="I7259" i="1" s="1"/>
  <c r="I7260" i="1" a="1"/>
  <c r="I7260" i="1" s="1"/>
  <c r="I7261" i="1" a="1"/>
  <c r="I7261" i="1" s="1"/>
  <c r="I7262" i="1" a="1"/>
  <c r="I7262" i="1" s="1"/>
  <c r="I7263" i="1" a="1"/>
  <c r="I7263" i="1" s="1"/>
  <c r="I7264" i="1" a="1"/>
  <c r="I7264" i="1" s="1"/>
  <c r="I7265" i="1" a="1"/>
  <c r="I7265" i="1" s="1"/>
  <c r="I7266" i="1" a="1"/>
  <c r="I7266" i="1" s="1"/>
  <c r="I7267" i="1" a="1"/>
  <c r="I7267" i="1" s="1"/>
  <c r="I7268" i="1" a="1"/>
  <c r="I7268" i="1" s="1"/>
  <c r="I7269" i="1" a="1"/>
  <c r="I7269" i="1" s="1"/>
  <c r="I7270" i="1" a="1"/>
  <c r="I7270" i="1" s="1"/>
  <c r="I7271" i="1" a="1"/>
  <c r="I7271" i="1" s="1"/>
  <c r="I7272" i="1" a="1"/>
  <c r="I7272" i="1" s="1"/>
  <c r="I7273" i="1" a="1"/>
  <c r="I7273" i="1" s="1"/>
  <c r="I7274" i="1" a="1"/>
  <c r="I7274" i="1" s="1"/>
  <c r="I7275" i="1" a="1"/>
  <c r="I7275" i="1" s="1"/>
  <c r="I7276" i="1" a="1"/>
  <c r="I7276" i="1" s="1"/>
  <c r="I7277" i="1" a="1"/>
  <c r="I7277" i="1" s="1"/>
  <c r="I7278" i="1" a="1"/>
  <c r="I7278" i="1" s="1"/>
  <c r="I7279" i="1" a="1"/>
  <c r="I7279" i="1" s="1"/>
  <c r="I7280" i="1" a="1"/>
  <c r="I7280" i="1" s="1"/>
  <c r="I7281" i="1" a="1"/>
  <c r="I7281" i="1" s="1"/>
  <c r="I7282" i="1" a="1"/>
  <c r="I7282" i="1" s="1"/>
  <c r="I7283" i="1" a="1"/>
  <c r="I7283" i="1" s="1"/>
  <c r="I7284" i="1" a="1"/>
  <c r="I7284" i="1" s="1"/>
  <c r="I7285" i="1" a="1"/>
  <c r="I7285" i="1" s="1"/>
  <c r="I7286" i="1" a="1"/>
  <c r="I7286" i="1" s="1"/>
  <c r="I7287" i="1" a="1"/>
  <c r="I7287" i="1" s="1"/>
  <c r="I7288" i="1" a="1"/>
  <c r="I7288" i="1" s="1"/>
  <c r="I7289" i="1" a="1"/>
  <c r="I7289" i="1" s="1"/>
  <c r="I7290" i="1" a="1"/>
  <c r="I7290" i="1" s="1"/>
  <c r="I7291" i="1" a="1"/>
  <c r="I7291" i="1" s="1"/>
  <c r="I7292" i="1" a="1"/>
  <c r="I7292" i="1" s="1"/>
  <c r="I7293" i="1" a="1"/>
  <c r="I7293" i="1" s="1"/>
  <c r="I7294" i="1" a="1"/>
  <c r="I7294" i="1" s="1"/>
  <c r="I7295" i="1" a="1"/>
  <c r="I7295" i="1" s="1"/>
  <c r="I7296" i="1" a="1"/>
  <c r="I7296" i="1" s="1"/>
  <c r="I7297" i="1" a="1"/>
  <c r="I7297" i="1" s="1"/>
  <c r="I7298" i="1" a="1"/>
  <c r="I7298" i="1" s="1"/>
  <c r="I7299" i="1" a="1"/>
  <c r="I7299" i="1" s="1"/>
  <c r="I7300" i="1" a="1"/>
  <c r="I7300" i="1" s="1"/>
  <c r="I7301" i="1" a="1"/>
  <c r="I7301" i="1" s="1"/>
  <c r="I7302" i="1" a="1"/>
  <c r="I7302" i="1" s="1"/>
  <c r="I7303" i="1" a="1"/>
  <c r="I7303" i="1" s="1"/>
  <c r="I7304" i="1" a="1"/>
  <c r="I7304" i="1" s="1"/>
  <c r="I7305" i="1" a="1"/>
  <c r="I7305" i="1" s="1"/>
  <c r="I7306" i="1" a="1"/>
  <c r="I7306" i="1" s="1"/>
  <c r="I7307" i="1" a="1"/>
  <c r="I7307" i="1" s="1"/>
  <c r="I7308" i="1" a="1"/>
  <c r="I7308" i="1" s="1"/>
  <c r="I7309" i="1" a="1"/>
  <c r="I7309" i="1" s="1"/>
  <c r="I7310" i="1" a="1"/>
  <c r="I7310" i="1" s="1"/>
  <c r="I7311" i="1" a="1"/>
  <c r="I7311" i="1" s="1"/>
  <c r="I7312" i="1" a="1"/>
  <c r="I7312" i="1" s="1"/>
  <c r="I7313" i="1" a="1"/>
  <c r="I7313" i="1" s="1"/>
  <c r="I7314" i="1" a="1"/>
  <c r="I7314" i="1" s="1"/>
  <c r="I7315" i="1" a="1"/>
  <c r="I7315" i="1" s="1"/>
  <c r="I7316" i="1" a="1"/>
  <c r="I7316" i="1" s="1"/>
  <c r="I7317" i="1" a="1"/>
  <c r="I7317" i="1" s="1"/>
  <c r="I7318" i="1" a="1"/>
  <c r="I7318" i="1" s="1"/>
  <c r="I7319" i="1" a="1"/>
  <c r="I7319" i="1" s="1"/>
  <c r="I7320" i="1" a="1"/>
  <c r="I7320" i="1" s="1"/>
  <c r="I7321" i="1" a="1"/>
  <c r="I7321" i="1" s="1"/>
  <c r="I7322" i="1" a="1"/>
  <c r="I7322" i="1" s="1"/>
  <c r="I7323" i="1" a="1"/>
  <c r="I7323" i="1" s="1"/>
  <c r="I7324" i="1" a="1"/>
  <c r="I7324" i="1" s="1"/>
  <c r="I7325" i="1" a="1"/>
  <c r="I7325" i="1" s="1"/>
  <c r="I7326" i="1" a="1"/>
  <c r="I7326" i="1" s="1"/>
  <c r="I7327" i="1" a="1"/>
  <c r="I7327" i="1" s="1"/>
  <c r="I7328" i="1" a="1"/>
  <c r="I7328" i="1" s="1"/>
  <c r="I7329" i="1" a="1"/>
  <c r="I7329" i="1" s="1"/>
  <c r="I7330" i="1" a="1"/>
  <c r="I7330" i="1" s="1"/>
  <c r="I7331" i="1" a="1"/>
  <c r="I7331" i="1" s="1"/>
  <c r="I7332" i="1" a="1"/>
  <c r="I7332" i="1" s="1"/>
  <c r="I7333" i="1" a="1"/>
  <c r="I7333" i="1" s="1"/>
  <c r="I7334" i="1" a="1"/>
  <c r="I7334" i="1" s="1"/>
  <c r="I7335" i="1" a="1"/>
  <c r="I7335" i="1" s="1"/>
  <c r="I7336" i="1" a="1"/>
  <c r="I7336" i="1" s="1"/>
  <c r="I7337" i="1" a="1"/>
  <c r="I7337" i="1" s="1"/>
  <c r="I7338" i="1" a="1"/>
  <c r="I7338" i="1" s="1"/>
  <c r="I7339" i="1" a="1"/>
  <c r="I7339" i="1" s="1"/>
  <c r="I7340" i="1" a="1"/>
  <c r="I7340" i="1" s="1"/>
  <c r="I7341" i="1" a="1"/>
  <c r="I7341" i="1" s="1"/>
  <c r="I7342" i="1" a="1"/>
  <c r="I7342" i="1" s="1"/>
  <c r="I7343" i="1" a="1"/>
  <c r="I7343" i="1" s="1"/>
  <c r="I7344" i="1" a="1"/>
  <c r="I7344" i="1" s="1"/>
  <c r="I7345" i="1" a="1"/>
  <c r="I7345" i="1" s="1"/>
  <c r="I7346" i="1" a="1"/>
  <c r="I7346" i="1" s="1"/>
  <c r="I7347" i="1" a="1"/>
  <c r="I7347" i="1" s="1"/>
  <c r="I7348" i="1" a="1"/>
  <c r="I7348" i="1" s="1"/>
  <c r="I7349" i="1" a="1"/>
  <c r="I7349" i="1" s="1"/>
  <c r="I7350" i="1" a="1"/>
  <c r="I7350" i="1" s="1"/>
  <c r="I7351" i="1" a="1"/>
  <c r="I7351" i="1" s="1"/>
  <c r="I7352" i="1" a="1"/>
  <c r="I7352" i="1" s="1"/>
  <c r="I7353" i="1" a="1"/>
  <c r="I7353" i="1" s="1"/>
  <c r="I7354" i="1" a="1"/>
  <c r="I7354" i="1" s="1"/>
  <c r="I7355" i="1" a="1"/>
  <c r="I7355" i="1" s="1"/>
  <c r="I7356" i="1" a="1"/>
  <c r="I7356" i="1" s="1"/>
  <c r="I7357" i="1" a="1"/>
  <c r="I7357" i="1" s="1"/>
  <c r="I7358" i="1" a="1"/>
  <c r="I7358" i="1" s="1"/>
  <c r="I7359" i="1" a="1"/>
  <c r="I7359" i="1" s="1"/>
  <c r="I7360" i="1" a="1"/>
  <c r="I7360" i="1" s="1"/>
  <c r="I7361" i="1" a="1"/>
  <c r="I7361" i="1" s="1"/>
  <c r="I7362" i="1" a="1"/>
  <c r="I7362" i="1" s="1"/>
  <c r="I7363" i="1" a="1"/>
  <c r="I7363" i="1" s="1"/>
  <c r="I7364" i="1" a="1"/>
  <c r="I7364" i="1" s="1"/>
  <c r="I7365" i="1" a="1"/>
  <c r="I7365" i="1" s="1"/>
  <c r="I7366" i="1" a="1"/>
  <c r="I7366" i="1" s="1"/>
  <c r="I7367" i="1" a="1"/>
  <c r="I7367" i="1" s="1"/>
  <c r="I7368" i="1" a="1"/>
  <c r="I7368" i="1" s="1"/>
  <c r="I7369" i="1" a="1"/>
  <c r="I7369" i="1" s="1"/>
  <c r="I7370" i="1" a="1"/>
  <c r="I7370" i="1" s="1"/>
  <c r="I7371" i="1" a="1"/>
  <c r="I7371" i="1" s="1"/>
  <c r="I7372" i="1" a="1"/>
  <c r="I7372" i="1" s="1"/>
  <c r="I7373" i="1" a="1"/>
  <c r="I7373" i="1" s="1"/>
  <c r="I7374" i="1" a="1"/>
  <c r="I7374" i="1" s="1"/>
  <c r="I7375" i="1" a="1"/>
  <c r="I7375" i="1" s="1"/>
  <c r="I7376" i="1" a="1"/>
  <c r="I7376" i="1" s="1"/>
  <c r="I7377" i="1" a="1"/>
  <c r="I7377" i="1" s="1"/>
  <c r="I7378" i="1" a="1"/>
  <c r="I7378" i="1" s="1"/>
  <c r="I7379" i="1" a="1"/>
  <c r="I7379" i="1" s="1"/>
  <c r="I7380" i="1" a="1"/>
  <c r="I7380" i="1" s="1"/>
  <c r="I7381" i="1" a="1"/>
  <c r="I7381" i="1" s="1"/>
  <c r="I7382" i="1" a="1"/>
  <c r="I7382" i="1" s="1"/>
  <c r="I7383" i="1" a="1"/>
  <c r="I7383" i="1" s="1"/>
  <c r="I7384" i="1" a="1"/>
  <c r="I7384" i="1" s="1"/>
  <c r="I7385" i="1" a="1"/>
  <c r="I7385" i="1" s="1"/>
  <c r="I7386" i="1" a="1"/>
  <c r="I7386" i="1" s="1"/>
  <c r="I7387" i="1" a="1"/>
  <c r="I7387" i="1" s="1"/>
  <c r="I7388" i="1" a="1"/>
  <c r="I7388" i="1" s="1"/>
  <c r="I7389" i="1" a="1"/>
  <c r="I7389" i="1" s="1"/>
  <c r="I7390" i="1" a="1"/>
  <c r="I7390" i="1" s="1"/>
  <c r="I7391" i="1" a="1"/>
  <c r="I7391" i="1" s="1"/>
  <c r="I7392" i="1" a="1"/>
  <c r="I7392" i="1" s="1"/>
  <c r="I7393" i="1" a="1"/>
  <c r="I7393" i="1" s="1"/>
  <c r="I7394" i="1" a="1"/>
  <c r="I7394" i="1" s="1"/>
  <c r="I7395" i="1" a="1"/>
  <c r="I7395" i="1" s="1"/>
  <c r="I7396" i="1" a="1"/>
  <c r="I7396" i="1" s="1"/>
  <c r="I7397" i="1" a="1"/>
  <c r="I7397" i="1" s="1"/>
  <c r="I7398" i="1" a="1"/>
  <c r="I7398" i="1" s="1"/>
  <c r="I7399" i="1" a="1"/>
  <c r="I7399" i="1" s="1"/>
  <c r="I7400" i="1" a="1"/>
  <c r="I7400" i="1" s="1"/>
  <c r="I7401" i="1" a="1"/>
  <c r="I7401" i="1" s="1"/>
  <c r="I7402" i="1" a="1"/>
  <c r="I7402" i="1" s="1"/>
  <c r="I7403" i="1" a="1"/>
  <c r="I7403" i="1" s="1"/>
  <c r="I7404" i="1" a="1"/>
  <c r="I7404" i="1" s="1"/>
  <c r="I7405" i="1" a="1"/>
  <c r="I7405" i="1" s="1"/>
  <c r="I7406" i="1" a="1"/>
  <c r="I7406" i="1" s="1"/>
  <c r="I7407" i="1" a="1"/>
  <c r="I7407" i="1" s="1"/>
  <c r="I7408" i="1" a="1"/>
  <c r="I7408" i="1" s="1"/>
  <c r="I7409" i="1" a="1"/>
  <c r="I7409" i="1" s="1"/>
  <c r="I7410" i="1" a="1"/>
  <c r="I7410" i="1" s="1"/>
  <c r="I7411" i="1" a="1"/>
  <c r="I7411" i="1" s="1"/>
  <c r="I7412" i="1" a="1"/>
  <c r="I7412" i="1" s="1"/>
  <c r="I7413" i="1" a="1"/>
  <c r="I7413" i="1" s="1"/>
  <c r="I7414" i="1" a="1"/>
  <c r="I7414" i="1" s="1"/>
  <c r="I7415" i="1" a="1"/>
  <c r="I7415" i="1" s="1"/>
  <c r="I7416" i="1" a="1"/>
  <c r="I7416" i="1" s="1"/>
  <c r="I7417" i="1" a="1"/>
  <c r="I7417" i="1" s="1"/>
  <c r="I7418" i="1" a="1"/>
  <c r="I7418" i="1" s="1"/>
  <c r="I7419" i="1" a="1"/>
  <c r="I7419" i="1" s="1"/>
  <c r="I7420" i="1" a="1"/>
  <c r="I7420" i="1" s="1"/>
  <c r="I7421" i="1" a="1"/>
  <c r="I7421" i="1" s="1"/>
  <c r="I7422" i="1" a="1"/>
  <c r="I7422" i="1" s="1"/>
  <c r="I7423" i="1" a="1"/>
  <c r="I7423" i="1" s="1"/>
  <c r="I7424" i="1" a="1"/>
  <c r="I7424" i="1" s="1"/>
  <c r="I7425" i="1" a="1"/>
  <c r="I7425" i="1" s="1"/>
  <c r="I7426" i="1" a="1"/>
  <c r="I7426" i="1" s="1"/>
  <c r="I7427" i="1" a="1"/>
  <c r="I7427" i="1" s="1"/>
  <c r="I7428" i="1" a="1"/>
  <c r="I7428" i="1" s="1"/>
  <c r="I7429" i="1" a="1"/>
  <c r="I7429" i="1" s="1"/>
  <c r="I7430" i="1" a="1"/>
  <c r="I7430" i="1" s="1"/>
  <c r="I7431" i="1" a="1"/>
  <c r="I7431" i="1" s="1"/>
  <c r="I7432" i="1" a="1"/>
  <c r="I7432" i="1" s="1"/>
  <c r="I7433" i="1" a="1"/>
  <c r="I7433" i="1" s="1"/>
  <c r="I7434" i="1" a="1"/>
  <c r="I7434" i="1" s="1"/>
  <c r="I7435" i="1" a="1"/>
  <c r="I7435" i="1" s="1"/>
  <c r="I7436" i="1" a="1"/>
  <c r="I7436" i="1" s="1"/>
  <c r="I7437" i="1" a="1"/>
  <c r="I7437" i="1" s="1"/>
  <c r="I7438" i="1" a="1"/>
  <c r="I7438" i="1" s="1"/>
  <c r="I7439" i="1" a="1"/>
  <c r="I7439" i="1" s="1"/>
  <c r="I7440" i="1" a="1"/>
  <c r="I7440" i="1" s="1"/>
  <c r="I7441" i="1" a="1"/>
  <c r="I7441" i="1" s="1"/>
  <c r="I7442" i="1" a="1"/>
  <c r="I7442" i="1" s="1"/>
  <c r="I7443" i="1" a="1"/>
  <c r="I7443" i="1" s="1"/>
  <c r="I7444" i="1" a="1"/>
  <c r="I7444" i="1" s="1"/>
  <c r="I7445" i="1" a="1"/>
  <c r="I7445" i="1" s="1"/>
  <c r="I7446" i="1" a="1"/>
  <c r="I7446" i="1" s="1"/>
  <c r="I7447" i="1" a="1"/>
  <c r="I7447" i="1" s="1"/>
  <c r="I7448" i="1" a="1"/>
  <c r="I7448" i="1" s="1"/>
  <c r="I7449" i="1" a="1"/>
  <c r="I7449" i="1" s="1"/>
  <c r="I7450" i="1" a="1"/>
  <c r="I7450" i="1" s="1"/>
  <c r="I7451" i="1" a="1"/>
  <c r="I7451" i="1" s="1"/>
  <c r="I7452" i="1" a="1"/>
  <c r="I7452" i="1" s="1"/>
  <c r="I7453" i="1" a="1"/>
  <c r="I7453" i="1" s="1"/>
  <c r="I7454" i="1" a="1"/>
  <c r="I7454" i="1" s="1"/>
  <c r="I7455" i="1" a="1"/>
  <c r="I7455" i="1" s="1"/>
  <c r="I7456" i="1" a="1"/>
  <c r="I7456" i="1" s="1"/>
  <c r="I7457" i="1" a="1"/>
  <c r="I7457" i="1" s="1"/>
  <c r="I7458" i="1" a="1"/>
  <c r="I7458" i="1" s="1"/>
  <c r="I7459" i="1" a="1"/>
  <c r="I7459" i="1" s="1"/>
  <c r="I7460" i="1" a="1"/>
  <c r="I7460" i="1" s="1"/>
  <c r="I7461" i="1" a="1"/>
  <c r="I7461" i="1" s="1"/>
  <c r="I7462" i="1" a="1"/>
  <c r="I7462" i="1" s="1"/>
  <c r="I7463" i="1" a="1"/>
  <c r="I7463" i="1" s="1"/>
  <c r="I7464" i="1" a="1"/>
  <c r="I7464" i="1" s="1"/>
  <c r="I7465" i="1" a="1"/>
  <c r="I7465" i="1" s="1"/>
  <c r="I7466" i="1" a="1"/>
  <c r="I7466" i="1" s="1"/>
  <c r="I7467" i="1" a="1"/>
  <c r="I7467" i="1" s="1"/>
  <c r="I7468" i="1" a="1"/>
  <c r="I7468" i="1" s="1"/>
  <c r="I7469" i="1" a="1"/>
  <c r="I7469" i="1" s="1"/>
  <c r="I7470" i="1" a="1"/>
  <c r="I7470" i="1" s="1"/>
  <c r="I7471" i="1" a="1"/>
  <c r="I7471" i="1" s="1"/>
  <c r="I7472" i="1" a="1"/>
  <c r="I7472" i="1" s="1"/>
  <c r="I7473" i="1" a="1"/>
  <c r="I7473" i="1" s="1"/>
  <c r="I7474" i="1" a="1"/>
  <c r="I7474" i="1" s="1"/>
  <c r="I7475" i="1" a="1"/>
  <c r="I7475" i="1" s="1"/>
  <c r="I7476" i="1" a="1"/>
  <c r="I7476" i="1" s="1"/>
  <c r="I7477" i="1" a="1"/>
  <c r="I7477" i="1" s="1"/>
  <c r="I7478" i="1" a="1"/>
  <c r="I7478" i="1" s="1"/>
  <c r="I7479" i="1" a="1"/>
  <c r="I7479" i="1" s="1"/>
  <c r="I7480" i="1" a="1"/>
  <c r="I7480" i="1" s="1"/>
  <c r="I7481" i="1" a="1"/>
  <c r="I7481" i="1" s="1"/>
  <c r="I7482" i="1" a="1"/>
  <c r="I7482" i="1" s="1"/>
  <c r="I7483" i="1" a="1"/>
  <c r="I7483" i="1" s="1"/>
  <c r="I7484" i="1" a="1"/>
  <c r="I7484" i="1" s="1"/>
  <c r="I7485" i="1" a="1"/>
  <c r="I7485" i="1" s="1"/>
  <c r="I7486" i="1" a="1"/>
  <c r="I7486" i="1" s="1"/>
  <c r="I7487" i="1" a="1"/>
  <c r="I7487" i="1" s="1"/>
  <c r="I7488" i="1" a="1"/>
  <c r="I7488" i="1" s="1"/>
  <c r="I7489" i="1" a="1"/>
  <c r="I7489" i="1" s="1"/>
  <c r="I7490" i="1" a="1"/>
  <c r="I7490" i="1" s="1"/>
  <c r="I7491" i="1" a="1"/>
  <c r="I7491" i="1" s="1"/>
  <c r="I7492" i="1" a="1"/>
  <c r="I7492" i="1" s="1"/>
  <c r="I7493" i="1" a="1"/>
  <c r="I7493" i="1" s="1"/>
  <c r="I7494" i="1" a="1"/>
  <c r="I7494" i="1" s="1"/>
  <c r="I7495" i="1" a="1"/>
  <c r="I7495" i="1" s="1"/>
  <c r="I7496" i="1" a="1"/>
  <c r="I7496" i="1" s="1"/>
  <c r="I7497" i="1" a="1"/>
  <c r="I7497" i="1" s="1"/>
  <c r="I7498" i="1" a="1"/>
  <c r="I7498" i="1" s="1"/>
  <c r="I7499" i="1" a="1"/>
  <c r="I7499" i="1" s="1"/>
  <c r="I7500" i="1" a="1"/>
  <c r="I7500" i="1" s="1"/>
  <c r="I7501" i="1" a="1"/>
  <c r="I7501" i="1" s="1"/>
  <c r="I7502" i="1" a="1"/>
  <c r="I7502" i="1" s="1"/>
  <c r="I7503" i="1" a="1"/>
  <c r="I7503" i="1" s="1"/>
  <c r="I7504" i="1" a="1"/>
  <c r="I7504" i="1" s="1"/>
  <c r="I7505" i="1" a="1"/>
  <c r="I7505" i="1" s="1"/>
  <c r="I7506" i="1" a="1"/>
  <c r="I7506" i="1" s="1"/>
  <c r="I7507" i="1" a="1"/>
  <c r="I7507" i="1" s="1"/>
  <c r="I7508" i="1" a="1"/>
  <c r="I7508" i="1" s="1"/>
  <c r="I7509" i="1" a="1"/>
  <c r="I7509" i="1" s="1"/>
  <c r="I7510" i="1" a="1"/>
  <c r="I7510" i="1" s="1"/>
  <c r="I7511" i="1" a="1"/>
  <c r="I7511" i="1" s="1"/>
  <c r="I7512" i="1" a="1"/>
  <c r="I7512" i="1" s="1"/>
  <c r="I7513" i="1" a="1"/>
  <c r="I7513" i="1" s="1"/>
  <c r="I7514" i="1" a="1"/>
  <c r="I7514" i="1" s="1"/>
  <c r="I7515" i="1" a="1"/>
  <c r="I7515" i="1" s="1"/>
  <c r="I7516" i="1" a="1"/>
  <c r="I7516" i="1" s="1"/>
  <c r="I7517" i="1" a="1"/>
  <c r="I7517" i="1" s="1"/>
  <c r="I7518" i="1" a="1"/>
  <c r="I7518" i="1" s="1"/>
  <c r="I7519" i="1" a="1"/>
  <c r="I7519" i="1" s="1"/>
  <c r="I7520" i="1" a="1"/>
  <c r="I7520" i="1" s="1"/>
  <c r="I7521" i="1" a="1"/>
  <c r="I7521" i="1" s="1"/>
  <c r="I7522" i="1" a="1"/>
  <c r="I7522" i="1" s="1"/>
  <c r="I7523" i="1" a="1"/>
  <c r="I7523" i="1" s="1"/>
  <c r="I7524" i="1" a="1"/>
  <c r="I7524" i="1" s="1"/>
  <c r="I7525" i="1" a="1"/>
  <c r="I7525" i="1" s="1"/>
  <c r="I7526" i="1" a="1"/>
  <c r="I7526" i="1" s="1"/>
  <c r="I7527" i="1" a="1"/>
  <c r="I7527" i="1" s="1"/>
  <c r="I7528" i="1" a="1"/>
  <c r="I7528" i="1" s="1"/>
  <c r="I7529" i="1" a="1"/>
  <c r="I7529" i="1" s="1"/>
  <c r="I7530" i="1" a="1"/>
  <c r="I7530" i="1" s="1"/>
  <c r="I7531" i="1" a="1"/>
  <c r="I7531" i="1" s="1"/>
  <c r="I7532" i="1" a="1"/>
  <c r="I7532" i="1" s="1"/>
  <c r="I7533" i="1" a="1"/>
  <c r="I7533" i="1" s="1"/>
  <c r="I7534" i="1" a="1"/>
  <c r="I7534" i="1" s="1"/>
  <c r="I7535" i="1" a="1"/>
  <c r="I7535" i="1" s="1"/>
  <c r="I7536" i="1" a="1"/>
  <c r="I7536" i="1" s="1"/>
  <c r="I7537" i="1" a="1"/>
  <c r="I7537" i="1" s="1"/>
  <c r="I7538" i="1" a="1"/>
  <c r="I7538" i="1" s="1"/>
  <c r="I7539" i="1" a="1"/>
  <c r="I7539" i="1" s="1"/>
  <c r="I7540" i="1" a="1"/>
  <c r="I7540" i="1" s="1"/>
  <c r="I7541" i="1" a="1"/>
  <c r="I7541" i="1" s="1"/>
  <c r="I7542" i="1" a="1"/>
  <c r="I7542" i="1" s="1"/>
  <c r="I7543" i="1" a="1"/>
  <c r="I7543" i="1" s="1"/>
  <c r="I7544" i="1" a="1"/>
  <c r="I7544" i="1" s="1"/>
  <c r="I7545" i="1" a="1"/>
  <c r="I7545" i="1" s="1"/>
  <c r="I7546" i="1" a="1"/>
  <c r="I7546" i="1" s="1"/>
  <c r="I7547" i="1" a="1"/>
  <c r="I7547" i="1" s="1"/>
  <c r="I7548" i="1" a="1"/>
  <c r="I7548" i="1" s="1"/>
  <c r="I7549" i="1" a="1"/>
  <c r="I7549" i="1" s="1"/>
  <c r="I7550" i="1" a="1"/>
  <c r="I7550" i="1" s="1"/>
  <c r="I7551" i="1" a="1"/>
  <c r="I7551" i="1" s="1"/>
  <c r="I7552" i="1" a="1"/>
  <c r="I7552" i="1" s="1"/>
  <c r="I7553" i="1" a="1"/>
  <c r="I7553" i="1" s="1"/>
  <c r="I7554" i="1" a="1"/>
  <c r="I7554" i="1" s="1"/>
  <c r="I7555" i="1" a="1"/>
  <c r="I7555" i="1" s="1"/>
  <c r="I7556" i="1" a="1"/>
  <c r="I7556" i="1" s="1"/>
  <c r="I7557" i="1" a="1"/>
  <c r="I7557" i="1" s="1"/>
  <c r="I7558" i="1" a="1"/>
  <c r="I7558" i="1" s="1"/>
  <c r="I7559" i="1" a="1"/>
  <c r="I7559" i="1" s="1"/>
  <c r="I7560" i="1" a="1"/>
  <c r="I7560" i="1" s="1"/>
  <c r="I7561" i="1" a="1"/>
  <c r="I7561" i="1" s="1"/>
  <c r="I7562" i="1" a="1"/>
  <c r="I7562" i="1" s="1"/>
  <c r="I7563" i="1" a="1"/>
  <c r="I7563" i="1" s="1"/>
  <c r="I7564" i="1" a="1"/>
  <c r="I7564" i="1" s="1"/>
  <c r="I7565" i="1" a="1"/>
  <c r="I7565" i="1" s="1"/>
  <c r="I7566" i="1" a="1"/>
  <c r="I7566" i="1" s="1"/>
  <c r="I7567" i="1" a="1"/>
  <c r="I7567" i="1" s="1"/>
  <c r="I7568" i="1" a="1"/>
  <c r="I7568" i="1" s="1"/>
  <c r="I7569" i="1" a="1"/>
  <c r="I7569" i="1" s="1"/>
  <c r="I7570" i="1" a="1"/>
  <c r="I7570" i="1" s="1"/>
  <c r="I7571" i="1" a="1"/>
  <c r="I7571" i="1" s="1"/>
  <c r="I7572" i="1" a="1"/>
  <c r="I7572" i="1" s="1"/>
  <c r="I7573" i="1" a="1"/>
  <c r="I7573" i="1" s="1"/>
  <c r="I7574" i="1" a="1"/>
  <c r="I7574" i="1" s="1"/>
  <c r="I7575" i="1" a="1"/>
  <c r="I7575" i="1" s="1"/>
  <c r="I7576" i="1" a="1"/>
  <c r="I7576" i="1" s="1"/>
  <c r="I7577" i="1" a="1"/>
  <c r="I7577" i="1" s="1"/>
  <c r="I7578" i="1" a="1"/>
  <c r="I7578" i="1" s="1"/>
  <c r="I7579" i="1" a="1"/>
  <c r="I7579" i="1" s="1"/>
  <c r="I7580" i="1" a="1"/>
  <c r="I7580" i="1" s="1"/>
  <c r="I7581" i="1" a="1"/>
  <c r="I7581" i="1" s="1"/>
  <c r="I7582" i="1" a="1"/>
  <c r="I7582" i="1" s="1"/>
  <c r="I7583" i="1" a="1"/>
  <c r="I7583" i="1" s="1"/>
  <c r="I7584" i="1" a="1"/>
  <c r="I7584" i="1" s="1"/>
  <c r="I7585" i="1" a="1"/>
  <c r="I7585" i="1" s="1"/>
  <c r="I7586" i="1" a="1"/>
  <c r="I7586" i="1" s="1"/>
  <c r="I7587" i="1" a="1"/>
  <c r="I7587" i="1" s="1"/>
  <c r="I7588" i="1" a="1"/>
  <c r="I7588" i="1" s="1"/>
  <c r="I7589" i="1" a="1"/>
  <c r="I7589" i="1" s="1"/>
  <c r="I7590" i="1" a="1"/>
  <c r="I7590" i="1" s="1"/>
  <c r="I7591" i="1" a="1"/>
  <c r="I7591" i="1" s="1"/>
  <c r="I7592" i="1" a="1"/>
  <c r="I7592" i="1" s="1"/>
  <c r="I7593" i="1" a="1"/>
  <c r="I7593" i="1" s="1"/>
  <c r="I7594" i="1" a="1"/>
  <c r="I7594" i="1" s="1"/>
  <c r="I7595" i="1" a="1"/>
  <c r="I7595" i="1" s="1"/>
  <c r="I7596" i="1" a="1"/>
  <c r="I7596" i="1" s="1"/>
  <c r="I7597" i="1" a="1"/>
  <c r="I7597" i="1" s="1"/>
  <c r="I7598" i="1" a="1"/>
  <c r="I7598" i="1" s="1"/>
  <c r="I7599" i="1" a="1"/>
  <c r="I7599" i="1" s="1"/>
  <c r="I7600" i="1" a="1"/>
  <c r="I7600" i="1" s="1"/>
  <c r="I7601" i="1" a="1"/>
  <c r="I7601" i="1" s="1"/>
  <c r="I7602" i="1" a="1"/>
  <c r="I7602" i="1" s="1"/>
  <c r="I7603" i="1" a="1"/>
  <c r="I7603" i="1" s="1"/>
  <c r="I7604" i="1" a="1"/>
  <c r="I7604" i="1" s="1"/>
  <c r="I7605" i="1" a="1"/>
  <c r="I7605" i="1" s="1"/>
  <c r="I7606" i="1" a="1"/>
  <c r="I7606" i="1" s="1"/>
  <c r="I7607" i="1" a="1"/>
  <c r="I7607" i="1" s="1"/>
  <c r="I7608" i="1" a="1"/>
  <c r="I7608" i="1" s="1"/>
  <c r="I7609" i="1" a="1"/>
  <c r="I7609" i="1" s="1"/>
  <c r="I7610" i="1" a="1"/>
  <c r="I7610" i="1" s="1"/>
  <c r="I7611" i="1" a="1"/>
  <c r="I7611" i="1" s="1"/>
  <c r="I7612" i="1" a="1"/>
  <c r="I7612" i="1" s="1"/>
  <c r="I7613" i="1" a="1"/>
  <c r="I7613" i="1" s="1"/>
  <c r="I7614" i="1" a="1"/>
  <c r="I7614" i="1" s="1"/>
  <c r="I7615" i="1" a="1"/>
  <c r="I7615" i="1" s="1"/>
  <c r="I7616" i="1" a="1"/>
  <c r="I7616" i="1" s="1"/>
  <c r="I7617" i="1" a="1"/>
  <c r="I7617" i="1" s="1"/>
  <c r="I7618" i="1" a="1"/>
  <c r="I7618" i="1" s="1"/>
  <c r="I7619" i="1" a="1"/>
  <c r="I7619" i="1" s="1"/>
  <c r="I7620" i="1" a="1"/>
  <c r="I7620" i="1" s="1"/>
  <c r="I7621" i="1" a="1"/>
  <c r="I7621" i="1" s="1"/>
  <c r="I7622" i="1" a="1"/>
  <c r="I7622" i="1" s="1"/>
  <c r="I7623" i="1" a="1"/>
  <c r="I7623" i="1" s="1"/>
  <c r="I7624" i="1" a="1"/>
  <c r="I7624" i="1" s="1"/>
  <c r="I7625" i="1" a="1"/>
  <c r="I7625" i="1" s="1"/>
  <c r="I7626" i="1" a="1"/>
  <c r="I7626" i="1" s="1"/>
  <c r="I7627" i="1" a="1"/>
  <c r="I7627" i="1" s="1"/>
  <c r="I7628" i="1" a="1"/>
  <c r="I7628" i="1" s="1"/>
  <c r="I7629" i="1" a="1"/>
  <c r="I7629" i="1" s="1"/>
  <c r="I7630" i="1" a="1"/>
  <c r="I7630" i="1" s="1"/>
  <c r="I7631" i="1" a="1"/>
  <c r="I7631" i="1" s="1"/>
  <c r="I7632" i="1" a="1"/>
  <c r="I7632" i="1" s="1"/>
  <c r="I7633" i="1" a="1"/>
  <c r="I7633" i="1" s="1"/>
  <c r="I7634" i="1" a="1"/>
  <c r="I7634" i="1" s="1"/>
  <c r="I7635" i="1" a="1"/>
  <c r="I7635" i="1" s="1"/>
  <c r="I7636" i="1" a="1"/>
  <c r="I7636" i="1" s="1"/>
  <c r="I7637" i="1" a="1"/>
  <c r="I7637" i="1" s="1"/>
  <c r="I7638" i="1" a="1"/>
  <c r="I7638" i="1" s="1"/>
  <c r="I7639" i="1" a="1"/>
  <c r="I7639" i="1" s="1"/>
  <c r="I7640" i="1" a="1"/>
  <c r="I7640" i="1" s="1"/>
  <c r="I7641" i="1" a="1"/>
  <c r="I7641" i="1" s="1"/>
  <c r="I7642" i="1" a="1"/>
  <c r="I7642" i="1" s="1"/>
  <c r="I7643" i="1" a="1"/>
  <c r="I7643" i="1" s="1"/>
  <c r="I7644" i="1" a="1"/>
  <c r="I7644" i="1" s="1"/>
  <c r="I7645" i="1" a="1"/>
  <c r="I7645" i="1" s="1"/>
  <c r="I7646" i="1" a="1"/>
  <c r="I7646" i="1" s="1"/>
  <c r="I7647" i="1" a="1"/>
  <c r="I7647" i="1" s="1"/>
  <c r="I7648" i="1" a="1"/>
  <c r="I7648" i="1" s="1"/>
  <c r="I7649" i="1" a="1"/>
  <c r="I7649" i="1" s="1"/>
  <c r="I7650" i="1" a="1"/>
  <c r="I7650" i="1" s="1"/>
  <c r="I7651" i="1" a="1"/>
  <c r="I7651" i="1" s="1"/>
  <c r="I7652" i="1" a="1"/>
  <c r="I7652" i="1" s="1"/>
  <c r="I7653" i="1" a="1"/>
  <c r="I7653" i="1" s="1"/>
  <c r="I7654" i="1" a="1"/>
  <c r="I7654" i="1" s="1"/>
  <c r="I7655" i="1" a="1"/>
  <c r="I7655" i="1" s="1"/>
  <c r="I7656" i="1" a="1"/>
  <c r="I7656" i="1" s="1"/>
  <c r="I7657" i="1" a="1"/>
  <c r="I7657" i="1" s="1"/>
  <c r="I7658" i="1" a="1"/>
  <c r="I7658" i="1" s="1"/>
  <c r="I7659" i="1" a="1"/>
  <c r="I7659" i="1" s="1"/>
  <c r="I7660" i="1" a="1"/>
  <c r="I7660" i="1" s="1"/>
  <c r="I7661" i="1" a="1"/>
  <c r="I7661" i="1" s="1"/>
  <c r="I7662" i="1" a="1"/>
  <c r="I7662" i="1" s="1"/>
  <c r="I7663" i="1" a="1"/>
  <c r="I7663" i="1" s="1"/>
  <c r="I7664" i="1" a="1"/>
  <c r="I7664" i="1" s="1"/>
  <c r="I7665" i="1" a="1"/>
  <c r="I7665" i="1" s="1"/>
  <c r="I7666" i="1" a="1"/>
  <c r="I7666" i="1" s="1"/>
  <c r="I7667" i="1" a="1"/>
  <c r="I7667" i="1" s="1"/>
  <c r="I7668" i="1" a="1"/>
  <c r="I7668" i="1" s="1"/>
  <c r="I7669" i="1" a="1"/>
  <c r="I7669" i="1" s="1"/>
  <c r="I7670" i="1" a="1"/>
  <c r="I7670" i="1" s="1"/>
  <c r="I7671" i="1" a="1"/>
  <c r="I7671" i="1" s="1"/>
  <c r="I7672" i="1" a="1"/>
  <c r="I7672" i="1" s="1"/>
  <c r="I7673" i="1" a="1"/>
  <c r="I7673" i="1" s="1"/>
  <c r="I7674" i="1" a="1"/>
  <c r="I7674" i="1" s="1"/>
  <c r="I7675" i="1" a="1"/>
  <c r="I7675" i="1" s="1"/>
  <c r="I7676" i="1" a="1"/>
  <c r="I7676" i="1" s="1"/>
  <c r="I7677" i="1" a="1"/>
  <c r="I7677" i="1" s="1"/>
  <c r="I7678" i="1" a="1"/>
  <c r="I7678" i="1" s="1"/>
  <c r="I7679" i="1" a="1"/>
  <c r="I7679" i="1" s="1"/>
  <c r="I7680" i="1" a="1"/>
  <c r="I7680" i="1" s="1"/>
  <c r="I7681" i="1" a="1"/>
  <c r="I7681" i="1" s="1"/>
  <c r="I7682" i="1" a="1"/>
  <c r="I7682" i="1" s="1"/>
  <c r="I7683" i="1" a="1"/>
  <c r="I7683" i="1" s="1"/>
  <c r="I7684" i="1" a="1"/>
  <c r="I7684" i="1" s="1"/>
  <c r="I7685" i="1" a="1"/>
  <c r="I7685" i="1" s="1"/>
  <c r="I7686" i="1" a="1"/>
  <c r="I7686" i="1" s="1"/>
  <c r="I7687" i="1" a="1"/>
  <c r="I7687" i="1" s="1"/>
  <c r="I7688" i="1" a="1"/>
  <c r="I7688" i="1" s="1"/>
  <c r="I7689" i="1" a="1"/>
  <c r="I7689" i="1" s="1"/>
  <c r="I7690" i="1" a="1"/>
  <c r="I7690" i="1" s="1"/>
  <c r="I7691" i="1" a="1"/>
  <c r="I7691" i="1" s="1"/>
  <c r="I7692" i="1" a="1"/>
  <c r="I7692" i="1" s="1"/>
  <c r="I7693" i="1" a="1"/>
  <c r="I7693" i="1" s="1"/>
  <c r="I7694" i="1" a="1"/>
  <c r="I7694" i="1" s="1"/>
  <c r="I7695" i="1" a="1"/>
  <c r="I7695" i="1" s="1"/>
  <c r="I7696" i="1" a="1"/>
  <c r="I7696" i="1" s="1"/>
  <c r="I7697" i="1" a="1"/>
  <c r="I7697" i="1" s="1"/>
  <c r="I7698" i="1" a="1"/>
  <c r="I7698" i="1" s="1"/>
  <c r="I7699" i="1" a="1"/>
  <c r="I7699" i="1" s="1"/>
  <c r="I7700" i="1" a="1"/>
  <c r="I7700" i="1" s="1"/>
  <c r="I7701" i="1" a="1"/>
  <c r="I7701" i="1" s="1"/>
  <c r="I7702" i="1" a="1"/>
  <c r="I7702" i="1" s="1"/>
  <c r="I7703" i="1" a="1"/>
  <c r="I7703" i="1" s="1"/>
  <c r="I7704" i="1" a="1"/>
  <c r="I7704" i="1" s="1"/>
  <c r="I7705" i="1" a="1"/>
  <c r="I7705" i="1" s="1"/>
  <c r="I7706" i="1" a="1"/>
  <c r="I7706" i="1" s="1"/>
  <c r="I7707" i="1" a="1"/>
  <c r="I7707" i="1" s="1"/>
  <c r="I7708" i="1" a="1"/>
  <c r="I7708" i="1" s="1"/>
  <c r="I7709" i="1" a="1"/>
  <c r="I7709" i="1" s="1"/>
  <c r="I7710" i="1" a="1"/>
  <c r="I7710" i="1" s="1"/>
  <c r="I7711" i="1" a="1"/>
  <c r="I7711" i="1" s="1"/>
  <c r="I7712" i="1" a="1"/>
  <c r="I7712" i="1" s="1"/>
  <c r="I7713" i="1" a="1"/>
  <c r="I7713" i="1" s="1"/>
  <c r="I7714" i="1" a="1"/>
  <c r="I7714" i="1" s="1"/>
  <c r="I7715" i="1" a="1"/>
  <c r="I7715" i="1" s="1"/>
  <c r="I7716" i="1" a="1"/>
  <c r="I7716" i="1" s="1"/>
  <c r="I7717" i="1" a="1"/>
  <c r="I7717" i="1" s="1"/>
  <c r="I7718" i="1" a="1"/>
  <c r="I7718" i="1" s="1"/>
  <c r="I7719" i="1" a="1"/>
  <c r="I7719" i="1" s="1"/>
  <c r="I7720" i="1" a="1"/>
  <c r="I7720" i="1" s="1"/>
  <c r="I7721" i="1" a="1"/>
  <c r="I7721" i="1" s="1"/>
  <c r="I7722" i="1" a="1"/>
  <c r="I7722" i="1" s="1"/>
  <c r="I7723" i="1" a="1"/>
  <c r="I7723" i="1" s="1"/>
  <c r="I7724" i="1" a="1"/>
  <c r="I7724" i="1" s="1"/>
  <c r="I7725" i="1" a="1"/>
  <c r="I7725" i="1" s="1"/>
  <c r="I7726" i="1" a="1"/>
  <c r="I7726" i="1" s="1"/>
  <c r="I7727" i="1" a="1"/>
  <c r="I7727" i="1" s="1"/>
  <c r="I7728" i="1" a="1"/>
  <c r="I7728" i="1" s="1"/>
  <c r="I7729" i="1" a="1"/>
  <c r="I7729" i="1" s="1"/>
  <c r="I7730" i="1" a="1"/>
  <c r="I7730" i="1" s="1"/>
  <c r="I7731" i="1" a="1"/>
  <c r="I7731" i="1" s="1"/>
  <c r="I7732" i="1" a="1"/>
  <c r="I7732" i="1" s="1"/>
  <c r="I7733" i="1" a="1"/>
  <c r="I7733" i="1" s="1"/>
  <c r="I7734" i="1" a="1"/>
  <c r="I7734" i="1" s="1"/>
  <c r="I7735" i="1" a="1"/>
  <c r="I7735" i="1" s="1"/>
  <c r="I7736" i="1" a="1"/>
  <c r="I7736" i="1" s="1"/>
  <c r="I7737" i="1" a="1"/>
  <c r="I7737" i="1" s="1"/>
  <c r="I7738" i="1" a="1"/>
  <c r="I7738" i="1" s="1"/>
  <c r="I7739" i="1" a="1"/>
  <c r="I7739" i="1" s="1"/>
  <c r="I7740" i="1" a="1"/>
  <c r="I7740" i="1" s="1"/>
  <c r="I7741" i="1" a="1"/>
  <c r="I7741" i="1" s="1"/>
  <c r="I7742" i="1" a="1"/>
  <c r="I7742" i="1" s="1"/>
  <c r="I7743" i="1" a="1"/>
  <c r="I7743" i="1" s="1"/>
  <c r="I7744" i="1" a="1"/>
  <c r="I7744" i="1" s="1"/>
  <c r="I7745" i="1" a="1"/>
  <c r="I7745" i="1" s="1"/>
  <c r="I7746" i="1" a="1"/>
  <c r="I7746" i="1" s="1"/>
  <c r="I7747" i="1" a="1"/>
  <c r="I7747" i="1" s="1"/>
  <c r="I7748" i="1" a="1"/>
  <c r="I7748" i="1" s="1"/>
  <c r="I7749" i="1" a="1"/>
  <c r="I7749" i="1" s="1"/>
  <c r="I7750" i="1" a="1"/>
  <c r="I7750" i="1" s="1"/>
  <c r="I7751" i="1" a="1"/>
  <c r="I7751" i="1" s="1"/>
  <c r="I7752" i="1" a="1"/>
  <c r="I7752" i="1" s="1"/>
  <c r="I7753" i="1" a="1"/>
  <c r="I7753" i="1" s="1"/>
  <c r="I7754" i="1" a="1"/>
  <c r="I7754" i="1" s="1"/>
  <c r="I7755" i="1" a="1"/>
  <c r="I7755" i="1" s="1"/>
  <c r="I7756" i="1" a="1"/>
  <c r="I7756" i="1" s="1"/>
  <c r="I7757" i="1" a="1"/>
  <c r="I7757" i="1" s="1"/>
  <c r="I7758" i="1" a="1"/>
  <c r="I7758" i="1" s="1"/>
  <c r="I7759" i="1" a="1"/>
  <c r="I7759" i="1" s="1"/>
  <c r="I7760" i="1" a="1"/>
  <c r="I7760" i="1" s="1"/>
  <c r="I7761" i="1" a="1"/>
  <c r="I7761" i="1" s="1"/>
  <c r="I7762" i="1" a="1"/>
  <c r="I7762" i="1" s="1"/>
  <c r="I7763" i="1" a="1"/>
  <c r="I7763" i="1" s="1"/>
  <c r="I7764" i="1" a="1"/>
  <c r="I7764" i="1" s="1"/>
  <c r="I7765" i="1" a="1"/>
  <c r="I7765" i="1" s="1"/>
  <c r="I7766" i="1" a="1"/>
  <c r="I7766" i="1" s="1"/>
  <c r="I7767" i="1" a="1"/>
  <c r="I7767" i="1" s="1"/>
  <c r="I7768" i="1" a="1"/>
  <c r="I7768" i="1" s="1"/>
  <c r="I7769" i="1" a="1"/>
  <c r="I7769" i="1" s="1"/>
  <c r="I7770" i="1" a="1"/>
  <c r="I7770" i="1" s="1"/>
  <c r="I7771" i="1" a="1"/>
  <c r="I7771" i="1" s="1"/>
  <c r="I7772" i="1" a="1"/>
  <c r="I7772" i="1" s="1"/>
  <c r="I7773" i="1" a="1"/>
  <c r="I7773" i="1" s="1"/>
  <c r="I7774" i="1" a="1"/>
  <c r="I7774" i="1" s="1"/>
  <c r="I7775" i="1" a="1"/>
  <c r="I7775" i="1" s="1"/>
  <c r="I7776" i="1" a="1"/>
  <c r="I7776" i="1" s="1"/>
  <c r="I7777" i="1" a="1"/>
  <c r="I7777" i="1" s="1"/>
  <c r="I7778" i="1" a="1"/>
  <c r="I7778" i="1" s="1"/>
  <c r="I7779" i="1" a="1"/>
  <c r="I7779" i="1" s="1"/>
  <c r="I7780" i="1" a="1"/>
  <c r="I7780" i="1" s="1"/>
  <c r="I7781" i="1" a="1"/>
  <c r="I7781" i="1" s="1"/>
  <c r="I7782" i="1" a="1"/>
  <c r="I7782" i="1" s="1"/>
  <c r="I7783" i="1" a="1"/>
  <c r="I7783" i="1" s="1"/>
  <c r="I7784" i="1" a="1"/>
  <c r="I7784" i="1" s="1"/>
  <c r="I7785" i="1" a="1"/>
  <c r="I7785" i="1" s="1"/>
  <c r="I7786" i="1" a="1"/>
  <c r="I7786" i="1" s="1"/>
  <c r="I7787" i="1" a="1"/>
  <c r="I7787" i="1" s="1"/>
  <c r="I7788" i="1" a="1"/>
  <c r="I7788" i="1" s="1"/>
  <c r="I7789" i="1" a="1"/>
  <c r="I7789" i="1" s="1"/>
  <c r="I7790" i="1" a="1"/>
  <c r="I7790" i="1" s="1"/>
  <c r="I7791" i="1" a="1"/>
  <c r="I7791" i="1" s="1"/>
  <c r="I7792" i="1" a="1"/>
  <c r="I7792" i="1" s="1"/>
  <c r="I7793" i="1" a="1"/>
  <c r="I7793" i="1" s="1"/>
  <c r="I7794" i="1" a="1"/>
  <c r="I7794" i="1" s="1"/>
  <c r="I7795" i="1" a="1"/>
  <c r="I7795" i="1" s="1"/>
  <c r="I7796" i="1" a="1"/>
  <c r="I7796" i="1" s="1"/>
  <c r="I7797" i="1" a="1"/>
  <c r="I7797" i="1" s="1"/>
  <c r="I7798" i="1" a="1"/>
  <c r="I7798" i="1" s="1"/>
  <c r="I7799" i="1" a="1"/>
  <c r="I7799" i="1" s="1"/>
  <c r="I7800" i="1" a="1"/>
  <c r="I7800" i="1" s="1"/>
  <c r="I7801" i="1" a="1"/>
  <c r="I7801" i="1" s="1"/>
  <c r="I7802" i="1" a="1"/>
  <c r="I7802" i="1" s="1"/>
  <c r="I7803" i="1" a="1"/>
  <c r="I7803" i="1" s="1"/>
  <c r="I7804" i="1" a="1"/>
  <c r="I7804" i="1" s="1"/>
  <c r="I7805" i="1" a="1"/>
  <c r="I7805" i="1" s="1"/>
  <c r="I7806" i="1" a="1"/>
  <c r="I7806" i="1" s="1"/>
  <c r="I7807" i="1" a="1"/>
  <c r="I7807" i="1" s="1"/>
  <c r="I7808" i="1" a="1"/>
  <c r="I7808" i="1" s="1"/>
  <c r="I7809" i="1" a="1"/>
  <c r="I7809" i="1" s="1"/>
  <c r="I7810" i="1" a="1"/>
  <c r="I7810" i="1" s="1"/>
  <c r="I7811" i="1" a="1"/>
  <c r="I7811" i="1" s="1"/>
  <c r="I7812" i="1" a="1"/>
  <c r="I7812" i="1" s="1"/>
  <c r="I7813" i="1" a="1"/>
  <c r="I7813" i="1" s="1"/>
  <c r="I7814" i="1" a="1"/>
  <c r="I7814" i="1" s="1"/>
  <c r="I7815" i="1" a="1"/>
  <c r="I7815" i="1" s="1"/>
  <c r="I7816" i="1" a="1"/>
  <c r="I7816" i="1" s="1"/>
  <c r="I7817" i="1" a="1"/>
  <c r="I7817" i="1" s="1"/>
  <c r="I7818" i="1" a="1"/>
  <c r="I7818" i="1" s="1"/>
  <c r="I7819" i="1" a="1"/>
  <c r="I7819" i="1" s="1"/>
  <c r="I7820" i="1" a="1"/>
  <c r="I7820" i="1" s="1"/>
  <c r="I7821" i="1" a="1"/>
  <c r="I7821" i="1" s="1"/>
  <c r="I7822" i="1" a="1"/>
  <c r="I7822" i="1" s="1"/>
  <c r="I7823" i="1" a="1"/>
  <c r="I7823" i="1" s="1"/>
  <c r="I7824" i="1" a="1"/>
  <c r="I7824" i="1" s="1"/>
  <c r="I7825" i="1" a="1"/>
  <c r="I7825" i="1" s="1"/>
  <c r="I7826" i="1" a="1"/>
  <c r="I7826" i="1" s="1"/>
  <c r="I7827" i="1" a="1"/>
  <c r="I7827" i="1" s="1"/>
  <c r="I7828" i="1" a="1"/>
  <c r="I7828" i="1" s="1"/>
  <c r="I7829" i="1" a="1"/>
  <c r="I7829" i="1" s="1"/>
  <c r="I7830" i="1" a="1"/>
  <c r="I7830" i="1" s="1"/>
  <c r="I7831" i="1" a="1"/>
  <c r="I7831" i="1" s="1"/>
  <c r="I7832" i="1" a="1"/>
  <c r="I7832" i="1" s="1"/>
  <c r="I7833" i="1" a="1"/>
  <c r="I7833" i="1" s="1"/>
  <c r="I7834" i="1" a="1"/>
  <c r="I7834" i="1" s="1"/>
  <c r="I7835" i="1" a="1"/>
  <c r="I7835" i="1" s="1"/>
  <c r="I7836" i="1" a="1"/>
  <c r="I7836" i="1" s="1"/>
  <c r="I7837" i="1" a="1"/>
  <c r="I7837" i="1" s="1"/>
  <c r="I7838" i="1" a="1"/>
  <c r="I7838" i="1" s="1"/>
  <c r="I7839" i="1" a="1"/>
  <c r="I7839" i="1" s="1"/>
  <c r="I7840" i="1" a="1"/>
  <c r="I7840" i="1" s="1"/>
  <c r="I7841" i="1" a="1"/>
  <c r="I7841" i="1" s="1"/>
  <c r="I7842" i="1" a="1"/>
  <c r="I7842" i="1" s="1"/>
  <c r="I7843" i="1" a="1"/>
  <c r="I7843" i="1" s="1"/>
  <c r="I7844" i="1" a="1"/>
  <c r="I7844" i="1" s="1"/>
  <c r="I7845" i="1" a="1"/>
  <c r="I7845" i="1" s="1"/>
  <c r="I7846" i="1" a="1"/>
  <c r="I7846" i="1" s="1"/>
  <c r="I7847" i="1" a="1"/>
  <c r="I7847" i="1" s="1"/>
  <c r="I7848" i="1" a="1"/>
  <c r="I7848" i="1" s="1"/>
  <c r="I7849" i="1" a="1"/>
  <c r="I7849" i="1" s="1"/>
  <c r="I7850" i="1" a="1"/>
  <c r="I7850" i="1" s="1"/>
  <c r="I7851" i="1" a="1"/>
  <c r="I7851" i="1" s="1"/>
  <c r="I7852" i="1" a="1"/>
  <c r="I7852" i="1" s="1"/>
  <c r="I7853" i="1" a="1"/>
  <c r="I7853" i="1" s="1"/>
  <c r="I7854" i="1" a="1"/>
  <c r="I7854" i="1" s="1"/>
  <c r="I7855" i="1" a="1"/>
  <c r="I7855" i="1" s="1"/>
  <c r="I7856" i="1" a="1"/>
  <c r="I7856" i="1" s="1"/>
  <c r="I7857" i="1" a="1"/>
  <c r="I7857" i="1" s="1"/>
  <c r="I7858" i="1" a="1"/>
  <c r="I7858" i="1" s="1"/>
  <c r="I7859" i="1" a="1"/>
  <c r="I7859" i="1" s="1"/>
  <c r="I7860" i="1" a="1"/>
  <c r="I7860" i="1" s="1"/>
  <c r="I7861" i="1" a="1"/>
  <c r="I7861" i="1" s="1"/>
  <c r="I7862" i="1" a="1"/>
  <c r="I7862" i="1" s="1"/>
  <c r="I7863" i="1" a="1"/>
  <c r="I7863" i="1" s="1"/>
  <c r="I7864" i="1" a="1"/>
  <c r="I7864" i="1" s="1"/>
  <c r="I7865" i="1" a="1"/>
  <c r="I7865" i="1" s="1"/>
  <c r="I7866" i="1" a="1"/>
  <c r="I7866" i="1" s="1"/>
  <c r="I7867" i="1" a="1"/>
  <c r="I7867" i="1" s="1"/>
  <c r="I7868" i="1" a="1"/>
  <c r="I7868" i="1" s="1"/>
  <c r="I7869" i="1" a="1"/>
  <c r="I7869" i="1" s="1"/>
  <c r="I7870" i="1" a="1"/>
  <c r="I7870" i="1" s="1"/>
  <c r="I7871" i="1" a="1"/>
  <c r="I7871" i="1" s="1"/>
  <c r="I7872" i="1" a="1"/>
  <c r="I7872" i="1" s="1"/>
  <c r="I7873" i="1" a="1"/>
  <c r="I7873" i="1" s="1"/>
  <c r="I7874" i="1" a="1"/>
  <c r="I7874" i="1" s="1"/>
  <c r="I7875" i="1" a="1"/>
  <c r="I7875" i="1" s="1"/>
  <c r="I7876" i="1" a="1"/>
  <c r="I7876" i="1" s="1"/>
  <c r="I7877" i="1" a="1"/>
  <c r="I7877" i="1" s="1"/>
  <c r="I7878" i="1" a="1"/>
  <c r="I7878" i="1" s="1"/>
  <c r="I7879" i="1" a="1"/>
  <c r="I7879" i="1" s="1"/>
  <c r="I7880" i="1" a="1"/>
  <c r="I7880" i="1" s="1"/>
  <c r="I7881" i="1" a="1"/>
  <c r="I7881" i="1" s="1"/>
  <c r="I7882" i="1" a="1"/>
  <c r="I7882" i="1" s="1"/>
  <c r="I7883" i="1" a="1"/>
  <c r="I7883" i="1" s="1"/>
  <c r="I7884" i="1" a="1"/>
  <c r="I7884" i="1" s="1"/>
  <c r="I7885" i="1" a="1"/>
  <c r="I7885" i="1" s="1"/>
  <c r="I7886" i="1" a="1"/>
  <c r="I7886" i="1" s="1"/>
  <c r="I7887" i="1" a="1"/>
  <c r="I7887" i="1" s="1"/>
  <c r="I7888" i="1" a="1"/>
  <c r="I7888" i="1" s="1"/>
  <c r="I7889" i="1" a="1"/>
  <c r="I7889" i="1" s="1"/>
  <c r="I7890" i="1" a="1"/>
  <c r="I7890" i="1" s="1"/>
  <c r="I7891" i="1" a="1"/>
  <c r="I7891" i="1" s="1"/>
  <c r="I7892" i="1" a="1"/>
  <c r="I7892" i="1" s="1"/>
  <c r="I7893" i="1" a="1"/>
  <c r="I7893" i="1" s="1"/>
  <c r="I7894" i="1" a="1"/>
  <c r="I7894" i="1" s="1"/>
  <c r="I7895" i="1" a="1"/>
  <c r="I7895" i="1" s="1"/>
  <c r="I7896" i="1" a="1"/>
  <c r="I7896" i="1" s="1"/>
  <c r="I7897" i="1" a="1"/>
  <c r="I7897" i="1" s="1"/>
  <c r="I7898" i="1" a="1"/>
  <c r="I7898" i="1" s="1"/>
  <c r="I7899" i="1" a="1"/>
  <c r="I7899" i="1" s="1"/>
  <c r="I7900" i="1" a="1"/>
  <c r="I7900" i="1" s="1"/>
  <c r="I7901" i="1" a="1"/>
  <c r="I7901" i="1" s="1"/>
  <c r="I7902" i="1" a="1"/>
  <c r="I7902" i="1" s="1"/>
  <c r="I7903" i="1" a="1"/>
  <c r="I7903" i="1" s="1"/>
  <c r="I7904" i="1" a="1"/>
  <c r="I7904" i="1" s="1"/>
  <c r="I7905" i="1" a="1"/>
  <c r="I7905" i="1" s="1"/>
  <c r="I7906" i="1" a="1"/>
  <c r="I7906" i="1" s="1"/>
  <c r="I7907" i="1" a="1"/>
  <c r="I7907" i="1" s="1"/>
  <c r="I7908" i="1" a="1"/>
  <c r="I7908" i="1" s="1"/>
  <c r="I7909" i="1" a="1"/>
  <c r="I7909" i="1" s="1"/>
  <c r="I7910" i="1" a="1"/>
  <c r="I7910" i="1" s="1"/>
  <c r="I7911" i="1" a="1"/>
  <c r="I7911" i="1" s="1"/>
  <c r="I7912" i="1" a="1"/>
  <c r="I7912" i="1" s="1"/>
  <c r="I7913" i="1" a="1"/>
  <c r="I7913" i="1" s="1"/>
  <c r="I7914" i="1" a="1"/>
  <c r="I7914" i="1" s="1"/>
  <c r="I7915" i="1" a="1"/>
  <c r="I7915" i="1" s="1"/>
  <c r="I7916" i="1" a="1"/>
  <c r="I7916" i="1" s="1"/>
  <c r="I7917" i="1" a="1"/>
  <c r="I7917" i="1" s="1"/>
  <c r="I7918" i="1" a="1"/>
  <c r="I7918" i="1" s="1"/>
  <c r="I7919" i="1" a="1"/>
  <c r="I7919" i="1" s="1"/>
  <c r="I7920" i="1" a="1"/>
  <c r="I7920" i="1" s="1"/>
  <c r="I7921" i="1" a="1"/>
  <c r="I7921" i="1" s="1"/>
  <c r="I7922" i="1" a="1"/>
  <c r="I7922" i="1" s="1"/>
  <c r="I7923" i="1" a="1"/>
  <c r="I7923" i="1" s="1"/>
  <c r="I7924" i="1" a="1"/>
  <c r="I7924" i="1" s="1"/>
  <c r="I7925" i="1" a="1"/>
  <c r="I7925" i="1" s="1"/>
  <c r="I7926" i="1" a="1"/>
  <c r="I7926" i="1" s="1"/>
  <c r="I7927" i="1" a="1"/>
  <c r="I7927" i="1" s="1"/>
  <c r="I7928" i="1" a="1"/>
  <c r="I7928" i="1" s="1"/>
  <c r="I7929" i="1" a="1"/>
  <c r="I7929" i="1" s="1"/>
  <c r="I7930" i="1" a="1"/>
  <c r="I7930" i="1" s="1"/>
  <c r="I7931" i="1" a="1"/>
  <c r="I7931" i="1" s="1"/>
  <c r="I7932" i="1" a="1"/>
  <c r="I7932" i="1" s="1"/>
  <c r="I7933" i="1" a="1"/>
  <c r="I7933" i="1" s="1"/>
  <c r="I7934" i="1" a="1"/>
  <c r="I7934" i="1" s="1"/>
  <c r="I7935" i="1" a="1"/>
  <c r="I7935" i="1" s="1"/>
  <c r="I7936" i="1" a="1"/>
  <c r="I7936" i="1" s="1"/>
  <c r="I7937" i="1" a="1"/>
  <c r="I7937" i="1" s="1"/>
  <c r="I7938" i="1" a="1"/>
  <c r="I7938" i="1" s="1"/>
  <c r="I7939" i="1" a="1"/>
  <c r="I7939" i="1" s="1"/>
  <c r="I7940" i="1" a="1"/>
  <c r="I7940" i="1" s="1"/>
  <c r="I7941" i="1" a="1"/>
  <c r="I7941" i="1" s="1"/>
  <c r="I7942" i="1" a="1"/>
  <c r="I7942" i="1" s="1"/>
  <c r="I7943" i="1" a="1"/>
  <c r="I7943" i="1" s="1"/>
  <c r="I7944" i="1" a="1"/>
  <c r="I7944" i="1" s="1"/>
  <c r="I7945" i="1" a="1"/>
  <c r="I7945" i="1" s="1"/>
  <c r="I7946" i="1" a="1"/>
  <c r="I7946" i="1" s="1"/>
  <c r="I7947" i="1" a="1"/>
  <c r="I7947" i="1" s="1"/>
  <c r="I7948" i="1" a="1"/>
  <c r="I7948" i="1" s="1"/>
  <c r="I7949" i="1" a="1"/>
  <c r="I7949" i="1" s="1"/>
  <c r="I7950" i="1" a="1"/>
  <c r="I7950" i="1" s="1"/>
  <c r="I7951" i="1" a="1"/>
  <c r="I7951" i="1" s="1"/>
  <c r="I7952" i="1" a="1"/>
  <c r="I7952" i="1" s="1"/>
  <c r="I7953" i="1" a="1"/>
  <c r="I7953" i="1" s="1"/>
  <c r="I7954" i="1" a="1"/>
  <c r="I7954" i="1" s="1"/>
  <c r="I7955" i="1" a="1"/>
  <c r="I7955" i="1" s="1"/>
  <c r="I7956" i="1" a="1"/>
  <c r="I7956" i="1" s="1"/>
  <c r="I7957" i="1" a="1"/>
  <c r="I7957" i="1" s="1"/>
  <c r="I7958" i="1" a="1"/>
  <c r="I7958" i="1" s="1"/>
  <c r="I7959" i="1" a="1"/>
  <c r="I7959" i="1" s="1"/>
  <c r="I7960" i="1" a="1"/>
  <c r="I7960" i="1" s="1"/>
  <c r="I7961" i="1" a="1"/>
  <c r="I7961" i="1" s="1"/>
  <c r="I7962" i="1" a="1"/>
  <c r="I7962" i="1" s="1"/>
  <c r="I7963" i="1" a="1"/>
  <c r="I7963" i="1" s="1"/>
  <c r="I7964" i="1" a="1"/>
  <c r="I7964" i="1" s="1"/>
  <c r="I7965" i="1" a="1"/>
  <c r="I7965" i="1" s="1"/>
  <c r="I7966" i="1" a="1"/>
  <c r="I7966" i="1" s="1"/>
  <c r="I7967" i="1" a="1"/>
  <c r="I7967" i="1" s="1"/>
  <c r="I7968" i="1" a="1"/>
  <c r="I7968" i="1" s="1"/>
  <c r="I7969" i="1" a="1"/>
  <c r="I7969" i="1" s="1"/>
  <c r="I7970" i="1" a="1"/>
  <c r="I7970" i="1" s="1"/>
  <c r="I7971" i="1" a="1"/>
  <c r="I7971" i="1" s="1"/>
  <c r="I7972" i="1" a="1"/>
  <c r="I7972" i="1" s="1"/>
  <c r="I7973" i="1" a="1"/>
  <c r="I7973" i="1" s="1"/>
  <c r="I7974" i="1" a="1"/>
  <c r="I7974" i="1" s="1"/>
  <c r="I7975" i="1" a="1"/>
  <c r="I7975" i="1" s="1"/>
  <c r="I7976" i="1" a="1"/>
  <c r="I7976" i="1" s="1"/>
  <c r="I7977" i="1" a="1"/>
  <c r="I7977" i="1" s="1"/>
  <c r="I7978" i="1" a="1"/>
  <c r="I7978" i="1" s="1"/>
  <c r="I7979" i="1" a="1"/>
  <c r="I7979" i="1" s="1"/>
  <c r="I7980" i="1" a="1"/>
  <c r="I7980" i="1" s="1"/>
  <c r="I7981" i="1" a="1"/>
  <c r="I7981" i="1" s="1"/>
  <c r="I7982" i="1" a="1"/>
  <c r="I7982" i="1" s="1"/>
  <c r="I7983" i="1" a="1"/>
  <c r="I7983" i="1" s="1"/>
  <c r="I7984" i="1" a="1"/>
  <c r="I7984" i="1" s="1"/>
  <c r="I7985" i="1" a="1"/>
  <c r="I7985" i="1" s="1"/>
  <c r="I7986" i="1" a="1"/>
  <c r="I7986" i="1" s="1"/>
  <c r="I7987" i="1" a="1"/>
  <c r="I7987" i="1" s="1"/>
  <c r="I7988" i="1" a="1"/>
  <c r="I7988" i="1" s="1"/>
  <c r="I7989" i="1" a="1"/>
  <c r="I7989" i="1" s="1"/>
  <c r="I7990" i="1" a="1"/>
  <c r="I7990" i="1" s="1"/>
  <c r="I7991" i="1" a="1"/>
  <c r="I7991" i="1" s="1"/>
  <c r="I7992" i="1" a="1"/>
  <c r="I7992" i="1" s="1"/>
  <c r="I7993" i="1" a="1"/>
  <c r="I7993" i="1" s="1"/>
  <c r="I7994" i="1" a="1"/>
  <c r="I7994" i="1" s="1"/>
  <c r="I7995" i="1" a="1"/>
  <c r="I7995" i="1" s="1"/>
  <c r="I7996" i="1" a="1"/>
  <c r="I7996" i="1" s="1"/>
  <c r="I7997" i="1" a="1"/>
  <c r="I7997" i="1" s="1"/>
  <c r="I7998" i="1" a="1"/>
  <c r="I7998" i="1" s="1"/>
  <c r="I7999" i="1" a="1"/>
  <c r="I7999" i="1" s="1"/>
  <c r="I8000" i="1" a="1"/>
  <c r="I8000" i="1" s="1"/>
  <c r="I8001" i="1" a="1"/>
  <c r="I8001" i="1" s="1"/>
  <c r="I8002" i="1" a="1"/>
  <c r="I8002" i="1" s="1"/>
  <c r="I8003" i="1" a="1"/>
  <c r="I8003" i="1" s="1"/>
  <c r="I8004" i="1" a="1"/>
  <c r="I8004" i="1" s="1"/>
  <c r="I8005" i="1" a="1"/>
  <c r="I8005" i="1" s="1"/>
  <c r="I8006" i="1" a="1"/>
  <c r="I8006" i="1" s="1"/>
  <c r="I8007" i="1" a="1"/>
  <c r="I8007" i="1" s="1"/>
  <c r="I8008" i="1" a="1"/>
  <c r="I8008" i="1" s="1"/>
  <c r="I8009" i="1" a="1"/>
  <c r="I8009" i="1" s="1"/>
  <c r="I8010" i="1" a="1"/>
  <c r="I8010" i="1" s="1"/>
  <c r="I8011" i="1" a="1"/>
  <c r="I8011" i="1" s="1"/>
  <c r="I8012" i="1" a="1"/>
  <c r="I8012" i="1" s="1"/>
  <c r="I8013" i="1" a="1"/>
  <c r="I8013" i="1" s="1"/>
  <c r="I8014" i="1" a="1"/>
  <c r="I8014" i="1" s="1"/>
  <c r="I8015" i="1" a="1"/>
  <c r="I8015" i="1" s="1"/>
  <c r="I8016" i="1" a="1"/>
  <c r="I8016" i="1" s="1"/>
  <c r="I8017" i="1" a="1"/>
  <c r="I8017" i="1" s="1"/>
  <c r="I8018" i="1" a="1"/>
  <c r="I8018" i="1" s="1"/>
  <c r="I8019" i="1" a="1"/>
  <c r="I8019" i="1" s="1"/>
  <c r="I8020" i="1" a="1"/>
  <c r="I8020" i="1" s="1"/>
  <c r="I8021" i="1" a="1"/>
  <c r="I8021" i="1" s="1"/>
  <c r="I8022" i="1" a="1"/>
  <c r="I8022" i="1" s="1"/>
  <c r="I8023" i="1" a="1"/>
  <c r="I8023" i="1" s="1"/>
  <c r="I8024" i="1" a="1"/>
  <c r="I8024" i="1" s="1"/>
  <c r="I8025" i="1" a="1"/>
  <c r="I8025" i="1" s="1"/>
  <c r="I8026" i="1" a="1"/>
  <c r="I8026" i="1" s="1"/>
  <c r="I8027" i="1" a="1"/>
  <c r="I8027" i="1" s="1"/>
  <c r="I8028" i="1" a="1"/>
  <c r="I8028" i="1" s="1"/>
  <c r="I8029" i="1" a="1"/>
  <c r="I8029" i="1" s="1"/>
  <c r="I8030" i="1" a="1"/>
  <c r="I8030" i="1" s="1"/>
  <c r="I8031" i="1" a="1"/>
  <c r="I8031" i="1" s="1"/>
  <c r="I8032" i="1" a="1"/>
  <c r="I8032" i="1" s="1"/>
  <c r="I8033" i="1" a="1"/>
  <c r="I8033" i="1" s="1"/>
  <c r="I8034" i="1" a="1"/>
  <c r="I8034" i="1" s="1"/>
  <c r="I8035" i="1" a="1"/>
  <c r="I8035" i="1" s="1"/>
  <c r="I8036" i="1" a="1"/>
  <c r="I8036" i="1" s="1"/>
  <c r="I8037" i="1" a="1"/>
  <c r="I8037" i="1" s="1"/>
  <c r="I8038" i="1" a="1"/>
  <c r="I8038" i="1" s="1"/>
  <c r="I8039" i="1" a="1"/>
  <c r="I8039" i="1" s="1"/>
  <c r="I8040" i="1" a="1"/>
  <c r="I8040" i="1" s="1"/>
  <c r="I8041" i="1" a="1"/>
  <c r="I8041" i="1" s="1"/>
  <c r="I8042" i="1" a="1"/>
  <c r="I8042" i="1" s="1"/>
  <c r="I8043" i="1" a="1"/>
  <c r="I8043" i="1" s="1"/>
  <c r="I8044" i="1" a="1"/>
  <c r="I8044" i="1" s="1"/>
  <c r="I8045" i="1" a="1"/>
  <c r="I8045" i="1" s="1"/>
  <c r="I8046" i="1" a="1"/>
  <c r="I8046" i="1" s="1"/>
  <c r="I8047" i="1" a="1"/>
  <c r="I8047" i="1" s="1"/>
  <c r="I8048" i="1" a="1"/>
  <c r="I8048" i="1" s="1"/>
  <c r="I8049" i="1" a="1"/>
  <c r="I8049" i="1" s="1"/>
  <c r="I8050" i="1" a="1"/>
  <c r="I8050" i="1" s="1"/>
  <c r="I8051" i="1" a="1"/>
  <c r="I8051" i="1" s="1"/>
  <c r="I8052" i="1" a="1"/>
  <c r="I8052" i="1" s="1"/>
  <c r="I8053" i="1" a="1"/>
  <c r="I8053" i="1" s="1"/>
  <c r="I8054" i="1" a="1"/>
  <c r="I8054" i="1" s="1"/>
  <c r="I8055" i="1" a="1"/>
  <c r="I8055" i="1" s="1"/>
  <c r="I8056" i="1" a="1"/>
  <c r="I8056" i="1" s="1"/>
  <c r="I8057" i="1" a="1"/>
  <c r="I8057" i="1" s="1"/>
  <c r="I8058" i="1" a="1"/>
  <c r="I8058" i="1" s="1"/>
  <c r="I8059" i="1" a="1"/>
  <c r="I8059" i="1" s="1"/>
  <c r="I8060" i="1" a="1"/>
  <c r="I8060" i="1" s="1"/>
  <c r="I8061" i="1" a="1"/>
  <c r="I8061" i="1" s="1"/>
  <c r="I8062" i="1" a="1"/>
  <c r="I8062" i="1" s="1"/>
  <c r="I8063" i="1" a="1"/>
  <c r="I8063" i="1" s="1"/>
  <c r="I8064" i="1" a="1"/>
  <c r="I8064" i="1" s="1"/>
  <c r="I8065" i="1" a="1"/>
  <c r="I8065" i="1" s="1"/>
  <c r="I8066" i="1" a="1"/>
  <c r="I8066" i="1" s="1"/>
  <c r="I8067" i="1" a="1"/>
  <c r="I8067" i="1" s="1"/>
  <c r="I8068" i="1" a="1"/>
  <c r="I8068" i="1" s="1"/>
  <c r="I8069" i="1" a="1"/>
  <c r="I8069" i="1" s="1"/>
  <c r="I8070" i="1" a="1"/>
  <c r="I8070" i="1" s="1"/>
  <c r="I8071" i="1" a="1"/>
  <c r="I8071" i="1" s="1"/>
  <c r="I8072" i="1" a="1"/>
  <c r="I8072" i="1" s="1"/>
  <c r="I8073" i="1" a="1"/>
  <c r="I8073" i="1" s="1"/>
  <c r="I8074" i="1" a="1"/>
  <c r="I8074" i="1" s="1"/>
  <c r="I8075" i="1" a="1"/>
  <c r="I8075" i="1" s="1"/>
  <c r="I8076" i="1" a="1"/>
  <c r="I8076" i="1" s="1"/>
  <c r="I8077" i="1" a="1"/>
  <c r="I8077" i="1" s="1"/>
  <c r="I8078" i="1" a="1"/>
  <c r="I8078" i="1" s="1"/>
  <c r="I8079" i="1" a="1"/>
  <c r="I8079" i="1" s="1"/>
  <c r="I8080" i="1" a="1"/>
  <c r="I8080" i="1" s="1"/>
  <c r="I8081" i="1" a="1"/>
  <c r="I8081" i="1" s="1"/>
  <c r="I8082" i="1" a="1"/>
  <c r="I8082" i="1" s="1"/>
  <c r="I8083" i="1" a="1"/>
  <c r="I8083" i="1" s="1"/>
  <c r="I8084" i="1" a="1"/>
  <c r="I8084" i="1" s="1"/>
  <c r="I8085" i="1" a="1"/>
  <c r="I8085" i="1" s="1"/>
  <c r="I8086" i="1" a="1"/>
  <c r="I8086" i="1" s="1"/>
  <c r="I8087" i="1" a="1"/>
  <c r="I8087" i="1" s="1"/>
  <c r="I8088" i="1" a="1"/>
  <c r="I8088" i="1" s="1"/>
  <c r="I8089" i="1" a="1"/>
  <c r="I8089" i="1" s="1"/>
  <c r="I8090" i="1" a="1"/>
  <c r="I8090" i="1" s="1"/>
  <c r="I8091" i="1" a="1"/>
  <c r="I8091" i="1" s="1"/>
  <c r="I8092" i="1" a="1"/>
  <c r="I8092" i="1" s="1"/>
  <c r="I8093" i="1" a="1"/>
  <c r="I8093" i="1" s="1"/>
  <c r="I8094" i="1" a="1"/>
  <c r="I8094" i="1" s="1"/>
  <c r="I8095" i="1" a="1"/>
  <c r="I8095" i="1" s="1"/>
  <c r="I8096" i="1" a="1"/>
  <c r="I8096" i="1" s="1"/>
  <c r="I8097" i="1" a="1"/>
  <c r="I8097" i="1" s="1"/>
  <c r="I8098" i="1" a="1"/>
  <c r="I8098" i="1" s="1"/>
  <c r="I8099" i="1" a="1"/>
  <c r="I8099" i="1" s="1"/>
  <c r="I8100" i="1" a="1"/>
  <c r="I8100" i="1" s="1"/>
  <c r="I8101" i="1" a="1"/>
  <c r="I8101" i="1" s="1"/>
  <c r="I8102" i="1" a="1"/>
  <c r="I8102" i="1" s="1"/>
  <c r="I8103" i="1" a="1"/>
  <c r="I8103" i="1" s="1"/>
  <c r="I8104" i="1" a="1"/>
  <c r="I8104" i="1" s="1"/>
  <c r="I8105" i="1" a="1"/>
  <c r="I8105" i="1" s="1"/>
  <c r="I8106" i="1" a="1"/>
  <c r="I8106" i="1" s="1"/>
  <c r="I8107" i="1" a="1"/>
  <c r="I8107" i="1" s="1"/>
  <c r="I8108" i="1" a="1"/>
  <c r="I8108" i="1" s="1"/>
  <c r="I8109" i="1" a="1"/>
  <c r="I8109" i="1" s="1"/>
  <c r="I8110" i="1" a="1"/>
  <c r="I8110" i="1" s="1"/>
  <c r="I8111" i="1" a="1"/>
  <c r="I8111" i="1" s="1"/>
  <c r="I8112" i="1" a="1"/>
  <c r="I8112" i="1" s="1"/>
  <c r="I8113" i="1" a="1"/>
  <c r="I8113" i="1" s="1"/>
  <c r="I8114" i="1" a="1"/>
  <c r="I8114" i="1" s="1"/>
  <c r="I8115" i="1" a="1"/>
  <c r="I8115" i="1" s="1"/>
  <c r="I8116" i="1" a="1"/>
  <c r="I8116" i="1" s="1"/>
  <c r="I8117" i="1" a="1"/>
  <c r="I8117" i="1" s="1"/>
  <c r="I8118" i="1" a="1"/>
  <c r="I8118" i="1" s="1"/>
  <c r="I8119" i="1" a="1"/>
  <c r="I8119" i="1" s="1"/>
  <c r="I8120" i="1" a="1"/>
  <c r="I8120" i="1" s="1"/>
  <c r="I8121" i="1" a="1"/>
  <c r="I8121" i="1" s="1"/>
  <c r="I8122" i="1" a="1"/>
  <c r="I8122" i="1" s="1"/>
  <c r="I8123" i="1" a="1"/>
  <c r="I8123" i="1" s="1"/>
  <c r="I8124" i="1" a="1"/>
  <c r="I8124" i="1" s="1"/>
  <c r="I8125" i="1" a="1"/>
  <c r="I8125" i="1" s="1"/>
  <c r="I8126" i="1" a="1"/>
  <c r="I8126" i="1" s="1"/>
  <c r="I8127" i="1" a="1"/>
  <c r="I8127" i="1" s="1"/>
  <c r="I8128" i="1" a="1"/>
  <c r="I8128" i="1" s="1"/>
  <c r="I8129" i="1" a="1"/>
  <c r="I8129" i="1" s="1"/>
  <c r="I8130" i="1" a="1"/>
  <c r="I8130" i="1" s="1"/>
  <c r="I8131" i="1" a="1"/>
  <c r="I8131" i="1" s="1"/>
  <c r="I8132" i="1" a="1"/>
  <c r="I8132" i="1" s="1"/>
  <c r="I8133" i="1" a="1"/>
  <c r="I8133" i="1" s="1"/>
  <c r="I8134" i="1" a="1"/>
  <c r="I8134" i="1" s="1"/>
  <c r="I8135" i="1" a="1"/>
  <c r="I8135" i="1" s="1"/>
  <c r="I8136" i="1" a="1"/>
  <c r="I8136" i="1" s="1"/>
  <c r="I8137" i="1" a="1"/>
  <c r="I8137" i="1" s="1"/>
  <c r="I8138" i="1" a="1"/>
  <c r="I8138" i="1" s="1"/>
  <c r="I8139" i="1" a="1"/>
  <c r="I8139" i="1" s="1"/>
  <c r="I8140" i="1" a="1"/>
  <c r="I8140" i="1" s="1"/>
  <c r="I8141" i="1" a="1"/>
  <c r="I8141" i="1" s="1"/>
  <c r="I8142" i="1" a="1"/>
  <c r="I8142" i="1" s="1"/>
  <c r="I8143" i="1" a="1"/>
  <c r="I8143" i="1" s="1"/>
  <c r="I8144" i="1" a="1"/>
  <c r="I8144" i="1" s="1"/>
  <c r="I8145" i="1" a="1"/>
  <c r="I8145" i="1" s="1"/>
  <c r="I8146" i="1" a="1"/>
  <c r="I8146" i="1" s="1"/>
  <c r="I8147" i="1" a="1"/>
  <c r="I8147" i="1" s="1"/>
  <c r="I8148" i="1" a="1"/>
  <c r="I8148" i="1" s="1"/>
  <c r="I8149" i="1" a="1"/>
  <c r="I8149" i="1" s="1"/>
  <c r="I8150" i="1" a="1"/>
  <c r="I8150" i="1" s="1"/>
  <c r="I8151" i="1" a="1"/>
  <c r="I8151" i="1" s="1"/>
  <c r="I8152" i="1" a="1"/>
  <c r="I8152" i="1" s="1"/>
  <c r="I8153" i="1" a="1"/>
  <c r="I8153" i="1" s="1"/>
  <c r="I8154" i="1" a="1"/>
  <c r="I8154" i="1" s="1"/>
  <c r="I8155" i="1" a="1"/>
  <c r="I8155" i="1" s="1"/>
  <c r="I8156" i="1" a="1"/>
  <c r="I8156" i="1" s="1"/>
  <c r="I8157" i="1" a="1"/>
  <c r="I8157" i="1" s="1"/>
  <c r="I8158" i="1" a="1"/>
  <c r="I8158" i="1" s="1"/>
  <c r="I8159" i="1" a="1"/>
  <c r="I8159" i="1" s="1"/>
  <c r="I8160" i="1" a="1"/>
  <c r="I8160" i="1" s="1"/>
  <c r="I8161" i="1" a="1"/>
  <c r="I8161" i="1" s="1"/>
  <c r="I8162" i="1" a="1"/>
  <c r="I8162" i="1" s="1"/>
  <c r="I8163" i="1" a="1"/>
  <c r="I8163" i="1" s="1"/>
  <c r="I8164" i="1" a="1"/>
  <c r="I8164" i="1" s="1"/>
  <c r="I8165" i="1" a="1"/>
  <c r="I8165" i="1" s="1"/>
  <c r="I8166" i="1" a="1"/>
  <c r="I8166" i="1" s="1"/>
  <c r="I8167" i="1" a="1"/>
  <c r="I8167" i="1" s="1"/>
  <c r="I8168" i="1" a="1"/>
  <c r="I8168" i="1" s="1"/>
  <c r="I8169" i="1" a="1"/>
  <c r="I8169" i="1" s="1"/>
  <c r="I8170" i="1" a="1"/>
  <c r="I8170" i="1" s="1"/>
  <c r="I8171" i="1" a="1"/>
  <c r="I8171" i="1" s="1"/>
  <c r="I8172" i="1" a="1"/>
  <c r="I8172" i="1" s="1"/>
  <c r="I8173" i="1" a="1"/>
  <c r="I8173" i="1" s="1"/>
  <c r="I8174" i="1" a="1"/>
  <c r="I8174" i="1" s="1"/>
  <c r="I8175" i="1" a="1"/>
  <c r="I8175" i="1" s="1"/>
  <c r="I8176" i="1" a="1"/>
  <c r="I8176" i="1" s="1"/>
  <c r="I8177" i="1" a="1"/>
  <c r="I8177" i="1" s="1"/>
  <c r="I8178" i="1" a="1"/>
  <c r="I8178" i="1" s="1"/>
  <c r="I8179" i="1" a="1"/>
  <c r="I8179" i="1" s="1"/>
  <c r="I8180" i="1" a="1"/>
  <c r="I8180" i="1" s="1"/>
  <c r="I8181" i="1" a="1"/>
  <c r="I8181" i="1" s="1"/>
  <c r="I8182" i="1" a="1"/>
  <c r="I8182" i="1" s="1"/>
  <c r="I8183" i="1" a="1"/>
  <c r="I8183" i="1" s="1"/>
  <c r="I8184" i="1" a="1"/>
  <c r="I8184" i="1" s="1"/>
  <c r="I8185" i="1" a="1"/>
  <c r="I8185" i="1" s="1"/>
  <c r="I8186" i="1" a="1"/>
  <c r="I8186" i="1" s="1"/>
  <c r="I8187" i="1" a="1"/>
  <c r="I8187" i="1" s="1"/>
  <c r="I8188" i="1" a="1"/>
  <c r="I8188" i="1" s="1"/>
  <c r="I8189" i="1" a="1"/>
  <c r="I8189" i="1" s="1"/>
  <c r="I8190" i="1" a="1"/>
  <c r="I8190" i="1" s="1"/>
  <c r="I8191" i="1" a="1"/>
  <c r="I8191" i="1" s="1"/>
  <c r="I8192" i="1" a="1"/>
  <c r="I8192" i="1" s="1"/>
  <c r="I8193" i="1" a="1"/>
  <c r="I8193" i="1" s="1"/>
  <c r="I8194" i="1" a="1"/>
  <c r="I8194" i="1" s="1"/>
  <c r="I8195" i="1" a="1"/>
  <c r="I8195" i="1" s="1"/>
  <c r="I8196" i="1" a="1"/>
  <c r="I8196" i="1" s="1"/>
  <c r="I8197" i="1" a="1"/>
  <c r="I8197" i="1" s="1"/>
  <c r="I8198" i="1" a="1"/>
  <c r="I8198" i="1" s="1"/>
  <c r="I8199" i="1" a="1"/>
  <c r="I8199" i="1" s="1"/>
  <c r="I8200" i="1" a="1"/>
  <c r="I8200" i="1" s="1"/>
  <c r="I8201" i="1" a="1"/>
  <c r="I8201" i="1" s="1"/>
  <c r="I8202" i="1" a="1"/>
  <c r="I8202" i="1" s="1"/>
  <c r="I8203" i="1" a="1"/>
  <c r="I8203" i="1" s="1"/>
  <c r="I8204" i="1" a="1"/>
  <c r="I8204" i="1" s="1"/>
  <c r="I8205" i="1" a="1"/>
  <c r="I8205" i="1" s="1"/>
  <c r="I8206" i="1" a="1"/>
  <c r="I8206" i="1" s="1"/>
  <c r="I8207" i="1" a="1"/>
  <c r="I8207" i="1" s="1"/>
  <c r="I8208" i="1" a="1"/>
  <c r="I8208" i="1" s="1"/>
  <c r="I8209" i="1" a="1"/>
  <c r="I8209" i="1" s="1"/>
  <c r="I8210" i="1" a="1"/>
  <c r="I8210" i="1" s="1"/>
  <c r="I8211" i="1" a="1"/>
  <c r="I8211" i="1" s="1"/>
  <c r="I8212" i="1" a="1"/>
  <c r="I8212" i="1" s="1"/>
  <c r="I8213" i="1" a="1"/>
  <c r="I8213" i="1" s="1"/>
  <c r="I8214" i="1" a="1"/>
  <c r="I8214" i="1" s="1"/>
  <c r="I8215" i="1" a="1"/>
  <c r="I8215" i="1" s="1"/>
  <c r="I8216" i="1" a="1"/>
  <c r="I8216" i="1" s="1"/>
  <c r="I8217" i="1" a="1"/>
  <c r="I8217" i="1" s="1"/>
  <c r="I8218" i="1" a="1"/>
  <c r="I8218" i="1" s="1"/>
  <c r="I8219" i="1" a="1"/>
  <c r="I8219" i="1" s="1"/>
  <c r="I8220" i="1" a="1"/>
  <c r="I8220" i="1" s="1"/>
  <c r="I8221" i="1" a="1"/>
  <c r="I8221" i="1" s="1"/>
  <c r="I8222" i="1" a="1"/>
  <c r="I8222" i="1" s="1"/>
  <c r="I8223" i="1" a="1"/>
  <c r="I8223" i="1" s="1"/>
  <c r="I8224" i="1" a="1"/>
  <c r="I8224" i="1" s="1"/>
  <c r="I8225" i="1" a="1"/>
  <c r="I8225" i="1" s="1"/>
  <c r="I8226" i="1" a="1"/>
  <c r="I8226" i="1" s="1"/>
  <c r="I8227" i="1" a="1"/>
  <c r="I8227" i="1" s="1"/>
  <c r="I8228" i="1" a="1"/>
  <c r="I8228" i="1" s="1"/>
  <c r="I8229" i="1" a="1"/>
  <c r="I8229" i="1" s="1"/>
  <c r="I8230" i="1" a="1"/>
  <c r="I8230" i="1" s="1"/>
  <c r="I8231" i="1" a="1"/>
  <c r="I8231" i="1" s="1"/>
  <c r="I8232" i="1" a="1"/>
  <c r="I8232" i="1" s="1"/>
  <c r="I8233" i="1" a="1"/>
  <c r="I8233" i="1" s="1"/>
  <c r="I8234" i="1" a="1"/>
  <c r="I8234" i="1" s="1"/>
  <c r="I8235" i="1" a="1"/>
  <c r="I8235" i="1" s="1"/>
  <c r="I8236" i="1" a="1"/>
  <c r="I8236" i="1" s="1"/>
  <c r="I8237" i="1" a="1"/>
  <c r="I8237" i="1" s="1"/>
  <c r="I8238" i="1" a="1"/>
  <c r="I8238" i="1" s="1"/>
  <c r="I8239" i="1" a="1"/>
  <c r="I8239" i="1" s="1"/>
  <c r="I8240" i="1" a="1"/>
  <c r="I8240" i="1" s="1"/>
  <c r="I8241" i="1" a="1"/>
  <c r="I8241" i="1" s="1"/>
  <c r="I8242" i="1" a="1"/>
  <c r="I8242" i="1" s="1"/>
  <c r="I8243" i="1" a="1"/>
  <c r="I8243" i="1" s="1"/>
  <c r="I8244" i="1" a="1"/>
  <c r="I8244" i="1" s="1"/>
  <c r="I8245" i="1" a="1"/>
  <c r="I8245" i="1" s="1"/>
  <c r="I8246" i="1" a="1"/>
  <c r="I8246" i="1" s="1"/>
  <c r="I8247" i="1" a="1"/>
  <c r="I8247" i="1" s="1"/>
  <c r="I8248" i="1" a="1"/>
  <c r="I8248" i="1" s="1"/>
  <c r="I8249" i="1" a="1"/>
  <c r="I8249" i="1" s="1"/>
  <c r="I8250" i="1" a="1"/>
  <c r="I8250" i="1" s="1"/>
  <c r="I8251" i="1" a="1"/>
  <c r="I8251" i="1" s="1"/>
  <c r="I8252" i="1" a="1"/>
  <c r="I8252" i="1" s="1"/>
  <c r="I8253" i="1" a="1"/>
  <c r="I8253" i="1" s="1"/>
  <c r="I8254" i="1" a="1"/>
  <c r="I8254" i="1" s="1"/>
  <c r="I8255" i="1" a="1"/>
  <c r="I8255" i="1" s="1"/>
  <c r="I8256" i="1" a="1"/>
  <c r="I8256" i="1" s="1"/>
  <c r="I8257" i="1" a="1"/>
  <c r="I8257" i="1" s="1"/>
  <c r="I8258" i="1" a="1"/>
  <c r="I8258" i="1" s="1"/>
  <c r="I8259" i="1" a="1"/>
  <c r="I8259" i="1" s="1"/>
  <c r="I8260" i="1" a="1"/>
  <c r="I8260" i="1" s="1"/>
  <c r="I8261" i="1" a="1"/>
  <c r="I8261" i="1" s="1"/>
  <c r="I8262" i="1" a="1"/>
  <c r="I8262" i="1" s="1"/>
  <c r="I8263" i="1" a="1"/>
  <c r="I8263" i="1" s="1"/>
  <c r="I8264" i="1" a="1"/>
  <c r="I8264" i="1" s="1"/>
  <c r="I8265" i="1" a="1"/>
  <c r="I8265" i="1" s="1"/>
  <c r="I8266" i="1" a="1"/>
  <c r="I8266" i="1" s="1"/>
  <c r="I8267" i="1" a="1"/>
  <c r="I8267" i="1" s="1"/>
  <c r="I8268" i="1" a="1"/>
  <c r="I8268" i="1" s="1"/>
  <c r="I8269" i="1" a="1"/>
  <c r="I8269" i="1" s="1"/>
  <c r="I8270" i="1" a="1"/>
  <c r="I8270" i="1" s="1"/>
  <c r="I8271" i="1" a="1"/>
  <c r="I8271" i="1" s="1"/>
  <c r="I8272" i="1" a="1"/>
  <c r="I8272" i="1" s="1"/>
  <c r="I8273" i="1" a="1"/>
  <c r="I8273" i="1" s="1"/>
  <c r="I8274" i="1" a="1"/>
  <c r="I8274" i="1" s="1"/>
  <c r="I8275" i="1" a="1"/>
  <c r="I8275" i="1" s="1"/>
  <c r="I8276" i="1" a="1"/>
  <c r="I8276" i="1" s="1"/>
  <c r="I8277" i="1" a="1"/>
  <c r="I8277" i="1" s="1"/>
  <c r="I8278" i="1" a="1"/>
  <c r="I8278" i="1" s="1"/>
  <c r="I8279" i="1" a="1"/>
  <c r="I8279" i="1" s="1"/>
  <c r="I8280" i="1" a="1"/>
  <c r="I8280" i="1" s="1"/>
  <c r="I8281" i="1" a="1"/>
  <c r="I8281" i="1" s="1"/>
  <c r="I8282" i="1" a="1"/>
  <c r="I8282" i="1" s="1"/>
  <c r="I8283" i="1" a="1"/>
  <c r="I8283" i="1" s="1"/>
  <c r="I8284" i="1" a="1"/>
  <c r="I8284" i="1" s="1"/>
  <c r="I8285" i="1" a="1"/>
  <c r="I8285" i="1" s="1"/>
  <c r="I8286" i="1" a="1"/>
  <c r="I8286" i="1" s="1"/>
  <c r="I8287" i="1" a="1"/>
  <c r="I8287" i="1" s="1"/>
  <c r="I8288" i="1" a="1"/>
  <c r="I8288" i="1" s="1"/>
  <c r="I8289" i="1" a="1"/>
  <c r="I8289" i="1" s="1"/>
  <c r="I8290" i="1" a="1"/>
  <c r="I8290" i="1" s="1"/>
  <c r="I8291" i="1" a="1"/>
  <c r="I8291" i="1" s="1"/>
  <c r="I8292" i="1" a="1"/>
  <c r="I8292" i="1" s="1"/>
  <c r="I8293" i="1" a="1"/>
  <c r="I8293" i="1" s="1"/>
  <c r="I8294" i="1" a="1"/>
  <c r="I8294" i="1" s="1"/>
  <c r="I8295" i="1" a="1"/>
  <c r="I8295" i="1" s="1"/>
  <c r="I8296" i="1" a="1"/>
  <c r="I8296" i="1" s="1"/>
  <c r="I8297" i="1" a="1"/>
  <c r="I8297" i="1" s="1"/>
  <c r="I8298" i="1" a="1"/>
  <c r="I8298" i="1" s="1"/>
  <c r="I8299" i="1" a="1"/>
  <c r="I8299" i="1" s="1"/>
  <c r="I8300" i="1" a="1"/>
  <c r="I8300" i="1" s="1"/>
  <c r="I8301" i="1" a="1"/>
  <c r="I8301" i="1" s="1"/>
  <c r="I8302" i="1" a="1"/>
  <c r="I8302" i="1" s="1"/>
  <c r="I8303" i="1" a="1"/>
  <c r="I8303" i="1" s="1"/>
  <c r="I8304" i="1" a="1"/>
  <c r="I8304" i="1" s="1"/>
  <c r="I8305" i="1" a="1"/>
  <c r="I8305" i="1" s="1"/>
  <c r="I8306" i="1" a="1"/>
  <c r="I8306" i="1" s="1"/>
  <c r="I8307" i="1" a="1"/>
  <c r="I8307" i="1" s="1"/>
  <c r="I8308" i="1" a="1"/>
  <c r="I8308" i="1" s="1"/>
  <c r="I8309" i="1" a="1"/>
  <c r="I8309" i="1" s="1"/>
  <c r="I8310" i="1" a="1"/>
  <c r="I8310" i="1" s="1"/>
  <c r="I8311" i="1" a="1"/>
  <c r="I8311" i="1" s="1"/>
  <c r="I8312" i="1" a="1"/>
  <c r="I8312" i="1" s="1"/>
  <c r="I8313" i="1" a="1"/>
  <c r="I8313" i="1" s="1"/>
  <c r="I8314" i="1" a="1"/>
  <c r="I8314" i="1" s="1"/>
  <c r="I8315" i="1" a="1"/>
  <c r="I8315" i="1" s="1"/>
  <c r="I8316" i="1" a="1"/>
  <c r="I8316" i="1" s="1"/>
  <c r="I8317" i="1" a="1"/>
  <c r="I8317" i="1" s="1"/>
  <c r="I8318" i="1" a="1"/>
  <c r="I8318" i="1" s="1"/>
  <c r="I8319" i="1" a="1"/>
  <c r="I8319" i="1" s="1"/>
  <c r="I8320" i="1" a="1"/>
  <c r="I8320" i="1" s="1"/>
  <c r="I8321" i="1" a="1"/>
  <c r="I8321" i="1" s="1"/>
  <c r="I8322" i="1" a="1"/>
  <c r="I8322" i="1" s="1"/>
  <c r="I8323" i="1" a="1"/>
  <c r="I8323" i="1" s="1"/>
  <c r="I8324" i="1" a="1"/>
  <c r="I8324" i="1" s="1"/>
  <c r="I8325" i="1" a="1"/>
  <c r="I8325" i="1" s="1"/>
  <c r="I8326" i="1" a="1"/>
  <c r="I8326" i="1" s="1"/>
  <c r="I8327" i="1" a="1"/>
  <c r="I8327" i="1" s="1"/>
  <c r="I8328" i="1" a="1"/>
  <c r="I8328" i="1" s="1"/>
  <c r="I8329" i="1" a="1"/>
  <c r="I8329" i="1" s="1"/>
  <c r="I8330" i="1" a="1"/>
  <c r="I8330" i="1" s="1"/>
  <c r="I8331" i="1" a="1"/>
  <c r="I8331" i="1" s="1"/>
  <c r="I8332" i="1" a="1"/>
  <c r="I8332" i="1" s="1"/>
  <c r="I8333" i="1" a="1"/>
  <c r="I8333" i="1" s="1"/>
  <c r="I8334" i="1" a="1"/>
  <c r="I8334" i="1" s="1"/>
  <c r="I8335" i="1" a="1"/>
  <c r="I8335" i="1" s="1"/>
  <c r="I8336" i="1" a="1"/>
  <c r="I8336" i="1" s="1"/>
  <c r="I8337" i="1" a="1"/>
  <c r="I8337" i="1" s="1"/>
  <c r="I8338" i="1" a="1"/>
  <c r="I8338" i="1" s="1"/>
  <c r="I8339" i="1" a="1"/>
  <c r="I8339" i="1" s="1"/>
  <c r="I8340" i="1" a="1"/>
  <c r="I8340" i="1" s="1"/>
  <c r="I8341" i="1" a="1"/>
  <c r="I8341" i="1" s="1"/>
  <c r="I8342" i="1" a="1"/>
  <c r="I8342" i="1" s="1"/>
  <c r="I8343" i="1" a="1"/>
  <c r="I8343" i="1" s="1"/>
  <c r="I8344" i="1" a="1"/>
  <c r="I8344" i="1" s="1"/>
  <c r="I8345" i="1" a="1"/>
  <c r="I8345" i="1" s="1"/>
  <c r="I8346" i="1" a="1"/>
  <c r="I8346" i="1" s="1"/>
  <c r="I8347" i="1" a="1"/>
  <c r="I8347" i="1" s="1"/>
  <c r="I8348" i="1" a="1"/>
  <c r="I8348" i="1" s="1"/>
  <c r="I8349" i="1" a="1"/>
  <c r="I8349" i="1" s="1"/>
  <c r="I8350" i="1" a="1"/>
  <c r="I8350" i="1" s="1"/>
  <c r="I8351" i="1" a="1"/>
  <c r="I8351" i="1" s="1"/>
  <c r="I8352" i="1" a="1"/>
  <c r="I8352" i="1" s="1"/>
  <c r="I8353" i="1" a="1"/>
  <c r="I8353" i="1" s="1"/>
  <c r="I8354" i="1" a="1"/>
  <c r="I8354" i="1" s="1"/>
  <c r="I8355" i="1" a="1"/>
  <c r="I8355" i="1" s="1"/>
  <c r="I8356" i="1" a="1"/>
  <c r="I8356" i="1" s="1"/>
  <c r="I8357" i="1" a="1"/>
  <c r="I8357" i="1" s="1"/>
  <c r="I8358" i="1" a="1"/>
  <c r="I8358" i="1" s="1"/>
  <c r="I8359" i="1" a="1"/>
  <c r="I8359" i="1" s="1"/>
  <c r="I8360" i="1" a="1"/>
  <c r="I8360" i="1" s="1"/>
  <c r="I8361" i="1" a="1"/>
  <c r="I8361" i="1" s="1"/>
  <c r="I8362" i="1" a="1"/>
  <c r="I8362" i="1" s="1"/>
  <c r="I8363" i="1" a="1"/>
  <c r="I8363" i="1" s="1"/>
  <c r="I8364" i="1" a="1"/>
  <c r="I8364" i="1" s="1"/>
  <c r="I8365" i="1" a="1"/>
  <c r="I8365" i="1" s="1"/>
  <c r="I8366" i="1" a="1"/>
  <c r="I8366" i="1" s="1"/>
  <c r="I8367" i="1" a="1"/>
  <c r="I8367" i="1" s="1"/>
  <c r="I8368" i="1" a="1"/>
  <c r="I8368" i="1" s="1"/>
  <c r="I8369" i="1" a="1"/>
  <c r="I8369" i="1" s="1"/>
  <c r="I8370" i="1" a="1"/>
  <c r="I8370" i="1" s="1"/>
  <c r="I8371" i="1" a="1"/>
  <c r="I8371" i="1" s="1"/>
  <c r="I8372" i="1" a="1"/>
  <c r="I8372" i="1" s="1"/>
  <c r="I8373" i="1" a="1"/>
  <c r="I8373" i="1" s="1"/>
  <c r="I8374" i="1" a="1"/>
  <c r="I8374" i="1" s="1"/>
  <c r="I8375" i="1" a="1"/>
  <c r="I8375" i="1" s="1"/>
  <c r="I8376" i="1" a="1"/>
  <c r="I8376" i="1" s="1"/>
  <c r="I8377" i="1" a="1"/>
  <c r="I8377" i="1" s="1"/>
  <c r="I8378" i="1" a="1"/>
  <c r="I8378" i="1" s="1"/>
  <c r="I8379" i="1" a="1"/>
  <c r="I8379" i="1" s="1"/>
  <c r="I8380" i="1" a="1"/>
  <c r="I8380" i="1" s="1"/>
  <c r="I8381" i="1" a="1"/>
  <c r="I8381" i="1" s="1"/>
  <c r="I8382" i="1" a="1"/>
  <c r="I8382" i="1" s="1"/>
  <c r="I8383" i="1" a="1"/>
  <c r="I8383" i="1" s="1"/>
  <c r="I8384" i="1" a="1"/>
  <c r="I8384" i="1" s="1"/>
  <c r="I8385" i="1" a="1"/>
  <c r="I8385" i="1" s="1"/>
  <c r="I8386" i="1" a="1"/>
  <c r="I8386" i="1" s="1"/>
  <c r="I8387" i="1" a="1"/>
  <c r="I8387" i="1" s="1"/>
  <c r="I8388" i="1" a="1"/>
  <c r="I8388" i="1" s="1"/>
  <c r="I8389" i="1" a="1"/>
  <c r="I8389" i="1" s="1"/>
  <c r="I8390" i="1" a="1"/>
  <c r="I8390" i="1" s="1"/>
  <c r="I8391" i="1" a="1"/>
  <c r="I8391" i="1" s="1"/>
  <c r="I8392" i="1" a="1"/>
  <c r="I8392" i="1" s="1"/>
  <c r="I8393" i="1" a="1"/>
  <c r="I8393" i="1" s="1"/>
  <c r="I8394" i="1" a="1"/>
  <c r="I8394" i="1" s="1"/>
  <c r="I8395" i="1" a="1"/>
  <c r="I8395" i="1" s="1"/>
  <c r="I8396" i="1" a="1"/>
  <c r="I8396" i="1" s="1"/>
  <c r="I8397" i="1" a="1"/>
  <c r="I8397" i="1" s="1"/>
  <c r="I8398" i="1" a="1"/>
  <c r="I8398" i="1" s="1"/>
  <c r="I8399" i="1" a="1"/>
  <c r="I8399" i="1" s="1"/>
  <c r="I8400" i="1" a="1"/>
  <c r="I8400" i="1" s="1"/>
  <c r="I8401" i="1" a="1"/>
  <c r="I8401" i="1" s="1"/>
  <c r="I8402" i="1" a="1"/>
  <c r="I8402" i="1" s="1"/>
  <c r="I8403" i="1" a="1"/>
  <c r="I8403" i="1" s="1"/>
  <c r="I8404" i="1" a="1"/>
  <c r="I8404" i="1" s="1"/>
  <c r="I8405" i="1" a="1"/>
  <c r="I8405" i="1" s="1"/>
  <c r="I8406" i="1" a="1"/>
  <c r="I8406" i="1" s="1"/>
  <c r="I8407" i="1" a="1"/>
  <c r="I8407" i="1" s="1"/>
  <c r="I8408" i="1" a="1"/>
  <c r="I8408" i="1" s="1"/>
  <c r="I8409" i="1" a="1"/>
  <c r="I8409" i="1" s="1"/>
  <c r="I8410" i="1" a="1"/>
  <c r="I8410" i="1" s="1"/>
  <c r="I8411" i="1" a="1"/>
  <c r="I8411" i="1" s="1"/>
  <c r="I8412" i="1" a="1"/>
  <c r="I8412" i="1" s="1"/>
  <c r="I8413" i="1" a="1"/>
  <c r="I8413" i="1" s="1"/>
  <c r="I8414" i="1" a="1"/>
  <c r="I8414" i="1" s="1"/>
  <c r="I8415" i="1" a="1"/>
  <c r="I8415" i="1" s="1"/>
  <c r="I8416" i="1" a="1"/>
  <c r="I8416" i="1" s="1"/>
  <c r="I8417" i="1" a="1"/>
  <c r="I8417" i="1" s="1"/>
  <c r="I8418" i="1" a="1"/>
  <c r="I8418" i="1" s="1"/>
  <c r="I8419" i="1" a="1"/>
  <c r="I8419" i="1" s="1"/>
  <c r="I8420" i="1" a="1"/>
  <c r="I8420" i="1" s="1"/>
  <c r="I8421" i="1" a="1"/>
  <c r="I8421" i="1" s="1"/>
  <c r="I8422" i="1" a="1"/>
  <c r="I8422" i="1" s="1"/>
  <c r="I8423" i="1" a="1"/>
  <c r="I8423" i="1" s="1"/>
  <c r="I8424" i="1" a="1"/>
  <c r="I8424" i="1" s="1"/>
  <c r="I8425" i="1" a="1"/>
  <c r="I8425" i="1" s="1"/>
  <c r="I8426" i="1" a="1"/>
  <c r="I8426" i="1" s="1"/>
  <c r="I8427" i="1" a="1"/>
  <c r="I8427" i="1" s="1"/>
  <c r="I8428" i="1" a="1"/>
  <c r="I8428" i="1" s="1"/>
  <c r="I8429" i="1" a="1"/>
  <c r="I8429" i="1" s="1"/>
  <c r="I8430" i="1" a="1"/>
  <c r="I8430" i="1" s="1"/>
  <c r="I8431" i="1" a="1"/>
  <c r="I8431" i="1" s="1"/>
  <c r="I8432" i="1" a="1"/>
  <c r="I8432" i="1" s="1"/>
  <c r="I8433" i="1" a="1"/>
  <c r="I8433" i="1" s="1"/>
  <c r="I8434" i="1" a="1"/>
  <c r="I8434" i="1" s="1"/>
  <c r="I8435" i="1" a="1"/>
  <c r="I8435" i="1" s="1"/>
  <c r="I8436" i="1" a="1"/>
  <c r="I8436" i="1" s="1"/>
  <c r="I8437" i="1" a="1"/>
  <c r="I8437" i="1" s="1"/>
  <c r="I8438" i="1" a="1"/>
  <c r="I8438" i="1" s="1"/>
  <c r="I8439" i="1" a="1"/>
  <c r="I8439" i="1" s="1"/>
  <c r="I8440" i="1" a="1"/>
  <c r="I8440" i="1" s="1"/>
  <c r="I8441" i="1" a="1"/>
  <c r="I8441" i="1" s="1"/>
  <c r="I8442" i="1" a="1"/>
  <c r="I8442" i="1" s="1"/>
  <c r="I8443" i="1" a="1"/>
  <c r="I8443" i="1" s="1"/>
  <c r="I8444" i="1" a="1"/>
  <c r="I8444" i="1" s="1"/>
  <c r="I8445" i="1" a="1"/>
  <c r="I8445" i="1" s="1"/>
  <c r="I8446" i="1" a="1"/>
  <c r="I8446" i="1" s="1"/>
  <c r="I8447" i="1" a="1"/>
  <c r="I8447" i="1" s="1"/>
  <c r="I8448" i="1" a="1"/>
  <c r="I8448" i="1" s="1"/>
  <c r="I8449" i="1" a="1"/>
  <c r="I8449" i="1" s="1"/>
  <c r="I8450" i="1" a="1"/>
  <c r="I8450" i="1" s="1"/>
  <c r="I8451" i="1" a="1"/>
  <c r="I8451" i="1" s="1"/>
  <c r="I8452" i="1" a="1"/>
  <c r="I8452" i="1" s="1"/>
  <c r="I8453" i="1" a="1"/>
  <c r="I8453" i="1" s="1"/>
  <c r="I8454" i="1" a="1"/>
  <c r="I8454" i="1" s="1"/>
  <c r="I8455" i="1" a="1"/>
  <c r="I8455" i="1" s="1"/>
  <c r="I8456" i="1" a="1"/>
  <c r="I8456" i="1" s="1"/>
  <c r="I8457" i="1" a="1"/>
  <c r="I8457" i="1" s="1"/>
  <c r="I8458" i="1" a="1"/>
  <c r="I8458" i="1" s="1"/>
  <c r="I8459" i="1" a="1"/>
  <c r="I8459" i="1" s="1"/>
  <c r="I8460" i="1" a="1"/>
  <c r="I8460" i="1" s="1"/>
  <c r="I8461" i="1" a="1"/>
  <c r="I8461" i="1" s="1"/>
  <c r="I8462" i="1" a="1"/>
  <c r="I8462" i="1" s="1"/>
  <c r="I8463" i="1" a="1"/>
  <c r="I8463" i="1" s="1"/>
  <c r="I8464" i="1" a="1"/>
  <c r="I8464" i="1" s="1"/>
  <c r="I8465" i="1" a="1"/>
  <c r="I8465" i="1" s="1"/>
  <c r="I8466" i="1" a="1"/>
  <c r="I8466" i="1" s="1"/>
  <c r="I8467" i="1" a="1"/>
  <c r="I8467" i="1" s="1"/>
  <c r="I8468" i="1" a="1"/>
  <c r="I8468" i="1" s="1"/>
  <c r="I8469" i="1" a="1"/>
  <c r="I8469" i="1" s="1"/>
  <c r="I8470" i="1" a="1"/>
  <c r="I8470" i="1" s="1"/>
  <c r="I8471" i="1" a="1"/>
  <c r="I8471" i="1" s="1"/>
  <c r="I8472" i="1" a="1"/>
  <c r="I8472" i="1" s="1"/>
  <c r="I8473" i="1" a="1"/>
  <c r="I8473" i="1" s="1"/>
  <c r="I8474" i="1" a="1"/>
  <c r="I8474" i="1" s="1"/>
  <c r="I8475" i="1" a="1"/>
  <c r="I8475" i="1" s="1"/>
  <c r="I8476" i="1" a="1"/>
  <c r="I8476" i="1" s="1"/>
  <c r="I8477" i="1" a="1"/>
  <c r="I8477" i="1" s="1"/>
  <c r="I8478" i="1" a="1"/>
  <c r="I8478" i="1" s="1"/>
  <c r="I8479" i="1" a="1"/>
  <c r="I8479" i="1" s="1"/>
  <c r="I8480" i="1" a="1"/>
  <c r="I8480" i="1" s="1"/>
  <c r="I8481" i="1" a="1"/>
  <c r="I8481" i="1" s="1"/>
  <c r="I8482" i="1" a="1"/>
  <c r="I8482" i="1" s="1"/>
  <c r="I8483" i="1" a="1"/>
  <c r="I8483" i="1" s="1"/>
  <c r="I8484" i="1" a="1"/>
  <c r="I8484" i="1" s="1"/>
  <c r="I8485" i="1" a="1"/>
  <c r="I8485" i="1" s="1"/>
  <c r="I8486" i="1" a="1"/>
  <c r="I8486" i="1" s="1"/>
  <c r="I8487" i="1" a="1"/>
  <c r="I8487" i="1" s="1"/>
  <c r="I8488" i="1" a="1"/>
  <c r="I8488" i="1" s="1"/>
  <c r="I8489" i="1" a="1"/>
  <c r="I8489" i="1" s="1"/>
  <c r="I8490" i="1" a="1"/>
  <c r="I8490" i="1" s="1"/>
  <c r="I8491" i="1" a="1"/>
  <c r="I8491" i="1" s="1"/>
  <c r="I8492" i="1" a="1"/>
  <c r="I8492" i="1" s="1"/>
  <c r="I8493" i="1" a="1"/>
  <c r="I8493" i="1" s="1"/>
  <c r="I8494" i="1" a="1"/>
  <c r="I8494" i="1" s="1"/>
  <c r="I8495" i="1" a="1"/>
  <c r="I8495" i="1" s="1"/>
  <c r="I8496" i="1" a="1"/>
  <c r="I8496" i="1" s="1"/>
  <c r="I8497" i="1" a="1"/>
  <c r="I8497" i="1" s="1"/>
  <c r="I8498" i="1" a="1"/>
  <c r="I8498" i="1" s="1"/>
  <c r="I8499" i="1" a="1"/>
  <c r="I8499" i="1" s="1"/>
  <c r="I8500" i="1" a="1"/>
  <c r="I8500" i="1" s="1"/>
  <c r="I8501" i="1" a="1"/>
  <c r="I8501" i="1" s="1"/>
  <c r="I8502" i="1" a="1"/>
  <c r="I8502" i="1" s="1"/>
  <c r="I8503" i="1" a="1"/>
  <c r="I8503" i="1" s="1"/>
  <c r="I8504" i="1" a="1"/>
  <c r="I8504" i="1" s="1"/>
  <c r="I8505" i="1" a="1"/>
  <c r="I8505" i="1" s="1"/>
  <c r="I8506" i="1" a="1"/>
  <c r="I8506" i="1" s="1"/>
  <c r="I8507" i="1" a="1"/>
  <c r="I8507" i="1" s="1"/>
  <c r="I8508" i="1" a="1"/>
  <c r="I8508" i="1" s="1"/>
  <c r="I8509" i="1" a="1"/>
  <c r="I8509" i="1" s="1"/>
  <c r="I8510" i="1" a="1"/>
  <c r="I8510" i="1" s="1"/>
  <c r="I8511" i="1" a="1"/>
  <c r="I8511" i="1" s="1"/>
  <c r="I8512" i="1" a="1"/>
  <c r="I8512" i="1" s="1"/>
  <c r="I8513" i="1" a="1"/>
  <c r="I8513" i="1" s="1"/>
  <c r="I8514" i="1" a="1"/>
  <c r="I8514" i="1" s="1"/>
  <c r="I8515" i="1" a="1"/>
  <c r="I8515" i="1" s="1"/>
  <c r="I8516" i="1" a="1"/>
  <c r="I8516" i="1" s="1"/>
  <c r="I8517" i="1" a="1"/>
  <c r="I8517" i="1" s="1"/>
  <c r="I8518" i="1" a="1"/>
  <c r="I8518" i="1" s="1"/>
  <c r="I8519" i="1" a="1"/>
  <c r="I8519" i="1" s="1"/>
  <c r="I8520" i="1" a="1"/>
  <c r="I8520" i="1" s="1"/>
  <c r="I8521" i="1" a="1"/>
  <c r="I8521" i="1" s="1"/>
  <c r="I8522" i="1" a="1"/>
  <c r="I8522" i="1" s="1"/>
  <c r="I8523" i="1" a="1"/>
  <c r="I8523" i="1" s="1"/>
  <c r="I8524" i="1" a="1"/>
  <c r="I8524" i="1" s="1"/>
  <c r="I8525" i="1" a="1"/>
  <c r="I8525" i="1" s="1"/>
  <c r="I8526" i="1" a="1"/>
  <c r="I8526" i="1" s="1"/>
  <c r="I8527" i="1" a="1"/>
  <c r="I8527" i="1" s="1"/>
  <c r="I8528" i="1" a="1"/>
  <c r="I8528" i="1" s="1"/>
  <c r="I8529" i="1" a="1"/>
  <c r="I8529" i="1" s="1"/>
  <c r="I8530" i="1" a="1"/>
  <c r="I8530" i="1" s="1"/>
  <c r="I8531" i="1" a="1"/>
  <c r="I8531" i="1" s="1"/>
  <c r="I8532" i="1" a="1"/>
  <c r="I8532" i="1" s="1"/>
  <c r="I8533" i="1" a="1"/>
  <c r="I8533" i="1" s="1"/>
  <c r="I8534" i="1" a="1"/>
  <c r="I8534" i="1" s="1"/>
  <c r="I8535" i="1" a="1"/>
  <c r="I8535" i="1" s="1"/>
  <c r="I8536" i="1" a="1"/>
  <c r="I8536" i="1" s="1"/>
  <c r="I8537" i="1" a="1"/>
  <c r="I8537" i="1" s="1"/>
  <c r="I8538" i="1" a="1"/>
  <c r="I8538" i="1" s="1"/>
  <c r="I8539" i="1" a="1"/>
  <c r="I8539" i="1" s="1"/>
  <c r="I8540" i="1" a="1"/>
  <c r="I8540" i="1" s="1"/>
  <c r="I8541" i="1" a="1"/>
  <c r="I8541" i="1" s="1"/>
  <c r="I8542" i="1" a="1"/>
  <c r="I8542" i="1" s="1"/>
  <c r="I8543" i="1" a="1"/>
  <c r="I8543" i="1" s="1"/>
  <c r="I8544" i="1" a="1"/>
  <c r="I8544" i="1" s="1"/>
  <c r="I8545" i="1" a="1"/>
  <c r="I8545" i="1" s="1"/>
  <c r="I8546" i="1" a="1"/>
  <c r="I8546" i="1" s="1"/>
  <c r="I8547" i="1" a="1"/>
  <c r="I8547" i="1" s="1"/>
  <c r="I8548" i="1" a="1"/>
  <c r="I8548" i="1" s="1"/>
  <c r="I8549" i="1" a="1"/>
  <c r="I8549" i="1" s="1"/>
  <c r="I8550" i="1" a="1"/>
  <c r="I8550" i="1" s="1"/>
  <c r="I8551" i="1" a="1"/>
  <c r="I8551" i="1" s="1"/>
  <c r="I8552" i="1" a="1"/>
  <c r="I8552" i="1" s="1"/>
  <c r="I8553" i="1" a="1"/>
  <c r="I8553" i="1" s="1"/>
  <c r="I8554" i="1" a="1"/>
  <c r="I8554" i="1" s="1"/>
  <c r="I8555" i="1" a="1"/>
  <c r="I8555" i="1" s="1"/>
  <c r="I8556" i="1" a="1"/>
  <c r="I8556" i="1" s="1"/>
  <c r="I8557" i="1" a="1"/>
  <c r="I8557" i="1" s="1"/>
  <c r="I8558" i="1" a="1"/>
  <c r="I8558" i="1" s="1"/>
  <c r="I8559" i="1" a="1"/>
  <c r="I8559" i="1" s="1"/>
  <c r="I8560" i="1" a="1"/>
  <c r="I8560" i="1" s="1"/>
  <c r="I8561" i="1" a="1"/>
  <c r="I8561" i="1" s="1"/>
  <c r="I8562" i="1" a="1"/>
  <c r="I8562" i="1" s="1"/>
  <c r="I8563" i="1" a="1"/>
  <c r="I8563" i="1" s="1"/>
  <c r="I8564" i="1" a="1"/>
  <c r="I8564" i="1" s="1"/>
  <c r="I8565" i="1" a="1"/>
  <c r="I8565" i="1" s="1"/>
  <c r="I8566" i="1" a="1"/>
  <c r="I8566" i="1" s="1"/>
  <c r="I8567" i="1" a="1"/>
  <c r="I8567" i="1" s="1"/>
  <c r="I8568" i="1" a="1"/>
  <c r="I8568" i="1" s="1"/>
  <c r="I8569" i="1" a="1"/>
  <c r="I8569" i="1" s="1"/>
  <c r="I8570" i="1" a="1"/>
  <c r="I8570" i="1" s="1"/>
  <c r="I8571" i="1" a="1"/>
  <c r="I8571" i="1" s="1"/>
  <c r="I8572" i="1" a="1"/>
  <c r="I8572" i="1" s="1"/>
  <c r="I8573" i="1" a="1"/>
  <c r="I8573" i="1" s="1"/>
  <c r="I8574" i="1" a="1"/>
  <c r="I8574" i="1" s="1"/>
  <c r="I8575" i="1" a="1"/>
  <c r="I8575" i="1" s="1"/>
  <c r="I8576" i="1" a="1"/>
  <c r="I8576" i="1" s="1"/>
  <c r="I8577" i="1" a="1"/>
  <c r="I8577" i="1" s="1"/>
  <c r="I8578" i="1" a="1"/>
  <c r="I8578" i="1" s="1"/>
  <c r="I8579" i="1" a="1"/>
  <c r="I8579" i="1" s="1"/>
  <c r="I8580" i="1" a="1"/>
  <c r="I8580" i="1" s="1"/>
  <c r="I8581" i="1" a="1"/>
  <c r="I8581" i="1" s="1"/>
  <c r="I8582" i="1" a="1"/>
  <c r="I8582" i="1" s="1"/>
  <c r="I8583" i="1" a="1"/>
  <c r="I8583" i="1" s="1"/>
  <c r="I8584" i="1" a="1"/>
  <c r="I8584" i="1" s="1"/>
  <c r="I8585" i="1" a="1"/>
  <c r="I8585" i="1" s="1"/>
  <c r="I8586" i="1" a="1"/>
  <c r="I8586" i="1" s="1"/>
  <c r="I8587" i="1" a="1"/>
  <c r="I8587" i="1" s="1"/>
  <c r="I8588" i="1" a="1"/>
  <c r="I8588" i="1" s="1"/>
  <c r="I8589" i="1" a="1"/>
  <c r="I8589" i="1" s="1"/>
  <c r="I8590" i="1" a="1"/>
  <c r="I8590" i="1" s="1"/>
  <c r="I8591" i="1" a="1"/>
  <c r="I8591" i="1" s="1"/>
  <c r="I8592" i="1" a="1"/>
  <c r="I8592" i="1" s="1"/>
  <c r="I8593" i="1" a="1"/>
  <c r="I8593" i="1" s="1"/>
  <c r="I8594" i="1" a="1"/>
  <c r="I8594" i="1" s="1"/>
  <c r="I8595" i="1" a="1"/>
  <c r="I8595" i="1" s="1"/>
  <c r="I8596" i="1" a="1"/>
  <c r="I8596" i="1" s="1"/>
  <c r="I8597" i="1" a="1"/>
  <c r="I8597" i="1" s="1"/>
  <c r="I8598" i="1" a="1"/>
  <c r="I8598" i="1" s="1"/>
  <c r="I8599" i="1" a="1"/>
  <c r="I8599" i="1" s="1"/>
  <c r="I8600" i="1" a="1"/>
  <c r="I8600" i="1" s="1"/>
  <c r="I8601" i="1" a="1"/>
  <c r="I8601" i="1" s="1"/>
  <c r="I8602" i="1" a="1"/>
  <c r="I8602" i="1" s="1"/>
  <c r="I8603" i="1" a="1"/>
  <c r="I8603" i="1" s="1"/>
  <c r="I8604" i="1" a="1"/>
  <c r="I8604" i="1" s="1"/>
  <c r="I8605" i="1" a="1"/>
  <c r="I8605" i="1" s="1"/>
  <c r="I8606" i="1" a="1"/>
  <c r="I8606" i="1" s="1"/>
  <c r="I8607" i="1" a="1"/>
  <c r="I8607" i="1" s="1"/>
  <c r="I8608" i="1" a="1"/>
  <c r="I8608" i="1" s="1"/>
  <c r="I8609" i="1" a="1"/>
  <c r="I8609" i="1" s="1"/>
  <c r="I8610" i="1" a="1"/>
  <c r="I8610" i="1" s="1"/>
  <c r="I8611" i="1" a="1"/>
  <c r="I8611" i="1" s="1"/>
  <c r="I8612" i="1" a="1"/>
  <c r="I8612" i="1" s="1"/>
  <c r="I8613" i="1" a="1"/>
  <c r="I8613" i="1" s="1"/>
  <c r="I8614" i="1" a="1"/>
  <c r="I8614" i="1" s="1"/>
  <c r="I8615" i="1" a="1"/>
  <c r="I8615" i="1" s="1"/>
  <c r="I8616" i="1" a="1"/>
  <c r="I8616" i="1" s="1"/>
  <c r="I8617" i="1" a="1"/>
  <c r="I8617" i="1" s="1"/>
  <c r="I8618" i="1" a="1"/>
  <c r="I8618" i="1" s="1"/>
  <c r="I8619" i="1" a="1"/>
  <c r="I8619" i="1" s="1"/>
  <c r="I8620" i="1" a="1"/>
  <c r="I8620" i="1" s="1"/>
  <c r="I8621" i="1" a="1"/>
  <c r="I8621" i="1" s="1"/>
  <c r="I8622" i="1" a="1"/>
  <c r="I8622" i="1" s="1"/>
  <c r="I8623" i="1" a="1"/>
  <c r="I8623" i="1" s="1"/>
  <c r="I8624" i="1" a="1"/>
  <c r="I8624" i="1" s="1"/>
  <c r="I8625" i="1" a="1"/>
  <c r="I8625" i="1" s="1"/>
  <c r="I8626" i="1" a="1"/>
  <c r="I8626" i="1" s="1"/>
  <c r="I8627" i="1" a="1"/>
  <c r="I8627" i="1" s="1"/>
  <c r="I8628" i="1" a="1"/>
  <c r="I8628" i="1" s="1"/>
  <c r="I8629" i="1" a="1"/>
  <c r="I8629" i="1" s="1"/>
  <c r="I8630" i="1" a="1"/>
  <c r="I8630" i="1" s="1"/>
  <c r="I8631" i="1" a="1"/>
  <c r="I8631" i="1" s="1"/>
  <c r="I8632" i="1" a="1"/>
  <c r="I8632" i="1" s="1"/>
  <c r="I8633" i="1" a="1"/>
  <c r="I8633" i="1" s="1"/>
  <c r="I8634" i="1" a="1"/>
  <c r="I8634" i="1" s="1"/>
  <c r="I8635" i="1" a="1"/>
  <c r="I8635" i="1" s="1"/>
  <c r="I8636" i="1" a="1"/>
  <c r="I8636" i="1" s="1"/>
  <c r="I8637" i="1" a="1"/>
  <c r="I8637" i="1" s="1"/>
  <c r="I8638" i="1" a="1"/>
  <c r="I8638" i="1" s="1"/>
  <c r="I8639" i="1" a="1"/>
  <c r="I8639" i="1" s="1"/>
  <c r="I8640" i="1" a="1"/>
  <c r="I8640" i="1" s="1"/>
  <c r="I8641" i="1" a="1"/>
  <c r="I8641" i="1" s="1"/>
  <c r="I8642" i="1" a="1"/>
  <c r="I8642" i="1" s="1"/>
  <c r="I8643" i="1" a="1"/>
  <c r="I8643" i="1" s="1"/>
  <c r="I8644" i="1" a="1"/>
  <c r="I8644" i="1" s="1"/>
  <c r="I8645" i="1" a="1"/>
  <c r="I8645" i="1" s="1"/>
  <c r="I8646" i="1" a="1"/>
  <c r="I8646" i="1" s="1"/>
  <c r="I8647" i="1" a="1"/>
  <c r="I8647" i="1" s="1"/>
  <c r="I8648" i="1" a="1"/>
  <c r="I8648" i="1" s="1"/>
  <c r="I8649" i="1" a="1"/>
  <c r="I8649" i="1" s="1"/>
  <c r="I8650" i="1" a="1"/>
  <c r="I8650" i="1" s="1"/>
  <c r="I8651" i="1" a="1"/>
  <c r="I8651" i="1" s="1"/>
  <c r="I8652" i="1" a="1"/>
  <c r="I8652" i="1" s="1"/>
  <c r="I8653" i="1" a="1"/>
  <c r="I8653" i="1" s="1"/>
  <c r="I8654" i="1" a="1"/>
  <c r="I8654" i="1" s="1"/>
  <c r="I8655" i="1" a="1"/>
  <c r="I8655" i="1" s="1"/>
  <c r="I8656" i="1" a="1"/>
  <c r="I8656" i="1" s="1"/>
  <c r="I8657" i="1" a="1"/>
  <c r="I8657" i="1" s="1"/>
  <c r="I8658" i="1" a="1"/>
  <c r="I8658" i="1" s="1"/>
  <c r="I8659" i="1" a="1"/>
  <c r="I8659" i="1" s="1"/>
  <c r="I8660" i="1" a="1"/>
  <c r="I8660" i="1" s="1"/>
  <c r="I8661" i="1" a="1"/>
  <c r="I8661" i="1" s="1"/>
  <c r="I8662" i="1" a="1"/>
  <c r="I8662" i="1" s="1"/>
  <c r="I8663" i="1" a="1"/>
  <c r="I8663" i="1" s="1"/>
  <c r="I8664" i="1" a="1"/>
  <c r="I8664" i="1" s="1"/>
  <c r="I8665" i="1" a="1"/>
  <c r="I8665" i="1" s="1"/>
  <c r="I8666" i="1" a="1"/>
  <c r="I8666" i="1" s="1"/>
  <c r="I8667" i="1" a="1"/>
  <c r="I8667" i="1" s="1"/>
  <c r="I8668" i="1" a="1"/>
  <c r="I8668" i="1" s="1"/>
  <c r="I8669" i="1" a="1"/>
  <c r="I8669" i="1" s="1"/>
  <c r="I8670" i="1" a="1"/>
  <c r="I8670" i="1" s="1"/>
  <c r="I8671" i="1" a="1"/>
  <c r="I8671" i="1" s="1"/>
  <c r="I8672" i="1" a="1"/>
  <c r="I8672" i="1" s="1"/>
  <c r="I8673" i="1" a="1"/>
  <c r="I8673" i="1" s="1"/>
  <c r="I8674" i="1" a="1"/>
  <c r="I8674" i="1" s="1"/>
  <c r="I8675" i="1" a="1"/>
  <c r="I8675" i="1" s="1"/>
  <c r="I8676" i="1" a="1"/>
  <c r="I8676" i="1" s="1"/>
  <c r="I8677" i="1" a="1"/>
  <c r="I8677" i="1" s="1"/>
  <c r="I8678" i="1" a="1"/>
  <c r="I8678" i="1" s="1"/>
  <c r="I8679" i="1" a="1"/>
  <c r="I8679" i="1" s="1"/>
  <c r="I8680" i="1" a="1"/>
  <c r="I8680" i="1" s="1"/>
  <c r="I8681" i="1" a="1"/>
  <c r="I8681" i="1" s="1"/>
  <c r="I8682" i="1" a="1"/>
  <c r="I8682" i="1" s="1"/>
  <c r="I8683" i="1" a="1"/>
  <c r="I8683" i="1" s="1"/>
  <c r="I8684" i="1" a="1"/>
  <c r="I8684" i="1" s="1"/>
  <c r="I8685" i="1" a="1"/>
  <c r="I8685" i="1" s="1"/>
  <c r="I8686" i="1" a="1"/>
  <c r="I8686" i="1" s="1"/>
  <c r="I8687" i="1" a="1"/>
  <c r="I8687" i="1" s="1"/>
  <c r="I8688" i="1" a="1"/>
  <c r="I8688" i="1" s="1"/>
  <c r="I8689" i="1" a="1"/>
  <c r="I8689" i="1" s="1"/>
  <c r="I8690" i="1" a="1"/>
  <c r="I8690" i="1" s="1"/>
  <c r="I8691" i="1" a="1"/>
  <c r="I8691" i="1" s="1"/>
  <c r="I8692" i="1" a="1"/>
  <c r="I8692" i="1" s="1"/>
  <c r="I8693" i="1" a="1"/>
  <c r="I8693" i="1" s="1"/>
  <c r="I8694" i="1" a="1"/>
  <c r="I8694" i="1" s="1"/>
  <c r="I8695" i="1" a="1"/>
  <c r="I8695" i="1" s="1"/>
  <c r="I8696" i="1" a="1"/>
  <c r="I8696" i="1" s="1"/>
  <c r="I8697" i="1" a="1"/>
  <c r="I8697" i="1" s="1"/>
  <c r="I8698" i="1" a="1"/>
  <c r="I8698" i="1" s="1"/>
  <c r="I8699" i="1" a="1"/>
  <c r="I8699" i="1" s="1"/>
  <c r="I8700" i="1" a="1"/>
  <c r="I8700" i="1" s="1"/>
  <c r="I8701" i="1" a="1"/>
  <c r="I8701" i="1" s="1"/>
  <c r="I8702" i="1" a="1"/>
  <c r="I8702" i="1" s="1"/>
  <c r="I8703" i="1" a="1"/>
  <c r="I8703" i="1" s="1"/>
  <c r="I8704" i="1" a="1"/>
  <c r="I8704" i="1" s="1"/>
  <c r="I8705" i="1" a="1"/>
  <c r="I8705" i="1" s="1"/>
  <c r="I8706" i="1" a="1"/>
  <c r="I8706" i="1" s="1"/>
  <c r="I8707" i="1" a="1"/>
  <c r="I8707" i="1" s="1"/>
  <c r="I8708" i="1" a="1"/>
  <c r="I8708" i="1" s="1"/>
  <c r="I8709" i="1" a="1"/>
  <c r="I8709" i="1" s="1"/>
  <c r="I8710" i="1" a="1"/>
  <c r="I8710" i="1" s="1"/>
  <c r="I8711" i="1" a="1"/>
  <c r="I8711" i="1" s="1"/>
  <c r="I8712" i="1" a="1"/>
  <c r="I8712" i="1" s="1"/>
  <c r="I8713" i="1" a="1"/>
  <c r="I8713" i="1" s="1"/>
  <c r="I8714" i="1" a="1"/>
  <c r="I8714" i="1" s="1"/>
  <c r="I8715" i="1" a="1"/>
  <c r="I8715" i="1" s="1"/>
  <c r="I8716" i="1" a="1"/>
  <c r="I8716" i="1" s="1"/>
  <c r="I8717" i="1" a="1"/>
  <c r="I8717" i="1" s="1"/>
  <c r="I8718" i="1" a="1"/>
  <c r="I8718" i="1" s="1"/>
  <c r="I8719" i="1" a="1"/>
  <c r="I8719" i="1" s="1"/>
  <c r="I8720" i="1" a="1"/>
  <c r="I8720" i="1" s="1"/>
  <c r="I8721" i="1" a="1"/>
  <c r="I8721" i="1" s="1"/>
  <c r="I8722" i="1" a="1"/>
  <c r="I8722" i="1" s="1"/>
  <c r="I8723" i="1" a="1"/>
  <c r="I8723" i="1" s="1"/>
  <c r="I8724" i="1" a="1"/>
  <c r="I8724" i="1" s="1"/>
  <c r="I8725" i="1" a="1"/>
  <c r="I8725" i="1" s="1"/>
  <c r="I8726" i="1" a="1"/>
  <c r="I8726" i="1" s="1"/>
  <c r="I8727" i="1" a="1"/>
  <c r="I8727" i="1" s="1"/>
  <c r="I8728" i="1" a="1"/>
  <c r="I8728" i="1" s="1"/>
  <c r="I8729" i="1" a="1"/>
  <c r="I8729" i="1" s="1"/>
  <c r="I8730" i="1" a="1"/>
  <c r="I8730" i="1" s="1"/>
  <c r="I8731" i="1" a="1"/>
  <c r="I8731" i="1" s="1"/>
  <c r="I8732" i="1" a="1"/>
  <c r="I8732" i="1" s="1"/>
  <c r="I8733" i="1" a="1"/>
  <c r="I8733" i="1" s="1"/>
  <c r="I8734" i="1" a="1"/>
  <c r="I8734" i="1" s="1"/>
  <c r="I8735" i="1" a="1"/>
  <c r="I8735" i="1" s="1"/>
  <c r="I8736" i="1" a="1"/>
  <c r="I8736" i="1" s="1"/>
  <c r="I8737" i="1" a="1"/>
  <c r="I8737" i="1" s="1"/>
  <c r="I8738" i="1" a="1"/>
  <c r="I8738" i="1" s="1"/>
  <c r="I8739" i="1" a="1"/>
  <c r="I8739" i="1" s="1"/>
  <c r="I8740" i="1" a="1"/>
  <c r="I8740" i="1" s="1"/>
  <c r="I8741" i="1" a="1"/>
  <c r="I8741" i="1" s="1"/>
  <c r="I8742" i="1" a="1"/>
  <c r="I8742" i="1" s="1"/>
  <c r="I8743" i="1" a="1"/>
  <c r="I8743" i="1" s="1"/>
  <c r="I8744" i="1" a="1"/>
  <c r="I8744" i="1" s="1"/>
  <c r="I8745" i="1" a="1"/>
  <c r="I8745" i="1" s="1"/>
  <c r="I8746" i="1" a="1"/>
  <c r="I8746" i="1" s="1"/>
  <c r="I8747" i="1" a="1"/>
  <c r="I8747" i="1" s="1"/>
  <c r="I8748" i="1" a="1"/>
  <c r="I8748" i="1" s="1"/>
  <c r="I8749" i="1" a="1"/>
  <c r="I8749" i="1" s="1"/>
  <c r="I8750" i="1" a="1"/>
  <c r="I8750" i="1" s="1"/>
  <c r="I8751" i="1" a="1"/>
  <c r="I8751" i="1" s="1"/>
  <c r="I8752" i="1" a="1"/>
  <c r="I8752" i="1" s="1"/>
  <c r="I8753" i="1" a="1"/>
  <c r="I8753" i="1" s="1"/>
  <c r="I8754" i="1" a="1"/>
  <c r="I8754" i="1" s="1"/>
  <c r="I8755" i="1" a="1"/>
  <c r="I8755" i="1" s="1"/>
  <c r="I8756" i="1" a="1"/>
  <c r="I8756" i="1" s="1"/>
  <c r="I8757" i="1" a="1"/>
  <c r="I8757" i="1" s="1"/>
  <c r="I8758" i="1" a="1"/>
  <c r="I8758" i="1" s="1"/>
  <c r="I8759" i="1" a="1"/>
  <c r="I8759" i="1" s="1"/>
  <c r="I8760" i="1" a="1"/>
  <c r="I8760" i="1" s="1"/>
  <c r="I8761" i="1" a="1"/>
  <c r="I8761" i="1" s="1"/>
  <c r="I8762" i="1" a="1"/>
  <c r="I8762" i="1" s="1"/>
  <c r="I8763" i="1" a="1"/>
  <c r="I8763" i="1" s="1"/>
  <c r="I8764" i="1" a="1"/>
  <c r="I8764" i="1" s="1"/>
  <c r="I8765" i="1" a="1"/>
  <c r="I8765" i="1" s="1"/>
  <c r="I8766" i="1" a="1"/>
  <c r="I8766" i="1" s="1"/>
  <c r="I8767" i="1" a="1"/>
  <c r="I8767" i="1" s="1"/>
  <c r="I8768" i="1" a="1"/>
  <c r="I8768" i="1" s="1"/>
  <c r="I8769" i="1" a="1"/>
  <c r="I8769" i="1" s="1"/>
  <c r="I8770" i="1" a="1"/>
  <c r="I8770" i="1" s="1"/>
  <c r="I8771" i="1" a="1"/>
  <c r="I8771" i="1" s="1"/>
  <c r="I8772" i="1" a="1"/>
  <c r="I8772" i="1" s="1"/>
  <c r="I8773" i="1" a="1"/>
  <c r="I8773" i="1" s="1"/>
  <c r="I8774" i="1" a="1"/>
  <c r="I8774" i="1" s="1"/>
  <c r="I8775" i="1" a="1"/>
  <c r="I8775" i="1" s="1"/>
  <c r="I8776" i="1" a="1"/>
  <c r="I8776" i="1" s="1"/>
  <c r="I8777" i="1" a="1"/>
  <c r="I8777" i="1" s="1"/>
  <c r="I8778" i="1" a="1"/>
  <c r="I8778" i="1" s="1"/>
  <c r="I8779" i="1" a="1"/>
  <c r="I8779" i="1" s="1"/>
  <c r="I8780" i="1" a="1"/>
  <c r="I8780" i="1" s="1"/>
  <c r="I8781" i="1" a="1"/>
  <c r="I8781" i="1" s="1"/>
  <c r="I8782" i="1" a="1"/>
  <c r="I8782" i="1" s="1"/>
  <c r="I8783" i="1" a="1"/>
  <c r="I8783" i="1" s="1"/>
  <c r="I8784" i="1" a="1"/>
  <c r="I8784" i="1" s="1"/>
  <c r="I8785" i="1" a="1"/>
  <c r="I8785" i="1" s="1"/>
  <c r="I8786" i="1" a="1"/>
  <c r="I8786" i="1" s="1"/>
  <c r="I8787" i="1" a="1"/>
  <c r="I8787" i="1" s="1"/>
  <c r="I8788" i="1" a="1"/>
  <c r="I8788" i="1" s="1"/>
  <c r="I8789" i="1" a="1"/>
  <c r="I8789" i="1" s="1"/>
  <c r="I8790" i="1" a="1"/>
  <c r="I8790" i="1" s="1"/>
  <c r="I8791" i="1" a="1"/>
  <c r="I8791" i="1" s="1"/>
  <c r="I8792" i="1" a="1"/>
  <c r="I8792" i="1" s="1"/>
  <c r="I8793" i="1" a="1"/>
  <c r="I8793" i="1" s="1"/>
  <c r="I8794" i="1" a="1"/>
  <c r="I8794" i="1" s="1"/>
  <c r="I8795" i="1" a="1"/>
  <c r="I8795" i="1" s="1"/>
  <c r="I8796" i="1" a="1"/>
  <c r="I8796" i="1" s="1"/>
  <c r="I8797" i="1" a="1"/>
  <c r="I8797" i="1" s="1"/>
  <c r="I8798" i="1" a="1"/>
  <c r="I8798" i="1" s="1"/>
  <c r="I8799" i="1" a="1"/>
  <c r="I8799" i="1" s="1"/>
  <c r="I8800" i="1" a="1"/>
  <c r="I8800" i="1" s="1"/>
  <c r="I8801" i="1" a="1"/>
  <c r="I8801" i="1" s="1"/>
  <c r="I8802" i="1" a="1"/>
  <c r="I8802" i="1" s="1"/>
  <c r="I8803" i="1" a="1"/>
  <c r="I8803" i="1" s="1"/>
  <c r="I8804" i="1" a="1"/>
  <c r="I8804" i="1" s="1"/>
  <c r="I8805" i="1" a="1"/>
  <c r="I8805" i="1" s="1"/>
  <c r="I8806" i="1" a="1"/>
  <c r="I8806" i="1" s="1"/>
  <c r="I8807" i="1" a="1"/>
  <c r="I8807" i="1" s="1"/>
  <c r="I8808" i="1" a="1"/>
  <c r="I8808" i="1" s="1"/>
  <c r="I8809" i="1" a="1"/>
  <c r="I8809" i="1" s="1"/>
  <c r="I8810" i="1" a="1"/>
  <c r="I8810" i="1" s="1"/>
  <c r="I8811" i="1" a="1"/>
  <c r="I8811" i="1" s="1"/>
  <c r="I8812" i="1" a="1"/>
  <c r="I8812" i="1" s="1"/>
  <c r="I8813" i="1" a="1"/>
  <c r="I8813" i="1" s="1"/>
  <c r="I8814" i="1" a="1"/>
  <c r="I8814" i="1" s="1"/>
  <c r="I8815" i="1" a="1"/>
  <c r="I8815" i="1" s="1"/>
  <c r="I8816" i="1" a="1"/>
  <c r="I8816" i="1" s="1"/>
  <c r="I8817" i="1" a="1"/>
  <c r="I8817" i="1" s="1"/>
  <c r="I8818" i="1" a="1"/>
  <c r="I8818" i="1" s="1"/>
  <c r="I8819" i="1" a="1"/>
  <c r="I8819" i="1" s="1"/>
  <c r="I8820" i="1" a="1"/>
  <c r="I8820" i="1" s="1"/>
  <c r="I8821" i="1" a="1"/>
  <c r="I8821" i="1" s="1"/>
  <c r="I8822" i="1" a="1"/>
  <c r="I8822" i="1" s="1"/>
  <c r="I8823" i="1" a="1"/>
  <c r="I8823" i="1" s="1"/>
  <c r="I8824" i="1" a="1"/>
  <c r="I8824" i="1" s="1"/>
  <c r="I8825" i="1" a="1"/>
  <c r="I8825" i="1" s="1"/>
  <c r="I8826" i="1" a="1"/>
  <c r="I8826" i="1" s="1"/>
  <c r="I8827" i="1" a="1"/>
  <c r="I8827" i="1" s="1"/>
  <c r="I8828" i="1" a="1"/>
  <c r="I8828" i="1" s="1"/>
  <c r="I8829" i="1" a="1"/>
  <c r="I8829" i="1" s="1"/>
  <c r="I8830" i="1" a="1"/>
  <c r="I8830" i="1" s="1"/>
  <c r="I8831" i="1" a="1"/>
  <c r="I8831" i="1" s="1"/>
  <c r="I8832" i="1" a="1"/>
  <c r="I8832" i="1" s="1"/>
  <c r="I8833" i="1" a="1"/>
  <c r="I8833" i="1" s="1"/>
  <c r="I8834" i="1" a="1"/>
  <c r="I8834" i="1" s="1"/>
  <c r="I8835" i="1" a="1"/>
  <c r="I8835" i="1" s="1"/>
  <c r="I8836" i="1" a="1"/>
  <c r="I8836" i="1" s="1"/>
  <c r="I8837" i="1" a="1"/>
  <c r="I8837" i="1" s="1"/>
  <c r="I8838" i="1" a="1"/>
  <c r="I8838" i="1" s="1"/>
  <c r="I8839" i="1" a="1"/>
  <c r="I8839" i="1" s="1"/>
  <c r="I8840" i="1" a="1"/>
  <c r="I8840" i="1" s="1"/>
  <c r="I8841" i="1" a="1"/>
  <c r="I8841" i="1" s="1"/>
  <c r="I8842" i="1" a="1"/>
  <c r="I8842" i="1" s="1"/>
  <c r="I8843" i="1" a="1"/>
  <c r="I8843" i="1" s="1"/>
  <c r="I8844" i="1" a="1"/>
  <c r="I8844" i="1" s="1"/>
  <c r="I8845" i="1" a="1"/>
  <c r="I8845" i="1" s="1"/>
  <c r="I8846" i="1" a="1"/>
  <c r="I8846" i="1" s="1"/>
  <c r="I8847" i="1" a="1"/>
  <c r="I8847" i="1" s="1"/>
  <c r="I8848" i="1" a="1"/>
  <c r="I8848" i="1" s="1"/>
  <c r="I8849" i="1" a="1"/>
  <c r="I8849" i="1" s="1"/>
  <c r="I8850" i="1" a="1"/>
  <c r="I8850" i="1" s="1"/>
  <c r="I8851" i="1" a="1"/>
  <c r="I8851" i="1" s="1"/>
  <c r="I8852" i="1" a="1"/>
  <c r="I8852" i="1" s="1"/>
  <c r="I8853" i="1" a="1"/>
  <c r="I8853" i="1" s="1"/>
  <c r="I8854" i="1" a="1"/>
  <c r="I8854" i="1" s="1"/>
  <c r="I8855" i="1" a="1"/>
  <c r="I8855" i="1" s="1"/>
  <c r="I8856" i="1" a="1"/>
  <c r="I8856" i="1" s="1"/>
  <c r="I8857" i="1" a="1"/>
  <c r="I8857" i="1" s="1"/>
  <c r="I8858" i="1" a="1"/>
  <c r="I8858" i="1" s="1"/>
  <c r="I8859" i="1" a="1"/>
  <c r="I8859" i="1" s="1"/>
  <c r="I8860" i="1" a="1"/>
  <c r="I8860" i="1" s="1"/>
  <c r="I8861" i="1" a="1"/>
  <c r="I8861" i="1" s="1"/>
  <c r="I8862" i="1" a="1"/>
  <c r="I8862" i="1" s="1"/>
  <c r="I8863" i="1" a="1"/>
  <c r="I8863" i="1" s="1"/>
  <c r="I8864" i="1" a="1"/>
  <c r="I8864" i="1" s="1"/>
  <c r="I8865" i="1" a="1"/>
  <c r="I8865" i="1" s="1"/>
  <c r="I8866" i="1" a="1"/>
  <c r="I8866" i="1" s="1"/>
  <c r="I8867" i="1" a="1"/>
  <c r="I8867" i="1" s="1"/>
  <c r="I8868" i="1" a="1"/>
  <c r="I8868" i="1" s="1"/>
  <c r="I8869" i="1" a="1"/>
  <c r="I8869" i="1" s="1"/>
  <c r="I8870" i="1" a="1"/>
  <c r="I8870" i="1" s="1"/>
  <c r="I8871" i="1" a="1"/>
  <c r="I8871" i="1" s="1"/>
  <c r="I8872" i="1" a="1"/>
  <c r="I8872" i="1" s="1"/>
  <c r="I8873" i="1" a="1"/>
  <c r="I8873" i="1" s="1"/>
  <c r="I8874" i="1" a="1"/>
  <c r="I8874" i="1" s="1"/>
  <c r="I8875" i="1" a="1"/>
  <c r="I8875" i="1" s="1"/>
  <c r="I8876" i="1" a="1"/>
  <c r="I8876" i="1" s="1"/>
  <c r="I8877" i="1" a="1"/>
  <c r="I8877" i="1" s="1"/>
  <c r="I8878" i="1" a="1"/>
  <c r="I8878" i="1" s="1"/>
  <c r="I8879" i="1" a="1"/>
  <c r="I8879" i="1" s="1"/>
  <c r="I8880" i="1" a="1"/>
  <c r="I8880" i="1" s="1"/>
  <c r="I8881" i="1" a="1"/>
  <c r="I8881" i="1" s="1"/>
  <c r="I8882" i="1" a="1"/>
  <c r="I8882" i="1" s="1"/>
  <c r="I8883" i="1" a="1"/>
  <c r="I8883" i="1" s="1"/>
  <c r="I8884" i="1" a="1"/>
  <c r="I8884" i="1" s="1"/>
  <c r="I8885" i="1" a="1"/>
  <c r="I8885" i="1" s="1"/>
  <c r="I8886" i="1" a="1"/>
  <c r="I8886" i="1" s="1"/>
  <c r="I8887" i="1" a="1"/>
  <c r="I8887" i="1" s="1"/>
  <c r="I8888" i="1" a="1"/>
  <c r="I8888" i="1" s="1"/>
  <c r="I8889" i="1" a="1"/>
  <c r="I8889" i="1" s="1"/>
  <c r="I8890" i="1" a="1"/>
  <c r="I8890" i="1" s="1"/>
  <c r="I8891" i="1" a="1"/>
  <c r="I8891" i="1" s="1"/>
  <c r="I8892" i="1" a="1"/>
  <c r="I8892" i="1" s="1"/>
  <c r="I8893" i="1" a="1"/>
  <c r="I8893" i="1" s="1"/>
  <c r="I8894" i="1" a="1"/>
  <c r="I8894" i="1" s="1"/>
  <c r="I8895" i="1" a="1"/>
  <c r="I8895" i="1" s="1"/>
  <c r="I8896" i="1" a="1"/>
  <c r="I8896" i="1" s="1"/>
  <c r="I8897" i="1" a="1"/>
  <c r="I8897" i="1" s="1"/>
  <c r="I8898" i="1" a="1"/>
  <c r="I8898" i="1" s="1"/>
  <c r="I8899" i="1" a="1"/>
  <c r="I8899" i="1" s="1"/>
  <c r="I8900" i="1" a="1"/>
  <c r="I8900" i="1" s="1"/>
  <c r="I8901" i="1" a="1"/>
  <c r="I8901" i="1" s="1"/>
  <c r="I8902" i="1" a="1"/>
  <c r="I8902" i="1" s="1"/>
  <c r="I8903" i="1" a="1"/>
  <c r="I8903" i="1" s="1"/>
  <c r="I8904" i="1" a="1"/>
  <c r="I8904" i="1" s="1"/>
  <c r="I8905" i="1" a="1"/>
  <c r="I8905" i="1" s="1"/>
  <c r="I8906" i="1" a="1"/>
  <c r="I8906" i="1" s="1"/>
  <c r="I8907" i="1" a="1"/>
  <c r="I8907" i="1" s="1"/>
  <c r="I8908" i="1" a="1"/>
  <c r="I8908" i="1" s="1"/>
  <c r="I8909" i="1" a="1"/>
  <c r="I8909" i="1" s="1"/>
  <c r="I8910" i="1" a="1"/>
  <c r="I8910" i="1" s="1"/>
  <c r="I8911" i="1" a="1"/>
  <c r="I8911" i="1" s="1"/>
  <c r="I8912" i="1" a="1"/>
  <c r="I8912" i="1" s="1"/>
  <c r="I8913" i="1" a="1"/>
  <c r="I8913" i="1" s="1"/>
  <c r="I8914" i="1" a="1"/>
  <c r="I8914" i="1" s="1"/>
  <c r="I8915" i="1" a="1"/>
  <c r="I8915" i="1" s="1"/>
  <c r="I8916" i="1" a="1"/>
  <c r="I8916" i="1" s="1"/>
  <c r="I8917" i="1" a="1"/>
  <c r="I8917" i="1" s="1"/>
  <c r="I8918" i="1" a="1"/>
  <c r="I8918" i="1" s="1"/>
  <c r="I8919" i="1" a="1"/>
  <c r="I8919" i="1" s="1"/>
  <c r="I8920" i="1" a="1"/>
  <c r="I8920" i="1" s="1"/>
  <c r="I8921" i="1" a="1"/>
  <c r="I8921" i="1" s="1"/>
  <c r="I8922" i="1" a="1"/>
  <c r="I8922" i="1" s="1"/>
  <c r="I8923" i="1" a="1"/>
  <c r="I8923" i="1" s="1"/>
  <c r="I8924" i="1" a="1"/>
  <c r="I8924" i="1" s="1"/>
  <c r="I8925" i="1" a="1"/>
  <c r="I8925" i="1" s="1"/>
  <c r="I8926" i="1" a="1"/>
  <c r="I8926" i="1" s="1"/>
  <c r="I8927" i="1" a="1"/>
  <c r="I8927" i="1" s="1"/>
  <c r="I8928" i="1" a="1"/>
  <c r="I8928" i="1" s="1"/>
  <c r="I8929" i="1" a="1"/>
  <c r="I8929" i="1" s="1"/>
  <c r="I8930" i="1" a="1"/>
  <c r="I8930" i="1" s="1"/>
  <c r="I8931" i="1" a="1"/>
  <c r="I8931" i="1" s="1"/>
  <c r="I8932" i="1" a="1"/>
  <c r="I8932" i="1" s="1"/>
  <c r="I8933" i="1" a="1"/>
  <c r="I8933" i="1" s="1"/>
  <c r="I8934" i="1" a="1"/>
  <c r="I8934" i="1" s="1"/>
  <c r="I8935" i="1" a="1"/>
  <c r="I8935" i="1" s="1"/>
  <c r="I8936" i="1" a="1"/>
  <c r="I8936" i="1" s="1"/>
  <c r="I8937" i="1" a="1"/>
  <c r="I8937" i="1" s="1"/>
  <c r="I8938" i="1" a="1"/>
  <c r="I8938" i="1" s="1"/>
  <c r="I8939" i="1" a="1"/>
  <c r="I8939" i="1" s="1"/>
  <c r="I8940" i="1" a="1"/>
  <c r="I8940" i="1" s="1"/>
  <c r="I8941" i="1" a="1"/>
  <c r="I8941" i="1" s="1"/>
  <c r="I8942" i="1" a="1"/>
  <c r="I8942" i="1" s="1"/>
  <c r="I8943" i="1" a="1"/>
  <c r="I8943" i="1" s="1"/>
  <c r="I8944" i="1" a="1"/>
  <c r="I8944" i="1" s="1"/>
  <c r="I8945" i="1" a="1"/>
  <c r="I8945" i="1" s="1"/>
  <c r="I8946" i="1" a="1"/>
  <c r="I8946" i="1" s="1"/>
  <c r="I8947" i="1" a="1"/>
  <c r="I8947" i="1" s="1"/>
  <c r="I8948" i="1" a="1"/>
  <c r="I8948" i="1" s="1"/>
  <c r="I8949" i="1" a="1"/>
  <c r="I8949" i="1" s="1"/>
  <c r="I8950" i="1" a="1"/>
  <c r="I8950" i="1" s="1"/>
  <c r="I8951" i="1" a="1"/>
  <c r="I8951" i="1" s="1"/>
  <c r="I8952" i="1" a="1"/>
  <c r="I8952" i="1" s="1"/>
  <c r="I8953" i="1" a="1"/>
  <c r="I8953" i="1" s="1"/>
  <c r="I8954" i="1" a="1"/>
  <c r="I8954" i="1" s="1"/>
  <c r="I8955" i="1" a="1"/>
  <c r="I8955" i="1" s="1"/>
  <c r="I8956" i="1" a="1"/>
  <c r="I8956" i="1" s="1"/>
  <c r="I8957" i="1" a="1"/>
  <c r="I8957" i="1" s="1"/>
  <c r="I8958" i="1" a="1"/>
  <c r="I8958" i="1" s="1"/>
  <c r="I8959" i="1" a="1"/>
  <c r="I8959" i="1" s="1"/>
  <c r="I8960" i="1" a="1"/>
  <c r="I8960" i="1" s="1"/>
  <c r="I8961" i="1" a="1"/>
  <c r="I8961" i="1" s="1"/>
  <c r="I8962" i="1" a="1"/>
  <c r="I8962" i="1" s="1"/>
  <c r="I8963" i="1" a="1"/>
  <c r="I8963" i="1" s="1"/>
  <c r="I8964" i="1" a="1"/>
  <c r="I8964" i="1" s="1"/>
  <c r="I8965" i="1" a="1"/>
  <c r="I8965" i="1" s="1"/>
  <c r="I8966" i="1" a="1"/>
  <c r="I8966" i="1" s="1"/>
  <c r="I8967" i="1" a="1"/>
  <c r="I8967" i="1" s="1"/>
  <c r="I8968" i="1" a="1"/>
  <c r="I8968" i="1" s="1"/>
  <c r="I8969" i="1" a="1"/>
  <c r="I8969" i="1" s="1"/>
  <c r="I8970" i="1" a="1"/>
  <c r="I8970" i="1" s="1"/>
  <c r="I8971" i="1" a="1"/>
  <c r="I8971" i="1" s="1"/>
  <c r="I8972" i="1" a="1"/>
  <c r="I8972" i="1" s="1"/>
  <c r="I8973" i="1" a="1"/>
  <c r="I8973" i="1" s="1"/>
  <c r="I8974" i="1" a="1"/>
  <c r="I8974" i="1" s="1"/>
  <c r="I8975" i="1" a="1"/>
  <c r="I8975" i="1" s="1"/>
  <c r="I8976" i="1" a="1"/>
  <c r="I8976" i="1" s="1"/>
  <c r="I8977" i="1" a="1"/>
  <c r="I8977" i="1" s="1"/>
  <c r="I8978" i="1" a="1"/>
  <c r="I8978" i="1" s="1"/>
  <c r="I8979" i="1" a="1"/>
  <c r="I8979" i="1" s="1"/>
  <c r="I8980" i="1" a="1"/>
  <c r="I8980" i="1" s="1"/>
  <c r="I8981" i="1" a="1"/>
  <c r="I8981" i="1" s="1"/>
  <c r="I8982" i="1" a="1"/>
  <c r="I8982" i="1" s="1"/>
  <c r="I8983" i="1" a="1"/>
  <c r="I8983" i="1" s="1"/>
  <c r="I8984" i="1" a="1"/>
  <c r="I8984" i="1" s="1"/>
  <c r="I8985" i="1" a="1"/>
  <c r="I8985" i="1" s="1"/>
  <c r="I8986" i="1" a="1"/>
  <c r="I8986" i="1" s="1"/>
  <c r="I8987" i="1" a="1"/>
  <c r="I8987" i="1" s="1"/>
  <c r="I8988" i="1" a="1"/>
  <c r="I8988" i="1" s="1"/>
  <c r="I8989" i="1" a="1"/>
  <c r="I8989" i="1" s="1"/>
  <c r="I8990" i="1" a="1"/>
  <c r="I8990" i="1" s="1"/>
  <c r="I8991" i="1" a="1"/>
  <c r="I8991" i="1" s="1"/>
  <c r="I8992" i="1" a="1"/>
  <c r="I8992" i="1" s="1"/>
  <c r="I8993" i="1" a="1"/>
  <c r="I8993" i="1" s="1"/>
  <c r="I8994" i="1" a="1"/>
  <c r="I8994" i="1" s="1"/>
  <c r="I8995" i="1" a="1"/>
  <c r="I8995" i="1" s="1"/>
  <c r="I8996" i="1" a="1"/>
  <c r="I8996" i="1" s="1"/>
  <c r="I8997" i="1" a="1"/>
  <c r="I8997" i="1" s="1"/>
  <c r="I8998" i="1" a="1"/>
  <c r="I8998" i="1" s="1"/>
  <c r="I8999" i="1" a="1"/>
  <c r="I8999" i="1" s="1"/>
  <c r="I9000" i="1" a="1"/>
  <c r="I9000" i="1" s="1"/>
  <c r="I9001" i="1" a="1"/>
  <c r="I9001" i="1" s="1"/>
  <c r="I9002" i="1" a="1"/>
  <c r="I9002" i="1" s="1"/>
  <c r="I9003" i="1" a="1"/>
  <c r="I9003" i="1" s="1"/>
  <c r="I9004" i="1" a="1"/>
  <c r="I9004" i="1" s="1"/>
  <c r="I9005" i="1" a="1"/>
  <c r="I9005" i="1" s="1"/>
  <c r="I9006" i="1" a="1"/>
  <c r="I9006" i="1" s="1"/>
  <c r="I9007" i="1" a="1"/>
  <c r="I9007" i="1" s="1"/>
  <c r="I9008" i="1" a="1"/>
  <c r="I9008" i="1" s="1"/>
  <c r="I9009" i="1" a="1"/>
  <c r="I9009" i="1" s="1"/>
  <c r="I9010" i="1" a="1"/>
  <c r="I9010" i="1" s="1"/>
  <c r="I9011" i="1" a="1"/>
  <c r="I9011" i="1" s="1"/>
  <c r="I9012" i="1" a="1"/>
  <c r="I9012" i="1" s="1"/>
  <c r="I9013" i="1" a="1"/>
  <c r="I9013" i="1" s="1"/>
  <c r="I9014" i="1" a="1"/>
  <c r="I9014" i="1" s="1"/>
  <c r="I9015" i="1" a="1"/>
  <c r="I9015" i="1" s="1"/>
  <c r="I9016" i="1" a="1"/>
  <c r="I9016" i="1" s="1"/>
  <c r="I9017" i="1" a="1"/>
  <c r="I9017" i="1" s="1"/>
  <c r="I9018" i="1" a="1"/>
  <c r="I9018" i="1" s="1"/>
  <c r="I9019" i="1" a="1"/>
  <c r="I9019" i="1" s="1"/>
  <c r="I9020" i="1" a="1"/>
  <c r="I9020" i="1" s="1"/>
  <c r="I9021" i="1" a="1"/>
  <c r="I9021" i="1" s="1"/>
  <c r="I9022" i="1" a="1"/>
  <c r="I9022" i="1" s="1"/>
  <c r="I9023" i="1" a="1"/>
  <c r="I9023" i="1" s="1"/>
  <c r="I9024" i="1" a="1"/>
  <c r="I9024" i="1" s="1"/>
  <c r="I9025" i="1" a="1"/>
  <c r="I9025" i="1" s="1"/>
  <c r="I9026" i="1" a="1"/>
  <c r="I9026" i="1" s="1"/>
  <c r="I9027" i="1" a="1"/>
  <c r="I9027" i="1" s="1"/>
  <c r="I9028" i="1" a="1"/>
  <c r="I9028" i="1" s="1"/>
  <c r="I9029" i="1" a="1"/>
  <c r="I9029" i="1" s="1"/>
  <c r="I9030" i="1" a="1"/>
  <c r="I9030" i="1" s="1"/>
  <c r="I9031" i="1" a="1"/>
  <c r="I9031" i="1" s="1"/>
  <c r="I9032" i="1" a="1"/>
  <c r="I9032" i="1" s="1"/>
  <c r="I9033" i="1" a="1"/>
  <c r="I9033" i="1" s="1"/>
  <c r="I9034" i="1" a="1"/>
  <c r="I9034" i="1" s="1"/>
  <c r="I9035" i="1" a="1"/>
  <c r="I9035" i="1" s="1"/>
  <c r="I9036" i="1" a="1"/>
  <c r="I9036" i="1" s="1"/>
  <c r="I9037" i="1" a="1"/>
  <c r="I9037" i="1" s="1"/>
  <c r="I9038" i="1" a="1"/>
  <c r="I9038" i="1" s="1"/>
  <c r="I9039" i="1" a="1"/>
  <c r="I9039" i="1" s="1"/>
  <c r="I9040" i="1" a="1"/>
  <c r="I9040" i="1" s="1"/>
  <c r="I9041" i="1" a="1"/>
  <c r="I9041" i="1" s="1"/>
  <c r="I9042" i="1" a="1"/>
  <c r="I9042" i="1" s="1"/>
  <c r="I9043" i="1" a="1"/>
  <c r="I9043" i="1" s="1"/>
  <c r="I9044" i="1" a="1"/>
  <c r="I9044" i="1" s="1"/>
  <c r="I9045" i="1" a="1"/>
  <c r="I9045" i="1" s="1"/>
  <c r="I9046" i="1" a="1"/>
  <c r="I9046" i="1" s="1"/>
  <c r="I9047" i="1" a="1"/>
  <c r="I9047" i="1" s="1"/>
  <c r="I9048" i="1" a="1"/>
  <c r="I9048" i="1" s="1"/>
  <c r="I9049" i="1" a="1"/>
  <c r="I9049" i="1" s="1"/>
  <c r="I9050" i="1" a="1"/>
  <c r="I9050" i="1" s="1"/>
  <c r="I9051" i="1" a="1"/>
  <c r="I9051" i="1" s="1"/>
  <c r="I9052" i="1" a="1"/>
  <c r="I9052" i="1" s="1"/>
  <c r="I9053" i="1" a="1"/>
  <c r="I9053" i="1" s="1"/>
  <c r="I9054" i="1" a="1"/>
  <c r="I9054" i="1" s="1"/>
  <c r="I9055" i="1" a="1"/>
  <c r="I9055" i="1" s="1"/>
  <c r="I9056" i="1" a="1"/>
  <c r="I9056" i="1" s="1"/>
  <c r="I9057" i="1" a="1"/>
  <c r="I9057" i="1" s="1"/>
  <c r="I9058" i="1" a="1"/>
  <c r="I9058" i="1" s="1"/>
  <c r="I9059" i="1" a="1"/>
  <c r="I9059" i="1" s="1"/>
  <c r="I9060" i="1" a="1"/>
  <c r="I9060" i="1" s="1"/>
  <c r="I9061" i="1" a="1"/>
  <c r="I9061" i="1" s="1"/>
  <c r="I9062" i="1" a="1"/>
  <c r="I9062" i="1" s="1"/>
  <c r="I9063" i="1" a="1"/>
  <c r="I9063" i="1" s="1"/>
  <c r="I9064" i="1" a="1"/>
  <c r="I9064" i="1" s="1"/>
  <c r="I9065" i="1" a="1"/>
  <c r="I9065" i="1" s="1"/>
  <c r="I9066" i="1" a="1"/>
  <c r="I9066" i="1" s="1"/>
  <c r="I9067" i="1" a="1"/>
  <c r="I9067" i="1" s="1"/>
  <c r="I9068" i="1" a="1"/>
  <c r="I9068" i="1" s="1"/>
  <c r="I9069" i="1" a="1"/>
  <c r="I9069" i="1" s="1"/>
  <c r="I9070" i="1" a="1"/>
  <c r="I9070" i="1" s="1"/>
  <c r="I9071" i="1" a="1"/>
  <c r="I9071" i="1" s="1"/>
  <c r="I9072" i="1" a="1"/>
  <c r="I9072" i="1" s="1"/>
  <c r="I9073" i="1" a="1"/>
  <c r="I9073" i="1" s="1"/>
  <c r="I9074" i="1" a="1"/>
  <c r="I9074" i="1" s="1"/>
  <c r="I9075" i="1" a="1"/>
  <c r="I9075" i="1" s="1"/>
  <c r="I9076" i="1" a="1"/>
  <c r="I9076" i="1" s="1"/>
  <c r="I9077" i="1" a="1"/>
  <c r="I9077" i="1" s="1"/>
  <c r="I9078" i="1" a="1"/>
  <c r="I9078" i="1" s="1"/>
  <c r="I9079" i="1" a="1"/>
  <c r="I9079" i="1" s="1"/>
  <c r="I9080" i="1" a="1"/>
  <c r="I9080" i="1" s="1"/>
  <c r="I9081" i="1" a="1"/>
  <c r="I9081" i="1" s="1"/>
  <c r="I9082" i="1" a="1"/>
  <c r="I9082" i="1" s="1"/>
  <c r="I9083" i="1" a="1"/>
  <c r="I9083" i="1" s="1"/>
  <c r="I9084" i="1" a="1"/>
  <c r="I9084" i="1" s="1"/>
  <c r="I9085" i="1" a="1"/>
  <c r="I9085" i="1" s="1"/>
  <c r="I9086" i="1" a="1"/>
  <c r="I9086" i="1" s="1"/>
  <c r="I9087" i="1" a="1"/>
  <c r="I9087" i="1" s="1"/>
  <c r="I9088" i="1" a="1"/>
  <c r="I9088" i="1" s="1"/>
  <c r="I9089" i="1" a="1"/>
  <c r="I9089" i="1" s="1"/>
  <c r="I9090" i="1" a="1"/>
  <c r="I9090" i="1" s="1"/>
  <c r="I9091" i="1" a="1"/>
  <c r="I9091" i="1" s="1"/>
  <c r="I9092" i="1" a="1"/>
  <c r="I9092" i="1" s="1"/>
  <c r="I9093" i="1" a="1"/>
  <c r="I9093" i="1" s="1"/>
  <c r="I9094" i="1" a="1"/>
  <c r="I9094" i="1" s="1"/>
  <c r="I9095" i="1" a="1"/>
  <c r="I9095" i="1" s="1"/>
  <c r="I9096" i="1" a="1"/>
  <c r="I9096" i="1" s="1"/>
  <c r="I9097" i="1" a="1"/>
  <c r="I9097" i="1" s="1"/>
  <c r="I9098" i="1" a="1"/>
  <c r="I9098" i="1" s="1"/>
  <c r="I9099" i="1" a="1"/>
  <c r="I9099" i="1" s="1"/>
  <c r="I9100" i="1" a="1"/>
  <c r="I9100" i="1" s="1"/>
  <c r="I9101" i="1" a="1"/>
  <c r="I9101" i="1" s="1"/>
  <c r="I9102" i="1" a="1"/>
  <c r="I9102" i="1" s="1"/>
  <c r="I9103" i="1" a="1"/>
  <c r="I9103" i="1" s="1"/>
  <c r="I9104" i="1" a="1"/>
  <c r="I9104" i="1" s="1"/>
  <c r="I9105" i="1" a="1"/>
  <c r="I9105" i="1" s="1"/>
  <c r="I9106" i="1" a="1"/>
  <c r="I9106" i="1" s="1"/>
  <c r="I9107" i="1" a="1"/>
  <c r="I9107" i="1" s="1"/>
  <c r="I9108" i="1" a="1"/>
  <c r="I9108" i="1" s="1"/>
  <c r="I9109" i="1" a="1"/>
  <c r="I9109" i="1" s="1"/>
  <c r="I9110" i="1" a="1"/>
  <c r="I9110" i="1" s="1"/>
  <c r="I9111" i="1" a="1"/>
  <c r="I9111" i="1" s="1"/>
  <c r="I9112" i="1" a="1"/>
  <c r="I9112" i="1" s="1"/>
  <c r="I9113" i="1" a="1"/>
  <c r="I9113" i="1" s="1"/>
  <c r="I9114" i="1" a="1"/>
  <c r="I9114" i="1" s="1"/>
  <c r="I9115" i="1" a="1"/>
  <c r="I9115" i="1" s="1"/>
  <c r="I9116" i="1" a="1"/>
  <c r="I9116" i="1" s="1"/>
  <c r="I9117" i="1" a="1"/>
  <c r="I9117" i="1" s="1"/>
  <c r="I9118" i="1" a="1"/>
  <c r="I9118" i="1" s="1"/>
  <c r="I9119" i="1" a="1"/>
  <c r="I9119" i="1" s="1"/>
  <c r="I9120" i="1" a="1"/>
  <c r="I9120" i="1" s="1"/>
  <c r="I9121" i="1" a="1"/>
  <c r="I9121" i="1" s="1"/>
  <c r="I9122" i="1" a="1"/>
  <c r="I9122" i="1" s="1"/>
  <c r="I9123" i="1" a="1"/>
  <c r="I9123" i="1" s="1"/>
  <c r="I9124" i="1" a="1"/>
  <c r="I9124" i="1" s="1"/>
  <c r="I9125" i="1" a="1"/>
  <c r="I9125" i="1" s="1"/>
  <c r="I9126" i="1" a="1"/>
  <c r="I9126" i="1" s="1"/>
  <c r="I9127" i="1" a="1"/>
  <c r="I9127" i="1" s="1"/>
  <c r="I9128" i="1" a="1"/>
  <c r="I9128" i="1" s="1"/>
  <c r="I9129" i="1" a="1"/>
  <c r="I9129" i="1" s="1"/>
  <c r="I9130" i="1" a="1"/>
  <c r="I9130" i="1" s="1"/>
  <c r="I9131" i="1" a="1"/>
  <c r="I9131" i="1" s="1"/>
  <c r="I9132" i="1" a="1"/>
  <c r="I9132" i="1" s="1"/>
  <c r="I9133" i="1" a="1"/>
  <c r="I9133" i="1" s="1"/>
  <c r="I9134" i="1" a="1"/>
  <c r="I9134" i="1" s="1"/>
  <c r="I9135" i="1" a="1"/>
  <c r="I9135" i="1" s="1"/>
  <c r="I9136" i="1" a="1"/>
  <c r="I9136" i="1" s="1"/>
  <c r="I9137" i="1" a="1"/>
  <c r="I9137" i="1" s="1"/>
  <c r="I9138" i="1" a="1"/>
  <c r="I9138" i="1" s="1"/>
  <c r="I9139" i="1" a="1"/>
  <c r="I9139" i="1" s="1"/>
  <c r="I9140" i="1" a="1"/>
  <c r="I9140" i="1" s="1"/>
  <c r="I9141" i="1" a="1"/>
  <c r="I9141" i="1" s="1"/>
  <c r="I9142" i="1" a="1"/>
  <c r="I9142" i="1" s="1"/>
  <c r="I9143" i="1" a="1"/>
  <c r="I9143" i="1" s="1"/>
  <c r="I9144" i="1" a="1"/>
  <c r="I9144" i="1" s="1"/>
  <c r="I9145" i="1" a="1"/>
  <c r="I9145" i="1" s="1"/>
  <c r="I9146" i="1" a="1"/>
  <c r="I9146" i="1" s="1"/>
  <c r="I9147" i="1" a="1"/>
  <c r="I9147" i="1" s="1"/>
  <c r="I9148" i="1" a="1"/>
  <c r="I9148" i="1" s="1"/>
  <c r="I9149" i="1" a="1"/>
  <c r="I9149" i="1" s="1"/>
  <c r="I9150" i="1" a="1"/>
  <c r="I9150" i="1" s="1"/>
  <c r="I9151" i="1" a="1"/>
  <c r="I9151" i="1" s="1"/>
  <c r="I9152" i="1" a="1"/>
  <c r="I9152" i="1" s="1"/>
  <c r="I9153" i="1" a="1"/>
  <c r="I9153" i="1" s="1"/>
  <c r="I9154" i="1" a="1"/>
  <c r="I9154" i="1" s="1"/>
  <c r="I9155" i="1" a="1"/>
  <c r="I9155" i="1" s="1"/>
  <c r="I9156" i="1" a="1"/>
  <c r="I9156" i="1" s="1"/>
  <c r="I9157" i="1" a="1"/>
  <c r="I9157" i="1" s="1"/>
  <c r="I9158" i="1" a="1"/>
  <c r="I9158" i="1" s="1"/>
  <c r="I9159" i="1" a="1"/>
  <c r="I9159" i="1" s="1"/>
  <c r="I9160" i="1" a="1"/>
  <c r="I9160" i="1" s="1"/>
  <c r="I9161" i="1" a="1"/>
  <c r="I9161" i="1" s="1"/>
  <c r="I9162" i="1" a="1"/>
  <c r="I9162" i="1" s="1"/>
  <c r="I9163" i="1" a="1"/>
  <c r="I9163" i="1" s="1"/>
  <c r="I9164" i="1" a="1"/>
  <c r="I9164" i="1" s="1"/>
  <c r="I9165" i="1" a="1"/>
  <c r="I9165" i="1" s="1"/>
  <c r="I9166" i="1" a="1"/>
  <c r="I9166" i="1" s="1"/>
  <c r="I9167" i="1" a="1"/>
  <c r="I9167" i="1" s="1"/>
  <c r="I9168" i="1" a="1"/>
  <c r="I9168" i="1" s="1"/>
  <c r="I9169" i="1" a="1"/>
  <c r="I9169" i="1" s="1"/>
  <c r="I9170" i="1" a="1"/>
  <c r="I9170" i="1" s="1"/>
  <c r="I9171" i="1" a="1"/>
  <c r="I9171" i="1" s="1"/>
  <c r="I9172" i="1" a="1"/>
  <c r="I9172" i="1" s="1"/>
  <c r="I9173" i="1" a="1"/>
  <c r="I9173" i="1" s="1"/>
  <c r="I9174" i="1" a="1"/>
  <c r="I9174" i="1" s="1"/>
  <c r="I9175" i="1" a="1"/>
  <c r="I9175" i="1" s="1"/>
  <c r="I9176" i="1" a="1"/>
  <c r="I9176" i="1" s="1"/>
  <c r="I9177" i="1" a="1"/>
  <c r="I9177" i="1" s="1"/>
  <c r="I9178" i="1" a="1"/>
  <c r="I9178" i="1" s="1"/>
  <c r="I9179" i="1" a="1"/>
  <c r="I9179" i="1" s="1"/>
  <c r="I9180" i="1" a="1"/>
  <c r="I9180" i="1" s="1"/>
  <c r="I9181" i="1" a="1"/>
  <c r="I9181" i="1" s="1"/>
  <c r="I9182" i="1" a="1"/>
  <c r="I9182" i="1" s="1"/>
  <c r="I9183" i="1" a="1"/>
  <c r="I9183" i="1" s="1"/>
  <c r="I9184" i="1" a="1"/>
  <c r="I9184" i="1" s="1"/>
  <c r="I9185" i="1" a="1"/>
  <c r="I9185" i="1" s="1"/>
  <c r="I9186" i="1" a="1"/>
  <c r="I9186" i="1" s="1"/>
  <c r="I9187" i="1" a="1"/>
  <c r="I9187" i="1" s="1"/>
  <c r="I9188" i="1" a="1"/>
  <c r="I9188" i="1" s="1"/>
  <c r="I9189" i="1" a="1"/>
  <c r="I9189" i="1" s="1"/>
  <c r="I9190" i="1" a="1"/>
  <c r="I9190" i="1" s="1"/>
  <c r="I9191" i="1" a="1"/>
  <c r="I9191" i="1" s="1"/>
  <c r="I9192" i="1" a="1"/>
  <c r="I9192" i="1" s="1"/>
  <c r="I9193" i="1" a="1"/>
  <c r="I9193" i="1" s="1"/>
  <c r="I9194" i="1" a="1"/>
  <c r="I9194" i="1" s="1"/>
  <c r="I9195" i="1" a="1"/>
  <c r="I9195" i="1" s="1"/>
  <c r="I9196" i="1" a="1"/>
  <c r="I9196" i="1" s="1"/>
  <c r="I9197" i="1" a="1"/>
  <c r="I9197" i="1" s="1"/>
  <c r="I9198" i="1" a="1"/>
  <c r="I9198" i="1" s="1"/>
  <c r="I9199" i="1" a="1"/>
  <c r="I9199" i="1" s="1"/>
  <c r="I9200" i="1" a="1"/>
  <c r="I9200" i="1" s="1"/>
  <c r="I9201" i="1" a="1"/>
  <c r="I9201" i="1" s="1"/>
  <c r="I9202" i="1" a="1"/>
  <c r="I9202" i="1" s="1"/>
  <c r="I9203" i="1" a="1"/>
  <c r="I9203" i="1" s="1"/>
  <c r="I9204" i="1" a="1"/>
  <c r="I9204" i="1" s="1"/>
  <c r="I9205" i="1" a="1"/>
  <c r="I9205" i="1" s="1"/>
  <c r="I9206" i="1" a="1"/>
  <c r="I9206" i="1" s="1"/>
  <c r="I9207" i="1" a="1"/>
  <c r="I9207" i="1" s="1"/>
  <c r="I9208" i="1" a="1"/>
  <c r="I9208" i="1" s="1"/>
  <c r="I9209" i="1" a="1"/>
  <c r="I9209" i="1" s="1"/>
  <c r="I9210" i="1" a="1"/>
  <c r="I9210" i="1" s="1"/>
  <c r="I9211" i="1" a="1"/>
  <c r="I9211" i="1" s="1"/>
  <c r="I9212" i="1" a="1"/>
  <c r="I9212" i="1" s="1"/>
  <c r="I9213" i="1" a="1"/>
  <c r="I9213" i="1" s="1"/>
  <c r="I9214" i="1" a="1"/>
  <c r="I9214" i="1" s="1"/>
  <c r="I9215" i="1" a="1"/>
  <c r="I9215" i="1" s="1"/>
  <c r="I9216" i="1" a="1"/>
  <c r="I9216" i="1" s="1"/>
  <c r="I9217" i="1" a="1"/>
  <c r="I9217" i="1" s="1"/>
  <c r="I9218" i="1" a="1"/>
  <c r="I9218" i="1" s="1"/>
  <c r="I9219" i="1" a="1"/>
  <c r="I9219" i="1" s="1"/>
  <c r="I9220" i="1" a="1"/>
  <c r="I9220" i="1" s="1"/>
  <c r="I9221" i="1" a="1"/>
  <c r="I9221" i="1" s="1"/>
  <c r="I9222" i="1" a="1"/>
  <c r="I9222" i="1" s="1"/>
  <c r="I9223" i="1" a="1"/>
  <c r="I9223" i="1" s="1"/>
  <c r="I9224" i="1" a="1"/>
  <c r="I9224" i="1" s="1"/>
  <c r="I9225" i="1" a="1"/>
  <c r="I9225" i="1" s="1"/>
  <c r="I9226" i="1" a="1"/>
  <c r="I9226" i="1" s="1"/>
  <c r="I9227" i="1" a="1"/>
  <c r="I9227" i="1" s="1"/>
  <c r="I9228" i="1" a="1"/>
  <c r="I9228" i="1" s="1"/>
  <c r="I9229" i="1" a="1"/>
  <c r="I9229" i="1" s="1"/>
  <c r="I9230" i="1" a="1"/>
  <c r="I9230" i="1" s="1"/>
  <c r="I9231" i="1" a="1"/>
  <c r="I9231" i="1" s="1"/>
  <c r="I9232" i="1" a="1"/>
  <c r="I9232" i="1" s="1"/>
  <c r="I9233" i="1" a="1"/>
  <c r="I9233" i="1" s="1"/>
  <c r="I9234" i="1" a="1"/>
  <c r="I9234" i="1" s="1"/>
  <c r="I9235" i="1" a="1"/>
  <c r="I9235" i="1" s="1"/>
  <c r="I9236" i="1" a="1"/>
  <c r="I9236" i="1" s="1"/>
  <c r="I9237" i="1" a="1"/>
  <c r="I9237" i="1" s="1"/>
  <c r="I9238" i="1" a="1"/>
  <c r="I9238" i="1" s="1"/>
  <c r="I9239" i="1" a="1"/>
  <c r="I9239" i="1" s="1"/>
  <c r="I9240" i="1" a="1"/>
  <c r="I9240" i="1" s="1"/>
  <c r="I9241" i="1" a="1"/>
  <c r="I9241" i="1" s="1"/>
  <c r="I9242" i="1" a="1"/>
  <c r="I9242" i="1" s="1"/>
  <c r="I9243" i="1" a="1"/>
  <c r="I9243" i="1" s="1"/>
  <c r="I9244" i="1" a="1"/>
  <c r="I9244" i="1" s="1"/>
  <c r="I9245" i="1" a="1"/>
  <c r="I9245" i="1" s="1"/>
  <c r="I9246" i="1" a="1"/>
  <c r="I9246" i="1" s="1"/>
  <c r="I9247" i="1" a="1"/>
  <c r="I9247" i="1" s="1"/>
  <c r="I9248" i="1" a="1"/>
  <c r="I9248" i="1" s="1"/>
  <c r="I9249" i="1" a="1"/>
  <c r="I9249" i="1" s="1"/>
  <c r="I9250" i="1" a="1"/>
  <c r="I9250" i="1" s="1"/>
  <c r="I9251" i="1" a="1"/>
  <c r="I9251" i="1" s="1"/>
  <c r="I9252" i="1" a="1"/>
  <c r="I9252" i="1" s="1"/>
  <c r="I9253" i="1" a="1"/>
  <c r="I9253" i="1" s="1"/>
  <c r="I9254" i="1" a="1"/>
  <c r="I9254" i="1" s="1"/>
  <c r="I9255" i="1" a="1"/>
  <c r="I9255" i="1" s="1"/>
  <c r="I9256" i="1" a="1"/>
  <c r="I9256" i="1" s="1"/>
  <c r="I9257" i="1" a="1"/>
  <c r="I9257" i="1" s="1"/>
  <c r="I9258" i="1" a="1"/>
  <c r="I9258" i="1" s="1"/>
  <c r="I9259" i="1" a="1"/>
  <c r="I9259" i="1" s="1"/>
  <c r="I9260" i="1" a="1"/>
  <c r="I9260" i="1" s="1"/>
  <c r="I9261" i="1" a="1"/>
  <c r="I9261" i="1" s="1"/>
  <c r="I9262" i="1" a="1"/>
  <c r="I9262" i="1" s="1"/>
  <c r="I9263" i="1" a="1"/>
  <c r="I9263" i="1" s="1"/>
  <c r="I9264" i="1" a="1"/>
  <c r="I9264" i="1" s="1"/>
  <c r="I9265" i="1" a="1"/>
  <c r="I9265" i="1" s="1"/>
  <c r="I9266" i="1" a="1"/>
  <c r="I9266" i="1" s="1"/>
  <c r="I9267" i="1" a="1"/>
  <c r="I9267" i="1" s="1"/>
  <c r="I9268" i="1" a="1"/>
  <c r="I9268" i="1" s="1"/>
  <c r="I9269" i="1" a="1"/>
  <c r="I9269" i="1" s="1"/>
  <c r="I9270" i="1" a="1"/>
  <c r="I9270" i="1" s="1"/>
  <c r="I9271" i="1" a="1"/>
  <c r="I9271" i="1" s="1"/>
  <c r="I9272" i="1" a="1"/>
  <c r="I9272" i="1" s="1"/>
  <c r="I9273" i="1" a="1"/>
  <c r="I9273" i="1" s="1"/>
  <c r="I9274" i="1" a="1"/>
  <c r="I9274" i="1" s="1"/>
  <c r="I9275" i="1" a="1"/>
  <c r="I9275" i="1" s="1"/>
  <c r="I9276" i="1" a="1"/>
  <c r="I9276" i="1" s="1"/>
  <c r="I9277" i="1" a="1"/>
  <c r="I9277" i="1" s="1"/>
  <c r="I9278" i="1" a="1"/>
  <c r="I9278" i="1" s="1"/>
  <c r="I9279" i="1" a="1"/>
  <c r="I9279" i="1" s="1"/>
  <c r="I9280" i="1" a="1"/>
  <c r="I9280" i="1" s="1"/>
  <c r="I9281" i="1" a="1"/>
  <c r="I9281" i="1" s="1"/>
  <c r="I9282" i="1" a="1"/>
  <c r="I9282" i="1" s="1"/>
  <c r="I9283" i="1" a="1"/>
  <c r="I9283" i="1" s="1"/>
  <c r="I9284" i="1" a="1"/>
  <c r="I9284" i="1" s="1"/>
  <c r="I9285" i="1" a="1"/>
  <c r="I9285" i="1" s="1"/>
  <c r="I9286" i="1" a="1"/>
  <c r="I9286" i="1" s="1"/>
  <c r="I9287" i="1" a="1"/>
  <c r="I9287" i="1" s="1"/>
  <c r="I9288" i="1" a="1"/>
  <c r="I9288" i="1" s="1"/>
  <c r="I9289" i="1" a="1"/>
  <c r="I9289" i="1" s="1"/>
  <c r="I9290" i="1" a="1"/>
  <c r="I9290" i="1" s="1"/>
  <c r="I9291" i="1" a="1"/>
  <c r="I9291" i="1" s="1"/>
  <c r="I9292" i="1" a="1"/>
  <c r="I9292" i="1" s="1"/>
  <c r="I9293" i="1" a="1"/>
  <c r="I9293" i="1" s="1"/>
  <c r="I9294" i="1" a="1"/>
  <c r="I9294" i="1" s="1"/>
  <c r="I9295" i="1" a="1"/>
  <c r="I9295" i="1" s="1"/>
  <c r="I9296" i="1" a="1"/>
  <c r="I9296" i="1" s="1"/>
  <c r="I9297" i="1" a="1"/>
  <c r="I9297" i="1" s="1"/>
  <c r="I9298" i="1" a="1"/>
  <c r="I9298" i="1" s="1"/>
  <c r="I9299" i="1" a="1"/>
  <c r="I9299" i="1" s="1"/>
  <c r="I9300" i="1" a="1"/>
  <c r="I9300" i="1" s="1"/>
  <c r="I9301" i="1" a="1"/>
  <c r="I9301" i="1" s="1"/>
  <c r="I9302" i="1" a="1"/>
  <c r="I9302" i="1" s="1"/>
  <c r="I9303" i="1" a="1"/>
  <c r="I9303" i="1" s="1"/>
  <c r="I9304" i="1" a="1"/>
  <c r="I9304" i="1" s="1"/>
  <c r="I9305" i="1" a="1"/>
  <c r="I9305" i="1" s="1"/>
  <c r="I9306" i="1" a="1"/>
  <c r="I9306" i="1" s="1"/>
  <c r="I9307" i="1" a="1"/>
  <c r="I9307" i="1" s="1"/>
  <c r="I9308" i="1" a="1"/>
  <c r="I9308" i="1" s="1"/>
  <c r="I9309" i="1" a="1"/>
  <c r="I9309" i="1" s="1"/>
  <c r="I9310" i="1" a="1"/>
  <c r="I9310" i="1" s="1"/>
  <c r="I9311" i="1" a="1"/>
  <c r="I9311" i="1" s="1"/>
  <c r="I9312" i="1" a="1"/>
  <c r="I9312" i="1" s="1"/>
  <c r="I9313" i="1" a="1"/>
  <c r="I9313" i="1" s="1"/>
  <c r="I9314" i="1" a="1"/>
  <c r="I9314" i="1" s="1"/>
  <c r="I9315" i="1" a="1"/>
  <c r="I9315" i="1" s="1"/>
  <c r="I9316" i="1" a="1"/>
  <c r="I9316" i="1" s="1"/>
  <c r="I9317" i="1" a="1"/>
  <c r="I9317" i="1" s="1"/>
  <c r="I9318" i="1" a="1"/>
  <c r="I9318" i="1" s="1"/>
  <c r="I9319" i="1" a="1"/>
  <c r="I9319" i="1" s="1"/>
  <c r="I9320" i="1" a="1"/>
  <c r="I9320" i="1" s="1"/>
  <c r="I9321" i="1" a="1"/>
  <c r="I9321" i="1" s="1"/>
  <c r="I9322" i="1" a="1"/>
  <c r="I9322" i="1" s="1"/>
  <c r="I9323" i="1" a="1"/>
  <c r="I9323" i="1" s="1"/>
  <c r="I9324" i="1" a="1"/>
  <c r="I9324" i="1" s="1"/>
  <c r="I9325" i="1" a="1"/>
  <c r="I9325" i="1" s="1"/>
  <c r="I9326" i="1" a="1"/>
  <c r="I9326" i="1" s="1"/>
  <c r="I9327" i="1" a="1"/>
  <c r="I9327" i="1" s="1"/>
  <c r="I9328" i="1" a="1"/>
  <c r="I9328" i="1" s="1"/>
  <c r="I9329" i="1" a="1"/>
  <c r="I9329" i="1" s="1"/>
  <c r="I9330" i="1" a="1"/>
  <c r="I9330" i="1" s="1"/>
  <c r="I9331" i="1" a="1"/>
  <c r="I9331" i="1" s="1"/>
  <c r="I9332" i="1" a="1"/>
  <c r="I9332" i="1" s="1"/>
  <c r="I9333" i="1" a="1"/>
  <c r="I9333" i="1" s="1"/>
  <c r="I9334" i="1" a="1"/>
  <c r="I9334" i="1" s="1"/>
  <c r="I9335" i="1" a="1"/>
  <c r="I9335" i="1" s="1"/>
  <c r="I9336" i="1" a="1"/>
  <c r="I9336" i="1" s="1"/>
  <c r="I9337" i="1" a="1"/>
  <c r="I9337" i="1" s="1"/>
  <c r="I9338" i="1" a="1"/>
  <c r="I9338" i="1" s="1"/>
  <c r="I9339" i="1" a="1"/>
  <c r="I9339" i="1" s="1"/>
  <c r="I9340" i="1" a="1"/>
  <c r="I9340" i="1" s="1"/>
  <c r="I9341" i="1" a="1"/>
  <c r="I9341" i="1" s="1"/>
  <c r="I9342" i="1" a="1"/>
  <c r="I9342" i="1" s="1"/>
  <c r="I9343" i="1" a="1"/>
  <c r="I9343" i="1" s="1"/>
  <c r="I9344" i="1" a="1"/>
  <c r="I9344" i="1" s="1"/>
  <c r="I9345" i="1" a="1"/>
  <c r="I9345" i="1" s="1"/>
  <c r="I9346" i="1" a="1"/>
  <c r="I9346" i="1" s="1"/>
  <c r="I9347" i="1" a="1"/>
  <c r="I9347" i="1" s="1"/>
  <c r="I9348" i="1" a="1"/>
  <c r="I9348" i="1" s="1"/>
  <c r="I9349" i="1" a="1"/>
  <c r="I9349" i="1" s="1"/>
  <c r="I9350" i="1" a="1"/>
  <c r="I9350" i="1" s="1"/>
  <c r="I9351" i="1" a="1"/>
  <c r="I9351" i="1" s="1"/>
  <c r="I9352" i="1" a="1"/>
  <c r="I9352" i="1" s="1"/>
  <c r="I9353" i="1" a="1"/>
  <c r="I9353" i="1" s="1"/>
  <c r="I9354" i="1" a="1"/>
  <c r="I9354" i="1" s="1"/>
  <c r="I9355" i="1" a="1"/>
  <c r="I9355" i="1" s="1"/>
  <c r="I9356" i="1" a="1"/>
  <c r="I9356" i="1" s="1"/>
  <c r="I9357" i="1" a="1"/>
  <c r="I9357" i="1" s="1"/>
  <c r="I9358" i="1" a="1"/>
  <c r="I9358" i="1" s="1"/>
  <c r="I9359" i="1" a="1"/>
  <c r="I9359" i="1" s="1"/>
  <c r="I9360" i="1" a="1"/>
  <c r="I9360" i="1" s="1"/>
  <c r="I9361" i="1" a="1"/>
  <c r="I9361" i="1" s="1"/>
  <c r="I9362" i="1" a="1"/>
  <c r="I9362" i="1" s="1"/>
  <c r="I9363" i="1" a="1"/>
  <c r="I9363" i="1" s="1"/>
  <c r="I9364" i="1" a="1"/>
  <c r="I9364" i="1" s="1"/>
  <c r="I9365" i="1" a="1"/>
  <c r="I9365" i="1" s="1"/>
  <c r="I9366" i="1" a="1"/>
  <c r="I9366" i="1" s="1"/>
  <c r="I9367" i="1" a="1"/>
  <c r="I9367" i="1" s="1"/>
  <c r="I9368" i="1" a="1"/>
  <c r="I9368" i="1" s="1"/>
  <c r="I9369" i="1" a="1"/>
  <c r="I9369" i="1" s="1"/>
  <c r="I9370" i="1" a="1"/>
  <c r="I9370" i="1" s="1"/>
  <c r="I9371" i="1" a="1"/>
  <c r="I9371" i="1" s="1"/>
  <c r="I9372" i="1" a="1"/>
  <c r="I9372" i="1" s="1"/>
  <c r="I9373" i="1" a="1"/>
  <c r="I9373" i="1" s="1"/>
  <c r="I9374" i="1" a="1"/>
  <c r="I9374" i="1" s="1"/>
  <c r="I9375" i="1" a="1"/>
  <c r="I9375" i="1" s="1"/>
  <c r="I9376" i="1" a="1"/>
  <c r="I9376" i="1" s="1"/>
  <c r="I9377" i="1" a="1"/>
  <c r="I9377" i="1" s="1"/>
  <c r="I9378" i="1" a="1"/>
  <c r="I9378" i="1" s="1"/>
  <c r="I9379" i="1" a="1"/>
  <c r="I9379" i="1" s="1"/>
  <c r="I9380" i="1" a="1"/>
  <c r="I9380" i="1" s="1"/>
  <c r="I9381" i="1" a="1"/>
  <c r="I9381" i="1" s="1"/>
  <c r="I9382" i="1" a="1"/>
  <c r="I9382" i="1" s="1"/>
  <c r="I9383" i="1" a="1"/>
  <c r="I9383" i="1" s="1"/>
  <c r="I9384" i="1" a="1"/>
  <c r="I9384" i="1" s="1"/>
  <c r="I9385" i="1" a="1"/>
  <c r="I9385" i="1" s="1"/>
  <c r="I9386" i="1" a="1"/>
  <c r="I9386" i="1" s="1"/>
  <c r="I9387" i="1" a="1"/>
  <c r="I9387" i="1" s="1"/>
  <c r="I9388" i="1" a="1"/>
  <c r="I9388" i="1" s="1"/>
  <c r="I9389" i="1" a="1"/>
  <c r="I9389" i="1" s="1"/>
  <c r="I9390" i="1" a="1"/>
  <c r="I9390" i="1" s="1"/>
  <c r="I9391" i="1" a="1"/>
  <c r="I9391" i="1" s="1"/>
  <c r="I9392" i="1" a="1"/>
  <c r="I9392" i="1" s="1"/>
  <c r="I9393" i="1" a="1"/>
  <c r="I9393" i="1" s="1"/>
  <c r="I9394" i="1" a="1"/>
  <c r="I9394" i="1" s="1"/>
  <c r="I9395" i="1" a="1"/>
  <c r="I9395" i="1" s="1"/>
  <c r="I9396" i="1" a="1"/>
  <c r="I9396" i="1" s="1"/>
  <c r="I9397" i="1" a="1"/>
  <c r="I9397" i="1" s="1"/>
  <c r="I9398" i="1" a="1"/>
  <c r="I9398" i="1" s="1"/>
  <c r="I9399" i="1" a="1"/>
  <c r="I9399" i="1" s="1"/>
  <c r="I9400" i="1" a="1"/>
  <c r="I9400" i="1" s="1"/>
  <c r="I9401" i="1" a="1"/>
  <c r="I9401" i="1" s="1"/>
  <c r="I9402" i="1" a="1"/>
  <c r="I9402" i="1" s="1"/>
  <c r="I9403" i="1" a="1"/>
  <c r="I9403" i="1" s="1"/>
  <c r="I9404" i="1" a="1"/>
  <c r="I9404" i="1" s="1"/>
  <c r="I9405" i="1" a="1"/>
  <c r="I9405" i="1" s="1"/>
  <c r="I9406" i="1" a="1"/>
  <c r="I9406" i="1" s="1"/>
  <c r="I9407" i="1" a="1"/>
  <c r="I9407" i="1" s="1"/>
  <c r="I9408" i="1" a="1"/>
  <c r="I9408" i="1" s="1"/>
  <c r="I9409" i="1" a="1"/>
  <c r="I9409" i="1" s="1"/>
  <c r="I9410" i="1" a="1"/>
  <c r="I9410" i="1" s="1"/>
  <c r="I9411" i="1" a="1"/>
  <c r="I9411" i="1" s="1"/>
  <c r="I9412" i="1" a="1"/>
  <c r="I9412" i="1" s="1"/>
  <c r="I9413" i="1" a="1"/>
  <c r="I9413" i="1" s="1"/>
  <c r="I9414" i="1" a="1"/>
  <c r="I9414" i="1" s="1"/>
  <c r="I9415" i="1" a="1"/>
  <c r="I9415" i="1" s="1"/>
  <c r="I9416" i="1" a="1"/>
  <c r="I9416" i="1" s="1"/>
  <c r="I9417" i="1" a="1"/>
  <c r="I9417" i="1" s="1"/>
  <c r="I9418" i="1" a="1"/>
  <c r="I9418" i="1" s="1"/>
  <c r="I9419" i="1" a="1"/>
  <c r="I9419" i="1" s="1"/>
  <c r="I9420" i="1" a="1"/>
  <c r="I9420" i="1" s="1"/>
  <c r="I9421" i="1" a="1"/>
  <c r="I9421" i="1" s="1"/>
  <c r="I9422" i="1" a="1"/>
  <c r="I9422" i="1" s="1"/>
  <c r="I9423" i="1" a="1"/>
  <c r="I9423" i="1" s="1"/>
  <c r="I9424" i="1" a="1"/>
  <c r="I9424" i="1" s="1"/>
  <c r="I9425" i="1" a="1"/>
  <c r="I9425" i="1" s="1"/>
  <c r="I9426" i="1" a="1"/>
  <c r="I9426" i="1" s="1"/>
  <c r="I9427" i="1" a="1"/>
  <c r="I9427" i="1" s="1"/>
  <c r="I9428" i="1" a="1"/>
  <c r="I9428" i="1" s="1"/>
  <c r="I9429" i="1" a="1"/>
  <c r="I9429" i="1" s="1"/>
  <c r="I9430" i="1" a="1"/>
  <c r="I9430" i="1" s="1"/>
  <c r="I9431" i="1" a="1"/>
  <c r="I9431" i="1" s="1"/>
  <c r="I9432" i="1" a="1"/>
  <c r="I9432" i="1" s="1"/>
  <c r="I9433" i="1" a="1"/>
  <c r="I9433" i="1" s="1"/>
  <c r="I9434" i="1" a="1"/>
  <c r="I9434" i="1" s="1"/>
  <c r="I9435" i="1" a="1"/>
  <c r="I9435" i="1" s="1"/>
  <c r="I9436" i="1" a="1"/>
  <c r="I9436" i="1" s="1"/>
  <c r="I9437" i="1" a="1"/>
  <c r="I9437" i="1" s="1"/>
  <c r="I9438" i="1" a="1"/>
  <c r="I9438" i="1" s="1"/>
  <c r="I9439" i="1" a="1"/>
  <c r="I9439" i="1" s="1"/>
  <c r="I9440" i="1" a="1"/>
  <c r="I9440" i="1" s="1"/>
  <c r="I9441" i="1" a="1"/>
  <c r="I9441" i="1" s="1"/>
  <c r="I9442" i="1" a="1"/>
  <c r="I9442" i="1" s="1"/>
  <c r="I9443" i="1" a="1"/>
  <c r="I9443" i="1" s="1"/>
  <c r="I9444" i="1" a="1"/>
  <c r="I9444" i="1" s="1"/>
  <c r="I9445" i="1" a="1"/>
  <c r="I9445" i="1" s="1"/>
  <c r="I9446" i="1" a="1"/>
  <c r="I9446" i="1" s="1"/>
  <c r="I9447" i="1" a="1"/>
  <c r="I9447" i="1" s="1"/>
  <c r="I9448" i="1" a="1"/>
  <c r="I9448" i="1" s="1"/>
  <c r="I9449" i="1" a="1"/>
  <c r="I9449" i="1" s="1"/>
  <c r="I9450" i="1" a="1"/>
  <c r="I9450" i="1" s="1"/>
  <c r="I9451" i="1" a="1"/>
  <c r="I9451" i="1" s="1"/>
  <c r="I9452" i="1" a="1"/>
  <c r="I9452" i="1" s="1"/>
  <c r="I9453" i="1" a="1"/>
  <c r="I9453" i="1" s="1"/>
  <c r="I9454" i="1" a="1"/>
  <c r="I9454" i="1" s="1"/>
  <c r="I9455" i="1" a="1"/>
  <c r="I9455" i="1" s="1"/>
  <c r="I9456" i="1" a="1"/>
  <c r="I9456" i="1" s="1"/>
  <c r="I9457" i="1" a="1"/>
  <c r="I9457" i="1" s="1"/>
  <c r="I9458" i="1" a="1"/>
  <c r="I9458" i="1" s="1"/>
  <c r="I9459" i="1" a="1"/>
  <c r="I9459" i="1" s="1"/>
  <c r="I9460" i="1" a="1"/>
  <c r="I9460" i="1" s="1"/>
  <c r="I9461" i="1" a="1"/>
  <c r="I9461" i="1" s="1"/>
  <c r="I9462" i="1" a="1"/>
  <c r="I9462" i="1" s="1"/>
  <c r="I9463" i="1" a="1"/>
  <c r="I9463" i="1" s="1"/>
  <c r="I9464" i="1" a="1"/>
  <c r="I9464" i="1" s="1"/>
  <c r="I9465" i="1" a="1"/>
  <c r="I9465" i="1" s="1"/>
  <c r="I9466" i="1" a="1"/>
  <c r="I9466" i="1" s="1"/>
  <c r="I9467" i="1" a="1"/>
  <c r="I9467" i="1" s="1"/>
  <c r="I9468" i="1" a="1"/>
  <c r="I9468" i="1" s="1"/>
  <c r="I9469" i="1" a="1"/>
  <c r="I9469" i="1" s="1"/>
  <c r="I9470" i="1" a="1"/>
  <c r="I9470" i="1" s="1"/>
  <c r="I9471" i="1" a="1"/>
  <c r="I9471" i="1" s="1"/>
  <c r="I9472" i="1" a="1"/>
  <c r="I9472" i="1" s="1"/>
  <c r="I9473" i="1" a="1"/>
  <c r="I9473" i="1" s="1"/>
  <c r="I9474" i="1" a="1"/>
  <c r="I9474" i="1" s="1"/>
  <c r="I9475" i="1" a="1"/>
  <c r="I9475" i="1" s="1"/>
  <c r="I9476" i="1" a="1"/>
  <c r="I9476" i="1" s="1"/>
  <c r="I9477" i="1" a="1"/>
  <c r="I9477" i="1" s="1"/>
  <c r="I9478" i="1" a="1"/>
  <c r="I9478" i="1" s="1"/>
  <c r="I9479" i="1" a="1"/>
  <c r="I9479" i="1" s="1"/>
  <c r="I9480" i="1" a="1"/>
  <c r="I9480" i="1" s="1"/>
  <c r="I9481" i="1" a="1"/>
  <c r="I9481" i="1" s="1"/>
  <c r="I9482" i="1" a="1"/>
  <c r="I9482" i="1" s="1"/>
  <c r="I9483" i="1" a="1"/>
  <c r="I9483" i="1" s="1"/>
  <c r="I9484" i="1" a="1"/>
  <c r="I9484" i="1" s="1"/>
  <c r="I9485" i="1" a="1"/>
  <c r="I9485" i="1" s="1"/>
  <c r="I9486" i="1" a="1"/>
  <c r="I9486" i="1" s="1"/>
  <c r="I9487" i="1" a="1"/>
  <c r="I9487" i="1" s="1"/>
  <c r="I9488" i="1" a="1"/>
  <c r="I9488" i="1" s="1"/>
  <c r="I9489" i="1" a="1"/>
  <c r="I9489" i="1" s="1"/>
  <c r="I9490" i="1" a="1"/>
  <c r="I9490" i="1" s="1"/>
  <c r="I9491" i="1" a="1"/>
  <c r="I9491" i="1" s="1"/>
  <c r="I9492" i="1" a="1"/>
  <c r="I9492" i="1" s="1"/>
  <c r="I9493" i="1" a="1"/>
  <c r="I9493" i="1" s="1"/>
  <c r="I9494" i="1" a="1"/>
  <c r="I9494" i="1" s="1"/>
  <c r="I9495" i="1" a="1"/>
  <c r="I9495" i="1" s="1"/>
  <c r="I9496" i="1" a="1"/>
  <c r="I9496" i="1" s="1"/>
  <c r="I9497" i="1" a="1"/>
  <c r="I9497" i="1" s="1"/>
  <c r="I9498" i="1" a="1"/>
  <c r="I9498" i="1" s="1"/>
  <c r="I9499" i="1" a="1"/>
  <c r="I9499" i="1" s="1"/>
  <c r="I9500" i="1" a="1"/>
  <c r="I9500" i="1" s="1"/>
  <c r="I9501" i="1" a="1"/>
  <c r="I9501" i="1" s="1"/>
  <c r="I9502" i="1" a="1"/>
  <c r="I9502" i="1" s="1"/>
  <c r="I9503" i="1" a="1"/>
  <c r="I9503" i="1" s="1"/>
  <c r="I9504" i="1" a="1"/>
  <c r="I9504" i="1" s="1"/>
  <c r="I9505" i="1" a="1"/>
  <c r="I9505" i="1" s="1"/>
  <c r="I9506" i="1" a="1"/>
  <c r="I9506" i="1" s="1"/>
  <c r="I9507" i="1" a="1"/>
  <c r="I9507" i="1" s="1"/>
  <c r="I9508" i="1" a="1"/>
  <c r="I9508" i="1" s="1"/>
  <c r="I9509" i="1" a="1"/>
  <c r="I9509" i="1" s="1"/>
  <c r="I9510" i="1" a="1"/>
  <c r="I9510" i="1" s="1"/>
  <c r="I9511" i="1" a="1"/>
  <c r="I9511" i="1" s="1"/>
  <c r="I9512" i="1" a="1"/>
  <c r="I9512" i="1" s="1"/>
  <c r="I9513" i="1" a="1"/>
  <c r="I9513" i="1" s="1"/>
  <c r="I9514" i="1" a="1"/>
  <c r="I9514" i="1" s="1"/>
  <c r="I9515" i="1" a="1"/>
  <c r="I9515" i="1" s="1"/>
  <c r="I9516" i="1" a="1"/>
  <c r="I9516" i="1" s="1"/>
  <c r="I9517" i="1" a="1"/>
  <c r="I9517" i="1" s="1"/>
  <c r="I9518" i="1" a="1"/>
  <c r="I9518" i="1" s="1"/>
  <c r="I9519" i="1" a="1"/>
  <c r="I9519" i="1" s="1"/>
  <c r="I9520" i="1" a="1"/>
  <c r="I9520" i="1" s="1"/>
  <c r="I9521" i="1" a="1"/>
  <c r="I9521" i="1" s="1"/>
  <c r="I9522" i="1" a="1"/>
  <c r="I9522" i="1" s="1"/>
  <c r="I9523" i="1" a="1"/>
  <c r="I9523" i="1" s="1"/>
  <c r="I9524" i="1" a="1"/>
  <c r="I9524" i="1" s="1"/>
  <c r="I9525" i="1" a="1"/>
  <c r="I9525" i="1" s="1"/>
  <c r="I9526" i="1" a="1"/>
  <c r="I9526" i="1" s="1"/>
  <c r="I9527" i="1" a="1"/>
  <c r="I9527" i="1" s="1"/>
  <c r="I9528" i="1" a="1"/>
  <c r="I9528" i="1" s="1"/>
  <c r="I9529" i="1" a="1"/>
  <c r="I9529" i="1" s="1"/>
  <c r="I9530" i="1" a="1"/>
  <c r="I9530" i="1" s="1"/>
  <c r="I9531" i="1" a="1"/>
  <c r="I9531" i="1" s="1"/>
  <c r="I9532" i="1" a="1"/>
  <c r="I9532" i="1" s="1"/>
  <c r="I9533" i="1" a="1"/>
  <c r="I9533" i="1" s="1"/>
  <c r="I9534" i="1" a="1"/>
  <c r="I9534" i="1" s="1"/>
  <c r="I9535" i="1" a="1"/>
  <c r="I9535" i="1" s="1"/>
  <c r="I9536" i="1" a="1"/>
  <c r="I9536" i="1" s="1"/>
  <c r="I9537" i="1" a="1"/>
  <c r="I9537" i="1" s="1"/>
  <c r="I9538" i="1" a="1"/>
  <c r="I9538" i="1" s="1"/>
  <c r="I9539" i="1" a="1"/>
  <c r="I9539" i="1" s="1"/>
  <c r="I9540" i="1" a="1"/>
  <c r="I9540" i="1" s="1"/>
  <c r="I9541" i="1" a="1"/>
  <c r="I9541" i="1" s="1"/>
  <c r="I9542" i="1" a="1"/>
  <c r="I9542" i="1" s="1"/>
  <c r="I9543" i="1" a="1"/>
  <c r="I9543" i="1" s="1"/>
  <c r="I9544" i="1" a="1"/>
  <c r="I9544" i="1" s="1"/>
  <c r="I9545" i="1" a="1"/>
  <c r="I9545" i="1" s="1"/>
  <c r="I9546" i="1" a="1"/>
  <c r="I9546" i="1" s="1"/>
  <c r="I9547" i="1" a="1"/>
  <c r="I9547" i="1" s="1"/>
  <c r="I9548" i="1" a="1"/>
  <c r="I9548" i="1" s="1"/>
  <c r="I9549" i="1" a="1"/>
  <c r="I9549" i="1" s="1"/>
  <c r="I9550" i="1" a="1"/>
  <c r="I9550" i="1" s="1"/>
  <c r="I9551" i="1" a="1"/>
  <c r="I9551" i="1" s="1"/>
  <c r="I9552" i="1" a="1"/>
  <c r="I9552" i="1" s="1"/>
  <c r="I9553" i="1" a="1"/>
  <c r="I9553" i="1" s="1"/>
  <c r="I9554" i="1" a="1"/>
  <c r="I9554" i="1" s="1"/>
  <c r="I9555" i="1" a="1"/>
  <c r="I9555" i="1" s="1"/>
  <c r="I9556" i="1" a="1"/>
  <c r="I9556" i="1" s="1"/>
  <c r="I9557" i="1" a="1"/>
  <c r="I9557" i="1" s="1"/>
  <c r="I9558" i="1" a="1"/>
  <c r="I9558" i="1" s="1"/>
  <c r="I9559" i="1" a="1"/>
  <c r="I9559" i="1" s="1"/>
  <c r="I9560" i="1" a="1"/>
  <c r="I9560" i="1" s="1"/>
  <c r="I9561" i="1" a="1"/>
  <c r="I9561" i="1" s="1"/>
  <c r="I9562" i="1" a="1"/>
  <c r="I9562" i="1" s="1"/>
  <c r="I9563" i="1" a="1"/>
  <c r="I9563" i="1" s="1"/>
  <c r="I9564" i="1" a="1"/>
  <c r="I9564" i="1" s="1"/>
  <c r="I9565" i="1" a="1"/>
  <c r="I9565" i="1" s="1"/>
  <c r="I9566" i="1" a="1"/>
  <c r="I9566" i="1" s="1"/>
  <c r="I9567" i="1" a="1"/>
  <c r="I9567" i="1" s="1"/>
  <c r="I9568" i="1" a="1"/>
  <c r="I9568" i="1" s="1"/>
  <c r="I9569" i="1" a="1"/>
  <c r="I9569" i="1" s="1"/>
  <c r="I9570" i="1" a="1"/>
  <c r="I9570" i="1" s="1"/>
  <c r="I9571" i="1" a="1"/>
  <c r="I9571" i="1" s="1"/>
  <c r="I9572" i="1" a="1"/>
  <c r="I9572" i="1" s="1"/>
  <c r="I9573" i="1" a="1"/>
  <c r="I9573" i="1" s="1"/>
  <c r="I9574" i="1" a="1"/>
  <c r="I9574" i="1" s="1"/>
  <c r="I9575" i="1" a="1"/>
  <c r="I9575" i="1" s="1"/>
  <c r="I9576" i="1" a="1"/>
  <c r="I9576" i="1" s="1"/>
  <c r="I9577" i="1" a="1"/>
  <c r="I9577" i="1" s="1"/>
  <c r="I9578" i="1" a="1"/>
  <c r="I9578" i="1" s="1"/>
  <c r="I9579" i="1" a="1"/>
  <c r="I9579" i="1" s="1"/>
  <c r="I9580" i="1" a="1"/>
  <c r="I9580" i="1" s="1"/>
  <c r="I9581" i="1" a="1"/>
  <c r="I9581" i="1" s="1"/>
  <c r="I9582" i="1" a="1"/>
  <c r="I9582" i="1" s="1"/>
  <c r="I9583" i="1" a="1"/>
  <c r="I9583" i="1" s="1"/>
  <c r="I9584" i="1" a="1"/>
  <c r="I9584" i="1" s="1"/>
  <c r="I9585" i="1" a="1"/>
  <c r="I9585" i="1" s="1"/>
  <c r="I9586" i="1" a="1"/>
  <c r="I9586" i="1" s="1"/>
  <c r="I9587" i="1" a="1"/>
  <c r="I9587" i="1" s="1"/>
  <c r="I9588" i="1" a="1"/>
  <c r="I9588" i="1" s="1"/>
  <c r="I9589" i="1" a="1"/>
  <c r="I9589" i="1" s="1"/>
  <c r="I9590" i="1" a="1"/>
  <c r="I9590" i="1" s="1"/>
  <c r="I9591" i="1" a="1"/>
  <c r="I9591" i="1" s="1"/>
  <c r="I9592" i="1" a="1"/>
  <c r="I9592" i="1" s="1"/>
  <c r="I9593" i="1" a="1"/>
  <c r="I9593" i="1" s="1"/>
  <c r="I9594" i="1" a="1"/>
  <c r="I9594" i="1" s="1"/>
  <c r="I9595" i="1" a="1"/>
  <c r="I9595" i="1" s="1"/>
  <c r="I9596" i="1" a="1"/>
  <c r="I9596" i="1" s="1"/>
  <c r="I9597" i="1" a="1"/>
  <c r="I9597" i="1" s="1"/>
  <c r="I9598" i="1" a="1"/>
  <c r="I9598" i="1" s="1"/>
  <c r="I9599" i="1" a="1"/>
  <c r="I9599" i="1" s="1"/>
  <c r="I9600" i="1" a="1"/>
  <c r="I9600" i="1" s="1"/>
  <c r="I9601" i="1" a="1"/>
  <c r="I9601" i="1" s="1"/>
  <c r="I9602" i="1" a="1"/>
  <c r="I9602" i="1" s="1"/>
  <c r="I9603" i="1" a="1"/>
  <c r="I9603" i="1" s="1"/>
  <c r="I9604" i="1" a="1"/>
  <c r="I9604" i="1" s="1"/>
  <c r="I9605" i="1" a="1"/>
  <c r="I9605" i="1" s="1"/>
  <c r="I9606" i="1" a="1"/>
  <c r="I9606" i="1" s="1"/>
  <c r="I9607" i="1" a="1"/>
  <c r="I9607" i="1" s="1"/>
  <c r="I9608" i="1" a="1"/>
  <c r="I9608" i="1" s="1"/>
  <c r="I9609" i="1" a="1"/>
  <c r="I9609" i="1" s="1"/>
  <c r="I9610" i="1" a="1"/>
  <c r="I9610" i="1" s="1"/>
  <c r="I9611" i="1" a="1"/>
  <c r="I9611" i="1" s="1"/>
  <c r="I9612" i="1" a="1"/>
  <c r="I9612" i="1" s="1"/>
  <c r="I9613" i="1" a="1"/>
  <c r="I9613" i="1" s="1"/>
  <c r="I9614" i="1" a="1"/>
  <c r="I9614" i="1" s="1"/>
  <c r="I9615" i="1" a="1"/>
  <c r="I9615" i="1" s="1"/>
  <c r="I9616" i="1" a="1"/>
  <c r="I9616" i="1" s="1"/>
  <c r="I9617" i="1" a="1"/>
  <c r="I9617" i="1" s="1"/>
  <c r="I9618" i="1" a="1"/>
  <c r="I9618" i="1" s="1"/>
  <c r="I9619" i="1" a="1"/>
  <c r="I9619" i="1" s="1"/>
  <c r="I9620" i="1" a="1"/>
  <c r="I9620" i="1" s="1"/>
  <c r="I9621" i="1" a="1"/>
  <c r="I9621" i="1" s="1"/>
  <c r="I9622" i="1" a="1"/>
  <c r="I9622" i="1" s="1"/>
  <c r="I9623" i="1" a="1"/>
  <c r="I9623" i="1" s="1"/>
  <c r="I9624" i="1" a="1"/>
  <c r="I9624" i="1" s="1"/>
  <c r="I9625" i="1" a="1"/>
  <c r="I9625" i="1" s="1"/>
  <c r="I9626" i="1" a="1"/>
  <c r="I9626" i="1" s="1"/>
  <c r="I9627" i="1" a="1"/>
  <c r="I9627" i="1" s="1"/>
  <c r="I9628" i="1" a="1"/>
  <c r="I9628" i="1" s="1"/>
  <c r="I9629" i="1" a="1"/>
  <c r="I9629" i="1" s="1"/>
  <c r="I9630" i="1" a="1"/>
  <c r="I9630" i="1" s="1"/>
  <c r="I9631" i="1" a="1"/>
  <c r="I9631" i="1" s="1"/>
  <c r="I9632" i="1" a="1"/>
  <c r="I9632" i="1" s="1"/>
  <c r="I9633" i="1" a="1"/>
  <c r="I9633" i="1" s="1"/>
  <c r="I9634" i="1" a="1"/>
  <c r="I9634" i="1" s="1"/>
  <c r="I9635" i="1" a="1"/>
  <c r="I9635" i="1" s="1"/>
  <c r="I9636" i="1" a="1"/>
  <c r="I9636" i="1" s="1"/>
  <c r="I9637" i="1" a="1"/>
  <c r="I9637" i="1" s="1"/>
  <c r="I9638" i="1" a="1"/>
  <c r="I9638" i="1" s="1"/>
  <c r="I9639" i="1" a="1"/>
  <c r="I9639" i="1" s="1"/>
  <c r="I9640" i="1" a="1"/>
  <c r="I9640" i="1" s="1"/>
  <c r="I9641" i="1" a="1"/>
  <c r="I9641" i="1" s="1"/>
  <c r="I9642" i="1" a="1"/>
  <c r="I9642" i="1" s="1"/>
  <c r="I9643" i="1" a="1"/>
  <c r="I9643" i="1" s="1"/>
  <c r="I9644" i="1" a="1"/>
  <c r="I9644" i="1" s="1"/>
  <c r="I9645" i="1" a="1"/>
  <c r="I9645" i="1" s="1"/>
  <c r="I9646" i="1" a="1"/>
  <c r="I9646" i="1" s="1"/>
  <c r="I9647" i="1" a="1"/>
  <c r="I9647" i="1" s="1"/>
  <c r="I9648" i="1" a="1"/>
  <c r="I9648" i="1" s="1"/>
  <c r="I9649" i="1" a="1"/>
  <c r="I9649" i="1" s="1"/>
  <c r="I9650" i="1" a="1"/>
  <c r="I9650" i="1" s="1"/>
  <c r="I9651" i="1" a="1"/>
  <c r="I9651" i="1" s="1"/>
  <c r="I9652" i="1" a="1"/>
  <c r="I9652" i="1" s="1"/>
  <c r="I9653" i="1" a="1"/>
  <c r="I9653" i="1" s="1"/>
  <c r="I9654" i="1" a="1"/>
  <c r="I9654" i="1" s="1"/>
  <c r="I9655" i="1" a="1"/>
  <c r="I9655" i="1" s="1"/>
  <c r="I9656" i="1" a="1"/>
  <c r="I9656" i="1" s="1"/>
  <c r="I9657" i="1" a="1"/>
  <c r="I9657" i="1" s="1"/>
  <c r="I9658" i="1" a="1"/>
  <c r="I9658" i="1" s="1"/>
  <c r="I9659" i="1" a="1"/>
  <c r="I9659" i="1" s="1"/>
  <c r="I9660" i="1" a="1"/>
  <c r="I9660" i="1" s="1"/>
  <c r="I9661" i="1" a="1"/>
  <c r="I9661" i="1" s="1"/>
  <c r="I9662" i="1" a="1"/>
  <c r="I9662" i="1" s="1"/>
  <c r="I9663" i="1" a="1"/>
  <c r="I9663" i="1" s="1"/>
  <c r="I9664" i="1" a="1"/>
  <c r="I9664" i="1" s="1"/>
  <c r="I9665" i="1" a="1"/>
  <c r="I9665" i="1" s="1"/>
  <c r="I9666" i="1" a="1"/>
  <c r="I9666" i="1" s="1"/>
  <c r="I9667" i="1" a="1"/>
  <c r="I9667" i="1" s="1"/>
  <c r="I9668" i="1" a="1"/>
  <c r="I9668" i="1" s="1"/>
  <c r="I9669" i="1" a="1"/>
  <c r="I9669" i="1" s="1"/>
  <c r="I9670" i="1" a="1"/>
  <c r="I9670" i="1" s="1"/>
  <c r="I9671" i="1" a="1"/>
  <c r="I9671" i="1" s="1"/>
  <c r="I9672" i="1" a="1"/>
  <c r="I9672" i="1" s="1"/>
  <c r="I9673" i="1" a="1"/>
  <c r="I9673" i="1" s="1"/>
  <c r="I9674" i="1" a="1"/>
  <c r="I9674" i="1" s="1"/>
  <c r="I9675" i="1" a="1"/>
  <c r="I9675" i="1" s="1"/>
  <c r="I9676" i="1" a="1"/>
  <c r="I9676" i="1" s="1"/>
  <c r="I9677" i="1" a="1"/>
  <c r="I9677" i="1" s="1"/>
  <c r="I9678" i="1" a="1"/>
  <c r="I9678" i="1" s="1"/>
  <c r="I9679" i="1" a="1"/>
  <c r="I9679" i="1" s="1"/>
  <c r="I9680" i="1" a="1"/>
  <c r="I9680" i="1" s="1"/>
  <c r="I9681" i="1" a="1"/>
  <c r="I9681" i="1" s="1"/>
  <c r="I9682" i="1" a="1"/>
  <c r="I9682" i="1" s="1"/>
  <c r="I9683" i="1" a="1"/>
  <c r="I9683" i="1" s="1"/>
  <c r="I9684" i="1" a="1"/>
  <c r="I9684" i="1" s="1"/>
  <c r="I9685" i="1" a="1"/>
  <c r="I9685" i="1" s="1"/>
  <c r="I9686" i="1" a="1"/>
  <c r="I9686" i="1" s="1"/>
  <c r="I9687" i="1" a="1"/>
  <c r="I9687" i="1" s="1"/>
  <c r="I9688" i="1" a="1"/>
  <c r="I9688" i="1" s="1"/>
  <c r="I9689" i="1" a="1"/>
  <c r="I9689" i="1" s="1"/>
  <c r="I9690" i="1" a="1"/>
  <c r="I9690" i="1" s="1"/>
  <c r="I9691" i="1" a="1"/>
  <c r="I9691" i="1" s="1"/>
  <c r="I9692" i="1" a="1"/>
  <c r="I9692" i="1" s="1"/>
  <c r="I9693" i="1" a="1"/>
  <c r="I9693" i="1" s="1"/>
  <c r="I9694" i="1" a="1"/>
  <c r="I9694" i="1" s="1"/>
  <c r="I9695" i="1" a="1"/>
  <c r="I9695" i="1" s="1"/>
  <c r="I9696" i="1" a="1"/>
  <c r="I9696" i="1" s="1"/>
  <c r="I9697" i="1" a="1"/>
  <c r="I9697" i="1" s="1"/>
  <c r="I9698" i="1" a="1"/>
  <c r="I9698" i="1" s="1"/>
  <c r="I9699" i="1" a="1"/>
  <c r="I9699" i="1" s="1"/>
  <c r="I9700" i="1" a="1"/>
  <c r="I9700" i="1" s="1"/>
  <c r="I9701" i="1" a="1"/>
  <c r="I9701" i="1" s="1"/>
  <c r="I9702" i="1" a="1"/>
  <c r="I9702" i="1" s="1"/>
  <c r="I9703" i="1" a="1"/>
  <c r="I9703" i="1" s="1"/>
  <c r="I9704" i="1" a="1"/>
  <c r="I9704" i="1" s="1"/>
  <c r="I9705" i="1" a="1"/>
  <c r="I9705" i="1" s="1"/>
  <c r="I9706" i="1" a="1"/>
  <c r="I9706" i="1" s="1"/>
  <c r="I9707" i="1" a="1"/>
  <c r="I9707" i="1" s="1"/>
  <c r="I9708" i="1" a="1"/>
  <c r="I9708" i="1" s="1"/>
  <c r="I9709" i="1" a="1"/>
  <c r="I9709" i="1" s="1"/>
  <c r="I9710" i="1" a="1"/>
  <c r="I9710" i="1" s="1"/>
  <c r="I9711" i="1" a="1"/>
  <c r="I9711" i="1" s="1"/>
  <c r="I9712" i="1" a="1"/>
  <c r="I9712" i="1" s="1"/>
  <c r="I9713" i="1" a="1"/>
  <c r="I9713" i="1" s="1"/>
  <c r="I9714" i="1" a="1"/>
  <c r="I9714" i="1" s="1"/>
  <c r="I9715" i="1" a="1"/>
  <c r="I9715" i="1" s="1"/>
  <c r="I9716" i="1" a="1"/>
  <c r="I9716" i="1" s="1"/>
  <c r="I9717" i="1" a="1"/>
  <c r="I9717" i="1" s="1"/>
  <c r="I9718" i="1" a="1"/>
  <c r="I9718" i="1" s="1"/>
  <c r="I9719" i="1" a="1"/>
  <c r="I9719" i="1" s="1"/>
  <c r="I9720" i="1" a="1"/>
  <c r="I9720" i="1" s="1"/>
  <c r="I9721" i="1" a="1"/>
  <c r="I9721" i="1" s="1"/>
  <c r="I9722" i="1" a="1"/>
  <c r="I9722" i="1" s="1"/>
  <c r="I9723" i="1" a="1"/>
  <c r="I9723" i="1" s="1"/>
  <c r="I9724" i="1" a="1"/>
  <c r="I9724" i="1" s="1"/>
  <c r="I9725" i="1" a="1"/>
  <c r="I9725" i="1" s="1"/>
  <c r="I9726" i="1" a="1"/>
  <c r="I9726" i="1" s="1"/>
  <c r="I9727" i="1" a="1"/>
  <c r="I9727" i="1" s="1"/>
  <c r="I9728" i="1" a="1"/>
  <c r="I9728" i="1" s="1"/>
  <c r="I9729" i="1" a="1"/>
  <c r="I9729" i="1" s="1"/>
  <c r="I9730" i="1" a="1"/>
  <c r="I9730" i="1" s="1"/>
  <c r="I9731" i="1" a="1"/>
  <c r="I9731" i="1" s="1"/>
  <c r="I9732" i="1" a="1"/>
  <c r="I9732" i="1" s="1"/>
  <c r="I9733" i="1" a="1"/>
  <c r="I9733" i="1" s="1"/>
  <c r="I9734" i="1" a="1"/>
  <c r="I9734" i="1" s="1"/>
  <c r="I9735" i="1" a="1"/>
  <c r="I9735" i="1" s="1"/>
  <c r="I9736" i="1" a="1"/>
  <c r="I9736" i="1" s="1"/>
  <c r="I9737" i="1" a="1"/>
  <c r="I9737" i="1" s="1"/>
  <c r="I9738" i="1" a="1"/>
  <c r="I9738" i="1" s="1"/>
  <c r="I9739" i="1" a="1"/>
  <c r="I9739" i="1" s="1"/>
  <c r="I9740" i="1" a="1"/>
  <c r="I9740" i="1" s="1"/>
  <c r="I9741" i="1" a="1"/>
  <c r="I9741" i="1" s="1"/>
  <c r="I9742" i="1" a="1"/>
  <c r="I9742" i="1" s="1"/>
  <c r="I9743" i="1" a="1"/>
  <c r="I9743" i="1" s="1"/>
  <c r="I9744" i="1" a="1"/>
  <c r="I9744" i="1" s="1"/>
  <c r="I9745" i="1" a="1"/>
  <c r="I9745" i="1" s="1"/>
  <c r="I9746" i="1" a="1"/>
  <c r="I9746" i="1" s="1"/>
  <c r="I9747" i="1" a="1"/>
  <c r="I9747" i="1" s="1"/>
  <c r="I9748" i="1" a="1"/>
  <c r="I9748" i="1" s="1"/>
  <c r="I9749" i="1" a="1"/>
  <c r="I9749" i="1" s="1"/>
  <c r="I9750" i="1" a="1"/>
  <c r="I9750" i="1" s="1"/>
  <c r="I9751" i="1" a="1"/>
  <c r="I9751" i="1" s="1"/>
  <c r="I9752" i="1" a="1"/>
  <c r="I9752" i="1" s="1"/>
  <c r="I9753" i="1" a="1"/>
  <c r="I9753" i="1" s="1"/>
  <c r="I9754" i="1" a="1"/>
  <c r="I9754" i="1" s="1"/>
  <c r="I9755" i="1" a="1"/>
  <c r="I9755" i="1" s="1"/>
  <c r="I9756" i="1" a="1"/>
  <c r="I9756" i="1" s="1"/>
  <c r="I9757" i="1" a="1"/>
  <c r="I9757" i="1" s="1"/>
  <c r="I9758" i="1" a="1"/>
  <c r="I9758" i="1" s="1"/>
  <c r="I9759" i="1" a="1"/>
  <c r="I9759" i="1" s="1"/>
  <c r="I9760" i="1" a="1"/>
  <c r="I9760" i="1" s="1"/>
  <c r="I9761" i="1" a="1"/>
  <c r="I9761" i="1" s="1"/>
  <c r="I9762" i="1" a="1"/>
  <c r="I9762" i="1" s="1"/>
  <c r="I9763" i="1" a="1"/>
  <c r="I9763" i="1" s="1"/>
  <c r="I9764" i="1" a="1"/>
  <c r="I9764" i="1" s="1"/>
  <c r="I9765" i="1" a="1"/>
  <c r="I9765" i="1" s="1"/>
  <c r="I9766" i="1" a="1"/>
  <c r="I9766" i="1" s="1"/>
  <c r="I9767" i="1" a="1"/>
  <c r="I9767" i="1" s="1"/>
  <c r="I9768" i="1" a="1"/>
  <c r="I9768" i="1" s="1"/>
  <c r="I9769" i="1" a="1"/>
  <c r="I9769" i="1" s="1"/>
  <c r="I9770" i="1" a="1"/>
  <c r="I9770" i="1" s="1"/>
  <c r="I9771" i="1" a="1"/>
  <c r="I9771" i="1" s="1"/>
  <c r="I9772" i="1" a="1"/>
  <c r="I9772" i="1" s="1"/>
  <c r="I9773" i="1" a="1"/>
  <c r="I9773" i="1" s="1"/>
  <c r="I9774" i="1" a="1"/>
  <c r="I9774" i="1" s="1"/>
  <c r="I9775" i="1" a="1"/>
  <c r="I9775" i="1" s="1"/>
  <c r="I9776" i="1" a="1"/>
  <c r="I9776" i="1" s="1"/>
  <c r="I9777" i="1" a="1"/>
  <c r="I9777" i="1" s="1"/>
  <c r="I9778" i="1" a="1"/>
  <c r="I9778" i="1" s="1"/>
  <c r="I9779" i="1" a="1"/>
  <c r="I9779" i="1" s="1"/>
  <c r="I9780" i="1" a="1"/>
  <c r="I9780" i="1" s="1"/>
  <c r="I9781" i="1" a="1"/>
  <c r="I9781" i="1" s="1"/>
  <c r="I9782" i="1" a="1"/>
  <c r="I9782" i="1" s="1"/>
  <c r="I9783" i="1" a="1"/>
  <c r="I9783" i="1" s="1"/>
  <c r="I9784" i="1" a="1"/>
  <c r="I9784" i="1" s="1"/>
  <c r="I9785" i="1" a="1"/>
  <c r="I9785" i="1" s="1"/>
  <c r="I9786" i="1" a="1"/>
  <c r="I9786" i="1" s="1"/>
  <c r="I9787" i="1" a="1"/>
  <c r="I9787" i="1" s="1"/>
  <c r="I9788" i="1" a="1"/>
  <c r="I9788" i="1" s="1"/>
  <c r="I9789" i="1" a="1"/>
  <c r="I9789" i="1" s="1"/>
  <c r="I9790" i="1" a="1"/>
  <c r="I9790" i="1" s="1"/>
  <c r="I9791" i="1" a="1"/>
  <c r="I9791" i="1" s="1"/>
  <c r="I9792" i="1" a="1"/>
  <c r="I9792" i="1" s="1"/>
  <c r="I9793" i="1" a="1"/>
  <c r="I9793" i="1" s="1"/>
  <c r="I9794" i="1" a="1"/>
  <c r="I9794" i="1" s="1"/>
  <c r="I9795" i="1" a="1"/>
  <c r="I9795" i="1" s="1"/>
  <c r="I9796" i="1" a="1"/>
  <c r="I9796" i="1" s="1"/>
  <c r="I9797" i="1" a="1"/>
  <c r="I9797" i="1" s="1"/>
  <c r="I9798" i="1" a="1"/>
  <c r="I9798" i="1" s="1"/>
  <c r="I9799" i="1" a="1"/>
  <c r="I9799" i="1" s="1"/>
  <c r="I9800" i="1" a="1"/>
  <c r="I9800" i="1" s="1"/>
  <c r="I9801" i="1" a="1"/>
  <c r="I9801" i="1" s="1"/>
  <c r="I9802" i="1" a="1"/>
  <c r="I9802" i="1" s="1"/>
  <c r="I9803" i="1" a="1"/>
  <c r="I9803" i="1" s="1"/>
  <c r="I9804" i="1" a="1"/>
  <c r="I9804" i="1" s="1"/>
  <c r="I9805" i="1" a="1"/>
  <c r="I9805" i="1" s="1"/>
  <c r="I9806" i="1" a="1"/>
  <c r="I9806" i="1" s="1"/>
  <c r="I9807" i="1" a="1"/>
  <c r="I9807" i="1" s="1"/>
  <c r="I9808" i="1" a="1"/>
  <c r="I9808" i="1" s="1"/>
  <c r="I9809" i="1" a="1"/>
  <c r="I9809" i="1" s="1"/>
  <c r="I9810" i="1" a="1"/>
  <c r="I9810" i="1" s="1"/>
  <c r="I9811" i="1" a="1"/>
  <c r="I9811" i="1" s="1"/>
  <c r="I9812" i="1" a="1"/>
  <c r="I9812" i="1" s="1"/>
  <c r="I9813" i="1" a="1"/>
  <c r="I9813" i="1" s="1"/>
  <c r="I9814" i="1" a="1"/>
  <c r="I9814" i="1" s="1"/>
  <c r="I9815" i="1" a="1"/>
  <c r="I9815" i="1" s="1"/>
  <c r="I9816" i="1" a="1"/>
  <c r="I9816" i="1" s="1"/>
  <c r="I9817" i="1" a="1"/>
  <c r="I9817" i="1" s="1"/>
  <c r="I9818" i="1" a="1"/>
  <c r="I9818" i="1" s="1"/>
  <c r="I9819" i="1" a="1"/>
  <c r="I9819" i="1" s="1"/>
  <c r="I9820" i="1" a="1"/>
  <c r="I9820" i="1" s="1"/>
  <c r="I9821" i="1" a="1"/>
  <c r="I9821" i="1" s="1"/>
  <c r="I9822" i="1" a="1"/>
  <c r="I9822" i="1" s="1"/>
  <c r="I9823" i="1" a="1"/>
  <c r="I9823" i="1" s="1"/>
  <c r="I9824" i="1" a="1"/>
  <c r="I9824" i="1" s="1"/>
  <c r="I9825" i="1" a="1"/>
  <c r="I9825" i="1" s="1"/>
  <c r="I9826" i="1" a="1"/>
  <c r="I9826" i="1" s="1"/>
  <c r="I9827" i="1" a="1"/>
  <c r="I9827" i="1" s="1"/>
  <c r="I9828" i="1" a="1"/>
  <c r="I9828" i="1" s="1"/>
  <c r="I9829" i="1" a="1"/>
  <c r="I9829" i="1" s="1"/>
  <c r="I9830" i="1" a="1"/>
  <c r="I9830" i="1" s="1"/>
  <c r="I9831" i="1" a="1"/>
  <c r="I9831" i="1" s="1"/>
  <c r="I9832" i="1" a="1"/>
  <c r="I9832" i="1" s="1"/>
  <c r="I9833" i="1" a="1"/>
  <c r="I9833" i="1" s="1"/>
  <c r="I9834" i="1" a="1"/>
  <c r="I9834" i="1" s="1"/>
  <c r="I9835" i="1" a="1"/>
  <c r="I9835" i="1" s="1"/>
  <c r="I9836" i="1" a="1"/>
  <c r="I9836" i="1" s="1"/>
  <c r="I9837" i="1" a="1"/>
  <c r="I9837" i="1" s="1"/>
  <c r="I9838" i="1" a="1"/>
  <c r="I9838" i="1" s="1"/>
  <c r="I9839" i="1" a="1"/>
  <c r="I9839" i="1" s="1"/>
  <c r="I9840" i="1" a="1"/>
  <c r="I9840" i="1" s="1"/>
  <c r="I9841" i="1" a="1"/>
  <c r="I9841" i="1" s="1"/>
  <c r="I9842" i="1" a="1"/>
  <c r="I9842" i="1" s="1"/>
  <c r="I9843" i="1" a="1"/>
  <c r="I9843" i="1" s="1"/>
  <c r="I9844" i="1" a="1"/>
  <c r="I9844" i="1" s="1"/>
  <c r="I9845" i="1" a="1"/>
  <c r="I9845" i="1" s="1"/>
  <c r="I9846" i="1" a="1"/>
  <c r="I9846" i="1" s="1"/>
  <c r="I9847" i="1" a="1"/>
  <c r="I9847" i="1" s="1"/>
  <c r="I9848" i="1" a="1"/>
  <c r="I9848" i="1" s="1"/>
  <c r="I9849" i="1" a="1"/>
  <c r="I9849" i="1" s="1"/>
  <c r="I9850" i="1" a="1"/>
  <c r="I9850" i="1" s="1"/>
  <c r="I9851" i="1" a="1"/>
  <c r="I9851" i="1" s="1"/>
  <c r="I9852" i="1" a="1"/>
  <c r="I9852" i="1" s="1"/>
  <c r="I9853" i="1" a="1"/>
  <c r="I9853" i="1" s="1"/>
  <c r="I9854" i="1" a="1"/>
  <c r="I9854" i="1" s="1"/>
  <c r="I9855" i="1" a="1"/>
  <c r="I9855" i="1" s="1"/>
  <c r="I9856" i="1" a="1"/>
  <c r="I9856" i="1" s="1"/>
  <c r="I9857" i="1" a="1"/>
  <c r="I9857" i="1" s="1"/>
  <c r="I9858" i="1" a="1"/>
  <c r="I9858" i="1" s="1"/>
  <c r="I9859" i="1" a="1"/>
  <c r="I9859" i="1" s="1"/>
  <c r="I9860" i="1" a="1"/>
  <c r="I9860" i="1" s="1"/>
  <c r="I9861" i="1" a="1"/>
  <c r="I9861" i="1" s="1"/>
  <c r="I9862" i="1" a="1"/>
  <c r="I9862" i="1" s="1"/>
  <c r="I9863" i="1" a="1"/>
  <c r="I9863" i="1" s="1"/>
  <c r="I9864" i="1" a="1"/>
  <c r="I9864" i="1" s="1"/>
  <c r="I9865" i="1" a="1"/>
  <c r="I9865" i="1" s="1"/>
  <c r="I9866" i="1" a="1"/>
  <c r="I9866" i="1" s="1"/>
  <c r="I9867" i="1" a="1"/>
  <c r="I9867" i="1" s="1"/>
  <c r="I9868" i="1" a="1"/>
  <c r="I9868" i="1" s="1"/>
  <c r="I9869" i="1" a="1"/>
  <c r="I9869" i="1" s="1"/>
  <c r="I9870" i="1" a="1"/>
  <c r="I9870" i="1" s="1"/>
  <c r="I9871" i="1" a="1"/>
  <c r="I9871" i="1" s="1"/>
  <c r="I9872" i="1" a="1"/>
  <c r="I9872" i="1" s="1"/>
  <c r="I9873" i="1" a="1"/>
  <c r="I9873" i="1" s="1"/>
  <c r="I9874" i="1" a="1"/>
  <c r="I9874" i="1" s="1"/>
  <c r="I9875" i="1" a="1"/>
  <c r="I9875" i="1" s="1"/>
  <c r="I9876" i="1" a="1"/>
  <c r="I9876" i="1" s="1"/>
  <c r="I9877" i="1" a="1"/>
  <c r="I9877" i="1" s="1"/>
  <c r="I9878" i="1" a="1"/>
  <c r="I9878" i="1" s="1"/>
  <c r="I9879" i="1" a="1"/>
  <c r="I9879" i="1" s="1"/>
  <c r="I9880" i="1" a="1"/>
  <c r="I9880" i="1" s="1"/>
  <c r="I9881" i="1" a="1"/>
  <c r="I9881" i="1" s="1"/>
  <c r="I9882" i="1" a="1"/>
  <c r="I9882" i="1" s="1"/>
  <c r="I9883" i="1" a="1"/>
  <c r="I9883" i="1" s="1"/>
  <c r="I9884" i="1" a="1"/>
  <c r="I9884" i="1" s="1"/>
  <c r="I9885" i="1" a="1"/>
  <c r="I9885" i="1" s="1"/>
  <c r="I9886" i="1" a="1"/>
  <c r="I9886" i="1" s="1"/>
  <c r="I9887" i="1" a="1"/>
  <c r="I9887" i="1" s="1"/>
  <c r="I9888" i="1" a="1"/>
  <c r="I9888" i="1" s="1"/>
  <c r="I9889" i="1" a="1"/>
  <c r="I9889" i="1" s="1"/>
  <c r="I9890" i="1" a="1"/>
  <c r="I9890" i="1" s="1"/>
  <c r="I9891" i="1" a="1"/>
  <c r="I9891" i="1" s="1"/>
  <c r="I9892" i="1" a="1"/>
  <c r="I9892" i="1" s="1"/>
  <c r="I9893" i="1" a="1"/>
  <c r="I9893" i="1" s="1"/>
  <c r="I9894" i="1" a="1"/>
  <c r="I9894" i="1" s="1"/>
  <c r="I9895" i="1" a="1"/>
  <c r="I9895" i="1" s="1"/>
  <c r="I9896" i="1" a="1"/>
  <c r="I9896" i="1" s="1"/>
  <c r="I9897" i="1" a="1"/>
  <c r="I9897" i="1" s="1"/>
  <c r="I9898" i="1" a="1"/>
  <c r="I9898" i="1" s="1"/>
  <c r="I9899" i="1" a="1"/>
  <c r="I9899" i="1" s="1"/>
  <c r="I9900" i="1" a="1"/>
  <c r="I9900" i="1" s="1"/>
  <c r="I9901" i="1" a="1"/>
  <c r="I9901" i="1" s="1"/>
  <c r="I9902" i="1" a="1"/>
  <c r="I9902" i="1" s="1"/>
  <c r="I9903" i="1" a="1"/>
  <c r="I9903" i="1" s="1"/>
  <c r="I9904" i="1" a="1"/>
  <c r="I9904" i="1" s="1"/>
  <c r="I9905" i="1" a="1"/>
  <c r="I9905" i="1" s="1"/>
  <c r="I9906" i="1" a="1"/>
  <c r="I9906" i="1" s="1"/>
  <c r="I9907" i="1" a="1"/>
  <c r="I9907" i="1" s="1"/>
  <c r="I9908" i="1" a="1"/>
  <c r="I9908" i="1" s="1"/>
  <c r="I9909" i="1" a="1"/>
  <c r="I9909" i="1" s="1"/>
  <c r="I9910" i="1" a="1"/>
  <c r="I9910" i="1" s="1"/>
  <c r="I9911" i="1" a="1"/>
  <c r="I9911" i="1" s="1"/>
  <c r="I9912" i="1" a="1"/>
  <c r="I9912" i="1" s="1"/>
  <c r="I9913" i="1" a="1"/>
  <c r="I9913" i="1" s="1"/>
  <c r="I9914" i="1" a="1"/>
  <c r="I9914" i="1" s="1"/>
  <c r="I9915" i="1" a="1"/>
  <c r="I9915" i="1" s="1"/>
  <c r="I9916" i="1" a="1"/>
  <c r="I9916" i="1" s="1"/>
  <c r="I9917" i="1" a="1"/>
  <c r="I9917" i="1" s="1"/>
  <c r="I9918" i="1" a="1"/>
  <c r="I9918" i="1" s="1"/>
  <c r="I9919" i="1" a="1"/>
  <c r="I9919" i="1" s="1"/>
  <c r="I9920" i="1" a="1"/>
  <c r="I9920" i="1" s="1"/>
  <c r="I9921" i="1" a="1"/>
  <c r="I9921" i="1" s="1"/>
  <c r="I9922" i="1" a="1"/>
  <c r="I9922" i="1" s="1"/>
  <c r="I9923" i="1" a="1"/>
  <c r="I9923" i="1" s="1"/>
  <c r="I9924" i="1" a="1"/>
  <c r="I9924" i="1" s="1"/>
  <c r="I9925" i="1" a="1"/>
  <c r="I9925" i="1" s="1"/>
  <c r="I9926" i="1" a="1"/>
  <c r="I9926" i="1" s="1"/>
  <c r="I9927" i="1" a="1"/>
  <c r="I9927" i="1" s="1"/>
  <c r="I9928" i="1" a="1"/>
  <c r="I9928" i="1" s="1"/>
  <c r="I9929" i="1" a="1"/>
  <c r="I9929" i="1" s="1"/>
  <c r="I9930" i="1" a="1"/>
  <c r="I9930" i="1" s="1"/>
  <c r="I9931" i="1" a="1"/>
  <c r="I9931" i="1" s="1"/>
  <c r="I9932" i="1" a="1"/>
  <c r="I9932" i="1" s="1"/>
  <c r="I9933" i="1" a="1"/>
  <c r="I9933" i="1" s="1"/>
  <c r="I9934" i="1" a="1"/>
  <c r="I9934" i="1" s="1"/>
  <c r="I9935" i="1" a="1"/>
  <c r="I9935" i="1" s="1"/>
  <c r="I9936" i="1" a="1"/>
  <c r="I9936" i="1" s="1"/>
  <c r="I9937" i="1" a="1"/>
  <c r="I9937" i="1" s="1"/>
  <c r="I9938" i="1" a="1"/>
  <c r="I9938" i="1" s="1"/>
  <c r="I9939" i="1" a="1"/>
  <c r="I9939" i="1" s="1"/>
  <c r="I9940" i="1" a="1"/>
  <c r="I9940" i="1" s="1"/>
  <c r="I9941" i="1" a="1"/>
  <c r="I9941" i="1" s="1"/>
  <c r="I9942" i="1" a="1"/>
  <c r="I9942" i="1" s="1"/>
  <c r="I9943" i="1" a="1"/>
  <c r="I9943" i="1" s="1"/>
  <c r="I9944" i="1" a="1"/>
  <c r="I9944" i="1" s="1"/>
  <c r="I9945" i="1" a="1"/>
  <c r="I9945" i="1" s="1"/>
  <c r="I9946" i="1" a="1"/>
  <c r="I9946" i="1" s="1"/>
  <c r="I9947" i="1" a="1"/>
  <c r="I9947" i="1" s="1"/>
  <c r="I9948" i="1" a="1"/>
  <c r="I9948" i="1" s="1"/>
  <c r="I9949" i="1" a="1"/>
  <c r="I9949" i="1" s="1"/>
  <c r="I9950" i="1" a="1"/>
  <c r="I9950" i="1" s="1"/>
  <c r="I9951" i="1" a="1"/>
  <c r="I9951" i="1" s="1"/>
  <c r="I9952" i="1" a="1"/>
  <c r="I9952" i="1" s="1"/>
  <c r="I9953" i="1" a="1"/>
  <c r="I9953" i="1" s="1"/>
  <c r="I9954" i="1" a="1"/>
  <c r="I9954" i="1" s="1"/>
  <c r="I9955" i="1" a="1"/>
  <c r="I9955" i="1" s="1"/>
  <c r="I9956" i="1" a="1"/>
  <c r="I9956" i="1" s="1"/>
  <c r="I9957" i="1" a="1"/>
  <c r="I9957" i="1" s="1"/>
  <c r="I9958" i="1" a="1"/>
  <c r="I9958" i="1" s="1"/>
  <c r="I9959" i="1" a="1"/>
  <c r="I9959" i="1" s="1"/>
  <c r="I9960" i="1" a="1"/>
  <c r="I9960" i="1" s="1"/>
  <c r="I9961" i="1" a="1"/>
  <c r="I9961" i="1" s="1"/>
  <c r="I9962" i="1" a="1"/>
  <c r="I9962" i="1" s="1"/>
  <c r="I9963" i="1" a="1"/>
  <c r="I9963" i="1" s="1"/>
  <c r="I9964" i="1" a="1"/>
  <c r="I9964" i="1" s="1"/>
  <c r="I9965" i="1" a="1"/>
  <c r="I9965" i="1" s="1"/>
  <c r="I9966" i="1" a="1"/>
  <c r="I9966" i="1" s="1"/>
  <c r="I9967" i="1" a="1"/>
  <c r="I9967" i="1" s="1"/>
  <c r="I9968" i="1" a="1"/>
  <c r="I9968" i="1" s="1"/>
  <c r="I9969" i="1" a="1"/>
  <c r="I9969" i="1" s="1"/>
  <c r="I9970" i="1" a="1"/>
  <c r="I9970" i="1" s="1"/>
  <c r="I9971" i="1" a="1"/>
  <c r="I9971" i="1" s="1"/>
  <c r="I9972" i="1" a="1"/>
  <c r="I9972" i="1" s="1"/>
  <c r="I9973" i="1" a="1"/>
  <c r="I9973" i="1" s="1"/>
  <c r="I9974" i="1" a="1"/>
  <c r="I9974" i="1" s="1"/>
  <c r="I9975" i="1" a="1"/>
  <c r="I9975" i="1" s="1"/>
  <c r="I9976" i="1" a="1"/>
  <c r="I9976" i="1" s="1"/>
  <c r="I9977" i="1" a="1"/>
  <c r="I9977" i="1" s="1"/>
  <c r="I9978" i="1" a="1"/>
  <c r="I9978" i="1" s="1"/>
  <c r="I9979" i="1" a="1"/>
  <c r="I9979" i="1" s="1"/>
  <c r="I9980" i="1" a="1"/>
  <c r="I9980" i="1" s="1"/>
  <c r="I9981" i="1" a="1"/>
  <c r="I9981" i="1" s="1"/>
  <c r="I9982" i="1" a="1"/>
  <c r="I9982" i="1" s="1"/>
  <c r="I9983" i="1" a="1"/>
  <c r="I9983" i="1" s="1"/>
  <c r="I9984" i="1" a="1"/>
  <c r="I9984" i="1" s="1"/>
  <c r="I9985" i="1" a="1"/>
  <c r="I9985" i="1" s="1"/>
  <c r="I9986" i="1" a="1"/>
  <c r="I9986" i="1" s="1"/>
  <c r="I9987" i="1" a="1"/>
  <c r="I9987" i="1" s="1"/>
  <c r="I9988" i="1" a="1"/>
  <c r="I9988" i="1" s="1"/>
  <c r="I9989" i="1" a="1"/>
  <c r="I9989" i="1" s="1"/>
  <c r="I9990" i="1" a="1"/>
  <c r="I9990" i="1" s="1"/>
  <c r="I9991" i="1" a="1"/>
  <c r="I9991" i="1" s="1"/>
  <c r="I9992" i="1" a="1"/>
  <c r="I9992" i="1" s="1"/>
  <c r="I9993" i="1" a="1"/>
  <c r="I9993" i="1" s="1"/>
  <c r="I9994" i="1" a="1"/>
  <c r="I9994" i="1" s="1"/>
  <c r="I9995" i="1" a="1"/>
  <c r="I9995" i="1" s="1"/>
  <c r="I9996" i="1" a="1"/>
  <c r="I9996" i="1" s="1"/>
  <c r="I9997" i="1" a="1"/>
  <c r="I9997" i="1" s="1"/>
  <c r="I9998" i="1" a="1"/>
  <c r="I9998" i="1" s="1"/>
  <c r="I9999" i="1" a="1"/>
  <c r="I9999" i="1" s="1"/>
  <c r="I10000" i="1" a="1"/>
  <c r="I10000" i="1" s="1"/>
  <c r="I10001" i="1" a="1"/>
  <c r="I10001" i="1" s="1"/>
  <c r="I10002" i="1" a="1"/>
  <c r="I10002" i="1" s="1"/>
  <c r="I10003" i="1" a="1"/>
  <c r="I10003" i="1" s="1"/>
  <c r="I10004" i="1" a="1"/>
  <c r="I10004" i="1" s="1"/>
  <c r="I10005" i="1" a="1"/>
  <c r="I10005" i="1" s="1"/>
  <c r="I10006" i="1" a="1"/>
  <c r="I10006" i="1" s="1"/>
  <c r="I10007" i="1" a="1"/>
  <c r="I10007" i="1" s="1"/>
  <c r="I10008" i="1" a="1"/>
  <c r="I10008" i="1" s="1"/>
  <c r="I10009" i="1" a="1"/>
  <c r="I10009" i="1" s="1"/>
  <c r="I10010" i="1" a="1"/>
  <c r="I10010" i="1" s="1"/>
  <c r="I10011" i="1" a="1"/>
  <c r="I10011" i="1" s="1"/>
  <c r="I10012" i="1" a="1"/>
  <c r="I10012" i="1" s="1"/>
  <c r="I10013" i="1" a="1"/>
  <c r="I10013" i="1" s="1"/>
  <c r="I10014" i="1" a="1"/>
  <c r="I10014" i="1" s="1"/>
  <c r="I10015" i="1" a="1"/>
  <c r="I10015" i="1" s="1"/>
  <c r="I10016" i="1" a="1"/>
  <c r="I10016" i="1" s="1"/>
  <c r="I10017" i="1" a="1"/>
  <c r="I10017" i="1" s="1"/>
  <c r="I10018" i="1" a="1"/>
  <c r="I10018" i="1" s="1"/>
  <c r="I10019" i="1" a="1"/>
  <c r="I10019" i="1" s="1"/>
  <c r="I10020" i="1" a="1"/>
  <c r="I10020" i="1" s="1"/>
  <c r="I10021" i="1" a="1"/>
  <c r="I10021" i="1" s="1"/>
  <c r="I10022" i="1" a="1"/>
  <c r="I10022" i="1" s="1"/>
  <c r="I10023" i="1" a="1"/>
  <c r="I10023" i="1" s="1"/>
  <c r="I10024" i="1" a="1"/>
  <c r="I10024" i="1" s="1"/>
  <c r="I10025" i="1" a="1"/>
  <c r="I10025" i="1" s="1"/>
  <c r="I10026" i="1" a="1"/>
  <c r="I10026" i="1" s="1"/>
  <c r="I10027" i="1" a="1"/>
  <c r="I10027" i="1" s="1"/>
  <c r="I10028" i="1" a="1"/>
  <c r="I10028" i="1" s="1"/>
  <c r="I10029" i="1" a="1"/>
  <c r="I10029" i="1" s="1"/>
  <c r="I10030" i="1" a="1"/>
  <c r="I10030" i="1" s="1"/>
  <c r="I10031" i="1" a="1"/>
  <c r="I10031" i="1" s="1"/>
  <c r="I10032" i="1" a="1"/>
  <c r="I10032" i="1" s="1"/>
  <c r="I10033" i="1" a="1"/>
  <c r="I10033" i="1" s="1"/>
  <c r="I10034" i="1" a="1"/>
  <c r="I10034" i="1" s="1"/>
  <c r="I10035" i="1" a="1"/>
  <c r="I10035" i="1" s="1"/>
  <c r="I10036" i="1" a="1"/>
  <c r="I10036" i="1" s="1"/>
  <c r="I10037" i="1" a="1"/>
  <c r="I10037" i="1" s="1"/>
  <c r="I10038" i="1" a="1"/>
  <c r="I10038" i="1" s="1"/>
  <c r="I10039" i="1" a="1"/>
  <c r="I10039" i="1" s="1"/>
  <c r="I10040" i="1" a="1"/>
  <c r="I10040" i="1" s="1"/>
  <c r="I10041" i="1" a="1"/>
  <c r="I10041" i="1" s="1"/>
  <c r="I10042" i="1" a="1"/>
  <c r="I10042" i="1" s="1"/>
  <c r="I10043" i="1" a="1"/>
  <c r="I10043" i="1" s="1"/>
  <c r="I10044" i="1" a="1"/>
  <c r="I10044" i="1" s="1"/>
  <c r="I10045" i="1" a="1"/>
  <c r="I10045" i="1" s="1"/>
  <c r="I10046" i="1" a="1"/>
  <c r="I10046" i="1" s="1"/>
  <c r="I10047" i="1" a="1"/>
  <c r="I10047" i="1" s="1"/>
  <c r="I10048" i="1" a="1"/>
  <c r="I10048" i="1" s="1"/>
  <c r="I10049" i="1" a="1"/>
  <c r="I10049" i="1" s="1"/>
  <c r="I10050" i="1" a="1"/>
  <c r="I10050" i="1" s="1"/>
  <c r="I10051" i="1" a="1"/>
  <c r="I10051" i="1" s="1"/>
  <c r="I10052" i="1" a="1"/>
  <c r="I10052" i="1" s="1"/>
  <c r="I10053" i="1" a="1"/>
  <c r="I10053" i="1" s="1"/>
  <c r="I10054" i="1" a="1"/>
  <c r="I10054" i="1" s="1"/>
  <c r="I10055" i="1" a="1"/>
  <c r="I10055" i="1" s="1"/>
  <c r="I10056" i="1" a="1"/>
  <c r="I10056" i="1" s="1"/>
  <c r="I10057" i="1" a="1"/>
  <c r="I10057" i="1" s="1"/>
  <c r="I10058" i="1" a="1"/>
  <c r="I10058" i="1" s="1"/>
  <c r="I10059" i="1" a="1"/>
  <c r="I10059" i="1" s="1"/>
  <c r="I10060" i="1" a="1"/>
  <c r="I10060" i="1" s="1"/>
  <c r="I10061" i="1" a="1"/>
  <c r="I10061" i="1" s="1"/>
  <c r="I10062" i="1" a="1"/>
  <c r="I10062" i="1" s="1"/>
  <c r="I10063" i="1" a="1"/>
  <c r="I10063" i="1" s="1"/>
  <c r="I10064" i="1" a="1"/>
  <c r="I10064" i="1" s="1"/>
  <c r="I10065" i="1" a="1"/>
  <c r="I10065" i="1" s="1"/>
  <c r="I10066" i="1" a="1"/>
  <c r="I10066" i="1" s="1"/>
  <c r="I10067" i="1" a="1"/>
  <c r="I10067" i="1" s="1"/>
  <c r="I10068" i="1" a="1"/>
  <c r="I10068" i="1" s="1"/>
  <c r="I10069" i="1" a="1"/>
  <c r="I10069" i="1" s="1"/>
  <c r="I10070" i="1" a="1"/>
  <c r="I10070" i="1" s="1"/>
  <c r="I10071" i="1" a="1"/>
  <c r="I10071" i="1" s="1"/>
  <c r="I10072" i="1" a="1"/>
  <c r="I10072" i="1" s="1"/>
  <c r="I10073" i="1" a="1"/>
  <c r="I10073" i="1" s="1"/>
  <c r="I10074" i="1" a="1"/>
  <c r="I10074" i="1" s="1"/>
  <c r="I10075" i="1" a="1"/>
  <c r="I10075" i="1" s="1"/>
  <c r="I10076" i="1" a="1"/>
  <c r="I10076" i="1" s="1"/>
  <c r="I10077" i="1" a="1"/>
  <c r="I10077" i="1" s="1"/>
  <c r="I10078" i="1" a="1"/>
  <c r="I10078" i="1" s="1"/>
  <c r="I10079" i="1" a="1"/>
  <c r="I10079" i="1" s="1"/>
  <c r="I10080" i="1" a="1"/>
  <c r="I10080" i="1" s="1"/>
  <c r="I10081" i="1" a="1"/>
  <c r="I10081" i="1" s="1"/>
  <c r="I10082" i="1" a="1"/>
  <c r="I10082" i="1" s="1"/>
  <c r="I10083" i="1" a="1"/>
  <c r="I10083" i="1" s="1"/>
  <c r="I10084" i="1" a="1"/>
  <c r="I10084" i="1" s="1"/>
  <c r="I10085" i="1" a="1"/>
  <c r="I10085" i="1" s="1"/>
  <c r="I10086" i="1" a="1"/>
  <c r="I10086" i="1" s="1"/>
  <c r="I10087" i="1" a="1"/>
  <c r="I10087" i="1" s="1"/>
  <c r="I10088" i="1" a="1"/>
  <c r="I10088" i="1" s="1"/>
  <c r="I10089" i="1" a="1"/>
  <c r="I10089" i="1" s="1"/>
  <c r="I10090" i="1" a="1"/>
  <c r="I10090" i="1" s="1"/>
  <c r="I10091" i="1" a="1"/>
  <c r="I10091" i="1" s="1"/>
  <c r="I10092" i="1" a="1"/>
  <c r="I10092" i="1" s="1"/>
  <c r="I10093" i="1" a="1"/>
  <c r="I10093" i="1" s="1"/>
  <c r="I10094" i="1" a="1"/>
  <c r="I10094" i="1" s="1"/>
  <c r="I10095" i="1" a="1"/>
  <c r="I10095" i="1" s="1"/>
  <c r="I10096" i="1" a="1"/>
  <c r="I10096" i="1" s="1"/>
  <c r="I10097" i="1" a="1"/>
  <c r="I10097" i="1" s="1"/>
  <c r="I10098" i="1" a="1"/>
  <c r="I10098" i="1" s="1"/>
  <c r="I10099" i="1" a="1"/>
  <c r="I10099" i="1" s="1"/>
  <c r="I10100" i="1" a="1"/>
  <c r="I10100" i="1" s="1"/>
  <c r="I10101" i="1" a="1"/>
  <c r="I10101" i="1" s="1"/>
  <c r="I10102" i="1" a="1"/>
  <c r="I10102" i="1" s="1"/>
  <c r="I10103" i="1" a="1"/>
  <c r="I10103" i="1" s="1"/>
  <c r="I10104" i="1" a="1"/>
  <c r="I10104" i="1" s="1"/>
  <c r="I10105" i="1" a="1"/>
  <c r="I10105" i="1" s="1"/>
  <c r="I10106" i="1" a="1"/>
  <c r="I10106" i="1" s="1"/>
  <c r="I10107" i="1" a="1"/>
  <c r="I10107" i="1" s="1"/>
  <c r="I10108" i="1" a="1"/>
  <c r="I10108" i="1" s="1"/>
  <c r="I10109" i="1" a="1"/>
  <c r="I10109" i="1" s="1"/>
  <c r="I10110" i="1" a="1"/>
  <c r="I10110" i="1" s="1"/>
  <c r="I10111" i="1" a="1"/>
  <c r="I10111" i="1" s="1"/>
  <c r="I10112" i="1" a="1"/>
  <c r="I10112" i="1" s="1"/>
  <c r="I10113" i="1" a="1"/>
  <c r="I10113" i="1" s="1"/>
  <c r="I10114" i="1" a="1"/>
  <c r="I10114" i="1" s="1"/>
  <c r="I10115" i="1" a="1"/>
  <c r="I10115" i="1" s="1"/>
  <c r="I10116" i="1" a="1"/>
  <c r="I10116" i="1" s="1"/>
  <c r="I10117" i="1" a="1"/>
  <c r="I10117" i="1" s="1"/>
  <c r="I10118" i="1" a="1"/>
  <c r="I10118" i="1" s="1"/>
  <c r="I10119" i="1" a="1"/>
  <c r="I10119" i="1" s="1"/>
  <c r="I10120" i="1" a="1"/>
  <c r="I10120" i="1" s="1"/>
  <c r="I10121" i="1" a="1"/>
  <c r="I10121" i="1" s="1"/>
  <c r="I10122" i="1" a="1"/>
  <c r="I10122" i="1" s="1"/>
  <c r="I10123" i="1" a="1"/>
  <c r="I10123" i="1" s="1"/>
  <c r="I10124" i="1" a="1"/>
  <c r="I10124" i="1" s="1"/>
  <c r="I10125" i="1" a="1"/>
  <c r="I10125" i="1" s="1"/>
  <c r="I10126" i="1" a="1"/>
  <c r="I10126" i="1" s="1"/>
  <c r="I10127" i="1" a="1"/>
  <c r="I10127" i="1" s="1"/>
  <c r="I10128" i="1" a="1"/>
  <c r="I10128" i="1" s="1"/>
  <c r="I10129" i="1" a="1"/>
  <c r="I10129" i="1" s="1"/>
  <c r="I10130" i="1" a="1"/>
  <c r="I10130" i="1" s="1"/>
  <c r="I10131" i="1" a="1"/>
  <c r="I10131" i="1" s="1"/>
  <c r="I10132" i="1" a="1"/>
  <c r="I10132" i="1" s="1"/>
  <c r="I10133" i="1" a="1"/>
  <c r="I10133" i="1" s="1"/>
  <c r="I10134" i="1" a="1"/>
  <c r="I10134" i="1" s="1"/>
  <c r="I10135" i="1" a="1"/>
  <c r="I10135" i="1" s="1"/>
  <c r="I10136" i="1" a="1"/>
  <c r="I10136" i="1" s="1"/>
  <c r="I10137" i="1" a="1"/>
  <c r="I10137" i="1" s="1"/>
  <c r="I10138" i="1" a="1"/>
  <c r="I10138" i="1" s="1"/>
  <c r="I10139" i="1" a="1"/>
  <c r="I10139" i="1" s="1"/>
  <c r="I10140" i="1" a="1"/>
  <c r="I10140" i="1" s="1"/>
  <c r="I10141" i="1" a="1"/>
  <c r="I10141" i="1" s="1"/>
  <c r="I10142" i="1" a="1"/>
  <c r="I10142" i="1" s="1"/>
  <c r="I10143" i="1" a="1"/>
  <c r="I10143" i="1" s="1"/>
  <c r="I10144" i="1" a="1"/>
  <c r="I10144" i="1" s="1"/>
  <c r="I10145" i="1" a="1"/>
  <c r="I10145" i="1" s="1"/>
  <c r="I10146" i="1" a="1"/>
  <c r="I10146" i="1" s="1"/>
  <c r="I10147" i="1" a="1"/>
  <c r="I10147" i="1" s="1"/>
  <c r="I10148" i="1" a="1"/>
  <c r="I10148" i="1" s="1"/>
  <c r="I10149" i="1" a="1"/>
  <c r="I10149" i="1" s="1"/>
  <c r="I10150" i="1" a="1"/>
  <c r="I10150" i="1" s="1"/>
  <c r="I10151" i="1" a="1"/>
  <c r="I10151" i="1" s="1"/>
  <c r="I10152" i="1" a="1"/>
  <c r="I10152" i="1" s="1"/>
  <c r="I10153" i="1" a="1"/>
  <c r="I10153" i="1" s="1"/>
  <c r="I10154" i="1" a="1"/>
  <c r="I10154" i="1" s="1"/>
  <c r="I10155" i="1" a="1"/>
  <c r="I10155" i="1" s="1"/>
  <c r="I10156" i="1" a="1"/>
  <c r="I10156" i="1" s="1"/>
  <c r="I10157" i="1" a="1"/>
  <c r="I10157" i="1" s="1"/>
  <c r="I10158" i="1" a="1"/>
  <c r="I10158" i="1" s="1"/>
  <c r="I10159" i="1" a="1"/>
  <c r="I10159" i="1" s="1"/>
  <c r="I10160" i="1" a="1"/>
  <c r="I10160" i="1" s="1"/>
  <c r="I10161" i="1" a="1"/>
  <c r="I10161" i="1" s="1"/>
  <c r="I10162" i="1" a="1"/>
  <c r="I10162" i="1" s="1"/>
  <c r="I10163" i="1" a="1"/>
  <c r="I10163" i="1" s="1"/>
  <c r="I10164" i="1" a="1"/>
  <c r="I10164" i="1" s="1"/>
  <c r="I10165" i="1" a="1"/>
  <c r="I10165" i="1" s="1"/>
  <c r="I10166" i="1" a="1"/>
  <c r="I10166" i="1" s="1"/>
  <c r="I10167" i="1" a="1"/>
  <c r="I10167" i="1" s="1"/>
  <c r="I10168" i="1" a="1"/>
  <c r="I10168" i="1" s="1"/>
  <c r="I10169" i="1" a="1"/>
  <c r="I10169" i="1" s="1"/>
  <c r="I10170" i="1" a="1"/>
  <c r="I10170" i="1" s="1"/>
  <c r="I10171" i="1" a="1"/>
  <c r="I10171" i="1" s="1"/>
  <c r="I10172" i="1" a="1"/>
  <c r="I10172" i="1" s="1"/>
  <c r="I10173" i="1" a="1"/>
  <c r="I10173" i="1" s="1"/>
  <c r="I10174" i="1" a="1"/>
  <c r="I10174" i="1" s="1"/>
  <c r="I10175" i="1" a="1"/>
  <c r="I10175" i="1" s="1"/>
  <c r="I10176" i="1" a="1"/>
  <c r="I10176" i="1" s="1"/>
  <c r="I10177" i="1" a="1"/>
  <c r="I10177" i="1" s="1"/>
  <c r="I10178" i="1" a="1"/>
  <c r="I10178" i="1" s="1"/>
  <c r="I10179" i="1" a="1"/>
  <c r="I10179" i="1" s="1"/>
  <c r="I10180" i="1" a="1"/>
  <c r="I10180" i="1" s="1"/>
  <c r="I10181" i="1" a="1"/>
  <c r="I10181" i="1" s="1"/>
  <c r="I10182" i="1" a="1"/>
  <c r="I10182" i="1" s="1"/>
  <c r="I10183" i="1" a="1"/>
  <c r="I10183" i="1" s="1"/>
  <c r="I10184" i="1" a="1"/>
  <c r="I10184" i="1" s="1"/>
  <c r="I10185" i="1" a="1"/>
  <c r="I10185" i="1" s="1"/>
  <c r="I10186" i="1" a="1"/>
  <c r="I10186" i="1" s="1"/>
  <c r="I10187" i="1" a="1"/>
  <c r="I10187" i="1" s="1"/>
  <c r="I10188" i="1" a="1"/>
  <c r="I10188" i="1" s="1"/>
  <c r="I10189" i="1" a="1"/>
  <c r="I10189" i="1" s="1"/>
  <c r="I10190" i="1" a="1"/>
  <c r="I10190" i="1" s="1"/>
  <c r="I10191" i="1" a="1"/>
  <c r="I10191" i="1" s="1"/>
  <c r="I10192" i="1" a="1"/>
  <c r="I10192" i="1" s="1"/>
  <c r="I10193" i="1" a="1"/>
  <c r="I10193" i="1" s="1"/>
  <c r="I10194" i="1" a="1"/>
  <c r="I10194" i="1" s="1"/>
  <c r="I10195" i="1" a="1"/>
  <c r="I10195" i="1" s="1"/>
  <c r="I10196" i="1" a="1"/>
  <c r="I10196" i="1" s="1"/>
  <c r="I10197" i="1" a="1"/>
  <c r="I10197" i="1" s="1"/>
  <c r="I10198" i="1" a="1"/>
  <c r="I10198" i="1" s="1"/>
  <c r="I10199" i="1" a="1"/>
  <c r="I10199" i="1" s="1"/>
  <c r="I10200" i="1" a="1"/>
  <c r="I10200" i="1" s="1"/>
  <c r="I10201" i="1" a="1"/>
  <c r="I10201" i="1" s="1"/>
  <c r="I10202" i="1" a="1"/>
  <c r="I10202" i="1" s="1"/>
  <c r="I10203" i="1" a="1"/>
  <c r="I10203" i="1" s="1"/>
  <c r="I10204" i="1" a="1"/>
  <c r="I10204" i="1" s="1"/>
  <c r="I10205" i="1" a="1"/>
  <c r="I10205" i="1" s="1"/>
  <c r="I10206" i="1" a="1"/>
  <c r="I10206" i="1" s="1"/>
  <c r="I10207" i="1" a="1"/>
  <c r="I10207" i="1" s="1"/>
  <c r="I10208" i="1" a="1"/>
  <c r="I10208" i="1" s="1"/>
  <c r="I10209" i="1" a="1"/>
  <c r="I10209" i="1" s="1"/>
  <c r="I10210" i="1" a="1"/>
  <c r="I10210" i="1" s="1"/>
  <c r="I10211" i="1" a="1"/>
  <c r="I10211" i="1" s="1"/>
  <c r="I10212" i="1" a="1"/>
  <c r="I10212" i="1" s="1"/>
  <c r="I10213" i="1" a="1"/>
  <c r="I10213" i="1" s="1"/>
  <c r="I10214" i="1" a="1"/>
  <c r="I10214" i="1" s="1"/>
  <c r="I10215" i="1" a="1"/>
  <c r="I10215" i="1" s="1"/>
  <c r="I10216" i="1" a="1"/>
  <c r="I10216" i="1" s="1"/>
  <c r="I10217" i="1" a="1"/>
  <c r="I10217" i="1" s="1"/>
  <c r="I10218" i="1" a="1"/>
  <c r="I10218" i="1" s="1"/>
  <c r="I10219" i="1" a="1"/>
  <c r="I10219" i="1" s="1"/>
  <c r="I10220" i="1" a="1"/>
  <c r="I10220" i="1" s="1"/>
  <c r="I10221" i="1" a="1"/>
  <c r="I10221" i="1" s="1"/>
  <c r="I10222" i="1" a="1"/>
  <c r="I10222" i="1" s="1"/>
  <c r="I10223" i="1" a="1"/>
  <c r="I10223" i="1" s="1"/>
  <c r="I10224" i="1" a="1"/>
  <c r="I10224" i="1" s="1"/>
  <c r="I10225" i="1" a="1"/>
  <c r="I10225" i="1" s="1"/>
  <c r="I10226" i="1" a="1"/>
  <c r="I10226" i="1" s="1"/>
  <c r="I10227" i="1" a="1"/>
  <c r="I10227" i="1" s="1"/>
  <c r="I10228" i="1" a="1"/>
  <c r="I10228" i="1" s="1"/>
  <c r="I10229" i="1" a="1"/>
  <c r="I10229" i="1" s="1"/>
  <c r="I10230" i="1" a="1"/>
  <c r="I10230" i="1" s="1"/>
  <c r="I10231" i="1" a="1"/>
  <c r="I10231" i="1" s="1"/>
  <c r="I10232" i="1" a="1"/>
  <c r="I10232" i="1" s="1"/>
  <c r="I10233" i="1" a="1"/>
  <c r="I10233" i="1" s="1"/>
  <c r="I10234" i="1" a="1"/>
  <c r="I10234" i="1" s="1"/>
  <c r="I10235" i="1" a="1"/>
  <c r="I10235" i="1" s="1"/>
  <c r="I10236" i="1" a="1"/>
  <c r="I10236" i="1" s="1"/>
  <c r="I10237" i="1" a="1"/>
  <c r="I10237" i="1" s="1"/>
  <c r="I10238" i="1" a="1"/>
  <c r="I10238" i="1" s="1"/>
  <c r="I10239" i="1" a="1"/>
  <c r="I10239" i="1" s="1"/>
  <c r="I10240" i="1" a="1"/>
  <c r="I10240" i="1" s="1"/>
  <c r="I10241" i="1" a="1"/>
  <c r="I10241" i="1" s="1"/>
  <c r="I10242" i="1" a="1"/>
  <c r="I10242" i="1" s="1"/>
  <c r="I10243" i="1" a="1"/>
  <c r="I10243" i="1" s="1"/>
  <c r="I10244" i="1" a="1"/>
  <c r="I10244" i="1" s="1"/>
  <c r="I10245" i="1" a="1"/>
  <c r="I10245" i="1" s="1"/>
  <c r="I10246" i="1" a="1"/>
  <c r="I10246" i="1" s="1"/>
  <c r="I10247" i="1" a="1"/>
  <c r="I10247" i="1" s="1"/>
  <c r="I10248" i="1" a="1"/>
  <c r="I10248" i="1" s="1"/>
  <c r="I10249" i="1" a="1"/>
  <c r="I10249" i="1" s="1"/>
  <c r="I10250" i="1" a="1"/>
  <c r="I10250" i="1" s="1"/>
  <c r="I10251" i="1" a="1"/>
  <c r="I10251" i="1" s="1"/>
  <c r="I10252" i="1" a="1"/>
  <c r="I10252" i="1" s="1"/>
  <c r="I10253" i="1" a="1"/>
  <c r="I10253" i="1" s="1"/>
  <c r="I10254" i="1" a="1"/>
  <c r="I10254" i="1" s="1"/>
  <c r="I10255" i="1" a="1"/>
  <c r="I10255" i="1" s="1"/>
  <c r="I10256" i="1" a="1"/>
  <c r="I10256" i="1" s="1"/>
  <c r="I10257" i="1" a="1"/>
  <c r="I10257" i="1" s="1"/>
  <c r="I10258" i="1" a="1"/>
  <c r="I10258" i="1" s="1"/>
  <c r="I10259" i="1" a="1"/>
  <c r="I10259" i="1" s="1"/>
  <c r="I10260" i="1" a="1"/>
  <c r="I10260" i="1" s="1"/>
  <c r="I10261" i="1" a="1"/>
  <c r="I10261" i="1" s="1"/>
  <c r="I10262" i="1" a="1"/>
  <c r="I10262" i="1" s="1"/>
  <c r="I10263" i="1" a="1"/>
  <c r="I10263" i="1" s="1"/>
  <c r="I10264" i="1" a="1"/>
  <c r="I10264" i="1" s="1"/>
  <c r="I10265" i="1" a="1"/>
  <c r="I10265" i="1" s="1"/>
  <c r="I10266" i="1" a="1"/>
  <c r="I10266" i="1" s="1"/>
  <c r="I10267" i="1" a="1"/>
  <c r="I10267" i="1" s="1"/>
  <c r="I10268" i="1" a="1"/>
  <c r="I10268" i="1" s="1"/>
  <c r="I10269" i="1" a="1"/>
  <c r="I10269" i="1" s="1"/>
  <c r="I10270" i="1" a="1"/>
  <c r="I10270" i="1" s="1"/>
  <c r="I10271" i="1" a="1"/>
  <c r="I10271" i="1" s="1"/>
  <c r="I10272" i="1" a="1"/>
  <c r="I10272" i="1" s="1"/>
  <c r="I10273" i="1" a="1"/>
  <c r="I10273" i="1" s="1"/>
  <c r="I10274" i="1" a="1"/>
  <c r="I10274" i="1" s="1"/>
  <c r="I10275" i="1" a="1"/>
  <c r="I10275" i="1" s="1"/>
  <c r="I10276" i="1" a="1"/>
  <c r="I10276" i="1" s="1"/>
  <c r="I10277" i="1" a="1"/>
  <c r="I10277" i="1" s="1"/>
  <c r="I10278" i="1" a="1"/>
  <c r="I10278" i="1" s="1"/>
  <c r="I10279" i="1" a="1"/>
  <c r="I10279" i="1" s="1"/>
  <c r="I10280" i="1" a="1"/>
  <c r="I10280" i="1" s="1"/>
  <c r="I10281" i="1" a="1"/>
  <c r="I10281" i="1" s="1"/>
  <c r="I10282" i="1" a="1"/>
  <c r="I10282" i="1" s="1"/>
  <c r="I10283" i="1" a="1"/>
  <c r="I10283" i="1" s="1"/>
  <c r="I10284" i="1" a="1"/>
  <c r="I10284" i="1" s="1"/>
  <c r="I10285" i="1" a="1"/>
  <c r="I10285" i="1" s="1"/>
  <c r="I10286" i="1" a="1"/>
  <c r="I10286" i="1" s="1"/>
  <c r="I10287" i="1" a="1"/>
  <c r="I10287" i="1" s="1"/>
  <c r="I10288" i="1" a="1"/>
  <c r="I10288" i="1" s="1"/>
  <c r="I10289" i="1" a="1"/>
  <c r="I10289" i="1" s="1"/>
  <c r="I10290" i="1" a="1"/>
  <c r="I10290" i="1" s="1"/>
  <c r="I10291" i="1" a="1"/>
  <c r="I10291" i="1" s="1"/>
  <c r="I10292" i="1" a="1"/>
  <c r="I10292" i="1" s="1"/>
  <c r="I10293" i="1" a="1"/>
  <c r="I10293" i="1" s="1"/>
  <c r="I10294" i="1" a="1"/>
  <c r="I10294" i="1" s="1"/>
  <c r="I10295" i="1" a="1"/>
  <c r="I10295" i="1" s="1"/>
  <c r="I10296" i="1" a="1"/>
  <c r="I10296" i="1" s="1"/>
  <c r="I10297" i="1" a="1"/>
  <c r="I10297" i="1" s="1"/>
  <c r="I10298" i="1" a="1"/>
  <c r="I10298" i="1" s="1"/>
  <c r="I10299" i="1" a="1"/>
  <c r="I10299" i="1" s="1"/>
  <c r="I10300" i="1" a="1"/>
  <c r="I10300" i="1" s="1"/>
  <c r="I10301" i="1" a="1"/>
  <c r="I10301" i="1" s="1"/>
  <c r="I10302" i="1" a="1"/>
  <c r="I10302" i="1" s="1"/>
  <c r="I10303" i="1" a="1"/>
  <c r="I10303" i="1" s="1"/>
  <c r="I10304" i="1" a="1"/>
  <c r="I10304" i="1" s="1"/>
  <c r="I10305" i="1" a="1"/>
  <c r="I10305" i="1" s="1"/>
  <c r="I10306" i="1" a="1"/>
  <c r="I10306" i="1" s="1"/>
  <c r="I10307" i="1" a="1"/>
  <c r="I10307" i="1" s="1"/>
  <c r="I10308" i="1" a="1"/>
  <c r="I10308" i="1" s="1"/>
  <c r="I10309" i="1" a="1"/>
  <c r="I10309" i="1" s="1"/>
  <c r="I10310" i="1" a="1"/>
  <c r="I10310" i="1" s="1"/>
  <c r="I10311" i="1" a="1"/>
  <c r="I10311" i="1" s="1"/>
  <c r="I10312" i="1" a="1"/>
  <c r="I10312" i="1" s="1"/>
  <c r="I10313" i="1" a="1"/>
  <c r="I10313" i="1" s="1"/>
  <c r="I10314" i="1" a="1"/>
  <c r="I10314" i="1" s="1"/>
  <c r="I10315" i="1" a="1"/>
  <c r="I10315" i="1" s="1"/>
  <c r="I10316" i="1" a="1"/>
  <c r="I10316" i="1" s="1"/>
  <c r="I10317" i="1" a="1"/>
  <c r="I10317" i="1" s="1"/>
  <c r="I10318" i="1" a="1"/>
  <c r="I10318" i="1" s="1"/>
  <c r="I10319" i="1" a="1"/>
  <c r="I10319" i="1" s="1"/>
  <c r="I10320" i="1" a="1"/>
  <c r="I10320" i="1" s="1"/>
  <c r="I10321" i="1" a="1"/>
  <c r="I10321" i="1" s="1"/>
  <c r="I10322" i="1" a="1"/>
  <c r="I10322" i="1" s="1"/>
  <c r="I10323" i="1" a="1"/>
  <c r="I10323" i="1" s="1"/>
  <c r="I10324" i="1" a="1"/>
  <c r="I10324" i="1" s="1"/>
  <c r="I10325" i="1" a="1"/>
  <c r="I10325" i="1" s="1"/>
  <c r="I10326" i="1" a="1"/>
  <c r="I10326" i="1" s="1"/>
  <c r="I10327" i="1" a="1"/>
  <c r="I10327" i="1" s="1"/>
  <c r="I10328" i="1" a="1"/>
  <c r="I10328" i="1" s="1"/>
  <c r="I10329" i="1" a="1"/>
  <c r="I10329" i="1" s="1"/>
  <c r="I10330" i="1" a="1"/>
  <c r="I10330" i="1" s="1"/>
  <c r="I10331" i="1" a="1"/>
  <c r="I10331" i="1" s="1"/>
  <c r="I10332" i="1" a="1"/>
  <c r="I10332" i="1" s="1"/>
  <c r="I10333" i="1" a="1"/>
  <c r="I10333" i="1" s="1"/>
  <c r="I10334" i="1" a="1"/>
  <c r="I10334" i="1" s="1"/>
  <c r="I10335" i="1" a="1"/>
  <c r="I10335" i="1" s="1"/>
  <c r="I10336" i="1" a="1"/>
  <c r="I10336" i="1" s="1"/>
  <c r="I10337" i="1" a="1"/>
  <c r="I10337" i="1" s="1"/>
  <c r="I10338" i="1" a="1"/>
  <c r="I10338" i="1" s="1"/>
  <c r="I10339" i="1" a="1"/>
  <c r="I10339" i="1" s="1"/>
  <c r="I10340" i="1" a="1"/>
  <c r="I10340" i="1" s="1"/>
  <c r="I10341" i="1" a="1"/>
  <c r="I10341" i="1" s="1"/>
  <c r="I10342" i="1" a="1"/>
  <c r="I10342" i="1" s="1"/>
  <c r="I10343" i="1" a="1"/>
  <c r="I10343" i="1" s="1"/>
  <c r="I10344" i="1" a="1"/>
  <c r="I10344" i="1" s="1"/>
  <c r="I10345" i="1" a="1"/>
  <c r="I10345" i="1" s="1"/>
  <c r="I10346" i="1" a="1"/>
  <c r="I10346" i="1" s="1"/>
  <c r="I10347" i="1" a="1"/>
  <c r="I10347" i="1" s="1"/>
  <c r="I10348" i="1" a="1"/>
  <c r="I10348" i="1" s="1"/>
  <c r="I10349" i="1" a="1"/>
  <c r="I10349" i="1" s="1"/>
  <c r="I10350" i="1" a="1"/>
  <c r="I10350" i="1" s="1"/>
  <c r="I10351" i="1" a="1"/>
  <c r="I10351" i="1" s="1"/>
  <c r="I10352" i="1" a="1"/>
  <c r="I10352" i="1" s="1"/>
  <c r="I10353" i="1" a="1"/>
  <c r="I10353" i="1" s="1"/>
  <c r="I10354" i="1" a="1"/>
  <c r="I10354" i="1" s="1"/>
  <c r="I10355" i="1" a="1"/>
  <c r="I10355" i="1" s="1"/>
  <c r="I10356" i="1" a="1"/>
  <c r="I10356" i="1" s="1"/>
  <c r="I10357" i="1" a="1"/>
  <c r="I10357" i="1" s="1"/>
  <c r="I10358" i="1" a="1"/>
  <c r="I10358" i="1" s="1"/>
  <c r="I10359" i="1" a="1"/>
  <c r="I10359" i="1" s="1"/>
  <c r="I10360" i="1" a="1"/>
  <c r="I10360" i="1" s="1"/>
  <c r="I10361" i="1" a="1"/>
  <c r="I10361" i="1" s="1"/>
  <c r="I10362" i="1" a="1"/>
  <c r="I10362" i="1" s="1"/>
  <c r="I10363" i="1" a="1"/>
  <c r="I10363" i="1" s="1"/>
  <c r="I10364" i="1" a="1"/>
  <c r="I10364" i="1" s="1"/>
  <c r="I10365" i="1" a="1"/>
  <c r="I10365" i="1" s="1"/>
  <c r="I10366" i="1" a="1"/>
  <c r="I10366" i="1" s="1"/>
  <c r="I10367" i="1" a="1"/>
  <c r="I10367" i="1" s="1"/>
  <c r="I10368" i="1" a="1"/>
  <c r="I10368" i="1" s="1"/>
  <c r="I10369" i="1" a="1"/>
  <c r="I10369" i="1" s="1"/>
  <c r="I10370" i="1" a="1"/>
  <c r="I10370" i="1" s="1"/>
  <c r="I10371" i="1" a="1"/>
  <c r="I10371" i="1" s="1"/>
  <c r="I10372" i="1" a="1"/>
  <c r="I10372" i="1" s="1"/>
  <c r="I10373" i="1" a="1"/>
  <c r="I10373" i="1" s="1"/>
  <c r="I10374" i="1" a="1"/>
  <c r="I10374" i="1" s="1"/>
  <c r="I10375" i="1" a="1"/>
  <c r="I10375" i="1" s="1"/>
  <c r="I10376" i="1" a="1"/>
  <c r="I10376" i="1" s="1"/>
  <c r="I10377" i="1" a="1"/>
  <c r="I10377" i="1" s="1"/>
  <c r="I10378" i="1" a="1"/>
  <c r="I10378" i="1" s="1"/>
  <c r="I10379" i="1" a="1"/>
  <c r="I10379" i="1" s="1"/>
  <c r="I10380" i="1" a="1"/>
  <c r="I10380" i="1" s="1"/>
  <c r="I10381" i="1" a="1"/>
  <c r="I10381" i="1" s="1"/>
  <c r="I10382" i="1" a="1"/>
  <c r="I10382" i="1" s="1"/>
  <c r="I10383" i="1" a="1"/>
  <c r="I10383" i="1" s="1"/>
  <c r="I10384" i="1" a="1"/>
  <c r="I10384" i="1" s="1"/>
  <c r="I10385" i="1" a="1"/>
  <c r="I10385" i="1" s="1"/>
  <c r="I10386" i="1" a="1"/>
  <c r="I10386" i="1" s="1"/>
  <c r="I10387" i="1" a="1"/>
  <c r="I10387" i="1" s="1"/>
  <c r="I10388" i="1" a="1"/>
  <c r="I10388" i="1" s="1"/>
  <c r="I10389" i="1" a="1"/>
  <c r="I10389" i="1" s="1"/>
  <c r="I10390" i="1" a="1"/>
  <c r="I10390" i="1" s="1"/>
  <c r="I10391" i="1" a="1"/>
  <c r="I10391" i="1" s="1"/>
  <c r="I10392" i="1" a="1"/>
  <c r="I10392" i="1" s="1"/>
  <c r="I10393" i="1" a="1"/>
  <c r="I10393" i="1" s="1"/>
  <c r="I10394" i="1" a="1"/>
  <c r="I10394" i="1" s="1"/>
  <c r="I10395" i="1" a="1"/>
  <c r="I10395" i="1" s="1"/>
  <c r="I10396" i="1" a="1"/>
  <c r="I10396" i="1" s="1"/>
  <c r="I10397" i="1" a="1"/>
  <c r="I10397" i="1" s="1"/>
  <c r="I10398" i="1" a="1"/>
  <c r="I10398" i="1" s="1"/>
  <c r="I10399" i="1" a="1"/>
  <c r="I10399" i="1" s="1"/>
  <c r="I10400" i="1" a="1"/>
  <c r="I10400" i="1" s="1"/>
  <c r="I10401" i="1" a="1"/>
  <c r="I10401" i="1" s="1"/>
  <c r="I10402" i="1" a="1"/>
  <c r="I10402" i="1" s="1"/>
  <c r="I10403" i="1" a="1"/>
  <c r="I10403" i="1" s="1"/>
  <c r="I10404" i="1" a="1"/>
  <c r="I10404" i="1" s="1"/>
  <c r="I10405" i="1" a="1"/>
  <c r="I10405" i="1" s="1"/>
  <c r="I10406" i="1" a="1"/>
  <c r="I10406" i="1" s="1"/>
  <c r="I10407" i="1" a="1"/>
  <c r="I10407" i="1" s="1"/>
  <c r="I10408" i="1" a="1"/>
  <c r="I10408" i="1" s="1"/>
  <c r="I10409" i="1" a="1"/>
  <c r="I10409" i="1" s="1"/>
  <c r="I10410" i="1" a="1"/>
  <c r="I10410" i="1" s="1"/>
  <c r="I10411" i="1" a="1"/>
  <c r="I10411" i="1" s="1"/>
  <c r="I10412" i="1" a="1"/>
  <c r="I10412" i="1" s="1"/>
  <c r="I10413" i="1" a="1"/>
  <c r="I10413" i="1" s="1"/>
  <c r="I10414" i="1" a="1"/>
  <c r="I10414" i="1" s="1"/>
  <c r="I10415" i="1" a="1"/>
  <c r="I10415" i="1" s="1"/>
  <c r="I10416" i="1" a="1"/>
  <c r="I10416" i="1" s="1"/>
  <c r="I10417" i="1" a="1"/>
  <c r="I10417" i="1" s="1"/>
  <c r="I10418" i="1" a="1"/>
  <c r="I10418" i="1" s="1"/>
  <c r="I10419" i="1" a="1"/>
  <c r="I10419" i="1" s="1"/>
  <c r="I10420" i="1" a="1"/>
  <c r="I10420" i="1" s="1"/>
  <c r="I10421" i="1" a="1"/>
  <c r="I10421" i="1" s="1"/>
  <c r="I10422" i="1" a="1"/>
  <c r="I10422" i="1" s="1"/>
  <c r="I10423" i="1" a="1"/>
  <c r="I10423" i="1" s="1"/>
  <c r="I10424" i="1" a="1"/>
  <c r="I10424" i="1" s="1"/>
  <c r="I10425" i="1" a="1"/>
  <c r="I10425" i="1" s="1"/>
  <c r="I10426" i="1" a="1"/>
  <c r="I10426" i="1" s="1"/>
  <c r="I10427" i="1" a="1"/>
  <c r="I10427" i="1" s="1"/>
  <c r="I10428" i="1" a="1"/>
  <c r="I10428" i="1" s="1"/>
  <c r="I10429" i="1" a="1"/>
  <c r="I10429" i="1" s="1"/>
  <c r="I10430" i="1" a="1"/>
  <c r="I10430" i="1" s="1"/>
  <c r="I10431" i="1" a="1"/>
  <c r="I10431" i="1" s="1"/>
  <c r="I10432" i="1" a="1"/>
  <c r="I10432" i="1" s="1"/>
  <c r="I10433" i="1" a="1"/>
  <c r="I10433" i="1" s="1"/>
  <c r="I10434" i="1" a="1"/>
  <c r="I10434" i="1" s="1"/>
  <c r="I10435" i="1" a="1"/>
  <c r="I10435" i="1" s="1"/>
  <c r="I10436" i="1" a="1"/>
  <c r="I10436" i="1" s="1"/>
  <c r="I10437" i="1" a="1"/>
  <c r="I10437" i="1" s="1"/>
  <c r="I10438" i="1" a="1"/>
  <c r="I10438" i="1" s="1"/>
  <c r="I10439" i="1" a="1"/>
  <c r="I10439" i="1" s="1"/>
  <c r="I10440" i="1" a="1"/>
  <c r="I10440" i="1" s="1"/>
  <c r="I10441" i="1" a="1"/>
  <c r="I10441" i="1" s="1"/>
  <c r="I10442" i="1" a="1"/>
  <c r="I10442" i="1" s="1"/>
  <c r="I10443" i="1" a="1"/>
  <c r="I10443" i="1" s="1"/>
  <c r="I10444" i="1" a="1"/>
  <c r="I10444" i="1" s="1"/>
  <c r="I10445" i="1" a="1"/>
  <c r="I10445" i="1" s="1"/>
  <c r="I10446" i="1" a="1"/>
  <c r="I10446" i="1" s="1"/>
  <c r="I10447" i="1" a="1"/>
  <c r="I10447" i="1" s="1"/>
  <c r="I10448" i="1" a="1"/>
  <c r="I10448" i="1" s="1"/>
  <c r="I10449" i="1" a="1"/>
  <c r="I10449" i="1" s="1"/>
  <c r="I10450" i="1" a="1"/>
  <c r="I10450" i="1" s="1"/>
  <c r="I10451" i="1" a="1"/>
  <c r="I10451" i="1" s="1"/>
  <c r="I10452" i="1" a="1"/>
  <c r="I10452" i="1" s="1"/>
  <c r="I10453" i="1" a="1"/>
  <c r="I10453" i="1" s="1"/>
  <c r="I10454" i="1" a="1"/>
  <c r="I10454" i="1" s="1"/>
  <c r="I10455" i="1" a="1"/>
  <c r="I10455" i="1" s="1"/>
  <c r="I10456" i="1" a="1"/>
  <c r="I10456" i="1" s="1"/>
  <c r="I10457" i="1" a="1"/>
  <c r="I10457" i="1" s="1"/>
  <c r="I10458" i="1" a="1"/>
  <c r="I10458" i="1" s="1"/>
  <c r="I10459" i="1" a="1"/>
  <c r="I10459" i="1" s="1"/>
  <c r="I10460" i="1" a="1"/>
  <c r="I10460" i="1" s="1"/>
  <c r="I10461" i="1" a="1"/>
  <c r="I10461" i="1" s="1"/>
  <c r="I10462" i="1" a="1"/>
  <c r="I10462" i="1" s="1"/>
  <c r="I10463" i="1" a="1"/>
  <c r="I10463" i="1" s="1"/>
  <c r="I10464" i="1" a="1"/>
  <c r="I10464" i="1" s="1"/>
  <c r="I10465" i="1" a="1"/>
  <c r="I10465" i="1" s="1"/>
  <c r="I10466" i="1" a="1"/>
  <c r="I10466" i="1" s="1"/>
  <c r="I10467" i="1" a="1"/>
  <c r="I10467" i="1" s="1"/>
  <c r="I10468" i="1" a="1"/>
  <c r="I10468" i="1" s="1"/>
  <c r="I10469" i="1" a="1"/>
  <c r="I10469" i="1" s="1"/>
  <c r="I10470" i="1" a="1"/>
  <c r="I10470" i="1" s="1"/>
  <c r="I10471" i="1" a="1"/>
  <c r="I10471" i="1" s="1"/>
  <c r="I10472" i="1" a="1"/>
  <c r="I10472" i="1" s="1"/>
  <c r="I10473" i="1" a="1"/>
  <c r="I10473" i="1" s="1"/>
  <c r="I10474" i="1" a="1"/>
  <c r="I10474" i="1" s="1"/>
  <c r="I10475" i="1" a="1"/>
  <c r="I10475" i="1" s="1"/>
  <c r="I10476" i="1" a="1"/>
  <c r="I10476" i="1" s="1"/>
  <c r="I10477" i="1" a="1"/>
  <c r="I10477" i="1" s="1"/>
  <c r="I10478" i="1" a="1"/>
  <c r="I10478" i="1" s="1"/>
  <c r="I10479" i="1" a="1"/>
  <c r="I10479" i="1" s="1"/>
  <c r="I10480" i="1" a="1"/>
  <c r="I10480" i="1" s="1"/>
  <c r="I10481" i="1" a="1"/>
  <c r="I10481" i="1" s="1"/>
  <c r="I10482" i="1" a="1"/>
  <c r="I10482" i="1" s="1"/>
  <c r="I10483" i="1" a="1"/>
  <c r="I10483" i="1" s="1"/>
  <c r="I10484" i="1" a="1"/>
  <c r="I10484" i="1" s="1"/>
  <c r="I10485" i="1" a="1"/>
  <c r="I10485" i="1" s="1"/>
  <c r="I10486" i="1" a="1"/>
  <c r="I10486" i="1" s="1"/>
  <c r="I10487" i="1" a="1"/>
  <c r="I10487" i="1" s="1"/>
  <c r="I10488" i="1" a="1"/>
  <c r="I10488" i="1" s="1"/>
  <c r="I10489" i="1" a="1"/>
  <c r="I10489" i="1" s="1"/>
  <c r="I10490" i="1" a="1"/>
  <c r="I10490" i="1" s="1"/>
  <c r="I10491" i="1" a="1"/>
  <c r="I10491" i="1" s="1"/>
  <c r="I10492" i="1" a="1"/>
  <c r="I10492" i="1" s="1"/>
  <c r="I10493" i="1" a="1"/>
  <c r="I10493" i="1" s="1"/>
  <c r="I10494" i="1" a="1"/>
  <c r="I10494" i="1" s="1"/>
  <c r="I10495" i="1" a="1"/>
  <c r="I10495" i="1" s="1"/>
  <c r="I10496" i="1" a="1"/>
  <c r="I10496" i="1" s="1"/>
  <c r="I10497" i="1" a="1"/>
  <c r="I10497" i="1" s="1"/>
  <c r="I10498" i="1" a="1"/>
  <c r="I10498" i="1" s="1"/>
  <c r="I10499" i="1" a="1"/>
  <c r="I10499" i="1" s="1"/>
  <c r="I10500" i="1" a="1"/>
  <c r="I10500" i="1" s="1"/>
  <c r="I10501" i="1" a="1"/>
  <c r="I10501" i="1" s="1"/>
  <c r="I10502" i="1" a="1"/>
  <c r="I10502" i="1" s="1"/>
  <c r="I10503" i="1" a="1"/>
  <c r="I10503" i="1" s="1"/>
  <c r="I10504" i="1" a="1"/>
  <c r="I10504" i="1" s="1"/>
  <c r="I10505" i="1" a="1"/>
  <c r="I10505" i="1" s="1"/>
  <c r="I10506" i="1" a="1"/>
  <c r="I10506" i="1" s="1"/>
  <c r="I10507" i="1" a="1"/>
  <c r="I10507" i="1" s="1"/>
  <c r="I10508" i="1" a="1"/>
  <c r="I10508" i="1" s="1"/>
  <c r="I10509" i="1" a="1"/>
  <c r="I10509" i="1" s="1"/>
  <c r="I10510" i="1" a="1"/>
  <c r="I10510" i="1" s="1"/>
  <c r="I10511" i="1" a="1"/>
  <c r="I10511" i="1" s="1"/>
  <c r="I10512" i="1" a="1"/>
  <c r="I10512" i="1" s="1"/>
  <c r="I10513" i="1" a="1"/>
  <c r="I10513" i="1" s="1"/>
  <c r="I10514" i="1" a="1"/>
  <c r="I10514" i="1" s="1"/>
  <c r="I10515" i="1" a="1"/>
  <c r="I10515" i="1" s="1"/>
  <c r="I10516" i="1" a="1"/>
  <c r="I10516" i="1" s="1"/>
  <c r="I10517" i="1" a="1"/>
  <c r="I10517" i="1" s="1"/>
  <c r="I10518" i="1" a="1"/>
  <c r="I10518" i="1" s="1"/>
  <c r="I10519" i="1" a="1"/>
  <c r="I10519" i="1" s="1"/>
  <c r="I10520" i="1" a="1"/>
  <c r="I10520" i="1" s="1"/>
  <c r="I10521" i="1" a="1"/>
  <c r="I10521" i="1" s="1"/>
  <c r="I10522" i="1" a="1"/>
  <c r="I10522" i="1" s="1"/>
  <c r="I10523" i="1" a="1"/>
  <c r="I10523" i="1" s="1"/>
  <c r="I10524" i="1" a="1"/>
  <c r="I10524" i="1" s="1"/>
  <c r="I10525" i="1" a="1"/>
  <c r="I10525" i="1" s="1"/>
  <c r="I10526" i="1" a="1"/>
  <c r="I10526" i="1" s="1"/>
  <c r="I10527" i="1" a="1"/>
  <c r="I10527" i="1" s="1"/>
  <c r="I10528" i="1" a="1"/>
  <c r="I10528" i="1" s="1"/>
  <c r="I10529" i="1" a="1"/>
  <c r="I10529" i="1" s="1"/>
  <c r="I10530" i="1" a="1"/>
  <c r="I10530" i="1" s="1"/>
  <c r="I10531" i="1" a="1"/>
  <c r="I10531" i="1" s="1"/>
  <c r="I10532" i="1" a="1"/>
  <c r="I10532" i="1" s="1"/>
  <c r="I10533" i="1" a="1"/>
  <c r="I10533" i="1" s="1"/>
  <c r="I10534" i="1" a="1"/>
  <c r="I10534" i="1" s="1"/>
  <c r="I10535" i="1" a="1"/>
  <c r="I10535" i="1" s="1"/>
  <c r="I10536" i="1" a="1"/>
  <c r="I10536" i="1" s="1"/>
  <c r="I10537" i="1" a="1"/>
  <c r="I10537" i="1" s="1"/>
  <c r="I10538" i="1" a="1"/>
  <c r="I10538" i="1" s="1"/>
  <c r="I10539" i="1" a="1"/>
  <c r="I10539" i="1" s="1"/>
  <c r="I10540" i="1" a="1"/>
  <c r="I10540" i="1" s="1"/>
  <c r="I10541" i="1" a="1"/>
  <c r="I10541" i="1" s="1"/>
  <c r="I10542" i="1" a="1"/>
  <c r="I10542" i="1" s="1"/>
  <c r="I10543" i="1" a="1"/>
  <c r="I10543" i="1" s="1"/>
  <c r="I10544" i="1" a="1"/>
  <c r="I10544" i="1" s="1"/>
  <c r="I10545" i="1" a="1"/>
  <c r="I10545" i="1" s="1"/>
  <c r="I10546" i="1" a="1"/>
  <c r="I10546" i="1" s="1"/>
  <c r="I10547" i="1" a="1"/>
  <c r="I10547" i="1" s="1"/>
  <c r="I10548" i="1" a="1"/>
  <c r="I10548" i="1" s="1"/>
  <c r="I10549" i="1" a="1"/>
  <c r="I10549" i="1" s="1"/>
  <c r="I10550" i="1" a="1"/>
  <c r="I10550" i="1" s="1"/>
  <c r="I10551" i="1" a="1"/>
  <c r="I10551" i="1" s="1"/>
  <c r="I10552" i="1" a="1"/>
  <c r="I10552" i="1" s="1"/>
  <c r="I10553" i="1" a="1"/>
  <c r="I10553" i="1" s="1"/>
  <c r="I10554" i="1" a="1"/>
  <c r="I10554" i="1" s="1"/>
  <c r="I10555" i="1" a="1"/>
  <c r="I10555" i="1" s="1"/>
  <c r="I10556" i="1" a="1"/>
  <c r="I10556" i="1" s="1"/>
  <c r="I10557" i="1" a="1"/>
  <c r="I10557" i="1" s="1"/>
  <c r="I10558" i="1" a="1"/>
  <c r="I10558" i="1" s="1"/>
  <c r="I10559" i="1" a="1"/>
  <c r="I10559" i="1" s="1"/>
  <c r="I10560" i="1" a="1"/>
  <c r="I10560" i="1" s="1"/>
  <c r="I10561" i="1" a="1"/>
  <c r="I10561" i="1" s="1"/>
  <c r="I10562" i="1" a="1"/>
  <c r="I10562" i="1" s="1"/>
  <c r="I10563" i="1" a="1"/>
  <c r="I10563" i="1" s="1"/>
  <c r="I10564" i="1" a="1"/>
  <c r="I10564" i="1" s="1"/>
  <c r="I10565" i="1" a="1"/>
  <c r="I10565" i="1" s="1"/>
  <c r="I10566" i="1" a="1"/>
  <c r="I10566" i="1" s="1"/>
  <c r="I10567" i="1" a="1"/>
  <c r="I10567" i="1" s="1"/>
  <c r="I10568" i="1" a="1"/>
  <c r="I10568" i="1" s="1"/>
  <c r="I10569" i="1" a="1"/>
  <c r="I10569" i="1" s="1"/>
  <c r="I10570" i="1" a="1"/>
  <c r="I10570" i="1" s="1"/>
  <c r="I10571" i="1" a="1"/>
  <c r="I10571" i="1" s="1"/>
  <c r="I10572" i="1" a="1"/>
  <c r="I10572" i="1" s="1"/>
  <c r="I10573" i="1" a="1"/>
  <c r="I10573" i="1" s="1"/>
  <c r="I10574" i="1" a="1"/>
  <c r="I10574" i="1" s="1"/>
  <c r="I10575" i="1" a="1"/>
  <c r="I10575" i="1" s="1"/>
  <c r="I10576" i="1" a="1"/>
  <c r="I10576" i="1" s="1"/>
  <c r="I10577" i="1" a="1"/>
  <c r="I10577" i="1" s="1"/>
  <c r="I10578" i="1" a="1"/>
  <c r="I10578" i="1" s="1"/>
  <c r="I10579" i="1" a="1"/>
  <c r="I10579" i="1" s="1"/>
  <c r="I10580" i="1" a="1"/>
  <c r="I10580" i="1" s="1"/>
  <c r="I10581" i="1" a="1"/>
  <c r="I10581" i="1" s="1"/>
  <c r="I10582" i="1" a="1"/>
  <c r="I10582" i="1" s="1"/>
  <c r="I10583" i="1" a="1"/>
  <c r="I10583" i="1" s="1"/>
  <c r="I10584" i="1" a="1"/>
  <c r="I10584" i="1" s="1"/>
  <c r="I10585" i="1" a="1"/>
  <c r="I10585" i="1" s="1"/>
  <c r="I10586" i="1" a="1"/>
  <c r="I10586" i="1" s="1"/>
  <c r="I10587" i="1" a="1"/>
  <c r="I10587" i="1" s="1"/>
  <c r="I10588" i="1" a="1"/>
  <c r="I10588" i="1" s="1"/>
  <c r="I10589" i="1" a="1"/>
  <c r="I10589" i="1" s="1"/>
  <c r="I10590" i="1" a="1"/>
  <c r="I10590" i="1" s="1"/>
  <c r="I10591" i="1" a="1"/>
  <c r="I10591" i="1" s="1"/>
  <c r="I10592" i="1" a="1"/>
  <c r="I10592" i="1" s="1"/>
  <c r="I10593" i="1" a="1"/>
  <c r="I10593" i="1" s="1"/>
  <c r="I10594" i="1" a="1"/>
  <c r="I10594" i="1" s="1"/>
  <c r="I10595" i="1" a="1"/>
  <c r="I10595" i="1" s="1"/>
  <c r="I10596" i="1" a="1"/>
  <c r="I10596" i="1" s="1"/>
  <c r="I10597" i="1" a="1"/>
  <c r="I10597" i="1" s="1"/>
  <c r="I10598" i="1" a="1"/>
  <c r="I10598" i="1" s="1"/>
  <c r="I10599" i="1" a="1"/>
  <c r="I10599" i="1" s="1"/>
  <c r="I10600" i="1" a="1"/>
  <c r="I10600" i="1" s="1"/>
  <c r="I10601" i="1" a="1"/>
  <c r="I10601" i="1" s="1"/>
  <c r="I10602" i="1" a="1"/>
  <c r="I10602" i="1" s="1"/>
  <c r="I10603" i="1" a="1"/>
  <c r="I10603" i="1" s="1"/>
  <c r="I10604" i="1" a="1"/>
  <c r="I10604" i="1" s="1"/>
  <c r="I10605" i="1" a="1"/>
  <c r="I10605" i="1" s="1"/>
  <c r="I10606" i="1" a="1"/>
  <c r="I10606" i="1" s="1"/>
  <c r="I10607" i="1" a="1"/>
  <c r="I10607" i="1" s="1"/>
  <c r="I10608" i="1" a="1"/>
  <c r="I10608" i="1" s="1"/>
  <c r="I10609" i="1" a="1"/>
  <c r="I10609" i="1" s="1"/>
  <c r="I10610" i="1" a="1"/>
  <c r="I10610" i="1" s="1"/>
  <c r="I10611" i="1" a="1"/>
  <c r="I10611" i="1" s="1"/>
  <c r="I10612" i="1" a="1"/>
  <c r="I10612" i="1" s="1"/>
  <c r="I10613" i="1" a="1"/>
  <c r="I10613" i="1" s="1"/>
  <c r="I10614" i="1" a="1"/>
  <c r="I10614" i="1" s="1"/>
  <c r="I10615" i="1" a="1"/>
  <c r="I10615" i="1" s="1"/>
  <c r="I10616" i="1" a="1"/>
  <c r="I10616" i="1" s="1"/>
  <c r="I10617" i="1" a="1"/>
  <c r="I10617" i="1" s="1"/>
  <c r="I10618" i="1" a="1"/>
  <c r="I10618" i="1" s="1"/>
  <c r="I10619" i="1" a="1"/>
  <c r="I10619" i="1" s="1"/>
  <c r="I10620" i="1" a="1"/>
  <c r="I10620" i="1" s="1"/>
  <c r="I10621" i="1" a="1"/>
  <c r="I10621" i="1" s="1"/>
  <c r="I10622" i="1" a="1"/>
  <c r="I10622" i="1" s="1"/>
  <c r="I10623" i="1" a="1"/>
  <c r="I10623" i="1" s="1"/>
  <c r="I10624" i="1" a="1"/>
  <c r="I10624" i="1" s="1"/>
  <c r="I10625" i="1" a="1"/>
  <c r="I10625" i="1" s="1"/>
  <c r="I10626" i="1" a="1"/>
  <c r="I10626" i="1" s="1"/>
  <c r="I10627" i="1" a="1"/>
  <c r="I10627" i="1" s="1"/>
  <c r="I10628" i="1" a="1"/>
  <c r="I10628" i="1" s="1"/>
  <c r="I10629" i="1" a="1"/>
  <c r="I10629" i="1" s="1"/>
  <c r="I10630" i="1" a="1"/>
  <c r="I10630" i="1" s="1"/>
  <c r="I10631" i="1" a="1"/>
  <c r="I10631" i="1" s="1"/>
  <c r="I10632" i="1" a="1"/>
  <c r="I10632" i="1" s="1"/>
  <c r="I10633" i="1" a="1"/>
  <c r="I10633" i="1" s="1"/>
  <c r="I10634" i="1" a="1"/>
  <c r="I10634" i="1" s="1"/>
  <c r="I10635" i="1" a="1"/>
  <c r="I10635" i="1" s="1"/>
  <c r="I10636" i="1" a="1"/>
  <c r="I10636" i="1" s="1"/>
  <c r="I10637" i="1" a="1"/>
  <c r="I10637" i="1" s="1"/>
  <c r="I10638" i="1" a="1"/>
  <c r="I10638" i="1" s="1"/>
  <c r="I10639" i="1" a="1"/>
  <c r="I10639" i="1" s="1"/>
  <c r="I10640" i="1" a="1"/>
  <c r="I10640" i="1" s="1"/>
  <c r="I10641" i="1" a="1"/>
  <c r="I10641" i="1" s="1"/>
  <c r="I10642" i="1" a="1"/>
  <c r="I10642" i="1" s="1"/>
  <c r="I10643" i="1" a="1"/>
  <c r="I10643" i="1" s="1"/>
  <c r="I10644" i="1" a="1"/>
  <c r="I10644" i="1" s="1"/>
  <c r="I10645" i="1" a="1"/>
  <c r="I10645" i="1" s="1"/>
  <c r="I10646" i="1" a="1"/>
  <c r="I10646" i="1" s="1"/>
  <c r="I10647" i="1" a="1"/>
  <c r="I10647" i="1" s="1"/>
  <c r="I10648" i="1" a="1"/>
  <c r="I10648" i="1" s="1"/>
  <c r="I10649" i="1" a="1"/>
  <c r="I10649" i="1" s="1"/>
  <c r="I10650" i="1" a="1"/>
  <c r="I10650" i="1" s="1"/>
  <c r="I10651" i="1" a="1"/>
  <c r="I10651" i="1" s="1"/>
  <c r="I10652" i="1" a="1"/>
  <c r="I10652" i="1" s="1"/>
  <c r="I10653" i="1" a="1"/>
  <c r="I10653" i="1" s="1"/>
  <c r="I10654" i="1" a="1"/>
  <c r="I10654" i="1" s="1"/>
  <c r="I10655" i="1" a="1"/>
  <c r="I10655" i="1" s="1"/>
  <c r="I10656" i="1" a="1"/>
  <c r="I10656" i="1" s="1"/>
  <c r="I10657" i="1" a="1"/>
  <c r="I10657" i="1" s="1"/>
  <c r="I10658" i="1" a="1"/>
  <c r="I10658" i="1" s="1"/>
  <c r="I10659" i="1" a="1"/>
  <c r="I10659" i="1" s="1"/>
  <c r="I10660" i="1" a="1"/>
  <c r="I10660" i="1" s="1"/>
  <c r="I10661" i="1" a="1"/>
  <c r="I10661" i="1" s="1"/>
  <c r="I10662" i="1" a="1"/>
  <c r="I10662" i="1" s="1"/>
  <c r="I10663" i="1" a="1"/>
  <c r="I10663" i="1" s="1"/>
  <c r="I10664" i="1" a="1"/>
  <c r="I10664" i="1" s="1"/>
  <c r="I10665" i="1" a="1"/>
  <c r="I10665" i="1" s="1"/>
  <c r="I10666" i="1" a="1"/>
  <c r="I10666" i="1" s="1"/>
  <c r="I10667" i="1" a="1"/>
  <c r="I10667" i="1" s="1"/>
  <c r="I10668" i="1" a="1"/>
  <c r="I10668" i="1" s="1"/>
  <c r="I10669" i="1" a="1"/>
  <c r="I10669" i="1" s="1"/>
  <c r="I10670" i="1" a="1"/>
  <c r="I10670" i="1" s="1"/>
  <c r="I10671" i="1" a="1"/>
  <c r="I10671" i="1" s="1"/>
  <c r="I10672" i="1" a="1"/>
  <c r="I10672" i="1" s="1"/>
  <c r="I10673" i="1" a="1"/>
  <c r="I10673" i="1" s="1"/>
  <c r="I10674" i="1" a="1"/>
  <c r="I10674" i="1" s="1"/>
  <c r="I10675" i="1" a="1"/>
  <c r="I10675" i="1" s="1"/>
  <c r="I10676" i="1" a="1"/>
  <c r="I10676" i="1" s="1"/>
  <c r="I10677" i="1" a="1"/>
  <c r="I10677" i="1" s="1"/>
  <c r="I10678" i="1" a="1"/>
  <c r="I10678" i="1" s="1"/>
  <c r="I10679" i="1" a="1"/>
  <c r="I10679" i="1" s="1"/>
  <c r="I10680" i="1" a="1"/>
  <c r="I10680" i="1" s="1"/>
  <c r="I10681" i="1" a="1"/>
  <c r="I10681" i="1" s="1"/>
  <c r="I10682" i="1" a="1"/>
  <c r="I10682" i="1" s="1"/>
  <c r="I10683" i="1" a="1"/>
  <c r="I10683" i="1" s="1"/>
  <c r="I10684" i="1" a="1"/>
  <c r="I10684" i="1" s="1"/>
  <c r="I10685" i="1" a="1"/>
  <c r="I10685" i="1" s="1"/>
  <c r="I10686" i="1" a="1"/>
  <c r="I10686" i="1" s="1"/>
  <c r="I10687" i="1" a="1"/>
  <c r="I10687" i="1" s="1"/>
  <c r="I10688" i="1" a="1"/>
  <c r="I10688" i="1" s="1"/>
  <c r="I10689" i="1" a="1"/>
  <c r="I10689" i="1" s="1"/>
  <c r="I10690" i="1" a="1"/>
  <c r="I10690" i="1" s="1"/>
  <c r="I10691" i="1" a="1"/>
  <c r="I10691" i="1" s="1"/>
  <c r="I10692" i="1" a="1"/>
  <c r="I10692" i="1" s="1"/>
  <c r="I10693" i="1" a="1"/>
  <c r="I10693" i="1" s="1"/>
  <c r="I10694" i="1" a="1"/>
  <c r="I10694" i="1" s="1"/>
  <c r="I10695" i="1" a="1"/>
  <c r="I10695" i="1" s="1"/>
  <c r="I10696" i="1" a="1"/>
  <c r="I10696" i="1" s="1"/>
  <c r="I10697" i="1" a="1"/>
  <c r="I10697" i="1" s="1"/>
  <c r="I10698" i="1" a="1"/>
  <c r="I10698" i="1" s="1"/>
  <c r="I10699" i="1" a="1"/>
  <c r="I10699" i="1" s="1"/>
  <c r="I10700" i="1" a="1"/>
  <c r="I10700" i="1" s="1"/>
  <c r="I10701" i="1" a="1"/>
  <c r="I10701" i="1" s="1"/>
  <c r="I10702" i="1" a="1"/>
  <c r="I10702" i="1" s="1"/>
  <c r="I10703" i="1" a="1"/>
  <c r="I10703" i="1" s="1"/>
  <c r="I10704" i="1" a="1"/>
  <c r="I10704" i="1" s="1"/>
  <c r="I10705" i="1" a="1"/>
  <c r="I10705" i="1" s="1"/>
  <c r="I10706" i="1" a="1"/>
  <c r="I10706" i="1" s="1"/>
  <c r="I10707" i="1" a="1"/>
  <c r="I10707" i="1" s="1"/>
  <c r="I10708" i="1" a="1"/>
  <c r="I10708" i="1" s="1"/>
  <c r="I10709" i="1" a="1"/>
  <c r="I10709" i="1" s="1"/>
  <c r="I10710" i="1" a="1"/>
  <c r="I10710" i="1" s="1"/>
  <c r="I10711" i="1" a="1"/>
  <c r="I10711" i="1" s="1"/>
  <c r="I10712" i="1" a="1"/>
  <c r="I10712" i="1" s="1"/>
  <c r="I10713" i="1" a="1"/>
  <c r="I10713" i="1" s="1"/>
  <c r="I10714" i="1" a="1"/>
  <c r="I10714" i="1" s="1"/>
  <c r="I10715" i="1" a="1"/>
  <c r="I10715" i="1" s="1"/>
  <c r="I10716" i="1" a="1"/>
  <c r="I10716" i="1" s="1"/>
  <c r="I10717" i="1" a="1"/>
  <c r="I10717" i="1" s="1"/>
  <c r="I10718" i="1" a="1"/>
  <c r="I10718" i="1" s="1"/>
  <c r="I10719" i="1" a="1"/>
  <c r="I10719" i="1" s="1"/>
  <c r="I10720" i="1" a="1"/>
  <c r="I10720" i="1" s="1"/>
  <c r="I10721" i="1" a="1"/>
  <c r="I10721" i="1" s="1"/>
  <c r="I10722" i="1" a="1"/>
  <c r="I10722" i="1" s="1"/>
  <c r="I10723" i="1" a="1"/>
  <c r="I10723" i="1" s="1"/>
  <c r="I10724" i="1" a="1"/>
  <c r="I10724" i="1" s="1"/>
  <c r="I10725" i="1" a="1"/>
  <c r="I10725" i="1" s="1"/>
  <c r="I10726" i="1" a="1"/>
  <c r="I10726" i="1" s="1"/>
  <c r="I10727" i="1" a="1"/>
  <c r="I10727" i="1" s="1"/>
  <c r="I10728" i="1" a="1"/>
  <c r="I10728" i="1" s="1"/>
  <c r="I10729" i="1" a="1"/>
  <c r="I10729" i="1" s="1"/>
  <c r="I10730" i="1" a="1"/>
  <c r="I10730" i="1" s="1"/>
  <c r="I10731" i="1" a="1"/>
  <c r="I10731" i="1" s="1"/>
  <c r="I10732" i="1" a="1"/>
  <c r="I10732" i="1" s="1"/>
  <c r="I10733" i="1" a="1"/>
  <c r="I10733" i="1" s="1"/>
  <c r="I10734" i="1" a="1"/>
  <c r="I10734" i="1" s="1"/>
  <c r="I10735" i="1" a="1"/>
  <c r="I10735" i="1" s="1"/>
  <c r="I10736" i="1" a="1"/>
  <c r="I10736" i="1" s="1"/>
  <c r="I10737" i="1" a="1"/>
  <c r="I10737" i="1" s="1"/>
  <c r="I10738" i="1" a="1"/>
  <c r="I10738" i="1" s="1"/>
  <c r="I10739" i="1" a="1"/>
  <c r="I10739" i="1" s="1"/>
  <c r="I10740" i="1" a="1"/>
  <c r="I10740" i="1" s="1"/>
  <c r="I10741" i="1" a="1"/>
  <c r="I10741" i="1" s="1"/>
  <c r="I10742" i="1" a="1"/>
  <c r="I10742" i="1" s="1"/>
  <c r="I10743" i="1" a="1"/>
  <c r="I10743" i="1" s="1"/>
  <c r="I10744" i="1" a="1"/>
  <c r="I10744" i="1" s="1"/>
  <c r="I10745" i="1" a="1"/>
  <c r="I10745" i="1" s="1"/>
  <c r="I10746" i="1" a="1"/>
  <c r="I10746" i="1" s="1"/>
  <c r="I10747" i="1" a="1"/>
  <c r="I10747" i="1" s="1"/>
  <c r="I10748" i="1" a="1"/>
  <c r="I10748" i="1" s="1"/>
  <c r="I10749" i="1" a="1"/>
  <c r="I10749" i="1" s="1"/>
  <c r="I10750" i="1" a="1"/>
  <c r="I10750" i="1" s="1"/>
  <c r="I10751" i="1" a="1"/>
  <c r="I10751" i="1" s="1"/>
  <c r="I10752" i="1" a="1"/>
  <c r="I10752" i="1" s="1"/>
  <c r="I10753" i="1" a="1"/>
  <c r="I10753" i="1" s="1"/>
  <c r="I10754" i="1" a="1"/>
  <c r="I10754" i="1" s="1"/>
  <c r="I10755" i="1" a="1"/>
  <c r="I10755" i="1" s="1"/>
  <c r="I10756" i="1" a="1"/>
  <c r="I10756" i="1" s="1"/>
  <c r="I10757" i="1" a="1"/>
  <c r="I10757" i="1" s="1"/>
  <c r="I10758" i="1" a="1"/>
  <c r="I10758" i="1" s="1"/>
  <c r="I10759" i="1" a="1"/>
  <c r="I10759" i="1" s="1"/>
  <c r="I10760" i="1" a="1"/>
  <c r="I10760" i="1" s="1"/>
  <c r="I10761" i="1" a="1"/>
  <c r="I10761" i="1" s="1"/>
  <c r="I10762" i="1" a="1"/>
  <c r="I10762" i="1" s="1"/>
  <c r="I10763" i="1" a="1"/>
  <c r="I10763" i="1" s="1"/>
  <c r="I10764" i="1" a="1"/>
  <c r="I10764" i="1" s="1"/>
  <c r="I10765" i="1" a="1"/>
  <c r="I10765" i="1" s="1"/>
  <c r="I10766" i="1" a="1"/>
  <c r="I10766" i="1" s="1"/>
  <c r="I10767" i="1" a="1"/>
  <c r="I10767" i="1" s="1"/>
  <c r="I10768" i="1" a="1"/>
  <c r="I10768" i="1" s="1"/>
  <c r="I10769" i="1" a="1"/>
  <c r="I10769" i="1" s="1"/>
  <c r="I10770" i="1" a="1"/>
  <c r="I10770" i="1" s="1"/>
  <c r="I10771" i="1" a="1"/>
  <c r="I10771" i="1" s="1"/>
  <c r="I10772" i="1" a="1"/>
  <c r="I10772" i="1" s="1"/>
  <c r="I10773" i="1" a="1"/>
  <c r="I10773" i="1" s="1"/>
  <c r="I10774" i="1" a="1"/>
  <c r="I10774" i="1" s="1"/>
  <c r="I10775" i="1" a="1"/>
  <c r="I10775" i="1" s="1"/>
  <c r="I10776" i="1" a="1"/>
  <c r="I10776" i="1" s="1"/>
  <c r="I10777" i="1" a="1"/>
  <c r="I10777" i="1" s="1"/>
  <c r="I10778" i="1" a="1"/>
  <c r="I10778" i="1" s="1"/>
  <c r="I10779" i="1" a="1"/>
  <c r="I10779" i="1" s="1"/>
  <c r="I10780" i="1" a="1"/>
  <c r="I10780" i="1" s="1"/>
  <c r="I10781" i="1" a="1"/>
  <c r="I10781" i="1" s="1"/>
  <c r="I10782" i="1" a="1"/>
  <c r="I10782" i="1" s="1"/>
  <c r="I10783" i="1" a="1"/>
  <c r="I10783" i="1" s="1"/>
  <c r="I10784" i="1" a="1"/>
  <c r="I10784" i="1" s="1"/>
  <c r="I10785" i="1" a="1"/>
  <c r="I10785" i="1" s="1"/>
  <c r="I10786" i="1" a="1"/>
  <c r="I10786" i="1" s="1"/>
  <c r="I10787" i="1" a="1"/>
  <c r="I10787" i="1" s="1"/>
  <c r="I10788" i="1" a="1"/>
  <c r="I10788" i="1" s="1"/>
  <c r="I10789" i="1" a="1"/>
  <c r="I10789" i="1" s="1"/>
  <c r="I10790" i="1" a="1"/>
  <c r="I10790" i="1" s="1"/>
  <c r="I10791" i="1" a="1"/>
  <c r="I10791" i="1" s="1"/>
  <c r="I10792" i="1" a="1"/>
  <c r="I10792" i="1" s="1"/>
  <c r="I10793" i="1" a="1"/>
  <c r="I10793" i="1" s="1"/>
  <c r="I10794" i="1" a="1"/>
  <c r="I10794" i="1" s="1"/>
  <c r="I10795" i="1" a="1"/>
  <c r="I10795" i="1" s="1"/>
  <c r="I10796" i="1" a="1"/>
  <c r="I10796" i="1" s="1"/>
  <c r="I10797" i="1" a="1"/>
  <c r="I10797" i="1" s="1"/>
  <c r="I10798" i="1" a="1"/>
  <c r="I10798" i="1" s="1"/>
  <c r="I10799" i="1" a="1"/>
  <c r="I10799" i="1" s="1"/>
  <c r="I10800" i="1" a="1"/>
  <c r="I10800" i="1" s="1"/>
  <c r="I10801" i="1" a="1"/>
  <c r="I10801" i="1" s="1"/>
  <c r="I10802" i="1" a="1"/>
  <c r="I10802" i="1" s="1"/>
  <c r="I10803" i="1" a="1"/>
  <c r="I10803" i="1" s="1"/>
  <c r="I10804" i="1" a="1"/>
  <c r="I10804" i="1" s="1"/>
  <c r="I10805" i="1" a="1"/>
  <c r="I10805" i="1" s="1"/>
  <c r="I10806" i="1" a="1"/>
  <c r="I10806" i="1" s="1"/>
  <c r="I10807" i="1" a="1"/>
  <c r="I10807" i="1" s="1"/>
  <c r="I10808" i="1" a="1"/>
  <c r="I10808" i="1" s="1"/>
  <c r="I10809" i="1" a="1"/>
  <c r="I10809" i="1" s="1"/>
  <c r="I10810" i="1" a="1"/>
  <c r="I10810" i="1" s="1"/>
  <c r="I10811" i="1" a="1"/>
  <c r="I10811" i="1" s="1"/>
  <c r="I10812" i="1" a="1"/>
  <c r="I10812" i="1" s="1"/>
  <c r="I10813" i="1" a="1"/>
  <c r="I10813" i="1" s="1"/>
  <c r="I10814" i="1" a="1"/>
  <c r="I10814" i="1" s="1"/>
  <c r="I10815" i="1" a="1"/>
  <c r="I10815" i="1" s="1"/>
  <c r="I10816" i="1" a="1"/>
  <c r="I10816" i="1" s="1"/>
  <c r="I10817" i="1" a="1"/>
  <c r="I10817" i="1" s="1"/>
  <c r="I10818" i="1" a="1"/>
  <c r="I10818" i="1" s="1"/>
  <c r="I10819" i="1" a="1"/>
  <c r="I10819" i="1" s="1"/>
  <c r="I10820" i="1" a="1"/>
  <c r="I10820" i="1" s="1"/>
  <c r="I10821" i="1" a="1"/>
  <c r="I10821" i="1" s="1"/>
  <c r="I10822" i="1" a="1"/>
  <c r="I10822" i="1" s="1"/>
  <c r="I10823" i="1" a="1"/>
  <c r="I10823" i="1" s="1"/>
  <c r="I10824" i="1" a="1"/>
  <c r="I10824" i="1" s="1"/>
  <c r="I10825" i="1" a="1"/>
  <c r="I10825" i="1" s="1"/>
  <c r="I10826" i="1" a="1"/>
  <c r="I10826" i="1" s="1"/>
  <c r="I10827" i="1" a="1"/>
  <c r="I10827" i="1" s="1"/>
  <c r="I10828" i="1" a="1"/>
  <c r="I10828" i="1" s="1"/>
  <c r="I10829" i="1" a="1"/>
  <c r="I10829" i="1" s="1"/>
  <c r="I10830" i="1" a="1"/>
  <c r="I10830" i="1" s="1"/>
  <c r="I10831" i="1" a="1"/>
  <c r="I10831" i="1" s="1"/>
  <c r="I10832" i="1" a="1"/>
  <c r="I10832" i="1" s="1"/>
  <c r="I10833" i="1" a="1"/>
  <c r="I10833" i="1" s="1"/>
  <c r="I10834" i="1" a="1"/>
  <c r="I10834" i="1" s="1"/>
  <c r="I10835" i="1" a="1"/>
  <c r="I10835" i="1" s="1"/>
  <c r="I10836" i="1" a="1"/>
  <c r="I10836" i="1" s="1"/>
  <c r="I10837" i="1" a="1"/>
  <c r="I10837" i="1" s="1"/>
  <c r="I10838" i="1" a="1"/>
  <c r="I10838" i="1" s="1"/>
  <c r="I10839" i="1" a="1"/>
  <c r="I10839" i="1" s="1"/>
  <c r="I10840" i="1" a="1"/>
  <c r="I10840" i="1" s="1"/>
  <c r="I10841" i="1" a="1"/>
  <c r="I10841" i="1" s="1"/>
  <c r="I10842" i="1" a="1"/>
  <c r="I10842" i="1" s="1"/>
  <c r="I10843" i="1" a="1"/>
  <c r="I10843" i="1" s="1"/>
  <c r="I10844" i="1" a="1"/>
  <c r="I10844" i="1" s="1"/>
  <c r="I10845" i="1" a="1"/>
  <c r="I10845" i="1" s="1"/>
  <c r="I10846" i="1" a="1"/>
  <c r="I10846" i="1" s="1"/>
  <c r="I10847" i="1" a="1"/>
  <c r="I10847" i="1" s="1"/>
  <c r="I10848" i="1" a="1"/>
  <c r="I10848" i="1" s="1"/>
  <c r="I10849" i="1" a="1"/>
  <c r="I10849" i="1" s="1"/>
  <c r="I10850" i="1" a="1"/>
  <c r="I10850" i="1" s="1"/>
  <c r="I10851" i="1" a="1"/>
  <c r="I10851" i="1" s="1"/>
  <c r="I10852" i="1" a="1"/>
  <c r="I10852" i="1" s="1"/>
  <c r="I10853" i="1" a="1"/>
  <c r="I10853" i="1" s="1"/>
  <c r="I10854" i="1" a="1"/>
  <c r="I10854" i="1" s="1"/>
  <c r="I10855" i="1" a="1"/>
  <c r="I10855" i="1" s="1"/>
  <c r="I10856" i="1" a="1"/>
  <c r="I10856" i="1" s="1"/>
  <c r="I10857" i="1" a="1"/>
  <c r="I10857" i="1" s="1"/>
  <c r="I10858" i="1" a="1"/>
  <c r="I10858" i="1" s="1"/>
  <c r="I10859" i="1" a="1"/>
  <c r="I10859" i="1" s="1"/>
  <c r="I10860" i="1" a="1"/>
  <c r="I10860" i="1" s="1"/>
  <c r="I10861" i="1" a="1"/>
  <c r="I10861" i="1" s="1"/>
  <c r="I10862" i="1" a="1"/>
  <c r="I10862" i="1" s="1"/>
  <c r="I10863" i="1" a="1"/>
  <c r="I10863" i="1" s="1"/>
  <c r="I10864" i="1" a="1"/>
  <c r="I10864" i="1" s="1"/>
  <c r="I10865" i="1" a="1"/>
  <c r="I10865" i="1" s="1"/>
  <c r="I10866" i="1" a="1"/>
  <c r="I10866" i="1" s="1"/>
  <c r="I10867" i="1" a="1"/>
  <c r="I10867" i="1" s="1"/>
  <c r="I10868" i="1" a="1"/>
  <c r="I10868" i="1" s="1"/>
  <c r="I10869" i="1" a="1"/>
  <c r="I10869" i="1" s="1"/>
  <c r="I10870" i="1" a="1"/>
  <c r="I10870" i="1" s="1"/>
  <c r="I10871" i="1" a="1"/>
  <c r="I10871" i="1" s="1"/>
  <c r="I10872" i="1" a="1"/>
  <c r="I10872" i="1" s="1"/>
  <c r="I10873" i="1" a="1"/>
  <c r="I10873" i="1" s="1"/>
  <c r="I10874" i="1" a="1"/>
  <c r="I10874" i="1" s="1"/>
  <c r="I10875" i="1" a="1"/>
  <c r="I10875" i="1" s="1"/>
  <c r="I10876" i="1" a="1"/>
  <c r="I10876" i="1" s="1"/>
  <c r="I10877" i="1" a="1"/>
  <c r="I10877" i="1" s="1"/>
  <c r="I10878" i="1" a="1"/>
  <c r="I10878" i="1" s="1"/>
  <c r="I10879" i="1" a="1"/>
  <c r="I10879" i="1" s="1"/>
  <c r="I10880" i="1" a="1"/>
  <c r="I10880" i="1" s="1"/>
  <c r="I10881" i="1" a="1"/>
  <c r="I10881" i="1" s="1"/>
  <c r="I10882" i="1" a="1"/>
  <c r="I10882" i="1" s="1"/>
  <c r="I10883" i="1" a="1"/>
  <c r="I10883" i="1" s="1"/>
  <c r="I10884" i="1" a="1"/>
  <c r="I10884" i="1" s="1"/>
  <c r="I10885" i="1" a="1"/>
  <c r="I10885" i="1" s="1"/>
  <c r="I10886" i="1" a="1"/>
  <c r="I10886" i="1" s="1"/>
  <c r="I10887" i="1" a="1"/>
  <c r="I10887" i="1" s="1"/>
  <c r="I10888" i="1" a="1"/>
  <c r="I10888" i="1" s="1"/>
  <c r="I10889" i="1" a="1"/>
  <c r="I10889" i="1" s="1"/>
  <c r="I10890" i="1" a="1"/>
  <c r="I10890" i="1" s="1"/>
  <c r="I10891" i="1" a="1"/>
  <c r="I10891" i="1" s="1"/>
  <c r="I10892" i="1" a="1"/>
  <c r="I10892" i="1" s="1"/>
  <c r="I10893" i="1" a="1"/>
  <c r="I10893" i="1" s="1"/>
  <c r="I10894" i="1" a="1"/>
  <c r="I10894" i="1" s="1"/>
  <c r="I10895" i="1" a="1"/>
  <c r="I10895" i="1" s="1"/>
  <c r="I10896" i="1" a="1"/>
  <c r="I10896" i="1" s="1"/>
  <c r="I10897" i="1" a="1"/>
  <c r="I10897" i="1" s="1"/>
  <c r="I10898" i="1" a="1"/>
  <c r="I10898" i="1" s="1"/>
  <c r="I10899" i="1" a="1"/>
  <c r="I10899" i="1" s="1"/>
  <c r="I10900" i="1" a="1"/>
  <c r="I10900" i="1" s="1"/>
  <c r="I10901" i="1" a="1"/>
  <c r="I10901" i="1" s="1"/>
  <c r="I10902" i="1" a="1"/>
  <c r="I10902" i="1" s="1"/>
  <c r="I10903" i="1" a="1"/>
  <c r="I10903" i="1" s="1"/>
  <c r="I10904" i="1" a="1"/>
  <c r="I10904" i="1" s="1"/>
  <c r="I10905" i="1" a="1"/>
  <c r="I10905" i="1" s="1"/>
  <c r="I10906" i="1" a="1"/>
  <c r="I10906" i="1" s="1"/>
  <c r="I10907" i="1" a="1"/>
  <c r="I10907" i="1" s="1"/>
  <c r="I10908" i="1" a="1"/>
  <c r="I10908" i="1" s="1"/>
  <c r="I10909" i="1" a="1"/>
  <c r="I10909" i="1" s="1"/>
  <c r="I10910" i="1" a="1"/>
  <c r="I10910" i="1" s="1"/>
  <c r="I10911" i="1" a="1"/>
  <c r="I10911" i="1" s="1"/>
  <c r="I10912" i="1" a="1"/>
  <c r="I10912" i="1" s="1"/>
  <c r="H2" i="1"/>
  <c r="J2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H805" i="1"/>
  <c r="J805" i="1" s="1"/>
  <c r="H806" i="1"/>
  <c r="J806" i="1" s="1"/>
  <c r="H807" i="1"/>
  <c r="J807" i="1" s="1"/>
  <c r="H808" i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H936" i="1"/>
  <c r="J936" i="1" s="1"/>
  <c r="H937" i="1"/>
  <c r="J937" i="1" s="1"/>
  <c r="H938" i="1"/>
  <c r="J938" i="1" s="1"/>
  <c r="H939" i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H1009" i="1"/>
  <c r="J1009" i="1" s="1"/>
  <c r="H1010" i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H1055" i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H1125" i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H1155" i="1"/>
  <c r="J1155" i="1" s="1"/>
  <c r="H1156" i="1"/>
  <c r="J1156" i="1" s="1"/>
  <c r="H1157" i="1"/>
  <c r="J1157" i="1" s="1"/>
  <c r="H1158" i="1"/>
  <c r="H1159" i="1"/>
  <c r="J1159" i="1" s="1"/>
  <c r="H1160" i="1"/>
  <c r="J1160" i="1" s="1"/>
  <c r="H1161" i="1"/>
  <c r="J1161" i="1" s="1"/>
  <c r="H1162" i="1"/>
  <c r="H1163" i="1"/>
  <c r="J1163" i="1" s="1"/>
  <c r="H1164" i="1"/>
  <c r="J1164" i="1" s="1"/>
  <c r="H1165" i="1"/>
  <c r="J1165" i="1" s="1"/>
  <c r="H1166" i="1"/>
  <c r="H1167" i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H1193" i="1"/>
  <c r="J1193" i="1" s="1"/>
  <c r="H1194" i="1"/>
  <c r="J1194" i="1" s="1"/>
  <c r="H1195" i="1"/>
  <c r="J1195" i="1" s="1"/>
  <c r="H1196" i="1"/>
  <c r="J1196" i="1" s="1"/>
  <c r="H1197" i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H1235" i="1"/>
  <c r="J1235" i="1" s="1"/>
  <c r="H1236" i="1"/>
  <c r="J1236" i="1" s="1"/>
  <c r="H1237" i="1"/>
  <c r="J1237" i="1" s="1"/>
  <c r="H1238" i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H1405" i="1"/>
  <c r="J1405" i="1" s="1"/>
  <c r="H1406" i="1"/>
  <c r="J1406" i="1" s="1"/>
  <c r="H1407" i="1"/>
  <c r="J1407" i="1" s="1"/>
  <c r="H1408" i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J1453" i="1" s="1"/>
  <c r="H1454" i="1"/>
  <c r="J1454" i="1" s="1"/>
  <c r="H1455" i="1"/>
  <c r="J1455" i="1" s="1"/>
  <c r="H1456" i="1"/>
  <c r="J1456" i="1" s="1"/>
  <c r="H1457" i="1"/>
  <c r="J1457" i="1" s="1"/>
  <c r="H1458" i="1"/>
  <c r="H1459" i="1"/>
  <c r="J1459" i="1" s="1"/>
  <c r="H1460" i="1"/>
  <c r="J1460" i="1" s="1"/>
  <c r="H1461" i="1"/>
  <c r="J1461" i="1" s="1"/>
  <c r="H1462" i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H1502" i="1"/>
  <c r="H1503" i="1"/>
  <c r="J1503" i="1" s="1"/>
  <c r="H1504" i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J1544" i="1" s="1"/>
  <c r="H1545" i="1"/>
  <c r="J1545" i="1" s="1"/>
  <c r="H1546" i="1"/>
  <c r="J1546" i="1" s="1"/>
  <c r="H1547" i="1"/>
  <c r="J1547" i="1" s="1"/>
  <c r="H1548" i="1"/>
  <c r="H1549" i="1"/>
  <c r="J1549" i="1" s="1"/>
  <c r="H1550" i="1"/>
  <c r="J1550" i="1" s="1"/>
  <c r="H1551" i="1"/>
  <c r="J1551" i="1" s="1"/>
  <c r="H1552" i="1"/>
  <c r="J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J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H1579" i="1"/>
  <c r="J1579" i="1" s="1"/>
  <c r="H1580" i="1"/>
  <c r="J1580" i="1" s="1"/>
  <c r="H1581" i="1"/>
  <c r="J1581" i="1" s="1"/>
  <c r="H1582" i="1"/>
  <c r="J1582" i="1" s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J1611" i="1" s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J1617" i="1" s="1"/>
  <c r="H1618" i="1"/>
  <c r="J1618" i="1" s="1"/>
  <c r="H1619" i="1"/>
  <c r="J1619" i="1" s="1"/>
  <c r="H1620" i="1"/>
  <c r="J1620" i="1" s="1"/>
  <c r="H1621" i="1"/>
  <c r="J1621" i="1" s="1"/>
  <c r="H1622" i="1"/>
  <c r="J1622" i="1" s="1"/>
  <c r="H1623" i="1"/>
  <c r="J1623" i="1" s="1"/>
  <c r="H1624" i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J1644" i="1" s="1"/>
  <c r="H1645" i="1"/>
  <c r="H1646" i="1"/>
  <c r="J1646" i="1" s="1"/>
  <c r="H1647" i="1"/>
  <c r="J1647" i="1" s="1"/>
  <c r="H1648" i="1"/>
  <c r="H1649" i="1"/>
  <c r="J1649" i="1" s="1"/>
  <c r="H1650" i="1"/>
  <c r="J1650" i="1" s="1"/>
  <c r="H1651" i="1"/>
  <c r="J1651" i="1" s="1"/>
  <c r="H1652" i="1"/>
  <c r="J1652" i="1" s="1"/>
  <c r="H1653" i="1"/>
  <c r="J1653" i="1" s="1"/>
  <c r="H1654" i="1"/>
  <c r="H1655" i="1"/>
  <c r="J1655" i="1" s="1"/>
  <c r="H1656" i="1"/>
  <c r="J1656" i="1" s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J1663" i="1" s="1"/>
  <c r="H1664" i="1"/>
  <c r="J1664" i="1" s="1"/>
  <c r="H1665" i="1"/>
  <c r="J1665" i="1" s="1"/>
  <c r="H1666" i="1"/>
  <c r="J1666" i="1" s="1"/>
  <c r="H1667" i="1"/>
  <c r="J1667" i="1" s="1"/>
  <c r="H1668" i="1"/>
  <c r="J1668" i="1" s="1"/>
  <c r="H1669" i="1"/>
  <c r="J1669" i="1" s="1"/>
  <c r="H1670" i="1"/>
  <c r="J1670" i="1" s="1"/>
  <c r="H1671" i="1"/>
  <c r="J1671" i="1" s="1"/>
  <c r="H1672" i="1"/>
  <c r="J1672" i="1" s="1"/>
  <c r="H1673" i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J1694" i="1" s="1"/>
  <c r="H1695" i="1"/>
  <c r="J1695" i="1" s="1"/>
  <c r="H1696" i="1"/>
  <c r="J1696" i="1" s="1"/>
  <c r="H1697" i="1"/>
  <c r="J1697" i="1" s="1"/>
  <c r="H1698" i="1"/>
  <c r="J1698" i="1" s="1"/>
  <c r="H1699" i="1"/>
  <c r="J1699" i="1" s="1"/>
  <c r="H1700" i="1"/>
  <c r="J1700" i="1" s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J1707" i="1" s="1"/>
  <c r="H1708" i="1"/>
  <c r="J1708" i="1" s="1"/>
  <c r="H1709" i="1"/>
  <c r="J1709" i="1" s="1"/>
  <c r="H1710" i="1"/>
  <c r="J1710" i="1" s="1"/>
  <c r="H1711" i="1"/>
  <c r="J1711" i="1" s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J1735" i="1" s="1"/>
  <c r="H1736" i="1"/>
  <c r="J1736" i="1" s="1"/>
  <c r="H1737" i="1"/>
  <c r="J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J1754" i="1" s="1"/>
  <c r="H1755" i="1"/>
  <c r="J1755" i="1" s="1"/>
  <c r="H1756" i="1"/>
  <c r="J1756" i="1" s="1"/>
  <c r="H1757" i="1"/>
  <c r="J1757" i="1" s="1"/>
  <c r="H1758" i="1"/>
  <c r="J1758" i="1" s="1"/>
  <c r="H1759" i="1"/>
  <c r="H1760" i="1"/>
  <c r="J1760" i="1" s="1"/>
  <c r="H1761" i="1"/>
  <c r="J1761" i="1" s="1"/>
  <c r="H1762" i="1"/>
  <c r="J1762" i="1" s="1"/>
  <c r="H1763" i="1"/>
  <c r="J1763" i="1" s="1"/>
  <c r="H1764" i="1"/>
  <c r="J1764" i="1" s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J1794" i="1" s="1"/>
  <c r="H1795" i="1"/>
  <c r="J1795" i="1" s="1"/>
  <c r="H1796" i="1"/>
  <c r="J1796" i="1" s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H1832" i="1"/>
  <c r="H1833" i="1"/>
  <c r="J1833" i="1" s="1"/>
  <c r="H1834" i="1"/>
  <c r="J1834" i="1" s="1"/>
  <c r="H1835" i="1"/>
  <c r="J1835" i="1" s="1"/>
  <c r="H1836" i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J1854" i="1" s="1"/>
  <c r="H1855" i="1"/>
  <c r="J1855" i="1" s="1"/>
  <c r="H1856" i="1"/>
  <c r="J1856" i="1" s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J2002" i="1" s="1"/>
  <c r="H2003" i="1"/>
  <c r="J2003" i="1" s="1"/>
  <c r="H2004" i="1"/>
  <c r="J2004" i="1" s="1"/>
  <c r="H2005" i="1"/>
  <c r="J2005" i="1" s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J2017" i="1" s="1"/>
  <c r="H2018" i="1"/>
  <c r="J2018" i="1" s="1"/>
  <c r="H2019" i="1"/>
  <c r="J2019" i="1" s="1"/>
  <c r="H2020" i="1"/>
  <c r="J2020" i="1" s="1"/>
  <c r="H2021" i="1"/>
  <c r="J2021" i="1" s="1"/>
  <c r="H2022" i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J2047" i="1" s="1"/>
  <c r="H2048" i="1"/>
  <c r="J2048" i="1" s="1"/>
  <c r="H2049" i="1"/>
  <c r="J2049" i="1" s="1"/>
  <c r="H2050" i="1"/>
  <c r="J2050" i="1" s="1"/>
  <c r="H2051" i="1"/>
  <c r="J2051" i="1" s="1"/>
  <c r="H2052" i="1"/>
  <c r="J2052" i="1" s="1"/>
  <c r="H2053" i="1"/>
  <c r="J2053" i="1" s="1"/>
  <c r="H2054" i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H2064" i="1"/>
  <c r="J2064" i="1" s="1"/>
  <c r="H2065" i="1"/>
  <c r="J2065" i="1" s="1"/>
  <c r="H2066" i="1"/>
  <c r="J2066" i="1" s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J2074" i="1" s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H2110" i="1"/>
  <c r="J2110" i="1" s="1"/>
  <c r="H2111" i="1"/>
  <c r="J2111" i="1" s="1"/>
  <c r="H2112" i="1"/>
  <c r="J2112" i="1" s="1"/>
  <c r="H2113" i="1"/>
  <c r="J2113" i="1" s="1"/>
  <c r="H2114" i="1"/>
  <c r="H2115" i="1"/>
  <c r="J2115" i="1" s="1"/>
  <c r="H2116" i="1"/>
  <c r="J2116" i="1" s="1"/>
  <c r="H2117" i="1"/>
  <c r="J2117" i="1" s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J2150" i="1" s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J2162" i="1" s="1"/>
  <c r="H2163" i="1"/>
  <c r="J2163" i="1" s="1"/>
  <c r="H2164" i="1"/>
  <c r="J2164" i="1" s="1"/>
  <c r="H2165" i="1"/>
  <c r="J2165" i="1" s="1"/>
  <c r="H2166" i="1"/>
  <c r="J2166" i="1" s="1"/>
  <c r="H2167" i="1"/>
  <c r="J2167" i="1" s="1"/>
  <c r="H2168" i="1"/>
  <c r="J2168" i="1" s="1"/>
  <c r="H2169" i="1"/>
  <c r="J2169" i="1" s="1"/>
  <c r="H2170" i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J2194" i="1" s="1"/>
  <c r="H2195" i="1"/>
  <c r="J2195" i="1" s="1"/>
  <c r="H2196" i="1"/>
  <c r="H2197" i="1"/>
  <c r="J2197" i="1" s="1"/>
  <c r="H2198" i="1"/>
  <c r="J2198" i="1" s="1"/>
  <c r="H2199" i="1"/>
  <c r="J2199" i="1" s="1"/>
  <c r="H2200" i="1"/>
  <c r="J2200" i="1" s="1"/>
  <c r="H2201" i="1"/>
  <c r="J2201" i="1" s="1"/>
  <c r="H2202" i="1"/>
  <c r="J2202" i="1" s="1"/>
  <c r="H2203" i="1"/>
  <c r="J2203" i="1" s="1"/>
  <c r="H2204" i="1"/>
  <c r="J2204" i="1" s="1"/>
  <c r="H2205" i="1"/>
  <c r="J2205" i="1" s="1"/>
  <c r="H2206" i="1"/>
  <c r="J2206" i="1" s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J2219" i="1" s="1"/>
  <c r="H2220" i="1"/>
  <c r="J2220" i="1" s="1"/>
  <c r="H2221" i="1"/>
  <c r="J2221" i="1" s="1"/>
  <c r="H2222" i="1"/>
  <c r="J2222" i="1" s="1"/>
  <c r="H2223" i="1"/>
  <c r="J2223" i="1" s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H2243" i="1"/>
  <c r="J2243" i="1" s="1"/>
  <c r="H2244" i="1"/>
  <c r="H2245" i="1"/>
  <c r="J2245" i="1" s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H2255" i="1"/>
  <c r="J2255" i="1" s="1"/>
  <c r="H2256" i="1"/>
  <c r="J2256" i="1" s="1"/>
  <c r="H2257" i="1"/>
  <c r="J2257" i="1" s="1"/>
  <c r="H2258" i="1"/>
  <c r="J2258" i="1" s="1"/>
  <c r="H2259" i="1"/>
  <c r="J2259" i="1" s="1"/>
  <c r="H2260" i="1"/>
  <c r="J2260" i="1" s="1"/>
  <c r="H2261" i="1"/>
  <c r="J2261" i="1" s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H2268" i="1"/>
  <c r="J2268" i="1" s="1"/>
  <c r="H2269" i="1"/>
  <c r="J2269" i="1" s="1"/>
  <c r="H2270" i="1"/>
  <c r="J2270" i="1" s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H2280" i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J2306" i="1" s="1"/>
  <c r="H2307" i="1"/>
  <c r="J2307" i="1" s="1"/>
  <c r="H2308" i="1"/>
  <c r="J2308" i="1" s="1"/>
  <c r="H2309" i="1"/>
  <c r="J2309" i="1" s="1"/>
  <c r="H2310" i="1"/>
  <c r="J2310" i="1" s="1"/>
  <c r="H2311" i="1"/>
  <c r="J2311" i="1" s="1"/>
  <c r="H2312" i="1"/>
  <c r="J2312" i="1" s="1"/>
  <c r="H2313" i="1"/>
  <c r="H2314" i="1"/>
  <c r="J2314" i="1" s="1"/>
  <c r="H2315" i="1"/>
  <c r="J2315" i="1" s="1"/>
  <c r="H2316" i="1"/>
  <c r="J2316" i="1" s="1"/>
  <c r="H2317" i="1"/>
  <c r="J2317" i="1" s="1"/>
  <c r="H2318" i="1"/>
  <c r="J2318" i="1" s="1"/>
  <c r="H2319" i="1"/>
  <c r="J2319" i="1" s="1"/>
  <c r="H2320" i="1"/>
  <c r="J2320" i="1" s="1"/>
  <c r="H2321" i="1"/>
  <c r="J2321" i="1" s="1"/>
  <c r="H2322" i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J2347" i="1" s="1"/>
  <c r="H2348" i="1"/>
  <c r="J2348" i="1" s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J2354" i="1" s="1"/>
  <c r="H2355" i="1"/>
  <c r="J2355" i="1" s="1"/>
  <c r="H2356" i="1"/>
  <c r="J2356" i="1" s="1"/>
  <c r="H2357" i="1"/>
  <c r="J2357" i="1" s="1"/>
  <c r="H2358" i="1"/>
  <c r="J2358" i="1" s="1"/>
  <c r="H2359" i="1"/>
  <c r="J2359" i="1" s="1"/>
  <c r="H2360" i="1"/>
  <c r="J2360" i="1" s="1"/>
  <c r="H2361" i="1"/>
  <c r="J2361" i="1" s="1"/>
  <c r="H2362" i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J2370" i="1" s="1"/>
  <c r="H2371" i="1"/>
  <c r="J2371" i="1" s="1"/>
  <c r="H2372" i="1"/>
  <c r="J2372" i="1" s="1"/>
  <c r="H2373" i="1"/>
  <c r="J2373" i="1" s="1"/>
  <c r="H2374" i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H2391" i="1"/>
  <c r="H2392" i="1"/>
  <c r="J2392" i="1" s="1"/>
  <c r="H2393" i="1"/>
  <c r="J2393" i="1" s="1"/>
  <c r="H2394" i="1"/>
  <c r="J2394" i="1" s="1"/>
  <c r="H2395" i="1"/>
  <c r="J2395" i="1" s="1"/>
  <c r="H2396" i="1"/>
  <c r="J2396" i="1" s="1"/>
  <c r="H2397" i="1"/>
  <c r="J2397" i="1" s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2406" i="1"/>
  <c r="J2406" i="1" s="1"/>
  <c r="H2407" i="1"/>
  <c r="J2407" i="1" s="1"/>
  <c r="H2408" i="1"/>
  <c r="J2408" i="1" s="1"/>
  <c r="H2409" i="1"/>
  <c r="J2409" i="1" s="1"/>
  <c r="H2410" i="1"/>
  <c r="J2410" i="1" s="1"/>
  <c r="H2411" i="1"/>
  <c r="J2411" i="1" s="1"/>
  <c r="H2412" i="1"/>
  <c r="H2413" i="1"/>
  <c r="J2413" i="1" s="1"/>
  <c r="H2414" i="1"/>
  <c r="J2414" i="1" s="1"/>
  <c r="H2415" i="1"/>
  <c r="J2415" i="1" s="1"/>
  <c r="H2416" i="1"/>
  <c r="J2416" i="1" s="1"/>
  <c r="H2417" i="1"/>
  <c r="J2417" i="1" s="1"/>
  <c r="H2418" i="1"/>
  <c r="J2418" i="1" s="1"/>
  <c r="H2419" i="1"/>
  <c r="J2419" i="1" s="1"/>
  <c r="H2420" i="1"/>
  <c r="J2420" i="1" s="1"/>
  <c r="H2421" i="1"/>
  <c r="J2421" i="1" s="1"/>
  <c r="H2422" i="1"/>
  <c r="J2422" i="1" s="1"/>
  <c r="H2423" i="1"/>
  <c r="J2423" i="1" s="1"/>
  <c r="H2424" i="1"/>
  <c r="H2425" i="1"/>
  <c r="J2425" i="1" s="1"/>
  <c r="H2426" i="1"/>
  <c r="J2426" i="1" s="1"/>
  <c r="H2427" i="1"/>
  <c r="J2427" i="1" s="1"/>
  <c r="H2428" i="1"/>
  <c r="J2428" i="1" s="1"/>
  <c r="H2429" i="1"/>
  <c r="J2429" i="1" s="1"/>
  <c r="H2430" i="1"/>
  <c r="J2430" i="1" s="1"/>
  <c r="H2431" i="1"/>
  <c r="J2431" i="1" s="1"/>
  <c r="H2432" i="1"/>
  <c r="J2432" i="1" s="1"/>
  <c r="H2433" i="1"/>
  <c r="J2433" i="1" s="1"/>
  <c r="H2434" i="1"/>
  <c r="J2434" i="1" s="1"/>
  <c r="H2435" i="1"/>
  <c r="J2435" i="1" s="1"/>
  <c r="H2436" i="1"/>
  <c r="J2436" i="1" s="1"/>
  <c r="H2437" i="1"/>
  <c r="J2437" i="1" s="1"/>
  <c r="H2438" i="1"/>
  <c r="J2438" i="1" s="1"/>
  <c r="H2439" i="1"/>
  <c r="J2439" i="1" s="1"/>
  <c r="H2440" i="1"/>
  <c r="J2440" i="1" s="1"/>
  <c r="H2441" i="1"/>
  <c r="J2441" i="1" s="1"/>
  <c r="H2442" i="1"/>
  <c r="J2442" i="1" s="1"/>
  <c r="H2443" i="1"/>
  <c r="J2443" i="1" s="1"/>
  <c r="H2444" i="1"/>
  <c r="J2444" i="1" s="1"/>
  <c r="H2445" i="1"/>
  <c r="J2445" i="1" s="1"/>
  <c r="H2446" i="1"/>
  <c r="J2446" i="1" s="1"/>
  <c r="H2447" i="1"/>
  <c r="J2447" i="1" s="1"/>
  <c r="H2448" i="1"/>
  <c r="J2448" i="1" s="1"/>
  <c r="H2449" i="1"/>
  <c r="J2449" i="1" s="1"/>
  <c r="H2450" i="1"/>
  <c r="J2450" i="1" s="1"/>
  <c r="H2451" i="1"/>
  <c r="J2451" i="1" s="1"/>
  <c r="H2452" i="1"/>
  <c r="J2452" i="1" s="1"/>
  <c r="H2453" i="1"/>
  <c r="J2453" i="1" s="1"/>
  <c r="H2454" i="1"/>
  <c r="J2454" i="1" s="1"/>
  <c r="H2455" i="1"/>
  <c r="J2455" i="1" s="1"/>
  <c r="H2456" i="1"/>
  <c r="J2456" i="1" s="1"/>
  <c r="H2457" i="1"/>
  <c r="J2457" i="1" s="1"/>
  <c r="H2458" i="1"/>
  <c r="J2458" i="1" s="1"/>
  <c r="H2459" i="1"/>
  <c r="J2459" i="1" s="1"/>
  <c r="H2460" i="1"/>
  <c r="J2460" i="1" s="1"/>
  <c r="H2461" i="1"/>
  <c r="J2461" i="1" s="1"/>
  <c r="H2462" i="1"/>
  <c r="J2462" i="1" s="1"/>
  <c r="H2463" i="1"/>
  <c r="J2463" i="1" s="1"/>
  <c r="H2464" i="1"/>
  <c r="J2464" i="1" s="1"/>
  <c r="H2465" i="1"/>
  <c r="J2465" i="1" s="1"/>
  <c r="H2466" i="1"/>
  <c r="J2466" i="1" s="1"/>
  <c r="H2467" i="1"/>
  <c r="J2467" i="1" s="1"/>
  <c r="H2468" i="1"/>
  <c r="J2468" i="1" s="1"/>
  <c r="H2469" i="1"/>
  <c r="J2469" i="1" s="1"/>
  <c r="H2470" i="1"/>
  <c r="J2470" i="1" s="1"/>
  <c r="H2471" i="1"/>
  <c r="J2471" i="1" s="1"/>
  <c r="H2472" i="1"/>
  <c r="H2473" i="1"/>
  <c r="J2473" i="1" s="1"/>
  <c r="H2474" i="1"/>
  <c r="J2474" i="1" s="1"/>
  <c r="H2475" i="1"/>
  <c r="J2475" i="1" s="1"/>
  <c r="H2476" i="1"/>
  <c r="J2476" i="1" s="1"/>
  <c r="H2477" i="1"/>
  <c r="J2477" i="1" s="1"/>
  <c r="H2478" i="1"/>
  <c r="H2479" i="1"/>
  <c r="J2479" i="1" s="1"/>
  <c r="H2480" i="1"/>
  <c r="J2480" i="1" s="1"/>
  <c r="H2481" i="1"/>
  <c r="J2481" i="1" s="1"/>
  <c r="H2482" i="1"/>
  <c r="J2482" i="1" s="1"/>
  <c r="H2483" i="1"/>
  <c r="J2483" i="1" s="1"/>
  <c r="H2484" i="1"/>
  <c r="J2484" i="1" s="1"/>
  <c r="H2485" i="1"/>
  <c r="J2485" i="1" s="1"/>
  <c r="H2486" i="1"/>
  <c r="J2486" i="1" s="1"/>
  <c r="H2487" i="1"/>
  <c r="J2487" i="1" s="1"/>
  <c r="H2488" i="1"/>
  <c r="J2488" i="1" s="1"/>
  <c r="H2489" i="1"/>
  <c r="J2489" i="1" s="1"/>
  <c r="H2490" i="1"/>
  <c r="J2490" i="1" s="1"/>
  <c r="H2491" i="1"/>
  <c r="J2491" i="1" s="1"/>
  <c r="H2492" i="1"/>
  <c r="J2492" i="1" s="1"/>
  <c r="H2493" i="1"/>
  <c r="J2493" i="1" s="1"/>
  <c r="H2494" i="1"/>
  <c r="J2494" i="1" s="1"/>
  <c r="H2495" i="1"/>
  <c r="J2495" i="1" s="1"/>
  <c r="H2496" i="1"/>
  <c r="J2496" i="1" s="1"/>
  <c r="H2497" i="1"/>
  <c r="J2497" i="1" s="1"/>
  <c r="H2498" i="1"/>
  <c r="J2498" i="1" s="1"/>
  <c r="H2499" i="1"/>
  <c r="J2499" i="1" s="1"/>
  <c r="H2500" i="1"/>
  <c r="J2500" i="1" s="1"/>
  <c r="H2501" i="1"/>
  <c r="J2501" i="1" s="1"/>
  <c r="H2502" i="1"/>
  <c r="J2502" i="1" s="1"/>
  <c r="H2503" i="1"/>
  <c r="J2503" i="1" s="1"/>
  <c r="H2504" i="1"/>
  <c r="J2504" i="1" s="1"/>
  <c r="H2505" i="1"/>
  <c r="J2505" i="1" s="1"/>
  <c r="H2506" i="1"/>
  <c r="J2506" i="1" s="1"/>
  <c r="H2507" i="1"/>
  <c r="J2507" i="1" s="1"/>
  <c r="H2508" i="1"/>
  <c r="J2508" i="1" s="1"/>
  <c r="H2509" i="1"/>
  <c r="J2509" i="1" s="1"/>
  <c r="H2510" i="1"/>
  <c r="J2510" i="1" s="1"/>
  <c r="H2511" i="1"/>
  <c r="J2511" i="1" s="1"/>
  <c r="H2512" i="1"/>
  <c r="J2512" i="1" s="1"/>
  <c r="H2513" i="1"/>
  <c r="J2513" i="1" s="1"/>
  <c r="H2514" i="1"/>
  <c r="J2514" i="1" s="1"/>
  <c r="H2515" i="1"/>
  <c r="J2515" i="1" s="1"/>
  <c r="H2516" i="1"/>
  <c r="J2516" i="1" s="1"/>
  <c r="H2517" i="1"/>
  <c r="J2517" i="1" s="1"/>
  <c r="H2518" i="1"/>
  <c r="J2518" i="1" s="1"/>
  <c r="H2519" i="1"/>
  <c r="J2519" i="1" s="1"/>
  <c r="H2520" i="1"/>
  <c r="J2520" i="1" s="1"/>
  <c r="H2521" i="1"/>
  <c r="J2521" i="1" s="1"/>
  <c r="H2522" i="1"/>
  <c r="J2522" i="1" s="1"/>
  <c r="H2523" i="1"/>
  <c r="J2523" i="1" s="1"/>
  <c r="H2524" i="1"/>
  <c r="J2524" i="1" s="1"/>
  <c r="H2525" i="1"/>
  <c r="J2525" i="1" s="1"/>
  <c r="H2526" i="1"/>
  <c r="J2526" i="1" s="1"/>
  <c r="H2527" i="1"/>
  <c r="J2527" i="1" s="1"/>
  <c r="H2528" i="1"/>
  <c r="J2528" i="1" s="1"/>
  <c r="H2529" i="1"/>
  <c r="J2529" i="1" s="1"/>
  <c r="H2530" i="1"/>
  <c r="J2530" i="1" s="1"/>
  <c r="H2531" i="1"/>
  <c r="J2531" i="1" s="1"/>
  <c r="H2532" i="1"/>
  <c r="J2532" i="1" s="1"/>
  <c r="H2533" i="1"/>
  <c r="J2533" i="1" s="1"/>
  <c r="H2534" i="1"/>
  <c r="J2534" i="1" s="1"/>
  <c r="H2535" i="1"/>
  <c r="J2535" i="1" s="1"/>
  <c r="H2536" i="1"/>
  <c r="J2536" i="1" s="1"/>
  <c r="H2537" i="1"/>
  <c r="J2537" i="1" s="1"/>
  <c r="H2538" i="1"/>
  <c r="J2538" i="1" s="1"/>
  <c r="H2539" i="1"/>
  <c r="J2539" i="1" s="1"/>
  <c r="H2540" i="1"/>
  <c r="J2540" i="1" s="1"/>
  <c r="H2541" i="1"/>
  <c r="J2541" i="1" s="1"/>
  <c r="H2542" i="1"/>
  <c r="J2542" i="1" s="1"/>
  <c r="H2543" i="1"/>
  <c r="J2543" i="1" s="1"/>
  <c r="H2544" i="1"/>
  <c r="H2545" i="1"/>
  <c r="J2545" i="1" s="1"/>
  <c r="H2546" i="1"/>
  <c r="J2546" i="1" s="1"/>
  <c r="H2547" i="1"/>
  <c r="J2547" i="1" s="1"/>
  <c r="H2548" i="1"/>
  <c r="J2548" i="1" s="1"/>
  <c r="H2549" i="1"/>
  <c r="J2549" i="1" s="1"/>
  <c r="H2550" i="1"/>
  <c r="J2550" i="1" s="1"/>
  <c r="H2551" i="1"/>
  <c r="J2551" i="1" s="1"/>
  <c r="H2552" i="1"/>
  <c r="J2552" i="1" s="1"/>
  <c r="H2553" i="1"/>
  <c r="J2553" i="1" s="1"/>
  <c r="H2554" i="1"/>
  <c r="J2554" i="1" s="1"/>
  <c r="H2555" i="1"/>
  <c r="J2555" i="1" s="1"/>
  <c r="H2556" i="1"/>
  <c r="J2556" i="1" s="1"/>
  <c r="H2557" i="1"/>
  <c r="J2557" i="1" s="1"/>
  <c r="H2558" i="1"/>
  <c r="J2558" i="1" s="1"/>
  <c r="H2559" i="1"/>
  <c r="J2559" i="1" s="1"/>
  <c r="H2560" i="1"/>
  <c r="J2560" i="1" s="1"/>
  <c r="H2561" i="1"/>
  <c r="J2561" i="1" s="1"/>
  <c r="H2562" i="1"/>
  <c r="J2562" i="1" s="1"/>
  <c r="H2563" i="1"/>
  <c r="J2563" i="1" s="1"/>
  <c r="H2564" i="1"/>
  <c r="J2564" i="1" s="1"/>
  <c r="H2565" i="1"/>
  <c r="J2565" i="1" s="1"/>
  <c r="H2566" i="1"/>
  <c r="J2566" i="1" s="1"/>
  <c r="H2567" i="1"/>
  <c r="J2567" i="1" s="1"/>
  <c r="H2568" i="1"/>
  <c r="J2568" i="1" s="1"/>
  <c r="H2569" i="1"/>
  <c r="J2569" i="1" s="1"/>
  <c r="H2570" i="1"/>
  <c r="J2570" i="1" s="1"/>
  <c r="H2571" i="1"/>
  <c r="J2571" i="1" s="1"/>
  <c r="H2572" i="1"/>
  <c r="J2572" i="1" s="1"/>
  <c r="H2573" i="1"/>
  <c r="J2573" i="1" s="1"/>
  <c r="H2574" i="1"/>
  <c r="J2574" i="1" s="1"/>
  <c r="H2575" i="1"/>
  <c r="J2575" i="1" s="1"/>
  <c r="H2576" i="1"/>
  <c r="J2576" i="1" s="1"/>
  <c r="H2577" i="1"/>
  <c r="J2577" i="1" s="1"/>
  <c r="H2578" i="1"/>
  <c r="J2578" i="1" s="1"/>
  <c r="H2579" i="1"/>
  <c r="J2579" i="1" s="1"/>
  <c r="H2580" i="1"/>
  <c r="H2581" i="1"/>
  <c r="J2581" i="1" s="1"/>
  <c r="H2582" i="1"/>
  <c r="J2582" i="1" s="1"/>
  <c r="H2583" i="1"/>
  <c r="J2583" i="1" s="1"/>
  <c r="H2584" i="1"/>
  <c r="J2584" i="1" s="1"/>
  <c r="H2585" i="1"/>
  <c r="J2585" i="1" s="1"/>
  <c r="H2586" i="1"/>
  <c r="H2587" i="1"/>
  <c r="J2587" i="1" s="1"/>
  <c r="H2588" i="1"/>
  <c r="J2588" i="1" s="1"/>
  <c r="H2589" i="1"/>
  <c r="J2589" i="1" s="1"/>
  <c r="H2590" i="1"/>
  <c r="J2590" i="1" s="1"/>
  <c r="H2591" i="1"/>
  <c r="J2591" i="1" s="1"/>
  <c r="H2592" i="1"/>
  <c r="J2592" i="1" s="1"/>
  <c r="H2593" i="1"/>
  <c r="J2593" i="1" s="1"/>
  <c r="H2594" i="1"/>
  <c r="J2594" i="1" s="1"/>
  <c r="H2595" i="1"/>
  <c r="J2595" i="1" s="1"/>
  <c r="H2596" i="1"/>
  <c r="J2596" i="1" s="1"/>
  <c r="H2597" i="1"/>
  <c r="J2597" i="1" s="1"/>
  <c r="H2598" i="1"/>
  <c r="J2598" i="1" s="1"/>
  <c r="H2599" i="1"/>
  <c r="J2599" i="1" s="1"/>
  <c r="H2600" i="1"/>
  <c r="J2600" i="1" s="1"/>
  <c r="H2601" i="1"/>
  <c r="J2601" i="1" s="1"/>
  <c r="H2602" i="1"/>
  <c r="J2602" i="1" s="1"/>
  <c r="H2603" i="1"/>
  <c r="J2603" i="1" s="1"/>
  <c r="H2604" i="1"/>
  <c r="J2604" i="1" s="1"/>
  <c r="H2605" i="1"/>
  <c r="J2605" i="1" s="1"/>
  <c r="H2606" i="1"/>
  <c r="J2606" i="1" s="1"/>
  <c r="H2607" i="1"/>
  <c r="J2607" i="1" s="1"/>
  <c r="H2608" i="1"/>
  <c r="J2608" i="1" s="1"/>
  <c r="H2609" i="1"/>
  <c r="J2609" i="1" s="1"/>
  <c r="H2610" i="1"/>
  <c r="J2610" i="1" s="1"/>
  <c r="H2611" i="1"/>
  <c r="J2611" i="1" s="1"/>
  <c r="H2612" i="1"/>
  <c r="J2612" i="1" s="1"/>
  <c r="H2613" i="1"/>
  <c r="J2613" i="1" s="1"/>
  <c r="H2614" i="1"/>
  <c r="J2614" i="1" s="1"/>
  <c r="H2615" i="1"/>
  <c r="J2615" i="1" s="1"/>
  <c r="H2616" i="1"/>
  <c r="H2617" i="1"/>
  <c r="J2617" i="1" s="1"/>
  <c r="H2618" i="1"/>
  <c r="J2618" i="1" s="1"/>
  <c r="H2619" i="1"/>
  <c r="J2619" i="1" s="1"/>
  <c r="H2620" i="1"/>
  <c r="J2620" i="1" s="1"/>
  <c r="H2621" i="1"/>
  <c r="J2621" i="1" s="1"/>
  <c r="H2622" i="1"/>
  <c r="J2622" i="1" s="1"/>
  <c r="H2623" i="1"/>
  <c r="J2623" i="1" s="1"/>
  <c r="H2624" i="1"/>
  <c r="J2624" i="1" s="1"/>
  <c r="H2625" i="1"/>
  <c r="J2625" i="1" s="1"/>
  <c r="H2626" i="1"/>
  <c r="J2626" i="1" s="1"/>
  <c r="H2627" i="1"/>
  <c r="J2627" i="1" s="1"/>
  <c r="H2628" i="1"/>
  <c r="J2628" i="1" s="1"/>
  <c r="H2629" i="1"/>
  <c r="J2629" i="1" s="1"/>
  <c r="H2630" i="1"/>
  <c r="J2630" i="1" s="1"/>
  <c r="H2631" i="1"/>
  <c r="J2631" i="1" s="1"/>
  <c r="H2632" i="1"/>
  <c r="J2632" i="1" s="1"/>
  <c r="H2633" i="1"/>
  <c r="J2633" i="1" s="1"/>
  <c r="H2634" i="1"/>
  <c r="H2635" i="1"/>
  <c r="J2635" i="1" s="1"/>
  <c r="H2636" i="1"/>
  <c r="J2636" i="1" s="1"/>
  <c r="H2637" i="1"/>
  <c r="J2637" i="1" s="1"/>
  <c r="H2638" i="1"/>
  <c r="J2638" i="1" s="1"/>
  <c r="H2639" i="1"/>
  <c r="J2639" i="1" s="1"/>
  <c r="H2640" i="1"/>
  <c r="H2641" i="1"/>
  <c r="J2641" i="1" s="1"/>
  <c r="H2642" i="1"/>
  <c r="J2642" i="1" s="1"/>
  <c r="H2643" i="1"/>
  <c r="J2643" i="1" s="1"/>
  <c r="H2644" i="1"/>
  <c r="J2644" i="1" s="1"/>
  <c r="H2645" i="1"/>
  <c r="J2645" i="1" s="1"/>
  <c r="H2646" i="1"/>
  <c r="H2647" i="1"/>
  <c r="J2647" i="1" s="1"/>
  <c r="H2648" i="1"/>
  <c r="J2648" i="1" s="1"/>
  <c r="H2649" i="1"/>
  <c r="J2649" i="1" s="1"/>
  <c r="H2650" i="1"/>
  <c r="J2650" i="1" s="1"/>
  <c r="H2651" i="1"/>
  <c r="J2651" i="1" s="1"/>
  <c r="H2652" i="1"/>
  <c r="J2652" i="1" s="1"/>
  <c r="H2653" i="1"/>
  <c r="J2653" i="1" s="1"/>
  <c r="H2654" i="1"/>
  <c r="J2654" i="1" s="1"/>
  <c r="H2655" i="1"/>
  <c r="J2655" i="1" s="1"/>
  <c r="H2656" i="1"/>
  <c r="J2656" i="1" s="1"/>
  <c r="H2657" i="1"/>
  <c r="J2657" i="1" s="1"/>
  <c r="H2658" i="1"/>
  <c r="J2658" i="1" s="1"/>
  <c r="H2659" i="1"/>
  <c r="J2659" i="1" s="1"/>
  <c r="H2660" i="1"/>
  <c r="J2660" i="1" s="1"/>
  <c r="H2661" i="1"/>
  <c r="J2661" i="1" s="1"/>
  <c r="H2662" i="1"/>
  <c r="J2662" i="1" s="1"/>
  <c r="H2663" i="1"/>
  <c r="J2663" i="1" s="1"/>
  <c r="H2664" i="1"/>
  <c r="J2664" i="1" s="1"/>
  <c r="H2665" i="1"/>
  <c r="J2665" i="1" s="1"/>
  <c r="H2666" i="1"/>
  <c r="J2666" i="1" s="1"/>
  <c r="H2667" i="1"/>
  <c r="J2667" i="1" s="1"/>
  <c r="H2668" i="1"/>
  <c r="J2668" i="1" s="1"/>
  <c r="H2669" i="1"/>
  <c r="J2669" i="1" s="1"/>
  <c r="H2670" i="1"/>
  <c r="H2671" i="1"/>
  <c r="J2671" i="1" s="1"/>
  <c r="H2672" i="1"/>
  <c r="J2672" i="1" s="1"/>
  <c r="H2673" i="1"/>
  <c r="J2673" i="1" s="1"/>
  <c r="H2674" i="1"/>
  <c r="J2674" i="1" s="1"/>
  <c r="H2675" i="1"/>
  <c r="J2675" i="1" s="1"/>
  <c r="H2676" i="1"/>
  <c r="J2676" i="1" s="1"/>
  <c r="H2677" i="1"/>
  <c r="J2677" i="1" s="1"/>
  <c r="H2678" i="1"/>
  <c r="J2678" i="1" s="1"/>
  <c r="H2679" i="1"/>
  <c r="J2679" i="1" s="1"/>
  <c r="H2680" i="1"/>
  <c r="J2680" i="1" s="1"/>
  <c r="H2681" i="1"/>
  <c r="J2681" i="1" s="1"/>
  <c r="H2682" i="1"/>
  <c r="J2682" i="1" s="1"/>
  <c r="H2683" i="1"/>
  <c r="J2683" i="1" s="1"/>
  <c r="H2684" i="1"/>
  <c r="J2684" i="1" s="1"/>
  <c r="H2685" i="1"/>
  <c r="J2685" i="1" s="1"/>
  <c r="H2686" i="1"/>
  <c r="J2686" i="1" s="1"/>
  <c r="H2687" i="1"/>
  <c r="J2687" i="1" s="1"/>
  <c r="H2688" i="1"/>
  <c r="H2689" i="1"/>
  <c r="J2689" i="1" s="1"/>
  <c r="H2690" i="1"/>
  <c r="J2690" i="1" s="1"/>
  <c r="H2691" i="1"/>
  <c r="J2691" i="1" s="1"/>
  <c r="H2692" i="1"/>
  <c r="J2692" i="1" s="1"/>
  <c r="H2693" i="1"/>
  <c r="J2693" i="1" s="1"/>
  <c r="H2694" i="1"/>
  <c r="J2694" i="1" s="1"/>
  <c r="H2695" i="1"/>
  <c r="J2695" i="1" s="1"/>
  <c r="H2696" i="1"/>
  <c r="J2696" i="1" s="1"/>
  <c r="H2697" i="1"/>
  <c r="J2697" i="1" s="1"/>
  <c r="H2698" i="1"/>
  <c r="J2698" i="1" s="1"/>
  <c r="H2699" i="1"/>
  <c r="J2699" i="1" s="1"/>
  <c r="H2700" i="1"/>
  <c r="J2700" i="1" s="1"/>
  <c r="H2701" i="1"/>
  <c r="J2701" i="1" s="1"/>
  <c r="H2702" i="1"/>
  <c r="J2702" i="1" s="1"/>
  <c r="H2703" i="1"/>
  <c r="J2703" i="1" s="1"/>
  <c r="H2704" i="1"/>
  <c r="J2704" i="1" s="1"/>
  <c r="H2705" i="1"/>
  <c r="J2705" i="1" s="1"/>
  <c r="H2706" i="1"/>
  <c r="J2706" i="1" s="1"/>
  <c r="H2707" i="1"/>
  <c r="J2707" i="1" s="1"/>
  <c r="H2708" i="1"/>
  <c r="J2708" i="1" s="1"/>
  <c r="H2709" i="1"/>
  <c r="J2709" i="1" s="1"/>
  <c r="H2710" i="1"/>
  <c r="J2710" i="1" s="1"/>
  <c r="H2711" i="1"/>
  <c r="J2711" i="1" s="1"/>
  <c r="H2712" i="1"/>
  <c r="J2712" i="1" s="1"/>
  <c r="H2713" i="1"/>
  <c r="J2713" i="1" s="1"/>
  <c r="H2714" i="1"/>
  <c r="J2714" i="1" s="1"/>
  <c r="H2715" i="1"/>
  <c r="J2715" i="1" s="1"/>
  <c r="H2716" i="1"/>
  <c r="J2716" i="1" s="1"/>
  <c r="H2717" i="1"/>
  <c r="J2717" i="1" s="1"/>
  <c r="H2718" i="1"/>
  <c r="J2718" i="1" s="1"/>
  <c r="H2719" i="1"/>
  <c r="J2719" i="1" s="1"/>
  <c r="H2720" i="1"/>
  <c r="J2720" i="1" s="1"/>
  <c r="H2721" i="1"/>
  <c r="J2721" i="1" s="1"/>
  <c r="H2722" i="1"/>
  <c r="J2722" i="1" s="1"/>
  <c r="H2723" i="1"/>
  <c r="J2723" i="1" s="1"/>
  <c r="H2724" i="1"/>
  <c r="H2725" i="1"/>
  <c r="J2725" i="1" s="1"/>
  <c r="H2726" i="1"/>
  <c r="J2726" i="1" s="1"/>
  <c r="H2727" i="1"/>
  <c r="J2727" i="1" s="1"/>
  <c r="H2728" i="1"/>
  <c r="J2728" i="1" s="1"/>
  <c r="H2729" i="1"/>
  <c r="J2729" i="1" s="1"/>
  <c r="H2730" i="1"/>
  <c r="J2730" i="1" s="1"/>
  <c r="H2731" i="1"/>
  <c r="J2731" i="1" s="1"/>
  <c r="H2732" i="1"/>
  <c r="J2732" i="1" s="1"/>
  <c r="H2733" i="1"/>
  <c r="J2733" i="1" s="1"/>
  <c r="H2734" i="1"/>
  <c r="J2734" i="1" s="1"/>
  <c r="H2735" i="1"/>
  <c r="J2735" i="1" s="1"/>
  <c r="H2736" i="1"/>
  <c r="J2736" i="1" s="1"/>
  <c r="H2737" i="1"/>
  <c r="J2737" i="1" s="1"/>
  <c r="H2738" i="1"/>
  <c r="J2738" i="1" s="1"/>
  <c r="H2739" i="1"/>
  <c r="J2739" i="1" s="1"/>
  <c r="H2740" i="1"/>
  <c r="J2740" i="1" s="1"/>
  <c r="H2741" i="1"/>
  <c r="J2741" i="1" s="1"/>
  <c r="H2742" i="1"/>
  <c r="J2742" i="1" s="1"/>
  <c r="H2743" i="1"/>
  <c r="J2743" i="1" s="1"/>
  <c r="H2744" i="1"/>
  <c r="J2744" i="1" s="1"/>
  <c r="H2745" i="1"/>
  <c r="J2745" i="1" s="1"/>
  <c r="H2746" i="1"/>
  <c r="J2746" i="1" s="1"/>
  <c r="H2747" i="1"/>
  <c r="J2747" i="1" s="1"/>
  <c r="H2748" i="1"/>
  <c r="J2748" i="1" s="1"/>
  <c r="H2749" i="1"/>
  <c r="J2749" i="1" s="1"/>
  <c r="H2750" i="1"/>
  <c r="J2750" i="1" s="1"/>
  <c r="H2751" i="1"/>
  <c r="J2751" i="1" s="1"/>
  <c r="H2752" i="1"/>
  <c r="H2753" i="1"/>
  <c r="J2753" i="1" s="1"/>
  <c r="H2754" i="1"/>
  <c r="J2754" i="1" s="1"/>
  <c r="H2755" i="1"/>
  <c r="J2755" i="1" s="1"/>
  <c r="H2756" i="1"/>
  <c r="J2756" i="1" s="1"/>
  <c r="H2757" i="1"/>
  <c r="H2758" i="1"/>
  <c r="J2758" i="1" s="1"/>
  <c r="H2759" i="1"/>
  <c r="J2759" i="1" s="1"/>
  <c r="H2760" i="1"/>
  <c r="J2760" i="1" s="1"/>
  <c r="H2761" i="1"/>
  <c r="J2761" i="1" s="1"/>
  <c r="H2762" i="1"/>
  <c r="J2762" i="1" s="1"/>
  <c r="H2763" i="1"/>
  <c r="J2763" i="1" s="1"/>
  <c r="H2764" i="1"/>
  <c r="J2764" i="1" s="1"/>
  <c r="H2765" i="1"/>
  <c r="J2765" i="1" s="1"/>
  <c r="H2766" i="1"/>
  <c r="J2766" i="1" s="1"/>
  <c r="H2767" i="1"/>
  <c r="J2767" i="1" s="1"/>
  <c r="H2768" i="1"/>
  <c r="H2769" i="1"/>
  <c r="J2769" i="1" s="1"/>
  <c r="H2770" i="1"/>
  <c r="J2770" i="1" s="1"/>
  <c r="H2771" i="1"/>
  <c r="J2771" i="1" s="1"/>
  <c r="H2772" i="1"/>
  <c r="J2772" i="1" s="1"/>
  <c r="H2773" i="1"/>
  <c r="H2774" i="1"/>
  <c r="J2774" i="1" s="1"/>
  <c r="H2775" i="1"/>
  <c r="J2775" i="1" s="1"/>
  <c r="H2776" i="1"/>
  <c r="J2776" i="1" s="1"/>
  <c r="H2777" i="1"/>
  <c r="J2777" i="1" s="1"/>
  <c r="H2778" i="1"/>
  <c r="J2778" i="1" s="1"/>
  <c r="H2779" i="1"/>
  <c r="J2779" i="1" s="1"/>
  <c r="H2780" i="1"/>
  <c r="J2780" i="1" s="1"/>
  <c r="H2781" i="1"/>
  <c r="J2781" i="1" s="1"/>
  <c r="H2782" i="1"/>
  <c r="J2782" i="1" s="1"/>
  <c r="H2783" i="1"/>
  <c r="J2783" i="1" s="1"/>
  <c r="H2784" i="1"/>
  <c r="H2785" i="1"/>
  <c r="J2785" i="1" s="1"/>
  <c r="H2786" i="1"/>
  <c r="J2786" i="1" s="1"/>
  <c r="H2787" i="1"/>
  <c r="H2788" i="1"/>
  <c r="J2788" i="1" s="1"/>
  <c r="H2789" i="1"/>
  <c r="J2789" i="1" s="1"/>
  <c r="H2790" i="1"/>
  <c r="J2790" i="1" s="1"/>
  <c r="H2791" i="1"/>
  <c r="J2791" i="1" s="1"/>
  <c r="H2792" i="1"/>
  <c r="J2792" i="1" s="1"/>
  <c r="H2793" i="1"/>
  <c r="J2793" i="1" s="1"/>
  <c r="H2794" i="1"/>
  <c r="J2794" i="1" s="1"/>
  <c r="H2795" i="1"/>
  <c r="H2796" i="1"/>
  <c r="H2797" i="1"/>
  <c r="J2797" i="1" s="1"/>
  <c r="H2798" i="1"/>
  <c r="J2798" i="1" s="1"/>
  <c r="H2799" i="1"/>
  <c r="J2799" i="1" s="1"/>
  <c r="H2800" i="1"/>
  <c r="J2800" i="1" s="1"/>
  <c r="H2801" i="1"/>
  <c r="J2801" i="1" s="1"/>
  <c r="H2802" i="1"/>
  <c r="J2802" i="1" s="1"/>
  <c r="H2803" i="1"/>
  <c r="J2803" i="1" s="1"/>
  <c r="H2804" i="1"/>
  <c r="J2804" i="1" s="1"/>
  <c r="H2805" i="1"/>
  <c r="J2805" i="1" s="1"/>
  <c r="H2806" i="1"/>
  <c r="J2806" i="1" s="1"/>
  <c r="H2807" i="1"/>
  <c r="J2807" i="1" s="1"/>
  <c r="H2808" i="1"/>
  <c r="H2809" i="1"/>
  <c r="J2809" i="1" s="1"/>
  <c r="H2810" i="1"/>
  <c r="J2810" i="1" s="1"/>
  <c r="H2811" i="1"/>
  <c r="J2811" i="1" s="1"/>
  <c r="H2812" i="1"/>
  <c r="J2812" i="1" s="1"/>
  <c r="H2813" i="1"/>
  <c r="J2813" i="1" s="1"/>
  <c r="H2814" i="1"/>
  <c r="H2815" i="1"/>
  <c r="J2815" i="1" s="1"/>
  <c r="H2816" i="1"/>
  <c r="J2816" i="1" s="1"/>
  <c r="H2817" i="1"/>
  <c r="J2817" i="1" s="1"/>
  <c r="H2818" i="1"/>
  <c r="J2818" i="1" s="1"/>
  <c r="H2819" i="1"/>
  <c r="J2819" i="1" s="1"/>
  <c r="H2820" i="1"/>
  <c r="H2821" i="1"/>
  <c r="J2821" i="1" s="1"/>
  <c r="H2822" i="1"/>
  <c r="J2822" i="1" s="1"/>
  <c r="H2823" i="1"/>
  <c r="J2823" i="1" s="1"/>
  <c r="H2824" i="1"/>
  <c r="J2824" i="1" s="1"/>
  <c r="H2825" i="1"/>
  <c r="J2825" i="1" s="1"/>
  <c r="H2826" i="1"/>
  <c r="J2826" i="1" s="1"/>
  <c r="H2827" i="1"/>
  <c r="J2827" i="1" s="1"/>
  <c r="H2828" i="1"/>
  <c r="J2828" i="1" s="1"/>
  <c r="H2829" i="1"/>
  <c r="H2830" i="1"/>
  <c r="H2831" i="1"/>
  <c r="H2832" i="1"/>
  <c r="J2832" i="1" s="1"/>
  <c r="H2833" i="1"/>
  <c r="H2834" i="1"/>
  <c r="J2834" i="1" s="1"/>
  <c r="H2835" i="1"/>
  <c r="J2835" i="1" s="1"/>
  <c r="H2836" i="1"/>
  <c r="J2836" i="1" s="1"/>
  <c r="H2837" i="1"/>
  <c r="J2837" i="1" s="1"/>
  <c r="H2838" i="1"/>
  <c r="J2838" i="1" s="1"/>
  <c r="H2839" i="1"/>
  <c r="J2839" i="1" s="1"/>
  <c r="H2840" i="1"/>
  <c r="J2840" i="1" s="1"/>
  <c r="H2841" i="1"/>
  <c r="J2841" i="1" s="1"/>
  <c r="H2842" i="1"/>
  <c r="J2842" i="1" s="1"/>
  <c r="H2843" i="1"/>
  <c r="J2843" i="1" s="1"/>
  <c r="H2844" i="1"/>
  <c r="J2844" i="1" s="1"/>
  <c r="H2845" i="1"/>
  <c r="J2845" i="1" s="1"/>
  <c r="H2846" i="1"/>
  <c r="J2846" i="1" s="1"/>
  <c r="H2847" i="1"/>
  <c r="J2847" i="1" s="1"/>
  <c r="H2848" i="1"/>
  <c r="H2849" i="1"/>
  <c r="J2849" i="1" s="1"/>
  <c r="H2850" i="1"/>
  <c r="J2850" i="1" s="1"/>
  <c r="H2851" i="1"/>
  <c r="J2851" i="1" s="1"/>
  <c r="H2852" i="1"/>
  <c r="J2852" i="1" s="1"/>
  <c r="H2853" i="1"/>
  <c r="J2853" i="1" s="1"/>
  <c r="H2854" i="1"/>
  <c r="J2854" i="1" s="1"/>
  <c r="H2855" i="1"/>
  <c r="J2855" i="1" s="1"/>
  <c r="H2856" i="1"/>
  <c r="J2856" i="1" s="1"/>
  <c r="H2857" i="1"/>
  <c r="J2857" i="1" s="1"/>
  <c r="H2858" i="1"/>
  <c r="J2858" i="1" s="1"/>
  <c r="H2859" i="1"/>
  <c r="J2859" i="1" s="1"/>
  <c r="H2860" i="1"/>
  <c r="J2860" i="1" s="1"/>
  <c r="H2861" i="1"/>
  <c r="J2861" i="1" s="1"/>
  <c r="H2862" i="1"/>
  <c r="J2862" i="1" s="1"/>
  <c r="H2863" i="1"/>
  <c r="J2863" i="1" s="1"/>
  <c r="H2864" i="1"/>
  <c r="J2864" i="1" s="1"/>
  <c r="H2865" i="1"/>
  <c r="J2865" i="1" s="1"/>
  <c r="H2866" i="1"/>
  <c r="J2866" i="1" s="1"/>
  <c r="H2867" i="1"/>
  <c r="J2867" i="1" s="1"/>
  <c r="H2868" i="1"/>
  <c r="J2868" i="1" s="1"/>
  <c r="H2869" i="1"/>
  <c r="J2869" i="1" s="1"/>
  <c r="H2870" i="1"/>
  <c r="J2870" i="1" s="1"/>
  <c r="H2871" i="1"/>
  <c r="J2871" i="1" s="1"/>
  <c r="H2872" i="1"/>
  <c r="J2872" i="1" s="1"/>
  <c r="H2873" i="1"/>
  <c r="J2873" i="1" s="1"/>
  <c r="H2874" i="1"/>
  <c r="J2874" i="1" s="1"/>
  <c r="H2875" i="1"/>
  <c r="J2875" i="1" s="1"/>
  <c r="H2876" i="1"/>
  <c r="J2876" i="1" s="1"/>
  <c r="H2877" i="1"/>
  <c r="J2877" i="1" s="1"/>
  <c r="H2878" i="1"/>
  <c r="J2878" i="1" s="1"/>
  <c r="H2879" i="1"/>
  <c r="J2879" i="1" s="1"/>
  <c r="H2880" i="1"/>
  <c r="J2880" i="1" s="1"/>
  <c r="H2881" i="1"/>
  <c r="J2881" i="1" s="1"/>
  <c r="H2882" i="1"/>
  <c r="J2882" i="1" s="1"/>
  <c r="H2883" i="1"/>
  <c r="J2883" i="1" s="1"/>
  <c r="H2884" i="1"/>
  <c r="J2884" i="1" s="1"/>
  <c r="H2885" i="1"/>
  <c r="J2885" i="1" s="1"/>
  <c r="H2886" i="1"/>
  <c r="J2886" i="1" s="1"/>
  <c r="H2887" i="1"/>
  <c r="J2887" i="1" s="1"/>
  <c r="H2888" i="1"/>
  <c r="J2888" i="1" s="1"/>
  <c r="H2889" i="1"/>
  <c r="J2889" i="1" s="1"/>
  <c r="H2890" i="1"/>
  <c r="J2890" i="1" s="1"/>
  <c r="H2891" i="1"/>
  <c r="J2891" i="1" s="1"/>
  <c r="H2892" i="1"/>
  <c r="J2892" i="1" s="1"/>
  <c r="H2893" i="1"/>
  <c r="J2893" i="1" s="1"/>
  <c r="H2894" i="1"/>
  <c r="J2894" i="1" s="1"/>
  <c r="H2895" i="1"/>
  <c r="J2895" i="1" s="1"/>
  <c r="H2896" i="1"/>
  <c r="J2896" i="1" s="1"/>
  <c r="H2897" i="1"/>
  <c r="J2897" i="1" s="1"/>
  <c r="H2898" i="1"/>
  <c r="J2898" i="1" s="1"/>
  <c r="H2899" i="1"/>
  <c r="J2899" i="1" s="1"/>
  <c r="H2900" i="1"/>
  <c r="J2900" i="1" s="1"/>
  <c r="H2901" i="1"/>
  <c r="J2901" i="1" s="1"/>
  <c r="H2902" i="1"/>
  <c r="J2902" i="1" s="1"/>
  <c r="H2903" i="1"/>
  <c r="J2903" i="1" s="1"/>
  <c r="H2904" i="1"/>
  <c r="J2904" i="1" s="1"/>
  <c r="H2905" i="1"/>
  <c r="H2906" i="1"/>
  <c r="J2906" i="1" s="1"/>
  <c r="H2907" i="1"/>
  <c r="H2908" i="1"/>
  <c r="J2908" i="1" s="1"/>
  <c r="H2909" i="1"/>
  <c r="J2909" i="1" s="1"/>
  <c r="H2910" i="1"/>
  <c r="J2910" i="1" s="1"/>
  <c r="H2911" i="1"/>
  <c r="J2911" i="1" s="1"/>
  <c r="H2912" i="1"/>
  <c r="J2912" i="1" s="1"/>
  <c r="H2913" i="1"/>
  <c r="J2913" i="1" s="1"/>
  <c r="H2914" i="1"/>
  <c r="J2914" i="1" s="1"/>
  <c r="H2915" i="1"/>
  <c r="J2915" i="1" s="1"/>
  <c r="H2916" i="1"/>
  <c r="J2916" i="1" s="1"/>
  <c r="H2917" i="1"/>
  <c r="H2918" i="1"/>
  <c r="J2918" i="1" s="1"/>
  <c r="H2919" i="1"/>
  <c r="J2919" i="1" s="1"/>
  <c r="H2920" i="1"/>
  <c r="J2920" i="1" s="1"/>
  <c r="H2921" i="1"/>
  <c r="J2921" i="1" s="1"/>
  <c r="H2922" i="1"/>
  <c r="J2922" i="1" s="1"/>
  <c r="H2923" i="1"/>
  <c r="J2923" i="1" s="1"/>
  <c r="H2924" i="1"/>
  <c r="J2924" i="1" s="1"/>
  <c r="H2925" i="1"/>
  <c r="J2925" i="1" s="1"/>
  <c r="H2926" i="1"/>
  <c r="J2926" i="1" s="1"/>
  <c r="H2927" i="1"/>
  <c r="J2927" i="1" s="1"/>
  <c r="H2928" i="1"/>
  <c r="J2928" i="1" s="1"/>
  <c r="H2929" i="1"/>
  <c r="H2930" i="1"/>
  <c r="J2930" i="1" s="1"/>
  <c r="H2931" i="1"/>
  <c r="J2931" i="1" s="1"/>
  <c r="H2932" i="1"/>
  <c r="J2932" i="1" s="1"/>
  <c r="H2933" i="1"/>
  <c r="J2933" i="1" s="1"/>
  <c r="H2934" i="1"/>
  <c r="J2934" i="1" s="1"/>
  <c r="H2935" i="1"/>
  <c r="J2935" i="1" s="1"/>
  <c r="H2936" i="1"/>
  <c r="J2936" i="1" s="1"/>
  <c r="H2937" i="1"/>
  <c r="J2937" i="1" s="1"/>
  <c r="H2938" i="1"/>
  <c r="J2938" i="1" s="1"/>
  <c r="H2939" i="1"/>
  <c r="J2939" i="1" s="1"/>
  <c r="H2940" i="1"/>
  <c r="J2940" i="1" s="1"/>
  <c r="H2941" i="1"/>
  <c r="J2941" i="1" s="1"/>
  <c r="H2942" i="1"/>
  <c r="J2942" i="1" s="1"/>
  <c r="H2943" i="1"/>
  <c r="J2943" i="1" s="1"/>
  <c r="H2944" i="1"/>
  <c r="J2944" i="1" s="1"/>
  <c r="H2945" i="1"/>
  <c r="J2945" i="1" s="1"/>
  <c r="H2946" i="1"/>
  <c r="J2946" i="1" s="1"/>
  <c r="H2947" i="1"/>
  <c r="J2947" i="1" s="1"/>
  <c r="H2948" i="1"/>
  <c r="J2948" i="1" s="1"/>
  <c r="H2949" i="1"/>
  <c r="J2949" i="1" s="1"/>
  <c r="H2950" i="1"/>
  <c r="J2950" i="1" s="1"/>
  <c r="H2951" i="1"/>
  <c r="J2951" i="1" s="1"/>
  <c r="H2952" i="1"/>
  <c r="J2952" i="1" s="1"/>
  <c r="H2953" i="1"/>
  <c r="H2954" i="1"/>
  <c r="J2954" i="1" s="1"/>
  <c r="H2955" i="1"/>
  <c r="J2955" i="1" s="1"/>
  <c r="H2956" i="1"/>
  <c r="J2956" i="1" s="1"/>
  <c r="H2957" i="1"/>
  <c r="J2957" i="1" s="1"/>
  <c r="H2958" i="1"/>
  <c r="J2958" i="1" s="1"/>
  <c r="H2959" i="1"/>
  <c r="J2959" i="1" s="1"/>
  <c r="H2960" i="1"/>
  <c r="J2960" i="1" s="1"/>
  <c r="H2961" i="1"/>
  <c r="J2961" i="1" s="1"/>
  <c r="H2962" i="1"/>
  <c r="J2962" i="1" s="1"/>
  <c r="H2963" i="1"/>
  <c r="J2963" i="1" s="1"/>
  <c r="H2964" i="1"/>
  <c r="J2964" i="1" s="1"/>
  <c r="H2965" i="1"/>
  <c r="J2965" i="1" s="1"/>
  <c r="H2966" i="1"/>
  <c r="J2966" i="1" s="1"/>
  <c r="H2967" i="1"/>
  <c r="J2967" i="1" s="1"/>
  <c r="H2968" i="1"/>
  <c r="J2968" i="1" s="1"/>
  <c r="H2969" i="1"/>
  <c r="J2969" i="1" s="1"/>
  <c r="H2970" i="1"/>
  <c r="J2970" i="1" s="1"/>
  <c r="H2971" i="1"/>
  <c r="J2971" i="1" s="1"/>
  <c r="H2972" i="1"/>
  <c r="J2972" i="1" s="1"/>
  <c r="H2973" i="1"/>
  <c r="J2973" i="1" s="1"/>
  <c r="H2974" i="1"/>
  <c r="J2974" i="1" s="1"/>
  <c r="H2975" i="1"/>
  <c r="J2975" i="1" s="1"/>
  <c r="H2976" i="1"/>
  <c r="J2976" i="1" s="1"/>
  <c r="H2977" i="1"/>
  <c r="J2977" i="1" s="1"/>
  <c r="H2978" i="1"/>
  <c r="J2978" i="1" s="1"/>
  <c r="H2979" i="1"/>
  <c r="J2979" i="1" s="1"/>
  <c r="H2980" i="1"/>
  <c r="J2980" i="1" s="1"/>
  <c r="H2981" i="1"/>
  <c r="J2981" i="1" s="1"/>
  <c r="H2982" i="1"/>
  <c r="J2982" i="1" s="1"/>
  <c r="H2983" i="1"/>
  <c r="J2983" i="1" s="1"/>
  <c r="H2984" i="1"/>
  <c r="J2984" i="1" s="1"/>
  <c r="H2985" i="1"/>
  <c r="J2985" i="1" s="1"/>
  <c r="H2986" i="1"/>
  <c r="J2986" i="1" s="1"/>
  <c r="H2987" i="1"/>
  <c r="J2987" i="1" s="1"/>
  <c r="H2988" i="1"/>
  <c r="J2988" i="1" s="1"/>
  <c r="H2989" i="1"/>
  <c r="H2990" i="1"/>
  <c r="J2990" i="1" s="1"/>
  <c r="H2991" i="1"/>
  <c r="J2991" i="1" s="1"/>
  <c r="H2992" i="1"/>
  <c r="J2992" i="1" s="1"/>
  <c r="H2993" i="1"/>
  <c r="J2993" i="1" s="1"/>
  <c r="H2994" i="1"/>
  <c r="J2994" i="1" s="1"/>
  <c r="H2995" i="1"/>
  <c r="J2995" i="1" s="1"/>
  <c r="H2996" i="1"/>
  <c r="J2996" i="1" s="1"/>
  <c r="H2997" i="1"/>
  <c r="J2997" i="1" s="1"/>
  <c r="H2998" i="1"/>
  <c r="J2998" i="1" s="1"/>
  <c r="H2999" i="1"/>
  <c r="J2999" i="1" s="1"/>
  <c r="H3000" i="1"/>
  <c r="J3000" i="1" s="1"/>
  <c r="H3001" i="1"/>
  <c r="J3001" i="1" s="1"/>
  <c r="H3002" i="1"/>
  <c r="J3002" i="1" s="1"/>
  <c r="H3003" i="1"/>
  <c r="J3003" i="1" s="1"/>
  <c r="H3004" i="1"/>
  <c r="J3004" i="1" s="1"/>
  <c r="H3005" i="1"/>
  <c r="J3005" i="1" s="1"/>
  <c r="H3006" i="1"/>
  <c r="J3006" i="1" s="1"/>
  <c r="H3007" i="1"/>
  <c r="J3007" i="1" s="1"/>
  <c r="H3008" i="1"/>
  <c r="J3008" i="1" s="1"/>
  <c r="H3009" i="1"/>
  <c r="J3009" i="1" s="1"/>
  <c r="H3010" i="1"/>
  <c r="J3010" i="1" s="1"/>
  <c r="H3011" i="1"/>
  <c r="J3011" i="1" s="1"/>
  <c r="H3012" i="1"/>
  <c r="J3012" i="1" s="1"/>
  <c r="H3013" i="1"/>
  <c r="H3014" i="1"/>
  <c r="J3014" i="1" s="1"/>
  <c r="H3015" i="1"/>
  <c r="J3015" i="1" s="1"/>
  <c r="H3016" i="1"/>
  <c r="J3016" i="1" s="1"/>
  <c r="H3017" i="1"/>
  <c r="J3017" i="1" s="1"/>
  <c r="H3018" i="1"/>
  <c r="J3018" i="1" s="1"/>
  <c r="H3019" i="1"/>
  <c r="H3020" i="1"/>
  <c r="J3020" i="1" s="1"/>
  <c r="H3021" i="1"/>
  <c r="J3021" i="1" s="1"/>
  <c r="H3022" i="1"/>
  <c r="J3022" i="1" s="1"/>
  <c r="H3023" i="1"/>
  <c r="J3023" i="1" s="1"/>
  <c r="H3024" i="1"/>
  <c r="J3024" i="1" s="1"/>
  <c r="H3025" i="1"/>
  <c r="H3026" i="1"/>
  <c r="J3026" i="1" s="1"/>
  <c r="H3027" i="1"/>
  <c r="J3027" i="1" s="1"/>
  <c r="H3028" i="1"/>
  <c r="J3028" i="1" s="1"/>
  <c r="H3029" i="1"/>
  <c r="J3029" i="1" s="1"/>
  <c r="H3030" i="1"/>
  <c r="J3030" i="1" s="1"/>
  <c r="H3031" i="1"/>
  <c r="J3031" i="1" s="1"/>
  <c r="H3032" i="1"/>
  <c r="J3032" i="1" s="1"/>
  <c r="H3033" i="1"/>
  <c r="J3033" i="1" s="1"/>
  <c r="H3034" i="1"/>
  <c r="J3034" i="1" s="1"/>
  <c r="H3035" i="1"/>
  <c r="J3035" i="1" s="1"/>
  <c r="H3036" i="1"/>
  <c r="J3036" i="1" s="1"/>
  <c r="H3037" i="1"/>
  <c r="H3038" i="1"/>
  <c r="J3038" i="1" s="1"/>
  <c r="H3039" i="1"/>
  <c r="J3039" i="1" s="1"/>
  <c r="H3040" i="1"/>
  <c r="J3040" i="1" s="1"/>
  <c r="H3041" i="1"/>
  <c r="J3041" i="1" s="1"/>
  <c r="H3042" i="1"/>
  <c r="J3042" i="1" s="1"/>
  <c r="H3043" i="1"/>
  <c r="J3043" i="1" s="1"/>
  <c r="H3044" i="1"/>
  <c r="J3044" i="1" s="1"/>
  <c r="H3045" i="1"/>
  <c r="J3045" i="1" s="1"/>
  <c r="H3046" i="1"/>
  <c r="J3046" i="1" s="1"/>
  <c r="H3047" i="1"/>
  <c r="J3047" i="1" s="1"/>
  <c r="H3048" i="1"/>
  <c r="J3048" i="1" s="1"/>
  <c r="H3049" i="1"/>
  <c r="J3049" i="1" s="1"/>
  <c r="H3050" i="1"/>
  <c r="J3050" i="1" s="1"/>
  <c r="H3051" i="1"/>
  <c r="J3051" i="1" s="1"/>
  <c r="H3052" i="1"/>
  <c r="J3052" i="1" s="1"/>
  <c r="H3053" i="1"/>
  <c r="J3053" i="1" s="1"/>
  <c r="H3054" i="1"/>
  <c r="J3054" i="1" s="1"/>
  <c r="H3055" i="1"/>
  <c r="J3055" i="1" s="1"/>
  <c r="H3056" i="1"/>
  <c r="J3056" i="1" s="1"/>
  <c r="H3057" i="1"/>
  <c r="J3057" i="1" s="1"/>
  <c r="H3058" i="1"/>
  <c r="J3058" i="1" s="1"/>
  <c r="H3059" i="1"/>
  <c r="J3059" i="1" s="1"/>
  <c r="H3060" i="1"/>
  <c r="J3060" i="1" s="1"/>
  <c r="H3061" i="1"/>
  <c r="J3061" i="1" s="1"/>
  <c r="H3062" i="1"/>
  <c r="J3062" i="1" s="1"/>
  <c r="H3063" i="1"/>
  <c r="J3063" i="1" s="1"/>
  <c r="H3064" i="1"/>
  <c r="J3064" i="1" s="1"/>
  <c r="H3065" i="1"/>
  <c r="J3065" i="1" s="1"/>
  <c r="H3066" i="1"/>
  <c r="J3066" i="1" s="1"/>
  <c r="H3067" i="1"/>
  <c r="J3067" i="1" s="1"/>
  <c r="H3068" i="1"/>
  <c r="J3068" i="1" s="1"/>
  <c r="H3069" i="1"/>
  <c r="J3069" i="1" s="1"/>
  <c r="H3070" i="1"/>
  <c r="J3070" i="1" s="1"/>
  <c r="H3071" i="1"/>
  <c r="J3071" i="1" s="1"/>
  <c r="H3072" i="1"/>
  <c r="J3072" i="1" s="1"/>
  <c r="H3073" i="1"/>
  <c r="J3073" i="1" s="1"/>
  <c r="H3074" i="1"/>
  <c r="J3074" i="1" s="1"/>
  <c r="H3075" i="1"/>
  <c r="J3075" i="1" s="1"/>
  <c r="H3076" i="1"/>
  <c r="J3076" i="1" s="1"/>
  <c r="H3077" i="1"/>
  <c r="J3077" i="1" s="1"/>
  <c r="H3078" i="1"/>
  <c r="J3078" i="1" s="1"/>
  <c r="H3079" i="1"/>
  <c r="J3079" i="1" s="1"/>
  <c r="H3080" i="1"/>
  <c r="J3080" i="1" s="1"/>
  <c r="H3081" i="1"/>
  <c r="J3081" i="1" s="1"/>
  <c r="H3082" i="1"/>
  <c r="J3082" i="1" s="1"/>
  <c r="H3083" i="1"/>
  <c r="J3083" i="1" s="1"/>
  <c r="H3084" i="1"/>
  <c r="J3084" i="1" s="1"/>
  <c r="H3085" i="1"/>
  <c r="H3086" i="1"/>
  <c r="J3086" i="1" s="1"/>
  <c r="H3087" i="1"/>
  <c r="J3087" i="1" s="1"/>
  <c r="H3088" i="1"/>
  <c r="J3088" i="1" s="1"/>
  <c r="H3089" i="1"/>
  <c r="J3089" i="1" s="1"/>
  <c r="H3090" i="1"/>
  <c r="J3090" i="1" s="1"/>
  <c r="H3091" i="1"/>
  <c r="J3091" i="1" s="1"/>
  <c r="H3092" i="1"/>
  <c r="J3092" i="1" s="1"/>
  <c r="H3093" i="1"/>
  <c r="J3093" i="1" s="1"/>
  <c r="H3094" i="1"/>
  <c r="J3094" i="1" s="1"/>
  <c r="H3095" i="1"/>
  <c r="J3095" i="1" s="1"/>
  <c r="H3096" i="1"/>
  <c r="J3096" i="1" s="1"/>
  <c r="H3097" i="1"/>
  <c r="H3098" i="1"/>
  <c r="J3098" i="1" s="1"/>
  <c r="H3099" i="1"/>
  <c r="J3099" i="1" s="1"/>
  <c r="H3100" i="1"/>
  <c r="J3100" i="1" s="1"/>
  <c r="H3101" i="1"/>
  <c r="J3101" i="1" s="1"/>
  <c r="H3102" i="1"/>
  <c r="J3102" i="1" s="1"/>
  <c r="H3103" i="1"/>
  <c r="J3103" i="1" s="1"/>
  <c r="H3104" i="1"/>
  <c r="J3104" i="1" s="1"/>
  <c r="H3105" i="1"/>
  <c r="J3105" i="1" s="1"/>
  <c r="H3106" i="1"/>
  <c r="J3106" i="1" s="1"/>
  <c r="H3107" i="1"/>
  <c r="J3107" i="1" s="1"/>
  <c r="H3108" i="1"/>
  <c r="J3108" i="1" s="1"/>
  <c r="H3109" i="1"/>
  <c r="J3109" i="1" s="1"/>
  <c r="H3110" i="1"/>
  <c r="J3110" i="1" s="1"/>
  <c r="H3111" i="1"/>
  <c r="J3111" i="1" s="1"/>
  <c r="H3112" i="1"/>
  <c r="J3112" i="1" s="1"/>
  <c r="H3113" i="1"/>
  <c r="J3113" i="1" s="1"/>
  <c r="H3114" i="1"/>
  <c r="J3114" i="1" s="1"/>
  <c r="H3115" i="1"/>
  <c r="J3115" i="1" s="1"/>
  <c r="H3116" i="1"/>
  <c r="J3116" i="1" s="1"/>
  <c r="H3117" i="1"/>
  <c r="J3117" i="1" s="1"/>
  <c r="H3118" i="1"/>
  <c r="J3118" i="1" s="1"/>
  <c r="H3119" i="1"/>
  <c r="J3119" i="1" s="1"/>
  <c r="H3120" i="1"/>
  <c r="J3120" i="1" s="1"/>
  <c r="H3121" i="1"/>
  <c r="J3121" i="1" s="1"/>
  <c r="H3122" i="1"/>
  <c r="J3122" i="1" s="1"/>
  <c r="H3123" i="1"/>
  <c r="J3123" i="1" s="1"/>
  <c r="H3124" i="1"/>
  <c r="J3124" i="1" s="1"/>
  <c r="H3125" i="1"/>
  <c r="J3125" i="1" s="1"/>
  <c r="H3126" i="1"/>
  <c r="J3126" i="1" s="1"/>
  <c r="H3127" i="1"/>
  <c r="J3127" i="1" s="1"/>
  <c r="H3128" i="1"/>
  <c r="J3128" i="1" s="1"/>
  <c r="H3129" i="1"/>
  <c r="J3129" i="1" s="1"/>
  <c r="H3130" i="1"/>
  <c r="J3130" i="1" s="1"/>
  <c r="H3131" i="1"/>
  <c r="J3131" i="1" s="1"/>
  <c r="H3132" i="1"/>
  <c r="J3132" i="1" s="1"/>
  <c r="H3133" i="1"/>
  <c r="H3134" i="1"/>
  <c r="J3134" i="1" s="1"/>
  <c r="H3135" i="1"/>
  <c r="J3135" i="1" s="1"/>
  <c r="H3136" i="1"/>
  <c r="J3136" i="1" s="1"/>
  <c r="H3137" i="1"/>
  <c r="J3137" i="1" s="1"/>
  <c r="H3138" i="1"/>
  <c r="J3138" i="1" s="1"/>
  <c r="H3139" i="1"/>
  <c r="J3139" i="1" s="1"/>
  <c r="H3140" i="1"/>
  <c r="J3140" i="1" s="1"/>
  <c r="H3141" i="1"/>
  <c r="J3141" i="1" s="1"/>
  <c r="H3142" i="1"/>
  <c r="J3142" i="1" s="1"/>
  <c r="H3143" i="1"/>
  <c r="J3143" i="1" s="1"/>
  <c r="H3144" i="1"/>
  <c r="J3144" i="1" s="1"/>
  <c r="H3145" i="1"/>
  <c r="J3145" i="1" s="1"/>
  <c r="H3146" i="1"/>
  <c r="J3146" i="1" s="1"/>
  <c r="H3147" i="1"/>
  <c r="J3147" i="1" s="1"/>
  <c r="H3148" i="1"/>
  <c r="J3148" i="1" s="1"/>
  <c r="H3149" i="1"/>
  <c r="J3149" i="1" s="1"/>
  <c r="H3150" i="1"/>
  <c r="J3150" i="1" s="1"/>
  <c r="H3151" i="1"/>
  <c r="H3152" i="1"/>
  <c r="J3152" i="1" s="1"/>
  <c r="H3153" i="1"/>
  <c r="J3153" i="1" s="1"/>
  <c r="H3154" i="1"/>
  <c r="J3154" i="1" s="1"/>
  <c r="H3155" i="1"/>
  <c r="J3155" i="1" s="1"/>
  <c r="H3156" i="1"/>
  <c r="J3156" i="1" s="1"/>
  <c r="H3157" i="1"/>
  <c r="H3158" i="1"/>
  <c r="J3158" i="1" s="1"/>
  <c r="H3159" i="1"/>
  <c r="J3159" i="1" s="1"/>
  <c r="H3160" i="1"/>
  <c r="J3160" i="1" s="1"/>
  <c r="H3161" i="1"/>
  <c r="J3161" i="1" s="1"/>
  <c r="H3162" i="1"/>
  <c r="J3162" i="1" s="1"/>
  <c r="H3163" i="1"/>
  <c r="J3163" i="1" s="1"/>
  <c r="H3164" i="1"/>
  <c r="J3164" i="1" s="1"/>
  <c r="H3165" i="1"/>
  <c r="J3165" i="1" s="1"/>
  <c r="H3166" i="1"/>
  <c r="J3166" i="1" s="1"/>
  <c r="H3167" i="1"/>
  <c r="J3167" i="1" s="1"/>
  <c r="H3168" i="1"/>
  <c r="J3168" i="1" s="1"/>
  <c r="H3169" i="1"/>
  <c r="J3169" i="1" s="1"/>
  <c r="H3170" i="1"/>
  <c r="J3170" i="1" s="1"/>
  <c r="H3171" i="1"/>
  <c r="J3171" i="1" s="1"/>
  <c r="H3172" i="1"/>
  <c r="J3172" i="1" s="1"/>
  <c r="H3173" i="1"/>
  <c r="J3173" i="1" s="1"/>
  <c r="H3174" i="1"/>
  <c r="J3174" i="1" s="1"/>
  <c r="H3175" i="1"/>
  <c r="J3175" i="1" s="1"/>
  <c r="H3176" i="1"/>
  <c r="J3176" i="1" s="1"/>
  <c r="H3177" i="1"/>
  <c r="J3177" i="1" s="1"/>
  <c r="H3178" i="1"/>
  <c r="J3178" i="1" s="1"/>
  <c r="H3179" i="1"/>
  <c r="J3179" i="1" s="1"/>
  <c r="H3180" i="1"/>
  <c r="J3180" i="1" s="1"/>
  <c r="H3181" i="1"/>
  <c r="J3181" i="1" s="1"/>
  <c r="H3182" i="1"/>
  <c r="J3182" i="1" s="1"/>
  <c r="H3183" i="1"/>
  <c r="J3183" i="1" s="1"/>
  <c r="H3184" i="1"/>
  <c r="J3184" i="1" s="1"/>
  <c r="H3185" i="1"/>
  <c r="J3185" i="1" s="1"/>
  <c r="H3186" i="1"/>
  <c r="J3186" i="1" s="1"/>
  <c r="H3187" i="1"/>
  <c r="J3187" i="1" s="1"/>
  <c r="H3188" i="1"/>
  <c r="J3188" i="1" s="1"/>
  <c r="H3189" i="1"/>
  <c r="J3189" i="1" s="1"/>
  <c r="H3190" i="1"/>
  <c r="J3190" i="1" s="1"/>
  <c r="H3191" i="1"/>
  <c r="J3191" i="1" s="1"/>
  <c r="H3192" i="1"/>
  <c r="J3192" i="1" s="1"/>
  <c r="H3193" i="1"/>
  <c r="J3193" i="1" s="1"/>
  <c r="H3194" i="1"/>
  <c r="J3194" i="1" s="1"/>
  <c r="H3195" i="1"/>
  <c r="J3195" i="1" s="1"/>
  <c r="H3196" i="1"/>
  <c r="J3196" i="1" s="1"/>
  <c r="H3197" i="1"/>
  <c r="J3197" i="1" s="1"/>
  <c r="H3198" i="1"/>
  <c r="J3198" i="1" s="1"/>
  <c r="H3199" i="1"/>
  <c r="J3199" i="1" s="1"/>
  <c r="H3200" i="1"/>
  <c r="J3200" i="1" s="1"/>
  <c r="H3201" i="1"/>
  <c r="J3201" i="1" s="1"/>
  <c r="H3202" i="1"/>
  <c r="J3202" i="1" s="1"/>
  <c r="H3203" i="1"/>
  <c r="J3203" i="1" s="1"/>
  <c r="H3204" i="1"/>
  <c r="J3204" i="1" s="1"/>
  <c r="H3205" i="1"/>
  <c r="J3205" i="1" s="1"/>
  <c r="H3206" i="1"/>
  <c r="J3206" i="1" s="1"/>
  <c r="H3207" i="1"/>
  <c r="J3207" i="1" s="1"/>
  <c r="H3208" i="1"/>
  <c r="J3208" i="1" s="1"/>
  <c r="H3209" i="1"/>
  <c r="J3209" i="1" s="1"/>
  <c r="H3210" i="1"/>
  <c r="J3210" i="1" s="1"/>
  <c r="H3211" i="1"/>
  <c r="J3211" i="1" s="1"/>
  <c r="H3212" i="1"/>
  <c r="J3212" i="1" s="1"/>
  <c r="H3213" i="1"/>
  <c r="J3213" i="1" s="1"/>
  <c r="H3214" i="1"/>
  <c r="J3214" i="1" s="1"/>
  <c r="H3215" i="1"/>
  <c r="J3215" i="1" s="1"/>
  <c r="H3216" i="1"/>
  <c r="J3216" i="1" s="1"/>
  <c r="H3217" i="1"/>
  <c r="H3218" i="1"/>
  <c r="J3218" i="1" s="1"/>
  <c r="H3219" i="1"/>
  <c r="J3219" i="1" s="1"/>
  <c r="H3220" i="1"/>
  <c r="J3220" i="1" s="1"/>
  <c r="H3221" i="1"/>
  <c r="J3221" i="1" s="1"/>
  <c r="H3222" i="1"/>
  <c r="J3222" i="1" s="1"/>
  <c r="H3223" i="1"/>
  <c r="J3223" i="1" s="1"/>
  <c r="H3224" i="1"/>
  <c r="J3224" i="1" s="1"/>
  <c r="H3225" i="1"/>
  <c r="J3225" i="1" s="1"/>
  <c r="H3226" i="1"/>
  <c r="J3226" i="1" s="1"/>
  <c r="H3227" i="1"/>
  <c r="J3227" i="1" s="1"/>
  <c r="H3228" i="1"/>
  <c r="J3228" i="1" s="1"/>
  <c r="H3229" i="1"/>
  <c r="H3230" i="1"/>
  <c r="J3230" i="1" s="1"/>
  <c r="H3231" i="1"/>
  <c r="J3231" i="1" s="1"/>
  <c r="H3232" i="1"/>
  <c r="J3232" i="1" s="1"/>
  <c r="H3233" i="1"/>
  <c r="J3233" i="1" s="1"/>
  <c r="H3234" i="1"/>
  <c r="J3234" i="1" s="1"/>
  <c r="H3235" i="1"/>
  <c r="J3235" i="1" s="1"/>
  <c r="H3236" i="1"/>
  <c r="J3236" i="1" s="1"/>
  <c r="H3237" i="1"/>
  <c r="J3237" i="1" s="1"/>
  <c r="H3238" i="1"/>
  <c r="J3238" i="1" s="1"/>
  <c r="H3239" i="1"/>
  <c r="J3239" i="1" s="1"/>
  <c r="H3240" i="1"/>
  <c r="J3240" i="1" s="1"/>
  <c r="H3241" i="1"/>
  <c r="H3242" i="1"/>
  <c r="J3242" i="1" s="1"/>
  <c r="H3243" i="1"/>
  <c r="J3243" i="1" s="1"/>
  <c r="H3244" i="1"/>
  <c r="J3244" i="1" s="1"/>
  <c r="H3245" i="1"/>
  <c r="J3245" i="1" s="1"/>
  <c r="H3246" i="1"/>
  <c r="J3246" i="1" s="1"/>
  <c r="H3247" i="1"/>
  <c r="J3247" i="1" s="1"/>
  <c r="H3248" i="1"/>
  <c r="J3248" i="1" s="1"/>
  <c r="H3249" i="1"/>
  <c r="J3249" i="1" s="1"/>
  <c r="H3250" i="1"/>
  <c r="J3250" i="1" s="1"/>
  <c r="H3251" i="1"/>
  <c r="J3251" i="1" s="1"/>
  <c r="H3252" i="1"/>
  <c r="J3252" i="1" s="1"/>
  <c r="H3253" i="1"/>
  <c r="J3253" i="1" s="1"/>
  <c r="H3254" i="1"/>
  <c r="J3254" i="1" s="1"/>
  <c r="H3255" i="1"/>
  <c r="J3255" i="1" s="1"/>
  <c r="H3256" i="1"/>
  <c r="J3256" i="1" s="1"/>
  <c r="H3257" i="1"/>
  <c r="J3257" i="1" s="1"/>
  <c r="H3258" i="1"/>
  <c r="J3258" i="1" s="1"/>
  <c r="H3259" i="1"/>
  <c r="J3259" i="1" s="1"/>
  <c r="H3260" i="1"/>
  <c r="J3260" i="1" s="1"/>
  <c r="H3261" i="1"/>
  <c r="J3261" i="1" s="1"/>
  <c r="H3262" i="1"/>
  <c r="J3262" i="1" s="1"/>
  <c r="H3263" i="1"/>
  <c r="J3263" i="1" s="1"/>
  <c r="H3264" i="1"/>
  <c r="J3264" i="1" s="1"/>
  <c r="H3265" i="1"/>
  <c r="J3265" i="1" s="1"/>
  <c r="H3266" i="1"/>
  <c r="J3266" i="1" s="1"/>
  <c r="H3267" i="1"/>
  <c r="J3267" i="1" s="1"/>
  <c r="H3268" i="1"/>
  <c r="J3268" i="1" s="1"/>
  <c r="H3269" i="1"/>
  <c r="J3269" i="1" s="1"/>
  <c r="H3270" i="1"/>
  <c r="J3270" i="1" s="1"/>
  <c r="H3271" i="1"/>
  <c r="J3271" i="1" s="1"/>
  <c r="H3272" i="1"/>
  <c r="J3272" i="1" s="1"/>
  <c r="H3273" i="1"/>
  <c r="J3273" i="1" s="1"/>
  <c r="H3274" i="1"/>
  <c r="J3274" i="1" s="1"/>
  <c r="H3275" i="1"/>
  <c r="J3275" i="1" s="1"/>
  <c r="H3276" i="1"/>
  <c r="J3276" i="1" s="1"/>
  <c r="H3277" i="1"/>
  <c r="J3277" i="1" s="1"/>
  <c r="H3278" i="1"/>
  <c r="J3278" i="1" s="1"/>
  <c r="H3279" i="1"/>
  <c r="J3279" i="1" s="1"/>
  <c r="H3280" i="1"/>
  <c r="J3280" i="1" s="1"/>
  <c r="H3281" i="1"/>
  <c r="J3281" i="1" s="1"/>
  <c r="H3282" i="1"/>
  <c r="J3282" i="1" s="1"/>
  <c r="H3283" i="1"/>
  <c r="J3283" i="1" s="1"/>
  <c r="H3284" i="1"/>
  <c r="J3284" i="1" s="1"/>
  <c r="H3285" i="1"/>
  <c r="J3285" i="1" s="1"/>
  <c r="H3286" i="1"/>
  <c r="J3286" i="1" s="1"/>
  <c r="H3287" i="1"/>
  <c r="J3287" i="1" s="1"/>
  <c r="H3288" i="1"/>
  <c r="J3288" i="1" s="1"/>
  <c r="H3289" i="1"/>
  <c r="H3290" i="1"/>
  <c r="J3290" i="1" s="1"/>
  <c r="H3291" i="1"/>
  <c r="J3291" i="1" s="1"/>
  <c r="H3292" i="1"/>
  <c r="J3292" i="1" s="1"/>
  <c r="H3293" i="1"/>
  <c r="J3293" i="1" s="1"/>
  <c r="H3294" i="1"/>
  <c r="J3294" i="1" s="1"/>
  <c r="H3295" i="1"/>
  <c r="J3295" i="1" s="1"/>
  <c r="H3296" i="1"/>
  <c r="J3296" i="1" s="1"/>
  <c r="H3297" i="1"/>
  <c r="J3297" i="1" s="1"/>
  <c r="H3298" i="1"/>
  <c r="J3298" i="1" s="1"/>
  <c r="H3299" i="1"/>
  <c r="J3299" i="1" s="1"/>
  <c r="H3300" i="1"/>
  <c r="J3300" i="1" s="1"/>
  <c r="H3301" i="1"/>
  <c r="J3301" i="1" s="1"/>
  <c r="H3302" i="1"/>
  <c r="J3302" i="1" s="1"/>
  <c r="H3303" i="1"/>
  <c r="J3303" i="1" s="1"/>
  <c r="H3304" i="1"/>
  <c r="J3304" i="1" s="1"/>
  <c r="H3305" i="1"/>
  <c r="J3305" i="1" s="1"/>
  <c r="H3306" i="1"/>
  <c r="J3306" i="1" s="1"/>
  <c r="H3307" i="1"/>
  <c r="J3307" i="1" s="1"/>
  <c r="H3308" i="1"/>
  <c r="J3308" i="1" s="1"/>
  <c r="H3309" i="1"/>
  <c r="J3309" i="1" s="1"/>
  <c r="H3310" i="1"/>
  <c r="J3310" i="1" s="1"/>
  <c r="H3311" i="1"/>
  <c r="J3311" i="1" s="1"/>
  <c r="H3312" i="1"/>
  <c r="J3312" i="1" s="1"/>
  <c r="H3313" i="1"/>
  <c r="J3313" i="1" s="1"/>
  <c r="H3314" i="1"/>
  <c r="J3314" i="1" s="1"/>
  <c r="H3315" i="1"/>
  <c r="J3315" i="1" s="1"/>
  <c r="H3316" i="1"/>
  <c r="J3316" i="1" s="1"/>
  <c r="H3317" i="1"/>
  <c r="J3317" i="1" s="1"/>
  <c r="H3318" i="1"/>
  <c r="J3318" i="1" s="1"/>
  <c r="H3319" i="1"/>
  <c r="J3319" i="1" s="1"/>
  <c r="H3320" i="1"/>
  <c r="J3320" i="1" s="1"/>
  <c r="H3321" i="1"/>
  <c r="J3321" i="1" s="1"/>
  <c r="H3322" i="1"/>
  <c r="J3322" i="1" s="1"/>
  <c r="H3323" i="1"/>
  <c r="J3323" i="1" s="1"/>
  <c r="H3324" i="1"/>
  <c r="J3324" i="1" s="1"/>
  <c r="H3325" i="1"/>
  <c r="J3325" i="1" s="1"/>
  <c r="H3326" i="1"/>
  <c r="J3326" i="1" s="1"/>
  <c r="H3327" i="1"/>
  <c r="J3327" i="1" s="1"/>
  <c r="H3328" i="1"/>
  <c r="J3328" i="1" s="1"/>
  <c r="H3329" i="1"/>
  <c r="J3329" i="1" s="1"/>
  <c r="H3330" i="1"/>
  <c r="J3330" i="1" s="1"/>
  <c r="H3331" i="1"/>
  <c r="J3331" i="1" s="1"/>
  <c r="H3332" i="1"/>
  <c r="J3332" i="1" s="1"/>
  <c r="H3333" i="1"/>
  <c r="J3333" i="1" s="1"/>
  <c r="H3334" i="1"/>
  <c r="J3334" i="1" s="1"/>
  <c r="H3335" i="1"/>
  <c r="J3335" i="1" s="1"/>
  <c r="H3336" i="1"/>
  <c r="J3336" i="1" s="1"/>
  <c r="H3337" i="1"/>
  <c r="J3337" i="1" s="1"/>
  <c r="H3338" i="1"/>
  <c r="J3338" i="1" s="1"/>
  <c r="H3339" i="1"/>
  <c r="J3339" i="1" s="1"/>
  <c r="H3340" i="1"/>
  <c r="J3340" i="1" s="1"/>
  <c r="H3341" i="1"/>
  <c r="J3341" i="1" s="1"/>
  <c r="H3342" i="1"/>
  <c r="J3342" i="1" s="1"/>
  <c r="H3343" i="1"/>
  <c r="J3343" i="1" s="1"/>
  <c r="H3344" i="1"/>
  <c r="J3344" i="1" s="1"/>
  <c r="H3345" i="1"/>
  <c r="J3345" i="1" s="1"/>
  <c r="H3346" i="1"/>
  <c r="J3346" i="1" s="1"/>
  <c r="H3347" i="1"/>
  <c r="J3347" i="1" s="1"/>
  <c r="H3348" i="1"/>
  <c r="J3348" i="1" s="1"/>
  <c r="H3349" i="1"/>
  <c r="H3350" i="1"/>
  <c r="J3350" i="1" s="1"/>
  <c r="H3351" i="1"/>
  <c r="J3351" i="1" s="1"/>
  <c r="H3352" i="1"/>
  <c r="J3352" i="1" s="1"/>
  <c r="H3353" i="1"/>
  <c r="J3353" i="1" s="1"/>
  <c r="H3354" i="1"/>
  <c r="J3354" i="1" s="1"/>
  <c r="H3355" i="1"/>
  <c r="J3355" i="1" s="1"/>
  <c r="H3356" i="1"/>
  <c r="J3356" i="1" s="1"/>
  <c r="H3357" i="1"/>
  <c r="J3357" i="1" s="1"/>
  <c r="H3358" i="1"/>
  <c r="J3358" i="1" s="1"/>
  <c r="H3359" i="1"/>
  <c r="J3359" i="1" s="1"/>
  <c r="H3360" i="1"/>
  <c r="J3360" i="1" s="1"/>
  <c r="H3361" i="1"/>
  <c r="J3361" i="1" s="1"/>
  <c r="H3362" i="1"/>
  <c r="J3362" i="1" s="1"/>
  <c r="H3363" i="1"/>
  <c r="J3363" i="1" s="1"/>
  <c r="H3364" i="1"/>
  <c r="J3364" i="1" s="1"/>
  <c r="H3365" i="1"/>
  <c r="J3365" i="1" s="1"/>
  <c r="H3366" i="1"/>
  <c r="J3366" i="1" s="1"/>
  <c r="H3367" i="1"/>
  <c r="J3367" i="1" s="1"/>
  <c r="H3368" i="1"/>
  <c r="J3368" i="1" s="1"/>
  <c r="H3369" i="1"/>
  <c r="J3369" i="1" s="1"/>
  <c r="H3370" i="1"/>
  <c r="J3370" i="1" s="1"/>
  <c r="H3371" i="1"/>
  <c r="J3371" i="1" s="1"/>
  <c r="H3372" i="1"/>
  <c r="J3372" i="1" s="1"/>
  <c r="H3373" i="1"/>
  <c r="J3373" i="1" s="1"/>
  <c r="H3374" i="1"/>
  <c r="J3374" i="1" s="1"/>
  <c r="H3375" i="1"/>
  <c r="J3375" i="1" s="1"/>
  <c r="H3376" i="1"/>
  <c r="J3376" i="1" s="1"/>
  <c r="H3377" i="1"/>
  <c r="J3377" i="1" s="1"/>
  <c r="H3378" i="1"/>
  <c r="J3378" i="1" s="1"/>
  <c r="H3379" i="1"/>
  <c r="J3379" i="1" s="1"/>
  <c r="H3380" i="1"/>
  <c r="J3380" i="1" s="1"/>
  <c r="H3381" i="1"/>
  <c r="J3381" i="1" s="1"/>
  <c r="H3382" i="1"/>
  <c r="J3382" i="1" s="1"/>
  <c r="H3383" i="1"/>
  <c r="J3383" i="1" s="1"/>
  <c r="H3384" i="1"/>
  <c r="J3384" i="1" s="1"/>
  <c r="H3385" i="1"/>
  <c r="J3385" i="1" s="1"/>
  <c r="H3386" i="1"/>
  <c r="J3386" i="1" s="1"/>
  <c r="H3387" i="1"/>
  <c r="H3388" i="1"/>
  <c r="J3388" i="1" s="1"/>
  <c r="H3389" i="1"/>
  <c r="J3389" i="1" s="1"/>
  <c r="H3390" i="1"/>
  <c r="J3390" i="1" s="1"/>
  <c r="H3391" i="1"/>
  <c r="J3391" i="1" s="1"/>
  <c r="H3392" i="1"/>
  <c r="J3392" i="1" s="1"/>
  <c r="H3393" i="1"/>
  <c r="J3393" i="1" s="1"/>
  <c r="H3394" i="1"/>
  <c r="J3394" i="1" s="1"/>
  <c r="H3395" i="1"/>
  <c r="J3395" i="1" s="1"/>
  <c r="H3396" i="1"/>
  <c r="J3396" i="1" s="1"/>
  <c r="H3397" i="1"/>
  <c r="J3397" i="1" s="1"/>
  <c r="H3398" i="1"/>
  <c r="J3398" i="1" s="1"/>
  <c r="H3399" i="1"/>
  <c r="J3399" i="1" s="1"/>
  <c r="H3400" i="1"/>
  <c r="J3400" i="1" s="1"/>
  <c r="H3401" i="1"/>
  <c r="J3401" i="1" s="1"/>
  <c r="H3402" i="1"/>
  <c r="J3402" i="1" s="1"/>
  <c r="H3403" i="1"/>
  <c r="J3403" i="1" s="1"/>
  <c r="H3404" i="1"/>
  <c r="J3404" i="1" s="1"/>
  <c r="H3405" i="1"/>
  <c r="J3405" i="1" s="1"/>
  <c r="H3406" i="1"/>
  <c r="J3406" i="1" s="1"/>
  <c r="H3407" i="1"/>
  <c r="J3407" i="1" s="1"/>
  <c r="H3408" i="1"/>
  <c r="J3408" i="1" s="1"/>
  <c r="H3409" i="1"/>
  <c r="J3409" i="1" s="1"/>
  <c r="H3410" i="1"/>
  <c r="J3410" i="1" s="1"/>
  <c r="H3411" i="1"/>
  <c r="H3412" i="1"/>
  <c r="H3413" i="1"/>
  <c r="J3413" i="1" s="1"/>
  <c r="H3414" i="1"/>
  <c r="J3414" i="1" s="1"/>
  <c r="H3415" i="1"/>
  <c r="J3415" i="1" s="1"/>
  <c r="H3416" i="1"/>
  <c r="J3416" i="1" s="1"/>
  <c r="H3417" i="1"/>
  <c r="J3417" i="1" s="1"/>
  <c r="H3418" i="1"/>
  <c r="J3418" i="1" s="1"/>
  <c r="H3419" i="1"/>
  <c r="J3419" i="1" s="1"/>
  <c r="H3420" i="1"/>
  <c r="J3420" i="1" s="1"/>
  <c r="H3421" i="1"/>
  <c r="J3421" i="1" s="1"/>
  <c r="H3422" i="1"/>
  <c r="J3422" i="1" s="1"/>
  <c r="H3423" i="1"/>
  <c r="H3424" i="1"/>
  <c r="H3425" i="1"/>
  <c r="J3425" i="1" s="1"/>
  <c r="H3426" i="1"/>
  <c r="H3427" i="1"/>
  <c r="J3427" i="1" s="1"/>
  <c r="H3428" i="1"/>
  <c r="J3428" i="1" s="1"/>
  <c r="H3429" i="1"/>
  <c r="J3429" i="1" s="1"/>
  <c r="H3430" i="1"/>
  <c r="J3430" i="1" s="1"/>
  <c r="H3431" i="1"/>
  <c r="J3431" i="1" s="1"/>
  <c r="H3432" i="1"/>
  <c r="J3432" i="1" s="1"/>
  <c r="H3433" i="1"/>
  <c r="J3433" i="1" s="1"/>
  <c r="H3434" i="1"/>
  <c r="J3434" i="1" s="1"/>
  <c r="H3435" i="1"/>
  <c r="J3435" i="1" s="1"/>
  <c r="H3436" i="1"/>
  <c r="J3436" i="1" s="1"/>
  <c r="H3437" i="1"/>
  <c r="H3438" i="1"/>
  <c r="J3438" i="1" s="1"/>
  <c r="H3439" i="1"/>
  <c r="J3439" i="1" s="1"/>
  <c r="H3440" i="1"/>
  <c r="J3440" i="1" s="1"/>
  <c r="H3441" i="1"/>
  <c r="J3441" i="1" s="1"/>
  <c r="H3442" i="1"/>
  <c r="J3442" i="1" s="1"/>
  <c r="H3443" i="1"/>
  <c r="J3443" i="1" s="1"/>
  <c r="H3444" i="1"/>
  <c r="J3444" i="1" s="1"/>
  <c r="H3445" i="1"/>
  <c r="J3445" i="1" s="1"/>
  <c r="H3446" i="1"/>
  <c r="J3446" i="1" s="1"/>
  <c r="H3447" i="1"/>
  <c r="H3448" i="1"/>
  <c r="J3448" i="1" s="1"/>
  <c r="H3449" i="1"/>
  <c r="J3449" i="1" s="1"/>
  <c r="H3450" i="1"/>
  <c r="J3450" i="1" s="1"/>
  <c r="H3451" i="1"/>
  <c r="J3451" i="1" s="1"/>
  <c r="H3452" i="1"/>
  <c r="J3452" i="1" s="1"/>
  <c r="H3453" i="1"/>
  <c r="J3453" i="1" s="1"/>
  <c r="H3454" i="1"/>
  <c r="J3454" i="1" s="1"/>
  <c r="H3455" i="1"/>
  <c r="J3455" i="1" s="1"/>
  <c r="H3456" i="1"/>
  <c r="J3456" i="1" s="1"/>
  <c r="H3457" i="1"/>
  <c r="J3457" i="1" s="1"/>
  <c r="H3458" i="1"/>
  <c r="J3458" i="1" s="1"/>
  <c r="H3459" i="1"/>
  <c r="J3459" i="1" s="1"/>
  <c r="H3460" i="1"/>
  <c r="J3460" i="1" s="1"/>
  <c r="H3461" i="1"/>
  <c r="J3461" i="1" s="1"/>
  <c r="H3462" i="1"/>
  <c r="J3462" i="1" s="1"/>
  <c r="H3463" i="1"/>
  <c r="J3463" i="1" s="1"/>
  <c r="H3464" i="1"/>
  <c r="J3464" i="1" s="1"/>
  <c r="H3465" i="1"/>
  <c r="J3465" i="1" s="1"/>
  <c r="H3466" i="1"/>
  <c r="J3466" i="1" s="1"/>
  <c r="H3467" i="1"/>
  <c r="J3467" i="1" s="1"/>
  <c r="H3468" i="1"/>
  <c r="J3468" i="1" s="1"/>
  <c r="H3469" i="1"/>
  <c r="J3469" i="1" s="1"/>
  <c r="H3470" i="1"/>
  <c r="J3470" i="1" s="1"/>
  <c r="H3471" i="1"/>
  <c r="J3471" i="1" s="1"/>
  <c r="H3472" i="1"/>
  <c r="H3473" i="1"/>
  <c r="J3473" i="1" s="1"/>
  <c r="H3474" i="1"/>
  <c r="J3474" i="1" s="1"/>
  <c r="H3475" i="1"/>
  <c r="J3475" i="1" s="1"/>
  <c r="H3476" i="1"/>
  <c r="J3476" i="1" s="1"/>
  <c r="H3477" i="1"/>
  <c r="J3477" i="1" s="1"/>
  <c r="H3478" i="1"/>
  <c r="J3478" i="1" s="1"/>
  <c r="H3479" i="1"/>
  <c r="J3479" i="1" s="1"/>
  <c r="H3480" i="1"/>
  <c r="J3480" i="1" s="1"/>
  <c r="H3481" i="1"/>
  <c r="J3481" i="1" s="1"/>
  <c r="H3482" i="1"/>
  <c r="J3482" i="1" s="1"/>
  <c r="H3483" i="1"/>
  <c r="J3483" i="1" s="1"/>
  <c r="H3484" i="1"/>
  <c r="J3484" i="1" s="1"/>
  <c r="H3485" i="1"/>
  <c r="J3485" i="1" s="1"/>
  <c r="H3486" i="1"/>
  <c r="J3486" i="1" s="1"/>
  <c r="H3487" i="1"/>
  <c r="J3487" i="1" s="1"/>
  <c r="H3488" i="1"/>
  <c r="J3488" i="1" s="1"/>
  <c r="H3489" i="1"/>
  <c r="J3489" i="1" s="1"/>
  <c r="H3490" i="1"/>
  <c r="J3490" i="1" s="1"/>
  <c r="H3491" i="1"/>
  <c r="J3491" i="1" s="1"/>
  <c r="H3492" i="1"/>
  <c r="J3492" i="1" s="1"/>
  <c r="H3493" i="1"/>
  <c r="J3493" i="1" s="1"/>
  <c r="H3494" i="1"/>
  <c r="J3494" i="1" s="1"/>
  <c r="H3495" i="1"/>
  <c r="J3495" i="1" s="1"/>
  <c r="H3496" i="1"/>
  <c r="J3496" i="1" s="1"/>
  <c r="H3497" i="1"/>
  <c r="J3497" i="1" s="1"/>
  <c r="H3498" i="1"/>
  <c r="J3498" i="1" s="1"/>
  <c r="H3499" i="1"/>
  <c r="J3499" i="1" s="1"/>
  <c r="H3500" i="1"/>
  <c r="J3500" i="1" s="1"/>
  <c r="H3501" i="1"/>
  <c r="J3501" i="1" s="1"/>
  <c r="H3502" i="1"/>
  <c r="J3502" i="1" s="1"/>
  <c r="H3503" i="1"/>
  <c r="J3503" i="1" s="1"/>
  <c r="H3504" i="1"/>
  <c r="J3504" i="1" s="1"/>
  <c r="H3505" i="1"/>
  <c r="J3505" i="1" s="1"/>
  <c r="H3506" i="1"/>
  <c r="J3506" i="1" s="1"/>
  <c r="H3507" i="1"/>
  <c r="J3507" i="1" s="1"/>
  <c r="H3508" i="1"/>
  <c r="J3508" i="1" s="1"/>
  <c r="H3509" i="1"/>
  <c r="J3509" i="1" s="1"/>
  <c r="H3510" i="1"/>
  <c r="J3510" i="1" s="1"/>
  <c r="H3511" i="1"/>
  <c r="J3511" i="1" s="1"/>
  <c r="H3512" i="1"/>
  <c r="J3512" i="1" s="1"/>
  <c r="H3513" i="1"/>
  <c r="J3513" i="1" s="1"/>
  <c r="H3514" i="1"/>
  <c r="J3514" i="1" s="1"/>
  <c r="H3515" i="1"/>
  <c r="J3515" i="1" s="1"/>
  <c r="H3516" i="1"/>
  <c r="J3516" i="1" s="1"/>
  <c r="H3517" i="1"/>
  <c r="J3517" i="1" s="1"/>
  <c r="H3518" i="1"/>
  <c r="J3518" i="1" s="1"/>
  <c r="H3519" i="1"/>
  <c r="J3519" i="1" s="1"/>
  <c r="H3520" i="1"/>
  <c r="H3521" i="1"/>
  <c r="J3521" i="1" s="1"/>
  <c r="H3522" i="1"/>
  <c r="J3522" i="1" s="1"/>
  <c r="H3523" i="1"/>
  <c r="H3524" i="1"/>
  <c r="J3524" i="1" s="1"/>
  <c r="H3525" i="1"/>
  <c r="J3525" i="1" s="1"/>
  <c r="H3526" i="1"/>
  <c r="J3526" i="1" s="1"/>
  <c r="H3527" i="1"/>
  <c r="J3527" i="1" s="1"/>
  <c r="H3528" i="1"/>
  <c r="J3528" i="1" s="1"/>
  <c r="H3529" i="1"/>
  <c r="J3529" i="1" s="1"/>
  <c r="H3530" i="1"/>
  <c r="J3530" i="1" s="1"/>
  <c r="H3531" i="1"/>
  <c r="H3532" i="1"/>
  <c r="J3532" i="1" s="1"/>
  <c r="H3533" i="1"/>
  <c r="J3533" i="1" s="1"/>
  <c r="H3534" i="1"/>
  <c r="J3534" i="1" s="1"/>
  <c r="H3535" i="1"/>
  <c r="J3535" i="1" s="1"/>
  <c r="H3536" i="1"/>
  <c r="J3536" i="1" s="1"/>
  <c r="H3537" i="1"/>
  <c r="J3537" i="1" s="1"/>
  <c r="H3538" i="1"/>
  <c r="J3538" i="1" s="1"/>
  <c r="H3539" i="1"/>
  <c r="J3539" i="1" s="1"/>
  <c r="H3540" i="1"/>
  <c r="J3540" i="1" s="1"/>
  <c r="H3541" i="1"/>
  <c r="J3541" i="1" s="1"/>
  <c r="H3542" i="1"/>
  <c r="J3542" i="1" s="1"/>
  <c r="H3543" i="1"/>
  <c r="J3543" i="1" s="1"/>
  <c r="H3544" i="1"/>
  <c r="J3544" i="1" s="1"/>
  <c r="H3545" i="1"/>
  <c r="J3545" i="1" s="1"/>
  <c r="H3546" i="1"/>
  <c r="J3546" i="1" s="1"/>
  <c r="H3547" i="1"/>
  <c r="J3547" i="1" s="1"/>
  <c r="H3548" i="1"/>
  <c r="J3548" i="1" s="1"/>
  <c r="H3549" i="1"/>
  <c r="J3549" i="1" s="1"/>
  <c r="H3550" i="1"/>
  <c r="J3550" i="1" s="1"/>
  <c r="H3551" i="1"/>
  <c r="J3551" i="1" s="1"/>
  <c r="H3552" i="1"/>
  <c r="J3552" i="1" s="1"/>
  <c r="H3553" i="1"/>
  <c r="J3553" i="1" s="1"/>
  <c r="H3554" i="1"/>
  <c r="J3554" i="1" s="1"/>
  <c r="H3555" i="1"/>
  <c r="J3555" i="1" s="1"/>
  <c r="H3556" i="1"/>
  <c r="H3557" i="1"/>
  <c r="J3557" i="1" s="1"/>
  <c r="H3558" i="1"/>
  <c r="J3558" i="1" s="1"/>
  <c r="H3559" i="1"/>
  <c r="J3559" i="1" s="1"/>
  <c r="H3560" i="1"/>
  <c r="J3560" i="1" s="1"/>
  <c r="H3561" i="1"/>
  <c r="J3561" i="1" s="1"/>
  <c r="H3562" i="1"/>
  <c r="J3562" i="1" s="1"/>
  <c r="H3563" i="1"/>
  <c r="J3563" i="1" s="1"/>
  <c r="H3564" i="1"/>
  <c r="J3564" i="1" s="1"/>
  <c r="H3565" i="1"/>
  <c r="J3565" i="1" s="1"/>
  <c r="H3566" i="1"/>
  <c r="J3566" i="1" s="1"/>
  <c r="H3567" i="1"/>
  <c r="H3568" i="1"/>
  <c r="J3568" i="1" s="1"/>
  <c r="H3569" i="1"/>
  <c r="J3569" i="1" s="1"/>
  <c r="H3570" i="1"/>
  <c r="J3570" i="1" s="1"/>
  <c r="H3571" i="1"/>
  <c r="J3571" i="1" s="1"/>
  <c r="H3572" i="1"/>
  <c r="J3572" i="1" s="1"/>
  <c r="H3573" i="1"/>
  <c r="J3573" i="1" s="1"/>
  <c r="H3574" i="1"/>
  <c r="J3574" i="1" s="1"/>
  <c r="H3575" i="1"/>
  <c r="J3575" i="1" s="1"/>
  <c r="H3576" i="1"/>
  <c r="J3576" i="1" s="1"/>
  <c r="H3577" i="1"/>
  <c r="J3577" i="1" s="1"/>
  <c r="H3578" i="1"/>
  <c r="J3578" i="1" s="1"/>
  <c r="H3579" i="1"/>
  <c r="J3579" i="1" s="1"/>
  <c r="H3580" i="1"/>
  <c r="H3581" i="1"/>
  <c r="H3582" i="1"/>
  <c r="J3582" i="1" s="1"/>
  <c r="H3583" i="1"/>
  <c r="J3583" i="1" s="1"/>
  <c r="H3584" i="1"/>
  <c r="J3584" i="1" s="1"/>
  <c r="H3585" i="1"/>
  <c r="J3585" i="1" s="1"/>
  <c r="H3586" i="1"/>
  <c r="J3586" i="1" s="1"/>
  <c r="H3587" i="1"/>
  <c r="J3587" i="1" s="1"/>
  <c r="H3588" i="1"/>
  <c r="J3588" i="1" s="1"/>
  <c r="H3589" i="1"/>
  <c r="J3589" i="1" s="1"/>
  <c r="H3590" i="1"/>
  <c r="J3590" i="1" s="1"/>
  <c r="H3591" i="1"/>
  <c r="J3591" i="1" s="1"/>
  <c r="H3592" i="1"/>
  <c r="J3592" i="1" s="1"/>
  <c r="H3593" i="1"/>
  <c r="J3593" i="1" s="1"/>
  <c r="H3594" i="1"/>
  <c r="J3594" i="1" s="1"/>
  <c r="H3595" i="1"/>
  <c r="J3595" i="1" s="1"/>
  <c r="H3596" i="1"/>
  <c r="J3596" i="1" s="1"/>
  <c r="H3597" i="1"/>
  <c r="J3597" i="1" s="1"/>
  <c r="H3598" i="1"/>
  <c r="J3598" i="1" s="1"/>
  <c r="H3599" i="1"/>
  <c r="J3599" i="1" s="1"/>
  <c r="H3600" i="1"/>
  <c r="J3600" i="1" s="1"/>
  <c r="H3601" i="1"/>
  <c r="J3601" i="1" s="1"/>
  <c r="H3602" i="1"/>
  <c r="J3602" i="1" s="1"/>
  <c r="H3603" i="1"/>
  <c r="J3603" i="1" s="1"/>
  <c r="H3604" i="1"/>
  <c r="J3604" i="1" s="1"/>
  <c r="H3605" i="1"/>
  <c r="J3605" i="1" s="1"/>
  <c r="H3606" i="1"/>
  <c r="J3606" i="1" s="1"/>
  <c r="H3607" i="1"/>
  <c r="J3607" i="1" s="1"/>
  <c r="H3608" i="1"/>
  <c r="J3608" i="1" s="1"/>
  <c r="H3609" i="1"/>
  <c r="J3609" i="1" s="1"/>
  <c r="H3610" i="1"/>
  <c r="J3610" i="1" s="1"/>
  <c r="H3611" i="1"/>
  <c r="J3611" i="1" s="1"/>
  <c r="H3612" i="1"/>
  <c r="J3612" i="1" s="1"/>
  <c r="H3613" i="1"/>
  <c r="J3613" i="1" s="1"/>
  <c r="H3614" i="1"/>
  <c r="J3614" i="1" s="1"/>
  <c r="H3615" i="1"/>
  <c r="J3615" i="1" s="1"/>
  <c r="H3616" i="1"/>
  <c r="J3616" i="1" s="1"/>
  <c r="H3617" i="1"/>
  <c r="J3617" i="1" s="1"/>
  <c r="H3618" i="1"/>
  <c r="J3618" i="1" s="1"/>
  <c r="H3619" i="1"/>
  <c r="J3619" i="1" s="1"/>
  <c r="H3620" i="1"/>
  <c r="J3620" i="1" s="1"/>
  <c r="H3621" i="1"/>
  <c r="J3621" i="1" s="1"/>
  <c r="H3622" i="1"/>
  <c r="J3622" i="1" s="1"/>
  <c r="H3623" i="1"/>
  <c r="J3623" i="1" s="1"/>
  <c r="H3624" i="1"/>
  <c r="J3624" i="1" s="1"/>
  <c r="H3625" i="1"/>
  <c r="J3625" i="1" s="1"/>
  <c r="H3626" i="1"/>
  <c r="J3626" i="1" s="1"/>
  <c r="H3627" i="1"/>
  <c r="J3627" i="1" s="1"/>
  <c r="H3628" i="1"/>
  <c r="J3628" i="1" s="1"/>
  <c r="H3629" i="1"/>
  <c r="J3629" i="1" s="1"/>
  <c r="H3630" i="1"/>
  <c r="J3630" i="1" s="1"/>
  <c r="H3631" i="1"/>
  <c r="J3631" i="1" s="1"/>
  <c r="H3632" i="1"/>
  <c r="J3632" i="1" s="1"/>
  <c r="H3633" i="1"/>
  <c r="J3633" i="1" s="1"/>
  <c r="H3634" i="1"/>
  <c r="J3634" i="1" s="1"/>
  <c r="H3635" i="1"/>
  <c r="J3635" i="1" s="1"/>
  <c r="H3636" i="1"/>
  <c r="J3636" i="1" s="1"/>
  <c r="H3637" i="1"/>
  <c r="J3637" i="1" s="1"/>
  <c r="H3638" i="1"/>
  <c r="J3638" i="1" s="1"/>
  <c r="H3639" i="1"/>
  <c r="H3640" i="1"/>
  <c r="J3640" i="1" s="1"/>
  <c r="H3641" i="1"/>
  <c r="J3641" i="1" s="1"/>
  <c r="H3642" i="1"/>
  <c r="J3642" i="1" s="1"/>
  <c r="H3643" i="1"/>
  <c r="J3643" i="1" s="1"/>
  <c r="H3644" i="1"/>
  <c r="J3644" i="1" s="1"/>
  <c r="H3645" i="1"/>
  <c r="J3645" i="1" s="1"/>
  <c r="H3646" i="1"/>
  <c r="J3646" i="1" s="1"/>
  <c r="H3647" i="1"/>
  <c r="J3647" i="1" s="1"/>
  <c r="H3648" i="1"/>
  <c r="J3648" i="1" s="1"/>
  <c r="H3649" i="1"/>
  <c r="J3649" i="1" s="1"/>
  <c r="H3650" i="1"/>
  <c r="J3650" i="1" s="1"/>
  <c r="H3651" i="1"/>
  <c r="J3651" i="1" s="1"/>
  <c r="H3652" i="1"/>
  <c r="J3652" i="1" s="1"/>
  <c r="H3653" i="1"/>
  <c r="J3653" i="1" s="1"/>
  <c r="H3654" i="1"/>
  <c r="J3654" i="1" s="1"/>
  <c r="H3655" i="1"/>
  <c r="J3655" i="1" s="1"/>
  <c r="H3656" i="1"/>
  <c r="J3656" i="1" s="1"/>
  <c r="H3657" i="1"/>
  <c r="J3657" i="1" s="1"/>
  <c r="H3658" i="1"/>
  <c r="J3658" i="1" s="1"/>
  <c r="H3659" i="1"/>
  <c r="J3659" i="1" s="1"/>
  <c r="H3660" i="1"/>
  <c r="J3660" i="1" s="1"/>
  <c r="H3661" i="1"/>
  <c r="J3661" i="1" s="1"/>
  <c r="H3662" i="1"/>
  <c r="J3662" i="1" s="1"/>
  <c r="H3663" i="1"/>
  <c r="J3663" i="1" s="1"/>
  <c r="H3664" i="1"/>
  <c r="H3665" i="1"/>
  <c r="J3665" i="1" s="1"/>
  <c r="H3666" i="1"/>
  <c r="J3666" i="1" s="1"/>
  <c r="H3667" i="1"/>
  <c r="J3667" i="1" s="1"/>
  <c r="H3668" i="1"/>
  <c r="J3668" i="1" s="1"/>
  <c r="H3669" i="1"/>
  <c r="J3669" i="1" s="1"/>
  <c r="H3670" i="1"/>
  <c r="J3670" i="1" s="1"/>
  <c r="H3671" i="1"/>
  <c r="J3671" i="1" s="1"/>
  <c r="H3672" i="1"/>
  <c r="J3672" i="1" s="1"/>
  <c r="H3673" i="1"/>
  <c r="J3673" i="1" s="1"/>
  <c r="H3674" i="1"/>
  <c r="J3674" i="1" s="1"/>
  <c r="H3675" i="1"/>
  <c r="J3675" i="1" s="1"/>
  <c r="H3676" i="1"/>
  <c r="J3676" i="1" s="1"/>
  <c r="H3677" i="1"/>
  <c r="J3677" i="1" s="1"/>
  <c r="H3678" i="1"/>
  <c r="J3678" i="1" s="1"/>
  <c r="H3679" i="1"/>
  <c r="J3679" i="1" s="1"/>
  <c r="H3680" i="1"/>
  <c r="J3680" i="1" s="1"/>
  <c r="H3681" i="1"/>
  <c r="J3681" i="1" s="1"/>
  <c r="H3682" i="1"/>
  <c r="J3682" i="1" s="1"/>
  <c r="H3683" i="1"/>
  <c r="J3683" i="1" s="1"/>
  <c r="H3684" i="1"/>
  <c r="J3684" i="1" s="1"/>
  <c r="H3685" i="1"/>
  <c r="J3685" i="1" s="1"/>
  <c r="H3686" i="1"/>
  <c r="J3686" i="1" s="1"/>
  <c r="H3687" i="1"/>
  <c r="J3687" i="1" s="1"/>
  <c r="H3688" i="1"/>
  <c r="J3688" i="1" s="1"/>
  <c r="H3689" i="1"/>
  <c r="J3689" i="1" s="1"/>
  <c r="H3690" i="1"/>
  <c r="J3690" i="1" s="1"/>
  <c r="H3691" i="1"/>
  <c r="J3691" i="1" s="1"/>
  <c r="H3692" i="1"/>
  <c r="J3692" i="1" s="1"/>
  <c r="H3693" i="1"/>
  <c r="J3693" i="1" s="1"/>
  <c r="H3694" i="1"/>
  <c r="J3694" i="1" s="1"/>
  <c r="H3695" i="1"/>
  <c r="J3695" i="1" s="1"/>
  <c r="H3696" i="1"/>
  <c r="J3696" i="1" s="1"/>
  <c r="H3697" i="1"/>
  <c r="J3697" i="1" s="1"/>
  <c r="H3698" i="1"/>
  <c r="J3698" i="1" s="1"/>
  <c r="H3699" i="1"/>
  <c r="H3700" i="1"/>
  <c r="J3700" i="1" s="1"/>
  <c r="H3701" i="1"/>
  <c r="J3701" i="1" s="1"/>
  <c r="H3702" i="1"/>
  <c r="J3702" i="1" s="1"/>
  <c r="H3703" i="1"/>
  <c r="J3703" i="1" s="1"/>
  <c r="H3704" i="1"/>
  <c r="J3704" i="1" s="1"/>
  <c r="H3705" i="1"/>
  <c r="J3705" i="1" s="1"/>
  <c r="H3706" i="1"/>
  <c r="J3706" i="1" s="1"/>
  <c r="H3707" i="1"/>
  <c r="J3707" i="1" s="1"/>
  <c r="H3708" i="1"/>
  <c r="J3708" i="1" s="1"/>
  <c r="H3709" i="1"/>
  <c r="J3709" i="1" s="1"/>
  <c r="H3710" i="1"/>
  <c r="J3710" i="1" s="1"/>
  <c r="H3711" i="1"/>
  <c r="H3712" i="1"/>
  <c r="J3712" i="1" s="1"/>
  <c r="H3713" i="1"/>
  <c r="J3713" i="1" s="1"/>
  <c r="H3714" i="1"/>
  <c r="J3714" i="1" s="1"/>
  <c r="H3715" i="1"/>
  <c r="J3715" i="1" s="1"/>
  <c r="H3716" i="1"/>
  <c r="J3716" i="1" s="1"/>
  <c r="H3717" i="1"/>
  <c r="J3717" i="1" s="1"/>
  <c r="H3718" i="1"/>
  <c r="J3718" i="1" s="1"/>
  <c r="H3719" i="1"/>
  <c r="J3719" i="1" s="1"/>
  <c r="H3720" i="1"/>
  <c r="J3720" i="1" s="1"/>
  <c r="H3721" i="1"/>
  <c r="J3721" i="1" s="1"/>
  <c r="H3722" i="1"/>
  <c r="J3722" i="1" s="1"/>
  <c r="H3723" i="1"/>
  <c r="J3723" i="1" s="1"/>
  <c r="H3724" i="1"/>
  <c r="J3724" i="1" s="1"/>
  <c r="H3725" i="1"/>
  <c r="J3725" i="1" s="1"/>
  <c r="H3726" i="1"/>
  <c r="J3726" i="1" s="1"/>
  <c r="H3727" i="1"/>
  <c r="J3727" i="1" s="1"/>
  <c r="H3728" i="1"/>
  <c r="J3728" i="1" s="1"/>
  <c r="H3729" i="1"/>
  <c r="J3729" i="1" s="1"/>
  <c r="H3730" i="1"/>
  <c r="J3730" i="1" s="1"/>
  <c r="H3731" i="1"/>
  <c r="J3731" i="1" s="1"/>
  <c r="H3732" i="1"/>
  <c r="J3732" i="1" s="1"/>
  <c r="H3733" i="1"/>
  <c r="H3734" i="1"/>
  <c r="J3734" i="1" s="1"/>
  <c r="H3735" i="1"/>
  <c r="J3735" i="1" s="1"/>
  <c r="H3736" i="1"/>
  <c r="J3736" i="1" s="1"/>
  <c r="H3737" i="1"/>
  <c r="J3737" i="1" s="1"/>
  <c r="H3738" i="1"/>
  <c r="H3739" i="1"/>
  <c r="J3739" i="1" s="1"/>
  <c r="H3740" i="1"/>
  <c r="J3740" i="1" s="1"/>
  <c r="H3741" i="1"/>
  <c r="J3741" i="1" s="1"/>
  <c r="H3742" i="1"/>
  <c r="J3742" i="1" s="1"/>
  <c r="H3743" i="1"/>
  <c r="J3743" i="1" s="1"/>
  <c r="H3744" i="1"/>
  <c r="J3744" i="1" s="1"/>
  <c r="H3745" i="1"/>
  <c r="J3745" i="1" s="1"/>
  <c r="H3746" i="1"/>
  <c r="J3746" i="1" s="1"/>
  <c r="H3747" i="1"/>
  <c r="J3747" i="1" s="1"/>
  <c r="H3748" i="1"/>
  <c r="J3748" i="1" s="1"/>
  <c r="H3749" i="1"/>
  <c r="J3749" i="1" s="1"/>
  <c r="H3750" i="1"/>
  <c r="J3750" i="1" s="1"/>
  <c r="H3751" i="1"/>
  <c r="J3751" i="1" s="1"/>
  <c r="H3752" i="1"/>
  <c r="J3752" i="1" s="1"/>
  <c r="H3753" i="1"/>
  <c r="H3754" i="1"/>
  <c r="J3754" i="1" s="1"/>
  <c r="H3755" i="1"/>
  <c r="J3755" i="1" s="1"/>
  <c r="H3756" i="1"/>
  <c r="J3756" i="1" s="1"/>
  <c r="H3757" i="1"/>
  <c r="J3757" i="1" s="1"/>
  <c r="H3758" i="1"/>
  <c r="J3758" i="1" s="1"/>
  <c r="H3759" i="1"/>
  <c r="J3759" i="1" s="1"/>
  <c r="H3760" i="1"/>
  <c r="J3760" i="1" s="1"/>
  <c r="H3761" i="1"/>
  <c r="J3761" i="1" s="1"/>
  <c r="H3762" i="1"/>
  <c r="J3762" i="1" s="1"/>
  <c r="H3763" i="1"/>
  <c r="J3763" i="1" s="1"/>
  <c r="H3764" i="1"/>
  <c r="J3764" i="1" s="1"/>
  <c r="H3765" i="1"/>
  <c r="J3765" i="1" s="1"/>
  <c r="H3766" i="1"/>
  <c r="J3766" i="1" s="1"/>
  <c r="H3767" i="1"/>
  <c r="J3767" i="1" s="1"/>
  <c r="H3768" i="1"/>
  <c r="J3768" i="1" s="1"/>
  <c r="H3769" i="1"/>
  <c r="J3769" i="1" s="1"/>
  <c r="H3770" i="1"/>
  <c r="J3770" i="1" s="1"/>
  <c r="H3771" i="1"/>
  <c r="J3771" i="1" s="1"/>
  <c r="H3772" i="1"/>
  <c r="J3772" i="1" s="1"/>
  <c r="H3773" i="1"/>
  <c r="J3773" i="1" s="1"/>
  <c r="H3774" i="1"/>
  <c r="J3774" i="1" s="1"/>
  <c r="H3775" i="1"/>
  <c r="J3775" i="1" s="1"/>
  <c r="H3776" i="1"/>
  <c r="J3776" i="1" s="1"/>
  <c r="H3777" i="1"/>
  <c r="J3777" i="1" s="1"/>
  <c r="H3778" i="1"/>
  <c r="J3778" i="1" s="1"/>
  <c r="H3779" i="1"/>
  <c r="H3780" i="1"/>
  <c r="J3780" i="1" s="1"/>
  <c r="H3781" i="1"/>
  <c r="J3781" i="1" s="1"/>
  <c r="H3782" i="1"/>
  <c r="J3782" i="1" s="1"/>
  <c r="H3783" i="1"/>
  <c r="J3783" i="1" s="1"/>
  <c r="H3784" i="1"/>
  <c r="J3784" i="1" s="1"/>
  <c r="H3785" i="1"/>
  <c r="J3785" i="1" s="1"/>
  <c r="H3786" i="1"/>
  <c r="J3786" i="1" s="1"/>
  <c r="H3787" i="1"/>
  <c r="J3787" i="1" s="1"/>
  <c r="H3788" i="1"/>
  <c r="J3788" i="1" s="1"/>
  <c r="H3789" i="1"/>
  <c r="J3789" i="1" s="1"/>
  <c r="H3790" i="1"/>
  <c r="J3790" i="1" s="1"/>
  <c r="H3791" i="1"/>
  <c r="J3791" i="1" s="1"/>
  <c r="H3792" i="1"/>
  <c r="J3792" i="1" s="1"/>
  <c r="H3793" i="1"/>
  <c r="J3793" i="1" s="1"/>
  <c r="H3794" i="1"/>
  <c r="J3794" i="1" s="1"/>
  <c r="H3795" i="1"/>
  <c r="J3795" i="1" s="1"/>
  <c r="H3796" i="1"/>
  <c r="J3796" i="1" s="1"/>
  <c r="H3797" i="1"/>
  <c r="J3797" i="1" s="1"/>
  <c r="H3798" i="1"/>
  <c r="H3799" i="1"/>
  <c r="J3799" i="1" s="1"/>
  <c r="H3800" i="1"/>
  <c r="J3800" i="1" s="1"/>
  <c r="H3801" i="1"/>
  <c r="J3801" i="1" s="1"/>
  <c r="H3802" i="1"/>
  <c r="J3802" i="1" s="1"/>
  <c r="H3803" i="1"/>
  <c r="J3803" i="1" s="1"/>
  <c r="H3804" i="1"/>
  <c r="J3804" i="1" s="1"/>
  <c r="H3805" i="1"/>
  <c r="J3805" i="1" s="1"/>
  <c r="H3806" i="1"/>
  <c r="J3806" i="1" s="1"/>
  <c r="H3807" i="1"/>
  <c r="J3807" i="1" s="1"/>
  <c r="H3808" i="1"/>
  <c r="J3808" i="1" s="1"/>
  <c r="H3809" i="1"/>
  <c r="J3809" i="1" s="1"/>
  <c r="H3810" i="1"/>
  <c r="J3810" i="1" s="1"/>
  <c r="H3811" i="1"/>
  <c r="J3811" i="1" s="1"/>
  <c r="H3812" i="1"/>
  <c r="J3812" i="1" s="1"/>
  <c r="H3813" i="1"/>
  <c r="J3813" i="1" s="1"/>
  <c r="H3814" i="1"/>
  <c r="J3814" i="1" s="1"/>
  <c r="H3815" i="1"/>
  <c r="J3815" i="1" s="1"/>
  <c r="H3816" i="1"/>
  <c r="J3816" i="1" s="1"/>
  <c r="H3817" i="1"/>
  <c r="J3817" i="1" s="1"/>
  <c r="H3818" i="1"/>
  <c r="J3818" i="1" s="1"/>
  <c r="H3819" i="1"/>
  <c r="J3819" i="1" s="1"/>
  <c r="H3820" i="1"/>
  <c r="J3820" i="1" s="1"/>
  <c r="H3821" i="1"/>
  <c r="J3821" i="1" s="1"/>
  <c r="H3822" i="1"/>
  <c r="J3822" i="1" s="1"/>
  <c r="H3823" i="1"/>
  <c r="J3823" i="1" s="1"/>
  <c r="H3824" i="1"/>
  <c r="J3824" i="1" s="1"/>
  <c r="H3825" i="1"/>
  <c r="J3825" i="1" s="1"/>
  <c r="H3826" i="1"/>
  <c r="J3826" i="1" s="1"/>
  <c r="H3827" i="1"/>
  <c r="J3827" i="1" s="1"/>
  <c r="H3828" i="1"/>
  <c r="J3828" i="1" s="1"/>
  <c r="H3829" i="1"/>
  <c r="J3829" i="1" s="1"/>
  <c r="H3830" i="1"/>
  <c r="J3830" i="1" s="1"/>
  <c r="H3831" i="1"/>
  <c r="H3832" i="1"/>
  <c r="J3832" i="1" s="1"/>
  <c r="H3833" i="1"/>
  <c r="J3833" i="1" s="1"/>
  <c r="H3834" i="1"/>
  <c r="J3834" i="1" s="1"/>
  <c r="H3835" i="1"/>
  <c r="J3835" i="1" s="1"/>
  <c r="H3836" i="1"/>
  <c r="J3836" i="1" s="1"/>
  <c r="H3837" i="1"/>
  <c r="J3837" i="1" s="1"/>
  <c r="H3838" i="1"/>
  <c r="J3838" i="1" s="1"/>
  <c r="H3839" i="1"/>
  <c r="J3839" i="1" s="1"/>
  <c r="H3840" i="1"/>
  <c r="J3840" i="1" s="1"/>
  <c r="H3841" i="1"/>
  <c r="J3841" i="1" s="1"/>
  <c r="H3842" i="1"/>
  <c r="J3842" i="1" s="1"/>
  <c r="H3843" i="1"/>
  <c r="J3843" i="1" s="1"/>
  <c r="H3844" i="1"/>
  <c r="J3844" i="1" s="1"/>
  <c r="H3845" i="1"/>
  <c r="J3845" i="1" s="1"/>
  <c r="H3846" i="1"/>
  <c r="J3846" i="1" s="1"/>
  <c r="H3847" i="1"/>
  <c r="J3847" i="1" s="1"/>
  <c r="H3848" i="1"/>
  <c r="J3848" i="1" s="1"/>
  <c r="H3849" i="1"/>
  <c r="J3849" i="1" s="1"/>
  <c r="H3850" i="1"/>
  <c r="J3850" i="1" s="1"/>
  <c r="H3851" i="1"/>
  <c r="J3851" i="1" s="1"/>
  <c r="H3852" i="1"/>
  <c r="J3852" i="1" s="1"/>
  <c r="H3853" i="1"/>
  <c r="J3853" i="1" s="1"/>
  <c r="H3854" i="1"/>
  <c r="J3854" i="1" s="1"/>
  <c r="H3855" i="1"/>
  <c r="J3855" i="1" s="1"/>
  <c r="H3856" i="1"/>
  <c r="J3856" i="1" s="1"/>
  <c r="H3857" i="1"/>
  <c r="J3857" i="1" s="1"/>
  <c r="H3858" i="1"/>
  <c r="J3858" i="1" s="1"/>
  <c r="H3859" i="1"/>
  <c r="J3859" i="1" s="1"/>
  <c r="H3860" i="1"/>
  <c r="J3860" i="1" s="1"/>
  <c r="H3861" i="1"/>
  <c r="J3861" i="1" s="1"/>
  <c r="H3862" i="1"/>
  <c r="J3862" i="1" s="1"/>
  <c r="H3863" i="1"/>
  <c r="J3863" i="1" s="1"/>
  <c r="H3864" i="1"/>
  <c r="J3864" i="1" s="1"/>
  <c r="H3865" i="1"/>
  <c r="J3865" i="1" s="1"/>
  <c r="H3866" i="1"/>
  <c r="J3866" i="1" s="1"/>
  <c r="H3867" i="1"/>
  <c r="J3867" i="1" s="1"/>
  <c r="H3868" i="1"/>
  <c r="J3868" i="1" s="1"/>
  <c r="H3869" i="1"/>
  <c r="J3869" i="1" s="1"/>
  <c r="H3870" i="1"/>
  <c r="J3870" i="1" s="1"/>
  <c r="H3871" i="1"/>
  <c r="J3871" i="1" s="1"/>
  <c r="H3872" i="1"/>
  <c r="J3872" i="1" s="1"/>
  <c r="H3873" i="1"/>
  <c r="J3873" i="1" s="1"/>
  <c r="H3874" i="1"/>
  <c r="J3874" i="1" s="1"/>
  <c r="H3875" i="1"/>
  <c r="J3875" i="1" s="1"/>
  <c r="H3876" i="1"/>
  <c r="J3876" i="1" s="1"/>
  <c r="H3877" i="1"/>
  <c r="J3877" i="1" s="1"/>
  <c r="H3878" i="1"/>
  <c r="J3878" i="1" s="1"/>
  <c r="H3879" i="1"/>
  <c r="J3879" i="1" s="1"/>
  <c r="H3880" i="1"/>
  <c r="J3880" i="1" s="1"/>
  <c r="H3881" i="1"/>
  <c r="J3881" i="1" s="1"/>
  <c r="H3882" i="1"/>
  <c r="J3882" i="1" s="1"/>
  <c r="H3883" i="1"/>
  <c r="J3883" i="1" s="1"/>
  <c r="H3884" i="1"/>
  <c r="J3884" i="1" s="1"/>
  <c r="H3885" i="1"/>
  <c r="J3885" i="1" s="1"/>
  <c r="H3886" i="1"/>
  <c r="J3886" i="1" s="1"/>
  <c r="H3887" i="1"/>
  <c r="J3887" i="1" s="1"/>
  <c r="H3888" i="1"/>
  <c r="J3888" i="1" s="1"/>
  <c r="H3889" i="1"/>
  <c r="J3889" i="1" s="1"/>
  <c r="H3890" i="1"/>
  <c r="J3890" i="1" s="1"/>
  <c r="H3891" i="1"/>
  <c r="J3891" i="1" s="1"/>
  <c r="H3892" i="1"/>
  <c r="J3892" i="1" s="1"/>
  <c r="H3893" i="1"/>
  <c r="J3893" i="1" s="1"/>
  <c r="H3894" i="1"/>
  <c r="J3894" i="1" s="1"/>
  <c r="H3895" i="1"/>
  <c r="J3895" i="1" s="1"/>
  <c r="H3896" i="1"/>
  <c r="J3896" i="1" s="1"/>
  <c r="H3897" i="1"/>
  <c r="J3897" i="1" s="1"/>
  <c r="H3898" i="1"/>
  <c r="H3899" i="1"/>
  <c r="J3899" i="1" s="1"/>
  <c r="H3900" i="1"/>
  <c r="J3900" i="1" s="1"/>
  <c r="H3901" i="1"/>
  <c r="J3901" i="1" s="1"/>
  <c r="H3902" i="1"/>
  <c r="J3902" i="1" s="1"/>
  <c r="H3903" i="1"/>
  <c r="J3903" i="1" s="1"/>
  <c r="H3904" i="1"/>
  <c r="J3904" i="1" s="1"/>
  <c r="H3905" i="1"/>
  <c r="J3905" i="1" s="1"/>
  <c r="H3906" i="1"/>
  <c r="J3906" i="1" s="1"/>
  <c r="H3907" i="1"/>
  <c r="J3907" i="1" s="1"/>
  <c r="H3908" i="1"/>
  <c r="J3908" i="1" s="1"/>
  <c r="H3909" i="1"/>
  <c r="J3909" i="1" s="1"/>
  <c r="H3910" i="1"/>
  <c r="J3910" i="1" s="1"/>
  <c r="H3911" i="1"/>
  <c r="J3911" i="1" s="1"/>
  <c r="H3912" i="1"/>
  <c r="J3912" i="1" s="1"/>
  <c r="H3913" i="1"/>
  <c r="J3913" i="1" s="1"/>
  <c r="H3914" i="1"/>
  <c r="J3914" i="1" s="1"/>
  <c r="H3915" i="1"/>
  <c r="J3915" i="1" s="1"/>
  <c r="H3916" i="1"/>
  <c r="H3917" i="1"/>
  <c r="J3917" i="1" s="1"/>
  <c r="H3918" i="1"/>
  <c r="J3918" i="1" s="1"/>
  <c r="H3919" i="1"/>
  <c r="J3919" i="1" s="1"/>
  <c r="H3920" i="1"/>
  <c r="J3920" i="1" s="1"/>
  <c r="H3921" i="1"/>
  <c r="J3921" i="1" s="1"/>
  <c r="H3922" i="1"/>
  <c r="J3922" i="1" s="1"/>
  <c r="H3923" i="1"/>
  <c r="J3923" i="1" s="1"/>
  <c r="H3924" i="1"/>
  <c r="J3924" i="1" s="1"/>
  <c r="H3925" i="1"/>
  <c r="J3925" i="1" s="1"/>
  <c r="H3926" i="1"/>
  <c r="H3927" i="1"/>
  <c r="J3927" i="1" s="1"/>
  <c r="H3928" i="1"/>
  <c r="J3928" i="1" s="1"/>
  <c r="H3929" i="1"/>
  <c r="J3929" i="1" s="1"/>
  <c r="H3930" i="1"/>
  <c r="J3930" i="1" s="1"/>
  <c r="H3931" i="1"/>
  <c r="J3931" i="1" s="1"/>
  <c r="H3932" i="1"/>
  <c r="J3932" i="1" s="1"/>
  <c r="H3933" i="1"/>
  <c r="J3933" i="1" s="1"/>
  <c r="H3934" i="1"/>
  <c r="J3934" i="1" s="1"/>
  <c r="H3935" i="1"/>
  <c r="J3935" i="1" s="1"/>
  <c r="H3936" i="1"/>
  <c r="J3936" i="1" s="1"/>
  <c r="H3937" i="1"/>
  <c r="J3937" i="1" s="1"/>
  <c r="H3938" i="1"/>
  <c r="J3938" i="1" s="1"/>
  <c r="H3939" i="1"/>
  <c r="J3939" i="1" s="1"/>
  <c r="H3940" i="1"/>
  <c r="H3941" i="1"/>
  <c r="J3941" i="1" s="1"/>
  <c r="H3942" i="1"/>
  <c r="J3942" i="1" s="1"/>
  <c r="H3943" i="1"/>
  <c r="J3943" i="1" s="1"/>
  <c r="H3944" i="1"/>
  <c r="J3944" i="1" s="1"/>
  <c r="H3945" i="1"/>
  <c r="J3945" i="1" s="1"/>
  <c r="H3946" i="1"/>
  <c r="H3947" i="1"/>
  <c r="J3947" i="1" s="1"/>
  <c r="H3948" i="1"/>
  <c r="J3948" i="1" s="1"/>
  <c r="H3949" i="1"/>
  <c r="J3949" i="1" s="1"/>
  <c r="H3950" i="1"/>
  <c r="J3950" i="1" s="1"/>
  <c r="H3951" i="1"/>
  <c r="J3951" i="1" s="1"/>
  <c r="H3952" i="1"/>
  <c r="J3952" i="1" s="1"/>
  <c r="H3953" i="1"/>
  <c r="J3953" i="1" s="1"/>
  <c r="H3954" i="1"/>
  <c r="J3954" i="1" s="1"/>
  <c r="H3955" i="1"/>
  <c r="J3955" i="1" s="1"/>
  <c r="H3956" i="1"/>
  <c r="J3956" i="1" s="1"/>
  <c r="H3957" i="1"/>
  <c r="J3957" i="1" s="1"/>
  <c r="H3958" i="1"/>
  <c r="J3958" i="1" s="1"/>
  <c r="H3959" i="1"/>
  <c r="J3959" i="1" s="1"/>
  <c r="H3960" i="1"/>
  <c r="J3960" i="1" s="1"/>
  <c r="H3961" i="1"/>
  <c r="J3961" i="1" s="1"/>
  <c r="H3962" i="1"/>
  <c r="J3962" i="1" s="1"/>
  <c r="H3963" i="1"/>
  <c r="J3963" i="1" s="1"/>
  <c r="H3964" i="1"/>
  <c r="J3964" i="1" s="1"/>
  <c r="H3965" i="1"/>
  <c r="J3965" i="1" s="1"/>
  <c r="H3966" i="1"/>
  <c r="J3966" i="1" s="1"/>
  <c r="H3967" i="1"/>
  <c r="J3967" i="1" s="1"/>
  <c r="H3968" i="1"/>
  <c r="J3968" i="1" s="1"/>
  <c r="H3969" i="1"/>
  <c r="J3969" i="1" s="1"/>
  <c r="H3970" i="1"/>
  <c r="H3971" i="1"/>
  <c r="J3971" i="1" s="1"/>
  <c r="H3972" i="1"/>
  <c r="J3972" i="1" s="1"/>
  <c r="H3973" i="1"/>
  <c r="J3973" i="1" s="1"/>
  <c r="H3974" i="1"/>
  <c r="J3974" i="1" s="1"/>
  <c r="H3975" i="1"/>
  <c r="J3975" i="1" s="1"/>
  <c r="H3976" i="1"/>
  <c r="J3976" i="1" s="1"/>
  <c r="H3977" i="1"/>
  <c r="J3977" i="1" s="1"/>
  <c r="H3978" i="1"/>
  <c r="J3978" i="1" s="1"/>
  <c r="H3979" i="1"/>
  <c r="J3979" i="1" s="1"/>
  <c r="H3980" i="1"/>
  <c r="J3980" i="1" s="1"/>
  <c r="H3981" i="1"/>
  <c r="J3981" i="1" s="1"/>
  <c r="H3982" i="1"/>
  <c r="J3982" i="1" s="1"/>
  <c r="H3983" i="1"/>
  <c r="J3983" i="1" s="1"/>
  <c r="H3984" i="1"/>
  <c r="J3984" i="1" s="1"/>
  <c r="H3985" i="1"/>
  <c r="J3985" i="1" s="1"/>
  <c r="H3986" i="1"/>
  <c r="J3986" i="1" s="1"/>
  <c r="H3987" i="1"/>
  <c r="J3987" i="1" s="1"/>
  <c r="H3988" i="1"/>
  <c r="H3989" i="1"/>
  <c r="H3990" i="1"/>
  <c r="H3991" i="1"/>
  <c r="J3991" i="1" s="1"/>
  <c r="H3992" i="1"/>
  <c r="J3992" i="1" s="1"/>
  <c r="H3993" i="1"/>
  <c r="J3993" i="1" s="1"/>
  <c r="H3994" i="1"/>
  <c r="J3994" i="1" s="1"/>
  <c r="H3995" i="1"/>
  <c r="J3995" i="1" s="1"/>
  <c r="H3996" i="1"/>
  <c r="J3996" i="1" s="1"/>
  <c r="H3997" i="1"/>
  <c r="J3997" i="1" s="1"/>
  <c r="H3998" i="1"/>
  <c r="J3998" i="1" s="1"/>
  <c r="H3999" i="1"/>
  <c r="J3999" i="1" s="1"/>
  <c r="H4000" i="1"/>
  <c r="J4000" i="1" s="1"/>
  <c r="H4001" i="1"/>
  <c r="J4001" i="1" s="1"/>
  <c r="H4002" i="1"/>
  <c r="J4002" i="1" s="1"/>
  <c r="H4003" i="1"/>
  <c r="J4003" i="1" s="1"/>
  <c r="H4004" i="1"/>
  <c r="J4004" i="1" s="1"/>
  <c r="H4005" i="1"/>
  <c r="J4005" i="1" s="1"/>
  <c r="H4006" i="1"/>
  <c r="J4006" i="1" s="1"/>
  <c r="H4007" i="1"/>
  <c r="J4007" i="1" s="1"/>
  <c r="H4008" i="1"/>
  <c r="J4008" i="1" s="1"/>
  <c r="H4009" i="1"/>
  <c r="J4009" i="1" s="1"/>
  <c r="H4010" i="1"/>
  <c r="J4010" i="1" s="1"/>
  <c r="H4011" i="1"/>
  <c r="J4011" i="1" s="1"/>
  <c r="H4012" i="1"/>
  <c r="J4012" i="1" s="1"/>
  <c r="H4013" i="1"/>
  <c r="J4013" i="1" s="1"/>
  <c r="H4014" i="1"/>
  <c r="J4014" i="1" s="1"/>
  <c r="H4015" i="1"/>
  <c r="J4015" i="1" s="1"/>
  <c r="H4016" i="1"/>
  <c r="J4016" i="1" s="1"/>
  <c r="H4017" i="1"/>
  <c r="J4017" i="1" s="1"/>
  <c r="H4018" i="1"/>
  <c r="J4018" i="1" s="1"/>
  <c r="H4019" i="1"/>
  <c r="J4019" i="1" s="1"/>
  <c r="H4020" i="1"/>
  <c r="J4020" i="1" s="1"/>
  <c r="H4021" i="1"/>
  <c r="J4021" i="1" s="1"/>
  <c r="H4022" i="1"/>
  <c r="J4022" i="1" s="1"/>
  <c r="H4023" i="1"/>
  <c r="J4023" i="1" s="1"/>
  <c r="H4024" i="1"/>
  <c r="J4024" i="1" s="1"/>
  <c r="H4025" i="1"/>
  <c r="J4025" i="1" s="1"/>
  <c r="H4026" i="1"/>
  <c r="J4026" i="1" s="1"/>
  <c r="H4027" i="1"/>
  <c r="H4028" i="1"/>
  <c r="J4028" i="1" s="1"/>
  <c r="H4029" i="1"/>
  <c r="J4029" i="1" s="1"/>
  <c r="H4030" i="1"/>
  <c r="J4030" i="1" s="1"/>
  <c r="H4031" i="1"/>
  <c r="J4031" i="1" s="1"/>
  <c r="H4032" i="1"/>
  <c r="J4032" i="1" s="1"/>
  <c r="H4033" i="1"/>
  <c r="J4033" i="1" s="1"/>
  <c r="H4034" i="1"/>
  <c r="J4034" i="1" s="1"/>
  <c r="H4035" i="1"/>
  <c r="J4035" i="1" s="1"/>
  <c r="H4036" i="1"/>
  <c r="J4036" i="1" s="1"/>
  <c r="H4037" i="1"/>
  <c r="J4037" i="1" s="1"/>
  <c r="H4038" i="1"/>
  <c r="J4038" i="1" s="1"/>
  <c r="H4039" i="1"/>
  <c r="J4039" i="1" s="1"/>
  <c r="H4040" i="1"/>
  <c r="H4041" i="1"/>
  <c r="J4041" i="1" s="1"/>
  <c r="H4042" i="1"/>
  <c r="J4042" i="1" s="1"/>
  <c r="H4043" i="1"/>
  <c r="J4043" i="1" s="1"/>
  <c r="H4044" i="1"/>
  <c r="J4044" i="1" s="1"/>
  <c r="H4045" i="1"/>
  <c r="J4045" i="1" s="1"/>
  <c r="H4046" i="1"/>
  <c r="J4046" i="1" s="1"/>
  <c r="H4047" i="1"/>
  <c r="J4047" i="1" s="1"/>
  <c r="H4048" i="1"/>
  <c r="J4048" i="1" s="1"/>
  <c r="H4049" i="1"/>
  <c r="J4049" i="1" s="1"/>
  <c r="H4050" i="1"/>
  <c r="J4050" i="1" s="1"/>
  <c r="H4051" i="1"/>
  <c r="J4051" i="1" s="1"/>
  <c r="H4052" i="1"/>
  <c r="J4052" i="1" s="1"/>
  <c r="H4053" i="1"/>
  <c r="J4053" i="1" s="1"/>
  <c r="H4054" i="1"/>
  <c r="J4054" i="1" s="1"/>
  <c r="H4055" i="1"/>
  <c r="J4055" i="1" s="1"/>
  <c r="H4056" i="1"/>
  <c r="J4056" i="1" s="1"/>
  <c r="H4057" i="1"/>
  <c r="H4058" i="1"/>
  <c r="J4058" i="1" s="1"/>
  <c r="H4059" i="1"/>
  <c r="J4059" i="1" s="1"/>
  <c r="H4060" i="1"/>
  <c r="H4061" i="1"/>
  <c r="J4061" i="1" s="1"/>
  <c r="H4062" i="1"/>
  <c r="J4062" i="1" s="1"/>
  <c r="H4063" i="1"/>
  <c r="J4063" i="1" s="1"/>
  <c r="H4064" i="1"/>
  <c r="J4064" i="1" s="1"/>
  <c r="H4065" i="1"/>
  <c r="J4065" i="1" s="1"/>
  <c r="H4066" i="1"/>
  <c r="J4066" i="1" s="1"/>
  <c r="H4067" i="1"/>
  <c r="J4067" i="1" s="1"/>
  <c r="H4068" i="1"/>
  <c r="J4068" i="1" s="1"/>
  <c r="H4069" i="1"/>
  <c r="J4069" i="1" s="1"/>
  <c r="H4070" i="1"/>
  <c r="H4071" i="1"/>
  <c r="J4071" i="1" s="1"/>
  <c r="H4072" i="1"/>
  <c r="J4072" i="1" s="1"/>
  <c r="H4073" i="1"/>
  <c r="J4073" i="1" s="1"/>
  <c r="H4074" i="1"/>
  <c r="J4074" i="1" s="1"/>
  <c r="H4075" i="1"/>
  <c r="J4075" i="1" s="1"/>
  <c r="H4076" i="1"/>
  <c r="J4076" i="1" s="1"/>
  <c r="H4077" i="1"/>
  <c r="J4077" i="1" s="1"/>
  <c r="H4078" i="1"/>
  <c r="J4078" i="1" s="1"/>
  <c r="H4079" i="1"/>
  <c r="J4079" i="1" s="1"/>
  <c r="H4080" i="1"/>
  <c r="J4080" i="1" s="1"/>
  <c r="H4081" i="1"/>
  <c r="J4081" i="1" s="1"/>
  <c r="H4082" i="1"/>
  <c r="J4082" i="1" s="1"/>
  <c r="H4083" i="1"/>
  <c r="J4083" i="1" s="1"/>
  <c r="H4084" i="1"/>
  <c r="J4084" i="1" s="1"/>
  <c r="H4085" i="1"/>
  <c r="J4085" i="1" s="1"/>
  <c r="H4086" i="1"/>
  <c r="J4086" i="1" s="1"/>
  <c r="H4087" i="1"/>
  <c r="J4087" i="1" s="1"/>
  <c r="H4088" i="1"/>
  <c r="J4088" i="1" s="1"/>
  <c r="H4089" i="1"/>
  <c r="J4089" i="1" s="1"/>
  <c r="H4090" i="1"/>
  <c r="J4090" i="1" s="1"/>
  <c r="H4091" i="1"/>
  <c r="J4091" i="1" s="1"/>
  <c r="H4092" i="1"/>
  <c r="J4092" i="1" s="1"/>
  <c r="H4093" i="1"/>
  <c r="J4093" i="1" s="1"/>
  <c r="H4094" i="1"/>
  <c r="J4094" i="1" s="1"/>
  <c r="H4095" i="1"/>
  <c r="J4095" i="1" s="1"/>
  <c r="H4096" i="1"/>
  <c r="J4096" i="1" s="1"/>
  <c r="H4097" i="1"/>
  <c r="J4097" i="1" s="1"/>
  <c r="H4098" i="1"/>
  <c r="J4098" i="1" s="1"/>
  <c r="H4099" i="1"/>
  <c r="J4099" i="1" s="1"/>
  <c r="H4100" i="1"/>
  <c r="J4100" i="1" s="1"/>
  <c r="H4101" i="1"/>
  <c r="J4101" i="1" s="1"/>
  <c r="H4102" i="1"/>
  <c r="J4102" i="1" s="1"/>
  <c r="H4103" i="1"/>
  <c r="H4104" i="1"/>
  <c r="J4104" i="1" s="1"/>
  <c r="H4105" i="1"/>
  <c r="J4105" i="1" s="1"/>
  <c r="H4106" i="1"/>
  <c r="J4106" i="1" s="1"/>
  <c r="H4107" i="1"/>
  <c r="J4107" i="1" s="1"/>
  <c r="H4108" i="1"/>
  <c r="J4108" i="1" s="1"/>
  <c r="H4109" i="1"/>
  <c r="J4109" i="1" s="1"/>
  <c r="H4110" i="1"/>
  <c r="J4110" i="1" s="1"/>
  <c r="H4111" i="1"/>
  <c r="J4111" i="1" s="1"/>
  <c r="H4112" i="1"/>
  <c r="J4112" i="1" s="1"/>
  <c r="H4113" i="1"/>
  <c r="J4113" i="1" s="1"/>
  <c r="H4114" i="1"/>
  <c r="J4114" i="1" s="1"/>
  <c r="H4115" i="1"/>
  <c r="J4115" i="1" s="1"/>
  <c r="H4116" i="1"/>
  <c r="J4116" i="1" s="1"/>
  <c r="H4117" i="1"/>
  <c r="J4117" i="1" s="1"/>
  <c r="H4118" i="1"/>
  <c r="J4118" i="1" s="1"/>
  <c r="H4119" i="1"/>
  <c r="J4119" i="1" s="1"/>
  <c r="H4120" i="1"/>
  <c r="J4120" i="1" s="1"/>
  <c r="H4121" i="1"/>
  <c r="J4121" i="1" s="1"/>
  <c r="H4122" i="1"/>
  <c r="J4122" i="1" s="1"/>
  <c r="H4123" i="1"/>
  <c r="J4123" i="1" s="1"/>
  <c r="H4124" i="1"/>
  <c r="J4124" i="1" s="1"/>
  <c r="H4125" i="1"/>
  <c r="J4125" i="1" s="1"/>
  <c r="H4126" i="1"/>
  <c r="J4126" i="1" s="1"/>
  <c r="H4127" i="1"/>
  <c r="J4127" i="1" s="1"/>
  <c r="H4128" i="1"/>
  <c r="J4128" i="1" s="1"/>
  <c r="H4129" i="1"/>
  <c r="J4129" i="1" s="1"/>
  <c r="H4130" i="1"/>
  <c r="J4130" i="1" s="1"/>
  <c r="H4131" i="1"/>
  <c r="J4131" i="1" s="1"/>
  <c r="H4132" i="1"/>
  <c r="J4132" i="1" s="1"/>
  <c r="H4133" i="1"/>
  <c r="J4133" i="1" s="1"/>
  <c r="H4134" i="1"/>
  <c r="J4134" i="1" s="1"/>
  <c r="H4135" i="1"/>
  <c r="J4135" i="1" s="1"/>
  <c r="H4136" i="1"/>
  <c r="J4136" i="1" s="1"/>
  <c r="H4137" i="1"/>
  <c r="J4137" i="1" s="1"/>
  <c r="H4138" i="1"/>
  <c r="J4138" i="1" s="1"/>
  <c r="H4139" i="1"/>
  <c r="J4139" i="1" s="1"/>
  <c r="H4140" i="1"/>
  <c r="J4140" i="1" s="1"/>
  <c r="H4141" i="1"/>
  <c r="J4141" i="1" s="1"/>
  <c r="H4142" i="1"/>
  <c r="H4143" i="1"/>
  <c r="J4143" i="1" s="1"/>
  <c r="H4144" i="1"/>
  <c r="J4144" i="1" s="1"/>
  <c r="H4145" i="1"/>
  <c r="H4146" i="1"/>
  <c r="J4146" i="1" s="1"/>
  <c r="H4147" i="1"/>
  <c r="J4147" i="1" s="1"/>
  <c r="H4148" i="1"/>
  <c r="J4148" i="1" s="1"/>
  <c r="H4149" i="1"/>
  <c r="J4149" i="1" s="1"/>
  <c r="H4150" i="1"/>
  <c r="J4150" i="1" s="1"/>
  <c r="H4151" i="1"/>
  <c r="J4151" i="1" s="1"/>
  <c r="H4152" i="1"/>
  <c r="J4152" i="1" s="1"/>
  <c r="H4153" i="1"/>
  <c r="J4153" i="1" s="1"/>
  <c r="H4154" i="1"/>
  <c r="J4154" i="1" s="1"/>
  <c r="H4155" i="1"/>
  <c r="J4155" i="1" s="1"/>
  <c r="H4156" i="1"/>
  <c r="J4156" i="1" s="1"/>
  <c r="H4157" i="1"/>
  <c r="J4157" i="1" s="1"/>
  <c r="H4158" i="1"/>
  <c r="J4158" i="1" s="1"/>
  <c r="H4159" i="1"/>
  <c r="J4159" i="1" s="1"/>
  <c r="H4160" i="1"/>
  <c r="J4160" i="1" s="1"/>
  <c r="H4161" i="1"/>
  <c r="J4161" i="1" s="1"/>
  <c r="H4162" i="1"/>
  <c r="J4162" i="1" s="1"/>
  <c r="H4163" i="1"/>
  <c r="J4163" i="1" s="1"/>
  <c r="H4164" i="1"/>
  <c r="J4164" i="1" s="1"/>
  <c r="H4165" i="1"/>
  <c r="J4165" i="1" s="1"/>
  <c r="H4166" i="1"/>
  <c r="J4166" i="1" s="1"/>
  <c r="H4167" i="1"/>
  <c r="J4167" i="1" s="1"/>
  <c r="H4168" i="1"/>
  <c r="J4168" i="1" s="1"/>
  <c r="H4169" i="1"/>
  <c r="J4169" i="1" s="1"/>
  <c r="H4170" i="1"/>
  <c r="J4170" i="1" s="1"/>
  <c r="H4171" i="1"/>
  <c r="J4171" i="1" s="1"/>
  <c r="H4172" i="1"/>
  <c r="J4172" i="1" s="1"/>
  <c r="H4173" i="1"/>
  <c r="J4173" i="1" s="1"/>
  <c r="H4174" i="1"/>
  <c r="J4174" i="1" s="1"/>
  <c r="H4175" i="1"/>
  <c r="J4175" i="1" s="1"/>
  <c r="H4176" i="1"/>
  <c r="J4176" i="1" s="1"/>
  <c r="H4177" i="1"/>
  <c r="J4177" i="1" s="1"/>
  <c r="H4178" i="1"/>
  <c r="J4178" i="1" s="1"/>
  <c r="H4179" i="1"/>
  <c r="J4179" i="1" s="1"/>
  <c r="H4180" i="1"/>
  <c r="J4180" i="1" s="1"/>
  <c r="H4181" i="1"/>
  <c r="J4181" i="1" s="1"/>
  <c r="H4182" i="1"/>
  <c r="J4182" i="1" s="1"/>
  <c r="H4183" i="1"/>
  <c r="J4183" i="1" s="1"/>
  <c r="H4184" i="1"/>
  <c r="J4184" i="1" s="1"/>
  <c r="H4185" i="1"/>
  <c r="J4185" i="1" s="1"/>
  <c r="H4186" i="1"/>
  <c r="J4186" i="1" s="1"/>
  <c r="H4187" i="1"/>
  <c r="J4187" i="1" s="1"/>
  <c r="H4188" i="1"/>
  <c r="J4188" i="1" s="1"/>
  <c r="H4189" i="1"/>
  <c r="J4189" i="1" s="1"/>
  <c r="H4190" i="1"/>
  <c r="J4190" i="1" s="1"/>
  <c r="H4191" i="1"/>
  <c r="J4191" i="1" s="1"/>
  <c r="H4192" i="1"/>
  <c r="J4192" i="1" s="1"/>
  <c r="H4193" i="1"/>
  <c r="J4193" i="1" s="1"/>
  <c r="H4194" i="1"/>
  <c r="J4194" i="1" s="1"/>
  <c r="H4195" i="1"/>
  <c r="J4195" i="1" s="1"/>
  <c r="H4196" i="1"/>
  <c r="J4196" i="1" s="1"/>
  <c r="H4197" i="1"/>
  <c r="J4197" i="1" s="1"/>
  <c r="H4198" i="1"/>
  <c r="J4198" i="1" s="1"/>
  <c r="H4199" i="1"/>
  <c r="J4199" i="1" s="1"/>
  <c r="H4200" i="1"/>
  <c r="J4200" i="1" s="1"/>
  <c r="H4201" i="1"/>
  <c r="H4202" i="1"/>
  <c r="J4202" i="1" s="1"/>
  <c r="H4203" i="1"/>
  <c r="J4203" i="1" s="1"/>
  <c r="H4204" i="1"/>
  <c r="J4204" i="1" s="1"/>
  <c r="H4205" i="1"/>
  <c r="J4205" i="1" s="1"/>
  <c r="H4206" i="1"/>
  <c r="J4206" i="1" s="1"/>
  <c r="H4207" i="1"/>
  <c r="J4207" i="1" s="1"/>
  <c r="H4208" i="1"/>
  <c r="J4208" i="1" s="1"/>
  <c r="H4209" i="1"/>
  <c r="J4209" i="1" s="1"/>
  <c r="H4210" i="1"/>
  <c r="J4210" i="1" s="1"/>
  <c r="H4211" i="1"/>
  <c r="J4211" i="1" s="1"/>
  <c r="H4212" i="1"/>
  <c r="J4212" i="1" s="1"/>
  <c r="H4213" i="1"/>
  <c r="J4213" i="1" s="1"/>
  <c r="H4214" i="1"/>
  <c r="J4214" i="1" s="1"/>
  <c r="H4215" i="1"/>
  <c r="J4215" i="1" s="1"/>
  <c r="H4216" i="1"/>
  <c r="J4216" i="1" s="1"/>
  <c r="H4217" i="1"/>
  <c r="J4217" i="1" s="1"/>
  <c r="H4218" i="1"/>
  <c r="J4218" i="1" s="1"/>
  <c r="H4219" i="1"/>
  <c r="J4219" i="1" s="1"/>
  <c r="H4220" i="1"/>
  <c r="J4220" i="1" s="1"/>
  <c r="H4221" i="1"/>
  <c r="J4221" i="1" s="1"/>
  <c r="H4222" i="1"/>
  <c r="J4222" i="1" s="1"/>
  <c r="H4223" i="1"/>
  <c r="J4223" i="1" s="1"/>
  <c r="H4224" i="1"/>
  <c r="J4224" i="1" s="1"/>
  <c r="H4225" i="1"/>
  <c r="J4225" i="1" s="1"/>
  <c r="H4226" i="1"/>
  <c r="J4226" i="1" s="1"/>
  <c r="H4227" i="1"/>
  <c r="J4227" i="1" s="1"/>
  <c r="H4228" i="1"/>
  <c r="J4228" i="1" s="1"/>
  <c r="H4229" i="1"/>
  <c r="J4229" i="1" s="1"/>
  <c r="H4230" i="1"/>
  <c r="J4230" i="1" s="1"/>
  <c r="H4231" i="1"/>
  <c r="J4231" i="1" s="1"/>
  <c r="H4232" i="1"/>
  <c r="J4232" i="1" s="1"/>
  <c r="H4233" i="1"/>
  <c r="J4233" i="1" s="1"/>
  <c r="H4234" i="1"/>
  <c r="J4234" i="1" s="1"/>
  <c r="H4235" i="1"/>
  <c r="J4235" i="1" s="1"/>
  <c r="H4236" i="1"/>
  <c r="J4236" i="1" s="1"/>
  <c r="H4237" i="1"/>
  <c r="J4237" i="1" s="1"/>
  <c r="H4238" i="1"/>
  <c r="J4238" i="1" s="1"/>
  <c r="H4239" i="1"/>
  <c r="J4239" i="1" s="1"/>
  <c r="H4240" i="1"/>
  <c r="J4240" i="1" s="1"/>
  <c r="H4241" i="1"/>
  <c r="J4241" i="1" s="1"/>
  <c r="H4242" i="1"/>
  <c r="J4242" i="1" s="1"/>
  <c r="H4243" i="1"/>
  <c r="H4244" i="1"/>
  <c r="J4244" i="1" s="1"/>
  <c r="H4245" i="1"/>
  <c r="J4245" i="1" s="1"/>
  <c r="H4246" i="1"/>
  <c r="J4246" i="1" s="1"/>
  <c r="H4247" i="1"/>
  <c r="J4247" i="1" s="1"/>
  <c r="H4248" i="1"/>
  <c r="J4248" i="1" s="1"/>
  <c r="H4249" i="1"/>
  <c r="J4249" i="1" s="1"/>
  <c r="H4250" i="1"/>
  <c r="J4250" i="1" s="1"/>
  <c r="H4251" i="1"/>
  <c r="J4251" i="1" s="1"/>
  <c r="H4252" i="1"/>
  <c r="J4252" i="1" s="1"/>
  <c r="H4253" i="1"/>
  <c r="J4253" i="1" s="1"/>
  <c r="H4254" i="1"/>
  <c r="J4254" i="1" s="1"/>
  <c r="H4255" i="1"/>
  <c r="J4255" i="1" s="1"/>
  <c r="H4256" i="1"/>
  <c r="J4256" i="1" s="1"/>
  <c r="H4257" i="1"/>
  <c r="J4257" i="1" s="1"/>
  <c r="H4258" i="1"/>
  <c r="J4258" i="1" s="1"/>
  <c r="H4259" i="1"/>
  <c r="J4259" i="1" s="1"/>
  <c r="H4260" i="1"/>
  <c r="J4260" i="1" s="1"/>
  <c r="H4261" i="1"/>
  <c r="J4261" i="1" s="1"/>
  <c r="H4262" i="1"/>
  <c r="J4262" i="1" s="1"/>
  <c r="H4263" i="1"/>
  <c r="J4263" i="1" s="1"/>
  <c r="H4264" i="1"/>
  <c r="J4264" i="1" s="1"/>
  <c r="H4265" i="1"/>
  <c r="J4265" i="1" s="1"/>
  <c r="H4266" i="1"/>
  <c r="J4266" i="1" s="1"/>
  <c r="H4267" i="1"/>
  <c r="J4267" i="1" s="1"/>
  <c r="H4268" i="1"/>
  <c r="J4268" i="1" s="1"/>
  <c r="H4269" i="1"/>
  <c r="J4269" i="1" s="1"/>
  <c r="H4270" i="1"/>
  <c r="J4270" i="1" s="1"/>
  <c r="H4271" i="1"/>
  <c r="J4271" i="1" s="1"/>
  <c r="H4272" i="1"/>
  <c r="J4272" i="1" s="1"/>
  <c r="H4273" i="1"/>
  <c r="J4273" i="1" s="1"/>
  <c r="H4274" i="1"/>
  <c r="J4274" i="1" s="1"/>
  <c r="H4275" i="1"/>
  <c r="J4275" i="1" s="1"/>
  <c r="H4276" i="1"/>
  <c r="J4276" i="1" s="1"/>
  <c r="H4277" i="1"/>
  <c r="J4277" i="1" s="1"/>
  <c r="H4278" i="1"/>
  <c r="J4278" i="1" s="1"/>
  <c r="H4279" i="1"/>
  <c r="J4279" i="1" s="1"/>
  <c r="H4280" i="1"/>
  <c r="J4280" i="1" s="1"/>
  <c r="H4281" i="1"/>
  <c r="J4281" i="1" s="1"/>
  <c r="H4282" i="1"/>
  <c r="J4282" i="1" s="1"/>
  <c r="H4283" i="1"/>
  <c r="J4283" i="1" s="1"/>
  <c r="H4284" i="1"/>
  <c r="J4284" i="1" s="1"/>
  <c r="H4285" i="1"/>
  <c r="J4285" i="1" s="1"/>
  <c r="H4286" i="1"/>
  <c r="J4286" i="1" s="1"/>
  <c r="H4287" i="1"/>
  <c r="J4287" i="1" s="1"/>
  <c r="H4288" i="1"/>
  <c r="J4288" i="1" s="1"/>
  <c r="H4289" i="1"/>
  <c r="J4289" i="1" s="1"/>
  <c r="H4290" i="1"/>
  <c r="J4290" i="1" s="1"/>
  <c r="H4291" i="1"/>
  <c r="J4291" i="1" s="1"/>
  <c r="H4292" i="1"/>
  <c r="J4292" i="1" s="1"/>
  <c r="H4293" i="1"/>
  <c r="J4293" i="1" s="1"/>
  <c r="H4294" i="1"/>
  <c r="J4294" i="1" s="1"/>
  <c r="H4295" i="1"/>
  <c r="J4295" i="1" s="1"/>
  <c r="H4296" i="1"/>
  <c r="J4296" i="1" s="1"/>
  <c r="H4297" i="1"/>
  <c r="J4297" i="1" s="1"/>
  <c r="H4298" i="1"/>
  <c r="J4298" i="1" s="1"/>
  <c r="H4299" i="1"/>
  <c r="J4299" i="1" s="1"/>
  <c r="H4300" i="1"/>
  <c r="J4300" i="1" s="1"/>
  <c r="H4301" i="1"/>
  <c r="J4301" i="1" s="1"/>
  <c r="H4302" i="1"/>
  <c r="J4302" i="1" s="1"/>
  <c r="H4303" i="1"/>
  <c r="J4303" i="1" s="1"/>
  <c r="H4304" i="1"/>
  <c r="J4304" i="1" s="1"/>
  <c r="H4305" i="1"/>
  <c r="J4305" i="1" s="1"/>
  <c r="H4306" i="1"/>
  <c r="J4306" i="1" s="1"/>
  <c r="H4307" i="1"/>
  <c r="J4307" i="1" s="1"/>
  <c r="H4308" i="1"/>
  <c r="J4308" i="1" s="1"/>
  <c r="H4309" i="1"/>
  <c r="J4309" i="1" s="1"/>
  <c r="H4310" i="1"/>
  <c r="J4310" i="1" s="1"/>
  <c r="H4311" i="1"/>
  <c r="J4311" i="1" s="1"/>
  <c r="H4312" i="1"/>
  <c r="J4312" i="1" s="1"/>
  <c r="H4313" i="1"/>
  <c r="J4313" i="1" s="1"/>
  <c r="H4314" i="1"/>
  <c r="J4314" i="1" s="1"/>
  <c r="H4315" i="1"/>
  <c r="J4315" i="1" s="1"/>
  <c r="H4316" i="1"/>
  <c r="J4316" i="1" s="1"/>
  <c r="H4317" i="1"/>
  <c r="J4317" i="1" s="1"/>
  <c r="H4318" i="1"/>
  <c r="J4318" i="1" s="1"/>
  <c r="H4319" i="1"/>
  <c r="H4320" i="1"/>
  <c r="J4320" i="1" s="1"/>
  <c r="H4321" i="1"/>
  <c r="J4321" i="1" s="1"/>
  <c r="H4322" i="1"/>
  <c r="J4322" i="1" s="1"/>
  <c r="H4323" i="1"/>
  <c r="J4323" i="1" s="1"/>
  <c r="H4324" i="1"/>
  <c r="J4324" i="1" s="1"/>
  <c r="H4325" i="1"/>
  <c r="J4325" i="1" s="1"/>
  <c r="H4326" i="1"/>
  <c r="J4326" i="1" s="1"/>
  <c r="H4327" i="1"/>
  <c r="J4327" i="1" s="1"/>
  <c r="H4328" i="1"/>
  <c r="J4328" i="1" s="1"/>
  <c r="H4329" i="1"/>
  <c r="J4329" i="1" s="1"/>
  <c r="H4330" i="1"/>
  <c r="J4330" i="1" s="1"/>
  <c r="H4331" i="1"/>
  <c r="J4331" i="1" s="1"/>
  <c r="H4332" i="1"/>
  <c r="J4332" i="1" s="1"/>
  <c r="H4333" i="1"/>
  <c r="J4333" i="1" s="1"/>
  <c r="H4334" i="1"/>
  <c r="J4334" i="1" s="1"/>
  <c r="H4335" i="1"/>
  <c r="J4335" i="1" s="1"/>
  <c r="H4336" i="1"/>
  <c r="J4336" i="1" s="1"/>
  <c r="H4337" i="1"/>
  <c r="J4337" i="1" s="1"/>
  <c r="H4338" i="1"/>
  <c r="J4338" i="1" s="1"/>
  <c r="H4339" i="1"/>
  <c r="J4339" i="1" s="1"/>
  <c r="H4340" i="1"/>
  <c r="J4340" i="1" s="1"/>
  <c r="H4341" i="1"/>
  <c r="J4341" i="1" s="1"/>
  <c r="H4342" i="1"/>
  <c r="J4342" i="1" s="1"/>
  <c r="H4343" i="1"/>
  <c r="J4343" i="1" s="1"/>
  <c r="H4344" i="1"/>
  <c r="J4344" i="1" s="1"/>
  <c r="H4345" i="1"/>
  <c r="J4345" i="1" s="1"/>
  <c r="H4346" i="1"/>
  <c r="J4346" i="1" s="1"/>
  <c r="H4347" i="1"/>
  <c r="J4347" i="1" s="1"/>
  <c r="H4348" i="1"/>
  <c r="J4348" i="1" s="1"/>
  <c r="H4349" i="1"/>
  <c r="H4350" i="1"/>
  <c r="J4350" i="1" s="1"/>
  <c r="H4351" i="1"/>
  <c r="J4351" i="1" s="1"/>
  <c r="H4352" i="1"/>
  <c r="J4352" i="1" s="1"/>
  <c r="H4353" i="1"/>
  <c r="J4353" i="1" s="1"/>
  <c r="H4354" i="1"/>
  <c r="J4354" i="1" s="1"/>
  <c r="H4355" i="1"/>
  <c r="J4355" i="1" s="1"/>
  <c r="H4356" i="1"/>
  <c r="J4356" i="1" s="1"/>
  <c r="H4357" i="1"/>
  <c r="J4357" i="1" s="1"/>
  <c r="H4358" i="1"/>
  <c r="J4358" i="1" s="1"/>
  <c r="H4359" i="1"/>
  <c r="J4359" i="1" s="1"/>
  <c r="H4360" i="1"/>
  <c r="J4360" i="1" s="1"/>
  <c r="H4361" i="1"/>
  <c r="J4361" i="1" s="1"/>
  <c r="H4362" i="1"/>
  <c r="J4362" i="1" s="1"/>
  <c r="H4363" i="1"/>
  <c r="J4363" i="1" s="1"/>
  <c r="H4364" i="1"/>
  <c r="J4364" i="1" s="1"/>
  <c r="H4365" i="1"/>
  <c r="J4365" i="1" s="1"/>
  <c r="H4366" i="1"/>
  <c r="J4366" i="1" s="1"/>
  <c r="H4367" i="1"/>
  <c r="J4367" i="1" s="1"/>
  <c r="H4368" i="1"/>
  <c r="J4368" i="1" s="1"/>
  <c r="H4369" i="1"/>
  <c r="J4369" i="1" s="1"/>
  <c r="H4370" i="1"/>
  <c r="J4370" i="1" s="1"/>
  <c r="H4371" i="1"/>
  <c r="J4371" i="1" s="1"/>
  <c r="H4372" i="1"/>
  <c r="J4372" i="1" s="1"/>
  <c r="H4373" i="1"/>
  <c r="J4373" i="1" s="1"/>
  <c r="H4374" i="1"/>
  <c r="J4374" i="1" s="1"/>
  <c r="H4375" i="1"/>
  <c r="J4375" i="1" s="1"/>
  <c r="H4376" i="1"/>
  <c r="J4376" i="1" s="1"/>
  <c r="H4377" i="1"/>
  <c r="J4377" i="1" s="1"/>
  <c r="H4378" i="1"/>
  <c r="J4378" i="1" s="1"/>
  <c r="H4379" i="1"/>
  <c r="J4379" i="1" s="1"/>
  <c r="H4380" i="1"/>
  <c r="J4380" i="1" s="1"/>
  <c r="H4381" i="1"/>
  <c r="J4381" i="1" s="1"/>
  <c r="H4382" i="1"/>
  <c r="J4382" i="1" s="1"/>
  <c r="H4383" i="1"/>
  <c r="J4383" i="1" s="1"/>
  <c r="H4384" i="1"/>
  <c r="J4384" i="1" s="1"/>
  <c r="H4385" i="1"/>
  <c r="J4385" i="1" s="1"/>
  <c r="H4386" i="1"/>
  <c r="J4386" i="1" s="1"/>
  <c r="H4387" i="1"/>
  <c r="J4387" i="1" s="1"/>
  <c r="H4388" i="1"/>
  <c r="H4389" i="1"/>
  <c r="J4389" i="1" s="1"/>
  <c r="H4390" i="1"/>
  <c r="J4390" i="1" s="1"/>
  <c r="H4391" i="1"/>
  <c r="J4391" i="1" s="1"/>
  <c r="H4392" i="1"/>
  <c r="J4392" i="1" s="1"/>
  <c r="H4393" i="1"/>
  <c r="J4393" i="1" s="1"/>
  <c r="H4394" i="1"/>
  <c r="J4394" i="1" s="1"/>
  <c r="H4395" i="1"/>
  <c r="J4395" i="1" s="1"/>
  <c r="H4396" i="1"/>
  <c r="J4396" i="1" s="1"/>
  <c r="H4397" i="1"/>
  <c r="J4397" i="1" s="1"/>
  <c r="H4398" i="1"/>
  <c r="J4398" i="1" s="1"/>
  <c r="H4399" i="1"/>
  <c r="J4399" i="1" s="1"/>
  <c r="H4400" i="1"/>
  <c r="H4401" i="1"/>
  <c r="J4401" i="1" s="1"/>
  <c r="H4402" i="1"/>
  <c r="J4402" i="1" s="1"/>
  <c r="H4403" i="1"/>
  <c r="J4403" i="1" s="1"/>
  <c r="H4404" i="1"/>
  <c r="J4404" i="1" s="1"/>
  <c r="H4405" i="1"/>
  <c r="J4405" i="1" s="1"/>
  <c r="H4406" i="1"/>
  <c r="J4406" i="1" s="1"/>
  <c r="H4407" i="1"/>
  <c r="J4407" i="1" s="1"/>
  <c r="H4408" i="1"/>
  <c r="H4409" i="1"/>
  <c r="J4409" i="1" s="1"/>
  <c r="H4410" i="1"/>
  <c r="J4410" i="1" s="1"/>
  <c r="H4411" i="1"/>
  <c r="J4411" i="1" s="1"/>
  <c r="H4412" i="1"/>
  <c r="J4412" i="1" s="1"/>
  <c r="H4413" i="1"/>
  <c r="J4413" i="1" s="1"/>
  <c r="H4414" i="1"/>
  <c r="J4414" i="1" s="1"/>
  <c r="H4415" i="1"/>
  <c r="J4415" i="1" s="1"/>
  <c r="H4416" i="1"/>
  <c r="J4416" i="1" s="1"/>
  <c r="H4417" i="1"/>
  <c r="J4417" i="1" s="1"/>
  <c r="H4418" i="1"/>
  <c r="J4418" i="1" s="1"/>
  <c r="H4419" i="1"/>
  <c r="J4419" i="1" s="1"/>
  <c r="H4420" i="1"/>
  <c r="J4420" i="1" s="1"/>
  <c r="H4421" i="1"/>
  <c r="J4421" i="1" s="1"/>
  <c r="H4422" i="1"/>
  <c r="J4422" i="1" s="1"/>
  <c r="H4423" i="1"/>
  <c r="J4423" i="1" s="1"/>
  <c r="H4424" i="1"/>
  <c r="J4424" i="1" s="1"/>
  <c r="H4425" i="1"/>
  <c r="J4425" i="1" s="1"/>
  <c r="H4426" i="1"/>
  <c r="J4426" i="1" s="1"/>
  <c r="H4427" i="1"/>
  <c r="J4427" i="1" s="1"/>
  <c r="H4428" i="1"/>
  <c r="J4428" i="1" s="1"/>
  <c r="H4429" i="1"/>
  <c r="J4429" i="1" s="1"/>
  <c r="H4430" i="1"/>
  <c r="J4430" i="1" s="1"/>
  <c r="H4431" i="1"/>
  <c r="J4431" i="1" s="1"/>
  <c r="H4432" i="1"/>
  <c r="J4432" i="1" s="1"/>
  <c r="H4433" i="1"/>
  <c r="J4433" i="1" s="1"/>
  <c r="H4434" i="1"/>
  <c r="J4434" i="1" s="1"/>
  <c r="H4435" i="1"/>
  <c r="J4435" i="1" s="1"/>
  <c r="H4436" i="1"/>
  <c r="J4436" i="1" s="1"/>
  <c r="H4437" i="1"/>
  <c r="J4437" i="1" s="1"/>
  <c r="H4438" i="1"/>
  <c r="J4438" i="1" s="1"/>
  <c r="H4439" i="1"/>
  <c r="J4439" i="1" s="1"/>
  <c r="H4440" i="1"/>
  <c r="J4440" i="1" s="1"/>
  <c r="H4441" i="1"/>
  <c r="J4441" i="1" s="1"/>
  <c r="H4442" i="1"/>
  <c r="J4442" i="1" s="1"/>
  <c r="H4443" i="1"/>
  <c r="J4443" i="1" s="1"/>
  <c r="H4444" i="1"/>
  <c r="J4444" i="1" s="1"/>
  <c r="H4445" i="1"/>
  <c r="J4445" i="1" s="1"/>
  <c r="H4446" i="1"/>
  <c r="J4446" i="1" s="1"/>
  <c r="H4447" i="1"/>
  <c r="J4447" i="1" s="1"/>
  <c r="H4448" i="1"/>
  <c r="J4448" i="1" s="1"/>
  <c r="H4449" i="1"/>
  <c r="J4449" i="1" s="1"/>
  <c r="H4450" i="1"/>
  <c r="H4451" i="1"/>
  <c r="J4451" i="1" s="1"/>
  <c r="H4452" i="1"/>
  <c r="J4452" i="1" s="1"/>
  <c r="H4453" i="1"/>
  <c r="J4453" i="1" s="1"/>
  <c r="H4454" i="1"/>
  <c r="J4454" i="1" s="1"/>
  <c r="H4455" i="1"/>
  <c r="J4455" i="1" s="1"/>
  <c r="H4456" i="1"/>
  <c r="J4456" i="1" s="1"/>
  <c r="H4457" i="1"/>
  <c r="J4457" i="1" s="1"/>
  <c r="H4458" i="1"/>
  <c r="J4458" i="1" s="1"/>
  <c r="H4459" i="1"/>
  <c r="J4459" i="1" s="1"/>
  <c r="H4460" i="1"/>
  <c r="J4460" i="1" s="1"/>
  <c r="H4461" i="1"/>
  <c r="J4461" i="1" s="1"/>
  <c r="H4462" i="1"/>
  <c r="J4462" i="1" s="1"/>
  <c r="H4463" i="1"/>
  <c r="J4463" i="1" s="1"/>
  <c r="H4464" i="1"/>
  <c r="J4464" i="1" s="1"/>
  <c r="H4465" i="1"/>
  <c r="J4465" i="1" s="1"/>
  <c r="H4466" i="1"/>
  <c r="J4466" i="1" s="1"/>
  <c r="H4467" i="1"/>
  <c r="J4467" i="1" s="1"/>
  <c r="H4468" i="1"/>
  <c r="J4468" i="1" s="1"/>
  <c r="H4469" i="1"/>
  <c r="J4469" i="1" s="1"/>
  <c r="H4470" i="1"/>
  <c r="J4470" i="1" s="1"/>
  <c r="H4471" i="1"/>
  <c r="J4471" i="1" s="1"/>
  <c r="H4472" i="1"/>
  <c r="J4472" i="1" s="1"/>
  <c r="H4473" i="1"/>
  <c r="J4473" i="1" s="1"/>
  <c r="H4474" i="1"/>
  <c r="J4474" i="1" s="1"/>
  <c r="H4475" i="1"/>
  <c r="J4475" i="1" s="1"/>
  <c r="H4476" i="1"/>
  <c r="J4476" i="1" s="1"/>
  <c r="H4477" i="1"/>
  <c r="J4477" i="1" s="1"/>
  <c r="H4478" i="1"/>
  <c r="J4478" i="1" s="1"/>
  <c r="H4479" i="1"/>
  <c r="J4479" i="1" s="1"/>
  <c r="H4480" i="1"/>
  <c r="J4480" i="1" s="1"/>
  <c r="H4481" i="1"/>
  <c r="J4481" i="1" s="1"/>
  <c r="H4482" i="1"/>
  <c r="J4482" i="1" s="1"/>
  <c r="H4483" i="1"/>
  <c r="H4484" i="1"/>
  <c r="J4484" i="1" s="1"/>
  <c r="H4485" i="1"/>
  <c r="J4485" i="1" s="1"/>
  <c r="H4486" i="1"/>
  <c r="J4486" i="1" s="1"/>
  <c r="H4487" i="1"/>
  <c r="J4487" i="1" s="1"/>
  <c r="H4488" i="1"/>
  <c r="J4488" i="1" s="1"/>
  <c r="H4489" i="1"/>
  <c r="J4489" i="1" s="1"/>
  <c r="H4490" i="1"/>
  <c r="J4490" i="1" s="1"/>
  <c r="H4491" i="1"/>
  <c r="J4491" i="1" s="1"/>
  <c r="H4492" i="1"/>
  <c r="J4492" i="1" s="1"/>
  <c r="H4493" i="1"/>
  <c r="J4493" i="1" s="1"/>
  <c r="H4494" i="1"/>
  <c r="J4494" i="1" s="1"/>
  <c r="H4495" i="1"/>
  <c r="J4495" i="1" s="1"/>
  <c r="H4496" i="1"/>
  <c r="J4496" i="1" s="1"/>
  <c r="H4497" i="1"/>
  <c r="J4497" i="1" s="1"/>
  <c r="H4498" i="1"/>
  <c r="H4499" i="1"/>
  <c r="J4499" i="1" s="1"/>
  <c r="H4500" i="1"/>
  <c r="J4500" i="1" s="1"/>
  <c r="H4501" i="1"/>
  <c r="J4501" i="1" s="1"/>
  <c r="H4502" i="1"/>
  <c r="J4502" i="1" s="1"/>
  <c r="H4503" i="1"/>
  <c r="J4503" i="1" s="1"/>
  <c r="H4504" i="1"/>
  <c r="J4504" i="1" s="1"/>
  <c r="H4505" i="1"/>
  <c r="J4505" i="1" s="1"/>
  <c r="H4506" i="1"/>
  <c r="J4506" i="1" s="1"/>
  <c r="H4507" i="1"/>
  <c r="J4507" i="1" s="1"/>
  <c r="H4508" i="1"/>
  <c r="J4508" i="1" s="1"/>
  <c r="H4509" i="1"/>
  <c r="J4509" i="1" s="1"/>
  <c r="H4510" i="1"/>
  <c r="J4510" i="1" s="1"/>
  <c r="H4511" i="1"/>
  <c r="J4511" i="1" s="1"/>
  <c r="H4512" i="1"/>
  <c r="J4512" i="1" s="1"/>
  <c r="H4513" i="1"/>
  <c r="J4513" i="1" s="1"/>
  <c r="H4514" i="1"/>
  <c r="J4514" i="1" s="1"/>
  <c r="H4515" i="1"/>
  <c r="J4515" i="1" s="1"/>
  <c r="H4516" i="1"/>
  <c r="H4517" i="1"/>
  <c r="J4517" i="1" s="1"/>
  <c r="H4518" i="1"/>
  <c r="J4518" i="1" s="1"/>
  <c r="H4519" i="1"/>
  <c r="J4519" i="1" s="1"/>
  <c r="H4520" i="1"/>
  <c r="J4520" i="1" s="1"/>
  <c r="H4521" i="1"/>
  <c r="J4521" i="1" s="1"/>
  <c r="H4522" i="1"/>
  <c r="J4522" i="1" s="1"/>
  <c r="H4523" i="1"/>
  <c r="J4523" i="1" s="1"/>
  <c r="H4524" i="1"/>
  <c r="J4524" i="1" s="1"/>
  <c r="H4525" i="1"/>
  <c r="J4525" i="1" s="1"/>
  <c r="H4526" i="1"/>
  <c r="J4526" i="1" s="1"/>
  <c r="H4527" i="1"/>
  <c r="J4527" i="1" s="1"/>
  <c r="H4528" i="1"/>
  <c r="J4528" i="1" s="1"/>
  <c r="H4529" i="1"/>
  <c r="J4529" i="1" s="1"/>
  <c r="H4530" i="1"/>
  <c r="J4530" i="1" s="1"/>
  <c r="H4531" i="1"/>
  <c r="J4531" i="1" s="1"/>
  <c r="H4532" i="1"/>
  <c r="J4532" i="1" s="1"/>
  <c r="H4533" i="1"/>
  <c r="J4533" i="1" s="1"/>
  <c r="H4534" i="1"/>
  <c r="J4534" i="1" s="1"/>
  <c r="H4535" i="1"/>
  <c r="J4535" i="1" s="1"/>
  <c r="H4536" i="1"/>
  <c r="J4536" i="1" s="1"/>
  <c r="H4537" i="1"/>
  <c r="J4537" i="1" s="1"/>
  <c r="H4538" i="1"/>
  <c r="J4538" i="1" s="1"/>
  <c r="H4539" i="1"/>
  <c r="J4539" i="1" s="1"/>
  <c r="H4540" i="1"/>
  <c r="J4540" i="1" s="1"/>
  <c r="H4541" i="1"/>
  <c r="J4541" i="1" s="1"/>
  <c r="H4542" i="1"/>
  <c r="J4542" i="1" s="1"/>
  <c r="H4543" i="1"/>
  <c r="J4543" i="1" s="1"/>
  <c r="H4544" i="1"/>
  <c r="J4544" i="1" s="1"/>
  <c r="H4545" i="1"/>
  <c r="J4545" i="1" s="1"/>
  <c r="H4546" i="1"/>
  <c r="J4546" i="1" s="1"/>
  <c r="H4547" i="1"/>
  <c r="J4547" i="1" s="1"/>
  <c r="H4548" i="1"/>
  <c r="H4549" i="1"/>
  <c r="J4549" i="1" s="1"/>
  <c r="H4550" i="1"/>
  <c r="J4550" i="1" s="1"/>
  <c r="H4551" i="1"/>
  <c r="J4551" i="1" s="1"/>
  <c r="H4552" i="1"/>
  <c r="J4552" i="1" s="1"/>
  <c r="H4553" i="1"/>
  <c r="J4553" i="1" s="1"/>
  <c r="H4554" i="1"/>
  <c r="J4554" i="1" s="1"/>
  <c r="H4555" i="1"/>
  <c r="H4556" i="1"/>
  <c r="J4556" i="1" s="1"/>
  <c r="H4557" i="1"/>
  <c r="J4557" i="1" s="1"/>
  <c r="H4558" i="1"/>
  <c r="J4558" i="1" s="1"/>
  <c r="H4559" i="1"/>
  <c r="J4559" i="1" s="1"/>
  <c r="H4560" i="1"/>
  <c r="J4560" i="1" s="1"/>
  <c r="H4561" i="1"/>
  <c r="J4561" i="1" s="1"/>
  <c r="H4562" i="1"/>
  <c r="J4562" i="1" s="1"/>
  <c r="H4563" i="1"/>
  <c r="J4563" i="1" s="1"/>
  <c r="H4564" i="1"/>
  <c r="J4564" i="1" s="1"/>
  <c r="H4565" i="1"/>
  <c r="J4565" i="1" s="1"/>
  <c r="H4566" i="1"/>
  <c r="J4566" i="1" s="1"/>
  <c r="H4567" i="1"/>
  <c r="J4567" i="1" s="1"/>
  <c r="H4568" i="1"/>
  <c r="J4568" i="1" s="1"/>
  <c r="H4569" i="1"/>
  <c r="J4569" i="1" s="1"/>
  <c r="H4570" i="1"/>
  <c r="J4570" i="1" s="1"/>
  <c r="H4571" i="1"/>
  <c r="J4571" i="1" s="1"/>
  <c r="H4572" i="1"/>
  <c r="J4572" i="1" s="1"/>
  <c r="H4573" i="1"/>
  <c r="J4573" i="1" s="1"/>
  <c r="H4574" i="1"/>
  <c r="H4575" i="1"/>
  <c r="J4575" i="1" s="1"/>
  <c r="H4576" i="1"/>
  <c r="J4576" i="1" s="1"/>
  <c r="H4577" i="1"/>
  <c r="H4578" i="1"/>
  <c r="J4578" i="1" s="1"/>
  <c r="H4579" i="1"/>
  <c r="J4579" i="1" s="1"/>
  <c r="H4580" i="1"/>
  <c r="J4580" i="1" s="1"/>
  <c r="H4581" i="1"/>
  <c r="J4581" i="1" s="1"/>
  <c r="H4582" i="1"/>
  <c r="J4582" i="1" s="1"/>
  <c r="H4583" i="1"/>
  <c r="J4583" i="1" s="1"/>
  <c r="H4584" i="1"/>
  <c r="J4584" i="1" s="1"/>
  <c r="H4585" i="1"/>
  <c r="J4585" i="1" s="1"/>
  <c r="H4586" i="1"/>
  <c r="J4586" i="1" s="1"/>
  <c r="H4587" i="1"/>
  <c r="J4587" i="1" s="1"/>
  <c r="H4588" i="1"/>
  <c r="J4588" i="1" s="1"/>
  <c r="H4589" i="1"/>
  <c r="J4589" i="1" s="1"/>
  <c r="H4590" i="1"/>
  <c r="J4590" i="1" s="1"/>
  <c r="H4591" i="1"/>
  <c r="J4591" i="1" s="1"/>
  <c r="H4592" i="1"/>
  <c r="J4592" i="1" s="1"/>
  <c r="H4593" i="1"/>
  <c r="J4593" i="1" s="1"/>
  <c r="H4594" i="1"/>
  <c r="J4594" i="1" s="1"/>
  <c r="H4595" i="1"/>
  <c r="J4595" i="1" s="1"/>
  <c r="H4596" i="1"/>
  <c r="J4596" i="1" s="1"/>
  <c r="H4597" i="1"/>
  <c r="J4597" i="1" s="1"/>
  <c r="H4598" i="1"/>
  <c r="J4598" i="1" s="1"/>
  <c r="H4599" i="1"/>
  <c r="J4599" i="1" s="1"/>
  <c r="H4600" i="1"/>
  <c r="J4600" i="1" s="1"/>
  <c r="H4601" i="1"/>
  <c r="J4601" i="1" s="1"/>
  <c r="H4602" i="1"/>
  <c r="J4602" i="1" s="1"/>
  <c r="H4603" i="1"/>
  <c r="J4603" i="1" s="1"/>
  <c r="H4604" i="1"/>
  <c r="H4605" i="1"/>
  <c r="J4605" i="1" s="1"/>
  <c r="H4606" i="1"/>
  <c r="J4606" i="1" s="1"/>
  <c r="H4607" i="1"/>
  <c r="H4608" i="1"/>
  <c r="J4608" i="1" s="1"/>
  <c r="H4609" i="1"/>
  <c r="J4609" i="1" s="1"/>
  <c r="H4610" i="1"/>
  <c r="J4610" i="1" s="1"/>
  <c r="H4611" i="1"/>
  <c r="J4611" i="1" s="1"/>
  <c r="H4612" i="1"/>
  <c r="J4612" i="1" s="1"/>
  <c r="H4613" i="1"/>
  <c r="J4613" i="1" s="1"/>
  <c r="H4614" i="1"/>
  <c r="J4614" i="1" s="1"/>
  <c r="H4615" i="1"/>
  <c r="J4615" i="1" s="1"/>
  <c r="H4616" i="1"/>
  <c r="J4616" i="1" s="1"/>
  <c r="H4617" i="1"/>
  <c r="J4617" i="1" s="1"/>
  <c r="H4618" i="1"/>
  <c r="J4618" i="1" s="1"/>
  <c r="H4619" i="1"/>
  <c r="J4619" i="1" s="1"/>
  <c r="H4620" i="1"/>
  <c r="J4620" i="1" s="1"/>
  <c r="H4621" i="1"/>
  <c r="J4621" i="1" s="1"/>
  <c r="H4622" i="1"/>
  <c r="J4622" i="1" s="1"/>
  <c r="H4623" i="1"/>
  <c r="J4623" i="1" s="1"/>
  <c r="H4624" i="1"/>
  <c r="J4624" i="1" s="1"/>
  <c r="H4625" i="1"/>
  <c r="J4625" i="1" s="1"/>
  <c r="H4626" i="1"/>
  <c r="J4626" i="1" s="1"/>
  <c r="H4627" i="1"/>
  <c r="J4627" i="1" s="1"/>
  <c r="H4628" i="1"/>
  <c r="J4628" i="1" s="1"/>
  <c r="H4629" i="1"/>
  <c r="J4629" i="1" s="1"/>
  <c r="H4630" i="1"/>
  <c r="J4630" i="1" s="1"/>
  <c r="H4631" i="1"/>
  <c r="J4631" i="1" s="1"/>
  <c r="H4632" i="1"/>
  <c r="J4632" i="1" s="1"/>
  <c r="H4633" i="1"/>
  <c r="J4633" i="1" s="1"/>
  <c r="H4634" i="1"/>
  <c r="J4634" i="1" s="1"/>
  <c r="H4635" i="1"/>
  <c r="J4635" i="1" s="1"/>
  <c r="H4636" i="1"/>
  <c r="J4636" i="1" s="1"/>
  <c r="H4637" i="1"/>
  <c r="J4637" i="1" s="1"/>
  <c r="H4638" i="1"/>
  <c r="J4638" i="1" s="1"/>
  <c r="H4639" i="1"/>
  <c r="J4639" i="1" s="1"/>
  <c r="H4640" i="1"/>
  <c r="J4640" i="1" s="1"/>
  <c r="H4641" i="1"/>
  <c r="J4641" i="1" s="1"/>
  <c r="H4642" i="1"/>
  <c r="H4643" i="1"/>
  <c r="J4643" i="1" s="1"/>
  <c r="H4644" i="1"/>
  <c r="J4644" i="1" s="1"/>
  <c r="H4645" i="1"/>
  <c r="J4645" i="1" s="1"/>
  <c r="H4646" i="1"/>
  <c r="J4646" i="1" s="1"/>
  <c r="H4647" i="1"/>
  <c r="J4647" i="1" s="1"/>
  <c r="H4648" i="1"/>
  <c r="J4648" i="1" s="1"/>
  <c r="H4649" i="1"/>
  <c r="J4649" i="1" s="1"/>
  <c r="H4650" i="1"/>
  <c r="J4650" i="1" s="1"/>
  <c r="H4651" i="1"/>
  <c r="J4651" i="1" s="1"/>
  <c r="H4652" i="1"/>
  <c r="J4652" i="1" s="1"/>
  <c r="H4653" i="1"/>
  <c r="J4653" i="1" s="1"/>
  <c r="H4654" i="1"/>
  <c r="J4654" i="1" s="1"/>
  <c r="H4655" i="1"/>
  <c r="J4655" i="1" s="1"/>
  <c r="H4656" i="1"/>
  <c r="J4656" i="1" s="1"/>
  <c r="H4657" i="1"/>
  <c r="J4657" i="1" s="1"/>
  <c r="H4658" i="1"/>
  <c r="J4658" i="1" s="1"/>
  <c r="H4659" i="1"/>
  <c r="J4659" i="1" s="1"/>
  <c r="H4660" i="1"/>
  <c r="J4660" i="1" s="1"/>
  <c r="H4661" i="1"/>
  <c r="J4661" i="1" s="1"/>
  <c r="H4662" i="1"/>
  <c r="H4663" i="1"/>
  <c r="H4664" i="1"/>
  <c r="J4664" i="1" s="1"/>
  <c r="H4665" i="1"/>
  <c r="J4665" i="1" s="1"/>
  <c r="H4666" i="1"/>
  <c r="J4666" i="1" s="1"/>
  <c r="H4667" i="1"/>
  <c r="J4667" i="1" s="1"/>
  <c r="H4668" i="1"/>
  <c r="J4668" i="1" s="1"/>
  <c r="H4669" i="1"/>
  <c r="J4669" i="1" s="1"/>
  <c r="H4670" i="1"/>
  <c r="J4670" i="1" s="1"/>
  <c r="H4671" i="1"/>
  <c r="J4671" i="1" s="1"/>
  <c r="H4672" i="1"/>
  <c r="J4672" i="1" s="1"/>
  <c r="H4673" i="1"/>
  <c r="J4673" i="1" s="1"/>
  <c r="H4674" i="1"/>
  <c r="J4674" i="1" s="1"/>
  <c r="H4675" i="1"/>
  <c r="J4675" i="1" s="1"/>
  <c r="H4676" i="1"/>
  <c r="H4677" i="1"/>
  <c r="J4677" i="1" s="1"/>
  <c r="H4678" i="1"/>
  <c r="J4678" i="1" s="1"/>
  <c r="H4679" i="1"/>
  <c r="J4679" i="1" s="1"/>
  <c r="H4680" i="1"/>
  <c r="J4680" i="1" s="1"/>
  <c r="H4681" i="1"/>
  <c r="H4682" i="1"/>
  <c r="J4682" i="1" s="1"/>
  <c r="H4683" i="1"/>
  <c r="J4683" i="1" s="1"/>
  <c r="H4684" i="1"/>
  <c r="J4684" i="1" s="1"/>
  <c r="H4685" i="1"/>
  <c r="J4685" i="1" s="1"/>
  <c r="H4686" i="1"/>
  <c r="J4686" i="1" s="1"/>
  <c r="H4687" i="1"/>
  <c r="J4687" i="1" s="1"/>
  <c r="H4688" i="1"/>
  <c r="J4688" i="1" s="1"/>
  <c r="H4689" i="1"/>
  <c r="J4689" i="1" s="1"/>
  <c r="H4690" i="1"/>
  <c r="H4691" i="1"/>
  <c r="J4691" i="1" s="1"/>
  <c r="H4692" i="1"/>
  <c r="J4692" i="1" s="1"/>
  <c r="H4693" i="1"/>
  <c r="J4693" i="1" s="1"/>
  <c r="H4694" i="1"/>
  <c r="J4694" i="1" s="1"/>
  <c r="H4695" i="1"/>
  <c r="J4695" i="1" s="1"/>
  <c r="H4696" i="1"/>
  <c r="J4696" i="1" s="1"/>
  <c r="H4697" i="1"/>
  <c r="J4697" i="1" s="1"/>
  <c r="H4698" i="1"/>
  <c r="J4698" i="1" s="1"/>
  <c r="H4699" i="1"/>
  <c r="J4699" i="1" s="1"/>
  <c r="H4700" i="1"/>
  <c r="J4700" i="1" s="1"/>
  <c r="H4701" i="1"/>
  <c r="J4701" i="1" s="1"/>
  <c r="H4702" i="1"/>
  <c r="J4702" i="1" s="1"/>
  <c r="H4703" i="1"/>
  <c r="J4703" i="1" s="1"/>
  <c r="H4704" i="1"/>
  <c r="J4704" i="1" s="1"/>
  <c r="H4705" i="1"/>
  <c r="J4705" i="1" s="1"/>
  <c r="H4706" i="1"/>
  <c r="J4706" i="1" s="1"/>
  <c r="H4707" i="1"/>
  <c r="J4707" i="1" s="1"/>
  <c r="H4708" i="1"/>
  <c r="J4708" i="1" s="1"/>
  <c r="H4709" i="1"/>
  <c r="J4709" i="1" s="1"/>
  <c r="H4710" i="1"/>
  <c r="J4710" i="1" s="1"/>
  <c r="H4711" i="1"/>
  <c r="J4711" i="1" s="1"/>
  <c r="H4712" i="1"/>
  <c r="J4712" i="1" s="1"/>
  <c r="H4713" i="1"/>
  <c r="J4713" i="1" s="1"/>
  <c r="H4714" i="1"/>
  <c r="H4715" i="1"/>
  <c r="J4715" i="1" s="1"/>
  <c r="H4716" i="1"/>
  <c r="J4716" i="1" s="1"/>
  <c r="H4717" i="1"/>
  <c r="J4717" i="1" s="1"/>
  <c r="H4718" i="1"/>
  <c r="J4718" i="1" s="1"/>
  <c r="H4719" i="1"/>
  <c r="J4719" i="1" s="1"/>
  <c r="H4720" i="1"/>
  <c r="J4720" i="1" s="1"/>
  <c r="H4721" i="1"/>
  <c r="H4722" i="1"/>
  <c r="H4723" i="1"/>
  <c r="J4723" i="1" s="1"/>
  <c r="H4724" i="1"/>
  <c r="J4724" i="1" s="1"/>
  <c r="H4725" i="1"/>
  <c r="J4725" i="1" s="1"/>
  <c r="H4726" i="1"/>
  <c r="J4726" i="1" s="1"/>
  <c r="H4727" i="1"/>
  <c r="J4727" i="1" s="1"/>
  <c r="H4728" i="1"/>
  <c r="J4728" i="1" s="1"/>
  <c r="H4729" i="1"/>
  <c r="J4729" i="1" s="1"/>
  <c r="H4730" i="1"/>
  <c r="J4730" i="1" s="1"/>
  <c r="H4731" i="1"/>
  <c r="J4731" i="1" s="1"/>
  <c r="H4732" i="1"/>
  <c r="J4732" i="1" s="1"/>
  <c r="H4733" i="1"/>
  <c r="J4733" i="1" s="1"/>
  <c r="H4734" i="1"/>
  <c r="J4734" i="1" s="1"/>
  <c r="H4735" i="1"/>
  <c r="J4735" i="1" s="1"/>
  <c r="H4736" i="1"/>
  <c r="J4736" i="1" s="1"/>
  <c r="H4737" i="1"/>
  <c r="J4737" i="1" s="1"/>
  <c r="H4738" i="1"/>
  <c r="J4738" i="1" s="1"/>
  <c r="H4739" i="1"/>
  <c r="J4739" i="1" s="1"/>
  <c r="H4740" i="1"/>
  <c r="J4740" i="1" s="1"/>
  <c r="H4741" i="1"/>
  <c r="J4741" i="1" s="1"/>
  <c r="H4742" i="1"/>
  <c r="J4742" i="1" s="1"/>
  <c r="H4743" i="1"/>
  <c r="J4743" i="1" s="1"/>
  <c r="H4744" i="1"/>
  <c r="J4744" i="1" s="1"/>
  <c r="H4745" i="1"/>
  <c r="J4745" i="1" s="1"/>
  <c r="H4746" i="1"/>
  <c r="J4746" i="1" s="1"/>
  <c r="H4747" i="1"/>
  <c r="J4747" i="1" s="1"/>
  <c r="H4748" i="1"/>
  <c r="J4748" i="1" s="1"/>
  <c r="H4749" i="1"/>
  <c r="J4749" i="1" s="1"/>
  <c r="H4750" i="1"/>
  <c r="J4750" i="1" s="1"/>
  <c r="H4751" i="1"/>
  <c r="J4751" i="1" s="1"/>
  <c r="H4752" i="1"/>
  <c r="J4752" i="1" s="1"/>
  <c r="H4753" i="1"/>
  <c r="J4753" i="1" s="1"/>
  <c r="H4754" i="1"/>
  <c r="J4754" i="1" s="1"/>
  <c r="H4755" i="1"/>
  <c r="J4755" i="1" s="1"/>
  <c r="H4756" i="1"/>
  <c r="J4756" i="1" s="1"/>
  <c r="H4757" i="1"/>
  <c r="J4757" i="1" s="1"/>
  <c r="H4758" i="1"/>
  <c r="J4758" i="1" s="1"/>
  <c r="H4759" i="1"/>
  <c r="J4759" i="1" s="1"/>
  <c r="H4760" i="1"/>
  <c r="J4760" i="1" s="1"/>
  <c r="H4761" i="1"/>
  <c r="J4761" i="1" s="1"/>
  <c r="H4762" i="1"/>
  <c r="J4762" i="1" s="1"/>
  <c r="H4763" i="1"/>
  <c r="J4763" i="1" s="1"/>
  <c r="H4764" i="1"/>
  <c r="J4764" i="1" s="1"/>
  <c r="H4765" i="1"/>
  <c r="J4765" i="1" s="1"/>
  <c r="H4766" i="1"/>
  <c r="J4766" i="1" s="1"/>
  <c r="H4767" i="1"/>
  <c r="J4767" i="1" s="1"/>
  <c r="H4768" i="1"/>
  <c r="J4768" i="1" s="1"/>
  <c r="H4769" i="1"/>
  <c r="J4769" i="1" s="1"/>
  <c r="H4770" i="1"/>
  <c r="J4770" i="1" s="1"/>
  <c r="H4771" i="1"/>
  <c r="J4771" i="1" s="1"/>
  <c r="H4772" i="1"/>
  <c r="J4772" i="1" s="1"/>
  <c r="H4773" i="1"/>
  <c r="J4773" i="1" s="1"/>
  <c r="H4774" i="1"/>
  <c r="J4774" i="1" s="1"/>
  <c r="H4775" i="1"/>
  <c r="J4775" i="1" s="1"/>
  <c r="H4776" i="1"/>
  <c r="J4776" i="1" s="1"/>
  <c r="H4777" i="1"/>
  <c r="J4777" i="1" s="1"/>
  <c r="H4778" i="1"/>
  <c r="J4778" i="1" s="1"/>
  <c r="H4779" i="1"/>
  <c r="J4779" i="1" s="1"/>
  <c r="H4780" i="1"/>
  <c r="J4780" i="1" s="1"/>
  <c r="H4781" i="1"/>
  <c r="J4781" i="1" s="1"/>
  <c r="H4782" i="1"/>
  <c r="J4782" i="1" s="1"/>
  <c r="H4783" i="1"/>
  <c r="J4783" i="1" s="1"/>
  <c r="H4784" i="1"/>
  <c r="J4784" i="1" s="1"/>
  <c r="H4785" i="1"/>
  <c r="J4785" i="1" s="1"/>
  <c r="H4786" i="1"/>
  <c r="H4787" i="1"/>
  <c r="J4787" i="1" s="1"/>
  <c r="H4788" i="1"/>
  <c r="J4788" i="1" s="1"/>
  <c r="H4789" i="1"/>
  <c r="H4790" i="1"/>
  <c r="J4790" i="1" s="1"/>
  <c r="H4791" i="1"/>
  <c r="J4791" i="1" s="1"/>
  <c r="H4792" i="1"/>
  <c r="J4792" i="1" s="1"/>
  <c r="H4793" i="1"/>
  <c r="J4793" i="1" s="1"/>
  <c r="H4794" i="1"/>
  <c r="J4794" i="1" s="1"/>
  <c r="H4795" i="1"/>
  <c r="J4795" i="1" s="1"/>
  <c r="H4796" i="1"/>
  <c r="J4796" i="1" s="1"/>
  <c r="H4797" i="1"/>
  <c r="J4797" i="1" s="1"/>
  <c r="H4798" i="1"/>
  <c r="J4798" i="1" s="1"/>
  <c r="H4799" i="1"/>
  <c r="J4799" i="1" s="1"/>
  <c r="H4800" i="1"/>
  <c r="J4800" i="1" s="1"/>
  <c r="H4801" i="1"/>
  <c r="J4801" i="1" s="1"/>
  <c r="H4802" i="1"/>
  <c r="J4802" i="1" s="1"/>
  <c r="H4803" i="1"/>
  <c r="J4803" i="1" s="1"/>
  <c r="H4804" i="1"/>
  <c r="H4805" i="1"/>
  <c r="J4805" i="1" s="1"/>
  <c r="H4806" i="1"/>
  <c r="J4806" i="1" s="1"/>
  <c r="H4807" i="1"/>
  <c r="J4807" i="1" s="1"/>
  <c r="H4808" i="1"/>
  <c r="J4808" i="1" s="1"/>
  <c r="H4809" i="1"/>
  <c r="J4809" i="1" s="1"/>
  <c r="H4810" i="1"/>
  <c r="J4810" i="1" s="1"/>
  <c r="H4811" i="1"/>
  <c r="J4811" i="1" s="1"/>
  <c r="H4812" i="1"/>
  <c r="J4812" i="1" s="1"/>
  <c r="H4813" i="1"/>
  <c r="J4813" i="1" s="1"/>
  <c r="H4814" i="1"/>
  <c r="H4815" i="1"/>
  <c r="J4815" i="1" s="1"/>
  <c r="H4816" i="1"/>
  <c r="J4816" i="1" s="1"/>
  <c r="H4817" i="1"/>
  <c r="J4817" i="1" s="1"/>
  <c r="H4818" i="1"/>
  <c r="J4818" i="1" s="1"/>
  <c r="H4819" i="1"/>
  <c r="J4819" i="1" s="1"/>
  <c r="H4820" i="1"/>
  <c r="J4820" i="1" s="1"/>
  <c r="H4821" i="1"/>
  <c r="J4821" i="1" s="1"/>
  <c r="H4822" i="1"/>
  <c r="J4822" i="1" s="1"/>
  <c r="H4823" i="1"/>
  <c r="J4823" i="1" s="1"/>
  <c r="H4824" i="1"/>
  <c r="J4824" i="1" s="1"/>
  <c r="H4825" i="1"/>
  <c r="J4825" i="1" s="1"/>
  <c r="H4826" i="1"/>
  <c r="J4826" i="1" s="1"/>
  <c r="H4827" i="1"/>
  <c r="J4827" i="1" s="1"/>
  <c r="H4828" i="1"/>
  <c r="J4828" i="1" s="1"/>
  <c r="H4829" i="1"/>
  <c r="J4829" i="1" s="1"/>
  <c r="H4830" i="1"/>
  <c r="J4830" i="1" s="1"/>
  <c r="H4831" i="1"/>
  <c r="H4832" i="1"/>
  <c r="J4832" i="1" s="1"/>
  <c r="H4833" i="1"/>
  <c r="J4833" i="1" s="1"/>
  <c r="H4834" i="1"/>
  <c r="J4834" i="1" s="1"/>
  <c r="H4835" i="1"/>
  <c r="J4835" i="1" s="1"/>
  <c r="H4836" i="1"/>
  <c r="J4836" i="1" s="1"/>
  <c r="H4837" i="1"/>
  <c r="J4837" i="1" s="1"/>
  <c r="H4838" i="1"/>
  <c r="J4838" i="1" s="1"/>
  <c r="H4839" i="1"/>
  <c r="J4839" i="1" s="1"/>
  <c r="H4840" i="1"/>
  <c r="J4840" i="1" s="1"/>
  <c r="H4841" i="1"/>
  <c r="J4841" i="1" s="1"/>
  <c r="H4842" i="1"/>
  <c r="J4842" i="1" s="1"/>
  <c r="H4843" i="1"/>
  <c r="J4843" i="1" s="1"/>
  <c r="H4844" i="1"/>
  <c r="J4844" i="1" s="1"/>
  <c r="H4845" i="1"/>
  <c r="J4845" i="1" s="1"/>
  <c r="H4846" i="1"/>
  <c r="H4847" i="1"/>
  <c r="J4847" i="1" s="1"/>
  <c r="H4848" i="1"/>
  <c r="J4848" i="1" s="1"/>
  <c r="H4849" i="1"/>
  <c r="J4849" i="1" s="1"/>
  <c r="H4850" i="1"/>
  <c r="J4850" i="1" s="1"/>
  <c r="H4851" i="1"/>
  <c r="J4851" i="1" s="1"/>
  <c r="H4852" i="1"/>
  <c r="J4852" i="1" s="1"/>
  <c r="H4853" i="1"/>
  <c r="J4853" i="1" s="1"/>
  <c r="H4854" i="1"/>
  <c r="J4854" i="1" s="1"/>
  <c r="H4855" i="1"/>
  <c r="J4855" i="1" s="1"/>
  <c r="H4856" i="1"/>
  <c r="H4857" i="1"/>
  <c r="J4857" i="1" s="1"/>
  <c r="H4858" i="1"/>
  <c r="J4858" i="1" s="1"/>
  <c r="H4859" i="1"/>
  <c r="J4859" i="1" s="1"/>
  <c r="H4860" i="1"/>
  <c r="J4860" i="1" s="1"/>
  <c r="H4861" i="1"/>
  <c r="J4861" i="1" s="1"/>
  <c r="H4862" i="1"/>
  <c r="J4862" i="1" s="1"/>
  <c r="H4863" i="1"/>
  <c r="J4863" i="1" s="1"/>
  <c r="H4864" i="1"/>
  <c r="J4864" i="1" s="1"/>
  <c r="H4865" i="1"/>
  <c r="J4865" i="1" s="1"/>
  <c r="H4866" i="1"/>
  <c r="J4866" i="1" s="1"/>
  <c r="H4867" i="1"/>
  <c r="H4868" i="1"/>
  <c r="J4868" i="1" s="1"/>
  <c r="H4869" i="1"/>
  <c r="J4869" i="1" s="1"/>
  <c r="H4870" i="1"/>
  <c r="J4870" i="1" s="1"/>
  <c r="H4871" i="1"/>
  <c r="J4871" i="1" s="1"/>
  <c r="H4872" i="1"/>
  <c r="J4872" i="1" s="1"/>
  <c r="H4873" i="1"/>
  <c r="J4873" i="1" s="1"/>
  <c r="H4874" i="1"/>
  <c r="J4874" i="1" s="1"/>
  <c r="H4875" i="1"/>
  <c r="J4875" i="1" s="1"/>
  <c r="H4876" i="1"/>
  <c r="J4876" i="1" s="1"/>
  <c r="H4877" i="1"/>
  <c r="J4877" i="1" s="1"/>
  <c r="H4878" i="1"/>
  <c r="J4878" i="1" s="1"/>
  <c r="H4879" i="1"/>
  <c r="J4879" i="1" s="1"/>
  <c r="H4880" i="1"/>
  <c r="J4880" i="1" s="1"/>
  <c r="H4881" i="1"/>
  <c r="J4881" i="1" s="1"/>
  <c r="H4882" i="1"/>
  <c r="H4883" i="1"/>
  <c r="J4883" i="1" s="1"/>
  <c r="H4884" i="1"/>
  <c r="J4884" i="1" s="1"/>
  <c r="H4885" i="1"/>
  <c r="J4885" i="1" s="1"/>
  <c r="H4886" i="1"/>
  <c r="J4886" i="1" s="1"/>
  <c r="H4887" i="1"/>
  <c r="J4887" i="1" s="1"/>
  <c r="H4888" i="1"/>
  <c r="J4888" i="1" s="1"/>
  <c r="H4889" i="1"/>
  <c r="J4889" i="1" s="1"/>
  <c r="H4890" i="1"/>
  <c r="J4890" i="1" s="1"/>
  <c r="H4891" i="1"/>
  <c r="J4891" i="1" s="1"/>
  <c r="H4892" i="1"/>
  <c r="J4892" i="1" s="1"/>
  <c r="H4893" i="1"/>
  <c r="H4894" i="1"/>
  <c r="J4894" i="1" s="1"/>
  <c r="H4895" i="1"/>
  <c r="J4895" i="1" s="1"/>
  <c r="H4896" i="1"/>
  <c r="J4896" i="1" s="1"/>
  <c r="H4897" i="1"/>
  <c r="J4897" i="1" s="1"/>
  <c r="H4898" i="1"/>
  <c r="J4898" i="1" s="1"/>
  <c r="H4899" i="1"/>
  <c r="J4899" i="1" s="1"/>
  <c r="H4900" i="1"/>
  <c r="J4900" i="1" s="1"/>
  <c r="H4901" i="1"/>
  <c r="H4902" i="1"/>
  <c r="J4902" i="1" s="1"/>
  <c r="H4903" i="1"/>
  <c r="J4903" i="1" s="1"/>
  <c r="H4904" i="1"/>
  <c r="J4904" i="1" s="1"/>
  <c r="H4905" i="1"/>
  <c r="J4905" i="1" s="1"/>
  <c r="H4906" i="1"/>
  <c r="J4906" i="1" s="1"/>
  <c r="H4907" i="1"/>
  <c r="J4907" i="1" s="1"/>
  <c r="H4908" i="1"/>
  <c r="J4908" i="1" s="1"/>
  <c r="H4909" i="1"/>
  <c r="J4909" i="1" s="1"/>
  <c r="H4910" i="1"/>
  <c r="J4910" i="1" s="1"/>
  <c r="H4911" i="1"/>
  <c r="J4911" i="1" s="1"/>
  <c r="H4912" i="1"/>
  <c r="J4912" i="1" s="1"/>
  <c r="H4913" i="1"/>
  <c r="J4913" i="1" s="1"/>
  <c r="H4914" i="1"/>
  <c r="J4914" i="1" s="1"/>
  <c r="H4915" i="1"/>
  <c r="J4915" i="1" s="1"/>
  <c r="H4916" i="1"/>
  <c r="J4916" i="1" s="1"/>
  <c r="H4917" i="1"/>
  <c r="J4917" i="1" s="1"/>
  <c r="H4918" i="1"/>
  <c r="J4918" i="1" s="1"/>
  <c r="H4919" i="1"/>
  <c r="J4919" i="1" s="1"/>
  <c r="H4920" i="1"/>
  <c r="J4920" i="1" s="1"/>
  <c r="H4921" i="1"/>
  <c r="J4921" i="1" s="1"/>
  <c r="H4922" i="1"/>
  <c r="J4922" i="1" s="1"/>
  <c r="H4923" i="1"/>
  <c r="J4923" i="1" s="1"/>
  <c r="H4924" i="1"/>
  <c r="J4924" i="1" s="1"/>
  <c r="H4925" i="1"/>
  <c r="J4925" i="1" s="1"/>
  <c r="H4926" i="1"/>
  <c r="J4926" i="1" s="1"/>
  <c r="H4927" i="1"/>
  <c r="J4927" i="1" s="1"/>
  <c r="H4928" i="1"/>
  <c r="J4928" i="1" s="1"/>
  <c r="H4929" i="1"/>
  <c r="J4929" i="1" s="1"/>
  <c r="H4930" i="1"/>
  <c r="J4930" i="1" s="1"/>
  <c r="H4931" i="1"/>
  <c r="J4931" i="1" s="1"/>
  <c r="H4932" i="1"/>
  <c r="J4932" i="1" s="1"/>
  <c r="H4933" i="1"/>
  <c r="J4933" i="1" s="1"/>
  <c r="H4934" i="1"/>
  <c r="J4934" i="1" s="1"/>
  <c r="H4935" i="1"/>
  <c r="J4935" i="1" s="1"/>
  <c r="H4936" i="1"/>
  <c r="J4936" i="1" s="1"/>
  <c r="H4937" i="1"/>
  <c r="J4937" i="1" s="1"/>
  <c r="H4938" i="1"/>
  <c r="J4938" i="1" s="1"/>
  <c r="H4939" i="1"/>
  <c r="J4939" i="1" s="1"/>
  <c r="H4940" i="1"/>
  <c r="J4940" i="1" s="1"/>
  <c r="H4941" i="1"/>
  <c r="J4941" i="1" s="1"/>
  <c r="H4942" i="1"/>
  <c r="J4942" i="1" s="1"/>
  <c r="H4943" i="1"/>
  <c r="J4943" i="1" s="1"/>
  <c r="H4944" i="1"/>
  <c r="J4944" i="1" s="1"/>
  <c r="H4945" i="1"/>
  <c r="H4946" i="1"/>
  <c r="J4946" i="1" s="1"/>
  <c r="H4947" i="1"/>
  <c r="J4947" i="1" s="1"/>
  <c r="H4948" i="1"/>
  <c r="H4949" i="1"/>
  <c r="J4949" i="1" s="1"/>
  <c r="H4950" i="1"/>
  <c r="J4950" i="1" s="1"/>
  <c r="H4951" i="1"/>
  <c r="J4951" i="1" s="1"/>
  <c r="H4952" i="1"/>
  <c r="J4952" i="1" s="1"/>
  <c r="H4953" i="1"/>
  <c r="J4953" i="1" s="1"/>
  <c r="H4954" i="1"/>
  <c r="J4954" i="1" s="1"/>
  <c r="H4955" i="1"/>
  <c r="J4955" i="1" s="1"/>
  <c r="H4956" i="1"/>
  <c r="J4956" i="1" s="1"/>
  <c r="H4957" i="1"/>
  <c r="J4957" i="1" s="1"/>
  <c r="H4958" i="1"/>
  <c r="H4959" i="1"/>
  <c r="J4959" i="1" s="1"/>
  <c r="H4960" i="1"/>
  <c r="J4960" i="1" s="1"/>
  <c r="H4961" i="1"/>
  <c r="J4961" i="1" s="1"/>
  <c r="H4962" i="1"/>
  <c r="J4962" i="1" s="1"/>
  <c r="H4963" i="1"/>
  <c r="J4963" i="1" s="1"/>
  <c r="H4964" i="1"/>
  <c r="J4964" i="1" s="1"/>
  <c r="H4965" i="1"/>
  <c r="J4965" i="1" s="1"/>
  <c r="H4966" i="1"/>
  <c r="J4966" i="1" s="1"/>
  <c r="H4967" i="1"/>
  <c r="J4967" i="1" s="1"/>
  <c r="H4968" i="1"/>
  <c r="J4968" i="1" s="1"/>
  <c r="H4969" i="1"/>
  <c r="J4969" i="1" s="1"/>
  <c r="H4970" i="1"/>
  <c r="J4970" i="1" s="1"/>
  <c r="H4971" i="1"/>
  <c r="J4971" i="1" s="1"/>
  <c r="H4972" i="1"/>
  <c r="J4972" i="1" s="1"/>
  <c r="H4973" i="1"/>
  <c r="J4973" i="1" s="1"/>
  <c r="H4974" i="1"/>
  <c r="J4974" i="1" s="1"/>
  <c r="H4975" i="1"/>
  <c r="J4975" i="1" s="1"/>
  <c r="H4976" i="1"/>
  <c r="J4976" i="1" s="1"/>
  <c r="H4977" i="1"/>
  <c r="J4977" i="1" s="1"/>
  <c r="H4978" i="1"/>
  <c r="J4978" i="1" s="1"/>
  <c r="H4979" i="1"/>
  <c r="J4979" i="1" s="1"/>
  <c r="H4980" i="1"/>
  <c r="J4980" i="1" s="1"/>
  <c r="H4981" i="1"/>
  <c r="J4981" i="1" s="1"/>
  <c r="H4982" i="1"/>
  <c r="J4982" i="1" s="1"/>
  <c r="H4983" i="1"/>
  <c r="H4984" i="1"/>
  <c r="H4985" i="1"/>
  <c r="J4985" i="1" s="1"/>
  <c r="H4986" i="1"/>
  <c r="J4986" i="1" s="1"/>
  <c r="H4987" i="1"/>
  <c r="J4987" i="1" s="1"/>
  <c r="H4988" i="1"/>
  <c r="J4988" i="1" s="1"/>
  <c r="H4989" i="1"/>
  <c r="J4989" i="1" s="1"/>
  <c r="H4990" i="1"/>
  <c r="J4990" i="1" s="1"/>
  <c r="H4991" i="1"/>
  <c r="J4991" i="1" s="1"/>
  <c r="H4992" i="1"/>
  <c r="J4992" i="1" s="1"/>
  <c r="H4993" i="1"/>
  <c r="J4993" i="1" s="1"/>
  <c r="H4994" i="1"/>
  <c r="J4994" i="1" s="1"/>
  <c r="H4995" i="1"/>
  <c r="J4995" i="1" s="1"/>
  <c r="H4996" i="1"/>
  <c r="J4996" i="1" s="1"/>
  <c r="H4997" i="1"/>
  <c r="H4998" i="1"/>
  <c r="J4998" i="1" s="1"/>
  <c r="H4999" i="1"/>
  <c r="J4999" i="1" s="1"/>
  <c r="H5000" i="1"/>
  <c r="J5000" i="1" s="1"/>
  <c r="H5001" i="1"/>
  <c r="J5001" i="1" s="1"/>
  <c r="H5002" i="1"/>
  <c r="J5002" i="1" s="1"/>
  <c r="H5003" i="1"/>
  <c r="J5003" i="1" s="1"/>
  <c r="H5004" i="1"/>
  <c r="J5004" i="1" s="1"/>
  <c r="H5005" i="1"/>
  <c r="J5005" i="1" s="1"/>
  <c r="H5006" i="1"/>
  <c r="J5006" i="1" s="1"/>
  <c r="H5007" i="1"/>
  <c r="J5007" i="1" s="1"/>
  <c r="H5008" i="1"/>
  <c r="J5008" i="1" s="1"/>
  <c r="H5009" i="1"/>
  <c r="J5009" i="1" s="1"/>
  <c r="H5010" i="1"/>
  <c r="J5010" i="1" s="1"/>
  <c r="H5011" i="1"/>
  <c r="J5011" i="1" s="1"/>
  <c r="H5012" i="1"/>
  <c r="J5012" i="1" s="1"/>
  <c r="H5013" i="1"/>
  <c r="J5013" i="1" s="1"/>
  <c r="H5014" i="1"/>
  <c r="J5014" i="1" s="1"/>
  <c r="H5015" i="1"/>
  <c r="J5015" i="1" s="1"/>
  <c r="H5016" i="1"/>
  <c r="J5016" i="1" s="1"/>
  <c r="H5017" i="1"/>
  <c r="J5017" i="1" s="1"/>
  <c r="H5018" i="1"/>
  <c r="J5018" i="1" s="1"/>
  <c r="H5019" i="1"/>
  <c r="J5019" i="1" s="1"/>
  <c r="H5020" i="1"/>
  <c r="J5020" i="1" s="1"/>
  <c r="H5021" i="1"/>
  <c r="J5021" i="1" s="1"/>
  <c r="H5022" i="1"/>
  <c r="J5022" i="1" s="1"/>
  <c r="H5023" i="1"/>
  <c r="J5023" i="1" s="1"/>
  <c r="H5024" i="1"/>
  <c r="J5024" i="1" s="1"/>
  <c r="H5025" i="1"/>
  <c r="J5025" i="1" s="1"/>
  <c r="H5026" i="1"/>
  <c r="J5026" i="1" s="1"/>
  <c r="H5027" i="1"/>
  <c r="J5027" i="1" s="1"/>
  <c r="H5028" i="1"/>
  <c r="J5028" i="1" s="1"/>
  <c r="H5029" i="1"/>
  <c r="J5029" i="1" s="1"/>
  <c r="H5030" i="1"/>
  <c r="J5030" i="1" s="1"/>
  <c r="H5031" i="1"/>
  <c r="J5031" i="1" s="1"/>
  <c r="H5032" i="1"/>
  <c r="J5032" i="1" s="1"/>
  <c r="H5033" i="1"/>
  <c r="J5033" i="1" s="1"/>
  <c r="H5034" i="1"/>
  <c r="J5034" i="1" s="1"/>
  <c r="H5035" i="1"/>
  <c r="J5035" i="1" s="1"/>
  <c r="H5036" i="1"/>
  <c r="J5036" i="1" s="1"/>
  <c r="H5037" i="1"/>
  <c r="J5037" i="1" s="1"/>
  <c r="H5038" i="1"/>
  <c r="J5038" i="1" s="1"/>
  <c r="H5039" i="1"/>
  <c r="J5039" i="1" s="1"/>
  <c r="H5040" i="1"/>
  <c r="J5040" i="1" s="1"/>
  <c r="H5041" i="1"/>
  <c r="J5041" i="1" s="1"/>
  <c r="H5042" i="1"/>
  <c r="J5042" i="1" s="1"/>
  <c r="H5043" i="1"/>
  <c r="J5043" i="1" s="1"/>
  <c r="H5044" i="1"/>
  <c r="J5044" i="1" s="1"/>
  <c r="H5045" i="1"/>
  <c r="J5045" i="1" s="1"/>
  <c r="H5046" i="1"/>
  <c r="J5046" i="1" s="1"/>
  <c r="H5047" i="1"/>
  <c r="J5047" i="1" s="1"/>
  <c r="H5048" i="1"/>
  <c r="J5048" i="1" s="1"/>
  <c r="H5049" i="1"/>
  <c r="J5049" i="1" s="1"/>
  <c r="H5050" i="1"/>
  <c r="J5050" i="1" s="1"/>
  <c r="H5051" i="1"/>
  <c r="J5051" i="1" s="1"/>
  <c r="H5052" i="1"/>
  <c r="J5052" i="1" s="1"/>
  <c r="H5053" i="1"/>
  <c r="J5053" i="1" s="1"/>
  <c r="H5054" i="1"/>
  <c r="J5054" i="1" s="1"/>
  <c r="H5055" i="1"/>
  <c r="J5055" i="1" s="1"/>
  <c r="H5056" i="1"/>
  <c r="J5056" i="1" s="1"/>
  <c r="H5057" i="1"/>
  <c r="J5057" i="1" s="1"/>
  <c r="H5058" i="1"/>
  <c r="J5058" i="1" s="1"/>
  <c r="H5059" i="1"/>
  <c r="J5059" i="1" s="1"/>
  <c r="H5060" i="1"/>
  <c r="J5060" i="1" s="1"/>
  <c r="H5061" i="1"/>
  <c r="J5061" i="1" s="1"/>
  <c r="H5062" i="1"/>
  <c r="J5062" i="1" s="1"/>
  <c r="H5063" i="1"/>
  <c r="J5063" i="1" s="1"/>
  <c r="H5064" i="1"/>
  <c r="J5064" i="1" s="1"/>
  <c r="H5065" i="1"/>
  <c r="J5065" i="1" s="1"/>
  <c r="H5066" i="1"/>
  <c r="J5066" i="1" s="1"/>
  <c r="H5067" i="1"/>
  <c r="J5067" i="1" s="1"/>
  <c r="H5068" i="1"/>
  <c r="J5068" i="1" s="1"/>
  <c r="H5069" i="1"/>
  <c r="J5069" i="1" s="1"/>
  <c r="H5070" i="1"/>
  <c r="J5070" i="1" s="1"/>
  <c r="H5071" i="1"/>
  <c r="J5071" i="1" s="1"/>
  <c r="H5072" i="1"/>
  <c r="J5072" i="1" s="1"/>
  <c r="H5073" i="1"/>
  <c r="J5073" i="1" s="1"/>
  <c r="H5074" i="1"/>
  <c r="J5074" i="1" s="1"/>
  <c r="H5075" i="1"/>
  <c r="J5075" i="1" s="1"/>
  <c r="H5076" i="1"/>
  <c r="J5076" i="1" s="1"/>
  <c r="H5077" i="1"/>
  <c r="J5077" i="1" s="1"/>
  <c r="H5078" i="1"/>
  <c r="J5078" i="1" s="1"/>
  <c r="H5079" i="1"/>
  <c r="H5080" i="1"/>
  <c r="J5080" i="1" s="1"/>
  <c r="H5081" i="1"/>
  <c r="J5081" i="1" s="1"/>
  <c r="H5082" i="1"/>
  <c r="J5082" i="1" s="1"/>
  <c r="H5083" i="1"/>
  <c r="J5083" i="1" s="1"/>
  <c r="H5084" i="1"/>
  <c r="J5084" i="1" s="1"/>
  <c r="H5085" i="1"/>
  <c r="J5085" i="1" s="1"/>
  <c r="H5086" i="1"/>
  <c r="J5086" i="1" s="1"/>
  <c r="H5087" i="1"/>
  <c r="J5087" i="1" s="1"/>
  <c r="H5088" i="1"/>
  <c r="J5088" i="1" s="1"/>
  <c r="H5089" i="1"/>
  <c r="J5089" i="1" s="1"/>
  <c r="H5090" i="1"/>
  <c r="J5090" i="1" s="1"/>
  <c r="H5091" i="1"/>
  <c r="J5091" i="1" s="1"/>
  <c r="H5092" i="1"/>
  <c r="J5092" i="1" s="1"/>
  <c r="H5093" i="1"/>
  <c r="J5093" i="1" s="1"/>
  <c r="H5094" i="1"/>
  <c r="J5094" i="1" s="1"/>
  <c r="H5095" i="1"/>
  <c r="J5095" i="1" s="1"/>
  <c r="H5096" i="1"/>
  <c r="J5096" i="1" s="1"/>
  <c r="H5097" i="1"/>
  <c r="J5097" i="1" s="1"/>
  <c r="H5098" i="1"/>
  <c r="J5098" i="1" s="1"/>
  <c r="H5099" i="1"/>
  <c r="J5099" i="1" s="1"/>
  <c r="H5100" i="1"/>
  <c r="J5100" i="1" s="1"/>
  <c r="H5101" i="1"/>
  <c r="H5102" i="1"/>
  <c r="J5102" i="1" s="1"/>
  <c r="H5103" i="1"/>
  <c r="J5103" i="1" s="1"/>
  <c r="H5104" i="1"/>
  <c r="J5104" i="1" s="1"/>
  <c r="H5105" i="1"/>
  <c r="J5105" i="1" s="1"/>
  <c r="H5106" i="1"/>
  <c r="J5106" i="1" s="1"/>
  <c r="H5107" i="1"/>
  <c r="J5107" i="1" s="1"/>
  <c r="H5108" i="1"/>
  <c r="J5108" i="1" s="1"/>
  <c r="H5109" i="1"/>
  <c r="J5109" i="1" s="1"/>
  <c r="H5110" i="1"/>
  <c r="J5110" i="1" s="1"/>
  <c r="H5111" i="1"/>
  <c r="J5111" i="1" s="1"/>
  <c r="H5112" i="1"/>
  <c r="J5112" i="1" s="1"/>
  <c r="H5113" i="1"/>
  <c r="J5113" i="1" s="1"/>
  <c r="H5114" i="1"/>
  <c r="J5114" i="1" s="1"/>
  <c r="H5115" i="1"/>
  <c r="J5115" i="1" s="1"/>
  <c r="H5116" i="1"/>
  <c r="J5116" i="1" s="1"/>
  <c r="H5117" i="1"/>
  <c r="J5117" i="1" s="1"/>
  <c r="H5118" i="1"/>
  <c r="J5118" i="1" s="1"/>
  <c r="H5119" i="1"/>
  <c r="J5119" i="1" s="1"/>
  <c r="H5120" i="1"/>
  <c r="J5120" i="1" s="1"/>
  <c r="H5121" i="1"/>
  <c r="J5121" i="1" s="1"/>
  <c r="H5122" i="1"/>
  <c r="J5122" i="1" s="1"/>
  <c r="H5123" i="1"/>
  <c r="J5123" i="1" s="1"/>
  <c r="H5124" i="1"/>
  <c r="J5124" i="1" s="1"/>
  <c r="H5125" i="1"/>
  <c r="J5125" i="1" s="1"/>
  <c r="H5126" i="1"/>
  <c r="J5126" i="1" s="1"/>
  <c r="H5127" i="1"/>
  <c r="J5127" i="1" s="1"/>
  <c r="H5128" i="1"/>
  <c r="H5129" i="1"/>
  <c r="J5129" i="1" s="1"/>
  <c r="H5130" i="1"/>
  <c r="J5130" i="1" s="1"/>
  <c r="H5131" i="1"/>
  <c r="J5131" i="1" s="1"/>
  <c r="H5132" i="1"/>
  <c r="J5132" i="1" s="1"/>
  <c r="H5133" i="1"/>
  <c r="J5133" i="1" s="1"/>
  <c r="H5134" i="1"/>
  <c r="J5134" i="1" s="1"/>
  <c r="H5135" i="1"/>
  <c r="J5135" i="1" s="1"/>
  <c r="H5136" i="1"/>
  <c r="J5136" i="1" s="1"/>
  <c r="H5137" i="1"/>
  <c r="J5137" i="1" s="1"/>
  <c r="H5138" i="1"/>
  <c r="J5138" i="1" s="1"/>
  <c r="H5139" i="1"/>
  <c r="J5139" i="1" s="1"/>
  <c r="H5140" i="1"/>
  <c r="J5140" i="1" s="1"/>
  <c r="H5141" i="1"/>
  <c r="J5141" i="1" s="1"/>
  <c r="H5142" i="1"/>
  <c r="J5142" i="1" s="1"/>
  <c r="H5143" i="1"/>
  <c r="J5143" i="1" s="1"/>
  <c r="H5144" i="1"/>
  <c r="J5144" i="1" s="1"/>
  <c r="H5145" i="1"/>
  <c r="J5145" i="1" s="1"/>
  <c r="H5146" i="1"/>
  <c r="J5146" i="1" s="1"/>
  <c r="H5147" i="1"/>
  <c r="J5147" i="1" s="1"/>
  <c r="H5148" i="1"/>
  <c r="J5148" i="1" s="1"/>
  <c r="H5149" i="1"/>
  <c r="J5149" i="1" s="1"/>
  <c r="H5150" i="1"/>
  <c r="J5150" i="1" s="1"/>
  <c r="H5151" i="1"/>
  <c r="J5151" i="1" s="1"/>
  <c r="H5152" i="1"/>
  <c r="J5152" i="1" s="1"/>
  <c r="H5153" i="1"/>
  <c r="J5153" i="1" s="1"/>
  <c r="H5154" i="1"/>
  <c r="J5154" i="1" s="1"/>
  <c r="H5155" i="1"/>
  <c r="J5155" i="1" s="1"/>
  <c r="H5156" i="1"/>
  <c r="J5156" i="1" s="1"/>
  <c r="H5157" i="1"/>
  <c r="J5157" i="1" s="1"/>
  <c r="H5158" i="1"/>
  <c r="J5158" i="1" s="1"/>
  <c r="H5159" i="1"/>
  <c r="J5159" i="1" s="1"/>
  <c r="H5160" i="1"/>
  <c r="J5160" i="1" s="1"/>
  <c r="H5161" i="1"/>
  <c r="J5161" i="1" s="1"/>
  <c r="H5162" i="1"/>
  <c r="J5162" i="1" s="1"/>
  <c r="H5163" i="1"/>
  <c r="J5163" i="1" s="1"/>
  <c r="H5164" i="1"/>
  <c r="J5164" i="1" s="1"/>
  <c r="H5165" i="1"/>
  <c r="J5165" i="1" s="1"/>
  <c r="H5166" i="1"/>
  <c r="J5166" i="1" s="1"/>
  <c r="H5167" i="1"/>
  <c r="J5167" i="1" s="1"/>
  <c r="H5168" i="1"/>
  <c r="J5168" i="1" s="1"/>
  <c r="H5169" i="1"/>
  <c r="J5169" i="1" s="1"/>
  <c r="H5170" i="1"/>
  <c r="J5170" i="1" s="1"/>
  <c r="H5171" i="1"/>
  <c r="J5171" i="1" s="1"/>
  <c r="H5172" i="1"/>
  <c r="J5172" i="1" s="1"/>
  <c r="H5173" i="1"/>
  <c r="J5173" i="1" s="1"/>
  <c r="H5174" i="1"/>
  <c r="J5174" i="1" s="1"/>
  <c r="H5175" i="1"/>
  <c r="J5175" i="1" s="1"/>
  <c r="H5176" i="1"/>
  <c r="H5177" i="1"/>
  <c r="J5177" i="1" s="1"/>
  <c r="H5178" i="1"/>
  <c r="J5178" i="1" s="1"/>
  <c r="H5179" i="1"/>
  <c r="J5179" i="1" s="1"/>
  <c r="H5180" i="1"/>
  <c r="J5180" i="1" s="1"/>
  <c r="H5181" i="1"/>
  <c r="J5181" i="1" s="1"/>
  <c r="H5182" i="1"/>
  <c r="J5182" i="1" s="1"/>
  <c r="H5183" i="1"/>
  <c r="J5183" i="1" s="1"/>
  <c r="H5184" i="1"/>
  <c r="J5184" i="1" s="1"/>
  <c r="H5185" i="1"/>
  <c r="J5185" i="1" s="1"/>
  <c r="H5186" i="1"/>
  <c r="H5187" i="1"/>
  <c r="J5187" i="1" s="1"/>
  <c r="H5188" i="1"/>
  <c r="J5188" i="1" s="1"/>
  <c r="H5189" i="1"/>
  <c r="J5189" i="1" s="1"/>
  <c r="H5190" i="1"/>
  <c r="J5190" i="1" s="1"/>
  <c r="H5191" i="1"/>
  <c r="J5191" i="1" s="1"/>
  <c r="H5192" i="1"/>
  <c r="J5192" i="1" s="1"/>
  <c r="H5193" i="1"/>
  <c r="J5193" i="1" s="1"/>
  <c r="H5194" i="1"/>
  <c r="J5194" i="1" s="1"/>
  <c r="H5195" i="1"/>
  <c r="J5195" i="1" s="1"/>
  <c r="H5196" i="1"/>
  <c r="J5196" i="1" s="1"/>
  <c r="H5197" i="1"/>
  <c r="H5198" i="1"/>
  <c r="J5198" i="1" s="1"/>
  <c r="H5199" i="1"/>
  <c r="J5199" i="1" s="1"/>
  <c r="H5200" i="1"/>
  <c r="J5200" i="1" s="1"/>
  <c r="H5201" i="1"/>
  <c r="J5201" i="1" s="1"/>
  <c r="H5202" i="1"/>
  <c r="J5202" i="1" s="1"/>
  <c r="H5203" i="1"/>
  <c r="J5203" i="1" s="1"/>
  <c r="H5204" i="1"/>
  <c r="J5204" i="1" s="1"/>
  <c r="H5205" i="1"/>
  <c r="J5205" i="1" s="1"/>
  <c r="H5206" i="1"/>
  <c r="J5206" i="1" s="1"/>
  <c r="H5207" i="1"/>
  <c r="J5207" i="1" s="1"/>
  <c r="H5208" i="1"/>
  <c r="J5208" i="1" s="1"/>
  <c r="H5209" i="1"/>
  <c r="J5209" i="1" s="1"/>
  <c r="H5210" i="1"/>
  <c r="J5210" i="1" s="1"/>
  <c r="H5211" i="1"/>
  <c r="J5211" i="1" s="1"/>
  <c r="H5212" i="1"/>
  <c r="H5213" i="1"/>
  <c r="J5213" i="1" s="1"/>
  <c r="H5214" i="1"/>
  <c r="J5214" i="1" s="1"/>
  <c r="H5215" i="1"/>
  <c r="J5215" i="1" s="1"/>
  <c r="H5216" i="1"/>
  <c r="J5216" i="1" s="1"/>
  <c r="H5217" i="1"/>
  <c r="J5217" i="1" s="1"/>
  <c r="H5218" i="1"/>
  <c r="J5218" i="1" s="1"/>
  <c r="H5219" i="1"/>
  <c r="J5219" i="1" s="1"/>
  <c r="H5220" i="1"/>
  <c r="J5220" i="1" s="1"/>
  <c r="H5221" i="1"/>
  <c r="J5221" i="1" s="1"/>
  <c r="H5222" i="1"/>
  <c r="J5222" i="1" s="1"/>
  <c r="H5223" i="1"/>
  <c r="J5223" i="1" s="1"/>
  <c r="H5224" i="1"/>
  <c r="J5224" i="1" s="1"/>
  <c r="H5225" i="1"/>
  <c r="J5225" i="1" s="1"/>
  <c r="H5226" i="1"/>
  <c r="J5226" i="1" s="1"/>
  <c r="H5227" i="1"/>
  <c r="J5227" i="1" s="1"/>
  <c r="H5228" i="1"/>
  <c r="J5228" i="1" s="1"/>
  <c r="H5229" i="1"/>
  <c r="J5229" i="1" s="1"/>
  <c r="H5230" i="1"/>
  <c r="J5230" i="1" s="1"/>
  <c r="H5231" i="1"/>
  <c r="J5231" i="1" s="1"/>
  <c r="H5232" i="1"/>
  <c r="J5232" i="1" s="1"/>
  <c r="H5233" i="1"/>
  <c r="J5233" i="1" s="1"/>
  <c r="H5234" i="1"/>
  <c r="J5234" i="1" s="1"/>
  <c r="H5235" i="1"/>
  <c r="J5235" i="1" s="1"/>
  <c r="H5236" i="1"/>
  <c r="J5236" i="1" s="1"/>
  <c r="H5237" i="1"/>
  <c r="J5237" i="1" s="1"/>
  <c r="H5238" i="1"/>
  <c r="J5238" i="1" s="1"/>
  <c r="H5239" i="1"/>
  <c r="J5239" i="1" s="1"/>
  <c r="H5240" i="1"/>
  <c r="J5240" i="1" s="1"/>
  <c r="H5241" i="1"/>
  <c r="J5241" i="1" s="1"/>
  <c r="H5242" i="1"/>
  <c r="J5242" i="1" s="1"/>
  <c r="H5243" i="1"/>
  <c r="J5243" i="1" s="1"/>
  <c r="H5244" i="1"/>
  <c r="J5244" i="1" s="1"/>
  <c r="H5245" i="1"/>
  <c r="J5245" i="1" s="1"/>
  <c r="H5246" i="1"/>
  <c r="J5246" i="1" s="1"/>
  <c r="H5247" i="1"/>
  <c r="J5247" i="1" s="1"/>
  <c r="H5248" i="1"/>
  <c r="J5248" i="1" s="1"/>
  <c r="H5249" i="1"/>
  <c r="J5249" i="1" s="1"/>
  <c r="H5250" i="1"/>
  <c r="J5250" i="1" s="1"/>
  <c r="H5251" i="1"/>
  <c r="J5251" i="1" s="1"/>
  <c r="H5252" i="1"/>
  <c r="J5252" i="1" s="1"/>
  <c r="H5253" i="1"/>
  <c r="J5253" i="1" s="1"/>
  <c r="H5254" i="1"/>
  <c r="J5254" i="1" s="1"/>
  <c r="H5255" i="1"/>
  <c r="J5255" i="1" s="1"/>
  <c r="H5256" i="1"/>
  <c r="J5256" i="1" s="1"/>
  <c r="H5257" i="1"/>
  <c r="J5257" i="1" s="1"/>
  <c r="H5258" i="1"/>
  <c r="J5258" i="1" s="1"/>
  <c r="H5259" i="1"/>
  <c r="J5259" i="1" s="1"/>
  <c r="H5260" i="1"/>
  <c r="J5260" i="1" s="1"/>
  <c r="H5261" i="1"/>
  <c r="J5261" i="1" s="1"/>
  <c r="H5262" i="1"/>
  <c r="J5262" i="1" s="1"/>
  <c r="H5263" i="1"/>
  <c r="J5263" i="1" s="1"/>
  <c r="H5264" i="1"/>
  <c r="J5264" i="1" s="1"/>
  <c r="H5265" i="1"/>
  <c r="J5265" i="1" s="1"/>
  <c r="H5266" i="1"/>
  <c r="J5266" i="1" s="1"/>
  <c r="H5267" i="1"/>
  <c r="J5267" i="1" s="1"/>
  <c r="H5268" i="1"/>
  <c r="J5268" i="1" s="1"/>
  <c r="H5269" i="1"/>
  <c r="J5269" i="1" s="1"/>
  <c r="H5270" i="1"/>
  <c r="J5270" i="1" s="1"/>
  <c r="H5271" i="1"/>
  <c r="J5271" i="1" s="1"/>
  <c r="H5272" i="1"/>
  <c r="J5272" i="1" s="1"/>
  <c r="H5273" i="1"/>
  <c r="J5273" i="1" s="1"/>
  <c r="H5274" i="1"/>
  <c r="J5274" i="1" s="1"/>
  <c r="H5275" i="1"/>
  <c r="J5275" i="1" s="1"/>
  <c r="H5276" i="1"/>
  <c r="J5276" i="1" s="1"/>
  <c r="H5277" i="1"/>
  <c r="J5277" i="1" s="1"/>
  <c r="H5278" i="1"/>
  <c r="J5278" i="1" s="1"/>
  <c r="H5279" i="1"/>
  <c r="J5279" i="1" s="1"/>
  <c r="H5280" i="1"/>
  <c r="J5280" i="1" s="1"/>
  <c r="H5281" i="1"/>
  <c r="J5281" i="1" s="1"/>
  <c r="H5282" i="1"/>
  <c r="J5282" i="1" s="1"/>
  <c r="H5283" i="1"/>
  <c r="J5283" i="1" s="1"/>
  <c r="H5284" i="1"/>
  <c r="J5284" i="1" s="1"/>
  <c r="H5285" i="1"/>
  <c r="J5285" i="1" s="1"/>
  <c r="H5286" i="1"/>
  <c r="J5286" i="1" s="1"/>
  <c r="H5287" i="1"/>
  <c r="J5287" i="1" s="1"/>
  <c r="H5288" i="1"/>
  <c r="J5288" i="1" s="1"/>
  <c r="H5289" i="1"/>
  <c r="J5289" i="1" s="1"/>
  <c r="H5290" i="1"/>
  <c r="J5290" i="1" s="1"/>
  <c r="H5291" i="1"/>
  <c r="J5291" i="1" s="1"/>
  <c r="H5292" i="1"/>
  <c r="J5292" i="1" s="1"/>
  <c r="H5293" i="1"/>
  <c r="J5293" i="1" s="1"/>
  <c r="H5294" i="1"/>
  <c r="J5294" i="1" s="1"/>
  <c r="H5295" i="1"/>
  <c r="J5295" i="1" s="1"/>
  <c r="H5296" i="1"/>
  <c r="J5296" i="1" s="1"/>
  <c r="H5297" i="1"/>
  <c r="J5297" i="1" s="1"/>
  <c r="H5298" i="1"/>
  <c r="J5298" i="1" s="1"/>
  <c r="H5299" i="1"/>
  <c r="J5299" i="1" s="1"/>
  <c r="H5300" i="1"/>
  <c r="J5300" i="1" s="1"/>
  <c r="H5301" i="1"/>
  <c r="J5301" i="1" s="1"/>
  <c r="H5302" i="1"/>
  <c r="J5302" i="1" s="1"/>
  <c r="H5303" i="1"/>
  <c r="J5303" i="1" s="1"/>
  <c r="H5304" i="1"/>
  <c r="J5304" i="1" s="1"/>
  <c r="H5305" i="1"/>
  <c r="J5305" i="1" s="1"/>
  <c r="H5306" i="1"/>
  <c r="J5306" i="1" s="1"/>
  <c r="H5307" i="1"/>
  <c r="J5307" i="1" s="1"/>
  <c r="H5308" i="1"/>
  <c r="H5309" i="1"/>
  <c r="J5309" i="1" s="1"/>
  <c r="H5310" i="1"/>
  <c r="J5310" i="1" s="1"/>
  <c r="H5311" i="1"/>
  <c r="J5311" i="1" s="1"/>
  <c r="H5312" i="1"/>
  <c r="J5312" i="1" s="1"/>
  <c r="H5313" i="1"/>
  <c r="J5313" i="1" s="1"/>
  <c r="H5314" i="1"/>
  <c r="J5314" i="1" s="1"/>
  <c r="H5315" i="1"/>
  <c r="J5315" i="1" s="1"/>
  <c r="H5316" i="1"/>
  <c r="J5316" i="1" s="1"/>
  <c r="H5317" i="1"/>
  <c r="J5317" i="1" s="1"/>
  <c r="H5318" i="1"/>
  <c r="J5318" i="1" s="1"/>
  <c r="H5319" i="1"/>
  <c r="J5319" i="1" s="1"/>
  <c r="H5320" i="1"/>
  <c r="J5320" i="1" s="1"/>
  <c r="H5321" i="1"/>
  <c r="J5321" i="1" s="1"/>
  <c r="H5322" i="1"/>
  <c r="J5322" i="1" s="1"/>
  <c r="H5323" i="1"/>
  <c r="J5323" i="1" s="1"/>
  <c r="H5324" i="1"/>
  <c r="J5324" i="1" s="1"/>
  <c r="H5325" i="1"/>
  <c r="J5325" i="1" s="1"/>
  <c r="H5326" i="1"/>
  <c r="J5326" i="1" s="1"/>
  <c r="H5327" i="1"/>
  <c r="J5327" i="1" s="1"/>
  <c r="H5328" i="1"/>
  <c r="J5328" i="1" s="1"/>
  <c r="H5329" i="1"/>
  <c r="J5329" i="1" s="1"/>
  <c r="H5330" i="1"/>
  <c r="J5330" i="1" s="1"/>
  <c r="H5331" i="1"/>
  <c r="J5331" i="1" s="1"/>
  <c r="H5332" i="1"/>
  <c r="J5332" i="1" s="1"/>
  <c r="H5333" i="1"/>
  <c r="J5333" i="1" s="1"/>
  <c r="H5334" i="1"/>
  <c r="J5334" i="1" s="1"/>
  <c r="H5335" i="1"/>
  <c r="J5335" i="1" s="1"/>
  <c r="H5336" i="1"/>
  <c r="J5336" i="1" s="1"/>
  <c r="H5337" i="1"/>
  <c r="J5337" i="1" s="1"/>
  <c r="H5338" i="1"/>
  <c r="J5338" i="1" s="1"/>
  <c r="H5339" i="1"/>
  <c r="J5339" i="1" s="1"/>
  <c r="H5340" i="1"/>
  <c r="J5340" i="1" s="1"/>
  <c r="H5341" i="1"/>
  <c r="J5341" i="1" s="1"/>
  <c r="H5342" i="1"/>
  <c r="J5342" i="1" s="1"/>
  <c r="H5343" i="1"/>
  <c r="J5343" i="1" s="1"/>
  <c r="H5344" i="1"/>
  <c r="J5344" i="1" s="1"/>
  <c r="H5345" i="1"/>
  <c r="J5345" i="1" s="1"/>
  <c r="H5346" i="1"/>
  <c r="J5346" i="1" s="1"/>
  <c r="H5347" i="1"/>
  <c r="J5347" i="1" s="1"/>
  <c r="H5348" i="1"/>
  <c r="J5348" i="1" s="1"/>
  <c r="H5349" i="1"/>
  <c r="J5349" i="1" s="1"/>
  <c r="H5350" i="1"/>
  <c r="J5350" i="1" s="1"/>
  <c r="H5351" i="1"/>
  <c r="J5351" i="1" s="1"/>
  <c r="H5352" i="1"/>
  <c r="J5352" i="1" s="1"/>
  <c r="H5353" i="1"/>
  <c r="J5353" i="1" s="1"/>
  <c r="H5354" i="1"/>
  <c r="H5355" i="1"/>
  <c r="J5355" i="1" s="1"/>
  <c r="H5356" i="1"/>
  <c r="J5356" i="1" s="1"/>
  <c r="H5357" i="1"/>
  <c r="J5357" i="1" s="1"/>
  <c r="H5358" i="1"/>
  <c r="J5358" i="1" s="1"/>
  <c r="H5359" i="1"/>
  <c r="J5359" i="1" s="1"/>
  <c r="H5360" i="1"/>
  <c r="J5360" i="1" s="1"/>
  <c r="H5361" i="1"/>
  <c r="J5361" i="1" s="1"/>
  <c r="H5362" i="1"/>
  <c r="J5362" i="1" s="1"/>
  <c r="H5363" i="1"/>
  <c r="J5363" i="1" s="1"/>
  <c r="H5364" i="1"/>
  <c r="J5364" i="1" s="1"/>
  <c r="H5365" i="1"/>
  <c r="J5365" i="1" s="1"/>
  <c r="H5366" i="1"/>
  <c r="J5366" i="1" s="1"/>
  <c r="H5367" i="1"/>
  <c r="H5368" i="1"/>
  <c r="J5368" i="1" s="1"/>
  <c r="H5369" i="1"/>
  <c r="J5369" i="1" s="1"/>
  <c r="H5370" i="1"/>
  <c r="J5370" i="1" s="1"/>
  <c r="H5371" i="1"/>
  <c r="J5371" i="1" s="1"/>
  <c r="H5372" i="1"/>
  <c r="J5372" i="1" s="1"/>
  <c r="H5373" i="1"/>
  <c r="J5373" i="1" s="1"/>
  <c r="H5374" i="1"/>
  <c r="J5374" i="1" s="1"/>
  <c r="H5375" i="1"/>
  <c r="J5375" i="1" s="1"/>
  <c r="H5376" i="1"/>
  <c r="J5376" i="1" s="1"/>
  <c r="H5377" i="1"/>
  <c r="J5377" i="1" s="1"/>
  <c r="H5378" i="1"/>
  <c r="J5378" i="1" s="1"/>
  <c r="H5379" i="1"/>
  <c r="J5379" i="1" s="1"/>
  <c r="H5380" i="1"/>
  <c r="J5380" i="1" s="1"/>
  <c r="H5381" i="1"/>
  <c r="J5381" i="1" s="1"/>
  <c r="H5382" i="1"/>
  <c r="J5382" i="1" s="1"/>
  <c r="H5383" i="1"/>
  <c r="J5383" i="1" s="1"/>
  <c r="H5384" i="1"/>
  <c r="J5384" i="1" s="1"/>
  <c r="H5385" i="1"/>
  <c r="J5385" i="1" s="1"/>
  <c r="H5386" i="1"/>
  <c r="J5386" i="1" s="1"/>
  <c r="H5387" i="1"/>
  <c r="J5387" i="1" s="1"/>
  <c r="H5388" i="1"/>
  <c r="J5388" i="1" s="1"/>
  <c r="H5389" i="1"/>
  <c r="J5389" i="1" s="1"/>
  <c r="H5390" i="1"/>
  <c r="J5390" i="1" s="1"/>
  <c r="H5391" i="1"/>
  <c r="J5391" i="1" s="1"/>
  <c r="H5392" i="1"/>
  <c r="J5392" i="1" s="1"/>
  <c r="H5393" i="1"/>
  <c r="J5393" i="1" s="1"/>
  <c r="H5394" i="1"/>
  <c r="J5394" i="1" s="1"/>
  <c r="H5395" i="1"/>
  <c r="J5395" i="1" s="1"/>
  <c r="H5396" i="1"/>
  <c r="J5396" i="1" s="1"/>
  <c r="H5397" i="1"/>
  <c r="J5397" i="1" s="1"/>
  <c r="H5398" i="1"/>
  <c r="J5398" i="1" s="1"/>
  <c r="H5399" i="1"/>
  <c r="J5399" i="1" s="1"/>
  <c r="H5400" i="1"/>
  <c r="J5400" i="1" s="1"/>
  <c r="H5401" i="1"/>
  <c r="J5401" i="1" s="1"/>
  <c r="H5402" i="1"/>
  <c r="J5402" i="1" s="1"/>
  <c r="H5403" i="1"/>
  <c r="J5403" i="1" s="1"/>
  <c r="H5404" i="1"/>
  <c r="J5404" i="1" s="1"/>
  <c r="H5405" i="1"/>
  <c r="J5405" i="1" s="1"/>
  <c r="H5406" i="1"/>
  <c r="J5406" i="1" s="1"/>
  <c r="H5407" i="1"/>
  <c r="J5407" i="1" s="1"/>
  <c r="H5408" i="1"/>
  <c r="J5408" i="1" s="1"/>
  <c r="H5409" i="1"/>
  <c r="J5409" i="1" s="1"/>
  <c r="H5410" i="1"/>
  <c r="J5410" i="1" s="1"/>
  <c r="H5411" i="1"/>
  <c r="J5411" i="1" s="1"/>
  <c r="H5412" i="1"/>
  <c r="J5412" i="1" s="1"/>
  <c r="H5413" i="1"/>
  <c r="J5413" i="1" s="1"/>
  <c r="H5414" i="1"/>
  <c r="J5414" i="1" s="1"/>
  <c r="H5415" i="1"/>
  <c r="J5415" i="1" s="1"/>
  <c r="H5416" i="1"/>
  <c r="J5416" i="1" s="1"/>
  <c r="H5417" i="1"/>
  <c r="J5417" i="1" s="1"/>
  <c r="H5418" i="1"/>
  <c r="J5418" i="1" s="1"/>
  <c r="H5419" i="1"/>
  <c r="J5419" i="1" s="1"/>
  <c r="H5420" i="1"/>
  <c r="J5420" i="1" s="1"/>
  <c r="H5421" i="1"/>
  <c r="J5421" i="1" s="1"/>
  <c r="H5422" i="1"/>
  <c r="J5422" i="1" s="1"/>
  <c r="H5423" i="1"/>
  <c r="J5423" i="1" s="1"/>
  <c r="H5424" i="1"/>
  <c r="J5424" i="1" s="1"/>
  <c r="H5425" i="1"/>
  <c r="H5426" i="1"/>
  <c r="J5426" i="1" s="1"/>
  <c r="H5427" i="1"/>
  <c r="J5427" i="1" s="1"/>
  <c r="H5428" i="1"/>
  <c r="J5428" i="1" s="1"/>
  <c r="H5429" i="1"/>
  <c r="J5429" i="1" s="1"/>
  <c r="H5430" i="1"/>
  <c r="J5430" i="1" s="1"/>
  <c r="H5431" i="1"/>
  <c r="J5431" i="1" s="1"/>
  <c r="H5432" i="1"/>
  <c r="J5432" i="1" s="1"/>
  <c r="H5433" i="1"/>
  <c r="J5433" i="1" s="1"/>
  <c r="H5434" i="1"/>
  <c r="J5434" i="1" s="1"/>
  <c r="H5435" i="1"/>
  <c r="J5435" i="1" s="1"/>
  <c r="H5436" i="1"/>
  <c r="J5436" i="1" s="1"/>
  <c r="H5437" i="1"/>
  <c r="J5437" i="1" s="1"/>
  <c r="H5438" i="1"/>
  <c r="J5438" i="1" s="1"/>
  <c r="H5439" i="1"/>
  <c r="H5440" i="1"/>
  <c r="J5440" i="1" s="1"/>
  <c r="H5441" i="1"/>
  <c r="J5441" i="1" s="1"/>
  <c r="H5442" i="1"/>
  <c r="J5442" i="1" s="1"/>
  <c r="H5443" i="1"/>
  <c r="J5443" i="1" s="1"/>
  <c r="H5444" i="1"/>
  <c r="J5444" i="1" s="1"/>
  <c r="H5445" i="1"/>
  <c r="J5445" i="1" s="1"/>
  <c r="H5446" i="1"/>
  <c r="J5446" i="1" s="1"/>
  <c r="H5447" i="1"/>
  <c r="J5447" i="1" s="1"/>
  <c r="H5448" i="1"/>
  <c r="J5448" i="1" s="1"/>
  <c r="H5449" i="1"/>
  <c r="J5449" i="1" s="1"/>
  <c r="H5450" i="1"/>
  <c r="J5450" i="1" s="1"/>
  <c r="H5451" i="1"/>
  <c r="J5451" i="1" s="1"/>
  <c r="H5452" i="1"/>
  <c r="J5452" i="1" s="1"/>
  <c r="H5453" i="1"/>
  <c r="J5453" i="1" s="1"/>
  <c r="H5454" i="1"/>
  <c r="J5454" i="1" s="1"/>
  <c r="H5455" i="1"/>
  <c r="J5455" i="1" s="1"/>
  <c r="H5456" i="1"/>
  <c r="J5456" i="1" s="1"/>
  <c r="H5457" i="1"/>
  <c r="J5457" i="1" s="1"/>
  <c r="H5458" i="1"/>
  <c r="J5458" i="1" s="1"/>
  <c r="H5459" i="1"/>
  <c r="J5459" i="1" s="1"/>
  <c r="H5460" i="1"/>
  <c r="J5460" i="1" s="1"/>
  <c r="H5461" i="1"/>
  <c r="H5462" i="1"/>
  <c r="J5462" i="1" s="1"/>
  <c r="H5463" i="1"/>
  <c r="J5463" i="1" s="1"/>
  <c r="H5464" i="1"/>
  <c r="J5464" i="1" s="1"/>
  <c r="H5465" i="1"/>
  <c r="J5465" i="1" s="1"/>
  <c r="H5466" i="1"/>
  <c r="J5466" i="1" s="1"/>
  <c r="H5467" i="1"/>
  <c r="J5467" i="1" s="1"/>
  <c r="H5468" i="1"/>
  <c r="J5468" i="1" s="1"/>
  <c r="H5469" i="1"/>
  <c r="J5469" i="1" s="1"/>
  <c r="H5470" i="1"/>
  <c r="J5470" i="1" s="1"/>
  <c r="H5471" i="1"/>
  <c r="J5471" i="1" s="1"/>
  <c r="H5472" i="1"/>
  <c r="J5472" i="1" s="1"/>
  <c r="H5473" i="1"/>
  <c r="J5473" i="1" s="1"/>
  <c r="H5474" i="1"/>
  <c r="J5474" i="1" s="1"/>
  <c r="H5475" i="1"/>
  <c r="J5475" i="1" s="1"/>
  <c r="H5476" i="1"/>
  <c r="J5476" i="1" s="1"/>
  <c r="H5477" i="1"/>
  <c r="J5477" i="1" s="1"/>
  <c r="H5478" i="1"/>
  <c r="J5478" i="1" s="1"/>
  <c r="H5479" i="1"/>
  <c r="J5479" i="1" s="1"/>
  <c r="H5480" i="1"/>
  <c r="J5480" i="1" s="1"/>
  <c r="H5481" i="1"/>
  <c r="J5481" i="1" s="1"/>
  <c r="H5482" i="1"/>
  <c r="J5482" i="1" s="1"/>
  <c r="H5483" i="1"/>
  <c r="J5483" i="1" s="1"/>
  <c r="H5484" i="1"/>
  <c r="J5484" i="1" s="1"/>
  <c r="H5485" i="1"/>
  <c r="J5485" i="1" s="1"/>
  <c r="H5486" i="1"/>
  <c r="J5486" i="1" s="1"/>
  <c r="H5487" i="1"/>
  <c r="H5488" i="1"/>
  <c r="H5489" i="1"/>
  <c r="J5489" i="1" s="1"/>
  <c r="H5490" i="1"/>
  <c r="J5490" i="1" s="1"/>
  <c r="H5491" i="1"/>
  <c r="J5491" i="1" s="1"/>
  <c r="H5492" i="1"/>
  <c r="J5492" i="1" s="1"/>
  <c r="H5493" i="1"/>
  <c r="J5493" i="1" s="1"/>
  <c r="H5494" i="1"/>
  <c r="J5494" i="1" s="1"/>
  <c r="H5495" i="1"/>
  <c r="J5495" i="1" s="1"/>
  <c r="H5496" i="1"/>
  <c r="J5496" i="1" s="1"/>
  <c r="H5497" i="1"/>
  <c r="H5498" i="1"/>
  <c r="H5499" i="1"/>
  <c r="J5499" i="1" s="1"/>
  <c r="H5500" i="1"/>
  <c r="J5500" i="1" s="1"/>
  <c r="H5501" i="1"/>
  <c r="J5501" i="1" s="1"/>
  <c r="H5502" i="1"/>
  <c r="J5502" i="1" s="1"/>
  <c r="H5503" i="1"/>
  <c r="J5503" i="1" s="1"/>
  <c r="H5504" i="1"/>
  <c r="J5504" i="1" s="1"/>
  <c r="H5505" i="1"/>
  <c r="J5505" i="1" s="1"/>
  <c r="H5506" i="1"/>
  <c r="J5506" i="1" s="1"/>
  <c r="H5507" i="1"/>
  <c r="J5507" i="1" s="1"/>
  <c r="H5508" i="1"/>
  <c r="J5508" i="1" s="1"/>
  <c r="H5509" i="1"/>
  <c r="J5509" i="1" s="1"/>
  <c r="H5510" i="1"/>
  <c r="J5510" i="1" s="1"/>
  <c r="H5511" i="1"/>
  <c r="J5511" i="1" s="1"/>
  <c r="H5512" i="1"/>
  <c r="J5512" i="1" s="1"/>
  <c r="H5513" i="1"/>
  <c r="J5513" i="1" s="1"/>
  <c r="H5514" i="1"/>
  <c r="J5514" i="1" s="1"/>
  <c r="H5515" i="1"/>
  <c r="J5515" i="1" s="1"/>
  <c r="H5516" i="1"/>
  <c r="J5516" i="1" s="1"/>
  <c r="H5517" i="1"/>
  <c r="J5517" i="1" s="1"/>
  <c r="H5518" i="1"/>
  <c r="J5518" i="1" s="1"/>
  <c r="H5519" i="1"/>
  <c r="J5519" i="1" s="1"/>
  <c r="H5520" i="1"/>
  <c r="J5520" i="1" s="1"/>
  <c r="H5521" i="1"/>
  <c r="J5521" i="1" s="1"/>
  <c r="H5522" i="1"/>
  <c r="J5522" i="1" s="1"/>
  <c r="H5523" i="1"/>
  <c r="J5523" i="1" s="1"/>
  <c r="H5524" i="1"/>
  <c r="J5524" i="1" s="1"/>
  <c r="H5525" i="1"/>
  <c r="J5525" i="1" s="1"/>
  <c r="H5526" i="1"/>
  <c r="J5526" i="1" s="1"/>
  <c r="H5527" i="1"/>
  <c r="J5527" i="1" s="1"/>
  <c r="H5528" i="1"/>
  <c r="J5528" i="1" s="1"/>
  <c r="H5529" i="1"/>
  <c r="J5529" i="1" s="1"/>
  <c r="H5530" i="1"/>
  <c r="J5530" i="1" s="1"/>
  <c r="H5531" i="1"/>
  <c r="J5531" i="1" s="1"/>
  <c r="H5532" i="1"/>
  <c r="J5532" i="1" s="1"/>
  <c r="H5533" i="1"/>
  <c r="J5533" i="1" s="1"/>
  <c r="H5534" i="1"/>
  <c r="H5535" i="1"/>
  <c r="J5535" i="1" s="1"/>
  <c r="H5536" i="1"/>
  <c r="J5536" i="1" s="1"/>
  <c r="H5537" i="1"/>
  <c r="J5537" i="1" s="1"/>
  <c r="H5538" i="1"/>
  <c r="J5538" i="1" s="1"/>
  <c r="H5539" i="1"/>
  <c r="J5539" i="1" s="1"/>
  <c r="H5540" i="1"/>
  <c r="J5540" i="1" s="1"/>
  <c r="H5541" i="1"/>
  <c r="J5541" i="1" s="1"/>
  <c r="H5542" i="1"/>
  <c r="J5542" i="1" s="1"/>
  <c r="H5543" i="1"/>
  <c r="J5543" i="1" s="1"/>
  <c r="H5544" i="1"/>
  <c r="J5544" i="1" s="1"/>
  <c r="H5545" i="1"/>
  <c r="J5545" i="1" s="1"/>
  <c r="H5546" i="1"/>
  <c r="J5546" i="1" s="1"/>
  <c r="H5547" i="1"/>
  <c r="J5547" i="1" s="1"/>
  <c r="H5548" i="1"/>
  <c r="J5548" i="1" s="1"/>
  <c r="H5549" i="1"/>
  <c r="J5549" i="1" s="1"/>
  <c r="H5550" i="1"/>
  <c r="J5550" i="1" s="1"/>
  <c r="H5551" i="1"/>
  <c r="J5551" i="1" s="1"/>
  <c r="H5552" i="1"/>
  <c r="J5552" i="1" s="1"/>
  <c r="H5553" i="1"/>
  <c r="J5553" i="1" s="1"/>
  <c r="H5554" i="1"/>
  <c r="J5554" i="1" s="1"/>
  <c r="H5555" i="1"/>
  <c r="J5555" i="1" s="1"/>
  <c r="H5556" i="1"/>
  <c r="J5556" i="1" s="1"/>
  <c r="H5557" i="1"/>
  <c r="H5558" i="1"/>
  <c r="J5558" i="1" s="1"/>
  <c r="H5559" i="1"/>
  <c r="J5559" i="1" s="1"/>
  <c r="H5560" i="1"/>
  <c r="J5560" i="1" s="1"/>
  <c r="H5561" i="1"/>
  <c r="J5561" i="1" s="1"/>
  <c r="H5562" i="1"/>
  <c r="J5562" i="1" s="1"/>
  <c r="H5563" i="1"/>
  <c r="J5563" i="1" s="1"/>
  <c r="H5564" i="1"/>
  <c r="J5564" i="1" s="1"/>
  <c r="H5565" i="1"/>
  <c r="J5565" i="1" s="1"/>
  <c r="H5566" i="1"/>
  <c r="J5566" i="1" s="1"/>
  <c r="H5567" i="1"/>
  <c r="J5567" i="1" s="1"/>
  <c r="H5568" i="1"/>
  <c r="J5568" i="1" s="1"/>
  <c r="H5569" i="1"/>
  <c r="J5569" i="1" s="1"/>
  <c r="H5570" i="1"/>
  <c r="J5570" i="1" s="1"/>
  <c r="H5571" i="1"/>
  <c r="J5571" i="1" s="1"/>
  <c r="H5572" i="1"/>
  <c r="J5572" i="1" s="1"/>
  <c r="H5573" i="1"/>
  <c r="J5573" i="1" s="1"/>
  <c r="H5574" i="1"/>
  <c r="J5574" i="1" s="1"/>
  <c r="H5575" i="1"/>
  <c r="J5575" i="1" s="1"/>
  <c r="H5576" i="1"/>
  <c r="J5576" i="1" s="1"/>
  <c r="H5577" i="1"/>
  <c r="J5577" i="1" s="1"/>
  <c r="H5578" i="1"/>
  <c r="J5578" i="1" s="1"/>
  <c r="H5579" i="1"/>
  <c r="J5579" i="1" s="1"/>
  <c r="H5580" i="1"/>
  <c r="J5580" i="1" s="1"/>
  <c r="H5581" i="1"/>
  <c r="J5581" i="1" s="1"/>
  <c r="H5582" i="1"/>
  <c r="J5582" i="1" s="1"/>
  <c r="H5583" i="1"/>
  <c r="J5583" i="1" s="1"/>
  <c r="H5584" i="1"/>
  <c r="J5584" i="1" s="1"/>
  <c r="H5585" i="1"/>
  <c r="J5585" i="1" s="1"/>
  <c r="H5586" i="1"/>
  <c r="J5586" i="1" s="1"/>
  <c r="H5587" i="1"/>
  <c r="J5587" i="1" s="1"/>
  <c r="H5588" i="1"/>
  <c r="J5588" i="1" s="1"/>
  <c r="H5589" i="1"/>
  <c r="J5589" i="1" s="1"/>
  <c r="H5590" i="1"/>
  <c r="J5590" i="1" s="1"/>
  <c r="H5591" i="1"/>
  <c r="J5591" i="1" s="1"/>
  <c r="H5592" i="1"/>
  <c r="J5592" i="1" s="1"/>
  <c r="H5593" i="1"/>
  <c r="J5593" i="1" s="1"/>
  <c r="H5594" i="1"/>
  <c r="J5594" i="1" s="1"/>
  <c r="H5595" i="1"/>
  <c r="J5595" i="1" s="1"/>
  <c r="H5596" i="1"/>
  <c r="J5596" i="1" s="1"/>
  <c r="H5597" i="1"/>
  <c r="J5597" i="1" s="1"/>
  <c r="H5598" i="1"/>
  <c r="J5598" i="1" s="1"/>
  <c r="H5599" i="1"/>
  <c r="J5599" i="1" s="1"/>
  <c r="H5600" i="1"/>
  <c r="J5600" i="1" s="1"/>
  <c r="H5601" i="1"/>
  <c r="J5601" i="1" s="1"/>
  <c r="H5602" i="1"/>
  <c r="J5602" i="1" s="1"/>
  <c r="H5603" i="1"/>
  <c r="J5603" i="1" s="1"/>
  <c r="H5604" i="1"/>
  <c r="J5604" i="1" s="1"/>
  <c r="H5605" i="1"/>
  <c r="H5606" i="1"/>
  <c r="J5606" i="1" s="1"/>
  <c r="H5607" i="1"/>
  <c r="J5607" i="1" s="1"/>
  <c r="H5608" i="1"/>
  <c r="J5608" i="1" s="1"/>
  <c r="H5609" i="1"/>
  <c r="J5609" i="1" s="1"/>
  <c r="H5610" i="1"/>
  <c r="J5610" i="1" s="1"/>
  <c r="H5611" i="1"/>
  <c r="J5611" i="1" s="1"/>
  <c r="H5612" i="1"/>
  <c r="J5612" i="1" s="1"/>
  <c r="H5613" i="1"/>
  <c r="J5613" i="1" s="1"/>
  <c r="H5614" i="1"/>
  <c r="J5614" i="1" s="1"/>
  <c r="H5615" i="1"/>
  <c r="J5615" i="1" s="1"/>
  <c r="H5616" i="1"/>
  <c r="J5616" i="1" s="1"/>
  <c r="H5617" i="1"/>
  <c r="J5617" i="1" s="1"/>
  <c r="H5618" i="1"/>
  <c r="H5619" i="1"/>
  <c r="J5619" i="1" s="1"/>
  <c r="H5620" i="1"/>
  <c r="J5620" i="1" s="1"/>
  <c r="H5621" i="1"/>
  <c r="J5621" i="1" s="1"/>
  <c r="H5622" i="1"/>
  <c r="J5622" i="1" s="1"/>
  <c r="H5623" i="1"/>
  <c r="J5623" i="1" s="1"/>
  <c r="H5624" i="1"/>
  <c r="J5624" i="1" s="1"/>
  <c r="H5625" i="1"/>
  <c r="J5625" i="1" s="1"/>
  <c r="H5626" i="1"/>
  <c r="J5626" i="1" s="1"/>
  <c r="H5627" i="1"/>
  <c r="J5627" i="1" s="1"/>
  <c r="H5628" i="1"/>
  <c r="J5628" i="1" s="1"/>
  <c r="H5629" i="1"/>
  <c r="J5629" i="1" s="1"/>
  <c r="H5630" i="1"/>
  <c r="J5630" i="1" s="1"/>
  <c r="H5631" i="1"/>
  <c r="J5631" i="1" s="1"/>
  <c r="H5632" i="1"/>
  <c r="J5632" i="1" s="1"/>
  <c r="H5633" i="1"/>
  <c r="J5633" i="1" s="1"/>
  <c r="H5634" i="1"/>
  <c r="J5634" i="1" s="1"/>
  <c r="H5635" i="1"/>
  <c r="J5635" i="1" s="1"/>
  <c r="H5636" i="1"/>
  <c r="J5636" i="1" s="1"/>
  <c r="H5637" i="1"/>
  <c r="J5637" i="1" s="1"/>
  <c r="H5638" i="1"/>
  <c r="J5638" i="1" s="1"/>
  <c r="H5639" i="1"/>
  <c r="J5639" i="1" s="1"/>
  <c r="H5640" i="1"/>
  <c r="J5640" i="1" s="1"/>
  <c r="H5641" i="1"/>
  <c r="J5641" i="1" s="1"/>
  <c r="H5642" i="1"/>
  <c r="J5642" i="1" s="1"/>
  <c r="H5643" i="1"/>
  <c r="J5643" i="1" s="1"/>
  <c r="H5644" i="1"/>
  <c r="J5644" i="1" s="1"/>
  <c r="H5645" i="1"/>
  <c r="J5645" i="1" s="1"/>
  <c r="H5646" i="1"/>
  <c r="J5646" i="1" s="1"/>
  <c r="H5647" i="1"/>
  <c r="J5647" i="1" s="1"/>
  <c r="H5648" i="1"/>
  <c r="J5648" i="1" s="1"/>
  <c r="H5649" i="1"/>
  <c r="J5649" i="1" s="1"/>
  <c r="H5650" i="1"/>
  <c r="J5650" i="1" s="1"/>
  <c r="H5651" i="1"/>
  <c r="J5651" i="1" s="1"/>
  <c r="H5652" i="1"/>
  <c r="J5652" i="1" s="1"/>
  <c r="H5653" i="1"/>
  <c r="J5653" i="1" s="1"/>
  <c r="H5654" i="1"/>
  <c r="J5654" i="1" s="1"/>
  <c r="H5655" i="1"/>
  <c r="J5655" i="1" s="1"/>
  <c r="H5656" i="1"/>
  <c r="J5656" i="1" s="1"/>
  <c r="H5657" i="1"/>
  <c r="J5657" i="1" s="1"/>
  <c r="H5658" i="1"/>
  <c r="J5658" i="1" s="1"/>
  <c r="H5659" i="1"/>
  <c r="J5659" i="1" s="1"/>
  <c r="H5660" i="1"/>
  <c r="J5660" i="1" s="1"/>
  <c r="H5661" i="1"/>
  <c r="J5661" i="1" s="1"/>
  <c r="H5662" i="1"/>
  <c r="J5662" i="1" s="1"/>
  <c r="H5663" i="1"/>
  <c r="J5663" i="1" s="1"/>
  <c r="H5664" i="1"/>
  <c r="J5664" i="1" s="1"/>
  <c r="H5665" i="1"/>
  <c r="H5666" i="1"/>
  <c r="J5666" i="1" s="1"/>
  <c r="H5667" i="1"/>
  <c r="J5667" i="1" s="1"/>
  <c r="H5668" i="1"/>
  <c r="J5668" i="1" s="1"/>
  <c r="H5669" i="1"/>
  <c r="J5669" i="1" s="1"/>
  <c r="H5670" i="1"/>
  <c r="J5670" i="1" s="1"/>
  <c r="H5671" i="1"/>
  <c r="J5671" i="1" s="1"/>
  <c r="H5672" i="1"/>
  <c r="J5672" i="1" s="1"/>
  <c r="H5673" i="1"/>
  <c r="J5673" i="1" s="1"/>
  <c r="H5674" i="1"/>
  <c r="J5674" i="1" s="1"/>
  <c r="H5675" i="1"/>
  <c r="J5675" i="1" s="1"/>
  <c r="H5676" i="1"/>
  <c r="J5676" i="1" s="1"/>
  <c r="H5677" i="1"/>
  <c r="J5677" i="1" s="1"/>
  <c r="H5678" i="1"/>
  <c r="J5678" i="1" s="1"/>
  <c r="H5679" i="1"/>
  <c r="J5679" i="1" s="1"/>
  <c r="H5680" i="1"/>
  <c r="J5680" i="1" s="1"/>
  <c r="H5681" i="1"/>
  <c r="J5681" i="1" s="1"/>
  <c r="H5682" i="1"/>
  <c r="J5682" i="1" s="1"/>
  <c r="H5683" i="1"/>
  <c r="J5683" i="1" s="1"/>
  <c r="H5684" i="1"/>
  <c r="J5684" i="1" s="1"/>
  <c r="H5685" i="1"/>
  <c r="J5685" i="1" s="1"/>
  <c r="H5686" i="1"/>
  <c r="J5686" i="1" s="1"/>
  <c r="H5687" i="1"/>
  <c r="J5687" i="1" s="1"/>
  <c r="H5688" i="1"/>
  <c r="J5688" i="1" s="1"/>
  <c r="H5689" i="1"/>
  <c r="J5689" i="1" s="1"/>
  <c r="H5690" i="1"/>
  <c r="J5690" i="1" s="1"/>
  <c r="H5691" i="1"/>
  <c r="H5692" i="1"/>
  <c r="J5692" i="1" s="1"/>
  <c r="H5693" i="1"/>
  <c r="J5693" i="1" s="1"/>
  <c r="H5694" i="1"/>
  <c r="J5694" i="1" s="1"/>
  <c r="H5695" i="1"/>
  <c r="J5695" i="1" s="1"/>
  <c r="H5696" i="1"/>
  <c r="J5696" i="1" s="1"/>
  <c r="H5697" i="1"/>
  <c r="J5697" i="1" s="1"/>
  <c r="H5698" i="1"/>
  <c r="J5698" i="1" s="1"/>
  <c r="H5699" i="1"/>
  <c r="J5699" i="1" s="1"/>
  <c r="H5700" i="1"/>
  <c r="J5700" i="1" s="1"/>
  <c r="H5701" i="1"/>
  <c r="H5702" i="1"/>
  <c r="J5702" i="1" s="1"/>
  <c r="H5703" i="1"/>
  <c r="J5703" i="1" s="1"/>
  <c r="H5704" i="1"/>
  <c r="J5704" i="1" s="1"/>
  <c r="H5705" i="1"/>
  <c r="J5705" i="1" s="1"/>
  <c r="H5706" i="1"/>
  <c r="J5706" i="1" s="1"/>
  <c r="H5707" i="1"/>
  <c r="J5707" i="1" s="1"/>
  <c r="H5708" i="1"/>
  <c r="J5708" i="1" s="1"/>
  <c r="H5709" i="1"/>
  <c r="J5709" i="1" s="1"/>
  <c r="H5710" i="1"/>
  <c r="J5710" i="1" s="1"/>
  <c r="H5711" i="1"/>
  <c r="J5711" i="1" s="1"/>
  <c r="H5712" i="1"/>
  <c r="J5712" i="1" s="1"/>
  <c r="H5713" i="1"/>
  <c r="J5713" i="1" s="1"/>
  <c r="H5714" i="1"/>
  <c r="J5714" i="1" s="1"/>
  <c r="H5715" i="1"/>
  <c r="J5715" i="1" s="1"/>
  <c r="H5716" i="1"/>
  <c r="H5717" i="1"/>
  <c r="J5717" i="1" s="1"/>
  <c r="H5718" i="1"/>
  <c r="J5718" i="1" s="1"/>
  <c r="H5719" i="1"/>
  <c r="J5719" i="1" s="1"/>
  <c r="H5720" i="1"/>
  <c r="J5720" i="1" s="1"/>
  <c r="H5721" i="1"/>
  <c r="J5721" i="1" s="1"/>
  <c r="H5722" i="1"/>
  <c r="J5722" i="1" s="1"/>
  <c r="H5723" i="1"/>
  <c r="J5723" i="1" s="1"/>
  <c r="H5724" i="1"/>
  <c r="J5724" i="1" s="1"/>
  <c r="H5725" i="1"/>
  <c r="J5725" i="1" s="1"/>
  <c r="H5726" i="1"/>
  <c r="J5726" i="1" s="1"/>
  <c r="H5727" i="1"/>
  <c r="J5727" i="1" s="1"/>
  <c r="H5728" i="1"/>
  <c r="J5728" i="1" s="1"/>
  <c r="H5729" i="1"/>
  <c r="H5730" i="1"/>
  <c r="J5730" i="1" s="1"/>
  <c r="H5731" i="1"/>
  <c r="J5731" i="1" s="1"/>
  <c r="H5732" i="1"/>
  <c r="J5732" i="1" s="1"/>
  <c r="H5733" i="1"/>
  <c r="J5733" i="1" s="1"/>
  <c r="H5734" i="1"/>
  <c r="J5734" i="1" s="1"/>
  <c r="H5735" i="1"/>
  <c r="J5735" i="1" s="1"/>
  <c r="H5736" i="1"/>
  <c r="J5736" i="1" s="1"/>
  <c r="H5737" i="1"/>
  <c r="J5737" i="1" s="1"/>
  <c r="H5738" i="1"/>
  <c r="J5738" i="1" s="1"/>
  <c r="H5739" i="1"/>
  <c r="J5739" i="1" s="1"/>
  <c r="H5740" i="1"/>
  <c r="J5740" i="1" s="1"/>
  <c r="H5741" i="1"/>
  <c r="J5741" i="1" s="1"/>
  <c r="H5742" i="1"/>
  <c r="J5742" i="1" s="1"/>
  <c r="H5743" i="1"/>
  <c r="J5743" i="1" s="1"/>
  <c r="H5744" i="1"/>
  <c r="J5744" i="1" s="1"/>
  <c r="H5745" i="1"/>
  <c r="J5745" i="1" s="1"/>
  <c r="H5746" i="1"/>
  <c r="J5746" i="1" s="1"/>
  <c r="H5747" i="1"/>
  <c r="J5747" i="1" s="1"/>
  <c r="H5748" i="1"/>
  <c r="J5748" i="1" s="1"/>
  <c r="H5749" i="1"/>
  <c r="J5749" i="1" s="1"/>
  <c r="H5750" i="1"/>
  <c r="J5750" i="1" s="1"/>
  <c r="H5751" i="1"/>
  <c r="J5751" i="1" s="1"/>
  <c r="H5752" i="1"/>
  <c r="H5753" i="1"/>
  <c r="J5753" i="1" s="1"/>
  <c r="H5754" i="1"/>
  <c r="J5754" i="1" s="1"/>
  <c r="H5755" i="1"/>
  <c r="J5755" i="1" s="1"/>
  <c r="H5756" i="1"/>
  <c r="J5756" i="1" s="1"/>
  <c r="H5757" i="1"/>
  <c r="J5757" i="1" s="1"/>
  <c r="H5758" i="1"/>
  <c r="J5758" i="1" s="1"/>
  <c r="H5759" i="1"/>
  <c r="J5759" i="1" s="1"/>
  <c r="H5760" i="1"/>
  <c r="J5760" i="1" s="1"/>
  <c r="H5761" i="1"/>
  <c r="J5761" i="1" s="1"/>
  <c r="H5762" i="1"/>
  <c r="H5763" i="1"/>
  <c r="J5763" i="1" s="1"/>
  <c r="H5764" i="1"/>
  <c r="J5764" i="1" s="1"/>
  <c r="H5765" i="1"/>
  <c r="J5765" i="1" s="1"/>
  <c r="H5766" i="1"/>
  <c r="J5766" i="1" s="1"/>
  <c r="H5767" i="1"/>
  <c r="J5767" i="1" s="1"/>
  <c r="H5768" i="1"/>
  <c r="J5768" i="1" s="1"/>
  <c r="H5769" i="1"/>
  <c r="J5769" i="1" s="1"/>
  <c r="H5770" i="1"/>
  <c r="J5770" i="1" s="1"/>
  <c r="H5771" i="1"/>
  <c r="J5771" i="1" s="1"/>
  <c r="H5772" i="1"/>
  <c r="J5772" i="1" s="1"/>
  <c r="H5773" i="1"/>
  <c r="J5773" i="1" s="1"/>
  <c r="H5774" i="1"/>
  <c r="J5774" i="1" s="1"/>
  <c r="H5775" i="1"/>
  <c r="J5775" i="1" s="1"/>
  <c r="H5776" i="1"/>
  <c r="J5776" i="1" s="1"/>
  <c r="H5777" i="1"/>
  <c r="J5777" i="1" s="1"/>
  <c r="H5778" i="1"/>
  <c r="J5778" i="1" s="1"/>
  <c r="H5779" i="1"/>
  <c r="J5779" i="1" s="1"/>
  <c r="H5780" i="1"/>
  <c r="J5780" i="1" s="1"/>
  <c r="H5781" i="1"/>
  <c r="J5781" i="1" s="1"/>
  <c r="H5782" i="1"/>
  <c r="J5782" i="1" s="1"/>
  <c r="H5783" i="1"/>
  <c r="J5783" i="1" s="1"/>
  <c r="H5784" i="1"/>
  <c r="J5784" i="1" s="1"/>
  <c r="H5785" i="1"/>
  <c r="J5785" i="1" s="1"/>
  <c r="H5786" i="1"/>
  <c r="J5786" i="1" s="1"/>
  <c r="H5787" i="1"/>
  <c r="J5787" i="1" s="1"/>
  <c r="H5788" i="1"/>
  <c r="J5788" i="1" s="1"/>
  <c r="H5789" i="1"/>
  <c r="J5789" i="1" s="1"/>
  <c r="H5790" i="1"/>
  <c r="J5790" i="1" s="1"/>
  <c r="H5791" i="1"/>
  <c r="J5791" i="1" s="1"/>
  <c r="H5792" i="1"/>
  <c r="J5792" i="1" s="1"/>
  <c r="H5793" i="1"/>
  <c r="J5793" i="1" s="1"/>
  <c r="H5794" i="1"/>
  <c r="J5794" i="1" s="1"/>
  <c r="H5795" i="1"/>
  <c r="J5795" i="1" s="1"/>
  <c r="H5796" i="1"/>
  <c r="J5796" i="1" s="1"/>
  <c r="H5797" i="1"/>
  <c r="J5797" i="1" s="1"/>
  <c r="H5798" i="1"/>
  <c r="J5798" i="1" s="1"/>
  <c r="H5799" i="1"/>
  <c r="J5799" i="1" s="1"/>
  <c r="H5800" i="1"/>
  <c r="J5800" i="1" s="1"/>
  <c r="H5801" i="1"/>
  <c r="J5801" i="1" s="1"/>
  <c r="H5802" i="1"/>
  <c r="J5802" i="1" s="1"/>
  <c r="H5803" i="1"/>
  <c r="J5803" i="1" s="1"/>
  <c r="H5804" i="1"/>
  <c r="J5804" i="1" s="1"/>
  <c r="H5805" i="1"/>
  <c r="J5805" i="1" s="1"/>
  <c r="H5806" i="1"/>
  <c r="J5806" i="1" s="1"/>
  <c r="H5807" i="1"/>
  <c r="J5807" i="1" s="1"/>
  <c r="H5808" i="1"/>
  <c r="J5808" i="1" s="1"/>
  <c r="H5809" i="1"/>
  <c r="J5809" i="1" s="1"/>
  <c r="H5810" i="1"/>
  <c r="J5810" i="1" s="1"/>
  <c r="H5811" i="1"/>
  <c r="J5811" i="1" s="1"/>
  <c r="H5812" i="1"/>
  <c r="J5812" i="1" s="1"/>
  <c r="H5813" i="1"/>
  <c r="J5813" i="1" s="1"/>
  <c r="H5814" i="1"/>
  <c r="J5814" i="1" s="1"/>
  <c r="H5815" i="1"/>
  <c r="J5815" i="1" s="1"/>
  <c r="H5816" i="1"/>
  <c r="J5816" i="1" s="1"/>
  <c r="H5817" i="1"/>
  <c r="J5817" i="1" s="1"/>
  <c r="H5818" i="1"/>
  <c r="J5818" i="1" s="1"/>
  <c r="H5819" i="1"/>
  <c r="J5819" i="1" s="1"/>
  <c r="H5820" i="1"/>
  <c r="J5820" i="1" s="1"/>
  <c r="H5821" i="1"/>
  <c r="J5821" i="1" s="1"/>
  <c r="H5822" i="1"/>
  <c r="J5822" i="1" s="1"/>
  <c r="H5823" i="1"/>
  <c r="J5823" i="1" s="1"/>
  <c r="H5824" i="1"/>
  <c r="J5824" i="1" s="1"/>
  <c r="H5825" i="1"/>
  <c r="J5825" i="1" s="1"/>
  <c r="H5826" i="1"/>
  <c r="J5826" i="1" s="1"/>
  <c r="H5827" i="1"/>
  <c r="J5827" i="1" s="1"/>
  <c r="H5828" i="1"/>
  <c r="J5828" i="1" s="1"/>
  <c r="H5829" i="1"/>
  <c r="J5829" i="1" s="1"/>
  <c r="H5830" i="1"/>
  <c r="J5830" i="1" s="1"/>
  <c r="H5831" i="1"/>
  <c r="J5831" i="1" s="1"/>
  <c r="H5832" i="1"/>
  <c r="J5832" i="1" s="1"/>
  <c r="H5833" i="1"/>
  <c r="J5833" i="1" s="1"/>
  <c r="H5834" i="1"/>
  <c r="J5834" i="1" s="1"/>
  <c r="H5835" i="1"/>
  <c r="J5835" i="1" s="1"/>
  <c r="H5836" i="1"/>
  <c r="J5836" i="1" s="1"/>
  <c r="H5837" i="1"/>
  <c r="J5837" i="1" s="1"/>
  <c r="H5838" i="1"/>
  <c r="J5838" i="1" s="1"/>
  <c r="H5839" i="1"/>
  <c r="J5839" i="1" s="1"/>
  <c r="H5840" i="1"/>
  <c r="J5840" i="1" s="1"/>
  <c r="H5841" i="1"/>
  <c r="J5841" i="1" s="1"/>
  <c r="H5842" i="1"/>
  <c r="J5842" i="1" s="1"/>
  <c r="H5843" i="1"/>
  <c r="J5843" i="1" s="1"/>
  <c r="H5844" i="1"/>
  <c r="J5844" i="1" s="1"/>
  <c r="H5845" i="1"/>
  <c r="J5845" i="1" s="1"/>
  <c r="H5846" i="1"/>
  <c r="J5846" i="1" s="1"/>
  <c r="H5847" i="1"/>
  <c r="J5847" i="1" s="1"/>
  <c r="H5848" i="1"/>
  <c r="J5848" i="1" s="1"/>
  <c r="H5849" i="1"/>
  <c r="J5849" i="1" s="1"/>
  <c r="H5850" i="1"/>
  <c r="J5850" i="1" s="1"/>
  <c r="H5851" i="1"/>
  <c r="J5851" i="1" s="1"/>
  <c r="H5852" i="1"/>
  <c r="J5852" i="1" s="1"/>
  <c r="H5853" i="1"/>
  <c r="J5853" i="1" s="1"/>
  <c r="H5854" i="1"/>
  <c r="J5854" i="1" s="1"/>
  <c r="H5855" i="1"/>
  <c r="J5855" i="1" s="1"/>
  <c r="H5856" i="1"/>
  <c r="J5856" i="1" s="1"/>
  <c r="H5857" i="1"/>
  <c r="J5857" i="1" s="1"/>
  <c r="H5858" i="1"/>
  <c r="J5858" i="1" s="1"/>
  <c r="H5859" i="1"/>
  <c r="J5859" i="1" s="1"/>
  <c r="H5860" i="1"/>
  <c r="J5860" i="1" s="1"/>
  <c r="H5861" i="1"/>
  <c r="J5861" i="1" s="1"/>
  <c r="H5862" i="1"/>
  <c r="J5862" i="1" s="1"/>
  <c r="H5863" i="1"/>
  <c r="J5863" i="1" s="1"/>
  <c r="H5864" i="1"/>
  <c r="J5864" i="1" s="1"/>
  <c r="H5865" i="1"/>
  <c r="J5865" i="1" s="1"/>
  <c r="H5866" i="1"/>
  <c r="J5866" i="1" s="1"/>
  <c r="H5867" i="1"/>
  <c r="J5867" i="1" s="1"/>
  <c r="H5868" i="1"/>
  <c r="J5868" i="1" s="1"/>
  <c r="H5869" i="1"/>
  <c r="J5869" i="1" s="1"/>
  <c r="H5870" i="1"/>
  <c r="J5870" i="1" s="1"/>
  <c r="H5871" i="1"/>
  <c r="J5871" i="1" s="1"/>
  <c r="H5872" i="1"/>
  <c r="J5872" i="1" s="1"/>
  <c r="H5873" i="1"/>
  <c r="J5873" i="1" s="1"/>
  <c r="H5874" i="1"/>
  <c r="J5874" i="1" s="1"/>
  <c r="H5875" i="1"/>
  <c r="J5875" i="1" s="1"/>
  <c r="H5876" i="1"/>
  <c r="J5876" i="1" s="1"/>
  <c r="H5877" i="1"/>
  <c r="J5877" i="1" s="1"/>
  <c r="H5878" i="1"/>
  <c r="J5878" i="1" s="1"/>
  <c r="H5879" i="1"/>
  <c r="J5879" i="1" s="1"/>
  <c r="H5880" i="1"/>
  <c r="J5880" i="1" s="1"/>
  <c r="H5881" i="1"/>
  <c r="H5882" i="1"/>
  <c r="J5882" i="1" s="1"/>
  <c r="H5883" i="1"/>
  <c r="J5883" i="1" s="1"/>
  <c r="H5884" i="1"/>
  <c r="J5884" i="1" s="1"/>
  <c r="H5885" i="1"/>
  <c r="J5885" i="1" s="1"/>
  <c r="H5886" i="1"/>
  <c r="J5886" i="1" s="1"/>
  <c r="H5887" i="1"/>
  <c r="J5887" i="1" s="1"/>
  <c r="H5888" i="1"/>
  <c r="J5888" i="1" s="1"/>
  <c r="H5889" i="1"/>
  <c r="J5889" i="1" s="1"/>
  <c r="H5890" i="1"/>
  <c r="J5890" i="1" s="1"/>
  <c r="H5891" i="1"/>
  <c r="J5891" i="1" s="1"/>
  <c r="H5892" i="1"/>
  <c r="J5892" i="1" s="1"/>
  <c r="H5893" i="1"/>
  <c r="J5893" i="1" s="1"/>
  <c r="H5894" i="1"/>
  <c r="J5894" i="1" s="1"/>
  <c r="H5895" i="1"/>
  <c r="J5895" i="1" s="1"/>
  <c r="H5896" i="1"/>
  <c r="J5896" i="1" s="1"/>
  <c r="H5897" i="1"/>
  <c r="J5897" i="1" s="1"/>
  <c r="H5898" i="1"/>
  <c r="J5898" i="1" s="1"/>
  <c r="H5899" i="1"/>
  <c r="J5899" i="1" s="1"/>
  <c r="H5900" i="1"/>
  <c r="J5900" i="1" s="1"/>
  <c r="H5901" i="1"/>
  <c r="J5901" i="1" s="1"/>
  <c r="H5902" i="1"/>
  <c r="J5902" i="1" s="1"/>
  <c r="H5903" i="1"/>
  <c r="J5903" i="1" s="1"/>
  <c r="H5904" i="1"/>
  <c r="J5904" i="1" s="1"/>
  <c r="H5905" i="1"/>
  <c r="J5905" i="1" s="1"/>
  <c r="H5906" i="1"/>
  <c r="J5906" i="1" s="1"/>
  <c r="H5907" i="1"/>
  <c r="J5907" i="1" s="1"/>
  <c r="H5908" i="1"/>
  <c r="J5908" i="1" s="1"/>
  <c r="H5909" i="1"/>
  <c r="J5909" i="1" s="1"/>
  <c r="H5910" i="1"/>
  <c r="J5910" i="1" s="1"/>
  <c r="H5911" i="1"/>
  <c r="J5911" i="1" s="1"/>
  <c r="H5912" i="1"/>
  <c r="J5912" i="1" s="1"/>
  <c r="H5913" i="1"/>
  <c r="J5913" i="1" s="1"/>
  <c r="H5914" i="1"/>
  <c r="J5914" i="1" s="1"/>
  <c r="H5915" i="1"/>
  <c r="J5915" i="1" s="1"/>
  <c r="H5916" i="1"/>
  <c r="J5916" i="1" s="1"/>
  <c r="H5917" i="1"/>
  <c r="J5917" i="1" s="1"/>
  <c r="H5918" i="1"/>
  <c r="J5918" i="1" s="1"/>
  <c r="H5919" i="1"/>
  <c r="J5919" i="1" s="1"/>
  <c r="H5920" i="1"/>
  <c r="H5921" i="1"/>
  <c r="J5921" i="1" s="1"/>
  <c r="H5922" i="1"/>
  <c r="J5922" i="1" s="1"/>
  <c r="H5923" i="1"/>
  <c r="J5923" i="1" s="1"/>
  <c r="H5924" i="1"/>
  <c r="J5924" i="1" s="1"/>
  <c r="H5925" i="1"/>
  <c r="J5925" i="1" s="1"/>
  <c r="H5926" i="1"/>
  <c r="J5926" i="1" s="1"/>
  <c r="H5927" i="1"/>
  <c r="J5927" i="1" s="1"/>
  <c r="H5928" i="1"/>
  <c r="J5928" i="1" s="1"/>
  <c r="H5929" i="1"/>
  <c r="J5929" i="1" s="1"/>
  <c r="H5930" i="1"/>
  <c r="J5930" i="1" s="1"/>
  <c r="H5931" i="1"/>
  <c r="J5931" i="1" s="1"/>
  <c r="H5932" i="1"/>
  <c r="H5933" i="1"/>
  <c r="J5933" i="1" s="1"/>
  <c r="H5934" i="1"/>
  <c r="J5934" i="1" s="1"/>
  <c r="H5935" i="1"/>
  <c r="J5935" i="1" s="1"/>
  <c r="H5936" i="1"/>
  <c r="J5936" i="1" s="1"/>
  <c r="H5937" i="1"/>
  <c r="J5937" i="1" s="1"/>
  <c r="H5938" i="1"/>
  <c r="J5938" i="1" s="1"/>
  <c r="H5939" i="1"/>
  <c r="J5939" i="1" s="1"/>
  <c r="H5940" i="1"/>
  <c r="J5940" i="1" s="1"/>
  <c r="H5941" i="1"/>
  <c r="J5941" i="1" s="1"/>
  <c r="H5942" i="1"/>
  <c r="J5942" i="1" s="1"/>
  <c r="H5943" i="1"/>
  <c r="J5943" i="1" s="1"/>
  <c r="H5944" i="1"/>
  <c r="J5944" i="1" s="1"/>
  <c r="H5945" i="1"/>
  <c r="J5945" i="1" s="1"/>
  <c r="H5946" i="1"/>
  <c r="J5946" i="1" s="1"/>
  <c r="H5947" i="1"/>
  <c r="J5947" i="1" s="1"/>
  <c r="H5948" i="1"/>
  <c r="J5948" i="1" s="1"/>
  <c r="H5949" i="1"/>
  <c r="J5949" i="1" s="1"/>
  <c r="H5950" i="1"/>
  <c r="J5950" i="1" s="1"/>
  <c r="H5951" i="1"/>
  <c r="J5951" i="1" s="1"/>
  <c r="H5952" i="1"/>
  <c r="J5952" i="1" s="1"/>
  <c r="H5953" i="1"/>
  <c r="J5953" i="1" s="1"/>
  <c r="H5954" i="1"/>
  <c r="J5954" i="1" s="1"/>
  <c r="H5955" i="1"/>
  <c r="J5955" i="1" s="1"/>
  <c r="H5956" i="1"/>
  <c r="J5956" i="1" s="1"/>
  <c r="H5957" i="1"/>
  <c r="J5957" i="1" s="1"/>
  <c r="H5958" i="1"/>
  <c r="J5958" i="1" s="1"/>
  <c r="H5959" i="1"/>
  <c r="J5959" i="1" s="1"/>
  <c r="H5960" i="1"/>
  <c r="J5960" i="1" s="1"/>
  <c r="H5961" i="1"/>
  <c r="J5961" i="1" s="1"/>
  <c r="H5962" i="1"/>
  <c r="J5962" i="1" s="1"/>
  <c r="H5963" i="1"/>
  <c r="J5963" i="1" s="1"/>
  <c r="H5964" i="1"/>
  <c r="J5964" i="1" s="1"/>
  <c r="H5965" i="1"/>
  <c r="J5965" i="1" s="1"/>
  <c r="H5966" i="1"/>
  <c r="J5966" i="1" s="1"/>
  <c r="H5967" i="1"/>
  <c r="H5968" i="1"/>
  <c r="J5968" i="1" s="1"/>
  <c r="H5969" i="1"/>
  <c r="J5969" i="1" s="1"/>
  <c r="H5970" i="1"/>
  <c r="J5970" i="1" s="1"/>
  <c r="H5971" i="1"/>
  <c r="J5971" i="1" s="1"/>
  <c r="H5972" i="1"/>
  <c r="J5972" i="1" s="1"/>
  <c r="H5973" i="1"/>
  <c r="H5974" i="1"/>
  <c r="J5974" i="1" s="1"/>
  <c r="H5975" i="1"/>
  <c r="J5975" i="1" s="1"/>
  <c r="H5976" i="1"/>
  <c r="J5976" i="1" s="1"/>
  <c r="H5977" i="1"/>
  <c r="J5977" i="1" s="1"/>
  <c r="H5978" i="1"/>
  <c r="J5978" i="1" s="1"/>
  <c r="H5979" i="1"/>
  <c r="J5979" i="1" s="1"/>
  <c r="H5980" i="1"/>
  <c r="H5981" i="1"/>
  <c r="J5981" i="1" s="1"/>
  <c r="H5982" i="1"/>
  <c r="J5982" i="1" s="1"/>
  <c r="H5983" i="1"/>
  <c r="J5983" i="1" s="1"/>
  <c r="H5984" i="1"/>
  <c r="J5984" i="1" s="1"/>
  <c r="H5985" i="1"/>
  <c r="J5985" i="1" s="1"/>
  <c r="H5986" i="1"/>
  <c r="J5986" i="1" s="1"/>
  <c r="H5987" i="1"/>
  <c r="J5987" i="1" s="1"/>
  <c r="H5988" i="1"/>
  <c r="J5988" i="1" s="1"/>
  <c r="H5989" i="1"/>
  <c r="J5989" i="1" s="1"/>
  <c r="H5990" i="1"/>
  <c r="J5990" i="1" s="1"/>
  <c r="H5991" i="1"/>
  <c r="J5991" i="1" s="1"/>
  <c r="H5992" i="1"/>
  <c r="J5992" i="1" s="1"/>
  <c r="H5993" i="1"/>
  <c r="J5993" i="1" s="1"/>
  <c r="H5994" i="1"/>
  <c r="H5995" i="1"/>
  <c r="J5995" i="1" s="1"/>
  <c r="H5996" i="1"/>
  <c r="J5996" i="1" s="1"/>
  <c r="H5997" i="1"/>
  <c r="J5997" i="1" s="1"/>
  <c r="H5998" i="1"/>
  <c r="J5998" i="1" s="1"/>
  <c r="H5999" i="1"/>
  <c r="J5999" i="1" s="1"/>
  <c r="H6000" i="1"/>
  <c r="J6000" i="1" s="1"/>
  <c r="H6001" i="1"/>
  <c r="J6001" i="1" s="1"/>
  <c r="H6002" i="1"/>
  <c r="J6002" i="1" s="1"/>
  <c r="H6003" i="1"/>
  <c r="J6003" i="1" s="1"/>
  <c r="H6004" i="1"/>
  <c r="H6005" i="1"/>
  <c r="J6005" i="1" s="1"/>
  <c r="H6006" i="1"/>
  <c r="J6006" i="1" s="1"/>
  <c r="H6007" i="1"/>
  <c r="J6007" i="1" s="1"/>
  <c r="H6008" i="1"/>
  <c r="J6008" i="1" s="1"/>
  <c r="H6009" i="1"/>
  <c r="J6009" i="1" s="1"/>
  <c r="H6010" i="1"/>
  <c r="J6010" i="1" s="1"/>
  <c r="H6011" i="1"/>
  <c r="J6011" i="1" s="1"/>
  <c r="H6012" i="1"/>
  <c r="J6012" i="1" s="1"/>
  <c r="H6013" i="1"/>
  <c r="J6013" i="1" s="1"/>
  <c r="H6014" i="1"/>
  <c r="J6014" i="1" s="1"/>
  <c r="H6015" i="1"/>
  <c r="J6015" i="1" s="1"/>
  <c r="H6016" i="1"/>
  <c r="J6016" i="1" s="1"/>
  <c r="H6017" i="1"/>
  <c r="J6017" i="1" s="1"/>
  <c r="H6018" i="1"/>
  <c r="J6018" i="1" s="1"/>
  <c r="H6019" i="1"/>
  <c r="J6019" i="1" s="1"/>
  <c r="H6020" i="1"/>
  <c r="J6020" i="1" s="1"/>
  <c r="H6021" i="1"/>
  <c r="J6021" i="1" s="1"/>
  <c r="H6022" i="1"/>
  <c r="J6022" i="1" s="1"/>
  <c r="H6023" i="1"/>
  <c r="J6023" i="1" s="1"/>
  <c r="H6024" i="1"/>
  <c r="J6024" i="1" s="1"/>
  <c r="H6025" i="1"/>
  <c r="J6025" i="1" s="1"/>
  <c r="H6026" i="1"/>
  <c r="J6026" i="1" s="1"/>
  <c r="H6027" i="1"/>
  <c r="J6027" i="1" s="1"/>
  <c r="H6028" i="1"/>
  <c r="J6028" i="1" s="1"/>
  <c r="H6029" i="1"/>
  <c r="J6029" i="1" s="1"/>
  <c r="H6030" i="1"/>
  <c r="J6030" i="1" s="1"/>
  <c r="H6031" i="1"/>
  <c r="J6031" i="1" s="1"/>
  <c r="H6032" i="1"/>
  <c r="J6032" i="1" s="1"/>
  <c r="H6033" i="1"/>
  <c r="J6033" i="1" s="1"/>
  <c r="H6034" i="1"/>
  <c r="J6034" i="1" s="1"/>
  <c r="H6035" i="1"/>
  <c r="J6035" i="1" s="1"/>
  <c r="H6036" i="1"/>
  <c r="J6036" i="1" s="1"/>
  <c r="H6037" i="1"/>
  <c r="J6037" i="1" s="1"/>
  <c r="H6038" i="1"/>
  <c r="J6038" i="1" s="1"/>
  <c r="H6039" i="1"/>
  <c r="H6040" i="1"/>
  <c r="J6040" i="1" s="1"/>
  <c r="H6041" i="1"/>
  <c r="J6041" i="1" s="1"/>
  <c r="H6042" i="1"/>
  <c r="J6042" i="1" s="1"/>
  <c r="H6043" i="1"/>
  <c r="J6043" i="1" s="1"/>
  <c r="H6044" i="1"/>
  <c r="J6044" i="1" s="1"/>
  <c r="H6045" i="1"/>
  <c r="J6045" i="1" s="1"/>
  <c r="H6046" i="1"/>
  <c r="J6046" i="1" s="1"/>
  <c r="H6047" i="1"/>
  <c r="J6047" i="1" s="1"/>
  <c r="H6048" i="1"/>
  <c r="J6048" i="1" s="1"/>
  <c r="H6049" i="1"/>
  <c r="J6049" i="1" s="1"/>
  <c r="H6050" i="1"/>
  <c r="J6050" i="1" s="1"/>
  <c r="H6051" i="1"/>
  <c r="J6051" i="1" s="1"/>
  <c r="H6052" i="1"/>
  <c r="J6052" i="1" s="1"/>
  <c r="H6053" i="1"/>
  <c r="J6053" i="1" s="1"/>
  <c r="H6054" i="1"/>
  <c r="J6054" i="1" s="1"/>
  <c r="H6055" i="1"/>
  <c r="J6055" i="1" s="1"/>
  <c r="H6056" i="1"/>
  <c r="J6056" i="1" s="1"/>
  <c r="H6057" i="1"/>
  <c r="J6057" i="1" s="1"/>
  <c r="H6058" i="1"/>
  <c r="J6058" i="1" s="1"/>
  <c r="H6059" i="1"/>
  <c r="J6059" i="1" s="1"/>
  <c r="H6060" i="1"/>
  <c r="J6060" i="1" s="1"/>
  <c r="H6061" i="1"/>
  <c r="J6061" i="1" s="1"/>
  <c r="H6062" i="1"/>
  <c r="J6062" i="1" s="1"/>
  <c r="H6063" i="1"/>
  <c r="J6063" i="1" s="1"/>
  <c r="H6064" i="1"/>
  <c r="J6064" i="1" s="1"/>
  <c r="H6065" i="1"/>
  <c r="J6065" i="1" s="1"/>
  <c r="H6066" i="1"/>
  <c r="J6066" i="1" s="1"/>
  <c r="H6067" i="1"/>
  <c r="J6067" i="1" s="1"/>
  <c r="H6068" i="1"/>
  <c r="J6068" i="1" s="1"/>
  <c r="H6069" i="1"/>
  <c r="J6069" i="1" s="1"/>
  <c r="H6070" i="1"/>
  <c r="J6070" i="1" s="1"/>
  <c r="H6071" i="1"/>
  <c r="J6071" i="1" s="1"/>
  <c r="H6072" i="1"/>
  <c r="J6072" i="1" s="1"/>
  <c r="H6073" i="1"/>
  <c r="J6073" i="1" s="1"/>
  <c r="H6074" i="1"/>
  <c r="J6074" i="1" s="1"/>
  <c r="H6075" i="1"/>
  <c r="J6075" i="1" s="1"/>
  <c r="H6076" i="1"/>
  <c r="J6076" i="1" s="1"/>
  <c r="H6077" i="1"/>
  <c r="J6077" i="1" s="1"/>
  <c r="H6078" i="1"/>
  <c r="J6078" i="1" s="1"/>
  <c r="H6079" i="1"/>
  <c r="J6079" i="1" s="1"/>
  <c r="H6080" i="1"/>
  <c r="J6080" i="1" s="1"/>
  <c r="H6081" i="1"/>
  <c r="J6081" i="1" s="1"/>
  <c r="H6082" i="1"/>
  <c r="J6082" i="1" s="1"/>
  <c r="H6083" i="1"/>
  <c r="J6083" i="1" s="1"/>
  <c r="H6084" i="1"/>
  <c r="J6084" i="1" s="1"/>
  <c r="H6085" i="1"/>
  <c r="J6085" i="1" s="1"/>
  <c r="H6086" i="1"/>
  <c r="J6086" i="1" s="1"/>
  <c r="H6087" i="1"/>
  <c r="J6087" i="1" s="1"/>
  <c r="H6088" i="1"/>
  <c r="J6088" i="1" s="1"/>
  <c r="H6089" i="1"/>
  <c r="J6089" i="1" s="1"/>
  <c r="H6090" i="1"/>
  <c r="J6090" i="1" s="1"/>
  <c r="H6091" i="1"/>
  <c r="J6091" i="1" s="1"/>
  <c r="H6092" i="1"/>
  <c r="J6092" i="1" s="1"/>
  <c r="H6093" i="1"/>
  <c r="J6093" i="1" s="1"/>
  <c r="H6094" i="1"/>
  <c r="J6094" i="1" s="1"/>
  <c r="H6095" i="1"/>
  <c r="J6095" i="1" s="1"/>
  <c r="H6096" i="1"/>
  <c r="J6096" i="1" s="1"/>
  <c r="H6097" i="1"/>
  <c r="J6097" i="1" s="1"/>
  <c r="H6098" i="1"/>
  <c r="J6098" i="1" s="1"/>
  <c r="H6099" i="1"/>
  <c r="J6099" i="1" s="1"/>
  <c r="H6100" i="1"/>
  <c r="J6100" i="1" s="1"/>
  <c r="H6101" i="1"/>
  <c r="J6101" i="1" s="1"/>
  <c r="H6102" i="1"/>
  <c r="H6103" i="1"/>
  <c r="J6103" i="1" s="1"/>
  <c r="H6104" i="1"/>
  <c r="J6104" i="1" s="1"/>
  <c r="H6105" i="1"/>
  <c r="J6105" i="1" s="1"/>
  <c r="H6106" i="1"/>
  <c r="J6106" i="1" s="1"/>
  <c r="H6107" i="1"/>
  <c r="J6107" i="1" s="1"/>
  <c r="H6108" i="1"/>
  <c r="J6108" i="1" s="1"/>
  <c r="H6109" i="1"/>
  <c r="J6109" i="1" s="1"/>
  <c r="H6110" i="1"/>
  <c r="J6110" i="1" s="1"/>
  <c r="H6111" i="1"/>
  <c r="J6111" i="1" s="1"/>
  <c r="H6112" i="1"/>
  <c r="J6112" i="1" s="1"/>
  <c r="H6113" i="1"/>
  <c r="J6113" i="1" s="1"/>
  <c r="H6114" i="1"/>
  <c r="J6114" i="1" s="1"/>
  <c r="H6115" i="1"/>
  <c r="J6115" i="1" s="1"/>
  <c r="H6116" i="1"/>
  <c r="J6116" i="1" s="1"/>
  <c r="H6117" i="1"/>
  <c r="J6117" i="1" s="1"/>
  <c r="H6118" i="1"/>
  <c r="J6118" i="1" s="1"/>
  <c r="H6119" i="1"/>
  <c r="J6119" i="1" s="1"/>
  <c r="H6120" i="1"/>
  <c r="J6120" i="1" s="1"/>
  <c r="H6121" i="1"/>
  <c r="J6121" i="1" s="1"/>
  <c r="H6122" i="1"/>
  <c r="J6122" i="1" s="1"/>
  <c r="H6123" i="1"/>
  <c r="H6124" i="1"/>
  <c r="J6124" i="1" s="1"/>
  <c r="H6125" i="1"/>
  <c r="J6125" i="1" s="1"/>
  <c r="H6126" i="1"/>
  <c r="J6126" i="1" s="1"/>
  <c r="H6127" i="1"/>
  <c r="J6127" i="1" s="1"/>
  <c r="H6128" i="1"/>
  <c r="J6128" i="1" s="1"/>
  <c r="H6129" i="1"/>
  <c r="J6129" i="1" s="1"/>
  <c r="H6130" i="1"/>
  <c r="J6130" i="1" s="1"/>
  <c r="H6131" i="1"/>
  <c r="J6131" i="1" s="1"/>
  <c r="H6132" i="1"/>
  <c r="J6132" i="1" s="1"/>
  <c r="H6133" i="1"/>
  <c r="J6133" i="1" s="1"/>
  <c r="H6134" i="1"/>
  <c r="J6134" i="1" s="1"/>
  <c r="H6135" i="1"/>
  <c r="H6136" i="1"/>
  <c r="J6136" i="1" s="1"/>
  <c r="H6137" i="1"/>
  <c r="H6138" i="1"/>
  <c r="J6138" i="1" s="1"/>
  <c r="H6139" i="1"/>
  <c r="J6139" i="1" s="1"/>
  <c r="H6140" i="1"/>
  <c r="J6140" i="1" s="1"/>
  <c r="H6141" i="1"/>
  <c r="J6141" i="1" s="1"/>
  <c r="H6142" i="1"/>
  <c r="J6142" i="1" s="1"/>
  <c r="H6143" i="1"/>
  <c r="J6143" i="1" s="1"/>
  <c r="H6144" i="1"/>
  <c r="J6144" i="1" s="1"/>
  <c r="H6145" i="1"/>
  <c r="J6145" i="1" s="1"/>
  <c r="H6146" i="1"/>
  <c r="J6146" i="1" s="1"/>
  <c r="H6147" i="1"/>
  <c r="J6147" i="1" s="1"/>
  <c r="H6148" i="1"/>
  <c r="J6148" i="1" s="1"/>
  <c r="H6149" i="1"/>
  <c r="J6149" i="1" s="1"/>
  <c r="H6150" i="1"/>
  <c r="J6150" i="1" s="1"/>
  <c r="H6151" i="1"/>
  <c r="J6151" i="1" s="1"/>
  <c r="H6152" i="1"/>
  <c r="J6152" i="1" s="1"/>
  <c r="H6153" i="1"/>
  <c r="J6153" i="1" s="1"/>
  <c r="H6154" i="1"/>
  <c r="J6154" i="1" s="1"/>
  <c r="H6155" i="1"/>
  <c r="J6155" i="1" s="1"/>
  <c r="H6156" i="1"/>
  <c r="H6157" i="1"/>
  <c r="J6157" i="1" s="1"/>
  <c r="H6158" i="1"/>
  <c r="J6158" i="1" s="1"/>
  <c r="H6159" i="1"/>
  <c r="J6159" i="1" s="1"/>
  <c r="H6160" i="1"/>
  <c r="J6160" i="1" s="1"/>
  <c r="H6161" i="1"/>
  <c r="J6161" i="1" s="1"/>
  <c r="H6162" i="1"/>
  <c r="J6162" i="1" s="1"/>
  <c r="H6163" i="1"/>
  <c r="J6163" i="1" s="1"/>
  <c r="H6164" i="1"/>
  <c r="J6164" i="1" s="1"/>
  <c r="H6165" i="1"/>
  <c r="J6165" i="1" s="1"/>
  <c r="H6166" i="1"/>
  <c r="J6166" i="1" s="1"/>
  <c r="H6167" i="1"/>
  <c r="J6167" i="1" s="1"/>
  <c r="H6168" i="1"/>
  <c r="J6168" i="1" s="1"/>
  <c r="H6169" i="1"/>
  <c r="J6169" i="1" s="1"/>
  <c r="H6170" i="1"/>
  <c r="J6170" i="1" s="1"/>
  <c r="H6171" i="1"/>
  <c r="J6171" i="1" s="1"/>
  <c r="H6172" i="1"/>
  <c r="J6172" i="1" s="1"/>
  <c r="H6173" i="1"/>
  <c r="J6173" i="1" s="1"/>
  <c r="H6174" i="1"/>
  <c r="J6174" i="1" s="1"/>
  <c r="H6175" i="1"/>
  <c r="J6175" i="1" s="1"/>
  <c r="H6176" i="1"/>
  <c r="J6176" i="1" s="1"/>
  <c r="H6177" i="1"/>
  <c r="J6177" i="1" s="1"/>
  <c r="H6178" i="1"/>
  <c r="J6178" i="1" s="1"/>
  <c r="H6179" i="1"/>
  <c r="J6179" i="1" s="1"/>
  <c r="H6180" i="1"/>
  <c r="J6180" i="1" s="1"/>
  <c r="H6181" i="1"/>
  <c r="J6181" i="1" s="1"/>
  <c r="H6182" i="1"/>
  <c r="J6182" i="1" s="1"/>
  <c r="H6183" i="1"/>
  <c r="J6183" i="1" s="1"/>
  <c r="H6184" i="1"/>
  <c r="J6184" i="1" s="1"/>
  <c r="H6185" i="1"/>
  <c r="J6185" i="1" s="1"/>
  <c r="H6186" i="1"/>
  <c r="J6186" i="1" s="1"/>
  <c r="H6187" i="1"/>
  <c r="J6187" i="1" s="1"/>
  <c r="H6188" i="1"/>
  <c r="J6188" i="1" s="1"/>
  <c r="H6189" i="1"/>
  <c r="J6189" i="1" s="1"/>
  <c r="H6190" i="1"/>
  <c r="J6190" i="1" s="1"/>
  <c r="H6191" i="1"/>
  <c r="J6191" i="1" s="1"/>
  <c r="H6192" i="1"/>
  <c r="J6192" i="1" s="1"/>
  <c r="H6193" i="1"/>
  <c r="J6193" i="1" s="1"/>
  <c r="H6194" i="1"/>
  <c r="J6194" i="1" s="1"/>
  <c r="H6195" i="1"/>
  <c r="J6195" i="1" s="1"/>
  <c r="H6196" i="1"/>
  <c r="H6197" i="1"/>
  <c r="J6197" i="1" s="1"/>
  <c r="H6198" i="1"/>
  <c r="J6198" i="1" s="1"/>
  <c r="H6199" i="1"/>
  <c r="H6200" i="1"/>
  <c r="J6200" i="1" s="1"/>
  <c r="H6201" i="1"/>
  <c r="J6201" i="1" s="1"/>
  <c r="H6202" i="1"/>
  <c r="H6203" i="1"/>
  <c r="J6203" i="1" s="1"/>
  <c r="H6204" i="1"/>
  <c r="J6204" i="1" s="1"/>
  <c r="H6205" i="1"/>
  <c r="H6206" i="1"/>
  <c r="J6206" i="1" s="1"/>
  <c r="H6207" i="1"/>
  <c r="H6208" i="1"/>
  <c r="J6208" i="1" s="1"/>
  <c r="H6209" i="1"/>
  <c r="J6209" i="1" s="1"/>
  <c r="H6210" i="1"/>
  <c r="J6210" i="1" s="1"/>
  <c r="H6211" i="1"/>
  <c r="J6211" i="1" s="1"/>
  <c r="H6212" i="1"/>
  <c r="J6212" i="1" s="1"/>
  <c r="H6213" i="1"/>
  <c r="J6213" i="1" s="1"/>
  <c r="H6214" i="1"/>
  <c r="J6214" i="1" s="1"/>
  <c r="H6215" i="1"/>
  <c r="H6216" i="1"/>
  <c r="J6216" i="1" s="1"/>
  <c r="H6217" i="1"/>
  <c r="J6217" i="1" s="1"/>
  <c r="H6218" i="1"/>
  <c r="J6218" i="1" s="1"/>
  <c r="H6219" i="1"/>
  <c r="J6219" i="1" s="1"/>
  <c r="H6220" i="1"/>
  <c r="J6220" i="1" s="1"/>
  <c r="H6221" i="1"/>
  <c r="J6221" i="1" s="1"/>
  <c r="H6222" i="1"/>
  <c r="J6222" i="1" s="1"/>
  <c r="H6223" i="1"/>
  <c r="J6223" i="1" s="1"/>
  <c r="H6224" i="1"/>
  <c r="J6224" i="1" s="1"/>
  <c r="H6225" i="1"/>
  <c r="J6225" i="1" s="1"/>
  <c r="H6226" i="1"/>
  <c r="J6226" i="1" s="1"/>
  <c r="H6227" i="1"/>
  <c r="J6227" i="1" s="1"/>
  <c r="H6228" i="1"/>
  <c r="J6228" i="1" s="1"/>
  <c r="H6229" i="1"/>
  <c r="J6229" i="1" s="1"/>
  <c r="H6230" i="1"/>
  <c r="J6230" i="1" s="1"/>
  <c r="H6231" i="1"/>
  <c r="J6231" i="1" s="1"/>
  <c r="H6232" i="1"/>
  <c r="H6233" i="1"/>
  <c r="J6233" i="1" s="1"/>
  <c r="H6234" i="1"/>
  <c r="J6234" i="1" s="1"/>
  <c r="H6235" i="1"/>
  <c r="J6235" i="1" s="1"/>
  <c r="H6236" i="1"/>
  <c r="J6236" i="1" s="1"/>
  <c r="H6237" i="1"/>
  <c r="J6237" i="1" s="1"/>
  <c r="H6238" i="1"/>
  <c r="J6238" i="1" s="1"/>
  <c r="H6239" i="1"/>
  <c r="J6239" i="1" s="1"/>
  <c r="H6240" i="1"/>
  <c r="J6240" i="1" s="1"/>
  <c r="H6241" i="1"/>
  <c r="J6241" i="1" s="1"/>
  <c r="H6242" i="1"/>
  <c r="J6242" i="1" s="1"/>
  <c r="H6243" i="1"/>
  <c r="J6243" i="1" s="1"/>
  <c r="H6244" i="1"/>
  <c r="J6244" i="1" s="1"/>
  <c r="H6245" i="1"/>
  <c r="J6245" i="1" s="1"/>
  <c r="H6246" i="1"/>
  <c r="J6246" i="1" s="1"/>
  <c r="H6247" i="1"/>
  <c r="J6247" i="1" s="1"/>
  <c r="H6248" i="1"/>
  <c r="J6248" i="1" s="1"/>
  <c r="H6249" i="1"/>
  <c r="J6249" i="1" s="1"/>
  <c r="H6250" i="1"/>
  <c r="J6250" i="1" s="1"/>
  <c r="H6251" i="1"/>
  <c r="J6251" i="1" s="1"/>
  <c r="H6252" i="1"/>
  <c r="J6252" i="1" s="1"/>
  <c r="H6253" i="1"/>
  <c r="J6253" i="1" s="1"/>
  <c r="H6254" i="1"/>
  <c r="J6254" i="1" s="1"/>
  <c r="H6255" i="1"/>
  <c r="J6255" i="1" s="1"/>
  <c r="H6256" i="1"/>
  <c r="H6257" i="1"/>
  <c r="J6257" i="1" s="1"/>
  <c r="H6258" i="1"/>
  <c r="J6258" i="1" s="1"/>
  <c r="H6259" i="1"/>
  <c r="J6259" i="1" s="1"/>
  <c r="H6260" i="1"/>
  <c r="J6260" i="1" s="1"/>
  <c r="H6261" i="1"/>
  <c r="J6261" i="1" s="1"/>
  <c r="H6262" i="1"/>
  <c r="J6262" i="1" s="1"/>
  <c r="H6263" i="1"/>
  <c r="J6263" i="1" s="1"/>
  <c r="H6264" i="1"/>
  <c r="J6264" i="1" s="1"/>
  <c r="H6265" i="1"/>
  <c r="J6265" i="1" s="1"/>
  <c r="H6266" i="1"/>
  <c r="J6266" i="1" s="1"/>
  <c r="H6267" i="1"/>
  <c r="J6267" i="1" s="1"/>
  <c r="H6268" i="1"/>
  <c r="J6268" i="1" s="1"/>
  <c r="H6269" i="1"/>
  <c r="J6269" i="1" s="1"/>
  <c r="H6270" i="1"/>
  <c r="J6270" i="1" s="1"/>
  <c r="H6271" i="1"/>
  <c r="J6271" i="1" s="1"/>
  <c r="H6272" i="1"/>
  <c r="J6272" i="1" s="1"/>
  <c r="H6273" i="1"/>
  <c r="J6273" i="1" s="1"/>
  <c r="H6274" i="1"/>
  <c r="J6274" i="1" s="1"/>
  <c r="H6275" i="1"/>
  <c r="J6275" i="1" s="1"/>
  <c r="H6276" i="1"/>
  <c r="J6276" i="1" s="1"/>
  <c r="H6277" i="1"/>
  <c r="J6277" i="1" s="1"/>
  <c r="H6278" i="1"/>
  <c r="J6278" i="1" s="1"/>
  <c r="H6279" i="1"/>
  <c r="J6279" i="1" s="1"/>
  <c r="H6280" i="1"/>
  <c r="H6281" i="1"/>
  <c r="J6281" i="1" s="1"/>
  <c r="H6282" i="1"/>
  <c r="J6282" i="1" s="1"/>
  <c r="H6283" i="1"/>
  <c r="J6283" i="1" s="1"/>
  <c r="H6284" i="1"/>
  <c r="J6284" i="1" s="1"/>
  <c r="H6285" i="1"/>
  <c r="J6285" i="1" s="1"/>
  <c r="H6286" i="1"/>
  <c r="J6286" i="1" s="1"/>
  <c r="H6287" i="1"/>
  <c r="J6287" i="1" s="1"/>
  <c r="H6288" i="1"/>
  <c r="J6288" i="1" s="1"/>
  <c r="H6289" i="1"/>
  <c r="J6289" i="1" s="1"/>
  <c r="H6290" i="1"/>
  <c r="J6290" i="1" s="1"/>
  <c r="H6291" i="1"/>
  <c r="H6292" i="1"/>
  <c r="H6293" i="1"/>
  <c r="J6293" i="1" s="1"/>
  <c r="H6294" i="1"/>
  <c r="J6294" i="1" s="1"/>
  <c r="H6295" i="1"/>
  <c r="J6295" i="1" s="1"/>
  <c r="H6296" i="1"/>
  <c r="J6296" i="1" s="1"/>
  <c r="H6297" i="1"/>
  <c r="J6297" i="1" s="1"/>
  <c r="H6298" i="1"/>
  <c r="J6298" i="1" s="1"/>
  <c r="H6299" i="1"/>
  <c r="J6299" i="1" s="1"/>
  <c r="H6300" i="1"/>
  <c r="J6300" i="1" s="1"/>
  <c r="H6301" i="1"/>
  <c r="J6301" i="1" s="1"/>
  <c r="H6302" i="1"/>
  <c r="J6302" i="1" s="1"/>
  <c r="H6303" i="1"/>
  <c r="J6303" i="1" s="1"/>
  <c r="H6304" i="1"/>
  <c r="J6304" i="1" s="1"/>
  <c r="H6305" i="1"/>
  <c r="J6305" i="1" s="1"/>
  <c r="H6306" i="1"/>
  <c r="H6307" i="1"/>
  <c r="J6307" i="1" s="1"/>
  <c r="H6308" i="1"/>
  <c r="J6308" i="1" s="1"/>
  <c r="H6309" i="1"/>
  <c r="J6309" i="1" s="1"/>
  <c r="H6310" i="1"/>
  <c r="J6310" i="1" s="1"/>
  <c r="H6311" i="1"/>
  <c r="J6311" i="1" s="1"/>
  <c r="H6312" i="1"/>
  <c r="J6312" i="1" s="1"/>
  <c r="H6313" i="1"/>
  <c r="J6313" i="1" s="1"/>
  <c r="H6314" i="1"/>
  <c r="J6314" i="1" s="1"/>
  <c r="H6315" i="1"/>
  <c r="J6315" i="1" s="1"/>
  <c r="H6316" i="1"/>
  <c r="J6316" i="1" s="1"/>
  <c r="H6317" i="1"/>
  <c r="J6317" i="1" s="1"/>
  <c r="H6318" i="1"/>
  <c r="J6318" i="1" s="1"/>
  <c r="H6319" i="1"/>
  <c r="J6319" i="1" s="1"/>
  <c r="H6320" i="1"/>
  <c r="J6320" i="1" s="1"/>
  <c r="H6321" i="1"/>
  <c r="J6321" i="1" s="1"/>
  <c r="H6322" i="1"/>
  <c r="J6322" i="1" s="1"/>
  <c r="H6323" i="1"/>
  <c r="J6323" i="1" s="1"/>
  <c r="H6324" i="1"/>
  <c r="J6324" i="1" s="1"/>
  <c r="H6325" i="1"/>
  <c r="J6325" i="1" s="1"/>
  <c r="H6326" i="1"/>
  <c r="J6326" i="1" s="1"/>
  <c r="H6327" i="1"/>
  <c r="J6327" i="1" s="1"/>
  <c r="H6328" i="1"/>
  <c r="J6328" i="1" s="1"/>
  <c r="H6329" i="1"/>
  <c r="J6329" i="1" s="1"/>
  <c r="H6330" i="1"/>
  <c r="J6330" i="1" s="1"/>
  <c r="H6331" i="1"/>
  <c r="J6331" i="1" s="1"/>
  <c r="H6332" i="1"/>
  <c r="J6332" i="1" s="1"/>
  <c r="H6333" i="1"/>
  <c r="J6333" i="1" s="1"/>
  <c r="H6334" i="1"/>
  <c r="J6334" i="1" s="1"/>
  <c r="H6335" i="1"/>
  <c r="J6335" i="1" s="1"/>
  <c r="H6336" i="1"/>
  <c r="J6336" i="1" s="1"/>
  <c r="H6337" i="1"/>
  <c r="J6337" i="1" s="1"/>
  <c r="H6338" i="1"/>
  <c r="J6338" i="1" s="1"/>
  <c r="H6339" i="1"/>
  <c r="J6339" i="1" s="1"/>
  <c r="H6340" i="1"/>
  <c r="H6341" i="1"/>
  <c r="J6341" i="1" s="1"/>
  <c r="H6342" i="1"/>
  <c r="J6342" i="1" s="1"/>
  <c r="H6343" i="1"/>
  <c r="J6343" i="1" s="1"/>
  <c r="H6344" i="1"/>
  <c r="J6344" i="1" s="1"/>
  <c r="H6345" i="1"/>
  <c r="J6345" i="1" s="1"/>
  <c r="H6346" i="1"/>
  <c r="J6346" i="1" s="1"/>
  <c r="H6347" i="1"/>
  <c r="J6347" i="1" s="1"/>
  <c r="H6348" i="1"/>
  <c r="J6348" i="1" s="1"/>
  <c r="H6349" i="1"/>
  <c r="J6349" i="1" s="1"/>
  <c r="H6350" i="1"/>
  <c r="J6350" i="1" s="1"/>
  <c r="H6351" i="1"/>
  <c r="H6352" i="1"/>
  <c r="J6352" i="1" s="1"/>
  <c r="H6353" i="1"/>
  <c r="J6353" i="1" s="1"/>
  <c r="H6354" i="1"/>
  <c r="J6354" i="1" s="1"/>
  <c r="H6355" i="1"/>
  <c r="J6355" i="1" s="1"/>
  <c r="H6356" i="1"/>
  <c r="J6356" i="1" s="1"/>
  <c r="H6357" i="1"/>
  <c r="J6357" i="1" s="1"/>
  <c r="H6358" i="1"/>
  <c r="J6358" i="1" s="1"/>
  <c r="H6359" i="1"/>
  <c r="J6359" i="1" s="1"/>
  <c r="H6360" i="1"/>
  <c r="J6360" i="1" s="1"/>
  <c r="H6361" i="1"/>
  <c r="J6361" i="1" s="1"/>
  <c r="H6362" i="1"/>
  <c r="J6362" i="1" s="1"/>
  <c r="H6363" i="1"/>
  <c r="J6363" i="1" s="1"/>
  <c r="H6364" i="1"/>
  <c r="J6364" i="1" s="1"/>
  <c r="H6365" i="1"/>
  <c r="J6365" i="1" s="1"/>
  <c r="H6366" i="1"/>
  <c r="H6367" i="1"/>
  <c r="J6367" i="1" s="1"/>
  <c r="H6368" i="1"/>
  <c r="J6368" i="1" s="1"/>
  <c r="H6369" i="1"/>
  <c r="J6369" i="1" s="1"/>
  <c r="H6370" i="1"/>
  <c r="J6370" i="1" s="1"/>
  <c r="H6371" i="1"/>
  <c r="J6371" i="1" s="1"/>
  <c r="H6372" i="1"/>
  <c r="J6372" i="1" s="1"/>
  <c r="H6373" i="1"/>
  <c r="J6373" i="1" s="1"/>
  <c r="H6374" i="1"/>
  <c r="J6374" i="1" s="1"/>
  <c r="H6375" i="1"/>
  <c r="J6375" i="1" s="1"/>
  <c r="H6376" i="1"/>
  <c r="J6376" i="1" s="1"/>
  <c r="H6377" i="1"/>
  <c r="J6377" i="1" s="1"/>
  <c r="H6378" i="1"/>
  <c r="J6378" i="1" s="1"/>
  <c r="H6379" i="1"/>
  <c r="J6379" i="1" s="1"/>
  <c r="H6380" i="1"/>
  <c r="J6380" i="1" s="1"/>
  <c r="H6381" i="1"/>
  <c r="J6381" i="1" s="1"/>
  <c r="H6382" i="1"/>
  <c r="J6382" i="1" s="1"/>
  <c r="H6383" i="1"/>
  <c r="J6383" i="1" s="1"/>
  <c r="H6384" i="1"/>
  <c r="J6384" i="1" s="1"/>
  <c r="H6385" i="1"/>
  <c r="J6385" i="1" s="1"/>
  <c r="H6386" i="1"/>
  <c r="J6386" i="1" s="1"/>
  <c r="H6387" i="1"/>
  <c r="J6387" i="1" s="1"/>
  <c r="H6388" i="1"/>
  <c r="J6388" i="1" s="1"/>
  <c r="H6389" i="1"/>
  <c r="J6389" i="1" s="1"/>
  <c r="H6390" i="1"/>
  <c r="J6390" i="1" s="1"/>
  <c r="H6391" i="1"/>
  <c r="J6391" i="1" s="1"/>
  <c r="H6392" i="1"/>
  <c r="J6392" i="1" s="1"/>
  <c r="H6393" i="1"/>
  <c r="J6393" i="1" s="1"/>
  <c r="H6394" i="1"/>
  <c r="J6394" i="1" s="1"/>
  <c r="H6395" i="1"/>
  <c r="J6395" i="1" s="1"/>
  <c r="H6396" i="1"/>
  <c r="J6396" i="1" s="1"/>
  <c r="H6397" i="1"/>
  <c r="J6397" i="1" s="1"/>
  <c r="H6398" i="1"/>
  <c r="J6398" i="1" s="1"/>
  <c r="H6399" i="1"/>
  <c r="J6399" i="1" s="1"/>
  <c r="H6400" i="1"/>
  <c r="J6400" i="1" s="1"/>
  <c r="H6401" i="1"/>
  <c r="J6401" i="1" s="1"/>
  <c r="H6402" i="1"/>
  <c r="J6402" i="1" s="1"/>
  <c r="H6403" i="1"/>
  <c r="J6403" i="1" s="1"/>
  <c r="H6404" i="1"/>
  <c r="J6404" i="1" s="1"/>
  <c r="H6405" i="1"/>
  <c r="J6405" i="1" s="1"/>
  <c r="H6406" i="1"/>
  <c r="J6406" i="1" s="1"/>
  <c r="H6407" i="1"/>
  <c r="J6407" i="1" s="1"/>
  <c r="H6408" i="1"/>
  <c r="J6408" i="1" s="1"/>
  <c r="H6409" i="1"/>
  <c r="J6409" i="1" s="1"/>
  <c r="H6410" i="1"/>
  <c r="J6410" i="1" s="1"/>
  <c r="H6411" i="1"/>
  <c r="J6411" i="1" s="1"/>
  <c r="H6412" i="1"/>
  <c r="J6412" i="1" s="1"/>
  <c r="H6413" i="1"/>
  <c r="H6414" i="1"/>
  <c r="J6414" i="1" s="1"/>
  <c r="H6415" i="1"/>
  <c r="J6415" i="1" s="1"/>
  <c r="H6416" i="1"/>
  <c r="J6416" i="1" s="1"/>
  <c r="H6417" i="1"/>
  <c r="J6417" i="1" s="1"/>
  <c r="H6418" i="1"/>
  <c r="J6418" i="1" s="1"/>
  <c r="H6419" i="1"/>
  <c r="J6419" i="1" s="1"/>
  <c r="H6420" i="1"/>
  <c r="J6420" i="1" s="1"/>
  <c r="H6421" i="1"/>
  <c r="J6421" i="1" s="1"/>
  <c r="H6422" i="1"/>
  <c r="J6422" i="1" s="1"/>
  <c r="H6423" i="1"/>
  <c r="J6423" i="1" s="1"/>
  <c r="H6424" i="1"/>
  <c r="J6424" i="1" s="1"/>
  <c r="H6425" i="1"/>
  <c r="J6425" i="1" s="1"/>
  <c r="H6426" i="1"/>
  <c r="J6426" i="1" s="1"/>
  <c r="H6427" i="1"/>
  <c r="J6427" i="1" s="1"/>
  <c r="H6428" i="1"/>
  <c r="J6428" i="1" s="1"/>
  <c r="H6429" i="1"/>
  <c r="J6429" i="1" s="1"/>
  <c r="H6430" i="1"/>
  <c r="J6430" i="1" s="1"/>
  <c r="H6431" i="1"/>
  <c r="J6431" i="1" s="1"/>
  <c r="H6432" i="1"/>
  <c r="J6432" i="1" s="1"/>
  <c r="H6433" i="1"/>
  <c r="J6433" i="1" s="1"/>
  <c r="H6434" i="1"/>
  <c r="J6434" i="1" s="1"/>
  <c r="H6435" i="1"/>
  <c r="H6436" i="1"/>
  <c r="J6436" i="1" s="1"/>
  <c r="H6437" i="1"/>
  <c r="H6438" i="1"/>
  <c r="J6438" i="1" s="1"/>
  <c r="H6439" i="1"/>
  <c r="J6439" i="1" s="1"/>
  <c r="H6440" i="1"/>
  <c r="J6440" i="1" s="1"/>
  <c r="H6441" i="1"/>
  <c r="J6441" i="1" s="1"/>
  <c r="H6442" i="1"/>
  <c r="J6442" i="1" s="1"/>
  <c r="H6443" i="1"/>
  <c r="J6443" i="1" s="1"/>
  <c r="H6444" i="1"/>
  <c r="J6444" i="1" s="1"/>
  <c r="H6445" i="1"/>
  <c r="J6445" i="1" s="1"/>
  <c r="H6446" i="1"/>
  <c r="J6446" i="1" s="1"/>
  <c r="H6447" i="1"/>
  <c r="J6447" i="1" s="1"/>
  <c r="H6448" i="1"/>
  <c r="J6448" i="1" s="1"/>
  <c r="H6449" i="1"/>
  <c r="J6449" i="1" s="1"/>
  <c r="H6450" i="1"/>
  <c r="J6450" i="1" s="1"/>
  <c r="H6451" i="1"/>
  <c r="J6451" i="1" s="1"/>
  <c r="H6452" i="1"/>
  <c r="J6452" i="1" s="1"/>
  <c r="H6453" i="1"/>
  <c r="J6453" i="1" s="1"/>
  <c r="H6454" i="1"/>
  <c r="H6455" i="1"/>
  <c r="J6455" i="1" s="1"/>
  <c r="H6456" i="1"/>
  <c r="J6456" i="1" s="1"/>
  <c r="H6457" i="1"/>
  <c r="J6457" i="1" s="1"/>
  <c r="H6458" i="1"/>
  <c r="J6458" i="1" s="1"/>
  <c r="H6459" i="1"/>
  <c r="J6459" i="1" s="1"/>
  <c r="H6460" i="1"/>
  <c r="J6460" i="1" s="1"/>
  <c r="H6461" i="1"/>
  <c r="J6461" i="1" s="1"/>
  <c r="H6462" i="1"/>
  <c r="J6462" i="1" s="1"/>
  <c r="H6463" i="1"/>
  <c r="J6463" i="1" s="1"/>
  <c r="H6464" i="1"/>
  <c r="J6464" i="1" s="1"/>
  <c r="H6465" i="1"/>
  <c r="J6465" i="1" s="1"/>
  <c r="H6466" i="1"/>
  <c r="J6466" i="1" s="1"/>
  <c r="H6467" i="1"/>
  <c r="J6467" i="1" s="1"/>
  <c r="H6468" i="1"/>
  <c r="J6468" i="1" s="1"/>
  <c r="H6469" i="1"/>
  <c r="J6469" i="1" s="1"/>
  <c r="H6470" i="1"/>
  <c r="J6470" i="1" s="1"/>
  <c r="H6471" i="1"/>
  <c r="J6471" i="1" s="1"/>
  <c r="H6472" i="1"/>
  <c r="J6472" i="1" s="1"/>
  <c r="H6473" i="1"/>
  <c r="J6473" i="1" s="1"/>
  <c r="H6474" i="1"/>
  <c r="J6474" i="1" s="1"/>
  <c r="H6475" i="1"/>
  <c r="J6475" i="1" s="1"/>
  <c r="H6476" i="1"/>
  <c r="J6476" i="1" s="1"/>
  <c r="H6477" i="1"/>
  <c r="J6477" i="1" s="1"/>
  <c r="H6478" i="1"/>
  <c r="J6478" i="1" s="1"/>
  <c r="H6479" i="1"/>
  <c r="J6479" i="1" s="1"/>
  <c r="H6480" i="1"/>
  <c r="J6480" i="1" s="1"/>
  <c r="H6481" i="1"/>
  <c r="J6481" i="1" s="1"/>
  <c r="H6482" i="1"/>
  <c r="J6482" i="1" s="1"/>
  <c r="H6483" i="1"/>
  <c r="J6483" i="1" s="1"/>
  <c r="H6484" i="1"/>
  <c r="J6484" i="1" s="1"/>
  <c r="H6485" i="1"/>
  <c r="J6485" i="1" s="1"/>
  <c r="H6486" i="1"/>
  <c r="J6486" i="1" s="1"/>
  <c r="H6487" i="1"/>
  <c r="J6487" i="1" s="1"/>
  <c r="H6488" i="1"/>
  <c r="J6488" i="1" s="1"/>
  <c r="H6489" i="1"/>
  <c r="J6489" i="1" s="1"/>
  <c r="H6490" i="1"/>
  <c r="J6490" i="1" s="1"/>
  <c r="H6491" i="1"/>
  <c r="J6491" i="1" s="1"/>
  <c r="H6492" i="1"/>
  <c r="J6492" i="1" s="1"/>
  <c r="H6493" i="1"/>
  <c r="J6493" i="1" s="1"/>
  <c r="H6494" i="1"/>
  <c r="J6494" i="1" s="1"/>
  <c r="H6495" i="1"/>
  <c r="H6496" i="1"/>
  <c r="J6496" i="1" s="1"/>
  <c r="H6497" i="1"/>
  <c r="J6497" i="1" s="1"/>
  <c r="H6498" i="1"/>
  <c r="H6499" i="1"/>
  <c r="J6499" i="1" s="1"/>
  <c r="H6500" i="1"/>
  <c r="J6500" i="1" s="1"/>
  <c r="H6501" i="1"/>
  <c r="J6501" i="1" s="1"/>
  <c r="H6502" i="1"/>
  <c r="J6502" i="1" s="1"/>
  <c r="H6503" i="1"/>
  <c r="J6503" i="1" s="1"/>
  <c r="H6504" i="1"/>
  <c r="J6504" i="1" s="1"/>
  <c r="H6505" i="1"/>
  <c r="J6505" i="1" s="1"/>
  <c r="H6506" i="1"/>
  <c r="J6506" i="1" s="1"/>
  <c r="H6507" i="1"/>
  <c r="J6507" i="1" s="1"/>
  <c r="H6508" i="1"/>
  <c r="J6508" i="1" s="1"/>
  <c r="H6509" i="1"/>
  <c r="J6509" i="1" s="1"/>
  <c r="H6510" i="1"/>
  <c r="J6510" i="1" s="1"/>
  <c r="H6511" i="1"/>
  <c r="J6511" i="1" s="1"/>
  <c r="H6512" i="1"/>
  <c r="J6512" i="1" s="1"/>
  <c r="H6513" i="1"/>
  <c r="J6513" i="1" s="1"/>
  <c r="H6514" i="1"/>
  <c r="J6514" i="1" s="1"/>
  <c r="H6515" i="1"/>
  <c r="J6515" i="1" s="1"/>
  <c r="H6516" i="1"/>
  <c r="J6516" i="1" s="1"/>
  <c r="H6517" i="1"/>
  <c r="J6517" i="1" s="1"/>
  <c r="H6518" i="1"/>
  <c r="J6518" i="1" s="1"/>
  <c r="H6519" i="1"/>
  <c r="J6519" i="1" s="1"/>
  <c r="H6520" i="1"/>
  <c r="J6520" i="1" s="1"/>
  <c r="H6521" i="1"/>
  <c r="J6521" i="1" s="1"/>
  <c r="H6522" i="1"/>
  <c r="J6522" i="1" s="1"/>
  <c r="H6523" i="1"/>
  <c r="J6523" i="1" s="1"/>
  <c r="H6524" i="1"/>
  <c r="J6524" i="1" s="1"/>
  <c r="H6525" i="1"/>
  <c r="J6525" i="1" s="1"/>
  <c r="H6526" i="1"/>
  <c r="J6526" i="1" s="1"/>
  <c r="H6527" i="1"/>
  <c r="J6527" i="1" s="1"/>
  <c r="H6528" i="1"/>
  <c r="J6528" i="1" s="1"/>
  <c r="H6529" i="1"/>
  <c r="J6529" i="1" s="1"/>
  <c r="H6530" i="1"/>
  <c r="H6531" i="1"/>
  <c r="J6531" i="1" s="1"/>
  <c r="H6532" i="1"/>
  <c r="J6532" i="1" s="1"/>
  <c r="H6533" i="1"/>
  <c r="J6533" i="1" s="1"/>
  <c r="H6534" i="1"/>
  <c r="J6534" i="1" s="1"/>
  <c r="H6535" i="1"/>
  <c r="J6535" i="1" s="1"/>
  <c r="H6536" i="1"/>
  <c r="J6536" i="1" s="1"/>
  <c r="H6537" i="1"/>
  <c r="J6537" i="1" s="1"/>
  <c r="H6538" i="1"/>
  <c r="J6538" i="1" s="1"/>
  <c r="H6539" i="1"/>
  <c r="J6539" i="1" s="1"/>
  <c r="H6540" i="1"/>
  <c r="J6540" i="1" s="1"/>
  <c r="H6541" i="1"/>
  <c r="J6541" i="1" s="1"/>
  <c r="H6542" i="1"/>
  <c r="J6542" i="1" s="1"/>
  <c r="H6543" i="1"/>
  <c r="J6543" i="1" s="1"/>
  <c r="H6544" i="1"/>
  <c r="J6544" i="1" s="1"/>
  <c r="H6545" i="1"/>
  <c r="H6546" i="1"/>
  <c r="J6546" i="1" s="1"/>
  <c r="H6547" i="1"/>
  <c r="J6547" i="1" s="1"/>
  <c r="H6548" i="1"/>
  <c r="J6548" i="1" s="1"/>
  <c r="H6549" i="1"/>
  <c r="J6549" i="1" s="1"/>
  <c r="H6550" i="1"/>
  <c r="J6550" i="1" s="1"/>
  <c r="H6551" i="1"/>
  <c r="J6551" i="1" s="1"/>
  <c r="H6552" i="1"/>
  <c r="J6552" i="1" s="1"/>
  <c r="H6553" i="1"/>
  <c r="H6554" i="1"/>
  <c r="J6554" i="1" s="1"/>
  <c r="H6555" i="1"/>
  <c r="J6555" i="1" s="1"/>
  <c r="H6556" i="1"/>
  <c r="J6556" i="1" s="1"/>
  <c r="H6557" i="1"/>
  <c r="J6557" i="1" s="1"/>
  <c r="H6558" i="1"/>
  <c r="J6558" i="1" s="1"/>
  <c r="H6559" i="1"/>
  <c r="J6559" i="1" s="1"/>
  <c r="H6560" i="1"/>
  <c r="H6561" i="1"/>
  <c r="J6561" i="1" s="1"/>
  <c r="H6562" i="1"/>
  <c r="J6562" i="1" s="1"/>
  <c r="H6563" i="1"/>
  <c r="J6563" i="1" s="1"/>
  <c r="H6564" i="1"/>
  <c r="J6564" i="1" s="1"/>
  <c r="H6565" i="1"/>
  <c r="J6565" i="1" s="1"/>
  <c r="H6566" i="1"/>
  <c r="J6566" i="1" s="1"/>
  <c r="H6567" i="1"/>
  <c r="J6567" i="1" s="1"/>
  <c r="H6568" i="1"/>
  <c r="J6568" i="1" s="1"/>
  <c r="H6569" i="1"/>
  <c r="J6569" i="1" s="1"/>
  <c r="H6570" i="1"/>
  <c r="J6570" i="1" s="1"/>
  <c r="H6571" i="1"/>
  <c r="J6571" i="1" s="1"/>
  <c r="H6572" i="1"/>
  <c r="J6572" i="1" s="1"/>
  <c r="H6573" i="1"/>
  <c r="J6573" i="1" s="1"/>
  <c r="H6574" i="1"/>
  <c r="J6574" i="1" s="1"/>
  <c r="H6575" i="1"/>
  <c r="J6575" i="1" s="1"/>
  <c r="H6576" i="1"/>
  <c r="J6576" i="1" s="1"/>
  <c r="H6577" i="1"/>
  <c r="J6577" i="1" s="1"/>
  <c r="H6578" i="1"/>
  <c r="J6578" i="1" s="1"/>
  <c r="H6579" i="1"/>
  <c r="J6579" i="1" s="1"/>
  <c r="H6580" i="1"/>
  <c r="J6580" i="1" s="1"/>
  <c r="H6581" i="1"/>
  <c r="J6581" i="1" s="1"/>
  <c r="H6582" i="1"/>
  <c r="J6582" i="1" s="1"/>
  <c r="H6583" i="1"/>
  <c r="J6583" i="1" s="1"/>
  <c r="H6584" i="1"/>
  <c r="J6584" i="1" s="1"/>
  <c r="H6585" i="1"/>
  <c r="J6585" i="1" s="1"/>
  <c r="H6586" i="1"/>
  <c r="J6586" i="1" s="1"/>
  <c r="H6587" i="1"/>
  <c r="J6587" i="1" s="1"/>
  <c r="H6588" i="1"/>
  <c r="J6588" i="1" s="1"/>
  <c r="H6589" i="1"/>
  <c r="J6589" i="1" s="1"/>
  <c r="H6590" i="1"/>
  <c r="J6590" i="1" s="1"/>
  <c r="H6591" i="1"/>
  <c r="J6591" i="1" s="1"/>
  <c r="H6592" i="1"/>
  <c r="J6592" i="1" s="1"/>
  <c r="H6593" i="1"/>
  <c r="J6593" i="1" s="1"/>
  <c r="H6594" i="1"/>
  <c r="J6594" i="1" s="1"/>
  <c r="H6595" i="1"/>
  <c r="J6595" i="1" s="1"/>
  <c r="H6596" i="1"/>
  <c r="J6596" i="1" s="1"/>
  <c r="H6597" i="1"/>
  <c r="J6597" i="1" s="1"/>
  <c r="H6598" i="1"/>
  <c r="J6598" i="1" s="1"/>
  <c r="H6599" i="1"/>
  <c r="J6599" i="1" s="1"/>
  <c r="H6600" i="1"/>
  <c r="J6600" i="1" s="1"/>
  <c r="H6601" i="1"/>
  <c r="H6602" i="1"/>
  <c r="J6602" i="1" s="1"/>
  <c r="H6603" i="1"/>
  <c r="J6603" i="1" s="1"/>
  <c r="H6604" i="1"/>
  <c r="J6604" i="1" s="1"/>
  <c r="H6605" i="1"/>
  <c r="J6605" i="1" s="1"/>
  <c r="H6606" i="1"/>
  <c r="J6606" i="1" s="1"/>
  <c r="H6607" i="1"/>
  <c r="J6607" i="1" s="1"/>
  <c r="H6608" i="1"/>
  <c r="J6608" i="1" s="1"/>
  <c r="H6609" i="1"/>
  <c r="J6609" i="1" s="1"/>
  <c r="H6610" i="1"/>
  <c r="J6610" i="1" s="1"/>
  <c r="H6611" i="1"/>
  <c r="J6611" i="1" s="1"/>
  <c r="H6612" i="1"/>
  <c r="J6612" i="1" s="1"/>
  <c r="H6613" i="1"/>
  <c r="J6613" i="1" s="1"/>
  <c r="H6614" i="1"/>
  <c r="J6614" i="1" s="1"/>
  <c r="H6615" i="1"/>
  <c r="J6615" i="1" s="1"/>
  <c r="H6616" i="1"/>
  <c r="J6616" i="1" s="1"/>
  <c r="H6617" i="1"/>
  <c r="J6617" i="1" s="1"/>
  <c r="H6618" i="1"/>
  <c r="J6618" i="1" s="1"/>
  <c r="H6619" i="1"/>
  <c r="J6619" i="1" s="1"/>
  <c r="H6620" i="1"/>
  <c r="J6620" i="1" s="1"/>
  <c r="H6621" i="1"/>
  <c r="J6621" i="1" s="1"/>
  <c r="H6622" i="1"/>
  <c r="J6622" i="1" s="1"/>
  <c r="H6623" i="1"/>
  <c r="J6623" i="1" s="1"/>
  <c r="H6624" i="1"/>
  <c r="J6624" i="1" s="1"/>
  <c r="H6625" i="1"/>
  <c r="J6625" i="1" s="1"/>
  <c r="H6626" i="1"/>
  <c r="J6626" i="1" s="1"/>
  <c r="H6627" i="1"/>
  <c r="J6627" i="1" s="1"/>
  <c r="H6628" i="1"/>
  <c r="J6628" i="1" s="1"/>
  <c r="H6629" i="1"/>
  <c r="J6629" i="1" s="1"/>
  <c r="H6630" i="1"/>
  <c r="J6630" i="1" s="1"/>
  <c r="H6631" i="1"/>
  <c r="J6631" i="1" s="1"/>
  <c r="H6632" i="1"/>
  <c r="J6632" i="1" s="1"/>
  <c r="H6633" i="1"/>
  <c r="J6633" i="1" s="1"/>
  <c r="H6634" i="1"/>
  <c r="J6634" i="1" s="1"/>
  <c r="H6635" i="1"/>
  <c r="H6636" i="1"/>
  <c r="J6636" i="1" s="1"/>
  <c r="H6637" i="1"/>
  <c r="J6637" i="1" s="1"/>
  <c r="H6638" i="1"/>
  <c r="J6638" i="1" s="1"/>
  <c r="H6639" i="1"/>
  <c r="J6639" i="1" s="1"/>
  <c r="H6640" i="1"/>
  <c r="J6640" i="1" s="1"/>
  <c r="H6641" i="1"/>
  <c r="J6641" i="1" s="1"/>
  <c r="H6642" i="1"/>
  <c r="J6642" i="1" s="1"/>
  <c r="H6643" i="1"/>
  <c r="J6643" i="1" s="1"/>
  <c r="H6644" i="1"/>
  <c r="J6644" i="1" s="1"/>
  <c r="H6645" i="1"/>
  <c r="J6645" i="1" s="1"/>
  <c r="H6646" i="1"/>
  <c r="J6646" i="1" s="1"/>
  <c r="H6647" i="1"/>
  <c r="H6648" i="1"/>
  <c r="J6648" i="1" s="1"/>
  <c r="H6649" i="1"/>
  <c r="J6649" i="1" s="1"/>
  <c r="H6650" i="1"/>
  <c r="J6650" i="1" s="1"/>
  <c r="H6651" i="1"/>
  <c r="J6651" i="1" s="1"/>
  <c r="H6652" i="1"/>
  <c r="J6652" i="1" s="1"/>
  <c r="H6653" i="1"/>
  <c r="J6653" i="1" s="1"/>
  <c r="H6654" i="1"/>
  <c r="J6654" i="1" s="1"/>
  <c r="H6655" i="1"/>
  <c r="J6655" i="1" s="1"/>
  <c r="H6656" i="1"/>
  <c r="J6656" i="1" s="1"/>
  <c r="H6657" i="1"/>
  <c r="J6657" i="1" s="1"/>
  <c r="H6658" i="1"/>
  <c r="J6658" i="1" s="1"/>
  <c r="H6659" i="1"/>
  <c r="J6659" i="1" s="1"/>
  <c r="H6660" i="1"/>
  <c r="J6660" i="1" s="1"/>
  <c r="H6661" i="1"/>
  <c r="J6661" i="1" s="1"/>
  <c r="H6662" i="1"/>
  <c r="H6663" i="1"/>
  <c r="J6663" i="1" s="1"/>
  <c r="H6664" i="1"/>
  <c r="J6664" i="1" s="1"/>
  <c r="H6665" i="1"/>
  <c r="J6665" i="1" s="1"/>
  <c r="H6666" i="1"/>
  <c r="J6666" i="1" s="1"/>
  <c r="H6667" i="1"/>
  <c r="J6667" i="1" s="1"/>
  <c r="H6668" i="1"/>
  <c r="J6668" i="1" s="1"/>
  <c r="H6669" i="1"/>
  <c r="J6669" i="1" s="1"/>
  <c r="H6670" i="1"/>
  <c r="J6670" i="1" s="1"/>
  <c r="H6671" i="1"/>
  <c r="J6671" i="1" s="1"/>
  <c r="H6672" i="1"/>
  <c r="J6672" i="1" s="1"/>
  <c r="H6673" i="1"/>
  <c r="H6674" i="1"/>
  <c r="H6675" i="1"/>
  <c r="J6675" i="1" s="1"/>
  <c r="H6676" i="1"/>
  <c r="J6676" i="1" s="1"/>
  <c r="H6677" i="1"/>
  <c r="J6677" i="1" s="1"/>
  <c r="H6678" i="1"/>
  <c r="H6679" i="1"/>
  <c r="J6679" i="1" s="1"/>
  <c r="H6680" i="1"/>
  <c r="J6680" i="1" s="1"/>
  <c r="H6681" i="1"/>
  <c r="J6681" i="1" s="1"/>
  <c r="H6682" i="1"/>
  <c r="J6682" i="1" s="1"/>
  <c r="H6683" i="1"/>
  <c r="J6683" i="1" s="1"/>
  <c r="H6684" i="1"/>
  <c r="H6685" i="1"/>
  <c r="J6685" i="1" s="1"/>
  <c r="H6686" i="1"/>
  <c r="J6686" i="1" s="1"/>
  <c r="H6687" i="1"/>
  <c r="J6687" i="1" s="1"/>
  <c r="H6688" i="1"/>
  <c r="J6688" i="1" s="1"/>
  <c r="H6689" i="1"/>
  <c r="J6689" i="1" s="1"/>
  <c r="H6690" i="1"/>
  <c r="J6690" i="1" s="1"/>
  <c r="H6691" i="1"/>
  <c r="J6691" i="1" s="1"/>
  <c r="H6692" i="1"/>
  <c r="J6692" i="1" s="1"/>
  <c r="H6693" i="1"/>
  <c r="J6693" i="1" s="1"/>
  <c r="H6694" i="1"/>
  <c r="J6694" i="1" s="1"/>
  <c r="H6695" i="1"/>
  <c r="H6696" i="1"/>
  <c r="J6696" i="1" s="1"/>
  <c r="H6697" i="1"/>
  <c r="H6698" i="1"/>
  <c r="J6698" i="1" s="1"/>
  <c r="H6699" i="1"/>
  <c r="J6699" i="1" s="1"/>
  <c r="H6700" i="1"/>
  <c r="J6700" i="1" s="1"/>
  <c r="H6701" i="1"/>
  <c r="J6701" i="1" s="1"/>
  <c r="H6702" i="1"/>
  <c r="J6702" i="1" s="1"/>
  <c r="H6703" i="1"/>
  <c r="J6703" i="1" s="1"/>
  <c r="H6704" i="1"/>
  <c r="J6704" i="1" s="1"/>
  <c r="H6705" i="1"/>
  <c r="J6705" i="1" s="1"/>
  <c r="H6706" i="1"/>
  <c r="H6707" i="1"/>
  <c r="J6707" i="1" s="1"/>
  <c r="H6708" i="1"/>
  <c r="J6708" i="1" s="1"/>
  <c r="H6709" i="1"/>
  <c r="J6709" i="1" s="1"/>
  <c r="H6710" i="1"/>
  <c r="J6710" i="1" s="1"/>
  <c r="H6711" i="1"/>
  <c r="J6711" i="1" s="1"/>
  <c r="H6712" i="1"/>
  <c r="J6712" i="1" s="1"/>
  <c r="H6713" i="1"/>
  <c r="J6713" i="1" s="1"/>
  <c r="H6714" i="1"/>
  <c r="J6714" i="1" s="1"/>
  <c r="H6715" i="1"/>
  <c r="H6716" i="1"/>
  <c r="J6716" i="1" s="1"/>
  <c r="H6717" i="1"/>
  <c r="J6717" i="1" s="1"/>
  <c r="H6718" i="1"/>
  <c r="J6718" i="1" s="1"/>
  <c r="H6719" i="1"/>
  <c r="J6719" i="1" s="1"/>
  <c r="H6720" i="1"/>
  <c r="J6720" i="1" s="1"/>
  <c r="H6721" i="1"/>
  <c r="H6722" i="1"/>
  <c r="J6722" i="1" s="1"/>
  <c r="H6723" i="1"/>
  <c r="J6723" i="1" s="1"/>
  <c r="H6724" i="1"/>
  <c r="J6724" i="1" s="1"/>
  <c r="H6725" i="1"/>
  <c r="J6725" i="1" s="1"/>
  <c r="H6726" i="1"/>
  <c r="J6726" i="1" s="1"/>
  <c r="H6727" i="1"/>
  <c r="J6727" i="1" s="1"/>
  <c r="H6728" i="1"/>
  <c r="J6728" i="1" s="1"/>
  <c r="H6729" i="1"/>
  <c r="J6729" i="1" s="1"/>
  <c r="H6730" i="1"/>
  <c r="J6730" i="1" s="1"/>
  <c r="H6731" i="1"/>
  <c r="J6731" i="1" s="1"/>
  <c r="H6732" i="1"/>
  <c r="J6732" i="1" s="1"/>
  <c r="H6733" i="1"/>
  <c r="H6734" i="1"/>
  <c r="J6734" i="1" s="1"/>
  <c r="H6735" i="1"/>
  <c r="J6735" i="1" s="1"/>
  <c r="H6736" i="1"/>
  <c r="J6736" i="1" s="1"/>
  <c r="H6737" i="1"/>
  <c r="J6737" i="1" s="1"/>
  <c r="H6738" i="1"/>
  <c r="J6738" i="1" s="1"/>
  <c r="H6739" i="1"/>
  <c r="J6739" i="1" s="1"/>
  <c r="H6740" i="1"/>
  <c r="J6740" i="1" s="1"/>
  <c r="H6741" i="1"/>
  <c r="J6741" i="1" s="1"/>
  <c r="H6742" i="1"/>
  <c r="J6742" i="1" s="1"/>
  <c r="H6743" i="1"/>
  <c r="J6743" i="1" s="1"/>
  <c r="H6744" i="1"/>
  <c r="J6744" i="1" s="1"/>
  <c r="H6745" i="1"/>
  <c r="J6745" i="1" s="1"/>
  <c r="H6746" i="1"/>
  <c r="J6746" i="1" s="1"/>
  <c r="H6747" i="1"/>
  <c r="J6747" i="1" s="1"/>
  <c r="H6748" i="1"/>
  <c r="J6748" i="1" s="1"/>
  <c r="H6749" i="1"/>
  <c r="J6749" i="1" s="1"/>
  <c r="H6750" i="1"/>
  <c r="J6750" i="1" s="1"/>
  <c r="H6751" i="1"/>
  <c r="J6751" i="1" s="1"/>
  <c r="H6752" i="1"/>
  <c r="J6752" i="1" s="1"/>
  <c r="H6753" i="1"/>
  <c r="J6753" i="1" s="1"/>
  <c r="H6754" i="1"/>
  <c r="J6754" i="1" s="1"/>
  <c r="H6755" i="1"/>
  <c r="J6755" i="1" s="1"/>
  <c r="H6756" i="1"/>
  <c r="J6756" i="1" s="1"/>
  <c r="H6757" i="1"/>
  <c r="J6757" i="1" s="1"/>
  <c r="H6758" i="1"/>
  <c r="J6758" i="1" s="1"/>
  <c r="H6759" i="1"/>
  <c r="J6759" i="1" s="1"/>
  <c r="H6760" i="1"/>
  <c r="J6760" i="1" s="1"/>
  <c r="H6761" i="1"/>
  <c r="J6761" i="1" s="1"/>
  <c r="H6762" i="1"/>
  <c r="J6762" i="1" s="1"/>
  <c r="H6763" i="1"/>
  <c r="H6764" i="1"/>
  <c r="J6764" i="1" s="1"/>
  <c r="H6765" i="1"/>
  <c r="J6765" i="1" s="1"/>
  <c r="H6766" i="1"/>
  <c r="H6767" i="1"/>
  <c r="J6767" i="1" s="1"/>
  <c r="H6768" i="1"/>
  <c r="J6768" i="1" s="1"/>
  <c r="H6769" i="1"/>
  <c r="J6769" i="1" s="1"/>
  <c r="H6770" i="1"/>
  <c r="J6770" i="1" s="1"/>
  <c r="H6771" i="1"/>
  <c r="J6771" i="1" s="1"/>
  <c r="H6772" i="1"/>
  <c r="J6772" i="1" s="1"/>
  <c r="H6773" i="1"/>
  <c r="J6773" i="1" s="1"/>
  <c r="H6774" i="1"/>
  <c r="J6774" i="1" s="1"/>
  <c r="H6775" i="1"/>
  <c r="J6775" i="1" s="1"/>
  <c r="H6776" i="1"/>
  <c r="J6776" i="1" s="1"/>
  <c r="H6777" i="1"/>
  <c r="J6777" i="1" s="1"/>
  <c r="H6778" i="1"/>
  <c r="J6778" i="1" s="1"/>
  <c r="H6779" i="1"/>
  <c r="J6779" i="1" s="1"/>
  <c r="H6780" i="1"/>
  <c r="J6780" i="1" s="1"/>
  <c r="H6781" i="1"/>
  <c r="J6781" i="1" s="1"/>
  <c r="H6782" i="1"/>
  <c r="J6782" i="1" s="1"/>
  <c r="H6783" i="1"/>
  <c r="J6783" i="1" s="1"/>
  <c r="H6784" i="1"/>
  <c r="J6784" i="1" s="1"/>
  <c r="H6785" i="1"/>
  <c r="J6785" i="1" s="1"/>
  <c r="H6786" i="1"/>
  <c r="J6786" i="1" s="1"/>
  <c r="H6787" i="1"/>
  <c r="J6787" i="1" s="1"/>
  <c r="H6788" i="1"/>
  <c r="J6788" i="1" s="1"/>
  <c r="H6789" i="1"/>
  <c r="J6789" i="1" s="1"/>
  <c r="H6790" i="1"/>
  <c r="J6790" i="1" s="1"/>
  <c r="H6791" i="1"/>
  <c r="J6791" i="1" s="1"/>
  <c r="H6792" i="1"/>
  <c r="H6793" i="1"/>
  <c r="J6793" i="1" s="1"/>
  <c r="H6794" i="1"/>
  <c r="J6794" i="1" s="1"/>
  <c r="H6795" i="1"/>
  <c r="J6795" i="1" s="1"/>
  <c r="H6796" i="1"/>
  <c r="H6797" i="1"/>
  <c r="J6797" i="1" s="1"/>
  <c r="H6798" i="1"/>
  <c r="J6798" i="1" s="1"/>
  <c r="H6799" i="1"/>
  <c r="J6799" i="1" s="1"/>
  <c r="H6800" i="1"/>
  <c r="J6800" i="1" s="1"/>
  <c r="H6801" i="1"/>
  <c r="J6801" i="1" s="1"/>
  <c r="H6802" i="1"/>
  <c r="J6802" i="1" s="1"/>
  <c r="H6803" i="1"/>
  <c r="J6803" i="1" s="1"/>
  <c r="H6804" i="1"/>
  <c r="J6804" i="1" s="1"/>
  <c r="H6805" i="1"/>
  <c r="J6805" i="1" s="1"/>
  <c r="H6806" i="1"/>
  <c r="J6806" i="1" s="1"/>
  <c r="H6807" i="1"/>
  <c r="J6807" i="1" s="1"/>
  <c r="H6808" i="1"/>
  <c r="J6808" i="1" s="1"/>
  <c r="H6809" i="1"/>
  <c r="J6809" i="1" s="1"/>
  <c r="H6810" i="1"/>
  <c r="J6810" i="1" s="1"/>
  <c r="H6811" i="1"/>
  <c r="J6811" i="1" s="1"/>
  <c r="H6812" i="1"/>
  <c r="J6812" i="1" s="1"/>
  <c r="H6813" i="1"/>
  <c r="J6813" i="1" s="1"/>
  <c r="H6814" i="1"/>
  <c r="J6814" i="1" s="1"/>
  <c r="H6815" i="1"/>
  <c r="J6815" i="1" s="1"/>
  <c r="H6816" i="1"/>
  <c r="J6816" i="1" s="1"/>
  <c r="H6817" i="1"/>
  <c r="J6817" i="1" s="1"/>
  <c r="H6818" i="1"/>
  <c r="J6818" i="1" s="1"/>
  <c r="H6819" i="1"/>
  <c r="J6819" i="1" s="1"/>
  <c r="H6820" i="1"/>
  <c r="J6820" i="1" s="1"/>
  <c r="H6821" i="1"/>
  <c r="J6821" i="1" s="1"/>
  <c r="H6822" i="1"/>
  <c r="J6822" i="1" s="1"/>
  <c r="H6823" i="1"/>
  <c r="J6823" i="1" s="1"/>
  <c r="H6824" i="1"/>
  <c r="J6824" i="1" s="1"/>
  <c r="H6825" i="1"/>
  <c r="J6825" i="1" s="1"/>
  <c r="H6826" i="1"/>
  <c r="J6826" i="1" s="1"/>
  <c r="H6827" i="1"/>
  <c r="J6827" i="1" s="1"/>
  <c r="H6828" i="1"/>
  <c r="J6828" i="1" s="1"/>
  <c r="H6829" i="1"/>
  <c r="J6829" i="1" s="1"/>
  <c r="H6830" i="1"/>
  <c r="H6831" i="1"/>
  <c r="J6831" i="1" s="1"/>
  <c r="H6832" i="1"/>
  <c r="J6832" i="1" s="1"/>
  <c r="H6833" i="1"/>
  <c r="J6833" i="1" s="1"/>
  <c r="H6834" i="1"/>
  <c r="J6834" i="1" s="1"/>
  <c r="H6835" i="1"/>
  <c r="J6835" i="1" s="1"/>
  <c r="H6836" i="1"/>
  <c r="J6836" i="1" s="1"/>
  <c r="H6837" i="1"/>
  <c r="J6837" i="1" s="1"/>
  <c r="H6838" i="1"/>
  <c r="J6838" i="1" s="1"/>
  <c r="H6839" i="1"/>
  <c r="J6839" i="1" s="1"/>
  <c r="H6840" i="1"/>
  <c r="J6840" i="1" s="1"/>
  <c r="H6841" i="1"/>
  <c r="H6842" i="1"/>
  <c r="J6842" i="1" s="1"/>
  <c r="H6843" i="1"/>
  <c r="J6843" i="1" s="1"/>
  <c r="H6844" i="1"/>
  <c r="J6844" i="1" s="1"/>
  <c r="H6845" i="1"/>
  <c r="J6845" i="1" s="1"/>
  <c r="H6846" i="1"/>
  <c r="J6846" i="1" s="1"/>
  <c r="H6847" i="1"/>
  <c r="J6847" i="1" s="1"/>
  <c r="H6848" i="1"/>
  <c r="J6848" i="1" s="1"/>
  <c r="H6849" i="1"/>
  <c r="J6849" i="1" s="1"/>
  <c r="H6850" i="1"/>
  <c r="H6851" i="1"/>
  <c r="J6851" i="1" s="1"/>
  <c r="H6852" i="1"/>
  <c r="J6852" i="1" s="1"/>
  <c r="H6853" i="1"/>
  <c r="J6853" i="1" s="1"/>
  <c r="H6854" i="1"/>
  <c r="J6854" i="1" s="1"/>
  <c r="H6855" i="1"/>
  <c r="J6855" i="1" s="1"/>
  <c r="H6856" i="1"/>
  <c r="J6856" i="1" s="1"/>
  <c r="H6857" i="1"/>
  <c r="J6857" i="1" s="1"/>
  <c r="H6858" i="1"/>
  <c r="J6858" i="1" s="1"/>
  <c r="H6859" i="1"/>
  <c r="J6859" i="1" s="1"/>
  <c r="H6860" i="1"/>
  <c r="J6860" i="1" s="1"/>
  <c r="H6861" i="1"/>
  <c r="J6861" i="1" s="1"/>
  <c r="H6862" i="1"/>
  <c r="J6862" i="1" s="1"/>
  <c r="H6863" i="1"/>
  <c r="J6863" i="1" s="1"/>
  <c r="H6864" i="1"/>
  <c r="J6864" i="1" s="1"/>
  <c r="H6865" i="1"/>
  <c r="H6866" i="1"/>
  <c r="J6866" i="1" s="1"/>
  <c r="H6867" i="1"/>
  <c r="J6867" i="1" s="1"/>
  <c r="H6868" i="1"/>
  <c r="J6868" i="1" s="1"/>
  <c r="H6869" i="1"/>
  <c r="J6869" i="1" s="1"/>
  <c r="H6870" i="1"/>
  <c r="J6870" i="1" s="1"/>
  <c r="H6871" i="1"/>
  <c r="J6871" i="1" s="1"/>
  <c r="H6872" i="1"/>
  <c r="J6872" i="1" s="1"/>
  <c r="H6873" i="1"/>
  <c r="J6873" i="1" s="1"/>
  <c r="H6874" i="1"/>
  <c r="J6874" i="1" s="1"/>
  <c r="H6875" i="1"/>
  <c r="J6875" i="1" s="1"/>
  <c r="H6876" i="1"/>
  <c r="J6876" i="1" s="1"/>
  <c r="H6877" i="1"/>
  <c r="J6877" i="1" s="1"/>
  <c r="H6878" i="1"/>
  <c r="J6878" i="1" s="1"/>
  <c r="H6879" i="1"/>
  <c r="J6879" i="1" s="1"/>
  <c r="H6880" i="1"/>
  <c r="J6880" i="1" s="1"/>
  <c r="H6881" i="1"/>
  <c r="H6882" i="1"/>
  <c r="J6882" i="1" s="1"/>
  <c r="H6883" i="1"/>
  <c r="J6883" i="1" s="1"/>
  <c r="H6884" i="1"/>
  <c r="J6884" i="1" s="1"/>
  <c r="H6885" i="1"/>
  <c r="J6885" i="1" s="1"/>
  <c r="H6886" i="1"/>
  <c r="J6886" i="1" s="1"/>
  <c r="H6887" i="1"/>
  <c r="J6887" i="1" s="1"/>
  <c r="H6888" i="1"/>
  <c r="J6888" i="1" s="1"/>
  <c r="H6889" i="1"/>
  <c r="J6889" i="1" s="1"/>
  <c r="H6890" i="1"/>
  <c r="H6891" i="1"/>
  <c r="J6891" i="1" s="1"/>
  <c r="H6892" i="1"/>
  <c r="J6892" i="1" s="1"/>
  <c r="H6893" i="1"/>
  <c r="J6893" i="1" s="1"/>
  <c r="H6894" i="1"/>
  <c r="J6894" i="1" s="1"/>
  <c r="H6895" i="1"/>
  <c r="J6895" i="1" s="1"/>
  <c r="H6896" i="1"/>
  <c r="J6896" i="1" s="1"/>
  <c r="H6897" i="1"/>
  <c r="J6897" i="1" s="1"/>
  <c r="H6898" i="1"/>
  <c r="J6898" i="1" s="1"/>
  <c r="H6899" i="1"/>
  <c r="J6899" i="1" s="1"/>
  <c r="H6900" i="1"/>
  <c r="J6900" i="1" s="1"/>
  <c r="H6901" i="1"/>
  <c r="J6901" i="1" s="1"/>
  <c r="H6902" i="1"/>
  <c r="H6903" i="1"/>
  <c r="J6903" i="1" s="1"/>
  <c r="H6904" i="1"/>
  <c r="J6904" i="1" s="1"/>
  <c r="H6905" i="1"/>
  <c r="J6905" i="1" s="1"/>
  <c r="H6906" i="1"/>
  <c r="J6906" i="1" s="1"/>
  <c r="H6907" i="1"/>
  <c r="J6907" i="1" s="1"/>
  <c r="H6908" i="1"/>
  <c r="J6908" i="1" s="1"/>
  <c r="H6909" i="1"/>
  <c r="J6909" i="1" s="1"/>
  <c r="H6910" i="1"/>
  <c r="H6911" i="1"/>
  <c r="H6912" i="1"/>
  <c r="J6912" i="1" s="1"/>
  <c r="H6913" i="1"/>
  <c r="J6913" i="1" s="1"/>
  <c r="H6914" i="1"/>
  <c r="J6914" i="1" s="1"/>
  <c r="H6915" i="1"/>
  <c r="J6915" i="1" s="1"/>
  <c r="H6916" i="1"/>
  <c r="J6916" i="1" s="1"/>
  <c r="H6917" i="1"/>
  <c r="J6917" i="1" s="1"/>
  <c r="H6918" i="1"/>
  <c r="H6919" i="1"/>
  <c r="J6919" i="1" s="1"/>
  <c r="H6920" i="1"/>
  <c r="J6920" i="1" s="1"/>
  <c r="H6921" i="1"/>
  <c r="J6921" i="1" s="1"/>
  <c r="H6922" i="1"/>
  <c r="J6922" i="1" s="1"/>
  <c r="H6923" i="1"/>
  <c r="J6923" i="1" s="1"/>
  <c r="H6924" i="1"/>
  <c r="J6924" i="1" s="1"/>
  <c r="H6925" i="1"/>
  <c r="J6925" i="1" s="1"/>
  <c r="H6926" i="1"/>
  <c r="J6926" i="1" s="1"/>
  <c r="H6927" i="1"/>
  <c r="J6927" i="1" s="1"/>
  <c r="H6928" i="1"/>
  <c r="J6928" i="1" s="1"/>
  <c r="H6929" i="1"/>
  <c r="J6929" i="1" s="1"/>
  <c r="H6930" i="1"/>
  <c r="J6930" i="1" s="1"/>
  <c r="H6931" i="1"/>
  <c r="J6931" i="1" s="1"/>
  <c r="H6932" i="1"/>
  <c r="J6932" i="1" s="1"/>
  <c r="H6933" i="1"/>
  <c r="J6933" i="1" s="1"/>
  <c r="H6934" i="1"/>
  <c r="J6934" i="1" s="1"/>
  <c r="H6935" i="1"/>
  <c r="H6936" i="1"/>
  <c r="J6936" i="1" s="1"/>
  <c r="H6937" i="1"/>
  <c r="J6937" i="1" s="1"/>
  <c r="H6938" i="1"/>
  <c r="J6938" i="1" s="1"/>
  <c r="H6939" i="1"/>
  <c r="J6939" i="1" s="1"/>
  <c r="H6940" i="1"/>
  <c r="J6940" i="1" s="1"/>
  <c r="H6941" i="1"/>
  <c r="J6941" i="1" s="1"/>
  <c r="H6942" i="1"/>
  <c r="J6942" i="1" s="1"/>
  <c r="H6943" i="1"/>
  <c r="J6943" i="1" s="1"/>
  <c r="H6944" i="1"/>
  <c r="H6945" i="1"/>
  <c r="J6945" i="1" s="1"/>
  <c r="H6946" i="1"/>
  <c r="J6946" i="1" s="1"/>
  <c r="H6947" i="1"/>
  <c r="J6947" i="1" s="1"/>
  <c r="H6948" i="1"/>
  <c r="J6948" i="1" s="1"/>
  <c r="H6949" i="1"/>
  <c r="H6950" i="1"/>
  <c r="J6950" i="1" s="1"/>
  <c r="H6951" i="1"/>
  <c r="J6951" i="1" s="1"/>
  <c r="H6952" i="1"/>
  <c r="J6952" i="1" s="1"/>
  <c r="H6953" i="1"/>
  <c r="H6954" i="1"/>
  <c r="J6954" i="1" s="1"/>
  <c r="H6955" i="1"/>
  <c r="J6955" i="1" s="1"/>
  <c r="H6956" i="1"/>
  <c r="J6956" i="1" s="1"/>
  <c r="H6957" i="1"/>
  <c r="J6957" i="1" s="1"/>
  <c r="H6958" i="1"/>
  <c r="J6958" i="1" s="1"/>
  <c r="H6959" i="1"/>
  <c r="J6959" i="1" s="1"/>
  <c r="H6960" i="1"/>
  <c r="J6960" i="1" s="1"/>
  <c r="H6961" i="1"/>
  <c r="H6962" i="1"/>
  <c r="J6962" i="1" s="1"/>
  <c r="H6963" i="1"/>
  <c r="J6963" i="1" s="1"/>
  <c r="H6964" i="1"/>
  <c r="J6964" i="1" s="1"/>
  <c r="H6965" i="1"/>
  <c r="J6965" i="1" s="1"/>
  <c r="H6966" i="1"/>
  <c r="J6966" i="1" s="1"/>
  <c r="H6967" i="1"/>
  <c r="J6967" i="1" s="1"/>
  <c r="H6968" i="1"/>
  <c r="J6968" i="1" s="1"/>
  <c r="H6969" i="1"/>
  <c r="J6969" i="1" s="1"/>
  <c r="H6970" i="1"/>
  <c r="H6971" i="1"/>
  <c r="J6971" i="1" s="1"/>
  <c r="H6972" i="1"/>
  <c r="J6972" i="1" s="1"/>
  <c r="H6973" i="1"/>
  <c r="J6973" i="1" s="1"/>
  <c r="H6974" i="1"/>
  <c r="J6974" i="1" s="1"/>
  <c r="H6975" i="1"/>
  <c r="J6975" i="1" s="1"/>
  <c r="H6976" i="1"/>
  <c r="J6976" i="1" s="1"/>
  <c r="H6977" i="1"/>
  <c r="J6977" i="1" s="1"/>
  <c r="H6978" i="1"/>
  <c r="J6978" i="1" s="1"/>
  <c r="H6979" i="1"/>
  <c r="J6979" i="1" s="1"/>
  <c r="H6980" i="1"/>
  <c r="J6980" i="1" s="1"/>
  <c r="H6981" i="1"/>
  <c r="J6981" i="1" s="1"/>
  <c r="H6982" i="1"/>
  <c r="J6982" i="1" s="1"/>
  <c r="H6983" i="1"/>
  <c r="J6983" i="1" s="1"/>
  <c r="H6984" i="1"/>
  <c r="J6984" i="1" s="1"/>
  <c r="H6985" i="1"/>
  <c r="H6986" i="1"/>
  <c r="J6986" i="1" s="1"/>
  <c r="H6987" i="1"/>
  <c r="J6987" i="1" s="1"/>
  <c r="H6988" i="1"/>
  <c r="J6988" i="1" s="1"/>
  <c r="H6989" i="1"/>
  <c r="J6989" i="1" s="1"/>
  <c r="H6990" i="1"/>
  <c r="H6991" i="1"/>
  <c r="J6991" i="1" s="1"/>
  <c r="H6992" i="1"/>
  <c r="J6992" i="1" s="1"/>
  <c r="H6993" i="1"/>
  <c r="J6993" i="1" s="1"/>
  <c r="H6994" i="1"/>
  <c r="H6995" i="1"/>
  <c r="J6995" i="1" s="1"/>
  <c r="H6996" i="1"/>
  <c r="H6997" i="1"/>
  <c r="J6997" i="1" s="1"/>
  <c r="H6998" i="1"/>
  <c r="J6998" i="1" s="1"/>
  <c r="H6999" i="1"/>
  <c r="J6999" i="1" s="1"/>
  <c r="H7000" i="1"/>
  <c r="J7000" i="1" s="1"/>
  <c r="H7001" i="1"/>
  <c r="J7001" i="1" s="1"/>
  <c r="H7002" i="1"/>
  <c r="J7002" i="1" s="1"/>
  <c r="H7003" i="1"/>
  <c r="H7004" i="1"/>
  <c r="J7004" i="1" s="1"/>
  <c r="H7005" i="1"/>
  <c r="J7005" i="1" s="1"/>
  <c r="H7006" i="1"/>
  <c r="J7006" i="1" s="1"/>
  <c r="H7007" i="1"/>
  <c r="J7007" i="1" s="1"/>
  <c r="H7008" i="1"/>
  <c r="J7008" i="1" s="1"/>
  <c r="H7009" i="1"/>
  <c r="J7009" i="1" s="1"/>
  <c r="H7010" i="1"/>
  <c r="J7010" i="1" s="1"/>
  <c r="H7011" i="1"/>
  <c r="J7011" i="1" s="1"/>
  <c r="H7012" i="1"/>
  <c r="J7012" i="1" s="1"/>
  <c r="H7013" i="1"/>
  <c r="J7013" i="1" s="1"/>
  <c r="H7014" i="1"/>
  <c r="J7014" i="1" s="1"/>
  <c r="H7015" i="1"/>
  <c r="J7015" i="1" s="1"/>
  <c r="H7016" i="1"/>
  <c r="J7016" i="1" s="1"/>
  <c r="H7017" i="1"/>
  <c r="J7017" i="1" s="1"/>
  <c r="H7018" i="1"/>
  <c r="H7019" i="1"/>
  <c r="J7019" i="1" s="1"/>
  <c r="H7020" i="1"/>
  <c r="J7020" i="1" s="1"/>
  <c r="H7021" i="1"/>
  <c r="J7021" i="1" s="1"/>
  <c r="H7022" i="1"/>
  <c r="H7023" i="1"/>
  <c r="J7023" i="1" s="1"/>
  <c r="H7024" i="1"/>
  <c r="J7024" i="1" s="1"/>
  <c r="H7025" i="1"/>
  <c r="J7025" i="1" s="1"/>
  <c r="H7026" i="1"/>
  <c r="J7026" i="1" s="1"/>
  <c r="H7027" i="1"/>
  <c r="J7027" i="1" s="1"/>
  <c r="H7028" i="1"/>
  <c r="J7028" i="1" s="1"/>
  <c r="H7029" i="1"/>
  <c r="J7029" i="1" s="1"/>
  <c r="H7030" i="1"/>
  <c r="J7030" i="1" s="1"/>
  <c r="H7031" i="1"/>
  <c r="J7031" i="1" s="1"/>
  <c r="H7032" i="1"/>
  <c r="J7032" i="1" s="1"/>
  <c r="H7033" i="1"/>
  <c r="J7033" i="1" s="1"/>
  <c r="H7034" i="1"/>
  <c r="J7034" i="1" s="1"/>
  <c r="H7035" i="1"/>
  <c r="J7035" i="1" s="1"/>
  <c r="H7036" i="1"/>
  <c r="J7036" i="1" s="1"/>
  <c r="H7037" i="1"/>
  <c r="J7037" i="1" s="1"/>
  <c r="H7038" i="1"/>
  <c r="H7039" i="1"/>
  <c r="J7039" i="1" s="1"/>
  <c r="H7040" i="1"/>
  <c r="J7040" i="1" s="1"/>
  <c r="H7041" i="1"/>
  <c r="J7041" i="1" s="1"/>
  <c r="H7042" i="1"/>
  <c r="J7042" i="1" s="1"/>
  <c r="H7043" i="1"/>
  <c r="J7043" i="1" s="1"/>
  <c r="H7044" i="1"/>
  <c r="H7045" i="1"/>
  <c r="J7045" i="1" s="1"/>
  <c r="H7046" i="1"/>
  <c r="J7046" i="1" s="1"/>
  <c r="H7047" i="1"/>
  <c r="J7047" i="1" s="1"/>
  <c r="H7048" i="1"/>
  <c r="J7048" i="1" s="1"/>
  <c r="H7049" i="1"/>
  <c r="J7049" i="1" s="1"/>
  <c r="H7050" i="1"/>
  <c r="J7050" i="1" s="1"/>
  <c r="H7051" i="1"/>
  <c r="J7051" i="1" s="1"/>
  <c r="H7052" i="1"/>
  <c r="J7052" i="1" s="1"/>
  <c r="H7053" i="1"/>
  <c r="J7053" i="1" s="1"/>
  <c r="H7054" i="1"/>
  <c r="J7054" i="1" s="1"/>
  <c r="H7055" i="1"/>
  <c r="J7055" i="1" s="1"/>
  <c r="H7056" i="1"/>
  <c r="J7056" i="1" s="1"/>
  <c r="H7057" i="1"/>
  <c r="J7057" i="1" s="1"/>
  <c r="H7058" i="1"/>
  <c r="J7058" i="1" s="1"/>
  <c r="H7059" i="1"/>
  <c r="J7059" i="1" s="1"/>
  <c r="H7060" i="1"/>
  <c r="J7060" i="1" s="1"/>
  <c r="H7061" i="1"/>
  <c r="J7061" i="1" s="1"/>
  <c r="H7062" i="1"/>
  <c r="H7063" i="1"/>
  <c r="J7063" i="1" s="1"/>
  <c r="H7064" i="1"/>
  <c r="J7064" i="1" s="1"/>
  <c r="H7065" i="1"/>
  <c r="J7065" i="1" s="1"/>
  <c r="H7066" i="1"/>
  <c r="H7067" i="1"/>
  <c r="J7067" i="1" s="1"/>
  <c r="H7068" i="1"/>
  <c r="J7068" i="1" s="1"/>
  <c r="H7069" i="1"/>
  <c r="J7069" i="1" s="1"/>
  <c r="H7070" i="1"/>
  <c r="H7071" i="1"/>
  <c r="J7071" i="1" s="1"/>
  <c r="H7072" i="1"/>
  <c r="J7072" i="1" s="1"/>
  <c r="H7073" i="1"/>
  <c r="J7073" i="1" s="1"/>
  <c r="H7074" i="1"/>
  <c r="J7074" i="1" s="1"/>
  <c r="H7075" i="1"/>
  <c r="H7076" i="1"/>
  <c r="J7076" i="1" s="1"/>
  <c r="H7077" i="1"/>
  <c r="J7077" i="1" s="1"/>
  <c r="H7078" i="1"/>
  <c r="J7078" i="1" s="1"/>
  <c r="H7079" i="1"/>
  <c r="J7079" i="1" s="1"/>
  <c r="H7080" i="1"/>
  <c r="J7080" i="1" s="1"/>
  <c r="H7081" i="1"/>
  <c r="J7081" i="1" s="1"/>
  <c r="H7082" i="1"/>
  <c r="J7082" i="1" s="1"/>
  <c r="H7083" i="1"/>
  <c r="J7083" i="1" s="1"/>
  <c r="H7084" i="1"/>
  <c r="H7085" i="1"/>
  <c r="J7085" i="1" s="1"/>
  <c r="H7086" i="1"/>
  <c r="J7086" i="1" s="1"/>
  <c r="H7087" i="1"/>
  <c r="J7087" i="1" s="1"/>
  <c r="H7088" i="1"/>
  <c r="J7088" i="1" s="1"/>
  <c r="H7089" i="1"/>
  <c r="J7089" i="1" s="1"/>
  <c r="H7090" i="1"/>
  <c r="H7091" i="1"/>
  <c r="J7091" i="1" s="1"/>
  <c r="H7092" i="1"/>
  <c r="J7092" i="1" s="1"/>
  <c r="H7093" i="1"/>
  <c r="J7093" i="1" s="1"/>
  <c r="H7094" i="1"/>
  <c r="J7094" i="1" s="1"/>
  <c r="H7095" i="1"/>
  <c r="J7095" i="1" s="1"/>
  <c r="H7096" i="1"/>
  <c r="J7096" i="1" s="1"/>
  <c r="H7097" i="1"/>
  <c r="H7098" i="1"/>
  <c r="J7098" i="1" s="1"/>
  <c r="H7099" i="1"/>
  <c r="J7099" i="1" s="1"/>
  <c r="H7100" i="1"/>
  <c r="J7100" i="1" s="1"/>
  <c r="H7101" i="1"/>
  <c r="J7101" i="1" s="1"/>
  <c r="H7102" i="1"/>
  <c r="J7102" i="1" s="1"/>
  <c r="H7103" i="1"/>
  <c r="J7103" i="1" s="1"/>
  <c r="H7104" i="1"/>
  <c r="J7104" i="1" s="1"/>
  <c r="H7105" i="1"/>
  <c r="H7106" i="1"/>
  <c r="H7107" i="1"/>
  <c r="J7107" i="1" s="1"/>
  <c r="H7108" i="1"/>
  <c r="J7108" i="1" s="1"/>
  <c r="H7109" i="1"/>
  <c r="J7109" i="1" s="1"/>
  <c r="H7110" i="1"/>
  <c r="H7111" i="1"/>
  <c r="J7111" i="1" s="1"/>
  <c r="H7112" i="1"/>
  <c r="J7112" i="1" s="1"/>
  <c r="H7113" i="1"/>
  <c r="J7113" i="1" s="1"/>
  <c r="H7114" i="1"/>
  <c r="J7114" i="1" s="1"/>
  <c r="H7115" i="1"/>
  <c r="J7115" i="1" s="1"/>
  <c r="H7116" i="1"/>
  <c r="J7116" i="1" s="1"/>
  <c r="H7117" i="1"/>
  <c r="J7117" i="1" s="1"/>
  <c r="H7118" i="1"/>
  <c r="J7118" i="1" s="1"/>
  <c r="H7119" i="1"/>
  <c r="J7119" i="1" s="1"/>
  <c r="H7120" i="1"/>
  <c r="J7120" i="1" s="1"/>
  <c r="H7121" i="1"/>
  <c r="J7121" i="1" s="1"/>
  <c r="H7122" i="1"/>
  <c r="J7122" i="1" s="1"/>
  <c r="H7123" i="1"/>
  <c r="H7124" i="1"/>
  <c r="J7124" i="1" s="1"/>
  <c r="H7125" i="1"/>
  <c r="J7125" i="1" s="1"/>
  <c r="H7126" i="1"/>
  <c r="J7126" i="1" s="1"/>
  <c r="H7127" i="1"/>
  <c r="J7127" i="1" s="1"/>
  <c r="H7128" i="1"/>
  <c r="J7128" i="1" s="1"/>
  <c r="H7129" i="1"/>
  <c r="J7129" i="1" s="1"/>
  <c r="H7130" i="1"/>
  <c r="J7130" i="1" s="1"/>
  <c r="H7131" i="1"/>
  <c r="J7131" i="1" s="1"/>
  <c r="H7132" i="1"/>
  <c r="J7132" i="1" s="1"/>
  <c r="H7133" i="1"/>
  <c r="J7133" i="1" s="1"/>
  <c r="H7134" i="1"/>
  <c r="J7134" i="1" s="1"/>
  <c r="H7135" i="1"/>
  <c r="J7135" i="1" s="1"/>
  <c r="H7136" i="1"/>
  <c r="J7136" i="1" s="1"/>
  <c r="H7137" i="1"/>
  <c r="J7137" i="1" s="1"/>
  <c r="H7138" i="1"/>
  <c r="J7138" i="1" s="1"/>
  <c r="H7139" i="1"/>
  <c r="H7140" i="1"/>
  <c r="J7140" i="1" s="1"/>
  <c r="H7141" i="1"/>
  <c r="J7141" i="1" s="1"/>
  <c r="H7142" i="1"/>
  <c r="J7142" i="1" s="1"/>
  <c r="H7143" i="1"/>
  <c r="J7143" i="1" s="1"/>
  <c r="H7144" i="1"/>
  <c r="J7144" i="1" s="1"/>
  <c r="H7145" i="1"/>
  <c r="J7145" i="1" s="1"/>
  <c r="H7146" i="1"/>
  <c r="J7146" i="1" s="1"/>
  <c r="H7147" i="1"/>
  <c r="J7147" i="1" s="1"/>
  <c r="H7148" i="1"/>
  <c r="J7148" i="1" s="1"/>
  <c r="H7149" i="1"/>
  <c r="J7149" i="1" s="1"/>
  <c r="H7150" i="1"/>
  <c r="J7150" i="1" s="1"/>
  <c r="H7151" i="1"/>
  <c r="J7151" i="1" s="1"/>
  <c r="H7152" i="1"/>
  <c r="H7153" i="1"/>
  <c r="J7153" i="1" s="1"/>
  <c r="H7154" i="1"/>
  <c r="J7154" i="1" s="1"/>
  <c r="H7155" i="1"/>
  <c r="J7155" i="1" s="1"/>
  <c r="H7156" i="1"/>
  <c r="J7156" i="1" s="1"/>
  <c r="H7157" i="1"/>
  <c r="J7157" i="1" s="1"/>
  <c r="H7158" i="1"/>
  <c r="J7158" i="1" s="1"/>
  <c r="H7159" i="1"/>
  <c r="J7159" i="1" s="1"/>
  <c r="H7160" i="1"/>
  <c r="J7160" i="1" s="1"/>
  <c r="H7161" i="1"/>
  <c r="J7161" i="1" s="1"/>
  <c r="H7162" i="1"/>
  <c r="J7162" i="1" s="1"/>
  <c r="H7163" i="1"/>
  <c r="J7163" i="1" s="1"/>
  <c r="H7164" i="1"/>
  <c r="H7165" i="1"/>
  <c r="J7165" i="1" s="1"/>
  <c r="H7166" i="1"/>
  <c r="J7166" i="1" s="1"/>
  <c r="H7167" i="1"/>
  <c r="J7167" i="1" s="1"/>
  <c r="H7168" i="1"/>
  <c r="J7168" i="1" s="1"/>
  <c r="H7169" i="1"/>
  <c r="H7170" i="1"/>
  <c r="J7170" i="1" s="1"/>
  <c r="H7171" i="1"/>
  <c r="J7171" i="1" s="1"/>
  <c r="H7172" i="1"/>
  <c r="J7172" i="1" s="1"/>
  <c r="H7173" i="1"/>
  <c r="J7173" i="1" s="1"/>
  <c r="H7174" i="1"/>
  <c r="J7174" i="1" s="1"/>
  <c r="H7175" i="1"/>
  <c r="J7175" i="1" s="1"/>
  <c r="H7176" i="1"/>
  <c r="J7176" i="1" s="1"/>
  <c r="H7177" i="1"/>
  <c r="J7177" i="1" s="1"/>
  <c r="H7178" i="1"/>
  <c r="H7179" i="1"/>
  <c r="J7179" i="1" s="1"/>
  <c r="H7180" i="1"/>
  <c r="J7180" i="1" s="1"/>
  <c r="H7181" i="1"/>
  <c r="J7181" i="1" s="1"/>
  <c r="H7182" i="1"/>
  <c r="H7183" i="1"/>
  <c r="J7183" i="1" s="1"/>
  <c r="H7184" i="1"/>
  <c r="J7184" i="1" s="1"/>
  <c r="H7185" i="1"/>
  <c r="J7185" i="1" s="1"/>
  <c r="H7186" i="1"/>
  <c r="J7186" i="1" s="1"/>
  <c r="H7187" i="1"/>
  <c r="J7187" i="1" s="1"/>
  <c r="H7188" i="1"/>
  <c r="H7189" i="1"/>
  <c r="J7189" i="1" s="1"/>
  <c r="H7190" i="1"/>
  <c r="H7191" i="1"/>
  <c r="J7191" i="1" s="1"/>
  <c r="H7192" i="1"/>
  <c r="J7192" i="1" s="1"/>
  <c r="H7193" i="1"/>
  <c r="J7193" i="1" s="1"/>
  <c r="H7194" i="1"/>
  <c r="J7194" i="1" s="1"/>
  <c r="H7195" i="1"/>
  <c r="J7195" i="1" s="1"/>
  <c r="H7196" i="1"/>
  <c r="J7196" i="1" s="1"/>
  <c r="H7197" i="1"/>
  <c r="J7197" i="1" s="1"/>
  <c r="H7198" i="1"/>
  <c r="H7199" i="1"/>
  <c r="H7200" i="1"/>
  <c r="J7200" i="1" s="1"/>
  <c r="H7201" i="1"/>
  <c r="J7201" i="1" s="1"/>
  <c r="H7202" i="1"/>
  <c r="J7202" i="1" s="1"/>
  <c r="H7203" i="1"/>
  <c r="J7203" i="1" s="1"/>
  <c r="H7204" i="1"/>
  <c r="J7204" i="1" s="1"/>
  <c r="H7205" i="1"/>
  <c r="J7205" i="1" s="1"/>
  <c r="H7206" i="1"/>
  <c r="J7206" i="1" s="1"/>
  <c r="H7207" i="1"/>
  <c r="J7207" i="1" s="1"/>
  <c r="H7208" i="1"/>
  <c r="H7209" i="1"/>
  <c r="J7209" i="1" s="1"/>
  <c r="H7210" i="1"/>
  <c r="J7210" i="1" s="1"/>
  <c r="H7211" i="1"/>
  <c r="J7211" i="1" s="1"/>
  <c r="H7212" i="1"/>
  <c r="J7212" i="1" s="1"/>
  <c r="H7213" i="1"/>
  <c r="J7213" i="1" s="1"/>
  <c r="H7214" i="1"/>
  <c r="J7214" i="1" s="1"/>
  <c r="H7215" i="1"/>
  <c r="J7215" i="1" s="1"/>
  <c r="H7216" i="1"/>
  <c r="J7216" i="1" s="1"/>
  <c r="H7217" i="1"/>
  <c r="J7217" i="1" s="1"/>
  <c r="H7218" i="1"/>
  <c r="J7218" i="1" s="1"/>
  <c r="H7219" i="1"/>
  <c r="J7219" i="1" s="1"/>
  <c r="H7220" i="1"/>
  <c r="J7220" i="1" s="1"/>
  <c r="H7221" i="1"/>
  <c r="J7221" i="1" s="1"/>
  <c r="H7222" i="1"/>
  <c r="J7222" i="1" s="1"/>
  <c r="H7223" i="1"/>
  <c r="J7223" i="1" s="1"/>
  <c r="H7224" i="1"/>
  <c r="H7225" i="1"/>
  <c r="J7225" i="1" s="1"/>
  <c r="H7226" i="1"/>
  <c r="J7226" i="1" s="1"/>
  <c r="H7227" i="1"/>
  <c r="J7227" i="1" s="1"/>
  <c r="H7228" i="1"/>
  <c r="J7228" i="1" s="1"/>
  <c r="H7229" i="1"/>
  <c r="J7229" i="1" s="1"/>
  <c r="H7230" i="1"/>
  <c r="J7230" i="1" s="1"/>
  <c r="H7231" i="1"/>
  <c r="J7231" i="1" s="1"/>
  <c r="H7232" i="1"/>
  <c r="J7232" i="1" s="1"/>
  <c r="H7233" i="1"/>
  <c r="J7233" i="1" s="1"/>
  <c r="H7234" i="1"/>
  <c r="J7234" i="1" s="1"/>
  <c r="H7235" i="1"/>
  <c r="J7235" i="1" s="1"/>
  <c r="H7236" i="1"/>
  <c r="H7237" i="1"/>
  <c r="J7237" i="1" s="1"/>
  <c r="H7238" i="1"/>
  <c r="J7238" i="1" s="1"/>
  <c r="H7239" i="1"/>
  <c r="J7239" i="1" s="1"/>
  <c r="H7240" i="1"/>
  <c r="J7240" i="1" s="1"/>
  <c r="H7241" i="1"/>
  <c r="J7241" i="1" s="1"/>
  <c r="H7242" i="1"/>
  <c r="J7242" i="1" s="1"/>
  <c r="H7243" i="1"/>
  <c r="J7243" i="1" s="1"/>
  <c r="H7244" i="1"/>
  <c r="J7244" i="1" s="1"/>
  <c r="H7245" i="1"/>
  <c r="J7245" i="1" s="1"/>
  <c r="H7246" i="1"/>
  <c r="J7246" i="1" s="1"/>
  <c r="H7247" i="1"/>
  <c r="J7247" i="1" s="1"/>
  <c r="H7248" i="1"/>
  <c r="J7248" i="1" s="1"/>
  <c r="H7249" i="1"/>
  <c r="H7250" i="1"/>
  <c r="J7250" i="1" s="1"/>
  <c r="H7251" i="1"/>
  <c r="J7251" i="1" s="1"/>
  <c r="H7252" i="1"/>
  <c r="J7252" i="1" s="1"/>
  <c r="H7253" i="1"/>
  <c r="J7253" i="1" s="1"/>
  <c r="H7254" i="1"/>
  <c r="H7255" i="1"/>
  <c r="J7255" i="1" s="1"/>
  <c r="H7256" i="1"/>
  <c r="J7256" i="1" s="1"/>
  <c r="H7257" i="1"/>
  <c r="J7257" i="1" s="1"/>
  <c r="H7258" i="1"/>
  <c r="J7258" i="1" s="1"/>
  <c r="H7259" i="1"/>
  <c r="J7259" i="1" s="1"/>
  <c r="H7260" i="1"/>
  <c r="H7261" i="1"/>
  <c r="J7261" i="1" s="1"/>
  <c r="H7262" i="1"/>
  <c r="H7263" i="1"/>
  <c r="J7263" i="1" s="1"/>
  <c r="H7264" i="1"/>
  <c r="H7265" i="1"/>
  <c r="J7265" i="1" s="1"/>
  <c r="H7266" i="1"/>
  <c r="J7266" i="1" s="1"/>
  <c r="H7267" i="1"/>
  <c r="J7267" i="1" s="1"/>
  <c r="H7268" i="1"/>
  <c r="J7268" i="1" s="1"/>
  <c r="H7269" i="1"/>
  <c r="J7269" i="1" s="1"/>
  <c r="H7270" i="1"/>
  <c r="J7270" i="1" s="1"/>
  <c r="H7271" i="1"/>
  <c r="J7271" i="1" s="1"/>
  <c r="H7272" i="1"/>
  <c r="J7272" i="1" s="1"/>
  <c r="H7273" i="1"/>
  <c r="J7273" i="1" s="1"/>
  <c r="H7274" i="1"/>
  <c r="J7274" i="1" s="1"/>
  <c r="H7275" i="1"/>
  <c r="J7275" i="1" s="1"/>
  <c r="H7276" i="1"/>
  <c r="J7276" i="1" s="1"/>
  <c r="H7277" i="1"/>
  <c r="J7277" i="1" s="1"/>
  <c r="H7278" i="1"/>
  <c r="J7278" i="1" s="1"/>
  <c r="H7279" i="1"/>
  <c r="J7279" i="1" s="1"/>
  <c r="H7280" i="1"/>
  <c r="J7280" i="1" s="1"/>
  <c r="H7281" i="1"/>
  <c r="J7281" i="1" s="1"/>
  <c r="H7282" i="1"/>
  <c r="J7282" i="1" s="1"/>
  <c r="H7283" i="1"/>
  <c r="J7283" i="1" s="1"/>
  <c r="H7284" i="1"/>
  <c r="J7284" i="1" s="1"/>
  <c r="H7285" i="1"/>
  <c r="J7285" i="1" s="1"/>
  <c r="H7286" i="1"/>
  <c r="J7286" i="1" s="1"/>
  <c r="H7287" i="1"/>
  <c r="J7287" i="1" s="1"/>
  <c r="H7288" i="1"/>
  <c r="H7289" i="1"/>
  <c r="J7289" i="1" s="1"/>
  <c r="H7290" i="1"/>
  <c r="J7290" i="1" s="1"/>
  <c r="H7291" i="1"/>
  <c r="J7291" i="1" s="1"/>
  <c r="H7292" i="1"/>
  <c r="J7292" i="1" s="1"/>
  <c r="H7293" i="1"/>
  <c r="J7293" i="1" s="1"/>
  <c r="H7294" i="1"/>
  <c r="H7295" i="1"/>
  <c r="J7295" i="1" s="1"/>
  <c r="H7296" i="1"/>
  <c r="J7296" i="1" s="1"/>
  <c r="H7297" i="1"/>
  <c r="J7297" i="1" s="1"/>
  <c r="H7298" i="1"/>
  <c r="J7298" i="1" s="1"/>
  <c r="H7299" i="1"/>
  <c r="H7300" i="1"/>
  <c r="J7300" i="1" s="1"/>
  <c r="H7301" i="1"/>
  <c r="J7301" i="1" s="1"/>
  <c r="H7302" i="1"/>
  <c r="J7302" i="1" s="1"/>
  <c r="H7303" i="1"/>
  <c r="J7303" i="1" s="1"/>
  <c r="H7304" i="1"/>
  <c r="J7304" i="1" s="1"/>
  <c r="H7305" i="1"/>
  <c r="J7305" i="1" s="1"/>
  <c r="H7306" i="1"/>
  <c r="J7306" i="1" s="1"/>
  <c r="H7307" i="1"/>
  <c r="J7307" i="1" s="1"/>
  <c r="H7308" i="1"/>
  <c r="J7308" i="1" s="1"/>
  <c r="H7309" i="1"/>
  <c r="J7309" i="1" s="1"/>
  <c r="H7310" i="1"/>
  <c r="J7310" i="1" s="1"/>
  <c r="H7311" i="1"/>
  <c r="J7311" i="1" s="1"/>
  <c r="H7312" i="1"/>
  <c r="J7312" i="1" s="1"/>
  <c r="H7313" i="1"/>
  <c r="J7313" i="1" s="1"/>
  <c r="H7314" i="1"/>
  <c r="J7314" i="1" s="1"/>
  <c r="H7315" i="1"/>
  <c r="J7315" i="1" s="1"/>
  <c r="H7316" i="1"/>
  <c r="J7316" i="1" s="1"/>
  <c r="H7317" i="1"/>
  <c r="J7317" i="1" s="1"/>
  <c r="H7318" i="1"/>
  <c r="J7318" i="1" s="1"/>
  <c r="H7319" i="1"/>
  <c r="J7319" i="1" s="1"/>
  <c r="H7320" i="1"/>
  <c r="J7320" i="1" s="1"/>
  <c r="H7321" i="1"/>
  <c r="J7321" i="1" s="1"/>
  <c r="H7322" i="1"/>
  <c r="J7322" i="1" s="1"/>
  <c r="H7323" i="1"/>
  <c r="H7324" i="1"/>
  <c r="J7324" i="1" s="1"/>
  <c r="H7325" i="1"/>
  <c r="J7325" i="1" s="1"/>
  <c r="H7326" i="1"/>
  <c r="J7326" i="1" s="1"/>
  <c r="H7327" i="1"/>
  <c r="J7327" i="1" s="1"/>
  <c r="H7328" i="1"/>
  <c r="J7328" i="1" s="1"/>
  <c r="H7329" i="1"/>
  <c r="H7330" i="1"/>
  <c r="J7330" i="1" s="1"/>
  <c r="H7331" i="1"/>
  <c r="J7331" i="1" s="1"/>
  <c r="H7332" i="1"/>
  <c r="J7332" i="1" s="1"/>
  <c r="H7333" i="1"/>
  <c r="J7333" i="1" s="1"/>
  <c r="H7334" i="1"/>
  <c r="J7334" i="1" s="1"/>
  <c r="H7335" i="1"/>
  <c r="J7335" i="1" s="1"/>
  <c r="H7336" i="1"/>
  <c r="J7336" i="1" s="1"/>
  <c r="H7337" i="1"/>
  <c r="J7337" i="1" s="1"/>
  <c r="H7338" i="1"/>
  <c r="J7338" i="1" s="1"/>
  <c r="H7339" i="1"/>
  <c r="J7339" i="1" s="1"/>
  <c r="H7340" i="1"/>
  <c r="J7340" i="1" s="1"/>
  <c r="H7341" i="1"/>
  <c r="J7341" i="1" s="1"/>
  <c r="H7342" i="1"/>
  <c r="J7342" i="1" s="1"/>
  <c r="H7343" i="1"/>
  <c r="J7343" i="1" s="1"/>
  <c r="H7344" i="1"/>
  <c r="H7345" i="1"/>
  <c r="J7345" i="1" s="1"/>
  <c r="H7346" i="1"/>
  <c r="J7346" i="1" s="1"/>
  <c r="H7347" i="1"/>
  <c r="J7347" i="1" s="1"/>
  <c r="H7348" i="1"/>
  <c r="J7348" i="1" s="1"/>
  <c r="H7349" i="1"/>
  <c r="J7349" i="1" s="1"/>
  <c r="H7350" i="1"/>
  <c r="H7351" i="1"/>
  <c r="J7351" i="1" s="1"/>
  <c r="H7352" i="1"/>
  <c r="J7352" i="1" s="1"/>
  <c r="H7353" i="1"/>
  <c r="H7354" i="1"/>
  <c r="J7354" i="1" s="1"/>
  <c r="H7355" i="1"/>
  <c r="J7355" i="1" s="1"/>
  <c r="H7356" i="1"/>
  <c r="J7356" i="1" s="1"/>
  <c r="H7357" i="1"/>
  <c r="H7358" i="1"/>
  <c r="J7358" i="1" s="1"/>
  <c r="H7359" i="1"/>
  <c r="H7360" i="1"/>
  <c r="J7360" i="1" s="1"/>
  <c r="H7361" i="1"/>
  <c r="J7361" i="1" s="1"/>
  <c r="H7362" i="1"/>
  <c r="H7363" i="1"/>
  <c r="J7363" i="1" s="1"/>
  <c r="H7364" i="1"/>
  <c r="J7364" i="1" s="1"/>
  <c r="H7365" i="1"/>
  <c r="J7365" i="1" s="1"/>
  <c r="H7366" i="1"/>
  <c r="J7366" i="1" s="1"/>
  <c r="H7367" i="1"/>
  <c r="J7367" i="1" s="1"/>
  <c r="H7368" i="1"/>
  <c r="J7368" i="1" s="1"/>
  <c r="H7369" i="1"/>
  <c r="J7369" i="1" s="1"/>
  <c r="H7370" i="1"/>
  <c r="J7370" i="1" s="1"/>
  <c r="H7371" i="1"/>
  <c r="H7372" i="1"/>
  <c r="J7372" i="1" s="1"/>
  <c r="H7373" i="1"/>
  <c r="J7373" i="1" s="1"/>
  <c r="H7374" i="1"/>
  <c r="J7374" i="1" s="1"/>
  <c r="H7375" i="1"/>
  <c r="J7375" i="1" s="1"/>
  <c r="H7376" i="1"/>
  <c r="J7376" i="1" s="1"/>
  <c r="H7377" i="1"/>
  <c r="J7377" i="1" s="1"/>
  <c r="H7378" i="1"/>
  <c r="J7378" i="1" s="1"/>
  <c r="H7379" i="1"/>
  <c r="J7379" i="1" s="1"/>
  <c r="H7380" i="1"/>
  <c r="H7381" i="1"/>
  <c r="J7381" i="1" s="1"/>
  <c r="H7382" i="1"/>
  <c r="J7382" i="1" s="1"/>
  <c r="H7383" i="1"/>
  <c r="J7383" i="1" s="1"/>
  <c r="H7384" i="1"/>
  <c r="J7384" i="1" s="1"/>
  <c r="H7385" i="1"/>
  <c r="J7385" i="1" s="1"/>
  <c r="H7386" i="1"/>
  <c r="J7386" i="1" s="1"/>
  <c r="H7387" i="1"/>
  <c r="J7387" i="1" s="1"/>
  <c r="H7388" i="1"/>
  <c r="J7388" i="1" s="1"/>
  <c r="H7389" i="1"/>
  <c r="H7390" i="1"/>
  <c r="J7390" i="1" s="1"/>
  <c r="H7391" i="1"/>
  <c r="J7391" i="1" s="1"/>
  <c r="H7392" i="1"/>
  <c r="J7392" i="1" s="1"/>
  <c r="H7393" i="1"/>
  <c r="H7394" i="1"/>
  <c r="J7394" i="1" s="1"/>
  <c r="H7395" i="1"/>
  <c r="J7395" i="1" s="1"/>
  <c r="H7396" i="1"/>
  <c r="J7396" i="1" s="1"/>
  <c r="H7397" i="1"/>
  <c r="J7397" i="1" s="1"/>
  <c r="H7398" i="1"/>
  <c r="H7399" i="1"/>
  <c r="J7399" i="1" s="1"/>
  <c r="H7400" i="1"/>
  <c r="J7400" i="1" s="1"/>
  <c r="H7401" i="1"/>
  <c r="J7401" i="1" s="1"/>
  <c r="H7402" i="1"/>
  <c r="J7402" i="1" s="1"/>
  <c r="H7403" i="1"/>
  <c r="J7403" i="1" s="1"/>
  <c r="H7404" i="1"/>
  <c r="J7404" i="1" s="1"/>
  <c r="H7405" i="1"/>
  <c r="J7405" i="1" s="1"/>
  <c r="H7406" i="1"/>
  <c r="J7406" i="1" s="1"/>
  <c r="H7407" i="1"/>
  <c r="H7408" i="1"/>
  <c r="J7408" i="1" s="1"/>
  <c r="H7409" i="1"/>
  <c r="J7409" i="1" s="1"/>
  <c r="H7410" i="1"/>
  <c r="J7410" i="1" s="1"/>
  <c r="H7411" i="1"/>
  <c r="J7411" i="1" s="1"/>
  <c r="H7412" i="1"/>
  <c r="J7412" i="1" s="1"/>
  <c r="H7413" i="1"/>
  <c r="J7413" i="1" s="1"/>
  <c r="H7414" i="1"/>
  <c r="H7415" i="1"/>
  <c r="J7415" i="1" s="1"/>
  <c r="H7416" i="1"/>
  <c r="H7417" i="1"/>
  <c r="J7417" i="1" s="1"/>
  <c r="H7418" i="1"/>
  <c r="J7418" i="1" s="1"/>
  <c r="H7419" i="1"/>
  <c r="J7419" i="1" s="1"/>
  <c r="H7420" i="1"/>
  <c r="J7420" i="1" s="1"/>
  <c r="H7421" i="1"/>
  <c r="J7421" i="1" s="1"/>
  <c r="H7422" i="1"/>
  <c r="J7422" i="1" s="1"/>
  <c r="H7423" i="1"/>
  <c r="J7423" i="1" s="1"/>
  <c r="H7424" i="1"/>
  <c r="J7424" i="1" s="1"/>
  <c r="H7425" i="1"/>
  <c r="J7425" i="1" s="1"/>
  <c r="H7426" i="1"/>
  <c r="J7426" i="1" s="1"/>
  <c r="H7427" i="1"/>
  <c r="J7427" i="1" s="1"/>
  <c r="H7428" i="1"/>
  <c r="J7428" i="1" s="1"/>
  <c r="H7429" i="1"/>
  <c r="J7429" i="1" s="1"/>
  <c r="H7430" i="1"/>
  <c r="J7430" i="1" s="1"/>
  <c r="H7431" i="1"/>
  <c r="J7431" i="1" s="1"/>
  <c r="H7432" i="1"/>
  <c r="H7433" i="1"/>
  <c r="J7433" i="1" s="1"/>
  <c r="H7434" i="1"/>
  <c r="H7435" i="1"/>
  <c r="J7435" i="1" s="1"/>
  <c r="H7436" i="1"/>
  <c r="J7436" i="1" s="1"/>
  <c r="H7437" i="1"/>
  <c r="J7437" i="1" s="1"/>
  <c r="H7438" i="1"/>
  <c r="J7438" i="1" s="1"/>
  <c r="H7439" i="1"/>
  <c r="J7439" i="1" s="1"/>
  <c r="H7440" i="1"/>
  <c r="J7440" i="1" s="1"/>
  <c r="H7441" i="1"/>
  <c r="J7441" i="1" s="1"/>
  <c r="H7442" i="1"/>
  <c r="J7442" i="1" s="1"/>
  <c r="H7443" i="1"/>
  <c r="J7443" i="1" s="1"/>
  <c r="H7444" i="1"/>
  <c r="J7444" i="1" s="1"/>
  <c r="H7445" i="1"/>
  <c r="J7445" i="1" s="1"/>
  <c r="H7446" i="1"/>
  <c r="J7446" i="1" s="1"/>
  <c r="H7447" i="1"/>
  <c r="J7447" i="1" s="1"/>
  <c r="H7448" i="1"/>
  <c r="J7448" i="1" s="1"/>
  <c r="H7449" i="1"/>
  <c r="J7449" i="1" s="1"/>
  <c r="H7450" i="1"/>
  <c r="J7450" i="1" s="1"/>
  <c r="H7451" i="1"/>
  <c r="J7451" i="1" s="1"/>
  <c r="H7452" i="1"/>
  <c r="H7453" i="1"/>
  <c r="J7453" i="1" s="1"/>
  <c r="H7454" i="1"/>
  <c r="J7454" i="1" s="1"/>
  <c r="H7455" i="1"/>
  <c r="H7456" i="1"/>
  <c r="J7456" i="1" s="1"/>
  <c r="H7457" i="1"/>
  <c r="J7457" i="1" s="1"/>
  <c r="H7458" i="1"/>
  <c r="H7459" i="1"/>
  <c r="J7459" i="1" s="1"/>
  <c r="H7460" i="1"/>
  <c r="J7460" i="1" s="1"/>
  <c r="H7461" i="1"/>
  <c r="H7462" i="1"/>
  <c r="J7462" i="1" s="1"/>
  <c r="H7463" i="1"/>
  <c r="J7463" i="1" s="1"/>
  <c r="H7464" i="1"/>
  <c r="J7464" i="1" s="1"/>
  <c r="H7465" i="1"/>
  <c r="H7466" i="1"/>
  <c r="J7466" i="1" s="1"/>
  <c r="H7467" i="1"/>
  <c r="J7467" i="1" s="1"/>
  <c r="H7468" i="1"/>
  <c r="J7468" i="1" s="1"/>
  <c r="H7469" i="1"/>
  <c r="J7469" i="1" s="1"/>
  <c r="H7470" i="1"/>
  <c r="J7470" i="1" s="1"/>
  <c r="H7471" i="1"/>
  <c r="J7471" i="1" s="1"/>
  <c r="H7472" i="1"/>
  <c r="J7472" i="1" s="1"/>
  <c r="H7473" i="1"/>
  <c r="J7473" i="1" s="1"/>
  <c r="H7474" i="1"/>
  <c r="J7474" i="1" s="1"/>
  <c r="H7475" i="1"/>
  <c r="J7475" i="1" s="1"/>
  <c r="H7476" i="1"/>
  <c r="J7476" i="1" s="1"/>
  <c r="H7477" i="1"/>
  <c r="J7477" i="1" s="1"/>
  <c r="H7478" i="1"/>
  <c r="J7478" i="1" s="1"/>
  <c r="H7479" i="1"/>
  <c r="H7480" i="1"/>
  <c r="J7480" i="1" s="1"/>
  <c r="H7481" i="1"/>
  <c r="J7481" i="1" s="1"/>
  <c r="H7482" i="1"/>
  <c r="H7483" i="1"/>
  <c r="J7483" i="1" s="1"/>
  <c r="H7484" i="1"/>
  <c r="J7484" i="1" s="1"/>
  <c r="H7485" i="1"/>
  <c r="J7485" i="1" s="1"/>
  <c r="H7486" i="1"/>
  <c r="J7486" i="1" s="1"/>
  <c r="H7487" i="1"/>
  <c r="J7487" i="1" s="1"/>
  <c r="H7488" i="1"/>
  <c r="J7488" i="1" s="1"/>
  <c r="H7489" i="1"/>
  <c r="J7489" i="1" s="1"/>
  <c r="H7490" i="1"/>
  <c r="J7490" i="1" s="1"/>
  <c r="H7491" i="1"/>
  <c r="J7491" i="1" s="1"/>
  <c r="H7492" i="1"/>
  <c r="J7492" i="1" s="1"/>
  <c r="H7493" i="1"/>
  <c r="J7493" i="1" s="1"/>
  <c r="H7494" i="1"/>
  <c r="J7494" i="1" s="1"/>
  <c r="H7495" i="1"/>
  <c r="J7495" i="1" s="1"/>
  <c r="H7496" i="1"/>
  <c r="J7496" i="1" s="1"/>
  <c r="H7497" i="1"/>
  <c r="J7497" i="1" s="1"/>
  <c r="H7498" i="1"/>
  <c r="J7498" i="1" s="1"/>
  <c r="H7499" i="1"/>
  <c r="H7500" i="1"/>
  <c r="H7501" i="1"/>
  <c r="H7502" i="1"/>
  <c r="J7502" i="1" s="1"/>
  <c r="H7503" i="1"/>
  <c r="J7503" i="1" s="1"/>
  <c r="H7504" i="1"/>
  <c r="H7505" i="1"/>
  <c r="J7505" i="1" s="1"/>
  <c r="H7506" i="1"/>
  <c r="J7506" i="1" s="1"/>
  <c r="H7507" i="1"/>
  <c r="J7507" i="1" s="1"/>
  <c r="H7508" i="1"/>
  <c r="J7508" i="1" s="1"/>
  <c r="H7509" i="1"/>
  <c r="J7509" i="1" s="1"/>
  <c r="H7510" i="1"/>
  <c r="J7510" i="1" s="1"/>
  <c r="H7511" i="1"/>
  <c r="J7511" i="1" s="1"/>
  <c r="H7512" i="1"/>
  <c r="J7512" i="1" s="1"/>
  <c r="H7513" i="1"/>
  <c r="H7514" i="1"/>
  <c r="J7514" i="1" s="1"/>
  <c r="H7515" i="1"/>
  <c r="H7516" i="1"/>
  <c r="J7516" i="1" s="1"/>
  <c r="H7517" i="1"/>
  <c r="J7517" i="1" s="1"/>
  <c r="H7518" i="1"/>
  <c r="H7519" i="1"/>
  <c r="J7519" i="1" s="1"/>
  <c r="H7520" i="1"/>
  <c r="J7520" i="1" s="1"/>
  <c r="H7521" i="1"/>
  <c r="H7522" i="1"/>
  <c r="J7522" i="1" s="1"/>
  <c r="H7523" i="1"/>
  <c r="H7524" i="1"/>
  <c r="J7524" i="1" s="1"/>
  <c r="H7525" i="1"/>
  <c r="H7526" i="1"/>
  <c r="J7526" i="1" s="1"/>
  <c r="H7527" i="1"/>
  <c r="J7527" i="1" s="1"/>
  <c r="H7528" i="1"/>
  <c r="J7528" i="1" s="1"/>
  <c r="H7529" i="1"/>
  <c r="J7529" i="1" s="1"/>
  <c r="H7530" i="1"/>
  <c r="J7530" i="1" s="1"/>
  <c r="H7531" i="1"/>
  <c r="H7532" i="1"/>
  <c r="J7532" i="1" s="1"/>
  <c r="H7533" i="1"/>
  <c r="H7534" i="1"/>
  <c r="H7535" i="1"/>
  <c r="J7535" i="1" s="1"/>
  <c r="H7536" i="1"/>
  <c r="J7536" i="1" s="1"/>
  <c r="H7537" i="1"/>
  <c r="J7537" i="1" s="1"/>
  <c r="H7538" i="1"/>
  <c r="J7538" i="1" s="1"/>
  <c r="H7539" i="1"/>
  <c r="J7539" i="1" s="1"/>
  <c r="H7540" i="1"/>
  <c r="J7540" i="1" s="1"/>
  <c r="H7541" i="1"/>
  <c r="J7541" i="1" s="1"/>
  <c r="H7542" i="1"/>
  <c r="J7542" i="1" s="1"/>
  <c r="H7543" i="1"/>
  <c r="H7544" i="1"/>
  <c r="J7544" i="1" s="1"/>
  <c r="H7545" i="1"/>
  <c r="J7545" i="1" s="1"/>
  <c r="H7546" i="1"/>
  <c r="J7546" i="1" s="1"/>
  <c r="H7547" i="1"/>
  <c r="H7548" i="1"/>
  <c r="J7548" i="1" s="1"/>
  <c r="H7549" i="1"/>
  <c r="H7550" i="1"/>
  <c r="J7550" i="1" s="1"/>
  <c r="H7551" i="1"/>
  <c r="J7551" i="1" s="1"/>
  <c r="H7552" i="1"/>
  <c r="J7552" i="1" s="1"/>
  <c r="H7553" i="1"/>
  <c r="J7553" i="1" s="1"/>
  <c r="H7554" i="1"/>
  <c r="J7554" i="1" s="1"/>
  <c r="H7555" i="1"/>
  <c r="J7555" i="1" s="1"/>
  <c r="H7556" i="1"/>
  <c r="J7556" i="1" s="1"/>
  <c r="H7557" i="1"/>
  <c r="J7557" i="1" s="1"/>
  <c r="H7558" i="1"/>
  <c r="J7558" i="1" s="1"/>
  <c r="H7559" i="1"/>
  <c r="J7559" i="1" s="1"/>
  <c r="H7560" i="1"/>
  <c r="J7560" i="1" s="1"/>
  <c r="H7561" i="1"/>
  <c r="J7561" i="1" s="1"/>
  <c r="H7562" i="1"/>
  <c r="J7562" i="1" s="1"/>
  <c r="H7563" i="1"/>
  <c r="H7564" i="1"/>
  <c r="J7564" i="1" s="1"/>
  <c r="H7565" i="1"/>
  <c r="J7565" i="1" s="1"/>
  <c r="H7566" i="1"/>
  <c r="J7566" i="1" s="1"/>
  <c r="H7567" i="1"/>
  <c r="J7567" i="1" s="1"/>
  <c r="H7568" i="1"/>
  <c r="J7568" i="1" s="1"/>
  <c r="H7569" i="1"/>
  <c r="H7570" i="1"/>
  <c r="J7570" i="1" s="1"/>
  <c r="H7571" i="1"/>
  <c r="H7572" i="1"/>
  <c r="J7572" i="1" s="1"/>
  <c r="H7573" i="1"/>
  <c r="J7573" i="1" s="1"/>
  <c r="H7574" i="1"/>
  <c r="J7574" i="1" s="1"/>
  <c r="H7575" i="1"/>
  <c r="J7575" i="1" s="1"/>
  <c r="H7576" i="1"/>
  <c r="H7577" i="1"/>
  <c r="J7577" i="1" s="1"/>
  <c r="H7578" i="1"/>
  <c r="J7578" i="1" s="1"/>
  <c r="H7579" i="1"/>
  <c r="J7579" i="1" s="1"/>
  <c r="H7580" i="1"/>
  <c r="J7580" i="1" s="1"/>
  <c r="H7581" i="1"/>
  <c r="J7581" i="1" s="1"/>
  <c r="H7582" i="1"/>
  <c r="H7583" i="1"/>
  <c r="J7583" i="1" s="1"/>
  <c r="H7584" i="1"/>
  <c r="J7584" i="1" s="1"/>
  <c r="H7585" i="1"/>
  <c r="J7585" i="1" s="1"/>
  <c r="H7586" i="1"/>
  <c r="J7586" i="1" s="1"/>
  <c r="H7587" i="1"/>
  <c r="H7588" i="1"/>
  <c r="H7589" i="1"/>
  <c r="H7590" i="1"/>
  <c r="J7590" i="1" s="1"/>
  <c r="H7591" i="1"/>
  <c r="J7591" i="1" s="1"/>
  <c r="H7592" i="1"/>
  <c r="J7592" i="1" s="1"/>
  <c r="H7593" i="1"/>
  <c r="J7593" i="1" s="1"/>
  <c r="H7594" i="1"/>
  <c r="J7594" i="1" s="1"/>
  <c r="H7595" i="1"/>
  <c r="J7595" i="1" s="1"/>
  <c r="H7596" i="1"/>
  <c r="J7596" i="1" s="1"/>
  <c r="H7597" i="1"/>
  <c r="H7598" i="1"/>
  <c r="J7598" i="1" s="1"/>
  <c r="H7599" i="1"/>
  <c r="J7599" i="1" s="1"/>
  <c r="H7600" i="1"/>
  <c r="H7601" i="1"/>
  <c r="J7601" i="1" s="1"/>
  <c r="H7602" i="1"/>
  <c r="H7603" i="1"/>
  <c r="J7603" i="1" s="1"/>
  <c r="H7604" i="1"/>
  <c r="J7604" i="1" s="1"/>
  <c r="H7605" i="1"/>
  <c r="H7606" i="1"/>
  <c r="J7606" i="1" s="1"/>
  <c r="H7607" i="1"/>
  <c r="J7607" i="1" s="1"/>
  <c r="H7608" i="1"/>
  <c r="J7608" i="1" s="1"/>
  <c r="H7609" i="1"/>
  <c r="J7609" i="1" s="1"/>
  <c r="H7610" i="1"/>
  <c r="J7610" i="1" s="1"/>
  <c r="H7611" i="1"/>
  <c r="J7611" i="1" s="1"/>
  <c r="H7612" i="1"/>
  <c r="J7612" i="1" s="1"/>
  <c r="H7613" i="1"/>
  <c r="J7613" i="1" s="1"/>
  <c r="H7614" i="1"/>
  <c r="J7614" i="1" s="1"/>
  <c r="H7615" i="1"/>
  <c r="J7615" i="1" s="1"/>
  <c r="H7616" i="1"/>
  <c r="J7616" i="1" s="1"/>
  <c r="H7617" i="1"/>
  <c r="J7617" i="1" s="1"/>
  <c r="H7618" i="1"/>
  <c r="H7619" i="1"/>
  <c r="J7619" i="1" s="1"/>
  <c r="H7620" i="1"/>
  <c r="J7620" i="1" s="1"/>
  <c r="H7621" i="1"/>
  <c r="H7622" i="1"/>
  <c r="J7622" i="1" s="1"/>
  <c r="H7623" i="1"/>
  <c r="J7623" i="1" s="1"/>
  <c r="H7624" i="1"/>
  <c r="J7624" i="1" s="1"/>
  <c r="H7625" i="1"/>
  <c r="J7625" i="1" s="1"/>
  <c r="H7626" i="1"/>
  <c r="H7627" i="1"/>
  <c r="J7627" i="1" s="1"/>
  <c r="H7628" i="1"/>
  <c r="J7628" i="1" s="1"/>
  <c r="H7629" i="1"/>
  <c r="J7629" i="1" s="1"/>
  <c r="H7630" i="1"/>
  <c r="H7631" i="1"/>
  <c r="J7631" i="1" s="1"/>
  <c r="H7632" i="1"/>
  <c r="H7633" i="1"/>
  <c r="J7633" i="1" s="1"/>
  <c r="H7634" i="1"/>
  <c r="J7634" i="1" s="1"/>
  <c r="H7635" i="1"/>
  <c r="H7636" i="1"/>
  <c r="H7637" i="1"/>
  <c r="J7637" i="1" s="1"/>
  <c r="H7638" i="1"/>
  <c r="J7638" i="1" s="1"/>
  <c r="H7639" i="1"/>
  <c r="J7639" i="1" s="1"/>
  <c r="H7640" i="1"/>
  <c r="J7640" i="1" s="1"/>
  <c r="H7641" i="1"/>
  <c r="J7641" i="1" s="1"/>
  <c r="H7642" i="1"/>
  <c r="J7642" i="1" s="1"/>
  <c r="H7643" i="1"/>
  <c r="H7644" i="1"/>
  <c r="H7645" i="1"/>
  <c r="H7646" i="1"/>
  <c r="J7646" i="1" s="1"/>
  <c r="H7647" i="1"/>
  <c r="J7647" i="1" s="1"/>
  <c r="H7648" i="1"/>
  <c r="H7649" i="1"/>
  <c r="J7649" i="1" s="1"/>
  <c r="H7650" i="1"/>
  <c r="J7650" i="1" s="1"/>
  <c r="H7651" i="1"/>
  <c r="J7651" i="1" s="1"/>
  <c r="H7652" i="1"/>
  <c r="J7652" i="1" s="1"/>
  <c r="H7653" i="1"/>
  <c r="J7653" i="1" s="1"/>
  <c r="H7654" i="1"/>
  <c r="H7655" i="1"/>
  <c r="J7655" i="1" s="1"/>
  <c r="H7656" i="1"/>
  <c r="J7656" i="1" s="1"/>
  <c r="H7657" i="1"/>
  <c r="J7657" i="1" s="1"/>
  <c r="H7658" i="1"/>
  <c r="J7658" i="1" s="1"/>
  <c r="H7659" i="1"/>
  <c r="H7660" i="1"/>
  <c r="H7661" i="1"/>
  <c r="H7662" i="1"/>
  <c r="J7662" i="1" s="1"/>
  <c r="H7663" i="1"/>
  <c r="J7663" i="1" s="1"/>
  <c r="H7664" i="1"/>
  <c r="J7664" i="1" s="1"/>
  <c r="H7665" i="1"/>
  <c r="J7665" i="1" s="1"/>
  <c r="H7666" i="1"/>
  <c r="J7666" i="1" s="1"/>
  <c r="H7667" i="1"/>
  <c r="J7667" i="1" s="1"/>
  <c r="H7668" i="1"/>
  <c r="J7668" i="1" s="1"/>
  <c r="H7669" i="1"/>
  <c r="H7670" i="1"/>
  <c r="J7670" i="1" s="1"/>
  <c r="H7671" i="1"/>
  <c r="J7671" i="1" s="1"/>
  <c r="H7672" i="1"/>
  <c r="H7673" i="1"/>
  <c r="J7673" i="1" s="1"/>
  <c r="H7674" i="1"/>
  <c r="H7675" i="1"/>
  <c r="H7676" i="1"/>
  <c r="J7676" i="1" s="1"/>
  <c r="H7677" i="1"/>
  <c r="H7678" i="1"/>
  <c r="J7678" i="1" s="1"/>
  <c r="H7679" i="1"/>
  <c r="J7679" i="1" s="1"/>
  <c r="H7680" i="1"/>
  <c r="J7680" i="1" s="1"/>
  <c r="H7681" i="1"/>
  <c r="J7681" i="1" s="1"/>
  <c r="H7682" i="1"/>
  <c r="J7682" i="1" s="1"/>
  <c r="H7683" i="1"/>
  <c r="J7683" i="1" s="1"/>
  <c r="H7684" i="1"/>
  <c r="J7684" i="1" s="1"/>
  <c r="H7685" i="1"/>
  <c r="H7686" i="1"/>
  <c r="J7686" i="1" s="1"/>
  <c r="H7687" i="1"/>
  <c r="H7688" i="1"/>
  <c r="J7688" i="1" s="1"/>
  <c r="H7689" i="1"/>
  <c r="J7689" i="1" s="1"/>
  <c r="H7690" i="1"/>
  <c r="J7690" i="1" s="1"/>
  <c r="H7691" i="1"/>
  <c r="J7691" i="1" s="1"/>
  <c r="H7692" i="1"/>
  <c r="J7692" i="1" s="1"/>
  <c r="H7693" i="1"/>
  <c r="J7693" i="1" s="1"/>
  <c r="H7694" i="1"/>
  <c r="J7694" i="1" s="1"/>
  <c r="H7695" i="1"/>
  <c r="J7695" i="1" s="1"/>
  <c r="H7696" i="1"/>
  <c r="J7696" i="1" s="1"/>
  <c r="H7697" i="1"/>
  <c r="J7697" i="1" s="1"/>
  <c r="H7698" i="1"/>
  <c r="J7698" i="1" s="1"/>
  <c r="H7699" i="1"/>
  <c r="J7699" i="1" s="1"/>
  <c r="H7700" i="1"/>
  <c r="J7700" i="1" s="1"/>
  <c r="H7701" i="1"/>
  <c r="J7701" i="1" s="1"/>
  <c r="H7702" i="1"/>
  <c r="J7702" i="1" s="1"/>
  <c r="H7703" i="1"/>
  <c r="J7703" i="1" s="1"/>
  <c r="H7704" i="1"/>
  <c r="H7705" i="1"/>
  <c r="J7705" i="1" s="1"/>
  <c r="H7706" i="1"/>
  <c r="J7706" i="1" s="1"/>
  <c r="H7707" i="1"/>
  <c r="J7707" i="1" s="1"/>
  <c r="H7708" i="1"/>
  <c r="J7708" i="1" s="1"/>
  <c r="H7709" i="1"/>
  <c r="J7709" i="1" s="1"/>
  <c r="H7710" i="1"/>
  <c r="J7710" i="1" s="1"/>
  <c r="H7711" i="1"/>
  <c r="J7711" i="1" s="1"/>
  <c r="H7712" i="1"/>
  <c r="J7712" i="1" s="1"/>
  <c r="H7713" i="1"/>
  <c r="H7714" i="1"/>
  <c r="J7714" i="1" s="1"/>
  <c r="H7715" i="1"/>
  <c r="H7716" i="1"/>
  <c r="H7717" i="1"/>
  <c r="J7717" i="1" s="1"/>
  <c r="H7718" i="1"/>
  <c r="J7718" i="1" s="1"/>
  <c r="H7719" i="1"/>
  <c r="J7719" i="1" s="1"/>
  <c r="H7720" i="1"/>
  <c r="H7721" i="1"/>
  <c r="J7721" i="1" s="1"/>
  <c r="H7722" i="1"/>
  <c r="J7722" i="1" s="1"/>
  <c r="H7723" i="1"/>
  <c r="J7723" i="1" s="1"/>
  <c r="H7724" i="1"/>
  <c r="J7724" i="1" s="1"/>
  <c r="H7725" i="1"/>
  <c r="J7725" i="1" s="1"/>
  <c r="H7726" i="1"/>
  <c r="J7726" i="1" s="1"/>
  <c r="H7727" i="1"/>
  <c r="J7727" i="1" s="1"/>
  <c r="H7728" i="1"/>
  <c r="J7728" i="1" s="1"/>
  <c r="H7729" i="1"/>
  <c r="H7730" i="1"/>
  <c r="J7730" i="1" s="1"/>
  <c r="H7731" i="1"/>
  <c r="H7732" i="1"/>
  <c r="H7733" i="1"/>
  <c r="J7733" i="1" s="1"/>
  <c r="H7734" i="1"/>
  <c r="J7734" i="1" s="1"/>
  <c r="H7735" i="1"/>
  <c r="J7735" i="1" s="1"/>
  <c r="H7736" i="1"/>
  <c r="J7736" i="1" s="1"/>
  <c r="H7737" i="1"/>
  <c r="J7737" i="1" s="1"/>
  <c r="H7738" i="1"/>
  <c r="J7738" i="1" s="1"/>
  <c r="H7739" i="1"/>
  <c r="H7740" i="1"/>
  <c r="J7740" i="1" s="1"/>
  <c r="H7741" i="1"/>
  <c r="H7742" i="1"/>
  <c r="J7742" i="1" s="1"/>
  <c r="H7743" i="1"/>
  <c r="J7743" i="1" s="1"/>
  <c r="H7744" i="1"/>
  <c r="J7744" i="1" s="1"/>
  <c r="H7745" i="1"/>
  <c r="H7746" i="1"/>
  <c r="J7746" i="1" s="1"/>
  <c r="H7747" i="1"/>
  <c r="J7747" i="1" s="1"/>
  <c r="H7748" i="1"/>
  <c r="J7748" i="1" s="1"/>
  <c r="H7749" i="1"/>
  <c r="H7750" i="1"/>
  <c r="J7750" i="1" s="1"/>
  <c r="H7751" i="1"/>
  <c r="J7751" i="1" s="1"/>
  <c r="H7752" i="1"/>
  <c r="H7753" i="1"/>
  <c r="J7753" i="1" s="1"/>
  <c r="H7754" i="1"/>
  <c r="J7754" i="1" s="1"/>
  <c r="H7755" i="1"/>
  <c r="J7755" i="1" s="1"/>
  <c r="H7756" i="1"/>
  <c r="J7756" i="1" s="1"/>
  <c r="H7757" i="1"/>
  <c r="J7757" i="1" s="1"/>
  <c r="H7758" i="1"/>
  <c r="J7758" i="1" s="1"/>
  <c r="H7759" i="1"/>
  <c r="H7760" i="1"/>
  <c r="J7760" i="1" s="1"/>
  <c r="H7761" i="1"/>
  <c r="H7762" i="1"/>
  <c r="J7762" i="1" s="1"/>
  <c r="H7763" i="1"/>
  <c r="J7763" i="1" s="1"/>
  <c r="H7764" i="1"/>
  <c r="J7764" i="1" s="1"/>
  <c r="H7765" i="1"/>
  <c r="J7765" i="1" s="1"/>
  <c r="H7766" i="1"/>
  <c r="J7766" i="1" s="1"/>
  <c r="H7767" i="1"/>
  <c r="J7767" i="1" s="1"/>
  <c r="H7768" i="1"/>
  <c r="J7768" i="1" s="1"/>
  <c r="H7769" i="1"/>
  <c r="J7769" i="1" s="1"/>
  <c r="H7770" i="1"/>
  <c r="H7771" i="1"/>
  <c r="H7772" i="1"/>
  <c r="J7772" i="1" s="1"/>
  <c r="H7773" i="1"/>
  <c r="J7773" i="1" s="1"/>
  <c r="H7774" i="1"/>
  <c r="J7774" i="1" s="1"/>
  <c r="H7775" i="1"/>
  <c r="H7776" i="1"/>
  <c r="J7776" i="1" s="1"/>
  <c r="H7777" i="1"/>
  <c r="J7777" i="1" s="1"/>
  <c r="H7778" i="1"/>
  <c r="J7778" i="1" s="1"/>
  <c r="H7779" i="1"/>
  <c r="H7780" i="1"/>
  <c r="J7780" i="1" s="1"/>
  <c r="H7781" i="1"/>
  <c r="J7781" i="1" s="1"/>
  <c r="H7782" i="1"/>
  <c r="J7782" i="1" s="1"/>
  <c r="H7783" i="1"/>
  <c r="J7783" i="1" s="1"/>
  <c r="H7784" i="1"/>
  <c r="J7784" i="1" s="1"/>
  <c r="H7785" i="1"/>
  <c r="J7785" i="1" s="1"/>
  <c r="H7786" i="1"/>
  <c r="J7786" i="1" s="1"/>
  <c r="H7787" i="1"/>
  <c r="J7787" i="1" s="1"/>
  <c r="H7788" i="1"/>
  <c r="J7788" i="1" s="1"/>
  <c r="H7789" i="1"/>
  <c r="H7790" i="1"/>
  <c r="J7790" i="1" s="1"/>
  <c r="H7791" i="1"/>
  <c r="H7792" i="1"/>
  <c r="J7792" i="1" s="1"/>
  <c r="H7793" i="1"/>
  <c r="J7793" i="1" s="1"/>
  <c r="H7794" i="1"/>
  <c r="J7794" i="1" s="1"/>
  <c r="H7795" i="1"/>
  <c r="J7795" i="1" s="1"/>
  <c r="H7796" i="1"/>
  <c r="J7796" i="1" s="1"/>
  <c r="H7797" i="1"/>
  <c r="J7797" i="1" s="1"/>
  <c r="H7798" i="1"/>
  <c r="H7799" i="1"/>
  <c r="J7799" i="1" s="1"/>
  <c r="H7800" i="1"/>
  <c r="H7801" i="1"/>
  <c r="J7801" i="1" s="1"/>
  <c r="H7802" i="1"/>
  <c r="J7802" i="1" s="1"/>
  <c r="H7803" i="1"/>
  <c r="J7803" i="1" s="1"/>
  <c r="H7804" i="1"/>
  <c r="J7804" i="1" s="1"/>
  <c r="H7805" i="1"/>
  <c r="H7806" i="1"/>
  <c r="J7806" i="1" s="1"/>
  <c r="H7807" i="1"/>
  <c r="J7807" i="1" s="1"/>
  <c r="H7808" i="1"/>
  <c r="J7808" i="1" s="1"/>
  <c r="H7809" i="1"/>
  <c r="J7809" i="1" s="1"/>
  <c r="H7810" i="1"/>
  <c r="J7810" i="1" s="1"/>
  <c r="H7811" i="1"/>
  <c r="J7811" i="1" s="1"/>
  <c r="H7812" i="1"/>
  <c r="J7812" i="1" s="1"/>
  <c r="H7813" i="1"/>
  <c r="H7814" i="1"/>
  <c r="J7814" i="1" s="1"/>
  <c r="H7815" i="1"/>
  <c r="J7815" i="1" s="1"/>
  <c r="H7816" i="1"/>
  <c r="J7816" i="1" s="1"/>
  <c r="H7817" i="1"/>
  <c r="J7817" i="1" s="1"/>
  <c r="H7818" i="1"/>
  <c r="H7819" i="1"/>
  <c r="J7819" i="1" s="1"/>
  <c r="H7820" i="1"/>
  <c r="J7820" i="1" s="1"/>
  <c r="H7821" i="1"/>
  <c r="J7821" i="1" s="1"/>
  <c r="H7822" i="1"/>
  <c r="H7823" i="1"/>
  <c r="J7823" i="1" s="1"/>
  <c r="H7824" i="1"/>
  <c r="H7825" i="1"/>
  <c r="J7825" i="1" s="1"/>
  <c r="H7826" i="1"/>
  <c r="J7826" i="1" s="1"/>
  <c r="H7827" i="1"/>
  <c r="J7827" i="1" s="1"/>
  <c r="H7828" i="1"/>
  <c r="J7828" i="1" s="1"/>
  <c r="H7829" i="1"/>
  <c r="J7829" i="1" s="1"/>
  <c r="H7830" i="1"/>
  <c r="J7830" i="1" s="1"/>
  <c r="H7831" i="1"/>
  <c r="H7832" i="1"/>
  <c r="J7832" i="1" s="1"/>
  <c r="H7833" i="1"/>
  <c r="J7833" i="1" s="1"/>
  <c r="H7834" i="1"/>
  <c r="J7834" i="1" s="1"/>
  <c r="H7835" i="1"/>
  <c r="H7836" i="1"/>
  <c r="J7836" i="1" s="1"/>
  <c r="H7837" i="1"/>
  <c r="J7837" i="1" s="1"/>
  <c r="H7838" i="1"/>
  <c r="J7838" i="1" s="1"/>
  <c r="H7839" i="1"/>
  <c r="J7839" i="1" s="1"/>
  <c r="H7840" i="1"/>
  <c r="J7840" i="1" s="1"/>
  <c r="H7841" i="1"/>
  <c r="J7841" i="1" s="1"/>
  <c r="H7842" i="1"/>
  <c r="J7842" i="1" s="1"/>
  <c r="H7843" i="1"/>
  <c r="J7843" i="1" s="1"/>
  <c r="H7844" i="1"/>
  <c r="J7844" i="1" s="1"/>
  <c r="H7845" i="1"/>
  <c r="J7845" i="1" s="1"/>
  <c r="H7846" i="1"/>
  <c r="H7847" i="1"/>
  <c r="H7848" i="1"/>
  <c r="J7848" i="1" s="1"/>
  <c r="H7849" i="1"/>
  <c r="J7849" i="1" s="1"/>
  <c r="H7850" i="1"/>
  <c r="J7850" i="1" s="1"/>
  <c r="H7851" i="1"/>
  <c r="J7851" i="1" s="1"/>
  <c r="H7852" i="1"/>
  <c r="J7852" i="1" s="1"/>
  <c r="H7853" i="1"/>
  <c r="J7853" i="1" s="1"/>
  <c r="H7854" i="1"/>
  <c r="J7854" i="1" s="1"/>
  <c r="H7855" i="1"/>
  <c r="J7855" i="1" s="1"/>
  <c r="H7856" i="1"/>
  <c r="J7856" i="1" s="1"/>
  <c r="H7857" i="1"/>
  <c r="H7858" i="1"/>
  <c r="J7858" i="1" s="1"/>
  <c r="H7859" i="1"/>
  <c r="J7859" i="1" s="1"/>
  <c r="H7860" i="1"/>
  <c r="J7860" i="1" s="1"/>
  <c r="H7861" i="1"/>
  <c r="H7862" i="1"/>
  <c r="J7862" i="1" s="1"/>
  <c r="H7863" i="1"/>
  <c r="J7863" i="1" s="1"/>
  <c r="H7864" i="1"/>
  <c r="H7865" i="1"/>
  <c r="J7865" i="1" s="1"/>
  <c r="H7866" i="1"/>
  <c r="J7866" i="1" s="1"/>
  <c r="H7867" i="1"/>
  <c r="J7867" i="1" s="1"/>
  <c r="H7868" i="1"/>
  <c r="J7868" i="1" s="1"/>
  <c r="H7869" i="1"/>
  <c r="J7869" i="1" s="1"/>
  <c r="H7870" i="1"/>
  <c r="H7871" i="1"/>
  <c r="J7871" i="1" s="1"/>
  <c r="H7872" i="1"/>
  <c r="H7873" i="1"/>
  <c r="H7874" i="1"/>
  <c r="J7874" i="1" s="1"/>
  <c r="H7875" i="1"/>
  <c r="H7876" i="1"/>
  <c r="J7876" i="1" s="1"/>
  <c r="H7877" i="1"/>
  <c r="H7878" i="1"/>
  <c r="J7878" i="1" s="1"/>
  <c r="H7879" i="1"/>
  <c r="J7879" i="1" s="1"/>
  <c r="H7880" i="1"/>
  <c r="J7880" i="1" s="1"/>
  <c r="H7881" i="1"/>
  <c r="H7882" i="1"/>
  <c r="J7882" i="1" s="1"/>
  <c r="H7883" i="1"/>
  <c r="J7883" i="1" s="1"/>
  <c r="H7884" i="1"/>
  <c r="J7884" i="1" s="1"/>
  <c r="H7885" i="1"/>
  <c r="J7885" i="1" s="1"/>
  <c r="H7886" i="1"/>
  <c r="J7886" i="1" s="1"/>
  <c r="H7887" i="1"/>
  <c r="J7887" i="1" s="1"/>
  <c r="H7888" i="1"/>
  <c r="J7888" i="1" s="1"/>
  <c r="H7889" i="1"/>
  <c r="J7889" i="1" s="1"/>
  <c r="H7890" i="1"/>
  <c r="H7891" i="1"/>
  <c r="J7891" i="1" s="1"/>
  <c r="H7892" i="1"/>
  <c r="J7892" i="1" s="1"/>
  <c r="H7893" i="1"/>
  <c r="J7893" i="1" s="1"/>
  <c r="H7894" i="1"/>
  <c r="H7895" i="1"/>
  <c r="J7895" i="1" s="1"/>
  <c r="H7896" i="1"/>
  <c r="H7897" i="1"/>
  <c r="J7897" i="1" s="1"/>
  <c r="H7898" i="1"/>
  <c r="J7898" i="1" s="1"/>
  <c r="H7899" i="1"/>
  <c r="J7899" i="1" s="1"/>
  <c r="H7900" i="1"/>
  <c r="J7900" i="1" s="1"/>
  <c r="H7901" i="1"/>
  <c r="J7901" i="1" s="1"/>
  <c r="H7902" i="1"/>
  <c r="J7902" i="1" s="1"/>
  <c r="H7903" i="1"/>
  <c r="J7903" i="1" s="1"/>
  <c r="H7904" i="1"/>
  <c r="J7904" i="1" s="1"/>
  <c r="H7905" i="1"/>
  <c r="J7905" i="1" s="1"/>
  <c r="H7906" i="1"/>
  <c r="J7906" i="1" s="1"/>
  <c r="H7907" i="1"/>
  <c r="H7908" i="1"/>
  <c r="J7908" i="1" s="1"/>
  <c r="H7909" i="1"/>
  <c r="J7909" i="1" s="1"/>
  <c r="H7910" i="1"/>
  <c r="J7910" i="1" s="1"/>
  <c r="H7911" i="1"/>
  <c r="J7911" i="1" s="1"/>
  <c r="H7912" i="1"/>
  <c r="J7912" i="1" s="1"/>
  <c r="H7913" i="1"/>
  <c r="J7913" i="1" s="1"/>
  <c r="H7914" i="1"/>
  <c r="J7914" i="1" s="1"/>
  <c r="H7915" i="1"/>
  <c r="J7915" i="1" s="1"/>
  <c r="H7916" i="1"/>
  <c r="J7916" i="1" s="1"/>
  <c r="H7917" i="1"/>
  <c r="J7917" i="1" s="1"/>
  <c r="H7918" i="1"/>
  <c r="J7918" i="1" s="1"/>
  <c r="H7919" i="1"/>
  <c r="J7919" i="1" s="1"/>
  <c r="H7920" i="1"/>
  <c r="J7920" i="1" s="1"/>
  <c r="H7921" i="1"/>
  <c r="J7921" i="1" s="1"/>
  <c r="H7922" i="1"/>
  <c r="J7922" i="1" s="1"/>
  <c r="H7923" i="1"/>
  <c r="J7923" i="1" s="1"/>
  <c r="H7924" i="1"/>
  <c r="J7924" i="1" s="1"/>
  <c r="H7925" i="1"/>
  <c r="J7925" i="1" s="1"/>
  <c r="H7926" i="1"/>
  <c r="J7926" i="1" s="1"/>
  <c r="H7927" i="1"/>
  <c r="J7927" i="1" s="1"/>
  <c r="H7928" i="1"/>
  <c r="J7928" i="1" s="1"/>
  <c r="H7929" i="1"/>
  <c r="J7929" i="1" s="1"/>
  <c r="H7930" i="1"/>
  <c r="J7930" i="1" s="1"/>
  <c r="H7931" i="1"/>
  <c r="H7932" i="1"/>
  <c r="J7932" i="1" s="1"/>
  <c r="H7933" i="1"/>
  <c r="J7933" i="1" s="1"/>
  <c r="H7934" i="1"/>
  <c r="J7934" i="1" s="1"/>
  <c r="H7935" i="1"/>
  <c r="J7935" i="1" s="1"/>
  <c r="H7936" i="1"/>
  <c r="J7936" i="1" s="1"/>
  <c r="H7937" i="1"/>
  <c r="J7937" i="1" s="1"/>
  <c r="H7938" i="1"/>
  <c r="J7938" i="1" s="1"/>
  <c r="H7939" i="1"/>
  <c r="J7939" i="1" s="1"/>
  <c r="H7940" i="1"/>
  <c r="J7940" i="1" s="1"/>
  <c r="H7941" i="1"/>
  <c r="J7941" i="1" s="1"/>
  <c r="H7942" i="1"/>
  <c r="H7943" i="1"/>
  <c r="J7943" i="1" s="1"/>
  <c r="H7944" i="1"/>
  <c r="H7945" i="1"/>
  <c r="H7946" i="1"/>
  <c r="J7946" i="1" s="1"/>
  <c r="H7947" i="1"/>
  <c r="J7947" i="1" s="1"/>
  <c r="H7948" i="1"/>
  <c r="H7949" i="1"/>
  <c r="J7949" i="1" s="1"/>
  <c r="H7950" i="1"/>
  <c r="J7950" i="1" s="1"/>
  <c r="H7951" i="1"/>
  <c r="J7951" i="1" s="1"/>
  <c r="H7952" i="1"/>
  <c r="J7952" i="1" s="1"/>
  <c r="H7953" i="1"/>
  <c r="H7954" i="1"/>
  <c r="J7954" i="1" s="1"/>
  <c r="H7955" i="1"/>
  <c r="J7955" i="1" s="1"/>
  <c r="H7956" i="1"/>
  <c r="H7957" i="1"/>
  <c r="J7957" i="1" s="1"/>
  <c r="H7958" i="1"/>
  <c r="J7958" i="1" s="1"/>
  <c r="H7959" i="1"/>
  <c r="J7959" i="1" s="1"/>
  <c r="H7960" i="1"/>
  <c r="J7960" i="1" s="1"/>
  <c r="H7961" i="1"/>
  <c r="J7961" i="1" s="1"/>
  <c r="H7962" i="1"/>
  <c r="J7962" i="1" s="1"/>
  <c r="H7963" i="1"/>
  <c r="J7963" i="1" s="1"/>
  <c r="H7964" i="1"/>
  <c r="J7964" i="1" s="1"/>
  <c r="H7965" i="1"/>
  <c r="H7966" i="1"/>
  <c r="J7966" i="1" s="1"/>
  <c r="H7967" i="1"/>
  <c r="J7967" i="1" s="1"/>
  <c r="H7968" i="1"/>
  <c r="J7968" i="1" s="1"/>
  <c r="H7969" i="1"/>
  <c r="J7969" i="1" s="1"/>
  <c r="H7970" i="1"/>
  <c r="J7970" i="1" s="1"/>
  <c r="H7971" i="1"/>
  <c r="J7971" i="1" s="1"/>
  <c r="H7972" i="1"/>
  <c r="J7972" i="1" s="1"/>
  <c r="H7973" i="1"/>
  <c r="J7973" i="1" s="1"/>
  <c r="H7974" i="1"/>
  <c r="J7974" i="1" s="1"/>
  <c r="H7975" i="1"/>
  <c r="H7976" i="1"/>
  <c r="J7976" i="1" s="1"/>
  <c r="H7977" i="1"/>
  <c r="J7977" i="1" s="1"/>
  <c r="H7978" i="1"/>
  <c r="H7979" i="1"/>
  <c r="J7979" i="1" s="1"/>
  <c r="H7980" i="1"/>
  <c r="J7980" i="1" s="1"/>
  <c r="H7981" i="1"/>
  <c r="J7981" i="1" s="1"/>
  <c r="H7982" i="1"/>
  <c r="J7982" i="1" s="1"/>
  <c r="H7983" i="1"/>
  <c r="H7984" i="1"/>
  <c r="J7984" i="1" s="1"/>
  <c r="H7985" i="1"/>
  <c r="J7985" i="1" s="1"/>
  <c r="H7986" i="1"/>
  <c r="J7986" i="1" s="1"/>
  <c r="H7987" i="1"/>
  <c r="J7987" i="1" s="1"/>
  <c r="H7988" i="1"/>
  <c r="J7988" i="1" s="1"/>
  <c r="H7989" i="1"/>
  <c r="J7989" i="1" s="1"/>
  <c r="H7990" i="1"/>
  <c r="J7990" i="1" s="1"/>
  <c r="H7991" i="1"/>
  <c r="J7991" i="1" s="1"/>
  <c r="H7992" i="1"/>
  <c r="J7992" i="1" s="1"/>
  <c r="H7993" i="1"/>
  <c r="H7994" i="1"/>
  <c r="H7995" i="1"/>
  <c r="H7996" i="1"/>
  <c r="J7996" i="1" s="1"/>
  <c r="H7997" i="1"/>
  <c r="J7997" i="1" s="1"/>
  <c r="H7998" i="1"/>
  <c r="J7998" i="1" s="1"/>
  <c r="H7999" i="1"/>
  <c r="J7999" i="1" s="1"/>
  <c r="H8000" i="1"/>
  <c r="J8000" i="1" s="1"/>
  <c r="H8001" i="1"/>
  <c r="J8001" i="1" s="1"/>
  <c r="H8002" i="1"/>
  <c r="J8002" i="1" s="1"/>
  <c r="H8003" i="1"/>
  <c r="H8004" i="1"/>
  <c r="J8004" i="1" s="1"/>
  <c r="H8005" i="1"/>
  <c r="J8005" i="1" s="1"/>
  <c r="H8006" i="1"/>
  <c r="J8006" i="1" s="1"/>
  <c r="H8007" i="1"/>
  <c r="J8007" i="1" s="1"/>
  <c r="H8008" i="1"/>
  <c r="J8008" i="1" s="1"/>
  <c r="H8009" i="1"/>
  <c r="J8009" i="1" s="1"/>
  <c r="H8010" i="1"/>
  <c r="J8010" i="1" s="1"/>
  <c r="H8011" i="1"/>
  <c r="J8011" i="1" s="1"/>
  <c r="H8012" i="1"/>
  <c r="J8012" i="1" s="1"/>
  <c r="H8013" i="1"/>
  <c r="J8013" i="1" s="1"/>
  <c r="H8014" i="1"/>
  <c r="J8014" i="1" s="1"/>
  <c r="H8015" i="1"/>
  <c r="J8015" i="1" s="1"/>
  <c r="H8016" i="1"/>
  <c r="J8016" i="1" s="1"/>
  <c r="H8017" i="1"/>
  <c r="J8017" i="1" s="1"/>
  <c r="H8018" i="1"/>
  <c r="J8018" i="1" s="1"/>
  <c r="H8019" i="1"/>
  <c r="H8020" i="1"/>
  <c r="J8020" i="1" s="1"/>
  <c r="H8021" i="1"/>
  <c r="J8021" i="1" s="1"/>
  <c r="H8022" i="1"/>
  <c r="J8022" i="1" s="1"/>
  <c r="H8023" i="1"/>
  <c r="J8023" i="1" s="1"/>
  <c r="H8024" i="1"/>
  <c r="J8024" i="1" s="1"/>
  <c r="H8025" i="1"/>
  <c r="J8025" i="1" s="1"/>
  <c r="H8026" i="1"/>
  <c r="J8026" i="1" s="1"/>
  <c r="H8027" i="1"/>
  <c r="J8027" i="1" s="1"/>
  <c r="H8028" i="1"/>
  <c r="H8029" i="1"/>
  <c r="H8030" i="1"/>
  <c r="J8030" i="1" s="1"/>
  <c r="H8031" i="1"/>
  <c r="J8031" i="1" s="1"/>
  <c r="H8032" i="1"/>
  <c r="J8032" i="1" s="1"/>
  <c r="H8033" i="1"/>
  <c r="J8033" i="1" s="1"/>
  <c r="H8034" i="1"/>
  <c r="J8034" i="1" s="1"/>
  <c r="H8035" i="1"/>
  <c r="J8035" i="1" s="1"/>
  <c r="H8036" i="1"/>
  <c r="J8036" i="1" s="1"/>
  <c r="H8037" i="1"/>
  <c r="H8038" i="1"/>
  <c r="J8038" i="1" s="1"/>
  <c r="H8039" i="1"/>
  <c r="H8040" i="1"/>
  <c r="H8041" i="1"/>
  <c r="J8041" i="1" s="1"/>
  <c r="H8042" i="1"/>
  <c r="J8042" i="1" s="1"/>
  <c r="H8043" i="1"/>
  <c r="J8043" i="1" s="1"/>
  <c r="H8044" i="1"/>
  <c r="J8044" i="1" s="1"/>
  <c r="H8045" i="1"/>
  <c r="J8045" i="1" s="1"/>
  <c r="H8046" i="1"/>
  <c r="J8046" i="1" s="1"/>
  <c r="H8047" i="1"/>
  <c r="J8047" i="1" s="1"/>
  <c r="H8048" i="1"/>
  <c r="J8048" i="1" s="1"/>
  <c r="H8049" i="1"/>
  <c r="J8049" i="1" s="1"/>
  <c r="H8050" i="1"/>
  <c r="J8050" i="1" s="1"/>
  <c r="H8051" i="1"/>
  <c r="J8051" i="1" s="1"/>
  <c r="H8052" i="1"/>
  <c r="H8053" i="1"/>
  <c r="J8053" i="1" s="1"/>
  <c r="H8054" i="1"/>
  <c r="H8055" i="1"/>
  <c r="J8055" i="1" s="1"/>
  <c r="H8056" i="1"/>
  <c r="J8056" i="1" s="1"/>
  <c r="H8057" i="1"/>
  <c r="J8057" i="1" s="1"/>
  <c r="H8058" i="1"/>
  <c r="J8058" i="1" s="1"/>
  <c r="H8059" i="1"/>
  <c r="J8059" i="1" s="1"/>
  <c r="H8060" i="1"/>
  <c r="J8060" i="1" s="1"/>
  <c r="H8061" i="1"/>
  <c r="J8061" i="1" s="1"/>
  <c r="H8062" i="1"/>
  <c r="J8062" i="1" s="1"/>
  <c r="H8063" i="1"/>
  <c r="J8063" i="1" s="1"/>
  <c r="H8064" i="1"/>
  <c r="J8064" i="1" s="1"/>
  <c r="H8065" i="1"/>
  <c r="H8066" i="1"/>
  <c r="H8067" i="1"/>
  <c r="H8068" i="1"/>
  <c r="J8068" i="1" s="1"/>
  <c r="H8069" i="1"/>
  <c r="J8069" i="1" s="1"/>
  <c r="H8070" i="1"/>
  <c r="J8070" i="1" s="1"/>
  <c r="H8071" i="1"/>
  <c r="J8071" i="1" s="1"/>
  <c r="H8072" i="1"/>
  <c r="J8072" i="1" s="1"/>
  <c r="H8073" i="1"/>
  <c r="J8073" i="1" s="1"/>
  <c r="H8074" i="1"/>
  <c r="J8074" i="1" s="1"/>
  <c r="H8075" i="1"/>
  <c r="H8076" i="1"/>
  <c r="J8076" i="1" s="1"/>
  <c r="H8077" i="1"/>
  <c r="J8077" i="1" s="1"/>
  <c r="H8078" i="1"/>
  <c r="J8078" i="1" s="1"/>
  <c r="H8079" i="1"/>
  <c r="J8079" i="1" s="1"/>
  <c r="H8080" i="1"/>
  <c r="J8080" i="1" s="1"/>
  <c r="H8081" i="1"/>
  <c r="J8081" i="1" s="1"/>
  <c r="H8082" i="1"/>
  <c r="J8082" i="1" s="1"/>
  <c r="H8083" i="1"/>
  <c r="J8083" i="1" s="1"/>
  <c r="H8084" i="1"/>
  <c r="J8084" i="1" s="1"/>
  <c r="H8085" i="1"/>
  <c r="J8085" i="1" s="1"/>
  <c r="H8086" i="1"/>
  <c r="J8086" i="1" s="1"/>
  <c r="H8087" i="1"/>
  <c r="J8087" i="1" s="1"/>
  <c r="H8088" i="1"/>
  <c r="J8088" i="1" s="1"/>
  <c r="H8089" i="1"/>
  <c r="J8089" i="1" s="1"/>
  <c r="H8090" i="1"/>
  <c r="J8090" i="1" s="1"/>
  <c r="H8091" i="1"/>
  <c r="H8092" i="1"/>
  <c r="J8092" i="1" s="1"/>
  <c r="H8093" i="1"/>
  <c r="J8093" i="1" s="1"/>
  <c r="H8094" i="1"/>
  <c r="J8094" i="1" s="1"/>
  <c r="H8095" i="1"/>
  <c r="J8095" i="1" s="1"/>
  <c r="H8096" i="1"/>
  <c r="J8096" i="1" s="1"/>
  <c r="H8097" i="1"/>
  <c r="J8097" i="1" s="1"/>
  <c r="H8098" i="1"/>
  <c r="J8098" i="1" s="1"/>
  <c r="H8099" i="1"/>
  <c r="J8099" i="1" s="1"/>
  <c r="H8100" i="1"/>
  <c r="H8101" i="1"/>
  <c r="J8101" i="1" s="1"/>
  <c r="H8102" i="1"/>
  <c r="H8103" i="1"/>
  <c r="J8103" i="1" s="1"/>
  <c r="H8104" i="1"/>
  <c r="J8104" i="1" s="1"/>
  <c r="H8105" i="1"/>
  <c r="J8105" i="1" s="1"/>
  <c r="H8106" i="1"/>
  <c r="J8106" i="1" s="1"/>
  <c r="H8107" i="1"/>
  <c r="J8107" i="1" s="1"/>
  <c r="H8108" i="1"/>
  <c r="J8108" i="1" s="1"/>
  <c r="H8109" i="1"/>
  <c r="H8110" i="1"/>
  <c r="J8110" i="1" s="1"/>
  <c r="H8111" i="1"/>
  <c r="J8111" i="1" s="1"/>
  <c r="H8112" i="1"/>
  <c r="H8113" i="1"/>
  <c r="H8114" i="1"/>
  <c r="J8114" i="1" s="1"/>
  <c r="H8115" i="1"/>
  <c r="H8116" i="1"/>
  <c r="J8116" i="1" s="1"/>
  <c r="H8117" i="1"/>
  <c r="J8117" i="1" s="1"/>
  <c r="H8118" i="1"/>
  <c r="J8118" i="1" s="1"/>
  <c r="H8119" i="1"/>
  <c r="J8119" i="1" s="1"/>
  <c r="H8120" i="1"/>
  <c r="J8120" i="1" s="1"/>
  <c r="H8121" i="1"/>
  <c r="J8121" i="1" s="1"/>
  <c r="H8122" i="1"/>
  <c r="J8122" i="1" s="1"/>
  <c r="H8123" i="1"/>
  <c r="J8123" i="1" s="1"/>
  <c r="H8124" i="1"/>
  <c r="J8124" i="1" s="1"/>
  <c r="H8125" i="1"/>
  <c r="H8126" i="1"/>
  <c r="J8126" i="1" s="1"/>
  <c r="H8127" i="1"/>
  <c r="J8127" i="1" s="1"/>
  <c r="H8128" i="1"/>
  <c r="J8128" i="1" s="1"/>
  <c r="H8129" i="1"/>
  <c r="J8129" i="1" s="1"/>
  <c r="H8130" i="1"/>
  <c r="J8130" i="1" s="1"/>
  <c r="H8131" i="1"/>
  <c r="J8131" i="1" s="1"/>
  <c r="H8132" i="1"/>
  <c r="J8132" i="1" s="1"/>
  <c r="H8133" i="1"/>
  <c r="J8133" i="1" s="1"/>
  <c r="H8134" i="1"/>
  <c r="J8134" i="1" s="1"/>
  <c r="H8135" i="1"/>
  <c r="J8135" i="1" s="1"/>
  <c r="H8136" i="1"/>
  <c r="J8136" i="1" s="1"/>
  <c r="H8137" i="1"/>
  <c r="J8137" i="1" s="1"/>
  <c r="H8138" i="1"/>
  <c r="J8138" i="1" s="1"/>
  <c r="H8139" i="1"/>
  <c r="H8140" i="1"/>
  <c r="J8140" i="1" s="1"/>
  <c r="H8141" i="1"/>
  <c r="J8141" i="1" s="1"/>
  <c r="H8142" i="1"/>
  <c r="H8143" i="1"/>
  <c r="J8143" i="1" s="1"/>
  <c r="H8144" i="1"/>
  <c r="J8144" i="1" s="1"/>
  <c r="H8145" i="1"/>
  <c r="J8145" i="1" s="1"/>
  <c r="H8146" i="1"/>
  <c r="J8146" i="1" s="1"/>
  <c r="H8147" i="1"/>
  <c r="J8147" i="1" s="1"/>
  <c r="H8148" i="1"/>
  <c r="J8148" i="1" s="1"/>
  <c r="H8149" i="1"/>
  <c r="J8149" i="1" s="1"/>
  <c r="H8150" i="1"/>
  <c r="J8150" i="1" s="1"/>
  <c r="H8151" i="1"/>
  <c r="J8151" i="1" s="1"/>
  <c r="H8152" i="1"/>
  <c r="J8152" i="1" s="1"/>
  <c r="H8153" i="1"/>
  <c r="J8153" i="1" s="1"/>
  <c r="H8154" i="1"/>
  <c r="J8154" i="1" s="1"/>
  <c r="H8155" i="1"/>
  <c r="J8155" i="1" s="1"/>
  <c r="H8156" i="1"/>
  <c r="J8156" i="1" s="1"/>
  <c r="H8157" i="1"/>
  <c r="J8157" i="1" s="1"/>
  <c r="H8158" i="1"/>
  <c r="J8158" i="1" s="1"/>
  <c r="H8159" i="1"/>
  <c r="J8159" i="1" s="1"/>
  <c r="H8160" i="1"/>
  <c r="J8160" i="1" s="1"/>
  <c r="H8161" i="1"/>
  <c r="H8162" i="1"/>
  <c r="J8162" i="1" s="1"/>
  <c r="H8163" i="1"/>
  <c r="H8164" i="1"/>
  <c r="J8164" i="1" s="1"/>
  <c r="H8165" i="1"/>
  <c r="J8165" i="1" s="1"/>
  <c r="H8166" i="1"/>
  <c r="J8166" i="1" s="1"/>
  <c r="H8167" i="1"/>
  <c r="J8167" i="1" s="1"/>
  <c r="H8168" i="1"/>
  <c r="J8168" i="1" s="1"/>
  <c r="H8169" i="1"/>
  <c r="J8169" i="1" s="1"/>
  <c r="H8170" i="1"/>
  <c r="J8170" i="1" s="1"/>
  <c r="H8171" i="1"/>
  <c r="H8172" i="1"/>
  <c r="J8172" i="1" s="1"/>
  <c r="H8173" i="1"/>
  <c r="J8173" i="1" s="1"/>
  <c r="H8174" i="1"/>
  <c r="J8174" i="1" s="1"/>
  <c r="H8175" i="1"/>
  <c r="J8175" i="1" s="1"/>
  <c r="H8176" i="1"/>
  <c r="J8176" i="1" s="1"/>
  <c r="H8177" i="1"/>
  <c r="J8177" i="1" s="1"/>
  <c r="H8178" i="1"/>
  <c r="J8178" i="1" s="1"/>
  <c r="H8179" i="1"/>
  <c r="J8179" i="1" s="1"/>
  <c r="H8180" i="1"/>
  <c r="J8180" i="1" s="1"/>
  <c r="H8181" i="1"/>
  <c r="J8181" i="1" s="1"/>
  <c r="H8182" i="1"/>
  <c r="J8182" i="1" s="1"/>
  <c r="H8183" i="1"/>
  <c r="H8184" i="1"/>
  <c r="H8185" i="1"/>
  <c r="J8185" i="1" s="1"/>
  <c r="H8186" i="1"/>
  <c r="J8186" i="1" s="1"/>
  <c r="H8187" i="1"/>
  <c r="J8187" i="1" s="1"/>
  <c r="H8188" i="1"/>
  <c r="J8188" i="1" s="1"/>
  <c r="H8189" i="1"/>
  <c r="J8189" i="1" s="1"/>
  <c r="H8190" i="1"/>
  <c r="J8190" i="1" s="1"/>
  <c r="H8191" i="1"/>
  <c r="J8191" i="1" s="1"/>
  <c r="H8192" i="1"/>
  <c r="J8192" i="1" s="1"/>
  <c r="H8193" i="1"/>
  <c r="J8193" i="1" s="1"/>
  <c r="H8194" i="1"/>
  <c r="J8194" i="1" s="1"/>
  <c r="H8195" i="1"/>
  <c r="J8195" i="1" s="1"/>
  <c r="H8196" i="1"/>
  <c r="J8196" i="1" s="1"/>
  <c r="H8197" i="1"/>
  <c r="H8198" i="1"/>
  <c r="J8198" i="1" s="1"/>
  <c r="H8199" i="1"/>
  <c r="J8199" i="1" s="1"/>
  <c r="H8200" i="1"/>
  <c r="J8200" i="1" s="1"/>
  <c r="H8201" i="1"/>
  <c r="J8201" i="1" s="1"/>
  <c r="H8202" i="1"/>
  <c r="H8203" i="1"/>
  <c r="J8203" i="1" s="1"/>
  <c r="H8204" i="1"/>
  <c r="J8204" i="1" s="1"/>
  <c r="H8205" i="1"/>
  <c r="J8205" i="1" s="1"/>
  <c r="H8206" i="1"/>
  <c r="J8206" i="1" s="1"/>
  <c r="H8207" i="1"/>
  <c r="J8207" i="1" s="1"/>
  <c r="H8208" i="1"/>
  <c r="J8208" i="1" s="1"/>
  <c r="H8209" i="1"/>
  <c r="J8209" i="1" s="1"/>
  <c r="H8210" i="1"/>
  <c r="J8210" i="1" s="1"/>
  <c r="H8211" i="1"/>
  <c r="J8211" i="1" s="1"/>
  <c r="H8212" i="1"/>
  <c r="J8212" i="1" s="1"/>
  <c r="H8213" i="1"/>
  <c r="J8213" i="1" s="1"/>
  <c r="H8214" i="1"/>
  <c r="H8215" i="1"/>
  <c r="J8215" i="1" s="1"/>
  <c r="H8216" i="1"/>
  <c r="J8216" i="1" s="1"/>
  <c r="H8217" i="1"/>
  <c r="J8217" i="1" s="1"/>
  <c r="H8218" i="1"/>
  <c r="J8218" i="1" s="1"/>
  <c r="H8219" i="1"/>
  <c r="J8219" i="1" s="1"/>
  <c r="H8220" i="1"/>
  <c r="J8220" i="1" s="1"/>
  <c r="H8221" i="1"/>
  <c r="J8221" i="1" s="1"/>
  <c r="H8222" i="1"/>
  <c r="J8222" i="1" s="1"/>
  <c r="H8223" i="1"/>
  <c r="H8224" i="1"/>
  <c r="J8224" i="1" s="1"/>
  <c r="H8225" i="1"/>
  <c r="J8225" i="1" s="1"/>
  <c r="H8226" i="1"/>
  <c r="J8226" i="1" s="1"/>
  <c r="H8227" i="1"/>
  <c r="H8228" i="1"/>
  <c r="H8229" i="1"/>
  <c r="J8229" i="1" s="1"/>
  <c r="H8230" i="1"/>
  <c r="J8230" i="1" s="1"/>
  <c r="H8231" i="1"/>
  <c r="J8231" i="1" s="1"/>
  <c r="H8232" i="1"/>
  <c r="J8232" i="1" s="1"/>
  <c r="H8233" i="1"/>
  <c r="J8233" i="1" s="1"/>
  <c r="H8234" i="1"/>
  <c r="J8234" i="1" s="1"/>
  <c r="H8235" i="1"/>
  <c r="J8235" i="1" s="1"/>
  <c r="H8236" i="1"/>
  <c r="J8236" i="1" s="1"/>
  <c r="H8237" i="1"/>
  <c r="J8237" i="1" s="1"/>
  <c r="H8238" i="1"/>
  <c r="J8238" i="1" s="1"/>
  <c r="H8239" i="1"/>
  <c r="J8239" i="1" s="1"/>
  <c r="H8240" i="1"/>
  <c r="J8240" i="1" s="1"/>
  <c r="H8241" i="1"/>
  <c r="H8242" i="1"/>
  <c r="J8242" i="1" s="1"/>
  <c r="H8243" i="1"/>
  <c r="J8243" i="1" s="1"/>
  <c r="H8244" i="1"/>
  <c r="J8244" i="1" s="1"/>
  <c r="H8245" i="1"/>
  <c r="J8245" i="1" s="1"/>
  <c r="H8246" i="1"/>
  <c r="H8247" i="1"/>
  <c r="J8247" i="1" s="1"/>
  <c r="H8248" i="1"/>
  <c r="J8248" i="1" s="1"/>
  <c r="H8249" i="1"/>
  <c r="J8249" i="1" s="1"/>
  <c r="H8250" i="1"/>
  <c r="H8251" i="1"/>
  <c r="J8251" i="1" s="1"/>
  <c r="H8252" i="1"/>
  <c r="J8252" i="1" s="1"/>
  <c r="H8253" i="1"/>
  <c r="J8253" i="1" s="1"/>
  <c r="H8254" i="1"/>
  <c r="J8254" i="1" s="1"/>
  <c r="H8255" i="1"/>
  <c r="J8255" i="1" s="1"/>
  <c r="H8256" i="1"/>
  <c r="J8256" i="1" s="1"/>
  <c r="H8257" i="1"/>
  <c r="J8257" i="1" s="1"/>
  <c r="H8258" i="1"/>
  <c r="J8258" i="1" s="1"/>
  <c r="H8259" i="1"/>
  <c r="H8260" i="1"/>
  <c r="J8260" i="1" s="1"/>
  <c r="H8261" i="1"/>
  <c r="J8261" i="1" s="1"/>
  <c r="H8262" i="1"/>
  <c r="J8262" i="1" s="1"/>
  <c r="H8263" i="1"/>
  <c r="J8263" i="1" s="1"/>
  <c r="H8264" i="1"/>
  <c r="J8264" i="1" s="1"/>
  <c r="H8265" i="1"/>
  <c r="J8265" i="1" s="1"/>
  <c r="H8266" i="1"/>
  <c r="J8266" i="1" s="1"/>
  <c r="H8267" i="1"/>
  <c r="J8267" i="1" s="1"/>
  <c r="H8268" i="1"/>
  <c r="J8268" i="1" s="1"/>
  <c r="H8269" i="1"/>
  <c r="H8270" i="1"/>
  <c r="J8270" i="1" s="1"/>
  <c r="H8271" i="1"/>
  <c r="J8271" i="1" s="1"/>
  <c r="H8272" i="1"/>
  <c r="J8272" i="1" s="1"/>
  <c r="H8273" i="1"/>
  <c r="J8273" i="1" s="1"/>
  <c r="H8274" i="1"/>
  <c r="J8274" i="1" s="1"/>
  <c r="H8275" i="1"/>
  <c r="J8275" i="1" s="1"/>
  <c r="H8276" i="1"/>
  <c r="J8276" i="1" s="1"/>
  <c r="H8277" i="1"/>
  <c r="J8277" i="1" s="1"/>
  <c r="H8278" i="1"/>
  <c r="J8278" i="1" s="1"/>
  <c r="H8279" i="1"/>
  <c r="H8280" i="1"/>
  <c r="J8280" i="1" s="1"/>
  <c r="H8281" i="1"/>
  <c r="J8281" i="1" s="1"/>
  <c r="H8282" i="1"/>
  <c r="J8282" i="1" s="1"/>
  <c r="H8283" i="1"/>
  <c r="J8283" i="1" s="1"/>
  <c r="H8284" i="1"/>
  <c r="J8284" i="1" s="1"/>
  <c r="H8285" i="1"/>
  <c r="J8285" i="1" s="1"/>
  <c r="H8286" i="1"/>
  <c r="J8286" i="1" s="1"/>
  <c r="H8287" i="1"/>
  <c r="H8288" i="1"/>
  <c r="J8288" i="1" s="1"/>
  <c r="H8289" i="1"/>
  <c r="H8290" i="1"/>
  <c r="J8290" i="1" s="1"/>
  <c r="H8291" i="1"/>
  <c r="J8291" i="1" s="1"/>
  <c r="H8292" i="1"/>
  <c r="H8293" i="1"/>
  <c r="J8293" i="1" s="1"/>
  <c r="H8294" i="1"/>
  <c r="J8294" i="1" s="1"/>
  <c r="H8295" i="1"/>
  <c r="J8295" i="1" s="1"/>
  <c r="H8296" i="1"/>
  <c r="J8296" i="1" s="1"/>
  <c r="H8297" i="1"/>
  <c r="J8297" i="1" s="1"/>
  <c r="H8298" i="1"/>
  <c r="J8298" i="1" s="1"/>
  <c r="H8299" i="1"/>
  <c r="J8299" i="1" s="1"/>
  <c r="H8300" i="1"/>
  <c r="J8300" i="1" s="1"/>
  <c r="H8301" i="1"/>
  <c r="J8301" i="1" s="1"/>
  <c r="H8302" i="1"/>
  <c r="J8302" i="1" s="1"/>
  <c r="H8303" i="1"/>
  <c r="J8303" i="1" s="1"/>
  <c r="H8304" i="1"/>
  <c r="J8304" i="1" s="1"/>
  <c r="H8305" i="1"/>
  <c r="J8305" i="1" s="1"/>
  <c r="H8306" i="1"/>
  <c r="J8306" i="1" s="1"/>
  <c r="H8307" i="1"/>
  <c r="J8307" i="1" s="1"/>
  <c r="H8308" i="1"/>
  <c r="J8308" i="1" s="1"/>
  <c r="H8309" i="1"/>
  <c r="J8309" i="1" s="1"/>
  <c r="H8310" i="1"/>
  <c r="J8310" i="1" s="1"/>
  <c r="H8311" i="1"/>
  <c r="J8311" i="1" s="1"/>
  <c r="H8312" i="1"/>
  <c r="J8312" i="1" s="1"/>
  <c r="H8313" i="1"/>
  <c r="H8314" i="1"/>
  <c r="J8314" i="1" s="1"/>
  <c r="H8315" i="1"/>
  <c r="H8316" i="1"/>
  <c r="H8317" i="1"/>
  <c r="J8317" i="1" s="1"/>
  <c r="H8318" i="1"/>
  <c r="J8318" i="1" s="1"/>
  <c r="H8319" i="1"/>
  <c r="J8319" i="1" s="1"/>
  <c r="H8320" i="1"/>
  <c r="J8320" i="1" s="1"/>
  <c r="H8321" i="1"/>
  <c r="J8321" i="1" s="1"/>
  <c r="H8322" i="1"/>
  <c r="J8322" i="1" s="1"/>
  <c r="H8323" i="1"/>
  <c r="J8323" i="1" s="1"/>
  <c r="H8324" i="1"/>
  <c r="J8324" i="1" s="1"/>
  <c r="H8325" i="1"/>
  <c r="H8326" i="1"/>
  <c r="J8326" i="1" s="1"/>
  <c r="H8327" i="1"/>
  <c r="J8327" i="1" s="1"/>
  <c r="H8328" i="1"/>
  <c r="J8328" i="1" s="1"/>
  <c r="H8329" i="1"/>
  <c r="J8329" i="1" s="1"/>
  <c r="H8330" i="1"/>
  <c r="J8330" i="1" s="1"/>
  <c r="H8331" i="1"/>
  <c r="H8332" i="1"/>
  <c r="J8332" i="1" s="1"/>
  <c r="H8333" i="1"/>
  <c r="J8333" i="1" s="1"/>
  <c r="H8334" i="1"/>
  <c r="J8334" i="1" s="1"/>
  <c r="H8335" i="1"/>
  <c r="H8336" i="1"/>
  <c r="J8336" i="1" s="1"/>
  <c r="H8337" i="1"/>
  <c r="J8337" i="1" s="1"/>
  <c r="H8338" i="1"/>
  <c r="J8338" i="1" s="1"/>
  <c r="H8339" i="1"/>
  <c r="J8339" i="1" s="1"/>
  <c r="H8340" i="1"/>
  <c r="J8340" i="1" s="1"/>
  <c r="H8341" i="1"/>
  <c r="H8342" i="1"/>
  <c r="J8342" i="1" s="1"/>
  <c r="H8343" i="1"/>
  <c r="J8343" i="1" s="1"/>
  <c r="H8344" i="1"/>
  <c r="J8344" i="1" s="1"/>
  <c r="H8345" i="1"/>
  <c r="J8345" i="1" s="1"/>
  <c r="H8346" i="1"/>
  <c r="H8347" i="1"/>
  <c r="J8347" i="1" s="1"/>
  <c r="H8348" i="1"/>
  <c r="J8348" i="1" s="1"/>
  <c r="H8349" i="1"/>
  <c r="J8349" i="1" s="1"/>
  <c r="H8350" i="1"/>
  <c r="J8350" i="1" s="1"/>
  <c r="H8351" i="1"/>
  <c r="J8351" i="1" s="1"/>
  <c r="H8352" i="1"/>
  <c r="J8352" i="1" s="1"/>
  <c r="H8353" i="1"/>
  <c r="J8353" i="1" s="1"/>
  <c r="H8354" i="1"/>
  <c r="H8355" i="1"/>
  <c r="J8355" i="1" s="1"/>
  <c r="H8356" i="1"/>
  <c r="J8356" i="1" s="1"/>
  <c r="H8357" i="1"/>
  <c r="J8357" i="1" s="1"/>
  <c r="H8358" i="1"/>
  <c r="H8359" i="1"/>
  <c r="J8359" i="1" s="1"/>
  <c r="H8360" i="1"/>
  <c r="J8360" i="1" s="1"/>
  <c r="H8361" i="1"/>
  <c r="J8361" i="1" s="1"/>
  <c r="H8362" i="1"/>
  <c r="J8362" i="1" s="1"/>
  <c r="H8363" i="1"/>
  <c r="J8363" i="1" s="1"/>
  <c r="H8364" i="1"/>
  <c r="J8364" i="1" s="1"/>
  <c r="H8365" i="1"/>
  <c r="J8365" i="1" s="1"/>
  <c r="H8366" i="1"/>
  <c r="J8366" i="1" s="1"/>
  <c r="H8367" i="1"/>
  <c r="J8367" i="1" s="1"/>
  <c r="H8368" i="1"/>
  <c r="J8368" i="1" s="1"/>
  <c r="H8369" i="1"/>
  <c r="J8369" i="1" s="1"/>
  <c r="H8370" i="1"/>
  <c r="J8370" i="1" s="1"/>
  <c r="H8371" i="1"/>
  <c r="H8372" i="1"/>
  <c r="J8372" i="1" s="1"/>
  <c r="H8373" i="1"/>
  <c r="J8373" i="1" s="1"/>
  <c r="H8374" i="1"/>
  <c r="J8374" i="1" s="1"/>
  <c r="H8375" i="1"/>
  <c r="H8376" i="1"/>
  <c r="J8376" i="1" s="1"/>
  <c r="H8377" i="1"/>
  <c r="J8377" i="1" s="1"/>
  <c r="H8378" i="1"/>
  <c r="J8378" i="1" s="1"/>
  <c r="H8379" i="1"/>
  <c r="J8379" i="1" s="1"/>
  <c r="H8380" i="1"/>
  <c r="J8380" i="1" s="1"/>
  <c r="H8381" i="1"/>
  <c r="H8382" i="1"/>
  <c r="J8382" i="1" s="1"/>
  <c r="H8383" i="1"/>
  <c r="J8383" i="1" s="1"/>
  <c r="H8384" i="1"/>
  <c r="H8385" i="1"/>
  <c r="J8385" i="1" s="1"/>
  <c r="H8386" i="1"/>
  <c r="J8386" i="1" s="1"/>
  <c r="H8387" i="1"/>
  <c r="J8387" i="1" s="1"/>
  <c r="H8388" i="1"/>
  <c r="H8389" i="1"/>
  <c r="J8389" i="1" s="1"/>
  <c r="H8390" i="1"/>
  <c r="J8390" i="1" s="1"/>
  <c r="H8391" i="1"/>
  <c r="J8391" i="1" s="1"/>
  <c r="H8392" i="1"/>
  <c r="J8392" i="1" s="1"/>
  <c r="H8393" i="1"/>
  <c r="J8393" i="1" s="1"/>
  <c r="H8394" i="1"/>
  <c r="J8394" i="1" s="1"/>
  <c r="H8395" i="1"/>
  <c r="J8395" i="1" s="1"/>
  <c r="H8396" i="1"/>
  <c r="J8396" i="1" s="1"/>
  <c r="H8397" i="1"/>
  <c r="H8398" i="1"/>
  <c r="J8398" i="1" s="1"/>
  <c r="H8399" i="1"/>
  <c r="J8399" i="1" s="1"/>
  <c r="H8400" i="1"/>
  <c r="H8401" i="1"/>
  <c r="H8402" i="1"/>
  <c r="J8402" i="1" s="1"/>
  <c r="H8403" i="1"/>
  <c r="J8403" i="1" s="1"/>
  <c r="H8404" i="1"/>
  <c r="J8404" i="1" s="1"/>
  <c r="H8405" i="1"/>
  <c r="J8405" i="1" s="1"/>
  <c r="H8406" i="1"/>
  <c r="J8406" i="1" s="1"/>
  <c r="H8407" i="1"/>
  <c r="J8407" i="1" s="1"/>
  <c r="H8408" i="1"/>
  <c r="J8408" i="1" s="1"/>
  <c r="H8409" i="1"/>
  <c r="J8409" i="1" s="1"/>
  <c r="H8410" i="1"/>
  <c r="J8410" i="1" s="1"/>
  <c r="H8411" i="1"/>
  <c r="J8411" i="1" s="1"/>
  <c r="H8412" i="1"/>
  <c r="J8412" i="1" s="1"/>
  <c r="H8413" i="1"/>
  <c r="H8414" i="1"/>
  <c r="J8414" i="1" s="1"/>
  <c r="H8415" i="1"/>
  <c r="J8415" i="1" s="1"/>
  <c r="H8416" i="1"/>
  <c r="J8416" i="1" s="1"/>
  <c r="H8417" i="1"/>
  <c r="H8418" i="1"/>
  <c r="H8419" i="1"/>
  <c r="J8419" i="1" s="1"/>
  <c r="H8420" i="1"/>
  <c r="J8420" i="1" s="1"/>
  <c r="H8421" i="1"/>
  <c r="J8421" i="1" s="1"/>
  <c r="H8422" i="1"/>
  <c r="J8422" i="1" s="1"/>
  <c r="H8423" i="1"/>
  <c r="H8424" i="1"/>
  <c r="J8424" i="1" s="1"/>
  <c r="H8425" i="1"/>
  <c r="J8425" i="1" s="1"/>
  <c r="H8426" i="1"/>
  <c r="J8426" i="1" s="1"/>
  <c r="H8427" i="1"/>
  <c r="J8427" i="1" s="1"/>
  <c r="H8428" i="1"/>
  <c r="J8428" i="1" s="1"/>
  <c r="H8429" i="1"/>
  <c r="J8429" i="1" s="1"/>
  <c r="H8430" i="1"/>
  <c r="J8430" i="1" s="1"/>
  <c r="H8431" i="1"/>
  <c r="J8431" i="1" s="1"/>
  <c r="H8432" i="1"/>
  <c r="J8432" i="1" s="1"/>
  <c r="H8433" i="1"/>
  <c r="H8434" i="1"/>
  <c r="J8434" i="1" s="1"/>
  <c r="H8435" i="1"/>
  <c r="J8435" i="1" s="1"/>
  <c r="H8436" i="1"/>
  <c r="J8436" i="1" s="1"/>
  <c r="H8437" i="1"/>
  <c r="J8437" i="1" s="1"/>
  <c r="H8438" i="1"/>
  <c r="J8438" i="1" s="1"/>
  <c r="H8439" i="1"/>
  <c r="J8439" i="1" s="1"/>
  <c r="H8440" i="1"/>
  <c r="J8440" i="1" s="1"/>
  <c r="H8441" i="1"/>
  <c r="J8441" i="1" s="1"/>
  <c r="H8442" i="1"/>
  <c r="J8442" i="1" s="1"/>
  <c r="H8443" i="1"/>
  <c r="J8443" i="1" s="1"/>
  <c r="H8444" i="1"/>
  <c r="H8445" i="1"/>
  <c r="J8445" i="1" s="1"/>
  <c r="H8446" i="1"/>
  <c r="J8446" i="1" s="1"/>
  <c r="H8447" i="1"/>
  <c r="J8447" i="1" s="1"/>
  <c r="H8448" i="1"/>
  <c r="J8448" i="1" s="1"/>
  <c r="H8449" i="1"/>
  <c r="H8450" i="1"/>
  <c r="J8450" i="1" s="1"/>
  <c r="H8451" i="1"/>
  <c r="J8451" i="1" s="1"/>
  <c r="H8452" i="1"/>
  <c r="J8452" i="1" s="1"/>
  <c r="H8453" i="1"/>
  <c r="J8453" i="1" s="1"/>
  <c r="H8454" i="1"/>
  <c r="J8454" i="1" s="1"/>
  <c r="H8455" i="1"/>
  <c r="J8455" i="1" s="1"/>
  <c r="H8456" i="1"/>
  <c r="J8456" i="1" s="1"/>
  <c r="H8457" i="1"/>
  <c r="J8457" i="1" s="1"/>
  <c r="H8458" i="1"/>
  <c r="J8458" i="1" s="1"/>
  <c r="H8459" i="1"/>
  <c r="H8460" i="1"/>
  <c r="H8461" i="1"/>
  <c r="J8461" i="1" s="1"/>
  <c r="H8462" i="1"/>
  <c r="J8462" i="1" s="1"/>
  <c r="H8463" i="1"/>
  <c r="J8463" i="1" s="1"/>
  <c r="H8464" i="1"/>
  <c r="J8464" i="1" s="1"/>
  <c r="H8465" i="1"/>
  <c r="J8465" i="1" s="1"/>
  <c r="H8466" i="1"/>
  <c r="H8467" i="1"/>
  <c r="J8467" i="1" s="1"/>
  <c r="H8468" i="1"/>
  <c r="J8468" i="1" s="1"/>
  <c r="H8469" i="1"/>
  <c r="H8470" i="1"/>
  <c r="J8470" i="1" s="1"/>
  <c r="H8471" i="1"/>
  <c r="J8471" i="1" s="1"/>
  <c r="H8472" i="1"/>
  <c r="H8473" i="1"/>
  <c r="J8473" i="1" s="1"/>
  <c r="H8474" i="1"/>
  <c r="J8474" i="1" s="1"/>
  <c r="H8475" i="1"/>
  <c r="J8475" i="1" s="1"/>
  <c r="H8476" i="1"/>
  <c r="J8476" i="1" s="1"/>
  <c r="H8477" i="1"/>
  <c r="H8478" i="1"/>
  <c r="J8478" i="1" s="1"/>
  <c r="H8479" i="1"/>
  <c r="J8479" i="1" s="1"/>
  <c r="H8480" i="1"/>
  <c r="J8480" i="1" s="1"/>
  <c r="H8481" i="1"/>
  <c r="J8481" i="1" s="1"/>
  <c r="H8482" i="1"/>
  <c r="J8482" i="1" s="1"/>
  <c r="H8483" i="1"/>
  <c r="J8483" i="1" s="1"/>
  <c r="H8484" i="1"/>
  <c r="J8484" i="1" s="1"/>
  <c r="H8485" i="1"/>
  <c r="H8486" i="1"/>
  <c r="H8487" i="1"/>
  <c r="J8487" i="1" s="1"/>
  <c r="H8488" i="1"/>
  <c r="J8488" i="1" s="1"/>
  <c r="H8489" i="1"/>
  <c r="J8489" i="1" s="1"/>
  <c r="H8490" i="1"/>
  <c r="J8490" i="1" s="1"/>
  <c r="H8491" i="1"/>
  <c r="J8491" i="1" s="1"/>
  <c r="H8492" i="1"/>
  <c r="J8492" i="1" s="1"/>
  <c r="H8493" i="1"/>
  <c r="J8493" i="1" s="1"/>
  <c r="H8494" i="1"/>
  <c r="J8494" i="1" s="1"/>
  <c r="H8495" i="1"/>
  <c r="H8496" i="1"/>
  <c r="J8496" i="1" s="1"/>
  <c r="H8497" i="1"/>
  <c r="J8497" i="1" s="1"/>
  <c r="H8498" i="1"/>
  <c r="J8498" i="1" s="1"/>
  <c r="H8499" i="1"/>
  <c r="H8500" i="1"/>
  <c r="J8500" i="1" s="1"/>
  <c r="H8501" i="1"/>
  <c r="J8501" i="1" s="1"/>
  <c r="H8502" i="1"/>
  <c r="J8502" i="1" s="1"/>
  <c r="H8503" i="1"/>
  <c r="H8504" i="1"/>
  <c r="J8504" i="1" s="1"/>
  <c r="H8505" i="1"/>
  <c r="H8506" i="1"/>
  <c r="J8506" i="1" s="1"/>
  <c r="H8507" i="1"/>
  <c r="J8507" i="1" s="1"/>
  <c r="H8508" i="1"/>
  <c r="H8509" i="1"/>
  <c r="J8509" i="1" s="1"/>
  <c r="H8510" i="1"/>
  <c r="J8510" i="1" s="1"/>
  <c r="H8511" i="1"/>
  <c r="J8511" i="1" s="1"/>
  <c r="H8512" i="1"/>
  <c r="J8512" i="1" s="1"/>
  <c r="H8513" i="1"/>
  <c r="J8513" i="1" s="1"/>
  <c r="H8514" i="1"/>
  <c r="J8514" i="1" s="1"/>
  <c r="H8515" i="1"/>
  <c r="J8515" i="1" s="1"/>
  <c r="H8516" i="1"/>
  <c r="H8517" i="1"/>
  <c r="J8517" i="1" s="1"/>
  <c r="H8518" i="1"/>
  <c r="J8518" i="1" s="1"/>
  <c r="H8519" i="1"/>
  <c r="J8519" i="1" s="1"/>
  <c r="H8520" i="1"/>
  <c r="J8520" i="1" s="1"/>
  <c r="H8521" i="1"/>
  <c r="J8521" i="1" s="1"/>
  <c r="H8522" i="1"/>
  <c r="J8522" i="1" s="1"/>
  <c r="H8523" i="1"/>
  <c r="J8523" i="1" s="1"/>
  <c r="H8524" i="1"/>
  <c r="J8524" i="1" s="1"/>
  <c r="H8525" i="1"/>
  <c r="H8526" i="1"/>
  <c r="J8526" i="1" s="1"/>
  <c r="H8527" i="1"/>
  <c r="J8527" i="1" s="1"/>
  <c r="H8528" i="1"/>
  <c r="J8528" i="1" s="1"/>
  <c r="H8529" i="1"/>
  <c r="J8529" i="1" s="1"/>
  <c r="H8530" i="1"/>
  <c r="J8530" i="1" s="1"/>
  <c r="H8531" i="1"/>
  <c r="H8532" i="1"/>
  <c r="J8532" i="1" s="1"/>
  <c r="H8533" i="1"/>
  <c r="J8533" i="1" s="1"/>
  <c r="H8534" i="1"/>
  <c r="J8534" i="1" s="1"/>
  <c r="H8535" i="1"/>
  <c r="J8535" i="1" s="1"/>
  <c r="H8536" i="1"/>
  <c r="J8536" i="1" s="1"/>
  <c r="H8537" i="1"/>
  <c r="J8537" i="1" s="1"/>
  <c r="H8538" i="1"/>
  <c r="J8538" i="1" s="1"/>
  <c r="H8539" i="1"/>
  <c r="J8539" i="1" s="1"/>
  <c r="H8540" i="1"/>
  <c r="J8540" i="1" s="1"/>
  <c r="H8541" i="1"/>
  <c r="J8541" i="1" s="1"/>
  <c r="H8542" i="1"/>
  <c r="J8542" i="1" s="1"/>
  <c r="H8543" i="1"/>
  <c r="J8543" i="1" s="1"/>
  <c r="H8544" i="1"/>
  <c r="H8545" i="1"/>
  <c r="J8545" i="1" s="1"/>
  <c r="H8546" i="1"/>
  <c r="H8547" i="1"/>
  <c r="J8547" i="1" s="1"/>
  <c r="H8548" i="1"/>
  <c r="J8548" i="1" s="1"/>
  <c r="H8549" i="1"/>
  <c r="J8549" i="1" s="1"/>
  <c r="H8550" i="1"/>
  <c r="J8550" i="1" s="1"/>
  <c r="H8551" i="1"/>
  <c r="J8551" i="1" s="1"/>
  <c r="H8552" i="1"/>
  <c r="J8552" i="1" s="1"/>
  <c r="H8553" i="1"/>
  <c r="J8553" i="1" s="1"/>
  <c r="H8554" i="1"/>
  <c r="J8554" i="1" s="1"/>
  <c r="H8555" i="1"/>
  <c r="J8555" i="1" s="1"/>
  <c r="H8556" i="1"/>
  <c r="J8556" i="1" s="1"/>
  <c r="H8557" i="1"/>
  <c r="H8558" i="1"/>
  <c r="J8558" i="1" s="1"/>
  <c r="H8559" i="1"/>
  <c r="H8560" i="1"/>
  <c r="J8560" i="1" s="1"/>
  <c r="H8561" i="1"/>
  <c r="H8562" i="1"/>
  <c r="H8563" i="1"/>
  <c r="J8563" i="1" s="1"/>
  <c r="H8564" i="1"/>
  <c r="J8564" i="1" s="1"/>
  <c r="H8565" i="1"/>
  <c r="J8565" i="1" s="1"/>
  <c r="H8566" i="1"/>
  <c r="J8566" i="1" s="1"/>
  <c r="H8567" i="1"/>
  <c r="J8567" i="1" s="1"/>
  <c r="H8568" i="1"/>
  <c r="J8568" i="1" s="1"/>
  <c r="H8569" i="1"/>
  <c r="J8569" i="1" s="1"/>
  <c r="H8570" i="1"/>
  <c r="J8570" i="1" s="1"/>
  <c r="H8571" i="1"/>
  <c r="J8571" i="1" s="1"/>
  <c r="H8572" i="1"/>
  <c r="J8572" i="1" s="1"/>
  <c r="H8573" i="1"/>
  <c r="J8573" i="1" s="1"/>
  <c r="H8574" i="1"/>
  <c r="H8575" i="1"/>
  <c r="J8575" i="1" s="1"/>
  <c r="H8576" i="1"/>
  <c r="J8576" i="1" s="1"/>
  <c r="H8577" i="1"/>
  <c r="J8577" i="1" s="1"/>
  <c r="H8578" i="1"/>
  <c r="J8578" i="1" s="1"/>
  <c r="H8579" i="1"/>
  <c r="J8579" i="1" s="1"/>
  <c r="H8580" i="1"/>
  <c r="H8581" i="1"/>
  <c r="J8581" i="1" s="1"/>
  <c r="H8582" i="1"/>
  <c r="J8582" i="1" s="1"/>
  <c r="H8583" i="1"/>
  <c r="J8583" i="1" s="1"/>
  <c r="H8584" i="1"/>
  <c r="J8584" i="1" s="1"/>
  <c r="H8585" i="1"/>
  <c r="J8585" i="1" s="1"/>
  <c r="H8586" i="1"/>
  <c r="J8586" i="1" s="1"/>
  <c r="H8587" i="1"/>
  <c r="H8588" i="1"/>
  <c r="H8589" i="1"/>
  <c r="J8589" i="1" s="1"/>
  <c r="H8590" i="1"/>
  <c r="J8590" i="1" s="1"/>
  <c r="H8591" i="1"/>
  <c r="J8591" i="1" s="1"/>
  <c r="H8592" i="1"/>
  <c r="J8592" i="1" s="1"/>
  <c r="H8593" i="1"/>
  <c r="J8593" i="1" s="1"/>
  <c r="H8594" i="1"/>
  <c r="J8594" i="1" s="1"/>
  <c r="H8595" i="1"/>
  <c r="J8595" i="1" s="1"/>
  <c r="H8596" i="1"/>
  <c r="J8596" i="1" s="1"/>
  <c r="H8597" i="1"/>
  <c r="H8598" i="1"/>
  <c r="J8598" i="1" s="1"/>
  <c r="H8599" i="1"/>
  <c r="J8599" i="1" s="1"/>
  <c r="H8600" i="1"/>
  <c r="H8601" i="1"/>
  <c r="J8601" i="1" s="1"/>
  <c r="H8602" i="1"/>
  <c r="J8602" i="1" s="1"/>
  <c r="H8603" i="1"/>
  <c r="J8603" i="1" s="1"/>
  <c r="H8604" i="1"/>
  <c r="J8604" i="1" s="1"/>
  <c r="H8605" i="1"/>
  <c r="H8606" i="1"/>
  <c r="J8606" i="1" s="1"/>
  <c r="H8607" i="1"/>
  <c r="J8607" i="1" s="1"/>
  <c r="H8608" i="1"/>
  <c r="J8608" i="1" s="1"/>
  <c r="H8609" i="1"/>
  <c r="J8609" i="1" s="1"/>
  <c r="H8610" i="1"/>
  <c r="J8610" i="1" s="1"/>
  <c r="H8611" i="1"/>
  <c r="J8611" i="1" s="1"/>
  <c r="H8612" i="1"/>
  <c r="J8612" i="1" s="1"/>
  <c r="H8613" i="1"/>
  <c r="J8613" i="1" s="1"/>
  <c r="H8614" i="1"/>
  <c r="J8614" i="1" s="1"/>
  <c r="H8615" i="1"/>
  <c r="J8615" i="1" s="1"/>
  <c r="H8616" i="1"/>
  <c r="J8616" i="1" s="1"/>
  <c r="H8617" i="1"/>
  <c r="J8617" i="1" s="1"/>
  <c r="H8618" i="1"/>
  <c r="J8618" i="1" s="1"/>
  <c r="H8619" i="1"/>
  <c r="J8619" i="1" s="1"/>
  <c r="H8620" i="1"/>
  <c r="J8620" i="1" s="1"/>
  <c r="H8621" i="1"/>
  <c r="H8622" i="1"/>
  <c r="J8622" i="1" s="1"/>
  <c r="H8623" i="1"/>
  <c r="H8624" i="1"/>
  <c r="J8624" i="1" s="1"/>
  <c r="H8625" i="1"/>
  <c r="J8625" i="1" s="1"/>
  <c r="H8626" i="1"/>
  <c r="J8626" i="1" s="1"/>
  <c r="H8627" i="1"/>
  <c r="J8627" i="1" s="1"/>
  <c r="H8628" i="1"/>
  <c r="J8628" i="1" s="1"/>
  <c r="H8629" i="1"/>
  <c r="H8630" i="1"/>
  <c r="J8630" i="1" s="1"/>
  <c r="H8631" i="1"/>
  <c r="J8631" i="1" s="1"/>
  <c r="H8632" i="1"/>
  <c r="J8632" i="1" s="1"/>
  <c r="H8633" i="1"/>
  <c r="H8634" i="1"/>
  <c r="J8634" i="1" s="1"/>
  <c r="H8635" i="1"/>
  <c r="J8635" i="1" s="1"/>
  <c r="H8636" i="1"/>
  <c r="J8636" i="1" s="1"/>
  <c r="H8637" i="1"/>
  <c r="J8637" i="1" s="1"/>
  <c r="H8638" i="1"/>
  <c r="J8638" i="1" s="1"/>
  <c r="H8639" i="1"/>
  <c r="H8640" i="1"/>
  <c r="J8640" i="1" s="1"/>
  <c r="H8641" i="1"/>
  <c r="J8641" i="1" s="1"/>
  <c r="H8642" i="1"/>
  <c r="J8642" i="1" s="1"/>
  <c r="H8643" i="1"/>
  <c r="J8643" i="1" s="1"/>
  <c r="H8644" i="1"/>
  <c r="J8644" i="1" s="1"/>
  <c r="H8645" i="1"/>
  <c r="J8645" i="1" s="1"/>
  <c r="H8646" i="1"/>
  <c r="J8646" i="1" s="1"/>
  <c r="H8647" i="1"/>
  <c r="J8647" i="1" s="1"/>
  <c r="H8648" i="1"/>
  <c r="J8648" i="1" s="1"/>
  <c r="H8649" i="1"/>
  <c r="J8649" i="1" s="1"/>
  <c r="H8650" i="1"/>
  <c r="J8650" i="1" s="1"/>
  <c r="H8651" i="1"/>
  <c r="J8651" i="1" s="1"/>
  <c r="H8652" i="1"/>
  <c r="H8653" i="1"/>
  <c r="J8653" i="1" s="1"/>
  <c r="H8654" i="1"/>
  <c r="J8654" i="1" s="1"/>
  <c r="H8655" i="1"/>
  <c r="J8655" i="1" s="1"/>
  <c r="H8656" i="1"/>
  <c r="J8656" i="1" s="1"/>
  <c r="H8657" i="1"/>
  <c r="J8657" i="1" s="1"/>
  <c r="H8658" i="1"/>
  <c r="J8658" i="1" s="1"/>
  <c r="H8659" i="1"/>
  <c r="H8660" i="1"/>
  <c r="J8660" i="1" s="1"/>
  <c r="H8661" i="1"/>
  <c r="J8661" i="1" s="1"/>
  <c r="H8662" i="1"/>
  <c r="J8662" i="1" s="1"/>
  <c r="H8663" i="1"/>
  <c r="J8663" i="1" s="1"/>
  <c r="H8664" i="1"/>
  <c r="J8664" i="1" s="1"/>
  <c r="H8665" i="1"/>
  <c r="H8666" i="1"/>
  <c r="J8666" i="1" s="1"/>
  <c r="H8667" i="1"/>
  <c r="H8668" i="1"/>
  <c r="J8668" i="1" s="1"/>
  <c r="H8669" i="1"/>
  <c r="H8670" i="1"/>
  <c r="J8670" i="1" s="1"/>
  <c r="H8671" i="1"/>
  <c r="J8671" i="1" s="1"/>
  <c r="H8672" i="1"/>
  <c r="J8672" i="1" s="1"/>
  <c r="H8673" i="1"/>
  <c r="H8674" i="1"/>
  <c r="J8674" i="1" s="1"/>
  <c r="H8675" i="1"/>
  <c r="H8676" i="1"/>
  <c r="J8676" i="1" s="1"/>
  <c r="H8677" i="1"/>
  <c r="J8677" i="1" s="1"/>
  <c r="H8678" i="1"/>
  <c r="J8678" i="1" s="1"/>
  <c r="H8679" i="1"/>
  <c r="J8679" i="1" s="1"/>
  <c r="H8680" i="1"/>
  <c r="J8680" i="1" s="1"/>
  <c r="H8681" i="1"/>
  <c r="J8681" i="1" s="1"/>
  <c r="H8682" i="1"/>
  <c r="J8682" i="1" s="1"/>
  <c r="H8683" i="1"/>
  <c r="J8683" i="1" s="1"/>
  <c r="H8684" i="1"/>
  <c r="J8684" i="1" s="1"/>
  <c r="H8685" i="1"/>
  <c r="H8686" i="1"/>
  <c r="J8686" i="1" s="1"/>
  <c r="H8687" i="1"/>
  <c r="J8687" i="1" s="1"/>
  <c r="H8688" i="1"/>
  <c r="J8688" i="1" s="1"/>
  <c r="H8689" i="1"/>
  <c r="J8689" i="1" s="1"/>
  <c r="H8690" i="1"/>
  <c r="J8690" i="1" s="1"/>
  <c r="H8691" i="1"/>
  <c r="H8692" i="1"/>
  <c r="J8692" i="1" s="1"/>
  <c r="H8693" i="1"/>
  <c r="J8693" i="1" s="1"/>
  <c r="H8694" i="1"/>
  <c r="J8694" i="1" s="1"/>
  <c r="H8695" i="1"/>
  <c r="J8695" i="1" s="1"/>
  <c r="H8696" i="1"/>
  <c r="J8696" i="1" s="1"/>
  <c r="H8697" i="1"/>
  <c r="J8697" i="1" s="1"/>
  <c r="H8698" i="1"/>
  <c r="J8698" i="1" s="1"/>
  <c r="H8699" i="1"/>
  <c r="J8699" i="1" s="1"/>
  <c r="H8700" i="1"/>
  <c r="H8701" i="1"/>
  <c r="J8701" i="1" s="1"/>
  <c r="H8702" i="1"/>
  <c r="J8702" i="1" s="1"/>
  <c r="H8703" i="1"/>
  <c r="J8703" i="1" s="1"/>
  <c r="H8704" i="1"/>
  <c r="J8704" i="1" s="1"/>
  <c r="H8705" i="1"/>
  <c r="J8705" i="1" s="1"/>
  <c r="H8706" i="1"/>
  <c r="J8706" i="1" s="1"/>
  <c r="H8707" i="1"/>
  <c r="J8707" i="1" s="1"/>
  <c r="H8708" i="1"/>
  <c r="J8708" i="1" s="1"/>
  <c r="H8709" i="1"/>
  <c r="J8709" i="1" s="1"/>
  <c r="H8710" i="1"/>
  <c r="J8710" i="1" s="1"/>
  <c r="H8711" i="1"/>
  <c r="J8711" i="1" s="1"/>
  <c r="H8712" i="1"/>
  <c r="J8712" i="1" s="1"/>
  <c r="H8713" i="1"/>
  <c r="J8713" i="1" s="1"/>
  <c r="H8714" i="1"/>
  <c r="J8714" i="1" s="1"/>
  <c r="H8715" i="1"/>
  <c r="J8715" i="1" s="1"/>
  <c r="H8716" i="1"/>
  <c r="J8716" i="1" s="1"/>
  <c r="H8717" i="1"/>
  <c r="J8717" i="1" s="1"/>
  <c r="H8718" i="1"/>
  <c r="J8718" i="1" s="1"/>
  <c r="H8719" i="1"/>
  <c r="J8719" i="1" s="1"/>
  <c r="H8720" i="1"/>
  <c r="J8720" i="1" s="1"/>
  <c r="H8721" i="1"/>
  <c r="J8721" i="1" s="1"/>
  <c r="H8722" i="1"/>
  <c r="J8722" i="1" s="1"/>
  <c r="H8723" i="1"/>
  <c r="H8724" i="1"/>
  <c r="H8725" i="1"/>
  <c r="J8725" i="1" s="1"/>
  <c r="H8726" i="1"/>
  <c r="J8726" i="1" s="1"/>
  <c r="H8727" i="1"/>
  <c r="J8727" i="1" s="1"/>
  <c r="H8728" i="1"/>
  <c r="J8728" i="1" s="1"/>
  <c r="H8729" i="1"/>
  <c r="J8729" i="1" s="1"/>
  <c r="H8730" i="1"/>
  <c r="J8730" i="1" s="1"/>
  <c r="H8731" i="1"/>
  <c r="J8731" i="1" s="1"/>
  <c r="H8732" i="1"/>
  <c r="H8733" i="1"/>
  <c r="H8734" i="1"/>
  <c r="J8734" i="1" s="1"/>
  <c r="H8735" i="1"/>
  <c r="J8735" i="1" s="1"/>
  <c r="H8736" i="1"/>
  <c r="J8736" i="1" s="1"/>
  <c r="H8737" i="1"/>
  <c r="J8737" i="1" s="1"/>
  <c r="H8738" i="1"/>
  <c r="J8738" i="1" s="1"/>
  <c r="H8739" i="1"/>
  <c r="J8739" i="1" s="1"/>
  <c r="H8740" i="1"/>
  <c r="J8740" i="1" s="1"/>
  <c r="H8741" i="1"/>
  <c r="H8742" i="1"/>
  <c r="J8742" i="1" s="1"/>
  <c r="H8743" i="1"/>
  <c r="J8743" i="1" s="1"/>
  <c r="H8744" i="1"/>
  <c r="J8744" i="1" s="1"/>
  <c r="H8745" i="1"/>
  <c r="J8745" i="1" s="1"/>
  <c r="H8746" i="1"/>
  <c r="J8746" i="1" s="1"/>
  <c r="H8747" i="1"/>
  <c r="J8747" i="1" s="1"/>
  <c r="H8748" i="1"/>
  <c r="J8748" i="1" s="1"/>
  <c r="H8749" i="1"/>
  <c r="J8749" i="1" s="1"/>
  <c r="H8750" i="1"/>
  <c r="J8750" i="1" s="1"/>
  <c r="H8751" i="1"/>
  <c r="J8751" i="1" s="1"/>
  <c r="H8752" i="1"/>
  <c r="J8752" i="1" s="1"/>
  <c r="H8753" i="1"/>
  <c r="J8753" i="1" s="1"/>
  <c r="H8754" i="1"/>
  <c r="J8754" i="1" s="1"/>
  <c r="H8755" i="1"/>
  <c r="J8755" i="1" s="1"/>
  <c r="H8756" i="1"/>
  <c r="J8756" i="1" s="1"/>
  <c r="H8757" i="1"/>
  <c r="J8757" i="1" s="1"/>
  <c r="H8758" i="1"/>
  <c r="J8758" i="1" s="1"/>
  <c r="H8759" i="1"/>
  <c r="J8759" i="1" s="1"/>
  <c r="H8760" i="1"/>
  <c r="J8760" i="1" s="1"/>
  <c r="H8761" i="1"/>
  <c r="J8761" i="1" s="1"/>
  <c r="H8762" i="1"/>
  <c r="J8762" i="1" s="1"/>
  <c r="H8763" i="1"/>
  <c r="J8763" i="1" s="1"/>
  <c r="H8764" i="1"/>
  <c r="H8765" i="1"/>
  <c r="J8765" i="1" s="1"/>
  <c r="H8766" i="1"/>
  <c r="J8766" i="1" s="1"/>
  <c r="H8767" i="1"/>
  <c r="J8767" i="1" s="1"/>
  <c r="H8768" i="1"/>
  <c r="J8768" i="1" s="1"/>
  <c r="H8769" i="1"/>
  <c r="J8769" i="1" s="1"/>
  <c r="H8770" i="1"/>
  <c r="J8770" i="1" s="1"/>
  <c r="H8771" i="1"/>
  <c r="J8771" i="1" s="1"/>
  <c r="H8772" i="1"/>
  <c r="J8772" i="1" s="1"/>
  <c r="H8773" i="1"/>
  <c r="J8773" i="1" s="1"/>
  <c r="H8774" i="1"/>
  <c r="J8774" i="1" s="1"/>
  <c r="H8775" i="1"/>
  <c r="J8775" i="1" s="1"/>
  <c r="H8776" i="1"/>
  <c r="H8777" i="1"/>
  <c r="H8778" i="1"/>
  <c r="J8778" i="1" s="1"/>
  <c r="H8779" i="1"/>
  <c r="J8779" i="1" s="1"/>
  <c r="H8780" i="1"/>
  <c r="J8780" i="1" s="1"/>
  <c r="H8781" i="1"/>
  <c r="J8781" i="1" s="1"/>
  <c r="H8782" i="1"/>
  <c r="J8782" i="1" s="1"/>
  <c r="H8783" i="1"/>
  <c r="J8783" i="1" s="1"/>
  <c r="H8784" i="1"/>
  <c r="J8784" i="1" s="1"/>
  <c r="H8785" i="1"/>
  <c r="J8785" i="1" s="1"/>
  <c r="H8786" i="1"/>
  <c r="J8786" i="1" s="1"/>
  <c r="H8787" i="1"/>
  <c r="H8788" i="1"/>
  <c r="J8788" i="1" s="1"/>
  <c r="H8789" i="1"/>
  <c r="H8790" i="1"/>
  <c r="J8790" i="1" s="1"/>
  <c r="H8791" i="1"/>
  <c r="J8791" i="1" s="1"/>
  <c r="H8792" i="1"/>
  <c r="J8792" i="1" s="1"/>
  <c r="H8793" i="1"/>
  <c r="J8793" i="1" s="1"/>
  <c r="H8794" i="1"/>
  <c r="J8794" i="1" s="1"/>
  <c r="H8795" i="1"/>
  <c r="J8795" i="1" s="1"/>
  <c r="H8796" i="1"/>
  <c r="J8796" i="1" s="1"/>
  <c r="H8797" i="1"/>
  <c r="J8797" i="1" s="1"/>
  <c r="H8798" i="1"/>
  <c r="J8798" i="1" s="1"/>
  <c r="H8799" i="1"/>
  <c r="J8799" i="1" s="1"/>
  <c r="H8800" i="1"/>
  <c r="J8800" i="1" s="1"/>
  <c r="H8801" i="1"/>
  <c r="J8801" i="1" s="1"/>
  <c r="H8802" i="1"/>
  <c r="J8802" i="1" s="1"/>
  <c r="H8803" i="1"/>
  <c r="J8803" i="1" s="1"/>
  <c r="H8804" i="1"/>
  <c r="J8804" i="1" s="1"/>
  <c r="H8805" i="1"/>
  <c r="J8805" i="1" s="1"/>
  <c r="H8806" i="1"/>
  <c r="J8806" i="1" s="1"/>
  <c r="H8807" i="1"/>
  <c r="H8808" i="1"/>
  <c r="J8808" i="1" s="1"/>
  <c r="H8809" i="1"/>
  <c r="J8809" i="1" s="1"/>
  <c r="H8810" i="1"/>
  <c r="J8810" i="1" s="1"/>
  <c r="H8811" i="1"/>
  <c r="J8811" i="1" s="1"/>
  <c r="H8812" i="1"/>
  <c r="J8812" i="1" s="1"/>
  <c r="H8813" i="1"/>
  <c r="J8813" i="1" s="1"/>
  <c r="H8814" i="1"/>
  <c r="J8814" i="1" s="1"/>
  <c r="H8815" i="1"/>
  <c r="J8815" i="1" s="1"/>
  <c r="H8816" i="1"/>
  <c r="J8816" i="1" s="1"/>
  <c r="H8817" i="1"/>
  <c r="J8817" i="1" s="1"/>
  <c r="H8818" i="1"/>
  <c r="J8818" i="1" s="1"/>
  <c r="H8819" i="1"/>
  <c r="J8819" i="1" s="1"/>
  <c r="H8820" i="1"/>
  <c r="J8820" i="1" s="1"/>
  <c r="H8821" i="1"/>
  <c r="J8821" i="1" s="1"/>
  <c r="H8822" i="1"/>
  <c r="H8823" i="1"/>
  <c r="H8824" i="1"/>
  <c r="J8824" i="1" s="1"/>
  <c r="H8825" i="1"/>
  <c r="J8825" i="1" s="1"/>
  <c r="H8826" i="1"/>
  <c r="J8826" i="1" s="1"/>
  <c r="H8827" i="1"/>
  <c r="J8827" i="1" s="1"/>
  <c r="H8828" i="1"/>
  <c r="J8828" i="1" s="1"/>
  <c r="H8829" i="1"/>
  <c r="J8829" i="1" s="1"/>
  <c r="H8830" i="1"/>
  <c r="J8830" i="1" s="1"/>
  <c r="H8831" i="1"/>
  <c r="H8832" i="1"/>
  <c r="J8832" i="1" s="1"/>
  <c r="H8833" i="1"/>
  <c r="J8833" i="1" s="1"/>
  <c r="H8834" i="1"/>
  <c r="J8834" i="1" s="1"/>
  <c r="H8835" i="1"/>
  <c r="J8835" i="1" s="1"/>
  <c r="H8836" i="1"/>
  <c r="H8837" i="1"/>
  <c r="J8837" i="1" s="1"/>
  <c r="H8838" i="1"/>
  <c r="J8838" i="1" s="1"/>
  <c r="H8839" i="1"/>
  <c r="J8839" i="1" s="1"/>
  <c r="H8840" i="1"/>
  <c r="J8840" i="1" s="1"/>
  <c r="H8841" i="1"/>
  <c r="J8841" i="1" s="1"/>
  <c r="H8842" i="1"/>
  <c r="J8842" i="1" s="1"/>
  <c r="H8843" i="1"/>
  <c r="J8843" i="1" s="1"/>
  <c r="H8844" i="1"/>
  <c r="J8844" i="1" s="1"/>
  <c r="H8845" i="1"/>
  <c r="J8845" i="1" s="1"/>
  <c r="H8846" i="1"/>
  <c r="H8847" i="1"/>
  <c r="J8847" i="1" s="1"/>
  <c r="H8848" i="1"/>
  <c r="J8848" i="1" s="1"/>
  <c r="H8849" i="1"/>
  <c r="J8849" i="1" s="1"/>
  <c r="H8850" i="1"/>
  <c r="J8850" i="1" s="1"/>
  <c r="H8851" i="1"/>
  <c r="H8852" i="1"/>
  <c r="J8852" i="1" s="1"/>
  <c r="H8853" i="1"/>
  <c r="J8853" i="1" s="1"/>
  <c r="H8854" i="1"/>
  <c r="J8854" i="1" s="1"/>
  <c r="H8855" i="1"/>
  <c r="J8855" i="1" s="1"/>
  <c r="H8856" i="1"/>
  <c r="J8856" i="1" s="1"/>
  <c r="H8857" i="1"/>
  <c r="J8857" i="1" s="1"/>
  <c r="H8858" i="1"/>
  <c r="J8858" i="1" s="1"/>
  <c r="H8859" i="1"/>
  <c r="H8860" i="1"/>
  <c r="J8860" i="1" s="1"/>
  <c r="H8861" i="1"/>
  <c r="J8861" i="1" s="1"/>
  <c r="H8862" i="1"/>
  <c r="J8862" i="1" s="1"/>
  <c r="H8863" i="1"/>
  <c r="J8863" i="1" s="1"/>
  <c r="H8864" i="1"/>
  <c r="J8864" i="1" s="1"/>
  <c r="H8865" i="1"/>
  <c r="J8865" i="1" s="1"/>
  <c r="H8866" i="1"/>
  <c r="H8867" i="1"/>
  <c r="J8867" i="1" s="1"/>
  <c r="H8868" i="1"/>
  <c r="J8868" i="1" s="1"/>
  <c r="H8869" i="1"/>
  <c r="H8870" i="1"/>
  <c r="J8870" i="1" s="1"/>
  <c r="H8871" i="1"/>
  <c r="J8871" i="1" s="1"/>
  <c r="H8872" i="1"/>
  <c r="J8872" i="1" s="1"/>
  <c r="H8873" i="1"/>
  <c r="J8873" i="1" s="1"/>
  <c r="H8874" i="1"/>
  <c r="J8874" i="1" s="1"/>
  <c r="H8875" i="1"/>
  <c r="J8875" i="1" s="1"/>
  <c r="H8876" i="1"/>
  <c r="J8876" i="1" s="1"/>
  <c r="H8877" i="1"/>
  <c r="J8877" i="1" s="1"/>
  <c r="H8878" i="1"/>
  <c r="J8878" i="1" s="1"/>
  <c r="H8879" i="1"/>
  <c r="J8879" i="1" s="1"/>
  <c r="H8880" i="1"/>
  <c r="J8880" i="1" s="1"/>
  <c r="H8881" i="1"/>
  <c r="H8882" i="1"/>
  <c r="H8883" i="1"/>
  <c r="J8883" i="1" s="1"/>
  <c r="H8884" i="1"/>
  <c r="J8884" i="1" s="1"/>
  <c r="H8885" i="1"/>
  <c r="J8885" i="1" s="1"/>
  <c r="H8886" i="1"/>
  <c r="J8886" i="1" s="1"/>
  <c r="H8887" i="1"/>
  <c r="J8887" i="1" s="1"/>
  <c r="H8888" i="1"/>
  <c r="J8888" i="1" s="1"/>
  <c r="H8889" i="1"/>
  <c r="J8889" i="1" s="1"/>
  <c r="H8890" i="1"/>
  <c r="H8891" i="1"/>
  <c r="J8891" i="1" s="1"/>
  <c r="H8892" i="1"/>
  <c r="J8892" i="1" s="1"/>
  <c r="H8893" i="1"/>
  <c r="J8893" i="1" s="1"/>
  <c r="H8894" i="1"/>
  <c r="J8894" i="1" s="1"/>
  <c r="H8895" i="1"/>
  <c r="J8895" i="1" s="1"/>
  <c r="H8896" i="1"/>
  <c r="J8896" i="1" s="1"/>
  <c r="H8897" i="1"/>
  <c r="J8897" i="1" s="1"/>
  <c r="H8898" i="1"/>
  <c r="J8898" i="1" s="1"/>
  <c r="H8899" i="1"/>
  <c r="J8899" i="1" s="1"/>
  <c r="H8900" i="1"/>
  <c r="J8900" i="1" s="1"/>
  <c r="H8901" i="1"/>
  <c r="J8901" i="1" s="1"/>
  <c r="H8902" i="1"/>
  <c r="J8902" i="1" s="1"/>
  <c r="H8903" i="1"/>
  <c r="J8903" i="1" s="1"/>
  <c r="H8904" i="1"/>
  <c r="J8904" i="1" s="1"/>
  <c r="H8905" i="1"/>
  <c r="H8906" i="1"/>
  <c r="J8906" i="1" s="1"/>
  <c r="H8907" i="1"/>
  <c r="J8907" i="1" s="1"/>
  <c r="H8908" i="1"/>
  <c r="H8909" i="1"/>
  <c r="J8909" i="1" s="1"/>
  <c r="H8910" i="1"/>
  <c r="J8910" i="1" s="1"/>
  <c r="H8911" i="1"/>
  <c r="J8911" i="1" s="1"/>
  <c r="H8912" i="1"/>
  <c r="H8913" i="1"/>
  <c r="J8913" i="1" s="1"/>
  <c r="H8914" i="1"/>
  <c r="J8914" i="1" s="1"/>
  <c r="H8915" i="1"/>
  <c r="J8915" i="1" s="1"/>
  <c r="H8916" i="1"/>
  <c r="J8916" i="1" s="1"/>
  <c r="H8917" i="1"/>
  <c r="J8917" i="1" s="1"/>
  <c r="H8918" i="1"/>
  <c r="J8918" i="1" s="1"/>
  <c r="H8919" i="1"/>
  <c r="J8919" i="1" s="1"/>
  <c r="H8920" i="1"/>
  <c r="H8921" i="1"/>
  <c r="H8922" i="1"/>
  <c r="J8922" i="1" s="1"/>
  <c r="H8923" i="1"/>
  <c r="J8923" i="1" s="1"/>
  <c r="H8924" i="1"/>
  <c r="J8924" i="1" s="1"/>
  <c r="H8925" i="1"/>
  <c r="J8925" i="1" s="1"/>
  <c r="H8926" i="1"/>
  <c r="J8926" i="1" s="1"/>
  <c r="H8927" i="1"/>
  <c r="J8927" i="1" s="1"/>
  <c r="H8928" i="1"/>
  <c r="J8928" i="1" s="1"/>
  <c r="H8929" i="1"/>
  <c r="J8929" i="1" s="1"/>
  <c r="H8930" i="1"/>
  <c r="J8930" i="1" s="1"/>
  <c r="H8931" i="1"/>
  <c r="J8931" i="1" s="1"/>
  <c r="H8932" i="1"/>
  <c r="J8932" i="1" s="1"/>
  <c r="H8933" i="1"/>
  <c r="J8933" i="1" s="1"/>
  <c r="H8934" i="1"/>
  <c r="J8934" i="1" s="1"/>
  <c r="H8935" i="1"/>
  <c r="J8935" i="1" s="1"/>
  <c r="H8936" i="1"/>
  <c r="H8937" i="1"/>
  <c r="J8937" i="1" s="1"/>
  <c r="H8938" i="1"/>
  <c r="J8938" i="1" s="1"/>
  <c r="H8939" i="1"/>
  <c r="J8939" i="1" s="1"/>
  <c r="H8940" i="1"/>
  <c r="J8940" i="1" s="1"/>
  <c r="H8941" i="1"/>
  <c r="J8941" i="1" s="1"/>
  <c r="H8942" i="1"/>
  <c r="J8942" i="1" s="1"/>
  <c r="H8943" i="1"/>
  <c r="J8943" i="1" s="1"/>
  <c r="H8944" i="1"/>
  <c r="J8944" i="1" s="1"/>
  <c r="H8945" i="1"/>
  <c r="J8945" i="1" s="1"/>
  <c r="H8946" i="1"/>
  <c r="J8946" i="1" s="1"/>
  <c r="H8947" i="1"/>
  <c r="J8947" i="1" s="1"/>
  <c r="H8948" i="1"/>
  <c r="J8948" i="1" s="1"/>
  <c r="H8949" i="1"/>
  <c r="J8949" i="1" s="1"/>
  <c r="H8950" i="1"/>
  <c r="J8950" i="1" s="1"/>
  <c r="H8951" i="1"/>
  <c r="J8951" i="1" s="1"/>
  <c r="H8952" i="1"/>
  <c r="J8952" i="1" s="1"/>
  <c r="H8953" i="1"/>
  <c r="J8953" i="1" s="1"/>
  <c r="H8954" i="1"/>
  <c r="J8954" i="1" s="1"/>
  <c r="H8955" i="1"/>
  <c r="J8955" i="1" s="1"/>
  <c r="H8956" i="1"/>
  <c r="J8956" i="1" s="1"/>
  <c r="H8957" i="1"/>
  <c r="J8957" i="1" s="1"/>
  <c r="H8958" i="1"/>
  <c r="J8958" i="1" s="1"/>
  <c r="H8959" i="1"/>
  <c r="J8959" i="1" s="1"/>
  <c r="H8960" i="1"/>
  <c r="J8960" i="1" s="1"/>
  <c r="H8961" i="1"/>
  <c r="J8961" i="1" s="1"/>
  <c r="H8962" i="1"/>
  <c r="J8962" i="1" s="1"/>
  <c r="H8963" i="1"/>
  <c r="J8963" i="1" s="1"/>
  <c r="H8964" i="1"/>
  <c r="J8964" i="1" s="1"/>
  <c r="H8965" i="1"/>
  <c r="J8965" i="1" s="1"/>
  <c r="H8966" i="1"/>
  <c r="H8967" i="1"/>
  <c r="H8968" i="1"/>
  <c r="J8968" i="1" s="1"/>
  <c r="H8969" i="1"/>
  <c r="J8969" i="1" s="1"/>
  <c r="H8970" i="1"/>
  <c r="J8970" i="1" s="1"/>
  <c r="H8971" i="1"/>
  <c r="J8971" i="1" s="1"/>
  <c r="H8972" i="1"/>
  <c r="J8972" i="1" s="1"/>
  <c r="H8973" i="1"/>
  <c r="J8973" i="1" s="1"/>
  <c r="H8974" i="1"/>
  <c r="J8974" i="1" s="1"/>
  <c r="H8975" i="1"/>
  <c r="H8976" i="1"/>
  <c r="J8976" i="1" s="1"/>
  <c r="H8977" i="1"/>
  <c r="J8977" i="1" s="1"/>
  <c r="H8978" i="1"/>
  <c r="J8978" i="1" s="1"/>
  <c r="H8979" i="1"/>
  <c r="J8979" i="1" s="1"/>
  <c r="H8980" i="1"/>
  <c r="H8981" i="1"/>
  <c r="J8981" i="1" s="1"/>
  <c r="H8982" i="1"/>
  <c r="J8982" i="1" s="1"/>
  <c r="H8983" i="1"/>
  <c r="J8983" i="1" s="1"/>
  <c r="H8984" i="1"/>
  <c r="J8984" i="1" s="1"/>
  <c r="H8985" i="1"/>
  <c r="J8985" i="1" s="1"/>
  <c r="H8986" i="1"/>
  <c r="J8986" i="1" s="1"/>
  <c r="H8987" i="1"/>
  <c r="J8987" i="1" s="1"/>
  <c r="H8988" i="1"/>
  <c r="J8988" i="1" s="1"/>
  <c r="H8989" i="1"/>
  <c r="J8989" i="1" s="1"/>
  <c r="H8990" i="1"/>
  <c r="H8991" i="1"/>
  <c r="J8991" i="1" s="1"/>
  <c r="H8992" i="1"/>
  <c r="J8992" i="1" s="1"/>
  <c r="H8993" i="1"/>
  <c r="J8993" i="1" s="1"/>
  <c r="H8994" i="1"/>
  <c r="J8994" i="1" s="1"/>
  <c r="H8995" i="1"/>
  <c r="H8996" i="1"/>
  <c r="J8996" i="1" s="1"/>
  <c r="H8997" i="1"/>
  <c r="J8997" i="1" s="1"/>
  <c r="H8998" i="1"/>
  <c r="J8998" i="1" s="1"/>
  <c r="H8999" i="1"/>
  <c r="J8999" i="1" s="1"/>
  <c r="H9000" i="1"/>
  <c r="J9000" i="1" s="1"/>
  <c r="H9001" i="1"/>
  <c r="J9001" i="1" s="1"/>
  <c r="H9002" i="1"/>
  <c r="J9002" i="1" s="1"/>
  <c r="H9003" i="1"/>
  <c r="H9004" i="1"/>
  <c r="J9004" i="1" s="1"/>
  <c r="H9005" i="1"/>
  <c r="J9005" i="1" s="1"/>
  <c r="H9006" i="1"/>
  <c r="J9006" i="1" s="1"/>
  <c r="H9007" i="1"/>
  <c r="H9008" i="1"/>
  <c r="J9008" i="1" s="1"/>
  <c r="H9009" i="1"/>
  <c r="J9009" i="1" s="1"/>
  <c r="H9010" i="1"/>
  <c r="H9011" i="1"/>
  <c r="J9011" i="1" s="1"/>
  <c r="H9012" i="1"/>
  <c r="J9012" i="1" s="1"/>
  <c r="H9013" i="1"/>
  <c r="J9013" i="1" s="1"/>
  <c r="H9014" i="1"/>
  <c r="J9014" i="1" s="1"/>
  <c r="H9015" i="1"/>
  <c r="J9015" i="1" s="1"/>
  <c r="H9016" i="1"/>
  <c r="H9017" i="1"/>
  <c r="J9017" i="1" s="1"/>
  <c r="H9018" i="1"/>
  <c r="J9018" i="1" s="1"/>
  <c r="H9019" i="1"/>
  <c r="H9020" i="1"/>
  <c r="J9020" i="1" s="1"/>
  <c r="H9021" i="1"/>
  <c r="H9022" i="1"/>
  <c r="J9022" i="1" s="1"/>
  <c r="H9023" i="1"/>
  <c r="J9023" i="1" s="1"/>
  <c r="H9024" i="1"/>
  <c r="J9024" i="1" s="1"/>
  <c r="H9025" i="1"/>
  <c r="H9026" i="1"/>
  <c r="H9027" i="1"/>
  <c r="J9027" i="1" s="1"/>
  <c r="H9028" i="1"/>
  <c r="J9028" i="1" s="1"/>
  <c r="H9029" i="1"/>
  <c r="H9030" i="1"/>
  <c r="J9030" i="1" s="1"/>
  <c r="H9031" i="1"/>
  <c r="H9032" i="1"/>
  <c r="J9032" i="1" s="1"/>
  <c r="H9033" i="1"/>
  <c r="J9033" i="1" s="1"/>
  <c r="H9034" i="1"/>
  <c r="H9035" i="1"/>
  <c r="J9035" i="1" s="1"/>
  <c r="H9036" i="1"/>
  <c r="J9036" i="1" s="1"/>
  <c r="H9037" i="1"/>
  <c r="J9037" i="1" s="1"/>
  <c r="H9038" i="1"/>
  <c r="J9038" i="1" s="1"/>
  <c r="H9039" i="1"/>
  <c r="J9039" i="1" s="1"/>
  <c r="H9040" i="1"/>
  <c r="J9040" i="1" s="1"/>
  <c r="H9041" i="1"/>
  <c r="J9041" i="1" s="1"/>
  <c r="H9042" i="1"/>
  <c r="H9043" i="1"/>
  <c r="H9044" i="1"/>
  <c r="H9045" i="1"/>
  <c r="J9045" i="1" s="1"/>
  <c r="H9046" i="1"/>
  <c r="J9046" i="1" s="1"/>
  <c r="H9047" i="1"/>
  <c r="J9047" i="1" s="1"/>
  <c r="H9048" i="1"/>
  <c r="J9048" i="1" s="1"/>
  <c r="H9049" i="1"/>
  <c r="J9049" i="1" s="1"/>
  <c r="H9050" i="1"/>
  <c r="J9050" i="1" s="1"/>
  <c r="H9051" i="1"/>
  <c r="J9051" i="1" s="1"/>
  <c r="H9052" i="1"/>
  <c r="J9052" i="1" s="1"/>
  <c r="H9053" i="1"/>
  <c r="J9053" i="1" s="1"/>
  <c r="H9054" i="1"/>
  <c r="H9055" i="1"/>
  <c r="H9056" i="1"/>
  <c r="H9057" i="1"/>
  <c r="J9057" i="1" s="1"/>
  <c r="H9058" i="1"/>
  <c r="J9058" i="1" s="1"/>
  <c r="H9059" i="1"/>
  <c r="J9059" i="1" s="1"/>
  <c r="H9060" i="1"/>
  <c r="J9060" i="1" s="1"/>
  <c r="H9061" i="1"/>
  <c r="J9061" i="1" s="1"/>
  <c r="H9062" i="1"/>
  <c r="H9063" i="1"/>
  <c r="J9063" i="1" s="1"/>
  <c r="H9064" i="1"/>
  <c r="H9065" i="1"/>
  <c r="H9066" i="1"/>
  <c r="H9067" i="1"/>
  <c r="H9068" i="1"/>
  <c r="H9069" i="1"/>
  <c r="H9070" i="1"/>
  <c r="J9070" i="1" s="1"/>
  <c r="H9071" i="1"/>
  <c r="J9071" i="1" s="1"/>
  <c r="H9072" i="1"/>
  <c r="J9072" i="1" s="1"/>
  <c r="H9073" i="1"/>
  <c r="J9073" i="1" s="1"/>
  <c r="H9074" i="1"/>
  <c r="J9074" i="1" s="1"/>
  <c r="H9075" i="1"/>
  <c r="J9075" i="1" s="1"/>
  <c r="H9076" i="1"/>
  <c r="J9076" i="1" s="1"/>
  <c r="H9077" i="1"/>
  <c r="J9077" i="1" s="1"/>
  <c r="H9078" i="1"/>
  <c r="H9079" i="1"/>
  <c r="H9080" i="1"/>
  <c r="H9081" i="1"/>
  <c r="J9081" i="1" s="1"/>
  <c r="H9082" i="1"/>
  <c r="J9082" i="1" s="1"/>
  <c r="H9083" i="1"/>
  <c r="J9083" i="1" s="1"/>
  <c r="H9084" i="1"/>
  <c r="J9084" i="1" s="1"/>
  <c r="H9085" i="1"/>
  <c r="J9085" i="1" s="1"/>
  <c r="H9086" i="1"/>
  <c r="J9086" i="1" s="1"/>
  <c r="H9087" i="1"/>
  <c r="J9087" i="1" s="1"/>
  <c r="H9088" i="1"/>
  <c r="H9089" i="1"/>
  <c r="J9089" i="1" s="1"/>
  <c r="H9090" i="1"/>
  <c r="H9091" i="1"/>
  <c r="H9092" i="1"/>
  <c r="H9093" i="1"/>
  <c r="J9093" i="1" s="1"/>
  <c r="H9094" i="1"/>
  <c r="J9094" i="1" s="1"/>
  <c r="H9095" i="1"/>
  <c r="J9095" i="1" s="1"/>
  <c r="H9096" i="1"/>
  <c r="J9096" i="1" s="1"/>
  <c r="H9097" i="1"/>
  <c r="J9097" i="1" s="1"/>
  <c r="H9098" i="1"/>
  <c r="J9098" i="1" s="1"/>
  <c r="H9099" i="1"/>
  <c r="J9099" i="1" s="1"/>
  <c r="H9100" i="1"/>
  <c r="J9100" i="1" s="1"/>
  <c r="H9101" i="1"/>
  <c r="J9101" i="1" s="1"/>
  <c r="H9102" i="1"/>
  <c r="H9103" i="1"/>
  <c r="H9104" i="1"/>
  <c r="H9105" i="1"/>
  <c r="J9105" i="1" s="1"/>
  <c r="H9106" i="1"/>
  <c r="J9106" i="1" s="1"/>
  <c r="H9107" i="1"/>
  <c r="J9107" i="1" s="1"/>
  <c r="H9108" i="1"/>
  <c r="J9108" i="1" s="1"/>
  <c r="H9109" i="1"/>
  <c r="J9109" i="1" s="1"/>
  <c r="H9110" i="1"/>
  <c r="H9111" i="1"/>
  <c r="J9111" i="1" s="1"/>
  <c r="H9112" i="1"/>
  <c r="J9112" i="1" s="1"/>
  <c r="H9113" i="1"/>
  <c r="J9113" i="1" s="1"/>
  <c r="H9114" i="1"/>
  <c r="H9115" i="1"/>
  <c r="H9116" i="1"/>
  <c r="H9117" i="1"/>
  <c r="J9117" i="1" s="1"/>
  <c r="H9118" i="1"/>
  <c r="J9118" i="1" s="1"/>
  <c r="H9119" i="1"/>
  <c r="H9120" i="1"/>
  <c r="J9120" i="1" s="1"/>
  <c r="H9121" i="1"/>
  <c r="J9121" i="1" s="1"/>
  <c r="H9122" i="1"/>
  <c r="J9122" i="1" s="1"/>
  <c r="H9123" i="1"/>
  <c r="J9123" i="1" s="1"/>
  <c r="H9124" i="1"/>
  <c r="H9125" i="1"/>
  <c r="J9125" i="1" s="1"/>
  <c r="H9126" i="1"/>
  <c r="H9127" i="1"/>
  <c r="H9128" i="1"/>
  <c r="H9129" i="1"/>
  <c r="J9129" i="1" s="1"/>
  <c r="H9130" i="1"/>
  <c r="J9130" i="1" s="1"/>
  <c r="H9131" i="1"/>
  <c r="J9131" i="1" s="1"/>
  <c r="H9132" i="1"/>
  <c r="J9132" i="1" s="1"/>
  <c r="H9133" i="1"/>
  <c r="J9133" i="1" s="1"/>
  <c r="H9134" i="1"/>
  <c r="J9134" i="1" s="1"/>
  <c r="H9135" i="1"/>
  <c r="J9135" i="1" s="1"/>
  <c r="H9136" i="1"/>
  <c r="H9137" i="1"/>
  <c r="J9137" i="1" s="1"/>
  <c r="H9138" i="1"/>
  <c r="H9139" i="1"/>
  <c r="H9140" i="1"/>
  <c r="H9141" i="1"/>
  <c r="J9141" i="1" s="1"/>
  <c r="H9142" i="1"/>
  <c r="J9142" i="1" s="1"/>
  <c r="H9143" i="1"/>
  <c r="J9143" i="1" s="1"/>
  <c r="H9144" i="1"/>
  <c r="J9144" i="1" s="1"/>
  <c r="H9145" i="1"/>
  <c r="J9145" i="1" s="1"/>
  <c r="H9146" i="1"/>
  <c r="J9146" i="1" s="1"/>
  <c r="H9147" i="1"/>
  <c r="J9147" i="1" s="1"/>
  <c r="H9148" i="1"/>
  <c r="J9148" i="1" s="1"/>
  <c r="H9149" i="1"/>
  <c r="J9149" i="1" s="1"/>
  <c r="H9150" i="1"/>
  <c r="H9151" i="1"/>
  <c r="H9152" i="1"/>
  <c r="H9153" i="1"/>
  <c r="J9153" i="1" s="1"/>
  <c r="H9154" i="1"/>
  <c r="J9154" i="1" s="1"/>
  <c r="H9155" i="1"/>
  <c r="J9155" i="1" s="1"/>
  <c r="H9156" i="1"/>
  <c r="J9156" i="1" s="1"/>
  <c r="H9157" i="1"/>
  <c r="J9157" i="1" s="1"/>
  <c r="H9158" i="1"/>
  <c r="J9158" i="1" s="1"/>
  <c r="H9159" i="1"/>
  <c r="J9159" i="1" s="1"/>
  <c r="H9160" i="1"/>
  <c r="J9160" i="1" s="1"/>
  <c r="H9161" i="1"/>
  <c r="J9161" i="1" s="1"/>
  <c r="H9162" i="1"/>
  <c r="H9163" i="1"/>
  <c r="H9164" i="1"/>
  <c r="H9165" i="1"/>
  <c r="J9165" i="1" s="1"/>
  <c r="H9166" i="1"/>
  <c r="J9166" i="1" s="1"/>
  <c r="H9167" i="1"/>
  <c r="J9167" i="1" s="1"/>
  <c r="H9168" i="1"/>
  <c r="J9168" i="1" s="1"/>
  <c r="H9169" i="1"/>
  <c r="J9169" i="1" s="1"/>
  <c r="H9170" i="1"/>
  <c r="J9170" i="1" s="1"/>
  <c r="H9171" i="1"/>
  <c r="J9171" i="1" s="1"/>
  <c r="H9172" i="1"/>
  <c r="J9172" i="1" s="1"/>
  <c r="H9173" i="1"/>
  <c r="H9174" i="1"/>
  <c r="H9175" i="1"/>
  <c r="H9176" i="1"/>
  <c r="H9177" i="1"/>
  <c r="J9177" i="1" s="1"/>
  <c r="H9178" i="1"/>
  <c r="H9179" i="1"/>
  <c r="J9179" i="1" s="1"/>
  <c r="H9180" i="1"/>
  <c r="J9180" i="1" s="1"/>
  <c r="H9181" i="1"/>
  <c r="J9181" i="1" s="1"/>
  <c r="H9182" i="1"/>
  <c r="J9182" i="1" s="1"/>
  <c r="H9183" i="1"/>
  <c r="J9183" i="1" s="1"/>
  <c r="H9184" i="1"/>
  <c r="J9184" i="1" s="1"/>
  <c r="H9185" i="1"/>
  <c r="J9185" i="1" s="1"/>
  <c r="H9186" i="1"/>
  <c r="H9187" i="1"/>
  <c r="H9188" i="1"/>
  <c r="H9189" i="1"/>
  <c r="J9189" i="1" s="1"/>
  <c r="H9190" i="1"/>
  <c r="J9190" i="1" s="1"/>
  <c r="H9191" i="1"/>
  <c r="H9192" i="1"/>
  <c r="J9192" i="1" s="1"/>
  <c r="H9193" i="1"/>
  <c r="J9193" i="1" s="1"/>
  <c r="H9194" i="1"/>
  <c r="J9194" i="1" s="1"/>
  <c r="H9195" i="1"/>
  <c r="J9195" i="1" s="1"/>
  <c r="H9196" i="1"/>
  <c r="J9196" i="1" s="1"/>
  <c r="H9197" i="1"/>
  <c r="J9197" i="1" s="1"/>
  <c r="H9198" i="1"/>
  <c r="H9199" i="1"/>
  <c r="H9200" i="1"/>
  <c r="H9201" i="1"/>
  <c r="J9201" i="1" s="1"/>
  <c r="H9202" i="1"/>
  <c r="J9202" i="1" s="1"/>
  <c r="H9203" i="1"/>
  <c r="J9203" i="1" s="1"/>
  <c r="H9204" i="1"/>
  <c r="J9204" i="1" s="1"/>
  <c r="H9205" i="1"/>
  <c r="J9205" i="1" s="1"/>
  <c r="H9206" i="1"/>
  <c r="J9206" i="1" s="1"/>
  <c r="H9207" i="1"/>
  <c r="J9207" i="1" s="1"/>
  <c r="H9208" i="1"/>
  <c r="H9209" i="1"/>
  <c r="J9209" i="1" s="1"/>
  <c r="H9210" i="1"/>
  <c r="H9211" i="1"/>
  <c r="H9212" i="1"/>
  <c r="H9213" i="1"/>
  <c r="J9213" i="1" s="1"/>
  <c r="H9214" i="1"/>
  <c r="J9214" i="1" s="1"/>
  <c r="H9215" i="1"/>
  <c r="J9215" i="1" s="1"/>
  <c r="H9216" i="1"/>
  <c r="J9216" i="1" s="1"/>
  <c r="H9217" i="1"/>
  <c r="J9217" i="1" s="1"/>
  <c r="H9218" i="1"/>
  <c r="J9218" i="1" s="1"/>
  <c r="H9219" i="1"/>
  <c r="J9219" i="1" s="1"/>
  <c r="H9220" i="1"/>
  <c r="J9220" i="1" s="1"/>
  <c r="H9221" i="1"/>
  <c r="J9221" i="1" s="1"/>
  <c r="H9222" i="1"/>
  <c r="H9223" i="1"/>
  <c r="H9224" i="1"/>
  <c r="H9225" i="1"/>
  <c r="J9225" i="1" s="1"/>
  <c r="H9226" i="1"/>
  <c r="H9227" i="1"/>
  <c r="J9227" i="1" s="1"/>
  <c r="H9228" i="1"/>
  <c r="J9228" i="1" s="1"/>
  <c r="H9229" i="1"/>
  <c r="J9229" i="1" s="1"/>
  <c r="H9230" i="1"/>
  <c r="J9230" i="1" s="1"/>
  <c r="H9231" i="1"/>
  <c r="J9231" i="1" s="1"/>
  <c r="H9232" i="1"/>
  <c r="J9232" i="1" s="1"/>
  <c r="H9233" i="1"/>
  <c r="J9233" i="1" s="1"/>
  <c r="H9234" i="1"/>
  <c r="H9235" i="1"/>
  <c r="H9236" i="1"/>
  <c r="H9237" i="1"/>
  <c r="J9237" i="1" s="1"/>
  <c r="H9238" i="1"/>
  <c r="J9238" i="1" s="1"/>
  <c r="H9239" i="1"/>
  <c r="H9240" i="1"/>
  <c r="J9240" i="1" s="1"/>
  <c r="H9241" i="1"/>
  <c r="J9241" i="1" s="1"/>
  <c r="H9242" i="1"/>
  <c r="J9242" i="1" s="1"/>
  <c r="H9243" i="1"/>
  <c r="J9243" i="1" s="1"/>
  <c r="H9244" i="1"/>
  <c r="J9244" i="1" s="1"/>
  <c r="H9245" i="1"/>
  <c r="H9246" i="1"/>
  <c r="H9247" i="1"/>
  <c r="H9248" i="1"/>
  <c r="H9249" i="1"/>
  <c r="J9249" i="1" s="1"/>
  <c r="H9250" i="1"/>
  <c r="J9250" i="1" s="1"/>
  <c r="H9251" i="1"/>
  <c r="J9251" i="1" s="1"/>
  <c r="H9252" i="1"/>
  <c r="J9252" i="1" s="1"/>
  <c r="H9253" i="1"/>
  <c r="J9253" i="1" s="1"/>
  <c r="H9254" i="1"/>
  <c r="J9254" i="1" s="1"/>
  <c r="H9255" i="1"/>
  <c r="J9255" i="1" s="1"/>
  <c r="H9256" i="1"/>
  <c r="J9256" i="1" s="1"/>
  <c r="H9257" i="1"/>
  <c r="J9257" i="1" s="1"/>
  <c r="H9258" i="1"/>
  <c r="H9259" i="1"/>
  <c r="H9260" i="1"/>
  <c r="H9261" i="1"/>
  <c r="J9261" i="1" s="1"/>
  <c r="H9262" i="1"/>
  <c r="J9262" i="1" s="1"/>
  <c r="H9263" i="1"/>
  <c r="H9264" i="1"/>
  <c r="J9264" i="1" s="1"/>
  <c r="H9265" i="1"/>
  <c r="J9265" i="1" s="1"/>
  <c r="H9266" i="1"/>
  <c r="J9266" i="1" s="1"/>
  <c r="H9267" i="1"/>
  <c r="H9268" i="1"/>
  <c r="J9268" i="1" s="1"/>
  <c r="H9269" i="1"/>
  <c r="J9269" i="1" s="1"/>
  <c r="H9270" i="1"/>
  <c r="H9271" i="1"/>
  <c r="H9272" i="1"/>
  <c r="H9273" i="1"/>
  <c r="J9273" i="1" s="1"/>
  <c r="H9274" i="1"/>
  <c r="J9274" i="1" s="1"/>
  <c r="H9275" i="1"/>
  <c r="J9275" i="1" s="1"/>
  <c r="H9276" i="1"/>
  <c r="J9276" i="1" s="1"/>
  <c r="H9277" i="1"/>
  <c r="J9277" i="1" s="1"/>
  <c r="H9278" i="1"/>
  <c r="J9278" i="1" s="1"/>
  <c r="H9279" i="1"/>
  <c r="J9279" i="1" s="1"/>
  <c r="H9280" i="1"/>
  <c r="J9280" i="1" s="1"/>
  <c r="H9281" i="1"/>
  <c r="J9281" i="1" s="1"/>
  <c r="H9282" i="1"/>
  <c r="H9283" i="1"/>
  <c r="H9284" i="1"/>
  <c r="H9285" i="1"/>
  <c r="J9285" i="1" s="1"/>
  <c r="H9286" i="1"/>
  <c r="J9286" i="1" s="1"/>
  <c r="H9287" i="1"/>
  <c r="J9287" i="1" s="1"/>
  <c r="H9288" i="1"/>
  <c r="J9288" i="1" s="1"/>
  <c r="H9289" i="1"/>
  <c r="J9289" i="1" s="1"/>
  <c r="H9290" i="1"/>
  <c r="J9290" i="1" s="1"/>
  <c r="H9291" i="1"/>
  <c r="H9292" i="1"/>
  <c r="J9292" i="1" s="1"/>
  <c r="H9293" i="1"/>
  <c r="J9293" i="1" s="1"/>
  <c r="H9294" i="1"/>
  <c r="H9295" i="1"/>
  <c r="H9296" i="1"/>
  <c r="H9297" i="1"/>
  <c r="J9297" i="1" s="1"/>
  <c r="H9298" i="1"/>
  <c r="J9298" i="1" s="1"/>
  <c r="H9299" i="1"/>
  <c r="J9299" i="1" s="1"/>
  <c r="H9300" i="1"/>
  <c r="J9300" i="1" s="1"/>
  <c r="H9301" i="1"/>
  <c r="J9301" i="1" s="1"/>
  <c r="H9302" i="1"/>
  <c r="J9302" i="1" s="1"/>
  <c r="H9303" i="1"/>
  <c r="J9303" i="1" s="1"/>
  <c r="H9304" i="1"/>
  <c r="J9304" i="1" s="1"/>
  <c r="H9305" i="1"/>
  <c r="J9305" i="1" s="1"/>
  <c r="H9306" i="1"/>
  <c r="H9307" i="1"/>
  <c r="H9308" i="1"/>
  <c r="H9309" i="1"/>
  <c r="J9309" i="1" s="1"/>
  <c r="H9310" i="1"/>
  <c r="J9310" i="1" s="1"/>
  <c r="H9311" i="1"/>
  <c r="H9312" i="1"/>
  <c r="J9312" i="1" s="1"/>
  <c r="H9313" i="1"/>
  <c r="J9313" i="1" s="1"/>
  <c r="H9314" i="1"/>
  <c r="J9314" i="1" s="1"/>
  <c r="H9315" i="1"/>
  <c r="J9315" i="1" s="1"/>
  <c r="H9316" i="1"/>
  <c r="J9316" i="1" s="1"/>
  <c r="H9317" i="1"/>
  <c r="J9317" i="1" s="1"/>
  <c r="H9318" i="1"/>
  <c r="H9319" i="1"/>
  <c r="H9320" i="1"/>
  <c r="H9321" i="1"/>
  <c r="J9321" i="1" s="1"/>
  <c r="H9322" i="1"/>
  <c r="H9323" i="1"/>
  <c r="J9323" i="1" s="1"/>
  <c r="H9324" i="1"/>
  <c r="J9324" i="1" s="1"/>
  <c r="H9325" i="1"/>
  <c r="J9325" i="1" s="1"/>
  <c r="H9326" i="1"/>
  <c r="J9326" i="1" s="1"/>
  <c r="H9327" i="1"/>
  <c r="J9327" i="1" s="1"/>
  <c r="H9328" i="1"/>
  <c r="J9328" i="1" s="1"/>
  <c r="H9329" i="1"/>
  <c r="J9329" i="1" s="1"/>
  <c r="H9330" i="1"/>
  <c r="H9331" i="1"/>
  <c r="H9332" i="1"/>
  <c r="H9333" i="1"/>
  <c r="J9333" i="1" s="1"/>
  <c r="H9334" i="1"/>
  <c r="J9334" i="1" s="1"/>
  <c r="H9335" i="1"/>
  <c r="J9335" i="1" s="1"/>
  <c r="H9336" i="1"/>
  <c r="J9336" i="1" s="1"/>
  <c r="H9337" i="1"/>
  <c r="J9337" i="1" s="1"/>
  <c r="H9338" i="1"/>
  <c r="J9338" i="1" s="1"/>
  <c r="H9339" i="1"/>
  <c r="H9340" i="1"/>
  <c r="J9340" i="1" s="1"/>
  <c r="H9341" i="1"/>
  <c r="J9341" i="1" s="1"/>
  <c r="H9342" i="1"/>
  <c r="H9343" i="1"/>
  <c r="H9344" i="1"/>
  <c r="H9345" i="1"/>
  <c r="J9345" i="1" s="1"/>
  <c r="H9346" i="1"/>
  <c r="J9346" i="1" s="1"/>
  <c r="H9347" i="1"/>
  <c r="J9347" i="1" s="1"/>
  <c r="H9348" i="1"/>
  <c r="J9348" i="1" s="1"/>
  <c r="H9349" i="1"/>
  <c r="J9349" i="1" s="1"/>
  <c r="H9350" i="1"/>
  <c r="J9350" i="1" s="1"/>
  <c r="H9351" i="1"/>
  <c r="J9351" i="1" s="1"/>
  <c r="H9352" i="1"/>
  <c r="H9353" i="1"/>
  <c r="J9353" i="1" s="1"/>
  <c r="H9354" i="1"/>
  <c r="H9355" i="1"/>
  <c r="H9356" i="1"/>
  <c r="H9357" i="1"/>
  <c r="J9357" i="1" s="1"/>
  <c r="H9358" i="1"/>
  <c r="J9358" i="1" s="1"/>
  <c r="H9359" i="1"/>
  <c r="H9360" i="1"/>
  <c r="J9360" i="1" s="1"/>
  <c r="H9361" i="1"/>
  <c r="J9361" i="1" s="1"/>
  <c r="H9362" i="1"/>
  <c r="J9362" i="1" s="1"/>
  <c r="H9363" i="1"/>
  <c r="J9363" i="1" s="1"/>
  <c r="H9364" i="1"/>
  <c r="J9364" i="1" s="1"/>
  <c r="H9365" i="1"/>
  <c r="H9366" i="1"/>
  <c r="H9367" i="1"/>
  <c r="H9368" i="1"/>
  <c r="H9369" i="1"/>
  <c r="J9369" i="1" s="1"/>
  <c r="H9370" i="1"/>
  <c r="J9370" i="1" s="1"/>
  <c r="H9371" i="1"/>
  <c r="J9371" i="1" s="1"/>
  <c r="H9372" i="1"/>
  <c r="J9372" i="1" s="1"/>
  <c r="H9373" i="1"/>
  <c r="J9373" i="1" s="1"/>
  <c r="H9374" i="1"/>
  <c r="J9374" i="1" s="1"/>
  <c r="H9375" i="1"/>
  <c r="J9375" i="1" s="1"/>
  <c r="H9376" i="1"/>
  <c r="J9376" i="1" s="1"/>
  <c r="H9377" i="1"/>
  <c r="J9377" i="1" s="1"/>
  <c r="H9378" i="1"/>
  <c r="H9379" i="1"/>
  <c r="H9380" i="1"/>
  <c r="H9381" i="1"/>
  <c r="J9381" i="1" s="1"/>
  <c r="H9382" i="1"/>
  <c r="J9382" i="1" s="1"/>
  <c r="H9383" i="1"/>
  <c r="H9384" i="1"/>
  <c r="J9384" i="1" s="1"/>
  <c r="H9385" i="1"/>
  <c r="J9385" i="1" s="1"/>
  <c r="H9386" i="1"/>
  <c r="J9386" i="1" s="1"/>
  <c r="H9387" i="1"/>
  <c r="J9387" i="1" s="1"/>
  <c r="H9388" i="1"/>
  <c r="J9388" i="1" s="1"/>
  <c r="H9389" i="1"/>
  <c r="J9389" i="1" s="1"/>
  <c r="H9390" i="1"/>
  <c r="H9391" i="1"/>
  <c r="H9392" i="1"/>
  <c r="H9393" i="1"/>
  <c r="J9393" i="1" s="1"/>
  <c r="H9394" i="1"/>
  <c r="J9394" i="1" s="1"/>
  <c r="H9395" i="1"/>
  <c r="J9395" i="1" s="1"/>
  <c r="H9396" i="1"/>
  <c r="J9396" i="1" s="1"/>
  <c r="H9397" i="1"/>
  <c r="J9397" i="1" s="1"/>
  <c r="H9398" i="1"/>
  <c r="J9398" i="1" s="1"/>
  <c r="H9399" i="1"/>
  <c r="J9399" i="1" s="1"/>
  <c r="H9400" i="1"/>
  <c r="J9400" i="1" s="1"/>
  <c r="H9401" i="1"/>
  <c r="J9401" i="1" s="1"/>
  <c r="H9402" i="1"/>
  <c r="H9403" i="1"/>
  <c r="H9404" i="1"/>
  <c r="H9405" i="1"/>
  <c r="J9405" i="1" s="1"/>
  <c r="H9406" i="1"/>
  <c r="J9406" i="1" s="1"/>
  <c r="H9407" i="1"/>
  <c r="J9407" i="1" s="1"/>
  <c r="H9408" i="1"/>
  <c r="J9408" i="1" s="1"/>
  <c r="H9409" i="1"/>
  <c r="J9409" i="1" s="1"/>
  <c r="H9410" i="1"/>
  <c r="J9410" i="1" s="1"/>
  <c r="H9411" i="1"/>
  <c r="J9411" i="1" s="1"/>
  <c r="H9412" i="1"/>
  <c r="J9412" i="1" s="1"/>
  <c r="H9413" i="1"/>
  <c r="J9413" i="1" s="1"/>
  <c r="H9414" i="1"/>
  <c r="H9415" i="1"/>
  <c r="H9416" i="1"/>
  <c r="H9417" i="1"/>
  <c r="J9417" i="1" s="1"/>
  <c r="H9418" i="1"/>
  <c r="J9418" i="1" s="1"/>
  <c r="H9419" i="1"/>
  <c r="J9419" i="1" s="1"/>
  <c r="H9420" i="1"/>
  <c r="J9420" i="1" s="1"/>
  <c r="H9421" i="1"/>
  <c r="J9421" i="1" s="1"/>
  <c r="H9422" i="1"/>
  <c r="H9423" i="1"/>
  <c r="J9423" i="1" s="1"/>
  <c r="H9424" i="1"/>
  <c r="J9424" i="1" s="1"/>
  <c r="H9425" i="1"/>
  <c r="J9425" i="1" s="1"/>
  <c r="H9426" i="1"/>
  <c r="H9427" i="1"/>
  <c r="H9428" i="1"/>
  <c r="H9429" i="1"/>
  <c r="J9429" i="1" s="1"/>
  <c r="H9430" i="1"/>
  <c r="J9430" i="1" s="1"/>
  <c r="H9431" i="1"/>
  <c r="J9431" i="1" s="1"/>
  <c r="H9432" i="1"/>
  <c r="J9432" i="1" s="1"/>
  <c r="H9433" i="1"/>
  <c r="J9433" i="1" s="1"/>
  <c r="H9434" i="1"/>
  <c r="J9434" i="1" s="1"/>
  <c r="H9435" i="1"/>
  <c r="J9435" i="1" s="1"/>
  <c r="H9436" i="1"/>
  <c r="J9436" i="1" s="1"/>
  <c r="H9437" i="1"/>
  <c r="J9437" i="1" s="1"/>
  <c r="H9438" i="1"/>
  <c r="H9439" i="1"/>
  <c r="H9440" i="1"/>
  <c r="H9441" i="1"/>
  <c r="J9441" i="1" s="1"/>
  <c r="H9442" i="1"/>
  <c r="J9442" i="1" s="1"/>
  <c r="H9443" i="1"/>
  <c r="J9443" i="1" s="1"/>
  <c r="H9444" i="1"/>
  <c r="J9444" i="1" s="1"/>
  <c r="H9445" i="1"/>
  <c r="J9445" i="1" s="1"/>
  <c r="H9446" i="1"/>
  <c r="J9446" i="1" s="1"/>
  <c r="H9447" i="1"/>
  <c r="J9447" i="1" s="1"/>
  <c r="H9448" i="1"/>
  <c r="H9449" i="1"/>
  <c r="J9449" i="1" s="1"/>
  <c r="H9450" i="1"/>
  <c r="H9451" i="1"/>
  <c r="H9452" i="1"/>
  <c r="H9453" i="1"/>
  <c r="J9453" i="1" s="1"/>
  <c r="H9454" i="1"/>
  <c r="J9454" i="1" s="1"/>
  <c r="H9455" i="1"/>
  <c r="H9456" i="1"/>
  <c r="J9456" i="1" s="1"/>
  <c r="H9457" i="1"/>
  <c r="H9458" i="1"/>
  <c r="J9458" i="1" s="1"/>
  <c r="H9459" i="1"/>
  <c r="J9459" i="1" s="1"/>
  <c r="H9460" i="1"/>
  <c r="J9460" i="1" s="1"/>
  <c r="H9461" i="1"/>
  <c r="H9462" i="1"/>
  <c r="H9463" i="1"/>
  <c r="H9464" i="1"/>
  <c r="H9465" i="1"/>
  <c r="J9465" i="1" s="1"/>
  <c r="H9466" i="1"/>
  <c r="J9466" i="1" s="1"/>
  <c r="H9467" i="1"/>
  <c r="J9467" i="1" s="1"/>
  <c r="H9468" i="1"/>
  <c r="J9468" i="1" s="1"/>
  <c r="H9469" i="1"/>
  <c r="J9469" i="1" s="1"/>
  <c r="H9470" i="1"/>
  <c r="H9471" i="1"/>
  <c r="J9471" i="1" s="1"/>
  <c r="H9472" i="1"/>
  <c r="J9472" i="1" s="1"/>
  <c r="H9473" i="1"/>
  <c r="J9473" i="1" s="1"/>
  <c r="H9474" i="1"/>
  <c r="H9475" i="1"/>
  <c r="H9476" i="1"/>
  <c r="H9477" i="1"/>
  <c r="H9478" i="1"/>
  <c r="J9478" i="1" s="1"/>
  <c r="H9479" i="1"/>
  <c r="J9479" i="1" s="1"/>
  <c r="H9480" i="1"/>
  <c r="J9480" i="1" s="1"/>
  <c r="H9481" i="1"/>
  <c r="H9482" i="1"/>
  <c r="J9482" i="1" s="1"/>
  <c r="H9483" i="1"/>
  <c r="H9484" i="1"/>
  <c r="J9484" i="1" s="1"/>
  <c r="H9485" i="1"/>
  <c r="J9485" i="1" s="1"/>
  <c r="H9486" i="1"/>
  <c r="H9487" i="1"/>
  <c r="H9488" i="1"/>
  <c r="H9489" i="1"/>
  <c r="J9489" i="1" s="1"/>
  <c r="H9490" i="1"/>
  <c r="J9490" i="1" s="1"/>
  <c r="H9491" i="1"/>
  <c r="J9491" i="1" s="1"/>
  <c r="H9492" i="1"/>
  <c r="J9492" i="1" s="1"/>
  <c r="H9493" i="1"/>
  <c r="J9493" i="1" s="1"/>
  <c r="H9494" i="1"/>
  <c r="H9495" i="1"/>
  <c r="J9495" i="1" s="1"/>
  <c r="H9496" i="1"/>
  <c r="J9496" i="1" s="1"/>
  <c r="H9497" i="1"/>
  <c r="J9497" i="1" s="1"/>
  <c r="H9498" i="1"/>
  <c r="H9499" i="1"/>
  <c r="H9500" i="1"/>
  <c r="H9501" i="1"/>
  <c r="J9501" i="1" s="1"/>
  <c r="H9502" i="1"/>
  <c r="J9502" i="1" s="1"/>
  <c r="H9503" i="1"/>
  <c r="J9503" i="1" s="1"/>
  <c r="H9504" i="1"/>
  <c r="J9504" i="1" s="1"/>
  <c r="H9505" i="1"/>
  <c r="J9505" i="1" s="1"/>
  <c r="H9506" i="1"/>
  <c r="J9506" i="1" s="1"/>
  <c r="H9507" i="1"/>
  <c r="J9507" i="1" s="1"/>
  <c r="H9508" i="1"/>
  <c r="H9509" i="1"/>
  <c r="J9509" i="1" s="1"/>
  <c r="H9510" i="1"/>
  <c r="H9511" i="1"/>
  <c r="H9512" i="1"/>
  <c r="H9513" i="1"/>
  <c r="J9513" i="1" s="1"/>
  <c r="H9514" i="1"/>
  <c r="J9514" i="1" s="1"/>
  <c r="H9515" i="1"/>
  <c r="J9515" i="1" s="1"/>
  <c r="H9516" i="1"/>
  <c r="J9516" i="1" s="1"/>
  <c r="H9517" i="1"/>
  <c r="J9517" i="1" s="1"/>
  <c r="H9518" i="1"/>
  <c r="J9518" i="1" s="1"/>
  <c r="H9519" i="1"/>
  <c r="J9519" i="1" s="1"/>
  <c r="H9520" i="1"/>
  <c r="J9520" i="1" s="1"/>
  <c r="H9521" i="1"/>
  <c r="J9521" i="1" s="1"/>
  <c r="H9522" i="1"/>
  <c r="H9523" i="1"/>
  <c r="H9524" i="1"/>
  <c r="H9525" i="1"/>
  <c r="J9525" i="1" s="1"/>
  <c r="H9526" i="1"/>
  <c r="J9526" i="1" s="1"/>
  <c r="H9527" i="1"/>
  <c r="H9528" i="1"/>
  <c r="J9528" i="1" s="1"/>
  <c r="H9529" i="1"/>
  <c r="J9529" i="1" s="1"/>
  <c r="H9530" i="1"/>
  <c r="J9530" i="1" s="1"/>
  <c r="H9531" i="1"/>
  <c r="J9531" i="1" s="1"/>
  <c r="H9532" i="1"/>
  <c r="J9532" i="1" s="1"/>
  <c r="H9533" i="1"/>
  <c r="J9533" i="1" s="1"/>
  <c r="H9534" i="1"/>
  <c r="H9535" i="1"/>
  <c r="H9536" i="1"/>
  <c r="H9537" i="1"/>
  <c r="J9537" i="1" s="1"/>
  <c r="H9538" i="1"/>
  <c r="J9538" i="1" s="1"/>
  <c r="H9539" i="1"/>
  <c r="J9539" i="1" s="1"/>
  <c r="H9540" i="1"/>
  <c r="J9540" i="1" s="1"/>
  <c r="H9541" i="1"/>
  <c r="J9541" i="1" s="1"/>
  <c r="H9542" i="1"/>
  <c r="J9542" i="1" s="1"/>
  <c r="H9543" i="1"/>
  <c r="J9543" i="1" s="1"/>
  <c r="H9544" i="1"/>
  <c r="J9544" i="1" s="1"/>
  <c r="H9545" i="1"/>
  <c r="J9545" i="1" s="1"/>
  <c r="H9546" i="1"/>
  <c r="H9547" i="1"/>
  <c r="H9548" i="1"/>
  <c r="H9549" i="1"/>
  <c r="H9550" i="1"/>
  <c r="J9550" i="1" s="1"/>
  <c r="H9551" i="1"/>
  <c r="J9551" i="1" s="1"/>
  <c r="H9552" i="1"/>
  <c r="J9552" i="1" s="1"/>
  <c r="H9553" i="1"/>
  <c r="H9554" i="1"/>
  <c r="J9554" i="1" s="1"/>
  <c r="H9555" i="1"/>
  <c r="H9556" i="1"/>
  <c r="J9556" i="1" s="1"/>
  <c r="H9557" i="1"/>
  <c r="J9557" i="1" s="1"/>
  <c r="H9558" i="1"/>
  <c r="H9559" i="1"/>
  <c r="H9560" i="1"/>
  <c r="H9561" i="1"/>
  <c r="J9561" i="1" s="1"/>
  <c r="H9562" i="1"/>
  <c r="J9562" i="1" s="1"/>
  <c r="H9563" i="1"/>
  <c r="J9563" i="1" s="1"/>
  <c r="H9564" i="1"/>
  <c r="J9564" i="1" s="1"/>
  <c r="H9565" i="1"/>
  <c r="J9565" i="1" s="1"/>
  <c r="H9566" i="1"/>
  <c r="H9567" i="1"/>
  <c r="J9567" i="1" s="1"/>
  <c r="H9568" i="1"/>
  <c r="J9568" i="1" s="1"/>
  <c r="H9569" i="1"/>
  <c r="J9569" i="1" s="1"/>
  <c r="H9570" i="1"/>
  <c r="H9571" i="1"/>
  <c r="H9572" i="1"/>
  <c r="H9573" i="1"/>
  <c r="H9574" i="1"/>
  <c r="J9574" i="1" s="1"/>
  <c r="H9575" i="1"/>
  <c r="H9576" i="1"/>
  <c r="J9576" i="1" s="1"/>
  <c r="H9577" i="1"/>
  <c r="J9577" i="1" s="1"/>
  <c r="H9578" i="1"/>
  <c r="J9578" i="1" s="1"/>
  <c r="H9579" i="1"/>
  <c r="H9580" i="1"/>
  <c r="J9580" i="1" s="1"/>
  <c r="H9581" i="1"/>
  <c r="J9581" i="1" s="1"/>
  <c r="H9582" i="1"/>
  <c r="H9583" i="1"/>
  <c r="H9584" i="1"/>
  <c r="H9585" i="1"/>
  <c r="J9585" i="1" s="1"/>
  <c r="H9586" i="1"/>
  <c r="J9586" i="1" s="1"/>
  <c r="H9587" i="1"/>
  <c r="J9587" i="1" s="1"/>
  <c r="H9588" i="1"/>
  <c r="J9588" i="1" s="1"/>
  <c r="H9589" i="1"/>
  <c r="J9589" i="1" s="1"/>
  <c r="H9590" i="1"/>
  <c r="J9590" i="1" s="1"/>
  <c r="H9591" i="1"/>
  <c r="J9591" i="1" s="1"/>
  <c r="H9592" i="1"/>
  <c r="J9592" i="1" s="1"/>
  <c r="H9593" i="1"/>
  <c r="J9593" i="1" s="1"/>
  <c r="H9594" i="1"/>
  <c r="H9595" i="1"/>
  <c r="H9596" i="1"/>
  <c r="H9597" i="1"/>
  <c r="J9597" i="1" s="1"/>
  <c r="H9598" i="1"/>
  <c r="J9598" i="1" s="1"/>
  <c r="H9599" i="1"/>
  <c r="H9600" i="1"/>
  <c r="J9600" i="1" s="1"/>
  <c r="H9601" i="1"/>
  <c r="J9601" i="1" s="1"/>
  <c r="H9602" i="1"/>
  <c r="J9602" i="1" s="1"/>
  <c r="H9603" i="1"/>
  <c r="J9603" i="1" s="1"/>
  <c r="H9604" i="1"/>
  <c r="J9604" i="1" s="1"/>
  <c r="H9605" i="1"/>
  <c r="J9605" i="1" s="1"/>
  <c r="H9606" i="1"/>
  <c r="H9607" i="1"/>
  <c r="H9608" i="1"/>
  <c r="H9609" i="1"/>
  <c r="J9609" i="1" s="1"/>
  <c r="H9610" i="1"/>
  <c r="H9611" i="1"/>
  <c r="J9611" i="1" s="1"/>
  <c r="H9612" i="1"/>
  <c r="J9612" i="1" s="1"/>
  <c r="H9613" i="1"/>
  <c r="J9613" i="1" s="1"/>
  <c r="H9614" i="1"/>
  <c r="H9615" i="1"/>
  <c r="J9615" i="1" s="1"/>
  <c r="H9616" i="1"/>
  <c r="J9616" i="1" s="1"/>
  <c r="H9617" i="1"/>
  <c r="J9617" i="1" s="1"/>
  <c r="H9618" i="1"/>
  <c r="H9619" i="1"/>
  <c r="H9620" i="1"/>
  <c r="H9621" i="1"/>
  <c r="H9622" i="1"/>
  <c r="J9622" i="1" s="1"/>
  <c r="H9623" i="1"/>
  <c r="H9624" i="1"/>
  <c r="J9624" i="1" s="1"/>
  <c r="H9625" i="1"/>
  <c r="J9625" i="1" s="1"/>
  <c r="H9626" i="1"/>
  <c r="H9627" i="1"/>
  <c r="J9627" i="1" s="1"/>
  <c r="H9628" i="1"/>
  <c r="J9628" i="1" s="1"/>
  <c r="H9629" i="1"/>
  <c r="J9629" i="1" s="1"/>
  <c r="H9630" i="1"/>
  <c r="H9631" i="1"/>
  <c r="H9632" i="1"/>
  <c r="H9633" i="1"/>
  <c r="J9633" i="1" s="1"/>
  <c r="H9634" i="1"/>
  <c r="J9634" i="1" s="1"/>
  <c r="H9635" i="1"/>
  <c r="J9635" i="1" s="1"/>
  <c r="H9636" i="1"/>
  <c r="J9636" i="1" s="1"/>
  <c r="H9637" i="1"/>
  <c r="J9637" i="1" s="1"/>
  <c r="H9638" i="1"/>
  <c r="J9638" i="1" s="1"/>
  <c r="H9639" i="1"/>
  <c r="J9639" i="1" s="1"/>
  <c r="H9640" i="1"/>
  <c r="J9640" i="1" s="1"/>
  <c r="H9641" i="1"/>
  <c r="J9641" i="1" s="1"/>
  <c r="H9642" i="1"/>
  <c r="H9643" i="1"/>
  <c r="H9644" i="1"/>
  <c r="H9645" i="1"/>
  <c r="J9645" i="1" s="1"/>
  <c r="H9646" i="1"/>
  <c r="J9646" i="1" s="1"/>
  <c r="H9647" i="1"/>
  <c r="H9648" i="1"/>
  <c r="J9648" i="1" s="1"/>
  <c r="H9649" i="1"/>
  <c r="J9649" i="1" s="1"/>
  <c r="H9650" i="1"/>
  <c r="J9650" i="1" s="1"/>
  <c r="H9651" i="1"/>
  <c r="J9651" i="1" s="1"/>
  <c r="H9652" i="1"/>
  <c r="J9652" i="1" s="1"/>
  <c r="H9653" i="1"/>
  <c r="J9653" i="1" s="1"/>
  <c r="H9654" i="1"/>
  <c r="H9655" i="1"/>
  <c r="H9656" i="1"/>
  <c r="H9657" i="1"/>
  <c r="J9657" i="1" s="1"/>
  <c r="H9658" i="1"/>
  <c r="J9658" i="1" s="1"/>
  <c r="H9659" i="1"/>
  <c r="J9659" i="1" s="1"/>
  <c r="H9660" i="1"/>
  <c r="J9660" i="1" s="1"/>
  <c r="H9661" i="1"/>
  <c r="J9661" i="1" s="1"/>
  <c r="H9662" i="1"/>
  <c r="J9662" i="1" s="1"/>
  <c r="H9663" i="1"/>
  <c r="J9663" i="1" s="1"/>
  <c r="H9664" i="1"/>
  <c r="H9665" i="1"/>
  <c r="J9665" i="1" s="1"/>
  <c r="H9666" i="1"/>
  <c r="H9667" i="1"/>
  <c r="H9668" i="1"/>
  <c r="H9669" i="1"/>
  <c r="J9669" i="1" s="1"/>
  <c r="H9670" i="1"/>
  <c r="J9670" i="1" s="1"/>
  <c r="H9671" i="1"/>
  <c r="J9671" i="1" s="1"/>
  <c r="H9672" i="1"/>
  <c r="J9672" i="1" s="1"/>
  <c r="H9673" i="1"/>
  <c r="J9673" i="1" s="1"/>
  <c r="H9674" i="1"/>
  <c r="J9674" i="1" s="1"/>
  <c r="H9675" i="1"/>
  <c r="J9675" i="1" s="1"/>
  <c r="H9676" i="1"/>
  <c r="J9676" i="1" s="1"/>
  <c r="H9677" i="1"/>
  <c r="J9677" i="1" s="1"/>
  <c r="H9678" i="1"/>
  <c r="H9679" i="1"/>
  <c r="H9680" i="1"/>
  <c r="H9681" i="1"/>
  <c r="J9681" i="1" s="1"/>
  <c r="H9682" i="1"/>
  <c r="J9682" i="1" s="1"/>
  <c r="H9683" i="1"/>
  <c r="H9684" i="1"/>
  <c r="J9684" i="1" s="1"/>
  <c r="H9685" i="1"/>
  <c r="J9685" i="1" s="1"/>
  <c r="H9686" i="1"/>
  <c r="J9686" i="1" s="1"/>
  <c r="H9687" i="1"/>
  <c r="J9687" i="1" s="1"/>
  <c r="H9688" i="1"/>
  <c r="J9688" i="1" s="1"/>
  <c r="H9689" i="1"/>
  <c r="J9689" i="1" s="1"/>
  <c r="H9690" i="1"/>
  <c r="H9691" i="1"/>
  <c r="H9692" i="1"/>
  <c r="H9693" i="1"/>
  <c r="H9694" i="1"/>
  <c r="J9694" i="1" s="1"/>
  <c r="H9695" i="1"/>
  <c r="H9696" i="1"/>
  <c r="J9696" i="1" s="1"/>
  <c r="H9697" i="1"/>
  <c r="J9697" i="1" s="1"/>
  <c r="H9698" i="1"/>
  <c r="J9698" i="1" s="1"/>
  <c r="H9699" i="1"/>
  <c r="J9699" i="1" s="1"/>
  <c r="H9700" i="1"/>
  <c r="J9700" i="1" s="1"/>
  <c r="H9701" i="1"/>
  <c r="J9701" i="1" s="1"/>
  <c r="H9702" i="1"/>
  <c r="H9703" i="1"/>
  <c r="H9704" i="1"/>
  <c r="H9705" i="1"/>
  <c r="J9705" i="1" s="1"/>
  <c r="H9706" i="1"/>
  <c r="J9706" i="1" s="1"/>
  <c r="H9707" i="1"/>
  <c r="H9708" i="1"/>
  <c r="J9708" i="1" s="1"/>
  <c r="H9709" i="1"/>
  <c r="J9709" i="1" s="1"/>
  <c r="H9710" i="1"/>
  <c r="J9710" i="1" s="1"/>
  <c r="H9711" i="1"/>
  <c r="H9712" i="1"/>
  <c r="J9712" i="1" s="1"/>
  <c r="H9713" i="1"/>
  <c r="J9713" i="1" s="1"/>
  <c r="H9714" i="1"/>
  <c r="H9715" i="1"/>
  <c r="H9716" i="1"/>
  <c r="H9717" i="1"/>
  <c r="H9718" i="1"/>
  <c r="J9718" i="1" s="1"/>
  <c r="H9719" i="1"/>
  <c r="H9720" i="1"/>
  <c r="J9720" i="1" s="1"/>
  <c r="H9721" i="1"/>
  <c r="J9721" i="1" s="1"/>
  <c r="H9722" i="1"/>
  <c r="J9722" i="1" s="1"/>
  <c r="H9723" i="1"/>
  <c r="J9723" i="1" s="1"/>
  <c r="H9724" i="1"/>
  <c r="H9725" i="1"/>
  <c r="J9725" i="1" s="1"/>
  <c r="H9726" i="1"/>
  <c r="H9727" i="1"/>
  <c r="H9728" i="1"/>
  <c r="H9729" i="1"/>
  <c r="J9729" i="1" s="1"/>
  <c r="H9730" i="1"/>
  <c r="H9731" i="1"/>
  <c r="H9732" i="1"/>
  <c r="J9732" i="1" s="1"/>
  <c r="H9733" i="1"/>
  <c r="J9733" i="1" s="1"/>
  <c r="H9734" i="1"/>
  <c r="J9734" i="1" s="1"/>
  <c r="H9735" i="1"/>
  <c r="J9735" i="1" s="1"/>
  <c r="H9736" i="1"/>
  <c r="H9737" i="1"/>
  <c r="J9737" i="1" s="1"/>
  <c r="H9738" i="1"/>
  <c r="H9739" i="1"/>
  <c r="H9740" i="1"/>
  <c r="H9741" i="1"/>
  <c r="J9741" i="1" s="1"/>
  <c r="H9742" i="1"/>
  <c r="J9742" i="1" s="1"/>
  <c r="H9743" i="1"/>
  <c r="J9743" i="1" s="1"/>
  <c r="H9744" i="1"/>
  <c r="J9744" i="1" s="1"/>
  <c r="H9745" i="1"/>
  <c r="J9745" i="1" s="1"/>
  <c r="H9746" i="1"/>
  <c r="J9746" i="1" s="1"/>
  <c r="H9747" i="1"/>
  <c r="J9747" i="1" s="1"/>
  <c r="H9748" i="1"/>
  <c r="J9748" i="1" s="1"/>
  <c r="H9749" i="1"/>
  <c r="H9750" i="1"/>
  <c r="H9751" i="1"/>
  <c r="H9752" i="1"/>
  <c r="H9753" i="1"/>
  <c r="J9753" i="1" s="1"/>
  <c r="H9754" i="1"/>
  <c r="J9754" i="1" s="1"/>
  <c r="H9755" i="1"/>
  <c r="J9755" i="1" s="1"/>
  <c r="H9756" i="1"/>
  <c r="J9756" i="1" s="1"/>
  <c r="H9757" i="1"/>
  <c r="J9757" i="1" s="1"/>
  <c r="H9758" i="1"/>
  <c r="J9758" i="1" s="1"/>
  <c r="H9759" i="1"/>
  <c r="J9759" i="1" s="1"/>
  <c r="H9760" i="1"/>
  <c r="J9760" i="1" s="1"/>
  <c r="H9761" i="1"/>
  <c r="J9761" i="1" s="1"/>
  <c r="H9762" i="1"/>
  <c r="H9763" i="1"/>
  <c r="H9764" i="1"/>
  <c r="H9765" i="1"/>
  <c r="J9765" i="1" s="1"/>
  <c r="H9766" i="1"/>
  <c r="J9766" i="1" s="1"/>
  <c r="H9767" i="1"/>
  <c r="H9768" i="1"/>
  <c r="J9768" i="1" s="1"/>
  <c r="H9769" i="1"/>
  <c r="J9769" i="1" s="1"/>
  <c r="H9770" i="1"/>
  <c r="J9770" i="1" s="1"/>
  <c r="H9771" i="1"/>
  <c r="J9771" i="1" s="1"/>
  <c r="H9772" i="1"/>
  <c r="J9772" i="1" s="1"/>
  <c r="H9773" i="1"/>
  <c r="J9773" i="1" s="1"/>
  <c r="H9774" i="1"/>
  <c r="H9775" i="1"/>
  <c r="H9776" i="1"/>
  <c r="H9777" i="1"/>
  <c r="J9777" i="1" s="1"/>
  <c r="H9778" i="1"/>
  <c r="J9778" i="1" s="1"/>
  <c r="H9779" i="1"/>
  <c r="J9779" i="1" s="1"/>
  <c r="H9780" i="1"/>
  <c r="J9780" i="1" s="1"/>
  <c r="H9781" i="1"/>
  <c r="J9781" i="1" s="1"/>
  <c r="H9782" i="1"/>
  <c r="J9782" i="1" s="1"/>
  <c r="H9783" i="1"/>
  <c r="J9783" i="1" s="1"/>
  <c r="H9784" i="1"/>
  <c r="J9784" i="1" s="1"/>
  <c r="H9785" i="1"/>
  <c r="J9785" i="1" s="1"/>
  <c r="H9786" i="1"/>
  <c r="H9787" i="1"/>
  <c r="H9788" i="1"/>
  <c r="H9789" i="1"/>
  <c r="J9789" i="1" s="1"/>
  <c r="H9790" i="1"/>
  <c r="J9790" i="1" s="1"/>
  <c r="H9791" i="1"/>
  <c r="J9791" i="1" s="1"/>
  <c r="H9792" i="1"/>
  <c r="J9792" i="1" s="1"/>
  <c r="H9793" i="1"/>
  <c r="J9793" i="1" s="1"/>
  <c r="H9794" i="1"/>
  <c r="J9794" i="1" s="1"/>
  <c r="H9795" i="1"/>
  <c r="H9796" i="1"/>
  <c r="H9797" i="1"/>
  <c r="J9797" i="1" s="1"/>
  <c r="H9798" i="1"/>
  <c r="H9799" i="1"/>
  <c r="H9800" i="1"/>
  <c r="H9801" i="1"/>
  <c r="J9801" i="1" s="1"/>
  <c r="H9802" i="1"/>
  <c r="J9802" i="1" s="1"/>
  <c r="H9803" i="1"/>
  <c r="J9803" i="1" s="1"/>
  <c r="H9804" i="1"/>
  <c r="J9804" i="1" s="1"/>
  <c r="H9805" i="1"/>
  <c r="H9806" i="1"/>
  <c r="J9806" i="1" s="1"/>
  <c r="H9807" i="1"/>
  <c r="J9807" i="1" s="1"/>
  <c r="H9808" i="1"/>
  <c r="J9808" i="1" s="1"/>
  <c r="H9809" i="1"/>
  <c r="J9809" i="1" s="1"/>
  <c r="H9810" i="1"/>
  <c r="H9811" i="1"/>
  <c r="H9812" i="1"/>
  <c r="H9813" i="1"/>
  <c r="J9813" i="1" s="1"/>
  <c r="H9814" i="1"/>
  <c r="J9814" i="1" s="1"/>
  <c r="H9815" i="1"/>
  <c r="J9815" i="1" s="1"/>
  <c r="H9816" i="1"/>
  <c r="J9816" i="1" s="1"/>
  <c r="H9817" i="1"/>
  <c r="J9817" i="1" s="1"/>
  <c r="H9818" i="1"/>
  <c r="J9818" i="1" s="1"/>
  <c r="H9819" i="1"/>
  <c r="J9819" i="1" s="1"/>
  <c r="H9820" i="1"/>
  <c r="J9820" i="1" s="1"/>
  <c r="H9821" i="1"/>
  <c r="J9821" i="1" s="1"/>
  <c r="H9822" i="1"/>
  <c r="H9823" i="1"/>
  <c r="H9824" i="1"/>
  <c r="H9825" i="1"/>
  <c r="J9825" i="1" s="1"/>
  <c r="H9826" i="1"/>
  <c r="H9827" i="1"/>
  <c r="J9827" i="1" s="1"/>
  <c r="H9828" i="1"/>
  <c r="J9828" i="1" s="1"/>
  <c r="H9829" i="1"/>
  <c r="J9829" i="1" s="1"/>
  <c r="H9830" i="1"/>
  <c r="J9830" i="1" s="1"/>
  <c r="H9831" i="1"/>
  <c r="H9832" i="1"/>
  <c r="J9832" i="1" s="1"/>
  <c r="H9833" i="1"/>
  <c r="J9833" i="1" s="1"/>
  <c r="H9834" i="1"/>
  <c r="H9835" i="1"/>
  <c r="H9836" i="1"/>
  <c r="H9837" i="1"/>
  <c r="H9838" i="1"/>
  <c r="J9838" i="1" s="1"/>
  <c r="H9839" i="1"/>
  <c r="H9840" i="1"/>
  <c r="J9840" i="1" s="1"/>
  <c r="H9841" i="1"/>
  <c r="H9842" i="1"/>
  <c r="H9843" i="1"/>
  <c r="J9843" i="1" s="1"/>
  <c r="H9844" i="1"/>
  <c r="J9844" i="1" s="1"/>
  <c r="H9845" i="1"/>
  <c r="H9846" i="1"/>
  <c r="H9847" i="1"/>
  <c r="H9848" i="1"/>
  <c r="H9849" i="1"/>
  <c r="J9849" i="1" s="1"/>
  <c r="H9850" i="1"/>
  <c r="H9851" i="1"/>
  <c r="H9852" i="1"/>
  <c r="J9852" i="1" s="1"/>
  <c r="H9853" i="1"/>
  <c r="J9853" i="1" s="1"/>
  <c r="H9854" i="1"/>
  <c r="J9854" i="1" s="1"/>
  <c r="H9855" i="1"/>
  <c r="J9855" i="1" s="1"/>
  <c r="H9856" i="1"/>
  <c r="J9856" i="1" s="1"/>
  <c r="H9857" i="1"/>
  <c r="H9858" i="1"/>
  <c r="H9859" i="1"/>
  <c r="H9860" i="1"/>
  <c r="H9861" i="1"/>
  <c r="J9861" i="1" s="1"/>
  <c r="H9862" i="1"/>
  <c r="J9862" i="1" s="1"/>
  <c r="H9863" i="1"/>
  <c r="H9864" i="1"/>
  <c r="J9864" i="1" s="1"/>
  <c r="H9865" i="1"/>
  <c r="J9865" i="1" s="1"/>
  <c r="H9866" i="1"/>
  <c r="J9866" i="1" s="1"/>
  <c r="H9867" i="1"/>
  <c r="J9867" i="1" s="1"/>
  <c r="H9868" i="1"/>
  <c r="J9868" i="1" s="1"/>
  <c r="H9869" i="1"/>
  <c r="H9870" i="1"/>
  <c r="H9871" i="1"/>
  <c r="H9872" i="1"/>
  <c r="H9873" i="1"/>
  <c r="J9873" i="1" s="1"/>
  <c r="H9874" i="1"/>
  <c r="J9874" i="1" s="1"/>
  <c r="H9875" i="1"/>
  <c r="H9876" i="1"/>
  <c r="J9876" i="1" s="1"/>
  <c r="H9877" i="1"/>
  <c r="J9877" i="1" s="1"/>
  <c r="H9878" i="1"/>
  <c r="J9878" i="1" s="1"/>
  <c r="H9879" i="1"/>
  <c r="H9880" i="1"/>
  <c r="H9881" i="1"/>
  <c r="H9882" i="1"/>
  <c r="H9883" i="1"/>
  <c r="H9884" i="1"/>
  <c r="H9885" i="1"/>
  <c r="H9886" i="1"/>
  <c r="J9886" i="1" s="1"/>
  <c r="H9887" i="1"/>
  <c r="H9888" i="1"/>
  <c r="J9888" i="1" s="1"/>
  <c r="H9889" i="1"/>
  <c r="J9889" i="1" s="1"/>
  <c r="H9890" i="1"/>
  <c r="J9890" i="1" s="1"/>
  <c r="H9891" i="1"/>
  <c r="J9891" i="1" s="1"/>
  <c r="H9892" i="1"/>
  <c r="J9892" i="1" s="1"/>
  <c r="H9893" i="1"/>
  <c r="H9894" i="1"/>
  <c r="H9895" i="1"/>
  <c r="H9896" i="1"/>
  <c r="H9897" i="1"/>
  <c r="J9897" i="1" s="1"/>
  <c r="H9898" i="1"/>
  <c r="H9899" i="1"/>
  <c r="H9900" i="1"/>
  <c r="J9900" i="1" s="1"/>
  <c r="H9901" i="1"/>
  <c r="J9901" i="1" s="1"/>
  <c r="H9902" i="1"/>
  <c r="H9903" i="1"/>
  <c r="J9903" i="1" s="1"/>
  <c r="H9904" i="1"/>
  <c r="J9904" i="1" s="1"/>
  <c r="H9905" i="1"/>
  <c r="H9906" i="1"/>
  <c r="H9907" i="1"/>
  <c r="H9908" i="1"/>
  <c r="H9909" i="1"/>
  <c r="J9909" i="1" s="1"/>
  <c r="H9910" i="1"/>
  <c r="J9910" i="1" s="1"/>
  <c r="H9911" i="1"/>
  <c r="H9912" i="1"/>
  <c r="J9912" i="1" s="1"/>
  <c r="H9913" i="1"/>
  <c r="J9913" i="1" s="1"/>
  <c r="H9914" i="1"/>
  <c r="J9914" i="1" s="1"/>
  <c r="H9915" i="1"/>
  <c r="H9916" i="1"/>
  <c r="H9917" i="1"/>
  <c r="H9918" i="1"/>
  <c r="H9919" i="1"/>
  <c r="H9920" i="1"/>
  <c r="H9921" i="1"/>
  <c r="J9921" i="1" s="1"/>
  <c r="H9922" i="1"/>
  <c r="J9922" i="1" s="1"/>
  <c r="H9923" i="1"/>
  <c r="H9924" i="1"/>
  <c r="J9924" i="1" s="1"/>
  <c r="H9925" i="1"/>
  <c r="J9925" i="1" s="1"/>
  <c r="H9926" i="1"/>
  <c r="H9927" i="1"/>
  <c r="J9927" i="1" s="1"/>
  <c r="H9928" i="1"/>
  <c r="H9929" i="1"/>
  <c r="H9930" i="1"/>
  <c r="H9931" i="1"/>
  <c r="H9932" i="1"/>
  <c r="H9933" i="1"/>
  <c r="J9933" i="1" s="1"/>
  <c r="H9934" i="1"/>
  <c r="J9934" i="1" s="1"/>
  <c r="H9935" i="1"/>
  <c r="J9935" i="1" s="1"/>
  <c r="H9936" i="1"/>
  <c r="J9936" i="1" s="1"/>
  <c r="H9937" i="1"/>
  <c r="H9938" i="1"/>
  <c r="J9938" i="1" s="1"/>
  <c r="H9939" i="1"/>
  <c r="J9939" i="1" s="1"/>
  <c r="H9940" i="1"/>
  <c r="H9941" i="1"/>
  <c r="H9942" i="1"/>
  <c r="H9943" i="1"/>
  <c r="H9944" i="1"/>
  <c r="H9945" i="1"/>
  <c r="J9945" i="1" s="1"/>
  <c r="H9946" i="1"/>
  <c r="J9946" i="1" s="1"/>
  <c r="H9947" i="1"/>
  <c r="J9947" i="1" s="1"/>
  <c r="H9948" i="1"/>
  <c r="H9949" i="1"/>
  <c r="J9949" i="1" s="1"/>
  <c r="H9950" i="1"/>
  <c r="H9951" i="1"/>
  <c r="J9951" i="1" s="1"/>
  <c r="H9952" i="1"/>
  <c r="H9953" i="1"/>
  <c r="H9954" i="1"/>
  <c r="H9955" i="1"/>
  <c r="H9956" i="1"/>
  <c r="H9957" i="1"/>
  <c r="J9957" i="1" s="1"/>
  <c r="H9958" i="1"/>
  <c r="J9958" i="1" s="1"/>
  <c r="H9959" i="1"/>
  <c r="J9959" i="1" s="1"/>
  <c r="H9960" i="1"/>
  <c r="H9961" i="1"/>
  <c r="J9961" i="1" s="1"/>
  <c r="H9962" i="1"/>
  <c r="J9962" i="1" s="1"/>
  <c r="H9963" i="1"/>
  <c r="H9964" i="1"/>
  <c r="H9965" i="1"/>
  <c r="H9966" i="1"/>
  <c r="H9967" i="1"/>
  <c r="H9968" i="1"/>
  <c r="H9969" i="1"/>
  <c r="J9969" i="1" s="1"/>
  <c r="H9970" i="1"/>
  <c r="J9970" i="1" s="1"/>
  <c r="H9971" i="1"/>
  <c r="J9971" i="1" s="1"/>
  <c r="H9972" i="1"/>
  <c r="H9973" i="1"/>
  <c r="J9973" i="1" s="1"/>
  <c r="H9974" i="1"/>
  <c r="J9974" i="1" s="1"/>
  <c r="H9975" i="1"/>
  <c r="H9976" i="1"/>
  <c r="H9977" i="1"/>
  <c r="H9978" i="1"/>
  <c r="H9979" i="1"/>
  <c r="H9980" i="1"/>
  <c r="H9981" i="1"/>
  <c r="J9981" i="1" s="1"/>
  <c r="H9982" i="1"/>
  <c r="J9982" i="1" s="1"/>
  <c r="H9983" i="1"/>
  <c r="J9983" i="1" s="1"/>
  <c r="H9984" i="1"/>
  <c r="H9985" i="1"/>
  <c r="J9985" i="1" s="1"/>
  <c r="H9986" i="1"/>
  <c r="H9987" i="1"/>
  <c r="J9987" i="1" s="1"/>
  <c r="H9988" i="1"/>
  <c r="H9989" i="1"/>
  <c r="H9990" i="1"/>
  <c r="H9991" i="1"/>
  <c r="H9992" i="1"/>
  <c r="H9993" i="1"/>
  <c r="J9993" i="1" s="1"/>
  <c r="H9994" i="1"/>
  <c r="J9994" i="1" s="1"/>
  <c r="H9995" i="1"/>
  <c r="J9995" i="1" s="1"/>
  <c r="H9996" i="1"/>
  <c r="H9997" i="1"/>
  <c r="J9997" i="1" s="1"/>
  <c r="H9998" i="1"/>
  <c r="J9998" i="1" s="1"/>
  <c r="H9999" i="1"/>
  <c r="H10000" i="1"/>
  <c r="H10001" i="1"/>
  <c r="H10002" i="1"/>
  <c r="H10003" i="1"/>
  <c r="H10004" i="1"/>
  <c r="H10005" i="1"/>
  <c r="J10005" i="1" s="1"/>
  <c r="H10006" i="1"/>
  <c r="J10006" i="1" s="1"/>
  <c r="H10007" i="1"/>
  <c r="H10008" i="1"/>
  <c r="H10009" i="1"/>
  <c r="H10010" i="1"/>
  <c r="J10010" i="1" s="1"/>
  <c r="H10011" i="1"/>
  <c r="J10011" i="1" s="1"/>
  <c r="H10012" i="1"/>
  <c r="H10013" i="1"/>
  <c r="H10014" i="1"/>
  <c r="H10015" i="1"/>
  <c r="H10016" i="1"/>
  <c r="H10017" i="1"/>
  <c r="J10017" i="1" s="1"/>
  <c r="H10018" i="1"/>
  <c r="J10018" i="1" s="1"/>
  <c r="H10019" i="1"/>
  <c r="H10020" i="1"/>
  <c r="H10021" i="1"/>
  <c r="H10022" i="1"/>
  <c r="H10023" i="1"/>
  <c r="J10023" i="1" s="1"/>
  <c r="H10024" i="1"/>
  <c r="H10025" i="1"/>
  <c r="H10026" i="1"/>
  <c r="H10027" i="1"/>
  <c r="H10028" i="1"/>
  <c r="H10029" i="1"/>
  <c r="J10029" i="1" s="1"/>
  <c r="H10030" i="1"/>
  <c r="J10030" i="1" s="1"/>
  <c r="H10031" i="1"/>
  <c r="H10032" i="1"/>
  <c r="H10033" i="1"/>
  <c r="J10033" i="1" s="1"/>
  <c r="H10034" i="1"/>
  <c r="J10034" i="1" s="1"/>
  <c r="H10035" i="1"/>
  <c r="H10036" i="1"/>
  <c r="H10037" i="1"/>
  <c r="H10038" i="1"/>
  <c r="H10039" i="1"/>
  <c r="H10040" i="1"/>
  <c r="H10041" i="1"/>
  <c r="J10041" i="1" s="1"/>
  <c r="H10042" i="1"/>
  <c r="J10042" i="1" s="1"/>
  <c r="H10043" i="1"/>
  <c r="H10044" i="1"/>
  <c r="H10045" i="1"/>
  <c r="J10045" i="1" s="1"/>
  <c r="H10046" i="1"/>
  <c r="J10046" i="1" s="1"/>
  <c r="H10047" i="1"/>
  <c r="H10048" i="1"/>
  <c r="H10049" i="1"/>
  <c r="H10050" i="1"/>
  <c r="H10051" i="1"/>
  <c r="H10052" i="1"/>
  <c r="H10053" i="1"/>
  <c r="J10053" i="1" s="1"/>
  <c r="H10054" i="1"/>
  <c r="J10054" i="1" s="1"/>
  <c r="H10055" i="1"/>
  <c r="H10056" i="1"/>
  <c r="H10057" i="1"/>
  <c r="J10057" i="1" s="1"/>
  <c r="H10058" i="1"/>
  <c r="J10058" i="1" s="1"/>
  <c r="H10059" i="1"/>
  <c r="H10060" i="1"/>
  <c r="H10061" i="1"/>
  <c r="H10062" i="1"/>
  <c r="H10063" i="1"/>
  <c r="H10064" i="1"/>
  <c r="H10065" i="1"/>
  <c r="J10065" i="1" s="1"/>
  <c r="H10066" i="1"/>
  <c r="J10066" i="1" s="1"/>
  <c r="H10067" i="1"/>
  <c r="H10068" i="1"/>
  <c r="H10069" i="1"/>
  <c r="J10069" i="1" s="1"/>
  <c r="H10070" i="1"/>
  <c r="J10070" i="1" s="1"/>
  <c r="H10071" i="1"/>
  <c r="H10072" i="1"/>
  <c r="H10073" i="1"/>
  <c r="H10074" i="1"/>
  <c r="H10075" i="1"/>
  <c r="H10076" i="1"/>
  <c r="H10077" i="1"/>
  <c r="H10078" i="1"/>
  <c r="J10078" i="1" s="1"/>
  <c r="H10079" i="1"/>
  <c r="H10080" i="1"/>
  <c r="H10081" i="1"/>
  <c r="J10081" i="1" s="1"/>
  <c r="H10082" i="1"/>
  <c r="J10082" i="1" s="1"/>
  <c r="H10083" i="1"/>
  <c r="H10084" i="1"/>
  <c r="H10085" i="1"/>
  <c r="H10086" i="1"/>
  <c r="H10087" i="1"/>
  <c r="H10088" i="1"/>
  <c r="H10089" i="1"/>
  <c r="J10089" i="1" s="1"/>
  <c r="H10090" i="1"/>
  <c r="H10091" i="1"/>
  <c r="H10092" i="1"/>
  <c r="H10093" i="1"/>
  <c r="J10093" i="1" s="1"/>
  <c r="H10094" i="1"/>
  <c r="H10095" i="1"/>
  <c r="H10096" i="1"/>
  <c r="H10097" i="1"/>
  <c r="H10098" i="1"/>
  <c r="H10099" i="1"/>
  <c r="H10100" i="1"/>
  <c r="H10101" i="1"/>
  <c r="H10102" i="1"/>
  <c r="J10102" i="1" s="1"/>
  <c r="H10103" i="1"/>
  <c r="H10104" i="1"/>
  <c r="H10105" i="1"/>
  <c r="J10105" i="1" s="1"/>
  <c r="H10106" i="1"/>
  <c r="J10106" i="1" s="1"/>
  <c r="H10107" i="1"/>
  <c r="H10108" i="1"/>
  <c r="H10109" i="1"/>
  <c r="H10110" i="1"/>
  <c r="H10111" i="1"/>
  <c r="H10112" i="1"/>
  <c r="H10113" i="1"/>
  <c r="J10113" i="1" s="1"/>
  <c r="H10114" i="1"/>
  <c r="J10114" i="1" s="1"/>
  <c r="H10115" i="1"/>
  <c r="H10116" i="1"/>
  <c r="H10117" i="1"/>
  <c r="J10117" i="1" s="1"/>
  <c r="H10118" i="1"/>
  <c r="J10118" i="1" s="1"/>
  <c r="H10119" i="1"/>
  <c r="H10120" i="1"/>
  <c r="H10121" i="1"/>
  <c r="H10122" i="1"/>
  <c r="H10123" i="1"/>
  <c r="H10124" i="1"/>
  <c r="H10125" i="1"/>
  <c r="J10125" i="1" s="1"/>
  <c r="H10126" i="1"/>
  <c r="J10126" i="1" s="1"/>
  <c r="H10127" i="1"/>
  <c r="H10128" i="1"/>
  <c r="H10129" i="1"/>
  <c r="J10129" i="1" s="1"/>
  <c r="H10130" i="1"/>
  <c r="J10130" i="1" s="1"/>
  <c r="H10131" i="1"/>
  <c r="H10132" i="1"/>
  <c r="H10133" i="1"/>
  <c r="H10134" i="1"/>
  <c r="H10135" i="1"/>
  <c r="H10136" i="1"/>
  <c r="H10137" i="1"/>
  <c r="J10137" i="1" s="1"/>
  <c r="H10138" i="1"/>
  <c r="J10138" i="1" s="1"/>
  <c r="H10139" i="1"/>
  <c r="H10140" i="1"/>
  <c r="H10141" i="1"/>
  <c r="J10141" i="1" s="1"/>
  <c r="H10142" i="1"/>
  <c r="J10142" i="1" s="1"/>
  <c r="H10143" i="1"/>
  <c r="H10144" i="1"/>
  <c r="H10145" i="1"/>
  <c r="H10146" i="1"/>
  <c r="H10147" i="1"/>
  <c r="H10148" i="1"/>
  <c r="H10149" i="1"/>
  <c r="H10150" i="1"/>
  <c r="J10150" i="1" s="1"/>
  <c r="H10151" i="1"/>
  <c r="H10152" i="1"/>
  <c r="H10153" i="1"/>
  <c r="H10154" i="1"/>
  <c r="J10154" i="1" s="1"/>
  <c r="H10155" i="1"/>
  <c r="H10156" i="1"/>
  <c r="H10157" i="1"/>
  <c r="H10158" i="1"/>
  <c r="H10159" i="1"/>
  <c r="H10160" i="1"/>
  <c r="H10161" i="1"/>
  <c r="J10161" i="1" s="1"/>
  <c r="H10162" i="1"/>
  <c r="H10163" i="1"/>
  <c r="H10164" i="1"/>
  <c r="H10165" i="1"/>
  <c r="J10165" i="1" s="1"/>
  <c r="H10166" i="1"/>
  <c r="H10167" i="1"/>
  <c r="H10168" i="1"/>
  <c r="H10169" i="1"/>
  <c r="H10170" i="1"/>
  <c r="H10171" i="1"/>
  <c r="H10172" i="1"/>
  <c r="H10173" i="1"/>
  <c r="J10173" i="1" s="1"/>
  <c r="H10174" i="1"/>
  <c r="H10175" i="1"/>
  <c r="H10176" i="1"/>
  <c r="H10177" i="1"/>
  <c r="J10177" i="1" s="1"/>
  <c r="H10178" i="1"/>
  <c r="H10179" i="1"/>
  <c r="H10180" i="1"/>
  <c r="H10181" i="1"/>
  <c r="H10182" i="1"/>
  <c r="H10183" i="1"/>
  <c r="H10184" i="1"/>
  <c r="H10185" i="1"/>
  <c r="J10185" i="1" s="1"/>
  <c r="H10186" i="1"/>
  <c r="J10186" i="1" s="1"/>
  <c r="H10187" i="1"/>
  <c r="H10188" i="1"/>
  <c r="H10189" i="1"/>
  <c r="H10190" i="1"/>
  <c r="J10190" i="1" s="1"/>
  <c r="H10191" i="1"/>
  <c r="H10192" i="1"/>
  <c r="H10193" i="1"/>
  <c r="H10194" i="1"/>
  <c r="H10195" i="1"/>
  <c r="H10196" i="1"/>
  <c r="H10197" i="1"/>
  <c r="J10197" i="1" s="1"/>
  <c r="H10198" i="1"/>
  <c r="J10198" i="1" s="1"/>
  <c r="H10199" i="1"/>
  <c r="H10200" i="1"/>
  <c r="H10201" i="1"/>
  <c r="H10202" i="1"/>
  <c r="J10202" i="1" s="1"/>
  <c r="H10203" i="1"/>
  <c r="H10204" i="1"/>
  <c r="H10205" i="1"/>
  <c r="H10206" i="1"/>
  <c r="H10207" i="1"/>
  <c r="H10208" i="1"/>
  <c r="H10209" i="1"/>
  <c r="J10209" i="1" s="1"/>
  <c r="H10210" i="1"/>
  <c r="J10210" i="1" s="1"/>
  <c r="H10211" i="1"/>
  <c r="H10212" i="1"/>
  <c r="H10213" i="1"/>
  <c r="H10214" i="1"/>
  <c r="J10214" i="1" s="1"/>
  <c r="H10215" i="1"/>
  <c r="H10216" i="1"/>
  <c r="H10217" i="1"/>
  <c r="H10218" i="1"/>
  <c r="H10219" i="1"/>
  <c r="H10220" i="1"/>
  <c r="H10221" i="1"/>
  <c r="J10221" i="1" s="1"/>
  <c r="H10222" i="1"/>
  <c r="J10222" i="1" s="1"/>
  <c r="H10223" i="1"/>
  <c r="H10224" i="1"/>
  <c r="H10225" i="1"/>
  <c r="H10226" i="1"/>
  <c r="J10226" i="1" s="1"/>
  <c r="H10227" i="1"/>
  <c r="H10228" i="1"/>
  <c r="H10229" i="1"/>
  <c r="H10230" i="1"/>
  <c r="H10231" i="1"/>
  <c r="H10232" i="1"/>
  <c r="H10233" i="1"/>
  <c r="J10233" i="1" s="1"/>
  <c r="H10234" i="1"/>
  <c r="J10234" i="1" s="1"/>
  <c r="H10235" i="1"/>
  <c r="H10236" i="1"/>
  <c r="H10237" i="1"/>
  <c r="H10238" i="1"/>
  <c r="H10239" i="1"/>
  <c r="H10240" i="1"/>
  <c r="H10241" i="1"/>
  <c r="H10242" i="1"/>
  <c r="H10243" i="1"/>
  <c r="H10244" i="1"/>
  <c r="H10245" i="1"/>
  <c r="J10245" i="1" s="1"/>
  <c r="H10246" i="1"/>
  <c r="J10246" i="1" s="1"/>
  <c r="H10247" i="1"/>
  <c r="H10248" i="1"/>
  <c r="H10249" i="1"/>
  <c r="H10250" i="1"/>
  <c r="J10250" i="1" s="1"/>
  <c r="H10251" i="1"/>
  <c r="H10252" i="1"/>
  <c r="H10253" i="1"/>
  <c r="H10254" i="1"/>
  <c r="H10255" i="1"/>
  <c r="H10256" i="1"/>
  <c r="H10257" i="1"/>
  <c r="J10257" i="1" s="1"/>
  <c r="H10258" i="1"/>
  <c r="J10258" i="1" s="1"/>
  <c r="H10259" i="1"/>
  <c r="H10260" i="1"/>
  <c r="H10261" i="1"/>
  <c r="H10262" i="1"/>
  <c r="J10262" i="1" s="1"/>
  <c r="H10263" i="1"/>
  <c r="H10264" i="1"/>
  <c r="H10265" i="1"/>
  <c r="H10266" i="1"/>
  <c r="H10267" i="1"/>
  <c r="H10268" i="1"/>
  <c r="H10269" i="1"/>
  <c r="J10269" i="1" s="1"/>
  <c r="H10270" i="1"/>
  <c r="J10270" i="1" s="1"/>
  <c r="H10271" i="1"/>
  <c r="H10272" i="1"/>
  <c r="H10273" i="1"/>
  <c r="H10274" i="1"/>
  <c r="H10275" i="1"/>
  <c r="H10276" i="1"/>
  <c r="H10277" i="1"/>
  <c r="H10278" i="1"/>
  <c r="H10279" i="1"/>
  <c r="H10280" i="1"/>
  <c r="H10281" i="1"/>
  <c r="J10281" i="1" s="1"/>
  <c r="H10282" i="1"/>
  <c r="H10283" i="1"/>
  <c r="H10284" i="1"/>
  <c r="H10285" i="1"/>
  <c r="H10286" i="1"/>
  <c r="J10286" i="1" s="1"/>
  <c r="H10287" i="1"/>
  <c r="H10288" i="1"/>
  <c r="H10289" i="1"/>
  <c r="H10290" i="1"/>
  <c r="H10291" i="1"/>
  <c r="H10292" i="1"/>
  <c r="H10293" i="1"/>
  <c r="H10294" i="1"/>
  <c r="H10295" i="1"/>
  <c r="H10296" i="1"/>
  <c r="J10296" i="1" s="1"/>
  <c r="H10297" i="1"/>
  <c r="H10298" i="1"/>
  <c r="J10298" i="1" s="1"/>
  <c r="H10299" i="1"/>
  <c r="H10300" i="1"/>
  <c r="H10301" i="1"/>
  <c r="H10302" i="1"/>
  <c r="H10303" i="1"/>
  <c r="H10304" i="1"/>
  <c r="H10305" i="1"/>
  <c r="H10306" i="1"/>
  <c r="H10307" i="1"/>
  <c r="H10308" i="1"/>
  <c r="J10308" i="1" s="1"/>
  <c r="H10309" i="1"/>
  <c r="H10310" i="1"/>
  <c r="J10310" i="1" s="1"/>
  <c r="H10311" i="1"/>
  <c r="H10312" i="1"/>
  <c r="H10313" i="1"/>
  <c r="H10314" i="1"/>
  <c r="H10315" i="1"/>
  <c r="H10316" i="1"/>
  <c r="H10317" i="1"/>
  <c r="H10318" i="1"/>
  <c r="H10319" i="1"/>
  <c r="H10320" i="1"/>
  <c r="J10320" i="1" s="1"/>
  <c r="H10321" i="1"/>
  <c r="J10321" i="1" s="1"/>
  <c r="H10322" i="1"/>
  <c r="J10322" i="1" s="1"/>
  <c r="H10323" i="1"/>
  <c r="H10324" i="1"/>
  <c r="H10325" i="1"/>
  <c r="H10326" i="1"/>
  <c r="H10327" i="1"/>
  <c r="H10328" i="1"/>
  <c r="H10329" i="1"/>
  <c r="H10330" i="1"/>
  <c r="H10331" i="1"/>
  <c r="H10332" i="1"/>
  <c r="J10332" i="1" s="1"/>
  <c r="H10333" i="1"/>
  <c r="H10334" i="1"/>
  <c r="J10334" i="1" s="1"/>
  <c r="H10335" i="1"/>
  <c r="H10336" i="1"/>
  <c r="H10337" i="1"/>
  <c r="H10338" i="1"/>
  <c r="H10339" i="1"/>
  <c r="H10340" i="1"/>
  <c r="H10341" i="1"/>
  <c r="H10342" i="1"/>
  <c r="J10342" i="1" s="1"/>
  <c r="H10343" i="1"/>
  <c r="H10344" i="1"/>
  <c r="J10344" i="1" s="1"/>
  <c r="H10345" i="1"/>
  <c r="J10345" i="1" s="1"/>
  <c r="H10346" i="1"/>
  <c r="H10347" i="1"/>
  <c r="H10348" i="1"/>
  <c r="H10349" i="1"/>
  <c r="H10350" i="1"/>
  <c r="H10351" i="1"/>
  <c r="H10352" i="1"/>
  <c r="H10353" i="1"/>
  <c r="J10353" i="1" s="1"/>
  <c r="H10354" i="1"/>
  <c r="J10354" i="1" s="1"/>
  <c r="H10355" i="1"/>
  <c r="J10355" i="1" s="1"/>
  <c r="H10356" i="1"/>
  <c r="J10356" i="1" s="1"/>
  <c r="H10357" i="1"/>
  <c r="J10357" i="1" s="1"/>
  <c r="H10358" i="1"/>
  <c r="J10358" i="1" s="1"/>
  <c r="H10359" i="1"/>
  <c r="H10360" i="1"/>
  <c r="H10361" i="1"/>
  <c r="H10362" i="1"/>
  <c r="H10363" i="1"/>
  <c r="H10364" i="1"/>
  <c r="H10365" i="1"/>
  <c r="J10365" i="1" s="1"/>
  <c r="H10366" i="1"/>
  <c r="J10366" i="1" s="1"/>
  <c r="H10367" i="1"/>
  <c r="H10368" i="1"/>
  <c r="J10368" i="1" s="1"/>
  <c r="H10369" i="1"/>
  <c r="J10369" i="1" s="1"/>
  <c r="H10370" i="1"/>
  <c r="J10370" i="1" s="1"/>
  <c r="H10371" i="1"/>
  <c r="H10372" i="1"/>
  <c r="H10373" i="1"/>
  <c r="H10374" i="1"/>
  <c r="H10375" i="1"/>
  <c r="H10376" i="1"/>
  <c r="H10377" i="1"/>
  <c r="J10377" i="1" s="1"/>
  <c r="H10378" i="1"/>
  <c r="J10378" i="1" s="1"/>
  <c r="H10379" i="1"/>
  <c r="J10379" i="1" s="1"/>
  <c r="H10380" i="1"/>
  <c r="J10380" i="1" s="1"/>
  <c r="H10381" i="1"/>
  <c r="J10381" i="1" s="1"/>
  <c r="H10382" i="1"/>
  <c r="J10382" i="1" s="1"/>
  <c r="H10383" i="1"/>
  <c r="H10384" i="1"/>
  <c r="H10385" i="1"/>
  <c r="H10386" i="1"/>
  <c r="H10387" i="1"/>
  <c r="H10388" i="1"/>
  <c r="H10389" i="1"/>
  <c r="J10389" i="1" s="1"/>
  <c r="H10390" i="1"/>
  <c r="J10390" i="1" s="1"/>
  <c r="H10391" i="1"/>
  <c r="H10392" i="1"/>
  <c r="J10392" i="1" s="1"/>
  <c r="H10393" i="1"/>
  <c r="H10394" i="1"/>
  <c r="H10395" i="1"/>
  <c r="H10396" i="1"/>
  <c r="H10397" i="1"/>
  <c r="H10398" i="1"/>
  <c r="H10399" i="1"/>
  <c r="H10400" i="1"/>
  <c r="H10401" i="1"/>
  <c r="J10401" i="1" s="1"/>
  <c r="H10402" i="1"/>
  <c r="J10402" i="1" s="1"/>
  <c r="H10403" i="1"/>
  <c r="H10404" i="1"/>
  <c r="J10404" i="1" s="1"/>
  <c r="H10405" i="1"/>
  <c r="H10406" i="1"/>
  <c r="J10406" i="1" s="1"/>
  <c r="H10407" i="1"/>
  <c r="H10408" i="1"/>
  <c r="H10409" i="1"/>
  <c r="H10410" i="1"/>
  <c r="H10411" i="1"/>
  <c r="H10412" i="1"/>
  <c r="H10413" i="1"/>
  <c r="J10413" i="1" s="1"/>
  <c r="H10414" i="1"/>
  <c r="J10414" i="1" s="1"/>
  <c r="H10415" i="1"/>
  <c r="J10415" i="1" s="1"/>
  <c r="H10416" i="1"/>
  <c r="H10417" i="1"/>
  <c r="H10418" i="1"/>
  <c r="H10419" i="1"/>
  <c r="H10420" i="1"/>
  <c r="H10421" i="1"/>
  <c r="H10422" i="1"/>
  <c r="H10423" i="1"/>
  <c r="H10424" i="1"/>
  <c r="H10425" i="1"/>
  <c r="J10425" i="1" s="1"/>
  <c r="H10426" i="1"/>
  <c r="J10426" i="1" s="1"/>
  <c r="H10427" i="1"/>
  <c r="J10427" i="1" s="1"/>
  <c r="H10428" i="1"/>
  <c r="H10429" i="1"/>
  <c r="H10430" i="1"/>
  <c r="H10431" i="1"/>
  <c r="H10432" i="1"/>
  <c r="H10433" i="1"/>
  <c r="H10434" i="1"/>
  <c r="H10435" i="1"/>
  <c r="H10436" i="1"/>
  <c r="H10437" i="1"/>
  <c r="J10437" i="1" s="1"/>
  <c r="H10438" i="1"/>
  <c r="J10438" i="1" s="1"/>
  <c r="H10439" i="1"/>
  <c r="H10440" i="1"/>
  <c r="H10441" i="1"/>
  <c r="H10442" i="1"/>
  <c r="H10443" i="1"/>
  <c r="H10444" i="1"/>
  <c r="H10445" i="1"/>
  <c r="H10446" i="1"/>
  <c r="H10447" i="1"/>
  <c r="H10448" i="1"/>
  <c r="H10449" i="1"/>
  <c r="J10449" i="1" s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J10461" i="1" s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J10473" i="1" s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J10490" i="1" s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J10502" i="1" s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J10514" i="1" s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J10534" i="1" s="1"/>
  <c r="H10535" i="1"/>
  <c r="H10536" i="1"/>
  <c r="H10537" i="1"/>
  <c r="H10538" i="1"/>
  <c r="J10538" i="1" s="1"/>
  <c r="H10539" i="1"/>
  <c r="H10540" i="1"/>
  <c r="H10541" i="1"/>
  <c r="H10542" i="1"/>
  <c r="H10543" i="1"/>
  <c r="H10544" i="1"/>
  <c r="H10545" i="1"/>
  <c r="H10546" i="1"/>
  <c r="J10546" i="1" s="1"/>
  <c r="H10547" i="1"/>
  <c r="H10548" i="1"/>
  <c r="H10549" i="1"/>
  <c r="H10550" i="1"/>
  <c r="J10550" i="1" s="1"/>
  <c r="H10551" i="1"/>
  <c r="H10552" i="1"/>
  <c r="H10553" i="1"/>
  <c r="H10554" i="1"/>
  <c r="H10555" i="1"/>
  <c r="H10556" i="1"/>
  <c r="H10557" i="1"/>
  <c r="H10558" i="1"/>
  <c r="J10558" i="1" s="1"/>
  <c r="H10559" i="1"/>
  <c r="H10560" i="1"/>
  <c r="H10561" i="1"/>
  <c r="H10562" i="1"/>
  <c r="J10562" i="1" s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J10574" i="1" s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J10668" i="1" s="1"/>
  <c r="H10669" i="1"/>
  <c r="H10670" i="1"/>
  <c r="H10671" i="1"/>
  <c r="H10672" i="1"/>
  <c r="H10673" i="1"/>
  <c r="H10674" i="1"/>
  <c r="H10675" i="1"/>
  <c r="H10676" i="1"/>
  <c r="H10677" i="1"/>
  <c r="H10678" i="1"/>
  <c r="H10679" i="1"/>
  <c r="J10679" i="1" s="1"/>
  <c r="H10680" i="1"/>
  <c r="J10680" i="1" s="1"/>
  <c r="H10681" i="1"/>
  <c r="H10682" i="1"/>
  <c r="H10683" i="1"/>
  <c r="H10684" i="1"/>
  <c r="H10685" i="1"/>
  <c r="H10686" i="1"/>
  <c r="H10687" i="1"/>
  <c r="H10688" i="1"/>
  <c r="H10689" i="1"/>
  <c r="H10690" i="1"/>
  <c r="H10691" i="1"/>
  <c r="J10691" i="1" s="1"/>
  <c r="H10692" i="1"/>
  <c r="J10692" i="1" s="1"/>
  <c r="H10693" i="1"/>
  <c r="H10694" i="1"/>
  <c r="H10695" i="1"/>
  <c r="H10696" i="1"/>
  <c r="H10697" i="1"/>
  <c r="H10698" i="1"/>
  <c r="H10699" i="1"/>
  <c r="H10700" i="1"/>
  <c r="H10701" i="1"/>
  <c r="H10702" i="1"/>
  <c r="H10703" i="1"/>
  <c r="J10703" i="1" s="1"/>
  <c r="H10704" i="1"/>
  <c r="J10704" i="1" s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J10727" i="1" s="1"/>
  <c r="H10728" i="1"/>
  <c r="J10728" i="1" s="1"/>
  <c r="H10729" i="1"/>
  <c r="H10730" i="1"/>
  <c r="H10731" i="1"/>
  <c r="H10732" i="1"/>
  <c r="H10733" i="1"/>
  <c r="H10734" i="1"/>
  <c r="H10735" i="1"/>
  <c r="H10736" i="1"/>
  <c r="H10737" i="1"/>
  <c r="H10738" i="1"/>
  <c r="J10738" i="1" s="1"/>
  <c r="H10739" i="1"/>
  <c r="J10739" i="1" s="1"/>
  <c r="H10740" i="1"/>
  <c r="J10740" i="1" s="1"/>
  <c r="H10741" i="1"/>
  <c r="H10742" i="1"/>
  <c r="H10743" i="1"/>
  <c r="H10744" i="1"/>
  <c r="H10745" i="1"/>
  <c r="H10746" i="1"/>
  <c r="H10747" i="1"/>
  <c r="H10748" i="1"/>
  <c r="H10749" i="1"/>
  <c r="H10750" i="1"/>
  <c r="J10750" i="1" s="1"/>
  <c r="H10751" i="1"/>
  <c r="J10751" i="1" s="1"/>
  <c r="H10752" i="1"/>
  <c r="J10752" i="1" s="1"/>
  <c r="H10753" i="1"/>
  <c r="H10754" i="1"/>
  <c r="H10755" i="1"/>
  <c r="H10756" i="1"/>
  <c r="H10757" i="1"/>
  <c r="H10758" i="1"/>
  <c r="H10759" i="1"/>
  <c r="H10760" i="1"/>
  <c r="H10761" i="1"/>
  <c r="H10762" i="1"/>
  <c r="J10762" i="1" s="1"/>
  <c r="H10763" i="1"/>
  <c r="H10764" i="1"/>
  <c r="J10764" i="1" s="1"/>
  <c r="H10765" i="1"/>
  <c r="H10766" i="1"/>
  <c r="H10767" i="1"/>
  <c r="H10768" i="1"/>
  <c r="H10769" i="1"/>
  <c r="H10770" i="1"/>
  <c r="H10771" i="1"/>
  <c r="H10772" i="1"/>
  <c r="H10773" i="1"/>
  <c r="H10774" i="1"/>
  <c r="J10774" i="1" s="1"/>
  <c r="H10775" i="1"/>
  <c r="H10776" i="1"/>
  <c r="J10776" i="1" s="1"/>
  <c r="H10777" i="1"/>
  <c r="H10778" i="1"/>
  <c r="H10779" i="1"/>
  <c r="H10780" i="1"/>
  <c r="H10781" i="1"/>
  <c r="H10782" i="1"/>
  <c r="H10783" i="1"/>
  <c r="H10784" i="1"/>
  <c r="H10785" i="1"/>
  <c r="H10786" i="1"/>
  <c r="J10786" i="1" s="1"/>
  <c r="H10787" i="1"/>
  <c r="H10788" i="1"/>
  <c r="J10788" i="1" s="1"/>
  <c r="H10789" i="1"/>
  <c r="H10790" i="1"/>
  <c r="H10791" i="1"/>
  <c r="H10792" i="1"/>
  <c r="H10793" i="1"/>
  <c r="H10794" i="1"/>
  <c r="H10795" i="1"/>
  <c r="H10796" i="1"/>
  <c r="H10797" i="1"/>
  <c r="H10798" i="1"/>
  <c r="J10798" i="1" s="1"/>
  <c r="H10799" i="1"/>
  <c r="H10800" i="1"/>
  <c r="J10800" i="1" s="1"/>
  <c r="H10801" i="1"/>
  <c r="H10802" i="1"/>
  <c r="H10803" i="1"/>
  <c r="H10804" i="1"/>
  <c r="H10805" i="1"/>
  <c r="H10806" i="1"/>
  <c r="H10807" i="1"/>
  <c r="H10808" i="1"/>
  <c r="H10809" i="1"/>
  <c r="H10810" i="1"/>
  <c r="J10810" i="1" s="1"/>
  <c r="H10811" i="1"/>
  <c r="H10812" i="1"/>
  <c r="J10812" i="1" s="1"/>
  <c r="H10813" i="1"/>
  <c r="H10814" i="1"/>
  <c r="H10815" i="1"/>
  <c r="H10816" i="1"/>
  <c r="H10817" i="1"/>
  <c r="H10818" i="1"/>
  <c r="H10819" i="1"/>
  <c r="H10820" i="1"/>
  <c r="H10821" i="1"/>
  <c r="H10822" i="1"/>
  <c r="J10822" i="1" s="1"/>
  <c r="H10823" i="1"/>
  <c r="H10824" i="1"/>
  <c r="J10824" i="1" s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J10836" i="1" s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J10848" i="1" s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J10860" i="1" s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J10872" i="1" s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J10884" i="1" s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J10896" i="1" s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J10908" i="1" s="1"/>
  <c r="H10909" i="1"/>
  <c r="H10910" i="1"/>
  <c r="H10911" i="1"/>
  <c r="H10912" i="1"/>
  <c r="J9140" i="1" l="1"/>
  <c r="J9128" i="1"/>
  <c r="J9116" i="1"/>
  <c r="J9104" i="1"/>
  <c r="J9092" i="1"/>
  <c r="J9080" i="1"/>
  <c r="J9068" i="1"/>
  <c r="J9056" i="1"/>
  <c r="J9044" i="1"/>
  <c r="J10909" i="1"/>
  <c r="J10885" i="1"/>
  <c r="J10861" i="1"/>
  <c r="J10837" i="1"/>
  <c r="J10813" i="1"/>
  <c r="J10789" i="1"/>
  <c r="J10765" i="1"/>
  <c r="J10741" i="1"/>
  <c r="J10717" i="1"/>
  <c r="J10669" i="1"/>
  <c r="J10645" i="1"/>
  <c r="J10477" i="1"/>
  <c r="J10897" i="1"/>
  <c r="J10873" i="1"/>
  <c r="J10849" i="1"/>
  <c r="J10825" i="1"/>
  <c r="J10801" i="1"/>
  <c r="J10777" i="1"/>
  <c r="J10753" i="1"/>
  <c r="J10729" i="1"/>
  <c r="J10657" i="1"/>
  <c r="J10633" i="1"/>
  <c r="J10580" i="1"/>
  <c r="J10436" i="1"/>
  <c r="J10400" i="1"/>
  <c r="J10268" i="1"/>
  <c r="J10232" i="1"/>
  <c r="J10196" i="1"/>
  <c r="J10160" i="1"/>
  <c r="J10124" i="1"/>
  <c r="J10052" i="1"/>
  <c r="J9968" i="1"/>
  <c r="J9932" i="1"/>
  <c r="J9896" i="1"/>
  <c r="J9860" i="1"/>
  <c r="J10111" i="1"/>
  <c r="J10087" i="1"/>
  <c r="J10063" i="1"/>
  <c r="J10039" i="1"/>
  <c r="J10015" i="1"/>
  <c r="J9991" i="1"/>
  <c r="J9967" i="1"/>
  <c r="J9943" i="1"/>
  <c r="J9919" i="1"/>
  <c r="J9847" i="1"/>
  <c r="J9823" i="1"/>
  <c r="J9799" i="1"/>
  <c r="J9775" i="1"/>
  <c r="J9751" i="1"/>
  <c r="J9727" i="1"/>
  <c r="J9703" i="1"/>
  <c r="J9679" i="1"/>
  <c r="J9655" i="1"/>
  <c r="J9631" i="1"/>
  <c r="J9607" i="1"/>
  <c r="J9583" i="1"/>
  <c r="J9559" i="1"/>
  <c r="J9535" i="1"/>
  <c r="J9511" i="1"/>
  <c r="J9487" i="1"/>
  <c r="J9463" i="1"/>
  <c r="J9439" i="1"/>
  <c r="J9415" i="1"/>
  <c r="J9391" i="1"/>
  <c r="J9367" i="1"/>
  <c r="J9343" i="1"/>
  <c r="J9319" i="1"/>
  <c r="J9295" i="1"/>
  <c r="J9271" i="1"/>
  <c r="J9247" i="1"/>
  <c r="J9223" i="1"/>
  <c r="J9199" i="1"/>
  <c r="J9175" i="1"/>
  <c r="J9151" i="1"/>
  <c r="J9127" i="1"/>
  <c r="J9103" i="1"/>
  <c r="J9079" i="1"/>
  <c r="J9055" i="1"/>
  <c r="J9031" i="1"/>
  <c r="J9007" i="1"/>
  <c r="J10592" i="1"/>
  <c r="J10484" i="1"/>
  <c r="J10448" i="1"/>
  <c r="J10412" i="1"/>
  <c r="J10292" i="1"/>
  <c r="J10208" i="1"/>
  <c r="J10172" i="1"/>
  <c r="J10100" i="1"/>
  <c r="J10028" i="1"/>
  <c r="J9992" i="1"/>
  <c r="J9956" i="1"/>
  <c r="J9884" i="1"/>
  <c r="J10075" i="1"/>
  <c r="J10051" i="1"/>
  <c r="J10027" i="1"/>
  <c r="J10003" i="1"/>
  <c r="J9979" i="1"/>
  <c r="J9955" i="1"/>
  <c r="J9931" i="1"/>
  <c r="J9907" i="1"/>
  <c r="J9883" i="1"/>
  <c r="J9859" i="1"/>
  <c r="J9811" i="1"/>
  <c r="J9787" i="1"/>
  <c r="J9739" i="1"/>
  <c r="J9715" i="1"/>
  <c r="J9667" i="1"/>
  <c r="J9643" i="1"/>
  <c r="J9619" i="1"/>
  <c r="J9595" i="1"/>
  <c r="J9571" i="1"/>
  <c r="J9547" i="1"/>
  <c r="J9499" i="1"/>
  <c r="J9475" i="1"/>
  <c r="J9451" i="1"/>
  <c r="J9427" i="1"/>
  <c r="J9403" i="1"/>
  <c r="J9355" i="1"/>
  <c r="J9331" i="1"/>
  <c r="J9307" i="1"/>
  <c r="J9259" i="1"/>
  <c r="J9235" i="1"/>
  <c r="J9187" i="1"/>
  <c r="J9163" i="1"/>
  <c r="J9139" i="1"/>
  <c r="J9115" i="1"/>
  <c r="J9091" i="1"/>
  <c r="J9067" i="1"/>
  <c r="J9043" i="1"/>
  <c r="J9019" i="1"/>
  <c r="J8995" i="1"/>
  <c r="J10626" i="1"/>
  <c r="J10614" i="1"/>
  <c r="J10602" i="1"/>
  <c r="J10590" i="1"/>
  <c r="J10566" i="1"/>
  <c r="J10554" i="1"/>
  <c r="J10530" i="1"/>
  <c r="J10506" i="1"/>
  <c r="J10494" i="1"/>
  <c r="J10482" i="1"/>
  <c r="J10458" i="1"/>
  <c r="J10446" i="1"/>
  <c r="J10434" i="1"/>
  <c r="J10422" i="1"/>
  <c r="J10410" i="1"/>
  <c r="J10350" i="1"/>
  <c r="J10338" i="1"/>
  <c r="J10326" i="1"/>
  <c r="J10314" i="1"/>
  <c r="J10302" i="1"/>
  <c r="J10290" i="1"/>
  <c r="J10278" i="1"/>
  <c r="J10266" i="1"/>
  <c r="J10254" i="1"/>
  <c r="J10242" i="1"/>
  <c r="J10230" i="1"/>
  <c r="J10218" i="1"/>
  <c r="J10206" i="1"/>
  <c r="J10194" i="1"/>
  <c r="J10182" i="1"/>
  <c r="J10170" i="1"/>
  <c r="J10158" i="1"/>
  <c r="J10146" i="1"/>
  <c r="J10134" i="1"/>
  <c r="J10122" i="1"/>
  <c r="J10110" i="1"/>
  <c r="J10098" i="1"/>
  <c r="J10086" i="1"/>
  <c r="J10074" i="1"/>
  <c r="J10062" i="1"/>
  <c r="J10424" i="1"/>
  <c r="J10388" i="1"/>
  <c r="J10280" i="1"/>
  <c r="J10244" i="1"/>
  <c r="J10184" i="1"/>
  <c r="J10076" i="1"/>
  <c r="J10040" i="1"/>
  <c r="J10004" i="1"/>
  <c r="J9980" i="1"/>
  <c r="J9908" i="1"/>
  <c r="J9836" i="1"/>
  <c r="J9824" i="1"/>
  <c r="J9812" i="1"/>
  <c r="J9800" i="1"/>
  <c r="J9788" i="1"/>
  <c r="J9764" i="1"/>
  <c r="J9740" i="1"/>
  <c r="J9716" i="1"/>
  <c r="J9692" i="1"/>
  <c r="J9668" i="1"/>
  <c r="J9656" i="1"/>
  <c r="J9644" i="1"/>
  <c r="J9620" i="1"/>
  <c r="J9608" i="1"/>
  <c r="J9596" i="1"/>
  <c r="J9584" i="1"/>
  <c r="J9572" i="1"/>
  <c r="J9548" i="1"/>
  <c r="J9524" i="1"/>
  <c r="J9512" i="1"/>
  <c r="J9500" i="1"/>
  <c r="J9488" i="1"/>
  <c r="J9476" i="1"/>
  <c r="J9464" i="1"/>
  <c r="J9452" i="1"/>
  <c r="J9440" i="1"/>
  <c r="J9428" i="1"/>
  <c r="J9416" i="1"/>
  <c r="J9404" i="1"/>
  <c r="J9380" i="1"/>
  <c r="J9356" i="1"/>
  <c r="J9344" i="1"/>
  <c r="J9332" i="1"/>
  <c r="J9320" i="1"/>
  <c r="J9308" i="1"/>
  <c r="J9296" i="1"/>
  <c r="J9284" i="1"/>
  <c r="J9260" i="1"/>
  <c r="J9248" i="1"/>
  <c r="J9236" i="1"/>
  <c r="J9224" i="1"/>
  <c r="J9212" i="1"/>
  <c r="J9200" i="1"/>
  <c r="J9188" i="1"/>
  <c r="J9176" i="1"/>
  <c r="J9164" i="1"/>
  <c r="J10050" i="1"/>
  <c r="J10038" i="1"/>
  <c r="J10026" i="1"/>
  <c r="J10014" i="1"/>
  <c r="J10002" i="1"/>
  <c r="J9990" i="1"/>
  <c r="J9978" i="1"/>
  <c r="J9966" i="1"/>
  <c r="J9954" i="1"/>
  <c r="J9942" i="1"/>
  <c r="J9930" i="1"/>
  <c r="J9918" i="1"/>
  <c r="J9906" i="1"/>
  <c r="J9894" i="1"/>
  <c r="J9882" i="1"/>
  <c r="J9870" i="1"/>
  <c r="J9858" i="1"/>
  <c r="J9846" i="1"/>
  <c r="J9834" i="1"/>
  <c r="J9822" i="1"/>
  <c r="J9810" i="1"/>
  <c r="J9798" i="1"/>
  <c r="J9786" i="1"/>
  <c r="J9774" i="1"/>
  <c r="J9762" i="1"/>
  <c r="J9750" i="1"/>
  <c r="J9738" i="1"/>
  <c r="J9726" i="1"/>
  <c r="J9714" i="1"/>
  <c r="J9702" i="1"/>
  <c r="J9690" i="1"/>
  <c r="J9678" i="1"/>
  <c r="J9666" i="1"/>
  <c r="J9654" i="1"/>
  <c r="J9642" i="1"/>
  <c r="J9630" i="1"/>
  <c r="J9618" i="1"/>
  <c r="J9606" i="1"/>
  <c r="J9594" i="1"/>
  <c r="J9582" i="1"/>
  <c r="J9570" i="1"/>
  <c r="J9558" i="1"/>
  <c r="J9546" i="1"/>
  <c r="J9534" i="1"/>
  <c r="J9522" i="1"/>
  <c r="J9510" i="1"/>
  <c r="J9498" i="1"/>
  <c r="J9486" i="1"/>
  <c r="J9474" i="1"/>
  <c r="J9462" i="1"/>
  <c r="J9450" i="1"/>
  <c r="J9438" i="1"/>
  <c r="J9426" i="1"/>
  <c r="J9414" i="1"/>
  <c r="J9402" i="1"/>
  <c r="J9390" i="1"/>
  <c r="J9378" i="1"/>
  <c r="J9366" i="1"/>
  <c r="J9354" i="1"/>
  <c r="J9342" i="1"/>
  <c r="J9330" i="1"/>
  <c r="J9318" i="1"/>
  <c r="J9306" i="1"/>
  <c r="J9294" i="1"/>
  <c r="J9282" i="1"/>
  <c r="J9270" i="1"/>
  <c r="J9258" i="1"/>
  <c r="J9246" i="1"/>
  <c r="J9234" i="1"/>
  <c r="J9222" i="1"/>
  <c r="J9210" i="1"/>
  <c r="J9198" i="1"/>
  <c r="J9186" i="1"/>
  <c r="J9174" i="1"/>
  <c r="J9162" i="1"/>
  <c r="J9150" i="1"/>
  <c r="J9138" i="1"/>
  <c r="J9126" i="1"/>
  <c r="J9114" i="1"/>
  <c r="J9102" i="1"/>
  <c r="J9090" i="1"/>
  <c r="J9078" i="1"/>
  <c r="J9066" i="1"/>
  <c r="J9054" i="1"/>
  <c r="J9042" i="1"/>
  <c r="J1578" i="1"/>
  <c r="J10195" i="1"/>
  <c r="J10183" i="1"/>
  <c r="J10627" i="1"/>
  <c r="J10615" i="1"/>
  <c r="J10591" i="1"/>
  <c r="J10579" i="1"/>
  <c r="J10507" i="1"/>
  <c r="J10495" i="1"/>
  <c r="J10471" i="1"/>
  <c r="J10435" i="1"/>
  <c r="J10423" i="1"/>
  <c r="J10411" i="1"/>
  <c r="J10399" i="1"/>
  <c r="J10303" i="1"/>
  <c r="J10291" i="1"/>
  <c r="J10267" i="1"/>
  <c r="J10255" i="1"/>
  <c r="J10243" i="1"/>
  <c r="J10231" i="1"/>
  <c r="J10219" i="1"/>
  <c r="J8259" i="1"/>
  <c r="J4408" i="1"/>
  <c r="J1832" i="1"/>
  <c r="J10864" i="1"/>
  <c r="J10840" i="1"/>
  <c r="J10816" i="1"/>
  <c r="J10792" i="1"/>
  <c r="J10768" i="1"/>
  <c r="J10744" i="1"/>
  <c r="J10708" i="1"/>
  <c r="J10648" i="1"/>
  <c r="J10636" i="1"/>
  <c r="J10576" i="1"/>
  <c r="J10552" i="1"/>
  <c r="J10528" i="1"/>
  <c r="J10504" i="1"/>
  <c r="J10480" i="1"/>
  <c r="J10468" i="1"/>
  <c r="J10432" i="1"/>
  <c r="J10408" i="1"/>
  <c r="J10384" i="1"/>
  <c r="J10360" i="1"/>
  <c r="J10336" i="1"/>
  <c r="J10312" i="1"/>
  <c r="J10288" i="1"/>
  <c r="J10240" i="1"/>
  <c r="J10228" i="1"/>
  <c r="J10204" i="1"/>
  <c r="J10180" i="1"/>
  <c r="J10144" i="1"/>
  <c r="J10096" i="1"/>
  <c r="J10072" i="1"/>
  <c r="J10024" i="1"/>
  <c r="J10000" i="1"/>
  <c r="J9976" i="1"/>
  <c r="J9952" i="1"/>
  <c r="J10852" i="1"/>
  <c r="J10828" i="1"/>
  <c r="J10804" i="1"/>
  <c r="J10780" i="1"/>
  <c r="J10756" i="1"/>
  <c r="J10720" i="1"/>
  <c r="J10696" i="1"/>
  <c r="J10660" i="1"/>
  <c r="J10624" i="1"/>
  <c r="J10600" i="1"/>
  <c r="J10564" i="1"/>
  <c r="J10516" i="1"/>
  <c r="J10492" i="1"/>
  <c r="J10456" i="1"/>
  <c r="J10444" i="1"/>
  <c r="J10420" i="1"/>
  <c r="J10396" i="1"/>
  <c r="J10348" i="1"/>
  <c r="J10324" i="1"/>
  <c r="J10300" i="1"/>
  <c r="J10276" i="1"/>
  <c r="J10252" i="1"/>
  <c r="J10216" i="1"/>
  <c r="J10168" i="1"/>
  <c r="J10132" i="1"/>
  <c r="J10108" i="1"/>
  <c r="J10084" i="1"/>
  <c r="J10036" i="1"/>
  <c r="J10012" i="1"/>
  <c r="J9964" i="1"/>
  <c r="J9940" i="1"/>
  <c r="J10815" i="1"/>
  <c r="J10803" i="1"/>
  <c r="J10791" i="1"/>
  <c r="J10779" i="1"/>
  <c r="J10767" i="1"/>
  <c r="J10755" i="1"/>
  <c r="J10743" i="1"/>
  <c r="J10731" i="1"/>
  <c r="J10719" i="1"/>
  <c r="J10707" i="1"/>
  <c r="J10695" i="1"/>
  <c r="J10659" i="1"/>
  <c r="J10647" i="1"/>
  <c r="J10635" i="1"/>
  <c r="J10623" i="1"/>
  <c r="J10575" i="1"/>
  <c r="J10563" i="1"/>
  <c r="J10551" i="1"/>
  <c r="J10539" i="1"/>
  <c r="J10527" i="1"/>
  <c r="J10515" i="1"/>
  <c r="J10503" i="1"/>
  <c r="J10491" i="1"/>
  <c r="J10479" i="1"/>
  <c r="J10467" i="1"/>
  <c r="J10443" i="1"/>
  <c r="J10395" i="1"/>
  <c r="J10383" i="1"/>
  <c r="J10371" i="1"/>
  <c r="J10359" i="1"/>
  <c r="J10347" i="1"/>
  <c r="J10311" i="1"/>
  <c r="J10299" i="1"/>
  <c r="J10275" i="1"/>
  <c r="J10263" i="1"/>
  <c r="J10239" i="1"/>
  <c r="J10227" i="1"/>
  <c r="J10215" i="1"/>
  <c r="J10203" i="1"/>
  <c r="J10191" i="1"/>
  <c r="J10179" i="1"/>
  <c r="J10167" i="1"/>
  <c r="J10155" i="1"/>
  <c r="J10143" i="1"/>
  <c r="J10131" i="1"/>
  <c r="J10119" i="1"/>
  <c r="J10095" i="1"/>
  <c r="J10083" i="1"/>
  <c r="J10071" i="1"/>
  <c r="J10059" i="1"/>
  <c r="J10047" i="1"/>
  <c r="J10035" i="1"/>
  <c r="J998" i="1"/>
  <c r="J9632" i="1"/>
  <c r="J10709" i="1"/>
  <c r="J10697" i="1"/>
  <c r="J10685" i="1"/>
  <c r="J10673" i="1"/>
  <c r="J10661" i="1"/>
  <c r="J10649" i="1"/>
  <c r="J10637" i="1"/>
  <c r="J10625" i="1"/>
  <c r="J10613" i="1"/>
  <c r="J10601" i="1"/>
  <c r="J10589" i="1"/>
  <c r="J10577" i="1"/>
  <c r="J10565" i="1"/>
  <c r="J10553" i="1"/>
  <c r="J10541" i="1"/>
  <c r="J10529" i="1"/>
  <c r="J10517" i="1"/>
  <c r="J10505" i="1"/>
  <c r="J10493" i="1"/>
  <c r="J10481" i="1"/>
  <c r="J10469" i="1"/>
  <c r="J10457" i="1"/>
  <c r="J10445" i="1"/>
  <c r="J10433" i="1"/>
  <c r="J10409" i="1"/>
  <c r="J10385" i="1"/>
  <c r="J10349" i="1"/>
  <c r="J10337" i="1"/>
  <c r="J10325" i="1"/>
  <c r="J10313" i="1"/>
  <c r="J10301" i="1"/>
  <c r="J10289" i="1"/>
  <c r="J10265" i="1"/>
  <c r="J10253" i="1"/>
  <c r="J10241" i="1"/>
  <c r="J10229" i="1"/>
  <c r="J10193" i="1"/>
  <c r="J10181" i="1"/>
  <c r="J10169" i="1"/>
  <c r="J10157" i="1"/>
  <c r="J10145" i="1"/>
  <c r="J10121" i="1"/>
  <c r="J10109" i="1"/>
  <c r="J10097" i="1"/>
  <c r="J10085" i="1"/>
  <c r="J10061" i="1"/>
  <c r="J10049" i="1"/>
  <c r="J10025" i="1"/>
  <c r="J10013" i="1"/>
  <c r="J10001" i="1"/>
  <c r="J9989" i="1"/>
  <c r="J9977" i="1"/>
  <c r="J9953" i="1"/>
  <c r="J9941" i="1"/>
  <c r="J9929" i="1"/>
  <c r="J9917" i="1"/>
  <c r="J9905" i="1"/>
  <c r="J9893" i="1"/>
  <c r="J9869" i="1"/>
  <c r="J9845" i="1"/>
  <c r="J2907" i="1"/>
  <c r="J10911" i="1"/>
  <c r="J10899" i="1"/>
  <c r="J10887" i="1"/>
  <c r="J10875" i="1"/>
  <c r="J10863" i="1"/>
  <c r="J10851" i="1"/>
  <c r="J10839" i="1"/>
  <c r="J10827" i="1"/>
  <c r="J10898" i="1"/>
  <c r="J10886" i="1"/>
  <c r="J10874" i="1"/>
  <c r="J10862" i="1"/>
  <c r="J10850" i="1"/>
  <c r="J10838" i="1"/>
  <c r="J10826" i="1"/>
  <c r="J10814" i="1"/>
  <c r="J10802" i="1"/>
  <c r="J10790" i="1"/>
  <c r="J10778" i="1"/>
  <c r="J10766" i="1"/>
  <c r="J10754" i="1"/>
  <c r="J10742" i="1"/>
  <c r="J10730" i="1"/>
  <c r="J10718" i="1"/>
  <c r="J10706" i="1"/>
  <c r="J10694" i="1"/>
  <c r="J10682" i="1"/>
  <c r="J10634" i="1"/>
  <c r="J10622" i="1"/>
  <c r="J3241" i="1"/>
  <c r="J2905" i="1"/>
  <c r="J2796" i="1"/>
  <c r="J2616" i="1"/>
  <c r="J4676" i="1"/>
  <c r="J2768" i="1"/>
  <c r="J4483" i="1"/>
  <c r="J2362" i="1"/>
  <c r="J7458" i="1"/>
  <c r="J4662" i="1"/>
  <c r="J10912" i="1"/>
  <c r="J10900" i="1"/>
  <c r="J10888" i="1"/>
  <c r="J10876" i="1"/>
  <c r="J6196" i="1"/>
  <c r="J4983" i="1"/>
  <c r="J1167" i="1"/>
  <c r="J10910" i="1"/>
  <c r="J2929" i="1"/>
  <c r="J2544" i="1"/>
  <c r="J2472" i="1"/>
  <c r="J1831" i="1"/>
  <c r="J3738" i="1"/>
  <c r="J1458" i="1"/>
  <c r="J1493" i="1"/>
  <c r="J7249" i="1"/>
  <c r="J9796" i="1"/>
  <c r="J2670" i="1"/>
  <c r="J2634" i="1"/>
  <c r="J9566" i="1"/>
  <c r="J8846" i="1"/>
  <c r="J1673" i="1"/>
  <c r="J1253" i="1"/>
  <c r="J6256" i="1"/>
  <c r="J3412" i="1"/>
  <c r="J2848" i="1"/>
  <c r="J1624" i="1"/>
  <c r="J772" i="1"/>
  <c r="J6135" i="1"/>
  <c r="J3423" i="1"/>
  <c r="J2787" i="1"/>
  <c r="J663" i="1"/>
  <c r="J9110" i="1"/>
  <c r="J5762" i="1"/>
  <c r="J4814" i="1"/>
  <c r="J2114" i="1"/>
  <c r="J254" i="1"/>
  <c r="J2917" i="1"/>
  <c r="J3133" i="1"/>
  <c r="J7824" i="1"/>
  <c r="J2724" i="1"/>
  <c r="J2580" i="1"/>
  <c r="J2124" i="1"/>
  <c r="J8920" i="1"/>
  <c r="J8605" i="1"/>
  <c r="J10439" i="1"/>
  <c r="J9239" i="1"/>
  <c r="J8531" i="1"/>
  <c r="J8171" i="1"/>
  <c r="J7499" i="1"/>
  <c r="J2279" i="1"/>
  <c r="J5101" i="1"/>
  <c r="J10726" i="1"/>
  <c r="J10282" i="1"/>
  <c r="J9226" i="1"/>
  <c r="J3970" i="1"/>
  <c r="J1654" i="1"/>
  <c r="J8413" i="1"/>
  <c r="J10450" i="1"/>
  <c r="J8109" i="1"/>
  <c r="J7389" i="1"/>
  <c r="J2289" i="1"/>
  <c r="J2109" i="1"/>
  <c r="J9368" i="1"/>
  <c r="J7208" i="1"/>
  <c r="J6560" i="1"/>
  <c r="J2300" i="1"/>
  <c r="J1124" i="1"/>
  <c r="J8990" i="1"/>
  <c r="J9379" i="1"/>
  <c r="J8227" i="1"/>
  <c r="J6763" i="1"/>
  <c r="J1480" i="1"/>
  <c r="J9937" i="1"/>
  <c r="J6733" i="1"/>
  <c r="J10628" i="1"/>
  <c r="J10376" i="1"/>
  <c r="J10352" i="1"/>
  <c r="J10675" i="1"/>
  <c r="J10651" i="1"/>
  <c r="J10722" i="1"/>
  <c r="J10710" i="1"/>
  <c r="J10698" i="1"/>
  <c r="J10674" i="1"/>
  <c r="J10398" i="1"/>
  <c r="J6498" i="1"/>
  <c r="J6366" i="1"/>
  <c r="J6102" i="1"/>
  <c r="J4722" i="1"/>
  <c r="J3990" i="1"/>
  <c r="J3426" i="1"/>
  <c r="J2814" i="1"/>
  <c r="J2646" i="1"/>
  <c r="J2586" i="1"/>
  <c r="J2478" i="1"/>
  <c r="J2322" i="1"/>
  <c r="J2022" i="1"/>
  <c r="J1266" i="1"/>
  <c r="J1158" i="1"/>
  <c r="J654" i="1"/>
  <c r="J10478" i="1"/>
  <c r="J10501" i="1"/>
  <c r="J5665" i="1"/>
  <c r="J8659" i="1"/>
  <c r="J8587" i="1"/>
  <c r="J10662" i="1"/>
  <c r="J10650" i="1"/>
  <c r="J10638" i="1"/>
  <c r="J10901" i="1"/>
  <c r="J10889" i="1"/>
  <c r="J10877" i="1"/>
  <c r="J10865" i="1"/>
  <c r="J10853" i="1"/>
  <c r="J10841" i="1"/>
  <c r="J10829" i="1"/>
  <c r="J10817" i="1"/>
  <c r="J10805" i="1"/>
  <c r="J10793" i="1"/>
  <c r="J10781" i="1"/>
  <c r="J10769" i="1"/>
  <c r="J10757" i="1"/>
  <c r="J10745" i="1"/>
  <c r="J10733" i="1"/>
  <c r="J10721" i="1"/>
  <c r="J10397" i="1"/>
  <c r="J10373" i="1"/>
  <c r="J10361" i="1"/>
  <c r="J8777" i="1"/>
  <c r="J6545" i="1"/>
  <c r="J6413" i="1"/>
  <c r="J3989" i="1"/>
  <c r="J3581" i="1"/>
  <c r="J3437" i="1"/>
  <c r="J845" i="1"/>
  <c r="J700" i="1"/>
  <c r="J1864" i="1"/>
  <c r="J8331" i="1"/>
  <c r="J3831" i="1"/>
  <c r="J483" i="1"/>
  <c r="J1166" i="1"/>
  <c r="J7264" i="1"/>
  <c r="J4984" i="1"/>
  <c r="J9579" i="1"/>
  <c r="J9926" i="1"/>
  <c r="J10525" i="1"/>
  <c r="J7515" i="1"/>
  <c r="J6902" i="1"/>
  <c r="J6830" i="1"/>
  <c r="J5618" i="1"/>
  <c r="J10584" i="1"/>
  <c r="J10548" i="1"/>
  <c r="J10524" i="1"/>
  <c r="J10488" i="1"/>
  <c r="J10188" i="1"/>
  <c r="J10128" i="1"/>
  <c r="J10104" i="1"/>
  <c r="J10044" i="1"/>
  <c r="J10008" i="1"/>
  <c r="J9972" i="1"/>
  <c r="J7380" i="1"/>
  <c r="J7344" i="1"/>
  <c r="J7152" i="1"/>
  <c r="J6156" i="1"/>
  <c r="J2424" i="1"/>
  <c r="J1404" i="1"/>
  <c r="J7587" i="1"/>
  <c r="J2054" i="1"/>
  <c r="J10573" i="1"/>
  <c r="J10549" i="1"/>
  <c r="J10513" i="1"/>
  <c r="J4789" i="1"/>
  <c r="J10536" i="1"/>
  <c r="J10512" i="1"/>
  <c r="J10200" i="1"/>
  <c r="J10176" i="1"/>
  <c r="J10164" i="1"/>
  <c r="J10152" i="1"/>
  <c r="J10140" i="1"/>
  <c r="J10116" i="1"/>
  <c r="J10092" i="1"/>
  <c r="J10056" i="1"/>
  <c r="J10032" i="1"/>
  <c r="J10020" i="1"/>
  <c r="J9996" i="1"/>
  <c r="J9984" i="1"/>
  <c r="J9960" i="1"/>
  <c r="J9948" i="1"/>
  <c r="J8724" i="1"/>
  <c r="J10595" i="1"/>
  <c r="J10571" i="1"/>
  <c r="J10559" i="1"/>
  <c r="J10547" i="1"/>
  <c r="J10535" i="1"/>
  <c r="J10523" i="1"/>
  <c r="J10511" i="1"/>
  <c r="J10403" i="1"/>
  <c r="J10283" i="1"/>
  <c r="J10259" i="1"/>
  <c r="J10247" i="1"/>
  <c r="J10235" i="1"/>
  <c r="J10223" i="1"/>
  <c r="J10211" i="1"/>
  <c r="J10199" i="1"/>
  <c r="J10175" i="1"/>
  <c r="J10163" i="1"/>
  <c r="J10151" i="1"/>
  <c r="J10139" i="1"/>
  <c r="J10127" i="1"/>
  <c r="J9911" i="1"/>
  <c r="J9899" i="1"/>
  <c r="J8831" i="1"/>
  <c r="J7547" i="1"/>
  <c r="J4607" i="1"/>
  <c r="J1943" i="1"/>
  <c r="J1223" i="1"/>
  <c r="J935" i="1"/>
  <c r="J9880" i="1"/>
  <c r="J7576" i="1"/>
  <c r="J2391" i="1"/>
  <c r="J10454" i="1"/>
  <c r="J6674" i="1"/>
  <c r="J4945" i="1"/>
  <c r="J3025" i="1"/>
  <c r="J10606" i="1"/>
  <c r="J10594" i="1"/>
  <c r="J10582" i="1"/>
  <c r="J9850" i="1"/>
  <c r="J7414" i="1"/>
  <c r="J7198" i="1"/>
  <c r="J6202" i="1"/>
  <c r="J4642" i="1"/>
  <c r="J2830" i="1"/>
  <c r="J2374" i="1"/>
  <c r="J2242" i="1"/>
  <c r="J1234" i="1"/>
  <c r="J1192" i="1"/>
  <c r="J10561" i="1"/>
  <c r="J10537" i="1"/>
  <c r="J10489" i="1"/>
  <c r="J6553" i="1"/>
  <c r="J10617" i="1"/>
  <c r="J10605" i="1"/>
  <c r="J10593" i="1"/>
  <c r="J9837" i="1"/>
  <c r="J2829" i="1"/>
  <c r="J1125" i="1"/>
  <c r="J808" i="1"/>
  <c r="J10611" i="1"/>
  <c r="J9728" i="1"/>
  <c r="J4856" i="1"/>
  <c r="J4388" i="1"/>
  <c r="J4040" i="1"/>
  <c r="J1520" i="1"/>
  <c r="J9736" i="1"/>
  <c r="J3531" i="1"/>
  <c r="J10466" i="1"/>
  <c r="J1154" i="1"/>
  <c r="J10652" i="1"/>
  <c r="J10640" i="1"/>
  <c r="J10663" i="1"/>
  <c r="J10639" i="1"/>
  <c r="J10387" i="1"/>
  <c r="J9523" i="1"/>
  <c r="J7003" i="1"/>
  <c r="J4867" i="1"/>
  <c r="J4663" i="1"/>
  <c r="J3523" i="1"/>
  <c r="J3151" i="1"/>
  <c r="J3019" i="1"/>
  <c r="J2011" i="1"/>
  <c r="J1759" i="1"/>
  <c r="J1303" i="1"/>
  <c r="J499" i="1"/>
  <c r="J9752" i="1"/>
  <c r="J9763" i="1"/>
  <c r="J9963" i="1"/>
  <c r="J10670" i="1"/>
  <c r="J10658" i="1"/>
  <c r="J10646" i="1"/>
  <c r="J10705" i="1"/>
  <c r="J10693" i="1"/>
  <c r="J10681" i="1"/>
  <c r="J10009" i="1"/>
  <c r="J10716" i="1"/>
  <c r="J10907" i="1"/>
  <c r="J10895" i="1"/>
  <c r="J10883" i="1"/>
  <c r="J10871" i="1"/>
  <c r="J10859" i="1"/>
  <c r="J10847" i="1"/>
  <c r="J10835" i="1"/>
  <c r="J10823" i="1"/>
  <c r="J10811" i="1"/>
  <c r="J10799" i="1"/>
  <c r="J10787" i="1"/>
  <c r="J10775" i="1"/>
  <c r="J10763" i="1"/>
  <c r="J10906" i="1"/>
  <c r="J10894" i="1"/>
  <c r="J10882" i="1"/>
  <c r="J10870" i="1"/>
  <c r="J10858" i="1"/>
  <c r="J10846" i="1"/>
  <c r="J10834" i="1"/>
  <c r="J10570" i="1"/>
  <c r="J9898" i="1"/>
  <c r="J7822" i="1"/>
  <c r="J7294" i="1"/>
  <c r="J6850" i="1"/>
  <c r="J6706" i="1"/>
  <c r="J4882" i="1"/>
  <c r="J4786" i="1"/>
  <c r="J4714" i="1"/>
  <c r="J4690" i="1"/>
  <c r="J4450" i="1"/>
  <c r="J3898" i="1"/>
  <c r="J2254" i="1"/>
  <c r="J2170" i="1"/>
  <c r="J1534" i="1"/>
  <c r="J1510" i="1"/>
  <c r="J1462" i="1"/>
  <c r="J1162" i="1"/>
  <c r="J1078" i="1"/>
  <c r="J1054" i="1"/>
  <c r="J790" i="1"/>
  <c r="J4893" i="1"/>
  <c r="J3753" i="1"/>
  <c r="J2757" i="1"/>
  <c r="J2313" i="1"/>
  <c r="J1197" i="1"/>
  <c r="J921" i="1"/>
  <c r="J753" i="1"/>
  <c r="J189" i="1"/>
  <c r="J7648" i="1"/>
  <c r="J6796" i="1"/>
  <c r="J6292" i="1"/>
  <c r="J6280" i="1"/>
  <c r="J6232" i="1"/>
  <c r="J5980" i="1"/>
  <c r="J5932" i="1"/>
  <c r="J5920" i="1"/>
  <c r="J5716" i="1"/>
  <c r="J5308" i="1"/>
  <c r="J5176" i="1"/>
  <c r="J4804" i="1"/>
  <c r="J4516" i="1"/>
  <c r="J3988" i="1"/>
  <c r="J3940" i="1"/>
  <c r="J3916" i="1"/>
  <c r="J3664" i="1"/>
  <c r="J3580" i="1"/>
  <c r="J3556" i="1"/>
  <c r="J3520" i="1"/>
  <c r="J3472" i="1"/>
  <c r="J3424" i="1"/>
  <c r="J2752" i="1"/>
  <c r="J1648" i="1"/>
  <c r="J1504" i="1"/>
  <c r="J1408" i="1"/>
  <c r="J628" i="1"/>
  <c r="J556" i="1"/>
  <c r="J7983" i="1"/>
  <c r="J7875" i="1"/>
  <c r="J7359" i="1"/>
  <c r="J6435" i="1"/>
  <c r="J6291" i="1"/>
  <c r="J6207" i="1"/>
  <c r="J6123" i="1"/>
  <c r="J5487" i="1"/>
  <c r="J5439" i="1"/>
  <c r="J3711" i="1"/>
  <c r="J3699" i="1"/>
  <c r="J3639" i="1"/>
  <c r="J3567" i="1"/>
  <c r="J3447" i="1"/>
  <c r="J3411" i="1"/>
  <c r="J3387" i="1"/>
  <c r="J939" i="1"/>
  <c r="J831" i="1"/>
  <c r="J519" i="1"/>
  <c r="J9626" i="1"/>
  <c r="J9614" i="1"/>
  <c r="J9062" i="1"/>
  <c r="J8882" i="1"/>
  <c r="J8546" i="1"/>
  <c r="J7262" i="1"/>
  <c r="J5354" i="1"/>
  <c r="J4574" i="1"/>
  <c r="J4142" i="1"/>
  <c r="J3926" i="1"/>
  <c r="J2390" i="1"/>
  <c r="J1502" i="1"/>
  <c r="J1238" i="1"/>
  <c r="J1106" i="1"/>
  <c r="J1010" i="1"/>
  <c r="J866" i="1"/>
  <c r="J578" i="1"/>
  <c r="J290" i="1"/>
  <c r="J8665" i="1"/>
  <c r="J8557" i="1"/>
  <c r="J8449" i="1"/>
  <c r="J8197" i="1"/>
  <c r="J8161" i="1"/>
  <c r="J8029" i="1"/>
  <c r="J7729" i="1"/>
  <c r="J7621" i="1"/>
  <c r="J6601" i="1"/>
  <c r="J6205" i="1"/>
  <c r="J5497" i="1"/>
  <c r="J5425" i="1"/>
  <c r="J4201" i="1"/>
  <c r="J3733" i="1"/>
  <c r="J3349" i="1"/>
  <c r="J3289" i="1"/>
  <c r="J3229" i="1"/>
  <c r="J3217" i="1"/>
  <c r="J3157" i="1"/>
  <c r="J3097" i="1"/>
  <c r="J3085" i="1"/>
  <c r="J3037" i="1"/>
  <c r="J3013" i="1"/>
  <c r="J2989" i="1"/>
  <c r="J2953" i="1"/>
  <c r="J2833" i="1"/>
  <c r="J2773" i="1"/>
  <c r="J1645" i="1"/>
  <c r="J1501" i="1"/>
  <c r="J217" i="1"/>
  <c r="J8580" i="1"/>
  <c r="J8460" i="1"/>
  <c r="J8316" i="1"/>
  <c r="J7956" i="1"/>
  <c r="J7896" i="1"/>
  <c r="J7500" i="1"/>
  <c r="J7452" i="1"/>
  <c r="J7236" i="1"/>
  <c r="J6996" i="1"/>
  <c r="J6684" i="1"/>
  <c r="J2820" i="1"/>
  <c r="J2808" i="1"/>
  <c r="J2784" i="1"/>
  <c r="J2688" i="1"/>
  <c r="J2640" i="1"/>
  <c r="J2412" i="1"/>
  <c r="J2280" i="1"/>
  <c r="J2244" i="1"/>
  <c r="J2196" i="1"/>
  <c r="J1836" i="1"/>
  <c r="J1560" i="1"/>
  <c r="J1548" i="1"/>
  <c r="J1008" i="1"/>
  <c r="J816" i="1"/>
  <c r="J804" i="1"/>
  <c r="J10079" i="1"/>
  <c r="J10067" i="1"/>
  <c r="J10055" i="1"/>
  <c r="J10043" i="1"/>
  <c r="J10031" i="1"/>
  <c r="J10019" i="1"/>
  <c r="J10007" i="1"/>
  <c r="J9923" i="1"/>
  <c r="J9887" i="1"/>
  <c r="J9875" i="1"/>
  <c r="J9863" i="1"/>
  <c r="J9851" i="1"/>
  <c r="J9731" i="1"/>
  <c r="J9707" i="1"/>
  <c r="J9683" i="1"/>
  <c r="J9623" i="1"/>
  <c r="J8975" i="1"/>
  <c r="J8675" i="1"/>
  <c r="J8495" i="1"/>
  <c r="J8039" i="1"/>
  <c r="J8003" i="1"/>
  <c r="J7643" i="1"/>
  <c r="J7523" i="1"/>
  <c r="J6911" i="1"/>
  <c r="J6695" i="1"/>
  <c r="J6647" i="1"/>
  <c r="J6215" i="1"/>
  <c r="J3779" i="1"/>
  <c r="J2831" i="1"/>
  <c r="J2795" i="1"/>
  <c r="J2267" i="1"/>
  <c r="J2063" i="1"/>
  <c r="J1319" i="1"/>
  <c r="J1055" i="1"/>
  <c r="J779" i="1"/>
  <c r="J10655" i="1"/>
  <c r="J10487" i="1"/>
  <c r="J10702" i="1"/>
  <c r="J10654" i="1"/>
  <c r="J10510" i="1"/>
  <c r="J10462" i="1"/>
  <c r="J10701" i="1"/>
  <c r="J10677" i="1"/>
  <c r="J10641" i="1"/>
  <c r="J10569" i="1"/>
  <c r="J10521" i="1"/>
  <c r="J10485" i="1"/>
  <c r="J10329" i="1"/>
  <c r="J10903" i="1"/>
  <c r="J10891" i="1"/>
  <c r="J10879" i="1"/>
  <c r="J10867" i="1"/>
  <c r="J10855" i="1"/>
  <c r="J10843" i="1"/>
  <c r="J10831" i="1"/>
  <c r="J10819" i="1"/>
  <c r="J10807" i="1"/>
  <c r="J10795" i="1"/>
  <c r="J10783" i="1"/>
  <c r="J10771" i="1"/>
  <c r="J10759" i="1"/>
  <c r="J10747" i="1"/>
  <c r="J10735" i="1"/>
  <c r="J10723" i="1"/>
  <c r="J10711" i="1"/>
  <c r="J10687" i="1"/>
  <c r="J10567" i="1"/>
  <c r="J10555" i="1"/>
  <c r="J10543" i="1"/>
  <c r="J10519" i="1"/>
  <c r="J10375" i="1"/>
  <c r="J10363" i="1"/>
  <c r="J10351" i="1"/>
  <c r="J10339" i="1"/>
  <c r="J10327" i="1"/>
  <c r="J10171" i="1"/>
  <c r="J10159" i="1"/>
  <c r="J10147" i="1"/>
  <c r="J10123" i="1"/>
  <c r="J10902" i="1"/>
  <c r="J10890" i="1"/>
  <c r="J10878" i="1"/>
  <c r="J10866" i="1"/>
  <c r="J10854" i="1"/>
  <c r="J10842" i="1"/>
  <c r="J10830" i="1"/>
  <c r="J10818" i="1"/>
  <c r="J10806" i="1"/>
  <c r="J10794" i="1"/>
  <c r="J10782" i="1"/>
  <c r="J10770" i="1"/>
  <c r="J10758" i="1"/>
  <c r="J10746" i="1"/>
  <c r="J10734" i="1"/>
  <c r="J10578" i="1"/>
  <c r="J10386" i="1"/>
  <c r="J10374" i="1"/>
  <c r="J10362" i="1"/>
  <c r="J10431" i="1"/>
  <c r="J10442" i="1"/>
  <c r="J10274" i="1"/>
  <c r="J10178" i="1"/>
  <c r="J10621" i="1"/>
  <c r="J10609" i="1"/>
  <c r="J10597" i="1"/>
  <c r="J10465" i="1"/>
  <c r="J10453" i="1"/>
  <c r="J10441" i="1"/>
  <c r="J10429" i="1"/>
  <c r="J10417" i="1"/>
  <c r="J10405" i="1"/>
  <c r="J10285" i="1"/>
  <c r="J10273" i="1"/>
  <c r="J10261" i="1"/>
  <c r="J10249" i="1"/>
  <c r="J10237" i="1"/>
  <c r="J10225" i="1"/>
  <c r="J10213" i="1"/>
  <c r="J10201" i="1"/>
  <c r="J10189" i="1"/>
  <c r="J10587" i="1"/>
  <c r="J10610" i="1"/>
  <c r="J10656" i="1"/>
  <c r="J10644" i="1"/>
  <c r="J10632" i="1"/>
  <c r="J10620" i="1"/>
  <c r="J10608" i="1"/>
  <c r="J10596" i="1"/>
  <c r="J10476" i="1"/>
  <c r="J10464" i="1"/>
  <c r="J10452" i="1"/>
  <c r="J10440" i="1"/>
  <c r="J10428" i="1"/>
  <c r="J10416" i="1"/>
  <c r="J10284" i="1"/>
  <c r="J10272" i="1"/>
  <c r="J10260" i="1"/>
  <c r="J10248" i="1"/>
  <c r="J10236" i="1"/>
  <c r="J10224" i="1"/>
  <c r="J10212" i="1"/>
  <c r="J10080" i="1"/>
  <c r="J10068" i="1"/>
  <c r="J10418" i="1"/>
  <c r="J10667" i="1"/>
  <c r="J10607" i="1"/>
  <c r="J10475" i="1"/>
  <c r="J10451" i="1"/>
  <c r="J10319" i="1"/>
  <c r="J10307" i="1"/>
  <c r="J10295" i="1"/>
  <c r="J10091" i="1"/>
  <c r="J10407" i="1"/>
  <c r="J10430" i="1"/>
  <c r="J10619" i="1"/>
  <c r="J10499" i="1"/>
  <c r="J10690" i="1"/>
  <c r="J10306" i="1"/>
  <c r="J10588" i="1"/>
  <c r="J10643" i="1"/>
  <c r="J10463" i="1"/>
  <c r="J10678" i="1"/>
  <c r="J10630" i="1"/>
  <c r="J10474" i="1"/>
  <c r="J10318" i="1"/>
  <c r="J10725" i="1"/>
  <c r="J10665" i="1"/>
  <c r="J10545" i="1"/>
  <c r="J10509" i="1"/>
  <c r="J10341" i="1"/>
  <c r="J10305" i="1"/>
  <c r="J10586" i="1"/>
  <c r="J10631" i="1"/>
  <c r="J10714" i="1"/>
  <c r="J10666" i="1"/>
  <c r="J10618" i="1"/>
  <c r="J10294" i="1"/>
  <c r="J10713" i="1"/>
  <c r="J10653" i="1"/>
  <c r="J10533" i="1"/>
  <c r="J10497" i="1"/>
  <c r="J10101" i="1"/>
  <c r="J10724" i="1"/>
  <c r="J10712" i="1"/>
  <c r="J10700" i="1"/>
  <c r="J10664" i="1"/>
  <c r="J10568" i="1"/>
  <c r="J10556" i="1"/>
  <c r="J10532" i="1"/>
  <c r="J10520" i="1"/>
  <c r="J10508" i="1"/>
  <c r="J10340" i="1"/>
  <c r="J10316" i="1"/>
  <c r="J10112" i="1"/>
  <c r="J10088" i="1"/>
  <c r="J10699" i="1"/>
  <c r="J8142" i="1"/>
  <c r="J10073" i="1"/>
  <c r="J8477" i="1"/>
  <c r="J6881" i="1"/>
  <c r="J6437" i="1"/>
  <c r="J4721" i="1"/>
  <c r="J4145" i="1"/>
  <c r="J10672" i="1"/>
  <c r="J10120" i="1"/>
  <c r="J9988" i="1"/>
  <c r="J9928" i="1"/>
  <c r="J9508" i="1"/>
  <c r="J9352" i="1"/>
  <c r="J9016" i="1"/>
  <c r="J8908" i="1"/>
  <c r="J8764" i="1"/>
  <c r="J7948" i="1"/>
  <c r="J7660" i="1"/>
  <c r="J6340" i="1"/>
  <c r="J6004" i="1"/>
  <c r="J5752" i="1"/>
  <c r="J5488" i="1"/>
  <c r="J5212" i="1"/>
  <c r="J5128" i="1"/>
  <c r="J4948" i="1"/>
  <c r="J4060" i="1"/>
  <c r="J6306" i="1"/>
  <c r="J9749" i="1"/>
  <c r="J9461" i="1"/>
  <c r="J8741" i="1"/>
  <c r="J8597" i="1"/>
  <c r="J7661" i="1"/>
  <c r="J7589" i="1"/>
  <c r="J5729" i="1"/>
  <c r="J4901" i="1"/>
  <c r="J4349" i="1"/>
  <c r="J10732" i="1"/>
  <c r="J10684" i="1"/>
  <c r="J10372" i="1"/>
  <c r="J10683" i="1"/>
  <c r="J10455" i="1"/>
  <c r="J10287" i="1"/>
  <c r="J9999" i="1"/>
  <c r="J9915" i="1"/>
  <c r="J9879" i="1"/>
  <c r="J9555" i="1"/>
  <c r="J9291" i="1"/>
  <c r="J9003" i="1"/>
  <c r="J8691" i="1"/>
  <c r="J8667" i="1"/>
  <c r="J8223" i="1"/>
  <c r="J8163" i="1"/>
  <c r="J8091" i="1"/>
  <c r="J8019" i="1"/>
  <c r="J7479" i="1"/>
  <c r="J7323" i="1"/>
  <c r="J7299" i="1"/>
  <c r="J6495" i="1"/>
  <c r="J6351" i="1"/>
  <c r="J6039" i="1"/>
  <c r="J5967" i="1"/>
  <c r="J5691" i="1"/>
  <c r="J5367" i="1"/>
  <c r="J5079" i="1"/>
  <c r="J10459" i="1"/>
  <c r="J10518" i="1"/>
  <c r="J5994" i="1"/>
  <c r="J9470" i="1"/>
  <c r="J6530" i="1"/>
  <c r="J5534" i="1"/>
  <c r="J5498" i="1"/>
  <c r="J5186" i="1"/>
  <c r="J4958" i="1"/>
  <c r="J4070" i="1"/>
  <c r="J10346" i="1"/>
  <c r="J9841" i="1"/>
  <c r="J6865" i="1"/>
  <c r="J6841" i="1"/>
  <c r="J6721" i="1"/>
  <c r="J6697" i="1"/>
  <c r="J6673" i="1"/>
  <c r="J5881" i="1"/>
  <c r="J5701" i="1"/>
  <c r="J5605" i="1"/>
  <c r="J5557" i="1"/>
  <c r="J5461" i="1"/>
  <c r="J5197" i="1"/>
  <c r="J4681" i="1"/>
  <c r="J4057" i="1"/>
  <c r="J7062" i="1"/>
  <c r="J9902" i="1"/>
  <c r="J8102" i="1"/>
  <c r="J8341" i="1"/>
  <c r="J8184" i="1"/>
  <c r="J8112" i="1"/>
  <c r="J4548" i="1"/>
  <c r="J7518" i="1"/>
  <c r="J7398" i="1"/>
  <c r="J9842" i="1"/>
  <c r="J10393" i="1"/>
  <c r="J10333" i="1"/>
  <c r="J10021" i="1"/>
  <c r="J9457" i="1"/>
  <c r="J8401" i="1"/>
  <c r="J8269" i="1"/>
  <c r="J8040" i="1"/>
  <c r="J7872" i="1"/>
  <c r="J7800" i="1"/>
  <c r="J6792" i="1"/>
  <c r="J10715" i="1"/>
  <c r="J10583" i="1"/>
  <c r="J10367" i="1"/>
  <c r="J10343" i="1"/>
  <c r="J10115" i="1"/>
  <c r="J9719" i="1"/>
  <c r="J9383" i="1"/>
  <c r="J8423" i="1"/>
  <c r="J8375" i="1"/>
  <c r="J8075" i="1"/>
  <c r="J7775" i="1"/>
  <c r="J6935" i="1"/>
  <c r="J6635" i="1"/>
  <c r="J4319" i="1"/>
  <c r="J4103" i="1"/>
  <c r="J7525" i="1"/>
  <c r="J7357" i="1"/>
  <c r="J9610" i="1"/>
  <c r="J7582" i="1"/>
  <c r="J4846" i="1"/>
  <c r="J3946" i="1"/>
  <c r="J7393" i="1"/>
  <c r="J10500" i="1"/>
  <c r="J10174" i="1"/>
  <c r="J7018" i="1"/>
  <c r="J6766" i="1"/>
  <c r="J6454" i="1"/>
  <c r="J4498" i="1"/>
  <c r="J10893" i="1"/>
  <c r="J10869" i="1"/>
  <c r="J10845" i="1"/>
  <c r="J10821" i="1"/>
  <c r="J10797" i="1"/>
  <c r="J10773" i="1"/>
  <c r="J10749" i="1"/>
  <c r="J10293" i="1"/>
  <c r="J10149" i="1"/>
  <c r="J9717" i="1"/>
  <c r="J9693" i="1"/>
  <c r="J8673" i="1"/>
  <c r="J8037" i="1"/>
  <c r="J7857" i="1"/>
  <c r="J8214" i="1"/>
  <c r="J6662" i="1"/>
  <c r="J9481" i="1"/>
  <c r="J7861" i="1"/>
  <c r="J10642" i="1"/>
  <c r="J10498" i="1"/>
  <c r="J7534" i="1"/>
  <c r="J10905" i="1"/>
  <c r="J10881" i="1"/>
  <c r="J10857" i="1"/>
  <c r="J10833" i="1"/>
  <c r="J10809" i="1"/>
  <c r="J10785" i="1"/>
  <c r="J10761" i="1"/>
  <c r="J10737" i="1"/>
  <c r="J9621" i="1"/>
  <c r="J9021" i="1"/>
  <c r="J8313" i="1"/>
  <c r="J7461" i="1"/>
  <c r="J5973" i="1"/>
  <c r="J10904" i="1"/>
  <c r="J10892" i="1"/>
  <c r="J10880" i="1"/>
  <c r="J10868" i="1"/>
  <c r="J10856" i="1"/>
  <c r="J10844" i="1"/>
  <c r="J10832" i="1"/>
  <c r="J10820" i="1"/>
  <c r="J10808" i="1"/>
  <c r="J10796" i="1"/>
  <c r="J10784" i="1"/>
  <c r="J10772" i="1"/>
  <c r="J10760" i="1"/>
  <c r="J10748" i="1"/>
  <c r="J10736" i="1"/>
  <c r="J10688" i="1"/>
  <c r="J10604" i="1"/>
  <c r="J10544" i="1"/>
  <c r="J9920" i="1"/>
  <c r="J9560" i="1"/>
  <c r="J8600" i="1"/>
  <c r="J8228" i="1"/>
  <c r="J4604" i="1"/>
  <c r="J4400" i="1"/>
  <c r="J10315" i="1"/>
  <c r="J9871" i="1"/>
  <c r="J9835" i="1"/>
  <c r="J8851" i="1"/>
  <c r="J7975" i="1"/>
  <c r="J7531" i="1"/>
  <c r="J6715" i="1"/>
  <c r="J6199" i="1"/>
  <c r="J4831" i="1"/>
  <c r="J4555" i="1"/>
  <c r="J4243" i="1"/>
  <c r="J4027" i="1"/>
  <c r="J10470" i="1"/>
  <c r="J8466" i="1"/>
  <c r="J3798" i="1"/>
  <c r="J7350" i="1"/>
  <c r="J10277" i="1"/>
  <c r="J10205" i="1"/>
  <c r="J9065" i="1"/>
  <c r="J6137" i="1"/>
  <c r="J4997" i="1"/>
  <c r="J4577" i="1"/>
  <c r="J10603" i="1"/>
  <c r="J10483" i="1"/>
  <c r="J10542" i="1"/>
  <c r="J10048" i="1"/>
  <c r="J10671" i="1"/>
  <c r="J10599" i="1"/>
  <c r="J10419" i="1"/>
  <c r="J9795" i="1"/>
  <c r="J9483" i="1"/>
  <c r="J9339" i="1"/>
  <c r="J9267" i="1"/>
  <c r="J7779" i="1"/>
  <c r="J9986" i="1"/>
  <c r="J8966" i="1"/>
  <c r="J8822" i="1"/>
  <c r="J8354" i="1"/>
  <c r="J7190" i="1"/>
  <c r="J7178" i="1"/>
  <c r="J7106" i="1"/>
  <c r="J7070" i="1"/>
  <c r="J7022" i="1"/>
  <c r="J6890" i="1"/>
  <c r="J9704" i="1"/>
  <c r="J9536" i="1"/>
  <c r="J8516" i="1"/>
  <c r="J9124" i="1"/>
  <c r="J10335" i="1"/>
  <c r="J8499" i="1"/>
  <c r="J8139" i="1"/>
  <c r="J8067" i="1"/>
  <c r="J7995" i="1"/>
  <c r="J7791" i="1"/>
  <c r="J7635" i="1"/>
  <c r="J7563" i="1"/>
  <c r="J10598" i="1"/>
  <c r="J10238" i="1"/>
  <c r="J8486" i="1"/>
  <c r="J8246" i="1"/>
  <c r="J8905" i="1"/>
  <c r="J7993" i="1"/>
  <c r="J7945" i="1"/>
  <c r="J7813" i="1"/>
  <c r="J7669" i="1"/>
  <c r="J7513" i="1"/>
  <c r="J7465" i="1"/>
  <c r="J6985" i="1"/>
  <c r="J10220" i="1"/>
  <c r="J9680" i="1"/>
  <c r="J8732" i="1"/>
  <c r="J10279" i="1"/>
  <c r="J10421" i="1"/>
  <c r="J10540" i="1"/>
  <c r="J10264" i="1"/>
  <c r="J9724" i="1"/>
  <c r="J9136" i="1"/>
  <c r="J8776" i="1"/>
  <c r="J9711" i="1"/>
  <c r="J7731" i="1"/>
  <c r="J10526" i="1"/>
  <c r="J10394" i="1"/>
  <c r="J9026" i="1"/>
  <c r="J8066" i="1"/>
  <c r="J7994" i="1"/>
  <c r="J10585" i="1"/>
  <c r="J10309" i="1"/>
  <c r="J8869" i="1"/>
  <c r="J8629" i="1"/>
  <c r="J8485" i="1"/>
  <c r="J6961" i="1"/>
  <c r="J10560" i="1"/>
  <c r="J8700" i="1"/>
  <c r="J8652" i="1"/>
  <c r="J8544" i="1"/>
  <c r="J8508" i="1"/>
  <c r="J8472" i="1"/>
  <c r="J8400" i="1"/>
  <c r="J8388" i="1"/>
  <c r="J8292" i="1"/>
  <c r="J8100" i="1"/>
  <c r="J8052" i="1"/>
  <c r="J8028" i="1"/>
  <c r="J7944" i="1"/>
  <c r="J7752" i="1"/>
  <c r="J7716" i="1"/>
  <c r="J7704" i="1"/>
  <c r="J7644" i="1"/>
  <c r="J7632" i="1"/>
  <c r="J7416" i="1"/>
  <c r="J7260" i="1"/>
  <c r="J7224" i="1"/>
  <c r="J7188" i="1"/>
  <c r="J7164" i="1"/>
  <c r="J7044" i="1"/>
  <c r="J10460" i="1"/>
  <c r="J10016" i="1"/>
  <c r="J9776" i="1"/>
  <c r="J10135" i="1"/>
  <c r="J9895" i="1"/>
  <c r="J10612" i="1"/>
  <c r="J10156" i="1"/>
  <c r="J9664" i="1"/>
  <c r="J9448" i="1"/>
  <c r="J9208" i="1"/>
  <c r="J9064" i="1"/>
  <c r="J8980" i="1"/>
  <c r="J8836" i="1"/>
  <c r="J10251" i="1"/>
  <c r="J10107" i="1"/>
  <c r="J8859" i="1"/>
  <c r="J8559" i="1"/>
  <c r="J7659" i="1"/>
  <c r="J7455" i="1"/>
  <c r="J7371" i="1"/>
  <c r="J10166" i="1"/>
  <c r="J10094" i="1"/>
  <c r="J9950" i="1"/>
  <c r="J8054" i="1"/>
  <c r="J9553" i="1"/>
  <c r="J9025" i="1"/>
  <c r="J8125" i="1"/>
  <c r="J7873" i="1"/>
  <c r="J7789" i="1"/>
  <c r="J7741" i="1"/>
  <c r="J7645" i="1"/>
  <c r="J7597" i="1"/>
  <c r="J7549" i="1"/>
  <c r="J7501" i="1"/>
  <c r="J10391" i="1"/>
  <c r="J10331" i="1"/>
  <c r="J10271" i="1"/>
  <c r="J10187" i="1"/>
  <c r="J10103" i="1"/>
  <c r="J9839" i="1"/>
  <c r="J9767" i="1"/>
  <c r="J9695" i="1"/>
  <c r="J9647" i="1"/>
  <c r="J9599" i="1"/>
  <c r="J9575" i="1"/>
  <c r="J9527" i="1"/>
  <c r="J9455" i="1"/>
  <c r="J9359" i="1"/>
  <c r="J9311" i="1"/>
  <c r="J9263" i="1"/>
  <c r="J9191" i="1"/>
  <c r="J9119" i="1"/>
  <c r="J8807" i="1"/>
  <c r="J8723" i="1"/>
  <c r="J8639" i="1"/>
  <c r="J8459" i="1"/>
  <c r="J8315" i="1"/>
  <c r="J8279" i="1"/>
  <c r="J8183" i="1"/>
  <c r="J7931" i="1"/>
  <c r="J7907" i="1"/>
  <c r="J7847" i="1"/>
  <c r="J7835" i="1"/>
  <c r="J7739" i="1"/>
  <c r="J7715" i="1"/>
  <c r="J7571" i="1"/>
  <c r="J7199" i="1"/>
  <c r="J7139" i="1"/>
  <c r="J9848" i="1"/>
  <c r="J8912" i="1"/>
  <c r="J8444" i="1"/>
  <c r="J10192" i="1"/>
  <c r="J9088" i="1"/>
  <c r="J10323" i="1"/>
  <c r="J9975" i="1"/>
  <c r="J9831" i="1"/>
  <c r="J8787" i="1"/>
  <c r="J10022" i="1"/>
  <c r="J9494" i="1"/>
  <c r="J9422" i="1"/>
  <c r="J10297" i="1"/>
  <c r="J10153" i="1"/>
  <c r="J9805" i="1"/>
  <c r="J8881" i="1"/>
  <c r="J8113" i="1"/>
  <c r="J8065" i="1"/>
  <c r="J7105" i="1"/>
  <c r="J6949" i="1"/>
  <c r="J10572" i="1"/>
  <c r="J10522" i="1"/>
  <c r="J10486" i="1"/>
  <c r="J10330" i="1"/>
  <c r="J10162" i="1"/>
  <c r="J10090" i="1"/>
  <c r="J9826" i="1"/>
  <c r="J9730" i="1"/>
  <c r="J9322" i="1"/>
  <c r="J9178" i="1"/>
  <c r="J9034" i="1"/>
  <c r="J9010" i="1"/>
  <c r="J8890" i="1"/>
  <c r="J8866" i="1"/>
  <c r="J7978" i="1"/>
  <c r="J7942" i="1"/>
  <c r="J7894" i="1"/>
  <c r="J7870" i="1"/>
  <c r="J7846" i="1"/>
  <c r="J7798" i="1"/>
  <c r="J7654" i="1"/>
  <c r="J7630" i="1"/>
  <c r="J7618" i="1"/>
  <c r="J7090" i="1"/>
  <c r="J7066" i="1"/>
  <c r="J6994" i="1"/>
  <c r="J6970" i="1"/>
  <c r="J6910" i="1"/>
  <c r="J10148" i="1"/>
  <c r="J8384" i="1"/>
  <c r="J10099" i="1"/>
  <c r="J9211" i="1"/>
  <c r="J10686" i="1"/>
  <c r="J10689" i="1"/>
  <c r="J10629" i="1"/>
  <c r="J10581" i="1"/>
  <c r="J10557" i="1"/>
  <c r="J10317" i="1"/>
  <c r="J10077" i="1"/>
  <c r="J9885" i="1"/>
  <c r="J9573" i="1"/>
  <c r="J9549" i="1"/>
  <c r="J9477" i="1"/>
  <c r="J9069" i="1"/>
  <c r="J8733" i="1"/>
  <c r="J8685" i="1"/>
  <c r="J8505" i="1"/>
  <c r="J8469" i="1"/>
  <c r="J8433" i="1"/>
  <c r="J8397" i="1"/>
  <c r="J8325" i="1"/>
  <c r="J8289" i="1"/>
  <c r="J8241" i="1"/>
  <c r="J7965" i="1"/>
  <c r="J7953" i="1"/>
  <c r="J7881" i="1"/>
  <c r="J7761" i="1"/>
  <c r="J7749" i="1"/>
  <c r="J7713" i="1"/>
  <c r="J7677" i="1"/>
  <c r="J7605" i="1"/>
  <c r="J7569" i="1"/>
  <c r="J7533" i="1"/>
  <c r="J7521" i="1"/>
  <c r="J7353" i="1"/>
  <c r="J7329" i="1"/>
  <c r="J10304" i="1"/>
  <c r="J10064" i="1"/>
  <c r="J9944" i="1"/>
  <c r="J6944" i="1"/>
  <c r="J10616" i="1"/>
  <c r="J10472" i="1"/>
  <c r="J10364" i="1"/>
  <c r="J9872" i="1"/>
  <c r="J9272" i="1"/>
  <c r="J9152" i="1"/>
  <c r="J8588" i="1"/>
  <c r="J10531" i="1"/>
  <c r="J8623" i="1"/>
  <c r="J8503" i="1"/>
  <c r="J8371" i="1"/>
  <c r="J8335" i="1"/>
  <c r="J8287" i="1"/>
  <c r="J7831" i="1"/>
  <c r="J7771" i="1"/>
  <c r="J7759" i="1"/>
  <c r="J7687" i="1"/>
  <c r="J7675" i="1"/>
  <c r="J7543" i="1"/>
  <c r="J7123" i="1"/>
  <c r="J7075" i="1"/>
  <c r="J10496" i="1"/>
  <c r="J8936" i="1"/>
  <c r="J9691" i="1"/>
  <c r="J8574" i="1"/>
  <c r="J8562" i="1"/>
  <c r="J8418" i="1"/>
  <c r="J8358" i="1"/>
  <c r="J8346" i="1"/>
  <c r="J8250" i="1"/>
  <c r="J8202" i="1"/>
  <c r="J7890" i="1"/>
  <c r="J7818" i="1"/>
  <c r="J7770" i="1"/>
  <c r="J7674" i="1"/>
  <c r="J7626" i="1"/>
  <c r="J7602" i="1"/>
  <c r="J7482" i="1"/>
  <c r="J7434" i="1"/>
  <c r="J7362" i="1"/>
  <c r="J7254" i="1"/>
  <c r="J7182" i="1"/>
  <c r="J7110" i="1"/>
  <c r="J7038" i="1"/>
  <c r="J6990" i="1"/>
  <c r="J6918" i="1"/>
  <c r="J6678" i="1"/>
  <c r="J10447" i="1"/>
  <c r="J10207" i="1"/>
  <c r="J10217" i="1"/>
  <c r="J10133" i="1"/>
  <c r="J10037" i="1"/>
  <c r="J9965" i="1"/>
  <c r="J9881" i="1"/>
  <c r="J9857" i="1"/>
  <c r="J9365" i="1"/>
  <c r="J9245" i="1"/>
  <c r="J9173" i="1"/>
  <c r="J9029" i="1"/>
  <c r="J8921" i="1"/>
  <c r="J8789" i="1"/>
  <c r="J8669" i="1"/>
  <c r="J8633" i="1"/>
  <c r="J8621" i="1"/>
  <c r="J8561" i="1"/>
  <c r="J8525" i="1"/>
  <c r="J8417" i="1"/>
  <c r="J8381" i="1"/>
  <c r="J7877" i="1"/>
  <c r="J7805" i="1"/>
  <c r="J7745" i="1"/>
  <c r="J7685" i="1"/>
  <c r="J7169" i="1"/>
  <c r="J7097" i="1"/>
  <c r="J6953" i="1"/>
  <c r="J10256" i="1"/>
  <c r="J10136" i="1"/>
  <c r="J9392" i="1"/>
  <c r="J7864" i="1"/>
  <c r="J7732" i="1"/>
  <c r="J7720" i="1"/>
  <c r="J7672" i="1"/>
  <c r="J7636" i="1"/>
  <c r="J7600" i="1"/>
  <c r="J7588" i="1"/>
  <c r="J7504" i="1"/>
  <c r="J7432" i="1"/>
  <c r="J7288" i="1"/>
  <c r="J7084" i="1"/>
  <c r="J10676" i="1"/>
  <c r="J10328" i="1"/>
  <c r="J9283" i="1"/>
  <c r="J10060" i="1"/>
  <c r="J9916" i="1"/>
  <c r="J8967" i="1"/>
  <c r="J8823" i="1"/>
  <c r="J8115" i="1"/>
  <c r="J7407" i="1"/>
  <c r="K10772" i="1" l="1"/>
  <c r="K10501" i="1"/>
  <c r="K9872" i="1"/>
  <c r="K10724" i="1"/>
  <c r="K10256" i="1"/>
  <c r="K10111" i="1"/>
  <c r="K10316" i="1"/>
  <c r="K5783" i="1"/>
  <c r="K10291" i="1"/>
  <c r="K210" i="1"/>
  <c r="K6368" i="1"/>
  <c r="K2155" i="1"/>
  <c r="K418" i="1"/>
  <c r="K7644" i="1"/>
  <c r="K9152" i="1"/>
  <c r="K855" i="1"/>
  <c r="K10652" i="1"/>
  <c r="K6371" i="1"/>
  <c r="K7630" i="1"/>
  <c r="K10784" i="1"/>
  <c r="K10363" i="1"/>
  <c r="K9440" i="1"/>
  <c r="K7604" i="1"/>
  <c r="K3447" i="1"/>
  <c r="K10409" i="1"/>
  <c r="K4892" i="1"/>
  <c r="K206" i="1"/>
  <c r="K10220" i="1"/>
  <c r="K8356" i="1"/>
  <c r="K10760" i="1"/>
  <c r="K10381" i="1"/>
  <c r="K10592" i="1"/>
  <c r="K10461" i="1"/>
  <c r="K10616" i="1"/>
  <c r="K402" i="1"/>
  <c r="K9970" i="1"/>
  <c r="K10039" i="1"/>
  <c r="K7600" i="1"/>
  <c r="K622" i="1"/>
  <c r="K6126" i="1"/>
  <c r="K7637" i="1"/>
  <c r="K10712" i="1"/>
  <c r="K1234" i="1"/>
  <c r="K10422" i="1"/>
  <c r="K10688" i="1"/>
  <c r="K202" i="1"/>
  <c r="K10527" i="1"/>
  <c r="K10579" i="1"/>
  <c r="K7599" i="1"/>
  <c r="K2182" i="1"/>
  <c r="K5134" i="1"/>
  <c r="K8407" i="1"/>
  <c r="K8864" i="1"/>
  <c r="K10628" i="1"/>
  <c r="K7589" i="1"/>
  <c r="K4896" i="1"/>
  <c r="K2187" i="1"/>
  <c r="K2170" i="1"/>
  <c r="K191" i="1"/>
  <c r="K200" i="1"/>
  <c r="K8004" i="1"/>
  <c r="K8026" i="1"/>
  <c r="K8023" i="1"/>
  <c r="K8006" i="1"/>
  <c r="K5139" i="1"/>
  <c r="K5121" i="1"/>
  <c r="K5124" i="1"/>
  <c r="K2442" i="1"/>
  <c r="K2437" i="1"/>
  <c r="K2469" i="1"/>
  <c r="K409" i="1"/>
  <c r="K423" i="1"/>
  <c r="K8415" i="1"/>
  <c r="K8363" i="1"/>
  <c r="K8395" i="1"/>
  <c r="K5475" i="1"/>
  <c r="K5506" i="1"/>
  <c r="K2791" i="1"/>
  <c r="K2757" i="1"/>
  <c r="K599" i="1"/>
  <c r="K8851" i="1"/>
  <c r="K8854" i="1"/>
  <c r="K5791" i="1"/>
  <c r="K838" i="1"/>
  <c r="K9215" i="1"/>
  <c r="K1047" i="1"/>
  <c r="K3961" i="1"/>
  <c r="K7594" i="1"/>
  <c r="K4908" i="1"/>
  <c r="K8017" i="1"/>
  <c r="K2449" i="1"/>
  <c r="K5487" i="1"/>
  <c r="K600" i="1"/>
  <c r="K9227" i="1"/>
  <c r="K10474" i="1"/>
  <c r="K7615" i="1"/>
  <c r="K7587" i="1"/>
  <c r="K2201" i="1"/>
  <c r="K2161" i="1"/>
  <c r="K9260" i="1"/>
  <c r="K9272" i="1"/>
  <c r="K9284" i="1"/>
  <c r="K1065" i="1"/>
  <c r="K1067" i="1"/>
  <c r="K3518" i="1"/>
  <c r="K3497" i="1"/>
  <c r="K3480" i="1"/>
  <c r="K3501" i="1"/>
  <c r="K3489" i="1"/>
  <c r="K6145" i="1"/>
  <c r="K6160" i="1"/>
  <c r="K6165" i="1"/>
  <c r="K9309" i="1"/>
  <c r="K1066" i="1"/>
  <c r="K1070" i="1"/>
  <c r="K3471" i="1"/>
  <c r="K3521" i="1"/>
  <c r="K3504" i="1"/>
  <c r="K3502" i="1"/>
  <c r="K4609" i="1"/>
  <c r="K6169" i="1"/>
  <c r="K6150" i="1"/>
  <c r="K6154" i="1"/>
  <c r="K9262" i="1"/>
  <c r="K9264" i="1"/>
  <c r="K9278" i="1"/>
  <c r="K9304" i="1"/>
  <c r="K9271" i="1"/>
  <c r="K1078" i="1"/>
  <c r="K1071" i="1"/>
  <c r="K3483" i="1"/>
  <c r="K3474" i="1"/>
  <c r="K3516" i="1"/>
  <c r="K3503" i="1"/>
  <c r="K3490" i="1"/>
  <c r="K6181" i="1"/>
  <c r="K6162" i="1"/>
  <c r="K6166" i="1"/>
  <c r="K9274" i="1"/>
  <c r="K9276" i="1"/>
  <c r="K9290" i="1"/>
  <c r="K9257" i="1"/>
  <c r="K9283" i="1"/>
  <c r="K1056" i="1"/>
  <c r="K1072" i="1"/>
  <c r="K3495" i="1"/>
  <c r="K3486" i="1"/>
  <c r="K3469" i="1"/>
  <c r="K3507" i="1"/>
  <c r="K3517" i="1"/>
  <c r="K6146" i="1"/>
  <c r="K6174" i="1"/>
  <c r="K6149" i="1"/>
  <c r="K9286" i="1"/>
  <c r="K9288" i="1"/>
  <c r="K9302" i="1"/>
  <c r="K9269" i="1"/>
  <c r="K9295" i="1"/>
  <c r="K1068" i="1"/>
  <c r="K1079" i="1"/>
  <c r="K3472" i="1"/>
  <c r="K3498" i="1"/>
  <c r="K3481" i="1"/>
  <c r="K3510" i="1"/>
  <c r="K6155" i="1"/>
  <c r="K6158" i="1"/>
  <c r="K6151" i="1"/>
  <c r="K6161" i="1"/>
  <c r="K1075" i="1"/>
  <c r="K1081" i="1"/>
  <c r="K3509" i="1"/>
  <c r="K3499" i="1"/>
  <c r="K6144" i="1"/>
  <c r="K6163" i="1"/>
  <c r="K9297" i="1"/>
  <c r="K9312" i="1"/>
  <c r="K9303" i="1"/>
  <c r="K9306" i="1"/>
  <c r="K1064" i="1"/>
  <c r="K3470" i="1"/>
  <c r="K3475" i="1"/>
  <c r="K3522" i="1"/>
  <c r="K6156" i="1"/>
  <c r="K6175" i="1"/>
  <c r="K9250" i="1"/>
  <c r="K9253" i="1"/>
  <c r="K9256" i="1"/>
  <c r="K9259" i="1"/>
  <c r="K1076" i="1"/>
  <c r="K3482" i="1"/>
  <c r="K3476" i="1"/>
  <c r="K3523" i="1"/>
  <c r="K6168" i="1"/>
  <c r="K6152" i="1"/>
  <c r="K9298" i="1"/>
  <c r="K9265" i="1"/>
  <c r="K9268" i="1"/>
  <c r="K9307" i="1"/>
  <c r="K1077" i="1"/>
  <c r="K3494" i="1"/>
  <c r="K3488" i="1"/>
  <c r="K3478" i="1"/>
  <c r="K6180" i="1"/>
  <c r="K6164" i="1"/>
  <c r="K9310" i="1"/>
  <c r="K9277" i="1"/>
  <c r="K9280" i="1"/>
  <c r="K1080" i="1"/>
  <c r="K3506" i="1"/>
  <c r="K3500" i="1"/>
  <c r="K3511" i="1"/>
  <c r="K6157" i="1"/>
  <c r="K6176" i="1"/>
  <c r="K9251" i="1"/>
  <c r="K9289" i="1"/>
  <c r="K9292" i="1"/>
  <c r="K1058" i="1"/>
  <c r="K1057" i="1"/>
  <c r="K3512" i="1"/>
  <c r="K3479" i="1"/>
  <c r="K6170" i="1"/>
  <c r="K6153" i="1"/>
  <c r="K9263" i="1"/>
  <c r="K9301" i="1"/>
  <c r="K9281" i="1"/>
  <c r="K1082" i="1"/>
  <c r="K3484" i="1"/>
  <c r="K3477" i="1"/>
  <c r="K3513" i="1"/>
  <c r="K6182" i="1"/>
  <c r="K6177" i="1"/>
  <c r="K9275" i="1"/>
  <c r="K9254" i="1"/>
  <c r="K9293" i="1"/>
  <c r="K1059" i="1"/>
  <c r="K3496" i="1"/>
  <c r="K3492" i="1"/>
  <c r="K3487" i="1"/>
  <c r="K6147" i="1"/>
  <c r="K6173" i="1"/>
  <c r="K9287" i="1"/>
  <c r="K9266" i="1"/>
  <c r="K9305" i="1"/>
  <c r="K1060" i="1"/>
  <c r="K3508" i="1"/>
  <c r="K3493" i="1"/>
  <c r="K3514" i="1"/>
  <c r="K6159" i="1"/>
  <c r="K9249" i="1"/>
  <c r="K9299" i="1"/>
  <c r="K9255" i="1"/>
  <c r="K9258" i="1"/>
  <c r="K1061" i="1"/>
  <c r="K1062" i="1"/>
  <c r="K3520" i="1"/>
  <c r="K3505" i="1"/>
  <c r="K3515" i="1"/>
  <c r="K6171" i="1"/>
  <c r="K9261" i="1"/>
  <c r="K9311" i="1"/>
  <c r="K9267" i="1"/>
  <c r="K9270" i="1"/>
  <c r="K1073" i="1"/>
  <c r="K1069" i="1"/>
  <c r="K3473" i="1"/>
  <c r="K3491" i="1"/>
  <c r="K6167" i="1"/>
  <c r="K6148" i="1"/>
  <c r="K9273" i="1"/>
  <c r="K9252" i="1"/>
  <c r="K9279" i="1"/>
  <c r="K9282" i="1"/>
  <c r="K1063" i="1"/>
  <c r="K1074" i="1"/>
  <c r="K3485" i="1"/>
  <c r="K3519" i="1"/>
  <c r="K6179" i="1"/>
  <c r="K6172" i="1"/>
  <c r="K9285" i="1"/>
  <c r="K9300" i="1"/>
  <c r="K9291" i="1"/>
  <c r="K9294" i="1"/>
  <c r="K9308" i="1"/>
  <c r="K9596" i="1"/>
  <c r="K9572" i="1"/>
  <c r="K9620" i="1"/>
  <c r="K9632" i="1"/>
  <c r="K1243" i="1"/>
  <c r="K1225" i="1"/>
  <c r="K1235" i="1"/>
  <c r="K6336" i="1"/>
  <c r="K6362" i="1"/>
  <c r="K6366" i="1"/>
  <c r="K6333" i="1"/>
  <c r="K6365" i="1"/>
  <c r="K9587" i="1"/>
  <c r="K9613" i="1"/>
  <c r="K9580" i="1"/>
  <c r="K9582" i="1"/>
  <c r="K1220" i="1"/>
  <c r="K1242" i="1"/>
  <c r="K1251" i="1"/>
  <c r="K6348" i="1"/>
  <c r="K6327" i="1"/>
  <c r="K6319" i="1"/>
  <c r="K6345" i="1"/>
  <c r="K9573" i="1"/>
  <c r="K9599" i="1"/>
  <c r="K9625" i="1"/>
  <c r="K9592" i="1"/>
  <c r="K9594" i="1"/>
  <c r="K9608" i="1"/>
  <c r="K1232" i="1"/>
  <c r="K1226" i="1"/>
  <c r="K1237" i="1"/>
  <c r="K6360" i="1"/>
  <c r="K6339" i="1"/>
  <c r="K6331" i="1"/>
  <c r="K6357" i="1"/>
  <c r="K9585" i="1"/>
  <c r="K9611" i="1"/>
  <c r="K9578" i="1"/>
  <c r="K9604" i="1"/>
  <c r="K9606" i="1"/>
  <c r="K1244" i="1"/>
  <c r="K1246" i="1"/>
  <c r="K1236" i="1"/>
  <c r="K6372" i="1"/>
  <c r="K6351" i="1"/>
  <c r="K6343" i="1"/>
  <c r="K6322" i="1"/>
  <c r="K9597" i="1"/>
  <c r="K9623" i="1"/>
  <c r="K9590" i="1"/>
  <c r="K9616" i="1"/>
  <c r="K9618" i="1"/>
  <c r="K1221" i="1"/>
  <c r="K1227" i="1"/>
  <c r="K1238" i="1"/>
  <c r="K6325" i="1"/>
  <c r="K6363" i="1"/>
  <c r="K6355" i="1"/>
  <c r="K6334" i="1"/>
  <c r="K9609" i="1"/>
  <c r="K9576" i="1"/>
  <c r="K9602" i="1"/>
  <c r="K9628" i="1"/>
  <c r="K9630" i="1"/>
  <c r="K1233" i="1"/>
  <c r="K1247" i="1"/>
  <c r="K1252" i="1"/>
  <c r="K6337" i="1"/>
  <c r="K6328" i="1"/>
  <c r="K6367" i="1"/>
  <c r="K6346" i="1"/>
  <c r="K9621" i="1"/>
  <c r="K9588" i="1"/>
  <c r="K9614" i="1"/>
  <c r="K9569" i="1"/>
  <c r="K9571" i="1"/>
  <c r="K1245" i="1"/>
  <c r="K1228" i="1"/>
  <c r="K6323" i="1"/>
  <c r="K6349" i="1"/>
  <c r="K6340" i="1"/>
  <c r="K6320" i="1"/>
  <c r="K6358" i="1"/>
  <c r="K9574" i="1"/>
  <c r="K9600" i="1"/>
  <c r="K9626" i="1"/>
  <c r="K9581" i="1"/>
  <c r="K9583" i="1"/>
  <c r="K1222" i="1"/>
  <c r="K1248" i="1"/>
  <c r="K6335" i="1"/>
  <c r="K6361" i="1"/>
  <c r="K6352" i="1"/>
  <c r="K6332" i="1"/>
  <c r="K6370" i="1"/>
  <c r="K9586" i="1"/>
  <c r="K9612" i="1"/>
  <c r="K9579" i="1"/>
  <c r="K9593" i="1"/>
  <c r="K9595" i="1"/>
  <c r="K1229" i="1"/>
  <c r="K1223" i="1"/>
  <c r="K1230" i="1"/>
  <c r="K6347" i="1"/>
  <c r="K6373" i="1"/>
  <c r="K6364" i="1"/>
  <c r="K6344" i="1"/>
  <c r="K6329" i="1"/>
  <c r="K9598" i="1"/>
  <c r="K9624" i="1"/>
  <c r="K9591" i="1"/>
  <c r="K9605" i="1"/>
  <c r="K9607" i="1"/>
  <c r="K1241" i="1"/>
  <c r="K1239" i="1"/>
  <c r="K1249" i="1"/>
  <c r="K6359" i="1"/>
  <c r="K6326" i="1"/>
  <c r="K6330" i="1"/>
  <c r="K6356" i="1"/>
  <c r="K6341" i="1"/>
  <c r="K9610" i="1"/>
  <c r="K9577" i="1"/>
  <c r="K9603" i="1"/>
  <c r="K9617" i="1"/>
  <c r="K9619" i="1"/>
  <c r="K1231" i="1"/>
  <c r="K1240" i="1"/>
  <c r="K1250" i="1"/>
  <c r="K6324" i="1"/>
  <c r="K6350" i="1"/>
  <c r="K6354" i="1"/>
  <c r="K6321" i="1"/>
  <c r="K7196" i="1"/>
  <c r="K9575" i="1"/>
  <c r="K9601" i="1"/>
  <c r="K9627" i="1"/>
  <c r="K9570" i="1"/>
  <c r="K146" i="1"/>
  <c r="K130" i="1"/>
  <c r="K2048" i="1"/>
  <c r="K2039" i="1"/>
  <c r="K2065" i="1"/>
  <c r="K2091" i="1"/>
  <c r="K2080" i="1"/>
  <c r="K4801" i="1"/>
  <c r="K4770" i="1"/>
  <c r="K4774" i="1"/>
  <c r="K7479" i="1"/>
  <c r="K7493" i="1"/>
  <c r="K7495" i="1"/>
  <c r="K7497" i="1"/>
  <c r="K7464" i="1"/>
  <c r="K135" i="1"/>
  <c r="K142" i="1"/>
  <c r="K2060" i="1"/>
  <c r="K2051" i="1"/>
  <c r="K2077" i="1"/>
  <c r="K2046" i="1"/>
  <c r="K2081" i="1"/>
  <c r="K4778" i="1"/>
  <c r="K4782" i="1"/>
  <c r="K5044" i="1"/>
  <c r="K7491" i="1"/>
  <c r="K7505" i="1"/>
  <c r="K7507" i="1"/>
  <c r="K7509" i="1"/>
  <c r="K7513" i="1"/>
  <c r="K147" i="1"/>
  <c r="K145" i="1"/>
  <c r="K2072" i="1"/>
  <c r="K2063" i="1"/>
  <c r="K2089" i="1"/>
  <c r="K2058" i="1"/>
  <c r="K2092" i="1"/>
  <c r="K4790" i="1"/>
  <c r="K4794" i="1"/>
  <c r="K4775" i="1"/>
  <c r="K7503" i="1"/>
  <c r="K7517" i="1"/>
  <c r="K7519" i="1"/>
  <c r="K7462" i="1"/>
  <c r="K7465" i="1"/>
  <c r="K136" i="1"/>
  <c r="K149" i="1"/>
  <c r="K2084" i="1"/>
  <c r="K2075" i="1"/>
  <c r="K2042" i="1"/>
  <c r="K2070" i="1"/>
  <c r="K2093" i="1"/>
  <c r="K4802" i="1"/>
  <c r="K4771" i="1"/>
  <c r="K4786" i="1"/>
  <c r="K7515" i="1"/>
  <c r="K7458" i="1"/>
  <c r="K7460" i="1"/>
  <c r="K7474" i="1"/>
  <c r="K7476" i="1"/>
  <c r="K148" i="1"/>
  <c r="K151" i="1"/>
  <c r="K2049" i="1"/>
  <c r="K2087" i="1"/>
  <c r="K2054" i="1"/>
  <c r="K2082" i="1"/>
  <c r="K2045" i="1"/>
  <c r="K4779" i="1"/>
  <c r="K4783" i="1"/>
  <c r="K4787" i="1"/>
  <c r="K7468" i="1"/>
  <c r="K7470" i="1"/>
  <c r="K7472" i="1"/>
  <c r="K7486" i="1"/>
  <c r="K7477" i="1"/>
  <c r="K138" i="1"/>
  <c r="K131" i="1"/>
  <c r="K2061" i="1"/>
  <c r="K2040" i="1"/>
  <c r="K2066" i="1"/>
  <c r="K2047" i="1"/>
  <c r="K2056" i="1"/>
  <c r="K4791" i="1"/>
  <c r="K4795" i="1"/>
  <c r="K4798" i="1"/>
  <c r="K7480" i="1"/>
  <c r="K7482" i="1"/>
  <c r="K7484" i="1"/>
  <c r="K7498" i="1"/>
  <c r="K7488" i="1"/>
  <c r="K150" i="1"/>
  <c r="K132" i="1"/>
  <c r="K2073" i="1"/>
  <c r="K2052" i="1"/>
  <c r="K2078" i="1"/>
  <c r="K2059" i="1"/>
  <c r="K2044" i="1"/>
  <c r="K4803" i="1"/>
  <c r="K4772" i="1"/>
  <c r="K7466" i="1"/>
  <c r="K7492" i="1"/>
  <c r="K7494" i="1"/>
  <c r="K7496" i="1"/>
  <c r="K7510" i="1"/>
  <c r="K7489" i="1"/>
  <c r="K128" i="1"/>
  <c r="K133" i="1"/>
  <c r="K2085" i="1"/>
  <c r="K2064" i="1"/>
  <c r="K2090" i="1"/>
  <c r="K2071" i="1"/>
  <c r="K4776" i="1"/>
  <c r="K4780" i="1"/>
  <c r="K4784" i="1"/>
  <c r="K7478" i="1"/>
  <c r="K7504" i="1"/>
  <c r="K7506" i="1"/>
  <c r="K7508" i="1"/>
  <c r="K7463" i="1"/>
  <c r="K7500" i="1"/>
  <c r="K140" i="1"/>
  <c r="K137" i="1"/>
  <c r="K2050" i="1"/>
  <c r="K2076" i="1"/>
  <c r="K2043" i="1"/>
  <c r="K2083" i="1"/>
  <c r="K4788" i="1"/>
  <c r="K4792" i="1"/>
  <c r="K4796" i="1"/>
  <c r="K7490" i="1"/>
  <c r="K7516" i="1"/>
  <c r="K7518" i="1"/>
  <c r="K7520" i="1"/>
  <c r="K7475" i="1"/>
  <c r="K7501" i="1"/>
  <c r="K152" i="1"/>
  <c r="K143" i="1"/>
  <c r="K2062" i="1"/>
  <c r="K2088" i="1"/>
  <c r="K2055" i="1"/>
  <c r="K2057" i="1"/>
  <c r="K4800" i="1"/>
  <c r="K4769" i="1"/>
  <c r="K4773" i="1"/>
  <c r="K7502" i="1"/>
  <c r="K7457" i="1"/>
  <c r="K7459" i="1"/>
  <c r="K7461" i="1"/>
  <c r="K7487" i="1"/>
  <c r="K7512" i="1"/>
  <c r="K129" i="1"/>
  <c r="K139" i="1"/>
  <c r="K2074" i="1"/>
  <c r="K2041" i="1"/>
  <c r="K2067" i="1"/>
  <c r="K2068" i="1"/>
  <c r="K4777" i="1"/>
  <c r="K4781" i="1"/>
  <c r="K4785" i="1"/>
  <c r="K7514" i="1"/>
  <c r="K7469" i="1"/>
  <c r="K7471" i="1"/>
  <c r="K7473" i="1"/>
  <c r="K7499" i="1"/>
  <c r="K134" i="1"/>
  <c r="K141" i="1"/>
  <c r="K144" i="1"/>
  <c r="K2086" i="1"/>
  <c r="K2053" i="1"/>
  <c r="K2079" i="1"/>
  <c r="K2069" i="1"/>
  <c r="K4789" i="1"/>
  <c r="K4793" i="1"/>
  <c r="K4797" i="1"/>
  <c r="K7467" i="1"/>
  <c r="K7481" i="1"/>
  <c r="K7483" i="1"/>
  <c r="K7485" i="1"/>
  <c r="K7511" i="1"/>
  <c r="K9296" i="1"/>
  <c r="K10487" i="1"/>
  <c r="K10640" i="1"/>
  <c r="K7585" i="1"/>
  <c r="K7629" i="1"/>
  <c r="K7603" i="1"/>
  <c r="K7648" i="1"/>
  <c r="K7634" i="1"/>
  <c r="K4889" i="1"/>
  <c r="K5374" i="1"/>
  <c r="K4907" i="1"/>
  <c r="K4884" i="1"/>
  <c r="K2203" i="1"/>
  <c r="K2175" i="1"/>
  <c r="K2149" i="1"/>
  <c r="K2158" i="1"/>
  <c r="K216" i="1"/>
  <c r="K188" i="1"/>
  <c r="K7991" i="1"/>
  <c r="K8013" i="1"/>
  <c r="K8010" i="1"/>
  <c r="K7993" i="1"/>
  <c r="K5127" i="1"/>
  <c r="K5145" i="1"/>
  <c r="K2476" i="1"/>
  <c r="K2430" i="1"/>
  <c r="K2425" i="1"/>
  <c r="K2457" i="1"/>
  <c r="K408" i="1"/>
  <c r="K411" i="1"/>
  <c r="K8403" i="1"/>
  <c r="K8410" i="1"/>
  <c r="K8382" i="1"/>
  <c r="K5463" i="1"/>
  <c r="K5494" i="1"/>
  <c r="K2778" i="1"/>
  <c r="K2782" i="1"/>
  <c r="K613" i="1"/>
  <c r="K8824" i="1"/>
  <c r="K8815" i="1"/>
  <c r="K3179" i="1"/>
  <c r="K848" i="1"/>
  <c r="K9201" i="1"/>
  <c r="K1030" i="1"/>
  <c r="K1224" i="1"/>
  <c r="K3935" i="1"/>
  <c r="K7595" i="1"/>
  <c r="K2152" i="1"/>
  <c r="K8001" i="1"/>
  <c r="K2434" i="1"/>
  <c r="K5459" i="1"/>
  <c r="K8830" i="1"/>
  <c r="K839" i="1"/>
  <c r="K7633" i="1"/>
  <c r="K4869" i="1"/>
  <c r="K354" i="1"/>
  <c r="K353" i="1"/>
  <c r="K5050" i="1"/>
  <c r="K5062" i="1"/>
  <c r="K7849" i="1"/>
  <c r="K7878" i="1"/>
  <c r="K7842" i="1"/>
  <c r="K7870" i="1"/>
  <c r="K7898" i="1"/>
  <c r="K326" i="1"/>
  <c r="K332" i="1"/>
  <c r="K325" i="1"/>
  <c r="K5063" i="1"/>
  <c r="K7851" i="1"/>
  <c r="K7862" i="1"/>
  <c r="K7891" i="1"/>
  <c r="K7855" i="1"/>
  <c r="K7883" i="1"/>
  <c r="K7847" i="1"/>
  <c r="K339" i="1"/>
  <c r="K345" i="1"/>
  <c r="K335" i="1"/>
  <c r="K5055" i="1"/>
  <c r="K7899" i="1"/>
  <c r="K7850" i="1"/>
  <c r="K7879" i="1"/>
  <c r="K7843" i="1"/>
  <c r="K7871" i="1"/>
  <c r="K7900" i="1"/>
  <c r="K351" i="1"/>
  <c r="K334" i="1"/>
  <c r="K336" i="1"/>
  <c r="K5056" i="1"/>
  <c r="K6960" i="1"/>
  <c r="K7864" i="1"/>
  <c r="K7892" i="1"/>
  <c r="K7856" i="1"/>
  <c r="K7884" i="1"/>
  <c r="K328" i="1"/>
  <c r="K346" i="1"/>
  <c r="K343" i="1"/>
  <c r="K5057" i="1"/>
  <c r="K7848" i="1"/>
  <c r="K7877" i="1"/>
  <c r="K7841" i="1"/>
  <c r="K7869" i="1"/>
  <c r="K7897" i="1"/>
  <c r="K340" i="1"/>
  <c r="K348" i="1"/>
  <c r="K347" i="1"/>
  <c r="K5058" i="1"/>
  <c r="K7861" i="1"/>
  <c r="K7890" i="1"/>
  <c r="K7854" i="1"/>
  <c r="K7882" i="1"/>
  <c r="K7846" i="1"/>
  <c r="K352" i="1"/>
  <c r="K323" i="1"/>
  <c r="K337" i="1"/>
  <c r="K5059" i="1"/>
  <c r="K7874" i="1"/>
  <c r="K7903" i="1"/>
  <c r="K7867" i="1"/>
  <c r="K7895" i="1"/>
  <c r="K7859" i="1"/>
  <c r="K350" i="1"/>
  <c r="K341" i="1"/>
  <c r="K7876" i="1"/>
  <c r="K7894" i="1"/>
  <c r="K327" i="1"/>
  <c r="K5052" i="1"/>
  <c r="K7889" i="1"/>
  <c r="K7844" i="1"/>
  <c r="K330" i="1"/>
  <c r="K5051" i="1"/>
  <c r="K7902" i="1"/>
  <c r="K7857" i="1"/>
  <c r="K342" i="1"/>
  <c r="K5053" i="1"/>
  <c r="K7852" i="1"/>
  <c r="K7896" i="1"/>
  <c r="K344" i="1"/>
  <c r="K5054" i="1"/>
  <c r="K7865" i="1"/>
  <c r="K7845" i="1"/>
  <c r="K356" i="1"/>
  <c r="K5061" i="1"/>
  <c r="K7904" i="1"/>
  <c r="K7858" i="1"/>
  <c r="K333" i="1"/>
  <c r="K5049" i="1"/>
  <c r="K7853" i="1"/>
  <c r="K7872" i="1"/>
  <c r="K349" i="1"/>
  <c r="K7863" i="1"/>
  <c r="K7866" i="1"/>
  <c r="K7885" i="1"/>
  <c r="K324" i="1"/>
  <c r="K7875" i="1"/>
  <c r="K7880" i="1"/>
  <c r="K7860" i="1"/>
  <c r="K355" i="1"/>
  <c r="K7887" i="1"/>
  <c r="K7893" i="1"/>
  <c r="K7873" i="1"/>
  <c r="K329" i="1"/>
  <c r="K7888" i="1"/>
  <c r="K7868" i="1"/>
  <c r="K7886" i="1"/>
  <c r="K338" i="1"/>
  <c r="K331" i="1"/>
  <c r="K7901" i="1"/>
  <c r="K7881" i="1"/>
  <c r="K1099" i="1"/>
  <c r="K1104" i="1"/>
  <c r="K1094" i="1"/>
  <c r="K9322" i="1"/>
  <c r="K9348" i="1"/>
  <c r="K9350" i="1"/>
  <c r="K9352" i="1"/>
  <c r="K9366" i="1"/>
  <c r="K1111" i="1"/>
  <c r="K1116" i="1"/>
  <c r="K1095" i="1"/>
  <c r="K9334" i="1"/>
  <c r="K9360" i="1"/>
  <c r="K9362" i="1"/>
  <c r="K9364" i="1"/>
  <c r="K9319" i="1"/>
  <c r="K1088" i="1"/>
  <c r="K1106" i="1"/>
  <c r="K1096" i="1"/>
  <c r="K9346" i="1"/>
  <c r="K9372" i="1"/>
  <c r="K9374" i="1"/>
  <c r="K9376" i="1"/>
  <c r="K9331" i="1"/>
  <c r="K1100" i="1"/>
  <c r="K1083" i="1"/>
  <c r="K1103" i="1"/>
  <c r="K9358" i="1"/>
  <c r="K9313" i="1"/>
  <c r="K9315" i="1"/>
  <c r="K9317" i="1"/>
  <c r="K9343" i="1"/>
  <c r="K1112" i="1"/>
  <c r="K1107" i="1"/>
  <c r="K1098" i="1"/>
  <c r="K9370" i="1"/>
  <c r="K9325" i="1"/>
  <c r="K9327" i="1"/>
  <c r="K9329" i="1"/>
  <c r="K9355" i="1"/>
  <c r="K1089" i="1"/>
  <c r="K1084" i="1"/>
  <c r="K1105" i="1"/>
  <c r="K9323" i="1"/>
  <c r="K9337" i="1"/>
  <c r="K9339" i="1"/>
  <c r="K9341" i="1"/>
  <c r="K9367" i="1"/>
  <c r="K1101" i="1"/>
  <c r="K1108" i="1"/>
  <c r="K6183" i="1"/>
  <c r="K9335" i="1"/>
  <c r="K9349" i="1"/>
  <c r="K9351" i="1"/>
  <c r="K9353" i="1"/>
  <c r="K1113" i="1"/>
  <c r="K1086" i="1"/>
  <c r="K9321" i="1"/>
  <c r="K9347" i="1"/>
  <c r="K9361" i="1"/>
  <c r="K9363" i="1"/>
  <c r="K9365" i="1"/>
  <c r="K1085" i="1"/>
  <c r="K1090" i="1"/>
  <c r="K1110" i="1"/>
  <c r="K9333" i="1"/>
  <c r="K9359" i="1"/>
  <c r="K9373" i="1"/>
  <c r="K9375" i="1"/>
  <c r="K9318" i="1"/>
  <c r="K1097" i="1"/>
  <c r="K1102" i="1"/>
  <c r="K1091" i="1"/>
  <c r="K9345" i="1"/>
  <c r="K9371" i="1"/>
  <c r="K9314" i="1"/>
  <c r="K9316" i="1"/>
  <c r="K9330" i="1"/>
  <c r="K1109" i="1"/>
  <c r="K1114" i="1"/>
  <c r="K1115" i="1"/>
  <c r="K9357" i="1"/>
  <c r="K9324" i="1"/>
  <c r="K9326" i="1"/>
  <c r="K9328" i="1"/>
  <c r="K9342" i="1"/>
  <c r="K1087" i="1"/>
  <c r="K1092" i="1"/>
  <c r="K1093" i="1"/>
  <c r="K9369" i="1"/>
  <c r="K9336" i="1"/>
  <c r="K9338" i="1"/>
  <c r="K9340" i="1"/>
  <c r="K9354" i="1"/>
  <c r="K9356" i="1"/>
  <c r="K9368" i="1"/>
  <c r="K9344" i="1"/>
  <c r="K9332" i="1"/>
  <c r="K9320" i="1"/>
  <c r="K88" i="1"/>
  <c r="K83" i="1"/>
  <c r="K1944" i="1"/>
  <c r="K1934" i="1"/>
  <c r="K1937" i="1"/>
  <c r="K1981" i="1"/>
  <c r="K1979" i="1"/>
  <c r="K4695" i="1"/>
  <c r="K4676" i="1"/>
  <c r="K4703" i="1"/>
  <c r="K7348" i="1"/>
  <c r="K7374" i="1"/>
  <c r="K7329" i="1"/>
  <c r="K7331" i="1"/>
  <c r="K7333" i="1"/>
  <c r="K77" i="1"/>
  <c r="K84" i="1"/>
  <c r="K1957" i="1"/>
  <c r="K1947" i="1"/>
  <c r="K1950" i="1"/>
  <c r="K1930" i="1"/>
  <c r="K1966" i="1"/>
  <c r="K4672" i="1"/>
  <c r="K4688" i="1"/>
  <c r="K7334" i="1"/>
  <c r="K7360" i="1"/>
  <c r="K7386" i="1"/>
  <c r="K7341" i="1"/>
  <c r="K7343" i="1"/>
  <c r="K7345" i="1"/>
  <c r="K89" i="1"/>
  <c r="K85" i="1"/>
  <c r="K1970" i="1"/>
  <c r="K1960" i="1"/>
  <c r="K1963" i="1"/>
  <c r="K1943" i="1"/>
  <c r="K4680" i="1"/>
  <c r="K4684" i="1"/>
  <c r="K4700" i="1"/>
  <c r="K7346" i="1"/>
  <c r="K7372" i="1"/>
  <c r="K7339" i="1"/>
  <c r="K7353" i="1"/>
  <c r="K7355" i="1"/>
  <c r="K7357" i="1"/>
  <c r="K78" i="1"/>
  <c r="K91" i="1"/>
  <c r="K1983" i="1"/>
  <c r="K1973" i="1"/>
  <c r="K1977" i="1"/>
  <c r="K1956" i="1"/>
  <c r="K4692" i="1"/>
  <c r="K4696" i="1"/>
  <c r="K4677" i="1"/>
  <c r="K7358" i="1"/>
  <c r="K7384" i="1"/>
  <c r="K7351" i="1"/>
  <c r="K7365" i="1"/>
  <c r="K7367" i="1"/>
  <c r="K7369" i="1"/>
  <c r="K90" i="1"/>
  <c r="K72" i="1"/>
  <c r="K1932" i="1"/>
  <c r="K1935" i="1"/>
  <c r="K1938" i="1"/>
  <c r="K1969" i="1"/>
  <c r="K4669" i="1"/>
  <c r="K4673" i="1"/>
  <c r="K4689" i="1"/>
  <c r="K7370" i="1"/>
  <c r="K7337" i="1"/>
  <c r="K7363" i="1"/>
  <c r="K7377" i="1"/>
  <c r="K7379" i="1"/>
  <c r="K7381" i="1"/>
  <c r="K80" i="1"/>
  <c r="K71" i="1"/>
  <c r="K1945" i="1"/>
  <c r="K1948" i="1"/>
  <c r="K1951" i="1"/>
  <c r="K1982" i="1"/>
  <c r="K4681" i="1"/>
  <c r="K4685" i="1"/>
  <c r="K4701" i="1"/>
  <c r="K7382" i="1"/>
  <c r="K7349" i="1"/>
  <c r="K7375" i="1"/>
  <c r="K7389" i="1"/>
  <c r="K7391" i="1"/>
  <c r="K92" i="1"/>
  <c r="K73" i="1"/>
  <c r="K1958" i="1"/>
  <c r="K1961" i="1"/>
  <c r="K1965" i="1"/>
  <c r="K1980" i="1"/>
  <c r="K4693" i="1"/>
  <c r="K4697" i="1"/>
  <c r="K4678" i="1"/>
  <c r="K7335" i="1"/>
  <c r="K7361" i="1"/>
  <c r="K7387" i="1"/>
  <c r="K7330" i="1"/>
  <c r="K7332" i="1"/>
  <c r="K74" i="1"/>
  <c r="K81" i="1"/>
  <c r="K1940" i="1"/>
  <c r="K1971" i="1"/>
  <c r="K1974" i="1"/>
  <c r="K1978" i="1"/>
  <c r="K1939" i="1"/>
  <c r="K4670" i="1"/>
  <c r="K4674" i="1"/>
  <c r="K4909" i="1"/>
  <c r="K7347" i="1"/>
  <c r="K7373" i="1"/>
  <c r="K7340" i="1"/>
  <c r="K7342" i="1"/>
  <c r="K7344" i="1"/>
  <c r="K86" i="1"/>
  <c r="K93" i="1"/>
  <c r="K1952" i="1"/>
  <c r="K1933" i="1"/>
  <c r="K1936" i="1"/>
  <c r="K1929" i="1"/>
  <c r="K1941" i="1"/>
  <c r="K4682" i="1"/>
  <c r="K4686" i="1"/>
  <c r="K4679" i="1"/>
  <c r="K7359" i="1"/>
  <c r="K7385" i="1"/>
  <c r="K7352" i="1"/>
  <c r="K7354" i="1"/>
  <c r="K7356" i="1"/>
  <c r="K75" i="1"/>
  <c r="K70" i="1"/>
  <c r="K1964" i="1"/>
  <c r="K1946" i="1"/>
  <c r="K1949" i="1"/>
  <c r="K1942" i="1"/>
  <c r="K1953" i="1"/>
  <c r="K4694" i="1"/>
  <c r="K4698" i="1"/>
  <c r="K4690" i="1"/>
  <c r="K7371" i="1"/>
  <c r="K7338" i="1"/>
  <c r="K7364" i="1"/>
  <c r="K7366" i="1"/>
  <c r="K7368" i="1"/>
  <c r="K87" i="1"/>
  <c r="K82" i="1"/>
  <c r="K1976" i="1"/>
  <c r="K1959" i="1"/>
  <c r="K1962" i="1"/>
  <c r="K1955" i="1"/>
  <c r="K1954" i="1"/>
  <c r="K4671" i="1"/>
  <c r="K4675" i="1"/>
  <c r="K4691" i="1"/>
  <c r="K7383" i="1"/>
  <c r="K7350" i="1"/>
  <c r="K7376" i="1"/>
  <c r="K7378" i="1"/>
  <c r="K7380" i="1"/>
  <c r="K76" i="1"/>
  <c r="K79" i="1"/>
  <c r="K1931" i="1"/>
  <c r="K1972" i="1"/>
  <c r="K1975" i="1"/>
  <c r="K1968" i="1"/>
  <c r="K1967" i="1"/>
  <c r="K4683" i="1"/>
  <c r="K4687" i="1"/>
  <c r="K4702" i="1"/>
  <c r="K7336" i="1"/>
  <c r="K7362" i="1"/>
  <c r="K7388" i="1"/>
  <c r="K7390" i="1"/>
  <c r="K7392" i="1"/>
  <c r="K7609" i="1"/>
  <c r="K7632" i="1"/>
  <c r="K7617" i="1"/>
  <c r="K7591" i="1"/>
  <c r="K7636" i="1"/>
  <c r="K7622" i="1"/>
  <c r="K4873" i="1"/>
  <c r="K4912" i="1"/>
  <c r="K4893" i="1"/>
  <c r="K4872" i="1"/>
  <c r="K2191" i="1"/>
  <c r="K2163" i="1"/>
  <c r="K2196" i="1"/>
  <c r="K2193" i="1"/>
  <c r="K187" i="1"/>
  <c r="K8029" i="1"/>
  <c r="K8000" i="1"/>
  <c r="K7997" i="1"/>
  <c r="K8032" i="1"/>
  <c r="K5114" i="1"/>
  <c r="K5133" i="1"/>
  <c r="K2465" i="1"/>
  <c r="K2475" i="1"/>
  <c r="K2472" i="1"/>
  <c r="K2433" i="1"/>
  <c r="K407" i="1"/>
  <c r="K8405" i="1"/>
  <c r="K8391" i="1"/>
  <c r="K8398" i="1"/>
  <c r="K8370" i="1"/>
  <c r="K5451" i="1"/>
  <c r="K5481" i="1"/>
  <c r="K2765" i="1"/>
  <c r="K2769" i="1"/>
  <c r="K612" i="1"/>
  <c r="K8811" i="1"/>
  <c r="K8802" i="1"/>
  <c r="K3167" i="1"/>
  <c r="K835" i="1"/>
  <c r="K9189" i="1"/>
  <c r="K9631" i="1"/>
  <c r="K1219" i="1"/>
  <c r="K3909" i="1"/>
  <c r="K4876" i="1"/>
  <c r="K193" i="1"/>
  <c r="K5116" i="1"/>
  <c r="K8375" i="1"/>
  <c r="K2770" i="1"/>
  <c r="K3928" i="1"/>
  <c r="K7641" i="1"/>
  <c r="K4880" i="1"/>
  <c r="K183" i="1"/>
  <c r="K154" i="1"/>
  <c r="K160" i="1"/>
  <c r="K172" i="1"/>
  <c r="K184" i="1"/>
  <c r="K179" i="1"/>
  <c r="K173" i="1"/>
  <c r="K2110" i="1"/>
  <c r="K2136" i="1"/>
  <c r="K2127" i="1"/>
  <c r="K2129" i="1"/>
  <c r="K4860" i="1"/>
  <c r="K4839" i="1"/>
  <c r="K4818" i="1"/>
  <c r="K4844" i="1"/>
  <c r="K4823" i="1"/>
  <c r="K6467" i="1"/>
  <c r="K7540" i="1"/>
  <c r="K7566" i="1"/>
  <c r="K7521" i="1"/>
  <c r="K7523" i="1"/>
  <c r="K7548" i="1"/>
  <c r="K162" i="1"/>
  <c r="K180" i="1"/>
  <c r="K2096" i="1"/>
  <c r="K2122" i="1"/>
  <c r="K2148" i="1"/>
  <c r="K2139" i="1"/>
  <c r="K2140" i="1"/>
  <c r="K4813" i="1"/>
  <c r="K4851" i="1"/>
  <c r="K4830" i="1"/>
  <c r="K4856" i="1"/>
  <c r="K4866" i="1"/>
  <c r="K7526" i="1"/>
  <c r="K7552" i="1"/>
  <c r="K7578" i="1"/>
  <c r="K7533" i="1"/>
  <c r="K7571" i="1"/>
  <c r="K7549" i="1"/>
  <c r="K174" i="1"/>
  <c r="K155" i="1"/>
  <c r="K2108" i="1"/>
  <c r="K2134" i="1"/>
  <c r="K2101" i="1"/>
  <c r="K2094" i="1"/>
  <c r="K2141" i="1"/>
  <c r="K4825" i="1"/>
  <c r="K4863" i="1"/>
  <c r="K4842" i="1"/>
  <c r="K4809" i="1"/>
  <c r="K4834" i="1"/>
  <c r="K7538" i="1"/>
  <c r="K7564" i="1"/>
  <c r="K7531" i="1"/>
  <c r="K7545" i="1"/>
  <c r="K7524" i="1"/>
  <c r="K7559" i="1"/>
  <c r="K186" i="1"/>
  <c r="K181" i="1"/>
  <c r="K2120" i="1"/>
  <c r="K2146" i="1"/>
  <c r="K2113" i="1"/>
  <c r="K2106" i="1"/>
  <c r="K2104" i="1"/>
  <c r="K4837" i="1"/>
  <c r="K4804" i="1"/>
  <c r="K4854" i="1"/>
  <c r="K4821" i="1"/>
  <c r="K4867" i="1"/>
  <c r="K7550" i="1"/>
  <c r="K7576" i="1"/>
  <c r="K7543" i="1"/>
  <c r="K7557" i="1"/>
  <c r="K7572" i="1"/>
  <c r="K7560" i="1"/>
  <c r="K164" i="1"/>
  <c r="K156" i="1"/>
  <c r="K2132" i="1"/>
  <c r="K2099" i="1"/>
  <c r="K2125" i="1"/>
  <c r="K2118" i="1"/>
  <c r="K2105" i="1"/>
  <c r="K4849" i="1"/>
  <c r="K4816" i="1"/>
  <c r="K4807" i="1"/>
  <c r="K4833" i="1"/>
  <c r="K4835" i="1"/>
  <c r="K7562" i="1"/>
  <c r="K7529" i="1"/>
  <c r="K7555" i="1"/>
  <c r="K7569" i="1"/>
  <c r="K7525" i="1"/>
  <c r="K7561" i="1"/>
  <c r="K176" i="1"/>
  <c r="K185" i="1"/>
  <c r="K2144" i="1"/>
  <c r="K2111" i="1"/>
  <c r="K2137" i="1"/>
  <c r="K2130" i="1"/>
  <c r="K2117" i="1"/>
  <c r="K4814" i="1"/>
  <c r="K4828" i="1"/>
  <c r="K4819" i="1"/>
  <c r="K4845" i="1"/>
  <c r="K4868" i="1"/>
  <c r="K7574" i="1"/>
  <c r="K7541" i="1"/>
  <c r="K7567" i="1"/>
  <c r="K7581" i="1"/>
  <c r="K7573" i="1"/>
  <c r="K153" i="1"/>
  <c r="K157" i="1"/>
  <c r="K2097" i="1"/>
  <c r="K2123" i="1"/>
  <c r="K2102" i="1"/>
  <c r="K2142" i="1"/>
  <c r="K2128" i="1"/>
  <c r="K4826" i="1"/>
  <c r="K4840" i="1"/>
  <c r="K4831" i="1"/>
  <c r="K4857" i="1"/>
  <c r="K4846" i="1"/>
  <c r="K7527" i="1"/>
  <c r="K7553" i="1"/>
  <c r="K7579" i="1"/>
  <c r="K7522" i="1"/>
  <c r="K7535" i="1"/>
  <c r="K158" i="1"/>
  <c r="K165" i="1"/>
  <c r="K161" i="1"/>
  <c r="K2109" i="1"/>
  <c r="K2135" i="1"/>
  <c r="K2114" i="1"/>
  <c r="K2095" i="1"/>
  <c r="K2116" i="1"/>
  <c r="K4838" i="1"/>
  <c r="K4805" i="1"/>
  <c r="K4843" i="1"/>
  <c r="K4810" i="1"/>
  <c r="K4847" i="1"/>
  <c r="K7539" i="1"/>
  <c r="K7565" i="1"/>
  <c r="K7532" i="1"/>
  <c r="K7534" i="1"/>
  <c r="K7583" i="1"/>
  <c r="K170" i="1"/>
  <c r="K177" i="1"/>
  <c r="K163" i="1"/>
  <c r="K2121" i="1"/>
  <c r="K2147" i="1"/>
  <c r="K2126" i="1"/>
  <c r="K2107" i="1"/>
  <c r="K4812" i="1"/>
  <c r="K4850" i="1"/>
  <c r="K4817" i="1"/>
  <c r="K4855" i="1"/>
  <c r="K4861" i="1"/>
  <c r="K4852" i="1"/>
  <c r="K7551" i="1"/>
  <c r="K7577" i="1"/>
  <c r="K7544" i="1"/>
  <c r="K7546" i="1"/>
  <c r="K7536" i="1"/>
  <c r="K182" i="1"/>
  <c r="K166" i="1"/>
  <c r="K167" i="1"/>
  <c r="K2133" i="1"/>
  <c r="K2100" i="1"/>
  <c r="K2138" i="1"/>
  <c r="K2119" i="1"/>
  <c r="K4824" i="1"/>
  <c r="K4862" i="1"/>
  <c r="K4829" i="1"/>
  <c r="K4808" i="1"/>
  <c r="K4811" i="1"/>
  <c r="K4853" i="1"/>
  <c r="K7563" i="1"/>
  <c r="K7530" i="1"/>
  <c r="K7556" i="1"/>
  <c r="K7558" i="1"/>
  <c r="K7584" i="1"/>
  <c r="K159" i="1"/>
  <c r="K178" i="1"/>
  <c r="K169" i="1"/>
  <c r="K2145" i="1"/>
  <c r="K2112" i="1"/>
  <c r="K2103" i="1"/>
  <c r="K2131" i="1"/>
  <c r="K4836" i="1"/>
  <c r="K4815" i="1"/>
  <c r="K4841" i="1"/>
  <c r="K4820" i="1"/>
  <c r="K4822" i="1"/>
  <c r="K4858" i="1"/>
  <c r="K7575" i="1"/>
  <c r="K7542" i="1"/>
  <c r="K7568" i="1"/>
  <c r="K7570" i="1"/>
  <c r="K7537" i="1"/>
  <c r="K171" i="1"/>
  <c r="K175" i="1"/>
  <c r="K168" i="1"/>
  <c r="K2098" i="1"/>
  <c r="K2124" i="1"/>
  <c r="K2115" i="1"/>
  <c r="K2143" i="1"/>
  <c r="K4848" i="1"/>
  <c r="K4827" i="1"/>
  <c r="K4806" i="1"/>
  <c r="K4832" i="1"/>
  <c r="K4865" i="1"/>
  <c r="K4859" i="1"/>
  <c r="K7528" i="1"/>
  <c r="K7554" i="1"/>
  <c r="K7580" i="1"/>
  <c r="K7582" i="1"/>
  <c r="K7547" i="1"/>
  <c r="K207" i="1"/>
  <c r="K213" i="1"/>
  <c r="K217" i="1"/>
  <c r="K2181" i="1"/>
  <c r="K219" i="1"/>
  <c r="K190" i="1"/>
  <c r="K192" i="1"/>
  <c r="K208" i="1"/>
  <c r="K214" i="1"/>
  <c r="K199" i="1"/>
  <c r="K1481" i="1"/>
  <c r="K1461" i="1"/>
  <c r="K3969" i="1"/>
  <c r="K3995" i="1"/>
  <c r="K3998" i="1"/>
  <c r="K3977" i="1"/>
  <c r="K4003" i="1"/>
  <c r="K6648" i="1"/>
  <c r="K6662" i="1"/>
  <c r="K6664" i="1"/>
  <c r="K6679" i="1"/>
  <c r="K6646" i="1"/>
  <c r="K10017" i="1"/>
  <c r="K10019" i="1"/>
  <c r="K10021" i="1"/>
  <c r="K10047" i="1"/>
  <c r="K10073" i="1"/>
  <c r="K1469" i="1"/>
  <c r="K1474" i="1"/>
  <c r="K3981" i="1"/>
  <c r="K4007" i="1"/>
  <c r="K4010" i="1"/>
  <c r="K3989" i="1"/>
  <c r="K4015" i="1"/>
  <c r="K6660" i="1"/>
  <c r="K6674" i="1"/>
  <c r="K6676" i="1"/>
  <c r="K6691" i="1"/>
  <c r="K6658" i="1"/>
  <c r="K10029" i="1"/>
  <c r="K10031" i="1"/>
  <c r="K10033" i="1"/>
  <c r="K10059" i="1"/>
  <c r="K10026" i="1"/>
  <c r="K1460" i="1"/>
  <c r="K1482" i="1"/>
  <c r="K1487" i="1"/>
  <c r="K3993" i="1"/>
  <c r="K3972" i="1"/>
  <c r="K3975" i="1"/>
  <c r="K4001" i="1"/>
  <c r="K4004" i="1"/>
  <c r="K6672" i="1"/>
  <c r="K6686" i="1"/>
  <c r="K6688" i="1"/>
  <c r="K6644" i="1"/>
  <c r="K6670" i="1"/>
  <c r="K10041" i="1"/>
  <c r="K10043" i="1"/>
  <c r="K10045" i="1"/>
  <c r="K10071" i="1"/>
  <c r="K10038" i="1"/>
  <c r="K1472" i="1"/>
  <c r="K1457" i="1"/>
  <c r="K1463" i="1"/>
  <c r="K4005" i="1"/>
  <c r="K3984" i="1"/>
  <c r="K3987" i="1"/>
  <c r="K4013" i="1"/>
  <c r="K4016" i="1"/>
  <c r="K6684" i="1"/>
  <c r="K6698" i="1"/>
  <c r="K6700" i="1"/>
  <c r="K6656" i="1"/>
  <c r="K6682" i="1"/>
  <c r="K10053" i="1"/>
  <c r="K10055" i="1"/>
  <c r="K10057" i="1"/>
  <c r="K10024" i="1"/>
  <c r="K10050" i="1"/>
  <c r="K10027" i="1"/>
  <c r="K1484" i="1"/>
  <c r="K1470" i="1"/>
  <c r="K1476" i="1"/>
  <c r="K4017" i="1"/>
  <c r="K3996" i="1"/>
  <c r="K3999" i="1"/>
  <c r="K3966" i="1"/>
  <c r="K3968" i="1"/>
  <c r="K6696" i="1"/>
  <c r="K6639" i="1"/>
  <c r="K6642" i="1"/>
  <c r="K6668" i="1"/>
  <c r="K6694" i="1"/>
  <c r="K10065" i="1"/>
  <c r="K10067" i="1"/>
  <c r="K10069" i="1"/>
  <c r="K10036" i="1"/>
  <c r="K10062" i="1"/>
  <c r="K1465" i="1"/>
  <c r="K1483" i="1"/>
  <c r="K1489" i="1"/>
  <c r="K3970" i="1"/>
  <c r="K4008" i="1"/>
  <c r="K4011" i="1"/>
  <c r="K3978" i="1"/>
  <c r="K3980" i="1"/>
  <c r="K6637" i="1"/>
  <c r="K6651" i="1"/>
  <c r="K6654" i="1"/>
  <c r="K6680" i="1"/>
  <c r="K6701" i="1"/>
  <c r="K10077" i="1"/>
  <c r="K10079" i="1"/>
  <c r="K10022" i="1"/>
  <c r="K10048" i="1"/>
  <c r="K10074" i="1"/>
  <c r="K1478" i="1"/>
  <c r="K1458" i="1"/>
  <c r="K1488" i="1"/>
  <c r="K3982" i="1"/>
  <c r="K3973" i="1"/>
  <c r="K3964" i="1"/>
  <c r="K3990" i="1"/>
  <c r="K3992" i="1"/>
  <c r="K6649" i="1"/>
  <c r="K6663" i="1"/>
  <c r="K6666" i="1"/>
  <c r="K6692" i="1"/>
  <c r="K6641" i="1"/>
  <c r="K10018" i="1"/>
  <c r="K10020" i="1"/>
  <c r="K10034" i="1"/>
  <c r="K10060" i="1"/>
  <c r="K1466" i="1"/>
  <c r="K1471" i="1"/>
  <c r="K1490" i="1"/>
  <c r="K3994" i="1"/>
  <c r="K3985" i="1"/>
  <c r="K3976" i="1"/>
  <c r="K4002" i="1"/>
  <c r="K6104" i="1"/>
  <c r="K6661" i="1"/>
  <c r="K6675" i="1"/>
  <c r="K6678" i="1"/>
  <c r="K6645" i="1"/>
  <c r="K6653" i="1"/>
  <c r="K10030" i="1"/>
  <c r="K10032" i="1"/>
  <c r="K10046" i="1"/>
  <c r="K10072" i="1"/>
  <c r="K10028" i="1"/>
  <c r="K1479" i="1"/>
  <c r="K1485" i="1"/>
  <c r="K1462" i="1"/>
  <c r="K4006" i="1"/>
  <c r="K3997" i="1"/>
  <c r="K3988" i="1"/>
  <c r="K4014" i="1"/>
  <c r="K6647" i="1"/>
  <c r="K6673" i="1"/>
  <c r="K6687" i="1"/>
  <c r="K6690" i="1"/>
  <c r="K6657" i="1"/>
  <c r="K6665" i="1"/>
  <c r="K10042" i="1"/>
  <c r="K10044" i="1"/>
  <c r="K10058" i="1"/>
  <c r="K10025" i="1"/>
  <c r="K1467" i="1"/>
  <c r="K1459" i="1"/>
  <c r="K1475" i="1"/>
  <c r="K4018" i="1"/>
  <c r="K4009" i="1"/>
  <c r="K4000" i="1"/>
  <c r="K3967" i="1"/>
  <c r="K6659" i="1"/>
  <c r="K6685" i="1"/>
  <c r="K6699" i="1"/>
  <c r="K6643" i="1"/>
  <c r="K6669" i="1"/>
  <c r="K6677" i="1"/>
  <c r="K10054" i="1"/>
  <c r="K10056" i="1"/>
  <c r="K10070" i="1"/>
  <c r="K10037" i="1"/>
  <c r="K1480" i="1"/>
  <c r="K1473" i="1"/>
  <c r="K1477" i="1"/>
  <c r="K3971" i="1"/>
  <c r="K3974" i="1"/>
  <c r="K4012" i="1"/>
  <c r="K3979" i="1"/>
  <c r="K6671" i="1"/>
  <c r="K6638" i="1"/>
  <c r="K6640" i="1"/>
  <c r="K6655" i="1"/>
  <c r="K6681" i="1"/>
  <c r="K6689" i="1"/>
  <c r="K10066" i="1"/>
  <c r="K10068" i="1"/>
  <c r="K10023" i="1"/>
  <c r="K10049" i="1"/>
  <c r="K1468" i="1"/>
  <c r="K1486" i="1"/>
  <c r="K1464" i="1"/>
  <c r="K3983" i="1"/>
  <c r="K3986" i="1"/>
  <c r="K3965" i="1"/>
  <c r="K3991" i="1"/>
  <c r="K6683" i="1"/>
  <c r="K6650" i="1"/>
  <c r="K6652" i="1"/>
  <c r="K6667" i="1"/>
  <c r="K6693" i="1"/>
  <c r="K6695" i="1"/>
  <c r="K10078" i="1"/>
  <c r="K10080" i="1"/>
  <c r="K10035" i="1"/>
  <c r="K10061" i="1"/>
  <c r="K10076" i="1"/>
  <c r="K10064" i="1"/>
  <c r="K10075" i="1"/>
  <c r="K10063" i="1"/>
  <c r="K10052" i="1"/>
  <c r="K10040" i="1"/>
  <c r="K10051" i="1"/>
  <c r="K522" i="1"/>
  <c r="K523" i="1"/>
  <c r="K2612" i="1"/>
  <c r="K2638" i="1"/>
  <c r="K2605" i="1"/>
  <c r="K2623" i="1"/>
  <c r="K2597" i="1"/>
  <c r="K5298" i="1"/>
  <c r="K5324" i="1"/>
  <c r="K5279" i="1"/>
  <c r="K5293" i="1"/>
  <c r="K5295" i="1"/>
  <c r="K8178" i="1"/>
  <c r="K8204" i="1"/>
  <c r="K8171" i="1"/>
  <c r="K8185" i="1"/>
  <c r="K8187" i="1"/>
  <c r="K8189" i="1"/>
  <c r="K494" i="1"/>
  <c r="K500" i="1"/>
  <c r="K497" i="1"/>
  <c r="K2624" i="1"/>
  <c r="K2591" i="1"/>
  <c r="K2617" i="1"/>
  <c r="K2635" i="1"/>
  <c r="K2642" i="1"/>
  <c r="K5310" i="1"/>
  <c r="K5336" i="1"/>
  <c r="K5291" i="1"/>
  <c r="K5305" i="1"/>
  <c r="K5307" i="1"/>
  <c r="K8190" i="1"/>
  <c r="K8216" i="1"/>
  <c r="K8183" i="1"/>
  <c r="K8197" i="1"/>
  <c r="K8199" i="1"/>
  <c r="K8201" i="1"/>
  <c r="K506" i="1"/>
  <c r="K512" i="1"/>
  <c r="K499" i="1"/>
  <c r="K2636" i="1"/>
  <c r="K2603" i="1"/>
  <c r="K2629" i="1"/>
  <c r="K2618" i="1"/>
  <c r="K2608" i="1"/>
  <c r="K5322" i="1"/>
  <c r="K5289" i="1"/>
  <c r="K5303" i="1"/>
  <c r="K5317" i="1"/>
  <c r="K5319" i="1"/>
  <c r="K8202" i="1"/>
  <c r="K8169" i="1"/>
  <c r="K8195" i="1"/>
  <c r="K8209" i="1"/>
  <c r="K8211" i="1"/>
  <c r="K8213" i="1"/>
  <c r="K518" i="1"/>
  <c r="K524" i="1"/>
  <c r="K503" i="1"/>
  <c r="K2589" i="1"/>
  <c r="K2615" i="1"/>
  <c r="K2641" i="1"/>
  <c r="K2619" i="1"/>
  <c r="K2609" i="1"/>
  <c r="K5334" i="1"/>
  <c r="K5301" i="1"/>
  <c r="K5315" i="1"/>
  <c r="K5329" i="1"/>
  <c r="K5331" i="1"/>
  <c r="K8214" i="1"/>
  <c r="K8181" i="1"/>
  <c r="K8207" i="1"/>
  <c r="K8221" i="1"/>
  <c r="K8223" i="1"/>
  <c r="K495" i="1"/>
  <c r="K501" i="1"/>
  <c r="K504" i="1"/>
  <c r="K2601" i="1"/>
  <c r="K2627" i="1"/>
  <c r="K2594" i="1"/>
  <c r="K2620" i="1"/>
  <c r="K2607" i="1"/>
  <c r="K5287" i="1"/>
  <c r="K5313" i="1"/>
  <c r="K5327" i="1"/>
  <c r="K5341" i="1"/>
  <c r="K5343" i="1"/>
  <c r="K8167" i="1"/>
  <c r="K8193" i="1"/>
  <c r="K8219" i="1"/>
  <c r="K8162" i="1"/>
  <c r="K8164" i="1"/>
  <c r="K507" i="1"/>
  <c r="K513" i="1"/>
  <c r="K505" i="1"/>
  <c r="K2613" i="1"/>
  <c r="K2639" i="1"/>
  <c r="K2606" i="1"/>
  <c r="K2621" i="1"/>
  <c r="K2643" i="1"/>
  <c r="K5299" i="1"/>
  <c r="K5325" i="1"/>
  <c r="K5280" i="1"/>
  <c r="K5282" i="1"/>
  <c r="K5284" i="1"/>
  <c r="K8179" i="1"/>
  <c r="K8205" i="1"/>
  <c r="K8172" i="1"/>
  <c r="K8174" i="1"/>
  <c r="K8176" i="1"/>
  <c r="K519" i="1"/>
  <c r="K525" i="1"/>
  <c r="K509" i="1"/>
  <c r="K2625" i="1"/>
  <c r="K2592" i="1"/>
  <c r="K2598" i="1"/>
  <c r="K2630" i="1"/>
  <c r="K5285" i="1"/>
  <c r="K5311" i="1"/>
  <c r="K5337" i="1"/>
  <c r="K5292" i="1"/>
  <c r="K5294" i="1"/>
  <c r="K5296" i="1"/>
  <c r="K8191" i="1"/>
  <c r="K8217" i="1"/>
  <c r="K8184" i="1"/>
  <c r="K8186" i="1"/>
  <c r="K8188" i="1"/>
  <c r="K496" i="1"/>
  <c r="K502" i="1"/>
  <c r="K516" i="1"/>
  <c r="K2637" i="1"/>
  <c r="K2604" i="1"/>
  <c r="K2610" i="1"/>
  <c r="K2631" i="1"/>
  <c r="K5297" i="1"/>
  <c r="K5323" i="1"/>
  <c r="K5290" i="1"/>
  <c r="K5304" i="1"/>
  <c r="K5306" i="1"/>
  <c r="K5308" i="1"/>
  <c r="K8203" i="1"/>
  <c r="K8170" i="1"/>
  <c r="K8196" i="1"/>
  <c r="K8198" i="1"/>
  <c r="K8200" i="1"/>
  <c r="K508" i="1"/>
  <c r="K514" i="1"/>
  <c r="K511" i="1"/>
  <c r="K2590" i="1"/>
  <c r="K2616" i="1"/>
  <c r="K2622" i="1"/>
  <c r="K2595" i="1"/>
  <c r="K5309" i="1"/>
  <c r="K5335" i="1"/>
  <c r="K5302" i="1"/>
  <c r="K5316" i="1"/>
  <c r="K5318" i="1"/>
  <c r="K5320" i="1"/>
  <c r="K8215" i="1"/>
  <c r="K8182" i="1"/>
  <c r="K8208" i="1"/>
  <c r="K8210" i="1"/>
  <c r="K8212" i="1"/>
  <c r="K520" i="1"/>
  <c r="K526" i="1"/>
  <c r="K515" i="1"/>
  <c r="K2602" i="1"/>
  <c r="K2628" i="1"/>
  <c r="K2640" i="1"/>
  <c r="K5300" i="1"/>
  <c r="K6214" i="1"/>
  <c r="K8163" i="1"/>
  <c r="K2593" i="1"/>
  <c r="K5312" i="1"/>
  <c r="K8166" i="1"/>
  <c r="K8175" i="1"/>
  <c r="K2634" i="1"/>
  <c r="K5314" i="1"/>
  <c r="K8168" i="1"/>
  <c r="K8224" i="1"/>
  <c r="K2599" i="1"/>
  <c r="K5326" i="1"/>
  <c r="K8180" i="1"/>
  <c r="K8165" i="1"/>
  <c r="K498" i="1"/>
  <c r="K2611" i="1"/>
  <c r="K5338" i="1"/>
  <c r="K8192" i="1"/>
  <c r="K8177" i="1"/>
  <c r="K510" i="1"/>
  <c r="K2632" i="1"/>
  <c r="K5328" i="1"/>
  <c r="K8194" i="1"/>
  <c r="K521" i="1"/>
  <c r="K2596" i="1"/>
  <c r="K5340" i="1"/>
  <c r="K8206" i="1"/>
  <c r="K493" i="1"/>
  <c r="K2633" i="1"/>
  <c r="K5281" i="1"/>
  <c r="K8218" i="1"/>
  <c r="K517" i="1"/>
  <c r="K5321" i="1"/>
  <c r="K5330" i="1"/>
  <c r="K8220" i="1"/>
  <c r="K2600" i="1"/>
  <c r="K5333" i="1"/>
  <c r="K5342" i="1"/>
  <c r="K8161" i="1"/>
  <c r="K2614" i="1"/>
  <c r="K5286" i="1"/>
  <c r="K5283" i="1"/>
  <c r="K8173" i="1"/>
  <c r="K2626" i="1"/>
  <c r="K5288" i="1"/>
  <c r="K5332" i="1"/>
  <c r="K8222" i="1"/>
  <c r="K9908" i="1"/>
  <c r="K9944" i="1"/>
  <c r="K9943" i="1"/>
  <c r="K9932" i="1"/>
  <c r="K9931" i="1"/>
  <c r="K9919" i="1"/>
  <c r="K9920" i="1"/>
  <c r="K1400" i="1"/>
  <c r="K1391" i="1"/>
  <c r="K1395" i="1"/>
  <c r="K3885" i="1"/>
  <c r="K3888" i="1"/>
  <c r="K3867" i="1"/>
  <c r="K3893" i="1"/>
  <c r="K3860" i="1"/>
  <c r="K6552" i="1"/>
  <c r="K6554" i="1"/>
  <c r="K6580" i="1"/>
  <c r="K6548" i="1"/>
  <c r="K6562" i="1"/>
  <c r="K9921" i="1"/>
  <c r="K9947" i="1"/>
  <c r="K9890" i="1"/>
  <c r="K9892" i="1"/>
  <c r="K9906" i="1"/>
  <c r="K1412" i="1"/>
  <c r="K1404" i="1"/>
  <c r="K1408" i="1"/>
  <c r="K3897" i="1"/>
  <c r="K3900" i="1"/>
  <c r="K3879" i="1"/>
  <c r="K3905" i="1"/>
  <c r="K3872" i="1"/>
  <c r="K6564" i="1"/>
  <c r="K6566" i="1"/>
  <c r="K6592" i="1"/>
  <c r="K6560" i="1"/>
  <c r="K6574" i="1"/>
  <c r="K9933" i="1"/>
  <c r="K9900" i="1"/>
  <c r="K9902" i="1"/>
  <c r="K9904" i="1"/>
  <c r="K9918" i="1"/>
  <c r="K1399" i="1"/>
  <c r="K1417" i="1"/>
  <c r="K1421" i="1"/>
  <c r="K3862" i="1"/>
  <c r="K3865" i="1"/>
  <c r="K3891" i="1"/>
  <c r="K3858" i="1"/>
  <c r="K3884" i="1"/>
  <c r="K6576" i="1"/>
  <c r="K6578" i="1"/>
  <c r="K6546" i="1"/>
  <c r="K6572" i="1"/>
  <c r="K6586" i="1"/>
  <c r="K9945" i="1"/>
  <c r="K9912" i="1"/>
  <c r="K9914" i="1"/>
  <c r="K9916" i="1"/>
  <c r="K9930" i="1"/>
  <c r="K1413" i="1"/>
  <c r="K1392" i="1"/>
  <c r="K1397" i="1"/>
  <c r="K3874" i="1"/>
  <c r="K3877" i="1"/>
  <c r="K3903" i="1"/>
  <c r="K3870" i="1"/>
  <c r="K3896" i="1"/>
  <c r="K6588" i="1"/>
  <c r="K6590" i="1"/>
  <c r="K6558" i="1"/>
  <c r="K6584" i="1"/>
  <c r="K6598" i="1"/>
  <c r="K9898" i="1"/>
  <c r="K9924" i="1"/>
  <c r="K9926" i="1"/>
  <c r="K9928" i="1"/>
  <c r="K9942" i="1"/>
  <c r="K1401" i="1"/>
  <c r="K1405" i="1"/>
  <c r="K1410" i="1"/>
  <c r="K3886" i="1"/>
  <c r="K3889" i="1"/>
  <c r="K3856" i="1"/>
  <c r="K3882" i="1"/>
  <c r="K3908" i="1"/>
  <c r="K6600" i="1"/>
  <c r="K6543" i="1"/>
  <c r="K6570" i="1"/>
  <c r="K6596" i="1"/>
  <c r="K6569" i="1"/>
  <c r="K9910" i="1"/>
  <c r="K9936" i="1"/>
  <c r="K9938" i="1"/>
  <c r="K9940" i="1"/>
  <c r="K9895" i="1"/>
  <c r="K1414" i="1"/>
  <c r="K1418" i="1"/>
  <c r="K1409" i="1"/>
  <c r="K3898" i="1"/>
  <c r="K3901" i="1"/>
  <c r="K3868" i="1"/>
  <c r="K3894" i="1"/>
  <c r="K6539" i="1"/>
  <c r="K6541" i="1"/>
  <c r="K6555" i="1"/>
  <c r="K6582" i="1"/>
  <c r="K6537" i="1"/>
  <c r="K6581" i="1"/>
  <c r="K9922" i="1"/>
  <c r="K9948" i="1"/>
  <c r="K9950" i="1"/>
  <c r="K9952" i="1"/>
  <c r="K9907" i="1"/>
  <c r="K1389" i="1"/>
  <c r="K1393" i="1"/>
  <c r="K1411" i="1"/>
  <c r="K3863" i="1"/>
  <c r="K3854" i="1"/>
  <c r="K3880" i="1"/>
  <c r="K3906" i="1"/>
  <c r="K6551" i="1"/>
  <c r="K6553" i="1"/>
  <c r="K6567" i="1"/>
  <c r="K6594" i="1"/>
  <c r="K6549" i="1"/>
  <c r="K6593" i="1"/>
  <c r="K9934" i="1"/>
  <c r="K9889" i="1"/>
  <c r="K9891" i="1"/>
  <c r="K9893" i="1"/>
  <c r="K1402" i="1"/>
  <c r="K1406" i="1"/>
  <c r="K1422" i="1"/>
  <c r="K3875" i="1"/>
  <c r="K3866" i="1"/>
  <c r="K3892" i="1"/>
  <c r="K3859" i="1"/>
  <c r="K6563" i="1"/>
  <c r="K6565" i="1"/>
  <c r="K6579" i="1"/>
  <c r="K6547" i="1"/>
  <c r="K6561" i="1"/>
  <c r="K7000" i="1"/>
  <c r="K9946" i="1"/>
  <c r="K9901" i="1"/>
  <c r="K9903" i="1"/>
  <c r="K9905" i="1"/>
  <c r="K1415" i="1"/>
  <c r="K1419" i="1"/>
  <c r="K1396" i="1"/>
  <c r="K3887" i="1"/>
  <c r="K3878" i="1"/>
  <c r="K3904" i="1"/>
  <c r="K3871" i="1"/>
  <c r="K6575" i="1"/>
  <c r="K6577" i="1"/>
  <c r="K6591" i="1"/>
  <c r="K6559" i="1"/>
  <c r="K6573" i="1"/>
  <c r="K6545" i="1"/>
  <c r="K9899" i="1"/>
  <c r="K9913" i="1"/>
  <c r="K9915" i="1"/>
  <c r="K9917" i="1"/>
  <c r="K1390" i="1"/>
  <c r="K1394" i="1"/>
  <c r="K1398" i="1"/>
  <c r="K3899" i="1"/>
  <c r="K3890" i="1"/>
  <c r="K3857" i="1"/>
  <c r="K3883" i="1"/>
  <c r="K6587" i="1"/>
  <c r="K6589" i="1"/>
  <c r="K6544" i="1"/>
  <c r="K6571" i="1"/>
  <c r="K6585" i="1"/>
  <c r="K6557" i="1"/>
  <c r="K9911" i="1"/>
  <c r="K9925" i="1"/>
  <c r="K9927" i="1"/>
  <c r="K9929" i="1"/>
  <c r="K1403" i="1"/>
  <c r="K1407" i="1"/>
  <c r="K3861" i="1"/>
  <c r="K3864" i="1"/>
  <c r="K3902" i="1"/>
  <c r="K3869" i="1"/>
  <c r="K3895" i="1"/>
  <c r="K6599" i="1"/>
  <c r="K6601" i="1"/>
  <c r="K6556" i="1"/>
  <c r="K6583" i="1"/>
  <c r="K6538" i="1"/>
  <c r="K9897" i="1"/>
  <c r="K9923" i="1"/>
  <c r="K9937" i="1"/>
  <c r="K9939" i="1"/>
  <c r="K9941" i="1"/>
  <c r="K1416" i="1"/>
  <c r="K3876" i="1"/>
  <c r="K9951" i="1"/>
  <c r="K9896" i="1"/>
  <c r="K3855" i="1"/>
  <c r="K9894" i="1"/>
  <c r="K3881" i="1"/>
  <c r="K3907" i="1"/>
  <c r="K6540" i="1"/>
  <c r="K6542" i="1"/>
  <c r="K6568" i="1"/>
  <c r="K6595" i="1"/>
  <c r="K6550" i="1"/>
  <c r="K9909" i="1"/>
  <c r="K1420" i="1"/>
  <c r="K9935" i="1"/>
  <c r="K3873" i="1"/>
  <c r="K9949" i="1"/>
  <c r="K9584" i="1"/>
  <c r="K10340" i="1"/>
  <c r="K10514" i="1"/>
  <c r="K10664" i="1"/>
  <c r="K7608" i="1"/>
  <c r="K7631" i="1"/>
  <c r="K7605" i="1"/>
  <c r="K7638" i="1"/>
  <c r="K7624" i="1"/>
  <c r="K7610" i="1"/>
  <c r="K4902" i="1"/>
  <c r="K4898" i="1"/>
  <c r="K4879" i="1"/>
  <c r="K2188" i="1"/>
  <c r="K2179" i="1"/>
  <c r="K2151" i="1"/>
  <c r="K2184" i="1"/>
  <c r="K2169" i="1"/>
  <c r="K215" i="1"/>
  <c r="K198" i="1"/>
  <c r="K7990" i="1"/>
  <c r="K7987" i="1"/>
  <c r="K7984" i="1"/>
  <c r="K7992" i="1"/>
  <c r="K5138" i="1"/>
  <c r="K5120" i="1"/>
  <c r="K2452" i="1"/>
  <c r="K2463" i="1"/>
  <c r="K2460" i="1"/>
  <c r="K2444" i="1"/>
  <c r="K8400" i="1"/>
  <c r="K8379" i="1"/>
  <c r="K8386" i="1"/>
  <c r="K8358" i="1"/>
  <c r="K5497" i="1"/>
  <c r="K5469" i="1"/>
  <c r="K2790" i="1"/>
  <c r="K2806" i="1"/>
  <c r="K8836" i="1"/>
  <c r="K8831" i="1"/>
  <c r="K3156" i="1"/>
  <c r="K829" i="1"/>
  <c r="K9629" i="1"/>
  <c r="K9977" i="1"/>
  <c r="K1433" i="1"/>
  <c r="K4885" i="1"/>
  <c r="K212" i="1"/>
  <c r="K2478" i="1"/>
  <c r="K5465" i="1"/>
  <c r="K870" i="1"/>
  <c r="K874" i="1"/>
  <c r="K864" i="1"/>
  <c r="K3219" i="1"/>
  <c r="K3245" i="1"/>
  <c r="K3212" i="1"/>
  <c r="K3204" i="1"/>
  <c r="K5817" i="1"/>
  <c r="K5844" i="1"/>
  <c r="K5716" i="1"/>
  <c r="K5823" i="1"/>
  <c r="K5851" i="1"/>
  <c r="K5815" i="1"/>
  <c r="K8880" i="1"/>
  <c r="K8908" i="1"/>
  <c r="K8872" i="1"/>
  <c r="K8900" i="1"/>
  <c r="K8877" i="1"/>
  <c r="K883" i="1"/>
  <c r="K887" i="1"/>
  <c r="K865" i="1"/>
  <c r="K3231" i="1"/>
  <c r="K3198" i="1"/>
  <c r="K3224" i="1"/>
  <c r="K3216" i="1"/>
  <c r="K5829" i="1"/>
  <c r="K5857" i="1"/>
  <c r="K5821" i="1"/>
  <c r="K5836" i="1"/>
  <c r="K5864" i="1"/>
  <c r="K5828" i="1"/>
  <c r="K8893" i="1"/>
  <c r="K8921" i="1"/>
  <c r="K8885" i="1"/>
  <c r="K8913" i="1"/>
  <c r="K8890" i="1"/>
  <c r="K858" i="1"/>
  <c r="K862" i="1"/>
  <c r="K877" i="1"/>
  <c r="K3243" i="1"/>
  <c r="K3210" i="1"/>
  <c r="K3236" i="1"/>
  <c r="K3228" i="1"/>
  <c r="K5841" i="1"/>
  <c r="K5819" i="1"/>
  <c r="K5834" i="1"/>
  <c r="K5849" i="1"/>
  <c r="K5813" i="1"/>
  <c r="K5842" i="1"/>
  <c r="K8906" i="1"/>
  <c r="K8870" i="1"/>
  <c r="K8898" i="1"/>
  <c r="K8926" i="1"/>
  <c r="K8904" i="1"/>
  <c r="K871" i="1"/>
  <c r="K875" i="1"/>
  <c r="K868" i="1"/>
  <c r="K3196" i="1"/>
  <c r="K3222" i="1"/>
  <c r="K3248" i="1"/>
  <c r="K3240" i="1"/>
  <c r="K5853" i="1"/>
  <c r="K5832" i="1"/>
  <c r="K5847" i="1"/>
  <c r="K5862" i="1"/>
  <c r="K5826" i="1"/>
  <c r="K5855" i="1"/>
  <c r="K8919" i="1"/>
  <c r="K8883" i="1"/>
  <c r="K8911" i="1"/>
  <c r="K8875" i="1"/>
  <c r="K8917" i="1"/>
  <c r="K884" i="1"/>
  <c r="K863" i="1"/>
  <c r="K878" i="1"/>
  <c r="K3208" i="1"/>
  <c r="K3234" i="1"/>
  <c r="K3201" i="1"/>
  <c r="K3205" i="1"/>
  <c r="K5865" i="1"/>
  <c r="K5845" i="1"/>
  <c r="K5860" i="1"/>
  <c r="K5811" i="1"/>
  <c r="K5839" i="1"/>
  <c r="K5868" i="1"/>
  <c r="K8868" i="1"/>
  <c r="K8896" i="1"/>
  <c r="K8924" i="1"/>
  <c r="K8888" i="1"/>
  <c r="K8865" i="1"/>
  <c r="K859" i="1"/>
  <c r="K876" i="1"/>
  <c r="K3194" i="1"/>
  <c r="K3220" i="1"/>
  <c r="K3246" i="1"/>
  <c r="K3213" i="1"/>
  <c r="K3217" i="1"/>
  <c r="K5816" i="1"/>
  <c r="K5858" i="1"/>
  <c r="K5873" i="1"/>
  <c r="K5824" i="1"/>
  <c r="K5852" i="1"/>
  <c r="K8867" i="1"/>
  <c r="K8881" i="1"/>
  <c r="K8909" i="1"/>
  <c r="K8873" i="1"/>
  <c r="K8901" i="1"/>
  <c r="K8878" i="1"/>
  <c r="K872" i="1"/>
  <c r="K889" i="1"/>
  <c r="K3206" i="1"/>
  <c r="K3232" i="1"/>
  <c r="K3199" i="1"/>
  <c r="K3225" i="1"/>
  <c r="K3229" i="1"/>
  <c r="K5830" i="1"/>
  <c r="K5871" i="1"/>
  <c r="K5822" i="1"/>
  <c r="K5837" i="1"/>
  <c r="K5866" i="1"/>
  <c r="K8879" i="1"/>
  <c r="K8894" i="1"/>
  <c r="K8922" i="1"/>
  <c r="K8886" i="1"/>
  <c r="K8914" i="1"/>
  <c r="K8892" i="1"/>
  <c r="K867" i="1"/>
  <c r="K885" i="1"/>
  <c r="K866" i="1"/>
  <c r="K3218" i="1"/>
  <c r="K3244" i="1"/>
  <c r="K3211" i="1"/>
  <c r="K3237" i="1"/>
  <c r="K3241" i="1"/>
  <c r="K5843" i="1"/>
  <c r="K5820" i="1"/>
  <c r="K5835" i="1"/>
  <c r="K5850" i="1"/>
  <c r="K5814" i="1"/>
  <c r="K8891" i="1"/>
  <c r="K8907" i="1"/>
  <c r="K8871" i="1"/>
  <c r="K8899" i="1"/>
  <c r="K8928" i="1"/>
  <c r="K8905" i="1"/>
  <c r="K879" i="1"/>
  <c r="K860" i="1"/>
  <c r="K880" i="1"/>
  <c r="K3230" i="1"/>
  <c r="K3197" i="1"/>
  <c r="K3223" i="1"/>
  <c r="K3202" i="1"/>
  <c r="K3239" i="1"/>
  <c r="K5856" i="1"/>
  <c r="K5833" i="1"/>
  <c r="K5848" i="1"/>
  <c r="K5863" i="1"/>
  <c r="K5827" i="1"/>
  <c r="K8903" i="1"/>
  <c r="K8920" i="1"/>
  <c r="K8884" i="1"/>
  <c r="K8912" i="1"/>
  <c r="K8876" i="1"/>
  <c r="K8918" i="1"/>
  <c r="K869" i="1"/>
  <c r="K873" i="1"/>
  <c r="K881" i="1"/>
  <c r="K3242" i="1"/>
  <c r="K3209" i="1"/>
  <c r="K3235" i="1"/>
  <c r="K3214" i="1"/>
  <c r="K3203" i="1"/>
  <c r="K5869" i="1"/>
  <c r="K5846" i="1"/>
  <c r="K5861" i="1"/>
  <c r="K5812" i="1"/>
  <c r="K5840" i="1"/>
  <c r="K8915" i="1"/>
  <c r="K8869" i="1"/>
  <c r="K8897" i="1"/>
  <c r="K8925" i="1"/>
  <c r="K8889" i="1"/>
  <c r="K882" i="1"/>
  <c r="K886" i="1"/>
  <c r="K888" i="1"/>
  <c r="K3195" i="1"/>
  <c r="K3221" i="1"/>
  <c r="K3247" i="1"/>
  <c r="K3226" i="1"/>
  <c r="K3215" i="1"/>
  <c r="K5818" i="1"/>
  <c r="K5859" i="1"/>
  <c r="K5874" i="1"/>
  <c r="K5825" i="1"/>
  <c r="K5854" i="1"/>
  <c r="K8927" i="1"/>
  <c r="K8882" i="1"/>
  <c r="K8910" i="1"/>
  <c r="K8874" i="1"/>
  <c r="K8902" i="1"/>
  <c r="K857" i="1"/>
  <c r="K861" i="1"/>
  <c r="K890" i="1"/>
  <c r="K3207" i="1"/>
  <c r="K3233" i="1"/>
  <c r="K3200" i="1"/>
  <c r="K3238" i="1"/>
  <c r="K3227" i="1"/>
  <c r="K5831" i="1"/>
  <c r="K5872" i="1"/>
  <c r="K5810" i="1"/>
  <c r="K5838" i="1"/>
  <c r="K5867" i="1"/>
  <c r="K8866" i="1"/>
  <c r="K8895" i="1"/>
  <c r="K8923" i="1"/>
  <c r="K8887" i="1"/>
  <c r="K8916" i="1"/>
  <c r="K628" i="1"/>
  <c r="K607" i="1"/>
  <c r="K605" i="1"/>
  <c r="K2767" i="1"/>
  <c r="K2796" i="1"/>
  <c r="K2799" i="1"/>
  <c r="K2803" i="1"/>
  <c r="K5489" i="1"/>
  <c r="K5445" i="1"/>
  <c r="K5447" i="1"/>
  <c r="K5449" i="1"/>
  <c r="K606" i="1"/>
  <c r="K611" i="1"/>
  <c r="K602" i="1"/>
  <c r="K608" i="1"/>
  <c r="K617" i="1"/>
  <c r="K2783" i="1"/>
  <c r="K2755" i="1"/>
  <c r="K2797" i="1"/>
  <c r="K2800" i="1"/>
  <c r="K2804" i="1"/>
  <c r="K5479" i="1"/>
  <c r="K5493" i="1"/>
  <c r="K5495" i="1"/>
  <c r="K614" i="1"/>
  <c r="K620" i="1"/>
  <c r="K619" i="1"/>
  <c r="K2795" i="1"/>
  <c r="K2768" i="1"/>
  <c r="K2758" i="1"/>
  <c r="K2762" i="1"/>
  <c r="K2789" i="1"/>
  <c r="K5491" i="1"/>
  <c r="K5505" i="1"/>
  <c r="K5507" i="1"/>
  <c r="K5450" i="1"/>
  <c r="K5488" i="1"/>
  <c r="K8394" i="1"/>
  <c r="K8361" i="1"/>
  <c r="K8387" i="1"/>
  <c r="K8390" i="1"/>
  <c r="K8392" i="1"/>
  <c r="K8412" i="1"/>
  <c r="K626" i="1"/>
  <c r="K597" i="1"/>
  <c r="K623" i="1"/>
  <c r="K2807" i="1"/>
  <c r="K2781" i="1"/>
  <c r="K2772" i="1"/>
  <c r="K2775" i="1"/>
  <c r="K2802" i="1"/>
  <c r="K5503" i="1"/>
  <c r="K5446" i="1"/>
  <c r="K5448" i="1"/>
  <c r="K5462" i="1"/>
  <c r="K5490" i="1"/>
  <c r="K8406" i="1"/>
  <c r="K8373" i="1"/>
  <c r="K8399" i="1"/>
  <c r="K8402" i="1"/>
  <c r="K8404" i="1"/>
  <c r="K603" i="1"/>
  <c r="K609" i="1"/>
  <c r="K595" i="1"/>
  <c r="K2766" i="1"/>
  <c r="K2794" i="1"/>
  <c r="K2785" i="1"/>
  <c r="K2788" i="1"/>
  <c r="K2763" i="1"/>
  <c r="K5444" i="1"/>
  <c r="K5458" i="1"/>
  <c r="K5460" i="1"/>
  <c r="K5474" i="1"/>
  <c r="K5500" i="1"/>
  <c r="K8359" i="1"/>
  <c r="K8385" i="1"/>
  <c r="K8411" i="1"/>
  <c r="K8414" i="1"/>
  <c r="K8416" i="1"/>
  <c r="K615" i="1"/>
  <c r="K621" i="1"/>
  <c r="K624" i="1"/>
  <c r="K2779" i="1"/>
  <c r="K2808" i="1"/>
  <c r="K2798" i="1"/>
  <c r="K2801" i="1"/>
  <c r="K2776" i="1"/>
  <c r="K5456" i="1"/>
  <c r="K5470" i="1"/>
  <c r="K5472" i="1"/>
  <c r="K5486" i="1"/>
  <c r="K5502" i="1"/>
  <c r="K8371" i="1"/>
  <c r="K8397" i="1"/>
  <c r="K8353" i="1"/>
  <c r="K8355" i="1"/>
  <c r="K8357" i="1"/>
  <c r="K627" i="1"/>
  <c r="K598" i="1"/>
  <c r="K601" i="1"/>
  <c r="K2792" i="1"/>
  <c r="K2756" i="1"/>
  <c r="K2760" i="1"/>
  <c r="K2764" i="1"/>
  <c r="K5453" i="1"/>
  <c r="K5468" i="1"/>
  <c r="K5482" i="1"/>
  <c r="K5484" i="1"/>
  <c r="K5498" i="1"/>
  <c r="K5452" i="1"/>
  <c r="K8383" i="1"/>
  <c r="K8409" i="1"/>
  <c r="K8365" i="1"/>
  <c r="K8367" i="1"/>
  <c r="K8364" i="1"/>
  <c r="K9188" i="1"/>
  <c r="K9248" i="1"/>
  <c r="K9224" i="1"/>
  <c r="K9236" i="1"/>
  <c r="K9212" i="1"/>
  <c r="K9200" i="1"/>
  <c r="K1049" i="1"/>
  <c r="K1054" i="1"/>
  <c r="K1031" i="1"/>
  <c r="K3424" i="1"/>
  <c r="K3462" i="1"/>
  <c r="K3429" i="1"/>
  <c r="K3457" i="1"/>
  <c r="K6117" i="1"/>
  <c r="K6122" i="1"/>
  <c r="K6114" i="1"/>
  <c r="K9213" i="1"/>
  <c r="K9239" i="1"/>
  <c r="K9206" i="1"/>
  <c r="K9232" i="1"/>
  <c r="K9234" i="1"/>
  <c r="K1027" i="1"/>
  <c r="K1032" i="1"/>
  <c r="K1055" i="1"/>
  <c r="K3436" i="1"/>
  <c r="K3415" i="1"/>
  <c r="K3441" i="1"/>
  <c r="K3431" i="1"/>
  <c r="K6129" i="1"/>
  <c r="K6135" i="1"/>
  <c r="K6127" i="1"/>
  <c r="K9225" i="1"/>
  <c r="K9192" i="1"/>
  <c r="K9218" i="1"/>
  <c r="K9244" i="1"/>
  <c r="K9246" i="1"/>
  <c r="K1039" i="1"/>
  <c r="K1044" i="1"/>
  <c r="K1033" i="1"/>
  <c r="K3448" i="1"/>
  <c r="K3427" i="1"/>
  <c r="K3453" i="1"/>
  <c r="K3442" i="1"/>
  <c r="K6118" i="1"/>
  <c r="K6110" i="1"/>
  <c r="K6140" i="1"/>
  <c r="K9237" i="1"/>
  <c r="K9204" i="1"/>
  <c r="K9230" i="1"/>
  <c r="K9185" i="1"/>
  <c r="K9187" i="1"/>
  <c r="K1051" i="1"/>
  <c r="K1034" i="1"/>
  <c r="K1050" i="1"/>
  <c r="K3460" i="1"/>
  <c r="K3439" i="1"/>
  <c r="K3465" i="1"/>
  <c r="K3443" i="1"/>
  <c r="K6131" i="1"/>
  <c r="K6123" i="1"/>
  <c r="K6115" i="1"/>
  <c r="K9190" i="1"/>
  <c r="K9216" i="1"/>
  <c r="K9242" i="1"/>
  <c r="K9197" i="1"/>
  <c r="K9199" i="1"/>
  <c r="K1028" i="1"/>
  <c r="K1035" i="1"/>
  <c r="K3422" i="1"/>
  <c r="K3425" i="1"/>
  <c r="K3451" i="1"/>
  <c r="K3420" i="1"/>
  <c r="K3454" i="1"/>
  <c r="K6143" i="1"/>
  <c r="K6136" i="1"/>
  <c r="K6128" i="1"/>
  <c r="K9202" i="1"/>
  <c r="K9228" i="1"/>
  <c r="K9195" i="1"/>
  <c r="K9209" i="1"/>
  <c r="K9211" i="1"/>
  <c r="K1040" i="1"/>
  <c r="K1036" i="1"/>
  <c r="K3434" i="1"/>
  <c r="K3437" i="1"/>
  <c r="K3463" i="1"/>
  <c r="K3432" i="1"/>
  <c r="K3455" i="1"/>
  <c r="K6119" i="1"/>
  <c r="K6111" i="1"/>
  <c r="K6141" i="1"/>
  <c r="K9214" i="1"/>
  <c r="K9240" i="1"/>
  <c r="K9207" i="1"/>
  <c r="K9221" i="1"/>
  <c r="K9223" i="1"/>
  <c r="K1052" i="1"/>
  <c r="K1038" i="1"/>
  <c r="K3446" i="1"/>
  <c r="K3449" i="1"/>
  <c r="K3416" i="1"/>
  <c r="K3444" i="1"/>
  <c r="K3466" i="1"/>
  <c r="K6132" i="1"/>
  <c r="K6124" i="1"/>
  <c r="K6116" i="1"/>
  <c r="K9226" i="1"/>
  <c r="K9193" i="1"/>
  <c r="K9219" i="1"/>
  <c r="K9233" i="1"/>
  <c r="K9235" i="1"/>
  <c r="K1029" i="1"/>
  <c r="K1043" i="1"/>
  <c r="K3458" i="1"/>
  <c r="K3461" i="1"/>
  <c r="K3428" i="1"/>
  <c r="K3456" i="1"/>
  <c r="K3467" i="1"/>
  <c r="K6120" i="1"/>
  <c r="K6112" i="1"/>
  <c r="K6130" i="1"/>
  <c r="K9238" i="1"/>
  <c r="K9205" i="1"/>
  <c r="K9231" i="1"/>
  <c r="K9245" i="1"/>
  <c r="K9247" i="1"/>
  <c r="K1041" i="1"/>
  <c r="K1045" i="1"/>
  <c r="K3423" i="1"/>
  <c r="K3414" i="1"/>
  <c r="K3440" i="1"/>
  <c r="K3468" i="1"/>
  <c r="K3418" i="1"/>
  <c r="K6133" i="1"/>
  <c r="K6125" i="1"/>
  <c r="K6142" i="1"/>
  <c r="K9191" i="1"/>
  <c r="K9217" i="1"/>
  <c r="K9243" i="1"/>
  <c r="K9186" i="1"/>
  <c r="K1053" i="1"/>
  <c r="K1046" i="1"/>
  <c r="K3435" i="1"/>
  <c r="K3426" i="1"/>
  <c r="K3452" i="1"/>
  <c r="K3421" i="1"/>
  <c r="K3419" i="1"/>
  <c r="K6121" i="1"/>
  <c r="K6138" i="1"/>
  <c r="K6137" i="1"/>
  <c r="K9203" i="1"/>
  <c r="K9229" i="1"/>
  <c r="K9196" i="1"/>
  <c r="K9198" i="1"/>
  <c r="K1037" i="1"/>
  <c r="K1042" i="1"/>
  <c r="K1048" i="1"/>
  <c r="K3459" i="1"/>
  <c r="K3450" i="1"/>
  <c r="K3417" i="1"/>
  <c r="K3445" i="1"/>
  <c r="K5504" i="1"/>
  <c r="K939" i="1"/>
  <c r="K952" i="1"/>
  <c r="K931" i="1"/>
  <c r="K3290" i="1"/>
  <c r="K3269" i="1"/>
  <c r="K3272" i="1"/>
  <c r="K3298" i="1"/>
  <c r="K3263" i="1"/>
  <c r="K5960" i="1"/>
  <c r="K5938" i="1"/>
  <c r="K5953" i="1"/>
  <c r="K5917" i="1"/>
  <c r="K5945" i="1"/>
  <c r="K9033" i="1"/>
  <c r="K951" i="1"/>
  <c r="K926" i="1"/>
  <c r="K933" i="1"/>
  <c r="K3302" i="1"/>
  <c r="K3281" i="1"/>
  <c r="K3284" i="1"/>
  <c r="K3252" i="1"/>
  <c r="K3275" i="1"/>
  <c r="K5922" i="1"/>
  <c r="K5951" i="1"/>
  <c r="K5966" i="1"/>
  <c r="K5930" i="1"/>
  <c r="K5958" i="1"/>
  <c r="K9045" i="1"/>
  <c r="K9012" i="1"/>
  <c r="K9038" i="1"/>
  <c r="K8993" i="1"/>
  <c r="K8995" i="1"/>
  <c r="K934" i="1"/>
  <c r="K940" i="1"/>
  <c r="K941" i="1"/>
  <c r="K3255" i="1"/>
  <c r="K3293" i="1"/>
  <c r="K3296" i="1"/>
  <c r="K3264" i="1"/>
  <c r="K3287" i="1"/>
  <c r="K5935" i="1"/>
  <c r="K5964" i="1"/>
  <c r="K5915" i="1"/>
  <c r="K5943" i="1"/>
  <c r="K5971" i="1"/>
  <c r="K8998" i="1"/>
  <c r="K9024" i="1"/>
  <c r="K9050" i="1"/>
  <c r="K9005" i="1"/>
  <c r="K9007" i="1"/>
  <c r="K947" i="1"/>
  <c r="K953" i="1"/>
  <c r="K943" i="1"/>
  <c r="K3267" i="1"/>
  <c r="K3258" i="1"/>
  <c r="K3249" i="1"/>
  <c r="K3276" i="1"/>
  <c r="K3299" i="1"/>
  <c r="K5948" i="1"/>
  <c r="K5977" i="1"/>
  <c r="K5928" i="1"/>
  <c r="K5956" i="1"/>
  <c r="K5920" i="1"/>
  <c r="K9010" i="1"/>
  <c r="K9036" i="1"/>
  <c r="K9003" i="1"/>
  <c r="K9017" i="1"/>
  <c r="K9019" i="1"/>
  <c r="K935" i="1"/>
  <c r="K929" i="1"/>
  <c r="K944" i="1"/>
  <c r="K3279" i="1"/>
  <c r="K3270" i="1"/>
  <c r="K3261" i="1"/>
  <c r="K3288" i="1"/>
  <c r="K5925" i="1"/>
  <c r="K5962" i="1"/>
  <c r="K5926" i="1"/>
  <c r="K5941" i="1"/>
  <c r="K5969" i="1"/>
  <c r="K5933" i="1"/>
  <c r="K9022" i="1"/>
  <c r="K9048" i="1"/>
  <c r="K9015" i="1"/>
  <c r="K9029" i="1"/>
  <c r="K9031" i="1"/>
  <c r="K948" i="1"/>
  <c r="K942" i="1"/>
  <c r="K946" i="1"/>
  <c r="K3291" i="1"/>
  <c r="K3282" i="1"/>
  <c r="K3273" i="1"/>
  <c r="K3300" i="1"/>
  <c r="K5937" i="1"/>
  <c r="K5975" i="1"/>
  <c r="K5939" i="1"/>
  <c r="K5954" i="1"/>
  <c r="K5918" i="1"/>
  <c r="K5946" i="1"/>
  <c r="K9034" i="1"/>
  <c r="K9001" i="1"/>
  <c r="K9027" i="1"/>
  <c r="K9041" i="1"/>
  <c r="K9043" i="1"/>
  <c r="K936" i="1"/>
  <c r="K955" i="1"/>
  <c r="K956" i="1"/>
  <c r="K3303" i="1"/>
  <c r="K3294" i="1"/>
  <c r="K3285" i="1"/>
  <c r="K3253" i="1"/>
  <c r="K5949" i="1"/>
  <c r="K5923" i="1"/>
  <c r="K5952" i="1"/>
  <c r="K5967" i="1"/>
  <c r="K5931" i="1"/>
  <c r="K5959" i="1"/>
  <c r="K9046" i="1"/>
  <c r="K9013" i="1"/>
  <c r="K9039" i="1"/>
  <c r="K9053" i="1"/>
  <c r="K9055" i="1"/>
  <c r="K949" i="1"/>
  <c r="K932" i="1"/>
  <c r="K954" i="1"/>
  <c r="K3256" i="1"/>
  <c r="K3259" i="1"/>
  <c r="K3297" i="1"/>
  <c r="K3265" i="1"/>
  <c r="K5961" i="1"/>
  <c r="K5936" i="1"/>
  <c r="K5965" i="1"/>
  <c r="K5916" i="1"/>
  <c r="K5944" i="1"/>
  <c r="K5972" i="1"/>
  <c r="K8999" i="1"/>
  <c r="K9025" i="1"/>
  <c r="K9051" i="1"/>
  <c r="K8994" i="1"/>
  <c r="K8996" i="1"/>
  <c r="K937" i="1"/>
  <c r="K945" i="1"/>
  <c r="K957" i="1"/>
  <c r="K3268" i="1"/>
  <c r="K3271" i="1"/>
  <c r="K3250" i="1"/>
  <c r="K3277" i="1"/>
  <c r="K5973" i="1"/>
  <c r="K5950" i="1"/>
  <c r="K5978" i="1"/>
  <c r="K5929" i="1"/>
  <c r="K5957" i="1"/>
  <c r="K7038" i="1"/>
  <c r="K9011" i="1"/>
  <c r="K9037" i="1"/>
  <c r="K9004" i="1"/>
  <c r="K9006" i="1"/>
  <c r="K9008" i="1"/>
  <c r="K950" i="1"/>
  <c r="K958" i="1"/>
  <c r="K3254" i="1"/>
  <c r="K3280" i="1"/>
  <c r="K3283" i="1"/>
  <c r="K3262" i="1"/>
  <c r="K3289" i="1"/>
  <c r="K5921" i="1"/>
  <c r="K5963" i="1"/>
  <c r="K5914" i="1"/>
  <c r="K5942" i="1"/>
  <c r="K5970" i="1"/>
  <c r="K8997" i="1"/>
  <c r="K9023" i="1"/>
  <c r="K9049" i="1"/>
  <c r="K9016" i="1"/>
  <c r="K9018" i="1"/>
  <c r="K9020" i="1"/>
  <c r="K925" i="1"/>
  <c r="K928" i="1"/>
  <c r="K3266" i="1"/>
  <c r="K3292" i="1"/>
  <c r="K3295" i="1"/>
  <c r="K3274" i="1"/>
  <c r="K3301" i="1"/>
  <c r="K5934" i="1"/>
  <c r="K5976" i="1"/>
  <c r="K5927" i="1"/>
  <c r="K5955" i="1"/>
  <c r="K5919" i="1"/>
  <c r="K9009" i="1"/>
  <c r="K9035" i="1"/>
  <c r="K9002" i="1"/>
  <c r="K9028" i="1"/>
  <c r="K9030" i="1"/>
  <c r="K9032" i="1"/>
  <c r="K927" i="1"/>
  <c r="K938" i="1"/>
  <c r="K930" i="1"/>
  <c r="K3278" i="1"/>
  <c r="K3257" i="1"/>
  <c r="K5947" i="1"/>
  <c r="K9042" i="1"/>
  <c r="K5924" i="1"/>
  <c r="K9054" i="1"/>
  <c r="K5940" i="1"/>
  <c r="K9044" i="1"/>
  <c r="K5968" i="1"/>
  <c r="K9056" i="1"/>
  <c r="K5932" i="1"/>
  <c r="K9021" i="1"/>
  <c r="K9047" i="1"/>
  <c r="K9000" i="1"/>
  <c r="K9014" i="1"/>
  <c r="K3260" i="1"/>
  <c r="K9026" i="1"/>
  <c r="K3286" i="1"/>
  <c r="K9040" i="1"/>
  <c r="K3251" i="1"/>
  <c r="K9052" i="1"/>
  <c r="K4903" i="1"/>
  <c r="K768" i="1"/>
  <c r="K776" i="1"/>
  <c r="K765" i="1"/>
  <c r="K3076" i="1"/>
  <c r="K3043" i="1"/>
  <c r="K3069" i="1"/>
  <c r="K3049" i="1"/>
  <c r="K5683" i="1"/>
  <c r="K5685" i="1"/>
  <c r="K5711" i="1"/>
  <c r="K5679" i="1"/>
  <c r="K5911" i="1"/>
  <c r="K5701" i="1"/>
  <c r="K8684" i="1"/>
  <c r="K8726" i="1"/>
  <c r="K8690" i="1"/>
  <c r="K8718" i="1"/>
  <c r="K8682" i="1"/>
  <c r="K785" i="1"/>
  <c r="K761" i="1"/>
  <c r="K3038" i="1"/>
  <c r="K3029" i="1"/>
  <c r="K3055" i="1"/>
  <c r="K3081" i="1"/>
  <c r="K3061" i="1"/>
  <c r="K5695" i="1"/>
  <c r="K5697" i="1"/>
  <c r="K5664" i="1"/>
  <c r="K5691" i="1"/>
  <c r="K5680" i="1"/>
  <c r="K8675" i="1"/>
  <c r="K8697" i="1"/>
  <c r="K8674" i="1"/>
  <c r="K8703" i="1"/>
  <c r="K8731" i="1"/>
  <c r="K8695" i="1"/>
  <c r="K770" i="1"/>
  <c r="K755" i="1"/>
  <c r="K782" i="1"/>
  <c r="K772" i="1"/>
  <c r="K766" i="1"/>
  <c r="K3039" i="1"/>
  <c r="K3077" i="1"/>
  <c r="K3044" i="1"/>
  <c r="K3070" i="1"/>
  <c r="K3059" i="1"/>
  <c r="K5672" i="1"/>
  <c r="K5686" i="1"/>
  <c r="K5712" i="1"/>
  <c r="K5704" i="1"/>
  <c r="K5718" i="1"/>
  <c r="K8723" i="1"/>
  <c r="K8698" i="1"/>
  <c r="K8727" i="1"/>
  <c r="K8691" i="1"/>
  <c r="K8719" i="1"/>
  <c r="K759" i="1"/>
  <c r="K788" i="1"/>
  <c r="K781" i="1"/>
  <c r="K3051" i="1"/>
  <c r="K3030" i="1"/>
  <c r="K3056" i="1"/>
  <c r="K3082" i="1"/>
  <c r="K3071" i="1"/>
  <c r="K5684" i="1"/>
  <c r="K5698" i="1"/>
  <c r="K5666" i="1"/>
  <c r="K5668" i="1"/>
  <c r="K5689" i="1"/>
  <c r="K8735" i="1"/>
  <c r="K8712" i="1"/>
  <c r="K8676" i="1"/>
  <c r="K8704" i="1"/>
  <c r="K8732" i="1"/>
  <c r="K771" i="1"/>
  <c r="K756" i="1"/>
  <c r="K767" i="1"/>
  <c r="K3063" i="1"/>
  <c r="K3042" i="1"/>
  <c r="K3068" i="1"/>
  <c r="K3036" i="1"/>
  <c r="K3083" i="1"/>
  <c r="K5696" i="1"/>
  <c r="K5710" i="1"/>
  <c r="K5678" i="1"/>
  <c r="K5705" i="1"/>
  <c r="K5692" i="1"/>
  <c r="K8683" i="1"/>
  <c r="K8725" i="1"/>
  <c r="K8689" i="1"/>
  <c r="K8717" i="1"/>
  <c r="K8681" i="1"/>
  <c r="K783" i="1"/>
  <c r="K773" i="1"/>
  <c r="K779" i="1"/>
  <c r="K3075" i="1"/>
  <c r="K3054" i="1"/>
  <c r="K3080" i="1"/>
  <c r="K3048" i="1"/>
  <c r="K5657" i="1"/>
  <c r="K5708" i="1"/>
  <c r="K5663" i="1"/>
  <c r="K5690" i="1"/>
  <c r="K5670" i="1"/>
  <c r="K5693" i="1"/>
  <c r="K8696" i="1"/>
  <c r="K8673" i="1"/>
  <c r="K8702" i="1"/>
  <c r="K8730" i="1"/>
  <c r="K8694" i="1"/>
  <c r="K762" i="1"/>
  <c r="K757" i="1"/>
  <c r="K780" i="1"/>
  <c r="K3040" i="1"/>
  <c r="K3066" i="1"/>
  <c r="K3033" i="1"/>
  <c r="K3060" i="1"/>
  <c r="K5669" i="1"/>
  <c r="K5720" i="1"/>
  <c r="K5675" i="1"/>
  <c r="K5702" i="1"/>
  <c r="K5706" i="1"/>
  <c r="K5656" i="1"/>
  <c r="K8709" i="1"/>
  <c r="K8686" i="1"/>
  <c r="K8715" i="1"/>
  <c r="K8679" i="1"/>
  <c r="K8707" i="1"/>
  <c r="K774" i="1"/>
  <c r="K775" i="1"/>
  <c r="K784" i="1"/>
  <c r="K3052" i="1"/>
  <c r="K3078" i="1"/>
  <c r="K3045" i="1"/>
  <c r="K3072" i="1"/>
  <c r="K5659" i="1"/>
  <c r="K5661" i="1"/>
  <c r="K5687" i="1"/>
  <c r="K5714" i="1"/>
  <c r="K5677" i="1"/>
  <c r="K5694" i="1"/>
  <c r="K8722" i="1"/>
  <c r="K8700" i="1"/>
  <c r="K8728" i="1"/>
  <c r="K8692" i="1"/>
  <c r="K8720" i="1"/>
  <c r="K3074" i="1"/>
  <c r="K3058" i="1"/>
  <c r="K5674" i="1"/>
  <c r="K5682" i="1"/>
  <c r="K8714" i="1"/>
  <c r="K8734" i="1"/>
  <c r="K758" i="1"/>
  <c r="K3064" i="1"/>
  <c r="K3037" i="1"/>
  <c r="K5699" i="1"/>
  <c r="K5658" i="1"/>
  <c r="K8677" i="1"/>
  <c r="K786" i="1"/>
  <c r="K3041" i="1"/>
  <c r="K3073" i="1"/>
  <c r="K5676" i="1"/>
  <c r="K8687" i="1"/>
  <c r="K8716" i="1"/>
  <c r="K769" i="1"/>
  <c r="K3053" i="1"/>
  <c r="K3035" i="1"/>
  <c r="K5688" i="1"/>
  <c r="K8699" i="1"/>
  <c r="K8729" i="1"/>
  <c r="K787" i="1"/>
  <c r="K3065" i="1"/>
  <c r="K3047" i="1"/>
  <c r="K5700" i="1"/>
  <c r="K8711" i="1"/>
  <c r="K8678" i="1"/>
  <c r="K760" i="1"/>
  <c r="K3031" i="1"/>
  <c r="K5671" i="1"/>
  <c r="K5667" i="1"/>
  <c r="K8736" i="1"/>
  <c r="K8705" i="1"/>
  <c r="K777" i="1"/>
  <c r="K3067" i="1"/>
  <c r="K5707" i="1"/>
  <c r="K5703" i="1"/>
  <c r="K8710" i="1"/>
  <c r="K8680" i="1"/>
  <c r="K763" i="1"/>
  <c r="K3079" i="1"/>
  <c r="K5719" i="1"/>
  <c r="K5715" i="1"/>
  <c r="K8724" i="1"/>
  <c r="K8693" i="1"/>
  <c r="K778" i="1"/>
  <c r="K3032" i="1"/>
  <c r="K5660" i="1"/>
  <c r="K5665" i="1"/>
  <c r="K8685" i="1"/>
  <c r="K8706" i="1"/>
  <c r="K764" i="1"/>
  <c r="K3057" i="1"/>
  <c r="K5673" i="1"/>
  <c r="K5713" i="1"/>
  <c r="K8713" i="1"/>
  <c r="K8733" i="1"/>
  <c r="K3050" i="1"/>
  <c r="K3034" i="1"/>
  <c r="K5709" i="1"/>
  <c r="K5681" i="1"/>
  <c r="K8688" i="1"/>
  <c r="K8708" i="1"/>
  <c r="K3062" i="1"/>
  <c r="K3046" i="1"/>
  <c r="K5662" i="1"/>
  <c r="K5717" i="1"/>
  <c r="K8701" i="1"/>
  <c r="K8721" i="1"/>
  <c r="K446" i="1"/>
  <c r="K429" i="1"/>
  <c r="K449" i="1"/>
  <c r="K2528" i="1"/>
  <c r="K2483" i="1"/>
  <c r="K2509" i="1"/>
  <c r="K2502" i="1"/>
  <c r="K2513" i="1"/>
  <c r="K5178" i="1"/>
  <c r="K5204" i="1"/>
  <c r="K5171" i="1"/>
  <c r="K5185" i="1"/>
  <c r="K5199" i="1"/>
  <c r="K8058" i="1"/>
  <c r="K8060" i="1"/>
  <c r="K8074" i="1"/>
  <c r="K8039" i="1"/>
  <c r="K8067" i="1"/>
  <c r="K8081" i="1"/>
  <c r="K458" i="1"/>
  <c r="K441" i="1"/>
  <c r="K451" i="1"/>
  <c r="K2481" i="1"/>
  <c r="K2495" i="1"/>
  <c r="K2521" i="1"/>
  <c r="K2514" i="1"/>
  <c r="K2524" i="1"/>
  <c r="K5190" i="1"/>
  <c r="K5157" i="1"/>
  <c r="K5183" i="1"/>
  <c r="K5197" i="1"/>
  <c r="K5211" i="1"/>
  <c r="K8070" i="1"/>
  <c r="K8072" i="1"/>
  <c r="K8086" i="1"/>
  <c r="K8052" i="1"/>
  <c r="K8079" i="1"/>
  <c r="K435" i="1"/>
  <c r="K453" i="1"/>
  <c r="K431" i="1"/>
  <c r="K2493" i="1"/>
  <c r="K2507" i="1"/>
  <c r="K2533" i="1"/>
  <c r="K2526" i="1"/>
  <c r="K2525" i="1"/>
  <c r="K5202" i="1"/>
  <c r="K5169" i="1"/>
  <c r="K5195" i="1"/>
  <c r="K5150" i="1"/>
  <c r="K5152" i="1"/>
  <c r="K8082" i="1"/>
  <c r="K8084" i="1"/>
  <c r="K8037" i="1"/>
  <c r="K8065" i="1"/>
  <c r="K8091" i="1"/>
  <c r="K447" i="1"/>
  <c r="K430" i="1"/>
  <c r="K457" i="1"/>
  <c r="K2505" i="1"/>
  <c r="K2519" i="1"/>
  <c r="K2486" i="1"/>
  <c r="K2479" i="1"/>
  <c r="K2488" i="1"/>
  <c r="K5155" i="1"/>
  <c r="K5181" i="1"/>
  <c r="K5207" i="1"/>
  <c r="K5162" i="1"/>
  <c r="K5164" i="1"/>
  <c r="K8094" i="1"/>
  <c r="K8096" i="1"/>
  <c r="K8050" i="1"/>
  <c r="K8077" i="1"/>
  <c r="K8042" i="1"/>
  <c r="K436" i="1"/>
  <c r="K442" i="1"/>
  <c r="K425" i="1"/>
  <c r="K2517" i="1"/>
  <c r="K2531" i="1"/>
  <c r="K2498" i="1"/>
  <c r="K2491" i="1"/>
  <c r="K5153" i="1"/>
  <c r="K5167" i="1"/>
  <c r="K5193" i="1"/>
  <c r="K5160" i="1"/>
  <c r="K5174" i="1"/>
  <c r="K5176" i="1"/>
  <c r="K8033" i="1"/>
  <c r="K8035" i="1"/>
  <c r="K8063" i="1"/>
  <c r="K8089" i="1"/>
  <c r="K448" i="1"/>
  <c r="K454" i="1"/>
  <c r="K427" i="1"/>
  <c r="K2529" i="1"/>
  <c r="K2484" i="1"/>
  <c r="K2510" i="1"/>
  <c r="K2503" i="1"/>
  <c r="K5165" i="1"/>
  <c r="K5179" i="1"/>
  <c r="K5205" i="1"/>
  <c r="K5172" i="1"/>
  <c r="K5186" i="1"/>
  <c r="K5188" i="1"/>
  <c r="K8046" i="1"/>
  <c r="K8048" i="1"/>
  <c r="K8075" i="1"/>
  <c r="K8040" i="1"/>
  <c r="K8068" i="1"/>
  <c r="K426" i="1"/>
  <c r="K433" i="1"/>
  <c r="K455" i="1"/>
  <c r="K432" i="1"/>
  <c r="K2496" i="1"/>
  <c r="K2522" i="1"/>
  <c r="K2515" i="1"/>
  <c r="K5177" i="1"/>
  <c r="K5191" i="1"/>
  <c r="K5158" i="1"/>
  <c r="K5184" i="1"/>
  <c r="K5198" i="1"/>
  <c r="K5200" i="1"/>
  <c r="K8059" i="1"/>
  <c r="K8061" i="1"/>
  <c r="K8087" i="1"/>
  <c r="K8053" i="1"/>
  <c r="K8080" i="1"/>
  <c r="K438" i="1"/>
  <c r="K437" i="1"/>
  <c r="K456" i="1"/>
  <c r="K2482" i="1"/>
  <c r="K2508" i="1"/>
  <c r="K2487" i="1"/>
  <c r="K2527" i="1"/>
  <c r="K5189" i="1"/>
  <c r="K5203" i="1"/>
  <c r="K5170" i="1"/>
  <c r="K5196" i="1"/>
  <c r="K5210" i="1"/>
  <c r="K5212" i="1"/>
  <c r="K8071" i="1"/>
  <c r="K8073" i="1"/>
  <c r="K8038" i="1"/>
  <c r="K8066" i="1"/>
  <c r="K8092" i="1"/>
  <c r="K450" i="1"/>
  <c r="K439" i="1"/>
  <c r="K2480" i="1"/>
  <c r="K2494" i="1"/>
  <c r="K2520" i="1"/>
  <c r="K2499" i="1"/>
  <c r="K2489" i="1"/>
  <c r="K5201" i="1"/>
  <c r="K5156" i="1"/>
  <c r="K5182" i="1"/>
  <c r="K5208" i="1"/>
  <c r="K5151" i="1"/>
  <c r="K6532" i="1"/>
  <c r="K8083" i="1"/>
  <c r="K8085" i="1"/>
  <c r="K8051" i="1"/>
  <c r="K8078" i="1"/>
  <c r="K8093" i="1"/>
  <c r="K428" i="1"/>
  <c r="K443" i="1"/>
  <c r="K2492" i="1"/>
  <c r="K2506" i="1"/>
  <c r="K2532" i="1"/>
  <c r="K2511" i="1"/>
  <c r="K2500" i="1"/>
  <c r="K5213" i="1"/>
  <c r="K5168" i="1"/>
  <c r="K5194" i="1"/>
  <c r="K5149" i="1"/>
  <c r="K5163" i="1"/>
  <c r="K8043" i="1"/>
  <c r="K8095" i="1"/>
  <c r="K8036" i="1"/>
  <c r="K8064" i="1"/>
  <c r="K8090" i="1"/>
  <c r="K8044" i="1"/>
  <c r="K440" i="1"/>
  <c r="K444" i="1"/>
  <c r="K2504" i="1"/>
  <c r="K2518" i="1"/>
  <c r="K2485" i="1"/>
  <c r="K2523" i="1"/>
  <c r="K2501" i="1"/>
  <c r="K5154" i="1"/>
  <c r="K5180" i="1"/>
  <c r="K5206" i="1"/>
  <c r="K5161" i="1"/>
  <c r="K5175" i="1"/>
  <c r="K8055" i="1"/>
  <c r="K8034" i="1"/>
  <c r="K8049" i="1"/>
  <c r="K8076" i="1"/>
  <c r="K8041" i="1"/>
  <c r="K8057" i="1"/>
  <c r="K434" i="1"/>
  <c r="K452" i="1"/>
  <c r="K445" i="1"/>
  <c r="K2516" i="1"/>
  <c r="K2530" i="1"/>
  <c r="K2497" i="1"/>
  <c r="K2490" i="1"/>
  <c r="K2512" i="1"/>
  <c r="K5166" i="1"/>
  <c r="K5192" i="1"/>
  <c r="K5159" i="1"/>
  <c r="K5173" i="1"/>
  <c r="K5187" i="1"/>
  <c r="K8045" i="1"/>
  <c r="K8047" i="1"/>
  <c r="K8062" i="1"/>
  <c r="K8088" i="1"/>
  <c r="K8054" i="1"/>
  <c r="K8069" i="1"/>
  <c r="K8056" i="1"/>
  <c r="K722" i="1"/>
  <c r="K739" i="1"/>
  <c r="K730" i="1"/>
  <c r="K752" i="1"/>
  <c r="K2991" i="1"/>
  <c r="K2981" i="1"/>
  <c r="K2984" i="1"/>
  <c r="K3025" i="1"/>
  <c r="K8637" i="1"/>
  <c r="K8631" i="1"/>
  <c r="K8621" i="1"/>
  <c r="K8662" i="1"/>
  <c r="K8667" i="1"/>
  <c r="K734" i="1"/>
  <c r="K754" i="1"/>
  <c r="K745" i="1"/>
  <c r="K2976" i="1"/>
  <c r="K3004" i="1"/>
  <c r="K2994" i="1"/>
  <c r="K2997" i="1"/>
  <c r="K2985" i="1"/>
  <c r="K8614" i="1"/>
  <c r="K8620" i="1"/>
  <c r="K8646" i="1"/>
  <c r="K8633" i="1"/>
  <c r="K8609" i="1"/>
  <c r="K746" i="1"/>
  <c r="K724" i="1"/>
  <c r="K733" i="1"/>
  <c r="K2989" i="1"/>
  <c r="K3016" i="1"/>
  <c r="K3007" i="1"/>
  <c r="K3010" i="1"/>
  <c r="K2998" i="1"/>
  <c r="K8626" i="1"/>
  <c r="K8632" i="1"/>
  <c r="K8659" i="1"/>
  <c r="K8650" i="1"/>
  <c r="K8640" i="1"/>
  <c r="K723" i="1"/>
  <c r="K740" i="1"/>
  <c r="K751" i="1"/>
  <c r="K3002" i="1"/>
  <c r="K3028" i="1"/>
  <c r="K3019" i="1"/>
  <c r="K3022" i="1"/>
  <c r="K3011" i="1"/>
  <c r="K8615" i="1"/>
  <c r="K8644" i="1"/>
  <c r="K8672" i="1"/>
  <c r="K8664" i="1"/>
  <c r="K8655" i="1"/>
  <c r="K735" i="1"/>
  <c r="K725" i="1"/>
  <c r="K731" i="1"/>
  <c r="K3014" i="1"/>
  <c r="K2979" i="1"/>
  <c r="K2982" i="1"/>
  <c r="K2986" i="1"/>
  <c r="K3023" i="1"/>
  <c r="K8627" i="1"/>
  <c r="K8616" i="1"/>
  <c r="K8623" i="1"/>
  <c r="K8634" i="1"/>
  <c r="K8668" i="1"/>
  <c r="K747" i="1"/>
  <c r="K741" i="1"/>
  <c r="K732" i="1"/>
  <c r="K3026" i="1"/>
  <c r="K2992" i="1"/>
  <c r="K2995" i="1"/>
  <c r="K3000" i="1"/>
  <c r="K8610" i="1"/>
  <c r="K8639" i="1"/>
  <c r="K8643" i="1"/>
  <c r="K8647" i="1"/>
  <c r="K8652" i="1"/>
  <c r="K8611" i="1"/>
  <c r="K726" i="1"/>
  <c r="K727" i="1"/>
  <c r="K736" i="1"/>
  <c r="K2977" i="1"/>
  <c r="K3005" i="1"/>
  <c r="K3008" i="1"/>
  <c r="K3012" i="1"/>
  <c r="K8622" i="1"/>
  <c r="K8651" i="1"/>
  <c r="K8657" i="1"/>
  <c r="K8660" i="1"/>
  <c r="K8665" i="1"/>
  <c r="K8641" i="1"/>
  <c r="K738" i="1"/>
  <c r="K742" i="1"/>
  <c r="K748" i="1"/>
  <c r="K2990" i="1"/>
  <c r="K3017" i="1"/>
  <c r="K3020" i="1"/>
  <c r="K3024" i="1"/>
  <c r="K8612" i="1"/>
  <c r="K8663" i="1"/>
  <c r="K8670" i="1"/>
  <c r="K8628" i="1"/>
  <c r="K8635" i="1"/>
  <c r="K8656" i="1"/>
  <c r="K750" i="1"/>
  <c r="K728" i="1"/>
  <c r="K749" i="1"/>
  <c r="K3003" i="1"/>
  <c r="K2980" i="1"/>
  <c r="K2983" i="1"/>
  <c r="K2974" i="1"/>
  <c r="K8624" i="1"/>
  <c r="K8618" i="1"/>
  <c r="K8617" i="1"/>
  <c r="K8648" i="1"/>
  <c r="K8653" i="1"/>
  <c r="K8669" i="1"/>
  <c r="K737" i="1"/>
  <c r="K743" i="1"/>
  <c r="K2975" i="1"/>
  <c r="K3015" i="1"/>
  <c r="K2993" i="1"/>
  <c r="K2996" i="1"/>
  <c r="K2988" i="1"/>
  <c r="K8636" i="1"/>
  <c r="K8630" i="1"/>
  <c r="K8645" i="1"/>
  <c r="K8661" i="1"/>
  <c r="K8666" i="1"/>
  <c r="K3006" i="1"/>
  <c r="K8629" i="1"/>
  <c r="K3018" i="1"/>
  <c r="K8649" i="1"/>
  <c r="K3009" i="1"/>
  <c r="K8638" i="1"/>
  <c r="K3021" i="1"/>
  <c r="K8654" i="1"/>
  <c r="K753" i="1"/>
  <c r="K3001" i="1"/>
  <c r="K721" i="1"/>
  <c r="K3013" i="1"/>
  <c r="K729" i="1"/>
  <c r="K8613" i="1"/>
  <c r="K744" i="1"/>
  <c r="K8625" i="1"/>
  <c r="K2987" i="1"/>
  <c r="K8642" i="1"/>
  <c r="K2999" i="1"/>
  <c r="K8619" i="1"/>
  <c r="K3027" i="1"/>
  <c r="K8658" i="1"/>
  <c r="K2978" i="1"/>
  <c r="K8671" i="1"/>
  <c r="K9704" i="1"/>
  <c r="K9716" i="1"/>
  <c r="K1303" i="1"/>
  <c r="K1310" i="1"/>
  <c r="K1314" i="1"/>
  <c r="K3767" i="1"/>
  <c r="K3793" i="1"/>
  <c r="K3760" i="1"/>
  <c r="K3786" i="1"/>
  <c r="K6431" i="1"/>
  <c r="K6435" i="1"/>
  <c r="K6417" i="1"/>
  <c r="K9741" i="1"/>
  <c r="K9708" i="1"/>
  <c r="K9710" i="1"/>
  <c r="K9712" i="1"/>
  <c r="K9726" i="1"/>
  <c r="K1319" i="1"/>
  <c r="K1297" i="1"/>
  <c r="K1318" i="1"/>
  <c r="K3779" i="1"/>
  <c r="K3746" i="1"/>
  <c r="K3772" i="1"/>
  <c r="K3798" i="1"/>
  <c r="K6443" i="1"/>
  <c r="K6412" i="1"/>
  <c r="K6429" i="1"/>
  <c r="K9753" i="1"/>
  <c r="K9720" i="1"/>
  <c r="K9722" i="1"/>
  <c r="K9724" i="1"/>
  <c r="K9738" i="1"/>
  <c r="K1290" i="1"/>
  <c r="K1311" i="1"/>
  <c r="K1302" i="1"/>
  <c r="K3791" i="1"/>
  <c r="K3758" i="1"/>
  <c r="K3784" i="1"/>
  <c r="K3751" i="1"/>
  <c r="K6420" i="1"/>
  <c r="K6424" i="1"/>
  <c r="K6441" i="1"/>
  <c r="K9706" i="1"/>
  <c r="K9732" i="1"/>
  <c r="K9734" i="1"/>
  <c r="K9736" i="1"/>
  <c r="K9750" i="1"/>
  <c r="K1306" i="1"/>
  <c r="K1298" i="1"/>
  <c r="K3753" i="1"/>
  <c r="K3744" i="1"/>
  <c r="K3770" i="1"/>
  <c r="K3796" i="1"/>
  <c r="K3763" i="1"/>
  <c r="K6432" i="1"/>
  <c r="K6436" i="1"/>
  <c r="K6418" i="1"/>
  <c r="K9718" i="1"/>
  <c r="K9744" i="1"/>
  <c r="K9746" i="1"/>
  <c r="K9748" i="1"/>
  <c r="K9703" i="1"/>
  <c r="K1320" i="1"/>
  <c r="K1312" i="1"/>
  <c r="K3765" i="1"/>
  <c r="K3756" i="1"/>
  <c r="K3782" i="1"/>
  <c r="K3749" i="1"/>
  <c r="K3775" i="1"/>
  <c r="K6409" i="1"/>
  <c r="K6414" i="1"/>
  <c r="K6430" i="1"/>
  <c r="K9730" i="1"/>
  <c r="K9756" i="1"/>
  <c r="K9758" i="1"/>
  <c r="K9760" i="1"/>
  <c r="K9715" i="1"/>
  <c r="K1292" i="1"/>
  <c r="K1291" i="1"/>
  <c r="K1299" i="1"/>
  <c r="K3777" i="1"/>
  <c r="K3768" i="1"/>
  <c r="K3794" i="1"/>
  <c r="K3761" i="1"/>
  <c r="K3787" i="1"/>
  <c r="K6421" i="1"/>
  <c r="K6426" i="1"/>
  <c r="K6442" i="1"/>
  <c r="K9742" i="1"/>
  <c r="K9697" i="1"/>
  <c r="K9699" i="1"/>
  <c r="K9701" i="1"/>
  <c r="K9727" i="1"/>
  <c r="K1304" i="1"/>
  <c r="K1307" i="1"/>
  <c r="K1313" i="1"/>
  <c r="K3789" i="1"/>
  <c r="K3780" i="1"/>
  <c r="K3747" i="1"/>
  <c r="K3773" i="1"/>
  <c r="K3752" i="1"/>
  <c r="K6433" i="1"/>
  <c r="K6438" i="1"/>
  <c r="K6425" i="1"/>
  <c r="K9754" i="1"/>
  <c r="K9709" i="1"/>
  <c r="K9711" i="1"/>
  <c r="K9713" i="1"/>
  <c r="K9739" i="1"/>
  <c r="K1316" i="1"/>
  <c r="K1294" i="1"/>
  <c r="K1287" i="1"/>
  <c r="K3754" i="1"/>
  <c r="K3792" i="1"/>
  <c r="K3759" i="1"/>
  <c r="K3785" i="1"/>
  <c r="K3764" i="1"/>
  <c r="K6410" i="1"/>
  <c r="K6415" i="1"/>
  <c r="K6437" i="1"/>
  <c r="K9707" i="1"/>
  <c r="K9721" i="1"/>
  <c r="K9723" i="1"/>
  <c r="K9725" i="1"/>
  <c r="K9751" i="1"/>
  <c r="K1293" i="1"/>
  <c r="K1308" i="1"/>
  <c r="K1301" i="1"/>
  <c r="K3766" i="1"/>
  <c r="K3745" i="1"/>
  <c r="K3771" i="1"/>
  <c r="K3797" i="1"/>
  <c r="K3776" i="1"/>
  <c r="K6422" i="1"/>
  <c r="K6427" i="1"/>
  <c r="K6413" i="1"/>
  <c r="K9719" i="1"/>
  <c r="K9733" i="1"/>
  <c r="K9735" i="1"/>
  <c r="K9737" i="1"/>
  <c r="K1305" i="1"/>
  <c r="K1295" i="1"/>
  <c r="K1315" i="1"/>
  <c r="K3778" i="1"/>
  <c r="K3757" i="1"/>
  <c r="K3783" i="1"/>
  <c r="K3750" i="1"/>
  <c r="K3788" i="1"/>
  <c r="K6434" i="1"/>
  <c r="K6416" i="1"/>
  <c r="K9705" i="1"/>
  <c r="K9731" i="1"/>
  <c r="K9745" i="1"/>
  <c r="K9747" i="1"/>
  <c r="K9749" i="1"/>
  <c r="K1317" i="1"/>
  <c r="K1309" i="1"/>
  <c r="K1288" i="1"/>
  <c r="K3790" i="1"/>
  <c r="K3769" i="1"/>
  <c r="K3795" i="1"/>
  <c r="K3762" i="1"/>
  <c r="K5109" i="1"/>
  <c r="K6411" i="1"/>
  <c r="K6428" i="1"/>
  <c r="K9717" i="1"/>
  <c r="K9743" i="1"/>
  <c r="K9757" i="1"/>
  <c r="K9759" i="1"/>
  <c r="K9702" i="1"/>
  <c r="K1289" i="1"/>
  <c r="K1296" i="1"/>
  <c r="K1300" i="1"/>
  <c r="K3755" i="1"/>
  <c r="K3781" i="1"/>
  <c r="K3748" i="1"/>
  <c r="K3774" i="1"/>
  <c r="K6419" i="1"/>
  <c r="K6423" i="1"/>
  <c r="K6440" i="1"/>
  <c r="K9729" i="1"/>
  <c r="K9755" i="1"/>
  <c r="K9698" i="1"/>
  <c r="K9700" i="1"/>
  <c r="K9714" i="1"/>
  <c r="K9752" i="1"/>
  <c r="K9740" i="1"/>
  <c r="K9560" i="1"/>
  <c r="K9512" i="1"/>
  <c r="K9536" i="1"/>
  <c r="K9548" i="1"/>
  <c r="K9524" i="1"/>
  <c r="K1208" i="1"/>
  <c r="K1187" i="1"/>
  <c r="K1194" i="1"/>
  <c r="K3682" i="1"/>
  <c r="K3649" i="1"/>
  <c r="K3675" i="1"/>
  <c r="K3654" i="1"/>
  <c r="K6287" i="1"/>
  <c r="K6303" i="1"/>
  <c r="K6308" i="1"/>
  <c r="K9537" i="1"/>
  <c r="K9563" i="1"/>
  <c r="K9506" i="1"/>
  <c r="K9508" i="1"/>
  <c r="K9522" i="1"/>
  <c r="K1185" i="1"/>
  <c r="K1206" i="1"/>
  <c r="K1215" i="1"/>
  <c r="K3635" i="1"/>
  <c r="K3661" i="1"/>
  <c r="K3687" i="1"/>
  <c r="K3666" i="1"/>
  <c r="K6299" i="1"/>
  <c r="K6315" i="1"/>
  <c r="K6285" i="1"/>
  <c r="K9549" i="1"/>
  <c r="K9516" i="1"/>
  <c r="K9518" i="1"/>
  <c r="K9520" i="1"/>
  <c r="K9534" i="1"/>
  <c r="K1197" i="1"/>
  <c r="K1189" i="1"/>
  <c r="K1218" i="1"/>
  <c r="K3647" i="1"/>
  <c r="K3673" i="1"/>
  <c r="K3640" i="1"/>
  <c r="K3678" i="1"/>
  <c r="K6311" i="1"/>
  <c r="K6292" i="1"/>
  <c r="K6297" i="1"/>
  <c r="K9561" i="1"/>
  <c r="K9528" i="1"/>
  <c r="K9530" i="1"/>
  <c r="K9532" i="1"/>
  <c r="K9546" i="1"/>
  <c r="K1209" i="1"/>
  <c r="K1211" i="1"/>
  <c r="K1200" i="1"/>
  <c r="K3659" i="1"/>
  <c r="K3685" i="1"/>
  <c r="K3652" i="1"/>
  <c r="K3643" i="1"/>
  <c r="K6288" i="1"/>
  <c r="K6304" i="1"/>
  <c r="K6309" i="1"/>
  <c r="K9514" i="1"/>
  <c r="K9540" i="1"/>
  <c r="K9542" i="1"/>
  <c r="K9544" i="1"/>
  <c r="K9558" i="1"/>
  <c r="K1186" i="1"/>
  <c r="K1190" i="1"/>
  <c r="K3645" i="1"/>
  <c r="K3671" i="1"/>
  <c r="K3638" i="1"/>
  <c r="K3664" i="1"/>
  <c r="K3655" i="1"/>
  <c r="K6300" i="1"/>
  <c r="K6316" i="1"/>
  <c r="K6286" i="1"/>
  <c r="K9526" i="1"/>
  <c r="K9552" i="1"/>
  <c r="K9554" i="1"/>
  <c r="K9556" i="1"/>
  <c r="K9511" i="1"/>
  <c r="K1198" i="1"/>
  <c r="K1212" i="1"/>
  <c r="K3657" i="1"/>
  <c r="K3683" i="1"/>
  <c r="K3650" i="1"/>
  <c r="K3676" i="1"/>
  <c r="K3667" i="1"/>
  <c r="K6312" i="1"/>
  <c r="K6294" i="1"/>
  <c r="K6298" i="1"/>
  <c r="K9538" i="1"/>
  <c r="K9564" i="1"/>
  <c r="K9566" i="1"/>
  <c r="K9568" i="1"/>
  <c r="K9523" i="1"/>
  <c r="K1193" i="1"/>
  <c r="K1210" i="1"/>
  <c r="K1191" i="1"/>
  <c r="K3669" i="1"/>
  <c r="K3636" i="1"/>
  <c r="K3662" i="1"/>
  <c r="K3688" i="1"/>
  <c r="K3679" i="1"/>
  <c r="K6289" i="1"/>
  <c r="K6306" i="1"/>
  <c r="K6310" i="1"/>
  <c r="K9550" i="1"/>
  <c r="K9505" i="1"/>
  <c r="K9507" i="1"/>
  <c r="K9509" i="1"/>
  <c r="K9535" i="1"/>
  <c r="K1205" i="1"/>
  <c r="K1188" i="1"/>
  <c r="K1213" i="1"/>
  <c r="K3681" i="1"/>
  <c r="K3648" i="1"/>
  <c r="K3674" i="1"/>
  <c r="K3641" i="1"/>
  <c r="K3644" i="1"/>
  <c r="K6301" i="1"/>
  <c r="K6318" i="1"/>
  <c r="K6293" i="1"/>
  <c r="K9562" i="1"/>
  <c r="K9517" i="1"/>
  <c r="K9519" i="1"/>
  <c r="K9521" i="1"/>
  <c r="K9547" i="1"/>
  <c r="K1217" i="1"/>
  <c r="K1201" i="1"/>
  <c r="K1192" i="1"/>
  <c r="K3634" i="1"/>
  <c r="K3660" i="1"/>
  <c r="K3686" i="1"/>
  <c r="K3653" i="1"/>
  <c r="K3656" i="1"/>
  <c r="K6313" i="1"/>
  <c r="K6295" i="1"/>
  <c r="K6305" i="1"/>
  <c r="K9515" i="1"/>
  <c r="K9529" i="1"/>
  <c r="K9531" i="1"/>
  <c r="K9533" i="1"/>
  <c r="K9559" i="1"/>
  <c r="K1195" i="1"/>
  <c r="K1202" i="1"/>
  <c r="K1214" i="1"/>
  <c r="K3646" i="1"/>
  <c r="K3672" i="1"/>
  <c r="K3639" i="1"/>
  <c r="K3665" i="1"/>
  <c r="K3668" i="1"/>
  <c r="K6290" i="1"/>
  <c r="K6307" i="1"/>
  <c r="K6317" i="1"/>
  <c r="K9527" i="1"/>
  <c r="K9541" i="1"/>
  <c r="K9543" i="1"/>
  <c r="K9545" i="1"/>
  <c r="K1207" i="1"/>
  <c r="K1203" i="1"/>
  <c r="K1199" i="1"/>
  <c r="K3658" i="1"/>
  <c r="K3684" i="1"/>
  <c r="K3651" i="1"/>
  <c r="K3677" i="1"/>
  <c r="K3680" i="1"/>
  <c r="K6302" i="1"/>
  <c r="K6284" i="1"/>
  <c r="K9513" i="1"/>
  <c r="K9539" i="1"/>
  <c r="K9553" i="1"/>
  <c r="K9555" i="1"/>
  <c r="K9557" i="1"/>
  <c r="K9525" i="1"/>
  <c r="K9551" i="1"/>
  <c r="K1196" i="1"/>
  <c r="K9565" i="1"/>
  <c r="K1204" i="1"/>
  <c r="K9567" i="1"/>
  <c r="K1216" i="1"/>
  <c r="K9510" i="1"/>
  <c r="K3670" i="1"/>
  <c r="K3637" i="1"/>
  <c r="K3663" i="1"/>
  <c r="K3642" i="1"/>
  <c r="K5771" i="1"/>
  <c r="K6291" i="1"/>
  <c r="K6296" i="1"/>
  <c r="K392" i="1"/>
  <c r="K413" i="1"/>
  <c r="K398" i="1"/>
  <c r="K404" i="1"/>
  <c r="K415" i="1"/>
  <c r="K2456" i="1"/>
  <c r="K2459" i="1"/>
  <c r="K2426" i="1"/>
  <c r="K2454" i="1"/>
  <c r="K2453" i="1"/>
  <c r="K5118" i="1"/>
  <c r="K5135" i="1"/>
  <c r="K5115" i="1"/>
  <c r="K8005" i="1"/>
  <c r="K7982" i="1"/>
  <c r="K8011" i="1"/>
  <c r="K7975" i="1"/>
  <c r="K8003" i="1"/>
  <c r="K410" i="1"/>
  <c r="K416" i="1"/>
  <c r="K419" i="1"/>
  <c r="K2468" i="1"/>
  <c r="K2471" i="1"/>
  <c r="K2438" i="1"/>
  <c r="K2466" i="1"/>
  <c r="K2464" i="1"/>
  <c r="K5131" i="1"/>
  <c r="K5147" i="1"/>
  <c r="K5128" i="1"/>
  <c r="K8018" i="1"/>
  <c r="K7996" i="1"/>
  <c r="K8024" i="1"/>
  <c r="K7988" i="1"/>
  <c r="K8016" i="1"/>
  <c r="K422" i="1"/>
  <c r="K393" i="1"/>
  <c r="K399" i="1"/>
  <c r="K405" i="1"/>
  <c r="K420" i="1"/>
  <c r="K2445" i="1"/>
  <c r="K2436" i="1"/>
  <c r="K2462" i="1"/>
  <c r="K2431" i="1"/>
  <c r="K2477" i="1"/>
  <c r="K5119" i="1"/>
  <c r="K5136" i="1"/>
  <c r="K6039" i="1"/>
  <c r="K7980" i="1"/>
  <c r="K8022" i="1"/>
  <c r="K7986" i="1"/>
  <c r="K8014" i="1"/>
  <c r="K7978" i="1"/>
  <c r="K9728" i="1"/>
  <c r="K10676" i="1"/>
  <c r="K7646" i="1"/>
  <c r="K7621" i="1"/>
  <c r="K7593" i="1"/>
  <c r="K7626" i="1"/>
  <c r="K7612" i="1"/>
  <c r="K7598" i="1"/>
  <c r="K4888" i="1"/>
  <c r="K4883" i="1"/>
  <c r="K4906" i="1"/>
  <c r="K2200" i="1"/>
  <c r="K2167" i="1"/>
  <c r="K2198" i="1"/>
  <c r="K2172" i="1"/>
  <c r="K2157" i="1"/>
  <c r="K211" i="1"/>
  <c r="K220" i="1"/>
  <c r="K7977" i="1"/>
  <c r="K7974" i="1"/>
  <c r="K7970" i="1"/>
  <c r="K7979" i="1"/>
  <c r="K5126" i="1"/>
  <c r="K5132" i="1"/>
  <c r="K2441" i="1"/>
  <c r="K2451" i="1"/>
  <c r="K2448" i="1"/>
  <c r="K2432" i="1"/>
  <c r="K406" i="1"/>
  <c r="K8393" i="1"/>
  <c r="K8378" i="1"/>
  <c r="K8374" i="1"/>
  <c r="K5466" i="1"/>
  <c r="K5485" i="1"/>
  <c r="K5457" i="1"/>
  <c r="K2777" i="1"/>
  <c r="K2793" i="1"/>
  <c r="K610" i="1"/>
  <c r="K8823" i="1"/>
  <c r="K5800" i="1"/>
  <c r="K3144" i="1"/>
  <c r="K6113" i="1"/>
  <c r="K9615" i="1"/>
  <c r="K9963" i="1"/>
  <c r="K4894" i="1"/>
  <c r="K7972" i="1"/>
  <c r="K391" i="1"/>
  <c r="K1013" i="1"/>
  <c r="K1018" i="1"/>
  <c r="K1021" i="1"/>
  <c r="K3363" i="1"/>
  <c r="K3389" i="1"/>
  <c r="K3380" i="1"/>
  <c r="K3361" i="1"/>
  <c r="K3406" i="1"/>
  <c r="K6053" i="1"/>
  <c r="K6082" i="1"/>
  <c r="K6097" i="1"/>
  <c r="K6061" i="1"/>
  <c r="K6089" i="1"/>
  <c r="K9130" i="1"/>
  <c r="K9156" i="1"/>
  <c r="K9158" i="1"/>
  <c r="K9160" i="1"/>
  <c r="K1025" i="1"/>
  <c r="K994" i="1"/>
  <c r="K1022" i="1"/>
  <c r="K3375" i="1"/>
  <c r="K3401" i="1"/>
  <c r="K3392" i="1"/>
  <c r="K3373" i="1"/>
  <c r="K3407" i="1"/>
  <c r="K6066" i="1"/>
  <c r="K6095" i="1"/>
  <c r="K6046" i="1"/>
  <c r="K1001" i="1"/>
  <c r="K1007" i="1"/>
  <c r="K1023" i="1"/>
  <c r="K3387" i="1"/>
  <c r="K3413" i="1"/>
  <c r="K3404" i="1"/>
  <c r="K3385" i="1"/>
  <c r="K6045" i="1"/>
  <c r="K6079" i="1"/>
  <c r="K6108" i="1"/>
  <c r="K6059" i="1"/>
  <c r="K6087" i="1"/>
  <c r="K6051" i="1"/>
  <c r="K9154" i="1"/>
  <c r="K9180" i="1"/>
  <c r="K9182" i="1"/>
  <c r="K9184" i="1"/>
  <c r="K9139" i="1"/>
  <c r="K1014" i="1"/>
  <c r="K1020" i="1"/>
  <c r="K995" i="1"/>
  <c r="K3399" i="1"/>
  <c r="K3366" i="1"/>
  <c r="K3369" i="1"/>
  <c r="K3397" i="1"/>
  <c r="K6057" i="1"/>
  <c r="K6092" i="1"/>
  <c r="K6314" i="1"/>
  <c r="K6072" i="1"/>
  <c r="K6100" i="1"/>
  <c r="K6064" i="1"/>
  <c r="K9166" i="1"/>
  <c r="K9121" i="1"/>
  <c r="K9123" i="1"/>
  <c r="K9125" i="1"/>
  <c r="K9151" i="1"/>
  <c r="K1026" i="1"/>
  <c r="K997" i="1"/>
  <c r="K993" i="1"/>
  <c r="K3411" i="1"/>
  <c r="K3378" i="1"/>
  <c r="K3381" i="1"/>
  <c r="K3409" i="1"/>
  <c r="K6069" i="1"/>
  <c r="K6106" i="1"/>
  <c r="K6056" i="1"/>
  <c r="K6085" i="1"/>
  <c r="K6049" i="1"/>
  <c r="K6077" i="1"/>
  <c r="K9178" i="1"/>
  <c r="K9133" i="1"/>
  <c r="K9135" i="1"/>
  <c r="K9137" i="1"/>
  <c r="K9163" i="1"/>
  <c r="K1002" i="1"/>
  <c r="K1010" i="1"/>
  <c r="K996" i="1"/>
  <c r="K3364" i="1"/>
  <c r="K3390" i="1"/>
  <c r="K3393" i="1"/>
  <c r="K3359" i="1"/>
  <c r="K6081" i="1"/>
  <c r="K6054" i="1"/>
  <c r="K6070" i="1"/>
  <c r="K6098" i="1"/>
  <c r="K6062" i="1"/>
  <c r="K6090" i="1"/>
  <c r="K9131" i="1"/>
  <c r="K9145" i="1"/>
  <c r="K9147" i="1"/>
  <c r="K9149" i="1"/>
  <c r="K9175" i="1"/>
  <c r="K1015" i="1"/>
  <c r="K998" i="1"/>
  <c r="K1024" i="1"/>
  <c r="K3376" i="1"/>
  <c r="K3402" i="1"/>
  <c r="K3405" i="1"/>
  <c r="K3370" i="1"/>
  <c r="K6093" i="1"/>
  <c r="K6067" i="1"/>
  <c r="K6083" i="1"/>
  <c r="K6047" i="1"/>
  <c r="K6075" i="1"/>
  <c r="K6103" i="1"/>
  <c r="K9143" i="1"/>
  <c r="K9157" i="1"/>
  <c r="K9159" i="1"/>
  <c r="K9161" i="1"/>
  <c r="K9128" i="1"/>
  <c r="K1003" i="1"/>
  <c r="K1006" i="1"/>
  <c r="K3362" i="1"/>
  <c r="K3388" i="1"/>
  <c r="K3367" i="1"/>
  <c r="K3360" i="1"/>
  <c r="K3371" i="1"/>
  <c r="K6105" i="1"/>
  <c r="K6080" i="1"/>
  <c r="K6096" i="1"/>
  <c r="K6060" i="1"/>
  <c r="K6088" i="1"/>
  <c r="K9129" i="1"/>
  <c r="K9155" i="1"/>
  <c r="K9169" i="1"/>
  <c r="K9171" i="1"/>
  <c r="K9173" i="1"/>
  <c r="K9140" i="1"/>
  <c r="K1016" i="1"/>
  <c r="K1008" i="1"/>
  <c r="K3374" i="1"/>
  <c r="K3400" i="1"/>
  <c r="K3379" i="1"/>
  <c r="K3372" i="1"/>
  <c r="K3382" i="1"/>
  <c r="K6052" i="1"/>
  <c r="K6094" i="1"/>
  <c r="K6044" i="1"/>
  <c r="K6073" i="1"/>
  <c r="K6101" i="1"/>
  <c r="K9141" i="1"/>
  <c r="K9167" i="1"/>
  <c r="K9181" i="1"/>
  <c r="K9183" i="1"/>
  <c r="K9126" i="1"/>
  <c r="K999" i="1"/>
  <c r="K1004" i="1"/>
  <c r="K1009" i="1"/>
  <c r="K3386" i="1"/>
  <c r="K3412" i="1"/>
  <c r="K3391" i="1"/>
  <c r="K3384" i="1"/>
  <c r="K3383" i="1"/>
  <c r="K6065" i="1"/>
  <c r="K6107" i="1"/>
  <c r="K6058" i="1"/>
  <c r="K6086" i="1"/>
  <c r="K6050" i="1"/>
  <c r="K9153" i="1"/>
  <c r="K9179" i="1"/>
  <c r="K9122" i="1"/>
  <c r="K9124" i="1"/>
  <c r="K9138" i="1"/>
  <c r="K1011" i="1"/>
  <c r="K1017" i="1"/>
  <c r="K1012" i="1"/>
  <c r="K3398" i="1"/>
  <c r="K3365" i="1"/>
  <c r="K3403" i="1"/>
  <c r="K3396" i="1"/>
  <c r="K3394" i="1"/>
  <c r="K6078" i="1"/>
  <c r="K6055" i="1"/>
  <c r="K6071" i="1"/>
  <c r="K6099" i="1"/>
  <c r="K6063" i="1"/>
  <c r="K9165" i="1"/>
  <c r="K9132" i="1"/>
  <c r="K9134" i="1"/>
  <c r="K9136" i="1"/>
  <c r="K9150" i="1"/>
  <c r="K3395" i="1"/>
  <c r="K9146" i="1"/>
  <c r="K6091" i="1"/>
  <c r="K9170" i="1"/>
  <c r="K6068" i="1"/>
  <c r="K9148" i="1"/>
  <c r="K6084" i="1"/>
  <c r="K9172" i="1"/>
  <c r="K6048" i="1"/>
  <c r="K9162" i="1"/>
  <c r="K1000" i="1"/>
  <c r="K6074" i="1"/>
  <c r="K9174" i="1"/>
  <c r="K9176" i="1"/>
  <c r="K1005" i="1"/>
  <c r="K6076" i="1"/>
  <c r="K9127" i="1"/>
  <c r="K1019" i="1"/>
  <c r="K6102" i="1"/>
  <c r="K9164" i="1"/>
  <c r="K3410" i="1"/>
  <c r="K9177" i="1"/>
  <c r="K3377" i="1"/>
  <c r="K9142" i="1"/>
  <c r="K3368" i="1"/>
  <c r="K9144" i="1"/>
  <c r="K3408" i="1"/>
  <c r="K9168" i="1"/>
  <c r="K10099" i="1"/>
  <c r="K10100" i="1"/>
  <c r="K10088" i="1"/>
  <c r="K1503" i="1"/>
  <c r="K1507" i="1"/>
  <c r="K1513" i="1"/>
  <c r="K4065" i="1"/>
  <c r="K4044" i="1"/>
  <c r="K4070" i="1"/>
  <c r="K4026" i="1"/>
  <c r="K4052" i="1"/>
  <c r="K6734" i="1"/>
  <c r="K6716" i="1"/>
  <c r="K6725" i="1"/>
  <c r="K10138" i="1"/>
  <c r="K10093" i="1"/>
  <c r="K10119" i="1"/>
  <c r="K10121" i="1"/>
  <c r="K10087" i="1"/>
  <c r="K1515" i="1"/>
  <c r="K1519" i="1"/>
  <c r="K1498" i="1"/>
  <c r="K4030" i="1"/>
  <c r="K4056" i="1"/>
  <c r="K4023" i="1"/>
  <c r="K4038" i="1"/>
  <c r="K4059" i="1"/>
  <c r="K6711" i="1"/>
  <c r="K6728" i="1"/>
  <c r="K6726" i="1"/>
  <c r="K10091" i="1"/>
  <c r="K10105" i="1"/>
  <c r="K10131" i="1"/>
  <c r="K10133" i="1"/>
  <c r="K1492" i="1"/>
  <c r="K1496" i="1"/>
  <c r="K1500" i="1"/>
  <c r="K4042" i="1"/>
  <c r="K4068" i="1"/>
  <c r="K4024" i="1"/>
  <c r="K4050" i="1"/>
  <c r="K4064" i="1"/>
  <c r="K6723" i="1"/>
  <c r="K6705" i="1"/>
  <c r="K6731" i="1"/>
  <c r="K10103" i="1"/>
  <c r="K10117" i="1"/>
  <c r="K10143" i="1"/>
  <c r="K10086" i="1"/>
  <c r="K1504" i="1"/>
  <c r="K1508" i="1"/>
  <c r="K1502" i="1"/>
  <c r="K4054" i="1"/>
  <c r="K4021" i="1"/>
  <c r="K4036" i="1"/>
  <c r="K4062" i="1"/>
  <c r="K4071" i="1"/>
  <c r="K6735" i="1"/>
  <c r="K6717" i="1"/>
  <c r="K10089" i="1"/>
  <c r="K10115" i="1"/>
  <c r="K10082" i="1"/>
  <c r="K10084" i="1"/>
  <c r="K10098" i="1"/>
  <c r="K1516" i="1"/>
  <c r="K1520" i="1"/>
  <c r="K1510" i="1"/>
  <c r="K4066" i="1"/>
  <c r="K4033" i="1"/>
  <c r="K4048" i="1"/>
  <c r="K4027" i="1"/>
  <c r="K5521" i="1"/>
  <c r="K6712" i="1"/>
  <c r="K6729" i="1"/>
  <c r="K10101" i="1"/>
  <c r="K10127" i="1"/>
  <c r="K10094" i="1"/>
  <c r="K10096" i="1"/>
  <c r="K10110" i="1"/>
  <c r="K1493" i="1"/>
  <c r="K1497" i="1"/>
  <c r="K1512" i="1"/>
  <c r="K4019" i="1"/>
  <c r="K4045" i="1"/>
  <c r="K4060" i="1"/>
  <c r="K4039" i="1"/>
  <c r="K6708" i="1"/>
  <c r="K6724" i="1"/>
  <c r="K6706" i="1"/>
  <c r="K10113" i="1"/>
  <c r="K10139" i="1"/>
  <c r="K10106" i="1"/>
  <c r="K10108" i="1"/>
  <c r="K10141" i="1"/>
  <c r="K1505" i="1"/>
  <c r="K1509" i="1"/>
  <c r="K1514" i="1"/>
  <c r="K4031" i="1"/>
  <c r="K4057" i="1"/>
  <c r="K4072" i="1"/>
  <c r="K4051" i="1"/>
  <c r="K6720" i="1"/>
  <c r="K6736" i="1"/>
  <c r="K6718" i="1"/>
  <c r="K10125" i="1"/>
  <c r="K10092" i="1"/>
  <c r="K10118" i="1"/>
  <c r="K10120" i="1"/>
  <c r="K1517" i="1"/>
  <c r="K1521" i="1"/>
  <c r="K1522" i="1"/>
  <c r="K4043" i="1"/>
  <c r="K4069" i="1"/>
  <c r="K4025" i="1"/>
  <c r="K4063" i="1"/>
  <c r="K6709" i="1"/>
  <c r="K6702" i="1"/>
  <c r="K6730" i="1"/>
  <c r="K10137" i="1"/>
  <c r="K10104" i="1"/>
  <c r="K10130" i="1"/>
  <c r="K10132" i="1"/>
  <c r="K1494" i="1"/>
  <c r="K1499" i="1"/>
  <c r="K1524" i="1"/>
  <c r="K4055" i="1"/>
  <c r="K4022" i="1"/>
  <c r="K4037" i="1"/>
  <c r="K4028" i="1"/>
  <c r="K6721" i="1"/>
  <c r="K6703" i="1"/>
  <c r="K6707" i="1"/>
  <c r="K10090" i="1"/>
  <c r="K10116" i="1"/>
  <c r="K10142" i="1"/>
  <c r="K10144" i="1"/>
  <c r="K1506" i="1"/>
  <c r="K1511" i="1"/>
  <c r="K4029" i="1"/>
  <c r="K4067" i="1"/>
  <c r="K4034" i="1"/>
  <c r="K4049" i="1"/>
  <c r="K4035" i="1"/>
  <c r="K6733" i="1"/>
  <c r="K6715" i="1"/>
  <c r="K6713" i="1"/>
  <c r="K10102" i="1"/>
  <c r="K10128" i="1"/>
  <c r="K10083" i="1"/>
  <c r="K10085" i="1"/>
  <c r="K1518" i="1"/>
  <c r="K1523" i="1"/>
  <c r="K4041" i="1"/>
  <c r="K4020" i="1"/>
  <c r="K4046" i="1"/>
  <c r="K4061" i="1"/>
  <c r="K4040" i="1"/>
  <c r="K6710" i="1"/>
  <c r="K6727" i="1"/>
  <c r="K6714" i="1"/>
  <c r="K10114" i="1"/>
  <c r="K10140" i="1"/>
  <c r="K10095" i="1"/>
  <c r="K10097" i="1"/>
  <c r="K1491" i="1"/>
  <c r="K1495" i="1"/>
  <c r="K1501" i="1"/>
  <c r="K4053" i="1"/>
  <c r="K4032" i="1"/>
  <c r="K4058" i="1"/>
  <c r="K4073" i="1"/>
  <c r="K4047" i="1"/>
  <c r="K6722" i="1"/>
  <c r="K6704" i="1"/>
  <c r="K6719" i="1"/>
  <c r="K10126" i="1"/>
  <c r="K10081" i="1"/>
  <c r="K10107" i="1"/>
  <c r="K10109" i="1"/>
  <c r="K10136" i="1"/>
  <c r="K10135" i="1"/>
  <c r="K10129" i="1"/>
  <c r="K10134" i="1"/>
  <c r="K10124" i="1"/>
  <c r="K10123" i="1"/>
  <c r="K10112" i="1"/>
  <c r="K10122" i="1"/>
  <c r="K842" i="1"/>
  <c r="K823" i="1"/>
  <c r="K841" i="1"/>
  <c r="K3171" i="1"/>
  <c r="K3174" i="1"/>
  <c r="K3141" i="1"/>
  <c r="K3168" i="1"/>
  <c r="K3191" i="1"/>
  <c r="K5807" i="1"/>
  <c r="K5785" i="1"/>
  <c r="K8807" i="1"/>
  <c r="K8828" i="1"/>
  <c r="K8857" i="1"/>
  <c r="K8821" i="1"/>
  <c r="K8849" i="1"/>
  <c r="K8813" i="1"/>
  <c r="K856" i="1"/>
  <c r="K836" i="1"/>
  <c r="K851" i="1"/>
  <c r="K3183" i="1"/>
  <c r="K3186" i="1"/>
  <c r="K3153" i="1"/>
  <c r="K3180" i="1"/>
  <c r="K5779" i="1"/>
  <c r="K5784" i="1"/>
  <c r="K5806" i="1"/>
  <c r="K8819" i="1"/>
  <c r="K8841" i="1"/>
  <c r="K8805" i="1"/>
  <c r="K8834" i="1"/>
  <c r="K8862" i="1"/>
  <c r="K8826" i="1"/>
  <c r="K830" i="1"/>
  <c r="K849" i="1"/>
  <c r="K852" i="1"/>
  <c r="K3148" i="1"/>
  <c r="K3139" i="1"/>
  <c r="K3165" i="1"/>
  <c r="K3192" i="1"/>
  <c r="K844" i="1"/>
  <c r="K824" i="1"/>
  <c r="K854" i="1"/>
  <c r="K3160" i="1"/>
  <c r="K3151" i="1"/>
  <c r="K3177" i="1"/>
  <c r="K3145" i="1"/>
  <c r="K5780" i="1"/>
  <c r="K5775" i="1"/>
  <c r="K5808" i="1"/>
  <c r="K8843" i="1"/>
  <c r="K8803" i="1"/>
  <c r="K8832" i="1"/>
  <c r="K832" i="1"/>
  <c r="K837" i="1"/>
  <c r="K825" i="1"/>
  <c r="K3172" i="1"/>
  <c r="K3163" i="1"/>
  <c r="K3189" i="1"/>
  <c r="K3157" i="1"/>
  <c r="K5792" i="1"/>
  <c r="K5787" i="1"/>
  <c r="K5789" i="1"/>
  <c r="K8855" i="1"/>
  <c r="K8816" i="1"/>
  <c r="K8845" i="1"/>
  <c r="K8809" i="1"/>
  <c r="K8837" i="1"/>
  <c r="K845" i="1"/>
  <c r="K850" i="1"/>
  <c r="K826" i="1"/>
  <c r="K3184" i="1"/>
  <c r="K3175" i="1"/>
  <c r="K3142" i="1"/>
  <c r="K3169" i="1"/>
  <c r="K5804" i="1"/>
  <c r="K5799" i="1"/>
  <c r="K5809" i="1"/>
  <c r="K8801" i="1"/>
  <c r="K8829" i="1"/>
  <c r="K8858" i="1"/>
  <c r="K8822" i="1"/>
  <c r="K8850" i="1"/>
  <c r="K833" i="1"/>
  <c r="K827" i="1"/>
  <c r="K3146" i="1"/>
  <c r="K3149" i="1"/>
  <c r="K3187" i="1"/>
  <c r="K3154" i="1"/>
  <c r="K3181" i="1"/>
  <c r="K5781" i="1"/>
  <c r="K5776" i="1"/>
  <c r="K5790" i="1"/>
  <c r="K8814" i="1"/>
  <c r="K8842" i="1"/>
  <c r="K8806" i="1"/>
  <c r="K8835" i="1"/>
  <c r="K8863" i="1"/>
  <c r="K846" i="1"/>
  <c r="K840" i="1"/>
  <c r="K3158" i="1"/>
  <c r="K3161" i="1"/>
  <c r="K3140" i="1"/>
  <c r="K3166" i="1"/>
  <c r="K3193" i="1"/>
  <c r="K5793" i="1"/>
  <c r="K5801" i="1"/>
  <c r="K5794" i="1"/>
  <c r="K8827" i="1"/>
  <c r="K8856" i="1"/>
  <c r="K8820" i="1"/>
  <c r="K8848" i="1"/>
  <c r="K8812" i="1"/>
  <c r="K831" i="1"/>
  <c r="K834" i="1"/>
  <c r="K853" i="1"/>
  <c r="K3170" i="1"/>
  <c r="K3173" i="1"/>
  <c r="K3152" i="1"/>
  <c r="K3178" i="1"/>
  <c r="K3143" i="1"/>
  <c r="K5782" i="1"/>
  <c r="K5777" i="1"/>
  <c r="K5796" i="1"/>
  <c r="K8840" i="1"/>
  <c r="K8804" i="1"/>
  <c r="K8833" i="1"/>
  <c r="K8861" i="1"/>
  <c r="K8825" i="1"/>
  <c r="K843" i="1"/>
  <c r="K847" i="1"/>
  <c r="K828" i="1"/>
  <c r="K3182" i="1"/>
  <c r="K3185" i="1"/>
  <c r="K3164" i="1"/>
  <c r="K3190" i="1"/>
  <c r="K3155" i="1"/>
  <c r="K5651" i="1"/>
  <c r="K5802" i="1"/>
  <c r="K5797" i="1"/>
  <c r="K8853" i="1"/>
  <c r="K8817" i="1"/>
  <c r="K8846" i="1"/>
  <c r="K8810" i="1"/>
  <c r="K8838" i="1"/>
  <c r="K896" i="1"/>
  <c r="K913" i="1"/>
  <c r="K907" i="1"/>
  <c r="K5896" i="1"/>
  <c r="K5875" i="1"/>
  <c r="K5880" i="1"/>
  <c r="K8932" i="1"/>
  <c r="K8960" i="1"/>
  <c r="K8989" i="1"/>
  <c r="K8953" i="1"/>
  <c r="K8981" i="1"/>
  <c r="K909" i="1"/>
  <c r="K902" i="1"/>
  <c r="K917" i="1"/>
  <c r="K5909" i="1"/>
  <c r="K5888" i="1"/>
  <c r="K5893" i="1"/>
  <c r="K8945" i="1"/>
  <c r="K8973" i="1"/>
  <c r="K8937" i="1"/>
  <c r="K8966" i="1"/>
  <c r="K8930" i="1"/>
  <c r="K922" i="1"/>
  <c r="K916" i="1"/>
  <c r="K914" i="1"/>
  <c r="K5884" i="1"/>
  <c r="K5902" i="1"/>
  <c r="K5906" i="1"/>
  <c r="K8958" i="1"/>
  <c r="K8986" i="1"/>
  <c r="K8950" i="1"/>
  <c r="K8979" i="1"/>
  <c r="K8943" i="1"/>
  <c r="K897" i="1"/>
  <c r="K893" i="1"/>
  <c r="K918" i="1"/>
  <c r="K5897" i="1"/>
  <c r="K5876" i="1"/>
  <c r="K5881" i="1"/>
  <c r="K8971" i="1"/>
  <c r="K8935" i="1"/>
  <c r="K8964" i="1"/>
  <c r="K8992" i="1"/>
  <c r="K8956" i="1"/>
  <c r="K910" i="1"/>
  <c r="K906" i="1"/>
  <c r="K5877" i="1"/>
  <c r="K5910" i="1"/>
  <c r="K5890" i="1"/>
  <c r="K5894" i="1"/>
  <c r="K8984" i="1"/>
  <c r="K8948" i="1"/>
  <c r="K8977" i="1"/>
  <c r="K8941" i="1"/>
  <c r="K8969" i="1"/>
  <c r="K923" i="1"/>
  <c r="K919" i="1"/>
  <c r="K5889" i="1"/>
  <c r="K5885" i="1"/>
  <c r="K5903" i="1"/>
  <c r="K5907" i="1"/>
  <c r="K8933" i="1"/>
  <c r="K8961" i="1"/>
  <c r="K8990" i="1"/>
  <c r="K8954" i="1"/>
  <c r="K8982" i="1"/>
  <c r="K891" i="1"/>
  <c r="K898" i="1"/>
  <c r="K920" i="1"/>
  <c r="K5901" i="1"/>
  <c r="K5898" i="1"/>
  <c r="K5878" i="1"/>
  <c r="K7141" i="1"/>
  <c r="K8946" i="1"/>
  <c r="K8974" i="1"/>
  <c r="K8938" i="1"/>
  <c r="K8967" i="1"/>
  <c r="K8931" i="1"/>
  <c r="K903" i="1"/>
  <c r="K911" i="1"/>
  <c r="K892" i="1"/>
  <c r="K5913" i="1"/>
  <c r="K5886" i="1"/>
  <c r="K5891" i="1"/>
  <c r="K8939" i="1"/>
  <c r="K8959" i="1"/>
  <c r="K8988" i="1"/>
  <c r="K8952" i="1"/>
  <c r="K8980" i="1"/>
  <c r="K8944" i="1"/>
  <c r="K915" i="1"/>
  <c r="K924" i="1"/>
  <c r="K894" i="1"/>
  <c r="K5882" i="1"/>
  <c r="K5899" i="1"/>
  <c r="K5904" i="1"/>
  <c r="K8951" i="1"/>
  <c r="K8972" i="1"/>
  <c r="K8936" i="1"/>
  <c r="K8965" i="1"/>
  <c r="K8929" i="1"/>
  <c r="K8957" i="1"/>
  <c r="K895" i="1"/>
  <c r="K899" i="1"/>
  <c r="K901" i="1"/>
  <c r="K5895" i="1"/>
  <c r="K5912" i="1"/>
  <c r="K5879" i="1"/>
  <c r="K8963" i="1"/>
  <c r="K8985" i="1"/>
  <c r="K8949" i="1"/>
  <c r="K8978" i="1"/>
  <c r="K8942" i="1"/>
  <c r="K8970" i="1"/>
  <c r="K908" i="1"/>
  <c r="K912" i="1"/>
  <c r="K904" i="1"/>
  <c r="K5908" i="1"/>
  <c r="K5887" i="1"/>
  <c r="K5892" i="1"/>
  <c r="K8975" i="1"/>
  <c r="K8934" i="1"/>
  <c r="K8962" i="1"/>
  <c r="K8991" i="1"/>
  <c r="K8955" i="1"/>
  <c r="K8983" i="1"/>
  <c r="K921" i="1"/>
  <c r="K900" i="1"/>
  <c r="K905" i="1"/>
  <c r="K5883" i="1"/>
  <c r="K5900" i="1"/>
  <c r="K5905" i="1"/>
  <c r="K8987" i="1"/>
  <c r="K8947" i="1"/>
  <c r="K8976" i="1"/>
  <c r="K8940" i="1"/>
  <c r="K8968" i="1"/>
  <c r="K10182" i="1"/>
  <c r="K10146" i="1"/>
  <c r="K10183" i="1"/>
  <c r="K10147" i="1"/>
  <c r="K10171" i="1"/>
  <c r="K10177" i="1"/>
  <c r="K1541" i="1"/>
  <c r="K1545" i="1"/>
  <c r="K1558" i="1"/>
  <c r="K4079" i="1"/>
  <c r="K1553" i="1"/>
  <c r="K1557" i="1"/>
  <c r="K1526" i="1"/>
  <c r="K4091" i="1"/>
  <c r="K4117" i="1"/>
  <c r="K10208" i="1"/>
  <c r="K1530" i="1"/>
  <c r="K1535" i="1"/>
  <c r="K1534" i="1"/>
  <c r="K10172" i="1"/>
  <c r="K1539" i="1"/>
  <c r="K1544" i="1"/>
  <c r="K4077" i="1"/>
  <c r="K4080" i="1"/>
  <c r="K4084" i="1"/>
  <c r="K4122" i="1"/>
  <c r="K4124" i="1"/>
  <c r="K6770" i="1"/>
  <c r="K6763" i="1"/>
  <c r="K6756" i="1"/>
  <c r="K10186" i="1"/>
  <c r="K10154" i="1"/>
  <c r="K10180" i="1"/>
  <c r="K1551" i="1"/>
  <c r="K1556" i="1"/>
  <c r="K4089" i="1"/>
  <c r="K4092" i="1"/>
  <c r="K4096" i="1"/>
  <c r="K4075" i="1"/>
  <c r="K4125" i="1"/>
  <c r="K6744" i="1"/>
  <c r="K6752" i="1"/>
  <c r="K6742" i="1"/>
  <c r="K10198" i="1"/>
  <c r="K10166" i="1"/>
  <c r="K10192" i="1"/>
  <c r="K1528" i="1"/>
  <c r="K1533" i="1"/>
  <c r="K4101" i="1"/>
  <c r="K4104" i="1"/>
  <c r="K4108" i="1"/>
  <c r="K4087" i="1"/>
  <c r="K4076" i="1"/>
  <c r="K6759" i="1"/>
  <c r="K6764" i="1"/>
  <c r="K6757" i="1"/>
  <c r="K10151" i="1"/>
  <c r="K10178" i="1"/>
  <c r="K10204" i="1"/>
  <c r="K1540" i="1"/>
  <c r="K1547" i="1"/>
  <c r="K4113" i="1"/>
  <c r="K4116" i="1"/>
  <c r="K4120" i="1"/>
  <c r="K4099" i="1"/>
  <c r="K4083" i="1"/>
  <c r="K6771" i="1"/>
  <c r="K6753" i="1"/>
  <c r="K6769" i="1"/>
  <c r="K10163" i="1"/>
  <c r="K10190" i="1"/>
  <c r="K10145" i="1"/>
  <c r="K10207" i="1"/>
  <c r="K1552" i="1"/>
  <c r="K1525" i="1"/>
  <c r="K4078" i="1"/>
  <c r="K4128" i="1"/>
  <c r="K4085" i="1"/>
  <c r="K4111" i="1"/>
  <c r="K5439" i="1"/>
  <c r="K6748" i="1"/>
  <c r="K6765" i="1"/>
  <c r="K10149" i="1"/>
  <c r="K10175" i="1"/>
  <c r="K10202" i="1"/>
  <c r="K10157" i="1"/>
  <c r="K1529" i="1"/>
  <c r="K1537" i="1"/>
  <c r="K4090" i="1"/>
  <c r="K4081" i="1"/>
  <c r="K4097" i="1"/>
  <c r="K4123" i="1"/>
  <c r="K6745" i="1"/>
  <c r="K6760" i="1"/>
  <c r="K6737" i="1"/>
  <c r="K10161" i="1"/>
  <c r="K10187" i="1"/>
  <c r="K10155" i="1"/>
  <c r="K10169" i="1"/>
  <c r="K1542" i="1"/>
  <c r="K1549" i="1"/>
  <c r="K4102" i="1"/>
  <c r="K4093" i="1"/>
  <c r="K4109" i="1"/>
  <c r="K4088" i="1"/>
  <c r="K6746" i="1"/>
  <c r="K6772" i="1"/>
  <c r="K6754" i="1"/>
  <c r="K10173" i="1"/>
  <c r="K10199" i="1"/>
  <c r="K10167" i="1"/>
  <c r="K10181" i="1"/>
  <c r="K1554" i="1"/>
  <c r="K1536" i="1"/>
  <c r="K4114" i="1"/>
  <c r="K4105" i="1"/>
  <c r="K4121" i="1"/>
  <c r="K4095" i="1"/>
  <c r="K6747" i="1"/>
  <c r="K6749" i="1"/>
  <c r="K6766" i="1"/>
  <c r="K10185" i="1"/>
  <c r="K10152" i="1"/>
  <c r="K10179" i="1"/>
  <c r="K10193" i="1"/>
  <c r="K1531" i="1"/>
  <c r="K1538" i="1"/>
  <c r="K4126" i="1"/>
  <c r="K4082" i="1"/>
  <c r="K4074" i="1"/>
  <c r="K4100" i="1"/>
  <c r="K6739" i="1"/>
  <c r="K6761" i="1"/>
  <c r="K6738" i="1"/>
  <c r="K10197" i="1"/>
  <c r="K10164" i="1"/>
  <c r="K10191" i="1"/>
  <c r="K10205" i="1"/>
  <c r="K10206" i="1"/>
  <c r="K1543" i="1"/>
  <c r="K1546" i="1"/>
  <c r="K4103" i="1"/>
  <c r="K4094" i="1"/>
  <c r="K4086" i="1"/>
  <c r="K4107" i="1"/>
  <c r="K6740" i="1"/>
  <c r="K6750" i="1"/>
  <c r="K6755" i="1"/>
  <c r="K10150" i="1"/>
  <c r="K10176" i="1"/>
  <c r="K10203" i="1"/>
  <c r="K10170" i="1"/>
  <c r="K1555" i="1"/>
  <c r="K1548" i="1"/>
  <c r="K4115" i="1"/>
  <c r="K4106" i="1"/>
  <c r="K4098" i="1"/>
  <c r="K4112" i="1"/>
  <c r="K6743" i="1"/>
  <c r="K6762" i="1"/>
  <c r="K6767" i="1"/>
  <c r="K10162" i="1"/>
  <c r="K10188" i="1"/>
  <c r="K10156" i="1"/>
  <c r="K1527" i="1"/>
  <c r="K1532" i="1"/>
  <c r="K1550" i="1"/>
  <c r="K4127" i="1"/>
  <c r="K4118" i="1"/>
  <c r="K4110" i="1"/>
  <c r="K4119" i="1"/>
  <c r="K6758" i="1"/>
  <c r="K6751" i="1"/>
  <c r="K6741" i="1"/>
  <c r="K10174" i="1"/>
  <c r="K10200" i="1"/>
  <c r="K10168" i="1"/>
  <c r="K10201" i="1"/>
  <c r="K10165" i="1"/>
  <c r="K10196" i="1"/>
  <c r="K10160" i="1"/>
  <c r="K10195" i="1"/>
  <c r="K10159" i="1"/>
  <c r="K10153" i="1"/>
  <c r="K10194" i="1"/>
  <c r="K10158" i="1"/>
  <c r="K10189" i="1"/>
  <c r="K10651" i="1"/>
  <c r="K10602" i="1"/>
  <c r="K10639" i="1"/>
  <c r="K10649" i="1"/>
  <c r="K10627" i="1"/>
  <c r="K10637" i="1"/>
  <c r="K10600" i="1"/>
  <c r="K10615" i="1"/>
  <c r="K10625" i="1"/>
  <c r="K10603" i="1"/>
  <c r="K10601" i="1"/>
  <c r="K10650" i="1"/>
  <c r="K10638" i="1"/>
  <c r="K1760" i="1"/>
  <c r="K1754" i="1"/>
  <c r="K4375" i="1"/>
  <c r="K4403" i="1"/>
  <c r="K4394" i="1"/>
  <c r="K4397" i="1"/>
  <c r="K4360" i="1"/>
  <c r="K7025" i="1"/>
  <c r="K7029" i="1"/>
  <c r="K7009" i="1"/>
  <c r="K1772" i="1"/>
  <c r="K1755" i="1"/>
  <c r="K4388" i="1"/>
  <c r="K4352" i="1"/>
  <c r="K4355" i="1"/>
  <c r="K4359" i="1"/>
  <c r="K4361" i="1"/>
  <c r="K7037" i="1"/>
  <c r="K7041" i="1"/>
  <c r="K7021" i="1"/>
  <c r="K10599" i="1"/>
  <c r="K1761" i="1"/>
  <c r="K1763" i="1"/>
  <c r="K4401" i="1"/>
  <c r="K4365" i="1"/>
  <c r="K10626" i="1"/>
  <c r="K1765" i="1"/>
  <c r="K1756" i="1"/>
  <c r="K4363" i="1"/>
  <c r="K4391" i="1"/>
  <c r="K4395" i="1"/>
  <c r="K4398" i="1"/>
  <c r="K7034" i="1"/>
  <c r="K7015" i="1"/>
  <c r="K7030" i="1"/>
  <c r="K10614" i="1"/>
  <c r="K1777" i="1"/>
  <c r="K1762" i="1"/>
  <c r="K4376" i="1"/>
  <c r="K4353" i="1"/>
  <c r="K4356" i="1"/>
  <c r="K4373" i="1"/>
  <c r="K7011" i="1"/>
  <c r="K7027" i="1"/>
  <c r="K7042" i="1"/>
  <c r="K1757" i="1"/>
  <c r="K1766" i="1"/>
  <c r="K4357" i="1"/>
  <c r="K4389" i="1"/>
  <c r="K4366" i="1"/>
  <c r="K4370" i="1"/>
  <c r="K4374" i="1"/>
  <c r="K7023" i="1"/>
  <c r="K7039" i="1"/>
  <c r="K7007" i="1"/>
  <c r="K10648" i="1"/>
  <c r="K1769" i="1"/>
  <c r="K1767" i="1"/>
  <c r="K4369" i="1"/>
  <c r="K4402" i="1"/>
  <c r="K4379" i="1"/>
  <c r="K4383" i="1"/>
  <c r="K4386" i="1"/>
  <c r="K7035" i="1"/>
  <c r="K7016" i="1"/>
  <c r="K7019" i="1"/>
  <c r="K10636" i="1"/>
  <c r="K1758" i="1"/>
  <c r="K1768" i="1"/>
  <c r="K4381" i="1"/>
  <c r="K4351" i="1"/>
  <c r="K4392" i="1"/>
  <c r="K4396" i="1"/>
  <c r="K4387" i="1"/>
  <c r="K7012" i="1"/>
  <c r="K7028" i="1"/>
  <c r="K7031" i="1"/>
  <c r="K10613" i="1"/>
  <c r="K10624" i="1"/>
  <c r="K1770" i="1"/>
  <c r="K1774" i="1"/>
  <c r="K4393" i="1"/>
  <c r="K4364" i="1"/>
  <c r="K4354" i="1"/>
  <c r="K4358" i="1"/>
  <c r="K4399" i="1"/>
  <c r="K7024" i="1"/>
  <c r="K7040" i="1"/>
  <c r="K7008" i="1"/>
  <c r="K10647" i="1"/>
  <c r="K10612" i="1"/>
  <c r="K1759" i="1"/>
  <c r="K1775" i="1"/>
  <c r="K4349" i="1"/>
  <c r="K4377" i="1"/>
  <c r="K4367" i="1"/>
  <c r="K4371" i="1"/>
  <c r="K4400" i="1"/>
  <c r="K7036" i="1"/>
  <c r="K7005" i="1"/>
  <c r="K7020" i="1"/>
  <c r="K1771" i="1"/>
  <c r="K4372" i="1"/>
  <c r="K7033" i="1"/>
  <c r="K10623" i="1"/>
  <c r="K1773" i="1"/>
  <c r="K4385" i="1"/>
  <c r="K10611" i="1"/>
  <c r="K1776" i="1"/>
  <c r="K5339" i="1"/>
  <c r="K1764" i="1"/>
  <c r="K7010" i="1"/>
  <c r="K4362" i="1"/>
  <c r="K7022" i="1"/>
  <c r="K4350" i="1"/>
  <c r="K7013" i="1"/>
  <c r="K4390" i="1"/>
  <c r="K7014" i="1"/>
  <c r="K10634" i="1"/>
  <c r="K4378" i="1"/>
  <c r="K7026" i="1"/>
  <c r="K10622" i="1"/>
  <c r="K4380" i="1"/>
  <c r="K7017" i="1"/>
  <c r="K10610" i="1"/>
  <c r="K4368" i="1"/>
  <c r="K7006" i="1"/>
  <c r="K10598" i="1"/>
  <c r="K4382" i="1"/>
  <c r="K7018" i="1"/>
  <c r="K4384" i="1"/>
  <c r="K7032" i="1"/>
  <c r="K10635" i="1"/>
  <c r="K10645" i="1"/>
  <c r="K10633" i="1"/>
  <c r="K10621" i="1"/>
  <c r="K10644" i="1"/>
  <c r="K10609" i="1"/>
  <c r="K10632" i="1"/>
  <c r="K10646" i="1"/>
  <c r="K10597" i="1"/>
  <c r="K10620" i="1"/>
  <c r="K10608" i="1"/>
  <c r="K10596" i="1"/>
  <c r="K10656" i="1"/>
  <c r="K10655" i="1"/>
  <c r="K10643" i="1"/>
  <c r="K10631" i="1"/>
  <c r="K10619" i="1"/>
  <c r="K10607" i="1"/>
  <c r="K10595" i="1"/>
  <c r="K10605" i="1"/>
  <c r="K10593" i="1"/>
  <c r="K10654" i="1"/>
  <c r="K10642" i="1"/>
  <c r="K10630" i="1"/>
  <c r="K10618" i="1"/>
  <c r="K10606" i="1"/>
  <c r="K10594" i="1"/>
  <c r="K10653" i="1"/>
  <c r="K10641" i="1"/>
  <c r="K10629" i="1"/>
  <c r="K10617" i="1"/>
  <c r="K470" i="1"/>
  <c r="K476" i="1"/>
  <c r="K469" i="1"/>
  <c r="K2564" i="1"/>
  <c r="K2555" i="1"/>
  <c r="K2546" i="1"/>
  <c r="K2586" i="1"/>
  <c r="K2536" i="1"/>
  <c r="K5238" i="1"/>
  <c r="K5252" i="1"/>
  <c r="K5254" i="1"/>
  <c r="K5268" i="1"/>
  <c r="K5235" i="1"/>
  <c r="K8130" i="1"/>
  <c r="K8156" i="1"/>
  <c r="K8158" i="1"/>
  <c r="K8160" i="1"/>
  <c r="K8115" i="1"/>
  <c r="K8141" i="1"/>
  <c r="K482" i="1"/>
  <c r="K488" i="1"/>
  <c r="K473" i="1"/>
  <c r="K2576" i="1"/>
  <c r="K2567" i="1"/>
  <c r="K2558" i="1"/>
  <c r="K2539" i="1"/>
  <c r="K2537" i="1"/>
  <c r="K5250" i="1"/>
  <c r="K5264" i="1"/>
  <c r="K5266" i="1"/>
  <c r="K5221" i="1"/>
  <c r="K5247" i="1"/>
  <c r="K8142" i="1"/>
  <c r="K8097" i="1"/>
  <c r="K8099" i="1"/>
  <c r="K8101" i="1"/>
  <c r="K8127" i="1"/>
  <c r="K8153" i="1"/>
  <c r="K459" i="1"/>
  <c r="K465" i="1"/>
  <c r="K475" i="1"/>
  <c r="K2588" i="1"/>
  <c r="K2579" i="1"/>
  <c r="K2570" i="1"/>
  <c r="K2551" i="1"/>
  <c r="K2549" i="1"/>
  <c r="K5262" i="1"/>
  <c r="K5276" i="1"/>
  <c r="K5278" i="1"/>
  <c r="K5233" i="1"/>
  <c r="K5259" i="1"/>
  <c r="K8154" i="1"/>
  <c r="K8109" i="1"/>
  <c r="K8111" i="1"/>
  <c r="K8113" i="1"/>
  <c r="K8139" i="1"/>
  <c r="K471" i="1"/>
  <c r="K477" i="1"/>
  <c r="K479" i="1"/>
  <c r="K2541" i="1"/>
  <c r="K2544" i="1"/>
  <c r="K2582" i="1"/>
  <c r="K2563" i="1"/>
  <c r="K2560" i="1"/>
  <c r="K5215" i="1"/>
  <c r="K5217" i="1"/>
  <c r="K5219" i="1"/>
  <c r="K5245" i="1"/>
  <c r="K5271" i="1"/>
  <c r="K8107" i="1"/>
  <c r="K8121" i="1"/>
  <c r="K8123" i="1"/>
  <c r="K8125" i="1"/>
  <c r="K8151" i="1"/>
  <c r="K483" i="1"/>
  <c r="K489" i="1"/>
  <c r="K480" i="1"/>
  <c r="K2553" i="1"/>
  <c r="K2556" i="1"/>
  <c r="K2535" i="1"/>
  <c r="K2575" i="1"/>
  <c r="K2548" i="1"/>
  <c r="K5227" i="1"/>
  <c r="K5229" i="1"/>
  <c r="K5231" i="1"/>
  <c r="K5257" i="1"/>
  <c r="K5224" i="1"/>
  <c r="K8119" i="1"/>
  <c r="K8133" i="1"/>
  <c r="K8135" i="1"/>
  <c r="K8137" i="1"/>
  <c r="K8104" i="1"/>
  <c r="K460" i="1"/>
  <c r="K466" i="1"/>
  <c r="K487" i="1"/>
  <c r="K2565" i="1"/>
  <c r="K2568" i="1"/>
  <c r="K2547" i="1"/>
  <c r="K2587" i="1"/>
  <c r="K5225" i="1"/>
  <c r="K5239" i="1"/>
  <c r="K5241" i="1"/>
  <c r="K5243" i="1"/>
  <c r="K5269" i="1"/>
  <c r="K5236" i="1"/>
  <c r="K8131" i="1"/>
  <c r="K8145" i="1"/>
  <c r="K8147" i="1"/>
  <c r="K8149" i="1"/>
  <c r="K8116" i="1"/>
  <c r="K472" i="1"/>
  <c r="K478" i="1"/>
  <c r="K461" i="1"/>
  <c r="K2577" i="1"/>
  <c r="K2580" i="1"/>
  <c r="K2559" i="1"/>
  <c r="K2561" i="1"/>
  <c r="K5237" i="1"/>
  <c r="K5251" i="1"/>
  <c r="K5253" i="1"/>
  <c r="K5255" i="1"/>
  <c r="K5222" i="1"/>
  <c r="K5248" i="1"/>
  <c r="K8143" i="1"/>
  <c r="K8157" i="1"/>
  <c r="K8159" i="1"/>
  <c r="K8102" i="1"/>
  <c r="K8128" i="1"/>
  <c r="K484" i="1"/>
  <c r="K490" i="1"/>
  <c r="K481" i="1"/>
  <c r="K2542" i="1"/>
  <c r="K2545" i="1"/>
  <c r="K2571" i="1"/>
  <c r="K2572" i="1"/>
  <c r="K5249" i="1"/>
  <c r="K5263" i="1"/>
  <c r="K5265" i="1"/>
  <c r="K5267" i="1"/>
  <c r="K5234" i="1"/>
  <c r="K5260" i="1"/>
  <c r="K8155" i="1"/>
  <c r="K8098" i="1"/>
  <c r="K8100" i="1"/>
  <c r="K8114" i="1"/>
  <c r="K8140" i="1"/>
  <c r="K462" i="1"/>
  <c r="K463" i="1"/>
  <c r="K485" i="1"/>
  <c r="K2554" i="1"/>
  <c r="K2557" i="1"/>
  <c r="K2538" i="1"/>
  <c r="K2573" i="1"/>
  <c r="K5261" i="1"/>
  <c r="K5275" i="1"/>
  <c r="K5277" i="1"/>
  <c r="K5220" i="1"/>
  <c r="K5246" i="1"/>
  <c r="K5272" i="1"/>
  <c r="K8108" i="1"/>
  <c r="K8110" i="1"/>
  <c r="K8112" i="1"/>
  <c r="K8126" i="1"/>
  <c r="K8152" i="1"/>
  <c r="K474" i="1"/>
  <c r="K492" i="1"/>
  <c r="K491" i="1"/>
  <c r="K2566" i="1"/>
  <c r="K2569" i="1"/>
  <c r="K2550" i="1"/>
  <c r="K2583" i="1"/>
  <c r="K5273" i="1"/>
  <c r="K5216" i="1"/>
  <c r="K5218" i="1"/>
  <c r="K5232" i="1"/>
  <c r="K5258" i="1"/>
  <c r="K6895" i="1"/>
  <c r="K8120" i="1"/>
  <c r="K8122" i="1"/>
  <c r="K8124" i="1"/>
  <c r="K8138" i="1"/>
  <c r="K8105" i="1"/>
  <c r="K486" i="1"/>
  <c r="K467" i="1"/>
  <c r="K2540" i="1"/>
  <c r="K2578" i="1"/>
  <c r="K2581" i="1"/>
  <c r="K2562" i="1"/>
  <c r="K2584" i="1"/>
  <c r="K5214" i="1"/>
  <c r="K5228" i="1"/>
  <c r="K5230" i="1"/>
  <c r="K5244" i="1"/>
  <c r="K5270" i="1"/>
  <c r="K8106" i="1"/>
  <c r="K8132" i="1"/>
  <c r="K8134" i="1"/>
  <c r="K8136" i="1"/>
  <c r="K8150" i="1"/>
  <c r="K8117" i="1"/>
  <c r="K464" i="1"/>
  <c r="K468" i="1"/>
  <c r="K2552" i="1"/>
  <c r="K2543" i="1"/>
  <c r="K2534" i="1"/>
  <c r="K2574" i="1"/>
  <c r="K2585" i="1"/>
  <c r="K5226" i="1"/>
  <c r="K5240" i="1"/>
  <c r="K5242" i="1"/>
  <c r="K5256" i="1"/>
  <c r="K5223" i="1"/>
  <c r="K8118" i="1"/>
  <c r="K8144" i="1"/>
  <c r="K8146" i="1"/>
  <c r="K8148" i="1"/>
  <c r="K8103" i="1"/>
  <c r="K8129" i="1"/>
  <c r="K7640" i="1"/>
  <c r="K4871" i="1"/>
  <c r="K4911" i="1"/>
  <c r="K2189" i="1"/>
  <c r="K2186" i="1"/>
  <c r="K2160" i="1"/>
  <c r="K2192" i="1"/>
  <c r="K209" i="1"/>
  <c r="K196" i="1"/>
  <c r="K8028" i="1"/>
  <c r="K8025" i="1"/>
  <c r="K8009" i="1"/>
  <c r="K8031" i="1"/>
  <c r="K5137" i="1"/>
  <c r="K5143" i="1"/>
  <c r="K2440" i="1"/>
  <c r="K2439" i="1"/>
  <c r="K2424" i="1"/>
  <c r="K403" i="1"/>
  <c r="K394" i="1"/>
  <c r="K8388" i="1"/>
  <c r="K8366" i="1"/>
  <c r="K8362" i="1"/>
  <c r="K5464" i="1"/>
  <c r="K5473" i="1"/>
  <c r="K5492" i="1"/>
  <c r="K2787" i="1"/>
  <c r="K2780" i="1"/>
  <c r="K596" i="1"/>
  <c r="K8860" i="1"/>
  <c r="K5798" i="1"/>
  <c r="K3188" i="1"/>
  <c r="K9222" i="1"/>
  <c r="K6109" i="1"/>
  <c r="K9589" i="1"/>
  <c r="K9996" i="1"/>
  <c r="K579" i="1"/>
  <c r="K585" i="1"/>
  <c r="K593" i="1"/>
  <c r="K2714" i="1"/>
  <c r="K2704" i="1"/>
  <c r="K2707" i="1"/>
  <c r="K2712" i="1"/>
  <c r="K2750" i="1"/>
  <c r="K5419" i="1"/>
  <c r="K5433" i="1"/>
  <c r="K5400" i="1"/>
  <c r="K5426" i="1"/>
  <c r="K5428" i="1"/>
  <c r="K8311" i="1"/>
  <c r="K8325" i="1"/>
  <c r="K8327" i="1"/>
  <c r="K8306" i="1"/>
  <c r="K8332" i="1"/>
  <c r="K591" i="1"/>
  <c r="K562" i="1"/>
  <c r="K565" i="1"/>
  <c r="K2727" i="1"/>
  <c r="K2717" i="1"/>
  <c r="K2720" i="1"/>
  <c r="K2725" i="1"/>
  <c r="K5381" i="1"/>
  <c r="K5431" i="1"/>
  <c r="K5386" i="1"/>
  <c r="K5412" i="1"/>
  <c r="K5438" i="1"/>
  <c r="K5430" i="1"/>
  <c r="K8323" i="1"/>
  <c r="K8337" i="1"/>
  <c r="K8339" i="1"/>
  <c r="K8318" i="1"/>
  <c r="K8344" i="1"/>
  <c r="K568" i="1"/>
  <c r="K574" i="1"/>
  <c r="K575" i="1"/>
  <c r="K2740" i="1"/>
  <c r="K2730" i="1"/>
  <c r="K2733" i="1"/>
  <c r="K2738" i="1"/>
  <c r="K5393" i="1"/>
  <c r="K5443" i="1"/>
  <c r="K5398" i="1"/>
  <c r="K5424" i="1"/>
  <c r="K5379" i="1"/>
  <c r="K5440" i="1"/>
  <c r="K8335" i="1"/>
  <c r="K8349" i="1"/>
  <c r="K8351" i="1"/>
  <c r="K8330" i="1"/>
  <c r="K8352" i="1"/>
  <c r="K580" i="1"/>
  <c r="K586" i="1"/>
  <c r="K576" i="1"/>
  <c r="K2753" i="1"/>
  <c r="K2743" i="1"/>
  <c r="K2746" i="1"/>
  <c r="K2751" i="1"/>
  <c r="K5405" i="1"/>
  <c r="K5384" i="1"/>
  <c r="K5410" i="1"/>
  <c r="K5436" i="1"/>
  <c r="K5391" i="1"/>
  <c r="K5442" i="1"/>
  <c r="K8347" i="1"/>
  <c r="K8290" i="1"/>
  <c r="K8292" i="1"/>
  <c r="K8342" i="1"/>
  <c r="K8297" i="1"/>
  <c r="K592" i="1"/>
  <c r="K577" i="1"/>
  <c r="K569" i="1"/>
  <c r="K2702" i="1"/>
  <c r="K2705" i="1"/>
  <c r="K2708" i="1"/>
  <c r="K2700" i="1"/>
  <c r="K5417" i="1"/>
  <c r="K5396" i="1"/>
  <c r="K5422" i="1"/>
  <c r="K5389" i="1"/>
  <c r="K5403" i="1"/>
  <c r="K5380" i="1"/>
  <c r="K8300" i="1"/>
  <c r="K8302" i="1"/>
  <c r="K8304" i="1"/>
  <c r="K8295" i="1"/>
  <c r="K8309" i="1"/>
  <c r="K570" i="1"/>
  <c r="K581" i="1"/>
  <c r="K571" i="1"/>
  <c r="K2715" i="1"/>
  <c r="K2718" i="1"/>
  <c r="K2721" i="1"/>
  <c r="K2713" i="1"/>
  <c r="K5429" i="1"/>
  <c r="K5408" i="1"/>
  <c r="K5434" i="1"/>
  <c r="K5401" i="1"/>
  <c r="K5415" i="1"/>
  <c r="K5392" i="1"/>
  <c r="K8312" i="1"/>
  <c r="K8314" i="1"/>
  <c r="K8316" i="1"/>
  <c r="K8307" i="1"/>
  <c r="K8321" i="1"/>
  <c r="K582" i="1"/>
  <c r="K583" i="1"/>
  <c r="K2699" i="1"/>
  <c r="K2728" i="1"/>
  <c r="K2731" i="1"/>
  <c r="K2734" i="1"/>
  <c r="K2726" i="1"/>
  <c r="K5441" i="1"/>
  <c r="K5420" i="1"/>
  <c r="K5387" i="1"/>
  <c r="K5413" i="1"/>
  <c r="K5427" i="1"/>
  <c r="K8298" i="1"/>
  <c r="K8324" i="1"/>
  <c r="K8326" i="1"/>
  <c r="K8293" i="1"/>
  <c r="K8319" i="1"/>
  <c r="K8328" i="1"/>
  <c r="K594" i="1"/>
  <c r="K587" i="1"/>
  <c r="K2711" i="1"/>
  <c r="K2741" i="1"/>
  <c r="K2744" i="1"/>
  <c r="K2748" i="1"/>
  <c r="K2739" i="1"/>
  <c r="K5382" i="1"/>
  <c r="K5432" i="1"/>
  <c r="K5399" i="1"/>
  <c r="K5425" i="1"/>
  <c r="K5404" i="1"/>
  <c r="K8310" i="1"/>
  <c r="K8336" i="1"/>
  <c r="K561" i="1"/>
  <c r="K2729" i="1"/>
  <c r="K2724" i="1"/>
  <c r="K5435" i="1"/>
  <c r="K8346" i="1"/>
  <c r="K8317" i="1"/>
  <c r="K573" i="1"/>
  <c r="K2742" i="1"/>
  <c r="K2737" i="1"/>
  <c r="K5388" i="1"/>
  <c r="K8299" i="1"/>
  <c r="K8329" i="1"/>
  <c r="K588" i="1"/>
  <c r="K2706" i="1"/>
  <c r="K5394" i="1"/>
  <c r="K5437" i="1"/>
  <c r="K8348" i="1"/>
  <c r="K8341" i="1"/>
  <c r="K563" i="1"/>
  <c r="K2719" i="1"/>
  <c r="K5383" i="1"/>
  <c r="K5390" i="1"/>
  <c r="K8289" i="1"/>
  <c r="K8294" i="1"/>
  <c r="K589" i="1"/>
  <c r="K2732" i="1"/>
  <c r="K5395" i="1"/>
  <c r="K5402" i="1"/>
  <c r="K8301" i="1"/>
  <c r="K8331" i="1"/>
  <c r="K564" i="1"/>
  <c r="K2745" i="1"/>
  <c r="K5407" i="1"/>
  <c r="K5414" i="1"/>
  <c r="K8313" i="1"/>
  <c r="K8343" i="1"/>
  <c r="K566" i="1"/>
  <c r="K2723" i="1"/>
  <c r="K2709" i="1"/>
  <c r="K5385" i="1"/>
  <c r="K5406" i="1"/>
  <c r="K8338" i="1"/>
  <c r="K8296" i="1"/>
  <c r="K578" i="1"/>
  <c r="K2735" i="1"/>
  <c r="K2722" i="1"/>
  <c r="K5397" i="1"/>
  <c r="K5416" i="1"/>
  <c r="K8350" i="1"/>
  <c r="K8308" i="1"/>
  <c r="K590" i="1"/>
  <c r="K2747" i="1"/>
  <c r="K2736" i="1"/>
  <c r="K5409" i="1"/>
  <c r="K6697" i="1"/>
  <c r="K8291" i="1"/>
  <c r="K8320" i="1"/>
  <c r="K567" i="1"/>
  <c r="K2701" i="1"/>
  <c r="K2749" i="1"/>
  <c r="K5421" i="1"/>
  <c r="K5418" i="1"/>
  <c r="K8303" i="1"/>
  <c r="K8333" i="1"/>
  <c r="K572" i="1"/>
  <c r="K2703" i="1"/>
  <c r="K2752" i="1"/>
  <c r="K5411" i="1"/>
  <c r="K8322" i="1"/>
  <c r="K8315" i="1"/>
  <c r="K8340" i="1"/>
  <c r="K584" i="1"/>
  <c r="K2716" i="1"/>
  <c r="K2710" i="1"/>
  <c r="K5423" i="1"/>
  <c r="K8334" i="1"/>
  <c r="K8305" i="1"/>
  <c r="K8345" i="1"/>
  <c r="K544" i="1"/>
  <c r="K551" i="1"/>
  <c r="K540" i="1"/>
  <c r="K2688" i="1"/>
  <c r="K2691" i="1"/>
  <c r="K2694" i="1"/>
  <c r="K2685" i="1"/>
  <c r="K5369" i="1"/>
  <c r="K5373" i="1"/>
  <c r="K5354" i="1"/>
  <c r="K8262" i="1"/>
  <c r="K8264" i="1"/>
  <c r="K8278" i="1"/>
  <c r="K8245" i="1"/>
  <c r="K8271" i="1"/>
  <c r="K8225" i="1"/>
  <c r="K556" i="1"/>
  <c r="K552" i="1"/>
  <c r="K541" i="1"/>
  <c r="K2648" i="1"/>
  <c r="K2652" i="1"/>
  <c r="K2656" i="1"/>
  <c r="K2698" i="1"/>
  <c r="K5346" i="1"/>
  <c r="K5350" i="1"/>
  <c r="K5366" i="1"/>
  <c r="K8274" i="1"/>
  <c r="K8276" i="1"/>
  <c r="K8231" i="1"/>
  <c r="K8257" i="1"/>
  <c r="K8283" i="1"/>
  <c r="K530" i="1"/>
  <c r="K536" i="1"/>
  <c r="K557" i="1"/>
  <c r="K2675" i="1"/>
  <c r="K2649" i="1"/>
  <c r="K2654" i="1"/>
  <c r="K2657" i="1"/>
  <c r="K2686" i="1"/>
  <c r="K5359" i="1"/>
  <c r="K5375" i="1"/>
  <c r="K5344" i="1"/>
  <c r="K8251" i="1"/>
  <c r="K8253" i="1"/>
  <c r="K8279" i="1"/>
  <c r="K8246" i="1"/>
  <c r="K8272" i="1"/>
  <c r="K542" i="1"/>
  <c r="K548" i="1"/>
  <c r="K529" i="1"/>
  <c r="K2687" i="1"/>
  <c r="K2664" i="1"/>
  <c r="K2667" i="1"/>
  <c r="K2670" i="1"/>
  <c r="K2658" i="1"/>
  <c r="K5371" i="1"/>
  <c r="K5352" i="1"/>
  <c r="K5356" i="1"/>
  <c r="K8263" i="1"/>
  <c r="K8265" i="1"/>
  <c r="K8232" i="1"/>
  <c r="K8258" i="1"/>
  <c r="K8284" i="1"/>
  <c r="K554" i="1"/>
  <c r="K560" i="1"/>
  <c r="K559" i="1"/>
  <c r="K2653" i="1"/>
  <c r="K2677" i="1"/>
  <c r="K2680" i="1"/>
  <c r="K2683" i="1"/>
  <c r="K2671" i="1"/>
  <c r="K5348" i="1"/>
  <c r="K5364" i="1"/>
  <c r="K6139" i="1"/>
  <c r="K8275" i="1"/>
  <c r="K8277" i="1"/>
  <c r="K8244" i="1"/>
  <c r="K8270" i="1"/>
  <c r="K8237" i="1"/>
  <c r="K531" i="1"/>
  <c r="K537" i="1"/>
  <c r="K533" i="1"/>
  <c r="K2646" i="1"/>
  <c r="K2690" i="1"/>
  <c r="K2693" i="1"/>
  <c r="K2696" i="1"/>
  <c r="K2684" i="1"/>
  <c r="K5360" i="1"/>
  <c r="K5376" i="1"/>
  <c r="K5368" i="1"/>
  <c r="K8287" i="1"/>
  <c r="K8230" i="1"/>
  <c r="K8256" i="1"/>
  <c r="K8282" i="1"/>
  <c r="K8249" i="1"/>
  <c r="K543" i="1"/>
  <c r="K549" i="1"/>
  <c r="K535" i="1"/>
  <c r="K2647" i="1"/>
  <c r="K2650" i="1"/>
  <c r="K2655" i="1"/>
  <c r="K2644" i="1"/>
  <c r="K2697" i="1"/>
  <c r="K5372" i="1"/>
  <c r="K5353" i="1"/>
  <c r="K8226" i="1"/>
  <c r="K8228" i="1"/>
  <c r="K8242" i="1"/>
  <c r="K8268" i="1"/>
  <c r="K8235" i="1"/>
  <c r="K8261" i="1"/>
  <c r="K555" i="1"/>
  <c r="K538" i="1"/>
  <c r="K539" i="1"/>
  <c r="K2661" i="1"/>
  <c r="K2665" i="1"/>
  <c r="K2668" i="1"/>
  <c r="K2659" i="1"/>
  <c r="K2663" i="1"/>
  <c r="K2695" i="1"/>
  <c r="K5362" i="1"/>
  <c r="K8239" i="1"/>
  <c r="K8233" i="1"/>
  <c r="K532" i="1"/>
  <c r="K2674" i="1"/>
  <c r="K2672" i="1"/>
  <c r="K5351" i="1"/>
  <c r="K8240" i="1"/>
  <c r="K8269" i="1"/>
  <c r="K534" i="1"/>
  <c r="K2662" i="1"/>
  <c r="K2645" i="1"/>
  <c r="K5363" i="1"/>
  <c r="K8252" i="1"/>
  <c r="K8281" i="1"/>
  <c r="K546" i="1"/>
  <c r="K2676" i="1"/>
  <c r="K2660" i="1"/>
  <c r="K5365" i="1"/>
  <c r="K8288" i="1"/>
  <c r="K8234" i="1"/>
  <c r="K558" i="1"/>
  <c r="K2689" i="1"/>
  <c r="K2673" i="1"/>
  <c r="K5377" i="1"/>
  <c r="K8229" i="1"/>
  <c r="K8247" i="1"/>
  <c r="K550" i="1"/>
  <c r="K2678" i="1"/>
  <c r="K5345" i="1"/>
  <c r="K5378" i="1"/>
  <c r="K8241" i="1"/>
  <c r="K8259" i="1"/>
  <c r="K527" i="1"/>
  <c r="K2666" i="1"/>
  <c r="K5357" i="1"/>
  <c r="K5355" i="1"/>
  <c r="K8254" i="1"/>
  <c r="K8236" i="1"/>
  <c r="K553" i="1"/>
  <c r="K2679" i="1"/>
  <c r="K5358" i="1"/>
  <c r="K5367" i="1"/>
  <c r="K8266" i="1"/>
  <c r="K8248" i="1"/>
  <c r="K528" i="1"/>
  <c r="K2692" i="1"/>
  <c r="K5370" i="1"/>
  <c r="K8238" i="1"/>
  <c r="K8243" i="1"/>
  <c r="K8260" i="1"/>
  <c r="K545" i="1"/>
  <c r="K2681" i="1"/>
  <c r="K5347" i="1"/>
  <c r="K8250" i="1"/>
  <c r="K8255" i="1"/>
  <c r="K8273" i="1"/>
  <c r="K547" i="1"/>
  <c r="K2669" i="1"/>
  <c r="K5349" i="1"/>
  <c r="K8286" i="1"/>
  <c r="K8267" i="1"/>
  <c r="K8285" i="1"/>
  <c r="K2651" i="1"/>
  <c r="K2682" i="1"/>
  <c r="K5361" i="1"/>
  <c r="K8227" i="1"/>
  <c r="K8280" i="1"/>
  <c r="K7627" i="1"/>
  <c r="K2199" i="1"/>
  <c r="K8020" i="1"/>
  <c r="K400" i="1"/>
  <c r="K7607" i="1"/>
  <c r="K7614" i="1"/>
  <c r="K7586" i="1"/>
  <c r="K10746" i="1"/>
  <c r="K10732" i="1"/>
  <c r="K10783" i="1"/>
  <c r="K10734" i="1"/>
  <c r="K10771" i="1"/>
  <c r="K10722" i="1"/>
  <c r="K10781" i="1"/>
  <c r="K10759" i="1"/>
  <c r="K10769" i="1"/>
  <c r="K10747" i="1"/>
  <c r="K10735" i="1"/>
  <c r="K10745" i="1"/>
  <c r="K10723" i="1"/>
  <c r="K10733" i="1"/>
  <c r="K10721" i="1"/>
  <c r="K10782" i="1"/>
  <c r="K10756" i="1"/>
  <c r="K1820" i="1"/>
  <c r="K1804" i="1"/>
  <c r="K1811" i="1"/>
  <c r="K4500" i="1"/>
  <c r="K4479" i="1"/>
  <c r="K4482" i="1"/>
  <c r="K4496" i="1"/>
  <c r="K4487" i="1"/>
  <c r="K7120" i="1"/>
  <c r="K7135" i="1"/>
  <c r="K7139" i="1"/>
  <c r="K10770" i="1"/>
  <c r="K10744" i="1"/>
  <c r="K1832" i="1"/>
  <c r="K1817" i="1"/>
  <c r="K1824" i="1"/>
  <c r="K4512" i="1"/>
  <c r="K4491" i="1"/>
  <c r="K4494" i="1"/>
  <c r="K4508" i="1"/>
  <c r="K4498" i="1"/>
  <c r="K7132" i="1"/>
  <c r="K7112" i="1"/>
  <c r="K7116" i="1"/>
  <c r="K10743" i="1"/>
  <c r="K10758" i="1"/>
  <c r="K1813" i="1"/>
  <c r="K1830" i="1"/>
  <c r="K1812" i="1"/>
  <c r="K4465" i="1"/>
  <c r="K4503" i="1"/>
  <c r="K4506" i="1"/>
  <c r="K4461" i="1"/>
  <c r="K4499" i="1"/>
  <c r="K7144" i="1"/>
  <c r="K7124" i="1"/>
  <c r="K7128" i="1"/>
  <c r="K1826" i="1"/>
  <c r="K1805" i="1"/>
  <c r="K1825" i="1"/>
  <c r="K4477" i="1"/>
  <c r="K4468" i="1"/>
  <c r="K4459" i="1"/>
  <c r="K4473" i="1"/>
  <c r="K4510" i="1"/>
  <c r="K7109" i="1"/>
  <c r="K7136" i="1"/>
  <c r="K7140" i="1"/>
  <c r="K1814" i="1"/>
  <c r="K1818" i="1"/>
  <c r="K1823" i="1"/>
  <c r="K4489" i="1"/>
  <c r="K4480" i="1"/>
  <c r="K4471" i="1"/>
  <c r="K4485" i="1"/>
  <c r="K4511" i="1"/>
  <c r="K7121" i="1"/>
  <c r="K7113" i="1"/>
  <c r="K7129" i="1"/>
  <c r="K1827" i="1"/>
  <c r="K1831" i="1"/>
  <c r="K1835" i="1"/>
  <c r="K4501" i="1"/>
  <c r="K4492" i="1"/>
  <c r="K4483" i="1"/>
  <c r="K4497" i="1"/>
  <c r="K7118" i="1"/>
  <c r="K7133" i="1"/>
  <c r="K7125" i="1"/>
  <c r="K7117" i="1"/>
  <c r="K10757" i="1"/>
  <c r="K1802" i="1"/>
  <c r="K1806" i="1"/>
  <c r="K1810" i="1"/>
  <c r="K4513" i="1"/>
  <c r="K4504" i="1"/>
  <c r="K4495" i="1"/>
  <c r="K4509" i="1"/>
  <c r="K7130" i="1"/>
  <c r="K7145" i="1"/>
  <c r="K7137" i="1"/>
  <c r="K1815" i="1"/>
  <c r="K1819" i="1"/>
  <c r="K1822" i="1"/>
  <c r="K4466" i="1"/>
  <c r="K4469" i="1"/>
  <c r="K4507" i="1"/>
  <c r="K4462" i="1"/>
  <c r="K7142" i="1"/>
  <c r="K7110" i="1"/>
  <c r="K7114" i="1"/>
  <c r="K1828" i="1"/>
  <c r="K1833" i="1"/>
  <c r="K1809" i="1"/>
  <c r="K4478" i="1"/>
  <c r="K4481" i="1"/>
  <c r="K4699" i="1"/>
  <c r="K4463" i="1"/>
  <c r="K7119" i="1"/>
  <c r="K7122" i="1"/>
  <c r="K7126" i="1"/>
  <c r="K1803" i="1"/>
  <c r="K1807" i="1"/>
  <c r="K4464" i="1"/>
  <c r="K4490" i="1"/>
  <c r="K4493" i="1"/>
  <c r="K4460" i="1"/>
  <c r="K4474" i="1"/>
  <c r="K7131" i="1"/>
  <c r="K7134" i="1"/>
  <c r="K7138" i="1"/>
  <c r="K10780" i="1"/>
  <c r="K1816" i="1"/>
  <c r="K1821" i="1"/>
  <c r="K4476" i="1"/>
  <c r="K4502" i="1"/>
  <c r="K4505" i="1"/>
  <c r="K4472" i="1"/>
  <c r="K4475" i="1"/>
  <c r="K7143" i="1"/>
  <c r="K7111" i="1"/>
  <c r="K7115" i="1"/>
  <c r="K10768" i="1"/>
  <c r="K1808" i="1"/>
  <c r="K1829" i="1"/>
  <c r="K1834" i="1"/>
  <c r="K4488" i="1"/>
  <c r="K4467" i="1"/>
  <c r="K7127" i="1"/>
  <c r="K10779" i="1"/>
  <c r="K10767" i="1"/>
  <c r="K10755" i="1"/>
  <c r="K10731" i="1"/>
  <c r="K10778" i="1"/>
  <c r="K4470" i="1"/>
  <c r="K10766" i="1"/>
  <c r="K4484" i="1"/>
  <c r="K10754" i="1"/>
  <c r="K4486" i="1"/>
  <c r="K10742" i="1"/>
  <c r="K7108" i="1"/>
  <c r="K7123" i="1"/>
  <c r="K10730" i="1"/>
  <c r="K10777" i="1"/>
  <c r="K10765" i="1"/>
  <c r="K10753" i="1"/>
  <c r="K10776" i="1"/>
  <c r="K10741" i="1"/>
  <c r="K10764" i="1"/>
  <c r="K10729" i="1"/>
  <c r="K10752" i="1"/>
  <c r="K10740" i="1"/>
  <c r="K10775" i="1"/>
  <c r="K10763" i="1"/>
  <c r="K10751" i="1"/>
  <c r="K10739" i="1"/>
  <c r="K10727" i="1"/>
  <c r="K10728" i="1"/>
  <c r="K10749" i="1"/>
  <c r="K10737" i="1"/>
  <c r="K10725" i="1"/>
  <c r="K10774" i="1"/>
  <c r="K10762" i="1"/>
  <c r="K10750" i="1"/>
  <c r="K10738" i="1"/>
  <c r="K10726" i="1"/>
  <c r="K10773" i="1"/>
  <c r="K10761" i="1"/>
  <c r="K10345" i="1"/>
  <c r="K10377" i="1"/>
  <c r="K10359" i="1"/>
  <c r="K10394" i="1"/>
  <c r="K10338" i="1"/>
  <c r="K10378" i="1"/>
  <c r="K10362" i="1"/>
  <c r="K10376" i="1"/>
  <c r="K10339" i="1"/>
  <c r="K10390" i="1"/>
  <c r="K10389" i="1"/>
  <c r="K10358" i="1"/>
  <c r="K10375" i="1"/>
  <c r="K10357" i="1"/>
  <c r="K10393" i="1"/>
  <c r="K10388" i="1"/>
  <c r="K10374" i="1"/>
  <c r="K10353" i="1"/>
  <c r="K10370" i="1"/>
  <c r="K10399" i="1"/>
  <c r="K10351" i="1"/>
  <c r="K10385" i="1"/>
  <c r="K10387" i="1"/>
  <c r="K10371" i="1"/>
  <c r="K10352" i="1"/>
  <c r="K10400" i="1"/>
  <c r="K10350" i="1"/>
  <c r="K10384" i="1"/>
  <c r="K10366" i="1"/>
  <c r="K10347" i="1"/>
  <c r="K10386" i="1"/>
  <c r="K10369" i="1"/>
  <c r="K10398" i="1"/>
  <c r="K10383" i="1"/>
  <c r="K1635" i="1"/>
  <c r="K1628" i="1"/>
  <c r="K1634" i="1"/>
  <c r="K4139" i="1"/>
  <c r="K4142" i="1"/>
  <c r="K4158" i="1"/>
  <c r="K4149" i="1"/>
  <c r="K4168" i="1"/>
  <c r="K6832" i="1"/>
  <c r="K6836" i="1"/>
  <c r="K6852" i="1"/>
  <c r="K10344" i="1"/>
  <c r="K10365" i="1"/>
  <c r="K1647" i="1"/>
  <c r="K1640" i="1"/>
  <c r="K1642" i="1"/>
  <c r="K4151" i="1"/>
  <c r="K4154" i="1"/>
  <c r="K4170" i="1"/>
  <c r="K4176" i="1"/>
  <c r="K4137" i="1"/>
  <c r="K6844" i="1"/>
  <c r="K6848" i="1"/>
  <c r="K6864" i="1"/>
  <c r="K10356" i="1"/>
  <c r="K10346" i="1"/>
  <c r="K1636" i="1"/>
  <c r="K1652" i="1"/>
  <c r="K1644" i="1"/>
  <c r="K4163" i="1"/>
  <c r="K4166" i="1"/>
  <c r="K4182" i="1"/>
  <c r="K4155" i="1"/>
  <c r="K4172" i="1"/>
  <c r="K6856" i="1"/>
  <c r="K6837" i="1"/>
  <c r="K6841" i="1"/>
  <c r="K10368" i="1"/>
  <c r="K1648" i="1"/>
  <c r="K1629" i="1"/>
  <c r="K1646" i="1"/>
  <c r="K4140" i="1"/>
  <c r="K4178" i="1"/>
  <c r="K4135" i="1"/>
  <c r="K4179" i="1"/>
  <c r="K4143" i="1"/>
  <c r="K6833" i="1"/>
  <c r="K6849" i="1"/>
  <c r="K6853" i="1"/>
  <c r="K10380" i="1"/>
  <c r="K10396" i="1"/>
  <c r="K1660" i="1"/>
  <c r="K1641" i="1"/>
  <c r="K1654" i="1"/>
  <c r="K4152" i="1"/>
  <c r="K4132" i="1"/>
  <c r="K4147" i="1"/>
  <c r="K4156" i="1"/>
  <c r="K4173" i="1"/>
  <c r="K6845" i="1"/>
  <c r="K6861" i="1"/>
  <c r="K10341" i="1"/>
  <c r="K10392" i="1"/>
  <c r="K10382" i="1"/>
  <c r="K1637" i="1"/>
  <c r="K1653" i="1"/>
  <c r="K1655" i="1"/>
  <c r="K4164" i="1"/>
  <c r="K4133" i="1"/>
  <c r="K4159" i="1"/>
  <c r="K4180" i="1"/>
  <c r="K5974" i="1"/>
  <c r="K6857" i="1"/>
  <c r="K6838" i="1"/>
  <c r="K10342" i="1"/>
  <c r="K10348" i="1"/>
  <c r="K10364" i="1"/>
  <c r="K1649" i="1"/>
  <c r="K1631" i="1"/>
  <c r="K1656" i="1"/>
  <c r="K4129" i="1"/>
  <c r="K4145" i="1"/>
  <c r="K4171" i="1"/>
  <c r="K4160" i="1"/>
  <c r="K6830" i="1"/>
  <c r="K6834" i="1"/>
  <c r="K6850" i="1"/>
  <c r="K10354" i="1"/>
  <c r="K10360" i="1"/>
  <c r="K1638" i="1"/>
  <c r="K1643" i="1"/>
  <c r="K1658" i="1"/>
  <c r="K4141" i="1"/>
  <c r="K4157" i="1"/>
  <c r="K4183" i="1"/>
  <c r="K4161" i="1"/>
  <c r="K6842" i="1"/>
  <c r="K6846" i="1"/>
  <c r="K6862" i="1"/>
  <c r="K10343" i="1"/>
  <c r="K10372" i="1"/>
  <c r="K1650" i="1"/>
  <c r="K1633" i="1"/>
  <c r="K1630" i="1"/>
  <c r="K4153" i="1"/>
  <c r="K4169" i="1"/>
  <c r="K4144" i="1"/>
  <c r="K4162" i="1"/>
  <c r="K6854" i="1"/>
  <c r="K6858" i="1"/>
  <c r="K6839" i="1"/>
  <c r="K10355" i="1"/>
  <c r="K10337" i="1"/>
  <c r="K1627" i="1"/>
  <c r="K1645" i="1"/>
  <c r="K1659" i="1"/>
  <c r="K4165" i="1"/>
  <c r="K4181" i="1"/>
  <c r="K4174" i="1"/>
  <c r="K4131" i="1"/>
  <c r="K6831" i="1"/>
  <c r="K6835" i="1"/>
  <c r="K6851" i="1"/>
  <c r="K10367" i="1"/>
  <c r="K10349" i="1"/>
  <c r="K1639" i="1"/>
  <c r="K1657" i="1"/>
  <c r="K4138" i="1"/>
  <c r="K4177" i="1"/>
  <c r="K4134" i="1"/>
  <c r="K4148" i="1"/>
  <c r="K4167" i="1"/>
  <c r="K6843" i="1"/>
  <c r="K6847" i="1"/>
  <c r="K6863" i="1"/>
  <c r="K10379" i="1"/>
  <c r="K10361" i="1"/>
  <c r="K10397" i="1"/>
  <c r="K1651" i="1"/>
  <c r="K1632" i="1"/>
  <c r="K4150" i="1"/>
  <c r="K4130" i="1"/>
  <c r="K4146" i="1"/>
  <c r="K4175" i="1"/>
  <c r="K4136" i="1"/>
  <c r="K6855" i="1"/>
  <c r="K6859" i="1"/>
  <c r="K6840" i="1"/>
  <c r="K10391" i="1"/>
  <c r="K10373" i="1"/>
  <c r="K125" i="1"/>
  <c r="K119" i="1"/>
  <c r="K2000" i="1"/>
  <c r="K98" i="1"/>
  <c r="K102" i="1"/>
  <c r="K111" i="1"/>
  <c r="K123" i="1"/>
  <c r="K105" i="1"/>
  <c r="K97" i="1"/>
  <c r="K2022" i="1"/>
  <c r="K1986" i="1"/>
  <c r="K1990" i="1"/>
  <c r="K1995" i="1"/>
  <c r="K4704" i="1"/>
  <c r="K4718" i="1"/>
  <c r="K4720" i="1"/>
  <c r="K4734" i="1"/>
  <c r="K4760" i="1"/>
  <c r="K4714" i="1"/>
  <c r="K7407" i="1"/>
  <c r="K7409" i="1"/>
  <c r="K100" i="1"/>
  <c r="K117" i="1"/>
  <c r="K103" i="1"/>
  <c r="K2035" i="1"/>
  <c r="K1999" i="1"/>
  <c r="K2003" i="1"/>
  <c r="K2008" i="1"/>
  <c r="K4716" i="1"/>
  <c r="K4730" i="1"/>
  <c r="K4732" i="1"/>
  <c r="K4746" i="1"/>
  <c r="K4713" i="1"/>
  <c r="K4715" i="1"/>
  <c r="K7419" i="1"/>
  <c r="K7421" i="1"/>
  <c r="K7447" i="1"/>
  <c r="K7414" i="1"/>
  <c r="K7440" i="1"/>
  <c r="K112" i="1"/>
  <c r="K94" i="1"/>
  <c r="K108" i="1"/>
  <c r="K1984" i="1"/>
  <c r="K2013" i="1"/>
  <c r="K2016" i="1"/>
  <c r="K2021" i="1"/>
  <c r="K4728" i="1"/>
  <c r="K4742" i="1"/>
  <c r="K4744" i="1"/>
  <c r="K4758" i="1"/>
  <c r="K4725" i="1"/>
  <c r="K4726" i="1"/>
  <c r="K7431" i="1"/>
  <c r="K7433" i="1"/>
  <c r="K7400" i="1"/>
  <c r="K7426" i="1"/>
  <c r="K118" i="1"/>
  <c r="K2036" i="1"/>
  <c r="K2026" i="1"/>
  <c r="K2017" i="1"/>
  <c r="K2019" i="1"/>
  <c r="K4754" i="1"/>
  <c r="K4721" i="1"/>
  <c r="K4724" i="1"/>
  <c r="K4727" i="1"/>
  <c r="K7408" i="1"/>
  <c r="K7399" i="1"/>
  <c r="K7449" i="1"/>
  <c r="K7452" i="1"/>
  <c r="K110" i="1"/>
  <c r="K115" i="1"/>
  <c r="K1996" i="1"/>
  <c r="K1987" i="1"/>
  <c r="K2030" i="1"/>
  <c r="K2031" i="1"/>
  <c r="K4766" i="1"/>
  <c r="K4733" i="1"/>
  <c r="K4736" i="1"/>
  <c r="K6632" i="1"/>
  <c r="K7420" i="1"/>
  <c r="K7411" i="1"/>
  <c r="K7402" i="1"/>
  <c r="K7417" i="1"/>
  <c r="K122" i="1"/>
  <c r="K120" i="1"/>
  <c r="K2009" i="1"/>
  <c r="K2001" i="1"/>
  <c r="K1994" i="1"/>
  <c r="K2032" i="1"/>
  <c r="K4707" i="1"/>
  <c r="K4745" i="1"/>
  <c r="K4748" i="1"/>
  <c r="K7394" i="1"/>
  <c r="K7432" i="1"/>
  <c r="K7423" i="1"/>
  <c r="K7438" i="1"/>
  <c r="K7429" i="1"/>
  <c r="K99" i="1"/>
  <c r="K121" i="1"/>
  <c r="K1997" i="1"/>
  <c r="K2014" i="1"/>
  <c r="K2007" i="1"/>
  <c r="K4740" i="1"/>
  <c r="K4719" i="1"/>
  <c r="K4757" i="1"/>
  <c r="K4737" i="1"/>
  <c r="K7406" i="1"/>
  <c r="K7444" i="1"/>
  <c r="K7435" i="1"/>
  <c r="K7450" i="1"/>
  <c r="K7441" i="1"/>
  <c r="K124" i="1"/>
  <c r="K127" i="1"/>
  <c r="K2010" i="1"/>
  <c r="K2027" i="1"/>
  <c r="K2020" i="1"/>
  <c r="K4752" i="1"/>
  <c r="K4731" i="1"/>
  <c r="K4710" i="1"/>
  <c r="K4749" i="1"/>
  <c r="K7418" i="1"/>
  <c r="K7456" i="1"/>
  <c r="K7412" i="1"/>
  <c r="K7403" i="1"/>
  <c r="K7453" i="1"/>
  <c r="K101" i="1"/>
  <c r="K95" i="1"/>
  <c r="K2023" i="1"/>
  <c r="K1989" i="1"/>
  <c r="K2033" i="1"/>
  <c r="K4705" i="1"/>
  <c r="K4743" i="1"/>
  <c r="K4722" i="1"/>
  <c r="K4761" i="1"/>
  <c r="K7430" i="1"/>
  <c r="K7397" i="1"/>
  <c r="K7424" i="1"/>
  <c r="K7415" i="1"/>
  <c r="K7393" i="1"/>
  <c r="K113" i="1"/>
  <c r="K96" i="1"/>
  <c r="K2037" i="1"/>
  <c r="K2002" i="1"/>
  <c r="K2034" i="1"/>
  <c r="K4717" i="1"/>
  <c r="K4755" i="1"/>
  <c r="K4711" i="1"/>
  <c r="K4738" i="1"/>
  <c r="K7442" i="1"/>
  <c r="K7445" i="1"/>
  <c r="K7436" i="1"/>
  <c r="K7427" i="1"/>
  <c r="K7405" i="1"/>
  <c r="K114" i="1"/>
  <c r="K107" i="1"/>
  <c r="K1985" i="1"/>
  <c r="K2015" i="1"/>
  <c r="K1992" i="1"/>
  <c r="K4729" i="1"/>
  <c r="K4767" i="1"/>
  <c r="K4723" i="1"/>
  <c r="K4739" i="1"/>
  <c r="K7454" i="1"/>
  <c r="K7398" i="1"/>
  <c r="K7448" i="1"/>
  <c r="K7439" i="1"/>
  <c r="K126" i="1"/>
  <c r="K109" i="1"/>
  <c r="K1998" i="1"/>
  <c r="K2028" i="1"/>
  <c r="K1993" i="1"/>
  <c r="K4741" i="1"/>
  <c r="K4708" i="1"/>
  <c r="K4735" i="1"/>
  <c r="K4750" i="1"/>
  <c r="K7395" i="1"/>
  <c r="K7410" i="1"/>
  <c r="K7401" i="1"/>
  <c r="K7451" i="1"/>
  <c r="K104" i="1"/>
  <c r="K1988" i="1"/>
  <c r="K2011" i="1"/>
  <c r="K2029" i="1"/>
  <c r="K2005" i="1"/>
  <c r="K4753" i="1"/>
  <c r="K4756" i="1"/>
  <c r="K4747" i="1"/>
  <c r="K4751" i="1"/>
  <c r="K7443" i="1"/>
  <c r="K7422" i="1"/>
  <c r="K7413" i="1"/>
  <c r="K7404" i="1"/>
  <c r="K116" i="1"/>
  <c r="K2012" i="1"/>
  <c r="K2025" i="1"/>
  <c r="K1991" i="1"/>
  <c r="K2006" i="1"/>
  <c r="K4765" i="1"/>
  <c r="K4768" i="1"/>
  <c r="K4759" i="1"/>
  <c r="K4762" i="1"/>
  <c r="K7455" i="1"/>
  <c r="K7434" i="1"/>
  <c r="K7425" i="1"/>
  <c r="K7416" i="1"/>
  <c r="K106" i="1"/>
  <c r="K2024" i="1"/>
  <c r="K2038" i="1"/>
  <c r="K2004" i="1"/>
  <c r="K2018" i="1"/>
  <c r="K4706" i="1"/>
  <c r="K4709" i="1"/>
  <c r="K4712" i="1"/>
  <c r="K4763" i="1"/>
  <c r="K7396" i="1"/>
  <c r="K7446" i="1"/>
  <c r="K7437" i="1"/>
  <c r="K7428" i="1"/>
  <c r="K9848" i="1"/>
  <c r="K9860" i="1"/>
  <c r="K9836" i="1"/>
  <c r="K1386" i="1"/>
  <c r="K1367" i="1"/>
  <c r="K1359" i="1"/>
  <c r="K3826" i="1"/>
  <c r="K3852" i="1"/>
  <c r="K3831" i="1"/>
  <c r="K3834" i="1"/>
  <c r="K6479" i="1"/>
  <c r="K6493" i="1"/>
  <c r="K6519" i="1"/>
  <c r="K6534" i="1"/>
  <c r="K6536" i="1"/>
  <c r="K6485" i="1"/>
  <c r="K9838" i="1"/>
  <c r="K9840" i="1"/>
  <c r="K9854" i="1"/>
  <c r="K9880" i="1"/>
  <c r="K9847" i="1"/>
  <c r="K1361" i="1"/>
  <c r="K1380" i="1"/>
  <c r="K1370" i="1"/>
  <c r="K3838" i="1"/>
  <c r="K3805" i="1"/>
  <c r="K3843" i="1"/>
  <c r="K3846" i="1"/>
  <c r="K6491" i="1"/>
  <c r="K6505" i="1"/>
  <c r="K6531" i="1"/>
  <c r="K6475" i="1"/>
  <c r="K6477" i="1"/>
  <c r="K6497" i="1"/>
  <c r="K9850" i="1"/>
  <c r="K9852" i="1"/>
  <c r="K9866" i="1"/>
  <c r="K9833" i="1"/>
  <c r="K9859" i="1"/>
  <c r="K1374" i="1"/>
  <c r="K1355" i="1"/>
  <c r="K1372" i="1"/>
  <c r="K3850" i="1"/>
  <c r="K3817" i="1"/>
  <c r="K3808" i="1"/>
  <c r="K3799" i="1"/>
  <c r="K6503" i="1"/>
  <c r="K6517" i="1"/>
  <c r="K6472" i="1"/>
  <c r="K6487" i="1"/>
  <c r="K6489" i="1"/>
  <c r="K6509" i="1"/>
  <c r="K9862" i="1"/>
  <c r="K9864" i="1"/>
  <c r="K9878" i="1"/>
  <c r="K9845" i="1"/>
  <c r="K9871" i="1"/>
  <c r="K1387" i="1"/>
  <c r="K1368" i="1"/>
  <c r="K1383" i="1"/>
  <c r="K3803" i="1"/>
  <c r="K3829" i="1"/>
  <c r="K3820" i="1"/>
  <c r="K3811" i="1"/>
  <c r="K6515" i="1"/>
  <c r="K6529" i="1"/>
  <c r="K6484" i="1"/>
  <c r="K6499" i="1"/>
  <c r="K6501" i="1"/>
  <c r="K6521" i="1"/>
  <c r="K9874" i="1"/>
  <c r="K9876" i="1"/>
  <c r="K9831" i="1"/>
  <c r="K9857" i="1"/>
  <c r="K9883" i="1"/>
  <c r="K1362" i="1"/>
  <c r="K1381" i="1"/>
  <c r="K1385" i="1"/>
  <c r="K3815" i="1"/>
  <c r="K3841" i="1"/>
  <c r="K3832" i="1"/>
  <c r="K3823" i="1"/>
  <c r="K6527" i="1"/>
  <c r="K6482" i="1"/>
  <c r="K6496" i="1"/>
  <c r="K6511" i="1"/>
  <c r="K6513" i="1"/>
  <c r="K6533" i="1"/>
  <c r="K9886" i="1"/>
  <c r="K9888" i="1"/>
  <c r="K9843" i="1"/>
  <c r="K9869" i="1"/>
  <c r="K1375" i="1"/>
  <c r="K1356" i="1"/>
  <c r="K3801" i="1"/>
  <c r="K3827" i="1"/>
  <c r="K3853" i="1"/>
  <c r="K3844" i="1"/>
  <c r="K3835" i="1"/>
  <c r="K6480" i="1"/>
  <c r="K6494" i="1"/>
  <c r="K6508" i="1"/>
  <c r="K6523" i="1"/>
  <c r="K6525" i="1"/>
  <c r="K9825" i="1"/>
  <c r="K9827" i="1"/>
  <c r="K9829" i="1"/>
  <c r="K9855" i="1"/>
  <c r="K9881" i="1"/>
  <c r="K1363" i="1"/>
  <c r="K1369" i="1"/>
  <c r="K3813" i="1"/>
  <c r="K3839" i="1"/>
  <c r="K3806" i="1"/>
  <c r="K3809" i="1"/>
  <c r="K3847" i="1"/>
  <c r="K6492" i="1"/>
  <c r="K6506" i="1"/>
  <c r="K6520" i="1"/>
  <c r="K6535" i="1"/>
  <c r="K6478" i="1"/>
  <c r="K9837" i="1"/>
  <c r="K9839" i="1"/>
  <c r="K9841" i="1"/>
  <c r="K9867" i="1"/>
  <c r="K9834" i="1"/>
  <c r="K1364" i="1"/>
  <c r="K1377" i="1"/>
  <c r="K1382" i="1"/>
  <c r="K3825" i="1"/>
  <c r="K3851" i="1"/>
  <c r="K3818" i="1"/>
  <c r="K3821" i="1"/>
  <c r="K3800" i="1"/>
  <c r="K6504" i="1"/>
  <c r="K6518" i="1"/>
  <c r="K6474" i="1"/>
  <c r="K6476" i="1"/>
  <c r="K6490" i="1"/>
  <c r="K9849" i="1"/>
  <c r="K9851" i="1"/>
  <c r="K9853" i="1"/>
  <c r="K9879" i="1"/>
  <c r="K9846" i="1"/>
  <c r="K1376" i="1"/>
  <c r="K1365" i="1"/>
  <c r="K1358" i="1"/>
  <c r="K3837" i="1"/>
  <c r="K3804" i="1"/>
  <c r="K3830" i="1"/>
  <c r="K3833" i="1"/>
  <c r="K3812" i="1"/>
  <c r="K6516" i="1"/>
  <c r="K6530" i="1"/>
  <c r="K6486" i="1"/>
  <c r="K6488" i="1"/>
  <c r="K6502" i="1"/>
  <c r="K9861" i="1"/>
  <c r="K9863" i="1"/>
  <c r="K9865" i="1"/>
  <c r="K9832" i="1"/>
  <c r="K9858" i="1"/>
  <c r="K1388" i="1"/>
  <c r="K1378" i="1"/>
  <c r="K1371" i="1"/>
  <c r="K3849" i="1"/>
  <c r="K3816" i="1"/>
  <c r="K3842" i="1"/>
  <c r="K3845" i="1"/>
  <c r="K3824" i="1"/>
  <c r="K6528" i="1"/>
  <c r="K6483" i="1"/>
  <c r="K6498" i="1"/>
  <c r="K6500" i="1"/>
  <c r="K6514" i="1"/>
  <c r="K9873" i="1"/>
  <c r="K9875" i="1"/>
  <c r="K9877" i="1"/>
  <c r="K9844" i="1"/>
  <c r="K9870" i="1"/>
  <c r="K1360" i="1"/>
  <c r="K1366" i="1"/>
  <c r="K1384" i="1"/>
  <c r="K3802" i="1"/>
  <c r="K3828" i="1"/>
  <c r="K3807" i="1"/>
  <c r="K3810" i="1"/>
  <c r="K3836" i="1"/>
  <c r="K6732" i="1"/>
  <c r="K6495" i="1"/>
  <c r="K6510" i="1"/>
  <c r="K6512" i="1"/>
  <c r="K6526" i="1"/>
  <c r="K9885" i="1"/>
  <c r="K9887" i="1"/>
  <c r="K9830" i="1"/>
  <c r="K9856" i="1"/>
  <c r="K9882" i="1"/>
  <c r="K6481" i="1"/>
  <c r="K6507" i="1"/>
  <c r="K6522" i="1"/>
  <c r="K6524" i="1"/>
  <c r="K1373" i="1"/>
  <c r="K6473" i="1"/>
  <c r="K1379" i="1"/>
  <c r="K9826" i="1"/>
  <c r="K1357" i="1"/>
  <c r="K9828" i="1"/>
  <c r="K3814" i="1"/>
  <c r="K9842" i="1"/>
  <c r="K3840" i="1"/>
  <c r="K9868" i="1"/>
  <c r="K3819" i="1"/>
  <c r="K9835" i="1"/>
  <c r="K3822" i="1"/>
  <c r="K3848" i="1"/>
  <c r="K9884" i="1"/>
  <c r="K9967" i="1"/>
  <c r="K10395" i="1"/>
  <c r="K10553" i="1"/>
  <c r="K10700" i="1"/>
  <c r="K7645" i="1"/>
  <c r="K7619" i="1"/>
  <c r="K7628" i="1"/>
  <c r="K7602" i="1"/>
  <c r="K7588" i="1"/>
  <c r="K4905" i="1"/>
  <c r="K4901" i="1"/>
  <c r="K4897" i="1"/>
  <c r="K4878" i="1"/>
  <c r="K2177" i="1"/>
  <c r="K2202" i="1"/>
  <c r="K2174" i="1"/>
  <c r="K2195" i="1"/>
  <c r="K2180" i="1"/>
  <c r="K205" i="1"/>
  <c r="K195" i="1"/>
  <c r="K8015" i="1"/>
  <c r="K8012" i="1"/>
  <c r="K7969" i="1"/>
  <c r="K8019" i="1"/>
  <c r="K5125" i="1"/>
  <c r="K5142" i="1"/>
  <c r="K2429" i="1"/>
  <c r="K2427" i="1"/>
  <c r="K2447" i="1"/>
  <c r="K397" i="1"/>
  <c r="K417" i="1"/>
  <c r="K8381" i="1"/>
  <c r="K8354" i="1"/>
  <c r="K8408" i="1"/>
  <c r="K6404" i="1"/>
  <c r="K5461" i="1"/>
  <c r="K5480" i="1"/>
  <c r="K2774" i="1"/>
  <c r="K2754" i="1"/>
  <c r="K618" i="1"/>
  <c r="K8847" i="1"/>
  <c r="K5788" i="1"/>
  <c r="K3176" i="1"/>
  <c r="K9210" i="1"/>
  <c r="K6134" i="1"/>
  <c r="K9622" i="1"/>
  <c r="K9968" i="1"/>
  <c r="K9956" i="1"/>
  <c r="K10016" i="1"/>
  <c r="K9955" i="1"/>
  <c r="K10015" i="1"/>
  <c r="K10004" i="1"/>
  <c r="K10003" i="1"/>
  <c r="K9991" i="1"/>
  <c r="K9992" i="1"/>
  <c r="K9980" i="1"/>
  <c r="K1424" i="1"/>
  <c r="K1429" i="1"/>
  <c r="K1434" i="1"/>
  <c r="K3933" i="1"/>
  <c r="K3959" i="1"/>
  <c r="K3926" i="1"/>
  <c r="K3952" i="1"/>
  <c r="K3955" i="1"/>
  <c r="K6613" i="1"/>
  <c r="K6618" i="1"/>
  <c r="K6634" i="1"/>
  <c r="K9994" i="1"/>
  <c r="K9961" i="1"/>
  <c r="K9987" i="1"/>
  <c r="K10001" i="1"/>
  <c r="K1436" i="1"/>
  <c r="K1442" i="1"/>
  <c r="K1447" i="1"/>
  <c r="K3945" i="1"/>
  <c r="K3912" i="1"/>
  <c r="K3938" i="1"/>
  <c r="K3917" i="1"/>
  <c r="K3920" i="1"/>
  <c r="K6625" i="1"/>
  <c r="K6630" i="1"/>
  <c r="K6605" i="1"/>
  <c r="K10006" i="1"/>
  <c r="K9973" i="1"/>
  <c r="K9999" i="1"/>
  <c r="K10013" i="1"/>
  <c r="K1448" i="1"/>
  <c r="K1455" i="1"/>
  <c r="K1423" i="1"/>
  <c r="K3957" i="1"/>
  <c r="K3924" i="1"/>
  <c r="K3950" i="1"/>
  <c r="K3929" i="1"/>
  <c r="K3932" i="1"/>
  <c r="K6602" i="1"/>
  <c r="K6607" i="1"/>
  <c r="K6617" i="1"/>
  <c r="K9959" i="1"/>
  <c r="K9985" i="1"/>
  <c r="K10011" i="1"/>
  <c r="K9954" i="1"/>
  <c r="K1426" i="1"/>
  <c r="K1430" i="1"/>
  <c r="K1437" i="1"/>
  <c r="K3910" i="1"/>
  <c r="K3936" i="1"/>
  <c r="K3962" i="1"/>
  <c r="K3941" i="1"/>
  <c r="K3944" i="1"/>
  <c r="K6614" i="1"/>
  <c r="K6619" i="1"/>
  <c r="K6629" i="1"/>
  <c r="K9971" i="1"/>
  <c r="K9997" i="1"/>
  <c r="K9964" i="1"/>
  <c r="K9966" i="1"/>
  <c r="K1439" i="1"/>
  <c r="K1443" i="1"/>
  <c r="K1450" i="1"/>
  <c r="K3922" i="1"/>
  <c r="K3948" i="1"/>
  <c r="K3915" i="1"/>
  <c r="K3953" i="1"/>
  <c r="K3956" i="1"/>
  <c r="K6626" i="1"/>
  <c r="K6631" i="1"/>
  <c r="K9957" i="1"/>
  <c r="K9983" i="1"/>
  <c r="K10009" i="1"/>
  <c r="K9976" i="1"/>
  <c r="K9978" i="1"/>
  <c r="K1452" i="1"/>
  <c r="K1456" i="1"/>
  <c r="K1425" i="1"/>
  <c r="K3934" i="1"/>
  <c r="K3960" i="1"/>
  <c r="K3927" i="1"/>
  <c r="K3918" i="1"/>
  <c r="K5805" i="1"/>
  <c r="K6603" i="1"/>
  <c r="K6608" i="1"/>
  <c r="K9969" i="1"/>
  <c r="K9995" i="1"/>
  <c r="K9962" i="1"/>
  <c r="K9988" i="1"/>
  <c r="K9990" i="1"/>
  <c r="K1427" i="1"/>
  <c r="K1431" i="1"/>
  <c r="K1435" i="1"/>
  <c r="K3946" i="1"/>
  <c r="K3913" i="1"/>
  <c r="K3939" i="1"/>
  <c r="K3930" i="1"/>
  <c r="K6611" i="1"/>
  <c r="K6615" i="1"/>
  <c r="K6620" i="1"/>
  <c r="K9981" i="1"/>
  <c r="K10007" i="1"/>
  <c r="K9974" i="1"/>
  <c r="K10000" i="1"/>
  <c r="K10002" i="1"/>
  <c r="K1440" i="1"/>
  <c r="K1444" i="1"/>
  <c r="K1438" i="1"/>
  <c r="K3958" i="1"/>
  <c r="K3925" i="1"/>
  <c r="K3951" i="1"/>
  <c r="K3942" i="1"/>
  <c r="K6623" i="1"/>
  <c r="K6627" i="1"/>
  <c r="K6609" i="1"/>
  <c r="K9993" i="1"/>
  <c r="K9960" i="1"/>
  <c r="K9986" i="1"/>
  <c r="K10012" i="1"/>
  <c r="K10014" i="1"/>
  <c r="K1453" i="1"/>
  <c r="K1432" i="1"/>
  <c r="K1449" i="1"/>
  <c r="K3911" i="1"/>
  <c r="K3937" i="1"/>
  <c r="K3963" i="1"/>
  <c r="K3954" i="1"/>
  <c r="K6635" i="1"/>
  <c r="K6604" i="1"/>
  <c r="K6621" i="1"/>
  <c r="K10005" i="1"/>
  <c r="K9972" i="1"/>
  <c r="K9998" i="1"/>
  <c r="K9953" i="1"/>
  <c r="K1428" i="1"/>
  <c r="K1445" i="1"/>
  <c r="K1451" i="1"/>
  <c r="K3923" i="1"/>
  <c r="K3949" i="1"/>
  <c r="K3916" i="1"/>
  <c r="K3919" i="1"/>
  <c r="K6612" i="1"/>
  <c r="K6616" i="1"/>
  <c r="K6633" i="1"/>
  <c r="K9958" i="1"/>
  <c r="K9984" i="1"/>
  <c r="K10010" i="1"/>
  <c r="K9965" i="1"/>
  <c r="K1441" i="1"/>
  <c r="K9979" i="1"/>
  <c r="K1454" i="1"/>
  <c r="K1446" i="1"/>
  <c r="K3921" i="1"/>
  <c r="K3947" i="1"/>
  <c r="K3914" i="1"/>
  <c r="K3940" i="1"/>
  <c r="K3943" i="1"/>
  <c r="K6636" i="1"/>
  <c r="K6606" i="1"/>
  <c r="K6622" i="1"/>
  <c r="K9982" i="1"/>
  <c r="K10008" i="1"/>
  <c r="K9975" i="1"/>
  <c r="K9989" i="1"/>
  <c r="K810" i="1"/>
  <c r="K821" i="1"/>
  <c r="K800" i="1"/>
  <c r="K3123" i="1"/>
  <c r="K3090" i="1"/>
  <c r="K3128" i="1"/>
  <c r="K3120" i="1"/>
  <c r="K5743" i="1"/>
  <c r="K5722" i="1"/>
  <c r="K801" i="1"/>
  <c r="K791" i="1"/>
  <c r="K812" i="1"/>
  <c r="K3135" i="1"/>
  <c r="K3102" i="1"/>
  <c r="K3093" i="1"/>
  <c r="K3132" i="1"/>
  <c r="K5755" i="1"/>
  <c r="K5734" i="1"/>
  <c r="K5772" i="1"/>
  <c r="K5742" i="1"/>
  <c r="K5766" i="1"/>
  <c r="K8788" i="1"/>
  <c r="K8752" i="1"/>
  <c r="K8780" i="1"/>
  <c r="K8744" i="1"/>
  <c r="K8773" i="1"/>
  <c r="K816" i="1"/>
  <c r="K808" i="1"/>
  <c r="K813" i="1"/>
  <c r="K3088" i="1"/>
  <c r="K3114" i="1"/>
  <c r="K3105" i="1"/>
  <c r="K3085" i="1"/>
  <c r="K5767" i="1"/>
  <c r="K5746" i="1"/>
  <c r="K5726" i="1"/>
  <c r="K5749" i="1"/>
  <c r="K5737" i="1"/>
  <c r="K8737" i="1"/>
  <c r="K8765" i="1"/>
  <c r="K8793" i="1"/>
  <c r="K8757" i="1"/>
  <c r="K8786" i="1"/>
  <c r="K802" i="1"/>
  <c r="K822" i="1"/>
  <c r="K815" i="1"/>
  <c r="K3100" i="1"/>
  <c r="K3126" i="1"/>
  <c r="K3117" i="1"/>
  <c r="K3097" i="1"/>
  <c r="K5732" i="1"/>
  <c r="K5758" i="1"/>
  <c r="K5738" i="1"/>
  <c r="K5752" i="1"/>
  <c r="K5773" i="1"/>
  <c r="K8750" i="1"/>
  <c r="K8778" i="1"/>
  <c r="K8742" i="1"/>
  <c r="K8770" i="1"/>
  <c r="K8799" i="1"/>
  <c r="K817" i="1"/>
  <c r="K792" i="1"/>
  <c r="K3086" i="1"/>
  <c r="K3112" i="1"/>
  <c r="K3138" i="1"/>
  <c r="K3129" i="1"/>
  <c r="K3109" i="1"/>
  <c r="K5744" i="1"/>
  <c r="K5770" i="1"/>
  <c r="K5750" i="1"/>
  <c r="K5753" i="1"/>
  <c r="K6768" i="1"/>
  <c r="K8763" i="1"/>
  <c r="K8791" i="1"/>
  <c r="K8755" i="1"/>
  <c r="K8784" i="1"/>
  <c r="K8748" i="1"/>
  <c r="K803" i="1"/>
  <c r="K809" i="1"/>
  <c r="K3098" i="1"/>
  <c r="K3124" i="1"/>
  <c r="K3091" i="1"/>
  <c r="K3094" i="1"/>
  <c r="K3121" i="1"/>
  <c r="K5756" i="1"/>
  <c r="K5723" i="1"/>
  <c r="K5762" i="1"/>
  <c r="K5754" i="1"/>
  <c r="K8747" i="1"/>
  <c r="K8776" i="1"/>
  <c r="K8740" i="1"/>
  <c r="K8768" i="1"/>
  <c r="K8797" i="1"/>
  <c r="K8761" i="1"/>
  <c r="K794" i="1"/>
  <c r="K818" i="1"/>
  <c r="K793" i="1"/>
  <c r="K3110" i="1"/>
  <c r="K3136" i="1"/>
  <c r="K3103" i="1"/>
  <c r="K3106" i="1"/>
  <c r="K3133" i="1"/>
  <c r="K5768" i="1"/>
  <c r="K5735" i="1"/>
  <c r="K5774" i="1"/>
  <c r="K5725" i="1"/>
  <c r="K8759" i="1"/>
  <c r="K8789" i="1"/>
  <c r="K8753" i="1"/>
  <c r="K8781" i="1"/>
  <c r="K8745" i="1"/>
  <c r="K8774" i="1"/>
  <c r="K806" i="1"/>
  <c r="K789" i="1"/>
  <c r="K811" i="1"/>
  <c r="K3122" i="1"/>
  <c r="K3089" i="1"/>
  <c r="K3115" i="1"/>
  <c r="K3118" i="1"/>
  <c r="K3095" i="1"/>
  <c r="K5721" i="1"/>
  <c r="K5747" i="1"/>
  <c r="K5727" i="1"/>
  <c r="K5761" i="1"/>
  <c r="K8771" i="1"/>
  <c r="K8738" i="1"/>
  <c r="K8766" i="1"/>
  <c r="K8794" i="1"/>
  <c r="K8758" i="1"/>
  <c r="K8787" i="1"/>
  <c r="K795" i="1"/>
  <c r="K804" i="1"/>
  <c r="K799" i="1"/>
  <c r="K3134" i="1"/>
  <c r="K3101" i="1"/>
  <c r="K3127" i="1"/>
  <c r="K3130" i="1"/>
  <c r="K3107" i="1"/>
  <c r="K5733" i="1"/>
  <c r="K5759" i="1"/>
  <c r="K5739" i="1"/>
  <c r="K5728" i="1"/>
  <c r="K8783" i="1"/>
  <c r="K8751" i="1"/>
  <c r="K8779" i="1"/>
  <c r="K8743" i="1"/>
  <c r="K8772" i="1"/>
  <c r="K8800" i="1"/>
  <c r="K805" i="1"/>
  <c r="K3116" i="1"/>
  <c r="K5748" i="1"/>
  <c r="K8762" i="1"/>
  <c r="K8782" i="1"/>
  <c r="K814" i="1"/>
  <c r="K3084" i="1"/>
  <c r="K5760" i="1"/>
  <c r="K8775" i="1"/>
  <c r="K8796" i="1"/>
  <c r="K796" i="1"/>
  <c r="K3096" i="1"/>
  <c r="K5751" i="1"/>
  <c r="K8764" i="1"/>
  <c r="K8785" i="1"/>
  <c r="K797" i="1"/>
  <c r="K3108" i="1"/>
  <c r="K5763" i="1"/>
  <c r="K8777" i="1"/>
  <c r="K8798" i="1"/>
  <c r="K3087" i="1"/>
  <c r="K3119" i="1"/>
  <c r="K5740" i="1"/>
  <c r="K8790" i="1"/>
  <c r="K8746" i="1"/>
  <c r="K3099" i="1"/>
  <c r="K3131" i="1"/>
  <c r="K5741" i="1"/>
  <c r="K8739" i="1"/>
  <c r="K8760" i="1"/>
  <c r="K3111" i="1"/>
  <c r="K5731" i="1"/>
  <c r="K5764" i="1"/>
  <c r="K8792" i="1"/>
  <c r="K807" i="1"/>
  <c r="K3113" i="1"/>
  <c r="K5745" i="1"/>
  <c r="K5729" i="1"/>
  <c r="K8741" i="1"/>
  <c r="K819" i="1"/>
  <c r="K3125" i="1"/>
  <c r="K5757" i="1"/>
  <c r="K5765" i="1"/>
  <c r="K8754" i="1"/>
  <c r="K798" i="1"/>
  <c r="K3137" i="1"/>
  <c r="K5769" i="1"/>
  <c r="K5730" i="1"/>
  <c r="K8767" i="1"/>
  <c r="K820" i="1"/>
  <c r="K3092" i="1"/>
  <c r="K5724" i="1"/>
  <c r="K8795" i="1"/>
  <c r="K8756" i="1"/>
  <c r="K790" i="1"/>
  <c r="K3104" i="1"/>
  <c r="K5736" i="1"/>
  <c r="K8749" i="1"/>
  <c r="K8769" i="1"/>
  <c r="K7601" i="1"/>
  <c r="K2173" i="1"/>
  <c r="K5140" i="1"/>
  <c r="K10540" i="1"/>
  <c r="K7620" i="1"/>
  <c r="K9812" i="1"/>
  <c r="K9824" i="1"/>
  <c r="K1329" i="1"/>
  <c r="K1323" i="1"/>
  <c r="K1343" i="1"/>
  <c r="K6445" i="1"/>
  <c r="K6462" i="1"/>
  <c r="K9777" i="1"/>
  <c r="K9803" i="1"/>
  <c r="K9770" i="1"/>
  <c r="K9796" i="1"/>
  <c r="K9798" i="1"/>
  <c r="K1341" i="1"/>
  <c r="K1337" i="1"/>
  <c r="K1331" i="1"/>
  <c r="K6457" i="1"/>
  <c r="K6451" i="1"/>
  <c r="K9789" i="1"/>
  <c r="K9815" i="1"/>
  <c r="K9782" i="1"/>
  <c r="K9808" i="1"/>
  <c r="K9810" i="1"/>
  <c r="K1333" i="1"/>
  <c r="K1351" i="1"/>
  <c r="K1345" i="1"/>
  <c r="K6469" i="1"/>
  <c r="K6463" i="1"/>
  <c r="K9801" i="1"/>
  <c r="K9768" i="1"/>
  <c r="K9794" i="1"/>
  <c r="K9820" i="1"/>
  <c r="K9822" i="1"/>
  <c r="K1347" i="1"/>
  <c r="K1324" i="1"/>
  <c r="K1330" i="1"/>
  <c r="K6446" i="1"/>
  <c r="K6452" i="1"/>
  <c r="K9813" i="1"/>
  <c r="K9780" i="1"/>
  <c r="K9806" i="1"/>
  <c r="K9761" i="1"/>
  <c r="K9763" i="1"/>
  <c r="K1334" i="1"/>
  <c r="K1338" i="1"/>
  <c r="K1332" i="1"/>
  <c r="K6458" i="1"/>
  <c r="K6464" i="1"/>
  <c r="K9766" i="1"/>
  <c r="K9792" i="1"/>
  <c r="K9818" i="1"/>
  <c r="K9773" i="1"/>
  <c r="K9775" i="1"/>
  <c r="K1348" i="1"/>
  <c r="K1353" i="1"/>
  <c r="K1344" i="1"/>
  <c r="K6470" i="1"/>
  <c r="K6453" i="1"/>
  <c r="K9778" i="1"/>
  <c r="K9804" i="1"/>
  <c r="K9771" i="1"/>
  <c r="K9785" i="1"/>
  <c r="K9787" i="1"/>
  <c r="K1321" i="1"/>
  <c r="K1325" i="1"/>
  <c r="K1346" i="1"/>
  <c r="K6447" i="1"/>
  <c r="K6465" i="1"/>
  <c r="K9790" i="1"/>
  <c r="K9816" i="1"/>
  <c r="K9783" i="1"/>
  <c r="K9797" i="1"/>
  <c r="K9799" i="1"/>
  <c r="K1335" i="1"/>
  <c r="K1339" i="1"/>
  <c r="K5209" i="1"/>
  <c r="K6459" i="1"/>
  <c r="K6454" i="1"/>
  <c r="K9802" i="1"/>
  <c r="K9769" i="1"/>
  <c r="K9795" i="1"/>
  <c r="K9809" i="1"/>
  <c r="K9811" i="1"/>
  <c r="K1349" i="1"/>
  <c r="K1354" i="1"/>
  <c r="K6455" i="1"/>
  <c r="K6471" i="1"/>
  <c r="K6466" i="1"/>
  <c r="K9814" i="1"/>
  <c r="K9781" i="1"/>
  <c r="K9807" i="1"/>
  <c r="K9821" i="1"/>
  <c r="K9823" i="1"/>
  <c r="K1328" i="1"/>
  <c r="K1322" i="1"/>
  <c r="K1326" i="1"/>
  <c r="K6444" i="1"/>
  <c r="K6448" i="1"/>
  <c r="K6449" i="1"/>
  <c r="K9767" i="1"/>
  <c r="K9793" i="1"/>
  <c r="K9819" i="1"/>
  <c r="K9762" i="1"/>
  <c r="K1340" i="1"/>
  <c r="K1336" i="1"/>
  <c r="K1342" i="1"/>
  <c r="K6456" i="1"/>
  <c r="K6460" i="1"/>
  <c r="K6461" i="1"/>
  <c r="K9779" i="1"/>
  <c r="K9805" i="1"/>
  <c r="K9772" i="1"/>
  <c r="K9774" i="1"/>
  <c r="K1352" i="1"/>
  <c r="K1350" i="1"/>
  <c r="K1327" i="1"/>
  <c r="K6468" i="1"/>
  <c r="K6450" i="1"/>
  <c r="K9765" i="1"/>
  <c r="K9791" i="1"/>
  <c r="K9817" i="1"/>
  <c r="K9784" i="1"/>
  <c r="K9786" i="1"/>
  <c r="K9800" i="1"/>
  <c r="K9776" i="1"/>
  <c r="K9788" i="1"/>
  <c r="K9764" i="1"/>
  <c r="K10237" i="1"/>
  <c r="K10255" i="1"/>
  <c r="K10219" i="1"/>
  <c r="K10249" i="1"/>
  <c r="K10213" i="1"/>
  <c r="K10244" i="1"/>
  <c r="K10254" i="1"/>
  <c r="K10218" i="1"/>
  <c r="K10243" i="1"/>
  <c r="K10242" i="1"/>
  <c r="K1587" i="1"/>
  <c r="K1591" i="1"/>
  <c r="K1584" i="1"/>
  <c r="K6795" i="1"/>
  <c r="K6788" i="1"/>
  <c r="K10221" i="1"/>
  <c r="K10223" i="1"/>
  <c r="K10226" i="1"/>
  <c r="K10252" i="1"/>
  <c r="K1564" i="1"/>
  <c r="K1568" i="1"/>
  <c r="K1586" i="1"/>
  <c r="K6784" i="1"/>
  <c r="K6777" i="1"/>
  <c r="K10233" i="1"/>
  <c r="K10235" i="1"/>
  <c r="K10238" i="1"/>
  <c r="K10264" i="1"/>
  <c r="K1576" i="1"/>
  <c r="K1580" i="1"/>
  <c r="K1560" i="1"/>
  <c r="K6773" i="1"/>
  <c r="K6789" i="1"/>
  <c r="K10245" i="1"/>
  <c r="K10247" i="1"/>
  <c r="K10250" i="1"/>
  <c r="K10217" i="1"/>
  <c r="K1588" i="1"/>
  <c r="K1592" i="1"/>
  <c r="K1562" i="1"/>
  <c r="K6785" i="1"/>
  <c r="K6778" i="1"/>
  <c r="K10257" i="1"/>
  <c r="K10259" i="1"/>
  <c r="K10262" i="1"/>
  <c r="K10229" i="1"/>
  <c r="K1565" i="1"/>
  <c r="K1569" i="1"/>
  <c r="K1570" i="1"/>
  <c r="K6797" i="1"/>
  <c r="K6790" i="1"/>
  <c r="K10269" i="1"/>
  <c r="K10271" i="1"/>
  <c r="K10215" i="1"/>
  <c r="K10241" i="1"/>
  <c r="K1577" i="1"/>
  <c r="K1581" i="1"/>
  <c r="K1574" i="1"/>
  <c r="K6774" i="1"/>
  <c r="K6779" i="1"/>
  <c r="K10210" i="1"/>
  <c r="K10212" i="1"/>
  <c r="K10227" i="1"/>
  <c r="K10253" i="1"/>
  <c r="K1589" i="1"/>
  <c r="K1559" i="1"/>
  <c r="K1582" i="1"/>
  <c r="K6786" i="1"/>
  <c r="K6791" i="1"/>
  <c r="K10222" i="1"/>
  <c r="K10224" i="1"/>
  <c r="K10239" i="1"/>
  <c r="K10265" i="1"/>
  <c r="K10268" i="1"/>
  <c r="K1566" i="1"/>
  <c r="K1571" i="1"/>
  <c r="K1572" i="1"/>
  <c r="K6798" i="1"/>
  <c r="K6780" i="1"/>
  <c r="K10234" i="1"/>
  <c r="K10236" i="1"/>
  <c r="K10251" i="1"/>
  <c r="K10232" i="1"/>
  <c r="K1578" i="1"/>
  <c r="K1583" i="1"/>
  <c r="K6439" i="1"/>
  <c r="K6775" i="1"/>
  <c r="K6792" i="1"/>
  <c r="K10246" i="1"/>
  <c r="K10248" i="1"/>
  <c r="K10263" i="1"/>
  <c r="K1590" i="1"/>
  <c r="K1561" i="1"/>
  <c r="K6782" i="1"/>
  <c r="K6787" i="1"/>
  <c r="K6781" i="1"/>
  <c r="K10258" i="1"/>
  <c r="K10260" i="1"/>
  <c r="K10216" i="1"/>
  <c r="K1563" i="1"/>
  <c r="K1567" i="1"/>
  <c r="K1573" i="1"/>
  <c r="K6794" i="1"/>
  <c r="K6799" i="1"/>
  <c r="K6793" i="1"/>
  <c r="K10270" i="1"/>
  <c r="K10272" i="1"/>
  <c r="K10228" i="1"/>
  <c r="K10209" i="1"/>
  <c r="K10211" i="1"/>
  <c r="K10214" i="1"/>
  <c r="K10240" i="1"/>
  <c r="K10267" i="1"/>
  <c r="K10231" i="1"/>
  <c r="K1575" i="1"/>
  <c r="K1579" i="1"/>
  <c r="K1585" i="1"/>
  <c r="K6783" i="1"/>
  <c r="K6776" i="1"/>
  <c r="K10266" i="1"/>
  <c r="K10230" i="1"/>
  <c r="K10261" i="1"/>
  <c r="K10225" i="1"/>
  <c r="K989" i="1"/>
  <c r="K971" i="1"/>
  <c r="K3326" i="1"/>
  <c r="K3305" i="1"/>
  <c r="K3331" i="1"/>
  <c r="K3357" i="1"/>
  <c r="K3311" i="1"/>
  <c r="K6000" i="1"/>
  <c r="K6041" i="1"/>
  <c r="K5992" i="1"/>
  <c r="K6020" i="1"/>
  <c r="K5984" i="1"/>
  <c r="K9069" i="1"/>
  <c r="K9071" i="1"/>
  <c r="K9073" i="1"/>
  <c r="K9099" i="1"/>
  <c r="K9066" i="1"/>
  <c r="K9092" i="1"/>
  <c r="K963" i="1"/>
  <c r="K964" i="1"/>
  <c r="K984" i="1"/>
  <c r="K3338" i="1"/>
  <c r="K3317" i="1"/>
  <c r="K3343" i="1"/>
  <c r="K3310" i="1"/>
  <c r="K3323" i="1"/>
  <c r="K6013" i="1"/>
  <c r="K5990" i="1"/>
  <c r="K6005" i="1"/>
  <c r="K6034" i="1"/>
  <c r="K5998" i="1"/>
  <c r="K9081" i="1"/>
  <c r="K9083" i="1"/>
  <c r="K9085" i="1"/>
  <c r="K9111" i="1"/>
  <c r="K9078" i="1"/>
  <c r="K9104" i="1"/>
  <c r="K975" i="1"/>
  <c r="K977" i="1"/>
  <c r="K959" i="1"/>
  <c r="K3350" i="1"/>
  <c r="K3329" i="1"/>
  <c r="K3355" i="1"/>
  <c r="K3322" i="1"/>
  <c r="K3335" i="1"/>
  <c r="K6026" i="1"/>
  <c r="K6003" i="1"/>
  <c r="K6018" i="1"/>
  <c r="K5982" i="1"/>
  <c r="K6011" i="1"/>
  <c r="K9093" i="1"/>
  <c r="K9095" i="1"/>
  <c r="K9097" i="1"/>
  <c r="K9064" i="1"/>
  <c r="K9090" i="1"/>
  <c r="K987" i="1"/>
  <c r="K990" i="1"/>
  <c r="K967" i="1"/>
  <c r="K3315" i="1"/>
  <c r="K960" i="1"/>
  <c r="K965" i="1"/>
  <c r="K969" i="1"/>
  <c r="K3327" i="1"/>
  <c r="K3353" i="1"/>
  <c r="K3320" i="1"/>
  <c r="K3312" i="1"/>
  <c r="K3347" i="1"/>
  <c r="K6001" i="1"/>
  <c r="K6029" i="1"/>
  <c r="K5980" i="1"/>
  <c r="K6008" i="1"/>
  <c r="K6037" i="1"/>
  <c r="K9117" i="1"/>
  <c r="K9119" i="1"/>
  <c r="K9062" i="1"/>
  <c r="K9088" i="1"/>
  <c r="K9114" i="1"/>
  <c r="K973" i="1"/>
  <c r="K978" i="1"/>
  <c r="K970" i="1"/>
  <c r="K3339" i="1"/>
  <c r="K3306" i="1"/>
  <c r="K3332" i="1"/>
  <c r="K3324" i="1"/>
  <c r="K3358" i="1"/>
  <c r="K6014" i="1"/>
  <c r="K6042" i="1"/>
  <c r="K5993" i="1"/>
  <c r="K6022" i="1"/>
  <c r="K5986" i="1"/>
  <c r="K9058" i="1"/>
  <c r="K9060" i="1"/>
  <c r="K9074" i="1"/>
  <c r="K9100" i="1"/>
  <c r="K9067" i="1"/>
  <c r="K986" i="1"/>
  <c r="K991" i="1"/>
  <c r="K972" i="1"/>
  <c r="K3351" i="1"/>
  <c r="K3318" i="1"/>
  <c r="K3344" i="1"/>
  <c r="K3336" i="1"/>
  <c r="K5985" i="1"/>
  <c r="K6027" i="1"/>
  <c r="K5991" i="1"/>
  <c r="K6006" i="1"/>
  <c r="K6035" i="1"/>
  <c r="K5999" i="1"/>
  <c r="K9070" i="1"/>
  <c r="K9072" i="1"/>
  <c r="K9086" i="1"/>
  <c r="K9112" i="1"/>
  <c r="K9079" i="1"/>
  <c r="K961" i="1"/>
  <c r="K966" i="1"/>
  <c r="K980" i="1"/>
  <c r="K3304" i="1"/>
  <c r="K3330" i="1"/>
  <c r="K3356" i="1"/>
  <c r="K3348" i="1"/>
  <c r="K5997" i="1"/>
  <c r="K6040" i="1"/>
  <c r="K6004" i="1"/>
  <c r="K6019" i="1"/>
  <c r="K5983" i="1"/>
  <c r="K6012" i="1"/>
  <c r="K9082" i="1"/>
  <c r="K9084" i="1"/>
  <c r="K9098" i="1"/>
  <c r="K9065" i="1"/>
  <c r="K9091" i="1"/>
  <c r="K974" i="1"/>
  <c r="K979" i="1"/>
  <c r="K982" i="1"/>
  <c r="K3316" i="1"/>
  <c r="K3342" i="1"/>
  <c r="K3309" i="1"/>
  <c r="K3313" i="1"/>
  <c r="K6009" i="1"/>
  <c r="K5989" i="1"/>
  <c r="K6017" i="1"/>
  <c r="K6032" i="1"/>
  <c r="K5996" i="1"/>
  <c r="K6025" i="1"/>
  <c r="K9094" i="1"/>
  <c r="K9096" i="1"/>
  <c r="K9110" i="1"/>
  <c r="K9077" i="1"/>
  <c r="K9103" i="1"/>
  <c r="K988" i="1"/>
  <c r="K992" i="1"/>
  <c r="K983" i="1"/>
  <c r="K3328" i="1"/>
  <c r="K3354" i="1"/>
  <c r="K3321" i="1"/>
  <c r="K3325" i="1"/>
  <c r="K6021" i="1"/>
  <c r="K6002" i="1"/>
  <c r="K6030" i="1"/>
  <c r="K5981" i="1"/>
  <c r="K6010" i="1"/>
  <c r="K6038" i="1"/>
  <c r="K9106" i="1"/>
  <c r="K9108" i="1"/>
  <c r="K9063" i="1"/>
  <c r="K9089" i="1"/>
  <c r="K9115" i="1"/>
  <c r="K962" i="1"/>
  <c r="K968" i="1"/>
  <c r="K985" i="1"/>
  <c r="K3340" i="1"/>
  <c r="K3307" i="1"/>
  <c r="K3333" i="1"/>
  <c r="K3337" i="1"/>
  <c r="K6033" i="1"/>
  <c r="K6015" i="1"/>
  <c r="K6043" i="1"/>
  <c r="K5994" i="1"/>
  <c r="K6023" i="1"/>
  <c r="K6825" i="1"/>
  <c r="K9118" i="1"/>
  <c r="K9120" i="1"/>
  <c r="K9075" i="1"/>
  <c r="K9101" i="1"/>
  <c r="K9068" i="1"/>
  <c r="K3334" i="1"/>
  <c r="K6024" i="1"/>
  <c r="K9116" i="1"/>
  <c r="K3349" i="1"/>
  <c r="K9057" i="1"/>
  <c r="K3346" i="1"/>
  <c r="K9105" i="1"/>
  <c r="K5987" i="1"/>
  <c r="K9059" i="1"/>
  <c r="K976" i="1"/>
  <c r="K5988" i="1"/>
  <c r="K9107" i="1"/>
  <c r="K981" i="1"/>
  <c r="K6028" i="1"/>
  <c r="K9061" i="1"/>
  <c r="K3314" i="1"/>
  <c r="K6016" i="1"/>
  <c r="K9109" i="1"/>
  <c r="K3352" i="1"/>
  <c r="K5979" i="1"/>
  <c r="K9087" i="1"/>
  <c r="K3341" i="1"/>
  <c r="K6031" i="1"/>
  <c r="K9076" i="1"/>
  <c r="K3319" i="1"/>
  <c r="K6007" i="1"/>
  <c r="K9113" i="1"/>
  <c r="K3308" i="1"/>
  <c r="K5995" i="1"/>
  <c r="K9102" i="1"/>
  <c r="K3345" i="1"/>
  <c r="K6036" i="1"/>
  <c r="K9080" i="1"/>
  <c r="K9500" i="1"/>
  <c r="K1184" i="1"/>
  <c r="K1156" i="1"/>
  <c r="K1170" i="1"/>
  <c r="K3599" i="1"/>
  <c r="K3602" i="1"/>
  <c r="K3628" i="1"/>
  <c r="K3595" i="1"/>
  <c r="K6263" i="1"/>
  <c r="K6230" i="1"/>
  <c r="K6244" i="1"/>
  <c r="K6247" i="1"/>
  <c r="K6261" i="1"/>
  <c r="K6257" i="1"/>
  <c r="K9490" i="1"/>
  <c r="K9492" i="1"/>
  <c r="K9447" i="1"/>
  <c r="K9473" i="1"/>
  <c r="K9499" i="1"/>
  <c r="K1161" i="1"/>
  <c r="K1180" i="1"/>
  <c r="K1177" i="1"/>
  <c r="K3611" i="1"/>
  <c r="K3614" i="1"/>
  <c r="K3581" i="1"/>
  <c r="K3607" i="1"/>
  <c r="K6275" i="1"/>
  <c r="K6242" i="1"/>
  <c r="K6256" i="1"/>
  <c r="K6259" i="1"/>
  <c r="K6273" i="1"/>
  <c r="K6269" i="1"/>
  <c r="K9502" i="1"/>
  <c r="K9504" i="1"/>
  <c r="K9459" i="1"/>
  <c r="K9485" i="1"/>
  <c r="K1173" i="1"/>
  <c r="K1158" i="1"/>
  <c r="K3585" i="1"/>
  <c r="K3623" i="1"/>
  <c r="K3626" i="1"/>
  <c r="K3593" i="1"/>
  <c r="K3619" i="1"/>
  <c r="K6228" i="1"/>
  <c r="K6254" i="1"/>
  <c r="K6268" i="1"/>
  <c r="K6271" i="1"/>
  <c r="K6226" i="1"/>
  <c r="K9441" i="1"/>
  <c r="K9443" i="1"/>
  <c r="K9445" i="1"/>
  <c r="K9471" i="1"/>
  <c r="K9497" i="1"/>
  <c r="K1162" i="1"/>
  <c r="K1182" i="1"/>
  <c r="K3597" i="1"/>
  <c r="K3588" i="1"/>
  <c r="K3579" i="1"/>
  <c r="K3605" i="1"/>
  <c r="K3631" i="1"/>
  <c r="K6240" i="1"/>
  <c r="K6266" i="1"/>
  <c r="K6280" i="1"/>
  <c r="K6283" i="1"/>
  <c r="K6238" i="1"/>
  <c r="K9453" i="1"/>
  <c r="K9455" i="1"/>
  <c r="K9457" i="1"/>
  <c r="K9483" i="1"/>
  <c r="K9450" i="1"/>
  <c r="K1157" i="1"/>
  <c r="K1174" i="1"/>
  <c r="K1163" i="1"/>
  <c r="K3609" i="1"/>
  <c r="K3600" i="1"/>
  <c r="K3591" i="1"/>
  <c r="K3617" i="1"/>
  <c r="K3584" i="1"/>
  <c r="K6252" i="1"/>
  <c r="K6278" i="1"/>
  <c r="K6222" i="1"/>
  <c r="K6224" i="1"/>
  <c r="K6250" i="1"/>
  <c r="K9465" i="1"/>
  <c r="K9467" i="1"/>
  <c r="K9469" i="1"/>
  <c r="K9495" i="1"/>
  <c r="K9462" i="1"/>
  <c r="K1169" i="1"/>
  <c r="K1152" i="1"/>
  <c r="K1165" i="1"/>
  <c r="K3621" i="1"/>
  <c r="K3612" i="1"/>
  <c r="K3603" i="1"/>
  <c r="K3629" i="1"/>
  <c r="K3596" i="1"/>
  <c r="K6264" i="1"/>
  <c r="K6219" i="1"/>
  <c r="K6234" i="1"/>
  <c r="K6236" i="1"/>
  <c r="K6262" i="1"/>
  <c r="K9477" i="1"/>
  <c r="K9479" i="1"/>
  <c r="K9481" i="1"/>
  <c r="K9448" i="1"/>
  <c r="K9474" i="1"/>
  <c r="K1181" i="1"/>
  <c r="K1164" i="1"/>
  <c r="K1166" i="1"/>
  <c r="K3633" i="1"/>
  <c r="K3624" i="1"/>
  <c r="K3615" i="1"/>
  <c r="K3582" i="1"/>
  <c r="K3608" i="1"/>
  <c r="K6276" i="1"/>
  <c r="K6231" i="1"/>
  <c r="K6246" i="1"/>
  <c r="K6248" i="1"/>
  <c r="K6274" i="1"/>
  <c r="K9489" i="1"/>
  <c r="K9491" i="1"/>
  <c r="K9493" i="1"/>
  <c r="K9460" i="1"/>
  <c r="K9486" i="1"/>
  <c r="K1159" i="1"/>
  <c r="K1176" i="1"/>
  <c r="K1167" i="1"/>
  <c r="K3586" i="1"/>
  <c r="K3589" i="1"/>
  <c r="K3627" i="1"/>
  <c r="K3594" i="1"/>
  <c r="K3620" i="1"/>
  <c r="K6229" i="1"/>
  <c r="K6243" i="1"/>
  <c r="K6258" i="1"/>
  <c r="K6260" i="1"/>
  <c r="K6281" i="1"/>
  <c r="K9501" i="1"/>
  <c r="K9503" i="1"/>
  <c r="K9446" i="1"/>
  <c r="K9472" i="1"/>
  <c r="K9498" i="1"/>
  <c r="K1171" i="1"/>
  <c r="K1154" i="1"/>
  <c r="K1168" i="1"/>
  <c r="K3598" i="1"/>
  <c r="K3601" i="1"/>
  <c r="K3580" i="1"/>
  <c r="K3606" i="1"/>
  <c r="K3632" i="1"/>
  <c r="K6241" i="1"/>
  <c r="K6255" i="1"/>
  <c r="K6270" i="1"/>
  <c r="K6272" i="1"/>
  <c r="K7179" i="1"/>
  <c r="K9442" i="1"/>
  <c r="K9444" i="1"/>
  <c r="K9458" i="1"/>
  <c r="K9484" i="1"/>
  <c r="K9451" i="1"/>
  <c r="K1183" i="1"/>
  <c r="K1178" i="1"/>
  <c r="K1151" i="1"/>
  <c r="K3610" i="1"/>
  <c r="K3613" i="1"/>
  <c r="K3592" i="1"/>
  <c r="K3618" i="1"/>
  <c r="K6227" i="1"/>
  <c r="K6253" i="1"/>
  <c r="K6267" i="1"/>
  <c r="K6282" i="1"/>
  <c r="K6225" i="1"/>
  <c r="K6221" i="1"/>
  <c r="K9454" i="1"/>
  <c r="K9456" i="1"/>
  <c r="K9470" i="1"/>
  <c r="K9496" i="1"/>
  <c r="K9463" i="1"/>
  <c r="K1160" i="1"/>
  <c r="K1155" i="1"/>
  <c r="K1175" i="1"/>
  <c r="K3622" i="1"/>
  <c r="K3625" i="1"/>
  <c r="K3604" i="1"/>
  <c r="K3630" i="1"/>
  <c r="K6239" i="1"/>
  <c r="K6265" i="1"/>
  <c r="K6220" i="1"/>
  <c r="K6223" i="1"/>
  <c r="K6237" i="1"/>
  <c r="K6233" i="1"/>
  <c r="K9466" i="1"/>
  <c r="K9468" i="1"/>
  <c r="K9482" i="1"/>
  <c r="K9449" i="1"/>
  <c r="K9475" i="1"/>
  <c r="K1153" i="1"/>
  <c r="K9480" i="1"/>
  <c r="K3587" i="1"/>
  <c r="K9494" i="1"/>
  <c r="K9476" i="1"/>
  <c r="K3590" i="1"/>
  <c r="K9461" i="1"/>
  <c r="K3616" i="1"/>
  <c r="K9487" i="1"/>
  <c r="K3583" i="1"/>
  <c r="K6251" i="1"/>
  <c r="K6277" i="1"/>
  <c r="K9488" i="1"/>
  <c r="K6232" i="1"/>
  <c r="K6235" i="1"/>
  <c r="K6249" i="1"/>
  <c r="K1172" i="1"/>
  <c r="K6245" i="1"/>
  <c r="K1179" i="1"/>
  <c r="K9478" i="1"/>
  <c r="K9464" i="1"/>
  <c r="K9452" i="1"/>
  <c r="K386" i="1"/>
  <c r="K357" i="1"/>
  <c r="K360" i="1"/>
  <c r="K2420" i="1"/>
  <c r="K2387" i="1"/>
  <c r="K2378" i="1"/>
  <c r="K2418" i="1"/>
  <c r="K2405" i="1"/>
  <c r="K5078" i="1"/>
  <c r="K5081" i="1"/>
  <c r="K5097" i="1"/>
  <c r="K5101" i="1"/>
  <c r="K7940" i="1"/>
  <c r="K7968" i="1"/>
  <c r="K7932" i="1"/>
  <c r="K7961" i="1"/>
  <c r="K363" i="1"/>
  <c r="K369" i="1"/>
  <c r="K389" i="1"/>
  <c r="K2373" i="1"/>
  <c r="K2399" i="1"/>
  <c r="K2390" i="1"/>
  <c r="K2371" i="1"/>
  <c r="K2416" i="1"/>
  <c r="K375" i="1"/>
  <c r="K381" i="1"/>
  <c r="K361" i="1"/>
  <c r="K2385" i="1"/>
  <c r="K2411" i="1"/>
  <c r="K2402" i="1"/>
  <c r="K2383" i="1"/>
  <c r="K2404" i="1"/>
  <c r="K5104" i="1"/>
  <c r="K5107" i="1"/>
  <c r="K5072" i="1"/>
  <c r="K5089" i="1"/>
  <c r="K7966" i="1"/>
  <c r="K7930" i="1"/>
  <c r="K7958" i="1"/>
  <c r="K7922" i="1"/>
  <c r="K7951" i="1"/>
  <c r="K387" i="1"/>
  <c r="K358" i="1"/>
  <c r="K365" i="1"/>
  <c r="K2397" i="1"/>
  <c r="K2423" i="1"/>
  <c r="K2414" i="1"/>
  <c r="K2395" i="1"/>
  <c r="K5064" i="1"/>
  <c r="K5066" i="1"/>
  <c r="K5069" i="1"/>
  <c r="K5085" i="1"/>
  <c r="K5102" i="1"/>
  <c r="K7915" i="1"/>
  <c r="K7943" i="1"/>
  <c r="K7907" i="1"/>
  <c r="K7936" i="1"/>
  <c r="K7964" i="1"/>
  <c r="K364" i="1"/>
  <c r="K370" i="1"/>
  <c r="K372" i="1"/>
  <c r="K2409" i="1"/>
  <c r="K2376" i="1"/>
  <c r="K2379" i="1"/>
  <c r="K2407" i="1"/>
  <c r="K5076" i="1"/>
  <c r="K5079" i="1"/>
  <c r="K5082" i="1"/>
  <c r="K5098" i="1"/>
  <c r="K6279" i="1"/>
  <c r="K7928" i="1"/>
  <c r="K7956" i="1"/>
  <c r="K7920" i="1"/>
  <c r="K7949" i="1"/>
  <c r="K7939" i="1"/>
  <c r="K376" i="1"/>
  <c r="K382" i="1"/>
  <c r="K367" i="1"/>
  <c r="K2421" i="1"/>
  <c r="K2388" i="1"/>
  <c r="K2391" i="1"/>
  <c r="K2419" i="1"/>
  <c r="K5088" i="1"/>
  <c r="K5092" i="1"/>
  <c r="K5095" i="1"/>
  <c r="K5111" i="1"/>
  <c r="K7911" i="1"/>
  <c r="K7941" i="1"/>
  <c r="K7905" i="1"/>
  <c r="K7933" i="1"/>
  <c r="K7962" i="1"/>
  <c r="K7952" i="1"/>
  <c r="K388" i="1"/>
  <c r="K377" i="1"/>
  <c r="K371" i="1"/>
  <c r="K2374" i="1"/>
  <c r="K2400" i="1"/>
  <c r="K2403" i="1"/>
  <c r="K2417" i="1"/>
  <c r="K5100" i="1"/>
  <c r="K362" i="1"/>
  <c r="K373" i="1"/>
  <c r="K2389" i="1"/>
  <c r="K2393" i="1"/>
  <c r="K5068" i="1"/>
  <c r="K5113" i="1"/>
  <c r="K7967" i="1"/>
  <c r="K7945" i="1"/>
  <c r="K7963" i="1"/>
  <c r="K374" i="1"/>
  <c r="K2372" i="1"/>
  <c r="K2401" i="1"/>
  <c r="K5112" i="1"/>
  <c r="K5094" i="1"/>
  <c r="K5074" i="1"/>
  <c r="K7916" i="1"/>
  <c r="K7946" i="1"/>
  <c r="K7912" i="1"/>
  <c r="K366" i="1"/>
  <c r="K2384" i="1"/>
  <c r="K2413" i="1"/>
  <c r="K5077" i="1"/>
  <c r="K5108" i="1"/>
  <c r="K5087" i="1"/>
  <c r="K7929" i="1"/>
  <c r="K7960" i="1"/>
  <c r="K7925" i="1"/>
  <c r="K378" i="1"/>
  <c r="K2396" i="1"/>
  <c r="K2415" i="1"/>
  <c r="K5090" i="1"/>
  <c r="K5070" i="1"/>
  <c r="K5075" i="1"/>
  <c r="K7942" i="1"/>
  <c r="K7908" i="1"/>
  <c r="K7938" i="1"/>
  <c r="K390" i="1"/>
  <c r="K2408" i="1"/>
  <c r="K2370" i="1"/>
  <c r="K5103" i="1"/>
  <c r="K5083" i="1"/>
  <c r="K7923" i="1"/>
  <c r="K7955" i="1"/>
  <c r="K7921" i="1"/>
  <c r="K7965" i="1"/>
  <c r="K368" i="1"/>
  <c r="K2386" i="1"/>
  <c r="K2382" i="1"/>
  <c r="K5065" i="1"/>
  <c r="K5096" i="1"/>
  <c r="K7935" i="1"/>
  <c r="K7917" i="1"/>
  <c r="K7934" i="1"/>
  <c r="K7913" i="1"/>
  <c r="K380" i="1"/>
  <c r="K2398" i="1"/>
  <c r="K2394" i="1"/>
  <c r="K5091" i="1"/>
  <c r="K5071" i="1"/>
  <c r="K7947" i="1"/>
  <c r="K7918" i="1"/>
  <c r="K7948" i="1"/>
  <c r="K7926" i="1"/>
  <c r="K379" i="1"/>
  <c r="K2410" i="1"/>
  <c r="K2406" i="1"/>
  <c r="K5105" i="1"/>
  <c r="K5084" i="1"/>
  <c r="K7959" i="1"/>
  <c r="K7931" i="1"/>
  <c r="K7909" i="1"/>
  <c r="K383" i="1"/>
  <c r="K2422" i="1"/>
  <c r="K2369" i="1"/>
  <c r="K5067" i="1"/>
  <c r="K5110" i="1"/>
  <c r="K7914" i="1"/>
  <c r="K7944" i="1"/>
  <c r="K7910" i="1"/>
  <c r="K384" i="1"/>
  <c r="K2375" i="1"/>
  <c r="K2380" i="1"/>
  <c r="K5080" i="1"/>
  <c r="K5073" i="1"/>
  <c r="K7927" i="1"/>
  <c r="K7957" i="1"/>
  <c r="K7924" i="1"/>
  <c r="K359" i="1"/>
  <c r="K2412" i="1"/>
  <c r="K2381" i="1"/>
  <c r="K5093" i="1"/>
  <c r="K5086" i="1"/>
  <c r="K7953" i="1"/>
  <c r="K7906" i="1"/>
  <c r="K7937" i="1"/>
  <c r="K385" i="1"/>
  <c r="K2377" i="1"/>
  <c r="K2392" i="1"/>
  <c r="K5106" i="1"/>
  <c r="K5099" i="1"/>
  <c r="K7954" i="1"/>
  <c r="K7919" i="1"/>
  <c r="K7950" i="1"/>
  <c r="K10566" i="1"/>
  <c r="K7597" i="1"/>
  <c r="K7642" i="1"/>
  <c r="K7616" i="1"/>
  <c r="K7590" i="1"/>
  <c r="K7647" i="1"/>
  <c r="K4891" i="1"/>
  <c r="K4886" i="1"/>
  <c r="K4882" i="1"/>
  <c r="K4899" i="1"/>
  <c r="K2176" i="1"/>
  <c r="K2190" i="1"/>
  <c r="K2162" i="1"/>
  <c r="K2183" i="1"/>
  <c r="K2168" i="1"/>
  <c r="K204" i="1"/>
  <c r="K218" i="1"/>
  <c r="K8002" i="1"/>
  <c r="K7999" i="1"/>
  <c r="K8021" i="1"/>
  <c r="K8007" i="1"/>
  <c r="K5148" i="1"/>
  <c r="K5130" i="1"/>
  <c r="K2428" i="1"/>
  <c r="K2474" i="1"/>
  <c r="K2435" i="1"/>
  <c r="K396" i="1"/>
  <c r="K414" i="1"/>
  <c r="K8376" i="1"/>
  <c r="K8413" i="1"/>
  <c r="K8396" i="1"/>
  <c r="K5454" i="1"/>
  <c r="K5508" i="1"/>
  <c r="K5467" i="1"/>
  <c r="K2761" i="1"/>
  <c r="K2805" i="1"/>
  <c r="K616" i="1"/>
  <c r="K8808" i="1"/>
  <c r="K5803" i="1"/>
  <c r="K3162" i="1"/>
  <c r="K9220" i="1"/>
  <c r="K3430" i="1"/>
  <c r="K6353" i="1"/>
  <c r="K6610" i="1"/>
  <c r="K6628" i="1"/>
  <c r="K282" i="1"/>
  <c r="K265" i="1"/>
  <c r="K2264" i="1"/>
  <c r="K2290" i="1"/>
  <c r="K2293" i="1"/>
  <c r="K2274" i="1"/>
  <c r="K2296" i="1"/>
  <c r="K4960" i="1"/>
  <c r="K4964" i="1"/>
  <c r="K4982" i="1"/>
  <c r="K7733" i="1"/>
  <c r="K7771" i="1"/>
  <c r="K7732" i="1"/>
  <c r="K7763" i="1"/>
  <c r="K7752" i="1"/>
  <c r="K260" i="1"/>
  <c r="K269" i="1"/>
  <c r="K2276" i="1"/>
  <c r="K2302" i="1"/>
  <c r="K2305" i="1"/>
  <c r="K2286" i="1"/>
  <c r="K2297" i="1"/>
  <c r="K4973" i="1"/>
  <c r="K4977" i="1"/>
  <c r="K4957" i="1"/>
  <c r="K7745" i="1"/>
  <c r="K7715" i="1"/>
  <c r="K7747" i="1"/>
  <c r="K7776" i="1"/>
  <c r="K7766" i="1"/>
  <c r="K266" i="1"/>
  <c r="K272" i="1"/>
  <c r="K271" i="1"/>
  <c r="K2288" i="1"/>
  <c r="K2267" i="1"/>
  <c r="K2270" i="1"/>
  <c r="K2298" i="1"/>
  <c r="K2308" i="1"/>
  <c r="K4961" i="1"/>
  <c r="K4952" i="1"/>
  <c r="K4970" i="1"/>
  <c r="K7757" i="1"/>
  <c r="K7729" i="1"/>
  <c r="K7761" i="1"/>
  <c r="K7722" i="1"/>
  <c r="K7725" i="1"/>
  <c r="K278" i="1"/>
  <c r="K284" i="1"/>
  <c r="K275" i="1"/>
  <c r="K2300" i="1"/>
  <c r="K2279" i="1"/>
  <c r="K2282" i="1"/>
  <c r="K2310" i="1"/>
  <c r="K2309" i="1"/>
  <c r="K4974" i="1"/>
  <c r="K4965" i="1"/>
  <c r="K4983" i="1"/>
  <c r="K7714" i="1"/>
  <c r="K7744" i="1"/>
  <c r="K7774" i="1"/>
  <c r="K7736" i="1"/>
  <c r="K7739" i="1"/>
  <c r="K255" i="1"/>
  <c r="K261" i="1"/>
  <c r="K276" i="1"/>
  <c r="K2312" i="1"/>
  <c r="K2291" i="1"/>
  <c r="K2294" i="1"/>
  <c r="K2263" i="1"/>
  <c r="K2261" i="1"/>
  <c r="K4949" i="1"/>
  <c r="K4978" i="1"/>
  <c r="K4958" i="1"/>
  <c r="K7727" i="1"/>
  <c r="K7759" i="1"/>
  <c r="K7718" i="1"/>
  <c r="K7750" i="1"/>
  <c r="K7753" i="1"/>
  <c r="K267" i="1"/>
  <c r="K273" i="1"/>
  <c r="K277" i="1"/>
  <c r="K2265" i="1"/>
  <c r="K2303" i="1"/>
  <c r="K2306" i="1"/>
  <c r="K2275" i="1"/>
  <c r="K2272" i="1"/>
  <c r="K4962" i="1"/>
  <c r="K4953" i="1"/>
  <c r="K4971" i="1"/>
  <c r="K7741" i="1"/>
  <c r="K7772" i="1"/>
  <c r="K7734" i="1"/>
  <c r="K7764" i="1"/>
  <c r="K7768" i="1"/>
  <c r="K279" i="1"/>
  <c r="K285" i="1"/>
  <c r="K257" i="1"/>
  <c r="K2277" i="1"/>
  <c r="K2268" i="1"/>
  <c r="K2259" i="1"/>
  <c r="K2287" i="1"/>
  <c r="K2260" i="1"/>
  <c r="K4975" i="1"/>
  <c r="K4966" i="1"/>
  <c r="K7719" i="1"/>
  <c r="K7756" i="1"/>
  <c r="K7716" i="1"/>
  <c r="K7748" i="1"/>
  <c r="K7723" i="1"/>
  <c r="K7726" i="1"/>
  <c r="K256" i="1"/>
  <c r="K262" i="1"/>
  <c r="K287" i="1"/>
  <c r="K2289" i="1"/>
  <c r="K2280" i="1"/>
  <c r="K2271" i="1"/>
  <c r="K2299" i="1"/>
  <c r="K4956" i="1"/>
  <c r="K5144" i="1"/>
  <c r="K4954" i="1"/>
  <c r="K7731" i="1"/>
  <c r="K7770" i="1"/>
  <c r="K7730" i="1"/>
  <c r="K7762" i="1"/>
  <c r="K7737" i="1"/>
  <c r="K7740" i="1"/>
  <c r="K268" i="1"/>
  <c r="K274" i="1"/>
  <c r="K259" i="1"/>
  <c r="K2301" i="1"/>
  <c r="K2292" i="1"/>
  <c r="K2283" i="1"/>
  <c r="K2311" i="1"/>
  <c r="K4968" i="1"/>
  <c r="K4950" i="1"/>
  <c r="K4967" i="1"/>
  <c r="K7743" i="1"/>
  <c r="K7713" i="1"/>
  <c r="K7746" i="1"/>
  <c r="K7775" i="1"/>
  <c r="K7751" i="1"/>
  <c r="K7754" i="1"/>
  <c r="K280" i="1"/>
  <c r="K286" i="1"/>
  <c r="K281" i="1"/>
  <c r="K2313" i="1"/>
  <c r="K2304" i="1"/>
  <c r="K2295" i="1"/>
  <c r="K2273" i="1"/>
  <c r="K4980" i="1"/>
  <c r="K4963" i="1"/>
  <c r="K4981" i="1"/>
  <c r="K7755" i="1"/>
  <c r="K7728" i="1"/>
  <c r="K7760" i="1"/>
  <c r="K7720" i="1"/>
  <c r="K7765" i="1"/>
  <c r="K7769" i="1"/>
  <c r="K258" i="1"/>
  <c r="K263" i="1"/>
  <c r="K283" i="1"/>
  <c r="K2266" i="1"/>
  <c r="K2269" i="1"/>
  <c r="K2307" i="1"/>
  <c r="K2284" i="1"/>
  <c r="K4959" i="1"/>
  <c r="K4976" i="1"/>
  <c r="K4955" i="1"/>
  <c r="K7767" i="1"/>
  <c r="K7742" i="1"/>
  <c r="K7773" i="1"/>
  <c r="K7735" i="1"/>
  <c r="K7724" i="1"/>
  <c r="K270" i="1"/>
  <c r="K264" i="1"/>
  <c r="K288" i="1"/>
  <c r="K2278" i="1"/>
  <c r="K2281" i="1"/>
  <c r="K2262" i="1"/>
  <c r="K2285" i="1"/>
  <c r="K4972" i="1"/>
  <c r="K4951" i="1"/>
  <c r="K4969" i="1"/>
  <c r="K7721" i="1"/>
  <c r="K7758" i="1"/>
  <c r="K7717" i="1"/>
  <c r="K7749" i="1"/>
  <c r="K7738" i="1"/>
  <c r="K28" i="1"/>
  <c r="K33" i="1"/>
  <c r="K31" i="1"/>
  <c r="K1893" i="1"/>
  <c r="K1896" i="1"/>
  <c r="K1899" i="1"/>
  <c r="K5" i="1"/>
  <c r="K10" i="1"/>
  <c r="K35" i="1"/>
  <c r="K1906" i="1"/>
  <c r="K1909" i="1"/>
  <c r="K1912" i="1"/>
  <c r="K1914" i="1"/>
  <c r="K4573" i="1"/>
  <c r="K4588" i="1"/>
  <c r="K4603" i="1"/>
  <c r="K4979" i="1"/>
  <c r="K7215" i="1"/>
  <c r="K7217" i="1"/>
  <c r="K7243" i="1"/>
  <c r="K7210" i="1"/>
  <c r="K7236" i="1"/>
  <c r="K2" i="1"/>
  <c r="K6" i="1"/>
  <c r="K7" i="1"/>
  <c r="K1904" i="1"/>
  <c r="K1894" i="1"/>
  <c r="K1897" i="1"/>
  <c r="K1889" i="1"/>
  <c r="K1874" i="1"/>
  <c r="K4574" i="1"/>
  <c r="K4577" i="1"/>
  <c r="K4604" i="1"/>
  <c r="K14" i="1"/>
  <c r="K18" i="1"/>
  <c r="K11" i="1"/>
  <c r="K1916" i="1"/>
  <c r="K1907" i="1"/>
  <c r="K1910" i="1"/>
  <c r="K1902" i="1"/>
  <c r="K1875" i="1"/>
  <c r="K4586" i="1"/>
  <c r="K4589" i="1"/>
  <c r="K4569" i="1"/>
  <c r="K4583" i="1"/>
  <c r="K26" i="1"/>
  <c r="K30" i="1"/>
  <c r="K12" i="1"/>
  <c r="K3" i="1"/>
  <c r="K8" i="1"/>
  <c r="K13" i="1"/>
  <c r="K1878" i="1"/>
  <c r="K1882" i="1"/>
  <c r="K1885" i="1"/>
  <c r="K1877" i="1"/>
  <c r="K1900" i="1"/>
  <c r="K4610" i="1"/>
  <c r="K4613" i="1"/>
  <c r="K4593" i="1"/>
  <c r="K7214" i="1"/>
  <c r="K7216" i="1"/>
  <c r="K7230" i="1"/>
  <c r="K7256" i="1"/>
  <c r="K7223" i="1"/>
  <c r="K7237" i="1"/>
  <c r="K15" i="1"/>
  <c r="K20" i="1"/>
  <c r="K19" i="1"/>
  <c r="K1891" i="1"/>
  <c r="K1895" i="1"/>
  <c r="K1898" i="1"/>
  <c r="K1890" i="1"/>
  <c r="K1887" i="1"/>
  <c r="K4575" i="1"/>
  <c r="K4578" i="1"/>
  <c r="K4605" i="1"/>
  <c r="K7226" i="1"/>
  <c r="K7228" i="1"/>
  <c r="K7242" i="1"/>
  <c r="K7209" i="1"/>
  <c r="K7235" i="1"/>
  <c r="K7249" i="1"/>
  <c r="K27" i="1"/>
  <c r="K32" i="1"/>
  <c r="K23" i="1"/>
  <c r="K1905" i="1"/>
  <c r="K1908" i="1"/>
  <c r="K1911" i="1"/>
  <c r="K1903" i="1"/>
  <c r="K4572" i="1"/>
  <c r="K4587" i="1"/>
  <c r="K4590" i="1"/>
  <c r="K4594" i="1"/>
  <c r="K7238" i="1"/>
  <c r="K7240" i="1"/>
  <c r="K7254" i="1"/>
  <c r="K7221" i="1"/>
  <c r="K7247" i="1"/>
  <c r="K7261" i="1"/>
  <c r="K4" i="1"/>
  <c r="K9" i="1"/>
  <c r="K24" i="1"/>
  <c r="K1918" i="1"/>
  <c r="K1921" i="1"/>
  <c r="K1924" i="1"/>
  <c r="K1917" i="1"/>
  <c r="K4584" i="1"/>
  <c r="K4599" i="1"/>
  <c r="K4602" i="1"/>
  <c r="K4595" i="1"/>
  <c r="K7250" i="1"/>
  <c r="K7252" i="1"/>
  <c r="K7207" i="1"/>
  <c r="K1879" i="1"/>
  <c r="K1901" i="1"/>
  <c r="K4600" i="1"/>
  <c r="K4582" i="1"/>
  <c r="K7241" i="1"/>
  <c r="K7245" i="1"/>
  <c r="K7201" i="1"/>
  <c r="K1919" i="1"/>
  <c r="K1913" i="1"/>
  <c r="K4612" i="1"/>
  <c r="K7202" i="1"/>
  <c r="K7253" i="1"/>
  <c r="K7257" i="1"/>
  <c r="K7213" i="1"/>
  <c r="K16" i="1"/>
  <c r="K1881" i="1"/>
  <c r="K1926" i="1"/>
  <c r="K4601" i="1"/>
  <c r="K7262" i="1"/>
  <c r="K7206" i="1"/>
  <c r="K7222" i="1"/>
  <c r="K7225" i="1"/>
  <c r="K17" i="1"/>
  <c r="K1920" i="1"/>
  <c r="K1927" i="1"/>
  <c r="K4579" i="1"/>
  <c r="K7203" i="1"/>
  <c r="K7218" i="1"/>
  <c r="K7234" i="1"/>
  <c r="K29" i="1"/>
  <c r="K1883" i="1"/>
  <c r="K1888" i="1"/>
  <c r="K4591" i="1"/>
  <c r="K7227" i="1"/>
  <c r="K7219" i="1"/>
  <c r="K7246" i="1"/>
  <c r="K21" i="1"/>
  <c r="K1922" i="1"/>
  <c r="K4596" i="1"/>
  <c r="K4580" i="1"/>
  <c r="K7239" i="1"/>
  <c r="K7231" i="1"/>
  <c r="K7258" i="1"/>
  <c r="K22" i="1"/>
  <c r="K1884" i="1"/>
  <c r="K4608" i="1"/>
  <c r="K4592" i="1"/>
  <c r="K7251" i="1"/>
  <c r="K7255" i="1"/>
  <c r="K7211" i="1"/>
  <c r="K34" i="1"/>
  <c r="K1923" i="1"/>
  <c r="K4585" i="1"/>
  <c r="K4581" i="1"/>
  <c r="K7263" i="1"/>
  <c r="K7208" i="1"/>
  <c r="K7259" i="1"/>
  <c r="K25" i="1"/>
  <c r="K1886" i="1"/>
  <c r="K4597" i="1"/>
  <c r="K4606" i="1"/>
  <c r="K7204" i="1"/>
  <c r="K7220" i="1"/>
  <c r="K7212" i="1"/>
  <c r="K1880" i="1"/>
  <c r="K1925" i="1"/>
  <c r="K4598" i="1"/>
  <c r="K4607" i="1"/>
  <c r="K7264" i="1"/>
  <c r="K7232" i="1"/>
  <c r="K7224" i="1"/>
  <c r="K1892" i="1"/>
  <c r="K1876" i="1"/>
  <c r="K4611" i="1"/>
  <c r="K4570" i="1"/>
  <c r="K7205" i="1"/>
  <c r="K7244" i="1"/>
  <c r="K7248" i="1"/>
  <c r="K1928" i="1"/>
  <c r="K1915" i="1"/>
  <c r="K4576" i="1"/>
  <c r="K4571" i="1"/>
  <c r="K7229" i="1"/>
  <c r="K7233" i="1"/>
  <c r="K7260" i="1"/>
  <c r="K1868" i="1"/>
  <c r="K1865" i="1"/>
  <c r="K1866" i="1"/>
  <c r="K1867" i="1"/>
  <c r="K1869" i="1"/>
  <c r="K1870" i="1"/>
  <c r="K1871" i="1"/>
  <c r="K1872" i="1"/>
  <c r="K1873" i="1"/>
  <c r="K1864" i="1"/>
  <c r="K4864" i="1"/>
  <c r="K7190" i="1"/>
  <c r="K7191" i="1"/>
  <c r="K7192" i="1"/>
  <c r="K7193" i="1"/>
  <c r="K7194" i="1"/>
  <c r="K7195" i="1"/>
  <c r="K7184" i="1"/>
  <c r="K7185" i="1"/>
  <c r="K7197" i="1"/>
  <c r="K7186" i="1"/>
  <c r="K7198" i="1"/>
  <c r="K7187" i="1"/>
  <c r="K7199" i="1"/>
  <c r="K7188" i="1"/>
  <c r="K7200" i="1"/>
  <c r="K7189" i="1"/>
  <c r="K10856" i="1"/>
  <c r="K10868" i="1"/>
  <c r="K10880" i="1"/>
  <c r="K10892" i="1"/>
  <c r="K10904" i="1"/>
  <c r="K10857" i="1"/>
  <c r="K10869" i="1"/>
  <c r="K10881" i="1"/>
  <c r="K10893" i="1"/>
  <c r="K10905" i="1"/>
  <c r="K10858" i="1"/>
  <c r="K10870" i="1"/>
  <c r="K10882" i="1"/>
  <c r="K10894" i="1"/>
  <c r="K10906" i="1"/>
  <c r="K10859" i="1"/>
  <c r="K10871" i="1"/>
  <c r="K10883" i="1"/>
  <c r="K10895" i="1"/>
  <c r="K10907" i="1"/>
  <c r="K10860" i="1"/>
  <c r="K10872" i="1"/>
  <c r="K10884" i="1"/>
  <c r="K10896" i="1"/>
  <c r="K10908" i="1"/>
  <c r="K10849" i="1"/>
  <c r="K10861" i="1"/>
  <c r="K10873" i="1"/>
  <c r="K10885" i="1"/>
  <c r="K10897" i="1"/>
  <c r="K10909" i="1"/>
  <c r="K10850" i="1"/>
  <c r="K10862" i="1"/>
  <c r="K10874" i="1"/>
  <c r="K10886" i="1"/>
  <c r="K10898" i="1"/>
  <c r="K10910" i="1"/>
  <c r="K10851" i="1"/>
  <c r="K10863" i="1"/>
  <c r="K10875" i="1"/>
  <c r="K10887" i="1"/>
  <c r="K10899" i="1"/>
  <c r="K10911" i="1"/>
  <c r="K10852" i="1"/>
  <c r="K10864" i="1"/>
  <c r="K10876" i="1"/>
  <c r="K10888" i="1"/>
  <c r="K10900" i="1"/>
  <c r="K10912" i="1"/>
  <c r="K10853" i="1"/>
  <c r="K10865" i="1"/>
  <c r="K10877" i="1"/>
  <c r="K10889" i="1"/>
  <c r="K10901" i="1"/>
  <c r="K10854" i="1"/>
  <c r="K10866" i="1"/>
  <c r="K10878" i="1"/>
  <c r="K10890" i="1"/>
  <c r="K10902" i="1"/>
  <c r="K10855" i="1"/>
  <c r="K10867" i="1"/>
  <c r="K10879" i="1"/>
  <c r="K10891" i="1"/>
  <c r="K10903" i="1"/>
  <c r="K639" i="1"/>
  <c r="K657" i="1"/>
  <c r="K631" i="1"/>
  <c r="K2832" i="1"/>
  <c r="K2822" i="1"/>
  <c r="K2850" i="1"/>
  <c r="K2840" i="1"/>
  <c r="K2841" i="1"/>
  <c r="K5522" i="1"/>
  <c r="K8478" i="1"/>
  <c r="K8480" i="1"/>
  <c r="K8435" i="1"/>
  <c r="K8462" i="1"/>
  <c r="K8424" i="1"/>
  <c r="K651" i="1"/>
  <c r="K634" i="1"/>
  <c r="K660" i="1"/>
  <c r="K2845" i="1"/>
  <c r="K2835" i="1"/>
  <c r="K2863" i="1"/>
  <c r="K2853" i="1"/>
  <c r="K2854" i="1"/>
  <c r="K5511" i="1"/>
  <c r="K8419" i="1"/>
  <c r="K8421" i="1"/>
  <c r="K8447" i="1"/>
  <c r="K8474" i="1"/>
  <c r="K8429" i="1"/>
  <c r="K640" i="1"/>
  <c r="K646" i="1"/>
  <c r="K629" i="1"/>
  <c r="K2858" i="1"/>
  <c r="K2848" i="1"/>
  <c r="K2812" i="1"/>
  <c r="K2816" i="1"/>
  <c r="K5513" i="1"/>
  <c r="K5523" i="1"/>
  <c r="K8431" i="1"/>
  <c r="K8433" i="1"/>
  <c r="K8459" i="1"/>
  <c r="K8427" i="1"/>
  <c r="K8436" i="1"/>
  <c r="K652" i="1"/>
  <c r="K658" i="1"/>
  <c r="K635" i="1"/>
  <c r="K2820" i="1"/>
  <c r="K2861" i="1"/>
  <c r="K2825" i="1"/>
  <c r="K2829" i="1"/>
  <c r="K5525" i="1"/>
  <c r="K5512" i="1"/>
  <c r="K8443" i="1"/>
  <c r="K8445" i="1"/>
  <c r="K8471" i="1"/>
  <c r="K8439" i="1"/>
  <c r="K8441" i="1"/>
  <c r="K630" i="1"/>
  <c r="K636" i="1"/>
  <c r="K655" i="1"/>
  <c r="K2833" i="1"/>
  <c r="K2810" i="1"/>
  <c r="K2838" i="1"/>
  <c r="K2842" i="1"/>
  <c r="K5515" i="1"/>
  <c r="K5514" i="1"/>
  <c r="K8455" i="1"/>
  <c r="K8457" i="1"/>
  <c r="K8425" i="1"/>
  <c r="K8451" i="1"/>
  <c r="K8448" i="1"/>
  <c r="K642" i="1"/>
  <c r="K637" i="1"/>
  <c r="K659" i="1"/>
  <c r="K2846" i="1"/>
  <c r="K2823" i="1"/>
  <c r="K2851" i="1"/>
  <c r="K2856" i="1"/>
  <c r="K5516" i="1"/>
  <c r="K5524" i="1"/>
  <c r="K8467" i="1"/>
  <c r="K8469" i="1"/>
  <c r="K8437" i="1"/>
  <c r="K8463" i="1"/>
  <c r="K8453" i="1"/>
  <c r="K654" i="1"/>
  <c r="K641" i="1"/>
  <c r="K2819" i="1"/>
  <c r="K2859" i="1"/>
  <c r="K2836" i="1"/>
  <c r="K2813" i="1"/>
  <c r="K2817" i="1"/>
  <c r="K5517" i="1"/>
  <c r="K6860" i="1"/>
  <c r="K8479" i="1"/>
  <c r="K8422" i="1"/>
  <c r="K8449" i="1"/>
  <c r="K8475" i="1"/>
  <c r="K8460" i="1"/>
  <c r="K632" i="1"/>
  <c r="K643" i="1"/>
  <c r="K2831" i="1"/>
  <c r="K2821" i="1"/>
  <c r="K2849" i="1"/>
  <c r="K2826" i="1"/>
  <c r="K2830" i="1"/>
  <c r="K5518" i="1"/>
  <c r="K8418" i="1"/>
  <c r="K8420" i="1"/>
  <c r="K8434" i="1"/>
  <c r="K8461" i="1"/>
  <c r="K8428" i="1"/>
  <c r="K8465" i="1"/>
  <c r="K644" i="1"/>
  <c r="K647" i="1"/>
  <c r="K2843" i="1"/>
  <c r="K2834" i="1"/>
  <c r="K2862" i="1"/>
  <c r="K2839" i="1"/>
  <c r="K2844" i="1"/>
  <c r="K5519" i="1"/>
  <c r="K8430" i="1"/>
  <c r="K8432" i="1"/>
  <c r="K8446" i="1"/>
  <c r="K8473" i="1"/>
  <c r="K8440" i="1"/>
  <c r="K8472" i="1"/>
  <c r="K638" i="1"/>
  <c r="K656" i="1"/>
  <c r="K648" i="1"/>
  <c r="K2855" i="1"/>
  <c r="K2847" i="1"/>
  <c r="K2811" i="1"/>
  <c r="K2852" i="1"/>
  <c r="K2857" i="1"/>
  <c r="K5520" i="1"/>
  <c r="K8442" i="1"/>
  <c r="K8444" i="1"/>
  <c r="K8458" i="1"/>
  <c r="K8426" i="1"/>
  <c r="K8452" i="1"/>
  <c r="K8477" i="1"/>
  <c r="K650" i="1"/>
  <c r="K633" i="1"/>
  <c r="K649" i="1"/>
  <c r="K661" i="1"/>
  <c r="K2860" i="1"/>
  <c r="K2824" i="1"/>
  <c r="K2814" i="1"/>
  <c r="K2815" i="1"/>
  <c r="K5509" i="1"/>
  <c r="K8454" i="1"/>
  <c r="K8456" i="1"/>
  <c r="K8470" i="1"/>
  <c r="K8438" i="1"/>
  <c r="K8464" i="1"/>
  <c r="K8417" i="1"/>
  <c r="K662" i="1"/>
  <c r="K645" i="1"/>
  <c r="K653" i="1"/>
  <c r="K2818" i="1"/>
  <c r="K2809" i="1"/>
  <c r="K2837" i="1"/>
  <c r="K2827" i="1"/>
  <c r="K2828" i="1"/>
  <c r="K5510" i="1"/>
  <c r="K8466" i="1"/>
  <c r="K8468" i="1"/>
  <c r="K8423" i="1"/>
  <c r="K8450" i="1"/>
  <c r="K8476" i="1"/>
  <c r="K7635" i="1"/>
  <c r="K4870" i="1"/>
  <c r="K2165" i="1"/>
  <c r="K2150" i="1"/>
  <c r="K2156" i="1"/>
  <c r="K7989" i="1"/>
  <c r="K8008" i="1"/>
  <c r="K5123" i="1"/>
  <c r="K2450" i="1"/>
  <c r="K401" i="1"/>
  <c r="K8369" i="1"/>
  <c r="K5478" i="1"/>
  <c r="K5455" i="1"/>
  <c r="K2771" i="1"/>
  <c r="K5778" i="1"/>
  <c r="K9208" i="1"/>
  <c r="K10148" i="1"/>
  <c r="K7618" i="1"/>
  <c r="K7625" i="1"/>
  <c r="K4904" i="1"/>
  <c r="K4913" i="1"/>
  <c r="K4895" i="1"/>
  <c r="K4875" i="1"/>
  <c r="K2164" i="1"/>
  <c r="K2166" i="1"/>
  <c r="K2197" i="1"/>
  <c r="K2159" i="1"/>
  <c r="K203" i="1"/>
  <c r="K201" i="1"/>
  <c r="K194" i="1"/>
  <c r="K7976" i="1"/>
  <c r="K7998" i="1"/>
  <c r="K7994" i="1"/>
  <c r="K7983" i="1"/>
  <c r="K5122" i="1"/>
  <c r="K5141" i="1"/>
  <c r="K2455" i="1"/>
  <c r="K2473" i="1"/>
  <c r="K2458" i="1"/>
  <c r="K421" i="1"/>
  <c r="K424" i="1"/>
  <c r="K8380" i="1"/>
  <c r="K8389" i="1"/>
  <c r="K8372" i="1"/>
  <c r="K5476" i="1"/>
  <c r="K5483" i="1"/>
  <c r="K5501" i="1"/>
  <c r="K2773" i="1"/>
  <c r="K2759" i="1"/>
  <c r="K8852" i="1"/>
  <c r="K8818" i="1"/>
  <c r="K5786" i="1"/>
  <c r="K3159" i="1"/>
  <c r="K9194" i="1"/>
  <c r="K3464" i="1"/>
  <c r="K6342" i="1"/>
  <c r="K6624" i="1"/>
  <c r="K10590" i="1"/>
  <c r="K10577" i="1"/>
  <c r="K10564" i="1"/>
  <c r="K10591" i="1"/>
  <c r="K10538" i="1"/>
  <c r="K10578" i="1"/>
  <c r="K10589" i="1"/>
  <c r="K10565" i="1"/>
  <c r="K10576" i="1"/>
  <c r="K10552" i="1"/>
  <c r="K10534" i="1"/>
  <c r="K10539" i="1"/>
  <c r="K10550" i="1"/>
  <c r="K10575" i="1"/>
  <c r="K10562" i="1"/>
  <c r="K1736" i="1"/>
  <c r="K1752" i="1"/>
  <c r="K4296" i="1"/>
  <c r="K4300" i="1"/>
  <c r="K4303" i="1"/>
  <c r="K4664" i="1"/>
  <c r="K4335" i="1"/>
  <c r="K6977" i="1"/>
  <c r="K10549" i="1"/>
  <c r="K10535" i="1"/>
  <c r="K10551" i="1"/>
  <c r="K1733" i="1"/>
  <c r="K1753" i="1"/>
  <c r="K1738" i="1"/>
  <c r="K4324" i="1"/>
  <c r="K4327" i="1"/>
  <c r="K4330" i="1"/>
  <c r="K4295" i="1"/>
  <c r="K6975" i="1"/>
  <c r="K7002" i="1"/>
  <c r="K6970" i="1"/>
  <c r="K10536" i="1"/>
  <c r="K1745" i="1"/>
  <c r="K1742" i="1"/>
  <c r="K4297" i="1"/>
  <c r="K4337" i="1"/>
  <c r="K4340" i="1"/>
  <c r="K4343" i="1"/>
  <c r="K4307" i="1"/>
  <c r="K6987" i="1"/>
  <c r="K6967" i="1"/>
  <c r="K6982" i="1"/>
  <c r="K10548" i="1"/>
  <c r="K1734" i="1"/>
  <c r="K1743" i="1"/>
  <c r="K4309" i="1"/>
  <c r="K4299" i="1"/>
  <c r="K4302" i="1"/>
  <c r="K4305" i="1"/>
  <c r="K4308" i="1"/>
  <c r="K6999" i="1"/>
  <c r="K6979" i="1"/>
  <c r="K6994" i="1"/>
  <c r="K10560" i="1"/>
  <c r="K10563" i="1"/>
  <c r="K10537" i="1"/>
  <c r="K10588" i="1"/>
  <c r="K1735" i="1"/>
  <c r="K1739" i="1"/>
  <c r="K4325" i="1"/>
  <c r="K4342" i="1"/>
  <c r="K4322" i="1"/>
  <c r="K6966" i="1"/>
  <c r="K6971" i="1"/>
  <c r="K1747" i="1"/>
  <c r="K1740" i="1"/>
  <c r="K4338" i="1"/>
  <c r="K4304" i="1"/>
  <c r="K4334" i="1"/>
  <c r="K6978" i="1"/>
  <c r="K6983" i="1"/>
  <c r="K10587" i="1"/>
  <c r="K1748" i="1"/>
  <c r="K1732" i="1"/>
  <c r="K4313" i="1"/>
  <c r="K4317" i="1"/>
  <c r="K4347" i="1"/>
  <c r="K6990" i="1"/>
  <c r="K6995" i="1"/>
  <c r="K10574" i="1"/>
  <c r="K1737" i="1"/>
  <c r="K4321" i="1"/>
  <c r="K4326" i="1"/>
  <c r="K4318" i="1"/>
  <c r="K4348" i="1"/>
  <c r="K6991" i="1"/>
  <c r="K6972" i="1"/>
  <c r="K10561" i="1"/>
  <c r="K1749" i="1"/>
  <c r="K4333" i="1"/>
  <c r="K4339" i="1"/>
  <c r="K4331" i="1"/>
  <c r="K6974" i="1"/>
  <c r="K7003" i="1"/>
  <c r="K6984" i="1"/>
  <c r="K10547" i="1"/>
  <c r="K1729" i="1"/>
  <c r="K4345" i="1"/>
  <c r="K4301" i="1"/>
  <c r="K4344" i="1"/>
  <c r="K6986" i="1"/>
  <c r="K6968" i="1"/>
  <c r="K6996" i="1"/>
  <c r="K1741" i="1"/>
  <c r="K4310" i="1"/>
  <c r="K4314" i="1"/>
  <c r="K4306" i="1"/>
  <c r="K6998" i="1"/>
  <c r="K6980" i="1"/>
  <c r="K6985" i="1"/>
  <c r="K1744" i="1"/>
  <c r="K4323" i="1"/>
  <c r="K4315" i="1"/>
  <c r="K4319" i="1"/>
  <c r="K6976" i="1"/>
  <c r="K6992" i="1"/>
  <c r="K6997" i="1"/>
  <c r="K1750" i="1"/>
  <c r="K4336" i="1"/>
  <c r="K4328" i="1"/>
  <c r="K4332" i="1"/>
  <c r="K6988" i="1"/>
  <c r="K7004" i="1"/>
  <c r="K6973" i="1"/>
  <c r="K1751" i="1"/>
  <c r="K4298" i="1"/>
  <c r="K4341" i="1"/>
  <c r="K4346" i="1"/>
  <c r="K6965" i="1"/>
  <c r="K6969" i="1"/>
  <c r="K10572" i="1"/>
  <c r="K1730" i="1"/>
  <c r="K4311" i="1"/>
  <c r="K4316" i="1"/>
  <c r="K4294" i="1"/>
  <c r="K6989" i="1"/>
  <c r="K6981" i="1"/>
  <c r="K10584" i="1"/>
  <c r="K1746" i="1"/>
  <c r="K1731" i="1"/>
  <c r="K4312" i="1"/>
  <c r="K4329" i="1"/>
  <c r="K4320" i="1"/>
  <c r="K7001" i="1"/>
  <c r="K6993" i="1"/>
  <c r="K10533" i="1"/>
  <c r="K10532" i="1"/>
  <c r="K10557" i="1"/>
  <c r="K10544" i="1"/>
  <c r="K10586" i="1"/>
  <c r="K10585" i="1"/>
  <c r="K10573" i="1"/>
  <c r="K10571" i="1"/>
  <c r="K10559" i="1"/>
  <c r="K10558" i="1"/>
  <c r="K10546" i="1"/>
  <c r="K10543" i="1"/>
  <c r="K10530" i="1"/>
  <c r="K10583" i="1"/>
  <c r="K10570" i="1"/>
  <c r="K10531" i="1"/>
  <c r="K10545" i="1"/>
  <c r="K10582" i="1"/>
  <c r="K10569" i="1"/>
  <c r="K10556" i="1"/>
  <c r="K10542" i="1"/>
  <c r="K10529" i="1"/>
  <c r="K10580" i="1"/>
  <c r="K10567" i="1"/>
  <c r="K10554" i="1"/>
  <c r="K10541" i="1"/>
  <c r="K10581" i="1"/>
  <c r="K10568" i="1"/>
  <c r="K10555" i="1"/>
  <c r="K1844" i="1"/>
  <c r="K1856" i="1"/>
  <c r="K1839" i="1"/>
  <c r="K1852" i="1"/>
  <c r="K1840" i="1"/>
  <c r="K1853" i="1"/>
  <c r="K1841" i="1"/>
  <c r="K1854" i="1"/>
  <c r="K1842" i="1"/>
  <c r="K1855" i="1"/>
  <c r="K1843" i="1"/>
  <c r="K1857" i="1"/>
  <c r="K1845" i="1"/>
  <c r="K1858" i="1"/>
  <c r="K1846" i="1"/>
  <c r="K1859" i="1"/>
  <c r="K1847" i="1"/>
  <c r="K1860" i="1"/>
  <c r="K1837" i="1"/>
  <c r="K1850" i="1"/>
  <c r="K1863" i="1"/>
  <c r="K1838" i="1"/>
  <c r="K1851" i="1"/>
  <c r="K1836" i="1"/>
  <c r="K1848" i="1"/>
  <c r="K1849" i="1"/>
  <c r="K1861" i="1"/>
  <c r="K1862" i="1"/>
  <c r="K4524" i="1"/>
  <c r="K4536" i="1"/>
  <c r="K4548" i="1"/>
  <c r="K4560" i="1"/>
  <c r="K4525" i="1"/>
  <c r="K4537" i="1"/>
  <c r="K4549" i="1"/>
  <c r="K4561" i="1"/>
  <c r="K4514" i="1"/>
  <c r="K4526" i="1"/>
  <c r="K4538" i="1"/>
  <c r="K4550" i="1"/>
  <c r="K4562" i="1"/>
  <c r="K4515" i="1"/>
  <c r="K4527" i="1"/>
  <c r="K4539" i="1"/>
  <c r="K4551" i="1"/>
  <c r="K4563" i="1"/>
  <c r="K4516" i="1"/>
  <c r="K4528" i="1"/>
  <c r="K4540" i="1"/>
  <c r="K4552" i="1"/>
  <c r="K4564" i="1"/>
  <c r="K4517" i="1"/>
  <c r="K4529" i="1"/>
  <c r="K4541" i="1"/>
  <c r="K4553" i="1"/>
  <c r="K4565" i="1"/>
  <c r="K4518" i="1"/>
  <c r="K4530" i="1"/>
  <c r="K4542" i="1"/>
  <c r="K4554" i="1"/>
  <c r="K4566" i="1"/>
  <c r="K4519" i="1"/>
  <c r="K4531" i="1"/>
  <c r="K4543" i="1"/>
  <c r="K4555" i="1"/>
  <c r="K4567" i="1"/>
  <c r="K4520" i="1"/>
  <c r="K4532" i="1"/>
  <c r="K4544" i="1"/>
  <c r="K4556" i="1"/>
  <c r="K4568" i="1"/>
  <c r="K4521" i="1"/>
  <c r="K4533" i="1"/>
  <c r="K4545" i="1"/>
  <c r="K4557" i="1"/>
  <c r="K4522" i="1"/>
  <c r="K4523" i="1"/>
  <c r="K4534" i="1"/>
  <c r="K4535" i="1"/>
  <c r="K4546" i="1"/>
  <c r="K4547" i="1"/>
  <c r="K4558" i="1"/>
  <c r="K4559" i="1"/>
  <c r="K4799" i="1"/>
  <c r="K7154" i="1"/>
  <c r="K7166" i="1"/>
  <c r="K7178" i="1"/>
  <c r="K7155" i="1"/>
  <c r="K7167" i="1"/>
  <c r="K7156" i="1"/>
  <c r="K7168" i="1"/>
  <c r="K7180" i="1"/>
  <c r="K7157" i="1"/>
  <c r="K7169" i="1"/>
  <c r="K7181" i="1"/>
  <c r="K7146" i="1"/>
  <c r="K7158" i="1"/>
  <c r="K7170" i="1"/>
  <c r="K7182" i="1"/>
  <c r="K7147" i="1"/>
  <c r="K7159" i="1"/>
  <c r="K7171" i="1"/>
  <c r="K7183" i="1"/>
  <c r="K7148" i="1"/>
  <c r="K7160" i="1"/>
  <c r="K7172" i="1"/>
  <c r="K7149" i="1"/>
  <c r="K7161" i="1"/>
  <c r="K7173" i="1"/>
  <c r="K7150" i="1"/>
  <c r="K7162" i="1"/>
  <c r="K7174" i="1"/>
  <c r="K7151" i="1"/>
  <c r="K7163" i="1"/>
  <c r="K7175" i="1"/>
  <c r="K7152" i="1"/>
  <c r="K7164" i="1"/>
  <c r="K7176" i="1"/>
  <c r="K7153" i="1"/>
  <c r="K7165" i="1"/>
  <c r="K7177" i="1"/>
  <c r="K10796" i="1"/>
  <c r="K10808" i="1"/>
  <c r="K10820" i="1"/>
  <c r="K10832" i="1"/>
  <c r="K10844" i="1"/>
  <c r="K10785" i="1"/>
  <c r="K10797" i="1"/>
  <c r="K10809" i="1"/>
  <c r="K10821" i="1"/>
  <c r="K10833" i="1"/>
  <c r="K10845" i="1"/>
  <c r="K10786" i="1"/>
  <c r="K10798" i="1"/>
  <c r="K10810" i="1"/>
  <c r="K10822" i="1"/>
  <c r="K10834" i="1"/>
  <c r="K10846" i="1"/>
  <c r="K10787" i="1"/>
  <c r="K10799" i="1"/>
  <c r="K10811" i="1"/>
  <c r="K10823" i="1"/>
  <c r="K10835" i="1"/>
  <c r="K10847" i="1"/>
  <c r="K10788" i="1"/>
  <c r="K10800" i="1"/>
  <c r="K10812" i="1"/>
  <c r="K10824" i="1"/>
  <c r="K10836" i="1"/>
  <c r="K10848" i="1"/>
  <c r="K10789" i="1"/>
  <c r="K10801" i="1"/>
  <c r="K10813" i="1"/>
  <c r="K10825" i="1"/>
  <c r="K10837" i="1"/>
  <c r="K10790" i="1"/>
  <c r="K10802" i="1"/>
  <c r="K10814" i="1"/>
  <c r="K10826" i="1"/>
  <c r="K10838" i="1"/>
  <c r="K10791" i="1"/>
  <c r="K10803" i="1"/>
  <c r="K10815" i="1"/>
  <c r="K10827" i="1"/>
  <c r="K10839" i="1"/>
  <c r="K10792" i="1"/>
  <c r="K10804" i="1"/>
  <c r="K10816" i="1"/>
  <c r="K10828" i="1"/>
  <c r="K10840" i="1"/>
  <c r="K10793" i="1"/>
  <c r="K10805" i="1"/>
  <c r="K10817" i="1"/>
  <c r="K10829" i="1"/>
  <c r="K10841" i="1"/>
  <c r="K10794" i="1"/>
  <c r="K10806" i="1"/>
  <c r="K10818" i="1"/>
  <c r="K10830" i="1"/>
  <c r="K10842" i="1"/>
  <c r="K10795" i="1"/>
  <c r="K10807" i="1"/>
  <c r="K10819" i="1"/>
  <c r="K10831" i="1"/>
  <c r="K10843" i="1"/>
  <c r="K4877" i="1"/>
  <c r="K4910" i="1"/>
  <c r="K4887" i="1"/>
  <c r="K2178" i="1"/>
  <c r="K2171" i="1"/>
  <c r="K7973" i="1"/>
  <c r="K7995" i="1"/>
  <c r="K5117" i="1"/>
  <c r="K2467" i="1"/>
  <c r="K2470" i="1"/>
  <c r="K8401" i="1"/>
  <c r="K8384" i="1"/>
  <c r="K5496" i="1"/>
  <c r="K2786" i="1"/>
  <c r="K604" i="1"/>
  <c r="K8859" i="1"/>
  <c r="K3150" i="1"/>
  <c r="K3433" i="1"/>
  <c r="K10499" i="1"/>
  <c r="K10510" i="1"/>
  <c r="K1724" i="1"/>
  <c r="K1726" i="1"/>
  <c r="K4261" i="1"/>
  <c r="K4259" i="1"/>
  <c r="K4263" i="1"/>
  <c r="K10486" i="1"/>
  <c r="K10497" i="1"/>
  <c r="K1697" i="1"/>
  <c r="K1701" i="1"/>
  <c r="K1703" i="1"/>
  <c r="K4273" i="1"/>
  <c r="K10471" i="1"/>
  <c r="K10473" i="1"/>
  <c r="K10484" i="1"/>
  <c r="K1709" i="1"/>
  <c r="K1713" i="1"/>
  <c r="K1727" i="1"/>
  <c r="K4285" i="1"/>
  <c r="K10525" i="1"/>
  <c r="K1722" i="1"/>
  <c r="K1718" i="1"/>
  <c r="K1707" i="1"/>
  <c r="K4283" i="1"/>
  <c r="K4287" i="1"/>
  <c r="K4290" i="1"/>
  <c r="K4254" i="1"/>
  <c r="K6902" i="1"/>
  <c r="K6796" i="1"/>
  <c r="K6906" i="1"/>
  <c r="K6932" i="1"/>
  <c r="K10511" i="1"/>
  <c r="K1699" i="1"/>
  <c r="K1695" i="1"/>
  <c r="K1715" i="1"/>
  <c r="K4245" i="1"/>
  <c r="K4248" i="1"/>
  <c r="K4239" i="1"/>
  <c r="K4267" i="1"/>
  <c r="K6914" i="1"/>
  <c r="K6904" i="1"/>
  <c r="K6918" i="1"/>
  <c r="K10498" i="1"/>
  <c r="K10485" i="1"/>
  <c r="K1723" i="1"/>
  <c r="K1696" i="1"/>
  <c r="K1714" i="1"/>
  <c r="K4271" i="1"/>
  <c r="K4275" i="1"/>
  <c r="K10526" i="1"/>
  <c r="K10513" i="1"/>
  <c r="K10523" i="1"/>
  <c r="K1698" i="1"/>
  <c r="K1728" i="1"/>
  <c r="K4286" i="1"/>
  <c r="K4252" i="1"/>
  <c r="K4242" i="1"/>
  <c r="K6903" i="1"/>
  <c r="K6917" i="1"/>
  <c r="K6908" i="1"/>
  <c r="K6946" i="1"/>
  <c r="K6901" i="1"/>
  <c r="K1710" i="1"/>
  <c r="K1706" i="1"/>
  <c r="K4247" i="1"/>
  <c r="K4265" i="1"/>
  <c r="K4255" i="1"/>
  <c r="K6915" i="1"/>
  <c r="K6929" i="1"/>
  <c r="K6920" i="1"/>
  <c r="K6958" i="1"/>
  <c r="K6913" i="1"/>
  <c r="K1711" i="1"/>
  <c r="K1716" i="1"/>
  <c r="K4260" i="1"/>
  <c r="K4278" i="1"/>
  <c r="K4268" i="1"/>
  <c r="K6927" i="1"/>
  <c r="K6941" i="1"/>
  <c r="K6944" i="1"/>
  <c r="K6911" i="1"/>
  <c r="K6925" i="1"/>
  <c r="K1700" i="1"/>
  <c r="K1708" i="1"/>
  <c r="K4274" i="1"/>
  <c r="K4291" i="1"/>
  <c r="K4281" i="1"/>
  <c r="K6939" i="1"/>
  <c r="K6953" i="1"/>
  <c r="K6956" i="1"/>
  <c r="K6923" i="1"/>
  <c r="K6937" i="1"/>
  <c r="K1712" i="1"/>
  <c r="K4249" i="1"/>
  <c r="K4262" i="1"/>
  <c r="K4240" i="1"/>
  <c r="K4243" i="1"/>
  <c r="K6951" i="1"/>
  <c r="K6930" i="1"/>
  <c r="K6909" i="1"/>
  <c r="K6935" i="1"/>
  <c r="K6949" i="1"/>
  <c r="K10522" i="1"/>
  <c r="K1725" i="1"/>
  <c r="K4244" i="1"/>
  <c r="K4288" i="1"/>
  <c r="K4253" i="1"/>
  <c r="K4256" i="1"/>
  <c r="K6963" i="1"/>
  <c r="K6942" i="1"/>
  <c r="K6921" i="1"/>
  <c r="K6947" i="1"/>
  <c r="K6961" i="1"/>
  <c r="K10509" i="1"/>
  <c r="K1705" i="1"/>
  <c r="K4257" i="1"/>
  <c r="K4250" i="1"/>
  <c r="K4266" i="1"/>
  <c r="K4269" i="1"/>
  <c r="K6916" i="1"/>
  <c r="K6954" i="1"/>
  <c r="K6933" i="1"/>
  <c r="K6959" i="1"/>
  <c r="K10476" i="1"/>
  <c r="K10496" i="1"/>
  <c r="K10472" i="1"/>
  <c r="K1717" i="1"/>
  <c r="K4270" i="1"/>
  <c r="K4276" i="1"/>
  <c r="K4279" i="1"/>
  <c r="K4282" i="1"/>
  <c r="K6928" i="1"/>
  <c r="K6907" i="1"/>
  <c r="K6945" i="1"/>
  <c r="K6900" i="1"/>
  <c r="K10488" i="1"/>
  <c r="K10483" i="1"/>
  <c r="K10508" i="1"/>
  <c r="K1719" i="1"/>
  <c r="K4258" i="1"/>
  <c r="K4289" i="1"/>
  <c r="K4292" i="1"/>
  <c r="K6926" i="1"/>
  <c r="K6940" i="1"/>
  <c r="K6919" i="1"/>
  <c r="K6957" i="1"/>
  <c r="K6912" i="1"/>
  <c r="K10500" i="1"/>
  <c r="K10470" i="1"/>
  <c r="K10495" i="1"/>
  <c r="K1720" i="1"/>
  <c r="K4284" i="1"/>
  <c r="K4251" i="1"/>
  <c r="K4241" i="1"/>
  <c r="K6938" i="1"/>
  <c r="K6952" i="1"/>
  <c r="K6931" i="1"/>
  <c r="K6910" i="1"/>
  <c r="K6924" i="1"/>
  <c r="K10512" i="1"/>
  <c r="K10482" i="1"/>
  <c r="K1702" i="1"/>
  <c r="K4246" i="1"/>
  <c r="K4264" i="1"/>
  <c r="K4280" i="1"/>
  <c r="K6950" i="1"/>
  <c r="K6964" i="1"/>
  <c r="K6943" i="1"/>
  <c r="K6922" i="1"/>
  <c r="K6936" i="1"/>
  <c r="K10524" i="1"/>
  <c r="K1721" i="1"/>
  <c r="K1704" i="1"/>
  <c r="K4272" i="1"/>
  <c r="K4277" i="1"/>
  <c r="K4293" i="1"/>
  <c r="K6962" i="1"/>
  <c r="K6905" i="1"/>
  <c r="K6955" i="1"/>
  <c r="K6934" i="1"/>
  <c r="K6948" i="1"/>
  <c r="K10507" i="1"/>
  <c r="K10521" i="1"/>
  <c r="K10481" i="1"/>
  <c r="K10469" i="1"/>
  <c r="K10468" i="1"/>
  <c r="K10520" i="1"/>
  <c r="K10519" i="1"/>
  <c r="K10494" i="1"/>
  <c r="K10506" i="1"/>
  <c r="K10493" i="1"/>
  <c r="K10480" i="1"/>
  <c r="K10467" i="1"/>
  <c r="K10492" i="1"/>
  <c r="K10479" i="1"/>
  <c r="K10466" i="1"/>
  <c r="K10517" i="1"/>
  <c r="K10504" i="1"/>
  <c r="K10491" i="1"/>
  <c r="K10478" i="1"/>
  <c r="K10465" i="1"/>
  <c r="K10518" i="1"/>
  <c r="K10505" i="1"/>
  <c r="K10516" i="1"/>
  <c r="K10503" i="1"/>
  <c r="K10490" i="1"/>
  <c r="K10477" i="1"/>
  <c r="K10528" i="1"/>
  <c r="K10515" i="1"/>
  <c r="K10502" i="1"/>
  <c r="K10489" i="1"/>
  <c r="K10475" i="1"/>
  <c r="K1670" i="1"/>
  <c r="K1690" i="1"/>
  <c r="K4219" i="1"/>
  <c r="K4222" i="1"/>
  <c r="K4186" i="1"/>
  <c r="K4190" i="1"/>
  <c r="K6867" i="1"/>
  <c r="K6871" i="1"/>
  <c r="K6887" i="1"/>
  <c r="K10452" i="1"/>
  <c r="K10446" i="1"/>
  <c r="K1664" i="1"/>
  <c r="K1671" i="1"/>
  <c r="K4189" i="1"/>
  <c r="K4232" i="1"/>
  <c r="K4235" i="1"/>
  <c r="K4199" i="1"/>
  <c r="K4203" i="1"/>
  <c r="K6879" i="1"/>
  <c r="K6883" i="1"/>
  <c r="K6899" i="1"/>
  <c r="K10464" i="1"/>
  <c r="K10433" i="1"/>
  <c r="K1676" i="1"/>
  <c r="K1678" i="1"/>
  <c r="K4201" i="1"/>
  <c r="K4194" i="1"/>
  <c r="K4184" i="1"/>
  <c r="K4212" i="1"/>
  <c r="K4216" i="1"/>
  <c r="K6891" i="1"/>
  <c r="K6872" i="1"/>
  <c r="K6876" i="1"/>
  <c r="K10420" i="1"/>
  <c r="K1672" i="1"/>
  <c r="K1688" i="1"/>
  <c r="K1679" i="1"/>
  <c r="K4213" i="1"/>
  <c r="K4207" i="1"/>
  <c r="K4197" i="1"/>
  <c r="K4226" i="1"/>
  <c r="K4229" i="1"/>
  <c r="K6868" i="1"/>
  <c r="K6884" i="1"/>
  <c r="K6888" i="1"/>
  <c r="K10407" i="1"/>
  <c r="K10458" i="1"/>
  <c r="K1661" i="1"/>
  <c r="K1665" i="1"/>
  <c r="K1680" i="1"/>
  <c r="K4225" i="1"/>
  <c r="K4220" i="1"/>
  <c r="K4210" i="1"/>
  <c r="K4187" i="1"/>
  <c r="K4191" i="1"/>
  <c r="K6880" i="1"/>
  <c r="K6896" i="1"/>
  <c r="K6865" i="1"/>
  <c r="K10434" i="1"/>
  <c r="K1673" i="1"/>
  <c r="K1677" i="1"/>
  <c r="K1682" i="1"/>
  <c r="K4237" i="1"/>
  <c r="K4233" i="1"/>
  <c r="K4223" i="1"/>
  <c r="K4200" i="1"/>
  <c r="K4204" i="1"/>
  <c r="K6892" i="1"/>
  <c r="K6873" i="1"/>
  <c r="K6877" i="1"/>
  <c r="K10432" i="1"/>
  <c r="K1685" i="1"/>
  <c r="K1689" i="1"/>
  <c r="K1683" i="1"/>
  <c r="K4192" i="1"/>
  <c r="K4195" i="1"/>
  <c r="K4236" i="1"/>
  <c r="K4214" i="1"/>
  <c r="K4217" i="1"/>
  <c r="K6869" i="1"/>
  <c r="K6885" i="1"/>
  <c r="K6889" i="1"/>
  <c r="K10419" i="1"/>
  <c r="K1662" i="1"/>
  <c r="K1669" i="1"/>
  <c r="K1684" i="1"/>
  <c r="K4205" i="1"/>
  <c r="K4208" i="1"/>
  <c r="K4185" i="1"/>
  <c r="K4227" i="1"/>
  <c r="K4230" i="1"/>
  <c r="K6881" i="1"/>
  <c r="K6897" i="1"/>
  <c r="K10403" i="1"/>
  <c r="K10406" i="1"/>
  <c r="K1674" i="1"/>
  <c r="K1681" i="1"/>
  <c r="K1666" i="1"/>
  <c r="K4218" i="1"/>
  <c r="K4221" i="1"/>
  <c r="K4198" i="1"/>
  <c r="K4188" i="1"/>
  <c r="K6178" i="1"/>
  <c r="K6893" i="1"/>
  <c r="K6874" i="1"/>
  <c r="K10404" i="1"/>
  <c r="K1686" i="1"/>
  <c r="K1693" i="1"/>
  <c r="K1691" i="1"/>
  <c r="K4231" i="1"/>
  <c r="K4234" i="1"/>
  <c r="K4211" i="1"/>
  <c r="K4202" i="1"/>
  <c r="K6866" i="1"/>
  <c r="K6870" i="1"/>
  <c r="K6886" i="1"/>
  <c r="K10416" i="1"/>
  <c r="K10408" i="1"/>
  <c r="K1663" i="1"/>
  <c r="K1668" i="1"/>
  <c r="K1667" i="1"/>
  <c r="K4193" i="1"/>
  <c r="K4196" i="1"/>
  <c r="K4224" i="1"/>
  <c r="K4215" i="1"/>
  <c r="K6878" i="1"/>
  <c r="K6882" i="1"/>
  <c r="K6898" i="1"/>
  <c r="K10428" i="1"/>
  <c r="K1675" i="1"/>
  <c r="K1694" i="1"/>
  <c r="K1692" i="1"/>
  <c r="K4206" i="1"/>
  <c r="K4209" i="1"/>
  <c r="K4238" i="1"/>
  <c r="K4228" i="1"/>
  <c r="K6890" i="1"/>
  <c r="K6894" i="1"/>
  <c r="K6875" i="1"/>
  <c r="K10440" i="1"/>
  <c r="K10418" i="1"/>
  <c r="K10445" i="1"/>
  <c r="K10405" i="1"/>
  <c r="K10430" i="1"/>
  <c r="K10459" i="1"/>
  <c r="K10457" i="1"/>
  <c r="K10444" i="1"/>
  <c r="K10431" i="1"/>
  <c r="K10456" i="1"/>
  <c r="K10455" i="1"/>
  <c r="K10443" i="1"/>
  <c r="K10442" i="1"/>
  <c r="K10417" i="1"/>
  <c r="K10402" i="1"/>
  <c r="K10429" i="1"/>
  <c r="K10415" i="1"/>
  <c r="K10401" i="1"/>
  <c r="K10454" i="1"/>
  <c r="K10441" i="1"/>
  <c r="K10427" i="1"/>
  <c r="K10453" i="1"/>
  <c r="K10414" i="1"/>
  <c r="K10439" i="1"/>
  <c r="K10451" i="1"/>
  <c r="K10438" i="1"/>
  <c r="K10426" i="1"/>
  <c r="K10425" i="1"/>
  <c r="K10413" i="1"/>
  <c r="K10412" i="1"/>
  <c r="K10449" i="1"/>
  <c r="K10436" i="1"/>
  <c r="K10423" i="1"/>
  <c r="K10410" i="1"/>
  <c r="K10463" i="1"/>
  <c r="K10450" i="1"/>
  <c r="K10437" i="1"/>
  <c r="K10424" i="1"/>
  <c r="K10411" i="1"/>
  <c r="K10462" i="1"/>
  <c r="K10661" i="1"/>
  <c r="K10660" i="1"/>
  <c r="K10710" i="1"/>
  <c r="K10686" i="1"/>
  <c r="K10674" i="1"/>
  <c r="K10711" i="1"/>
  <c r="K10662" i="1"/>
  <c r="K10699" i="1"/>
  <c r="K10709" i="1"/>
  <c r="K10687" i="1"/>
  <c r="K10697" i="1"/>
  <c r="K10675" i="1"/>
  <c r="K10663" i="1"/>
  <c r="K1787" i="1"/>
  <c r="K1785" i="1"/>
  <c r="K4452" i="1"/>
  <c r="K4443" i="1"/>
  <c r="K4408" i="1"/>
  <c r="K4448" i="1"/>
  <c r="K4439" i="1"/>
  <c r="K7095" i="1"/>
  <c r="K7050" i="1"/>
  <c r="K7076" i="1"/>
  <c r="K7102" i="1"/>
  <c r="K7045" i="1"/>
  <c r="K1801" i="1"/>
  <c r="K1799" i="1"/>
  <c r="K4415" i="1"/>
  <c r="K4455" i="1"/>
  <c r="K4421" i="1"/>
  <c r="K4411" i="1"/>
  <c r="K5586" i="1"/>
  <c r="K7107" i="1"/>
  <c r="K7062" i="1"/>
  <c r="K7088" i="1"/>
  <c r="K7043" i="1"/>
  <c r="K7057" i="1"/>
  <c r="K10720" i="1"/>
  <c r="K1788" i="1"/>
  <c r="K1780" i="1"/>
  <c r="K4428" i="1"/>
  <c r="K4406" i="1"/>
  <c r="K4434" i="1"/>
  <c r="K4424" i="1"/>
  <c r="K7046" i="1"/>
  <c r="K7048" i="1"/>
  <c r="K7074" i="1"/>
  <c r="K7100" i="1"/>
  <c r="K7055" i="1"/>
  <c r="K7069" i="1"/>
  <c r="K10698" i="1"/>
  <c r="K10708" i="1"/>
  <c r="K1790" i="1"/>
  <c r="K10696" i="1"/>
  <c r="K1791" i="1"/>
  <c r="K1795" i="1"/>
  <c r="K4453" i="1"/>
  <c r="K4432" i="1"/>
  <c r="K4458" i="1"/>
  <c r="K4449" i="1"/>
  <c r="K7070" i="1"/>
  <c r="K7072" i="1"/>
  <c r="K7098" i="1"/>
  <c r="K7065" i="1"/>
  <c r="K7079" i="1"/>
  <c r="K7093" i="1"/>
  <c r="K10684" i="1"/>
  <c r="K1792" i="1"/>
  <c r="K1797" i="1"/>
  <c r="K4416" i="1"/>
  <c r="K4444" i="1"/>
  <c r="K4409" i="1"/>
  <c r="K4450" i="1"/>
  <c r="K7082" i="1"/>
  <c r="K7084" i="1"/>
  <c r="K7051" i="1"/>
  <c r="K7077" i="1"/>
  <c r="K7091" i="1"/>
  <c r="K7105" i="1"/>
  <c r="K10672" i="1"/>
  <c r="K1781" i="1"/>
  <c r="K1778" i="1"/>
  <c r="K4405" i="1"/>
  <c r="K4430" i="1"/>
  <c r="K4456" i="1"/>
  <c r="K4422" i="1"/>
  <c r="K4451" i="1"/>
  <c r="K7094" i="1"/>
  <c r="K7096" i="1"/>
  <c r="K7063" i="1"/>
  <c r="K7089" i="1"/>
  <c r="K7044" i="1"/>
  <c r="K10685" i="1"/>
  <c r="K1784" i="1"/>
  <c r="K1793" i="1"/>
  <c r="K4417" i="1"/>
  <c r="K4442" i="1"/>
  <c r="K4407" i="1"/>
  <c r="K4435" i="1"/>
  <c r="K4412" i="1"/>
  <c r="K7106" i="1"/>
  <c r="K7049" i="1"/>
  <c r="K7075" i="1"/>
  <c r="K7101" i="1"/>
  <c r="K7056" i="1"/>
  <c r="K10671" i="1"/>
  <c r="K10673" i="1"/>
  <c r="K1796" i="1"/>
  <c r="K1779" i="1"/>
  <c r="K4429" i="1"/>
  <c r="K4454" i="1"/>
  <c r="K4420" i="1"/>
  <c r="K4447" i="1"/>
  <c r="K4413" i="1"/>
  <c r="K7047" i="1"/>
  <c r="K7061" i="1"/>
  <c r="K7087" i="1"/>
  <c r="K7054" i="1"/>
  <c r="K7068" i="1"/>
  <c r="K10659" i="1"/>
  <c r="K1789" i="1"/>
  <c r="K1794" i="1"/>
  <c r="K4414" i="1"/>
  <c r="K4404" i="1"/>
  <c r="K4433" i="1"/>
  <c r="K4410" i="1"/>
  <c r="K4425" i="1"/>
  <c r="K7059" i="1"/>
  <c r="K7073" i="1"/>
  <c r="K7099" i="1"/>
  <c r="K7066" i="1"/>
  <c r="K7080" i="1"/>
  <c r="K1786" i="1"/>
  <c r="K1783" i="1"/>
  <c r="K4427" i="1"/>
  <c r="K4418" i="1"/>
  <c r="K4445" i="1"/>
  <c r="K4423" i="1"/>
  <c r="K4426" i="1"/>
  <c r="K7071" i="1"/>
  <c r="K7085" i="1"/>
  <c r="K7052" i="1"/>
  <c r="K7078" i="1"/>
  <c r="K7092" i="1"/>
  <c r="K4438" i="1"/>
  <c r="K1800" i="1"/>
  <c r="K7058" i="1"/>
  <c r="K1798" i="1"/>
  <c r="K7083" i="1"/>
  <c r="K1782" i="1"/>
  <c r="K7060" i="1"/>
  <c r="K4440" i="1"/>
  <c r="K7097" i="1"/>
  <c r="K10658" i="1"/>
  <c r="K4441" i="1"/>
  <c r="K7086" i="1"/>
  <c r="K4431" i="1"/>
  <c r="K7064" i="1"/>
  <c r="K4419" i="1"/>
  <c r="K7053" i="1"/>
  <c r="K10719" i="1"/>
  <c r="K4457" i="1"/>
  <c r="K7090" i="1"/>
  <c r="K10707" i="1"/>
  <c r="K4446" i="1"/>
  <c r="K7067" i="1"/>
  <c r="K10695" i="1"/>
  <c r="K4436" i="1"/>
  <c r="K7104" i="1"/>
  <c r="K10683" i="1"/>
  <c r="K4437" i="1"/>
  <c r="K7081" i="1"/>
  <c r="K10681" i="1"/>
  <c r="K10704" i="1"/>
  <c r="K10669" i="1"/>
  <c r="K10692" i="1"/>
  <c r="K10718" i="1"/>
  <c r="K10657" i="1"/>
  <c r="K10706" i="1"/>
  <c r="K10694" i="1"/>
  <c r="K10682" i="1"/>
  <c r="K10670" i="1"/>
  <c r="K10717" i="1"/>
  <c r="K10705" i="1"/>
  <c r="K10716" i="1"/>
  <c r="K10691" i="1"/>
  <c r="K10680" i="1"/>
  <c r="K10679" i="1"/>
  <c r="K10668" i="1"/>
  <c r="K10667" i="1"/>
  <c r="K10693" i="1"/>
  <c r="K10715" i="1"/>
  <c r="K10703" i="1"/>
  <c r="K10690" i="1"/>
  <c r="K10678" i="1"/>
  <c r="K10666" i="1"/>
  <c r="K10713" i="1"/>
  <c r="K10701" i="1"/>
  <c r="K10689" i="1"/>
  <c r="K10677" i="1"/>
  <c r="K10665" i="1"/>
  <c r="K10714" i="1"/>
  <c r="K10702" i="1"/>
  <c r="K64" i="1"/>
  <c r="K69" i="1"/>
  <c r="K36" i="1"/>
  <c r="K4634" i="1"/>
  <c r="K4637" i="1"/>
  <c r="K4663" i="1"/>
  <c r="K4618" i="1"/>
  <c r="K7310" i="1"/>
  <c r="K41" i="1"/>
  <c r="K46" i="1"/>
  <c r="K37" i="1"/>
  <c r="K4646" i="1"/>
  <c r="K4649" i="1"/>
  <c r="K4616" i="1"/>
  <c r="K53" i="1"/>
  <c r="K58" i="1"/>
  <c r="K4620" i="1"/>
  <c r="K4658" i="1"/>
  <c r="K4661" i="1"/>
  <c r="K4628" i="1"/>
  <c r="K42" i="1"/>
  <c r="K55" i="1"/>
  <c r="K4657" i="1"/>
  <c r="K4626" i="1"/>
  <c r="K4641" i="1"/>
  <c r="K6369" i="1"/>
  <c r="K7300" i="1"/>
  <c r="K7302" i="1"/>
  <c r="K7304" i="1"/>
  <c r="K7318" i="1"/>
  <c r="K7285" i="1"/>
  <c r="K54" i="1"/>
  <c r="K59" i="1"/>
  <c r="K4622" i="1"/>
  <c r="K4638" i="1"/>
  <c r="K4653" i="1"/>
  <c r="K7274" i="1"/>
  <c r="K7312" i="1"/>
  <c r="K7314" i="1"/>
  <c r="K7316" i="1"/>
  <c r="K7271" i="1"/>
  <c r="K7297" i="1"/>
  <c r="K66" i="1"/>
  <c r="K60" i="1"/>
  <c r="K4623" i="1"/>
  <c r="K4650" i="1"/>
  <c r="K4665" i="1"/>
  <c r="K7286" i="1"/>
  <c r="K7324" i="1"/>
  <c r="K7326" i="1"/>
  <c r="K7328" i="1"/>
  <c r="K7283" i="1"/>
  <c r="K7309" i="1"/>
  <c r="K38" i="1"/>
  <c r="K44" i="1"/>
  <c r="K61" i="1"/>
  <c r="K4635" i="1"/>
  <c r="K4662" i="1"/>
  <c r="K4666" i="1"/>
  <c r="K7298" i="1"/>
  <c r="K7265" i="1"/>
  <c r="K7267" i="1"/>
  <c r="K7269" i="1"/>
  <c r="K7295" i="1"/>
  <c r="K7321" i="1"/>
  <c r="K50" i="1"/>
  <c r="K56" i="1"/>
  <c r="K67" i="1"/>
  <c r="K4647" i="1"/>
  <c r="K4615" i="1"/>
  <c r="K4667" i="1"/>
  <c r="K7322" i="1"/>
  <c r="K7277" i="1"/>
  <c r="K7279" i="1"/>
  <c r="K7281" i="1"/>
  <c r="K7307" i="1"/>
  <c r="K62" i="1"/>
  <c r="K68" i="1"/>
  <c r="K4632" i="1"/>
  <c r="K4659" i="1"/>
  <c r="K4627" i="1"/>
  <c r="K4619" i="1"/>
  <c r="K7275" i="1"/>
  <c r="K7289" i="1"/>
  <c r="K7291" i="1"/>
  <c r="K7293" i="1"/>
  <c r="K7319" i="1"/>
  <c r="K39" i="1"/>
  <c r="K45" i="1"/>
  <c r="K4644" i="1"/>
  <c r="K4624" i="1"/>
  <c r="K4639" i="1"/>
  <c r="K4630" i="1"/>
  <c r="K7287" i="1"/>
  <c r="K7301" i="1"/>
  <c r="K7303" i="1"/>
  <c r="K7305" i="1"/>
  <c r="K7272" i="1"/>
  <c r="K51" i="1"/>
  <c r="K57" i="1"/>
  <c r="K4656" i="1"/>
  <c r="K4636" i="1"/>
  <c r="K4651" i="1"/>
  <c r="K4631" i="1"/>
  <c r="K7299" i="1"/>
  <c r="K7313" i="1"/>
  <c r="K7315" i="1"/>
  <c r="K7317" i="1"/>
  <c r="K7284" i="1"/>
  <c r="K63" i="1"/>
  <c r="K43" i="1"/>
  <c r="K4668" i="1"/>
  <c r="K4648" i="1"/>
  <c r="K4640" i="1"/>
  <c r="K4642" i="1"/>
  <c r="K7311" i="1"/>
  <c r="K7325" i="1"/>
  <c r="K7327" i="1"/>
  <c r="K7270" i="1"/>
  <c r="K7296" i="1"/>
  <c r="K40" i="1"/>
  <c r="K47" i="1"/>
  <c r="K4621" i="1"/>
  <c r="K4660" i="1"/>
  <c r="K4652" i="1"/>
  <c r="K4643" i="1"/>
  <c r="K7323" i="1"/>
  <c r="K7266" i="1"/>
  <c r="K7268" i="1"/>
  <c r="K7282" i="1"/>
  <c r="K7308" i="1"/>
  <c r="K52" i="1"/>
  <c r="K48" i="1"/>
  <c r="K4633" i="1"/>
  <c r="K4625" i="1"/>
  <c r="K4617" i="1"/>
  <c r="K4654" i="1"/>
  <c r="K7276" i="1"/>
  <c r="K7278" i="1"/>
  <c r="K7280" i="1"/>
  <c r="K7294" i="1"/>
  <c r="K7320" i="1"/>
  <c r="K65" i="1"/>
  <c r="K49" i="1"/>
  <c r="K4645" i="1"/>
  <c r="K4614" i="1"/>
  <c r="K4629" i="1"/>
  <c r="K4655" i="1"/>
  <c r="K7288" i="1"/>
  <c r="K7290" i="1"/>
  <c r="K7292" i="1"/>
  <c r="K7306" i="1"/>
  <c r="K7273" i="1"/>
  <c r="K711" i="1"/>
  <c r="K701" i="1"/>
  <c r="K2963" i="1"/>
  <c r="K2965" i="1"/>
  <c r="K2968" i="1"/>
  <c r="K2958" i="1"/>
  <c r="K2959" i="1"/>
  <c r="K5623" i="1"/>
  <c r="K5649" i="1"/>
  <c r="K5604" i="1"/>
  <c r="K5654" i="1"/>
  <c r="K5634" i="1"/>
  <c r="K8586" i="1"/>
  <c r="K8577" i="1"/>
  <c r="K8603" i="1"/>
  <c r="K8547" i="1"/>
  <c r="K8568" i="1"/>
  <c r="K8561" i="1"/>
  <c r="K700" i="1"/>
  <c r="K703" i="1"/>
  <c r="K2923" i="1"/>
  <c r="K2926" i="1"/>
  <c r="K2930" i="1"/>
  <c r="K2971" i="1"/>
  <c r="K2972" i="1"/>
  <c r="K5635" i="1"/>
  <c r="K5602" i="1"/>
  <c r="K5616" i="1"/>
  <c r="K5595" i="1"/>
  <c r="K5641" i="1"/>
  <c r="K8598" i="1"/>
  <c r="K8589" i="1"/>
  <c r="K8545" i="1"/>
  <c r="K8559" i="1"/>
  <c r="K8573" i="1"/>
  <c r="K712" i="1"/>
  <c r="K707" i="1"/>
  <c r="K2936" i="1"/>
  <c r="K2940" i="1"/>
  <c r="K2943" i="1"/>
  <c r="K2921" i="1"/>
  <c r="K2920" i="1"/>
  <c r="K5647" i="1"/>
  <c r="K5614" i="1"/>
  <c r="K5628" i="1"/>
  <c r="K5607" i="1"/>
  <c r="K5644" i="1"/>
  <c r="K8551" i="1"/>
  <c r="K8601" i="1"/>
  <c r="K8557" i="1"/>
  <c r="K8571" i="1"/>
  <c r="K8580" i="1"/>
  <c r="K702" i="1"/>
  <c r="K708" i="1"/>
  <c r="K2949" i="1"/>
  <c r="K2953" i="1"/>
  <c r="K2956" i="1"/>
  <c r="K2934" i="1"/>
  <c r="K4944" i="1"/>
  <c r="K5600" i="1"/>
  <c r="K5626" i="1"/>
  <c r="K5640" i="1"/>
  <c r="K5619" i="1"/>
  <c r="K5596" i="1"/>
  <c r="K8563" i="1"/>
  <c r="K8554" i="1"/>
  <c r="K8569" i="1"/>
  <c r="K8583" i="1"/>
  <c r="K8585" i="1"/>
  <c r="K714" i="1"/>
  <c r="K709" i="1"/>
  <c r="K2962" i="1"/>
  <c r="K2966" i="1"/>
  <c r="K2969" i="1"/>
  <c r="K2947" i="1"/>
  <c r="K2933" i="1"/>
  <c r="K5612" i="1"/>
  <c r="K5638" i="1"/>
  <c r="K5652" i="1"/>
  <c r="K5631" i="1"/>
  <c r="K5646" i="1"/>
  <c r="K8575" i="1"/>
  <c r="K8566" i="1"/>
  <c r="K8581" i="1"/>
  <c r="K8595" i="1"/>
  <c r="K8587" i="1"/>
  <c r="K704" i="1"/>
  <c r="K718" i="1"/>
  <c r="K2924" i="1"/>
  <c r="K2928" i="1"/>
  <c r="K2931" i="1"/>
  <c r="K2960" i="1"/>
  <c r="K5597" i="1"/>
  <c r="K5624" i="1"/>
  <c r="K5650" i="1"/>
  <c r="K5593" i="1"/>
  <c r="K5643" i="1"/>
  <c r="K5598" i="1"/>
  <c r="K8552" i="1"/>
  <c r="K8578" i="1"/>
  <c r="K8593" i="1"/>
  <c r="K8607" i="1"/>
  <c r="K8592" i="1"/>
  <c r="K716" i="1"/>
  <c r="K713" i="1"/>
  <c r="K2937" i="1"/>
  <c r="K2941" i="1"/>
  <c r="K2944" i="1"/>
  <c r="K2973" i="1"/>
  <c r="K5609" i="1"/>
  <c r="K5636" i="1"/>
  <c r="K5591" i="1"/>
  <c r="K5605" i="1"/>
  <c r="K5655" i="1"/>
  <c r="K5653" i="1"/>
  <c r="K8564" i="1"/>
  <c r="K8590" i="1"/>
  <c r="K8546" i="1"/>
  <c r="K8548" i="1"/>
  <c r="K8597" i="1"/>
  <c r="K705" i="1"/>
  <c r="K715" i="1"/>
  <c r="K2950" i="1"/>
  <c r="K2954" i="1"/>
  <c r="K2957" i="1"/>
  <c r="K2922" i="1"/>
  <c r="K5621" i="1"/>
  <c r="K5648" i="1"/>
  <c r="K5603" i="1"/>
  <c r="K5594" i="1"/>
  <c r="K5617" i="1"/>
  <c r="K5608" i="1"/>
  <c r="K8576" i="1"/>
  <c r="K8602" i="1"/>
  <c r="K8558" i="1"/>
  <c r="K8560" i="1"/>
  <c r="K8599" i="1"/>
  <c r="K717" i="1"/>
  <c r="K719" i="1"/>
  <c r="K2964" i="1"/>
  <c r="K2967" i="1"/>
  <c r="K2970" i="1"/>
  <c r="K2935" i="1"/>
  <c r="K5633" i="1"/>
  <c r="K5601" i="1"/>
  <c r="K5615" i="1"/>
  <c r="K5606" i="1"/>
  <c r="K5620" i="1"/>
  <c r="K5610" i="1"/>
  <c r="K8588" i="1"/>
  <c r="K8555" i="1"/>
  <c r="K8570" i="1"/>
  <c r="K8572" i="1"/>
  <c r="K8604" i="1"/>
  <c r="K698" i="1"/>
  <c r="K706" i="1"/>
  <c r="K2927" i="1"/>
  <c r="K2925" i="1"/>
  <c r="K2929" i="1"/>
  <c r="K2919" i="1"/>
  <c r="K2948" i="1"/>
  <c r="K5645" i="1"/>
  <c r="K5613" i="1"/>
  <c r="K5627" i="1"/>
  <c r="K5618" i="1"/>
  <c r="K5622" i="1"/>
  <c r="K8550" i="1"/>
  <c r="K8600" i="1"/>
  <c r="K8567" i="1"/>
  <c r="K8582" i="1"/>
  <c r="K8584" i="1"/>
  <c r="K8549" i="1"/>
  <c r="K2942" i="1"/>
  <c r="K5630" i="1"/>
  <c r="K8596" i="1"/>
  <c r="K2955" i="1"/>
  <c r="K5642" i="1"/>
  <c r="K8608" i="1"/>
  <c r="K2932" i="1"/>
  <c r="K5629" i="1"/>
  <c r="K8605" i="1"/>
  <c r="K2945" i="1"/>
  <c r="K5632" i="1"/>
  <c r="K8556" i="1"/>
  <c r="K710" i="1"/>
  <c r="K2961" i="1"/>
  <c r="K8562" i="1"/>
  <c r="K699" i="1"/>
  <c r="K2946" i="1"/>
  <c r="K8574" i="1"/>
  <c r="K720" i="1"/>
  <c r="K5599" i="1"/>
  <c r="K8553" i="1"/>
  <c r="K697" i="1"/>
  <c r="K5611" i="1"/>
  <c r="K8565" i="1"/>
  <c r="K2939" i="1"/>
  <c r="K5625" i="1"/>
  <c r="K8579" i="1"/>
  <c r="K2951" i="1"/>
  <c r="K5637" i="1"/>
  <c r="K8591" i="1"/>
  <c r="K2938" i="1"/>
  <c r="K5639" i="1"/>
  <c r="K8594" i="1"/>
  <c r="K2952" i="1"/>
  <c r="K5592" i="1"/>
  <c r="K8606" i="1"/>
  <c r="K10435" i="1"/>
  <c r="K10736" i="1"/>
  <c r="K7596" i="1"/>
  <c r="K7592" i="1"/>
  <c r="K7623" i="1"/>
  <c r="K10311" i="1"/>
  <c r="K10285" i="1"/>
  <c r="K10314" i="1"/>
  <c r="K10335" i="1"/>
  <c r="K10334" i="1"/>
  <c r="K10310" i="1"/>
  <c r="K10280" i="1"/>
  <c r="K10333" i="1"/>
  <c r="K10309" i="1"/>
  <c r="K10279" i="1"/>
  <c r="K10328" i="1"/>
  <c r="K10278" i="1"/>
  <c r="K10327" i="1"/>
  <c r="K10303" i="1"/>
  <c r="K10273" i="1"/>
  <c r="K10302" i="1"/>
  <c r="K10304" i="1"/>
  <c r="K1600" i="1"/>
  <c r="K1616" i="1"/>
  <c r="K1598" i="1"/>
  <c r="K6808" i="1"/>
  <c r="K6813" i="1"/>
  <c r="K6829" i="1"/>
  <c r="K10295" i="1"/>
  <c r="K10275" i="1"/>
  <c r="K10326" i="1"/>
  <c r="K1612" i="1"/>
  <c r="K1593" i="1"/>
  <c r="K1606" i="1"/>
  <c r="K6820" i="1"/>
  <c r="K6802" i="1"/>
  <c r="K10281" i="1"/>
  <c r="K10307" i="1"/>
  <c r="K10276" i="1"/>
  <c r="K1624" i="1"/>
  <c r="K1605" i="1"/>
  <c r="K1608" i="1"/>
  <c r="K6809" i="1"/>
  <c r="K6814" i="1"/>
  <c r="K10293" i="1"/>
  <c r="K10319" i="1"/>
  <c r="K10288" i="1"/>
  <c r="K10323" i="1"/>
  <c r="K1601" i="1"/>
  <c r="K1617" i="1"/>
  <c r="K1610" i="1"/>
  <c r="K6821" i="1"/>
  <c r="K6826" i="1"/>
  <c r="K10305" i="1"/>
  <c r="K10331" i="1"/>
  <c r="K10300" i="1"/>
  <c r="K1613" i="1"/>
  <c r="K1595" i="1"/>
  <c r="K1618" i="1"/>
  <c r="K6810" i="1"/>
  <c r="K6803" i="1"/>
  <c r="K10317" i="1"/>
  <c r="K10284" i="1"/>
  <c r="K10312" i="1"/>
  <c r="K1625" i="1"/>
  <c r="K1607" i="1"/>
  <c r="K1622" i="1"/>
  <c r="K6822" i="1"/>
  <c r="K6815" i="1"/>
  <c r="K10329" i="1"/>
  <c r="K10296" i="1"/>
  <c r="K10324" i="1"/>
  <c r="K1602" i="1"/>
  <c r="K1619" i="1"/>
  <c r="K1620" i="1"/>
  <c r="K6811" i="1"/>
  <c r="K6827" i="1"/>
  <c r="K10282" i="1"/>
  <c r="K10308" i="1"/>
  <c r="K10336" i="1"/>
  <c r="K1614" i="1"/>
  <c r="K1597" i="1"/>
  <c r="K5274" i="1"/>
  <c r="K6823" i="1"/>
  <c r="K6804" i="1"/>
  <c r="K10294" i="1"/>
  <c r="K10320" i="1"/>
  <c r="K10277" i="1"/>
  <c r="K1626" i="1"/>
  <c r="K1609" i="1"/>
  <c r="K6806" i="1"/>
  <c r="K6800" i="1"/>
  <c r="K6816" i="1"/>
  <c r="K10306" i="1"/>
  <c r="K10332" i="1"/>
  <c r="K10289" i="1"/>
  <c r="K1599" i="1"/>
  <c r="K1603" i="1"/>
  <c r="K1621" i="1"/>
  <c r="K6818" i="1"/>
  <c r="K6812" i="1"/>
  <c r="K6828" i="1"/>
  <c r="K10318" i="1"/>
  <c r="K10274" i="1"/>
  <c r="K10301" i="1"/>
  <c r="K1611" i="1"/>
  <c r="K1615" i="1"/>
  <c r="K1594" i="1"/>
  <c r="K6807" i="1"/>
  <c r="K6824" i="1"/>
  <c r="K6805" i="1"/>
  <c r="K10330" i="1"/>
  <c r="K10286" i="1"/>
  <c r="K10313" i="1"/>
  <c r="K1623" i="1"/>
  <c r="K1604" i="1"/>
  <c r="K1596" i="1"/>
  <c r="K6819" i="1"/>
  <c r="K6801" i="1"/>
  <c r="K6817" i="1"/>
  <c r="K10283" i="1"/>
  <c r="K10298" i="1"/>
  <c r="K10325" i="1"/>
  <c r="K10322" i="1"/>
  <c r="K10297" i="1"/>
  <c r="K10321" i="1"/>
  <c r="K10292" i="1"/>
  <c r="K294" i="1"/>
  <c r="K289" i="1"/>
  <c r="K2324" i="1"/>
  <c r="K2350" i="1"/>
  <c r="K2317" i="1"/>
  <c r="K2343" i="1"/>
  <c r="K2356" i="1"/>
  <c r="K5040" i="1"/>
  <c r="K5000" i="1"/>
  <c r="K5029" i="1"/>
  <c r="K5006" i="1"/>
  <c r="K5034" i="1"/>
  <c r="K7779" i="1"/>
  <c r="K7784" i="1"/>
  <c r="K7812" i="1"/>
  <c r="K306" i="1"/>
  <c r="K319" i="1"/>
  <c r="K2336" i="1"/>
  <c r="K2362" i="1"/>
  <c r="K2329" i="1"/>
  <c r="K2355" i="1"/>
  <c r="K2357" i="1"/>
  <c r="K4985" i="1"/>
  <c r="K5013" i="1"/>
  <c r="K5042" i="1"/>
  <c r="K5019" i="1"/>
  <c r="K5047" i="1"/>
  <c r="K318" i="1"/>
  <c r="K293" i="1"/>
  <c r="K2348" i="1"/>
  <c r="K290" i="1"/>
  <c r="K296" i="1"/>
  <c r="K295" i="1"/>
  <c r="K2360" i="1"/>
  <c r="K2327" i="1"/>
  <c r="K2353" i="1"/>
  <c r="K2322" i="1"/>
  <c r="K2320" i="1"/>
  <c r="K5011" i="1"/>
  <c r="K5039" i="1"/>
  <c r="K5003" i="1"/>
  <c r="K5045" i="1"/>
  <c r="K5009" i="1"/>
  <c r="K7815" i="1"/>
  <c r="K7823" i="1"/>
  <c r="K7787" i="1"/>
  <c r="K7829" i="1"/>
  <c r="K7793" i="1"/>
  <c r="K7821" i="1"/>
  <c r="K302" i="1"/>
  <c r="K308" i="1"/>
  <c r="K299" i="1"/>
  <c r="K317" i="1"/>
  <c r="K2339" i="1"/>
  <c r="K314" i="1"/>
  <c r="K320" i="1"/>
  <c r="K300" i="1"/>
  <c r="K2325" i="1"/>
  <c r="K2351" i="1"/>
  <c r="K2318" i="1"/>
  <c r="K2346" i="1"/>
  <c r="K2333" i="1"/>
  <c r="K5037" i="1"/>
  <c r="K5001" i="1"/>
  <c r="K5030" i="1"/>
  <c r="K5007" i="1"/>
  <c r="K5035" i="1"/>
  <c r="K7839" i="1"/>
  <c r="K7785" i="1"/>
  <c r="K7813" i="1"/>
  <c r="K7790" i="1"/>
  <c r="K7819" i="1"/>
  <c r="K291" i="1"/>
  <c r="K297" i="1"/>
  <c r="K301" i="1"/>
  <c r="K2337" i="1"/>
  <c r="K2363" i="1"/>
  <c r="K2330" i="1"/>
  <c r="K2358" i="1"/>
  <c r="K2344" i="1"/>
  <c r="K4986" i="1"/>
  <c r="K5014" i="1"/>
  <c r="K5043" i="1"/>
  <c r="K5020" i="1"/>
  <c r="K5048" i="1"/>
  <c r="K7103" i="1"/>
  <c r="K7798" i="1"/>
  <c r="K7826" i="1"/>
  <c r="K7804" i="1"/>
  <c r="K7832" i="1"/>
  <c r="K303" i="1"/>
  <c r="K309" i="1"/>
  <c r="K305" i="1"/>
  <c r="K2349" i="1"/>
  <c r="K2316" i="1"/>
  <c r="K2342" i="1"/>
  <c r="K2323" i="1"/>
  <c r="K2332" i="1"/>
  <c r="K4999" i="1"/>
  <c r="K5027" i="1"/>
  <c r="K4991" i="1"/>
  <c r="K5033" i="1"/>
  <c r="K4984" i="1"/>
  <c r="K7783" i="1"/>
  <c r="K7811" i="1"/>
  <c r="K7840" i="1"/>
  <c r="K7817" i="1"/>
  <c r="K7781" i="1"/>
  <c r="K315" i="1"/>
  <c r="K321" i="1"/>
  <c r="K307" i="1"/>
  <c r="K2361" i="1"/>
  <c r="K2328" i="1"/>
  <c r="K2354" i="1"/>
  <c r="K2335" i="1"/>
  <c r="K4992" i="1"/>
  <c r="K5012" i="1"/>
  <c r="K5041" i="1"/>
  <c r="K5005" i="1"/>
  <c r="K5046" i="1"/>
  <c r="K4997" i="1"/>
  <c r="K7796" i="1"/>
  <c r="K7824" i="1"/>
  <c r="K7788" i="1"/>
  <c r="K7830" i="1"/>
  <c r="K7794" i="1"/>
  <c r="K311" i="1"/>
  <c r="K2319" i="1"/>
  <c r="K4998" i="1"/>
  <c r="K5018" i="1"/>
  <c r="K5036" i="1"/>
  <c r="K7799" i="1"/>
  <c r="K7792" i="1"/>
  <c r="K7834" i="1"/>
  <c r="K312" i="1"/>
  <c r="K2331" i="1"/>
  <c r="K5024" i="1"/>
  <c r="K5031" i="1"/>
  <c r="K7791" i="1"/>
  <c r="K7825" i="1"/>
  <c r="K7805" i="1"/>
  <c r="K2314" i="1"/>
  <c r="K2367" i="1"/>
  <c r="K5025" i="1"/>
  <c r="K4993" i="1"/>
  <c r="K7803" i="1"/>
  <c r="K7838" i="1"/>
  <c r="K7818" i="1"/>
  <c r="K2326" i="1"/>
  <c r="K2334" i="1"/>
  <c r="K5038" i="1"/>
  <c r="K5032" i="1"/>
  <c r="K7827" i="1"/>
  <c r="K7800" i="1"/>
  <c r="K7831" i="1"/>
  <c r="K2338" i="1"/>
  <c r="K2347" i="1"/>
  <c r="K4987" i="1"/>
  <c r="K4994" i="1"/>
  <c r="K7809" i="1"/>
  <c r="K7801" i="1"/>
  <c r="K7780" i="1"/>
  <c r="K292" i="1"/>
  <c r="K2315" i="1"/>
  <c r="K2359" i="1"/>
  <c r="K5026" i="1"/>
  <c r="K4995" i="1"/>
  <c r="K7822" i="1"/>
  <c r="K7814" i="1"/>
  <c r="K7806" i="1"/>
  <c r="K304" i="1"/>
  <c r="K2340" i="1"/>
  <c r="K2345" i="1"/>
  <c r="K4988" i="1"/>
  <c r="K5008" i="1"/>
  <c r="K7835" i="1"/>
  <c r="K7828" i="1"/>
  <c r="K7807" i="1"/>
  <c r="K316" i="1"/>
  <c r="K2352" i="1"/>
  <c r="K2368" i="1"/>
  <c r="K4989" i="1"/>
  <c r="K5021" i="1"/>
  <c r="K7797" i="1"/>
  <c r="K7789" i="1"/>
  <c r="K7820" i="1"/>
  <c r="K298" i="1"/>
  <c r="K2364" i="1"/>
  <c r="K2321" i="1"/>
  <c r="K5002" i="1"/>
  <c r="K4996" i="1"/>
  <c r="K7810" i="1"/>
  <c r="K7802" i="1"/>
  <c r="K7833" i="1"/>
  <c r="K310" i="1"/>
  <c r="K2341" i="1"/>
  <c r="K5004" i="1"/>
  <c r="K5015" i="1"/>
  <c r="K5022" i="1"/>
  <c r="K7836" i="1"/>
  <c r="K7816" i="1"/>
  <c r="K7782" i="1"/>
  <c r="K322" i="1"/>
  <c r="K2365" i="1"/>
  <c r="K5016" i="1"/>
  <c r="K4990" i="1"/>
  <c r="K5010" i="1"/>
  <c r="K7837" i="1"/>
  <c r="K7777" i="1"/>
  <c r="K7795" i="1"/>
  <c r="K313" i="1"/>
  <c r="K2366" i="1"/>
  <c r="K5028" i="1"/>
  <c r="K5017" i="1"/>
  <c r="K5023" i="1"/>
  <c r="K7786" i="1"/>
  <c r="K7778" i="1"/>
  <c r="K7808" i="1"/>
  <c r="K10184" i="1"/>
  <c r="K10448" i="1"/>
  <c r="K10604" i="1"/>
  <c r="K10748" i="1"/>
  <c r="K7643" i="1"/>
  <c r="K7606" i="1"/>
  <c r="K7639" i="1"/>
  <c r="K7613" i="1"/>
  <c r="K7611" i="1"/>
  <c r="K4890" i="1"/>
  <c r="K4900" i="1"/>
  <c r="K4881" i="1"/>
  <c r="K4874" i="1"/>
  <c r="K2153" i="1"/>
  <c r="K2154" i="1"/>
  <c r="K2185" i="1"/>
  <c r="K2194" i="1"/>
  <c r="K197" i="1"/>
  <c r="K189" i="1"/>
  <c r="K8030" i="1"/>
  <c r="K8027" i="1"/>
  <c r="K7985" i="1"/>
  <c r="K7981" i="1"/>
  <c r="K7971" i="1"/>
  <c r="K5146" i="1"/>
  <c r="K5129" i="1"/>
  <c r="K2443" i="1"/>
  <c r="K2461" i="1"/>
  <c r="K2446" i="1"/>
  <c r="K395" i="1"/>
  <c r="K412" i="1"/>
  <c r="K8368" i="1"/>
  <c r="K8377" i="1"/>
  <c r="K8360" i="1"/>
  <c r="K5499" i="1"/>
  <c r="K5471" i="1"/>
  <c r="K5477" i="1"/>
  <c r="K2784" i="1"/>
  <c r="K625" i="1"/>
  <c r="K8839" i="1"/>
  <c r="K8844" i="1"/>
  <c r="K5795" i="1"/>
  <c r="K3147" i="1"/>
  <c r="K9241" i="1"/>
  <c r="K3438" i="1"/>
  <c r="K6338" i="1"/>
  <c r="K3931" i="1"/>
  <c r="K9380" i="1"/>
  <c r="K9416" i="1"/>
  <c r="K9404" i="1"/>
  <c r="K9428" i="1"/>
  <c r="K9392" i="1"/>
  <c r="K1123" i="1"/>
  <c r="K1128" i="1"/>
  <c r="K1143" i="1"/>
  <c r="K3548" i="1"/>
  <c r="K3538" i="1"/>
  <c r="K3566" i="1"/>
  <c r="K3556" i="1"/>
  <c r="K3547" i="1"/>
  <c r="K6194" i="1"/>
  <c r="K6199" i="1"/>
  <c r="K6209" i="1"/>
  <c r="K9395" i="1"/>
  <c r="K9421" i="1"/>
  <c r="K9388" i="1"/>
  <c r="K9390" i="1"/>
  <c r="K1135" i="1"/>
  <c r="K1140" i="1"/>
  <c r="K1120" i="1"/>
  <c r="K3561" i="1"/>
  <c r="K3551" i="1"/>
  <c r="K3578" i="1"/>
  <c r="K3569" i="1"/>
  <c r="K3560" i="1"/>
  <c r="K6206" i="1"/>
  <c r="K6211" i="1"/>
  <c r="K9381" i="1"/>
  <c r="K9407" i="1"/>
  <c r="K9433" i="1"/>
  <c r="K9400" i="1"/>
  <c r="K9402" i="1"/>
  <c r="K1147" i="1"/>
  <c r="K1130" i="1"/>
  <c r="K1144" i="1"/>
  <c r="K3573" i="1"/>
  <c r="K3564" i="1"/>
  <c r="K3528" i="1"/>
  <c r="K3531" i="1"/>
  <c r="K6191" i="1"/>
  <c r="K6218" i="1"/>
  <c r="K6188" i="1"/>
  <c r="K9393" i="1"/>
  <c r="K9419" i="1"/>
  <c r="K9386" i="1"/>
  <c r="K9412" i="1"/>
  <c r="K9414" i="1"/>
  <c r="K1124" i="1"/>
  <c r="K1131" i="1"/>
  <c r="K1127" i="1"/>
  <c r="K3536" i="1"/>
  <c r="K3576" i="1"/>
  <c r="K3541" i="1"/>
  <c r="K3544" i="1"/>
  <c r="K6203" i="1"/>
  <c r="K6195" i="1"/>
  <c r="K6200" i="1"/>
  <c r="K9405" i="1"/>
  <c r="K9431" i="1"/>
  <c r="K9398" i="1"/>
  <c r="K9424" i="1"/>
  <c r="K9426" i="1"/>
  <c r="K1136" i="1"/>
  <c r="K1132" i="1"/>
  <c r="K1122" i="1"/>
  <c r="K3549" i="1"/>
  <c r="K3526" i="1"/>
  <c r="K3554" i="1"/>
  <c r="K3558" i="1"/>
  <c r="K6215" i="1"/>
  <c r="K6207" i="1"/>
  <c r="K6212" i="1"/>
  <c r="K9417" i="1"/>
  <c r="K9384" i="1"/>
  <c r="K9410" i="1"/>
  <c r="K9436" i="1"/>
  <c r="K9438" i="1"/>
  <c r="K1148" i="1"/>
  <c r="K1134" i="1"/>
  <c r="K1129" i="1"/>
  <c r="K3562" i="1"/>
  <c r="K3539" i="1"/>
  <c r="K3567" i="1"/>
  <c r="K3570" i="1"/>
  <c r="K5870" i="1"/>
  <c r="K6184" i="1"/>
  <c r="K6189" i="1"/>
  <c r="K9429" i="1"/>
  <c r="K9396" i="1"/>
  <c r="K9422" i="1"/>
  <c r="K9377" i="1"/>
  <c r="K9379" i="1"/>
  <c r="K1125" i="1"/>
  <c r="K1139" i="1"/>
  <c r="K1146" i="1"/>
  <c r="K3574" i="1"/>
  <c r="K3552" i="1"/>
  <c r="K3529" i="1"/>
  <c r="K3532" i="1"/>
  <c r="K6192" i="1"/>
  <c r="K6196" i="1"/>
  <c r="K6201" i="1"/>
  <c r="K9382" i="1"/>
  <c r="K9408" i="1"/>
  <c r="K9434" i="1"/>
  <c r="K9389" i="1"/>
  <c r="K9391" i="1"/>
  <c r="K1137" i="1"/>
  <c r="K1117" i="1"/>
  <c r="K3533" i="1"/>
  <c r="K3537" i="1"/>
  <c r="K3565" i="1"/>
  <c r="K3542" i="1"/>
  <c r="K3546" i="1"/>
  <c r="K6204" i="1"/>
  <c r="K6208" i="1"/>
  <c r="K6213" i="1"/>
  <c r="K9394" i="1"/>
  <c r="K9420" i="1"/>
  <c r="K9387" i="1"/>
  <c r="K9401" i="1"/>
  <c r="K9403" i="1"/>
  <c r="K1149" i="1"/>
  <c r="K1141" i="1"/>
  <c r="K3545" i="1"/>
  <c r="K3550" i="1"/>
  <c r="K3577" i="1"/>
  <c r="K3555" i="1"/>
  <c r="K3559" i="1"/>
  <c r="K6216" i="1"/>
  <c r="K6186" i="1"/>
  <c r="K6190" i="1"/>
  <c r="K9406" i="1"/>
  <c r="K9432" i="1"/>
  <c r="K9399" i="1"/>
  <c r="K9413" i="1"/>
  <c r="K9415" i="1"/>
  <c r="K1121" i="1"/>
  <c r="K1126" i="1"/>
  <c r="K1118" i="1"/>
  <c r="K3557" i="1"/>
  <c r="K3563" i="1"/>
  <c r="K3527" i="1"/>
  <c r="K3568" i="1"/>
  <c r="K3571" i="1"/>
  <c r="K6193" i="1"/>
  <c r="K6198" i="1"/>
  <c r="K6202" i="1"/>
  <c r="K9418" i="1"/>
  <c r="K9385" i="1"/>
  <c r="K9411" i="1"/>
  <c r="K9425" i="1"/>
  <c r="K9427" i="1"/>
  <c r="K1133" i="1"/>
  <c r="K1138" i="1"/>
  <c r="K1142" i="1"/>
  <c r="K3524" i="1"/>
  <c r="K3575" i="1"/>
  <c r="K3540" i="1"/>
  <c r="K3530" i="1"/>
  <c r="K3572" i="1"/>
  <c r="K6205" i="1"/>
  <c r="K6210" i="1"/>
  <c r="K6185" i="1"/>
  <c r="K9430" i="1"/>
  <c r="K9397" i="1"/>
  <c r="K9423" i="1"/>
  <c r="K9437" i="1"/>
  <c r="K9439" i="1"/>
  <c r="K1145" i="1"/>
  <c r="K1150" i="1"/>
  <c r="K1119" i="1"/>
  <c r="K3535" i="1"/>
  <c r="K3525" i="1"/>
  <c r="K3553" i="1"/>
  <c r="K3543" i="1"/>
  <c r="K3534" i="1"/>
  <c r="K6217" i="1"/>
  <c r="K6187" i="1"/>
  <c r="K6197" i="1"/>
  <c r="K9383" i="1"/>
  <c r="K9409" i="1"/>
  <c r="K9435" i="1"/>
  <c r="K9378" i="1"/>
  <c r="K236" i="1"/>
  <c r="K241" i="1"/>
  <c r="K2216" i="1"/>
  <c r="K2242" i="1"/>
  <c r="K2209" i="1"/>
  <c r="K2235" i="1"/>
  <c r="K2224" i="1"/>
  <c r="K4934" i="1"/>
  <c r="K4939" i="1"/>
  <c r="K4930" i="1"/>
  <c r="K7684" i="1"/>
  <c r="K7698" i="1"/>
  <c r="K7701" i="1"/>
  <c r="K7693" i="1"/>
  <c r="K7706" i="1"/>
  <c r="K230" i="1"/>
  <c r="K248" i="1"/>
  <c r="K245" i="1"/>
  <c r="K2228" i="1"/>
  <c r="K2254" i="1"/>
  <c r="K2221" i="1"/>
  <c r="K2247" i="1"/>
  <c r="K2225" i="1"/>
  <c r="K4947" i="1"/>
  <c r="K4914" i="1"/>
  <c r="K4943" i="1"/>
  <c r="K7696" i="1"/>
  <c r="K7651" i="1"/>
  <c r="K7654" i="1"/>
  <c r="K7668" i="1"/>
  <c r="K7681" i="1"/>
  <c r="K242" i="1"/>
  <c r="K225" i="1"/>
  <c r="K247" i="1"/>
  <c r="K2240" i="1"/>
  <c r="K2207" i="1"/>
  <c r="K2233" i="1"/>
  <c r="K2214" i="1"/>
  <c r="K2236" i="1"/>
  <c r="K4922" i="1"/>
  <c r="K4927" i="1"/>
  <c r="K4918" i="1"/>
  <c r="K7649" i="1"/>
  <c r="K7663" i="1"/>
  <c r="K7666" i="1"/>
  <c r="K7694" i="1"/>
  <c r="K7708" i="1"/>
  <c r="K254" i="1"/>
  <c r="K237" i="1"/>
  <c r="K221" i="1"/>
  <c r="K2252" i="1"/>
  <c r="K2219" i="1"/>
  <c r="K2245" i="1"/>
  <c r="K2226" i="1"/>
  <c r="K2237" i="1"/>
  <c r="K4935" i="1"/>
  <c r="K4940" i="1"/>
  <c r="K4931" i="1"/>
  <c r="K7661" i="1"/>
  <c r="K7675" i="1"/>
  <c r="K7678" i="1"/>
  <c r="K7669" i="1"/>
  <c r="K7655" i="1"/>
  <c r="K243" i="1"/>
  <c r="K226" i="1"/>
  <c r="K223" i="1"/>
  <c r="K2217" i="1"/>
  <c r="K2243" i="1"/>
  <c r="K2210" i="1"/>
  <c r="K2250" i="1"/>
  <c r="K2249" i="1"/>
  <c r="K4923" i="1"/>
  <c r="K4928" i="1"/>
  <c r="K7659" i="1"/>
  <c r="K7685" i="1"/>
  <c r="K7699" i="1"/>
  <c r="K7702" i="1"/>
  <c r="K7670" i="1"/>
  <c r="K7710" i="1"/>
  <c r="K232" i="1"/>
  <c r="K238" i="1"/>
  <c r="K252" i="1"/>
  <c r="K2229" i="1"/>
  <c r="K2255" i="1"/>
  <c r="K2222" i="1"/>
  <c r="K2215" i="1"/>
  <c r="K4920" i="1"/>
  <c r="K4936" i="1"/>
  <c r="K4941" i="1"/>
  <c r="K7671" i="1"/>
  <c r="K7697" i="1"/>
  <c r="K7652" i="1"/>
  <c r="K7657" i="1"/>
  <c r="K7703" i="1"/>
  <c r="K7656" i="1"/>
  <c r="K244" i="1"/>
  <c r="K250" i="1"/>
  <c r="K228" i="1"/>
  <c r="K2241" i="1"/>
  <c r="K2208" i="1"/>
  <c r="K2234" i="1"/>
  <c r="K2227" i="1"/>
  <c r="K4932" i="1"/>
  <c r="K4924" i="1"/>
  <c r="K4916" i="1"/>
  <c r="K7683" i="1"/>
  <c r="K7709" i="1"/>
  <c r="K7664" i="1"/>
  <c r="K7691" i="1"/>
  <c r="K7676" i="1"/>
  <c r="K7688" i="1"/>
  <c r="K222" i="1"/>
  <c r="K233" i="1"/>
  <c r="K227" i="1"/>
  <c r="K2253" i="1"/>
  <c r="K2220" i="1"/>
  <c r="K2246" i="1"/>
  <c r="K2239" i="1"/>
  <c r="K4919" i="1"/>
  <c r="K4937" i="1"/>
  <c r="K4929" i="1"/>
  <c r="K7695" i="1"/>
  <c r="K7650" i="1"/>
  <c r="K7653" i="1"/>
  <c r="K7712" i="1"/>
  <c r="K7704" i="1"/>
  <c r="K7711" i="1"/>
  <c r="K234" i="1"/>
  <c r="K235" i="1"/>
  <c r="K229" i="1"/>
  <c r="K2206" i="1"/>
  <c r="K2232" i="1"/>
  <c r="K2258" i="1"/>
  <c r="K2251" i="1"/>
  <c r="K4933" i="1"/>
  <c r="K4925" i="1"/>
  <c r="K4942" i="1"/>
  <c r="K7707" i="1"/>
  <c r="K7662" i="1"/>
  <c r="K7665" i="1"/>
  <c r="K7658" i="1"/>
  <c r="K7679" i="1"/>
  <c r="K246" i="1"/>
  <c r="K239" i="1"/>
  <c r="K253" i="1"/>
  <c r="K224" i="1"/>
  <c r="K2205" i="1"/>
  <c r="K2248" i="1"/>
  <c r="K7673" i="1"/>
  <c r="K7682" i="1"/>
  <c r="K2218" i="1"/>
  <c r="K4946" i="1"/>
  <c r="K7674" i="1"/>
  <c r="K2230" i="1"/>
  <c r="K4921" i="1"/>
  <c r="K7686" i="1"/>
  <c r="K2231" i="1"/>
  <c r="K4948" i="1"/>
  <c r="K7687" i="1"/>
  <c r="K2244" i="1"/>
  <c r="K4938" i="1"/>
  <c r="K7677" i="1"/>
  <c r="K2256" i="1"/>
  <c r="K4926" i="1"/>
  <c r="K7689" i="1"/>
  <c r="K2257" i="1"/>
  <c r="K4915" i="1"/>
  <c r="K7690" i="1"/>
  <c r="K231" i="1"/>
  <c r="K2211" i="1"/>
  <c r="K5060" i="1"/>
  <c r="K7692" i="1"/>
  <c r="K249" i="1"/>
  <c r="K2223" i="1"/>
  <c r="K4917" i="1"/>
  <c r="K7667" i="1"/>
  <c r="K240" i="1"/>
  <c r="K2238" i="1"/>
  <c r="K4945" i="1"/>
  <c r="K7700" i="1"/>
  <c r="K251" i="1"/>
  <c r="K2212" i="1"/>
  <c r="K7660" i="1"/>
  <c r="K7705" i="1"/>
  <c r="K2204" i="1"/>
  <c r="K2213" i="1"/>
  <c r="K7672" i="1"/>
  <c r="K7680" i="1"/>
  <c r="K674" i="1"/>
  <c r="K686" i="1"/>
  <c r="K663" i="1"/>
  <c r="K675" i="1"/>
  <c r="K687" i="1"/>
  <c r="K664" i="1"/>
  <c r="K676" i="1"/>
  <c r="K688" i="1"/>
  <c r="K666" i="1"/>
  <c r="K678" i="1"/>
  <c r="K690" i="1"/>
  <c r="K668" i="1"/>
  <c r="K680" i="1"/>
  <c r="K692" i="1"/>
  <c r="K669" i="1"/>
  <c r="K681" i="1"/>
  <c r="K693" i="1"/>
  <c r="K670" i="1"/>
  <c r="K682" i="1"/>
  <c r="K694" i="1"/>
  <c r="K665" i="1"/>
  <c r="K695" i="1"/>
  <c r="K667" i="1"/>
  <c r="K696" i="1"/>
  <c r="K671" i="1"/>
  <c r="K672" i="1"/>
  <c r="K673" i="1"/>
  <c r="K677" i="1"/>
  <c r="K679" i="1"/>
  <c r="K683" i="1"/>
  <c r="K689" i="1"/>
  <c r="K691" i="1"/>
  <c r="K684" i="1"/>
  <c r="K2867" i="1"/>
  <c r="K2879" i="1"/>
  <c r="K2891" i="1"/>
  <c r="K2903" i="1"/>
  <c r="K2915" i="1"/>
  <c r="K685" i="1"/>
  <c r="K2871" i="1"/>
  <c r="K2884" i="1"/>
  <c r="K2897" i="1"/>
  <c r="K2910" i="1"/>
  <c r="K2872" i="1"/>
  <c r="K2885" i="1"/>
  <c r="K2898" i="1"/>
  <c r="K2911" i="1"/>
  <c r="K2873" i="1"/>
  <c r="K2886" i="1"/>
  <c r="K2899" i="1"/>
  <c r="K2912" i="1"/>
  <c r="K2874" i="1"/>
  <c r="K2887" i="1"/>
  <c r="K2900" i="1"/>
  <c r="K2913" i="1"/>
  <c r="K2875" i="1"/>
  <c r="K2888" i="1"/>
  <c r="K2901" i="1"/>
  <c r="K2914" i="1"/>
  <c r="K2876" i="1"/>
  <c r="K2889" i="1"/>
  <c r="K2902" i="1"/>
  <c r="K2916" i="1"/>
  <c r="K2864" i="1"/>
  <c r="K2877" i="1"/>
  <c r="K2890" i="1"/>
  <c r="K2904" i="1"/>
  <c r="K2917" i="1"/>
  <c r="K2865" i="1"/>
  <c r="K2878" i="1"/>
  <c r="K2892" i="1"/>
  <c r="K2905" i="1"/>
  <c r="K2918" i="1"/>
  <c r="K2866" i="1"/>
  <c r="K2880" i="1"/>
  <c r="K2893" i="1"/>
  <c r="K2906" i="1"/>
  <c r="K2869" i="1"/>
  <c r="K2882" i="1"/>
  <c r="K2895" i="1"/>
  <c r="K2908" i="1"/>
  <c r="K2870" i="1"/>
  <c r="K2883" i="1"/>
  <c r="K2896" i="1"/>
  <c r="K2909" i="1"/>
  <c r="K2868" i="1"/>
  <c r="K2881" i="1"/>
  <c r="K2894" i="1"/>
  <c r="K2907" i="1"/>
  <c r="K5537" i="1"/>
  <c r="K5549" i="1"/>
  <c r="K5561" i="1"/>
  <c r="K5573" i="1"/>
  <c r="K5585" i="1"/>
  <c r="K5527" i="1"/>
  <c r="K5539" i="1"/>
  <c r="K5551" i="1"/>
  <c r="K5563" i="1"/>
  <c r="K5575" i="1"/>
  <c r="K5587" i="1"/>
  <c r="K5528" i="1"/>
  <c r="K5540" i="1"/>
  <c r="K5552" i="1"/>
  <c r="K5564" i="1"/>
  <c r="K5576" i="1"/>
  <c r="K5588" i="1"/>
  <c r="K5529" i="1"/>
  <c r="K5541" i="1"/>
  <c r="K5553" i="1"/>
  <c r="K5565" i="1"/>
  <c r="K5577" i="1"/>
  <c r="K5589" i="1"/>
  <c r="K5530" i="1"/>
  <c r="K5542" i="1"/>
  <c r="K5554" i="1"/>
  <c r="K5566" i="1"/>
  <c r="K5578" i="1"/>
  <c r="K5590" i="1"/>
  <c r="K5531" i="1"/>
  <c r="K5543" i="1"/>
  <c r="K5555" i="1"/>
  <c r="K5567" i="1"/>
  <c r="K5579" i="1"/>
  <c r="K5532" i="1"/>
  <c r="K5544" i="1"/>
  <c r="K5556" i="1"/>
  <c r="K5568" i="1"/>
  <c r="K5580" i="1"/>
  <c r="K5533" i="1"/>
  <c r="K5545" i="1"/>
  <c r="K5557" i="1"/>
  <c r="K5569" i="1"/>
  <c r="K5581" i="1"/>
  <c r="K5534" i="1"/>
  <c r="K5546" i="1"/>
  <c r="K5558" i="1"/>
  <c r="K5570" i="1"/>
  <c r="K5582" i="1"/>
  <c r="K5535" i="1"/>
  <c r="K5547" i="1"/>
  <c r="K5559" i="1"/>
  <c r="K5571" i="1"/>
  <c r="K5583" i="1"/>
  <c r="K5548" i="1"/>
  <c r="K5550" i="1"/>
  <c r="K5560" i="1"/>
  <c r="K5562" i="1"/>
  <c r="K5572" i="1"/>
  <c r="K5574" i="1"/>
  <c r="K5584" i="1"/>
  <c r="K5526" i="1"/>
  <c r="K5536" i="1"/>
  <c r="K6597" i="1"/>
  <c r="K5538" i="1"/>
  <c r="K8490" i="1"/>
  <c r="K8502" i="1"/>
  <c r="K8514" i="1"/>
  <c r="K8526" i="1"/>
  <c r="K8538" i="1"/>
  <c r="K8491" i="1"/>
  <c r="K8503" i="1"/>
  <c r="K8515" i="1"/>
  <c r="K8527" i="1"/>
  <c r="K8539" i="1"/>
  <c r="K8492" i="1"/>
  <c r="K8504" i="1"/>
  <c r="K8516" i="1"/>
  <c r="K8528" i="1"/>
  <c r="K8540" i="1"/>
  <c r="K8481" i="1"/>
  <c r="K8493" i="1"/>
  <c r="K8505" i="1"/>
  <c r="K8517" i="1"/>
  <c r="K8529" i="1"/>
  <c r="K8541" i="1"/>
  <c r="K8482" i="1"/>
  <c r="K8494" i="1"/>
  <c r="K8506" i="1"/>
  <c r="K8518" i="1"/>
  <c r="K8530" i="1"/>
  <c r="K8542" i="1"/>
  <c r="K8483" i="1"/>
  <c r="K8495" i="1"/>
  <c r="K8507" i="1"/>
  <c r="K8519" i="1"/>
  <c r="K8531" i="1"/>
  <c r="K8543" i="1"/>
  <c r="K8485" i="1"/>
  <c r="K8497" i="1"/>
  <c r="K8509" i="1"/>
  <c r="K8521" i="1"/>
  <c r="K8533" i="1"/>
  <c r="K8486" i="1"/>
  <c r="K8498" i="1"/>
  <c r="K8510" i="1"/>
  <c r="K8522" i="1"/>
  <c r="K8534" i="1"/>
  <c r="K8487" i="1"/>
  <c r="K8499" i="1"/>
  <c r="K8511" i="1"/>
  <c r="K8523" i="1"/>
  <c r="K8535" i="1"/>
  <c r="K8488" i="1"/>
  <c r="K8500" i="1"/>
  <c r="K8512" i="1"/>
  <c r="K8524" i="1"/>
  <c r="K8536" i="1"/>
  <c r="K8496" i="1"/>
  <c r="K8501" i="1"/>
  <c r="K8508" i="1"/>
  <c r="K8513" i="1"/>
  <c r="K8520" i="1"/>
  <c r="K8525" i="1"/>
  <c r="K8532" i="1"/>
  <c r="K8537" i="1"/>
  <c r="K8544" i="1"/>
  <c r="K8484" i="1"/>
  <c r="K8489" i="1"/>
  <c r="K10290" i="1"/>
  <c r="K1687" i="1"/>
  <c r="K10315" i="1"/>
  <c r="K10287" i="1"/>
  <c r="K10299" i="1"/>
  <c r="K1253" i="1"/>
  <c r="K1265" i="1"/>
  <c r="K1277" i="1"/>
  <c r="K1255" i="1"/>
  <c r="K1256" i="1"/>
  <c r="K1268" i="1"/>
  <c r="K1280" i="1"/>
  <c r="K1257" i="1"/>
  <c r="K1269" i="1"/>
  <c r="K1281" i="1"/>
  <c r="K1259" i="1"/>
  <c r="K1274" i="1"/>
  <c r="K1260" i="1"/>
  <c r="K1275" i="1"/>
  <c r="K1261" i="1"/>
  <c r="K1276" i="1"/>
  <c r="K1262" i="1"/>
  <c r="K1278" i="1"/>
  <c r="K1263" i="1"/>
  <c r="K1279" i="1"/>
  <c r="K1264" i="1"/>
  <c r="K1282" i="1"/>
  <c r="K1266" i="1"/>
  <c r="K1283" i="1"/>
  <c r="K1267" i="1"/>
  <c r="K1284" i="1"/>
  <c r="K1270" i="1"/>
  <c r="K1285" i="1"/>
  <c r="K1254" i="1"/>
  <c r="K1272" i="1"/>
  <c r="K1258" i="1"/>
  <c r="K1271" i="1"/>
  <c r="K1273" i="1"/>
  <c r="K1286" i="1"/>
  <c r="K3693" i="1"/>
  <c r="K3705" i="1"/>
  <c r="K3717" i="1"/>
  <c r="K3729" i="1"/>
  <c r="K3741" i="1"/>
  <c r="K3694" i="1"/>
  <c r="K3706" i="1"/>
  <c r="K3718" i="1"/>
  <c r="K3730" i="1"/>
  <c r="K3742" i="1"/>
  <c r="K3695" i="1"/>
  <c r="K3707" i="1"/>
  <c r="K3719" i="1"/>
  <c r="K3731" i="1"/>
  <c r="K3743" i="1"/>
  <c r="K3696" i="1"/>
  <c r="K3708" i="1"/>
  <c r="K3720" i="1"/>
  <c r="K3732" i="1"/>
  <c r="K3697" i="1"/>
  <c r="K3709" i="1"/>
  <c r="K3721" i="1"/>
  <c r="K3733" i="1"/>
  <c r="K3698" i="1"/>
  <c r="K3710" i="1"/>
  <c r="K3722" i="1"/>
  <c r="K3734" i="1"/>
  <c r="K3699" i="1"/>
  <c r="K3711" i="1"/>
  <c r="K3723" i="1"/>
  <c r="K3735" i="1"/>
  <c r="K3700" i="1"/>
  <c r="K3712" i="1"/>
  <c r="K3724" i="1"/>
  <c r="K3736" i="1"/>
  <c r="K3689" i="1"/>
  <c r="K3701" i="1"/>
  <c r="K3713" i="1"/>
  <c r="K3725" i="1"/>
  <c r="K3737" i="1"/>
  <c r="K3690" i="1"/>
  <c r="K3702" i="1"/>
  <c r="K3714" i="1"/>
  <c r="K3726" i="1"/>
  <c r="K3738" i="1"/>
  <c r="K3691" i="1"/>
  <c r="K3703" i="1"/>
  <c r="K3715" i="1"/>
  <c r="K3727" i="1"/>
  <c r="K3739" i="1"/>
  <c r="K3716" i="1"/>
  <c r="K4764" i="1"/>
  <c r="K3728" i="1"/>
  <c r="K3740" i="1"/>
  <c r="K3692" i="1"/>
  <c r="K3704" i="1"/>
  <c r="K6383" i="1"/>
  <c r="K6395" i="1"/>
  <c r="K6407" i="1"/>
  <c r="K6384" i="1"/>
  <c r="K6396" i="1"/>
  <c r="K6408" i="1"/>
  <c r="K6385" i="1"/>
  <c r="K6397" i="1"/>
  <c r="K6374" i="1"/>
  <c r="K6386" i="1"/>
  <c r="K6398" i="1"/>
  <c r="K6375" i="1"/>
  <c r="K6387" i="1"/>
  <c r="K6399" i="1"/>
  <c r="K6376" i="1"/>
  <c r="K6388" i="1"/>
  <c r="K6400" i="1"/>
  <c r="K6378" i="1"/>
  <c r="K6390" i="1"/>
  <c r="K6402" i="1"/>
  <c r="K6379" i="1"/>
  <c r="K6391" i="1"/>
  <c r="K6403" i="1"/>
  <c r="K6380" i="1"/>
  <c r="K6392" i="1"/>
  <c r="K6381" i="1"/>
  <c r="K6393" i="1"/>
  <c r="K6405" i="1"/>
  <c r="K6382" i="1"/>
  <c r="K6394" i="1"/>
  <c r="K6406" i="1"/>
  <c r="K6377" i="1"/>
  <c r="K6389" i="1"/>
  <c r="K6401" i="1"/>
  <c r="K9633" i="1"/>
  <c r="K9645" i="1"/>
  <c r="K9657" i="1"/>
  <c r="K9669" i="1"/>
  <c r="K9681" i="1"/>
  <c r="K9693" i="1"/>
  <c r="K9634" i="1"/>
  <c r="K9646" i="1"/>
  <c r="K9658" i="1"/>
  <c r="K9670" i="1"/>
  <c r="K9682" i="1"/>
  <c r="K9694" i="1"/>
  <c r="K9635" i="1"/>
  <c r="K9647" i="1"/>
  <c r="K9659" i="1"/>
  <c r="K9671" i="1"/>
  <c r="K9683" i="1"/>
  <c r="K9695" i="1"/>
  <c r="K9636" i="1"/>
  <c r="K9648" i="1"/>
  <c r="K9660" i="1"/>
  <c r="K9672" i="1"/>
  <c r="K9684" i="1"/>
  <c r="K9696" i="1"/>
  <c r="K9637" i="1"/>
  <c r="K9649" i="1"/>
  <c r="K9661" i="1"/>
  <c r="K9673" i="1"/>
  <c r="K9685" i="1"/>
  <c r="K9638" i="1"/>
  <c r="K9650" i="1"/>
  <c r="K9662" i="1"/>
  <c r="K9674" i="1"/>
  <c r="K9686" i="1"/>
  <c r="K9639" i="1"/>
  <c r="K9651" i="1"/>
  <c r="K9663" i="1"/>
  <c r="K9675" i="1"/>
  <c r="K9687" i="1"/>
  <c r="K9640" i="1"/>
  <c r="K9652" i="1"/>
  <c r="K9664" i="1"/>
  <c r="K9676" i="1"/>
  <c r="K9688" i="1"/>
  <c r="K9641" i="1"/>
  <c r="K9653" i="1"/>
  <c r="K9665" i="1"/>
  <c r="K9677" i="1"/>
  <c r="K9689" i="1"/>
  <c r="K9642" i="1"/>
  <c r="K9654" i="1"/>
  <c r="K9666" i="1"/>
  <c r="K9678" i="1"/>
  <c r="K9690" i="1"/>
  <c r="K9643" i="1"/>
  <c r="K9655" i="1"/>
  <c r="K9667" i="1"/>
  <c r="K9679" i="1"/>
  <c r="K9691" i="1"/>
  <c r="K9644" i="1"/>
  <c r="K9656" i="1"/>
  <c r="K9668" i="1"/>
  <c r="K9680" i="1"/>
  <c r="K9692" i="1"/>
  <c r="K10421" i="1"/>
  <c r="K10447" i="1"/>
  <c r="K104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<sst xmlns="http://schemas.openxmlformats.org/spreadsheetml/2006/main" count="43746" uniqueCount="143">
  <si>
    <t>CountryName</t>
  </si>
  <si>
    <t>CountryCode</t>
  </si>
  <si>
    <t>IndicatorName</t>
  </si>
  <si>
    <t>IndicatorCode</t>
  </si>
  <si>
    <t>Year</t>
  </si>
  <si>
    <t>value</t>
  </si>
  <si>
    <t>decade</t>
  </si>
  <si>
    <t>Albania</t>
  </si>
  <si>
    <t>ALB</t>
  </si>
  <si>
    <t>Access to electricity (% of population)</t>
  </si>
  <si>
    <t>EG.ELC.ACCS.ZS</t>
  </si>
  <si>
    <t>Andorra</t>
  </si>
  <si>
    <t>AND</t>
  </si>
  <si>
    <t>Armenia</t>
  </si>
  <si>
    <t>ARM</t>
  </si>
  <si>
    <t>Austria</t>
  </si>
  <si>
    <t>AUT</t>
  </si>
  <si>
    <t>Azerbaijan</t>
  </si>
  <si>
    <t>AZE</t>
  </si>
  <si>
    <t>Belgium</t>
  </si>
  <si>
    <t>BEL</t>
  </si>
  <si>
    <t>Bulgaria</t>
  </si>
  <si>
    <t>BGR</t>
  </si>
  <si>
    <t>Bosnia and Herzegovina</t>
  </si>
  <si>
    <t>BIH</t>
  </si>
  <si>
    <t>Belarus</t>
  </si>
  <si>
    <t>BLR</t>
  </si>
  <si>
    <t>Switzerland</t>
  </si>
  <si>
    <t>CHE</t>
  </si>
  <si>
    <t>Channel Islands</t>
  </si>
  <si>
    <t>CHI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</si>
  <si>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</si>
  <si>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</si>
  <si>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</si>
  <si>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</si>
  <si>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</si>
  <si>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</si>
  <si>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</si>
  <si>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</si>
  <si>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</si>
  <si>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</si>
  <si>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</si>
  <si>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</si>
  <si>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</si>
  <si>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</si>
  <si>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</si>
  <si>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</si>
  <si>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Faroe Islands</t>
  </si>
  <si>
    <t>FRO</t>
  </si>
  <si>
    <t>United Kingdom</t>
  </si>
  <si>
    <t>GBR</t>
  </si>
  <si>
    <t>Georgia</t>
  </si>
  <si>
    <t>GEO</t>
  </si>
  <si>
    <t>Gibraltar</t>
  </si>
  <si>
    <t>GIB</t>
  </si>
  <si>
    <t>Greece</t>
  </si>
  <si>
    <t>GRC</t>
  </si>
  <si>
    <t>Greenland</t>
  </si>
  <si>
    <t>GRL</t>
  </si>
  <si>
    <t>Croatia</t>
  </si>
  <si>
    <t>HRV</t>
  </si>
  <si>
    <t>Hungary</t>
  </si>
  <si>
    <t>HUN</t>
  </si>
  <si>
    <t>Isle of Man</t>
  </si>
  <si>
    <t>IMN</t>
  </si>
  <si>
    <t>Ireland</t>
  </si>
  <si>
    <t>IRL</t>
  </si>
  <si>
    <t>Iceland</t>
  </si>
  <si>
    <t>ISL</t>
  </si>
  <si>
    <t>Italy</t>
  </si>
  <si>
    <t>ITA</t>
  </si>
  <si>
    <t>Kazakhstan</t>
  </si>
  <si>
    <t>KAZ</t>
  </si>
  <si>
    <t>Kyrgyz Republic</t>
  </si>
  <si>
    <t>KGZ</t>
  </si>
  <si>
    <t>Liechtenstein</t>
  </si>
  <si>
    <t>LIE</t>
  </si>
  <si>
    <t>Lithuania</t>
  </si>
  <si>
    <t>LTU</t>
  </si>
  <si>
    <t>Luxembourg</t>
  </si>
  <si>
    <t>LUX</t>
  </si>
  <si>
    <t>Latvia</t>
  </si>
  <si>
    <t>LVA</t>
  </si>
  <si>
    <t>Monaco</t>
  </si>
  <si>
    <t>MCO</t>
  </si>
  <si>
    <t>Moldova</t>
  </si>
  <si>
    <t>MDA</t>
  </si>
  <si>
    <t>North Macedonia</t>
  </si>
  <si>
    <t>MKD</t>
  </si>
  <si>
    <t>Montenegro</t>
  </si>
  <si>
    <t>MNE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</si>
  <si>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</si>
  <si>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</si>
  <si>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</si>
  <si>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</si>
  <si>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</si>
  <si>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</si>
  <si>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</si>
  <si>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</si>
  <si>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</si>
  <si>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</si>
  <si>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</si>
  <si>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</si>
  <si>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San Marino</t>
  </si>
  <si>
    <t>SMR</t>
  </si>
  <si>
    <t>Serbia</t>
  </si>
  <si>
    <t>SRB</t>
  </si>
  <si>
    <t>Slovak Republic</t>
  </si>
  <si>
    <t>SVK</t>
  </si>
  <si>
    <t>Slovenia</t>
  </si>
  <si>
    <t>SVN</t>
  </si>
  <si>
    <t>Sweden</t>
  </si>
  <si>
    <t>SWE</t>
  </si>
  <si>
    <t>Tajikistan</t>
  </si>
  <si>
    <t>TJK</t>
  </si>
  <si>
    <t>Turkmenistan</t>
  </si>
  <si>
    <t>TKM</t>
  </si>
  <si>
    <t>Turkiye</t>
  </si>
  <si>
    <t>TUR</t>
  </si>
  <si>
    <t>Ukraine</t>
  </si>
  <si>
    <t>UKR</t>
  </si>
  <si>
    <t>Uzbekistan</t>
  </si>
  <si>
    <t>UZB</t>
  </si>
  <si>
    <t>Kosovo</t>
  </si>
  <si>
    <t>XKX</t>
  </si>
  <si>
    <t>Carbon dioxide (CO2) emissions excluding LULUCF per capita (t CO2e/capita)</t>
  </si>
  <si>
    <t>EN.GHG.CO2.PC.CE.AR5</t>
  </si>
  <si>
    <t>GDP per capita (constant 2015 US$)</t>
  </si>
  <si>
    <t>NY.GDP.PCAP.KD</t>
  </si>
  <si>
    <t>Life expectancy at birth, total (years)</t>
  </si>
  <si>
    <t>SP.DYN.LE00.IN</t>
  </si>
  <si>
    <t>Column Labels</t>
  </si>
  <si>
    <t>Grand Total</t>
  </si>
  <si>
    <t>Row Labels</t>
  </si>
  <si>
    <t>Average of value</t>
  </si>
  <si>
    <t>std_dev</t>
  </si>
  <si>
    <t>mean</t>
  </si>
  <si>
    <t>z-score</t>
  </si>
  <si>
    <t>Composite Development Score</t>
  </si>
  <si>
    <t>gdp per capita trend for 5 countries</t>
  </si>
  <si>
    <t>Life expectancy trend over decades</t>
  </si>
  <si>
    <t>top 10 countries by gdp per capita in 2020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</si>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</sst>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[LIVE_PRO(analysis)5.xlsx]Sheet2!PivotTable2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Life expectancy over Decades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Sheet2!$A$5:$A$12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Sheet2!$B$5:$B$12</c:f>
              <c:numCache>
                <c:formatCode>0</c:formatCode>
                <c:ptCount val="7"/>
                <c:pt idx="0">
                  <c:v>64.5</c:v>
                </c:pt>
                <c:pt idx="1">
                  <c:v>63</c:v>
                </c:pt>
                <c:pt idx="2">
                  <c:v>65.7</c:v>
                </c:pt>
                <c:pt idx="3">
                  <c:v>66.599999999999994</c:v>
                </c:pt>
                <c:pt idx="4">
                  <c:v>72</c:v>
                </c:pt>
                <c:pt idx="5">
                  <c:v>74</c:v>
                </c:pt>
                <c:pt idx="6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5-41E4-A03C-50F13B15D8D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Belarus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Sheet2!$A$5:$A$12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Sheet2!$C$5:$C$12</c:f>
              <c:numCache>
                <c:formatCode>0</c:formatCode>
                <c:ptCount val="7"/>
                <c:pt idx="0">
                  <c:v>71.099999999999994</c:v>
                </c:pt>
                <c:pt idx="1">
                  <c:v>70.8</c:v>
                </c:pt>
                <c:pt idx="2">
                  <c:v>70.3</c:v>
                </c:pt>
                <c:pt idx="3">
                  <c:v>69.900000000000006</c:v>
                </c:pt>
                <c:pt idx="4">
                  <c:v>68.599999999999994</c:v>
                </c:pt>
                <c:pt idx="5">
                  <c:v>71.599999999999994</c:v>
                </c:pt>
                <c:pt idx="6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5-41E4-A03C-50F13B15D8D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Cyprus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Sheet2!$A$5:$A$12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Sheet2!$D$5:$D$12</c:f>
              <c:numCache>
                <c:formatCode>0</c:formatCode>
                <c:ptCount val="7"/>
                <c:pt idx="0">
                  <c:v>69.099999999999994</c:v>
                </c:pt>
                <c:pt idx="1">
                  <c:v>67.2</c:v>
                </c:pt>
                <c:pt idx="2">
                  <c:v>73.3</c:v>
                </c:pt>
                <c:pt idx="3">
                  <c:v>76</c:v>
                </c:pt>
                <c:pt idx="4">
                  <c:v>78.3</c:v>
                </c:pt>
                <c:pt idx="5">
                  <c:v>80.8</c:v>
                </c:pt>
                <c:pt idx="6">
                  <c:v>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5-41E4-A03C-50F13B15D8D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Faroe Islands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Sheet2!$A$5:$A$12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Sheet2!$E$5:$E$12</c:f>
              <c:numCache>
                <c:formatCode>0</c:formatCode>
                <c:ptCount val="7"/>
                <c:pt idx="0">
                  <c:v>76.3</c:v>
                </c:pt>
                <c:pt idx="1">
                  <c:v>75</c:v>
                </c:pt>
                <c:pt idx="2">
                  <c:v>75.900000000000006</c:v>
                </c:pt>
                <c:pt idx="3">
                  <c:v>76.5</c:v>
                </c:pt>
                <c:pt idx="4">
                  <c:v>78.7</c:v>
                </c:pt>
                <c:pt idx="5">
                  <c:v>81</c:v>
                </c:pt>
                <c:pt idx="6">
                  <c:v>82.25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E5-41E4-A03C-50F13B15D8D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Sheet2!$A$5:$A$12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Sheet2!$F$5:$F$12</c:f>
              <c:numCache>
                <c:formatCode>0</c:formatCode>
                <c:ptCount val="7"/>
                <c:pt idx="0">
                  <c:v>73.3</c:v>
                </c:pt>
                <c:pt idx="1">
                  <c:v>70.8</c:v>
                </c:pt>
                <c:pt idx="2">
                  <c:v>73.2</c:v>
                </c:pt>
                <c:pt idx="3">
                  <c:v>75.599999999999994</c:v>
                </c:pt>
                <c:pt idx="4">
                  <c:v>78.099999999999994</c:v>
                </c:pt>
                <c:pt idx="5">
                  <c:v>80.400000000000006</c:v>
                </c:pt>
                <c:pt idx="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E5-41E4-A03C-50F13B15D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184944"/>
        <c:axId val="1808185424"/>
      </c:lineChart>
      <c:catAx>
        <c:axId val="18081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85424"/>
        <c:crosses val="autoZero"/>
        <c:auto val="1"/>
        <c:lblAlgn val="ctr"/>
        <c:lblOffset val="100"/>
        <c:noMultiLvlLbl val="0"/>
      </c:catAx>
      <c:valAx>
        <c:axId val="18081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12</xdr:row>
      <xdr:rowOff>137160</xdr:rowOff>
    </xdr:from>
    <xdr:to>
      <xdr:col>11</xdr:col>
      <xdr:colOff>7620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88DC8-9A6B-3257-69EB-679731777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Data\MySQL\MySQL%20Server%208.0\Uploads\LIVE_PRO(analysis).csv" TargetMode="External"/><Relationship Id="rId1" Type="http://schemas.openxmlformats.org/officeDocument/2006/relationships/externalLinkPath" Target="file:///C:\ProgramData\MySQL\MySQL%20Server%208.0\Uploads\LIVE_PRO(analysis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VE_PRO(analysis)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trali" refreshedDate="46032.645641898147" createdVersion="8" refreshedVersion="8" minRefreshableVersion="3" recordCount="10911" xr:uid="{0D35C6D4-2E00-4A9C-A0F4-6162F57E0668}">
  <cacheSource type="worksheet">
    <worksheetSource name="Table1"/>
  </cacheSource>
  <cacheFields count="7">
    <cacheField name="CountryName" numFmtId="0">
      <sharedItems count="58">
        <s v="Albania"/>
        <s v="Andorra"/>
        <s v="Armenia"/>
        <s v="Austria"/>
        <s v="Azerbaijan"/>
        <s v="Belgium"/>
        <s v="Bulgaria"/>
        <s v="Bosnia and Herzegovina"/>
        <s v="Belarus"/>
        <s v="Switzerland"/>
        <s v="Channel Islands"/>
        <s v="Cyprus"/>
        <s v="Czechia"/>
        <s v="Germany"/>
        <s v="Denmark"/>
        <s v="Spain"/>
        <s v="Estonia"/>
        <s v="Finland"/>
        <s v="France"/>
        <s v="Faroe Islands"/>
        <s v="United Kingdom"/>
        <s v="Georgia"/>
        <s v="Gibraltar"/>
        <s v="Greece"/>
        <s v="Greenland"/>
        <s v="Croatia"/>
        <s v="Hungary"/>
        <s v="Isle of Man"/>
        <s v="Ireland"/>
        <s v="Iceland"/>
        <s v="Italy"/>
        <s v="Kazakhstan"/>
        <s v="Kyrgyz Republic"/>
        <s v="Liechtenstein"/>
        <s v="Lithuania"/>
        <s v="Luxembourg"/>
        <s v="Latvia"/>
        <s v="Monaco"/>
        <s v="Moldova"/>
        <s v="North Macedonia"/>
        <s v="Montenegro"/>
        <s v="Netherlands"/>
        <s v="Norway"/>
        <s v="Poland"/>
        <s v="Portugal"/>
        <s v="Romania"/>
        <s v="Russian Federation"/>
        <s v="San Marino"/>
        <s v="Serbia"/>
        <s v="Slovak Republic"/>
        <s v="Slovenia"/>
        <s v="Sweden"/>
        <s v="Tajikistan"/>
        <s v="Turkmenistan"/>
        <s v="Turkiye"/>
        <s v="Ukraine"/>
        <s v="Uzbekistan"/>
        <s v="Kosovo"/>
      </sharedItems>
    </cacheField>
    <cacheField name="CountryCode" numFmtId="0">
      <sharedItems/>
    </cacheField>
    <cacheField name="IndicatorName" numFmtId="0">
      <sharedItems count="4">
        <s v="Access to electricity (% of population)"/>
        <s v="Carbon dioxide (CO2) emissions excluding LULUCF per capita (t CO2e/capita)"/>
        <s v="GDP per capita (constant 2015 US$)"/>
        <s v="Life expectancy at birth, total (years)"/>
      </sharedItems>
    </cacheField>
    <cacheField name="IndicatorCode" numFmtId="0">
      <sharedItems/>
    </cacheField>
    <cacheField name="Year" numFmtId="0">
      <sharedItems containsSemiMixedTypes="0" containsString="0" containsNumber="1" containsInteger="1" minValue="1960" maxValue="2024" count="6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2024"/>
        <n v="1960"/>
        <n v="1961"/>
        <n v="1962"/>
        <n v="1963"/>
        <n v="1964"/>
        <n v="1965"/>
        <n v="1966"/>
        <n v="1967"/>
        <n v="1968"/>
        <n v="1969"/>
      </sharedItems>
    </cacheField>
    <cacheField name="value" numFmtId="1">
      <sharedItems containsSemiMixedTypes="0" containsString="0" containsNumber="1" containsInteger="1" minValue="0" maxValue="247170"/>
    </cacheField>
    <cacheField name="decade" numFmtId="0">
      <sharedItems containsSemiMixedTypes="0" containsString="0" containsNumber="1" containsInteger="1" minValue="0" maxValue="2020" count="8">
        <n v="1990"/>
        <n v="2000"/>
        <n v="2010"/>
        <n v="2020"/>
        <n v="1970"/>
        <n v="1980"/>
        <n v="1960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11">
  <r>
    <x v="0"/>
    <s v="ALB"/>
    <x v="0"/>
    <s v="EG.ELC.ACCS.ZS"/>
    <x v="0"/>
    <n v="100"/>
    <x v="0"/>
  </r>
  <r>
    <x v="0"/>
    <s v="ALB"/>
    <x v="0"/>
    <s v="EG.ELC.ACCS.ZS"/>
    <x v="1"/>
    <n v="100"/>
    <x v="0"/>
  </r>
  <r>
    <x v="0"/>
    <s v="ALB"/>
    <x v="0"/>
    <s v="EG.ELC.ACCS.ZS"/>
    <x v="2"/>
    <n v="100"/>
    <x v="0"/>
  </r>
  <r>
    <x v="0"/>
    <s v="ALB"/>
    <x v="0"/>
    <s v="EG.ELC.ACCS.ZS"/>
    <x v="3"/>
    <n v="100"/>
    <x v="0"/>
  </r>
  <r>
    <x v="0"/>
    <s v="ALB"/>
    <x v="0"/>
    <s v="EG.ELC.ACCS.ZS"/>
    <x v="4"/>
    <n v="100"/>
    <x v="0"/>
  </r>
  <r>
    <x v="0"/>
    <s v="ALB"/>
    <x v="0"/>
    <s v="EG.ELC.ACCS.ZS"/>
    <x v="5"/>
    <n v="100"/>
    <x v="0"/>
  </r>
  <r>
    <x v="0"/>
    <s v="ALB"/>
    <x v="0"/>
    <s v="EG.ELC.ACCS.ZS"/>
    <x v="6"/>
    <n v="100"/>
    <x v="0"/>
  </r>
  <r>
    <x v="0"/>
    <s v="ALB"/>
    <x v="0"/>
    <s v="EG.ELC.ACCS.ZS"/>
    <x v="7"/>
    <n v="100"/>
    <x v="1"/>
  </r>
  <r>
    <x v="0"/>
    <s v="ALB"/>
    <x v="0"/>
    <s v="EG.ELC.ACCS.ZS"/>
    <x v="8"/>
    <n v="100"/>
    <x v="1"/>
  </r>
  <r>
    <x v="0"/>
    <s v="ALB"/>
    <x v="0"/>
    <s v="EG.ELC.ACCS.ZS"/>
    <x v="9"/>
    <n v="100"/>
    <x v="1"/>
  </r>
  <r>
    <x v="0"/>
    <s v="ALB"/>
    <x v="0"/>
    <s v="EG.ELC.ACCS.ZS"/>
    <x v="10"/>
    <n v="99"/>
    <x v="1"/>
  </r>
  <r>
    <x v="0"/>
    <s v="ALB"/>
    <x v="0"/>
    <s v="EG.ELC.ACCS.ZS"/>
    <x v="11"/>
    <n v="99"/>
    <x v="1"/>
  </r>
  <r>
    <x v="0"/>
    <s v="ALB"/>
    <x v="0"/>
    <s v="EG.ELC.ACCS.ZS"/>
    <x v="12"/>
    <n v="99"/>
    <x v="1"/>
  </r>
  <r>
    <x v="0"/>
    <s v="ALB"/>
    <x v="0"/>
    <s v="EG.ELC.ACCS.ZS"/>
    <x v="13"/>
    <n v="99"/>
    <x v="1"/>
  </r>
  <r>
    <x v="0"/>
    <s v="ALB"/>
    <x v="0"/>
    <s v="EG.ELC.ACCS.ZS"/>
    <x v="14"/>
    <n v="99"/>
    <x v="1"/>
  </r>
  <r>
    <x v="0"/>
    <s v="ALB"/>
    <x v="0"/>
    <s v="EG.ELC.ACCS.ZS"/>
    <x v="15"/>
    <n v="99"/>
    <x v="1"/>
  </r>
  <r>
    <x v="0"/>
    <s v="ALB"/>
    <x v="0"/>
    <s v="EG.ELC.ACCS.ZS"/>
    <x v="16"/>
    <n v="99"/>
    <x v="1"/>
  </r>
  <r>
    <x v="0"/>
    <s v="ALB"/>
    <x v="0"/>
    <s v="EG.ELC.ACCS.ZS"/>
    <x v="17"/>
    <n v="99"/>
    <x v="2"/>
  </r>
  <r>
    <x v="0"/>
    <s v="ALB"/>
    <x v="0"/>
    <s v="EG.ELC.ACCS.ZS"/>
    <x v="18"/>
    <n v="100"/>
    <x v="2"/>
  </r>
  <r>
    <x v="0"/>
    <s v="ALB"/>
    <x v="0"/>
    <s v="EG.ELC.ACCS.ZS"/>
    <x v="19"/>
    <n v="100"/>
    <x v="2"/>
  </r>
  <r>
    <x v="0"/>
    <s v="ALB"/>
    <x v="0"/>
    <s v="EG.ELC.ACCS.ZS"/>
    <x v="20"/>
    <n v="100"/>
    <x v="2"/>
  </r>
  <r>
    <x v="0"/>
    <s v="ALB"/>
    <x v="0"/>
    <s v="EG.ELC.ACCS.ZS"/>
    <x v="21"/>
    <n v="100"/>
    <x v="2"/>
  </r>
  <r>
    <x v="0"/>
    <s v="ALB"/>
    <x v="0"/>
    <s v="EG.ELC.ACCS.ZS"/>
    <x v="22"/>
    <n v="100"/>
    <x v="2"/>
  </r>
  <r>
    <x v="0"/>
    <s v="ALB"/>
    <x v="0"/>
    <s v="EG.ELC.ACCS.ZS"/>
    <x v="23"/>
    <n v="100"/>
    <x v="2"/>
  </r>
  <r>
    <x v="0"/>
    <s v="ALB"/>
    <x v="0"/>
    <s v="EG.ELC.ACCS.ZS"/>
    <x v="24"/>
    <n v="100"/>
    <x v="2"/>
  </r>
  <r>
    <x v="0"/>
    <s v="ALB"/>
    <x v="0"/>
    <s v="EG.ELC.ACCS.ZS"/>
    <x v="25"/>
    <n v="100"/>
    <x v="2"/>
  </r>
  <r>
    <x v="0"/>
    <s v="ALB"/>
    <x v="0"/>
    <s v="EG.ELC.ACCS.ZS"/>
    <x v="26"/>
    <n v="100"/>
    <x v="2"/>
  </r>
  <r>
    <x v="0"/>
    <s v="ALB"/>
    <x v="0"/>
    <s v="EG.ELC.ACCS.ZS"/>
    <x v="27"/>
    <n v="100"/>
    <x v="3"/>
  </r>
  <r>
    <x v="0"/>
    <s v="ALB"/>
    <x v="0"/>
    <s v="EG.ELC.ACCS.ZS"/>
    <x v="28"/>
    <n v="100"/>
    <x v="3"/>
  </r>
  <r>
    <x v="0"/>
    <s v="ALB"/>
    <x v="0"/>
    <s v="EG.ELC.ACCS.ZS"/>
    <x v="29"/>
    <n v="100"/>
    <x v="3"/>
  </r>
  <r>
    <x v="0"/>
    <s v="ALB"/>
    <x v="0"/>
    <s v="EG.ELC.ACCS.ZS"/>
    <x v="30"/>
    <n v="100"/>
    <x v="3"/>
  </r>
  <r>
    <x v="0"/>
    <s v="ALB"/>
    <x v="0"/>
    <s v="EG.ELC.ACCS.ZS"/>
    <x v="31"/>
    <n v="100"/>
    <x v="0"/>
  </r>
  <r>
    <x v="0"/>
    <s v="ALB"/>
    <x v="0"/>
    <s v="EG.ELC.ACCS.ZS"/>
    <x v="32"/>
    <n v="100"/>
    <x v="0"/>
  </r>
  <r>
    <x v="0"/>
    <s v="ALB"/>
    <x v="0"/>
    <s v="EG.ELC.ACCS.ZS"/>
    <x v="33"/>
    <n v="100"/>
    <x v="0"/>
  </r>
  <r>
    <x v="1"/>
    <s v="AND"/>
    <x v="0"/>
    <s v="EG.ELC.ACCS.ZS"/>
    <x v="0"/>
    <n v="100"/>
    <x v="0"/>
  </r>
  <r>
    <x v="1"/>
    <s v="AND"/>
    <x v="0"/>
    <s v="EG.ELC.ACCS.ZS"/>
    <x v="1"/>
    <n v="100"/>
    <x v="0"/>
  </r>
  <r>
    <x v="1"/>
    <s v="AND"/>
    <x v="0"/>
    <s v="EG.ELC.ACCS.ZS"/>
    <x v="2"/>
    <n v="100"/>
    <x v="0"/>
  </r>
  <r>
    <x v="1"/>
    <s v="AND"/>
    <x v="0"/>
    <s v="EG.ELC.ACCS.ZS"/>
    <x v="3"/>
    <n v="100"/>
    <x v="0"/>
  </r>
  <r>
    <x v="1"/>
    <s v="AND"/>
    <x v="0"/>
    <s v="EG.ELC.ACCS.ZS"/>
    <x v="4"/>
    <n v="100"/>
    <x v="0"/>
  </r>
  <r>
    <x v="1"/>
    <s v="AND"/>
    <x v="0"/>
    <s v="EG.ELC.ACCS.ZS"/>
    <x v="5"/>
    <n v="100"/>
    <x v="0"/>
  </r>
  <r>
    <x v="1"/>
    <s v="AND"/>
    <x v="0"/>
    <s v="EG.ELC.ACCS.ZS"/>
    <x v="6"/>
    <n v="100"/>
    <x v="0"/>
  </r>
  <r>
    <x v="1"/>
    <s v="AND"/>
    <x v="0"/>
    <s v="EG.ELC.ACCS.ZS"/>
    <x v="7"/>
    <n v="100"/>
    <x v="1"/>
  </r>
  <r>
    <x v="1"/>
    <s v="AND"/>
    <x v="0"/>
    <s v="EG.ELC.ACCS.ZS"/>
    <x v="8"/>
    <n v="100"/>
    <x v="1"/>
  </r>
  <r>
    <x v="1"/>
    <s v="AND"/>
    <x v="0"/>
    <s v="EG.ELC.ACCS.ZS"/>
    <x v="9"/>
    <n v="100"/>
    <x v="1"/>
  </r>
  <r>
    <x v="1"/>
    <s v="AND"/>
    <x v="0"/>
    <s v="EG.ELC.ACCS.ZS"/>
    <x v="10"/>
    <n v="100"/>
    <x v="1"/>
  </r>
  <r>
    <x v="1"/>
    <s v="AND"/>
    <x v="0"/>
    <s v="EG.ELC.ACCS.ZS"/>
    <x v="11"/>
    <n v="100"/>
    <x v="1"/>
  </r>
  <r>
    <x v="1"/>
    <s v="AND"/>
    <x v="0"/>
    <s v="EG.ELC.ACCS.ZS"/>
    <x v="12"/>
    <n v="100"/>
    <x v="1"/>
  </r>
  <r>
    <x v="1"/>
    <s v="AND"/>
    <x v="0"/>
    <s v="EG.ELC.ACCS.ZS"/>
    <x v="13"/>
    <n v="100"/>
    <x v="1"/>
  </r>
  <r>
    <x v="1"/>
    <s v="AND"/>
    <x v="0"/>
    <s v="EG.ELC.ACCS.ZS"/>
    <x v="14"/>
    <n v="100"/>
    <x v="1"/>
  </r>
  <r>
    <x v="1"/>
    <s v="AND"/>
    <x v="0"/>
    <s v="EG.ELC.ACCS.ZS"/>
    <x v="15"/>
    <n v="100"/>
    <x v="1"/>
  </r>
  <r>
    <x v="1"/>
    <s v="AND"/>
    <x v="0"/>
    <s v="EG.ELC.ACCS.ZS"/>
    <x v="16"/>
    <n v="100"/>
    <x v="1"/>
  </r>
  <r>
    <x v="1"/>
    <s v="AND"/>
    <x v="0"/>
    <s v="EG.ELC.ACCS.ZS"/>
    <x v="17"/>
    <n v="100"/>
    <x v="2"/>
  </r>
  <r>
    <x v="1"/>
    <s v="AND"/>
    <x v="0"/>
    <s v="EG.ELC.ACCS.ZS"/>
    <x v="18"/>
    <n v="100"/>
    <x v="2"/>
  </r>
  <r>
    <x v="1"/>
    <s v="AND"/>
    <x v="0"/>
    <s v="EG.ELC.ACCS.ZS"/>
    <x v="19"/>
    <n v="100"/>
    <x v="2"/>
  </r>
  <r>
    <x v="1"/>
    <s v="AND"/>
    <x v="0"/>
    <s v="EG.ELC.ACCS.ZS"/>
    <x v="20"/>
    <n v="100"/>
    <x v="2"/>
  </r>
  <r>
    <x v="1"/>
    <s v="AND"/>
    <x v="0"/>
    <s v="EG.ELC.ACCS.ZS"/>
    <x v="21"/>
    <n v="100"/>
    <x v="2"/>
  </r>
  <r>
    <x v="1"/>
    <s v="AND"/>
    <x v="0"/>
    <s v="EG.ELC.ACCS.ZS"/>
    <x v="22"/>
    <n v="100"/>
    <x v="2"/>
  </r>
  <r>
    <x v="1"/>
    <s v="AND"/>
    <x v="0"/>
    <s v="EG.ELC.ACCS.ZS"/>
    <x v="23"/>
    <n v="100"/>
    <x v="2"/>
  </r>
  <r>
    <x v="1"/>
    <s v="AND"/>
    <x v="0"/>
    <s v="EG.ELC.ACCS.ZS"/>
    <x v="24"/>
    <n v="100"/>
    <x v="2"/>
  </r>
  <r>
    <x v="1"/>
    <s v="AND"/>
    <x v="0"/>
    <s v="EG.ELC.ACCS.ZS"/>
    <x v="25"/>
    <n v="100"/>
    <x v="2"/>
  </r>
  <r>
    <x v="1"/>
    <s v="AND"/>
    <x v="0"/>
    <s v="EG.ELC.ACCS.ZS"/>
    <x v="26"/>
    <n v="100"/>
    <x v="2"/>
  </r>
  <r>
    <x v="1"/>
    <s v="AND"/>
    <x v="0"/>
    <s v="EG.ELC.ACCS.ZS"/>
    <x v="27"/>
    <n v="100"/>
    <x v="3"/>
  </r>
  <r>
    <x v="1"/>
    <s v="AND"/>
    <x v="0"/>
    <s v="EG.ELC.ACCS.ZS"/>
    <x v="28"/>
    <n v="100"/>
    <x v="3"/>
  </r>
  <r>
    <x v="1"/>
    <s v="AND"/>
    <x v="0"/>
    <s v="EG.ELC.ACCS.ZS"/>
    <x v="29"/>
    <n v="100"/>
    <x v="3"/>
  </r>
  <r>
    <x v="1"/>
    <s v="AND"/>
    <x v="0"/>
    <s v="EG.ELC.ACCS.ZS"/>
    <x v="30"/>
    <n v="100"/>
    <x v="3"/>
  </r>
  <r>
    <x v="1"/>
    <s v="AND"/>
    <x v="0"/>
    <s v="EG.ELC.ACCS.ZS"/>
    <x v="31"/>
    <n v="100"/>
    <x v="1"/>
  </r>
  <r>
    <x v="1"/>
    <s v="AND"/>
    <x v="0"/>
    <s v="EG.ELC.ACCS.ZS"/>
    <x v="32"/>
    <n v="100"/>
    <x v="1"/>
  </r>
  <r>
    <x v="1"/>
    <s v="AND"/>
    <x v="0"/>
    <s v="EG.ELC.ACCS.ZS"/>
    <x v="33"/>
    <n v="100"/>
    <x v="1"/>
  </r>
  <r>
    <x v="2"/>
    <s v="ARM"/>
    <x v="0"/>
    <s v="EG.ELC.ACCS.ZS"/>
    <x v="10"/>
    <n v="99"/>
    <x v="1"/>
  </r>
  <r>
    <x v="2"/>
    <s v="ARM"/>
    <x v="0"/>
    <s v="EG.ELC.ACCS.ZS"/>
    <x v="11"/>
    <n v="100"/>
    <x v="1"/>
  </r>
  <r>
    <x v="2"/>
    <s v="ARM"/>
    <x v="0"/>
    <s v="EG.ELC.ACCS.ZS"/>
    <x v="12"/>
    <n v="98"/>
    <x v="1"/>
  </r>
  <r>
    <x v="2"/>
    <s v="ARM"/>
    <x v="0"/>
    <s v="EG.ELC.ACCS.ZS"/>
    <x v="13"/>
    <n v="99"/>
    <x v="1"/>
  </r>
  <r>
    <x v="2"/>
    <s v="ARM"/>
    <x v="0"/>
    <s v="EG.ELC.ACCS.ZS"/>
    <x v="14"/>
    <n v="99"/>
    <x v="1"/>
  </r>
  <r>
    <x v="2"/>
    <s v="ARM"/>
    <x v="0"/>
    <s v="EG.ELC.ACCS.ZS"/>
    <x v="15"/>
    <n v="100"/>
    <x v="1"/>
  </r>
  <r>
    <x v="2"/>
    <s v="ARM"/>
    <x v="0"/>
    <s v="EG.ELC.ACCS.ZS"/>
    <x v="16"/>
    <n v="99"/>
    <x v="1"/>
  </r>
  <r>
    <x v="2"/>
    <s v="ARM"/>
    <x v="0"/>
    <s v="EG.ELC.ACCS.ZS"/>
    <x v="17"/>
    <n v="99"/>
    <x v="2"/>
  </r>
  <r>
    <x v="2"/>
    <s v="ARM"/>
    <x v="0"/>
    <s v="EG.ELC.ACCS.ZS"/>
    <x v="18"/>
    <n v="99"/>
    <x v="2"/>
  </r>
  <r>
    <x v="2"/>
    <s v="ARM"/>
    <x v="0"/>
    <s v="EG.ELC.ACCS.ZS"/>
    <x v="19"/>
    <n v="99"/>
    <x v="2"/>
  </r>
  <r>
    <x v="2"/>
    <s v="ARM"/>
    <x v="0"/>
    <s v="EG.ELC.ACCS.ZS"/>
    <x v="20"/>
    <n v="100"/>
    <x v="2"/>
  </r>
  <r>
    <x v="2"/>
    <s v="ARM"/>
    <x v="0"/>
    <s v="EG.ELC.ACCS.ZS"/>
    <x v="21"/>
    <n v="100"/>
    <x v="2"/>
  </r>
  <r>
    <x v="2"/>
    <s v="ARM"/>
    <x v="0"/>
    <s v="EG.ELC.ACCS.ZS"/>
    <x v="22"/>
    <n v="100"/>
    <x v="2"/>
  </r>
  <r>
    <x v="2"/>
    <s v="ARM"/>
    <x v="0"/>
    <s v="EG.ELC.ACCS.ZS"/>
    <x v="23"/>
    <n v="99"/>
    <x v="2"/>
  </r>
  <r>
    <x v="2"/>
    <s v="ARM"/>
    <x v="0"/>
    <s v="EG.ELC.ACCS.ZS"/>
    <x v="24"/>
    <n v="100"/>
    <x v="2"/>
  </r>
  <r>
    <x v="2"/>
    <s v="ARM"/>
    <x v="0"/>
    <s v="EG.ELC.ACCS.ZS"/>
    <x v="25"/>
    <n v="100"/>
    <x v="2"/>
  </r>
  <r>
    <x v="2"/>
    <s v="ARM"/>
    <x v="0"/>
    <s v="EG.ELC.ACCS.ZS"/>
    <x v="26"/>
    <n v="100"/>
    <x v="2"/>
  </r>
  <r>
    <x v="2"/>
    <s v="ARM"/>
    <x v="0"/>
    <s v="EG.ELC.ACCS.ZS"/>
    <x v="27"/>
    <n v="100"/>
    <x v="3"/>
  </r>
  <r>
    <x v="2"/>
    <s v="ARM"/>
    <x v="0"/>
    <s v="EG.ELC.ACCS.ZS"/>
    <x v="28"/>
    <n v="100"/>
    <x v="3"/>
  </r>
  <r>
    <x v="2"/>
    <s v="ARM"/>
    <x v="0"/>
    <s v="EG.ELC.ACCS.ZS"/>
    <x v="29"/>
    <n v="100"/>
    <x v="3"/>
  </r>
  <r>
    <x v="2"/>
    <s v="ARM"/>
    <x v="0"/>
    <s v="EG.ELC.ACCS.ZS"/>
    <x v="30"/>
    <n v="100"/>
    <x v="3"/>
  </r>
  <r>
    <x v="2"/>
    <s v="ARM"/>
    <x v="0"/>
    <s v="EG.ELC.ACCS.ZS"/>
    <x v="31"/>
    <n v="100"/>
    <x v="0"/>
  </r>
  <r>
    <x v="2"/>
    <s v="ARM"/>
    <x v="0"/>
    <s v="EG.ELC.ACCS.ZS"/>
    <x v="32"/>
    <n v="100"/>
    <x v="0"/>
  </r>
  <r>
    <x v="2"/>
    <s v="ARM"/>
    <x v="0"/>
    <s v="EG.ELC.ACCS.ZS"/>
    <x v="33"/>
    <n v="100"/>
    <x v="0"/>
  </r>
  <r>
    <x v="3"/>
    <s v="AUT"/>
    <x v="0"/>
    <s v="EG.ELC.ACCS.ZS"/>
    <x v="0"/>
    <n v="100"/>
    <x v="0"/>
  </r>
  <r>
    <x v="3"/>
    <s v="AUT"/>
    <x v="0"/>
    <s v="EG.ELC.ACCS.ZS"/>
    <x v="1"/>
    <n v="100"/>
    <x v="0"/>
  </r>
  <r>
    <x v="3"/>
    <s v="AUT"/>
    <x v="0"/>
    <s v="EG.ELC.ACCS.ZS"/>
    <x v="2"/>
    <n v="100"/>
    <x v="0"/>
  </r>
  <r>
    <x v="3"/>
    <s v="AUT"/>
    <x v="0"/>
    <s v="EG.ELC.ACCS.ZS"/>
    <x v="3"/>
    <n v="100"/>
    <x v="0"/>
  </r>
  <r>
    <x v="3"/>
    <s v="AUT"/>
    <x v="0"/>
    <s v="EG.ELC.ACCS.ZS"/>
    <x v="4"/>
    <n v="100"/>
    <x v="0"/>
  </r>
  <r>
    <x v="3"/>
    <s v="AUT"/>
    <x v="0"/>
    <s v="EG.ELC.ACCS.ZS"/>
    <x v="5"/>
    <n v="100"/>
    <x v="0"/>
  </r>
  <r>
    <x v="3"/>
    <s v="AUT"/>
    <x v="0"/>
    <s v="EG.ELC.ACCS.ZS"/>
    <x v="6"/>
    <n v="100"/>
    <x v="0"/>
  </r>
  <r>
    <x v="3"/>
    <s v="AUT"/>
    <x v="0"/>
    <s v="EG.ELC.ACCS.ZS"/>
    <x v="7"/>
    <n v="100"/>
    <x v="1"/>
  </r>
  <r>
    <x v="3"/>
    <s v="AUT"/>
    <x v="0"/>
    <s v="EG.ELC.ACCS.ZS"/>
    <x v="8"/>
    <n v="100"/>
    <x v="1"/>
  </r>
  <r>
    <x v="3"/>
    <s v="AUT"/>
    <x v="0"/>
    <s v="EG.ELC.ACCS.ZS"/>
    <x v="9"/>
    <n v="100"/>
    <x v="1"/>
  </r>
  <r>
    <x v="3"/>
    <s v="AUT"/>
    <x v="0"/>
    <s v="EG.ELC.ACCS.ZS"/>
    <x v="10"/>
    <n v="100"/>
    <x v="1"/>
  </r>
  <r>
    <x v="3"/>
    <s v="AUT"/>
    <x v="0"/>
    <s v="EG.ELC.ACCS.ZS"/>
    <x v="11"/>
    <n v="100"/>
    <x v="1"/>
  </r>
  <r>
    <x v="3"/>
    <s v="AUT"/>
    <x v="0"/>
    <s v="EG.ELC.ACCS.ZS"/>
    <x v="12"/>
    <n v="100"/>
    <x v="1"/>
  </r>
  <r>
    <x v="3"/>
    <s v="AUT"/>
    <x v="0"/>
    <s v="EG.ELC.ACCS.ZS"/>
    <x v="13"/>
    <n v="100"/>
    <x v="1"/>
  </r>
  <r>
    <x v="3"/>
    <s v="AUT"/>
    <x v="0"/>
    <s v="EG.ELC.ACCS.ZS"/>
    <x v="14"/>
    <n v="100"/>
    <x v="1"/>
  </r>
  <r>
    <x v="3"/>
    <s v="AUT"/>
    <x v="0"/>
    <s v="EG.ELC.ACCS.ZS"/>
    <x v="15"/>
    <n v="100"/>
    <x v="1"/>
  </r>
  <r>
    <x v="3"/>
    <s v="AUT"/>
    <x v="0"/>
    <s v="EG.ELC.ACCS.ZS"/>
    <x v="16"/>
    <n v="100"/>
    <x v="1"/>
  </r>
  <r>
    <x v="3"/>
    <s v="AUT"/>
    <x v="0"/>
    <s v="EG.ELC.ACCS.ZS"/>
    <x v="17"/>
    <n v="100"/>
    <x v="2"/>
  </r>
  <r>
    <x v="3"/>
    <s v="AUT"/>
    <x v="0"/>
    <s v="EG.ELC.ACCS.ZS"/>
    <x v="18"/>
    <n v="100"/>
    <x v="2"/>
  </r>
  <r>
    <x v="3"/>
    <s v="AUT"/>
    <x v="0"/>
    <s v="EG.ELC.ACCS.ZS"/>
    <x v="19"/>
    <n v="100"/>
    <x v="2"/>
  </r>
  <r>
    <x v="3"/>
    <s v="AUT"/>
    <x v="0"/>
    <s v="EG.ELC.ACCS.ZS"/>
    <x v="20"/>
    <n v="100"/>
    <x v="2"/>
  </r>
  <r>
    <x v="3"/>
    <s v="AUT"/>
    <x v="0"/>
    <s v="EG.ELC.ACCS.ZS"/>
    <x v="21"/>
    <n v="100"/>
    <x v="2"/>
  </r>
  <r>
    <x v="3"/>
    <s v="AUT"/>
    <x v="0"/>
    <s v="EG.ELC.ACCS.ZS"/>
    <x v="22"/>
    <n v="100"/>
    <x v="2"/>
  </r>
  <r>
    <x v="3"/>
    <s v="AUT"/>
    <x v="0"/>
    <s v="EG.ELC.ACCS.ZS"/>
    <x v="23"/>
    <n v="100"/>
    <x v="2"/>
  </r>
  <r>
    <x v="3"/>
    <s v="AUT"/>
    <x v="0"/>
    <s v="EG.ELC.ACCS.ZS"/>
    <x v="24"/>
    <n v="100"/>
    <x v="2"/>
  </r>
  <r>
    <x v="3"/>
    <s v="AUT"/>
    <x v="0"/>
    <s v="EG.ELC.ACCS.ZS"/>
    <x v="25"/>
    <n v="100"/>
    <x v="2"/>
  </r>
  <r>
    <x v="3"/>
    <s v="AUT"/>
    <x v="0"/>
    <s v="EG.ELC.ACCS.ZS"/>
    <x v="26"/>
    <n v="100"/>
    <x v="2"/>
  </r>
  <r>
    <x v="3"/>
    <s v="AUT"/>
    <x v="0"/>
    <s v="EG.ELC.ACCS.ZS"/>
    <x v="27"/>
    <n v="100"/>
    <x v="3"/>
  </r>
  <r>
    <x v="3"/>
    <s v="AUT"/>
    <x v="0"/>
    <s v="EG.ELC.ACCS.ZS"/>
    <x v="28"/>
    <n v="100"/>
    <x v="3"/>
  </r>
  <r>
    <x v="3"/>
    <s v="AUT"/>
    <x v="0"/>
    <s v="EG.ELC.ACCS.ZS"/>
    <x v="29"/>
    <n v="100"/>
    <x v="3"/>
  </r>
  <r>
    <x v="3"/>
    <s v="AUT"/>
    <x v="0"/>
    <s v="EG.ELC.ACCS.ZS"/>
    <x v="30"/>
    <n v="100"/>
    <x v="3"/>
  </r>
  <r>
    <x v="3"/>
    <s v="AUT"/>
    <x v="0"/>
    <s v="EG.ELC.ACCS.ZS"/>
    <x v="31"/>
    <n v="100"/>
    <x v="0"/>
  </r>
  <r>
    <x v="3"/>
    <s v="AUT"/>
    <x v="0"/>
    <s v="EG.ELC.ACCS.ZS"/>
    <x v="32"/>
    <n v="100"/>
    <x v="1"/>
  </r>
  <r>
    <x v="3"/>
    <s v="AUT"/>
    <x v="0"/>
    <s v="EG.ELC.ACCS.ZS"/>
    <x v="33"/>
    <n v="100"/>
    <x v="1"/>
  </r>
  <r>
    <x v="4"/>
    <s v="AZE"/>
    <x v="0"/>
    <s v="EG.ELC.ACCS.ZS"/>
    <x v="9"/>
    <n v="97"/>
    <x v="1"/>
  </r>
  <r>
    <x v="4"/>
    <s v="AZE"/>
    <x v="0"/>
    <s v="EG.ELC.ACCS.ZS"/>
    <x v="10"/>
    <n v="99"/>
    <x v="1"/>
  </r>
  <r>
    <x v="4"/>
    <s v="AZE"/>
    <x v="0"/>
    <s v="EG.ELC.ACCS.ZS"/>
    <x v="11"/>
    <n v="99"/>
    <x v="1"/>
  </r>
  <r>
    <x v="4"/>
    <s v="AZE"/>
    <x v="0"/>
    <s v="EG.ELC.ACCS.ZS"/>
    <x v="12"/>
    <n v="100"/>
    <x v="1"/>
  </r>
  <r>
    <x v="4"/>
    <s v="AZE"/>
    <x v="0"/>
    <s v="EG.ELC.ACCS.ZS"/>
    <x v="13"/>
    <n v="99"/>
    <x v="1"/>
  </r>
  <r>
    <x v="4"/>
    <s v="AZE"/>
    <x v="0"/>
    <s v="EG.ELC.ACCS.ZS"/>
    <x v="14"/>
    <n v="99"/>
    <x v="1"/>
  </r>
  <r>
    <x v="4"/>
    <s v="AZE"/>
    <x v="0"/>
    <s v="EG.ELC.ACCS.ZS"/>
    <x v="15"/>
    <n v="99"/>
    <x v="1"/>
  </r>
  <r>
    <x v="4"/>
    <s v="AZE"/>
    <x v="0"/>
    <s v="EG.ELC.ACCS.ZS"/>
    <x v="16"/>
    <n v="100"/>
    <x v="1"/>
  </r>
  <r>
    <x v="4"/>
    <s v="AZE"/>
    <x v="0"/>
    <s v="EG.ELC.ACCS.ZS"/>
    <x v="17"/>
    <n v="100"/>
    <x v="2"/>
  </r>
  <r>
    <x v="4"/>
    <s v="AZE"/>
    <x v="0"/>
    <s v="EG.ELC.ACCS.ZS"/>
    <x v="18"/>
    <n v="100"/>
    <x v="2"/>
  </r>
  <r>
    <x v="4"/>
    <s v="AZE"/>
    <x v="0"/>
    <s v="EG.ELC.ACCS.ZS"/>
    <x v="19"/>
    <n v="100"/>
    <x v="2"/>
  </r>
  <r>
    <x v="4"/>
    <s v="AZE"/>
    <x v="0"/>
    <s v="EG.ELC.ACCS.ZS"/>
    <x v="20"/>
    <n v="100"/>
    <x v="2"/>
  </r>
  <r>
    <x v="4"/>
    <s v="AZE"/>
    <x v="0"/>
    <s v="EG.ELC.ACCS.ZS"/>
    <x v="21"/>
    <n v="100"/>
    <x v="2"/>
  </r>
  <r>
    <x v="4"/>
    <s v="AZE"/>
    <x v="0"/>
    <s v="EG.ELC.ACCS.ZS"/>
    <x v="22"/>
    <n v="100"/>
    <x v="2"/>
  </r>
  <r>
    <x v="4"/>
    <s v="AZE"/>
    <x v="0"/>
    <s v="EG.ELC.ACCS.ZS"/>
    <x v="23"/>
    <n v="100"/>
    <x v="2"/>
  </r>
  <r>
    <x v="4"/>
    <s v="AZE"/>
    <x v="0"/>
    <s v="EG.ELC.ACCS.ZS"/>
    <x v="24"/>
    <n v="100"/>
    <x v="2"/>
  </r>
  <r>
    <x v="4"/>
    <s v="AZE"/>
    <x v="0"/>
    <s v="EG.ELC.ACCS.ZS"/>
    <x v="25"/>
    <n v="100"/>
    <x v="2"/>
  </r>
  <r>
    <x v="4"/>
    <s v="AZE"/>
    <x v="0"/>
    <s v="EG.ELC.ACCS.ZS"/>
    <x v="26"/>
    <n v="100"/>
    <x v="2"/>
  </r>
  <r>
    <x v="4"/>
    <s v="AZE"/>
    <x v="0"/>
    <s v="EG.ELC.ACCS.ZS"/>
    <x v="27"/>
    <n v="100"/>
    <x v="3"/>
  </r>
  <r>
    <x v="4"/>
    <s v="AZE"/>
    <x v="0"/>
    <s v="EG.ELC.ACCS.ZS"/>
    <x v="28"/>
    <n v="100"/>
    <x v="3"/>
  </r>
  <r>
    <x v="4"/>
    <s v="AZE"/>
    <x v="0"/>
    <s v="EG.ELC.ACCS.ZS"/>
    <x v="29"/>
    <n v="100"/>
    <x v="3"/>
  </r>
  <r>
    <x v="4"/>
    <s v="AZE"/>
    <x v="0"/>
    <s v="EG.ELC.ACCS.ZS"/>
    <x v="30"/>
    <n v="100"/>
    <x v="3"/>
  </r>
  <r>
    <x v="4"/>
    <s v="AZE"/>
    <x v="0"/>
    <s v="EG.ELC.ACCS.ZS"/>
    <x v="31"/>
    <n v="100"/>
    <x v="0"/>
  </r>
  <r>
    <x v="4"/>
    <s v="AZE"/>
    <x v="0"/>
    <s v="EG.ELC.ACCS.ZS"/>
    <x v="32"/>
    <n v="100"/>
    <x v="0"/>
  </r>
  <r>
    <x v="4"/>
    <s v="AZE"/>
    <x v="0"/>
    <s v="EG.ELC.ACCS.ZS"/>
    <x v="33"/>
    <n v="100"/>
    <x v="0"/>
  </r>
  <r>
    <x v="5"/>
    <s v="BEL"/>
    <x v="0"/>
    <s v="EG.ELC.ACCS.ZS"/>
    <x v="0"/>
    <n v="100"/>
    <x v="0"/>
  </r>
  <r>
    <x v="5"/>
    <s v="BEL"/>
    <x v="0"/>
    <s v="EG.ELC.ACCS.ZS"/>
    <x v="1"/>
    <n v="100"/>
    <x v="0"/>
  </r>
  <r>
    <x v="5"/>
    <s v="BEL"/>
    <x v="0"/>
    <s v="EG.ELC.ACCS.ZS"/>
    <x v="2"/>
    <n v="100"/>
    <x v="0"/>
  </r>
  <r>
    <x v="5"/>
    <s v="BEL"/>
    <x v="0"/>
    <s v="EG.ELC.ACCS.ZS"/>
    <x v="3"/>
    <n v="100"/>
    <x v="0"/>
  </r>
  <r>
    <x v="5"/>
    <s v="BEL"/>
    <x v="0"/>
    <s v="EG.ELC.ACCS.ZS"/>
    <x v="4"/>
    <n v="100"/>
    <x v="0"/>
  </r>
  <r>
    <x v="5"/>
    <s v="BEL"/>
    <x v="0"/>
    <s v="EG.ELC.ACCS.ZS"/>
    <x v="5"/>
    <n v="100"/>
    <x v="0"/>
  </r>
  <r>
    <x v="5"/>
    <s v="BEL"/>
    <x v="0"/>
    <s v="EG.ELC.ACCS.ZS"/>
    <x v="6"/>
    <n v="100"/>
    <x v="0"/>
  </r>
  <r>
    <x v="5"/>
    <s v="BEL"/>
    <x v="0"/>
    <s v="EG.ELC.ACCS.ZS"/>
    <x v="7"/>
    <n v="100"/>
    <x v="1"/>
  </r>
  <r>
    <x v="5"/>
    <s v="BEL"/>
    <x v="0"/>
    <s v="EG.ELC.ACCS.ZS"/>
    <x v="8"/>
    <n v="100"/>
    <x v="1"/>
  </r>
  <r>
    <x v="5"/>
    <s v="BEL"/>
    <x v="0"/>
    <s v="EG.ELC.ACCS.ZS"/>
    <x v="9"/>
    <n v="100"/>
    <x v="1"/>
  </r>
  <r>
    <x v="5"/>
    <s v="BEL"/>
    <x v="0"/>
    <s v="EG.ELC.ACCS.ZS"/>
    <x v="10"/>
    <n v="100"/>
    <x v="1"/>
  </r>
  <r>
    <x v="5"/>
    <s v="BEL"/>
    <x v="0"/>
    <s v="EG.ELC.ACCS.ZS"/>
    <x v="11"/>
    <n v="100"/>
    <x v="1"/>
  </r>
  <r>
    <x v="5"/>
    <s v="BEL"/>
    <x v="0"/>
    <s v="EG.ELC.ACCS.ZS"/>
    <x v="12"/>
    <n v="100"/>
    <x v="1"/>
  </r>
  <r>
    <x v="5"/>
    <s v="BEL"/>
    <x v="0"/>
    <s v="EG.ELC.ACCS.ZS"/>
    <x v="13"/>
    <n v="100"/>
    <x v="1"/>
  </r>
  <r>
    <x v="5"/>
    <s v="BEL"/>
    <x v="0"/>
    <s v="EG.ELC.ACCS.ZS"/>
    <x v="14"/>
    <n v="100"/>
    <x v="1"/>
  </r>
  <r>
    <x v="5"/>
    <s v="BEL"/>
    <x v="0"/>
    <s v="EG.ELC.ACCS.ZS"/>
    <x v="15"/>
    <n v="100"/>
    <x v="1"/>
  </r>
  <r>
    <x v="5"/>
    <s v="BEL"/>
    <x v="0"/>
    <s v="EG.ELC.ACCS.ZS"/>
    <x v="16"/>
    <n v="100"/>
    <x v="1"/>
  </r>
  <r>
    <x v="5"/>
    <s v="BEL"/>
    <x v="0"/>
    <s v="EG.ELC.ACCS.ZS"/>
    <x v="17"/>
    <n v="100"/>
    <x v="2"/>
  </r>
  <r>
    <x v="5"/>
    <s v="BEL"/>
    <x v="0"/>
    <s v="EG.ELC.ACCS.ZS"/>
    <x v="18"/>
    <n v="100"/>
    <x v="2"/>
  </r>
  <r>
    <x v="5"/>
    <s v="BEL"/>
    <x v="0"/>
    <s v="EG.ELC.ACCS.ZS"/>
    <x v="19"/>
    <n v="100"/>
    <x v="2"/>
  </r>
  <r>
    <x v="5"/>
    <s v="BEL"/>
    <x v="0"/>
    <s v="EG.ELC.ACCS.ZS"/>
    <x v="20"/>
    <n v="100"/>
    <x v="2"/>
  </r>
  <r>
    <x v="5"/>
    <s v="BEL"/>
    <x v="0"/>
    <s v="EG.ELC.ACCS.ZS"/>
    <x v="21"/>
    <n v="100"/>
    <x v="2"/>
  </r>
  <r>
    <x v="5"/>
    <s v="BEL"/>
    <x v="0"/>
    <s v="EG.ELC.ACCS.ZS"/>
    <x v="22"/>
    <n v="100"/>
    <x v="2"/>
  </r>
  <r>
    <x v="5"/>
    <s v="BEL"/>
    <x v="0"/>
    <s v="EG.ELC.ACCS.ZS"/>
    <x v="23"/>
    <n v="100"/>
    <x v="2"/>
  </r>
  <r>
    <x v="5"/>
    <s v="BEL"/>
    <x v="0"/>
    <s v="EG.ELC.ACCS.ZS"/>
    <x v="24"/>
    <n v="100"/>
    <x v="2"/>
  </r>
  <r>
    <x v="5"/>
    <s v="BEL"/>
    <x v="0"/>
    <s v="EG.ELC.ACCS.ZS"/>
    <x v="25"/>
    <n v="100"/>
    <x v="2"/>
  </r>
  <r>
    <x v="5"/>
    <s v="BEL"/>
    <x v="0"/>
    <s v="EG.ELC.ACCS.ZS"/>
    <x v="26"/>
    <n v="100"/>
    <x v="2"/>
  </r>
  <r>
    <x v="5"/>
    <s v="BEL"/>
    <x v="0"/>
    <s v="EG.ELC.ACCS.ZS"/>
    <x v="27"/>
    <n v="100"/>
    <x v="3"/>
  </r>
  <r>
    <x v="5"/>
    <s v="BEL"/>
    <x v="0"/>
    <s v="EG.ELC.ACCS.ZS"/>
    <x v="28"/>
    <n v="100"/>
    <x v="3"/>
  </r>
  <r>
    <x v="5"/>
    <s v="BEL"/>
    <x v="0"/>
    <s v="EG.ELC.ACCS.ZS"/>
    <x v="29"/>
    <n v="100"/>
    <x v="3"/>
  </r>
  <r>
    <x v="5"/>
    <s v="BEL"/>
    <x v="0"/>
    <s v="EG.ELC.ACCS.ZS"/>
    <x v="30"/>
    <n v="100"/>
    <x v="3"/>
  </r>
  <r>
    <x v="5"/>
    <s v="BEL"/>
    <x v="0"/>
    <s v="EG.ELC.ACCS.ZS"/>
    <x v="31"/>
    <n v="100"/>
    <x v="0"/>
  </r>
  <r>
    <x v="5"/>
    <s v="BEL"/>
    <x v="0"/>
    <s v="EG.ELC.ACCS.ZS"/>
    <x v="32"/>
    <n v="100"/>
    <x v="0"/>
  </r>
  <r>
    <x v="5"/>
    <s v="BEL"/>
    <x v="0"/>
    <s v="EG.ELC.ACCS.ZS"/>
    <x v="33"/>
    <n v="100"/>
    <x v="0"/>
  </r>
  <r>
    <x v="6"/>
    <s v="BGR"/>
    <x v="0"/>
    <s v="EG.ELC.ACCS.ZS"/>
    <x v="0"/>
    <n v="100"/>
    <x v="0"/>
  </r>
  <r>
    <x v="6"/>
    <s v="BGR"/>
    <x v="0"/>
    <s v="EG.ELC.ACCS.ZS"/>
    <x v="1"/>
    <n v="100"/>
    <x v="0"/>
  </r>
  <r>
    <x v="6"/>
    <s v="BGR"/>
    <x v="0"/>
    <s v="EG.ELC.ACCS.ZS"/>
    <x v="2"/>
    <n v="100"/>
    <x v="0"/>
  </r>
  <r>
    <x v="6"/>
    <s v="BGR"/>
    <x v="0"/>
    <s v="EG.ELC.ACCS.ZS"/>
    <x v="3"/>
    <n v="100"/>
    <x v="0"/>
  </r>
  <r>
    <x v="6"/>
    <s v="BGR"/>
    <x v="0"/>
    <s v="EG.ELC.ACCS.ZS"/>
    <x v="4"/>
    <n v="100"/>
    <x v="0"/>
  </r>
  <r>
    <x v="6"/>
    <s v="BGR"/>
    <x v="0"/>
    <s v="EG.ELC.ACCS.ZS"/>
    <x v="5"/>
    <n v="100"/>
    <x v="0"/>
  </r>
  <r>
    <x v="6"/>
    <s v="BGR"/>
    <x v="0"/>
    <s v="EG.ELC.ACCS.ZS"/>
    <x v="6"/>
    <n v="100"/>
    <x v="0"/>
  </r>
  <r>
    <x v="6"/>
    <s v="BGR"/>
    <x v="0"/>
    <s v="EG.ELC.ACCS.ZS"/>
    <x v="7"/>
    <n v="100"/>
    <x v="1"/>
  </r>
  <r>
    <x v="6"/>
    <s v="BGR"/>
    <x v="0"/>
    <s v="EG.ELC.ACCS.ZS"/>
    <x v="8"/>
    <n v="100"/>
    <x v="1"/>
  </r>
  <r>
    <x v="6"/>
    <s v="BGR"/>
    <x v="0"/>
    <s v="EG.ELC.ACCS.ZS"/>
    <x v="9"/>
    <n v="100"/>
    <x v="1"/>
  </r>
  <r>
    <x v="6"/>
    <s v="BGR"/>
    <x v="0"/>
    <s v="EG.ELC.ACCS.ZS"/>
    <x v="10"/>
    <n v="88"/>
    <x v="1"/>
  </r>
  <r>
    <x v="6"/>
    <s v="BGR"/>
    <x v="0"/>
    <s v="EG.ELC.ACCS.ZS"/>
    <x v="11"/>
    <n v="89"/>
    <x v="1"/>
  </r>
  <r>
    <x v="6"/>
    <s v="BGR"/>
    <x v="0"/>
    <s v="EG.ELC.ACCS.ZS"/>
    <x v="12"/>
    <n v="89"/>
    <x v="1"/>
  </r>
  <r>
    <x v="6"/>
    <s v="BGR"/>
    <x v="0"/>
    <s v="EG.ELC.ACCS.ZS"/>
    <x v="13"/>
    <n v="90"/>
    <x v="1"/>
  </r>
  <r>
    <x v="6"/>
    <s v="BGR"/>
    <x v="0"/>
    <s v="EG.ELC.ACCS.ZS"/>
    <x v="14"/>
    <n v="90"/>
    <x v="1"/>
  </r>
  <r>
    <x v="6"/>
    <s v="BGR"/>
    <x v="0"/>
    <s v="EG.ELC.ACCS.ZS"/>
    <x v="15"/>
    <n v="91"/>
    <x v="1"/>
  </r>
  <r>
    <x v="6"/>
    <s v="BGR"/>
    <x v="0"/>
    <s v="EG.ELC.ACCS.ZS"/>
    <x v="16"/>
    <n v="91"/>
    <x v="1"/>
  </r>
  <r>
    <x v="6"/>
    <s v="BGR"/>
    <x v="0"/>
    <s v="EG.ELC.ACCS.ZS"/>
    <x v="17"/>
    <n v="92"/>
    <x v="2"/>
  </r>
  <r>
    <x v="6"/>
    <s v="BGR"/>
    <x v="0"/>
    <s v="EG.ELC.ACCS.ZS"/>
    <x v="18"/>
    <n v="92"/>
    <x v="2"/>
  </r>
  <r>
    <x v="6"/>
    <s v="BGR"/>
    <x v="0"/>
    <s v="EG.ELC.ACCS.ZS"/>
    <x v="19"/>
    <n v="93"/>
    <x v="2"/>
  </r>
  <r>
    <x v="6"/>
    <s v="BGR"/>
    <x v="0"/>
    <s v="EG.ELC.ACCS.ZS"/>
    <x v="20"/>
    <n v="94"/>
    <x v="2"/>
  </r>
  <r>
    <x v="6"/>
    <s v="BGR"/>
    <x v="0"/>
    <s v="EG.ELC.ACCS.ZS"/>
    <x v="21"/>
    <n v="94"/>
    <x v="2"/>
  </r>
  <r>
    <x v="6"/>
    <s v="BGR"/>
    <x v="0"/>
    <s v="EG.ELC.ACCS.ZS"/>
    <x v="22"/>
    <n v="95"/>
    <x v="2"/>
  </r>
  <r>
    <x v="6"/>
    <s v="BGR"/>
    <x v="0"/>
    <s v="EG.ELC.ACCS.ZS"/>
    <x v="23"/>
    <n v="95"/>
    <x v="2"/>
  </r>
  <r>
    <x v="6"/>
    <s v="BGR"/>
    <x v="0"/>
    <s v="EG.ELC.ACCS.ZS"/>
    <x v="24"/>
    <n v="96"/>
    <x v="2"/>
  </r>
  <r>
    <x v="6"/>
    <s v="BGR"/>
    <x v="0"/>
    <s v="EG.ELC.ACCS.ZS"/>
    <x v="25"/>
    <n v="97"/>
    <x v="2"/>
  </r>
  <r>
    <x v="6"/>
    <s v="BGR"/>
    <x v="0"/>
    <s v="EG.ELC.ACCS.ZS"/>
    <x v="26"/>
    <n v="97"/>
    <x v="2"/>
  </r>
  <r>
    <x v="6"/>
    <s v="BGR"/>
    <x v="0"/>
    <s v="EG.ELC.ACCS.ZS"/>
    <x v="27"/>
    <n v="98"/>
    <x v="3"/>
  </r>
  <r>
    <x v="6"/>
    <s v="BGR"/>
    <x v="0"/>
    <s v="EG.ELC.ACCS.ZS"/>
    <x v="28"/>
    <n v="99"/>
    <x v="3"/>
  </r>
  <r>
    <x v="6"/>
    <s v="BGR"/>
    <x v="0"/>
    <s v="EG.ELC.ACCS.ZS"/>
    <x v="29"/>
    <n v="99"/>
    <x v="3"/>
  </r>
  <r>
    <x v="6"/>
    <s v="BGR"/>
    <x v="0"/>
    <s v="EG.ELC.ACCS.ZS"/>
    <x v="30"/>
    <n v="100"/>
    <x v="3"/>
  </r>
  <r>
    <x v="6"/>
    <s v="BGR"/>
    <x v="0"/>
    <s v="EG.ELC.ACCS.ZS"/>
    <x v="31"/>
    <n v="100"/>
    <x v="0"/>
  </r>
  <r>
    <x v="6"/>
    <s v="BGR"/>
    <x v="0"/>
    <s v="EG.ELC.ACCS.ZS"/>
    <x v="32"/>
    <n v="100"/>
    <x v="0"/>
  </r>
  <r>
    <x v="6"/>
    <s v="BGR"/>
    <x v="0"/>
    <s v="EG.ELC.ACCS.ZS"/>
    <x v="33"/>
    <n v="100"/>
    <x v="0"/>
  </r>
  <r>
    <x v="7"/>
    <s v="BIH"/>
    <x v="0"/>
    <s v="EG.ELC.ACCS.ZS"/>
    <x v="0"/>
    <n v="100"/>
    <x v="0"/>
  </r>
  <r>
    <x v="7"/>
    <s v="BIH"/>
    <x v="0"/>
    <s v="EG.ELC.ACCS.ZS"/>
    <x v="1"/>
    <n v="100"/>
    <x v="0"/>
  </r>
  <r>
    <x v="7"/>
    <s v="BIH"/>
    <x v="0"/>
    <s v="EG.ELC.ACCS.ZS"/>
    <x v="2"/>
    <n v="100"/>
    <x v="0"/>
  </r>
  <r>
    <x v="7"/>
    <s v="BIH"/>
    <x v="0"/>
    <s v="EG.ELC.ACCS.ZS"/>
    <x v="3"/>
    <n v="100"/>
    <x v="0"/>
  </r>
  <r>
    <x v="7"/>
    <s v="BIH"/>
    <x v="0"/>
    <s v="EG.ELC.ACCS.ZS"/>
    <x v="4"/>
    <n v="100"/>
    <x v="0"/>
  </r>
  <r>
    <x v="7"/>
    <s v="BIH"/>
    <x v="0"/>
    <s v="EG.ELC.ACCS.ZS"/>
    <x v="5"/>
    <n v="100"/>
    <x v="0"/>
  </r>
  <r>
    <x v="7"/>
    <s v="BIH"/>
    <x v="0"/>
    <s v="EG.ELC.ACCS.ZS"/>
    <x v="6"/>
    <n v="100"/>
    <x v="0"/>
  </r>
  <r>
    <x v="7"/>
    <s v="BIH"/>
    <x v="0"/>
    <s v="EG.ELC.ACCS.ZS"/>
    <x v="7"/>
    <n v="100"/>
    <x v="1"/>
  </r>
  <r>
    <x v="7"/>
    <s v="BIH"/>
    <x v="0"/>
    <s v="EG.ELC.ACCS.ZS"/>
    <x v="8"/>
    <n v="100"/>
    <x v="1"/>
  </r>
  <r>
    <x v="7"/>
    <s v="BIH"/>
    <x v="0"/>
    <s v="EG.ELC.ACCS.ZS"/>
    <x v="9"/>
    <n v="100"/>
    <x v="1"/>
  </r>
  <r>
    <x v="7"/>
    <s v="BIH"/>
    <x v="0"/>
    <s v="EG.ELC.ACCS.ZS"/>
    <x v="10"/>
    <n v="99"/>
    <x v="1"/>
  </r>
  <r>
    <x v="7"/>
    <s v="BIH"/>
    <x v="0"/>
    <s v="EG.ELC.ACCS.ZS"/>
    <x v="11"/>
    <n v="99"/>
    <x v="1"/>
  </r>
  <r>
    <x v="7"/>
    <s v="BIH"/>
    <x v="0"/>
    <s v="EG.ELC.ACCS.ZS"/>
    <x v="12"/>
    <n v="99"/>
    <x v="1"/>
  </r>
  <r>
    <x v="7"/>
    <s v="BIH"/>
    <x v="0"/>
    <s v="EG.ELC.ACCS.ZS"/>
    <x v="13"/>
    <n v="99"/>
    <x v="1"/>
  </r>
  <r>
    <x v="7"/>
    <s v="BIH"/>
    <x v="0"/>
    <s v="EG.ELC.ACCS.ZS"/>
    <x v="14"/>
    <n v="99"/>
    <x v="1"/>
  </r>
  <r>
    <x v="7"/>
    <s v="BIH"/>
    <x v="0"/>
    <s v="EG.ELC.ACCS.ZS"/>
    <x v="15"/>
    <n v="99"/>
    <x v="1"/>
  </r>
  <r>
    <x v="7"/>
    <s v="BIH"/>
    <x v="0"/>
    <s v="EG.ELC.ACCS.ZS"/>
    <x v="16"/>
    <n v="99"/>
    <x v="1"/>
  </r>
  <r>
    <x v="7"/>
    <s v="BIH"/>
    <x v="0"/>
    <s v="EG.ELC.ACCS.ZS"/>
    <x v="17"/>
    <n v="100"/>
    <x v="2"/>
  </r>
  <r>
    <x v="7"/>
    <s v="BIH"/>
    <x v="0"/>
    <s v="EG.ELC.ACCS.ZS"/>
    <x v="18"/>
    <n v="99"/>
    <x v="2"/>
  </r>
  <r>
    <x v="7"/>
    <s v="BIH"/>
    <x v="0"/>
    <s v="EG.ELC.ACCS.ZS"/>
    <x v="19"/>
    <n v="99"/>
    <x v="2"/>
  </r>
  <r>
    <x v="7"/>
    <s v="BIH"/>
    <x v="0"/>
    <s v="EG.ELC.ACCS.ZS"/>
    <x v="20"/>
    <n v="100"/>
    <x v="2"/>
  </r>
  <r>
    <x v="7"/>
    <s v="BIH"/>
    <x v="0"/>
    <s v="EG.ELC.ACCS.ZS"/>
    <x v="21"/>
    <n v="100"/>
    <x v="2"/>
  </r>
  <r>
    <x v="7"/>
    <s v="BIH"/>
    <x v="0"/>
    <s v="EG.ELC.ACCS.ZS"/>
    <x v="22"/>
    <n v="100"/>
    <x v="2"/>
  </r>
  <r>
    <x v="7"/>
    <s v="BIH"/>
    <x v="0"/>
    <s v="EG.ELC.ACCS.ZS"/>
    <x v="23"/>
    <n v="100"/>
    <x v="2"/>
  </r>
  <r>
    <x v="7"/>
    <s v="BIH"/>
    <x v="0"/>
    <s v="EG.ELC.ACCS.ZS"/>
    <x v="24"/>
    <n v="100"/>
    <x v="2"/>
  </r>
  <r>
    <x v="7"/>
    <s v="BIH"/>
    <x v="0"/>
    <s v="EG.ELC.ACCS.ZS"/>
    <x v="25"/>
    <n v="100"/>
    <x v="2"/>
  </r>
  <r>
    <x v="7"/>
    <s v="BIH"/>
    <x v="0"/>
    <s v="EG.ELC.ACCS.ZS"/>
    <x v="26"/>
    <n v="100"/>
    <x v="2"/>
  </r>
  <r>
    <x v="7"/>
    <s v="BIH"/>
    <x v="0"/>
    <s v="EG.ELC.ACCS.ZS"/>
    <x v="27"/>
    <n v="100"/>
    <x v="3"/>
  </r>
  <r>
    <x v="7"/>
    <s v="BIH"/>
    <x v="0"/>
    <s v="EG.ELC.ACCS.ZS"/>
    <x v="28"/>
    <n v="100"/>
    <x v="3"/>
  </r>
  <r>
    <x v="7"/>
    <s v="BIH"/>
    <x v="0"/>
    <s v="EG.ELC.ACCS.ZS"/>
    <x v="29"/>
    <n v="100"/>
    <x v="3"/>
  </r>
  <r>
    <x v="7"/>
    <s v="BIH"/>
    <x v="0"/>
    <s v="EG.ELC.ACCS.ZS"/>
    <x v="30"/>
    <n v="100"/>
    <x v="3"/>
  </r>
  <r>
    <x v="7"/>
    <s v="BIH"/>
    <x v="0"/>
    <s v="EG.ELC.ACCS.ZS"/>
    <x v="31"/>
    <n v="100"/>
    <x v="0"/>
  </r>
  <r>
    <x v="7"/>
    <s v="BIH"/>
    <x v="0"/>
    <s v="EG.ELC.ACCS.ZS"/>
    <x v="32"/>
    <n v="100"/>
    <x v="0"/>
  </r>
  <r>
    <x v="7"/>
    <s v="BIH"/>
    <x v="0"/>
    <s v="EG.ELC.ACCS.ZS"/>
    <x v="33"/>
    <n v="100"/>
    <x v="0"/>
  </r>
  <r>
    <x v="8"/>
    <s v="BLR"/>
    <x v="0"/>
    <s v="EG.ELC.ACCS.ZS"/>
    <x v="0"/>
    <n v="100"/>
    <x v="0"/>
  </r>
  <r>
    <x v="8"/>
    <s v="BLR"/>
    <x v="0"/>
    <s v="EG.ELC.ACCS.ZS"/>
    <x v="1"/>
    <n v="100"/>
    <x v="0"/>
  </r>
  <r>
    <x v="8"/>
    <s v="BLR"/>
    <x v="0"/>
    <s v="EG.ELC.ACCS.ZS"/>
    <x v="2"/>
    <n v="100"/>
    <x v="0"/>
  </r>
  <r>
    <x v="8"/>
    <s v="BLR"/>
    <x v="0"/>
    <s v="EG.ELC.ACCS.ZS"/>
    <x v="3"/>
    <n v="100"/>
    <x v="0"/>
  </r>
  <r>
    <x v="8"/>
    <s v="BLR"/>
    <x v="0"/>
    <s v="EG.ELC.ACCS.ZS"/>
    <x v="4"/>
    <n v="100"/>
    <x v="0"/>
  </r>
  <r>
    <x v="8"/>
    <s v="BLR"/>
    <x v="0"/>
    <s v="EG.ELC.ACCS.ZS"/>
    <x v="5"/>
    <n v="100"/>
    <x v="0"/>
  </r>
  <r>
    <x v="8"/>
    <s v="BLR"/>
    <x v="0"/>
    <s v="EG.ELC.ACCS.ZS"/>
    <x v="6"/>
    <n v="100"/>
    <x v="0"/>
  </r>
  <r>
    <x v="8"/>
    <s v="BLR"/>
    <x v="0"/>
    <s v="EG.ELC.ACCS.ZS"/>
    <x v="7"/>
    <n v="100"/>
    <x v="1"/>
  </r>
  <r>
    <x v="8"/>
    <s v="BLR"/>
    <x v="0"/>
    <s v="EG.ELC.ACCS.ZS"/>
    <x v="8"/>
    <n v="100"/>
    <x v="1"/>
  </r>
  <r>
    <x v="8"/>
    <s v="BLR"/>
    <x v="0"/>
    <s v="EG.ELC.ACCS.ZS"/>
    <x v="9"/>
    <n v="100"/>
    <x v="1"/>
  </r>
  <r>
    <x v="8"/>
    <s v="BLR"/>
    <x v="0"/>
    <s v="EG.ELC.ACCS.ZS"/>
    <x v="10"/>
    <n v="89"/>
    <x v="1"/>
  </r>
  <r>
    <x v="8"/>
    <s v="BLR"/>
    <x v="0"/>
    <s v="EG.ELC.ACCS.ZS"/>
    <x v="11"/>
    <n v="90"/>
    <x v="1"/>
  </r>
  <r>
    <x v="8"/>
    <s v="BLR"/>
    <x v="0"/>
    <s v="EG.ELC.ACCS.ZS"/>
    <x v="12"/>
    <n v="90"/>
    <x v="1"/>
  </r>
  <r>
    <x v="8"/>
    <s v="BLR"/>
    <x v="0"/>
    <s v="EG.ELC.ACCS.ZS"/>
    <x v="13"/>
    <n v="91"/>
    <x v="1"/>
  </r>
  <r>
    <x v="8"/>
    <s v="BLR"/>
    <x v="0"/>
    <s v="EG.ELC.ACCS.ZS"/>
    <x v="14"/>
    <n v="91"/>
    <x v="1"/>
  </r>
  <r>
    <x v="8"/>
    <s v="BLR"/>
    <x v="0"/>
    <s v="EG.ELC.ACCS.ZS"/>
    <x v="15"/>
    <n v="92"/>
    <x v="1"/>
  </r>
  <r>
    <x v="8"/>
    <s v="BLR"/>
    <x v="0"/>
    <s v="EG.ELC.ACCS.ZS"/>
    <x v="16"/>
    <n v="92"/>
    <x v="1"/>
  </r>
  <r>
    <x v="8"/>
    <s v="BLR"/>
    <x v="0"/>
    <s v="EG.ELC.ACCS.ZS"/>
    <x v="17"/>
    <n v="93"/>
    <x v="2"/>
  </r>
  <r>
    <x v="8"/>
    <s v="BLR"/>
    <x v="0"/>
    <s v="EG.ELC.ACCS.ZS"/>
    <x v="18"/>
    <n v="93"/>
    <x v="2"/>
  </r>
  <r>
    <x v="8"/>
    <s v="BLR"/>
    <x v="0"/>
    <s v="EG.ELC.ACCS.ZS"/>
    <x v="19"/>
    <n v="94"/>
    <x v="2"/>
  </r>
  <r>
    <x v="8"/>
    <s v="BLR"/>
    <x v="0"/>
    <s v="EG.ELC.ACCS.ZS"/>
    <x v="20"/>
    <n v="94"/>
    <x v="2"/>
  </r>
  <r>
    <x v="8"/>
    <s v="BLR"/>
    <x v="0"/>
    <s v="EG.ELC.ACCS.ZS"/>
    <x v="21"/>
    <n v="95"/>
    <x v="2"/>
  </r>
  <r>
    <x v="8"/>
    <s v="BLR"/>
    <x v="0"/>
    <s v="EG.ELC.ACCS.ZS"/>
    <x v="22"/>
    <n v="96"/>
    <x v="2"/>
  </r>
  <r>
    <x v="8"/>
    <s v="BLR"/>
    <x v="0"/>
    <s v="EG.ELC.ACCS.ZS"/>
    <x v="23"/>
    <n v="96"/>
    <x v="2"/>
  </r>
  <r>
    <x v="8"/>
    <s v="BLR"/>
    <x v="0"/>
    <s v="EG.ELC.ACCS.ZS"/>
    <x v="24"/>
    <n v="97"/>
    <x v="2"/>
  </r>
  <r>
    <x v="8"/>
    <s v="BLR"/>
    <x v="0"/>
    <s v="EG.ELC.ACCS.ZS"/>
    <x v="25"/>
    <n v="97"/>
    <x v="2"/>
  </r>
  <r>
    <x v="8"/>
    <s v="BLR"/>
    <x v="0"/>
    <s v="EG.ELC.ACCS.ZS"/>
    <x v="26"/>
    <n v="98"/>
    <x v="2"/>
  </r>
  <r>
    <x v="8"/>
    <s v="BLR"/>
    <x v="0"/>
    <s v="EG.ELC.ACCS.ZS"/>
    <x v="27"/>
    <n v="99"/>
    <x v="3"/>
  </r>
  <r>
    <x v="8"/>
    <s v="BLR"/>
    <x v="0"/>
    <s v="EG.ELC.ACCS.ZS"/>
    <x v="28"/>
    <n v="99"/>
    <x v="3"/>
  </r>
  <r>
    <x v="8"/>
    <s v="BLR"/>
    <x v="0"/>
    <s v="EG.ELC.ACCS.ZS"/>
    <x v="29"/>
    <n v="100"/>
    <x v="3"/>
  </r>
  <r>
    <x v="8"/>
    <s v="BLR"/>
    <x v="0"/>
    <s v="EG.ELC.ACCS.ZS"/>
    <x v="30"/>
    <n v="100"/>
    <x v="3"/>
  </r>
  <r>
    <x v="8"/>
    <s v="BLR"/>
    <x v="0"/>
    <s v="EG.ELC.ACCS.ZS"/>
    <x v="31"/>
    <n v="100"/>
    <x v="0"/>
  </r>
  <r>
    <x v="8"/>
    <s v="BLR"/>
    <x v="0"/>
    <s v="EG.ELC.ACCS.ZS"/>
    <x v="32"/>
    <n v="100"/>
    <x v="0"/>
  </r>
  <r>
    <x v="8"/>
    <s v="BLR"/>
    <x v="0"/>
    <s v="EG.ELC.ACCS.ZS"/>
    <x v="33"/>
    <n v="100"/>
    <x v="0"/>
  </r>
  <r>
    <x v="9"/>
    <s v="CHE"/>
    <x v="0"/>
    <s v="EG.ELC.ACCS.ZS"/>
    <x v="0"/>
    <n v="100"/>
    <x v="0"/>
  </r>
  <r>
    <x v="9"/>
    <s v="CHE"/>
    <x v="0"/>
    <s v="EG.ELC.ACCS.ZS"/>
    <x v="1"/>
    <n v="100"/>
    <x v="0"/>
  </r>
  <r>
    <x v="9"/>
    <s v="CHE"/>
    <x v="0"/>
    <s v="EG.ELC.ACCS.ZS"/>
    <x v="2"/>
    <n v="100"/>
    <x v="0"/>
  </r>
  <r>
    <x v="9"/>
    <s v="CHE"/>
    <x v="0"/>
    <s v="EG.ELC.ACCS.ZS"/>
    <x v="3"/>
    <n v="100"/>
    <x v="0"/>
  </r>
  <r>
    <x v="9"/>
    <s v="CHE"/>
    <x v="0"/>
    <s v="EG.ELC.ACCS.ZS"/>
    <x v="4"/>
    <n v="100"/>
    <x v="0"/>
  </r>
  <r>
    <x v="9"/>
    <s v="CHE"/>
    <x v="0"/>
    <s v="EG.ELC.ACCS.ZS"/>
    <x v="5"/>
    <n v="100"/>
    <x v="0"/>
  </r>
  <r>
    <x v="9"/>
    <s v="CHE"/>
    <x v="0"/>
    <s v="EG.ELC.ACCS.ZS"/>
    <x v="6"/>
    <n v="100"/>
    <x v="0"/>
  </r>
  <r>
    <x v="9"/>
    <s v="CHE"/>
    <x v="0"/>
    <s v="EG.ELC.ACCS.ZS"/>
    <x v="7"/>
    <n v="100"/>
    <x v="1"/>
  </r>
  <r>
    <x v="9"/>
    <s v="CHE"/>
    <x v="0"/>
    <s v="EG.ELC.ACCS.ZS"/>
    <x v="8"/>
    <n v="100"/>
    <x v="1"/>
  </r>
  <r>
    <x v="9"/>
    <s v="CHE"/>
    <x v="0"/>
    <s v="EG.ELC.ACCS.ZS"/>
    <x v="9"/>
    <n v="100"/>
    <x v="1"/>
  </r>
  <r>
    <x v="9"/>
    <s v="CHE"/>
    <x v="0"/>
    <s v="EG.ELC.ACCS.ZS"/>
    <x v="10"/>
    <n v="100"/>
    <x v="1"/>
  </r>
  <r>
    <x v="9"/>
    <s v="CHE"/>
    <x v="0"/>
    <s v="EG.ELC.ACCS.ZS"/>
    <x v="11"/>
    <n v="100"/>
    <x v="1"/>
  </r>
  <r>
    <x v="9"/>
    <s v="CHE"/>
    <x v="0"/>
    <s v="EG.ELC.ACCS.ZS"/>
    <x v="12"/>
    <n v="100"/>
    <x v="1"/>
  </r>
  <r>
    <x v="9"/>
    <s v="CHE"/>
    <x v="0"/>
    <s v="EG.ELC.ACCS.ZS"/>
    <x v="13"/>
    <n v="100"/>
    <x v="1"/>
  </r>
  <r>
    <x v="9"/>
    <s v="CHE"/>
    <x v="0"/>
    <s v="EG.ELC.ACCS.ZS"/>
    <x v="14"/>
    <n v="100"/>
    <x v="1"/>
  </r>
  <r>
    <x v="9"/>
    <s v="CHE"/>
    <x v="0"/>
    <s v="EG.ELC.ACCS.ZS"/>
    <x v="15"/>
    <n v="100"/>
    <x v="1"/>
  </r>
  <r>
    <x v="9"/>
    <s v="CHE"/>
    <x v="0"/>
    <s v="EG.ELC.ACCS.ZS"/>
    <x v="16"/>
    <n v="100"/>
    <x v="1"/>
  </r>
  <r>
    <x v="9"/>
    <s v="CHE"/>
    <x v="0"/>
    <s v="EG.ELC.ACCS.ZS"/>
    <x v="17"/>
    <n v="100"/>
    <x v="2"/>
  </r>
  <r>
    <x v="9"/>
    <s v="CHE"/>
    <x v="0"/>
    <s v="EG.ELC.ACCS.ZS"/>
    <x v="18"/>
    <n v="100"/>
    <x v="2"/>
  </r>
  <r>
    <x v="9"/>
    <s v="CHE"/>
    <x v="0"/>
    <s v="EG.ELC.ACCS.ZS"/>
    <x v="19"/>
    <n v="100"/>
    <x v="2"/>
  </r>
  <r>
    <x v="9"/>
    <s v="CHE"/>
    <x v="0"/>
    <s v="EG.ELC.ACCS.ZS"/>
    <x v="20"/>
    <n v="100"/>
    <x v="2"/>
  </r>
  <r>
    <x v="9"/>
    <s v="CHE"/>
    <x v="0"/>
    <s v="EG.ELC.ACCS.ZS"/>
    <x v="21"/>
    <n v="100"/>
    <x v="2"/>
  </r>
  <r>
    <x v="9"/>
    <s v="CHE"/>
    <x v="0"/>
    <s v="EG.ELC.ACCS.ZS"/>
    <x v="22"/>
    <n v="100"/>
    <x v="2"/>
  </r>
  <r>
    <x v="9"/>
    <s v="CHE"/>
    <x v="0"/>
    <s v="EG.ELC.ACCS.ZS"/>
    <x v="23"/>
    <n v="100"/>
    <x v="2"/>
  </r>
  <r>
    <x v="9"/>
    <s v="CHE"/>
    <x v="0"/>
    <s v="EG.ELC.ACCS.ZS"/>
    <x v="24"/>
    <n v="100"/>
    <x v="2"/>
  </r>
  <r>
    <x v="9"/>
    <s v="CHE"/>
    <x v="0"/>
    <s v="EG.ELC.ACCS.ZS"/>
    <x v="25"/>
    <n v="100"/>
    <x v="2"/>
  </r>
  <r>
    <x v="9"/>
    <s v="CHE"/>
    <x v="0"/>
    <s v="EG.ELC.ACCS.ZS"/>
    <x v="26"/>
    <n v="100"/>
    <x v="2"/>
  </r>
  <r>
    <x v="9"/>
    <s v="CHE"/>
    <x v="0"/>
    <s v="EG.ELC.ACCS.ZS"/>
    <x v="27"/>
    <n v="100"/>
    <x v="3"/>
  </r>
  <r>
    <x v="9"/>
    <s v="CHE"/>
    <x v="0"/>
    <s v="EG.ELC.ACCS.ZS"/>
    <x v="28"/>
    <n v="100"/>
    <x v="3"/>
  </r>
  <r>
    <x v="9"/>
    <s v="CHE"/>
    <x v="0"/>
    <s v="EG.ELC.ACCS.ZS"/>
    <x v="29"/>
    <n v="100"/>
    <x v="3"/>
  </r>
  <r>
    <x v="9"/>
    <s v="CHE"/>
    <x v="0"/>
    <s v="EG.ELC.ACCS.ZS"/>
    <x v="30"/>
    <n v="100"/>
    <x v="3"/>
  </r>
  <r>
    <x v="9"/>
    <s v="CHE"/>
    <x v="0"/>
    <s v="EG.ELC.ACCS.ZS"/>
    <x v="31"/>
    <n v="100"/>
    <x v="0"/>
  </r>
  <r>
    <x v="9"/>
    <s v="CHE"/>
    <x v="0"/>
    <s v="EG.ELC.ACCS.ZS"/>
    <x v="32"/>
    <n v="100"/>
    <x v="0"/>
  </r>
  <r>
    <x v="9"/>
    <s v="CHE"/>
    <x v="0"/>
    <s v="EG.ELC.ACCS.ZS"/>
    <x v="33"/>
    <n v="100"/>
    <x v="0"/>
  </r>
  <r>
    <x v="10"/>
    <s v="CHI"/>
    <x v="0"/>
    <s v="EG.ELC.ACCS.ZS"/>
    <x v="0"/>
    <n v="100"/>
    <x v="0"/>
  </r>
  <r>
    <x v="10"/>
    <s v="CHI"/>
    <x v="0"/>
    <s v="EG.ELC.ACCS.ZS"/>
    <x v="1"/>
    <n v="100"/>
    <x v="0"/>
  </r>
  <r>
    <x v="10"/>
    <s v="CHI"/>
    <x v="0"/>
    <s v="EG.ELC.ACCS.ZS"/>
    <x v="2"/>
    <n v="100"/>
    <x v="0"/>
  </r>
  <r>
    <x v="10"/>
    <s v="CHI"/>
    <x v="0"/>
    <s v="EG.ELC.ACCS.ZS"/>
    <x v="3"/>
    <n v="100"/>
    <x v="0"/>
  </r>
  <r>
    <x v="10"/>
    <s v="CHI"/>
    <x v="0"/>
    <s v="EG.ELC.ACCS.ZS"/>
    <x v="4"/>
    <n v="100"/>
    <x v="0"/>
  </r>
  <r>
    <x v="10"/>
    <s v="CHI"/>
    <x v="0"/>
    <s v="EG.ELC.ACCS.ZS"/>
    <x v="5"/>
    <n v="100"/>
    <x v="0"/>
  </r>
  <r>
    <x v="10"/>
    <s v="CHI"/>
    <x v="0"/>
    <s v="EG.ELC.ACCS.ZS"/>
    <x v="6"/>
    <n v="100"/>
    <x v="0"/>
  </r>
  <r>
    <x v="10"/>
    <s v="CHI"/>
    <x v="0"/>
    <s v="EG.ELC.ACCS.ZS"/>
    <x v="7"/>
    <n v="100"/>
    <x v="1"/>
  </r>
  <r>
    <x v="10"/>
    <s v="CHI"/>
    <x v="0"/>
    <s v="EG.ELC.ACCS.ZS"/>
    <x v="8"/>
    <n v="100"/>
    <x v="1"/>
  </r>
  <r>
    <x v="10"/>
    <s v="CHI"/>
    <x v="0"/>
    <s v="EG.ELC.ACCS.ZS"/>
    <x v="9"/>
    <n v="100"/>
    <x v="1"/>
  </r>
  <r>
    <x v="10"/>
    <s v="CHI"/>
    <x v="0"/>
    <s v="EG.ELC.ACCS.ZS"/>
    <x v="10"/>
    <n v="100"/>
    <x v="1"/>
  </r>
  <r>
    <x v="10"/>
    <s v="CHI"/>
    <x v="0"/>
    <s v="EG.ELC.ACCS.ZS"/>
    <x v="11"/>
    <n v="100"/>
    <x v="1"/>
  </r>
  <r>
    <x v="10"/>
    <s v="CHI"/>
    <x v="0"/>
    <s v="EG.ELC.ACCS.ZS"/>
    <x v="12"/>
    <n v="100"/>
    <x v="1"/>
  </r>
  <r>
    <x v="10"/>
    <s v="CHI"/>
    <x v="0"/>
    <s v="EG.ELC.ACCS.ZS"/>
    <x v="13"/>
    <n v="100"/>
    <x v="1"/>
  </r>
  <r>
    <x v="10"/>
    <s v="CHI"/>
    <x v="0"/>
    <s v="EG.ELC.ACCS.ZS"/>
    <x v="14"/>
    <n v="100"/>
    <x v="1"/>
  </r>
  <r>
    <x v="10"/>
    <s v="CHI"/>
    <x v="0"/>
    <s v="EG.ELC.ACCS.ZS"/>
    <x v="15"/>
    <n v="100"/>
    <x v="1"/>
  </r>
  <r>
    <x v="10"/>
    <s v="CHI"/>
    <x v="0"/>
    <s v="EG.ELC.ACCS.ZS"/>
    <x v="16"/>
    <n v="100"/>
    <x v="1"/>
  </r>
  <r>
    <x v="10"/>
    <s v="CHI"/>
    <x v="0"/>
    <s v="EG.ELC.ACCS.ZS"/>
    <x v="17"/>
    <n v="100"/>
    <x v="2"/>
  </r>
  <r>
    <x v="10"/>
    <s v="CHI"/>
    <x v="0"/>
    <s v="EG.ELC.ACCS.ZS"/>
    <x v="18"/>
    <n v="100"/>
    <x v="2"/>
  </r>
  <r>
    <x v="10"/>
    <s v="CHI"/>
    <x v="0"/>
    <s v="EG.ELC.ACCS.ZS"/>
    <x v="19"/>
    <n v="100"/>
    <x v="2"/>
  </r>
  <r>
    <x v="10"/>
    <s v="CHI"/>
    <x v="0"/>
    <s v="EG.ELC.ACCS.ZS"/>
    <x v="20"/>
    <n v="100"/>
    <x v="2"/>
  </r>
  <r>
    <x v="10"/>
    <s v="CHI"/>
    <x v="0"/>
    <s v="EG.ELC.ACCS.ZS"/>
    <x v="21"/>
    <n v="100"/>
    <x v="2"/>
  </r>
  <r>
    <x v="10"/>
    <s v="CHI"/>
    <x v="0"/>
    <s v="EG.ELC.ACCS.ZS"/>
    <x v="22"/>
    <n v="100"/>
    <x v="2"/>
  </r>
  <r>
    <x v="10"/>
    <s v="CHI"/>
    <x v="0"/>
    <s v="EG.ELC.ACCS.ZS"/>
    <x v="23"/>
    <n v="100"/>
    <x v="2"/>
  </r>
  <r>
    <x v="10"/>
    <s v="CHI"/>
    <x v="0"/>
    <s v="EG.ELC.ACCS.ZS"/>
    <x v="24"/>
    <n v="100"/>
    <x v="2"/>
  </r>
  <r>
    <x v="10"/>
    <s v="CHI"/>
    <x v="0"/>
    <s v="EG.ELC.ACCS.ZS"/>
    <x v="25"/>
    <n v="100"/>
    <x v="2"/>
  </r>
  <r>
    <x v="10"/>
    <s v="CHI"/>
    <x v="0"/>
    <s v="EG.ELC.ACCS.ZS"/>
    <x v="26"/>
    <n v="100"/>
    <x v="2"/>
  </r>
  <r>
    <x v="10"/>
    <s v="CHI"/>
    <x v="0"/>
    <s v="EG.ELC.ACCS.ZS"/>
    <x v="27"/>
    <n v="100"/>
    <x v="3"/>
  </r>
  <r>
    <x v="10"/>
    <s v="CHI"/>
    <x v="0"/>
    <s v="EG.ELC.ACCS.ZS"/>
    <x v="28"/>
    <n v="100"/>
    <x v="3"/>
  </r>
  <r>
    <x v="10"/>
    <s v="CHI"/>
    <x v="0"/>
    <s v="EG.ELC.ACCS.ZS"/>
    <x v="29"/>
    <n v="100"/>
    <x v="3"/>
  </r>
  <r>
    <x v="10"/>
    <s v="CHI"/>
    <x v="0"/>
    <s v="EG.ELC.ACCS.ZS"/>
    <x v="30"/>
    <n v="100"/>
    <x v="3"/>
  </r>
  <r>
    <x v="10"/>
    <s v="CHI"/>
    <x v="0"/>
    <s v="EG.ELC.ACCS.ZS"/>
    <x v="31"/>
    <n v="100"/>
    <x v="0"/>
  </r>
  <r>
    <x v="10"/>
    <s v="CHI"/>
    <x v="0"/>
    <s v="EG.ELC.ACCS.ZS"/>
    <x v="32"/>
    <n v="100"/>
    <x v="0"/>
  </r>
  <r>
    <x v="10"/>
    <s v="CHI"/>
    <x v="0"/>
    <s v="EG.ELC.ACCS.ZS"/>
    <x v="33"/>
    <n v="100"/>
    <x v="0"/>
  </r>
  <r>
    <x v="11"/>
    <s v="CYP"/>
    <x v="0"/>
    <s v="EG.ELC.ACCS.ZS"/>
    <x v="0"/>
    <n v="100"/>
    <x v="0"/>
  </r>
  <r>
    <x v="11"/>
    <s v="CYP"/>
    <x v="0"/>
    <s v="EG.ELC.ACCS.ZS"/>
    <x v="1"/>
    <n v="100"/>
    <x v="0"/>
  </r>
  <r>
    <x v="11"/>
    <s v="CYP"/>
    <x v="0"/>
    <s v="EG.ELC.ACCS.ZS"/>
    <x v="2"/>
    <n v="100"/>
    <x v="0"/>
  </r>
  <r>
    <x v="11"/>
    <s v="CYP"/>
    <x v="0"/>
    <s v="EG.ELC.ACCS.ZS"/>
    <x v="3"/>
    <n v="100"/>
    <x v="0"/>
  </r>
  <r>
    <x v="11"/>
    <s v="CYP"/>
    <x v="0"/>
    <s v="EG.ELC.ACCS.ZS"/>
    <x v="4"/>
    <n v="100"/>
    <x v="0"/>
  </r>
  <r>
    <x v="11"/>
    <s v="CYP"/>
    <x v="0"/>
    <s v="EG.ELC.ACCS.ZS"/>
    <x v="5"/>
    <n v="100"/>
    <x v="0"/>
  </r>
  <r>
    <x v="11"/>
    <s v="CYP"/>
    <x v="0"/>
    <s v="EG.ELC.ACCS.ZS"/>
    <x v="6"/>
    <n v="100"/>
    <x v="0"/>
  </r>
  <r>
    <x v="11"/>
    <s v="CYP"/>
    <x v="0"/>
    <s v="EG.ELC.ACCS.ZS"/>
    <x v="7"/>
    <n v="100"/>
    <x v="1"/>
  </r>
  <r>
    <x v="11"/>
    <s v="CYP"/>
    <x v="0"/>
    <s v="EG.ELC.ACCS.ZS"/>
    <x v="8"/>
    <n v="100"/>
    <x v="1"/>
  </r>
  <r>
    <x v="11"/>
    <s v="CYP"/>
    <x v="0"/>
    <s v="EG.ELC.ACCS.ZS"/>
    <x v="9"/>
    <n v="100"/>
    <x v="1"/>
  </r>
  <r>
    <x v="11"/>
    <s v="CYP"/>
    <x v="0"/>
    <s v="EG.ELC.ACCS.ZS"/>
    <x v="10"/>
    <n v="100"/>
    <x v="1"/>
  </r>
  <r>
    <x v="11"/>
    <s v="CYP"/>
    <x v="0"/>
    <s v="EG.ELC.ACCS.ZS"/>
    <x v="11"/>
    <n v="100"/>
    <x v="1"/>
  </r>
  <r>
    <x v="11"/>
    <s v="CYP"/>
    <x v="0"/>
    <s v="EG.ELC.ACCS.ZS"/>
    <x v="12"/>
    <n v="100"/>
    <x v="1"/>
  </r>
  <r>
    <x v="11"/>
    <s v="CYP"/>
    <x v="0"/>
    <s v="EG.ELC.ACCS.ZS"/>
    <x v="13"/>
    <n v="100"/>
    <x v="1"/>
  </r>
  <r>
    <x v="11"/>
    <s v="CYP"/>
    <x v="0"/>
    <s v="EG.ELC.ACCS.ZS"/>
    <x v="14"/>
    <n v="100"/>
    <x v="1"/>
  </r>
  <r>
    <x v="11"/>
    <s v="CYP"/>
    <x v="0"/>
    <s v="EG.ELC.ACCS.ZS"/>
    <x v="15"/>
    <n v="100"/>
    <x v="1"/>
  </r>
  <r>
    <x v="11"/>
    <s v="CYP"/>
    <x v="0"/>
    <s v="EG.ELC.ACCS.ZS"/>
    <x v="16"/>
    <n v="100"/>
    <x v="1"/>
  </r>
  <r>
    <x v="11"/>
    <s v="CYP"/>
    <x v="0"/>
    <s v="EG.ELC.ACCS.ZS"/>
    <x v="17"/>
    <n v="100"/>
    <x v="2"/>
  </r>
  <r>
    <x v="11"/>
    <s v="CYP"/>
    <x v="0"/>
    <s v="EG.ELC.ACCS.ZS"/>
    <x v="18"/>
    <n v="100"/>
    <x v="2"/>
  </r>
  <r>
    <x v="11"/>
    <s v="CYP"/>
    <x v="0"/>
    <s v="EG.ELC.ACCS.ZS"/>
    <x v="19"/>
    <n v="100"/>
    <x v="2"/>
  </r>
  <r>
    <x v="11"/>
    <s v="CYP"/>
    <x v="0"/>
    <s v="EG.ELC.ACCS.ZS"/>
    <x v="20"/>
    <n v="100"/>
    <x v="2"/>
  </r>
  <r>
    <x v="11"/>
    <s v="CYP"/>
    <x v="0"/>
    <s v="EG.ELC.ACCS.ZS"/>
    <x v="21"/>
    <n v="100"/>
    <x v="2"/>
  </r>
  <r>
    <x v="11"/>
    <s v="CYP"/>
    <x v="0"/>
    <s v="EG.ELC.ACCS.ZS"/>
    <x v="22"/>
    <n v="100"/>
    <x v="2"/>
  </r>
  <r>
    <x v="11"/>
    <s v="CYP"/>
    <x v="0"/>
    <s v="EG.ELC.ACCS.ZS"/>
    <x v="23"/>
    <n v="100"/>
    <x v="2"/>
  </r>
  <r>
    <x v="11"/>
    <s v="CYP"/>
    <x v="0"/>
    <s v="EG.ELC.ACCS.ZS"/>
    <x v="24"/>
    <n v="100"/>
    <x v="2"/>
  </r>
  <r>
    <x v="11"/>
    <s v="CYP"/>
    <x v="0"/>
    <s v="EG.ELC.ACCS.ZS"/>
    <x v="25"/>
    <n v="100"/>
    <x v="2"/>
  </r>
  <r>
    <x v="11"/>
    <s v="CYP"/>
    <x v="0"/>
    <s v="EG.ELC.ACCS.ZS"/>
    <x v="26"/>
    <n v="100"/>
    <x v="2"/>
  </r>
  <r>
    <x v="11"/>
    <s v="CYP"/>
    <x v="0"/>
    <s v="EG.ELC.ACCS.ZS"/>
    <x v="27"/>
    <n v="100"/>
    <x v="3"/>
  </r>
  <r>
    <x v="11"/>
    <s v="CYP"/>
    <x v="0"/>
    <s v="EG.ELC.ACCS.ZS"/>
    <x v="28"/>
    <n v="100"/>
    <x v="3"/>
  </r>
  <r>
    <x v="11"/>
    <s v="CYP"/>
    <x v="0"/>
    <s v="EG.ELC.ACCS.ZS"/>
    <x v="29"/>
    <n v="100"/>
    <x v="3"/>
  </r>
  <r>
    <x v="11"/>
    <s v="CYP"/>
    <x v="0"/>
    <s v="EG.ELC.ACCS.ZS"/>
    <x v="30"/>
    <n v="100"/>
    <x v="3"/>
  </r>
  <r>
    <x v="11"/>
    <s v="CYP"/>
    <x v="0"/>
    <s v="EG.ELC.ACCS.ZS"/>
    <x v="31"/>
    <n v="100"/>
    <x v="0"/>
  </r>
  <r>
    <x v="11"/>
    <s v="CYP"/>
    <x v="0"/>
    <s v="EG.ELC.ACCS.ZS"/>
    <x v="32"/>
    <n v="100"/>
    <x v="0"/>
  </r>
  <r>
    <x v="11"/>
    <s v="CYP"/>
    <x v="0"/>
    <s v="EG.ELC.ACCS.ZS"/>
    <x v="33"/>
    <n v="100"/>
    <x v="0"/>
  </r>
  <r>
    <x v="12"/>
    <s v="CZE"/>
    <x v="0"/>
    <s v="EG.ELC.ACCS.ZS"/>
    <x v="0"/>
    <n v="100"/>
    <x v="0"/>
  </r>
  <r>
    <x v="12"/>
    <s v="CZE"/>
    <x v="0"/>
    <s v="EG.ELC.ACCS.ZS"/>
    <x v="1"/>
    <n v="100"/>
    <x v="0"/>
  </r>
  <r>
    <x v="12"/>
    <s v="CZE"/>
    <x v="0"/>
    <s v="EG.ELC.ACCS.ZS"/>
    <x v="2"/>
    <n v="100"/>
    <x v="0"/>
  </r>
  <r>
    <x v="12"/>
    <s v="CZE"/>
    <x v="0"/>
    <s v="EG.ELC.ACCS.ZS"/>
    <x v="3"/>
    <n v="100"/>
    <x v="0"/>
  </r>
  <r>
    <x v="12"/>
    <s v="CZE"/>
    <x v="0"/>
    <s v="EG.ELC.ACCS.ZS"/>
    <x v="4"/>
    <n v="100"/>
    <x v="0"/>
  </r>
  <r>
    <x v="12"/>
    <s v="CZE"/>
    <x v="0"/>
    <s v="EG.ELC.ACCS.ZS"/>
    <x v="5"/>
    <n v="100"/>
    <x v="0"/>
  </r>
  <r>
    <x v="12"/>
    <s v="CZE"/>
    <x v="0"/>
    <s v="EG.ELC.ACCS.ZS"/>
    <x v="6"/>
    <n v="100"/>
    <x v="0"/>
  </r>
  <r>
    <x v="12"/>
    <s v="CZE"/>
    <x v="0"/>
    <s v="EG.ELC.ACCS.ZS"/>
    <x v="7"/>
    <n v="100"/>
    <x v="1"/>
  </r>
  <r>
    <x v="12"/>
    <s v="CZE"/>
    <x v="0"/>
    <s v="EG.ELC.ACCS.ZS"/>
    <x v="8"/>
    <n v="100"/>
    <x v="1"/>
  </r>
  <r>
    <x v="12"/>
    <s v="CZE"/>
    <x v="0"/>
    <s v="EG.ELC.ACCS.ZS"/>
    <x v="9"/>
    <n v="100"/>
    <x v="1"/>
  </r>
  <r>
    <x v="12"/>
    <s v="CZE"/>
    <x v="0"/>
    <s v="EG.ELC.ACCS.ZS"/>
    <x v="10"/>
    <n v="100"/>
    <x v="1"/>
  </r>
  <r>
    <x v="12"/>
    <s v="CZE"/>
    <x v="0"/>
    <s v="EG.ELC.ACCS.ZS"/>
    <x v="11"/>
    <n v="100"/>
    <x v="1"/>
  </r>
  <r>
    <x v="12"/>
    <s v="CZE"/>
    <x v="0"/>
    <s v="EG.ELC.ACCS.ZS"/>
    <x v="12"/>
    <n v="100"/>
    <x v="1"/>
  </r>
  <r>
    <x v="12"/>
    <s v="CZE"/>
    <x v="0"/>
    <s v="EG.ELC.ACCS.ZS"/>
    <x v="13"/>
    <n v="100"/>
    <x v="1"/>
  </r>
  <r>
    <x v="12"/>
    <s v="CZE"/>
    <x v="0"/>
    <s v="EG.ELC.ACCS.ZS"/>
    <x v="14"/>
    <n v="100"/>
    <x v="1"/>
  </r>
  <r>
    <x v="12"/>
    <s v="CZE"/>
    <x v="0"/>
    <s v="EG.ELC.ACCS.ZS"/>
    <x v="15"/>
    <n v="100"/>
    <x v="1"/>
  </r>
  <r>
    <x v="12"/>
    <s v="CZE"/>
    <x v="0"/>
    <s v="EG.ELC.ACCS.ZS"/>
    <x v="16"/>
    <n v="100"/>
    <x v="1"/>
  </r>
  <r>
    <x v="12"/>
    <s v="CZE"/>
    <x v="0"/>
    <s v="EG.ELC.ACCS.ZS"/>
    <x v="17"/>
    <n v="100"/>
    <x v="2"/>
  </r>
  <r>
    <x v="12"/>
    <s v="CZE"/>
    <x v="0"/>
    <s v="EG.ELC.ACCS.ZS"/>
    <x v="18"/>
    <n v="100"/>
    <x v="2"/>
  </r>
  <r>
    <x v="12"/>
    <s v="CZE"/>
    <x v="0"/>
    <s v="EG.ELC.ACCS.ZS"/>
    <x v="19"/>
    <n v="100"/>
    <x v="2"/>
  </r>
  <r>
    <x v="12"/>
    <s v="CZE"/>
    <x v="0"/>
    <s v="EG.ELC.ACCS.ZS"/>
    <x v="20"/>
    <n v="100"/>
    <x v="2"/>
  </r>
  <r>
    <x v="12"/>
    <s v="CZE"/>
    <x v="0"/>
    <s v="EG.ELC.ACCS.ZS"/>
    <x v="21"/>
    <n v="100"/>
    <x v="2"/>
  </r>
  <r>
    <x v="12"/>
    <s v="CZE"/>
    <x v="0"/>
    <s v="EG.ELC.ACCS.ZS"/>
    <x v="22"/>
    <n v="100"/>
    <x v="2"/>
  </r>
  <r>
    <x v="12"/>
    <s v="CZE"/>
    <x v="0"/>
    <s v="EG.ELC.ACCS.ZS"/>
    <x v="23"/>
    <n v="100"/>
    <x v="2"/>
  </r>
  <r>
    <x v="12"/>
    <s v="CZE"/>
    <x v="0"/>
    <s v="EG.ELC.ACCS.ZS"/>
    <x v="24"/>
    <n v="100"/>
    <x v="2"/>
  </r>
  <r>
    <x v="12"/>
    <s v="CZE"/>
    <x v="0"/>
    <s v="EG.ELC.ACCS.ZS"/>
    <x v="25"/>
    <n v="100"/>
    <x v="2"/>
  </r>
  <r>
    <x v="12"/>
    <s v="CZE"/>
    <x v="0"/>
    <s v="EG.ELC.ACCS.ZS"/>
    <x v="26"/>
    <n v="100"/>
    <x v="2"/>
  </r>
  <r>
    <x v="12"/>
    <s v="CZE"/>
    <x v="0"/>
    <s v="EG.ELC.ACCS.ZS"/>
    <x v="27"/>
    <n v="100"/>
    <x v="3"/>
  </r>
  <r>
    <x v="12"/>
    <s v="CZE"/>
    <x v="0"/>
    <s v="EG.ELC.ACCS.ZS"/>
    <x v="28"/>
    <n v="100"/>
    <x v="3"/>
  </r>
  <r>
    <x v="12"/>
    <s v="CZE"/>
    <x v="0"/>
    <s v="EG.ELC.ACCS.ZS"/>
    <x v="29"/>
    <n v="100"/>
    <x v="3"/>
  </r>
  <r>
    <x v="12"/>
    <s v="CZE"/>
    <x v="0"/>
    <s v="EG.ELC.ACCS.ZS"/>
    <x v="30"/>
    <n v="100"/>
    <x v="3"/>
  </r>
  <r>
    <x v="12"/>
    <s v="CZE"/>
    <x v="0"/>
    <s v="EG.ELC.ACCS.ZS"/>
    <x v="31"/>
    <n v="100"/>
    <x v="0"/>
  </r>
  <r>
    <x v="12"/>
    <s v="CZE"/>
    <x v="0"/>
    <s v="EG.ELC.ACCS.ZS"/>
    <x v="32"/>
    <n v="100"/>
    <x v="0"/>
  </r>
  <r>
    <x v="12"/>
    <s v="CZE"/>
    <x v="0"/>
    <s v="EG.ELC.ACCS.ZS"/>
    <x v="33"/>
    <n v="100"/>
    <x v="0"/>
  </r>
  <r>
    <x v="13"/>
    <s v="DEU"/>
    <x v="0"/>
    <s v="EG.ELC.ACCS.ZS"/>
    <x v="0"/>
    <n v="100"/>
    <x v="0"/>
  </r>
  <r>
    <x v="13"/>
    <s v="DEU"/>
    <x v="0"/>
    <s v="EG.ELC.ACCS.ZS"/>
    <x v="1"/>
    <n v="100"/>
    <x v="0"/>
  </r>
  <r>
    <x v="13"/>
    <s v="DEU"/>
    <x v="0"/>
    <s v="EG.ELC.ACCS.ZS"/>
    <x v="2"/>
    <n v="100"/>
    <x v="0"/>
  </r>
  <r>
    <x v="13"/>
    <s v="DEU"/>
    <x v="0"/>
    <s v="EG.ELC.ACCS.ZS"/>
    <x v="3"/>
    <n v="100"/>
    <x v="0"/>
  </r>
  <r>
    <x v="13"/>
    <s v="DEU"/>
    <x v="0"/>
    <s v="EG.ELC.ACCS.ZS"/>
    <x v="4"/>
    <n v="100"/>
    <x v="0"/>
  </r>
  <r>
    <x v="13"/>
    <s v="DEU"/>
    <x v="0"/>
    <s v="EG.ELC.ACCS.ZS"/>
    <x v="5"/>
    <n v="100"/>
    <x v="0"/>
  </r>
  <r>
    <x v="13"/>
    <s v="DEU"/>
    <x v="0"/>
    <s v="EG.ELC.ACCS.ZS"/>
    <x v="6"/>
    <n v="100"/>
    <x v="0"/>
  </r>
  <r>
    <x v="13"/>
    <s v="DEU"/>
    <x v="0"/>
    <s v="EG.ELC.ACCS.ZS"/>
    <x v="7"/>
    <n v="100"/>
    <x v="1"/>
  </r>
  <r>
    <x v="13"/>
    <s v="DEU"/>
    <x v="0"/>
    <s v="EG.ELC.ACCS.ZS"/>
    <x v="8"/>
    <n v="100"/>
    <x v="1"/>
  </r>
  <r>
    <x v="13"/>
    <s v="DEU"/>
    <x v="0"/>
    <s v="EG.ELC.ACCS.ZS"/>
    <x v="9"/>
    <n v="100"/>
    <x v="1"/>
  </r>
  <r>
    <x v="13"/>
    <s v="DEU"/>
    <x v="0"/>
    <s v="EG.ELC.ACCS.ZS"/>
    <x v="10"/>
    <n v="100"/>
    <x v="1"/>
  </r>
  <r>
    <x v="13"/>
    <s v="DEU"/>
    <x v="0"/>
    <s v="EG.ELC.ACCS.ZS"/>
    <x v="11"/>
    <n v="100"/>
    <x v="1"/>
  </r>
  <r>
    <x v="13"/>
    <s v="DEU"/>
    <x v="0"/>
    <s v="EG.ELC.ACCS.ZS"/>
    <x v="12"/>
    <n v="100"/>
    <x v="1"/>
  </r>
  <r>
    <x v="13"/>
    <s v="DEU"/>
    <x v="0"/>
    <s v="EG.ELC.ACCS.ZS"/>
    <x v="13"/>
    <n v="100"/>
    <x v="1"/>
  </r>
  <r>
    <x v="13"/>
    <s v="DEU"/>
    <x v="0"/>
    <s v="EG.ELC.ACCS.ZS"/>
    <x v="14"/>
    <n v="100"/>
    <x v="1"/>
  </r>
  <r>
    <x v="13"/>
    <s v="DEU"/>
    <x v="0"/>
    <s v="EG.ELC.ACCS.ZS"/>
    <x v="15"/>
    <n v="100"/>
    <x v="1"/>
  </r>
  <r>
    <x v="13"/>
    <s v="DEU"/>
    <x v="0"/>
    <s v="EG.ELC.ACCS.ZS"/>
    <x v="16"/>
    <n v="100"/>
    <x v="1"/>
  </r>
  <r>
    <x v="13"/>
    <s v="DEU"/>
    <x v="0"/>
    <s v="EG.ELC.ACCS.ZS"/>
    <x v="17"/>
    <n v="100"/>
    <x v="2"/>
  </r>
  <r>
    <x v="13"/>
    <s v="DEU"/>
    <x v="0"/>
    <s v="EG.ELC.ACCS.ZS"/>
    <x v="18"/>
    <n v="100"/>
    <x v="2"/>
  </r>
  <r>
    <x v="13"/>
    <s v="DEU"/>
    <x v="0"/>
    <s v="EG.ELC.ACCS.ZS"/>
    <x v="19"/>
    <n v="100"/>
    <x v="2"/>
  </r>
  <r>
    <x v="13"/>
    <s v="DEU"/>
    <x v="0"/>
    <s v="EG.ELC.ACCS.ZS"/>
    <x v="20"/>
    <n v="100"/>
    <x v="2"/>
  </r>
  <r>
    <x v="13"/>
    <s v="DEU"/>
    <x v="0"/>
    <s v="EG.ELC.ACCS.ZS"/>
    <x v="21"/>
    <n v="100"/>
    <x v="2"/>
  </r>
  <r>
    <x v="13"/>
    <s v="DEU"/>
    <x v="0"/>
    <s v="EG.ELC.ACCS.ZS"/>
    <x v="22"/>
    <n v="100"/>
    <x v="2"/>
  </r>
  <r>
    <x v="13"/>
    <s v="DEU"/>
    <x v="0"/>
    <s v="EG.ELC.ACCS.ZS"/>
    <x v="23"/>
    <n v="100"/>
    <x v="2"/>
  </r>
  <r>
    <x v="13"/>
    <s v="DEU"/>
    <x v="0"/>
    <s v="EG.ELC.ACCS.ZS"/>
    <x v="24"/>
    <n v="100"/>
    <x v="2"/>
  </r>
  <r>
    <x v="13"/>
    <s v="DEU"/>
    <x v="0"/>
    <s v="EG.ELC.ACCS.ZS"/>
    <x v="25"/>
    <n v="100"/>
    <x v="2"/>
  </r>
  <r>
    <x v="13"/>
    <s v="DEU"/>
    <x v="0"/>
    <s v="EG.ELC.ACCS.ZS"/>
    <x v="26"/>
    <n v="100"/>
    <x v="2"/>
  </r>
  <r>
    <x v="13"/>
    <s v="DEU"/>
    <x v="0"/>
    <s v="EG.ELC.ACCS.ZS"/>
    <x v="27"/>
    <n v="100"/>
    <x v="3"/>
  </r>
  <r>
    <x v="13"/>
    <s v="DEU"/>
    <x v="0"/>
    <s v="EG.ELC.ACCS.ZS"/>
    <x v="28"/>
    <n v="100"/>
    <x v="3"/>
  </r>
  <r>
    <x v="13"/>
    <s v="DEU"/>
    <x v="0"/>
    <s v="EG.ELC.ACCS.ZS"/>
    <x v="29"/>
    <n v="100"/>
    <x v="3"/>
  </r>
  <r>
    <x v="13"/>
    <s v="DEU"/>
    <x v="0"/>
    <s v="EG.ELC.ACCS.ZS"/>
    <x v="30"/>
    <n v="100"/>
    <x v="3"/>
  </r>
  <r>
    <x v="13"/>
    <s v="DEU"/>
    <x v="0"/>
    <s v="EG.ELC.ACCS.ZS"/>
    <x v="31"/>
    <n v="100"/>
    <x v="0"/>
  </r>
  <r>
    <x v="13"/>
    <s v="DEU"/>
    <x v="0"/>
    <s v="EG.ELC.ACCS.ZS"/>
    <x v="32"/>
    <n v="100"/>
    <x v="0"/>
  </r>
  <r>
    <x v="13"/>
    <s v="DEU"/>
    <x v="0"/>
    <s v="EG.ELC.ACCS.ZS"/>
    <x v="33"/>
    <n v="100"/>
    <x v="0"/>
  </r>
  <r>
    <x v="14"/>
    <s v="DNK"/>
    <x v="0"/>
    <s v="EG.ELC.ACCS.ZS"/>
    <x v="0"/>
    <n v="100"/>
    <x v="0"/>
  </r>
  <r>
    <x v="14"/>
    <s v="DNK"/>
    <x v="0"/>
    <s v="EG.ELC.ACCS.ZS"/>
    <x v="1"/>
    <n v="100"/>
    <x v="0"/>
  </r>
  <r>
    <x v="14"/>
    <s v="DNK"/>
    <x v="0"/>
    <s v="EG.ELC.ACCS.ZS"/>
    <x v="2"/>
    <n v="100"/>
    <x v="0"/>
  </r>
  <r>
    <x v="14"/>
    <s v="DNK"/>
    <x v="0"/>
    <s v="EG.ELC.ACCS.ZS"/>
    <x v="3"/>
    <n v="100"/>
    <x v="0"/>
  </r>
  <r>
    <x v="14"/>
    <s v="DNK"/>
    <x v="0"/>
    <s v="EG.ELC.ACCS.ZS"/>
    <x v="4"/>
    <n v="100"/>
    <x v="0"/>
  </r>
  <r>
    <x v="14"/>
    <s v="DNK"/>
    <x v="0"/>
    <s v="EG.ELC.ACCS.ZS"/>
    <x v="5"/>
    <n v="100"/>
    <x v="0"/>
  </r>
  <r>
    <x v="14"/>
    <s v="DNK"/>
    <x v="0"/>
    <s v="EG.ELC.ACCS.ZS"/>
    <x v="6"/>
    <n v="100"/>
    <x v="0"/>
  </r>
  <r>
    <x v="14"/>
    <s v="DNK"/>
    <x v="0"/>
    <s v="EG.ELC.ACCS.ZS"/>
    <x v="7"/>
    <n v="100"/>
    <x v="1"/>
  </r>
  <r>
    <x v="14"/>
    <s v="DNK"/>
    <x v="0"/>
    <s v="EG.ELC.ACCS.ZS"/>
    <x v="8"/>
    <n v="100"/>
    <x v="1"/>
  </r>
  <r>
    <x v="14"/>
    <s v="DNK"/>
    <x v="0"/>
    <s v="EG.ELC.ACCS.ZS"/>
    <x v="9"/>
    <n v="100"/>
    <x v="1"/>
  </r>
  <r>
    <x v="14"/>
    <s v="DNK"/>
    <x v="0"/>
    <s v="EG.ELC.ACCS.ZS"/>
    <x v="10"/>
    <n v="100"/>
    <x v="1"/>
  </r>
  <r>
    <x v="14"/>
    <s v="DNK"/>
    <x v="0"/>
    <s v="EG.ELC.ACCS.ZS"/>
    <x v="11"/>
    <n v="100"/>
    <x v="1"/>
  </r>
  <r>
    <x v="14"/>
    <s v="DNK"/>
    <x v="0"/>
    <s v="EG.ELC.ACCS.ZS"/>
    <x v="12"/>
    <n v="100"/>
    <x v="1"/>
  </r>
  <r>
    <x v="14"/>
    <s v="DNK"/>
    <x v="0"/>
    <s v="EG.ELC.ACCS.ZS"/>
    <x v="13"/>
    <n v="100"/>
    <x v="1"/>
  </r>
  <r>
    <x v="14"/>
    <s v="DNK"/>
    <x v="0"/>
    <s v="EG.ELC.ACCS.ZS"/>
    <x v="14"/>
    <n v="100"/>
    <x v="1"/>
  </r>
  <r>
    <x v="14"/>
    <s v="DNK"/>
    <x v="0"/>
    <s v="EG.ELC.ACCS.ZS"/>
    <x v="15"/>
    <n v="100"/>
    <x v="1"/>
  </r>
  <r>
    <x v="14"/>
    <s v="DNK"/>
    <x v="0"/>
    <s v="EG.ELC.ACCS.ZS"/>
    <x v="16"/>
    <n v="100"/>
    <x v="1"/>
  </r>
  <r>
    <x v="14"/>
    <s v="DNK"/>
    <x v="0"/>
    <s v="EG.ELC.ACCS.ZS"/>
    <x v="17"/>
    <n v="100"/>
    <x v="2"/>
  </r>
  <r>
    <x v="14"/>
    <s v="DNK"/>
    <x v="0"/>
    <s v="EG.ELC.ACCS.ZS"/>
    <x v="18"/>
    <n v="100"/>
    <x v="2"/>
  </r>
  <r>
    <x v="14"/>
    <s v="DNK"/>
    <x v="0"/>
    <s v="EG.ELC.ACCS.ZS"/>
    <x v="19"/>
    <n v="100"/>
    <x v="2"/>
  </r>
  <r>
    <x v="14"/>
    <s v="DNK"/>
    <x v="0"/>
    <s v="EG.ELC.ACCS.ZS"/>
    <x v="20"/>
    <n v="100"/>
    <x v="2"/>
  </r>
  <r>
    <x v="14"/>
    <s v="DNK"/>
    <x v="0"/>
    <s v="EG.ELC.ACCS.ZS"/>
    <x v="21"/>
    <n v="100"/>
    <x v="2"/>
  </r>
  <r>
    <x v="14"/>
    <s v="DNK"/>
    <x v="0"/>
    <s v="EG.ELC.ACCS.ZS"/>
    <x v="22"/>
    <n v="100"/>
    <x v="2"/>
  </r>
  <r>
    <x v="14"/>
    <s v="DNK"/>
    <x v="0"/>
    <s v="EG.ELC.ACCS.ZS"/>
    <x v="23"/>
    <n v="100"/>
    <x v="2"/>
  </r>
  <r>
    <x v="14"/>
    <s v="DNK"/>
    <x v="0"/>
    <s v="EG.ELC.ACCS.ZS"/>
    <x v="24"/>
    <n v="100"/>
    <x v="2"/>
  </r>
  <r>
    <x v="14"/>
    <s v="DNK"/>
    <x v="0"/>
    <s v="EG.ELC.ACCS.ZS"/>
    <x v="25"/>
    <n v="100"/>
    <x v="2"/>
  </r>
  <r>
    <x v="14"/>
    <s v="DNK"/>
    <x v="0"/>
    <s v="EG.ELC.ACCS.ZS"/>
    <x v="26"/>
    <n v="100"/>
    <x v="2"/>
  </r>
  <r>
    <x v="14"/>
    <s v="DNK"/>
    <x v="0"/>
    <s v="EG.ELC.ACCS.ZS"/>
    <x v="27"/>
    <n v="100"/>
    <x v="3"/>
  </r>
  <r>
    <x v="14"/>
    <s v="DNK"/>
    <x v="0"/>
    <s v="EG.ELC.ACCS.ZS"/>
    <x v="28"/>
    <n v="100"/>
    <x v="3"/>
  </r>
  <r>
    <x v="14"/>
    <s v="DNK"/>
    <x v="0"/>
    <s v="EG.ELC.ACCS.ZS"/>
    <x v="29"/>
    <n v="100"/>
    <x v="3"/>
  </r>
  <r>
    <x v="14"/>
    <s v="DNK"/>
    <x v="0"/>
    <s v="EG.ELC.ACCS.ZS"/>
    <x v="30"/>
    <n v="100"/>
    <x v="3"/>
  </r>
  <r>
    <x v="14"/>
    <s v="DNK"/>
    <x v="0"/>
    <s v="EG.ELC.ACCS.ZS"/>
    <x v="31"/>
    <n v="100"/>
    <x v="0"/>
  </r>
  <r>
    <x v="14"/>
    <s v="DNK"/>
    <x v="0"/>
    <s v="EG.ELC.ACCS.ZS"/>
    <x v="32"/>
    <n v="100"/>
    <x v="0"/>
  </r>
  <r>
    <x v="14"/>
    <s v="DNK"/>
    <x v="0"/>
    <s v="EG.ELC.ACCS.ZS"/>
    <x v="33"/>
    <n v="100"/>
    <x v="0"/>
  </r>
  <r>
    <x v="15"/>
    <s v="ESP"/>
    <x v="0"/>
    <s v="EG.ELC.ACCS.ZS"/>
    <x v="0"/>
    <n v="100"/>
    <x v="0"/>
  </r>
  <r>
    <x v="15"/>
    <s v="ESP"/>
    <x v="0"/>
    <s v="EG.ELC.ACCS.ZS"/>
    <x v="1"/>
    <n v="100"/>
    <x v="0"/>
  </r>
  <r>
    <x v="15"/>
    <s v="ESP"/>
    <x v="0"/>
    <s v="EG.ELC.ACCS.ZS"/>
    <x v="2"/>
    <n v="100"/>
    <x v="0"/>
  </r>
  <r>
    <x v="15"/>
    <s v="ESP"/>
    <x v="0"/>
    <s v="EG.ELC.ACCS.ZS"/>
    <x v="3"/>
    <n v="100"/>
    <x v="0"/>
  </r>
  <r>
    <x v="15"/>
    <s v="ESP"/>
    <x v="0"/>
    <s v="EG.ELC.ACCS.ZS"/>
    <x v="4"/>
    <n v="100"/>
    <x v="0"/>
  </r>
  <r>
    <x v="15"/>
    <s v="ESP"/>
    <x v="0"/>
    <s v="EG.ELC.ACCS.ZS"/>
    <x v="5"/>
    <n v="100"/>
    <x v="0"/>
  </r>
  <r>
    <x v="15"/>
    <s v="ESP"/>
    <x v="0"/>
    <s v="EG.ELC.ACCS.ZS"/>
    <x v="6"/>
    <n v="100"/>
    <x v="0"/>
  </r>
  <r>
    <x v="15"/>
    <s v="ESP"/>
    <x v="0"/>
    <s v="EG.ELC.ACCS.ZS"/>
    <x v="7"/>
    <n v="100"/>
    <x v="1"/>
  </r>
  <r>
    <x v="15"/>
    <s v="ESP"/>
    <x v="0"/>
    <s v="EG.ELC.ACCS.ZS"/>
    <x v="8"/>
    <n v="100"/>
    <x v="1"/>
  </r>
  <r>
    <x v="15"/>
    <s v="ESP"/>
    <x v="0"/>
    <s v="EG.ELC.ACCS.ZS"/>
    <x v="9"/>
    <n v="100"/>
    <x v="1"/>
  </r>
  <r>
    <x v="15"/>
    <s v="ESP"/>
    <x v="0"/>
    <s v="EG.ELC.ACCS.ZS"/>
    <x v="10"/>
    <n v="100"/>
    <x v="1"/>
  </r>
  <r>
    <x v="15"/>
    <s v="ESP"/>
    <x v="0"/>
    <s v="EG.ELC.ACCS.ZS"/>
    <x v="11"/>
    <n v="100"/>
    <x v="1"/>
  </r>
  <r>
    <x v="15"/>
    <s v="ESP"/>
    <x v="0"/>
    <s v="EG.ELC.ACCS.ZS"/>
    <x v="12"/>
    <n v="100"/>
    <x v="1"/>
  </r>
  <r>
    <x v="15"/>
    <s v="ESP"/>
    <x v="0"/>
    <s v="EG.ELC.ACCS.ZS"/>
    <x v="13"/>
    <n v="100"/>
    <x v="1"/>
  </r>
  <r>
    <x v="15"/>
    <s v="ESP"/>
    <x v="0"/>
    <s v="EG.ELC.ACCS.ZS"/>
    <x v="14"/>
    <n v="100"/>
    <x v="1"/>
  </r>
  <r>
    <x v="15"/>
    <s v="ESP"/>
    <x v="0"/>
    <s v="EG.ELC.ACCS.ZS"/>
    <x v="15"/>
    <n v="100"/>
    <x v="1"/>
  </r>
  <r>
    <x v="15"/>
    <s v="ESP"/>
    <x v="0"/>
    <s v="EG.ELC.ACCS.ZS"/>
    <x v="16"/>
    <n v="100"/>
    <x v="1"/>
  </r>
  <r>
    <x v="15"/>
    <s v="ESP"/>
    <x v="0"/>
    <s v="EG.ELC.ACCS.ZS"/>
    <x v="17"/>
    <n v="100"/>
    <x v="2"/>
  </r>
  <r>
    <x v="15"/>
    <s v="ESP"/>
    <x v="0"/>
    <s v="EG.ELC.ACCS.ZS"/>
    <x v="18"/>
    <n v="100"/>
    <x v="2"/>
  </r>
  <r>
    <x v="15"/>
    <s v="ESP"/>
    <x v="0"/>
    <s v="EG.ELC.ACCS.ZS"/>
    <x v="19"/>
    <n v="100"/>
    <x v="2"/>
  </r>
  <r>
    <x v="15"/>
    <s v="ESP"/>
    <x v="0"/>
    <s v="EG.ELC.ACCS.ZS"/>
    <x v="20"/>
    <n v="100"/>
    <x v="2"/>
  </r>
  <r>
    <x v="15"/>
    <s v="ESP"/>
    <x v="0"/>
    <s v="EG.ELC.ACCS.ZS"/>
    <x v="21"/>
    <n v="100"/>
    <x v="2"/>
  </r>
  <r>
    <x v="15"/>
    <s v="ESP"/>
    <x v="0"/>
    <s v="EG.ELC.ACCS.ZS"/>
    <x v="22"/>
    <n v="100"/>
    <x v="2"/>
  </r>
  <r>
    <x v="15"/>
    <s v="ESP"/>
    <x v="0"/>
    <s v="EG.ELC.ACCS.ZS"/>
    <x v="23"/>
    <n v="100"/>
    <x v="2"/>
  </r>
  <r>
    <x v="15"/>
    <s v="ESP"/>
    <x v="0"/>
    <s v="EG.ELC.ACCS.ZS"/>
    <x v="24"/>
    <n v="100"/>
    <x v="2"/>
  </r>
  <r>
    <x v="15"/>
    <s v="ESP"/>
    <x v="0"/>
    <s v="EG.ELC.ACCS.ZS"/>
    <x v="25"/>
    <n v="100"/>
    <x v="2"/>
  </r>
  <r>
    <x v="15"/>
    <s v="ESP"/>
    <x v="0"/>
    <s v="EG.ELC.ACCS.ZS"/>
    <x v="26"/>
    <n v="100"/>
    <x v="2"/>
  </r>
  <r>
    <x v="15"/>
    <s v="ESP"/>
    <x v="0"/>
    <s v="EG.ELC.ACCS.ZS"/>
    <x v="27"/>
    <n v="100"/>
    <x v="3"/>
  </r>
  <r>
    <x v="15"/>
    <s v="ESP"/>
    <x v="0"/>
    <s v="EG.ELC.ACCS.ZS"/>
    <x v="28"/>
    <n v="100"/>
    <x v="3"/>
  </r>
  <r>
    <x v="15"/>
    <s v="ESP"/>
    <x v="0"/>
    <s v="EG.ELC.ACCS.ZS"/>
    <x v="29"/>
    <n v="100"/>
    <x v="3"/>
  </r>
  <r>
    <x v="15"/>
    <s v="ESP"/>
    <x v="0"/>
    <s v="EG.ELC.ACCS.ZS"/>
    <x v="30"/>
    <n v="100"/>
    <x v="3"/>
  </r>
  <r>
    <x v="15"/>
    <s v="ESP"/>
    <x v="0"/>
    <s v="EG.ELC.ACCS.ZS"/>
    <x v="31"/>
    <n v="100"/>
    <x v="0"/>
  </r>
  <r>
    <x v="15"/>
    <s v="ESP"/>
    <x v="0"/>
    <s v="EG.ELC.ACCS.ZS"/>
    <x v="32"/>
    <n v="100"/>
    <x v="0"/>
  </r>
  <r>
    <x v="15"/>
    <s v="ESP"/>
    <x v="0"/>
    <s v="EG.ELC.ACCS.ZS"/>
    <x v="33"/>
    <n v="100"/>
    <x v="0"/>
  </r>
  <r>
    <x v="16"/>
    <s v="EST"/>
    <x v="0"/>
    <s v="EG.ELC.ACCS.ZS"/>
    <x v="0"/>
    <n v="100"/>
    <x v="0"/>
  </r>
  <r>
    <x v="16"/>
    <s v="EST"/>
    <x v="0"/>
    <s v="EG.ELC.ACCS.ZS"/>
    <x v="1"/>
    <n v="100"/>
    <x v="0"/>
  </r>
  <r>
    <x v="16"/>
    <s v="EST"/>
    <x v="0"/>
    <s v="EG.ELC.ACCS.ZS"/>
    <x v="2"/>
    <n v="100"/>
    <x v="0"/>
  </r>
  <r>
    <x v="16"/>
    <s v="EST"/>
    <x v="0"/>
    <s v="EG.ELC.ACCS.ZS"/>
    <x v="3"/>
    <n v="100"/>
    <x v="0"/>
  </r>
  <r>
    <x v="16"/>
    <s v="EST"/>
    <x v="0"/>
    <s v="EG.ELC.ACCS.ZS"/>
    <x v="4"/>
    <n v="100"/>
    <x v="0"/>
  </r>
  <r>
    <x v="16"/>
    <s v="EST"/>
    <x v="0"/>
    <s v="EG.ELC.ACCS.ZS"/>
    <x v="5"/>
    <n v="100"/>
    <x v="0"/>
  </r>
  <r>
    <x v="16"/>
    <s v="EST"/>
    <x v="0"/>
    <s v="EG.ELC.ACCS.ZS"/>
    <x v="6"/>
    <n v="100"/>
    <x v="0"/>
  </r>
  <r>
    <x v="16"/>
    <s v="EST"/>
    <x v="0"/>
    <s v="EG.ELC.ACCS.ZS"/>
    <x v="7"/>
    <n v="100"/>
    <x v="1"/>
  </r>
  <r>
    <x v="16"/>
    <s v="EST"/>
    <x v="0"/>
    <s v="EG.ELC.ACCS.ZS"/>
    <x v="8"/>
    <n v="100"/>
    <x v="1"/>
  </r>
  <r>
    <x v="16"/>
    <s v="EST"/>
    <x v="0"/>
    <s v="EG.ELC.ACCS.ZS"/>
    <x v="9"/>
    <n v="100"/>
    <x v="1"/>
  </r>
  <r>
    <x v="16"/>
    <s v="EST"/>
    <x v="0"/>
    <s v="EG.ELC.ACCS.ZS"/>
    <x v="10"/>
    <n v="100"/>
    <x v="1"/>
  </r>
  <r>
    <x v="16"/>
    <s v="EST"/>
    <x v="0"/>
    <s v="EG.ELC.ACCS.ZS"/>
    <x v="11"/>
    <n v="100"/>
    <x v="1"/>
  </r>
  <r>
    <x v="16"/>
    <s v="EST"/>
    <x v="0"/>
    <s v="EG.ELC.ACCS.ZS"/>
    <x v="12"/>
    <n v="100"/>
    <x v="1"/>
  </r>
  <r>
    <x v="16"/>
    <s v="EST"/>
    <x v="0"/>
    <s v="EG.ELC.ACCS.ZS"/>
    <x v="13"/>
    <n v="100"/>
    <x v="1"/>
  </r>
  <r>
    <x v="16"/>
    <s v="EST"/>
    <x v="0"/>
    <s v="EG.ELC.ACCS.ZS"/>
    <x v="14"/>
    <n v="100"/>
    <x v="1"/>
  </r>
  <r>
    <x v="16"/>
    <s v="EST"/>
    <x v="0"/>
    <s v="EG.ELC.ACCS.ZS"/>
    <x v="15"/>
    <n v="100"/>
    <x v="1"/>
  </r>
  <r>
    <x v="16"/>
    <s v="EST"/>
    <x v="0"/>
    <s v="EG.ELC.ACCS.ZS"/>
    <x v="16"/>
    <n v="100"/>
    <x v="1"/>
  </r>
  <r>
    <x v="16"/>
    <s v="EST"/>
    <x v="0"/>
    <s v="EG.ELC.ACCS.ZS"/>
    <x v="17"/>
    <n v="100"/>
    <x v="2"/>
  </r>
  <r>
    <x v="16"/>
    <s v="EST"/>
    <x v="0"/>
    <s v="EG.ELC.ACCS.ZS"/>
    <x v="18"/>
    <n v="100"/>
    <x v="2"/>
  </r>
  <r>
    <x v="16"/>
    <s v="EST"/>
    <x v="0"/>
    <s v="EG.ELC.ACCS.ZS"/>
    <x v="19"/>
    <n v="100"/>
    <x v="2"/>
  </r>
  <r>
    <x v="16"/>
    <s v="EST"/>
    <x v="0"/>
    <s v="EG.ELC.ACCS.ZS"/>
    <x v="20"/>
    <n v="100"/>
    <x v="2"/>
  </r>
  <r>
    <x v="16"/>
    <s v="EST"/>
    <x v="0"/>
    <s v="EG.ELC.ACCS.ZS"/>
    <x v="21"/>
    <n v="100"/>
    <x v="2"/>
  </r>
  <r>
    <x v="16"/>
    <s v="EST"/>
    <x v="0"/>
    <s v="EG.ELC.ACCS.ZS"/>
    <x v="22"/>
    <n v="100"/>
    <x v="2"/>
  </r>
  <r>
    <x v="16"/>
    <s v="EST"/>
    <x v="0"/>
    <s v="EG.ELC.ACCS.ZS"/>
    <x v="23"/>
    <n v="100"/>
    <x v="2"/>
  </r>
  <r>
    <x v="16"/>
    <s v="EST"/>
    <x v="0"/>
    <s v="EG.ELC.ACCS.ZS"/>
    <x v="24"/>
    <n v="100"/>
    <x v="2"/>
  </r>
  <r>
    <x v="16"/>
    <s v="EST"/>
    <x v="0"/>
    <s v="EG.ELC.ACCS.ZS"/>
    <x v="25"/>
    <n v="100"/>
    <x v="2"/>
  </r>
  <r>
    <x v="16"/>
    <s v="EST"/>
    <x v="0"/>
    <s v="EG.ELC.ACCS.ZS"/>
    <x v="26"/>
    <n v="100"/>
    <x v="2"/>
  </r>
  <r>
    <x v="16"/>
    <s v="EST"/>
    <x v="0"/>
    <s v="EG.ELC.ACCS.ZS"/>
    <x v="27"/>
    <n v="100"/>
    <x v="3"/>
  </r>
  <r>
    <x v="16"/>
    <s v="EST"/>
    <x v="0"/>
    <s v="EG.ELC.ACCS.ZS"/>
    <x v="28"/>
    <n v="100"/>
    <x v="3"/>
  </r>
  <r>
    <x v="16"/>
    <s v="EST"/>
    <x v="0"/>
    <s v="EG.ELC.ACCS.ZS"/>
    <x v="29"/>
    <n v="100"/>
    <x v="3"/>
  </r>
  <r>
    <x v="16"/>
    <s v="EST"/>
    <x v="0"/>
    <s v="EG.ELC.ACCS.ZS"/>
    <x v="30"/>
    <n v="100"/>
    <x v="3"/>
  </r>
  <r>
    <x v="16"/>
    <s v="EST"/>
    <x v="0"/>
    <s v="EG.ELC.ACCS.ZS"/>
    <x v="31"/>
    <n v="100"/>
    <x v="0"/>
  </r>
  <r>
    <x v="16"/>
    <s v="EST"/>
    <x v="0"/>
    <s v="EG.ELC.ACCS.ZS"/>
    <x v="32"/>
    <n v="100"/>
    <x v="0"/>
  </r>
  <r>
    <x v="16"/>
    <s v="EST"/>
    <x v="0"/>
    <s v="EG.ELC.ACCS.ZS"/>
    <x v="33"/>
    <n v="100"/>
    <x v="0"/>
  </r>
  <r>
    <x v="17"/>
    <s v="FIN"/>
    <x v="0"/>
    <s v="EG.ELC.ACCS.ZS"/>
    <x v="0"/>
    <n v="100"/>
    <x v="0"/>
  </r>
  <r>
    <x v="17"/>
    <s v="FIN"/>
    <x v="0"/>
    <s v="EG.ELC.ACCS.ZS"/>
    <x v="1"/>
    <n v="100"/>
    <x v="0"/>
  </r>
  <r>
    <x v="17"/>
    <s v="FIN"/>
    <x v="0"/>
    <s v="EG.ELC.ACCS.ZS"/>
    <x v="2"/>
    <n v="100"/>
    <x v="0"/>
  </r>
  <r>
    <x v="17"/>
    <s v="FIN"/>
    <x v="0"/>
    <s v="EG.ELC.ACCS.ZS"/>
    <x v="3"/>
    <n v="100"/>
    <x v="0"/>
  </r>
  <r>
    <x v="17"/>
    <s v="FIN"/>
    <x v="0"/>
    <s v="EG.ELC.ACCS.ZS"/>
    <x v="4"/>
    <n v="100"/>
    <x v="0"/>
  </r>
  <r>
    <x v="17"/>
    <s v="FIN"/>
    <x v="0"/>
    <s v="EG.ELC.ACCS.ZS"/>
    <x v="5"/>
    <n v="100"/>
    <x v="0"/>
  </r>
  <r>
    <x v="17"/>
    <s v="FIN"/>
    <x v="0"/>
    <s v="EG.ELC.ACCS.ZS"/>
    <x v="6"/>
    <n v="100"/>
    <x v="0"/>
  </r>
  <r>
    <x v="17"/>
    <s v="FIN"/>
    <x v="0"/>
    <s v="EG.ELC.ACCS.ZS"/>
    <x v="7"/>
    <n v="100"/>
    <x v="1"/>
  </r>
  <r>
    <x v="17"/>
    <s v="FIN"/>
    <x v="0"/>
    <s v="EG.ELC.ACCS.ZS"/>
    <x v="8"/>
    <n v="100"/>
    <x v="1"/>
  </r>
  <r>
    <x v="17"/>
    <s v="FIN"/>
    <x v="0"/>
    <s v="EG.ELC.ACCS.ZS"/>
    <x v="9"/>
    <n v="100"/>
    <x v="1"/>
  </r>
  <r>
    <x v="17"/>
    <s v="FIN"/>
    <x v="0"/>
    <s v="EG.ELC.ACCS.ZS"/>
    <x v="10"/>
    <n v="100"/>
    <x v="1"/>
  </r>
  <r>
    <x v="17"/>
    <s v="FIN"/>
    <x v="0"/>
    <s v="EG.ELC.ACCS.ZS"/>
    <x v="11"/>
    <n v="100"/>
    <x v="1"/>
  </r>
  <r>
    <x v="17"/>
    <s v="FIN"/>
    <x v="0"/>
    <s v="EG.ELC.ACCS.ZS"/>
    <x v="12"/>
    <n v="100"/>
    <x v="1"/>
  </r>
  <r>
    <x v="17"/>
    <s v="FIN"/>
    <x v="0"/>
    <s v="EG.ELC.ACCS.ZS"/>
    <x v="13"/>
    <n v="100"/>
    <x v="1"/>
  </r>
  <r>
    <x v="17"/>
    <s v="FIN"/>
    <x v="0"/>
    <s v="EG.ELC.ACCS.ZS"/>
    <x v="14"/>
    <n v="100"/>
    <x v="1"/>
  </r>
  <r>
    <x v="17"/>
    <s v="FIN"/>
    <x v="0"/>
    <s v="EG.ELC.ACCS.ZS"/>
    <x v="15"/>
    <n v="100"/>
    <x v="1"/>
  </r>
  <r>
    <x v="17"/>
    <s v="FIN"/>
    <x v="0"/>
    <s v="EG.ELC.ACCS.ZS"/>
    <x v="16"/>
    <n v="100"/>
    <x v="1"/>
  </r>
  <r>
    <x v="17"/>
    <s v="FIN"/>
    <x v="0"/>
    <s v="EG.ELC.ACCS.ZS"/>
    <x v="17"/>
    <n v="100"/>
    <x v="2"/>
  </r>
  <r>
    <x v="17"/>
    <s v="FIN"/>
    <x v="0"/>
    <s v="EG.ELC.ACCS.ZS"/>
    <x v="18"/>
    <n v="100"/>
    <x v="2"/>
  </r>
  <r>
    <x v="17"/>
    <s v="FIN"/>
    <x v="0"/>
    <s v="EG.ELC.ACCS.ZS"/>
    <x v="19"/>
    <n v="100"/>
    <x v="2"/>
  </r>
  <r>
    <x v="17"/>
    <s v="FIN"/>
    <x v="0"/>
    <s v="EG.ELC.ACCS.ZS"/>
    <x v="20"/>
    <n v="100"/>
    <x v="2"/>
  </r>
  <r>
    <x v="17"/>
    <s v="FIN"/>
    <x v="0"/>
    <s v="EG.ELC.ACCS.ZS"/>
    <x v="21"/>
    <n v="100"/>
    <x v="2"/>
  </r>
  <r>
    <x v="17"/>
    <s v="FIN"/>
    <x v="0"/>
    <s v="EG.ELC.ACCS.ZS"/>
    <x v="22"/>
    <n v="100"/>
    <x v="2"/>
  </r>
  <r>
    <x v="17"/>
    <s v="FIN"/>
    <x v="0"/>
    <s v="EG.ELC.ACCS.ZS"/>
    <x v="23"/>
    <n v="100"/>
    <x v="2"/>
  </r>
  <r>
    <x v="17"/>
    <s v="FIN"/>
    <x v="0"/>
    <s v="EG.ELC.ACCS.ZS"/>
    <x v="24"/>
    <n v="100"/>
    <x v="2"/>
  </r>
  <r>
    <x v="17"/>
    <s v="FIN"/>
    <x v="0"/>
    <s v="EG.ELC.ACCS.ZS"/>
    <x v="25"/>
    <n v="100"/>
    <x v="2"/>
  </r>
  <r>
    <x v="17"/>
    <s v="FIN"/>
    <x v="0"/>
    <s v="EG.ELC.ACCS.ZS"/>
    <x v="26"/>
    <n v="100"/>
    <x v="2"/>
  </r>
  <r>
    <x v="17"/>
    <s v="FIN"/>
    <x v="0"/>
    <s v="EG.ELC.ACCS.ZS"/>
    <x v="27"/>
    <n v="100"/>
    <x v="3"/>
  </r>
  <r>
    <x v="17"/>
    <s v="FIN"/>
    <x v="0"/>
    <s v="EG.ELC.ACCS.ZS"/>
    <x v="28"/>
    <n v="100"/>
    <x v="3"/>
  </r>
  <r>
    <x v="17"/>
    <s v="FIN"/>
    <x v="0"/>
    <s v="EG.ELC.ACCS.ZS"/>
    <x v="29"/>
    <n v="100"/>
    <x v="3"/>
  </r>
  <r>
    <x v="17"/>
    <s v="FIN"/>
    <x v="0"/>
    <s v="EG.ELC.ACCS.ZS"/>
    <x v="30"/>
    <n v="100"/>
    <x v="3"/>
  </r>
  <r>
    <x v="17"/>
    <s v="FIN"/>
    <x v="0"/>
    <s v="EG.ELC.ACCS.ZS"/>
    <x v="31"/>
    <n v="100"/>
    <x v="0"/>
  </r>
  <r>
    <x v="17"/>
    <s v="FIN"/>
    <x v="0"/>
    <s v="EG.ELC.ACCS.ZS"/>
    <x v="32"/>
    <n v="100"/>
    <x v="0"/>
  </r>
  <r>
    <x v="17"/>
    <s v="FIN"/>
    <x v="0"/>
    <s v="EG.ELC.ACCS.ZS"/>
    <x v="33"/>
    <n v="100"/>
    <x v="0"/>
  </r>
  <r>
    <x v="18"/>
    <s v="FRA"/>
    <x v="0"/>
    <s v="EG.ELC.ACCS.ZS"/>
    <x v="0"/>
    <n v="100"/>
    <x v="0"/>
  </r>
  <r>
    <x v="18"/>
    <s v="FRA"/>
    <x v="0"/>
    <s v="EG.ELC.ACCS.ZS"/>
    <x v="1"/>
    <n v="100"/>
    <x v="0"/>
  </r>
  <r>
    <x v="18"/>
    <s v="FRA"/>
    <x v="0"/>
    <s v="EG.ELC.ACCS.ZS"/>
    <x v="2"/>
    <n v="100"/>
    <x v="0"/>
  </r>
  <r>
    <x v="18"/>
    <s v="FRA"/>
    <x v="0"/>
    <s v="EG.ELC.ACCS.ZS"/>
    <x v="3"/>
    <n v="100"/>
    <x v="0"/>
  </r>
  <r>
    <x v="18"/>
    <s v="FRA"/>
    <x v="0"/>
    <s v="EG.ELC.ACCS.ZS"/>
    <x v="4"/>
    <n v="100"/>
    <x v="0"/>
  </r>
  <r>
    <x v="18"/>
    <s v="FRA"/>
    <x v="0"/>
    <s v="EG.ELC.ACCS.ZS"/>
    <x v="5"/>
    <n v="100"/>
    <x v="0"/>
  </r>
  <r>
    <x v="18"/>
    <s v="FRA"/>
    <x v="0"/>
    <s v="EG.ELC.ACCS.ZS"/>
    <x v="6"/>
    <n v="100"/>
    <x v="0"/>
  </r>
  <r>
    <x v="18"/>
    <s v="FRA"/>
    <x v="0"/>
    <s v="EG.ELC.ACCS.ZS"/>
    <x v="7"/>
    <n v="100"/>
    <x v="1"/>
  </r>
  <r>
    <x v="18"/>
    <s v="FRA"/>
    <x v="0"/>
    <s v="EG.ELC.ACCS.ZS"/>
    <x v="8"/>
    <n v="100"/>
    <x v="1"/>
  </r>
  <r>
    <x v="18"/>
    <s v="FRA"/>
    <x v="0"/>
    <s v="EG.ELC.ACCS.ZS"/>
    <x v="9"/>
    <n v="100"/>
    <x v="1"/>
  </r>
  <r>
    <x v="18"/>
    <s v="FRA"/>
    <x v="0"/>
    <s v="EG.ELC.ACCS.ZS"/>
    <x v="10"/>
    <n v="100"/>
    <x v="1"/>
  </r>
  <r>
    <x v="18"/>
    <s v="FRA"/>
    <x v="0"/>
    <s v="EG.ELC.ACCS.ZS"/>
    <x v="11"/>
    <n v="100"/>
    <x v="1"/>
  </r>
  <r>
    <x v="18"/>
    <s v="FRA"/>
    <x v="0"/>
    <s v="EG.ELC.ACCS.ZS"/>
    <x v="12"/>
    <n v="100"/>
    <x v="1"/>
  </r>
  <r>
    <x v="18"/>
    <s v="FRA"/>
    <x v="0"/>
    <s v="EG.ELC.ACCS.ZS"/>
    <x v="13"/>
    <n v="100"/>
    <x v="1"/>
  </r>
  <r>
    <x v="18"/>
    <s v="FRA"/>
    <x v="0"/>
    <s v="EG.ELC.ACCS.ZS"/>
    <x v="14"/>
    <n v="100"/>
    <x v="1"/>
  </r>
  <r>
    <x v="18"/>
    <s v="FRA"/>
    <x v="0"/>
    <s v="EG.ELC.ACCS.ZS"/>
    <x v="15"/>
    <n v="100"/>
    <x v="1"/>
  </r>
  <r>
    <x v="18"/>
    <s v="FRA"/>
    <x v="0"/>
    <s v="EG.ELC.ACCS.ZS"/>
    <x v="16"/>
    <n v="100"/>
    <x v="1"/>
  </r>
  <r>
    <x v="18"/>
    <s v="FRA"/>
    <x v="0"/>
    <s v="EG.ELC.ACCS.ZS"/>
    <x v="17"/>
    <n v="100"/>
    <x v="2"/>
  </r>
  <r>
    <x v="18"/>
    <s v="FRA"/>
    <x v="0"/>
    <s v="EG.ELC.ACCS.ZS"/>
    <x v="18"/>
    <n v="100"/>
    <x v="2"/>
  </r>
  <r>
    <x v="18"/>
    <s v="FRA"/>
    <x v="0"/>
    <s v="EG.ELC.ACCS.ZS"/>
    <x v="19"/>
    <n v="100"/>
    <x v="2"/>
  </r>
  <r>
    <x v="18"/>
    <s v="FRA"/>
    <x v="0"/>
    <s v="EG.ELC.ACCS.ZS"/>
    <x v="20"/>
    <n v="100"/>
    <x v="2"/>
  </r>
  <r>
    <x v="18"/>
    <s v="FRA"/>
    <x v="0"/>
    <s v="EG.ELC.ACCS.ZS"/>
    <x v="21"/>
    <n v="100"/>
    <x v="2"/>
  </r>
  <r>
    <x v="18"/>
    <s v="FRA"/>
    <x v="0"/>
    <s v="EG.ELC.ACCS.ZS"/>
    <x v="22"/>
    <n v="100"/>
    <x v="2"/>
  </r>
  <r>
    <x v="18"/>
    <s v="FRA"/>
    <x v="0"/>
    <s v="EG.ELC.ACCS.ZS"/>
    <x v="23"/>
    <n v="100"/>
    <x v="2"/>
  </r>
  <r>
    <x v="18"/>
    <s v="FRA"/>
    <x v="0"/>
    <s v="EG.ELC.ACCS.ZS"/>
    <x v="24"/>
    <n v="100"/>
    <x v="2"/>
  </r>
  <r>
    <x v="18"/>
    <s v="FRA"/>
    <x v="0"/>
    <s v="EG.ELC.ACCS.ZS"/>
    <x v="25"/>
    <n v="100"/>
    <x v="2"/>
  </r>
  <r>
    <x v="18"/>
    <s v="FRA"/>
    <x v="0"/>
    <s v="EG.ELC.ACCS.ZS"/>
    <x v="26"/>
    <n v="100"/>
    <x v="2"/>
  </r>
  <r>
    <x v="18"/>
    <s v="FRA"/>
    <x v="0"/>
    <s v="EG.ELC.ACCS.ZS"/>
    <x v="27"/>
    <n v="100"/>
    <x v="3"/>
  </r>
  <r>
    <x v="18"/>
    <s v="FRA"/>
    <x v="0"/>
    <s v="EG.ELC.ACCS.ZS"/>
    <x v="28"/>
    <n v="100"/>
    <x v="3"/>
  </r>
  <r>
    <x v="18"/>
    <s v="FRA"/>
    <x v="0"/>
    <s v="EG.ELC.ACCS.ZS"/>
    <x v="29"/>
    <n v="100"/>
    <x v="3"/>
  </r>
  <r>
    <x v="18"/>
    <s v="FRA"/>
    <x v="0"/>
    <s v="EG.ELC.ACCS.ZS"/>
    <x v="30"/>
    <n v="100"/>
    <x v="3"/>
  </r>
  <r>
    <x v="18"/>
    <s v="FRA"/>
    <x v="0"/>
    <s v="EG.ELC.ACCS.ZS"/>
    <x v="31"/>
    <n v="100"/>
    <x v="0"/>
  </r>
  <r>
    <x v="18"/>
    <s v="FRA"/>
    <x v="0"/>
    <s v="EG.ELC.ACCS.ZS"/>
    <x v="32"/>
    <n v="100"/>
    <x v="0"/>
  </r>
  <r>
    <x v="18"/>
    <s v="FRA"/>
    <x v="0"/>
    <s v="EG.ELC.ACCS.ZS"/>
    <x v="33"/>
    <n v="100"/>
    <x v="0"/>
  </r>
  <r>
    <x v="19"/>
    <s v="FRO"/>
    <x v="0"/>
    <s v="EG.ELC.ACCS.ZS"/>
    <x v="0"/>
    <n v="100"/>
    <x v="0"/>
  </r>
  <r>
    <x v="19"/>
    <s v="FRO"/>
    <x v="0"/>
    <s v="EG.ELC.ACCS.ZS"/>
    <x v="1"/>
    <n v="100"/>
    <x v="0"/>
  </r>
  <r>
    <x v="19"/>
    <s v="FRO"/>
    <x v="0"/>
    <s v="EG.ELC.ACCS.ZS"/>
    <x v="2"/>
    <n v="100"/>
    <x v="0"/>
  </r>
  <r>
    <x v="19"/>
    <s v="FRO"/>
    <x v="0"/>
    <s v="EG.ELC.ACCS.ZS"/>
    <x v="3"/>
    <n v="100"/>
    <x v="0"/>
  </r>
  <r>
    <x v="19"/>
    <s v="FRO"/>
    <x v="0"/>
    <s v="EG.ELC.ACCS.ZS"/>
    <x v="4"/>
    <n v="100"/>
    <x v="0"/>
  </r>
  <r>
    <x v="19"/>
    <s v="FRO"/>
    <x v="0"/>
    <s v="EG.ELC.ACCS.ZS"/>
    <x v="5"/>
    <n v="100"/>
    <x v="0"/>
  </r>
  <r>
    <x v="19"/>
    <s v="FRO"/>
    <x v="0"/>
    <s v="EG.ELC.ACCS.ZS"/>
    <x v="6"/>
    <n v="100"/>
    <x v="0"/>
  </r>
  <r>
    <x v="19"/>
    <s v="FRO"/>
    <x v="0"/>
    <s v="EG.ELC.ACCS.ZS"/>
    <x v="7"/>
    <n v="100"/>
    <x v="1"/>
  </r>
  <r>
    <x v="19"/>
    <s v="FRO"/>
    <x v="0"/>
    <s v="EG.ELC.ACCS.ZS"/>
    <x v="8"/>
    <n v="100"/>
    <x v="1"/>
  </r>
  <r>
    <x v="19"/>
    <s v="FRO"/>
    <x v="0"/>
    <s v="EG.ELC.ACCS.ZS"/>
    <x v="9"/>
    <n v="100"/>
    <x v="1"/>
  </r>
  <r>
    <x v="19"/>
    <s v="FRO"/>
    <x v="0"/>
    <s v="EG.ELC.ACCS.ZS"/>
    <x v="10"/>
    <n v="100"/>
    <x v="1"/>
  </r>
  <r>
    <x v="19"/>
    <s v="FRO"/>
    <x v="0"/>
    <s v="EG.ELC.ACCS.ZS"/>
    <x v="11"/>
    <n v="100"/>
    <x v="1"/>
  </r>
  <r>
    <x v="19"/>
    <s v="FRO"/>
    <x v="0"/>
    <s v="EG.ELC.ACCS.ZS"/>
    <x v="12"/>
    <n v="100"/>
    <x v="1"/>
  </r>
  <r>
    <x v="19"/>
    <s v="FRO"/>
    <x v="0"/>
    <s v="EG.ELC.ACCS.ZS"/>
    <x v="13"/>
    <n v="100"/>
    <x v="1"/>
  </r>
  <r>
    <x v="19"/>
    <s v="FRO"/>
    <x v="0"/>
    <s v="EG.ELC.ACCS.ZS"/>
    <x v="14"/>
    <n v="100"/>
    <x v="1"/>
  </r>
  <r>
    <x v="19"/>
    <s v="FRO"/>
    <x v="0"/>
    <s v="EG.ELC.ACCS.ZS"/>
    <x v="15"/>
    <n v="100"/>
    <x v="1"/>
  </r>
  <r>
    <x v="19"/>
    <s v="FRO"/>
    <x v="0"/>
    <s v="EG.ELC.ACCS.ZS"/>
    <x v="16"/>
    <n v="100"/>
    <x v="1"/>
  </r>
  <r>
    <x v="19"/>
    <s v="FRO"/>
    <x v="0"/>
    <s v="EG.ELC.ACCS.ZS"/>
    <x v="17"/>
    <n v="100"/>
    <x v="2"/>
  </r>
  <r>
    <x v="19"/>
    <s v="FRO"/>
    <x v="0"/>
    <s v="EG.ELC.ACCS.ZS"/>
    <x v="18"/>
    <n v="100"/>
    <x v="2"/>
  </r>
  <r>
    <x v="19"/>
    <s v="FRO"/>
    <x v="0"/>
    <s v="EG.ELC.ACCS.ZS"/>
    <x v="19"/>
    <n v="100"/>
    <x v="2"/>
  </r>
  <r>
    <x v="19"/>
    <s v="FRO"/>
    <x v="0"/>
    <s v="EG.ELC.ACCS.ZS"/>
    <x v="20"/>
    <n v="100"/>
    <x v="2"/>
  </r>
  <r>
    <x v="19"/>
    <s v="FRO"/>
    <x v="0"/>
    <s v="EG.ELC.ACCS.ZS"/>
    <x v="21"/>
    <n v="100"/>
    <x v="2"/>
  </r>
  <r>
    <x v="19"/>
    <s v="FRO"/>
    <x v="0"/>
    <s v="EG.ELC.ACCS.ZS"/>
    <x v="22"/>
    <n v="100"/>
    <x v="2"/>
  </r>
  <r>
    <x v="19"/>
    <s v="FRO"/>
    <x v="0"/>
    <s v="EG.ELC.ACCS.ZS"/>
    <x v="23"/>
    <n v="100"/>
    <x v="2"/>
  </r>
  <r>
    <x v="19"/>
    <s v="FRO"/>
    <x v="0"/>
    <s v="EG.ELC.ACCS.ZS"/>
    <x v="24"/>
    <n v="100"/>
    <x v="2"/>
  </r>
  <r>
    <x v="19"/>
    <s v="FRO"/>
    <x v="0"/>
    <s v="EG.ELC.ACCS.ZS"/>
    <x v="25"/>
    <n v="100"/>
    <x v="2"/>
  </r>
  <r>
    <x v="19"/>
    <s v="FRO"/>
    <x v="0"/>
    <s v="EG.ELC.ACCS.ZS"/>
    <x v="26"/>
    <n v="100"/>
    <x v="2"/>
  </r>
  <r>
    <x v="19"/>
    <s v="FRO"/>
    <x v="0"/>
    <s v="EG.ELC.ACCS.ZS"/>
    <x v="27"/>
    <n v="100"/>
    <x v="3"/>
  </r>
  <r>
    <x v="19"/>
    <s v="FRO"/>
    <x v="0"/>
    <s v="EG.ELC.ACCS.ZS"/>
    <x v="28"/>
    <n v="100"/>
    <x v="3"/>
  </r>
  <r>
    <x v="19"/>
    <s v="FRO"/>
    <x v="0"/>
    <s v="EG.ELC.ACCS.ZS"/>
    <x v="29"/>
    <n v="100"/>
    <x v="3"/>
  </r>
  <r>
    <x v="19"/>
    <s v="FRO"/>
    <x v="0"/>
    <s v="EG.ELC.ACCS.ZS"/>
    <x v="30"/>
    <n v="100"/>
    <x v="3"/>
  </r>
  <r>
    <x v="19"/>
    <s v="FRO"/>
    <x v="0"/>
    <s v="EG.ELC.ACCS.ZS"/>
    <x v="31"/>
    <n v="100"/>
    <x v="0"/>
  </r>
  <r>
    <x v="19"/>
    <s v="FRO"/>
    <x v="0"/>
    <s v="EG.ELC.ACCS.ZS"/>
    <x v="32"/>
    <n v="100"/>
    <x v="0"/>
  </r>
  <r>
    <x v="19"/>
    <s v="FRO"/>
    <x v="0"/>
    <s v="EG.ELC.ACCS.ZS"/>
    <x v="33"/>
    <n v="100"/>
    <x v="0"/>
  </r>
  <r>
    <x v="20"/>
    <s v="GBR"/>
    <x v="0"/>
    <s v="EG.ELC.ACCS.ZS"/>
    <x v="0"/>
    <n v="100"/>
    <x v="0"/>
  </r>
  <r>
    <x v="20"/>
    <s v="GBR"/>
    <x v="0"/>
    <s v="EG.ELC.ACCS.ZS"/>
    <x v="1"/>
    <n v="100"/>
    <x v="0"/>
  </r>
  <r>
    <x v="20"/>
    <s v="GBR"/>
    <x v="0"/>
    <s v="EG.ELC.ACCS.ZS"/>
    <x v="2"/>
    <n v="100"/>
    <x v="0"/>
  </r>
  <r>
    <x v="20"/>
    <s v="GBR"/>
    <x v="0"/>
    <s v="EG.ELC.ACCS.ZS"/>
    <x v="3"/>
    <n v="100"/>
    <x v="0"/>
  </r>
  <r>
    <x v="20"/>
    <s v="GBR"/>
    <x v="0"/>
    <s v="EG.ELC.ACCS.ZS"/>
    <x v="4"/>
    <n v="100"/>
    <x v="0"/>
  </r>
  <r>
    <x v="20"/>
    <s v="GBR"/>
    <x v="0"/>
    <s v="EG.ELC.ACCS.ZS"/>
    <x v="5"/>
    <n v="100"/>
    <x v="0"/>
  </r>
  <r>
    <x v="20"/>
    <s v="GBR"/>
    <x v="0"/>
    <s v="EG.ELC.ACCS.ZS"/>
    <x v="6"/>
    <n v="100"/>
    <x v="0"/>
  </r>
  <r>
    <x v="20"/>
    <s v="GBR"/>
    <x v="0"/>
    <s v="EG.ELC.ACCS.ZS"/>
    <x v="7"/>
    <n v="100"/>
    <x v="1"/>
  </r>
  <r>
    <x v="20"/>
    <s v="GBR"/>
    <x v="0"/>
    <s v="EG.ELC.ACCS.ZS"/>
    <x v="8"/>
    <n v="100"/>
    <x v="1"/>
  </r>
  <r>
    <x v="20"/>
    <s v="GBR"/>
    <x v="0"/>
    <s v="EG.ELC.ACCS.ZS"/>
    <x v="9"/>
    <n v="100"/>
    <x v="1"/>
  </r>
  <r>
    <x v="20"/>
    <s v="GBR"/>
    <x v="0"/>
    <s v="EG.ELC.ACCS.ZS"/>
    <x v="10"/>
    <n v="100"/>
    <x v="1"/>
  </r>
  <r>
    <x v="20"/>
    <s v="GBR"/>
    <x v="0"/>
    <s v="EG.ELC.ACCS.ZS"/>
    <x v="11"/>
    <n v="100"/>
    <x v="1"/>
  </r>
  <r>
    <x v="20"/>
    <s v="GBR"/>
    <x v="0"/>
    <s v="EG.ELC.ACCS.ZS"/>
    <x v="12"/>
    <n v="100"/>
    <x v="1"/>
  </r>
  <r>
    <x v="20"/>
    <s v="GBR"/>
    <x v="0"/>
    <s v="EG.ELC.ACCS.ZS"/>
    <x v="13"/>
    <n v="100"/>
    <x v="1"/>
  </r>
  <r>
    <x v="20"/>
    <s v="GBR"/>
    <x v="0"/>
    <s v="EG.ELC.ACCS.ZS"/>
    <x v="14"/>
    <n v="100"/>
    <x v="1"/>
  </r>
  <r>
    <x v="20"/>
    <s v="GBR"/>
    <x v="0"/>
    <s v="EG.ELC.ACCS.ZS"/>
    <x v="15"/>
    <n v="100"/>
    <x v="1"/>
  </r>
  <r>
    <x v="20"/>
    <s v="GBR"/>
    <x v="0"/>
    <s v="EG.ELC.ACCS.ZS"/>
    <x v="16"/>
    <n v="100"/>
    <x v="1"/>
  </r>
  <r>
    <x v="20"/>
    <s v="GBR"/>
    <x v="0"/>
    <s v="EG.ELC.ACCS.ZS"/>
    <x v="17"/>
    <n v="100"/>
    <x v="2"/>
  </r>
  <r>
    <x v="20"/>
    <s v="GBR"/>
    <x v="0"/>
    <s v="EG.ELC.ACCS.ZS"/>
    <x v="18"/>
    <n v="100"/>
    <x v="2"/>
  </r>
  <r>
    <x v="20"/>
    <s v="GBR"/>
    <x v="0"/>
    <s v="EG.ELC.ACCS.ZS"/>
    <x v="19"/>
    <n v="100"/>
    <x v="2"/>
  </r>
  <r>
    <x v="20"/>
    <s v="GBR"/>
    <x v="0"/>
    <s v="EG.ELC.ACCS.ZS"/>
    <x v="20"/>
    <n v="100"/>
    <x v="2"/>
  </r>
  <r>
    <x v="20"/>
    <s v="GBR"/>
    <x v="0"/>
    <s v="EG.ELC.ACCS.ZS"/>
    <x v="21"/>
    <n v="100"/>
    <x v="2"/>
  </r>
  <r>
    <x v="20"/>
    <s v="GBR"/>
    <x v="0"/>
    <s v="EG.ELC.ACCS.ZS"/>
    <x v="22"/>
    <n v="100"/>
    <x v="2"/>
  </r>
  <r>
    <x v="20"/>
    <s v="GBR"/>
    <x v="0"/>
    <s v="EG.ELC.ACCS.ZS"/>
    <x v="23"/>
    <n v="100"/>
    <x v="2"/>
  </r>
  <r>
    <x v="20"/>
    <s v="GBR"/>
    <x v="0"/>
    <s v="EG.ELC.ACCS.ZS"/>
    <x v="24"/>
    <n v="100"/>
    <x v="2"/>
  </r>
  <r>
    <x v="20"/>
    <s v="GBR"/>
    <x v="0"/>
    <s v="EG.ELC.ACCS.ZS"/>
    <x v="25"/>
    <n v="100"/>
    <x v="2"/>
  </r>
  <r>
    <x v="20"/>
    <s v="GBR"/>
    <x v="0"/>
    <s v="EG.ELC.ACCS.ZS"/>
    <x v="26"/>
    <n v="100"/>
    <x v="2"/>
  </r>
  <r>
    <x v="20"/>
    <s v="GBR"/>
    <x v="0"/>
    <s v="EG.ELC.ACCS.ZS"/>
    <x v="27"/>
    <n v="100"/>
    <x v="3"/>
  </r>
  <r>
    <x v="20"/>
    <s v="GBR"/>
    <x v="0"/>
    <s v="EG.ELC.ACCS.ZS"/>
    <x v="28"/>
    <n v="100"/>
    <x v="3"/>
  </r>
  <r>
    <x v="20"/>
    <s v="GBR"/>
    <x v="0"/>
    <s v="EG.ELC.ACCS.ZS"/>
    <x v="29"/>
    <n v="100"/>
    <x v="3"/>
  </r>
  <r>
    <x v="20"/>
    <s v="GBR"/>
    <x v="0"/>
    <s v="EG.ELC.ACCS.ZS"/>
    <x v="30"/>
    <n v="100"/>
    <x v="3"/>
  </r>
  <r>
    <x v="20"/>
    <s v="GBR"/>
    <x v="0"/>
    <s v="EG.ELC.ACCS.ZS"/>
    <x v="31"/>
    <n v="100"/>
    <x v="1"/>
  </r>
  <r>
    <x v="20"/>
    <s v="GBR"/>
    <x v="0"/>
    <s v="EG.ELC.ACCS.ZS"/>
    <x v="32"/>
    <n v="100"/>
    <x v="1"/>
  </r>
  <r>
    <x v="20"/>
    <s v="GBR"/>
    <x v="0"/>
    <s v="EG.ELC.ACCS.ZS"/>
    <x v="33"/>
    <n v="100"/>
    <x v="1"/>
  </r>
  <r>
    <x v="21"/>
    <s v="GEO"/>
    <x v="0"/>
    <s v="EG.ELC.ACCS.ZS"/>
    <x v="10"/>
    <n v="100"/>
    <x v="1"/>
  </r>
  <r>
    <x v="21"/>
    <s v="GEO"/>
    <x v="0"/>
    <s v="EG.ELC.ACCS.ZS"/>
    <x v="11"/>
    <n v="100"/>
    <x v="1"/>
  </r>
  <r>
    <x v="21"/>
    <s v="GEO"/>
    <x v="0"/>
    <s v="EG.ELC.ACCS.ZS"/>
    <x v="12"/>
    <n v="100"/>
    <x v="1"/>
  </r>
  <r>
    <x v="21"/>
    <s v="GEO"/>
    <x v="0"/>
    <s v="EG.ELC.ACCS.ZS"/>
    <x v="13"/>
    <n v="100"/>
    <x v="1"/>
  </r>
  <r>
    <x v="21"/>
    <s v="GEO"/>
    <x v="0"/>
    <s v="EG.ELC.ACCS.ZS"/>
    <x v="14"/>
    <n v="100"/>
    <x v="1"/>
  </r>
  <r>
    <x v="21"/>
    <s v="GEO"/>
    <x v="0"/>
    <s v="EG.ELC.ACCS.ZS"/>
    <x v="15"/>
    <n v="98"/>
    <x v="1"/>
  </r>
  <r>
    <x v="21"/>
    <s v="GEO"/>
    <x v="0"/>
    <s v="EG.ELC.ACCS.ZS"/>
    <x v="16"/>
    <n v="100"/>
    <x v="1"/>
  </r>
  <r>
    <x v="21"/>
    <s v="GEO"/>
    <x v="0"/>
    <s v="EG.ELC.ACCS.ZS"/>
    <x v="17"/>
    <n v="100"/>
    <x v="2"/>
  </r>
  <r>
    <x v="21"/>
    <s v="GEO"/>
    <x v="0"/>
    <s v="EG.ELC.ACCS.ZS"/>
    <x v="18"/>
    <n v="100"/>
    <x v="2"/>
  </r>
  <r>
    <x v="21"/>
    <s v="GEO"/>
    <x v="0"/>
    <s v="EG.ELC.ACCS.ZS"/>
    <x v="19"/>
    <n v="100"/>
    <x v="2"/>
  </r>
  <r>
    <x v="21"/>
    <s v="GEO"/>
    <x v="0"/>
    <s v="EG.ELC.ACCS.ZS"/>
    <x v="20"/>
    <n v="100"/>
    <x v="2"/>
  </r>
  <r>
    <x v="21"/>
    <s v="GEO"/>
    <x v="0"/>
    <s v="EG.ELC.ACCS.ZS"/>
    <x v="21"/>
    <n v="100"/>
    <x v="2"/>
  </r>
  <r>
    <x v="21"/>
    <s v="GEO"/>
    <x v="0"/>
    <s v="EG.ELC.ACCS.ZS"/>
    <x v="22"/>
    <n v="100"/>
    <x v="2"/>
  </r>
  <r>
    <x v="21"/>
    <s v="GEO"/>
    <x v="0"/>
    <s v="EG.ELC.ACCS.ZS"/>
    <x v="23"/>
    <n v="100"/>
    <x v="2"/>
  </r>
  <r>
    <x v="21"/>
    <s v="GEO"/>
    <x v="0"/>
    <s v="EG.ELC.ACCS.ZS"/>
    <x v="24"/>
    <n v="100"/>
    <x v="2"/>
  </r>
  <r>
    <x v="21"/>
    <s v="GEO"/>
    <x v="0"/>
    <s v="EG.ELC.ACCS.ZS"/>
    <x v="25"/>
    <n v="100"/>
    <x v="2"/>
  </r>
  <r>
    <x v="21"/>
    <s v="GEO"/>
    <x v="0"/>
    <s v="EG.ELC.ACCS.ZS"/>
    <x v="26"/>
    <n v="100"/>
    <x v="2"/>
  </r>
  <r>
    <x v="21"/>
    <s v="GEO"/>
    <x v="0"/>
    <s v="EG.ELC.ACCS.ZS"/>
    <x v="27"/>
    <n v="100"/>
    <x v="3"/>
  </r>
  <r>
    <x v="21"/>
    <s v="GEO"/>
    <x v="0"/>
    <s v="EG.ELC.ACCS.ZS"/>
    <x v="28"/>
    <n v="100"/>
    <x v="3"/>
  </r>
  <r>
    <x v="21"/>
    <s v="GEO"/>
    <x v="0"/>
    <s v="EG.ELC.ACCS.ZS"/>
    <x v="29"/>
    <n v="100"/>
    <x v="3"/>
  </r>
  <r>
    <x v="21"/>
    <s v="GEO"/>
    <x v="0"/>
    <s v="EG.ELC.ACCS.ZS"/>
    <x v="30"/>
    <n v="100"/>
    <x v="3"/>
  </r>
  <r>
    <x v="21"/>
    <s v="GEO"/>
    <x v="0"/>
    <s v="EG.ELC.ACCS.ZS"/>
    <x v="31"/>
    <n v="100"/>
    <x v="0"/>
  </r>
  <r>
    <x v="21"/>
    <s v="GEO"/>
    <x v="0"/>
    <s v="EG.ELC.ACCS.ZS"/>
    <x v="32"/>
    <n v="100"/>
    <x v="0"/>
  </r>
  <r>
    <x v="21"/>
    <s v="GEO"/>
    <x v="0"/>
    <s v="EG.ELC.ACCS.ZS"/>
    <x v="33"/>
    <n v="100"/>
    <x v="0"/>
  </r>
  <r>
    <x v="22"/>
    <s v="GIB"/>
    <x v="0"/>
    <s v="EG.ELC.ACCS.ZS"/>
    <x v="0"/>
    <n v="100"/>
    <x v="0"/>
  </r>
  <r>
    <x v="22"/>
    <s v="GIB"/>
    <x v="0"/>
    <s v="EG.ELC.ACCS.ZS"/>
    <x v="1"/>
    <n v="100"/>
    <x v="0"/>
  </r>
  <r>
    <x v="22"/>
    <s v="GIB"/>
    <x v="0"/>
    <s v="EG.ELC.ACCS.ZS"/>
    <x v="2"/>
    <n v="100"/>
    <x v="0"/>
  </r>
  <r>
    <x v="22"/>
    <s v="GIB"/>
    <x v="0"/>
    <s v="EG.ELC.ACCS.ZS"/>
    <x v="3"/>
    <n v="100"/>
    <x v="0"/>
  </r>
  <r>
    <x v="22"/>
    <s v="GIB"/>
    <x v="0"/>
    <s v="EG.ELC.ACCS.ZS"/>
    <x v="4"/>
    <n v="100"/>
    <x v="0"/>
  </r>
  <r>
    <x v="22"/>
    <s v="GIB"/>
    <x v="0"/>
    <s v="EG.ELC.ACCS.ZS"/>
    <x v="5"/>
    <n v="100"/>
    <x v="0"/>
  </r>
  <r>
    <x v="22"/>
    <s v="GIB"/>
    <x v="0"/>
    <s v="EG.ELC.ACCS.ZS"/>
    <x v="6"/>
    <n v="100"/>
    <x v="0"/>
  </r>
  <r>
    <x v="22"/>
    <s v="GIB"/>
    <x v="0"/>
    <s v="EG.ELC.ACCS.ZS"/>
    <x v="7"/>
    <n v="100"/>
    <x v="1"/>
  </r>
  <r>
    <x v="22"/>
    <s v="GIB"/>
    <x v="0"/>
    <s v="EG.ELC.ACCS.ZS"/>
    <x v="8"/>
    <n v="100"/>
    <x v="1"/>
  </r>
  <r>
    <x v="22"/>
    <s v="GIB"/>
    <x v="0"/>
    <s v="EG.ELC.ACCS.ZS"/>
    <x v="9"/>
    <n v="100"/>
    <x v="1"/>
  </r>
  <r>
    <x v="22"/>
    <s v="GIB"/>
    <x v="0"/>
    <s v="EG.ELC.ACCS.ZS"/>
    <x v="10"/>
    <n v="100"/>
    <x v="1"/>
  </r>
  <r>
    <x v="22"/>
    <s v="GIB"/>
    <x v="0"/>
    <s v="EG.ELC.ACCS.ZS"/>
    <x v="11"/>
    <n v="100"/>
    <x v="1"/>
  </r>
  <r>
    <x v="22"/>
    <s v="GIB"/>
    <x v="0"/>
    <s v="EG.ELC.ACCS.ZS"/>
    <x v="12"/>
    <n v="100"/>
    <x v="1"/>
  </r>
  <r>
    <x v="22"/>
    <s v="GIB"/>
    <x v="0"/>
    <s v="EG.ELC.ACCS.ZS"/>
    <x v="13"/>
    <n v="100"/>
    <x v="1"/>
  </r>
  <r>
    <x v="22"/>
    <s v="GIB"/>
    <x v="0"/>
    <s v="EG.ELC.ACCS.ZS"/>
    <x v="14"/>
    <n v="100"/>
    <x v="1"/>
  </r>
  <r>
    <x v="22"/>
    <s v="GIB"/>
    <x v="0"/>
    <s v="EG.ELC.ACCS.ZS"/>
    <x v="15"/>
    <n v="100"/>
    <x v="1"/>
  </r>
  <r>
    <x v="22"/>
    <s v="GIB"/>
    <x v="0"/>
    <s v="EG.ELC.ACCS.ZS"/>
    <x v="16"/>
    <n v="100"/>
    <x v="1"/>
  </r>
  <r>
    <x v="22"/>
    <s v="GIB"/>
    <x v="0"/>
    <s v="EG.ELC.ACCS.ZS"/>
    <x v="17"/>
    <n v="100"/>
    <x v="2"/>
  </r>
  <r>
    <x v="22"/>
    <s v="GIB"/>
    <x v="0"/>
    <s v="EG.ELC.ACCS.ZS"/>
    <x v="18"/>
    <n v="100"/>
    <x v="2"/>
  </r>
  <r>
    <x v="22"/>
    <s v="GIB"/>
    <x v="0"/>
    <s v="EG.ELC.ACCS.ZS"/>
    <x v="19"/>
    <n v="100"/>
    <x v="2"/>
  </r>
  <r>
    <x v="22"/>
    <s v="GIB"/>
    <x v="0"/>
    <s v="EG.ELC.ACCS.ZS"/>
    <x v="20"/>
    <n v="100"/>
    <x v="2"/>
  </r>
  <r>
    <x v="22"/>
    <s v="GIB"/>
    <x v="0"/>
    <s v="EG.ELC.ACCS.ZS"/>
    <x v="21"/>
    <n v="100"/>
    <x v="2"/>
  </r>
  <r>
    <x v="22"/>
    <s v="GIB"/>
    <x v="0"/>
    <s v="EG.ELC.ACCS.ZS"/>
    <x v="22"/>
    <n v="100"/>
    <x v="2"/>
  </r>
  <r>
    <x v="22"/>
    <s v="GIB"/>
    <x v="0"/>
    <s v="EG.ELC.ACCS.ZS"/>
    <x v="23"/>
    <n v="100"/>
    <x v="2"/>
  </r>
  <r>
    <x v="22"/>
    <s v="GIB"/>
    <x v="0"/>
    <s v="EG.ELC.ACCS.ZS"/>
    <x v="24"/>
    <n v="100"/>
    <x v="2"/>
  </r>
  <r>
    <x v="22"/>
    <s v="GIB"/>
    <x v="0"/>
    <s v="EG.ELC.ACCS.ZS"/>
    <x v="25"/>
    <n v="100"/>
    <x v="2"/>
  </r>
  <r>
    <x v="22"/>
    <s v="GIB"/>
    <x v="0"/>
    <s v="EG.ELC.ACCS.ZS"/>
    <x v="26"/>
    <n v="100"/>
    <x v="2"/>
  </r>
  <r>
    <x v="22"/>
    <s v="GIB"/>
    <x v="0"/>
    <s v="EG.ELC.ACCS.ZS"/>
    <x v="27"/>
    <n v="100"/>
    <x v="3"/>
  </r>
  <r>
    <x v="22"/>
    <s v="GIB"/>
    <x v="0"/>
    <s v="EG.ELC.ACCS.ZS"/>
    <x v="28"/>
    <n v="100"/>
    <x v="3"/>
  </r>
  <r>
    <x v="22"/>
    <s v="GIB"/>
    <x v="0"/>
    <s v="EG.ELC.ACCS.ZS"/>
    <x v="29"/>
    <n v="100"/>
    <x v="3"/>
  </r>
  <r>
    <x v="22"/>
    <s v="GIB"/>
    <x v="0"/>
    <s v="EG.ELC.ACCS.ZS"/>
    <x v="30"/>
    <n v="100"/>
    <x v="3"/>
  </r>
  <r>
    <x v="22"/>
    <s v="GIB"/>
    <x v="0"/>
    <s v="EG.ELC.ACCS.ZS"/>
    <x v="31"/>
    <n v="100"/>
    <x v="0"/>
  </r>
  <r>
    <x v="22"/>
    <s v="GIB"/>
    <x v="0"/>
    <s v="EG.ELC.ACCS.ZS"/>
    <x v="32"/>
    <n v="100"/>
    <x v="0"/>
  </r>
  <r>
    <x v="22"/>
    <s v="GIB"/>
    <x v="0"/>
    <s v="EG.ELC.ACCS.ZS"/>
    <x v="33"/>
    <n v="100"/>
    <x v="0"/>
  </r>
  <r>
    <x v="23"/>
    <s v="GRC"/>
    <x v="0"/>
    <s v="EG.ELC.ACCS.ZS"/>
    <x v="0"/>
    <n v="100"/>
    <x v="0"/>
  </r>
  <r>
    <x v="23"/>
    <s v="GRC"/>
    <x v="0"/>
    <s v="EG.ELC.ACCS.ZS"/>
    <x v="1"/>
    <n v="100"/>
    <x v="0"/>
  </r>
  <r>
    <x v="23"/>
    <s v="GRC"/>
    <x v="0"/>
    <s v="EG.ELC.ACCS.ZS"/>
    <x v="2"/>
    <n v="100"/>
    <x v="0"/>
  </r>
  <r>
    <x v="23"/>
    <s v="GRC"/>
    <x v="0"/>
    <s v="EG.ELC.ACCS.ZS"/>
    <x v="3"/>
    <n v="100"/>
    <x v="0"/>
  </r>
  <r>
    <x v="23"/>
    <s v="GRC"/>
    <x v="0"/>
    <s v="EG.ELC.ACCS.ZS"/>
    <x v="4"/>
    <n v="100"/>
    <x v="0"/>
  </r>
  <r>
    <x v="23"/>
    <s v="GRC"/>
    <x v="0"/>
    <s v="EG.ELC.ACCS.ZS"/>
    <x v="5"/>
    <n v="100"/>
    <x v="0"/>
  </r>
  <r>
    <x v="23"/>
    <s v="GRC"/>
    <x v="0"/>
    <s v="EG.ELC.ACCS.ZS"/>
    <x v="6"/>
    <n v="100"/>
    <x v="0"/>
  </r>
  <r>
    <x v="23"/>
    <s v="GRC"/>
    <x v="0"/>
    <s v="EG.ELC.ACCS.ZS"/>
    <x v="7"/>
    <n v="100"/>
    <x v="1"/>
  </r>
  <r>
    <x v="23"/>
    <s v="GRC"/>
    <x v="0"/>
    <s v="EG.ELC.ACCS.ZS"/>
    <x v="8"/>
    <n v="100"/>
    <x v="1"/>
  </r>
  <r>
    <x v="23"/>
    <s v="GRC"/>
    <x v="0"/>
    <s v="EG.ELC.ACCS.ZS"/>
    <x v="9"/>
    <n v="100"/>
    <x v="1"/>
  </r>
  <r>
    <x v="23"/>
    <s v="GRC"/>
    <x v="0"/>
    <s v="EG.ELC.ACCS.ZS"/>
    <x v="10"/>
    <n v="100"/>
    <x v="1"/>
  </r>
  <r>
    <x v="23"/>
    <s v="GRC"/>
    <x v="0"/>
    <s v="EG.ELC.ACCS.ZS"/>
    <x v="11"/>
    <n v="100"/>
    <x v="1"/>
  </r>
  <r>
    <x v="23"/>
    <s v="GRC"/>
    <x v="0"/>
    <s v="EG.ELC.ACCS.ZS"/>
    <x v="12"/>
    <n v="100"/>
    <x v="1"/>
  </r>
  <r>
    <x v="23"/>
    <s v="GRC"/>
    <x v="0"/>
    <s v="EG.ELC.ACCS.ZS"/>
    <x v="13"/>
    <n v="100"/>
    <x v="1"/>
  </r>
  <r>
    <x v="23"/>
    <s v="GRC"/>
    <x v="0"/>
    <s v="EG.ELC.ACCS.ZS"/>
    <x v="14"/>
    <n v="100"/>
    <x v="1"/>
  </r>
  <r>
    <x v="23"/>
    <s v="GRC"/>
    <x v="0"/>
    <s v="EG.ELC.ACCS.ZS"/>
    <x v="15"/>
    <n v="100"/>
    <x v="1"/>
  </r>
  <r>
    <x v="23"/>
    <s v="GRC"/>
    <x v="0"/>
    <s v="EG.ELC.ACCS.ZS"/>
    <x v="16"/>
    <n v="100"/>
    <x v="1"/>
  </r>
  <r>
    <x v="23"/>
    <s v="GRC"/>
    <x v="0"/>
    <s v="EG.ELC.ACCS.ZS"/>
    <x v="17"/>
    <n v="100"/>
    <x v="2"/>
  </r>
  <r>
    <x v="23"/>
    <s v="GRC"/>
    <x v="0"/>
    <s v="EG.ELC.ACCS.ZS"/>
    <x v="18"/>
    <n v="100"/>
    <x v="2"/>
  </r>
  <r>
    <x v="23"/>
    <s v="GRC"/>
    <x v="0"/>
    <s v="EG.ELC.ACCS.ZS"/>
    <x v="19"/>
    <n v="100"/>
    <x v="2"/>
  </r>
  <r>
    <x v="23"/>
    <s v="GRC"/>
    <x v="0"/>
    <s v="EG.ELC.ACCS.ZS"/>
    <x v="20"/>
    <n v="100"/>
    <x v="2"/>
  </r>
  <r>
    <x v="23"/>
    <s v="GRC"/>
    <x v="0"/>
    <s v="EG.ELC.ACCS.ZS"/>
    <x v="21"/>
    <n v="100"/>
    <x v="2"/>
  </r>
  <r>
    <x v="23"/>
    <s v="GRC"/>
    <x v="0"/>
    <s v="EG.ELC.ACCS.ZS"/>
    <x v="22"/>
    <n v="100"/>
    <x v="2"/>
  </r>
  <r>
    <x v="23"/>
    <s v="GRC"/>
    <x v="0"/>
    <s v="EG.ELC.ACCS.ZS"/>
    <x v="23"/>
    <n v="100"/>
    <x v="2"/>
  </r>
  <r>
    <x v="23"/>
    <s v="GRC"/>
    <x v="0"/>
    <s v="EG.ELC.ACCS.ZS"/>
    <x v="24"/>
    <n v="100"/>
    <x v="2"/>
  </r>
  <r>
    <x v="23"/>
    <s v="GRC"/>
    <x v="0"/>
    <s v="EG.ELC.ACCS.ZS"/>
    <x v="25"/>
    <n v="100"/>
    <x v="2"/>
  </r>
  <r>
    <x v="23"/>
    <s v="GRC"/>
    <x v="0"/>
    <s v="EG.ELC.ACCS.ZS"/>
    <x v="26"/>
    <n v="100"/>
    <x v="2"/>
  </r>
  <r>
    <x v="23"/>
    <s v="GRC"/>
    <x v="0"/>
    <s v="EG.ELC.ACCS.ZS"/>
    <x v="27"/>
    <n v="100"/>
    <x v="3"/>
  </r>
  <r>
    <x v="23"/>
    <s v="GRC"/>
    <x v="0"/>
    <s v="EG.ELC.ACCS.ZS"/>
    <x v="28"/>
    <n v="100"/>
    <x v="3"/>
  </r>
  <r>
    <x v="23"/>
    <s v="GRC"/>
    <x v="0"/>
    <s v="EG.ELC.ACCS.ZS"/>
    <x v="29"/>
    <n v="100"/>
    <x v="3"/>
  </r>
  <r>
    <x v="23"/>
    <s v="GRC"/>
    <x v="0"/>
    <s v="EG.ELC.ACCS.ZS"/>
    <x v="30"/>
    <n v="100"/>
    <x v="3"/>
  </r>
  <r>
    <x v="23"/>
    <s v="GRC"/>
    <x v="0"/>
    <s v="EG.ELC.ACCS.ZS"/>
    <x v="31"/>
    <n v="100"/>
    <x v="0"/>
  </r>
  <r>
    <x v="23"/>
    <s v="GRC"/>
    <x v="0"/>
    <s v="EG.ELC.ACCS.ZS"/>
    <x v="32"/>
    <n v="100"/>
    <x v="0"/>
  </r>
  <r>
    <x v="23"/>
    <s v="GRC"/>
    <x v="0"/>
    <s v="EG.ELC.ACCS.ZS"/>
    <x v="33"/>
    <n v="100"/>
    <x v="0"/>
  </r>
  <r>
    <x v="24"/>
    <s v="GRL"/>
    <x v="0"/>
    <s v="EG.ELC.ACCS.ZS"/>
    <x v="0"/>
    <n v="100"/>
    <x v="0"/>
  </r>
  <r>
    <x v="24"/>
    <s v="GRL"/>
    <x v="0"/>
    <s v="EG.ELC.ACCS.ZS"/>
    <x v="1"/>
    <n v="100"/>
    <x v="0"/>
  </r>
  <r>
    <x v="24"/>
    <s v="GRL"/>
    <x v="0"/>
    <s v="EG.ELC.ACCS.ZS"/>
    <x v="2"/>
    <n v="100"/>
    <x v="0"/>
  </r>
  <r>
    <x v="24"/>
    <s v="GRL"/>
    <x v="0"/>
    <s v="EG.ELC.ACCS.ZS"/>
    <x v="3"/>
    <n v="100"/>
    <x v="0"/>
  </r>
  <r>
    <x v="24"/>
    <s v="GRL"/>
    <x v="0"/>
    <s v="EG.ELC.ACCS.ZS"/>
    <x v="4"/>
    <n v="100"/>
    <x v="0"/>
  </r>
  <r>
    <x v="24"/>
    <s v="GRL"/>
    <x v="0"/>
    <s v="EG.ELC.ACCS.ZS"/>
    <x v="5"/>
    <n v="100"/>
    <x v="0"/>
  </r>
  <r>
    <x v="24"/>
    <s v="GRL"/>
    <x v="0"/>
    <s v="EG.ELC.ACCS.ZS"/>
    <x v="6"/>
    <n v="100"/>
    <x v="0"/>
  </r>
  <r>
    <x v="24"/>
    <s v="GRL"/>
    <x v="0"/>
    <s v="EG.ELC.ACCS.ZS"/>
    <x v="7"/>
    <n v="100"/>
    <x v="1"/>
  </r>
  <r>
    <x v="24"/>
    <s v="GRL"/>
    <x v="0"/>
    <s v="EG.ELC.ACCS.ZS"/>
    <x v="8"/>
    <n v="100"/>
    <x v="1"/>
  </r>
  <r>
    <x v="24"/>
    <s v="GRL"/>
    <x v="0"/>
    <s v="EG.ELC.ACCS.ZS"/>
    <x v="9"/>
    <n v="100"/>
    <x v="1"/>
  </r>
  <r>
    <x v="24"/>
    <s v="GRL"/>
    <x v="0"/>
    <s v="EG.ELC.ACCS.ZS"/>
    <x v="10"/>
    <n v="100"/>
    <x v="1"/>
  </r>
  <r>
    <x v="24"/>
    <s v="GRL"/>
    <x v="0"/>
    <s v="EG.ELC.ACCS.ZS"/>
    <x v="11"/>
    <n v="100"/>
    <x v="1"/>
  </r>
  <r>
    <x v="24"/>
    <s v="GRL"/>
    <x v="0"/>
    <s v="EG.ELC.ACCS.ZS"/>
    <x v="12"/>
    <n v="100"/>
    <x v="1"/>
  </r>
  <r>
    <x v="24"/>
    <s v="GRL"/>
    <x v="0"/>
    <s v="EG.ELC.ACCS.ZS"/>
    <x v="13"/>
    <n v="100"/>
    <x v="1"/>
  </r>
  <r>
    <x v="24"/>
    <s v="GRL"/>
    <x v="0"/>
    <s v="EG.ELC.ACCS.ZS"/>
    <x v="14"/>
    <n v="100"/>
    <x v="1"/>
  </r>
  <r>
    <x v="24"/>
    <s v="GRL"/>
    <x v="0"/>
    <s v="EG.ELC.ACCS.ZS"/>
    <x v="15"/>
    <n v="100"/>
    <x v="1"/>
  </r>
  <r>
    <x v="24"/>
    <s v="GRL"/>
    <x v="0"/>
    <s v="EG.ELC.ACCS.ZS"/>
    <x v="16"/>
    <n v="100"/>
    <x v="1"/>
  </r>
  <r>
    <x v="24"/>
    <s v="GRL"/>
    <x v="0"/>
    <s v="EG.ELC.ACCS.ZS"/>
    <x v="17"/>
    <n v="100"/>
    <x v="2"/>
  </r>
  <r>
    <x v="24"/>
    <s v="GRL"/>
    <x v="0"/>
    <s v="EG.ELC.ACCS.ZS"/>
    <x v="18"/>
    <n v="100"/>
    <x v="2"/>
  </r>
  <r>
    <x v="24"/>
    <s v="GRL"/>
    <x v="0"/>
    <s v="EG.ELC.ACCS.ZS"/>
    <x v="19"/>
    <n v="100"/>
    <x v="2"/>
  </r>
  <r>
    <x v="24"/>
    <s v="GRL"/>
    <x v="0"/>
    <s v="EG.ELC.ACCS.ZS"/>
    <x v="20"/>
    <n v="100"/>
    <x v="2"/>
  </r>
  <r>
    <x v="24"/>
    <s v="GRL"/>
    <x v="0"/>
    <s v="EG.ELC.ACCS.ZS"/>
    <x v="21"/>
    <n v="100"/>
    <x v="2"/>
  </r>
  <r>
    <x v="24"/>
    <s v="GRL"/>
    <x v="0"/>
    <s v="EG.ELC.ACCS.ZS"/>
    <x v="22"/>
    <n v="100"/>
    <x v="2"/>
  </r>
  <r>
    <x v="24"/>
    <s v="GRL"/>
    <x v="0"/>
    <s v="EG.ELC.ACCS.ZS"/>
    <x v="23"/>
    <n v="100"/>
    <x v="2"/>
  </r>
  <r>
    <x v="24"/>
    <s v="GRL"/>
    <x v="0"/>
    <s v="EG.ELC.ACCS.ZS"/>
    <x v="24"/>
    <n v="100"/>
    <x v="2"/>
  </r>
  <r>
    <x v="24"/>
    <s v="GRL"/>
    <x v="0"/>
    <s v="EG.ELC.ACCS.ZS"/>
    <x v="25"/>
    <n v="100"/>
    <x v="2"/>
  </r>
  <r>
    <x v="24"/>
    <s v="GRL"/>
    <x v="0"/>
    <s v="EG.ELC.ACCS.ZS"/>
    <x v="26"/>
    <n v="100"/>
    <x v="2"/>
  </r>
  <r>
    <x v="24"/>
    <s v="GRL"/>
    <x v="0"/>
    <s v="EG.ELC.ACCS.ZS"/>
    <x v="27"/>
    <n v="100"/>
    <x v="3"/>
  </r>
  <r>
    <x v="24"/>
    <s v="GRL"/>
    <x v="0"/>
    <s v="EG.ELC.ACCS.ZS"/>
    <x v="28"/>
    <n v="100"/>
    <x v="3"/>
  </r>
  <r>
    <x v="24"/>
    <s v="GRL"/>
    <x v="0"/>
    <s v="EG.ELC.ACCS.ZS"/>
    <x v="29"/>
    <n v="100"/>
    <x v="3"/>
  </r>
  <r>
    <x v="24"/>
    <s v="GRL"/>
    <x v="0"/>
    <s v="EG.ELC.ACCS.ZS"/>
    <x v="30"/>
    <n v="100"/>
    <x v="3"/>
  </r>
  <r>
    <x v="24"/>
    <s v="GRL"/>
    <x v="0"/>
    <s v="EG.ELC.ACCS.ZS"/>
    <x v="31"/>
    <n v="100"/>
    <x v="0"/>
  </r>
  <r>
    <x v="24"/>
    <s v="GRL"/>
    <x v="0"/>
    <s v="EG.ELC.ACCS.ZS"/>
    <x v="32"/>
    <n v="100"/>
    <x v="0"/>
  </r>
  <r>
    <x v="24"/>
    <s v="GRL"/>
    <x v="0"/>
    <s v="EG.ELC.ACCS.ZS"/>
    <x v="33"/>
    <n v="100"/>
    <x v="0"/>
  </r>
  <r>
    <x v="25"/>
    <s v="HRV"/>
    <x v="0"/>
    <s v="EG.ELC.ACCS.ZS"/>
    <x v="0"/>
    <n v="100"/>
    <x v="0"/>
  </r>
  <r>
    <x v="25"/>
    <s v="HRV"/>
    <x v="0"/>
    <s v="EG.ELC.ACCS.ZS"/>
    <x v="1"/>
    <n v="100"/>
    <x v="0"/>
  </r>
  <r>
    <x v="25"/>
    <s v="HRV"/>
    <x v="0"/>
    <s v="EG.ELC.ACCS.ZS"/>
    <x v="2"/>
    <n v="100"/>
    <x v="0"/>
  </r>
  <r>
    <x v="25"/>
    <s v="HRV"/>
    <x v="0"/>
    <s v="EG.ELC.ACCS.ZS"/>
    <x v="3"/>
    <n v="100"/>
    <x v="0"/>
  </r>
  <r>
    <x v="25"/>
    <s v="HRV"/>
    <x v="0"/>
    <s v="EG.ELC.ACCS.ZS"/>
    <x v="4"/>
    <n v="100"/>
    <x v="0"/>
  </r>
  <r>
    <x v="25"/>
    <s v="HRV"/>
    <x v="0"/>
    <s v="EG.ELC.ACCS.ZS"/>
    <x v="5"/>
    <n v="100"/>
    <x v="0"/>
  </r>
  <r>
    <x v="25"/>
    <s v="HRV"/>
    <x v="0"/>
    <s v="EG.ELC.ACCS.ZS"/>
    <x v="6"/>
    <n v="100"/>
    <x v="0"/>
  </r>
  <r>
    <x v="25"/>
    <s v="HRV"/>
    <x v="0"/>
    <s v="EG.ELC.ACCS.ZS"/>
    <x v="7"/>
    <n v="100"/>
    <x v="1"/>
  </r>
  <r>
    <x v="25"/>
    <s v="HRV"/>
    <x v="0"/>
    <s v="EG.ELC.ACCS.ZS"/>
    <x v="8"/>
    <n v="100"/>
    <x v="1"/>
  </r>
  <r>
    <x v="25"/>
    <s v="HRV"/>
    <x v="0"/>
    <s v="EG.ELC.ACCS.ZS"/>
    <x v="9"/>
    <n v="100"/>
    <x v="1"/>
  </r>
  <r>
    <x v="25"/>
    <s v="HRV"/>
    <x v="0"/>
    <s v="EG.ELC.ACCS.ZS"/>
    <x v="10"/>
    <n v="100"/>
    <x v="1"/>
  </r>
  <r>
    <x v="25"/>
    <s v="HRV"/>
    <x v="0"/>
    <s v="EG.ELC.ACCS.ZS"/>
    <x v="11"/>
    <n v="100"/>
    <x v="1"/>
  </r>
  <r>
    <x v="25"/>
    <s v="HRV"/>
    <x v="0"/>
    <s v="EG.ELC.ACCS.ZS"/>
    <x v="12"/>
    <n v="100"/>
    <x v="1"/>
  </r>
  <r>
    <x v="25"/>
    <s v="HRV"/>
    <x v="0"/>
    <s v="EG.ELC.ACCS.ZS"/>
    <x v="13"/>
    <n v="100"/>
    <x v="1"/>
  </r>
  <r>
    <x v="25"/>
    <s v="HRV"/>
    <x v="0"/>
    <s v="EG.ELC.ACCS.ZS"/>
    <x v="14"/>
    <n v="100"/>
    <x v="1"/>
  </r>
  <r>
    <x v="25"/>
    <s v="HRV"/>
    <x v="0"/>
    <s v="EG.ELC.ACCS.ZS"/>
    <x v="15"/>
    <n v="100"/>
    <x v="1"/>
  </r>
  <r>
    <x v="25"/>
    <s v="HRV"/>
    <x v="0"/>
    <s v="EG.ELC.ACCS.ZS"/>
    <x v="16"/>
    <n v="100"/>
    <x v="1"/>
  </r>
  <r>
    <x v="25"/>
    <s v="HRV"/>
    <x v="0"/>
    <s v="EG.ELC.ACCS.ZS"/>
    <x v="17"/>
    <n v="100"/>
    <x v="2"/>
  </r>
  <r>
    <x v="25"/>
    <s v="HRV"/>
    <x v="0"/>
    <s v="EG.ELC.ACCS.ZS"/>
    <x v="18"/>
    <n v="100"/>
    <x v="2"/>
  </r>
  <r>
    <x v="25"/>
    <s v="HRV"/>
    <x v="0"/>
    <s v="EG.ELC.ACCS.ZS"/>
    <x v="19"/>
    <n v="100"/>
    <x v="2"/>
  </r>
  <r>
    <x v="25"/>
    <s v="HRV"/>
    <x v="0"/>
    <s v="EG.ELC.ACCS.ZS"/>
    <x v="20"/>
    <n v="100"/>
    <x v="2"/>
  </r>
  <r>
    <x v="25"/>
    <s v="HRV"/>
    <x v="0"/>
    <s v="EG.ELC.ACCS.ZS"/>
    <x v="21"/>
    <n v="100"/>
    <x v="2"/>
  </r>
  <r>
    <x v="25"/>
    <s v="HRV"/>
    <x v="0"/>
    <s v="EG.ELC.ACCS.ZS"/>
    <x v="22"/>
    <n v="100"/>
    <x v="2"/>
  </r>
  <r>
    <x v="25"/>
    <s v="HRV"/>
    <x v="0"/>
    <s v="EG.ELC.ACCS.ZS"/>
    <x v="23"/>
    <n v="100"/>
    <x v="2"/>
  </r>
  <r>
    <x v="25"/>
    <s v="HRV"/>
    <x v="0"/>
    <s v="EG.ELC.ACCS.ZS"/>
    <x v="24"/>
    <n v="100"/>
    <x v="2"/>
  </r>
  <r>
    <x v="25"/>
    <s v="HRV"/>
    <x v="0"/>
    <s v="EG.ELC.ACCS.ZS"/>
    <x v="25"/>
    <n v="100"/>
    <x v="2"/>
  </r>
  <r>
    <x v="25"/>
    <s v="HRV"/>
    <x v="0"/>
    <s v="EG.ELC.ACCS.ZS"/>
    <x v="26"/>
    <n v="100"/>
    <x v="2"/>
  </r>
  <r>
    <x v="25"/>
    <s v="HRV"/>
    <x v="0"/>
    <s v="EG.ELC.ACCS.ZS"/>
    <x v="27"/>
    <n v="100"/>
    <x v="3"/>
  </r>
  <r>
    <x v="25"/>
    <s v="HRV"/>
    <x v="0"/>
    <s v="EG.ELC.ACCS.ZS"/>
    <x v="28"/>
    <n v="100"/>
    <x v="3"/>
  </r>
  <r>
    <x v="25"/>
    <s v="HRV"/>
    <x v="0"/>
    <s v="EG.ELC.ACCS.ZS"/>
    <x v="29"/>
    <n v="100"/>
    <x v="3"/>
  </r>
  <r>
    <x v="25"/>
    <s v="HRV"/>
    <x v="0"/>
    <s v="EG.ELC.ACCS.ZS"/>
    <x v="30"/>
    <n v="100"/>
    <x v="3"/>
  </r>
  <r>
    <x v="25"/>
    <s v="HRV"/>
    <x v="0"/>
    <s v="EG.ELC.ACCS.ZS"/>
    <x v="31"/>
    <n v="100"/>
    <x v="0"/>
  </r>
  <r>
    <x v="25"/>
    <s v="HRV"/>
    <x v="0"/>
    <s v="EG.ELC.ACCS.ZS"/>
    <x v="32"/>
    <n v="100"/>
    <x v="0"/>
  </r>
  <r>
    <x v="25"/>
    <s v="HRV"/>
    <x v="0"/>
    <s v="EG.ELC.ACCS.ZS"/>
    <x v="33"/>
    <n v="100"/>
    <x v="0"/>
  </r>
  <r>
    <x v="26"/>
    <s v="HUN"/>
    <x v="0"/>
    <s v="EG.ELC.ACCS.ZS"/>
    <x v="0"/>
    <n v="100"/>
    <x v="0"/>
  </r>
  <r>
    <x v="26"/>
    <s v="HUN"/>
    <x v="0"/>
    <s v="EG.ELC.ACCS.ZS"/>
    <x v="1"/>
    <n v="100"/>
    <x v="0"/>
  </r>
  <r>
    <x v="26"/>
    <s v="HUN"/>
    <x v="0"/>
    <s v="EG.ELC.ACCS.ZS"/>
    <x v="2"/>
    <n v="100"/>
    <x v="0"/>
  </r>
  <r>
    <x v="26"/>
    <s v="HUN"/>
    <x v="0"/>
    <s v="EG.ELC.ACCS.ZS"/>
    <x v="3"/>
    <n v="100"/>
    <x v="0"/>
  </r>
  <r>
    <x v="26"/>
    <s v="HUN"/>
    <x v="0"/>
    <s v="EG.ELC.ACCS.ZS"/>
    <x v="4"/>
    <n v="100"/>
    <x v="0"/>
  </r>
  <r>
    <x v="26"/>
    <s v="HUN"/>
    <x v="0"/>
    <s v="EG.ELC.ACCS.ZS"/>
    <x v="5"/>
    <n v="100"/>
    <x v="0"/>
  </r>
  <r>
    <x v="26"/>
    <s v="HUN"/>
    <x v="0"/>
    <s v="EG.ELC.ACCS.ZS"/>
    <x v="6"/>
    <n v="100"/>
    <x v="0"/>
  </r>
  <r>
    <x v="26"/>
    <s v="HUN"/>
    <x v="0"/>
    <s v="EG.ELC.ACCS.ZS"/>
    <x v="7"/>
    <n v="100"/>
    <x v="1"/>
  </r>
  <r>
    <x v="26"/>
    <s v="HUN"/>
    <x v="0"/>
    <s v="EG.ELC.ACCS.ZS"/>
    <x v="8"/>
    <n v="100"/>
    <x v="1"/>
  </r>
  <r>
    <x v="26"/>
    <s v="HUN"/>
    <x v="0"/>
    <s v="EG.ELC.ACCS.ZS"/>
    <x v="9"/>
    <n v="100"/>
    <x v="1"/>
  </r>
  <r>
    <x v="26"/>
    <s v="HUN"/>
    <x v="0"/>
    <s v="EG.ELC.ACCS.ZS"/>
    <x v="10"/>
    <n v="100"/>
    <x v="1"/>
  </r>
  <r>
    <x v="26"/>
    <s v="HUN"/>
    <x v="0"/>
    <s v="EG.ELC.ACCS.ZS"/>
    <x v="11"/>
    <n v="100"/>
    <x v="1"/>
  </r>
  <r>
    <x v="26"/>
    <s v="HUN"/>
    <x v="0"/>
    <s v="EG.ELC.ACCS.ZS"/>
    <x v="12"/>
    <n v="100"/>
    <x v="1"/>
  </r>
  <r>
    <x v="26"/>
    <s v="HUN"/>
    <x v="0"/>
    <s v="EG.ELC.ACCS.ZS"/>
    <x v="13"/>
    <n v="100"/>
    <x v="1"/>
  </r>
  <r>
    <x v="26"/>
    <s v="HUN"/>
    <x v="0"/>
    <s v="EG.ELC.ACCS.ZS"/>
    <x v="14"/>
    <n v="100"/>
    <x v="1"/>
  </r>
  <r>
    <x v="26"/>
    <s v="HUN"/>
    <x v="0"/>
    <s v="EG.ELC.ACCS.ZS"/>
    <x v="15"/>
    <n v="100"/>
    <x v="1"/>
  </r>
  <r>
    <x v="26"/>
    <s v="HUN"/>
    <x v="0"/>
    <s v="EG.ELC.ACCS.ZS"/>
    <x v="16"/>
    <n v="100"/>
    <x v="1"/>
  </r>
  <r>
    <x v="26"/>
    <s v="HUN"/>
    <x v="0"/>
    <s v="EG.ELC.ACCS.ZS"/>
    <x v="17"/>
    <n v="100"/>
    <x v="2"/>
  </r>
  <r>
    <x v="26"/>
    <s v="HUN"/>
    <x v="0"/>
    <s v="EG.ELC.ACCS.ZS"/>
    <x v="18"/>
    <n v="100"/>
    <x v="2"/>
  </r>
  <r>
    <x v="26"/>
    <s v="HUN"/>
    <x v="0"/>
    <s v="EG.ELC.ACCS.ZS"/>
    <x v="19"/>
    <n v="100"/>
    <x v="2"/>
  </r>
  <r>
    <x v="26"/>
    <s v="HUN"/>
    <x v="0"/>
    <s v="EG.ELC.ACCS.ZS"/>
    <x v="20"/>
    <n v="100"/>
    <x v="2"/>
  </r>
  <r>
    <x v="26"/>
    <s v="HUN"/>
    <x v="0"/>
    <s v="EG.ELC.ACCS.ZS"/>
    <x v="21"/>
    <n v="100"/>
    <x v="2"/>
  </r>
  <r>
    <x v="26"/>
    <s v="HUN"/>
    <x v="0"/>
    <s v="EG.ELC.ACCS.ZS"/>
    <x v="22"/>
    <n v="100"/>
    <x v="2"/>
  </r>
  <r>
    <x v="26"/>
    <s v="HUN"/>
    <x v="0"/>
    <s v="EG.ELC.ACCS.ZS"/>
    <x v="23"/>
    <n v="100"/>
    <x v="2"/>
  </r>
  <r>
    <x v="26"/>
    <s v="HUN"/>
    <x v="0"/>
    <s v="EG.ELC.ACCS.ZS"/>
    <x v="24"/>
    <n v="100"/>
    <x v="2"/>
  </r>
  <r>
    <x v="26"/>
    <s v="HUN"/>
    <x v="0"/>
    <s v="EG.ELC.ACCS.ZS"/>
    <x v="25"/>
    <n v="100"/>
    <x v="2"/>
  </r>
  <r>
    <x v="26"/>
    <s v="HUN"/>
    <x v="0"/>
    <s v="EG.ELC.ACCS.ZS"/>
    <x v="26"/>
    <n v="100"/>
    <x v="2"/>
  </r>
  <r>
    <x v="26"/>
    <s v="HUN"/>
    <x v="0"/>
    <s v="EG.ELC.ACCS.ZS"/>
    <x v="27"/>
    <n v="100"/>
    <x v="3"/>
  </r>
  <r>
    <x v="26"/>
    <s v="HUN"/>
    <x v="0"/>
    <s v="EG.ELC.ACCS.ZS"/>
    <x v="28"/>
    <n v="100"/>
    <x v="3"/>
  </r>
  <r>
    <x v="26"/>
    <s v="HUN"/>
    <x v="0"/>
    <s v="EG.ELC.ACCS.ZS"/>
    <x v="29"/>
    <n v="100"/>
    <x v="3"/>
  </r>
  <r>
    <x v="26"/>
    <s v="HUN"/>
    <x v="0"/>
    <s v="EG.ELC.ACCS.ZS"/>
    <x v="30"/>
    <n v="100"/>
    <x v="3"/>
  </r>
  <r>
    <x v="26"/>
    <s v="HUN"/>
    <x v="0"/>
    <s v="EG.ELC.ACCS.ZS"/>
    <x v="31"/>
    <n v="100"/>
    <x v="0"/>
  </r>
  <r>
    <x v="26"/>
    <s v="HUN"/>
    <x v="0"/>
    <s v="EG.ELC.ACCS.ZS"/>
    <x v="32"/>
    <n v="100"/>
    <x v="0"/>
  </r>
  <r>
    <x v="26"/>
    <s v="HUN"/>
    <x v="0"/>
    <s v="EG.ELC.ACCS.ZS"/>
    <x v="33"/>
    <n v="100"/>
    <x v="0"/>
  </r>
  <r>
    <x v="27"/>
    <s v="IMN"/>
    <x v="0"/>
    <s v="EG.ELC.ACCS.ZS"/>
    <x v="0"/>
    <n v="100"/>
    <x v="0"/>
  </r>
  <r>
    <x v="27"/>
    <s v="IMN"/>
    <x v="0"/>
    <s v="EG.ELC.ACCS.ZS"/>
    <x v="1"/>
    <n v="100"/>
    <x v="0"/>
  </r>
  <r>
    <x v="27"/>
    <s v="IMN"/>
    <x v="0"/>
    <s v="EG.ELC.ACCS.ZS"/>
    <x v="2"/>
    <n v="100"/>
    <x v="0"/>
  </r>
  <r>
    <x v="27"/>
    <s v="IMN"/>
    <x v="0"/>
    <s v="EG.ELC.ACCS.ZS"/>
    <x v="3"/>
    <n v="100"/>
    <x v="0"/>
  </r>
  <r>
    <x v="27"/>
    <s v="IMN"/>
    <x v="0"/>
    <s v="EG.ELC.ACCS.ZS"/>
    <x v="4"/>
    <n v="100"/>
    <x v="0"/>
  </r>
  <r>
    <x v="27"/>
    <s v="IMN"/>
    <x v="0"/>
    <s v="EG.ELC.ACCS.ZS"/>
    <x v="5"/>
    <n v="100"/>
    <x v="0"/>
  </r>
  <r>
    <x v="27"/>
    <s v="IMN"/>
    <x v="0"/>
    <s v="EG.ELC.ACCS.ZS"/>
    <x v="6"/>
    <n v="100"/>
    <x v="0"/>
  </r>
  <r>
    <x v="27"/>
    <s v="IMN"/>
    <x v="0"/>
    <s v="EG.ELC.ACCS.ZS"/>
    <x v="7"/>
    <n v="100"/>
    <x v="1"/>
  </r>
  <r>
    <x v="27"/>
    <s v="IMN"/>
    <x v="0"/>
    <s v="EG.ELC.ACCS.ZS"/>
    <x v="8"/>
    <n v="100"/>
    <x v="1"/>
  </r>
  <r>
    <x v="27"/>
    <s v="IMN"/>
    <x v="0"/>
    <s v="EG.ELC.ACCS.ZS"/>
    <x v="9"/>
    <n v="100"/>
    <x v="1"/>
  </r>
  <r>
    <x v="27"/>
    <s v="IMN"/>
    <x v="0"/>
    <s v="EG.ELC.ACCS.ZS"/>
    <x v="10"/>
    <n v="100"/>
    <x v="1"/>
  </r>
  <r>
    <x v="27"/>
    <s v="IMN"/>
    <x v="0"/>
    <s v="EG.ELC.ACCS.ZS"/>
    <x v="11"/>
    <n v="100"/>
    <x v="1"/>
  </r>
  <r>
    <x v="27"/>
    <s v="IMN"/>
    <x v="0"/>
    <s v="EG.ELC.ACCS.ZS"/>
    <x v="12"/>
    <n v="100"/>
    <x v="1"/>
  </r>
  <r>
    <x v="27"/>
    <s v="IMN"/>
    <x v="0"/>
    <s v="EG.ELC.ACCS.ZS"/>
    <x v="13"/>
    <n v="100"/>
    <x v="1"/>
  </r>
  <r>
    <x v="27"/>
    <s v="IMN"/>
    <x v="0"/>
    <s v="EG.ELC.ACCS.ZS"/>
    <x v="14"/>
    <n v="100"/>
    <x v="1"/>
  </r>
  <r>
    <x v="27"/>
    <s v="IMN"/>
    <x v="0"/>
    <s v="EG.ELC.ACCS.ZS"/>
    <x v="15"/>
    <n v="100"/>
    <x v="1"/>
  </r>
  <r>
    <x v="27"/>
    <s v="IMN"/>
    <x v="0"/>
    <s v="EG.ELC.ACCS.ZS"/>
    <x v="16"/>
    <n v="100"/>
    <x v="1"/>
  </r>
  <r>
    <x v="27"/>
    <s v="IMN"/>
    <x v="0"/>
    <s v="EG.ELC.ACCS.ZS"/>
    <x v="17"/>
    <n v="100"/>
    <x v="2"/>
  </r>
  <r>
    <x v="27"/>
    <s v="IMN"/>
    <x v="0"/>
    <s v="EG.ELC.ACCS.ZS"/>
    <x v="18"/>
    <n v="100"/>
    <x v="2"/>
  </r>
  <r>
    <x v="27"/>
    <s v="IMN"/>
    <x v="0"/>
    <s v="EG.ELC.ACCS.ZS"/>
    <x v="19"/>
    <n v="100"/>
    <x v="2"/>
  </r>
  <r>
    <x v="27"/>
    <s v="IMN"/>
    <x v="0"/>
    <s v="EG.ELC.ACCS.ZS"/>
    <x v="20"/>
    <n v="100"/>
    <x v="2"/>
  </r>
  <r>
    <x v="27"/>
    <s v="IMN"/>
    <x v="0"/>
    <s v="EG.ELC.ACCS.ZS"/>
    <x v="21"/>
    <n v="100"/>
    <x v="2"/>
  </r>
  <r>
    <x v="27"/>
    <s v="IMN"/>
    <x v="0"/>
    <s v="EG.ELC.ACCS.ZS"/>
    <x v="22"/>
    <n v="100"/>
    <x v="2"/>
  </r>
  <r>
    <x v="27"/>
    <s v="IMN"/>
    <x v="0"/>
    <s v="EG.ELC.ACCS.ZS"/>
    <x v="23"/>
    <n v="100"/>
    <x v="2"/>
  </r>
  <r>
    <x v="27"/>
    <s v="IMN"/>
    <x v="0"/>
    <s v="EG.ELC.ACCS.ZS"/>
    <x v="24"/>
    <n v="100"/>
    <x v="2"/>
  </r>
  <r>
    <x v="27"/>
    <s v="IMN"/>
    <x v="0"/>
    <s v="EG.ELC.ACCS.ZS"/>
    <x v="25"/>
    <n v="100"/>
    <x v="2"/>
  </r>
  <r>
    <x v="27"/>
    <s v="IMN"/>
    <x v="0"/>
    <s v="EG.ELC.ACCS.ZS"/>
    <x v="26"/>
    <n v="100"/>
    <x v="2"/>
  </r>
  <r>
    <x v="27"/>
    <s v="IMN"/>
    <x v="0"/>
    <s v="EG.ELC.ACCS.ZS"/>
    <x v="27"/>
    <n v="100"/>
    <x v="3"/>
  </r>
  <r>
    <x v="27"/>
    <s v="IMN"/>
    <x v="0"/>
    <s v="EG.ELC.ACCS.ZS"/>
    <x v="28"/>
    <n v="100"/>
    <x v="3"/>
  </r>
  <r>
    <x v="27"/>
    <s v="IMN"/>
    <x v="0"/>
    <s v="EG.ELC.ACCS.ZS"/>
    <x v="29"/>
    <n v="100"/>
    <x v="3"/>
  </r>
  <r>
    <x v="27"/>
    <s v="IMN"/>
    <x v="0"/>
    <s v="EG.ELC.ACCS.ZS"/>
    <x v="30"/>
    <n v="100"/>
    <x v="3"/>
  </r>
  <r>
    <x v="27"/>
    <s v="IMN"/>
    <x v="0"/>
    <s v="EG.ELC.ACCS.ZS"/>
    <x v="31"/>
    <n v="100"/>
    <x v="0"/>
  </r>
  <r>
    <x v="27"/>
    <s v="IMN"/>
    <x v="0"/>
    <s v="EG.ELC.ACCS.ZS"/>
    <x v="32"/>
    <n v="100"/>
    <x v="0"/>
  </r>
  <r>
    <x v="27"/>
    <s v="IMN"/>
    <x v="0"/>
    <s v="EG.ELC.ACCS.ZS"/>
    <x v="33"/>
    <n v="100"/>
    <x v="0"/>
  </r>
  <r>
    <x v="28"/>
    <s v="IRL"/>
    <x v="0"/>
    <s v="EG.ELC.ACCS.ZS"/>
    <x v="0"/>
    <n v="100"/>
    <x v="0"/>
  </r>
  <r>
    <x v="28"/>
    <s v="IRL"/>
    <x v="0"/>
    <s v="EG.ELC.ACCS.ZS"/>
    <x v="1"/>
    <n v="100"/>
    <x v="0"/>
  </r>
  <r>
    <x v="28"/>
    <s v="IRL"/>
    <x v="0"/>
    <s v="EG.ELC.ACCS.ZS"/>
    <x v="2"/>
    <n v="100"/>
    <x v="0"/>
  </r>
  <r>
    <x v="28"/>
    <s v="IRL"/>
    <x v="0"/>
    <s v="EG.ELC.ACCS.ZS"/>
    <x v="3"/>
    <n v="100"/>
    <x v="0"/>
  </r>
  <r>
    <x v="28"/>
    <s v="IRL"/>
    <x v="0"/>
    <s v="EG.ELC.ACCS.ZS"/>
    <x v="4"/>
    <n v="100"/>
    <x v="0"/>
  </r>
  <r>
    <x v="28"/>
    <s v="IRL"/>
    <x v="0"/>
    <s v="EG.ELC.ACCS.ZS"/>
    <x v="5"/>
    <n v="100"/>
    <x v="0"/>
  </r>
  <r>
    <x v="28"/>
    <s v="IRL"/>
    <x v="0"/>
    <s v="EG.ELC.ACCS.ZS"/>
    <x v="6"/>
    <n v="100"/>
    <x v="0"/>
  </r>
  <r>
    <x v="28"/>
    <s v="IRL"/>
    <x v="0"/>
    <s v="EG.ELC.ACCS.ZS"/>
    <x v="7"/>
    <n v="100"/>
    <x v="1"/>
  </r>
  <r>
    <x v="28"/>
    <s v="IRL"/>
    <x v="0"/>
    <s v="EG.ELC.ACCS.ZS"/>
    <x v="8"/>
    <n v="100"/>
    <x v="1"/>
  </r>
  <r>
    <x v="28"/>
    <s v="IRL"/>
    <x v="0"/>
    <s v="EG.ELC.ACCS.ZS"/>
    <x v="9"/>
    <n v="100"/>
    <x v="1"/>
  </r>
  <r>
    <x v="28"/>
    <s v="IRL"/>
    <x v="0"/>
    <s v="EG.ELC.ACCS.ZS"/>
    <x v="10"/>
    <n v="100"/>
    <x v="1"/>
  </r>
  <r>
    <x v="28"/>
    <s v="IRL"/>
    <x v="0"/>
    <s v="EG.ELC.ACCS.ZS"/>
    <x v="11"/>
    <n v="100"/>
    <x v="1"/>
  </r>
  <r>
    <x v="28"/>
    <s v="IRL"/>
    <x v="0"/>
    <s v="EG.ELC.ACCS.ZS"/>
    <x v="12"/>
    <n v="100"/>
    <x v="1"/>
  </r>
  <r>
    <x v="28"/>
    <s v="IRL"/>
    <x v="0"/>
    <s v="EG.ELC.ACCS.ZS"/>
    <x v="13"/>
    <n v="100"/>
    <x v="1"/>
  </r>
  <r>
    <x v="28"/>
    <s v="IRL"/>
    <x v="0"/>
    <s v="EG.ELC.ACCS.ZS"/>
    <x v="14"/>
    <n v="100"/>
    <x v="1"/>
  </r>
  <r>
    <x v="28"/>
    <s v="IRL"/>
    <x v="0"/>
    <s v="EG.ELC.ACCS.ZS"/>
    <x v="15"/>
    <n v="100"/>
    <x v="1"/>
  </r>
  <r>
    <x v="28"/>
    <s v="IRL"/>
    <x v="0"/>
    <s v="EG.ELC.ACCS.ZS"/>
    <x v="16"/>
    <n v="100"/>
    <x v="1"/>
  </r>
  <r>
    <x v="28"/>
    <s v="IRL"/>
    <x v="0"/>
    <s v="EG.ELC.ACCS.ZS"/>
    <x v="17"/>
    <n v="100"/>
    <x v="2"/>
  </r>
  <r>
    <x v="28"/>
    <s v="IRL"/>
    <x v="0"/>
    <s v="EG.ELC.ACCS.ZS"/>
    <x v="18"/>
    <n v="100"/>
    <x v="2"/>
  </r>
  <r>
    <x v="28"/>
    <s v="IRL"/>
    <x v="0"/>
    <s v="EG.ELC.ACCS.ZS"/>
    <x v="19"/>
    <n v="100"/>
    <x v="2"/>
  </r>
  <r>
    <x v="28"/>
    <s v="IRL"/>
    <x v="0"/>
    <s v="EG.ELC.ACCS.ZS"/>
    <x v="20"/>
    <n v="100"/>
    <x v="2"/>
  </r>
  <r>
    <x v="28"/>
    <s v="IRL"/>
    <x v="0"/>
    <s v="EG.ELC.ACCS.ZS"/>
    <x v="21"/>
    <n v="100"/>
    <x v="2"/>
  </r>
  <r>
    <x v="28"/>
    <s v="IRL"/>
    <x v="0"/>
    <s v="EG.ELC.ACCS.ZS"/>
    <x v="22"/>
    <n v="100"/>
    <x v="2"/>
  </r>
  <r>
    <x v="28"/>
    <s v="IRL"/>
    <x v="0"/>
    <s v="EG.ELC.ACCS.ZS"/>
    <x v="23"/>
    <n v="100"/>
    <x v="2"/>
  </r>
  <r>
    <x v="28"/>
    <s v="IRL"/>
    <x v="0"/>
    <s v="EG.ELC.ACCS.ZS"/>
    <x v="24"/>
    <n v="100"/>
    <x v="2"/>
  </r>
  <r>
    <x v="28"/>
    <s v="IRL"/>
    <x v="0"/>
    <s v="EG.ELC.ACCS.ZS"/>
    <x v="25"/>
    <n v="100"/>
    <x v="2"/>
  </r>
  <r>
    <x v="28"/>
    <s v="IRL"/>
    <x v="0"/>
    <s v="EG.ELC.ACCS.ZS"/>
    <x v="26"/>
    <n v="100"/>
    <x v="2"/>
  </r>
  <r>
    <x v="28"/>
    <s v="IRL"/>
    <x v="0"/>
    <s v="EG.ELC.ACCS.ZS"/>
    <x v="27"/>
    <n v="100"/>
    <x v="3"/>
  </r>
  <r>
    <x v="28"/>
    <s v="IRL"/>
    <x v="0"/>
    <s v="EG.ELC.ACCS.ZS"/>
    <x v="28"/>
    <n v="100"/>
    <x v="3"/>
  </r>
  <r>
    <x v="28"/>
    <s v="IRL"/>
    <x v="0"/>
    <s v="EG.ELC.ACCS.ZS"/>
    <x v="29"/>
    <n v="100"/>
    <x v="3"/>
  </r>
  <r>
    <x v="28"/>
    <s v="IRL"/>
    <x v="0"/>
    <s v="EG.ELC.ACCS.ZS"/>
    <x v="30"/>
    <n v="100"/>
    <x v="3"/>
  </r>
  <r>
    <x v="28"/>
    <s v="IRL"/>
    <x v="0"/>
    <s v="EG.ELC.ACCS.ZS"/>
    <x v="31"/>
    <n v="100"/>
    <x v="0"/>
  </r>
  <r>
    <x v="28"/>
    <s v="IRL"/>
    <x v="0"/>
    <s v="EG.ELC.ACCS.ZS"/>
    <x v="32"/>
    <n v="100"/>
    <x v="0"/>
  </r>
  <r>
    <x v="28"/>
    <s v="IRL"/>
    <x v="0"/>
    <s v="EG.ELC.ACCS.ZS"/>
    <x v="33"/>
    <n v="100"/>
    <x v="0"/>
  </r>
  <r>
    <x v="29"/>
    <s v="ISL"/>
    <x v="0"/>
    <s v="EG.ELC.ACCS.ZS"/>
    <x v="0"/>
    <n v="100"/>
    <x v="0"/>
  </r>
  <r>
    <x v="29"/>
    <s v="ISL"/>
    <x v="0"/>
    <s v="EG.ELC.ACCS.ZS"/>
    <x v="1"/>
    <n v="100"/>
    <x v="0"/>
  </r>
  <r>
    <x v="29"/>
    <s v="ISL"/>
    <x v="0"/>
    <s v="EG.ELC.ACCS.ZS"/>
    <x v="2"/>
    <n v="100"/>
    <x v="0"/>
  </r>
  <r>
    <x v="29"/>
    <s v="ISL"/>
    <x v="0"/>
    <s v="EG.ELC.ACCS.ZS"/>
    <x v="3"/>
    <n v="100"/>
    <x v="0"/>
  </r>
  <r>
    <x v="29"/>
    <s v="ISL"/>
    <x v="0"/>
    <s v="EG.ELC.ACCS.ZS"/>
    <x v="4"/>
    <n v="100"/>
    <x v="0"/>
  </r>
  <r>
    <x v="29"/>
    <s v="ISL"/>
    <x v="0"/>
    <s v="EG.ELC.ACCS.ZS"/>
    <x v="5"/>
    <n v="100"/>
    <x v="0"/>
  </r>
  <r>
    <x v="29"/>
    <s v="ISL"/>
    <x v="0"/>
    <s v="EG.ELC.ACCS.ZS"/>
    <x v="6"/>
    <n v="100"/>
    <x v="0"/>
  </r>
  <r>
    <x v="29"/>
    <s v="ISL"/>
    <x v="0"/>
    <s v="EG.ELC.ACCS.ZS"/>
    <x v="7"/>
    <n v="100"/>
    <x v="1"/>
  </r>
  <r>
    <x v="29"/>
    <s v="ISL"/>
    <x v="0"/>
    <s v="EG.ELC.ACCS.ZS"/>
    <x v="8"/>
    <n v="100"/>
    <x v="1"/>
  </r>
  <r>
    <x v="29"/>
    <s v="ISL"/>
    <x v="0"/>
    <s v="EG.ELC.ACCS.ZS"/>
    <x v="9"/>
    <n v="100"/>
    <x v="1"/>
  </r>
  <r>
    <x v="29"/>
    <s v="ISL"/>
    <x v="0"/>
    <s v="EG.ELC.ACCS.ZS"/>
    <x v="10"/>
    <n v="100"/>
    <x v="1"/>
  </r>
  <r>
    <x v="29"/>
    <s v="ISL"/>
    <x v="0"/>
    <s v="EG.ELC.ACCS.ZS"/>
    <x v="11"/>
    <n v="100"/>
    <x v="1"/>
  </r>
  <r>
    <x v="29"/>
    <s v="ISL"/>
    <x v="0"/>
    <s v="EG.ELC.ACCS.ZS"/>
    <x v="12"/>
    <n v="100"/>
    <x v="1"/>
  </r>
  <r>
    <x v="29"/>
    <s v="ISL"/>
    <x v="0"/>
    <s v="EG.ELC.ACCS.ZS"/>
    <x v="13"/>
    <n v="100"/>
    <x v="1"/>
  </r>
  <r>
    <x v="29"/>
    <s v="ISL"/>
    <x v="0"/>
    <s v="EG.ELC.ACCS.ZS"/>
    <x v="14"/>
    <n v="100"/>
    <x v="1"/>
  </r>
  <r>
    <x v="29"/>
    <s v="ISL"/>
    <x v="0"/>
    <s v="EG.ELC.ACCS.ZS"/>
    <x v="15"/>
    <n v="100"/>
    <x v="1"/>
  </r>
  <r>
    <x v="29"/>
    <s v="ISL"/>
    <x v="0"/>
    <s v="EG.ELC.ACCS.ZS"/>
    <x v="16"/>
    <n v="100"/>
    <x v="1"/>
  </r>
  <r>
    <x v="29"/>
    <s v="ISL"/>
    <x v="0"/>
    <s v="EG.ELC.ACCS.ZS"/>
    <x v="17"/>
    <n v="100"/>
    <x v="2"/>
  </r>
  <r>
    <x v="29"/>
    <s v="ISL"/>
    <x v="0"/>
    <s v="EG.ELC.ACCS.ZS"/>
    <x v="18"/>
    <n v="100"/>
    <x v="2"/>
  </r>
  <r>
    <x v="29"/>
    <s v="ISL"/>
    <x v="0"/>
    <s v="EG.ELC.ACCS.ZS"/>
    <x v="19"/>
    <n v="100"/>
    <x v="2"/>
  </r>
  <r>
    <x v="29"/>
    <s v="ISL"/>
    <x v="0"/>
    <s v="EG.ELC.ACCS.ZS"/>
    <x v="20"/>
    <n v="100"/>
    <x v="2"/>
  </r>
  <r>
    <x v="29"/>
    <s v="ISL"/>
    <x v="0"/>
    <s v="EG.ELC.ACCS.ZS"/>
    <x v="21"/>
    <n v="100"/>
    <x v="2"/>
  </r>
  <r>
    <x v="29"/>
    <s v="ISL"/>
    <x v="0"/>
    <s v="EG.ELC.ACCS.ZS"/>
    <x v="22"/>
    <n v="100"/>
    <x v="2"/>
  </r>
  <r>
    <x v="29"/>
    <s v="ISL"/>
    <x v="0"/>
    <s v="EG.ELC.ACCS.ZS"/>
    <x v="23"/>
    <n v="100"/>
    <x v="2"/>
  </r>
  <r>
    <x v="29"/>
    <s v="ISL"/>
    <x v="0"/>
    <s v="EG.ELC.ACCS.ZS"/>
    <x v="24"/>
    <n v="100"/>
    <x v="2"/>
  </r>
  <r>
    <x v="29"/>
    <s v="ISL"/>
    <x v="0"/>
    <s v="EG.ELC.ACCS.ZS"/>
    <x v="25"/>
    <n v="100"/>
    <x v="2"/>
  </r>
  <r>
    <x v="29"/>
    <s v="ISL"/>
    <x v="0"/>
    <s v="EG.ELC.ACCS.ZS"/>
    <x v="26"/>
    <n v="100"/>
    <x v="2"/>
  </r>
  <r>
    <x v="29"/>
    <s v="ISL"/>
    <x v="0"/>
    <s v="EG.ELC.ACCS.ZS"/>
    <x v="27"/>
    <n v="100"/>
    <x v="3"/>
  </r>
  <r>
    <x v="29"/>
    <s v="ISL"/>
    <x v="0"/>
    <s v="EG.ELC.ACCS.ZS"/>
    <x v="28"/>
    <n v="100"/>
    <x v="3"/>
  </r>
  <r>
    <x v="29"/>
    <s v="ISL"/>
    <x v="0"/>
    <s v="EG.ELC.ACCS.ZS"/>
    <x v="29"/>
    <n v="100"/>
    <x v="3"/>
  </r>
  <r>
    <x v="29"/>
    <s v="ISL"/>
    <x v="0"/>
    <s v="EG.ELC.ACCS.ZS"/>
    <x v="30"/>
    <n v="100"/>
    <x v="3"/>
  </r>
  <r>
    <x v="29"/>
    <s v="ISL"/>
    <x v="0"/>
    <s v="EG.ELC.ACCS.ZS"/>
    <x v="31"/>
    <n v="100"/>
    <x v="0"/>
  </r>
  <r>
    <x v="29"/>
    <s v="ISL"/>
    <x v="0"/>
    <s v="EG.ELC.ACCS.ZS"/>
    <x v="32"/>
    <n v="100"/>
    <x v="0"/>
  </r>
  <r>
    <x v="29"/>
    <s v="ISL"/>
    <x v="0"/>
    <s v="EG.ELC.ACCS.ZS"/>
    <x v="33"/>
    <n v="100"/>
    <x v="0"/>
  </r>
  <r>
    <x v="30"/>
    <s v="ITA"/>
    <x v="0"/>
    <s v="EG.ELC.ACCS.ZS"/>
    <x v="0"/>
    <n v="100"/>
    <x v="0"/>
  </r>
  <r>
    <x v="30"/>
    <s v="ITA"/>
    <x v="0"/>
    <s v="EG.ELC.ACCS.ZS"/>
    <x v="1"/>
    <n v="100"/>
    <x v="0"/>
  </r>
  <r>
    <x v="30"/>
    <s v="ITA"/>
    <x v="0"/>
    <s v="EG.ELC.ACCS.ZS"/>
    <x v="2"/>
    <n v="100"/>
    <x v="0"/>
  </r>
  <r>
    <x v="30"/>
    <s v="ITA"/>
    <x v="0"/>
    <s v="EG.ELC.ACCS.ZS"/>
    <x v="3"/>
    <n v="100"/>
    <x v="0"/>
  </r>
  <r>
    <x v="30"/>
    <s v="ITA"/>
    <x v="0"/>
    <s v="EG.ELC.ACCS.ZS"/>
    <x v="4"/>
    <n v="100"/>
    <x v="0"/>
  </r>
  <r>
    <x v="30"/>
    <s v="ITA"/>
    <x v="0"/>
    <s v="EG.ELC.ACCS.ZS"/>
    <x v="5"/>
    <n v="100"/>
    <x v="0"/>
  </r>
  <r>
    <x v="30"/>
    <s v="ITA"/>
    <x v="0"/>
    <s v="EG.ELC.ACCS.ZS"/>
    <x v="6"/>
    <n v="100"/>
    <x v="0"/>
  </r>
  <r>
    <x v="30"/>
    <s v="ITA"/>
    <x v="0"/>
    <s v="EG.ELC.ACCS.ZS"/>
    <x v="7"/>
    <n v="100"/>
    <x v="1"/>
  </r>
  <r>
    <x v="30"/>
    <s v="ITA"/>
    <x v="0"/>
    <s v="EG.ELC.ACCS.ZS"/>
    <x v="8"/>
    <n v="100"/>
    <x v="1"/>
  </r>
  <r>
    <x v="30"/>
    <s v="ITA"/>
    <x v="0"/>
    <s v="EG.ELC.ACCS.ZS"/>
    <x v="9"/>
    <n v="100"/>
    <x v="1"/>
  </r>
  <r>
    <x v="30"/>
    <s v="ITA"/>
    <x v="0"/>
    <s v="EG.ELC.ACCS.ZS"/>
    <x v="10"/>
    <n v="100"/>
    <x v="1"/>
  </r>
  <r>
    <x v="30"/>
    <s v="ITA"/>
    <x v="0"/>
    <s v="EG.ELC.ACCS.ZS"/>
    <x v="11"/>
    <n v="100"/>
    <x v="1"/>
  </r>
  <r>
    <x v="30"/>
    <s v="ITA"/>
    <x v="0"/>
    <s v="EG.ELC.ACCS.ZS"/>
    <x v="12"/>
    <n v="100"/>
    <x v="1"/>
  </r>
  <r>
    <x v="30"/>
    <s v="ITA"/>
    <x v="0"/>
    <s v="EG.ELC.ACCS.ZS"/>
    <x v="13"/>
    <n v="100"/>
    <x v="1"/>
  </r>
  <r>
    <x v="30"/>
    <s v="ITA"/>
    <x v="0"/>
    <s v="EG.ELC.ACCS.ZS"/>
    <x v="14"/>
    <n v="100"/>
    <x v="1"/>
  </r>
  <r>
    <x v="30"/>
    <s v="ITA"/>
    <x v="0"/>
    <s v="EG.ELC.ACCS.ZS"/>
    <x v="15"/>
    <n v="100"/>
    <x v="1"/>
  </r>
  <r>
    <x v="30"/>
    <s v="ITA"/>
    <x v="0"/>
    <s v="EG.ELC.ACCS.ZS"/>
    <x v="16"/>
    <n v="100"/>
    <x v="1"/>
  </r>
  <r>
    <x v="30"/>
    <s v="ITA"/>
    <x v="0"/>
    <s v="EG.ELC.ACCS.ZS"/>
    <x v="17"/>
    <n v="100"/>
    <x v="2"/>
  </r>
  <r>
    <x v="30"/>
    <s v="ITA"/>
    <x v="0"/>
    <s v="EG.ELC.ACCS.ZS"/>
    <x v="18"/>
    <n v="100"/>
    <x v="2"/>
  </r>
  <r>
    <x v="30"/>
    <s v="ITA"/>
    <x v="0"/>
    <s v="EG.ELC.ACCS.ZS"/>
    <x v="19"/>
    <n v="100"/>
    <x v="2"/>
  </r>
  <r>
    <x v="30"/>
    <s v="ITA"/>
    <x v="0"/>
    <s v="EG.ELC.ACCS.ZS"/>
    <x v="20"/>
    <n v="100"/>
    <x v="2"/>
  </r>
  <r>
    <x v="30"/>
    <s v="ITA"/>
    <x v="0"/>
    <s v="EG.ELC.ACCS.ZS"/>
    <x v="21"/>
    <n v="100"/>
    <x v="2"/>
  </r>
  <r>
    <x v="30"/>
    <s v="ITA"/>
    <x v="0"/>
    <s v="EG.ELC.ACCS.ZS"/>
    <x v="22"/>
    <n v="100"/>
    <x v="2"/>
  </r>
  <r>
    <x v="30"/>
    <s v="ITA"/>
    <x v="0"/>
    <s v="EG.ELC.ACCS.ZS"/>
    <x v="23"/>
    <n v="100"/>
    <x v="2"/>
  </r>
  <r>
    <x v="30"/>
    <s v="ITA"/>
    <x v="0"/>
    <s v="EG.ELC.ACCS.ZS"/>
    <x v="24"/>
    <n v="100"/>
    <x v="2"/>
  </r>
  <r>
    <x v="30"/>
    <s v="ITA"/>
    <x v="0"/>
    <s v="EG.ELC.ACCS.ZS"/>
    <x v="25"/>
    <n v="100"/>
    <x v="2"/>
  </r>
  <r>
    <x v="30"/>
    <s v="ITA"/>
    <x v="0"/>
    <s v="EG.ELC.ACCS.ZS"/>
    <x v="26"/>
    <n v="100"/>
    <x v="2"/>
  </r>
  <r>
    <x v="30"/>
    <s v="ITA"/>
    <x v="0"/>
    <s v="EG.ELC.ACCS.ZS"/>
    <x v="27"/>
    <n v="100"/>
    <x v="3"/>
  </r>
  <r>
    <x v="30"/>
    <s v="ITA"/>
    <x v="0"/>
    <s v="EG.ELC.ACCS.ZS"/>
    <x v="28"/>
    <n v="100"/>
    <x v="3"/>
  </r>
  <r>
    <x v="30"/>
    <s v="ITA"/>
    <x v="0"/>
    <s v="EG.ELC.ACCS.ZS"/>
    <x v="29"/>
    <n v="100"/>
    <x v="3"/>
  </r>
  <r>
    <x v="30"/>
    <s v="ITA"/>
    <x v="0"/>
    <s v="EG.ELC.ACCS.ZS"/>
    <x v="30"/>
    <n v="100"/>
    <x v="3"/>
  </r>
  <r>
    <x v="30"/>
    <s v="ITA"/>
    <x v="0"/>
    <s v="EG.ELC.ACCS.ZS"/>
    <x v="31"/>
    <n v="100"/>
    <x v="0"/>
  </r>
  <r>
    <x v="30"/>
    <s v="ITA"/>
    <x v="0"/>
    <s v="EG.ELC.ACCS.ZS"/>
    <x v="32"/>
    <n v="100"/>
    <x v="0"/>
  </r>
  <r>
    <x v="30"/>
    <s v="ITA"/>
    <x v="0"/>
    <s v="EG.ELC.ACCS.ZS"/>
    <x v="33"/>
    <n v="100"/>
    <x v="0"/>
  </r>
  <r>
    <x v="31"/>
    <s v="KAZ"/>
    <x v="0"/>
    <s v="EG.ELC.ACCS.ZS"/>
    <x v="5"/>
    <n v="100"/>
    <x v="0"/>
  </r>
  <r>
    <x v="31"/>
    <s v="KAZ"/>
    <x v="0"/>
    <s v="EG.ELC.ACCS.ZS"/>
    <x v="6"/>
    <n v="99"/>
    <x v="0"/>
  </r>
  <r>
    <x v="31"/>
    <s v="KAZ"/>
    <x v="0"/>
    <s v="EG.ELC.ACCS.ZS"/>
    <x v="7"/>
    <n v="99"/>
    <x v="1"/>
  </r>
  <r>
    <x v="31"/>
    <s v="KAZ"/>
    <x v="0"/>
    <s v="EG.ELC.ACCS.ZS"/>
    <x v="8"/>
    <n v="99"/>
    <x v="1"/>
  </r>
  <r>
    <x v="31"/>
    <s v="KAZ"/>
    <x v="0"/>
    <s v="EG.ELC.ACCS.ZS"/>
    <x v="9"/>
    <n v="97"/>
    <x v="1"/>
  </r>
  <r>
    <x v="31"/>
    <s v="KAZ"/>
    <x v="0"/>
    <s v="EG.ELC.ACCS.ZS"/>
    <x v="10"/>
    <n v="100"/>
    <x v="1"/>
  </r>
  <r>
    <x v="31"/>
    <s v="KAZ"/>
    <x v="0"/>
    <s v="EG.ELC.ACCS.ZS"/>
    <x v="11"/>
    <n v="100"/>
    <x v="1"/>
  </r>
  <r>
    <x v="31"/>
    <s v="KAZ"/>
    <x v="0"/>
    <s v="EG.ELC.ACCS.ZS"/>
    <x v="12"/>
    <n v="100"/>
    <x v="1"/>
  </r>
  <r>
    <x v="31"/>
    <s v="KAZ"/>
    <x v="0"/>
    <s v="EG.ELC.ACCS.ZS"/>
    <x v="13"/>
    <n v="100"/>
    <x v="1"/>
  </r>
  <r>
    <x v="31"/>
    <s v="KAZ"/>
    <x v="0"/>
    <s v="EG.ELC.ACCS.ZS"/>
    <x v="14"/>
    <n v="100"/>
    <x v="1"/>
  </r>
  <r>
    <x v="31"/>
    <s v="KAZ"/>
    <x v="0"/>
    <s v="EG.ELC.ACCS.ZS"/>
    <x v="15"/>
    <n v="100"/>
    <x v="1"/>
  </r>
  <r>
    <x v="31"/>
    <s v="KAZ"/>
    <x v="0"/>
    <s v="EG.ELC.ACCS.ZS"/>
    <x v="16"/>
    <n v="100"/>
    <x v="1"/>
  </r>
  <r>
    <x v="31"/>
    <s v="KAZ"/>
    <x v="0"/>
    <s v="EG.ELC.ACCS.ZS"/>
    <x v="17"/>
    <n v="100"/>
    <x v="2"/>
  </r>
  <r>
    <x v="31"/>
    <s v="KAZ"/>
    <x v="0"/>
    <s v="EG.ELC.ACCS.ZS"/>
    <x v="18"/>
    <n v="100"/>
    <x v="2"/>
  </r>
  <r>
    <x v="31"/>
    <s v="KAZ"/>
    <x v="0"/>
    <s v="EG.ELC.ACCS.ZS"/>
    <x v="19"/>
    <n v="100"/>
    <x v="2"/>
  </r>
  <r>
    <x v="31"/>
    <s v="KAZ"/>
    <x v="0"/>
    <s v="EG.ELC.ACCS.ZS"/>
    <x v="20"/>
    <n v="100"/>
    <x v="2"/>
  </r>
  <r>
    <x v="31"/>
    <s v="KAZ"/>
    <x v="0"/>
    <s v="EG.ELC.ACCS.ZS"/>
    <x v="21"/>
    <n v="100"/>
    <x v="2"/>
  </r>
  <r>
    <x v="31"/>
    <s v="KAZ"/>
    <x v="0"/>
    <s v="EG.ELC.ACCS.ZS"/>
    <x v="22"/>
    <n v="100"/>
    <x v="2"/>
  </r>
  <r>
    <x v="31"/>
    <s v="KAZ"/>
    <x v="0"/>
    <s v="EG.ELC.ACCS.ZS"/>
    <x v="23"/>
    <n v="100"/>
    <x v="2"/>
  </r>
  <r>
    <x v="31"/>
    <s v="KAZ"/>
    <x v="0"/>
    <s v="EG.ELC.ACCS.ZS"/>
    <x v="24"/>
    <n v="100"/>
    <x v="2"/>
  </r>
  <r>
    <x v="31"/>
    <s v="KAZ"/>
    <x v="0"/>
    <s v="EG.ELC.ACCS.ZS"/>
    <x v="25"/>
    <n v="100"/>
    <x v="2"/>
  </r>
  <r>
    <x v="31"/>
    <s v="KAZ"/>
    <x v="0"/>
    <s v="EG.ELC.ACCS.ZS"/>
    <x v="26"/>
    <n v="100"/>
    <x v="2"/>
  </r>
  <r>
    <x v="31"/>
    <s v="KAZ"/>
    <x v="0"/>
    <s v="EG.ELC.ACCS.ZS"/>
    <x v="27"/>
    <n v="100"/>
    <x v="3"/>
  </r>
  <r>
    <x v="31"/>
    <s v="KAZ"/>
    <x v="0"/>
    <s v="EG.ELC.ACCS.ZS"/>
    <x v="28"/>
    <n v="100"/>
    <x v="3"/>
  </r>
  <r>
    <x v="31"/>
    <s v="KAZ"/>
    <x v="0"/>
    <s v="EG.ELC.ACCS.ZS"/>
    <x v="29"/>
    <n v="100"/>
    <x v="3"/>
  </r>
  <r>
    <x v="31"/>
    <s v="KAZ"/>
    <x v="0"/>
    <s v="EG.ELC.ACCS.ZS"/>
    <x v="30"/>
    <n v="100"/>
    <x v="3"/>
  </r>
  <r>
    <x v="31"/>
    <s v="KAZ"/>
    <x v="0"/>
    <s v="EG.ELC.ACCS.ZS"/>
    <x v="31"/>
    <n v="100"/>
    <x v="0"/>
  </r>
  <r>
    <x v="31"/>
    <s v="KAZ"/>
    <x v="0"/>
    <s v="EG.ELC.ACCS.ZS"/>
    <x v="32"/>
    <n v="100"/>
    <x v="0"/>
  </r>
  <r>
    <x v="31"/>
    <s v="KAZ"/>
    <x v="0"/>
    <s v="EG.ELC.ACCS.ZS"/>
    <x v="33"/>
    <n v="100"/>
    <x v="0"/>
  </r>
  <r>
    <x v="32"/>
    <s v="KGZ"/>
    <x v="0"/>
    <s v="EG.ELC.ACCS.ZS"/>
    <x v="7"/>
    <n v="100"/>
    <x v="1"/>
  </r>
  <r>
    <x v="32"/>
    <s v="KGZ"/>
    <x v="0"/>
    <s v="EG.ELC.ACCS.ZS"/>
    <x v="8"/>
    <n v="100"/>
    <x v="1"/>
  </r>
  <r>
    <x v="32"/>
    <s v="KGZ"/>
    <x v="0"/>
    <s v="EG.ELC.ACCS.ZS"/>
    <x v="9"/>
    <n v="100"/>
    <x v="1"/>
  </r>
  <r>
    <x v="32"/>
    <s v="KGZ"/>
    <x v="0"/>
    <s v="EG.ELC.ACCS.ZS"/>
    <x v="10"/>
    <n v="100"/>
    <x v="1"/>
  </r>
  <r>
    <x v="32"/>
    <s v="KGZ"/>
    <x v="0"/>
    <s v="EG.ELC.ACCS.ZS"/>
    <x v="11"/>
    <n v="100"/>
    <x v="1"/>
  </r>
  <r>
    <x v="32"/>
    <s v="KGZ"/>
    <x v="0"/>
    <s v="EG.ELC.ACCS.ZS"/>
    <x v="12"/>
    <n v="100"/>
    <x v="1"/>
  </r>
  <r>
    <x v="32"/>
    <s v="KGZ"/>
    <x v="0"/>
    <s v="EG.ELC.ACCS.ZS"/>
    <x v="13"/>
    <n v="99"/>
    <x v="1"/>
  </r>
  <r>
    <x v="32"/>
    <s v="KGZ"/>
    <x v="0"/>
    <s v="EG.ELC.ACCS.ZS"/>
    <x v="14"/>
    <n v="99"/>
    <x v="1"/>
  </r>
  <r>
    <x v="32"/>
    <s v="KGZ"/>
    <x v="0"/>
    <s v="EG.ELC.ACCS.ZS"/>
    <x v="15"/>
    <n v="99"/>
    <x v="1"/>
  </r>
  <r>
    <x v="32"/>
    <s v="KGZ"/>
    <x v="0"/>
    <s v="EG.ELC.ACCS.ZS"/>
    <x v="16"/>
    <n v="99"/>
    <x v="1"/>
  </r>
  <r>
    <x v="32"/>
    <s v="KGZ"/>
    <x v="0"/>
    <s v="EG.ELC.ACCS.ZS"/>
    <x v="17"/>
    <n v="100"/>
    <x v="2"/>
  </r>
  <r>
    <x v="32"/>
    <s v="KGZ"/>
    <x v="0"/>
    <s v="EG.ELC.ACCS.ZS"/>
    <x v="18"/>
    <n v="100"/>
    <x v="2"/>
  </r>
  <r>
    <x v="32"/>
    <s v="KGZ"/>
    <x v="0"/>
    <s v="EG.ELC.ACCS.ZS"/>
    <x v="19"/>
    <n v="100"/>
    <x v="2"/>
  </r>
  <r>
    <x v="32"/>
    <s v="KGZ"/>
    <x v="0"/>
    <s v="EG.ELC.ACCS.ZS"/>
    <x v="20"/>
    <n v="99"/>
    <x v="2"/>
  </r>
  <r>
    <x v="32"/>
    <s v="KGZ"/>
    <x v="0"/>
    <s v="EG.ELC.ACCS.ZS"/>
    <x v="21"/>
    <n v="98"/>
    <x v="2"/>
  </r>
  <r>
    <x v="32"/>
    <s v="KGZ"/>
    <x v="0"/>
    <s v="EG.ELC.ACCS.ZS"/>
    <x v="22"/>
    <n v="100"/>
    <x v="2"/>
  </r>
  <r>
    <x v="32"/>
    <s v="KGZ"/>
    <x v="0"/>
    <s v="EG.ELC.ACCS.ZS"/>
    <x v="23"/>
    <n v="99"/>
    <x v="2"/>
  </r>
  <r>
    <x v="32"/>
    <s v="KGZ"/>
    <x v="0"/>
    <s v="EG.ELC.ACCS.ZS"/>
    <x v="24"/>
    <n v="100"/>
    <x v="2"/>
  </r>
  <r>
    <x v="32"/>
    <s v="KGZ"/>
    <x v="0"/>
    <s v="EG.ELC.ACCS.ZS"/>
    <x v="25"/>
    <n v="99"/>
    <x v="2"/>
  </r>
  <r>
    <x v="32"/>
    <s v="KGZ"/>
    <x v="0"/>
    <s v="EG.ELC.ACCS.ZS"/>
    <x v="26"/>
    <n v="100"/>
    <x v="2"/>
  </r>
  <r>
    <x v="32"/>
    <s v="KGZ"/>
    <x v="0"/>
    <s v="EG.ELC.ACCS.ZS"/>
    <x v="27"/>
    <n v="100"/>
    <x v="3"/>
  </r>
  <r>
    <x v="32"/>
    <s v="KGZ"/>
    <x v="0"/>
    <s v="EG.ELC.ACCS.ZS"/>
    <x v="28"/>
    <n v="100"/>
    <x v="3"/>
  </r>
  <r>
    <x v="32"/>
    <s v="KGZ"/>
    <x v="0"/>
    <s v="EG.ELC.ACCS.ZS"/>
    <x v="29"/>
    <n v="100"/>
    <x v="3"/>
  </r>
  <r>
    <x v="32"/>
    <s v="KGZ"/>
    <x v="0"/>
    <s v="EG.ELC.ACCS.ZS"/>
    <x v="30"/>
    <n v="100"/>
    <x v="3"/>
  </r>
  <r>
    <x v="32"/>
    <s v="KGZ"/>
    <x v="0"/>
    <s v="EG.ELC.ACCS.ZS"/>
    <x v="31"/>
    <n v="100"/>
    <x v="0"/>
  </r>
  <r>
    <x v="32"/>
    <s v="KGZ"/>
    <x v="0"/>
    <s v="EG.ELC.ACCS.ZS"/>
    <x v="32"/>
    <n v="100"/>
    <x v="0"/>
  </r>
  <r>
    <x v="32"/>
    <s v="KGZ"/>
    <x v="0"/>
    <s v="EG.ELC.ACCS.ZS"/>
    <x v="33"/>
    <n v="100"/>
    <x v="0"/>
  </r>
  <r>
    <x v="33"/>
    <s v="LIE"/>
    <x v="0"/>
    <s v="EG.ELC.ACCS.ZS"/>
    <x v="0"/>
    <n v="100"/>
    <x v="0"/>
  </r>
  <r>
    <x v="33"/>
    <s v="LIE"/>
    <x v="0"/>
    <s v="EG.ELC.ACCS.ZS"/>
    <x v="1"/>
    <n v="100"/>
    <x v="0"/>
  </r>
  <r>
    <x v="33"/>
    <s v="LIE"/>
    <x v="0"/>
    <s v="EG.ELC.ACCS.ZS"/>
    <x v="2"/>
    <n v="100"/>
    <x v="0"/>
  </r>
  <r>
    <x v="33"/>
    <s v="LIE"/>
    <x v="0"/>
    <s v="EG.ELC.ACCS.ZS"/>
    <x v="3"/>
    <n v="100"/>
    <x v="0"/>
  </r>
  <r>
    <x v="33"/>
    <s v="LIE"/>
    <x v="0"/>
    <s v="EG.ELC.ACCS.ZS"/>
    <x v="4"/>
    <n v="100"/>
    <x v="0"/>
  </r>
  <r>
    <x v="33"/>
    <s v="LIE"/>
    <x v="0"/>
    <s v="EG.ELC.ACCS.ZS"/>
    <x v="5"/>
    <n v="100"/>
    <x v="0"/>
  </r>
  <r>
    <x v="33"/>
    <s v="LIE"/>
    <x v="0"/>
    <s v="EG.ELC.ACCS.ZS"/>
    <x v="6"/>
    <n v="100"/>
    <x v="0"/>
  </r>
  <r>
    <x v="33"/>
    <s v="LIE"/>
    <x v="0"/>
    <s v="EG.ELC.ACCS.ZS"/>
    <x v="7"/>
    <n v="100"/>
    <x v="1"/>
  </r>
  <r>
    <x v="33"/>
    <s v="LIE"/>
    <x v="0"/>
    <s v="EG.ELC.ACCS.ZS"/>
    <x v="8"/>
    <n v="100"/>
    <x v="1"/>
  </r>
  <r>
    <x v="33"/>
    <s v="LIE"/>
    <x v="0"/>
    <s v="EG.ELC.ACCS.ZS"/>
    <x v="9"/>
    <n v="100"/>
    <x v="1"/>
  </r>
  <r>
    <x v="33"/>
    <s v="LIE"/>
    <x v="0"/>
    <s v="EG.ELC.ACCS.ZS"/>
    <x v="10"/>
    <n v="100"/>
    <x v="1"/>
  </r>
  <r>
    <x v="33"/>
    <s v="LIE"/>
    <x v="0"/>
    <s v="EG.ELC.ACCS.ZS"/>
    <x v="11"/>
    <n v="100"/>
    <x v="1"/>
  </r>
  <r>
    <x v="33"/>
    <s v="LIE"/>
    <x v="0"/>
    <s v="EG.ELC.ACCS.ZS"/>
    <x v="12"/>
    <n v="100"/>
    <x v="1"/>
  </r>
  <r>
    <x v="33"/>
    <s v="LIE"/>
    <x v="0"/>
    <s v="EG.ELC.ACCS.ZS"/>
    <x v="13"/>
    <n v="100"/>
    <x v="1"/>
  </r>
  <r>
    <x v="33"/>
    <s v="LIE"/>
    <x v="0"/>
    <s v="EG.ELC.ACCS.ZS"/>
    <x v="14"/>
    <n v="100"/>
    <x v="1"/>
  </r>
  <r>
    <x v="33"/>
    <s v="LIE"/>
    <x v="0"/>
    <s v="EG.ELC.ACCS.ZS"/>
    <x v="15"/>
    <n v="100"/>
    <x v="1"/>
  </r>
  <r>
    <x v="33"/>
    <s v="LIE"/>
    <x v="0"/>
    <s v="EG.ELC.ACCS.ZS"/>
    <x v="16"/>
    <n v="100"/>
    <x v="1"/>
  </r>
  <r>
    <x v="33"/>
    <s v="LIE"/>
    <x v="0"/>
    <s v="EG.ELC.ACCS.ZS"/>
    <x v="17"/>
    <n v="100"/>
    <x v="2"/>
  </r>
  <r>
    <x v="33"/>
    <s v="LIE"/>
    <x v="0"/>
    <s v="EG.ELC.ACCS.ZS"/>
    <x v="18"/>
    <n v="100"/>
    <x v="2"/>
  </r>
  <r>
    <x v="33"/>
    <s v="LIE"/>
    <x v="0"/>
    <s v="EG.ELC.ACCS.ZS"/>
    <x v="19"/>
    <n v="100"/>
    <x v="2"/>
  </r>
  <r>
    <x v="33"/>
    <s v="LIE"/>
    <x v="0"/>
    <s v="EG.ELC.ACCS.ZS"/>
    <x v="20"/>
    <n v="100"/>
    <x v="2"/>
  </r>
  <r>
    <x v="33"/>
    <s v="LIE"/>
    <x v="0"/>
    <s v="EG.ELC.ACCS.ZS"/>
    <x v="21"/>
    <n v="100"/>
    <x v="2"/>
  </r>
  <r>
    <x v="33"/>
    <s v="LIE"/>
    <x v="0"/>
    <s v="EG.ELC.ACCS.ZS"/>
    <x v="22"/>
    <n v="100"/>
    <x v="2"/>
  </r>
  <r>
    <x v="33"/>
    <s v="LIE"/>
    <x v="0"/>
    <s v="EG.ELC.ACCS.ZS"/>
    <x v="23"/>
    <n v="100"/>
    <x v="2"/>
  </r>
  <r>
    <x v="33"/>
    <s v="LIE"/>
    <x v="0"/>
    <s v="EG.ELC.ACCS.ZS"/>
    <x v="24"/>
    <n v="100"/>
    <x v="2"/>
  </r>
  <r>
    <x v="33"/>
    <s v="LIE"/>
    <x v="0"/>
    <s v="EG.ELC.ACCS.ZS"/>
    <x v="25"/>
    <n v="100"/>
    <x v="2"/>
  </r>
  <r>
    <x v="33"/>
    <s v="LIE"/>
    <x v="0"/>
    <s v="EG.ELC.ACCS.ZS"/>
    <x v="26"/>
    <n v="100"/>
    <x v="2"/>
  </r>
  <r>
    <x v="33"/>
    <s v="LIE"/>
    <x v="0"/>
    <s v="EG.ELC.ACCS.ZS"/>
    <x v="27"/>
    <n v="100"/>
    <x v="3"/>
  </r>
  <r>
    <x v="33"/>
    <s v="LIE"/>
    <x v="0"/>
    <s v="EG.ELC.ACCS.ZS"/>
    <x v="28"/>
    <n v="100"/>
    <x v="3"/>
  </r>
  <r>
    <x v="33"/>
    <s v="LIE"/>
    <x v="0"/>
    <s v="EG.ELC.ACCS.ZS"/>
    <x v="29"/>
    <n v="100"/>
    <x v="3"/>
  </r>
  <r>
    <x v="33"/>
    <s v="LIE"/>
    <x v="0"/>
    <s v="EG.ELC.ACCS.ZS"/>
    <x v="30"/>
    <n v="100"/>
    <x v="3"/>
  </r>
  <r>
    <x v="33"/>
    <s v="LIE"/>
    <x v="0"/>
    <s v="EG.ELC.ACCS.ZS"/>
    <x v="31"/>
    <n v="100"/>
    <x v="0"/>
  </r>
  <r>
    <x v="33"/>
    <s v="LIE"/>
    <x v="0"/>
    <s v="EG.ELC.ACCS.ZS"/>
    <x v="32"/>
    <n v="100"/>
    <x v="0"/>
  </r>
  <r>
    <x v="33"/>
    <s v="LIE"/>
    <x v="0"/>
    <s v="EG.ELC.ACCS.ZS"/>
    <x v="33"/>
    <n v="100"/>
    <x v="0"/>
  </r>
  <r>
    <x v="34"/>
    <s v="LTU"/>
    <x v="0"/>
    <s v="EG.ELC.ACCS.ZS"/>
    <x v="0"/>
    <n v="100"/>
    <x v="0"/>
  </r>
  <r>
    <x v="34"/>
    <s v="LTU"/>
    <x v="0"/>
    <s v="EG.ELC.ACCS.ZS"/>
    <x v="1"/>
    <n v="100"/>
    <x v="0"/>
  </r>
  <r>
    <x v="34"/>
    <s v="LTU"/>
    <x v="0"/>
    <s v="EG.ELC.ACCS.ZS"/>
    <x v="2"/>
    <n v="100"/>
    <x v="0"/>
  </r>
  <r>
    <x v="34"/>
    <s v="LTU"/>
    <x v="0"/>
    <s v="EG.ELC.ACCS.ZS"/>
    <x v="3"/>
    <n v="100"/>
    <x v="0"/>
  </r>
  <r>
    <x v="34"/>
    <s v="LTU"/>
    <x v="0"/>
    <s v="EG.ELC.ACCS.ZS"/>
    <x v="4"/>
    <n v="100"/>
    <x v="0"/>
  </r>
  <r>
    <x v="34"/>
    <s v="LTU"/>
    <x v="0"/>
    <s v="EG.ELC.ACCS.ZS"/>
    <x v="5"/>
    <n v="100"/>
    <x v="0"/>
  </r>
  <r>
    <x v="34"/>
    <s v="LTU"/>
    <x v="0"/>
    <s v="EG.ELC.ACCS.ZS"/>
    <x v="6"/>
    <n v="100"/>
    <x v="0"/>
  </r>
  <r>
    <x v="34"/>
    <s v="LTU"/>
    <x v="0"/>
    <s v="EG.ELC.ACCS.ZS"/>
    <x v="7"/>
    <n v="100"/>
    <x v="1"/>
  </r>
  <r>
    <x v="34"/>
    <s v="LTU"/>
    <x v="0"/>
    <s v="EG.ELC.ACCS.ZS"/>
    <x v="8"/>
    <n v="100"/>
    <x v="1"/>
  </r>
  <r>
    <x v="34"/>
    <s v="LTU"/>
    <x v="0"/>
    <s v="EG.ELC.ACCS.ZS"/>
    <x v="9"/>
    <n v="100"/>
    <x v="1"/>
  </r>
  <r>
    <x v="34"/>
    <s v="LTU"/>
    <x v="0"/>
    <s v="EG.ELC.ACCS.ZS"/>
    <x v="10"/>
    <n v="100"/>
    <x v="1"/>
  </r>
  <r>
    <x v="34"/>
    <s v="LTU"/>
    <x v="0"/>
    <s v="EG.ELC.ACCS.ZS"/>
    <x v="11"/>
    <n v="100"/>
    <x v="1"/>
  </r>
  <r>
    <x v="34"/>
    <s v="LTU"/>
    <x v="0"/>
    <s v="EG.ELC.ACCS.ZS"/>
    <x v="12"/>
    <n v="99"/>
    <x v="1"/>
  </r>
  <r>
    <x v="34"/>
    <s v="LTU"/>
    <x v="0"/>
    <s v="EG.ELC.ACCS.ZS"/>
    <x v="13"/>
    <n v="99"/>
    <x v="1"/>
  </r>
  <r>
    <x v="34"/>
    <s v="LTU"/>
    <x v="0"/>
    <s v="EG.ELC.ACCS.ZS"/>
    <x v="14"/>
    <n v="99"/>
    <x v="1"/>
  </r>
  <r>
    <x v="34"/>
    <s v="LTU"/>
    <x v="0"/>
    <s v="EG.ELC.ACCS.ZS"/>
    <x v="15"/>
    <n v="99"/>
    <x v="1"/>
  </r>
  <r>
    <x v="34"/>
    <s v="LTU"/>
    <x v="0"/>
    <s v="EG.ELC.ACCS.ZS"/>
    <x v="16"/>
    <n v="99"/>
    <x v="1"/>
  </r>
  <r>
    <x v="34"/>
    <s v="LTU"/>
    <x v="0"/>
    <s v="EG.ELC.ACCS.ZS"/>
    <x v="17"/>
    <n v="99"/>
    <x v="2"/>
  </r>
  <r>
    <x v="34"/>
    <s v="LTU"/>
    <x v="0"/>
    <s v="EG.ELC.ACCS.ZS"/>
    <x v="18"/>
    <n v="99"/>
    <x v="2"/>
  </r>
  <r>
    <x v="34"/>
    <s v="LTU"/>
    <x v="0"/>
    <s v="EG.ELC.ACCS.ZS"/>
    <x v="19"/>
    <n v="100"/>
    <x v="2"/>
  </r>
  <r>
    <x v="34"/>
    <s v="LTU"/>
    <x v="0"/>
    <s v="EG.ELC.ACCS.ZS"/>
    <x v="20"/>
    <n v="100"/>
    <x v="2"/>
  </r>
  <r>
    <x v="34"/>
    <s v="LTU"/>
    <x v="0"/>
    <s v="EG.ELC.ACCS.ZS"/>
    <x v="21"/>
    <n v="100"/>
    <x v="2"/>
  </r>
  <r>
    <x v="34"/>
    <s v="LTU"/>
    <x v="0"/>
    <s v="EG.ELC.ACCS.ZS"/>
    <x v="22"/>
    <n v="100"/>
    <x v="2"/>
  </r>
  <r>
    <x v="34"/>
    <s v="LTU"/>
    <x v="0"/>
    <s v="EG.ELC.ACCS.ZS"/>
    <x v="23"/>
    <n v="100"/>
    <x v="2"/>
  </r>
  <r>
    <x v="34"/>
    <s v="LTU"/>
    <x v="0"/>
    <s v="EG.ELC.ACCS.ZS"/>
    <x v="24"/>
    <n v="100"/>
    <x v="2"/>
  </r>
  <r>
    <x v="34"/>
    <s v="LTU"/>
    <x v="0"/>
    <s v="EG.ELC.ACCS.ZS"/>
    <x v="25"/>
    <n v="100"/>
    <x v="2"/>
  </r>
  <r>
    <x v="34"/>
    <s v="LTU"/>
    <x v="0"/>
    <s v="EG.ELC.ACCS.ZS"/>
    <x v="26"/>
    <n v="100"/>
    <x v="2"/>
  </r>
  <r>
    <x v="34"/>
    <s v="LTU"/>
    <x v="0"/>
    <s v="EG.ELC.ACCS.ZS"/>
    <x v="27"/>
    <n v="100"/>
    <x v="3"/>
  </r>
  <r>
    <x v="34"/>
    <s v="LTU"/>
    <x v="0"/>
    <s v="EG.ELC.ACCS.ZS"/>
    <x v="28"/>
    <n v="100"/>
    <x v="3"/>
  </r>
  <r>
    <x v="34"/>
    <s v="LTU"/>
    <x v="0"/>
    <s v="EG.ELC.ACCS.ZS"/>
    <x v="29"/>
    <n v="100"/>
    <x v="3"/>
  </r>
  <r>
    <x v="34"/>
    <s v="LTU"/>
    <x v="0"/>
    <s v="EG.ELC.ACCS.ZS"/>
    <x v="30"/>
    <n v="100"/>
    <x v="3"/>
  </r>
  <r>
    <x v="34"/>
    <s v="LTU"/>
    <x v="0"/>
    <s v="EG.ELC.ACCS.ZS"/>
    <x v="31"/>
    <n v="100"/>
    <x v="0"/>
  </r>
  <r>
    <x v="34"/>
    <s v="LTU"/>
    <x v="0"/>
    <s v="EG.ELC.ACCS.ZS"/>
    <x v="32"/>
    <n v="100"/>
    <x v="0"/>
  </r>
  <r>
    <x v="34"/>
    <s v="LTU"/>
    <x v="0"/>
    <s v="EG.ELC.ACCS.ZS"/>
    <x v="33"/>
    <n v="100"/>
    <x v="0"/>
  </r>
  <r>
    <x v="35"/>
    <s v="LUX"/>
    <x v="0"/>
    <s v="EG.ELC.ACCS.ZS"/>
    <x v="0"/>
    <n v="100"/>
    <x v="0"/>
  </r>
  <r>
    <x v="35"/>
    <s v="LUX"/>
    <x v="0"/>
    <s v="EG.ELC.ACCS.ZS"/>
    <x v="1"/>
    <n v="100"/>
    <x v="0"/>
  </r>
  <r>
    <x v="35"/>
    <s v="LUX"/>
    <x v="0"/>
    <s v="EG.ELC.ACCS.ZS"/>
    <x v="2"/>
    <n v="100"/>
    <x v="0"/>
  </r>
  <r>
    <x v="35"/>
    <s v="LUX"/>
    <x v="0"/>
    <s v="EG.ELC.ACCS.ZS"/>
    <x v="3"/>
    <n v="100"/>
    <x v="0"/>
  </r>
  <r>
    <x v="35"/>
    <s v="LUX"/>
    <x v="0"/>
    <s v="EG.ELC.ACCS.ZS"/>
    <x v="4"/>
    <n v="100"/>
    <x v="0"/>
  </r>
  <r>
    <x v="35"/>
    <s v="LUX"/>
    <x v="0"/>
    <s v="EG.ELC.ACCS.ZS"/>
    <x v="5"/>
    <n v="100"/>
    <x v="0"/>
  </r>
  <r>
    <x v="35"/>
    <s v="LUX"/>
    <x v="0"/>
    <s v="EG.ELC.ACCS.ZS"/>
    <x v="6"/>
    <n v="100"/>
    <x v="0"/>
  </r>
  <r>
    <x v="35"/>
    <s v="LUX"/>
    <x v="0"/>
    <s v="EG.ELC.ACCS.ZS"/>
    <x v="7"/>
    <n v="100"/>
    <x v="1"/>
  </r>
  <r>
    <x v="35"/>
    <s v="LUX"/>
    <x v="0"/>
    <s v="EG.ELC.ACCS.ZS"/>
    <x v="8"/>
    <n v="100"/>
    <x v="1"/>
  </r>
  <r>
    <x v="35"/>
    <s v="LUX"/>
    <x v="0"/>
    <s v="EG.ELC.ACCS.ZS"/>
    <x v="9"/>
    <n v="100"/>
    <x v="1"/>
  </r>
  <r>
    <x v="35"/>
    <s v="LUX"/>
    <x v="0"/>
    <s v="EG.ELC.ACCS.ZS"/>
    <x v="10"/>
    <n v="100"/>
    <x v="1"/>
  </r>
  <r>
    <x v="35"/>
    <s v="LUX"/>
    <x v="0"/>
    <s v="EG.ELC.ACCS.ZS"/>
    <x v="11"/>
    <n v="100"/>
    <x v="1"/>
  </r>
  <r>
    <x v="35"/>
    <s v="LUX"/>
    <x v="0"/>
    <s v="EG.ELC.ACCS.ZS"/>
    <x v="12"/>
    <n v="100"/>
    <x v="1"/>
  </r>
  <r>
    <x v="35"/>
    <s v="LUX"/>
    <x v="0"/>
    <s v="EG.ELC.ACCS.ZS"/>
    <x v="13"/>
    <n v="100"/>
    <x v="1"/>
  </r>
  <r>
    <x v="35"/>
    <s v="LUX"/>
    <x v="0"/>
    <s v="EG.ELC.ACCS.ZS"/>
    <x v="14"/>
    <n v="100"/>
    <x v="1"/>
  </r>
  <r>
    <x v="35"/>
    <s v="LUX"/>
    <x v="0"/>
    <s v="EG.ELC.ACCS.ZS"/>
    <x v="15"/>
    <n v="100"/>
    <x v="1"/>
  </r>
  <r>
    <x v="35"/>
    <s v="LUX"/>
    <x v="0"/>
    <s v="EG.ELC.ACCS.ZS"/>
    <x v="16"/>
    <n v="100"/>
    <x v="1"/>
  </r>
  <r>
    <x v="35"/>
    <s v="LUX"/>
    <x v="0"/>
    <s v="EG.ELC.ACCS.ZS"/>
    <x v="17"/>
    <n v="100"/>
    <x v="2"/>
  </r>
  <r>
    <x v="35"/>
    <s v="LUX"/>
    <x v="0"/>
    <s v="EG.ELC.ACCS.ZS"/>
    <x v="18"/>
    <n v="100"/>
    <x v="2"/>
  </r>
  <r>
    <x v="35"/>
    <s v="LUX"/>
    <x v="0"/>
    <s v="EG.ELC.ACCS.ZS"/>
    <x v="19"/>
    <n v="100"/>
    <x v="2"/>
  </r>
  <r>
    <x v="35"/>
    <s v="LUX"/>
    <x v="0"/>
    <s v="EG.ELC.ACCS.ZS"/>
    <x v="20"/>
    <n v="100"/>
    <x v="2"/>
  </r>
  <r>
    <x v="35"/>
    <s v="LUX"/>
    <x v="0"/>
    <s v="EG.ELC.ACCS.ZS"/>
    <x v="21"/>
    <n v="100"/>
    <x v="2"/>
  </r>
  <r>
    <x v="35"/>
    <s v="LUX"/>
    <x v="0"/>
    <s v="EG.ELC.ACCS.ZS"/>
    <x v="22"/>
    <n v="100"/>
    <x v="2"/>
  </r>
  <r>
    <x v="35"/>
    <s v="LUX"/>
    <x v="0"/>
    <s v="EG.ELC.ACCS.ZS"/>
    <x v="23"/>
    <n v="100"/>
    <x v="2"/>
  </r>
  <r>
    <x v="35"/>
    <s v="LUX"/>
    <x v="0"/>
    <s v="EG.ELC.ACCS.ZS"/>
    <x v="24"/>
    <n v="100"/>
    <x v="2"/>
  </r>
  <r>
    <x v="35"/>
    <s v="LUX"/>
    <x v="0"/>
    <s v="EG.ELC.ACCS.ZS"/>
    <x v="25"/>
    <n v="100"/>
    <x v="2"/>
  </r>
  <r>
    <x v="35"/>
    <s v="LUX"/>
    <x v="0"/>
    <s v="EG.ELC.ACCS.ZS"/>
    <x v="26"/>
    <n v="100"/>
    <x v="2"/>
  </r>
  <r>
    <x v="35"/>
    <s v="LUX"/>
    <x v="0"/>
    <s v="EG.ELC.ACCS.ZS"/>
    <x v="27"/>
    <n v="100"/>
    <x v="3"/>
  </r>
  <r>
    <x v="35"/>
    <s v="LUX"/>
    <x v="0"/>
    <s v="EG.ELC.ACCS.ZS"/>
    <x v="28"/>
    <n v="100"/>
    <x v="3"/>
  </r>
  <r>
    <x v="35"/>
    <s v="LUX"/>
    <x v="0"/>
    <s v="EG.ELC.ACCS.ZS"/>
    <x v="29"/>
    <n v="100"/>
    <x v="3"/>
  </r>
  <r>
    <x v="35"/>
    <s v="LUX"/>
    <x v="0"/>
    <s v="EG.ELC.ACCS.ZS"/>
    <x v="30"/>
    <n v="100"/>
    <x v="3"/>
  </r>
  <r>
    <x v="35"/>
    <s v="LUX"/>
    <x v="0"/>
    <s v="EG.ELC.ACCS.ZS"/>
    <x v="31"/>
    <n v="100"/>
    <x v="0"/>
  </r>
  <r>
    <x v="35"/>
    <s v="LUX"/>
    <x v="0"/>
    <s v="EG.ELC.ACCS.ZS"/>
    <x v="32"/>
    <n v="100"/>
    <x v="0"/>
  </r>
  <r>
    <x v="35"/>
    <s v="LUX"/>
    <x v="0"/>
    <s v="EG.ELC.ACCS.ZS"/>
    <x v="33"/>
    <n v="100"/>
    <x v="0"/>
  </r>
  <r>
    <x v="36"/>
    <s v="LVA"/>
    <x v="0"/>
    <s v="EG.ELC.ACCS.ZS"/>
    <x v="0"/>
    <n v="100"/>
    <x v="0"/>
  </r>
  <r>
    <x v="36"/>
    <s v="LVA"/>
    <x v="0"/>
    <s v="EG.ELC.ACCS.ZS"/>
    <x v="1"/>
    <n v="100"/>
    <x v="0"/>
  </r>
  <r>
    <x v="36"/>
    <s v="LVA"/>
    <x v="0"/>
    <s v="EG.ELC.ACCS.ZS"/>
    <x v="2"/>
    <n v="100"/>
    <x v="0"/>
  </r>
  <r>
    <x v="36"/>
    <s v="LVA"/>
    <x v="0"/>
    <s v="EG.ELC.ACCS.ZS"/>
    <x v="3"/>
    <n v="100"/>
    <x v="0"/>
  </r>
  <r>
    <x v="36"/>
    <s v="LVA"/>
    <x v="0"/>
    <s v="EG.ELC.ACCS.ZS"/>
    <x v="4"/>
    <n v="100"/>
    <x v="0"/>
  </r>
  <r>
    <x v="36"/>
    <s v="LVA"/>
    <x v="0"/>
    <s v="EG.ELC.ACCS.ZS"/>
    <x v="5"/>
    <n v="100"/>
    <x v="0"/>
  </r>
  <r>
    <x v="36"/>
    <s v="LVA"/>
    <x v="0"/>
    <s v="EG.ELC.ACCS.ZS"/>
    <x v="6"/>
    <n v="100"/>
    <x v="0"/>
  </r>
  <r>
    <x v="36"/>
    <s v="LVA"/>
    <x v="0"/>
    <s v="EG.ELC.ACCS.ZS"/>
    <x v="7"/>
    <n v="100"/>
    <x v="1"/>
  </r>
  <r>
    <x v="36"/>
    <s v="LVA"/>
    <x v="0"/>
    <s v="EG.ELC.ACCS.ZS"/>
    <x v="8"/>
    <n v="100"/>
    <x v="1"/>
  </r>
  <r>
    <x v="36"/>
    <s v="LVA"/>
    <x v="0"/>
    <s v="EG.ELC.ACCS.ZS"/>
    <x v="9"/>
    <n v="100"/>
    <x v="1"/>
  </r>
  <r>
    <x v="36"/>
    <s v="LVA"/>
    <x v="0"/>
    <s v="EG.ELC.ACCS.ZS"/>
    <x v="10"/>
    <n v="100"/>
    <x v="1"/>
  </r>
  <r>
    <x v="36"/>
    <s v="LVA"/>
    <x v="0"/>
    <s v="EG.ELC.ACCS.ZS"/>
    <x v="11"/>
    <n v="100"/>
    <x v="1"/>
  </r>
  <r>
    <x v="36"/>
    <s v="LVA"/>
    <x v="0"/>
    <s v="EG.ELC.ACCS.ZS"/>
    <x v="12"/>
    <n v="100"/>
    <x v="1"/>
  </r>
  <r>
    <x v="36"/>
    <s v="LVA"/>
    <x v="0"/>
    <s v="EG.ELC.ACCS.ZS"/>
    <x v="13"/>
    <n v="100"/>
    <x v="1"/>
  </r>
  <r>
    <x v="36"/>
    <s v="LVA"/>
    <x v="0"/>
    <s v="EG.ELC.ACCS.ZS"/>
    <x v="14"/>
    <n v="100"/>
    <x v="1"/>
  </r>
  <r>
    <x v="36"/>
    <s v="LVA"/>
    <x v="0"/>
    <s v="EG.ELC.ACCS.ZS"/>
    <x v="15"/>
    <n v="100"/>
    <x v="1"/>
  </r>
  <r>
    <x v="36"/>
    <s v="LVA"/>
    <x v="0"/>
    <s v="EG.ELC.ACCS.ZS"/>
    <x v="16"/>
    <n v="100"/>
    <x v="1"/>
  </r>
  <r>
    <x v="36"/>
    <s v="LVA"/>
    <x v="0"/>
    <s v="EG.ELC.ACCS.ZS"/>
    <x v="17"/>
    <n v="100"/>
    <x v="2"/>
  </r>
  <r>
    <x v="36"/>
    <s v="LVA"/>
    <x v="0"/>
    <s v="EG.ELC.ACCS.ZS"/>
    <x v="18"/>
    <n v="100"/>
    <x v="2"/>
  </r>
  <r>
    <x v="36"/>
    <s v="LVA"/>
    <x v="0"/>
    <s v="EG.ELC.ACCS.ZS"/>
    <x v="19"/>
    <n v="100"/>
    <x v="2"/>
  </r>
  <r>
    <x v="36"/>
    <s v="LVA"/>
    <x v="0"/>
    <s v="EG.ELC.ACCS.ZS"/>
    <x v="20"/>
    <n v="100"/>
    <x v="2"/>
  </r>
  <r>
    <x v="36"/>
    <s v="LVA"/>
    <x v="0"/>
    <s v="EG.ELC.ACCS.ZS"/>
    <x v="21"/>
    <n v="100"/>
    <x v="2"/>
  </r>
  <r>
    <x v="36"/>
    <s v="LVA"/>
    <x v="0"/>
    <s v="EG.ELC.ACCS.ZS"/>
    <x v="22"/>
    <n v="100"/>
    <x v="2"/>
  </r>
  <r>
    <x v="36"/>
    <s v="LVA"/>
    <x v="0"/>
    <s v="EG.ELC.ACCS.ZS"/>
    <x v="23"/>
    <n v="100"/>
    <x v="2"/>
  </r>
  <r>
    <x v="36"/>
    <s v="LVA"/>
    <x v="0"/>
    <s v="EG.ELC.ACCS.ZS"/>
    <x v="24"/>
    <n v="100"/>
    <x v="2"/>
  </r>
  <r>
    <x v="36"/>
    <s v="LVA"/>
    <x v="0"/>
    <s v="EG.ELC.ACCS.ZS"/>
    <x v="25"/>
    <n v="100"/>
    <x v="2"/>
  </r>
  <r>
    <x v="36"/>
    <s v="LVA"/>
    <x v="0"/>
    <s v="EG.ELC.ACCS.ZS"/>
    <x v="26"/>
    <n v="100"/>
    <x v="2"/>
  </r>
  <r>
    <x v="36"/>
    <s v="LVA"/>
    <x v="0"/>
    <s v="EG.ELC.ACCS.ZS"/>
    <x v="27"/>
    <n v="100"/>
    <x v="3"/>
  </r>
  <r>
    <x v="36"/>
    <s v="LVA"/>
    <x v="0"/>
    <s v="EG.ELC.ACCS.ZS"/>
    <x v="28"/>
    <n v="100"/>
    <x v="3"/>
  </r>
  <r>
    <x v="36"/>
    <s v="LVA"/>
    <x v="0"/>
    <s v="EG.ELC.ACCS.ZS"/>
    <x v="29"/>
    <n v="100"/>
    <x v="3"/>
  </r>
  <r>
    <x v="36"/>
    <s v="LVA"/>
    <x v="0"/>
    <s v="EG.ELC.ACCS.ZS"/>
    <x v="30"/>
    <n v="100"/>
    <x v="3"/>
  </r>
  <r>
    <x v="36"/>
    <s v="LVA"/>
    <x v="0"/>
    <s v="EG.ELC.ACCS.ZS"/>
    <x v="31"/>
    <n v="100"/>
    <x v="0"/>
  </r>
  <r>
    <x v="36"/>
    <s v="LVA"/>
    <x v="0"/>
    <s v="EG.ELC.ACCS.ZS"/>
    <x v="32"/>
    <n v="100"/>
    <x v="0"/>
  </r>
  <r>
    <x v="36"/>
    <s v="LVA"/>
    <x v="0"/>
    <s v="EG.ELC.ACCS.ZS"/>
    <x v="33"/>
    <n v="100"/>
    <x v="0"/>
  </r>
  <r>
    <x v="37"/>
    <s v="MCO"/>
    <x v="0"/>
    <s v="EG.ELC.ACCS.ZS"/>
    <x v="0"/>
    <n v="100"/>
    <x v="0"/>
  </r>
  <r>
    <x v="37"/>
    <s v="MCO"/>
    <x v="0"/>
    <s v="EG.ELC.ACCS.ZS"/>
    <x v="1"/>
    <n v="100"/>
    <x v="0"/>
  </r>
  <r>
    <x v="37"/>
    <s v="MCO"/>
    <x v="0"/>
    <s v="EG.ELC.ACCS.ZS"/>
    <x v="2"/>
    <n v="100"/>
    <x v="0"/>
  </r>
  <r>
    <x v="37"/>
    <s v="MCO"/>
    <x v="0"/>
    <s v="EG.ELC.ACCS.ZS"/>
    <x v="3"/>
    <n v="100"/>
    <x v="0"/>
  </r>
  <r>
    <x v="37"/>
    <s v="MCO"/>
    <x v="0"/>
    <s v="EG.ELC.ACCS.ZS"/>
    <x v="4"/>
    <n v="100"/>
    <x v="0"/>
  </r>
  <r>
    <x v="37"/>
    <s v="MCO"/>
    <x v="0"/>
    <s v="EG.ELC.ACCS.ZS"/>
    <x v="5"/>
    <n v="100"/>
    <x v="0"/>
  </r>
  <r>
    <x v="37"/>
    <s v="MCO"/>
    <x v="0"/>
    <s v="EG.ELC.ACCS.ZS"/>
    <x v="6"/>
    <n v="100"/>
    <x v="0"/>
  </r>
  <r>
    <x v="37"/>
    <s v="MCO"/>
    <x v="0"/>
    <s v="EG.ELC.ACCS.ZS"/>
    <x v="7"/>
    <n v="100"/>
    <x v="1"/>
  </r>
  <r>
    <x v="37"/>
    <s v="MCO"/>
    <x v="0"/>
    <s v="EG.ELC.ACCS.ZS"/>
    <x v="8"/>
    <n v="100"/>
    <x v="1"/>
  </r>
  <r>
    <x v="37"/>
    <s v="MCO"/>
    <x v="0"/>
    <s v="EG.ELC.ACCS.ZS"/>
    <x v="9"/>
    <n v="100"/>
    <x v="1"/>
  </r>
  <r>
    <x v="37"/>
    <s v="MCO"/>
    <x v="0"/>
    <s v="EG.ELC.ACCS.ZS"/>
    <x v="10"/>
    <n v="100"/>
    <x v="1"/>
  </r>
  <r>
    <x v="37"/>
    <s v="MCO"/>
    <x v="0"/>
    <s v="EG.ELC.ACCS.ZS"/>
    <x v="11"/>
    <n v="100"/>
    <x v="1"/>
  </r>
  <r>
    <x v="37"/>
    <s v="MCO"/>
    <x v="0"/>
    <s v="EG.ELC.ACCS.ZS"/>
    <x v="12"/>
    <n v="100"/>
    <x v="1"/>
  </r>
  <r>
    <x v="37"/>
    <s v="MCO"/>
    <x v="0"/>
    <s v="EG.ELC.ACCS.ZS"/>
    <x v="13"/>
    <n v="100"/>
    <x v="1"/>
  </r>
  <r>
    <x v="37"/>
    <s v="MCO"/>
    <x v="0"/>
    <s v="EG.ELC.ACCS.ZS"/>
    <x v="14"/>
    <n v="100"/>
    <x v="1"/>
  </r>
  <r>
    <x v="37"/>
    <s v="MCO"/>
    <x v="0"/>
    <s v="EG.ELC.ACCS.ZS"/>
    <x v="15"/>
    <n v="100"/>
    <x v="1"/>
  </r>
  <r>
    <x v="37"/>
    <s v="MCO"/>
    <x v="0"/>
    <s v="EG.ELC.ACCS.ZS"/>
    <x v="16"/>
    <n v="100"/>
    <x v="1"/>
  </r>
  <r>
    <x v="37"/>
    <s v="MCO"/>
    <x v="0"/>
    <s v="EG.ELC.ACCS.ZS"/>
    <x v="17"/>
    <n v="100"/>
    <x v="2"/>
  </r>
  <r>
    <x v="37"/>
    <s v="MCO"/>
    <x v="0"/>
    <s v="EG.ELC.ACCS.ZS"/>
    <x v="18"/>
    <n v="100"/>
    <x v="2"/>
  </r>
  <r>
    <x v="37"/>
    <s v="MCO"/>
    <x v="0"/>
    <s v="EG.ELC.ACCS.ZS"/>
    <x v="19"/>
    <n v="100"/>
    <x v="2"/>
  </r>
  <r>
    <x v="37"/>
    <s v="MCO"/>
    <x v="0"/>
    <s v="EG.ELC.ACCS.ZS"/>
    <x v="20"/>
    <n v="100"/>
    <x v="2"/>
  </r>
  <r>
    <x v="37"/>
    <s v="MCO"/>
    <x v="0"/>
    <s v="EG.ELC.ACCS.ZS"/>
    <x v="21"/>
    <n v="100"/>
    <x v="2"/>
  </r>
  <r>
    <x v="37"/>
    <s v="MCO"/>
    <x v="0"/>
    <s v="EG.ELC.ACCS.ZS"/>
    <x v="22"/>
    <n v="100"/>
    <x v="2"/>
  </r>
  <r>
    <x v="37"/>
    <s v="MCO"/>
    <x v="0"/>
    <s v="EG.ELC.ACCS.ZS"/>
    <x v="23"/>
    <n v="100"/>
    <x v="2"/>
  </r>
  <r>
    <x v="37"/>
    <s v="MCO"/>
    <x v="0"/>
    <s v="EG.ELC.ACCS.ZS"/>
    <x v="24"/>
    <n v="100"/>
    <x v="2"/>
  </r>
  <r>
    <x v="37"/>
    <s v="MCO"/>
    <x v="0"/>
    <s v="EG.ELC.ACCS.ZS"/>
    <x v="25"/>
    <n v="100"/>
    <x v="2"/>
  </r>
  <r>
    <x v="37"/>
    <s v="MCO"/>
    <x v="0"/>
    <s v="EG.ELC.ACCS.ZS"/>
    <x v="26"/>
    <n v="100"/>
    <x v="2"/>
  </r>
  <r>
    <x v="37"/>
    <s v="MCO"/>
    <x v="0"/>
    <s v="EG.ELC.ACCS.ZS"/>
    <x v="27"/>
    <n v="100"/>
    <x v="3"/>
  </r>
  <r>
    <x v="37"/>
    <s v="MCO"/>
    <x v="0"/>
    <s v="EG.ELC.ACCS.ZS"/>
    <x v="28"/>
    <n v="100"/>
    <x v="3"/>
  </r>
  <r>
    <x v="37"/>
    <s v="MCO"/>
    <x v="0"/>
    <s v="EG.ELC.ACCS.ZS"/>
    <x v="29"/>
    <n v="100"/>
    <x v="3"/>
  </r>
  <r>
    <x v="37"/>
    <s v="MCO"/>
    <x v="0"/>
    <s v="EG.ELC.ACCS.ZS"/>
    <x v="30"/>
    <n v="100"/>
    <x v="3"/>
  </r>
  <r>
    <x v="37"/>
    <s v="MCO"/>
    <x v="0"/>
    <s v="EG.ELC.ACCS.ZS"/>
    <x v="31"/>
    <n v="100"/>
    <x v="0"/>
  </r>
  <r>
    <x v="37"/>
    <s v="MCO"/>
    <x v="0"/>
    <s v="EG.ELC.ACCS.ZS"/>
    <x v="32"/>
    <n v="100"/>
    <x v="0"/>
  </r>
  <r>
    <x v="37"/>
    <s v="MCO"/>
    <x v="0"/>
    <s v="EG.ELC.ACCS.ZS"/>
    <x v="33"/>
    <n v="100"/>
    <x v="0"/>
  </r>
  <r>
    <x v="38"/>
    <s v="MDA"/>
    <x v="0"/>
    <s v="EG.ELC.ACCS.ZS"/>
    <x v="0"/>
    <n v="100"/>
    <x v="0"/>
  </r>
  <r>
    <x v="38"/>
    <s v="MDA"/>
    <x v="0"/>
    <s v="EG.ELC.ACCS.ZS"/>
    <x v="1"/>
    <n v="100"/>
    <x v="0"/>
  </r>
  <r>
    <x v="38"/>
    <s v="MDA"/>
    <x v="0"/>
    <s v="EG.ELC.ACCS.ZS"/>
    <x v="2"/>
    <n v="100"/>
    <x v="0"/>
  </r>
  <r>
    <x v="38"/>
    <s v="MDA"/>
    <x v="0"/>
    <s v="EG.ELC.ACCS.ZS"/>
    <x v="3"/>
    <n v="100"/>
    <x v="0"/>
  </r>
  <r>
    <x v="38"/>
    <s v="MDA"/>
    <x v="0"/>
    <s v="EG.ELC.ACCS.ZS"/>
    <x v="4"/>
    <n v="100"/>
    <x v="0"/>
  </r>
  <r>
    <x v="38"/>
    <s v="MDA"/>
    <x v="0"/>
    <s v="EG.ELC.ACCS.ZS"/>
    <x v="5"/>
    <n v="100"/>
    <x v="0"/>
  </r>
  <r>
    <x v="38"/>
    <s v="MDA"/>
    <x v="0"/>
    <s v="EG.ELC.ACCS.ZS"/>
    <x v="6"/>
    <n v="100"/>
    <x v="0"/>
  </r>
  <r>
    <x v="38"/>
    <s v="MDA"/>
    <x v="0"/>
    <s v="EG.ELC.ACCS.ZS"/>
    <x v="7"/>
    <n v="100"/>
    <x v="1"/>
  </r>
  <r>
    <x v="38"/>
    <s v="MDA"/>
    <x v="0"/>
    <s v="EG.ELC.ACCS.ZS"/>
    <x v="8"/>
    <n v="100"/>
    <x v="1"/>
  </r>
  <r>
    <x v="38"/>
    <s v="MDA"/>
    <x v="0"/>
    <s v="EG.ELC.ACCS.ZS"/>
    <x v="9"/>
    <n v="100"/>
    <x v="1"/>
  </r>
  <r>
    <x v="38"/>
    <s v="MDA"/>
    <x v="0"/>
    <s v="EG.ELC.ACCS.ZS"/>
    <x v="10"/>
    <n v="99"/>
    <x v="1"/>
  </r>
  <r>
    <x v="38"/>
    <s v="MDA"/>
    <x v="0"/>
    <s v="EG.ELC.ACCS.ZS"/>
    <x v="11"/>
    <n v="99"/>
    <x v="1"/>
  </r>
  <r>
    <x v="38"/>
    <s v="MDA"/>
    <x v="0"/>
    <s v="EG.ELC.ACCS.ZS"/>
    <x v="12"/>
    <n v="99"/>
    <x v="1"/>
  </r>
  <r>
    <x v="38"/>
    <s v="MDA"/>
    <x v="0"/>
    <s v="EG.ELC.ACCS.ZS"/>
    <x v="13"/>
    <n v="99"/>
    <x v="1"/>
  </r>
  <r>
    <x v="38"/>
    <s v="MDA"/>
    <x v="0"/>
    <s v="EG.ELC.ACCS.ZS"/>
    <x v="14"/>
    <n v="99"/>
    <x v="1"/>
  </r>
  <r>
    <x v="38"/>
    <s v="MDA"/>
    <x v="0"/>
    <s v="EG.ELC.ACCS.ZS"/>
    <x v="15"/>
    <n v="99"/>
    <x v="1"/>
  </r>
  <r>
    <x v="38"/>
    <s v="MDA"/>
    <x v="0"/>
    <s v="EG.ELC.ACCS.ZS"/>
    <x v="16"/>
    <n v="99"/>
    <x v="1"/>
  </r>
  <r>
    <x v="38"/>
    <s v="MDA"/>
    <x v="0"/>
    <s v="EG.ELC.ACCS.ZS"/>
    <x v="17"/>
    <n v="99"/>
    <x v="2"/>
  </r>
  <r>
    <x v="38"/>
    <s v="MDA"/>
    <x v="0"/>
    <s v="EG.ELC.ACCS.ZS"/>
    <x v="18"/>
    <n v="99"/>
    <x v="2"/>
  </r>
  <r>
    <x v="38"/>
    <s v="MDA"/>
    <x v="0"/>
    <s v="EG.ELC.ACCS.ZS"/>
    <x v="19"/>
    <n v="99"/>
    <x v="2"/>
  </r>
  <r>
    <x v="38"/>
    <s v="MDA"/>
    <x v="0"/>
    <s v="EG.ELC.ACCS.ZS"/>
    <x v="20"/>
    <n v="99"/>
    <x v="2"/>
  </r>
  <r>
    <x v="38"/>
    <s v="MDA"/>
    <x v="0"/>
    <s v="EG.ELC.ACCS.ZS"/>
    <x v="21"/>
    <n v="99"/>
    <x v="2"/>
  </r>
  <r>
    <x v="38"/>
    <s v="MDA"/>
    <x v="0"/>
    <s v="EG.ELC.ACCS.ZS"/>
    <x v="22"/>
    <n v="100"/>
    <x v="2"/>
  </r>
  <r>
    <x v="38"/>
    <s v="MDA"/>
    <x v="0"/>
    <s v="EG.ELC.ACCS.ZS"/>
    <x v="23"/>
    <n v="100"/>
    <x v="2"/>
  </r>
  <r>
    <x v="38"/>
    <s v="MDA"/>
    <x v="0"/>
    <s v="EG.ELC.ACCS.ZS"/>
    <x v="24"/>
    <n v="100"/>
    <x v="2"/>
  </r>
  <r>
    <x v="38"/>
    <s v="MDA"/>
    <x v="0"/>
    <s v="EG.ELC.ACCS.ZS"/>
    <x v="25"/>
    <n v="100"/>
    <x v="2"/>
  </r>
  <r>
    <x v="38"/>
    <s v="MDA"/>
    <x v="0"/>
    <s v="EG.ELC.ACCS.ZS"/>
    <x v="26"/>
    <n v="100"/>
    <x v="2"/>
  </r>
  <r>
    <x v="38"/>
    <s v="MDA"/>
    <x v="0"/>
    <s v="EG.ELC.ACCS.ZS"/>
    <x v="27"/>
    <n v="100"/>
    <x v="3"/>
  </r>
  <r>
    <x v="38"/>
    <s v="MDA"/>
    <x v="0"/>
    <s v="EG.ELC.ACCS.ZS"/>
    <x v="28"/>
    <n v="100"/>
    <x v="3"/>
  </r>
  <r>
    <x v="38"/>
    <s v="MDA"/>
    <x v="0"/>
    <s v="EG.ELC.ACCS.ZS"/>
    <x v="29"/>
    <n v="100"/>
    <x v="3"/>
  </r>
  <r>
    <x v="38"/>
    <s v="MDA"/>
    <x v="0"/>
    <s v="EG.ELC.ACCS.ZS"/>
    <x v="30"/>
    <n v="100"/>
    <x v="3"/>
  </r>
  <r>
    <x v="38"/>
    <s v="MDA"/>
    <x v="0"/>
    <s v="EG.ELC.ACCS.ZS"/>
    <x v="31"/>
    <n v="100"/>
    <x v="0"/>
  </r>
  <r>
    <x v="38"/>
    <s v="MDA"/>
    <x v="0"/>
    <s v="EG.ELC.ACCS.ZS"/>
    <x v="32"/>
    <n v="100"/>
    <x v="0"/>
  </r>
  <r>
    <x v="38"/>
    <s v="MDA"/>
    <x v="0"/>
    <s v="EG.ELC.ACCS.ZS"/>
    <x v="33"/>
    <n v="100"/>
    <x v="0"/>
  </r>
  <r>
    <x v="39"/>
    <s v="MKD"/>
    <x v="0"/>
    <s v="EG.ELC.ACCS.ZS"/>
    <x v="0"/>
    <n v="100"/>
    <x v="0"/>
  </r>
  <r>
    <x v="39"/>
    <s v="MKD"/>
    <x v="0"/>
    <s v="EG.ELC.ACCS.ZS"/>
    <x v="1"/>
    <n v="100"/>
    <x v="0"/>
  </r>
  <r>
    <x v="39"/>
    <s v="MKD"/>
    <x v="0"/>
    <s v="EG.ELC.ACCS.ZS"/>
    <x v="2"/>
    <n v="100"/>
    <x v="0"/>
  </r>
  <r>
    <x v="39"/>
    <s v="MKD"/>
    <x v="0"/>
    <s v="EG.ELC.ACCS.ZS"/>
    <x v="3"/>
    <n v="100"/>
    <x v="0"/>
  </r>
  <r>
    <x v="39"/>
    <s v="MKD"/>
    <x v="0"/>
    <s v="EG.ELC.ACCS.ZS"/>
    <x v="4"/>
    <n v="100"/>
    <x v="0"/>
  </r>
  <r>
    <x v="39"/>
    <s v="MKD"/>
    <x v="0"/>
    <s v="EG.ELC.ACCS.ZS"/>
    <x v="5"/>
    <n v="100"/>
    <x v="0"/>
  </r>
  <r>
    <x v="39"/>
    <s v="MKD"/>
    <x v="0"/>
    <s v="EG.ELC.ACCS.ZS"/>
    <x v="6"/>
    <n v="100"/>
    <x v="0"/>
  </r>
  <r>
    <x v="39"/>
    <s v="MKD"/>
    <x v="0"/>
    <s v="EG.ELC.ACCS.ZS"/>
    <x v="7"/>
    <n v="100"/>
    <x v="1"/>
  </r>
  <r>
    <x v="39"/>
    <s v="MKD"/>
    <x v="0"/>
    <s v="EG.ELC.ACCS.ZS"/>
    <x v="8"/>
    <n v="100"/>
    <x v="1"/>
  </r>
  <r>
    <x v="39"/>
    <s v="MKD"/>
    <x v="0"/>
    <s v="EG.ELC.ACCS.ZS"/>
    <x v="9"/>
    <n v="100"/>
    <x v="1"/>
  </r>
  <r>
    <x v="39"/>
    <s v="MKD"/>
    <x v="0"/>
    <s v="EG.ELC.ACCS.ZS"/>
    <x v="10"/>
    <n v="99"/>
    <x v="1"/>
  </r>
  <r>
    <x v="39"/>
    <s v="MKD"/>
    <x v="0"/>
    <s v="EG.ELC.ACCS.ZS"/>
    <x v="11"/>
    <n v="99"/>
    <x v="1"/>
  </r>
  <r>
    <x v="39"/>
    <s v="MKD"/>
    <x v="0"/>
    <s v="EG.ELC.ACCS.ZS"/>
    <x v="12"/>
    <n v="99"/>
    <x v="1"/>
  </r>
  <r>
    <x v="39"/>
    <s v="MKD"/>
    <x v="0"/>
    <s v="EG.ELC.ACCS.ZS"/>
    <x v="13"/>
    <n v="99"/>
    <x v="1"/>
  </r>
  <r>
    <x v="39"/>
    <s v="MKD"/>
    <x v="0"/>
    <s v="EG.ELC.ACCS.ZS"/>
    <x v="14"/>
    <n v="99"/>
    <x v="1"/>
  </r>
  <r>
    <x v="39"/>
    <s v="MKD"/>
    <x v="0"/>
    <s v="EG.ELC.ACCS.ZS"/>
    <x v="15"/>
    <n v="99"/>
    <x v="1"/>
  </r>
  <r>
    <x v="39"/>
    <s v="MKD"/>
    <x v="0"/>
    <s v="EG.ELC.ACCS.ZS"/>
    <x v="16"/>
    <n v="99"/>
    <x v="1"/>
  </r>
  <r>
    <x v="39"/>
    <s v="MKD"/>
    <x v="0"/>
    <s v="EG.ELC.ACCS.ZS"/>
    <x v="17"/>
    <n v="99"/>
    <x v="2"/>
  </r>
  <r>
    <x v="39"/>
    <s v="MKD"/>
    <x v="0"/>
    <s v="EG.ELC.ACCS.ZS"/>
    <x v="18"/>
    <n v="99"/>
    <x v="2"/>
  </r>
  <r>
    <x v="39"/>
    <s v="MKD"/>
    <x v="0"/>
    <s v="EG.ELC.ACCS.ZS"/>
    <x v="19"/>
    <n v="99"/>
    <x v="2"/>
  </r>
  <r>
    <x v="39"/>
    <s v="MKD"/>
    <x v="0"/>
    <s v="EG.ELC.ACCS.ZS"/>
    <x v="20"/>
    <n v="100"/>
    <x v="2"/>
  </r>
  <r>
    <x v="39"/>
    <s v="MKD"/>
    <x v="0"/>
    <s v="EG.ELC.ACCS.ZS"/>
    <x v="21"/>
    <n v="100"/>
    <x v="2"/>
  </r>
  <r>
    <x v="39"/>
    <s v="MKD"/>
    <x v="0"/>
    <s v="EG.ELC.ACCS.ZS"/>
    <x v="22"/>
    <n v="100"/>
    <x v="2"/>
  </r>
  <r>
    <x v="39"/>
    <s v="MKD"/>
    <x v="0"/>
    <s v="EG.ELC.ACCS.ZS"/>
    <x v="23"/>
    <n v="100"/>
    <x v="2"/>
  </r>
  <r>
    <x v="39"/>
    <s v="MKD"/>
    <x v="0"/>
    <s v="EG.ELC.ACCS.ZS"/>
    <x v="24"/>
    <n v="100"/>
    <x v="2"/>
  </r>
  <r>
    <x v="39"/>
    <s v="MKD"/>
    <x v="0"/>
    <s v="EG.ELC.ACCS.ZS"/>
    <x v="25"/>
    <n v="100"/>
    <x v="2"/>
  </r>
  <r>
    <x v="39"/>
    <s v="MKD"/>
    <x v="0"/>
    <s v="EG.ELC.ACCS.ZS"/>
    <x v="26"/>
    <n v="100"/>
    <x v="2"/>
  </r>
  <r>
    <x v="39"/>
    <s v="MKD"/>
    <x v="0"/>
    <s v="EG.ELC.ACCS.ZS"/>
    <x v="27"/>
    <n v="100"/>
    <x v="3"/>
  </r>
  <r>
    <x v="39"/>
    <s v="MKD"/>
    <x v="0"/>
    <s v="EG.ELC.ACCS.ZS"/>
    <x v="28"/>
    <n v="100"/>
    <x v="3"/>
  </r>
  <r>
    <x v="39"/>
    <s v="MKD"/>
    <x v="0"/>
    <s v="EG.ELC.ACCS.ZS"/>
    <x v="29"/>
    <n v="100"/>
    <x v="3"/>
  </r>
  <r>
    <x v="39"/>
    <s v="MKD"/>
    <x v="0"/>
    <s v="EG.ELC.ACCS.ZS"/>
    <x v="30"/>
    <n v="100"/>
    <x v="3"/>
  </r>
  <r>
    <x v="39"/>
    <s v="MKD"/>
    <x v="0"/>
    <s v="EG.ELC.ACCS.ZS"/>
    <x v="31"/>
    <n v="100"/>
    <x v="0"/>
  </r>
  <r>
    <x v="39"/>
    <s v="MKD"/>
    <x v="0"/>
    <s v="EG.ELC.ACCS.ZS"/>
    <x v="32"/>
    <n v="100"/>
    <x v="0"/>
  </r>
  <r>
    <x v="39"/>
    <s v="MKD"/>
    <x v="0"/>
    <s v="EG.ELC.ACCS.ZS"/>
    <x v="33"/>
    <n v="100"/>
    <x v="0"/>
  </r>
  <r>
    <x v="40"/>
    <s v="MNE"/>
    <x v="0"/>
    <s v="EG.ELC.ACCS.ZS"/>
    <x v="0"/>
    <n v="100"/>
    <x v="0"/>
  </r>
  <r>
    <x v="40"/>
    <s v="MNE"/>
    <x v="0"/>
    <s v="EG.ELC.ACCS.ZS"/>
    <x v="1"/>
    <n v="100"/>
    <x v="0"/>
  </r>
  <r>
    <x v="40"/>
    <s v="MNE"/>
    <x v="0"/>
    <s v="EG.ELC.ACCS.ZS"/>
    <x v="2"/>
    <n v="100"/>
    <x v="0"/>
  </r>
  <r>
    <x v="40"/>
    <s v="MNE"/>
    <x v="0"/>
    <s v="EG.ELC.ACCS.ZS"/>
    <x v="3"/>
    <n v="100"/>
    <x v="0"/>
  </r>
  <r>
    <x v="40"/>
    <s v="MNE"/>
    <x v="0"/>
    <s v="EG.ELC.ACCS.ZS"/>
    <x v="4"/>
    <n v="100"/>
    <x v="0"/>
  </r>
  <r>
    <x v="40"/>
    <s v="MNE"/>
    <x v="0"/>
    <s v="EG.ELC.ACCS.ZS"/>
    <x v="5"/>
    <n v="100"/>
    <x v="0"/>
  </r>
  <r>
    <x v="40"/>
    <s v="MNE"/>
    <x v="0"/>
    <s v="EG.ELC.ACCS.ZS"/>
    <x v="6"/>
    <n v="100"/>
    <x v="0"/>
  </r>
  <r>
    <x v="40"/>
    <s v="MNE"/>
    <x v="0"/>
    <s v="EG.ELC.ACCS.ZS"/>
    <x v="7"/>
    <n v="100"/>
    <x v="1"/>
  </r>
  <r>
    <x v="40"/>
    <s v="MNE"/>
    <x v="0"/>
    <s v="EG.ELC.ACCS.ZS"/>
    <x v="8"/>
    <n v="100"/>
    <x v="1"/>
  </r>
  <r>
    <x v="40"/>
    <s v="MNE"/>
    <x v="0"/>
    <s v="EG.ELC.ACCS.ZS"/>
    <x v="9"/>
    <n v="100"/>
    <x v="1"/>
  </r>
  <r>
    <x v="40"/>
    <s v="MNE"/>
    <x v="0"/>
    <s v="EG.ELC.ACCS.ZS"/>
    <x v="10"/>
    <n v="99"/>
    <x v="1"/>
  </r>
  <r>
    <x v="40"/>
    <s v="MNE"/>
    <x v="0"/>
    <s v="EG.ELC.ACCS.ZS"/>
    <x v="11"/>
    <n v="99"/>
    <x v="1"/>
  </r>
  <r>
    <x v="40"/>
    <s v="MNE"/>
    <x v="0"/>
    <s v="EG.ELC.ACCS.ZS"/>
    <x v="12"/>
    <n v="99"/>
    <x v="1"/>
  </r>
  <r>
    <x v="40"/>
    <s v="MNE"/>
    <x v="0"/>
    <s v="EG.ELC.ACCS.ZS"/>
    <x v="13"/>
    <n v="99"/>
    <x v="1"/>
  </r>
  <r>
    <x v="40"/>
    <s v="MNE"/>
    <x v="0"/>
    <s v="EG.ELC.ACCS.ZS"/>
    <x v="14"/>
    <n v="99"/>
    <x v="1"/>
  </r>
  <r>
    <x v="40"/>
    <s v="MNE"/>
    <x v="0"/>
    <s v="EG.ELC.ACCS.ZS"/>
    <x v="15"/>
    <n v="100"/>
    <x v="1"/>
  </r>
  <r>
    <x v="40"/>
    <s v="MNE"/>
    <x v="0"/>
    <s v="EG.ELC.ACCS.ZS"/>
    <x v="16"/>
    <n v="99"/>
    <x v="1"/>
  </r>
  <r>
    <x v="40"/>
    <s v="MNE"/>
    <x v="0"/>
    <s v="EG.ELC.ACCS.ZS"/>
    <x v="17"/>
    <n v="99"/>
    <x v="2"/>
  </r>
  <r>
    <x v="40"/>
    <s v="MNE"/>
    <x v="0"/>
    <s v="EG.ELC.ACCS.ZS"/>
    <x v="18"/>
    <n v="99"/>
    <x v="2"/>
  </r>
  <r>
    <x v="40"/>
    <s v="MNE"/>
    <x v="0"/>
    <s v="EG.ELC.ACCS.ZS"/>
    <x v="19"/>
    <n v="99"/>
    <x v="2"/>
  </r>
  <r>
    <x v="40"/>
    <s v="MNE"/>
    <x v="0"/>
    <s v="EG.ELC.ACCS.ZS"/>
    <x v="20"/>
    <n v="99"/>
    <x v="2"/>
  </r>
  <r>
    <x v="40"/>
    <s v="MNE"/>
    <x v="0"/>
    <s v="EG.ELC.ACCS.ZS"/>
    <x v="21"/>
    <n v="99"/>
    <x v="2"/>
  </r>
  <r>
    <x v="40"/>
    <s v="MNE"/>
    <x v="0"/>
    <s v="EG.ELC.ACCS.ZS"/>
    <x v="22"/>
    <n v="99"/>
    <x v="2"/>
  </r>
  <r>
    <x v="40"/>
    <s v="MNE"/>
    <x v="0"/>
    <s v="EG.ELC.ACCS.ZS"/>
    <x v="23"/>
    <n v="100"/>
    <x v="2"/>
  </r>
  <r>
    <x v="40"/>
    <s v="MNE"/>
    <x v="0"/>
    <s v="EG.ELC.ACCS.ZS"/>
    <x v="24"/>
    <n v="98"/>
    <x v="2"/>
  </r>
  <r>
    <x v="40"/>
    <s v="MNE"/>
    <x v="0"/>
    <s v="EG.ELC.ACCS.ZS"/>
    <x v="25"/>
    <n v="100"/>
    <x v="2"/>
  </r>
  <r>
    <x v="40"/>
    <s v="MNE"/>
    <x v="0"/>
    <s v="EG.ELC.ACCS.ZS"/>
    <x v="26"/>
    <n v="100"/>
    <x v="2"/>
  </r>
  <r>
    <x v="40"/>
    <s v="MNE"/>
    <x v="0"/>
    <s v="EG.ELC.ACCS.ZS"/>
    <x v="27"/>
    <n v="100"/>
    <x v="3"/>
  </r>
  <r>
    <x v="40"/>
    <s v="MNE"/>
    <x v="0"/>
    <s v="EG.ELC.ACCS.ZS"/>
    <x v="28"/>
    <n v="100"/>
    <x v="3"/>
  </r>
  <r>
    <x v="40"/>
    <s v="MNE"/>
    <x v="0"/>
    <s v="EG.ELC.ACCS.ZS"/>
    <x v="29"/>
    <n v="100"/>
    <x v="3"/>
  </r>
  <r>
    <x v="40"/>
    <s v="MNE"/>
    <x v="0"/>
    <s v="EG.ELC.ACCS.ZS"/>
    <x v="30"/>
    <n v="100"/>
    <x v="3"/>
  </r>
  <r>
    <x v="40"/>
    <s v="MNE"/>
    <x v="0"/>
    <s v="EG.ELC.ACCS.ZS"/>
    <x v="31"/>
    <n v="100"/>
    <x v="0"/>
  </r>
  <r>
    <x v="40"/>
    <s v="MNE"/>
    <x v="0"/>
    <s v="EG.ELC.ACCS.ZS"/>
    <x v="32"/>
    <n v="100"/>
    <x v="0"/>
  </r>
  <r>
    <x v="40"/>
    <s v="MNE"/>
    <x v="0"/>
    <s v="EG.ELC.ACCS.ZS"/>
    <x v="33"/>
    <n v="100"/>
    <x v="0"/>
  </r>
  <r>
    <x v="41"/>
    <s v="NLD"/>
    <x v="0"/>
    <s v="EG.ELC.ACCS.ZS"/>
    <x v="0"/>
    <n v="100"/>
    <x v="0"/>
  </r>
  <r>
    <x v="41"/>
    <s v="NLD"/>
    <x v="0"/>
    <s v="EG.ELC.ACCS.ZS"/>
    <x v="1"/>
    <n v="100"/>
    <x v="0"/>
  </r>
  <r>
    <x v="41"/>
    <s v="NLD"/>
    <x v="0"/>
    <s v="EG.ELC.ACCS.ZS"/>
    <x v="2"/>
    <n v="100"/>
    <x v="0"/>
  </r>
  <r>
    <x v="41"/>
    <s v="NLD"/>
    <x v="0"/>
    <s v="EG.ELC.ACCS.ZS"/>
    <x v="3"/>
    <n v="100"/>
    <x v="0"/>
  </r>
  <r>
    <x v="41"/>
    <s v="NLD"/>
    <x v="0"/>
    <s v="EG.ELC.ACCS.ZS"/>
    <x v="4"/>
    <n v="100"/>
    <x v="0"/>
  </r>
  <r>
    <x v="41"/>
    <s v="NLD"/>
    <x v="0"/>
    <s v="EG.ELC.ACCS.ZS"/>
    <x v="5"/>
    <n v="100"/>
    <x v="0"/>
  </r>
  <r>
    <x v="41"/>
    <s v="NLD"/>
    <x v="0"/>
    <s v="EG.ELC.ACCS.ZS"/>
    <x v="6"/>
    <n v="100"/>
    <x v="0"/>
  </r>
  <r>
    <x v="41"/>
    <s v="NLD"/>
    <x v="0"/>
    <s v="EG.ELC.ACCS.ZS"/>
    <x v="7"/>
    <n v="100"/>
    <x v="1"/>
  </r>
  <r>
    <x v="41"/>
    <s v="NLD"/>
    <x v="0"/>
    <s v="EG.ELC.ACCS.ZS"/>
    <x v="8"/>
    <n v="100"/>
    <x v="1"/>
  </r>
  <r>
    <x v="41"/>
    <s v="NLD"/>
    <x v="0"/>
    <s v="EG.ELC.ACCS.ZS"/>
    <x v="9"/>
    <n v="100"/>
    <x v="1"/>
  </r>
  <r>
    <x v="41"/>
    <s v="NLD"/>
    <x v="0"/>
    <s v="EG.ELC.ACCS.ZS"/>
    <x v="10"/>
    <n v="100"/>
    <x v="1"/>
  </r>
  <r>
    <x v="41"/>
    <s v="NLD"/>
    <x v="0"/>
    <s v="EG.ELC.ACCS.ZS"/>
    <x v="11"/>
    <n v="100"/>
    <x v="1"/>
  </r>
  <r>
    <x v="41"/>
    <s v="NLD"/>
    <x v="0"/>
    <s v="EG.ELC.ACCS.ZS"/>
    <x v="12"/>
    <n v="100"/>
    <x v="1"/>
  </r>
  <r>
    <x v="41"/>
    <s v="NLD"/>
    <x v="0"/>
    <s v="EG.ELC.ACCS.ZS"/>
    <x v="13"/>
    <n v="100"/>
    <x v="1"/>
  </r>
  <r>
    <x v="41"/>
    <s v="NLD"/>
    <x v="0"/>
    <s v="EG.ELC.ACCS.ZS"/>
    <x v="14"/>
    <n v="100"/>
    <x v="1"/>
  </r>
  <r>
    <x v="41"/>
    <s v="NLD"/>
    <x v="0"/>
    <s v="EG.ELC.ACCS.ZS"/>
    <x v="15"/>
    <n v="100"/>
    <x v="1"/>
  </r>
  <r>
    <x v="41"/>
    <s v="NLD"/>
    <x v="0"/>
    <s v="EG.ELC.ACCS.ZS"/>
    <x v="16"/>
    <n v="100"/>
    <x v="1"/>
  </r>
  <r>
    <x v="41"/>
    <s v="NLD"/>
    <x v="0"/>
    <s v="EG.ELC.ACCS.ZS"/>
    <x v="17"/>
    <n v="100"/>
    <x v="2"/>
  </r>
  <r>
    <x v="41"/>
    <s v="NLD"/>
    <x v="0"/>
    <s v="EG.ELC.ACCS.ZS"/>
    <x v="18"/>
    <n v="100"/>
    <x v="2"/>
  </r>
  <r>
    <x v="41"/>
    <s v="NLD"/>
    <x v="0"/>
    <s v="EG.ELC.ACCS.ZS"/>
    <x v="19"/>
    <n v="100"/>
    <x v="2"/>
  </r>
  <r>
    <x v="41"/>
    <s v="NLD"/>
    <x v="0"/>
    <s v="EG.ELC.ACCS.ZS"/>
    <x v="20"/>
    <n v="100"/>
    <x v="2"/>
  </r>
  <r>
    <x v="41"/>
    <s v="NLD"/>
    <x v="0"/>
    <s v="EG.ELC.ACCS.ZS"/>
    <x v="21"/>
    <n v="100"/>
    <x v="2"/>
  </r>
  <r>
    <x v="41"/>
    <s v="NLD"/>
    <x v="0"/>
    <s v="EG.ELC.ACCS.ZS"/>
    <x v="22"/>
    <n v="100"/>
    <x v="2"/>
  </r>
  <r>
    <x v="41"/>
    <s v="NLD"/>
    <x v="0"/>
    <s v="EG.ELC.ACCS.ZS"/>
    <x v="23"/>
    <n v="100"/>
    <x v="2"/>
  </r>
  <r>
    <x v="41"/>
    <s v="NLD"/>
    <x v="0"/>
    <s v="EG.ELC.ACCS.ZS"/>
    <x v="24"/>
    <n v="100"/>
    <x v="2"/>
  </r>
  <r>
    <x v="41"/>
    <s v="NLD"/>
    <x v="0"/>
    <s v="EG.ELC.ACCS.ZS"/>
    <x v="25"/>
    <n v="100"/>
    <x v="2"/>
  </r>
  <r>
    <x v="41"/>
    <s v="NLD"/>
    <x v="0"/>
    <s v="EG.ELC.ACCS.ZS"/>
    <x v="26"/>
    <n v="100"/>
    <x v="2"/>
  </r>
  <r>
    <x v="41"/>
    <s v="NLD"/>
    <x v="0"/>
    <s v="EG.ELC.ACCS.ZS"/>
    <x v="27"/>
    <n v="100"/>
    <x v="3"/>
  </r>
  <r>
    <x v="41"/>
    <s v="NLD"/>
    <x v="0"/>
    <s v="EG.ELC.ACCS.ZS"/>
    <x v="28"/>
    <n v="100"/>
    <x v="3"/>
  </r>
  <r>
    <x v="41"/>
    <s v="NLD"/>
    <x v="0"/>
    <s v="EG.ELC.ACCS.ZS"/>
    <x v="29"/>
    <n v="100"/>
    <x v="3"/>
  </r>
  <r>
    <x v="41"/>
    <s v="NLD"/>
    <x v="0"/>
    <s v="EG.ELC.ACCS.ZS"/>
    <x v="30"/>
    <n v="100"/>
    <x v="3"/>
  </r>
  <r>
    <x v="41"/>
    <s v="NLD"/>
    <x v="0"/>
    <s v="EG.ELC.ACCS.ZS"/>
    <x v="31"/>
    <n v="100"/>
    <x v="0"/>
  </r>
  <r>
    <x v="41"/>
    <s v="NLD"/>
    <x v="0"/>
    <s v="EG.ELC.ACCS.ZS"/>
    <x v="32"/>
    <n v="100"/>
    <x v="0"/>
  </r>
  <r>
    <x v="41"/>
    <s v="NLD"/>
    <x v="0"/>
    <s v="EG.ELC.ACCS.ZS"/>
    <x v="33"/>
    <n v="100"/>
    <x v="0"/>
  </r>
  <r>
    <x v="42"/>
    <s v="NOR"/>
    <x v="0"/>
    <s v="EG.ELC.ACCS.ZS"/>
    <x v="0"/>
    <n v="100"/>
    <x v="0"/>
  </r>
  <r>
    <x v="42"/>
    <s v="NOR"/>
    <x v="0"/>
    <s v="EG.ELC.ACCS.ZS"/>
    <x v="1"/>
    <n v="100"/>
    <x v="0"/>
  </r>
  <r>
    <x v="42"/>
    <s v="NOR"/>
    <x v="0"/>
    <s v="EG.ELC.ACCS.ZS"/>
    <x v="2"/>
    <n v="100"/>
    <x v="0"/>
  </r>
  <r>
    <x v="42"/>
    <s v="NOR"/>
    <x v="0"/>
    <s v="EG.ELC.ACCS.ZS"/>
    <x v="3"/>
    <n v="100"/>
    <x v="0"/>
  </r>
  <r>
    <x v="42"/>
    <s v="NOR"/>
    <x v="0"/>
    <s v="EG.ELC.ACCS.ZS"/>
    <x v="4"/>
    <n v="100"/>
    <x v="0"/>
  </r>
  <r>
    <x v="42"/>
    <s v="NOR"/>
    <x v="0"/>
    <s v="EG.ELC.ACCS.ZS"/>
    <x v="5"/>
    <n v="100"/>
    <x v="0"/>
  </r>
  <r>
    <x v="42"/>
    <s v="NOR"/>
    <x v="0"/>
    <s v="EG.ELC.ACCS.ZS"/>
    <x v="6"/>
    <n v="100"/>
    <x v="0"/>
  </r>
  <r>
    <x v="42"/>
    <s v="NOR"/>
    <x v="0"/>
    <s v="EG.ELC.ACCS.ZS"/>
    <x v="7"/>
    <n v="100"/>
    <x v="1"/>
  </r>
  <r>
    <x v="42"/>
    <s v="NOR"/>
    <x v="0"/>
    <s v="EG.ELC.ACCS.ZS"/>
    <x v="8"/>
    <n v="100"/>
    <x v="1"/>
  </r>
  <r>
    <x v="42"/>
    <s v="NOR"/>
    <x v="0"/>
    <s v="EG.ELC.ACCS.ZS"/>
    <x v="9"/>
    <n v="100"/>
    <x v="1"/>
  </r>
  <r>
    <x v="42"/>
    <s v="NOR"/>
    <x v="0"/>
    <s v="EG.ELC.ACCS.ZS"/>
    <x v="10"/>
    <n v="100"/>
    <x v="1"/>
  </r>
  <r>
    <x v="42"/>
    <s v="NOR"/>
    <x v="0"/>
    <s v="EG.ELC.ACCS.ZS"/>
    <x v="11"/>
    <n v="100"/>
    <x v="1"/>
  </r>
  <r>
    <x v="42"/>
    <s v="NOR"/>
    <x v="0"/>
    <s v="EG.ELC.ACCS.ZS"/>
    <x v="12"/>
    <n v="100"/>
    <x v="1"/>
  </r>
  <r>
    <x v="42"/>
    <s v="NOR"/>
    <x v="0"/>
    <s v="EG.ELC.ACCS.ZS"/>
    <x v="13"/>
    <n v="100"/>
    <x v="1"/>
  </r>
  <r>
    <x v="42"/>
    <s v="NOR"/>
    <x v="0"/>
    <s v="EG.ELC.ACCS.ZS"/>
    <x v="14"/>
    <n v="100"/>
    <x v="1"/>
  </r>
  <r>
    <x v="42"/>
    <s v="NOR"/>
    <x v="0"/>
    <s v="EG.ELC.ACCS.ZS"/>
    <x v="15"/>
    <n v="100"/>
    <x v="1"/>
  </r>
  <r>
    <x v="42"/>
    <s v="NOR"/>
    <x v="0"/>
    <s v="EG.ELC.ACCS.ZS"/>
    <x v="16"/>
    <n v="100"/>
    <x v="1"/>
  </r>
  <r>
    <x v="42"/>
    <s v="NOR"/>
    <x v="0"/>
    <s v="EG.ELC.ACCS.ZS"/>
    <x v="17"/>
    <n v="100"/>
    <x v="2"/>
  </r>
  <r>
    <x v="42"/>
    <s v="NOR"/>
    <x v="0"/>
    <s v="EG.ELC.ACCS.ZS"/>
    <x v="18"/>
    <n v="100"/>
    <x v="2"/>
  </r>
  <r>
    <x v="42"/>
    <s v="NOR"/>
    <x v="0"/>
    <s v="EG.ELC.ACCS.ZS"/>
    <x v="19"/>
    <n v="100"/>
    <x v="2"/>
  </r>
  <r>
    <x v="42"/>
    <s v="NOR"/>
    <x v="0"/>
    <s v="EG.ELC.ACCS.ZS"/>
    <x v="20"/>
    <n v="100"/>
    <x v="2"/>
  </r>
  <r>
    <x v="42"/>
    <s v="NOR"/>
    <x v="0"/>
    <s v="EG.ELC.ACCS.ZS"/>
    <x v="21"/>
    <n v="100"/>
    <x v="2"/>
  </r>
  <r>
    <x v="42"/>
    <s v="NOR"/>
    <x v="0"/>
    <s v="EG.ELC.ACCS.ZS"/>
    <x v="22"/>
    <n v="100"/>
    <x v="2"/>
  </r>
  <r>
    <x v="42"/>
    <s v="NOR"/>
    <x v="0"/>
    <s v="EG.ELC.ACCS.ZS"/>
    <x v="23"/>
    <n v="100"/>
    <x v="2"/>
  </r>
  <r>
    <x v="42"/>
    <s v="NOR"/>
    <x v="0"/>
    <s v="EG.ELC.ACCS.ZS"/>
    <x v="24"/>
    <n v="100"/>
    <x v="2"/>
  </r>
  <r>
    <x v="42"/>
    <s v="NOR"/>
    <x v="0"/>
    <s v="EG.ELC.ACCS.ZS"/>
    <x v="25"/>
    <n v="100"/>
    <x v="2"/>
  </r>
  <r>
    <x v="42"/>
    <s v="NOR"/>
    <x v="0"/>
    <s v="EG.ELC.ACCS.ZS"/>
    <x v="26"/>
    <n v="100"/>
    <x v="2"/>
  </r>
  <r>
    <x v="42"/>
    <s v="NOR"/>
    <x v="0"/>
    <s v="EG.ELC.ACCS.ZS"/>
    <x v="27"/>
    <n v="100"/>
    <x v="3"/>
  </r>
  <r>
    <x v="42"/>
    <s v="NOR"/>
    <x v="0"/>
    <s v="EG.ELC.ACCS.ZS"/>
    <x v="28"/>
    <n v="100"/>
    <x v="3"/>
  </r>
  <r>
    <x v="42"/>
    <s v="NOR"/>
    <x v="0"/>
    <s v="EG.ELC.ACCS.ZS"/>
    <x v="29"/>
    <n v="100"/>
    <x v="3"/>
  </r>
  <r>
    <x v="42"/>
    <s v="NOR"/>
    <x v="0"/>
    <s v="EG.ELC.ACCS.ZS"/>
    <x v="30"/>
    <n v="100"/>
    <x v="3"/>
  </r>
  <r>
    <x v="42"/>
    <s v="NOR"/>
    <x v="0"/>
    <s v="EG.ELC.ACCS.ZS"/>
    <x v="31"/>
    <n v="100"/>
    <x v="0"/>
  </r>
  <r>
    <x v="42"/>
    <s v="NOR"/>
    <x v="0"/>
    <s v="EG.ELC.ACCS.ZS"/>
    <x v="32"/>
    <n v="100"/>
    <x v="0"/>
  </r>
  <r>
    <x v="42"/>
    <s v="NOR"/>
    <x v="0"/>
    <s v="EG.ELC.ACCS.ZS"/>
    <x v="33"/>
    <n v="100"/>
    <x v="0"/>
  </r>
  <r>
    <x v="43"/>
    <s v="POL"/>
    <x v="0"/>
    <s v="EG.ELC.ACCS.ZS"/>
    <x v="0"/>
    <n v="100"/>
    <x v="0"/>
  </r>
  <r>
    <x v="43"/>
    <s v="POL"/>
    <x v="0"/>
    <s v="EG.ELC.ACCS.ZS"/>
    <x v="1"/>
    <n v="100"/>
    <x v="0"/>
  </r>
  <r>
    <x v="43"/>
    <s v="POL"/>
    <x v="0"/>
    <s v="EG.ELC.ACCS.ZS"/>
    <x v="2"/>
    <n v="100"/>
    <x v="0"/>
  </r>
  <r>
    <x v="43"/>
    <s v="POL"/>
    <x v="0"/>
    <s v="EG.ELC.ACCS.ZS"/>
    <x v="3"/>
    <n v="100"/>
    <x v="0"/>
  </r>
  <r>
    <x v="43"/>
    <s v="POL"/>
    <x v="0"/>
    <s v="EG.ELC.ACCS.ZS"/>
    <x v="4"/>
    <n v="100"/>
    <x v="0"/>
  </r>
  <r>
    <x v="43"/>
    <s v="POL"/>
    <x v="0"/>
    <s v="EG.ELC.ACCS.ZS"/>
    <x v="5"/>
    <n v="100"/>
    <x v="0"/>
  </r>
  <r>
    <x v="43"/>
    <s v="POL"/>
    <x v="0"/>
    <s v="EG.ELC.ACCS.ZS"/>
    <x v="6"/>
    <n v="100"/>
    <x v="0"/>
  </r>
  <r>
    <x v="43"/>
    <s v="POL"/>
    <x v="0"/>
    <s v="EG.ELC.ACCS.ZS"/>
    <x v="7"/>
    <n v="100"/>
    <x v="1"/>
  </r>
  <r>
    <x v="43"/>
    <s v="POL"/>
    <x v="0"/>
    <s v="EG.ELC.ACCS.ZS"/>
    <x v="8"/>
    <n v="100"/>
    <x v="1"/>
  </r>
  <r>
    <x v="43"/>
    <s v="POL"/>
    <x v="0"/>
    <s v="EG.ELC.ACCS.ZS"/>
    <x v="9"/>
    <n v="100"/>
    <x v="1"/>
  </r>
  <r>
    <x v="43"/>
    <s v="POL"/>
    <x v="0"/>
    <s v="EG.ELC.ACCS.ZS"/>
    <x v="10"/>
    <n v="100"/>
    <x v="1"/>
  </r>
  <r>
    <x v="43"/>
    <s v="POL"/>
    <x v="0"/>
    <s v="EG.ELC.ACCS.ZS"/>
    <x v="11"/>
    <n v="100"/>
    <x v="1"/>
  </r>
  <r>
    <x v="43"/>
    <s v="POL"/>
    <x v="0"/>
    <s v="EG.ELC.ACCS.ZS"/>
    <x v="12"/>
    <n v="100"/>
    <x v="1"/>
  </r>
  <r>
    <x v="43"/>
    <s v="POL"/>
    <x v="0"/>
    <s v="EG.ELC.ACCS.ZS"/>
    <x v="13"/>
    <n v="100"/>
    <x v="1"/>
  </r>
  <r>
    <x v="43"/>
    <s v="POL"/>
    <x v="0"/>
    <s v="EG.ELC.ACCS.ZS"/>
    <x v="14"/>
    <n v="100"/>
    <x v="1"/>
  </r>
  <r>
    <x v="43"/>
    <s v="POL"/>
    <x v="0"/>
    <s v="EG.ELC.ACCS.ZS"/>
    <x v="15"/>
    <n v="100"/>
    <x v="1"/>
  </r>
  <r>
    <x v="43"/>
    <s v="POL"/>
    <x v="0"/>
    <s v="EG.ELC.ACCS.ZS"/>
    <x v="16"/>
    <n v="100"/>
    <x v="1"/>
  </r>
  <r>
    <x v="43"/>
    <s v="POL"/>
    <x v="0"/>
    <s v="EG.ELC.ACCS.ZS"/>
    <x v="17"/>
    <n v="100"/>
    <x v="2"/>
  </r>
  <r>
    <x v="43"/>
    <s v="POL"/>
    <x v="0"/>
    <s v="EG.ELC.ACCS.ZS"/>
    <x v="18"/>
    <n v="100"/>
    <x v="2"/>
  </r>
  <r>
    <x v="43"/>
    <s v="POL"/>
    <x v="0"/>
    <s v="EG.ELC.ACCS.ZS"/>
    <x v="19"/>
    <n v="100"/>
    <x v="2"/>
  </r>
  <r>
    <x v="43"/>
    <s v="POL"/>
    <x v="0"/>
    <s v="EG.ELC.ACCS.ZS"/>
    <x v="20"/>
    <n v="100"/>
    <x v="2"/>
  </r>
  <r>
    <x v="43"/>
    <s v="POL"/>
    <x v="0"/>
    <s v="EG.ELC.ACCS.ZS"/>
    <x v="21"/>
    <n v="100"/>
    <x v="2"/>
  </r>
  <r>
    <x v="43"/>
    <s v="POL"/>
    <x v="0"/>
    <s v="EG.ELC.ACCS.ZS"/>
    <x v="22"/>
    <n v="100"/>
    <x v="2"/>
  </r>
  <r>
    <x v="43"/>
    <s v="POL"/>
    <x v="0"/>
    <s v="EG.ELC.ACCS.ZS"/>
    <x v="23"/>
    <n v="100"/>
    <x v="2"/>
  </r>
  <r>
    <x v="43"/>
    <s v="POL"/>
    <x v="0"/>
    <s v="EG.ELC.ACCS.ZS"/>
    <x v="24"/>
    <n v="100"/>
    <x v="2"/>
  </r>
  <r>
    <x v="43"/>
    <s v="POL"/>
    <x v="0"/>
    <s v="EG.ELC.ACCS.ZS"/>
    <x v="25"/>
    <n v="100"/>
    <x v="2"/>
  </r>
  <r>
    <x v="43"/>
    <s v="POL"/>
    <x v="0"/>
    <s v="EG.ELC.ACCS.ZS"/>
    <x v="26"/>
    <n v="100"/>
    <x v="2"/>
  </r>
  <r>
    <x v="43"/>
    <s v="POL"/>
    <x v="0"/>
    <s v="EG.ELC.ACCS.ZS"/>
    <x v="27"/>
    <n v="100"/>
    <x v="3"/>
  </r>
  <r>
    <x v="43"/>
    <s v="POL"/>
    <x v="0"/>
    <s v="EG.ELC.ACCS.ZS"/>
    <x v="28"/>
    <n v="100"/>
    <x v="3"/>
  </r>
  <r>
    <x v="43"/>
    <s v="POL"/>
    <x v="0"/>
    <s v="EG.ELC.ACCS.ZS"/>
    <x v="29"/>
    <n v="100"/>
    <x v="3"/>
  </r>
  <r>
    <x v="43"/>
    <s v="POL"/>
    <x v="0"/>
    <s v="EG.ELC.ACCS.ZS"/>
    <x v="30"/>
    <n v="100"/>
    <x v="3"/>
  </r>
  <r>
    <x v="43"/>
    <s v="POL"/>
    <x v="0"/>
    <s v="EG.ELC.ACCS.ZS"/>
    <x v="31"/>
    <n v="100"/>
    <x v="0"/>
  </r>
  <r>
    <x v="43"/>
    <s v="POL"/>
    <x v="0"/>
    <s v="EG.ELC.ACCS.ZS"/>
    <x v="32"/>
    <n v="100"/>
    <x v="0"/>
  </r>
  <r>
    <x v="43"/>
    <s v="POL"/>
    <x v="0"/>
    <s v="EG.ELC.ACCS.ZS"/>
    <x v="33"/>
    <n v="100"/>
    <x v="0"/>
  </r>
  <r>
    <x v="44"/>
    <s v="PRT"/>
    <x v="0"/>
    <s v="EG.ELC.ACCS.ZS"/>
    <x v="0"/>
    <n v="100"/>
    <x v="0"/>
  </r>
  <r>
    <x v="44"/>
    <s v="PRT"/>
    <x v="0"/>
    <s v="EG.ELC.ACCS.ZS"/>
    <x v="1"/>
    <n v="100"/>
    <x v="0"/>
  </r>
  <r>
    <x v="44"/>
    <s v="PRT"/>
    <x v="0"/>
    <s v="EG.ELC.ACCS.ZS"/>
    <x v="2"/>
    <n v="100"/>
    <x v="0"/>
  </r>
  <r>
    <x v="44"/>
    <s v="PRT"/>
    <x v="0"/>
    <s v="EG.ELC.ACCS.ZS"/>
    <x v="3"/>
    <n v="100"/>
    <x v="0"/>
  </r>
  <r>
    <x v="44"/>
    <s v="PRT"/>
    <x v="0"/>
    <s v="EG.ELC.ACCS.ZS"/>
    <x v="4"/>
    <n v="100"/>
    <x v="0"/>
  </r>
  <r>
    <x v="44"/>
    <s v="PRT"/>
    <x v="0"/>
    <s v="EG.ELC.ACCS.ZS"/>
    <x v="5"/>
    <n v="100"/>
    <x v="0"/>
  </r>
  <r>
    <x v="44"/>
    <s v="PRT"/>
    <x v="0"/>
    <s v="EG.ELC.ACCS.ZS"/>
    <x v="6"/>
    <n v="100"/>
    <x v="0"/>
  </r>
  <r>
    <x v="44"/>
    <s v="PRT"/>
    <x v="0"/>
    <s v="EG.ELC.ACCS.ZS"/>
    <x v="7"/>
    <n v="100"/>
    <x v="1"/>
  </r>
  <r>
    <x v="44"/>
    <s v="PRT"/>
    <x v="0"/>
    <s v="EG.ELC.ACCS.ZS"/>
    <x v="8"/>
    <n v="100"/>
    <x v="1"/>
  </r>
  <r>
    <x v="44"/>
    <s v="PRT"/>
    <x v="0"/>
    <s v="EG.ELC.ACCS.ZS"/>
    <x v="9"/>
    <n v="100"/>
    <x v="1"/>
  </r>
  <r>
    <x v="44"/>
    <s v="PRT"/>
    <x v="0"/>
    <s v="EG.ELC.ACCS.ZS"/>
    <x v="10"/>
    <n v="100"/>
    <x v="1"/>
  </r>
  <r>
    <x v="44"/>
    <s v="PRT"/>
    <x v="0"/>
    <s v="EG.ELC.ACCS.ZS"/>
    <x v="11"/>
    <n v="100"/>
    <x v="1"/>
  </r>
  <r>
    <x v="44"/>
    <s v="PRT"/>
    <x v="0"/>
    <s v="EG.ELC.ACCS.ZS"/>
    <x v="12"/>
    <n v="100"/>
    <x v="1"/>
  </r>
  <r>
    <x v="44"/>
    <s v="PRT"/>
    <x v="0"/>
    <s v="EG.ELC.ACCS.ZS"/>
    <x v="13"/>
    <n v="100"/>
    <x v="1"/>
  </r>
  <r>
    <x v="44"/>
    <s v="PRT"/>
    <x v="0"/>
    <s v="EG.ELC.ACCS.ZS"/>
    <x v="14"/>
    <n v="100"/>
    <x v="1"/>
  </r>
  <r>
    <x v="44"/>
    <s v="PRT"/>
    <x v="0"/>
    <s v="EG.ELC.ACCS.ZS"/>
    <x v="15"/>
    <n v="100"/>
    <x v="1"/>
  </r>
  <r>
    <x v="44"/>
    <s v="PRT"/>
    <x v="0"/>
    <s v="EG.ELC.ACCS.ZS"/>
    <x v="16"/>
    <n v="100"/>
    <x v="1"/>
  </r>
  <r>
    <x v="44"/>
    <s v="PRT"/>
    <x v="0"/>
    <s v="EG.ELC.ACCS.ZS"/>
    <x v="17"/>
    <n v="100"/>
    <x v="2"/>
  </r>
  <r>
    <x v="44"/>
    <s v="PRT"/>
    <x v="0"/>
    <s v="EG.ELC.ACCS.ZS"/>
    <x v="18"/>
    <n v="100"/>
    <x v="2"/>
  </r>
  <r>
    <x v="44"/>
    <s v="PRT"/>
    <x v="0"/>
    <s v="EG.ELC.ACCS.ZS"/>
    <x v="19"/>
    <n v="100"/>
    <x v="2"/>
  </r>
  <r>
    <x v="44"/>
    <s v="PRT"/>
    <x v="0"/>
    <s v="EG.ELC.ACCS.ZS"/>
    <x v="20"/>
    <n v="100"/>
    <x v="2"/>
  </r>
  <r>
    <x v="44"/>
    <s v="PRT"/>
    <x v="0"/>
    <s v="EG.ELC.ACCS.ZS"/>
    <x v="21"/>
    <n v="100"/>
    <x v="2"/>
  </r>
  <r>
    <x v="44"/>
    <s v="PRT"/>
    <x v="0"/>
    <s v="EG.ELC.ACCS.ZS"/>
    <x v="22"/>
    <n v="100"/>
    <x v="2"/>
  </r>
  <r>
    <x v="44"/>
    <s v="PRT"/>
    <x v="0"/>
    <s v="EG.ELC.ACCS.ZS"/>
    <x v="23"/>
    <n v="100"/>
    <x v="2"/>
  </r>
  <r>
    <x v="44"/>
    <s v="PRT"/>
    <x v="0"/>
    <s v="EG.ELC.ACCS.ZS"/>
    <x v="24"/>
    <n v="100"/>
    <x v="2"/>
  </r>
  <r>
    <x v="44"/>
    <s v="PRT"/>
    <x v="0"/>
    <s v="EG.ELC.ACCS.ZS"/>
    <x v="25"/>
    <n v="100"/>
    <x v="2"/>
  </r>
  <r>
    <x v="44"/>
    <s v="PRT"/>
    <x v="0"/>
    <s v="EG.ELC.ACCS.ZS"/>
    <x v="26"/>
    <n v="100"/>
    <x v="2"/>
  </r>
  <r>
    <x v="44"/>
    <s v="PRT"/>
    <x v="0"/>
    <s v="EG.ELC.ACCS.ZS"/>
    <x v="27"/>
    <n v="100"/>
    <x v="3"/>
  </r>
  <r>
    <x v="44"/>
    <s v="PRT"/>
    <x v="0"/>
    <s v="EG.ELC.ACCS.ZS"/>
    <x v="28"/>
    <n v="100"/>
    <x v="3"/>
  </r>
  <r>
    <x v="44"/>
    <s v="PRT"/>
    <x v="0"/>
    <s v="EG.ELC.ACCS.ZS"/>
    <x v="29"/>
    <n v="100"/>
    <x v="3"/>
  </r>
  <r>
    <x v="44"/>
    <s v="PRT"/>
    <x v="0"/>
    <s v="EG.ELC.ACCS.ZS"/>
    <x v="30"/>
    <n v="100"/>
    <x v="3"/>
  </r>
  <r>
    <x v="44"/>
    <s v="PRT"/>
    <x v="0"/>
    <s v="EG.ELC.ACCS.ZS"/>
    <x v="31"/>
    <n v="100"/>
    <x v="0"/>
  </r>
  <r>
    <x v="44"/>
    <s v="PRT"/>
    <x v="0"/>
    <s v="EG.ELC.ACCS.ZS"/>
    <x v="32"/>
    <n v="100"/>
    <x v="0"/>
  </r>
  <r>
    <x v="44"/>
    <s v="PRT"/>
    <x v="0"/>
    <s v="EG.ELC.ACCS.ZS"/>
    <x v="33"/>
    <n v="100"/>
    <x v="0"/>
  </r>
  <r>
    <x v="45"/>
    <s v="ROU"/>
    <x v="0"/>
    <s v="EG.ELC.ACCS.ZS"/>
    <x v="0"/>
    <n v="100"/>
    <x v="0"/>
  </r>
  <r>
    <x v="45"/>
    <s v="ROU"/>
    <x v="0"/>
    <s v="EG.ELC.ACCS.ZS"/>
    <x v="1"/>
    <n v="100"/>
    <x v="0"/>
  </r>
  <r>
    <x v="45"/>
    <s v="ROU"/>
    <x v="0"/>
    <s v="EG.ELC.ACCS.ZS"/>
    <x v="2"/>
    <n v="100"/>
    <x v="0"/>
  </r>
  <r>
    <x v="45"/>
    <s v="ROU"/>
    <x v="0"/>
    <s v="EG.ELC.ACCS.ZS"/>
    <x v="3"/>
    <n v="100"/>
    <x v="0"/>
  </r>
  <r>
    <x v="45"/>
    <s v="ROU"/>
    <x v="0"/>
    <s v="EG.ELC.ACCS.ZS"/>
    <x v="4"/>
    <n v="100"/>
    <x v="0"/>
  </r>
  <r>
    <x v="45"/>
    <s v="ROU"/>
    <x v="0"/>
    <s v="EG.ELC.ACCS.ZS"/>
    <x v="5"/>
    <n v="100"/>
    <x v="0"/>
  </r>
  <r>
    <x v="45"/>
    <s v="ROU"/>
    <x v="0"/>
    <s v="EG.ELC.ACCS.ZS"/>
    <x v="6"/>
    <n v="100"/>
    <x v="0"/>
  </r>
  <r>
    <x v="45"/>
    <s v="ROU"/>
    <x v="0"/>
    <s v="EG.ELC.ACCS.ZS"/>
    <x v="7"/>
    <n v="100"/>
    <x v="1"/>
  </r>
  <r>
    <x v="45"/>
    <s v="ROU"/>
    <x v="0"/>
    <s v="EG.ELC.ACCS.ZS"/>
    <x v="8"/>
    <n v="100"/>
    <x v="1"/>
  </r>
  <r>
    <x v="45"/>
    <s v="ROU"/>
    <x v="0"/>
    <s v="EG.ELC.ACCS.ZS"/>
    <x v="9"/>
    <n v="100"/>
    <x v="1"/>
  </r>
  <r>
    <x v="45"/>
    <s v="ROU"/>
    <x v="0"/>
    <s v="EG.ELC.ACCS.ZS"/>
    <x v="10"/>
    <n v="94"/>
    <x v="1"/>
  </r>
  <r>
    <x v="45"/>
    <s v="ROU"/>
    <x v="0"/>
    <s v="EG.ELC.ACCS.ZS"/>
    <x v="11"/>
    <n v="95"/>
    <x v="1"/>
  </r>
  <r>
    <x v="45"/>
    <s v="ROU"/>
    <x v="0"/>
    <s v="EG.ELC.ACCS.ZS"/>
    <x v="12"/>
    <n v="95"/>
    <x v="1"/>
  </r>
  <r>
    <x v="45"/>
    <s v="ROU"/>
    <x v="0"/>
    <s v="EG.ELC.ACCS.ZS"/>
    <x v="13"/>
    <n v="95"/>
    <x v="1"/>
  </r>
  <r>
    <x v="45"/>
    <s v="ROU"/>
    <x v="0"/>
    <s v="EG.ELC.ACCS.ZS"/>
    <x v="14"/>
    <n v="95"/>
    <x v="1"/>
  </r>
  <r>
    <x v="45"/>
    <s v="ROU"/>
    <x v="0"/>
    <s v="EG.ELC.ACCS.ZS"/>
    <x v="15"/>
    <n v="96"/>
    <x v="1"/>
  </r>
  <r>
    <x v="45"/>
    <s v="ROU"/>
    <x v="0"/>
    <s v="EG.ELC.ACCS.ZS"/>
    <x v="16"/>
    <n v="96"/>
    <x v="1"/>
  </r>
  <r>
    <x v="45"/>
    <s v="ROU"/>
    <x v="0"/>
    <s v="EG.ELC.ACCS.ZS"/>
    <x v="17"/>
    <n v="96"/>
    <x v="2"/>
  </r>
  <r>
    <x v="45"/>
    <s v="ROU"/>
    <x v="0"/>
    <s v="EG.ELC.ACCS.ZS"/>
    <x v="18"/>
    <n v="97"/>
    <x v="2"/>
  </r>
  <r>
    <x v="45"/>
    <s v="ROU"/>
    <x v="0"/>
    <s v="EG.ELC.ACCS.ZS"/>
    <x v="19"/>
    <n v="97"/>
    <x v="2"/>
  </r>
  <r>
    <x v="45"/>
    <s v="ROU"/>
    <x v="0"/>
    <s v="EG.ELC.ACCS.ZS"/>
    <x v="20"/>
    <n v="97"/>
    <x v="2"/>
  </r>
  <r>
    <x v="45"/>
    <s v="ROU"/>
    <x v="0"/>
    <s v="EG.ELC.ACCS.ZS"/>
    <x v="21"/>
    <n v="97"/>
    <x v="2"/>
  </r>
  <r>
    <x v="45"/>
    <s v="ROU"/>
    <x v="0"/>
    <s v="EG.ELC.ACCS.ZS"/>
    <x v="22"/>
    <n v="98"/>
    <x v="2"/>
  </r>
  <r>
    <x v="45"/>
    <s v="ROU"/>
    <x v="0"/>
    <s v="EG.ELC.ACCS.ZS"/>
    <x v="23"/>
    <n v="98"/>
    <x v="2"/>
  </r>
  <r>
    <x v="45"/>
    <s v="ROU"/>
    <x v="0"/>
    <s v="EG.ELC.ACCS.ZS"/>
    <x v="24"/>
    <n v="98"/>
    <x v="2"/>
  </r>
  <r>
    <x v="45"/>
    <s v="ROU"/>
    <x v="0"/>
    <s v="EG.ELC.ACCS.ZS"/>
    <x v="25"/>
    <n v="99"/>
    <x v="2"/>
  </r>
  <r>
    <x v="45"/>
    <s v="ROU"/>
    <x v="0"/>
    <s v="EG.ELC.ACCS.ZS"/>
    <x v="26"/>
    <n v="99"/>
    <x v="2"/>
  </r>
  <r>
    <x v="45"/>
    <s v="ROU"/>
    <x v="0"/>
    <s v="EG.ELC.ACCS.ZS"/>
    <x v="27"/>
    <n v="100"/>
    <x v="3"/>
  </r>
  <r>
    <x v="45"/>
    <s v="ROU"/>
    <x v="0"/>
    <s v="EG.ELC.ACCS.ZS"/>
    <x v="28"/>
    <n v="100"/>
    <x v="3"/>
  </r>
  <r>
    <x v="45"/>
    <s v="ROU"/>
    <x v="0"/>
    <s v="EG.ELC.ACCS.ZS"/>
    <x v="29"/>
    <n v="100"/>
    <x v="3"/>
  </r>
  <r>
    <x v="45"/>
    <s v="ROU"/>
    <x v="0"/>
    <s v="EG.ELC.ACCS.ZS"/>
    <x v="30"/>
    <n v="100"/>
    <x v="3"/>
  </r>
  <r>
    <x v="45"/>
    <s v="ROU"/>
    <x v="0"/>
    <s v="EG.ELC.ACCS.ZS"/>
    <x v="31"/>
    <n v="100"/>
    <x v="0"/>
  </r>
  <r>
    <x v="45"/>
    <s v="ROU"/>
    <x v="0"/>
    <s v="EG.ELC.ACCS.ZS"/>
    <x v="32"/>
    <n v="100"/>
    <x v="0"/>
  </r>
  <r>
    <x v="45"/>
    <s v="ROU"/>
    <x v="0"/>
    <s v="EG.ELC.ACCS.ZS"/>
    <x v="33"/>
    <n v="100"/>
    <x v="0"/>
  </r>
  <r>
    <x v="46"/>
    <s v="RUS"/>
    <x v="0"/>
    <s v="EG.ELC.ACCS.ZS"/>
    <x v="0"/>
    <n v="100"/>
    <x v="0"/>
  </r>
  <r>
    <x v="46"/>
    <s v="RUS"/>
    <x v="0"/>
    <s v="EG.ELC.ACCS.ZS"/>
    <x v="1"/>
    <n v="100"/>
    <x v="0"/>
  </r>
  <r>
    <x v="46"/>
    <s v="RUS"/>
    <x v="0"/>
    <s v="EG.ELC.ACCS.ZS"/>
    <x v="2"/>
    <n v="100"/>
    <x v="0"/>
  </r>
  <r>
    <x v="46"/>
    <s v="RUS"/>
    <x v="0"/>
    <s v="EG.ELC.ACCS.ZS"/>
    <x v="3"/>
    <n v="100"/>
    <x v="0"/>
  </r>
  <r>
    <x v="46"/>
    <s v="RUS"/>
    <x v="0"/>
    <s v="EG.ELC.ACCS.ZS"/>
    <x v="4"/>
    <n v="100"/>
    <x v="0"/>
  </r>
  <r>
    <x v="46"/>
    <s v="RUS"/>
    <x v="0"/>
    <s v="EG.ELC.ACCS.ZS"/>
    <x v="5"/>
    <n v="100"/>
    <x v="0"/>
  </r>
  <r>
    <x v="46"/>
    <s v="RUS"/>
    <x v="0"/>
    <s v="EG.ELC.ACCS.ZS"/>
    <x v="6"/>
    <n v="100"/>
    <x v="0"/>
  </r>
  <r>
    <x v="46"/>
    <s v="RUS"/>
    <x v="0"/>
    <s v="EG.ELC.ACCS.ZS"/>
    <x v="7"/>
    <n v="100"/>
    <x v="1"/>
  </r>
  <r>
    <x v="46"/>
    <s v="RUS"/>
    <x v="0"/>
    <s v="EG.ELC.ACCS.ZS"/>
    <x v="8"/>
    <n v="100"/>
    <x v="1"/>
  </r>
  <r>
    <x v="46"/>
    <s v="RUS"/>
    <x v="0"/>
    <s v="EG.ELC.ACCS.ZS"/>
    <x v="9"/>
    <n v="100"/>
    <x v="1"/>
  </r>
  <r>
    <x v="46"/>
    <s v="RUS"/>
    <x v="0"/>
    <s v="EG.ELC.ACCS.ZS"/>
    <x v="10"/>
    <n v="98"/>
    <x v="1"/>
  </r>
  <r>
    <x v="46"/>
    <s v="RUS"/>
    <x v="0"/>
    <s v="EG.ELC.ACCS.ZS"/>
    <x v="11"/>
    <n v="98"/>
    <x v="1"/>
  </r>
  <r>
    <x v="46"/>
    <s v="RUS"/>
    <x v="0"/>
    <s v="EG.ELC.ACCS.ZS"/>
    <x v="12"/>
    <n v="98"/>
    <x v="1"/>
  </r>
  <r>
    <x v="46"/>
    <s v="RUS"/>
    <x v="0"/>
    <s v="EG.ELC.ACCS.ZS"/>
    <x v="13"/>
    <n v="98"/>
    <x v="1"/>
  </r>
  <r>
    <x v="46"/>
    <s v="RUS"/>
    <x v="0"/>
    <s v="EG.ELC.ACCS.ZS"/>
    <x v="14"/>
    <n v="98"/>
    <x v="1"/>
  </r>
  <r>
    <x v="46"/>
    <s v="RUS"/>
    <x v="0"/>
    <s v="EG.ELC.ACCS.ZS"/>
    <x v="15"/>
    <n v="98"/>
    <x v="1"/>
  </r>
  <r>
    <x v="46"/>
    <s v="RUS"/>
    <x v="0"/>
    <s v="EG.ELC.ACCS.ZS"/>
    <x v="16"/>
    <n v="98"/>
    <x v="1"/>
  </r>
  <r>
    <x v="46"/>
    <s v="RUS"/>
    <x v="0"/>
    <s v="EG.ELC.ACCS.ZS"/>
    <x v="17"/>
    <n v="98"/>
    <x v="2"/>
  </r>
  <r>
    <x v="46"/>
    <s v="RUS"/>
    <x v="0"/>
    <s v="EG.ELC.ACCS.ZS"/>
    <x v="18"/>
    <n v="98"/>
    <x v="2"/>
  </r>
  <r>
    <x v="46"/>
    <s v="RUS"/>
    <x v="0"/>
    <s v="EG.ELC.ACCS.ZS"/>
    <x v="19"/>
    <n v="98"/>
    <x v="2"/>
  </r>
  <r>
    <x v="46"/>
    <s v="RUS"/>
    <x v="0"/>
    <s v="EG.ELC.ACCS.ZS"/>
    <x v="20"/>
    <n v="99"/>
    <x v="2"/>
  </r>
  <r>
    <x v="46"/>
    <s v="RUS"/>
    <x v="0"/>
    <s v="EG.ELC.ACCS.ZS"/>
    <x v="21"/>
    <n v="99"/>
    <x v="2"/>
  </r>
  <r>
    <x v="46"/>
    <s v="RUS"/>
    <x v="0"/>
    <s v="EG.ELC.ACCS.ZS"/>
    <x v="22"/>
    <n v="100"/>
    <x v="2"/>
  </r>
  <r>
    <x v="46"/>
    <s v="RUS"/>
    <x v="0"/>
    <s v="EG.ELC.ACCS.ZS"/>
    <x v="23"/>
    <n v="100"/>
    <x v="2"/>
  </r>
  <r>
    <x v="46"/>
    <s v="RUS"/>
    <x v="0"/>
    <s v="EG.ELC.ACCS.ZS"/>
    <x v="24"/>
    <n v="100"/>
    <x v="2"/>
  </r>
  <r>
    <x v="46"/>
    <s v="RUS"/>
    <x v="0"/>
    <s v="EG.ELC.ACCS.ZS"/>
    <x v="25"/>
    <n v="96"/>
    <x v="2"/>
  </r>
  <r>
    <x v="46"/>
    <s v="RUS"/>
    <x v="0"/>
    <s v="EG.ELC.ACCS.ZS"/>
    <x v="26"/>
    <n v="99"/>
    <x v="2"/>
  </r>
  <r>
    <x v="46"/>
    <s v="RUS"/>
    <x v="0"/>
    <s v="EG.ELC.ACCS.ZS"/>
    <x v="27"/>
    <n v="100"/>
    <x v="3"/>
  </r>
  <r>
    <x v="46"/>
    <s v="RUS"/>
    <x v="0"/>
    <s v="EG.ELC.ACCS.ZS"/>
    <x v="28"/>
    <n v="100"/>
    <x v="3"/>
  </r>
  <r>
    <x v="46"/>
    <s v="RUS"/>
    <x v="0"/>
    <s v="EG.ELC.ACCS.ZS"/>
    <x v="29"/>
    <n v="100"/>
    <x v="3"/>
  </r>
  <r>
    <x v="46"/>
    <s v="RUS"/>
    <x v="0"/>
    <s v="EG.ELC.ACCS.ZS"/>
    <x v="30"/>
    <n v="100"/>
    <x v="3"/>
  </r>
  <r>
    <x v="46"/>
    <s v="RUS"/>
    <x v="0"/>
    <s v="EG.ELC.ACCS.ZS"/>
    <x v="31"/>
    <n v="100"/>
    <x v="0"/>
  </r>
  <r>
    <x v="46"/>
    <s v="RUS"/>
    <x v="0"/>
    <s v="EG.ELC.ACCS.ZS"/>
    <x v="32"/>
    <n v="100"/>
    <x v="0"/>
  </r>
  <r>
    <x v="46"/>
    <s v="RUS"/>
    <x v="0"/>
    <s v="EG.ELC.ACCS.ZS"/>
    <x v="33"/>
    <n v="100"/>
    <x v="0"/>
  </r>
  <r>
    <x v="47"/>
    <s v="SMR"/>
    <x v="0"/>
    <s v="EG.ELC.ACCS.ZS"/>
    <x v="0"/>
    <n v="100"/>
    <x v="0"/>
  </r>
  <r>
    <x v="47"/>
    <s v="SMR"/>
    <x v="0"/>
    <s v="EG.ELC.ACCS.ZS"/>
    <x v="1"/>
    <n v="100"/>
    <x v="0"/>
  </r>
  <r>
    <x v="47"/>
    <s v="SMR"/>
    <x v="0"/>
    <s v="EG.ELC.ACCS.ZS"/>
    <x v="2"/>
    <n v="100"/>
    <x v="0"/>
  </r>
  <r>
    <x v="47"/>
    <s v="SMR"/>
    <x v="0"/>
    <s v="EG.ELC.ACCS.ZS"/>
    <x v="3"/>
    <n v="100"/>
    <x v="0"/>
  </r>
  <r>
    <x v="47"/>
    <s v="SMR"/>
    <x v="0"/>
    <s v="EG.ELC.ACCS.ZS"/>
    <x v="4"/>
    <n v="100"/>
    <x v="0"/>
  </r>
  <r>
    <x v="47"/>
    <s v="SMR"/>
    <x v="0"/>
    <s v="EG.ELC.ACCS.ZS"/>
    <x v="5"/>
    <n v="100"/>
    <x v="0"/>
  </r>
  <r>
    <x v="47"/>
    <s v="SMR"/>
    <x v="0"/>
    <s v="EG.ELC.ACCS.ZS"/>
    <x v="6"/>
    <n v="100"/>
    <x v="0"/>
  </r>
  <r>
    <x v="47"/>
    <s v="SMR"/>
    <x v="0"/>
    <s v="EG.ELC.ACCS.ZS"/>
    <x v="7"/>
    <n v="100"/>
    <x v="1"/>
  </r>
  <r>
    <x v="47"/>
    <s v="SMR"/>
    <x v="0"/>
    <s v="EG.ELC.ACCS.ZS"/>
    <x v="8"/>
    <n v="100"/>
    <x v="1"/>
  </r>
  <r>
    <x v="47"/>
    <s v="SMR"/>
    <x v="0"/>
    <s v="EG.ELC.ACCS.ZS"/>
    <x v="9"/>
    <n v="100"/>
    <x v="1"/>
  </r>
  <r>
    <x v="47"/>
    <s v="SMR"/>
    <x v="0"/>
    <s v="EG.ELC.ACCS.ZS"/>
    <x v="10"/>
    <n v="100"/>
    <x v="1"/>
  </r>
  <r>
    <x v="47"/>
    <s v="SMR"/>
    <x v="0"/>
    <s v="EG.ELC.ACCS.ZS"/>
    <x v="11"/>
    <n v="100"/>
    <x v="1"/>
  </r>
  <r>
    <x v="47"/>
    <s v="SMR"/>
    <x v="0"/>
    <s v="EG.ELC.ACCS.ZS"/>
    <x v="12"/>
    <n v="100"/>
    <x v="1"/>
  </r>
  <r>
    <x v="47"/>
    <s v="SMR"/>
    <x v="0"/>
    <s v="EG.ELC.ACCS.ZS"/>
    <x v="13"/>
    <n v="100"/>
    <x v="1"/>
  </r>
  <r>
    <x v="47"/>
    <s v="SMR"/>
    <x v="0"/>
    <s v="EG.ELC.ACCS.ZS"/>
    <x v="14"/>
    <n v="100"/>
    <x v="1"/>
  </r>
  <r>
    <x v="47"/>
    <s v="SMR"/>
    <x v="0"/>
    <s v="EG.ELC.ACCS.ZS"/>
    <x v="15"/>
    <n v="100"/>
    <x v="1"/>
  </r>
  <r>
    <x v="47"/>
    <s v="SMR"/>
    <x v="0"/>
    <s v="EG.ELC.ACCS.ZS"/>
    <x v="16"/>
    <n v="100"/>
    <x v="1"/>
  </r>
  <r>
    <x v="47"/>
    <s v="SMR"/>
    <x v="0"/>
    <s v="EG.ELC.ACCS.ZS"/>
    <x v="17"/>
    <n v="100"/>
    <x v="2"/>
  </r>
  <r>
    <x v="47"/>
    <s v="SMR"/>
    <x v="0"/>
    <s v="EG.ELC.ACCS.ZS"/>
    <x v="18"/>
    <n v="100"/>
    <x v="2"/>
  </r>
  <r>
    <x v="47"/>
    <s v="SMR"/>
    <x v="0"/>
    <s v="EG.ELC.ACCS.ZS"/>
    <x v="19"/>
    <n v="100"/>
    <x v="2"/>
  </r>
  <r>
    <x v="47"/>
    <s v="SMR"/>
    <x v="0"/>
    <s v="EG.ELC.ACCS.ZS"/>
    <x v="20"/>
    <n v="100"/>
    <x v="2"/>
  </r>
  <r>
    <x v="47"/>
    <s v="SMR"/>
    <x v="0"/>
    <s v="EG.ELC.ACCS.ZS"/>
    <x v="21"/>
    <n v="100"/>
    <x v="2"/>
  </r>
  <r>
    <x v="47"/>
    <s v="SMR"/>
    <x v="0"/>
    <s v="EG.ELC.ACCS.ZS"/>
    <x v="22"/>
    <n v="100"/>
    <x v="2"/>
  </r>
  <r>
    <x v="47"/>
    <s v="SMR"/>
    <x v="0"/>
    <s v="EG.ELC.ACCS.ZS"/>
    <x v="23"/>
    <n v="100"/>
    <x v="2"/>
  </r>
  <r>
    <x v="47"/>
    <s v="SMR"/>
    <x v="0"/>
    <s v="EG.ELC.ACCS.ZS"/>
    <x v="24"/>
    <n v="100"/>
    <x v="2"/>
  </r>
  <r>
    <x v="47"/>
    <s v="SMR"/>
    <x v="0"/>
    <s v="EG.ELC.ACCS.ZS"/>
    <x v="25"/>
    <n v="100"/>
    <x v="2"/>
  </r>
  <r>
    <x v="47"/>
    <s v="SMR"/>
    <x v="0"/>
    <s v="EG.ELC.ACCS.ZS"/>
    <x v="26"/>
    <n v="100"/>
    <x v="2"/>
  </r>
  <r>
    <x v="47"/>
    <s v="SMR"/>
    <x v="0"/>
    <s v="EG.ELC.ACCS.ZS"/>
    <x v="27"/>
    <n v="100"/>
    <x v="3"/>
  </r>
  <r>
    <x v="47"/>
    <s v="SMR"/>
    <x v="0"/>
    <s v="EG.ELC.ACCS.ZS"/>
    <x v="28"/>
    <n v="100"/>
    <x v="3"/>
  </r>
  <r>
    <x v="47"/>
    <s v="SMR"/>
    <x v="0"/>
    <s v="EG.ELC.ACCS.ZS"/>
    <x v="29"/>
    <n v="100"/>
    <x v="3"/>
  </r>
  <r>
    <x v="47"/>
    <s v="SMR"/>
    <x v="0"/>
    <s v="EG.ELC.ACCS.ZS"/>
    <x v="30"/>
    <n v="100"/>
    <x v="3"/>
  </r>
  <r>
    <x v="47"/>
    <s v="SMR"/>
    <x v="0"/>
    <s v="EG.ELC.ACCS.ZS"/>
    <x v="31"/>
    <n v="100"/>
    <x v="0"/>
  </r>
  <r>
    <x v="47"/>
    <s v="SMR"/>
    <x v="0"/>
    <s v="EG.ELC.ACCS.ZS"/>
    <x v="32"/>
    <n v="100"/>
    <x v="0"/>
  </r>
  <r>
    <x v="47"/>
    <s v="SMR"/>
    <x v="0"/>
    <s v="EG.ELC.ACCS.ZS"/>
    <x v="33"/>
    <n v="100"/>
    <x v="0"/>
  </r>
  <r>
    <x v="48"/>
    <s v="SRB"/>
    <x v="0"/>
    <s v="EG.ELC.ACCS.ZS"/>
    <x v="0"/>
    <n v="100"/>
    <x v="0"/>
  </r>
  <r>
    <x v="48"/>
    <s v="SRB"/>
    <x v="0"/>
    <s v="EG.ELC.ACCS.ZS"/>
    <x v="1"/>
    <n v="100"/>
    <x v="0"/>
  </r>
  <r>
    <x v="48"/>
    <s v="SRB"/>
    <x v="0"/>
    <s v="EG.ELC.ACCS.ZS"/>
    <x v="2"/>
    <n v="100"/>
    <x v="0"/>
  </r>
  <r>
    <x v="48"/>
    <s v="SRB"/>
    <x v="0"/>
    <s v="EG.ELC.ACCS.ZS"/>
    <x v="3"/>
    <n v="100"/>
    <x v="0"/>
  </r>
  <r>
    <x v="48"/>
    <s v="SRB"/>
    <x v="0"/>
    <s v="EG.ELC.ACCS.ZS"/>
    <x v="4"/>
    <n v="100"/>
    <x v="0"/>
  </r>
  <r>
    <x v="48"/>
    <s v="SRB"/>
    <x v="0"/>
    <s v="EG.ELC.ACCS.ZS"/>
    <x v="5"/>
    <n v="100"/>
    <x v="0"/>
  </r>
  <r>
    <x v="48"/>
    <s v="SRB"/>
    <x v="0"/>
    <s v="EG.ELC.ACCS.ZS"/>
    <x v="6"/>
    <n v="100"/>
    <x v="0"/>
  </r>
  <r>
    <x v="48"/>
    <s v="SRB"/>
    <x v="0"/>
    <s v="EG.ELC.ACCS.ZS"/>
    <x v="7"/>
    <n v="100"/>
    <x v="1"/>
  </r>
  <r>
    <x v="48"/>
    <s v="SRB"/>
    <x v="0"/>
    <s v="EG.ELC.ACCS.ZS"/>
    <x v="8"/>
    <n v="100"/>
    <x v="1"/>
  </r>
  <r>
    <x v="48"/>
    <s v="SRB"/>
    <x v="0"/>
    <s v="EG.ELC.ACCS.ZS"/>
    <x v="9"/>
    <n v="100"/>
    <x v="1"/>
  </r>
  <r>
    <x v="48"/>
    <s v="SRB"/>
    <x v="0"/>
    <s v="EG.ELC.ACCS.ZS"/>
    <x v="10"/>
    <n v="100"/>
    <x v="1"/>
  </r>
  <r>
    <x v="48"/>
    <s v="SRB"/>
    <x v="0"/>
    <s v="EG.ELC.ACCS.ZS"/>
    <x v="11"/>
    <n v="100"/>
    <x v="1"/>
  </r>
  <r>
    <x v="48"/>
    <s v="SRB"/>
    <x v="0"/>
    <s v="EG.ELC.ACCS.ZS"/>
    <x v="12"/>
    <n v="100"/>
    <x v="1"/>
  </r>
  <r>
    <x v="48"/>
    <s v="SRB"/>
    <x v="0"/>
    <s v="EG.ELC.ACCS.ZS"/>
    <x v="13"/>
    <n v="100"/>
    <x v="1"/>
  </r>
  <r>
    <x v="48"/>
    <s v="SRB"/>
    <x v="0"/>
    <s v="EG.ELC.ACCS.ZS"/>
    <x v="14"/>
    <n v="100"/>
    <x v="1"/>
  </r>
  <r>
    <x v="48"/>
    <s v="SRB"/>
    <x v="0"/>
    <s v="EG.ELC.ACCS.ZS"/>
    <x v="15"/>
    <n v="100"/>
    <x v="1"/>
  </r>
  <r>
    <x v="48"/>
    <s v="SRB"/>
    <x v="0"/>
    <s v="EG.ELC.ACCS.ZS"/>
    <x v="16"/>
    <n v="100"/>
    <x v="1"/>
  </r>
  <r>
    <x v="48"/>
    <s v="SRB"/>
    <x v="0"/>
    <s v="EG.ELC.ACCS.ZS"/>
    <x v="17"/>
    <n v="100"/>
    <x v="2"/>
  </r>
  <r>
    <x v="48"/>
    <s v="SRB"/>
    <x v="0"/>
    <s v="EG.ELC.ACCS.ZS"/>
    <x v="18"/>
    <n v="100"/>
    <x v="2"/>
  </r>
  <r>
    <x v="48"/>
    <s v="SRB"/>
    <x v="0"/>
    <s v="EG.ELC.ACCS.ZS"/>
    <x v="19"/>
    <n v="100"/>
    <x v="2"/>
  </r>
  <r>
    <x v="48"/>
    <s v="SRB"/>
    <x v="0"/>
    <s v="EG.ELC.ACCS.ZS"/>
    <x v="20"/>
    <n v="100"/>
    <x v="2"/>
  </r>
  <r>
    <x v="48"/>
    <s v="SRB"/>
    <x v="0"/>
    <s v="EG.ELC.ACCS.ZS"/>
    <x v="21"/>
    <n v="100"/>
    <x v="2"/>
  </r>
  <r>
    <x v="48"/>
    <s v="SRB"/>
    <x v="0"/>
    <s v="EG.ELC.ACCS.ZS"/>
    <x v="22"/>
    <n v="100"/>
    <x v="2"/>
  </r>
  <r>
    <x v="48"/>
    <s v="SRB"/>
    <x v="0"/>
    <s v="EG.ELC.ACCS.ZS"/>
    <x v="23"/>
    <n v="100"/>
    <x v="2"/>
  </r>
  <r>
    <x v="48"/>
    <s v="SRB"/>
    <x v="0"/>
    <s v="EG.ELC.ACCS.ZS"/>
    <x v="24"/>
    <n v="100"/>
    <x v="2"/>
  </r>
  <r>
    <x v="48"/>
    <s v="SRB"/>
    <x v="0"/>
    <s v="EG.ELC.ACCS.ZS"/>
    <x v="25"/>
    <n v="100"/>
    <x v="2"/>
  </r>
  <r>
    <x v="48"/>
    <s v="SRB"/>
    <x v="0"/>
    <s v="EG.ELC.ACCS.ZS"/>
    <x v="26"/>
    <n v="100"/>
    <x v="2"/>
  </r>
  <r>
    <x v="48"/>
    <s v="SRB"/>
    <x v="0"/>
    <s v="EG.ELC.ACCS.ZS"/>
    <x v="27"/>
    <n v="100"/>
    <x v="3"/>
  </r>
  <r>
    <x v="48"/>
    <s v="SRB"/>
    <x v="0"/>
    <s v="EG.ELC.ACCS.ZS"/>
    <x v="28"/>
    <n v="100"/>
    <x v="3"/>
  </r>
  <r>
    <x v="48"/>
    <s v="SRB"/>
    <x v="0"/>
    <s v="EG.ELC.ACCS.ZS"/>
    <x v="29"/>
    <n v="100"/>
    <x v="3"/>
  </r>
  <r>
    <x v="48"/>
    <s v="SRB"/>
    <x v="0"/>
    <s v="EG.ELC.ACCS.ZS"/>
    <x v="30"/>
    <n v="100"/>
    <x v="3"/>
  </r>
  <r>
    <x v="48"/>
    <s v="SRB"/>
    <x v="0"/>
    <s v="EG.ELC.ACCS.ZS"/>
    <x v="31"/>
    <n v="100"/>
    <x v="0"/>
  </r>
  <r>
    <x v="48"/>
    <s v="SRB"/>
    <x v="0"/>
    <s v="EG.ELC.ACCS.ZS"/>
    <x v="32"/>
    <n v="100"/>
    <x v="0"/>
  </r>
  <r>
    <x v="48"/>
    <s v="SRB"/>
    <x v="0"/>
    <s v="EG.ELC.ACCS.ZS"/>
    <x v="33"/>
    <n v="100"/>
    <x v="0"/>
  </r>
  <r>
    <x v="49"/>
    <s v="SVK"/>
    <x v="0"/>
    <s v="EG.ELC.ACCS.ZS"/>
    <x v="0"/>
    <n v="100"/>
    <x v="0"/>
  </r>
  <r>
    <x v="49"/>
    <s v="SVK"/>
    <x v="0"/>
    <s v="EG.ELC.ACCS.ZS"/>
    <x v="1"/>
    <n v="100"/>
    <x v="0"/>
  </r>
  <r>
    <x v="49"/>
    <s v="SVK"/>
    <x v="0"/>
    <s v="EG.ELC.ACCS.ZS"/>
    <x v="2"/>
    <n v="100"/>
    <x v="0"/>
  </r>
  <r>
    <x v="49"/>
    <s v="SVK"/>
    <x v="0"/>
    <s v="EG.ELC.ACCS.ZS"/>
    <x v="3"/>
    <n v="100"/>
    <x v="0"/>
  </r>
  <r>
    <x v="49"/>
    <s v="SVK"/>
    <x v="0"/>
    <s v="EG.ELC.ACCS.ZS"/>
    <x v="4"/>
    <n v="100"/>
    <x v="0"/>
  </r>
  <r>
    <x v="49"/>
    <s v="SVK"/>
    <x v="0"/>
    <s v="EG.ELC.ACCS.ZS"/>
    <x v="5"/>
    <n v="100"/>
    <x v="0"/>
  </r>
  <r>
    <x v="49"/>
    <s v="SVK"/>
    <x v="0"/>
    <s v="EG.ELC.ACCS.ZS"/>
    <x v="6"/>
    <n v="100"/>
    <x v="0"/>
  </r>
  <r>
    <x v="49"/>
    <s v="SVK"/>
    <x v="0"/>
    <s v="EG.ELC.ACCS.ZS"/>
    <x v="7"/>
    <n v="100"/>
    <x v="1"/>
  </r>
  <r>
    <x v="49"/>
    <s v="SVK"/>
    <x v="0"/>
    <s v="EG.ELC.ACCS.ZS"/>
    <x v="8"/>
    <n v="100"/>
    <x v="1"/>
  </r>
  <r>
    <x v="49"/>
    <s v="SVK"/>
    <x v="0"/>
    <s v="EG.ELC.ACCS.ZS"/>
    <x v="9"/>
    <n v="100"/>
    <x v="1"/>
  </r>
  <r>
    <x v="49"/>
    <s v="SVK"/>
    <x v="0"/>
    <s v="EG.ELC.ACCS.ZS"/>
    <x v="10"/>
    <n v="100"/>
    <x v="1"/>
  </r>
  <r>
    <x v="49"/>
    <s v="SVK"/>
    <x v="0"/>
    <s v="EG.ELC.ACCS.ZS"/>
    <x v="11"/>
    <n v="100"/>
    <x v="1"/>
  </r>
  <r>
    <x v="49"/>
    <s v="SVK"/>
    <x v="0"/>
    <s v="EG.ELC.ACCS.ZS"/>
    <x v="12"/>
    <n v="100"/>
    <x v="1"/>
  </r>
  <r>
    <x v="49"/>
    <s v="SVK"/>
    <x v="0"/>
    <s v="EG.ELC.ACCS.ZS"/>
    <x v="13"/>
    <n v="100"/>
    <x v="1"/>
  </r>
  <r>
    <x v="49"/>
    <s v="SVK"/>
    <x v="0"/>
    <s v="EG.ELC.ACCS.ZS"/>
    <x v="14"/>
    <n v="100"/>
    <x v="1"/>
  </r>
  <r>
    <x v="49"/>
    <s v="SVK"/>
    <x v="0"/>
    <s v="EG.ELC.ACCS.ZS"/>
    <x v="15"/>
    <n v="100"/>
    <x v="1"/>
  </r>
  <r>
    <x v="49"/>
    <s v="SVK"/>
    <x v="0"/>
    <s v="EG.ELC.ACCS.ZS"/>
    <x v="16"/>
    <n v="100"/>
    <x v="1"/>
  </r>
  <r>
    <x v="49"/>
    <s v="SVK"/>
    <x v="0"/>
    <s v="EG.ELC.ACCS.ZS"/>
    <x v="17"/>
    <n v="100"/>
    <x v="2"/>
  </r>
  <r>
    <x v="49"/>
    <s v="SVK"/>
    <x v="0"/>
    <s v="EG.ELC.ACCS.ZS"/>
    <x v="18"/>
    <n v="100"/>
    <x v="2"/>
  </r>
  <r>
    <x v="49"/>
    <s v="SVK"/>
    <x v="0"/>
    <s v="EG.ELC.ACCS.ZS"/>
    <x v="19"/>
    <n v="100"/>
    <x v="2"/>
  </r>
  <r>
    <x v="49"/>
    <s v="SVK"/>
    <x v="0"/>
    <s v="EG.ELC.ACCS.ZS"/>
    <x v="20"/>
    <n v="100"/>
    <x v="2"/>
  </r>
  <r>
    <x v="49"/>
    <s v="SVK"/>
    <x v="0"/>
    <s v="EG.ELC.ACCS.ZS"/>
    <x v="21"/>
    <n v="100"/>
    <x v="2"/>
  </r>
  <r>
    <x v="49"/>
    <s v="SVK"/>
    <x v="0"/>
    <s v="EG.ELC.ACCS.ZS"/>
    <x v="22"/>
    <n v="100"/>
    <x v="2"/>
  </r>
  <r>
    <x v="49"/>
    <s v="SVK"/>
    <x v="0"/>
    <s v="EG.ELC.ACCS.ZS"/>
    <x v="23"/>
    <n v="100"/>
    <x v="2"/>
  </r>
  <r>
    <x v="49"/>
    <s v="SVK"/>
    <x v="0"/>
    <s v="EG.ELC.ACCS.ZS"/>
    <x v="24"/>
    <n v="100"/>
    <x v="2"/>
  </r>
  <r>
    <x v="49"/>
    <s v="SVK"/>
    <x v="0"/>
    <s v="EG.ELC.ACCS.ZS"/>
    <x v="25"/>
    <n v="100"/>
    <x v="2"/>
  </r>
  <r>
    <x v="49"/>
    <s v="SVK"/>
    <x v="0"/>
    <s v="EG.ELC.ACCS.ZS"/>
    <x v="26"/>
    <n v="100"/>
    <x v="2"/>
  </r>
  <r>
    <x v="49"/>
    <s v="SVK"/>
    <x v="0"/>
    <s v="EG.ELC.ACCS.ZS"/>
    <x v="27"/>
    <n v="100"/>
    <x v="3"/>
  </r>
  <r>
    <x v="49"/>
    <s v="SVK"/>
    <x v="0"/>
    <s v="EG.ELC.ACCS.ZS"/>
    <x v="28"/>
    <n v="100"/>
    <x v="3"/>
  </r>
  <r>
    <x v="49"/>
    <s v="SVK"/>
    <x v="0"/>
    <s v="EG.ELC.ACCS.ZS"/>
    <x v="29"/>
    <n v="100"/>
    <x v="3"/>
  </r>
  <r>
    <x v="49"/>
    <s v="SVK"/>
    <x v="0"/>
    <s v="EG.ELC.ACCS.ZS"/>
    <x v="30"/>
    <n v="100"/>
    <x v="3"/>
  </r>
  <r>
    <x v="49"/>
    <s v="SVK"/>
    <x v="0"/>
    <s v="EG.ELC.ACCS.ZS"/>
    <x v="31"/>
    <n v="100"/>
    <x v="0"/>
  </r>
  <r>
    <x v="49"/>
    <s v="SVK"/>
    <x v="0"/>
    <s v="EG.ELC.ACCS.ZS"/>
    <x v="32"/>
    <n v="100"/>
    <x v="0"/>
  </r>
  <r>
    <x v="49"/>
    <s v="SVK"/>
    <x v="0"/>
    <s v="EG.ELC.ACCS.ZS"/>
    <x v="33"/>
    <n v="100"/>
    <x v="0"/>
  </r>
  <r>
    <x v="50"/>
    <s v="SVN"/>
    <x v="0"/>
    <s v="EG.ELC.ACCS.ZS"/>
    <x v="0"/>
    <n v="100"/>
    <x v="0"/>
  </r>
  <r>
    <x v="50"/>
    <s v="SVN"/>
    <x v="0"/>
    <s v="EG.ELC.ACCS.ZS"/>
    <x v="1"/>
    <n v="100"/>
    <x v="0"/>
  </r>
  <r>
    <x v="50"/>
    <s v="SVN"/>
    <x v="0"/>
    <s v="EG.ELC.ACCS.ZS"/>
    <x v="2"/>
    <n v="100"/>
    <x v="0"/>
  </r>
  <r>
    <x v="50"/>
    <s v="SVN"/>
    <x v="0"/>
    <s v="EG.ELC.ACCS.ZS"/>
    <x v="3"/>
    <n v="100"/>
    <x v="0"/>
  </r>
  <r>
    <x v="50"/>
    <s v="SVN"/>
    <x v="0"/>
    <s v="EG.ELC.ACCS.ZS"/>
    <x v="4"/>
    <n v="100"/>
    <x v="0"/>
  </r>
  <r>
    <x v="50"/>
    <s v="SVN"/>
    <x v="0"/>
    <s v="EG.ELC.ACCS.ZS"/>
    <x v="5"/>
    <n v="100"/>
    <x v="0"/>
  </r>
  <r>
    <x v="50"/>
    <s v="SVN"/>
    <x v="0"/>
    <s v="EG.ELC.ACCS.ZS"/>
    <x v="6"/>
    <n v="100"/>
    <x v="0"/>
  </r>
  <r>
    <x v="50"/>
    <s v="SVN"/>
    <x v="0"/>
    <s v="EG.ELC.ACCS.ZS"/>
    <x v="7"/>
    <n v="100"/>
    <x v="1"/>
  </r>
  <r>
    <x v="50"/>
    <s v="SVN"/>
    <x v="0"/>
    <s v="EG.ELC.ACCS.ZS"/>
    <x v="8"/>
    <n v="100"/>
    <x v="1"/>
  </r>
  <r>
    <x v="50"/>
    <s v="SVN"/>
    <x v="0"/>
    <s v="EG.ELC.ACCS.ZS"/>
    <x v="9"/>
    <n v="100"/>
    <x v="1"/>
  </r>
  <r>
    <x v="50"/>
    <s v="SVN"/>
    <x v="0"/>
    <s v="EG.ELC.ACCS.ZS"/>
    <x v="10"/>
    <n v="100"/>
    <x v="1"/>
  </r>
  <r>
    <x v="50"/>
    <s v="SVN"/>
    <x v="0"/>
    <s v="EG.ELC.ACCS.ZS"/>
    <x v="11"/>
    <n v="100"/>
    <x v="1"/>
  </r>
  <r>
    <x v="50"/>
    <s v="SVN"/>
    <x v="0"/>
    <s v="EG.ELC.ACCS.ZS"/>
    <x v="12"/>
    <n v="100"/>
    <x v="1"/>
  </r>
  <r>
    <x v="50"/>
    <s v="SVN"/>
    <x v="0"/>
    <s v="EG.ELC.ACCS.ZS"/>
    <x v="13"/>
    <n v="100"/>
    <x v="1"/>
  </r>
  <r>
    <x v="50"/>
    <s v="SVN"/>
    <x v="0"/>
    <s v="EG.ELC.ACCS.ZS"/>
    <x v="14"/>
    <n v="100"/>
    <x v="1"/>
  </r>
  <r>
    <x v="50"/>
    <s v="SVN"/>
    <x v="0"/>
    <s v="EG.ELC.ACCS.ZS"/>
    <x v="15"/>
    <n v="100"/>
    <x v="1"/>
  </r>
  <r>
    <x v="50"/>
    <s v="SVN"/>
    <x v="0"/>
    <s v="EG.ELC.ACCS.ZS"/>
    <x v="16"/>
    <n v="100"/>
    <x v="1"/>
  </r>
  <r>
    <x v="50"/>
    <s v="SVN"/>
    <x v="0"/>
    <s v="EG.ELC.ACCS.ZS"/>
    <x v="17"/>
    <n v="100"/>
    <x v="2"/>
  </r>
  <r>
    <x v="50"/>
    <s v="SVN"/>
    <x v="0"/>
    <s v="EG.ELC.ACCS.ZS"/>
    <x v="18"/>
    <n v="100"/>
    <x v="2"/>
  </r>
  <r>
    <x v="50"/>
    <s v="SVN"/>
    <x v="0"/>
    <s v="EG.ELC.ACCS.ZS"/>
    <x v="19"/>
    <n v="100"/>
    <x v="2"/>
  </r>
  <r>
    <x v="50"/>
    <s v="SVN"/>
    <x v="0"/>
    <s v="EG.ELC.ACCS.ZS"/>
    <x v="20"/>
    <n v="100"/>
    <x v="2"/>
  </r>
  <r>
    <x v="50"/>
    <s v="SVN"/>
    <x v="0"/>
    <s v="EG.ELC.ACCS.ZS"/>
    <x v="21"/>
    <n v="100"/>
    <x v="2"/>
  </r>
  <r>
    <x v="50"/>
    <s v="SVN"/>
    <x v="0"/>
    <s v="EG.ELC.ACCS.ZS"/>
    <x v="22"/>
    <n v="100"/>
    <x v="2"/>
  </r>
  <r>
    <x v="50"/>
    <s v="SVN"/>
    <x v="0"/>
    <s v="EG.ELC.ACCS.ZS"/>
    <x v="23"/>
    <n v="100"/>
    <x v="2"/>
  </r>
  <r>
    <x v="50"/>
    <s v="SVN"/>
    <x v="0"/>
    <s v="EG.ELC.ACCS.ZS"/>
    <x v="24"/>
    <n v="100"/>
    <x v="2"/>
  </r>
  <r>
    <x v="50"/>
    <s v="SVN"/>
    <x v="0"/>
    <s v="EG.ELC.ACCS.ZS"/>
    <x v="25"/>
    <n v="100"/>
    <x v="2"/>
  </r>
  <r>
    <x v="50"/>
    <s v="SVN"/>
    <x v="0"/>
    <s v="EG.ELC.ACCS.ZS"/>
    <x v="26"/>
    <n v="100"/>
    <x v="2"/>
  </r>
  <r>
    <x v="50"/>
    <s v="SVN"/>
    <x v="0"/>
    <s v="EG.ELC.ACCS.ZS"/>
    <x v="27"/>
    <n v="100"/>
    <x v="3"/>
  </r>
  <r>
    <x v="50"/>
    <s v="SVN"/>
    <x v="0"/>
    <s v="EG.ELC.ACCS.ZS"/>
    <x v="28"/>
    <n v="100"/>
    <x v="3"/>
  </r>
  <r>
    <x v="50"/>
    <s v="SVN"/>
    <x v="0"/>
    <s v="EG.ELC.ACCS.ZS"/>
    <x v="29"/>
    <n v="100"/>
    <x v="3"/>
  </r>
  <r>
    <x v="50"/>
    <s v="SVN"/>
    <x v="0"/>
    <s v="EG.ELC.ACCS.ZS"/>
    <x v="30"/>
    <n v="100"/>
    <x v="3"/>
  </r>
  <r>
    <x v="50"/>
    <s v="SVN"/>
    <x v="0"/>
    <s v="EG.ELC.ACCS.ZS"/>
    <x v="31"/>
    <n v="100"/>
    <x v="0"/>
  </r>
  <r>
    <x v="50"/>
    <s v="SVN"/>
    <x v="0"/>
    <s v="EG.ELC.ACCS.ZS"/>
    <x v="32"/>
    <n v="100"/>
    <x v="0"/>
  </r>
  <r>
    <x v="50"/>
    <s v="SVN"/>
    <x v="0"/>
    <s v="EG.ELC.ACCS.ZS"/>
    <x v="33"/>
    <n v="100"/>
    <x v="0"/>
  </r>
  <r>
    <x v="51"/>
    <s v="SWE"/>
    <x v="0"/>
    <s v="EG.ELC.ACCS.ZS"/>
    <x v="0"/>
    <n v="100"/>
    <x v="0"/>
  </r>
  <r>
    <x v="51"/>
    <s v="SWE"/>
    <x v="0"/>
    <s v="EG.ELC.ACCS.ZS"/>
    <x v="1"/>
    <n v="100"/>
    <x v="0"/>
  </r>
  <r>
    <x v="51"/>
    <s v="SWE"/>
    <x v="0"/>
    <s v="EG.ELC.ACCS.ZS"/>
    <x v="2"/>
    <n v="100"/>
    <x v="0"/>
  </r>
  <r>
    <x v="51"/>
    <s v="SWE"/>
    <x v="0"/>
    <s v="EG.ELC.ACCS.ZS"/>
    <x v="3"/>
    <n v="100"/>
    <x v="0"/>
  </r>
  <r>
    <x v="51"/>
    <s v="SWE"/>
    <x v="0"/>
    <s v="EG.ELC.ACCS.ZS"/>
    <x v="4"/>
    <n v="100"/>
    <x v="0"/>
  </r>
  <r>
    <x v="51"/>
    <s v="SWE"/>
    <x v="0"/>
    <s v="EG.ELC.ACCS.ZS"/>
    <x v="5"/>
    <n v="100"/>
    <x v="0"/>
  </r>
  <r>
    <x v="51"/>
    <s v="SWE"/>
    <x v="0"/>
    <s v="EG.ELC.ACCS.ZS"/>
    <x v="6"/>
    <n v="100"/>
    <x v="0"/>
  </r>
  <r>
    <x v="51"/>
    <s v="SWE"/>
    <x v="0"/>
    <s v="EG.ELC.ACCS.ZS"/>
    <x v="7"/>
    <n v="100"/>
    <x v="1"/>
  </r>
  <r>
    <x v="51"/>
    <s v="SWE"/>
    <x v="0"/>
    <s v="EG.ELC.ACCS.ZS"/>
    <x v="8"/>
    <n v="100"/>
    <x v="1"/>
  </r>
  <r>
    <x v="51"/>
    <s v="SWE"/>
    <x v="0"/>
    <s v="EG.ELC.ACCS.ZS"/>
    <x v="9"/>
    <n v="100"/>
    <x v="1"/>
  </r>
  <r>
    <x v="51"/>
    <s v="SWE"/>
    <x v="0"/>
    <s v="EG.ELC.ACCS.ZS"/>
    <x v="10"/>
    <n v="100"/>
    <x v="1"/>
  </r>
  <r>
    <x v="51"/>
    <s v="SWE"/>
    <x v="0"/>
    <s v="EG.ELC.ACCS.ZS"/>
    <x v="11"/>
    <n v="100"/>
    <x v="1"/>
  </r>
  <r>
    <x v="51"/>
    <s v="SWE"/>
    <x v="0"/>
    <s v="EG.ELC.ACCS.ZS"/>
    <x v="12"/>
    <n v="100"/>
    <x v="1"/>
  </r>
  <r>
    <x v="51"/>
    <s v="SWE"/>
    <x v="0"/>
    <s v="EG.ELC.ACCS.ZS"/>
    <x v="13"/>
    <n v="100"/>
    <x v="1"/>
  </r>
  <r>
    <x v="51"/>
    <s v="SWE"/>
    <x v="0"/>
    <s v="EG.ELC.ACCS.ZS"/>
    <x v="14"/>
    <n v="100"/>
    <x v="1"/>
  </r>
  <r>
    <x v="51"/>
    <s v="SWE"/>
    <x v="0"/>
    <s v="EG.ELC.ACCS.ZS"/>
    <x v="15"/>
    <n v="100"/>
    <x v="1"/>
  </r>
  <r>
    <x v="51"/>
    <s v="SWE"/>
    <x v="0"/>
    <s v="EG.ELC.ACCS.ZS"/>
    <x v="16"/>
    <n v="100"/>
    <x v="1"/>
  </r>
  <r>
    <x v="51"/>
    <s v="SWE"/>
    <x v="0"/>
    <s v="EG.ELC.ACCS.ZS"/>
    <x v="17"/>
    <n v="100"/>
    <x v="2"/>
  </r>
  <r>
    <x v="51"/>
    <s v="SWE"/>
    <x v="0"/>
    <s v="EG.ELC.ACCS.ZS"/>
    <x v="18"/>
    <n v="100"/>
    <x v="2"/>
  </r>
  <r>
    <x v="51"/>
    <s v="SWE"/>
    <x v="0"/>
    <s v="EG.ELC.ACCS.ZS"/>
    <x v="19"/>
    <n v="100"/>
    <x v="2"/>
  </r>
  <r>
    <x v="51"/>
    <s v="SWE"/>
    <x v="0"/>
    <s v="EG.ELC.ACCS.ZS"/>
    <x v="20"/>
    <n v="100"/>
    <x v="2"/>
  </r>
  <r>
    <x v="51"/>
    <s v="SWE"/>
    <x v="0"/>
    <s v="EG.ELC.ACCS.ZS"/>
    <x v="21"/>
    <n v="100"/>
    <x v="2"/>
  </r>
  <r>
    <x v="51"/>
    <s v="SWE"/>
    <x v="0"/>
    <s v="EG.ELC.ACCS.ZS"/>
    <x v="22"/>
    <n v="100"/>
    <x v="2"/>
  </r>
  <r>
    <x v="51"/>
    <s v="SWE"/>
    <x v="0"/>
    <s v="EG.ELC.ACCS.ZS"/>
    <x v="23"/>
    <n v="100"/>
    <x v="2"/>
  </r>
  <r>
    <x v="51"/>
    <s v="SWE"/>
    <x v="0"/>
    <s v="EG.ELC.ACCS.ZS"/>
    <x v="24"/>
    <n v="100"/>
    <x v="2"/>
  </r>
  <r>
    <x v="51"/>
    <s v="SWE"/>
    <x v="0"/>
    <s v="EG.ELC.ACCS.ZS"/>
    <x v="25"/>
    <n v="100"/>
    <x v="2"/>
  </r>
  <r>
    <x v="51"/>
    <s v="SWE"/>
    <x v="0"/>
    <s v="EG.ELC.ACCS.ZS"/>
    <x v="26"/>
    <n v="100"/>
    <x v="2"/>
  </r>
  <r>
    <x v="51"/>
    <s v="SWE"/>
    <x v="0"/>
    <s v="EG.ELC.ACCS.ZS"/>
    <x v="27"/>
    <n v="100"/>
    <x v="3"/>
  </r>
  <r>
    <x v="51"/>
    <s v="SWE"/>
    <x v="0"/>
    <s v="EG.ELC.ACCS.ZS"/>
    <x v="28"/>
    <n v="100"/>
    <x v="3"/>
  </r>
  <r>
    <x v="51"/>
    <s v="SWE"/>
    <x v="0"/>
    <s v="EG.ELC.ACCS.ZS"/>
    <x v="29"/>
    <n v="100"/>
    <x v="3"/>
  </r>
  <r>
    <x v="51"/>
    <s v="SWE"/>
    <x v="0"/>
    <s v="EG.ELC.ACCS.ZS"/>
    <x v="30"/>
    <n v="100"/>
    <x v="3"/>
  </r>
  <r>
    <x v="51"/>
    <s v="SWE"/>
    <x v="0"/>
    <s v="EG.ELC.ACCS.ZS"/>
    <x v="31"/>
    <n v="100"/>
    <x v="0"/>
  </r>
  <r>
    <x v="51"/>
    <s v="SWE"/>
    <x v="0"/>
    <s v="EG.ELC.ACCS.ZS"/>
    <x v="32"/>
    <n v="100"/>
    <x v="1"/>
  </r>
  <r>
    <x v="51"/>
    <s v="SWE"/>
    <x v="0"/>
    <s v="EG.ELC.ACCS.ZS"/>
    <x v="33"/>
    <n v="100"/>
    <x v="1"/>
  </r>
  <r>
    <x v="52"/>
    <s v="TJK"/>
    <x v="0"/>
    <s v="EG.ELC.ACCS.ZS"/>
    <x v="9"/>
    <n v="97"/>
    <x v="1"/>
  </r>
  <r>
    <x v="52"/>
    <s v="TJK"/>
    <x v="0"/>
    <s v="EG.ELC.ACCS.ZS"/>
    <x v="10"/>
    <n v="99"/>
    <x v="1"/>
  </r>
  <r>
    <x v="52"/>
    <s v="TJK"/>
    <x v="0"/>
    <s v="EG.ELC.ACCS.ZS"/>
    <x v="11"/>
    <n v="99"/>
    <x v="1"/>
  </r>
  <r>
    <x v="52"/>
    <s v="TJK"/>
    <x v="0"/>
    <s v="EG.ELC.ACCS.ZS"/>
    <x v="12"/>
    <n v="99"/>
    <x v="1"/>
  </r>
  <r>
    <x v="52"/>
    <s v="TJK"/>
    <x v="0"/>
    <s v="EG.ELC.ACCS.ZS"/>
    <x v="13"/>
    <n v="100"/>
    <x v="1"/>
  </r>
  <r>
    <x v="52"/>
    <s v="TJK"/>
    <x v="0"/>
    <s v="EG.ELC.ACCS.ZS"/>
    <x v="14"/>
    <n v="99"/>
    <x v="1"/>
  </r>
  <r>
    <x v="52"/>
    <s v="TJK"/>
    <x v="0"/>
    <s v="EG.ELC.ACCS.ZS"/>
    <x v="15"/>
    <n v="99"/>
    <x v="1"/>
  </r>
  <r>
    <x v="52"/>
    <s v="TJK"/>
    <x v="0"/>
    <s v="EG.ELC.ACCS.ZS"/>
    <x v="16"/>
    <n v="99"/>
    <x v="1"/>
  </r>
  <r>
    <x v="52"/>
    <s v="TJK"/>
    <x v="0"/>
    <s v="EG.ELC.ACCS.ZS"/>
    <x v="17"/>
    <n v="99"/>
    <x v="2"/>
  </r>
  <r>
    <x v="52"/>
    <s v="TJK"/>
    <x v="0"/>
    <s v="EG.ELC.ACCS.ZS"/>
    <x v="18"/>
    <n v="99"/>
    <x v="2"/>
  </r>
  <r>
    <x v="52"/>
    <s v="TJK"/>
    <x v="0"/>
    <s v="EG.ELC.ACCS.ZS"/>
    <x v="19"/>
    <n v="99"/>
    <x v="2"/>
  </r>
  <r>
    <x v="52"/>
    <s v="TJK"/>
    <x v="0"/>
    <s v="EG.ELC.ACCS.ZS"/>
    <x v="20"/>
    <n v="99"/>
    <x v="2"/>
  </r>
  <r>
    <x v="52"/>
    <s v="TJK"/>
    <x v="0"/>
    <s v="EG.ELC.ACCS.ZS"/>
    <x v="21"/>
    <n v="99"/>
    <x v="2"/>
  </r>
  <r>
    <x v="52"/>
    <s v="TJK"/>
    <x v="0"/>
    <s v="EG.ELC.ACCS.ZS"/>
    <x v="22"/>
    <n v="99"/>
    <x v="2"/>
  </r>
  <r>
    <x v="52"/>
    <s v="TJK"/>
    <x v="0"/>
    <s v="EG.ELC.ACCS.ZS"/>
    <x v="23"/>
    <n v="99"/>
    <x v="2"/>
  </r>
  <r>
    <x v="52"/>
    <s v="TJK"/>
    <x v="0"/>
    <s v="EG.ELC.ACCS.ZS"/>
    <x v="24"/>
    <n v="99"/>
    <x v="2"/>
  </r>
  <r>
    <x v="52"/>
    <s v="TJK"/>
    <x v="0"/>
    <s v="EG.ELC.ACCS.ZS"/>
    <x v="25"/>
    <n v="98"/>
    <x v="2"/>
  </r>
  <r>
    <x v="52"/>
    <s v="TJK"/>
    <x v="0"/>
    <s v="EG.ELC.ACCS.ZS"/>
    <x v="26"/>
    <n v="99"/>
    <x v="2"/>
  </r>
  <r>
    <x v="52"/>
    <s v="TJK"/>
    <x v="0"/>
    <s v="EG.ELC.ACCS.ZS"/>
    <x v="27"/>
    <n v="99"/>
    <x v="3"/>
  </r>
  <r>
    <x v="52"/>
    <s v="TJK"/>
    <x v="0"/>
    <s v="EG.ELC.ACCS.ZS"/>
    <x v="28"/>
    <n v="99"/>
    <x v="3"/>
  </r>
  <r>
    <x v="52"/>
    <s v="TJK"/>
    <x v="0"/>
    <s v="EG.ELC.ACCS.ZS"/>
    <x v="29"/>
    <n v="99"/>
    <x v="3"/>
  </r>
  <r>
    <x v="52"/>
    <s v="TJK"/>
    <x v="0"/>
    <s v="EG.ELC.ACCS.ZS"/>
    <x v="30"/>
    <n v="100"/>
    <x v="3"/>
  </r>
  <r>
    <x v="52"/>
    <s v="TJK"/>
    <x v="0"/>
    <s v="EG.ELC.ACCS.ZS"/>
    <x v="31"/>
    <n v="100"/>
    <x v="1"/>
  </r>
  <r>
    <x v="52"/>
    <s v="TJK"/>
    <x v="0"/>
    <s v="EG.ELC.ACCS.ZS"/>
    <x v="32"/>
    <n v="100"/>
    <x v="1"/>
  </r>
  <r>
    <x v="52"/>
    <s v="TJK"/>
    <x v="0"/>
    <s v="EG.ELC.ACCS.ZS"/>
    <x v="33"/>
    <n v="100"/>
    <x v="1"/>
  </r>
  <r>
    <x v="53"/>
    <s v="TKM"/>
    <x v="0"/>
    <s v="EG.ELC.ACCS.ZS"/>
    <x v="10"/>
    <n v="100"/>
    <x v="1"/>
  </r>
  <r>
    <x v="53"/>
    <s v="TKM"/>
    <x v="0"/>
    <s v="EG.ELC.ACCS.ZS"/>
    <x v="11"/>
    <n v="100"/>
    <x v="1"/>
  </r>
  <r>
    <x v="53"/>
    <s v="TKM"/>
    <x v="0"/>
    <s v="EG.ELC.ACCS.ZS"/>
    <x v="12"/>
    <n v="100"/>
    <x v="1"/>
  </r>
  <r>
    <x v="53"/>
    <s v="TKM"/>
    <x v="0"/>
    <s v="EG.ELC.ACCS.ZS"/>
    <x v="13"/>
    <n v="100"/>
    <x v="1"/>
  </r>
  <r>
    <x v="53"/>
    <s v="TKM"/>
    <x v="0"/>
    <s v="EG.ELC.ACCS.ZS"/>
    <x v="14"/>
    <n v="100"/>
    <x v="1"/>
  </r>
  <r>
    <x v="53"/>
    <s v="TKM"/>
    <x v="0"/>
    <s v="EG.ELC.ACCS.ZS"/>
    <x v="15"/>
    <n v="100"/>
    <x v="1"/>
  </r>
  <r>
    <x v="53"/>
    <s v="TKM"/>
    <x v="0"/>
    <s v="EG.ELC.ACCS.ZS"/>
    <x v="16"/>
    <n v="100"/>
    <x v="1"/>
  </r>
  <r>
    <x v="53"/>
    <s v="TKM"/>
    <x v="0"/>
    <s v="EG.ELC.ACCS.ZS"/>
    <x v="17"/>
    <n v="100"/>
    <x v="2"/>
  </r>
  <r>
    <x v="53"/>
    <s v="TKM"/>
    <x v="0"/>
    <s v="EG.ELC.ACCS.ZS"/>
    <x v="18"/>
    <n v="100"/>
    <x v="2"/>
  </r>
  <r>
    <x v="53"/>
    <s v="TKM"/>
    <x v="0"/>
    <s v="EG.ELC.ACCS.ZS"/>
    <x v="19"/>
    <n v="100"/>
    <x v="2"/>
  </r>
  <r>
    <x v="53"/>
    <s v="TKM"/>
    <x v="0"/>
    <s v="EG.ELC.ACCS.ZS"/>
    <x v="20"/>
    <n v="100"/>
    <x v="2"/>
  </r>
  <r>
    <x v="53"/>
    <s v="TKM"/>
    <x v="0"/>
    <s v="EG.ELC.ACCS.ZS"/>
    <x v="21"/>
    <n v="100"/>
    <x v="2"/>
  </r>
  <r>
    <x v="53"/>
    <s v="TKM"/>
    <x v="0"/>
    <s v="EG.ELC.ACCS.ZS"/>
    <x v="22"/>
    <n v="100"/>
    <x v="2"/>
  </r>
  <r>
    <x v="53"/>
    <s v="TKM"/>
    <x v="0"/>
    <s v="EG.ELC.ACCS.ZS"/>
    <x v="23"/>
    <n v="100"/>
    <x v="2"/>
  </r>
  <r>
    <x v="53"/>
    <s v="TKM"/>
    <x v="0"/>
    <s v="EG.ELC.ACCS.ZS"/>
    <x v="24"/>
    <n v="100"/>
    <x v="2"/>
  </r>
  <r>
    <x v="53"/>
    <s v="TKM"/>
    <x v="0"/>
    <s v="EG.ELC.ACCS.ZS"/>
    <x v="25"/>
    <n v="100"/>
    <x v="2"/>
  </r>
  <r>
    <x v="53"/>
    <s v="TKM"/>
    <x v="0"/>
    <s v="EG.ELC.ACCS.ZS"/>
    <x v="26"/>
    <n v="100"/>
    <x v="2"/>
  </r>
  <r>
    <x v="53"/>
    <s v="TKM"/>
    <x v="0"/>
    <s v="EG.ELC.ACCS.ZS"/>
    <x v="27"/>
    <n v="100"/>
    <x v="3"/>
  </r>
  <r>
    <x v="53"/>
    <s v="TKM"/>
    <x v="0"/>
    <s v="EG.ELC.ACCS.ZS"/>
    <x v="28"/>
    <n v="100"/>
    <x v="3"/>
  </r>
  <r>
    <x v="53"/>
    <s v="TKM"/>
    <x v="0"/>
    <s v="EG.ELC.ACCS.ZS"/>
    <x v="29"/>
    <n v="100"/>
    <x v="3"/>
  </r>
  <r>
    <x v="53"/>
    <s v="TKM"/>
    <x v="0"/>
    <s v="EG.ELC.ACCS.ZS"/>
    <x v="30"/>
    <n v="100"/>
    <x v="3"/>
  </r>
  <r>
    <x v="53"/>
    <s v="TKM"/>
    <x v="0"/>
    <s v="EG.ELC.ACCS.ZS"/>
    <x v="31"/>
    <n v="100"/>
    <x v="1"/>
  </r>
  <r>
    <x v="53"/>
    <s v="TKM"/>
    <x v="0"/>
    <s v="EG.ELC.ACCS.ZS"/>
    <x v="32"/>
    <n v="100"/>
    <x v="1"/>
  </r>
  <r>
    <x v="53"/>
    <s v="TKM"/>
    <x v="0"/>
    <s v="EG.ELC.ACCS.ZS"/>
    <x v="33"/>
    <n v="100"/>
    <x v="1"/>
  </r>
  <r>
    <x v="54"/>
    <s v="TUR"/>
    <x v="0"/>
    <s v="EG.ELC.ACCS.ZS"/>
    <x v="10"/>
    <n v="100"/>
    <x v="1"/>
  </r>
  <r>
    <x v="54"/>
    <s v="TUR"/>
    <x v="0"/>
    <s v="EG.ELC.ACCS.ZS"/>
    <x v="11"/>
    <n v="100"/>
    <x v="1"/>
  </r>
  <r>
    <x v="54"/>
    <s v="TUR"/>
    <x v="0"/>
    <s v="EG.ELC.ACCS.ZS"/>
    <x v="12"/>
    <n v="100"/>
    <x v="1"/>
  </r>
  <r>
    <x v="54"/>
    <s v="TUR"/>
    <x v="0"/>
    <s v="EG.ELC.ACCS.ZS"/>
    <x v="13"/>
    <n v="100"/>
    <x v="1"/>
  </r>
  <r>
    <x v="54"/>
    <s v="TUR"/>
    <x v="0"/>
    <s v="EG.ELC.ACCS.ZS"/>
    <x v="14"/>
    <n v="100"/>
    <x v="1"/>
  </r>
  <r>
    <x v="54"/>
    <s v="TUR"/>
    <x v="0"/>
    <s v="EG.ELC.ACCS.ZS"/>
    <x v="15"/>
    <n v="100"/>
    <x v="1"/>
  </r>
  <r>
    <x v="54"/>
    <s v="TUR"/>
    <x v="0"/>
    <s v="EG.ELC.ACCS.ZS"/>
    <x v="16"/>
    <n v="100"/>
    <x v="1"/>
  </r>
  <r>
    <x v="54"/>
    <s v="TUR"/>
    <x v="0"/>
    <s v="EG.ELC.ACCS.ZS"/>
    <x v="17"/>
    <n v="100"/>
    <x v="2"/>
  </r>
  <r>
    <x v="54"/>
    <s v="TUR"/>
    <x v="0"/>
    <s v="EG.ELC.ACCS.ZS"/>
    <x v="18"/>
    <n v="100"/>
    <x v="2"/>
  </r>
  <r>
    <x v="54"/>
    <s v="TUR"/>
    <x v="0"/>
    <s v="EG.ELC.ACCS.ZS"/>
    <x v="19"/>
    <n v="100"/>
    <x v="2"/>
  </r>
  <r>
    <x v="54"/>
    <s v="TUR"/>
    <x v="0"/>
    <s v="EG.ELC.ACCS.ZS"/>
    <x v="20"/>
    <n v="100"/>
    <x v="2"/>
  </r>
  <r>
    <x v="54"/>
    <s v="TUR"/>
    <x v="0"/>
    <s v="EG.ELC.ACCS.ZS"/>
    <x v="21"/>
    <n v="100"/>
    <x v="2"/>
  </r>
  <r>
    <x v="54"/>
    <s v="TUR"/>
    <x v="0"/>
    <s v="EG.ELC.ACCS.ZS"/>
    <x v="22"/>
    <n v="100"/>
    <x v="2"/>
  </r>
  <r>
    <x v="54"/>
    <s v="TUR"/>
    <x v="0"/>
    <s v="EG.ELC.ACCS.ZS"/>
    <x v="23"/>
    <n v="100"/>
    <x v="2"/>
  </r>
  <r>
    <x v="54"/>
    <s v="TUR"/>
    <x v="0"/>
    <s v="EG.ELC.ACCS.ZS"/>
    <x v="24"/>
    <n v="100"/>
    <x v="2"/>
  </r>
  <r>
    <x v="54"/>
    <s v="TUR"/>
    <x v="0"/>
    <s v="EG.ELC.ACCS.ZS"/>
    <x v="25"/>
    <n v="100"/>
    <x v="2"/>
  </r>
  <r>
    <x v="54"/>
    <s v="TUR"/>
    <x v="0"/>
    <s v="EG.ELC.ACCS.ZS"/>
    <x v="26"/>
    <n v="100"/>
    <x v="2"/>
  </r>
  <r>
    <x v="54"/>
    <s v="TUR"/>
    <x v="0"/>
    <s v="EG.ELC.ACCS.ZS"/>
    <x v="27"/>
    <n v="100"/>
    <x v="3"/>
  </r>
  <r>
    <x v="54"/>
    <s v="TUR"/>
    <x v="0"/>
    <s v="EG.ELC.ACCS.ZS"/>
    <x v="28"/>
    <n v="100"/>
    <x v="3"/>
  </r>
  <r>
    <x v="54"/>
    <s v="TUR"/>
    <x v="0"/>
    <s v="EG.ELC.ACCS.ZS"/>
    <x v="29"/>
    <n v="100"/>
    <x v="3"/>
  </r>
  <r>
    <x v="54"/>
    <s v="TUR"/>
    <x v="0"/>
    <s v="EG.ELC.ACCS.ZS"/>
    <x v="30"/>
    <n v="100"/>
    <x v="3"/>
  </r>
  <r>
    <x v="54"/>
    <s v="TUR"/>
    <x v="0"/>
    <s v="EG.ELC.ACCS.ZS"/>
    <x v="31"/>
    <n v="100"/>
    <x v="0"/>
  </r>
  <r>
    <x v="54"/>
    <s v="TUR"/>
    <x v="0"/>
    <s v="EG.ELC.ACCS.ZS"/>
    <x v="32"/>
    <n v="100"/>
    <x v="0"/>
  </r>
  <r>
    <x v="54"/>
    <s v="TUR"/>
    <x v="0"/>
    <s v="EG.ELC.ACCS.ZS"/>
    <x v="33"/>
    <n v="100"/>
    <x v="0"/>
  </r>
  <r>
    <x v="55"/>
    <s v="UKR"/>
    <x v="0"/>
    <s v="EG.ELC.ACCS.ZS"/>
    <x v="0"/>
    <n v="100"/>
    <x v="0"/>
  </r>
  <r>
    <x v="55"/>
    <s v="UKR"/>
    <x v="0"/>
    <s v="EG.ELC.ACCS.ZS"/>
    <x v="1"/>
    <n v="100"/>
    <x v="0"/>
  </r>
  <r>
    <x v="55"/>
    <s v="UKR"/>
    <x v="0"/>
    <s v="EG.ELC.ACCS.ZS"/>
    <x v="2"/>
    <n v="100"/>
    <x v="0"/>
  </r>
  <r>
    <x v="55"/>
    <s v="UKR"/>
    <x v="0"/>
    <s v="EG.ELC.ACCS.ZS"/>
    <x v="3"/>
    <n v="100"/>
    <x v="0"/>
  </r>
  <r>
    <x v="55"/>
    <s v="UKR"/>
    <x v="0"/>
    <s v="EG.ELC.ACCS.ZS"/>
    <x v="4"/>
    <n v="100"/>
    <x v="0"/>
  </r>
  <r>
    <x v="55"/>
    <s v="UKR"/>
    <x v="0"/>
    <s v="EG.ELC.ACCS.ZS"/>
    <x v="5"/>
    <n v="100"/>
    <x v="0"/>
  </r>
  <r>
    <x v="55"/>
    <s v="UKR"/>
    <x v="0"/>
    <s v="EG.ELC.ACCS.ZS"/>
    <x v="6"/>
    <n v="100"/>
    <x v="0"/>
  </r>
  <r>
    <x v="55"/>
    <s v="UKR"/>
    <x v="0"/>
    <s v="EG.ELC.ACCS.ZS"/>
    <x v="7"/>
    <n v="100"/>
    <x v="1"/>
  </r>
  <r>
    <x v="55"/>
    <s v="UKR"/>
    <x v="0"/>
    <s v="EG.ELC.ACCS.ZS"/>
    <x v="8"/>
    <n v="100"/>
    <x v="1"/>
  </r>
  <r>
    <x v="55"/>
    <s v="UKR"/>
    <x v="0"/>
    <s v="EG.ELC.ACCS.ZS"/>
    <x v="9"/>
    <n v="100"/>
    <x v="1"/>
  </r>
  <r>
    <x v="55"/>
    <s v="UKR"/>
    <x v="0"/>
    <s v="EG.ELC.ACCS.ZS"/>
    <x v="10"/>
    <n v="99"/>
    <x v="1"/>
  </r>
  <r>
    <x v="55"/>
    <s v="UKR"/>
    <x v="0"/>
    <s v="EG.ELC.ACCS.ZS"/>
    <x v="11"/>
    <n v="99"/>
    <x v="1"/>
  </r>
  <r>
    <x v="55"/>
    <s v="UKR"/>
    <x v="0"/>
    <s v="EG.ELC.ACCS.ZS"/>
    <x v="12"/>
    <n v="99"/>
    <x v="1"/>
  </r>
  <r>
    <x v="55"/>
    <s v="UKR"/>
    <x v="0"/>
    <s v="EG.ELC.ACCS.ZS"/>
    <x v="13"/>
    <n v="99"/>
    <x v="1"/>
  </r>
  <r>
    <x v="55"/>
    <s v="UKR"/>
    <x v="0"/>
    <s v="EG.ELC.ACCS.ZS"/>
    <x v="14"/>
    <n v="99"/>
    <x v="1"/>
  </r>
  <r>
    <x v="55"/>
    <s v="UKR"/>
    <x v="0"/>
    <s v="EG.ELC.ACCS.ZS"/>
    <x v="15"/>
    <n v="100"/>
    <x v="1"/>
  </r>
  <r>
    <x v="55"/>
    <s v="UKR"/>
    <x v="0"/>
    <s v="EG.ELC.ACCS.ZS"/>
    <x v="16"/>
    <n v="100"/>
    <x v="1"/>
  </r>
  <r>
    <x v="55"/>
    <s v="UKR"/>
    <x v="0"/>
    <s v="EG.ELC.ACCS.ZS"/>
    <x v="17"/>
    <n v="100"/>
    <x v="2"/>
  </r>
  <r>
    <x v="55"/>
    <s v="UKR"/>
    <x v="0"/>
    <s v="EG.ELC.ACCS.ZS"/>
    <x v="18"/>
    <n v="100"/>
    <x v="2"/>
  </r>
  <r>
    <x v="55"/>
    <s v="UKR"/>
    <x v="0"/>
    <s v="EG.ELC.ACCS.ZS"/>
    <x v="19"/>
    <n v="100"/>
    <x v="2"/>
  </r>
  <r>
    <x v="55"/>
    <s v="UKR"/>
    <x v="0"/>
    <s v="EG.ELC.ACCS.ZS"/>
    <x v="20"/>
    <n v="100"/>
    <x v="2"/>
  </r>
  <r>
    <x v="55"/>
    <s v="UKR"/>
    <x v="0"/>
    <s v="EG.ELC.ACCS.ZS"/>
    <x v="21"/>
    <n v="100"/>
    <x v="2"/>
  </r>
  <r>
    <x v="55"/>
    <s v="UKR"/>
    <x v="0"/>
    <s v="EG.ELC.ACCS.ZS"/>
    <x v="22"/>
    <n v="100"/>
    <x v="2"/>
  </r>
  <r>
    <x v="55"/>
    <s v="UKR"/>
    <x v="0"/>
    <s v="EG.ELC.ACCS.ZS"/>
    <x v="23"/>
    <n v="100"/>
    <x v="2"/>
  </r>
  <r>
    <x v="55"/>
    <s v="UKR"/>
    <x v="0"/>
    <s v="EG.ELC.ACCS.ZS"/>
    <x v="24"/>
    <n v="100"/>
    <x v="2"/>
  </r>
  <r>
    <x v="55"/>
    <s v="UKR"/>
    <x v="0"/>
    <s v="EG.ELC.ACCS.ZS"/>
    <x v="25"/>
    <n v="100"/>
    <x v="2"/>
  </r>
  <r>
    <x v="55"/>
    <s v="UKR"/>
    <x v="0"/>
    <s v="EG.ELC.ACCS.ZS"/>
    <x v="26"/>
    <n v="100"/>
    <x v="2"/>
  </r>
  <r>
    <x v="55"/>
    <s v="UKR"/>
    <x v="0"/>
    <s v="EG.ELC.ACCS.ZS"/>
    <x v="27"/>
    <n v="100"/>
    <x v="3"/>
  </r>
  <r>
    <x v="55"/>
    <s v="UKR"/>
    <x v="0"/>
    <s v="EG.ELC.ACCS.ZS"/>
    <x v="28"/>
    <n v="100"/>
    <x v="3"/>
  </r>
  <r>
    <x v="55"/>
    <s v="UKR"/>
    <x v="0"/>
    <s v="EG.ELC.ACCS.ZS"/>
    <x v="29"/>
    <n v="100"/>
    <x v="3"/>
  </r>
  <r>
    <x v="55"/>
    <s v="UKR"/>
    <x v="0"/>
    <s v="EG.ELC.ACCS.ZS"/>
    <x v="30"/>
    <n v="100"/>
    <x v="3"/>
  </r>
  <r>
    <x v="55"/>
    <s v="UKR"/>
    <x v="0"/>
    <s v="EG.ELC.ACCS.ZS"/>
    <x v="31"/>
    <n v="100"/>
    <x v="0"/>
  </r>
  <r>
    <x v="55"/>
    <s v="UKR"/>
    <x v="0"/>
    <s v="EG.ELC.ACCS.ZS"/>
    <x v="32"/>
    <n v="100"/>
    <x v="0"/>
  </r>
  <r>
    <x v="55"/>
    <s v="UKR"/>
    <x v="0"/>
    <s v="EG.ELC.ACCS.ZS"/>
    <x v="33"/>
    <n v="100"/>
    <x v="0"/>
  </r>
  <r>
    <x v="56"/>
    <s v="UZB"/>
    <x v="0"/>
    <s v="EG.ELC.ACCS.ZS"/>
    <x v="6"/>
    <n v="100"/>
    <x v="0"/>
  </r>
  <r>
    <x v="56"/>
    <s v="UZB"/>
    <x v="0"/>
    <s v="EG.ELC.ACCS.ZS"/>
    <x v="7"/>
    <n v="99"/>
    <x v="1"/>
  </r>
  <r>
    <x v="56"/>
    <s v="UZB"/>
    <x v="0"/>
    <s v="EG.ELC.ACCS.ZS"/>
    <x v="8"/>
    <n v="99"/>
    <x v="1"/>
  </r>
  <r>
    <x v="56"/>
    <s v="UZB"/>
    <x v="0"/>
    <s v="EG.ELC.ACCS.ZS"/>
    <x v="9"/>
    <n v="100"/>
    <x v="1"/>
  </r>
  <r>
    <x v="56"/>
    <s v="UZB"/>
    <x v="0"/>
    <s v="EG.ELC.ACCS.ZS"/>
    <x v="10"/>
    <n v="100"/>
    <x v="1"/>
  </r>
  <r>
    <x v="56"/>
    <s v="UZB"/>
    <x v="0"/>
    <s v="EG.ELC.ACCS.ZS"/>
    <x v="11"/>
    <n v="100"/>
    <x v="1"/>
  </r>
  <r>
    <x v="56"/>
    <s v="UZB"/>
    <x v="0"/>
    <s v="EG.ELC.ACCS.ZS"/>
    <x v="12"/>
    <n v="100"/>
    <x v="1"/>
  </r>
  <r>
    <x v="56"/>
    <s v="UZB"/>
    <x v="0"/>
    <s v="EG.ELC.ACCS.ZS"/>
    <x v="13"/>
    <n v="100"/>
    <x v="1"/>
  </r>
  <r>
    <x v="56"/>
    <s v="UZB"/>
    <x v="0"/>
    <s v="EG.ELC.ACCS.ZS"/>
    <x v="14"/>
    <n v="100"/>
    <x v="1"/>
  </r>
  <r>
    <x v="56"/>
    <s v="UZB"/>
    <x v="0"/>
    <s v="EG.ELC.ACCS.ZS"/>
    <x v="15"/>
    <n v="99"/>
    <x v="1"/>
  </r>
  <r>
    <x v="56"/>
    <s v="UZB"/>
    <x v="0"/>
    <s v="EG.ELC.ACCS.ZS"/>
    <x v="16"/>
    <n v="100"/>
    <x v="1"/>
  </r>
  <r>
    <x v="56"/>
    <s v="UZB"/>
    <x v="0"/>
    <s v="EG.ELC.ACCS.ZS"/>
    <x v="17"/>
    <n v="100"/>
    <x v="2"/>
  </r>
  <r>
    <x v="56"/>
    <s v="UZB"/>
    <x v="0"/>
    <s v="EG.ELC.ACCS.ZS"/>
    <x v="18"/>
    <n v="100"/>
    <x v="2"/>
  </r>
  <r>
    <x v="56"/>
    <s v="UZB"/>
    <x v="0"/>
    <s v="EG.ELC.ACCS.ZS"/>
    <x v="19"/>
    <n v="100"/>
    <x v="2"/>
  </r>
  <r>
    <x v="56"/>
    <s v="UZB"/>
    <x v="0"/>
    <s v="EG.ELC.ACCS.ZS"/>
    <x v="20"/>
    <n v="100"/>
    <x v="2"/>
  </r>
  <r>
    <x v="56"/>
    <s v="UZB"/>
    <x v="0"/>
    <s v="EG.ELC.ACCS.ZS"/>
    <x v="21"/>
    <n v="100"/>
    <x v="2"/>
  </r>
  <r>
    <x v="56"/>
    <s v="UZB"/>
    <x v="0"/>
    <s v="EG.ELC.ACCS.ZS"/>
    <x v="22"/>
    <n v="100"/>
    <x v="2"/>
  </r>
  <r>
    <x v="56"/>
    <s v="UZB"/>
    <x v="0"/>
    <s v="EG.ELC.ACCS.ZS"/>
    <x v="23"/>
    <n v="100"/>
    <x v="2"/>
  </r>
  <r>
    <x v="56"/>
    <s v="UZB"/>
    <x v="0"/>
    <s v="EG.ELC.ACCS.ZS"/>
    <x v="24"/>
    <n v="100"/>
    <x v="2"/>
  </r>
  <r>
    <x v="56"/>
    <s v="UZB"/>
    <x v="0"/>
    <s v="EG.ELC.ACCS.ZS"/>
    <x v="25"/>
    <n v="100"/>
    <x v="2"/>
  </r>
  <r>
    <x v="56"/>
    <s v="UZB"/>
    <x v="0"/>
    <s v="EG.ELC.ACCS.ZS"/>
    <x v="26"/>
    <n v="100"/>
    <x v="2"/>
  </r>
  <r>
    <x v="56"/>
    <s v="UZB"/>
    <x v="0"/>
    <s v="EG.ELC.ACCS.ZS"/>
    <x v="27"/>
    <n v="100"/>
    <x v="3"/>
  </r>
  <r>
    <x v="56"/>
    <s v="UZB"/>
    <x v="0"/>
    <s v="EG.ELC.ACCS.ZS"/>
    <x v="28"/>
    <n v="100"/>
    <x v="3"/>
  </r>
  <r>
    <x v="56"/>
    <s v="UZB"/>
    <x v="0"/>
    <s v="EG.ELC.ACCS.ZS"/>
    <x v="29"/>
    <n v="100"/>
    <x v="3"/>
  </r>
  <r>
    <x v="56"/>
    <s v="UZB"/>
    <x v="0"/>
    <s v="EG.ELC.ACCS.ZS"/>
    <x v="30"/>
    <n v="100"/>
    <x v="3"/>
  </r>
  <r>
    <x v="56"/>
    <s v="UZB"/>
    <x v="0"/>
    <s v="EG.ELC.ACCS.ZS"/>
    <x v="31"/>
    <n v="100"/>
    <x v="0"/>
  </r>
  <r>
    <x v="56"/>
    <s v="UZB"/>
    <x v="0"/>
    <s v="EG.ELC.ACCS.ZS"/>
    <x v="32"/>
    <n v="100"/>
    <x v="0"/>
  </r>
  <r>
    <x v="56"/>
    <s v="UZB"/>
    <x v="0"/>
    <s v="EG.ELC.ACCS.ZS"/>
    <x v="33"/>
    <n v="100"/>
    <x v="0"/>
  </r>
  <r>
    <x v="57"/>
    <s v="XKX"/>
    <x v="0"/>
    <s v="EG.ELC.ACCS.ZS"/>
    <x v="0"/>
    <n v="100"/>
    <x v="0"/>
  </r>
  <r>
    <x v="57"/>
    <s v="XKX"/>
    <x v="0"/>
    <s v="EG.ELC.ACCS.ZS"/>
    <x v="1"/>
    <n v="100"/>
    <x v="0"/>
  </r>
  <r>
    <x v="57"/>
    <s v="XKX"/>
    <x v="0"/>
    <s v="EG.ELC.ACCS.ZS"/>
    <x v="2"/>
    <n v="100"/>
    <x v="0"/>
  </r>
  <r>
    <x v="57"/>
    <s v="XKX"/>
    <x v="0"/>
    <s v="EG.ELC.ACCS.ZS"/>
    <x v="3"/>
    <n v="100"/>
    <x v="0"/>
  </r>
  <r>
    <x v="57"/>
    <s v="XKX"/>
    <x v="0"/>
    <s v="EG.ELC.ACCS.ZS"/>
    <x v="4"/>
    <n v="100"/>
    <x v="0"/>
  </r>
  <r>
    <x v="57"/>
    <s v="XKX"/>
    <x v="0"/>
    <s v="EG.ELC.ACCS.ZS"/>
    <x v="5"/>
    <n v="100"/>
    <x v="0"/>
  </r>
  <r>
    <x v="57"/>
    <s v="XKX"/>
    <x v="0"/>
    <s v="EG.ELC.ACCS.ZS"/>
    <x v="6"/>
    <n v="100"/>
    <x v="0"/>
  </r>
  <r>
    <x v="57"/>
    <s v="XKX"/>
    <x v="0"/>
    <s v="EG.ELC.ACCS.ZS"/>
    <x v="7"/>
    <n v="100"/>
    <x v="4"/>
  </r>
  <r>
    <x v="57"/>
    <s v="XKX"/>
    <x v="0"/>
    <s v="EG.ELC.ACCS.ZS"/>
    <x v="8"/>
    <n v="100"/>
    <x v="4"/>
  </r>
  <r>
    <x v="57"/>
    <s v="XKX"/>
    <x v="0"/>
    <s v="EG.ELC.ACCS.ZS"/>
    <x v="9"/>
    <n v="100"/>
    <x v="4"/>
  </r>
  <r>
    <x v="0"/>
    <s v="ALB"/>
    <x v="1"/>
    <s v="EN.GHG.CO2.PC.CE.AR5"/>
    <x v="34"/>
    <n v="2"/>
    <x v="4"/>
  </r>
  <r>
    <x v="0"/>
    <s v="ALB"/>
    <x v="1"/>
    <s v="EN.GHG.CO2.PC.CE.AR5"/>
    <x v="35"/>
    <n v="2"/>
    <x v="4"/>
  </r>
  <r>
    <x v="0"/>
    <s v="ALB"/>
    <x v="1"/>
    <s v="EN.GHG.CO2.PC.CE.AR5"/>
    <x v="36"/>
    <n v="2"/>
    <x v="4"/>
  </r>
  <r>
    <x v="0"/>
    <s v="ALB"/>
    <x v="1"/>
    <s v="EN.GHG.CO2.PC.CE.AR5"/>
    <x v="37"/>
    <n v="2"/>
    <x v="4"/>
  </r>
  <r>
    <x v="0"/>
    <s v="ALB"/>
    <x v="1"/>
    <s v="EN.GHG.CO2.PC.CE.AR5"/>
    <x v="38"/>
    <n v="2"/>
    <x v="4"/>
  </r>
  <r>
    <x v="0"/>
    <s v="ALB"/>
    <x v="1"/>
    <s v="EN.GHG.CO2.PC.CE.AR5"/>
    <x v="39"/>
    <n v="2"/>
    <x v="4"/>
  </r>
  <r>
    <x v="0"/>
    <s v="ALB"/>
    <x v="1"/>
    <s v="EN.GHG.CO2.PC.CE.AR5"/>
    <x v="40"/>
    <n v="2"/>
    <x v="4"/>
  </r>
  <r>
    <x v="0"/>
    <s v="ALB"/>
    <x v="1"/>
    <s v="EN.GHG.CO2.PC.CE.AR5"/>
    <x v="41"/>
    <n v="2"/>
    <x v="5"/>
  </r>
  <r>
    <x v="0"/>
    <s v="ALB"/>
    <x v="1"/>
    <s v="EN.GHG.CO2.PC.CE.AR5"/>
    <x v="42"/>
    <n v="3"/>
    <x v="5"/>
  </r>
  <r>
    <x v="0"/>
    <s v="ALB"/>
    <x v="1"/>
    <s v="EN.GHG.CO2.PC.CE.AR5"/>
    <x v="43"/>
    <n v="3"/>
    <x v="5"/>
  </r>
  <r>
    <x v="0"/>
    <s v="ALB"/>
    <x v="1"/>
    <s v="EN.GHG.CO2.PC.CE.AR5"/>
    <x v="44"/>
    <n v="3"/>
    <x v="5"/>
  </r>
  <r>
    <x v="0"/>
    <s v="ALB"/>
    <x v="1"/>
    <s v="EN.GHG.CO2.PC.CE.AR5"/>
    <x v="45"/>
    <n v="3"/>
    <x v="5"/>
  </r>
  <r>
    <x v="0"/>
    <s v="ALB"/>
    <x v="1"/>
    <s v="EN.GHG.CO2.PC.CE.AR5"/>
    <x v="46"/>
    <n v="3"/>
    <x v="5"/>
  </r>
  <r>
    <x v="0"/>
    <s v="ALB"/>
    <x v="1"/>
    <s v="EN.GHG.CO2.PC.CE.AR5"/>
    <x v="47"/>
    <n v="3"/>
    <x v="5"/>
  </r>
  <r>
    <x v="0"/>
    <s v="ALB"/>
    <x v="1"/>
    <s v="EN.GHG.CO2.PC.CE.AR5"/>
    <x v="48"/>
    <n v="3"/>
    <x v="5"/>
  </r>
  <r>
    <x v="0"/>
    <s v="ALB"/>
    <x v="1"/>
    <s v="EN.GHG.CO2.PC.CE.AR5"/>
    <x v="49"/>
    <n v="3"/>
    <x v="5"/>
  </r>
  <r>
    <x v="0"/>
    <s v="ALB"/>
    <x v="1"/>
    <s v="EN.GHG.CO2.PC.CE.AR5"/>
    <x v="50"/>
    <n v="3"/>
    <x v="5"/>
  </r>
  <r>
    <x v="0"/>
    <s v="ALB"/>
    <x v="1"/>
    <s v="EN.GHG.CO2.PC.CE.AR5"/>
    <x v="51"/>
    <n v="3"/>
    <x v="0"/>
  </r>
  <r>
    <x v="0"/>
    <s v="ALB"/>
    <x v="1"/>
    <s v="EN.GHG.CO2.PC.CE.AR5"/>
    <x v="52"/>
    <n v="3"/>
    <x v="0"/>
  </r>
  <r>
    <x v="0"/>
    <s v="ALB"/>
    <x v="1"/>
    <s v="EN.GHG.CO2.PC.CE.AR5"/>
    <x v="53"/>
    <n v="2"/>
    <x v="0"/>
  </r>
  <r>
    <x v="0"/>
    <s v="ALB"/>
    <x v="1"/>
    <s v="EN.GHG.CO2.PC.CE.AR5"/>
    <x v="0"/>
    <n v="2"/>
    <x v="0"/>
  </r>
  <r>
    <x v="0"/>
    <s v="ALB"/>
    <x v="1"/>
    <s v="EN.GHG.CO2.PC.CE.AR5"/>
    <x v="1"/>
    <n v="1"/>
    <x v="0"/>
  </r>
  <r>
    <x v="0"/>
    <s v="ALB"/>
    <x v="1"/>
    <s v="EN.GHG.CO2.PC.CE.AR5"/>
    <x v="2"/>
    <n v="1"/>
    <x v="0"/>
  </r>
  <r>
    <x v="0"/>
    <s v="ALB"/>
    <x v="1"/>
    <s v="EN.GHG.CO2.PC.CE.AR5"/>
    <x v="3"/>
    <n v="1"/>
    <x v="0"/>
  </r>
  <r>
    <x v="0"/>
    <s v="ALB"/>
    <x v="1"/>
    <s v="EN.GHG.CO2.PC.CE.AR5"/>
    <x v="4"/>
    <n v="1"/>
    <x v="0"/>
  </r>
  <r>
    <x v="0"/>
    <s v="ALB"/>
    <x v="1"/>
    <s v="EN.GHG.CO2.PC.CE.AR5"/>
    <x v="5"/>
    <n v="1"/>
    <x v="0"/>
  </r>
  <r>
    <x v="0"/>
    <s v="ALB"/>
    <x v="1"/>
    <s v="EN.GHG.CO2.PC.CE.AR5"/>
    <x v="6"/>
    <n v="1"/>
    <x v="0"/>
  </r>
  <r>
    <x v="0"/>
    <s v="ALB"/>
    <x v="1"/>
    <s v="EN.GHG.CO2.PC.CE.AR5"/>
    <x v="7"/>
    <n v="1"/>
    <x v="1"/>
  </r>
  <r>
    <x v="0"/>
    <s v="ALB"/>
    <x v="1"/>
    <s v="EN.GHG.CO2.PC.CE.AR5"/>
    <x v="8"/>
    <n v="1"/>
    <x v="1"/>
  </r>
  <r>
    <x v="0"/>
    <s v="ALB"/>
    <x v="1"/>
    <s v="EN.GHG.CO2.PC.CE.AR5"/>
    <x v="9"/>
    <n v="1"/>
    <x v="1"/>
  </r>
  <r>
    <x v="0"/>
    <s v="ALB"/>
    <x v="1"/>
    <s v="EN.GHG.CO2.PC.CE.AR5"/>
    <x v="10"/>
    <n v="1"/>
    <x v="1"/>
  </r>
  <r>
    <x v="0"/>
    <s v="ALB"/>
    <x v="1"/>
    <s v="EN.GHG.CO2.PC.CE.AR5"/>
    <x v="11"/>
    <n v="1"/>
    <x v="1"/>
  </r>
  <r>
    <x v="0"/>
    <s v="ALB"/>
    <x v="1"/>
    <s v="EN.GHG.CO2.PC.CE.AR5"/>
    <x v="12"/>
    <n v="1"/>
    <x v="1"/>
  </r>
  <r>
    <x v="0"/>
    <s v="ALB"/>
    <x v="1"/>
    <s v="EN.GHG.CO2.PC.CE.AR5"/>
    <x v="13"/>
    <n v="1"/>
    <x v="1"/>
  </r>
  <r>
    <x v="0"/>
    <s v="ALB"/>
    <x v="1"/>
    <s v="EN.GHG.CO2.PC.CE.AR5"/>
    <x v="14"/>
    <n v="1"/>
    <x v="1"/>
  </r>
  <r>
    <x v="0"/>
    <s v="ALB"/>
    <x v="1"/>
    <s v="EN.GHG.CO2.PC.CE.AR5"/>
    <x v="15"/>
    <n v="1"/>
    <x v="1"/>
  </r>
  <r>
    <x v="0"/>
    <s v="ALB"/>
    <x v="1"/>
    <s v="EN.GHG.CO2.PC.CE.AR5"/>
    <x v="16"/>
    <n v="1"/>
    <x v="1"/>
  </r>
  <r>
    <x v="0"/>
    <s v="ALB"/>
    <x v="1"/>
    <s v="EN.GHG.CO2.PC.CE.AR5"/>
    <x v="17"/>
    <n v="1"/>
    <x v="2"/>
  </r>
  <r>
    <x v="0"/>
    <s v="ALB"/>
    <x v="1"/>
    <s v="EN.GHG.CO2.PC.CE.AR5"/>
    <x v="18"/>
    <n v="1"/>
    <x v="2"/>
  </r>
  <r>
    <x v="0"/>
    <s v="ALB"/>
    <x v="1"/>
    <s v="EN.GHG.CO2.PC.CE.AR5"/>
    <x v="19"/>
    <n v="1"/>
    <x v="2"/>
  </r>
  <r>
    <x v="0"/>
    <s v="ALB"/>
    <x v="1"/>
    <s v="EN.GHG.CO2.PC.CE.AR5"/>
    <x v="20"/>
    <n v="2"/>
    <x v="2"/>
  </r>
  <r>
    <x v="0"/>
    <s v="ALB"/>
    <x v="1"/>
    <s v="EN.GHG.CO2.PC.CE.AR5"/>
    <x v="21"/>
    <n v="2"/>
    <x v="2"/>
  </r>
  <r>
    <x v="0"/>
    <s v="ALB"/>
    <x v="1"/>
    <s v="EN.GHG.CO2.PC.CE.AR5"/>
    <x v="22"/>
    <n v="2"/>
    <x v="2"/>
  </r>
  <r>
    <x v="0"/>
    <s v="ALB"/>
    <x v="1"/>
    <s v="EN.GHG.CO2.PC.CE.AR5"/>
    <x v="23"/>
    <n v="2"/>
    <x v="2"/>
  </r>
  <r>
    <x v="0"/>
    <s v="ALB"/>
    <x v="1"/>
    <s v="EN.GHG.CO2.PC.CE.AR5"/>
    <x v="24"/>
    <n v="2"/>
    <x v="2"/>
  </r>
  <r>
    <x v="0"/>
    <s v="ALB"/>
    <x v="1"/>
    <s v="EN.GHG.CO2.PC.CE.AR5"/>
    <x v="25"/>
    <n v="2"/>
    <x v="2"/>
  </r>
  <r>
    <x v="0"/>
    <s v="ALB"/>
    <x v="1"/>
    <s v="EN.GHG.CO2.PC.CE.AR5"/>
    <x v="26"/>
    <n v="2"/>
    <x v="2"/>
  </r>
  <r>
    <x v="0"/>
    <s v="ALB"/>
    <x v="1"/>
    <s v="EN.GHG.CO2.PC.CE.AR5"/>
    <x v="27"/>
    <n v="2"/>
    <x v="3"/>
  </r>
  <r>
    <x v="0"/>
    <s v="ALB"/>
    <x v="1"/>
    <s v="EN.GHG.CO2.PC.CE.AR5"/>
    <x v="28"/>
    <n v="2"/>
    <x v="3"/>
  </r>
  <r>
    <x v="0"/>
    <s v="ALB"/>
    <x v="1"/>
    <s v="EN.GHG.CO2.PC.CE.AR5"/>
    <x v="29"/>
    <n v="2"/>
    <x v="3"/>
  </r>
  <r>
    <x v="0"/>
    <s v="ALB"/>
    <x v="1"/>
    <s v="EN.GHG.CO2.PC.CE.AR5"/>
    <x v="30"/>
    <n v="2"/>
    <x v="3"/>
  </r>
  <r>
    <x v="0"/>
    <s v="ALB"/>
    <x v="1"/>
    <s v="EN.GHG.CO2.PC.CE.AR5"/>
    <x v="31"/>
    <n v="2"/>
    <x v="3"/>
  </r>
  <r>
    <x v="0"/>
    <s v="ALB"/>
    <x v="1"/>
    <s v="EN.GHG.CO2.PC.CE.AR5"/>
    <x v="32"/>
    <n v="2"/>
    <x v="4"/>
  </r>
  <r>
    <x v="0"/>
    <s v="ALB"/>
    <x v="1"/>
    <s v="EN.GHG.CO2.PC.CE.AR5"/>
    <x v="33"/>
    <n v="2"/>
    <x v="4"/>
  </r>
  <r>
    <x v="0"/>
    <s v="ALB"/>
    <x v="1"/>
    <s v="EN.GHG.CO2.PC.CE.AR5"/>
    <x v="54"/>
    <n v="2"/>
    <x v="4"/>
  </r>
  <r>
    <x v="2"/>
    <s v="ARM"/>
    <x v="1"/>
    <s v="EN.GHG.CO2.PC.CE.AR5"/>
    <x v="34"/>
    <n v="4"/>
    <x v="4"/>
  </r>
  <r>
    <x v="2"/>
    <s v="ARM"/>
    <x v="1"/>
    <s v="EN.GHG.CO2.PC.CE.AR5"/>
    <x v="35"/>
    <n v="4"/>
    <x v="4"/>
  </r>
  <r>
    <x v="2"/>
    <s v="ARM"/>
    <x v="1"/>
    <s v="EN.GHG.CO2.PC.CE.AR5"/>
    <x v="36"/>
    <n v="4"/>
    <x v="4"/>
  </r>
  <r>
    <x v="2"/>
    <s v="ARM"/>
    <x v="1"/>
    <s v="EN.GHG.CO2.PC.CE.AR5"/>
    <x v="37"/>
    <n v="4"/>
    <x v="4"/>
  </r>
  <r>
    <x v="2"/>
    <s v="ARM"/>
    <x v="1"/>
    <s v="EN.GHG.CO2.PC.CE.AR5"/>
    <x v="38"/>
    <n v="5"/>
    <x v="4"/>
  </r>
  <r>
    <x v="2"/>
    <s v="ARM"/>
    <x v="1"/>
    <s v="EN.GHG.CO2.PC.CE.AR5"/>
    <x v="39"/>
    <n v="5"/>
    <x v="4"/>
  </r>
  <r>
    <x v="2"/>
    <s v="ARM"/>
    <x v="1"/>
    <s v="EN.GHG.CO2.PC.CE.AR5"/>
    <x v="40"/>
    <n v="5"/>
    <x v="4"/>
  </r>
  <r>
    <x v="2"/>
    <s v="ARM"/>
    <x v="1"/>
    <s v="EN.GHG.CO2.PC.CE.AR5"/>
    <x v="41"/>
    <n v="5"/>
    <x v="5"/>
  </r>
  <r>
    <x v="2"/>
    <s v="ARM"/>
    <x v="1"/>
    <s v="EN.GHG.CO2.PC.CE.AR5"/>
    <x v="42"/>
    <n v="5"/>
    <x v="5"/>
  </r>
  <r>
    <x v="2"/>
    <s v="ARM"/>
    <x v="1"/>
    <s v="EN.GHG.CO2.PC.CE.AR5"/>
    <x v="43"/>
    <n v="5"/>
    <x v="5"/>
  </r>
  <r>
    <x v="2"/>
    <s v="ARM"/>
    <x v="1"/>
    <s v="EN.GHG.CO2.PC.CE.AR5"/>
    <x v="44"/>
    <n v="5"/>
    <x v="5"/>
  </r>
  <r>
    <x v="2"/>
    <s v="ARM"/>
    <x v="1"/>
    <s v="EN.GHG.CO2.PC.CE.AR5"/>
    <x v="45"/>
    <n v="6"/>
    <x v="5"/>
  </r>
  <r>
    <x v="2"/>
    <s v="ARM"/>
    <x v="1"/>
    <s v="EN.GHG.CO2.PC.CE.AR5"/>
    <x v="46"/>
    <n v="6"/>
    <x v="5"/>
  </r>
  <r>
    <x v="2"/>
    <s v="ARM"/>
    <x v="1"/>
    <s v="EN.GHG.CO2.PC.CE.AR5"/>
    <x v="47"/>
    <n v="6"/>
    <x v="5"/>
  </r>
  <r>
    <x v="2"/>
    <s v="ARM"/>
    <x v="1"/>
    <s v="EN.GHG.CO2.PC.CE.AR5"/>
    <x v="48"/>
    <n v="6"/>
    <x v="5"/>
  </r>
  <r>
    <x v="2"/>
    <s v="ARM"/>
    <x v="1"/>
    <s v="EN.GHG.CO2.PC.CE.AR5"/>
    <x v="49"/>
    <n v="6"/>
    <x v="5"/>
  </r>
  <r>
    <x v="2"/>
    <s v="ARM"/>
    <x v="1"/>
    <s v="EN.GHG.CO2.PC.CE.AR5"/>
    <x v="50"/>
    <n v="6"/>
    <x v="5"/>
  </r>
  <r>
    <x v="2"/>
    <s v="ARM"/>
    <x v="1"/>
    <s v="EN.GHG.CO2.PC.CE.AR5"/>
    <x v="51"/>
    <n v="6"/>
    <x v="0"/>
  </r>
  <r>
    <x v="2"/>
    <s v="ARM"/>
    <x v="1"/>
    <s v="EN.GHG.CO2.PC.CE.AR5"/>
    <x v="52"/>
    <n v="6"/>
    <x v="0"/>
  </r>
  <r>
    <x v="2"/>
    <s v="ARM"/>
    <x v="1"/>
    <s v="EN.GHG.CO2.PC.CE.AR5"/>
    <x v="53"/>
    <n v="5"/>
    <x v="0"/>
  </r>
  <r>
    <x v="2"/>
    <s v="ARM"/>
    <x v="1"/>
    <s v="EN.GHG.CO2.PC.CE.AR5"/>
    <x v="0"/>
    <n v="6"/>
    <x v="0"/>
  </r>
  <r>
    <x v="2"/>
    <s v="ARM"/>
    <x v="1"/>
    <s v="EN.GHG.CO2.PC.CE.AR5"/>
    <x v="1"/>
    <n v="6"/>
    <x v="0"/>
  </r>
  <r>
    <x v="2"/>
    <s v="ARM"/>
    <x v="1"/>
    <s v="EN.GHG.CO2.PC.CE.AR5"/>
    <x v="2"/>
    <n v="3"/>
    <x v="0"/>
  </r>
  <r>
    <x v="2"/>
    <s v="ARM"/>
    <x v="1"/>
    <s v="EN.GHG.CO2.PC.CE.AR5"/>
    <x v="3"/>
    <n v="1"/>
    <x v="0"/>
  </r>
  <r>
    <x v="2"/>
    <s v="ARM"/>
    <x v="1"/>
    <s v="EN.GHG.CO2.PC.CE.AR5"/>
    <x v="4"/>
    <n v="1"/>
    <x v="0"/>
  </r>
  <r>
    <x v="2"/>
    <s v="ARM"/>
    <x v="1"/>
    <s v="EN.GHG.CO2.PC.CE.AR5"/>
    <x v="5"/>
    <n v="1"/>
    <x v="0"/>
  </r>
  <r>
    <x v="2"/>
    <s v="ARM"/>
    <x v="1"/>
    <s v="EN.GHG.CO2.PC.CE.AR5"/>
    <x v="6"/>
    <n v="1"/>
    <x v="0"/>
  </r>
  <r>
    <x v="2"/>
    <s v="ARM"/>
    <x v="1"/>
    <s v="EN.GHG.CO2.PC.CE.AR5"/>
    <x v="7"/>
    <n v="1"/>
    <x v="1"/>
  </r>
  <r>
    <x v="2"/>
    <s v="ARM"/>
    <x v="1"/>
    <s v="EN.GHG.CO2.PC.CE.AR5"/>
    <x v="8"/>
    <n v="1"/>
    <x v="1"/>
  </r>
  <r>
    <x v="2"/>
    <s v="ARM"/>
    <x v="1"/>
    <s v="EN.GHG.CO2.PC.CE.AR5"/>
    <x v="9"/>
    <n v="1"/>
    <x v="1"/>
  </r>
  <r>
    <x v="2"/>
    <s v="ARM"/>
    <x v="1"/>
    <s v="EN.GHG.CO2.PC.CE.AR5"/>
    <x v="10"/>
    <n v="1"/>
    <x v="1"/>
  </r>
  <r>
    <x v="2"/>
    <s v="ARM"/>
    <x v="1"/>
    <s v="EN.GHG.CO2.PC.CE.AR5"/>
    <x v="11"/>
    <n v="1"/>
    <x v="1"/>
  </r>
  <r>
    <x v="2"/>
    <s v="ARM"/>
    <x v="1"/>
    <s v="EN.GHG.CO2.PC.CE.AR5"/>
    <x v="12"/>
    <n v="1"/>
    <x v="1"/>
  </r>
  <r>
    <x v="2"/>
    <s v="ARM"/>
    <x v="1"/>
    <s v="EN.GHG.CO2.PC.CE.AR5"/>
    <x v="13"/>
    <n v="1"/>
    <x v="1"/>
  </r>
  <r>
    <x v="2"/>
    <s v="ARM"/>
    <x v="1"/>
    <s v="EN.GHG.CO2.PC.CE.AR5"/>
    <x v="14"/>
    <n v="1"/>
    <x v="1"/>
  </r>
  <r>
    <x v="2"/>
    <s v="ARM"/>
    <x v="1"/>
    <s v="EN.GHG.CO2.PC.CE.AR5"/>
    <x v="15"/>
    <n v="1"/>
    <x v="1"/>
  </r>
  <r>
    <x v="2"/>
    <s v="ARM"/>
    <x v="1"/>
    <s v="EN.GHG.CO2.PC.CE.AR5"/>
    <x v="16"/>
    <n v="1"/>
    <x v="1"/>
  </r>
  <r>
    <x v="2"/>
    <s v="ARM"/>
    <x v="1"/>
    <s v="EN.GHG.CO2.PC.CE.AR5"/>
    <x v="17"/>
    <n v="2"/>
    <x v="2"/>
  </r>
  <r>
    <x v="2"/>
    <s v="ARM"/>
    <x v="1"/>
    <s v="EN.GHG.CO2.PC.CE.AR5"/>
    <x v="18"/>
    <n v="2"/>
    <x v="2"/>
  </r>
  <r>
    <x v="2"/>
    <s v="ARM"/>
    <x v="1"/>
    <s v="EN.GHG.CO2.PC.CE.AR5"/>
    <x v="19"/>
    <n v="1"/>
    <x v="2"/>
  </r>
  <r>
    <x v="2"/>
    <s v="ARM"/>
    <x v="1"/>
    <s v="EN.GHG.CO2.PC.CE.AR5"/>
    <x v="20"/>
    <n v="1"/>
    <x v="2"/>
  </r>
  <r>
    <x v="2"/>
    <s v="ARM"/>
    <x v="1"/>
    <s v="EN.GHG.CO2.PC.CE.AR5"/>
    <x v="21"/>
    <n v="2"/>
    <x v="2"/>
  </r>
  <r>
    <x v="2"/>
    <s v="ARM"/>
    <x v="1"/>
    <s v="EN.GHG.CO2.PC.CE.AR5"/>
    <x v="22"/>
    <n v="2"/>
    <x v="2"/>
  </r>
  <r>
    <x v="2"/>
    <s v="ARM"/>
    <x v="1"/>
    <s v="EN.GHG.CO2.PC.CE.AR5"/>
    <x v="23"/>
    <n v="2"/>
    <x v="2"/>
  </r>
  <r>
    <x v="2"/>
    <s v="ARM"/>
    <x v="1"/>
    <s v="EN.GHG.CO2.PC.CE.AR5"/>
    <x v="24"/>
    <n v="2"/>
    <x v="2"/>
  </r>
  <r>
    <x v="2"/>
    <s v="ARM"/>
    <x v="1"/>
    <s v="EN.GHG.CO2.PC.CE.AR5"/>
    <x v="25"/>
    <n v="2"/>
    <x v="2"/>
  </r>
  <r>
    <x v="2"/>
    <s v="ARM"/>
    <x v="1"/>
    <s v="EN.GHG.CO2.PC.CE.AR5"/>
    <x v="26"/>
    <n v="2"/>
    <x v="2"/>
  </r>
  <r>
    <x v="2"/>
    <s v="ARM"/>
    <x v="1"/>
    <s v="EN.GHG.CO2.PC.CE.AR5"/>
    <x v="27"/>
    <n v="2"/>
    <x v="3"/>
  </r>
  <r>
    <x v="2"/>
    <s v="ARM"/>
    <x v="1"/>
    <s v="EN.GHG.CO2.PC.CE.AR5"/>
    <x v="28"/>
    <n v="2"/>
    <x v="3"/>
  </r>
  <r>
    <x v="2"/>
    <s v="ARM"/>
    <x v="1"/>
    <s v="EN.GHG.CO2.PC.CE.AR5"/>
    <x v="29"/>
    <n v="2"/>
    <x v="3"/>
  </r>
  <r>
    <x v="2"/>
    <s v="ARM"/>
    <x v="1"/>
    <s v="EN.GHG.CO2.PC.CE.AR5"/>
    <x v="30"/>
    <n v="2"/>
    <x v="3"/>
  </r>
  <r>
    <x v="2"/>
    <s v="ARM"/>
    <x v="1"/>
    <s v="EN.GHG.CO2.PC.CE.AR5"/>
    <x v="31"/>
    <n v="3"/>
    <x v="3"/>
  </r>
  <r>
    <x v="2"/>
    <s v="ARM"/>
    <x v="1"/>
    <s v="EN.GHG.CO2.PC.CE.AR5"/>
    <x v="32"/>
    <n v="3"/>
    <x v="4"/>
  </r>
  <r>
    <x v="2"/>
    <s v="ARM"/>
    <x v="1"/>
    <s v="EN.GHG.CO2.PC.CE.AR5"/>
    <x v="33"/>
    <n v="3"/>
    <x v="4"/>
  </r>
  <r>
    <x v="2"/>
    <s v="ARM"/>
    <x v="1"/>
    <s v="EN.GHG.CO2.PC.CE.AR5"/>
    <x v="54"/>
    <n v="2"/>
    <x v="4"/>
  </r>
  <r>
    <x v="3"/>
    <s v="AUT"/>
    <x v="1"/>
    <s v="EN.GHG.CO2.PC.CE.AR5"/>
    <x v="34"/>
    <n v="7"/>
    <x v="4"/>
  </r>
  <r>
    <x v="3"/>
    <s v="AUT"/>
    <x v="1"/>
    <s v="EN.GHG.CO2.PC.CE.AR5"/>
    <x v="35"/>
    <n v="7"/>
    <x v="4"/>
  </r>
  <r>
    <x v="3"/>
    <s v="AUT"/>
    <x v="1"/>
    <s v="EN.GHG.CO2.PC.CE.AR5"/>
    <x v="36"/>
    <n v="8"/>
    <x v="4"/>
  </r>
  <r>
    <x v="3"/>
    <s v="AUT"/>
    <x v="1"/>
    <s v="EN.GHG.CO2.PC.CE.AR5"/>
    <x v="37"/>
    <n v="8"/>
    <x v="4"/>
  </r>
  <r>
    <x v="3"/>
    <s v="AUT"/>
    <x v="1"/>
    <s v="EN.GHG.CO2.PC.CE.AR5"/>
    <x v="38"/>
    <n v="8"/>
    <x v="4"/>
  </r>
  <r>
    <x v="3"/>
    <s v="AUT"/>
    <x v="1"/>
    <s v="EN.GHG.CO2.PC.CE.AR5"/>
    <x v="39"/>
    <n v="7"/>
    <x v="4"/>
  </r>
  <r>
    <x v="3"/>
    <s v="AUT"/>
    <x v="1"/>
    <s v="EN.GHG.CO2.PC.CE.AR5"/>
    <x v="40"/>
    <n v="8"/>
    <x v="4"/>
  </r>
  <r>
    <x v="3"/>
    <s v="AUT"/>
    <x v="1"/>
    <s v="EN.GHG.CO2.PC.CE.AR5"/>
    <x v="41"/>
    <n v="8"/>
    <x v="5"/>
  </r>
  <r>
    <x v="3"/>
    <s v="AUT"/>
    <x v="1"/>
    <s v="EN.GHG.CO2.PC.CE.AR5"/>
    <x v="42"/>
    <n v="8"/>
    <x v="5"/>
  </r>
  <r>
    <x v="3"/>
    <s v="AUT"/>
    <x v="1"/>
    <s v="EN.GHG.CO2.PC.CE.AR5"/>
    <x v="43"/>
    <n v="8"/>
    <x v="5"/>
  </r>
  <r>
    <x v="3"/>
    <s v="AUT"/>
    <x v="1"/>
    <s v="EN.GHG.CO2.PC.CE.AR5"/>
    <x v="44"/>
    <n v="8"/>
    <x v="5"/>
  </r>
  <r>
    <x v="3"/>
    <s v="AUT"/>
    <x v="1"/>
    <s v="EN.GHG.CO2.PC.CE.AR5"/>
    <x v="45"/>
    <n v="8"/>
    <x v="5"/>
  </r>
  <r>
    <x v="3"/>
    <s v="AUT"/>
    <x v="1"/>
    <s v="EN.GHG.CO2.PC.CE.AR5"/>
    <x v="46"/>
    <n v="7"/>
    <x v="5"/>
  </r>
  <r>
    <x v="3"/>
    <s v="AUT"/>
    <x v="1"/>
    <s v="EN.GHG.CO2.PC.CE.AR5"/>
    <x v="47"/>
    <n v="7"/>
    <x v="5"/>
  </r>
  <r>
    <x v="3"/>
    <s v="AUT"/>
    <x v="1"/>
    <s v="EN.GHG.CO2.PC.CE.AR5"/>
    <x v="48"/>
    <n v="8"/>
    <x v="5"/>
  </r>
  <r>
    <x v="3"/>
    <s v="AUT"/>
    <x v="1"/>
    <s v="EN.GHG.CO2.PC.CE.AR5"/>
    <x v="49"/>
    <n v="8"/>
    <x v="5"/>
  </r>
  <r>
    <x v="3"/>
    <s v="AUT"/>
    <x v="1"/>
    <s v="EN.GHG.CO2.PC.CE.AR5"/>
    <x v="50"/>
    <n v="8"/>
    <x v="5"/>
  </r>
  <r>
    <x v="3"/>
    <s v="AUT"/>
    <x v="1"/>
    <s v="EN.GHG.CO2.PC.CE.AR5"/>
    <x v="51"/>
    <n v="8"/>
    <x v="0"/>
  </r>
  <r>
    <x v="3"/>
    <s v="AUT"/>
    <x v="1"/>
    <s v="EN.GHG.CO2.PC.CE.AR5"/>
    <x v="52"/>
    <n v="8"/>
    <x v="0"/>
  </r>
  <r>
    <x v="3"/>
    <s v="AUT"/>
    <x v="1"/>
    <s v="EN.GHG.CO2.PC.CE.AR5"/>
    <x v="53"/>
    <n v="8"/>
    <x v="0"/>
  </r>
  <r>
    <x v="3"/>
    <s v="AUT"/>
    <x v="1"/>
    <s v="EN.GHG.CO2.PC.CE.AR5"/>
    <x v="0"/>
    <n v="8"/>
    <x v="0"/>
  </r>
  <r>
    <x v="3"/>
    <s v="AUT"/>
    <x v="1"/>
    <s v="EN.GHG.CO2.PC.CE.AR5"/>
    <x v="1"/>
    <n v="8"/>
    <x v="0"/>
  </r>
  <r>
    <x v="3"/>
    <s v="AUT"/>
    <x v="1"/>
    <s v="EN.GHG.CO2.PC.CE.AR5"/>
    <x v="2"/>
    <n v="8"/>
    <x v="0"/>
  </r>
  <r>
    <x v="3"/>
    <s v="AUT"/>
    <x v="1"/>
    <s v="EN.GHG.CO2.PC.CE.AR5"/>
    <x v="3"/>
    <n v="8"/>
    <x v="0"/>
  </r>
  <r>
    <x v="3"/>
    <s v="AUT"/>
    <x v="1"/>
    <s v="EN.GHG.CO2.PC.CE.AR5"/>
    <x v="4"/>
    <n v="8"/>
    <x v="0"/>
  </r>
  <r>
    <x v="3"/>
    <s v="AUT"/>
    <x v="1"/>
    <s v="EN.GHG.CO2.PC.CE.AR5"/>
    <x v="5"/>
    <n v="8"/>
    <x v="0"/>
  </r>
  <r>
    <x v="3"/>
    <s v="AUT"/>
    <x v="1"/>
    <s v="EN.GHG.CO2.PC.CE.AR5"/>
    <x v="6"/>
    <n v="9"/>
    <x v="0"/>
  </r>
  <r>
    <x v="3"/>
    <s v="AUT"/>
    <x v="1"/>
    <s v="EN.GHG.CO2.PC.CE.AR5"/>
    <x v="7"/>
    <n v="8"/>
    <x v="1"/>
  </r>
  <r>
    <x v="3"/>
    <s v="AUT"/>
    <x v="1"/>
    <s v="EN.GHG.CO2.PC.CE.AR5"/>
    <x v="8"/>
    <n v="9"/>
    <x v="1"/>
  </r>
  <r>
    <x v="3"/>
    <s v="AUT"/>
    <x v="1"/>
    <s v="EN.GHG.CO2.PC.CE.AR5"/>
    <x v="9"/>
    <n v="8"/>
    <x v="1"/>
  </r>
  <r>
    <x v="3"/>
    <s v="AUT"/>
    <x v="1"/>
    <s v="EN.GHG.CO2.PC.CE.AR5"/>
    <x v="10"/>
    <n v="8"/>
    <x v="1"/>
  </r>
  <r>
    <x v="3"/>
    <s v="AUT"/>
    <x v="1"/>
    <s v="EN.GHG.CO2.PC.CE.AR5"/>
    <x v="11"/>
    <n v="9"/>
    <x v="1"/>
  </r>
  <r>
    <x v="3"/>
    <s v="AUT"/>
    <x v="1"/>
    <s v="EN.GHG.CO2.PC.CE.AR5"/>
    <x v="12"/>
    <n v="9"/>
    <x v="1"/>
  </r>
  <r>
    <x v="3"/>
    <s v="AUT"/>
    <x v="1"/>
    <s v="EN.GHG.CO2.PC.CE.AR5"/>
    <x v="13"/>
    <n v="10"/>
    <x v="1"/>
  </r>
  <r>
    <x v="3"/>
    <s v="AUT"/>
    <x v="1"/>
    <s v="EN.GHG.CO2.PC.CE.AR5"/>
    <x v="14"/>
    <n v="10"/>
    <x v="1"/>
  </r>
  <r>
    <x v="3"/>
    <s v="AUT"/>
    <x v="1"/>
    <s v="EN.GHG.CO2.PC.CE.AR5"/>
    <x v="15"/>
    <n v="10"/>
    <x v="1"/>
  </r>
  <r>
    <x v="3"/>
    <s v="AUT"/>
    <x v="1"/>
    <s v="EN.GHG.CO2.PC.CE.AR5"/>
    <x v="16"/>
    <n v="9"/>
    <x v="1"/>
  </r>
  <r>
    <x v="3"/>
    <s v="AUT"/>
    <x v="1"/>
    <s v="EN.GHG.CO2.PC.CE.AR5"/>
    <x v="17"/>
    <n v="9"/>
    <x v="2"/>
  </r>
  <r>
    <x v="3"/>
    <s v="AUT"/>
    <x v="1"/>
    <s v="EN.GHG.CO2.PC.CE.AR5"/>
    <x v="18"/>
    <n v="9"/>
    <x v="2"/>
  </r>
  <r>
    <x v="3"/>
    <s v="AUT"/>
    <x v="1"/>
    <s v="EN.GHG.CO2.PC.CE.AR5"/>
    <x v="19"/>
    <n v="8"/>
    <x v="2"/>
  </r>
  <r>
    <x v="3"/>
    <s v="AUT"/>
    <x v="1"/>
    <s v="EN.GHG.CO2.PC.CE.AR5"/>
    <x v="20"/>
    <n v="9"/>
    <x v="2"/>
  </r>
  <r>
    <x v="3"/>
    <s v="AUT"/>
    <x v="1"/>
    <s v="EN.GHG.CO2.PC.CE.AR5"/>
    <x v="21"/>
    <n v="9"/>
    <x v="2"/>
  </r>
  <r>
    <x v="3"/>
    <s v="AUT"/>
    <x v="1"/>
    <s v="EN.GHG.CO2.PC.CE.AR5"/>
    <x v="22"/>
    <n v="8"/>
    <x v="2"/>
  </r>
  <r>
    <x v="3"/>
    <s v="AUT"/>
    <x v="1"/>
    <s v="EN.GHG.CO2.PC.CE.AR5"/>
    <x v="23"/>
    <n v="8"/>
    <x v="2"/>
  </r>
  <r>
    <x v="3"/>
    <s v="AUT"/>
    <x v="1"/>
    <s v="EN.GHG.CO2.PC.CE.AR5"/>
    <x v="24"/>
    <n v="8"/>
    <x v="2"/>
  </r>
  <r>
    <x v="3"/>
    <s v="AUT"/>
    <x v="1"/>
    <s v="EN.GHG.CO2.PC.CE.AR5"/>
    <x v="25"/>
    <n v="8"/>
    <x v="2"/>
  </r>
  <r>
    <x v="3"/>
    <s v="AUT"/>
    <x v="1"/>
    <s v="EN.GHG.CO2.PC.CE.AR5"/>
    <x v="26"/>
    <n v="8"/>
    <x v="2"/>
  </r>
  <r>
    <x v="3"/>
    <s v="AUT"/>
    <x v="1"/>
    <s v="EN.GHG.CO2.PC.CE.AR5"/>
    <x v="27"/>
    <n v="8"/>
    <x v="3"/>
  </r>
  <r>
    <x v="3"/>
    <s v="AUT"/>
    <x v="1"/>
    <s v="EN.GHG.CO2.PC.CE.AR5"/>
    <x v="28"/>
    <n v="8"/>
    <x v="3"/>
  </r>
  <r>
    <x v="3"/>
    <s v="AUT"/>
    <x v="1"/>
    <s v="EN.GHG.CO2.PC.CE.AR5"/>
    <x v="29"/>
    <n v="8"/>
    <x v="3"/>
  </r>
  <r>
    <x v="3"/>
    <s v="AUT"/>
    <x v="1"/>
    <s v="EN.GHG.CO2.PC.CE.AR5"/>
    <x v="30"/>
    <n v="7"/>
    <x v="3"/>
  </r>
  <r>
    <x v="3"/>
    <s v="AUT"/>
    <x v="1"/>
    <s v="EN.GHG.CO2.PC.CE.AR5"/>
    <x v="31"/>
    <n v="7"/>
    <x v="3"/>
  </r>
  <r>
    <x v="3"/>
    <s v="AUT"/>
    <x v="1"/>
    <s v="EN.GHG.CO2.PC.CE.AR5"/>
    <x v="32"/>
    <n v="7"/>
    <x v="4"/>
  </r>
  <r>
    <x v="3"/>
    <s v="AUT"/>
    <x v="1"/>
    <s v="EN.GHG.CO2.PC.CE.AR5"/>
    <x v="33"/>
    <n v="6"/>
    <x v="4"/>
  </r>
  <r>
    <x v="3"/>
    <s v="AUT"/>
    <x v="1"/>
    <s v="EN.GHG.CO2.PC.CE.AR5"/>
    <x v="54"/>
    <n v="6"/>
    <x v="4"/>
  </r>
  <r>
    <x v="4"/>
    <s v="AZE"/>
    <x v="1"/>
    <s v="EN.GHG.CO2.PC.CE.AR5"/>
    <x v="34"/>
    <n v="5"/>
    <x v="4"/>
  </r>
  <r>
    <x v="4"/>
    <s v="AZE"/>
    <x v="1"/>
    <s v="EN.GHG.CO2.PC.CE.AR5"/>
    <x v="35"/>
    <n v="5"/>
    <x v="4"/>
  </r>
  <r>
    <x v="4"/>
    <s v="AZE"/>
    <x v="1"/>
    <s v="EN.GHG.CO2.PC.CE.AR5"/>
    <x v="36"/>
    <n v="5"/>
    <x v="4"/>
  </r>
  <r>
    <x v="4"/>
    <s v="AZE"/>
    <x v="1"/>
    <s v="EN.GHG.CO2.PC.CE.AR5"/>
    <x v="37"/>
    <n v="5"/>
    <x v="4"/>
  </r>
  <r>
    <x v="4"/>
    <s v="AZE"/>
    <x v="1"/>
    <s v="EN.GHG.CO2.PC.CE.AR5"/>
    <x v="38"/>
    <n v="5"/>
    <x v="4"/>
  </r>
  <r>
    <x v="4"/>
    <s v="AZE"/>
    <x v="1"/>
    <s v="EN.GHG.CO2.PC.CE.AR5"/>
    <x v="39"/>
    <n v="6"/>
    <x v="4"/>
  </r>
  <r>
    <x v="4"/>
    <s v="AZE"/>
    <x v="1"/>
    <s v="EN.GHG.CO2.PC.CE.AR5"/>
    <x v="40"/>
    <n v="6"/>
    <x v="4"/>
  </r>
  <r>
    <x v="4"/>
    <s v="AZE"/>
    <x v="1"/>
    <s v="EN.GHG.CO2.PC.CE.AR5"/>
    <x v="41"/>
    <n v="6"/>
    <x v="5"/>
  </r>
  <r>
    <x v="4"/>
    <s v="AZE"/>
    <x v="1"/>
    <s v="EN.GHG.CO2.PC.CE.AR5"/>
    <x v="42"/>
    <n v="6"/>
    <x v="5"/>
  </r>
  <r>
    <x v="4"/>
    <s v="AZE"/>
    <x v="1"/>
    <s v="EN.GHG.CO2.PC.CE.AR5"/>
    <x v="43"/>
    <n v="6"/>
    <x v="5"/>
  </r>
  <r>
    <x v="4"/>
    <s v="AZE"/>
    <x v="1"/>
    <s v="EN.GHG.CO2.PC.CE.AR5"/>
    <x v="44"/>
    <n v="7"/>
    <x v="5"/>
  </r>
  <r>
    <x v="4"/>
    <s v="AZE"/>
    <x v="1"/>
    <s v="EN.GHG.CO2.PC.CE.AR5"/>
    <x v="45"/>
    <n v="7"/>
    <x v="5"/>
  </r>
  <r>
    <x v="4"/>
    <s v="AZE"/>
    <x v="1"/>
    <s v="EN.GHG.CO2.PC.CE.AR5"/>
    <x v="46"/>
    <n v="7"/>
    <x v="5"/>
  </r>
  <r>
    <x v="4"/>
    <s v="AZE"/>
    <x v="1"/>
    <s v="EN.GHG.CO2.PC.CE.AR5"/>
    <x v="47"/>
    <n v="7"/>
    <x v="5"/>
  </r>
  <r>
    <x v="4"/>
    <s v="AZE"/>
    <x v="1"/>
    <s v="EN.GHG.CO2.PC.CE.AR5"/>
    <x v="48"/>
    <n v="7"/>
    <x v="5"/>
  </r>
  <r>
    <x v="4"/>
    <s v="AZE"/>
    <x v="1"/>
    <s v="EN.GHG.CO2.PC.CE.AR5"/>
    <x v="49"/>
    <n v="7"/>
    <x v="5"/>
  </r>
  <r>
    <x v="4"/>
    <s v="AZE"/>
    <x v="1"/>
    <s v="EN.GHG.CO2.PC.CE.AR5"/>
    <x v="50"/>
    <n v="7"/>
    <x v="5"/>
  </r>
  <r>
    <x v="4"/>
    <s v="AZE"/>
    <x v="1"/>
    <s v="EN.GHG.CO2.PC.CE.AR5"/>
    <x v="51"/>
    <n v="7"/>
    <x v="0"/>
  </r>
  <r>
    <x v="4"/>
    <s v="AZE"/>
    <x v="1"/>
    <s v="EN.GHG.CO2.PC.CE.AR5"/>
    <x v="52"/>
    <n v="7"/>
    <x v="0"/>
  </r>
  <r>
    <x v="4"/>
    <s v="AZE"/>
    <x v="1"/>
    <s v="EN.GHG.CO2.PC.CE.AR5"/>
    <x v="53"/>
    <n v="7"/>
    <x v="0"/>
  </r>
  <r>
    <x v="4"/>
    <s v="AZE"/>
    <x v="1"/>
    <s v="EN.GHG.CO2.PC.CE.AR5"/>
    <x v="0"/>
    <n v="8"/>
    <x v="0"/>
  </r>
  <r>
    <x v="4"/>
    <s v="AZE"/>
    <x v="1"/>
    <s v="EN.GHG.CO2.PC.CE.AR5"/>
    <x v="1"/>
    <n v="8"/>
    <x v="0"/>
  </r>
  <r>
    <x v="4"/>
    <s v="AZE"/>
    <x v="1"/>
    <s v="EN.GHG.CO2.PC.CE.AR5"/>
    <x v="2"/>
    <n v="6"/>
    <x v="0"/>
  </r>
  <r>
    <x v="4"/>
    <s v="AZE"/>
    <x v="1"/>
    <s v="EN.GHG.CO2.PC.CE.AR5"/>
    <x v="3"/>
    <n v="5"/>
    <x v="0"/>
  </r>
  <r>
    <x v="4"/>
    <s v="AZE"/>
    <x v="1"/>
    <s v="EN.GHG.CO2.PC.CE.AR5"/>
    <x v="4"/>
    <n v="5"/>
    <x v="0"/>
  </r>
  <r>
    <x v="4"/>
    <s v="AZE"/>
    <x v="1"/>
    <s v="EN.GHG.CO2.PC.CE.AR5"/>
    <x v="5"/>
    <n v="4"/>
    <x v="0"/>
  </r>
  <r>
    <x v="4"/>
    <s v="AZE"/>
    <x v="1"/>
    <s v="EN.GHG.CO2.PC.CE.AR5"/>
    <x v="6"/>
    <n v="4"/>
    <x v="0"/>
  </r>
  <r>
    <x v="4"/>
    <s v="AZE"/>
    <x v="1"/>
    <s v="EN.GHG.CO2.PC.CE.AR5"/>
    <x v="7"/>
    <n v="3"/>
    <x v="1"/>
  </r>
  <r>
    <x v="4"/>
    <s v="AZE"/>
    <x v="1"/>
    <s v="EN.GHG.CO2.PC.CE.AR5"/>
    <x v="8"/>
    <n v="3"/>
    <x v="1"/>
  </r>
  <r>
    <x v="4"/>
    <s v="AZE"/>
    <x v="1"/>
    <s v="EN.GHG.CO2.PC.CE.AR5"/>
    <x v="9"/>
    <n v="3"/>
    <x v="1"/>
  </r>
  <r>
    <x v="4"/>
    <s v="AZE"/>
    <x v="1"/>
    <s v="EN.GHG.CO2.PC.CE.AR5"/>
    <x v="10"/>
    <n v="4"/>
    <x v="1"/>
  </r>
  <r>
    <x v="4"/>
    <s v="AZE"/>
    <x v="1"/>
    <s v="EN.GHG.CO2.PC.CE.AR5"/>
    <x v="11"/>
    <n v="3"/>
    <x v="1"/>
  </r>
  <r>
    <x v="4"/>
    <s v="AZE"/>
    <x v="1"/>
    <s v="EN.GHG.CO2.PC.CE.AR5"/>
    <x v="12"/>
    <n v="3"/>
    <x v="1"/>
  </r>
  <r>
    <x v="4"/>
    <s v="AZE"/>
    <x v="1"/>
    <s v="EN.GHG.CO2.PC.CE.AR5"/>
    <x v="13"/>
    <n v="4"/>
    <x v="1"/>
  </r>
  <r>
    <x v="4"/>
    <s v="AZE"/>
    <x v="1"/>
    <s v="EN.GHG.CO2.PC.CE.AR5"/>
    <x v="14"/>
    <n v="4"/>
    <x v="1"/>
  </r>
  <r>
    <x v="4"/>
    <s v="AZE"/>
    <x v="1"/>
    <s v="EN.GHG.CO2.PC.CE.AR5"/>
    <x v="15"/>
    <n v="4"/>
    <x v="1"/>
  </r>
  <r>
    <x v="4"/>
    <s v="AZE"/>
    <x v="1"/>
    <s v="EN.GHG.CO2.PC.CE.AR5"/>
    <x v="16"/>
    <n v="4"/>
    <x v="1"/>
  </r>
  <r>
    <x v="4"/>
    <s v="AZE"/>
    <x v="1"/>
    <s v="EN.GHG.CO2.PC.CE.AR5"/>
    <x v="17"/>
    <n v="3"/>
    <x v="2"/>
  </r>
  <r>
    <x v="4"/>
    <s v="AZE"/>
    <x v="1"/>
    <s v="EN.GHG.CO2.PC.CE.AR5"/>
    <x v="18"/>
    <n v="4"/>
    <x v="2"/>
  </r>
  <r>
    <x v="4"/>
    <s v="AZE"/>
    <x v="1"/>
    <s v="EN.GHG.CO2.PC.CE.AR5"/>
    <x v="19"/>
    <n v="3"/>
    <x v="2"/>
  </r>
  <r>
    <x v="4"/>
    <s v="AZE"/>
    <x v="1"/>
    <s v="EN.GHG.CO2.PC.CE.AR5"/>
    <x v="20"/>
    <n v="3"/>
    <x v="2"/>
  </r>
  <r>
    <x v="4"/>
    <s v="AZE"/>
    <x v="1"/>
    <s v="EN.GHG.CO2.PC.CE.AR5"/>
    <x v="21"/>
    <n v="3"/>
    <x v="2"/>
  </r>
  <r>
    <x v="4"/>
    <s v="AZE"/>
    <x v="1"/>
    <s v="EN.GHG.CO2.PC.CE.AR5"/>
    <x v="22"/>
    <n v="3"/>
    <x v="2"/>
  </r>
  <r>
    <x v="4"/>
    <s v="AZE"/>
    <x v="1"/>
    <s v="EN.GHG.CO2.PC.CE.AR5"/>
    <x v="23"/>
    <n v="4"/>
    <x v="2"/>
  </r>
  <r>
    <x v="4"/>
    <s v="AZE"/>
    <x v="1"/>
    <s v="EN.GHG.CO2.PC.CE.AR5"/>
    <x v="24"/>
    <n v="4"/>
    <x v="2"/>
  </r>
  <r>
    <x v="4"/>
    <s v="AZE"/>
    <x v="1"/>
    <s v="EN.GHG.CO2.PC.CE.AR5"/>
    <x v="25"/>
    <n v="4"/>
    <x v="2"/>
  </r>
  <r>
    <x v="4"/>
    <s v="AZE"/>
    <x v="1"/>
    <s v="EN.GHG.CO2.PC.CE.AR5"/>
    <x v="26"/>
    <n v="4"/>
    <x v="2"/>
  </r>
  <r>
    <x v="4"/>
    <s v="AZE"/>
    <x v="1"/>
    <s v="EN.GHG.CO2.PC.CE.AR5"/>
    <x v="27"/>
    <n v="3"/>
    <x v="3"/>
  </r>
  <r>
    <x v="4"/>
    <s v="AZE"/>
    <x v="1"/>
    <s v="EN.GHG.CO2.PC.CE.AR5"/>
    <x v="28"/>
    <n v="3"/>
    <x v="3"/>
  </r>
  <r>
    <x v="4"/>
    <s v="AZE"/>
    <x v="1"/>
    <s v="EN.GHG.CO2.PC.CE.AR5"/>
    <x v="29"/>
    <n v="4"/>
    <x v="3"/>
  </r>
  <r>
    <x v="4"/>
    <s v="AZE"/>
    <x v="1"/>
    <s v="EN.GHG.CO2.PC.CE.AR5"/>
    <x v="30"/>
    <n v="4"/>
    <x v="3"/>
  </r>
  <r>
    <x v="4"/>
    <s v="AZE"/>
    <x v="1"/>
    <s v="EN.GHG.CO2.PC.CE.AR5"/>
    <x v="31"/>
    <n v="4"/>
    <x v="3"/>
  </r>
  <r>
    <x v="4"/>
    <s v="AZE"/>
    <x v="1"/>
    <s v="EN.GHG.CO2.PC.CE.AR5"/>
    <x v="32"/>
    <n v="4"/>
    <x v="4"/>
  </r>
  <r>
    <x v="4"/>
    <s v="AZE"/>
    <x v="1"/>
    <s v="EN.GHG.CO2.PC.CE.AR5"/>
    <x v="33"/>
    <n v="4"/>
    <x v="4"/>
  </r>
  <r>
    <x v="4"/>
    <s v="AZE"/>
    <x v="1"/>
    <s v="EN.GHG.CO2.PC.CE.AR5"/>
    <x v="54"/>
    <n v="4"/>
    <x v="4"/>
  </r>
  <r>
    <x v="5"/>
    <s v="BEL"/>
    <x v="1"/>
    <s v="EN.GHG.CO2.PC.CE.AR5"/>
    <x v="34"/>
    <n v="14"/>
    <x v="4"/>
  </r>
  <r>
    <x v="5"/>
    <s v="BEL"/>
    <x v="1"/>
    <s v="EN.GHG.CO2.PC.CE.AR5"/>
    <x v="35"/>
    <n v="13"/>
    <x v="4"/>
  </r>
  <r>
    <x v="5"/>
    <s v="BEL"/>
    <x v="1"/>
    <s v="EN.GHG.CO2.PC.CE.AR5"/>
    <x v="36"/>
    <n v="15"/>
    <x v="4"/>
  </r>
  <r>
    <x v="5"/>
    <s v="BEL"/>
    <x v="1"/>
    <s v="EN.GHG.CO2.PC.CE.AR5"/>
    <x v="37"/>
    <n v="15"/>
    <x v="4"/>
  </r>
  <r>
    <x v="5"/>
    <s v="BEL"/>
    <x v="1"/>
    <s v="EN.GHG.CO2.PC.CE.AR5"/>
    <x v="38"/>
    <n v="15"/>
    <x v="4"/>
  </r>
  <r>
    <x v="5"/>
    <s v="BEL"/>
    <x v="1"/>
    <s v="EN.GHG.CO2.PC.CE.AR5"/>
    <x v="39"/>
    <n v="13"/>
    <x v="4"/>
  </r>
  <r>
    <x v="5"/>
    <s v="BEL"/>
    <x v="1"/>
    <s v="EN.GHG.CO2.PC.CE.AR5"/>
    <x v="40"/>
    <n v="14"/>
    <x v="4"/>
  </r>
  <r>
    <x v="5"/>
    <s v="BEL"/>
    <x v="1"/>
    <s v="EN.GHG.CO2.PC.CE.AR5"/>
    <x v="41"/>
    <n v="14"/>
    <x v="5"/>
  </r>
  <r>
    <x v="5"/>
    <s v="BEL"/>
    <x v="1"/>
    <s v="EN.GHG.CO2.PC.CE.AR5"/>
    <x v="42"/>
    <n v="14"/>
    <x v="5"/>
  </r>
  <r>
    <x v="5"/>
    <s v="BEL"/>
    <x v="1"/>
    <s v="EN.GHG.CO2.PC.CE.AR5"/>
    <x v="43"/>
    <n v="15"/>
    <x v="5"/>
  </r>
  <r>
    <x v="5"/>
    <s v="BEL"/>
    <x v="1"/>
    <s v="EN.GHG.CO2.PC.CE.AR5"/>
    <x v="44"/>
    <n v="14"/>
    <x v="5"/>
  </r>
  <r>
    <x v="5"/>
    <s v="BEL"/>
    <x v="1"/>
    <s v="EN.GHG.CO2.PC.CE.AR5"/>
    <x v="45"/>
    <n v="13"/>
    <x v="5"/>
  </r>
  <r>
    <x v="5"/>
    <s v="BEL"/>
    <x v="1"/>
    <s v="EN.GHG.CO2.PC.CE.AR5"/>
    <x v="46"/>
    <n v="12"/>
    <x v="5"/>
  </r>
  <r>
    <x v="5"/>
    <s v="BEL"/>
    <x v="1"/>
    <s v="EN.GHG.CO2.PC.CE.AR5"/>
    <x v="47"/>
    <n v="11"/>
    <x v="5"/>
  </r>
  <r>
    <x v="5"/>
    <s v="BEL"/>
    <x v="1"/>
    <s v="EN.GHG.CO2.PC.CE.AR5"/>
    <x v="48"/>
    <n v="11"/>
    <x v="5"/>
  </r>
  <r>
    <x v="5"/>
    <s v="BEL"/>
    <x v="1"/>
    <s v="EN.GHG.CO2.PC.CE.AR5"/>
    <x v="49"/>
    <n v="11"/>
    <x v="5"/>
  </r>
  <r>
    <x v="5"/>
    <s v="BEL"/>
    <x v="1"/>
    <s v="EN.GHG.CO2.PC.CE.AR5"/>
    <x v="50"/>
    <n v="11"/>
    <x v="5"/>
  </r>
  <r>
    <x v="5"/>
    <s v="BEL"/>
    <x v="1"/>
    <s v="EN.GHG.CO2.PC.CE.AR5"/>
    <x v="51"/>
    <n v="11"/>
    <x v="0"/>
  </r>
  <r>
    <x v="5"/>
    <s v="BEL"/>
    <x v="1"/>
    <s v="EN.GHG.CO2.PC.CE.AR5"/>
    <x v="52"/>
    <n v="11"/>
    <x v="0"/>
  </r>
  <r>
    <x v="5"/>
    <s v="BEL"/>
    <x v="1"/>
    <s v="EN.GHG.CO2.PC.CE.AR5"/>
    <x v="53"/>
    <n v="11"/>
    <x v="0"/>
  </r>
  <r>
    <x v="5"/>
    <s v="BEL"/>
    <x v="1"/>
    <s v="EN.GHG.CO2.PC.CE.AR5"/>
    <x v="0"/>
    <n v="12"/>
    <x v="0"/>
  </r>
  <r>
    <x v="5"/>
    <s v="BEL"/>
    <x v="1"/>
    <s v="EN.GHG.CO2.PC.CE.AR5"/>
    <x v="1"/>
    <n v="12"/>
    <x v="0"/>
  </r>
  <r>
    <x v="5"/>
    <s v="BEL"/>
    <x v="1"/>
    <s v="EN.GHG.CO2.PC.CE.AR5"/>
    <x v="2"/>
    <n v="12"/>
    <x v="0"/>
  </r>
  <r>
    <x v="5"/>
    <s v="BEL"/>
    <x v="1"/>
    <s v="EN.GHG.CO2.PC.CE.AR5"/>
    <x v="3"/>
    <n v="11"/>
    <x v="0"/>
  </r>
  <r>
    <x v="5"/>
    <s v="BEL"/>
    <x v="1"/>
    <s v="EN.GHG.CO2.PC.CE.AR5"/>
    <x v="4"/>
    <n v="12"/>
    <x v="0"/>
  </r>
  <r>
    <x v="5"/>
    <s v="BEL"/>
    <x v="1"/>
    <s v="EN.GHG.CO2.PC.CE.AR5"/>
    <x v="5"/>
    <n v="12"/>
    <x v="0"/>
  </r>
  <r>
    <x v="5"/>
    <s v="BEL"/>
    <x v="1"/>
    <s v="EN.GHG.CO2.PC.CE.AR5"/>
    <x v="6"/>
    <n v="13"/>
    <x v="0"/>
  </r>
  <r>
    <x v="5"/>
    <s v="BEL"/>
    <x v="1"/>
    <s v="EN.GHG.CO2.PC.CE.AR5"/>
    <x v="7"/>
    <n v="12"/>
    <x v="1"/>
  </r>
  <r>
    <x v="5"/>
    <s v="BEL"/>
    <x v="1"/>
    <s v="EN.GHG.CO2.PC.CE.AR5"/>
    <x v="8"/>
    <n v="12"/>
    <x v="1"/>
  </r>
  <r>
    <x v="5"/>
    <s v="BEL"/>
    <x v="1"/>
    <s v="EN.GHG.CO2.PC.CE.AR5"/>
    <x v="9"/>
    <n v="12"/>
    <x v="1"/>
  </r>
  <r>
    <x v="5"/>
    <s v="BEL"/>
    <x v="1"/>
    <s v="EN.GHG.CO2.PC.CE.AR5"/>
    <x v="10"/>
    <n v="12"/>
    <x v="1"/>
  </r>
  <r>
    <x v="5"/>
    <s v="BEL"/>
    <x v="1"/>
    <s v="EN.GHG.CO2.PC.CE.AR5"/>
    <x v="11"/>
    <n v="12"/>
    <x v="1"/>
  </r>
  <r>
    <x v="5"/>
    <s v="BEL"/>
    <x v="1"/>
    <s v="EN.GHG.CO2.PC.CE.AR5"/>
    <x v="12"/>
    <n v="11"/>
    <x v="1"/>
  </r>
  <r>
    <x v="5"/>
    <s v="BEL"/>
    <x v="1"/>
    <s v="EN.GHG.CO2.PC.CE.AR5"/>
    <x v="13"/>
    <n v="12"/>
    <x v="1"/>
  </r>
  <r>
    <x v="5"/>
    <s v="BEL"/>
    <x v="1"/>
    <s v="EN.GHG.CO2.PC.CE.AR5"/>
    <x v="14"/>
    <n v="12"/>
    <x v="1"/>
  </r>
  <r>
    <x v="5"/>
    <s v="BEL"/>
    <x v="1"/>
    <s v="EN.GHG.CO2.PC.CE.AR5"/>
    <x v="15"/>
    <n v="11"/>
    <x v="1"/>
  </r>
  <r>
    <x v="5"/>
    <s v="BEL"/>
    <x v="1"/>
    <s v="EN.GHG.CO2.PC.CE.AR5"/>
    <x v="16"/>
    <n v="11"/>
    <x v="1"/>
  </r>
  <r>
    <x v="5"/>
    <s v="BEL"/>
    <x v="1"/>
    <s v="EN.GHG.CO2.PC.CE.AR5"/>
    <x v="17"/>
    <n v="11"/>
    <x v="2"/>
  </r>
  <r>
    <x v="5"/>
    <s v="BEL"/>
    <x v="1"/>
    <s v="EN.GHG.CO2.PC.CE.AR5"/>
    <x v="18"/>
    <n v="11"/>
    <x v="2"/>
  </r>
  <r>
    <x v="5"/>
    <s v="BEL"/>
    <x v="1"/>
    <s v="EN.GHG.CO2.PC.CE.AR5"/>
    <x v="19"/>
    <n v="10"/>
    <x v="2"/>
  </r>
  <r>
    <x v="5"/>
    <s v="BEL"/>
    <x v="1"/>
    <s v="EN.GHG.CO2.PC.CE.AR5"/>
    <x v="20"/>
    <n v="11"/>
    <x v="2"/>
  </r>
  <r>
    <x v="5"/>
    <s v="BEL"/>
    <x v="1"/>
    <s v="EN.GHG.CO2.PC.CE.AR5"/>
    <x v="21"/>
    <n v="9"/>
    <x v="2"/>
  </r>
  <r>
    <x v="5"/>
    <s v="BEL"/>
    <x v="1"/>
    <s v="EN.GHG.CO2.PC.CE.AR5"/>
    <x v="22"/>
    <n v="9"/>
    <x v="2"/>
  </r>
  <r>
    <x v="5"/>
    <s v="BEL"/>
    <x v="1"/>
    <s v="EN.GHG.CO2.PC.CE.AR5"/>
    <x v="23"/>
    <n v="9"/>
    <x v="2"/>
  </r>
  <r>
    <x v="5"/>
    <s v="BEL"/>
    <x v="1"/>
    <s v="EN.GHG.CO2.PC.CE.AR5"/>
    <x v="24"/>
    <n v="9"/>
    <x v="2"/>
  </r>
  <r>
    <x v="5"/>
    <s v="BEL"/>
    <x v="1"/>
    <s v="EN.GHG.CO2.PC.CE.AR5"/>
    <x v="25"/>
    <n v="9"/>
    <x v="2"/>
  </r>
  <r>
    <x v="5"/>
    <s v="BEL"/>
    <x v="1"/>
    <s v="EN.GHG.CO2.PC.CE.AR5"/>
    <x v="26"/>
    <n v="9"/>
    <x v="2"/>
  </r>
  <r>
    <x v="5"/>
    <s v="BEL"/>
    <x v="1"/>
    <s v="EN.GHG.CO2.PC.CE.AR5"/>
    <x v="27"/>
    <n v="9"/>
    <x v="3"/>
  </r>
  <r>
    <x v="5"/>
    <s v="BEL"/>
    <x v="1"/>
    <s v="EN.GHG.CO2.PC.CE.AR5"/>
    <x v="28"/>
    <n v="9"/>
    <x v="3"/>
  </r>
  <r>
    <x v="5"/>
    <s v="BEL"/>
    <x v="1"/>
    <s v="EN.GHG.CO2.PC.CE.AR5"/>
    <x v="29"/>
    <n v="9"/>
    <x v="3"/>
  </r>
  <r>
    <x v="5"/>
    <s v="BEL"/>
    <x v="1"/>
    <s v="EN.GHG.CO2.PC.CE.AR5"/>
    <x v="30"/>
    <n v="8"/>
    <x v="3"/>
  </r>
  <r>
    <x v="5"/>
    <s v="BEL"/>
    <x v="1"/>
    <s v="EN.GHG.CO2.PC.CE.AR5"/>
    <x v="31"/>
    <n v="8"/>
    <x v="3"/>
  </r>
  <r>
    <x v="5"/>
    <s v="BEL"/>
    <x v="1"/>
    <s v="EN.GHG.CO2.PC.CE.AR5"/>
    <x v="32"/>
    <n v="8"/>
    <x v="4"/>
  </r>
  <r>
    <x v="5"/>
    <s v="BEL"/>
    <x v="1"/>
    <s v="EN.GHG.CO2.PC.CE.AR5"/>
    <x v="33"/>
    <n v="7"/>
    <x v="4"/>
  </r>
  <r>
    <x v="5"/>
    <s v="BEL"/>
    <x v="1"/>
    <s v="EN.GHG.CO2.PC.CE.AR5"/>
    <x v="54"/>
    <n v="7"/>
    <x v="4"/>
  </r>
  <r>
    <x v="6"/>
    <s v="BGR"/>
    <x v="1"/>
    <s v="EN.GHG.CO2.PC.CE.AR5"/>
    <x v="34"/>
    <n v="8"/>
    <x v="4"/>
  </r>
  <r>
    <x v="6"/>
    <s v="BGR"/>
    <x v="1"/>
    <s v="EN.GHG.CO2.PC.CE.AR5"/>
    <x v="35"/>
    <n v="8"/>
    <x v="4"/>
  </r>
  <r>
    <x v="6"/>
    <s v="BGR"/>
    <x v="1"/>
    <s v="EN.GHG.CO2.PC.CE.AR5"/>
    <x v="36"/>
    <n v="8"/>
    <x v="4"/>
  </r>
  <r>
    <x v="6"/>
    <s v="BGR"/>
    <x v="1"/>
    <s v="EN.GHG.CO2.PC.CE.AR5"/>
    <x v="37"/>
    <n v="8"/>
    <x v="4"/>
  </r>
  <r>
    <x v="6"/>
    <s v="BGR"/>
    <x v="1"/>
    <s v="EN.GHG.CO2.PC.CE.AR5"/>
    <x v="38"/>
    <n v="8"/>
    <x v="4"/>
  </r>
  <r>
    <x v="6"/>
    <s v="BGR"/>
    <x v="1"/>
    <s v="EN.GHG.CO2.PC.CE.AR5"/>
    <x v="39"/>
    <n v="9"/>
    <x v="4"/>
  </r>
  <r>
    <x v="6"/>
    <s v="BGR"/>
    <x v="1"/>
    <s v="EN.GHG.CO2.PC.CE.AR5"/>
    <x v="40"/>
    <n v="9"/>
    <x v="4"/>
  </r>
  <r>
    <x v="6"/>
    <s v="BGR"/>
    <x v="1"/>
    <s v="EN.GHG.CO2.PC.CE.AR5"/>
    <x v="41"/>
    <n v="9"/>
    <x v="5"/>
  </r>
  <r>
    <x v="6"/>
    <s v="BGR"/>
    <x v="1"/>
    <s v="EN.GHG.CO2.PC.CE.AR5"/>
    <x v="42"/>
    <n v="10"/>
    <x v="5"/>
  </r>
  <r>
    <x v="6"/>
    <s v="BGR"/>
    <x v="1"/>
    <s v="EN.GHG.CO2.PC.CE.AR5"/>
    <x v="43"/>
    <n v="10"/>
    <x v="5"/>
  </r>
  <r>
    <x v="6"/>
    <s v="BGR"/>
    <x v="1"/>
    <s v="EN.GHG.CO2.PC.CE.AR5"/>
    <x v="44"/>
    <n v="11"/>
    <x v="5"/>
  </r>
  <r>
    <x v="6"/>
    <s v="BGR"/>
    <x v="1"/>
    <s v="EN.GHG.CO2.PC.CE.AR5"/>
    <x v="45"/>
    <n v="10"/>
    <x v="5"/>
  </r>
  <r>
    <x v="6"/>
    <s v="BGR"/>
    <x v="1"/>
    <s v="EN.GHG.CO2.PC.CE.AR5"/>
    <x v="46"/>
    <n v="10"/>
    <x v="5"/>
  </r>
  <r>
    <x v="6"/>
    <s v="BGR"/>
    <x v="1"/>
    <s v="EN.GHG.CO2.PC.CE.AR5"/>
    <x v="47"/>
    <n v="10"/>
    <x v="5"/>
  </r>
  <r>
    <x v="6"/>
    <s v="BGR"/>
    <x v="1"/>
    <s v="EN.GHG.CO2.PC.CE.AR5"/>
    <x v="48"/>
    <n v="10"/>
    <x v="5"/>
  </r>
  <r>
    <x v="6"/>
    <s v="BGR"/>
    <x v="1"/>
    <s v="EN.GHG.CO2.PC.CE.AR5"/>
    <x v="49"/>
    <n v="10"/>
    <x v="5"/>
  </r>
  <r>
    <x v="6"/>
    <s v="BGR"/>
    <x v="1"/>
    <s v="EN.GHG.CO2.PC.CE.AR5"/>
    <x v="50"/>
    <n v="10"/>
    <x v="5"/>
  </r>
  <r>
    <x v="6"/>
    <s v="BGR"/>
    <x v="1"/>
    <s v="EN.GHG.CO2.PC.CE.AR5"/>
    <x v="51"/>
    <n v="10"/>
    <x v="0"/>
  </r>
  <r>
    <x v="6"/>
    <s v="BGR"/>
    <x v="1"/>
    <s v="EN.GHG.CO2.PC.CE.AR5"/>
    <x v="52"/>
    <n v="10"/>
    <x v="0"/>
  </r>
  <r>
    <x v="6"/>
    <s v="BGR"/>
    <x v="1"/>
    <s v="EN.GHG.CO2.PC.CE.AR5"/>
    <x v="53"/>
    <n v="10"/>
    <x v="0"/>
  </r>
  <r>
    <x v="6"/>
    <s v="BGR"/>
    <x v="1"/>
    <s v="EN.GHG.CO2.PC.CE.AR5"/>
    <x v="0"/>
    <n v="9"/>
    <x v="0"/>
  </r>
  <r>
    <x v="6"/>
    <s v="BGR"/>
    <x v="1"/>
    <s v="EN.GHG.CO2.PC.CE.AR5"/>
    <x v="1"/>
    <n v="8"/>
    <x v="0"/>
  </r>
  <r>
    <x v="6"/>
    <s v="BGR"/>
    <x v="1"/>
    <s v="EN.GHG.CO2.PC.CE.AR5"/>
    <x v="2"/>
    <n v="7"/>
    <x v="0"/>
  </r>
  <r>
    <x v="6"/>
    <s v="BGR"/>
    <x v="1"/>
    <s v="EN.GHG.CO2.PC.CE.AR5"/>
    <x v="3"/>
    <n v="7"/>
    <x v="0"/>
  </r>
  <r>
    <x v="6"/>
    <s v="BGR"/>
    <x v="1"/>
    <s v="EN.GHG.CO2.PC.CE.AR5"/>
    <x v="4"/>
    <n v="7"/>
    <x v="0"/>
  </r>
  <r>
    <x v="6"/>
    <s v="BGR"/>
    <x v="1"/>
    <s v="EN.GHG.CO2.PC.CE.AR5"/>
    <x v="5"/>
    <n v="7"/>
    <x v="0"/>
  </r>
  <r>
    <x v="6"/>
    <s v="BGR"/>
    <x v="1"/>
    <s v="EN.GHG.CO2.PC.CE.AR5"/>
    <x v="6"/>
    <n v="7"/>
    <x v="0"/>
  </r>
  <r>
    <x v="6"/>
    <s v="BGR"/>
    <x v="1"/>
    <s v="EN.GHG.CO2.PC.CE.AR5"/>
    <x v="7"/>
    <n v="7"/>
    <x v="1"/>
  </r>
  <r>
    <x v="6"/>
    <s v="BGR"/>
    <x v="1"/>
    <s v="EN.GHG.CO2.PC.CE.AR5"/>
    <x v="8"/>
    <n v="7"/>
    <x v="1"/>
  </r>
  <r>
    <x v="6"/>
    <s v="BGR"/>
    <x v="1"/>
    <s v="EN.GHG.CO2.PC.CE.AR5"/>
    <x v="9"/>
    <n v="6"/>
    <x v="1"/>
  </r>
  <r>
    <x v="6"/>
    <s v="BGR"/>
    <x v="1"/>
    <s v="EN.GHG.CO2.PC.CE.AR5"/>
    <x v="10"/>
    <n v="6"/>
    <x v="1"/>
  </r>
  <r>
    <x v="6"/>
    <s v="BGR"/>
    <x v="1"/>
    <s v="EN.GHG.CO2.PC.CE.AR5"/>
    <x v="11"/>
    <n v="6"/>
    <x v="1"/>
  </r>
  <r>
    <x v="6"/>
    <s v="BGR"/>
    <x v="1"/>
    <s v="EN.GHG.CO2.PC.CE.AR5"/>
    <x v="12"/>
    <n v="6"/>
    <x v="1"/>
  </r>
  <r>
    <x v="6"/>
    <s v="BGR"/>
    <x v="1"/>
    <s v="EN.GHG.CO2.PC.CE.AR5"/>
    <x v="13"/>
    <n v="7"/>
    <x v="1"/>
  </r>
  <r>
    <x v="6"/>
    <s v="BGR"/>
    <x v="1"/>
    <s v="EN.GHG.CO2.PC.CE.AR5"/>
    <x v="14"/>
    <n v="7"/>
    <x v="1"/>
  </r>
  <r>
    <x v="6"/>
    <s v="BGR"/>
    <x v="1"/>
    <s v="EN.GHG.CO2.PC.CE.AR5"/>
    <x v="15"/>
    <n v="7"/>
    <x v="1"/>
  </r>
  <r>
    <x v="6"/>
    <s v="BGR"/>
    <x v="1"/>
    <s v="EN.GHG.CO2.PC.CE.AR5"/>
    <x v="16"/>
    <n v="7"/>
    <x v="1"/>
  </r>
  <r>
    <x v="6"/>
    <s v="BGR"/>
    <x v="1"/>
    <s v="EN.GHG.CO2.PC.CE.AR5"/>
    <x v="17"/>
    <n v="8"/>
    <x v="2"/>
  </r>
  <r>
    <x v="6"/>
    <s v="BGR"/>
    <x v="1"/>
    <s v="EN.GHG.CO2.PC.CE.AR5"/>
    <x v="18"/>
    <n v="7"/>
    <x v="2"/>
  </r>
  <r>
    <x v="6"/>
    <s v="BGR"/>
    <x v="1"/>
    <s v="EN.GHG.CO2.PC.CE.AR5"/>
    <x v="19"/>
    <n v="6"/>
    <x v="2"/>
  </r>
  <r>
    <x v="6"/>
    <s v="BGR"/>
    <x v="1"/>
    <s v="EN.GHG.CO2.PC.CE.AR5"/>
    <x v="20"/>
    <n v="7"/>
    <x v="2"/>
  </r>
  <r>
    <x v="6"/>
    <s v="BGR"/>
    <x v="1"/>
    <s v="EN.GHG.CO2.PC.CE.AR5"/>
    <x v="21"/>
    <n v="7"/>
    <x v="2"/>
  </r>
  <r>
    <x v="6"/>
    <s v="BGR"/>
    <x v="1"/>
    <s v="EN.GHG.CO2.PC.CE.AR5"/>
    <x v="22"/>
    <n v="7"/>
    <x v="2"/>
  </r>
  <r>
    <x v="6"/>
    <s v="BGR"/>
    <x v="1"/>
    <s v="EN.GHG.CO2.PC.CE.AR5"/>
    <x v="23"/>
    <n v="6"/>
    <x v="2"/>
  </r>
  <r>
    <x v="6"/>
    <s v="BGR"/>
    <x v="1"/>
    <s v="EN.GHG.CO2.PC.CE.AR5"/>
    <x v="24"/>
    <n v="7"/>
    <x v="2"/>
  </r>
  <r>
    <x v="6"/>
    <s v="BGR"/>
    <x v="1"/>
    <s v="EN.GHG.CO2.PC.CE.AR5"/>
    <x v="25"/>
    <n v="7"/>
    <x v="2"/>
  </r>
  <r>
    <x v="6"/>
    <s v="BGR"/>
    <x v="1"/>
    <s v="EN.GHG.CO2.PC.CE.AR5"/>
    <x v="26"/>
    <n v="7"/>
    <x v="2"/>
  </r>
  <r>
    <x v="6"/>
    <s v="BGR"/>
    <x v="1"/>
    <s v="EN.GHG.CO2.PC.CE.AR5"/>
    <x v="27"/>
    <n v="7"/>
    <x v="3"/>
  </r>
  <r>
    <x v="6"/>
    <s v="BGR"/>
    <x v="1"/>
    <s v="EN.GHG.CO2.PC.CE.AR5"/>
    <x v="28"/>
    <n v="7"/>
    <x v="3"/>
  </r>
  <r>
    <x v="6"/>
    <s v="BGR"/>
    <x v="1"/>
    <s v="EN.GHG.CO2.PC.CE.AR5"/>
    <x v="29"/>
    <n v="7"/>
    <x v="3"/>
  </r>
  <r>
    <x v="6"/>
    <s v="BGR"/>
    <x v="1"/>
    <s v="EN.GHG.CO2.PC.CE.AR5"/>
    <x v="30"/>
    <n v="6"/>
    <x v="3"/>
  </r>
  <r>
    <x v="6"/>
    <s v="BGR"/>
    <x v="1"/>
    <s v="EN.GHG.CO2.PC.CE.AR5"/>
    <x v="31"/>
    <n v="7"/>
    <x v="3"/>
  </r>
  <r>
    <x v="6"/>
    <s v="BGR"/>
    <x v="1"/>
    <s v="EN.GHG.CO2.PC.CE.AR5"/>
    <x v="32"/>
    <n v="8"/>
    <x v="4"/>
  </r>
  <r>
    <x v="6"/>
    <s v="BGR"/>
    <x v="1"/>
    <s v="EN.GHG.CO2.PC.CE.AR5"/>
    <x v="33"/>
    <n v="6"/>
    <x v="4"/>
  </r>
  <r>
    <x v="6"/>
    <s v="BGR"/>
    <x v="1"/>
    <s v="EN.GHG.CO2.PC.CE.AR5"/>
    <x v="54"/>
    <n v="5"/>
    <x v="4"/>
  </r>
  <r>
    <x v="7"/>
    <s v="BIH"/>
    <x v="1"/>
    <s v="EN.GHG.CO2.PC.CE.AR5"/>
    <x v="34"/>
    <n v="3"/>
    <x v="4"/>
  </r>
  <r>
    <x v="7"/>
    <s v="BIH"/>
    <x v="1"/>
    <s v="EN.GHG.CO2.PC.CE.AR5"/>
    <x v="35"/>
    <n v="3"/>
    <x v="4"/>
  </r>
  <r>
    <x v="7"/>
    <s v="BIH"/>
    <x v="1"/>
    <s v="EN.GHG.CO2.PC.CE.AR5"/>
    <x v="36"/>
    <n v="3"/>
    <x v="4"/>
  </r>
  <r>
    <x v="7"/>
    <s v="BIH"/>
    <x v="1"/>
    <s v="EN.GHG.CO2.PC.CE.AR5"/>
    <x v="37"/>
    <n v="3"/>
    <x v="4"/>
  </r>
  <r>
    <x v="7"/>
    <s v="BIH"/>
    <x v="1"/>
    <s v="EN.GHG.CO2.PC.CE.AR5"/>
    <x v="38"/>
    <n v="3"/>
    <x v="4"/>
  </r>
  <r>
    <x v="7"/>
    <s v="BIH"/>
    <x v="1"/>
    <s v="EN.GHG.CO2.PC.CE.AR5"/>
    <x v="39"/>
    <n v="3"/>
    <x v="4"/>
  </r>
  <r>
    <x v="7"/>
    <s v="BIH"/>
    <x v="1"/>
    <s v="EN.GHG.CO2.PC.CE.AR5"/>
    <x v="40"/>
    <n v="3"/>
    <x v="4"/>
  </r>
  <r>
    <x v="7"/>
    <s v="BIH"/>
    <x v="1"/>
    <s v="EN.GHG.CO2.PC.CE.AR5"/>
    <x v="41"/>
    <n v="3"/>
    <x v="5"/>
  </r>
  <r>
    <x v="7"/>
    <s v="BIH"/>
    <x v="1"/>
    <s v="EN.GHG.CO2.PC.CE.AR5"/>
    <x v="42"/>
    <n v="4"/>
    <x v="5"/>
  </r>
  <r>
    <x v="7"/>
    <s v="BIH"/>
    <x v="1"/>
    <s v="EN.GHG.CO2.PC.CE.AR5"/>
    <x v="43"/>
    <n v="4"/>
    <x v="5"/>
  </r>
  <r>
    <x v="7"/>
    <s v="BIH"/>
    <x v="1"/>
    <s v="EN.GHG.CO2.PC.CE.AR5"/>
    <x v="44"/>
    <n v="4"/>
    <x v="5"/>
  </r>
  <r>
    <x v="7"/>
    <s v="BIH"/>
    <x v="1"/>
    <s v="EN.GHG.CO2.PC.CE.AR5"/>
    <x v="45"/>
    <n v="4"/>
    <x v="5"/>
  </r>
  <r>
    <x v="7"/>
    <s v="BIH"/>
    <x v="1"/>
    <s v="EN.GHG.CO2.PC.CE.AR5"/>
    <x v="46"/>
    <n v="4"/>
    <x v="5"/>
  </r>
  <r>
    <x v="7"/>
    <s v="BIH"/>
    <x v="1"/>
    <s v="EN.GHG.CO2.PC.CE.AR5"/>
    <x v="47"/>
    <n v="4"/>
    <x v="5"/>
  </r>
  <r>
    <x v="7"/>
    <s v="BIH"/>
    <x v="1"/>
    <s v="EN.GHG.CO2.PC.CE.AR5"/>
    <x v="48"/>
    <n v="4"/>
    <x v="5"/>
  </r>
  <r>
    <x v="7"/>
    <s v="BIH"/>
    <x v="1"/>
    <s v="EN.GHG.CO2.PC.CE.AR5"/>
    <x v="49"/>
    <n v="5"/>
    <x v="5"/>
  </r>
  <r>
    <x v="7"/>
    <s v="BIH"/>
    <x v="1"/>
    <s v="EN.GHG.CO2.PC.CE.AR5"/>
    <x v="50"/>
    <n v="5"/>
    <x v="5"/>
  </r>
  <r>
    <x v="7"/>
    <s v="BIH"/>
    <x v="1"/>
    <s v="EN.GHG.CO2.PC.CE.AR5"/>
    <x v="51"/>
    <n v="4"/>
    <x v="0"/>
  </r>
  <r>
    <x v="7"/>
    <s v="BIH"/>
    <x v="1"/>
    <s v="EN.GHG.CO2.PC.CE.AR5"/>
    <x v="52"/>
    <n v="4"/>
    <x v="0"/>
  </r>
  <r>
    <x v="7"/>
    <s v="BIH"/>
    <x v="1"/>
    <s v="EN.GHG.CO2.PC.CE.AR5"/>
    <x v="53"/>
    <n v="4"/>
    <x v="0"/>
  </r>
  <r>
    <x v="7"/>
    <s v="BIH"/>
    <x v="1"/>
    <s v="EN.GHG.CO2.PC.CE.AR5"/>
    <x v="0"/>
    <n v="6"/>
    <x v="0"/>
  </r>
  <r>
    <x v="7"/>
    <s v="BIH"/>
    <x v="1"/>
    <s v="EN.GHG.CO2.PC.CE.AR5"/>
    <x v="1"/>
    <n v="5"/>
    <x v="0"/>
  </r>
  <r>
    <x v="7"/>
    <s v="BIH"/>
    <x v="1"/>
    <s v="EN.GHG.CO2.PC.CE.AR5"/>
    <x v="2"/>
    <n v="4"/>
    <x v="0"/>
  </r>
  <r>
    <x v="7"/>
    <s v="BIH"/>
    <x v="1"/>
    <s v="EN.GHG.CO2.PC.CE.AR5"/>
    <x v="3"/>
    <n v="3"/>
    <x v="0"/>
  </r>
  <r>
    <x v="7"/>
    <s v="BIH"/>
    <x v="1"/>
    <s v="EN.GHG.CO2.PC.CE.AR5"/>
    <x v="4"/>
    <n v="1"/>
    <x v="0"/>
  </r>
  <r>
    <x v="7"/>
    <s v="BIH"/>
    <x v="1"/>
    <s v="EN.GHG.CO2.PC.CE.AR5"/>
    <x v="5"/>
    <n v="1"/>
    <x v="0"/>
  </r>
  <r>
    <x v="7"/>
    <s v="BIH"/>
    <x v="1"/>
    <s v="EN.GHG.CO2.PC.CE.AR5"/>
    <x v="6"/>
    <n v="1"/>
    <x v="0"/>
  </r>
  <r>
    <x v="7"/>
    <s v="BIH"/>
    <x v="1"/>
    <s v="EN.GHG.CO2.PC.CE.AR5"/>
    <x v="7"/>
    <n v="2"/>
    <x v="1"/>
  </r>
  <r>
    <x v="7"/>
    <s v="BIH"/>
    <x v="1"/>
    <s v="EN.GHG.CO2.PC.CE.AR5"/>
    <x v="8"/>
    <n v="3"/>
    <x v="1"/>
  </r>
  <r>
    <x v="7"/>
    <s v="BIH"/>
    <x v="1"/>
    <s v="EN.GHG.CO2.PC.CE.AR5"/>
    <x v="9"/>
    <n v="3"/>
    <x v="1"/>
  </r>
  <r>
    <x v="7"/>
    <s v="BIH"/>
    <x v="1"/>
    <s v="EN.GHG.CO2.PC.CE.AR5"/>
    <x v="10"/>
    <n v="3"/>
    <x v="1"/>
  </r>
  <r>
    <x v="7"/>
    <s v="BIH"/>
    <x v="1"/>
    <s v="EN.GHG.CO2.PC.CE.AR5"/>
    <x v="11"/>
    <n v="3"/>
    <x v="1"/>
  </r>
  <r>
    <x v="7"/>
    <s v="BIH"/>
    <x v="1"/>
    <s v="EN.GHG.CO2.PC.CE.AR5"/>
    <x v="12"/>
    <n v="4"/>
    <x v="1"/>
  </r>
  <r>
    <x v="7"/>
    <s v="BIH"/>
    <x v="1"/>
    <s v="EN.GHG.CO2.PC.CE.AR5"/>
    <x v="13"/>
    <n v="4"/>
    <x v="1"/>
  </r>
  <r>
    <x v="7"/>
    <s v="BIH"/>
    <x v="1"/>
    <s v="EN.GHG.CO2.PC.CE.AR5"/>
    <x v="14"/>
    <n v="4"/>
    <x v="1"/>
  </r>
  <r>
    <x v="7"/>
    <s v="BIH"/>
    <x v="1"/>
    <s v="EN.GHG.CO2.PC.CE.AR5"/>
    <x v="15"/>
    <n v="4"/>
    <x v="1"/>
  </r>
  <r>
    <x v="7"/>
    <s v="BIH"/>
    <x v="1"/>
    <s v="EN.GHG.CO2.PC.CE.AR5"/>
    <x v="16"/>
    <n v="5"/>
    <x v="1"/>
  </r>
  <r>
    <x v="7"/>
    <s v="BIH"/>
    <x v="1"/>
    <s v="EN.GHG.CO2.PC.CE.AR5"/>
    <x v="17"/>
    <n v="5"/>
    <x v="2"/>
  </r>
  <r>
    <x v="7"/>
    <s v="BIH"/>
    <x v="1"/>
    <s v="EN.GHG.CO2.PC.CE.AR5"/>
    <x v="18"/>
    <n v="5"/>
    <x v="2"/>
  </r>
  <r>
    <x v="7"/>
    <s v="BIH"/>
    <x v="1"/>
    <s v="EN.GHG.CO2.PC.CE.AR5"/>
    <x v="19"/>
    <n v="6"/>
    <x v="2"/>
  </r>
  <r>
    <x v="7"/>
    <s v="BIH"/>
    <x v="1"/>
    <s v="EN.GHG.CO2.PC.CE.AR5"/>
    <x v="20"/>
    <n v="6"/>
    <x v="2"/>
  </r>
  <r>
    <x v="7"/>
    <s v="BIH"/>
    <x v="1"/>
    <s v="EN.GHG.CO2.PC.CE.AR5"/>
    <x v="21"/>
    <n v="7"/>
    <x v="2"/>
  </r>
  <r>
    <x v="7"/>
    <s v="BIH"/>
    <x v="1"/>
    <s v="EN.GHG.CO2.PC.CE.AR5"/>
    <x v="22"/>
    <n v="6"/>
    <x v="2"/>
  </r>
  <r>
    <x v="7"/>
    <s v="BIH"/>
    <x v="1"/>
    <s v="EN.GHG.CO2.PC.CE.AR5"/>
    <x v="23"/>
    <n v="6"/>
    <x v="2"/>
  </r>
  <r>
    <x v="7"/>
    <s v="BIH"/>
    <x v="1"/>
    <s v="EN.GHG.CO2.PC.CE.AR5"/>
    <x v="24"/>
    <n v="6"/>
    <x v="2"/>
  </r>
  <r>
    <x v="7"/>
    <s v="BIH"/>
    <x v="1"/>
    <s v="EN.GHG.CO2.PC.CE.AR5"/>
    <x v="25"/>
    <n v="6"/>
    <x v="2"/>
  </r>
  <r>
    <x v="7"/>
    <s v="BIH"/>
    <x v="1"/>
    <s v="EN.GHG.CO2.PC.CE.AR5"/>
    <x v="26"/>
    <n v="7"/>
    <x v="2"/>
  </r>
  <r>
    <x v="7"/>
    <s v="BIH"/>
    <x v="1"/>
    <s v="EN.GHG.CO2.PC.CE.AR5"/>
    <x v="27"/>
    <n v="7"/>
    <x v="3"/>
  </r>
  <r>
    <x v="7"/>
    <s v="BIH"/>
    <x v="1"/>
    <s v="EN.GHG.CO2.PC.CE.AR5"/>
    <x v="28"/>
    <n v="7"/>
    <x v="3"/>
  </r>
  <r>
    <x v="7"/>
    <s v="BIH"/>
    <x v="1"/>
    <s v="EN.GHG.CO2.PC.CE.AR5"/>
    <x v="29"/>
    <n v="7"/>
    <x v="3"/>
  </r>
  <r>
    <x v="7"/>
    <s v="BIH"/>
    <x v="1"/>
    <s v="EN.GHG.CO2.PC.CE.AR5"/>
    <x v="30"/>
    <n v="7"/>
    <x v="3"/>
  </r>
  <r>
    <x v="7"/>
    <s v="BIH"/>
    <x v="1"/>
    <s v="EN.GHG.CO2.PC.CE.AR5"/>
    <x v="31"/>
    <n v="7"/>
    <x v="3"/>
  </r>
  <r>
    <x v="7"/>
    <s v="BIH"/>
    <x v="1"/>
    <s v="EN.GHG.CO2.PC.CE.AR5"/>
    <x v="32"/>
    <n v="7"/>
    <x v="4"/>
  </r>
  <r>
    <x v="7"/>
    <s v="BIH"/>
    <x v="1"/>
    <s v="EN.GHG.CO2.PC.CE.AR5"/>
    <x v="33"/>
    <n v="7"/>
    <x v="4"/>
  </r>
  <r>
    <x v="7"/>
    <s v="BIH"/>
    <x v="1"/>
    <s v="EN.GHG.CO2.PC.CE.AR5"/>
    <x v="54"/>
    <n v="6"/>
    <x v="4"/>
  </r>
  <r>
    <x v="8"/>
    <s v="BLR"/>
    <x v="1"/>
    <s v="EN.GHG.CO2.PC.CE.AR5"/>
    <x v="34"/>
    <n v="7"/>
    <x v="4"/>
  </r>
  <r>
    <x v="8"/>
    <s v="BLR"/>
    <x v="1"/>
    <s v="EN.GHG.CO2.PC.CE.AR5"/>
    <x v="35"/>
    <n v="7"/>
    <x v="4"/>
  </r>
  <r>
    <x v="8"/>
    <s v="BLR"/>
    <x v="1"/>
    <s v="EN.GHG.CO2.PC.CE.AR5"/>
    <x v="36"/>
    <n v="7"/>
    <x v="4"/>
  </r>
  <r>
    <x v="8"/>
    <s v="BLR"/>
    <x v="1"/>
    <s v="EN.GHG.CO2.PC.CE.AR5"/>
    <x v="37"/>
    <n v="8"/>
    <x v="4"/>
  </r>
  <r>
    <x v="8"/>
    <s v="BLR"/>
    <x v="1"/>
    <s v="EN.GHG.CO2.PC.CE.AR5"/>
    <x v="38"/>
    <n v="8"/>
    <x v="4"/>
  </r>
  <r>
    <x v="8"/>
    <s v="BLR"/>
    <x v="1"/>
    <s v="EN.GHG.CO2.PC.CE.AR5"/>
    <x v="39"/>
    <n v="9"/>
    <x v="4"/>
  </r>
  <r>
    <x v="8"/>
    <s v="BLR"/>
    <x v="1"/>
    <s v="EN.GHG.CO2.PC.CE.AR5"/>
    <x v="40"/>
    <n v="9"/>
    <x v="4"/>
  </r>
  <r>
    <x v="8"/>
    <s v="BLR"/>
    <x v="1"/>
    <s v="EN.GHG.CO2.PC.CE.AR5"/>
    <x v="41"/>
    <n v="9"/>
    <x v="5"/>
  </r>
  <r>
    <x v="8"/>
    <s v="BLR"/>
    <x v="1"/>
    <s v="EN.GHG.CO2.PC.CE.AR5"/>
    <x v="42"/>
    <n v="10"/>
    <x v="5"/>
  </r>
  <r>
    <x v="8"/>
    <s v="BLR"/>
    <x v="1"/>
    <s v="EN.GHG.CO2.PC.CE.AR5"/>
    <x v="43"/>
    <n v="10"/>
    <x v="5"/>
  </r>
  <r>
    <x v="8"/>
    <s v="BLR"/>
    <x v="1"/>
    <s v="EN.GHG.CO2.PC.CE.AR5"/>
    <x v="44"/>
    <n v="10"/>
    <x v="5"/>
  </r>
  <r>
    <x v="8"/>
    <s v="BLR"/>
    <x v="1"/>
    <s v="EN.GHG.CO2.PC.CE.AR5"/>
    <x v="45"/>
    <n v="10"/>
    <x v="5"/>
  </r>
  <r>
    <x v="8"/>
    <s v="BLR"/>
    <x v="1"/>
    <s v="EN.GHG.CO2.PC.CE.AR5"/>
    <x v="46"/>
    <n v="10"/>
    <x v="5"/>
  </r>
  <r>
    <x v="8"/>
    <s v="BLR"/>
    <x v="1"/>
    <s v="EN.GHG.CO2.PC.CE.AR5"/>
    <x v="47"/>
    <n v="10"/>
    <x v="5"/>
  </r>
  <r>
    <x v="8"/>
    <s v="BLR"/>
    <x v="1"/>
    <s v="EN.GHG.CO2.PC.CE.AR5"/>
    <x v="48"/>
    <n v="10"/>
    <x v="5"/>
  </r>
  <r>
    <x v="8"/>
    <s v="BLR"/>
    <x v="1"/>
    <s v="EN.GHG.CO2.PC.CE.AR5"/>
    <x v="49"/>
    <n v="10"/>
    <x v="5"/>
  </r>
  <r>
    <x v="8"/>
    <s v="BLR"/>
    <x v="1"/>
    <s v="EN.GHG.CO2.PC.CE.AR5"/>
    <x v="50"/>
    <n v="10"/>
    <x v="5"/>
  </r>
  <r>
    <x v="8"/>
    <s v="BLR"/>
    <x v="1"/>
    <s v="EN.GHG.CO2.PC.CE.AR5"/>
    <x v="51"/>
    <n v="10"/>
    <x v="0"/>
  </r>
  <r>
    <x v="8"/>
    <s v="BLR"/>
    <x v="1"/>
    <s v="EN.GHG.CO2.PC.CE.AR5"/>
    <x v="52"/>
    <n v="10"/>
    <x v="0"/>
  </r>
  <r>
    <x v="8"/>
    <s v="BLR"/>
    <x v="1"/>
    <s v="EN.GHG.CO2.PC.CE.AR5"/>
    <x v="53"/>
    <n v="10"/>
    <x v="0"/>
  </r>
  <r>
    <x v="8"/>
    <s v="BLR"/>
    <x v="1"/>
    <s v="EN.GHG.CO2.PC.CE.AR5"/>
    <x v="0"/>
    <n v="10"/>
    <x v="0"/>
  </r>
  <r>
    <x v="8"/>
    <s v="BLR"/>
    <x v="1"/>
    <s v="EN.GHG.CO2.PC.CE.AR5"/>
    <x v="1"/>
    <n v="10"/>
    <x v="0"/>
  </r>
  <r>
    <x v="8"/>
    <s v="BLR"/>
    <x v="1"/>
    <s v="EN.GHG.CO2.PC.CE.AR5"/>
    <x v="2"/>
    <n v="9"/>
    <x v="0"/>
  </r>
  <r>
    <x v="8"/>
    <s v="BLR"/>
    <x v="1"/>
    <s v="EN.GHG.CO2.PC.CE.AR5"/>
    <x v="3"/>
    <n v="8"/>
    <x v="0"/>
  </r>
  <r>
    <x v="8"/>
    <s v="BLR"/>
    <x v="1"/>
    <s v="EN.GHG.CO2.PC.CE.AR5"/>
    <x v="4"/>
    <n v="7"/>
    <x v="0"/>
  </r>
  <r>
    <x v="8"/>
    <s v="BLR"/>
    <x v="1"/>
    <s v="EN.GHG.CO2.PC.CE.AR5"/>
    <x v="5"/>
    <n v="6"/>
    <x v="0"/>
  </r>
  <r>
    <x v="8"/>
    <s v="BLR"/>
    <x v="1"/>
    <s v="EN.GHG.CO2.PC.CE.AR5"/>
    <x v="6"/>
    <n v="6"/>
    <x v="0"/>
  </r>
  <r>
    <x v="8"/>
    <s v="BLR"/>
    <x v="1"/>
    <s v="EN.GHG.CO2.PC.CE.AR5"/>
    <x v="7"/>
    <n v="6"/>
    <x v="1"/>
  </r>
  <r>
    <x v="8"/>
    <s v="BLR"/>
    <x v="1"/>
    <s v="EN.GHG.CO2.PC.CE.AR5"/>
    <x v="8"/>
    <n v="6"/>
    <x v="1"/>
  </r>
  <r>
    <x v="8"/>
    <s v="BLR"/>
    <x v="1"/>
    <s v="EN.GHG.CO2.PC.CE.AR5"/>
    <x v="9"/>
    <n v="6"/>
    <x v="1"/>
  </r>
  <r>
    <x v="8"/>
    <s v="BLR"/>
    <x v="1"/>
    <s v="EN.GHG.CO2.PC.CE.AR5"/>
    <x v="10"/>
    <n v="6"/>
    <x v="1"/>
  </r>
  <r>
    <x v="8"/>
    <s v="BLR"/>
    <x v="1"/>
    <s v="EN.GHG.CO2.PC.CE.AR5"/>
    <x v="11"/>
    <n v="6"/>
    <x v="1"/>
  </r>
  <r>
    <x v="8"/>
    <s v="BLR"/>
    <x v="1"/>
    <s v="EN.GHG.CO2.PC.CE.AR5"/>
    <x v="12"/>
    <n v="6"/>
    <x v="1"/>
  </r>
  <r>
    <x v="8"/>
    <s v="BLR"/>
    <x v="1"/>
    <s v="EN.GHG.CO2.PC.CE.AR5"/>
    <x v="13"/>
    <n v="6"/>
    <x v="1"/>
  </r>
  <r>
    <x v="8"/>
    <s v="BLR"/>
    <x v="1"/>
    <s v="EN.GHG.CO2.PC.CE.AR5"/>
    <x v="14"/>
    <n v="6"/>
    <x v="1"/>
  </r>
  <r>
    <x v="8"/>
    <s v="BLR"/>
    <x v="1"/>
    <s v="EN.GHG.CO2.PC.CE.AR5"/>
    <x v="15"/>
    <n v="6"/>
    <x v="1"/>
  </r>
  <r>
    <x v="8"/>
    <s v="BLR"/>
    <x v="1"/>
    <s v="EN.GHG.CO2.PC.CE.AR5"/>
    <x v="16"/>
    <n v="7"/>
    <x v="1"/>
  </r>
  <r>
    <x v="8"/>
    <s v="BLR"/>
    <x v="1"/>
    <s v="EN.GHG.CO2.PC.CE.AR5"/>
    <x v="17"/>
    <n v="6"/>
    <x v="2"/>
  </r>
  <r>
    <x v="8"/>
    <s v="BLR"/>
    <x v="1"/>
    <s v="EN.GHG.CO2.PC.CE.AR5"/>
    <x v="18"/>
    <n v="7"/>
    <x v="2"/>
  </r>
  <r>
    <x v="8"/>
    <s v="BLR"/>
    <x v="1"/>
    <s v="EN.GHG.CO2.PC.CE.AR5"/>
    <x v="19"/>
    <n v="6"/>
    <x v="2"/>
  </r>
  <r>
    <x v="8"/>
    <s v="BLR"/>
    <x v="1"/>
    <s v="EN.GHG.CO2.PC.CE.AR5"/>
    <x v="20"/>
    <n v="7"/>
    <x v="2"/>
  </r>
  <r>
    <x v="8"/>
    <s v="BLR"/>
    <x v="1"/>
    <s v="EN.GHG.CO2.PC.CE.AR5"/>
    <x v="21"/>
    <n v="7"/>
    <x v="2"/>
  </r>
  <r>
    <x v="8"/>
    <s v="BLR"/>
    <x v="1"/>
    <s v="EN.GHG.CO2.PC.CE.AR5"/>
    <x v="22"/>
    <n v="7"/>
    <x v="2"/>
  </r>
  <r>
    <x v="8"/>
    <s v="BLR"/>
    <x v="1"/>
    <s v="EN.GHG.CO2.PC.CE.AR5"/>
    <x v="23"/>
    <n v="7"/>
    <x v="2"/>
  </r>
  <r>
    <x v="8"/>
    <s v="BLR"/>
    <x v="1"/>
    <s v="EN.GHG.CO2.PC.CE.AR5"/>
    <x v="24"/>
    <n v="7"/>
    <x v="2"/>
  </r>
  <r>
    <x v="8"/>
    <s v="BLR"/>
    <x v="1"/>
    <s v="EN.GHG.CO2.PC.CE.AR5"/>
    <x v="25"/>
    <n v="6"/>
    <x v="2"/>
  </r>
  <r>
    <x v="8"/>
    <s v="BLR"/>
    <x v="1"/>
    <s v="EN.GHG.CO2.PC.CE.AR5"/>
    <x v="26"/>
    <n v="6"/>
    <x v="2"/>
  </r>
  <r>
    <x v="8"/>
    <s v="BLR"/>
    <x v="1"/>
    <s v="EN.GHG.CO2.PC.CE.AR5"/>
    <x v="27"/>
    <n v="6"/>
    <x v="3"/>
  </r>
  <r>
    <x v="8"/>
    <s v="BLR"/>
    <x v="1"/>
    <s v="EN.GHG.CO2.PC.CE.AR5"/>
    <x v="28"/>
    <n v="7"/>
    <x v="3"/>
  </r>
  <r>
    <x v="8"/>
    <s v="BLR"/>
    <x v="1"/>
    <s v="EN.GHG.CO2.PC.CE.AR5"/>
    <x v="29"/>
    <n v="7"/>
    <x v="3"/>
  </r>
  <r>
    <x v="8"/>
    <s v="BLR"/>
    <x v="1"/>
    <s v="EN.GHG.CO2.PC.CE.AR5"/>
    <x v="30"/>
    <n v="6"/>
    <x v="3"/>
  </r>
  <r>
    <x v="8"/>
    <s v="BLR"/>
    <x v="1"/>
    <s v="EN.GHG.CO2.PC.CE.AR5"/>
    <x v="31"/>
    <n v="6"/>
    <x v="3"/>
  </r>
  <r>
    <x v="8"/>
    <s v="BLR"/>
    <x v="1"/>
    <s v="EN.GHG.CO2.PC.CE.AR5"/>
    <x v="32"/>
    <n v="6"/>
    <x v="4"/>
  </r>
  <r>
    <x v="8"/>
    <s v="BLR"/>
    <x v="1"/>
    <s v="EN.GHG.CO2.PC.CE.AR5"/>
    <x v="33"/>
    <n v="6"/>
    <x v="4"/>
  </r>
  <r>
    <x v="8"/>
    <s v="BLR"/>
    <x v="1"/>
    <s v="EN.GHG.CO2.PC.CE.AR5"/>
    <x v="54"/>
    <n v="6"/>
    <x v="4"/>
  </r>
  <r>
    <x v="9"/>
    <s v="CHE"/>
    <x v="1"/>
    <s v="EN.GHG.CO2.PC.CE.AR5"/>
    <x v="34"/>
    <n v="7"/>
    <x v="4"/>
  </r>
  <r>
    <x v="9"/>
    <s v="CHE"/>
    <x v="1"/>
    <s v="EN.GHG.CO2.PC.CE.AR5"/>
    <x v="35"/>
    <n v="7"/>
    <x v="4"/>
  </r>
  <r>
    <x v="9"/>
    <s v="CHE"/>
    <x v="1"/>
    <s v="EN.GHG.CO2.PC.CE.AR5"/>
    <x v="36"/>
    <n v="7"/>
    <x v="4"/>
  </r>
  <r>
    <x v="9"/>
    <s v="CHE"/>
    <x v="1"/>
    <s v="EN.GHG.CO2.PC.CE.AR5"/>
    <x v="37"/>
    <n v="8"/>
    <x v="4"/>
  </r>
  <r>
    <x v="9"/>
    <s v="CHE"/>
    <x v="1"/>
    <s v="EN.GHG.CO2.PC.CE.AR5"/>
    <x v="38"/>
    <n v="7"/>
    <x v="4"/>
  </r>
  <r>
    <x v="9"/>
    <s v="CHE"/>
    <x v="1"/>
    <s v="EN.GHG.CO2.PC.CE.AR5"/>
    <x v="39"/>
    <n v="6"/>
    <x v="4"/>
  </r>
  <r>
    <x v="9"/>
    <s v="CHE"/>
    <x v="1"/>
    <s v="EN.GHG.CO2.PC.CE.AR5"/>
    <x v="40"/>
    <n v="7"/>
    <x v="4"/>
  </r>
  <r>
    <x v="9"/>
    <s v="CHE"/>
    <x v="1"/>
    <s v="EN.GHG.CO2.PC.CE.AR5"/>
    <x v="41"/>
    <n v="7"/>
    <x v="5"/>
  </r>
  <r>
    <x v="9"/>
    <s v="CHE"/>
    <x v="1"/>
    <s v="EN.GHG.CO2.PC.CE.AR5"/>
    <x v="42"/>
    <n v="7"/>
    <x v="5"/>
  </r>
  <r>
    <x v="9"/>
    <s v="CHE"/>
    <x v="1"/>
    <s v="EN.GHG.CO2.PC.CE.AR5"/>
    <x v="43"/>
    <n v="7"/>
    <x v="5"/>
  </r>
  <r>
    <x v="9"/>
    <s v="CHE"/>
    <x v="1"/>
    <s v="EN.GHG.CO2.PC.CE.AR5"/>
    <x v="44"/>
    <n v="7"/>
    <x v="5"/>
  </r>
  <r>
    <x v="9"/>
    <s v="CHE"/>
    <x v="1"/>
    <s v="EN.GHG.CO2.PC.CE.AR5"/>
    <x v="45"/>
    <n v="6"/>
    <x v="5"/>
  </r>
  <r>
    <x v="9"/>
    <s v="CHE"/>
    <x v="1"/>
    <s v="EN.GHG.CO2.PC.CE.AR5"/>
    <x v="46"/>
    <n v="6"/>
    <x v="5"/>
  </r>
  <r>
    <x v="9"/>
    <s v="CHE"/>
    <x v="1"/>
    <s v="EN.GHG.CO2.PC.CE.AR5"/>
    <x v="47"/>
    <n v="7"/>
    <x v="5"/>
  </r>
  <r>
    <x v="9"/>
    <s v="CHE"/>
    <x v="1"/>
    <s v="EN.GHG.CO2.PC.CE.AR5"/>
    <x v="48"/>
    <n v="7"/>
    <x v="5"/>
  </r>
  <r>
    <x v="9"/>
    <s v="CHE"/>
    <x v="1"/>
    <s v="EN.GHG.CO2.PC.CE.AR5"/>
    <x v="49"/>
    <n v="7"/>
    <x v="5"/>
  </r>
  <r>
    <x v="9"/>
    <s v="CHE"/>
    <x v="1"/>
    <s v="EN.GHG.CO2.PC.CE.AR5"/>
    <x v="50"/>
    <n v="7"/>
    <x v="5"/>
  </r>
  <r>
    <x v="9"/>
    <s v="CHE"/>
    <x v="1"/>
    <s v="EN.GHG.CO2.PC.CE.AR5"/>
    <x v="51"/>
    <n v="7"/>
    <x v="0"/>
  </r>
  <r>
    <x v="9"/>
    <s v="CHE"/>
    <x v="1"/>
    <s v="EN.GHG.CO2.PC.CE.AR5"/>
    <x v="52"/>
    <n v="7"/>
    <x v="0"/>
  </r>
  <r>
    <x v="9"/>
    <s v="CHE"/>
    <x v="1"/>
    <s v="EN.GHG.CO2.PC.CE.AR5"/>
    <x v="53"/>
    <n v="7"/>
    <x v="0"/>
  </r>
  <r>
    <x v="9"/>
    <s v="CHE"/>
    <x v="1"/>
    <s v="EN.GHG.CO2.PC.CE.AR5"/>
    <x v="0"/>
    <n v="7"/>
    <x v="0"/>
  </r>
  <r>
    <x v="9"/>
    <s v="CHE"/>
    <x v="1"/>
    <s v="EN.GHG.CO2.PC.CE.AR5"/>
    <x v="1"/>
    <n v="7"/>
    <x v="0"/>
  </r>
  <r>
    <x v="9"/>
    <s v="CHE"/>
    <x v="1"/>
    <s v="EN.GHG.CO2.PC.CE.AR5"/>
    <x v="2"/>
    <n v="7"/>
    <x v="0"/>
  </r>
  <r>
    <x v="9"/>
    <s v="CHE"/>
    <x v="1"/>
    <s v="EN.GHG.CO2.PC.CE.AR5"/>
    <x v="3"/>
    <n v="6"/>
    <x v="0"/>
  </r>
  <r>
    <x v="9"/>
    <s v="CHE"/>
    <x v="1"/>
    <s v="EN.GHG.CO2.PC.CE.AR5"/>
    <x v="4"/>
    <n v="6"/>
    <x v="0"/>
  </r>
  <r>
    <x v="9"/>
    <s v="CHE"/>
    <x v="1"/>
    <s v="EN.GHG.CO2.PC.CE.AR5"/>
    <x v="5"/>
    <n v="6"/>
    <x v="0"/>
  </r>
  <r>
    <x v="9"/>
    <s v="CHE"/>
    <x v="1"/>
    <s v="EN.GHG.CO2.PC.CE.AR5"/>
    <x v="6"/>
    <n v="6"/>
    <x v="0"/>
  </r>
  <r>
    <x v="9"/>
    <s v="CHE"/>
    <x v="1"/>
    <s v="EN.GHG.CO2.PC.CE.AR5"/>
    <x v="7"/>
    <n v="6"/>
    <x v="1"/>
  </r>
  <r>
    <x v="9"/>
    <s v="CHE"/>
    <x v="1"/>
    <s v="EN.GHG.CO2.PC.CE.AR5"/>
    <x v="8"/>
    <n v="6"/>
    <x v="1"/>
  </r>
  <r>
    <x v="9"/>
    <s v="CHE"/>
    <x v="1"/>
    <s v="EN.GHG.CO2.PC.CE.AR5"/>
    <x v="9"/>
    <n v="6"/>
    <x v="1"/>
  </r>
  <r>
    <x v="9"/>
    <s v="CHE"/>
    <x v="1"/>
    <s v="EN.GHG.CO2.PC.CE.AR5"/>
    <x v="10"/>
    <n v="6"/>
    <x v="1"/>
  </r>
  <r>
    <x v="9"/>
    <s v="CHE"/>
    <x v="1"/>
    <s v="EN.GHG.CO2.PC.CE.AR5"/>
    <x v="11"/>
    <n v="6"/>
    <x v="1"/>
  </r>
  <r>
    <x v="9"/>
    <s v="CHE"/>
    <x v="1"/>
    <s v="EN.GHG.CO2.PC.CE.AR5"/>
    <x v="12"/>
    <n v="6"/>
    <x v="1"/>
  </r>
  <r>
    <x v="9"/>
    <s v="CHE"/>
    <x v="1"/>
    <s v="EN.GHG.CO2.PC.CE.AR5"/>
    <x v="13"/>
    <n v="6"/>
    <x v="1"/>
  </r>
  <r>
    <x v="9"/>
    <s v="CHE"/>
    <x v="1"/>
    <s v="EN.GHG.CO2.PC.CE.AR5"/>
    <x v="14"/>
    <n v="6"/>
    <x v="1"/>
  </r>
  <r>
    <x v="9"/>
    <s v="CHE"/>
    <x v="1"/>
    <s v="EN.GHG.CO2.PC.CE.AR5"/>
    <x v="15"/>
    <n v="6"/>
    <x v="1"/>
  </r>
  <r>
    <x v="9"/>
    <s v="CHE"/>
    <x v="1"/>
    <s v="EN.GHG.CO2.PC.CE.AR5"/>
    <x v="16"/>
    <n v="6"/>
    <x v="1"/>
  </r>
  <r>
    <x v="9"/>
    <s v="CHE"/>
    <x v="1"/>
    <s v="EN.GHG.CO2.PC.CE.AR5"/>
    <x v="17"/>
    <n v="6"/>
    <x v="2"/>
  </r>
  <r>
    <x v="9"/>
    <s v="CHE"/>
    <x v="1"/>
    <s v="EN.GHG.CO2.PC.CE.AR5"/>
    <x v="18"/>
    <n v="6"/>
    <x v="2"/>
  </r>
  <r>
    <x v="9"/>
    <s v="CHE"/>
    <x v="1"/>
    <s v="EN.GHG.CO2.PC.CE.AR5"/>
    <x v="19"/>
    <n v="6"/>
    <x v="2"/>
  </r>
  <r>
    <x v="9"/>
    <s v="CHE"/>
    <x v="1"/>
    <s v="EN.GHG.CO2.PC.CE.AR5"/>
    <x v="20"/>
    <n v="6"/>
    <x v="2"/>
  </r>
  <r>
    <x v="9"/>
    <s v="CHE"/>
    <x v="1"/>
    <s v="EN.GHG.CO2.PC.CE.AR5"/>
    <x v="21"/>
    <n v="5"/>
    <x v="2"/>
  </r>
  <r>
    <x v="9"/>
    <s v="CHE"/>
    <x v="1"/>
    <s v="EN.GHG.CO2.PC.CE.AR5"/>
    <x v="22"/>
    <n v="5"/>
    <x v="2"/>
  </r>
  <r>
    <x v="9"/>
    <s v="CHE"/>
    <x v="1"/>
    <s v="EN.GHG.CO2.PC.CE.AR5"/>
    <x v="23"/>
    <n v="6"/>
    <x v="2"/>
  </r>
  <r>
    <x v="9"/>
    <s v="CHE"/>
    <x v="1"/>
    <s v="EN.GHG.CO2.PC.CE.AR5"/>
    <x v="24"/>
    <n v="5"/>
    <x v="2"/>
  </r>
  <r>
    <x v="9"/>
    <s v="CHE"/>
    <x v="1"/>
    <s v="EN.GHG.CO2.PC.CE.AR5"/>
    <x v="25"/>
    <n v="5"/>
    <x v="2"/>
  </r>
  <r>
    <x v="9"/>
    <s v="CHE"/>
    <x v="1"/>
    <s v="EN.GHG.CO2.PC.CE.AR5"/>
    <x v="26"/>
    <n v="5"/>
    <x v="2"/>
  </r>
  <r>
    <x v="9"/>
    <s v="CHE"/>
    <x v="1"/>
    <s v="EN.GHG.CO2.PC.CE.AR5"/>
    <x v="27"/>
    <n v="5"/>
    <x v="3"/>
  </r>
  <r>
    <x v="9"/>
    <s v="CHE"/>
    <x v="1"/>
    <s v="EN.GHG.CO2.PC.CE.AR5"/>
    <x v="28"/>
    <n v="5"/>
    <x v="3"/>
  </r>
  <r>
    <x v="9"/>
    <s v="CHE"/>
    <x v="1"/>
    <s v="EN.GHG.CO2.PC.CE.AR5"/>
    <x v="29"/>
    <n v="4"/>
    <x v="3"/>
  </r>
  <r>
    <x v="9"/>
    <s v="CHE"/>
    <x v="1"/>
    <s v="EN.GHG.CO2.PC.CE.AR5"/>
    <x v="30"/>
    <n v="4"/>
    <x v="3"/>
  </r>
  <r>
    <x v="9"/>
    <s v="CHE"/>
    <x v="1"/>
    <s v="EN.GHG.CO2.PC.CE.AR5"/>
    <x v="31"/>
    <n v="4"/>
    <x v="3"/>
  </r>
  <r>
    <x v="9"/>
    <s v="CHE"/>
    <x v="1"/>
    <s v="EN.GHG.CO2.PC.CE.AR5"/>
    <x v="32"/>
    <n v="4"/>
    <x v="4"/>
  </r>
  <r>
    <x v="9"/>
    <s v="CHE"/>
    <x v="1"/>
    <s v="EN.GHG.CO2.PC.CE.AR5"/>
    <x v="33"/>
    <n v="4"/>
    <x v="4"/>
  </r>
  <r>
    <x v="9"/>
    <s v="CHE"/>
    <x v="1"/>
    <s v="EN.GHG.CO2.PC.CE.AR5"/>
    <x v="54"/>
    <n v="4"/>
    <x v="4"/>
  </r>
  <r>
    <x v="11"/>
    <s v="CYP"/>
    <x v="1"/>
    <s v="EN.GHG.CO2.PC.CE.AR5"/>
    <x v="34"/>
    <n v="3"/>
    <x v="4"/>
  </r>
  <r>
    <x v="11"/>
    <s v="CYP"/>
    <x v="1"/>
    <s v="EN.GHG.CO2.PC.CE.AR5"/>
    <x v="35"/>
    <n v="3"/>
    <x v="4"/>
  </r>
  <r>
    <x v="11"/>
    <s v="CYP"/>
    <x v="1"/>
    <s v="EN.GHG.CO2.PC.CE.AR5"/>
    <x v="36"/>
    <n v="4"/>
    <x v="4"/>
  </r>
  <r>
    <x v="11"/>
    <s v="CYP"/>
    <x v="1"/>
    <s v="EN.GHG.CO2.PC.CE.AR5"/>
    <x v="37"/>
    <n v="4"/>
    <x v="4"/>
  </r>
  <r>
    <x v="11"/>
    <s v="CYP"/>
    <x v="1"/>
    <s v="EN.GHG.CO2.PC.CE.AR5"/>
    <x v="38"/>
    <n v="3"/>
    <x v="4"/>
  </r>
  <r>
    <x v="11"/>
    <s v="CYP"/>
    <x v="1"/>
    <s v="EN.GHG.CO2.PC.CE.AR5"/>
    <x v="39"/>
    <n v="3"/>
    <x v="4"/>
  </r>
  <r>
    <x v="11"/>
    <s v="CYP"/>
    <x v="1"/>
    <s v="EN.GHG.CO2.PC.CE.AR5"/>
    <x v="40"/>
    <n v="4"/>
    <x v="4"/>
  </r>
  <r>
    <x v="11"/>
    <s v="CYP"/>
    <x v="1"/>
    <s v="EN.GHG.CO2.PC.CE.AR5"/>
    <x v="41"/>
    <n v="4"/>
    <x v="5"/>
  </r>
  <r>
    <x v="11"/>
    <s v="CYP"/>
    <x v="1"/>
    <s v="EN.GHG.CO2.PC.CE.AR5"/>
    <x v="42"/>
    <n v="4"/>
    <x v="5"/>
  </r>
  <r>
    <x v="11"/>
    <s v="CYP"/>
    <x v="1"/>
    <s v="EN.GHG.CO2.PC.CE.AR5"/>
    <x v="43"/>
    <n v="5"/>
    <x v="5"/>
  </r>
  <r>
    <x v="11"/>
    <s v="CYP"/>
    <x v="1"/>
    <s v="EN.GHG.CO2.PC.CE.AR5"/>
    <x v="44"/>
    <n v="5"/>
    <x v="5"/>
  </r>
  <r>
    <x v="11"/>
    <s v="CYP"/>
    <x v="1"/>
    <s v="EN.GHG.CO2.PC.CE.AR5"/>
    <x v="45"/>
    <n v="5"/>
    <x v="5"/>
  </r>
  <r>
    <x v="11"/>
    <s v="CYP"/>
    <x v="1"/>
    <s v="EN.GHG.CO2.PC.CE.AR5"/>
    <x v="46"/>
    <n v="5"/>
    <x v="5"/>
  </r>
  <r>
    <x v="11"/>
    <s v="CYP"/>
    <x v="1"/>
    <s v="EN.GHG.CO2.PC.CE.AR5"/>
    <x v="47"/>
    <n v="4"/>
    <x v="5"/>
  </r>
  <r>
    <x v="11"/>
    <s v="CYP"/>
    <x v="1"/>
    <s v="EN.GHG.CO2.PC.CE.AR5"/>
    <x v="48"/>
    <n v="4"/>
    <x v="5"/>
  </r>
  <r>
    <x v="11"/>
    <s v="CYP"/>
    <x v="1"/>
    <s v="EN.GHG.CO2.PC.CE.AR5"/>
    <x v="49"/>
    <n v="4"/>
    <x v="5"/>
  </r>
  <r>
    <x v="11"/>
    <s v="CYP"/>
    <x v="1"/>
    <s v="EN.GHG.CO2.PC.CE.AR5"/>
    <x v="50"/>
    <n v="5"/>
    <x v="5"/>
  </r>
  <r>
    <x v="11"/>
    <s v="CYP"/>
    <x v="1"/>
    <s v="EN.GHG.CO2.PC.CE.AR5"/>
    <x v="51"/>
    <n v="5"/>
    <x v="0"/>
  </r>
  <r>
    <x v="11"/>
    <s v="CYP"/>
    <x v="1"/>
    <s v="EN.GHG.CO2.PC.CE.AR5"/>
    <x v="52"/>
    <n v="5"/>
    <x v="0"/>
  </r>
  <r>
    <x v="11"/>
    <s v="CYP"/>
    <x v="1"/>
    <s v="EN.GHG.CO2.PC.CE.AR5"/>
    <x v="53"/>
    <n v="6"/>
    <x v="0"/>
  </r>
  <r>
    <x v="11"/>
    <s v="CYP"/>
    <x v="1"/>
    <s v="EN.GHG.CO2.PC.CE.AR5"/>
    <x v="0"/>
    <n v="6"/>
    <x v="0"/>
  </r>
  <r>
    <x v="11"/>
    <s v="CYP"/>
    <x v="1"/>
    <s v="EN.GHG.CO2.PC.CE.AR5"/>
    <x v="1"/>
    <n v="6"/>
    <x v="0"/>
  </r>
  <r>
    <x v="11"/>
    <s v="CYP"/>
    <x v="1"/>
    <s v="EN.GHG.CO2.PC.CE.AR5"/>
    <x v="2"/>
    <n v="7"/>
    <x v="0"/>
  </r>
  <r>
    <x v="11"/>
    <s v="CYP"/>
    <x v="1"/>
    <s v="EN.GHG.CO2.PC.CE.AR5"/>
    <x v="3"/>
    <n v="7"/>
    <x v="0"/>
  </r>
  <r>
    <x v="11"/>
    <s v="CYP"/>
    <x v="1"/>
    <s v="EN.GHG.CO2.PC.CE.AR5"/>
    <x v="4"/>
    <n v="7"/>
    <x v="0"/>
  </r>
  <r>
    <x v="11"/>
    <s v="CYP"/>
    <x v="1"/>
    <s v="EN.GHG.CO2.PC.CE.AR5"/>
    <x v="5"/>
    <n v="7"/>
    <x v="0"/>
  </r>
  <r>
    <x v="11"/>
    <s v="CYP"/>
    <x v="1"/>
    <s v="EN.GHG.CO2.PC.CE.AR5"/>
    <x v="6"/>
    <n v="7"/>
    <x v="0"/>
  </r>
  <r>
    <x v="11"/>
    <s v="CYP"/>
    <x v="1"/>
    <s v="EN.GHG.CO2.PC.CE.AR5"/>
    <x v="7"/>
    <n v="7"/>
    <x v="1"/>
  </r>
  <r>
    <x v="11"/>
    <s v="CYP"/>
    <x v="1"/>
    <s v="EN.GHG.CO2.PC.CE.AR5"/>
    <x v="8"/>
    <n v="7"/>
    <x v="1"/>
  </r>
  <r>
    <x v="11"/>
    <s v="CYP"/>
    <x v="1"/>
    <s v="EN.GHG.CO2.PC.CE.AR5"/>
    <x v="9"/>
    <n v="7"/>
    <x v="1"/>
  </r>
  <r>
    <x v="11"/>
    <s v="CYP"/>
    <x v="1"/>
    <s v="EN.GHG.CO2.PC.CE.AR5"/>
    <x v="10"/>
    <n v="8"/>
    <x v="1"/>
  </r>
  <r>
    <x v="11"/>
    <s v="CYP"/>
    <x v="1"/>
    <s v="EN.GHG.CO2.PC.CE.AR5"/>
    <x v="11"/>
    <n v="7"/>
    <x v="1"/>
  </r>
  <r>
    <x v="11"/>
    <s v="CYP"/>
    <x v="1"/>
    <s v="EN.GHG.CO2.PC.CE.AR5"/>
    <x v="12"/>
    <n v="7"/>
    <x v="1"/>
  </r>
  <r>
    <x v="11"/>
    <s v="CYP"/>
    <x v="1"/>
    <s v="EN.GHG.CO2.PC.CE.AR5"/>
    <x v="13"/>
    <n v="8"/>
    <x v="1"/>
  </r>
  <r>
    <x v="11"/>
    <s v="CYP"/>
    <x v="1"/>
    <s v="EN.GHG.CO2.PC.CE.AR5"/>
    <x v="14"/>
    <n v="8"/>
    <x v="1"/>
  </r>
  <r>
    <x v="11"/>
    <s v="CYP"/>
    <x v="1"/>
    <s v="EN.GHG.CO2.PC.CE.AR5"/>
    <x v="15"/>
    <n v="8"/>
    <x v="1"/>
  </r>
  <r>
    <x v="11"/>
    <s v="CYP"/>
    <x v="1"/>
    <s v="EN.GHG.CO2.PC.CE.AR5"/>
    <x v="16"/>
    <n v="8"/>
    <x v="1"/>
  </r>
  <r>
    <x v="11"/>
    <s v="CYP"/>
    <x v="1"/>
    <s v="EN.GHG.CO2.PC.CE.AR5"/>
    <x v="17"/>
    <n v="8"/>
    <x v="2"/>
  </r>
  <r>
    <x v="11"/>
    <s v="CYP"/>
    <x v="1"/>
    <s v="EN.GHG.CO2.PC.CE.AR5"/>
    <x v="18"/>
    <n v="8"/>
    <x v="2"/>
  </r>
  <r>
    <x v="11"/>
    <s v="CYP"/>
    <x v="1"/>
    <s v="EN.GHG.CO2.PC.CE.AR5"/>
    <x v="19"/>
    <n v="7"/>
    <x v="2"/>
  </r>
  <r>
    <x v="11"/>
    <s v="CYP"/>
    <x v="1"/>
    <s v="EN.GHG.CO2.PC.CE.AR5"/>
    <x v="20"/>
    <n v="7"/>
    <x v="2"/>
  </r>
  <r>
    <x v="11"/>
    <s v="CYP"/>
    <x v="1"/>
    <s v="EN.GHG.CO2.PC.CE.AR5"/>
    <x v="21"/>
    <n v="7"/>
    <x v="2"/>
  </r>
  <r>
    <x v="11"/>
    <s v="CYP"/>
    <x v="1"/>
    <s v="EN.GHG.CO2.PC.CE.AR5"/>
    <x v="22"/>
    <n v="6"/>
    <x v="2"/>
  </r>
  <r>
    <x v="11"/>
    <s v="CYP"/>
    <x v="1"/>
    <s v="EN.GHG.CO2.PC.CE.AR5"/>
    <x v="23"/>
    <n v="5"/>
    <x v="2"/>
  </r>
  <r>
    <x v="11"/>
    <s v="CYP"/>
    <x v="1"/>
    <s v="EN.GHG.CO2.PC.CE.AR5"/>
    <x v="24"/>
    <n v="6"/>
    <x v="2"/>
  </r>
  <r>
    <x v="11"/>
    <s v="CYP"/>
    <x v="1"/>
    <s v="EN.GHG.CO2.PC.CE.AR5"/>
    <x v="25"/>
    <n v="6"/>
    <x v="2"/>
  </r>
  <r>
    <x v="11"/>
    <s v="CYP"/>
    <x v="1"/>
    <s v="EN.GHG.CO2.PC.CE.AR5"/>
    <x v="26"/>
    <n v="6"/>
    <x v="2"/>
  </r>
  <r>
    <x v="11"/>
    <s v="CYP"/>
    <x v="1"/>
    <s v="EN.GHG.CO2.PC.CE.AR5"/>
    <x v="27"/>
    <n v="6"/>
    <x v="3"/>
  </r>
  <r>
    <x v="11"/>
    <s v="CYP"/>
    <x v="1"/>
    <s v="EN.GHG.CO2.PC.CE.AR5"/>
    <x v="28"/>
    <n v="6"/>
    <x v="3"/>
  </r>
  <r>
    <x v="11"/>
    <s v="CYP"/>
    <x v="1"/>
    <s v="EN.GHG.CO2.PC.CE.AR5"/>
    <x v="29"/>
    <n v="6"/>
    <x v="3"/>
  </r>
  <r>
    <x v="11"/>
    <s v="CYP"/>
    <x v="1"/>
    <s v="EN.GHG.CO2.PC.CE.AR5"/>
    <x v="30"/>
    <n v="5"/>
    <x v="3"/>
  </r>
  <r>
    <x v="11"/>
    <s v="CYP"/>
    <x v="1"/>
    <s v="EN.GHG.CO2.PC.CE.AR5"/>
    <x v="31"/>
    <n v="5"/>
    <x v="3"/>
  </r>
  <r>
    <x v="11"/>
    <s v="CYP"/>
    <x v="1"/>
    <s v="EN.GHG.CO2.PC.CE.AR5"/>
    <x v="32"/>
    <n v="5"/>
    <x v="4"/>
  </r>
  <r>
    <x v="11"/>
    <s v="CYP"/>
    <x v="1"/>
    <s v="EN.GHG.CO2.PC.CE.AR5"/>
    <x v="33"/>
    <n v="5"/>
    <x v="4"/>
  </r>
  <r>
    <x v="11"/>
    <s v="CYP"/>
    <x v="1"/>
    <s v="EN.GHG.CO2.PC.CE.AR5"/>
    <x v="54"/>
    <n v="5"/>
    <x v="4"/>
  </r>
  <r>
    <x v="12"/>
    <s v="CZE"/>
    <x v="1"/>
    <s v="EN.GHG.CO2.PC.CE.AR5"/>
    <x v="34"/>
    <n v="19"/>
    <x v="4"/>
  </r>
  <r>
    <x v="12"/>
    <s v="CZE"/>
    <x v="1"/>
    <s v="EN.GHG.CO2.PC.CE.AR5"/>
    <x v="35"/>
    <n v="19"/>
    <x v="4"/>
  </r>
  <r>
    <x v="12"/>
    <s v="CZE"/>
    <x v="1"/>
    <s v="EN.GHG.CO2.PC.CE.AR5"/>
    <x v="36"/>
    <n v="19"/>
    <x v="4"/>
  </r>
  <r>
    <x v="12"/>
    <s v="CZE"/>
    <x v="1"/>
    <s v="EN.GHG.CO2.PC.CE.AR5"/>
    <x v="37"/>
    <n v="19"/>
    <x v="4"/>
  </r>
  <r>
    <x v="12"/>
    <s v="CZE"/>
    <x v="1"/>
    <s v="EN.GHG.CO2.PC.CE.AR5"/>
    <x v="38"/>
    <n v="17"/>
    <x v="4"/>
  </r>
  <r>
    <x v="12"/>
    <s v="CZE"/>
    <x v="1"/>
    <s v="EN.GHG.CO2.PC.CE.AR5"/>
    <x v="39"/>
    <n v="18"/>
    <x v="4"/>
  </r>
  <r>
    <x v="12"/>
    <s v="CZE"/>
    <x v="1"/>
    <s v="EN.GHG.CO2.PC.CE.AR5"/>
    <x v="40"/>
    <n v="18"/>
    <x v="4"/>
  </r>
  <r>
    <x v="12"/>
    <s v="CZE"/>
    <x v="1"/>
    <s v="EN.GHG.CO2.PC.CE.AR5"/>
    <x v="41"/>
    <n v="19"/>
    <x v="5"/>
  </r>
  <r>
    <x v="12"/>
    <s v="CZE"/>
    <x v="1"/>
    <s v="EN.GHG.CO2.PC.CE.AR5"/>
    <x v="42"/>
    <n v="19"/>
    <x v="5"/>
  </r>
  <r>
    <x v="12"/>
    <s v="CZE"/>
    <x v="1"/>
    <s v="EN.GHG.CO2.PC.CE.AR5"/>
    <x v="43"/>
    <n v="19"/>
    <x v="5"/>
  </r>
  <r>
    <x v="12"/>
    <s v="CZE"/>
    <x v="1"/>
    <s v="EN.GHG.CO2.PC.CE.AR5"/>
    <x v="44"/>
    <n v="19"/>
    <x v="5"/>
  </r>
  <r>
    <x v="12"/>
    <s v="CZE"/>
    <x v="1"/>
    <s v="EN.GHG.CO2.PC.CE.AR5"/>
    <x v="45"/>
    <n v="19"/>
    <x v="5"/>
  </r>
  <r>
    <x v="12"/>
    <s v="CZE"/>
    <x v="1"/>
    <s v="EN.GHG.CO2.PC.CE.AR5"/>
    <x v="46"/>
    <n v="19"/>
    <x v="5"/>
  </r>
  <r>
    <x v="12"/>
    <s v="CZE"/>
    <x v="1"/>
    <s v="EN.GHG.CO2.PC.CE.AR5"/>
    <x v="47"/>
    <n v="19"/>
    <x v="5"/>
  </r>
  <r>
    <x v="12"/>
    <s v="CZE"/>
    <x v="1"/>
    <s v="EN.GHG.CO2.PC.CE.AR5"/>
    <x v="48"/>
    <n v="19"/>
    <x v="5"/>
  </r>
  <r>
    <x v="12"/>
    <s v="CZE"/>
    <x v="1"/>
    <s v="EN.GHG.CO2.PC.CE.AR5"/>
    <x v="49"/>
    <n v="19"/>
    <x v="5"/>
  </r>
  <r>
    <x v="12"/>
    <s v="CZE"/>
    <x v="1"/>
    <s v="EN.GHG.CO2.PC.CE.AR5"/>
    <x v="50"/>
    <n v="19"/>
    <x v="5"/>
  </r>
  <r>
    <x v="12"/>
    <s v="CZE"/>
    <x v="1"/>
    <s v="EN.GHG.CO2.PC.CE.AR5"/>
    <x v="51"/>
    <n v="19"/>
    <x v="0"/>
  </r>
  <r>
    <x v="12"/>
    <s v="CZE"/>
    <x v="1"/>
    <s v="EN.GHG.CO2.PC.CE.AR5"/>
    <x v="52"/>
    <n v="18"/>
    <x v="0"/>
  </r>
  <r>
    <x v="12"/>
    <s v="CZE"/>
    <x v="1"/>
    <s v="EN.GHG.CO2.PC.CE.AR5"/>
    <x v="53"/>
    <n v="18"/>
    <x v="0"/>
  </r>
  <r>
    <x v="12"/>
    <s v="CZE"/>
    <x v="1"/>
    <s v="EN.GHG.CO2.PC.CE.AR5"/>
    <x v="0"/>
    <n v="16"/>
    <x v="0"/>
  </r>
  <r>
    <x v="12"/>
    <s v="CZE"/>
    <x v="1"/>
    <s v="EN.GHG.CO2.PC.CE.AR5"/>
    <x v="1"/>
    <n v="15"/>
    <x v="0"/>
  </r>
  <r>
    <x v="12"/>
    <s v="CZE"/>
    <x v="1"/>
    <s v="EN.GHG.CO2.PC.CE.AR5"/>
    <x v="2"/>
    <n v="14"/>
    <x v="0"/>
  </r>
  <r>
    <x v="12"/>
    <s v="CZE"/>
    <x v="1"/>
    <s v="EN.GHG.CO2.PC.CE.AR5"/>
    <x v="3"/>
    <n v="14"/>
    <x v="0"/>
  </r>
  <r>
    <x v="12"/>
    <s v="CZE"/>
    <x v="1"/>
    <s v="EN.GHG.CO2.PC.CE.AR5"/>
    <x v="4"/>
    <n v="13"/>
    <x v="0"/>
  </r>
  <r>
    <x v="12"/>
    <s v="CZE"/>
    <x v="1"/>
    <s v="EN.GHG.CO2.PC.CE.AR5"/>
    <x v="5"/>
    <n v="13"/>
    <x v="0"/>
  </r>
  <r>
    <x v="12"/>
    <s v="CZE"/>
    <x v="1"/>
    <s v="EN.GHG.CO2.PC.CE.AR5"/>
    <x v="6"/>
    <n v="13"/>
    <x v="0"/>
  </r>
  <r>
    <x v="12"/>
    <s v="CZE"/>
    <x v="1"/>
    <s v="EN.GHG.CO2.PC.CE.AR5"/>
    <x v="7"/>
    <n v="13"/>
    <x v="1"/>
  </r>
  <r>
    <x v="12"/>
    <s v="CZE"/>
    <x v="1"/>
    <s v="EN.GHG.CO2.PC.CE.AR5"/>
    <x v="8"/>
    <n v="12"/>
    <x v="1"/>
  </r>
  <r>
    <x v="12"/>
    <s v="CZE"/>
    <x v="1"/>
    <s v="EN.GHG.CO2.PC.CE.AR5"/>
    <x v="9"/>
    <n v="12"/>
    <x v="1"/>
  </r>
  <r>
    <x v="12"/>
    <s v="CZE"/>
    <x v="1"/>
    <s v="EN.GHG.CO2.PC.CE.AR5"/>
    <x v="10"/>
    <n v="13"/>
    <x v="1"/>
  </r>
  <r>
    <x v="12"/>
    <s v="CZE"/>
    <x v="1"/>
    <s v="EN.GHG.CO2.PC.CE.AR5"/>
    <x v="11"/>
    <n v="13"/>
    <x v="1"/>
  </r>
  <r>
    <x v="12"/>
    <s v="CZE"/>
    <x v="1"/>
    <s v="EN.GHG.CO2.PC.CE.AR5"/>
    <x v="12"/>
    <n v="12"/>
    <x v="1"/>
  </r>
  <r>
    <x v="12"/>
    <s v="CZE"/>
    <x v="1"/>
    <s v="EN.GHG.CO2.PC.CE.AR5"/>
    <x v="13"/>
    <n v="13"/>
    <x v="1"/>
  </r>
  <r>
    <x v="12"/>
    <s v="CZE"/>
    <x v="1"/>
    <s v="EN.GHG.CO2.PC.CE.AR5"/>
    <x v="14"/>
    <n v="13"/>
    <x v="1"/>
  </r>
  <r>
    <x v="12"/>
    <s v="CZE"/>
    <x v="1"/>
    <s v="EN.GHG.CO2.PC.CE.AR5"/>
    <x v="15"/>
    <n v="13"/>
    <x v="1"/>
  </r>
  <r>
    <x v="12"/>
    <s v="CZE"/>
    <x v="1"/>
    <s v="EN.GHG.CO2.PC.CE.AR5"/>
    <x v="16"/>
    <n v="13"/>
    <x v="1"/>
  </r>
  <r>
    <x v="12"/>
    <s v="CZE"/>
    <x v="1"/>
    <s v="EN.GHG.CO2.PC.CE.AR5"/>
    <x v="17"/>
    <n v="13"/>
    <x v="2"/>
  </r>
  <r>
    <x v="12"/>
    <s v="CZE"/>
    <x v="1"/>
    <s v="EN.GHG.CO2.PC.CE.AR5"/>
    <x v="18"/>
    <n v="12"/>
    <x v="2"/>
  </r>
  <r>
    <x v="12"/>
    <s v="CZE"/>
    <x v="1"/>
    <s v="EN.GHG.CO2.PC.CE.AR5"/>
    <x v="19"/>
    <n v="11"/>
    <x v="2"/>
  </r>
  <r>
    <x v="12"/>
    <s v="CZE"/>
    <x v="1"/>
    <s v="EN.GHG.CO2.PC.CE.AR5"/>
    <x v="20"/>
    <n v="12"/>
    <x v="2"/>
  </r>
  <r>
    <x v="12"/>
    <s v="CZE"/>
    <x v="1"/>
    <s v="EN.GHG.CO2.PC.CE.AR5"/>
    <x v="21"/>
    <n v="11"/>
    <x v="2"/>
  </r>
  <r>
    <x v="12"/>
    <s v="CZE"/>
    <x v="1"/>
    <s v="EN.GHG.CO2.PC.CE.AR5"/>
    <x v="22"/>
    <n v="11"/>
    <x v="2"/>
  </r>
  <r>
    <x v="12"/>
    <s v="CZE"/>
    <x v="1"/>
    <s v="EN.GHG.CO2.PC.CE.AR5"/>
    <x v="23"/>
    <n v="10"/>
    <x v="2"/>
  </r>
  <r>
    <x v="12"/>
    <s v="CZE"/>
    <x v="1"/>
    <s v="EN.GHG.CO2.PC.CE.AR5"/>
    <x v="24"/>
    <n v="10"/>
    <x v="2"/>
  </r>
  <r>
    <x v="12"/>
    <s v="CZE"/>
    <x v="1"/>
    <s v="EN.GHG.CO2.PC.CE.AR5"/>
    <x v="25"/>
    <n v="10"/>
    <x v="2"/>
  </r>
  <r>
    <x v="12"/>
    <s v="CZE"/>
    <x v="1"/>
    <s v="EN.GHG.CO2.PC.CE.AR5"/>
    <x v="26"/>
    <n v="10"/>
    <x v="2"/>
  </r>
  <r>
    <x v="12"/>
    <s v="CZE"/>
    <x v="1"/>
    <s v="EN.GHG.CO2.PC.CE.AR5"/>
    <x v="27"/>
    <n v="10"/>
    <x v="3"/>
  </r>
  <r>
    <x v="12"/>
    <s v="CZE"/>
    <x v="1"/>
    <s v="EN.GHG.CO2.PC.CE.AR5"/>
    <x v="28"/>
    <n v="10"/>
    <x v="3"/>
  </r>
  <r>
    <x v="12"/>
    <s v="CZE"/>
    <x v="1"/>
    <s v="EN.GHG.CO2.PC.CE.AR5"/>
    <x v="29"/>
    <n v="10"/>
    <x v="3"/>
  </r>
  <r>
    <x v="12"/>
    <s v="CZE"/>
    <x v="1"/>
    <s v="EN.GHG.CO2.PC.CE.AR5"/>
    <x v="30"/>
    <n v="9"/>
    <x v="3"/>
  </r>
  <r>
    <x v="12"/>
    <s v="CZE"/>
    <x v="1"/>
    <s v="EN.GHG.CO2.PC.CE.AR5"/>
    <x v="31"/>
    <n v="9"/>
    <x v="3"/>
  </r>
  <r>
    <x v="12"/>
    <s v="CZE"/>
    <x v="1"/>
    <s v="EN.GHG.CO2.PC.CE.AR5"/>
    <x v="32"/>
    <n v="9"/>
    <x v="4"/>
  </r>
  <r>
    <x v="12"/>
    <s v="CZE"/>
    <x v="1"/>
    <s v="EN.GHG.CO2.PC.CE.AR5"/>
    <x v="33"/>
    <n v="8"/>
    <x v="4"/>
  </r>
  <r>
    <x v="12"/>
    <s v="CZE"/>
    <x v="1"/>
    <s v="EN.GHG.CO2.PC.CE.AR5"/>
    <x v="54"/>
    <n v="7"/>
    <x v="4"/>
  </r>
  <r>
    <x v="13"/>
    <s v="DEU"/>
    <x v="1"/>
    <s v="EN.GHG.CO2.PC.CE.AR5"/>
    <x v="34"/>
    <n v="14"/>
    <x v="4"/>
  </r>
  <r>
    <x v="13"/>
    <s v="DEU"/>
    <x v="1"/>
    <s v="EN.GHG.CO2.PC.CE.AR5"/>
    <x v="35"/>
    <n v="14"/>
    <x v="4"/>
  </r>
  <r>
    <x v="13"/>
    <s v="DEU"/>
    <x v="1"/>
    <s v="EN.GHG.CO2.PC.CE.AR5"/>
    <x v="36"/>
    <n v="14"/>
    <x v="4"/>
  </r>
  <r>
    <x v="13"/>
    <s v="DEU"/>
    <x v="1"/>
    <s v="EN.GHG.CO2.PC.CE.AR5"/>
    <x v="37"/>
    <n v="15"/>
    <x v="4"/>
  </r>
  <r>
    <x v="13"/>
    <s v="DEU"/>
    <x v="1"/>
    <s v="EN.GHG.CO2.PC.CE.AR5"/>
    <x v="38"/>
    <n v="14"/>
    <x v="4"/>
  </r>
  <r>
    <x v="13"/>
    <s v="DEU"/>
    <x v="1"/>
    <s v="EN.GHG.CO2.PC.CE.AR5"/>
    <x v="39"/>
    <n v="13"/>
    <x v="4"/>
  </r>
  <r>
    <x v="13"/>
    <s v="DEU"/>
    <x v="1"/>
    <s v="EN.GHG.CO2.PC.CE.AR5"/>
    <x v="40"/>
    <n v="14"/>
    <x v="4"/>
  </r>
  <r>
    <x v="13"/>
    <s v="DEU"/>
    <x v="1"/>
    <s v="EN.GHG.CO2.PC.CE.AR5"/>
    <x v="41"/>
    <n v="14"/>
    <x v="5"/>
  </r>
  <r>
    <x v="13"/>
    <s v="DEU"/>
    <x v="1"/>
    <s v="EN.GHG.CO2.PC.CE.AR5"/>
    <x v="42"/>
    <n v="15"/>
    <x v="5"/>
  </r>
  <r>
    <x v="13"/>
    <s v="DEU"/>
    <x v="1"/>
    <s v="EN.GHG.CO2.PC.CE.AR5"/>
    <x v="43"/>
    <n v="15"/>
    <x v="5"/>
  </r>
  <r>
    <x v="13"/>
    <s v="DEU"/>
    <x v="1"/>
    <s v="EN.GHG.CO2.PC.CE.AR5"/>
    <x v="44"/>
    <n v="15"/>
    <x v="5"/>
  </r>
  <r>
    <x v="13"/>
    <s v="DEU"/>
    <x v="1"/>
    <s v="EN.GHG.CO2.PC.CE.AR5"/>
    <x v="45"/>
    <n v="14"/>
    <x v="5"/>
  </r>
  <r>
    <x v="13"/>
    <s v="DEU"/>
    <x v="1"/>
    <s v="EN.GHG.CO2.PC.CE.AR5"/>
    <x v="46"/>
    <n v="13"/>
    <x v="5"/>
  </r>
  <r>
    <x v="13"/>
    <s v="DEU"/>
    <x v="1"/>
    <s v="EN.GHG.CO2.PC.CE.AR5"/>
    <x v="47"/>
    <n v="14"/>
    <x v="5"/>
  </r>
  <r>
    <x v="13"/>
    <s v="DEU"/>
    <x v="1"/>
    <s v="EN.GHG.CO2.PC.CE.AR5"/>
    <x v="48"/>
    <n v="14"/>
    <x v="5"/>
  </r>
  <r>
    <x v="13"/>
    <s v="DEU"/>
    <x v="1"/>
    <s v="EN.GHG.CO2.PC.CE.AR5"/>
    <x v="49"/>
    <n v="14"/>
    <x v="5"/>
  </r>
  <r>
    <x v="13"/>
    <s v="DEU"/>
    <x v="1"/>
    <s v="EN.GHG.CO2.PC.CE.AR5"/>
    <x v="50"/>
    <n v="14"/>
    <x v="5"/>
  </r>
  <r>
    <x v="13"/>
    <s v="DEU"/>
    <x v="1"/>
    <s v="EN.GHG.CO2.PC.CE.AR5"/>
    <x v="51"/>
    <n v="14"/>
    <x v="0"/>
  </r>
  <r>
    <x v="13"/>
    <s v="DEU"/>
    <x v="1"/>
    <s v="EN.GHG.CO2.PC.CE.AR5"/>
    <x v="52"/>
    <n v="14"/>
    <x v="0"/>
  </r>
  <r>
    <x v="13"/>
    <s v="DEU"/>
    <x v="1"/>
    <s v="EN.GHG.CO2.PC.CE.AR5"/>
    <x v="53"/>
    <n v="13"/>
    <x v="0"/>
  </r>
  <r>
    <x v="13"/>
    <s v="DEU"/>
    <x v="1"/>
    <s v="EN.GHG.CO2.PC.CE.AR5"/>
    <x v="0"/>
    <n v="13"/>
    <x v="0"/>
  </r>
  <r>
    <x v="13"/>
    <s v="DEU"/>
    <x v="1"/>
    <s v="EN.GHG.CO2.PC.CE.AR5"/>
    <x v="1"/>
    <n v="12"/>
    <x v="0"/>
  </r>
  <r>
    <x v="13"/>
    <s v="DEU"/>
    <x v="1"/>
    <s v="EN.GHG.CO2.PC.CE.AR5"/>
    <x v="2"/>
    <n v="12"/>
    <x v="0"/>
  </r>
  <r>
    <x v="13"/>
    <s v="DEU"/>
    <x v="1"/>
    <s v="EN.GHG.CO2.PC.CE.AR5"/>
    <x v="3"/>
    <n v="11"/>
    <x v="0"/>
  </r>
  <r>
    <x v="13"/>
    <s v="DEU"/>
    <x v="1"/>
    <s v="EN.GHG.CO2.PC.CE.AR5"/>
    <x v="4"/>
    <n v="11"/>
    <x v="0"/>
  </r>
  <r>
    <x v="13"/>
    <s v="DEU"/>
    <x v="1"/>
    <s v="EN.GHG.CO2.PC.CE.AR5"/>
    <x v="5"/>
    <n v="11"/>
    <x v="0"/>
  </r>
  <r>
    <x v="13"/>
    <s v="DEU"/>
    <x v="1"/>
    <s v="EN.GHG.CO2.PC.CE.AR5"/>
    <x v="6"/>
    <n v="11"/>
    <x v="0"/>
  </r>
  <r>
    <x v="13"/>
    <s v="DEU"/>
    <x v="1"/>
    <s v="EN.GHG.CO2.PC.CE.AR5"/>
    <x v="7"/>
    <n v="11"/>
    <x v="1"/>
  </r>
  <r>
    <x v="13"/>
    <s v="DEU"/>
    <x v="1"/>
    <s v="EN.GHG.CO2.PC.CE.AR5"/>
    <x v="8"/>
    <n v="11"/>
    <x v="1"/>
  </r>
  <r>
    <x v="13"/>
    <s v="DEU"/>
    <x v="1"/>
    <s v="EN.GHG.CO2.PC.CE.AR5"/>
    <x v="9"/>
    <n v="11"/>
    <x v="1"/>
  </r>
  <r>
    <x v="13"/>
    <s v="DEU"/>
    <x v="1"/>
    <s v="EN.GHG.CO2.PC.CE.AR5"/>
    <x v="10"/>
    <n v="11"/>
    <x v="1"/>
  </r>
  <r>
    <x v="13"/>
    <s v="DEU"/>
    <x v="1"/>
    <s v="EN.GHG.CO2.PC.CE.AR5"/>
    <x v="11"/>
    <n v="11"/>
    <x v="1"/>
  </r>
  <r>
    <x v="13"/>
    <s v="DEU"/>
    <x v="1"/>
    <s v="EN.GHG.CO2.PC.CE.AR5"/>
    <x v="12"/>
    <n v="11"/>
    <x v="1"/>
  </r>
  <r>
    <x v="13"/>
    <s v="DEU"/>
    <x v="1"/>
    <s v="EN.GHG.CO2.PC.CE.AR5"/>
    <x v="13"/>
    <n v="11"/>
    <x v="1"/>
  </r>
  <r>
    <x v="13"/>
    <s v="DEU"/>
    <x v="1"/>
    <s v="EN.GHG.CO2.PC.CE.AR5"/>
    <x v="14"/>
    <n v="10"/>
    <x v="1"/>
  </r>
  <r>
    <x v="13"/>
    <s v="DEU"/>
    <x v="1"/>
    <s v="EN.GHG.CO2.PC.CE.AR5"/>
    <x v="15"/>
    <n v="10"/>
    <x v="1"/>
  </r>
  <r>
    <x v="13"/>
    <s v="DEU"/>
    <x v="1"/>
    <s v="EN.GHG.CO2.PC.CE.AR5"/>
    <x v="16"/>
    <n v="10"/>
    <x v="1"/>
  </r>
  <r>
    <x v="13"/>
    <s v="DEU"/>
    <x v="1"/>
    <s v="EN.GHG.CO2.PC.CE.AR5"/>
    <x v="17"/>
    <n v="10"/>
    <x v="2"/>
  </r>
  <r>
    <x v="13"/>
    <s v="DEU"/>
    <x v="1"/>
    <s v="EN.GHG.CO2.PC.CE.AR5"/>
    <x v="18"/>
    <n v="10"/>
    <x v="2"/>
  </r>
  <r>
    <x v="13"/>
    <s v="DEU"/>
    <x v="1"/>
    <s v="EN.GHG.CO2.PC.CE.AR5"/>
    <x v="19"/>
    <n v="9"/>
    <x v="2"/>
  </r>
  <r>
    <x v="13"/>
    <s v="DEU"/>
    <x v="1"/>
    <s v="EN.GHG.CO2.PC.CE.AR5"/>
    <x v="20"/>
    <n v="10"/>
    <x v="2"/>
  </r>
  <r>
    <x v="13"/>
    <s v="DEU"/>
    <x v="1"/>
    <s v="EN.GHG.CO2.PC.CE.AR5"/>
    <x v="21"/>
    <n v="10"/>
    <x v="2"/>
  </r>
  <r>
    <x v="13"/>
    <s v="DEU"/>
    <x v="1"/>
    <s v="EN.GHG.CO2.PC.CE.AR5"/>
    <x v="22"/>
    <n v="10"/>
    <x v="2"/>
  </r>
  <r>
    <x v="13"/>
    <s v="DEU"/>
    <x v="1"/>
    <s v="EN.GHG.CO2.PC.CE.AR5"/>
    <x v="23"/>
    <n v="10"/>
    <x v="2"/>
  </r>
  <r>
    <x v="13"/>
    <s v="DEU"/>
    <x v="1"/>
    <s v="EN.GHG.CO2.PC.CE.AR5"/>
    <x v="24"/>
    <n v="10"/>
    <x v="2"/>
  </r>
  <r>
    <x v="13"/>
    <s v="DEU"/>
    <x v="1"/>
    <s v="EN.GHG.CO2.PC.CE.AR5"/>
    <x v="25"/>
    <n v="10"/>
    <x v="2"/>
  </r>
  <r>
    <x v="13"/>
    <s v="DEU"/>
    <x v="1"/>
    <s v="EN.GHG.CO2.PC.CE.AR5"/>
    <x v="26"/>
    <n v="10"/>
    <x v="2"/>
  </r>
  <r>
    <x v="13"/>
    <s v="DEU"/>
    <x v="1"/>
    <s v="EN.GHG.CO2.PC.CE.AR5"/>
    <x v="27"/>
    <n v="9"/>
    <x v="3"/>
  </r>
  <r>
    <x v="13"/>
    <s v="DEU"/>
    <x v="1"/>
    <s v="EN.GHG.CO2.PC.CE.AR5"/>
    <x v="28"/>
    <n v="9"/>
    <x v="3"/>
  </r>
  <r>
    <x v="13"/>
    <s v="DEU"/>
    <x v="1"/>
    <s v="EN.GHG.CO2.PC.CE.AR5"/>
    <x v="29"/>
    <n v="8"/>
    <x v="3"/>
  </r>
  <r>
    <x v="13"/>
    <s v="DEU"/>
    <x v="1"/>
    <s v="EN.GHG.CO2.PC.CE.AR5"/>
    <x v="30"/>
    <n v="8"/>
    <x v="3"/>
  </r>
  <r>
    <x v="13"/>
    <s v="DEU"/>
    <x v="1"/>
    <s v="EN.GHG.CO2.PC.CE.AR5"/>
    <x v="31"/>
    <n v="8"/>
    <x v="3"/>
  </r>
  <r>
    <x v="13"/>
    <s v="DEU"/>
    <x v="1"/>
    <s v="EN.GHG.CO2.PC.CE.AR5"/>
    <x v="32"/>
    <n v="8"/>
    <x v="4"/>
  </r>
  <r>
    <x v="13"/>
    <s v="DEU"/>
    <x v="1"/>
    <s v="EN.GHG.CO2.PC.CE.AR5"/>
    <x v="33"/>
    <n v="7"/>
    <x v="4"/>
  </r>
  <r>
    <x v="13"/>
    <s v="DEU"/>
    <x v="1"/>
    <s v="EN.GHG.CO2.PC.CE.AR5"/>
    <x v="54"/>
    <n v="7"/>
    <x v="4"/>
  </r>
  <r>
    <x v="14"/>
    <s v="DNK"/>
    <x v="1"/>
    <s v="EN.GHG.CO2.PC.CE.AR5"/>
    <x v="34"/>
    <n v="13"/>
    <x v="4"/>
  </r>
  <r>
    <x v="14"/>
    <s v="DNK"/>
    <x v="1"/>
    <s v="EN.GHG.CO2.PC.CE.AR5"/>
    <x v="35"/>
    <n v="12"/>
    <x v="4"/>
  </r>
  <r>
    <x v="14"/>
    <s v="DNK"/>
    <x v="1"/>
    <s v="EN.GHG.CO2.PC.CE.AR5"/>
    <x v="36"/>
    <n v="12"/>
    <x v="4"/>
  </r>
  <r>
    <x v="14"/>
    <s v="DNK"/>
    <x v="1"/>
    <s v="EN.GHG.CO2.PC.CE.AR5"/>
    <x v="37"/>
    <n v="12"/>
    <x v="4"/>
  </r>
  <r>
    <x v="14"/>
    <s v="DNK"/>
    <x v="1"/>
    <s v="EN.GHG.CO2.PC.CE.AR5"/>
    <x v="38"/>
    <n v="10"/>
    <x v="4"/>
  </r>
  <r>
    <x v="14"/>
    <s v="DNK"/>
    <x v="1"/>
    <s v="EN.GHG.CO2.PC.CE.AR5"/>
    <x v="39"/>
    <n v="11"/>
    <x v="4"/>
  </r>
  <r>
    <x v="14"/>
    <s v="DNK"/>
    <x v="1"/>
    <s v="EN.GHG.CO2.PC.CE.AR5"/>
    <x v="40"/>
    <n v="12"/>
    <x v="4"/>
  </r>
  <r>
    <x v="14"/>
    <s v="DNK"/>
    <x v="1"/>
    <s v="EN.GHG.CO2.PC.CE.AR5"/>
    <x v="41"/>
    <n v="12"/>
    <x v="5"/>
  </r>
  <r>
    <x v="14"/>
    <s v="DNK"/>
    <x v="1"/>
    <s v="EN.GHG.CO2.PC.CE.AR5"/>
    <x v="42"/>
    <n v="12"/>
    <x v="5"/>
  </r>
  <r>
    <x v="14"/>
    <s v="DNK"/>
    <x v="1"/>
    <s v="EN.GHG.CO2.PC.CE.AR5"/>
    <x v="43"/>
    <n v="13"/>
    <x v="5"/>
  </r>
  <r>
    <x v="14"/>
    <s v="DNK"/>
    <x v="1"/>
    <s v="EN.GHG.CO2.PC.CE.AR5"/>
    <x v="44"/>
    <n v="13"/>
    <x v="5"/>
  </r>
  <r>
    <x v="14"/>
    <s v="DNK"/>
    <x v="1"/>
    <s v="EN.GHG.CO2.PC.CE.AR5"/>
    <x v="45"/>
    <n v="11"/>
    <x v="5"/>
  </r>
  <r>
    <x v="14"/>
    <s v="DNK"/>
    <x v="1"/>
    <s v="EN.GHG.CO2.PC.CE.AR5"/>
    <x v="46"/>
    <n v="11"/>
    <x v="5"/>
  </r>
  <r>
    <x v="14"/>
    <s v="DNK"/>
    <x v="1"/>
    <s v="EN.GHG.CO2.PC.CE.AR5"/>
    <x v="47"/>
    <n v="10"/>
    <x v="5"/>
  </r>
  <r>
    <x v="14"/>
    <s v="DNK"/>
    <x v="1"/>
    <s v="EN.GHG.CO2.PC.CE.AR5"/>
    <x v="48"/>
    <n v="11"/>
    <x v="5"/>
  </r>
  <r>
    <x v="14"/>
    <s v="DNK"/>
    <x v="1"/>
    <s v="EN.GHG.CO2.PC.CE.AR5"/>
    <x v="49"/>
    <n v="12"/>
    <x v="5"/>
  </r>
  <r>
    <x v="14"/>
    <s v="DNK"/>
    <x v="1"/>
    <s v="EN.GHG.CO2.PC.CE.AR5"/>
    <x v="50"/>
    <n v="12"/>
    <x v="5"/>
  </r>
  <r>
    <x v="14"/>
    <s v="DNK"/>
    <x v="1"/>
    <s v="EN.GHG.CO2.PC.CE.AR5"/>
    <x v="51"/>
    <n v="12"/>
    <x v="0"/>
  </r>
  <r>
    <x v="14"/>
    <s v="DNK"/>
    <x v="1"/>
    <s v="EN.GHG.CO2.PC.CE.AR5"/>
    <x v="52"/>
    <n v="11"/>
    <x v="0"/>
  </r>
  <r>
    <x v="14"/>
    <s v="DNK"/>
    <x v="1"/>
    <s v="EN.GHG.CO2.PC.CE.AR5"/>
    <x v="53"/>
    <n v="10"/>
    <x v="0"/>
  </r>
  <r>
    <x v="14"/>
    <s v="DNK"/>
    <x v="1"/>
    <s v="EN.GHG.CO2.PC.CE.AR5"/>
    <x v="0"/>
    <n v="10"/>
    <x v="0"/>
  </r>
  <r>
    <x v="14"/>
    <s v="DNK"/>
    <x v="1"/>
    <s v="EN.GHG.CO2.PC.CE.AR5"/>
    <x v="1"/>
    <n v="12"/>
    <x v="0"/>
  </r>
  <r>
    <x v="14"/>
    <s v="DNK"/>
    <x v="1"/>
    <s v="EN.GHG.CO2.PC.CE.AR5"/>
    <x v="2"/>
    <n v="11"/>
    <x v="0"/>
  </r>
  <r>
    <x v="14"/>
    <s v="DNK"/>
    <x v="1"/>
    <s v="EN.GHG.CO2.PC.CE.AR5"/>
    <x v="3"/>
    <n v="12"/>
    <x v="0"/>
  </r>
  <r>
    <x v="14"/>
    <s v="DNK"/>
    <x v="1"/>
    <s v="EN.GHG.CO2.PC.CE.AR5"/>
    <x v="4"/>
    <n v="12"/>
    <x v="0"/>
  </r>
  <r>
    <x v="14"/>
    <s v="DNK"/>
    <x v="1"/>
    <s v="EN.GHG.CO2.PC.CE.AR5"/>
    <x v="5"/>
    <n v="12"/>
    <x v="0"/>
  </r>
  <r>
    <x v="14"/>
    <s v="DNK"/>
    <x v="1"/>
    <s v="EN.GHG.CO2.PC.CE.AR5"/>
    <x v="6"/>
    <n v="14"/>
    <x v="0"/>
  </r>
  <r>
    <x v="14"/>
    <s v="DNK"/>
    <x v="1"/>
    <s v="EN.GHG.CO2.PC.CE.AR5"/>
    <x v="7"/>
    <n v="12"/>
    <x v="1"/>
  </r>
  <r>
    <x v="14"/>
    <s v="DNK"/>
    <x v="1"/>
    <s v="EN.GHG.CO2.PC.CE.AR5"/>
    <x v="8"/>
    <n v="11"/>
    <x v="1"/>
  </r>
  <r>
    <x v="14"/>
    <s v="DNK"/>
    <x v="1"/>
    <s v="EN.GHG.CO2.PC.CE.AR5"/>
    <x v="9"/>
    <n v="11"/>
    <x v="1"/>
  </r>
  <r>
    <x v="14"/>
    <s v="DNK"/>
    <x v="1"/>
    <s v="EN.GHG.CO2.PC.CE.AR5"/>
    <x v="10"/>
    <n v="10"/>
    <x v="1"/>
  </r>
  <r>
    <x v="14"/>
    <s v="DNK"/>
    <x v="1"/>
    <s v="EN.GHG.CO2.PC.CE.AR5"/>
    <x v="11"/>
    <n v="10"/>
    <x v="1"/>
  </r>
  <r>
    <x v="14"/>
    <s v="DNK"/>
    <x v="1"/>
    <s v="EN.GHG.CO2.PC.CE.AR5"/>
    <x v="12"/>
    <n v="10"/>
    <x v="1"/>
  </r>
  <r>
    <x v="14"/>
    <s v="DNK"/>
    <x v="1"/>
    <s v="EN.GHG.CO2.PC.CE.AR5"/>
    <x v="13"/>
    <n v="11"/>
    <x v="1"/>
  </r>
  <r>
    <x v="14"/>
    <s v="DNK"/>
    <x v="1"/>
    <s v="EN.GHG.CO2.PC.CE.AR5"/>
    <x v="14"/>
    <n v="10"/>
    <x v="1"/>
  </r>
  <r>
    <x v="14"/>
    <s v="DNK"/>
    <x v="1"/>
    <s v="EN.GHG.CO2.PC.CE.AR5"/>
    <x v="15"/>
    <n v="9"/>
    <x v="1"/>
  </r>
  <r>
    <x v="14"/>
    <s v="DNK"/>
    <x v="1"/>
    <s v="EN.GHG.CO2.PC.CE.AR5"/>
    <x v="16"/>
    <n v="11"/>
    <x v="1"/>
  </r>
  <r>
    <x v="14"/>
    <s v="DNK"/>
    <x v="1"/>
    <s v="EN.GHG.CO2.PC.CE.AR5"/>
    <x v="17"/>
    <n v="10"/>
    <x v="2"/>
  </r>
  <r>
    <x v="14"/>
    <s v="DNK"/>
    <x v="1"/>
    <s v="EN.GHG.CO2.PC.CE.AR5"/>
    <x v="18"/>
    <n v="9"/>
    <x v="2"/>
  </r>
  <r>
    <x v="14"/>
    <s v="DNK"/>
    <x v="1"/>
    <s v="EN.GHG.CO2.PC.CE.AR5"/>
    <x v="19"/>
    <n v="9"/>
    <x v="2"/>
  </r>
  <r>
    <x v="14"/>
    <s v="DNK"/>
    <x v="1"/>
    <s v="EN.GHG.CO2.PC.CE.AR5"/>
    <x v="20"/>
    <n v="9"/>
    <x v="2"/>
  </r>
  <r>
    <x v="14"/>
    <s v="DNK"/>
    <x v="1"/>
    <s v="EN.GHG.CO2.PC.CE.AR5"/>
    <x v="21"/>
    <n v="8"/>
    <x v="2"/>
  </r>
  <r>
    <x v="14"/>
    <s v="DNK"/>
    <x v="1"/>
    <s v="EN.GHG.CO2.PC.CE.AR5"/>
    <x v="22"/>
    <n v="7"/>
    <x v="2"/>
  </r>
  <r>
    <x v="14"/>
    <s v="DNK"/>
    <x v="1"/>
    <s v="EN.GHG.CO2.PC.CE.AR5"/>
    <x v="23"/>
    <n v="7"/>
    <x v="2"/>
  </r>
  <r>
    <x v="14"/>
    <s v="DNK"/>
    <x v="1"/>
    <s v="EN.GHG.CO2.PC.CE.AR5"/>
    <x v="24"/>
    <n v="6"/>
    <x v="2"/>
  </r>
  <r>
    <x v="14"/>
    <s v="DNK"/>
    <x v="1"/>
    <s v="EN.GHG.CO2.PC.CE.AR5"/>
    <x v="25"/>
    <n v="6"/>
    <x v="2"/>
  </r>
  <r>
    <x v="14"/>
    <s v="DNK"/>
    <x v="1"/>
    <s v="EN.GHG.CO2.PC.CE.AR5"/>
    <x v="26"/>
    <n v="6"/>
    <x v="2"/>
  </r>
  <r>
    <x v="14"/>
    <s v="DNK"/>
    <x v="1"/>
    <s v="EN.GHG.CO2.PC.CE.AR5"/>
    <x v="27"/>
    <n v="6"/>
    <x v="3"/>
  </r>
  <r>
    <x v="14"/>
    <s v="DNK"/>
    <x v="1"/>
    <s v="EN.GHG.CO2.PC.CE.AR5"/>
    <x v="28"/>
    <n v="6"/>
    <x v="3"/>
  </r>
  <r>
    <x v="14"/>
    <s v="DNK"/>
    <x v="1"/>
    <s v="EN.GHG.CO2.PC.CE.AR5"/>
    <x v="29"/>
    <n v="5"/>
    <x v="3"/>
  </r>
  <r>
    <x v="14"/>
    <s v="DNK"/>
    <x v="1"/>
    <s v="EN.GHG.CO2.PC.CE.AR5"/>
    <x v="30"/>
    <n v="5"/>
    <x v="3"/>
  </r>
  <r>
    <x v="14"/>
    <s v="DNK"/>
    <x v="1"/>
    <s v="EN.GHG.CO2.PC.CE.AR5"/>
    <x v="31"/>
    <n v="5"/>
    <x v="3"/>
  </r>
  <r>
    <x v="14"/>
    <s v="DNK"/>
    <x v="1"/>
    <s v="EN.GHG.CO2.PC.CE.AR5"/>
    <x v="32"/>
    <n v="5"/>
    <x v="4"/>
  </r>
  <r>
    <x v="14"/>
    <s v="DNK"/>
    <x v="1"/>
    <s v="EN.GHG.CO2.PC.CE.AR5"/>
    <x v="33"/>
    <n v="4"/>
    <x v="4"/>
  </r>
  <r>
    <x v="14"/>
    <s v="DNK"/>
    <x v="1"/>
    <s v="EN.GHG.CO2.PC.CE.AR5"/>
    <x v="54"/>
    <n v="4"/>
    <x v="4"/>
  </r>
  <r>
    <x v="15"/>
    <s v="ESP"/>
    <x v="1"/>
    <s v="EN.GHG.CO2.PC.CE.AR5"/>
    <x v="34"/>
    <n v="4"/>
    <x v="4"/>
  </r>
  <r>
    <x v="15"/>
    <s v="ESP"/>
    <x v="1"/>
    <s v="EN.GHG.CO2.PC.CE.AR5"/>
    <x v="35"/>
    <n v="4"/>
    <x v="4"/>
  </r>
  <r>
    <x v="15"/>
    <s v="ESP"/>
    <x v="1"/>
    <s v="EN.GHG.CO2.PC.CE.AR5"/>
    <x v="36"/>
    <n v="4"/>
    <x v="4"/>
  </r>
  <r>
    <x v="15"/>
    <s v="ESP"/>
    <x v="1"/>
    <s v="EN.GHG.CO2.PC.CE.AR5"/>
    <x v="37"/>
    <n v="5"/>
    <x v="4"/>
  </r>
  <r>
    <x v="15"/>
    <s v="ESP"/>
    <x v="1"/>
    <s v="EN.GHG.CO2.PC.CE.AR5"/>
    <x v="38"/>
    <n v="5"/>
    <x v="4"/>
  </r>
  <r>
    <x v="15"/>
    <s v="ESP"/>
    <x v="1"/>
    <s v="EN.GHG.CO2.PC.CE.AR5"/>
    <x v="39"/>
    <n v="5"/>
    <x v="4"/>
  </r>
  <r>
    <x v="15"/>
    <s v="ESP"/>
    <x v="1"/>
    <s v="EN.GHG.CO2.PC.CE.AR5"/>
    <x v="40"/>
    <n v="6"/>
    <x v="4"/>
  </r>
  <r>
    <x v="15"/>
    <s v="ESP"/>
    <x v="1"/>
    <s v="EN.GHG.CO2.PC.CE.AR5"/>
    <x v="41"/>
    <n v="5"/>
    <x v="5"/>
  </r>
  <r>
    <x v="15"/>
    <s v="ESP"/>
    <x v="1"/>
    <s v="EN.GHG.CO2.PC.CE.AR5"/>
    <x v="42"/>
    <n v="5"/>
    <x v="5"/>
  </r>
  <r>
    <x v="15"/>
    <s v="ESP"/>
    <x v="1"/>
    <s v="EN.GHG.CO2.PC.CE.AR5"/>
    <x v="43"/>
    <n v="5"/>
    <x v="5"/>
  </r>
  <r>
    <x v="15"/>
    <s v="ESP"/>
    <x v="1"/>
    <s v="EN.GHG.CO2.PC.CE.AR5"/>
    <x v="44"/>
    <n v="6"/>
    <x v="5"/>
  </r>
  <r>
    <x v="15"/>
    <s v="ESP"/>
    <x v="1"/>
    <s v="EN.GHG.CO2.PC.CE.AR5"/>
    <x v="45"/>
    <n v="6"/>
    <x v="5"/>
  </r>
  <r>
    <x v="15"/>
    <s v="ESP"/>
    <x v="1"/>
    <s v="EN.GHG.CO2.PC.CE.AR5"/>
    <x v="46"/>
    <n v="6"/>
    <x v="5"/>
  </r>
  <r>
    <x v="15"/>
    <s v="ESP"/>
    <x v="1"/>
    <s v="EN.GHG.CO2.PC.CE.AR5"/>
    <x v="47"/>
    <n v="6"/>
    <x v="5"/>
  </r>
  <r>
    <x v="15"/>
    <s v="ESP"/>
    <x v="1"/>
    <s v="EN.GHG.CO2.PC.CE.AR5"/>
    <x v="48"/>
    <n v="5"/>
    <x v="5"/>
  </r>
  <r>
    <x v="15"/>
    <s v="ESP"/>
    <x v="1"/>
    <s v="EN.GHG.CO2.PC.CE.AR5"/>
    <x v="49"/>
    <n v="5"/>
    <x v="5"/>
  </r>
  <r>
    <x v="15"/>
    <s v="ESP"/>
    <x v="1"/>
    <s v="EN.GHG.CO2.PC.CE.AR5"/>
    <x v="50"/>
    <n v="5"/>
    <x v="5"/>
  </r>
  <r>
    <x v="15"/>
    <s v="ESP"/>
    <x v="1"/>
    <s v="EN.GHG.CO2.PC.CE.AR5"/>
    <x v="51"/>
    <n v="5"/>
    <x v="0"/>
  </r>
  <r>
    <x v="15"/>
    <s v="ESP"/>
    <x v="1"/>
    <s v="EN.GHG.CO2.PC.CE.AR5"/>
    <x v="52"/>
    <n v="5"/>
    <x v="0"/>
  </r>
  <r>
    <x v="15"/>
    <s v="ESP"/>
    <x v="1"/>
    <s v="EN.GHG.CO2.PC.CE.AR5"/>
    <x v="53"/>
    <n v="6"/>
    <x v="0"/>
  </r>
  <r>
    <x v="15"/>
    <s v="ESP"/>
    <x v="1"/>
    <s v="EN.GHG.CO2.PC.CE.AR5"/>
    <x v="0"/>
    <n v="6"/>
    <x v="0"/>
  </r>
  <r>
    <x v="15"/>
    <s v="ESP"/>
    <x v="1"/>
    <s v="EN.GHG.CO2.PC.CE.AR5"/>
    <x v="1"/>
    <n v="6"/>
    <x v="0"/>
  </r>
  <r>
    <x v="15"/>
    <s v="ESP"/>
    <x v="1"/>
    <s v="EN.GHG.CO2.PC.CE.AR5"/>
    <x v="2"/>
    <n v="6"/>
    <x v="0"/>
  </r>
  <r>
    <x v="15"/>
    <s v="ESP"/>
    <x v="1"/>
    <s v="EN.GHG.CO2.PC.CE.AR5"/>
    <x v="3"/>
    <n v="6"/>
    <x v="0"/>
  </r>
  <r>
    <x v="15"/>
    <s v="ESP"/>
    <x v="1"/>
    <s v="EN.GHG.CO2.PC.CE.AR5"/>
    <x v="4"/>
    <n v="6"/>
    <x v="0"/>
  </r>
  <r>
    <x v="15"/>
    <s v="ESP"/>
    <x v="1"/>
    <s v="EN.GHG.CO2.PC.CE.AR5"/>
    <x v="5"/>
    <n v="6"/>
    <x v="0"/>
  </r>
  <r>
    <x v="15"/>
    <s v="ESP"/>
    <x v="1"/>
    <s v="EN.GHG.CO2.PC.CE.AR5"/>
    <x v="6"/>
    <n v="6"/>
    <x v="0"/>
  </r>
  <r>
    <x v="15"/>
    <s v="ESP"/>
    <x v="1"/>
    <s v="EN.GHG.CO2.PC.CE.AR5"/>
    <x v="7"/>
    <n v="7"/>
    <x v="1"/>
  </r>
  <r>
    <x v="15"/>
    <s v="ESP"/>
    <x v="1"/>
    <s v="EN.GHG.CO2.PC.CE.AR5"/>
    <x v="8"/>
    <n v="7"/>
    <x v="1"/>
  </r>
  <r>
    <x v="15"/>
    <s v="ESP"/>
    <x v="1"/>
    <s v="EN.GHG.CO2.PC.CE.AR5"/>
    <x v="9"/>
    <n v="7"/>
    <x v="1"/>
  </r>
  <r>
    <x v="15"/>
    <s v="ESP"/>
    <x v="1"/>
    <s v="EN.GHG.CO2.PC.CE.AR5"/>
    <x v="10"/>
    <n v="8"/>
    <x v="1"/>
  </r>
  <r>
    <x v="15"/>
    <s v="ESP"/>
    <x v="1"/>
    <s v="EN.GHG.CO2.PC.CE.AR5"/>
    <x v="11"/>
    <n v="8"/>
    <x v="1"/>
  </r>
  <r>
    <x v="15"/>
    <s v="ESP"/>
    <x v="1"/>
    <s v="EN.GHG.CO2.PC.CE.AR5"/>
    <x v="12"/>
    <n v="8"/>
    <x v="1"/>
  </r>
  <r>
    <x v="15"/>
    <s v="ESP"/>
    <x v="1"/>
    <s v="EN.GHG.CO2.PC.CE.AR5"/>
    <x v="13"/>
    <n v="8"/>
    <x v="1"/>
  </r>
  <r>
    <x v="15"/>
    <s v="ESP"/>
    <x v="1"/>
    <s v="EN.GHG.CO2.PC.CE.AR5"/>
    <x v="14"/>
    <n v="8"/>
    <x v="1"/>
  </r>
  <r>
    <x v="15"/>
    <s v="ESP"/>
    <x v="1"/>
    <s v="EN.GHG.CO2.PC.CE.AR5"/>
    <x v="15"/>
    <n v="8"/>
    <x v="1"/>
  </r>
  <r>
    <x v="15"/>
    <s v="ESP"/>
    <x v="1"/>
    <s v="EN.GHG.CO2.PC.CE.AR5"/>
    <x v="16"/>
    <n v="8"/>
    <x v="1"/>
  </r>
  <r>
    <x v="15"/>
    <s v="ESP"/>
    <x v="1"/>
    <s v="EN.GHG.CO2.PC.CE.AR5"/>
    <x v="17"/>
    <n v="8"/>
    <x v="2"/>
  </r>
  <r>
    <x v="15"/>
    <s v="ESP"/>
    <x v="1"/>
    <s v="EN.GHG.CO2.PC.CE.AR5"/>
    <x v="18"/>
    <n v="7"/>
    <x v="2"/>
  </r>
  <r>
    <x v="15"/>
    <s v="ESP"/>
    <x v="1"/>
    <s v="EN.GHG.CO2.PC.CE.AR5"/>
    <x v="19"/>
    <n v="6"/>
    <x v="2"/>
  </r>
  <r>
    <x v="15"/>
    <s v="ESP"/>
    <x v="1"/>
    <s v="EN.GHG.CO2.PC.CE.AR5"/>
    <x v="20"/>
    <n v="6"/>
    <x v="2"/>
  </r>
  <r>
    <x v="15"/>
    <s v="ESP"/>
    <x v="1"/>
    <s v="EN.GHG.CO2.PC.CE.AR5"/>
    <x v="21"/>
    <n v="6"/>
    <x v="2"/>
  </r>
  <r>
    <x v="15"/>
    <s v="ESP"/>
    <x v="1"/>
    <s v="EN.GHG.CO2.PC.CE.AR5"/>
    <x v="22"/>
    <n v="6"/>
    <x v="2"/>
  </r>
  <r>
    <x v="15"/>
    <s v="ESP"/>
    <x v="1"/>
    <s v="EN.GHG.CO2.PC.CE.AR5"/>
    <x v="23"/>
    <n v="6"/>
    <x v="2"/>
  </r>
  <r>
    <x v="15"/>
    <s v="ESP"/>
    <x v="1"/>
    <s v="EN.GHG.CO2.PC.CE.AR5"/>
    <x v="24"/>
    <n v="5"/>
    <x v="2"/>
  </r>
  <r>
    <x v="15"/>
    <s v="ESP"/>
    <x v="1"/>
    <s v="EN.GHG.CO2.PC.CE.AR5"/>
    <x v="25"/>
    <n v="6"/>
    <x v="2"/>
  </r>
  <r>
    <x v="15"/>
    <s v="ESP"/>
    <x v="1"/>
    <s v="EN.GHG.CO2.PC.CE.AR5"/>
    <x v="26"/>
    <n v="6"/>
    <x v="2"/>
  </r>
  <r>
    <x v="15"/>
    <s v="ESP"/>
    <x v="1"/>
    <s v="EN.GHG.CO2.PC.CE.AR5"/>
    <x v="27"/>
    <n v="6"/>
    <x v="3"/>
  </r>
  <r>
    <x v="15"/>
    <s v="ESP"/>
    <x v="1"/>
    <s v="EN.GHG.CO2.PC.CE.AR5"/>
    <x v="28"/>
    <n v="6"/>
    <x v="3"/>
  </r>
  <r>
    <x v="15"/>
    <s v="ESP"/>
    <x v="1"/>
    <s v="EN.GHG.CO2.PC.CE.AR5"/>
    <x v="29"/>
    <n v="5"/>
    <x v="3"/>
  </r>
  <r>
    <x v="15"/>
    <s v="ESP"/>
    <x v="1"/>
    <s v="EN.GHG.CO2.PC.CE.AR5"/>
    <x v="30"/>
    <n v="5"/>
    <x v="3"/>
  </r>
  <r>
    <x v="15"/>
    <s v="ESP"/>
    <x v="1"/>
    <s v="EN.GHG.CO2.PC.CE.AR5"/>
    <x v="31"/>
    <n v="5"/>
    <x v="3"/>
  </r>
  <r>
    <x v="15"/>
    <s v="ESP"/>
    <x v="1"/>
    <s v="EN.GHG.CO2.PC.CE.AR5"/>
    <x v="32"/>
    <n v="5"/>
    <x v="4"/>
  </r>
  <r>
    <x v="15"/>
    <s v="ESP"/>
    <x v="1"/>
    <s v="EN.GHG.CO2.PC.CE.AR5"/>
    <x v="33"/>
    <n v="5"/>
    <x v="4"/>
  </r>
  <r>
    <x v="15"/>
    <s v="ESP"/>
    <x v="1"/>
    <s v="EN.GHG.CO2.PC.CE.AR5"/>
    <x v="54"/>
    <n v="5"/>
    <x v="4"/>
  </r>
  <r>
    <x v="16"/>
    <s v="EST"/>
    <x v="1"/>
    <s v="EN.GHG.CO2.PC.CE.AR5"/>
    <x v="34"/>
    <n v="16"/>
    <x v="4"/>
  </r>
  <r>
    <x v="16"/>
    <s v="EST"/>
    <x v="1"/>
    <s v="EN.GHG.CO2.PC.CE.AR5"/>
    <x v="35"/>
    <n v="16"/>
    <x v="4"/>
  </r>
  <r>
    <x v="16"/>
    <s v="EST"/>
    <x v="1"/>
    <s v="EN.GHG.CO2.PC.CE.AR5"/>
    <x v="36"/>
    <n v="17"/>
    <x v="4"/>
  </r>
  <r>
    <x v="16"/>
    <s v="EST"/>
    <x v="1"/>
    <s v="EN.GHG.CO2.PC.CE.AR5"/>
    <x v="37"/>
    <n v="19"/>
    <x v="4"/>
  </r>
  <r>
    <x v="16"/>
    <s v="EST"/>
    <x v="1"/>
    <s v="EN.GHG.CO2.PC.CE.AR5"/>
    <x v="38"/>
    <n v="21"/>
    <x v="4"/>
  </r>
  <r>
    <x v="16"/>
    <s v="EST"/>
    <x v="1"/>
    <s v="EN.GHG.CO2.PC.CE.AR5"/>
    <x v="39"/>
    <n v="22"/>
    <x v="4"/>
  </r>
  <r>
    <x v="16"/>
    <s v="EST"/>
    <x v="1"/>
    <s v="EN.GHG.CO2.PC.CE.AR5"/>
    <x v="40"/>
    <n v="23"/>
    <x v="4"/>
  </r>
  <r>
    <x v="16"/>
    <s v="EST"/>
    <x v="1"/>
    <s v="EN.GHG.CO2.PC.CE.AR5"/>
    <x v="41"/>
    <n v="24"/>
    <x v="5"/>
  </r>
  <r>
    <x v="16"/>
    <s v="EST"/>
    <x v="1"/>
    <s v="EN.GHG.CO2.PC.CE.AR5"/>
    <x v="42"/>
    <n v="26"/>
    <x v="5"/>
  </r>
  <r>
    <x v="16"/>
    <s v="EST"/>
    <x v="1"/>
    <s v="EN.GHG.CO2.PC.CE.AR5"/>
    <x v="43"/>
    <n v="27"/>
    <x v="5"/>
  </r>
  <r>
    <x v="16"/>
    <s v="EST"/>
    <x v="1"/>
    <s v="EN.GHG.CO2.PC.CE.AR5"/>
    <x v="44"/>
    <n v="27"/>
    <x v="5"/>
  </r>
  <r>
    <x v="16"/>
    <s v="EST"/>
    <x v="1"/>
    <s v="EN.GHG.CO2.PC.CE.AR5"/>
    <x v="45"/>
    <n v="28"/>
    <x v="5"/>
  </r>
  <r>
    <x v="16"/>
    <s v="EST"/>
    <x v="1"/>
    <s v="EN.GHG.CO2.PC.CE.AR5"/>
    <x v="46"/>
    <n v="28"/>
    <x v="5"/>
  </r>
  <r>
    <x v="16"/>
    <s v="EST"/>
    <x v="1"/>
    <s v="EN.GHG.CO2.PC.CE.AR5"/>
    <x v="47"/>
    <n v="27"/>
    <x v="5"/>
  </r>
  <r>
    <x v="16"/>
    <s v="EST"/>
    <x v="1"/>
    <s v="EN.GHG.CO2.PC.CE.AR5"/>
    <x v="48"/>
    <n v="27"/>
    <x v="5"/>
  </r>
  <r>
    <x v="16"/>
    <s v="EST"/>
    <x v="1"/>
    <s v="EN.GHG.CO2.PC.CE.AR5"/>
    <x v="49"/>
    <n v="26"/>
    <x v="5"/>
  </r>
  <r>
    <x v="16"/>
    <s v="EST"/>
    <x v="1"/>
    <s v="EN.GHG.CO2.PC.CE.AR5"/>
    <x v="50"/>
    <n v="25"/>
    <x v="5"/>
  </r>
  <r>
    <x v="16"/>
    <s v="EST"/>
    <x v="1"/>
    <s v="EN.GHG.CO2.PC.CE.AR5"/>
    <x v="51"/>
    <n v="24"/>
    <x v="0"/>
  </r>
  <r>
    <x v="16"/>
    <s v="EST"/>
    <x v="1"/>
    <s v="EN.GHG.CO2.PC.CE.AR5"/>
    <x v="52"/>
    <n v="23"/>
    <x v="0"/>
  </r>
  <r>
    <x v="16"/>
    <s v="EST"/>
    <x v="1"/>
    <s v="EN.GHG.CO2.PC.CE.AR5"/>
    <x v="53"/>
    <n v="21"/>
    <x v="0"/>
  </r>
  <r>
    <x v="16"/>
    <s v="EST"/>
    <x v="1"/>
    <s v="EN.GHG.CO2.PC.CE.AR5"/>
    <x v="0"/>
    <n v="26"/>
    <x v="0"/>
  </r>
  <r>
    <x v="16"/>
    <s v="EST"/>
    <x v="1"/>
    <s v="EN.GHG.CO2.PC.CE.AR5"/>
    <x v="1"/>
    <n v="23"/>
    <x v="0"/>
  </r>
  <r>
    <x v="16"/>
    <s v="EST"/>
    <x v="1"/>
    <s v="EN.GHG.CO2.PC.CE.AR5"/>
    <x v="2"/>
    <n v="17"/>
    <x v="0"/>
  </r>
  <r>
    <x v="16"/>
    <s v="EST"/>
    <x v="1"/>
    <s v="EN.GHG.CO2.PC.CE.AR5"/>
    <x v="3"/>
    <n v="15"/>
    <x v="0"/>
  </r>
  <r>
    <x v="16"/>
    <s v="EST"/>
    <x v="1"/>
    <s v="EN.GHG.CO2.PC.CE.AR5"/>
    <x v="4"/>
    <n v="15"/>
    <x v="0"/>
  </r>
  <r>
    <x v="16"/>
    <s v="EST"/>
    <x v="1"/>
    <s v="EN.GHG.CO2.PC.CE.AR5"/>
    <x v="5"/>
    <n v="14"/>
    <x v="0"/>
  </r>
  <r>
    <x v="16"/>
    <s v="EST"/>
    <x v="1"/>
    <s v="EN.GHG.CO2.PC.CE.AR5"/>
    <x v="6"/>
    <n v="15"/>
    <x v="0"/>
  </r>
  <r>
    <x v="16"/>
    <s v="EST"/>
    <x v="1"/>
    <s v="EN.GHG.CO2.PC.CE.AR5"/>
    <x v="7"/>
    <n v="15"/>
    <x v="1"/>
  </r>
  <r>
    <x v="16"/>
    <s v="EST"/>
    <x v="1"/>
    <s v="EN.GHG.CO2.PC.CE.AR5"/>
    <x v="8"/>
    <n v="14"/>
    <x v="1"/>
  </r>
  <r>
    <x v="16"/>
    <s v="EST"/>
    <x v="1"/>
    <s v="EN.GHG.CO2.PC.CE.AR5"/>
    <x v="9"/>
    <n v="13"/>
    <x v="1"/>
  </r>
  <r>
    <x v="16"/>
    <s v="EST"/>
    <x v="1"/>
    <s v="EN.GHG.CO2.PC.CE.AR5"/>
    <x v="10"/>
    <n v="13"/>
    <x v="1"/>
  </r>
  <r>
    <x v="16"/>
    <s v="EST"/>
    <x v="1"/>
    <s v="EN.GHG.CO2.PC.CE.AR5"/>
    <x v="11"/>
    <n v="13"/>
    <x v="1"/>
  </r>
  <r>
    <x v="16"/>
    <s v="EST"/>
    <x v="1"/>
    <s v="EN.GHG.CO2.PC.CE.AR5"/>
    <x v="12"/>
    <n v="13"/>
    <x v="1"/>
  </r>
  <r>
    <x v="16"/>
    <s v="EST"/>
    <x v="1"/>
    <s v="EN.GHG.CO2.PC.CE.AR5"/>
    <x v="13"/>
    <n v="14"/>
    <x v="1"/>
  </r>
  <r>
    <x v="16"/>
    <s v="EST"/>
    <x v="1"/>
    <s v="EN.GHG.CO2.PC.CE.AR5"/>
    <x v="14"/>
    <n v="15"/>
    <x v="1"/>
  </r>
  <r>
    <x v="16"/>
    <s v="EST"/>
    <x v="1"/>
    <s v="EN.GHG.CO2.PC.CE.AR5"/>
    <x v="15"/>
    <n v="15"/>
    <x v="1"/>
  </r>
  <r>
    <x v="16"/>
    <s v="EST"/>
    <x v="1"/>
    <s v="EN.GHG.CO2.PC.CE.AR5"/>
    <x v="16"/>
    <n v="14"/>
    <x v="1"/>
  </r>
  <r>
    <x v="16"/>
    <s v="EST"/>
    <x v="1"/>
    <s v="EN.GHG.CO2.PC.CE.AR5"/>
    <x v="17"/>
    <n v="17"/>
    <x v="2"/>
  </r>
  <r>
    <x v="16"/>
    <s v="EST"/>
    <x v="1"/>
    <s v="EN.GHG.CO2.PC.CE.AR5"/>
    <x v="18"/>
    <n v="16"/>
    <x v="2"/>
  </r>
  <r>
    <x v="16"/>
    <s v="EST"/>
    <x v="1"/>
    <s v="EN.GHG.CO2.PC.CE.AR5"/>
    <x v="19"/>
    <n v="13"/>
    <x v="2"/>
  </r>
  <r>
    <x v="16"/>
    <s v="EST"/>
    <x v="1"/>
    <s v="EN.GHG.CO2.PC.CE.AR5"/>
    <x v="20"/>
    <n v="17"/>
    <x v="2"/>
  </r>
  <r>
    <x v="16"/>
    <s v="EST"/>
    <x v="1"/>
    <s v="EN.GHG.CO2.PC.CE.AR5"/>
    <x v="21"/>
    <n v="17"/>
    <x v="2"/>
  </r>
  <r>
    <x v="16"/>
    <s v="EST"/>
    <x v="1"/>
    <s v="EN.GHG.CO2.PC.CE.AR5"/>
    <x v="22"/>
    <n v="16"/>
    <x v="2"/>
  </r>
  <r>
    <x v="16"/>
    <s v="EST"/>
    <x v="1"/>
    <s v="EN.GHG.CO2.PC.CE.AR5"/>
    <x v="23"/>
    <n v="18"/>
    <x v="2"/>
  </r>
  <r>
    <x v="16"/>
    <s v="EST"/>
    <x v="1"/>
    <s v="EN.GHG.CO2.PC.CE.AR5"/>
    <x v="24"/>
    <n v="17"/>
    <x v="2"/>
  </r>
  <r>
    <x v="16"/>
    <s v="EST"/>
    <x v="1"/>
    <s v="EN.GHG.CO2.PC.CE.AR5"/>
    <x v="25"/>
    <n v="16"/>
    <x v="2"/>
  </r>
  <r>
    <x v="16"/>
    <s v="EST"/>
    <x v="1"/>
    <s v="EN.GHG.CO2.PC.CE.AR5"/>
    <x v="26"/>
    <n v="16"/>
    <x v="2"/>
  </r>
  <r>
    <x v="16"/>
    <s v="EST"/>
    <x v="1"/>
    <s v="EN.GHG.CO2.PC.CE.AR5"/>
    <x v="27"/>
    <n v="17"/>
    <x v="3"/>
  </r>
  <r>
    <x v="16"/>
    <s v="EST"/>
    <x v="1"/>
    <s v="EN.GHG.CO2.PC.CE.AR5"/>
    <x v="28"/>
    <n v="18"/>
    <x v="3"/>
  </r>
  <r>
    <x v="16"/>
    <s v="EST"/>
    <x v="1"/>
    <s v="EN.GHG.CO2.PC.CE.AR5"/>
    <x v="29"/>
    <n v="12"/>
    <x v="3"/>
  </r>
  <r>
    <x v="16"/>
    <s v="EST"/>
    <x v="1"/>
    <s v="EN.GHG.CO2.PC.CE.AR5"/>
    <x v="30"/>
    <n v="9"/>
    <x v="3"/>
  </r>
  <r>
    <x v="16"/>
    <s v="EST"/>
    <x v="1"/>
    <s v="EN.GHG.CO2.PC.CE.AR5"/>
    <x v="31"/>
    <n v="10"/>
    <x v="3"/>
  </r>
  <r>
    <x v="16"/>
    <s v="EST"/>
    <x v="1"/>
    <s v="EN.GHG.CO2.PC.CE.AR5"/>
    <x v="32"/>
    <n v="11"/>
    <x v="4"/>
  </r>
  <r>
    <x v="16"/>
    <s v="EST"/>
    <x v="1"/>
    <s v="EN.GHG.CO2.PC.CE.AR5"/>
    <x v="33"/>
    <n v="8"/>
    <x v="4"/>
  </r>
  <r>
    <x v="16"/>
    <s v="EST"/>
    <x v="1"/>
    <s v="EN.GHG.CO2.PC.CE.AR5"/>
    <x v="54"/>
    <n v="8"/>
    <x v="4"/>
  </r>
  <r>
    <x v="17"/>
    <s v="FIN"/>
    <x v="1"/>
    <s v="EN.GHG.CO2.PC.CE.AR5"/>
    <x v="34"/>
    <n v="9"/>
    <x v="4"/>
  </r>
  <r>
    <x v="17"/>
    <s v="FIN"/>
    <x v="1"/>
    <s v="EN.GHG.CO2.PC.CE.AR5"/>
    <x v="35"/>
    <n v="9"/>
    <x v="4"/>
  </r>
  <r>
    <x v="17"/>
    <s v="FIN"/>
    <x v="1"/>
    <s v="EN.GHG.CO2.PC.CE.AR5"/>
    <x v="36"/>
    <n v="10"/>
    <x v="4"/>
  </r>
  <r>
    <x v="17"/>
    <s v="FIN"/>
    <x v="1"/>
    <s v="EN.GHG.CO2.PC.CE.AR5"/>
    <x v="37"/>
    <n v="10"/>
    <x v="4"/>
  </r>
  <r>
    <x v="17"/>
    <s v="FIN"/>
    <x v="1"/>
    <s v="EN.GHG.CO2.PC.CE.AR5"/>
    <x v="38"/>
    <n v="10"/>
    <x v="4"/>
  </r>
  <r>
    <x v="17"/>
    <s v="FIN"/>
    <x v="1"/>
    <s v="EN.GHG.CO2.PC.CE.AR5"/>
    <x v="39"/>
    <n v="10"/>
    <x v="4"/>
  </r>
  <r>
    <x v="17"/>
    <s v="FIN"/>
    <x v="1"/>
    <s v="EN.GHG.CO2.PC.CE.AR5"/>
    <x v="40"/>
    <n v="11"/>
    <x v="4"/>
  </r>
  <r>
    <x v="17"/>
    <s v="FIN"/>
    <x v="1"/>
    <s v="EN.GHG.CO2.PC.CE.AR5"/>
    <x v="41"/>
    <n v="11"/>
    <x v="5"/>
  </r>
  <r>
    <x v="17"/>
    <s v="FIN"/>
    <x v="1"/>
    <s v="EN.GHG.CO2.PC.CE.AR5"/>
    <x v="42"/>
    <n v="12"/>
    <x v="5"/>
  </r>
  <r>
    <x v="17"/>
    <s v="FIN"/>
    <x v="1"/>
    <s v="EN.GHG.CO2.PC.CE.AR5"/>
    <x v="43"/>
    <n v="12"/>
    <x v="5"/>
  </r>
  <r>
    <x v="17"/>
    <s v="FIN"/>
    <x v="1"/>
    <s v="EN.GHG.CO2.PC.CE.AR5"/>
    <x v="44"/>
    <n v="12"/>
    <x v="5"/>
  </r>
  <r>
    <x v="17"/>
    <s v="FIN"/>
    <x v="1"/>
    <s v="EN.GHG.CO2.PC.CE.AR5"/>
    <x v="45"/>
    <n v="10"/>
    <x v="5"/>
  </r>
  <r>
    <x v="17"/>
    <s v="FIN"/>
    <x v="1"/>
    <s v="EN.GHG.CO2.PC.CE.AR5"/>
    <x v="46"/>
    <n v="10"/>
    <x v="5"/>
  </r>
  <r>
    <x v="17"/>
    <s v="FIN"/>
    <x v="1"/>
    <s v="EN.GHG.CO2.PC.CE.AR5"/>
    <x v="47"/>
    <n v="9"/>
    <x v="5"/>
  </r>
  <r>
    <x v="17"/>
    <s v="FIN"/>
    <x v="1"/>
    <s v="EN.GHG.CO2.PC.CE.AR5"/>
    <x v="48"/>
    <n v="9"/>
    <x v="5"/>
  </r>
  <r>
    <x v="17"/>
    <s v="FIN"/>
    <x v="1"/>
    <s v="EN.GHG.CO2.PC.CE.AR5"/>
    <x v="49"/>
    <n v="10"/>
    <x v="5"/>
  </r>
  <r>
    <x v="17"/>
    <s v="FIN"/>
    <x v="1"/>
    <s v="EN.GHG.CO2.PC.CE.AR5"/>
    <x v="50"/>
    <n v="10"/>
    <x v="5"/>
  </r>
  <r>
    <x v="17"/>
    <s v="FIN"/>
    <x v="1"/>
    <s v="EN.GHG.CO2.PC.CE.AR5"/>
    <x v="51"/>
    <n v="11"/>
    <x v="0"/>
  </r>
  <r>
    <x v="17"/>
    <s v="FIN"/>
    <x v="1"/>
    <s v="EN.GHG.CO2.PC.CE.AR5"/>
    <x v="52"/>
    <n v="11"/>
    <x v="0"/>
  </r>
  <r>
    <x v="17"/>
    <s v="FIN"/>
    <x v="1"/>
    <s v="EN.GHG.CO2.PC.CE.AR5"/>
    <x v="53"/>
    <n v="11"/>
    <x v="0"/>
  </r>
  <r>
    <x v="17"/>
    <s v="FIN"/>
    <x v="1"/>
    <s v="EN.GHG.CO2.PC.CE.AR5"/>
    <x v="0"/>
    <n v="11"/>
    <x v="0"/>
  </r>
  <r>
    <x v="17"/>
    <s v="FIN"/>
    <x v="1"/>
    <s v="EN.GHG.CO2.PC.CE.AR5"/>
    <x v="1"/>
    <n v="11"/>
    <x v="0"/>
  </r>
  <r>
    <x v="17"/>
    <s v="FIN"/>
    <x v="1"/>
    <s v="EN.GHG.CO2.PC.CE.AR5"/>
    <x v="2"/>
    <n v="11"/>
    <x v="0"/>
  </r>
  <r>
    <x v="17"/>
    <s v="FIN"/>
    <x v="1"/>
    <s v="EN.GHG.CO2.PC.CE.AR5"/>
    <x v="3"/>
    <n v="11"/>
    <x v="0"/>
  </r>
  <r>
    <x v="17"/>
    <s v="FIN"/>
    <x v="1"/>
    <s v="EN.GHG.CO2.PC.CE.AR5"/>
    <x v="4"/>
    <n v="12"/>
    <x v="0"/>
  </r>
  <r>
    <x v="17"/>
    <s v="FIN"/>
    <x v="1"/>
    <s v="EN.GHG.CO2.PC.CE.AR5"/>
    <x v="5"/>
    <n v="12"/>
    <x v="0"/>
  </r>
  <r>
    <x v="17"/>
    <s v="FIN"/>
    <x v="1"/>
    <s v="EN.GHG.CO2.PC.CE.AR5"/>
    <x v="6"/>
    <n v="13"/>
    <x v="0"/>
  </r>
  <r>
    <x v="17"/>
    <s v="FIN"/>
    <x v="1"/>
    <s v="EN.GHG.CO2.PC.CE.AR5"/>
    <x v="7"/>
    <n v="12"/>
    <x v="1"/>
  </r>
  <r>
    <x v="17"/>
    <s v="FIN"/>
    <x v="1"/>
    <s v="EN.GHG.CO2.PC.CE.AR5"/>
    <x v="8"/>
    <n v="12"/>
    <x v="1"/>
  </r>
  <r>
    <x v="17"/>
    <s v="FIN"/>
    <x v="1"/>
    <s v="EN.GHG.CO2.PC.CE.AR5"/>
    <x v="9"/>
    <n v="11"/>
    <x v="1"/>
  </r>
  <r>
    <x v="17"/>
    <s v="FIN"/>
    <x v="1"/>
    <s v="EN.GHG.CO2.PC.CE.AR5"/>
    <x v="10"/>
    <n v="11"/>
    <x v="1"/>
  </r>
  <r>
    <x v="17"/>
    <s v="FIN"/>
    <x v="1"/>
    <s v="EN.GHG.CO2.PC.CE.AR5"/>
    <x v="11"/>
    <n v="12"/>
    <x v="1"/>
  </r>
  <r>
    <x v="17"/>
    <s v="FIN"/>
    <x v="1"/>
    <s v="EN.GHG.CO2.PC.CE.AR5"/>
    <x v="12"/>
    <n v="13"/>
    <x v="1"/>
  </r>
  <r>
    <x v="17"/>
    <s v="FIN"/>
    <x v="1"/>
    <s v="EN.GHG.CO2.PC.CE.AR5"/>
    <x v="13"/>
    <n v="14"/>
    <x v="1"/>
  </r>
  <r>
    <x v="17"/>
    <s v="FIN"/>
    <x v="1"/>
    <s v="EN.GHG.CO2.PC.CE.AR5"/>
    <x v="14"/>
    <n v="13"/>
    <x v="1"/>
  </r>
  <r>
    <x v="17"/>
    <s v="FIN"/>
    <x v="1"/>
    <s v="EN.GHG.CO2.PC.CE.AR5"/>
    <x v="15"/>
    <n v="11"/>
    <x v="1"/>
  </r>
  <r>
    <x v="17"/>
    <s v="FIN"/>
    <x v="1"/>
    <s v="EN.GHG.CO2.PC.CE.AR5"/>
    <x v="16"/>
    <n v="13"/>
    <x v="1"/>
  </r>
  <r>
    <x v="17"/>
    <s v="FIN"/>
    <x v="1"/>
    <s v="EN.GHG.CO2.PC.CE.AR5"/>
    <x v="17"/>
    <n v="13"/>
    <x v="2"/>
  </r>
  <r>
    <x v="17"/>
    <s v="FIN"/>
    <x v="1"/>
    <s v="EN.GHG.CO2.PC.CE.AR5"/>
    <x v="18"/>
    <n v="11"/>
    <x v="2"/>
  </r>
  <r>
    <x v="17"/>
    <s v="FIN"/>
    <x v="1"/>
    <s v="EN.GHG.CO2.PC.CE.AR5"/>
    <x v="19"/>
    <n v="11"/>
    <x v="2"/>
  </r>
  <r>
    <x v="17"/>
    <s v="FIN"/>
    <x v="1"/>
    <s v="EN.GHG.CO2.PC.CE.AR5"/>
    <x v="20"/>
    <n v="12"/>
    <x v="2"/>
  </r>
  <r>
    <x v="17"/>
    <s v="FIN"/>
    <x v="1"/>
    <s v="EN.GHG.CO2.PC.CE.AR5"/>
    <x v="21"/>
    <n v="11"/>
    <x v="2"/>
  </r>
  <r>
    <x v="17"/>
    <s v="FIN"/>
    <x v="1"/>
    <s v="EN.GHG.CO2.PC.CE.AR5"/>
    <x v="22"/>
    <n v="10"/>
    <x v="2"/>
  </r>
  <r>
    <x v="17"/>
    <s v="FIN"/>
    <x v="1"/>
    <s v="EN.GHG.CO2.PC.CE.AR5"/>
    <x v="23"/>
    <n v="10"/>
    <x v="2"/>
  </r>
  <r>
    <x v="17"/>
    <s v="FIN"/>
    <x v="1"/>
    <s v="EN.GHG.CO2.PC.CE.AR5"/>
    <x v="24"/>
    <n v="9"/>
    <x v="2"/>
  </r>
  <r>
    <x v="17"/>
    <s v="FIN"/>
    <x v="1"/>
    <s v="EN.GHG.CO2.PC.CE.AR5"/>
    <x v="25"/>
    <n v="8"/>
    <x v="2"/>
  </r>
  <r>
    <x v="17"/>
    <s v="FIN"/>
    <x v="1"/>
    <s v="EN.GHG.CO2.PC.CE.AR5"/>
    <x v="26"/>
    <n v="9"/>
    <x v="2"/>
  </r>
  <r>
    <x v="17"/>
    <s v="FIN"/>
    <x v="1"/>
    <s v="EN.GHG.CO2.PC.CE.AR5"/>
    <x v="27"/>
    <n v="8"/>
    <x v="3"/>
  </r>
  <r>
    <x v="17"/>
    <s v="FIN"/>
    <x v="1"/>
    <s v="EN.GHG.CO2.PC.CE.AR5"/>
    <x v="28"/>
    <n v="9"/>
    <x v="3"/>
  </r>
  <r>
    <x v="17"/>
    <s v="FIN"/>
    <x v="1"/>
    <s v="EN.GHG.CO2.PC.CE.AR5"/>
    <x v="29"/>
    <n v="8"/>
    <x v="3"/>
  </r>
  <r>
    <x v="17"/>
    <s v="FIN"/>
    <x v="1"/>
    <s v="EN.GHG.CO2.PC.CE.AR5"/>
    <x v="30"/>
    <n v="7"/>
    <x v="3"/>
  </r>
  <r>
    <x v="17"/>
    <s v="FIN"/>
    <x v="1"/>
    <s v="EN.GHG.CO2.PC.CE.AR5"/>
    <x v="31"/>
    <n v="7"/>
    <x v="3"/>
  </r>
  <r>
    <x v="17"/>
    <s v="FIN"/>
    <x v="1"/>
    <s v="EN.GHG.CO2.PC.CE.AR5"/>
    <x v="32"/>
    <n v="7"/>
    <x v="4"/>
  </r>
  <r>
    <x v="17"/>
    <s v="FIN"/>
    <x v="1"/>
    <s v="EN.GHG.CO2.PC.CE.AR5"/>
    <x v="33"/>
    <n v="6"/>
    <x v="4"/>
  </r>
  <r>
    <x v="17"/>
    <s v="FIN"/>
    <x v="1"/>
    <s v="EN.GHG.CO2.PC.CE.AR5"/>
    <x v="54"/>
    <n v="6"/>
    <x v="4"/>
  </r>
  <r>
    <x v="18"/>
    <s v="FRA"/>
    <x v="1"/>
    <s v="EN.GHG.CO2.PC.CE.AR5"/>
    <x v="34"/>
    <n v="9"/>
    <x v="4"/>
  </r>
  <r>
    <x v="18"/>
    <s v="FRA"/>
    <x v="1"/>
    <s v="EN.GHG.CO2.PC.CE.AR5"/>
    <x v="35"/>
    <n v="9"/>
    <x v="4"/>
  </r>
  <r>
    <x v="18"/>
    <s v="FRA"/>
    <x v="1"/>
    <s v="EN.GHG.CO2.PC.CE.AR5"/>
    <x v="36"/>
    <n v="9"/>
    <x v="4"/>
  </r>
  <r>
    <x v="18"/>
    <s v="FRA"/>
    <x v="1"/>
    <s v="EN.GHG.CO2.PC.CE.AR5"/>
    <x v="37"/>
    <n v="10"/>
    <x v="4"/>
  </r>
  <r>
    <x v="18"/>
    <s v="FRA"/>
    <x v="1"/>
    <s v="EN.GHG.CO2.PC.CE.AR5"/>
    <x v="38"/>
    <n v="10"/>
    <x v="4"/>
  </r>
  <r>
    <x v="18"/>
    <s v="FRA"/>
    <x v="1"/>
    <s v="EN.GHG.CO2.PC.CE.AR5"/>
    <x v="39"/>
    <n v="9"/>
    <x v="4"/>
  </r>
  <r>
    <x v="18"/>
    <s v="FRA"/>
    <x v="1"/>
    <s v="EN.GHG.CO2.PC.CE.AR5"/>
    <x v="40"/>
    <n v="10"/>
    <x v="4"/>
  </r>
  <r>
    <x v="18"/>
    <s v="FRA"/>
    <x v="1"/>
    <s v="EN.GHG.CO2.PC.CE.AR5"/>
    <x v="41"/>
    <n v="9"/>
    <x v="5"/>
  </r>
  <r>
    <x v="18"/>
    <s v="FRA"/>
    <x v="1"/>
    <s v="EN.GHG.CO2.PC.CE.AR5"/>
    <x v="42"/>
    <n v="10"/>
    <x v="5"/>
  </r>
  <r>
    <x v="18"/>
    <s v="FRA"/>
    <x v="1"/>
    <s v="EN.GHG.CO2.PC.CE.AR5"/>
    <x v="43"/>
    <n v="10"/>
    <x v="5"/>
  </r>
  <r>
    <x v="18"/>
    <s v="FRA"/>
    <x v="1"/>
    <s v="EN.GHG.CO2.PC.CE.AR5"/>
    <x v="44"/>
    <n v="9"/>
    <x v="5"/>
  </r>
  <r>
    <x v="18"/>
    <s v="FRA"/>
    <x v="1"/>
    <s v="EN.GHG.CO2.PC.CE.AR5"/>
    <x v="45"/>
    <n v="8"/>
    <x v="5"/>
  </r>
  <r>
    <x v="18"/>
    <s v="FRA"/>
    <x v="1"/>
    <s v="EN.GHG.CO2.PC.CE.AR5"/>
    <x v="46"/>
    <n v="8"/>
    <x v="5"/>
  </r>
  <r>
    <x v="18"/>
    <s v="FRA"/>
    <x v="1"/>
    <s v="EN.GHG.CO2.PC.CE.AR5"/>
    <x v="47"/>
    <n v="7"/>
    <x v="5"/>
  </r>
  <r>
    <x v="18"/>
    <s v="FRA"/>
    <x v="1"/>
    <s v="EN.GHG.CO2.PC.CE.AR5"/>
    <x v="48"/>
    <n v="7"/>
    <x v="5"/>
  </r>
  <r>
    <x v="18"/>
    <s v="FRA"/>
    <x v="1"/>
    <s v="EN.GHG.CO2.PC.CE.AR5"/>
    <x v="49"/>
    <n v="7"/>
    <x v="5"/>
  </r>
  <r>
    <x v="18"/>
    <s v="FRA"/>
    <x v="1"/>
    <s v="EN.GHG.CO2.PC.CE.AR5"/>
    <x v="50"/>
    <n v="7"/>
    <x v="5"/>
  </r>
  <r>
    <x v="18"/>
    <s v="FRA"/>
    <x v="1"/>
    <s v="EN.GHG.CO2.PC.CE.AR5"/>
    <x v="51"/>
    <n v="7"/>
    <x v="0"/>
  </r>
  <r>
    <x v="18"/>
    <s v="FRA"/>
    <x v="1"/>
    <s v="EN.GHG.CO2.PC.CE.AR5"/>
    <x v="52"/>
    <n v="7"/>
    <x v="0"/>
  </r>
  <r>
    <x v="18"/>
    <s v="FRA"/>
    <x v="1"/>
    <s v="EN.GHG.CO2.PC.CE.AR5"/>
    <x v="53"/>
    <n v="7"/>
    <x v="0"/>
  </r>
  <r>
    <x v="18"/>
    <s v="FRA"/>
    <x v="1"/>
    <s v="EN.GHG.CO2.PC.CE.AR5"/>
    <x v="0"/>
    <n v="7"/>
    <x v="0"/>
  </r>
  <r>
    <x v="18"/>
    <s v="FRA"/>
    <x v="1"/>
    <s v="EN.GHG.CO2.PC.CE.AR5"/>
    <x v="1"/>
    <n v="7"/>
    <x v="0"/>
  </r>
  <r>
    <x v="18"/>
    <s v="FRA"/>
    <x v="1"/>
    <s v="EN.GHG.CO2.PC.CE.AR5"/>
    <x v="2"/>
    <n v="7"/>
    <x v="0"/>
  </r>
  <r>
    <x v="18"/>
    <s v="FRA"/>
    <x v="1"/>
    <s v="EN.GHG.CO2.PC.CE.AR5"/>
    <x v="3"/>
    <n v="6"/>
    <x v="0"/>
  </r>
  <r>
    <x v="18"/>
    <s v="FRA"/>
    <x v="1"/>
    <s v="EN.GHG.CO2.PC.CE.AR5"/>
    <x v="4"/>
    <n v="6"/>
    <x v="0"/>
  </r>
  <r>
    <x v="18"/>
    <s v="FRA"/>
    <x v="1"/>
    <s v="EN.GHG.CO2.PC.CE.AR5"/>
    <x v="5"/>
    <n v="6"/>
    <x v="0"/>
  </r>
  <r>
    <x v="18"/>
    <s v="FRA"/>
    <x v="1"/>
    <s v="EN.GHG.CO2.PC.CE.AR5"/>
    <x v="6"/>
    <n v="7"/>
    <x v="0"/>
  </r>
  <r>
    <x v="18"/>
    <s v="FRA"/>
    <x v="1"/>
    <s v="EN.GHG.CO2.PC.CE.AR5"/>
    <x v="7"/>
    <n v="6"/>
    <x v="1"/>
  </r>
  <r>
    <x v="18"/>
    <s v="FRA"/>
    <x v="1"/>
    <s v="EN.GHG.CO2.PC.CE.AR5"/>
    <x v="8"/>
    <n v="7"/>
    <x v="1"/>
  </r>
  <r>
    <x v="18"/>
    <s v="FRA"/>
    <x v="1"/>
    <s v="EN.GHG.CO2.PC.CE.AR5"/>
    <x v="9"/>
    <n v="7"/>
    <x v="1"/>
  </r>
  <r>
    <x v="18"/>
    <s v="FRA"/>
    <x v="1"/>
    <s v="EN.GHG.CO2.PC.CE.AR5"/>
    <x v="10"/>
    <n v="7"/>
    <x v="1"/>
  </r>
  <r>
    <x v="18"/>
    <s v="FRA"/>
    <x v="1"/>
    <s v="EN.GHG.CO2.PC.CE.AR5"/>
    <x v="11"/>
    <n v="7"/>
    <x v="1"/>
  </r>
  <r>
    <x v="18"/>
    <s v="FRA"/>
    <x v="1"/>
    <s v="EN.GHG.CO2.PC.CE.AR5"/>
    <x v="12"/>
    <n v="6"/>
    <x v="1"/>
  </r>
  <r>
    <x v="18"/>
    <s v="FRA"/>
    <x v="1"/>
    <s v="EN.GHG.CO2.PC.CE.AR5"/>
    <x v="13"/>
    <n v="6"/>
    <x v="1"/>
  </r>
  <r>
    <x v="18"/>
    <s v="FRA"/>
    <x v="1"/>
    <s v="EN.GHG.CO2.PC.CE.AR5"/>
    <x v="14"/>
    <n v="6"/>
    <x v="1"/>
  </r>
  <r>
    <x v="18"/>
    <s v="FRA"/>
    <x v="1"/>
    <s v="EN.GHG.CO2.PC.CE.AR5"/>
    <x v="15"/>
    <n v="6"/>
    <x v="1"/>
  </r>
  <r>
    <x v="18"/>
    <s v="FRA"/>
    <x v="1"/>
    <s v="EN.GHG.CO2.PC.CE.AR5"/>
    <x v="16"/>
    <n v="6"/>
    <x v="1"/>
  </r>
  <r>
    <x v="18"/>
    <s v="FRA"/>
    <x v="1"/>
    <s v="EN.GHG.CO2.PC.CE.AR5"/>
    <x v="17"/>
    <n v="6"/>
    <x v="2"/>
  </r>
  <r>
    <x v="18"/>
    <s v="FRA"/>
    <x v="1"/>
    <s v="EN.GHG.CO2.PC.CE.AR5"/>
    <x v="18"/>
    <n v="6"/>
    <x v="2"/>
  </r>
  <r>
    <x v="18"/>
    <s v="FRA"/>
    <x v="1"/>
    <s v="EN.GHG.CO2.PC.CE.AR5"/>
    <x v="19"/>
    <n v="6"/>
    <x v="2"/>
  </r>
  <r>
    <x v="18"/>
    <s v="FRA"/>
    <x v="1"/>
    <s v="EN.GHG.CO2.PC.CE.AR5"/>
    <x v="20"/>
    <n v="6"/>
    <x v="2"/>
  </r>
  <r>
    <x v="18"/>
    <s v="FRA"/>
    <x v="1"/>
    <s v="EN.GHG.CO2.PC.CE.AR5"/>
    <x v="21"/>
    <n v="6"/>
    <x v="2"/>
  </r>
  <r>
    <x v="18"/>
    <s v="FRA"/>
    <x v="1"/>
    <s v="EN.GHG.CO2.PC.CE.AR5"/>
    <x v="22"/>
    <n v="6"/>
    <x v="2"/>
  </r>
  <r>
    <x v="18"/>
    <s v="FRA"/>
    <x v="1"/>
    <s v="EN.GHG.CO2.PC.CE.AR5"/>
    <x v="23"/>
    <n v="5"/>
    <x v="2"/>
  </r>
  <r>
    <x v="18"/>
    <s v="FRA"/>
    <x v="1"/>
    <s v="EN.GHG.CO2.PC.CE.AR5"/>
    <x v="24"/>
    <n v="5"/>
    <x v="2"/>
  </r>
  <r>
    <x v="18"/>
    <s v="FRA"/>
    <x v="1"/>
    <s v="EN.GHG.CO2.PC.CE.AR5"/>
    <x v="25"/>
    <n v="5"/>
    <x v="2"/>
  </r>
  <r>
    <x v="18"/>
    <s v="FRA"/>
    <x v="1"/>
    <s v="EN.GHG.CO2.PC.CE.AR5"/>
    <x v="26"/>
    <n v="5"/>
    <x v="2"/>
  </r>
  <r>
    <x v="18"/>
    <s v="FRA"/>
    <x v="1"/>
    <s v="EN.GHG.CO2.PC.CE.AR5"/>
    <x v="27"/>
    <n v="5"/>
    <x v="3"/>
  </r>
  <r>
    <x v="18"/>
    <s v="FRA"/>
    <x v="1"/>
    <s v="EN.GHG.CO2.PC.CE.AR5"/>
    <x v="28"/>
    <n v="5"/>
    <x v="3"/>
  </r>
  <r>
    <x v="18"/>
    <s v="FRA"/>
    <x v="1"/>
    <s v="EN.GHG.CO2.PC.CE.AR5"/>
    <x v="29"/>
    <n v="5"/>
    <x v="3"/>
  </r>
  <r>
    <x v="18"/>
    <s v="FRA"/>
    <x v="1"/>
    <s v="EN.GHG.CO2.PC.CE.AR5"/>
    <x v="30"/>
    <n v="4"/>
    <x v="3"/>
  </r>
  <r>
    <x v="18"/>
    <s v="FRA"/>
    <x v="1"/>
    <s v="EN.GHG.CO2.PC.CE.AR5"/>
    <x v="31"/>
    <n v="5"/>
    <x v="3"/>
  </r>
  <r>
    <x v="18"/>
    <s v="FRA"/>
    <x v="1"/>
    <s v="EN.GHG.CO2.PC.CE.AR5"/>
    <x v="32"/>
    <n v="5"/>
    <x v="4"/>
  </r>
  <r>
    <x v="18"/>
    <s v="FRA"/>
    <x v="1"/>
    <s v="EN.GHG.CO2.PC.CE.AR5"/>
    <x v="33"/>
    <n v="4"/>
    <x v="4"/>
  </r>
  <r>
    <x v="18"/>
    <s v="FRA"/>
    <x v="1"/>
    <s v="EN.GHG.CO2.PC.CE.AR5"/>
    <x v="54"/>
    <n v="4"/>
    <x v="4"/>
  </r>
  <r>
    <x v="19"/>
    <s v="FRO"/>
    <x v="1"/>
    <s v="EN.GHG.CO2.PC.CE.AR5"/>
    <x v="34"/>
    <n v="0"/>
    <x v="4"/>
  </r>
  <r>
    <x v="19"/>
    <s v="FRO"/>
    <x v="1"/>
    <s v="EN.GHG.CO2.PC.CE.AR5"/>
    <x v="35"/>
    <n v="0"/>
    <x v="4"/>
  </r>
  <r>
    <x v="19"/>
    <s v="FRO"/>
    <x v="1"/>
    <s v="EN.GHG.CO2.PC.CE.AR5"/>
    <x v="36"/>
    <n v="0"/>
    <x v="4"/>
  </r>
  <r>
    <x v="19"/>
    <s v="FRO"/>
    <x v="1"/>
    <s v="EN.GHG.CO2.PC.CE.AR5"/>
    <x v="37"/>
    <n v="0"/>
    <x v="4"/>
  </r>
  <r>
    <x v="19"/>
    <s v="FRO"/>
    <x v="1"/>
    <s v="EN.GHG.CO2.PC.CE.AR5"/>
    <x v="38"/>
    <n v="0"/>
    <x v="4"/>
  </r>
  <r>
    <x v="19"/>
    <s v="FRO"/>
    <x v="1"/>
    <s v="EN.GHG.CO2.PC.CE.AR5"/>
    <x v="39"/>
    <n v="0"/>
    <x v="4"/>
  </r>
  <r>
    <x v="19"/>
    <s v="FRO"/>
    <x v="1"/>
    <s v="EN.GHG.CO2.PC.CE.AR5"/>
    <x v="40"/>
    <n v="0"/>
    <x v="4"/>
  </r>
  <r>
    <x v="19"/>
    <s v="FRO"/>
    <x v="1"/>
    <s v="EN.GHG.CO2.PC.CE.AR5"/>
    <x v="41"/>
    <n v="0"/>
    <x v="5"/>
  </r>
  <r>
    <x v="19"/>
    <s v="FRO"/>
    <x v="1"/>
    <s v="EN.GHG.CO2.PC.CE.AR5"/>
    <x v="42"/>
    <n v="0"/>
    <x v="5"/>
  </r>
  <r>
    <x v="19"/>
    <s v="FRO"/>
    <x v="1"/>
    <s v="EN.GHG.CO2.PC.CE.AR5"/>
    <x v="43"/>
    <n v="0"/>
    <x v="5"/>
  </r>
  <r>
    <x v="19"/>
    <s v="FRO"/>
    <x v="1"/>
    <s v="EN.GHG.CO2.PC.CE.AR5"/>
    <x v="44"/>
    <n v="0"/>
    <x v="5"/>
  </r>
  <r>
    <x v="19"/>
    <s v="FRO"/>
    <x v="1"/>
    <s v="EN.GHG.CO2.PC.CE.AR5"/>
    <x v="45"/>
    <n v="0"/>
    <x v="5"/>
  </r>
  <r>
    <x v="19"/>
    <s v="FRO"/>
    <x v="1"/>
    <s v="EN.GHG.CO2.PC.CE.AR5"/>
    <x v="46"/>
    <n v="0"/>
    <x v="5"/>
  </r>
  <r>
    <x v="19"/>
    <s v="FRO"/>
    <x v="1"/>
    <s v="EN.GHG.CO2.PC.CE.AR5"/>
    <x v="47"/>
    <n v="0"/>
    <x v="5"/>
  </r>
  <r>
    <x v="19"/>
    <s v="FRO"/>
    <x v="1"/>
    <s v="EN.GHG.CO2.PC.CE.AR5"/>
    <x v="48"/>
    <n v="0"/>
    <x v="5"/>
  </r>
  <r>
    <x v="19"/>
    <s v="FRO"/>
    <x v="1"/>
    <s v="EN.GHG.CO2.PC.CE.AR5"/>
    <x v="49"/>
    <n v="0"/>
    <x v="5"/>
  </r>
  <r>
    <x v="19"/>
    <s v="FRO"/>
    <x v="1"/>
    <s v="EN.GHG.CO2.PC.CE.AR5"/>
    <x v="50"/>
    <n v="0"/>
    <x v="5"/>
  </r>
  <r>
    <x v="19"/>
    <s v="FRO"/>
    <x v="1"/>
    <s v="EN.GHG.CO2.PC.CE.AR5"/>
    <x v="51"/>
    <n v="0"/>
    <x v="0"/>
  </r>
  <r>
    <x v="19"/>
    <s v="FRO"/>
    <x v="1"/>
    <s v="EN.GHG.CO2.PC.CE.AR5"/>
    <x v="52"/>
    <n v="0"/>
    <x v="0"/>
  </r>
  <r>
    <x v="19"/>
    <s v="FRO"/>
    <x v="1"/>
    <s v="EN.GHG.CO2.PC.CE.AR5"/>
    <x v="53"/>
    <n v="0"/>
    <x v="0"/>
  </r>
  <r>
    <x v="19"/>
    <s v="FRO"/>
    <x v="1"/>
    <s v="EN.GHG.CO2.PC.CE.AR5"/>
    <x v="0"/>
    <n v="0"/>
    <x v="0"/>
  </r>
  <r>
    <x v="19"/>
    <s v="FRO"/>
    <x v="1"/>
    <s v="EN.GHG.CO2.PC.CE.AR5"/>
    <x v="1"/>
    <n v="0"/>
    <x v="0"/>
  </r>
  <r>
    <x v="19"/>
    <s v="FRO"/>
    <x v="1"/>
    <s v="EN.GHG.CO2.PC.CE.AR5"/>
    <x v="2"/>
    <n v="0"/>
    <x v="0"/>
  </r>
  <r>
    <x v="19"/>
    <s v="FRO"/>
    <x v="1"/>
    <s v="EN.GHG.CO2.PC.CE.AR5"/>
    <x v="3"/>
    <n v="0"/>
    <x v="0"/>
  </r>
  <r>
    <x v="19"/>
    <s v="FRO"/>
    <x v="1"/>
    <s v="EN.GHG.CO2.PC.CE.AR5"/>
    <x v="4"/>
    <n v="0"/>
    <x v="0"/>
  </r>
  <r>
    <x v="19"/>
    <s v="FRO"/>
    <x v="1"/>
    <s v="EN.GHG.CO2.PC.CE.AR5"/>
    <x v="5"/>
    <n v="0"/>
    <x v="0"/>
  </r>
  <r>
    <x v="19"/>
    <s v="FRO"/>
    <x v="1"/>
    <s v="EN.GHG.CO2.PC.CE.AR5"/>
    <x v="6"/>
    <n v="0"/>
    <x v="0"/>
  </r>
  <r>
    <x v="19"/>
    <s v="FRO"/>
    <x v="1"/>
    <s v="EN.GHG.CO2.PC.CE.AR5"/>
    <x v="7"/>
    <n v="0"/>
    <x v="1"/>
  </r>
  <r>
    <x v="19"/>
    <s v="FRO"/>
    <x v="1"/>
    <s v="EN.GHG.CO2.PC.CE.AR5"/>
    <x v="8"/>
    <n v="0"/>
    <x v="1"/>
  </r>
  <r>
    <x v="19"/>
    <s v="FRO"/>
    <x v="1"/>
    <s v="EN.GHG.CO2.PC.CE.AR5"/>
    <x v="9"/>
    <n v="0"/>
    <x v="1"/>
  </r>
  <r>
    <x v="19"/>
    <s v="FRO"/>
    <x v="1"/>
    <s v="EN.GHG.CO2.PC.CE.AR5"/>
    <x v="10"/>
    <n v="0"/>
    <x v="1"/>
  </r>
  <r>
    <x v="19"/>
    <s v="FRO"/>
    <x v="1"/>
    <s v="EN.GHG.CO2.PC.CE.AR5"/>
    <x v="11"/>
    <n v="0"/>
    <x v="1"/>
  </r>
  <r>
    <x v="19"/>
    <s v="FRO"/>
    <x v="1"/>
    <s v="EN.GHG.CO2.PC.CE.AR5"/>
    <x v="12"/>
    <n v="0"/>
    <x v="1"/>
  </r>
  <r>
    <x v="19"/>
    <s v="FRO"/>
    <x v="1"/>
    <s v="EN.GHG.CO2.PC.CE.AR5"/>
    <x v="13"/>
    <n v="0"/>
    <x v="1"/>
  </r>
  <r>
    <x v="19"/>
    <s v="FRO"/>
    <x v="1"/>
    <s v="EN.GHG.CO2.PC.CE.AR5"/>
    <x v="14"/>
    <n v="0"/>
    <x v="1"/>
  </r>
  <r>
    <x v="19"/>
    <s v="FRO"/>
    <x v="1"/>
    <s v="EN.GHG.CO2.PC.CE.AR5"/>
    <x v="15"/>
    <n v="0"/>
    <x v="1"/>
  </r>
  <r>
    <x v="19"/>
    <s v="FRO"/>
    <x v="1"/>
    <s v="EN.GHG.CO2.PC.CE.AR5"/>
    <x v="16"/>
    <n v="0"/>
    <x v="1"/>
  </r>
  <r>
    <x v="19"/>
    <s v="FRO"/>
    <x v="1"/>
    <s v="EN.GHG.CO2.PC.CE.AR5"/>
    <x v="17"/>
    <n v="0"/>
    <x v="2"/>
  </r>
  <r>
    <x v="19"/>
    <s v="FRO"/>
    <x v="1"/>
    <s v="EN.GHG.CO2.PC.CE.AR5"/>
    <x v="18"/>
    <n v="0"/>
    <x v="2"/>
  </r>
  <r>
    <x v="19"/>
    <s v="FRO"/>
    <x v="1"/>
    <s v="EN.GHG.CO2.PC.CE.AR5"/>
    <x v="19"/>
    <n v="0"/>
    <x v="2"/>
  </r>
  <r>
    <x v="19"/>
    <s v="FRO"/>
    <x v="1"/>
    <s v="EN.GHG.CO2.PC.CE.AR5"/>
    <x v="20"/>
    <n v="0"/>
    <x v="2"/>
  </r>
  <r>
    <x v="19"/>
    <s v="FRO"/>
    <x v="1"/>
    <s v="EN.GHG.CO2.PC.CE.AR5"/>
    <x v="21"/>
    <n v="0"/>
    <x v="2"/>
  </r>
  <r>
    <x v="19"/>
    <s v="FRO"/>
    <x v="1"/>
    <s v="EN.GHG.CO2.PC.CE.AR5"/>
    <x v="22"/>
    <n v="0"/>
    <x v="2"/>
  </r>
  <r>
    <x v="19"/>
    <s v="FRO"/>
    <x v="1"/>
    <s v="EN.GHG.CO2.PC.CE.AR5"/>
    <x v="23"/>
    <n v="0"/>
    <x v="2"/>
  </r>
  <r>
    <x v="19"/>
    <s v="FRO"/>
    <x v="1"/>
    <s v="EN.GHG.CO2.PC.CE.AR5"/>
    <x v="24"/>
    <n v="0"/>
    <x v="2"/>
  </r>
  <r>
    <x v="19"/>
    <s v="FRO"/>
    <x v="1"/>
    <s v="EN.GHG.CO2.PC.CE.AR5"/>
    <x v="25"/>
    <n v="0"/>
    <x v="2"/>
  </r>
  <r>
    <x v="19"/>
    <s v="FRO"/>
    <x v="1"/>
    <s v="EN.GHG.CO2.PC.CE.AR5"/>
    <x v="26"/>
    <n v="0"/>
    <x v="2"/>
  </r>
  <r>
    <x v="19"/>
    <s v="FRO"/>
    <x v="1"/>
    <s v="EN.GHG.CO2.PC.CE.AR5"/>
    <x v="27"/>
    <n v="0"/>
    <x v="3"/>
  </r>
  <r>
    <x v="19"/>
    <s v="FRO"/>
    <x v="1"/>
    <s v="EN.GHG.CO2.PC.CE.AR5"/>
    <x v="28"/>
    <n v="0"/>
    <x v="3"/>
  </r>
  <r>
    <x v="19"/>
    <s v="FRO"/>
    <x v="1"/>
    <s v="EN.GHG.CO2.PC.CE.AR5"/>
    <x v="29"/>
    <n v="0"/>
    <x v="3"/>
  </r>
  <r>
    <x v="19"/>
    <s v="FRO"/>
    <x v="1"/>
    <s v="EN.GHG.CO2.PC.CE.AR5"/>
    <x v="30"/>
    <n v="0"/>
    <x v="3"/>
  </r>
  <r>
    <x v="19"/>
    <s v="FRO"/>
    <x v="1"/>
    <s v="EN.GHG.CO2.PC.CE.AR5"/>
    <x v="31"/>
    <n v="0"/>
    <x v="3"/>
  </r>
  <r>
    <x v="19"/>
    <s v="FRO"/>
    <x v="1"/>
    <s v="EN.GHG.CO2.PC.CE.AR5"/>
    <x v="32"/>
    <n v="0"/>
    <x v="4"/>
  </r>
  <r>
    <x v="19"/>
    <s v="FRO"/>
    <x v="1"/>
    <s v="EN.GHG.CO2.PC.CE.AR5"/>
    <x v="33"/>
    <n v="0"/>
    <x v="4"/>
  </r>
  <r>
    <x v="19"/>
    <s v="FRO"/>
    <x v="1"/>
    <s v="EN.GHG.CO2.PC.CE.AR5"/>
    <x v="54"/>
    <n v="0"/>
    <x v="4"/>
  </r>
  <r>
    <x v="20"/>
    <s v="GBR"/>
    <x v="1"/>
    <s v="EN.GHG.CO2.PC.CE.AR5"/>
    <x v="34"/>
    <n v="12"/>
    <x v="4"/>
  </r>
  <r>
    <x v="20"/>
    <s v="GBR"/>
    <x v="1"/>
    <s v="EN.GHG.CO2.PC.CE.AR5"/>
    <x v="35"/>
    <n v="12"/>
    <x v="4"/>
  </r>
  <r>
    <x v="20"/>
    <s v="GBR"/>
    <x v="1"/>
    <s v="EN.GHG.CO2.PC.CE.AR5"/>
    <x v="36"/>
    <n v="12"/>
    <x v="4"/>
  </r>
  <r>
    <x v="20"/>
    <s v="GBR"/>
    <x v="1"/>
    <s v="EN.GHG.CO2.PC.CE.AR5"/>
    <x v="37"/>
    <n v="12"/>
    <x v="4"/>
  </r>
  <r>
    <x v="20"/>
    <s v="GBR"/>
    <x v="1"/>
    <s v="EN.GHG.CO2.PC.CE.AR5"/>
    <x v="38"/>
    <n v="11"/>
    <x v="4"/>
  </r>
  <r>
    <x v="20"/>
    <s v="GBR"/>
    <x v="1"/>
    <s v="EN.GHG.CO2.PC.CE.AR5"/>
    <x v="39"/>
    <n v="11"/>
    <x v="4"/>
  </r>
  <r>
    <x v="20"/>
    <s v="GBR"/>
    <x v="1"/>
    <s v="EN.GHG.CO2.PC.CE.AR5"/>
    <x v="40"/>
    <n v="11"/>
    <x v="4"/>
  </r>
  <r>
    <x v="20"/>
    <s v="GBR"/>
    <x v="1"/>
    <s v="EN.GHG.CO2.PC.CE.AR5"/>
    <x v="41"/>
    <n v="11"/>
    <x v="5"/>
  </r>
  <r>
    <x v="20"/>
    <s v="GBR"/>
    <x v="1"/>
    <s v="EN.GHG.CO2.PC.CE.AR5"/>
    <x v="42"/>
    <n v="11"/>
    <x v="5"/>
  </r>
  <r>
    <x v="20"/>
    <s v="GBR"/>
    <x v="1"/>
    <s v="EN.GHG.CO2.PC.CE.AR5"/>
    <x v="43"/>
    <n v="12"/>
    <x v="5"/>
  </r>
  <r>
    <x v="20"/>
    <s v="GBR"/>
    <x v="1"/>
    <s v="EN.GHG.CO2.PC.CE.AR5"/>
    <x v="44"/>
    <n v="11"/>
    <x v="5"/>
  </r>
  <r>
    <x v="20"/>
    <s v="GBR"/>
    <x v="1"/>
    <s v="EN.GHG.CO2.PC.CE.AR5"/>
    <x v="45"/>
    <n v="10"/>
    <x v="5"/>
  </r>
  <r>
    <x v="20"/>
    <s v="GBR"/>
    <x v="1"/>
    <s v="EN.GHG.CO2.PC.CE.AR5"/>
    <x v="46"/>
    <n v="10"/>
    <x v="5"/>
  </r>
  <r>
    <x v="20"/>
    <s v="GBR"/>
    <x v="1"/>
    <s v="EN.GHG.CO2.PC.CE.AR5"/>
    <x v="47"/>
    <n v="10"/>
    <x v="5"/>
  </r>
  <r>
    <x v="20"/>
    <s v="GBR"/>
    <x v="1"/>
    <s v="EN.GHG.CO2.PC.CE.AR5"/>
    <x v="48"/>
    <n v="10"/>
    <x v="5"/>
  </r>
  <r>
    <x v="20"/>
    <s v="GBR"/>
    <x v="1"/>
    <s v="EN.GHG.CO2.PC.CE.AR5"/>
    <x v="49"/>
    <n v="10"/>
    <x v="5"/>
  </r>
  <r>
    <x v="20"/>
    <s v="GBR"/>
    <x v="1"/>
    <s v="EN.GHG.CO2.PC.CE.AR5"/>
    <x v="50"/>
    <n v="10"/>
    <x v="5"/>
  </r>
  <r>
    <x v="20"/>
    <s v="GBR"/>
    <x v="1"/>
    <s v="EN.GHG.CO2.PC.CE.AR5"/>
    <x v="51"/>
    <n v="10"/>
    <x v="0"/>
  </r>
  <r>
    <x v="20"/>
    <s v="GBR"/>
    <x v="1"/>
    <s v="EN.GHG.CO2.PC.CE.AR5"/>
    <x v="52"/>
    <n v="10"/>
    <x v="0"/>
  </r>
  <r>
    <x v="20"/>
    <s v="GBR"/>
    <x v="1"/>
    <s v="EN.GHG.CO2.PC.CE.AR5"/>
    <x v="53"/>
    <n v="10"/>
    <x v="0"/>
  </r>
  <r>
    <x v="20"/>
    <s v="GBR"/>
    <x v="1"/>
    <s v="EN.GHG.CO2.PC.CE.AR5"/>
    <x v="0"/>
    <n v="10"/>
    <x v="0"/>
  </r>
  <r>
    <x v="20"/>
    <s v="GBR"/>
    <x v="1"/>
    <s v="EN.GHG.CO2.PC.CE.AR5"/>
    <x v="1"/>
    <n v="10"/>
    <x v="0"/>
  </r>
  <r>
    <x v="20"/>
    <s v="GBR"/>
    <x v="1"/>
    <s v="EN.GHG.CO2.PC.CE.AR5"/>
    <x v="2"/>
    <n v="10"/>
    <x v="0"/>
  </r>
  <r>
    <x v="20"/>
    <s v="GBR"/>
    <x v="1"/>
    <s v="EN.GHG.CO2.PC.CE.AR5"/>
    <x v="3"/>
    <n v="10"/>
    <x v="0"/>
  </r>
  <r>
    <x v="20"/>
    <s v="GBR"/>
    <x v="1"/>
    <s v="EN.GHG.CO2.PC.CE.AR5"/>
    <x v="4"/>
    <n v="10"/>
    <x v="0"/>
  </r>
  <r>
    <x v="20"/>
    <s v="GBR"/>
    <x v="1"/>
    <s v="EN.GHG.CO2.PC.CE.AR5"/>
    <x v="5"/>
    <n v="9"/>
    <x v="0"/>
  </r>
  <r>
    <x v="20"/>
    <s v="GBR"/>
    <x v="1"/>
    <s v="EN.GHG.CO2.PC.CE.AR5"/>
    <x v="6"/>
    <n v="10"/>
    <x v="0"/>
  </r>
  <r>
    <x v="20"/>
    <s v="GBR"/>
    <x v="1"/>
    <s v="EN.GHG.CO2.PC.CE.AR5"/>
    <x v="7"/>
    <n v="9"/>
    <x v="1"/>
  </r>
  <r>
    <x v="20"/>
    <s v="GBR"/>
    <x v="1"/>
    <s v="EN.GHG.CO2.PC.CE.AR5"/>
    <x v="8"/>
    <n v="9"/>
    <x v="1"/>
  </r>
  <r>
    <x v="20"/>
    <s v="GBR"/>
    <x v="1"/>
    <s v="EN.GHG.CO2.PC.CE.AR5"/>
    <x v="9"/>
    <n v="9"/>
    <x v="1"/>
  </r>
  <r>
    <x v="20"/>
    <s v="GBR"/>
    <x v="1"/>
    <s v="EN.GHG.CO2.PC.CE.AR5"/>
    <x v="10"/>
    <n v="9"/>
    <x v="1"/>
  </r>
  <r>
    <x v="20"/>
    <s v="GBR"/>
    <x v="1"/>
    <s v="EN.GHG.CO2.PC.CE.AR5"/>
    <x v="11"/>
    <n v="10"/>
    <x v="1"/>
  </r>
  <r>
    <x v="20"/>
    <s v="GBR"/>
    <x v="1"/>
    <s v="EN.GHG.CO2.PC.CE.AR5"/>
    <x v="12"/>
    <n v="9"/>
    <x v="1"/>
  </r>
  <r>
    <x v="20"/>
    <s v="GBR"/>
    <x v="1"/>
    <s v="EN.GHG.CO2.PC.CE.AR5"/>
    <x v="13"/>
    <n v="9"/>
    <x v="1"/>
  </r>
  <r>
    <x v="20"/>
    <s v="GBR"/>
    <x v="1"/>
    <s v="EN.GHG.CO2.PC.CE.AR5"/>
    <x v="14"/>
    <n v="9"/>
    <x v="1"/>
  </r>
  <r>
    <x v="20"/>
    <s v="GBR"/>
    <x v="1"/>
    <s v="EN.GHG.CO2.PC.CE.AR5"/>
    <x v="15"/>
    <n v="9"/>
    <x v="1"/>
  </r>
  <r>
    <x v="20"/>
    <s v="GBR"/>
    <x v="1"/>
    <s v="EN.GHG.CO2.PC.CE.AR5"/>
    <x v="16"/>
    <n v="9"/>
    <x v="1"/>
  </r>
  <r>
    <x v="20"/>
    <s v="GBR"/>
    <x v="1"/>
    <s v="EN.GHG.CO2.PC.CE.AR5"/>
    <x v="17"/>
    <n v="9"/>
    <x v="2"/>
  </r>
  <r>
    <x v="20"/>
    <s v="GBR"/>
    <x v="1"/>
    <s v="EN.GHG.CO2.PC.CE.AR5"/>
    <x v="18"/>
    <n v="9"/>
    <x v="2"/>
  </r>
  <r>
    <x v="20"/>
    <s v="GBR"/>
    <x v="1"/>
    <s v="EN.GHG.CO2.PC.CE.AR5"/>
    <x v="19"/>
    <n v="8"/>
    <x v="2"/>
  </r>
  <r>
    <x v="20"/>
    <s v="GBR"/>
    <x v="1"/>
    <s v="EN.GHG.CO2.PC.CE.AR5"/>
    <x v="20"/>
    <n v="8"/>
    <x v="2"/>
  </r>
  <r>
    <x v="20"/>
    <s v="GBR"/>
    <x v="1"/>
    <s v="EN.GHG.CO2.PC.CE.AR5"/>
    <x v="21"/>
    <n v="7"/>
    <x v="2"/>
  </r>
  <r>
    <x v="20"/>
    <s v="GBR"/>
    <x v="1"/>
    <s v="EN.GHG.CO2.PC.CE.AR5"/>
    <x v="22"/>
    <n v="8"/>
    <x v="2"/>
  </r>
  <r>
    <x v="20"/>
    <s v="GBR"/>
    <x v="1"/>
    <s v="EN.GHG.CO2.PC.CE.AR5"/>
    <x v="23"/>
    <n v="7"/>
    <x v="2"/>
  </r>
  <r>
    <x v="20"/>
    <s v="GBR"/>
    <x v="1"/>
    <s v="EN.GHG.CO2.PC.CE.AR5"/>
    <x v="24"/>
    <n v="7"/>
    <x v="2"/>
  </r>
  <r>
    <x v="20"/>
    <s v="GBR"/>
    <x v="1"/>
    <s v="EN.GHG.CO2.PC.CE.AR5"/>
    <x v="25"/>
    <n v="6"/>
    <x v="2"/>
  </r>
  <r>
    <x v="20"/>
    <s v="GBR"/>
    <x v="1"/>
    <s v="EN.GHG.CO2.PC.CE.AR5"/>
    <x v="26"/>
    <n v="6"/>
    <x v="2"/>
  </r>
  <r>
    <x v="20"/>
    <s v="GBR"/>
    <x v="1"/>
    <s v="EN.GHG.CO2.PC.CE.AR5"/>
    <x v="27"/>
    <n v="6"/>
    <x v="3"/>
  </r>
  <r>
    <x v="20"/>
    <s v="GBR"/>
    <x v="1"/>
    <s v="EN.GHG.CO2.PC.CE.AR5"/>
    <x v="28"/>
    <n v="6"/>
    <x v="3"/>
  </r>
  <r>
    <x v="20"/>
    <s v="GBR"/>
    <x v="1"/>
    <s v="EN.GHG.CO2.PC.CE.AR5"/>
    <x v="29"/>
    <n v="5"/>
    <x v="3"/>
  </r>
  <r>
    <x v="20"/>
    <s v="GBR"/>
    <x v="1"/>
    <s v="EN.GHG.CO2.PC.CE.AR5"/>
    <x v="30"/>
    <n v="5"/>
    <x v="3"/>
  </r>
  <r>
    <x v="20"/>
    <s v="GBR"/>
    <x v="1"/>
    <s v="EN.GHG.CO2.PC.CE.AR5"/>
    <x v="31"/>
    <n v="5"/>
    <x v="3"/>
  </r>
  <r>
    <x v="20"/>
    <s v="GBR"/>
    <x v="1"/>
    <s v="EN.GHG.CO2.PC.CE.AR5"/>
    <x v="32"/>
    <n v="5"/>
    <x v="4"/>
  </r>
  <r>
    <x v="20"/>
    <s v="GBR"/>
    <x v="1"/>
    <s v="EN.GHG.CO2.PC.CE.AR5"/>
    <x v="33"/>
    <n v="4"/>
    <x v="4"/>
  </r>
  <r>
    <x v="20"/>
    <s v="GBR"/>
    <x v="1"/>
    <s v="EN.GHG.CO2.PC.CE.AR5"/>
    <x v="54"/>
    <n v="4"/>
    <x v="4"/>
  </r>
  <r>
    <x v="21"/>
    <s v="GEO"/>
    <x v="1"/>
    <s v="EN.GHG.CO2.PC.CE.AR5"/>
    <x v="34"/>
    <n v="6"/>
    <x v="4"/>
  </r>
  <r>
    <x v="21"/>
    <s v="GEO"/>
    <x v="1"/>
    <s v="EN.GHG.CO2.PC.CE.AR5"/>
    <x v="35"/>
    <n v="6"/>
    <x v="4"/>
  </r>
  <r>
    <x v="21"/>
    <s v="GEO"/>
    <x v="1"/>
    <s v="EN.GHG.CO2.PC.CE.AR5"/>
    <x v="36"/>
    <n v="6"/>
    <x v="4"/>
  </r>
  <r>
    <x v="21"/>
    <s v="GEO"/>
    <x v="1"/>
    <s v="EN.GHG.CO2.PC.CE.AR5"/>
    <x v="37"/>
    <n v="6"/>
    <x v="4"/>
  </r>
  <r>
    <x v="21"/>
    <s v="GEO"/>
    <x v="1"/>
    <s v="EN.GHG.CO2.PC.CE.AR5"/>
    <x v="38"/>
    <n v="7"/>
    <x v="4"/>
  </r>
  <r>
    <x v="21"/>
    <s v="GEO"/>
    <x v="1"/>
    <s v="EN.GHG.CO2.PC.CE.AR5"/>
    <x v="39"/>
    <n v="7"/>
    <x v="4"/>
  </r>
  <r>
    <x v="21"/>
    <s v="GEO"/>
    <x v="1"/>
    <s v="EN.GHG.CO2.PC.CE.AR5"/>
    <x v="40"/>
    <n v="7"/>
    <x v="4"/>
  </r>
  <r>
    <x v="21"/>
    <s v="GEO"/>
    <x v="1"/>
    <s v="EN.GHG.CO2.PC.CE.AR5"/>
    <x v="41"/>
    <n v="7"/>
    <x v="5"/>
  </r>
  <r>
    <x v="21"/>
    <s v="GEO"/>
    <x v="1"/>
    <s v="EN.GHG.CO2.PC.CE.AR5"/>
    <x v="42"/>
    <n v="7"/>
    <x v="5"/>
  </r>
  <r>
    <x v="21"/>
    <s v="GEO"/>
    <x v="1"/>
    <s v="EN.GHG.CO2.PC.CE.AR5"/>
    <x v="43"/>
    <n v="7"/>
    <x v="5"/>
  </r>
  <r>
    <x v="21"/>
    <s v="GEO"/>
    <x v="1"/>
    <s v="EN.GHG.CO2.PC.CE.AR5"/>
    <x v="44"/>
    <n v="7"/>
    <x v="5"/>
  </r>
  <r>
    <x v="21"/>
    <s v="GEO"/>
    <x v="1"/>
    <s v="EN.GHG.CO2.PC.CE.AR5"/>
    <x v="45"/>
    <n v="8"/>
    <x v="5"/>
  </r>
  <r>
    <x v="21"/>
    <s v="GEO"/>
    <x v="1"/>
    <s v="EN.GHG.CO2.PC.CE.AR5"/>
    <x v="46"/>
    <n v="7"/>
    <x v="5"/>
  </r>
  <r>
    <x v="21"/>
    <s v="GEO"/>
    <x v="1"/>
    <s v="EN.GHG.CO2.PC.CE.AR5"/>
    <x v="47"/>
    <n v="7"/>
    <x v="5"/>
  </r>
  <r>
    <x v="21"/>
    <s v="GEO"/>
    <x v="1"/>
    <s v="EN.GHG.CO2.PC.CE.AR5"/>
    <x v="48"/>
    <n v="7"/>
    <x v="5"/>
  </r>
  <r>
    <x v="21"/>
    <s v="GEO"/>
    <x v="1"/>
    <s v="EN.GHG.CO2.PC.CE.AR5"/>
    <x v="49"/>
    <n v="7"/>
    <x v="5"/>
  </r>
  <r>
    <x v="21"/>
    <s v="GEO"/>
    <x v="1"/>
    <s v="EN.GHG.CO2.PC.CE.AR5"/>
    <x v="50"/>
    <n v="7"/>
    <x v="5"/>
  </r>
  <r>
    <x v="21"/>
    <s v="GEO"/>
    <x v="1"/>
    <s v="EN.GHG.CO2.PC.CE.AR5"/>
    <x v="51"/>
    <n v="7"/>
    <x v="0"/>
  </r>
  <r>
    <x v="21"/>
    <s v="GEO"/>
    <x v="1"/>
    <s v="EN.GHG.CO2.PC.CE.AR5"/>
    <x v="52"/>
    <n v="7"/>
    <x v="0"/>
  </r>
  <r>
    <x v="21"/>
    <s v="GEO"/>
    <x v="1"/>
    <s v="EN.GHG.CO2.PC.CE.AR5"/>
    <x v="53"/>
    <n v="6"/>
    <x v="0"/>
  </r>
  <r>
    <x v="21"/>
    <s v="GEO"/>
    <x v="1"/>
    <s v="EN.GHG.CO2.PC.CE.AR5"/>
    <x v="0"/>
    <n v="7"/>
    <x v="0"/>
  </r>
  <r>
    <x v="21"/>
    <s v="GEO"/>
    <x v="1"/>
    <s v="EN.GHG.CO2.PC.CE.AR5"/>
    <x v="1"/>
    <n v="6"/>
    <x v="0"/>
  </r>
  <r>
    <x v="21"/>
    <s v="GEO"/>
    <x v="1"/>
    <s v="EN.GHG.CO2.PC.CE.AR5"/>
    <x v="2"/>
    <n v="4"/>
    <x v="0"/>
  </r>
  <r>
    <x v="21"/>
    <s v="GEO"/>
    <x v="1"/>
    <s v="EN.GHG.CO2.PC.CE.AR5"/>
    <x v="3"/>
    <n v="3"/>
    <x v="0"/>
  </r>
  <r>
    <x v="21"/>
    <s v="GEO"/>
    <x v="1"/>
    <s v="EN.GHG.CO2.PC.CE.AR5"/>
    <x v="4"/>
    <n v="2"/>
    <x v="0"/>
  </r>
  <r>
    <x v="21"/>
    <s v="GEO"/>
    <x v="1"/>
    <s v="EN.GHG.CO2.PC.CE.AR5"/>
    <x v="5"/>
    <n v="2"/>
    <x v="0"/>
  </r>
  <r>
    <x v="21"/>
    <s v="GEO"/>
    <x v="1"/>
    <s v="EN.GHG.CO2.PC.CE.AR5"/>
    <x v="6"/>
    <n v="2"/>
    <x v="0"/>
  </r>
  <r>
    <x v="21"/>
    <s v="GEO"/>
    <x v="1"/>
    <s v="EN.GHG.CO2.PC.CE.AR5"/>
    <x v="7"/>
    <n v="1"/>
    <x v="1"/>
  </r>
  <r>
    <x v="21"/>
    <s v="GEO"/>
    <x v="1"/>
    <s v="EN.GHG.CO2.PC.CE.AR5"/>
    <x v="8"/>
    <n v="1"/>
    <x v="1"/>
  </r>
  <r>
    <x v="21"/>
    <s v="GEO"/>
    <x v="1"/>
    <s v="EN.GHG.CO2.PC.CE.AR5"/>
    <x v="9"/>
    <n v="1"/>
    <x v="1"/>
  </r>
  <r>
    <x v="21"/>
    <s v="GEO"/>
    <x v="1"/>
    <s v="EN.GHG.CO2.PC.CE.AR5"/>
    <x v="10"/>
    <n v="1"/>
    <x v="1"/>
  </r>
  <r>
    <x v="21"/>
    <s v="GEO"/>
    <x v="1"/>
    <s v="EN.GHG.CO2.PC.CE.AR5"/>
    <x v="11"/>
    <n v="1"/>
    <x v="1"/>
  </r>
  <r>
    <x v="21"/>
    <s v="GEO"/>
    <x v="1"/>
    <s v="EN.GHG.CO2.PC.CE.AR5"/>
    <x v="12"/>
    <n v="1"/>
    <x v="1"/>
  </r>
  <r>
    <x v="21"/>
    <s v="GEO"/>
    <x v="1"/>
    <s v="EN.GHG.CO2.PC.CE.AR5"/>
    <x v="13"/>
    <n v="1"/>
    <x v="1"/>
  </r>
  <r>
    <x v="21"/>
    <s v="GEO"/>
    <x v="1"/>
    <s v="EN.GHG.CO2.PC.CE.AR5"/>
    <x v="14"/>
    <n v="1"/>
    <x v="1"/>
  </r>
  <r>
    <x v="21"/>
    <s v="GEO"/>
    <x v="1"/>
    <s v="EN.GHG.CO2.PC.CE.AR5"/>
    <x v="15"/>
    <n v="1"/>
    <x v="1"/>
  </r>
  <r>
    <x v="21"/>
    <s v="GEO"/>
    <x v="1"/>
    <s v="EN.GHG.CO2.PC.CE.AR5"/>
    <x v="16"/>
    <n v="1"/>
    <x v="1"/>
  </r>
  <r>
    <x v="21"/>
    <s v="GEO"/>
    <x v="1"/>
    <s v="EN.GHG.CO2.PC.CE.AR5"/>
    <x v="17"/>
    <n v="2"/>
    <x v="2"/>
  </r>
  <r>
    <x v="21"/>
    <s v="GEO"/>
    <x v="1"/>
    <s v="EN.GHG.CO2.PC.CE.AR5"/>
    <x v="18"/>
    <n v="1"/>
    <x v="2"/>
  </r>
  <r>
    <x v="21"/>
    <s v="GEO"/>
    <x v="1"/>
    <s v="EN.GHG.CO2.PC.CE.AR5"/>
    <x v="19"/>
    <n v="2"/>
    <x v="2"/>
  </r>
  <r>
    <x v="21"/>
    <s v="GEO"/>
    <x v="1"/>
    <s v="EN.GHG.CO2.PC.CE.AR5"/>
    <x v="20"/>
    <n v="2"/>
    <x v="2"/>
  </r>
  <r>
    <x v="21"/>
    <s v="GEO"/>
    <x v="1"/>
    <s v="EN.GHG.CO2.PC.CE.AR5"/>
    <x v="21"/>
    <n v="2"/>
    <x v="2"/>
  </r>
  <r>
    <x v="21"/>
    <s v="GEO"/>
    <x v="1"/>
    <s v="EN.GHG.CO2.PC.CE.AR5"/>
    <x v="22"/>
    <n v="2"/>
    <x v="2"/>
  </r>
  <r>
    <x v="21"/>
    <s v="GEO"/>
    <x v="1"/>
    <s v="EN.GHG.CO2.PC.CE.AR5"/>
    <x v="23"/>
    <n v="2"/>
    <x v="2"/>
  </r>
  <r>
    <x v="21"/>
    <s v="GEO"/>
    <x v="1"/>
    <s v="EN.GHG.CO2.PC.CE.AR5"/>
    <x v="24"/>
    <n v="3"/>
    <x v="2"/>
  </r>
  <r>
    <x v="21"/>
    <s v="GEO"/>
    <x v="1"/>
    <s v="EN.GHG.CO2.PC.CE.AR5"/>
    <x v="25"/>
    <n v="3"/>
    <x v="2"/>
  </r>
  <r>
    <x v="21"/>
    <s v="GEO"/>
    <x v="1"/>
    <s v="EN.GHG.CO2.PC.CE.AR5"/>
    <x v="26"/>
    <n v="3"/>
    <x v="2"/>
  </r>
  <r>
    <x v="21"/>
    <s v="GEO"/>
    <x v="1"/>
    <s v="EN.GHG.CO2.PC.CE.AR5"/>
    <x v="27"/>
    <n v="3"/>
    <x v="3"/>
  </r>
  <r>
    <x v="21"/>
    <s v="GEO"/>
    <x v="1"/>
    <s v="EN.GHG.CO2.PC.CE.AR5"/>
    <x v="28"/>
    <n v="3"/>
    <x v="3"/>
  </r>
  <r>
    <x v="21"/>
    <s v="GEO"/>
    <x v="1"/>
    <s v="EN.GHG.CO2.PC.CE.AR5"/>
    <x v="29"/>
    <n v="3"/>
    <x v="3"/>
  </r>
  <r>
    <x v="21"/>
    <s v="GEO"/>
    <x v="1"/>
    <s v="EN.GHG.CO2.PC.CE.AR5"/>
    <x v="30"/>
    <n v="3"/>
    <x v="3"/>
  </r>
  <r>
    <x v="21"/>
    <s v="GEO"/>
    <x v="1"/>
    <s v="EN.GHG.CO2.PC.CE.AR5"/>
    <x v="31"/>
    <n v="3"/>
    <x v="3"/>
  </r>
  <r>
    <x v="21"/>
    <s v="GEO"/>
    <x v="1"/>
    <s v="EN.GHG.CO2.PC.CE.AR5"/>
    <x v="32"/>
    <n v="4"/>
    <x v="4"/>
  </r>
  <r>
    <x v="21"/>
    <s v="GEO"/>
    <x v="1"/>
    <s v="EN.GHG.CO2.PC.CE.AR5"/>
    <x v="33"/>
    <n v="4"/>
    <x v="4"/>
  </r>
  <r>
    <x v="21"/>
    <s v="GEO"/>
    <x v="1"/>
    <s v="EN.GHG.CO2.PC.CE.AR5"/>
    <x v="54"/>
    <n v="4"/>
    <x v="4"/>
  </r>
  <r>
    <x v="22"/>
    <s v="GIB"/>
    <x v="1"/>
    <s v="EN.GHG.CO2.PC.CE.AR5"/>
    <x v="34"/>
    <n v="3"/>
    <x v="4"/>
  </r>
  <r>
    <x v="22"/>
    <s v="GIB"/>
    <x v="1"/>
    <s v="EN.GHG.CO2.PC.CE.AR5"/>
    <x v="35"/>
    <n v="3"/>
    <x v="4"/>
  </r>
  <r>
    <x v="22"/>
    <s v="GIB"/>
    <x v="1"/>
    <s v="EN.GHG.CO2.PC.CE.AR5"/>
    <x v="36"/>
    <n v="2"/>
    <x v="4"/>
  </r>
  <r>
    <x v="22"/>
    <s v="GIB"/>
    <x v="1"/>
    <s v="EN.GHG.CO2.PC.CE.AR5"/>
    <x v="37"/>
    <n v="2"/>
    <x v="4"/>
  </r>
  <r>
    <x v="22"/>
    <s v="GIB"/>
    <x v="1"/>
    <s v="EN.GHG.CO2.PC.CE.AR5"/>
    <x v="38"/>
    <n v="2"/>
    <x v="4"/>
  </r>
  <r>
    <x v="22"/>
    <s v="GIB"/>
    <x v="1"/>
    <s v="EN.GHG.CO2.PC.CE.AR5"/>
    <x v="39"/>
    <n v="2"/>
    <x v="4"/>
  </r>
  <r>
    <x v="22"/>
    <s v="GIB"/>
    <x v="1"/>
    <s v="EN.GHG.CO2.PC.CE.AR5"/>
    <x v="40"/>
    <n v="2"/>
    <x v="4"/>
  </r>
  <r>
    <x v="22"/>
    <s v="GIB"/>
    <x v="1"/>
    <s v="EN.GHG.CO2.PC.CE.AR5"/>
    <x v="41"/>
    <n v="2"/>
    <x v="5"/>
  </r>
  <r>
    <x v="22"/>
    <s v="GIB"/>
    <x v="1"/>
    <s v="EN.GHG.CO2.PC.CE.AR5"/>
    <x v="42"/>
    <n v="2"/>
    <x v="5"/>
  </r>
  <r>
    <x v="22"/>
    <s v="GIB"/>
    <x v="1"/>
    <s v="EN.GHG.CO2.PC.CE.AR5"/>
    <x v="43"/>
    <n v="3"/>
    <x v="5"/>
  </r>
  <r>
    <x v="22"/>
    <s v="GIB"/>
    <x v="1"/>
    <s v="EN.GHG.CO2.PC.CE.AR5"/>
    <x v="44"/>
    <n v="3"/>
    <x v="5"/>
  </r>
  <r>
    <x v="22"/>
    <s v="GIB"/>
    <x v="1"/>
    <s v="EN.GHG.CO2.PC.CE.AR5"/>
    <x v="45"/>
    <n v="3"/>
    <x v="5"/>
  </r>
  <r>
    <x v="22"/>
    <s v="GIB"/>
    <x v="1"/>
    <s v="EN.GHG.CO2.PC.CE.AR5"/>
    <x v="46"/>
    <n v="3"/>
    <x v="5"/>
  </r>
  <r>
    <x v="22"/>
    <s v="GIB"/>
    <x v="1"/>
    <s v="EN.GHG.CO2.PC.CE.AR5"/>
    <x v="47"/>
    <n v="3"/>
    <x v="5"/>
  </r>
  <r>
    <x v="22"/>
    <s v="GIB"/>
    <x v="1"/>
    <s v="EN.GHG.CO2.PC.CE.AR5"/>
    <x v="48"/>
    <n v="3"/>
    <x v="5"/>
  </r>
  <r>
    <x v="22"/>
    <s v="GIB"/>
    <x v="1"/>
    <s v="EN.GHG.CO2.PC.CE.AR5"/>
    <x v="49"/>
    <n v="3"/>
    <x v="5"/>
  </r>
  <r>
    <x v="22"/>
    <s v="GIB"/>
    <x v="1"/>
    <s v="EN.GHG.CO2.PC.CE.AR5"/>
    <x v="50"/>
    <n v="4"/>
    <x v="5"/>
  </r>
  <r>
    <x v="22"/>
    <s v="GIB"/>
    <x v="1"/>
    <s v="EN.GHG.CO2.PC.CE.AR5"/>
    <x v="51"/>
    <n v="5"/>
    <x v="0"/>
  </r>
  <r>
    <x v="22"/>
    <s v="GIB"/>
    <x v="1"/>
    <s v="EN.GHG.CO2.PC.CE.AR5"/>
    <x v="52"/>
    <n v="5"/>
    <x v="0"/>
  </r>
  <r>
    <x v="22"/>
    <s v="GIB"/>
    <x v="1"/>
    <s v="EN.GHG.CO2.PC.CE.AR5"/>
    <x v="53"/>
    <n v="5"/>
    <x v="0"/>
  </r>
  <r>
    <x v="22"/>
    <s v="GIB"/>
    <x v="1"/>
    <s v="EN.GHG.CO2.PC.CE.AR5"/>
    <x v="0"/>
    <n v="5"/>
    <x v="0"/>
  </r>
  <r>
    <x v="22"/>
    <s v="GIB"/>
    <x v="1"/>
    <s v="EN.GHG.CO2.PC.CE.AR5"/>
    <x v="1"/>
    <n v="8"/>
    <x v="0"/>
  </r>
  <r>
    <x v="22"/>
    <s v="GIB"/>
    <x v="1"/>
    <s v="EN.GHG.CO2.PC.CE.AR5"/>
    <x v="2"/>
    <n v="9"/>
    <x v="0"/>
  </r>
  <r>
    <x v="22"/>
    <s v="GIB"/>
    <x v="1"/>
    <s v="EN.GHG.CO2.PC.CE.AR5"/>
    <x v="3"/>
    <n v="9"/>
    <x v="0"/>
  </r>
  <r>
    <x v="22"/>
    <s v="GIB"/>
    <x v="1"/>
    <s v="EN.GHG.CO2.PC.CE.AR5"/>
    <x v="4"/>
    <n v="11"/>
    <x v="0"/>
  </r>
  <r>
    <x v="22"/>
    <s v="GIB"/>
    <x v="1"/>
    <s v="EN.GHG.CO2.PC.CE.AR5"/>
    <x v="5"/>
    <n v="10"/>
    <x v="0"/>
  </r>
  <r>
    <x v="22"/>
    <s v="GIB"/>
    <x v="1"/>
    <s v="EN.GHG.CO2.PC.CE.AR5"/>
    <x v="6"/>
    <n v="10"/>
    <x v="0"/>
  </r>
  <r>
    <x v="22"/>
    <s v="GIB"/>
    <x v="1"/>
    <s v="EN.GHG.CO2.PC.CE.AR5"/>
    <x v="7"/>
    <n v="11"/>
    <x v="1"/>
  </r>
  <r>
    <x v="22"/>
    <s v="GIB"/>
    <x v="1"/>
    <s v="EN.GHG.CO2.PC.CE.AR5"/>
    <x v="8"/>
    <n v="11"/>
    <x v="1"/>
  </r>
  <r>
    <x v="22"/>
    <s v="GIB"/>
    <x v="1"/>
    <s v="EN.GHG.CO2.PC.CE.AR5"/>
    <x v="9"/>
    <n v="12"/>
    <x v="1"/>
  </r>
  <r>
    <x v="22"/>
    <s v="GIB"/>
    <x v="1"/>
    <s v="EN.GHG.CO2.PC.CE.AR5"/>
    <x v="10"/>
    <n v="12"/>
    <x v="1"/>
  </r>
  <r>
    <x v="22"/>
    <s v="GIB"/>
    <x v="1"/>
    <s v="EN.GHG.CO2.PC.CE.AR5"/>
    <x v="11"/>
    <n v="13"/>
    <x v="1"/>
  </r>
  <r>
    <x v="22"/>
    <s v="GIB"/>
    <x v="1"/>
    <s v="EN.GHG.CO2.PC.CE.AR5"/>
    <x v="12"/>
    <n v="13"/>
    <x v="1"/>
  </r>
  <r>
    <x v="22"/>
    <s v="GIB"/>
    <x v="1"/>
    <s v="EN.GHG.CO2.PC.CE.AR5"/>
    <x v="13"/>
    <n v="13"/>
    <x v="1"/>
  </r>
  <r>
    <x v="22"/>
    <s v="GIB"/>
    <x v="1"/>
    <s v="EN.GHG.CO2.PC.CE.AR5"/>
    <x v="14"/>
    <n v="14"/>
    <x v="1"/>
  </r>
  <r>
    <x v="22"/>
    <s v="GIB"/>
    <x v="1"/>
    <s v="EN.GHG.CO2.PC.CE.AR5"/>
    <x v="15"/>
    <n v="14"/>
    <x v="1"/>
  </r>
  <r>
    <x v="22"/>
    <s v="GIB"/>
    <x v="1"/>
    <s v="EN.GHG.CO2.PC.CE.AR5"/>
    <x v="16"/>
    <n v="14"/>
    <x v="1"/>
  </r>
  <r>
    <x v="22"/>
    <s v="GIB"/>
    <x v="1"/>
    <s v="EN.GHG.CO2.PC.CE.AR5"/>
    <x v="17"/>
    <n v="14"/>
    <x v="2"/>
  </r>
  <r>
    <x v="22"/>
    <s v="GIB"/>
    <x v="1"/>
    <s v="EN.GHG.CO2.PC.CE.AR5"/>
    <x v="18"/>
    <n v="14"/>
    <x v="2"/>
  </r>
  <r>
    <x v="22"/>
    <s v="GIB"/>
    <x v="1"/>
    <s v="EN.GHG.CO2.PC.CE.AR5"/>
    <x v="19"/>
    <n v="15"/>
    <x v="2"/>
  </r>
  <r>
    <x v="22"/>
    <s v="GIB"/>
    <x v="1"/>
    <s v="EN.GHG.CO2.PC.CE.AR5"/>
    <x v="20"/>
    <n v="15"/>
    <x v="2"/>
  </r>
  <r>
    <x v="22"/>
    <s v="GIB"/>
    <x v="1"/>
    <s v="EN.GHG.CO2.PC.CE.AR5"/>
    <x v="21"/>
    <n v="15"/>
    <x v="2"/>
  </r>
  <r>
    <x v="22"/>
    <s v="GIB"/>
    <x v="1"/>
    <s v="EN.GHG.CO2.PC.CE.AR5"/>
    <x v="22"/>
    <n v="15"/>
    <x v="2"/>
  </r>
  <r>
    <x v="22"/>
    <s v="GIB"/>
    <x v="1"/>
    <s v="EN.GHG.CO2.PC.CE.AR5"/>
    <x v="23"/>
    <n v="15"/>
    <x v="2"/>
  </r>
  <r>
    <x v="22"/>
    <s v="GIB"/>
    <x v="1"/>
    <s v="EN.GHG.CO2.PC.CE.AR5"/>
    <x v="24"/>
    <n v="16"/>
    <x v="2"/>
  </r>
  <r>
    <x v="22"/>
    <s v="GIB"/>
    <x v="1"/>
    <s v="EN.GHG.CO2.PC.CE.AR5"/>
    <x v="25"/>
    <n v="18"/>
    <x v="2"/>
  </r>
  <r>
    <x v="22"/>
    <s v="GIB"/>
    <x v="1"/>
    <s v="EN.GHG.CO2.PC.CE.AR5"/>
    <x v="26"/>
    <n v="18"/>
    <x v="2"/>
  </r>
  <r>
    <x v="22"/>
    <s v="GIB"/>
    <x v="1"/>
    <s v="EN.GHG.CO2.PC.CE.AR5"/>
    <x v="27"/>
    <n v="19"/>
    <x v="3"/>
  </r>
  <r>
    <x v="22"/>
    <s v="GIB"/>
    <x v="1"/>
    <s v="EN.GHG.CO2.PC.CE.AR5"/>
    <x v="28"/>
    <n v="20"/>
    <x v="3"/>
  </r>
  <r>
    <x v="22"/>
    <s v="GIB"/>
    <x v="1"/>
    <s v="EN.GHG.CO2.PC.CE.AR5"/>
    <x v="29"/>
    <n v="20"/>
    <x v="3"/>
  </r>
  <r>
    <x v="22"/>
    <s v="GIB"/>
    <x v="1"/>
    <s v="EN.GHG.CO2.PC.CE.AR5"/>
    <x v="30"/>
    <n v="18"/>
    <x v="3"/>
  </r>
  <r>
    <x v="22"/>
    <s v="GIB"/>
    <x v="1"/>
    <s v="EN.GHG.CO2.PC.CE.AR5"/>
    <x v="31"/>
    <n v="17"/>
    <x v="3"/>
  </r>
  <r>
    <x v="22"/>
    <s v="GIB"/>
    <x v="1"/>
    <s v="EN.GHG.CO2.PC.CE.AR5"/>
    <x v="32"/>
    <n v="17"/>
    <x v="4"/>
  </r>
  <r>
    <x v="22"/>
    <s v="GIB"/>
    <x v="1"/>
    <s v="EN.GHG.CO2.PC.CE.AR5"/>
    <x v="33"/>
    <n v="16"/>
    <x v="4"/>
  </r>
  <r>
    <x v="22"/>
    <s v="GIB"/>
    <x v="1"/>
    <s v="EN.GHG.CO2.PC.CE.AR5"/>
    <x v="54"/>
    <n v="16"/>
    <x v="4"/>
  </r>
  <r>
    <x v="23"/>
    <s v="GRC"/>
    <x v="1"/>
    <s v="EN.GHG.CO2.PC.CE.AR5"/>
    <x v="34"/>
    <n v="3"/>
    <x v="4"/>
  </r>
  <r>
    <x v="23"/>
    <s v="GRC"/>
    <x v="1"/>
    <s v="EN.GHG.CO2.PC.CE.AR5"/>
    <x v="35"/>
    <n v="3"/>
    <x v="4"/>
  </r>
  <r>
    <x v="23"/>
    <s v="GRC"/>
    <x v="1"/>
    <s v="EN.GHG.CO2.PC.CE.AR5"/>
    <x v="36"/>
    <n v="4"/>
    <x v="4"/>
  </r>
  <r>
    <x v="23"/>
    <s v="GRC"/>
    <x v="1"/>
    <s v="EN.GHG.CO2.PC.CE.AR5"/>
    <x v="37"/>
    <n v="4"/>
    <x v="4"/>
  </r>
  <r>
    <x v="23"/>
    <s v="GRC"/>
    <x v="1"/>
    <s v="EN.GHG.CO2.PC.CE.AR5"/>
    <x v="38"/>
    <n v="4"/>
    <x v="4"/>
  </r>
  <r>
    <x v="23"/>
    <s v="GRC"/>
    <x v="1"/>
    <s v="EN.GHG.CO2.PC.CE.AR5"/>
    <x v="39"/>
    <n v="4"/>
    <x v="4"/>
  </r>
  <r>
    <x v="23"/>
    <s v="GRC"/>
    <x v="1"/>
    <s v="EN.GHG.CO2.PC.CE.AR5"/>
    <x v="40"/>
    <n v="5"/>
    <x v="4"/>
  </r>
  <r>
    <x v="23"/>
    <s v="GRC"/>
    <x v="1"/>
    <s v="EN.GHG.CO2.PC.CE.AR5"/>
    <x v="41"/>
    <n v="5"/>
    <x v="5"/>
  </r>
  <r>
    <x v="23"/>
    <s v="GRC"/>
    <x v="1"/>
    <s v="EN.GHG.CO2.PC.CE.AR5"/>
    <x v="42"/>
    <n v="5"/>
    <x v="5"/>
  </r>
  <r>
    <x v="23"/>
    <s v="GRC"/>
    <x v="1"/>
    <s v="EN.GHG.CO2.PC.CE.AR5"/>
    <x v="43"/>
    <n v="6"/>
    <x v="5"/>
  </r>
  <r>
    <x v="23"/>
    <s v="GRC"/>
    <x v="1"/>
    <s v="EN.GHG.CO2.PC.CE.AR5"/>
    <x v="44"/>
    <n v="6"/>
    <x v="5"/>
  </r>
  <r>
    <x v="23"/>
    <s v="GRC"/>
    <x v="1"/>
    <s v="EN.GHG.CO2.PC.CE.AR5"/>
    <x v="45"/>
    <n v="5"/>
    <x v="5"/>
  </r>
  <r>
    <x v="23"/>
    <s v="GRC"/>
    <x v="1"/>
    <s v="EN.GHG.CO2.PC.CE.AR5"/>
    <x v="46"/>
    <n v="6"/>
    <x v="5"/>
  </r>
  <r>
    <x v="23"/>
    <s v="GRC"/>
    <x v="1"/>
    <s v="EN.GHG.CO2.PC.CE.AR5"/>
    <x v="47"/>
    <n v="6"/>
    <x v="5"/>
  </r>
  <r>
    <x v="23"/>
    <s v="GRC"/>
    <x v="1"/>
    <s v="EN.GHG.CO2.PC.CE.AR5"/>
    <x v="48"/>
    <n v="6"/>
    <x v="5"/>
  </r>
  <r>
    <x v="23"/>
    <s v="GRC"/>
    <x v="1"/>
    <s v="EN.GHG.CO2.PC.CE.AR5"/>
    <x v="49"/>
    <n v="6"/>
    <x v="5"/>
  </r>
  <r>
    <x v="23"/>
    <s v="GRC"/>
    <x v="1"/>
    <s v="EN.GHG.CO2.PC.CE.AR5"/>
    <x v="50"/>
    <n v="6"/>
    <x v="5"/>
  </r>
  <r>
    <x v="23"/>
    <s v="GRC"/>
    <x v="1"/>
    <s v="EN.GHG.CO2.PC.CE.AR5"/>
    <x v="51"/>
    <n v="7"/>
    <x v="0"/>
  </r>
  <r>
    <x v="23"/>
    <s v="GRC"/>
    <x v="1"/>
    <s v="EN.GHG.CO2.PC.CE.AR5"/>
    <x v="52"/>
    <n v="7"/>
    <x v="0"/>
  </r>
  <r>
    <x v="23"/>
    <s v="GRC"/>
    <x v="1"/>
    <s v="EN.GHG.CO2.PC.CE.AR5"/>
    <x v="53"/>
    <n v="8"/>
    <x v="0"/>
  </r>
  <r>
    <x v="23"/>
    <s v="GRC"/>
    <x v="1"/>
    <s v="EN.GHG.CO2.PC.CE.AR5"/>
    <x v="0"/>
    <n v="8"/>
    <x v="0"/>
  </r>
  <r>
    <x v="23"/>
    <s v="GRC"/>
    <x v="1"/>
    <s v="EN.GHG.CO2.PC.CE.AR5"/>
    <x v="1"/>
    <n v="8"/>
    <x v="0"/>
  </r>
  <r>
    <x v="23"/>
    <s v="GRC"/>
    <x v="1"/>
    <s v="EN.GHG.CO2.PC.CE.AR5"/>
    <x v="2"/>
    <n v="8"/>
    <x v="0"/>
  </r>
  <r>
    <x v="23"/>
    <s v="GRC"/>
    <x v="1"/>
    <s v="EN.GHG.CO2.PC.CE.AR5"/>
    <x v="3"/>
    <n v="8"/>
    <x v="0"/>
  </r>
  <r>
    <x v="23"/>
    <s v="GRC"/>
    <x v="1"/>
    <s v="EN.GHG.CO2.PC.CE.AR5"/>
    <x v="4"/>
    <n v="8"/>
    <x v="0"/>
  </r>
  <r>
    <x v="23"/>
    <s v="GRC"/>
    <x v="1"/>
    <s v="EN.GHG.CO2.PC.CE.AR5"/>
    <x v="5"/>
    <n v="8"/>
    <x v="0"/>
  </r>
  <r>
    <x v="23"/>
    <s v="GRC"/>
    <x v="1"/>
    <s v="EN.GHG.CO2.PC.CE.AR5"/>
    <x v="6"/>
    <n v="8"/>
    <x v="0"/>
  </r>
  <r>
    <x v="23"/>
    <s v="GRC"/>
    <x v="1"/>
    <s v="EN.GHG.CO2.PC.CE.AR5"/>
    <x v="7"/>
    <n v="8"/>
    <x v="1"/>
  </r>
  <r>
    <x v="23"/>
    <s v="GRC"/>
    <x v="1"/>
    <s v="EN.GHG.CO2.PC.CE.AR5"/>
    <x v="8"/>
    <n v="8"/>
    <x v="1"/>
  </r>
  <r>
    <x v="23"/>
    <s v="GRC"/>
    <x v="1"/>
    <s v="EN.GHG.CO2.PC.CE.AR5"/>
    <x v="9"/>
    <n v="8"/>
    <x v="1"/>
  </r>
  <r>
    <x v="23"/>
    <s v="GRC"/>
    <x v="1"/>
    <s v="EN.GHG.CO2.PC.CE.AR5"/>
    <x v="10"/>
    <n v="9"/>
    <x v="1"/>
  </r>
  <r>
    <x v="23"/>
    <s v="GRC"/>
    <x v="1"/>
    <s v="EN.GHG.CO2.PC.CE.AR5"/>
    <x v="11"/>
    <n v="9"/>
    <x v="1"/>
  </r>
  <r>
    <x v="23"/>
    <s v="GRC"/>
    <x v="1"/>
    <s v="EN.GHG.CO2.PC.CE.AR5"/>
    <x v="12"/>
    <n v="9"/>
    <x v="1"/>
  </r>
  <r>
    <x v="23"/>
    <s v="GRC"/>
    <x v="1"/>
    <s v="EN.GHG.CO2.PC.CE.AR5"/>
    <x v="13"/>
    <n v="9"/>
    <x v="1"/>
  </r>
  <r>
    <x v="23"/>
    <s v="GRC"/>
    <x v="1"/>
    <s v="EN.GHG.CO2.PC.CE.AR5"/>
    <x v="14"/>
    <n v="9"/>
    <x v="1"/>
  </r>
  <r>
    <x v="23"/>
    <s v="GRC"/>
    <x v="1"/>
    <s v="EN.GHG.CO2.PC.CE.AR5"/>
    <x v="15"/>
    <n v="9"/>
    <x v="1"/>
  </r>
  <r>
    <x v="23"/>
    <s v="GRC"/>
    <x v="1"/>
    <s v="EN.GHG.CO2.PC.CE.AR5"/>
    <x v="16"/>
    <n v="9"/>
    <x v="1"/>
  </r>
  <r>
    <x v="23"/>
    <s v="GRC"/>
    <x v="1"/>
    <s v="EN.GHG.CO2.PC.CE.AR5"/>
    <x v="17"/>
    <n v="10"/>
    <x v="2"/>
  </r>
  <r>
    <x v="23"/>
    <s v="GRC"/>
    <x v="1"/>
    <s v="EN.GHG.CO2.PC.CE.AR5"/>
    <x v="18"/>
    <n v="9"/>
    <x v="2"/>
  </r>
  <r>
    <x v="23"/>
    <s v="GRC"/>
    <x v="1"/>
    <s v="EN.GHG.CO2.PC.CE.AR5"/>
    <x v="19"/>
    <n v="9"/>
    <x v="2"/>
  </r>
  <r>
    <x v="23"/>
    <s v="GRC"/>
    <x v="1"/>
    <s v="EN.GHG.CO2.PC.CE.AR5"/>
    <x v="20"/>
    <n v="8"/>
    <x v="2"/>
  </r>
  <r>
    <x v="23"/>
    <s v="GRC"/>
    <x v="1"/>
    <s v="EN.GHG.CO2.PC.CE.AR5"/>
    <x v="21"/>
    <n v="8"/>
    <x v="2"/>
  </r>
  <r>
    <x v="23"/>
    <s v="GRC"/>
    <x v="1"/>
    <s v="EN.GHG.CO2.PC.CE.AR5"/>
    <x v="22"/>
    <n v="7"/>
    <x v="2"/>
  </r>
  <r>
    <x v="23"/>
    <s v="GRC"/>
    <x v="1"/>
    <s v="EN.GHG.CO2.PC.CE.AR5"/>
    <x v="23"/>
    <n v="7"/>
    <x v="2"/>
  </r>
  <r>
    <x v="23"/>
    <s v="GRC"/>
    <x v="1"/>
    <s v="EN.GHG.CO2.PC.CE.AR5"/>
    <x v="24"/>
    <n v="7"/>
    <x v="2"/>
  </r>
  <r>
    <x v="23"/>
    <s v="GRC"/>
    <x v="1"/>
    <s v="EN.GHG.CO2.PC.CE.AR5"/>
    <x v="25"/>
    <n v="6"/>
    <x v="2"/>
  </r>
  <r>
    <x v="23"/>
    <s v="GRC"/>
    <x v="1"/>
    <s v="EN.GHG.CO2.PC.CE.AR5"/>
    <x v="26"/>
    <n v="6"/>
    <x v="2"/>
  </r>
  <r>
    <x v="23"/>
    <s v="GRC"/>
    <x v="1"/>
    <s v="EN.GHG.CO2.PC.CE.AR5"/>
    <x v="27"/>
    <n v="6"/>
    <x v="3"/>
  </r>
  <r>
    <x v="23"/>
    <s v="GRC"/>
    <x v="1"/>
    <s v="EN.GHG.CO2.PC.CE.AR5"/>
    <x v="28"/>
    <n v="6"/>
    <x v="3"/>
  </r>
  <r>
    <x v="23"/>
    <s v="GRC"/>
    <x v="1"/>
    <s v="EN.GHG.CO2.PC.CE.AR5"/>
    <x v="29"/>
    <n v="6"/>
    <x v="3"/>
  </r>
  <r>
    <x v="23"/>
    <s v="GRC"/>
    <x v="1"/>
    <s v="EN.GHG.CO2.PC.CE.AR5"/>
    <x v="30"/>
    <n v="5"/>
    <x v="3"/>
  </r>
  <r>
    <x v="23"/>
    <s v="GRC"/>
    <x v="1"/>
    <s v="EN.GHG.CO2.PC.CE.AR5"/>
    <x v="31"/>
    <n v="5"/>
    <x v="3"/>
  </r>
  <r>
    <x v="23"/>
    <s v="GRC"/>
    <x v="1"/>
    <s v="EN.GHG.CO2.PC.CE.AR5"/>
    <x v="32"/>
    <n v="5"/>
    <x v="4"/>
  </r>
  <r>
    <x v="23"/>
    <s v="GRC"/>
    <x v="1"/>
    <s v="EN.GHG.CO2.PC.CE.AR5"/>
    <x v="33"/>
    <n v="5"/>
    <x v="4"/>
  </r>
  <r>
    <x v="23"/>
    <s v="GRC"/>
    <x v="1"/>
    <s v="EN.GHG.CO2.PC.CE.AR5"/>
    <x v="54"/>
    <n v="5"/>
    <x v="4"/>
  </r>
  <r>
    <x v="24"/>
    <s v="GRL"/>
    <x v="1"/>
    <s v="EN.GHG.CO2.PC.CE.AR5"/>
    <x v="34"/>
    <n v="0"/>
    <x v="4"/>
  </r>
  <r>
    <x v="24"/>
    <s v="GRL"/>
    <x v="1"/>
    <s v="EN.GHG.CO2.PC.CE.AR5"/>
    <x v="35"/>
    <n v="0"/>
    <x v="4"/>
  </r>
  <r>
    <x v="24"/>
    <s v="GRL"/>
    <x v="1"/>
    <s v="EN.GHG.CO2.PC.CE.AR5"/>
    <x v="36"/>
    <n v="0"/>
    <x v="4"/>
  </r>
  <r>
    <x v="24"/>
    <s v="GRL"/>
    <x v="1"/>
    <s v="EN.GHG.CO2.PC.CE.AR5"/>
    <x v="37"/>
    <n v="0"/>
    <x v="4"/>
  </r>
  <r>
    <x v="24"/>
    <s v="GRL"/>
    <x v="1"/>
    <s v="EN.GHG.CO2.PC.CE.AR5"/>
    <x v="38"/>
    <n v="0"/>
    <x v="4"/>
  </r>
  <r>
    <x v="24"/>
    <s v="GRL"/>
    <x v="1"/>
    <s v="EN.GHG.CO2.PC.CE.AR5"/>
    <x v="39"/>
    <n v="0"/>
    <x v="4"/>
  </r>
  <r>
    <x v="24"/>
    <s v="GRL"/>
    <x v="1"/>
    <s v="EN.GHG.CO2.PC.CE.AR5"/>
    <x v="40"/>
    <n v="0"/>
    <x v="4"/>
  </r>
  <r>
    <x v="24"/>
    <s v="GRL"/>
    <x v="1"/>
    <s v="EN.GHG.CO2.PC.CE.AR5"/>
    <x v="41"/>
    <n v="0"/>
    <x v="5"/>
  </r>
  <r>
    <x v="24"/>
    <s v="GRL"/>
    <x v="1"/>
    <s v="EN.GHG.CO2.PC.CE.AR5"/>
    <x v="42"/>
    <n v="0"/>
    <x v="5"/>
  </r>
  <r>
    <x v="24"/>
    <s v="GRL"/>
    <x v="1"/>
    <s v="EN.GHG.CO2.PC.CE.AR5"/>
    <x v="43"/>
    <n v="0"/>
    <x v="5"/>
  </r>
  <r>
    <x v="24"/>
    <s v="GRL"/>
    <x v="1"/>
    <s v="EN.GHG.CO2.PC.CE.AR5"/>
    <x v="44"/>
    <n v="0"/>
    <x v="5"/>
  </r>
  <r>
    <x v="24"/>
    <s v="GRL"/>
    <x v="1"/>
    <s v="EN.GHG.CO2.PC.CE.AR5"/>
    <x v="45"/>
    <n v="0"/>
    <x v="5"/>
  </r>
  <r>
    <x v="24"/>
    <s v="GRL"/>
    <x v="1"/>
    <s v="EN.GHG.CO2.PC.CE.AR5"/>
    <x v="46"/>
    <n v="0"/>
    <x v="5"/>
  </r>
  <r>
    <x v="24"/>
    <s v="GRL"/>
    <x v="1"/>
    <s v="EN.GHG.CO2.PC.CE.AR5"/>
    <x v="47"/>
    <n v="0"/>
    <x v="5"/>
  </r>
  <r>
    <x v="24"/>
    <s v="GRL"/>
    <x v="1"/>
    <s v="EN.GHG.CO2.PC.CE.AR5"/>
    <x v="48"/>
    <n v="0"/>
    <x v="5"/>
  </r>
  <r>
    <x v="24"/>
    <s v="GRL"/>
    <x v="1"/>
    <s v="EN.GHG.CO2.PC.CE.AR5"/>
    <x v="49"/>
    <n v="0"/>
    <x v="5"/>
  </r>
  <r>
    <x v="24"/>
    <s v="GRL"/>
    <x v="1"/>
    <s v="EN.GHG.CO2.PC.CE.AR5"/>
    <x v="50"/>
    <n v="0"/>
    <x v="5"/>
  </r>
  <r>
    <x v="24"/>
    <s v="GRL"/>
    <x v="1"/>
    <s v="EN.GHG.CO2.PC.CE.AR5"/>
    <x v="51"/>
    <n v="0"/>
    <x v="0"/>
  </r>
  <r>
    <x v="24"/>
    <s v="GRL"/>
    <x v="1"/>
    <s v="EN.GHG.CO2.PC.CE.AR5"/>
    <x v="52"/>
    <n v="0"/>
    <x v="0"/>
  </r>
  <r>
    <x v="24"/>
    <s v="GRL"/>
    <x v="1"/>
    <s v="EN.GHG.CO2.PC.CE.AR5"/>
    <x v="53"/>
    <n v="0"/>
    <x v="0"/>
  </r>
  <r>
    <x v="24"/>
    <s v="GRL"/>
    <x v="1"/>
    <s v="EN.GHG.CO2.PC.CE.AR5"/>
    <x v="0"/>
    <n v="0"/>
    <x v="0"/>
  </r>
  <r>
    <x v="24"/>
    <s v="GRL"/>
    <x v="1"/>
    <s v="EN.GHG.CO2.PC.CE.AR5"/>
    <x v="1"/>
    <n v="0"/>
    <x v="0"/>
  </r>
  <r>
    <x v="24"/>
    <s v="GRL"/>
    <x v="1"/>
    <s v="EN.GHG.CO2.PC.CE.AR5"/>
    <x v="2"/>
    <n v="0"/>
    <x v="0"/>
  </r>
  <r>
    <x v="24"/>
    <s v="GRL"/>
    <x v="1"/>
    <s v="EN.GHG.CO2.PC.CE.AR5"/>
    <x v="3"/>
    <n v="0"/>
    <x v="0"/>
  </r>
  <r>
    <x v="24"/>
    <s v="GRL"/>
    <x v="1"/>
    <s v="EN.GHG.CO2.PC.CE.AR5"/>
    <x v="4"/>
    <n v="0"/>
    <x v="0"/>
  </r>
  <r>
    <x v="24"/>
    <s v="GRL"/>
    <x v="1"/>
    <s v="EN.GHG.CO2.PC.CE.AR5"/>
    <x v="5"/>
    <n v="0"/>
    <x v="0"/>
  </r>
  <r>
    <x v="24"/>
    <s v="GRL"/>
    <x v="1"/>
    <s v="EN.GHG.CO2.PC.CE.AR5"/>
    <x v="6"/>
    <n v="0"/>
    <x v="0"/>
  </r>
  <r>
    <x v="24"/>
    <s v="GRL"/>
    <x v="1"/>
    <s v="EN.GHG.CO2.PC.CE.AR5"/>
    <x v="7"/>
    <n v="0"/>
    <x v="1"/>
  </r>
  <r>
    <x v="24"/>
    <s v="GRL"/>
    <x v="1"/>
    <s v="EN.GHG.CO2.PC.CE.AR5"/>
    <x v="8"/>
    <n v="0"/>
    <x v="1"/>
  </r>
  <r>
    <x v="24"/>
    <s v="GRL"/>
    <x v="1"/>
    <s v="EN.GHG.CO2.PC.CE.AR5"/>
    <x v="9"/>
    <n v="0"/>
    <x v="1"/>
  </r>
  <r>
    <x v="24"/>
    <s v="GRL"/>
    <x v="1"/>
    <s v="EN.GHG.CO2.PC.CE.AR5"/>
    <x v="10"/>
    <n v="0"/>
    <x v="1"/>
  </r>
  <r>
    <x v="24"/>
    <s v="GRL"/>
    <x v="1"/>
    <s v="EN.GHG.CO2.PC.CE.AR5"/>
    <x v="11"/>
    <n v="0"/>
    <x v="1"/>
  </r>
  <r>
    <x v="24"/>
    <s v="GRL"/>
    <x v="1"/>
    <s v="EN.GHG.CO2.PC.CE.AR5"/>
    <x v="12"/>
    <n v="0"/>
    <x v="1"/>
  </r>
  <r>
    <x v="24"/>
    <s v="GRL"/>
    <x v="1"/>
    <s v="EN.GHG.CO2.PC.CE.AR5"/>
    <x v="13"/>
    <n v="0"/>
    <x v="1"/>
  </r>
  <r>
    <x v="24"/>
    <s v="GRL"/>
    <x v="1"/>
    <s v="EN.GHG.CO2.PC.CE.AR5"/>
    <x v="14"/>
    <n v="11"/>
    <x v="1"/>
  </r>
  <r>
    <x v="24"/>
    <s v="GRL"/>
    <x v="1"/>
    <s v="EN.GHG.CO2.PC.CE.AR5"/>
    <x v="15"/>
    <n v="11"/>
    <x v="1"/>
  </r>
  <r>
    <x v="24"/>
    <s v="GRL"/>
    <x v="1"/>
    <s v="EN.GHG.CO2.PC.CE.AR5"/>
    <x v="16"/>
    <n v="11"/>
    <x v="1"/>
  </r>
  <r>
    <x v="24"/>
    <s v="GRL"/>
    <x v="1"/>
    <s v="EN.GHG.CO2.PC.CE.AR5"/>
    <x v="17"/>
    <n v="11"/>
    <x v="2"/>
  </r>
  <r>
    <x v="24"/>
    <s v="GRL"/>
    <x v="1"/>
    <s v="EN.GHG.CO2.PC.CE.AR5"/>
    <x v="18"/>
    <n v="11"/>
    <x v="2"/>
  </r>
  <r>
    <x v="24"/>
    <s v="GRL"/>
    <x v="1"/>
    <s v="EN.GHG.CO2.PC.CE.AR5"/>
    <x v="19"/>
    <n v="10"/>
    <x v="2"/>
  </r>
  <r>
    <x v="24"/>
    <s v="GRL"/>
    <x v="1"/>
    <s v="EN.GHG.CO2.PC.CE.AR5"/>
    <x v="20"/>
    <n v="11"/>
    <x v="2"/>
  </r>
  <r>
    <x v="24"/>
    <s v="GRL"/>
    <x v="1"/>
    <s v="EN.GHG.CO2.PC.CE.AR5"/>
    <x v="21"/>
    <n v="12"/>
    <x v="2"/>
  </r>
  <r>
    <x v="24"/>
    <s v="GRL"/>
    <x v="1"/>
    <s v="EN.GHG.CO2.PC.CE.AR5"/>
    <x v="22"/>
    <n v="9"/>
    <x v="2"/>
  </r>
  <r>
    <x v="24"/>
    <s v="GRL"/>
    <x v="1"/>
    <s v="EN.GHG.CO2.PC.CE.AR5"/>
    <x v="23"/>
    <n v="10"/>
    <x v="2"/>
  </r>
  <r>
    <x v="24"/>
    <s v="GRL"/>
    <x v="1"/>
    <s v="EN.GHG.CO2.PC.CE.AR5"/>
    <x v="24"/>
    <n v="9"/>
    <x v="2"/>
  </r>
  <r>
    <x v="24"/>
    <s v="GRL"/>
    <x v="1"/>
    <s v="EN.GHG.CO2.PC.CE.AR5"/>
    <x v="25"/>
    <n v="9"/>
    <x v="2"/>
  </r>
  <r>
    <x v="24"/>
    <s v="GRL"/>
    <x v="1"/>
    <s v="EN.GHG.CO2.PC.CE.AR5"/>
    <x v="26"/>
    <n v="9"/>
    <x v="2"/>
  </r>
  <r>
    <x v="24"/>
    <s v="GRL"/>
    <x v="1"/>
    <s v="EN.GHG.CO2.PC.CE.AR5"/>
    <x v="27"/>
    <n v="9"/>
    <x v="3"/>
  </r>
  <r>
    <x v="24"/>
    <s v="GRL"/>
    <x v="1"/>
    <s v="EN.GHG.CO2.PC.CE.AR5"/>
    <x v="28"/>
    <n v="9"/>
    <x v="3"/>
  </r>
  <r>
    <x v="24"/>
    <s v="GRL"/>
    <x v="1"/>
    <s v="EN.GHG.CO2.PC.CE.AR5"/>
    <x v="29"/>
    <n v="9"/>
    <x v="3"/>
  </r>
  <r>
    <x v="24"/>
    <s v="GRL"/>
    <x v="1"/>
    <s v="EN.GHG.CO2.PC.CE.AR5"/>
    <x v="30"/>
    <n v="9"/>
    <x v="3"/>
  </r>
  <r>
    <x v="24"/>
    <s v="GRL"/>
    <x v="1"/>
    <s v="EN.GHG.CO2.PC.CE.AR5"/>
    <x v="31"/>
    <n v="10"/>
    <x v="3"/>
  </r>
  <r>
    <x v="24"/>
    <s v="GRL"/>
    <x v="1"/>
    <s v="EN.GHG.CO2.PC.CE.AR5"/>
    <x v="32"/>
    <n v="10"/>
    <x v="4"/>
  </r>
  <r>
    <x v="24"/>
    <s v="GRL"/>
    <x v="1"/>
    <s v="EN.GHG.CO2.PC.CE.AR5"/>
    <x v="33"/>
    <n v="10"/>
    <x v="4"/>
  </r>
  <r>
    <x v="24"/>
    <s v="GRL"/>
    <x v="1"/>
    <s v="EN.GHG.CO2.PC.CE.AR5"/>
    <x v="54"/>
    <n v="10"/>
    <x v="4"/>
  </r>
  <r>
    <x v="25"/>
    <s v="HRV"/>
    <x v="1"/>
    <s v="EN.GHG.CO2.PC.CE.AR5"/>
    <x v="34"/>
    <n v="4"/>
    <x v="4"/>
  </r>
  <r>
    <x v="25"/>
    <s v="HRV"/>
    <x v="1"/>
    <s v="EN.GHG.CO2.PC.CE.AR5"/>
    <x v="35"/>
    <n v="4"/>
    <x v="4"/>
  </r>
  <r>
    <x v="25"/>
    <s v="HRV"/>
    <x v="1"/>
    <s v="EN.GHG.CO2.PC.CE.AR5"/>
    <x v="36"/>
    <n v="4"/>
    <x v="4"/>
  </r>
  <r>
    <x v="25"/>
    <s v="HRV"/>
    <x v="1"/>
    <s v="EN.GHG.CO2.PC.CE.AR5"/>
    <x v="37"/>
    <n v="4"/>
    <x v="4"/>
  </r>
  <r>
    <x v="25"/>
    <s v="HRV"/>
    <x v="1"/>
    <s v="EN.GHG.CO2.PC.CE.AR5"/>
    <x v="38"/>
    <n v="4"/>
    <x v="4"/>
  </r>
  <r>
    <x v="25"/>
    <s v="HRV"/>
    <x v="1"/>
    <s v="EN.GHG.CO2.PC.CE.AR5"/>
    <x v="39"/>
    <n v="4"/>
    <x v="4"/>
  </r>
  <r>
    <x v="25"/>
    <s v="HRV"/>
    <x v="1"/>
    <s v="EN.GHG.CO2.PC.CE.AR5"/>
    <x v="40"/>
    <n v="4"/>
    <x v="4"/>
  </r>
  <r>
    <x v="25"/>
    <s v="HRV"/>
    <x v="1"/>
    <s v="EN.GHG.CO2.PC.CE.AR5"/>
    <x v="41"/>
    <n v="4"/>
    <x v="5"/>
  </r>
  <r>
    <x v="25"/>
    <s v="HRV"/>
    <x v="1"/>
    <s v="EN.GHG.CO2.PC.CE.AR5"/>
    <x v="42"/>
    <n v="5"/>
    <x v="5"/>
  </r>
  <r>
    <x v="25"/>
    <s v="HRV"/>
    <x v="1"/>
    <s v="EN.GHG.CO2.PC.CE.AR5"/>
    <x v="43"/>
    <n v="5"/>
    <x v="5"/>
  </r>
  <r>
    <x v="25"/>
    <s v="HRV"/>
    <x v="1"/>
    <s v="EN.GHG.CO2.PC.CE.AR5"/>
    <x v="44"/>
    <n v="5"/>
    <x v="5"/>
  </r>
  <r>
    <x v="25"/>
    <s v="HRV"/>
    <x v="1"/>
    <s v="EN.GHG.CO2.PC.CE.AR5"/>
    <x v="45"/>
    <n v="5"/>
    <x v="5"/>
  </r>
  <r>
    <x v="25"/>
    <s v="HRV"/>
    <x v="1"/>
    <s v="EN.GHG.CO2.PC.CE.AR5"/>
    <x v="46"/>
    <n v="5"/>
    <x v="5"/>
  </r>
  <r>
    <x v="25"/>
    <s v="HRV"/>
    <x v="1"/>
    <s v="EN.GHG.CO2.PC.CE.AR5"/>
    <x v="47"/>
    <n v="6"/>
    <x v="5"/>
  </r>
  <r>
    <x v="25"/>
    <s v="HRV"/>
    <x v="1"/>
    <s v="EN.GHG.CO2.PC.CE.AR5"/>
    <x v="48"/>
    <n v="6"/>
    <x v="5"/>
  </r>
  <r>
    <x v="25"/>
    <s v="HRV"/>
    <x v="1"/>
    <s v="EN.GHG.CO2.PC.CE.AR5"/>
    <x v="49"/>
    <n v="6"/>
    <x v="5"/>
  </r>
  <r>
    <x v="25"/>
    <s v="HRV"/>
    <x v="1"/>
    <s v="EN.GHG.CO2.PC.CE.AR5"/>
    <x v="50"/>
    <n v="7"/>
    <x v="5"/>
  </r>
  <r>
    <x v="25"/>
    <s v="HRV"/>
    <x v="1"/>
    <s v="EN.GHG.CO2.PC.CE.AR5"/>
    <x v="51"/>
    <n v="6"/>
    <x v="0"/>
  </r>
  <r>
    <x v="25"/>
    <s v="HRV"/>
    <x v="1"/>
    <s v="EN.GHG.CO2.PC.CE.AR5"/>
    <x v="52"/>
    <n v="7"/>
    <x v="0"/>
  </r>
  <r>
    <x v="25"/>
    <s v="HRV"/>
    <x v="1"/>
    <s v="EN.GHG.CO2.PC.CE.AR5"/>
    <x v="53"/>
    <n v="7"/>
    <x v="0"/>
  </r>
  <r>
    <x v="25"/>
    <s v="HRV"/>
    <x v="1"/>
    <s v="EN.GHG.CO2.PC.CE.AR5"/>
    <x v="0"/>
    <n v="5"/>
    <x v="0"/>
  </r>
  <r>
    <x v="25"/>
    <s v="HRV"/>
    <x v="1"/>
    <s v="EN.GHG.CO2.PC.CE.AR5"/>
    <x v="1"/>
    <n v="4"/>
    <x v="0"/>
  </r>
  <r>
    <x v="25"/>
    <s v="HRV"/>
    <x v="1"/>
    <s v="EN.GHG.CO2.PC.CE.AR5"/>
    <x v="2"/>
    <n v="4"/>
    <x v="0"/>
  </r>
  <r>
    <x v="25"/>
    <s v="HRV"/>
    <x v="1"/>
    <s v="EN.GHG.CO2.PC.CE.AR5"/>
    <x v="3"/>
    <n v="4"/>
    <x v="0"/>
  </r>
  <r>
    <x v="25"/>
    <s v="HRV"/>
    <x v="1"/>
    <s v="EN.GHG.CO2.PC.CE.AR5"/>
    <x v="4"/>
    <n v="3"/>
    <x v="0"/>
  </r>
  <r>
    <x v="25"/>
    <s v="HRV"/>
    <x v="1"/>
    <s v="EN.GHG.CO2.PC.CE.AR5"/>
    <x v="5"/>
    <n v="4"/>
    <x v="0"/>
  </r>
  <r>
    <x v="25"/>
    <s v="HRV"/>
    <x v="1"/>
    <s v="EN.GHG.CO2.PC.CE.AR5"/>
    <x v="6"/>
    <n v="4"/>
    <x v="0"/>
  </r>
  <r>
    <x v="25"/>
    <s v="HRV"/>
    <x v="1"/>
    <s v="EN.GHG.CO2.PC.CE.AR5"/>
    <x v="7"/>
    <n v="4"/>
    <x v="1"/>
  </r>
  <r>
    <x v="25"/>
    <s v="HRV"/>
    <x v="1"/>
    <s v="EN.GHG.CO2.PC.CE.AR5"/>
    <x v="8"/>
    <n v="4"/>
    <x v="1"/>
  </r>
  <r>
    <x v="25"/>
    <s v="HRV"/>
    <x v="1"/>
    <s v="EN.GHG.CO2.PC.CE.AR5"/>
    <x v="9"/>
    <n v="4"/>
    <x v="1"/>
  </r>
  <r>
    <x v="25"/>
    <s v="HRV"/>
    <x v="1"/>
    <s v="EN.GHG.CO2.PC.CE.AR5"/>
    <x v="10"/>
    <n v="4"/>
    <x v="1"/>
  </r>
  <r>
    <x v="25"/>
    <s v="HRV"/>
    <x v="1"/>
    <s v="EN.GHG.CO2.PC.CE.AR5"/>
    <x v="11"/>
    <n v="5"/>
    <x v="1"/>
  </r>
  <r>
    <x v="25"/>
    <s v="HRV"/>
    <x v="1"/>
    <s v="EN.GHG.CO2.PC.CE.AR5"/>
    <x v="12"/>
    <n v="5"/>
    <x v="1"/>
  </r>
  <r>
    <x v="25"/>
    <s v="HRV"/>
    <x v="1"/>
    <s v="EN.GHG.CO2.PC.CE.AR5"/>
    <x v="13"/>
    <n v="5"/>
    <x v="1"/>
  </r>
  <r>
    <x v="25"/>
    <s v="HRV"/>
    <x v="1"/>
    <s v="EN.GHG.CO2.PC.CE.AR5"/>
    <x v="14"/>
    <n v="5"/>
    <x v="1"/>
  </r>
  <r>
    <x v="25"/>
    <s v="HRV"/>
    <x v="1"/>
    <s v="EN.GHG.CO2.PC.CE.AR5"/>
    <x v="15"/>
    <n v="5"/>
    <x v="1"/>
  </r>
  <r>
    <x v="25"/>
    <s v="HRV"/>
    <x v="1"/>
    <s v="EN.GHG.CO2.PC.CE.AR5"/>
    <x v="16"/>
    <n v="5"/>
    <x v="1"/>
  </r>
  <r>
    <x v="25"/>
    <s v="HRV"/>
    <x v="1"/>
    <s v="EN.GHG.CO2.PC.CE.AR5"/>
    <x v="17"/>
    <n v="6"/>
    <x v="2"/>
  </r>
  <r>
    <x v="25"/>
    <s v="HRV"/>
    <x v="1"/>
    <s v="EN.GHG.CO2.PC.CE.AR5"/>
    <x v="18"/>
    <n v="5"/>
    <x v="2"/>
  </r>
  <r>
    <x v="25"/>
    <s v="HRV"/>
    <x v="1"/>
    <s v="EN.GHG.CO2.PC.CE.AR5"/>
    <x v="19"/>
    <n v="5"/>
    <x v="2"/>
  </r>
  <r>
    <x v="25"/>
    <s v="HRV"/>
    <x v="1"/>
    <s v="EN.GHG.CO2.PC.CE.AR5"/>
    <x v="20"/>
    <n v="5"/>
    <x v="2"/>
  </r>
  <r>
    <x v="25"/>
    <s v="HRV"/>
    <x v="1"/>
    <s v="EN.GHG.CO2.PC.CE.AR5"/>
    <x v="21"/>
    <n v="5"/>
    <x v="2"/>
  </r>
  <r>
    <x v="25"/>
    <s v="HRV"/>
    <x v="1"/>
    <s v="EN.GHG.CO2.PC.CE.AR5"/>
    <x v="22"/>
    <n v="4"/>
    <x v="2"/>
  </r>
  <r>
    <x v="25"/>
    <s v="HRV"/>
    <x v="1"/>
    <s v="EN.GHG.CO2.PC.CE.AR5"/>
    <x v="23"/>
    <n v="4"/>
    <x v="2"/>
  </r>
  <r>
    <x v="25"/>
    <s v="HRV"/>
    <x v="1"/>
    <s v="EN.GHG.CO2.PC.CE.AR5"/>
    <x v="24"/>
    <n v="4"/>
    <x v="2"/>
  </r>
  <r>
    <x v="25"/>
    <s v="HRV"/>
    <x v="1"/>
    <s v="EN.GHG.CO2.PC.CE.AR5"/>
    <x v="25"/>
    <n v="4"/>
    <x v="2"/>
  </r>
  <r>
    <x v="25"/>
    <s v="HRV"/>
    <x v="1"/>
    <s v="EN.GHG.CO2.PC.CE.AR5"/>
    <x v="26"/>
    <n v="4"/>
    <x v="2"/>
  </r>
  <r>
    <x v="25"/>
    <s v="HRV"/>
    <x v="1"/>
    <s v="EN.GHG.CO2.PC.CE.AR5"/>
    <x v="27"/>
    <n v="5"/>
    <x v="3"/>
  </r>
  <r>
    <x v="25"/>
    <s v="HRV"/>
    <x v="1"/>
    <s v="EN.GHG.CO2.PC.CE.AR5"/>
    <x v="28"/>
    <n v="4"/>
    <x v="3"/>
  </r>
  <r>
    <x v="25"/>
    <s v="HRV"/>
    <x v="1"/>
    <s v="EN.GHG.CO2.PC.CE.AR5"/>
    <x v="29"/>
    <n v="5"/>
    <x v="3"/>
  </r>
  <r>
    <x v="25"/>
    <s v="HRV"/>
    <x v="1"/>
    <s v="EN.GHG.CO2.PC.CE.AR5"/>
    <x v="30"/>
    <n v="4"/>
    <x v="3"/>
  </r>
  <r>
    <x v="25"/>
    <s v="HRV"/>
    <x v="1"/>
    <s v="EN.GHG.CO2.PC.CE.AR5"/>
    <x v="31"/>
    <n v="5"/>
    <x v="3"/>
  </r>
  <r>
    <x v="25"/>
    <s v="HRV"/>
    <x v="1"/>
    <s v="EN.GHG.CO2.PC.CE.AR5"/>
    <x v="32"/>
    <n v="5"/>
    <x v="4"/>
  </r>
  <r>
    <x v="25"/>
    <s v="HRV"/>
    <x v="1"/>
    <s v="EN.GHG.CO2.PC.CE.AR5"/>
    <x v="33"/>
    <n v="5"/>
    <x v="4"/>
  </r>
  <r>
    <x v="25"/>
    <s v="HRV"/>
    <x v="1"/>
    <s v="EN.GHG.CO2.PC.CE.AR5"/>
    <x v="54"/>
    <n v="5"/>
    <x v="4"/>
  </r>
  <r>
    <x v="26"/>
    <s v="HUN"/>
    <x v="1"/>
    <s v="EN.GHG.CO2.PC.CE.AR5"/>
    <x v="34"/>
    <n v="6"/>
    <x v="4"/>
  </r>
  <r>
    <x v="26"/>
    <s v="HUN"/>
    <x v="1"/>
    <s v="EN.GHG.CO2.PC.CE.AR5"/>
    <x v="35"/>
    <n v="7"/>
    <x v="4"/>
  </r>
  <r>
    <x v="26"/>
    <s v="HUN"/>
    <x v="1"/>
    <s v="EN.GHG.CO2.PC.CE.AR5"/>
    <x v="36"/>
    <n v="7"/>
    <x v="4"/>
  </r>
  <r>
    <x v="26"/>
    <s v="HUN"/>
    <x v="1"/>
    <s v="EN.GHG.CO2.PC.CE.AR5"/>
    <x v="37"/>
    <n v="7"/>
    <x v="4"/>
  </r>
  <r>
    <x v="26"/>
    <s v="HUN"/>
    <x v="1"/>
    <s v="EN.GHG.CO2.PC.CE.AR5"/>
    <x v="38"/>
    <n v="7"/>
    <x v="4"/>
  </r>
  <r>
    <x v="26"/>
    <s v="HUN"/>
    <x v="1"/>
    <s v="EN.GHG.CO2.PC.CE.AR5"/>
    <x v="39"/>
    <n v="7"/>
    <x v="4"/>
  </r>
  <r>
    <x v="26"/>
    <s v="HUN"/>
    <x v="1"/>
    <s v="EN.GHG.CO2.PC.CE.AR5"/>
    <x v="40"/>
    <n v="8"/>
    <x v="4"/>
  </r>
  <r>
    <x v="26"/>
    <s v="HUN"/>
    <x v="1"/>
    <s v="EN.GHG.CO2.PC.CE.AR5"/>
    <x v="41"/>
    <n v="8"/>
    <x v="5"/>
  </r>
  <r>
    <x v="26"/>
    <s v="HUN"/>
    <x v="1"/>
    <s v="EN.GHG.CO2.PC.CE.AR5"/>
    <x v="42"/>
    <n v="9"/>
    <x v="5"/>
  </r>
  <r>
    <x v="26"/>
    <s v="HUN"/>
    <x v="1"/>
    <s v="EN.GHG.CO2.PC.CE.AR5"/>
    <x v="43"/>
    <n v="9"/>
    <x v="5"/>
  </r>
  <r>
    <x v="26"/>
    <s v="HUN"/>
    <x v="1"/>
    <s v="EN.GHG.CO2.PC.CE.AR5"/>
    <x v="44"/>
    <n v="9"/>
    <x v="5"/>
  </r>
  <r>
    <x v="26"/>
    <s v="HUN"/>
    <x v="1"/>
    <s v="EN.GHG.CO2.PC.CE.AR5"/>
    <x v="45"/>
    <n v="8"/>
    <x v="5"/>
  </r>
  <r>
    <x v="26"/>
    <s v="HUN"/>
    <x v="1"/>
    <s v="EN.GHG.CO2.PC.CE.AR5"/>
    <x v="46"/>
    <n v="8"/>
    <x v="5"/>
  </r>
  <r>
    <x v="26"/>
    <s v="HUN"/>
    <x v="1"/>
    <s v="EN.GHG.CO2.PC.CE.AR5"/>
    <x v="47"/>
    <n v="8"/>
    <x v="5"/>
  </r>
  <r>
    <x v="26"/>
    <s v="HUN"/>
    <x v="1"/>
    <s v="EN.GHG.CO2.PC.CE.AR5"/>
    <x v="48"/>
    <n v="8"/>
    <x v="5"/>
  </r>
  <r>
    <x v="26"/>
    <s v="HUN"/>
    <x v="1"/>
    <s v="EN.GHG.CO2.PC.CE.AR5"/>
    <x v="49"/>
    <n v="8"/>
    <x v="5"/>
  </r>
  <r>
    <x v="26"/>
    <s v="HUN"/>
    <x v="1"/>
    <s v="EN.GHG.CO2.PC.CE.AR5"/>
    <x v="50"/>
    <n v="8"/>
    <x v="5"/>
  </r>
  <r>
    <x v="26"/>
    <s v="HUN"/>
    <x v="1"/>
    <s v="EN.GHG.CO2.PC.CE.AR5"/>
    <x v="51"/>
    <n v="8"/>
    <x v="0"/>
  </r>
  <r>
    <x v="26"/>
    <s v="HUN"/>
    <x v="1"/>
    <s v="EN.GHG.CO2.PC.CE.AR5"/>
    <x v="52"/>
    <n v="8"/>
    <x v="0"/>
  </r>
  <r>
    <x v="26"/>
    <s v="HUN"/>
    <x v="1"/>
    <s v="EN.GHG.CO2.PC.CE.AR5"/>
    <x v="53"/>
    <n v="8"/>
    <x v="0"/>
  </r>
  <r>
    <x v="26"/>
    <s v="HUN"/>
    <x v="1"/>
    <s v="EN.GHG.CO2.PC.CE.AR5"/>
    <x v="0"/>
    <n v="7"/>
    <x v="0"/>
  </r>
  <r>
    <x v="26"/>
    <s v="HUN"/>
    <x v="1"/>
    <s v="EN.GHG.CO2.PC.CE.AR5"/>
    <x v="1"/>
    <n v="7"/>
    <x v="0"/>
  </r>
  <r>
    <x v="26"/>
    <s v="HUN"/>
    <x v="1"/>
    <s v="EN.GHG.CO2.PC.CE.AR5"/>
    <x v="2"/>
    <n v="6"/>
    <x v="0"/>
  </r>
  <r>
    <x v="26"/>
    <s v="HUN"/>
    <x v="1"/>
    <s v="EN.GHG.CO2.PC.CE.AR5"/>
    <x v="3"/>
    <n v="6"/>
    <x v="0"/>
  </r>
  <r>
    <x v="26"/>
    <s v="HUN"/>
    <x v="1"/>
    <s v="EN.GHG.CO2.PC.CE.AR5"/>
    <x v="4"/>
    <n v="6"/>
    <x v="0"/>
  </r>
  <r>
    <x v="26"/>
    <s v="HUN"/>
    <x v="1"/>
    <s v="EN.GHG.CO2.PC.CE.AR5"/>
    <x v="5"/>
    <n v="6"/>
    <x v="0"/>
  </r>
  <r>
    <x v="26"/>
    <s v="HUN"/>
    <x v="1"/>
    <s v="EN.GHG.CO2.PC.CE.AR5"/>
    <x v="6"/>
    <n v="6"/>
    <x v="0"/>
  </r>
  <r>
    <x v="26"/>
    <s v="HUN"/>
    <x v="1"/>
    <s v="EN.GHG.CO2.PC.CE.AR5"/>
    <x v="7"/>
    <n v="6"/>
    <x v="1"/>
  </r>
  <r>
    <x v="26"/>
    <s v="HUN"/>
    <x v="1"/>
    <s v="EN.GHG.CO2.PC.CE.AR5"/>
    <x v="8"/>
    <n v="6"/>
    <x v="1"/>
  </r>
  <r>
    <x v="26"/>
    <s v="HUN"/>
    <x v="1"/>
    <s v="EN.GHG.CO2.PC.CE.AR5"/>
    <x v="9"/>
    <n v="6"/>
    <x v="1"/>
  </r>
  <r>
    <x v="26"/>
    <s v="HUN"/>
    <x v="1"/>
    <s v="EN.GHG.CO2.PC.CE.AR5"/>
    <x v="10"/>
    <n v="6"/>
    <x v="1"/>
  </r>
  <r>
    <x v="26"/>
    <s v="HUN"/>
    <x v="1"/>
    <s v="EN.GHG.CO2.PC.CE.AR5"/>
    <x v="11"/>
    <n v="6"/>
    <x v="1"/>
  </r>
  <r>
    <x v="26"/>
    <s v="HUN"/>
    <x v="1"/>
    <s v="EN.GHG.CO2.PC.CE.AR5"/>
    <x v="12"/>
    <n v="6"/>
    <x v="1"/>
  </r>
  <r>
    <x v="26"/>
    <s v="HUN"/>
    <x v="1"/>
    <s v="EN.GHG.CO2.PC.CE.AR5"/>
    <x v="13"/>
    <n v="6"/>
    <x v="1"/>
  </r>
  <r>
    <x v="26"/>
    <s v="HUN"/>
    <x v="1"/>
    <s v="EN.GHG.CO2.PC.CE.AR5"/>
    <x v="14"/>
    <n v="6"/>
    <x v="1"/>
  </r>
  <r>
    <x v="26"/>
    <s v="HUN"/>
    <x v="1"/>
    <s v="EN.GHG.CO2.PC.CE.AR5"/>
    <x v="15"/>
    <n v="6"/>
    <x v="1"/>
  </r>
  <r>
    <x v="26"/>
    <s v="HUN"/>
    <x v="1"/>
    <s v="EN.GHG.CO2.PC.CE.AR5"/>
    <x v="16"/>
    <n v="6"/>
    <x v="1"/>
  </r>
  <r>
    <x v="26"/>
    <s v="HUN"/>
    <x v="1"/>
    <s v="EN.GHG.CO2.PC.CE.AR5"/>
    <x v="17"/>
    <n v="6"/>
    <x v="2"/>
  </r>
  <r>
    <x v="26"/>
    <s v="HUN"/>
    <x v="1"/>
    <s v="EN.GHG.CO2.PC.CE.AR5"/>
    <x v="18"/>
    <n v="6"/>
    <x v="2"/>
  </r>
  <r>
    <x v="26"/>
    <s v="HUN"/>
    <x v="1"/>
    <s v="EN.GHG.CO2.PC.CE.AR5"/>
    <x v="19"/>
    <n v="5"/>
    <x v="2"/>
  </r>
  <r>
    <x v="26"/>
    <s v="HUN"/>
    <x v="1"/>
    <s v="EN.GHG.CO2.PC.CE.AR5"/>
    <x v="20"/>
    <n v="5"/>
    <x v="2"/>
  </r>
  <r>
    <x v="26"/>
    <s v="HUN"/>
    <x v="1"/>
    <s v="EN.GHG.CO2.PC.CE.AR5"/>
    <x v="21"/>
    <n v="5"/>
    <x v="2"/>
  </r>
  <r>
    <x v="26"/>
    <s v="HUN"/>
    <x v="1"/>
    <s v="EN.GHG.CO2.PC.CE.AR5"/>
    <x v="22"/>
    <n v="5"/>
    <x v="2"/>
  </r>
  <r>
    <x v="26"/>
    <s v="HUN"/>
    <x v="1"/>
    <s v="EN.GHG.CO2.PC.CE.AR5"/>
    <x v="23"/>
    <n v="5"/>
    <x v="2"/>
  </r>
  <r>
    <x v="26"/>
    <s v="HUN"/>
    <x v="1"/>
    <s v="EN.GHG.CO2.PC.CE.AR5"/>
    <x v="24"/>
    <n v="5"/>
    <x v="2"/>
  </r>
  <r>
    <x v="26"/>
    <s v="HUN"/>
    <x v="1"/>
    <s v="EN.GHG.CO2.PC.CE.AR5"/>
    <x v="25"/>
    <n v="5"/>
    <x v="2"/>
  </r>
  <r>
    <x v="26"/>
    <s v="HUN"/>
    <x v="1"/>
    <s v="EN.GHG.CO2.PC.CE.AR5"/>
    <x v="26"/>
    <n v="5"/>
    <x v="2"/>
  </r>
  <r>
    <x v="26"/>
    <s v="HUN"/>
    <x v="1"/>
    <s v="EN.GHG.CO2.PC.CE.AR5"/>
    <x v="27"/>
    <n v="5"/>
    <x v="3"/>
  </r>
  <r>
    <x v="26"/>
    <s v="HUN"/>
    <x v="1"/>
    <s v="EN.GHG.CO2.PC.CE.AR5"/>
    <x v="28"/>
    <n v="5"/>
    <x v="3"/>
  </r>
  <r>
    <x v="26"/>
    <s v="HUN"/>
    <x v="1"/>
    <s v="EN.GHG.CO2.PC.CE.AR5"/>
    <x v="29"/>
    <n v="5"/>
    <x v="3"/>
  </r>
  <r>
    <x v="26"/>
    <s v="HUN"/>
    <x v="1"/>
    <s v="EN.GHG.CO2.PC.CE.AR5"/>
    <x v="30"/>
    <n v="5"/>
    <x v="3"/>
  </r>
  <r>
    <x v="26"/>
    <s v="HUN"/>
    <x v="1"/>
    <s v="EN.GHG.CO2.PC.CE.AR5"/>
    <x v="31"/>
    <n v="5"/>
    <x v="3"/>
  </r>
  <r>
    <x v="26"/>
    <s v="HUN"/>
    <x v="1"/>
    <s v="EN.GHG.CO2.PC.CE.AR5"/>
    <x v="32"/>
    <n v="5"/>
    <x v="4"/>
  </r>
  <r>
    <x v="26"/>
    <s v="HUN"/>
    <x v="1"/>
    <s v="EN.GHG.CO2.PC.CE.AR5"/>
    <x v="33"/>
    <n v="4"/>
    <x v="4"/>
  </r>
  <r>
    <x v="26"/>
    <s v="HUN"/>
    <x v="1"/>
    <s v="EN.GHG.CO2.PC.CE.AR5"/>
    <x v="54"/>
    <n v="4"/>
    <x v="4"/>
  </r>
  <r>
    <x v="28"/>
    <s v="IRL"/>
    <x v="1"/>
    <s v="EN.GHG.CO2.PC.CE.AR5"/>
    <x v="34"/>
    <n v="7"/>
    <x v="4"/>
  </r>
  <r>
    <x v="28"/>
    <s v="IRL"/>
    <x v="1"/>
    <s v="EN.GHG.CO2.PC.CE.AR5"/>
    <x v="35"/>
    <n v="8"/>
    <x v="4"/>
  </r>
  <r>
    <x v="28"/>
    <s v="IRL"/>
    <x v="1"/>
    <s v="EN.GHG.CO2.PC.CE.AR5"/>
    <x v="36"/>
    <n v="7"/>
    <x v="4"/>
  </r>
  <r>
    <x v="28"/>
    <s v="IRL"/>
    <x v="1"/>
    <s v="EN.GHG.CO2.PC.CE.AR5"/>
    <x v="37"/>
    <n v="7"/>
    <x v="4"/>
  </r>
  <r>
    <x v="28"/>
    <s v="IRL"/>
    <x v="1"/>
    <s v="EN.GHG.CO2.PC.CE.AR5"/>
    <x v="38"/>
    <n v="8"/>
    <x v="4"/>
  </r>
  <r>
    <x v="28"/>
    <s v="IRL"/>
    <x v="1"/>
    <s v="EN.GHG.CO2.PC.CE.AR5"/>
    <x v="39"/>
    <n v="7"/>
    <x v="4"/>
  </r>
  <r>
    <x v="28"/>
    <s v="IRL"/>
    <x v="1"/>
    <s v="EN.GHG.CO2.PC.CE.AR5"/>
    <x v="40"/>
    <n v="7"/>
    <x v="4"/>
  </r>
  <r>
    <x v="28"/>
    <s v="IRL"/>
    <x v="1"/>
    <s v="EN.GHG.CO2.PC.CE.AR5"/>
    <x v="41"/>
    <n v="8"/>
    <x v="5"/>
  </r>
  <r>
    <x v="28"/>
    <s v="IRL"/>
    <x v="1"/>
    <s v="EN.GHG.CO2.PC.CE.AR5"/>
    <x v="42"/>
    <n v="7"/>
    <x v="5"/>
  </r>
  <r>
    <x v="28"/>
    <s v="IRL"/>
    <x v="1"/>
    <s v="EN.GHG.CO2.PC.CE.AR5"/>
    <x v="43"/>
    <n v="9"/>
    <x v="5"/>
  </r>
  <r>
    <x v="28"/>
    <s v="IRL"/>
    <x v="1"/>
    <s v="EN.GHG.CO2.PC.CE.AR5"/>
    <x v="44"/>
    <n v="8"/>
    <x v="5"/>
  </r>
  <r>
    <x v="28"/>
    <s v="IRL"/>
    <x v="1"/>
    <s v="EN.GHG.CO2.PC.CE.AR5"/>
    <x v="45"/>
    <n v="8"/>
    <x v="5"/>
  </r>
  <r>
    <x v="28"/>
    <s v="IRL"/>
    <x v="1"/>
    <s v="EN.GHG.CO2.PC.CE.AR5"/>
    <x v="46"/>
    <n v="8"/>
    <x v="5"/>
  </r>
  <r>
    <x v="28"/>
    <s v="IRL"/>
    <x v="1"/>
    <s v="EN.GHG.CO2.PC.CE.AR5"/>
    <x v="47"/>
    <n v="8"/>
    <x v="5"/>
  </r>
  <r>
    <x v="28"/>
    <s v="IRL"/>
    <x v="1"/>
    <s v="EN.GHG.CO2.PC.CE.AR5"/>
    <x v="48"/>
    <n v="8"/>
    <x v="5"/>
  </r>
  <r>
    <x v="28"/>
    <s v="IRL"/>
    <x v="1"/>
    <s v="EN.GHG.CO2.PC.CE.AR5"/>
    <x v="49"/>
    <n v="8"/>
    <x v="5"/>
  </r>
  <r>
    <x v="28"/>
    <s v="IRL"/>
    <x v="1"/>
    <s v="EN.GHG.CO2.PC.CE.AR5"/>
    <x v="50"/>
    <n v="8"/>
    <x v="5"/>
  </r>
  <r>
    <x v="28"/>
    <s v="IRL"/>
    <x v="1"/>
    <s v="EN.GHG.CO2.PC.CE.AR5"/>
    <x v="51"/>
    <n v="9"/>
    <x v="0"/>
  </r>
  <r>
    <x v="28"/>
    <s v="IRL"/>
    <x v="1"/>
    <s v="EN.GHG.CO2.PC.CE.AR5"/>
    <x v="52"/>
    <n v="9"/>
    <x v="0"/>
  </r>
  <r>
    <x v="28"/>
    <s v="IRL"/>
    <x v="1"/>
    <s v="EN.GHG.CO2.PC.CE.AR5"/>
    <x v="53"/>
    <n v="9"/>
    <x v="0"/>
  </r>
  <r>
    <x v="28"/>
    <s v="IRL"/>
    <x v="1"/>
    <s v="EN.GHG.CO2.PC.CE.AR5"/>
    <x v="0"/>
    <n v="9"/>
    <x v="0"/>
  </r>
  <r>
    <x v="28"/>
    <s v="IRL"/>
    <x v="1"/>
    <s v="EN.GHG.CO2.PC.CE.AR5"/>
    <x v="1"/>
    <n v="9"/>
    <x v="0"/>
  </r>
  <r>
    <x v="28"/>
    <s v="IRL"/>
    <x v="1"/>
    <s v="EN.GHG.CO2.PC.CE.AR5"/>
    <x v="2"/>
    <n v="9"/>
    <x v="0"/>
  </r>
  <r>
    <x v="28"/>
    <s v="IRL"/>
    <x v="1"/>
    <s v="EN.GHG.CO2.PC.CE.AR5"/>
    <x v="3"/>
    <n v="9"/>
    <x v="0"/>
  </r>
  <r>
    <x v="28"/>
    <s v="IRL"/>
    <x v="1"/>
    <s v="EN.GHG.CO2.PC.CE.AR5"/>
    <x v="4"/>
    <n v="10"/>
    <x v="0"/>
  </r>
  <r>
    <x v="28"/>
    <s v="IRL"/>
    <x v="1"/>
    <s v="EN.GHG.CO2.PC.CE.AR5"/>
    <x v="5"/>
    <n v="10"/>
    <x v="0"/>
  </r>
  <r>
    <x v="28"/>
    <s v="IRL"/>
    <x v="1"/>
    <s v="EN.GHG.CO2.PC.CE.AR5"/>
    <x v="6"/>
    <n v="10"/>
    <x v="0"/>
  </r>
  <r>
    <x v="28"/>
    <s v="IRL"/>
    <x v="1"/>
    <s v="EN.GHG.CO2.PC.CE.AR5"/>
    <x v="7"/>
    <n v="10"/>
    <x v="1"/>
  </r>
  <r>
    <x v="28"/>
    <s v="IRL"/>
    <x v="1"/>
    <s v="EN.GHG.CO2.PC.CE.AR5"/>
    <x v="8"/>
    <n v="11"/>
    <x v="1"/>
  </r>
  <r>
    <x v="28"/>
    <s v="IRL"/>
    <x v="1"/>
    <s v="EN.GHG.CO2.PC.CE.AR5"/>
    <x v="9"/>
    <n v="11"/>
    <x v="1"/>
  </r>
  <r>
    <x v="28"/>
    <s v="IRL"/>
    <x v="1"/>
    <s v="EN.GHG.CO2.PC.CE.AR5"/>
    <x v="10"/>
    <n v="12"/>
    <x v="1"/>
  </r>
  <r>
    <x v="28"/>
    <s v="IRL"/>
    <x v="1"/>
    <s v="EN.GHG.CO2.PC.CE.AR5"/>
    <x v="11"/>
    <n v="12"/>
    <x v="1"/>
  </r>
  <r>
    <x v="28"/>
    <s v="IRL"/>
    <x v="1"/>
    <s v="EN.GHG.CO2.PC.CE.AR5"/>
    <x v="12"/>
    <n v="11"/>
    <x v="1"/>
  </r>
  <r>
    <x v="28"/>
    <s v="IRL"/>
    <x v="1"/>
    <s v="EN.GHG.CO2.PC.CE.AR5"/>
    <x v="13"/>
    <n v="11"/>
    <x v="1"/>
  </r>
  <r>
    <x v="28"/>
    <s v="IRL"/>
    <x v="1"/>
    <s v="EN.GHG.CO2.PC.CE.AR5"/>
    <x v="14"/>
    <n v="11"/>
    <x v="1"/>
  </r>
  <r>
    <x v="28"/>
    <s v="IRL"/>
    <x v="1"/>
    <s v="EN.GHG.CO2.PC.CE.AR5"/>
    <x v="15"/>
    <n v="11"/>
    <x v="1"/>
  </r>
  <r>
    <x v="28"/>
    <s v="IRL"/>
    <x v="1"/>
    <s v="EN.GHG.CO2.PC.CE.AR5"/>
    <x v="16"/>
    <n v="11"/>
    <x v="1"/>
  </r>
  <r>
    <x v="28"/>
    <s v="IRL"/>
    <x v="1"/>
    <s v="EN.GHG.CO2.PC.CE.AR5"/>
    <x v="17"/>
    <n v="11"/>
    <x v="2"/>
  </r>
  <r>
    <x v="28"/>
    <s v="IRL"/>
    <x v="1"/>
    <s v="EN.GHG.CO2.PC.CE.AR5"/>
    <x v="18"/>
    <n v="10"/>
    <x v="2"/>
  </r>
  <r>
    <x v="28"/>
    <s v="IRL"/>
    <x v="1"/>
    <s v="EN.GHG.CO2.PC.CE.AR5"/>
    <x v="19"/>
    <n v="9"/>
    <x v="2"/>
  </r>
  <r>
    <x v="28"/>
    <s v="IRL"/>
    <x v="1"/>
    <s v="EN.GHG.CO2.PC.CE.AR5"/>
    <x v="20"/>
    <n v="9"/>
    <x v="2"/>
  </r>
  <r>
    <x v="28"/>
    <s v="IRL"/>
    <x v="1"/>
    <s v="EN.GHG.CO2.PC.CE.AR5"/>
    <x v="21"/>
    <n v="8"/>
    <x v="2"/>
  </r>
  <r>
    <x v="28"/>
    <s v="IRL"/>
    <x v="1"/>
    <s v="EN.GHG.CO2.PC.CE.AR5"/>
    <x v="22"/>
    <n v="8"/>
    <x v="2"/>
  </r>
  <r>
    <x v="28"/>
    <s v="IRL"/>
    <x v="1"/>
    <s v="EN.GHG.CO2.PC.CE.AR5"/>
    <x v="23"/>
    <n v="8"/>
    <x v="2"/>
  </r>
  <r>
    <x v="28"/>
    <s v="IRL"/>
    <x v="1"/>
    <s v="EN.GHG.CO2.PC.CE.AR5"/>
    <x v="24"/>
    <n v="8"/>
    <x v="2"/>
  </r>
  <r>
    <x v="28"/>
    <s v="IRL"/>
    <x v="1"/>
    <s v="EN.GHG.CO2.PC.CE.AR5"/>
    <x v="25"/>
    <n v="8"/>
    <x v="2"/>
  </r>
  <r>
    <x v="28"/>
    <s v="IRL"/>
    <x v="1"/>
    <s v="EN.GHG.CO2.PC.CE.AR5"/>
    <x v="26"/>
    <n v="8"/>
    <x v="2"/>
  </r>
  <r>
    <x v="28"/>
    <s v="IRL"/>
    <x v="1"/>
    <s v="EN.GHG.CO2.PC.CE.AR5"/>
    <x v="27"/>
    <n v="8"/>
    <x v="3"/>
  </r>
  <r>
    <x v="28"/>
    <s v="IRL"/>
    <x v="1"/>
    <s v="EN.GHG.CO2.PC.CE.AR5"/>
    <x v="28"/>
    <n v="8"/>
    <x v="3"/>
  </r>
  <r>
    <x v="28"/>
    <s v="IRL"/>
    <x v="1"/>
    <s v="EN.GHG.CO2.PC.CE.AR5"/>
    <x v="29"/>
    <n v="7"/>
    <x v="3"/>
  </r>
  <r>
    <x v="28"/>
    <s v="IRL"/>
    <x v="1"/>
    <s v="EN.GHG.CO2.PC.CE.AR5"/>
    <x v="30"/>
    <n v="7"/>
    <x v="3"/>
  </r>
  <r>
    <x v="28"/>
    <s v="IRL"/>
    <x v="1"/>
    <s v="EN.GHG.CO2.PC.CE.AR5"/>
    <x v="31"/>
    <n v="7"/>
    <x v="3"/>
  </r>
  <r>
    <x v="28"/>
    <s v="IRL"/>
    <x v="1"/>
    <s v="EN.GHG.CO2.PC.CE.AR5"/>
    <x v="32"/>
    <n v="7"/>
    <x v="4"/>
  </r>
  <r>
    <x v="28"/>
    <s v="IRL"/>
    <x v="1"/>
    <s v="EN.GHG.CO2.PC.CE.AR5"/>
    <x v="33"/>
    <n v="6"/>
    <x v="4"/>
  </r>
  <r>
    <x v="28"/>
    <s v="IRL"/>
    <x v="1"/>
    <s v="EN.GHG.CO2.PC.CE.AR5"/>
    <x v="54"/>
    <n v="6"/>
    <x v="4"/>
  </r>
  <r>
    <x v="29"/>
    <s v="ISL"/>
    <x v="1"/>
    <s v="EN.GHG.CO2.PC.CE.AR5"/>
    <x v="34"/>
    <n v="9"/>
    <x v="4"/>
  </r>
  <r>
    <x v="29"/>
    <s v="ISL"/>
    <x v="1"/>
    <s v="EN.GHG.CO2.PC.CE.AR5"/>
    <x v="35"/>
    <n v="10"/>
    <x v="4"/>
  </r>
  <r>
    <x v="29"/>
    <s v="ISL"/>
    <x v="1"/>
    <s v="EN.GHG.CO2.PC.CE.AR5"/>
    <x v="36"/>
    <n v="11"/>
    <x v="4"/>
  </r>
  <r>
    <x v="29"/>
    <s v="ISL"/>
    <x v="1"/>
    <s v="EN.GHG.CO2.PC.CE.AR5"/>
    <x v="37"/>
    <n v="12"/>
    <x v="4"/>
  </r>
  <r>
    <x v="29"/>
    <s v="ISL"/>
    <x v="1"/>
    <s v="EN.GHG.CO2.PC.CE.AR5"/>
    <x v="38"/>
    <n v="12"/>
    <x v="4"/>
  </r>
  <r>
    <x v="29"/>
    <s v="ISL"/>
    <x v="1"/>
    <s v="EN.GHG.CO2.PC.CE.AR5"/>
    <x v="39"/>
    <n v="11"/>
    <x v="4"/>
  </r>
  <r>
    <x v="29"/>
    <s v="ISL"/>
    <x v="1"/>
    <s v="EN.GHG.CO2.PC.CE.AR5"/>
    <x v="40"/>
    <n v="11"/>
    <x v="4"/>
  </r>
  <r>
    <x v="29"/>
    <s v="ISL"/>
    <x v="1"/>
    <s v="EN.GHG.CO2.PC.CE.AR5"/>
    <x v="41"/>
    <n v="11"/>
    <x v="5"/>
  </r>
  <r>
    <x v="29"/>
    <s v="ISL"/>
    <x v="1"/>
    <s v="EN.GHG.CO2.PC.CE.AR5"/>
    <x v="42"/>
    <n v="11"/>
    <x v="5"/>
  </r>
  <r>
    <x v="29"/>
    <s v="ISL"/>
    <x v="1"/>
    <s v="EN.GHG.CO2.PC.CE.AR5"/>
    <x v="43"/>
    <n v="12"/>
    <x v="5"/>
  </r>
  <r>
    <x v="29"/>
    <s v="ISL"/>
    <x v="1"/>
    <s v="EN.GHG.CO2.PC.CE.AR5"/>
    <x v="44"/>
    <n v="11"/>
    <x v="5"/>
  </r>
  <r>
    <x v="29"/>
    <s v="ISL"/>
    <x v="1"/>
    <s v="EN.GHG.CO2.PC.CE.AR5"/>
    <x v="45"/>
    <n v="10"/>
    <x v="5"/>
  </r>
  <r>
    <x v="29"/>
    <s v="ISL"/>
    <x v="1"/>
    <s v="EN.GHG.CO2.PC.CE.AR5"/>
    <x v="46"/>
    <n v="8"/>
    <x v="5"/>
  </r>
  <r>
    <x v="29"/>
    <s v="ISL"/>
    <x v="1"/>
    <s v="EN.GHG.CO2.PC.CE.AR5"/>
    <x v="47"/>
    <n v="9"/>
    <x v="5"/>
  </r>
  <r>
    <x v="29"/>
    <s v="ISL"/>
    <x v="1"/>
    <s v="EN.GHG.CO2.PC.CE.AR5"/>
    <x v="48"/>
    <n v="9"/>
    <x v="5"/>
  </r>
  <r>
    <x v="29"/>
    <s v="ISL"/>
    <x v="1"/>
    <s v="EN.GHG.CO2.PC.CE.AR5"/>
    <x v="49"/>
    <n v="9"/>
    <x v="5"/>
  </r>
  <r>
    <x v="29"/>
    <s v="ISL"/>
    <x v="1"/>
    <s v="EN.GHG.CO2.PC.CE.AR5"/>
    <x v="50"/>
    <n v="9"/>
    <x v="5"/>
  </r>
  <r>
    <x v="29"/>
    <s v="ISL"/>
    <x v="1"/>
    <s v="EN.GHG.CO2.PC.CE.AR5"/>
    <x v="51"/>
    <n v="9"/>
    <x v="0"/>
  </r>
  <r>
    <x v="29"/>
    <s v="ISL"/>
    <x v="1"/>
    <s v="EN.GHG.CO2.PC.CE.AR5"/>
    <x v="52"/>
    <n v="9"/>
    <x v="0"/>
  </r>
  <r>
    <x v="29"/>
    <s v="ISL"/>
    <x v="1"/>
    <s v="EN.GHG.CO2.PC.CE.AR5"/>
    <x v="53"/>
    <n v="9"/>
    <x v="0"/>
  </r>
  <r>
    <x v="29"/>
    <s v="ISL"/>
    <x v="1"/>
    <s v="EN.GHG.CO2.PC.CE.AR5"/>
    <x v="0"/>
    <n v="9"/>
    <x v="0"/>
  </r>
  <r>
    <x v="29"/>
    <s v="ISL"/>
    <x v="1"/>
    <s v="EN.GHG.CO2.PC.CE.AR5"/>
    <x v="1"/>
    <n v="9"/>
    <x v="0"/>
  </r>
  <r>
    <x v="29"/>
    <s v="ISL"/>
    <x v="1"/>
    <s v="EN.GHG.CO2.PC.CE.AR5"/>
    <x v="2"/>
    <n v="9"/>
    <x v="0"/>
  </r>
  <r>
    <x v="29"/>
    <s v="ISL"/>
    <x v="1"/>
    <s v="EN.GHG.CO2.PC.CE.AR5"/>
    <x v="3"/>
    <n v="9"/>
    <x v="0"/>
  </r>
  <r>
    <x v="29"/>
    <s v="ISL"/>
    <x v="1"/>
    <s v="EN.GHG.CO2.PC.CE.AR5"/>
    <x v="4"/>
    <n v="9"/>
    <x v="0"/>
  </r>
  <r>
    <x v="29"/>
    <s v="ISL"/>
    <x v="1"/>
    <s v="EN.GHG.CO2.PC.CE.AR5"/>
    <x v="5"/>
    <n v="9"/>
    <x v="0"/>
  </r>
  <r>
    <x v="29"/>
    <s v="ISL"/>
    <x v="1"/>
    <s v="EN.GHG.CO2.PC.CE.AR5"/>
    <x v="6"/>
    <n v="10"/>
    <x v="0"/>
  </r>
  <r>
    <x v="29"/>
    <s v="ISL"/>
    <x v="1"/>
    <s v="EN.GHG.CO2.PC.CE.AR5"/>
    <x v="7"/>
    <n v="10"/>
    <x v="1"/>
  </r>
  <r>
    <x v="29"/>
    <s v="ISL"/>
    <x v="1"/>
    <s v="EN.GHG.CO2.PC.CE.AR5"/>
    <x v="8"/>
    <n v="10"/>
    <x v="1"/>
  </r>
  <r>
    <x v="29"/>
    <s v="ISL"/>
    <x v="1"/>
    <s v="EN.GHG.CO2.PC.CE.AR5"/>
    <x v="9"/>
    <n v="10"/>
    <x v="1"/>
  </r>
  <r>
    <x v="29"/>
    <s v="ISL"/>
    <x v="1"/>
    <s v="EN.GHG.CO2.PC.CE.AR5"/>
    <x v="10"/>
    <n v="10"/>
    <x v="1"/>
  </r>
  <r>
    <x v="29"/>
    <s v="ISL"/>
    <x v="1"/>
    <s v="EN.GHG.CO2.PC.CE.AR5"/>
    <x v="11"/>
    <n v="10"/>
    <x v="1"/>
  </r>
  <r>
    <x v="29"/>
    <s v="ISL"/>
    <x v="1"/>
    <s v="EN.GHG.CO2.PC.CE.AR5"/>
    <x v="12"/>
    <n v="11"/>
    <x v="1"/>
  </r>
  <r>
    <x v="29"/>
    <s v="ISL"/>
    <x v="1"/>
    <s v="EN.GHG.CO2.PC.CE.AR5"/>
    <x v="13"/>
    <n v="11"/>
    <x v="1"/>
  </r>
  <r>
    <x v="29"/>
    <s v="ISL"/>
    <x v="1"/>
    <s v="EN.GHG.CO2.PC.CE.AR5"/>
    <x v="14"/>
    <n v="11"/>
    <x v="1"/>
  </r>
  <r>
    <x v="29"/>
    <s v="ISL"/>
    <x v="1"/>
    <s v="EN.GHG.CO2.PC.CE.AR5"/>
    <x v="15"/>
    <n v="11"/>
    <x v="1"/>
  </r>
  <r>
    <x v="29"/>
    <s v="ISL"/>
    <x v="1"/>
    <s v="EN.GHG.CO2.PC.CE.AR5"/>
    <x v="16"/>
    <n v="11"/>
    <x v="1"/>
  </r>
  <r>
    <x v="29"/>
    <s v="ISL"/>
    <x v="1"/>
    <s v="EN.GHG.CO2.PC.CE.AR5"/>
    <x v="17"/>
    <n v="11"/>
    <x v="2"/>
  </r>
  <r>
    <x v="29"/>
    <s v="ISL"/>
    <x v="1"/>
    <s v="EN.GHG.CO2.PC.CE.AR5"/>
    <x v="18"/>
    <n v="12"/>
    <x v="2"/>
  </r>
  <r>
    <x v="29"/>
    <s v="ISL"/>
    <x v="1"/>
    <s v="EN.GHG.CO2.PC.CE.AR5"/>
    <x v="19"/>
    <n v="12"/>
    <x v="2"/>
  </r>
  <r>
    <x v="29"/>
    <s v="ISL"/>
    <x v="1"/>
    <s v="EN.GHG.CO2.PC.CE.AR5"/>
    <x v="20"/>
    <n v="12"/>
    <x v="2"/>
  </r>
  <r>
    <x v="29"/>
    <s v="ISL"/>
    <x v="1"/>
    <s v="EN.GHG.CO2.PC.CE.AR5"/>
    <x v="21"/>
    <n v="11"/>
    <x v="2"/>
  </r>
  <r>
    <x v="29"/>
    <s v="ISL"/>
    <x v="1"/>
    <s v="EN.GHG.CO2.PC.CE.AR5"/>
    <x v="22"/>
    <n v="11"/>
    <x v="2"/>
  </r>
  <r>
    <x v="29"/>
    <s v="ISL"/>
    <x v="1"/>
    <s v="EN.GHG.CO2.PC.CE.AR5"/>
    <x v="23"/>
    <n v="11"/>
    <x v="2"/>
  </r>
  <r>
    <x v="29"/>
    <s v="ISL"/>
    <x v="1"/>
    <s v="EN.GHG.CO2.PC.CE.AR5"/>
    <x v="24"/>
    <n v="11"/>
    <x v="2"/>
  </r>
  <r>
    <x v="29"/>
    <s v="ISL"/>
    <x v="1"/>
    <s v="EN.GHG.CO2.PC.CE.AR5"/>
    <x v="25"/>
    <n v="11"/>
    <x v="2"/>
  </r>
  <r>
    <x v="29"/>
    <s v="ISL"/>
    <x v="1"/>
    <s v="EN.GHG.CO2.PC.CE.AR5"/>
    <x v="26"/>
    <n v="9"/>
    <x v="2"/>
  </r>
  <r>
    <x v="29"/>
    <s v="ISL"/>
    <x v="1"/>
    <s v="EN.GHG.CO2.PC.CE.AR5"/>
    <x v="27"/>
    <n v="10"/>
    <x v="3"/>
  </r>
  <r>
    <x v="29"/>
    <s v="ISL"/>
    <x v="1"/>
    <s v="EN.GHG.CO2.PC.CE.AR5"/>
    <x v="28"/>
    <n v="9"/>
    <x v="3"/>
  </r>
  <r>
    <x v="29"/>
    <s v="ISL"/>
    <x v="1"/>
    <s v="EN.GHG.CO2.PC.CE.AR5"/>
    <x v="29"/>
    <n v="9"/>
    <x v="3"/>
  </r>
  <r>
    <x v="29"/>
    <s v="ISL"/>
    <x v="1"/>
    <s v="EN.GHG.CO2.PC.CE.AR5"/>
    <x v="30"/>
    <n v="8"/>
    <x v="3"/>
  </r>
  <r>
    <x v="29"/>
    <s v="ISL"/>
    <x v="1"/>
    <s v="EN.GHG.CO2.PC.CE.AR5"/>
    <x v="31"/>
    <n v="8"/>
    <x v="3"/>
  </r>
  <r>
    <x v="29"/>
    <s v="ISL"/>
    <x v="1"/>
    <s v="EN.GHG.CO2.PC.CE.AR5"/>
    <x v="32"/>
    <n v="8"/>
    <x v="4"/>
  </r>
  <r>
    <x v="29"/>
    <s v="ISL"/>
    <x v="1"/>
    <s v="EN.GHG.CO2.PC.CE.AR5"/>
    <x v="33"/>
    <n v="8"/>
    <x v="4"/>
  </r>
  <r>
    <x v="29"/>
    <s v="ISL"/>
    <x v="1"/>
    <s v="EN.GHG.CO2.PC.CE.AR5"/>
    <x v="54"/>
    <n v="9"/>
    <x v="4"/>
  </r>
  <r>
    <x v="30"/>
    <s v="ITA"/>
    <x v="1"/>
    <s v="EN.GHG.CO2.PC.CE.AR5"/>
    <x v="34"/>
    <n v="6"/>
    <x v="4"/>
  </r>
  <r>
    <x v="30"/>
    <s v="ITA"/>
    <x v="1"/>
    <s v="EN.GHG.CO2.PC.CE.AR5"/>
    <x v="35"/>
    <n v="6"/>
    <x v="4"/>
  </r>
  <r>
    <x v="30"/>
    <s v="ITA"/>
    <x v="1"/>
    <s v="EN.GHG.CO2.PC.CE.AR5"/>
    <x v="36"/>
    <n v="6"/>
    <x v="4"/>
  </r>
  <r>
    <x v="30"/>
    <s v="ITA"/>
    <x v="1"/>
    <s v="EN.GHG.CO2.PC.CE.AR5"/>
    <x v="37"/>
    <n v="7"/>
    <x v="4"/>
  </r>
  <r>
    <x v="30"/>
    <s v="ITA"/>
    <x v="1"/>
    <s v="EN.GHG.CO2.PC.CE.AR5"/>
    <x v="38"/>
    <n v="7"/>
    <x v="4"/>
  </r>
  <r>
    <x v="30"/>
    <s v="ITA"/>
    <x v="1"/>
    <s v="EN.GHG.CO2.PC.CE.AR5"/>
    <x v="39"/>
    <n v="6"/>
    <x v="4"/>
  </r>
  <r>
    <x v="30"/>
    <s v="ITA"/>
    <x v="1"/>
    <s v="EN.GHG.CO2.PC.CE.AR5"/>
    <x v="40"/>
    <n v="7"/>
    <x v="4"/>
  </r>
  <r>
    <x v="30"/>
    <s v="ITA"/>
    <x v="1"/>
    <s v="EN.GHG.CO2.PC.CE.AR5"/>
    <x v="41"/>
    <n v="7"/>
    <x v="5"/>
  </r>
  <r>
    <x v="30"/>
    <s v="ITA"/>
    <x v="1"/>
    <s v="EN.GHG.CO2.PC.CE.AR5"/>
    <x v="42"/>
    <n v="7"/>
    <x v="5"/>
  </r>
  <r>
    <x v="30"/>
    <s v="ITA"/>
    <x v="1"/>
    <s v="EN.GHG.CO2.PC.CE.AR5"/>
    <x v="43"/>
    <n v="7"/>
    <x v="5"/>
  </r>
  <r>
    <x v="30"/>
    <s v="ITA"/>
    <x v="1"/>
    <s v="EN.GHG.CO2.PC.CE.AR5"/>
    <x v="44"/>
    <n v="7"/>
    <x v="5"/>
  </r>
  <r>
    <x v="30"/>
    <s v="ITA"/>
    <x v="1"/>
    <s v="EN.GHG.CO2.PC.CE.AR5"/>
    <x v="45"/>
    <n v="7"/>
    <x v="5"/>
  </r>
  <r>
    <x v="30"/>
    <s v="ITA"/>
    <x v="1"/>
    <s v="EN.GHG.CO2.PC.CE.AR5"/>
    <x v="46"/>
    <n v="7"/>
    <x v="5"/>
  </r>
  <r>
    <x v="30"/>
    <s v="ITA"/>
    <x v="1"/>
    <s v="EN.GHG.CO2.PC.CE.AR5"/>
    <x v="47"/>
    <n v="7"/>
    <x v="5"/>
  </r>
  <r>
    <x v="30"/>
    <s v="ITA"/>
    <x v="1"/>
    <s v="EN.GHG.CO2.PC.CE.AR5"/>
    <x v="48"/>
    <n v="7"/>
    <x v="5"/>
  </r>
  <r>
    <x v="30"/>
    <s v="ITA"/>
    <x v="1"/>
    <s v="EN.GHG.CO2.PC.CE.AR5"/>
    <x v="49"/>
    <n v="7"/>
    <x v="5"/>
  </r>
  <r>
    <x v="30"/>
    <s v="ITA"/>
    <x v="1"/>
    <s v="EN.GHG.CO2.PC.CE.AR5"/>
    <x v="50"/>
    <n v="7"/>
    <x v="5"/>
  </r>
  <r>
    <x v="30"/>
    <s v="ITA"/>
    <x v="1"/>
    <s v="EN.GHG.CO2.PC.CE.AR5"/>
    <x v="51"/>
    <n v="7"/>
    <x v="0"/>
  </r>
  <r>
    <x v="30"/>
    <s v="ITA"/>
    <x v="1"/>
    <s v="EN.GHG.CO2.PC.CE.AR5"/>
    <x v="52"/>
    <n v="7"/>
    <x v="0"/>
  </r>
  <r>
    <x v="30"/>
    <s v="ITA"/>
    <x v="1"/>
    <s v="EN.GHG.CO2.PC.CE.AR5"/>
    <x v="53"/>
    <n v="7"/>
    <x v="0"/>
  </r>
  <r>
    <x v="30"/>
    <s v="ITA"/>
    <x v="1"/>
    <s v="EN.GHG.CO2.PC.CE.AR5"/>
    <x v="0"/>
    <n v="8"/>
    <x v="0"/>
  </r>
  <r>
    <x v="30"/>
    <s v="ITA"/>
    <x v="1"/>
    <s v="EN.GHG.CO2.PC.CE.AR5"/>
    <x v="1"/>
    <n v="7"/>
    <x v="0"/>
  </r>
  <r>
    <x v="30"/>
    <s v="ITA"/>
    <x v="1"/>
    <s v="EN.GHG.CO2.PC.CE.AR5"/>
    <x v="2"/>
    <n v="7"/>
    <x v="0"/>
  </r>
  <r>
    <x v="30"/>
    <s v="ITA"/>
    <x v="1"/>
    <s v="EN.GHG.CO2.PC.CE.AR5"/>
    <x v="3"/>
    <n v="7"/>
    <x v="0"/>
  </r>
  <r>
    <x v="30"/>
    <s v="ITA"/>
    <x v="1"/>
    <s v="EN.GHG.CO2.PC.CE.AR5"/>
    <x v="4"/>
    <n v="7"/>
    <x v="0"/>
  </r>
  <r>
    <x v="30"/>
    <s v="ITA"/>
    <x v="1"/>
    <s v="EN.GHG.CO2.PC.CE.AR5"/>
    <x v="5"/>
    <n v="8"/>
    <x v="0"/>
  </r>
  <r>
    <x v="30"/>
    <s v="ITA"/>
    <x v="1"/>
    <s v="EN.GHG.CO2.PC.CE.AR5"/>
    <x v="6"/>
    <n v="8"/>
    <x v="0"/>
  </r>
  <r>
    <x v="30"/>
    <s v="ITA"/>
    <x v="1"/>
    <s v="EN.GHG.CO2.PC.CE.AR5"/>
    <x v="7"/>
    <n v="8"/>
    <x v="1"/>
  </r>
  <r>
    <x v="30"/>
    <s v="ITA"/>
    <x v="1"/>
    <s v="EN.GHG.CO2.PC.CE.AR5"/>
    <x v="8"/>
    <n v="8"/>
    <x v="1"/>
  </r>
  <r>
    <x v="30"/>
    <s v="ITA"/>
    <x v="1"/>
    <s v="EN.GHG.CO2.PC.CE.AR5"/>
    <x v="9"/>
    <n v="8"/>
    <x v="1"/>
  </r>
  <r>
    <x v="30"/>
    <s v="ITA"/>
    <x v="1"/>
    <s v="EN.GHG.CO2.PC.CE.AR5"/>
    <x v="10"/>
    <n v="8"/>
    <x v="1"/>
  </r>
  <r>
    <x v="30"/>
    <s v="ITA"/>
    <x v="1"/>
    <s v="EN.GHG.CO2.PC.CE.AR5"/>
    <x v="11"/>
    <n v="8"/>
    <x v="1"/>
  </r>
  <r>
    <x v="30"/>
    <s v="ITA"/>
    <x v="1"/>
    <s v="EN.GHG.CO2.PC.CE.AR5"/>
    <x v="12"/>
    <n v="8"/>
    <x v="1"/>
  </r>
  <r>
    <x v="30"/>
    <s v="ITA"/>
    <x v="1"/>
    <s v="EN.GHG.CO2.PC.CE.AR5"/>
    <x v="13"/>
    <n v="8"/>
    <x v="1"/>
  </r>
  <r>
    <x v="30"/>
    <s v="ITA"/>
    <x v="1"/>
    <s v="EN.GHG.CO2.PC.CE.AR5"/>
    <x v="14"/>
    <n v="9"/>
    <x v="1"/>
  </r>
  <r>
    <x v="30"/>
    <s v="ITA"/>
    <x v="1"/>
    <s v="EN.GHG.CO2.PC.CE.AR5"/>
    <x v="15"/>
    <n v="8"/>
    <x v="1"/>
  </r>
  <r>
    <x v="30"/>
    <s v="ITA"/>
    <x v="1"/>
    <s v="EN.GHG.CO2.PC.CE.AR5"/>
    <x v="16"/>
    <n v="8"/>
    <x v="1"/>
  </r>
  <r>
    <x v="30"/>
    <s v="ITA"/>
    <x v="1"/>
    <s v="EN.GHG.CO2.PC.CE.AR5"/>
    <x v="17"/>
    <n v="8"/>
    <x v="2"/>
  </r>
  <r>
    <x v="30"/>
    <s v="ITA"/>
    <x v="1"/>
    <s v="EN.GHG.CO2.PC.CE.AR5"/>
    <x v="18"/>
    <n v="8"/>
    <x v="2"/>
  </r>
  <r>
    <x v="30"/>
    <s v="ITA"/>
    <x v="1"/>
    <s v="EN.GHG.CO2.PC.CE.AR5"/>
    <x v="19"/>
    <n v="7"/>
    <x v="2"/>
  </r>
  <r>
    <x v="30"/>
    <s v="ITA"/>
    <x v="1"/>
    <s v="EN.GHG.CO2.PC.CE.AR5"/>
    <x v="20"/>
    <n v="7"/>
    <x v="2"/>
  </r>
  <r>
    <x v="30"/>
    <s v="ITA"/>
    <x v="1"/>
    <s v="EN.GHG.CO2.PC.CE.AR5"/>
    <x v="21"/>
    <n v="7"/>
    <x v="2"/>
  </r>
  <r>
    <x v="30"/>
    <s v="ITA"/>
    <x v="1"/>
    <s v="EN.GHG.CO2.PC.CE.AR5"/>
    <x v="22"/>
    <n v="7"/>
    <x v="2"/>
  </r>
  <r>
    <x v="30"/>
    <s v="ITA"/>
    <x v="1"/>
    <s v="EN.GHG.CO2.PC.CE.AR5"/>
    <x v="23"/>
    <n v="6"/>
    <x v="2"/>
  </r>
  <r>
    <x v="30"/>
    <s v="ITA"/>
    <x v="1"/>
    <s v="EN.GHG.CO2.PC.CE.AR5"/>
    <x v="24"/>
    <n v="6"/>
    <x v="2"/>
  </r>
  <r>
    <x v="30"/>
    <s v="ITA"/>
    <x v="1"/>
    <s v="EN.GHG.CO2.PC.CE.AR5"/>
    <x v="25"/>
    <n v="6"/>
    <x v="2"/>
  </r>
  <r>
    <x v="30"/>
    <s v="ITA"/>
    <x v="1"/>
    <s v="EN.GHG.CO2.PC.CE.AR5"/>
    <x v="26"/>
    <n v="6"/>
    <x v="2"/>
  </r>
  <r>
    <x v="30"/>
    <s v="ITA"/>
    <x v="1"/>
    <s v="EN.GHG.CO2.PC.CE.AR5"/>
    <x v="27"/>
    <n v="6"/>
    <x v="3"/>
  </r>
  <r>
    <x v="30"/>
    <s v="ITA"/>
    <x v="1"/>
    <s v="EN.GHG.CO2.PC.CE.AR5"/>
    <x v="28"/>
    <n v="6"/>
    <x v="3"/>
  </r>
  <r>
    <x v="30"/>
    <s v="ITA"/>
    <x v="1"/>
    <s v="EN.GHG.CO2.PC.CE.AR5"/>
    <x v="29"/>
    <n v="6"/>
    <x v="3"/>
  </r>
  <r>
    <x v="30"/>
    <s v="ITA"/>
    <x v="1"/>
    <s v="EN.GHG.CO2.PC.CE.AR5"/>
    <x v="30"/>
    <n v="5"/>
    <x v="3"/>
  </r>
  <r>
    <x v="30"/>
    <s v="ITA"/>
    <x v="1"/>
    <s v="EN.GHG.CO2.PC.CE.AR5"/>
    <x v="31"/>
    <n v="6"/>
    <x v="3"/>
  </r>
  <r>
    <x v="30"/>
    <s v="ITA"/>
    <x v="1"/>
    <s v="EN.GHG.CO2.PC.CE.AR5"/>
    <x v="32"/>
    <n v="6"/>
    <x v="4"/>
  </r>
  <r>
    <x v="30"/>
    <s v="ITA"/>
    <x v="1"/>
    <s v="EN.GHG.CO2.PC.CE.AR5"/>
    <x v="33"/>
    <n v="5"/>
    <x v="4"/>
  </r>
  <r>
    <x v="30"/>
    <s v="ITA"/>
    <x v="1"/>
    <s v="EN.GHG.CO2.PC.CE.AR5"/>
    <x v="54"/>
    <n v="5"/>
    <x v="4"/>
  </r>
  <r>
    <x v="31"/>
    <s v="KAZ"/>
    <x v="1"/>
    <s v="EN.GHG.CO2.PC.CE.AR5"/>
    <x v="34"/>
    <n v="15"/>
    <x v="4"/>
  </r>
  <r>
    <x v="31"/>
    <s v="KAZ"/>
    <x v="1"/>
    <s v="EN.GHG.CO2.PC.CE.AR5"/>
    <x v="35"/>
    <n v="15"/>
    <x v="4"/>
  </r>
  <r>
    <x v="31"/>
    <s v="KAZ"/>
    <x v="1"/>
    <s v="EN.GHG.CO2.PC.CE.AR5"/>
    <x v="36"/>
    <n v="15"/>
    <x v="4"/>
  </r>
  <r>
    <x v="31"/>
    <s v="KAZ"/>
    <x v="1"/>
    <s v="EN.GHG.CO2.PC.CE.AR5"/>
    <x v="37"/>
    <n v="16"/>
    <x v="4"/>
  </r>
  <r>
    <x v="31"/>
    <s v="KAZ"/>
    <x v="1"/>
    <s v="EN.GHG.CO2.PC.CE.AR5"/>
    <x v="38"/>
    <n v="16"/>
    <x v="4"/>
  </r>
  <r>
    <x v="31"/>
    <s v="KAZ"/>
    <x v="1"/>
    <s v="EN.GHG.CO2.PC.CE.AR5"/>
    <x v="39"/>
    <n v="17"/>
    <x v="4"/>
  </r>
  <r>
    <x v="31"/>
    <s v="KAZ"/>
    <x v="1"/>
    <s v="EN.GHG.CO2.PC.CE.AR5"/>
    <x v="40"/>
    <n v="17"/>
    <x v="4"/>
  </r>
  <r>
    <x v="31"/>
    <s v="KAZ"/>
    <x v="1"/>
    <s v="EN.GHG.CO2.PC.CE.AR5"/>
    <x v="41"/>
    <n v="17"/>
    <x v="5"/>
  </r>
  <r>
    <x v="31"/>
    <s v="KAZ"/>
    <x v="1"/>
    <s v="EN.GHG.CO2.PC.CE.AR5"/>
    <x v="42"/>
    <n v="17"/>
    <x v="5"/>
  </r>
  <r>
    <x v="31"/>
    <s v="KAZ"/>
    <x v="1"/>
    <s v="EN.GHG.CO2.PC.CE.AR5"/>
    <x v="43"/>
    <n v="17"/>
    <x v="5"/>
  </r>
  <r>
    <x v="31"/>
    <s v="KAZ"/>
    <x v="1"/>
    <s v="EN.GHG.CO2.PC.CE.AR5"/>
    <x v="44"/>
    <n v="17"/>
    <x v="5"/>
  </r>
  <r>
    <x v="31"/>
    <s v="KAZ"/>
    <x v="1"/>
    <s v="EN.GHG.CO2.PC.CE.AR5"/>
    <x v="45"/>
    <n v="16"/>
    <x v="5"/>
  </r>
  <r>
    <x v="31"/>
    <s v="KAZ"/>
    <x v="1"/>
    <s v="EN.GHG.CO2.PC.CE.AR5"/>
    <x v="46"/>
    <n v="15"/>
    <x v="5"/>
  </r>
  <r>
    <x v="31"/>
    <s v="KAZ"/>
    <x v="1"/>
    <s v="EN.GHG.CO2.PC.CE.AR5"/>
    <x v="47"/>
    <n v="15"/>
    <x v="5"/>
  </r>
  <r>
    <x v="31"/>
    <s v="KAZ"/>
    <x v="1"/>
    <s v="EN.GHG.CO2.PC.CE.AR5"/>
    <x v="48"/>
    <n v="14"/>
    <x v="5"/>
  </r>
  <r>
    <x v="31"/>
    <s v="KAZ"/>
    <x v="1"/>
    <s v="EN.GHG.CO2.PC.CE.AR5"/>
    <x v="49"/>
    <n v="14"/>
    <x v="5"/>
  </r>
  <r>
    <x v="31"/>
    <s v="KAZ"/>
    <x v="1"/>
    <s v="EN.GHG.CO2.PC.CE.AR5"/>
    <x v="50"/>
    <n v="14"/>
    <x v="5"/>
  </r>
  <r>
    <x v="31"/>
    <s v="KAZ"/>
    <x v="1"/>
    <s v="EN.GHG.CO2.PC.CE.AR5"/>
    <x v="51"/>
    <n v="14"/>
    <x v="0"/>
  </r>
  <r>
    <x v="31"/>
    <s v="KAZ"/>
    <x v="1"/>
    <s v="EN.GHG.CO2.PC.CE.AR5"/>
    <x v="52"/>
    <n v="15"/>
    <x v="0"/>
  </r>
  <r>
    <x v="31"/>
    <s v="KAZ"/>
    <x v="1"/>
    <s v="EN.GHG.CO2.PC.CE.AR5"/>
    <x v="53"/>
    <n v="14"/>
    <x v="0"/>
  </r>
  <r>
    <x v="31"/>
    <s v="KAZ"/>
    <x v="1"/>
    <s v="EN.GHG.CO2.PC.CE.AR5"/>
    <x v="0"/>
    <n v="14"/>
    <x v="0"/>
  </r>
  <r>
    <x v="31"/>
    <s v="KAZ"/>
    <x v="1"/>
    <s v="EN.GHG.CO2.PC.CE.AR5"/>
    <x v="1"/>
    <n v="15"/>
    <x v="0"/>
  </r>
  <r>
    <x v="31"/>
    <s v="KAZ"/>
    <x v="1"/>
    <s v="EN.GHG.CO2.PC.CE.AR5"/>
    <x v="2"/>
    <n v="15"/>
    <x v="0"/>
  </r>
  <r>
    <x v="31"/>
    <s v="KAZ"/>
    <x v="1"/>
    <s v="EN.GHG.CO2.PC.CE.AR5"/>
    <x v="3"/>
    <n v="13"/>
    <x v="0"/>
  </r>
  <r>
    <x v="31"/>
    <s v="KAZ"/>
    <x v="1"/>
    <s v="EN.GHG.CO2.PC.CE.AR5"/>
    <x v="4"/>
    <n v="12"/>
    <x v="0"/>
  </r>
  <r>
    <x v="31"/>
    <s v="KAZ"/>
    <x v="1"/>
    <s v="EN.GHG.CO2.PC.CE.AR5"/>
    <x v="5"/>
    <n v="11"/>
    <x v="0"/>
  </r>
  <r>
    <x v="31"/>
    <s v="KAZ"/>
    <x v="1"/>
    <s v="EN.GHG.CO2.PC.CE.AR5"/>
    <x v="6"/>
    <n v="10"/>
    <x v="0"/>
  </r>
  <r>
    <x v="31"/>
    <s v="KAZ"/>
    <x v="1"/>
    <s v="EN.GHG.CO2.PC.CE.AR5"/>
    <x v="7"/>
    <n v="9"/>
    <x v="1"/>
  </r>
  <r>
    <x v="31"/>
    <s v="KAZ"/>
    <x v="1"/>
    <s v="EN.GHG.CO2.PC.CE.AR5"/>
    <x v="8"/>
    <n v="9"/>
    <x v="1"/>
  </r>
  <r>
    <x v="31"/>
    <s v="KAZ"/>
    <x v="1"/>
    <s v="EN.GHG.CO2.PC.CE.AR5"/>
    <x v="9"/>
    <n v="8"/>
    <x v="1"/>
  </r>
  <r>
    <x v="31"/>
    <s v="KAZ"/>
    <x v="1"/>
    <s v="EN.GHG.CO2.PC.CE.AR5"/>
    <x v="10"/>
    <n v="9"/>
    <x v="1"/>
  </r>
  <r>
    <x v="31"/>
    <s v="KAZ"/>
    <x v="1"/>
    <s v="EN.GHG.CO2.PC.CE.AR5"/>
    <x v="11"/>
    <n v="8"/>
    <x v="1"/>
  </r>
  <r>
    <x v="31"/>
    <s v="KAZ"/>
    <x v="1"/>
    <s v="EN.GHG.CO2.PC.CE.AR5"/>
    <x v="12"/>
    <n v="9"/>
    <x v="1"/>
  </r>
  <r>
    <x v="31"/>
    <s v="KAZ"/>
    <x v="1"/>
    <s v="EN.GHG.CO2.PC.CE.AR5"/>
    <x v="13"/>
    <n v="10"/>
    <x v="1"/>
  </r>
  <r>
    <x v="31"/>
    <s v="KAZ"/>
    <x v="1"/>
    <s v="EN.GHG.CO2.PC.CE.AR5"/>
    <x v="14"/>
    <n v="11"/>
    <x v="1"/>
  </r>
  <r>
    <x v="31"/>
    <s v="KAZ"/>
    <x v="1"/>
    <s v="EN.GHG.CO2.PC.CE.AR5"/>
    <x v="15"/>
    <n v="12"/>
    <x v="1"/>
  </r>
  <r>
    <x v="31"/>
    <s v="KAZ"/>
    <x v="1"/>
    <s v="EN.GHG.CO2.PC.CE.AR5"/>
    <x v="16"/>
    <n v="13"/>
    <x v="1"/>
  </r>
  <r>
    <x v="31"/>
    <s v="KAZ"/>
    <x v="1"/>
    <s v="EN.GHG.CO2.PC.CE.AR5"/>
    <x v="17"/>
    <n v="14"/>
    <x v="2"/>
  </r>
  <r>
    <x v="31"/>
    <s v="KAZ"/>
    <x v="1"/>
    <s v="EN.GHG.CO2.PC.CE.AR5"/>
    <x v="18"/>
    <n v="15"/>
    <x v="2"/>
  </r>
  <r>
    <x v="31"/>
    <s v="KAZ"/>
    <x v="1"/>
    <s v="EN.GHG.CO2.PC.CE.AR5"/>
    <x v="19"/>
    <n v="14"/>
    <x v="2"/>
  </r>
  <r>
    <x v="31"/>
    <s v="KAZ"/>
    <x v="1"/>
    <s v="EN.GHG.CO2.PC.CE.AR5"/>
    <x v="20"/>
    <n v="14"/>
    <x v="2"/>
  </r>
  <r>
    <x v="31"/>
    <s v="KAZ"/>
    <x v="1"/>
    <s v="EN.GHG.CO2.PC.CE.AR5"/>
    <x v="21"/>
    <n v="15"/>
    <x v="2"/>
  </r>
  <r>
    <x v="31"/>
    <s v="KAZ"/>
    <x v="1"/>
    <s v="EN.GHG.CO2.PC.CE.AR5"/>
    <x v="22"/>
    <n v="15"/>
    <x v="2"/>
  </r>
  <r>
    <x v="31"/>
    <s v="KAZ"/>
    <x v="1"/>
    <s v="EN.GHG.CO2.PC.CE.AR5"/>
    <x v="23"/>
    <n v="16"/>
    <x v="2"/>
  </r>
  <r>
    <x v="31"/>
    <s v="KAZ"/>
    <x v="1"/>
    <s v="EN.GHG.CO2.PC.CE.AR5"/>
    <x v="24"/>
    <n v="13"/>
    <x v="2"/>
  </r>
  <r>
    <x v="31"/>
    <s v="KAZ"/>
    <x v="1"/>
    <s v="EN.GHG.CO2.PC.CE.AR5"/>
    <x v="25"/>
    <n v="11"/>
    <x v="2"/>
  </r>
  <r>
    <x v="31"/>
    <s v="KAZ"/>
    <x v="1"/>
    <s v="EN.GHG.CO2.PC.CE.AR5"/>
    <x v="26"/>
    <n v="12"/>
    <x v="2"/>
  </r>
  <r>
    <x v="31"/>
    <s v="KAZ"/>
    <x v="1"/>
    <s v="EN.GHG.CO2.PC.CE.AR5"/>
    <x v="27"/>
    <n v="12"/>
    <x v="3"/>
  </r>
  <r>
    <x v="31"/>
    <s v="KAZ"/>
    <x v="1"/>
    <s v="EN.GHG.CO2.PC.CE.AR5"/>
    <x v="28"/>
    <n v="12"/>
    <x v="3"/>
  </r>
  <r>
    <x v="31"/>
    <s v="KAZ"/>
    <x v="1"/>
    <s v="EN.GHG.CO2.PC.CE.AR5"/>
    <x v="29"/>
    <n v="11"/>
    <x v="3"/>
  </r>
  <r>
    <x v="31"/>
    <s v="KAZ"/>
    <x v="1"/>
    <s v="EN.GHG.CO2.PC.CE.AR5"/>
    <x v="30"/>
    <n v="12"/>
    <x v="3"/>
  </r>
  <r>
    <x v="31"/>
    <s v="KAZ"/>
    <x v="1"/>
    <s v="EN.GHG.CO2.PC.CE.AR5"/>
    <x v="31"/>
    <n v="12"/>
    <x v="3"/>
  </r>
  <r>
    <x v="31"/>
    <s v="KAZ"/>
    <x v="1"/>
    <s v="EN.GHG.CO2.PC.CE.AR5"/>
    <x v="32"/>
    <n v="12"/>
    <x v="4"/>
  </r>
  <r>
    <x v="31"/>
    <s v="KAZ"/>
    <x v="1"/>
    <s v="EN.GHG.CO2.PC.CE.AR5"/>
    <x v="33"/>
    <n v="13"/>
    <x v="4"/>
  </r>
  <r>
    <x v="31"/>
    <s v="KAZ"/>
    <x v="1"/>
    <s v="EN.GHG.CO2.PC.CE.AR5"/>
    <x v="54"/>
    <n v="13"/>
    <x v="4"/>
  </r>
  <r>
    <x v="32"/>
    <s v="KGZ"/>
    <x v="1"/>
    <s v="EN.GHG.CO2.PC.CE.AR5"/>
    <x v="34"/>
    <n v="5"/>
    <x v="4"/>
  </r>
  <r>
    <x v="32"/>
    <s v="KGZ"/>
    <x v="1"/>
    <s v="EN.GHG.CO2.PC.CE.AR5"/>
    <x v="35"/>
    <n v="5"/>
    <x v="4"/>
  </r>
  <r>
    <x v="32"/>
    <s v="KGZ"/>
    <x v="1"/>
    <s v="EN.GHG.CO2.PC.CE.AR5"/>
    <x v="36"/>
    <n v="5"/>
    <x v="4"/>
  </r>
  <r>
    <x v="32"/>
    <s v="KGZ"/>
    <x v="1"/>
    <s v="EN.GHG.CO2.PC.CE.AR5"/>
    <x v="37"/>
    <n v="5"/>
    <x v="4"/>
  </r>
  <r>
    <x v="32"/>
    <s v="KGZ"/>
    <x v="1"/>
    <s v="EN.GHG.CO2.PC.CE.AR5"/>
    <x v="38"/>
    <n v="6"/>
    <x v="4"/>
  </r>
  <r>
    <x v="32"/>
    <s v="KGZ"/>
    <x v="1"/>
    <s v="EN.GHG.CO2.PC.CE.AR5"/>
    <x v="39"/>
    <n v="6"/>
    <x v="4"/>
  </r>
  <r>
    <x v="32"/>
    <s v="KGZ"/>
    <x v="1"/>
    <s v="EN.GHG.CO2.PC.CE.AR5"/>
    <x v="40"/>
    <n v="6"/>
    <x v="4"/>
  </r>
  <r>
    <x v="32"/>
    <s v="KGZ"/>
    <x v="1"/>
    <s v="EN.GHG.CO2.PC.CE.AR5"/>
    <x v="41"/>
    <n v="6"/>
    <x v="5"/>
  </r>
  <r>
    <x v="32"/>
    <s v="KGZ"/>
    <x v="1"/>
    <s v="EN.GHG.CO2.PC.CE.AR5"/>
    <x v="42"/>
    <n v="6"/>
    <x v="5"/>
  </r>
  <r>
    <x v="32"/>
    <s v="KGZ"/>
    <x v="1"/>
    <s v="EN.GHG.CO2.PC.CE.AR5"/>
    <x v="43"/>
    <n v="6"/>
    <x v="5"/>
  </r>
  <r>
    <x v="32"/>
    <s v="KGZ"/>
    <x v="1"/>
    <s v="EN.GHG.CO2.PC.CE.AR5"/>
    <x v="44"/>
    <n v="6"/>
    <x v="5"/>
  </r>
  <r>
    <x v="32"/>
    <s v="KGZ"/>
    <x v="1"/>
    <s v="EN.GHG.CO2.PC.CE.AR5"/>
    <x v="45"/>
    <n v="6"/>
    <x v="5"/>
  </r>
  <r>
    <x v="32"/>
    <s v="KGZ"/>
    <x v="1"/>
    <s v="EN.GHG.CO2.PC.CE.AR5"/>
    <x v="46"/>
    <n v="6"/>
    <x v="5"/>
  </r>
  <r>
    <x v="32"/>
    <s v="KGZ"/>
    <x v="1"/>
    <s v="EN.GHG.CO2.PC.CE.AR5"/>
    <x v="47"/>
    <n v="5"/>
    <x v="5"/>
  </r>
  <r>
    <x v="32"/>
    <s v="KGZ"/>
    <x v="1"/>
    <s v="EN.GHG.CO2.PC.CE.AR5"/>
    <x v="48"/>
    <n v="5"/>
    <x v="5"/>
  </r>
  <r>
    <x v="32"/>
    <s v="KGZ"/>
    <x v="1"/>
    <s v="EN.GHG.CO2.PC.CE.AR5"/>
    <x v="49"/>
    <n v="5"/>
    <x v="5"/>
  </r>
  <r>
    <x v="32"/>
    <s v="KGZ"/>
    <x v="1"/>
    <s v="EN.GHG.CO2.PC.CE.AR5"/>
    <x v="50"/>
    <n v="4"/>
    <x v="5"/>
  </r>
  <r>
    <x v="32"/>
    <s v="KGZ"/>
    <x v="1"/>
    <s v="EN.GHG.CO2.PC.CE.AR5"/>
    <x v="51"/>
    <n v="5"/>
    <x v="0"/>
  </r>
  <r>
    <x v="32"/>
    <s v="KGZ"/>
    <x v="1"/>
    <s v="EN.GHG.CO2.PC.CE.AR5"/>
    <x v="52"/>
    <n v="5"/>
    <x v="0"/>
  </r>
  <r>
    <x v="32"/>
    <s v="KGZ"/>
    <x v="1"/>
    <s v="EN.GHG.CO2.PC.CE.AR5"/>
    <x v="53"/>
    <n v="5"/>
    <x v="0"/>
  </r>
  <r>
    <x v="32"/>
    <s v="KGZ"/>
    <x v="1"/>
    <s v="EN.GHG.CO2.PC.CE.AR5"/>
    <x v="0"/>
    <n v="5"/>
    <x v="0"/>
  </r>
  <r>
    <x v="32"/>
    <s v="KGZ"/>
    <x v="1"/>
    <s v="EN.GHG.CO2.PC.CE.AR5"/>
    <x v="1"/>
    <n v="5"/>
    <x v="0"/>
  </r>
  <r>
    <x v="32"/>
    <s v="KGZ"/>
    <x v="1"/>
    <s v="EN.GHG.CO2.PC.CE.AR5"/>
    <x v="2"/>
    <n v="3"/>
    <x v="0"/>
  </r>
  <r>
    <x v="32"/>
    <s v="KGZ"/>
    <x v="1"/>
    <s v="EN.GHG.CO2.PC.CE.AR5"/>
    <x v="3"/>
    <n v="2"/>
    <x v="0"/>
  </r>
  <r>
    <x v="32"/>
    <s v="KGZ"/>
    <x v="1"/>
    <s v="EN.GHG.CO2.PC.CE.AR5"/>
    <x v="4"/>
    <n v="1"/>
    <x v="0"/>
  </r>
  <r>
    <x v="32"/>
    <s v="KGZ"/>
    <x v="1"/>
    <s v="EN.GHG.CO2.PC.CE.AR5"/>
    <x v="5"/>
    <n v="1"/>
    <x v="0"/>
  </r>
  <r>
    <x v="32"/>
    <s v="KGZ"/>
    <x v="1"/>
    <s v="EN.GHG.CO2.PC.CE.AR5"/>
    <x v="6"/>
    <n v="1"/>
    <x v="0"/>
  </r>
  <r>
    <x v="32"/>
    <s v="KGZ"/>
    <x v="1"/>
    <s v="EN.GHG.CO2.PC.CE.AR5"/>
    <x v="7"/>
    <n v="1"/>
    <x v="1"/>
  </r>
  <r>
    <x v="32"/>
    <s v="KGZ"/>
    <x v="1"/>
    <s v="EN.GHG.CO2.PC.CE.AR5"/>
    <x v="8"/>
    <n v="1"/>
    <x v="1"/>
  </r>
  <r>
    <x v="32"/>
    <s v="KGZ"/>
    <x v="1"/>
    <s v="EN.GHG.CO2.PC.CE.AR5"/>
    <x v="9"/>
    <n v="1"/>
    <x v="1"/>
  </r>
  <r>
    <x v="32"/>
    <s v="KGZ"/>
    <x v="1"/>
    <s v="EN.GHG.CO2.PC.CE.AR5"/>
    <x v="10"/>
    <n v="1"/>
    <x v="1"/>
  </r>
  <r>
    <x v="32"/>
    <s v="KGZ"/>
    <x v="1"/>
    <s v="EN.GHG.CO2.PC.CE.AR5"/>
    <x v="11"/>
    <n v="1"/>
    <x v="1"/>
  </r>
  <r>
    <x v="32"/>
    <s v="KGZ"/>
    <x v="1"/>
    <s v="EN.GHG.CO2.PC.CE.AR5"/>
    <x v="12"/>
    <n v="1"/>
    <x v="1"/>
  </r>
  <r>
    <x v="32"/>
    <s v="KGZ"/>
    <x v="1"/>
    <s v="EN.GHG.CO2.PC.CE.AR5"/>
    <x v="13"/>
    <n v="1"/>
    <x v="1"/>
  </r>
  <r>
    <x v="32"/>
    <s v="KGZ"/>
    <x v="1"/>
    <s v="EN.GHG.CO2.PC.CE.AR5"/>
    <x v="14"/>
    <n v="1"/>
    <x v="1"/>
  </r>
  <r>
    <x v="32"/>
    <s v="KGZ"/>
    <x v="1"/>
    <s v="EN.GHG.CO2.PC.CE.AR5"/>
    <x v="15"/>
    <n v="1"/>
    <x v="1"/>
  </r>
  <r>
    <x v="32"/>
    <s v="KGZ"/>
    <x v="1"/>
    <s v="EN.GHG.CO2.PC.CE.AR5"/>
    <x v="16"/>
    <n v="1"/>
    <x v="1"/>
  </r>
  <r>
    <x v="32"/>
    <s v="KGZ"/>
    <x v="1"/>
    <s v="EN.GHG.CO2.PC.CE.AR5"/>
    <x v="17"/>
    <n v="1"/>
    <x v="2"/>
  </r>
  <r>
    <x v="32"/>
    <s v="KGZ"/>
    <x v="1"/>
    <s v="EN.GHG.CO2.PC.CE.AR5"/>
    <x v="18"/>
    <n v="1"/>
    <x v="2"/>
  </r>
  <r>
    <x v="32"/>
    <s v="KGZ"/>
    <x v="1"/>
    <s v="EN.GHG.CO2.PC.CE.AR5"/>
    <x v="19"/>
    <n v="1"/>
    <x v="2"/>
  </r>
  <r>
    <x v="32"/>
    <s v="KGZ"/>
    <x v="1"/>
    <s v="EN.GHG.CO2.PC.CE.AR5"/>
    <x v="20"/>
    <n v="1"/>
    <x v="2"/>
  </r>
  <r>
    <x v="32"/>
    <s v="KGZ"/>
    <x v="1"/>
    <s v="EN.GHG.CO2.PC.CE.AR5"/>
    <x v="21"/>
    <n v="1"/>
    <x v="2"/>
  </r>
  <r>
    <x v="32"/>
    <s v="KGZ"/>
    <x v="1"/>
    <s v="EN.GHG.CO2.PC.CE.AR5"/>
    <x v="22"/>
    <n v="2"/>
    <x v="2"/>
  </r>
  <r>
    <x v="32"/>
    <s v="KGZ"/>
    <x v="1"/>
    <s v="EN.GHG.CO2.PC.CE.AR5"/>
    <x v="23"/>
    <n v="2"/>
    <x v="2"/>
  </r>
  <r>
    <x v="32"/>
    <s v="KGZ"/>
    <x v="1"/>
    <s v="EN.GHG.CO2.PC.CE.AR5"/>
    <x v="24"/>
    <n v="2"/>
    <x v="2"/>
  </r>
  <r>
    <x v="32"/>
    <s v="KGZ"/>
    <x v="1"/>
    <s v="EN.GHG.CO2.PC.CE.AR5"/>
    <x v="25"/>
    <n v="2"/>
    <x v="2"/>
  </r>
  <r>
    <x v="32"/>
    <s v="KGZ"/>
    <x v="1"/>
    <s v="EN.GHG.CO2.PC.CE.AR5"/>
    <x v="26"/>
    <n v="2"/>
    <x v="2"/>
  </r>
  <r>
    <x v="32"/>
    <s v="KGZ"/>
    <x v="1"/>
    <s v="EN.GHG.CO2.PC.CE.AR5"/>
    <x v="27"/>
    <n v="2"/>
    <x v="3"/>
  </r>
  <r>
    <x v="32"/>
    <s v="KGZ"/>
    <x v="1"/>
    <s v="EN.GHG.CO2.PC.CE.AR5"/>
    <x v="28"/>
    <n v="2"/>
    <x v="3"/>
  </r>
  <r>
    <x v="32"/>
    <s v="KGZ"/>
    <x v="1"/>
    <s v="EN.GHG.CO2.PC.CE.AR5"/>
    <x v="29"/>
    <n v="2"/>
    <x v="3"/>
  </r>
  <r>
    <x v="32"/>
    <s v="KGZ"/>
    <x v="1"/>
    <s v="EN.GHG.CO2.PC.CE.AR5"/>
    <x v="30"/>
    <n v="1"/>
    <x v="3"/>
  </r>
  <r>
    <x v="32"/>
    <s v="KGZ"/>
    <x v="1"/>
    <s v="EN.GHG.CO2.PC.CE.AR5"/>
    <x v="31"/>
    <n v="2"/>
    <x v="3"/>
  </r>
  <r>
    <x v="32"/>
    <s v="KGZ"/>
    <x v="1"/>
    <s v="EN.GHG.CO2.PC.CE.AR5"/>
    <x v="32"/>
    <n v="2"/>
    <x v="4"/>
  </r>
  <r>
    <x v="32"/>
    <s v="KGZ"/>
    <x v="1"/>
    <s v="EN.GHG.CO2.PC.CE.AR5"/>
    <x v="33"/>
    <n v="1"/>
    <x v="4"/>
  </r>
  <r>
    <x v="32"/>
    <s v="KGZ"/>
    <x v="1"/>
    <s v="EN.GHG.CO2.PC.CE.AR5"/>
    <x v="54"/>
    <n v="1"/>
    <x v="4"/>
  </r>
  <r>
    <x v="34"/>
    <s v="LTU"/>
    <x v="1"/>
    <s v="EN.GHG.CO2.PC.CE.AR5"/>
    <x v="34"/>
    <n v="6"/>
    <x v="4"/>
  </r>
  <r>
    <x v="34"/>
    <s v="LTU"/>
    <x v="1"/>
    <s v="EN.GHG.CO2.PC.CE.AR5"/>
    <x v="35"/>
    <n v="6"/>
    <x v="4"/>
  </r>
  <r>
    <x v="34"/>
    <s v="LTU"/>
    <x v="1"/>
    <s v="EN.GHG.CO2.PC.CE.AR5"/>
    <x v="36"/>
    <n v="7"/>
    <x v="4"/>
  </r>
  <r>
    <x v="34"/>
    <s v="LTU"/>
    <x v="1"/>
    <s v="EN.GHG.CO2.PC.CE.AR5"/>
    <x v="37"/>
    <n v="7"/>
    <x v="4"/>
  </r>
  <r>
    <x v="34"/>
    <s v="LTU"/>
    <x v="1"/>
    <s v="EN.GHG.CO2.PC.CE.AR5"/>
    <x v="38"/>
    <n v="7"/>
    <x v="4"/>
  </r>
  <r>
    <x v="34"/>
    <s v="LTU"/>
    <x v="1"/>
    <s v="EN.GHG.CO2.PC.CE.AR5"/>
    <x v="39"/>
    <n v="8"/>
    <x v="4"/>
  </r>
  <r>
    <x v="34"/>
    <s v="LTU"/>
    <x v="1"/>
    <s v="EN.GHG.CO2.PC.CE.AR5"/>
    <x v="40"/>
    <n v="8"/>
    <x v="4"/>
  </r>
  <r>
    <x v="34"/>
    <s v="LTU"/>
    <x v="1"/>
    <s v="EN.GHG.CO2.PC.CE.AR5"/>
    <x v="41"/>
    <n v="8"/>
    <x v="5"/>
  </r>
  <r>
    <x v="34"/>
    <s v="LTU"/>
    <x v="1"/>
    <s v="EN.GHG.CO2.PC.CE.AR5"/>
    <x v="42"/>
    <n v="9"/>
    <x v="5"/>
  </r>
  <r>
    <x v="34"/>
    <s v="LTU"/>
    <x v="1"/>
    <s v="EN.GHG.CO2.PC.CE.AR5"/>
    <x v="43"/>
    <n v="9"/>
    <x v="5"/>
  </r>
  <r>
    <x v="34"/>
    <s v="LTU"/>
    <x v="1"/>
    <s v="EN.GHG.CO2.PC.CE.AR5"/>
    <x v="44"/>
    <n v="9"/>
    <x v="5"/>
  </r>
  <r>
    <x v="34"/>
    <s v="LTU"/>
    <x v="1"/>
    <s v="EN.GHG.CO2.PC.CE.AR5"/>
    <x v="45"/>
    <n v="9"/>
    <x v="5"/>
  </r>
  <r>
    <x v="34"/>
    <s v="LTU"/>
    <x v="1"/>
    <s v="EN.GHG.CO2.PC.CE.AR5"/>
    <x v="46"/>
    <n v="9"/>
    <x v="5"/>
  </r>
  <r>
    <x v="34"/>
    <s v="LTU"/>
    <x v="1"/>
    <s v="EN.GHG.CO2.PC.CE.AR5"/>
    <x v="47"/>
    <n v="9"/>
    <x v="5"/>
  </r>
  <r>
    <x v="34"/>
    <s v="LTU"/>
    <x v="1"/>
    <s v="EN.GHG.CO2.PC.CE.AR5"/>
    <x v="48"/>
    <n v="9"/>
    <x v="5"/>
  </r>
  <r>
    <x v="34"/>
    <s v="LTU"/>
    <x v="1"/>
    <s v="EN.GHG.CO2.PC.CE.AR5"/>
    <x v="49"/>
    <n v="9"/>
    <x v="5"/>
  </r>
  <r>
    <x v="34"/>
    <s v="LTU"/>
    <x v="1"/>
    <s v="EN.GHG.CO2.PC.CE.AR5"/>
    <x v="50"/>
    <n v="9"/>
    <x v="5"/>
  </r>
  <r>
    <x v="34"/>
    <s v="LTU"/>
    <x v="1"/>
    <s v="EN.GHG.CO2.PC.CE.AR5"/>
    <x v="51"/>
    <n v="9"/>
    <x v="0"/>
  </r>
  <r>
    <x v="34"/>
    <s v="LTU"/>
    <x v="1"/>
    <s v="EN.GHG.CO2.PC.CE.AR5"/>
    <x v="52"/>
    <n v="9"/>
    <x v="0"/>
  </r>
  <r>
    <x v="34"/>
    <s v="LTU"/>
    <x v="1"/>
    <s v="EN.GHG.CO2.PC.CE.AR5"/>
    <x v="53"/>
    <n v="9"/>
    <x v="0"/>
  </r>
  <r>
    <x v="34"/>
    <s v="LTU"/>
    <x v="1"/>
    <s v="EN.GHG.CO2.PC.CE.AR5"/>
    <x v="0"/>
    <n v="9"/>
    <x v="0"/>
  </r>
  <r>
    <x v="34"/>
    <s v="LTU"/>
    <x v="1"/>
    <s v="EN.GHG.CO2.PC.CE.AR5"/>
    <x v="1"/>
    <n v="10"/>
    <x v="0"/>
  </r>
  <r>
    <x v="34"/>
    <s v="LTU"/>
    <x v="1"/>
    <s v="EN.GHG.CO2.PC.CE.AR5"/>
    <x v="2"/>
    <n v="6"/>
    <x v="0"/>
  </r>
  <r>
    <x v="34"/>
    <s v="LTU"/>
    <x v="1"/>
    <s v="EN.GHG.CO2.PC.CE.AR5"/>
    <x v="3"/>
    <n v="4"/>
    <x v="0"/>
  </r>
  <r>
    <x v="34"/>
    <s v="LTU"/>
    <x v="1"/>
    <s v="EN.GHG.CO2.PC.CE.AR5"/>
    <x v="4"/>
    <n v="4"/>
    <x v="0"/>
  </r>
  <r>
    <x v="34"/>
    <s v="LTU"/>
    <x v="1"/>
    <s v="EN.GHG.CO2.PC.CE.AR5"/>
    <x v="5"/>
    <n v="4"/>
    <x v="0"/>
  </r>
  <r>
    <x v="34"/>
    <s v="LTU"/>
    <x v="1"/>
    <s v="EN.GHG.CO2.PC.CE.AR5"/>
    <x v="6"/>
    <n v="4"/>
    <x v="0"/>
  </r>
  <r>
    <x v="34"/>
    <s v="LTU"/>
    <x v="1"/>
    <s v="EN.GHG.CO2.PC.CE.AR5"/>
    <x v="7"/>
    <n v="4"/>
    <x v="1"/>
  </r>
  <r>
    <x v="34"/>
    <s v="LTU"/>
    <x v="1"/>
    <s v="EN.GHG.CO2.PC.CE.AR5"/>
    <x v="8"/>
    <n v="4"/>
    <x v="1"/>
  </r>
  <r>
    <x v="34"/>
    <s v="LTU"/>
    <x v="1"/>
    <s v="EN.GHG.CO2.PC.CE.AR5"/>
    <x v="9"/>
    <n v="4"/>
    <x v="1"/>
  </r>
  <r>
    <x v="34"/>
    <s v="LTU"/>
    <x v="1"/>
    <s v="EN.GHG.CO2.PC.CE.AR5"/>
    <x v="10"/>
    <n v="3"/>
    <x v="1"/>
  </r>
  <r>
    <x v="34"/>
    <s v="LTU"/>
    <x v="1"/>
    <s v="EN.GHG.CO2.PC.CE.AR5"/>
    <x v="11"/>
    <n v="4"/>
    <x v="1"/>
  </r>
  <r>
    <x v="34"/>
    <s v="LTU"/>
    <x v="1"/>
    <s v="EN.GHG.CO2.PC.CE.AR5"/>
    <x v="12"/>
    <n v="4"/>
    <x v="1"/>
  </r>
  <r>
    <x v="34"/>
    <s v="LTU"/>
    <x v="1"/>
    <s v="EN.GHG.CO2.PC.CE.AR5"/>
    <x v="13"/>
    <n v="4"/>
    <x v="1"/>
  </r>
  <r>
    <x v="34"/>
    <s v="LTU"/>
    <x v="1"/>
    <s v="EN.GHG.CO2.PC.CE.AR5"/>
    <x v="14"/>
    <n v="4"/>
    <x v="1"/>
  </r>
  <r>
    <x v="34"/>
    <s v="LTU"/>
    <x v="1"/>
    <s v="EN.GHG.CO2.PC.CE.AR5"/>
    <x v="15"/>
    <n v="4"/>
    <x v="1"/>
  </r>
  <r>
    <x v="34"/>
    <s v="LTU"/>
    <x v="1"/>
    <s v="EN.GHG.CO2.PC.CE.AR5"/>
    <x v="16"/>
    <n v="4"/>
    <x v="1"/>
  </r>
  <r>
    <x v="34"/>
    <s v="LTU"/>
    <x v="1"/>
    <s v="EN.GHG.CO2.PC.CE.AR5"/>
    <x v="17"/>
    <n v="5"/>
    <x v="2"/>
  </r>
  <r>
    <x v="34"/>
    <s v="LTU"/>
    <x v="1"/>
    <s v="EN.GHG.CO2.PC.CE.AR5"/>
    <x v="18"/>
    <n v="5"/>
    <x v="2"/>
  </r>
  <r>
    <x v="34"/>
    <s v="LTU"/>
    <x v="1"/>
    <s v="EN.GHG.CO2.PC.CE.AR5"/>
    <x v="19"/>
    <n v="4"/>
    <x v="2"/>
  </r>
  <r>
    <x v="34"/>
    <s v="LTU"/>
    <x v="1"/>
    <s v="EN.GHG.CO2.PC.CE.AR5"/>
    <x v="20"/>
    <n v="5"/>
    <x v="2"/>
  </r>
  <r>
    <x v="34"/>
    <s v="LTU"/>
    <x v="1"/>
    <s v="EN.GHG.CO2.PC.CE.AR5"/>
    <x v="21"/>
    <n v="5"/>
    <x v="2"/>
  </r>
  <r>
    <x v="34"/>
    <s v="LTU"/>
    <x v="1"/>
    <s v="EN.GHG.CO2.PC.CE.AR5"/>
    <x v="22"/>
    <n v="5"/>
    <x v="2"/>
  </r>
  <r>
    <x v="34"/>
    <s v="LTU"/>
    <x v="1"/>
    <s v="EN.GHG.CO2.PC.CE.AR5"/>
    <x v="23"/>
    <n v="5"/>
    <x v="2"/>
  </r>
  <r>
    <x v="34"/>
    <s v="LTU"/>
    <x v="1"/>
    <s v="EN.GHG.CO2.PC.CE.AR5"/>
    <x v="24"/>
    <n v="4"/>
    <x v="2"/>
  </r>
  <r>
    <x v="34"/>
    <s v="LTU"/>
    <x v="1"/>
    <s v="EN.GHG.CO2.PC.CE.AR5"/>
    <x v="25"/>
    <n v="5"/>
    <x v="2"/>
  </r>
  <r>
    <x v="34"/>
    <s v="LTU"/>
    <x v="1"/>
    <s v="EN.GHG.CO2.PC.CE.AR5"/>
    <x v="26"/>
    <n v="5"/>
    <x v="2"/>
  </r>
  <r>
    <x v="34"/>
    <s v="LTU"/>
    <x v="1"/>
    <s v="EN.GHG.CO2.PC.CE.AR5"/>
    <x v="27"/>
    <n v="5"/>
    <x v="3"/>
  </r>
  <r>
    <x v="34"/>
    <s v="LTU"/>
    <x v="1"/>
    <s v="EN.GHG.CO2.PC.CE.AR5"/>
    <x v="28"/>
    <n v="5"/>
    <x v="3"/>
  </r>
  <r>
    <x v="34"/>
    <s v="LTU"/>
    <x v="1"/>
    <s v="EN.GHG.CO2.PC.CE.AR5"/>
    <x v="29"/>
    <n v="5"/>
    <x v="3"/>
  </r>
  <r>
    <x v="34"/>
    <s v="LTU"/>
    <x v="1"/>
    <s v="EN.GHG.CO2.PC.CE.AR5"/>
    <x v="30"/>
    <n v="5"/>
    <x v="3"/>
  </r>
  <r>
    <x v="34"/>
    <s v="LTU"/>
    <x v="1"/>
    <s v="EN.GHG.CO2.PC.CE.AR5"/>
    <x v="31"/>
    <n v="5"/>
    <x v="3"/>
  </r>
  <r>
    <x v="34"/>
    <s v="LTU"/>
    <x v="1"/>
    <s v="EN.GHG.CO2.PC.CE.AR5"/>
    <x v="32"/>
    <n v="5"/>
    <x v="4"/>
  </r>
  <r>
    <x v="34"/>
    <s v="LTU"/>
    <x v="1"/>
    <s v="EN.GHG.CO2.PC.CE.AR5"/>
    <x v="33"/>
    <n v="5"/>
    <x v="4"/>
  </r>
  <r>
    <x v="34"/>
    <s v="LTU"/>
    <x v="1"/>
    <s v="EN.GHG.CO2.PC.CE.AR5"/>
    <x v="54"/>
    <n v="4"/>
    <x v="4"/>
  </r>
  <r>
    <x v="35"/>
    <s v="LUX"/>
    <x v="1"/>
    <s v="EN.GHG.CO2.PC.CE.AR5"/>
    <x v="34"/>
    <n v="58"/>
    <x v="4"/>
  </r>
  <r>
    <x v="35"/>
    <s v="LUX"/>
    <x v="1"/>
    <s v="EN.GHG.CO2.PC.CE.AR5"/>
    <x v="35"/>
    <n v="53"/>
    <x v="4"/>
  </r>
  <r>
    <x v="35"/>
    <s v="LUX"/>
    <x v="1"/>
    <s v="EN.GHG.CO2.PC.CE.AR5"/>
    <x v="36"/>
    <n v="52"/>
    <x v="4"/>
  </r>
  <r>
    <x v="35"/>
    <s v="LUX"/>
    <x v="1"/>
    <s v="EN.GHG.CO2.PC.CE.AR5"/>
    <x v="37"/>
    <n v="55"/>
    <x v="4"/>
  </r>
  <r>
    <x v="35"/>
    <s v="LUX"/>
    <x v="1"/>
    <s v="EN.GHG.CO2.PC.CE.AR5"/>
    <x v="38"/>
    <n v="50"/>
    <x v="4"/>
  </r>
  <r>
    <x v="35"/>
    <s v="LUX"/>
    <x v="1"/>
    <s v="EN.GHG.CO2.PC.CE.AR5"/>
    <x v="39"/>
    <n v="39"/>
    <x v="4"/>
  </r>
  <r>
    <x v="35"/>
    <s v="LUX"/>
    <x v="1"/>
    <s v="EN.GHG.CO2.PC.CE.AR5"/>
    <x v="40"/>
    <n v="42"/>
    <x v="4"/>
  </r>
  <r>
    <x v="35"/>
    <s v="LUX"/>
    <x v="1"/>
    <s v="EN.GHG.CO2.PC.CE.AR5"/>
    <x v="41"/>
    <n v="40"/>
    <x v="5"/>
  </r>
  <r>
    <x v="35"/>
    <s v="LUX"/>
    <x v="1"/>
    <s v="EN.GHG.CO2.PC.CE.AR5"/>
    <x v="42"/>
    <n v="43"/>
    <x v="5"/>
  </r>
  <r>
    <x v="35"/>
    <s v="LUX"/>
    <x v="1"/>
    <s v="EN.GHG.CO2.PC.CE.AR5"/>
    <x v="43"/>
    <n v="40"/>
    <x v="5"/>
  </r>
  <r>
    <x v="35"/>
    <s v="LUX"/>
    <x v="1"/>
    <s v="EN.GHG.CO2.PC.CE.AR5"/>
    <x v="44"/>
    <n v="38"/>
    <x v="5"/>
  </r>
  <r>
    <x v="35"/>
    <s v="LUX"/>
    <x v="1"/>
    <s v="EN.GHG.CO2.PC.CE.AR5"/>
    <x v="45"/>
    <n v="32"/>
    <x v="5"/>
  </r>
  <r>
    <x v="35"/>
    <s v="LUX"/>
    <x v="1"/>
    <s v="EN.GHG.CO2.PC.CE.AR5"/>
    <x v="46"/>
    <n v="30"/>
    <x v="5"/>
  </r>
  <r>
    <x v="35"/>
    <s v="LUX"/>
    <x v="1"/>
    <s v="EN.GHG.CO2.PC.CE.AR5"/>
    <x v="47"/>
    <n v="28"/>
    <x v="5"/>
  </r>
  <r>
    <x v="35"/>
    <s v="LUX"/>
    <x v="1"/>
    <s v="EN.GHG.CO2.PC.CE.AR5"/>
    <x v="48"/>
    <n v="31"/>
    <x v="5"/>
  </r>
  <r>
    <x v="35"/>
    <s v="LUX"/>
    <x v="1"/>
    <s v="EN.GHG.CO2.PC.CE.AR5"/>
    <x v="49"/>
    <n v="31"/>
    <x v="5"/>
  </r>
  <r>
    <x v="35"/>
    <s v="LUX"/>
    <x v="1"/>
    <s v="EN.GHG.CO2.PC.CE.AR5"/>
    <x v="50"/>
    <n v="30"/>
    <x v="5"/>
  </r>
  <r>
    <x v="35"/>
    <s v="LUX"/>
    <x v="1"/>
    <s v="EN.GHG.CO2.PC.CE.AR5"/>
    <x v="51"/>
    <n v="28"/>
    <x v="0"/>
  </r>
  <r>
    <x v="35"/>
    <s v="LUX"/>
    <x v="1"/>
    <s v="EN.GHG.CO2.PC.CE.AR5"/>
    <x v="52"/>
    <n v="29"/>
    <x v="0"/>
  </r>
  <r>
    <x v="35"/>
    <s v="LUX"/>
    <x v="1"/>
    <s v="EN.GHG.CO2.PC.CE.AR5"/>
    <x v="53"/>
    <n v="31"/>
    <x v="0"/>
  </r>
  <r>
    <x v="35"/>
    <s v="LUX"/>
    <x v="1"/>
    <s v="EN.GHG.CO2.PC.CE.AR5"/>
    <x v="0"/>
    <n v="31"/>
    <x v="0"/>
  </r>
  <r>
    <x v="35"/>
    <s v="LUX"/>
    <x v="1"/>
    <s v="EN.GHG.CO2.PC.CE.AR5"/>
    <x v="1"/>
    <n v="32"/>
    <x v="0"/>
  </r>
  <r>
    <x v="35"/>
    <s v="LUX"/>
    <x v="1"/>
    <s v="EN.GHG.CO2.PC.CE.AR5"/>
    <x v="2"/>
    <n v="31"/>
    <x v="0"/>
  </r>
  <r>
    <x v="35"/>
    <s v="LUX"/>
    <x v="1"/>
    <s v="EN.GHG.CO2.PC.CE.AR5"/>
    <x v="3"/>
    <n v="31"/>
    <x v="0"/>
  </r>
  <r>
    <x v="35"/>
    <s v="LUX"/>
    <x v="1"/>
    <s v="EN.GHG.CO2.PC.CE.AR5"/>
    <x v="4"/>
    <n v="28"/>
    <x v="0"/>
  </r>
  <r>
    <x v="35"/>
    <s v="LUX"/>
    <x v="1"/>
    <s v="EN.GHG.CO2.PC.CE.AR5"/>
    <x v="5"/>
    <n v="22"/>
    <x v="0"/>
  </r>
  <r>
    <x v="35"/>
    <s v="LUX"/>
    <x v="1"/>
    <s v="EN.GHG.CO2.PC.CE.AR5"/>
    <x v="6"/>
    <n v="22"/>
    <x v="0"/>
  </r>
  <r>
    <x v="35"/>
    <s v="LUX"/>
    <x v="1"/>
    <s v="EN.GHG.CO2.PC.CE.AR5"/>
    <x v="7"/>
    <n v="20"/>
    <x v="1"/>
  </r>
  <r>
    <x v="35"/>
    <s v="LUX"/>
    <x v="1"/>
    <s v="EN.GHG.CO2.PC.CE.AR5"/>
    <x v="8"/>
    <n v="18"/>
    <x v="1"/>
  </r>
  <r>
    <x v="35"/>
    <s v="LUX"/>
    <x v="1"/>
    <s v="EN.GHG.CO2.PC.CE.AR5"/>
    <x v="9"/>
    <n v="19"/>
    <x v="1"/>
  </r>
  <r>
    <x v="35"/>
    <s v="LUX"/>
    <x v="1"/>
    <s v="EN.GHG.CO2.PC.CE.AR5"/>
    <x v="10"/>
    <n v="20"/>
    <x v="1"/>
  </r>
  <r>
    <x v="35"/>
    <s v="LUX"/>
    <x v="1"/>
    <s v="EN.GHG.CO2.PC.CE.AR5"/>
    <x v="11"/>
    <n v="21"/>
    <x v="1"/>
  </r>
  <r>
    <x v="35"/>
    <s v="LUX"/>
    <x v="1"/>
    <s v="EN.GHG.CO2.PC.CE.AR5"/>
    <x v="12"/>
    <n v="22"/>
    <x v="1"/>
  </r>
  <r>
    <x v="35"/>
    <s v="LUX"/>
    <x v="1"/>
    <s v="EN.GHG.CO2.PC.CE.AR5"/>
    <x v="13"/>
    <n v="23"/>
    <x v="1"/>
  </r>
  <r>
    <x v="35"/>
    <s v="LUX"/>
    <x v="1"/>
    <s v="EN.GHG.CO2.PC.CE.AR5"/>
    <x v="14"/>
    <n v="26"/>
    <x v="1"/>
  </r>
  <r>
    <x v="35"/>
    <s v="LUX"/>
    <x v="1"/>
    <s v="EN.GHG.CO2.PC.CE.AR5"/>
    <x v="15"/>
    <n v="26"/>
    <x v="1"/>
  </r>
  <r>
    <x v="35"/>
    <s v="LUX"/>
    <x v="1"/>
    <s v="EN.GHG.CO2.PC.CE.AR5"/>
    <x v="16"/>
    <n v="25"/>
    <x v="1"/>
  </r>
  <r>
    <x v="35"/>
    <s v="LUX"/>
    <x v="1"/>
    <s v="EN.GHG.CO2.PC.CE.AR5"/>
    <x v="17"/>
    <n v="24"/>
    <x v="2"/>
  </r>
  <r>
    <x v="35"/>
    <s v="LUX"/>
    <x v="1"/>
    <s v="EN.GHG.CO2.PC.CE.AR5"/>
    <x v="18"/>
    <n v="23"/>
    <x v="2"/>
  </r>
  <r>
    <x v="35"/>
    <s v="LUX"/>
    <x v="1"/>
    <s v="EN.GHG.CO2.PC.CE.AR5"/>
    <x v="19"/>
    <n v="21"/>
    <x v="2"/>
  </r>
  <r>
    <x v="35"/>
    <s v="LUX"/>
    <x v="1"/>
    <s v="EN.GHG.CO2.PC.CE.AR5"/>
    <x v="20"/>
    <n v="22"/>
    <x v="2"/>
  </r>
  <r>
    <x v="35"/>
    <s v="LUX"/>
    <x v="1"/>
    <s v="EN.GHG.CO2.PC.CE.AR5"/>
    <x v="21"/>
    <n v="21"/>
    <x v="2"/>
  </r>
  <r>
    <x v="35"/>
    <s v="LUX"/>
    <x v="1"/>
    <s v="EN.GHG.CO2.PC.CE.AR5"/>
    <x v="22"/>
    <n v="20"/>
    <x v="2"/>
  </r>
  <r>
    <x v="35"/>
    <s v="LUX"/>
    <x v="1"/>
    <s v="EN.GHG.CO2.PC.CE.AR5"/>
    <x v="23"/>
    <n v="19"/>
    <x v="2"/>
  </r>
  <r>
    <x v="35"/>
    <s v="LUX"/>
    <x v="1"/>
    <s v="EN.GHG.CO2.PC.CE.AR5"/>
    <x v="24"/>
    <n v="18"/>
    <x v="2"/>
  </r>
  <r>
    <x v="35"/>
    <s v="LUX"/>
    <x v="1"/>
    <s v="EN.GHG.CO2.PC.CE.AR5"/>
    <x v="25"/>
    <n v="16"/>
    <x v="2"/>
  </r>
  <r>
    <x v="35"/>
    <s v="LUX"/>
    <x v="1"/>
    <s v="EN.GHG.CO2.PC.CE.AR5"/>
    <x v="26"/>
    <n v="16"/>
    <x v="2"/>
  </r>
  <r>
    <x v="35"/>
    <s v="LUX"/>
    <x v="1"/>
    <s v="EN.GHG.CO2.PC.CE.AR5"/>
    <x v="27"/>
    <n v="15"/>
    <x v="3"/>
  </r>
  <r>
    <x v="35"/>
    <s v="LUX"/>
    <x v="1"/>
    <s v="EN.GHG.CO2.PC.CE.AR5"/>
    <x v="28"/>
    <n v="16"/>
    <x v="3"/>
  </r>
  <r>
    <x v="35"/>
    <s v="LUX"/>
    <x v="1"/>
    <s v="EN.GHG.CO2.PC.CE.AR5"/>
    <x v="29"/>
    <n v="16"/>
    <x v="3"/>
  </r>
  <r>
    <x v="35"/>
    <s v="LUX"/>
    <x v="1"/>
    <s v="EN.GHG.CO2.PC.CE.AR5"/>
    <x v="30"/>
    <n v="13"/>
    <x v="3"/>
  </r>
  <r>
    <x v="35"/>
    <s v="LUX"/>
    <x v="1"/>
    <s v="EN.GHG.CO2.PC.CE.AR5"/>
    <x v="31"/>
    <n v="13"/>
    <x v="3"/>
  </r>
  <r>
    <x v="35"/>
    <s v="LUX"/>
    <x v="1"/>
    <s v="EN.GHG.CO2.PC.CE.AR5"/>
    <x v="32"/>
    <n v="11"/>
    <x v="4"/>
  </r>
  <r>
    <x v="35"/>
    <s v="LUX"/>
    <x v="1"/>
    <s v="EN.GHG.CO2.PC.CE.AR5"/>
    <x v="33"/>
    <n v="10"/>
    <x v="4"/>
  </r>
  <r>
    <x v="35"/>
    <s v="LUX"/>
    <x v="1"/>
    <s v="EN.GHG.CO2.PC.CE.AR5"/>
    <x v="54"/>
    <n v="11"/>
    <x v="4"/>
  </r>
  <r>
    <x v="36"/>
    <s v="LVA"/>
    <x v="1"/>
    <s v="EN.GHG.CO2.PC.CE.AR5"/>
    <x v="34"/>
    <n v="5"/>
    <x v="4"/>
  </r>
  <r>
    <x v="36"/>
    <s v="LVA"/>
    <x v="1"/>
    <s v="EN.GHG.CO2.PC.CE.AR5"/>
    <x v="35"/>
    <n v="5"/>
    <x v="4"/>
  </r>
  <r>
    <x v="36"/>
    <s v="LVA"/>
    <x v="1"/>
    <s v="EN.GHG.CO2.PC.CE.AR5"/>
    <x v="36"/>
    <n v="5"/>
    <x v="4"/>
  </r>
  <r>
    <x v="36"/>
    <s v="LVA"/>
    <x v="1"/>
    <s v="EN.GHG.CO2.PC.CE.AR5"/>
    <x v="37"/>
    <n v="5"/>
    <x v="4"/>
  </r>
  <r>
    <x v="36"/>
    <s v="LVA"/>
    <x v="1"/>
    <s v="EN.GHG.CO2.PC.CE.AR5"/>
    <x v="38"/>
    <n v="6"/>
    <x v="4"/>
  </r>
  <r>
    <x v="36"/>
    <s v="LVA"/>
    <x v="1"/>
    <s v="EN.GHG.CO2.PC.CE.AR5"/>
    <x v="39"/>
    <n v="6"/>
    <x v="4"/>
  </r>
  <r>
    <x v="36"/>
    <s v="LVA"/>
    <x v="1"/>
    <s v="EN.GHG.CO2.PC.CE.AR5"/>
    <x v="40"/>
    <n v="6"/>
    <x v="4"/>
  </r>
  <r>
    <x v="36"/>
    <s v="LVA"/>
    <x v="1"/>
    <s v="EN.GHG.CO2.PC.CE.AR5"/>
    <x v="41"/>
    <n v="6"/>
    <x v="5"/>
  </r>
  <r>
    <x v="36"/>
    <s v="LVA"/>
    <x v="1"/>
    <s v="EN.GHG.CO2.PC.CE.AR5"/>
    <x v="42"/>
    <n v="7"/>
    <x v="5"/>
  </r>
  <r>
    <x v="36"/>
    <s v="LVA"/>
    <x v="1"/>
    <s v="EN.GHG.CO2.PC.CE.AR5"/>
    <x v="43"/>
    <n v="7"/>
    <x v="5"/>
  </r>
  <r>
    <x v="36"/>
    <s v="LVA"/>
    <x v="1"/>
    <s v="EN.GHG.CO2.PC.CE.AR5"/>
    <x v="44"/>
    <n v="7"/>
    <x v="5"/>
  </r>
  <r>
    <x v="36"/>
    <s v="LVA"/>
    <x v="1"/>
    <s v="EN.GHG.CO2.PC.CE.AR5"/>
    <x v="45"/>
    <n v="7"/>
    <x v="5"/>
  </r>
  <r>
    <x v="36"/>
    <s v="LVA"/>
    <x v="1"/>
    <s v="EN.GHG.CO2.PC.CE.AR5"/>
    <x v="46"/>
    <n v="7"/>
    <x v="5"/>
  </r>
  <r>
    <x v="36"/>
    <s v="LVA"/>
    <x v="1"/>
    <s v="EN.GHG.CO2.PC.CE.AR5"/>
    <x v="47"/>
    <n v="7"/>
    <x v="5"/>
  </r>
  <r>
    <x v="36"/>
    <s v="LVA"/>
    <x v="1"/>
    <s v="EN.GHG.CO2.PC.CE.AR5"/>
    <x v="48"/>
    <n v="7"/>
    <x v="5"/>
  </r>
  <r>
    <x v="36"/>
    <s v="LVA"/>
    <x v="1"/>
    <s v="EN.GHG.CO2.PC.CE.AR5"/>
    <x v="49"/>
    <n v="7"/>
    <x v="5"/>
  </r>
  <r>
    <x v="36"/>
    <s v="LVA"/>
    <x v="1"/>
    <s v="EN.GHG.CO2.PC.CE.AR5"/>
    <x v="50"/>
    <n v="7"/>
    <x v="5"/>
  </r>
  <r>
    <x v="36"/>
    <s v="LVA"/>
    <x v="1"/>
    <s v="EN.GHG.CO2.PC.CE.AR5"/>
    <x v="51"/>
    <n v="7"/>
    <x v="0"/>
  </r>
  <r>
    <x v="36"/>
    <s v="LVA"/>
    <x v="1"/>
    <s v="EN.GHG.CO2.PC.CE.AR5"/>
    <x v="52"/>
    <n v="7"/>
    <x v="0"/>
  </r>
  <r>
    <x v="36"/>
    <s v="LVA"/>
    <x v="1"/>
    <s v="EN.GHG.CO2.PC.CE.AR5"/>
    <x v="53"/>
    <n v="7"/>
    <x v="0"/>
  </r>
  <r>
    <x v="36"/>
    <s v="LVA"/>
    <x v="1"/>
    <s v="EN.GHG.CO2.PC.CE.AR5"/>
    <x v="0"/>
    <n v="7"/>
    <x v="0"/>
  </r>
  <r>
    <x v="36"/>
    <s v="LVA"/>
    <x v="1"/>
    <s v="EN.GHG.CO2.PC.CE.AR5"/>
    <x v="1"/>
    <n v="7"/>
    <x v="0"/>
  </r>
  <r>
    <x v="36"/>
    <s v="LVA"/>
    <x v="1"/>
    <s v="EN.GHG.CO2.PC.CE.AR5"/>
    <x v="2"/>
    <n v="5"/>
    <x v="0"/>
  </r>
  <r>
    <x v="36"/>
    <s v="LVA"/>
    <x v="1"/>
    <s v="EN.GHG.CO2.PC.CE.AR5"/>
    <x v="3"/>
    <n v="5"/>
    <x v="0"/>
  </r>
  <r>
    <x v="36"/>
    <s v="LVA"/>
    <x v="1"/>
    <s v="EN.GHG.CO2.PC.CE.AR5"/>
    <x v="4"/>
    <n v="4"/>
    <x v="0"/>
  </r>
  <r>
    <x v="36"/>
    <s v="LVA"/>
    <x v="1"/>
    <s v="EN.GHG.CO2.PC.CE.AR5"/>
    <x v="5"/>
    <n v="4"/>
    <x v="0"/>
  </r>
  <r>
    <x v="36"/>
    <s v="LVA"/>
    <x v="1"/>
    <s v="EN.GHG.CO2.PC.CE.AR5"/>
    <x v="6"/>
    <n v="4"/>
    <x v="0"/>
  </r>
  <r>
    <x v="36"/>
    <s v="LVA"/>
    <x v="1"/>
    <s v="EN.GHG.CO2.PC.CE.AR5"/>
    <x v="7"/>
    <n v="4"/>
    <x v="1"/>
  </r>
  <r>
    <x v="36"/>
    <s v="LVA"/>
    <x v="1"/>
    <s v="EN.GHG.CO2.PC.CE.AR5"/>
    <x v="8"/>
    <n v="3"/>
    <x v="1"/>
  </r>
  <r>
    <x v="36"/>
    <s v="LVA"/>
    <x v="1"/>
    <s v="EN.GHG.CO2.PC.CE.AR5"/>
    <x v="9"/>
    <n v="3"/>
    <x v="1"/>
  </r>
  <r>
    <x v="36"/>
    <s v="LVA"/>
    <x v="1"/>
    <s v="EN.GHG.CO2.PC.CE.AR5"/>
    <x v="10"/>
    <n v="3"/>
    <x v="1"/>
  </r>
  <r>
    <x v="36"/>
    <s v="LVA"/>
    <x v="1"/>
    <s v="EN.GHG.CO2.PC.CE.AR5"/>
    <x v="11"/>
    <n v="3"/>
    <x v="1"/>
  </r>
  <r>
    <x v="36"/>
    <s v="LVA"/>
    <x v="1"/>
    <s v="EN.GHG.CO2.PC.CE.AR5"/>
    <x v="12"/>
    <n v="3"/>
    <x v="1"/>
  </r>
  <r>
    <x v="36"/>
    <s v="LVA"/>
    <x v="1"/>
    <s v="EN.GHG.CO2.PC.CE.AR5"/>
    <x v="13"/>
    <n v="3"/>
    <x v="1"/>
  </r>
  <r>
    <x v="36"/>
    <s v="LVA"/>
    <x v="1"/>
    <s v="EN.GHG.CO2.PC.CE.AR5"/>
    <x v="14"/>
    <n v="4"/>
    <x v="1"/>
  </r>
  <r>
    <x v="36"/>
    <s v="LVA"/>
    <x v="1"/>
    <s v="EN.GHG.CO2.PC.CE.AR5"/>
    <x v="15"/>
    <n v="4"/>
    <x v="1"/>
  </r>
  <r>
    <x v="36"/>
    <s v="LVA"/>
    <x v="1"/>
    <s v="EN.GHG.CO2.PC.CE.AR5"/>
    <x v="16"/>
    <n v="4"/>
    <x v="1"/>
  </r>
  <r>
    <x v="36"/>
    <s v="LVA"/>
    <x v="1"/>
    <s v="EN.GHG.CO2.PC.CE.AR5"/>
    <x v="17"/>
    <n v="4"/>
    <x v="2"/>
  </r>
  <r>
    <x v="36"/>
    <s v="LVA"/>
    <x v="1"/>
    <s v="EN.GHG.CO2.PC.CE.AR5"/>
    <x v="18"/>
    <n v="4"/>
    <x v="2"/>
  </r>
  <r>
    <x v="36"/>
    <s v="LVA"/>
    <x v="1"/>
    <s v="EN.GHG.CO2.PC.CE.AR5"/>
    <x v="19"/>
    <n v="4"/>
    <x v="2"/>
  </r>
  <r>
    <x v="36"/>
    <s v="LVA"/>
    <x v="1"/>
    <s v="EN.GHG.CO2.PC.CE.AR5"/>
    <x v="20"/>
    <n v="4"/>
    <x v="2"/>
  </r>
  <r>
    <x v="36"/>
    <s v="LVA"/>
    <x v="1"/>
    <s v="EN.GHG.CO2.PC.CE.AR5"/>
    <x v="21"/>
    <n v="4"/>
    <x v="2"/>
  </r>
  <r>
    <x v="36"/>
    <s v="LVA"/>
    <x v="1"/>
    <s v="EN.GHG.CO2.PC.CE.AR5"/>
    <x v="22"/>
    <n v="4"/>
    <x v="2"/>
  </r>
  <r>
    <x v="36"/>
    <s v="LVA"/>
    <x v="1"/>
    <s v="EN.GHG.CO2.PC.CE.AR5"/>
    <x v="23"/>
    <n v="4"/>
    <x v="2"/>
  </r>
  <r>
    <x v="36"/>
    <s v="LVA"/>
    <x v="1"/>
    <s v="EN.GHG.CO2.PC.CE.AR5"/>
    <x v="24"/>
    <n v="4"/>
    <x v="2"/>
  </r>
  <r>
    <x v="36"/>
    <s v="LVA"/>
    <x v="1"/>
    <s v="EN.GHG.CO2.PC.CE.AR5"/>
    <x v="25"/>
    <n v="4"/>
    <x v="2"/>
  </r>
  <r>
    <x v="36"/>
    <s v="LVA"/>
    <x v="1"/>
    <s v="EN.GHG.CO2.PC.CE.AR5"/>
    <x v="26"/>
    <n v="4"/>
    <x v="2"/>
  </r>
  <r>
    <x v="36"/>
    <s v="LVA"/>
    <x v="1"/>
    <s v="EN.GHG.CO2.PC.CE.AR5"/>
    <x v="27"/>
    <n v="4"/>
    <x v="3"/>
  </r>
  <r>
    <x v="36"/>
    <s v="LVA"/>
    <x v="1"/>
    <s v="EN.GHG.CO2.PC.CE.AR5"/>
    <x v="28"/>
    <n v="4"/>
    <x v="3"/>
  </r>
  <r>
    <x v="36"/>
    <s v="LVA"/>
    <x v="1"/>
    <s v="EN.GHG.CO2.PC.CE.AR5"/>
    <x v="29"/>
    <n v="4"/>
    <x v="3"/>
  </r>
  <r>
    <x v="36"/>
    <s v="LVA"/>
    <x v="1"/>
    <s v="EN.GHG.CO2.PC.CE.AR5"/>
    <x v="30"/>
    <n v="4"/>
    <x v="3"/>
  </r>
  <r>
    <x v="36"/>
    <s v="LVA"/>
    <x v="1"/>
    <s v="EN.GHG.CO2.PC.CE.AR5"/>
    <x v="31"/>
    <n v="4"/>
    <x v="3"/>
  </r>
  <r>
    <x v="36"/>
    <s v="LVA"/>
    <x v="1"/>
    <s v="EN.GHG.CO2.PC.CE.AR5"/>
    <x v="32"/>
    <n v="4"/>
    <x v="4"/>
  </r>
  <r>
    <x v="36"/>
    <s v="LVA"/>
    <x v="1"/>
    <s v="EN.GHG.CO2.PC.CE.AR5"/>
    <x v="33"/>
    <n v="4"/>
    <x v="4"/>
  </r>
  <r>
    <x v="36"/>
    <s v="LVA"/>
    <x v="1"/>
    <s v="EN.GHG.CO2.PC.CE.AR5"/>
    <x v="54"/>
    <n v="4"/>
    <x v="4"/>
  </r>
  <r>
    <x v="38"/>
    <s v="MDA"/>
    <x v="1"/>
    <s v="EN.GHG.CO2.PC.CE.AR5"/>
    <x v="34"/>
    <n v="8"/>
    <x v="4"/>
  </r>
  <r>
    <x v="38"/>
    <s v="MDA"/>
    <x v="1"/>
    <s v="EN.GHG.CO2.PC.CE.AR5"/>
    <x v="35"/>
    <n v="8"/>
    <x v="4"/>
  </r>
  <r>
    <x v="38"/>
    <s v="MDA"/>
    <x v="1"/>
    <s v="EN.GHG.CO2.PC.CE.AR5"/>
    <x v="36"/>
    <n v="8"/>
    <x v="4"/>
  </r>
  <r>
    <x v="38"/>
    <s v="MDA"/>
    <x v="1"/>
    <s v="EN.GHG.CO2.PC.CE.AR5"/>
    <x v="37"/>
    <n v="9"/>
    <x v="4"/>
  </r>
  <r>
    <x v="38"/>
    <s v="MDA"/>
    <x v="1"/>
    <s v="EN.GHG.CO2.PC.CE.AR5"/>
    <x v="38"/>
    <n v="9"/>
    <x v="4"/>
  </r>
  <r>
    <x v="38"/>
    <s v="MDA"/>
    <x v="1"/>
    <s v="EN.GHG.CO2.PC.CE.AR5"/>
    <x v="39"/>
    <n v="10"/>
    <x v="4"/>
  </r>
  <r>
    <x v="38"/>
    <s v="MDA"/>
    <x v="1"/>
    <s v="EN.GHG.CO2.PC.CE.AR5"/>
    <x v="40"/>
    <n v="10"/>
    <x v="4"/>
  </r>
  <r>
    <x v="38"/>
    <s v="MDA"/>
    <x v="1"/>
    <s v="EN.GHG.CO2.PC.CE.AR5"/>
    <x v="41"/>
    <n v="10"/>
    <x v="5"/>
  </r>
  <r>
    <x v="38"/>
    <s v="MDA"/>
    <x v="1"/>
    <s v="EN.GHG.CO2.PC.CE.AR5"/>
    <x v="42"/>
    <n v="10"/>
    <x v="5"/>
  </r>
  <r>
    <x v="38"/>
    <s v="MDA"/>
    <x v="1"/>
    <s v="EN.GHG.CO2.PC.CE.AR5"/>
    <x v="43"/>
    <n v="10"/>
    <x v="5"/>
  </r>
  <r>
    <x v="38"/>
    <s v="MDA"/>
    <x v="1"/>
    <s v="EN.GHG.CO2.PC.CE.AR5"/>
    <x v="44"/>
    <n v="11"/>
    <x v="5"/>
  </r>
  <r>
    <x v="38"/>
    <s v="MDA"/>
    <x v="1"/>
    <s v="EN.GHG.CO2.PC.CE.AR5"/>
    <x v="45"/>
    <n v="11"/>
    <x v="5"/>
  </r>
  <r>
    <x v="38"/>
    <s v="MDA"/>
    <x v="1"/>
    <s v="EN.GHG.CO2.PC.CE.AR5"/>
    <x v="46"/>
    <n v="11"/>
    <x v="5"/>
  </r>
  <r>
    <x v="38"/>
    <s v="MDA"/>
    <x v="1"/>
    <s v="EN.GHG.CO2.PC.CE.AR5"/>
    <x v="47"/>
    <n v="11"/>
    <x v="5"/>
  </r>
  <r>
    <x v="38"/>
    <s v="MDA"/>
    <x v="1"/>
    <s v="EN.GHG.CO2.PC.CE.AR5"/>
    <x v="48"/>
    <n v="10"/>
    <x v="5"/>
  </r>
  <r>
    <x v="38"/>
    <s v="MDA"/>
    <x v="1"/>
    <s v="EN.GHG.CO2.PC.CE.AR5"/>
    <x v="49"/>
    <n v="10"/>
    <x v="5"/>
  </r>
  <r>
    <x v="38"/>
    <s v="MDA"/>
    <x v="1"/>
    <s v="EN.GHG.CO2.PC.CE.AR5"/>
    <x v="50"/>
    <n v="11"/>
    <x v="5"/>
  </r>
  <r>
    <x v="38"/>
    <s v="MDA"/>
    <x v="1"/>
    <s v="EN.GHG.CO2.PC.CE.AR5"/>
    <x v="51"/>
    <n v="11"/>
    <x v="0"/>
  </r>
  <r>
    <x v="38"/>
    <s v="MDA"/>
    <x v="1"/>
    <s v="EN.GHG.CO2.PC.CE.AR5"/>
    <x v="52"/>
    <n v="11"/>
    <x v="0"/>
  </r>
  <r>
    <x v="38"/>
    <s v="MDA"/>
    <x v="1"/>
    <s v="EN.GHG.CO2.PC.CE.AR5"/>
    <x v="53"/>
    <n v="11"/>
    <x v="0"/>
  </r>
  <r>
    <x v="38"/>
    <s v="MDA"/>
    <x v="1"/>
    <s v="EN.GHG.CO2.PC.CE.AR5"/>
    <x v="0"/>
    <n v="11"/>
    <x v="0"/>
  </r>
  <r>
    <x v="38"/>
    <s v="MDA"/>
    <x v="1"/>
    <s v="EN.GHG.CO2.PC.CE.AR5"/>
    <x v="1"/>
    <n v="9"/>
    <x v="0"/>
  </r>
  <r>
    <x v="38"/>
    <s v="MDA"/>
    <x v="1"/>
    <s v="EN.GHG.CO2.PC.CE.AR5"/>
    <x v="2"/>
    <n v="7"/>
    <x v="0"/>
  </r>
  <r>
    <x v="38"/>
    <s v="MDA"/>
    <x v="1"/>
    <s v="EN.GHG.CO2.PC.CE.AR5"/>
    <x v="3"/>
    <n v="6"/>
    <x v="0"/>
  </r>
  <r>
    <x v="38"/>
    <s v="MDA"/>
    <x v="1"/>
    <s v="EN.GHG.CO2.PC.CE.AR5"/>
    <x v="4"/>
    <n v="5"/>
    <x v="0"/>
  </r>
  <r>
    <x v="38"/>
    <s v="MDA"/>
    <x v="1"/>
    <s v="EN.GHG.CO2.PC.CE.AR5"/>
    <x v="5"/>
    <n v="4"/>
    <x v="0"/>
  </r>
  <r>
    <x v="38"/>
    <s v="MDA"/>
    <x v="1"/>
    <s v="EN.GHG.CO2.PC.CE.AR5"/>
    <x v="6"/>
    <n v="4"/>
    <x v="0"/>
  </r>
  <r>
    <x v="38"/>
    <s v="MDA"/>
    <x v="1"/>
    <s v="EN.GHG.CO2.PC.CE.AR5"/>
    <x v="7"/>
    <n v="3"/>
    <x v="1"/>
  </r>
  <r>
    <x v="38"/>
    <s v="MDA"/>
    <x v="1"/>
    <s v="EN.GHG.CO2.PC.CE.AR5"/>
    <x v="8"/>
    <n v="3"/>
    <x v="1"/>
  </r>
  <r>
    <x v="38"/>
    <s v="MDA"/>
    <x v="1"/>
    <s v="EN.GHG.CO2.PC.CE.AR5"/>
    <x v="9"/>
    <n v="3"/>
    <x v="1"/>
  </r>
  <r>
    <x v="38"/>
    <s v="MDA"/>
    <x v="1"/>
    <s v="EN.GHG.CO2.PC.CE.AR5"/>
    <x v="10"/>
    <n v="2"/>
    <x v="1"/>
  </r>
  <r>
    <x v="38"/>
    <s v="MDA"/>
    <x v="1"/>
    <s v="EN.GHG.CO2.PC.CE.AR5"/>
    <x v="11"/>
    <n v="2"/>
    <x v="1"/>
  </r>
  <r>
    <x v="38"/>
    <s v="MDA"/>
    <x v="1"/>
    <s v="EN.GHG.CO2.PC.CE.AR5"/>
    <x v="12"/>
    <n v="3"/>
    <x v="1"/>
  </r>
  <r>
    <x v="38"/>
    <s v="MDA"/>
    <x v="1"/>
    <s v="EN.GHG.CO2.PC.CE.AR5"/>
    <x v="13"/>
    <n v="3"/>
    <x v="1"/>
  </r>
  <r>
    <x v="38"/>
    <s v="MDA"/>
    <x v="1"/>
    <s v="EN.GHG.CO2.PC.CE.AR5"/>
    <x v="14"/>
    <n v="3"/>
    <x v="1"/>
  </r>
  <r>
    <x v="38"/>
    <s v="MDA"/>
    <x v="1"/>
    <s v="EN.GHG.CO2.PC.CE.AR5"/>
    <x v="15"/>
    <n v="3"/>
    <x v="1"/>
  </r>
  <r>
    <x v="38"/>
    <s v="MDA"/>
    <x v="1"/>
    <s v="EN.GHG.CO2.PC.CE.AR5"/>
    <x v="16"/>
    <n v="3"/>
    <x v="1"/>
  </r>
  <r>
    <x v="38"/>
    <s v="MDA"/>
    <x v="1"/>
    <s v="EN.GHG.CO2.PC.CE.AR5"/>
    <x v="17"/>
    <n v="3"/>
    <x v="2"/>
  </r>
  <r>
    <x v="38"/>
    <s v="MDA"/>
    <x v="1"/>
    <s v="EN.GHG.CO2.PC.CE.AR5"/>
    <x v="18"/>
    <n v="3"/>
    <x v="2"/>
  </r>
  <r>
    <x v="38"/>
    <s v="MDA"/>
    <x v="1"/>
    <s v="EN.GHG.CO2.PC.CE.AR5"/>
    <x v="19"/>
    <n v="3"/>
    <x v="2"/>
  </r>
  <r>
    <x v="38"/>
    <s v="MDA"/>
    <x v="1"/>
    <s v="EN.GHG.CO2.PC.CE.AR5"/>
    <x v="20"/>
    <n v="3"/>
    <x v="2"/>
  </r>
  <r>
    <x v="38"/>
    <s v="MDA"/>
    <x v="1"/>
    <s v="EN.GHG.CO2.PC.CE.AR5"/>
    <x v="21"/>
    <n v="3"/>
    <x v="2"/>
  </r>
  <r>
    <x v="38"/>
    <s v="MDA"/>
    <x v="1"/>
    <s v="EN.GHG.CO2.PC.CE.AR5"/>
    <x v="22"/>
    <n v="3"/>
    <x v="2"/>
  </r>
  <r>
    <x v="38"/>
    <s v="MDA"/>
    <x v="1"/>
    <s v="EN.GHG.CO2.PC.CE.AR5"/>
    <x v="23"/>
    <n v="3"/>
    <x v="2"/>
  </r>
  <r>
    <x v="38"/>
    <s v="MDA"/>
    <x v="1"/>
    <s v="EN.GHG.CO2.PC.CE.AR5"/>
    <x v="24"/>
    <n v="3"/>
    <x v="2"/>
  </r>
  <r>
    <x v="38"/>
    <s v="MDA"/>
    <x v="1"/>
    <s v="EN.GHG.CO2.PC.CE.AR5"/>
    <x v="25"/>
    <n v="3"/>
    <x v="2"/>
  </r>
  <r>
    <x v="38"/>
    <s v="MDA"/>
    <x v="1"/>
    <s v="EN.GHG.CO2.PC.CE.AR5"/>
    <x v="26"/>
    <n v="3"/>
    <x v="2"/>
  </r>
  <r>
    <x v="38"/>
    <s v="MDA"/>
    <x v="1"/>
    <s v="EN.GHG.CO2.PC.CE.AR5"/>
    <x v="27"/>
    <n v="3"/>
    <x v="3"/>
  </r>
  <r>
    <x v="38"/>
    <s v="MDA"/>
    <x v="1"/>
    <s v="EN.GHG.CO2.PC.CE.AR5"/>
    <x v="28"/>
    <n v="3"/>
    <x v="3"/>
  </r>
  <r>
    <x v="38"/>
    <s v="MDA"/>
    <x v="1"/>
    <s v="EN.GHG.CO2.PC.CE.AR5"/>
    <x v="29"/>
    <n v="3"/>
    <x v="3"/>
  </r>
  <r>
    <x v="38"/>
    <s v="MDA"/>
    <x v="1"/>
    <s v="EN.GHG.CO2.PC.CE.AR5"/>
    <x v="30"/>
    <n v="3"/>
    <x v="3"/>
  </r>
  <r>
    <x v="38"/>
    <s v="MDA"/>
    <x v="1"/>
    <s v="EN.GHG.CO2.PC.CE.AR5"/>
    <x v="31"/>
    <n v="4"/>
    <x v="3"/>
  </r>
  <r>
    <x v="38"/>
    <s v="MDA"/>
    <x v="1"/>
    <s v="EN.GHG.CO2.PC.CE.AR5"/>
    <x v="32"/>
    <n v="3"/>
    <x v="4"/>
  </r>
  <r>
    <x v="38"/>
    <s v="MDA"/>
    <x v="1"/>
    <s v="EN.GHG.CO2.PC.CE.AR5"/>
    <x v="33"/>
    <n v="3"/>
    <x v="4"/>
  </r>
  <r>
    <x v="38"/>
    <s v="MDA"/>
    <x v="1"/>
    <s v="EN.GHG.CO2.PC.CE.AR5"/>
    <x v="54"/>
    <n v="3"/>
    <x v="4"/>
  </r>
  <r>
    <x v="39"/>
    <s v="MKD"/>
    <x v="1"/>
    <s v="EN.GHG.CO2.PC.CE.AR5"/>
    <x v="34"/>
    <n v="6"/>
    <x v="4"/>
  </r>
  <r>
    <x v="39"/>
    <s v="MKD"/>
    <x v="1"/>
    <s v="EN.GHG.CO2.PC.CE.AR5"/>
    <x v="35"/>
    <n v="5"/>
    <x v="4"/>
  </r>
  <r>
    <x v="39"/>
    <s v="MKD"/>
    <x v="1"/>
    <s v="EN.GHG.CO2.PC.CE.AR5"/>
    <x v="36"/>
    <n v="5"/>
    <x v="4"/>
  </r>
  <r>
    <x v="39"/>
    <s v="MKD"/>
    <x v="1"/>
    <s v="EN.GHG.CO2.PC.CE.AR5"/>
    <x v="37"/>
    <n v="6"/>
    <x v="4"/>
  </r>
  <r>
    <x v="39"/>
    <s v="MKD"/>
    <x v="1"/>
    <s v="EN.GHG.CO2.PC.CE.AR5"/>
    <x v="38"/>
    <n v="6"/>
    <x v="4"/>
  </r>
  <r>
    <x v="39"/>
    <s v="MKD"/>
    <x v="1"/>
    <s v="EN.GHG.CO2.PC.CE.AR5"/>
    <x v="39"/>
    <n v="5"/>
    <x v="4"/>
  </r>
  <r>
    <x v="39"/>
    <s v="MKD"/>
    <x v="1"/>
    <s v="EN.GHG.CO2.PC.CE.AR5"/>
    <x v="40"/>
    <n v="5"/>
    <x v="4"/>
  </r>
  <r>
    <x v="39"/>
    <s v="MKD"/>
    <x v="1"/>
    <s v="EN.GHG.CO2.PC.CE.AR5"/>
    <x v="41"/>
    <n v="5"/>
    <x v="5"/>
  </r>
  <r>
    <x v="39"/>
    <s v="MKD"/>
    <x v="1"/>
    <s v="EN.GHG.CO2.PC.CE.AR5"/>
    <x v="42"/>
    <n v="5"/>
    <x v="5"/>
  </r>
  <r>
    <x v="39"/>
    <s v="MKD"/>
    <x v="1"/>
    <s v="EN.GHG.CO2.PC.CE.AR5"/>
    <x v="43"/>
    <n v="5"/>
    <x v="5"/>
  </r>
  <r>
    <x v="39"/>
    <s v="MKD"/>
    <x v="1"/>
    <s v="EN.GHG.CO2.PC.CE.AR5"/>
    <x v="44"/>
    <n v="5"/>
    <x v="5"/>
  </r>
  <r>
    <x v="39"/>
    <s v="MKD"/>
    <x v="1"/>
    <s v="EN.GHG.CO2.PC.CE.AR5"/>
    <x v="45"/>
    <n v="5"/>
    <x v="5"/>
  </r>
  <r>
    <x v="39"/>
    <s v="MKD"/>
    <x v="1"/>
    <s v="EN.GHG.CO2.PC.CE.AR5"/>
    <x v="46"/>
    <n v="4"/>
    <x v="5"/>
  </r>
  <r>
    <x v="39"/>
    <s v="MKD"/>
    <x v="1"/>
    <s v="EN.GHG.CO2.PC.CE.AR5"/>
    <x v="47"/>
    <n v="4"/>
    <x v="5"/>
  </r>
  <r>
    <x v="39"/>
    <s v="MKD"/>
    <x v="1"/>
    <s v="EN.GHG.CO2.PC.CE.AR5"/>
    <x v="48"/>
    <n v="5"/>
    <x v="5"/>
  </r>
  <r>
    <x v="39"/>
    <s v="MKD"/>
    <x v="1"/>
    <s v="EN.GHG.CO2.PC.CE.AR5"/>
    <x v="49"/>
    <n v="5"/>
    <x v="5"/>
  </r>
  <r>
    <x v="39"/>
    <s v="MKD"/>
    <x v="1"/>
    <s v="EN.GHG.CO2.PC.CE.AR5"/>
    <x v="50"/>
    <n v="5"/>
    <x v="5"/>
  </r>
  <r>
    <x v="39"/>
    <s v="MKD"/>
    <x v="1"/>
    <s v="EN.GHG.CO2.PC.CE.AR5"/>
    <x v="51"/>
    <n v="5"/>
    <x v="0"/>
  </r>
  <r>
    <x v="39"/>
    <s v="MKD"/>
    <x v="1"/>
    <s v="EN.GHG.CO2.PC.CE.AR5"/>
    <x v="52"/>
    <n v="5"/>
    <x v="0"/>
  </r>
  <r>
    <x v="39"/>
    <s v="MKD"/>
    <x v="1"/>
    <s v="EN.GHG.CO2.PC.CE.AR5"/>
    <x v="53"/>
    <n v="5"/>
    <x v="0"/>
  </r>
  <r>
    <x v="39"/>
    <s v="MKD"/>
    <x v="1"/>
    <s v="EN.GHG.CO2.PC.CE.AR5"/>
    <x v="0"/>
    <n v="5"/>
    <x v="0"/>
  </r>
  <r>
    <x v="39"/>
    <s v="MKD"/>
    <x v="1"/>
    <s v="EN.GHG.CO2.PC.CE.AR5"/>
    <x v="1"/>
    <n v="5"/>
    <x v="0"/>
  </r>
  <r>
    <x v="39"/>
    <s v="MKD"/>
    <x v="1"/>
    <s v="EN.GHG.CO2.PC.CE.AR5"/>
    <x v="2"/>
    <n v="4"/>
    <x v="0"/>
  </r>
  <r>
    <x v="39"/>
    <s v="MKD"/>
    <x v="1"/>
    <s v="EN.GHG.CO2.PC.CE.AR5"/>
    <x v="3"/>
    <n v="5"/>
    <x v="0"/>
  </r>
  <r>
    <x v="39"/>
    <s v="MKD"/>
    <x v="1"/>
    <s v="EN.GHG.CO2.PC.CE.AR5"/>
    <x v="4"/>
    <n v="4"/>
    <x v="0"/>
  </r>
  <r>
    <x v="39"/>
    <s v="MKD"/>
    <x v="1"/>
    <s v="EN.GHG.CO2.PC.CE.AR5"/>
    <x v="5"/>
    <n v="4"/>
    <x v="0"/>
  </r>
  <r>
    <x v="39"/>
    <s v="MKD"/>
    <x v="1"/>
    <s v="EN.GHG.CO2.PC.CE.AR5"/>
    <x v="6"/>
    <n v="5"/>
    <x v="0"/>
  </r>
  <r>
    <x v="39"/>
    <s v="MKD"/>
    <x v="1"/>
    <s v="EN.GHG.CO2.PC.CE.AR5"/>
    <x v="7"/>
    <n v="5"/>
    <x v="1"/>
  </r>
  <r>
    <x v="39"/>
    <s v="MKD"/>
    <x v="1"/>
    <s v="EN.GHG.CO2.PC.CE.AR5"/>
    <x v="8"/>
    <n v="5"/>
    <x v="1"/>
  </r>
  <r>
    <x v="39"/>
    <s v="MKD"/>
    <x v="1"/>
    <s v="EN.GHG.CO2.PC.CE.AR5"/>
    <x v="9"/>
    <n v="5"/>
    <x v="1"/>
  </r>
  <r>
    <x v="39"/>
    <s v="MKD"/>
    <x v="1"/>
    <s v="EN.GHG.CO2.PC.CE.AR5"/>
    <x v="10"/>
    <n v="4"/>
    <x v="1"/>
  </r>
  <r>
    <x v="39"/>
    <s v="MKD"/>
    <x v="1"/>
    <s v="EN.GHG.CO2.PC.CE.AR5"/>
    <x v="11"/>
    <n v="5"/>
    <x v="1"/>
  </r>
  <r>
    <x v="39"/>
    <s v="MKD"/>
    <x v="1"/>
    <s v="EN.GHG.CO2.PC.CE.AR5"/>
    <x v="12"/>
    <n v="4"/>
    <x v="1"/>
  </r>
  <r>
    <x v="39"/>
    <s v="MKD"/>
    <x v="1"/>
    <s v="EN.GHG.CO2.PC.CE.AR5"/>
    <x v="13"/>
    <n v="5"/>
    <x v="1"/>
  </r>
  <r>
    <x v="39"/>
    <s v="MKD"/>
    <x v="1"/>
    <s v="EN.GHG.CO2.PC.CE.AR5"/>
    <x v="14"/>
    <n v="5"/>
    <x v="1"/>
  </r>
  <r>
    <x v="39"/>
    <s v="MKD"/>
    <x v="1"/>
    <s v="EN.GHG.CO2.PC.CE.AR5"/>
    <x v="15"/>
    <n v="5"/>
    <x v="1"/>
  </r>
  <r>
    <x v="39"/>
    <s v="MKD"/>
    <x v="1"/>
    <s v="EN.GHG.CO2.PC.CE.AR5"/>
    <x v="16"/>
    <n v="5"/>
    <x v="1"/>
  </r>
  <r>
    <x v="39"/>
    <s v="MKD"/>
    <x v="1"/>
    <s v="EN.GHG.CO2.PC.CE.AR5"/>
    <x v="17"/>
    <n v="5"/>
    <x v="2"/>
  </r>
  <r>
    <x v="39"/>
    <s v="MKD"/>
    <x v="1"/>
    <s v="EN.GHG.CO2.PC.CE.AR5"/>
    <x v="18"/>
    <n v="5"/>
    <x v="2"/>
  </r>
  <r>
    <x v="39"/>
    <s v="MKD"/>
    <x v="1"/>
    <s v="EN.GHG.CO2.PC.CE.AR5"/>
    <x v="19"/>
    <n v="5"/>
    <x v="2"/>
  </r>
  <r>
    <x v="39"/>
    <s v="MKD"/>
    <x v="1"/>
    <s v="EN.GHG.CO2.PC.CE.AR5"/>
    <x v="20"/>
    <n v="5"/>
    <x v="2"/>
  </r>
  <r>
    <x v="39"/>
    <s v="MKD"/>
    <x v="1"/>
    <s v="EN.GHG.CO2.PC.CE.AR5"/>
    <x v="21"/>
    <n v="5"/>
    <x v="2"/>
  </r>
  <r>
    <x v="39"/>
    <s v="MKD"/>
    <x v="1"/>
    <s v="EN.GHG.CO2.PC.CE.AR5"/>
    <x v="22"/>
    <n v="5"/>
    <x v="2"/>
  </r>
  <r>
    <x v="39"/>
    <s v="MKD"/>
    <x v="1"/>
    <s v="EN.GHG.CO2.PC.CE.AR5"/>
    <x v="23"/>
    <n v="5"/>
    <x v="2"/>
  </r>
  <r>
    <x v="39"/>
    <s v="MKD"/>
    <x v="1"/>
    <s v="EN.GHG.CO2.PC.CE.AR5"/>
    <x v="24"/>
    <n v="4"/>
    <x v="2"/>
  </r>
  <r>
    <x v="39"/>
    <s v="MKD"/>
    <x v="1"/>
    <s v="EN.GHG.CO2.PC.CE.AR5"/>
    <x v="25"/>
    <n v="4"/>
    <x v="2"/>
  </r>
  <r>
    <x v="39"/>
    <s v="MKD"/>
    <x v="1"/>
    <s v="EN.GHG.CO2.PC.CE.AR5"/>
    <x v="26"/>
    <n v="4"/>
    <x v="2"/>
  </r>
  <r>
    <x v="39"/>
    <s v="MKD"/>
    <x v="1"/>
    <s v="EN.GHG.CO2.PC.CE.AR5"/>
    <x v="27"/>
    <n v="4"/>
    <x v="3"/>
  </r>
  <r>
    <x v="39"/>
    <s v="MKD"/>
    <x v="1"/>
    <s v="EN.GHG.CO2.PC.CE.AR5"/>
    <x v="28"/>
    <n v="4"/>
    <x v="3"/>
  </r>
  <r>
    <x v="39"/>
    <s v="MKD"/>
    <x v="1"/>
    <s v="EN.GHG.CO2.PC.CE.AR5"/>
    <x v="29"/>
    <n v="5"/>
    <x v="3"/>
  </r>
  <r>
    <x v="39"/>
    <s v="MKD"/>
    <x v="1"/>
    <s v="EN.GHG.CO2.PC.CE.AR5"/>
    <x v="30"/>
    <n v="4"/>
    <x v="3"/>
  </r>
  <r>
    <x v="39"/>
    <s v="MKD"/>
    <x v="1"/>
    <s v="EN.GHG.CO2.PC.CE.AR5"/>
    <x v="31"/>
    <n v="4"/>
    <x v="3"/>
  </r>
  <r>
    <x v="39"/>
    <s v="MKD"/>
    <x v="1"/>
    <s v="EN.GHG.CO2.PC.CE.AR5"/>
    <x v="32"/>
    <n v="4"/>
    <x v="4"/>
  </r>
  <r>
    <x v="39"/>
    <s v="MKD"/>
    <x v="1"/>
    <s v="EN.GHG.CO2.PC.CE.AR5"/>
    <x v="33"/>
    <n v="4"/>
    <x v="4"/>
  </r>
  <r>
    <x v="39"/>
    <s v="MKD"/>
    <x v="1"/>
    <s v="EN.GHG.CO2.PC.CE.AR5"/>
    <x v="54"/>
    <n v="4"/>
    <x v="4"/>
  </r>
  <r>
    <x v="41"/>
    <s v="NLD"/>
    <x v="1"/>
    <s v="EN.GHG.CO2.PC.CE.AR5"/>
    <x v="34"/>
    <n v="10"/>
    <x v="4"/>
  </r>
  <r>
    <x v="41"/>
    <s v="NLD"/>
    <x v="1"/>
    <s v="EN.GHG.CO2.PC.CE.AR5"/>
    <x v="35"/>
    <n v="10"/>
    <x v="4"/>
  </r>
  <r>
    <x v="41"/>
    <s v="NLD"/>
    <x v="1"/>
    <s v="EN.GHG.CO2.PC.CE.AR5"/>
    <x v="36"/>
    <n v="11"/>
    <x v="4"/>
  </r>
  <r>
    <x v="41"/>
    <s v="NLD"/>
    <x v="1"/>
    <s v="EN.GHG.CO2.PC.CE.AR5"/>
    <x v="37"/>
    <n v="12"/>
    <x v="4"/>
  </r>
  <r>
    <x v="41"/>
    <s v="NLD"/>
    <x v="1"/>
    <s v="EN.GHG.CO2.PC.CE.AR5"/>
    <x v="38"/>
    <n v="11"/>
    <x v="4"/>
  </r>
  <r>
    <x v="41"/>
    <s v="NLD"/>
    <x v="1"/>
    <s v="EN.GHG.CO2.PC.CE.AR5"/>
    <x v="39"/>
    <n v="10"/>
    <x v="4"/>
  </r>
  <r>
    <x v="41"/>
    <s v="NLD"/>
    <x v="1"/>
    <s v="EN.GHG.CO2.PC.CE.AR5"/>
    <x v="40"/>
    <n v="11"/>
    <x v="4"/>
  </r>
  <r>
    <x v="41"/>
    <s v="NLD"/>
    <x v="1"/>
    <s v="EN.GHG.CO2.PC.CE.AR5"/>
    <x v="41"/>
    <n v="11"/>
    <x v="5"/>
  </r>
  <r>
    <x v="41"/>
    <s v="NLD"/>
    <x v="1"/>
    <s v="EN.GHG.CO2.PC.CE.AR5"/>
    <x v="42"/>
    <n v="11"/>
    <x v="5"/>
  </r>
  <r>
    <x v="41"/>
    <s v="NLD"/>
    <x v="1"/>
    <s v="EN.GHG.CO2.PC.CE.AR5"/>
    <x v="43"/>
    <n v="12"/>
    <x v="5"/>
  </r>
  <r>
    <x v="41"/>
    <s v="NLD"/>
    <x v="1"/>
    <s v="EN.GHG.CO2.PC.CE.AR5"/>
    <x v="44"/>
    <n v="11"/>
    <x v="5"/>
  </r>
  <r>
    <x v="41"/>
    <s v="NLD"/>
    <x v="1"/>
    <s v="EN.GHG.CO2.PC.CE.AR5"/>
    <x v="45"/>
    <n v="11"/>
    <x v="5"/>
  </r>
  <r>
    <x v="41"/>
    <s v="NLD"/>
    <x v="1"/>
    <s v="EN.GHG.CO2.PC.CE.AR5"/>
    <x v="46"/>
    <n v="10"/>
    <x v="5"/>
  </r>
  <r>
    <x v="41"/>
    <s v="NLD"/>
    <x v="1"/>
    <s v="EN.GHG.CO2.PC.CE.AR5"/>
    <x v="47"/>
    <n v="10"/>
    <x v="5"/>
  </r>
  <r>
    <x v="41"/>
    <s v="NLD"/>
    <x v="1"/>
    <s v="EN.GHG.CO2.PC.CE.AR5"/>
    <x v="48"/>
    <n v="10"/>
    <x v="5"/>
  </r>
  <r>
    <x v="41"/>
    <s v="NLD"/>
    <x v="1"/>
    <s v="EN.GHG.CO2.PC.CE.AR5"/>
    <x v="49"/>
    <n v="10"/>
    <x v="5"/>
  </r>
  <r>
    <x v="41"/>
    <s v="NLD"/>
    <x v="1"/>
    <s v="EN.GHG.CO2.PC.CE.AR5"/>
    <x v="50"/>
    <n v="10"/>
    <x v="5"/>
  </r>
  <r>
    <x v="41"/>
    <s v="NLD"/>
    <x v="1"/>
    <s v="EN.GHG.CO2.PC.CE.AR5"/>
    <x v="51"/>
    <n v="11"/>
    <x v="0"/>
  </r>
  <r>
    <x v="41"/>
    <s v="NLD"/>
    <x v="1"/>
    <s v="EN.GHG.CO2.PC.CE.AR5"/>
    <x v="52"/>
    <n v="11"/>
    <x v="0"/>
  </r>
  <r>
    <x v="41"/>
    <s v="NLD"/>
    <x v="1"/>
    <s v="EN.GHG.CO2.PC.CE.AR5"/>
    <x v="53"/>
    <n v="11"/>
    <x v="0"/>
  </r>
  <r>
    <x v="41"/>
    <s v="NLD"/>
    <x v="1"/>
    <s v="EN.GHG.CO2.PC.CE.AR5"/>
    <x v="0"/>
    <n v="11"/>
    <x v="0"/>
  </r>
  <r>
    <x v="41"/>
    <s v="NLD"/>
    <x v="1"/>
    <s v="EN.GHG.CO2.PC.CE.AR5"/>
    <x v="1"/>
    <n v="11"/>
    <x v="0"/>
  </r>
  <r>
    <x v="41"/>
    <s v="NLD"/>
    <x v="1"/>
    <s v="EN.GHG.CO2.PC.CE.AR5"/>
    <x v="2"/>
    <n v="11"/>
    <x v="0"/>
  </r>
  <r>
    <x v="41"/>
    <s v="NLD"/>
    <x v="1"/>
    <s v="EN.GHG.CO2.PC.CE.AR5"/>
    <x v="3"/>
    <n v="11"/>
    <x v="0"/>
  </r>
  <r>
    <x v="41"/>
    <s v="NLD"/>
    <x v="1"/>
    <s v="EN.GHG.CO2.PC.CE.AR5"/>
    <x v="4"/>
    <n v="11"/>
    <x v="0"/>
  </r>
  <r>
    <x v="41"/>
    <s v="NLD"/>
    <x v="1"/>
    <s v="EN.GHG.CO2.PC.CE.AR5"/>
    <x v="5"/>
    <n v="11"/>
    <x v="0"/>
  </r>
  <r>
    <x v="41"/>
    <s v="NLD"/>
    <x v="1"/>
    <s v="EN.GHG.CO2.PC.CE.AR5"/>
    <x v="6"/>
    <n v="12"/>
    <x v="0"/>
  </r>
  <r>
    <x v="41"/>
    <s v="NLD"/>
    <x v="1"/>
    <s v="EN.GHG.CO2.PC.CE.AR5"/>
    <x v="7"/>
    <n v="12"/>
    <x v="1"/>
  </r>
  <r>
    <x v="41"/>
    <s v="NLD"/>
    <x v="1"/>
    <s v="EN.GHG.CO2.PC.CE.AR5"/>
    <x v="8"/>
    <n v="12"/>
    <x v="1"/>
  </r>
  <r>
    <x v="41"/>
    <s v="NLD"/>
    <x v="1"/>
    <s v="EN.GHG.CO2.PC.CE.AR5"/>
    <x v="9"/>
    <n v="11"/>
    <x v="1"/>
  </r>
  <r>
    <x v="41"/>
    <s v="NLD"/>
    <x v="1"/>
    <s v="EN.GHG.CO2.PC.CE.AR5"/>
    <x v="10"/>
    <n v="11"/>
    <x v="1"/>
  </r>
  <r>
    <x v="41"/>
    <s v="NLD"/>
    <x v="1"/>
    <s v="EN.GHG.CO2.PC.CE.AR5"/>
    <x v="11"/>
    <n v="11"/>
    <x v="1"/>
  </r>
  <r>
    <x v="41"/>
    <s v="NLD"/>
    <x v="1"/>
    <s v="EN.GHG.CO2.PC.CE.AR5"/>
    <x v="12"/>
    <n v="11"/>
    <x v="1"/>
  </r>
  <r>
    <x v="41"/>
    <s v="NLD"/>
    <x v="1"/>
    <s v="EN.GHG.CO2.PC.CE.AR5"/>
    <x v="13"/>
    <n v="11"/>
    <x v="1"/>
  </r>
  <r>
    <x v="41"/>
    <s v="NLD"/>
    <x v="1"/>
    <s v="EN.GHG.CO2.PC.CE.AR5"/>
    <x v="14"/>
    <n v="11"/>
    <x v="1"/>
  </r>
  <r>
    <x v="41"/>
    <s v="NLD"/>
    <x v="1"/>
    <s v="EN.GHG.CO2.PC.CE.AR5"/>
    <x v="15"/>
    <n v="11"/>
    <x v="1"/>
  </r>
  <r>
    <x v="41"/>
    <s v="NLD"/>
    <x v="1"/>
    <s v="EN.GHG.CO2.PC.CE.AR5"/>
    <x v="16"/>
    <n v="11"/>
    <x v="1"/>
  </r>
  <r>
    <x v="41"/>
    <s v="NLD"/>
    <x v="1"/>
    <s v="EN.GHG.CO2.PC.CE.AR5"/>
    <x v="17"/>
    <n v="11"/>
    <x v="2"/>
  </r>
  <r>
    <x v="41"/>
    <s v="NLD"/>
    <x v="1"/>
    <s v="EN.GHG.CO2.PC.CE.AR5"/>
    <x v="18"/>
    <n v="11"/>
    <x v="2"/>
  </r>
  <r>
    <x v="41"/>
    <s v="NLD"/>
    <x v="1"/>
    <s v="EN.GHG.CO2.PC.CE.AR5"/>
    <x v="19"/>
    <n v="11"/>
    <x v="2"/>
  </r>
  <r>
    <x v="41"/>
    <s v="NLD"/>
    <x v="1"/>
    <s v="EN.GHG.CO2.PC.CE.AR5"/>
    <x v="20"/>
    <n v="11"/>
    <x v="2"/>
  </r>
  <r>
    <x v="41"/>
    <s v="NLD"/>
    <x v="1"/>
    <s v="EN.GHG.CO2.PC.CE.AR5"/>
    <x v="21"/>
    <n v="10"/>
    <x v="2"/>
  </r>
  <r>
    <x v="41"/>
    <s v="NLD"/>
    <x v="1"/>
    <s v="EN.GHG.CO2.PC.CE.AR5"/>
    <x v="22"/>
    <n v="10"/>
    <x v="2"/>
  </r>
  <r>
    <x v="41"/>
    <s v="NLD"/>
    <x v="1"/>
    <s v="EN.GHG.CO2.PC.CE.AR5"/>
    <x v="23"/>
    <n v="10"/>
    <x v="2"/>
  </r>
  <r>
    <x v="41"/>
    <s v="NLD"/>
    <x v="1"/>
    <s v="EN.GHG.CO2.PC.CE.AR5"/>
    <x v="24"/>
    <n v="10"/>
    <x v="2"/>
  </r>
  <r>
    <x v="41"/>
    <s v="NLD"/>
    <x v="1"/>
    <s v="EN.GHG.CO2.PC.CE.AR5"/>
    <x v="25"/>
    <n v="10"/>
    <x v="2"/>
  </r>
  <r>
    <x v="41"/>
    <s v="NLD"/>
    <x v="1"/>
    <s v="EN.GHG.CO2.PC.CE.AR5"/>
    <x v="26"/>
    <n v="10"/>
    <x v="2"/>
  </r>
  <r>
    <x v="41"/>
    <s v="NLD"/>
    <x v="1"/>
    <s v="EN.GHG.CO2.PC.CE.AR5"/>
    <x v="27"/>
    <n v="10"/>
    <x v="3"/>
  </r>
  <r>
    <x v="41"/>
    <s v="NLD"/>
    <x v="1"/>
    <s v="EN.GHG.CO2.PC.CE.AR5"/>
    <x v="28"/>
    <n v="9"/>
    <x v="3"/>
  </r>
  <r>
    <x v="41"/>
    <s v="NLD"/>
    <x v="1"/>
    <s v="EN.GHG.CO2.PC.CE.AR5"/>
    <x v="29"/>
    <n v="9"/>
    <x v="3"/>
  </r>
  <r>
    <x v="41"/>
    <s v="NLD"/>
    <x v="1"/>
    <s v="EN.GHG.CO2.PC.CE.AR5"/>
    <x v="30"/>
    <n v="8"/>
    <x v="3"/>
  </r>
  <r>
    <x v="41"/>
    <s v="NLD"/>
    <x v="1"/>
    <s v="EN.GHG.CO2.PC.CE.AR5"/>
    <x v="31"/>
    <n v="8"/>
    <x v="3"/>
  </r>
  <r>
    <x v="41"/>
    <s v="NLD"/>
    <x v="1"/>
    <s v="EN.GHG.CO2.PC.CE.AR5"/>
    <x v="32"/>
    <n v="8"/>
    <x v="4"/>
  </r>
  <r>
    <x v="41"/>
    <s v="NLD"/>
    <x v="1"/>
    <s v="EN.GHG.CO2.PC.CE.AR5"/>
    <x v="33"/>
    <n v="7"/>
    <x v="4"/>
  </r>
  <r>
    <x v="41"/>
    <s v="NLD"/>
    <x v="1"/>
    <s v="EN.GHG.CO2.PC.CE.AR5"/>
    <x v="54"/>
    <n v="7"/>
    <x v="4"/>
  </r>
  <r>
    <x v="42"/>
    <s v="NOR"/>
    <x v="1"/>
    <s v="EN.GHG.CO2.PC.CE.AR5"/>
    <x v="34"/>
    <n v="9"/>
    <x v="4"/>
  </r>
  <r>
    <x v="42"/>
    <s v="NOR"/>
    <x v="1"/>
    <s v="EN.GHG.CO2.PC.CE.AR5"/>
    <x v="35"/>
    <n v="9"/>
    <x v="4"/>
  </r>
  <r>
    <x v="42"/>
    <s v="NOR"/>
    <x v="1"/>
    <s v="EN.GHG.CO2.PC.CE.AR5"/>
    <x v="36"/>
    <n v="10"/>
    <x v="4"/>
  </r>
  <r>
    <x v="42"/>
    <s v="NOR"/>
    <x v="1"/>
    <s v="EN.GHG.CO2.PC.CE.AR5"/>
    <x v="37"/>
    <n v="10"/>
    <x v="4"/>
  </r>
  <r>
    <x v="42"/>
    <s v="NOR"/>
    <x v="1"/>
    <s v="EN.GHG.CO2.PC.CE.AR5"/>
    <x v="38"/>
    <n v="9"/>
    <x v="4"/>
  </r>
  <r>
    <x v="42"/>
    <s v="NOR"/>
    <x v="1"/>
    <s v="EN.GHG.CO2.PC.CE.AR5"/>
    <x v="39"/>
    <n v="9"/>
    <x v="4"/>
  </r>
  <r>
    <x v="42"/>
    <s v="NOR"/>
    <x v="1"/>
    <s v="EN.GHG.CO2.PC.CE.AR5"/>
    <x v="40"/>
    <n v="10"/>
    <x v="4"/>
  </r>
  <r>
    <x v="42"/>
    <s v="NOR"/>
    <x v="1"/>
    <s v="EN.GHG.CO2.PC.CE.AR5"/>
    <x v="41"/>
    <n v="10"/>
    <x v="5"/>
  </r>
  <r>
    <x v="42"/>
    <s v="NOR"/>
    <x v="1"/>
    <s v="EN.GHG.CO2.PC.CE.AR5"/>
    <x v="42"/>
    <n v="9"/>
    <x v="5"/>
  </r>
  <r>
    <x v="42"/>
    <s v="NOR"/>
    <x v="1"/>
    <s v="EN.GHG.CO2.PC.CE.AR5"/>
    <x v="43"/>
    <n v="10"/>
    <x v="5"/>
  </r>
  <r>
    <x v="42"/>
    <s v="NOR"/>
    <x v="1"/>
    <s v="EN.GHG.CO2.PC.CE.AR5"/>
    <x v="44"/>
    <n v="10"/>
    <x v="5"/>
  </r>
  <r>
    <x v="42"/>
    <s v="NOR"/>
    <x v="1"/>
    <s v="EN.GHG.CO2.PC.CE.AR5"/>
    <x v="45"/>
    <n v="9"/>
    <x v="5"/>
  </r>
  <r>
    <x v="42"/>
    <s v="NOR"/>
    <x v="1"/>
    <s v="EN.GHG.CO2.PC.CE.AR5"/>
    <x v="46"/>
    <n v="8"/>
    <x v="5"/>
  </r>
  <r>
    <x v="42"/>
    <s v="NOR"/>
    <x v="1"/>
    <s v="EN.GHG.CO2.PC.CE.AR5"/>
    <x v="47"/>
    <n v="8"/>
    <x v="5"/>
  </r>
  <r>
    <x v="42"/>
    <s v="NOR"/>
    <x v="1"/>
    <s v="EN.GHG.CO2.PC.CE.AR5"/>
    <x v="48"/>
    <n v="8"/>
    <x v="5"/>
  </r>
  <r>
    <x v="42"/>
    <s v="NOR"/>
    <x v="1"/>
    <s v="EN.GHG.CO2.PC.CE.AR5"/>
    <x v="49"/>
    <n v="8"/>
    <x v="5"/>
  </r>
  <r>
    <x v="42"/>
    <s v="NOR"/>
    <x v="1"/>
    <s v="EN.GHG.CO2.PC.CE.AR5"/>
    <x v="50"/>
    <n v="9"/>
    <x v="5"/>
  </r>
  <r>
    <x v="42"/>
    <s v="NOR"/>
    <x v="1"/>
    <s v="EN.GHG.CO2.PC.CE.AR5"/>
    <x v="51"/>
    <n v="9"/>
    <x v="0"/>
  </r>
  <r>
    <x v="42"/>
    <s v="NOR"/>
    <x v="1"/>
    <s v="EN.GHG.CO2.PC.CE.AR5"/>
    <x v="52"/>
    <n v="9"/>
    <x v="0"/>
  </r>
  <r>
    <x v="42"/>
    <s v="NOR"/>
    <x v="1"/>
    <s v="EN.GHG.CO2.PC.CE.AR5"/>
    <x v="53"/>
    <n v="9"/>
    <x v="0"/>
  </r>
  <r>
    <x v="42"/>
    <s v="NOR"/>
    <x v="1"/>
    <s v="EN.GHG.CO2.PC.CE.AR5"/>
    <x v="0"/>
    <n v="9"/>
    <x v="0"/>
  </r>
  <r>
    <x v="42"/>
    <s v="NOR"/>
    <x v="1"/>
    <s v="EN.GHG.CO2.PC.CE.AR5"/>
    <x v="1"/>
    <n v="8"/>
    <x v="0"/>
  </r>
  <r>
    <x v="42"/>
    <s v="NOR"/>
    <x v="1"/>
    <s v="EN.GHG.CO2.PC.CE.AR5"/>
    <x v="2"/>
    <n v="8"/>
    <x v="0"/>
  </r>
  <r>
    <x v="42"/>
    <s v="NOR"/>
    <x v="1"/>
    <s v="EN.GHG.CO2.PC.CE.AR5"/>
    <x v="3"/>
    <n v="9"/>
    <x v="0"/>
  </r>
  <r>
    <x v="42"/>
    <s v="NOR"/>
    <x v="1"/>
    <s v="EN.GHG.CO2.PC.CE.AR5"/>
    <x v="4"/>
    <n v="9"/>
    <x v="0"/>
  </r>
  <r>
    <x v="42"/>
    <s v="NOR"/>
    <x v="1"/>
    <s v="EN.GHG.CO2.PC.CE.AR5"/>
    <x v="5"/>
    <n v="9"/>
    <x v="0"/>
  </r>
  <r>
    <x v="42"/>
    <s v="NOR"/>
    <x v="1"/>
    <s v="EN.GHG.CO2.PC.CE.AR5"/>
    <x v="6"/>
    <n v="9"/>
    <x v="0"/>
  </r>
  <r>
    <x v="42"/>
    <s v="NOR"/>
    <x v="1"/>
    <s v="EN.GHG.CO2.PC.CE.AR5"/>
    <x v="7"/>
    <n v="10"/>
    <x v="1"/>
  </r>
  <r>
    <x v="42"/>
    <s v="NOR"/>
    <x v="1"/>
    <s v="EN.GHG.CO2.PC.CE.AR5"/>
    <x v="8"/>
    <n v="10"/>
    <x v="1"/>
  </r>
  <r>
    <x v="42"/>
    <s v="NOR"/>
    <x v="1"/>
    <s v="EN.GHG.CO2.PC.CE.AR5"/>
    <x v="9"/>
    <n v="10"/>
    <x v="1"/>
  </r>
  <r>
    <x v="42"/>
    <s v="NOR"/>
    <x v="1"/>
    <s v="EN.GHG.CO2.PC.CE.AR5"/>
    <x v="10"/>
    <n v="9"/>
    <x v="1"/>
  </r>
  <r>
    <x v="42"/>
    <s v="NOR"/>
    <x v="1"/>
    <s v="EN.GHG.CO2.PC.CE.AR5"/>
    <x v="11"/>
    <n v="9"/>
    <x v="1"/>
  </r>
  <r>
    <x v="42"/>
    <s v="NOR"/>
    <x v="1"/>
    <s v="EN.GHG.CO2.PC.CE.AR5"/>
    <x v="12"/>
    <n v="9"/>
    <x v="1"/>
  </r>
  <r>
    <x v="42"/>
    <s v="NOR"/>
    <x v="1"/>
    <s v="EN.GHG.CO2.PC.CE.AR5"/>
    <x v="13"/>
    <n v="10"/>
    <x v="1"/>
  </r>
  <r>
    <x v="42"/>
    <s v="NOR"/>
    <x v="1"/>
    <s v="EN.GHG.CO2.PC.CE.AR5"/>
    <x v="14"/>
    <n v="10"/>
    <x v="1"/>
  </r>
  <r>
    <x v="42"/>
    <s v="NOR"/>
    <x v="1"/>
    <s v="EN.GHG.CO2.PC.CE.AR5"/>
    <x v="15"/>
    <n v="9"/>
    <x v="1"/>
  </r>
  <r>
    <x v="42"/>
    <s v="NOR"/>
    <x v="1"/>
    <s v="EN.GHG.CO2.PC.CE.AR5"/>
    <x v="16"/>
    <n v="9"/>
    <x v="1"/>
  </r>
  <r>
    <x v="42"/>
    <s v="NOR"/>
    <x v="1"/>
    <s v="EN.GHG.CO2.PC.CE.AR5"/>
    <x v="17"/>
    <n v="10"/>
    <x v="2"/>
  </r>
  <r>
    <x v="42"/>
    <s v="NOR"/>
    <x v="1"/>
    <s v="EN.GHG.CO2.PC.CE.AR5"/>
    <x v="18"/>
    <n v="10"/>
    <x v="2"/>
  </r>
  <r>
    <x v="42"/>
    <s v="NOR"/>
    <x v="1"/>
    <s v="EN.GHG.CO2.PC.CE.AR5"/>
    <x v="19"/>
    <n v="9"/>
    <x v="2"/>
  </r>
  <r>
    <x v="42"/>
    <s v="NOR"/>
    <x v="1"/>
    <s v="EN.GHG.CO2.PC.CE.AR5"/>
    <x v="20"/>
    <n v="10"/>
    <x v="2"/>
  </r>
  <r>
    <x v="42"/>
    <s v="NOR"/>
    <x v="1"/>
    <s v="EN.GHG.CO2.PC.CE.AR5"/>
    <x v="21"/>
    <n v="9"/>
    <x v="2"/>
  </r>
  <r>
    <x v="42"/>
    <s v="NOR"/>
    <x v="1"/>
    <s v="EN.GHG.CO2.PC.CE.AR5"/>
    <x v="22"/>
    <n v="9"/>
    <x v="2"/>
  </r>
  <r>
    <x v="42"/>
    <s v="NOR"/>
    <x v="1"/>
    <s v="EN.GHG.CO2.PC.CE.AR5"/>
    <x v="23"/>
    <n v="9"/>
    <x v="2"/>
  </r>
  <r>
    <x v="42"/>
    <s v="NOR"/>
    <x v="1"/>
    <s v="EN.GHG.CO2.PC.CE.AR5"/>
    <x v="24"/>
    <n v="9"/>
    <x v="2"/>
  </r>
  <r>
    <x v="42"/>
    <s v="NOR"/>
    <x v="1"/>
    <s v="EN.GHG.CO2.PC.CE.AR5"/>
    <x v="25"/>
    <n v="9"/>
    <x v="2"/>
  </r>
  <r>
    <x v="42"/>
    <s v="NOR"/>
    <x v="1"/>
    <s v="EN.GHG.CO2.PC.CE.AR5"/>
    <x v="26"/>
    <n v="9"/>
    <x v="2"/>
  </r>
  <r>
    <x v="42"/>
    <s v="NOR"/>
    <x v="1"/>
    <s v="EN.GHG.CO2.PC.CE.AR5"/>
    <x v="27"/>
    <n v="9"/>
    <x v="3"/>
  </r>
  <r>
    <x v="42"/>
    <s v="NOR"/>
    <x v="1"/>
    <s v="EN.GHG.CO2.PC.CE.AR5"/>
    <x v="28"/>
    <n v="9"/>
    <x v="3"/>
  </r>
  <r>
    <x v="42"/>
    <s v="NOR"/>
    <x v="1"/>
    <s v="EN.GHG.CO2.PC.CE.AR5"/>
    <x v="29"/>
    <n v="8"/>
    <x v="3"/>
  </r>
  <r>
    <x v="42"/>
    <s v="NOR"/>
    <x v="1"/>
    <s v="EN.GHG.CO2.PC.CE.AR5"/>
    <x v="30"/>
    <n v="8"/>
    <x v="3"/>
  </r>
  <r>
    <x v="42"/>
    <s v="NOR"/>
    <x v="1"/>
    <s v="EN.GHG.CO2.PC.CE.AR5"/>
    <x v="31"/>
    <n v="8"/>
    <x v="3"/>
  </r>
  <r>
    <x v="42"/>
    <s v="NOR"/>
    <x v="1"/>
    <s v="EN.GHG.CO2.PC.CE.AR5"/>
    <x v="32"/>
    <n v="8"/>
    <x v="4"/>
  </r>
  <r>
    <x v="42"/>
    <s v="NOR"/>
    <x v="1"/>
    <s v="EN.GHG.CO2.PC.CE.AR5"/>
    <x v="33"/>
    <n v="8"/>
    <x v="4"/>
  </r>
  <r>
    <x v="42"/>
    <s v="NOR"/>
    <x v="1"/>
    <s v="EN.GHG.CO2.PC.CE.AR5"/>
    <x v="54"/>
    <n v="7"/>
    <x v="4"/>
  </r>
  <r>
    <x v="43"/>
    <s v="POL"/>
    <x v="1"/>
    <s v="EN.GHG.CO2.PC.CE.AR5"/>
    <x v="34"/>
    <n v="9"/>
    <x v="4"/>
  </r>
  <r>
    <x v="43"/>
    <s v="POL"/>
    <x v="1"/>
    <s v="EN.GHG.CO2.PC.CE.AR5"/>
    <x v="35"/>
    <n v="10"/>
    <x v="4"/>
  </r>
  <r>
    <x v="43"/>
    <s v="POL"/>
    <x v="1"/>
    <s v="EN.GHG.CO2.PC.CE.AR5"/>
    <x v="36"/>
    <n v="10"/>
    <x v="4"/>
  </r>
  <r>
    <x v="43"/>
    <s v="POL"/>
    <x v="1"/>
    <s v="EN.GHG.CO2.PC.CE.AR5"/>
    <x v="37"/>
    <n v="10"/>
    <x v="4"/>
  </r>
  <r>
    <x v="43"/>
    <s v="POL"/>
    <x v="1"/>
    <s v="EN.GHG.CO2.PC.CE.AR5"/>
    <x v="38"/>
    <n v="11"/>
    <x v="4"/>
  </r>
  <r>
    <x v="43"/>
    <s v="POL"/>
    <x v="1"/>
    <s v="EN.GHG.CO2.PC.CE.AR5"/>
    <x v="39"/>
    <n v="11"/>
    <x v="4"/>
  </r>
  <r>
    <x v="43"/>
    <s v="POL"/>
    <x v="1"/>
    <s v="EN.GHG.CO2.PC.CE.AR5"/>
    <x v="40"/>
    <n v="12"/>
    <x v="4"/>
  </r>
  <r>
    <x v="43"/>
    <s v="POL"/>
    <x v="1"/>
    <s v="EN.GHG.CO2.PC.CE.AR5"/>
    <x v="41"/>
    <n v="12"/>
    <x v="5"/>
  </r>
  <r>
    <x v="43"/>
    <s v="POL"/>
    <x v="1"/>
    <s v="EN.GHG.CO2.PC.CE.AR5"/>
    <x v="42"/>
    <n v="13"/>
    <x v="5"/>
  </r>
  <r>
    <x v="43"/>
    <s v="POL"/>
    <x v="1"/>
    <s v="EN.GHG.CO2.PC.CE.AR5"/>
    <x v="43"/>
    <n v="13"/>
    <x v="5"/>
  </r>
  <r>
    <x v="43"/>
    <s v="POL"/>
    <x v="1"/>
    <s v="EN.GHG.CO2.PC.CE.AR5"/>
    <x v="44"/>
    <n v="13"/>
    <x v="5"/>
  </r>
  <r>
    <x v="43"/>
    <s v="POL"/>
    <x v="1"/>
    <s v="EN.GHG.CO2.PC.CE.AR5"/>
    <x v="45"/>
    <n v="12"/>
    <x v="5"/>
  </r>
  <r>
    <x v="43"/>
    <s v="POL"/>
    <x v="1"/>
    <s v="EN.GHG.CO2.PC.CE.AR5"/>
    <x v="46"/>
    <n v="12"/>
    <x v="5"/>
  </r>
  <r>
    <x v="43"/>
    <s v="POL"/>
    <x v="1"/>
    <s v="EN.GHG.CO2.PC.CE.AR5"/>
    <x v="47"/>
    <n v="12"/>
    <x v="5"/>
  </r>
  <r>
    <x v="43"/>
    <s v="POL"/>
    <x v="1"/>
    <s v="EN.GHG.CO2.PC.CE.AR5"/>
    <x v="48"/>
    <n v="12"/>
    <x v="5"/>
  </r>
  <r>
    <x v="43"/>
    <s v="POL"/>
    <x v="1"/>
    <s v="EN.GHG.CO2.PC.CE.AR5"/>
    <x v="49"/>
    <n v="12"/>
    <x v="5"/>
  </r>
  <r>
    <x v="43"/>
    <s v="POL"/>
    <x v="1"/>
    <s v="EN.GHG.CO2.PC.CE.AR5"/>
    <x v="50"/>
    <n v="12"/>
    <x v="5"/>
  </r>
  <r>
    <x v="43"/>
    <s v="POL"/>
    <x v="1"/>
    <s v="EN.GHG.CO2.PC.CE.AR5"/>
    <x v="51"/>
    <n v="13"/>
    <x v="0"/>
  </r>
  <r>
    <x v="43"/>
    <s v="POL"/>
    <x v="1"/>
    <s v="EN.GHG.CO2.PC.CE.AR5"/>
    <x v="52"/>
    <n v="12"/>
    <x v="0"/>
  </r>
  <r>
    <x v="43"/>
    <s v="POL"/>
    <x v="1"/>
    <s v="EN.GHG.CO2.PC.CE.AR5"/>
    <x v="53"/>
    <n v="12"/>
    <x v="0"/>
  </r>
  <r>
    <x v="43"/>
    <s v="POL"/>
    <x v="1"/>
    <s v="EN.GHG.CO2.PC.CE.AR5"/>
    <x v="0"/>
    <n v="10"/>
    <x v="0"/>
  </r>
  <r>
    <x v="43"/>
    <s v="POL"/>
    <x v="1"/>
    <s v="EN.GHG.CO2.PC.CE.AR5"/>
    <x v="1"/>
    <n v="10"/>
    <x v="0"/>
  </r>
  <r>
    <x v="43"/>
    <s v="POL"/>
    <x v="1"/>
    <s v="EN.GHG.CO2.PC.CE.AR5"/>
    <x v="2"/>
    <n v="9"/>
    <x v="0"/>
  </r>
  <r>
    <x v="43"/>
    <s v="POL"/>
    <x v="1"/>
    <s v="EN.GHG.CO2.PC.CE.AR5"/>
    <x v="3"/>
    <n v="9"/>
    <x v="0"/>
  </r>
  <r>
    <x v="43"/>
    <s v="POL"/>
    <x v="1"/>
    <s v="EN.GHG.CO2.PC.CE.AR5"/>
    <x v="4"/>
    <n v="9"/>
    <x v="0"/>
  </r>
  <r>
    <x v="43"/>
    <s v="POL"/>
    <x v="1"/>
    <s v="EN.GHG.CO2.PC.CE.AR5"/>
    <x v="5"/>
    <n v="9"/>
    <x v="0"/>
  </r>
  <r>
    <x v="43"/>
    <s v="POL"/>
    <x v="1"/>
    <s v="EN.GHG.CO2.PC.CE.AR5"/>
    <x v="6"/>
    <n v="10"/>
    <x v="0"/>
  </r>
  <r>
    <x v="43"/>
    <s v="POL"/>
    <x v="1"/>
    <s v="EN.GHG.CO2.PC.CE.AR5"/>
    <x v="7"/>
    <n v="9"/>
    <x v="1"/>
  </r>
  <r>
    <x v="43"/>
    <s v="POL"/>
    <x v="1"/>
    <s v="EN.GHG.CO2.PC.CE.AR5"/>
    <x v="8"/>
    <n v="9"/>
    <x v="1"/>
  </r>
  <r>
    <x v="43"/>
    <s v="POL"/>
    <x v="1"/>
    <s v="EN.GHG.CO2.PC.CE.AR5"/>
    <x v="9"/>
    <n v="8"/>
    <x v="1"/>
  </r>
  <r>
    <x v="43"/>
    <s v="POL"/>
    <x v="1"/>
    <s v="EN.GHG.CO2.PC.CE.AR5"/>
    <x v="10"/>
    <n v="8"/>
    <x v="1"/>
  </r>
  <r>
    <x v="43"/>
    <s v="POL"/>
    <x v="1"/>
    <s v="EN.GHG.CO2.PC.CE.AR5"/>
    <x v="11"/>
    <n v="8"/>
    <x v="1"/>
  </r>
  <r>
    <x v="43"/>
    <s v="POL"/>
    <x v="1"/>
    <s v="EN.GHG.CO2.PC.CE.AR5"/>
    <x v="12"/>
    <n v="8"/>
    <x v="1"/>
  </r>
  <r>
    <x v="43"/>
    <s v="POL"/>
    <x v="1"/>
    <s v="EN.GHG.CO2.PC.CE.AR5"/>
    <x v="13"/>
    <n v="8"/>
    <x v="1"/>
  </r>
  <r>
    <x v="43"/>
    <s v="POL"/>
    <x v="1"/>
    <s v="EN.GHG.CO2.PC.CE.AR5"/>
    <x v="14"/>
    <n v="8"/>
    <x v="1"/>
  </r>
  <r>
    <x v="43"/>
    <s v="POL"/>
    <x v="1"/>
    <s v="EN.GHG.CO2.PC.CE.AR5"/>
    <x v="15"/>
    <n v="8"/>
    <x v="1"/>
  </r>
  <r>
    <x v="43"/>
    <s v="POL"/>
    <x v="1"/>
    <s v="EN.GHG.CO2.PC.CE.AR5"/>
    <x v="16"/>
    <n v="9"/>
    <x v="1"/>
  </r>
  <r>
    <x v="43"/>
    <s v="POL"/>
    <x v="1"/>
    <s v="EN.GHG.CO2.PC.CE.AR5"/>
    <x v="17"/>
    <n v="9"/>
    <x v="2"/>
  </r>
  <r>
    <x v="43"/>
    <s v="POL"/>
    <x v="1"/>
    <s v="EN.GHG.CO2.PC.CE.AR5"/>
    <x v="18"/>
    <n v="9"/>
    <x v="2"/>
  </r>
  <r>
    <x v="43"/>
    <s v="POL"/>
    <x v="1"/>
    <s v="EN.GHG.CO2.PC.CE.AR5"/>
    <x v="19"/>
    <n v="8"/>
    <x v="2"/>
  </r>
  <r>
    <x v="43"/>
    <s v="POL"/>
    <x v="1"/>
    <s v="EN.GHG.CO2.PC.CE.AR5"/>
    <x v="20"/>
    <n v="9"/>
    <x v="2"/>
  </r>
  <r>
    <x v="43"/>
    <s v="POL"/>
    <x v="1"/>
    <s v="EN.GHG.CO2.PC.CE.AR5"/>
    <x v="21"/>
    <n v="9"/>
    <x v="2"/>
  </r>
  <r>
    <x v="43"/>
    <s v="POL"/>
    <x v="1"/>
    <s v="EN.GHG.CO2.PC.CE.AR5"/>
    <x v="22"/>
    <n v="8"/>
    <x v="2"/>
  </r>
  <r>
    <x v="43"/>
    <s v="POL"/>
    <x v="1"/>
    <s v="EN.GHG.CO2.PC.CE.AR5"/>
    <x v="23"/>
    <n v="8"/>
    <x v="2"/>
  </r>
  <r>
    <x v="43"/>
    <s v="POL"/>
    <x v="1"/>
    <s v="EN.GHG.CO2.PC.CE.AR5"/>
    <x v="24"/>
    <n v="8"/>
    <x v="2"/>
  </r>
  <r>
    <x v="43"/>
    <s v="POL"/>
    <x v="1"/>
    <s v="EN.GHG.CO2.PC.CE.AR5"/>
    <x v="25"/>
    <n v="8"/>
    <x v="2"/>
  </r>
  <r>
    <x v="43"/>
    <s v="POL"/>
    <x v="1"/>
    <s v="EN.GHG.CO2.PC.CE.AR5"/>
    <x v="26"/>
    <n v="8"/>
    <x v="2"/>
  </r>
  <r>
    <x v="43"/>
    <s v="POL"/>
    <x v="1"/>
    <s v="EN.GHG.CO2.PC.CE.AR5"/>
    <x v="27"/>
    <n v="9"/>
    <x v="3"/>
  </r>
  <r>
    <x v="43"/>
    <s v="POL"/>
    <x v="1"/>
    <s v="EN.GHG.CO2.PC.CE.AR5"/>
    <x v="28"/>
    <n v="9"/>
    <x v="3"/>
  </r>
  <r>
    <x v="43"/>
    <s v="POL"/>
    <x v="1"/>
    <s v="EN.GHG.CO2.PC.CE.AR5"/>
    <x v="29"/>
    <n v="8"/>
    <x v="3"/>
  </r>
  <r>
    <x v="43"/>
    <s v="POL"/>
    <x v="1"/>
    <s v="EN.GHG.CO2.PC.CE.AR5"/>
    <x v="30"/>
    <n v="8"/>
    <x v="3"/>
  </r>
  <r>
    <x v="43"/>
    <s v="POL"/>
    <x v="1"/>
    <s v="EN.GHG.CO2.PC.CE.AR5"/>
    <x v="31"/>
    <n v="9"/>
    <x v="3"/>
  </r>
  <r>
    <x v="43"/>
    <s v="POL"/>
    <x v="1"/>
    <s v="EN.GHG.CO2.PC.CE.AR5"/>
    <x v="32"/>
    <n v="8"/>
    <x v="4"/>
  </r>
  <r>
    <x v="43"/>
    <s v="POL"/>
    <x v="1"/>
    <s v="EN.GHG.CO2.PC.CE.AR5"/>
    <x v="33"/>
    <n v="8"/>
    <x v="4"/>
  </r>
  <r>
    <x v="43"/>
    <s v="POL"/>
    <x v="1"/>
    <s v="EN.GHG.CO2.PC.CE.AR5"/>
    <x v="54"/>
    <n v="8"/>
    <x v="4"/>
  </r>
  <r>
    <x v="44"/>
    <s v="PRT"/>
    <x v="1"/>
    <s v="EN.GHG.CO2.PC.CE.AR5"/>
    <x v="34"/>
    <n v="2"/>
    <x v="4"/>
  </r>
  <r>
    <x v="44"/>
    <s v="PRT"/>
    <x v="1"/>
    <s v="EN.GHG.CO2.PC.CE.AR5"/>
    <x v="35"/>
    <n v="2"/>
    <x v="4"/>
  </r>
  <r>
    <x v="44"/>
    <s v="PRT"/>
    <x v="1"/>
    <s v="EN.GHG.CO2.PC.CE.AR5"/>
    <x v="36"/>
    <n v="2"/>
    <x v="4"/>
  </r>
  <r>
    <x v="44"/>
    <s v="PRT"/>
    <x v="1"/>
    <s v="EN.GHG.CO2.PC.CE.AR5"/>
    <x v="37"/>
    <n v="2"/>
    <x v="4"/>
  </r>
  <r>
    <x v="44"/>
    <s v="PRT"/>
    <x v="1"/>
    <s v="EN.GHG.CO2.PC.CE.AR5"/>
    <x v="38"/>
    <n v="2"/>
    <x v="4"/>
  </r>
  <r>
    <x v="44"/>
    <s v="PRT"/>
    <x v="1"/>
    <s v="EN.GHG.CO2.PC.CE.AR5"/>
    <x v="39"/>
    <n v="3"/>
    <x v="4"/>
  </r>
  <r>
    <x v="44"/>
    <s v="PRT"/>
    <x v="1"/>
    <s v="EN.GHG.CO2.PC.CE.AR5"/>
    <x v="40"/>
    <n v="3"/>
    <x v="4"/>
  </r>
  <r>
    <x v="44"/>
    <s v="PRT"/>
    <x v="1"/>
    <s v="EN.GHG.CO2.PC.CE.AR5"/>
    <x v="41"/>
    <n v="3"/>
    <x v="5"/>
  </r>
  <r>
    <x v="44"/>
    <s v="PRT"/>
    <x v="1"/>
    <s v="EN.GHG.CO2.PC.CE.AR5"/>
    <x v="42"/>
    <n v="3"/>
    <x v="5"/>
  </r>
  <r>
    <x v="44"/>
    <s v="PRT"/>
    <x v="1"/>
    <s v="EN.GHG.CO2.PC.CE.AR5"/>
    <x v="43"/>
    <n v="3"/>
    <x v="5"/>
  </r>
  <r>
    <x v="44"/>
    <s v="PRT"/>
    <x v="1"/>
    <s v="EN.GHG.CO2.PC.CE.AR5"/>
    <x v="44"/>
    <n v="3"/>
    <x v="5"/>
  </r>
  <r>
    <x v="44"/>
    <s v="PRT"/>
    <x v="1"/>
    <s v="EN.GHG.CO2.PC.CE.AR5"/>
    <x v="45"/>
    <n v="3"/>
    <x v="5"/>
  </r>
  <r>
    <x v="44"/>
    <s v="PRT"/>
    <x v="1"/>
    <s v="EN.GHG.CO2.PC.CE.AR5"/>
    <x v="46"/>
    <n v="3"/>
    <x v="5"/>
  </r>
  <r>
    <x v="44"/>
    <s v="PRT"/>
    <x v="1"/>
    <s v="EN.GHG.CO2.PC.CE.AR5"/>
    <x v="47"/>
    <n v="3"/>
    <x v="5"/>
  </r>
  <r>
    <x v="44"/>
    <s v="PRT"/>
    <x v="1"/>
    <s v="EN.GHG.CO2.PC.CE.AR5"/>
    <x v="48"/>
    <n v="3"/>
    <x v="5"/>
  </r>
  <r>
    <x v="44"/>
    <s v="PRT"/>
    <x v="1"/>
    <s v="EN.GHG.CO2.PC.CE.AR5"/>
    <x v="49"/>
    <n v="3"/>
    <x v="5"/>
  </r>
  <r>
    <x v="44"/>
    <s v="PRT"/>
    <x v="1"/>
    <s v="EN.GHG.CO2.PC.CE.AR5"/>
    <x v="50"/>
    <n v="3"/>
    <x v="5"/>
  </r>
  <r>
    <x v="44"/>
    <s v="PRT"/>
    <x v="1"/>
    <s v="EN.GHG.CO2.PC.CE.AR5"/>
    <x v="51"/>
    <n v="3"/>
    <x v="0"/>
  </r>
  <r>
    <x v="44"/>
    <s v="PRT"/>
    <x v="1"/>
    <s v="EN.GHG.CO2.PC.CE.AR5"/>
    <x v="52"/>
    <n v="3"/>
    <x v="0"/>
  </r>
  <r>
    <x v="44"/>
    <s v="PRT"/>
    <x v="1"/>
    <s v="EN.GHG.CO2.PC.CE.AR5"/>
    <x v="53"/>
    <n v="4"/>
    <x v="0"/>
  </r>
  <r>
    <x v="44"/>
    <s v="PRT"/>
    <x v="1"/>
    <s v="EN.GHG.CO2.PC.CE.AR5"/>
    <x v="0"/>
    <n v="4"/>
    <x v="0"/>
  </r>
  <r>
    <x v="44"/>
    <s v="PRT"/>
    <x v="1"/>
    <s v="EN.GHG.CO2.PC.CE.AR5"/>
    <x v="1"/>
    <n v="5"/>
    <x v="0"/>
  </r>
  <r>
    <x v="44"/>
    <s v="PRT"/>
    <x v="1"/>
    <s v="EN.GHG.CO2.PC.CE.AR5"/>
    <x v="2"/>
    <n v="5"/>
    <x v="0"/>
  </r>
  <r>
    <x v="44"/>
    <s v="PRT"/>
    <x v="1"/>
    <s v="EN.GHG.CO2.PC.CE.AR5"/>
    <x v="3"/>
    <n v="5"/>
    <x v="0"/>
  </r>
  <r>
    <x v="44"/>
    <s v="PRT"/>
    <x v="1"/>
    <s v="EN.GHG.CO2.PC.CE.AR5"/>
    <x v="4"/>
    <n v="5"/>
    <x v="0"/>
  </r>
  <r>
    <x v="44"/>
    <s v="PRT"/>
    <x v="1"/>
    <s v="EN.GHG.CO2.PC.CE.AR5"/>
    <x v="5"/>
    <n v="5"/>
    <x v="0"/>
  </r>
  <r>
    <x v="44"/>
    <s v="PRT"/>
    <x v="1"/>
    <s v="EN.GHG.CO2.PC.CE.AR5"/>
    <x v="6"/>
    <n v="5"/>
    <x v="0"/>
  </r>
  <r>
    <x v="44"/>
    <s v="PRT"/>
    <x v="1"/>
    <s v="EN.GHG.CO2.PC.CE.AR5"/>
    <x v="7"/>
    <n v="5"/>
    <x v="1"/>
  </r>
  <r>
    <x v="44"/>
    <s v="PRT"/>
    <x v="1"/>
    <s v="EN.GHG.CO2.PC.CE.AR5"/>
    <x v="8"/>
    <n v="6"/>
    <x v="1"/>
  </r>
  <r>
    <x v="44"/>
    <s v="PRT"/>
    <x v="1"/>
    <s v="EN.GHG.CO2.PC.CE.AR5"/>
    <x v="9"/>
    <n v="6"/>
    <x v="1"/>
  </r>
  <r>
    <x v="44"/>
    <s v="PRT"/>
    <x v="1"/>
    <s v="EN.GHG.CO2.PC.CE.AR5"/>
    <x v="10"/>
    <n v="6"/>
    <x v="1"/>
  </r>
  <r>
    <x v="44"/>
    <s v="PRT"/>
    <x v="1"/>
    <s v="EN.GHG.CO2.PC.CE.AR5"/>
    <x v="11"/>
    <n v="6"/>
    <x v="1"/>
  </r>
  <r>
    <x v="44"/>
    <s v="PRT"/>
    <x v="1"/>
    <s v="EN.GHG.CO2.PC.CE.AR5"/>
    <x v="12"/>
    <n v="7"/>
    <x v="1"/>
  </r>
  <r>
    <x v="44"/>
    <s v="PRT"/>
    <x v="1"/>
    <s v="EN.GHG.CO2.PC.CE.AR5"/>
    <x v="13"/>
    <n v="6"/>
    <x v="1"/>
  </r>
  <r>
    <x v="44"/>
    <s v="PRT"/>
    <x v="1"/>
    <s v="EN.GHG.CO2.PC.CE.AR5"/>
    <x v="14"/>
    <n v="6"/>
    <x v="1"/>
  </r>
  <r>
    <x v="44"/>
    <s v="PRT"/>
    <x v="1"/>
    <s v="EN.GHG.CO2.PC.CE.AR5"/>
    <x v="15"/>
    <n v="6"/>
    <x v="1"/>
  </r>
  <r>
    <x v="44"/>
    <s v="PRT"/>
    <x v="1"/>
    <s v="EN.GHG.CO2.PC.CE.AR5"/>
    <x v="16"/>
    <n v="6"/>
    <x v="1"/>
  </r>
  <r>
    <x v="44"/>
    <s v="PRT"/>
    <x v="1"/>
    <s v="EN.GHG.CO2.PC.CE.AR5"/>
    <x v="17"/>
    <n v="6"/>
    <x v="2"/>
  </r>
  <r>
    <x v="44"/>
    <s v="PRT"/>
    <x v="1"/>
    <s v="EN.GHG.CO2.PC.CE.AR5"/>
    <x v="18"/>
    <n v="6"/>
    <x v="2"/>
  </r>
  <r>
    <x v="44"/>
    <s v="PRT"/>
    <x v="1"/>
    <s v="EN.GHG.CO2.PC.CE.AR5"/>
    <x v="19"/>
    <n v="6"/>
    <x v="2"/>
  </r>
  <r>
    <x v="44"/>
    <s v="PRT"/>
    <x v="1"/>
    <s v="EN.GHG.CO2.PC.CE.AR5"/>
    <x v="20"/>
    <n v="5"/>
    <x v="2"/>
  </r>
  <r>
    <x v="44"/>
    <s v="PRT"/>
    <x v="1"/>
    <s v="EN.GHG.CO2.PC.CE.AR5"/>
    <x v="21"/>
    <n v="5"/>
    <x v="2"/>
  </r>
  <r>
    <x v="44"/>
    <s v="PRT"/>
    <x v="1"/>
    <s v="EN.GHG.CO2.PC.CE.AR5"/>
    <x v="22"/>
    <n v="5"/>
    <x v="2"/>
  </r>
  <r>
    <x v="44"/>
    <s v="PRT"/>
    <x v="1"/>
    <s v="EN.GHG.CO2.PC.CE.AR5"/>
    <x v="23"/>
    <n v="5"/>
    <x v="2"/>
  </r>
  <r>
    <x v="44"/>
    <s v="PRT"/>
    <x v="1"/>
    <s v="EN.GHG.CO2.PC.CE.AR5"/>
    <x v="24"/>
    <n v="5"/>
    <x v="2"/>
  </r>
  <r>
    <x v="44"/>
    <s v="PRT"/>
    <x v="1"/>
    <s v="EN.GHG.CO2.PC.CE.AR5"/>
    <x v="25"/>
    <n v="5"/>
    <x v="2"/>
  </r>
  <r>
    <x v="44"/>
    <s v="PRT"/>
    <x v="1"/>
    <s v="EN.GHG.CO2.PC.CE.AR5"/>
    <x v="26"/>
    <n v="5"/>
    <x v="2"/>
  </r>
  <r>
    <x v="44"/>
    <s v="PRT"/>
    <x v="1"/>
    <s v="EN.GHG.CO2.PC.CE.AR5"/>
    <x v="27"/>
    <n v="5"/>
    <x v="3"/>
  </r>
  <r>
    <x v="44"/>
    <s v="PRT"/>
    <x v="1"/>
    <s v="EN.GHG.CO2.PC.CE.AR5"/>
    <x v="28"/>
    <n v="5"/>
    <x v="3"/>
  </r>
  <r>
    <x v="44"/>
    <s v="PRT"/>
    <x v="1"/>
    <s v="EN.GHG.CO2.PC.CE.AR5"/>
    <x v="29"/>
    <n v="5"/>
    <x v="3"/>
  </r>
  <r>
    <x v="44"/>
    <s v="PRT"/>
    <x v="1"/>
    <s v="EN.GHG.CO2.PC.CE.AR5"/>
    <x v="30"/>
    <n v="4"/>
    <x v="3"/>
  </r>
  <r>
    <x v="44"/>
    <s v="PRT"/>
    <x v="1"/>
    <s v="EN.GHG.CO2.PC.CE.AR5"/>
    <x v="31"/>
    <n v="4"/>
    <x v="3"/>
  </r>
  <r>
    <x v="44"/>
    <s v="PRT"/>
    <x v="1"/>
    <s v="EN.GHG.CO2.PC.CE.AR5"/>
    <x v="32"/>
    <n v="4"/>
    <x v="4"/>
  </r>
  <r>
    <x v="44"/>
    <s v="PRT"/>
    <x v="1"/>
    <s v="EN.GHG.CO2.PC.CE.AR5"/>
    <x v="33"/>
    <n v="4"/>
    <x v="4"/>
  </r>
  <r>
    <x v="44"/>
    <s v="PRT"/>
    <x v="1"/>
    <s v="EN.GHG.CO2.PC.CE.AR5"/>
    <x v="54"/>
    <n v="3"/>
    <x v="4"/>
  </r>
  <r>
    <x v="45"/>
    <s v="ROU"/>
    <x v="1"/>
    <s v="EN.GHG.CO2.PC.CE.AR5"/>
    <x v="34"/>
    <n v="6"/>
    <x v="4"/>
  </r>
  <r>
    <x v="45"/>
    <s v="ROU"/>
    <x v="1"/>
    <s v="EN.GHG.CO2.PC.CE.AR5"/>
    <x v="35"/>
    <n v="6"/>
    <x v="4"/>
  </r>
  <r>
    <x v="45"/>
    <s v="ROU"/>
    <x v="1"/>
    <s v="EN.GHG.CO2.PC.CE.AR5"/>
    <x v="36"/>
    <n v="6"/>
    <x v="4"/>
  </r>
  <r>
    <x v="45"/>
    <s v="ROU"/>
    <x v="1"/>
    <s v="EN.GHG.CO2.PC.CE.AR5"/>
    <x v="37"/>
    <n v="7"/>
    <x v="4"/>
  </r>
  <r>
    <x v="45"/>
    <s v="ROU"/>
    <x v="1"/>
    <s v="EN.GHG.CO2.PC.CE.AR5"/>
    <x v="38"/>
    <n v="7"/>
    <x v="4"/>
  </r>
  <r>
    <x v="45"/>
    <s v="ROU"/>
    <x v="1"/>
    <s v="EN.GHG.CO2.PC.CE.AR5"/>
    <x v="39"/>
    <n v="7"/>
    <x v="4"/>
  </r>
  <r>
    <x v="45"/>
    <s v="ROU"/>
    <x v="1"/>
    <s v="EN.GHG.CO2.PC.CE.AR5"/>
    <x v="40"/>
    <n v="8"/>
    <x v="4"/>
  </r>
  <r>
    <x v="45"/>
    <s v="ROU"/>
    <x v="1"/>
    <s v="EN.GHG.CO2.PC.CE.AR5"/>
    <x v="41"/>
    <n v="8"/>
    <x v="5"/>
  </r>
  <r>
    <x v="45"/>
    <s v="ROU"/>
    <x v="1"/>
    <s v="EN.GHG.CO2.PC.CE.AR5"/>
    <x v="42"/>
    <n v="9"/>
    <x v="5"/>
  </r>
  <r>
    <x v="45"/>
    <s v="ROU"/>
    <x v="1"/>
    <s v="EN.GHG.CO2.PC.CE.AR5"/>
    <x v="43"/>
    <n v="9"/>
    <x v="5"/>
  </r>
  <r>
    <x v="45"/>
    <s v="ROU"/>
    <x v="1"/>
    <s v="EN.GHG.CO2.PC.CE.AR5"/>
    <x v="44"/>
    <n v="9"/>
    <x v="5"/>
  </r>
  <r>
    <x v="45"/>
    <s v="ROU"/>
    <x v="1"/>
    <s v="EN.GHG.CO2.PC.CE.AR5"/>
    <x v="45"/>
    <n v="9"/>
    <x v="5"/>
  </r>
  <r>
    <x v="45"/>
    <s v="ROU"/>
    <x v="1"/>
    <s v="EN.GHG.CO2.PC.CE.AR5"/>
    <x v="46"/>
    <n v="9"/>
    <x v="5"/>
  </r>
  <r>
    <x v="45"/>
    <s v="ROU"/>
    <x v="1"/>
    <s v="EN.GHG.CO2.PC.CE.AR5"/>
    <x v="47"/>
    <n v="9"/>
    <x v="5"/>
  </r>
  <r>
    <x v="45"/>
    <s v="ROU"/>
    <x v="1"/>
    <s v="EN.GHG.CO2.PC.CE.AR5"/>
    <x v="48"/>
    <n v="9"/>
    <x v="5"/>
  </r>
  <r>
    <x v="45"/>
    <s v="ROU"/>
    <x v="1"/>
    <s v="EN.GHG.CO2.PC.CE.AR5"/>
    <x v="49"/>
    <n v="9"/>
    <x v="5"/>
  </r>
  <r>
    <x v="45"/>
    <s v="ROU"/>
    <x v="1"/>
    <s v="EN.GHG.CO2.PC.CE.AR5"/>
    <x v="50"/>
    <n v="9"/>
    <x v="5"/>
  </r>
  <r>
    <x v="45"/>
    <s v="ROU"/>
    <x v="1"/>
    <s v="EN.GHG.CO2.PC.CE.AR5"/>
    <x v="51"/>
    <n v="9"/>
    <x v="0"/>
  </r>
  <r>
    <x v="45"/>
    <s v="ROU"/>
    <x v="1"/>
    <s v="EN.GHG.CO2.PC.CE.AR5"/>
    <x v="52"/>
    <n v="9"/>
    <x v="0"/>
  </r>
  <r>
    <x v="45"/>
    <s v="ROU"/>
    <x v="1"/>
    <s v="EN.GHG.CO2.PC.CE.AR5"/>
    <x v="53"/>
    <n v="9"/>
    <x v="0"/>
  </r>
  <r>
    <x v="45"/>
    <s v="ROU"/>
    <x v="1"/>
    <s v="EN.GHG.CO2.PC.CE.AR5"/>
    <x v="0"/>
    <n v="8"/>
    <x v="0"/>
  </r>
  <r>
    <x v="45"/>
    <s v="ROU"/>
    <x v="1"/>
    <s v="EN.GHG.CO2.PC.CE.AR5"/>
    <x v="1"/>
    <n v="7"/>
    <x v="0"/>
  </r>
  <r>
    <x v="45"/>
    <s v="ROU"/>
    <x v="1"/>
    <s v="EN.GHG.CO2.PC.CE.AR5"/>
    <x v="2"/>
    <n v="6"/>
    <x v="0"/>
  </r>
  <r>
    <x v="45"/>
    <s v="ROU"/>
    <x v="1"/>
    <s v="EN.GHG.CO2.PC.CE.AR5"/>
    <x v="3"/>
    <n v="6"/>
    <x v="0"/>
  </r>
  <r>
    <x v="45"/>
    <s v="ROU"/>
    <x v="1"/>
    <s v="EN.GHG.CO2.PC.CE.AR5"/>
    <x v="4"/>
    <n v="6"/>
    <x v="0"/>
  </r>
  <r>
    <x v="45"/>
    <s v="ROU"/>
    <x v="1"/>
    <s v="EN.GHG.CO2.PC.CE.AR5"/>
    <x v="5"/>
    <n v="6"/>
    <x v="0"/>
  </r>
  <r>
    <x v="45"/>
    <s v="ROU"/>
    <x v="1"/>
    <s v="EN.GHG.CO2.PC.CE.AR5"/>
    <x v="6"/>
    <n v="6"/>
    <x v="0"/>
  </r>
  <r>
    <x v="45"/>
    <s v="ROU"/>
    <x v="1"/>
    <s v="EN.GHG.CO2.PC.CE.AR5"/>
    <x v="7"/>
    <n v="6"/>
    <x v="1"/>
  </r>
  <r>
    <x v="45"/>
    <s v="ROU"/>
    <x v="1"/>
    <s v="EN.GHG.CO2.PC.CE.AR5"/>
    <x v="8"/>
    <n v="5"/>
    <x v="1"/>
  </r>
  <r>
    <x v="45"/>
    <s v="ROU"/>
    <x v="1"/>
    <s v="EN.GHG.CO2.PC.CE.AR5"/>
    <x v="9"/>
    <n v="4"/>
    <x v="1"/>
  </r>
  <r>
    <x v="45"/>
    <s v="ROU"/>
    <x v="1"/>
    <s v="EN.GHG.CO2.PC.CE.AR5"/>
    <x v="10"/>
    <n v="4"/>
    <x v="1"/>
  </r>
  <r>
    <x v="45"/>
    <s v="ROU"/>
    <x v="1"/>
    <s v="EN.GHG.CO2.PC.CE.AR5"/>
    <x v="11"/>
    <n v="5"/>
    <x v="1"/>
  </r>
  <r>
    <x v="45"/>
    <s v="ROU"/>
    <x v="1"/>
    <s v="EN.GHG.CO2.PC.CE.AR5"/>
    <x v="12"/>
    <n v="5"/>
    <x v="1"/>
  </r>
  <r>
    <x v="45"/>
    <s v="ROU"/>
    <x v="1"/>
    <s v="EN.GHG.CO2.PC.CE.AR5"/>
    <x v="13"/>
    <n v="5"/>
    <x v="1"/>
  </r>
  <r>
    <x v="45"/>
    <s v="ROU"/>
    <x v="1"/>
    <s v="EN.GHG.CO2.PC.CE.AR5"/>
    <x v="14"/>
    <n v="5"/>
    <x v="1"/>
  </r>
  <r>
    <x v="45"/>
    <s v="ROU"/>
    <x v="1"/>
    <s v="EN.GHG.CO2.PC.CE.AR5"/>
    <x v="15"/>
    <n v="5"/>
    <x v="1"/>
  </r>
  <r>
    <x v="45"/>
    <s v="ROU"/>
    <x v="1"/>
    <s v="EN.GHG.CO2.PC.CE.AR5"/>
    <x v="16"/>
    <n v="5"/>
    <x v="1"/>
  </r>
  <r>
    <x v="45"/>
    <s v="ROU"/>
    <x v="1"/>
    <s v="EN.GHG.CO2.PC.CE.AR5"/>
    <x v="17"/>
    <n v="5"/>
    <x v="2"/>
  </r>
  <r>
    <x v="45"/>
    <s v="ROU"/>
    <x v="1"/>
    <s v="EN.GHG.CO2.PC.CE.AR5"/>
    <x v="18"/>
    <n v="5"/>
    <x v="2"/>
  </r>
  <r>
    <x v="45"/>
    <s v="ROU"/>
    <x v="1"/>
    <s v="EN.GHG.CO2.PC.CE.AR5"/>
    <x v="19"/>
    <n v="4"/>
    <x v="2"/>
  </r>
  <r>
    <x v="45"/>
    <s v="ROU"/>
    <x v="1"/>
    <s v="EN.GHG.CO2.PC.CE.AR5"/>
    <x v="20"/>
    <n v="4"/>
    <x v="2"/>
  </r>
  <r>
    <x v="45"/>
    <s v="ROU"/>
    <x v="1"/>
    <s v="EN.GHG.CO2.PC.CE.AR5"/>
    <x v="21"/>
    <n v="4"/>
    <x v="2"/>
  </r>
  <r>
    <x v="45"/>
    <s v="ROU"/>
    <x v="1"/>
    <s v="EN.GHG.CO2.PC.CE.AR5"/>
    <x v="22"/>
    <n v="4"/>
    <x v="2"/>
  </r>
  <r>
    <x v="45"/>
    <s v="ROU"/>
    <x v="1"/>
    <s v="EN.GHG.CO2.PC.CE.AR5"/>
    <x v="23"/>
    <n v="4"/>
    <x v="2"/>
  </r>
  <r>
    <x v="45"/>
    <s v="ROU"/>
    <x v="1"/>
    <s v="EN.GHG.CO2.PC.CE.AR5"/>
    <x v="24"/>
    <n v="4"/>
    <x v="2"/>
  </r>
  <r>
    <x v="45"/>
    <s v="ROU"/>
    <x v="1"/>
    <s v="EN.GHG.CO2.PC.CE.AR5"/>
    <x v="25"/>
    <n v="4"/>
    <x v="2"/>
  </r>
  <r>
    <x v="45"/>
    <s v="ROU"/>
    <x v="1"/>
    <s v="EN.GHG.CO2.PC.CE.AR5"/>
    <x v="26"/>
    <n v="4"/>
    <x v="2"/>
  </r>
  <r>
    <x v="45"/>
    <s v="ROU"/>
    <x v="1"/>
    <s v="EN.GHG.CO2.PC.CE.AR5"/>
    <x v="27"/>
    <n v="4"/>
    <x v="3"/>
  </r>
  <r>
    <x v="45"/>
    <s v="ROU"/>
    <x v="1"/>
    <s v="EN.GHG.CO2.PC.CE.AR5"/>
    <x v="28"/>
    <n v="4"/>
    <x v="3"/>
  </r>
  <r>
    <x v="45"/>
    <s v="ROU"/>
    <x v="1"/>
    <s v="EN.GHG.CO2.PC.CE.AR5"/>
    <x v="29"/>
    <n v="4"/>
    <x v="3"/>
  </r>
  <r>
    <x v="45"/>
    <s v="ROU"/>
    <x v="1"/>
    <s v="EN.GHG.CO2.PC.CE.AR5"/>
    <x v="30"/>
    <n v="4"/>
    <x v="3"/>
  </r>
  <r>
    <x v="45"/>
    <s v="ROU"/>
    <x v="1"/>
    <s v="EN.GHG.CO2.PC.CE.AR5"/>
    <x v="31"/>
    <n v="4"/>
    <x v="3"/>
  </r>
  <r>
    <x v="45"/>
    <s v="ROU"/>
    <x v="1"/>
    <s v="EN.GHG.CO2.PC.CE.AR5"/>
    <x v="32"/>
    <n v="4"/>
    <x v="4"/>
  </r>
  <r>
    <x v="45"/>
    <s v="ROU"/>
    <x v="1"/>
    <s v="EN.GHG.CO2.PC.CE.AR5"/>
    <x v="33"/>
    <n v="4"/>
    <x v="4"/>
  </r>
  <r>
    <x v="45"/>
    <s v="ROU"/>
    <x v="1"/>
    <s v="EN.GHG.CO2.PC.CE.AR5"/>
    <x v="54"/>
    <n v="4"/>
    <x v="4"/>
  </r>
  <r>
    <x v="46"/>
    <s v="RUS"/>
    <x v="1"/>
    <s v="EN.GHG.CO2.PC.CE.AR5"/>
    <x v="34"/>
    <n v="10"/>
    <x v="4"/>
  </r>
  <r>
    <x v="46"/>
    <s v="RUS"/>
    <x v="1"/>
    <s v="EN.GHG.CO2.PC.CE.AR5"/>
    <x v="35"/>
    <n v="10"/>
    <x v="4"/>
  </r>
  <r>
    <x v="46"/>
    <s v="RUS"/>
    <x v="1"/>
    <s v="EN.GHG.CO2.PC.CE.AR5"/>
    <x v="36"/>
    <n v="10"/>
    <x v="4"/>
  </r>
  <r>
    <x v="46"/>
    <s v="RUS"/>
    <x v="1"/>
    <s v="EN.GHG.CO2.PC.CE.AR5"/>
    <x v="37"/>
    <n v="11"/>
    <x v="4"/>
  </r>
  <r>
    <x v="46"/>
    <s v="RUS"/>
    <x v="1"/>
    <s v="EN.GHG.CO2.PC.CE.AR5"/>
    <x v="38"/>
    <n v="11"/>
    <x v="4"/>
  </r>
  <r>
    <x v="46"/>
    <s v="RUS"/>
    <x v="1"/>
    <s v="EN.GHG.CO2.PC.CE.AR5"/>
    <x v="39"/>
    <n v="12"/>
    <x v="4"/>
  </r>
  <r>
    <x v="46"/>
    <s v="RUS"/>
    <x v="1"/>
    <s v="EN.GHG.CO2.PC.CE.AR5"/>
    <x v="40"/>
    <n v="12"/>
    <x v="4"/>
  </r>
  <r>
    <x v="46"/>
    <s v="RUS"/>
    <x v="1"/>
    <s v="EN.GHG.CO2.PC.CE.AR5"/>
    <x v="41"/>
    <n v="13"/>
    <x v="5"/>
  </r>
  <r>
    <x v="46"/>
    <s v="RUS"/>
    <x v="1"/>
    <s v="EN.GHG.CO2.PC.CE.AR5"/>
    <x v="42"/>
    <n v="13"/>
    <x v="5"/>
  </r>
  <r>
    <x v="46"/>
    <s v="RUS"/>
    <x v="1"/>
    <s v="EN.GHG.CO2.PC.CE.AR5"/>
    <x v="43"/>
    <n v="13"/>
    <x v="5"/>
  </r>
  <r>
    <x v="46"/>
    <s v="RUS"/>
    <x v="1"/>
    <s v="EN.GHG.CO2.PC.CE.AR5"/>
    <x v="44"/>
    <n v="14"/>
    <x v="5"/>
  </r>
  <r>
    <x v="46"/>
    <s v="RUS"/>
    <x v="1"/>
    <s v="EN.GHG.CO2.PC.CE.AR5"/>
    <x v="45"/>
    <n v="14"/>
    <x v="5"/>
  </r>
  <r>
    <x v="46"/>
    <s v="RUS"/>
    <x v="1"/>
    <s v="EN.GHG.CO2.PC.CE.AR5"/>
    <x v="46"/>
    <n v="14"/>
    <x v="5"/>
  </r>
  <r>
    <x v="46"/>
    <s v="RUS"/>
    <x v="1"/>
    <s v="EN.GHG.CO2.PC.CE.AR5"/>
    <x v="47"/>
    <n v="14"/>
    <x v="5"/>
  </r>
  <r>
    <x v="46"/>
    <s v="RUS"/>
    <x v="1"/>
    <s v="EN.GHG.CO2.PC.CE.AR5"/>
    <x v="48"/>
    <n v="14"/>
    <x v="5"/>
  </r>
  <r>
    <x v="46"/>
    <s v="RUS"/>
    <x v="1"/>
    <s v="EN.GHG.CO2.PC.CE.AR5"/>
    <x v="49"/>
    <n v="14"/>
    <x v="5"/>
  </r>
  <r>
    <x v="46"/>
    <s v="RUS"/>
    <x v="1"/>
    <s v="EN.GHG.CO2.PC.CE.AR5"/>
    <x v="50"/>
    <n v="15"/>
    <x v="5"/>
  </r>
  <r>
    <x v="46"/>
    <s v="RUS"/>
    <x v="1"/>
    <s v="EN.GHG.CO2.PC.CE.AR5"/>
    <x v="51"/>
    <n v="15"/>
    <x v="0"/>
  </r>
  <r>
    <x v="46"/>
    <s v="RUS"/>
    <x v="1"/>
    <s v="EN.GHG.CO2.PC.CE.AR5"/>
    <x v="52"/>
    <n v="15"/>
    <x v="0"/>
  </r>
  <r>
    <x v="46"/>
    <s v="RUS"/>
    <x v="1"/>
    <s v="EN.GHG.CO2.PC.CE.AR5"/>
    <x v="53"/>
    <n v="15"/>
    <x v="0"/>
  </r>
  <r>
    <x v="46"/>
    <s v="RUS"/>
    <x v="1"/>
    <s v="EN.GHG.CO2.PC.CE.AR5"/>
    <x v="0"/>
    <n v="16"/>
    <x v="0"/>
  </r>
  <r>
    <x v="46"/>
    <s v="RUS"/>
    <x v="1"/>
    <s v="EN.GHG.CO2.PC.CE.AR5"/>
    <x v="1"/>
    <n v="16"/>
    <x v="0"/>
  </r>
  <r>
    <x v="46"/>
    <s v="RUS"/>
    <x v="1"/>
    <s v="EN.GHG.CO2.PC.CE.AR5"/>
    <x v="2"/>
    <n v="15"/>
    <x v="0"/>
  </r>
  <r>
    <x v="46"/>
    <s v="RUS"/>
    <x v="1"/>
    <s v="EN.GHG.CO2.PC.CE.AR5"/>
    <x v="3"/>
    <n v="14"/>
    <x v="0"/>
  </r>
  <r>
    <x v="46"/>
    <s v="RUS"/>
    <x v="1"/>
    <s v="EN.GHG.CO2.PC.CE.AR5"/>
    <x v="4"/>
    <n v="12"/>
    <x v="0"/>
  </r>
  <r>
    <x v="46"/>
    <s v="RUS"/>
    <x v="1"/>
    <s v="EN.GHG.CO2.PC.CE.AR5"/>
    <x v="5"/>
    <n v="12"/>
    <x v="0"/>
  </r>
  <r>
    <x v="46"/>
    <s v="RUS"/>
    <x v="1"/>
    <s v="EN.GHG.CO2.PC.CE.AR5"/>
    <x v="6"/>
    <n v="12"/>
    <x v="0"/>
  </r>
  <r>
    <x v="46"/>
    <s v="RUS"/>
    <x v="1"/>
    <s v="EN.GHG.CO2.PC.CE.AR5"/>
    <x v="7"/>
    <n v="11"/>
    <x v="1"/>
  </r>
  <r>
    <x v="46"/>
    <s v="RUS"/>
    <x v="1"/>
    <s v="EN.GHG.CO2.PC.CE.AR5"/>
    <x v="8"/>
    <n v="11"/>
    <x v="1"/>
  </r>
  <r>
    <x v="46"/>
    <s v="RUS"/>
    <x v="1"/>
    <s v="EN.GHG.CO2.PC.CE.AR5"/>
    <x v="9"/>
    <n v="11"/>
    <x v="1"/>
  </r>
  <r>
    <x v="46"/>
    <s v="RUS"/>
    <x v="1"/>
    <s v="EN.GHG.CO2.PC.CE.AR5"/>
    <x v="10"/>
    <n v="11"/>
    <x v="1"/>
  </r>
  <r>
    <x v="46"/>
    <s v="RUS"/>
    <x v="1"/>
    <s v="EN.GHG.CO2.PC.CE.AR5"/>
    <x v="11"/>
    <n v="12"/>
    <x v="1"/>
  </r>
  <r>
    <x v="46"/>
    <s v="RUS"/>
    <x v="1"/>
    <s v="EN.GHG.CO2.PC.CE.AR5"/>
    <x v="12"/>
    <n v="12"/>
    <x v="1"/>
  </r>
  <r>
    <x v="46"/>
    <s v="RUS"/>
    <x v="1"/>
    <s v="EN.GHG.CO2.PC.CE.AR5"/>
    <x v="13"/>
    <n v="12"/>
    <x v="1"/>
  </r>
  <r>
    <x v="46"/>
    <s v="RUS"/>
    <x v="1"/>
    <s v="EN.GHG.CO2.PC.CE.AR5"/>
    <x v="14"/>
    <n v="12"/>
    <x v="1"/>
  </r>
  <r>
    <x v="46"/>
    <s v="RUS"/>
    <x v="1"/>
    <s v="EN.GHG.CO2.PC.CE.AR5"/>
    <x v="15"/>
    <n v="12"/>
    <x v="1"/>
  </r>
  <r>
    <x v="46"/>
    <s v="RUS"/>
    <x v="1"/>
    <s v="EN.GHG.CO2.PC.CE.AR5"/>
    <x v="16"/>
    <n v="12"/>
    <x v="1"/>
  </r>
  <r>
    <x v="46"/>
    <s v="RUS"/>
    <x v="1"/>
    <s v="EN.GHG.CO2.PC.CE.AR5"/>
    <x v="17"/>
    <n v="12"/>
    <x v="2"/>
  </r>
  <r>
    <x v="46"/>
    <s v="RUS"/>
    <x v="1"/>
    <s v="EN.GHG.CO2.PC.CE.AR5"/>
    <x v="18"/>
    <n v="12"/>
    <x v="2"/>
  </r>
  <r>
    <x v="46"/>
    <s v="RUS"/>
    <x v="1"/>
    <s v="EN.GHG.CO2.PC.CE.AR5"/>
    <x v="19"/>
    <n v="12"/>
    <x v="2"/>
  </r>
  <r>
    <x v="46"/>
    <s v="RUS"/>
    <x v="1"/>
    <s v="EN.GHG.CO2.PC.CE.AR5"/>
    <x v="20"/>
    <n v="12"/>
    <x v="2"/>
  </r>
  <r>
    <x v="46"/>
    <s v="RUS"/>
    <x v="1"/>
    <s v="EN.GHG.CO2.PC.CE.AR5"/>
    <x v="21"/>
    <n v="13"/>
    <x v="2"/>
  </r>
  <r>
    <x v="46"/>
    <s v="RUS"/>
    <x v="1"/>
    <s v="EN.GHG.CO2.PC.CE.AR5"/>
    <x v="22"/>
    <n v="13"/>
    <x v="2"/>
  </r>
  <r>
    <x v="46"/>
    <s v="RUS"/>
    <x v="1"/>
    <s v="EN.GHG.CO2.PC.CE.AR5"/>
    <x v="23"/>
    <n v="12"/>
    <x v="2"/>
  </r>
  <r>
    <x v="46"/>
    <s v="RUS"/>
    <x v="1"/>
    <s v="EN.GHG.CO2.PC.CE.AR5"/>
    <x v="24"/>
    <n v="12"/>
    <x v="2"/>
  </r>
  <r>
    <x v="46"/>
    <s v="RUS"/>
    <x v="1"/>
    <s v="EN.GHG.CO2.PC.CE.AR5"/>
    <x v="25"/>
    <n v="12"/>
    <x v="2"/>
  </r>
  <r>
    <x v="46"/>
    <s v="RUS"/>
    <x v="1"/>
    <s v="EN.GHG.CO2.PC.CE.AR5"/>
    <x v="26"/>
    <n v="12"/>
    <x v="2"/>
  </r>
  <r>
    <x v="46"/>
    <s v="RUS"/>
    <x v="1"/>
    <s v="EN.GHG.CO2.PC.CE.AR5"/>
    <x v="27"/>
    <n v="12"/>
    <x v="3"/>
  </r>
  <r>
    <x v="46"/>
    <s v="RUS"/>
    <x v="1"/>
    <s v="EN.GHG.CO2.PC.CE.AR5"/>
    <x v="28"/>
    <n v="13"/>
    <x v="3"/>
  </r>
  <r>
    <x v="46"/>
    <s v="RUS"/>
    <x v="1"/>
    <s v="EN.GHG.CO2.PC.CE.AR5"/>
    <x v="29"/>
    <n v="13"/>
    <x v="3"/>
  </r>
  <r>
    <x v="46"/>
    <s v="RUS"/>
    <x v="1"/>
    <s v="EN.GHG.CO2.PC.CE.AR5"/>
    <x v="30"/>
    <n v="12"/>
    <x v="3"/>
  </r>
  <r>
    <x v="46"/>
    <s v="RUS"/>
    <x v="1"/>
    <s v="EN.GHG.CO2.PC.CE.AR5"/>
    <x v="31"/>
    <n v="13"/>
    <x v="3"/>
  </r>
  <r>
    <x v="46"/>
    <s v="RUS"/>
    <x v="1"/>
    <s v="EN.GHG.CO2.PC.CE.AR5"/>
    <x v="32"/>
    <n v="13"/>
    <x v="4"/>
  </r>
  <r>
    <x v="46"/>
    <s v="RUS"/>
    <x v="1"/>
    <s v="EN.GHG.CO2.PC.CE.AR5"/>
    <x v="33"/>
    <n v="14"/>
    <x v="4"/>
  </r>
  <r>
    <x v="46"/>
    <s v="RUS"/>
    <x v="1"/>
    <s v="EN.GHG.CO2.PC.CE.AR5"/>
    <x v="54"/>
    <n v="14"/>
    <x v="4"/>
  </r>
  <r>
    <x v="49"/>
    <s v="SVK"/>
    <x v="1"/>
    <s v="EN.GHG.CO2.PC.CE.AR5"/>
    <x v="34"/>
    <n v="10"/>
    <x v="4"/>
  </r>
  <r>
    <x v="49"/>
    <s v="SVK"/>
    <x v="1"/>
    <s v="EN.GHG.CO2.PC.CE.AR5"/>
    <x v="35"/>
    <n v="10"/>
    <x v="4"/>
  </r>
  <r>
    <x v="49"/>
    <s v="SVK"/>
    <x v="1"/>
    <s v="EN.GHG.CO2.PC.CE.AR5"/>
    <x v="36"/>
    <n v="10"/>
    <x v="4"/>
  </r>
  <r>
    <x v="49"/>
    <s v="SVK"/>
    <x v="1"/>
    <s v="EN.GHG.CO2.PC.CE.AR5"/>
    <x v="37"/>
    <n v="10"/>
    <x v="4"/>
  </r>
  <r>
    <x v="49"/>
    <s v="SVK"/>
    <x v="1"/>
    <s v="EN.GHG.CO2.PC.CE.AR5"/>
    <x v="38"/>
    <n v="10"/>
    <x v="4"/>
  </r>
  <r>
    <x v="49"/>
    <s v="SVK"/>
    <x v="1"/>
    <s v="EN.GHG.CO2.PC.CE.AR5"/>
    <x v="39"/>
    <n v="10"/>
    <x v="4"/>
  </r>
  <r>
    <x v="49"/>
    <s v="SVK"/>
    <x v="1"/>
    <s v="EN.GHG.CO2.PC.CE.AR5"/>
    <x v="40"/>
    <n v="10"/>
    <x v="4"/>
  </r>
  <r>
    <x v="49"/>
    <s v="SVK"/>
    <x v="1"/>
    <s v="EN.GHG.CO2.PC.CE.AR5"/>
    <x v="41"/>
    <n v="11"/>
    <x v="5"/>
  </r>
  <r>
    <x v="49"/>
    <s v="SVK"/>
    <x v="1"/>
    <s v="EN.GHG.CO2.PC.CE.AR5"/>
    <x v="42"/>
    <n v="12"/>
    <x v="5"/>
  </r>
  <r>
    <x v="49"/>
    <s v="SVK"/>
    <x v="1"/>
    <s v="EN.GHG.CO2.PC.CE.AR5"/>
    <x v="43"/>
    <n v="12"/>
    <x v="5"/>
  </r>
  <r>
    <x v="49"/>
    <s v="SVK"/>
    <x v="1"/>
    <s v="EN.GHG.CO2.PC.CE.AR5"/>
    <x v="44"/>
    <n v="13"/>
    <x v="5"/>
  </r>
  <r>
    <x v="49"/>
    <s v="SVK"/>
    <x v="1"/>
    <s v="EN.GHG.CO2.PC.CE.AR5"/>
    <x v="45"/>
    <n v="12"/>
    <x v="5"/>
  </r>
  <r>
    <x v="49"/>
    <s v="SVK"/>
    <x v="1"/>
    <s v="EN.GHG.CO2.PC.CE.AR5"/>
    <x v="46"/>
    <n v="12"/>
    <x v="5"/>
  </r>
  <r>
    <x v="49"/>
    <s v="SVK"/>
    <x v="1"/>
    <s v="EN.GHG.CO2.PC.CE.AR5"/>
    <x v="47"/>
    <n v="12"/>
    <x v="5"/>
  </r>
  <r>
    <x v="49"/>
    <s v="SVK"/>
    <x v="1"/>
    <s v="EN.GHG.CO2.PC.CE.AR5"/>
    <x v="48"/>
    <n v="12"/>
    <x v="5"/>
  </r>
  <r>
    <x v="49"/>
    <s v="SVK"/>
    <x v="1"/>
    <s v="EN.GHG.CO2.PC.CE.AR5"/>
    <x v="49"/>
    <n v="12"/>
    <x v="5"/>
  </r>
  <r>
    <x v="49"/>
    <s v="SVK"/>
    <x v="1"/>
    <s v="EN.GHG.CO2.PC.CE.AR5"/>
    <x v="50"/>
    <n v="11"/>
    <x v="5"/>
  </r>
  <r>
    <x v="49"/>
    <s v="SVK"/>
    <x v="1"/>
    <s v="EN.GHG.CO2.PC.CE.AR5"/>
    <x v="51"/>
    <n v="11"/>
    <x v="0"/>
  </r>
  <r>
    <x v="49"/>
    <s v="SVK"/>
    <x v="1"/>
    <s v="EN.GHG.CO2.PC.CE.AR5"/>
    <x v="52"/>
    <n v="12"/>
    <x v="0"/>
  </r>
  <r>
    <x v="49"/>
    <s v="SVK"/>
    <x v="1"/>
    <s v="EN.GHG.CO2.PC.CE.AR5"/>
    <x v="53"/>
    <n v="11"/>
    <x v="0"/>
  </r>
  <r>
    <x v="49"/>
    <s v="SVK"/>
    <x v="1"/>
    <s v="EN.GHG.CO2.PC.CE.AR5"/>
    <x v="0"/>
    <n v="11"/>
    <x v="0"/>
  </r>
  <r>
    <x v="49"/>
    <s v="SVK"/>
    <x v="1"/>
    <s v="EN.GHG.CO2.PC.CE.AR5"/>
    <x v="1"/>
    <n v="10"/>
    <x v="0"/>
  </r>
  <r>
    <x v="49"/>
    <s v="SVK"/>
    <x v="1"/>
    <s v="EN.GHG.CO2.PC.CE.AR5"/>
    <x v="2"/>
    <n v="9"/>
    <x v="0"/>
  </r>
  <r>
    <x v="49"/>
    <s v="SVK"/>
    <x v="1"/>
    <s v="EN.GHG.CO2.PC.CE.AR5"/>
    <x v="3"/>
    <n v="9"/>
    <x v="0"/>
  </r>
  <r>
    <x v="49"/>
    <s v="SVK"/>
    <x v="1"/>
    <s v="EN.GHG.CO2.PC.CE.AR5"/>
    <x v="4"/>
    <n v="8"/>
    <x v="0"/>
  </r>
  <r>
    <x v="49"/>
    <s v="SVK"/>
    <x v="1"/>
    <s v="EN.GHG.CO2.PC.CE.AR5"/>
    <x v="5"/>
    <n v="9"/>
    <x v="0"/>
  </r>
  <r>
    <x v="49"/>
    <s v="SVK"/>
    <x v="1"/>
    <s v="EN.GHG.CO2.PC.CE.AR5"/>
    <x v="6"/>
    <n v="9"/>
    <x v="0"/>
  </r>
  <r>
    <x v="49"/>
    <s v="SVK"/>
    <x v="1"/>
    <s v="EN.GHG.CO2.PC.CE.AR5"/>
    <x v="7"/>
    <n v="8"/>
    <x v="1"/>
  </r>
  <r>
    <x v="49"/>
    <s v="SVK"/>
    <x v="1"/>
    <s v="EN.GHG.CO2.PC.CE.AR5"/>
    <x v="8"/>
    <n v="8"/>
    <x v="1"/>
  </r>
  <r>
    <x v="49"/>
    <s v="SVK"/>
    <x v="1"/>
    <s v="EN.GHG.CO2.PC.CE.AR5"/>
    <x v="9"/>
    <n v="8"/>
    <x v="1"/>
  </r>
  <r>
    <x v="49"/>
    <s v="SVK"/>
    <x v="1"/>
    <s v="EN.GHG.CO2.PC.CE.AR5"/>
    <x v="10"/>
    <n v="8"/>
    <x v="1"/>
  </r>
  <r>
    <x v="49"/>
    <s v="SVK"/>
    <x v="1"/>
    <s v="EN.GHG.CO2.PC.CE.AR5"/>
    <x v="11"/>
    <n v="8"/>
    <x v="1"/>
  </r>
  <r>
    <x v="49"/>
    <s v="SVK"/>
    <x v="1"/>
    <s v="EN.GHG.CO2.PC.CE.AR5"/>
    <x v="12"/>
    <n v="8"/>
    <x v="1"/>
  </r>
  <r>
    <x v="49"/>
    <s v="SVK"/>
    <x v="1"/>
    <s v="EN.GHG.CO2.PC.CE.AR5"/>
    <x v="13"/>
    <n v="8"/>
    <x v="1"/>
  </r>
  <r>
    <x v="49"/>
    <s v="SVK"/>
    <x v="1"/>
    <s v="EN.GHG.CO2.PC.CE.AR5"/>
    <x v="14"/>
    <n v="8"/>
    <x v="1"/>
  </r>
  <r>
    <x v="49"/>
    <s v="SVK"/>
    <x v="1"/>
    <s v="EN.GHG.CO2.PC.CE.AR5"/>
    <x v="15"/>
    <n v="8"/>
    <x v="1"/>
  </r>
  <r>
    <x v="49"/>
    <s v="SVK"/>
    <x v="1"/>
    <s v="EN.GHG.CO2.PC.CE.AR5"/>
    <x v="16"/>
    <n v="8"/>
    <x v="1"/>
  </r>
  <r>
    <x v="49"/>
    <s v="SVK"/>
    <x v="1"/>
    <s v="EN.GHG.CO2.PC.CE.AR5"/>
    <x v="17"/>
    <n v="8"/>
    <x v="2"/>
  </r>
  <r>
    <x v="49"/>
    <s v="SVK"/>
    <x v="1"/>
    <s v="EN.GHG.CO2.PC.CE.AR5"/>
    <x v="18"/>
    <n v="8"/>
    <x v="2"/>
  </r>
  <r>
    <x v="49"/>
    <s v="SVK"/>
    <x v="1"/>
    <s v="EN.GHG.CO2.PC.CE.AR5"/>
    <x v="19"/>
    <n v="7"/>
    <x v="2"/>
  </r>
  <r>
    <x v="49"/>
    <s v="SVK"/>
    <x v="1"/>
    <s v="EN.GHG.CO2.PC.CE.AR5"/>
    <x v="20"/>
    <n v="7"/>
    <x v="2"/>
  </r>
  <r>
    <x v="49"/>
    <s v="SVK"/>
    <x v="1"/>
    <s v="EN.GHG.CO2.PC.CE.AR5"/>
    <x v="21"/>
    <n v="7"/>
    <x v="2"/>
  </r>
  <r>
    <x v="49"/>
    <s v="SVK"/>
    <x v="1"/>
    <s v="EN.GHG.CO2.PC.CE.AR5"/>
    <x v="22"/>
    <n v="7"/>
    <x v="2"/>
  </r>
  <r>
    <x v="49"/>
    <s v="SVK"/>
    <x v="1"/>
    <s v="EN.GHG.CO2.PC.CE.AR5"/>
    <x v="23"/>
    <n v="7"/>
    <x v="2"/>
  </r>
  <r>
    <x v="49"/>
    <s v="SVK"/>
    <x v="1"/>
    <s v="EN.GHG.CO2.PC.CE.AR5"/>
    <x v="24"/>
    <n v="6"/>
    <x v="2"/>
  </r>
  <r>
    <x v="49"/>
    <s v="SVK"/>
    <x v="1"/>
    <s v="EN.GHG.CO2.PC.CE.AR5"/>
    <x v="25"/>
    <n v="6"/>
    <x v="2"/>
  </r>
  <r>
    <x v="49"/>
    <s v="SVK"/>
    <x v="1"/>
    <s v="EN.GHG.CO2.PC.CE.AR5"/>
    <x v="26"/>
    <n v="7"/>
    <x v="2"/>
  </r>
  <r>
    <x v="49"/>
    <s v="SVK"/>
    <x v="1"/>
    <s v="EN.GHG.CO2.PC.CE.AR5"/>
    <x v="27"/>
    <n v="7"/>
    <x v="3"/>
  </r>
  <r>
    <x v="49"/>
    <s v="SVK"/>
    <x v="1"/>
    <s v="EN.GHG.CO2.PC.CE.AR5"/>
    <x v="28"/>
    <n v="7"/>
    <x v="3"/>
  </r>
  <r>
    <x v="49"/>
    <s v="SVK"/>
    <x v="1"/>
    <s v="EN.GHG.CO2.PC.CE.AR5"/>
    <x v="29"/>
    <n v="6"/>
    <x v="3"/>
  </r>
  <r>
    <x v="49"/>
    <s v="SVK"/>
    <x v="1"/>
    <s v="EN.GHG.CO2.PC.CE.AR5"/>
    <x v="30"/>
    <n v="6"/>
    <x v="3"/>
  </r>
  <r>
    <x v="49"/>
    <s v="SVK"/>
    <x v="1"/>
    <s v="EN.GHG.CO2.PC.CE.AR5"/>
    <x v="31"/>
    <n v="7"/>
    <x v="3"/>
  </r>
  <r>
    <x v="49"/>
    <s v="SVK"/>
    <x v="1"/>
    <s v="EN.GHG.CO2.PC.CE.AR5"/>
    <x v="32"/>
    <n v="6"/>
    <x v="4"/>
  </r>
  <r>
    <x v="49"/>
    <s v="SVK"/>
    <x v="1"/>
    <s v="EN.GHG.CO2.PC.CE.AR5"/>
    <x v="33"/>
    <n v="6"/>
    <x v="4"/>
  </r>
  <r>
    <x v="49"/>
    <s v="SVK"/>
    <x v="1"/>
    <s v="EN.GHG.CO2.PC.CE.AR5"/>
    <x v="54"/>
    <n v="6"/>
    <x v="4"/>
  </r>
  <r>
    <x v="50"/>
    <s v="SVN"/>
    <x v="1"/>
    <s v="EN.GHG.CO2.PC.CE.AR5"/>
    <x v="34"/>
    <n v="6"/>
    <x v="4"/>
  </r>
  <r>
    <x v="50"/>
    <s v="SVN"/>
    <x v="1"/>
    <s v="EN.GHG.CO2.PC.CE.AR5"/>
    <x v="35"/>
    <n v="6"/>
    <x v="4"/>
  </r>
  <r>
    <x v="50"/>
    <s v="SVN"/>
    <x v="1"/>
    <s v="EN.GHG.CO2.PC.CE.AR5"/>
    <x v="36"/>
    <n v="5"/>
    <x v="4"/>
  </r>
  <r>
    <x v="50"/>
    <s v="SVN"/>
    <x v="1"/>
    <s v="EN.GHG.CO2.PC.CE.AR5"/>
    <x v="37"/>
    <n v="6"/>
    <x v="4"/>
  </r>
  <r>
    <x v="50"/>
    <s v="SVN"/>
    <x v="1"/>
    <s v="EN.GHG.CO2.PC.CE.AR5"/>
    <x v="38"/>
    <n v="7"/>
    <x v="4"/>
  </r>
  <r>
    <x v="50"/>
    <s v="SVN"/>
    <x v="1"/>
    <s v="EN.GHG.CO2.PC.CE.AR5"/>
    <x v="39"/>
    <n v="6"/>
    <x v="4"/>
  </r>
  <r>
    <x v="50"/>
    <s v="SVN"/>
    <x v="1"/>
    <s v="EN.GHG.CO2.PC.CE.AR5"/>
    <x v="40"/>
    <n v="6"/>
    <x v="4"/>
  </r>
  <r>
    <x v="50"/>
    <s v="SVN"/>
    <x v="1"/>
    <s v="EN.GHG.CO2.PC.CE.AR5"/>
    <x v="41"/>
    <n v="7"/>
    <x v="5"/>
  </r>
  <r>
    <x v="50"/>
    <s v="SVN"/>
    <x v="1"/>
    <s v="EN.GHG.CO2.PC.CE.AR5"/>
    <x v="42"/>
    <n v="7"/>
    <x v="5"/>
  </r>
  <r>
    <x v="50"/>
    <s v="SVN"/>
    <x v="1"/>
    <s v="EN.GHG.CO2.PC.CE.AR5"/>
    <x v="43"/>
    <n v="7"/>
    <x v="5"/>
  </r>
  <r>
    <x v="50"/>
    <s v="SVN"/>
    <x v="1"/>
    <s v="EN.GHG.CO2.PC.CE.AR5"/>
    <x v="44"/>
    <n v="7"/>
    <x v="5"/>
  </r>
  <r>
    <x v="50"/>
    <s v="SVN"/>
    <x v="1"/>
    <s v="EN.GHG.CO2.PC.CE.AR5"/>
    <x v="45"/>
    <n v="6"/>
    <x v="5"/>
  </r>
  <r>
    <x v="50"/>
    <s v="SVN"/>
    <x v="1"/>
    <s v="EN.GHG.CO2.PC.CE.AR5"/>
    <x v="46"/>
    <n v="6"/>
    <x v="5"/>
  </r>
  <r>
    <x v="50"/>
    <s v="SVN"/>
    <x v="1"/>
    <s v="EN.GHG.CO2.PC.CE.AR5"/>
    <x v="47"/>
    <n v="7"/>
    <x v="5"/>
  </r>
  <r>
    <x v="50"/>
    <s v="SVN"/>
    <x v="1"/>
    <s v="EN.GHG.CO2.PC.CE.AR5"/>
    <x v="48"/>
    <n v="7"/>
    <x v="5"/>
  </r>
  <r>
    <x v="50"/>
    <s v="SVN"/>
    <x v="1"/>
    <s v="EN.GHG.CO2.PC.CE.AR5"/>
    <x v="49"/>
    <n v="7"/>
    <x v="5"/>
  </r>
  <r>
    <x v="50"/>
    <s v="SVN"/>
    <x v="1"/>
    <s v="EN.GHG.CO2.PC.CE.AR5"/>
    <x v="50"/>
    <n v="7"/>
    <x v="5"/>
  </r>
  <r>
    <x v="50"/>
    <s v="SVN"/>
    <x v="1"/>
    <s v="EN.GHG.CO2.PC.CE.AR5"/>
    <x v="51"/>
    <n v="6"/>
    <x v="0"/>
  </r>
  <r>
    <x v="50"/>
    <s v="SVN"/>
    <x v="1"/>
    <s v="EN.GHG.CO2.PC.CE.AR5"/>
    <x v="52"/>
    <n v="9"/>
    <x v="0"/>
  </r>
  <r>
    <x v="50"/>
    <s v="SVN"/>
    <x v="1"/>
    <s v="EN.GHG.CO2.PC.CE.AR5"/>
    <x v="53"/>
    <n v="8"/>
    <x v="0"/>
  </r>
  <r>
    <x v="50"/>
    <s v="SVN"/>
    <x v="1"/>
    <s v="EN.GHG.CO2.PC.CE.AR5"/>
    <x v="0"/>
    <n v="7"/>
    <x v="0"/>
  </r>
  <r>
    <x v="50"/>
    <s v="SVN"/>
    <x v="1"/>
    <s v="EN.GHG.CO2.PC.CE.AR5"/>
    <x v="1"/>
    <n v="7"/>
    <x v="0"/>
  </r>
  <r>
    <x v="50"/>
    <s v="SVN"/>
    <x v="1"/>
    <s v="EN.GHG.CO2.PC.CE.AR5"/>
    <x v="2"/>
    <n v="7"/>
    <x v="0"/>
  </r>
  <r>
    <x v="50"/>
    <s v="SVN"/>
    <x v="1"/>
    <s v="EN.GHG.CO2.PC.CE.AR5"/>
    <x v="3"/>
    <n v="7"/>
    <x v="0"/>
  </r>
  <r>
    <x v="50"/>
    <s v="SVN"/>
    <x v="1"/>
    <s v="EN.GHG.CO2.PC.CE.AR5"/>
    <x v="4"/>
    <n v="7"/>
    <x v="0"/>
  </r>
  <r>
    <x v="50"/>
    <s v="SVN"/>
    <x v="1"/>
    <s v="EN.GHG.CO2.PC.CE.AR5"/>
    <x v="5"/>
    <n v="8"/>
    <x v="0"/>
  </r>
  <r>
    <x v="50"/>
    <s v="SVN"/>
    <x v="1"/>
    <s v="EN.GHG.CO2.PC.CE.AR5"/>
    <x v="6"/>
    <n v="8"/>
    <x v="0"/>
  </r>
  <r>
    <x v="50"/>
    <s v="SVN"/>
    <x v="1"/>
    <s v="EN.GHG.CO2.PC.CE.AR5"/>
    <x v="7"/>
    <n v="8"/>
    <x v="1"/>
  </r>
  <r>
    <x v="50"/>
    <s v="SVN"/>
    <x v="1"/>
    <s v="EN.GHG.CO2.PC.CE.AR5"/>
    <x v="8"/>
    <n v="8"/>
    <x v="1"/>
  </r>
  <r>
    <x v="50"/>
    <s v="SVN"/>
    <x v="1"/>
    <s v="EN.GHG.CO2.PC.CE.AR5"/>
    <x v="9"/>
    <n v="8"/>
    <x v="1"/>
  </r>
  <r>
    <x v="50"/>
    <s v="SVN"/>
    <x v="1"/>
    <s v="EN.GHG.CO2.PC.CE.AR5"/>
    <x v="10"/>
    <n v="8"/>
    <x v="1"/>
  </r>
  <r>
    <x v="50"/>
    <s v="SVN"/>
    <x v="1"/>
    <s v="EN.GHG.CO2.PC.CE.AR5"/>
    <x v="11"/>
    <n v="9"/>
    <x v="1"/>
  </r>
  <r>
    <x v="50"/>
    <s v="SVN"/>
    <x v="1"/>
    <s v="EN.GHG.CO2.PC.CE.AR5"/>
    <x v="12"/>
    <n v="9"/>
    <x v="1"/>
  </r>
  <r>
    <x v="50"/>
    <s v="SVN"/>
    <x v="1"/>
    <s v="EN.GHG.CO2.PC.CE.AR5"/>
    <x v="13"/>
    <n v="9"/>
    <x v="1"/>
  </r>
  <r>
    <x v="50"/>
    <s v="SVN"/>
    <x v="1"/>
    <s v="EN.GHG.CO2.PC.CE.AR5"/>
    <x v="14"/>
    <n v="9"/>
    <x v="1"/>
  </r>
  <r>
    <x v="50"/>
    <s v="SVN"/>
    <x v="1"/>
    <s v="EN.GHG.CO2.PC.CE.AR5"/>
    <x v="15"/>
    <n v="9"/>
    <x v="1"/>
  </r>
  <r>
    <x v="50"/>
    <s v="SVN"/>
    <x v="1"/>
    <s v="EN.GHG.CO2.PC.CE.AR5"/>
    <x v="16"/>
    <n v="9"/>
    <x v="1"/>
  </r>
  <r>
    <x v="50"/>
    <s v="SVN"/>
    <x v="1"/>
    <s v="EN.GHG.CO2.PC.CE.AR5"/>
    <x v="17"/>
    <n v="9"/>
    <x v="2"/>
  </r>
  <r>
    <x v="50"/>
    <s v="SVN"/>
    <x v="1"/>
    <s v="EN.GHG.CO2.PC.CE.AR5"/>
    <x v="18"/>
    <n v="9"/>
    <x v="2"/>
  </r>
  <r>
    <x v="50"/>
    <s v="SVN"/>
    <x v="1"/>
    <s v="EN.GHG.CO2.PC.CE.AR5"/>
    <x v="19"/>
    <n v="8"/>
    <x v="2"/>
  </r>
  <r>
    <x v="50"/>
    <s v="SVN"/>
    <x v="1"/>
    <s v="EN.GHG.CO2.PC.CE.AR5"/>
    <x v="20"/>
    <n v="8"/>
    <x v="2"/>
  </r>
  <r>
    <x v="50"/>
    <s v="SVN"/>
    <x v="1"/>
    <s v="EN.GHG.CO2.PC.CE.AR5"/>
    <x v="21"/>
    <n v="8"/>
    <x v="2"/>
  </r>
  <r>
    <x v="50"/>
    <s v="SVN"/>
    <x v="1"/>
    <s v="EN.GHG.CO2.PC.CE.AR5"/>
    <x v="22"/>
    <n v="8"/>
    <x v="2"/>
  </r>
  <r>
    <x v="50"/>
    <s v="SVN"/>
    <x v="1"/>
    <s v="EN.GHG.CO2.PC.CE.AR5"/>
    <x v="23"/>
    <n v="8"/>
    <x v="2"/>
  </r>
  <r>
    <x v="50"/>
    <s v="SVN"/>
    <x v="1"/>
    <s v="EN.GHG.CO2.PC.CE.AR5"/>
    <x v="24"/>
    <n v="7"/>
    <x v="2"/>
  </r>
  <r>
    <x v="50"/>
    <s v="SVN"/>
    <x v="1"/>
    <s v="EN.GHG.CO2.PC.CE.AR5"/>
    <x v="25"/>
    <n v="7"/>
    <x v="2"/>
  </r>
  <r>
    <x v="50"/>
    <s v="SVN"/>
    <x v="1"/>
    <s v="EN.GHG.CO2.PC.CE.AR5"/>
    <x v="26"/>
    <n v="7"/>
    <x v="2"/>
  </r>
  <r>
    <x v="50"/>
    <s v="SVN"/>
    <x v="1"/>
    <s v="EN.GHG.CO2.PC.CE.AR5"/>
    <x v="27"/>
    <n v="7"/>
    <x v="3"/>
  </r>
  <r>
    <x v="50"/>
    <s v="SVN"/>
    <x v="1"/>
    <s v="EN.GHG.CO2.PC.CE.AR5"/>
    <x v="28"/>
    <n v="7"/>
    <x v="3"/>
  </r>
  <r>
    <x v="50"/>
    <s v="SVN"/>
    <x v="1"/>
    <s v="EN.GHG.CO2.PC.CE.AR5"/>
    <x v="29"/>
    <n v="7"/>
    <x v="3"/>
  </r>
  <r>
    <x v="50"/>
    <s v="SVN"/>
    <x v="1"/>
    <s v="EN.GHG.CO2.PC.CE.AR5"/>
    <x v="30"/>
    <n v="6"/>
    <x v="3"/>
  </r>
  <r>
    <x v="50"/>
    <s v="SVN"/>
    <x v="1"/>
    <s v="EN.GHG.CO2.PC.CE.AR5"/>
    <x v="31"/>
    <n v="7"/>
    <x v="3"/>
  </r>
  <r>
    <x v="50"/>
    <s v="SVN"/>
    <x v="1"/>
    <s v="EN.GHG.CO2.PC.CE.AR5"/>
    <x v="32"/>
    <n v="6"/>
    <x v="4"/>
  </r>
  <r>
    <x v="50"/>
    <s v="SVN"/>
    <x v="1"/>
    <s v="EN.GHG.CO2.PC.CE.AR5"/>
    <x v="33"/>
    <n v="6"/>
    <x v="4"/>
  </r>
  <r>
    <x v="50"/>
    <s v="SVN"/>
    <x v="1"/>
    <s v="EN.GHG.CO2.PC.CE.AR5"/>
    <x v="54"/>
    <n v="6"/>
    <x v="4"/>
  </r>
  <r>
    <x v="51"/>
    <s v="SWE"/>
    <x v="1"/>
    <s v="EN.GHG.CO2.PC.CE.AR5"/>
    <x v="34"/>
    <n v="12"/>
    <x v="4"/>
  </r>
  <r>
    <x v="51"/>
    <s v="SWE"/>
    <x v="1"/>
    <s v="EN.GHG.CO2.PC.CE.AR5"/>
    <x v="35"/>
    <n v="11"/>
    <x v="4"/>
  </r>
  <r>
    <x v="51"/>
    <s v="SWE"/>
    <x v="1"/>
    <s v="EN.GHG.CO2.PC.CE.AR5"/>
    <x v="36"/>
    <n v="11"/>
    <x v="4"/>
  </r>
  <r>
    <x v="51"/>
    <s v="SWE"/>
    <x v="1"/>
    <s v="EN.GHG.CO2.PC.CE.AR5"/>
    <x v="37"/>
    <n v="11"/>
    <x v="4"/>
  </r>
  <r>
    <x v="51"/>
    <s v="SWE"/>
    <x v="1"/>
    <s v="EN.GHG.CO2.PC.CE.AR5"/>
    <x v="38"/>
    <n v="10"/>
    <x v="4"/>
  </r>
  <r>
    <x v="51"/>
    <s v="SWE"/>
    <x v="1"/>
    <s v="EN.GHG.CO2.PC.CE.AR5"/>
    <x v="39"/>
    <n v="10"/>
    <x v="4"/>
  </r>
  <r>
    <x v="51"/>
    <s v="SWE"/>
    <x v="1"/>
    <s v="EN.GHG.CO2.PC.CE.AR5"/>
    <x v="40"/>
    <n v="11"/>
    <x v="4"/>
  </r>
  <r>
    <x v="51"/>
    <s v="SWE"/>
    <x v="1"/>
    <s v="EN.GHG.CO2.PC.CE.AR5"/>
    <x v="41"/>
    <n v="11"/>
    <x v="5"/>
  </r>
  <r>
    <x v="51"/>
    <s v="SWE"/>
    <x v="1"/>
    <s v="EN.GHG.CO2.PC.CE.AR5"/>
    <x v="42"/>
    <n v="10"/>
    <x v="5"/>
  </r>
  <r>
    <x v="51"/>
    <s v="SWE"/>
    <x v="1"/>
    <s v="EN.GHG.CO2.PC.CE.AR5"/>
    <x v="43"/>
    <n v="10"/>
    <x v="5"/>
  </r>
  <r>
    <x v="51"/>
    <s v="SWE"/>
    <x v="1"/>
    <s v="EN.GHG.CO2.PC.CE.AR5"/>
    <x v="44"/>
    <n v="9"/>
    <x v="5"/>
  </r>
  <r>
    <x v="51"/>
    <s v="SWE"/>
    <x v="1"/>
    <s v="EN.GHG.CO2.PC.CE.AR5"/>
    <x v="45"/>
    <n v="9"/>
    <x v="5"/>
  </r>
  <r>
    <x v="51"/>
    <s v="SWE"/>
    <x v="1"/>
    <s v="EN.GHG.CO2.PC.CE.AR5"/>
    <x v="46"/>
    <n v="8"/>
    <x v="5"/>
  </r>
  <r>
    <x v="51"/>
    <s v="SWE"/>
    <x v="1"/>
    <s v="EN.GHG.CO2.PC.CE.AR5"/>
    <x v="47"/>
    <n v="7"/>
    <x v="5"/>
  </r>
  <r>
    <x v="51"/>
    <s v="SWE"/>
    <x v="1"/>
    <s v="EN.GHG.CO2.PC.CE.AR5"/>
    <x v="48"/>
    <n v="7"/>
    <x v="5"/>
  </r>
  <r>
    <x v="51"/>
    <s v="SWE"/>
    <x v="1"/>
    <s v="EN.GHG.CO2.PC.CE.AR5"/>
    <x v="49"/>
    <n v="7"/>
    <x v="5"/>
  </r>
  <r>
    <x v="51"/>
    <s v="SWE"/>
    <x v="1"/>
    <s v="EN.GHG.CO2.PC.CE.AR5"/>
    <x v="50"/>
    <n v="8"/>
    <x v="5"/>
  </r>
  <r>
    <x v="51"/>
    <s v="SWE"/>
    <x v="1"/>
    <s v="EN.GHG.CO2.PC.CE.AR5"/>
    <x v="51"/>
    <n v="7"/>
    <x v="0"/>
  </r>
  <r>
    <x v="51"/>
    <s v="SWE"/>
    <x v="1"/>
    <s v="EN.GHG.CO2.PC.CE.AR5"/>
    <x v="52"/>
    <n v="7"/>
    <x v="0"/>
  </r>
  <r>
    <x v="51"/>
    <s v="SWE"/>
    <x v="1"/>
    <s v="EN.GHG.CO2.PC.CE.AR5"/>
    <x v="53"/>
    <n v="7"/>
    <x v="0"/>
  </r>
  <r>
    <x v="51"/>
    <s v="SWE"/>
    <x v="1"/>
    <s v="EN.GHG.CO2.PC.CE.AR5"/>
    <x v="0"/>
    <n v="7"/>
    <x v="0"/>
  </r>
  <r>
    <x v="51"/>
    <s v="SWE"/>
    <x v="1"/>
    <s v="EN.GHG.CO2.PC.CE.AR5"/>
    <x v="1"/>
    <n v="7"/>
    <x v="0"/>
  </r>
  <r>
    <x v="51"/>
    <s v="SWE"/>
    <x v="1"/>
    <s v="EN.GHG.CO2.PC.CE.AR5"/>
    <x v="2"/>
    <n v="7"/>
    <x v="0"/>
  </r>
  <r>
    <x v="51"/>
    <s v="SWE"/>
    <x v="1"/>
    <s v="EN.GHG.CO2.PC.CE.AR5"/>
    <x v="3"/>
    <n v="7"/>
    <x v="0"/>
  </r>
  <r>
    <x v="51"/>
    <s v="SWE"/>
    <x v="1"/>
    <s v="EN.GHG.CO2.PC.CE.AR5"/>
    <x v="4"/>
    <n v="7"/>
    <x v="0"/>
  </r>
  <r>
    <x v="51"/>
    <s v="SWE"/>
    <x v="1"/>
    <s v="EN.GHG.CO2.PC.CE.AR5"/>
    <x v="5"/>
    <n v="7"/>
    <x v="0"/>
  </r>
  <r>
    <x v="51"/>
    <s v="SWE"/>
    <x v="1"/>
    <s v="EN.GHG.CO2.PC.CE.AR5"/>
    <x v="6"/>
    <n v="8"/>
    <x v="0"/>
  </r>
  <r>
    <x v="51"/>
    <s v="SWE"/>
    <x v="1"/>
    <s v="EN.GHG.CO2.PC.CE.AR5"/>
    <x v="7"/>
    <n v="7"/>
    <x v="1"/>
  </r>
  <r>
    <x v="51"/>
    <s v="SWE"/>
    <x v="1"/>
    <s v="EN.GHG.CO2.PC.CE.AR5"/>
    <x v="8"/>
    <n v="7"/>
    <x v="1"/>
  </r>
  <r>
    <x v="51"/>
    <s v="SWE"/>
    <x v="1"/>
    <s v="EN.GHG.CO2.PC.CE.AR5"/>
    <x v="9"/>
    <n v="7"/>
    <x v="1"/>
  </r>
  <r>
    <x v="51"/>
    <s v="SWE"/>
    <x v="1"/>
    <s v="EN.GHG.CO2.PC.CE.AR5"/>
    <x v="10"/>
    <n v="7"/>
    <x v="1"/>
  </r>
  <r>
    <x v="51"/>
    <s v="SWE"/>
    <x v="1"/>
    <s v="EN.GHG.CO2.PC.CE.AR5"/>
    <x v="11"/>
    <n v="7"/>
    <x v="1"/>
  </r>
  <r>
    <x v="51"/>
    <s v="SWE"/>
    <x v="1"/>
    <s v="EN.GHG.CO2.PC.CE.AR5"/>
    <x v="12"/>
    <n v="7"/>
    <x v="1"/>
  </r>
  <r>
    <x v="51"/>
    <s v="SWE"/>
    <x v="1"/>
    <s v="EN.GHG.CO2.PC.CE.AR5"/>
    <x v="13"/>
    <n v="7"/>
    <x v="1"/>
  </r>
  <r>
    <x v="51"/>
    <s v="SWE"/>
    <x v="1"/>
    <s v="EN.GHG.CO2.PC.CE.AR5"/>
    <x v="14"/>
    <n v="6"/>
    <x v="1"/>
  </r>
  <r>
    <x v="51"/>
    <s v="SWE"/>
    <x v="1"/>
    <s v="EN.GHG.CO2.PC.CE.AR5"/>
    <x v="15"/>
    <n v="6"/>
    <x v="1"/>
  </r>
  <r>
    <x v="51"/>
    <s v="SWE"/>
    <x v="1"/>
    <s v="EN.GHG.CO2.PC.CE.AR5"/>
    <x v="16"/>
    <n v="6"/>
    <x v="1"/>
  </r>
  <r>
    <x v="51"/>
    <s v="SWE"/>
    <x v="1"/>
    <s v="EN.GHG.CO2.PC.CE.AR5"/>
    <x v="17"/>
    <n v="6"/>
    <x v="2"/>
  </r>
  <r>
    <x v="51"/>
    <s v="SWE"/>
    <x v="1"/>
    <s v="EN.GHG.CO2.PC.CE.AR5"/>
    <x v="18"/>
    <n v="6"/>
    <x v="2"/>
  </r>
  <r>
    <x v="51"/>
    <s v="SWE"/>
    <x v="1"/>
    <s v="EN.GHG.CO2.PC.CE.AR5"/>
    <x v="19"/>
    <n v="5"/>
    <x v="2"/>
  </r>
  <r>
    <x v="51"/>
    <s v="SWE"/>
    <x v="1"/>
    <s v="EN.GHG.CO2.PC.CE.AR5"/>
    <x v="20"/>
    <n v="6"/>
    <x v="2"/>
  </r>
  <r>
    <x v="51"/>
    <s v="SWE"/>
    <x v="1"/>
    <s v="EN.GHG.CO2.PC.CE.AR5"/>
    <x v="21"/>
    <n v="5"/>
    <x v="2"/>
  </r>
  <r>
    <x v="51"/>
    <s v="SWE"/>
    <x v="1"/>
    <s v="EN.GHG.CO2.PC.CE.AR5"/>
    <x v="22"/>
    <n v="5"/>
    <x v="2"/>
  </r>
  <r>
    <x v="51"/>
    <s v="SWE"/>
    <x v="1"/>
    <s v="EN.GHG.CO2.PC.CE.AR5"/>
    <x v="23"/>
    <n v="5"/>
    <x v="2"/>
  </r>
  <r>
    <x v="51"/>
    <s v="SWE"/>
    <x v="1"/>
    <s v="EN.GHG.CO2.PC.CE.AR5"/>
    <x v="24"/>
    <n v="4"/>
    <x v="2"/>
  </r>
  <r>
    <x v="51"/>
    <s v="SWE"/>
    <x v="1"/>
    <s v="EN.GHG.CO2.PC.CE.AR5"/>
    <x v="25"/>
    <n v="4"/>
    <x v="2"/>
  </r>
  <r>
    <x v="51"/>
    <s v="SWE"/>
    <x v="1"/>
    <s v="EN.GHG.CO2.PC.CE.AR5"/>
    <x v="26"/>
    <n v="4"/>
    <x v="2"/>
  </r>
  <r>
    <x v="51"/>
    <s v="SWE"/>
    <x v="1"/>
    <s v="EN.GHG.CO2.PC.CE.AR5"/>
    <x v="27"/>
    <n v="4"/>
    <x v="3"/>
  </r>
  <r>
    <x v="51"/>
    <s v="SWE"/>
    <x v="1"/>
    <s v="EN.GHG.CO2.PC.CE.AR5"/>
    <x v="28"/>
    <n v="4"/>
    <x v="3"/>
  </r>
  <r>
    <x v="51"/>
    <s v="SWE"/>
    <x v="1"/>
    <s v="EN.GHG.CO2.PC.CE.AR5"/>
    <x v="29"/>
    <n v="4"/>
    <x v="3"/>
  </r>
  <r>
    <x v="51"/>
    <s v="SWE"/>
    <x v="1"/>
    <s v="EN.GHG.CO2.PC.CE.AR5"/>
    <x v="30"/>
    <n v="4"/>
    <x v="3"/>
  </r>
  <r>
    <x v="51"/>
    <s v="SWE"/>
    <x v="1"/>
    <s v="EN.GHG.CO2.PC.CE.AR5"/>
    <x v="31"/>
    <n v="4"/>
    <x v="3"/>
  </r>
  <r>
    <x v="51"/>
    <s v="SWE"/>
    <x v="1"/>
    <s v="EN.GHG.CO2.PC.CE.AR5"/>
    <x v="32"/>
    <n v="4"/>
    <x v="4"/>
  </r>
  <r>
    <x v="51"/>
    <s v="SWE"/>
    <x v="1"/>
    <s v="EN.GHG.CO2.PC.CE.AR5"/>
    <x v="33"/>
    <n v="3"/>
    <x v="4"/>
  </r>
  <r>
    <x v="51"/>
    <s v="SWE"/>
    <x v="1"/>
    <s v="EN.GHG.CO2.PC.CE.AR5"/>
    <x v="54"/>
    <n v="4"/>
    <x v="4"/>
  </r>
  <r>
    <x v="52"/>
    <s v="TJK"/>
    <x v="1"/>
    <s v="EN.GHG.CO2.PC.CE.AR5"/>
    <x v="34"/>
    <n v="3"/>
    <x v="4"/>
  </r>
  <r>
    <x v="52"/>
    <s v="TJK"/>
    <x v="1"/>
    <s v="EN.GHG.CO2.PC.CE.AR5"/>
    <x v="35"/>
    <n v="3"/>
    <x v="4"/>
  </r>
  <r>
    <x v="52"/>
    <s v="TJK"/>
    <x v="1"/>
    <s v="EN.GHG.CO2.PC.CE.AR5"/>
    <x v="36"/>
    <n v="3"/>
    <x v="4"/>
  </r>
  <r>
    <x v="52"/>
    <s v="TJK"/>
    <x v="1"/>
    <s v="EN.GHG.CO2.PC.CE.AR5"/>
    <x v="37"/>
    <n v="3"/>
    <x v="4"/>
  </r>
  <r>
    <x v="52"/>
    <s v="TJK"/>
    <x v="1"/>
    <s v="EN.GHG.CO2.PC.CE.AR5"/>
    <x v="38"/>
    <n v="3"/>
    <x v="4"/>
  </r>
  <r>
    <x v="52"/>
    <s v="TJK"/>
    <x v="1"/>
    <s v="EN.GHG.CO2.PC.CE.AR5"/>
    <x v="39"/>
    <n v="3"/>
    <x v="4"/>
  </r>
  <r>
    <x v="52"/>
    <s v="TJK"/>
    <x v="1"/>
    <s v="EN.GHG.CO2.PC.CE.AR5"/>
    <x v="40"/>
    <n v="3"/>
    <x v="4"/>
  </r>
  <r>
    <x v="52"/>
    <s v="TJK"/>
    <x v="1"/>
    <s v="EN.GHG.CO2.PC.CE.AR5"/>
    <x v="41"/>
    <n v="3"/>
    <x v="5"/>
  </r>
  <r>
    <x v="52"/>
    <s v="TJK"/>
    <x v="1"/>
    <s v="EN.GHG.CO2.PC.CE.AR5"/>
    <x v="42"/>
    <n v="3"/>
    <x v="5"/>
  </r>
  <r>
    <x v="52"/>
    <s v="TJK"/>
    <x v="1"/>
    <s v="EN.GHG.CO2.PC.CE.AR5"/>
    <x v="43"/>
    <n v="3"/>
    <x v="5"/>
  </r>
  <r>
    <x v="52"/>
    <s v="TJK"/>
    <x v="1"/>
    <s v="EN.GHG.CO2.PC.CE.AR5"/>
    <x v="44"/>
    <n v="3"/>
    <x v="5"/>
  </r>
  <r>
    <x v="52"/>
    <s v="TJK"/>
    <x v="1"/>
    <s v="EN.GHG.CO2.PC.CE.AR5"/>
    <x v="45"/>
    <n v="3"/>
    <x v="5"/>
  </r>
  <r>
    <x v="52"/>
    <s v="TJK"/>
    <x v="1"/>
    <s v="EN.GHG.CO2.PC.CE.AR5"/>
    <x v="46"/>
    <n v="3"/>
    <x v="5"/>
  </r>
  <r>
    <x v="52"/>
    <s v="TJK"/>
    <x v="1"/>
    <s v="EN.GHG.CO2.PC.CE.AR5"/>
    <x v="47"/>
    <n v="3"/>
    <x v="5"/>
  </r>
  <r>
    <x v="52"/>
    <s v="TJK"/>
    <x v="1"/>
    <s v="EN.GHG.CO2.PC.CE.AR5"/>
    <x v="48"/>
    <n v="3"/>
    <x v="5"/>
  </r>
  <r>
    <x v="52"/>
    <s v="TJK"/>
    <x v="1"/>
    <s v="EN.GHG.CO2.PC.CE.AR5"/>
    <x v="49"/>
    <n v="3"/>
    <x v="5"/>
  </r>
  <r>
    <x v="52"/>
    <s v="TJK"/>
    <x v="1"/>
    <s v="EN.GHG.CO2.PC.CE.AR5"/>
    <x v="50"/>
    <n v="3"/>
    <x v="5"/>
  </r>
  <r>
    <x v="52"/>
    <s v="TJK"/>
    <x v="1"/>
    <s v="EN.GHG.CO2.PC.CE.AR5"/>
    <x v="51"/>
    <n v="3"/>
    <x v="0"/>
  </r>
  <r>
    <x v="52"/>
    <s v="TJK"/>
    <x v="1"/>
    <s v="EN.GHG.CO2.PC.CE.AR5"/>
    <x v="52"/>
    <n v="3"/>
    <x v="0"/>
  </r>
  <r>
    <x v="52"/>
    <s v="TJK"/>
    <x v="1"/>
    <s v="EN.GHG.CO2.PC.CE.AR5"/>
    <x v="53"/>
    <n v="3"/>
    <x v="0"/>
  </r>
  <r>
    <x v="52"/>
    <s v="TJK"/>
    <x v="1"/>
    <s v="EN.GHG.CO2.PC.CE.AR5"/>
    <x v="0"/>
    <n v="2"/>
    <x v="0"/>
  </r>
  <r>
    <x v="52"/>
    <s v="TJK"/>
    <x v="1"/>
    <s v="EN.GHG.CO2.PC.CE.AR5"/>
    <x v="1"/>
    <n v="2"/>
    <x v="0"/>
  </r>
  <r>
    <x v="52"/>
    <s v="TJK"/>
    <x v="1"/>
    <s v="EN.GHG.CO2.PC.CE.AR5"/>
    <x v="2"/>
    <n v="2"/>
    <x v="0"/>
  </r>
  <r>
    <x v="52"/>
    <s v="TJK"/>
    <x v="1"/>
    <s v="EN.GHG.CO2.PC.CE.AR5"/>
    <x v="3"/>
    <n v="1"/>
    <x v="0"/>
  </r>
  <r>
    <x v="52"/>
    <s v="TJK"/>
    <x v="1"/>
    <s v="EN.GHG.CO2.PC.CE.AR5"/>
    <x v="4"/>
    <n v="1"/>
    <x v="0"/>
  </r>
  <r>
    <x v="52"/>
    <s v="TJK"/>
    <x v="1"/>
    <s v="EN.GHG.CO2.PC.CE.AR5"/>
    <x v="5"/>
    <n v="1"/>
    <x v="0"/>
  </r>
  <r>
    <x v="52"/>
    <s v="TJK"/>
    <x v="1"/>
    <s v="EN.GHG.CO2.PC.CE.AR5"/>
    <x v="6"/>
    <n v="0"/>
    <x v="0"/>
  </r>
  <r>
    <x v="52"/>
    <s v="TJK"/>
    <x v="1"/>
    <s v="EN.GHG.CO2.PC.CE.AR5"/>
    <x v="7"/>
    <n v="0"/>
    <x v="1"/>
  </r>
  <r>
    <x v="52"/>
    <s v="TJK"/>
    <x v="1"/>
    <s v="EN.GHG.CO2.PC.CE.AR5"/>
    <x v="8"/>
    <n v="1"/>
    <x v="1"/>
  </r>
  <r>
    <x v="52"/>
    <s v="TJK"/>
    <x v="1"/>
    <s v="EN.GHG.CO2.PC.CE.AR5"/>
    <x v="9"/>
    <n v="0"/>
    <x v="1"/>
  </r>
  <r>
    <x v="52"/>
    <s v="TJK"/>
    <x v="1"/>
    <s v="EN.GHG.CO2.PC.CE.AR5"/>
    <x v="10"/>
    <n v="0"/>
    <x v="1"/>
  </r>
  <r>
    <x v="52"/>
    <s v="TJK"/>
    <x v="1"/>
    <s v="EN.GHG.CO2.PC.CE.AR5"/>
    <x v="11"/>
    <n v="0"/>
    <x v="1"/>
  </r>
  <r>
    <x v="52"/>
    <s v="TJK"/>
    <x v="1"/>
    <s v="EN.GHG.CO2.PC.CE.AR5"/>
    <x v="12"/>
    <n v="0"/>
    <x v="1"/>
  </r>
  <r>
    <x v="52"/>
    <s v="TJK"/>
    <x v="1"/>
    <s v="EN.GHG.CO2.PC.CE.AR5"/>
    <x v="13"/>
    <n v="0"/>
    <x v="1"/>
  </r>
  <r>
    <x v="52"/>
    <s v="TJK"/>
    <x v="1"/>
    <s v="EN.GHG.CO2.PC.CE.AR5"/>
    <x v="14"/>
    <n v="0"/>
    <x v="1"/>
  </r>
  <r>
    <x v="52"/>
    <s v="TJK"/>
    <x v="1"/>
    <s v="EN.GHG.CO2.PC.CE.AR5"/>
    <x v="15"/>
    <n v="0"/>
    <x v="1"/>
  </r>
  <r>
    <x v="52"/>
    <s v="TJK"/>
    <x v="1"/>
    <s v="EN.GHG.CO2.PC.CE.AR5"/>
    <x v="16"/>
    <n v="0"/>
    <x v="1"/>
  </r>
  <r>
    <x v="52"/>
    <s v="TJK"/>
    <x v="1"/>
    <s v="EN.GHG.CO2.PC.CE.AR5"/>
    <x v="17"/>
    <n v="1"/>
    <x v="2"/>
  </r>
  <r>
    <x v="52"/>
    <s v="TJK"/>
    <x v="1"/>
    <s v="EN.GHG.CO2.PC.CE.AR5"/>
    <x v="18"/>
    <n v="1"/>
    <x v="2"/>
  </r>
  <r>
    <x v="52"/>
    <s v="TJK"/>
    <x v="1"/>
    <s v="EN.GHG.CO2.PC.CE.AR5"/>
    <x v="19"/>
    <n v="0"/>
    <x v="2"/>
  </r>
  <r>
    <x v="52"/>
    <s v="TJK"/>
    <x v="1"/>
    <s v="EN.GHG.CO2.PC.CE.AR5"/>
    <x v="20"/>
    <n v="0"/>
    <x v="2"/>
  </r>
  <r>
    <x v="52"/>
    <s v="TJK"/>
    <x v="1"/>
    <s v="EN.GHG.CO2.PC.CE.AR5"/>
    <x v="21"/>
    <n v="0"/>
    <x v="2"/>
  </r>
  <r>
    <x v="52"/>
    <s v="TJK"/>
    <x v="1"/>
    <s v="EN.GHG.CO2.PC.CE.AR5"/>
    <x v="22"/>
    <n v="0"/>
    <x v="2"/>
  </r>
  <r>
    <x v="52"/>
    <s v="TJK"/>
    <x v="1"/>
    <s v="EN.GHG.CO2.PC.CE.AR5"/>
    <x v="23"/>
    <n v="0"/>
    <x v="2"/>
  </r>
  <r>
    <x v="52"/>
    <s v="TJK"/>
    <x v="1"/>
    <s v="EN.GHG.CO2.PC.CE.AR5"/>
    <x v="24"/>
    <n v="1"/>
    <x v="2"/>
  </r>
  <r>
    <x v="52"/>
    <s v="TJK"/>
    <x v="1"/>
    <s v="EN.GHG.CO2.PC.CE.AR5"/>
    <x v="25"/>
    <n v="1"/>
    <x v="2"/>
  </r>
  <r>
    <x v="52"/>
    <s v="TJK"/>
    <x v="1"/>
    <s v="EN.GHG.CO2.PC.CE.AR5"/>
    <x v="26"/>
    <n v="1"/>
    <x v="2"/>
  </r>
  <r>
    <x v="52"/>
    <s v="TJK"/>
    <x v="1"/>
    <s v="EN.GHG.CO2.PC.CE.AR5"/>
    <x v="27"/>
    <n v="1"/>
    <x v="3"/>
  </r>
  <r>
    <x v="52"/>
    <s v="TJK"/>
    <x v="1"/>
    <s v="EN.GHG.CO2.PC.CE.AR5"/>
    <x v="28"/>
    <n v="1"/>
    <x v="3"/>
  </r>
  <r>
    <x v="52"/>
    <s v="TJK"/>
    <x v="1"/>
    <s v="EN.GHG.CO2.PC.CE.AR5"/>
    <x v="29"/>
    <n v="1"/>
    <x v="3"/>
  </r>
  <r>
    <x v="52"/>
    <s v="TJK"/>
    <x v="1"/>
    <s v="EN.GHG.CO2.PC.CE.AR5"/>
    <x v="30"/>
    <n v="1"/>
    <x v="3"/>
  </r>
  <r>
    <x v="52"/>
    <s v="TJK"/>
    <x v="1"/>
    <s v="EN.GHG.CO2.PC.CE.AR5"/>
    <x v="31"/>
    <n v="1"/>
    <x v="3"/>
  </r>
  <r>
    <x v="52"/>
    <s v="TJK"/>
    <x v="1"/>
    <s v="EN.GHG.CO2.PC.CE.AR5"/>
    <x v="32"/>
    <n v="1"/>
    <x v="4"/>
  </r>
  <r>
    <x v="52"/>
    <s v="TJK"/>
    <x v="1"/>
    <s v="EN.GHG.CO2.PC.CE.AR5"/>
    <x v="33"/>
    <n v="1"/>
    <x v="4"/>
  </r>
  <r>
    <x v="52"/>
    <s v="TJK"/>
    <x v="1"/>
    <s v="EN.GHG.CO2.PC.CE.AR5"/>
    <x v="54"/>
    <n v="1"/>
    <x v="4"/>
  </r>
  <r>
    <x v="53"/>
    <s v="TKM"/>
    <x v="1"/>
    <s v="EN.GHG.CO2.PC.CE.AR5"/>
    <x v="34"/>
    <n v="9"/>
    <x v="4"/>
  </r>
  <r>
    <x v="53"/>
    <s v="TKM"/>
    <x v="1"/>
    <s v="EN.GHG.CO2.PC.CE.AR5"/>
    <x v="35"/>
    <n v="8"/>
    <x v="4"/>
  </r>
  <r>
    <x v="53"/>
    <s v="TKM"/>
    <x v="1"/>
    <s v="EN.GHG.CO2.PC.CE.AR5"/>
    <x v="36"/>
    <n v="9"/>
    <x v="4"/>
  </r>
  <r>
    <x v="53"/>
    <s v="TKM"/>
    <x v="1"/>
    <s v="EN.GHG.CO2.PC.CE.AR5"/>
    <x v="37"/>
    <n v="9"/>
    <x v="4"/>
  </r>
  <r>
    <x v="53"/>
    <s v="TKM"/>
    <x v="1"/>
    <s v="EN.GHG.CO2.PC.CE.AR5"/>
    <x v="38"/>
    <n v="9"/>
    <x v="4"/>
  </r>
  <r>
    <x v="53"/>
    <s v="TKM"/>
    <x v="1"/>
    <s v="EN.GHG.CO2.PC.CE.AR5"/>
    <x v="39"/>
    <n v="9"/>
    <x v="4"/>
  </r>
  <r>
    <x v="53"/>
    <s v="TKM"/>
    <x v="1"/>
    <s v="EN.GHG.CO2.PC.CE.AR5"/>
    <x v="40"/>
    <n v="9"/>
    <x v="4"/>
  </r>
  <r>
    <x v="53"/>
    <s v="TKM"/>
    <x v="1"/>
    <s v="EN.GHG.CO2.PC.CE.AR5"/>
    <x v="41"/>
    <n v="10"/>
    <x v="5"/>
  </r>
  <r>
    <x v="53"/>
    <s v="TKM"/>
    <x v="1"/>
    <s v="EN.GHG.CO2.PC.CE.AR5"/>
    <x v="42"/>
    <n v="10"/>
    <x v="5"/>
  </r>
  <r>
    <x v="53"/>
    <s v="TKM"/>
    <x v="1"/>
    <s v="EN.GHG.CO2.PC.CE.AR5"/>
    <x v="43"/>
    <n v="10"/>
    <x v="5"/>
  </r>
  <r>
    <x v="53"/>
    <s v="TKM"/>
    <x v="1"/>
    <s v="EN.GHG.CO2.PC.CE.AR5"/>
    <x v="44"/>
    <n v="10"/>
    <x v="5"/>
  </r>
  <r>
    <x v="53"/>
    <s v="TKM"/>
    <x v="1"/>
    <s v="EN.GHG.CO2.PC.CE.AR5"/>
    <x v="45"/>
    <n v="11"/>
    <x v="5"/>
  </r>
  <r>
    <x v="53"/>
    <s v="TKM"/>
    <x v="1"/>
    <s v="EN.GHG.CO2.PC.CE.AR5"/>
    <x v="46"/>
    <n v="11"/>
    <x v="5"/>
  </r>
  <r>
    <x v="53"/>
    <s v="TKM"/>
    <x v="1"/>
    <s v="EN.GHG.CO2.PC.CE.AR5"/>
    <x v="47"/>
    <n v="11"/>
    <x v="5"/>
  </r>
  <r>
    <x v="53"/>
    <s v="TKM"/>
    <x v="1"/>
    <s v="EN.GHG.CO2.PC.CE.AR5"/>
    <x v="48"/>
    <n v="11"/>
    <x v="5"/>
  </r>
  <r>
    <x v="53"/>
    <s v="TKM"/>
    <x v="1"/>
    <s v="EN.GHG.CO2.PC.CE.AR5"/>
    <x v="49"/>
    <n v="11"/>
    <x v="5"/>
  </r>
  <r>
    <x v="53"/>
    <s v="TKM"/>
    <x v="1"/>
    <s v="EN.GHG.CO2.PC.CE.AR5"/>
    <x v="50"/>
    <n v="11"/>
    <x v="5"/>
  </r>
  <r>
    <x v="53"/>
    <s v="TKM"/>
    <x v="1"/>
    <s v="EN.GHG.CO2.PC.CE.AR5"/>
    <x v="51"/>
    <n v="11"/>
    <x v="0"/>
  </r>
  <r>
    <x v="53"/>
    <s v="TKM"/>
    <x v="1"/>
    <s v="EN.GHG.CO2.PC.CE.AR5"/>
    <x v="52"/>
    <n v="11"/>
    <x v="0"/>
  </r>
  <r>
    <x v="53"/>
    <s v="TKM"/>
    <x v="1"/>
    <s v="EN.GHG.CO2.PC.CE.AR5"/>
    <x v="53"/>
    <n v="11"/>
    <x v="0"/>
  </r>
  <r>
    <x v="53"/>
    <s v="TKM"/>
    <x v="1"/>
    <s v="EN.GHG.CO2.PC.CE.AR5"/>
    <x v="0"/>
    <n v="12"/>
    <x v="0"/>
  </r>
  <r>
    <x v="53"/>
    <s v="TKM"/>
    <x v="1"/>
    <s v="EN.GHG.CO2.PC.CE.AR5"/>
    <x v="1"/>
    <n v="10"/>
    <x v="0"/>
  </r>
  <r>
    <x v="53"/>
    <s v="TKM"/>
    <x v="1"/>
    <s v="EN.GHG.CO2.PC.CE.AR5"/>
    <x v="2"/>
    <n v="7"/>
    <x v="0"/>
  </r>
  <r>
    <x v="53"/>
    <s v="TKM"/>
    <x v="1"/>
    <s v="EN.GHG.CO2.PC.CE.AR5"/>
    <x v="3"/>
    <n v="7"/>
    <x v="0"/>
  </r>
  <r>
    <x v="53"/>
    <s v="TKM"/>
    <x v="1"/>
    <s v="EN.GHG.CO2.PC.CE.AR5"/>
    <x v="4"/>
    <n v="8"/>
    <x v="0"/>
  </r>
  <r>
    <x v="53"/>
    <s v="TKM"/>
    <x v="1"/>
    <s v="EN.GHG.CO2.PC.CE.AR5"/>
    <x v="5"/>
    <n v="8"/>
    <x v="0"/>
  </r>
  <r>
    <x v="53"/>
    <s v="TKM"/>
    <x v="1"/>
    <s v="EN.GHG.CO2.PC.CE.AR5"/>
    <x v="6"/>
    <n v="7"/>
    <x v="0"/>
  </r>
  <r>
    <x v="53"/>
    <s v="TKM"/>
    <x v="1"/>
    <s v="EN.GHG.CO2.PC.CE.AR5"/>
    <x v="7"/>
    <n v="7"/>
    <x v="1"/>
  </r>
  <r>
    <x v="53"/>
    <s v="TKM"/>
    <x v="1"/>
    <s v="EN.GHG.CO2.PC.CE.AR5"/>
    <x v="8"/>
    <n v="7"/>
    <x v="1"/>
  </r>
  <r>
    <x v="53"/>
    <s v="TKM"/>
    <x v="1"/>
    <s v="EN.GHG.CO2.PC.CE.AR5"/>
    <x v="9"/>
    <n v="9"/>
    <x v="1"/>
  </r>
  <r>
    <x v="53"/>
    <s v="TKM"/>
    <x v="1"/>
    <s v="EN.GHG.CO2.PC.CE.AR5"/>
    <x v="10"/>
    <n v="9"/>
    <x v="1"/>
  </r>
  <r>
    <x v="53"/>
    <s v="TKM"/>
    <x v="1"/>
    <s v="EN.GHG.CO2.PC.CE.AR5"/>
    <x v="11"/>
    <n v="9"/>
    <x v="1"/>
  </r>
  <r>
    <x v="53"/>
    <s v="TKM"/>
    <x v="1"/>
    <s v="EN.GHG.CO2.PC.CE.AR5"/>
    <x v="12"/>
    <n v="9"/>
    <x v="1"/>
  </r>
  <r>
    <x v="53"/>
    <s v="TKM"/>
    <x v="1"/>
    <s v="EN.GHG.CO2.PC.CE.AR5"/>
    <x v="13"/>
    <n v="10"/>
    <x v="1"/>
  </r>
  <r>
    <x v="53"/>
    <s v="TKM"/>
    <x v="1"/>
    <s v="EN.GHG.CO2.PC.CE.AR5"/>
    <x v="14"/>
    <n v="10"/>
    <x v="1"/>
  </r>
  <r>
    <x v="53"/>
    <s v="TKM"/>
    <x v="1"/>
    <s v="EN.GHG.CO2.PC.CE.AR5"/>
    <x v="15"/>
    <n v="10"/>
    <x v="1"/>
  </r>
  <r>
    <x v="53"/>
    <s v="TKM"/>
    <x v="1"/>
    <s v="EN.GHG.CO2.PC.CE.AR5"/>
    <x v="16"/>
    <n v="11"/>
    <x v="1"/>
  </r>
  <r>
    <x v="53"/>
    <s v="TKM"/>
    <x v="1"/>
    <s v="EN.GHG.CO2.PC.CE.AR5"/>
    <x v="17"/>
    <n v="12"/>
    <x v="2"/>
  </r>
  <r>
    <x v="53"/>
    <s v="TKM"/>
    <x v="1"/>
    <s v="EN.GHG.CO2.PC.CE.AR5"/>
    <x v="18"/>
    <n v="12"/>
    <x v="2"/>
  </r>
  <r>
    <x v="53"/>
    <s v="TKM"/>
    <x v="1"/>
    <s v="EN.GHG.CO2.PC.CE.AR5"/>
    <x v="19"/>
    <n v="10"/>
    <x v="2"/>
  </r>
  <r>
    <x v="53"/>
    <s v="TKM"/>
    <x v="1"/>
    <s v="EN.GHG.CO2.PC.CE.AR5"/>
    <x v="20"/>
    <n v="11"/>
    <x v="2"/>
  </r>
  <r>
    <x v="53"/>
    <s v="TKM"/>
    <x v="1"/>
    <s v="EN.GHG.CO2.PC.CE.AR5"/>
    <x v="21"/>
    <n v="12"/>
    <x v="2"/>
  </r>
  <r>
    <x v="53"/>
    <s v="TKM"/>
    <x v="1"/>
    <s v="EN.GHG.CO2.PC.CE.AR5"/>
    <x v="22"/>
    <n v="12"/>
    <x v="2"/>
  </r>
  <r>
    <x v="53"/>
    <s v="TKM"/>
    <x v="1"/>
    <s v="EN.GHG.CO2.PC.CE.AR5"/>
    <x v="23"/>
    <n v="11"/>
    <x v="2"/>
  </r>
  <r>
    <x v="53"/>
    <s v="TKM"/>
    <x v="1"/>
    <s v="EN.GHG.CO2.PC.CE.AR5"/>
    <x v="24"/>
    <n v="10"/>
    <x v="2"/>
  </r>
  <r>
    <x v="53"/>
    <s v="TKM"/>
    <x v="1"/>
    <s v="EN.GHG.CO2.PC.CE.AR5"/>
    <x v="25"/>
    <n v="11"/>
    <x v="2"/>
  </r>
  <r>
    <x v="53"/>
    <s v="TKM"/>
    <x v="1"/>
    <s v="EN.GHG.CO2.PC.CE.AR5"/>
    <x v="26"/>
    <n v="11"/>
    <x v="2"/>
  </r>
  <r>
    <x v="53"/>
    <s v="TKM"/>
    <x v="1"/>
    <s v="EN.GHG.CO2.PC.CE.AR5"/>
    <x v="27"/>
    <n v="11"/>
    <x v="3"/>
  </r>
  <r>
    <x v="53"/>
    <s v="TKM"/>
    <x v="1"/>
    <s v="EN.GHG.CO2.PC.CE.AR5"/>
    <x v="28"/>
    <n v="11"/>
    <x v="3"/>
  </r>
  <r>
    <x v="53"/>
    <s v="TKM"/>
    <x v="1"/>
    <s v="EN.GHG.CO2.PC.CE.AR5"/>
    <x v="29"/>
    <n v="11"/>
    <x v="3"/>
  </r>
  <r>
    <x v="53"/>
    <s v="TKM"/>
    <x v="1"/>
    <s v="EN.GHG.CO2.PC.CE.AR5"/>
    <x v="30"/>
    <n v="11"/>
    <x v="3"/>
  </r>
  <r>
    <x v="53"/>
    <s v="TKM"/>
    <x v="1"/>
    <s v="EN.GHG.CO2.PC.CE.AR5"/>
    <x v="31"/>
    <n v="13"/>
    <x v="3"/>
  </r>
  <r>
    <x v="53"/>
    <s v="TKM"/>
    <x v="1"/>
    <s v="EN.GHG.CO2.PC.CE.AR5"/>
    <x v="32"/>
    <n v="14"/>
    <x v="4"/>
  </r>
  <r>
    <x v="53"/>
    <s v="TKM"/>
    <x v="1"/>
    <s v="EN.GHG.CO2.PC.CE.AR5"/>
    <x v="33"/>
    <n v="13"/>
    <x v="4"/>
  </r>
  <r>
    <x v="53"/>
    <s v="TKM"/>
    <x v="1"/>
    <s v="EN.GHG.CO2.PC.CE.AR5"/>
    <x v="54"/>
    <n v="11"/>
    <x v="4"/>
  </r>
  <r>
    <x v="54"/>
    <s v="TUR"/>
    <x v="1"/>
    <s v="EN.GHG.CO2.PC.CE.AR5"/>
    <x v="34"/>
    <n v="1"/>
    <x v="4"/>
  </r>
  <r>
    <x v="54"/>
    <s v="TUR"/>
    <x v="1"/>
    <s v="EN.GHG.CO2.PC.CE.AR5"/>
    <x v="35"/>
    <n v="1"/>
    <x v="4"/>
  </r>
  <r>
    <x v="54"/>
    <s v="TUR"/>
    <x v="1"/>
    <s v="EN.GHG.CO2.PC.CE.AR5"/>
    <x v="36"/>
    <n v="2"/>
    <x v="4"/>
  </r>
  <r>
    <x v="54"/>
    <s v="TUR"/>
    <x v="1"/>
    <s v="EN.GHG.CO2.PC.CE.AR5"/>
    <x v="37"/>
    <n v="2"/>
    <x v="4"/>
  </r>
  <r>
    <x v="54"/>
    <s v="TUR"/>
    <x v="1"/>
    <s v="EN.GHG.CO2.PC.CE.AR5"/>
    <x v="38"/>
    <n v="2"/>
    <x v="4"/>
  </r>
  <r>
    <x v="54"/>
    <s v="TUR"/>
    <x v="1"/>
    <s v="EN.GHG.CO2.PC.CE.AR5"/>
    <x v="39"/>
    <n v="2"/>
    <x v="4"/>
  </r>
  <r>
    <x v="54"/>
    <s v="TUR"/>
    <x v="1"/>
    <s v="EN.GHG.CO2.PC.CE.AR5"/>
    <x v="40"/>
    <n v="2"/>
    <x v="4"/>
  </r>
  <r>
    <x v="54"/>
    <s v="TUR"/>
    <x v="1"/>
    <s v="EN.GHG.CO2.PC.CE.AR5"/>
    <x v="41"/>
    <n v="2"/>
    <x v="5"/>
  </r>
  <r>
    <x v="54"/>
    <s v="TUR"/>
    <x v="1"/>
    <s v="EN.GHG.CO2.PC.CE.AR5"/>
    <x v="42"/>
    <n v="2"/>
    <x v="5"/>
  </r>
  <r>
    <x v="54"/>
    <s v="TUR"/>
    <x v="1"/>
    <s v="EN.GHG.CO2.PC.CE.AR5"/>
    <x v="43"/>
    <n v="2"/>
    <x v="5"/>
  </r>
  <r>
    <x v="54"/>
    <s v="TUR"/>
    <x v="1"/>
    <s v="EN.GHG.CO2.PC.CE.AR5"/>
    <x v="44"/>
    <n v="2"/>
    <x v="5"/>
  </r>
  <r>
    <x v="54"/>
    <s v="TUR"/>
    <x v="1"/>
    <s v="EN.GHG.CO2.PC.CE.AR5"/>
    <x v="45"/>
    <n v="2"/>
    <x v="5"/>
  </r>
  <r>
    <x v="54"/>
    <s v="TUR"/>
    <x v="1"/>
    <s v="EN.GHG.CO2.PC.CE.AR5"/>
    <x v="46"/>
    <n v="2"/>
    <x v="5"/>
  </r>
  <r>
    <x v="54"/>
    <s v="TUR"/>
    <x v="1"/>
    <s v="EN.GHG.CO2.PC.CE.AR5"/>
    <x v="47"/>
    <n v="2"/>
    <x v="5"/>
  </r>
  <r>
    <x v="54"/>
    <s v="TUR"/>
    <x v="1"/>
    <s v="EN.GHG.CO2.PC.CE.AR5"/>
    <x v="48"/>
    <n v="2"/>
    <x v="5"/>
  </r>
  <r>
    <x v="54"/>
    <s v="TUR"/>
    <x v="1"/>
    <s v="EN.GHG.CO2.PC.CE.AR5"/>
    <x v="49"/>
    <n v="2"/>
    <x v="5"/>
  </r>
  <r>
    <x v="54"/>
    <s v="TUR"/>
    <x v="1"/>
    <s v="EN.GHG.CO2.PC.CE.AR5"/>
    <x v="50"/>
    <n v="2"/>
    <x v="5"/>
  </r>
  <r>
    <x v="54"/>
    <s v="TUR"/>
    <x v="1"/>
    <s v="EN.GHG.CO2.PC.CE.AR5"/>
    <x v="51"/>
    <n v="2"/>
    <x v="0"/>
  </r>
  <r>
    <x v="54"/>
    <s v="TUR"/>
    <x v="1"/>
    <s v="EN.GHG.CO2.PC.CE.AR5"/>
    <x v="52"/>
    <n v="2"/>
    <x v="0"/>
  </r>
  <r>
    <x v="54"/>
    <s v="TUR"/>
    <x v="1"/>
    <s v="EN.GHG.CO2.PC.CE.AR5"/>
    <x v="53"/>
    <n v="3"/>
    <x v="0"/>
  </r>
  <r>
    <x v="54"/>
    <s v="TUR"/>
    <x v="1"/>
    <s v="EN.GHG.CO2.PC.CE.AR5"/>
    <x v="0"/>
    <n v="3"/>
    <x v="0"/>
  </r>
  <r>
    <x v="54"/>
    <s v="TUR"/>
    <x v="1"/>
    <s v="EN.GHG.CO2.PC.CE.AR5"/>
    <x v="1"/>
    <n v="3"/>
    <x v="0"/>
  </r>
  <r>
    <x v="54"/>
    <s v="TUR"/>
    <x v="1"/>
    <s v="EN.GHG.CO2.PC.CE.AR5"/>
    <x v="2"/>
    <n v="3"/>
    <x v="0"/>
  </r>
  <r>
    <x v="54"/>
    <s v="TUR"/>
    <x v="1"/>
    <s v="EN.GHG.CO2.PC.CE.AR5"/>
    <x v="3"/>
    <n v="3"/>
    <x v="0"/>
  </r>
  <r>
    <x v="54"/>
    <s v="TUR"/>
    <x v="1"/>
    <s v="EN.GHG.CO2.PC.CE.AR5"/>
    <x v="4"/>
    <n v="3"/>
    <x v="0"/>
  </r>
  <r>
    <x v="54"/>
    <s v="TUR"/>
    <x v="1"/>
    <s v="EN.GHG.CO2.PC.CE.AR5"/>
    <x v="5"/>
    <n v="3"/>
    <x v="0"/>
  </r>
  <r>
    <x v="54"/>
    <s v="TUR"/>
    <x v="1"/>
    <s v="EN.GHG.CO2.PC.CE.AR5"/>
    <x v="6"/>
    <n v="3"/>
    <x v="0"/>
  </r>
  <r>
    <x v="54"/>
    <s v="TUR"/>
    <x v="1"/>
    <s v="EN.GHG.CO2.PC.CE.AR5"/>
    <x v="7"/>
    <n v="3"/>
    <x v="1"/>
  </r>
  <r>
    <x v="54"/>
    <s v="TUR"/>
    <x v="1"/>
    <s v="EN.GHG.CO2.PC.CE.AR5"/>
    <x v="8"/>
    <n v="3"/>
    <x v="1"/>
  </r>
  <r>
    <x v="54"/>
    <s v="TUR"/>
    <x v="1"/>
    <s v="EN.GHG.CO2.PC.CE.AR5"/>
    <x v="9"/>
    <n v="3"/>
    <x v="1"/>
  </r>
  <r>
    <x v="54"/>
    <s v="TUR"/>
    <x v="1"/>
    <s v="EN.GHG.CO2.PC.CE.AR5"/>
    <x v="10"/>
    <n v="3"/>
    <x v="1"/>
  </r>
  <r>
    <x v="54"/>
    <s v="TUR"/>
    <x v="1"/>
    <s v="EN.GHG.CO2.PC.CE.AR5"/>
    <x v="11"/>
    <n v="3"/>
    <x v="1"/>
  </r>
  <r>
    <x v="54"/>
    <s v="TUR"/>
    <x v="1"/>
    <s v="EN.GHG.CO2.PC.CE.AR5"/>
    <x v="12"/>
    <n v="3"/>
    <x v="1"/>
  </r>
  <r>
    <x v="54"/>
    <s v="TUR"/>
    <x v="1"/>
    <s v="EN.GHG.CO2.PC.CE.AR5"/>
    <x v="13"/>
    <n v="3"/>
    <x v="1"/>
  </r>
  <r>
    <x v="54"/>
    <s v="TUR"/>
    <x v="1"/>
    <s v="EN.GHG.CO2.PC.CE.AR5"/>
    <x v="14"/>
    <n v="3"/>
    <x v="1"/>
  </r>
  <r>
    <x v="54"/>
    <s v="TUR"/>
    <x v="1"/>
    <s v="EN.GHG.CO2.PC.CE.AR5"/>
    <x v="15"/>
    <n v="4"/>
    <x v="1"/>
  </r>
  <r>
    <x v="54"/>
    <s v="TUR"/>
    <x v="1"/>
    <s v="EN.GHG.CO2.PC.CE.AR5"/>
    <x v="16"/>
    <n v="4"/>
    <x v="1"/>
  </r>
  <r>
    <x v="54"/>
    <s v="TUR"/>
    <x v="1"/>
    <s v="EN.GHG.CO2.PC.CE.AR5"/>
    <x v="17"/>
    <n v="4"/>
    <x v="2"/>
  </r>
  <r>
    <x v="54"/>
    <s v="TUR"/>
    <x v="1"/>
    <s v="EN.GHG.CO2.PC.CE.AR5"/>
    <x v="18"/>
    <n v="4"/>
    <x v="2"/>
  </r>
  <r>
    <x v="54"/>
    <s v="TUR"/>
    <x v="1"/>
    <s v="EN.GHG.CO2.PC.CE.AR5"/>
    <x v="19"/>
    <n v="4"/>
    <x v="2"/>
  </r>
  <r>
    <x v="54"/>
    <s v="TUR"/>
    <x v="1"/>
    <s v="EN.GHG.CO2.PC.CE.AR5"/>
    <x v="20"/>
    <n v="4"/>
    <x v="2"/>
  </r>
  <r>
    <x v="54"/>
    <s v="TUR"/>
    <x v="1"/>
    <s v="EN.GHG.CO2.PC.CE.AR5"/>
    <x v="21"/>
    <n v="4"/>
    <x v="2"/>
  </r>
  <r>
    <x v="54"/>
    <s v="TUR"/>
    <x v="1"/>
    <s v="EN.GHG.CO2.PC.CE.AR5"/>
    <x v="22"/>
    <n v="5"/>
    <x v="2"/>
  </r>
  <r>
    <x v="54"/>
    <s v="TUR"/>
    <x v="1"/>
    <s v="EN.GHG.CO2.PC.CE.AR5"/>
    <x v="23"/>
    <n v="4"/>
    <x v="2"/>
  </r>
  <r>
    <x v="54"/>
    <s v="TUR"/>
    <x v="1"/>
    <s v="EN.GHG.CO2.PC.CE.AR5"/>
    <x v="24"/>
    <n v="5"/>
    <x v="2"/>
  </r>
  <r>
    <x v="54"/>
    <s v="TUR"/>
    <x v="1"/>
    <s v="EN.GHG.CO2.PC.CE.AR5"/>
    <x v="25"/>
    <n v="5"/>
    <x v="2"/>
  </r>
  <r>
    <x v="54"/>
    <s v="TUR"/>
    <x v="1"/>
    <s v="EN.GHG.CO2.PC.CE.AR5"/>
    <x v="26"/>
    <n v="5"/>
    <x v="2"/>
  </r>
  <r>
    <x v="54"/>
    <s v="TUR"/>
    <x v="1"/>
    <s v="EN.GHG.CO2.PC.CE.AR5"/>
    <x v="27"/>
    <n v="5"/>
    <x v="3"/>
  </r>
  <r>
    <x v="54"/>
    <s v="TUR"/>
    <x v="1"/>
    <s v="EN.GHG.CO2.PC.CE.AR5"/>
    <x v="28"/>
    <n v="5"/>
    <x v="3"/>
  </r>
  <r>
    <x v="54"/>
    <s v="TUR"/>
    <x v="1"/>
    <s v="EN.GHG.CO2.PC.CE.AR5"/>
    <x v="29"/>
    <n v="5"/>
    <x v="3"/>
  </r>
  <r>
    <x v="54"/>
    <s v="TUR"/>
    <x v="1"/>
    <s v="EN.GHG.CO2.PC.CE.AR5"/>
    <x v="30"/>
    <n v="5"/>
    <x v="3"/>
  </r>
  <r>
    <x v="54"/>
    <s v="TUR"/>
    <x v="1"/>
    <s v="EN.GHG.CO2.PC.CE.AR5"/>
    <x v="31"/>
    <n v="5"/>
    <x v="3"/>
  </r>
  <r>
    <x v="54"/>
    <s v="TUR"/>
    <x v="1"/>
    <s v="EN.GHG.CO2.PC.CE.AR5"/>
    <x v="32"/>
    <n v="5"/>
    <x v="4"/>
  </r>
  <r>
    <x v="54"/>
    <s v="TUR"/>
    <x v="1"/>
    <s v="EN.GHG.CO2.PC.CE.AR5"/>
    <x v="33"/>
    <n v="5"/>
    <x v="4"/>
  </r>
  <r>
    <x v="54"/>
    <s v="TUR"/>
    <x v="1"/>
    <s v="EN.GHG.CO2.PC.CE.AR5"/>
    <x v="54"/>
    <n v="5"/>
    <x v="4"/>
  </r>
  <r>
    <x v="55"/>
    <s v="UKR"/>
    <x v="1"/>
    <s v="EN.GHG.CO2.PC.CE.AR5"/>
    <x v="34"/>
    <n v="10"/>
    <x v="4"/>
  </r>
  <r>
    <x v="55"/>
    <s v="UKR"/>
    <x v="1"/>
    <s v="EN.GHG.CO2.PC.CE.AR5"/>
    <x v="35"/>
    <n v="10"/>
    <x v="4"/>
  </r>
  <r>
    <x v="55"/>
    <s v="UKR"/>
    <x v="1"/>
    <s v="EN.GHG.CO2.PC.CE.AR5"/>
    <x v="36"/>
    <n v="10"/>
    <x v="4"/>
  </r>
  <r>
    <x v="55"/>
    <s v="UKR"/>
    <x v="1"/>
    <s v="EN.GHG.CO2.PC.CE.AR5"/>
    <x v="37"/>
    <n v="11"/>
    <x v="4"/>
  </r>
  <r>
    <x v="55"/>
    <s v="UKR"/>
    <x v="1"/>
    <s v="EN.GHG.CO2.PC.CE.AR5"/>
    <x v="38"/>
    <n v="11"/>
    <x v="4"/>
  </r>
  <r>
    <x v="55"/>
    <s v="UKR"/>
    <x v="1"/>
    <s v="EN.GHG.CO2.PC.CE.AR5"/>
    <x v="39"/>
    <n v="12"/>
    <x v="4"/>
  </r>
  <r>
    <x v="55"/>
    <s v="UKR"/>
    <x v="1"/>
    <s v="EN.GHG.CO2.PC.CE.AR5"/>
    <x v="40"/>
    <n v="12"/>
    <x v="4"/>
  </r>
  <r>
    <x v="55"/>
    <s v="UKR"/>
    <x v="1"/>
    <s v="EN.GHG.CO2.PC.CE.AR5"/>
    <x v="41"/>
    <n v="12"/>
    <x v="5"/>
  </r>
  <r>
    <x v="55"/>
    <s v="UKR"/>
    <x v="1"/>
    <s v="EN.GHG.CO2.PC.CE.AR5"/>
    <x v="42"/>
    <n v="13"/>
    <x v="5"/>
  </r>
  <r>
    <x v="55"/>
    <s v="UKR"/>
    <x v="1"/>
    <s v="EN.GHG.CO2.PC.CE.AR5"/>
    <x v="43"/>
    <n v="13"/>
    <x v="5"/>
  </r>
  <r>
    <x v="55"/>
    <s v="UKR"/>
    <x v="1"/>
    <s v="EN.GHG.CO2.PC.CE.AR5"/>
    <x v="44"/>
    <n v="14"/>
    <x v="5"/>
  </r>
  <r>
    <x v="55"/>
    <s v="UKR"/>
    <x v="1"/>
    <s v="EN.GHG.CO2.PC.CE.AR5"/>
    <x v="45"/>
    <n v="13"/>
    <x v="5"/>
  </r>
  <r>
    <x v="55"/>
    <s v="UKR"/>
    <x v="1"/>
    <s v="EN.GHG.CO2.PC.CE.AR5"/>
    <x v="46"/>
    <n v="13"/>
    <x v="5"/>
  </r>
  <r>
    <x v="55"/>
    <s v="UKR"/>
    <x v="1"/>
    <s v="EN.GHG.CO2.PC.CE.AR5"/>
    <x v="47"/>
    <n v="13"/>
    <x v="5"/>
  </r>
  <r>
    <x v="55"/>
    <s v="UKR"/>
    <x v="1"/>
    <s v="EN.GHG.CO2.PC.CE.AR5"/>
    <x v="48"/>
    <n v="13"/>
    <x v="5"/>
  </r>
  <r>
    <x v="55"/>
    <s v="UKR"/>
    <x v="1"/>
    <s v="EN.GHG.CO2.PC.CE.AR5"/>
    <x v="49"/>
    <n v="13"/>
    <x v="5"/>
  </r>
  <r>
    <x v="55"/>
    <s v="UKR"/>
    <x v="1"/>
    <s v="EN.GHG.CO2.PC.CE.AR5"/>
    <x v="50"/>
    <n v="13"/>
    <x v="5"/>
  </r>
  <r>
    <x v="55"/>
    <s v="UKR"/>
    <x v="1"/>
    <s v="EN.GHG.CO2.PC.CE.AR5"/>
    <x v="51"/>
    <n v="14"/>
    <x v="0"/>
  </r>
  <r>
    <x v="55"/>
    <s v="UKR"/>
    <x v="1"/>
    <s v="EN.GHG.CO2.PC.CE.AR5"/>
    <x v="52"/>
    <n v="14"/>
    <x v="0"/>
  </r>
  <r>
    <x v="55"/>
    <s v="UKR"/>
    <x v="1"/>
    <s v="EN.GHG.CO2.PC.CE.AR5"/>
    <x v="53"/>
    <n v="14"/>
    <x v="0"/>
  </r>
  <r>
    <x v="55"/>
    <s v="UKR"/>
    <x v="1"/>
    <s v="EN.GHG.CO2.PC.CE.AR5"/>
    <x v="0"/>
    <n v="15"/>
    <x v="0"/>
  </r>
  <r>
    <x v="55"/>
    <s v="UKR"/>
    <x v="1"/>
    <s v="EN.GHG.CO2.PC.CE.AR5"/>
    <x v="1"/>
    <n v="14"/>
    <x v="0"/>
  </r>
  <r>
    <x v="55"/>
    <s v="UKR"/>
    <x v="1"/>
    <s v="EN.GHG.CO2.PC.CE.AR5"/>
    <x v="2"/>
    <n v="12"/>
    <x v="0"/>
  </r>
  <r>
    <x v="55"/>
    <s v="UKR"/>
    <x v="1"/>
    <s v="EN.GHG.CO2.PC.CE.AR5"/>
    <x v="3"/>
    <n v="11"/>
    <x v="0"/>
  </r>
  <r>
    <x v="55"/>
    <s v="UKR"/>
    <x v="1"/>
    <s v="EN.GHG.CO2.PC.CE.AR5"/>
    <x v="4"/>
    <n v="9"/>
    <x v="0"/>
  </r>
  <r>
    <x v="55"/>
    <s v="UKR"/>
    <x v="1"/>
    <s v="EN.GHG.CO2.PC.CE.AR5"/>
    <x v="5"/>
    <n v="9"/>
    <x v="0"/>
  </r>
  <r>
    <x v="55"/>
    <s v="UKR"/>
    <x v="1"/>
    <s v="EN.GHG.CO2.PC.CE.AR5"/>
    <x v="6"/>
    <n v="8"/>
    <x v="0"/>
  </r>
  <r>
    <x v="55"/>
    <s v="UKR"/>
    <x v="1"/>
    <s v="EN.GHG.CO2.PC.CE.AR5"/>
    <x v="7"/>
    <n v="8"/>
    <x v="1"/>
  </r>
  <r>
    <x v="55"/>
    <s v="UKR"/>
    <x v="1"/>
    <s v="EN.GHG.CO2.PC.CE.AR5"/>
    <x v="8"/>
    <n v="7"/>
    <x v="1"/>
  </r>
  <r>
    <x v="55"/>
    <s v="UKR"/>
    <x v="1"/>
    <s v="EN.GHG.CO2.PC.CE.AR5"/>
    <x v="9"/>
    <n v="7"/>
    <x v="1"/>
  </r>
  <r>
    <x v="55"/>
    <s v="UKR"/>
    <x v="1"/>
    <s v="EN.GHG.CO2.PC.CE.AR5"/>
    <x v="10"/>
    <n v="7"/>
    <x v="1"/>
  </r>
  <r>
    <x v="55"/>
    <s v="UKR"/>
    <x v="1"/>
    <s v="EN.GHG.CO2.PC.CE.AR5"/>
    <x v="11"/>
    <n v="7"/>
    <x v="1"/>
  </r>
  <r>
    <x v="55"/>
    <s v="UKR"/>
    <x v="1"/>
    <s v="EN.GHG.CO2.PC.CE.AR5"/>
    <x v="12"/>
    <n v="7"/>
    <x v="1"/>
  </r>
  <r>
    <x v="55"/>
    <s v="UKR"/>
    <x v="1"/>
    <s v="EN.GHG.CO2.PC.CE.AR5"/>
    <x v="13"/>
    <n v="8"/>
    <x v="1"/>
  </r>
  <r>
    <x v="55"/>
    <s v="UKR"/>
    <x v="1"/>
    <s v="EN.GHG.CO2.PC.CE.AR5"/>
    <x v="14"/>
    <n v="8"/>
    <x v="1"/>
  </r>
  <r>
    <x v="55"/>
    <s v="UKR"/>
    <x v="1"/>
    <s v="EN.GHG.CO2.PC.CE.AR5"/>
    <x v="15"/>
    <n v="8"/>
    <x v="1"/>
  </r>
  <r>
    <x v="55"/>
    <s v="UKR"/>
    <x v="1"/>
    <s v="EN.GHG.CO2.PC.CE.AR5"/>
    <x v="16"/>
    <n v="8"/>
    <x v="1"/>
  </r>
  <r>
    <x v="55"/>
    <s v="UKR"/>
    <x v="1"/>
    <s v="EN.GHG.CO2.PC.CE.AR5"/>
    <x v="17"/>
    <n v="8"/>
    <x v="2"/>
  </r>
  <r>
    <x v="55"/>
    <s v="UKR"/>
    <x v="1"/>
    <s v="EN.GHG.CO2.PC.CE.AR5"/>
    <x v="18"/>
    <n v="8"/>
    <x v="2"/>
  </r>
  <r>
    <x v="55"/>
    <s v="UKR"/>
    <x v="1"/>
    <s v="EN.GHG.CO2.PC.CE.AR5"/>
    <x v="19"/>
    <n v="6"/>
    <x v="2"/>
  </r>
  <r>
    <x v="55"/>
    <s v="UKR"/>
    <x v="1"/>
    <s v="EN.GHG.CO2.PC.CE.AR5"/>
    <x v="20"/>
    <n v="7"/>
    <x v="2"/>
  </r>
  <r>
    <x v="55"/>
    <s v="UKR"/>
    <x v="1"/>
    <s v="EN.GHG.CO2.PC.CE.AR5"/>
    <x v="21"/>
    <n v="7"/>
    <x v="2"/>
  </r>
  <r>
    <x v="55"/>
    <s v="UKR"/>
    <x v="1"/>
    <s v="EN.GHG.CO2.PC.CE.AR5"/>
    <x v="22"/>
    <n v="7"/>
    <x v="2"/>
  </r>
  <r>
    <x v="55"/>
    <s v="UKR"/>
    <x v="1"/>
    <s v="EN.GHG.CO2.PC.CE.AR5"/>
    <x v="23"/>
    <n v="7"/>
    <x v="2"/>
  </r>
  <r>
    <x v="55"/>
    <s v="UKR"/>
    <x v="1"/>
    <s v="EN.GHG.CO2.PC.CE.AR5"/>
    <x v="24"/>
    <n v="6"/>
    <x v="2"/>
  </r>
  <r>
    <x v="55"/>
    <s v="UKR"/>
    <x v="1"/>
    <s v="EN.GHG.CO2.PC.CE.AR5"/>
    <x v="25"/>
    <n v="5"/>
    <x v="2"/>
  </r>
  <r>
    <x v="55"/>
    <s v="UKR"/>
    <x v="1"/>
    <s v="EN.GHG.CO2.PC.CE.AR5"/>
    <x v="26"/>
    <n v="5"/>
    <x v="2"/>
  </r>
  <r>
    <x v="55"/>
    <s v="UKR"/>
    <x v="1"/>
    <s v="EN.GHG.CO2.PC.CE.AR5"/>
    <x v="27"/>
    <n v="5"/>
    <x v="3"/>
  </r>
  <r>
    <x v="55"/>
    <s v="UKR"/>
    <x v="1"/>
    <s v="EN.GHG.CO2.PC.CE.AR5"/>
    <x v="28"/>
    <n v="5"/>
    <x v="3"/>
  </r>
  <r>
    <x v="55"/>
    <s v="UKR"/>
    <x v="1"/>
    <s v="EN.GHG.CO2.PC.CE.AR5"/>
    <x v="29"/>
    <n v="5"/>
    <x v="3"/>
  </r>
  <r>
    <x v="55"/>
    <s v="UKR"/>
    <x v="1"/>
    <s v="EN.GHG.CO2.PC.CE.AR5"/>
    <x v="30"/>
    <n v="4"/>
    <x v="3"/>
  </r>
  <r>
    <x v="55"/>
    <s v="UKR"/>
    <x v="1"/>
    <s v="EN.GHG.CO2.PC.CE.AR5"/>
    <x v="31"/>
    <n v="4"/>
    <x v="3"/>
  </r>
  <r>
    <x v="55"/>
    <s v="UKR"/>
    <x v="1"/>
    <s v="EN.GHG.CO2.PC.CE.AR5"/>
    <x v="32"/>
    <n v="3"/>
    <x v="4"/>
  </r>
  <r>
    <x v="55"/>
    <s v="UKR"/>
    <x v="1"/>
    <s v="EN.GHG.CO2.PC.CE.AR5"/>
    <x v="33"/>
    <n v="3"/>
    <x v="4"/>
  </r>
  <r>
    <x v="55"/>
    <s v="UKR"/>
    <x v="1"/>
    <s v="EN.GHG.CO2.PC.CE.AR5"/>
    <x v="54"/>
    <n v="3"/>
    <x v="4"/>
  </r>
  <r>
    <x v="56"/>
    <s v="UZB"/>
    <x v="1"/>
    <s v="EN.GHG.CO2.PC.CE.AR5"/>
    <x v="34"/>
    <n v="5"/>
    <x v="4"/>
  </r>
  <r>
    <x v="56"/>
    <s v="UZB"/>
    <x v="1"/>
    <s v="EN.GHG.CO2.PC.CE.AR5"/>
    <x v="35"/>
    <n v="4"/>
    <x v="4"/>
  </r>
  <r>
    <x v="56"/>
    <s v="UZB"/>
    <x v="1"/>
    <s v="EN.GHG.CO2.PC.CE.AR5"/>
    <x v="36"/>
    <n v="5"/>
    <x v="4"/>
  </r>
  <r>
    <x v="56"/>
    <s v="UZB"/>
    <x v="1"/>
    <s v="EN.GHG.CO2.PC.CE.AR5"/>
    <x v="37"/>
    <n v="5"/>
    <x v="4"/>
  </r>
  <r>
    <x v="56"/>
    <s v="UZB"/>
    <x v="1"/>
    <s v="EN.GHG.CO2.PC.CE.AR5"/>
    <x v="38"/>
    <n v="5"/>
    <x v="4"/>
  </r>
  <r>
    <x v="56"/>
    <s v="UZB"/>
    <x v="1"/>
    <s v="EN.GHG.CO2.PC.CE.AR5"/>
    <x v="39"/>
    <n v="5"/>
    <x v="4"/>
  </r>
  <r>
    <x v="56"/>
    <s v="UZB"/>
    <x v="1"/>
    <s v="EN.GHG.CO2.PC.CE.AR5"/>
    <x v="40"/>
    <n v="5"/>
    <x v="4"/>
  </r>
  <r>
    <x v="56"/>
    <s v="UZB"/>
    <x v="1"/>
    <s v="EN.GHG.CO2.PC.CE.AR5"/>
    <x v="41"/>
    <n v="5"/>
    <x v="5"/>
  </r>
  <r>
    <x v="56"/>
    <s v="UZB"/>
    <x v="1"/>
    <s v="EN.GHG.CO2.PC.CE.AR5"/>
    <x v="42"/>
    <n v="5"/>
    <x v="5"/>
  </r>
  <r>
    <x v="56"/>
    <s v="UZB"/>
    <x v="1"/>
    <s v="EN.GHG.CO2.PC.CE.AR5"/>
    <x v="43"/>
    <n v="5"/>
    <x v="5"/>
  </r>
  <r>
    <x v="56"/>
    <s v="UZB"/>
    <x v="1"/>
    <s v="EN.GHG.CO2.PC.CE.AR5"/>
    <x v="44"/>
    <n v="6"/>
    <x v="5"/>
  </r>
  <r>
    <x v="56"/>
    <s v="UZB"/>
    <x v="1"/>
    <s v="EN.GHG.CO2.PC.CE.AR5"/>
    <x v="45"/>
    <n v="6"/>
    <x v="5"/>
  </r>
  <r>
    <x v="56"/>
    <s v="UZB"/>
    <x v="1"/>
    <s v="EN.GHG.CO2.PC.CE.AR5"/>
    <x v="46"/>
    <n v="6"/>
    <x v="5"/>
  </r>
  <r>
    <x v="56"/>
    <s v="UZB"/>
    <x v="1"/>
    <s v="EN.GHG.CO2.PC.CE.AR5"/>
    <x v="47"/>
    <n v="6"/>
    <x v="5"/>
  </r>
  <r>
    <x v="56"/>
    <s v="UZB"/>
    <x v="1"/>
    <s v="EN.GHG.CO2.PC.CE.AR5"/>
    <x v="48"/>
    <n v="6"/>
    <x v="5"/>
  </r>
  <r>
    <x v="56"/>
    <s v="UZB"/>
    <x v="1"/>
    <s v="EN.GHG.CO2.PC.CE.AR5"/>
    <x v="49"/>
    <n v="6"/>
    <x v="5"/>
  </r>
  <r>
    <x v="56"/>
    <s v="UZB"/>
    <x v="1"/>
    <s v="EN.GHG.CO2.PC.CE.AR5"/>
    <x v="50"/>
    <n v="6"/>
    <x v="5"/>
  </r>
  <r>
    <x v="56"/>
    <s v="UZB"/>
    <x v="1"/>
    <s v="EN.GHG.CO2.PC.CE.AR5"/>
    <x v="51"/>
    <n v="6"/>
    <x v="0"/>
  </r>
  <r>
    <x v="56"/>
    <s v="UZB"/>
    <x v="1"/>
    <s v="EN.GHG.CO2.PC.CE.AR5"/>
    <x v="52"/>
    <n v="6"/>
    <x v="0"/>
  </r>
  <r>
    <x v="56"/>
    <s v="UZB"/>
    <x v="1"/>
    <s v="EN.GHG.CO2.PC.CE.AR5"/>
    <x v="53"/>
    <n v="6"/>
    <x v="0"/>
  </r>
  <r>
    <x v="56"/>
    <s v="UZB"/>
    <x v="1"/>
    <s v="EN.GHG.CO2.PC.CE.AR5"/>
    <x v="0"/>
    <n v="6"/>
    <x v="0"/>
  </r>
  <r>
    <x v="56"/>
    <s v="UZB"/>
    <x v="1"/>
    <s v="EN.GHG.CO2.PC.CE.AR5"/>
    <x v="1"/>
    <n v="6"/>
    <x v="0"/>
  </r>
  <r>
    <x v="56"/>
    <s v="UZB"/>
    <x v="1"/>
    <s v="EN.GHG.CO2.PC.CE.AR5"/>
    <x v="2"/>
    <n v="6"/>
    <x v="0"/>
  </r>
  <r>
    <x v="56"/>
    <s v="UZB"/>
    <x v="1"/>
    <s v="EN.GHG.CO2.PC.CE.AR5"/>
    <x v="3"/>
    <n v="5"/>
    <x v="0"/>
  </r>
  <r>
    <x v="56"/>
    <s v="UZB"/>
    <x v="1"/>
    <s v="EN.GHG.CO2.PC.CE.AR5"/>
    <x v="4"/>
    <n v="5"/>
    <x v="0"/>
  </r>
  <r>
    <x v="56"/>
    <s v="UZB"/>
    <x v="1"/>
    <s v="EN.GHG.CO2.PC.CE.AR5"/>
    <x v="5"/>
    <n v="5"/>
    <x v="0"/>
  </r>
  <r>
    <x v="56"/>
    <s v="UZB"/>
    <x v="1"/>
    <s v="EN.GHG.CO2.PC.CE.AR5"/>
    <x v="6"/>
    <n v="5"/>
    <x v="0"/>
  </r>
  <r>
    <x v="56"/>
    <s v="UZB"/>
    <x v="1"/>
    <s v="EN.GHG.CO2.PC.CE.AR5"/>
    <x v="7"/>
    <n v="5"/>
    <x v="1"/>
  </r>
  <r>
    <x v="56"/>
    <s v="UZB"/>
    <x v="1"/>
    <s v="EN.GHG.CO2.PC.CE.AR5"/>
    <x v="8"/>
    <n v="5"/>
    <x v="1"/>
  </r>
  <r>
    <x v="56"/>
    <s v="UZB"/>
    <x v="1"/>
    <s v="EN.GHG.CO2.PC.CE.AR5"/>
    <x v="9"/>
    <n v="5"/>
    <x v="1"/>
  </r>
  <r>
    <x v="56"/>
    <s v="UZB"/>
    <x v="1"/>
    <s v="EN.GHG.CO2.PC.CE.AR5"/>
    <x v="10"/>
    <n v="5"/>
    <x v="1"/>
  </r>
  <r>
    <x v="56"/>
    <s v="UZB"/>
    <x v="1"/>
    <s v="EN.GHG.CO2.PC.CE.AR5"/>
    <x v="11"/>
    <n v="5"/>
    <x v="1"/>
  </r>
  <r>
    <x v="56"/>
    <s v="UZB"/>
    <x v="1"/>
    <s v="EN.GHG.CO2.PC.CE.AR5"/>
    <x v="12"/>
    <n v="5"/>
    <x v="1"/>
  </r>
  <r>
    <x v="56"/>
    <s v="UZB"/>
    <x v="1"/>
    <s v="EN.GHG.CO2.PC.CE.AR5"/>
    <x v="13"/>
    <n v="5"/>
    <x v="1"/>
  </r>
  <r>
    <x v="56"/>
    <s v="UZB"/>
    <x v="1"/>
    <s v="EN.GHG.CO2.PC.CE.AR5"/>
    <x v="14"/>
    <n v="5"/>
    <x v="1"/>
  </r>
  <r>
    <x v="56"/>
    <s v="UZB"/>
    <x v="1"/>
    <s v="EN.GHG.CO2.PC.CE.AR5"/>
    <x v="15"/>
    <n v="5"/>
    <x v="1"/>
  </r>
  <r>
    <x v="56"/>
    <s v="UZB"/>
    <x v="1"/>
    <s v="EN.GHG.CO2.PC.CE.AR5"/>
    <x v="16"/>
    <n v="5"/>
    <x v="1"/>
  </r>
  <r>
    <x v="56"/>
    <s v="UZB"/>
    <x v="1"/>
    <s v="EN.GHG.CO2.PC.CE.AR5"/>
    <x v="17"/>
    <n v="5"/>
    <x v="2"/>
  </r>
  <r>
    <x v="56"/>
    <s v="UZB"/>
    <x v="1"/>
    <s v="EN.GHG.CO2.PC.CE.AR5"/>
    <x v="18"/>
    <n v="5"/>
    <x v="2"/>
  </r>
  <r>
    <x v="56"/>
    <s v="UZB"/>
    <x v="1"/>
    <s v="EN.GHG.CO2.PC.CE.AR5"/>
    <x v="19"/>
    <n v="4"/>
    <x v="2"/>
  </r>
  <r>
    <x v="56"/>
    <s v="UZB"/>
    <x v="1"/>
    <s v="EN.GHG.CO2.PC.CE.AR5"/>
    <x v="20"/>
    <n v="5"/>
    <x v="2"/>
  </r>
  <r>
    <x v="56"/>
    <s v="UZB"/>
    <x v="1"/>
    <s v="EN.GHG.CO2.PC.CE.AR5"/>
    <x v="21"/>
    <n v="5"/>
    <x v="2"/>
  </r>
  <r>
    <x v="56"/>
    <s v="UZB"/>
    <x v="1"/>
    <s v="EN.GHG.CO2.PC.CE.AR5"/>
    <x v="22"/>
    <n v="4"/>
    <x v="2"/>
  </r>
  <r>
    <x v="56"/>
    <s v="UZB"/>
    <x v="1"/>
    <s v="EN.GHG.CO2.PC.CE.AR5"/>
    <x v="23"/>
    <n v="4"/>
    <x v="2"/>
  </r>
  <r>
    <x v="56"/>
    <s v="UZB"/>
    <x v="1"/>
    <s v="EN.GHG.CO2.PC.CE.AR5"/>
    <x v="24"/>
    <n v="4"/>
    <x v="2"/>
  </r>
  <r>
    <x v="56"/>
    <s v="UZB"/>
    <x v="1"/>
    <s v="EN.GHG.CO2.PC.CE.AR5"/>
    <x v="25"/>
    <n v="3"/>
    <x v="2"/>
  </r>
  <r>
    <x v="56"/>
    <s v="UZB"/>
    <x v="1"/>
    <s v="EN.GHG.CO2.PC.CE.AR5"/>
    <x v="26"/>
    <n v="4"/>
    <x v="2"/>
  </r>
  <r>
    <x v="56"/>
    <s v="UZB"/>
    <x v="1"/>
    <s v="EN.GHG.CO2.PC.CE.AR5"/>
    <x v="27"/>
    <n v="4"/>
    <x v="3"/>
  </r>
  <r>
    <x v="56"/>
    <s v="UZB"/>
    <x v="1"/>
    <s v="EN.GHG.CO2.PC.CE.AR5"/>
    <x v="28"/>
    <n v="3"/>
    <x v="3"/>
  </r>
  <r>
    <x v="56"/>
    <s v="UZB"/>
    <x v="1"/>
    <s v="EN.GHG.CO2.PC.CE.AR5"/>
    <x v="29"/>
    <n v="3"/>
    <x v="3"/>
  </r>
  <r>
    <x v="56"/>
    <s v="UZB"/>
    <x v="1"/>
    <s v="EN.GHG.CO2.PC.CE.AR5"/>
    <x v="30"/>
    <n v="4"/>
    <x v="3"/>
  </r>
  <r>
    <x v="56"/>
    <s v="UZB"/>
    <x v="1"/>
    <s v="EN.GHG.CO2.PC.CE.AR5"/>
    <x v="31"/>
    <n v="4"/>
    <x v="3"/>
  </r>
  <r>
    <x v="56"/>
    <s v="UZB"/>
    <x v="1"/>
    <s v="EN.GHG.CO2.PC.CE.AR5"/>
    <x v="32"/>
    <n v="4"/>
    <x v="5"/>
  </r>
  <r>
    <x v="56"/>
    <s v="UZB"/>
    <x v="1"/>
    <s v="EN.GHG.CO2.PC.CE.AR5"/>
    <x v="33"/>
    <n v="4"/>
    <x v="5"/>
  </r>
  <r>
    <x v="56"/>
    <s v="UZB"/>
    <x v="1"/>
    <s v="EN.GHG.CO2.PC.CE.AR5"/>
    <x v="54"/>
    <n v="4"/>
    <x v="5"/>
  </r>
  <r>
    <x v="0"/>
    <s v="ALB"/>
    <x v="2"/>
    <s v="NY.GDP.PCAP.KD"/>
    <x v="44"/>
    <n v="1823"/>
    <x v="5"/>
  </r>
  <r>
    <x v="0"/>
    <s v="ALB"/>
    <x v="2"/>
    <s v="NY.GDP.PCAP.KD"/>
    <x v="45"/>
    <n v="1890"/>
    <x v="5"/>
  </r>
  <r>
    <x v="0"/>
    <s v="ALB"/>
    <x v="2"/>
    <s v="NY.GDP.PCAP.KD"/>
    <x v="46"/>
    <n v="1905"/>
    <x v="5"/>
  </r>
  <r>
    <x v="0"/>
    <s v="ALB"/>
    <x v="2"/>
    <s v="NY.GDP.PCAP.KD"/>
    <x v="47"/>
    <n v="1886"/>
    <x v="5"/>
  </r>
  <r>
    <x v="0"/>
    <s v="ALB"/>
    <x v="2"/>
    <s v="NY.GDP.PCAP.KD"/>
    <x v="48"/>
    <n v="1823"/>
    <x v="5"/>
  </r>
  <r>
    <x v="0"/>
    <s v="ALB"/>
    <x v="2"/>
    <s v="NY.GDP.PCAP.KD"/>
    <x v="49"/>
    <n v="1818"/>
    <x v="5"/>
  </r>
  <r>
    <x v="0"/>
    <s v="ALB"/>
    <x v="2"/>
    <s v="NY.GDP.PCAP.KD"/>
    <x v="50"/>
    <n v="1884"/>
    <x v="5"/>
  </r>
  <r>
    <x v="0"/>
    <s v="ALB"/>
    <x v="2"/>
    <s v="NY.GDP.PCAP.KD"/>
    <x v="51"/>
    <n v="1832"/>
    <x v="0"/>
  </r>
  <r>
    <x v="0"/>
    <s v="ALB"/>
    <x v="2"/>
    <s v="NY.GDP.PCAP.KD"/>
    <x v="52"/>
    <n v="1772"/>
    <x v="0"/>
  </r>
  <r>
    <x v="0"/>
    <s v="ALB"/>
    <x v="2"/>
    <s v="NY.GDP.PCAP.KD"/>
    <x v="53"/>
    <n v="1895"/>
    <x v="0"/>
  </r>
  <r>
    <x v="0"/>
    <s v="ALB"/>
    <x v="2"/>
    <s v="NY.GDP.PCAP.KD"/>
    <x v="0"/>
    <n v="1683"/>
    <x v="0"/>
  </r>
  <r>
    <x v="0"/>
    <s v="ALB"/>
    <x v="2"/>
    <s v="NY.GDP.PCAP.KD"/>
    <x v="1"/>
    <n v="1219"/>
    <x v="0"/>
  </r>
  <r>
    <x v="0"/>
    <s v="ALB"/>
    <x v="2"/>
    <s v="NY.GDP.PCAP.KD"/>
    <x v="2"/>
    <n v="1138"/>
    <x v="0"/>
  </r>
  <r>
    <x v="0"/>
    <s v="ALB"/>
    <x v="2"/>
    <s v="NY.GDP.PCAP.KD"/>
    <x v="3"/>
    <n v="1255"/>
    <x v="0"/>
  </r>
  <r>
    <x v="0"/>
    <s v="ALB"/>
    <x v="2"/>
    <s v="NY.GDP.PCAP.KD"/>
    <x v="4"/>
    <n v="1367"/>
    <x v="0"/>
  </r>
  <r>
    <x v="0"/>
    <s v="ALB"/>
    <x v="2"/>
    <s v="NY.GDP.PCAP.KD"/>
    <x v="5"/>
    <n v="1559"/>
    <x v="0"/>
  </r>
  <r>
    <x v="0"/>
    <s v="ALB"/>
    <x v="2"/>
    <s v="NY.GDP.PCAP.KD"/>
    <x v="6"/>
    <n v="1684"/>
    <x v="0"/>
  </r>
  <r>
    <x v="0"/>
    <s v="ALB"/>
    <x v="2"/>
    <s v="NY.GDP.PCAP.KD"/>
    <x v="7"/>
    <n v="1496"/>
    <x v="1"/>
  </r>
  <r>
    <x v="0"/>
    <s v="ALB"/>
    <x v="2"/>
    <s v="NY.GDP.PCAP.KD"/>
    <x v="8"/>
    <n v="1630"/>
    <x v="1"/>
  </r>
  <r>
    <x v="0"/>
    <s v="ALB"/>
    <x v="2"/>
    <s v="NY.GDP.PCAP.KD"/>
    <x v="9"/>
    <n v="1842"/>
    <x v="1"/>
  </r>
  <r>
    <x v="0"/>
    <s v="ALB"/>
    <x v="2"/>
    <s v="NY.GDP.PCAP.KD"/>
    <x v="10"/>
    <n v="1992"/>
    <x v="1"/>
  </r>
  <r>
    <x v="0"/>
    <s v="ALB"/>
    <x v="2"/>
    <s v="NY.GDP.PCAP.KD"/>
    <x v="11"/>
    <n v="2189"/>
    <x v="1"/>
  </r>
  <r>
    <x v="0"/>
    <s v="ALB"/>
    <x v="2"/>
    <s v="NY.GDP.PCAP.KD"/>
    <x v="12"/>
    <n v="2297"/>
    <x v="1"/>
  </r>
  <r>
    <x v="0"/>
    <s v="ALB"/>
    <x v="2"/>
    <s v="NY.GDP.PCAP.KD"/>
    <x v="13"/>
    <n v="2429"/>
    <x v="1"/>
  </r>
  <r>
    <x v="0"/>
    <s v="ALB"/>
    <x v="2"/>
    <s v="NY.GDP.PCAP.KD"/>
    <x v="14"/>
    <n v="2567"/>
    <x v="1"/>
  </r>
  <r>
    <x v="0"/>
    <s v="ALB"/>
    <x v="2"/>
    <s v="NY.GDP.PCAP.KD"/>
    <x v="15"/>
    <n v="2713"/>
    <x v="1"/>
  </r>
  <r>
    <x v="0"/>
    <s v="ALB"/>
    <x v="2"/>
    <s v="NY.GDP.PCAP.KD"/>
    <x v="16"/>
    <n v="2894"/>
    <x v="1"/>
  </r>
  <r>
    <x v="0"/>
    <s v="ALB"/>
    <x v="2"/>
    <s v="NY.GDP.PCAP.KD"/>
    <x v="17"/>
    <n v="3106"/>
    <x v="2"/>
  </r>
  <r>
    <x v="0"/>
    <s v="ALB"/>
    <x v="2"/>
    <s v="NY.GDP.PCAP.KD"/>
    <x v="18"/>
    <n v="3346"/>
    <x v="2"/>
  </r>
  <r>
    <x v="0"/>
    <s v="ALB"/>
    <x v="2"/>
    <s v="NY.GDP.PCAP.KD"/>
    <x v="19"/>
    <n v="3459"/>
    <x v="2"/>
  </r>
  <r>
    <x v="0"/>
    <s v="ALB"/>
    <x v="2"/>
    <s v="NY.GDP.PCAP.KD"/>
    <x v="20"/>
    <n v="3580"/>
    <x v="2"/>
  </r>
  <r>
    <x v="0"/>
    <s v="ALB"/>
    <x v="2"/>
    <s v="NY.GDP.PCAP.KD"/>
    <x v="21"/>
    <n v="3678"/>
    <x v="2"/>
  </r>
  <r>
    <x v="0"/>
    <s v="ALB"/>
    <x v="2"/>
    <s v="NY.GDP.PCAP.KD"/>
    <x v="22"/>
    <n v="3772"/>
    <x v="2"/>
  </r>
  <r>
    <x v="0"/>
    <s v="ALB"/>
    <x v="2"/>
    <s v="NY.GDP.PCAP.KD"/>
    <x v="23"/>
    <n v="3896"/>
    <x v="2"/>
  </r>
  <r>
    <x v="0"/>
    <s v="ALB"/>
    <x v="2"/>
    <s v="NY.GDP.PCAP.KD"/>
    <x v="24"/>
    <n v="4045"/>
    <x v="2"/>
  </r>
  <r>
    <x v="0"/>
    <s v="ALB"/>
    <x v="2"/>
    <s v="NY.GDP.PCAP.KD"/>
    <x v="25"/>
    <n v="4200"/>
    <x v="2"/>
  </r>
  <r>
    <x v="0"/>
    <s v="ALB"/>
    <x v="2"/>
    <s v="NY.GDP.PCAP.KD"/>
    <x v="26"/>
    <n v="4432"/>
    <x v="2"/>
  </r>
  <r>
    <x v="0"/>
    <s v="ALB"/>
    <x v="2"/>
    <s v="NY.GDP.PCAP.KD"/>
    <x v="27"/>
    <n v="4648"/>
    <x v="3"/>
  </r>
  <r>
    <x v="0"/>
    <s v="ALB"/>
    <x v="2"/>
    <s v="NY.GDP.PCAP.KD"/>
    <x v="28"/>
    <n v="4894"/>
    <x v="3"/>
  </r>
  <r>
    <x v="0"/>
    <s v="ALB"/>
    <x v="2"/>
    <s v="NY.GDP.PCAP.KD"/>
    <x v="29"/>
    <n v="5072"/>
    <x v="3"/>
  </r>
  <r>
    <x v="32"/>
    <s v="KGZ"/>
    <x v="2"/>
    <s v="NY.GDP.PCAP.KD"/>
    <x v="30"/>
    <n v="1093"/>
    <x v="3"/>
  </r>
  <r>
    <x v="0"/>
    <s v="ALB"/>
    <x v="2"/>
    <s v="NY.GDP.PCAP.KD"/>
    <x v="31"/>
    <n v="5512"/>
    <x v="3"/>
  </r>
  <r>
    <x v="0"/>
    <s v="ALB"/>
    <x v="2"/>
    <s v="NY.GDP.PCAP.KD"/>
    <x v="32"/>
    <n v="5868"/>
    <x v="4"/>
  </r>
  <r>
    <x v="0"/>
    <s v="ALB"/>
    <x v="2"/>
    <s v="NY.GDP.PCAP.KD"/>
    <x v="33"/>
    <n v="6198"/>
    <x v="4"/>
  </r>
  <r>
    <x v="0"/>
    <s v="ALB"/>
    <x v="2"/>
    <s v="NY.GDP.PCAP.KD"/>
    <x v="54"/>
    <n v="6549"/>
    <x v="4"/>
  </r>
  <r>
    <x v="1"/>
    <s v="AND"/>
    <x v="2"/>
    <s v="NY.GDP.PCAP.KD"/>
    <x v="34"/>
    <n v="43006"/>
    <x v="4"/>
  </r>
  <r>
    <x v="1"/>
    <s v="AND"/>
    <x v="2"/>
    <s v="NY.GDP.PCAP.KD"/>
    <x v="35"/>
    <n v="41930"/>
    <x v="4"/>
  </r>
  <r>
    <x v="1"/>
    <s v="AND"/>
    <x v="2"/>
    <s v="NY.GDP.PCAP.KD"/>
    <x v="36"/>
    <n v="42355"/>
    <x v="4"/>
  </r>
  <r>
    <x v="1"/>
    <s v="AND"/>
    <x v="2"/>
    <s v="NY.GDP.PCAP.KD"/>
    <x v="37"/>
    <n v="42738"/>
    <x v="4"/>
  </r>
  <r>
    <x v="1"/>
    <s v="AND"/>
    <x v="2"/>
    <s v="NY.GDP.PCAP.KD"/>
    <x v="38"/>
    <n v="42363"/>
    <x v="4"/>
  </r>
  <r>
    <x v="1"/>
    <s v="AND"/>
    <x v="2"/>
    <s v="NY.GDP.PCAP.KD"/>
    <x v="39"/>
    <n v="40073"/>
    <x v="4"/>
  </r>
  <r>
    <x v="1"/>
    <s v="AND"/>
    <x v="2"/>
    <s v="NY.GDP.PCAP.KD"/>
    <x v="40"/>
    <n v="39059"/>
    <x v="4"/>
  </r>
  <r>
    <x v="1"/>
    <s v="AND"/>
    <x v="2"/>
    <s v="NY.GDP.PCAP.KD"/>
    <x v="41"/>
    <n v="38022"/>
    <x v="5"/>
  </r>
  <r>
    <x v="1"/>
    <s v="AND"/>
    <x v="2"/>
    <s v="NY.GDP.PCAP.KD"/>
    <x v="42"/>
    <n v="36648"/>
    <x v="5"/>
  </r>
  <r>
    <x v="1"/>
    <s v="AND"/>
    <x v="2"/>
    <s v="NY.GDP.PCAP.KD"/>
    <x v="43"/>
    <n v="34984"/>
    <x v="5"/>
  </r>
  <r>
    <x v="1"/>
    <s v="AND"/>
    <x v="2"/>
    <s v="NY.GDP.PCAP.KD"/>
    <x v="44"/>
    <n v="34282"/>
    <x v="5"/>
  </r>
  <r>
    <x v="1"/>
    <s v="AND"/>
    <x v="2"/>
    <s v="NY.GDP.PCAP.KD"/>
    <x v="45"/>
    <n v="32959"/>
    <x v="5"/>
  </r>
  <r>
    <x v="1"/>
    <s v="AND"/>
    <x v="2"/>
    <s v="NY.GDP.PCAP.KD"/>
    <x v="46"/>
    <n v="31997"/>
    <x v="5"/>
  </r>
  <r>
    <x v="1"/>
    <s v="AND"/>
    <x v="2"/>
    <s v="NY.GDP.PCAP.KD"/>
    <x v="47"/>
    <n v="31117"/>
    <x v="5"/>
  </r>
  <r>
    <x v="1"/>
    <s v="AND"/>
    <x v="2"/>
    <s v="NY.GDP.PCAP.KD"/>
    <x v="48"/>
    <n v="30393"/>
    <x v="5"/>
  </r>
  <r>
    <x v="1"/>
    <s v="AND"/>
    <x v="2"/>
    <s v="NY.GDP.PCAP.KD"/>
    <x v="49"/>
    <n v="29997"/>
    <x v="5"/>
  </r>
  <r>
    <x v="1"/>
    <s v="AND"/>
    <x v="2"/>
    <s v="NY.GDP.PCAP.KD"/>
    <x v="50"/>
    <n v="29680"/>
    <x v="5"/>
  </r>
  <r>
    <x v="1"/>
    <s v="AND"/>
    <x v="2"/>
    <s v="NY.GDP.PCAP.KD"/>
    <x v="51"/>
    <n v="30065"/>
    <x v="0"/>
  </r>
  <r>
    <x v="1"/>
    <s v="AND"/>
    <x v="2"/>
    <s v="NY.GDP.PCAP.KD"/>
    <x v="52"/>
    <n v="30469"/>
    <x v="0"/>
  </r>
  <r>
    <x v="1"/>
    <s v="AND"/>
    <x v="2"/>
    <s v="NY.GDP.PCAP.KD"/>
    <x v="53"/>
    <n v="31180"/>
    <x v="0"/>
  </r>
  <r>
    <x v="1"/>
    <s v="AND"/>
    <x v="2"/>
    <s v="NY.GDP.PCAP.KD"/>
    <x v="0"/>
    <n v="31143"/>
    <x v="0"/>
  </r>
  <r>
    <x v="1"/>
    <s v="AND"/>
    <x v="2"/>
    <s v="NY.GDP.PCAP.KD"/>
    <x v="1"/>
    <n v="29642"/>
    <x v="0"/>
  </r>
  <r>
    <x v="1"/>
    <s v="AND"/>
    <x v="2"/>
    <s v="NY.GDP.PCAP.KD"/>
    <x v="2"/>
    <n v="28162"/>
    <x v="0"/>
  </r>
  <r>
    <x v="1"/>
    <s v="AND"/>
    <x v="2"/>
    <s v="NY.GDP.PCAP.KD"/>
    <x v="3"/>
    <n v="26518"/>
    <x v="0"/>
  </r>
  <r>
    <x v="1"/>
    <s v="AND"/>
    <x v="2"/>
    <s v="NY.GDP.PCAP.KD"/>
    <x v="4"/>
    <n v="26587"/>
    <x v="0"/>
  </r>
  <r>
    <x v="1"/>
    <s v="AND"/>
    <x v="2"/>
    <s v="NY.GDP.PCAP.KD"/>
    <x v="5"/>
    <n v="27620"/>
    <x v="0"/>
  </r>
  <r>
    <x v="1"/>
    <s v="AND"/>
    <x v="2"/>
    <s v="NY.GDP.PCAP.KD"/>
    <x v="6"/>
    <n v="28871"/>
    <x v="0"/>
  </r>
  <r>
    <x v="1"/>
    <s v="AND"/>
    <x v="2"/>
    <s v="NY.GDP.PCAP.KD"/>
    <x v="7"/>
    <n v="31141"/>
    <x v="1"/>
  </r>
  <r>
    <x v="1"/>
    <s v="AND"/>
    <x v="2"/>
    <s v="NY.GDP.PCAP.KD"/>
    <x v="8"/>
    <n v="31800"/>
    <x v="1"/>
  </r>
  <r>
    <x v="1"/>
    <s v="AND"/>
    <x v="2"/>
    <s v="NY.GDP.PCAP.KD"/>
    <x v="9"/>
    <n v="32939"/>
    <x v="1"/>
  </r>
  <r>
    <x v="1"/>
    <s v="AND"/>
    <x v="2"/>
    <s v="NY.GDP.PCAP.KD"/>
    <x v="10"/>
    <n v="34114"/>
    <x v="1"/>
  </r>
  <r>
    <x v="1"/>
    <s v="AND"/>
    <x v="2"/>
    <s v="NY.GDP.PCAP.KD"/>
    <x v="11"/>
    <n v="36790"/>
    <x v="1"/>
  </r>
  <r>
    <x v="1"/>
    <s v="AND"/>
    <x v="2"/>
    <s v="NY.GDP.PCAP.KD"/>
    <x v="12"/>
    <n v="38085"/>
    <x v="1"/>
  </r>
  <r>
    <x v="1"/>
    <s v="AND"/>
    <x v="2"/>
    <s v="NY.GDP.PCAP.KD"/>
    <x v="13"/>
    <n v="39620"/>
    <x v="1"/>
  </r>
  <r>
    <x v="1"/>
    <s v="AND"/>
    <x v="2"/>
    <s v="NY.GDP.PCAP.KD"/>
    <x v="14"/>
    <n v="40054"/>
    <x v="1"/>
  </r>
  <r>
    <x v="1"/>
    <s v="AND"/>
    <x v="2"/>
    <s v="NY.GDP.PCAP.KD"/>
    <x v="15"/>
    <n v="40528"/>
    <x v="1"/>
  </r>
  <r>
    <x v="1"/>
    <s v="AND"/>
    <x v="2"/>
    <s v="NY.GDP.PCAP.KD"/>
    <x v="16"/>
    <n v="41322"/>
    <x v="1"/>
  </r>
  <r>
    <x v="1"/>
    <s v="AND"/>
    <x v="2"/>
    <s v="NY.GDP.PCAP.KD"/>
    <x v="17"/>
    <n v="40789"/>
    <x v="2"/>
  </r>
  <r>
    <x v="1"/>
    <s v="AND"/>
    <x v="2"/>
    <s v="NY.GDP.PCAP.KD"/>
    <x v="18"/>
    <n v="37775"/>
    <x v="2"/>
  </r>
  <r>
    <x v="1"/>
    <s v="AND"/>
    <x v="2"/>
    <s v="NY.GDP.PCAP.KD"/>
    <x v="19"/>
    <n v="35604"/>
    <x v="2"/>
  </r>
  <r>
    <x v="1"/>
    <s v="AND"/>
    <x v="2"/>
    <s v="NY.GDP.PCAP.KD"/>
    <x v="20"/>
    <n v="36277"/>
    <x v="2"/>
  </r>
  <r>
    <x v="1"/>
    <s v="AND"/>
    <x v="2"/>
    <s v="NY.GDP.PCAP.KD"/>
    <x v="21"/>
    <n v="37638"/>
    <x v="2"/>
  </r>
  <r>
    <x v="1"/>
    <s v="AND"/>
    <x v="2"/>
    <s v="NY.GDP.PCAP.KD"/>
    <x v="22"/>
    <n v="36207"/>
    <x v="2"/>
  </r>
  <r>
    <x v="1"/>
    <s v="AND"/>
    <x v="2"/>
    <s v="NY.GDP.PCAP.KD"/>
    <x v="23"/>
    <n v="35684"/>
    <x v="2"/>
  </r>
  <r>
    <x v="1"/>
    <s v="AND"/>
    <x v="2"/>
    <s v="NY.GDP.PCAP.KD"/>
    <x v="24"/>
    <n v="37301"/>
    <x v="2"/>
  </r>
  <r>
    <x v="1"/>
    <s v="AND"/>
    <x v="2"/>
    <s v="NY.GDP.PCAP.KD"/>
    <x v="25"/>
    <n v="38655"/>
    <x v="2"/>
  </r>
  <r>
    <x v="1"/>
    <s v="AND"/>
    <x v="2"/>
    <s v="NY.GDP.PCAP.KD"/>
    <x v="26"/>
    <n v="40085"/>
    <x v="2"/>
  </r>
  <r>
    <x v="1"/>
    <s v="AND"/>
    <x v="2"/>
    <s v="NY.GDP.PCAP.KD"/>
    <x v="27"/>
    <n v="39361"/>
    <x v="3"/>
  </r>
  <r>
    <x v="1"/>
    <s v="AND"/>
    <x v="2"/>
    <s v="NY.GDP.PCAP.KD"/>
    <x v="28"/>
    <n v="39242"/>
    <x v="3"/>
  </r>
  <r>
    <x v="1"/>
    <s v="AND"/>
    <x v="2"/>
    <s v="NY.GDP.PCAP.KD"/>
    <x v="29"/>
    <n v="39346"/>
    <x v="3"/>
  </r>
  <r>
    <x v="52"/>
    <s v="TJK"/>
    <x v="2"/>
    <s v="NY.GDP.PCAP.KD"/>
    <x v="30"/>
    <n v="1172"/>
    <x v="3"/>
  </r>
  <r>
    <x v="1"/>
    <s v="AND"/>
    <x v="2"/>
    <s v="NY.GDP.PCAP.KD"/>
    <x v="31"/>
    <n v="36929"/>
    <x v="3"/>
  </r>
  <r>
    <x v="1"/>
    <s v="AND"/>
    <x v="2"/>
    <s v="NY.GDP.PCAP.KD"/>
    <x v="32"/>
    <n v="39780"/>
    <x v="0"/>
  </r>
  <r>
    <x v="1"/>
    <s v="AND"/>
    <x v="2"/>
    <s v="NY.GDP.PCAP.KD"/>
    <x v="33"/>
    <n v="40227"/>
    <x v="0"/>
  </r>
  <r>
    <x v="1"/>
    <s v="AND"/>
    <x v="2"/>
    <s v="NY.GDP.PCAP.KD"/>
    <x v="54"/>
    <n v="41035"/>
    <x v="0"/>
  </r>
  <r>
    <x v="2"/>
    <s v="ARM"/>
    <x v="2"/>
    <s v="NY.GDP.PCAP.KD"/>
    <x v="0"/>
    <n v="1644"/>
    <x v="0"/>
  </r>
  <r>
    <x v="2"/>
    <s v="ARM"/>
    <x v="2"/>
    <s v="NY.GDP.PCAP.KD"/>
    <x v="1"/>
    <n v="1427"/>
    <x v="0"/>
  </r>
  <r>
    <x v="2"/>
    <s v="ARM"/>
    <x v="2"/>
    <s v="NY.GDP.PCAP.KD"/>
    <x v="2"/>
    <n v="840"/>
    <x v="0"/>
  </r>
  <r>
    <x v="2"/>
    <s v="ARM"/>
    <x v="2"/>
    <s v="NY.GDP.PCAP.KD"/>
    <x v="3"/>
    <n v="793"/>
    <x v="0"/>
  </r>
  <r>
    <x v="2"/>
    <s v="ARM"/>
    <x v="2"/>
    <s v="NY.GDP.PCAP.KD"/>
    <x v="4"/>
    <n v="857"/>
    <x v="0"/>
  </r>
  <r>
    <x v="2"/>
    <s v="ARM"/>
    <x v="2"/>
    <s v="NY.GDP.PCAP.KD"/>
    <x v="5"/>
    <n v="932"/>
    <x v="0"/>
  </r>
  <r>
    <x v="2"/>
    <s v="ARM"/>
    <x v="2"/>
    <s v="NY.GDP.PCAP.KD"/>
    <x v="6"/>
    <n v="996"/>
    <x v="0"/>
  </r>
  <r>
    <x v="2"/>
    <s v="ARM"/>
    <x v="2"/>
    <s v="NY.GDP.PCAP.KD"/>
    <x v="7"/>
    <n v="1039"/>
    <x v="1"/>
  </r>
  <r>
    <x v="2"/>
    <s v="ARM"/>
    <x v="2"/>
    <s v="NY.GDP.PCAP.KD"/>
    <x v="8"/>
    <n v="1128"/>
    <x v="1"/>
  </r>
  <r>
    <x v="2"/>
    <s v="ARM"/>
    <x v="2"/>
    <s v="NY.GDP.PCAP.KD"/>
    <x v="9"/>
    <n v="1180"/>
    <x v="1"/>
  </r>
  <r>
    <x v="2"/>
    <s v="ARM"/>
    <x v="2"/>
    <s v="NY.GDP.PCAP.KD"/>
    <x v="10"/>
    <n v="1229"/>
    <x v="1"/>
  </r>
  <r>
    <x v="2"/>
    <s v="ARM"/>
    <x v="2"/>
    <s v="NY.GDP.PCAP.KD"/>
    <x v="11"/>
    <n v="1351"/>
    <x v="1"/>
  </r>
  <r>
    <x v="2"/>
    <s v="ARM"/>
    <x v="2"/>
    <s v="NY.GDP.PCAP.KD"/>
    <x v="12"/>
    <n v="1535"/>
    <x v="1"/>
  </r>
  <r>
    <x v="2"/>
    <s v="ARM"/>
    <x v="2"/>
    <s v="NY.GDP.PCAP.KD"/>
    <x v="13"/>
    <n v="1760"/>
    <x v="1"/>
  </r>
  <r>
    <x v="2"/>
    <s v="ARM"/>
    <x v="2"/>
    <s v="NY.GDP.PCAP.KD"/>
    <x v="14"/>
    <n v="1955"/>
    <x v="1"/>
  </r>
  <r>
    <x v="2"/>
    <s v="ARM"/>
    <x v="2"/>
    <s v="NY.GDP.PCAP.KD"/>
    <x v="15"/>
    <n v="2240"/>
    <x v="1"/>
  </r>
  <r>
    <x v="2"/>
    <s v="ARM"/>
    <x v="2"/>
    <s v="NY.GDP.PCAP.KD"/>
    <x v="16"/>
    <n v="2551"/>
    <x v="1"/>
  </r>
  <r>
    <x v="2"/>
    <s v="ARM"/>
    <x v="2"/>
    <s v="NY.GDP.PCAP.KD"/>
    <x v="17"/>
    <n v="2919"/>
    <x v="2"/>
  </r>
  <r>
    <x v="2"/>
    <s v="ARM"/>
    <x v="2"/>
    <s v="NY.GDP.PCAP.KD"/>
    <x v="18"/>
    <n v="3141"/>
    <x v="2"/>
  </r>
  <r>
    <x v="2"/>
    <s v="ARM"/>
    <x v="2"/>
    <s v="NY.GDP.PCAP.KD"/>
    <x v="19"/>
    <n v="2717"/>
    <x v="2"/>
  </r>
  <r>
    <x v="2"/>
    <s v="ARM"/>
    <x v="2"/>
    <s v="NY.GDP.PCAP.KD"/>
    <x v="20"/>
    <n v="2796"/>
    <x v="2"/>
  </r>
  <r>
    <x v="2"/>
    <s v="ARM"/>
    <x v="2"/>
    <s v="NY.GDP.PCAP.KD"/>
    <x v="21"/>
    <n v="2944"/>
    <x v="2"/>
  </r>
  <r>
    <x v="2"/>
    <s v="ARM"/>
    <x v="2"/>
    <s v="NY.GDP.PCAP.KD"/>
    <x v="22"/>
    <n v="3160"/>
    <x v="2"/>
  </r>
  <r>
    <x v="2"/>
    <s v="ARM"/>
    <x v="2"/>
    <s v="NY.GDP.PCAP.KD"/>
    <x v="23"/>
    <n v="3266"/>
    <x v="2"/>
  </r>
  <r>
    <x v="2"/>
    <s v="ARM"/>
    <x v="2"/>
    <s v="NY.GDP.PCAP.KD"/>
    <x v="24"/>
    <n v="3393"/>
    <x v="2"/>
  </r>
  <r>
    <x v="2"/>
    <s v="ARM"/>
    <x v="2"/>
    <s v="NY.GDP.PCAP.KD"/>
    <x v="25"/>
    <n v="3512"/>
    <x v="2"/>
  </r>
  <r>
    <x v="2"/>
    <s v="ARM"/>
    <x v="2"/>
    <s v="NY.GDP.PCAP.KD"/>
    <x v="26"/>
    <n v="3534"/>
    <x v="2"/>
  </r>
  <r>
    <x v="2"/>
    <s v="ARM"/>
    <x v="2"/>
    <s v="NY.GDP.PCAP.KD"/>
    <x v="27"/>
    <n v="3815"/>
    <x v="3"/>
  </r>
  <r>
    <x v="2"/>
    <s v="ARM"/>
    <x v="2"/>
    <s v="NY.GDP.PCAP.KD"/>
    <x v="28"/>
    <n v="4028"/>
    <x v="3"/>
  </r>
  <r>
    <x v="2"/>
    <s v="ARM"/>
    <x v="2"/>
    <s v="NY.GDP.PCAP.KD"/>
    <x v="29"/>
    <n v="4343"/>
    <x v="3"/>
  </r>
  <r>
    <x v="55"/>
    <s v="UKR"/>
    <x v="2"/>
    <s v="NY.GDP.PCAP.KD"/>
    <x v="30"/>
    <n v="2324"/>
    <x v="3"/>
  </r>
  <r>
    <x v="2"/>
    <s v="ARM"/>
    <x v="2"/>
    <s v="NY.GDP.PCAP.KD"/>
    <x v="31"/>
    <n v="4265"/>
    <x v="3"/>
  </r>
  <r>
    <x v="2"/>
    <s v="ARM"/>
    <x v="2"/>
    <s v="NY.GDP.PCAP.KD"/>
    <x v="32"/>
    <n v="4791"/>
    <x v="6"/>
  </r>
  <r>
    <x v="2"/>
    <s v="ARM"/>
    <x v="2"/>
    <s v="NY.GDP.PCAP.KD"/>
    <x v="33"/>
    <n v="5197"/>
    <x v="6"/>
  </r>
  <r>
    <x v="2"/>
    <s v="ARM"/>
    <x v="2"/>
    <s v="NY.GDP.PCAP.KD"/>
    <x v="54"/>
    <n v="5378"/>
    <x v="6"/>
  </r>
  <r>
    <x v="3"/>
    <s v="AUT"/>
    <x v="2"/>
    <s v="NY.GDP.PCAP.KD"/>
    <x v="55"/>
    <n v="11895"/>
    <x v="6"/>
  </r>
  <r>
    <x v="3"/>
    <s v="AUT"/>
    <x v="2"/>
    <s v="NY.GDP.PCAP.KD"/>
    <x v="56"/>
    <n v="12485"/>
    <x v="6"/>
  </r>
  <r>
    <x v="3"/>
    <s v="AUT"/>
    <x v="2"/>
    <s v="NY.GDP.PCAP.KD"/>
    <x v="57"/>
    <n v="12737"/>
    <x v="6"/>
  </r>
  <r>
    <x v="3"/>
    <s v="AUT"/>
    <x v="2"/>
    <s v="NY.GDP.PCAP.KD"/>
    <x v="58"/>
    <n v="13179"/>
    <x v="6"/>
  </r>
  <r>
    <x v="3"/>
    <s v="AUT"/>
    <x v="2"/>
    <s v="NY.GDP.PCAP.KD"/>
    <x v="59"/>
    <n v="13894"/>
    <x v="6"/>
  </r>
  <r>
    <x v="3"/>
    <s v="AUT"/>
    <x v="2"/>
    <s v="NY.GDP.PCAP.KD"/>
    <x v="60"/>
    <n v="14284"/>
    <x v="6"/>
  </r>
  <r>
    <x v="3"/>
    <s v="AUT"/>
    <x v="2"/>
    <s v="NY.GDP.PCAP.KD"/>
    <x v="61"/>
    <n v="14985"/>
    <x v="6"/>
  </r>
  <r>
    <x v="3"/>
    <s v="AUT"/>
    <x v="2"/>
    <s v="NY.GDP.PCAP.KD"/>
    <x v="62"/>
    <n v="15320"/>
    <x v="4"/>
  </r>
  <r>
    <x v="3"/>
    <s v="AUT"/>
    <x v="2"/>
    <s v="NY.GDP.PCAP.KD"/>
    <x v="63"/>
    <n v="15923"/>
    <x v="4"/>
  </r>
  <r>
    <x v="3"/>
    <s v="AUT"/>
    <x v="2"/>
    <s v="NY.GDP.PCAP.KD"/>
    <x v="64"/>
    <n v="16864"/>
    <x v="4"/>
  </r>
  <r>
    <x v="3"/>
    <s v="AUT"/>
    <x v="2"/>
    <s v="NY.GDP.PCAP.KD"/>
    <x v="34"/>
    <n v="18002"/>
    <x v="4"/>
  </r>
  <r>
    <x v="3"/>
    <s v="AUT"/>
    <x v="2"/>
    <s v="NY.GDP.PCAP.KD"/>
    <x v="35"/>
    <n v="18838"/>
    <x v="4"/>
  </r>
  <r>
    <x v="3"/>
    <s v="AUT"/>
    <x v="2"/>
    <s v="NY.GDP.PCAP.KD"/>
    <x v="36"/>
    <n v="19892"/>
    <x v="4"/>
  </r>
  <r>
    <x v="3"/>
    <s v="AUT"/>
    <x v="2"/>
    <s v="NY.GDP.PCAP.KD"/>
    <x v="37"/>
    <n v="20749"/>
    <x v="4"/>
  </r>
  <r>
    <x v="3"/>
    <s v="AUT"/>
    <x v="2"/>
    <s v="NY.GDP.PCAP.KD"/>
    <x v="38"/>
    <n v="21531"/>
    <x v="4"/>
  </r>
  <r>
    <x v="3"/>
    <s v="AUT"/>
    <x v="2"/>
    <s v="NY.GDP.PCAP.KD"/>
    <x v="39"/>
    <n v="21509"/>
    <x v="4"/>
  </r>
  <r>
    <x v="3"/>
    <s v="AUT"/>
    <x v="2"/>
    <s v="NY.GDP.PCAP.KD"/>
    <x v="40"/>
    <n v="22534"/>
    <x v="4"/>
  </r>
  <r>
    <x v="3"/>
    <s v="AUT"/>
    <x v="2"/>
    <s v="NY.GDP.PCAP.KD"/>
    <x v="41"/>
    <n v="23670"/>
    <x v="5"/>
  </r>
  <r>
    <x v="3"/>
    <s v="AUT"/>
    <x v="2"/>
    <s v="NY.GDP.PCAP.KD"/>
    <x v="42"/>
    <n v="23639"/>
    <x v="5"/>
  </r>
  <r>
    <x v="3"/>
    <s v="AUT"/>
    <x v="2"/>
    <s v="NY.GDP.PCAP.KD"/>
    <x v="43"/>
    <n v="24948"/>
    <x v="5"/>
  </r>
  <r>
    <x v="3"/>
    <s v="AUT"/>
    <x v="2"/>
    <s v="NY.GDP.PCAP.KD"/>
    <x v="44"/>
    <n v="25379"/>
    <x v="5"/>
  </r>
  <r>
    <x v="3"/>
    <s v="AUT"/>
    <x v="2"/>
    <s v="NY.GDP.PCAP.KD"/>
    <x v="45"/>
    <n v="25278"/>
    <x v="5"/>
  </r>
  <r>
    <x v="3"/>
    <s v="AUT"/>
    <x v="2"/>
    <s v="NY.GDP.PCAP.KD"/>
    <x v="46"/>
    <n v="25768"/>
    <x v="5"/>
  </r>
  <r>
    <x v="3"/>
    <s v="AUT"/>
    <x v="2"/>
    <s v="NY.GDP.PCAP.KD"/>
    <x v="47"/>
    <n v="26577"/>
    <x v="5"/>
  </r>
  <r>
    <x v="3"/>
    <s v="AUT"/>
    <x v="2"/>
    <s v="NY.GDP.PCAP.KD"/>
    <x v="48"/>
    <n v="26593"/>
    <x v="5"/>
  </r>
  <r>
    <x v="3"/>
    <s v="AUT"/>
    <x v="2"/>
    <s v="NY.GDP.PCAP.KD"/>
    <x v="49"/>
    <n v="27244"/>
    <x v="5"/>
  </r>
  <r>
    <x v="3"/>
    <s v="AUT"/>
    <x v="2"/>
    <s v="NY.GDP.PCAP.KD"/>
    <x v="50"/>
    <n v="27854"/>
    <x v="5"/>
  </r>
  <r>
    <x v="3"/>
    <s v="AUT"/>
    <x v="2"/>
    <s v="NY.GDP.PCAP.KD"/>
    <x v="51"/>
    <n v="28214"/>
    <x v="0"/>
  </r>
  <r>
    <x v="3"/>
    <s v="AUT"/>
    <x v="2"/>
    <s v="NY.GDP.PCAP.KD"/>
    <x v="52"/>
    <n v="29102"/>
    <x v="0"/>
  </r>
  <r>
    <x v="3"/>
    <s v="AUT"/>
    <x v="2"/>
    <s v="NY.GDP.PCAP.KD"/>
    <x v="53"/>
    <n v="30098"/>
    <x v="0"/>
  </r>
  <r>
    <x v="3"/>
    <s v="AUT"/>
    <x v="2"/>
    <s v="NY.GDP.PCAP.KD"/>
    <x v="0"/>
    <n v="31167"/>
    <x v="0"/>
  </r>
  <r>
    <x v="3"/>
    <s v="AUT"/>
    <x v="2"/>
    <s v="NY.GDP.PCAP.KD"/>
    <x v="1"/>
    <n v="31920"/>
    <x v="0"/>
  </r>
  <r>
    <x v="3"/>
    <s v="AUT"/>
    <x v="2"/>
    <s v="NY.GDP.PCAP.KD"/>
    <x v="2"/>
    <n v="32231"/>
    <x v="0"/>
  </r>
  <r>
    <x v="3"/>
    <s v="AUT"/>
    <x v="2"/>
    <s v="NY.GDP.PCAP.KD"/>
    <x v="3"/>
    <n v="32135"/>
    <x v="0"/>
  </r>
  <r>
    <x v="3"/>
    <s v="AUT"/>
    <x v="2"/>
    <s v="NY.GDP.PCAP.KD"/>
    <x v="4"/>
    <n v="32780"/>
    <x v="0"/>
  </r>
  <r>
    <x v="3"/>
    <s v="AUT"/>
    <x v="2"/>
    <s v="NY.GDP.PCAP.KD"/>
    <x v="5"/>
    <n v="33603"/>
    <x v="0"/>
  </r>
  <r>
    <x v="3"/>
    <s v="AUT"/>
    <x v="2"/>
    <s v="NY.GDP.PCAP.KD"/>
    <x v="6"/>
    <n v="34302"/>
    <x v="0"/>
  </r>
  <r>
    <x v="3"/>
    <s v="AUT"/>
    <x v="2"/>
    <s v="NY.GDP.PCAP.KD"/>
    <x v="7"/>
    <n v="34998"/>
    <x v="1"/>
  </r>
  <r>
    <x v="3"/>
    <s v="AUT"/>
    <x v="2"/>
    <s v="NY.GDP.PCAP.KD"/>
    <x v="8"/>
    <n v="36181"/>
    <x v="1"/>
  </r>
  <r>
    <x v="3"/>
    <s v="AUT"/>
    <x v="2"/>
    <s v="NY.GDP.PCAP.KD"/>
    <x v="9"/>
    <n v="37469"/>
    <x v="1"/>
  </r>
  <r>
    <x v="3"/>
    <s v="AUT"/>
    <x v="2"/>
    <s v="NY.GDP.PCAP.KD"/>
    <x v="10"/>
    <n v="38571"/>
    <x v="1"/>
  </r>
  <r>
    <x v="3"/>
    <s v="AUT"/>
    <x v="2"/>
    <s v="NY.GDP.PCAP.KD"/>
    <x v="11"/>
    <n v="38930"/>
    <x v="1"/>
  </r>
  <r>
    <x v="3"/>
    <s v="AUT"/>
    <x v="2"/>
    <s v="NY.GDP.PCAP.KD"/>
    <x v="12"/>
    <n v="39314"/>
    <x v="1"/>
  </r>
  <r>
    <x v="3"/>
    <s v="AUT"/>
    <x v="2"/>
    <s v="NY.GDP.PCAP.KD"/>
    <x v="13"/>
    <n v="39569"/>
    <x v="1"/>
  </r>
  <r>
    <x v="3"/>
    <s v="AUT"/>
    <x v="2"/>
    <s v="NY.GDP.PCAP.KD"/>
    <x v="14"/>
    <n v="40333"/>
    <x v="1"/>
  </r>
  <r>
    <x v="3"/>
    <s v="AUT"/>
    <x v="2"/>
    <s v="NY.GDP.PCAP.KD"/>
    <x v="15"/>
    <n v="40989"/>
    <x v="1"/>
  </r>
  <r>
    <x v="3"/>
    <s v="AUT"/>
    <x v="2"/>
    <s v="NY.GDP.PCAP.KD"/>
    <x v="16"/>
    <n v="42120"/>
    <x v="1"/>
  </r>
  <r>
    <x v="3"/>
    <s v="AUT"/>
    <x v="2"/>
    <s v="NY.GDP.PCAP.KD"/>
    <x v="17"/>
    <n v="43569"/>
    <x v="2"/>
  </r>
  <r>
    <x v="3"/>
    <s v="AUT"/>
    <x v="2"/>
    <s v="NY.GDP.PCAP.KD"/>
    <x v="18"/>
    <n v="44064"/>
    <x v="2"/>
  </r>
  <r>
    <x v="3"/>
    <s v="AUT"/>
    <x v="2"/>
    <s v="NY.GDP.PCAP.KD"/>
    <x v="19"/>
    <n v="42372"/>
    <x v="2"/>
  </r>
  <r>
    <x v="3"/>
    <s v="AUT"/>
    <x v="2"/>
    <s v="NY.GDP.PCAP.KD"/>
    <x v="20"/>
    <n v="43035"/>
    <x v="2"/>
  </r>
  <r>
    <x v="3"/>
    <s v="AUT"/>
    <x v="2"/>
    <s v="NY.GDP.PCAP.KD"/>
    <x v="21"/>
    <n v="44146"/>
    <x v="2"/>
  </r>
  <r>
    <x v="3"/>
    <s v="AUT"/>
    <x v="2"/>
    <s v="NY.GDP.PCAP.KD"/>
    <x v="22"/>
    <n v="44221"/>
    <x v="2"/>
  </r>
  <r>
    <x v="3"/>
    <s v="AUT"/>
    <x v="2"/>
    <s v="NY.GDP.PCAP.KD"/>
    <x v="23"/>
    <n v="43851"/>
    <x v="2"/>
  </r>
  <r>
    <x v="3"/>
    <s v="AUT"/>
    <x v="2"/>
    <s v="NY.GDP.PCAP.KD"/>
    <x v="24"/>
    <n v="43839"/>
    <x v="2"/>
  </r>
  <r>
    <x v="3"/>
    <s v="AUT"/>
    <x v="2"/>
    <s v="NY.GDP.PCAP.KD"/>
    <x v="25"/>
    <n v="43915"/>
    <x v="2"/>
  </r>
  <r>
    <x v="3"/>
    <s v="AUT"/>
    <x v="2"/>
    <s v="NY.GDP.PCAP.KD"/>
    <x v="26"/>
    <n v="44363"/>
    <x v="2"/>
  </r>
  <r>
    <x v="3"/>
    <s v="AUT"/>
    <x v="2"/>
    <s v="NY.GDP.PCAP.KD"/>
    <x v="27"/>
    <n v="45057"/>
    <x v="3"/>
  </r>
  <r>
    <x v="3"/>
    <s v="AUT"/>
    <x v="2"/>
    <s v="NY.GDP.PCAP.KD"/>
    <x v="28"/>
    <n v="45952"/>
    <x v="3"/>
  </r>
  <r>
    <x v="3"/>
    <s v="AUT"/>
    <x v="2"/>
    <s v="NY.GDP.PCAP.KD"/>
    <x v="29"/>
    <n v="46551"/>
    <x v="3"/>
  </r>
  <r>
    <x v="38"/>
    <s v="MDA"/>
    <x v="2"/>
    <s v="NY.GDP.PCAP.KD"/>
    <x v="30"/>
    <n v="3189"/>
    <x v="3"/>
  </r>
  <r>
    <x v="3"/>
    <s v="AUT"/>
    <x v="2"/>
    <s v="NY.GDP.PCAP.KD"/>
    <x v="31"/>
    <n v="45369"/>
    <x v="3"/>
  </r>
  <r>
    <x v="3"/>
    <s v="AUT"/>
    <x v="2"/>
    <s v="NY.GDP.PCAP.KD"/>
    <x v="32"/>
    <n v="47332"/>
    <x v="0"/>
  </r>
  <r>
    <x v="3"/>
    <s v="AUT"/>
    <x v="2"/>
    <s v="NY.GDP.PCAP.KD"/>
    <x v="33"/>
    <n v="46498"/>
    <x v="0"/>
  </r>
  <r>
    <x v="3"/>
    <s v="AUT"/>
    <x v="2"/>
    <s v="NY.GDP.PCAP.KD"/>
    <x v="54"/>
    <n v="45959"/>
    <x v="0"/>
  </r>
  <r>
    <x v="4"/>
    <s v="AZE"/>
    <x v="2"/>
    <s v="NY.GDP.PCAP.KD"/>
    <x v="0"/>
    <n v="2866"/>
    <x v="0"/>
  </r>
  <r>
    <x v="4"/>
    <s v="AZE"/>
    <x v="2"/>
    <s v="NY.GDP.PCAP.KD"/>
    <x v="1"/>
    <n v="2809"/>
    <x v="0"/>
  </r>
  <r>
    <x v="4"/>
    <s v="AZE"/>
    <x v="2"/>
    <s v="NY.GDP.PCAP.KD"/>
    <x v="2"/>
    <n v="2141"/>
    <x v="0"/>
  </r>
  <r>
    <x v="4"/>
    <s v="AZE"/>
    <x v="2"/>
    <s v="NY.GDP.PCAP.KD"/>
    <x v="3"/>
    <n v="1622"/>
    <x v="0"/>
  </r>
  <r>
    <x v="4"/>
    <s v="AZE"/>
    <x v="2"/>
    <s v="NY.GDP.PCAP.KD"/>
    <x v="4"/>
    <n v="1285"/>
    <x v="0"/>
  </r>
  <r>
    <x v="4"/>
    <s v="AZE"/>
    <x v="2"/>
    <s v="NY.GDP.PCAP.KD"/>
    <x v="5"/>
    <n v="1120"/>
    <x v="0"/>
  </r>
  <r>
    <x v="4"/>
    <s v="AZE"/>
    <x v="2"/>
    <s v="NY.GDP.PCAP.KD"/>
    <x v="6"/>
    <n v="1123"/>
    <x v="0"/>
  </r>
  <r>
    <x v="4"/>
    <s v="AZE"/>
    <x v="2"/>
    <s v="NY.GDP.PCAP.KD"/>
    <x v="7"/>
    <n v="1177"/>
    <x v="1"/>
  </r>
  <r>
    <x v="4"/>
    <s v="AZE"/>
    <x v="2"/>
    <s v="NY.GDP.PCAP.KD"/>
    <x v="8"/>
    <n v="1283"/>
    <x v="1"/>
  </r>
  <r>
    <x v="4"/>
    <s v="AZE"/>
    <x v="2"/>
    <s v="NY.GDP.PCAP.KD"/>
    <x v="9"/>
    <n v="1366"/>
    <x v="1"/>
  </r>
  <r>
    <x v="4"/>
    <s v="AZE"/>
    <x v="2"/>
    <s v="NY.GDP.PCAP.KD"/>
    <x v="10"/>
    <n v="1505"/>
    <x v="1"/>
  </r>
  <r>
    <x v="4"/>
    <s v="AZE"/>
    <x v="2"/>
    <s v="NY.GDP.PCAP.KD"/>
    <x v="11"/>
    <n v="1641"/>
    <x v="1"/>
  </r>
  <r>
    <x v="4"/>
    <s v="AZE"/>
    <x v="2"/>
    <s v="NY.GDP.PCAP.KD"/>
    <x v="12"/>
    <n v="1782"/>
    <x v="1"/>
  </r>
  <r>
    <x v="4"/>
    <s v="AZE"/>
    <x v="2"/>
    <s v="NY.GDP.PCAP.KD"/>
    <x v="13"/>
    <n v="1950"/>
    <x v="1"/>
  </r>
  <r>
    <x v="4"/>
    <s v="AZE"/>
    <x v="2"/>
    <s v="NY.GDP.PCAP.KD"/>
    <x v="14"/>
    <n v="2111"/>
    <x v="1"/>
  </r>
  <r>
    <x v="4"/>
    <s v="AZE"/>
    <x v="2"/>
    <s v="NY.GDP.PCAP.KD"/>
    <x v="15"/>
    <n v="2674"/>
    <x v="1"/>
  </r>
  <r>
    <x v="4"/>
    <s v="AZE"/>
    <x v="2"/>
    <s v="NY.GDP.PCAP.KD"/>
    <x v="16"/>
    <n v="3557"/>
    <x v="1"/>
  </r>
  <r>
    <x v="4"/>
    <s v="AZE"/>
    <x v="2"/>
    <s v="NY.GDP.PCAP.KD"/>
    <x v="17"/>
    <n v="4412"/>
    <x v="2"/>
  </r>
  <r>
    <x v="4"/>
    <s v="AZE"/>
    <x v="2"/>
    <s v="NY.GDP.PCAP.KD"/>
    <x v="18"/>
    <n v="4778"/>
    <x v="2"/>
  </r>
  <r>
    <x v="4"/>
    <s v="AZE"/>
    <x v="2"/>
    <s v="NY.GDP.PCAP.KD"/>
    <x v="19"/>
    <n v="5118"/>
    <x v="2"/>
  </r>
  <r>
    <x v="4"/>
    <s v="AZE"/>
    <x v="2"/>
    <s v="NY.GDP.PCAP.KD"/>
    <x v="20"/>
    <n v="5300"/>
    <x v="2"/>
  </r>
  <r>
    <x v="4"/>
    <s v="AZE"/>
    <x v="2"/>
    <s v="NY.GDP.PCAP.KD"/>
    <x v="21"/>
    <n v="5149"/>
    <x v="2"/>
  </r>
  <r>
    <x v="4"/>
    <s v="AZE"/>
    <x v="2"/>
    <s v="NY.GDP.PCAP.KD"/>
    <x v="22"/>
    <n v="5193"/>
    <x v="2"/>
  </r>
  <r>
    <x v="4"/>
    <s v="AZE"/>
    <x v="2"/>
    <s v="NY.GDP.PCAP.KD"/>
    <x v="23"/>
    <n v="5426"/>
    <x v="2"/>
  </r>
  <r>
    <x v="4"/>
    <s v="AZE"/>
    <x v="2"/>
    <s v="NY.GDP.PCAP.KD"/>
    <x v="24"/>
    <n v="5509"/>
    <x v="2"/>
  </r>
  <r>
    <x v="4"/>
    <s v="AZE"/>
    <x v="2"/>
    <s v="NY.GDP.PCAP.KD"/>
    <x v="25"/>
    <n v="5501"/>
    <x v="2"/>
  </r>
  <r>
    <x v="4"/>
    <s v="AZE"/>
    <x v="2"/>
    <s v="NY.GDP.PCAP.KD"/>
    <x v="26"/>
    <n v="5273"/>
    <x v="2"/>
  </r>
  <r>
    <x v="4"/>
    <s v="AZE"/>
    <x v="2"/>
    <s v="NY.GDP.PCAP.KD"/>
    <x v="27"/>
    <n v="5229"/>
    <x v="3"/>
  </r>
  <r>
    <x v="4"/>
    <s v="AZE"/>
    <x v="2"/>
    <s v="NY.GDP.PCAP.KD"/>
    <x v="28"/>
    <n v="5262"/>
    <x v="3"/>
  </r>
  <r>
    <x v="4"/>
    <s v="AZE"/>
    <x v="2"/>
    <s v="NY.GDP.PCAP.KD"/>
    <x v="29"/>
    <n v="5347"/>
    <x v="3"/>
  </r>
  <r>
    <x v="56"/>
    <s v="UZB"/>
    <x v="2"/>
    <s v="NY.GDP.PCAP.KD"/>
    <x v="30"/>
    <n v="3249"/>
    <x v="3"/>
  </r>
  <r>
    <x v="4"/>
    <s v="AZE"/>
    <x v="2"/>
    <s v="NY.GDP.PCAP.KD"/>
    <x v="31"/>
    <n v="5350"/>
    <x v="3"/>
  </r>
  <r>
    <x v="4"/>
    <s v="AZE"/>
    <x v="2"/>
    <s v="NY.GDP.PCAP.KD"/>
    <x v="32"/>
    <n v="5600"/>
    <x v="6"/>
  </r>
  <r>
    <x v="4"/>
    <s v="AZE"/>
    <x v="2"/>
    <s v="NY.GDP.PCAP.KD"/>
    <x v="33"/>
    <n v="5669"/>
    <x v="6"/>
  </r>
  <r>
    <x v="4"/>
    <s v="AZE"/>
    <x v="2"/>
    <s v="NY.GDP.PCAP.KD"/>
    <x v="54"/>
    <n v="5871"/>
    <x v="6"/>
  </r>
  <r>
    <x v="5"/>
    <s v="BEL"/>
    <x v="2"/>
    <s v="NY.GDP.PCAP.KD"/>
    <x v="55"/>
    <n v="11716"/>
    <x v="6"/>
  </r>
  <r>
    <x v="5"/>
    <s v="BEL"/>
    <x v="2"/>
    <s v="NY.GDP.PCAP.KD"/>
    <x v="56"/>
    <n v="12258"/>
    <x v="6"/>
  </r>
  <r>
    <x v="5"/>
    <s v="BEL"/>
    <x v="2"/>
    <s v="NY.GDP.PCAP.KD"/>
    <x v="57"/>
    <n v="12846"/>
    <x v="6"/>
  </r>
  <r>
    <x v="5"/>
    <s v="BEL"/>
    <x v="2"/>
    <s v="NY.GDP.PCAP.KD"/>
    <x v="58"/>
    <n v="13305"/>
    <x v="6"/>
  </r>
  <r>
    <x v="5"/>
    <s v="BEL"/>
    <x v="2"/>
    <s v="NY.GDP.PCAP.KD"/>
    <x v="59"/>
    <n v="14097"/>
    <x v="6"/>
  </r>
  <r>
    <x v="5"/>
    <s v="BEL"/>
    <x v="2"/>
    <s v="NY.GDP.PCAP.KD"/>
    <x v="60"/>
    <n v="14467"/>
    <x v="6"/>
  </r>
  <r>
    <x v="5"/>
    <s v="BEL"/>
    <x v="2"/>
    <s v="NY.GDP.PCAP.KD"/>
    <x v="61"/>
    <n v="14823"/>
    <x v="6"/>
  </r>
  <r>
    <x v="5"/>
    <s v="BEL"/>
    <x v="2"/>
    <s v="NY.GDP.PCAP.KD"/>
    <x v="62"/>
    <n v="15311"/>
    <x v="4"/>
  </r>
  <r>
    <x v="5"/>
    <s v="BEL"/>
    <x v="2"/>
    <s v="NY.GDP.PCAP.KD"/>
    <x v="63"/>
    <n v="15890"/>
    <x v="4"/>
  </r>
  <r>
    <x v="5"/>
    <s v="BEL"/>
    <x v="2"/>
    <s v="NY.GDP.PCAP.KD"/>
    <x v="64"/>
    <n v="16896"/>
    <x v="4"/>
  </r>
  <r>
    <x v="5"/>
    <s v="BEL"/>
    <x v="2"/>
    <s v="NY.GDP.PCAP.KD"/>
    <x v="34"/>
    <n v="17951"/>
    <x v="4"/>
  </r>
  <r>
    <x v="5"/>
    <s v="BEL"/>
    <x v="2"/>
    <s v="NY.GDP.PCAP.KD"/>
    <x v="35"/>
    <n v="18633"/>
    <x v="4"/>
  </r>
  <r>
    <x v="5"/>
    <s v="BEL"/>
    <x v="2"/>
    <s v="NY.GDP.PCAP.KD"/>
    <x v="36"/>
    <n v="19543"/>
    <x v="4"/>
  </r>
  <r>
    <x v="5"/>
    <s v="BEL"/>
    <x v="2"/>
    <s v="NY.GDP.PCAP.KD"/>
    <x v="37"/>
    <n v="20725"/>
    <x v="4"/>
  </r>
  <r>
    <x v="5"/>
    <s v="BEL"/>
    <x v="2"/>
    <s v="NY.GDP.PCAP.KD"/>
    <x v="38"/>
    <n v="21603"/>
    <x v="4"/>
  </r>
  <r>
    <x v="5"/>
    <s v="BEL"/>
    <x v="2"/>
    <s v="NY.GDP.PCAP.KD"/>
    <x v="39"/>
    <n v="21117"/>
    <x v="4"/>
  </r>
  <r>
    <x v="5"/>
    <s v="BEL"/>
    <x v="2"/>
    <s v="NY.GDP.PCAP.KD"/>
    <x v="40"/>
    <n v="22271"/>
    <x v="4"/>
  </r>
  <r>
    <x v="5"/>
    <s v="BEL"/>
    <x v="2"/>
    <s v="NY.GDP.PCAP.KD"/>
    <x v="41"/>
    <n v="22383"/>
    <x v="5"/>
  </r>
  <r>
    <x v="5"/>
    <s v="BEL"/>
    <x v="2"/>
    <s v="NY.GDP.PCAP.KD"/>
    <x v="42"/>
    <n v="22997"/>
    <x v="5"/>
  </r>
  <r>
    <x v="5"/>
    <s v="BEL"/>
    <x v="2"/>
    <s v="NY.GDP.PCAP.KD"/>
    <x v="43"/>
    <n v="23515"/>
    <x v="5"/>
  </r>
  <r>
    <x v="5"/>
    <s v="BEL"/>
    <x v="2"/>
    <s v="NY.GDP.PCAP.KD"/>
    <x v="44"/>
    <n v="24532"/>
    <x v="5"/>
  </r>
  <r>
    <x v="5"/>
    <s v="BEL"/>
    <x v="2"/>
    <s v="NY.GDP.PCAP.KD"/>
    <x v="45"/>
    <n v="24465"/>
    <x v="5"/>
  </r>
  <r>
    <x v="5"/>
    <s v="BEL"/>
    <x v="2"/>
    <s v="NY.GDP.PCAP.KD"/>
    <x v="46"/>
    <n v="24617"/>
    <x v="5"/>
  </r>
  <r>
    <x v="5"/>
    <s v="BEL"/>
    <x v="2"/>
    <s v="NY.GDP.PCAP.KD"/>
    <x v="47"/>
    <n v="24696"/>
    <x v="5"/>
  </r>
  <r>
    <x v="5"/>
    <s v="BEL"/>
    <x v="2"/>
    <s v="NY.GDP.PCAP.KD"/>
    <x v="48"/>
    <n v="25305"/>
    <x v="5"/>
  </r>
  <r>
    <x v="5"/>
    <s v="BEL"/>
    <x v="2"/>
    <s v="NY.GDP.PCAP.KD"/>
    <x v="49"/>
    <n v="25715"/>
    <x v="5"/>
  </r>
  <r>
    <x v="5"/>
    <s v="BEL"/>
    <x v="2"/>
    <s v="NY.GDP.PCAP.KD"/>
    <x v="50"/>
    <n v="26175"/>
    <x v="5"/>
  </r>
  <r>
    <x v="5"/>
    <s v="BEL"/>
    <x v="2"/>
    <s v="NY.GDP.PCAP.KD"/>
    <x v="51"/>
    <n v="26756"/>
    <x v="0"/>
  </r>
  <r>
    <x v="5"/>
    <s v="BEL"/>
    <x v="2"/>
    <s v="NY.GDP.PCAP.KD"/>
    <x v="52"/>
    <n v="27930"/>
    <x v="0"/>
  </r>
  <r>
    <x v="5"/>
    <s v="BEL"/>
    <x v="2"/>
    <s v="NY.GDP.PCAP.KD"/>
    <x v="53"/>
    <n v="28795"/>
    <x v="0"/>
  </r>
  <r>
    <x v="5"/>
    <s v="BEL"/>
    <x v="2"/>
    <s v="NY.GDP.PCAP.KD"/>
    <x v="0"/>
    <n v="29610"/>
    <x v="0"/>
  </r>
  <r>
    <x v="5"/>
    <s v="BEL"/>
    <x v="2"/>
    <s v="NY.GDP.PCAP.KD"/>
    <x v="1"/>
    <n v="30041"/>
    <x v="0"/>
  </r>
  <r>
    <x v="5"/>
    <s v="BEL"/>
    <x v="2"/>
    <s v="NY.GDP.PCAP.KD"/>
    <x v="2"/>
    <n v="30377"/>
    <x v="0"/>
  </r>
  <r>
    <x v="5"/>
    <s v="BEL"/>
    <x v="2"/>
    <s v="NY.GDP.PCAP.KD"/>
    <x v="3"/>
    <n v="29967"/>
    <x v="0"/>
  </r>
  <r>
    <x v="5"/>
    <s v="BEL"/>
    <x v="2"/>
    <s v="NY.GDP.PCAP.KD"/>
    <x v="4"/>
    <n v="30839"/>
    <x v="0"/>
  </r>
  <r>
    <x v="5"/>
    <s v="BEL"/>
    <x v="2"/>
    <s v="NY.GDP.PCAP.KD"/>
    <x v="5"/>
    <n v="31509"/>
    <x v="0"/>
  </r>
  <r>
    <x v="5"/>
    <s v="BEL"/>
    <x v="2"/>
    <s v="NY.GDP.PCAP.KD"/>
    <x v="6"/>
    <n v="31863"/>
    <x v="0"/>
  </r>
  <r>
    <x v="5"/>
    <s v="BEL"/>
    <x v="2"/>
    <s v="NY.GDP.PCAP.KD"/>
    <x v="7"/>
    <n v="32992"/>
    <x v="1"/>
  </r>
  <r>
    <x v="5"/>
    <s v="BEL"/>
    <x v="2"/>
    <s v="NY.GDP.PCAP.KD"/>
    <x v="8"/>
    <n v="33567"/>
    <x v="1"/>
  </r>
  <r>
    <x v="5"/>
    <s v="BEL"/>
    <x v="2"/>
    <s v="NY.GDP.PCAP.KD"/>
    <x v="9"/>
    <n v="34677"/>
    <x v="1"/>
  </r>
  <r>
    <x v="5"/>
    <s v="BEL"/>
    <x v="2"/>
    <s v="NY.GDP.PCAP.KD"/>
    <x v="10"/>
    <n v="35878"/>
    <x v="1"/>
  </r>
  <r>
    <x v="5"/>
    <s v="BEL"/>
    <x v="2"/>
    <s v="NY.GDP.PCAP.KD"/>
    <x v="11"/>
    <n v="36148"/>
    <x v="1"/>
  </r>
  <r>
    <x v="5"/>
    <s v="BEL"/>
    <x v="2"/>
    <s v="NY.GDP.PCAP.KD"/>
    <x v="12"/>
    <n v="36601"/>
    <x v="1"/>
  </r>
  <r>
    <x v="5"/>
    <s v="BEL"/>
    <x v="2"/>
    <s v="NY.GDP.PCAP.KD"/>
    <x v="13"/>
    <n v="36826"/>
    <x v="1"/>
  </r>
  <r>
    <x v="5"/>
    <s v="BEL"/>
    <x v="2"/>
    <s v="NY.GDP.PCAP.KD"/>
    <x v="14"/>
    <n v="37977"/>
    <x v="1"/>
  </r>
  <r>
    <x v="5"/>
    <s v="BEL"/>
    <x v="2"/>
    <s v="NY.GDP.PCAP.KD"/>
    <x v="15"/>
    <n v="38645"/>
    <x v="1"/>
  </r>
  <r>
    <x v="5"/>
    <s v="BEL"/>
    <x v="2"/>
    <s v="NY.GDP.PCAP.KD"/>
    <x v="16"/>
    <n v="39371"/>
    <x v="1"/>
  </r>
  <r>
    <x v="5"/>
    <s v="BEL"/>
    <x v="2"/>
    <s v="NY.GDP.PCAP.KD"/>
    <x v="17"/>
    <n v="40520"/>
    <x v="2"/>
  </r>
  <r>
    <x v="5"/>
    <s v="BEL"/>
    <x v="2"/>
    <s v="NY.GDP.PCAP.KD"/>
    <x v="18"/>
    <n v="40381"/>
    <x v="2"/>
  </r>
  <r>
    <x v="5"/>
    <s v="BEL"/>
    <x v="2"/>
    <s v="NY.GDP.PCAP.KD"/>
    <x v="19"/>
    <n v="39294"/>
    <x v="2"/>
  </r>
  <r>
    <x v="5"/>
    <s v="BEL"/>
    <x v="2"/>
    <s v="NY.GDP.PCAP.KD"/>
    <x v="20"/>
    <n v="39992"/>
    <x v="2"/>
  </r>
  <r>
    <x v="5"/>
    <s v="BEL"/>
    <x v="2"/>
    <s v="NY.GDP.PCAP.KD"/>
    <x v="21"/>
    <n v="40237"/>
    <x v="2"/>
  </r>
  <r>
    <x v="5"/>
    <s v="BEL"/>
    <x v="2"/>
    <s v="NY.GDP.PCAP.KD"/>
    <x v="22"/>
    <n v="40074"/>
    <x v="2"/>
  </r>
  <r>
    <x v="5"/>
    <s v="BEL"/>
    <x v="2"/>
    <s v="NY.GDP.PCAP.KD"/>
    <x v="23"/>
    <n v="40008"/>
    <x v="2"/>
  </r>
  <r>
    <x v="5"/>
    <s v="BEL"/>
    <x v="2"/>
    <s v="NY.GDP.PCAP.KD"/>
    <x v="24"/>
    <n v="40534"/>
    <x v="2"/>
  </r>
  <r>
    <x v="5"/>
    <s v="BEL"/>
    <x v="2"/>
    <s v="NY.GDP.PCAP.KD"/>
    <x v="25"/>
    <n v="40894"/>
    <x v="2"/>
  </r>
  <r>
    <x v="5"/>
    <s v="BEL"/>
    <x v="2"/>
    <s v="NY.GDP.PCAP.KD"/>
    <x v="26"/>
    <n v="41173"/>
    <x v="2"/>
  </r>
  <r>
    <x v="5"/>
    <s v="BEL"/>
    <x v="2"/>
    <s v="NY.GDP.PCAP.KD"/>
    <x v="27"/>
    <n v="41619"/>
    <x v="3"/>
  </r>
  <r>
    <x v="5"/>
    <s v="BEL"/>
    <x v="2"/>
    <s v="NY.GDP.PCAP.KD"/>
    <x v="28"/>
    <n v="42208"/>
    <x v="3"/>
  </r>
  <r>
    <x v="5"/>
    <s v="BEL"/>
    <x v="2"/>
    <s v="NY.GDP.PCAP.KD"/>
    <x v="29"/>
    <n v="43006"/>
    <x v="3"/>
  </r>
  <r>
    <x v="57"/>
    <s v="XKX"/>
    <x v="2"/>
    <s v="NY.GDP.PCAP.KD"/>
    <x v="30"/>
    <n v="3991"/>
    <x v="3"/>
  </r>
  <r>
    <x v="5"/>
    <s v="BEL"/>
    <x v="2"/>
    <s v="NY.GDP.PCAP.KD"/>
    <x v="31"/>
    <n v="43141"/>
    <x v="3"/>
  </r>
  <r>
    <x v="5"/>
    <s v="BEL"/>
    <x v="2"/>
    <s v="NY.GDP.PCAP.KD"/>
    <x v="32"/>
    <n v="44487"/>
    <x v="5"/>
  </r>
  <r>
    <x v="5"/>
    <s v="BEL"/>
    <x v="2"/>
    <s v="NY.GDP.PCAP.KD"/>
    <x v="33"/>
    <n v="44866"/>
    <x v="5"/>
  </r>
  <r>
    <x v="5"/>
    <s v="BEL"/>
    <x v="2"/>
    <s v="NY.GDP.PCAP.KD"/>
    <x v="54"/>
    <n v="45046"/>
    <x v="5"/>
  </r>
  <r>
    <x v="6"/>
    <s v="BGR"/>
    <x v="2"/>
    <s v="NY.GDP.PCAP.KD"/>
    <x v="44"/>
    <n v="3427"/>
    <x v="5"/>
  </r>
  <r>
    <x v="6"/>
    <s v="BGR"/>
    <x v="2"/>
    <s v="NY.GDP.PCAP.KD"/>
    <x v="45"/>
    <n v="3583"/>
    <x v="5"/>
  </r>
  <r>
    <x v="6"/>
    <s v="BGR"/>
    <x v="2"/>
    <s v="NY.GDP.PCAP.KD"/>
    <x v="46"/>
    <n v="3656"/>
    <x v="5"/>
  </r>
  <r>
    <x v="6"/>
    <s v="BGR"/>
    <x v="2"/>
    <s v="NY.GDP.PCAP.KD"/>
    <x v="47"/>
    <n v="3772"/>
    <x v="5"/>
  </r>
  <r>
    <x v="6"/>
    <s v="BGR"/>
    <x v="2"/>
    <s v="NY.GDP.PCAP.KD"/>
    <x v="48"/>
    <n v="3891"/>
    <x v="5"/>
  </r>
  <r>
    <x v="6"/>
    <s v="BGR"/>
    <x v="2"/>
    <s v="NY.GDP.PCAP.KD"/>
    <x v="49"/>
    <n v="3996"/>
    <x v="5"/>
  </r>
  <r>
    <x v="6"/>
    <s v="BGR"/>
    <x v="2"/>
    <s v="NY.GDP.PCAP.KD"/>
    <x v="50"/>
    <n v="4165"/>
    <x v="5"/>
  </r>
  <r>
    <x v="6"/>
    <s v="BGR"/>
    <x v="2"/>
    <s v="NY.GDP.PCAP.KD"/>
    <x v="51"/>
    <n v="4410"/>
    <x v="0"/>
  </r>
  <r>
    <x v="6"/>
    <s v="BGR"/>
    <x v="2"/>
    <s v="NY.GDP.PCAP.KD"/>
    <x v="52"/>
    <n v="4888"/>
    <x v="0"/>
  </r>
  <r>
    <x v="6"/>
    <s v="BGR"/>
    <x v="2"/>
    <s v="NY.GDP.PCAP.KD"/>
    <x v="53"/>
    <n v="4782"/>
    <x v="0"/>
  </r>
  <r>
    <x v="6"/>
    <s v="BGR"/>
    <x v="2"/>
    <s v="NY.GDP.PCAP.KD"/>
    <x v="0"/>
    <n v="4425"/>
    <x v="0"/>
  </r>
  <r>
    <x v="6"/>
    <s v="BGR"/>
    <x v="2"/>
    <s v="NY.GDP.PCAP.KD"/>
    <x v="1"/>
    <n v="4092"/>
    <x v="0"/>
  </r>
  <r>
    <x v="6"/>
    <s v="BGR"/>
    <x v="2"/>
    <s v="NY.GDP.PCAP.KD"/>
    <x v="2"/>
    <n v="3835"/>
    <x v="0"/>
  </r>
  <r>
    <x v="6"/>
    <s v="BGR"/>
    <x v="2"/>
    <s v="NY.GDP.PCAP.KD"/>
    <x v="3"/>
    <n v="3809"/>
    <x v="0"/>
  </r>
  <r>
    <x v="6"/>
    <s v="BGR"/>
    <x v="2"/>
    <s v="NY.GDP.PCAP.KD"/>
    <x v="4"/>
    <n v="3891"/>
    <x v="0"/>
  </r>
  <r>
    <x v="6"/>
    <s v="BGR"/>
    <x v="2"/>
    <s v="NY.GDP.PCAP.KD"/>
    <x v="5"/>
    <n v="4022"/>
    <x v="0"/>
  </r>
  <r>
    <x v="6"/>
    <s v="BGR"/>
    <x v="2"/>
    <s v="NY.GDP.PCAP.KD"/>
    <x v="6"/>
    <n v="4253"/>
    <x v="0"/>
  </r>
  <r>
    <x v="6"/>
    <s v="BGR"/>
    <x v="2"/>
    <s v="NY.GDP.PCAP.KD"/>
    <x v="7"/>
    <n v="3675"/>
    <x v="1"/>
  </r>
  <r>
    <x v="6"/>
    <s v="BGR"/>
    <x v="2"/>
    <s v="NY.GDP.PCAP.KD"/>
    <x v="8"/>
    <n v="3840"/>
    <x v="1"/>
  </r>
  <r>
    <x v="6"/>
    <s v="BGR"/>
    <x v="2"/>
    <s v="NY.GDP.PCAP.KD"/>
    <x v="9"/>
    <n v="3537"/>
    <x v="1"/>
  </r>
  <r>
    <x v="6"/>
    <s v="BGR"/>
    <x v="2"/>
    <s v="NY.GDP.PCAP.KD"/>
    <x v="10"/>
    <n v="3718"/>
    <x v="1"/>
  </r>
  <r>
    <x v="6"/>
    <s v="BGR"/>
    <x v="2"/>
    <s v="NY.GDP.PCAP.KD"/>
    <x v="11"/>
    <n v="3938"/>
    <x v="1"/>
  </r>
  <r>
    <x v="6"/>
    <s v="BGR"/>
    <x v="2"/>
    <s v="NY.GDP.PCAP.KD"/>
    <x v="12"/>
    <n v="4260"/>
    <x v="1"/>
  </r>
  <r>
    <x v="6"/>
    <s v="BGR"/>
    <x v="2"/>
    <s v="NY.GDP.PCAP.KD"/>
    <x v="13"/>
    <n v="4519"/>
    <x v="1"/>
  </r>
  <r>
    <x v="6"/>
    <s v="BGR"/>
    <x v="2"/>
    <s v="NY.GDP.PCAP.KD"/>
    <x v="14"/>
    <n v="4850"/>
    <x v="1"/>
  </r>
  <r>
    <x v="6"/>
    <s v="BGR"/>
    <x v="2"/>
    <s v="NY.GDP.PCAP.KD"/>
    <x v="15"/>
    <n v="5231"/>
    <x v="1"/>
  </r>
  <r>
    <x v="6"/>
    <s v="BGR"/>
    <x v="2"/>
    <s v="NY.GDP.PCAP.KD"/>
    <x v="16"/>
    <n v="5630"/>
    <x v="1"/>
  </r>
  <r>
    <x v="6"/>
    <s v="BGR"/>
    <x v="2"/>
    <s v="NY.GDP.PCAP.KD"/>
    <x v="17"/>
    <n v="6049"/>
    <x v="2"/>
  </r>
  <r>
    <x v="6"/>
    <s v="BGR"/>
    <x v="2"/>
    <s v="NY.GDP.PCAP.KD"/>
    <x v="18"/>
    <n v="6465"/>
    <x v="2"/>
  </r>
  <r>
    <x v="6"/>
    <s v="BGR"/>
    <x v="2"/>
    <s v="NY.GDP.PCAP.KD"/>
    <x v="19"/>
    <n v="6289"/>
    <x v="2"/>
  </r>
  <r>
    <x v="6"/>
    <s v="BGR"/>
    <x v="2"/>
    <s v="NY.GDP.PCAP.KD"/>
    <x v="20"/>
    <n v="6429"/>
    <x v="2"/>
  </r>
  <r>
    <x v="6"/>
    <s v="BGR"/>
    <x v="2"/>
    <s v="NY.GDP.PCAP.KD"/>
    <x v="21"/>
    <n v="6605"/>
    <x v="2"/>
  </r>
  <r>
    <x v="6"/>
    <s v="BGR"/>
    <x v="2"/>
    <s v="NY.GDP.PCAP.KD"/>
    <x v="22"/>
    <n v="6693"/>
    <x v="2"/>
  </r>
  <r>
    <x v="6"/>
    <s v="BGR"/>
    <x v="2"/>
    <s v="NY.GDP.PCAP.KD"/>
    <x v="23"/>
    <n v="6793"/>
    <x v="2"/>
  </r>
  <r>
    <x v="6"/>
    <s v="BGR"/>
    <x v="2"/>
    <s v="NY.GDP.PCAP.KD"/>
    <x v="24"/>
    <n v="6941"/>
    <x v="2"/>
  </r>
  <r>
    <x v="6"/>
    <s v="BGR"/>
    <x v="2"/>
    <s v="NY.GDP.PCAP.KD"/>
    <x v="25"/>
    <n v="7269"/>
    <x v="2"/>
  </r>
  <r>
    <x v="6"/>
    <s v="BGR"/>
    <x v="2"/>
    <s v="NY.GDP.PCAP.KD"/>
    <x v="26"/>
    <n v="7587"/>
    <x v="2"/>
  </r>
  <r>
    <x v="6"/>
    <s v="BGR"/>
    <x v="2"/>
    <s v="NY.GDP.PCAP.KD"/>
    <x v="27"/>
    <n v="7899"/>
    <x v="3"/>
  </r>
  <r>
    <x v="6"/>
    <s v="BGR"/>
    <x v="2"/>
    <s v="NY.GDP.PCAP.KD"/>
    <x v="28"/>
    <n v="8194"/>
    <x v="3"/>
  </r>
  <r>
    <x v="6"/>
    <s v="BGR"/>
    <x v="2"/>
    <s v="NY.GDP.PCAP.KD"/>
    <x v="29"/>
    <n v="8626"/>
    <x v="3"/>
  </r>
  <r>
    <x v="2"/>
    <s v="ARM"/>
    <x v="2"/>
    <s v="NY.GDP.PCAP.KD"/>
    <x v="30"/>
    <n v="4032"/>
    <x v="3"/>
  </r>
  <r>
    <x v="6"/>
    <s v="BGR"/>
    <x v="2"/>
    <s v="NY.GDP.PCAP.KD"/>
    <x v="31"/>
    <n v="9161"/>
    <x v="3"/>
  </r>
  <r>
    <x v="6"/>
    <s v="BGR"/>
    <x v="2"/>
    <s v="NY.GDP.PCAP.KD"/>
    <x v="32"/>
    <n v="9598"/>
    <x v="0"/>
  </r>
  <r>
    <x v="6"/>
    <s v="BGR"/>
    <x v="2"/>
    <s v="NY.GDP.PCAP.KD"/>
    <x v="33"/>
    <n v="9787"/>
    <x v="0"/>
  </r>
  <r>
    <x v="6"/>
    <s v="BGR"/>
    <x v="2"/>
    <s v="NY.GDP.PCAP.KD"/>
    <x v="54"/>
    <n v="10127"/>
    <x v="0"/>
  </r>
  <r>
    <x v="7"/>
    <s v="BIH"/>
    <x v="2"/>
    <s v="NY.GDP.PCAP.KD"/>
    <x v="0"/>
    <n v="791"/>
    <x v="0"/>
  </r>
  <r>
    <x v="7"/>
    <s v="BIH"/>
    <x v="2"/>
    <s v="NY.GDP.PCAP.KD"/>
    <x v="1"/>
    <n v="716"/>
    <x v="0"/>
  </r>
  <r>
    <x v="7"/>
    <s v="BIH"/>
    <x v="2"/>
    <s v="NY.GDP.PCAP.KD"/>
    <x v="2"/>
    <n v="705"/>
    <x v="0"/>
  </r>
  <r>
    <x v="7"/>
    <s v="BIH"/>
    <x v="2"/>
    <s v="NY.GDP.PCAP.KD"/>
    <x v="3"/>
    <n v="748"/>
    <x v="0"/>
  </r>
  <r>
    <x v="7"/>
    <s v="BIH"/>
    <x v="2"/>
    <s v="NY.GDP.PCAP.KD"/>
    <x v="4"/>
    <n v="871"/>
    <x v="0"/>
  </r>
  <r>
    <x v="7"/>
    <s v="BIH"/>
    <x v="2"/>
    <s v="NY.GDP.PCAP.KD"/>
    <x v="5"/>
    <n v="1013"/>
    <x v="0"/>
  </r>
  <r>
    <x v="7"/>
    <s v="BIH"/>
    <x v="2"/>
    <s v="NY.GDP.PCAP.KD"/>
    <x v="6"/>
    <n v="1498"/>
    <x v="0"/>
  </r>
  <r>
    <x v="7"/>
    <s v="BIH"/>
    <x v="2"/>
    <s v="NY.GDP.PCAP.KD"/>
    <x v="7"/>
    <n v="1974"/>
    <x v="1"/>
  </r>
  <r>
    <x v="7"/>
    <s v="BIH"/>
    <x v="2"/>
    <s v="NY.GDP.PCAP.KD"/>
    <x v="8"/>
    <n v="2262"/>
    <x v="1"/>
  </r>
  <r>
    <x v="7"/>
    <s v="BIH"/>
    <x v="2"/>
    <s v="NY.GDP.PCAP.KD"/>
    <x v="9"/>
    <n v="2453"/>
    <x v="1"/>
  </r>
  <r>
    <x v="7"/>
    <s v="BIH"/>
    <x v="2"/>
    <s v="NY.GDP.PCAP.KD"/>
    <x v="10"/>
    <n v="2567"/>
    <x v="1"/>
  </r>
  <r>
    <x v="7"/>
    <s v="BIH"/>
    <x v="2"/>
    <s v="NY.GDP.PCAP.KD"/>
    <x v="11"/>
    <n v="2617"/>
    <x v="1"/>
  </r>
  <r>
    <x v="7"/>
    <s v="BIH"/>
    <x v="2"/>
    <s v="NY.GDP.PCAP.KD"/>
    <x v="12"/>
    <n v="2743"/>
    <x v="1"/>
  </r>
  <r>
    <x v="7"/>
    <s v="BIH"/>
    <x v="2"/>
    <s v="NY.GDP.PCAP.KD"/>
    <x v="13"/>
    <n v="2856"/>
    <x v="1"/>
  </r>
  <r>
    <x v="7"/>
    <s v="BIH"/>
    <x v="2"/>
    <s v="NY.GDP.PCAP.KD"/>
    <x v="14"/>
    <n v="3064"/>
    <x v="1"/>
  </r>
  <r>
    <x v="7"/>
    <s v="BIH"/>
    <x v="2"/>
    <s v="NY.GDP.PCAP.KD"/>
    <x v="15"/>
    <n v="3218"/>
    <x v="1"/>
  </r>
  <r>
    <x v="7"/>
    <s v="BIH"/>
    <x v="2"/>
    <s v="NY.GDP.PCAP.KD"/>
    <x v="16"/>
    <n v="3420"/>
    <x v="1"/>
  </r>
  <r>
    <x v="7"/>
    <s v="BIH"/>
    <x v="2"/>
    <s v="NY.GDP.PCAP.KD"/>
    <x v="17"/>
    <n v="3665"/>
    <x v="2"/>
  </r>
  <r>
    <x v="7"/>
    <s v="BIH"/>
    <x v="2"/>
    <s v="NY.GDP.PCAP.KD"/>
    <x v="18"/>
    <n v="3929"/>
    <x v="2"/>
  </r>
  <r>
    <x v="7"/>
    <s v="BIH"/>
    <x v="2"/>
    <s v="NY.GDP.PCAP.KD"/>
    <x v="19"/>
    <n v="3878"/>
    <x v="2"/>
  </r>
  <r>
    <x v="7"/>
    <s v="BIH"/>
    <x v="2"/>
    <s v="NY.GDP.PCAP.KD"/>
    <x v="20"/>
    <n v="3981"/>
    <x v="2"/>
  </r>
  <r>
    <x v="7"/>
    <s v="BIH"/>
    <x v="2"/>
    <s v="NY.GDP.PCAP.KD"/>
    <x v="21"/>
    <n v="4094"/>
    <x v="2"/>
  </r>
  <r>
    <x v="7"/>
    <s v="BIH"/>
    <x v="2"/>
    <s v="NY.GDP.PCAP.KD"/>
    <x v="22"/>
    <n v="4140"/>
    <x v="2"/>
  </r>
  <r>
    <x v="7"/>
    <s v="BIH"/>
    <x v="2"/>
    <s v="NY.GDP.PCAP.KD"/>
    <x v="23"/>
    <n v="4307"/>
    <x v="2"/>
  </r>
  <r>
    <x v="7"/>
    <s v="BIH"/>
    <x v="2"/>
    <s v="NY.GDP.PCAP.KD"/>
    <x v="24"/>
    <n v="4413"/>
    <x v="2"/>
  </r>
  <r>
    <x v="7"/>
    <s v="BIH"/>
    <x v="2"/>
    <s v="NY.GDP.PCAP.KD"/>
    <x v="25"/>
    <n v="4662"/>
    <x v="2"/>
  </r>
  <r>
    <x v="7"/>
    <s v="BIH"/>
    <x v="2"/>
    <s v="NY.GDP.PCAP.KD"/>
    <x v="26"/>
    <n v="4877"/>
    <x v="2"/>
  </r>
  <r>
    <x v="7"/>
    <s v="BIH"/>
    <x v="2"/>
    <s v="NY.GDP.PCAP.KD"/>
    <x v="27"/>
    <n v="5100"/>
    <x v="3"/>
  </r>
  <r>
    <x v="7"/>
    <s v="BIH"/>
    <x v="2"/>
    <s v="NY.GDP.PCAP.KD"/>
    <x v="28"/>
    <n v="5360"/>
    <x v="3"/>
  </r>
  <r>
    <x v="7"/>
    <s v="BIH"/>
    <x v="2"/>
    <s v="NY.GDP.PCAP.KD"/>
    <x v="29"/>
    <n v="5583"/>
    <x v="3"/>
  </r>
  <r>
    <x v="21"/>
    <s v="GEO"/>
    <x v="2"/>
    <s v="NY.GDP.PCAP.KD"/>
    <x v="30"/>
    <n v="4660"/>
    <x v="3"/>
  </r>
  <r>
    <x v="7"/>
    <s v="BIH"/>
    <x v="2"/>
    <s v="NY.GDP.PCAP.KD"/>
    <x v="31"/>
    <n v="5996"/>
    <x v="3"/>
  </r>
  <r>
    <x v="7"/>
    <s v="BIH"/>
    <x v="2"/>
    <s v="NY.GDP.PCAP.KD"/>
    <x v="32"/>
    <n v="6327"/>
    <x v="0"/>
  </r>
  <r>
    <x v="7"/>
    <s v="BIH"/>
    <x v="2"/>
    <s v="NY.GDP.PCAP.KD"/>
    <x v="33"/>
    <n v="6493"/>
    <x v="0"/>
  </r>
  <r>
    <x v="7"/>
    <s v="BIH"/>
    <x v="2"/>
    <s v="NY.GDP.PCAP.KD"/>
    <x v="54"/>
    <n v="6730"/>
    <x v="0"/>
  </r>
  <r>
    <x v="8"/>
    <s v="BLR"/>
    <x v="2"/>
    <s v="NY.GDP.PCAP.KD"/>
    <x v="0"/>
    <n v="2889"/>
    <x v="0"/>
  </r>
  <r>
    <x v="8"/>
    <s v="BLR"/>
    <x v="2"/>
    <s v="NY.GDP.PCAP.KD"/>
    <x v="1"/>
    <n v="2853"/>
    <x v="0"/>
  </r>
  <r>
    <x v="8"/>
    <s v="BLR"/>
    <x v="2"/>
    <s v="NY.GDP.PCAP.KD"/>
    <x v="2"/>
    <n v="2573"/>
    <x v="0"/>
  </r>
  <r>
    <x v="8"/>
    <s v="BLR"/>
    <x v="2"/>
    <s v="NY.GDP.PCAP.KD"/>
    <x v="3"/>
    <n v="2372"/>
    <x v="0"/>
  </r>
  <r>
    <x v="8"/>
    <s v="BLR"/>
    <x v="2"/>
    <s v="NY.GDP.PCAP.KD"/>
    <x v="4"/>
    <n v="2097"/>
    <x v="0"/>
  </r>
  <r>
    <x v="8"/>
    <s v="BLR"/>
    <x v="2"/>
    <s v="NY.GDP.PCAP.KD"/>
    <x v="5"/>
    <n v="1885"/>
    <x v="0"/>
  </r>
  <r>
    <x v="8"/>
    <s v="BLR"/>
    <x v="2"/>
    <s v="NY.GDP.PCAP.KD"/>
    <x v="6"/>
    <n v="1945"/>
    <x v="0"/>
  </r>
  <r>
    <x v="8"/>
    <s v="BLR"/>
    <x v="2"/>
    <s v="NY.GDP.PCAP.KD"/>
    <x v="7"/>
    <n v="2175"/>
    <x v="1"/>
  </r>
  <r>
    <x v="8"/>
    <s v="BLR"/>
    <x v="2"/>
    <s v="NY.GDP.PCAP.KD"/>
    <x v="8"/>
    <n v="2369"/>
    <x v="1"/>
  </r>
  <r>
    <x v="8"/>
    <s v="BLR"/>
    <x v="2"/>
    <s v="NY.GDP.PCAP.KD"/>
    <x v="9"/>
    <n v="2460"/>
    <x v="1"/>
  </r>
  <r>
    <x v="8"/>
    <s v="BLR"/>
    <x v="2"/>
    <s v="NY.GDP.PCAP.KD"/>
    <x v="10"/>
    <n v="2615"/>
    <x v="1"/>
  </r>
  <r>
    <x v="8"/>
    <s v="BLR"/>
    <x v="2"/>
    <s v="NY.GDP.PCAP.KD"/>
    <x v="11"/>
    <n v="2753"/>
    <x v="1"/>
  </r>
  <r>
    <x v="8"/>
    <s v="BLR"/>
    <x v="2"/>
    <s v="NY.GDP.PCAP.KD"/>
    <x v="12"/>
    <n v="2910"/>
    <x v="1"/>
  </r>
  <r>
    <x v="8"/>
    <s v="BLR"/>
    <x v="2"/>
    <s v="NY.GDP.PCAP.KD"/>
    <x v="13"/>
    <n v="3137"/>
    <x v="1"/>
  </r>
  <r>
    <x v="8"/>
    <s v="BLR"/>
    <x v="2"/>
    <s v="NY.GDP.PCAP.KD"/>
    <x v="14"/>
    <n v="3520"/>
    <x v="1"/>
  </r>
  <r>
    <x v="8"/>
    <s v="BLR"/>
    <x v="2"/>
    <s v="NY.GDP.PCAP.KD"/>
    <x v="15"/>
    <n v="3878"/>
    <x v="1"/>
  </r>
  <r>
    <x v="8"/>
    <s v="BLR"/>
    <x v="2"/>
    <s v="NY.GDP.PCAP.KD"/>
    <x v="16"/>
    <n v="4292"/>
    <x v="1"/>
  </r>
  <r>
    <x v="8"/>
    <s v="BLR"/>
    <x v="2"/>
    <s v="NY.GDP.PCAP.KD"/>
    <x v="17"/>
    <n v="4682"/>
    <x v="2"/>
  </r>
  <r>
    <x v="8"/>
    <s v="BLR"/>
    <x v="2"/>
    <s v="NY.GDP.PCAP.KD"/>
    <x v="18"/>
    <n v="5178"/>
    <x v="2"/>
  </r>
  <r>
    <x v="8"/>
    <s v="BLR"/>
    <x v="2"/>
    <s v="NY.GDP.PCAP.KD"/>
    <x v="19"/>
    <n v="5201"/>
    <x v="2"/>
  </r>
  <r>
    <x v="8"/>
    <s v="BLR"/>
    <x v="2"/>
    <s v="NY.GDP.PCAP.KD"/>
    <x v="20"/>
    <n v="5616"/>
    <x v="2"/>
  </r>
  <r>
    <x v="8"/>
    <s v="BLR"/>
    <x v="2"/>
    <s v="NY.GDP.PCAP.KD"/>
    <x v="21"/>
    <n v="5942"/>
    <x v="2"/>
  </r>
  <r>
    <x v="8"/>
    <s v="BLR"/>
    <x v="2"/>
    <s v="NY.GDP.PCAP.KD"/>
    <x v="22"/>
    <n v="6053"/>
    <x v="2"/>
  </r>
  <r>
    <x v="8"/>
    <s v="BLR"/>
    <x v="2"/>
    <s v="NY.GDP.PCAP.KD"/>
    <x v="23"/>
    <n v="6115"/>
    <x v="2"/>
  </r>
  <r>
    <x v="8"/>
    <s v="BLR"/>
    <x v="2"/>
    <s v="NY.GDP.PCAP.KD"/>
    <x v="24"/>
    <n v="6213"/>
    <x v="2"/>
  </r>
  <r>
    <x v="8"/>
    <s v="BLR"/>
    <x v="2"/>
    <s v="NY.GDP.PCAP.KD"/>
    <x v="25"/>
    <n v="5967"/>
    <x v="2"/>
  </r>
  <r>
    <x v="8"/>
    <s v="BLR"/>
    <x v="2"/>
    <s v="NY.GDP.PCAP.KD"/>
    <x v="26"/>
    <n v="5811"/>
    <x v="2"/>
  </r>
  <r>
    <x v="8"/>
    <s v="BLR"/>
    <x v="2"/>
    <s v="NY.GDP.PCAP.KD"/>
    <x v="27"/>
    <n v="5965"/>
    <x v="3"/>
  </r>
  <r>
    <x v="8"/>
    <s v="BLR"/>
    <x v="2"/>
    <s v="NY.GDP.PCAP.KD"/>
    <x v="28"/>
    <n v="6166"/>
    <x v="3"/>
  </r>
  <r>
    <x v="8"/>
    <s v="BLR"/>
    <x v="2"/>
    <s v="NY.GDP.PCAP.KD"/>
    <x v="29"/>
    <n v="6268"/>
    <x v="3"/>
  </r>
  <r>
    <x v="0"/>
    <s v="ALB"/>
    <x v="2"/>
    <s v="NY.GDP.PCAP.KD"/>
    <x v="30"/>
    <n v="4981"/>
    <x v="3"/>
  </r>
  <r>
    <x v="8"/>
    <s v="BLR"/>
    <x v="2"/>
    <s v="NY.GDP.PCAP.KD"/>
    <x v="31"/>
    <n v="6458"/>
    <x v="3"/>
  </r>
  <r>
    <x v="8"/>
    <s v="BLR"/>
    <x v="2"/>
    <s v="NY.GDP.PCAP.KD"/>
    <x v="32"/>
    <n v="6207"/>
    <x v="6"/>
  </r>
  <r>
    <x v="8"/>
    <s v="BLR"/>
    <x v="2"/>
    <s v="NY.GDP.PCAP.KD"/>
    <x v="33"/>
    <n v="6498"/>
    <x v="6"/>
  </r>
  <r>
    <x v="8"/>
    <s v="BLR"/>
    <x v="2"/>
    <s v="NY.GDP.PCAP.KD"/>
    <x v="54"/>
    <n v="6792"/>
    <x v="6"/>
  </r>
  <r>
    <x v="9"/>
    <s v="CHE"/>
    <x v="2"/>
    <s v="NY.GDP.PCAP.KD"/>
    <x v="55"/>
    <n v="39907"/>
    <x v="6"/>
  </r>
  <r>
    <x v="9"/>
    <s v="CHE"/>
    <x v="2"/>
    <s v="NY.GDP.PCAP.KD"/>
    <x v="56"/>
    <n v="42298"/>
    <x v="6"/>
  </r>
  <r>
    <x v="9"/>
    <s v="CHE"/>
    <x v="2"/>
    <s v="NY.GDP.PCAP.KD"/>
    <x v="57"/>
    <n v="43215"/>
    <x v="6"/>
  </r>
  <r>
    <x v="9"/>
    <s v="CHE"/>
    <x v="2"/>
    <s v="NY.GDP.PCAP.KD"/>
    <x v="58"/>
    <n v="44364"/>
    <x v="6"/>
  </r>
  <r>
    <x v="9"/>
    <s v="CHE"/>
    <x v="2"/>
    <s v="NY.GDP.PCAP.KD"/>
    <x v="59"/>
    <n v="45930"/>
    <x v="6"/>
  </r>
  <r>
    <x v="9"/>
    <s v="CHE"/>
    <x v="2"/>
    <s v="NY.GDP.PCAP.KD"/>
    <x v="60"/>
    <n v="46358"/>
    <x v="6"/>
  </r>
  <r>
    <x v="9"/>
    <s v="CHE"/>
    <x v="2"/>
    <s v="NY.GDP.PCAP.KD"/>
    <x v="61"/>
    <n v="47006"/>
    <x v="6"/>
  </r>
  <r>
    <x v="9"/>
    <s v="CHE"/>
    <x v="2"/>
    <s v="NY.GDP.PCAP.KD"/>
    <x v="62"/>
    <n v="47846"/>
    <x v="4"/>
  </r>
  <r>
    <x v="9"/>
    <s v="CHE"/>
    <x v="2"/>
    <s v="NY.GDP.PCAP.KD"/>
    <x v="63"/>
    <n v="48942"/>
    <x v="4"/>
  </r>
  <r>
    <x v="9"/>
    <s v="CHE"/>
    <x v="2"/>
    <s v="NY.GDP.PCAP.KD"/>
    <x v="64"/>
    <n v="51120"/>
    <x v="4"/>
  </r>
  <r>
    <x v="9"/>
    <s v="CHE"/>
    <x v="2"/>
    <s v="NY.GDP.PCAP.KD"/>
    <x v="34"/>
    <n v="53989"/>
    <x v="4"/>
  </r>
  <r>
    <x v="9"/>
    <s v="CHE"/>
    <x v="2"/>
    <s v="NY.GDP.PCAP.KD"/>
    <x v="35"/>
    <n v="55895"/>
    <x v="4"/>
  </r>
  <r>
    <x v="9"/>
    <s v="CHE"/>
    <x v="2"/>
    <s v="NY.GDP.PCAP.KD"/>
    <x v="36"/>
    <n v="57246"/>
    <x v="4"/>
  </r>
  <r>
    <x v="9"/>
    <s v="CHE"/>
    <x v="2"/>
    <s v="NY.GDP.PCAP.KD"/>
    <x v="37"/>
    <n v="58558"/>
    <x v="4"/>
  </r>
  <r>
    <x v="9"/>
    <s v="CHE"/>
    <x v="2"/>
    <s v="NY.GDP.PCAP.KD"/>
    <x v="38"/>
    <n v="59091"/>
    <x v="4"/>
  </r>
  <r>
    <x v="9"/>
    <s v="CHE"/>
    <x v="2"/>
    <s v="NY.GDP.PCAP.KD"/>
    <x v="39"/>
    <n v="54811"/>
    <x v="4"/>
  </r>
  <r>
    <x v="9"/>
    <s v="CHE"/>
    <x v="2"/>
    <s v="NY.GDP.PCAP.KD"/>
    <x v="40"/>
    <n v="54352"/>
    <x v="4"/>
  </r>
  <r>
    <x v="9"/>
    <s v="CHE"/>
    <x v="2"/>
    <s v="NY.GDP.PCAP.KD"/>
    <x v="41"/>
    <n v="55864"/>
    <x v="5"/>
  </r>
  <r>
    <x v="9"/>
    <s v="CHE"/>
    <x v="2"/>
    <s v="NY.GDP.PCAP.KD"/>
    <x v="42"/>
    <n v="56087"/>
    <x v="5"/>
  </r>
  <r>
    <x v="9"/>
    <s v="CHE"/>
    <x v="2"/>
    <s v="NY.GDP.PCAP.KD"/>
    <x v="43"/>
    <n v="57369"/>
    <x v="5"/>
  </r>
  <r>
    <x v="9"/>
    <s v="CHE"/>
    <x v="2"/>
    <s v="NY.GDP.PCAP.KD"/>
    <x v="44"/>
    <n v="59771"/>
    <x v="5"/>
  </r>
  <r>
    <x v="9"/>
    <s v="CHE"/>
    <x v="2"/>
    <s v="NY.GDP.PCAP.KD"/>
    <x v="45"/>
    <n v="60397"/>
    <x v="5"/>
  </r>
  <r>
    <x v="9"/>
    <s v="CHE"/>
    <x v="2"/>
    <s v="NY.GDP.PCAP.KD"/>
    <x v="46"/>
    <n v="59259"/>
    <x v="5"/>
  </r>
  <r>
    <x v="9"/>
    <s v="CHE"/>
    <x v="2"/>
    <s v="NY.GDP.PCAP.KD"/>
    <x v="47"/>
    <n v="59383"/>
    <x v="5"/>
  </r>
  <r>
    <x v="9"/>
    <s v="CHE"/>
    <x v="2"/>
    <s v="NY.GDP.PCAP.KD"/>
    <x v="48"/>
    <n v="60950"/>
    <x v="5"/>
  </r>
  <r>
    <x v="9"/>
    <s v="CHE"/>
    <x v="2"/>
    <s v="NY.GDP.PCAP.KD"/>
    <x v="49"/>
    <n v="62911"/>
    <x v="5"/>
  </r>
  <r>
    <x v="9"/>
    <s v="CHE"/>
    <x v="2"/>
    <s v="NY.GDP.PCAP.KD"/>
    <x v="50"/>
    <n v="63747"/>
    <x v="5"/>
  </r>
  <r>
    <x v="9"/>
    <s v="CHE"/>
    <x v="2"/>
    <s v="NY.GDP.PCAP.KD"/>
    <x v="51"/>
    <n v="64353"/>
    <x v="0"/>
  </r>
  <r>
    <x v="9"/>
    <s v="CHE"/>
    <x v="2"/>
    <s v="NY.GDP.PCAP.KD"/>
    <x v="52"/>
    <n v="65975"/>
    <x v="0"/>
  </r>
  <r>
    <x v="9"/>
    <s v="CHE"/>
    <x v="2"/>
    <s v="NY.GDP.PCAP.KD"/>
    <x v="53"/>
    <n v="68278"/>
    <x v="0"/>
  </r>
  <r>
    <x v="9"/>
    <s v="CHE"/>
    <x v="2"/>
    <s v="NY.GDP.PCAP.KD"/>
    <x v="0"/>
    <n v="70064"/>
    <x v="0"/>
  </r>
  <r>
    <x v="9"/>
    <s v="CHE"/>
    <x v="2"/>
    <s v="NY.GDP.PCAP.KD"/>
    <x v="1"/>
    <n v="68560"/>
    <x v="0"/>
  </r>
  <r>
    <x v="9"/>
    <s v="CHE"/>
    <x v="2"/>
    <s v="NY.GDP.PCAP.KD"/>
    <x v="2"/>
    <n v="67779"/>
    <x v="0"/>
  </r>
  <r>
    <x v="9"/>
    <s v="CHE"/>
    <x v="2"/>
    <s v="NY.GDP.PCAP.KD"/>
    <x v="3"/>
    <n v="67079"/>
    <x v="0"/>
  </r>
  <r>
    <x v="9"/>
    <s v="CHE"/>
    <x v="2"/>
    <s v="NY.GDP.PCAP.KD"/>
    <x v="4"/>
    <n v="67392"/>
    <x v="0"/>
  </r>
  <r>
    <x v="9"/>
    <s v="CHE"/>
    <x v="2"/>
    <s v="NY.GDP.PCAP.KD"/>
    <x v="5"/>
    <n v="67265"/>
    <x v="0"/>
  </r>
  <r>
    <x v="9"/>
    <s v="CHE"/>
    <x v="2"/>
    <s v="NY.GDP.PCAP.KD"/>
    <x v="6"/>
    <n v="67284"/>
    <x v="0"/>
  </r>
  <r>
    <x v="9"/>
    <s v="CHE"/>
    <x v="2"/>
    <s v="NY.GDP.PCAP.KD"/>
    <x v="7"/>
    <n v="68640"/>
    <x v="1"/>
  </r>
  <r>
    <x v="9"/>
    <s v="CHE"/>
    <x v="2"/>
    <s v="NY.GDP.PCAP.KD"/>
    <x v="8"/>
    <n v="70510"/>
    <x v="1"/>
  </r>
  <r>
    <x v="9"/>
    <s v="CHE"/>
    <x v="2"/>
    <s v="NY.GDP.PCAP.KD"/>
    <x v="9"/>
    <n v="71341"/>
    <x v="1"/>
  </r>
  <r>
    <x v="9"/>
    <s v="CHE"/>
    <x v="2"/>
    <s v="NY.GDP.PCAP.KD"/>
    <x v="10"/>
    <n v="73750"/>
    <x v="1"/>
  </r>
  <r>
    <x v="9"/>
    <s v="CHE"/>
    <x v="2"/>
    <s v="NY.GDP.PCAP.KD"/>
    <x v="11"/>
    <n v="74439"/>
    <x v="1"/>
  </r>
  <r>
    <x v="9"/>
    <s v="CHE"/>
    <x v="2"/>
    <s v="NY.GDP.PCAP.KD"/>
    <x v="12"/>
    <n v="73824"/>
    <x v="1"/>
  </r>
  <r>
    <x v="9"/>
    <s v="CHE"/>
    <x v="2"/>
    <s v="NY.GDP.PCAP.KD"/>
    <x v="13"/>
    <n v="73255"/>
    <x v="1"/>
  </r>
  <r>
    <x v="9"/>
    <s v="CHE"/>
    <x v="2"/>
    <s v="NY.GDP.PCAP.KD"/>
    <x v="14"/>
    <n v="74719"/>
    <x v="1"/>
  </r>
  <r>
    <x v="9"/>
    <s v="CHE"/>
    <x v="2"/>
    <s v="NY.GDP.PCAP.KD"/>
    <x v="15"/>
    <n v="76283"/>
    <x v="1"/>
  </r>
  <r>
    <x v="9"/>
    <s v="CHE"/>
    <x v="2"/>
    <s v="NY.GDP.PCAP.KD"/>
    <x v="16"/>
    <n v="78894"/>
    <x v="1"/>
  </r>
  <r>
    <x v="9"/>
    <s v="CHE"/>
    <x v="2"/>
    <s v="NY.GDP.PCAP.KD"/>
    <x v="17"/>
    <n v="81254"/>
    <x v="2"/>
  </r>
  <r>
    <x v="9"/>
    <s v="CHE"/>
    <x v="2"/>
    <s v="NY.GDP.PCAP.KD"/>
    <x v="18"/>
    <n v="82481"/>
    <x v="2"/>
  </r>
  <r>
    <x v="9"/>
    <s v="CHE"/>
    <x v="2"/>
    <s v="NY.GDP.PCAP.KD"/>
    <x v="19"/>
    <n v="79586"/>
    <x v="2"/>
  </r>
  <r>
    <x v="9"/>
    <s v="CHE"/>
    <x v="2"/>
    <s v="NY.GDP.PCAP.KD"/>
    <x v="20"/>
    <n v="81315"/>
    <x v="2"/>
  </r>
  <r>
    <x v="9"/>
    <s v="CHE"/>
    <x v="2"/>
    <s v="NY.GDP.PCAP.KD"/>
    <x v="21"/>
    <n v="81874"/>
    <x v="2"/>
  </r>
  <r>
    <x v="9"/>
    <s v="CHE"/>
    <x v="2"/>
    <s v="NY.GDP.PCAP.KD"/>
    <x v="22"/>
    <n v="81965"/>
    <x v="2"/>
  </r>
  <r>
    <x v="9"/>
    <s v="CHE"/>
    <x v="2"/>
    <s v="NY.GDP.PCAP.KD"/>
    <x v="23"/>
    <n v="82480"/>
    <x v="2"/>
  </r>
  <r>
    <x v="9"/>
    <s v="CHE"/>
    <x v="2"/>
    <s v="NY.GDP.PCAP.KD"/>
    <x v="24"/>
    <n v="83394"/>
    <x v="2"/>
  </r>
  <r>
    <x v="9"/>
    <s v="CHE"/>
    <x v="2"/>
    <s v="NY.GDP.PCAP.KD"/>
    <x v="25"/>
    <n v="83806"/>
    <x v="2"/>
  </r>
  <r>
    <x v="9"/>
    <s v="CHE"/>
    <x v="2"/>
    <s v="NY.GDP.PCAP.KD"/>
    <x v="26"/>
    <n v="84611"/>
    <x v="2"/>
  </r>
  <r>
    <x v="9"/>
    <s v="CHE"/>
    <x v="2"/>
    <s v="NY.GDP.PCAP.KD"/>
    <x v="27"/>
    <n v="84968"/>
    <x v="3"/>
  </r>
  <r>
    <x v="9"/>
    <s v="CHE"/>
    <x v="2"/>
    <s v="NY.GDP.PCAP.KD"/>
    <x v="28"/>
    <n v="86757"/>
    <x v="3"/>
  </r>
  <r>
    <x v="9"/>
    <s v="CHE"/>
    <x v="2"/>
    <s v="NY.GDP.PCAP.KD"/>
    <x v="29"/>
    <n v="87124"/>
    <x v="3"/>
  </r>
  <r>
    <x v="4"/>
    <s v="AZE"/>
    <x v="2"/>
    <s v="NY.GDP.PCAP.KD"/>
    <x v="30"/>
    <n v="5088"/>
    <x v="3"/>
  </r>
  <r>
    <x v="9"/>
    <s v="CHE"/>
    <x v="2"/>
    <s v="NY.GDP.PCAP.KD"/>
    <x v="31"/>
    <n v="88661"/>
    <x v="3"/>
  </r>
  <r>
    <x v="9"/>
    <s v="CHE"/>
    <x v="2"/>
    <s v="NY.GDP.PCAP.KD"/>
    <x v="32"/>
    <n v="90605"/>
    <x v="1"/>
  </r>
  <r>
    <x v="9"/>
    <s v="CHE"/>
    <x v="2"/>
    <s v="NY.GDP.PCAP.KD"/>
    <x v="33"/>
    <n v="90077"/>
    <x v="2"/>
  </r>
  <r>
    <x v="9"/>
    <s v="CHE"/>
    <x v="2"/>
    <s v="NY.GDP.PCAP.KD"/>
    <x v="54"/>
    <n v="90067"/>
    <x v="2"/>
  </r>
  <r>
    <x v="10"/>
    <s v="CHI"/>
    <x v="2"/>
    <s v="NY.GDP.PCAP.KD"/>
    <x v="19"/>
    <n v="67618"/>
    <x v="2"/>
  </r>
  <r>
    <x v="10"/>
    <s v="CHI"/>
    <x v="2"/>
    <s v="NY.GDP.PCAP.KD"/>
    <x v="20"/>
    <n v="64723"/>
    <x v="2"/>
  </r>
  <r>
    <x v="10"/>
    <s v="CHI"/>
    <x v="2"/>
    <s v="NY.GDP.PCAP.KD"/>
    <x v="21"/>
    <n v="65006"/>
    <x v="2"/>
  </r>
  <r>
    <x v="10"/>
    <s v="CHI"/>
    <x v="2"/>
    <s v="NY.GDP.PCAP.KD"/>
    <x v="22"/>
    <n v="60862"/>
    <x v="2"/>
  </r>
  <r>
    <x v="10"/>
    <s v="CHI"/>
    <x v="2"/>
    <s v="NY.GDP.PCAP.KD"/>
    <x v="23"/>
    <n v="60781"/>
    <x v="2"/>
  </r>
  <r>
    <x v="10"/>
    <s v="CHI"/>
    <x v="2"/>
    <s v="NY.GDP.PCAP.KD"/>
    <x v="24"/>
    <n v="61893"/>
    <x v="2"/>
  </r>
  <r>
    <x v="10"/>
    <s v="CHI"/>
    <x v="2"/>
    <s v="NY.GDP.PCAP.KD"/>
    <x v="25"/>
    <n v="61848"/>
    <x v="2"/>
  </r>
  <r>
    <x v="10"/>
    <s v="CHI"/>
    <x v="2"/>
    <s v="NY.GDP.PCAP.KD"/>
    <x v="26"/>
    <n v="62434"/>
    <x v="2"/>
  </r>
  <r>
    <x v="10"/>
    <s v="CHI"/>
    <x v="2"/>
    <s v="NY.GDP.PCAP.KD"/>
    <x v="27"/>
    <n v="63393"/>
    <x v="3"/>
  </r>
  <r>
    <x v="10"/>
    <s v="CHI"/>
    <x v="2"/>
    <s v="NY.GDP.PCAP.KD"/>
    <x v="28"/>
    <n v="63860"/>
    <x v="3"/>
  </r>
  <r>
    <x v="10"/>
    <s v="CHI"/>
    <x v="2"/>
    <s v="NY.GDP.PCAP.KD"/>
    <x v="29"/>
    <n v="64595"/>
    <x v="3"/>
  </r>
  <r>
    <x v="7"/>
    <s v="BIH"/>
    <x v="2"/>
    <s v="NY.GDP.PCAP.KD"/>
    <x v="30"/>
    <n v="5491"/>
    <x v="3"/>
  </r>
  <r>
    <x v="10"/>
    <s v="CHI"/>
    <x v="2"/>
    <s v="NY.GDP.PCAP.KD"/>
    <x v="31"/>
    <n v="64268"/>
    <x v="4"/>
  </r>
  <r>
    <x v="10"/>
    <s v="CHI"/>
    <x v="2"/>
    <s v="NY.GDP.PCAP.KD"/>
    <x v="32"/>
    <n v="67509"/>
    <x v="4"/>
  </r>
  <r>
    <x v="10"/>
    <s v="CHI"/>
    <x v="2"/>
    <s v="NY.GDP.PCAP.KD"/>
    <x v="33"/>
    <n v="69818"/>
    <x v="4"/>
  </r>
  <r>
    <x v="11"/>
    <s v="CYP"/>
    <x v="2"/>
    <s v="NY.GDP.PCAP.KD"/>
    <x v="39"/>
    <n v="6173"/>
    <x v="4"/>
  </r>
  <r>
    <x v="11"/>
    <s v="CYP"/>
    <x v="2"/>
    <s v="NY.GDP.PCAP.KD"/>
    <x v="40"/>
    <n v="7485"/>
    <x v="4"/>
  </r>
  <r>
    <x v="11"/>
    <s v="CYP"/>
    <x v="2"/>
    <s v="NY.GDP.PCAP.KD"/>
    <x v="41"/>
    <n v="8708"/>
    <x v="5"/>
  </r>
  <r>
    <x v="11"/>
    <s v="CYP"/>
    <x v="2"/>
    <s v="NY.GDP.PCAP.KD"/>
    <x v="42"/>
    <n v="9351"/>
    <x v="5"/>
  </r>
  <r>
    <x v="11"/>
    <s v="CYP"/>
    <x v="2"/>
    <s v="NY.GDP.PCAP.KD"/>
    <x v="43"/>
    <n v="10198"/>
    <x v="5"/>
  </r>
  <r>
    <x v="11"/>
    <s v="CYP"/>
    <x v="2"/>
    <s v="NY.GDP.PCAP.KD"/>
    <x v="44"/>
    <n v="10668"/>
    <x v="5"/>
  </r>
  <r>
    <x v="11"/>
    <s v="CYP"/>
    <x v="2"/>
    <s v="NY.GDP.PCAP.KD"/>
    <x v="45"/>
    <n v="10756"/>
    <x v="5"/>
  </r>
  <r>
    <x v="11"/>
    <s v="CYP"/>
    <x v="2"/>
    <s v="NY.GDP.PCAP.KD"/>
    <x v="46"/>
    <n v="11270"/>
    <x v="5"/>
  </r>
  <r>
    <x v="11"/>
    <s v="CYP"/>
    <x v="2"/>
    <s v="NY.GDP.PCAP.KD"/>
    <x v="47"/>
    <n v="11801"/>
    <x v="5"/>
  </r>
  <r>
    <x v="11"/>
    <s v="CYP"/>
    <x v="2"/>
    <s v="NY.GDP.PCAP.KD"/>
    <x v="48"/>
    <n v="12669"/>
    <x v="5"/>
  </r>
  <r>
    <x v="11"/>
    <s v="CYP"/>
    <x v="2"/>
    <s v="NY.GDP.PCAP.KD"/>
    <x v="49"/>
    <n v="13128"/>
    <x v="5"/>
  </r>
  <r>
    <x v="11"/>
    <s v="CYP"/>
    <x v="2"/>
    <s v="NY.GDP.PCAP.KD"/>
    <x v="50"/>
    <n v="13459"/>
    <x v="5"/>
  </r>
  <r>
    <x v="11"/>
    <s v="CYP"/>
    <x v="2"/>
    <s v="NY.GDP.PCAP.KD"/>
    <x v="51"/>
    <n v="14254"/>
    <x v="0"/>
  </r>
  <r>
    <x v="11"/>
    <s v="CYP"/>
    <x v="2"/>
    <s v="NY.GDP.PCAP.KD"/>
    <x v="52"/>
    <n v="15323"/>
    <x v="0"/>
  </r>
  <r>
    <x v="11"/>
    <s v="CYP"/>
    <x v="2"/>
    <s v="NY.GDP.PCAP.KD"/>
    <x v="53"/>
    <n v="16306"/>
    <x v="0"/>
  </r>
  <r>
    <x v="11"/>
    <s v="CYP"/>
    <x v="2"/>
    <s v="NY.GDP.PCAP.KD"/>
    <x v="0"/>
    <n v="17144"/>
    <x v="0"/>
  </r>
  <r>
    <x v="11"/>
    <s v="CYP"/>
    <x v="2"/>
    <s v="NY.GDP.PCAP.KD"/>
    <x v="1"/>
    <n v="16830"/>
    <x v="0"/>
  </r>
  <r>
    <x v="11"/>
    <s v="CYP"/>
    <x v="2"/>
    <s v="NY.GDP.PCAP.KD"/>
    <x v="2"/>
    <n v="17929"/>
    <x v="0"/>
  </r>
  <r>
    <x v="11"/>
    <s v="CYP"/>
    <x v="2"/>
    <s v="NY.GDP.PCAP.KD"/>
    <x v="3"/>
    <n v="17623"/>
    <x v="0"/>
  </r>
  <r>
    <x v="11"/>
    <s v="CYP"/>
    <x v="2"/>
    <s v="NY.GDP.PCAP.KD"/>
    <x v="4"/>
    <n v="18281"/>
    <x v="0"/>
  </r>
  <r>
    <x v="11"/>
    <s v="CYP"/>
    <x v="2"/>
    <s v="NY.GDP.PCAP.KD"/>
    <x v="5"/>
    <n v="19454"/>
    <x v="0"/>
  </r>
  <r>
    <x v="11"/>
    <s v="CYP"/>
    <x v="2"/>
    <s v="NY.GDP.PCAP.KD"/>
    <x v="6"/>
    <n v="19385"/>
    <x v="0"/>
  </r>
  <r>
    <x v="11"/>
    <s v="CYP"/>
    <x v="2"/>
    <s v="NY.GDP.PCAP.KD"/>
    <x v="7"/>
    <n v="19617"/>
    <x v="1"/>
  </r>
  <r>
    <x v="11"/>
    <s v="CYP"/>
    <x v="2"/>
    <s v="NY.GDP.PCAP.KD"/>
    <x v="8"/>
    <n v="20562"/>
    <x v="1"/>
  </r>
  <r>
    <x v="11"/>
    <s v="CYP"/>
    <x v="2"/>
    <s v="NY.GDP.PCAP.KD"/>
    <x v="9"/>
    <n v="21350"/>
    <x v="1"/>
  </r>
  <r>
    <x v="11"/>
    <s v="CYP"/>
    <x v="2"/>
    <s v="NY.GDP.PCAP.KD"/>
    <x v="10"/>
    <n v="22384"/>
    <x v="1"/>
  </r>
  <r>
    <x v="11"/>
    <s v="CYP"/>
    <x v="2"/>
    <s v="NY.GDP.PCAP.KD"/>
    <x v="11"/>
    <n v="23019"/>
    <x v="1"/>
  </r>
  <r>
    <x v="11"/>
    <s v="CYP"/>
    <x v="2"/>
    <s v="NY.GDP.PCAP.KD"/>
    <x v="12"/>
    <n v="23604"/>
    <x v="1"/>
  </r>
  <r>
    <x v="11"/>
    <s v="CYP"/>
    <x v="2"/>
    <s v="NY.GDP.PCAP.KD"/>
    <x v="13"/>
    <n v="23931"/>
    <x v="1"/>
  </r>
  <r>
    <x v="11"/>
    <s v="CYP"/>
    <x v="2"/>
    <s v="NY.GDP.PCAP.KD"/>
    <x v="14"/>
    <n v="24800"/>
    <x v="1"/>
  </r>
  <r>
    <x v="11"/>
    <s v="CYP"/>
    <x v="2"/>
    <s v="NY.GDP.PCAP.KD"/>
    <x v="15"/>
    <n v="25631"/>
    <x v="1"/>
  </r>
  <r>
    <x v="11"/>
    <s v="CYP"/>
    <x v="2"/>
    <s v="NY.GDP.PCAP.KD"/>
    <x v="16"/>
    <n v="26396"/>
    <x v="1"/>
  </r>
  <r>
    <x v="11"/>
    <s v="CYP"/>
    <x v="2"/>
    <s v="NY.GDP.PCAP.KD"/>
    <x v="17"/>
    <n v="27157"/>
    <x v="2"/>
  </r>
  <r>
    <x v="11"/>
    <s v="CYP"/>
    <x v="2"/>
    <s v="NY.GDP.PCAP.KD"/>
    <x v="18"/>
    <n v="27449"/>
    <x v="2"/>
  </r>
  <r>
    <x v="11"/>
    <s v="CYP"/>
    <x v="2"/>
    <s v="NY.GDP.PCAP.KD"/>
    <x v="19"/>
    <n v="26184"/>
    <x v="2"/>
  </r>
  <r>
    <x v="11"/>
    <s v="CYP"/>
    <x v="2"/>
    <s v="NY.GDP.PCAP.KD"/>
    <x v="20"/>
    <n v="26090"/>
    <x v="2"/>
  </r>
  <r>
    <x v="11"/>
    <s v="CYP"/>
    <x v="2"/>
    <s v="NY.GDP.PCAP.KD"/>
    <x v="21"/>
    <n v="25539"/>
    <x v="2"/>
  </r>
  <r>
    <x v="11"/>
    <s v="CYP"/>
    <x v="2"/>
    <s v="NY.GDP.PCAP.KD"/>
    <x v="22"/>
    <n v="24285"/>
    <x v="2"/>
  </r>
  <r>
    <x v="11"/>
    <s v="CYP"/>
    <x v="2"/>
    <s v="NY.GDP.PCAP.KD"/>
    <x v="23"/>
    <n v="22712"/>
    <x v="2"/>
  </r>
  <r>
    <x v="11"/>
    <s v="CYP"/>
    <x v="2"/>
    <s v="NY.GDP.PCAP.KD"/>
    <x v="24"/>
    <n v="22374"/>
    <x v="2"/>
  </r>
  <r>
    <x v="11"/>
    <s v="CYP"/>
    <x v="2"/>
    <s v="NY.GDP.PCAP.KD"/>
    <x v="25"/>
    <n v="23088"/>
    <x v="2"/>
  </r>
  <r>
    <x v="11"/>
    <s v="CYP"/>
    <x v="2"/>
    <s v="NY.GDP.PCAP.KD"/>
    <x v="26"/>
    <n v="24478"/>
    <x v="2"/>
  </r>
  <r>
    <x v="11"/>
    <s v="CYP"/>
    <x v="2"/>
    <s v="NY.GDP.PCAP.KD"/>
    <x v="27"/>
    <n v="25666"/>
    <x v="3"/>
  </r>
  <r>
    <x v="11"/>
    <s v="CYP"/>
    <x v="2"/>
    <s v="NY.GDP.PCAP.KD"/>
    <x v="28"/>
    <n v="26962"/>
    <x v="3"/>
  </r>
  <r>
    <x v="11"/>
    <s v="CYP"/>
    <x v="2"/>
    <s v="NY.GDP.PCAP.KD"/>
    <x v="29"/>
    <n v="28167"/>
    <x v="3"/>
  </r>
  <r>
    <x v="39"/>
    <s v="MKD"/>
    <x v="2"/>
    <s v="NY.GDP.PCAP.KD"/>
    <x v="30"/>
    <n v="5744"/>
    <x v="3"/>
  </r>
  <r>
    <x v="11"/>
    <s v="CYP"/>
    <x v="2"/>
    <s v="NY.GDP.PCAP.KD"/>
    <x v="31"/>
    <n v="29517"/>
    <x v="3"/>
  </r>
  <r>
    <x v="11"/>
    <s v="CYP"/>
    <x v="2"/>
    <s v="NY.GDP.PCAP.KD"/>
    <x v="32"/>
    <n v="31371"/>
    <x v="0"/>
  </r>
  <r>
    <x v="11"/>
    <s v="CYP"/>
    <x v="2"/>
    <s v="NY.GDP.PCAP.KD"/>
    <x v="33"/>
    <n v="31885"/>
    <x v="0"/>
  </r>
  <r>
    <x v="11"/>
    <s v="CYP"/>
    <x v="2"/>
    <s v="NY.GDP.PCAP.KD"/>
    <x v="54"/>
    <n v="32617"/>
    <x v="0"/>
  </r>
  <r>
    <x v="12"/>
    <s v="CZE"/>
    <x v="2"/>
    <s v="NY.GDP.PCAP.KD"/>
    <x v="0"/>
    <n v="11901"/>
    <x v="0"/>
  </r>
  <r>
    <x v="12"/>
    <s v="CZE"/>
    <x v="2"/>
    <s v="NY.GDP.PCAP.KD"/>
    <x v="1"/>
    <n v="10544"/>
    <x v="0"/>
  </r>
  <r>
    <x v="12"/>
    <s v="CZE"/>
    <x v="2"/>
    <s v="NY.GDP.PCAP.KD"/>
    <x v="2"/>
    <n v="10479"/>
    <x v="0"/>
  </r>
  <r>
    <x v="12"/>
    <s v="CZE"/>
    <x v="2"/>
    <s v="NY.GDP.PCAP.KD"/>
    <x v="3"/>
    <n v="10475"/>
    <x v="0"/>
  </r>
  <r>
    <x v="12"/>
    <s v="CZE"/>
    <x v="2"/>
    <s v="NY.GDP.PCAP.KD"/>
    <x v="4"/>
    <n v="10776"/>
    <x v="0"/>
  </r>
  <r>
    <x v="12"/>
    <s v="CZE"/>
    <x v="2"/>
    <s v="NY.GDP.PCAP.KD"/>
    <x v="5"/>
    <n v="11453"/>
    <x v="0"/>
  </r>
  <r>
    <x v="12"/>
    <s v="CZE"/>
    <x v="2"/>
    <s v="NY.GDP.PCAP.KD"/>
    <x v="6"/>
    <n v="11945"/>
    <x v="0"/>
  </r>
  <r>
    <x v="12"/>
    <s v="CZE"/>
    <x v="2"/>
    <s v="NY.GDP.PCAP.KD"/>
    <x v="7"/>
    <n v="11886"/>
    <x v="1"/>
  </r>
  <r>
    <x v="12"/>
    <s v="CZE"/>
    <x v="2"/>
    <s v="NY.GDP.PCAP.KD"/>
    <x v="8"/>
    <n v="11851"/>
    <x v="1"/>
  </r>
  <r>
    <x v="12"/>
    <s v="CZE"/>
    <x v="2"/>
    <s v="NY.GDP.PCAP.KD"/>
    <x v="9"/>
    <n v="12026"/>
    <x v="1"/>
  </r>
  <r>
    <x v="12"/>
    <s v="CZE"/>
    <x v="2"/>
    <s v="NY.GDP.PCAP.KD"/>
    <x v="10"/>
    <n v="12544"/>
    <x v="1"/>
  </r>
  <r>
    <x v="12"/>
    <s v="CZE"/>
    <x v="2"/>
    <s v="NY.GDP.PCAP.KD"/>
    <x v="11"/>
    <n v="12958"/>
    <x v="1"/>
  </r>
  <r>
    <x v="12"/>
    <s v="CZE"/>
    <x v="2"/>
    <s v="NY.GDP.PCAP.KD"/>
    <x v="12"/>
    <n v="13180"/>
    <x v="1"/>
  </r>
  <r>
    <x v="12"/>
    <s v="CZE"/>
    <x v="2"/>
    <s v="NY.GDP.PCAP.KD"/>
    <x v="13"/>
    <n v="13619"/>
    <x v="1"/>
  </r>
  <r>
    <x v="12"/>
    <s v="CZE"/>
    <x v="2"/>
    <s v="NY.GDP.PCAP.KD"/>
    <x v="14"/>
    <n v="14260"/>
    <x v="1"/>
  </r>
  <r>
    <x v="12"/>
    <s v="CZE"/>
    <x v="2"/>
    <s v="NY.GDP.PCAP.KD"/>
    <x v="15"/>
    <n v="15148"/>
    <x v="1"/>
  </r>
  <r>
    <x v="12"/>
    <s v="CZE"/>
    <x v="2"/>
    <s v="NY.GDP.PCAP.KD"/>
    <x v="16"/>
    <n v="16107"/>
    <x v="1"/>
  </r>
  <r>
    <x v="12"/>
    <s v="CZE"/>
    <x v="2"/>
    <s v="NY.GDP.PCAP.KD"/>
    <x v="17"/>
    <n v="16893"/>
    <x v="2"/>
  </r>
  <r>
    <x v="12"/>
    <s v="CZE"/>
    <x v="2"/>
    <s v="NY.GDP.PCAP.KD"/>
    <x v="18"/>
    <n v="17191"/>
    <x v="2"/>
  </r>
  <r>
    <x v="12"/>
    <s v="CZE"/>
    <x v="2"/>
    <s v="NY.GDP.PCAP.KD"/>
    <x v="19"/>
    <n v="16273"/>
    <x v="2"/>
  </r>
  <r>
    <x v="12"/>
    <s v="CZE"/>
    <x v="2"/>
    <s v="NY.GDP.PCAP.KD"/>
    <x v="20"/>
    <n v="16666"/>
    <x v="2"/>
  </r>
  <r>
    <x v="12"/>
    <s v="CZE"/>
    <x v="2"/>
    <s v="NY.GDP.PCAP.KD"/>
    <x v="21"/>
    <n v="16926"/>
    <x v="2"/>
  </r>
  <r>
    <x v="12"/>
    <s v="CZE"/>
    <x v="2"/>
    <s v="NY.GDP.PCAP.KD"/>
    <x v="22"/>
    <n v="16772"/>
    <x v="2"/>
  </r>
  <r>
    <x v="12"/>
    <s v="CZE"/>
    <x v="2"/>
    <s v="NY.GDP.PCAP.KD"/>
    <x v="23"/>
    <n v="16760"/>
    <x v="2"/>
  </r>
  <r>
    <x v="12"/>
    <s v="CZE"/>
    <x v="2"/>
    <s v="NY.GDP.PCAP.KD"/>
    <x v="24"/>
    <n v="17118"/>
    <x v="2"/>
  </r>
  <r>
    <x v="12"/>
    <s v="CZE"/>
    <x v="2"/>
    <s v="NY.GDP.PCAP.KD"/>
    <x v="25"/>
    <n v="17932"/>
    <x v="2"/>
  </r>
  <r>
    <x v="12"/>
    <s v="CZE"/>
    <x v="2"/>
    <s v="NY.GDP.PCAP.KD"/>
    <x v="26"/>
    <n v="18359"/>
    <x v="2"/>
  </r>
  <r>
    <x v="12"/>
    <s v="CZE"/>
    <x v="2"/>
    <s v="NY.GDP.PCAP.KD"/>
    <x v="27"/>
    <n v="19258"/>
    <x v="3"/>
  </r>
  <r>
    <x v="12"/>
    <s v="CZE"/>
    <x v="2"/>
    <s v="NY.GDP.PCAP.KD"/>
    <x v="28"/>
    <n v="19737"/>
    <x v="3"/>
  </r>
  <r>
    <x v="12"/>
    <s v="CZE"/>
    <x v="2"/>
    <s v="NY.GDP.PCAP.KD"/>
    <x v="29"/>
    <n v="20360"/>
    <x v="3"/>
  </r>
  <r>
    <x v="8"/>
    <s v="BLR"/>
    <x v="2"/>
    <s v="NY.GDP.PCAP.KD"/>
    <x v="30"/>
    <n v="6252"/>
    <x v="3"/>
  </r>
  <r>
    <x v="12"/>
    <s v="CZE"/>
    <x v="2"/>
    <s v="NY.GDP.PCAP.KD"/>
    <x v="31"/>
    <n v="20374"/>
    <x v="3"/>
  </r>
  <r>
    <x v="12"/>
    <s v="CZE"/>
    <x v="2"/>
    <s v="NY.GDP.PCAP.KD"/>
    <x v="32"/>
    <n v="20627"/>
    <x v="6"/>
  </r>
  <r>
    <x v="12"/>
    <s v="CZE"/>
    <x v="2"/>
    <s v="NY.GDP.PCAP.KD"/>
    <x v="33"/>
    <n v="20273"/>
    <x v="6"/>
  </r>
  <r>
    <x v="12"/>
    <s v="CZE"/>
    <x v="2"/>
    <s v="NY.GDP.PCAP.KD"/>
    <x v="54"/>
    <n v="20445"/>
    <x v="6"/>
  </r>
  <r>
    <x v="13"/>
    <s v="DEU"/>
    <x v="2"/>
    <s v="NY.GDP.PCAP.KD"/>
    <x v="55"/>
    <n v="12607"/>
    <x v="6"/>
  </r>
  <r>
    <x v="13"/>
    <s v="DEU"/>
    <x v="2"/>
    <s v="NY.GDP.PCAP.KD"/>
    <x v="56"/>
    <n v="13048"/>
    <x v="6"/>
  </r>
  <r>
    <x v="13"/>
    <s v="DEU"/>
    <x v="2"/>
    <s v="NY.GDP.PCAP.KD"/>
    <x v="57"/>
    <n v="13532"/>
    <x v="6"/>
  </r>
  <r>
    <x v="13"/>
    <s v="DEU"/>
    <x v="2"/>
    <s v="NY.GDP.PCAP.KD"/>
    <x v="58"/>
    <n v="13774"/>
    <x v="6"/>
  </r>
  <r>
    <x v="13"/>
    <s v="DEU"/>
    <x v="2"/>
    <s v="NY.GDP.PCAP.KD"/>
    <x v="59"/>
    <n v="14570"/>
    <x v="6"/>
  </r>
  <r>
    <x v="13"/>
    <s v="DEU"/>
    <x v="2"/>
    <s v="NY.GDP.PCAP.KD"/>
    <x v="60"/>
    <n v="15204"/>
    <x v="6"/>
  </r>
  <r>
    <x v="13"/>
    <s v="DEU"/>
    <x v="2"/>
    <s v="NY.GDP.PCAP.KD"/>
    <x v="61"/>
    <n v="15502"/>
    <x v="6"/>
  </r>
  <r>
    <x v="13"/>
    <s v="DEU"/>
    <x v="2"/>
    <s v="NY.GDP.PCAP.KD"/>
    <x v="62"/>
    <n v="15380"/>
    <x v="4"/>
  </r>
  <r>
    <x v="13"/>
    <s v="DEU"/>
    <x v="2"/>
    <s v="NY.GDP.PCAP.KD"/>
    <x v="63"/>
    <n v="16180"/>
    <x v="4"/>
  </r>
  <r>
    <x v="13"/>
    <s v="DEU"/>
    <x v="2"/>
    <s v="NY.GDP.PCAP.KD"/>
    <x v="64"/>
    <n v="17243"/>
    <x v="4"/>
  </r>
  <r>
    <x v="13"/>
    <s v="DEU"/>
    <x v="2"/>
    <s v="NY.GDP.PCAP.KD"/>
    <x v="34"/>
    <n v="18063"/>
    <x v="4"/>
  </r>
  <r>
    <x v="13"/>
    <s v="DEU"/>
    <x v="2"/>
    <s v="NY.GDP.PCAP.KD"/>
    <x v="35"/>
    <n v="18594"/>
    <x v="4"/>
  </r>
  <r>
    <x v="13"/>
    <s v="DEU"/>
    <x v="2"/>
    <s v="NY.GDP.PCAP.KD"/>
    <x v="36"/>
    <n v="19302"/>
    <x v="4"/>
  </r>
  <r>
    <x v="13"/>
    <s v="DEU"/>
    <x v="2"/>
    <s v="NY.GDP.PCAP.KD"/>
    <x v="37"/>
    <n v="20160"/>
    <x v="4"/>
  </r>
  <r>
    <x v="13"/>
    <s v="DEU"/>
    <x v="2"/>
    <s v="NY.GDP.PCAP.KD"/>
    <x v="38"/>
    <n v="20332"/>
    <x v="4"/>
  </r>
  <r>
    <x v="13"/>
    <s v="DEU"/>
    <x v="2"/>
    <s v="NY.GDP.PCAP.KD"/>
    <x v="39"/>
    <n v="20231"/>
    <x v="4"/>
  </r>
  <r>
    <x v="13"/>
    <s v="DEU"/>
    <x v="2"/>
    <s v="NY.GDP.PCAP.KD"/>
    <x v="40"/>
    <n v="21323"/>
    <x v="4"/>
  </r>
  <r>
    <x v="13"/>
    <s v="DEU"/>
    <x v="2"/>
    <s v="NY.GDP.PCAP.KD"/>
    <x v="41"/>
    <n v="22087"/>
    <x v="5"/>
  </r>
  <r>
    <x v="13"/>
    <s v="DEU"/>
    <x v="2"/>
    <s v="NY.GDP.PCAP.KD"/>
    <x v="42"/>
    <n v="22771"/>
    <x v="5"/>
  </r>
  <r>
    <x v="13"/>
    <s v="DEU"/>
    <x v="2"/>
    <s v="NY.GDP.PCAP.KD"/>
    <x v="43"/>
    <n v="23706"/>
    <x v="5"/>
  </r>
  <r>
    <x v="13"/>
    <s v="DEU"/>
    <x v="2"/>
    <s v="NY.GDP.PCAP.KD"/>
    <x v="44"/>
    <n v="23990"/>
    <x v="5"/>
  </r>
  <r>
    <x v="13"/>
    <s v="DEU"/>
    <x v="2"/>
    <s v="NY.GDP.PCAP.KD"/>
    <x v="45"/>
    <n v="24080"/>
    <x v="5"/>
  </r>
  <r>
    <x v="13"/>
    <s v="DEU"/>
    <x v="2"/>
    <s v="NY.GDP.PCAP.KD"/>
    <x v="46"/>
    <n v="24008"/>
    <x v="5"/>
  </r>
  <r>
    <x v="13"/>
    <s v="DEU"/>
    <x v="2"/>
    <s v="NY.GDP.PCAP.KD"/>
    <x v="47"/>
    <n v="24449"/>
    <x v="5"/>
  </r>
  <r>
    <x v="13"/>
    <s v="DEU"/>
    <x v="2"/>
    <s v="NY.GDP.PCAP.KD"/>
    <x v="48"/>
    <n v="25227"/>
    <x v="5"/>
  </r>
  <r>
    <x v="13"/>
    <s v="DEU"/>
    <x v="2"/>
    <s v="NY.GDP.PCAP.KD"/>
    <x v="49"/>
    <n v="25872"/>
    <x v="5"/>
  </r>
  <r>
    <x v="13"/>
    <s v="DEU"/>
    <x v="2"/>
    <s v="NY.GDP.PCAP.KD"/>
    <x v="50"/>
    <n v="26451"/>
    <x v="5"/>
  </r>
  <r>
    <x v="13"/>
    <s v="DEU"/>
    <x v="2"/>
    <s v="NY.GDP.PCAP.KD"/>
    <x v="51"/>
    <n v="26781"/>
    <x v="0"/>
  </r>
  <r>
    <x v="13"/>
    <s v="DEU"/>
    <x v="2"/>
    <s v="NY.GDP.PCAP.KD"/>
    <x v="52"/>
    <n v="27666"/>
    <x v="0"/>
  </r>
  <r>
    <x v="13"/>
    <s v="DEU"/>
    <x v="2"/>
    <s v="NY.GDP.PCAP.KD"/>
    <x v="53"/>
    <n v="28522"/>
    <x v="0"/>
  </r>
  <r>
    <x v="13"/>
    <s v="DEU"/>
    <x v="2"/>
    <s v="NY.GDP.PCAP.KD"/>
    <x v="0"/>
    <n v="29763"/>
    <x v="0"/>
  </r>
  <r>
    <x v="13"/>
    <s v="DEU"/>
    <x v="2"/>
    <s v="NY.GDP.PCAP.KD"/>
    <x v="1"/>
    <n v="31057"/>
    <x v="0"/>
  </r>
  <r>
    <x v="13"/>
    <s v="DEU"/>
    <x v="2"/>
    <s v="NY.GDP.PCAP.KD"/>
    <x v="2"/>
    <n v="31442"/>
    <x v="0"/>
  </r>
  <r>
    <x v="13"/>
    <s v="DEU"/>
    <x v="2"/>
    <s v="NY.GDP.PCAP.KD"/>
    <x v="3"/>
    <n v="30932"/>
    <x v="0"/>
  </r>
  <r>
    <x v="13"/>
    <s v="DEU"/>
    <x v="2"/>
    <s v="NY.GDP.PCAP.KD"/>
    <x v="4"/>
    <n v="31625"/>
    <x v="0"/>
  </r>
  <r>
    <x v="13"/>
    <s v="DEU"/>
    <x v="2"/>
    <s v="NY.GDP.PCAP.KD"/>
    <x v="5"/>
    <n v="32007"/>
    <x v="0"/>
  </r>
  <r>
    <x v="13"/>
    <s v="DEU"/>
    <x v="2"/>
    <s v="NY.GDP.PCAP.KD"/>
    <x v="6"/>
    <n v="32246"/>
    <x v="0"/>
  </r>
  <r>
    <x v="13"/>
    <s v="DEU"/>
    <x v="2"/>
    <s v="NY.GDP.PCAP.KD"/>
    <x v="7"/>
    <n v="32796"/>
    <x v="1"/>
  </r>
  <r>
    <x v="13"/>
    <s v="DEU"/>
    <x v="2"/>
    <s v="NY.GDP.PCAP.KD"/>
    <x v="8"/>
    <n v="33478"/>
    <x v="1"/>
  </r>
  <r>
    <x v="13"/>
    <s v="DEU"/>
    <x v="2"/>
    <s v="NY.GDP.PCAP.KD"/>
    <x v="9"/>
    <n v="34169"/>
    <x v="1"/>
  </r>
  <r>
    <x v="13"/>
    <s v="DEU"/>
    <x v="2"/>
    <s v="NY.GDP.PCAP.KD"/>
    <x v="10"/>
    <n v="35104"/>
    <x v="1"/>
  </r>
  <r>
    <x v="13"/>
    <s v="DEU"/>
    <x v="2"/>
    <s v="NY.GDP.PCAP.KD"/>
    <x v="11"/>
    <n v="35619"/>
    <x v="1"/>
  </r>
  <r>
    <x v="13"/>
    <s v="DEU"/>
    <x v="2"/>
    <s v="NY.GDP.PCAP.KD"/>
    <x v="12"/>
    <n v="35478"/>
    <x v="1"/>
  </r>
  <r>
    <x v="13"/>
    <s v="DEU"/>
    <x v="2"/>
    <s v="NY.GDP.PCAP.KD"/>
    <x v="13"/>
    <n v="35270"/>
    <x v="1"/>
  </r>
  <r>
    <x v="13"/>
    <s v="DEU"/>
    <x v="2"/>
    <s v="NY.GDP.PCAP.KD"/>
    <x v="14"/>
    <n v="35688"/>
    <x v="1"/>
  </r>
  <r>
    <x v="13"/>
    <s v="DEU"/>
    <x v="2"/>
    <s v="NY.GDP.PCAP.KD"/>
    <x v="15"/>
    <n v="36024"/>
    <x v="1"/>
  </r>
  <r>
    <x v="13"/>
    <s v="DEU"/>
    <x v="2"/>
    <s v="NY.GDP.PCAP.KD"/>
    <x v="16"/>
    <n v="37459"/>
    <x v="1"/>
  </r>
  <r>
    <x v="13"/>
    <s v="DEU"/>
    <x v="2"/>
    <s v="NY.GDP.PCAP.KD"/>
    <x v="17"/>
    <n v="38593"/>
    <x v="2"/>
  </r>
  <r>
    <x v="13"/>
    <s v="DEU"/>
    <x v="2"/>
    <s v="NY.GDP.PCAP.KD"/>
    <x v="18"/>
    <n v="39010"/>
    <x v="2"/>
  </r>
  <r>
    <x v="13"/>
    <s v="DEU"/>
    <x v="2"/>
    <s v="NY.GDP.PCAP.KD"/>
    <x v="19"/>
    <n v="36940"/>
    <x v="2"/>
  </r>
  <r>
    <x v="13"/>
    <s v="DEU"/>
    <x v="2"/>
    <s v="NY.GDP.PCAP.KD"/>
    <x v="20"/>
    <n v="38527"/>
    <x v="2"/>
  </r>
  <r>
    <x v="13"/>
    <s v="DEU"/>
    <x v="2"/>
    <s v="NY.GDP.PCAP.KD"/>
    <x v="21"/>
    <n v="40722"/>
    <x v="2"/>
  </r>
  <r>
    <x v="13"/>
    <s v="DEU"/>
    <x v="2"/>
    <s v="NY.GDP.PCAP.KD"/>
    <x v="22"/>
    <n v="40835"/>
    <x v="2"/>
  </r>
  <r>
    <x v="13"/>
    <s v="DEU"/>
    <x v="2"/>
    <s v="NY.GDP.PCAP.KD"/>
    <x v="23"/>
    <n v="40885"/>
    <x v="2"/>
  </r>
  <r>
    <x v="13"/>
    <s v="DEU"/>
    <x v="2"/>
    <s v="NY.GDP.PCAP.KD"/>
    <x v="24"/>
    <n v="41602"/>
    <x v="2"/>
  </r>
  <r>
    <x v="13"/>
    <s v="DEU"/>
    <x v="2"/>
    <s v="NY.GDP.PCAP.KD"/>
    <x v="25"/>
    <n v="41930"/>
    <x v="2"/>
  </r>
  <r>
    <x v="13"/>
    <s v="DEU"/>
    <x v="2"/>
    <s v="NY.GDP.PCAP.KD"/>
    <x v="26"/>
    <n v="42517"/>
    <x v="2"/>
  </r>
  <r>
    <x v="13"/>
    <s v="DEU"/>
    <x v="2"/>
    <s v="NY.GDP.PCAP.KD"/>
    <x v="27"/>
    <n v="43543"/>
    <x v="3"/>
  </r>
  <r>
    <x v="13"/>
    <s v="DEU"/>
    <x v="2"/>
    <s v="NY.GDP.PCAP.KD"/>
    <x v="28"/>
    <n v="43906"/>
    <x v="3"/>
  </r>
  <r>
    <x v="13"/>
    <s v="DEU"/>
    <x v="2"/>
    <s v="NY.GDP.PCAP.KD"/>
    <x v="29"/>
    <n v="44235"/>
    <x v="3"/>
  </r>
  <r>
    <x v="40"/>
    <s v="MNE"/>
    <x v="2"/>
    <s v="NY.GDP.PCAP.KD"/>
    <x v="30"/>
    <n v="6352"/>
    <x v="3"/>
  </r>
  <r>
    <x v="13"/>
    <s v="DEU"/>
    <x v="2"/>
    <s v="NY.GDP.PCAP.KD"/>
    <x v="31"/>
    <n v="44011"/>
    <x v="3"/>
  </r>
  <r>
    <x v="13"/>
    <s v="DEU"/>
    <x v="2"/>
    <s v="NY.GDP.PCAP.KD"/>
    <x v="32"/>
    <n v="44817"/>
    <x v="6"/>
  </r>
  <r>
    <x v="13"/>
    <s v="DEU"/>
    <x v="2"/>
    <s v="NY.GDP.PCAP.KD"/>
    <x v="33"/>
    <n v="44369"/>
    <x v="6"/>
  </r>
  <r>
    <x v="13"/>
    <s v="DEU"/>
    <x v="2"/>
    <s v="NY.GDP.PCAP.KD"/>
    <x v="54"/>
    <n v="44028"/>
    <x v="6"/>
  </r>
  <r>
    <x v="14"/>
    <s v="DNK"/>
    <x v="2"/>
    <s v="NY.GDP.PCAP.KD"/>
    <x v="55"/>
    <n v="17521"/>
    <x v="6"/>
  </r>
  <r>
    <x v="14"/>
    <s v="DNK"/>
    <x v="2"/>
    <s v="NY.GDP.PCAP.KD"/>
    <x v="56"/>
    <n v="18509"/>
    <x v="6"/>
  </r>
  <r>
    <x v="14"/>
    <s v="DNK"/>
    <x v="2"/>
    <s v="NY.GDP.PCAP.KD"/>
    <x v="57"/>
    <n v="19406"/>
    <x v="6"/>
  </r>
  <r>
    <x v="14"/>
    <s v="DNK"/>
    <x v="2"/>
    <s v="NY.GDP.PCAP.KD"/>
    <x v="58"/>
    <n v="19376"/>
    <x v="6"/>
  </r>
  <r>
    <x v="14"/>
    <s v="DNK"/>
    <x v="2"/>
    <s v="NY.GDP.PCAP.KD"/>
    <x v="59"/>
    <n v="21004"/>
    <x v="6"/>
  </r>
  <r>
    <x v="14"/>
    <s v="DNK"/>
    <x v="2"/>
    <s v="NY.GDP.PCAP.KD"/>
    <x v="60"/>
    <n v="21790"/>
    <x v="6"/>
  </r>
  <r>
    <x v="14"/>
    <s v="DNK"/>
    <x v="2"/>
    <s v="NY.GDP.PCAP.KD"/>
    <x v="61"/>
    <n v="22208"/>
    <x v="6"/>
  </r>
  <r>
    <x v="14"/>
    <s v="DNK"/>
    <x v="2"/>
    <s v="NY.GDP.PCAP.KD"/>
    <x v="62"/>
    <n v="23331"/>
    <x v="4"/>
  </r>
  <r>
    <x v="14"/>
    <s v="DNK"/>
    <x v="2"/>
    <s v="NY.GDP.PCAP.KD"/>
    <x v="63"/>
    <n v="24547"/>
    <x v="4"/>
  </r>
  <r>
    <x v="14"/>
    <s v="DNK"/>
    <x v="2"/>
    <s v="NY.GDP.PCAP.KD"/>
    <x v="64"/>
    <n v="26071"/>
    <x v="4"/>
  </r>
  <r>
    <x v="14"/>
    <s v="DNK"/>
    <x v="2"/>
    <s v="NY.GDP.PCAP.KD"/>
    <x v="34"/>
    <n v="26356"/>
    <x v="4"/>
  </r>
  <r>
    <x v="14"/>
    <s v="DNK"/>
    <x v="2"/>
    <s v="NY.GDP.PCAP.KD"/>
    <x v="35"/>
    <n v="27005"/>
    <x v="4"/>
  </r>
  <r>
    <x v="14"/>
    <s v="DNK"/>
    <x v="2"/>
    <s v="NY.GDP.PCAP.KD"/>
    <x v="36"/>
    <n v="27871"/>
    <x v="4"/>
  </r>
  <r>
    <x v="14"/>
    <s v="DNK"/>
    <x v="2"/>
    <s v="NY.GDP.PCAP.KD"/>
    <x v="37"/>
    <n v="29011"/>
    <x v="4"/>
  </r>
  <r>
    <x v="14"/>
    <s v="DNK"/>
    <x v="2"/>
    <s v="NY.GDP.PCAP.KD"/>
    <x v="38"/>
    <n v="28597"/>
    <x v="4"/>
  </r>
  <r>
    <x v="14"/>
    <s v="DNK"/>
    <x v="2"/>
    <s v="NY.GDP.PCAP.KD"/>
    <x v="39"/>
    <n v="28113"/>
    <x v="4"/>
  </r>
  <r>
    <x v="14"/>
    <s v="DNK"/>
    <x v="2"/>
    <s v="NY.GDP.PCAP.KD"/>
    <x v="40"/>
    <n v="29723"/>
    <x v="4"/>
  </r>
  <r>
    <x v="14"/>
    <s v="DNK"/>
    <x v="2"/>
    <s v="NY.GDP.PCAP.KD"/>
    <x v="41"/>
    <n v="30219"/>
    <x v="5"/>
  </r>
  <r>
    <x v="14"/>
    <s v="DNK"/>
    <x v="2"/>
    <s v="NY.GDP.PCAP.KD"/>
    <x v="42"/>
    <n v="30853"/>
    <x v="5"/>
  </r>
  <r>
    <x v="14"/>
    <s v="DNK"/>
    <x v="2"/>
    <s v="NY.GDP.PCAP.KD"/>
    <x v="43"/>
    <n v="32025"/>
    <x v="5"/>
  </r>
  <r>
    <x v="14"/>
    <s v="DNK"/>
    <x v="2"/>
    <s v="NY.GDP.PCAP.KD"/>
    <x v="44"/>
    <n v="31746"/>
    <x v="5"/>
  </r>
  <r>
    <x v="14"/>
    <s v="DNK"/>
    <x v="2"/>
    <s v="NY.GDP.PCAP.KD"/>
    <x v="45"/>
    <n v="31520"/>
    <x v="5"/>
  </r>
  <r>
    <x v="14"/>
    <s v="DNK"/>
    <x v="2"/>
    <s v="NY.GDP.PCAP.KD"/>
    <x v="46"/>
    <n v="32770"/>
    <x v="5"/>
  </r>
  <r>
    <x v="14"/>
    <s v="DNK"/>
    <x v="2"/>
    <s v="NY.GDP.PCAP.KD"/>
    <x v="47"/>
    <n v="33664"/>
    <x v="5"/>
  </r>
  <r>
    <x v="14"/>
    <s v="DNK"/>
    <x v="2"/>
    <s v="NY.GDP.PCAP.KD"/>
    <x v="48"/>
    <n v="35143"/>
    <x v="5"/>
  </r>
  <r>
    <x v="14"/>
    <s v="DNK"/>
    <x v="2"/>
    <s v="NY.GDP.PCAP.KD"/>
    <x v="49"/>
    <n v="36587"/>
    <x v="5"/>
  </r>
  <r>
    <x v="14"/>
    <s v="DNK"/>
    <x v="2"/>
    <s v="NY.GDP.PCAP.KD"/>
    <x v="50"/>
    <n v="38268"/>
    <x v="5"/>
  </r>
  <r>
    <x v="14"/>
    <s v="DNK"/>
    <x v="2"/>
    <s v="NY.GDP.PCAP.KD"/>
    <x v="51"/>
    <n v="38397"/>
    <x v="0"/>
  </r>
  <r>
    <x v="14"/>
    <s v="DNK"/>
    <x v="2"/>
    <s v="NY.GDP.PCAP.KD"/>
    <x v="52"/>
    <n v="38483"/>
    <x v="0"/>
  </r>
  <r>
    <x v="14"/>
    <s v="DNK"/>
    <x v="2"/>
    <s v="NY.GDP.PCAP.KD"/>
    <x v="53"/>
    <n v="38728"/>
    <x v="0"/>
  </r>
  <r>
    <x v="14"/>
    <s v="DNK"/>
    <x v="2"/>
    <s v="NY.GDP.PCAP.KD"/>
    <x v="0"/>
    <n v="39307"/>
    <x v="0"/>
  </r>
  <r>
    <x v="14"/>
    <s v="DNK"/>
    <x v="2"/>
    <s v="NY.GDP.PCAP.KD"/>
    <x v="1"/>
    <n v="39777"/>
    <x v="0"/>
  </r>
  <r>
    <x v="14"/>
    <s v="DNK"/>
    <x v="2"/>
    <s v="NY.GDP.PCAP.KD"/>
    <x v="2"/>
    <n v="40447"/>
    <x v="0"/>
  </r>
  <r>
    <x v="14"/>
    <s v="DNK"/>
    <x v="2"/>
    <s v="NY.GDP.PCAP.KD"/>
    <x v="3"/>
    <n v="40281"/>
    <x v="0"/>
  </r>
  <r>
    <x v="14"/>
    <s v="DNK"/>
    <x v="2"/>
    <s v="NY.GDP.PCAP.KD"/>
    <x v="4"/>
    <n v="42271"/>
    <x v="0"/>
  </r>
  <r>
    <x v="14"/>
    <s v="DNK"/>
    <x v="2"/>
    <s v="NY.GDP.PCAP.KD"/>
    <x v="5"/>
    <n v="43329"/>
    <x v="0"/>
  </r>
  <r>
    <x v="14"/>
    <s v="DNK"/>
    <x v="2"/>
    <s v="NY.GDP.PCAP.KD"/>
    <x v="6"/>
    <n v="44332"/>
    <x v="0"/>
  </r>
  <r>
    <x v="14"/>
    <s v="DNK"/>
    <x v="2"/>
    <s v="NY.GDP.PCAP.KD"/>
    <x v="7"/>
    <n v="45547"/>
    <x v="1"/>
  </r>
  <r>
    <x v="14"/>
    <s v="DNK"/>
    <x v="2"/>
    <s v="NY.GDP.PCAP.KD"/>
    <x v="8"/>
    <n v="46437"/>
    <x v="1"/>
  </r>
  <r>
    <x v="14"/>
    <s v="DNK"/>
    <x v="2"/>
    <s v="NY.GDP.PCAP.KD"/>
    <x v="9"/>
    <n v="47657"/>
    <x v="1"/>
  </r>
  <r>
    <x v="14"/>
    <s v="DNK"/>
    <x v="2"/>
    <s v="NY.GDP.PCAP.KD"/>
    <x v="10"/>
    <n v="49267"/>
    <x v="1"/>
  </r>
  <r>
    <x v="14"/>
    <s v="DNK"/>
    <x v="2"/>
    <s v="NY.GDP.PCAP.KD"/>
    <x v="11"/>
    <n v="49557"/>
    <x v="1"/>
  </r>
  <r>
    <x v="14"/>
    <s v="DNK"/>
    <x v="2"/>
    <s v="NY.GDP.PCAP.KD"/>
    <x v="12"/>
    <n v="49625"/>
    <x v="1"/>
  </r>
  <r>
    <x v="14"/>
    <s v="DNK"/>
    <x v="2"/>
    <s v="NY.GDP.PCAP.KD"/>
    <x v="13"/>
    <n v="49708"/>
    <x v="1"/>
  </r>
  <r>
    <x v="14"/>
    <s v="DNK"/>
    <x v="2"/>
    <s v="NY.GDP.PCAP.KD"/>
    <x v="14"/>
    <n v="50956"/>
    <x v="1"/>
  </r>
  <r>
    <x v="14"/>
    <s v="DNK"/>
    <x v="2"/>
    <s v="NY.GDP.PCAP.KD"/>
    <x v="15"/>
    <n v="52015"/>
    <x v="1"/>
  </r>
  <r>
    <x v="14"/>
    <s v="DNK"/>
    <x v="2"/>
    <s v="NY.GDP.PCAP.KD"/>
    <x v="16"/>
    <n v="53823"/>
    <x v="1"/>
  </r>
  <r>
    <x v="14"/>
    <s v="DNK"/>
    <x v="2"/>
    <s v="NY.GDP.PCAP.KD"/>
    <x v="17"/>
    <n v="54114"/>
    <x v="2"/>
  </r>
  <r>
    <x v="14"/>
    <s v="DNK"/>
    <x v="2"/>
    <s v="NY.GDP.PCAP.KD"/>
    <x v="18"/>
    <n v="53573"/>
    <x v="2"/>
  </r>
  <r>
    <x v="14"/>
    <s v="DNK"/>
    <x v="2"/>
    <s v="NY.GDP.PCAP.KD"/>
    <x v="19"/>
    <n v="50636"/>
    <x v="2"/>
  </r>
  <r>
    <x v="14"/>
    <s v="DNK"/>
    <x v="2"/>
    <s v="NY.GDP.PCAP.KD"/>
    <x v="20"/>
    <n v="51209"/>
    <x v="2"/>
  </r>
  <r>
    <x v="14"/>
    <s v="DNK"/>
    <x v="2"/>
    <s v="NY.GDP.PCAP.KD"/>
    <x v="21"/>
    <n v="51668"/>
    <x v="2"/>
  </r>
  <r>
    <x v="14"/>
    <s v="DNK"/>
    <x v="2"/>
    <s v="NY.GDP.PCAP.KD"/>
    <x v="22"/>
    <n v="51471"/>
    <x v="2"/>
  </r>
  <r>
    <x v="14"/>
    <s v="DNK"/>
    <x v="2"/>
    <s v="NY.GDP.PCAP.KD"/>
    <x v="23"/>
    <n v="51970"/>
    <x v="2"/>
  </r>
  <r>
    <x v="14"/>
    <s v="DNK"/>
    <x v="2"/>
    <s v="NY.GDP.PCAP.KD"/>
    <x v="24"/>
    <n v="52368"/>
    <x v="2"/>
  </r>
  <r>
    <x v="14"/>
    <s v="DNK"/>
    <x v="2"/>
    <s v="NY.GDP.PCAP.KD"/>
    <x v="25"/>
    <n v="53094"/>
    <x v="2"/>
  </r>
  <r>
    <x v="14"/>
    <s v="DNK"/>
    <x v="2"/>
    <s v="NY.GDP.PCAP.KD"/>
    <x v="26"/>
    <n v="54300"/>
    <x v="2"/>
  </r>
  <r>
    <x v="14"/>
    <s v="DNK"/>
    <x v="2"/>
    <s v="NY.GDP.PCAP.KD"/>
    <x v="27"/>
    <n v="55601"/>
    <x v="3"/>
  </r>
  <r>
    <x v="14"/>
    <s v="DNK"/>
    <x v="2"/>
    <s v="NY.GDP.PCAP.KD"/>
    <x v="28"/>
    <n v="56355"/>
    <x v="3"/>
  </r>
  <r>
    <x v="14"/>
    <s v="DNK"/>
    <x v="2"/>
    <s v="NY.GDP.PCAP.KD"/>
    <x v="29"/>
    <n v="57115"/>
    <x v="3"/>
  </r>
  <r>
    <x v="48"/>
    <s v="SRB"/>
    <x v="2"/>
    <s v="NY.GDP.PCAP.KD"/>
    <x v="30"/>
    <n v="6851"/>
    <x v="3"/>
  </r>
  <r>
    <x v="14"/>
    <s v="DNK"/>
    <x v="2"/>
    <s v="NY.GDP.PCAP.KD"/>
    <x v="31"/>
    <n v="59313"/>
    <x v="3"/>
  </r>
  <r>
    <x v="14"/>
    <s v="DNK"/>
    <x v="2"/>
    <s v="NY.GDP.PCAP.KD"/>
    <x v="32"/>
    <n v="59109"/>
    <x v="6"/>
  </r>
  <r>
    <x v="14"/>
    <s v="DNK"/>
    <x v="2"/>
    <s v="NY.GDP.PCAP.KD"/>
    <x v="33"/>
    <n v="59027"/>
    <x v="6"/>
  </r>
  <r>
    <x v="14"/>
    <s v="DNK"/>
    <x v="2"/>
    <s v="NY.GDP.PCAP.KD"/>
    <x v="54"/>
    <n v="60773"/>
    <x v="6"/>
  </r>
  <r>
    <x v="15"/>
    <s v="ESP"/>
    <x v="2"/>
    <s v="NY.GDP.PCAP.KD"/>
    <x v="55"/>
    <n v="6285"/>
    <x v="6"/>
  </r>
  <r>
    <x v="15"/>
    <s v="ESP"/>
    <x v="2"/>
    <s v="NY.GDP.PCAP.KD"/>
    <x v="56"/>
    <n v="6964"/>
    <x v="6"/>
  </r>
  <r>
    <x v="15"/>
    <s v="ESP"/>
    <x v="2"/>
    <s v="NY.GDP.PCAP.KD"/>
    <x v="57"/>
    <n v="7587"/>
    <x v="6"/>
  </r>
  <r>
    <x v="15"/>
    <s v="ESP"/>
    <x v="2"/>
    <s v="NY.GDP.PCAP.KD"/>
    <x v="58"/>
    <n v="8242"/>
    <x v="6"/>
  </r>
  <r>
    <x v="15"/>
    <s v="ESP"/>
    <x v="2"/>
    <s v="NY.GDP.PCAP.KD"/>
    <x v="59"/>
    <n v="8594"/>
    <x v="6"/>
  </r>
  <r>
    <x v="15"/>
    <s v="ESP"/>
    <x v="2"/>
    <s v="NY.GDP.PCAP.KD"/>
    <x v="60"/>
    <n v="9033"/>
    <x v="6"/>
  </r>
  <r>
    <x v="15"/>
    <s v="ESP"/>
    <x v="2"/>
    <s v="NY.GDP.PCAP.KD"/>
    <x v="61"/>
    <n v="9589"/>
    <x v="6"/>
  </r>
  <r>
    <x v="15"/>
    <s v="ESP"/>
    <x v="2"/>
    <s v="NY.GDP.PCAP.KD"/>
    <x v="62"/>
    <n v="9883"/>
    <x v="4"/>
  </r>
  <r>
    <x v="15"/>
    <s v="ESP"/>
    <x v="2"/>
    <s v="NY.GDP.PCAP.KD"/>
    <x v="63"/>
    <n v="10398"/>
    <x v="4"/>
  </r>
  <r>
    <x v="15"/>
    <s v="ESP"/>
    <x v="2"/>
    <s v="NY.GDP.PCAP.KD"/>
    <x v="64"/>
    <n v="11213"/>
    <x v="4"/>
  </r>
  <r>
    <x v="15"/>
    <s v="ESP"/>
    <x v="2"/>
    <s v="NY.GDP.PCAP.KD"/>
    <x v="34"/>
    <n v="11560"/>
    <x v="4"/>
  </r>
  <r>
    <x v="15"/>
    <s v="ESP"/>
    <x v="2"/>
    <s v="NY.GDP.PCAP.KD"/>
    <x v="35"/>
    <n v="11952"/>
    <x v="4"/>
  </r>
  <r>
    <x v="15"/>
    <s v="ESP"/>
    <x v="2"/>
    <s v="NY.GDP.PCAP.KD"/>
    <x v="36"/>
    <n v="12784"/>
    <x v="4"/>
  </r>
  <r>
    <x v="15"/>
    <s v="ESP"/>
    <x v="2"/>
    <s v="NY.GDP.PCAP.KD"/>
    <x v="37"/>
    <n v="13629"/>
    <x v="4"/>
  </r>
  <r>
    <x v="15"/>
    <s v="ESP"/>
    <x v="2"/>
    <s v="NY.GDP.PCAP.KD"/>
    <x v="38"/>
    <n v="14238"/>
    <x v="4"/>
  </r>
  <r>
    <x v="15"/>
    <s v="ESP"/>
    <x v="2"/>
    <s v="NY.GDP.PCAP.KD"/>
    <x v="39"/>
    <n v="14161"/>
    <x v="4"/>
  </r>
  <r>
    <x v="15"/>
    <s v="ESP"/>
    <x v="2"/>
    <s v="NY.GDP.PCAP.KD"/>
    <x v="40"/>
    <n v="14475"/>
    <x v="4"/>
  </r>
  <r>
    <x v="15"/>
    <s v="ESP"/>
    <x v="2"/>
    <s v="NY.GDP.PCAP.KD"/>
    <x v="41"/>
    <n v="14734"/>
    <x v="5"/>
  </r>
  <r>
    <x v="15"/>
    <s v="ESP"/>
    <x v="2"/>
    <s v="NY.GDP.PCAP.KD"/>
    <x v="42"/>
    <n v="14806"/>
    <x v="5"/>
  </r>
  <r>
    <x v="15"/>
    <s v="ESP"/>
    <x v="2"/>
    <s v="NY.GDP.PCAP.KD"/>
    <x v="43"/>
    <n v="14682"/>
    <x v="5"/>
  </r>
  <r>
    <x v="15"/>
    <s v="ESP"/>
    <x v="2"/>
    <s v="NY.GDP.PCAP.KD"/>
    <x v="44"/>
    <n v="14886"/>
    <x v="5"/>
  </r>
  <r>
    <x v="15"/>
    <s v="ESP"/>
    <x v="2"/>
    <s v="NY.GDP.PCAP.KD"/>
    <x v="45"/>
    <n v="14761"/>
    <x v="5"/>
  </r>
  <r>
    <x v="15"/>
    <s v="ESP"/>
    <x v="2"/>
    <s v="NY.GDP.PCAP.KD"/>
    <x v="46"/>
    <n v="14856"/>
    <x v="5"/>
  </r>
  <r>
    <x v="15"/>
    <s v="ESP"/>
    <x v="2"/>
    <s v="NY.GDP.PCAP.KD"/>
    <x v="47"/>
    <n v="15045"/>
    <x v="5"/>
  </r>
  <r>
    <x v="15"/>
    <s v="ESP"/>
    <x v="2"/>
    <s v="NY.GDP.PCAP.KD"/>
    <x v="48"/>
    <n v="15250"/>
    <x v="5"/>
  </r>
  <r>
    <x v="15"/>
    <s v="ESP"/>
    <x v="2"/>
    <s v="NY.GDP.PCAP.KD"/>
    <x v="49"/>
    <n v="15548"/>
    <x v="5"/>
  </r>
  <r>
    <x v="15"/>
    <s v="ESP"/>
    <x v="2"/>
    <s v="NY.GDP.PCAP.KD"/>
    <x v="50"/>
    <n v="16006"/>
    <x v="5"/>
  </r>
  <r>
    <x v="15"/>
    <s v="ESP"/>
    <x v="2"/>
    <s v="NY.GDP.PCAP.KD"/>
    <x v="51"/>
    <n v="16850"/>
    <x v="0"/>
  </r>
  <r>
    <x v="15"/>
    <s v="ESP"/>
    <x v="2"/>
    <s v="NY.GDP.PCAP.KD"/>
    <x v="52"/>
    <n v="17671"/>
    <x v="0"/>
  </r>
  <r>
    <x v="15"/>
    <s v="ESP"/>
    <x v="2"/>
    <s v="NY.GDP.PCAP.KD"/>
    <x v="53"/>
    <n v="18495"/>
    <x v="0"/>
  </r>
  <r>
    <x v="15"/>
    <s v="ESP"/>
    <x v="2"/>
    <s v="NY.GDP.PCAP.KD"/>
    <x v="0"/>
    <n v="19175"/>
    <x v="0"/>
  </r>
  <r>
    <x v="15"/>
    <s v="ESP"/>
    <x v="2"/>
    <s v="NY.GDP.PCAP.KD"/>
    <x v="1"/>
    <n v="19613"/>
    <x v="0"/>
  </r>
  <r>
    <x v="15"/>
    <s v="ESP"/>
    <x v="2"/>
    <s v="NY.GDP.PCAP.KD"/>
    <x v="2"/>
    <n v="19699"/>
    <x v="0"/>
  </r>
  <r>
    <x v="15"/>
    <s v="ESP"/>
    <x v="2"/>
    <s v="NY.GDP.PCAP.KD"/>
    <x v="3"/>
    <n v="19394"/>
    <x v="0"/>
  </r>
  <r>
    <x v="15"/>
    <s v="ESP"/>
    <x v="2"/>
    <s v="NY.GDP.PCAP.KD"/>
    <x v="4"/>
    <n v="19762"/>
    <x v="0"/>
  </r>
  <r>
    <x v="15"/>
    <s v="ESP"/>
    <x v="2"/>
    <s v="NY.GDP.PCAP.KD"/>
    <x v="5"/>
    <n v="20218"/>
    <x v="0"/>
  </r>
  <r>
    <x v="15"/>
    <s v="ESP"/>
    <x v="2"/>
    <s v="NY.GDP.PCAP.KD"/>
    <x v="6"/>
    <n v="20659"/>
    <x v="0"/>
  </r>
  <r>
    <x v="15"/>
    <s v="ESP"/>
    <x v="2"/>
    <s v="NY.GDP.PCAP.KD"/>
    <x v="7"/>
    <n v="21310"/>
    <x v="1"/>
  </r>
  <r>
    <x v="15"/>
    <s v="ESP"/>
    <x v="2"/>
    <s v="NY.GDP.PCAP.KD"/>
    <x v="8"/>
    <n v="22135"/>
    <x v="1"/>
  </r>
  <r>
    <x v="15"/>
    <s v="ESP"/>
    <x v="2"/>
    <s v="NY.GDP.PCAP.KD"/>
    <x v="9"/>
    <n v="23018"/>
    <x v="1"/>
  </r>
  <r>
    <x v="15"/>
    <s v="ESP"/>
    <x v="2"/>
    <s v="NY.GDP.PCAP.KD"/>
    <x v="10"/>
    <n v="24107"/>
    <x v="1"/>
  </r>
  <r>
    <x v="15"/>
    <s v="ESP"/>
    <x v="2"/>
    <s v="NY.GDP.PCAP.KD"/>
    <x v="11"/>
    <n v="24878"/>
    <x v="1"/>
  </r>
  <r>
    <x v="15"/>
    <s v="ESP"/>
    <x v="2"/>
    <s v="NY.GDP.PCAP.KD"/>
    <x v="12"/>
    <n v="25205"/>
    <x v="1"/>
  </r>
  <r>
    <x v="15"/>
    <s v="ESP"/>
    <x v="2"/>
    <s v="NY.GDP.PCAP.KD"/>
    <x v="13"/>
    <n v="25481"/>
    <x v="1"/>
  </r>
  <r>
    <x v="15"/>
    <s v="ESP"/>
    <x v="2"/>
    <s v="NY.GDP.PCAP.KD"/>
    <x v="14"/>
    <n v="25825"/>
    <x v="1"/>
  </r>
  <r>
    <x v="15"/>
    <s v="ESP"/>
    <x v="2"/>
    <s v="NY.GDP.PCAP.KD"/>
    <x v="15"/>
    <n v="26294"/>
    <x v="1"/>
  </r>
  <r>
    <x v="15"/>
    <s v="ESP"/>
    <x v="2"/>
    <s v="NY.GDP.PCAP.KD"/>
    <x v="16"/>
    <n v="26899"/>
    <x v="1"/>
  </r>
  <r>
    <x v="15"/>
    <s v="ESP"/>
    <x v="2"/>
    <s v="NY.GDP.PCAP.KD"/>
    <x v="17"/>
    <n v="27339"/>
    <x v="2"/>
  </r>
  <r>
    <x v="15"/>
    <s v="ESP"/>
    <x v="2"/>
    <s v="NY.GDP.PCAP.KD"/>
    <x v="18"/>
    <n v="27113"/>
    <x v="2"/>
  </r>
  <r>
    <x v="15"/>
    <s v="ESP"/>
    <x v="2"/>
    <s v="NY.GDP.PCAP.KD"/>
    <x v="19"/>
    <n v="25861"/>
    <x v="2"/>
  </r>
  <r>
    <x v="15"/>
    <s v="ESP"/>
    <x v="2"/>
    <s v="NY.GDP.PCAP.KD"/>
    <x v="20"/>
    <n v="25766"/>
    <x v="2"/>
  </r>
  <r>
    <x v="15"/>
    <s v="ESP"/>
    <x v="2"/>
    <s v="NY.GDP.PCAP.KD"/>
    <x v="21"/>
    <n v="25511"/>
    <x v="2"/>
  </r>
  <r>
    <x v="15"/>
    <s v="ESP"/>
    <x v="2"/>
    <s v="NY.GDP.PCAP.KD"/>
    <x v="22"/>
    <n v="24764"/>
    <x v="2"/>
  </r>
  <r>
    <x v="15"/>
    <s v="ESP"/>
    <x v="2"/>
    <s v="NY.GDP.PCAP.KD"/>
    <x v="23"/>
    <n v="24499"/>
    <x v="2"/>
  </r>
  <r>
    <x v="15"/>
    <s v="ESP"/>
    <x v="2"/>
    <s v="NY.GDP.PCAP.KD"/>
    <x v="24"/>
    <n v="24948"/>
    <x v="2"/>
  </r>
  <r>
    <x v="15"/>
    <s v="ESP"/>
    <x v="2"/>
    <s v="NY.GDP.PCAP.KD"/>
    <x v="25"/>
    <n v="25982"/>
    <x v="2"/>
  </r>
  <r>
    <x v="15"/>
    <s v="ESP"/>
    <x v="2"/>
    <s v="NY.GDP.PCAP.KD"/>
    <x v="26"/>
    <n v="26719"/>
    <x v="2"/>
  </r>
  <r>
    <x v="15"/>
    <s v="ESP"/>
    <x v="2"/>
    <s v="NY.GDP.PCAP.KD"/>
    <x v="27"/>
    <n v="27426"/>
    <x v="3"/>
  </r>
  <r>
    <x v="15"/>
    <s v="ESP"/>
    <x v="2"/>
    <s v="NY.GDP.PCAP.KD"/>
    <x v="28"/>
    <n v="27957"/>
    <x v="3"/>
  </r>
  <r>
    <x v="15"/>
    <s v="ESP"/>
    <x v="2"/>
    <s v="NY.GDP.PCAP.KD"/>
    <x v="29"/>
    <n v="28301"/>
    <x v="3"/>
  </r>
  <r>
    <x v="53"/>
    <s v="TKM"/>
    <x v="2"/>
    <s v="NY.GDP.PCAP.KD"/>
    <x v="30"/>
    <n v="6965"/>
    <x v="3"/>
  </r>
  <r>
    <x v="15"/>
    <s v="ESP"/>
    <x v="2"/>
    <s v="NY.GDP.PCAP.KD"/>
    <x v="31"/>
    <n v="26705"/>
    <x v="3"/>
  </r>
  <r>
    <x v="15"/>
    <s v="ESP"/>
    <x v="2"/>
    <s v="NY.GDP.PCAP.KD"/>
    <x v="32"/>
    <n v="28203"/>
    <x v="0"/>
  </r>
  <r>
    <x v="15"/>
    <s v="ESP"/>
    <x v="2"/>
    <s v="NY.GDP.PCAP.KD"/>
    <x v="33"/>
    <n v="28559"/>
    <x v="0"/>
  </r>
  <r>
    <x v="15"/>
    <s v="ESP"/>
    <x v="2"/>
    <s v="NY.GDP.PCAP.KD"/>
    <x v="54"/>
    <n v="29245"/>
    <x v="0"/>
  </r>
  <r>
    <x v="16"/>
    <s v="EST"/>
    <x v="2"/>
    <s v="NY.GDP.PCAP.KD"/>
    <x v="0"/>
    <n v="9341"/>
    <x v="0"/>
  </r>
  <r>
    <x v="16"/>
    <s v="EST"/>
    <x v="2"/>
    <s v="NY.GDP.PCAP.KD"/>
    <x v="1"/>
    <n v="8637"/>
    <x v="0"/>
  </r>
  <r>
    <x v="16"/>
    <s v="EST"/>
    <x v="2"/>
    <s v="NY.GDP.PCAP.KD"/>
    <x v="2"/>
    <n v="6934"/>
    <x v="0"/>
  </r>
  <r>
    <x v="16"/>
    <s v="EST"/>
    <x v="2"/>
    <s v="NY.GDP.PCAP.KD"/>
    <x v="3"/>
    <n v="6707"/>
    <x v="0"/>
  </r>
  <r>
    <x v="16"/>
    <s v="EST"/>
    <x v="2"/>
    <s v="NY.GDP.PCAP.KD"/>
    <x v="4"/>
    <n v="6739"/>
    <x v="0"/>
  </r>
  <r>
    <x v="16"/>
    <s v="EST"/>
    <x v="2"/>
    <s v="NY.GDP.PCAP.KD"/>
    <x v="5"/>
    <n v="7171"/>
    <x v="0"/>
  </r>
  <r>
    <x v="16"/>
    <s v="EST"/>
    <x v="2"/>
    <s v="NY.GDP.PCAP.KD"/>
    <x v="6"/>
    <n v="7637"/>
    <x v="0"/>
  </r>
  <r>
    <x v="16"/>
    <s v="EST"/>
    <x v="2"/>
    <s v="NY.GDP.PCAP.KD"/>
    <x v="7"/>
    <n v="8733"/>
    <x v="1"/>
  </r>
  <r>
    <x v="16"/>
    <s v="EST"/>
    <x v="2"/>
    <s v="NY.GDP.PCAP.KD"/>
    <x v="8"/>
    <n v="9200"/>
    <x v="1"/>
  </r>
  <r>
    <x v="16"/>
    <s v="EST"/>
    <x v="2"/>
    <s v="NY.GDP.PCAP.KD"/>
    <x v="9"/>
    <n v="9134"/>
    <x v="1"/>
  </r>
  <r>
    <x v="16"/>
    <s v="EST"/>
    <x v="2"/>
    <s v="NY.GDP.PCAP.KD"/>
    <x v="10"/>
    <n v="10007"/>
    <x v="1"/>
  </r>
  <r>
    <x v="16"/>
    <s v="EST"/>
    <x v="2"/>
    <s v="NY.GDP.PCAP.KD"/>
    <x v="11"/>
    <n v="10663"/>
    <x v="1"/>
  </r>
  <r>
    <x v="16"/>
    <s v="EST"/>
    <x v="2"/>
    <s v="NY.GDP.PCAP.KD"/>
    <x v="12"/>
    <n v="11475"/>
    <x v="1"/>
  </r>
  <r>
    <x v="16"/>
    <s v="EST"/>
    <x v="2"/>
    <s v="NY.GDP.PCAP.KD"/>
    <x v="13"/>
    <n v="12424"/>
    <x v="1"/>
  </r>
  <r>
    <x v="16"/>
    <s v="EST"/>
    <x v="2"/>
    <s v="NY.GDP.PCAP.KD"/>
    <x v="14"/>
    <n v="13349"/>
    <x v="1"/>
  </r>
  <r>
    <x v="16"/>
    <s v="EST"/>
    <x v="2"/>
    <s v="NY.GDP.PCAP.KD"/>
    <x v="15"/>
    <n v="14704"/>
    <x v="1"/>
  </r>
  <r>
    <x v="16"/>
    <s v="EST"/>
    <x v="2"/>
    <s v="NY.GDP.PCAP.KD"/>
    <x v="16"/>
    <n v="16235"/>
    <x v="1"/>
  </r>
  <r>
    <x v="16"/>
    <s v="EST"/>
    <x v="2"/>
    <s v="NY.GDP.PCAP.KD"/>
    <x v="17"/>
    <n v="17543"/>
    <x v="2"/>
  </r>
  <r>
    <x v="16"/>
    <s v="EST"/>
    <x v="2"/>
    <s v="NY.GDP.PCAP.KD"/>
    <x v="18"/>
    <n v="16689"/>
    <x v="2"/>
  </r>
  <r>
    <x v="16"/>
    <s v="EST"/>
    <x v="2"/>
    <s v="NY.GDP.PCAP.KD"/>
    <x v="19"/>
    <n v="14275"/>
    <x v="2"/>
  </r>
  <r>
    <x v="16"/>
    <s v="EST"/>
    <x v="2"/>
    <s v="NY.GDP.PCAP.KD"/>
    <x v="20"/>
    <n v="14658"/>
    <x v="2"/>
  </r>
  <r>
    <x v="16"/>
    <s v="EST"/>
    <x v="2"/>
    <s v="NY.GDP.PCAP.KD"/>
    <x v="21"/>
    <n v="15821"/>
    <x v="2"/>
  </r>
  <r>
    <x v="16"/>
    <s v="EST"/>
    <x v="2"/>
    <s v="NY.GDP.PCAP.KD"/>
    <x v="22"/>
    <n v="16461"/>
    <x v="2"/>
  </r>
  <r>
    <x v="16"/>
    <s v="EST"/>
    <x v="2"/>
    <s v="NY.GDP.PCAP.KD"/>
    <x v="23"/>
    <n v="16810"/>
    <x v="2"/>
  </r>
  <r>
    <x v="16"/>
    <s v="EST"/>
    <x v="2"/>
    <s v="NY.GDP.PCAP.KD"/>
    <x v="24"/>
    <n v="17414"/>
    <x v="2"/>
  </r>
  <r>
    <x v="16"/>
    <s v="EST"/>
    <x v="2"/>
    <s v="NY.GDP.PCAP.KD"/>
    <x v="25"/>
    <n v="17722"/>
    <x v="2"/>
  </r>
  <r>
    <x v="16"/>
    <s v="EST"/>
    <x v="2"/>
    <s v="NY.GDP.PCAP.KD"/>
    <x v="26"/>
    <n v="18265"/>
    <x v="2"/>
  </r>
  <r>
    <x v="16"/>
    <s v="EST"/>
    <x v="2"/>
    <s v="NY.GDP.PCAP.KD"/>
    <x v="27"/>
    <n v="19271"/>
    <x v="3"/>
  </r>
  <r>
    <x v="16"/>
    <s v="EST"/>
    <x v="2"/>
    <s v="NY.GDP.PCAP.KD"/>
    <x v="28"/>
    <n v="19914"/>
    <x v="3"/>
  </r>
  <r>
    <x v="16"/>
    <s v="EST"/>
    <x v="2"/>
    <s v="NY.GDP.PCAP.KD"/>
    <x v="29"/>
    <n v="20580"/>
    <x v="3"/>
  </r>
  <r>
    <x v="6"/>
    <s v="BGR"/>
    <x v="2"/>
    <s v="NY.GDP.PCAP.KD"/>
    <x v="30"/>
    <n v="8440"/>
    <x v="3"/>
  </r>
  <r>
    <x v="16"/>
    <s v="EST"/>
    <x v="2"/>
    <s v="NY.GDP.PCAP.KD"/>
    <x v="31"/>
    <n v="21571"/>
    <x v="3"/>
  </r>
  <r>
    <x v="16"/>
    <s v="EST"/>
    <x v="2"/>
    <s v="NY.GDP.PCAP.KD"/>
    <x v="32"/>
    <n v="21023"/>
    <x v="6"/>
  </r>
  <r>
    <x v="16"/>
    <s v="EST"/>
    <x v="2"/>
    <s v="NY.GDP.PCAP.KD"/>
    <x v="33"/>
    <n v="20126"/>
    <x v="6"/>
  </r>
  <r>
    <x v="16"/>
    <s v="EST"/>
    <x v="2"/>
    <s v="NY.GDP.PCAP.KD"/>
    <x v="54"/>
    <n v="20078"/>
    <x v="6"/>
  </r>
  <r>
    <x v="17"/>
    <s v="FIN"/>
    <x v="2"/>
    <s v="NY.GDP.PCAP.KD"/>
    <x v="55"/>
    <n v="11154"/>
    <x v="6"/>
  </r>
  <r>
    <x v="17"/>
    <s v="FIN"/>
    <x v="2"/>
    <s v="NY.GDP.PCAP.KD"/>
    <x v="56"/>
    <n v="11918"/>
    <x v="6"/>
  </r>
  <r>
    <x v="17"/>
    <s v="FIN"/>
    <x v="2"/>
    <s v="NY.GDP.PCAP.KD"/>
    <x v="57"/>
    <n v="12190"/>
    <x v="6"/>
  </r>
  <r>
    <x v="17"/>
    <s v="FIN"/>
    <x v="2"/>
    <s v="NY.GDP.PCAP.KD"/>
    <x v="58"/>
    <n v="12502"/>
    <x v="6"/>
  </r>
  <r>
    <x v="17"/>
    <s v="FIN"/>
    <x v="2"/>
    <s v="NY.GDP.PCAP.KD"/>
    <x v="59"/>
    <n v="13083"/>
    <x v="6"/>
  </r>
  <r>
    <x v="17"/>
    <s v="FIN"/>
    <x v="2"/>
    <s v="NY.GDP.PCAP.KD"/>
    <x v="60"/>
    <n v="13731"/>
    <x v="6"/>
  </r>
  <r>
    <x v="17"/>
    <s v="FIN"/>
    <x v="2"/>
    <s v="NY.GDP.PCAP.KD"/>
    <x v="61"/>
    <n v="14005"/>
    <x v="6"/>
  </r>
  <r>
    <x v="17"/>
    <s v="FIN"/>
    <x v="2"/>
    <s v="NY.GDP.PCAP.KD"/>
    <x v="62"/>
    <n v="14231"/>
    <x v="4"/>
  </r>
  <r>
    <x v="17"/>
    <s v="FIN"/>
    <x v="2"/>
    <s v="NY.GDP.PCAP.KD"/>
    <x v="63"/>
    <n v="14494"/>
    <x v="4"/>
  </r>
  <r>
    <x v="17"/>
    <s v="FIN"/>
    <x v="2"/>
    <s v="NY.GDP.PCAP.KD"/>
    <x v="64"/>
    <n v="15893"/>
    <x v="4"/>
  </r>
  <r>
    <x v="17"/>
    <s v="FIN"/>
    <x v="2"/>
    <s v="NY.GDP.PCAP.KD"/>
    <x v="34"/>
    <n v="17145"/>
    <x v="4"/>
  </r>
  <r>
    <x v="17"/>
    <s v="FIN"/>
    <x v="2"/>
    <s v="NY.GDP.PCAP.KD"/>
    <x v="35"/>
    <n v="17527"/>
    <x v="4"/>
  </r>
  <r>
    <x v="17"/>
    <s v="FIN"/>
    <x v="2"/>
    <s v="NY.GDP.PCAP.KD"/>
    <x v="36"/>
    <n v="18771"/>
    <x v="4"/>
  </r>
  <r>
    <x v="17"/>
    <s v="FIN"/>
    <x v="2"/>
    <s v="NY.GDP.PCAP.KD"/>
    <x v="37"/>
    <n v="19968"/>
    <x v="4"/>
  </r>
  <r>
    <x v="17"/>
    <s v="FIN"/>
    <x v="2"/>
    <s v="NY.GDP.PCAP.KD"/>
    <x v="38"/>
    <n v="20507"/>
    <x v="4"/>
  </r>
  <r>
    <x v="17"/>
    <s v="FIN"/>
    <x v="2"/>
    <s v="NY.GDP.PCAP.KD"/>
    <x v="39"/>
    <n v="20785"/>
    <x v="4"/>
  </r>
  <r>
    <x v="17"/>
    <s v="FIN"/>
    <x v="2"/>
    <s v="NY.GDP.PCAP.KD"/>
    <x v="40"/>
    <n v="20793"/>
    <x v="4"/>
  </r>
  <r>
    <x v="17"/>
    <s v="FIN"/>
    <x v="2"/>
    <s v="NY.GDP.PCAP.KD"/>
    <x v="41"/>
    <n v="20785"/>
    <x v="5"/>
  </r>
  <r>
    <x v="17"/>
    <s v="FIN"/>
    <x v="2"/>
    <s v="NY.GDP.PCAP.KD"/>
    <x v="42"/>
    <n v="21331"/>
    <x v="5"/>
  </r>
  <r>
    <x v="17"/>
    <s v="FIN"/>
    <x v="2"/>
    <s v="NY.GDP.PCAP.KD"/>
    <x v="43"/>
    <n v="22791"/>
    <x v="5"/>
  </r>
  <r>
    <x v="17"/>
    <s v="FIN"/>
    <x v="2"/>
    <s v="NY.GDP.PCAP.KD"/>
    <x v="44"/>
    <n v="23945"/>
    <x v="5"/>
  </r>
  <r>
    <x v="17"/>
    <s v="FIN"/>
    <x v="2"/>
    <s v="NY.GDP.PCAP.KD"/>
    <x v="45"/>
    <n v="24151"/>
    <x v="5"/>
  </r>
  <r>
    <x v="17"/>
    <s v="FIN"/>
    <x v="2"/>
    <s v="NY.GDP.PCAP.KD"/>
    <x v="46"/>
    <n v="24757"/>
    <x v="5"/>
  </r>
  <r>
    <x v="17"/>
    <s v="FIN"/>
    <x v="2"/>
    <s v="NY.GDP.PCAP.KD"/>
    <x v="47"/>
    <n v="25374"/>
    <x v="5"/>
  </r>
  <r>
    <x v="17"/>
    <s v="FIN"/>
    <x v="2"/>
    <s v="NY.GDP.PCAP.KD"/>
    <x v="48"/>
    <n v="26053"/>
    <x v="5"/>
  </r>
  <r>
    <x v="17"/>
    <s v="FIN"/>
    <x v="2"/>
    <s v="NY.GDP.PCAP.KD"/>
    <x v="49"/>
    <n v="26863"/>
    <x v="5"/>
  </r>
  <r>
    <x v="17"/>
    <s v="FIN"/>
    <x v="2"/>
    <s v="NY.GDP.PCAP.KD"/>
    <x v="50"/>
    <n v="27513"/>
    <x v="5"/>
  </r>
  <r>
    <x v="17"/>
    <s v="FIN"/>
    <x v="2"/>
    <s v="NY.GDP.PCAP.KD"/>
    <x v="51"/>
    <n v="28412"/>
    <x v="0"/>
  </r>
  <r>
    <x v="17"/>
    <s v="FIN"/>
    <x v="2"/>
    <s v="NY.GDP.PCAP.KD"/>
    <x v="52"/>
    <n v="29812"/>
    <x v="0"/>
  </r>
  <r>
    <x v="17"/>
    <s v="FIN"/>
    <x v="2"/>
    <s v="NY.GDP.PCAP.KD"/>
    <x v="53"/>
    <n v="31215"/>
    <x v="0"/>
  </r>
  <r>
    <x v="17"/>
    <s v="FIN"/>
    <x v="2"/>
    <s v="NY.GDP.PCAP.KD"/>
    <x v="0"/>
    <n v="31292"/>
    <x v="0"/>
  </r>
  <r>
    <x v="17"/>
    <s v="FIN"/>
    <x v="2"/>
    <s v="NY.GDP.PCAP.KD"/>
    <x v="1"/>
    <n v="29291"/>
    <x v="0"/>
  </r>
  <r>
    <x v="17"/>
    <s v="FIN"/>
    <x v="2"/>
    <s v="NY.GDP.PCAP.KD"/>
    <x v="2"/>
    <n v="28162"/>
    <x v="0"/>
  </r>
  <r>
    <x v="17"/>
    <s v="FIN"/>
    <x v="2"/>
    <s v="NY.GDP.PCAP.KD"/>
    <x v="3"/>
    <n v="27808"/>
    <x v="0"/>
  </r>
  <r>
    <x v="17"/>
    <s v="FIN"/>
    <x v="2"/>
    <s v="NY.GDP.PCAP.KD"/>
    <x v="4"/>
    <n v="28786"/>
    <x v="0"/>
  </r>
  <r>
    <x v="17"/>
    <s v="FIN"/>
    <x v="2"/>
    <s v="NY.GDP.PCAP.KD"/>
    <x v="5"/>
    <n v="29891"/>
    <x v="0"/>
  </r>
  <r>
    <x v="17"/>
    <s v="FIN"/>
    <x v="2"/>
    <s v="NY.GDP.PCAP.KD"/>
    <x v="6"/>
    <n v="30884"/>
    <x v="0"/>
  </r>
  <r>
    <x v="17"/>
    <s v="FIN"/>
    <x v="2"/>
    <s v="NY.GDP.PCAP.KD"/>
    <x v="7"/>
    <n v="32762"/>
    <x v="1"/>
  </r>
  <r>
    <x v="17"/>
    <s v="FIN"/>
    <x v="2"/>
    <s v="NY.GDP.PCAP.KD"/>
    <x v="8"/>
    <n v="34457"/>
    <x v="1"/>
  </r>
  <r>
    <x v="17"/>
    <s v="FIN"/>
    <x v="2"/>
    <s v="NY.GDP.PCAP.KD"/>
    <x v="9"/>
    <n v="35886"/>
    <x v="1"/>
  </r>
  <r>
    <x v="17"/>
    <s v="FIN"/>
    <x v="2"/>
    <s v="NY.GDP.PCAP.KD"/>
    <x v="10"/>
    <n v="37873"/>
    <x v="1"/>
  </r>
  <r>
    <x v="17"/>
    <s v="FIN"/>
    <x v="2"/>
    <s v="NY.GDP.PCAP.KD"/>
    <x v="11"/>
    <n v="38784"/>
    <x v="1"/>
  </r>
  <r>
    <x v="17"/>
    <s v="FIN"/>
    <x v="2"/>
    <s v="NY.GDP.PCAP.KD"/>
    <x v="12"/>
    <n v="39343"/>
    <x v="1"/>
  </r>
  <r>
    <x v="17"/>
    <s v="FIN"/>
    <x v="2"/>
    <s v="NY.GDP.PCAP.KD"/>
    <x v="13"/>
    <n v="40039"/>
    <x v="1"/>
  </r>
  <r>
    <x v="17"/>
    <s v="FIN"/>
    <x v="2"/>
    <s v="NY.GDP.PCAP.KD"/>
    <x v="14"/>
    <n v="41522"/>
    <x v="1"/>
  </r>
  <r>
    <x v="17"/>
    <s v="FIN"/>
    <x v="2"/>
    <s v="NY.GDP.PCAP.KD"/>
    <x v="15"/>
    <n v="42529"/>
    <x v="1"/>
  </r>
  <r>
    <x v="17"/>
    <s v="FIN"/>
    <x v="2"/>
    <s v="NY.GDP.PCAP.KD"/>
    <x v="16"/>
    <n v="44069"/>
    <x v="1"/>
  </r>
  <r>
    <x v="17"/>
    <s v="FIN"/>
    <x v="2"/>
    <s v="NY.GDP.PCAP.KD"/>
    <x v="17"/>
    <n v="46214"/>
    <x v="2"/>
  </r>
  <r>
    <x v="17"/>
    <s v="FIN"/>
    <x v="2"/>
    <s v="NY.GDP.PCAP.KD"/>
    <x v="18"/>
    <n v="46360"/>
    <x v="2"/>
  </r>
  <r>
    <x v="17"/>
    <s v="FIN"/>
    <x v="2"/>
    <s v="NY.GDP.PCAP.KD"/>
    <x v="19"/>
    <n v="42413"/>
    <x v="2"/>
  </r>
  <r>
    <x v="17"/>
    <s v="FIN"/>
    <x v="2"/>
    <s v="NY.GDP.PCAP.KD"/>
    <x v="20"/>
    <n v="43557"/>
    <x v="2"/>
  </r>
  <r>
    <x v="17"/>
    <s v="FIN"/>
    <x v="2"/>
    <s v="NY.GDP.PCAP.KD"/>
    <x v="21"/>
    <n v="44391"/>
    <x v="2"/>
  </r>
  <r>
    <x v="17"/>
    <s v="FIN"/>
    <x v="2"/>
    <s v="NY.GDP.PCAP.KD"/>
    <x v="22"/>
    <n v="43508"/>
    <x v="2"/>
  </r>
  <r>
    <x v="17"/>
    <s v="FIN"/>
    <x v="2"/>
    <s v="NY.GDP.PCAP.KD"/>
    <x v="23"/>
    <n v="42884"/>
    <x v="2"/>
  </r>
  <r>
    <x v="17"/>
    <s v="FIN"/>
    <x v="2"/>
    <s v="NY.GDP.PCAP.KD"/>
    <x v="24"/>
    <n v="42502"/>
    <x v="2"/>
  </r>
  <r>
    <x v="17"/>
    <s v="FIN"/>
    <x v="2"/>
    <s v="NY.GDP.PCAP.KD"/>
    <x v="25"/>
    <n v="42560"/>
    <x v="2"/>
  </r>
  <r>
    <x v="17"/>
    <s v="FIN"/>
    <x v="2"/>
    <s v="NY.GDP.PCAP.KD"/>
    <x v="26"/>
    <n v="43530"/>
    <x v="2"/>
  </r>
  <r>
    <x v="17"/>
    <s v="FIN"/>
    <x v="2"/>
    <s v="NY.GDP.PCAP.KD"/>
    <x v="27"/>
    <n v="44862"/>
    <x v="3"/>
  </r>
  <r>
    <x v="17"/>
    <s v="FIN"/>
    <x v="2"/>
    <s v="NY.GDP.PCAP.KD"/>
    <x v="28"/>
    <n v="45337"/>
    <x v="3"/>
  </r>
  <r>
    <x v="17"/>
    <s v="FIN"/>
    <x v="2"/>
    <s v="NY.GDP.PCAP.KD"/>
    <x v="29"/>
    <n v="45899"/>
    <x v="3"/>
  </r>
  <r>
    <x v="46"/>
    <s v="RUS"/>
    <x v="2"/>
    <s v="NY.GDP.PCAP.KD"/>
    <x v="30"/>
    <n v="9632"/>
    <x v="3"/>
  </r>
  <r>
    <x v="17"/>
    <s v="FIN"/>
    <x v="2"/>
    <s v="NY.GDP.PCAP.KD"/>
    <x v="31"/>
    <n v="45792"/>
    <x v="3"/>
  </r>
  <r>
    <x v="17"/>
    <s v="FIN"/>
    <x v="2"/>
    <s v="NY.GDP.PCAP.KD"/>
    <x v="32"/>
    <n v="46016"/>
    <x v="6"/>
  </r>
  <r>
    <x v="17"/>
    <s v="FIN"/>
    <x v="2"/>
    <s v="NY.GDP.PCAP.KD"/>
    <x v="33"/>
    <n v="45357"/>
    <x v="6"/>
  </r>
  <r>
    <x v="17"/>
    <s v="FIN"/>
    <x v="2"/>
    <s v="NY.GDP.PCAP.KD"/>
    <x v="54"/>
    <n v="45254"/>
    <x v="6"/>
  </r>
  <r>
    <x v="18"/>
    <s v="FRA"/>
    <x v="2"/>
    <s v="NY.GDP.PCAP.KD"/>
    <x v="55"/>
    <n v="10776"/>
    <x v="6"/>
  </r>
  <r>
    <x v="18"/>
    <s v="FRA"/>
    <x v="2"/>
    <s v="NY.GDP.PCAP.KD"/>
    <x v="56"/>
    <n v="11193"/>
    <x v="6"/>
  </r>
  <r>
    <x v="18"/>
    <s v="FRA"/>
    <x v="2"/>
    <s v="NY.GDP.PCAP.KD"/>
    <x v="57"/>
    <n v="11841"/>
    <x v="6"/>
  </r>
  <r>
    <x v="18"/>
    <s v="FRA"/>
    <x v="2"/>
    <s v="NY.GDP.PCAP.KD"/>
    <x v="58"/>
    <n v="12438"/>
    <x v="6"/>
  </r>
  <r>
    <x v="18"/>
    <s v="FRA"/>
    <x v="2"/>
    <s v="NY.GDP.PCAP.KD"/>
    <x v="59"/>
    <n v="13116"/>
    <x v="6"/>
  </r>
  <r>
    <x v="18"/>
    <s v="FRA"/>
    <x v="2"/>
    <s v="NY.GDP.PCAP.KD"/>
    <x v="60"/>
    <n v="13619"/>
    <x v="6"/>
  </r>
  <r>
    <x v="18"/>
    <s v="FRA"/>
    <x v="2"/>
    <s v="NY.GDP.PCAP.KD"/>
    <x v="61"/>
    <n v="14199"/>
    <x v="6"/>
  </r>
  <r>
    <x v="18"/>
    <s v="FRA"/>
    <x v="2"/>
    <s v="NY.GDP.PCAP.KD"/>
    <x v="62"/>
    <n v="14760"/>
    <x v="4"/>
  </r>
  <r>
    <x v="18"/>
    <s v="FRA"/>
    <x v="2"/>
    <s v="NY.GDP.PCAP.KD"/>
    <x v="63"/>
    <n v="15313"/>
    <x v="4"/>
  </r>
  <r>
    <x v="18"/>
    <s v="FRA"/>
    <x v="2"/>
    <s v="NY.GDP.PCAP.KD"/>
    <x v="64"/>
    <n v="16265"/>
    <x v="4"/>
  </r>
  <r>
    <x v="18"/>
    <s v="FRA"/>
    <x v="2"/>
    <s v="NY.GDP.PCAP.KD"/>
    <x v="34"/>
    <n v="17117"/>
    <x v="4"/>
  </r>
  <r>
    <x v="18"/>
    <s v="FRA"/>
    <x v="2"/>
    <s v="NY.GDP.PCAP.KD"/>
    <x v="35"/>
    <n v="17854"/>
    <x v="4"/>
  </r>
  <r>
    <x v="18"/>
    <s v="FRA"/>
    <x v="2"/>
    <s v="NY.GDP.PCAP.KD"/>
    <x v="36"/>
    <n v="18497"/>
    <x v="4"/>
  </r>
  <r>
    <x v="18"/>
    <s v="FRA"/>
    <x v="2"/>
    <s v="NY.GDP.PCAP.KD"/>
    <x v="37"/>
    <n v="19484"/>
    <x v="4"/>
  </r>
  <r>
    <x v="18"/>
    <s v="FRA"/>
    <x v="2"/>
    <s v="NY.GDP.PCAP.KD"/>
    <x v="38"/>
    <n v="20210"/>
    <x v="4"/>
  </r>
  <r>
    <x v="18"/>
    <s v="FRA"/>
    <x v="2"/>
    <s v="NY.GDP.PCAP.KD"/>
    <x v="39"/>
    <n v="19924"/>
    <x v="4"/>
  </r>
  <r>
    <x v="18"/>
    <s v="FRA"/>
    <x v="2"/>
    <s v="NY.GDP.PCAP.KD"/>
    <x v="40"/>
    <n v="20701"/>
    <x v="4"/>
  </r>
  <r>
    <x v="18"/>
    <s v="FRA"/>
    <x v="2"/>
    <s v="NY.GDP.PCAP.KD"/>
    <x v="41"/>
    <n v="21336"/>
    <x v="5"/>
  </r>
  <r>
    <x v="18"/>
    <s v="FRA"/>
    <x v="2"/>
    <s v="NY.GDP.PCAP.KD"/>
    <x v="42"/>
    <n v="22079"/>
    <x v="5"/>
  </r>
  <r>
    <x v="18"/>
    <s v="FRA"/>
    <x v="2"/>
    <s v="NY.GDP.PCAP.KD"/>
    <x v="43"/>
    <n v="22792"/>
    <x v="5"/>
  </r>
  <r>
    <x v="18"/>
    <s v="FRA"/>
    <x v="2"/>
    <s v="NY.GDP.PCAP.KD"/>
    <x v="44"/>
    <n v="23051"/>
    <x v="5"/>
  </r>
  <r>
    <x v="18"/>
    <s v="FRA"/>
    <x v="2"/>
    <s v="NY.GDP.PCAP.KD"/>
    <x v="45"/>
    <n v="23187"/>
    <x v="5"/>
  </r>
  <r>
    <x v="18"/>
    <s v="FRA"/>
    <x v="2"/>
    <s v="NY.GDP.PCAP.KD"/>
    <x v="46"/>
    <n v="23667"/>
    <x v="5"/>
  </r>
  <r>
    <x v="18"/>
    <s v="FRA"/>
    <x v="2"/>
    <s v="NY.GDP.PCAP.KD"/>
    <x v="47"/>
    <n v="23836"/>
    <x v="5"/>
  </r>
  <r>
    <x v="18"/>
    <s v="FRA"/>
    <x v="2"/>
    <s v="NY.GDP.PCAP.KD"/>
    <x v="48"/>
    <n v="24102"/>
    <x v="5"/>
  </r>
  <r>
    <x v="18"/>
    <s v="FRA"/>
    <x v="2"/>
    <s v="NY.GDP.PCAP.KD"/>
    <x v="49"/>
    <n v="24358"/>
    <x v="5"/>
  </r>
  <r>
    <x v="18"/>
    <s v="FRA"/>
    <x v="2"/>
    <s v="NY.GDP.PCAP.KD"/>
    <x v="50"/>
    <n v="24813"/>
    <x v="5"/>
  </r>
  <r>
    <x v="18"/>
    <s v="FRA"/>
    <x v="2"/>
    <s v="NY.GDP.PCAP.KD"/>
    <x v="51"/>
    <n v="25309"/>
    <x v="0"/>
  </r>
  <r>
    <x v="18"/>
    <s v="FRA"/>
    <x v="2"/>
    <s v="NY.GDP.PCAP.KD"/>
    <x v="52"/>
    <n v="26374"/>
    <x v="0"/>
  </r>
  <r>
    <x v="18"/>
    <s v="FRA"/>
    <x v="2"/>
    <s v="NY.GDP.PCAP.KD"/>
    <x v="53"/>
    <n v="27372"/>
    <x v="0"/>
  </r>
  <r>
    <x v="18"/>
    <s v="FRA"/>
    <x v="2"/>
    <s v="NY.GDP.PCAP.KD"/>
    <x v="0"/>
    <n v="27993"/>
    <x v="0"/>
  </r>
  <r>
    <x v="18"/>
    <s v="FRA"/>
    <x v="2"/>
    <s v="NY.GDP.PCAP.KD"/>
    <x v="1"/>
    <n v="28197"/>
    <x v="0"/>
  </r>
  <r>
    <x v="18"/>
    <s v="FRA"/>
    <x v="2"/>
    <s v="NY.GDP.PCAP.KD"/>
    <x v="2"/>
    <n v="28483"/>
    <x v="0"/>
  </r>
  <r>
    <x v="18"/>
    <s v="FRA"/>
    <x v="2"/>
    <s v="NY.GDP.PCAP.KD"/>
    <x v="3"/>
    <n v="28257"/>
    <x v="0"/>
  </r>
  <r>
    <x v="18"/>
    <s v="FRA"/>
    <x v="2"/>
    <s v="NY.GDP.PCAP.KD"/>
    <x v="4"/>
    <n v="28823"/>
    <x v="0"/>
  </r>
  <r>
    <x v="18"/>
    <s v="FRA"/>
    <x v="2"/>
    <s v="NY.GDP.PCAP.KD"/>
    <x v="5"/>
    <n v="29380"/>
    <x v="0"/>
  </r>
  <r>
    <x v="18"/>
    <s v="FRA"/>
    <x v="2"/>
    <s v="NY.GDP.PCAP.KD"/>
    <x v="6"/>
    <n v="29684"/>
    <x v="0"/>
  </r>
  <r>
    <x v="18"/>
    <s v="FRA"/>
    <x v="2"/>
    <s v="NY.GDP.PCAP.KD"/>
    <x v="7"/>
    <n v="30326"/>
    <x v="1"/>
  </r>
  <r>
    <x v="18"/>
    <s v="FRA"/>
    <x v="2"/>
    <s v="NY.GDP.PCAP.KD"/>
    <x v="8"/>
    <n v="31257"/>
    <x v="1"/>
  </r>
  <r>
    <x v="18"/>
    <s v="FRA"/>
    <x v="2"/>
    <s v="NY.GDP.PCAP.KD"/>
    <x v="9"/>
    <n v="32153"/>
    <x v="1"/>
  </r>
  <r>
    <x v="18"/>
    <s v="FRA"/>
    <x v="2"/>
    <s v="NY.GDP.PCAP.KD"/>
    <x v="10"/>
    <n v="33255"/>
    <x v="1"/>
  </r>
  <r>
    <x v="18"/>
    <s v="FRA"/>
    <x v="2"/>
    <s v="NY.GDP.PCAP.KD"/>
    <x v="11"/>
    <n v="33641"/>
    <x v="1"/>
  </r>
  <r>
    <x v="18"/>
    <s v="FRA"/>
    <x v="2"/>
    <s v="NY.GDP.PCAP.KD"/>
    <x v="12"/>
    <n v="33754"/>
    <x v="1"/>
  </r>
  <r>
    <x v="18"/>
    <s v="FRA"/>
    <x v="2"/>
    <s v="NY.GDP.PCAP.KD"/>
    <x v="13"/>
    <n v="33841"/>
    <x v="1"/>
  </r>
  <r>
    <x v="18"/>
    <s v="FRA"/>
    <x v="2"/>
    <s v="NY.GDP.PCAP.KD"/>
    <x v="14"/>
    <n v="34557"/>
    <x v="1"/>
  </r>
  <r>
    <x v="18"/>
    <s v="FRA"/>
    <x v="2"/>
    <s v="NY.GDP.PCAP.KD"/>
    <x v="15"/>
    <n v="34946"/>
    <x v="1"/>
  </r>
  <r>
    <x v="18"/>
    <s v="FRA"/>
    <x v="2"/>
    <s v="NY.GDP.PCAP.KD"/>
    <x v="16"/>
    <n v="35645"/>
    <x v="1"/>
  </r>
  <r>
    <x v="18"/>
    <s v="FRA"/>
    <x v="2"/>
    <s v="NY.GDP.PCAP.KD"/>
    <x v="17"/>
    <n v="36322"/>
    <x v="2"/>
  </r>
  <r>
    <x v="18"/>
    <s v="FRA"/>
    <x v="2"/>
    <s v="NY.GDP.PCAP.KD"/>
    <x v="18"/>
    <n v="36257"/>
    <x v="2"/>
  </r>
  <r>
    <x v="18"/>
    <s v="FRA"/>
    <x v="2"/>
    <s v="NY.GDP.PCAP.KD"/>
    <x v="19"/>
    <n v="35053"/>
    <x v="2"/>
  </r>
  <r>
    <x v="18"/>
    <s v="FRA"/>
    <x v="2"/>
    <s v="NY.GDP.PCAP.KD"/>
    <x v="20"/>
    <n v="35578"/>
    <x v="2"/>
  </r>
  <r>
    <x v="18"/>
    <s v="FRA"/>
    <x v="2"/>
    <s v="NY.GDP.PCAP.KD"/>
    <x v="21"/>
    <n v="36270"/>
    <x v="2"/>
  </r>
  <r>
    <x v="18"/>
    <s v="FRA"/>
    <x v="2"/>
    <s v="NY.GDP.PCAP.KD"/>
    <x v="22"/>
    <n v="36161"/>
    <x v="2"/>
  </r>
  <r>
    <x v="18"/>
    <s v="FRA"/>
    <x v="2"/>
    <s v="NY.GDP.PCAP.KD"/>
    <x v="23"/>
    <n v="36256"/>
    <x v="2"/>
  </r>
  <r>
    <x v="18"/>
    <s v="FRA"/>
    <x v="2"/>
    <s v="NY.GDP.PCAP.KD"/>
    <x v="24"/>
    <n v="36444"/>
    <x v="2"/>
  </r>
  <r>
    <x v="18"/>
    <s v="FRA"/>
    <x v="2"/>
    <s v="NY.GDP.PCAP.KD"/>
    <x v="25"/>
    <n v="36702"/>
    <x v="2"/>
  </r>
  <r>
    <x v="18"/>
    <s v="FRA"/>
    <x v="2"/>
    <s v="NY.GDP.PCAP.KD"/>
    <x v="26"/>
    <n v="36921"/>
    <x v="2"/>
  </r>
  <r>
    <x v="18"/>
    <s v="FRA"/>
    <x v="2"/>
    <s v="NY.GDP.PCAP.KD"/>
    <x v="27"/>
    <n v="37581"/>
    <x v="3"/>
  </r>
  <r>
    <x v="18"/>
    <s v="FRA"/>
    <x v="2"/>
    <s v="NY.GDP.PCAP.KD"/>
    <x v="28"/>
    <n v="38062"/>
    <x v="3"/>
  </r>
  <r>
    <x v="18"/>
    <s v="FRA"/>
    <x v="2"/>
    <s v="NY.GDP.PCAP.KD"/>
    <x v="29"/>
    <n v="38705"/>
    <x v="3"/>
  </r>
  <r>
    <x v="31"/>
    <s v="KAZ"/>
    <x v="2"/>
    <s v="NY.GDP.PCAP.KD"/>
    <x v="30"/>
    <n v="10565"/>
    <x v="3"/>
  </r>
  <r>
    <x v="18"/>
    <s v="FRA"/>
    <x v="2"/>
    <s v="NY.GDP.PCAP.KD"/>
    <x v="31"/>
    <n v="38031"/>
    <x v="3"/>
  </r>
  <r>
    <x v="18"/>
    <s v="FRA"/>
    <x v="2"/>
    <s v="NY.GDP.PCAP.KD"/>
    <x v="32"/>
    <n v="38868"/>
    <x v="1"/>
  </r>
  <r>
    <x v="18"/>
    <s v="FRA"/>
    <x v="2"/>
    <s v="NY.GDP.PCAP.KD"/>
    <x v="33"/>
    <n v="39319"/>
    <x v="1"/>
  </r>
  <r>
    <x v="18"/>
    <s v="FRA"/>
    <x v="2"/>
    <s v="NY.GDP.PCAP.KD"/>
    <x v="54"/>
    <n v="39683"/>
    <x v="2"/>
  </r>
  <r>
    <x v="19"/>
    <s v="FRO"/>
    <x v="2"/>
    <s v="NY.GDP.PCAP.KD"/>
    <x v="18"/>
    <n v="44623"/>
    <x v="2"/>
  </r>
  <r>
    <x v="19"/>
    <s v="FRO"/>
    <x v="2"/>
    <s v="NY.GDP.PCAP.KD"/>
    <x v="19"/>
    <n v="42378"/>
    <x v="2"/>
  </r>
  <r>
    <x v="19"/>
    <s v="FRO"/>
    <x v="2"/>
    <s v="NY.GDP.PCAP.KD"/>
    <x v="20"/>
    <n v="42334"/>
    <x v="2"/>
  </r>
  <r>
    <x v="19"/>
    <s v="FRO"/>
    <x v="2"/>
    <s v="NY.GDP.PCAP.KD"/>
    <x v="21"/>
    <n v="43946"/>
    <x v="2"/>
  </r>
  <r>
    <x v="19"/>
    <s v="FRO"/>
    <x v="2"/>
    <s v="NY.GDP.PCAP.KD"/>
    <x v="22"/>
    <n v="47304"/>
    <x v="2"/>
  </r>
  <r>
    <x v="19"/>
    <s v="FRO"/>
    <x v="2"/>
    <s v="NY.GDP.PCAP.KD"/>
    <x v="23"/>
    <n v="50121"/>
    <x v="2"/>
  </r>
  <r>
    <x v="19"/>
    <s v="FRO"/>
    <x v="2"/>
    <s v="NY.GDP.PCAP.KD"/>
    <x v="24"/>
    <n v="52645"/>
    <x v="2"/>
  </r>
  <r>
    <x v="19"/>
    <s v="FRO"/>
    <x v="2"/>
    <s v="NY.GDP.PCAP.KD"/>
    <x v="25"/>
    <n v="52637"/>
    <x v="2"/>
  </r>
  <r>
    <x v="19"/>
    <s v="FRO"/>
    <x v="2"/>
    <s v="NY.GDP.PCAP.KD"/>
    <x v="26"/>
    <n v="52757"/>
    <x v="2"/>
  </r>
  <r>
    <x v="19"/>
    <s v="FRO"/>
    <x v="2"/>
    <s v="NY.GDP.PCAP.KD"/>
    <x v="27"/>
    <n v="53831"/>
    <x v="3"/>
  </r>
  <r>
    <x v="19"/>
    <s v="FRO"/>
    <x v="2"/>
    <s v="NY.GDP.PCAP.KD"/>
    <x v="28"/>
    <n v="54434"/>
    <x v="3"/>
  </r>
  <r>
    <x v="19"/>
    <s v="FRO"/>
    <x v="2"/>
    <s v="NY.GDP.PCAP.KD"/>
    <x v="29"/>
    <n v="56029"/>
    <x v="3"/>
  </r>
  <r>
    <x v="45"/>
    <s v="ROU"/>
    <x v="2"/>
    <s v="NY.GDP.PCAP.KD"/>
    <x v="30"/>
    <n v="10854"/>
    <x v="3"/>
  </r>
  <r>
    <x v="19"/>
    <s v="FRO"/>
    <x v="2"/>
    <s v="NY.GDP.PCAP.KD"/>
    <x v="31"/>
    <n v="56270"/>
    <x v="3"/>
  </r>
  <r>
    <x v="19"/>
    <s v="FRO"/>
    <x v="2"/>
    <s v="NY.GDP.PCAP.KD"/>
    <x v="32"/>
    <n v="57775"/>
    <x v="6"/>
  </r>
  <r>
    <x v="19"/>
    <s v="FRO"/>
    <x v="2"/>
    <s v="NY.GDP.PCAP.KD"/>
    <x v="33"/>
    <n v="59050"/>
    <x v="6"/>
  </r>
  <r>
    <x v="19"/>
    <s v="FRO"/>
    <x v="2"/>
    <s v="NY.GDP.PCAP.KD"/>
    <x v="54"/>
    <n v="59258"/>
    <x v="6"/>
  </r>
  <r>
    <x v="20"/>
    <s v="GBR"/>
    <x v="2"/>
    <s v="NY.GDP.PCAP.KD"/>
    <x v="55"/>
    <n v="15324"/>
    <x v="6"/>
  </r>
  <r>
    <x v="20"/>
    <s v="GBR"/>
    <x v="2"/>
    <s v="NY.GDP.PCAP.KD"/>
    <x v="56"/>
    <n v="15618"/>
    <x v="6"/>
  </r>
  <r>
    <x v="20"/>
    <s v="GBR"/>
    <x v="2"/>
    <s v="NY.GDP.PCAP.KD"/>
    <x v="57"/>
    <n v="15657"/>
    <x v="6"/>
  </r>
  <r>
    <x v="20"/>
    <s v="GBR"/>
    <x v="2"/>
    <s v="NY.GDP.PCAP.KD"/>
    <x v="58"/>
    <n v="16295"/>
    <x v="6"/>
  </r>
  <r>
    <x v="20"/>
    <s v="GBR"/>
    <x v="2"/>
    <s v="NY.GDP.PCAP.KD"/>
    <x v="59"/>
    <n v="17095"/>
    <x v="6"/>
  </r>
  <r>
    <x v="20"/>
    <s v="GBR"/>
    <x v="2"/>
    <s v="NY.GDP.PCAP.KD"/>
    <x v="60"/>
    <n v="17347"/>
    <x v="6"/>
  </r>
  <r>
    <x v="20"/>
    <s v="GBR"/>
    <x v="2"/>
    <s v="NY.GDP.PCAP.KD"/>
    <x v="61"/>
    <n v="17522"/>
    <x v="6"/>
  </r>
  <r>
    <x v="20"/>
    <s v="GBR"/>
    <x v="2"/>
    <s v="NY.GDP.PCAP.KD"/>
    <x v="62"/>
    <n v="17912"/>
    <x v="4"/>
  </r>
  <r>
    <x v="20"/>
    <s v="GBR"/>
    <x v="2"/>
    <s v="NY.GDP.PCAP.KD"/>
    <x v="63"/>
    <n v="18801"/>
    <x v="4"/>
  </r>
  <r>
    <x v="20"/>
    <s v="GBR"/>
    <x v="2"/>
    <s v="NY.GDP.PCAP.KD"/>
    <x v="64"/>
    <n v="19086"/>
    <x v="4"/>
  </r>
  <r>
    <x v="20"/>
    <s v="GBR"/>
    <x v="2"/>
    <s v="NY.GDP.PCAP.KD"/>
    <x v="34"/>
    <n v="19525"/>
    <x v="4"/>
  </r>
  <r>
    <x v="20"/>
    <s v="GBR"/>
    <x v="2"/>
    <s v="NY.GDP.PCAP.KD"/>
    <x v="35"/>
    <n v="19833"/>
    <x v="4"/>
  </r>
  <r>
    <x v="20"/>
    <s v="GBR"/>
    <x v="2"/>
    <s v="NY.GDP.PCAP.KD"/>
    <x v="36"/>
    <n v="20483"/>
    <x v="4"/>
  </r>
  <r>
    <x v="20"/>
    <s v="GBR"/>
    <x v="2"/>
    <s v="NY.GDP.PCAP.KD"/>
    <x v="37"/>
    <n v="21938"/>
    <x v="4"/>
  </r>
  <r>
    <x v="20"/>
    <s v="GBR"/>
    <x v="2"/>
    <s v="NY.GDP.PCAP.KD"/>
    <x v="38"/>
    <n v="21556"/>
    <x v="4"/>
  </r>
  <r>
    <x v="20"/>
    <s v="GBR"/>
    <x v="2"/>
    <s v="NY.GDP.PCAP.KD"/>
    <x v="39"/>
    <n v="21412"/>
    <x v="4"/>
  </r>
  <r>
    <x v="20"/>
    <s v="GBR"/>
    <x v="2"/>
    <s v="NY.GDP.PCAP.KD"/>
    <x v="40"/>
    <n v="22018"/>
    <x v="4"/>
  </r>
  <r>
    <x v="20"/>
    <s v="GBR"/>
    <x v="2"/>
    <s v="NY.GDP.PCAP.KD"/>
    <x v="41"/>
    <n v="22546"/>
    <x v="5"/>
  </r>
  <r>
    <x v="20"/>
    <s v="GBR"/>
    <x v="2"/>
    <s v="NY.GDP.PCAP.KD"/>
    <x v="42"/>
    <n v="23312"/>
    <x v="5"/>
  </r>
  <r>
    <x v="20"/>
    <s v="GBR"/>
    <x v="2"/>
    <s v="NY.GDP.PCAP.KD"/>
    <x v="43"/>
    <n v="23930"/>
    <x v="5"/>
  </r>
  <r>
    <x v="20"/>
    <s v="GBR"/>
    <x v="2"/>
    <s v="NY.GDP.PCAP.KD"/>
    <x v="44"/>
    <n v="23381"/>
    <x v="5"/>
  </r>
  <r>
    <x v="20"/>
    <s v="GBR"/>
    <x v="2"/>
    <s v="NY.GDP.PCAP.KD"/>
    <x v="45"/>
    <n v="23064"/>
    <x v="5"/>
  </r>
  <r>
    <x v="20"/>
    <s v="GBR"/>
    <x v="2"/>
    <s v="NY.GDP.PCAP.KD"/>
    <x v="46"/>
    <n v="23555"/>
    <x v="5"/>
  </r>
  <r>
    <x v="20"/>
    <s v="GBR"/>
    <x v="2"/>
    <s v="NY.GDP.PCAP.KD"/>
    <x v="47"/>
    <n v="24400"/>
    <x v="5"/>
  </r>
  <r>
    <x v="20"/>
    <s v="GBR"/>
    <x v="2"/>
    <s v="NY.GDP.PCAP.KD"/>
    <x v="48"/>
    <n v="25012"/>
    <x v="5"/>
  </r>
  <r>
    <x v="20"/>
    <s v="GBR"/>
    <x v="2"/>
    <s v="NY.GDP.PCAP.KD"/>
    <x v="49"/>
    <n v="25854"/>
    <x v="5"/>
  </r>
  <r>
    <x v="20"/>
    <s v="GBR"/>
    <x v="2"/>
    <s v="NY.GDP.PCAP.KD"/>
    <x v="50"/>
    <n v="26829"/>
    <x v="5"/>
  </r>
  <r>
    <x v="20"/>
    <s v="GBR"/>
    <x v="2"/>
    <s v="NY.GDP.PCAP.KD"/>
    <x v="51"/>
    <n v="27993"/>
    <x v="0"/>
  </r>
  <r>
    <x v="20"/>
    <s v="GBR"/>
    <x v="2"/>
    <s v="NY.GDP.PCAP.KD"/>
    <x v="52"/>
    <n v="29337"/>
    <x v="0"/>
  </r>
  <r>
    <x v="20"/>
    <s v="GBR"/>
    <x v="2"/>
    <s v="NY.GDP.PCAP.KD"/>
    <x v="53"/>
    <n v="29928"/>
    <x v="0"/>
  </r>
  <r>
    <x v="20"/>
    <s v="GBR"/>
    <x v="2"/>
    <s v="NY.GDP.PCAP.KD"/>
    <x v="0"/>
    <n v="30071"/>
    <x v="0"/>
  </r>
  <r>
    <x v="20"/>
    <s v="GBR"/>
    <x v="2"/>
    <s v="NY.GDP.PCAP.KD"/>
    <x v="1"/>
    <n v="29591"/>
    <x v="0"/>
  </r>
  <r>
    <x v="20"/>
    <s v="GBR"/>
    <x v="2"/>
    <s v="NY.GDP.PCAP.KD"/>
    <x v="2"/>
    <n v="29893"/>
    <x v="0"/>
  </r>
  <r>
    <x v="20"/>
    <s v="GBR"/>
    <x v="2"/>
    <s v="NY.GDP.PCAP.KD"/>
    <x v="3"/>
    <n v="30862"/>
    <x v="0"/>
  </r>
  <r>
    <x v="20"/>
    <s v="GBR"/>
    <x v="2"/>
    <s v="NY.GDP.PCAP.KD"/>
    <x v="4"/>
    <n v="32309"/>
    <x v="0"/>
  </r>
  <r>
    <x v="20"/>
    <s v="GBR"/>
    <x v="2"/>
    <s v="NY.GDP.PCAP.KD"/>
    <x v="5"/>
    <n v="33362"/>
    <x v="0"/>
  </r>
  <r>
    <x v="20"/>
    <s v="GBR"/>
    <x v="2"/>
    <s v="NY.GDP.PCAP.KD"/>
    <x v="6"/>
    <n v="34147"/>
    <x v="0"/>
  </r>
  <r>
    <x v="20"/>
    <s v="GBR"/>
    <x v="2"/>
    <s v="NY.GDP.PCAP.KD"/>
    <x v="7"/>
    <n v="35722"/>
    <x v="1"/>
  </r>
  <r>
    <x v="20"/>
    <s v="GBR"/>
    <x v="2"/>
    <s v="NY.GDP.PCAP.KD"/>
    <x v="8"/>
    <n v="36774"/>
    <x v="1"/>
  </r>
  <r>
    <x v="20"/>
    <s v="GBR"/>
    <x v="2"/>
    <s v="NY.GDP.PCAP.KD"/>
    <x v="9"/>
    <n v="37731"/>
    <x v="1"/>
  </r>
  <r>
    <x v="20"/>
    <s v="GBR"/>
    <x v="2"/>
    <s v="NY.GDP.PCAP.KD"/>
    <x v="10"/>
    <n v="39297"/>
    <x v="1"/>
  </r>
  <r>
    <x v="20"/>
    <s v="GBR"/>
    <x v="2"/>
    <s v="NY.GDP.PCAP.KD"/>
    <x v="11"/>
    <n v="40082"/>
    <x v="1"/>
  </r>
  <r>
    <x v="20"/>
    <s v="GBR"/>
    <x v="2"/>
    <s v="NY.GDP.PCAP.KD"/>
    <x v="12"/>
    <n v="40595"/>
    <x v="1"/>
  </r>
  <r>
    <x v="20"/>
    <s v="GBR"/>
    <x v="2"/>
    <s v="NY.GDP.PCAP.KD"/>
    <x v="13"/>
    <n v="41707"/>
    <x v="1"/>
  </r>
  <r>
    <x v="20"/>
    <s v="GBR"/>
    <x v="2"/>
    <s v="NY.GDP.PCAP.KD"/>
    <x v="14"/>
    <n v="42435"/>
    <x v="1"/>
  </r>
  <r>
    <x v="20"/>
    <s v="GBR"/>
    <x v="2"/>
    <s v="NY.GDP.PCAP.KD"/>
    <x v="15"/>
    <n v="43321"/>
    <x v="1"/>
  </r>
  <r>
    <x v="20"/>
    <s v="GBR"/>
    <x v="2"/>
    <s v="NY.GDP.PCAP.KD"/>
    <x v="16"/>
    <n v="43945"/>
    <x v="1"/>
  </r>
  <r>
    <x v="20"/>
    <s v="GBR"/>
    <x v="2"/>
    <s v="NY.GDP.PCAP.KD"/>
    <x v="17"/>
    <n v="44882"/>
    <x v="2"/>
  </r>
  <r>
    <x v="20"/>
    <s v="GBR"/>
    <x v="2"/>
    <s v="NY.GDP.PCAP.KD"/>
    <x v="18"/>
    <n v="44508"/>
    <x v="2"/>
  </r>
  <r>
    <x v="20"/>
    <s v="GBR"/>
    <x v="2"/>
    <s v="NY.GDP.PCAP.KD"/>
    <x v="19"/>
    <n v="42147"/>
    <x v="2"/>
  </r>
  <r>
    <x v="20"/>
    <s v="GBR"/>
    <x v="2"/>
    <s v="NY.GDP.PCAP.KD"/>
    <x v="20"/>
    <n v="42763"/>
    <x v="2"/>
  </r>
  <r>
    <x v="20"/>
    <s v="GBR"/>
    <x v="2"/>
    <s v="NY.GDP.PCAP.KD"/>
    <x v="21"/>
    <n v="42791"/>
    <x v="2"/>
  </r>
  <r>
    <x v="20"/>
    <s v="GBR"/>
    <x v="2"/>
    <s v="NY.GDP.PCAP.KD"/>
    <x v="22"/>
    <n v="43137"/>
    <x v="2"/>
  </r>
  <r>
    <x v="20"/>
    <s v="GBR"/>
    <x v="2"/>
    <s v="NY.GDP.PCAP.KD"/>
    <x v="23"/>
    <n v="43585"/>
    <x v="2"/>
  </r>
  <r>
    <x v="20"/>
    <s v="GBR"/>
    <x v="2"/>
    <s v="NY.GDP.PCAP.KD"/>
    <x v="24"/>
    <n v="44628"/>
    <x v="2"/>
  </r>
  <r>
    <x v="20"/>
    <s v="GBR"/>
    <x v="2"/>
    <s v="NY.GDP.PCAP.KD"/>
    <x v="25"/>
    <n v="45255"/>
    <x v="2"/>
  </r>
  <r>
    <x v="20"/>
    <s v="GBR"/>
    <x v="2"/>
    <s v="NY.GDP.PCAP.KD"/>
    <x v="26"/>
    <n v="45888"/>
    <x v="2"/>
  </r>
  <r>
    <x v="20"/>
    <s v="GBR"/>
    <x v="2"/>
    <s v="NY.GDP.PCAP.KD"/>
    <x v="27"/>
    <n v="47018"/>
    <x v="3"/>
  </r>
  <r>
    <x v="20"/>
    <s v="GBR"/>
    <x v="2"/>
    <s v="NY.GDP.PCAP.KD"/>
    <x v="28"/>
    <n v="47515"/>
    <x v="3"/>
  </r>
  <r>
    <x v="20"/>
    <s v="GBR"/>
    <x v="2"/>
    <s v="NY.GDP.PCAP.KD"/>
    <x v="29"/>
    <n v="47865"/>
    <x v="3"/>
  </r>
  <r>
    <x v="54"/>
    <s v="TUR"/>
    <x v="2"/>
    <s v="NY.GDP.PCAP.KD"/>
    <x v="30"/>
    <n v="12339"/>
    <x v="3"/>
  </r>
  <r>
    <x v="20"/>
    <s v="GBR"/>
    <x v="2"/>
    <s v="NY.GDP.PCAP.KD"/>
    <x v="31"/>
    <n v="46487"/>
    <x v="3"/>
  </r>
  <r>
    <x v="20"/>
    <s v="GBR"/>
    <x v="2"/>
    <s v="NY.GDP.PCAP.KD"/>
    <x v="32"/>
    <n v="48433"/>
    <x v="6"/>
  </r>
  <r>
    <x v="20"/>
    <s v="GBR"/>
    <x v="2"/>
    <s v="NY.GDP.PCAP.KD"/>
    <x v="33"/>
    <n v="47935"/>
    <x v="6"/>
  </r>
  <r>
    <x v="20"/>
    <s v="GBR"/>
    <x v="2"/>
    <s v="NY.GDP.PCAP.KD"/>
    <x v="54"/>
    <n v="47961"/>
    <x v="6"/>
  </r>
  <r>
    <x v="21"/>
    <s v="GEO"/>
    <x v="2"/>
    <s v="NY.GDP.PCAP.KD"/>
    <x v="55"/>
    <n v="1438"/>
    <x v="6"/>
  </r>
  <r>
    <x v="21"/>
    <s v="GEO"/>
    <x v="2"/>
    <s v="NY.GDP.PCAP.KD"/>
    <x v="56"/>
    <n v="1485"/>
    <x v="6"/>
  </r>
  <r>
    <x v="21"/>
    <s v="GEO"/>
    <x v="2"/>
    <s v="NY.GDP.PCAP.KD"/>
    <x v="57"/>
    <n v="1537"/>
    <x v="6"/>
  </r>
  <r>
    <x v="21"/>
    <s v="GEO"/>
    <x v="2"/>
    <s v="NY.GDP.PCAP.KD"/>
    <x v="58"/>
    <n v="1578"/>
    <x v="6"/>
  </r>
  <r>
    <x v="21"/>
    <s v="GEO"/>
    <x v="2"/>
    <s v="NY.GDP.PCAP.KD"/>
    <x v="59"/>
    <n v="1641"/>
    <x v="6"/>
  </r>
  <r>
    <x v="21"/>
    <s v="GEO"/>
    <x v="2"/>
    <s v="NY.GDP.PCAP.KD"/>
    <x v="60"/>
    <n v="1790"/>
    <x v="6"/>
  </r>
  <r>
    <x v="21"/>
    <s v="GEO"/>
    <x v="2"/>
    <s v="NY.GDP.PCAP.KD"/>
    <x v="61"/>
    <n v="1903"/>
    <x v="6"/>
  </r>
  <r>
    <x v="21"/>
    <s v="GEO"/>
    <x v="2"/>
    <s v="NY.GDP.PCAP.KD"/>
    <x v="62"/>
    <n v="2002"/>
    <x v="4"/>
  </r>
  <r>
    <x v="21"/>
    <s v="GEO"/>
    <x v="2"/>
    <s v="NY.GDP.PCAP.KD"/>
    <x v="63"/>
    <n v="2073"/>
    <x v="4"/>
  </r>
  <r>
    <x v="21"/>
    <s v="GEO"/>
    <x v="2"/>
    <s v="NY.GDP.PCAP.KD"/>
    <x v="64"/>
    <n v="2151"/>
    <x v="4"/>
  </r>
  <r>
    <x v="21"/>
    <s v="GEO"/>
    <x v="2"/>
    <s v="NY.GDP.PCAP.KD"/>
    <x v="34"/>
    <n v="2387"/>
    <x v="4"/>
  </r>
  <r>
    <x v="21"/>
    <s v="GEO"/>
    <x v="2"/>
    <s v="NY.GDP.PCAP.KD"/>
    <x v="35"/>
    <n v="2421"/>
    <x v="4"/>
  </r>
  <r>
    <x v="21"/>
    <s v="GEO"/>
    <x v="2"/>
    <s v="NY.GDP.PCAP.KD"/>
    <x v="36"/>
    <n v="2465"/>
    <x v="4"/>
  </r>
  <r>
    <x v="21"/>
    <s v="GEO"/>
    <x v="2"/>
    <s v="NY.GDP.PCAP.KD"/>
    <x v="37"/>
    <n v="2602"/>
    <x v="4"/>
  </r>
  <r>
    <x v="21"/>
    <s v="GEO"/>
    <x v="2"/>
    <s v="NY.GDP.PCAP.KD"/>
    <x v="38"/>
    <n v="2806"/>
    <x v="4"/>
  </r>
  <r>
    <x v="21"/>
    <s v="GEO"/>
    <x v="2"/>
    <s v="NY.GDP.PCAP.KD"/>
    <x v="39"/>
    <n v="2991"/>
    <x v="4"/>
  </r>
  <r>
    <x v="21"/>
    <s v="GEO"/>
    <x v="2"/>
    <s v="NY.GDP.PCAP.KD"/>
    <x v="40"/>
    <n v="3151"/>
    <x v="4"/>
  </r>
  <r>
    <x v="21"/>
    <s v="GEO"/>
    <x v="2"/>
    <s v="NY.GDP.PCAP.KD"/>
    <x v="41"/>
    <n v="3345"/>
    <x v="5"/>
  </r>
  <r>
    <x v="21"/>
    <s v="GEO"/>
    <x v="2"/>
    <s v="NY.GDP.PCAP.KD"/>
    <x v="42"/>
    <n v="3573"/>
    <x v="5"/>
  </r>
  <r>
    <x v="21"/>
    <s v="GEO"/>
    <x v="2"/>
    <s v="NY.GDP.PCAP.KD"/>
    <x v="43"/>
    <n v="3808"/>
    <x v="5"/>
  </r>
  <r>
    <x v="21"/>
    <s v="GEO"/>
    <x v="2"/>
    <s v="NY.GDP.PCAP.KD"/>
    <x v="44"/>
    <n v="3949"/>
    <x v="5"/>
  </r>
  <r>
    <x v="21"/>
    <s v="GEO"/>
    <x v="2"/>
    <s v="NY.GDP.PCAP.KD"/>
    <x v="45"/>
    <n v="4123"/>
    <x v="5"/>
  </r>
  <r>
    <x v="21"/>
    <s v="GEO"/>
    <x v="2"/>
    <s v="NY.GDP.PCAP.KD"/>
    <x v="46"/>
    <n v="4170"/>
    <x v="5"/>
  </r>
  <r>
    <x v="21"/>
    <s v="GEO"/>
    <x v="2"/>
    <s v="NY.GDP.PCAP.KD"/>
    <x v="47"/>
    <n v="4311"/>
    <x v="5"/>
  </r>
  <r>
    <x v="21"/>
    <s v="GEO"/>
    <x v="2"/>
    <s v="NY.GDP.PCAP.KD"/>
    <x v="48"/>
    <n v="4507"/>
    <x v="5"/>
  </r>
  <r>
    <x v="21"/>
    <s v="GEO"/>
    <x v="2"/>
    <s v="NY.GDP.PCAP.KD"/>
    <x v="49"/>
    <n v="4688"/>
    <x v="5"/>
  </r>
  <r>
    <x v="21"/>
    <s v="GEO"/>
    <x v="2"/>
    <s v="NY.GDP.PCAP.KD"/>
    <x v="50"/>
    <n v="4267"/>
    <x v="5"/>
  </r>
  <r>
    <x v="21"/>
    <s v="GEO"/>
    <x v="2"/>
    <s v="NY.GDP.PCAP.KD"/>
    <x v="51"/>
    <n v="4286"/>
    <x v="0"/>
  </r>
  <r>
    <x v="21"/>
    <s v="GEO"/>
    <x v="2"/>
    <s v="NY.GDP.PCAP.KD"/>
    <x v="52"/>
    <n v="4479"/>
    <x v="0"/>
  </r>
  <r>
    <x v="21"/>
    <s v="GEO"/>
    <x v="2"/>
    <s v="NY.GDP.PCAP.KD"/>
    <x v="53"/>
    <n v="4146"/>
    <x v="0"/>
  </r>
  <r>
    <x v="21"/>
    <s v="GEO"/>
    <x v="2"/>
    <s v="NY.GDP.PCAP.KD"/>
    <x v="0"/>
    <n v="3534"/>
    <x v="0"/>
  </r>
  <r>
    <x v="21"/>
    <s v="GEO"/>
    <x v="2"/>
    <s v="NY.GDP.PCAP.KD"/>
    <x v="1"/>
    <n v="2769"/>
    <x v="0"/>
  </r>
  <r>
    <x v="21"/>
    <s v="GEO"/>
    <x v="2"/>
    <s v="NY.GDP.PCAP.KD"/>
    <x v="2"/>
    <n v="1514"/>
    <x v="0"/>
  </r>
  <r>
    <x v="21"/>
    <s v="GEO"/>
    <x v="2"/>
    <s v="NY.GDP.PCAP.KD"/>
    <x v="3"/>
    <n v="1062"/>
    <x v="0"/>
  </r>
  <r>
    <x v="21"/>
    <s v="GEO"/>
    <x v="2"/>
    <s v="NY.GDP.PCAP.KD"/>
    <x v="4"/>
    <n v="966"/>
    <x v="0"/>
  </r>
  <r>
    <x v="21"/>
    <s v="GEO"/>
    <x v="2"/>
    <s v="NY.GDP.PCAP.KD"/>
    <x v="5"/>
    <n v="1029"/>
    <x v="0"/>
  </r>
  <r>
    <x v="21"/>
    <s v="GEO"/>
    <x v="2"/>
    <s v="NY.GDP.PCAP.KD"/>
    <x v="6"/>
    <n v="1187"/>
    <x v="0"/>
  </r>
  <r>
    <x v="21"/>
    <s v="GEO"/>
    <x v="2"/>
    <s v="NY.GDP.PCAP.KD"/>
    <x v="7"/>
    <n v="1355"/>
    <x v="1"/>
  </r>
  <r>
    <x v="21"/>
    <s v="GEO"/>
    <x v="2"/>
    <s v="NY.GDP.PCAP.KD"/>
    <x v="8"/>
    <n v="1432"/>
    <x v="1"/>
  </r>
  <r>
    <x v="21"/>
    <s v="GEO"/>
    <x v="2"/>
    <s v="NY.GDP.PCAP.KD"/>
    <x v="9"/>
    <n v="1503"/>
    <x v="1"/>
  </r>
  <r>
    <x v="21"/>
    <s v="GEO"/>
    <x v="2"/>
    <s v="NY.GDP.PCAP.KD"/>
    <x v="10"/>
    <n v="1561"/>
    <x v="1"/>
  </r>
  <r>
    <x v="21"/>
    <s v="GEO"/>
    <x v="2"/>
    <s v="NY.GDP.PCAP.KD"/>
    <x v="11"/>
    <n v="1662"/>
    <x v="1"/>
  </r>
  <r>
    <x v="21"/>
    <s v="GEO"/>
    <x v="2"/>
    <s v="NY.GDP.PCAP.KD"/>
    <x v="12"/>
    <n v="1769"/>
    <x v="1"/>
  </r>
  <r>
    <x v="21"/>
    <s v="GEO"/>
    <x v="2"/>
    <s v="NY.GDP.PCAP.KD"/>
    <x v="13"/>
    <n v="1977"/>
    <x v="1"/>
  </r>
  <r>
    <x v="21"/>
    <s v="GEO"/>
    <x v="2"/>
    <s v="NY.GDP.PCAP.KD"/>
    <x v="14"/>
    <n v="2105"/>
    <x v="1"/>
  </r>
  <r>
    <x v="21"/>
    <s v="GEO"/>
    <x v="2"/>
    <s v="NY.GDP.PCAP.KD"/>
    <x v="15"/>
    <n v="2322"/>
    <x v="1"/>
  </r>
  <r>
    <x v="21"/>
    <s v="GEO"/>
    <x v="2"/>
    <s v="NY.GDP.PCAP.KD"/>
    <x v="16"/>
    <n v="2555"/>
    <x v="1"/>
  </r>
  <r>
    <x v="21"/>
    <s v="GEO"/>
    <x v="2"/>
    <s v="NY.GDP.PCAP.KD"/>
    <x v="17"/>
    <n v="2891"/>
    <x v="2"/>
  </r>
  <r>
    <x v="21"/>
    <s v="GEO"/>
    <x v="2"/>
    <s v="NY.GDP.PCAP.KD"/>
    <x v="18"/>
    <n v="2970"/>
    <x v="2"/>
  </r>
  <r>
    <x v="21"/>
    <s v="GEO"/>
    <x v="2"/>
    <s v="NY.GDP.PCAP.KD"/>
    <x v="19"/>
    <n v="2887"/>
    <x v="2"/>
  </r>
  <r>
    <x v="21"/>
    <s v="GEO"/>
    <x v="2"/>
    <s v="NY.GDP.PCAP.KD"/>
    <x v="20"/>
    <n v="3090"/>
    <x v="2"/>
  </r>
  <r>
    <x v="21"/>
    <s v="GEO"/>
    <x v="2"/>
    <s v="NY.GDP.PCAP.KD"/>
    <x v="21"/>
    <n v="3362"/>
    <x v="2"/>
  </r>
  <r>
    <x v="21"/>
    <s v="GEO"/>
    <x v="2"/>
    <s v="NY.GDP.PCAP.KD"/>
    <x v="22"/>
    <n v="3610"/>
    <x v="2"/>
  </r>
  <r>
    <x v="21"/>
    <s v="GEO"/>
    <x v="2"/>
    <s v="NY.GDP.PCAP.KD"/>
    <x v="23"/>
    <n v="3807"/>
    <x v="2"/>
  </r>
  <r>
    <x v="21"/>
    <s v="GEO"/>
    <x v="2"/>
    <s v="NY.GDP.PCAP.KD"/>
    <x v="24"/>
    <n v="3960"/>
    <x v="2"/>
  </r>
  <r>
    <x v="21"/>
    <s v="GEO"/>
    <x v="2"/>
    <s v="NY.GDP.PCAP.KD"/>
    <x v="25"/>
    <n v="4087"/>
    <x v="2"/>
  </r>
  <r>
    <x v="21"/>
    <s v="GEO"/>
    <x v="2"/>
    <s v="NY.GDP.PCAP.KD"/>
    <x v="26"/>
    <n v="4225"/>
    <x v="2"/>
  </r>
  <r>
    <x v="21"/>
    <s v="GEO"/>
    <x v="2"/>
    <s v="NY.GDP.PCAP.KD"/>
    <x v="27"/>
    <n v="4443"/>
    <x v="3"/>
  </r>
  <r>
    <x v="21"/>
    <s v="GEO"/>
    <x v="2"/>
    <s v="NY.GDP.PCAP.KD"/>
    <x v="28"/>
    <n v="4714"/>
    <x v="3"/>
  </r>
  <r>
    <x v="21"/>
    <s v="GEO"/>
    <x v="2"/>
    <s v="NY.GDP.PCAP.KD"/>
    <x v="29"/>
    <n v="4976"/>
    <x v="3"/>
  </r>
  <r>
    <x v="25"/>
    <s v="HRV"/>
    <x v="2"/>
    <s v="NY.GDP.PCAP.KD"/>
    <x v="30"/>
    <n v="13545"/>
    <x v="3"/>
  </r>
  <r>
    <x v="21"/>
    <s v="GEO"/>
    <x v="2"/>
    <s v="NY.GDP.PCAP.KD"/>
    <x v="31"/>
    <n v="5175"/>
    <x v="3"/>
  </r>
  <r>
    <x v="21"/>
    <s v="GEO"/>
    <x v="2"/>
    <s v="NY.GDP.PCAP.KD"/>
    <x v="32"/>
    <n v="5736"/>
    <x v="6"/>
  </r>
  <r>
    <x v="21"/>
    <s v="GEO"/>
    <x v="2"/>
    <s v="NY.GDP.PCAP.KD"/>
    <x v="33"/>
    <n v="6181"/>
    <x v="6"/>
  </r>
  <r>
    <x v="21"/>
    <s v="GEO"/>
    <x v="2"/>
    <s v="NY.GDP.PCAP.KD"/>
    <x v="54"/>
    <n v="6808"/>
    <x v="6"/>
  </r>
  <r>
    <x v="23"/>
    <s v="GRC"/>
    <x v="2"/>
    <s v="NY.GDP.PCAP.KD"/>
    <x v="55"/>
    <n v="4986"/>
    <x v="6"/>
  </r>
  <r>
    <x v="23"/>
    <s v="GRC"/>
    <x v="2"/>
    <s v="NY.GDP.PCAP.KD"/>
    <x v="56"/>
    <n v="5599"/>
    <x v="6"/>
  </r>
  <r>
    <x v="23"/>
    <s v="GRC"/>
    <x v="2"/>
    <s v="NY.GDP.PCAP.KD"/>
    <x v="57"/>
    <n v="5587"/>
    <x v="6"/>
  </r>
  <r>
    <x v="23"/>
    <s v="GRC"/>
    <x v="2"/>
    <s v="NY.GDP.PCAP.KD"/>
    <x v="58"/>
    <n v="6225"/>
    <x v="6"/>
  </r>
  <r>
    <x v="23"/>
    <s v="GRC"/>
    <x v="2"/>
    <s v="NY.GDP.PCAP.KD"/>
    <x v="59"/>
    <n v="6786"/>
    <x v="6"/>
  </r>
  <r>
    <x v="23"/>
    <s v="GRC"/>
    <x v="2"/>
    <s v="NY.GDP.PCAP.KD"/>
    <x v="60"/>
    <n v="7482"/>
    <x v="6"/>
  </r>
  <r>
    <x v="23"/>
    <s v="GRC"/>
    <x v="2"/>
    <s v="NY.GDP.PCAP.KD"/>
    <x v="61"/>
    <n v="7909"/>
    <x v="6"/>
  </r>
  <r>
    <x v="23"/>
    <s v="GRC"/>
    <x v="2"/>
    <s v="NY.GDP.PCAP.KD"/>
    <x v="62"/>
    <n v="8290"/>
    <x v="4"/>
  </r>
  <r>
    <x v="23"/>
    <s v="GRC"/>
    <x v="2"/>
    <s v="NY.GDP.PCAP.KD"/>
    <x v="63"/>
    <n v="8829"/>
    <x v="4"/>
  </r>
  <r>
    <x v="23"/>
    <s v="GRC"/>
    <x v="2"/>
    <s v="NY.GDP.PCAP.KD"/>
    <x v="64"/>
    <n v="9814"/>
    <x v="4"/>
  </r>
  <r>
    <x v="23"/>
    <s v="GRC"/>
    <x v="2"/>
    <s v="NY.GDP.PCAP.KD"/>
    <x v="34"/>
    <n v="10667"/>
    <x v="4"/>
  </r>
  <r>
    <x v="23"/>
    <s v="GRC"/>
    <x v="2"/>
    <s v="NY.GDP.PCAP.KD"/>
    <x v="35"/>
    <n v="11453"/>
    <x v="4"/>
  </r>
  <r>
    <x v="23"/>
    <s v="GRC"/>
    <x v="2"/>
    <s v="NY.GDP.PCAP.KD"/>
    <x v="36"/>
    <n v="12535"/>
    <x v="4"/>
  </r>
  <r>
    <x v="23"/>
    <s v="GRC"/>
    <x v="2"/>
    <s v="NY.GDP.PCAP.KD"/>
    <x v="37"/>
    <n v="13488"/>
    <x v="4"/>
  </r>
  <r>
    <x v="23"/>
    <s v="GRC"/>
    <x v="2"/>
    <s v="NY.GDP.PCAP.KD"/>
    <x v="38"/>
    <n v="12573"/>
    <x v="4"/>
  </r>
  <r>
    <x v="23"/>
    <s v="GRC"/>
    <x v="2"/>
    <s v="NY.GDP.PCAP.KD"/>
    <x v="39"/>
    <n v="13249"/>
    <x v="4"/>
  </r>
  <r>
    <x v="23"/>
    <s v="GRC"/>
    <x v="2"/>
    <s v="NY.GDP.PCAP.KD"/>
    <x v="40"/>
    <n v="13939"/>
    <x v="4"/>
  </r>
  <r>
    <x v="23"/>
    <s v="GRC"/>
    <x v="2"/>
    <s v="NY.GDP.PCAP.KD"/>
    <x v="41"/>
    <n v="14163"/>
    <x v="5"/>
  </r>
  <r>
    <x v="23"/>
    <s v="GRC"/>
    <x v="2"/>
    <s v="NY.GDP.PCAP.KD"/>
    <x v="42"/>
    <n v="14994"/>
    <x v="5"/>
  </r>
  <r>
    <x v="23"/>
    <s v="GRC"/>
    <x v="2"/>
    <s v="NY.GDP.PCAP.KD"/>
    <x v="43"/>
    <n v="15294"/>
    <x v="5"/>
  </r>
  <r>
    <x v="23"/>
    <s v="GRC"/>
    <x v="2"/>
    <s v="NY.GDP.PCAP.KD"/>
    <x v="44"/>
    <n v="15247"/>
    <x v="5"/>
  </r>
  <r>
    <x v="23"/>
    <s v="GRC"/>
    <x v="2"/>
    <s v="NY.GDP.PCAP.KD"/>
    <x v="45"/>
    <n v="14876"/>
    <x v="5"/>
  </r>
  <r>
    <x v="23"/>
    <s v="GRC"/>
    <x v="2"/>
    <s v="NY.GDP.PCAP.KD"/>
    <x v="46"/>
    <n v="14617"/>
    <x v="5"/>
  </r>
  <r>
    <x v="23"/>
    <s v="GRC"/>
    <x v="2"/>
    <s v="NY.GDP.PCAP.KD"/>
    <x v="47"/>
    <n v="14376"/>
    <x v="5"/>
  </r>
  <r>
    <x v="23"/>
    <s v="GRC"/>
    <x v="2"/>
    <s v="NY.GDP.PCAP.KD"/>
    <x v="48"/>
    <n v="14592"/>
    <x v="5"/>
  </r>
  <r>
    <x v="23"/>
    <s v="GRC"/>
    <x v="2"/>
    <s v="NY.GDP.PCAP.KD"/>
    <x v="49"/>
    <n v="14900"/>
    <x v="5"/>
  </r>
  <r>
    <x v="23"/>
    <s v="GRC"/>
    <x v="2"/>
    <s v="NY.GDP.PCAP.KD"/>
    <x v="50"/>
    <n v="14928"/>
    <x v="5"/>
  </r>
  <r>
    <x v="23"/>
    <s v="GRC"/>
    <x v="2"/>
    <s v="NY.GDP.PCAP.KD"/>
    <x v="51"/>
    <n v="14542"/>
    <x v="0"/>
  </r>
  <r>
    <x v="23"/>
    <s v="GRC"/>
    <x v="2"/>
    <s v="NY.GDP.PCAP.KD"/>
    <x v="52"/>
    <n v="15110"/>
    <x v="0"/>
  </r>
  <r>
    <x v="23"/>
    <s v="GRC"/>
    <x v="2"/>
    <s v="NY.GDP.PCAP.KD"/>
    <x v="53"/>
    <n v="15603"/>
    <x v="0"/>
  </r>
  <r>
    <x v="23"/>
    <s v="GRC"/>
    <x v="2"/>
    <s v="NY.GDP.PCAP.KD"/>
    <x v="0"/>
    <n v="15439"/>
    <x v="0"/>
  </r>
  <r>
    <x v="23"/>
    <s v="GRC"/>
    <x v="2"/>
    <s v="NY.GDP.PCAP.KD"/>
    <x v="1"/>
    <n v="15727"/>
    <x v="0"/>
  </r>
  <r>
    <x v="23"/>
    <s v="GRC"/>
    <x v="2"/>
    <s v="NY.GDP.PCAP.KD"/>
    <x v="2"/>
    <n v="15717"/>
    <x v="0"/>
  </r>
  <r>
    <x v="23"/>
    <s v="GRC"/>
    <x v="2"/>
    <s v="NY.GDP.PCAP.KD"/>
    <x v="3"/>
    <n v="15375"/>
    <x v="0"/>
  </r>
  <r>
    <x v="23"/>
    <s v="GRC"/>
    <x v="2"/>
    <s v="NY.GDP.PCAP.KD"/>
    <x v="4"/>
    <n v="15604"/>
    <x v="0"/>
  </r>
  <r>
    <x v="23"/>
    <s v="GRC"/>
    <x v="2"/>
    <s v="NY.GDP.PCAP.KD"/>
    <x v="5"/>
    <n v="15857"/>
    <x v="0"/>
  </r>
  <r>
    <x v="23"/>
    <s v="GRC"/>
    <x v="2"/>
    <s v="NY.GDP.PCAP.KD"/>
    <x v="6"/>
    <n v="16006"/>
    <x v="0"/>
  </r>
  <r>
    <x v="23"/>
    <s v="GRC"/>
    <x v="2"/>
    <s v="NY.GDP.PCAP.KD"/>
    <x v="7"/>
    <n v="16501"/>
    <x v="1"/>
  </r>
  <r>
    <x v="23"/>
    <s v="GRC"/>
    <x v="2"/>
    <s v="NY.GDP.PCAP.KD"/>
    <x v="8"/>
    <n v="16974"/>
    <x v="1"/>
  </r>
  <r>
    <x v="23"/>
    <s v="GRC"/>
    <x v="2"/>
    <s v="NY.GDP.PCAP.KD"/>
    <x v="9"/>
    <n v="17358"/>
    <x v="1"/>
  </r>
  <r>
    <x v="23"/>
    <s v="GRC"/>
    <x v="2"/>
    <s v="NY.GDP.PCAP.KD"/>
    <x v="10"/>
    <n v="18003"/>
    <x v="1"/>
  </r>
  <r>
    <x v="23"/>
    <s v="GRC"/>
    <x v="2"/>
    <s v="NY.GDP.PCAP.KD"/>
    <x v="11"/>
    <n v="18742"/>
    <x v="1"/>
  </r>
  <r>
    <x v="23"/>
    <s v="GRC"/>
    <x v="2"/>
    <s v="NY.GDP.PCAP.KD"/>
    <x v="12"/>
    <n v="19548"/>
    <x v="1"/>
  </r>
  <r>
    <x v="23"/>
    <s v="GRC"/>
    <x v="2"/>
    <s v="NY.GDP.PCAP.KD"/>
    <x v="13"/>
    <n v="20632"/>
    <x v="1"/>
  </r>
  <r>
    <x v="23"/>
    <s v="GRC"/>
    <x v="2"/>
    <s v="NY.GDP.PCAP.KD"/>
    <x v="14"/>
    <n v="21688"/>
    <x v="1"/>
  </r>
  <r>
    <x v="23"/>
    <s v="GRC"/>
    <x v="2"/>
    <s v="NY.GDP.PCAP.KD"/>
    <x v="15"/>
    <n v="21881"/>
    <x v="1"/>
  </r>
  <r>
    <x v="23"/>
    <s v="GRC"/>
    <x v="2"/>
    <s v="NY.GDP.PCAP.KD"/>
    <x v="16"/>
    <n v="23221"/>
    <x v="1"/>
  </r>
  <r>
    <x v="23"/>
    <s v="GRC"/>
    <x v="2"/>
    <s v="NY.GDP.PCAP.KD"/>
    <x v="17"/>
    <n v="23974"/>
    <x v="2"/>
  </r>
  <r>
    <x v="23"/>
    <s v="GRC"/>
    <x v="2"/>
    <s v="NY.GDP.PCAP.KD"/>
    <x v="18"/>
    <n v="23924"/>
    <x v="2"/>
  </r>
  <r>
    <x v="23"/>
    <s v="GRC"/>
    <x v="2"/>
    <s v="NY.GDP.PCAP.KD"/>
    <x v="19"/>
    <n v="22878"/>
    <x v="2"/>
  </r>
  <r>
    <x v="23"/>
    <s v="GRC"/>
    <x v="2"/>
    <s v="NY.GDP.PCAP.KD"/>
    <x v="20"/>
    <n v="21548"/>
    <x v="2"/>
  </r>
  <r>
    <x v="23"/>
    <s v="GRC"/>
    <x v="2"/>
    <s v="NY.GDP.PCAP.KD"/>
    <x v="21"/>
    <n v="19448"/>
    <x v="2"/>
  </r>
  <r>
    <x v="23"/>
    <s v="GRC"/>
    <x v="2"/>
    <s v="NY.GDP.PCAP.KD"/>
    <x v="22"/>
    <n v="17925"/>
    <x v="2"/>
  </r>
  <r>
    <x v="23"/>
    <s v="GRC"/>
    <x v="2"/>
    <s v="NY.GDP.PCAP.KD"/>
    <x v="23"/>
    <n v="17645"/>
    <x v="2"/>
  </r>
  <r>
    <x v="23"/>
    <s v="GRC"/>
    <x v="2"/>
    <s v="NY.GDP.PCAP.KD"/>
    <x v="24"/>
    <n v="17904"/>
    <x v="2"/>
  </r>
  <r>
    <x v="23"/>
    <s v="GRC"/>
    <x v="2"/>
    <s v="NY.GDP.PCAP.KD"/>
    <x v="25"/>
    <n v="17981"/>
    <x v="2"/>
  </r>
  <r>
    <x v="23"/>
    <s v="GRC"/>
    <x v="2"/>
    <s v="NY.GDP.PCAP.KD"/>
    <x v="26"/>
    <n v="18050"/>
    <x v="2"/>
  </r>
  <r>
    <x v="23"/>
    <s v="GRC"/>
    <x v="2"/>
    <s v="NY.GDP.PCAP.KD"/>
    <x v="27"/>
    <n v="18352"/>
    <x v="3"/>
  </r>
  <r>
    <x v="23"/>
    <s v="GRC"/>
    <x v="2"/>
    <s v="NY.GDP.PCAP.KD"/>
    <x v="28"/>
    <n v="18769"/>
    <x v="3"/>
  </r>
  <r>
    <x v="23"/>
    <s v="GRC"/>
    <x v="2"/>
    <s v="NY.GDP.PCAP.KD"/>
    <x v="29"/>
    <n v="19217"/>
    <x v="3"/>
  </r>
  <r>
    <x v="26"/>
    <s v="HUN"/>
    <x v="2"/>
    <s v="NY.GDP.PCAP.KD"/>
    <x v="30"/>
    <n v="14664"/>
    <x v="3"/>
  </r>
  <r>
    <x v="23"/>
    <s v="GRC"/>
    <x v="2"/>
    <s v="NY.GDP.PCAP.KD"/>
    <x v="31"/>
    <n v="19233"/>
    <x v="3"/>
  </r>
  <r>
    <x v="23"/>
    <s v="GRC"/>
    <x v="2"/>
    <s v="NY.GDP.PCAP.KD"/>
    <x v="32"/>
    <n v="20552"/>
    <x v="4"/>
  </r>
  <r>
    <x v="23"/>
    <s v="GRC"/>
    <x v="2"/>
    <s v="NY.GDP.PCAP.KD"/>
    <x v="33"/>
    <n v="21051"/>
    <x v="4"/>
  </r>
  <r>
    <x v="23"/>
    <s v="GRC"/>
    <x v="2"/>
    <s v="NY.GDP.PCAP.KD"/>
    <x v="54"/>
    <n v="21495"/>
    <x v="4"/>
  </r>
  <r>
    <x v="24"/>
    <s v="GRL"/>
    <x v="2"/>
    <s v="NY.GDP.PCAP.KD"/>
    <x v="34"/>
    <n v="15375"/>
    <x v="4"/>
  </r>
  <r>
    <x v="24"/>
    <s v="GRL"/>
    <x v="2"/>
    <s v="NY.GDP.PCAP.KD"/>
    <x v="35"/>
    <n v="17089"/>
    <x v="4"/>
  </r>
  <r>
    <x v="24"/>
    <s v="GRL"/>
    <x v="2"/>
    <s v="NY.GDP.PCAP.KD"/>
    <x v="36"/>
    <n v="17731"/>
    <x v="4"/>
  </r>
  <r>
    <x v="24"/>
    <s v="GRL"/>
    <x v="2"/>
    <s v="NY.GDP.PCAP.KD"/>
    <x v="37"/>
    <n v="18667"/>
    <x v="4"/>
  </r>
  <r>
    <x v="24"/>
    <s v="GRL"/>
    <x v="2"/>
    <s v="NY.GDP.PCAP.KD"/>
    <x v="38"/>
    <n v="19533"/>
    <x v="4"/>
  </r>
  <r>
    <x v="24"/>
    <s v="GRL"/>
    <x v="2"/>
    <s v="NY.GDP.PCAP.KD"/>
    <x v="39"/>
    <n v="19620"/>
    <x v="4"/>
  </r>
  <r>
    <x v="24"/>
    <s v="GRL"/>
    <x v="2"/>
    <s v="NY.GDP.PCAP.KD"/>
    <x v="40"/>
    <n v="20747"/>
    <x v="4"/>
  </r>
  <r>
    <x v="24"/>
    <s v="GRL"/>
    <x v="2"/>
    <s v="NY.GDP.PCAP.KD"/>
    <x v="41"/>
    <n v="22715"/>
    <x v="5"/>
  </r>
  <r>
    <x v="24"/>
    <s v="GRL"/>
    <x v="2"/>
    <s v="NY.GDP.PCAP.KD"/>
    <x v="42"/>
    <n v="24179"/>
    <x v="5"/>
  </r>
  <r>
    <x v="24"/>
    <s v="GRL"/>
    <x v="2"/>
    <s v="NY.GDP.PCAP.KD"/>
    <x v="43"/>
    <n v="25150"/>
    <x v="5"/>
  </r>
  <r>
    <x v="24"/>
    <s v="GRL"/>
    <x v="2"/>
    <s v="NY.GDP.PCAP.KD"/>
    <x v="44"/>
    <n v="27005"/>
    <x v="5"/>
  </r>
  <r>
    <x v="24"/>
    <s v="GRL"/>
    <x v="2"/>
    <s v="NY.GDP.PCAP.KD"/>
    <x v="45"/>
    <n v="26759"/>
    <x v="5"/>
  </r>
  <r>
    <x v="24"/>
    <s v="GRL"/>
    <x v="2"/>
    <s v="NY.GDP.PCAP.KD"/>
    <x v="46"/>
    <n v="25328"/>
    <x v="5"/>
  </r>
  <r>
    <x v="24"/>
    <s v="GRL"/>
    <x v="2"/>
    <s v="NY.GDP.PCAP.KD"/>
    <x v="47"/>
    <n v="25901"/>
    <x v="5"/>
  </r>
  <r>
    <x v="24"/>
    <s v="GRL"/>
    <x v="2"/>
    <s v="NY.GDP.PCAP.KD"/>
    <x v="48"/>
    <n v="24280"/>
    <x v="5"/>
  </r>
  <r>
    <x v="24"/>
    <s v="GRL"/>
    <x v="2"/>
    <s v="NY.GDP.PCAP.KD"/>
    <x v="49"/>
    <n v="24931"/>
    <x v="5"/>
  </r>
  <r>
    <x v="24"/>
    <s v="GRL"/>
    <x v="2"/>
    <s v="NY.GDP.PCAP.KD"/>
    <x v="50"/>
    <n v="26551"/>
    <x v="5"/>
  </r>
  <r>
    <x v="24"/>
    <s v="GRL"/>
    <x v="2"/>
    <s v="NY.GDP.PCAP.KD"/>
    <x v="51"/>
    <n v="27705"/>
    <x v="0"/>
  </r>
  <r>
    <x v="24"/>
    <s v="GRL"/>
    <x v="2"/>
    <s v="NY.GDP.PCAP.KD"/>
    <x v="52"/>
    <n v="28884"/>
    <x v="0"/>
  </r>
  <r>
    <x v="24"/>
    <s v="GRL"/>
    <x v="2"/>
    <s v="NY.GDP.PCAP.KD"/>
    <x v="53"/>
    <n v="30529"/>
    <x v="0"/>
  </r>
  <r>
    <x v="24"/>
    <s v="GRL"/>
    <x v="2"/>
    <s v="NY.GDP.PCAP.KD"/>
    <x v="0"/>
    <n v="26806"/>
    <x v="0"/>
  </r>
  <r>
    <x v="24"/>
    <s v="GRL"/>
    <x v="2"/>
    <s v="NY.GDP.PCAP.KD"/>
    <x v="1"/>
    <n v="26823"/>
    <x v="0"/>
  </r>
  <r>
    <x v="24"/>
    <s v="GRL"/>
    <x v="2"/>
    <s v="NY.GDP.PCAP.KD"/>
    <x v="2"/>
    <n v="25544"/>
    <x v="0"/>
  </r>
  <r>
    <x v="24"/>
    <s v="GRL"/>
    <x v="2"/>
    <s v="NY.GDP.PCAP.KD"/>
    <x v="3"/>
    <n v="24304"/>
    <x v="0"/>
  </r>
  <r>
    <x v="24"/>
    <s v="GRL"/>
    <x v="2"/>
    <s v="NY.GDP.PCAP.KD"/>
    <x v="4"/>
    <n v="25605"/>
    <x v="0"/>
  </r>
  <r>
    <x v="24"/>
    <s v="GRL"/>
    <x v="2"/>
    <s v="NY.GDP.PCAP.KD"/>
    <x v="5"/>
    <n v="26417"/>
    <x v="0"/>
  </r>
  <r>
    <x v="24"/>
    <s v="GRL"/>
    <x v="2"/>
    <s v="NY.GDP.PCAP.KD"/>
    <x v="6"/>
    <n v="26773"/>
    <x v="0"/>
  </r>
  <r>
    <x v="24"/>
    <s v="GRL"/>
    <x v="2"/>
    <s v="NY.GDP.PCAP.KD"/>
    <x v="7"/>
    <n v="27117"/>
    <x v="1"/>
  </r>
  <r>
    <x v="24"/>
    <s v="GRL"/>
    <x v="2"/>
    <s v="NY.GDP.PCAP.KD"/>
    <x v="8"/>
    <n v="29169"/>
    <x v="1"/>
  </r>
  <r>
    <x v="24"/>
    <s v="GRL"/>
    <x v="2"/>
    <s v="NY.GDP.PCAP.KD"/>
    <x v="9"/>
    <n v="29571"/>
    <x v="1"/>
  </r>
  <r>
    <x v="24"/>
    <s v="GRL"/>
    <x v="2"/>
    <s v="NY.GDP.PCAP.KD"/>
    <x v="10"/>
    <n v="31623"/>
    <x v="1"/>
  </r>
  <r>
    <x v="24"/>
    <s v="GRL"/>
    <x v="2"/>
    <s v="NY.GDP.PCAP.KD"/>
    <x v="11"/>
    <n v="31914"/>
    <x v="1"/>
  </r>
  <r>
    <x v="24"/>
    <s v="GRL"/>
    <x v="2"/>
    <s v="NY.GDP.PCAP.KD"/>
    <x v="12"/>
    <n v="31484"/>
    <x v="1"/>
  </r>
  <r>
    <x v="24"/>
    <s v="GRL"/>
    <x v="2"/>
    <s v="NY.GDP.PCAP.KD"/>
    <x v="13"/>
    <n v="32788"/>
    <x v="1"/>
  </r>
  <r>
    <x v="24"/>
    <s v="GRL"/>
    <x v="2"/>
    <s v="NY.GDP.PCAP.KD"/>
    <x v="14"/>
    <n v="34962"/>
    <x v="1"/>
  </r>
  <r>
    <x v="24"/>
    <s v="GRL"/>
    <x v="2"/>
    <s v="NY.GDP.PCAP.KD"/>
    <x v="15"/>
    <n v="36682"/>
    <x v="1"/>
  </r>
  <r>
    <x v="24"/>
    <s v="GRL"/>
    <x v="2"/>
    <s v="NY.GDP.PCAP.KD"/>
    <x v="16"/>
    <n v="38829"/>
    <x v="1"/>
  </r>
  <r>
    <x v="24"/>
    <s v="GRL"/>
    <x v="2"/>
    <s v="NY.GDP.PCAP.KD"/>
    <x v="17"/>
    <n v="39897"/>
    <x v="2"/>
  </r>
  <r>
    <x v="24"/>
    <s v="GRL"/>
    <x v="2"/>
    <s v="NY.GDP.PCAP.KD"/>
    <x v="18"/>
    <n v="42528"/>
    <x v="2"/>
  </r>
  <r>
    <x v="24"/>
    <s v="GRL"/>
    <x v="2"/>
    <s v="NY.GDP.PCAP.KD"/>
    <x v="19"/>
    <n v="42900"/>
    <x v="2"/>
  </r>
  <r>
    <x v="24"/>
    <s v="GRL"/>
    <x v="2"/>
    <s v="NY.GDP.PCAP.KD"/>
    <x v="20"/>
    <n v="43482"/>
    <x v="2"/>
  </r>
  <r>
    <x v="24"/>
    <s v="GRL"/>
    <x v="2"/>
    <s v="NY.GDP.PCAP.KD"/>
    <x v="21"/>
    <n v="42995"/>
    <x v="2"/>
  </r>
  <r>
    <x v="24"/>
    <s v="GRL"/>
    <x v="2"/>
    <s v="NY.GDP.PCAP.KD"/>
    <x v="22"/>
    <n v="43656"/>
    <x v="2"/>
  </r>
  <r>
    <x v="24"/>
    <s v="GRL"/>
    <x v="2"/>
    <s v="NY.GDP.PCAP.KD"/>
    <x v="23"/>
    <n v="43338"/>
    <x v="2"/>
  </r>
  <r>
    <x v="24"/>
    <s v="GRL"/>
    <x v="2"/>
    <s v="NY.GDP.PCAP.KD"/>
    <x v="24"/>
    <n v="45545"/>
    <x v="2"/>
  </r>
  <r>
    <x v="24"/>
    <s v="GRL"/>
    <x v="2"/>
    <s v="NY.GDP.PCAP.KD"/>
    <x v="25"/>
    <n v="44536"/>
    <x v="2"/>
  </r>
  <r>
    <x v="24"/>
    <s v="GRL"/>
    <x v="2"/>
    <s v="NY.GDP.PCAP.KD"/>
    <x v="26"/>
    <n v="46562"/>
    <x v="2"/>
  </r>
  <r>
    <x v="24"/>
    <s v="GRL"/>
    <x v="2"/>
    <s v="NY.GDP.PCAP.KD"/>
    <x v="27"/>
    <n v="46598"/>
    <x v="3"/>
  </r>
  <r>
    <x v="24"/>
    <s v="GRL"/>
    <x v="2"/>
    <s v="NY.GDP.PCAP.KD"/>
    <x v="28"/>
    <n v="47013"/>
    <x v="3"/>
  </r>
  <r>
    <x v="24"/>
    <s v="GRL"/>
    <x v="2"/>
    <s v="NY.GDP.PCAP.KD"/>
    <x v="29"/>
    <n v="48171"/>
    <x v="3"/>
  </r>
  <r>
    <x v="36"/>
    <s v="LVA"/>
    <x v="2"/>
    <s v="NY.GDP.PCAP.KD"/>
    <x v="30"/>
    <n v="14901"/>
    <x v="3"/>
  </r>
  <r>
    <x v="24"/>
    <s v="GRL"/>
    <x v="2"/>
    <s v="NY.GDP.PCAP.KD"/>
    <x v="31"/>
    <n v="48710"/>
    <x v="0"/>
  </r>
  <r>
    <x v="24"/>
    <s v="GRL"/>
    <x v="2"/>
    <s v="NY.GDP.PCAP.KD"/>
    <x v="32"/>
    <n v="49679"/>
    <x v="0"/>
  </r>
  <r>
    <x v="24"/>
    <s v="GRL"/>
    <x v="2"/>
    <s v="NY.GDP.PCAP.KD"/>
    <x v="33"/>
    <n v="49930"/>
    <x v="0"/>
  </r>
  <r>
    <x v="25"/>
    <s v="HRV"/>
    <x v="2"/>
    <s v="NY.GDP.PCAP.KD"/>
    <x v="0"/>
    <n v="9755"/>
    <x v="0"/>
  </r>
  <r>
    <x v="25"/>
    <s v="HRV"/>
    <x v="2"/>
    <s v="NY.GDP.PCAP.KD"/>
    <x v="1"/>
    <n v="7843"/>
    <x v="0"/>
  </r>
  <r>
    <x v="25"/>
    <s v="HRV"/>
    <x v="2"/>
    <s v="NY.GDP.PCAP.KD"/>
    <x v="2"/>
    <n v="7095"/>
    <x v="0"/>
  </r>
  <r>
    <x v="25"/>
    <s v="HRV"/>
    <x v="2"/>
    <s v="NY.GDP.PCAP.KD"/>
    <x v="3"/>
    <n v="6491"/>
    <x v="0"/>
  </r>
  <r>
    <x v="25"/>
    <s v="HRV"/>
    <x v="2"/>
    <s v="NY.GDP.PCAP.KD"/>
    <x v="4"/>
    <n v="6796"/>
    <x v="0"/>
  </r>
  <r>
    <x v="25"/>
    <s v="HRV"/>
    <x v="2"/>
    <s v="NY.GDP.PCAP.KD"/>
    <x v="5"/>
    <n v="7305"/>
    <x v="0"/>
  </r>
  <r>
    <x v="25"/>
    <s v="HRV"/>
    <x v="2"/>
    <s v="NY.GDP.PCAP.KD"/>
    <x v="6"/>
    <n v="7858"/>
    <x v="0"/>
  </r>
  <r>
    <x v="25"/>
    <s v="HRV"/>
    <x v="2"/>
    <s v="NY.GDP.PCAP.KD"/>
    <x v="7"/>
    <n v="8383"/>
    <x v="1"/>
  </r>
  <r>
    <x v="25"/>
    <s v="HRV"/>
    <x v="2"/>
    <s v="NY.GDP.PCAP.KD"/>
    <x v="8"/>
    <n v="8578"/>
    <x v="1"/>
  </r>
  <r>
    <x v="25"/>
    <s v="HRV"/>
    <x v="2"/>
    <s v="NY.GDP.PCAP.KD"/>
    <x v="9"/>
    <n v="8542"/>
    <x v="1"/>
  </r>
  <r>
    <x v="25"/>
    <s v="HRV"/>
    <x v="2"/>
    <s v="NY.GDP.PCAP.KD"/>
    <x v="10"/>
    <n v="8880"/>
    <x v="1"/>
  </r>
  <r>
    <x v="25"/>
    <s v="HRV"/>
    <x v="2"/>
    <s v="NY.GDP.PCAP.KD"/>
    <x v="11"/>
    <n v="9516"/>
    <x v="1"/>
  </r>
  <r>
    <x v="25"/>
    <s v="HRV"/>
    <x v="2"/>
    <s v="NY.GDP.PCAP.KD"/>
    <x v="12"/>
    <n v="10062"/>
    <x v="1"/>
  </r>
  <r>
    <x v="25"/>
    <s v="HRV"/>
    <x v="2"/>
    <s v="NY.GDP.PCAP.KD"/>
    <x v="13"/>
    <n v="10619"/>
    <x v="1"/>
  </r>
  <r>
    <x v="25"/>
    <s v="HRV"/>
    <x v="2"/>
    <s v="NY.GDP.PCAP.KD"/>
    <x v="14"/>
    <n v="11059"/>
    <x v="1"/>
  </r>
  <r>
    <x v="25"/>
    <s v="HRV"/>
    <x v="2"/>
    <s v="NY.GDP.PCAP.KD"/>
    <x v="15"/>
    <n v="11523"/>
    <x v="1"/>
  </r>
  <r>
    <x v="25"/>
    <s v="HRV"/>
    <x v="2"/>
    <s v="NY.GDP.PCAP.KD"/>
    <x v="16"/>
    <n v="12104"/>
    <x v="1"/>
  </r>
  <r>
    <x v="25"/>
    <s v="HRV"/>
    <x v="2"/>
    <s v="NY.GDP.PCAP.KD"/>
    <x v="17"/>
    <n v="12718"/>
    <x v="2"/>
  </r>
  <r>
    <x v="25"/>
    <s v="HRV"/>
    <x v="2"/>
    <s v="NY.GDP.PCAP.KD"/>
    <x v="18"/>
    <n v="12970"/>
    <x v="2"/>
  </r>
  <r>
    <x v="25"/>
    <s v="HRV"/>
    <x v="2"/>
    <s v="NY.GDP.PCAP.KD"/>
    <x v="19"/>
    <n v="12100"/>
    <x v="2"/>
  </r>
  <r>
    <x v="25"/>
    <s v="HRV"/>
    <x v="2"/>
    <s v="NY.GDP.PCAP.KD"/>
    <x v="20"/>
    <n v="11965"/>
    <x v="2"/>
  </r>
  <r>
    <x v="25"/>
    <s v="HRV"/>
    <x v="2"/>
    <s v="NY.GDP.PCAP.KD"/>
    <x v="21"/>
    <n v="11993"/>
    <x v="2"/>
  </r>
  <r>
    <x v="25"/>
    <s v="HRV"/>
    <x v="2"/>
    <s v="NY.GDP.PCAP.KD"/>
    <x v="22"/>
    <n v="11780"/>
    <x v="2"/>
  </r>
  <r>
    <x v="25"/>
    <s v="HRV"/>
    <x v="2"/>
    <s v="NY.GDP.PCAP.KD"/>
    <x v="23"/>
    <n v="11838"/>
    <x v="2"/>
  </r>
  <r>
    <x v="25"/>
    <s v="HRV"/>
    <x v="2"/>
    <s v="NY.GDP.PCAP.KD"/>
    <x v="24"/>
    <n v="11863"/>
    <x v="2"/>
  </r>
  <r>
    <x v="25"/>
    <s v="HRV"/>
    <x v="2"/>
    <s v="NY.GDP.PCAP.KD"/>
    <x v="25"/>
    <n v="12284"/>
    <x v="2"/>
  </r>
  <r>
    <x v="25"/>
    <s v="HRV"/>
    <x v="2"/>
    <s v="NY.GDP.PCAP.KD"/>
    <x v="26"/>
    <n v="12848"/>
    <x v="2"/>
  </r>
  <r>
    <x v="25"/>
    <s v="HRV"/>
    <x v="2"/>
    <s v="NY.GDP.PCAP.KD"/>
    <x v="27"/>
    <n v="13485"/>
    <x v="3"/>
  </r>
  <r>
    <x v="25"/>
    <s v="HRV"/>
    <x v="2"/>
    <s v="NY.GDP.PCAP.KD"/>
    <x v="28"/>
    <n v="14061"/>
    <x v="3"/>
  </r>
  <r>
    <x v="25"/>
    <s v="HRV"/>
    <x v="2"/>
    <s v="NY.GDP.PCAP.KD"/>
    <x v="29"/>
    <n v="14642"/>
    <x v="3"/>
  </r>
  <r>
    <x v="43"/>
    <s v="POL"/>
    <x v="2"/>
    <s v="NY.GDP.PCAP.KD"/>
    <x v="30"/>
    <n v="15090"/>
    <x v="3"/>
  </r>
  <r>
    <x v="25"/>
    <s v="HRV"/>
    <x v="2"/>
    <s v="NY.GDP.PCAP.KD"/>
    <x v="31"/>
    <n v="15395"/>
    <x v="3"/>
  </r>
  <r>
    <x v="25"/>
    <s v="HRV"/>
    <x v="2"/>
    <s v="NY.GDP.PCAP.KD"/>
    <x v="32"/>
    <n v="16618"/>
    <x v="6"/>
  </r>
  <r>
    <x v="25"/>
    <s v="HRV"/>
    <x v="2"/>
    <s v="NY.GDP.PCAP.KD"/>
    <x v="33"/>
    <n v="17225"/>
    <x v="6"/>
  </r>
  <r>
    <x v="25"/>
    <s v="HRV"/>
    <x v="2"/>
    <s v="NY.GDP.PCAP.KD"/>
    <x v="54"/>
    <n v="17854"/>
    <x v="6"/>
  </r>
  <r>
    <x v="26"/>
    <s v="HUN"/>
    <x v="2"/>
    <s v="NY.GDP.PCAP.KD"/>
    <x v="55"/>
    <n v="2084"/>
    <x v="6"/>
  </r>
  <r>
    <x v="26"/>
    <s v="HUN"/>
    <x v="2"/>
    <s v="NY.GDP.PCAP.KD"/>
    <x v="56"/>
    <n v="2172"/>
    <x v="6"/>
  </r>
  <r>
    <x v="26"/>
    <s v="HUN"/>
    <x v="2"/>
    <s v="NY.GDP.PCAP.KD"/>
    <x v="57"/>
    <n v="2297"/>
    <x v="6"/>
  </r>
  <r>
    <x v="26"/>
    <s v="HUN"/>
    <x v="2"/>
    <s v="NY.GDP.PCAP.KD"/>
    <x v="58"/>
    <n v="2421"/>
    <x v="6"/>
  </r>
  <r>
    <x v="26"/>
    <s v="HUN"/>
    <x v="2"/>
    <s v="NY.GDP.PCAP.KD"/>
    <x v="59"/>
    <n v="2527"/>
    <x v="6"/>
  </r>
  <r>
    <x v="26"/>
    <s v="HUN"/>
    <x v="2"/>
    <s v="NY.GDP.PCAP.KD"/>
    <x v="60"/>
    <n v="3589"/>
    <x v="6"/>
  </r>
  <r>
    <x v="26"/>
    <s v="HUN"/>
    <x v="2"/>
    <s v="NY.GDP.PCAP.KD"/>
    <x v="61"/>
    <n v="3843"/>
    <x v="6"/>
  </r>
  <r>
    <x v="26"/>
    <s v="HUN"/>
    <x v="2"/>
    <s v="NY.GDP.PCAP.KD"/>
    <x v="62"/>
    <n v="4116"/>
    <x v="4"/>
  </r>
  <r>
    <x v="26"/>
    <s v="HUN"/>
    <x v="2"/>
    <s v="NY.GDP.PCAP.KD"/>
    <x v="63"/>
    <n v="4301"/>
    <x v="4"/>
  </r>
  <r>
    <x v="26"/>
    <s v="HUN"/>
    <x v="2"/>
    <s v="NY.GDP.PCAP.KD"/>
    <x v="64"/>
    <n v="4579"/>
    <x v="4"/>
  </r>
  <r>
    <x v="26"/>
    <s v="HUN"/>
    <x v="2"/>
    <s v="NY.GDP.PCAP.KD"/>
    <x v="34"/>
    <n v="4776"/>
    <x v="4"/>
  </r>
  <r>
    <x v="26"/>
    <s v="HUN"/>
    <x v="2"/>
    <s v="NY.GDP.PCAP.KD"/>
    <x v="35"/>
    <n v="5057"/>
    <x v="4"/>
  </r>
  <r>
    <x v="26"/>
    <s v="HUN"/>
    <x v="2"/>
    <s v="NY.GDP.PCAP.KD"/>
    <x v="36"/>
    <n v="5350"/>
    <x v="4"/>
  </r>
  <r>
    <x v="26"/>
    <s v="HUN"/>
    <x v="2"/>
    <s v="NY.GDP.PCAP.KD"/>
    <x v="37"/>
    <n v="5700"/>
    <x v="4"/>
  </r>
  <r>
    <x v="26"/>
    <s v="HUN"/>
    <x v="2"/>
    <s v="NY.GDP.PCAP.KD"/>
    <x v="38"/>
    <n v="6010"/>
    <x v="4"/>
  </r>
  <r>
    <x v="26"/>
    <s v="HUN"/>
    <x v="2"/>
    <s v="NY.GDP.PCAP.KD"/>
    <x v="39"/>
    <n v="6345"/>
    <x v="4"/>
  </r>
  <r>
    <x v="26"/>
    <s v="HUN"/>
    <x v="2"/>
    <s v="NY.GDP.PCAP.KD"/>
    <x v="40"/>
    <n v="6537"/>
    <x v="4"/>
  </r>
  <r>
    <x v="26"/>
    <s v="HUN"/>
    <x v="2"/>
    <s v="NY.GDP.PCAP.KD"/>
    <x v="41"/>
    <n v="7002"/>
    <x v="5"/>
  </r>
  <r>
    <x v="26"/>
    <s v="HUN"/>
    <x v="2"/>
    <s v="NY.GDP.PCAP.KD"/>
    <x v="42"/>
    <n v="7285"/>
    <x v="5"/>
  </r>
  <r>
    <x v="26"/>
    <s v="HUN"/>
    <x v="2"/>
    <s v="NY.GDP.PCAP.KD"/>
    <x v="43"/>
    <n v="7468"/>
    <x v="5"/>
  </r>
  <r>
    <x v="26"/>
    <s v="HUN"/>
    <x v="2"/>
    <s v="NY.GDP.PCAP.KD"/>
    <x v="44"/>
    <n v="7478"/>
    <x v="5"/>
  </r>
  <r>
    <x v="26"/>
    <s v="HUN"/>
    <x v="2"/>
    <s v="NY.GDP.PCAP.KD"/>
    <x v="45"/>
    <n v="7692"/>
    <x v="5"/>
  </r>
  <r>
    <x v="26"/>
    <s v="HUN"/>
    <x v="2"/>
    <s v="NY.GDP.PCAP.KD"/>
    <x v="46"/>
    <n v="7915"/>
    <x v="5"/>
  </r>
  <r>
    <x v="26"/>
    <s v="HUN"/>
    <x v="2"/>
    <s v="NY.GDP.PCAP.KD"/>
    <x v="47"/>
    <n v="7984"/>
    <x v="5"/>
  </r>
  <r>
    <x v="26"/>
    <s v="HUN"/>
    <x v="2"/>
    <s v="NY.GDP.PCAP.KD"/>
    <x v="48"/>
    <n v="8213"/>
    <x v="5"/>
  </r>
  <r>
    <x v="26"/>
    <s v="HUN"/>
    <x v="2"/>
    <s v="NY.GDP.PCAP.KD"/>
    <x v="49"/>
    <n v="8207"/>
    <x v="5"/>
  </r>
  <r>
    <x v="26"/>
    <s v="HUN"/>
    <x v="2"/>
    <s v="NY.GDP.PCAP.KD"/>
    <x v="50"/>
    <n v="8347"/>
    <x v="5"/>
  </r>
  <r>
    <x v="26"/>
    <s v="HUN"/>
    <x v="2"/>
    <s v="NY.GDP.PCAP.KD"/>
    <x v="51"/>
    <n v="8700"/>
    <x v="0"/>
  </r>
  <r>
    <x v="26"/>
    <s v="HUN"/>
    <x v="2"/>
    <s v="NY.GDP.PCAP.KD"/>
    <x v="52"/>
    <n v="8707"/>
    <x v="0"/>
  </r>
  <r>
    <x v="26"/>
    <s v="HUN"/>
    <x v="2"/>
    <s v="NY.GDP.PCAP.KD"/>
    <x v="53"/>
    <n v="8868"/>
    <x v="0"/>
  </r>
  <r>
    <x v="26"/>
    <s v="HUN"/>
    <x v="2"/>
    <s v="NY.GDP.PCAP.KD"/>
    <x v="0"/>
    <n v="8646"/>
    <x v="0"/>
  </r>
  <r>
    <x v="26"/>
    <s v="HUN"/>
    <x v="2"/>
    <s v="NY.GDP.PCAP.KD"/>
    <x v="1"/>
    <n v="7619"/>
    <x v="0"/>
  </r>
  <r>
    <x v="26"/>
    <s v="HUN"/>
    <x v="2"/>
    <s v="NY.GDP.PCAP.KD"/>
    <x v="2"/>
    <n v="7388"/>
    <x v="0"/>
  </r>
  <r>
    <x v="26"/>
    <s v="HUN"/>
    <x v="2"/>
    <s v="NY.GDP.PCAP.KD"/>
    <x v="3"/>
    <n v="7354"/>
    <x v="0"/>
  </r>
  <r>
    <x v="26"/>
    <s v="HUN"/>
    <x v="2"/>
    <s v="NY.GDP.PCAP.KD"/>
    <x v="4"/>
    <n v="7581"/>
    <x v="0"/>
  </r>
  <r>
    <x v="26"/>
    <s v="HUN"/>
    <x v="2"/>
    <s v="NY.GDP.PCAP.KD"/>
    <x v="5"/>
    <n v="7705"/>
    <x v="0"/>
  </r>
  <r>
    <x v="26"/>
    <s v="HUN"/>
    <x v="2"/>
    <s v="NY.GDP.PCAP.KD"/>
    <x v="6"/>
    <n v="7726"/>
    <x v="0"/>
  </r>
  <r>
    <x v="26"/>
    <s v="HUN"/>
    <x v="2"/>
    <s v="NY.GDP.PCAP.KD"/>
    <x v="7"/>
    <n v="7972"/>
    <x v="1"/>
  </r>
  <r>
    <x v="26"/>
    <s v="HUN"/>
    <x v="2"/>
    <s v="NY.GDP.PCAP.KD"/>
    <x v="8"/>
    <n v="8298"/>
    <x v="1"/>
  </r>
  <r>
    <x v="26"/>
    <s v="HUN"/>
    <x v="2"/>
    <s v="NY.GDP.PCAP.KD"/>
    <x v="9"/>
    <n v="8578"/>
    <x v="1"/>
  </r>
  <r>
    <x v="26"/>
    <s v="HUN"/>
    <x v="2"/>
    <s v="NY.GDP.PCAP.KD"/>
    <x v="10"/>
    <n v="8980"/>
    <x v="1"/>
  </r>
  <r>
    <x v="26"/>
    <s v="HUN"/>
    <x v="2"/>
    <s v="NY.GDP.PCAP.KD"/>
    <x v="11"/>
    <n v="9366"/>
    <x v="1"/>
  </r>
  <r>
    <x v="26"/>
    <s v="HUN"/>
    <x v="2"/>
    <s v="NY.GDP.PCAP.KD"/>
    <x v="12"/>
    <n v="9837"/>
    <x v="1"/>
  </r>
  <r>
    <x v="26"/>
    <s v="HUN"/>
    <x v="2"/>
    <s v="NY.GDP.PCAP.KD"/>
    <x v="13"/>
    <n v="10254"/>
    <x v="1"/>
  </r>
  <r>
    <x v="26"/>
    <s v="HUN"/>
    <x v="2"/>
    <s v="NY.GDP.PCAP.KD"/>
    <x v="14"/>
    <n v="10786"/>
    <x v="1"/>
  </r>
  <r>
    <x v="26"/>
    <s v="HUN"/>
    <x v="2"/>
    <s v="NY.GDP.PCAP.KD"/>
    <x v="15"/>
    <n v="11273"/>
    <x v="1"/>
  </r>
  <r>
    <x v="26"/>
    <s v="HUN"/>
    <x v="2"/>
    <s v="NY.GDP.PCAP.KD"/>
    <x v="16"/>
    <n v="11734"/>
    <x v="1"/>
  </r>
  <r>
    <x v="26"/>
    <s v="HUN"/>
    <x v="2"/>
    <s v="NY.GDP.PCAP.KD"/>
    <x v="17"/>
    <n v="11792"/>
    <x v="2"/>
  </r>
  <r>
    <x v="26"/>
    <s v="HUN"/>
    <x v="2"/>
    <s v="NY.GDP.PCAP.KD"/>
    <x v="18"/>
    <n v="11930"/>
    <x v="2"/>
  </r>
  <r>
    <x v="26"/>
    <s v="HUN"/>
    <x v="2"/>
    <s v="NY.GDP.PCAP.KD"/>
    <x v="19"/>
    <n v="11143"/>
    <x v="2"/>
  </r>
  <r>
    <x v="26"/>
    <s v="HUN"/>
    <x v="2"/>
    <s v="NY.GDP.PCAP.KD"/>
    <x v="20"/>
    <n v="11287"/>
    <x v="2"/>
  </r>
  <r>
    <x v="26"/>
    <s v="HUN"/>
    <x v="2"/>
    <s v="NY.GDP.PCAP.KD"/>
    <x v="21"/>
    <n v="11536"/>
    <x v="2"/>
  </r>
  <r>
    <x v="26"/>
    <s v="HUN"/>
    <x v="2"/>
    <s v="NY.GDP.PCAP.KD"/>
    <x v="22"/>
    <n v="11441"/>
    <x v="2"/>
  </r>
  <r>
    <x v="26"/>
    <s v="HUN"/>
    <x v="2"/>
    <s v="NY.GDP.PCAP.KD"/>
    <x v="23"/>
    <n v="11730"/>
    <x v="2"/>
  </r>
  <r>
    <x v="26"/>
    <s v="HUN"/>
    <x v="2"/>
    <s v="NY.GDP.PCAP.KD"/>
    <x v="24"/>
    <n v="12287"/>
    <x v="2"/>
  </r>
  <r>
    <x v="26"/>
    <s v="HUN"/>
    <x v="2"/>
    <s v="NY.GDP.PCAP.KD"/>
    <x v="25"/>
    <n v="12783"/>
    <x v="2"/>
  </r>
  <r>
    <x v="26"/>
    <s v="HUN"/>
    <x v="2"/>
    <s v="NY.GDP.PCAP.KD"/>
    <x v="26"/>
    <n v="13146"/>
    <x v="2"/>
  </r>
  <r>
    <x v="26"/>
    <s v="HUN"/>
    <x v="2"/>
    <s v="NY.GDP.PCAP.KD"/>
    <x v="27"/>
    <n v="13734"/>
    <x v="3"/>
  </r>
  <r>
    <x v="26"/>
    <s v="HUN"/>
    <x v="2"/>
    <s v="NY.GDP.PCAP.KD"/>
    <x v="28"/>
    <n v="14534"/>
    <x v="3"/>
  </r>
  <r>
    <x v="26"/>
    <s v="HUN"/>
    <x v="2"/>
    <s v="NY.GDP.PCAP.KD"/>
    <x v="29"/>
    <n v="15291"/>
    <x v="3"/>
  </r>
  <r>
    <x v="34"/>
    <s v="LTU"/>
    <x v="2"/>
    <s v="NY.GDP.PCAP.KD"/>
    <x v="30"/>
    <n v="17444"/>
    <x v="3"/>
  </r>
  <r>
    <x v="26"/>
    <s v="HUN"/>
    <x v="2"/>
    <s v="NY.GDP.PCAP.KD"/>
    <x v="31"/>
    <n v="15788"/>
    <x v="3"/>
  </r>
  <r>
    <x v="26"/>
    <s v="HUN"/>
    <x v="2"/>
    <s v="NY.GDP.PCAP.KD"/>
    <x v="32"/>
    <n v="16488"/>
    <x v="5"/>
  </r>
  <r>
    <x v="26"/>
    <s v="HUN"/>
    <x v="2"/>
    <s v="NY.GDP.PCAP.KD"/>
    <x v="33"/>
    <n v="16375"/>
    <x v="5"/>
  </r>
  <r>
    <x v="26"/>
    <s v="HUN"/>
    <x v="2"/>
    <s v="NY.GDP.PCAP.KD"/>
    <x v="54"/>
    <n v="16519"/>
    <x v="5"/>
  </r>
  <r>
    <x v="27"/>
    <s v="IMN"/>
    <x v="2"/>
    <s v="NY.GDP.PCAP.KD"/>
    <x v="48"/>
    <n v="18303"/>
    <x v="5"/>
  </r>
  <r>
    <x v="27"/>
    <s v="IMN"/>
    <x v="2"/>
    <s v="NY.GDP.PCAP.KD"/>
    <x v="49"/>
    <n v="18416"/>
    <x v="5"/>
  </r>
  <r>
    <x v="27"/>
    <s v="IMN"/>
    <x v="2"/>
    <s v="NY.GDP.PCAP.KD"/>
    <x v="50"/>
    <n v="21835"/>
    <x v="5"/>
  </r>
  <r>
    <x v="27"/>
    <s v="IMN"/>
    <x v="2"/>
    <s v="NY.GDP.PCAP.KD"/>
    <x v="51"/>
    <n v="23666"/>
    <x v="0"/>
  </r>
  <r>
    <x v="27"/>
    <s v="IMN"/>
    <x v="2"/>
    <s v="NY.GDP.PCAP.KD"/>
    <x v="52"/>
    <n v="26036"/>
    <x v="0"/>
  </r>
  <r>
    <x v="27"/>
    <s v="IMN"/>
    <x v="2"/>
    <s v="NY.GDP.PCAP.KD"/>
    <x v="53"/>
    <n v="27363"/>
    <x v="0"/>
  </r>
  <r>
    <x v="27"/>
    <s v="IMN"/>
    <x v="2"/>
    <s v="NY.GDP.PCAP.KD"/>
    <x v="0"/>
    <n v="28042"/>
    <x v="0"/>
  </r>
  <r>
    <x v="27"/>
    <s v="IMN"/>
    <x v="2"/>
    <s v="NY.GDP.PCAP.KD"/>
    <x v="1"/>
    <n v="28128"/>
    <x v="0"/>
  </r>
  <r>
    <x v="27"/>
    <s v="IMN"/>
    <x v="2"/>
    <s v="NY.GDP.PCAP.KD"/>
    <x v="2"/>
    <n v="28134"/>
    <x v="0"/>
  </r>
  <r>
    <x v="27"/>
    <s v="IMN"/>
    <x v="2"/>
    <s v="NY.GDP.PCAP.KD"/>
    <x v="3"/>
    <n v="28694"/>
    <x v="0"/>
  </r>
  <r>
    <x v="27"/>
    <s v="IMN"/>
    <x v="2"/>
    <s v="NY.GDP.PCAP.KD"/>
    <x v="4"/>
    <n v="29676"/>
    <x v="0"/>
  </r>
  <r>
    <x v="27"/>
    <s v="IMN"/>
    <x v="2"/>
    <s v="NY.GDP.PCAP.KD"/>
    <x v="5"/>
    <n v="30803"/>
    <x v="0"/>
  </r>
  <r>
    <x v="27"/>
    <s v="IMN"/>
    <x v="2"/>
    <s v="NY.GDP.PCAP.KD"/>
    <x v="6"/>
    <n v="32929"/>
    <x v="0"/>
  </r>
  <r>
    <x v="27"/>
    <s v="IMN"/>
    <x v="2"/>
    <s v="NY.GDP.PCAP.KD"/>
    <x v="7"/>
    <n v="35338"/>
    <x v="1"/>
  </r>
  <r>
    <x v="27"/>
    <s v="IMN"/>
    <x v="2"/>
    <s v="NY.GDP.PCAP.KD"/>
    <x v="8"/>
    <n v="39592"/>
    <x v="1"/>
  </r>
  <r>
    <x v="27"/>
    <s v="IMN"/>
    <x v="2"/>
    <s v="NY.GDP.PCAP.KD"/>
    <x v="9"/>
    <n v="44456"/>
    <x v="1"/>
  </r>
  <r>
    <x v="27"/>
    <s v="IMN"/>
    <x v="2"/>
    <s v="NY.GDP.PCAP.KD"/>
    <x v="10"/>
    <n v="46275"/>
    <x v="1"/>
  </r>
  <r>
    <x v="27"/>
    <s v="IMN"/>
    <x v="2"/>
    <s v="NY.GDP.PCAP.KD"/>
    <x v="11"/>
    <n v="48253"/>
    <x v="1"/>
  </r>
  <r>
    <x v="27"/>
    <s v="IMN"/>
    <x v="2"/>
    <s v="NY.GDP.PCAP.KD"/>
    <x v="12"/>
    <n v="50715"/>
    <x v="1"/>
  </r>
  <r>
    <x v="27"/>
    <s v="IMN"/>
    <x v="2"/>
    <s v="NY.GDP.PCAP.KD"/>
    <x v="13"/>
    <n v="53224"/>
    <x v="1"/>
  </r>
  <r>
    <x v="27"/>
    <s v="IMN"/>
    <x v="2"/>
    <s v="NY.GDP.PCAP.KD"/>
    <x v="14"/>
    <n v="55464"/>
    <x v="1"/>
  </r>
  <r>
    <x v="27"/>
    <s v="IMN"/>
    <x v="2"/>
    <s v="NY.GDP.PCAP.KD"/>
    <x v="15"/>
    <n v="58202"/>
    <x v="1"/>
  </r>
  <r>
    <x v="27"/>
    <s v="IMN"/>
    <x v="2"/>
    <s v="NY.GDP.PCAP.KD"/>
    <x v="16"/>
    <n v="62076"/>
    <x v="1"/>
  </r>
  <r>
    <x v="27"/>
    <s v="IMN"/>
    <x v="2"/>
    <s v="NY.GDP.PCAP.KD"/>
    <x v="17"/>
    <n v="66030"/>
    <x v="2"/>
  </r>
  <r>
    <x v="27"/>
    <s v="IMN"/>
    <x v="2"/>
    <s v="NY.GDP.PCAP.KD"/>
    <x v="18"/>
    <n v="68521"/>
    <x v="2"/>
  </r>
  <r>
    <x v="27"/>
    <s v="IMN"/>
    <x v="2"/>
    <s v="NY.GDP.PCAP.KD"/>
    <x v="19"/>
    <n v="69192"/>
    <x v="2"/>
  </r>
  <r>
    <x v="27"/>
    <s v="IMN"/>
    <x v="2"/>
    <s v="NY.GDP.PCAP.KD"/>
    <x v="20"/>
    <n v="70748"/>
    <x v="2"/>
  </r>
  <r>
    <x v="27"/>
    <s v="IMN"/>
    <x v="2"/>
    <s v="NY.GDP.PCAP.KD"/>
    <x v="21"/>
    <n v="71728"/>
    <x v="2"/>
  </r>
  <r>
    <x v="27"/>
    <s v="IMN"/>
    <x v="2"/>
    <s v="NY.GDP.PCAP.KD"/>
    <x v="22"/>
    <n v="77009"/>
    <x v="2"/>
  </r>
  <r>
    <x v="27"/>
    <s v="IMN"/>
    <x v="2"/>
    <s v="NY.GDP.PCAP.KD"/>
    <x v="23"/>
    <n v="80384"/>
    <x v="2"/>
  </r>
  <r>
    <x v="27"/>
    <s v="IMN"/>
    <x v="2"/>
    <s v="NY.GDP.PCAP.KD"/>
    <x v="24"/>
    <n v="84779"/>
    <x v="2"/>
  </r>
  <r>
    <x v="27"/>
    <s v="IMN"/>
    <x v="2"/>
    <s v="NY.GDP.PCAP.KD"/>
    <x v="25"/>
    <n v="84754"/>
    <x v="2"/>
  </r>
  <r>
    <x v="27"/>
    <s v="IMN"/>
    <x v="2"/>
    <s v="NY.GDP.PCAP.KD"/>
    <x v="26"/>
    <n v="90784"/>
    <x v="2"/>
  </r>
  <r>
    <x v="27"/>
    <s v="IMN"/>
    <x v="2"/>
    <s v="NY.GDP.PCAP.KD"/>
    <x v="27"/>
    <n v="93200"/>
    <x v="3"/>
  </r>
  <r>
    <x v="27"/>
    <s v="IMN"/>
    <x v="2"/>
    <s v="NY.GDP.PCAP.KD"/>
    <x v="28"/>
    <n v="95040"/>
    <x v="3"/>
  </r>
  <r>
    <x v="27"/>
    <s v="IMN"/>
    <x v="2"/>
    <s v="NY.GDP.PCAP.KD"/>
    <x v="29"/>
    <n v="95110"/>
    <x v="3"/>
  </r>
  <r>
    <x v="23"/>
    <s v="GRC"/>
    <x v="2"/>
    <s v="NY.GDP.PCAP.KD"/>
    <x v="30"/>
    <n v="17487"/>
    <x v="6"/>
  </r>
  <r>
    <x v="27"/>
    <s v="IMN"/>
    <x v="2"/>
    <s v="NY.GDP.PCAP.KD"/>
    <x v="31"/>
    <n v="89874"/>
    <x v="6"/>
  </r>
  <r>
    <x v="27"/>
    <s v="IMN"/>
    <x v="2"/>
    <s v="NY.GDP.PCAP.KD"/>
    <x v="32"/>
    <n v="86103"/>
    <x v="6"/>
  </r>
  <r>
    <x v="28"/>
    <s v="IRL"/>
    <x v="2"/>
    <s v="NY.GDP.PCAP.KD"/>
    <x v="55"/>
    <n v="8524"/>
    <x v="6"/>
  </r>
  <r>
    <x v="28"/>
    <s v="IRL"/>
    <x v="2"/>
    <s v="NY.GDP.PCAP.KD"/>
    <x v="56"/>
    <n v="8965"/>
    <x v="6"/>
  </r>
  <r>
    <x v="28"/>
    <s v="IRL"/>
    <x v="2"/>
    <s v="NY.GDP.PCAP.KD"/>
    <x v="57"/>
    <n v="9215"/>
    <x v="6"/>
  </r>
  <r>
    <x v="28"/>
    <s v="IRL"/>
    <x v="2"/>
    <s v="NY.GDP.PCAP.KD"/>
    <x v="58"/>
    <n v="9596"/>
    <x v="6"/>
  </r>
  <r>
    <x v="28"/>
    <s v="IRL"/>
    <x v="2"/>
    <s v="NY.GDP.PCAP.KD"/>
    <x v="59"/>
    <n v="9911"/>
    <x v="6"/>
  </r>
  <r>
    <x v="28"/>
    <s v="IRL"/>
    <x v="2"/>
    <s v="NY.GDP.PCAP.KD"/>
    <x v="60"/>
    <n v="10065"/>
    <x v="6"/>
  </r>
  <r>
    <x v="28"/>
    <s v="IRL"/>
    <x v="2"/>
    <s v="NY.GDP.PCAP.KD"/>
    <x v="61"/>
    <n v="10114"/>
    <x v="6"/>
  </r>
  <r>
    <x v="28"/>
    <s v="IRL"/>
    <x v="2"/>
    <s v="NY.GDP.PCAP.KD"/>
    <x v="62"/>
    <n v="10649"/>
    <x v="4"/>
  </r>
  <r>
    <x v="28"/>
    <s v="IRL"/>
    <x v="2"/>
    <s v="NY.GDP.PCAP.KD"/>
    <x v="63"/>
    <n v="11475"/>
    <x v="4"/>
  </r>
  <r>
    <x v="28"/>
    <s v="IRL"/>
    <x v="2"/>
    <s v="NY.GDP.PCAP.KD"/>
    <x v="64"/>
    <n v="12077"/>
    <x v="4"/>
  </r>
  <r>
    <x v="28"/>
    <s v="IRL"/>
    <x v="2"/>
    <s v="NY.GDP.PCAP.KD"/>
    <x v="34"/>
    <n v="12296"/>
    <x v="4"/>
  </r>
  <r>
    <x v="28"/>
    <s v="IRL"/>
    <x v="2"/>
    <s v="NY.GDP.PCAP.KD"/>
    <x v="35"/>
    <n v="12574"/>
    <x v="4"/>
  </r>
  <r>
    <x v="28"/>
    <s v="IRL"/>
    <x v="2"/>
    <s v="NY.GDP.PCAP.KD"/>
    <x v="36"/>
    <n v="13193"/>
    <x v="4"/>
  </r>
  <r>
    <x v="28"/>
    <s v="IRL"/>
    <x v="2"/>
    <s v="NY.GDP.PCAP.KD"/>
    <x v="37"/>
    <n v="13596"/>
    <x v="4"/>
  </r>
  <r>
    <x v="28"/>
    <s v="IRL"/>
    <x v="2"/>
    <s v="NY.GDP.PCAP.KD"/>
    <x v="38"/>
    <n v="13942"/>
    <x v="4"/>
  </r>
  <r>
    <x v="28"/>
    <s v="IRL"/>
    <x v="2"/>
    <s v="NY.GDP.PCAP.KD"/>
    <x v="39"/>
    <n v="14490"/>
    <x v="4"/>
  </r>
  <r>
    <x v="28"/>
    <s v="IRL"/>
    <x v="2"/>
    <s v="NY.GDP.PCAP.KD"/>
    <x v="40"/>
    <n v="14472"/>
    <x v="4"/>
  </r>
  <r>
    <x v="28"/>
    <s v="IRL"/>
    <x v="2"/>
    <s v="NY.GDP.PCAP.KD"/>
    <x v="41"/>
    <n v="15450"/>
    <x v="5"/>
  </r>
  <r>
    <x v="28"/>
    <s v="IRL"/>
    <x v="2"/>
    <s v="NY.GDP.PCAP.KD"/>
    <x v="42"/>
    <n v="16327"/>
    <x v="5"/>
  </r>
  <r>
    <x v="28"/>
    <s v="IRL"/>
    <x v="2"/>
    <s v="NY.GDP.PCAP.KD"/>
    <x v="43"/>
    <n v="16606"/>
    <x v="5"/>
  </r>
  <r>
    <x v="28"/>
    <s v="IRL"/>
    <x v="2"/>
    <s v="NY.GDP.PCAP.KD"/>
    <x v="44"/>
    <n v="16922"/>
    <x v="5"/>
  </r>
  <r>
    <x v="28"/>
    <s v="IRL"/>
    <x v="2"/>
    <s v="NY.GDP.PCAP.KD"/>
    <x v="45"/>
    <n v="17281"/>
    <x v="5"/>
  </r>
  <r>
    <x v="28"/>
    <s v="IRL"/>
    <x v="2"/>
    <s v="NY.GDP.PCAP.KD"/>
    <x v="46"/>
    <n v="17509"/>
    <x v="5"/>
  </r>
  <r>
    <x v="28"/>
    <s v="IRL"/>
    <x v="2"/>
    <s v="NY.GDP.PCAP.KD"/>
    <x v="47"/>
    <n v="17343"/>
    <x v="5"/>
  </r>
  <r>
    <x v="28"/>
    <s v="IRL"/>
    <x v="2"/>
    <s v="NY.GDP.PCAP.KD"/>
    <x v="48"/>
    <n v="17986"/>
    <x v="5"/>
  </r>
  <r>
    <x v="28"/>
    <s v="IRL"/>
    <x v="2"/>
    <s v="NY.GDP.PCAP.KD"/>
    <x v="49"/>
    <n v="18512"/>
    <x v="5"/>
  </r>
  <r>
    <x v="28"/>
    <s v="IRL"/>
    <x v="2"/>
    <s v="NY.GDP.PCAP.KD"/>
    <x v="50"/>
    <n v="18424"/>
    <x v="5"/>
  </r>
  <r>
    <x v="28"/>
    <s v="IRL"/>
    <x v="2"/>
    <s v="NY.GDP.PCAP.KD"/>
    <x v="51"/>
    <n v="19281"/>
    <x v="0"/>
  </r>
  <r>
    <x v="28"/>
    <s v="IRL"/>
    <x v="2"/>
    <s v="NY.GDP.PCAP.KD"/>
    <x v="52"/>
    <n v="20374"/>
    <x v="0"/>
  </r>
  <r>
    <x v="28"/>
    <s v="IRL"/>
    <x v="2"/>
    <s v="NY.GDP.PCAP.KD"/>
    <x v="53"/>
    <n v="21644"/>
    <x v="0"/>
  </r>
  <r>
    <x v="28"/>
    <s v="IRL"/>
    <x v="2"/>
    <s v="NY.GDP.PCAP.KD"/>
    <x v="0"/>
    <n v="23457"/>
    <x v="0"/>
  </r>
  <r>
    <x v="28"/>
    <s v="IRL"/>
    <x v="2"/>
    <s v="NY.GDP.PCAP.KD"/>
    <x v="1"/>
    <n v="23773"/>
    <x v="0"/>
  </r>
  <r>
    <x v="28"/>
    <s v="IRL"/>
    <x v="2"/>
    <s v="NY.GDP.PCAP.KD"/>
    <x v="2"/>
    <n v="24400"/>
    <x v="0"/>
  </r>
  <r>
    <x v="28"/>
    <s v="IRL"/>
    <x v="2"/>
    <s v="NY.GDP.PCAP.KD"/>
    <x v="3"/>
    <n v="24932"/>
    <x v="0"/>
  </r>
  <r>
    <x v="28"/>
    <s v="IRL"/>
    <x v="2"/>
    <s v="NY.GDP.PCAP.KD"/>
    <x v="4"/>
    <n v="26264"/>
    <x v="0"/>
  </r>
  <r>
    <x v="28"/>
    <s v="IRL"/>
    <x v="2"/>
    <s v="NY.GDP.PCAP.KD"/>
    <x v="5"/>
    <n v="28647"/>
    <x v="0"/>
  </r>
  <r>
    <x v="28"/>
    <s v="IRL"/>
    <x v="2"/>
    <s v="NY.GDP.PCAP.KD"/>
    <x v="6"/>
    <n v="30518"/>
    <x v="0"/>
  </r>
  <r>
    <x v="28"/>
    <s v="IRL"/>
    <x v="2"/>
    <s v="NY.GDP.PCAP.KD"/>
    <x v="7"/>
    <n v="33544"/>
    <x v="1"/>
  </r>
  <r>
    <x v="28"/>
    <s v="IRL"/>
    <x v="2"/>
    <s v="NY.GDP.PCAP.KD"/>
    <x v="8"/>
    <n v="36106"/>
    <x v="1"/>
  </r>
  <r>
    <x v="28"/>
    <s v="IRL"/>
    <x v="2"/>
    <s v="NY.GDP.PCAP.KD"/>
    <x v="9"/>
    <n v="39460"/>
    <x v="1"/>
  </r>
  <r>
    <x v="28"/>
    <s v="IRL"/>
    <x v="2"/>
    <s v="NY.GDP.PCAP.KD"/>
    <x v="10"/>
    <n v="42599"/>
    <x v="1"/>
  </r>
  <r>
    <x v="28"/>
    <s v="IRL"/>
    <x v="2"/>
    <s v="NY.GDP.PCAP.KD"/>
    <x v="11"/>
    <n v="44151"/>
    <x v="1"/>
  </r>
  <r>
    <x v="28"/>
    <s v="IRL"/>
    <x v="2"/>
    <s v="NY.GDP.PCAP.KD"/>
    <x v="12"/>
    <n v="45974"/>
    <x v="1"/>
  </r>
  <r>
    <x v="28"/>
    <s v="IRL"/>
    <x v="2"/>
    <s v="NY.GDP.PCAP.KD"/>
    <x v="13"/>
    <n v="46595"/>
    <x v="1"/>
  </r>
  <r>
    <x v="28"/>
    <s v="IRL"/>
    <x v="2"/>
    <s v="NY.GDP.PCAP.KD"/>
    <x v="14"/>
    <n v="48856"/>
    <x v="1"/>
  </r>
  <r>
    <x v="28"/>
    <s v="IRL"/>
    <x v="2"/>
    <s v="NY.GDP.PCAP.KD"/>
    <x v="15"/>
    <n v="50547"/>
    <x v="1"/>
  </r>
  <r>
    <x v="28"/>
    <s v="IRL"/>
    <x v="2"/>
    <s v="NY.GDP.PCAP.KD"/>
    <x v="16"/>
    <n v="51657"/>
    <x v="1"/>
  </r>
  <r>
    <x v="28"/>
    <s v="IRL"/>
    <x v="2"/>
    <s v="NY.GDP.PCAP.KD"/>
    <x v="17"/>
    <n v="52850"/>
    <x v="2"/>
  </r>
  <r>
    <x v="28"/>
    <s v="IRL"/>
    <x v="2"/>
    <s v="NY.GDP.PCAP.KD"/>
    <x v="18"/>
    <n v="49461"/>
    <x v="2"/>
  </r>
  <r>
    <x v="28"/>
    <s v="IRL"/>
    <x v="2"/>
    <s v="NY.GDP.PCAP.KD"/>
    <x v="19"/>
    <n v="46466"/>
    <x v="2"/>
  </r>
  <r>
    <x v="28"/>
    <s v="IRL"/>
    <x v="2"/>
    <s v="NY.GDP.PCAP.KD"/>
    <x v="20"/>
    <n v="46992"/>
    <x v="2"/>
  </r>
  <r>
    <x v="28"/>
    <s v="IRL"/>
    <x v="2"/>
    <s v="NY.GDP.PCAP.KD"/>
    <x v="21"/>
    <n v="47540"/>
    <x v="2"/>
  </r>
  <r>
    <x v="28"/>
    <s v="IRL"/>
    <x v="2"/>
    <s v="NY.GDP.PCAP.KD"/>
    <x v="22"/>
    <n v="47147"/>
    <x v="2"/>
  </r>
  <r>
    <x v="28"/>
    <s v="IRL"/>
    <x v="2"/>
    <s v="NY.GDP.PCAP.KD"/>
    <x v="23"/>
    <n v="47928"/>
    <x v="2"/>
  </r>
  <r>
    <x v="28"/>
    <s v="IRL"/>
    <x v="2"/>
    <s v="NY.GDP.PCAP.KD"/>
    <x v="24"/>
    <n v="52045"/>
    <x v="2"/>
  </r>
  <r>
    <x v="28"/>
    <s v="IRL"/>
    <x v="2"/>
    <s v="NY.GDP.PCAP.KD"/>
    <x v="25"/>
    <n v="64250"/>
    <x v="2"/>
  </r>
  <r>
    <x v="28"/>
    <s v="IRL"/>
    <x v="2"/>
    <s v="NY.GDP.PCAP.KD"/>
    <x v="26"/>
    <n v="64206"/>
    <x v="2"/>
  </r>
  <r>
    <x v="28"/>
    <s v="IRL"/>
    <x v="2"/>
    <s v="NY.GDP.PCAP.KD"/>
    <x v="27"/>
    <n v="69749"/>
    <x v="3"/>
  </r>
  <r>
    <x v="28"/>
    <s v="IRL"/>
    <x v="2"/>
    <s v="NY.GDP.PCAP.KD"/>
    <x v="28"/>
    <n v="74029"/>
    <x v="3"/>
  </r>
  <r>
    <x v="28"/>
    <s v="IRL"/>
    <x v="2"/>
    <s v="NY.GDP.PCAP.KD"/>
    <x v="29"/>
    <n v="76486"/>
    <x v="3"/>
  </r>
  <r>
    <x v="49"/>
    <s v="SVK"/>
    <x v="2"/>
    <s v="NY.GDP.PCAP.KD"/>
    <x v="30"/>
    <n v="17764"/>
    <x v="3"/>
  </r>
  <r>
    <x v="28"/>
    <s v="IRL"/>
    <x v="2"/>
    <s v="NY.GDP.PCAP.KD"/>
    <x v="31"/>
    <n v="92781"/>
    <x v="3"/>
  </r>
  <r>
    <x v="28"/>
    <s v="IRL"/>
    <x v="2"/>
    <s v="NY.GDP.PCAP.KD"/>
    <x v="32"/>
    <n v="97794"/>
    <x v="6"/>
  </r>
  <r>
    <x v="28"/>
    <s v="IRL"/>
    <x v="2"/>
    <s v="NY.GDP.PCAP.KD"/>
    <x v="33"/>
    <n v="93542"/>
    <x v="6"/>
  </r>
  <r>
    <x v="28"/>
    <s v="IRL"/>
    <x v="2"/>
    <s v="NY.GDP.PCAP.KD"/>
    <x v="54"/>
    <n v="94475"/>
    <x v="6"/>
  </r>
  <r>
    <x v="29"/>
    <s v="ISL"/>
    <x v="2"/>
    <s v="NY.GDP.PCAP.KD"/>
    <x v="55"/>
    <n v="14221"/>
    <x v="6"/>
  </r>
  <r>
    <x v="29"/>
    <s v="ISL"/>
    <x v="2"/>
    <s v="NY.GDP.PCAP.KD"/>
    <x v="56"/>
    <n v="13936"/>
    <x v="6"/>
  </r>
  <r>
    <x v="29"/>
    <s v="ISL"/>
    <x v="2"/>
    <s v="NY.GDP.PCAP.KD"/>
    <x v="57"/>
    <n v="14818"/>
    <x v="6"/>
  </r>
  <r>
    <x v="29"/>
    <s v="ISL"/>
    <x v="2"/>
    <s v="NY.GDP.PCAP.KD"/>
    <x v="58"/>
    <n v="16053"/>
    <x v="6"/>
  </r>
  <r>
    <x v="29"/>
    <s v="ISL"/>
    <x v="2"/>
    <s v="NY.GDP.PCAP.KD"/>
    <x v="59"/>
    <n v="17329"/>
    <x v="6"/>
  </r>
  <r>
    <x v="29"/>
    <s v="ISL"/>
    <x v="2"/>
    <s v="NY.GDP.PCAP.KD"/>
    <x v="60"/>
    <n v="18274"/>
    <x v="6"/>
  </r>
  <r>
    <x v="29"/>
    <s v="ISL"/>
    <x v="2"/>
    <s v="NY.GDP.PCAP.KD"/>
    <x v="61"/>
    <n v="19539"/>
    <x v="6"/>
  </r>
  <r>
    <x v="29"/>
    <s v="ISL"/>
    <x v="2"/>
    <s v="NY.GDP.PCAP.KD"/>
    <x v="62"/>
    <n v="18984"/>
    <x v="4"/>
  </r>
  <r>
    <x v="29"/>
    <s v="ISL"/>
    <x v="2"/>
    <s v="NY.GDP.PCAP.KD"/>
    <x v="63"/>
    <n v="17696"/>
    <x v="4"/>
  </r>
  <r>
    <x v="29"/>
    <s v="ISL"/>
    <x v="2"/>
    <s v="NY.GDP.PCAP.KD"/>
    <x v="64"/>
    <n v="17952"/>
    <x v="4"/>
  </r>
  <r>
    <x v="29"/>
    <s v="ISL"/>
    <x v="2"/>
    <s v="NY.GDP.PCAP.KD"/>
    <x v="34"/>
    <n v="19190"/>
    <x v="4"/>
  </r>
  <r>
    <x v="29"/>
    <s v="ISL"/>
    <x v="2"/>
    <s v="NY.GDP.PCAP.KD"/>
    <x v="35"/>
    <n v="21521"/>
    <x v="4"/>
  </r>
  <r>
    <x v="29"/>
    <s v="ISL"/>
    <x v="2"/>
    <s v="NY.GDP.PCAP.KD"/>
    <x v="36"/>
    <n v="22519"/>
    <x v="4"/>
  </r>
  <r>
    <x v="29"/>
    <s v="ISL"/>
    <x v="2"/>
    <s v="NY.GDP.PCAP.KD"/>
    <x v="37"/>
    <n v="23691"/>
    <x v="4"/>
  </r>
  <r>
    <x v="29"/>
    <s v="ISL"/>
    <x v="2"/>
    <s v="NY.GDP.PCAP.KD"/>
    <x v="38"/>
    <n v="24706"/>
    <x v="4"/>
  </r>
  <r>
    <x v="29"/>
    <s v="ISL"/>
    <x v="2"/>
    <s v="NY.GDP.PCAP.KD"/>
    <x v="39"/>
    <n v="24550"/>
    <x v="4"/>
  </r>
  <r>
    <x v="29"/>
    <s v="ISL"/>
    <x v="2"/>
    <s v="NY.GDP.PCAP.KD"/>
    <x v="40"/>
    <n v="25756"/>
    <x v="4"/>
  </r>
  <r>
    <x v="29"/>
    <s v="ISL"/>
    <x v="2"/>
    <s v="NY.GDP.PCAP.KD"/>
    <x v="41"/>
    <n v="27821"/>
    <x v="5"/>
  </r>
  <r>
    <x v="29"/>
    <s v="ISL"/>
    <x v="2"/>
    <s v="NY.GDP.PCAP.KD"/>
    <x v="42"/>
    <n v="29265"/>
    <x v="5"/>
  </r>
  <r>
    <x v="29"/>
    <s v="ISL"/>
    <x v="2"/>
    <s v="NY.GDP.PCAP.KD"/>
    <x v="43"/>
    <n v="30389"/>
    <x v="5"/>
  </r>
  <r>
    <x v="29"/>
    <s v="ISL"/>
    <x v="2"/>
    <s v="NY.GDP.PCAP.KD"/>
    <x v="44"/>
    <n v="31797"/>
    <x v="5"/>
  </r>
  <r>
    <x v="29"/>
    <s v="ISL"/>
    <x v="2"/>
    <s v="NY.GDP.PCAP.KD"/>
    <x v="45"/>
    <n v="32777"/>
    <x v="5"/>
  </r>
  <r>
    <x v="29"/>
    <s v="ISL"/>
    <x v="2"/>
    <s v="NY.GDP.PCAP.KD"/>
    <x v="46"/>
    <n v="33039"/>
    <x v="5"/>
  </r>
  <r>
    <x v="29"/>
    <s v="ISL"/>
    <x v="2"/>
    <s v="NY.GDP.PCAP.KD"/>
    <x v="47"/>
    <n v="31903"/>
    <x v="5"/>
  </r>
  <r>
    <x v="29"/>
    <s v="ISL"/>
    <x v="2"/>
    <s v="NY.GDP.PCAP.KD"/>
    <x v="48"/>
    <n v="32869"/>
    <x v="5"/>
  </r>
  <r>
    <x v="29"/>
    <s v="ISL"/>
    <x v="2"/>
    <s v="NY.GDP.PCAP.KD"/>
    <x v="49"/>
    <n v="33685"/>
    <x v="5"/>
  </r>
  <r>
    <x v="29"/>
    <s v="ISL"/>
    <x v="2"/>
    <s v="NY.GDP.PCAP.KD"/>
    <x v="50"/>
    <n v="35536"/>
    <x v="5"/>
  </r>
  <r>
    <x v="29"/>
    <s v="ISL"/>
    <x v="2"/>
    <s v="NY.GDP.PCAP.KD"/>
    <x v="51"/>
    <n v="38152"/>
    <x v="0"/>
  </r>
  <r>
    <x v="29"/>
    <s v="ISL"/>
    <x v="2"/>
    <s v="NY.GDP.PCAP.KD"/>
    <x v="52"/>
    <n v="37526"/>
    <x v="0"/>
  </r>
  <r>
    <x v="29"/>
    <s v="ISL"/>
    <x v="2"/>
    <s v="NY.GDP.PCAP.KD"/>
    <x v="53"/>
    <n v="37159"/>
    <x v="0"/>
  </r>
  <r>
    <x v="29"/>
    <s v="ISL"/>
    <x v="2"/>
    <s v="NY.GDP.PCAP.KD"/>
    <x v="0"/>
    <n v="37303"/>
    <x v="0"/>
  </r>
  <r>
    <x v="29"/>
    <s v="ISL"/>
    <x v="2"/>
    <s v="NY.GDP.PCAP.KD"/>
    <x v="1"/>
    <n v="36790"/>
    <x v="0"/>
  </r>
  <r>
    <x v="29"/>
    <s v="ISL"/>
    <x v="2"/>
    <s v="NY.GDP.PCAP.KD"/>
    <x v="2"/>
    <n v="35105"/>
    <x v="0"/>
  </r>
  <r>
    <x v="29"/>
    <s v="ISL"/>
    <x v="2"/>
    <s v="NY.GDP.PCAP.KD"/>
    <x v="3"/>
    <n v="35207"/>
    <x v="0"/>
  </r>
  <r>
    <x v="29"/>
    <s v="ISL"/>
    <x v="2"/>
    <s v="NY.GDP.PCAP.KD"/>
    <x v="4"/>
    <n v="36162"/>
    <x v="0"/>
  </r>
  <r>
    <x v="29"/>
    <s v="ISL"/>
    <x v="2"/>
    <s v="NY.GDP.PCAP.KD"/>
    <x v="5"/>
    <n v="36009"/>
    <x v="0"/>
  </r>
  <r>
    <x v="29"/>
    <s v="ISL"/>
    <x v="2"/>
    <s v="NY.GDP.PCAP.KD"/>
    <x v="6"/>
    <n v="37426"/>
    <x v="0"/>
  </r>
  <r>
    <x v="29"/>
    <s v="ISL"/>
    <x v="2"/>
    <s v="NY.GDP.PCAP.KD"/>
    <x v="7"/>
    <n v="38657"/>
    <x v="1"/>
  </r>
  <r>
    <x v="29"/>
    <s v="ISL"/>
    <x v="2"/>
    <s v="NY.GDP.PCAP.KD"/>
    <x v="8"/>
    <n v="40927"/>
    <x v="1"/>
  </r>
  <r>
    <x v="29"/>
    <s v="ISL"/>
    <x v="2"/>
    <s v="NY.GDP.PCAP.KD"/>
    <x v="9"/>
    <n v="42011"/>
    <x v="1"/>
  </r>
  <r>
    <x v="29"/>
    <s v="ISL"/>
    <x v="2"/>
    <s v="NY.GDP.PCAP.KD"/>
    <x v="10"/>
    <n v="43472"/>
    <x v="1"/>
  </r>
  <r>
    <x v="29"/>
    <s v="ISL"/>
    <x v="2"/>
    <s v="NY.GDP.PCAP.KD"/>
    <x v="11"/>
    <n v="44546"/>
    <x v="1"/>
  </r>
  <r>
    <x v="29"/>
    <s v="ISL"/>
    <x v="2"/>
    <s v="NY.GDP.PCAP.KD"/>
    <x v="12"/>
    <n v="44390"/>
    <x v="1"/>
  </r>
  <r>
    <x v="29"/>
    <s v="ISL"/>
    <x v="2"/>
    <s v="NY.GDP.PCAP.KD"/>
    <x v="13"/>
    <n v="45089"/>
    <x v="1"/>
  </r>
  <r>
    <x v="29"/>
    <s v="ISL"/>
    <x v="2"/>
    <s v="NY.GDP.PCAP.KD"/>
    <x v="14"/>
    <n v="48102"/>
    <x v="1"/>
  </r>
  <r>
    <x v="29"/>
    <s v="ISL"/>
    <x v="2"/>
    <s v="NY.GDP.PCAP.KD"/>
    <x v="15"/>
    <n v="50674"/>
    <x v="1"/>
  </r>
  <r>
    <x v="29"/>
    <s v="ISL"/>
    <x v="2"/>
    <s v="NY.GDP.PCAP.KD"/>
    <x v="16"/>
    <n v="52306"/>
    <x v="1"/>
  </r>
  <r>
    <x v="29"/>
    <s v="ISL"/>
    <x v="2"/>
    <s v="NY.GDP.PCAP.KD"/>
    <x v="17"/>
    <n v="55457"/>
    <x v="2"/>
  </r>
  <r>
    <x v="29"/>
    <s v="ISL"/>
    <x v="2"/>
    <s v="NY.GDP.PCAP.KD"/>
    <x v="18"/>
    <n v="55361"/>
    <x v="2"/>
  </r>
  <r>
    <x v="29"/>
    <s v="ISL"/>
    <x v="2"/>
    <s v="NY.GDP.PCAP.KD"/>
    <x v="19"/>
    <n v="50581"/>
    <x v="2"/>
  </r>
  <r>
    <x v="29"/>
    <s v="ISL"/>
    <x v="2"/>
    <s v="NY.GDP.PCAP.KD"/>
    <x v="20"/>
    <n v="49528"/>
    <x v="2"/>
  </r>
  <r>
    <x v="29"/>
    <s v="ISL"/>
    <x v="2"/>
    <s v="NY.GDP.PCAP.KD"/>
    <x v="21"/>
    <n v="50059"/>
    <x v="2"/>
  </r>
  <r>
    <x v="29"/>
    <s v="ISL"/>
    <x v="2"/>
    <s v="NY.GDP.PCAP.KD"/>
    <x v="22"/>
    <n v="50375"/>
    <x v="2"/>
  </r>
  <r>
    <x v="29"/>
    <s v="ISL"/>
    <x v="2"/>
    <s v="NY.GDP.PCAP.KD"/>
    <x v="23"/>
    <n v="51696"/>
    <x v="2"/>
  </r>
  <r>
    <x v="29"/>
    <s v="ISL"/>
    <x v="2"/>
    <s v="NY.GDP.PCAP.KD"/>
    <x v="24"/>
    <n v="52103"/>
    <x v="2"/>
  </r>
  <r>
    <x v="29"/>
    <s v="ISL"/>
    <x v="2"/>
    <s v="NY.GDP.PCAP.KD"/>
    <x v="25"/>
    <n v="53506"/>
    <x v="2"/>
  </r>
  <r>
    <x v="29"/>
    <s v="ISL"/>
    <x v="2"/>
    <s v="NY.GDP.PCAP.KD"/>
    <x v="26"/>
    <n v="56049"/>
    <x v="2"/>
  </r>
  <r>
    <x v="29"/>
    <s v="ISL"/>
    <x v="2"/>
    <s v="NY.GDP.PCAP.KD"/>
    <x v="27"/>
    <n v="56658"/>
    <x v="3"/>
  </r>
  <r>
    <x v="29"/>
    <s v="ISL"/>
    <x v="2"/>
    <s v="NY.GDP.PCAP.KD"/>
    <x v="28"/>
    <n v="57732"/>
    <x v="3"/>
  </r>
  <r>
    <x v="29"/>
    <s v="ISL"/>
    <x v="2"/>
    <s v="NY.GDP.PCAP.KD"/>
    <x v="29"/>
    <n v="57119"/>
    <x v="3"/>
  </r>
  <r>
    <x v="12"/>
    <s v="CZE"/>
    <x v="2"/>
    <s v="NY.GDP.PCAP.KD"/>
    <x v="30"/>
    <n v="19233"/>
    <x v="3"/>
  </r>
  <r>
    <x v="29"/>
    <s v="ISL"/>
    <x v="2"/>
    <s v="NY.GDP.PCAP.KD"/>
    <x v="31"/>
    <n v="54285"/>
    <x v="3"/>
  </r>
  <r>
    <x v="29"/>
    <s v="ISL"/>
    <x v="2"/>
    <s v="NY.GDP.PCAP.KD"/>
    <x v="32"/>
    <n v="57607"/>
    <x v="6"/>
  </r>
  <r>
    <x v="29"/>
    <s v="ISL"/>
    <x v="2"/>
    <s v="NY.GDP.PCAP.KD"/>
    <x v="33"/>
    <n v="60019"/>
    <x v="6"/>
  </r>
  <r>
    <x v="29"/>
    <s v="ISL"/>
    <x v="2"/>
    <s v="NY.GDP.PCAP.KD"/>
    <x v="54"/>
    <n v="59307"/>
    <x v="6"/>
  </r>
  <r>
    <x v="30"/>
    <s v="ITA"/>
    <x v="2"/>
    <s v="NY.GDP.PCAP.KD"/>
    <x v="55"/>
    <n v="9731"/>
    <x v="6"/>
  </r>
  <r>
    <x v="30"/>
    <s v="ITA"/>
    <x v="2"/>
    <s v="NY.GDP.PCAP.KD"/>
    <x v="56"/>
    <n v="10460"/>
    <x v="6"/>
  </r>
  <r>
    <x v="30"/>
    <s v="ITA"/>
    <x v="2"/>
    <s v="NY.GDP.PCAP.KD"/>
    <x v="57"/>
    <n v="11034"/>
    <x v="6"/>
  </r>
  <r>
    <x v="30"/>
    <s v="ITA"/>
    <x v="2"/>
    <s v="NY.GDP.PCAP.KD"/>
    <x v="58"/>
    <n v="11568"/>
    <x v="6"/>
  </r>
  <r>
    <x v="30"/>
    <s v="ITA"/>
    <x v="2"/>
    <s v="NY.GDP.PCAP.KD"/>
    <x v="59"/>
    <n v="11794"/>
    <x v="6"/>
  </r>
  <r>
    <x v="30"/>
    <s v="ITA"/>
    <x v="2"/>
    <s v="NY.GDP.PCAP.KD"/>
    <x v="60"/>
    <n v="12077"/>
    <x v="6"/>
  </r>
  <r>
    <x v="30"/>
    <s v="ITA"/>
    <x v="2"/>
    <s v="NY.GDP.PCAP.KD"/>
    <x v="61"/>
    <n v="12701"/>
    <x v="6"/>
  </r>
  <r>
    <x v="30"/>
    <s v="ITA"/>
    <x v="2"/>
    <s v="NY.GDP.PCAP.KD"/>
    <x v="62"/>
    <n v="13515"/>
    <x v="4"/>
  </r>
  <r>
    <x v="30"/>
    <s v="ITA"/>
    <x v="2"/>
    <s v="NY.GDP.PCAP.KD"/>
    <x v="63"/>
    <n v="14309"/>
    <x v="4"/>
  </r>
  <r>
    <x v="30"/>
    <s v="ITA"/>
    <x v="2"/>
    <s v="NY.GDP.PCAP.KD"/>
    <x v="64"/>
    <n v="15095"/>
    <x v="4"/>
  </r>
  <r>
    <x v="30"/>
    <s v="ITA"/>
    <x v="2"/>
    <s v="NY.GDP.PCAP.KD"/>
    <x v="34"/>
    <n v="15813"/>
    <x v="4"/>
  </r>
  <r>
    <x v="30"/>
    <s v="ITA"/>
    <x v="2"/>
    <s v="NY.GDP.PCAP.KD"/>
    <x v="35"/>
    <n v="16026"/>
    <x v="4"/>
  </r>
  <r>
    <x v="30"/>
    <s v="ITA"/>
    <x v="2"/>
    <s v="NY.GDP.PCAP.KD"/>
    <x v="36"/>
    <n v="16523"/>
    <x v="4"/>
  </r>
  <r>
    <x v="30"/>
    <s v="ITA"/>
    <x v="2"/>
    <s v="NY.GDP.PCAP.KD"/>
    <x v="37"/>
    <n v="17581"/>
    <x v="4"/>
  </r>
  <r>
    <x v="30"/>
    <s v="ITA"/>
    <x v="2"/>
    <s v="NY.GDP.PCAP.KD"/>
    <x v="38"/>
    <n v="18427"/>
    <x v="4"/>
  </r>
  <r>
    <x v="30"/>
    <s v="ITA"/>
    <x v="2"/>
    <s v="NY.GDP.PCAP.KD"/>
    <x v="39"/>
    <n v="17934"/>
    <x v="4"/>
  </r>
  <r>
    <x v="30"/>
    <s v="ITA"/>
    <x v="2"/>
    <s v="NY.GDP.PCAP.KD"/>
    <x v="40"/>
    <n v="19117"/>
    <x v="4"/>
  </r>
  <r>
    <x v="30"/>
    <s v="ITA"/>
    <x v="2"/>
    <s v="NY.GDP.PCAP.KD"/>
    <x v="41"/>
    <n v="19523"/>
    <x v="5"/>
  </r>
  <r>
    <x v="30"/>
    <s v="ITA"/>
    <x v="2"/>
    <s v="NY.GDP.PCAP.KD"/>
    <x v="42"/>
    <n v="20084"/>
    <x v="5"/>
  </r>
  <r>
    <x v="30"/>
    <s v="ITA"/>
    <x v="2"/>
    <s v="NY.GDP.PCAP.KD"/>
    <x v="43"/>
    <n v="21219"/>
    <x v="5"/>
  </r>
  <r>
    <x v="30"/>
    <s v="ITA"/>
    <x v="2"/>
    <s v="NY.GDP.PCAP.KD"/>
    <x v="44"/>
    <n v="21902"/>
    <x v="5"/>
  </r>
  <r>
    <x v="30"/>
    <s v="ITA"/>
    <x v="2"/>
    <s v="NY.GDP.PCAP.KD"/>
    <x v="45"/>
    <n v="22060"/>
    <x v="5"/>
  </r>
  <r>
    <x v="30"/>
    <s v="ITA"/>
    <x v="2"/>
    <s v="NY.GDP.PCAP.KD"/>
    <x v="46"/>
    <n v="22135"/>
    <x v="5"/>
  </r>
  <r>
    <x v="30"/>
    <s v="ITA"/>
    <x v="2"/>
    <s v="NY.GDP.PCAP.KD"/>
    <x v="47"/>
    <n v="22386"/>
    <x v="5"/>
  </r>
  <r>
    <x v="30"/>
    <s v="ITA"/>
    <x v="2"/>
    <s v="NY.GDP.PCAP.KD"/>
    <x v="48"/>
    <n v="23103"/>
    <x v="5"/>
  </r>
  <r>
    <x v="30"/>
    <s v="ITA"/>
    <x v="2"/>
    <s v="NY.GDP.PCAP.KD"/>
    <x v="49"/>
    <n v="23742"/>
    <x v="5"/>
  </r>
  <r>
    <x v="30"/>
    <s v="ITA"/>
    <x v="2"/>
    <s v="NY.GDP.PCAP.KD"/>
    <x v="50"/>
    <n v="24420"/>
    <x v="5"/>
  </r>
  <r>
    <x v="30"/>
    <s v="ITA"/>
    <x v="2"/>
    <s v="NY.GDP.PCAP.KD"/>
    <x v="51"/>
    <n v="25197"/>
    <x v="0"/>
  </r>
  <r>
    <x v="30"/>
    <s v="ITA"/>
    <x v="2"/>
    <s v="NY.GDP.PCAP.KD"/>
    <x v="52"/>
    <n v="26241"/>
    <x v="0"/>
  </r>
  <r>
    <x v="30"/>
    <s v="ITA"/>
    <x v="2"/>
    <s v="NY.GDP.PCAP.KD"/>
    <x v="53"/>
    <n v="27110"/>
    <x v="0"/>
  </r>
  <r>
    <x v="30"/>
    <s v="ITA"/>
    <x v="2"/>
    <s v="NY.GDP.PCAP.KD"/>
    <x v="0"/>
    <n v="27625"/>
    <x v="0"/>
  </r>
  <r>
    <x v="30"/>
    <s v="ITA"/>
    <x v="2"/>
    <s v="NY.GDP.PCAP.KD"/>
    <x v="1"/>
    <n v="28031"/>
    <x v="0"/>
  </r>
  <r>
    <x v="30"/>
    <s v="ITA"/>
    <x v="2"/>
    <s v="NY.GDP.PCAP.KD"/>
    <x v="2"/>
    <n v="28245"/>
    <x v="0"/>
  </r>
  <r>
    <x v="30"/>
    <s v="ITA"/>
    <x v="2"/>
    <s v="NY.GDP.PCAP.KD"/>
    <x v="3"/>
    <n v="27987"/>
    <x v="0"/>
  </r>
  <r>
    <x v="30"/>
    <s v="ITA"/>
    <x v="2"/>
    <s v="NY.GDP.PCAP.KD"/>
    <x v="4"/>
    <n v="28584"/>
    <x v="0"/>
  </r>
  <r>
    <x v="30"/>
    <s v="ITA"/>
    <x v="2"/>
    <s v="NY.GDP.PCAP.KD"/>
    <x v="5"/>
    <n v="29408"/>
    <x v="0"/>
  </r>
  <r>
    <x v="30"/>
    <s v="ITA"/>
    <x v="2"/>
    <s v="NY.GDP.PCAP.KD"/>
    <x v="6"/>
    <n v="29796"/>
    <x v="0"/>
  </r>
  <r>
    <x v="30"/>
    <s v="ITA"/>
    <x v="2"/>
    <s v="NY.GDP.PCAP.KD"/>
    <x v="7"/>
    <n v="30353"/>
    <x v="1"/>
  </r>
  <r>
    <x v="30"/>
    <s v="ITA"/>
    <x v="2"/>
    <s v="NY.GDP.PCAP.KD"/>
    <x v="8"/>
    <n v="30892"/>
    <x v="1"/>
  </r>
  <r>
    <x v="30"/>
    <s v="ITA"/>
    <x v="2"/>
    <s v="NY.GDP.PCAP.KD"/>
    <x v="9"/>
    <n v="31405"/>
    <x v="1"/>
  </r>
  <r>
    <x v="30"/>
    <s v="ITA"/>
    <x v="2"/>
    <s v="NY.GDP.PCAP.KD"/>
    <x v="10"/>
    <n v="32610"/>
    <x v="1"/>
  </r>
  <r>
    <x v="30"/>
    <s v="ITA"/>
    <x v="2"/>
    <s v="NY.GDP.PCAP.KD"/>
    <x v="11"/>
    <n v="33244"/>
    <x v="1"/>
  </r>
  <r>
    <x v="30"/>
    <s v="ITA"/>
    <x v="2"/>
    <s v="NY.GDP.PCAP.KD"/>
    <x v="12"/>
    <n v="33267"/>
    <x v="1"/>
  </r>
  <r>
    <x v="30"/>
    <s v="ITA"/>
    <x v="2"/>
    <s v="NY.GDP.PCAP.KD"/>
    <x v="13"/>
    <n v="33110"/>
    <x v="1"/>
  </r>
  <r>
    <x v="30"/>
    <s v="ITA"/>
    <x v="2"/>
    <s v="NY.GDP.PCAP.KD"/>
    <x v="14"/>
    <n v="33349"/>
    <x v="1"/>
  </r>
  <r>
    <x v="30"/>
    <s v="ITA"/>
    <x v="2"/>
    <s v="NY.GDP.PCAP.KD"/>
    <x v="15"/>
    <n v="33408"/>
    <x v="1"/>
  </r>
  <r>
    <x v="30"/>
    <s v="ITA"/>
    <x v="2"/>
    <s v="NY.GDP.PCAP.KD"/>
    <x v="16"/>
    <n v="33873"/>
    <x v="1"/>
  </r>
  <r>
    <x v="30"/>
    <s v="ITA"/>
    <x v="2"/>
    <s v="NY.GDP.PCAP.KD"/>
    <x v="17"/>
    <n v="34160"/>
    <x v="2"/>
  </r>
  <r>
    <x v="30"/>
    <s v="ITA"/>
    <x v="2"/>
    <s v="NY.GDP.PCAP.KD"/>
    <x v="18"/>
    <n v="33551"/>
    <x v="2"/>
  </r>
  <r>
    <x v="30"/>
    <s v="ITA"/>
    <x v="2"/>
    <s v="NY.GDP.PCAP.KD"/>
    <x v="19"/>
    <n v="31587"/>
    <x v="2"/>
  </r>
  <r>
    <x v="30"/>
    <s v="ITA"/>
    <x v="2"/>
    <s v="NY.GDP.PCAP.KD"/>
    <x v="20"/>
    <n v="31929"/>
    <x v="2"/>
  </r>
  <r>
    <x v="30"/>
    <s v="ITA"/>
    <x v="2"/>
    <s v="NY.GDP.PCAP.KD"/>
    <x v="21"/>
    <n v="32040"/>
    <x v="2"/>
  </r>
  <r>
    <x v="30"/>
    <s v="ITA"/>
    <x v="2"/>
    <s v="NY.GDP.PCAP.KD"/>
    <x v="22"/>
    <n v="30953"/>
    <x v="2"/>
  </r>
  <r>
    <x v="30"/>
    <s v="ITA"/>
    <x v="2"/>
    <s v="NY.GDP.PCAP.KD"/>
    <x v="23"/>
    <n v="30330"/>
    <x v="2"/>
  </r>
  <r>
    <x v="30"/>
    <s v="ITA"/>
    <x v="2"/>
    <s v="NY.GDP.PCAP.KD"/>
    <x v="24"/>
    <n v="30325"/>
    <x v="2"/>
  </r>
  <r>
    <x v="30"/>
    <s v="ITA"/>
    <x v="2"/>
    <s v="NY.GDP.PCAP.KD"/>
    <x v="25"/>
    <n v="30640"/>
    <x v="2"/>
  </r>
  <r>
    <x v="30"/>
    <s v="ITA"/>
    <x v="2"/>
    <s v="NY.GDP.PCAP.KD"/>
    <x v="26"/>
    <n v="31078"/>
    <x v="2"/>
  </r>
  <r>
    <x v="30"/>
    <s v="ITA"/>
    <x v="2"/>
    <s v="NY.GDP.PCAP.KD"/>
    <x v="27"/>
    <n v="31636"/>
    <x v="3"/>
  </r>
  <r>
    <x v="30"/>
    <s v="ITA"/>
    <x v="2"/>
    <s v="NY.GDP.PCAP.KD"/>
    <x v="28"/>
    <n v="31819"/>
    <x v="3"/>
  </r>
  <r>
    <x v="30"/>
    <s v="ITA"/>
    <x v="2"/>
    <s v="NY.GDP.PCAP.KD"/>
    <x v="29"/>
    <n v="32180"/>
    <x v="3"/>
  </r>
  <r>
    <x v="44"/>
    <s v="PRT"/>
    <x v="2"/>
    <s v="NY.GDP.PCAP.KD"/>
    <x v="30"/>
    <n v="19779"/>
    <x v="3"/>
  </r>
  <r>
    <x v="30"/>
    <s v="ITA"/>
    <x v="2"/>
    <s v="NY.GDP.PCAP.KD"/>
    <x v="31"/>
    <n v="32268"/>
    <x v="3"/>
  </r>
  <r>
    <x v="30"/>
    <s v="ITA"/>
    <x v="2"/>
    <s v="NY.GDP.PCAP.KD"/>
    <x v="32"/>
    <n v="33892"/>
    <x v="0"/>
  </r>
  <r>
    <x v="30"/>
    <s v="ITA"/>
    <x v="2"/>
    <s v="NY.GDP.PCAP.KD"/>
    <x v="33"/>
    <n v="34240"/>
    <x v="0"/>
  </r>
  <r>
    <x v="30"/>
    <s v="ITA"/>
    <x v="2"/>
    <s v="NY.GDP.PCAP.KD"/>
    <x v="54"/>
    <n v="34495"/>
    <x v="0"/>
  </r>
  <r>
    <x v="31"/>
    <s v="KAZ"/>
    <x v="2"/>
    <s v="NY.GDP.PCAP.KD"/>
    <x v="0"/>
    <n v="5557"/>
    <x v="0"/>
  </r>
  <r>
    <x v="31"/>
    <s v="KAZ"/>
    <x v="2"/>
    <s v="NY.GDP.PCAP.KD"/>
    <x v="1"/>
    <n v="4910"/>
    <x v="0"/>
  </r>
  <r>
    <x v="31"/>
    <s v="KAZ"/>
    <x v="2"/>
    <s v="NY.GDP.PCAP.KD"/>
    <x v="2"/>
    <n v="4635"/>
    <x v="0"/>
  </r>
  <r>
    <x v="31"/>
    <s v="KAZ"/>
    <x v="2"/>
    <s v="NY.GDP.PCAP.KD"/>
    <x v="3"/>
    <n v="4223"/>
    <x v="0"/>
  </r>
  <r>
    <x v="31"/>
    <s v="KAZ"/>
    <x v="2"/>
    <s v="NY.GDP.PCAP.KD"/>
    <x v="4"/>
    <n v="3741"/>
    <x v="0"/>
  </r>
  <r>
    <x v="31"/>
    <s v="KAZ"/>
    <x v="2"/>
    <s v="NY.GDP.PCAP.KD"/>
    <x v="5"/>
    <n v="3499"/>
    <x v="0"/>
  </r>
  <r>
    <x v="31"/>
    <s v="KAZ"/>
    <x v="2"/>
    <s v="NY.GDP.PCAP.KD"/>
    <x v="6"/>
    <n v="3583"/>
    <x v="0"/>
  </r>
  <r>
    <x v="31"/>
    <s v="KAZ"/>
    <x v="2"/>
    <s v="NY.GDP.PCAP.KD"/>
    <x v="7"/>
    <n v="3729"/>
    <x v="1"/>
  </r>
  <r>
    <x v="31"/>
    <s v="KAZ"/>
    <x v="2"/>
    <s v="NY.GDP.PCAP.KD"/>
    <x v="8"/>
    <n v="3751"/>
    <x v="1"/>
  </r>
  <r>
    <x v="31"/>
    <s v="KAZ"/>
    <x v="2"/>
    <s v="NY.GDP.PCAP.KD"/>
    <x v="9"/>
    <n v="3900"/>
    <x v="1"/>
  </r>
  <r>
    <x v="31"/>
    <s v="KAZ"/>
    <x v="2"/>
    <s v="NY.GDP.PCAP.KD"/>
    <x v="10"/>
    <n v="4269"/>
    <x v="1"/>
  </r>
  <r>
    <x v="31"/>
    <s v="KAZ"/>
    <x v="2"/>
    <s v="NY.GDP.PCAP.KD"/>
    <x v="11"/>
    <n v="4823"/>
    <x v="1"/>
  </r>
  <r>
    <x v="31"/>
    <s v="KAZ"/>
    <x v="2"/>
    <s v="NY.GDP.PCAP.KD"/>
    <x v="12"/>
    <n v="5268"/>
    <x v="1"/>
  </r>
  <r>
    <x v="31"/>
    <s v="KAZ"/>
    <x v="2"/>
    <s v="NY.GDP.PCAP.KD"/>
    <x v="13"/>
    <n v="5724"/>
    <x v="1"/>
  </r>
  <r>
    <x v="31"/>
    <s v="KAZ"/>
    <x v="2"/>
    <s v="NY.GDP.PCAP.KD"/>
    <x v="14"/>
    <n v="6233"/>
    <x v="1"/>
  </r>
  <r>
    <x v="31"/>
    <s v="KAZ"/>
    <x v="2"/>
    <s v="NY.GDP.PCAP.KD"/>
    <x v="15"/>
    <n v="6787"/>
    <x v="1"/>
  </r>
  <r>
    <x v="31"/>
    <s v="KAZ"/>
    <x v="2"/>
    <s v="NY.GDP.PCAP.KD"/>
    <x v="16"/>
    <n v="7450"/>
    <x v="1"/>
  </r>
  <r>
    <x v="31"/>
    <s v="KAZ"/>
    <x v="2"/>
    <s v="NY.GDP.PCAP.KD"/>
    <x v="17"/>
    <n v="8037"/>
    <x v="2"/>
  </r>
  <r>
    <x v="31"/>
    <s v="KAZ"/>
    <x v="2"/>
    <s v="NY.GDP.PCAP.KD"/>
    <x v="18"/>
    <n v="8217"/>
    <x v="2"/>
  </r>
  <r>
    <x v="31"/>
    <s v="KAZ"/>
    <x v="2"/>
    <s v="NY.GDP.PCAP.KD"/>
    <x v="19"/>
    <n v="8218"/>
    <x v="2"/>
  </r>
  <r>
    <x v="31"/>
    <s v="KAZ"/>
    <x v="2"/>
    <s v="NY.GDP.PCAP.KD"/>
    <x v="20"/>
    <n v="8705"/>
    <x v="2"/>
  </r>
  <r>
    <x v="31"/>
    <s v="KAZ"/>
    <x v="2"/>
    <s v="NY.GDP.PCAP.KD"/>
    <x v="21"/>
    <n v="9223"/>
    <x v="2"/>
  </r>
  <r>
    <x v="31"/>
    <s v="KAZ"/>
    <x v="2"/>
    <s v="NY.GDP.PCAP.KD"/>
    <x v="22"/>
    <n v="9532"/>
    <x v="2"/>
  </r>
  <r>
    <x v="31"/>
    <s v="KAZ"/>
    <x v="2"/>
    <s v="NY.GDP.PCAP.KD"/>
    <x v="23"/>
    <n v="9960"/>
    <x v="2"/>
  </r>
  <r>
    <x v="31"/>
    <s v="KAZ"/>
    <x v="2"/>
    <s v="NY.GDP.PCAP.KD"/>
    <x v="24"/>
    <n v="10227"/>
    <x v="2"/>
  </r>
  <r>
    <x v="31"/>
    <s v="KAZ"/>
    <x v="2"/>
    <s v="NY.GDP.PCAP.KD"/>
    <x v="25"/>
    <n v="10196"/>
    <x v="2"/>
  </r>
  <r>
    <x v="31"/>
    <s v="KAZ"/>
    <x v="2"/>
    <s v="NY.GDP.PCAP.KD"/>
    <x v="26"/>
    <n v="10151"/>
    <x v="2"/>
  </r>
  <r>
    <x v="31"/>
    <s v="KAZ"/>
    <x v="2"/>
    <s v="NY.GDP.PCAP.KD"/>
    <x v="27"/>
    <n v="10404"/>
    <x v="3"/>
  </r>
  <r>
    <x v="31"/>
    <s v="KAZ"/>
    <x v="2"/>
    <s v="NY.GDP.PCAP.KD"/>
    <x v="28"/>
    <n v="10670"/>
    <x v="3"/>
  </r>
  <r>
    <x v="31"/>
    <s v="KAZ"/>
    <x v="2"/>
    <s v="NY.GDP.PCAP.KD"/>
    <x v="29"/>
    <n v="10990"/>
    <x v="3"/>
  </r>
  <r>
    <x v="16"/>
    <s v="EST"/>
    <x v="2"/>
    <s v="NY.GDP.PCAP.KD"/>
    <x v="30"/>
    <n v="19947"/>
    <x v="3"/>
  </r>
  <r>
    <x v="31"/>
    <s v="KAZ"/>
    <x v="2"/>
    <s v="NY.GDP.PCAP.KD"/>
    <x v="31"/>
    <n v="10873"/>
    <x v="3"/>
  </r>
  <r>
    <x v="31"/>
    <s v="KAZ"/>
    <x v="2"/>
    <s v="NY.GDP.PCAP.KD"/>
    <x v="32"/>
    <n v="11058"/>
    <x v="5"/>
  </r>
  <r>
    <x v="31"/>
    <s v="KAZ"/>
    <x v="2"/>
    <s v="NY.GDP.PCAP.KD"/>
    <x v="33"/>
    <n v="11453"/>
    <x v="5"/>
  </r>
  <r>
    <x v="31"/>
    <s v="KAZ"/>
    <x v="2"/>
    <s v="NY.GDP.PCAP.KD"/>
    <x v="54"/>
    <n v="11873"/>
    <x v="5"/>
  </r>
  <r>
    <x v="32"/>
    <s v="KGZ"/>
    <x v="2"/>
    <s v="NY.GDP.PCAP.KD"/>
    <x v="50"/>
    <n v="1023"/>
    <x v="5"/>
  </r>
  <r>
    <x v="32"/>
    <s v="KGZ"/>
    <x v="2"/>
    <s v="NY.GDP.PCAP.KD"/>
    <x v="51"/>
    <n v="1037"/>
    <x v="0"/>
  </r>
  <r>
    <x v="32"/>
    <s v="KGZ"/>
    <x v="2"/>
    <s v="NY.GDP.PCAP.KD"/>
    <x v="52"/>
    <n v="1153"/>
    <x v="0"/>
  </r>
  <r>
    <x v="32"/>
    <s v="KGZ"/>
    <x v="2"/>
    <s v="NY.GDP.PCAP.KD"/>
    <x v="53"/>
    <n v="1161"/>
    <x v="0"/>
  </r>
  <r>
    <x v="32"/>
    <s v="KGZ"/>
    <x v="2"/>
    <s v="NY.GDP.PCAP.KD"/>
    <x v="0"/>
    <n v="1203"/>
    <x v="0"/>
  </r>
  <r>
    <x v="32"/>
    <s v="KGZ"/>
    <x v="2"/>
    <s v="NY.GDP.PCAP.KD"/>
    <x v="1"/>
    <n v="1090"/>
    <x v="0"/>
  </r>
  <r>
    <x v="32"/>
    <s v="KGZ"/>
    <x v="2"/>
    <s v="NY.GDP.PCAP.KD"/>
    <x v="2"/>
    <n v="928"/>
    <x v="0"/>
  </r>
  <r>
    <x v="32"/>
    <s v="KGZ"/>
    <x v="2"/>
    <s v="NY.GDP.PCAP.KD"/>
    <x v="3"/>
    <n v="785"/>
    <x v="0"/>
  </r>
  <r>
    <x v="32"/>
    <s v="KGZ"/>
    <x v="2"/>
    <s v="NY.GDP.PCAP.KD"/>
    <x v="4"/>
    <n v="627"/>
    <x v="0"/>
  </r>
  <r>
    <x v="32"/>
    <s v="KGZ"/>
    <x v="2"/>
    <s v="NY.GDP.PCAP.KD"/>
    <x v="5"/>
    <n v="587"/>
    <x v="0"/>
  </r>
  <r>
    <x v="32"/>
    <s v="KGZ"/>
    <x v="2"/>
    <s v="NY.GDP.PCAP.KD"/>
    <x v="6"/>
    <n v="620"/>
    <x v="0"/>
  </r>
  <r>
    <x v="32"/>
    <s v="KGZ"/>
    <x v="2"/>
    <s v="NY.GDP.PCAP.KD"/>
    <x v="7"/>
    <n v="671"/>
    <x v="1"/>
  </r>
  <r>
    <x v="32"/>
    <s v="KGZ"/>
    <x v="2"/>
    <s v="NY.GDP.PCAP.KD"/>
    <x v="8"/>
    <n v="675"/>
    <x v="1"/>
  </r>
  <r>
    <x v="32"/>
    <s v="KGZ"/>
    <x v="2"/>
    <s v="NY.GDP.PCAP.KD"/>
    <x v="9"/>
    <n v="689"/>
    <x v="1"/>
  </r>
  <r>
    <x v="32"/>
    <s v="KGZ"/>
    <x v="2"/>
    <s v="NY.GDP.PCAP.KD"/>
    <x v="10"/>
    <n v="718"/>
    <x v="1"/>
  </r>
  <r>
    <x v="32"/>
    <s v="KGZ"/>
    <x v="2"/>
    <s v="NY.GDP.PCAP.KD"/>
    <x v="11"/>
    <n v="749"/>
    <x v="1"/>
  </r>
  <r>
    <x v="32"/>
    <s v="KGZ"/>
    <x v="2"/>
    <s v="NY.GDP.PCAP.KD"/>
    <x v="12"/>
    <n v="742"/>
    <x v="1"/>
  </r>
  <r>
    <x v="32"/>
    <s v="KGZ"/>
    <x v="2"/>
    <s v="NY.GDP.PCAP.KD"/>
    <x v="13"/>
    <n v="786"/>
    <x v="1"/>
  </r>
  <r>
    <x v="32"/>
    <s v="KGZ"/>
    <x v="2"/>
    <s v="NY.GDP.PCAP.KD"/>
    <x v="14"/>
    <n v="831"/>
    <x v="1"/>
  </r>
  <r>
    <x v="32"/>
    <s v="KGZ"/>
    <x v="2"/>
    <s v="NY.GDP.PCAP.KD"/>
    <x v="15"/>
    <n v="821"/>
    <x v="1"/>
  </r>
  <r>
    <x v="32"/>
    <s v="KGZ"/>
    <x v="2"/>
    <s v="NY.GDP.PCAP.KD"/>
    <x v="16"/>
    <n v="837"/>
    <x v="1"/>
  </r>
  <r>
    <x v="32"/>
    <s v="KGZ"/>
    <x v="2"/>
    <s v="NY.GDP.PCAP.KD"/>
    <x v="17"/>
    <n v="900"/>
    <x v="2"/>
  </r>
  <r>
    <x v="32"/>
    <s v="KGZ"/>
    <x v="2"/>
    <s v="NY.GDP.PCAP.KD"/>
    <x v="18"/>
    <n v="966"/>
    <x v="2"/>
  </r>
  <r>
    <x v="32"/>
    <s v="KGZ"/>
    <x v="2"/>
    <s v="NY.GDP.PCAP.KD"/>
    <x v="19"/>
    <n v="981"/>
    <x v="2"/>
  </r>
  <r>
    <x v="32"/>
    <s v="KGZ"/>
    <x v="2"/>
    <s v="NY.GDP.PCAP.KD"/>
    <x v="20"/>
    <n v="963"/>
    <x v="2"/>
  </r>
  <r>
    <x v="32"/>
    <s v="KGZ"/>
    <x v="2"/>
    <s v="NY.GDP.PCAP.KD"/>
    <x v="21"/>
    <n v="1005"/>
    <x v="2"/>
  </r>
  <r>
    <x v="32"/>
    <s v="KGZ"/>
    <x v="2"/>
    <s v="NY.GDP.PCAP.KD"/>
    <x v="22"/>
    <n v="986"/>
    <x v="2"/>
  </r>
  <r>
    <x v="32"/>
    <s v="KGZ"/>
    <x v="2"/>
    <s v="NY.GDP.PCAP.KD"/>
    <x v="23"/>
    <n v="1070"/>
    <x v="2"/>
  </r>
  <r>
    <x v="32"/>
    <s v="KGZ"/>
    <x v="2"/>
    <s v="NY.GDP.PCAP.KD"/>
    <x v="24"/>
    <n v="1089"/>
    <x v="2"/>
  </r>
  <r>
    <x v="32"/>
    <s v="KGZ"/>
    <x v="2"/>
    <s v="NY.GDP.PCAP.KD"/>
    <x v="25"/>
    <n v="1106"/>
    <x v="2"/>
  </r>
  <r>
    <x v="32"/>
    <s v="KGZ"/>
    <x v="2"/>
    <s v="NY.GDP.PCAP.KD"/>
    <x v="26"/>
    <n v="1128"/>
    <x v="2"/>
  </r>
  <r>
    <x v="32"/>
    <s v="KGZ"/>
    <x v="2"/>
    <s v="NY.GDP.PCAP.KD"/>
    <x v="27"/>
    <n v="1157"/>
    <x v="3"/>
  </r>
  <r>
    <x v="32"/>
    <s v="KGZ"/>
    <x v="2"/>
    <s v="NY.GDP.PCAP.KD"/>
    <x v="28"/>
    <n v="1175"/>
    <x v="3"/>
  </r>
  <r>
    <x v="32"/>
    <s v="KGZ"/>
    <x v="2"/>
    <s v="NY.GDP.PCAP.KD"/>
    <x v="29"/>
    <n v="1202"/>
    <x v="3"/>
  </r>
  <r>
    <x v="50"/>
    <s v="SVN"/>
    <x v="2"/>
    <s v="NY.GDP.PCAP.KD"/>
    <x v="30"/>
    <n v="22812"/>
    <x v="3"/>
  </r>
  <r>
    <x v="32"/>
    <s v="KGZ"/>
    <x v="2"/>
    <s v="NY.GDP.PCAP.KD"/>
    <x v="31"/>
    <n v="1133"/>
    <x v="3"/>
  </r>
  <r>
    <x v="32"/>
    <s v="KGZ"/>
    <x v="2"/>
    <s v="NY.GDP.PCAP.KD"/>
    <x v="32"/>
    <n v="1212"/>
    <x v="2"/>
  </r>
  <r>
    <x v="32"/>
    <s v="KGZ"/>
    <x v="2"/>
    <s v="NY.GDP.PCAP.KD"/>
    <x v="33"/>
    <n v="1298"/>
    <x v="0"/>
  </r>
  <r>
    <x v="32"/>
    <s v="KGZ"/>
    <x v="2"/>
    <s v="NY.GDP.PCAP.KD"/>
    <x v="54"/>
    <n v="1392"/>
    <x v="0"/>
  </r>
  <r>
    <x v="33"/>
    <s v="LIE"/>
    <x v="2"/>
    <s v="NY.GDP.PCAP.KD"/>
    <x v="25"/>
    <n v="167187"/>
    <x v="0"/>
  </r>
  <r>
    <x v="34"/>
    <s v="LTU"/>
    <x v="2"/>
    <s v="NY.GDP.PCAP.KD"/>
    <x v="0"/>
    <n v="8333"/>
    <x v="0"/>
  </r>
  <r>
    <x v="34"/>
    <s v="LTU"/>
    <x v="2"/>
    <s v="NY.GDP.PCAP.KD"/>
    <x v="1"/>
    <n v="7847"/>
    <x v="0"/>
  </r>
  <r>
    <x v="34"/>
    <s v="LTU"/>
    <x v="2"/>
    <s v="NY.GDP.PCAP.KD"/>
    <x v="2"/>
    <n v="6186"/>
    <x v="0"/>
  </r>
  <r>
    <x v="34"/>
    <s v="LTU"/>
    <x v="2"/>
    <s v="NY.GDP.PCAP.KD"/>
    <x v="3"/>
    <n v="5206"/>
    <x v="0"/>
  </r>
  <r>
    <x v="34"/>
    <s v="LTU"/>
    <x v="2"/>
    <s v="NY.GDP.PCAP.KD"/>
    <x v="4"/>
    <n v="4731"/>
    <x v="0"/>
  </r>
  <r>
    <x v="34"/>
    <s v="LTU"/>
    <x v="2"/>
    <s v="NY.GDP.PCAP.KD"/>
    <x v="5"/>
    <n v="4924"/>
    <x v="0"/>
  </r>
  <r>
    <x v="34"/>
    <s v="LTU"/>
    <x v="2"/>
    <s v="NY.GDP.PCAP.KD"/>
    <x v="6"/>
    <n v="5211"/>
    <x v="0"/>
  </r>
  <r>
    <x v="34"/>
    <s v="LTU"/>
    <x v="2"/>
    <s v="NY.GDP.PCAP.KD"/>
    <x v="7"/>
    <n v="5685"/>
    <x v="1"/>
  </r>
  <r>
    <x v="34"/>
    <s v="LTU"/>
    <x v="2"/>
    <s v="NY.GDP.PCAP.KD"/>
    <x v="8"/>
    <n v="6154"/>
    <x v="1"/>
  </r>
  <r>
    <x v="34"/>
    <s v="LTU"/>
    <x v="2"/>
    <s v="NY.GDP.PCAP.KD"/>
    <x v="9"/>
    <n v="6130"/>
    <x v="1"/>
  </r>
  <r>
    <x v="34"/>
    <s v="LTU"/>
    <x v="2"/>
    <s v="NY.GDP.PCAP.KD"/>
    <x v="10"/>
    <n v="6384"/>
    <x v="1"/>
  </r>
  <r>
    <x v="34"/>
    <s v="LTU"/>
    <x v="2"/>
    <s v="NY.GDP.PCAP.KD"/>
    <x v="11"/>
    <n v="6855"/>
    <x v="1"/>
  </r>
  <r>
    <x v="34"/>
    <s v="LTU"/>
    <x v="2"/>
    <s v="NY.GDP.PCAP.KD"/>
    <x v="12"/>
    <n v="7374"/>
    <x v="1"/>
  </r>
  <r>
    <x v="34"/>
    <s v="LTU"/>
    <x v="2"/>
    <s v="NY.GDP.PCAP.KD"/>
    <x v="13"/>
    <n v="8219"/>
    <x v="1"/>
  </r>
  <r>
    <x v="34"/>
    <s v="LTU"/>
    <x v="2"/>
    <s v="NY.GDP.PCAP.KD"/>
    <x v="14"/>
    <n v="8852"/>
    <x v="1"/>
  </r>
  <r>
    <x v="34"/>
    <s v="LTU"/>
    <x v="2"/>
    <s v="NY.GDP.PCAP.KD"/>
    <x v="15"/>
    <n v="9693"/>
    <x v="1"/>
  </r>
  <r>
    <x v="34"/>
    <s v="LTU"/>
    <x v="2"/>
    <s v="NY.GDP.PCAP.KD"/>
    <x v="16"/>
    <n v="10577"/>
    <x v="1"/>
  </r>
  <r>
    <x v="34"/>
    <s v="LTU"/>
    <x v="2"/>
    <s v="NY.GDP.PCAP.KD"/>
    <x v="17"/>
    <n v="11889"/>
    <x v="2"/>
  </r>
  <r>
    <x v="34"/>
    <s v="LTU"/>
    <x v="2"/>
    <s v="NY.GDP.PCAP.KD"/>
    <x v="18"/>
    <n v="12325"/>
    <x v="2"/>
  </r>
  <r>
    <x v="34"/>
    <s v="LTU"/>
    <x v="2"/>
    <s v="NY.GDP.PCAP.KD"/>
    <x v="19"/>
    <n v="10613"/>
    <x v="2"/>
  </r>
  <r>
    <x v="34"/>
    <s v="LTU"/>
    <x v="2"/>
    <s v="NY.GDP.PCAP.KD"/>
    <x v="20"/>
    <n v="10884"/>
    <x v="2"/>
  </r>
  <r>
    <x v="34"/>
    <s v="LTU"/>
    <x v="2"/>
    <s v="NY.GDP.PCAP.KD"/>
    <x v="21"/>
    <n v="11837"/>
    <x v="2"/>
  </r>
  <r>
    <x v="34"/>
    <s v="LTU"/>
    <x v="2"/>
    <s v="NY.GDP.PCAP.KD"/>
    <x v="22"/>
    <n v="12517"/>
    <x v="2"/>
  </r>
  <r>
    <x v="34"/>
    <s v="LTU"/>
    <x v="2"/>
    <s v="NY.GDP.PCAP.KD"/>
    <x v="23"/>
    <n v="13146"/>
    <x v="2"/>
  </r>
  <r>
    <x v="34"/>
    <s v="LTU"/>
    <x v="2"/>
    <s v="NY.GDP.PCAP.KD"/>
    <x v="24"/>
    <n v="13753"/>
    <x v="2"/>
  </r>
  <r>
    <x v="34"/>
    <s v="LTU"/>
    <x v="2"/>
    <s v="NY.GDP.PCAP.KD"/>
    <x v="25"/>
    <n v="14270"/>
    <x v="2"/>
  </r>
  <r>
    <x v="34"/>
    <s v="LTU"/>
    <x v="2"/>
    <s v="NY.GDP.PCAP.KD"/>
    <x v="26"/>
    <n v="14823"/>
    <x v="2"/>
  </r>
  <r>
    <x v="34"/>
    <s v="LTU"/>
    <x v="2"/>
    <s v="NY.GDP.PCAP.KD"/>
    <x v="27"/>
    <n v="15696"/>
    <x v="3"/>
  </r>
  <r>
    <x v="34"/>
    <s v="LTU"/>
    <x v="2"/>
    <s v="NY.GDP.PCAP.KD"/>
    <x v="28"/>
    <n v="16605"/>
    <x v="3"/>
  </r>
  <r>
    <x v="34"/>
    <s v="LTU"/>
    <x v="2"/>
    <s v="NY.GDP.PCAP.KD"/>
    <x v="29"/>
    <n v="17432"/>
    <x v="3"/>
  </r>
  <r>
    <x v="15"/>
    <s v="ESP"/>
    <x v="2"/>
    <s v="NY.GDP.PCAP.KD"/>
    <x v="30"/>
    <n v="25077"/>
    <x v="3"/>
  </r>
  <r>
    <x v="34"/>
    <s v="LTU"/>
    <x v="2"/>
    <s v="NY.GDP.PCAP.KD"/>
    <x v="31"/>
    <n v="18570"/>
    <x v="3"/>
  </r>
  <r>
    <x v="34"/>
    <s v="LTU"/>
    <x v="2"/>
    <s v="NY.GDP.PCAP.KD"/>
    <x v="32"/>
    <n v="18885"/>
    <x v="6"/>
  </r>
  <r>
    <x v="34"/>
    <s v="LTU"/>
    <x v="2"/>
    <s v="NY.GDP.PCAP.KD"/>
    <x v="33"/>
    <n v="18686"/>
    <x v="6"/>
  </r>
  <r>
    <x v="34"/>
    <s v="LTU"/>
    <x v="2"/>
    <s v="NY.GDP.PCAP.KD"/>
    <x v="54"/>
    <n v="19093"/>
    <x v="6"/>
  </r>
  <r>
    <x v="35"/>
    <s v="LUX"/>
    <x v="2"/>
    <s v="NY.GDP.PCAP.KD"/>
    <x v="55"/>
    <n v="27861"/>
    <x v="6"/>
  </r>
  <r>
    <x v="35"/>
    <s v="LUX"/>
    <x v="2"/>
    <s v="NY.GDP.PCAP.KD"/>
    <x v="56"/>
    <n v="28666"/>
    <x v="6"/>
  </r>
  <r>
    <x v="35"/>
    <s v="LUX"/>
    <x v="2"/>
    <s v="NY.GDP.PCAP.KD"/>
    <x v="57"/>
    <n v="28701"/>
    <x v="6"/>
  </r>
  <r>
    <x v="35"/>
    <s v="LUX"/>
    <x v="2"/>
    <s v="NY.GDP.PCAP.KD"/>
    <x v="58"/>
    <n v="29382"/>
    <x v="6"/>
  </r>
  <r>
    <x v="35"/>
    <s v="LUX"/>
    <x v="2"/>
    <s v="NY.GDP.PCAP.KD"/>
    <x v="59"/>
    <n v="31340"/>
    <x v="6"/>
  </r>
  <r>
    <x v="35"/>
    <s v="LUX"/>
    <x v="2"/>
    <s v="NY.GDP.PCAP.KD"/>
    <x v="60"/>
    <n v="30758"/>
    <x v="6"/>
  </r>
  <r>
    <x v="35"/>
    <s v="LUX"/>
    <x v="2"/>
    <s v="NY.GDP.PCAP.KD"/>
    <x v="61"/>
    <n v="30875"/>
    <x v="6"/>
  </r>
  <r>
    <x v="35"/>
    <s v="LUX"/>
    <x v="2"/>
    <s v="NY.GDP.PCAP.KD"/>
    <x v="62"/>
    <n v="30840"/>
    <x v="4"/>
  </r>
  <r>
    <x v="35"/>
    <s v="LUX"/>
    <x v="2"/>
    <s v="NY.GDP.PCAP.KD"/>
    <x v="63"/>
    <n v="32049"/>
    <x v="4"/>
  </r>
  <r>
    <x v="35"/>
    <s v="LUX"/>
    <x v="2"/>
    <s v="NY.GDP.PCAP.KD"/>
    <x v="64"/>
    <n v="35072"/>
    <x v="4"/>
  </r>
  <r>
    <x v="35"/>
    <s v="LUX"/>
    <x v="2"/>
    <s v="NY.GDP.PCAP.KD"/>
    <x v="34"/>
    <n v="35514"/>
    <x v="4"/>
  </r>
  <r>
    <x v="35"/>
    <s v="LUX"/>
    <x v="2"/>
    <s v="NY.GDP.PCAP.KD"/>
    <x v="35"/>
    <n v="36115"/>
    <x v="4"/>
  </r>
  <r>
    <x v="35"/>
    <s v="LUX"/>
    <x v="2"/>
    <s v="NY.GDP.PCAP.KD"/>
    <x v="36"/>
    <n v="38034"/>
    <x v="4"/>
  </r>
  <r>
    <x v="35"/>
    <s v="LUX"/>
    <x v="2"/>
    <s v="NY.GDP.PCAP.KD"/>
    <x v="37"/>
    <n v="40743"/>
    <x v="4"/>
  </r>
  <r>
    <x v="35"/>
    <s v="LUX"/>
    <x v="2"/>
    <s v="NY.GDP.PCAP.KD"/>
    <x v="38"/>
    <n v="41909"/>
    <x v="4"/>
  </r>
  <r>
    <x v="35"/>
    <s v="LUX"/>
    <x v="2"/>
    <s v="NY.GDP.PCAP.KD"/>
    <x v="39"/>
    <n v="38730"/>
    <x v="4"/>
  </r>
  <r>
    <x v="35"/>
    <s v="LUX"/>
    <x v="2"/>
    <s v="NY.GDP.PCAP.KD"/>
    <x v="40"/>
    <n v="39515"/>
    <x v="4"/>
  </r>
  <r>
    <x v="35"/>
    <s v="LUX"/>
    <x v="2"/>
    <s v="NY.GDP.PCAP.KD"/>
    <x v="41"/>
    <n v="40066"/>
    <x v="5"/>
  </r>
  <r>
    <x v="35"/>
    <s v="LUX"/>
    <x v="2"/>
    <s v="NY.GDP.PCAP.KD"/>
    <x v="42"/>
    <n v="41624"/>
    <x v="5"/>
  </r>
  <r>
    <x v="35"/>
    <s v="LUX"/>
    <x v="2"/>
    <s v="NY.GDP.PCAP.KD"/>
    <x v="43"/>
    <n v="42500"/>
    <x v="5"/>
  </r>
  <r>
    <x v="35"/>
    <s v="LUX"/>
    <x v="2"/>
    <s v="NY.GDP.PCAP.KD"/>
    <x v="44"/>
    <n v="42705"/>
    <x v="5"/>
  </r>
  <r>
    <x v="35"/>
    <s v="LUX"/>
    <x v="2"/>
    <s v="NY.GDP.PCAP.KD"/>
    <x v="45"/>
    <n v="42345"/>
    <x v="5"/>
  </r>
  <r>
    <x v="35"/>
    <s v="LUX"/>
    <x v="2"/>
    <s v="NY.GDP.PCAP.KD"/>
    <x v="46"/>
    <n v="42789"/>
    <x v="5"/>
  </r>
  <r>
    <x v="35"/>
    <s v="LUX"/>
    <x v="2"/>
    <s v="NY.GDP.PCAP.KD"/>
    <x v="47"/>
    <n v="44056"/>
    <x v="5"/>
  </r>
  <r>
    <x v="35"/>
    <s v="LUX"/>
    <x v="2"/>
    <s v="NY.GDP.PCAP.KD"/>
    <x v="48"/>
    <n v="46734"/>
    <x v="5"/>
  </r>
  <r>
    <x v="35"/>
    <s v="LUX"/>
    <x v="2"/>
    <s v="NY.GDP.PCAP.KD"/>
    <x v="49"/>
    <n v="47946"/>
    <x v="5"/>
  </r>
  <r>
    <x v="35"/>
    <s v="LUX"/>
    <x v="2"/>
    <s v="NY.GDP.PCAP.KD"/>
    <x v="50"/>
    <n v="52497"/>
    <x v="5"/>
  </r>
  <r>
    <x v="35"/>
    <s v="LUX"/>
    <x v="2"/>
    <s v="NY.GDP.PCAP.KD"/>
    <x v="51"/>
    <n v="54218"/>
    <x v="0"/>
  </r>
  <r>
    <x v="35"/>
    <s v="LUX"/>
    <x v="2"/>
    <s v="NY.GDP.PCAP.KD"/>
    <x v="52"/>
    <n v="58382"/>
    <x v="0"/>
  </r>
  <r>
    <x v="35"/>
    <s v="LUX"/>
    <x v="2"/>
    <s v="NY.GDP.PCAP.KD"/>
    <x v="53"/>
    <n v="63482"/>
    <x v="0"/>
  </r>
  <r>
    <x v="35"/>
    <s v="LUX"/>
    <x v="2"/>
    <s v="NY.GDP.PCAP.KD"/>
    <x v="0"/>
    <n v="66027"/>
    <x v="0"/>
  </r>
  <r>
    <x v="35"/>
    <s v="LUX"/>
    <x v="2"/>
    <s v="NY.GDP.PCAP.KD"/>
    <x v="1"/>
    <n v="70780"/>
    <x v="0"/>
  </r>
  <r>
    <x v="35"/>
    <s v="LUX"/>
    <x v="2"/>
    <s v="NY.GDP.PCAP.KD"/>
    <x v="2"/>
    <n v="71117"/>
    <x v="0"/>
  </r>
  <r>
    <x v="35"/>
    <s v="LUX"/>
    <x v="2"/>
    <s v="NY.GDP.PCAP.KD"/>
    <x v="3"/>
    <n v="73116"/>
    <x v="0"/>
  </r>
  <r>
    <x v="35"/>
    <s v="LUX"/>
    <x v="2"/>
    <s v="NY.GDP.PCAP.KD"/>
    <x v="4"/>
    <n v="74883"/>
    <x v="0"/>
  </r>
  <r>
    <x v="35"/>
    <s v="LUX"/>
    <x v="2"/>
    <s v="NY.GDP.PCAP.KD"/>
    <x v="5"/>
    <n v="74896"/>
    <x v="0"/>
  </r>
  <r>
    <x v="35"/>
    <s v="LUX"/>
    <x v="2"/>
    <s v="NY.GDP.PCAP.KD"/>
    <x v="6"/>
    <n v="74917"/>
    <x v="0"/>
  </r>
  <r>
    <x v="35"/>
    <s v="LUX"/>
    <x v="2"/>
    <s v="NY.GDP.PCAP.KD"/>
    <x v="7"/>
    <n v="77993"/>
    <x v="1"/>
  </r>
  <r>
    <x v="35"/>
    <s v="LUX"/>
    <x v="2"/>
    <s v="NY.GDP.PCAP.KD"/>
    <x v="8"/>
    <n v="82170"/>
    <x v="1"/>
  </r>
  <r>
    <x v="35"/>
    <s v="LUX"/>
    <x v="2"/>
    <s v="NY.GDP.PCAP.KD"/>
    <x v="9"/>
    <n v="87695"/>
    <x v="1"/>
  </r>
  <r>
    <x v="35"/>
    <s v="LUX"/>
    <x v="2"/>
    <s v="NY.GDP.PCAP.KD"/>
    <x v="10"/>
    <n v="92528"/>
    <x v="1"/>
  </r>
  <r>
    <x v="35"/>
    <s v="LUX"/>
    <x v="2"/>
    <s v="NY.GDP.PCAP.KD"/>
    <x v="11"/>
    <n v="94244"/>
    <x v="1"/>
  </r>
  <r>
    <x v="35"/>
    <s v="LUX"/>
    <x v="2"/>
    <s v="NY.GDP.PCAP.KD"/>
    <x v="12"/>
    <n v="96270"/>
    <x v="1"/>
  </r>
  <r>
    <x v="35"/>
    <s v="LUX"/>
    <x v="2"/>
    <s v="NY.GDP.PCAP.KD"/>
    <x v="13"/>
    <n v="97598"/>
    <x v="1"/>
  </r>
  <r>
    <x v="35"/>
    <s v="LUX"/>
    <x v="2"/>
    <s v="NY.GDP.PCAP.KD"/>
    <x v="14"/>
    <n v="100293"/>
    <x v="1"/>
  </r>
  <r>
    <x v="35"/>
    <s v="LUX"/>
    <x v="2"/>
    <s v="NY.GDP.PCAP.KD"/>
    <x v="15"/>
    <n v="101222"/>
    <x v="1"/>
  </r>
  <r>
    <x v="35"/>
    <s v="LUX"/>
    <x v="2"/>
    <s v="NY.GDP.PCAP.KD"/>
    <x v="16"/>
    <n v="105614"/>
    <x v="1"/>
  </r>
  <r>
    <x v="35"/>
    <s v="LUX"/>
    <x v="2"/>
    <s v="NY.GDP.PCAP.KD"/>
    <x v="17"/>
    <n v="112418"/>
    <x v="2"/>
  </r>
  <r>
    <x v="35"/>
    <s v="LUX"/>
    <x v="2"/>
    <s v="NY.GDP.PCAP.KD"/>
    <x v="18"/>
    <n v="110095"/>
    <x v="2"/>
  </r>
  <r>
    <x v="35"/>
    <s v="LUX"/>
    <x v="2"/>
    <s v="NY.GDP.PCAP.KD"/>
    <x v="19"/>
    <n v="104574"/>
    <x v="2"/>
  </r>
  <r>
    <x v="35"/>
    <s v="LUX"/>
    <x v="2"/>
    <s v="NY.GDP.PCAP.KD"/>
    <x v="20"/>
    <n v="106544"/>
    <x v="2"/>
  </r>
  <r>
    <x v="35"/>
    <s v="LUX"/>
    <x v="2"/>
    <s v="NY.GDP.PCAP.KD"/>
    <x v="21"/>
    <n v="105290"/>
    <x v="2"/>
  </r>
  <r>
    <x v="35"/>
    <s v="LUX"/>
    <x v="2"/>
    <s v="NY.GDP.PCAP.KD"/>
    <x v="22"/>
    <n v="104488"/>
    <x v="2"/>
  </r>
  <r>
    <x v="35"/>
    <s v="LUX"/>
    <x v="2"/>
    <s v="NY.GDP.PCAP.KD"/>
    <x v="23"/>
    <n v="105339"/>
    <x v="2"/>
  </r>
  <r>
    <x v="35"/>
    <s v="LUX"/>
    <x v="2"/>
    <s v="NY.GDP.PCAP.KD"/>
    <x v="24"/>
    <n v="105584"/>
    <x v="2"/>
  </r>
  <r>
    <x v="35"/>
    <s v="LUX"/>
    <x v="2"/>
    <s v="NY.GDP.PCAP.KD"/>
    <x v="25"/>
    <n v="105462"/>
    <x v="2"/>
  </r>
  <r>
    <x v="35"/>
    <s v="LUX"/>
    <x v="2"/>
    <s v="NY.GDP.PCAP.KD"/>
    <x v="26"/>
    <n v="108351"/>
    <x v="2"/>
  </r>
  <r>
    <x v="35"/>
    <s v="LUX"/>
    <x v="2"/>
    <s v="NY.GDP.PCAP.KD"/>
    <x v="27"/>
    <n v="107142"/>
    <x v="3"/>
  </r>
  <r>
    <x v="35"/>
    <s v="LUX"/>
    <x v="2"/>
    <s v="NY.GDP.PCAP.KD"/>
    <x v="28"/>
    <n v="106789"/>
    <x v="3"/>
  </r>
  <r>
    <x v="35"/>
    <s v="LUX"/>
    <x v="2"/>
    <s v="NY.GDP.PCAP.KD"/>
    <x v="29"/>
    <n v="107592"/>
    <x v="3"/>
  </r>
  <r>
    <x v="11"/>
    <s v="CYP"/>
    <x v="2"/>
    <s v="NY.GDP.PCAP.KD"/>
    <x v="30"/>
    <n v="26896"/>
    <x v="3"/>
  </r>
  <r>
    <x v="35"/>
    <s v="LUX"/>
    <x v="2"/>
    <s v="NY.GDP.PCAP.KD"/>
    <x v="31"/>
    <n v="110873"/>
    <x v="3"/>
  </r>
  <r>
    <x v="35"/>
    <s v="LUX"/>
    <x v="2"/>
    <s v="NY.GDP.PCAP.KD"/>
    <x v="32"/>
    <n v="107467"/>
    <x v="0"/>
  </r>
  <r>
    <x v="35"/>
    <s v="LUX"/>
    <x v="2"/>
    <s v="NY.GDP.PCAP.KD"/>
    <x v="33"/>
    <n v="105423"/>
    <x v="0"/>
  </r>
  <r>
    <x v="35"/>
    <s v="LUX"/>
    <x v="2"/>
    <s v="NY.GDP.PCAP.KD"/>
    <x v="54"/>
    <n v="104147"/>
    <x v="0"/>
  </r>
  <r>
    <x v="36"/>
    <s v="LVA"/>
    <x v="2"/>
    <s v="NY.GDP.PCAP.KD"/>
    <x v="0"/>
    <n v="7623"/>
    <x v="0"/>
  </r>
  <r>
    <x v="36"/>
    <s v="LVA"/>
    <x v="2"/>
    <s v="NY.GDP.PCAP.KD"/>
    <x v="1"/>
    <n v="6694"/>
    <x v="0"/>
  </r>
  <r>
    <x v="36"/>
    <s v="LVA"/>
    <x v="2"/>
    <s v="NY.GDP.PCAP.KD"/>
    <x v="2"/>
    <n v="4607"/>
    <x v="0"/>
  </r>
  <r>
    <x v="36"/>
    <s v="LVA"/>
    <x v="2"/>
    <s v="NY.GDP.PCAP.KD"/>
    <x v="3"/>
    <n v="4465"/>
    <x v="0"/>
  </r>
  <r>
    <x v="36"/>
    <s v="LVA"/>
    <x v="2"/>
    <s v="NY.GDP.PCAP.KD"/>
    <x v="4"/>
    <n v="4640"/>
    <x v="0"/>
  </r>
  <r>
    <x v="36"/>
    <s v="LVA"/>
    <x v="2"/>
    <s v="NY.GDP.PCAP.KD"/>
    <x v="5"/>
    <n v="4662"/>
    <x v="0"/>
  </r>
  <r>
    <x v="36"/>
    <s v="LVA"/>
    <x v="2"/>
    <s v="NY.GDP.PCAP.KD"/>
    <x v="6"/>
    <n v="4823"/>
    <x v="0"/>
  </r>
  <r>
    <x v="36"/>
    <s v="LVA"/>
    <x v="2"/>
    <s v="NY.GDP.PCAP.KD"/>
    <x v="7"/>
    <n v="5318"/>
    <x v="1"/>
  </r>
  <r>
    <x v="36"/>
    <s v="LVA"/>
    <x v="2"/>
    <s v="NY.GDP.PCAP.KD"/>
    <x v="8"/>
    <n v="5720"/>
    <x v="1"/>
  </r>
  <r>
    <x v="36"/>
    <s v="LVA"/>
    <x v="2"/>
    <s v="NY.GDP.PCAP.KD"/>
    <x v="9"/>
    <n v="5929"/>
    <x v="1"/>
  </r>
  <r>
    <x v="36"/>
    <s v="LVA"/>
    <x v="2"/>
    <s v="NY.GDP.PCAP.KD"/>
    <x v="10"/>
    <n v="6336"/>
    <x v="1"/>
  </r>
  <r>
    <x v="36"/>
    <s v="LVA"/>
    <x v="2"/>
    <s v="NY.GDP.PCAP.KD"/>
    <x v="11"/>
    <n v="6833"/>
    <x v="1"/>
  </r>
  <r>
    <x v="36"/>
    <s v="LVA"/>
    <x v="2"/>
    <s v="NY.GDP.PCAP.KD"/>
    <x v="12"/>
    <n v="7443"/>
    <x v="1"/>
  </r>
  <r>
    <x v="36"/>
    <s v="LVA"/>
    <x v="2"/>
    <s v="NY.GDP.PCAP.KD"/>
    <x v="13"/>
    <n v="8149"/>
    <x v="1"/>
  </r>
  <r>
    <x v="36"/>
    <s v="LVA"/>
    <x v="2"/>
    <s v="NY.GDP.PCAP.KD"/>
    <x v="14"/>
    <n v="8957"/>
    <x v="1"/>
  </r>
  <r>
    <x v="36"/>
    <s v="LVA"/>
    <x v="2"/>
    <s v="NY.GDP.PCAP.KD"/>
    <x v="15"/>
    <n v="10106"/>
    <x v="1"/>
  </r>
  <r>
    <x v="36"/>
    <s v="LVA"/>
    <x v="2"/>
    <s v="NY.GDP.PCAP.KD"/>
    <x v="16"/>
    <n v="11507"/>
    <x v="1"/>
  </r>
  <r>
    <x v="36"/>
    <s v="LVA"/>
    <x v="2"/>
    <s v="NY.GDP.PCAP.KD"/>
    <x v="17"/>
    <n v="12810"/>
    <x v="2"/>
  </r>
  <r>
    <x v="36"/>
    <s v="LVA"/>
    <x v="2"/>
    <s v="NY.GDP.PCAP.KD"/>
    <x v="18"/>
    <n v="12507"/>
    <x v="2"/>
  </r>
  <r>
    <x v="36"/>
    <s v="LVA"/>
    <x v="2"/>
    <s v="NY.GDP.PCAP.KD"/>
    <x v="19"/>
    <n v="10675"/>
    <x v="2"/>
  </r>
  <r>
    <x v="36"/>
    <s v="LVA"/>
    <x v="2"/>
    <s v="NY.GDP.PCAP.KD"/>
    <x v="20"/>
    <n v="10501"/>
    <x v="2"/>
  </r>
  <r>
    <x v="36"/>
    <s v="LVA"/>
    <x v="2"/>
    <s v="NY.GDP.PCAP.KD"/>
    <x v="21"/>
    <n v="11019"/>
    <x v="2"/>
  </r>
  <r>
    <x v="36"/>
    <s v="LVA"/>
    <x v="2"/>
    <s v="NY.GDP.PCAP.KD"/>
    <x v="22"/>
    <n v="11971"/>
    <x v="2"/>
  </r>
  <r>
    <x v="36"/>
    <s v="LVA"/>
    <x v="2"/>
    <s v="NY.GDP.PCAP.KD"/>
    <x v="23"/>
    <n v="12354"/>
    <x v="2"/>
  </r>
  <r>
    <x v="36"/>
    <s v="LVA"/>
    <x v="2"/>
    <s v="NY.GDP.PCAP.KD"/>
    <x v="24"/>
    <n v="12732"/>
    <x v="2"/>
  </r>
  <r>
    <x v="36"/>
    <s v="LVA"/>
    <x v="2"/>
    <s v="NY.GDP.PCAP.KD"/>
    <x v="25"/>
    <n v="13322"/>
    <x v="2"/>
  </r>
  <r>
    <x v="36"/>
    <s v="LVA"/>
    <x v="2"/>
    <s v="NY.GDP.PCAP.KD"/>
    <x v="26"/>
    <n v="13787"/>
    <x v="2"/>
  </r>
  <r>
    <x v="36"/>
    <s v="LVA"/>
    <x v="2"/>
    <s v="NY.GDP.PCAP.KD"/>
    <x v="27"/>
    <n v="14383"/>
    <x v="3"/>
  </r>
  <r>
    <x v="36"/>
    <s v="LVA"/>
    <x v="2"/>
    <s v="NY.GDP.PCAP.KD"/>
    <x v="28"/>
    <n v="15120"/>
    <x v="3"/>
  </r>
  <r>
    <x v="36"/>
    <s v="LVA"/>
    <x v="2"/>
    <s v="NY.GDP.PCAP.KD"/>
    <x v="29"/>
    <n v="15328"/>
    <x v="3"/>
  </r>
  <r>
    <x v="30"/>
    <s v="ITA"/>
    <x v="2"/>
    <s v="NY.GDP.PCAP.KD"/>
    <x v="30"/>
    <n v="29470"/>
    <x v="3"/>
  </r>
  <r>
    <x v="36"/>
    <s v="LVA"/>
    <x v="2"/>
    <s v="NY.GDP.PCAP.KD"/>
    <x v="31"/>
    <n v="16070"/>
    <x v="3"/>
  </r>
  <r>
    <x v="36"/>
    <s v="LVA"/>
    <x v="2"/>
    <s v="NY.GDP.PCAP.KD"/>
    <x v="32"/>
    <n v="16421"/>
    <x v="4"/>
  </r>
  <r>
    <x v="36"/>
    <s v="LVA"/>
    <x v="2"/>
    <s v="NY.GDP.PCAP.KD"/>
    <x v="33"/>
    <n v="16229"/>
    <x v="4"/>
  </r>
  <r>
    <x v="36"/>
    <s v="LVA"/>
    <x v="2"/>
    <s v="NY.GDP.PCAP.KD"/>
    <x v="54"/>
    <n v="16375"/>
    <x v="4"/>
  </r>
  <r>
    <x v="37"/>
    <s v="MCO"/>
    <x v="2"/>
    <s v="NY.GDP.PCAP.KD"/>
    <x v="34"/>
    <n v="72838"/>
    <x v="4"/>
  </r>
  <r>
    <x v="37"/>
    <s v="MCO"/>
    <x v="2"/>
    <s v="NY.GDP.PCAP.KD"/>
    <x v="35"/>
    <n v="75564"/>
    <x v="4"/>
  </r>
  <r>
    <x v="37"/>
    <s v="MCO"/>
    <x v="2"/>
    <s v="NY.GDP.PCAP.KD"/>
    <x v="36"/>
    <n v="78166"/>
    <x v="4"/>
  </r>
  <r>
    <x v="37"/>
    <s v="MCO"/>
    <x v="2"/>
    <s v="NY.GDP.PCAP.KD"/>
    <x v="37"/>
    <n v="82592"/>
    <x v="4"/>
  </r>
  <r>
    <x v="37"/>
    <s v="MCO"/>
    <x v="2"/>
    <s v="NY.GDP.PCAP.KD"/>
    <x v="38"/>
    <n v="85730"/>
    <x v="4"/>
  </r>
  <r>
    <x v="37"/>
    <s v="MCO"/>
    <x v="2"/>
    <s v="NY.GDP.PCAP.KD"/>
    <x v="39"/>
    <n v="84014"/>
    <x v="4"/>
  </r>
  <r>
    <x v="37"/>
    <s v="MCO"/>
    <x v="2"/>
    <s v="NY.GDP.PCAP.KD"/>
    <x v="40"/>
    <n v="86382"/>
    <x v="4"/>
  </r>
  <r>
    <x v="37"/>
    <s v="MCO"/>
    <x v="2"/>
    <s v="NY.GDP.PCAP.KD"/>
    <x v="41"/>
    <n v="88164"/>
    <x v="5"/>
  </r>
  <r>
    <x v="37"/>
    <s v="MCO"/>
    <x v="2"/>
    <s v="NY.GDP.PCAP.KD"/>
    <x v="42"/>
    <n v="90506"/>
    <x v="5"/>
  </r>
  <r>
    <x v="37"/>
    <s v="MCO"/>
    <x v="2"/>
    <s v="NY.GDP.PCAP.KD"/>
    <x v="43"/>
    <n v="92705"/>
    <x v="5"/>
  </r>
  <r>
    <x v="37"/>
    <s v="MCO"/>
    <x v="2"/>
    <s v="NY.GDP.PCAP.KD"/>
    <x v="44"/>
    <n v="93468"/>
    <x v="5"/>
  </r>
  <r>
    <x v="37"/>
    <s v="MCO"/>
    <x v="2"/>
    <s v="NY.GDP.PCAP.KD"/>
    <x v="45"/>
    <n v="93739"/>
    <x v="5"/>
  </r>
  <r>
    <x v="37"/>
    <s v="MCO"/>
    <x v="2"/>
    <s v="NY.GDP.PCAP.KD"/>
    <x v="46"/>
    <n v="95086"/>
    <x v="5"/>
  </r>
  <r>
    <x v="37"/>
    <s v="MCO"/>
    <x v="2"/>
    <s v="NY.GDP.PCAP.KD"/>
    <x v="47"/>
    <n v="94849"/>
    <x v="5"/>
  </r>
  <r>
    <x v="37"/>
    <s v="MCO"/>
    <x v="2"/>
    <s v="NY.GDP.PCAP.KD"/>
    <x v="48"/>
    <n v="94913"/>
    <x v="5"/>
  </r>
  <r>
    <x v="37"/>
    <s v="MCO"/>
    <x v="2"/>
    <s v="NY.GDP.PCAP.KD"/>
    <x v="49"/>
    <n v="95274"/>
    <x v="5"/>
  </r>
  <r>
    <x v="37"/>
    <s v="MCO"/>
    <x v="2"/>
    <s v="NY.GDP.PCAP.KD"/>
    <x v="50"/>
    <n v="96396"/>
    <x v="5"/>
  </r>
  <r>
    <x v="37"/>
    <s v="MCO"/>
    <x v="2"/>
    <s v="NY.GDP.PCAP.KD"/>
    <x v="51"/>
    <n v="97607"/>
    <x v="0"/>
  </r>
  <r>
    <x v="37"/>
    <s v="MCO"/>
    <x v="2"/>
    <s v="NY.GDP.PCAP.KD"/>
    <x v="52"/>
    <n v="100947"/>
    <x v="0"/>
  </r>
  <r>
    <x v="37"/>
    <s v="MCO"/>
    <x v="2"/>
    <s v="NY.GDP.PCAP.KD"/>
    <x v="53"/>
    <n v="104091"/>
    <x v="0"/>
  </r>
  <r>
    <x v="37"/>
    <s v="MCO"/>
    <x v="2"/>
    <s v="NY.GDP.PCAP.KD"/>
    <x v="0"/>
    <n v="105878"/>
    <x v="0"/>
  </r>
  <r>
    <x v="37"/>
    <s v="MCO"/>
    <x v="2"/>
    <s v="NY.GDP.PCAP.KD"/>
    <x v="1"/>
    <n v="106021"/>
    <x v="0"/>
  </r>
  <r>
    <x v="37"/>
    <s v="MCO"/>
    <x v="2"/>
    <s v="NY.GDP.PCAP.KD"/>
    <x v="2"/>
    <n v="106558"/>
    <x v="0"/>
  </r>
  <r>
    <x v="37"/>
    <s v="MCO"/>
    <x v="2"/>
    <s v="NY.GDP.PCAP.KD"/>
    <x v="3"/>
    <n v="104740"/>
    <x v="0"/>
  </r>
  <r>
    <x v="37"/>
    <s v="MCO"/>
    <x v="2"/>
    <s v="NY.GDP.PCAP.KD"/>
    <x v="4"/>
    <n v="106245"/>
    <x v="0"/>
  </r>
  <r>
    <x v="37"/>
    <s v="MCO"/>
    <x v="2"/>
    <s v="NY.GDP.PCAP.KD"/>
    <x v="5"/>
    <n v="107691"/>
    <x v="0"/>
  </r>
  <r>
    <x v="37"/>
    <s v="MCO"/>
    <x v="2"/>
    <s v="NY.GDP.PCAP.KD"/>
    <x v="6"/>
    <n v="108107"/>
    <x v="0"/>
  </r>
  <r>
    <x v="37"/>
    <s v="MCO"/>
    <x v="2"/>
    <s v="NY.GDP.PCAP.KD"/>
    <x v="7"/>
    <n v="109747"/>
    <x v="1"/>
  </r>
  <r>
    <x v="37"/>
    <s v="MCO"/>
    <x v="2"/>
    <s v="NY.GDP.PCAP.KD"/>
    <x v="8"/>
    <n v="112874"/>
    <x v="1"/>
  </r>
  <r>
    <x v="37"/>
    <s v="MCO"/>
    <x v="2"/>
    <s v="NY.GDP.PCAP.KD"/>
    <x v="9"/>
    <n v="116085"/>
    <x v="1"/>
  </r>
  <r>
    <x v="37"/>
    <s v="MCO"/>
    <x v="2"/>
    <s v="NY.GDP.PCAP.KD"/>
    <x v="10"/>
    <n v="120457"/>
    <x v="1"/>
  </r>
  <r>
    <x v="37"/>
    <s v="MCO"/>
    <x v="2"/>
    <s v="NY.GDP.PCAP.KD"/>
    <x v="11"/>
    <n v="123122"/>
    <x v="1"/>
  </r>
  <r>
    <x v="37"/>
    <s v="MCO"/>
    <x v="2"/>
    <s v="NY.GDP.PCAP.KD"/>
    <x v="12"/>
    <n v="124482"/>
    <x v="1"/>
  </r>
  <r>
    <x v="37"/>
    <s v="MCO"/>
    <x v="2"/>
    <s v="NY.GDP.PCAP.KD"/>
    <x v="13"/>
    <n v="126022"/>
    <x v="1"/>
  </r>
  <r>
    <x v="37"/>
    <s v="MCO"/>
    <x v="2"/>
    <s v="NY.GDP.PCAP.KD"/>
    <x v="14"/>
    <n v="129403"/>
    <x v="1"/>
  </r>
  <r>
    <x v="37"/>
    <s v="MCO"/>
    <x v="2"/>
    <s v="NY.GDP.PCAP.KD"/>
    <x v="15"/>
    <n v="132253"/>
    <x v="1"/>
  </r>
  <r>
    <x v="37"/>
    <s v="MCO"/>
    <x v="2"/>
    <s v="NY.GDP.PCAP.KD"/>
    <x v="16"/>
    <n v="140615"/>
    <x v="1"/>
  </r>
  <r>
    <x v="37"/>
    <s v="MCO"/>
    <x v="2"/>
    <s v="NY.GDP.PCAP.KD"/>
    <x v="17"/>
    <n v="162028"/>
    <x v="2"/>
  </r>
  <r>
    <x v="37"/>
    <s v="MCO"/>
    <x v="2"/>
    <s v="NY.GDP.PCAP.KD"/>
    <x v="18"/>
    <n v="163244"/>
    <x v="2"/>
  </r>
  <r>
    <x v="37"/>
    <s v="MCO"/>
    <x v="2"/>
    <s v="NY.GDP.PCAP.KD"/>
    <x v="19"/>
    <n v="142376"/>
    <x v="2"/>
  </r>
  <r>
    <x v="37"/>
    <s v="MCO"/>
    <x v="2"/>
    <s v="NY.GDP.PCAP.KD"/>
    <x v="20"/>
    <n v="141815"/>
    <x v="2"/>
  </r>
  <r>
    <x v="37"/>
    <s v="MCO"/>
    <x v="2"/>
    <s v="NY.GDP.PCAP.KD"/>
    <x v="21"/>
    <n v="148273"/>
    <x v="2"/>
  </r>
  <r>
    <x v="37"/>
    <s v="MCO"/>
    <x v="2"/>
    <s v="NY.GDP.PCAP.KD"/>
    <x v="22"/>
    <n v="146473"/>
    <x v="2"/>
  </r>
  <r>
    <x v="37"/>
    <s v="MCO"/>
    <x v="2"/>
    <s v="NY.GDP.PCAP.KD"/>
    <x v="23"/>
    <n v="157168"/>
    <x v="2"/>
  </r>
  <r>
    <x v="37"/>
    <s v="MCO"/>
    <x v="2"/>
    <s v="NY.GDP.PCAP.KD"/>
    <x v="24"/>
    <n v="165288"/>
    <x v="2"/>
  </r>
  <r>
    <x v="37"/>
    <s v="MCO"/>
    <x v="2"/>
    <s v="NY.GDP.PCAP.KD"/>
    <x v="25"/>
    <n v="170437"/>
    <x v="2"/>
  </r>
  <r>
    <x v="37"/>
    <s v="MCO"/>
    <x v="2"/>
    <s v="NY.GDP.PCAP.KD"/>
    <x v="26"/>
    <n v="173120"/>
    <x v="2"/>
  </r>
  <r>
    <x v="37"/>
    <s v="MCO"/>
    <x v="2"/>
    <s v="NY.GDP.PCAP.KD"/>
    <x v="27"/>
    <n v="165782"/>
    <x v="3"/>
  </r>
  <r>
    <x v="37"/>
    <s v="MCO"/>
    <x v="2"/>
    <s v="NY.GDP.PCAP.KD"/>
    <x v="28"/>
    <n v="173042"/>
    <x v="3"/>
  </r>
  <r>
    <x v="37"/>
    <s v="MCO"/>
    <x v="2"/>
    <s v="NY.GDP.PCAP.KD"/>
    <x v="29"/>
    <n v="185583"/>
    <x v="3"/>
  </r>
  <r>
    <x v="1"/>
    <s v="AND"/>
    <x v="2"/>
    <s v="NY.GDP.PCAP.KD"/>
    <x v="30"/>
    <n v="34537"/>
    <x v="3"/>
  </r>
  <r>
    <x v="37"/>
    <s v="MCO"/>
    <x v="2"/>
    <s v="NY.GDP.PCAP.KD"/>
    <x v="31"/>
    <n v="194675"/>
    <x v="3"/>
  </r>
  <r>
    <x v="37"/>
    <s v="MCO"/>
    <x v="2"/>
    <s v="NY.GDP.PCAP.KD"/>
    <x v="32"/>
    <n v="214360"/>
    <x v="0"/>
  </r>
  <r>
    <x v="37"/>
    <s v="MCO"/>
    <x v="2"/>
    <s v="NY.GDP.PCAP.KD"/>
    <x v="33"/>
    <n v="225884"/>
    <x v="0"/>
  </r>
  <r>
    <x v="37"/>
    <s v="MCO"/>
    <x v="2"/>
    <s v="NY.GDP.PCAP.KD"/>
    <x v="54"/>
    <n v="247170"/>
    <x v="0"/>
  </r>
  <r>
    <x v="38"/>
    <s v="MDA"/>
    <x v="2"/>
    <s v="NY.GDP.PCAP.KD"/>
    <x v="0"/>
    <n v="3740"/>
    <x v="0"/>
  </r>
  <r>
    <x v="38"/>
    <s v="MDA"/>
    <x v="2"/>
    <s v="NY.GDP.PCAP.KD"/>
    <x v="1"/>
    <n v="3138"/>
    <x v="0"/>
  </r>
  <r>
    <x v="38"/>
    <s v="MDA"/>
    <x v="2"/>
    <s v="NY.GDP.PCAP.KD"/>
    <x v="2"/>
    <n v="2225"/>
    <x v="0"/>
  </r>
  <r>
    <x v="38"/>
    <s v="MDA"/>
    <x v="2"/>
    <s v="NY.GDP.PCAP.KD"/>
    <x v="3"/>
    <n v="2202"/>
    <x v="0"/>
  </r>
  <r>
    <x v="38"/>
    <s v="MDA"/>
    <x v="2"/>
    <s v="NY.GDP.PCAP.KD"/>
    <x v="4"/>
    <n v="1526"/>
    <x v="0"/>
  </r>
  <r>
    <x v="38"/>
    <s v="MDA"/>
    <x v="2"/>
    <s v="NY.GDP.PCAP.KD"/>
    <x v="5"/>
    <n v="1512"/>
    <x v="0"/>
  </r>
  <r>
    <x v="38"/>
    <s v="MDA"/>
    <x v="2"/>
    <s v="NY.GDP.PCAP.KD"/>
    <x v="6"/>
    <n v="1426"/>
    <x v="0"/>
  </r>
  <r>
    <x v="38"/>
    <s v="MDA"/>
    <x v="2"/>
    <s v="NY.GDP.PCAP.KD"/>
    <x v="7"/>
    <n v="1455"/>
    <x v="1"/>
  </r>
  <r>
    <x v="38"/>
    <s v="MDA"/>
    <x v="2"/>
    <s v="NY.GDP.PCAP.KD"/>
    <x v="8"/>
    <n v="1360"/>
    <x v="1"/>
  </r>
  <r>
    <x v="38"/>
    <s v="MDA"/>
    <x v="2"/>
    <s v="NY.GDP.PCAP.KD"/>
    <x v="9"/>
    <n v="1316"/>
    <x v="1"/>
  </r>
  <r>
    <x v="38"/>
    <s v="MDA"/>
    <x v="2"/>
    <s v="NY.GDP.PCAP.KD"/>
    <x v="10"/>
    <n v="1347"/>
    <x v="1"/>
  </r>
  <r>
    <x v="38"/>
    <s v="MDA"/>
    <x v="2"/>
    <s v="NY.GDP.PCAP.KD"/>
    <x v="11"/>
    <n v="1432"/>
    <x v="1"/>
  </r>
  <r>
    <x v="38"/>
    <s v="MDA"/>
    <x v="2"/>
    <s v="NY.GDP.PCAP.KD"/>
    <x v="12"/>
    <n v="1548"/>
    <x v="1"/>
  </r>
  <r>
    <x v="38"/>
    <s v="MDA"/>
    <x v="2"/>
    <s v="NY.GDP.PCAP.KD"/>
    <x v="13"/>
    <n v="1654"/>
    <x v="1"/>
  </r>
  <r>
    <x v="38"/>
    <s v="MDA"/>
    <x v="2"/>
    <s v="NY.GDP.PCAP.KD"/>
    <x v="14"/>
    <n v="1781"/>
    <x v="1"/>
  </r>
  <r>
    <x v="38"/>
    <s v="MDA"/>
    <x v="2"/>
    <s v="NY.GDP.PCAP.KD"/>
    <x v="15"/>
    <n v="1919"/>
    <x v="1"/>
  </r>
  <r>
    <x v="38"/>
    <s v="MDA"/>
    <x v="2"/>
    <s v="NY.GDP.PCAP.KD"/>
    <x v="16"/>
    <n v="2017"/>
    <x v="1"/>
  </r>
  <r>
    <x v="38"/>
    <s v="MDA"/>
    <x v="2"/>
    <s v="NY.GDP.PCAP.KD"/>
    <x v="17"/>
    <n v="2083"/>
    <x v="2"/>
  </r>
  <r>
    <x v="38"/>
    <s v="MDA"/>
    <x v="2"/>
    <s v="NY.GDP.PCAP.KD"/>
    <x v="18"/>
    <n v="2249"/>
    <x v="2"/>
  </r>
  <r>
    <x v="38"/>
    <s v="MDA"/>
    <x v="2"/>
    <s v="NY.GDP.PCAP.KD"/>
    <x v="19"/>
    <n v="2117"/>
    <x v="2"/>
  </r>
  <r>
    <x v="38"/>
    <s v="MDA"/>
    <x v="2"/>
    <s v="NY.GDP.PCAP.KD"/>
    <x v="20"/>
    <n v="2270"/>
    <x v="2"/>
  </r>
  <r>
    <x v="38"/>
    <s v="MDA"/>
    <x v="2"/>
    <s v="NY.GDP.PCAP.KD"/>
    <x v="21"/>
    <n v="2403"/>
    <x v="2"/>
  </r>
  <r>
    <x v="38"/>
    <s v="MDA"/>
    <x v="2"/>
    <s v="NY.GDP.PCAP.KD"/>
    <x v="22"/>
    <n v="2389"/>
    <x v="2"/>
  </r>
  <r>
    <x v="38"/>
    <s v="MDA"/>
    <x v="2"/>
    <s v="NY.GDP.PCAP.KD"/>
    <x v="23"/>
    <n v="2606"/>
    <x v="2"/>
  </r>
  <r>
    <x v="38"/>
    <s v="MDA"/>
    <x v="2"/>
    <s v="NY.GDP.PCAP.KD"/>
    <x v="24"/>
    <n v="2738"/>
    <x v="2"/>
  </r>
  <r>
    <x v="38"/>
    <s v="MDA"/>
    <x v="2"/>
    <s v="NY.GDP.PCAP.KD"/>
    <x v="25"/>
    <n v="2750"/>
    <x v="2"/>
  </r>
  <r>
    <x v="38"/>
    <s v="MDA"/>
    <x v="2"/>
    <s v="NY.GDP.PCAP.KD"/>
    <x v="26"/>
    <n v="2911"/>
    <x v="2"/>
  </r>
  <r>
    <x v="38"/>
    <s v="MDA"/>
    <x v="2"/>
    <s v="NY.GDP.PCAP.KD"/>
    <x v="27"/>
    <n v="3085"/>
    <x v="3"/>
  </r>
  <r>
    <x v="38"/>
    <s v="MDA"/>
    <x v="2"/>
    <s v="NY.GDP.PCAP.KD"/>
    <x v="28"/>
    <n v="3268"/>
    <x v="3"/>
  </r>
  <r>
    <x v="38"/>
    <s v="MDA"/>
    <x v="2"/>
    <s v="NY.GDP.PCAP.KD"/>
    <x v="29"/>
    <n v="3439"/>
    <x v="3"/>
  </r>
  <r>
    <x v="18"/>
    <s v="FRA"/>
    <x v="2"/>
    <s v="NY.GDP.PCAP.KD"/>
    <x v="30"/>
    <n v="35709"/>
    <x v="3"/>
  </r>
  <r>
    <x v="38"/>
    <s v="MDA"/>
    <x v="2"/>
    <s v="NY.GDP.PCAP.KD"/>
    <x v="31"/>
    <n v="3688"/>
    <x v="3"/>
  </r>
  <r>
    <x v="38"/>
    <s v="MDA"/>
    <x v="2"/>
    <s v="NY.GDP.PCAP.KD"/>
    <x v="32"/>
    <n v="3612"/>
    <x v="0"/>
  </r>
  <r>
    <x v="38"/>
    <s v="MDA"/>
    <x v="2"/>
    <s v="NY.GDP.PCAP.KD"/>
    <x v="33"/>
    <n v="3761"/>
    <x v="0"/>
  </r>
  <r>
    <x v="38"/>
    <s v="MDA"/>
    <x v="2"/>
    <s v="NY.GDP.PCAP.KD"/>
    <x v="54"/>
    <n v="3852"/>
    <x v="0"/>
  </r>
  <r>
    <x v="39"/>
    <s v="MKD"/>
    <x v="2"/>
    <s v="NY.GDP.PCAP.KD"/>
    <x v="0"/>
    <n v="3534"/>
    <x v="0"/>
  </r>
  <r>
    <x v="39"/>
    <s v="MKD"/>
    <x v="2"/>
    <s v="NY.GDP.PCAP.KD"/>
    <x v="1"/>
    <n v="3329"/>
    <x v="0"/>
  </r>
  <r>
    <x v="39"/>
    <s v="MKD"/>
    <x v="2"/>
    <s v="NY.GDP.PCAP.KD"/>
    <x v="2"/>
    <n v="3146"/>
    <x v="0"/>
  </r>
  <r>
    <x v="39"/>
    <s v="MKD"/>
    <x v="2"/>
    <s v="NY.GDP.PCAP.KD"/>
    <x v="3"/>
    <n v="2948"/>
    <x v="0"/>
  </r>
  <r>
    <x v="39"/>
    <s v="MKD"/>
    <x v="2"/>
    <s v="NY.GDP.PCAP.KD"/>
    <x v="4"/>
    <n v="2917"/>
    <x v="0"/>
  </r>
  <r>
    <x v="39"/>
    <s v="MKD"/>
    <x v="2"/>
    <s v="NY.GDP.PCAP.KD"/>
    <x v="5"/>
    <n v="2876"/>
    <x v="0"/>
  </r>
  <r>
    <x v="39"/>
    <s v="MKD"/>
    <x v="2"/>
    <s v="NY.GDP.PCAP.KD"/>
    <x v="6"/>
    <n v="2890"/>
    <x v="0"/>
  </r>
  <r>
    <x v="39"/>
    <s v="MKD"/>
    <x v="2"/>
    <s v="NY.GDP.PCAP.KD"/>
    <x v="7"/>
    <n v="2955"/>
    <x v="1"/>
  </r>
  <r>
    <x v="39"/>
    <s v="MKD"/>
    <x v="2"/>
    <s v="NY.GDP.PCAP.KD"/>
    <x v="8"/>
    <n v="3038"/>
    <x v="1"/>
  </r>
  <r>
    <x v="39"/>
    <s v="MKD"/>
    <x v="2"/>
    <s v="NY.GDP.PCAP.KD"/>
    <x v="9"/>
    <n v="3155"/>
    <x v="1"/>
  </r>
  <r>
    <x v="39"/>
    <s v="MKD"/>
    <x v="2"/>
    <s v="NY.GDP.PCAP.KD"/>
    <x v="10"/>
    <n v="3283"/>
    <x v="1"/>
  </r>
  <r>
    <x v="39"/>
    <s v="MKD"/>
    <x v="2"/>
    <s v="NY.GDP.PCAP.KD"/>
    <x v="11"/>
    <n v="3169"/>
    <x v="1"/>
  </r>
  <r>
    <x v="39"/>
    <s v="MKD"/>
    <x v="2"/>
    <s v="NY.GDP.PCAP.KD"/>
    <x v="12"/>
    <n v="3240"/>
    <x v="1"/>
  </r>
  <r>
    <x v="39"/>
    <s v="MKD"/>
    <x v="2"/>
    <s v="NY.GDP.PCAP.KD"/>
    <x v="13"/>
    <n v="3308"/>
    <x v="1"/>
  </r>
  <r>
    <x v="39"/>
    <s v="MKD"/>
    <x v="2"/>
    <s v="NY.GDP.PCAP.KD"/>
    <x v="14"/>
    <n v="3474"/>
    <x v="1"/>
  </r>
  <r>
    <x v="39"/>
    <s v="MKD"/>
    <x v="2"/>
    <s v="NY.GDP.PCAP.KD"/>
    <x v="15"/>
    <n v="3658"/>
    <x v="1"/>
  </r>
  <r>
    <x v="39"/>
    <s v="MKD"/>
    <x v="2"/>
    <s v="NY.GDP.PCAP.KD"/>
    <x v="16"/>
    <n v="3867"/>
    <x v="1"/>
  </r>
  <r>
    <x v="39"/>
    <s v="MKD"/>
    <x v="2"/>
    <s v="NY.GDP.PCAP.KD"/>
    <x v="17"/>
    <n v="4141"/>
    <x v="2"/>
  </r>
  <r>
    <x v="39"/>
    <s v="MKD"/>
    <x v="2"/>
    <s v="NY.GDP.PCAP.KD"/>
    <x v="18"/>
    <n v="4393"/>
    <x v="2"/>
  </r>
  <r>
    <x v="39"/>
    <s v="MKD"/>
    <x v="2"/>
    <s v="NY.GDP.PCAP.KD"/>
    <x v="19"/>
    <n v="4405"/>
    <x v="2"/>
  </r>
  <r>
    <x v="39"/>
    <s v="MKD"/>
    <x v="2"/>
    <s v="NY.GDP.PCAP.KD"/>
    <x v="20"/>
    <n v="4582"/>
    <x v="2"/>
  </r>
  <r>
    <x v="39"/>
    <s v="MKD"/>
    <x v="2"/>
    <s v="NY.GDP.PCAP.KD"/>
    <x v="21"/>
    <n v="4711"/>
    <x v="2"/>
  </r>
  <r>
    <x v="39"/>
    <s v="MKD"/>
    <x v="2"/>
    <s v="NY.GDP.PCAP.KD"/>
    <x v="22"/>
    <n v="4708"/>
    <x v="2"/>
  </r>
  <r>
    <x v="39"/>
    <s v="MKD"/>
    <x v="2"/>
    <s v="NY.GDP.PCAP.KD"/>
    <x v="23"/>
    <n v="4864"/>
    <x v="2"/>
  </r>
  <r>
    <x v="39"/>
    <s v="MKD"/>
    <x v="2"/>
    <s v="NY.GDP.PCAP.KD"/>
    <x v="24"/>
    <n v="5054"/>
    <x v="2"/>
  </r>
  <r>
    <x v="39"/>
    <s v="MKD"/>
    <x v="2"/>
    <s v="NY.GDP.PCAP.KD"/>
    <x v="25"/>
    <n v="5263"/>
    <x v="2"/>
  </r>
  <r>
    <x v="39"/>
    <s v="MKD"/>
    <x v="2"/>
    <s v="NY.GDP.PCAP.KD"/>
    <x v="26"/>
    <n v="5430"/>
    <x v="2"/>
  </r>
  <r>
    <x v="39"/>
    <s v="MKD"/>
    <x v="2"/>
    <s v="NY.GDP.PCAP.KD"/>
    <x v="27"/>
    <n v="5511"/>
    <x v="3"/>
  </r>
  <r>
    <x v="39"/>
    <s v="MKD"/>
    <x v="2"/>
    <s v="NY.GDP.PCAP.KD"/>
    <x v="28"/>
    <n v="5698"/>
    <x v="3"/>
  </r>
  <r>
    <x v="39"/>
    <s v="MKD"/>
    <x v="2"/>
    <s v="NY.GDP.PCAP.KD"/>
    <x v="29"/>
    <n v="5962"/>
    <x v="3"/>
  </r>
  <r>
    <x v="47"/>
    <s v="SMR"/>
    <x v="2"/>
    <s v="NY.GDP.PCAP.KD"/>
    <x v="30"/>
    <n v="40507"/>
    <x v="3"/>
  </r>
  <r>
    <x v="39"/>
    <s v="MKD"/>
    <x v="2"/>
    <s v="NY.GDP.PCAP.KD"/>
    <x v="31"/>
    <n v="6065"/>
    <x v="3"/>
  </r>
  <r>
    <x v="39"/>
    <s v="MKD"/>
    <x v="2"/>
    <s v="NY.GDP.PCAP.KD"/>
    <x v="32"/>
    <n v="6251"/>
    <x v="0"/>
  </r>
  <r>
    <x v="39"/>
    <s v="MKD"/>
    <x v="2"/>
    <s v="NY.GDP.PCAP.KD"/>
    <x v="33"/>
    <n v="6424"/>
    <x v="0"/>
  </r>
  <r>
    <x v="39"/>
    <s v="MKD"/>
    <x v="2"/>
    <s v="NY.GDP.PCAP.KD"/>
    <x v="54"/>
    <n v="6629"/>
    <x v="0"/>
  </r>
  <r>
    <x v="40"/>
    <s v="MNE"/>
    <x v="2"/>
    <s v="NY.GDP.PCAP.KD"/>
    <x v="7"/>
    <n v="4448"/>
    <x v="1"/>
  </r>
  <r>
    <x v="40"/>
    <s v="MNE"/>
    <x v="2"/>
    <s v="NY.GDP.PCAP.KD"/>
    <x v="8"/>
    <n v="4680"/>
    <x v="1"/>
  </r>
  <r>
    <x v="40"/>
    <s v="MNE"/>
    <x v="2"/>
    <s v="NY.GDP.PCAP.KD"/>
    <x v="9"/>
    <n v="4252"/>
    <x v="1"/>
  </r>
  <r>
    <x v="40"/>
    <s v="MNE"/>
    <x v="2"/>
    <s v="NY.GDP.PCAP.KD"/>
    <x v="10"/>
    <n v="4391"/>
    <x v="1"/>
  </r>
  <r>
    <x v="40"/>
    <s v="MNE"/>
    <x v="2"/>
    <s v="NY.GDP.PCAP.KD"/>
    <x v="11"/>
    <n v="4422"/>
    <x v="1"/>
  </r>
  <r>
    <x v="40"/>
    <s v="MNE"/>
    <x v="2"/>
    <s v="NY.GDP.PCAP.KD"/>
    <x v="12"/>
    <n v="4488"/>
    <x v="1"/>
  </r>
  <r>
    <x v="40"/>
    <s v="MNE"/>
    <x v="2"/>
    <s v="NY.GDP.PCAP.KD"/>
    <x v="13"/>
    <n v="4581"/>
    <x v="1"/>
  </r>
  <r>
    <x v="40"/>
    <s v="MNE"/>
    <x v="2"/>
    <s v="NY.GDP.PCAP.KD"/>
    <x v="14"/>
    <n v="4775"/>
    <x v="1"/>
  </r>
  <r>
    <x v="40"/>
    <s v="MNE"/>
    <x v="2"/>
    <s v="NY.GDP.PCAP.KD"/>
    <x v="15"/>
    <n v="4968"/>
    <x v="1"/>
  </r>
  <r>
    <x v="40"/>
    <s v="MNE"/>
    <x v="2"/>
    <s v="NY.GDP.PCAP.KD"/>
    <x v="16"/>
    <n v="5387"/>
    <x v="1"/>
  </r>
  <r>
    <x v="40"/>
    <s v="MNE"/>
    <x v="2"/>
    <s v="NY.GDP.PCAP.KD"/>
    <x v="17"/>
    <n v="5763"/>
    <x v="2"/>
  </r>
  <r>
    <x v="40"/>
    <s v="MNE"/>
    <x v="2"/>
    <s v="NY.GDP.PCAP.KD"/>
    <x v="18"/>
    <n v="6150"/>
    <x v="2"/>
  </r>
  <r>
    <x v="40"/>
    <s v="MNE"/>
    <x v="2"/>
    <s v="NY.GDP.PCAP.KD"/>
    <x v="19"/>
    <n v="5769"/>
    <x v="2"/>
  </r>
  <r>
    <x v="40"/>
    <s v="MNE"/>
    <x v="2"/>
    <s v="NY.GDP.PCAP.KD"/>
    <x v="20"/>
    <n v="5918"/>
    <x v="2"/>
  </r>
  <r>
    <x v="40"/>
    <s v="MNE"/>
    <x v="2"/>
    <s v="NY.GDP.PCAP.KD"/>
    <x v="21"/>
    <n v="6111"/>
    <x v="2"/>
  </r>
  <r>
    <x v="40"/>
    <s v="MNE"/>
    <x v="2"/>
    <s v="NY.GDP.PCAP.KD"/>
    <x v="22"/>
    <n v="5948"/>
    <x v="2"/>
  </r>
  <r>
    <x v="40"/>
    <s v="MNE"/>
    <x v="2"/>
    <s v="NY.GDP.PCAP.KD"/>
    <x v="23"/>
    <n v="6138"/>
    <x v="2"/>
  </r>
  <r>
    <x v="40"/>
    <s v="MNE"/>
    <x v="2"/>
    <s v="NY.GDP.PCAP.KD"/>
    <x v="24"/>
    <n v="6272"/>
    <x v="2"/>
  </r>
  <r>
    <x v="40"/>
    <s v="MNE"/>
    <x v="2"/>
    <s v="NY.GDP.PCAP.KD"/>
    <x v="25"/>
    <n v="6421"/>
    <x v="2"/>
  </r>
  <r>
    <x v="40"/>
    <s v="MNE"/>
    <x v="2"/>
    <s v="NY.GDP.PCAP.KD"/>
    <x v="26"/>
    <n v="6634"/>
    <x v="2"/>
  </r>
  <r>
    <x v="40"/>
    <s v="MNE"/>
    <x v="2"/>
    <s v="NY.GDP.PCAP.KD"/>
    <x v="27"/>
    <n v="6841"/>
    <x v="3"/>
  </r>
  <r>
    <x v="40"/>
    <s v="MNE"/>
    <x v="2"/>
    <s v="NY.GDP.PCAP.KD"/>
    <x v="28"/>
    <n v="7159"/>
    <x v="3"/>
  </r>
  <r>
    <x v="40"/>
    <s v="MNE"/>
    <x v="2"/>
    <s v="NY.GDP.PCAP.KD"/>
    <x v="29"/>
    <n v="7470"/>
    <x v="3"/>
  </r>
  <r>
    <x v="5"/>
    <s v="BEL"/>
    <x v="2"/>
    <s v="NY.GDP.PCAP.KD"/>
    <x v="30"/>
    <n v="40769"/>
    <x v="3"/>
  </r>
  <r>
    <x v="40"/>
    <s v="MNE"/>
    <x v="2"/>
    <s v="NY.GDP.PCAP.KD"/>
    <x v="31"/>
    <n v="7198"/>
    <x v="3"/>
  </r>
  <r>
    <x v="40"/>
    <s v="MNE"/>
    <x v="2"/>
    <s v="NY.GDP.PCAP.KD"/>
    <x v="32"/>
    <n v="7774"/>
    <x v="6"/>
  </r>
  <r>
    <x v="40"/>
    <s v="MNE"/>
    <x v="2"/>
    <s v="NY.GDP.PCAP.KD"/>
    <x v="33"/>
    <n v="8278"/>
    <x v="6"/>
  </r>
  <r>
    <x v="40"/>
    <s v="MNE"/>
    <x v="2"/>
    <s v="NY.GDP.PCAP.KD"/>
    <x v="54"/>
    <n v="8540"/>
    <x v="6"/>
  </r>
  <r>
    <x v="41"/>
    <s v="NLD"/>
    <x v="2"/>
    <s v="NY.GDP.PCAP.KD"/>
    <x v="55"/>
    <n v="14370"/>
    <x v="6"/>
  </r>
  <r>
    <x v="41"/>
    <s v="NLD"/>
    <x v="2"/>
    <s v="NY.GDP.PCAP.KD"/>
    <x v="56"/>
    <n v="14224"/>
    <x v="6"/>
  </r>
  <r>
    <x v="41"/>
    <s v="NLD"/>
    <x v="2"/>
    <s v="NY.GDP.PCAP.KD"/>
    <x v="57"/>
    <n v="14983"/>
    <x v="6"/>
  </r>
  <r>
    <x v="41"/>
    <s v="NLD"/>
    <x v="2"/>
    <s v="NY.GDP.PCAP.KD"/>
    <x v="58"/>
    <n v="15318"/>
    <x v="6"/>
  </r>
  <r>
    <x v="41"/>
    <s v="NLD"/>
    <x v="2"/>
    <s v="NY.GDP.PCAP.KD"/>
    <x v="59"/>
    <n v="16365"/>
    <x v="6"/>
  </r>
  <r>
    <x v="41"/>
    <s v="NLD"/>
    <x v="2"/>
    <s v="NY.GDP.PCAP.KD"/>
    <x v="60"/>
    <n v="17537"/>
    <x v="6"/>
  </r>
  <r>
    <x v="41"/>
    <s v="NLD"/>
    <x v="2"/>
    <s v="NY.GDP.PCAP.KD"/>
    <x v="61"/>
    <n v="17784"/>
    <x v="6"/>
  </r>
  <r>
    <x v="41"/>
    <s v="NLD"/>
    <x v="2"/>
    <s v="NY.GDP.PCAP.KD"/>
    <x v="62"/>
    <n v="18512"/>
    <x v="4"/>
  </r>
  <r>
    <x v="41"/>
    <s v="NLD"/>
    <x v="2"/>
    <s v="NY.GDP.PCAP.KD"/>
    <x v="63"/>
    <n v="19496"/>
    <x v="4"/>
  </r>
  <r>
    <x v="41"/>
    <s v="NLD"/>
    <x v="2"/>
    <s v="NY.GDP.PCAP.KD"/>
    <x v="64"/>
    <n v="20511"/>
    <x v="4"/>
  </r>
  <r>
    <x v="41"/>
    <s v="NLD"/>
    <x v="2"/>
    <s v="NY.GDP.PCAP.KD"/>
    <x v="34"/>
    <n v="21502"/>
    <x v="4"/>
  </r>
  <r>
    <x v="41"/>
    <s v="NLD"/>
    <x v="2"/>
    <s v="NY.GDP.PCAP.KD"/>
    <x v="35"/>
    <n v="22165"/>
    <x v="4"/>
  </r>
  <r>
    <x v="41"/>
    <s v="NLD"/>
    <x v="2"/>
    <s v="NY.GDP.PCAP.KD"/>
    <x v="36"/>
    <n v="22718"/>
    <x v="4"/>
  </r>
  <r>
    <x v="41"/>
    <s v="NLD"/>
    <x v="2"/>
    <s v="NY.GDP.PCAP.KD"/>
    <x v="37"/>
    <n v="23757"/>
    <x v="4"/>
  </r>
  <r>
    <x v="41"/>
    <s v="NLD"/>
    <x v="2"/>
    <s v="NY.GDP.PCAP.KD"/>
    <x v="38"/>
    <n v="24382"/>
    <x v="4"/>
  </r>
  <r>
    <x v="41"/>
    <s v="NLD"/>
    <x v="2"/>
    <s v="NY.GDP.PCAP.KD"/>
    <x v="39"/>
    <n v="24166"/>
    <x v="4"/>
  </r>
  <r>
    <x v="41"/>
    <s v="NLD"/>
    <x v="2"/>
    <s v="NY.GDP.PCAP.KD"/>
    <x v="40"/>
    <n v="25046"/>
    <x v="4"/>
  </r>
  <r>
    <x v="41"/>
    <s v="NLD"/>
    <x v="2"/>
    <s v="NY.GDP.PCAP.KD"/>
    <x v="41"/>
    <n v="25525"/>
    <x v="5"/>
  </r>
  <r>
    <x v="41"/>
    <s v="NLD"/>
    <x v="2"/>
    <s v="NY.GDP.PCAP.KD"/>
    <x v="42"/>
    <n v="26052"/>
    <x v="5"/>
  </r>
  <r>
    <x v="41"/>
    <s v="NLD"/>
    <x v="2"/>
    <s v="NY.GDP.PCAP.KD"/>
    <x v="43"/>
    <n v="26394"/>
    <x v="5"/>
  </r>
  <r>
    <x v="41"/>
    <s v="NLD"/>
    <x v="2"/>
    <s v="NY.GDP.PCAP.KD"/>
    <x v="44"/>
    <n v="26538"/>
    <x v="5"/>
  </r>
  <r>
    <x v="41"/>
    <s v="NLD"/>
    <x v="2"/>
    <s v="NY.GDP.PCAP.KD"/>
    <x v="45"/>
    <n v="26150"/>
    <x v="5"/>
  </r>
  <r>
    <x v="41"/>
    <s v="NLD"/>
    <x v="2"/>
    <s v="NY.GDP.PCAP.KD"/>
    <x v="46"/>
    <n v="25707"/>
    <x v="5"/>
  </r>
  <r>
    <x v="41"/>
    <s v="NLD"/>
    <x v="2"/>
    <s v="NY.GDP.PCAP.KD"/>
    <x v="47"/>
    <n v="26140"/>
    <x v="5"/>
  </r>
  <r>
    <x v="41"/>
    <s v="NLD"/>
    <x v="2"/>
    <s v="NY.GDP.PCAP.KD"/>
    <x v="48"/>
    <n v="26833"/>
    <x v="5"/>
  </r>
  <r>
    <x v="41"/>
    <s v="NLD"/>
    <x v="2"/>
    <s v="NY.GDP.PCAP.KD"/>
    <x v="49"/>
    <n v="27398"/>
    <x v="5"/>
  </r>
  <r>
    <x v="41"/>
    <s v="NLD"/>
    <x v="2"/>
    <s v="NY.GDP.PCAP.KD"/>
    <x v="50"/>
    <n v="28005"/>
    <x v="5"/>
  </r>
  <r>
    <x v="41"/>
    <s v="NLD"/>
    <x v="2"/>
    <s v="NY.GDP.PCAP.KD"/>
    <x v="51"/>
    <n v="28366"/>
    <x v="0"/>
  </r>
  <r>
    <x v="41"/>
    <s v="NLD"/>
    <x v="2"/>
    <s v="NY.GDP.PCAP.KD"/>
    <x v="52"/>
    <n v="29153"/>
    <x v="0"/>
  </r>
  <r>
    <x v="41"/>
    <s v="NLD"/>
    <x v="2"/>
    <s v="NY.GDP.PCAP.KD"/>
    <x v="53"/>
    <n v="30259"/>
    <x v="0"/>
  </r>
  <r>
    <x v="41"/>
    <s v="NLD"/>
    <x v="2"/>
    <s v="NY.GDP.PCAP.KD"/>
    <x v="0"/>
    <n v="31309"/>
    <x v="0"/>
  </r>
  <r>
    <x v="41"/>
    <s v="NLD"/>
    <x v="2"/>
    <s v="NY.GDP.PCAP.KD"/>
    <x v="1"/>
    <n v="31821"/>
    <x v="0"/>
  </r>
  <r>
    <x v="41"/>
    <s v="NLD"/>
    <x v="2"/>
    <s v="NY.GDP.PCAP.KD"/>
    <x v="2"/>
    <n v="32120"/>
    <x v="0"/>
  </r>
  <r>
    <x v="41"/>
    <s v="NLD"/>
    <x v="2"/>
    <s v="NY.GDP.PCAP.KD"/>
    <x v="3"/>
    <n v="32298"/>
    <x v="0"/>
  </r>
  <r>
    <x v="41"/>
    <s v="NLD"/>
    <x v="2"/>
    <s v="NY.GDP.PCAP.KD"/>
    <x v="4"/>
    <n v="33054"/>
    <x v="0"/>
  </r>
  <r>
    <x v="41"/>
    <s v="NLD"/>
    <x v="2"/>
    <s v="NY.GDP.PCAP.KD"/>
    <x v="5"/>
    <n v="33917"/>
    <x v="0"/>
  </r>
  <r>
    <x v="41"/>
    <s v="NLD"/>
    <x v="2"/>
    <s v="NY.GDP.PCAP.KD"/>
    <x v="6"/>
    <n v="34915"/>
    <x v="0"/>
  </r>
  <r>
    <x v="41"/>
    <s v="NLD"/>
    <x v="2"/>
    <s v="NY.GDP.PCAP.KD"/>
    <x v="7"/>
    <n v="36212"/>
    <x v="1"/>
  </r>
  <r>
    <x v="41"/>
    <s v="NLD"/>
    <x v="2"/>
    <s v="NY.GDP.PCAP.KD"/>
    <x v="8"/>
    <n v="37662"/>
    <x v="1"/>
  </r>
  <r>
    <x v="41"/>
    <s v="NLD"/>
    <x v="2"/>
    <s v="NY.GDP.PCAP.KD"/>
    <x v="9"/>
    <n v="39299"/>
    <x v="1"/>
  </r>
  <r>
    <x v="41"/>
    <s v="NLD"/>
    <x v="2"/>
    <s v="NY.GDP.PCAP.KD"/>
    <x v="10"/>
    <n v="40665"/>
    <x v="1"/>
  </r>
  <r>
    <x v="41"/>
    <s v="NLD"/>
    <x v="2"/>
    <s v="NY.GDP.PCAP.KD"/>
    <x v="11"/>
    <n v="41297"/>
    <x v="1"/>
  </r>
  <r>
    <x v="41"/>
    <s v="NLD"/>
    <x v="2"/>
    <s v="NY.GDP.PCAP.KD"/>
    <x v="12"/>
    <n v="41135"/>
    <x v="1"/>
  </r>
  <r>
    <x v="41"/>
    <s v="NLD"/>
    <x v="2"/>
    <s v="NY.GDP.PCAP.KD"/>
    <x v="13"/>
    <n v="40982"/>
    <x v="1"/>
  </r>
  <r>
    <x v="41"/>
    <s v="NLD"/>
    <x v="2"/>
    <s v="NY.GDP.PCAP.KD"/>
    <x v="14"/>
    <n v="41663"/>
    <x v="1"/>
  </r>
  <r>
    <x v="41"/>
    <s v="NLD"/>
    <x v="2"/>
    <s v="NY.GDP.PCAP.KD"/>
    <x v="15"/>
    <n v="42411"/>
    <x v="1"/>
  </r>
  <r>
    <x v="41"/>
    <s v="NLD"/>
    <x v="2"/>
    <s v="NY.GDP.PCAP.KD"/>
    <x v="16"/>
    <n v="43841"/>
    <x v="1"/>
  </r>
  <r>
    <x v="41"/>
    <s v="NLD"/>
    <x v="2"/>
    <s v="NY.GDP.PCAP.KD"/>
    <x v="17"/>
    <n v="45446"/>
    <x v="2"/>
  </r>
  <r>
    <x v="41"/>
    <s v="NLD"/>
    <x v="2"/>
    <s v="NY.GDP.PCAP.KD"/>
    <x v="18"/>
    <n v="46227"/>
    <x v="2"/>
  </r>
  <r>
    <x v="41"/>
    <s v="NLD"/>
    <x v="2"/>
    <s v="NY.GDP.PCAP.KD"/>
    <x v="19"/>
    <n v="44304"/>
    <x v="2"/>
  </r>
  <r>
    <x v="41"/>
    <s v="NLD"/>
    <x v="2"/>
    <s v="NY.GDP.PCAP.KD"/>
    <x v="20"/>
    <n v="44659"/>
    <x v="2"/>
  </r>
  <r>
    <x v="41"/>
    <s v="NLD"/>
    <x v="2"/>
    <s v="NY.GDP.PCAP.KD"/>
    <x v="21"/>
    <n v="45240"/>
    <x v="2"/>
  </r>
  <r>
    <x v="41"/>
    <s v="NLD"/>
    <x v="2"/>
    <s v="NY.GDP.PCAP.KD"/>
    <x v="22"/>
    <n v="44632"/>
    <x v="2"/>
  </r>
  <r>
    <x v="41"/>
    <s v="NLD"/>
    <x v="2"/>
    <s v="NY.GDP.PCAP.KD"/>
    <x v="23"/>
    <n v="44487"/>
    <x v="2"/>
  </r>
  <r>
    <x v="41"/>
    <s v="NLD"/>
    <x v="2"/>
    <s v="NY.GDP.PCAP.KD"/>
    <x v="24"/>
    <n v="45042"/>
    <x v="2"/>
  </r>
  <r>
    <x v="41"/>
    <s v="NLD"/>
    <x v="2"/>
    <s v="NY.GDP.PCAP.KD"/>
    <x v="25"/>
    <n v="45794"/>
    <x v="2"/>
  </r>
  <r>
    <x v="41"/>
    <s v="NLD"/>
    <x v="2"/>
    <s v="NY.GDP.PCAP.KD"/>
    <x v="26"/>
    <n v="46655"/>
    <x v="2"/>
  </r>
  <r>
    <x v="41"/>
    <s v="NLD"/>
    <x v="2"/>
    <s v="NY.GDP.PCAP.KD"/>
    <x v="27"/>
    <n v="47670"/>
    <x v="3"/>
  </r>
  <r>
    <x v="41"/>
    <s v="NLD"/>
    <x v="2"/>
    <s v="NY.GDP.PCAP.KD"/>
    <x v="28"/>
    <n v="48463"/>
    <x v="3"/>
  </r>
  <r>
    <x v="41"/>
    <s v="NLD"/>
    <x v="2"/>
    <s v="NY.GDP.PCAP.KD"/>
    <x v="29"/>
    <n v="49254"/>
    <x v="3"/>
  </r>
  <r>
    <x v="13"/>
    <s v="DEU"/>
    <x v="2"/>
    <s v="NY.GDP.PCAP.KD"/>
    <x v="30"/>
    <n v="42373"/>
    <x v="3"/>
  </r>
  <r>
    <x v="41"/>
    <s v="NLD"/>
    <x v="2"/>
    <s v="NY.GDP.PCAP.KD"/>
    <x v="31"/>
    <n v="49781"/>
    <x v="3"/>
  </r>
  <r>
    <x v="41"/>
    <s v="NLD"/>
    <x v="2"/>
    <s v="NY.GDP.PCAP.KD"/>
    <x v="32"/>
    <n v="51778"/>
    <x v="6"/>
  </r>
  <r>
    <x v="41"/>
    <s v="NLD"/>
    <x v="2"/>
    <s v="NY.GDP.PCAP.KD"/>
    <x v="33"/>
    <n v="50961"/>
    <x v="6"/>
  </r>
  <r>
    <x v="41"/>
    <s v="NLD"/>
    <x v="2"/>
    <s v="NY.GDP.PCAP.KD"/>
    <x v="54"/>
    <n v="51179"/>
    <x v="6"/>
  </r>
  <r>
    <x v="42"/>
    <s v="NOR"/>
    <x v="2"/>
    <s v="NY.GDP.PCAP.KD"/>
    <x v="55"/>
    <n v="19209"/>
    <x v="6"/>
  </r>
  <r>
    <x v="42"/>
    <s v="NOR"/>
    <x v="2"/>
    <s v="NY.GDP.PCAP.KD"/>
    <x v="56"/>
    <n v="20253"/>
    <x v="6"/>
  </r>
  <r>
    <x v="42"/>
    <s v="NOR"/>
    <x v="2"/>
    <s v="NY.GDP.PCAP.KD"/>
    <x v="57"/>
    <n v="20656"/>
    <x v="6"/>
  </r>
  <r>
    <x v="42"/>
    <s v="NOR"/>
    <x v="2"/>
    <s v="NY.GDP.PCAP.KD"/>
    <x v="58"/>
    <n v="21277"/>
    <x v="6"/>
  </r>
  <r>
    <x v="42"/>
    <s v="NOR"/>
    <x v="2"/>
    <s v="NY.GDP.PCAP.KD"/>
    <x v="59"/>
    <n v="22174"/>
    <x v="6"/>
  </r>
  <r>
    <x v="42"/>
    <s v="NOR"/>
    <x v="2"/>
    <s v="NY.GDP.PCAP.KD"/>
    <x v="60"/>
    <n v="23166"/>
    <x v="6"/>
  </r>
  <r>
    <x v="42"/>
    <s v="NOR"/>
    <x v="2"/>
    <s v="NY.GDP.PCAP.KD"/>
    <x v="61"/>
    <n v="23852"/>
    <x v="6"/>
  </r>
  <r>
    <x v="42"/>
    <s v="NOR"/>
    <x v="2"/>
    <s v="NY.GDP.PCAP.KD"/>
    <x v="62"/>
    <n v="25133"/>
    <x v="4"/>
  </r>
  <r>
    <x v="42"/>
    <s v="NOR"/>
    <x v="2"/>
    <s v="NY.GDP.PCAP.KD"/>
    <x v="63"/>
    <n v="25485"/>
    <x v="4"/>
  </r>
  <r>
    <x v="42"/>
    <s v="NOR"/>
    <x v="2"/>
    <s v="NY.GDP.PCAP.KD"/>
    <x v="64"/>
    <n v="26417"/>
    <x v="4"/>
  </r>
  <r>
    <x v="42"/>
    <s v="NOR"/>
    <x v="2"/>
    <s v="NY.GDP.PCAP.KD"/>
    <x v="34"/>
    <n v="26736"/>
    <x v="4"/>
  </r>
  <r>
    <x v="42"/>
    <s v="NOR"/>
    <x v="2"/>
    <s v="NY.GDP.PCAP.KD"/>
    <x v="35"/>
    <n v="28055"/>
    <x v="4"/>
  </r>
  <r>
    <x v="42"/>
    <s v="NOR"/>
    <x v="2"/>
    <s v="NY.GDP.PCAP.KD"/>
    <x v="36"/>
    <n v="29326"/>
    <x v="4"/>
  </r>
  <r>
    <x v="42"/>
    <s v="NOR"/>
    <x v="2"/>
    <s v="NY.GDP.PCAP.KD"/>
    <x v="37"/>
    <n v="30441"/>
    <x v="4"/>
  </r>
  <r>
    <x v="42"/>
    <s v="NOR"/>
    <x v="2"/>
    <s v="NY.GDP.PCAP.KD"/>
    <x v="38"/>
    <n v="31440"/>
    <x v="4"/>
  </r>
  <r>
    <x v="42"/>
    <s v="NOR"/>
    <x v="2"/>
    <s v="NY.GDP.PCAP.KD"/>
    <x v="39"/>
    <n v="32815"/>
    <x v="4"/>
  </r>
  <r>
    <x v="42"/>
    <s v="NOR"/>
    <x v="2"/>
    <s v="NY.GDP.PCAP.KD"/>
    <x v="40"/>
    <n v="34564"/>
    <x v="4"/>
  </r>
  <r>
    <x v="42"/>
    <s v="NOR"/>
    <x v="2"/>
    <s v="NY.GDP.PCAP.KD"/>
    <x v="41"/>
    <n v="35850"/>
    <x v="5"/>
  </r>
  <r>
    <x v="42"/>
    <s v="NOR"/>
    <x v="2"/>
    <s v="NY.GDP.PCAP.KD"/>
    <x v="42"/>
    <n v="37096"/>
    <x v="5"/>
  </r>
  <r>
    <x v="42"/>
    <s v="NOR"/>
    <x v="2"/>
    <s v="NY.GDP.PCAP.KD"/>
    <x v="43"/>
    <n v="38586"/>
    <x v="5"/>
  </r>
  <r>
    <x v="42"/>
    <s v="NOR"/>
    <x v="2"/>
    <s v="NY.GDP.PCAP.KD"/>
    <x v="44"/>
    <n v="40218"/>
    <x v="5"/>
  </r>
  <r>
    <x v="42"/>
    <s v="NOR"/>
    <x v="2"/>
    <s v="NY.GDP.PCAP.KD"/>
    <x v="45"/>
    <n v="40720"/>
    <x v="5"/>
  </r>
  <r>
    <x v="42"/>
    <s v="NOR"/>
    <x v="2"/>
    <s v="NY.GDP.PCAP.KD"/>
    <x v="46"/>
    <n v="40666"/>
    <x v="5"/>
  </r>
  <r>
    <x v="42"/>
    <s v="NOR"/>
    <x v="2"/>
    <s v="NY.GDP.PCAP.KD"/>
    <x v="47"/>
    <n v="42142"/>
    <x v="5"/>
  </r>
  <r>
    <x v="42"/>
    <s v="NOR"/>
    <x v="2"/>
    <s v="NY.GDP.PCAP.KD"/>
    <x v="48"/>
    <n v="44567"/>
    <x v="5"/>
  </r>
  <r>
    <x v="42"/>
    <s v="NOR"/>
    <x v="2"/>
    <s v="NY.GDP.PCAP.KD"/>
    <x v="49"/>
    <n v="46901"/>
    <x v="5"/>
  </r>
  <r>
    <x v="42"/>
    <s v="NOR"/>
    <x v="2"/>
    <s v="NY.GDP.PCAP.KD"/>
    <x v="50"/>
    <n v="48623"/>
    <x v="5"/>
  </r>
  <r>
    <x v="42"/>
    <s v="NOR"/>
    <x v="2"/>
    <s v="NY.GDP.PCAP.KD"/>
    <x v="51"/>
    <n v="49245"/>
    <x v="0"/>
  </r>
  <r>
    <x v="42"/>
    <s v="NOR"/>
    <x v="2"/>
    <s v="NY.GDP.PCAP.KD"/>
    <x v="52"/>
    <n v="48856"/>
    <x v="0"/>
  </r>
  <r>
    <x v="42"/>
    <s v="NOR"/>
    <x v="2"/>
    <s v="NY.GDP.PCAP.KD"/>
    <x v="53"/>
    <n v="49160"/>
    <x v="0"/>
  </r>
  <r>
    <x v="42"/>
    <s v="NOR"/>
    <x v="2"/>
    <s v="NY.GDP.PCAP.KD"/>
    <x v="0"/>
    <n v="49937"/>
    <x v="0"/>
  </r>
  <r>
    <x v="42"/>
    <s v="NOR"/>
    <x v="2"/>
    <s v="NY.GDP.PCAP.KD"/>
    <x v="1"/>
    <n v="51233"/>
    <x v="0"/>
  </r>
  <r>
    <x v="42"/>
    <s v="NOR"/>
    <x v="2"/>
    <s v="NY.GDP.PCAP.KD"/>
    <x v="2"/>
    <n v="52759"/>
    <x v="0"/>
  </r>
  <r>
    <x v="42"/>
    <s v="NOR"/>
    <x v="2"/>
    <s v="NY.GDP.PCAP.KD"/>
    <x v="3"/>
    <n v="53938"/>
    <x v="0"/>
  </r>
  <r>
    <x v="42"/>
    <s v="NOR"/>
    <x v="2"/>
    <s v="NY.GDP.PCAP.KD"/>
    <x v="4"/>
    <n v="56343"/>
    <x v="0"/>
  </r>
  <r>
    <x v="42"/>
    <s v="NOR"/>
    <x v="2"/>
    <s v="NY.GDP.PCAP.KD"/>
    <x v="5"/>
    <n v="58381"/>
    <x v="0"/>
  </r>
  <r>
    <x v="42"/>
    <s v="NOR"/>
    <x v="2"/>
    <s v="NY.GDP.PCAP.KD"/>
    <x v="6"/>
    <n v="61006"/>
    <x v="0"/>
  </r>
  <r>
    <x v="42"/>
    <s v="NOR"/>
    <x v="2"/>
    <s v="NY.GDP.PCAP.KD"/>
    <x v="7"/>
    <n v="63882"/>
    <x v="1"/>
  </r>
  <r>
    <x v="42"/>
    <s v="NOR"/>
    <x v="2"/>
    <s v="NY.GDP.PCAP.KD"/>
    <x v="8"/>
    <n v="65198"/>
    <x v="1"/>
  </r>
  <r>
    <x v="42"/>
    <s v="NOR"/>
    <x v="2"/>
    <s v="NY.GDP.PCAP.KD"/>
    <x v="9"/>
    <n v="66095"/>
    <x v="1"/>
  </r>
  <r>
    <x v="42"/>
    <s v="NOR"/>
    <x v="2"/>
    <s v="NY.GDP.PCAP.KD"/>
    <x v="10"/>
    <n v="67847"/>
    <x v="1"/>
  </r>
  <r>
    <x v="42"/>
    <s v="NOR"/>
    <x v="2"/>
    <s v="NY.GDP.PCAP.KD"/>
    <x v="11"/>
    <n v="68900"/>
    <x v="1"/>
  </r>
  <r>
    <x v="42"/>
    <s v="NOR"/>
    <x v="2"/>
    <s v="NY.GDP.PCAP.KD"/>
    <x v="12"/>
    <n v="69473"/>
    <x v="1"/>
  </r>
  <r>
    <x v="42"/>
    <s v="NOR"/>
    <x v="2"/>
    <s v="NY.GDP.PCAP.KD"/>
    <x v="13"/>
    <n v="69719"/>
    <x v="1"/>
  </r>
  <r>
    <x v="42"/>
    <s v="NOR"/>
    <x v="2"/>
    <s v="NY.GDP.PCAP.KD"/>
    <x v="14"/>
    <n v="72091"/>
    <x v="1"/>
  </r>
  <r>
    <x v="42"/>
    <s v="NOR"/>
    <x v="2"/>
    <s v="NY.GDP.PCAP.KD"/>
    <x v="15"/>
    <n v="73524"/>
    <x v="1"/>
  </r>
  <r>
    <x v="42"/>
    <s v="NOR"/>
    <x v="2"/>
    <s v="NY.GDP.PCAP.KD"/>
    <x v="16"/>
    <n v="74730"/>
    <x v="1"/>
  </r>
  <r>
    <x v="42"/>
    <s v="NOR"/>
    <x v="2"/>
    <s v="NY.GDP.PCAP.KD"/>
    <x v="17"/>
    <n v="76116"/>
    <x v="2"/>
  </r>
  <r>
    <x v="42"/>
    <s v="NOR"/>
    <x v="2"/>
    <s v="NY.GDP.PCAP.KD"/>
    <x v="18"/>
    <n v="75535"/>
    <x v="2"/>
  </r>
  <r>
    <x v="42"/>
    <s v="NOR"/>
    <x v="2"/>
    <s v="NY.GDP.PCAP.KD"/>
    <x v="19"/>
    <n v="73141"/>
    <x v="2"/>
  </r>
  <r>
    <x v="42"/>
    <s v="NOR"/>
    <x v="2"/>
    <s v="NY.GDP.PCAP.KD"/>
    <x v="20"/>
    <n v="72804"/>
    <x v="2"/>
  </r>
  <r>
    <x v="42"/>
    <s v="NOR"/>
    <x v="2"/>
    <s v="NY.GDP.PCAP.KD"/>
    <x v="21"/>
    <n v="72661"/>
    <x v="2"/>
  </r>
  <r>
    <x v="42"/>
    <s v="NOR"/>
    <x v="2"/>
    <s v="NY.GDP.PCAP.KD"/>
    <x v="22"/>
    <n v="73662"/>
    <x v="2"/>
  </r>
  <r>
    <x v="42"/>
    <s v="NOR"/>
    <x v="2"/>
    <s v="NY.GDP.PCAP.KD"/>
    <x v="23"/>
    <n v="73516"/>
    <x v="2"/>
  </r>
  <r>
    <x v="42"/>
    <s v="NOR"/>
    <x v="2"/>
    <s v="NY.GDP.PCAP.KD"/>
    <x v="24"/>
    <n v="74180"/>
    <x v="2"/>
  </r>
  <r>
    <x v="42"/>
    <s v="NOR"/>
    <x v="2"/>
    <s v="NY.GDP.PCAP.KD"/>
    <x v="25"/>
    <n v="74810"/>
    <x v="2"/>
  </r>
  <r>
    <x v="42"/>
    <s v="NOR"/>
    <x v="2"/>
    <s v="NY.GDP.PCAP.KD"/>
    <x v="26"/>
    <n v="75017"/>
    <x v="2"/>
  </r>
  <r>
    <x v="42"/>
    <s v="NOR"/>
    <x v="2"/>
    <s v="NY.GDP.PCAP.KD"/>
    <x v="27"/>
    <n v="76247"/>
    <x v="3"/>
  </r>
  <r>
    <x v="42"/>
    <s v="NOR"/>
    <x v="2"/>
    <s v="NY.GDP.PCAP.KD"/>
    <x v="28"/>
    <n v="76374"/>
    <x v="3"/>
  </r>
  <r>
    <x v="42"/>
    <s v="NOR"/>
    <x v="2"/>
    <s v="NY.GDP.PCAP.KD"/>
    <x v="29"/>
    <n v="76712"/>
    <x v="3"/>
  </r>
  <r>
    <x v="20"/>
    <s v="GBR"/>
    <x v="2"/>
    <s v="NY.GDP.PCAP.KD"/>
    <x v="30"/>
    <n v="42982"/>
    <x v="3"/>
  </r>
  <r>
    <x v="42"/>
    <s v="NOR"/>
    <x v="2"/>
    <s v="NY.GDP.PCAP.KD"/>
    <x v="31"/>
    <n v="77813"/>
    <x v="3"/>
  </r>
  <r>
    <x v="42"/>
    <s v="NOR"/>
    <x v="2"/>
    <s v="NY.GDP.PCAP.KD"/>
    <x v="32"/>
    <n v="79620"/>
    <x v="0"/>
  </r>
  <r>
    <x v="42"/>
    <s v="NOR"/>
    <x v="2"/>
    <s v="NY.GDP.PCAP.KD"/>
    <x v="33"/>
    <n v="78776"/>
    <x v="0"/>
  </r>
  <r>
    <x v="42"/>
    <s v="NOR"/>
    <x v="2"/>
    <s v="NY.GDP.PCAP.KD"/>
    <x v="54"/>
    <n v="79668"/>
    <x v="0"/>
  </r>
  <r>
    <x v="43"/>
    <s v="POL"/>
    <x v="2"/>
    <s v="NY.GDP.PCAP.KD"/>
    <x v="0"/>
    <n v="5111"/>
    <x v="0"/>
  </r>
  <r>
    <x v="43"/>
    <s v="POL"/>
    <x v="2"/>
    <s v="NY.GDP.PCAP.KD"/>
    <x v="1"/>
    <n v="4736"/>
    <x v="0"/>
  </r>
  <r>
    <x v="43"/>
    <s v="POL"/>
    <x v="2"/>
    <s v="NY.GDP.PCAP.KD"/>
    <x v="2"/>
    <n v="4840"/>
    <x v="0"/>
  </r>
  <r>
    <x v="43"/>
    <s v="POL"/>
    <x v="2"/>
    <s v="NY.GDP.PCAP.KD"/>
    <x v="3"/>
    <n v="5008"/>
    <x v="0"/>
  </r>
  <r>
    <x v="43"/>
    <s v="POL"/>
    <x v="2"/>
    <s v="NY.GDP.PCAP.KD"/>
    <x v="4"/>
    <n v="5262"/>
    <x v="0"/>
  </r>
  <r>
    <x v="43"/>
    <s v="POL"/>
    <x v="2"/>
    <s v="NY.GDP.PCAP.KD"/>
    <x v="5"/>
    <n v="5672"/>
    <x v="0"/>
  </r>
  <r>
    <x v="43"/>
    <s v="POL"/>
    <x v="2"/>
    <s v="NY.GDP.PCAP.KD"/>
    <x v="6"/>
    <n v="6013"/>
    <x v="0"/>
  </r>
  <r>
    <x v="43"/>
    <s v="POL"/>
    <x v="2"/>
    <s v="NY.GDP.PCAP.KD"/>
    <x v="7"/>
    <n v="6391"/>
    <x v="1"/>
  </r>
  <r>
    <x v="43"/>
    <s v="POL"/>
    <x v="2"/>
    <s v="NY.GDP.PCAP.KD"/>
    <x v="8"/>
    <n v="6684"/>
    <x v="1"/>
  </r>
  <r>
    <x v="43"/>
    <s v="POL"/>
    <x v="2"/>
    <s v="NY.GDP.PCAP.KD"/>
    <x v="9"/>
    <n v="6999"/>
    <x v="1"/>
  </r>
  <r>
    <x v="43"/>
    <s v="POL"/>
    <x v="2"/>
    <s v="NY.GDP.PCAP.KD"/>
    <x v="10"/>
    <n v="7402"/>
    <x v="1"/>
  </r>
  <r>
    <x v="43"/>
    <s v="POL"/>
    <x v="2"/>
    <s v="NY.GDP.PCAP.KD"/>
    <x v="11"/>
    <n v="7495"/>
    <x v="1"/>
  </r>
  <r>
    <x v="43"/>
    <s v="POL"/>
    <x v="2"/>
    <s v="NY.GDP.PCAP.KD"/>
    <x v="12"/>
    <n v="7641"/>
    <x v="1"/>
  </r>
  <r>
    <x v="43"/>
    <s v="POL"/>
    <x v="2"/>
    <s v="NY.GDP.PCAP.KD"/>
    <x v="13"/>
    <n v="7916"/>
    <x v="1"/>
  </r>
  <r>
    <x v="43"/>
    <s v="POL"/>
    <x v="2"/>
    <s v="NY.GDP.PCAP.KD"/>
    <x v="14"/>
    <n v="8323"/>
    <x v="1"/>
  </r>
  <r>
    <x v="43"/>
    <s v="POL"/>
    <x v="2"/>
    <s v="NY.GDP.PCAP.KD"/>
    <x v="15"/>
    <n v="8599"/>
    <x v="1"/>
  </r>
  <r>
    <x v="43"/>
    <s v="POL"/>
    <x v="2"/>
    <s v="NY.GDP.PCAP.KD"/>
    <x v="16"/>
    <n v="9138"/>
    <x v="1"/>
  </r>
  <r>
    <x v="43"/>
    <s v="POL"/>
    <x v="2"/>
    <s v="NY.GDP.PCAP.KD"/>
    <x v="17"/>
    <n v="9761"/>
    <x v="2"/>
  </r>
  <r>
    <x v="43"/>
    <s v="POL"/>
    <x v="2"/>
    <s v="NY.GDP.PCAP.KD"/>
    <x v="18"/>
    <n v="10187"/>
    <x v="2"/>
  </r>
  <r>
    <x v="43"/>
    <s v="POL"/>
    <x v="2"/>
    <s v="NY.GDP.PCAP.KD"/>
    <x v="19"/>
    <n v="10447"/>
    <x v="2"/>
  </r>
  <r>
    <x v="43"/>
    <s v="POL"/>
    <x v="2"/>
    <s v="NY.GDP.PCAP.KD"/>
    <x v="20"/>
    <n v="10808"/>
    <x v="2"/>
  </r>
  <r>
    <x v="43"/>
    <s v="POL"/>
    <x v="2"/>
    <s v="NY.GDP.PCAP.KD"/>
    <x v="21"/>
    <n v="11370"/>
    <x v="2"/>
  </r>
  <r>
    <x v="43"/>
    <s v="POL"/>
    <x v="2"/>
    <s v="NY.GDP.PCAP.KD"/>
    <x v="22"/>
    <n v="11542"/>
    <x v="2"/>
  </r>
  <r>
    <x v="43"/>
    <s v="POL"/>
    <x v="2"/>
    <s v="NY.GDP.PCAP.KD"/>
    <x v="23"/>
    <n v="11628"/>
    <x v="2"/>
  </r>
  <r>
    <x v="43"/>
    <s v="POL"/>
    <x v="2"/>
    <s v="NY.GDP.PCAP.KD"/>
    <x v="24"/>
    <n v="12093"/>
    <x v="2"/>
  </r>
  <r>
    <x v="43"/>
    <s v="POL"/>
    <x v="2"/>
    <s v="NY.GDP.PCAP.KD"/>
    <x v="25"/>
    <n v="12638"/>
    <x v="2"/>
  </r>
  <r>
    <x v="43"/>
    <s v="POL"/>
    <x v="2"/>
    <s v="NY.GDP.PCAP.KD"/>
    <x v="26"/>
    <n v="13026"/>
    <x v="2"/>
  </r>
  <r>
    <x v="43"/>
    <s v="POL"/>
    <x v="2"/>
    <s v="NY.GDP.PCAP.KD"/>
    <x v="27"/>
    <n v="13696"/>
    <x v="3"/>
  </r>
  <r>
    <x v="43"/>
    <s v="POL"/>
    <x v="2"/>
    <s v="NY.GDP.PCAP.KD"/>
    <x v="28"/>
    <n v="14551"/>
    <x v="3"/>
  </r>
  <r>
    <x v="43"/>
    <s v="POL"/>
    <x v="2"/>
    <s v="NY.GDP.PCAP.KD"/>
    <x v="29"/>
    <n v="15221"/>
    <x v="3"/>
  </r>
  <r>
    <x v="3"/>
    <s v="AUT"/>
    <x v="2"/>
    <s v="NY.GDP.PCAP.KD"/>
    <x v="30"/>
    <n v="43429"/>
    <x v="3"/>
  </r>
  <r>
    <x v="43"/>
    <s v="POL"/>
    <x v="2"/>
    <s v="NY.GDP.PCAP.KD"/>
    <x v="31"/>
    <n v="16369"/>
    <x v="3"/>
  </r>
  <r>
    <x v="43"/>
    <s v="POL"/>
    <x v="2"/>
    <s v="NY.GDP.PCAP.KD"/>
    <x v="32"/>
    <n v="17304"/>
    <x v="6"/>
  </r>
  <r>
    <x v="43"/>
    <s v="POL"/>
    <x v="2"/>
    <s v="NY.GDP.PCAP.KD"/>
    <x v="33"/>
    <n v="17410"/>
    <x v="6"/>
  </r>
  <r>
    <x v="43"/>
    <s v="POL"/>
    <x v="2"/>
    <s v="NY.GDP.PCAP.KD"/>
    <x v="54"/>
    <n v="18001"/>
    <x v="6"/>
  </r>
  <r>
    <x v="44"/>
    <s v="PRT"/>
    <x v="2"/>
    <s v="NY.GDP.PCAP.KD"/>
    <x v="55"/>
    <n v="4067"/>
    <x v="6"/>
  </r>
  <r>
    <x v="44"/>
    <s v="PRT"/>
    <x v="2"/>
    <s v="NY.GDP.PCAP.KD"/>
    <x v="56"/>
    <n v="4258"/>
    <x v="6"/>
  </r>
  <r>
    <x v="44"/>
    <s v="PRT"/>
    <x v="2"/>
    <s v="NY.GDP.PCAP.KD"/>
    <x v="57"/>
    <n v="4507"/>
    <x v="6"/>
  </r>
  <r>
    <x v="44"/>
    <s v="PRT"/>
    <x v="2"/>
    <s v="NY.GDP.PCAP.KD"/>
    <x v="58"/>
    <n v="4752"/>
    <x v="6"/>
  </r>
  <r>
    <x v="44"/>
    <s v="PRT"/>
    <x v="2"/>
    <s v="NY.GDP.PCAP.KD"/>
    <x v="59"/>
    <n v="5049"/>
    <x v="6"/>
  </r>
  <r>
    <x v="44"/>
    <s v="PRT"/>
    <x v="2"/>
    <s v="NY.GDP.PCAP.KD"/>
    <x v="60"/>
    <n v="5449"/>
    <x v="6"/>
  </r>
  <r>
    <x v="44"/>
    <s v="PRT"/>
    <x v="2"/>
    <s v="NY.GDP.PCAP.KD"/>
    <x v="61"/>
    <n v="5714"/>
    <x v="6"/>
  </r>
  <r>
    <x v="44"/>
    <s v="PRT"/>
    <x v="2"/>
    <s v="NY.GDP.PCAP.KD"/>
    <x v="62"/>
    <n v="6184"/>
    <x v="4"/>
  </r>
  <r>
    <x v="44"/>
    <s v="PRT"/>
    <x v="2"/>
    <s v="NY.GDP.PCAP.KD"/>
    <x v="63"/>
    <n v="6761"/>
    <x v="4"/>
  </r>
  <r>
    <x v="44"/>
    <s v="PRT"/>
    <x v="2"/>
    <s v="NY.GDP.PCAP.KD"/>
    <x v="64"/>
    <n v="6967"/>
    <x v="4"/>
  </r>
  <r>
    <x v="44"/>
    <s v="PRT"/>
    <x v="2"/>
    <s v="NY.GDP.PCAP.KD"/>
    <x v="34"/>
    <n v="7670"/>
    <x v="4"/>
  </r>
  <r>
    <x v="44"/>
    <s v="PRT"/>
    <x v="2"/>
    <s v="NY.GDP.PCAP.KD"/>
    <x v="35"/>
    <n v="8213"/>
    <x v="4"/>
  </r>
  <r>
    <x v="44"/>
    <s v="PRT"/>
    <x v="2"/>
    <s v="NY.GDP.PCAP.KD"/>
    <x v="36"/>
    <n v="8885"/>
    <x v="4"/>
  </r>
  <r>
    <x v="44"/>
    <s v="PRT"/>
    <x v="2"/>
    <s v="NY.GDP.PCAP.KD"/>
    <x v="37"/>
    <n v="9877"/>
    <x v="4"/>
  </r>
  <r>
    <x v="44"/>
    <s v="PRT"/>
    <x v="2"/>
    <s v="NY.GDP.PCAP.KD"/>
    <x v="38"/>
    <n v="9852"/>
    <x v="4"/>
  </r>
  <r>
    <x v="44"/>
    <s v="PRT"/>
    <x v="2"/>
    <s v="NY.GDP.PCAP.KD"/>
    <x v="39"/>
    <n v="9072"/>
    <x v="4"/>
  </r>
  <r>
    <x v="44"/>
    <s v="PRT"/>
    <x v="2"/>
    <s v="NY.GDP.PCAP.KD"/>
    <x v="40"/>
    <n v="9426"/>
    <x v="4"/>
  </r>
  <r>
    <x v="44"/>
    <s v="PRT"/>
    <x v="2"/>
    <s v="NY.GDP.PCAP.KD"/>
    <x v="41"/>
    <n v="9849"/>
    <x v="5"/>
  </r>
  <r>
    <x v="44"/>
    <s v="PRT"/>
    <x v="2"/>
    <s v="NY.GDP.PCAP.KD"/>
    <x v="42"/>
    <n v="10018"/>
    <x v="5"/>
  </r>
  <r>
    <x v="44"/>
    <s v="PRT"/>
    <x v="2"/>
    <s v="NY.GDP.PCAP.KD"/>
    <x v="43"/>
    <n v="10470"/>
    <x v="5"/>
  </r>
  <r>
    <x v="44"/>
    <s v="PRT"/>
    <x v="2"/>
    <s v="NY.GDP.PCAP.KD"/>
    <x v="44"/>
    <n v="10833"/>
    <x v="5"/>
  </r>
  <r>
    <x v="44"/>
    <s v="PRT"/>
    <x v="2"/>
    <s v="NY.GDP.PCAP.KD"/>
    <x v="45"/>
    <n v="10913"/>
    <x v="5"/>
  </r>
  <r>
    <x v="44"/>
    <s v="PRT"/>
    <x v="2"/>
    <s v="NY.GDP.PCAP.KD"/>
    <x v="46"/>
    <n v="11078"/>
    <x v="5"/>
  </r>
  <r>
    <x v="44"/>
    <s v="PRT"/>
    <x v="2"/>
    <s v="NY.GDP.PCAP.KD"/>
    <x v="47"/>
    <n v="11008"/>
    <x v="5"/>
  </r>
  <r>
    <x v="44"/>
    <s v="PRT"/>
    <x v="2"/>
    <s v="NY.GDP.PCAP.KD"/>
    <x v="48"/>
    <n v="10759"/>
    <x v="5"/>
  </r>
  <r>
    <x v="44"/>
    <s v="PRT"/>
    <x v="2"/>
    <s v="NY.GDP.PCAP.KD"/>
    <x v="49"/>
    <n v="11031"/>
    <x v="5"/>
  </r>
  <r>
    <x v="44"/>
    <s v="PRT"/>
    <x v="2"/>
    <s v="NY.GDP.PCAP.KD"/>
    <x v="50"/>
    <n v="11477"/>
    <x v="5"/>
  </r>
  <r>
    <x v="44"/>
    <s v="PRT"/>
    <x v="2"/>
    <s v="NY.GDP.PCAP.KD"/>
    <x v="51"/>
    <n v="12213"/>
    <x v="0"/>
  </r>
  <r>
    <x v="44"/>
    <s v="PRT"/>
    <x v="2"/>
    <s v="NY.GDP.PCAP.KD"/>
    <x v="52"/>
    <n v="13141"/>
    <x v="0"/>
  </r>
  <r>
    <x v="44"/>
    <s v="PRT"/>
    <x v="2"/>
    <s v="NY.GDP.PCAP.KD"/>
    <x v="53"/>
    <n v="14008"/>
    <x v="0"/>
  </r>
  <r>
    <x v="44"/>
    <s v="PRT"/>
    <x v="2"/>
    <s v="NY.GDP.PCAP.KD"/>
    <x v="0"/>
    <n v="14593"/>
    <x v="0"/>
  </r>
  <r>
    <x v="44"/>
    <s v="PRT"/>
    <x v="2"/>
    <s v="NY.GDP.PCAP.KD"/>
    <x v="1"/>
    <n v="15266"/>
    <x v="0"/>
  </r>
  <r>
    <x v="44"/>
    <s v="PRT"/>
    <x v="2"/>
    <s v="NY.GDP.PCAP.KD"/>
    <x v="2"/>
    <n v="15444"/>
    <x v="0"/>
  </r>
  <r>
    <x v="44"/>
    <s v="PRT"/>
    <x v="2"/>
    <s v="NY.GDP.PCAP.KD"/>
    <x v="3"/>
    <n v="15110"/>
    <x v="0"/>
  </r>
  <r>
    <x v="44"/>
    <s v="PRT"/>
    <x v="2"/>
    <s v="NY.GDP.PCAP.KD"/>
    <x v="4"/>
    <n v="15215"/>
    <x v="0"/>
  </r>
  <r>
    <x v="44"/>
    <s v="PRT"/>
    <x v="2"/>
    <s v="NY.GDP.PCAP.KD"/>
    <x v="5"/>
    <n v="15812"/>
    <x v="0"/>
  </r>
  <r>
    <x v="44"/>
    <s v="PRT"/>
    <x v="2"/>
    <s v="NY.GDP.PCAP.KD"/>
    <x v="6"/>
    <n v="16304"/>
    <x v="0"/>
  </r>
  <r>
    <x v="44"/>
    <s v="PRT"/>
    <x v="2"/>
    <s v="NY.GDP.PCAP.KD"/>
    <x v="7"/>
    <n v="16946"/>
    <x v="1"/>
  </r>
  <r>
    <x v="44"/>
    <s v="PRT"/>
    <x v="2"/>
    <s v="NY.GDP.PCAP.KD"/>
    <x v="8"/>
    <n v="17671"/>
    <x v="1"/>
  </r>
  <r>
    <x v="44"/>
    <s v="PRT"/>
    <x v="2"/>
    <s v="NY.GDP.PCAP.KD"/>
    <x v="9"/>
    <n v="18258"/>
    <x v="1"/>
  </r>
  <r>
    <x v="44"/>
    <s v="PRT"/>
    <x v="2"/>
    <s v="NY.GDP.PCAP.KD"/>
    <x v="10"/>
    <n v="18822"/>
    <x v="1"/>
  </r>
  <r>
    <x v="44"/>
    <s v="PRT"/>
    <x v="2"/>
    <s v="NY.GDP.PCAP.KD"/>
    <x v="11"/>
    <n v="19053"/>
    <x v="1"/>
  </r>
  <r>
    <x v="44"/>
    <s v="PRT"/>
    <x v="2"/>
    <s v="NY.GDP.PCAP.KD"/>
    <x v="12"/>
    <n v="19095"/>
    <x v="1"/>
  </r>
  <r>
    <x v="44"/>
    <s v="PRT"/>
    <x v="2"/>
    <s v="NY.GDP.PCAP.KD"/>
    <x v="13"/>
    <n v="18847"/>
    <x v="1"/>
  </r>
  <r>
    <x v="44"/>
    <s v="PRT"/>
    <x v="2"/>
    <s v="NY.GDP.PCAP.KD"/>
    <x v="14"/>
    <n v="19138"/>
    <x v="1"/>
  </r>
  <r>
    <x v="44"/>
    <s v="PRT"/>
    <x v="2"/>
    <s v="NY.GDP.PCAP.KD"/>
    <x v="15"/>
    <n v="19252"/>
    <x v="1"/>
  </r>
  <r>
    <x v="44"/>
    <s v="PRT"/>
    <x v="2"/>
    <s v="NY.GDP.PCAP.KD"/>
    <x v="16"/>
    <n v="19529"/>
    <x v="1"/>
  </r>
  <r>
    <x v="44"/>
    <s v="PRT"/>
    <x v="2"/>
    <s v="NY.GDP.PCAP.KD"/>
    <x v="17"/>
    <n v="19980"/>
    <x v="2"/>
  </r>
  <r>
    <x v="44"/>
    <s v="PRT"/>
    <x v="2"/>
    <s v="NY.GDP.PCAP.KD"/>
    <x v="18"/>
    <n v="20014"/>
    <x v="2"/>
  </r>
  <r>
    <x v="44"/>
    <s v="PRT"/>
    <x v="2"/>
    <s v="NY.GDP.PCAP.KD"/>
    <x v="19"/>
    <n v="19371"/>
    <x v="2"/>
  </r>
  <r>
    <x v="44"/>
    <s v="PRT"/>
    <x v="2"/>
    <s v="NY.GDP.PCAP.KD"/>
    <x v="20"/>
    <n v="19699"/>
    <x v="2"/>
  </r>
  <r>
    <x v="44"/>
    <s v="PRT"/>
    <x v="2"/>
    <s v="NY.GDP.PCAP.KD"/>
    <x v="21"/>
    <n v="19390"/>
    <x v="2"/>
  </r>
  <r>
    <x v="44"/>
    <s v="PRT"/>
    <x v="2"/>
    <s v="NY.GDP.PCAP.KD"/>
    <x v="22"/>
    <n v="18680"/>
    <x v="2"/>
  </r>
  <r>
    <x v="44"/>
    <s v="PRT"/>
    <x v="2"/>
    <s v="NY.GDP.PCAP.KD"/>
    <x v="23"/>
    <n v="18598"/>
    <x v="2"/>
  </r>
  <r>
    <x v="44"/>
    <s v="PRT"/>
    <x v="2"/>
    <s v="NY.GDP.PCAP.KD"/>
    <x v="24"/>
    <n v="18837"/>
    <x v="2"/>
  </r>
  <r>
    <x v="44"/>
    <s v="PRT"/>
    <x v="2"/>
    <s v="NY.GDP.PCAP.KD"/>
    <x v="25"/>
    <n v="19216"/>
    <x v="2"/>
  </r>
  <r>
    <x v="44"/>
    <s v="PRT"/>
    <x v="2"/>
    <s v="NY.GDP.PCAP.KD"/>
    <x v="26"/>
    <n v="19663"/>
    <x v="2"/>
  </r>
  <r>
    <x v="44"/>
    <s v="PRT"/>
    <x v="2"/>
    <s v="NY.GDP.PCAP.KD"/>
    <x v="27"/>
    <n v="20364"/>
    <x v="3"/>
  </r>
  <r>
    <x v="44"/>
    <s v="PRT"/>
    <x v="2"/>
    <s v="NY.GDP.PCAP.KD"/>
    <x v="28"/>
    <n v="20998"/>
    <x v="3"/>
  </r>
  <r>
    <x v="44"/>
    <s v="PRT"/>
    <x v="2"/>
    <s v="NY.GDP.PCAP.KD"/>
    <x v="29"/>
    <n v="21569"/>
    <x v="3"/>
  </r>
  <r>
    <x v="17"/>
    <s v="FIN"/>
    <x v="2"/>
    <s v="NY.GDP.PCAP.KD"/>
    <x v="30"/>
    <n v="44691"/>
    <x v="3"/>
  </r>
  <r>
    <x v="44"/>
    <s v="PRT"/>
    <x v="2"/>
    <s v="NY.GDP.PCAP.KD"/>
    <x v="31"/>
    <n v="20748"/>
    <x v="3"/>
  </r>
  <r>
    <x v="44"/>
    <s v="PRT"/>
    <x v="2"/>
    <s v="NY.GDP.PCAP.KD"/>
    <x v="32"/>
    <n v="22043"/>
    <x v="0"/>
  </r>
  <r>
    <x v="44"/>
    <s v="PRT"/>
    <x v="2"/>
    <s v="NY.GDP.PCAP.KD"/>
    <x v="33"/>
    <n v="22417"/>
    <x v="0"/>
  </r>
  <r>
    <x v="44"/>
    <s v="PRT"/>
    <x v="2"/>
    <s v="NY.GDP.PCAP.KD"/>
    <x v="54"/>
    <n v="22647"/>
    <x v="0"/>
  </r>
  <r>
    <x v="45"/>
    <s v="ROU"/>
    <x v="2"/>
    <s v="NY.GDP.PCAP.KD"/>
    <x v="0"/>
    <n v="5019"/>
    <x v="0"/>
  </r>
  <r>
    <x v="45"/>
    <s v="ROU"/>
    <x v="2"/>
    <s v="NY.GDP.PCAP.KD"/>
    <x v="1"/>
    <n v="4409"/>
    <x v="0"/>
  </r>
  <r>
    <x v="45"/>
    <s v="ROU"/>
    <x v="2"/>
    <s v="NY.GDP.PCAP.KD"/>
    <x v="2"/>
    <n v="4059"/>
    <x v="0"/>
  </r>
  <r>
    <x v="45"/>
    <s v="ROU"/>
    <x v="2"/>
    <s v="NY.GDP.PCAP.KD"/>
    <x v="3"/>
    <n v="4127"/>
    <x v="0"/>
  </r>
  <r>
    <x v="45"/>
    <s v="ROU"/>
    <x v="2"/>
    <s v="NY.GDP.PCAP.KD"/>
    <x v="4"/>
    <n v="4295"/>
    <x v="0"/>
  </r>
  <r>
    <x v="45"/>
    <s v="ROU"/>
    <x v="2"/>
    <s v="NY.GDP.PCAP.KD"/>
    <x v="5"/>
    <n v="4572"/>
    <x v="0"/>
  </r>
  <r>
    <x v="45"/>
    <s v="ROU"/>
    <x v="2"/>
    <s v="NY.GDP.PCAP.KD"/>
    <x v="6"/>
    <n v="4765"/>
    <x v="0"/>
  </r>
  <r>
    <x v="45"/>
    <s v="ROU"/>
    <x v="2"/>
    <s v="NY.GDP.PCAP.KD"/>
    <x v="7"/>
    <n v="4547"/>
    <x v="1"/>
  </r>
  <r>
    <x v="45"/>
    <s v="ROU"/>
    <x v="2"/>
    <s v="NY.GDP.PCAP.KD"/>
    <x v="8"/>
    <n v="4464"/>
    <x v="1"/>
  </r>
  <r>
    <x v="45"/>
    <s v="ROU"/>
    <x v="2"/>
    <s v="NY.GDP.PCAP.KD"/>
    <x v="9"/>
    <n v="4454"/>
    <x v="1"/>
  </r>
  <r>
    <x v="45"/>
    <s v="ROU"/>
    <x v="2"/>
    <s v="NY.GDP.PCAP.KD"/>
    <x v="10"/>
    <n v="4569"/>
    <x v="1"/>
  </r>
  <r>
    <x v="45"/>
    <s v="ROU"/>
    <x v="2"/>
    <s v="NY.GDP.PCAP.KD"/>
    <x v="11"/>
    <n v="4875"/>
    <x v="1"/>
  </r>
  <r>
    <x v="45"/>
    <s v="ROU"/>
    <x v="2"/>
    <s v="NY.GDP.PCAP.KD"/>
    <x v="12"/>
    <n v="5249"/>
    <x v="1"/>
  </r>
  <r>
    <x v="45"/>
    <s v="ROU"/>
    <x v="2"/>
    <s v="NY.GDP.PCAP.KD"/>
    <x v="13"/>
    <n v="5410"/>
    <x v="1"/>
  </r>
  <r>
    <x v="45"/>
    <s v="ROU"/>
    <x v="2"/>
    <s v="NY.GDP.PCAP.KD"/>
    <x v="14"/>
    <n v="6009"/>
    <x v="1"/>
  </r>
  <r>
    <x v="45"/>
    <s v="ROU"/>
    <x v="2"/>
    <s v="NY.GDP.PCAP.KD"/>
    <x v="15"/>
    <n v="6328"/>
    <x v="1"/>
  </r>
  <r>
    <x v="45"/>
    <s v="ROU"/>
    <x v="2"/>
    <s v="NY.GDP.PCAP.KD"/>
    <x v="16"/>
    <n v="6877"/>
    <x v="1"/>
  </r>
  <r>
    <x v="45"/>
    <s v="ROU"/>
    <x v="2"/>
    <s v="NY.GDP.PCAP.KD"/>
    <x v="17"/>
    <n v="7484"/>
    <x v="2"/>
  </r>
  <r>
    <x v="45"/>
    <s v="ROU"/>
    <x v="2"/>
    <s v="NY.GDP.PCAP.KD"/>
    <x v="18"/>
    <n v="8318"/>
    <x v="2"/>
  </r>
  <r>
    <x v="45"/>
    <s v="ROU"/>
    <x v="2"/>
    <s v="NY.GDP.PCAP.KD"/>
    <x v="19"/>
    <n v="7925"/>
    <x v="2"/>
  </r>
  <r>
    <x v="45"/>
    <s v="ROU"/>
    <x v="2"/>
    <s v="NY.GDP.PCAP.KD"/>
    <x v="20"/>
    <n v="7661"/>
    <x v="2"/>
  </r>
  <r>
    <x v="45"/>
    <s v="ROU"/>
    <x v="2"/>
    <s v="NY.GDP.PCAP.KD"/>
    <x v="21"/>
    <n v="8045"/>
    <x v="2"/>
  </r>
  <r>
    <x v="45"/>
    <s v="ROU"/>
    <x v="2"/>
    <s v="NY.GDP.PCAP.KD"/>
    <x v="22"/>
    <n v="8234"/>
    <x v="2"/>
  </r>
  <r>
    <x v="45"/>
    <s v="ROU"/>
    <x v="2"/>
    <s v="NY.GDP.PCAP.KD"/>
    <x v="23"/>
    <n v="8288"/>
    <x v="2"/>
  </r>
  <r>
    <x v="45"/>
    <s v="ROU"/>
    <x v="2"/>
    <s v="NY.GDP.PCAP.KD"/>
    <x v="24"/>
    <n v="8661"/>
    <x v="2"/>
  </r>
  <r>
    <x v="45"/>
    <s v="ROU"/>
    <x v="2"/>
    <s v="NY.GDP.PCAP.KD"/>
    <x v="25"/>
    <n v="8977"/>
    <x v="2"/>
  </r>
  <r>
    <x v="45"/>
    <s v="ROU"/>
    <x v="2"/>
    <s v="NY.GDP.PCAP.KD"/>
    <x v="26"/>
    <n v="9287"/>
    <x v="2"/>
  </r>
  <r>
    <x v="45"/>
    <s v="ROU"/>
    <x v="2"/>
    <s v="NY.GDP.PCAP.KD"/>
    <x v="27"/>
    <n v="10106"/>
    <x v="3"/>
  </r>
  <r>
    <x v="45"/>
    <s v="ROU"/>
    <x v="2"/>
    <s v="NY.GDP.PCAP.KD"/>
    <x v="28"/>
    <n v="10714"/>
    <x v="3"/>
  </r>
  <r>
    <x v="45"/>
    <s v="ROU"/>
    <x v="2"/>
    <s v="NY.GDP.PCAP.KD"/>
    <x v="29"/>
    <n v="11197"/>
    <x v="3"/>
  </r>
  <r>
    <x v="41"/>
    <s v="NLD"/>
    <x v="2"/>
    <s v="NY.GDP.PCAP.KD"/>
    <x v="30"/>
    <n v="47087"/>
    <x v="3"/>
  </r>
  <r>
    <x v="45"/>
    <s v="ROU"/>
    <x v="2"/>
    <s v="NY.GDP.PCAP.KD"/>
    <x v="31"/>
    <n v="11546"/>
    <x v="3"/>
  </r>
  <r>
    <x v="45"/>
    <s v="ROU"/>
    <x v="2"/>
    <s v="NY.GDP.PCAP.KD"/>
    <x v="32"/>
    <n v="12076"/>
    <x v="5"/>
  </r>
  <r>
    <x v="45"/>
    <s v="ROU"/>
    <x v="2"/>
    <s v="NY.GDP.PCAP.KD"/>
    <x v="33"/>
    <n v="12341"/>
    <x v="0"/>
  </r>
  <r>
    <x v="45"/>
    <s v="ROU"/>
    <x v="2"/>
    <s v="NY.GDP.PCAP.KD"/>
    <x v="54"/>
    <n v="12460"/>
    <x v="0"/>
  </r>
  <r>
    <x v="46"/>
    <s v="RUS"/>
    <x v="2"/>
    <s v="NY.GDP.PCAP.KD"/>
    <x v="53"/>
    <n v="8106"/>
    <x v="0"/>
  </r>
  <r>
    <x v="46"/>
    <s v="RUS"/>
    <x v="2"/>
    <s v="NY.GDP.PCAP.KD"/>
    <x v="0"/>
    <n v="7850"/>
    <x v="0"/>
  </r>
  <r>
    <x v="46"/>
    <s v="RUS"/>
    <x v="2"/>
    <s v="NY.GDP.PCAP.KD"/>
    <x v="1"/>
    <n v="7432"/>
    <x v="0"/>
  </r>
  <r>
    <x v="46"/>
    <s v="RUS"/>
    <x v="2"/>
    <s v="NY.GDP.PCAP.KD"/>
    <x v="2"/>
    <n v="6346"/>
    <x v="0"/>
  </r>
  <r>
    <x v="46"/>
    <s v="RUS"/>
    <x v="2"/>
    <s v="NY.GDP.PCAP.KD"/>
    <x v="3"/>
    <n v="5799"/>
    <x v="0"/>
  </r>
  <r>
    <x v="46"/>
    <s v="RUS"/>
    <x v="2"/>
    <s v="NY.GDP.PCAP.KD"/>
    <x v="4"/>
    <n v="5072"/>
    <x v="0"/>
  </r>
  <r>
    <x v="46"/>
    <s v="RUS"/>
    <x v="2"/>
    <s v="NY.GDP.PCAP.KD"/>
    <x v="5"/>
    <n v="4863"/>
    <x v="0"/>
  </r>
  <r>
    <x v="46"/>
    <s v="RUS"/>
    <x v="2"/>
    <s v="NY.GDP.PCAP.KD"/>
    <x v="6"/>
    <n v="4687"/>
    <x v="0"/>
  </r>
  <r>
    <x v="46"/>
    <s v="RUS"/>
    <x v="2"/>
    <s v="NY.GDP.PCAP.KD"/>
    <x v="7"/>
    <n v="4760"/>
    <x v="1"/>
  </r>
  <r>
    <x v="46"/>
    <s v="RUS"/>
    <x v="2"/>
    <s v="NY.GDP.PCAP.KD"/>
    <x v="8"/>
    <n v="4516"/>
    <x v="1"/>
  </r>
  <r>
    <x v="46"/>
    <s v="RUS"/>
    <x v="2"/>
    <s v="NY.GDP.PCAP.KD"/>
    <x v="9"/>
    <n v="4819"/>
    <x v="1"/>
  </r>
  <r>
    <x v="46"/>
    <s v="RUS"/>
    <x v="2"/>
    <s v="NY.GDP.PCAP.KD"/>
    <x v="10"/>
    <n v="5324"/>
    <x v="1"/>
  </r>
  <r>
    <x v="46"/>
    <s v="RUS"/>
    <x v="2"/>
    <s v="NY.GDP.PCAP.KD"/>
    <x v="11"/>
    <n v="5619"/>
    <x v="1"/>
  </r>
  <r>
    <x v="46"/>
    <s v="RUS"/>
    <x v="2"/>
    <s v="NY.GDP.PCAP.KD"/>
    <x v="12"/>
    <n v="5910"/>
    <x v="1"/>
  </r>
  <r>
    <x v="46"/>
    <s v="RUS"/>
    <x v="2"/>
    <s v="NY.GDP.PCAP.KD"/>
    <x v="13"/>
    <n v="6370"/>
    <x v="1"/>
  </r>
  <r>
    <x v="46"/>
    <s v="RUS"/>
    <x v="2"/>
    <s v="NY.GDP.PCAP.KD"/>
    <x v="14"/>
    <n v="6857"/>
    <x v="1"/>
  </r>
  <r>
    <x v="46"/>
    <s v="RUS"/>
    <x v="2"/>
    <s v="NY.GDP.PCAP.KD"/>
    <x v="15"/>
    <n v="7323"/>
    <x v="1"/>
  </r>
  <r>
    <x v="46"/>
    <s v="RUS"/>
    <x v="2"/>
    <s v="NY.GDP.PCAP.KD"/>
    <x v="16"/>
    <n v="7950"/>
    <x v="1"/>
  </r>
  <r>
    <x v="46"/>
    <s v="RUS"/>
    <x v="2"/>
    <s v="NY.GDP.PCAP.KD"/>
    <x v="17"/>
    <n v="8640"/>
    <x v="2"/>
  </r>
  <r>
    <x v="46"/>
    <s v="RUS"/>
    <x v="2"/>
    <s v="NY.GDP.PCAP.KD"/>
    <x v="18"/>
    <n v="9094"/>
    <x v="2"/>
  </r>
  <r>
    <x v="46"/>
    <s v="RUS"/>
    <x v="2"/>
    <s v="NY.GDP.PCAP.KD"/>
    <x v="19"/>
    <n v="8382"/>
    <x v="2"/>
  </r>
  <r>
    <x v="46"/>
    <s v="RUS"/>
    <x v="2"/>
    <s v="NY.GDP.PCAP.KD"/>
    <x v="20"/>
    <n v="8755"/>
    <x v="2"/>
  </r>
  <r>
    <x v="46"/>
    <s v="RUS"/>
    <x v="2"/>
    <s v="NY.GDP.PCAP.KD"/>
    <x v="21"/>
    <n v="9121"/>
    <x v="2"/>
  </r>
  <r>
    <x v="46"/>
    <s v="RUS"/>
    <x v="2"/>
    <s v="NY.GDP.PCAP.KD"/>
    <x v="22"/>
    <n v="9464"/>
    <x v="2"/>
  </r>
  <r>
    <x v="46"/>
    <s v="RUS"/>
    <x v="2"/>
    <s v="NY.GDP.PCAP.KD"/>
    <x v="23"/>
    <n v="9602"/>
    <x v="2"/>
  </r>
  <r>
    <x v="46"/>
    <s v="RUS"/>
    <x v="2"/>
    <s v="NY.GDP.PCAP.KD"/>
    <x v="24"/>
    <n v="9494"/>
    <x v="2"/>
  </r>
  <r>
    <x v="46"/>
    <s v="RUS"/>
    <x v="2"/>
    <s v="NY.GDP.PCAP.KD"/>
    <x v="25"/>
    <n v="9278"/>
    <x v="2"/>
  </r>
  <r>
    <x v="46"/>
    <s v="RUS"/>
    <x v="2"/>
    <s v="NY.GDP.PCAP.KD"/>
    <x v="26"/>
    <n v="9269"/>
    <x v="2"/>
  </r>
  <r>
    <x v="46"/>
    <s v="RUS"/>
    <x v="2"/>
    <s v="NY.GDP.PCAP.KD"/>
    <x v="27"/>
    <n v="9419"/>
    <x v="3"/>
  </r>
  <r>
    <x v="46"/>
    <s v="RUS"/>
    <x v="2"/>
    <s v="NY.GDP.PCAP.KD"/>
    <x v="28"/>
    <n v="9675"/>
    <x v="3"/>
  </r>
  <r>
    <x v="46"/>
    <s v="RUS"/>
    <x v="2"/>
    <s v="NY.GDP.PCAP.KD"/>
    <x v="29"/>
    <n v="9882"/>
    <x v="3"/>
  </r>
  <r>
    <x v="24"/>
    <s v="GRL"/>
    <x v="2"/>
    <s v="NY.GDP.PCAP.KD"/>
    <x v="30"/>
    <n v="48170"/>
    <x v="3"/>
  </r>
  <r>
    <x v="46"/>
    <s v="RUS"/>
    <x v="2"/>
    <s v="NY.GDP.PCAP.KD"/>
    <x v="31"/>
    <n v="10231"/>
    <x v="3"/>
  </r>
  <r>
    <x v="46"/>
    <s v="RUS"/>
    <x v="2"/>
    <s v="NY.GDP.PCAP.KD"/>
    <x v="32"/>
    <n v="10119"/>
    <x v="0"/>
  </r>
  <r>
    <x v="46"/>
    <s v="RUS"/>
    <x v="2"/>
    <s v="NY.GDP.PCAP.KD"/>
    <x v="33"/>
    <n v="10562"/>
    <x v="0"/>
  </r>
  <r>
    <x v="46"/>
    <s v="RUS"/>
    <x v="2"/>
    <s v="NY.GDP.PCAP.KD"/>
    <x v="54"/>
    <n v="11043"/>
    <x v="0"/>
  </r>
  <r>
    <x v="47"/>
    <s v="SMR"/>
    <x v="2"/>
    <s v="NY.GDP.PCAP.KD"/>
    <x v="7"/>
    <n v="48410"/>
    <x v="1"/>
  </r>
  <r>
    <x v="47"/>
    <s v="SMR"/>
    <x v="2"/>
    <s v="NY.GDP.PCAP.KD"/>
    <x v="8"/>
    <n v="51376"/>
    <x v="1"/>
  </r>
  <r>
    <x v="47"/>
    <s v="SMR"/>
    <x v="2"/>
    <s v="NY.GDP.PCAP.KD"/>
    <x v="9"/>
    <n v="55318"/>
    <x v="1"/>
  </r>
  <r>
    <x v="47"/>
    <s v="SMR"/>
    <x v="2"/>
    <s v="NY.GDP.PCAP.KD"/>
    <x v="10"/>
    <n v="55807"/>
    <x v="1"/>
  </r>
  <r>
    <x v="47"/>
    <s v="SMR"/>
    <x v="2"/>
    <s v="NY.GDP.PCAP.KD"/>
    <x v="11"/>
    <n v="58173"/>
    <x v="1"/>
  </r>
  <r>
    <x v="47"/>
    <s v="SMR"/>
    <x v="2"/>
    <s v="NY.GDP.PCAP.KD"/>
    <x v="12"/>
    <n v="57615"/>
    <x v="1"/>
  </r>
  <r>
    <x v="47"/>
    <s v="SMR"/>
    <x v="2"/>
    <s v="NY.GDP.PCAP.KD"/>
    <x v="13"/>
    <n v="59090"/>
    <x v="1"/>
  </r>
  <r>
    <x v="47"/>
    <s v="SMR"/>
    <x v="2"/>
    <s v="NY.GDP.PCAP.KD"/>
    <x v="14"/>
    <n v="58393"/>
    <x v="1"/>
  </r>
  <r>
    <x v="47"/>
    <s v="SMR"/>
    <x v="2"/>
    <s v="NY.GDP.PCAP.KD"/>
    <x v="15"/>
    <n v="59050"/>
    <x v="1"/>
  </r>
  <r>
    <x v="47"/>
    <s v="SMR"/>
    <x v="2"/>
    <s v="NY.GDP.PCAP.KD"/>
    <x v="16"/>
    <n v="60604"/>
    <x v="1"/>
  </r>
  <r>
    <x v="47"/>
    <s v="SMR"/>
    <x v="2"/>
    <s v="NY.GDP.PCAP.KD"/>
    <x v="17"/>
    <n v="62777"/>
    <x v="2"/>
  </r>
  <r>
    <x v="47"/>
    <s v="SMR"/>
    <x v="2"/>
    <s v="NY.GDP.PCAP.KD"/>
    <x v="18"/>
    <n v="61573"/>
    <x v="2"/>
  </r>
  <r>
    <x v="47"/>
    <s v="SMR"/>
    <x v="2"/>
    <s v="NY.GDP.PCAP.KD"/>
    <x v="19"/>
    <n v="52873"/>
    <x v="2"/>
  </r>
  <r>
    <x v="47"/>
    <s v="SMR"/>
    <x v="2"/>
    <s v="NY.GDP.PCAP.KD"/>
    <x v="20"/>
    <n v="49673"/>
    <x v="2"/>
  </r>
  <r>
    <x v="47"/>
    <s v="SMR"/>
    <x v="2"/>
    <s v="NY.GDP.PCAP.KD"/>
    <x v="21"/>
    <n v="46450"/>
    <x v="2"/>
  </r>
  <r>
    <x v="47"/>
    <s v="SMR"/>
    <x v="2"/>
    <s v="NY.GDP.PCAP.KD"/>
    <x v="22"/>
    <n v="42083"/>
    <x v="2"/>
  </r>
  <r>
    <x v="47"/>
    <s v="SMR"/>
    <x v="2"/>
    <s v="NY.GDP.PCAP.KD"/>
    <x v="23"/>
    <n v="42293"/>
    <x v="2"/>
  </r>
  <r>
    <x v="47"/>
    <s v="SMR"/>
    <x v="2"/>
    <s v="NY.GDP.PCAP.KD"/>
    <x v="24"/>
    <n v="42493"/>
    <x v="2"/>
  </r>
  <r>
    <x v="47"/>
    <s v="SMR"/>
    <x v="2"/>
    <s v="NY.GDP.PCAP.KD"/>
    <x v="25"/>
    <n v="43147"/>
    <x v="2"/>
  </r>
  <r>
    <x v="47"/>
    <s v="SMR"/>
    <x v="2"/>
    <s v="NY.GDP.PCAP.KD"/>
    <x v="26"/>
    <n v="43886"/>
    <x v="2"/>
  </r>
  <r>
    <x v="47"/>
    <s v="SMR"/>
    <x v="2"/>
    <s v="NY.GDP.PCAP.KD"/>
    <x v="27"/>
    <n v="43058"/>
    <x v="3"/>
  </r>
  <r>
    <x v="47"/>
    <s v="SMR"/>
    <x v="2"/>
    <s v="NY.GDP.PCAP.KD"/>
    <x v="28"/>
    <n v="42819"/>
    <x v="3"/>
  </r>
  <r>
    <x v="47"/>
    <s v="SMR"/>
    <x v="2"/>
    <s v="NY.GDP.PCAP.KD"/>
    <x v="29"/>
    <n v="43525"/>
    <x v="3"/>
  </r>
  <r>
    <x v="51"/>
    <s v="SWE"/>
    <x v="2"/>
    <s v="NY.GDP.PCAP.KD"/>
    <x v="30"/>
    <n v="51625"/>
    <x v="3"/>
  </r>
  <r>
    <x v="47"/>
    <s v="SMR"/>
    <x v="2"/>
    <s v="NY.GDP.PCAP.KD"/>
    <x v="31"/>
    <n v="46834"/>
    <x v="0"/>
  </r>
  <r>
    <x v="47"/>
    <s v="SMR"/>
    <x v="2"/>
    <s v="NY.GDP.PCAP.KD"/>
    <x v="32"/>
    <n v="51277"/>
    <x v="0"/>
  </r>
  <r>
    <x v="47"/>
    <s v="SMR"/>
    <x v="2"/>
    <s v="NY.GDP.PCAP.KD"/>
    <x v="33"/>
    <n v="51324"/>
    <x v="0"/>
  </r>
  <r>
    <x v="48"/>
    <s v="SRB"/>
    <x v="2"/>
    <s v="NY.GDP.PCAP.KD"/>
    <x v="5"/>
    <n v="3012"/>
    <x v="0"/>
  </r>
  <r>
    <x v="48"/>
    <s v="SRB"/>
    <x v="2"/>
    <s v="NY.GDP.PCAP.KD"/>
    <x v="6"/>
    <n v="3201"/>
    <x v="0"/>
  </r>
  <r>
    <x v="48"/>
    <s v="SRB"/>
    <x v="2"/>
    <s v="NY.GDP.PCAP.KD"/>
    <x v="7"/>
    <n v="3498"/>
    <x v="1"/>
  </r>
  <r>
    <x v="48"/>
    <s v="SRB"/>
    <x v="2"/>
    <s v="NY.GDP.PCAP.KD"/>
    <x v="8"/>
    <n v="3699"/>
    <x v="1"/>
  </r>
  <r>
    <x v="48"/>
    <s v="SRB"/>
    <x v="2"/>
    <s v="NY.GDP.PCAP.KD"/>
    <x v="9"/>
    <n v="3329"/>
    <x v="1"/>
  </r>
  <r>
    <x v="48"/>
    <s v="SRB"/>
    <x v="2"/>
    <s v="NY.GDP.PCAP.KD"/>
    <x v="10"/>
    <n v="3542"/>
    <x v="1"/>
  </r>
  <r>
    <x v="48"/>
    <s v="SRB"/>
    <x v="2"/>
    <s v="NY.GDP.PCAP.KD"/>
    <x v="11"/>
    <n v="3789"/>
    <x v="1"/>
  </r>
  <r>
    <x v="48"/>
    <s v="SRB"/>
    <x v="2"/>
    <s v="NY.GDP.PCAP.KD"/>
    <x v="12"/>
    <n v="4039"/>
    <x v="1"/>
  </r>
  <r>
    <x v="48"/>
    <s v="SRB"/>
    <x v="2"/>
    <s v="NY.GDP.PCAP.KD"/>
    <x v="13"/>
    <n v="4234"/>
    <x v="1"/>
  </r>
  <r>
    <x v="48"/>
    <s v="SRB"/>
    <x v="2"/>
    <s v="NY.GDP.PCAP.KD"/>
    <x v="14"/>
    <n v="4527"/>
    <x v="1"/>
  </r>
  <r>
    <x v="48"/>
    <s v="SRB"/>
    <x v="2"/>
    <s v="NY.GDP.PCAP.KD"/>
    <x v="15"/>
    <n v="4809"/>
    <x v="1"/>
  </r>
  <r>
    <x v="48"/>
    <s v="SRB"/>
    <x v="2"/>
    <s v="NY.GDP.PCAP.KD"/>
    <x v="16"/>
    <n v="5016"/>
    <x v="1"/>
  </r>
  <r>
    <x v="48"/>
    <s v="SRB"/>
    <x v="2"/>
    <s v="NY.GDP.PCAP.KD"/>
    <x v="17"/>
    <n v="5431"/>
    <x v="2"/>
  </r>
  <r>
    <x v="48"/>
    <s v="SRB"/>
    <x v="2"/>
    <s v="NY.GDP.PCAP.KD"/>
    <x v="18"/>
    <n v="5736"/>
    <x v="2"/>
  </r>
  <r>
    <x v="48"/>
    <s v="SRB"/>
    <x v="2"/>
    <s v="NY.GDP.PCAP.KD"/>
    <x v="19"/>
    <n v="5578"/>
    <x v="2"/>
  </r>
  <r>
    <x v="48"/>
    <s v="SRB"/>
    <x v="2"/>
    <s v="NY.GDP.PCAP.KD"/>
    <x v="20"/>
    <n v="5691"/>
    <x v="2"/>
  </r>
  <r>
    <x v="48"/>
    <s v="SRB"/>
    <x v="2"/>
    <s v="NY.GDP.PCAP.KD"/>
    <x v="21"/>
    <n v="5737"/>
    <x v="2"/>
  </r>
  <r>
    <x v="48"/>
    <s v="SRB"/>
    <x v="2"/>
    <s v="NY.GDP.PCAP.KD"/>
    <x v="22"/>
    <n v="5739"/>
    <x v="2"/>
  </r>
  <r>
    <x v="48"/>
    <s v="SRB"/>
    <x v="2"/>
    <s v="NY.GDP.PCAP.KD"/>
    <x v="23"/>
    <n v="5793"/>
    <x v="2"/>
  </r>
  <r>
    <x v="48"/>
    <s v="SRB"/>
    <x v="2"/>
    <s v="NY.GDP.PCAP.KD"/>
    <x v="24"/>
    <n v="5717"/>
    <x v="2"/>
  </r>
  <r>
    <x v="48"/>
    <s v="SRB"/>
    <x v="2"/>
    <s v="NY.GDP.PCAP.KD"/>
    <x v="25"/>
    <n v="5820"/>
    <x v="2"/>
  </r>
  <r>
    <x v="48"/>
    <s v="SRB"/>
    <x v="2"/>
    <s v="NY.GDP.PCAP.KD"/>
    <x v="26"/>
    <n v="6025"/>
    <x v="2"/>
  </r>
  <r>
    <x v="48"/>
    <s v="SRB"/>
    <x v="2"/>
    <s v="NY.GDP.PCAP.KD"/>
    <x v="27"/>
    <n v="6200"/>
    <x v="3"/>
  </r>
  <r>
    <x v="48"/>
    <s v="SRB"/>
    <x v="2"/>
    <s v="NY.GDP.PCAP.KD"/>
    <x v="28"/>
    <n v="6524"/>
    <x v="3"/>
  </r>
  <r>
    <x v="48"/>
    <s v="SRB"/>
    <x v="2"/>
    <s v="NY.GDP.PCAP.KD"/>
    <x v="29"/>
    <n v="6871"/>
    <x v="3"/>
  </r>
  <r>
    <x v="29"/>
    <s v="ISL"/>
    <x v="2"/>
    <s v="NY.GDP.PCAP.KD"/>
    <x v="30"/>
    <n v="52464"/>
    <x v="3"/>
  </r>
  <r>
    <x v="48"/>
    <s v="SRB"/>
    <x v="2"/>
    <s v="NY.GDP.PCAP.KD"/>
    <x v="31"/>
    <n v="7466"/>
    <x v="3"/>
  </r>
  <r>
    <x v="48"/>
    <s v="SRB"/>
    <x v="2"/>
    <s v="NY.GDP.PCAP.KD"/>
    <x v="32"/>
    <n v="7863"/>
    <x v="0"/>
  </r>
  <r>
    <x v="48"/>
    <s v="SRB"/>
    <x v="2"/>
    <s v="NY.GDP.PCAP.KD"/>
    <x v="33"/>
    <n v="8208"/>
    <x v="0"/>
  </r>
  <r>
    <x v="48"/>
    <s v="SRB"/>
    <x v="2"/>
    <s v="NY.GDP.PCAP.KD"/>
    <x v="54"/>
    <n v="8580"/>
    <x v="0"/>
  </r>
  <r>
    <x v="49"/>
    <s v="SVK"/>
    <x v="2"/>
    <s v="NY.GDP.PCAP.KD"/>
    <x v="0"/>
    <n v="8597"/>
    <x v="0"/>
  </r>
  <r>
    <x v="49"/>
    <s v="SVK"/>
    <x v="2"/>
    <s v="NY.GDP.PCAP.KD"/>
    <x v="1"/>
    <n v="7339"/>
    <x v="0"/>
  </r>
  <r>
    <x v="49"/>
    <s v="SVK"/>
    <x v="2"/>
    <s v="NY.GDP.PCAP.KD"/>
    <x v="2"/>
    <n v="6843"/>
    <x v="0"/>
  </r>
  <r>
    <x v="49"/>
    <s v="SVK"/>
    <x v="2"/>
    <s v="NY.GDP.PCAP.KD"/>
    <x v="3"/>
    <n v="6947"/>
    <x v="0"/>
  </r>
  <r>
    <x v="49"/>
    <s v="SVK"/>
    <x v="2"/>
    <s v="NY.GDP.PCAP.KD"/>
    <x v="4"/>
    <n v="7349"/>
    <x v="0"/>
  </r>
  <r>
    <x v="49"/>
    <s v="SVK"/>
    <x v="2"/>
    <s v="NY.GDP.PCAP.KD"/>
    <x v="5"/>
    <n v="7756"/>
    <x v="0"/>
  </r>
  <r>
    <x v="49"/>
    <s v="SVK"/>
    <x v="2"/>
    <s v="NY.GDP.PCAP.KD"/>
    <x v="6"/>
    <n v="8213"/>
    <x v="0"/>
  </r>
  <r>
    <x v="49"/>
    <s v="SVK"/>
    <x v="2"/>
    <s v="NY.GDP.PCAP.KD"/>
    <x v="7"/>
    <n v="8647"/>
    <x v="1"/>
  </r>
  <r>
    <x v="49"/>
    <s v="SVK"/>
    <x v="2"/>
    <s v="NY.GDP.PCAP.KD"/>
    <x v="8"/>
    <n v="8966"/>
    <x v="1"/>
  </r>
  <r>
    <x v="49"/>
    <s v="SVK"/>
    <x v="2"/>
    <s v="NY.GDP.PCAP.KD"/>
    <x v="9"/>
    <n v="8915"/>
    <x v="1"/>
  </r>
  <r>
    <x v="49"/>
    <s v="SVK"/>
    <x v="2"/>
    <s v="NY.GDP.PCAP.KD"/>
    <x v="10"/>
    <n v="8997"/>
    <x v="1"/>
  </r>
  <r>
    <x v="49"/>
    <s v="SVK"/>
    <x v="2"/>
    <s v="NY.GDP.PCAP.KD"/>
    <x v="11"/>
    <n v="9277"/>
    <x v="1"/>
  </r>
  <r>
    <x v="49"/>
    <s v="SVK"/>
    <x v="2"/>
    <s v="NY.GDP.PCAP.KD"/>
    <x v="12"/>
    <n v="9691"/>
    <x v="1"/>
  </r>
  <r>
    <x v="49"/>
    <s v="SVK"/>
    <x v="2"/>
    <s v="NY.GDP.PCAP.KD"/>
    <x v="13"/>
    <n v="10168"/>
    <x v="1"/>
  </r>
  <r>
    <x v="49"/>
    <s v="SVK"/>
    <x v="2"/>
    <s v="NY.GDP.PCAP.KD"/>
    <x v="14"/>
    <n v="10718"/>
    <x v="1"/>
  </r>
  <r>
    <x v="49"/>
    <s v="SVK"/>
    <x v="2"/>
    <s v="NY.GDP.PCAP.KD"/>
    <x v="15"/>
    <n v="11412"/>
    <x v="1"/>
  </r>
  <r>
    <x v="49"/>
    <s v="SVK"/>
    <x v="2"/>
    <s v="NY.GDP.PCAP.KD"/>
    <x v="16"/>
    <n v="12430"/>
    <x v="1"/>
  </r>
  <r>
    <x v="49"/>
    <s v="SVK"/>
    <x v="2"/>
    <s v="NY.GDP.PCAP.KD"/>
    <x v="17"/>
    <n v="13771"/>
    <x v="2"/>
  </r>
  <r>
    <x v="49"/>
    <s v="SVK"/>
    <x v="2"/>
    <s v="NY.GDP.PCAP.KD"/>
    <x v="18"/>
    <n v="14497"/>
    <x v="2"/>
  </r>
  <r>
    <x v="49"/>
    <s v="SVK"/>
    <x v="2"/>
    <s v="NY.GDP.PCAP.KD"/>
    <x v="19"/>
    <n v="13681"/>
    <x v="2"/>
  </r>
  <r>
    <x v="49"/>
    <s v="SVK"/>
    <x v="2"/>
    <s v="NY.GDP.PCAP.KD"/>
    <x v="20"/>
    <n v="14596"/>
    <x v="2"/>
  </r>
  <r>
    <x v="49"/>
    <s v="SVK"/>
    <x v="2"/>
    <s v="NY.GDP.PCAP.KD"/>
    <x v="21"/>
    <n v="14951"/>
    <x v="2"/>
  </r>
  <r>
    <x v="49"/>
    <s v="SVK"/>
    <x v="2"/>
    <s v="NY.GDP.PCAP.KD"/>
    <x v="22"/>
    <n v="15160"/>
    <x v="2"/>
  </r>
  <r>
    <x v="49"/>
    <s v="SVK"/>
    <x v="2"/>
    <s v="NY.GDP.PCAP.KD"/>
    <x v="23"/>
    <n v="15250"/>
    <x v="2"/>
  </r>
  <r>
    <x v="49"/>
    <s v="SVK"/>
    <x v="2"/>
    <s v="NY.GDP.PCAP.KD"/>
    <x v="24"/>
    <n v="15648"/>
    <x v="2"/>
  </r>
  <r>
    <x v="49"/>
    <s v="SVK"/>
    <x v="2"/>
    <s v="NY.GDP.PCAP.KD"/>
    <x v="25"/>
    <n v="16442"/>
    <x v="2"/>
  </r>
  <r>
    <x v="49"/>
    <s v="SVK"/>
    <x v="2"/>
    <s v="NY.GDP.PCAP.KD"/>
    <x v="26"/>
    <n v="16741"/>
    <x v="2"/>
  </r>
  <r>
    <x v="49"/>
    <s v="SVK"/>
    <x v="2"/>
    <s v="NY.GDP.PCAP.KD"/>
    <x v="27"/>
    <n v="17195"/>
    <x v="3"/>
  </r>
  <r>
    <x v="49"/>
    <s v="SVK"/>
    <x v="2"/>
    <s v="NY.GDP.PCAP.KD"/>
    <x v="28"/>
    <n v="17869"/>
    <x v="3"/>
  </r>
  <r>
    <x v="49"/>
    <s v="SVK"/>
    <x v="2"/>
    <s v="NY.GDP.PCAP.KD"/>
    <x v="29"/>
    <n v="18251"/>
    <x v="3"/>
  </r>
  <r>
    <x v="19"/>
    <s v="FRO"/>
    <x v="2"/>
    <s v="NY.GDP.PCAP.KD"/>
    <x v="30"/>
    <n v="54302"/>
    <x v="3"/>
  </r>
  <r>
    <x v="49"/>
    <s v="SVK"/>
    <x v="2"/>
    <s v="NY.GDP.PCAP.KD"/>
    <x v="31"/>
    <n v="18808"/>
    <x v="3"/>
  </r>
  <r>
    <x v="49"/>
    <s v="SVK"/>
    <x v="2"/>
    <s v="NY.GDP.PCAP.KD"/>
    <x v="32"/>
    <n v="18965"/>
    <x v="0"/>
  </r>
  <r>
    <x v="49"/>
    <s v="SVK"/>
    <x v="2"/>
    <s v="NY.GDP.PCAP.KD"/>
    <x v="33"/>
    <n v="19383"/>
    <x v="0"/>
  </r>
  <r>
    <x v="49"/>
    <s v="SVK"/>
    <x v="2"/>
    <s v="NY.GDP.PCAP.KD"/>
    <x v="54"/>
    <n v="19776"/>
    <x v="0"/>
  </r>
  <r>
    <x v="50"/>
    <s v="SVN"/>
    <x v="2"/>
    <s v="NY.GDP.PCAP.KD"/>
    <x v="0"/>
    <n v="13616"/>
    <x v="0"/>
  </r>
  <r>
    <x v="50"/>
    <s v="SVN"/>
    <x v="2"/>
    <s v="NY.GDP.PCAP.KD"/>
    <x v="1"/>
    <n v="12396"/>
    <x v="0"/>
  </r>
  <r>
    <x v="50"/>
    <s v="SVN"/>
    <x v="2"/>
    <s v="NY.GDP.PCAP.KD"/>
    <x v="2"/>
    <n v="11736"/>
    <x v="0"/>
  </r>
  <r>
    <x v="50"/>
    <s v="SVN"/>
    <x v="2"/>
    <s v="NY.GDP.PCAP.KD"/>
    <x v="3"/>
    <n v="12098"/>
    <x v="0"/>
  </r>
  <r>
    <x v="50"/>
    <s v="SVN"/>
    <x v="2"/>
    <s v="NY.GDP.PCAP.KD"/>
    <x v="4"/>
    <n v="12758"/>
    <x v="0"/>
  </r>
  <r>
    <x v="50"/>
    <s v="SVN"/>
    <x v="2"/>
    <s v="NY.GDP.PCAP.KD"/>
    <x v="5"/>
    <n v="13279"/>
    <x v="0"/>
  </r>
  <r>
    <x v="50"/>
    <s v="SVN"/>
    <x v="2"/>
    <s v="NY.GDP.PCAP.KD"/>
    <x v="6"/>
    <n v="13674"/>
    <x v="0"/>
  </r>
  <r>
    <x v="50"/>
    <s v="SVN"/>
    <x v="2"/>
    <s v="NY.GDP.PCAP.KD"/>
    <x v="7"/>
    <n v="14401"/>
    <x v="1"/>
  </r>
  <r>
    <x v="50"/>
    <s v="SVN"/>
    <x v="2"/>
    <s v="NY.GDP.PCAP.KD"/>
    <x v="8"/>
    <n v="14874"/>
    <x v="1"/>
  </r>
  <r>
    <x v="50"/>
    <s v="SVN"/>
    <x v="2"/>
    <s v="NY.GDP.PCAP.KD"/>
    <x v="9"/>
    <n v="15647"/>
    <x v="1"/>
  </r>
  <r>
    <x v="50"/>
    <s v="SVN"/>
    <x v="2"/>
    <s v="NY.GDP.PCAP.KD"/>
    <x v="10"/>
    <n v="16146"/>
    <x v="1"/>
  </r>
  <r>
    <x v="50"/>
    <s v="SVN"/>
    <x v="2"/>
    <s v="NY.GDP.PCAP.KD"/>
    <x v="11"/>
    <n v="16577"/>
    <x v="1"/>
  </r>
  <r>
    <x v="50"/>
    <s v="SVN"/>
    <x v="2"/>
    <s v="NY.GDP.PCAP.KD"/>
    <x v="12"/>
    <n v="17100"/>
    <x v="1"/>
  </r>
  <r>
    <x v="50"/>
    <s v="SVN"/>
    <x v="2"/>
    <s v="NY.GDP.PCAP.KD"/>
    <x v="13"/>
    <n v="17635"/>
    <x v="1"/>
  </r>
  <r>
    <x v="50"/>
    <s v="SVN"/>
    <x v="2"/>
    <s v="NY.GDP.PCAP.KD"/>
    <x v="14"/>
    <n v="18425"/>
    <x v="1"/>
  </r>
  <r>
    <x v="50"/>
    <s v="SVN"/>
    <x v="2"/>
    <s v="NY.GDP.PCAP.KD"/>
    <x v="15"/>
    <n v="19102"/>
    <x v="1"/>
  </r>
  <r>
    <x v="50"/>
    <s v="SVN"/>
    <x v="2"/>
    <s v="NY.GDP.PCAP.KD"/>
    <x v="16"/>
    <n v="20167"/>
    <x v="1"/>
  </r>
  <r>
    <x v="50"/>
    <s v="SVN"/>
    <x v="2"/>
    <s v="NY.GDP.PCAP.KD"/>
    <x v="17"/>
    <n v="21486"/>
    <x v="2"/>
  </r>
  <r>
    <x v="50"/>
    <s v="SVN"/>
    <x v="2"/>
    <s v="NY.GDP.PCAP.KD"/>
    <x v="18"/>
    <n v="22175"/>
    <x v="2"/>
  </r>
  <r>
    <x v="50"/>
    <s v="SVN"/>
    <x v="2"/>
    <s v="NY.GDP.PCAP.KD"/>
    <x v="19"/>
    <n v="20308"/>
    <x v="2"/>
  </r>
  <r>
    <x v="50"/>
    <s v="SVN"/>
    <x v="2"/>
    <s v="NY.GDP.PCAP.KD"/>
    <x v="20"/>
    <n v="20444"/>
    <x v="2"/>
  </r>
  <r>
    <x v="50"/>
    <s v="SVN"/>
    <x v="2"/>
    <s v="NY.GDP.PCAP.KD"/>
    <x v="21"/>
    <n v="20535"/>
    <x v="2"/>
  </r>
  <r>
    <x v="50"/>
    <s v="SVN"/>
    <x v="2"/>
    <s v="NY.GDP.PCAP.KD"/>
    <x v="22"/>
    <n v="19895"/>
    <x v="2"/>
  </r>
  <r>
    <x v="50"/>
    <s v="SVN"/>
    <x v="2"/>
    <s v="NY.GDP.PCAP.KD"/>
    <x v="23"/>
    <n v="19704"/>
    <x v="2"/>
  </r>
  <r>
    <x v="50"/>
    <s v="SVN"/>
    <x v="2"/>
    <s v="NY.GDP.PCAP.KD"/>
    <x v="24"/>
    <n v="20229"/>
    <x v="2"/>
  </r>
  <r>
    <x v="50"/>
    <s v="SVN"/>
    <x v="2"/>
    <s v="NY.GDP.PCAP.KD"/>
    <x v="25"/>
    <n v="20697"/>
    <x v="2"/>
  </r>
  <r>
    <x v="50"/>
    <s v="SVN"/>
    <x v="2"/>
    <s v="NY.GDP.PCAP.KD"/>
    <x v="26"/>
    <n v="21310"/>
    <x v="2"/>
  </r>
  <r>
    <x v="50"/>
    <s v="SVN"/>
    <x v="2"/>
    <s v="NY.GDP.PCAP.KD"/>
    <x v="27"/>
    <n v="22398"/>
    <x v="3"/>
  </r>
  <r>
    <x v="50"/>
    <s v="SVN"/>
    <x v="2"/>
    <s v="NY.GDP.PCAP.KD"/>
    <x v="28"/>
    <n v="23294"/>
    <x v="3"/>
  </r>
  <r>
    <x v="50"/>
    <s v="SVN"/>
    <x v="2"/>
    <s v="NY.GDP.PCAP.KD"/>
    <x v="29"/>
    <n v="23943"/>
    <x v="3"/>
  </r>
  <r>
    <x v="14"/>
    <s v="DNK"/>
    <x v="2"/>
    <s v="NY.GDP.PCAP.KD"/>
    <x v="30"/>
    <n v="55935"/>
    <x v="3"/>
  </r>
  <r>
    <x v="50"/>
    <s v="SVN"/>
    <x v="2"/>
    <s v="NY.GDP.PCAP.KD"/>
    <x v="31"/>
    <n v="24665"/>
    <x v="3"/>
  </r>
  <r>
    <x v="50"/>
    <s v="SVN"/>
    <x v="2"/>
    <s v="NY.GDP.PCAP.KD"/>
    <x v="32"/>
    <n v="25276"/>
    <x v="6"/>
  </r>
  <r>
    <x v="50"/>
    <s v="SVN"/>
    <x v="2"/>
    <s v="NY.GDP.PCAP.KD"/>
    <x v="33"/>
    <n v="25774"/>
    <x v="6"/>
  </r>
  <r>
    <x v="50"/>
    <s v="SVN"/>
    <x v="2"/>
    <s v="NY.GDP.PCAP.KD"/>
    <x v="54"/>
    <n v="26135"/>
    <x v="6"/>
  </r>
  <r>
    <x v="51"/>
    <s v="SWE"/>
    <x v="2"/>
    <s v="NY.GDP.PCAP.KD"/>
    <x v="55"/>
    <n v="16812"/>
    <x v="6"/>
  </r>
  <r>
    <x v="51"/>
    <s v="SWE"/>
    <x v="2"/>
    <s v="NY.GDP.PCAP.KD"/>
    <x v="56"/>
    <n v="17684"/>
    <x v="6"/>
  </r>
  <r>
    <x v="51"/>
    <s v="SWE"/>
    <x v="2"/>
    <s v="NY.GDP.PCAP.KD"/>
    <x v="57"/>
    <n v="18336"/>
    <x v="6"/>
  </r>
  <r>
    <x v="51"/>
    <s v="SWE"/>
    <x v="2"/>
    <s v="NY.GDP.PCAP.KD"/>
    <x v="58"/>
    <n v="19204"/>
    <x v="6"/>
  </r>
  <r>
    <x v="51"/>
    <s v="SWE"/>
    <x v="2"/>
    <s v="NY.GDP.PCAP.KD"/>
    <x v="59"/>
    <n v="20361"/>
    <x v="6"/>
  </r>
  <r>
    <x v="51"/>
    <s v="SWE"/>
    <x v="2"/>
    <s v="NY.GDP.PCAP.KD"/>
    <x v="60"/>
    <n v="20941"/>
    <x v="6"/>
  </r>
  <r>
    <x v="51"/>
    <s v="SWE"/>
    <x v="2"/>
    <s v="NY.GDP.PCAP.KD"/>
    <x v="61"/>
    <n v="21177"/>
    <x v="6"/>
  </r>
  <r>
    <x v="51"/>
    <s v="SWE"/>
    <x v="2"/>
    <s v="NY.GDP.PCAP.KD"/>
    <x v="62"/>
    <n v="21722"/>
    <x v="4"/>
  </r>
  <r>
    <x v="51"/>
    <s v="SWE"/>
    <x v="2"/>
    <s v="NY.GDP.PCAP.KD"/>
    <x v="63"/>
    <n v="22386"/>
    <x v="4"/>
  </r>
  <r>
    <x v="51"/>
    <s v="SWE"/>
    <x v="2"/>
    <s v="NY.GDP.PCAP.KD"/>
    <x v="64"/>
    <n v="23343"/>
    <x v="4"/>
  </r>
  <r>
    <x v="51"/>
    <s v="SWE"/>
    <x v="2"/>
    <s v="NY.GDP.PCAP.KD"/>
    <x v="34"/>
    <n v="24623"/>
    <x v="4"/>
  </r>
  <r>
    <x v="51"/>
    <s v="SWE"/>
    <x v="2"/>
    <s v="NY.GDP.PCAP.KD"/>
    <x v="35"/>
    <n v="24685"/>
    <x v="4"/>
  </r>
  <r>
    <x v="51"/>
    <s v="SWE"/>
    <x v="2"/>
    <s v="NY.GDP.PCAP.KD"/>
    <x v="36"/>
    <n v="25176"/>
    <x v="4"/>
  </r>
  <r>
    <x v="51"/>
    <s v="SWE"/>
    <x v="2"/>
    <s v="NY.GDP.PCAP.KD"/>
    <x v="37"/>
    <n v="26130"/>
    <x v="4"/>
  </r>
  <r>
    <x v="51"/>
    <s v="SWE"/>
    <x v="2"/>
    <s v="NY.GDP.PCAP.KD"/>
    <x v="38"/>
    <n v="26887"/>
    <x v="4"/>
  </r>
  <r>
    <x v="51"/>
    <s v="SWE"/>
    <x v="2"/>
    <s v="NY.GDP.PCAP.KD"/>
    <x v="39"/>
    <n v="27464"/>
    <x v="4"/>
  </r>
  <r>
    <x v="51"/>
    <s v="SWE"/>
    <x v="2"/>
    <s v="NY.GDP.PCAP.KD"/>
    <x v="40"/>
    <n v="27654"/>
    <x v="4"/>
  </r>
  <r>
    <x v="51"/>
    <s v="SWE"/>
    <x v="2"/>
    <s v="NY.GDP.PCAP.KD"/>
    <x v="41"/>
    <n v="27116"/>
    <x v="5"/>
  </r>
  <r>
    <x v="51"/>
    <s v="SWE"/>
    <x v="2"/>
    <s v="NY.GDP.PCAP.KD"/>
    <x v="42"/>
    <n v="27511"/>
    <x v="5"/>
  </r>
  <r>
    <x v="51"/>
    <s v="SWE"/>
    <x v="2"/>
    <s v="NY.GDP.PCAP.KD"/>
    <x v="43"/>
    <n v="28505"/>
    <x v="5"/>
  </r>
  <r>
    <x v="51"/>
    <s v="SWE"/>
    <x v="2"/>
    <s v="NY.GDP.PCAP.KD"/>
    <x v="44"/>
    <n v="28931"/>
    <x v="5"/>
  </r>
  <r>
    <x v="51"/>
    <s v="SWE"/>
    <x v="2"/>
    <s v="NY.GDP.PCAP.KD"/>
    <x v="45"/>
    <n v="29028"/>
    <x v="5"/>
  </r>
  <r>
    <x v="51"/>
    <s v="SWE"/>
    <x v="2"/>
    <s v="NY.GDP.PCAP.KD"/>
    <x v="46"/>
    <n v="29373"/>
    <x v="5"/>
  </r>
  <r>
    <x v="51"/>
    <s v="SWE"/>
    <x v="2"/>
    <s v="NY.GDP.PCAP.KD"/>
    <x v="47"/>
    <n v="29918"/>
    <x v="5"/>
  </r>
  <r>
    <x v="51"/>
    <s v="SWE"/>
    <x v="2"/>
    <s v="NY.GDP.PCAP.KD"/>
    <x v="48"/>
    <n v="31155"/>
    <x v="5"/>
  </r>
  <r>
    <x v="51"/>
    <s v="SWE"/>
    <x v="2"/>
    <s v="NY.GDP.PCAP.KD"/>
    <x v="49"/>
    <n v="31776"/>
    <x v="5"/>
  </r>
  <r>
    <x v="51"/>
    <s v="SWE"/>
    <x v="2"/>
    <s v="NY.GDP.PCAP.KD"/>
    <x v="50"/>
    <n v="32555"/>
    <x v="5"/>
  </r>
  <r>
    <x v="51"/>
    <s v="SWE"/>
    <x v="2"/>
    <s v="NY.GDP.PCAP.KD"/>
    <x v="51"/>
    <n v="33535"/>
    <x v="0"/>
  </r>
  <r>
    <x v="51"/>
    <s v="SWE"/>
    <x v="2"/>
    <s v="NY.GDP.PCAP.KD"/>
    <x v="52"/>
    <n v="34235"/>
    <x v="0"/>
  </r>
  <r>
    <x v="51"/>
    <s v="SWE"/>
    <x v="2"/>
    <s v="NY.GDP.PCAP.KD"/>
    <x v="53"/>
    <n v="34911"/>
    <x v="0"/>
  </r>
  <r>
    <x v="51"/>
    <s v="SWE"/>
    <x v="2"/>
    <s v="NY.GDP.PCAP.KD"/>
    <x v="0"/>
    <n v="34903"/>
    <x v="0"/>
  </r>
  <r>
    <x v="51"/>
    <s v="SWE"/>
    <x v="2"/>
    <s v="NY.GDP.PCAP.KD"/>
    <x v="1"/>
    <n v="34269"/>
    <x v="0"/>
  </r>
  <r>
    <x v="51"/>
    <s v="SWE"/>
    <x v="2"/>
    <s v="NY.GDP.PCAP.KD"/>
    <x v="2"/>
    <n v="33674"/>
    <x v="0"/>
  </r>
  <r>
    <x v="51"/>
    <s v="SWE"/>
    <x v="2"/>
    <s v="NY.GDP.PCAP.KD"/>
    <x v="3"/>
    <n v="32787"/>
    <x v="0"/>
  </r>
  <r>
    <x v="51"/>
    <s v="SWE"/>
    <x v="2"/>
    <s v="NY.GDP.PCAP.KD"/>
    <x v="4"/>
    <n v="33862"/>
    <x v="0"/>
  </r>
  <r>
    <x v="51"/>
    <s v="SWE"/>
    <x v="2"/>
    <s v="NY.GDP.PCAP.KD"/>
    <x v="5"/>
    <n v="35064"/>
    <x v="0"/>
  </r>
  <r>
    <x v="51"/>
    <s v="SWE"/>
    <x v="2"/>
    <s v="NY.GDP.PCAP.KD"/>
    <x v="6"/>
    <n v="35605"/>
    <x v="0"/>
  </r>
  <r>
    <x v="51"/>
    <s v="SWE"/>
    <x v="2"/>
    <s v="NY.GDP.PCAP.KD"/>
    <x v="7"/>
    <n v="36676"/>
    <x v="1"/>
  </r>
  <r>
    <x v="51"/>
    <s v="SWE"/>
    <x v="2"/>
    <s v="NY.GDP.PCAP.KD"/>
    <x v="8"/>
    <n v="38212"/>
    <x v="1"/>
  </r>
  <r>
    <x v="51"/>
    <s v="SWE"/>
    <x v="2"/>
    <s v="NY.GDP.PCAP.KD"/>
    <x v="9"/>
    <n v="39786"/>
    <x v="1"/>
  </r>
  <r>
    <x v="51"/>
    <s v="SWE"/>
    <x v="2"/>
    <s v="NY.GDP.PCAP.KD"/>
    <x v="10"/>
    <n v="41562"/>
    <x v="1"/>
  </r>
  <r>
    <x v="51"/>
    <s v="SWE"/>
    <x v="2"/>
    <s v="NY.GDP.PCAP.KD"/>
    <x v="11"/>
    <n v="42014"/>
    <x v="1"/>
  </r>
  <r>
    <x v="51"/>
    <s v="SWE"/>
    <x v="2"/>
    <s v="NY.GDP.PCAP.KD"/>
    <x v="12"/>
    <n v="42832"/>
    <x v="1"/>
  </r>
  <r>
    <x v="51"/>
    <s v="SWE"/>
    <x v="2"/>
    <s v="NY.GDP.PCAP.KD"/>
    <x v="13"/>
    <n v="43475"/>
    <x v="1"/>
  </r>
  <r>
    <x v="51"/>
    <s v="SWE"/>
    <x v="2"/>
    <s v="NY.GDP.PCAP.KD"/>
    <x v="14"/>
    <n v="45115"/>
    <x v="1"/>
  </r>
  <r>
    <x v="51"/>
    <s v="SWE"/>
    <x v="2"/>
    <s v="NY.GDP.PCAP.KD"/>
    <x v="15"/>
    <n v="46190"/>
    <x v="1"/>
  </r>
  <r>
    <x v="51"/>
    <s v="SWE"/>
    <x v="2"/>
    <s v="NY.GDP.PCAP.KD"/>
    <x v="16"/>
    <n v="48078"/>
    <x v="1"/>
  </r>
  <r>
    <x v="51"/>
    <s v="SWE"/>
    <x v="2"/>
    <s v="NY.GDP.PCAP.KD"/>
    <x v="17"/>
    <n v="49262"/>
    <x v="2"/>
  </r>
  <r>
    <x v="51"/>
    <s v="SWE"/>
    <x v="2"/>
    <s v="NY.GDP.PCAP.KD"/>
    <x v="18"/>
    <n v="48429"/>
    <x v="2"/>
  </r>
  <r>
    <x v="51"/>
    <s v="SWE"/>
    <x v="2"/>
    <s v="NY.GDP.PCAP.KD"/>
    <x v="19"/>
    <n v="45974"/>
    <x v="2"/>
  </r>
  <r>
    <x v="51"/>
    <s v="SWE"/>
    <x v="2"/>
    <s v="NY.GDP.PCAP.KD"/>
    <x v="20"/>
    <n v="48206"/>
    <x v="2"/>
  </r>
  <r>
    <x v="51"/>
    <s v="SWE"/>
    <x v="2"/>
    <s v="NY.GDP.PCAP.KD"/>
    <x v="21"/>
    <n v="49357"/>
    <x v="2"/>
  </r>
  <r>
    <x v="51"/>
    <s v="SWE"/>
    <x v="2"/>
    <s v="NY.GDP.PCAP.KD"/>
    <x v="22"/>
    <n v="48790"/>
    <x v="2"/>
  </r>
  <r>
    <x v="51"/>
    <s v="SWE"/>
    <x v="2"/>
    <s v="NY.GDP.PCAP.KD"/>
    <x v="23"/>
    <n v="48928"/>
    <x v="2"/>
  </r>
  <r>
    <x v="51"/>
    <s v="SWE"/>
    <x v="2"/>
    <s v="NY.GDP.PCAP.KD"/>
    <x v="24"/>
    <n v="49558"/>
    <x v="2"/>
  </r>
  <r>
    <x v="51"/>
    <s v="SWE"/>
    <x v="2"/>
    <s v="NY.GDP.PCAP.KD"/>
    <x v="25"/>
    <n v="51188"/>
    <x v="2"/>
  </r>
  <r>
    <x v="51"/>
    <s v="SWE"/>
    <x v="2"/>
    <s v="NY.GDP.PCAP.KD"/>
    <x v="26"/>
    <n v="51626"/>
    <x v="2"/>
  </r>
  <r>
    <x v="51"/>
    <s v="SWE"/>
    <x v="2"/>
    <s v="NY.GDP.PCAP.KD"/>
    <x v="27"/>
    <n v="51894"/>
    <x v="3"/>
  </r>
  <r>
    <x v="51"/>
    <s v="SWE"/>
    <x v="2"/>
    <s v="NY.GDP.PCAP.KD"/>
    <x v="28"/>
    <n v="52203"/>
    <x v="3"/>
  </r>
  <r>
    <x v="51"/>
    <s v="SWE"/>
    <x v="2"/>
    <s v="NY.GDP.PCAP.KD"/>
    <x v="29"/>
    <n v="53024"/>
    <x v="3"/>
  </r>
  <r>
    <x v="10"/>
    <s v="CHI"/>
    <x v="2"/>
    <s v="NY.GDP.PCAP.KD"/>
    <x v="30"/>
    <n v="58637"/>
    <x v="3"/>
  </r>
  <r>
    <x v="51"/>
    <s v="SWE"/>
    <x v="2"/>
    <s v="NY.GDP.PCAP.KD"/>
    <x v="31"/>
    <n v="53997"/>
    <x v="3"/>
  </r>
  <r>
    <x v="51"/>
    <s v="SWE"/>
    <x v="2"/>
    <s v="NY.GDP.PCAP.KD"/>
    <x v="32"/>
    <n v="54304"/>
    <x v="5"/>
  </r>
  <r>
    <x v="51"/>
    <s v="SWE"/>
    <x v="2"/>
    <s v="NY.GDP.PCAP.KD"/>
    <x v="33"/>
    <n v="53938"/>
    <x v="5"/>
  </r>
  <r>
    <x v="51"/>
    <s v="SWE"/>
    <x v="2"/>
    <s v="NY.GDP.PCAP.KD"/>
    <x v="54"/>
    <n v="54210"/>
    <x v="5"/>
  </r>
  <r>
    <x v="52"/>
    <s v="TJK"/>
    <x v="2"/>
    <s v="NY.GDP.PCAP.KD"/>
    <x v="49"/>
    <n v="1418"/>
    <x v="5"/>
  </r>
  <r>
    <x v="52"/>
    <s v="TJK"/>
    <x v="2"/>
    <s v="NY.GDP.PCAP.KD"/>
    <x v="50"/>
    <n v="1420"/>
    <x v="5"/>
  </r>
  <r>
    <x v="52"/>
    <s v="TJK"/>
    <x v="2"/>
    <s v="NY.GDP.PCAP.KD"/>
    <x v="51"/>
    <n v="1356"/>
    <x v="0"/>
  </r>
  <r>
    <x v="52"/>
    <s v="TJK"/>
    <x v="2"/>
    <s v="NY.GDP.PCAP.KD"/>
    <x v="52"/>
    <n v="1491"/>
    <x v="0"/>
  </r>
  <r>
    <x v="52"/>
    <s v="TJK"/>
    <x v="2"/>
    <s v="NY.GDP.PCAP.KD"/>
    <x v="53"/>
    <n v="1354"/>
    <x v="0"/>
  </r>
  <r>
    <x v="52"/>
    <s v="TJK"/>
    <x v="2"/>
    <s v="NY.GDP.PCAP.KD"/>
    <x v="0"/>
    <n v="1313"/>
    <x v="0"/>
  </r>
  <r>
    <x v="52"/>
    <s v="TJK"/>
    <x v="2"/>
    <s v="NY.GDP.PCAP.KD"/>
    <x v="1"/>
    <n v="1188"/>
    <x v="0"/>
  </r>
  <r>
    <x v="52"/>
    <s v="TJK"/>
    <x v="2"/>
    <s v="NY.GDP.PCAP.KD"/>
    <x v="2"/>
    <n v="828"/>
    <x v="0"/>
  </r>
  <r>
    <x v="52"/>
    <s v="TJK"/>
    <x v="2"/>
    <s v="NY.GDP.PCAP.KD"/>
    <x v="3"/>
    <n v="683"/>
    <x v="0"/>
  </r>
  <r>
    <x v="52"/>
    <s v="TJK"/>
    <x v="2"/>
    <s v="NY.GDP.PCAP.KD"/>
    <x v="4"/>
    <n v="528"/>
    <x v="0"/>
  </r>
  <r>
    <x v="52"/>
    <s v="TJK"/>
    <x v="2"/>
    <s v="NY.GDP.PCAP.KD"/>
    <x v="5"/>
    <n v="453"/>
    <x v="0"/>
  </r>
  <r>
    <x v="52"/>
    <s v="TJK"/>
    <x v="2"/>
    <s v="NY.GDP.PCAP.KD"/>
    <x v="6"/>
    <n v="370"/>
    <x v="0"/>
  </r>
  <r>
    <x v="52"/>
    <s v="TJK"/>
    <x v="2"/>
    <s v="NY.GDP.PCAP.KD"/>
    <x v="7"/>
    <n v="372"/>
    <x v="1"/>
  </r>
  <r>
    <x v="52"/>
    <s v="TJK"/>
    <x v="2"/>
    <s v="NY.GDP.PCAP.KD"/>
    <x v="8"/>
    <n v="389"/>
    <x v="1"/>
  </r>
  <r>
    <x v="52"/>
    <s v="TJK"/>
    <x v="2"/>
    <s v="NY.GDP.PCAP.KD"/>
    <x v="9"/>
    <n v="401"/>
    <x v="1"/>
  </r>
  <r>
    <x v="52"/>
    <s v="TJK"/>
    <x v="2"/>
    <s v="NY.GDP.PCAP.KD"/>
    <x v="10"/>
    <n v="430"/>
    <x v="1"/>
  </r>
  <r>
    <x v="52"/>
    <s v="TJK"/>
    <x v="2"/>
    <s v="NY.GDP.PCAP.KD"/>
    <x v="11"/>
    <n v="462"/>
    <x v="1"/>
  </r>
  <r>
    <x v="52"/>
    <s v="TJK"/>
    <x v="2"/>
    <s v="NY.GDP.PCAP.KD"/>
    <x v="12"/>
    <n v="502"/>
    <x v="1"/>
  </r>
  <r>
    <x v="52"/>
    <s v="TJK"/>
    <x v="2"/>
    <s v="NY.GDP.PCAP.KD"/>
    <x v="13"/>
    <n v="546"/>
    <x v="1"/>
  </r>
  <r>
    <x v="52"/>
    <s v="TJK"/>
    <x v="2"/>
    <s v="NY.GDP.PCAP.KD"/>
    <x v="14"/>
    <n v="591"/>
    <x v="1"/>
  </r>
  <r>
    <x v="52"/>
    <s v="TJK"/>
    <x v="2"/>
    <s v="NY.GDP.PCAP.KD"/>
    <x v="15"/>
    <n v="618"/>
    <x v="1"/>
  </r>
  <r>
    <x v="52"/>
    <s v="TJK"/>
    <x v="2"/>
    <s v="NY.GDP.PCAP.KD"/>
    <x v="16"/>
    <n v="649"/>
    <x v="1"/>
  </r>
  <r>
    <x v="52"/>
    <s v="TJK"/>
    <x v="2"/>
    <s v="NY.GDP.PCAP.KD"/>
    <x v="17"/>
    <n v="686"/>
    <x v="2"/>
  </r>
  <r>
    <x v="52"/>
    <s v="TJK"/>
    <x v="2"/>
    <s v="NY.GDP.PCAP.KD"/>
    <x v="18"/>
    <n v="726"/>
    <x v="2"/>
  </r>
  <r>
    <x v="52"/>
    <s v="TJK"/>
    <x v="2"/>
    <s v="NY.GDP.PCAP.KD"/>
    <x v="19"/>
    <n v="739"/>
    <x v="2"/>
  </r>
  <r>
    <x v="52"/>
    <s v="TJK"/>
    <x v="2"/>
    <s v="NY.GDP.PCAP.KD"/>
    <x v="20"/>
    <n v="771"/>
    <x v="2"/>
  </r>
  <r>
    <x v="52"/>
    <s v="TJK"/>
    <x v="2"/>
    <s v="NY.GDP.PCAP.KD"/>
    <x v="21"/>
    <n v="809"/>
    <x v="2"/>
  </r>
  <r>
    <x v="52"/>
    <s v="TJK"/>
    <x v="2"/>
    <s v="NY.GDP.PCAP.KD"/>
    <x v="22"/>
    <n v="850"/>
    <x v="2"/>
  </r>
  <r>
    <x v="52"/>
    <s v="TJK"/>
    <x v="2"/>
    <s v="NY.GDP.PCAP.KD"/>
    <x v="23"/>
    <n v="890"/>
    <x v="2"/>
  </r>
  <r>
    <x v="52"/>
    <s v="TJK"/>
    <x v="2"/>
    <s v="NY.GDP.PCAP.KD"/>
    <x v="24"/>
    <n v="926"/>
    <x v="2"/>
  </r>
  <r>
    <x v="52"/>
    <s v="TJK"/>
    <x v="2"/>
    <s v="NY.GDP.PCAP.KD"/>
    <x v="25"/>
    <n v="957"/>
    <x v="2"/>
  </r>
  <r>
    <x v="52"/>
    <s v="TJK"/>
    <x v="2"/>
    <s v="NY.GDP.PCAP.KD"/>
    <x v="26"/>
    <n v="997"/>
    <x v="2"/>
  </r>
  <r>
    <x v="52"/>
    <s v="TJK"/>
    <x v="2"/>
    <s v="NY.GDP.PCAP.KD"/>
    <x v="27"/>
    <n v="1042"/>
    <x v="3"/>
  </r>
  <r>
    <x v="52"/>
    <s v="TJK"/>
    <x v="2"/>
    <s v="NY.GDP.PCAP.KD"/>
    <x v="28"/>
    <n v="1095"/>
    <x v="3"/>
  </r>
  <r>
    <x v="52"/>
    <s v="TJK"/>
    <x v="2"/>
    <s v="NY.GDP.PCAP.KD"/>
    <x v="29"/>
    <n v="1148"/>
    <x v="3"/>
  </r>
  <r>
    <x v="42"/>
    <s v="NOR"/>
    <x v="2"/>
    <s v="NY.GDP.PCAP.KD"/>
    <x v="30"/>
    <n v="75287"/>
    <x v="3"/>
  </r>
  <r>
    <x v="52"/>
    <s v="TJK"/>
    <x v="2"/>
    <s v="NY.GDP.PCAP.KD"/>
    <x v="31"/>
    <n v="1254"/>
    <x v="3"/>
  </r>
  <r>
    <x v="52"/>
    <s v="TJK"/>
    <x v="2"/>
    <s v="NY.GDP.PCAP.KD"/>
    <x v="32"/>
    <n v="1326"/>
    <x v="5"/>
  </r>
  <r>
    <x v="52"/>
    <s v="TJK"/>
    <x v="2"/>
    <s v="NY.GDP.PCAP.KD"/>
    <x v="33"/>
    <n v="1407"/>
    <x v="5"/>
  </r>
  <r>
    <x v="52"/>
    <s v="TJK"/>
    <x v="2"/>
    <s v="NY.GDP.PCAP.KD"/>
    <x v="54"/>
    <n v="1496"/>
    <x v="5"/>
  </r>
  <r>
    <x v="53"/>
    <s v="TKM"/>
    <x v="2"/>
    <s v="NY.GDP.PCAP.KD"/>
    <x v="51"/>
    <n v="2646"/>
    <x v="0"/>
  </r>
  <r>
    <x v="53"/>
    <s v="TKM"/>
    <x v="2"/>
    <s v="NY.GDP.PCAP.KD"/>
    <x v="52"/>
    <n v="2849"/>
    <x v="0"/>
  </r>
  <r>
    <x v="53"/>
    <s v="TKM"/>
    <x v="2"/>
    <s v="NY.GDP.PCAP.KD"/>
    <x v="53"/>
    <n v="2651"/>
    <x v="0"/>
  </r>
  <r>
    <x v="53"/>
    <s v="TKM"/>
    <x v="2"/>
    <s v="NY.GDP.PCAP.KD"/>
    <x v="0"/>
    <n v="3496"/>
    <x v="0"/>
  </r>
  <r>
    <x v="53"/>
    <s v="TKM"/>
    <x v="2"/>
    <s v="NY.GDP.PCAP.KD"/>
    <x v="1"/>
    <n v="3252"/>
    <x v="0"/>
  </r>
  <r>
    <x v="53"/>
    <s v="TKM"/>
    <x v="2"/>
    <s v="NY.GDP.PCAP.KD"/>
    <x v="2"/>
    <n v="2703"/>
    <x v="0"/>
  </r>
  <r>
    <x v="53"/>
    <s v="TKM"/>
    <x v="2"/>
    <s v="NY.GDP.PCAP.KD"/>
    <x v="3"/>
    <n v="2684"/>
    <x v="0"/>
  </r>
  <r>
    <x v="53"/>
    <s v="TKM"/>
    <x v="2"/>
    <s v="NY.GDP.PCAP.KD"/>
    <x v="4"/>
    <n v="2174"/>
    <x v="0"/>
  </r>
  <r>
    <x v="53"/>
    <s v="TKM"/>
    <x v="2"/>
    <s v="NY.GDP.PCAP.KD"/>
    <x v="5"/>
    <n v="1982"/>
    <x v="0"/>
  </r>
  <r>
    <x v="53"/>
    <s v="TKM"/>
    <x v="2"/>
    <s v="NY.GDP.PCAP.KD"/>
    <x v="6"/>
    <n v="2079"/>
    <x v="0"/>
  </r>
  <r>
    <x v="53"/>
    <s v="TKM"/>
    <x v="2"/>
    <s v="NY.GDP.PCAP.KD"/>
    <x v="7"/>
    <n v="1811"/>
    <x v="1"/>
  </r>
  <r>
    <x v="53"/>
    <s v="TKM"/>
    <x v="2"/>
    <s v="NY.GDP.PCAP.KD"/>
    <x v="8"/>
    <n v="1907"/>
    <x v="1"/>
  </r>
  <r>
    <x v="53"/>
    <s v="TKM"/>
    <x v="2"/>
    <s v="NY.GDP.PCAP.KD"/>
    <x v="9"/>
    <n v="2181"/>
    <x v="1"/>
  </r>
  <r>
    <x v="53"/>
    <s v="TKM"/>
    <x v="2"/>
    <s v="NY.GDP.PCAP.KD"/>
    <x v="10"/>
    <n v="2255"/>
    <x v="1"/>
  </r>
  <r>
    <x v="53"/>
    <s v="TKM"/>
    <x v="2"/>
    <s v="NY.GDP.PCAP.KD"/>
    <x v="11"/>
    <n v="2306"/>
    <x v="1"/>
  </r>
  <r>
    <x v="53"/>
    <s v="TKM"/>
    <x v="2"/>
    <s v="NY.GDP.PCAP.KD"/>
    <x v="12"/>
    <n v="2267"/>
    <x v="1"/>
  </r>
  <r>
    <x v="53"/>
    <s v="TKM"/>
    <x v="2"/>
    <s v="NY.GDP.PCAP.KD"/>
    <x v="13"/>
    <n v="2295"/>
    <x v="1"/>
  </r>
  <r>
    <x v="53"/>
    <s v="TKM"/>
    <x v="2"/>
    <s v="NY.GDP.PCAP.KD"/>
    <x v="14"/>
    <n v="2364"/>
    <x v="1"/>
  </r>
  <r>
    <x v="53"/>
    <s v="TKM"/>
    <x v="2"/>
    <s v="NY.GDP.PCAP.KD"/>
    <x v="15"/>
    <n v="2623"/>
    <x v="1"/>
  </r>
  <r>
    <x v="53"/>
    <s v="TKM"/>
    <x v="2"/>
    <s v="NY.GDP.PCAP.KD"/>
    <x v="16"/>
    <n v="2857"/>
    <x v="1"/>
  </r>
  <r>
    <x v="53"/>
    <s v="TKM"/>
    <x v="2"/>
    <s v="NY.GDP.PCAP.KD"/>
    <x v="17"/>
    <n v="3114"/>
    <x v="2"/>
  </r>
  <r>
    <x v="53"/>
    <s v="TKM"/>
    <x v="2"/>
    <s v="NY.GDP.PCAP.KD"/>
    <x v="18"/>
    <n v="3504"/>
    <x v="2"/>
  </r>
  <r>
    <x v="53"/>
    <s v="TKM"/>
    <x v="2"/>
    <s v="NY.GDP.PCAP.KD"/>
    <x v="19"/>
    <n v="3645"/>
    <x v="2"/>
  </r>
  <r>
    <x v="53"/>
    <s v="TKM"/>
    <x v="2"/>
    <s v="NY.GDP.PCAP.KD"/>
    <x v="20"/>
    <n v="3900"/>
    <x v="2"/>
  </r>
  <r>
    <x v="53"/>
    <s v="TKM"/>
    <x v="2"/>
    <s v="NY.GDP.PCAP.KD"/>
    <x v="21"/>
    <n v="4380"/>
    <x v="2"/>
  </r>
  <r>
    <x v="53"/>
    <s v="TKM"/>
    <x v="2"/>
    <s v="NY.GDP.PCAP.KD"/>
    <x v="22"/>
    <n v="4761"/>
    <x v="2"/>
  </r>
  <r>
    <x v="53"/>
    <s v="TKM"/>
    <x v="2"/>
    <s v="NY.GDP.PCAP.KD"/>
    <x v="23"/>
    <n v="5131"/>
    <x v="2"/>
  </r>
  <r>
    <x v="53"/>
    <s v="TKM"/>
    <x v="2"/>
    <s v="NY.GDP.PCAP.KD"/>
    <x v="24"/>
    <n v="5533"/>
    <x v="2"/>
  </r>
  <r>
    <x v="53"/>
    <s v="TKM"/>
    <x v="2"/>
    <s v="NY.GDP.PCAP.KD"/>
    <x v="25"/>
    <n v="5759"/>
    <x v="2"/>
  </r>
  <r>
    <x v="53"/>
    <s v="TKM"/>
    <x v="2"/>
    <s v="NY.GDP.PCAP.KD"/>
    <x v="26"/>
    <n v="5978"/>
    <x v="2"/>
  </r>
  <r>
    <x v="53"/>
    <s v="TKM"/>
    <x v="2"/>
    <s v="NY.GDP.PCAP.KD"/>
    <x v="27"/>
    <n v="6223"/>
    <x v="3"/>
  </r>
  <r>
    <x v="53"/>
    <s v="TKM"/>
    <x v="2"/>
    <s v="NY.GDP.PCAP.KD"/>
    <x v="28"/>
    <n v="6461"/>
    <x v="3"/>
  </r>
  <r>
    <x v="53"/>
    <s v="TKM"/>
    <x v="2"/>
    <s v="NY.GDP.PCAP.KD"/>
    <x v="29"/>
    <n v="6718"/>
    <x v="3"/>
  </r>
  <r>
    <x v="28"/>
    <s v="IRL"/>
    <x v="2"/>
    <s v="NY.GDP.PCAP.KD"/>
    <x v="30"/>
    <n v="80928"/>
    <x v="3"/>
  </r>
  <r>
    <x v="53"/>
    <s v="TKM"/>
    <x v="2"/>
    <s v="NY.GDP.PCAP.KD"/>
    <x v="31"/>
    <n v="7249"/>
    <x v="3"/>
  </r>
  <r>
    <x v="53"/>
    <s v="TKM"/>
    <x v="2"/>
    <s v="NY.GDP.PCAP.KD"/>
    <x v="32"/>
    <n v="7551"/>
    <x v="6"/>
  </r>
  <r>
    <x v="53"/>
    <s v="TKM"/>
    <x v="2"/>
    <s v="NY.GDP.PCAP.KD"/>
    <x v="33"/>
    <n v="7880"/>
    <x v="6"/>
  </r>
  <r>
    <x v="53"/>
    <s v="TKM"/>
    <x v="2"/>
    <s v="NY.GDP.PCAP.KD"/>
    <x v="54"/>
    <n v="8231"/>
    <x v="6"/>
  </r>
  <r>
    <x v="54"/>
    <s v="TUR"/>
    <x v="2"/>
    <s v="NY.GDP.PCAP.KD"/>
    <x v="55"/>
    <n v="2449"/>
    <x v="6"/>
  </r>
  <r>
    <x v="54"/>
    <s v="TUR"/>
    <x v="2"/>
    <s v="NY.GDP.PCAP.KD"/>
    <x v="56"/>
    <n v="2411"/>
    <x v="6"/>
  </r>
  <r>
    <x v="54"/>
    <s v="TUR"/>
    <x v="2"/>
    <s v="NY.GDP.PCAP.KD"/>
    <x v="57"/>
    <n v="2477"/>
    <x v="6"/>
  </r>
  <r>
    <x v="54"/>
    <s v="TUR"/>
    <x v="2"/>
    <s v="NY.GDP.PCAP.KD"/>
    <x v="58"/>
    <n v="2630"/>
    <x v="6"/>
  </r>
  <r>
    <x v="54"/>
    <s v="TUR"/>
    <x v="2"/>
    <s v="NY.GDP.PCAP.KD"/>
    <x v="59"/>
    <n v="2702"/>
    <x v="6"/>
  </r>
  <r>
    <x v="54"/>
    <s v="TUR"/>
    <x v="2"/>
    <s v="NY.GDP.PCAP.KD"/>
    <x v="60"/>
    <n v="2710"/>
    <x v="6"/>
  </r>
  <r>
    <x v="54"/>
    <s v="TUR"/>
    <x v="2"/>
    <s v="NY.GDP.PCAP.KD"/>
    <x v="61"/>
    <n v="2938"/>
    <x v="6"/>
  </r>
  <r>
    <x v="54"/>
    <s v="TUR"/>
    <x v="2"/>
    <s v="NY.GDP.PCAP.KD"/>
    <x v="62"/>
    <n v="2998"/>
    <x v="4"/>
  </r>
  <r>
    <x v="54"/>
    <s v="TUR"/>
    <x v="2"/>
    <s v="NY.GDP.PCAP.KD"/>
    <x v="63"/>
    <n v="3121"/>
    <x v="4"/>
  </r>
  <r>
    <x v="54"/>
    <s v="TUR"/>
    <x v="2"/>
    <s v="NY.GDP.PCAP.KD"/>
    <x v="64"/>
    <n v="3170"/>
    <x v="4"/>
  </r>
  <r>
    <x v="54"/>
    <s v="TUR"/>
    <x v="2"/>
    <s v="NY.GDP.PCAP.KD"/>
    <x v="34"/>
    <n v="3197"/>
    <x v="4"/>
  </r>
  <r>
    <x v="54"/>
    <s v="TUR"/>
    <x v="2"/>
    <s v="NY.GDP.PCAP.KD"/>
    <x v="35"/>
    <n v="3295"/>
    <x v="4"/>
  </r>
  <r>
    <x v="54"/>
    <s v="TUR"/>
    <x v="2"/>
    <s v="NY.GDP.PCAP.KD"/>
    <x v="36"/>
    <n v="3456"/>
    <x v="4"/>
  </r>
  <r>
    <x v="54"/>
    <s v="TUR"/>
    <x v="2"/>
    <s v="NY.GDP.PCAP.KD"/>
    <x v="37"/>
    <n v="3487"/>
    <x v="4"/>
  </r>
  <r>
    <x v="54"/>
    <s v="TUR"/>
    <x v="2"/>
    <s v="NY.GDP.PCAP.KD"/>
    <x v="38"/>
    <n v="3602"/>
    <x v="4"/>
  </r>
  <r>
    <x v="54"/>
    <s v="TUR"/>
    <x v="2"/>
    <s v="NY.GDP.PCAP.KD"/>
    <x v="39"/>
    <n v="3781"/>
    <x v="4"/>
  </r>
  <r>
    <x v="54"/>
    <s v="TUR"/>
    <x v="2"/>
    <s v="NY.GDP.PCAP.KD"/>
    <x v="40"/>
    <n v="4092"/>
    <x v="4"/>
  </r>
  <r>
    <x v="54"/>
    <s v="TUR"/>
    <x v="2"/>
    <s v="NY.GDP.PCAP.KD"/>
    <x v="41"/>
    <n v="4145"/>
    <x v="5"/>
  </r>
  <r>
    <x v="54"/>
    <s v="TUR"/>
    <x v="2"/>
    <s v="NY.GDP.PCAP.KD"/>
    <x v="42"/>
    <n v="4123"/>
    <x v="5"/>
  </r>
  <r>
    <x v="54"/>
    <s v="TUR"/>
    <x v="2"/>
    <s v="NY.GDP.PCAP.KD"/>
    <x v="43"/>
    <n v="4018"/>
    <x v="5"/>
  </r>
  <r>
    <x v="54"/>
    <s v="TUR"/>
    <x v="2"/>
    <s v="NY.GDP.PCAP.KD"/>
    <x v="44"/>
    <n v="3842"/>
    <x v="5"/>
  </r>
  <r>
    <x v="54"/>
    <s v="TUR"/>
    <x v="2"/>
    <s v="NY.GDP.PCAP.KD"/>
    <x v="45"/>
    <n v="3949"/>
    <x v="5"/>
  </r>
  <r>
    <x v="54"/>
    <s v="TUR"/>
    <x v="2"/>
    <s v="NY.GDP.PCAP.KD"/>
    <x v="46"/>
    <n v="4004"/>
    <x v="5"/>
  </r>
  <r>
    <x v="54"/>
    <s v="TUR"/>
    <x v="2"/>
    <s v="NY.GDP.PCAP.KD"/>
    <x v="47"/>
    <n v="4105"/>
    <x v="5"/>
  </r>
  <r>
    <x v="54"/>
    <s v="TUR"/>
    <x v="2"/>
    <s v="NY.GDP.PCAP.KD"/>
    <x v="48"/>
    <n v="4281"/>
    <x v="5"/>
  </r>
  <r>
    <x v="54"/>
    <s v="TUR"/>
    <x v="2"/>
    <s v="NY.GDP.PCAP.KD"/>
    <x v="49"/>
    <n v="4364"/>
    <x v="5"/>
  </r>
  <r>
    <x v="54"/>
    <s v="TUR"/>
    <x v="2"/>
    <s v="NY.GDP.PCAP.KD"/>
    <x v="50"/>
    <n v="4572"/>
    <x v="5"/>
  </r>
  <r>
    <x v="54"/>
    <s v="TUR"/>
    <x v="2"/>
    <s v="NY.GDP.PCAP.KD"/>
    <x v="51"/>
    <n v="4905"/>
    <x v="0"/>
  </r>
  <r>
    <x v="54"/>
    <s v="TUR"/>
    <x v="2"/>
    <s v="NY.GDP.PCAP.KD"/>
    <x v="52"/>
    <n v="4919"/>
    <x v="0"/>
  </r>
  <r>
    <x v="54"/>
    <s v="TUR"/>
    <x v="2"/>
    <s v="NY.GDP.PCAP.KD"/>
    <x v="53"/>
    <n v="4838"/>
    <x v="0"/>
  </r>
  <r>
    <x v="54"/>
    <s v="TUR"/>
    <x v="2"/>
    <s v="NY.GDP.PCAP.KD"/>
    <x v="0"/>
    <n v="5188"/>
    <x v="0"/>
  </r>
  <r>
    <x v="54"/>
    <s v="TUR"/>
    <x v="2"/>
    <s v="NY.GDP.PCAP.KD"/>
    <x v="1"/>
    <n v="5134"/>
    <x v="0"/>
  </r>
  <r>
    <x v="54"/>
    <s v="TUR"/>
    <x v="2"/>
    <s v="NY.GDP.PCAP.KD"/>
    <x v="2"/>
    <n v="5302"/>
    <x v="0"/>
  </r>
  <r>
    <x v="54"/>
    <s v="TUR"/>
    <x v="2"/>
    <s v="NY.GDP.PCAP.KD"/>
    <x v="3"/>
    <n v="5610"/>
    <x v="0"/>
  </r>
  <r>
    <x v="54"/>
    <s v="TUR"/>
    <x v="2"/>
    <s v="NY.GDP.PCAP.KD"/>
    <x v="4"/>
    <n v="5256"/>
    <x v="0"/>
  </r>
  <r>
    <x v="54"/>
    <s v="TUR"/>
    <x v="2"/>
    <s v="NY.GDP.PCAP.KD"/>
    <x v="5"/>
    <n v="5578"/>
    <x v="0"/>
  </r>
  <r>
    <x v="54"/>
    <s v="TUR"/>
    <x v="2"/>
    <s v="NY.GDP.PCAP.KD"/>
    <x v="6"/>
    <n v="5888"/>
    <x v="0"/>
  </r>
  <r>
    <x v="54"/>
    <s v="TUR"/>
    <x v="2"/>
    <s v="NY.GDP.PCAP.KD"/>
    <x v="7"/>
    <n v="6230"/>
    <x v="1"/>
  </r>
  <r>
    <x v="54"/>
    <s v="TUR"/>
    <x v="2"/>
    <s v="NY.GDP.PCAP.KD"/>
    <x v="8"/>
    <n v="6261"/>
    <x v="1"/>
  </r>
  <r>
    <x v="54"/>
    <s v="TUR"/>
    <x v="2"/>
    <s v="NY.GDP.PCAP.KD"/>
    <x v="9"/>
    <n v="5990"/>
    <x v="1"/>
  </r>
  <r>
    <x v="54"/>
    <s v="TUR"/>
    <x v="2"/>
    <s v="NY.GDP.PCAP.KD"/>
    <x v="10"/>
    <n v="6326"/>
    <x v="1"/>
  </r>
  <r>
    <x v="54"/>
    <s v="TUR"/>
    <x v="2"/>
    <s v="NY.GDP.PCAP.KD"/>
    <x v="11"/>
    <n v="5907"/>
    <x v="1"/>
  </r>
  <r>
    <x v="54"/>
    <s v="TUR"/>
    <x v="2"/>
    <s v="NY.GDP.PCAP.KD"/>
    <x v="12"/>
    <n v="6212"/>
    <x v="1"/>
  </r>
  <r>
    <x v="54"/>
    <s v="TUR"/>
    <x v="2"/>
    <s v="NY.GDP.PCAP.KD"/>
    <x v="13"/>
    <n v="6496"/>
    <x v="1"/>
  </r>
  <r>
    <x v="54"/>
    <s v="TUR"/>
    <x v="2"/>
    <s v="NY.GDP.PCAP.KD"/>
    <x v="14"/>
    <n v="7062"/>
    <x v="1"/>
  </r>
  <r>
    <x v="54"/>
    <s v="TUR"/>
    <x v="2"/>
    <s v="NY.GDP.PCAP.KD"/>
    <x v="15"/>
    <n v="7623"/>
    <x v="1"/>
  </r>
  <r>
    <x v="54"/>
    <s v="TUR"/>
    <x v="2"/>
    <s v="NY.GDP.PCAP.KD"/>
    <x v="16"/>
    <n v="8079"/>
    <x v="1"/>
  </r>
  <r>
    <x v="54"/>
    <s v="TUR"/>
    <x v="2"/>
    <s v="NY.GDP.PCAP.KD"/>
    <x v="17"/>
    <n v="8478"/>
    <x v="2"/>
  </r>
  <r>
    <x v="54"/>
    <s v="TUR"/>
    <x v="2"/>
    <s v="NY.GDP.PCAP.KD"/>
    <x v="18"/>
    <n v="8448"/>
    <x v="2"/>
  </r>
  <r>
    <x v="54"/>
    <s v="TUR"/>
    <x v="2"/>
    <s v="NY.GDP.PCAP.KD"/>
    <x v="19"/>
    <n v="7925"/>
    <x v="2"/>
  </r>
  <r>
    <x v="54"/>
    <s v="TUR"/>
    <x v="2"/>
    <s v="NY.GDP.PCAP.KD"/>
    <x v="20"/>
    <n v="8473"/>
    <x v="2"/>
  </r>
  <r>
    <x v="54"/>
    <s v="TUR"/>
    <x v="2"/>
    <s v="NY.GDP.PCAP.KD"/>
    <x v="21"/>
    <n v="9266"/>
    <x v="2"/>
  </r>
  <r>
    <x v="54"/>
    <s v="TUR"/>
    <x v="2"/>
    <s v="NY.GDP.PCAP.KD"/>
    <x v="22"/>
    <n v="9588"/>
    <x v="2"/>
  </r>
  <r>
    <x v="54"/>
    <s v="TUR"/>
    <x v="2"/>
    <s v="NY.GDP.PCAP.KD"/>
    <x v="23"/>
    <n v="10269"/>
    <x v="2"/>
  </r>
  <r>
    <x v="54"/>
    <s v="TUR"/>
    <x v="2"/>
    <s v="NY.GDP.PCAP.KD"/>
    <x v="24"/>
    <n v="10598"/>
    <x v="2"/>
  </r>
  <r>
    <x v="54"/>
    <s v="TUR"/>
    <x v="2"/>
    <s v="NY.GDP.PCAP.KD"/>
    <x v="25"/>
    <n v="11065"/>
    <x v="2"/>
  </r>
  <r>
    <x v="54"/>
    <s v="TUR"/>
    <x v="2"/>
    <s v="NY.GDP.PCAP.KD"/>
    <x v="26"/>
    <n v="11280"/>
    <x v="2"/>
  </r>
  <r>
    <x v="54"/>
    <s v="TUR"/>
    <x v="2"/>
    <s v="NY.GDP.PCAP.KD"/>
    <x v="27"/>
    <n v="12006"/>
    <x v="3"/>
  </r>
  <r>
    <x v="54"/>
    <s v="TUR"/>
    <x v="2"/>
    <s v="NY.GDP.PCAP.KD"/>
    <x v="28"/>
    <n v="12255"/>
    <x v="3"/>
  </r>
  <r>
    <x v="54"/>
    <s v="TUR"/>
    <x v="2"/>
    <s v="NY.GDP.PCAP.KD"/>
    <x v="29"/>
    <n v="12238"/>
    <x v="3"/>
  </r>
  <r>
    <x v="9"/>
    <s v="CHE"/>
    <x v="2"/>
    <s v="NY.GDP.PCAP.KD"/>
    <x v="30"/>
    <n v="84637"/>
    <x v="3"/>
  </r>
  <r>
    <x v="54"/>
    <s v="TUR"/>
    <x v="2"/>
    <s v="NY.GDP.PCAP.KD"/>
    <x v="31"/>
    <n v="13671"/>
    <x v="3"/>
  </r>
  <r>
    <x v="54"/>
    <s v="TUR"/>
    <x v="2"/>
    <s v="NY.GDP.PCAP.KD"/>
    <x v="32"/>
    <n v="14274"/>
    <x v="5"/>
  </r>
  <r>
    <x v="54"/>
    <s v="TUR"/>
    <x v="2"/>
    <s v="NY.GDP.PCAP.KD"/>
    <x v="33"/>
    <n v="14933"/>
    <x v="5"/>
  </r>
  <r>
    <x v="54"/>
    <s v="TUR"/>
    <x v="2"/>
    <s v="NY.GDP.PCAP.KD"/>
    <x v="54"/>
    <n v="15395"/>
    <x v="5"/>
  </r>
  <r>
    <x v="55"/>
    <s v="UKR"/>
    <x v="2"/>
    <s v="NY.GDP.PCAP.KD"/>
    <x v="51"/>
    <n v="3142"/>
    <x v="0"/>
  </r>
  <r>
    <x v="55"/>
    <s v="UKR"/>
    <x v="2"/>
    <s v="NY.GDP.PCAP.KD"/>
    <x v="52"/>
    <n v="3209"/>
    <x v="0"/>
  </r>
  <r>
    <x v="55"/>
    <s v="UKR"/>
    <x v="2"/>
    <s v="NY.GDP.PCAP.KD"/>
    <x v="53"/>
    <n v="3321"/>
    <x v="0"/>
  </r>
  <r>
    <x v="55"/>
    <s v="UKR"/>
    <x v="2"/>
    <s v="NY.GDP.PCAP.KD"/>
    <x v="0"/>
    <n v="3102"/>
    <x v="0"/>
  </r>
  <r>
    <x v="55"/>
    <s v="UKR"/>
    <x v="2"/>
    <s v="NY.GDP.PCAP.KD"/>
    <x v="1"/>
    <n v="2826"/>
    <x v="0"/>
  </r>
  <r>
    <x v="55"/>
    <s v="UKR"/>
    <x v="2"/>
    <s v="NY.GDP.PCAP.KD"/>
    <x v="2"/>
    <n v="2539"/>
    <x v="0"/>
  </r>
  <r>
    <x v="55"/>
    <s v="UKR"/>
    <x v="2"/>
    <s v="NY.GDP.PCAP.KD"/>
    <x v="3"/>
    <n v="2177"/>
    <x v="0"/>
  </r>
  <r>
    <x v="55"/>
    <s v="UKR"/>
    <x v="2"/>
    <s v="NY.GDP.PCAP.KD"/>
    <x v="4"/>
    <n v="1687"/>
    <x v="0"/>
  </r>
  <r>
    <x v="55"/>
    <s v="UKR"/>
    <x v="2"/>
    <s v="NY.GDP.PCAP.KD"/>
    <x v="5"/>
    <n v="1493"/>
    <x v="0"/>
  </r>
  <r>
    <x v="55"/>
    <s v="UKR"/>
    <x v="2"/>
    <s v="NY.GDP.PCAP.KD"/>
    <x v="6"/>
    <n v="1356"/>
    <x v="0"/>
  </r>
  <r>
    <x v="55"/>
    <s v="UKR"/>
    <x v="2"/>
    <s v="NY.GDP.PCAP.KD"/>
    <x v="7"/>
    <n v="1326"/>
    <x v="1"/>
  </r>
  <r>
    <x v="55"/>
    <s v="UKR"/>
    <x v="2"/>
    <s v="NY.GDP.PCAP.KD"/>
    <x v="8"/>
    <n v="1312"/>
    <x v="1"/>
  </r>
  <r>
    <x v="55"/>
    <s v="UKR"/>
    <x v="2"/>
    <s v="NY.GDP.PCAP.KD"/>
    <x v="9"/>
    <n v="1320"/>
    <x v="1"/>
  </r>
  <r>
    <x v="55"/>
    <s v="UKR"/>
    <x v="2"/>
    <s v="NY.GDP.PCAP.KD"/>
    <x v="10"/>
    <n v="1409"/>
    <x v="1"/>
  </r>
  <r>
    <x v="55"/>
    <s v="UKR"/>
    <x v="2"/>
    <s v="NY.GDP.PCAP.KD"/>
    <x v="11"/>
    <n v="1547"/>
    <x v="1"/>
  </r>
  <r>
    <x v="55"/>
    <s v="UKR"/>
    <x v="2"/>
    <s v="NY.GDP.PCAP.KD"/>
    <x v="12"/>
    <n v="1644"/>
    <x v="1"/>
  </r>
  <r>
    <x v="55"/>
    <s v="UKR"/>
    <x v="2"/>
    <s v="NY.GDP.PCAP.KD"/>
    <x v="13"/>
    <n v="1814"/>
    <x v="1"/>
  </r>
  <r>
    <x v="55"/>
    <s v="UKR"/>
    <x v="2"/>
    <s v="NY.GDP.PCAP.KD"/>
    <x v="14"/>
    <n v="2042"/>
    <x v="1"/>
  </r>
  <r>
    <x v="55"/>
    <s v="UKR"/>
    <x v="2"/>
    <s v="NY.GDP.PCAP.KD"/>
    <x v="15"/>
    <n v="2123"/>
    <x v="1"/>
  </r>
  <r>
    <x v="55"/>
    <s v="UKR"/>
    <x v="2"/>
    <s v="NY.GDP.PCAP.KD"/>
    <x v="16"/>
    <n v="2298"/>
    <x v="1"/>
  </r>
  <r>
    <x v="55"/>
    <s v="UKR"/>
    <x v="2"/>
    <s v="NY.GDP.PCAP.KD"/>
    <x v="17"/>
    <n v="2498"/>
    <x v="2"/>
  </r>
  <r>
    <x v="55"/>
    <s v="UKR"/>
    <x v="2"/>
    <s v="NY.GDP.PCAP.KD"/>
    <x v="18"/>
    <n v="2568"/>
    <x v="2"/>
  </r>
  <r>
    <x v="55"/>
    <s v="UKR"/>
    <x v="2"/>
    <s v="NY.GDP.PCAP.KD"/>
    <x v="19"/>
    <n v="2188"/>
    <x v="2"/>
  </r>
  <r>
    <x v="55"/>
    <s v="UKR"/>
    <x v="2"/>
    <s v="NY.GDP.PCAP.KD"/>
    <x v="20"/>
    <n v="2286"/>
    <x v="2"/>
  </r>
  <r>
    <x v="55"/>
    <s v="UKR"/>
    <x v="2"/>
    <s v="NY.GDP.PCAP.KD"/>
    <x v="21"/>
    <n v="2418"/>
    <x v="2"/>
  </r>
  <r>
    <x v="55"/>
    <s v="UKR"/>
    <x v="2"/>
    <s v="NY.GDP.PCAP.KD"/>
    <x v="22"/>
    <n v="2427"/>
    <x v="2"/>
  </r>
  <r>
    <x v="55"/>
    <s v="UKR"/>
    <x v="2"/>
    <s v="NY.GDP.PCAP.KD"/>
    <x v="23"/>
    <n v="2432"/>
    <x v="2"/>
  </r>
  <r>
    <x v="55"/>
    <s v="UKR"/>
    <x v="2"/>
    <s v="NY.GDP.PCAP.KD"/>
    <x v="24"/>
    <n v="2309"/>
    <x v="2"/>
  </r>
  <r>
    <x v="55"/>
    <s v="UKR"/>
    <x v="2"/>
    <s v="NY.GDP.PCAP.KD"/>
    <x v="25"/>
    <n v="2094"/>
    <x v="2"/>
  </r>
  <r>
    <x v="55"/>
    <s v="UKR"/>
    <x v="2"/>
    <s v="NY.GDP.PCAP.KD"/>
    <x v="26"/>
    <n v="2156"/>
    <x v="2"/>
  </r>
  <r>
    <x v="55"/>
    <s v="UKR"/>
    <x v="2"/>
    <s v="NY.GDP.PCAP.KD"/>
    <x v="27"/>
    <n v="2218"/>
    <x v="3"/>
  </r>
  <r>
    <x v="55"/>
    <s v="UKR"/>
    <x v="2"/>
    <s v="NY.GDP.PCAP.KD"/>
    <x v="28"/>
    <n v="2309"/>
    <x v="3"/>
  </r>
  <r>
    <x v="55"/>
    <s v="UKR"/>
    <x v="2"/>
    <s v="NY.GDP.PCAP.KD"/>
    <x v="29"/>
    <n v="2398"/>
    <x v="3"/>
  </r>
  <r>
    <x v="27"/>
    <s v="IMN"/>
    <x v="2"/>
    <s v="NY.GDP.PCAP.KD"/>
    <x v="30"/>
    <n v="86595"/>
    <x v="3"/>
  </r>
  <r>
    <x v="55"/>
    <s v="UKR"/>
    <x v="2"/>
    <s v="NY.GDP.PCAP.KD"/>
    <x v="31"/>
    <n v="2427"/>
    <x v="3"/>
  </r>
  <r>
    <x v="55"/>
    <s v="UKR"/>
    <x v="2"/>
    <s v="NY.GDP.PCAP.KD"/>
    <x v="32"/>
    <n v="1875"/>
    <x v="5"/>
  </r>
  <r>
    <x v="55"/>
    <s v="UKR"/>
    <x v="2"/>
    <s v="NY.GDP.PCAP.KD"/>
    <x v="33"/>
    <n v="2164"/>
    <x v="5"/>
  </r>
  <r>
    <x v="55"/>
    <s v="UKR"/>
    <x v="2"/>
    <s v="NY.GDP.PCAP.KD"/>
    <x v="54"/>
    <n v="2219"/>
    <x v="5"/>
  </r>
  <r>
    <x v="56"/>
    <s v="UZB"/>
    <x v="2"/>
    <s v="NY.GDP.PCAP.KD"/>
    <x v="51"/>
    <n v="1484"/>
    <x v="0"/>
  </r>
  <r>
    <x v="56"/>
    <s v="UZB"/>
    <x v="2"/>
    <s v="NY.GDP.PCAP.KD"/>
    <x v="52"/>
    <n v="1575"/>
    <x v="0"/>
  </r>
  <r>
    <x v="56"/>
    <s v="UZB"/>
    <x v="2"/>
    <s v="NY.GDP.PCAP.KD"/>
    <x v="53"/>
    <n v="1582"/>
    <x v="0"/>
  </r>
  <r>
    <x v="56"/>
    <s v="UZB"/>
    <x v="2"/>
    <s v="NY.GDP.PCAP.KD"/>
    <x v="0"/>
    <n v="1569"/>
    <x v="0"/>
  </r>
  <r>
    <x v="56"/>
    <s v="UZB"/>
    <x v="2"/>
    <s v="NY.GDP.PCAP.KD"/>
    <x v="1"/>
    <n v="1524"/>
    <x v="0"/>
  </r>
  <r>
    <x v="56"/>
    <s v="UZB"/>
    <x v="2"/>
    <s v="NY.GDP.PCAP.KD"/>
    <x v="2"/>
    <n v="1321"/>
    <x v="0"/>
  </r>
  <r>
    <x v="56"/>
    <s v="UZB"/>
    <x v="2"/>
    <s v="NY.GDP.PCAP.KD"/>
    <x v="3"/>
    <n v="1261"/>
    <x v="0"/>
  </r>
  <r>
    <x v="56"/>
    <s v="UZB"/>
    <x v="2"/>
    <s v="NY.GDP.PCAP.KD"/>
    <x v="4"/>
    <n v="1170"/>
    <x v="0"/>
  </r>
  <r>
    <x v="56"/>
    <s v="UZB"/>
    <x v="2"/>
    <s v="NY.GDP.PCAP.KD"/>
    <x v="5"/>
    <n v="1136"/>
    <x v="0"/>
  </r>
  <r>
    <x v="56"/>
    <s v="UZB"/>
    <x v="2"/>
    <s v="NY.GDP.PCAP.KD"/>
    <x v="6"/>
    <n v="1134"/>
    <x v="0"/>
  </r>
  <r>
    <x v="56"/>
    <s v="UZB"/>
    <x v="2"/>
    <s v="NY.GDP.PCAP.KD"/>
    <x v="7"/>
    <n v="1173"/>
    <x v="1"/>
  </r>
  <r>
    <x v="56"/>
    <s v="UZB"/>
    <x v="2"/>
    <s v="NY.GDP.PCAP.KD"/>
    <x v="8"/>
    <n v="1204"/>
    <x v="1"/>
  </r>
  <r>
    <x v="56"/>
    <s v="UZB"/>
    <x v="2"/>
    <s v="NY.GDP.PCAP.KD"/>
    <x v="9"/>
    <n v="1238"/>
    <x v="1"/>
  </r>
  <r>
    <x v="56"/>
    <s v="UZB"/>
    <x v="2"/>
    <s v="NY.GDP.PCAP.KD"/>
    <x v="10"/>
    <n v="1270"/>
    <x v="1"/>
  </r>
  <r>
    <x v="56"/>
    <s v="UZB"/>
    <x v="2"/>
    <s v="NY.GDP.PCAP.KD"/>
    <x v="11"/>
    <n v="1307"/>
    <x v="1"/>
  </r>
  <r>
    <x v="56"/>
    <s v="UZB"/>
    <x v="2"/>
    <s v="NY.GDP.PCAP.KD"/>
    <x v="12"/>
    <n v="1342"/>
    <x v="1"/>
  </r>
  <r>
    <x v="56"/>
    <s v="UZB"/>
    <x v="2"/>
    <s v="NY.GDP.PCAP.KD"/>
    <x v="13"/>
    <n v="1382"/>
    <x v="1"/>
  </r>
  <r>
    <x v="56"/>
    <s v="UZB"/>
    <x v="2"/>
    <s v="NY.GDP.PCAP.KD"/>
    <x v="14"/>
    <n v="1467"/>
    <x v="1"/>
  </r>
  <r>
    <x v="56"/>
    <s v="UZB"/>
    <x v="2"/>
    <s v="NY.GDP.PCAP.KD"/>
    <x v="15"/>
    <n v="1549"/>
    <x v="1"/>
  </r>
  <r>
    <x v="56"/>
    <s v="UZB"/>
    <x v="2"/>
    <s v="NY.GDP.PCAP.KD"/>
    <x v="16"/>
    <n v="1643"/>
    <x v="1"/>
  </r>
  <r>
    <x v="56"/>
    <s v="UZB"/>
    <x v="2"/>
    <s v="NY.GDP.PCAP.KD"/>
    <x v="17"/>
    <n v="1774"/>
    <x v="2"/>
  </r>
  <r>
    <x v="56"/>
    <s v="UZB"/>
    <x v="2"/>
    <s v="NY.GDP.PCAP.KD"/>
    <x v="18"/>
    <n v="1904"/>
    <x v="2"/>
  </r>
  <r>
    <x v="56"/>
    <s v="UZB"/>
    <x v="2"/>
    <s v="NY.GDP.PCAP.KD"/>
    <x v="19"/>
    <n v="2025"/>
    <x v="2"/>
  </r>
  <r>
    <x v="56"/>
    <s v="UZB"/>
    <x v="2"/>
    <s v="NY.GDP.PCAP.KD"/>
    <x v="20"/>
    <n v="2145"/>
    <x v="2"/>
  </r>
  <r>
    <x v="56"/>
    <s v="UZB"/>
    <x v="2"/>
    <s v="NY.GDP.PCAP.KD"/>
    <x v="21"/>
    <n v="2271"/>
    <x v="2"/>
  </r>
  <r>
    <x v="56"/>
    <s v="UZB"/>
    <x v="2"/>
    <s v="NY.GDP.PCAP.KD"/>
    <x v="22"/>
    <n v="2396"/>
    <x v="2"/>
  </r>
  <r>
    <x v="56"/>
    <s v="UZB"/>
    <x v="2"/>
    <s v="NY.GDP.PCAP.KD"/>
    <x v="23"/>
    <n v="2531"/>
    <x v="2"/>
  </r>
  <r>
    <x v="56"/>
    <s v="UZB"/>
    <x v="2"/>
    <s v="NY.GDP.PCAP.KD"/>
    <x v="24"/>
    <n v="2660"/>
    <x v="2"/>
  </r>
  <r>
    <x v="56"/>
    <s v="UZB"/>
    <x v="2"/>
    <s v="NY.GDP.PCAP.KD"/>
    <x v="25"/>
    <n v="2803"/>
    <x v="2"/>
  </r>
  <r>
    <x v="56"/>
    <s v="UZB"/>
    <x v="2"/>
    <s v="NY.GDP.PCAP.KD"/>
    <x v="26"/>
    <n v="2919"/>
    <x v="2"/>
  </r>
  <r>
    <x v="56"/>
    <s v="UZB"/>
    <x v="2"/>
    <s v="NY.GDP.PCAP.KD"/>
    <x v="27"/>
    <n v="2996"/>
    <x v="3"/>
  </r>
  <r>
    <x v="56"/>
    <s v="UZB"/>
    <x v="2"/>
    <s v="NY.GDP.PCAP.KD"/>
    <x v="28"/>
    <n v="3108"/>
    <x v="3"/>
  </r>
  <r>
    <x v="56"/>
    <s v="UZB"/>
    <x v="2"/>
    <s v="NY.GDP.PCAP.KD"/>
    <x v="29"/>
    <n v="3259"/>
    <x v="3"/>
  </r>
  <r>
    <x v="35"/>
    <s v="LUX"/>
    <x v="2"/>
    <s v="NY.GDP.PCAP.KD"/>
    <x v="30"/>
    <n v="105274"/>
    <x v="3"/>
  </r>
  <r>
    <x v="56"/>
    <s v="UZB"/>
    <x v="2"/>
    <s v="NY.GDP.PCAP.KD"/>
    <x v="31"/>
    <n v="3443"/>
    <x v="3"/>
  </r>
  <r>
    <x v="56"/>
    <s v="UZB"/>
    <x v="2"/>
    <s v="NY.GDP.PCAP.KD"/>
    <x v="32"/>
    <n v="3577"/>
    <x v="1"/>
  </r>
  <r>
    <x v="56"/>
    <s v="UZB"/>
    <x v="2"/>
    <s v="NY.GDP.PCAP.KD"/>
    <x v="33"/>
    <n v="3726"/>
    <x v="1"/>
  </r>
  <r>
    <x v="56"/>
    <s v="UZB"/>
    <x v="2"/>
    <s v="NY.GDP.PCAP.KD"/>
    <x v="54"/>
    <n v="3890"/>
    <x v="2"/>
  </r>
  <r>
    <x v="57"/>
    <s v="XKX"/>
    <x v="2"/>
    <s v="NY.GDP.PCAP.KD"/>
    <x v="18"/>
    <n v="2544"/>
    <x v="2"/>
  </r>
  <r>
    <x v="57"/>
    <s v="XKX"/>
    <x v="2"/>
    <s v="NY.GDP.PCAP.KD"/>
    <x v="19"/>
    <n v="2681"/>
    <x v="2"/>
  </r>
  <r>
    <x v="57"/>
    <s v="XKX"/>
    <x v="2"/>
    <s v="NY.GDP.PCAP.KD"/>
    <x v="20"/>
    <n v="2823"/>
    <x v="2"/>
  </r>
  <r>
    <x v="57"/>
    <s v="XKX"/>
    <x v="2"/>
    <s v="NY.GDP.PCAP.KD"/>
    <x v="21"/>
    <n v="2996"/>
    <x v="2"/>
  </r>
  <r>
    <x v="57"/>
    <s v="XKX"/>
    <x v="2"/>
    <s v="NY.GDP.PCAP.KD"/>
    <x v="22"/>
    <n v="3021"/>
    <x v="2"/>
  </r>
  <r>
    <x v="57"/>
    <s v="XKX"/>
    <x v="2"/>
    <s v="NY.GDP.PCAP.KD"/>
    <x v="23"/>
    <n v="3163"/>
    <x v="2"/>
  </r>
  <r>
    <x v="57"/>
    <s v="XKX"/>
    <x v="2"/>
    <s v="NY.GDP.PCAP.KD"/>
    <x v="24"/>
    <n v="3279"/>
    <x v="2"/>
  </r>
  <r>
    <x v="57"/>
    <s v="XKX"/>
    <x v="2"/>
    <s v="NY.GDP.PCAP.KD"/>
    <x v="25"/>
    <n v="3521"/>
    <x v="2"/>
  </r>
  <r>
    <x v="57"/>
    <s v="XKX"/>
    <x v="2"/>
    <s v="NY.GDP.PCAP.KD"/>
    <x v="26"/>
    <n v="3739"/>
    <x v="2"/>
  </r>
  <r>
    <x v="57"/>
    <s v="XKX"/>
    <x v="2"/>
    <s v="NY.GDP.PCAP.KD"/>
    <x v="27"/>
    <n v="3890"/>
    <x v="3"/>
  </r>
  <r>
    <x v="57"/>
    <s v="XKX"/>
    <x v="2"/>
    <s v="NY.GDP.PCAP.KD"/>
    <x v="28"/>
    <n v="4009"/>
    <x v="3"/>
  </r>
  <r>
    <x v="57"/>
    <s v="XKX"/>
    <x v="2"/>
    <s v="NY.GDP.PCAP.KD"/>
    <x v="29"/>
    <n v="4219"/>
    <x v="3"/>
  </r>
  <r>
    <x v="37"/>
    <s v="MCO"/>
    <x v="2"/>
    <s v="NY.GDP.PCAP.KD"/>
    <x v="30"/>
    <n v="161263"/>
    <x v="3"/>
  </r>
  <r>
    <x v="57"/>
    <s v="XKX"/>
    <x v="2"/>
    <s v="NY.GDP.PCAP.KD"/>
    <x v="31"/>
    <n v="4430"/>
    <x v="3"/>
  </r>
  <r>
    <x v="57"/>
    <s v="XKX"/>
    <x v="2"/>
    <s v="NY.GDP.PCAP.KD"/>
    <x v="32"/>
    <n v="4666"/>
    <x v="6"/>
  </r>
  <r>
    <x v="57"/>
    <s v="XKX"/>
    <x v="2"/>
    <s v="NY.GDP.PCAP.KD"/>
    <x v="33"/>
    <n v="5103"/>
    <x v="6"/>
  </r>
  <r>
    <x v="57"/>
    <s v="XKX"/>
    <x v="2"/>
    <s v="NY.GDP.PCAP.KD"/>
    <x v="54"/>
    <n v="5632"/>
    <x v="6"/>
  </r>
  <r>
    <x v="0"/>
    <s v="ALB"/>
    <x v="3"/>
    <s v="SP.DYN.LE00.IN"/>
    <x v="55"/>
    <n v="56"/>
    <x v="6"/>
  </r>
  <r>
    <x v="0"/>
    <s v="ALB"/>
    <x v="3"/>
    <s v="SP.DYN.LE00.IN"/>
    <x v="56"/>
    <n v="57"/>
    <x v="6"/>
  </r>
  <r>
    <x v="0"/>
    <s v="ALB"/>
    <x v="3"/>
    <s v="SP.DYN.LE00.IN"/>
    <x v="57"/>
    <n v="58"/>
    <x v="6"/>
  </r>
  <r>
    <x v="0"/>
    <s v="ALB"/>
    <x v="3"/>
    <s v="SP.DYN.LE00.IN"/>
    <x v="58"/>
    <n v="59"/>
    <x v="6"/>
  </r>
  <r>
    <x v="0"/>
    <s v="ALB"/>
    <x v="3"/>
    <s v="SP.DYN.LE00.IN"/>
    <x v="59"/>
    <n v="60"/>
    <x v="6"/>
  </r>
  <r>
    <x v="0"/>
    <s v="ALB"/>
    <x v="3"/>
    <s v="SP.DYN.LE00.IN"/>
    <x v="60"/>
    <n v="61"/>
    <x v="6"/>
  </r>
  <r>
    <x v="0"/>
    <s v="ALB"/>
    <x v="3"/>
    <s v="SP.DYN.LE00.IN"/>
    <x v="61"/>
    <n v="62"/>
    <x v="6"/>
  </r>
  <r>
    <x v="0"/>
    <s v="ALB"/>
    <x v="3"/>
    <s v="SP.DYN.LE00.IN"/>
    <x v="62"/>
    <n v="63"/>
    <x v="4"/>
  </r>
  <r>
    <x v="0"/>
    <s v="ALB"/>
    <x v="3"/>
    <s v="SP.DYN.LE00.IN"/>
    <x v="63"/>
    <n v="64"/>
    <x v="4"/>
  </r>
  <r>
    <x v="0"/>
    <s v="ALB"/>
    <x v="3"/>
    <s v="SP.DYN.LE00.IN"/>
    <x v="64"/>
    <n v="65"/>
    <x v="4"/>
  </r>
  <r>
    <x v="0"/>
    <s v="ALB"/>
    <x v="3"/>
    <s v="SP.DYN.LE00.IN"/>
    <x v="34"/>
    <n v="65"/>
    <x v="4"/>
  </r>
  <r>
    <x v="0"/>
    <s v="ALB"/>
    <x v="3"/>
    <s v="SP.DYN.LE00.IN"/>
    <x v="35"/>
    <n v="66"/>
    <x v="4"/>
  </r>
  <r>
    <x v="0"/>
    <s v="ALB"/>
    <x v="3"/>
    <s v="SP.DYN.LE00.IN"/>
    <x v="36"/>
    <n v="67"/>
    <x v="4"/>
  </r>
  <r>
    <x v="0"/>
    <s v="ALB"/>
    <x v="3"/>
    <s v="SP.DYN.LE00.IN"/>
    <x v="37"/>
    <n v="67"/>
    <x v="4"/>
  </r>
  <r>
    <x v="0"/>
    <s v="ALB"/>
    <x v="3"/>
    <s v="SP.DYN.LE00.IN"/>
    <x v="38"/>
    <n v="68"/>
    <x v="4"/>
  </r>
  <r>
    <x v="0"/>
    <s v="ALB"/>
    <x v="3"/>
    <s v="SP.DYN.LE00.IN"/>
    <x v="39"/>
    <n v="68"/>
    <x v="4"/>
  </r>
  <r>
    <x v="0"/>
    <s v="ALB"/>
    <x v="3"/>
    <s v="SP.DYN.LE00.IN"/>
    <x v="40"/>
    <n v="69"/>
    <x v="4"/>
  </r>
  <r>
    <x v="0"/>
    <s v="ALB"/>
    <x v="3"/>
    <s v="SP.DYN.LE00.IN"/>
    <x v="41"/>
    <n v="69"/>
    <x v="5"/>
  </r>
  <r>
    <x v="0"/>
    <s v="ALB"/>
    <x v="3"/>
    <s v="SP.DYN.LE00.IN"/>
    <x v="42"/>
    <n v="69"/>
    <x v="5"/>
  </r>
  <r>
    <x v="0"/>
    <s v="ALB"/>
    <x v="3"/>
    <s v="SP.DYN.LE00.IN"/>
    <x v="43"/>
    <n v="70"/>
    <x v="5"/>
  </r>
  <r>
    <x v="0"/>
    <s v="ALB"/>
    <x v="3"/>
    <s v="SP.DYN.LE00.IN"/>
    <x v="44"/>
    <n v="70"/>
    <x v="5"/>
  </r>
  <r>
    <x v="0"/>
    <s v="ALB"/>
    <x v="3"/>
    <s v="SP.DYN.LE00.IN"/>
    <x v="45"/>
    <n v="70"/>
    <x v="5"/>
  </r>
  <r>
    <x v="0"/>
    <s v="ALB"/>
    <x v="3"/>
    <s v="SP.DYN.LE00.IN"/>
    <x v="46"/>
    <n v="70"/>
    <x v="5"/>
  </r>
  <r>
    <x v="0"/>
    <s v="ALB"/>
    <x v="3"/>
    <s v="SP.DYN.LE00.IN"/>
    <x v="47"/>
    <n v="71"/>
    <x v="5"/>
  </r>
  <r>
    <x v="0"/>
    <s v="ALB"/>
    <x v="3"/>
    <s v="SP.DYN.LE00.IN"/>
    <x v="48"/>
    <n v="71"/>
    <x v="5"/>
  </r>
  <r>
    <x v="0"/>
    <s v="ALB"/>
    <x v="3"/>
    <s v="SP.DYN.LE00.IN"/>
    <x v="49"/>
    <n v="71"/>
    <x v="5"/>
  </r>
  <r>
    <x v="0"/>
    <s v="ALB"/>
    <x v="3"/>
    <s v="SP.DYN.LE00.IN"/>
    <x v="50"/>
    <n v="72"/>
    <x v="5"/>
  </r>
  <r>
    <x v="0"/>
    <s v="ALB"/>
    <x v="3"/>
    <s v="SP.DYN.LE00.IN"/>
    <x v="51"/>
    <n v="72"/>
    <x v="0"/>
  </r>
  <r>
    <x v="0"/>
    <s v="ALB"/>
    <x v="3"/>
    <s v="SP.DYN.LE00.IN"/>
    <x v="52"/>
    <n v="72"/>
    <x v="0"/>
  </r>
  <r>
    <x v="0"/>
    <s v="ALB"/>
    <x v="3"/>
    <s v="SP.DYN.LE00.IN"/>
    <x v="53"/>
    <n v="72"/>
    <x v="0"/>
  </r>
  <r>
    <x v="0"/>
    <s v="ALB"/>
    <x v="3"/>
    <s v="SP.DYN.LE00.IN"/>
    <x v="0"/>
    <n v="73"/>
    <x v="0"/>
  </r>
  <r>
    <x v="0"/>
    <s v="ALB"/>
    <x v="3"/>
    <s v="SP.DYN.LE00.IN"/>
    <x v="1"/>
    <n v="73"/>
    <x v="0"/>
  </r>
  <r>
    <x v="0"/>
    <s v="ALB"/>
    <x v="3"/>
    <s v="SP.DYN.LE00.IN"/>
    <x v="2"/>
    <n v="73"/>
    <x v="0"/>
  </r>
  <r>
    <x v="0"/>
    <s v="ALB"/>
    <x v="3"/>
    <s v="SP.DYN.LE00.IN"/>
    <x v="3"/>
    <n v="74"/>
    <x v="0"/>
  </r>
  <r>
    <x v="0"/>
    <s v="ALB"/>
    <x v="3"/>
    <s v="SP.DYN.LE00.IN"/>
    <x v="4"/>
    <n v="74"/>
    <x v="0"/>
  </r>
  <r>
    <x v="0"/>
    <s v="ALB"/>
    <x v="3"/>
    <s v="SP.DYN.LE00.IN"/>
    <x v="5"/>
    <n v="74"/>
    <x v="0"/>
  </r>
  <r>
    <x v="0"/>
    <s v="ALB"/>
    <x v="3"/>
    <s v="SP.DYN.LE00.IN"/>
    <x v="6"/>
    <n v="74"/>
    <x v="0"/>
  </r>
  <r>
    <x v="0"/>
    <s v="ALB"/>
    <x v="3"/>
    <s v="SP.DYN.LE00.IN"/>
    <x v="7"/>
    <n v="73"/>
    <x v="1"/>
  </r>
  <r>
    <x v="0"/>
    <s v="ALB"/>
    <x v="3"/>
    <s v="SP.DYN.LE00.IN"/>
    <x v="8"/>
    <n v="74"/>
    <x v="1"/>
  </r>
  <r>
    <x v="0"/>
    <s v="ALB"/>
    <x v="3"/>
    <s v="SP.DYN.LE00.IN"/>
    <x v="9"/>
    <n v="75"/>
    <x v="1"/>
  </r>
  <r>
    <x v="0"/>
    <s v="ALB"/>
    <x v="3"/>
    <s v="SP.DYN.LE00.IN"/>
    <x v="10"/>
    <n v="75"/>
    <x v="1"/>
  </r>
  <r>
    <x v="0"/>
    <s v="ALB"/>
    <x v="3"/>
    <s v="SP.DYN.LE00.IN"/>
    <x v="11"/>
    <n v="75"/>
    <x v="1"/>
  </r>
  <r>
    <x v="0"/>
    <s v="ALB"/>
    <x v="3"/>
    <s v="SP.DYN.LE00.IN"/>
    <x v="12"/>
    <n v="75"/>
    <x v="1"/>
  </r>
  <r>
    <x v="0"/>
    <s v="ALB"/>
    <x v="3"/>
    <s v="SP.DYN.LE00.IN"/>
    <x v="13"/>
    <n v="76"/>
    <x v="1"/>
  </r>
  <r>
    <x v="0"/>
    <s v="ALB"/>
    <x v="3"/>
    <s v="SP.DYN.LE00.IN"/>
    <x v="14"/>
    <n v="76"/>
    <x v="1"/>
  </r>
  <r>
    <x v="0"/>
    <s v="ALB"/>
    <x v="3"/>
    <s v="SP.DYN.LE00.IN"/>
    <x v="15"/>
    <n v="76"/>
    <x v="1"/>
  </r>
  <r>
    <x v="0"/>
    <s v="ALB"/>
    <x v="3"/>
    <s v="SP.DYN.LE00.IN"/>
    <x v="16"/>
    <n v="77"/>
    <x v="1"/>
  </r>
  <r>
    <x v="0"/>
    <s v="ALB"/>
    <x v="3"/>
    <s v="SP.DYN.LE00.IN"/>
    <x v="17"/>
    <n v="78"/>
    <x v="2"/>
  </r>
  <r>
    <x v="0"/>
    <s v="ALB"/>
    <x v="3"/>
    <s v="SP.DYN.LE00.IN"/>
    <x v="18"/>
    <n v="78"/>
    <x v="2"/>
  </r>
  <r>
    <x v="0"/>
    <s v="ALB"/>
    <x v="3"/>
    <s v="SP.DYN.LE00.IN"/>
    <x v="19"/>
    <n v="79"/>
    <x v="2"/>
  </r>
  <r>
    <x v="0"/>
    <s v="ALB"/>
    <x v="3"/>
    <s v="SP.DYN.LE00.IN"/>
    <x v="20"/>
    <n v="78"/>
    <x v="2"/>
  </r>
  <r>
    <x v="0"/>
    <s v="ALB"/>
    <x v="3"/>
    <s v="SP.DYN.LE00.IN"/>
    <x v="21"/>
    <n v="78"/>
    <x v="2"/>
  </r>
  <r>
    <x v="0"/>
    <s v="ALB"/>
    <x v="3"/>
    <s v="SP.DYN.LE00.IN"/>
    <x v="22"/>
    <n v="78"/>
    <x v="2"/>
  </r>
  <r>
    <x v="0"/>
    <s v="ALB"/>
    <x v="3"/>
    <s v="SP.DYN.LE00.IN"/>
    <x v="23"/>
    <n v="78"/>
    <x v="2"/>
  </r>
  <r>
    <x v="0"/>
    <s v="ALB"/>
    <x v="3"/>
    <s v="SP.DYN.LE00.IN"/>
    <x v="24"/>
    <n v="78"/>
    <x v="2"/>
  </r>
  <r>
    <x v="0"/>
    <s v="ALB"/>
    <x v="3"/>
    <s v="SP.DYN.LE00.IN"/>
    <x v="25"/>
    <n v="78"/>
    <x v="2"/>
  </r>
  <r>
    <x v="0"/>
    <s v="ALB"/>
    <x v="3"/>
    <s v="SP.DYN.LE00.IN"/>
    <x v="26"/>
    <n v="79"/>
    <x v="2"/>
  </r>
  <r>
    <x v="0"/>
    <s v="ALB"/>
    <x v="3"/>
    <s v="SP.DYN.LE00.IN"/>
    <x v="27"/>
    <n v="79"/>
    <x v="3"/>
  </r>
  <r>
    <x v="0"/>
    <s v="ALB"/>
    <x v="3"/>
    <s v="SP.DYN.LE00.IN"/>
    <x v="28"/>
    <n v="79"/>
    <x v="3"/>
  </r>
  <r>
    <x v="0"/>
    <s v="ALB"/>
    <x v="3"/>
    <s v="SP.DYN.LE00.IN"/>
    <x v="29"/>
    <n v="79"/>
    <x v="3"/>
  </r>
  <r>
    <x v="0"/>
    <s v="ALB"/>
    <x v="3"/>
    <s v="SP.DYN.LE00.IN"/>
    <x v="30"/>
    <n v="78"/>
    <x v="3"/>
  </r>
  <r>
    <x v="0"/>
    <s v="ALB"/>
    <x v="3"/>
    <s v="SP.DYN.LE00.IN"/>
    <x v="31"/>
    <n v="77"/>
    <x v="6"/>
  </r>
  <r>
    <x v="0"/>
    <s v="ALB"/>
    <x v="3"/>
    <s v="SP.DYN.LE00.IN"/>
    <x v="32"/>
    <n v="79"/>
    <x v="6"/>
  </r>
  <r>
    <x v="0"/>
    <s v="ALB"/>
    <x v="3"/>
    <s v="SP.DYN.LE00.IN"/>
    <x v="33"/>
    <n v="80"/>
    <x v="6"/>
  </r>
  <r>
    <x v="1"/>
    <s v="AND"/>
    <x v="3"/>
    <s v="SP.DYN.LE00.IN"/>
    <x v="55"/>
    <n v="72"/>
    <x v="6"/>
  </r>
  <r>
    <x v="1"/>
    <s v="AND"/>
    <x v="3"/>
    <s v="SP.DYN.LE00.IN"/>
    <x v="56"/>
    <n v="73"/>
    <x v="6"/>
  </r>
  <r>
    <x v="1"/>
    <s v="AND"/>
    <x v="3"/>
    <s v="SP.DYN.LE00.IN"/>
    <x v="57"/>
    <n v="73"/>
    <x v="6"/>
  </r>
  <r>
    <x v="1"/>
    <s v="AND"/>
    <x v="3"/>
    <s v="SP.DYN.LE00.IN"/>
    <x v="58"/>
    <n v="73"/>
    <x v="6"/>
  </r>
  <r>
    <x v="1"/>
    <s v="AND"/>
    <x v="3"/>
    <s v="SP.DYN.LE00.IN"/>
    <x v="59"/>
    <n v="74"/>
    <x v="6"/>
  </r>
  <r>
    <x v="1"/>
    <s v="AND"/>
    <x v="3"/>
    <s v="SP.DYN.LE00.IN"/>
    <x v="60"/>
    <n v="74"/>
    <x v="6"/>
  </r>
  <r>
    <x v="1"/>
    <s v="AND"/>
    <x v="3"/>
    <s v="SP.DYN.LE00.IN"/>
    <x v="61"/>
    <n v="74"/>
    <x v="6"/>
  </r>
  <r>
    <x v="1"/>
    <s v="AND"/>
    <x v="3"/>
    <s v="SP.DYN.LE00.IN"/>
    <x v="62"/>
    <n v="74"/>
    <x v="4"/>
  </r>
  <r>
    <x v="1"/>
    <s v="AND"/>
    <x v="3"/>
    <s v="SP.DYN.LE00.IN"/>
    <x v="63"/>
    <n v="74"/>
    <x v="4"/>
  </r>
  <r>
    <x v="1"/>
    <s v="AND"/>
    <x v="3"/>
    <s v="SP.DYN.LE00.IN"/>
    <x v="64"/>
    <n v="74"/>
    <x v="4"/>
  </r>
  <r>
    <x v="1"/>
    <s v="AND"/>
    <x v="3"/>
    <s v="SP.DYN.LE00.IN"/>
    <x v="34"/>
    <n v="74"/>
    <x v="4"/>
  </r>
  <r>
    <x v="1"/>
    <s v="AND"/>
    <x v="3"/>
    <s v="SP.DYN.LE00.IN"/>
    <x v="35"/>
    <n v="75"/>
    <x v="4"/>
  </r>
  <r>
    <x v="1"/>
    <s v="AND"/>
    <x v="3"/>
    <s v="SP.DYN.LE00.IN"/>
    <x v="36"/>
    <n v="75"/>
    <x v="4"/>
  </r>
  <r>
    <x v="1"/>
    <s v="AND"/>
    <x v="3"/>
    <s v="SP.DYN.LE00.IN"/>
    <x v="37"/>
    <n v="75"/>
    <x v="4"/>
  </r>
  <r>
    <x v="1"/>
    <s v="AND"/>
    <x v="3"/>
    <s v="SP.DYN.LE00.IN"/>
    <x v="38"/>
    <n v="75"/>
    <x v="4"/>
  </r>
  <r>
    <x v="1"/>
    <s v="AND"/>
    <x v="3"/>
    <s v="SP.DYN.LE00.IN"/>
    <x v="39"/>
    <n v="76"/>
    <x v="4"/>
  </r>
  <r>
    <x v="1"/>
    <s v="AND"/>
    <x v="3"/>
    <s v="SP.DYN.LE00.IN"/>
    <x v="40"/>
    <n v="76"/>
    <x v="4"/>
  </r>
  <r>
    <x v="1"/>
    <s v="AND"/>
    <x v="3"/>
    <s v="SP.DYN.LE00.IN"/>
    <x v="41"/>
    <n v="76"/>
    <x v="5"/>
  </r>
  <r>
    <x v="1"/>
    <s v="AND"/>
    <x v="3"/>
    <s v="SP.DYN.LE00.IN"/>
    <x v="42"/>
    <n v="76"/>
    <x v="5"/>
  </r>
  <r>
    <x v="1"/>
    <s v="AND"/>
    <x v="3"/>
    <s v="SP.DYN.LE00.IN"/>
    <x v="43"/>
    <n v="77"/>
    <x v="5"/>
  </r>
  <r>
    <x v="1"/>
    <s v="AND"/>
    <x v="3"/>
    <s v="SP.DYN.LE00.IN"/>
    <x v="44"/>
    <n v="77"/>
    <x v="5"/>
  </r>
  <r>
    <x v="1"/>
    <s v="AND"/>
    <x v="3"/>
    <s v="SP.DYN.LE00.IN"/>
    <x v="45"/>
    <n v="77"/>
    <x v="5"/>
  </r>
  <r>
    <x v="1"/>
    <s v="AND"/>
    <x v="3"/>
    <s v="SP.DYN.LE00.IN"/>
    <x v="46"/>
    <n v="78"/>
    <x v="5"/>
  </r>
  <r>
    <x v="1"/>
    <s v="AND"/>
    <x v="3"/>
    <s v="SP.DYN.LE00.IN"/>
    <x v="47"/>
    <n v="78"/>
    <x v="5"/>
  </r>
  <r>
    <x v="1"/>
    <s v="AND"/>
    <x v="3"/>
    <s v="SP.DYN.LE00.IN"/>
    <x v="48"/>
    <n v="78"/>
    <x v="5"/>
  </r>
  <r>
    <x v="1"/>
    <s v="AND"/>
    <x v="3"/>
    <s v="SP.DYN.LE00.IN"/>
    <x v="49"/>
    <n v="78"/>
    <x v="5"/>
  </r>
  <r>
    <x v="1"/>
    <s v="AND"/>
    <x v="3"/>
    <s v="SP.DYN.LE00.IN"/>
    <x v="50"/>
    <n v="78"/>
    <x v="5"/>
  </r>
  <r>
    <x v="1"/>
    <s v="AND"/>
    <x v="3"/>
    <s v="SP.DYN.LE00.IN"/>
    <x v="51"/>
    <n v="78"/>
    <x v="0"/>
  </r>
  <r>
    <x v="1"/>
    <s v="AND"/>
    <x v="3"/>
    <s v="SP.DYN.LE00.IN"/>
    <x v="52"/>
    <n v="78"/>
    <x v="0"/>
  </r>
  <r>
    <x v="1"/>
    <s v="AND"/>
    <x v="3"/>
    <s v="SP.DYN.LE00.IN"/>
    <x v="53"/>
    <n v="79"/>
    <x v="0"/>
  </r>
  <r>
    <x v="1"/>
    <s v="AND"/>
    <x v="3"/>
    <s v="SP.DYN.LE00.IN"/>
    <x v="0"/>
    <n v="79"/>
    <x v="0"/>
  </r>
  <r>
    <x v="1"/>
    <s v="AND"/>
    <x v="3"/>
    <s v="SP.DYN.LE00.IN"/>
    <x v="1"/>
    <n v="79"/>
    <x v="0"/>
  </r>
  <r>
    <x v="1"/>
    <s v="AND"/>
    <x v="3"/>
    <s v="SP.DYN.LE00.IN"/>
    <x v="2"/>
    <n v="80"/>
    <x v="0"/>
  </r>
  <r>
    <x v="1"/>
    <s v="AND"/>
    <x v="3"/>
    <s v="SP.DYN.LE00.IN"/>
    <x v="3"/>
    <n v="80"/>
    <x v="0"/>
  </r>
  <r>
    <x v="1"/>
    <s v="AND"/>
    <x v="3"/>
    <s v="SP.DYN.LE00.IN"/>
    <x v="4"/>
    <n v="81"/>
    <x v="0"/>
  </r>
  <r>
    <x v="1"/>
    <s v="AND"/>
    <x v="3"/>
    <s v="SP.DYN.LE00.IN"/>
    <x v="5"/>
    <n v="81"/>
    <x v="0"/>
  </r>
  <r>
    <x v="1"/>
    <s v="AND"/>
    <x v="3"/>
    <s v="SP.DYN.LE00.IN"/>
    <x v="6"/>
    <n v="81"/>
    <x v="0"/>
  </r>
  <r>
    <x v="1"/>
    <s v="AND"/>
    <x v="3"/>
    <s v="SP.DYN.LE00.IN"/>
    <x v="7"/>
    <n v="81"/>
    <x v="1"/>
  </r>
  <r>
    <x v="1"/>
    <s v="AND"/>
    <x v="3"/>
    <s v="SP.DYN.LE00.IN"/>
    <x v="8"/>
    <n v="81"/>
    <x v="1"/>
  </r>
  <r>
    <x v="1"/>
    <s v="AND"/>
    <x v="3"/>
    <s v="SP.DYN.LE00.IN"/>
    <x v="9"/>
    <n v="82"/>
    <x v="1"/>
  </r>
  <r>
    <x v="1"/>
    <s v="AND"/>
    <x v="3"/>
    <s v="SP.DYN.LE00.IN"/>
    <x v="10"/>
    <n v="82"/>
    <x v="1"/>
  </r>
  <r>
    <x v="1"/>
    <s v="AND"/>
    <x v="3"/>
    <s v="SP.DYN.LE00.IN"/>
    <x v="11"/>
    <n v="82"/>
    <x v="1"/>
  </r>
  <r>
    <x v="1"/>
    <s v="AND"/>
    <x v="3"/>
    <s v="SP.DYN.LE00.IN"/>
    <x v="12"/>
    <n v="82"/>
    <x v="1"/>
  </r>
  <r>
    <x v="1"/>
    <s v="AND"/>
    <x v="3"/>
    <s v="SP.DYN.LE00.IN"/>
    <x v="13"/>
    <n v="83"/>
    <x v="1"/>
  </r>
  <r>
    <x v="1"/>
    <s v="AND"/>
    <x v="3"/>
    <s v="SP.DYN.LE00.IN"/>
    <x v="14"/>
    <n v="83"/>
    <x v="1"/>
  </r>
  <r>
    <x v="1"/>
    <s v="AND"/>
    <x v="3"/>
    <s v="SP.DYN.LE00.IN"/>
    <x v="15"/>
    <n v="83"/>
    <x v="1"/>
  </r>
  <r>
    <x v="1"/>
    <s v="AND"/>
    <x v="3"/>
    <s v="SP.DYN.LE00.IN"/>
    <x v="16"/>
    <n v="83"/>
    <x v="1"/>
  </r>
  <r>
    <x v="1"/>
    <s v="AND"/>
    <x v="3"/>
    <s v="SP.DYN.LE00.IN"/>
    <x v="17"/>
    <n v="84"/>
    <x v="2"/>
  </r>
  <r>
    <x v="1"/>
    <s v="AND"/>
    <x v="3"/>
    <s v="SP.DYN.LE00.IN"/>
    <x v="18"/>
    <n v="84"/>
    <x v="2"/>
  </r>
  <r>
    <x v="1"/>
    <s v="AND"/>
    <x v="3"/>
    <s v="SP.DYN.LE00.IN"/>
    <x v="19"/>
    <n v="84"/>
    <x v="2"/>
  </r>
  <r>
    <x v="1"/>
    <s v="AND"/>
    <x v="3"/>
    <s v="SP.DYN.LE00.IN"/>
    <x v="20"/>
    <n v="84"/>
    <x v="2"/>
  </r>
  <r>
    <x v="1"/>
    <s v="AND"/>
    <x v="3"/>
    <s v="SP.DYN.LE00.IN"/>
    <x v="21"/>
    <n v="84"/>
    <x v="2"/>
  </r>
  <r>
    <x v="1"/>
    <s v="AND"/>
    <x v="3"/>
    <s v="SP.DYN.LE00.IN"/>
    <x v="22"/>
    <n v="84"/>
    <x v="2"/>
  </r>
  <r>
    <x v="1"/>
    <s v="AND"/>
    <x v="3"/>
    <s v="SP.DYN.LE00.IN"/>
    <x v="23"/>
    <n v="84"/>
    <x v="2"/>
  </r>
  <r>
    <x v="1"/>
    <s v="AND"/>
    <x v="3"/>
    <s v="SP.DYN.LE00.IN"/>
    <x v="24"/>
    <n v="84"/>
    <x v="2"/>
  </r>
  <r>
    <x v="1"/>
    <s v="AND"/>
    <x v="3"/>
    <s v="SP.DYN.LE00.IN"/>
    <x v="25"/>
    <n v="85"/>
    <x v="2"/>
  </r>
  <r>
    <x v="1"/>
    <s v="AND"/>
    <x v="3"/>
    <s v="SP.DYN.LE00.IN"/>
    <x v="26"/>
    <n v="84"/>
    <x v="2"/>
  </r>
  <r>
    <x v="1"/>
    <s v="AND"/>
    <x v="3"/>
    <s v="SP.DYN.LE00.IN"/>
    <x v="27"/>
    <n v="84"/>
    <x v="3"/>
  </r>
  <r>
    <x v="1"/>
    <s v="AND"/>
    <x v="3"/>
    <s v="SP.DYN.LE00.IN"/>
    <x v="28"/>
    <n v="84"/>
    <x v="3"/>
  </r>
  <r>
    <x v="1"/>
    <s v="AND"/>
    <x v="3"/>
    <s v="SP.DYN.LE00.IN"/>
    <x v="29"/>
    <n v="84"/>
    <x v="3"/>
  </r>
  <r>
    <x v="1"/>
    <s v="AND"/>
    <x v="3"/>
    <s v="SP.DYN.LE00.IN"/>
    <x v="30"/>
    <n v="79"/>
    <x v="3"/>
  </r>
  <r>
    <x v="1"/>
    <s v="AND"/>
    <x v="3"/>
    <s v="SP.DYN.LE00.IN"/>
    <x v="31"/>
    <n v="82"/>
    <x v="6"/>
  </r>
  <r>
    <x v="1"/>
    <s v="AND"/>
    <x v="3"/>
    <s v="SP.DYN.LE00.IN"/>
    <x v="32"/>
    <n v="84"/>
    <x v="6"/>
  </r>
  <r>
    <x v="1"/>
    <s v="AND"/>
    <x v="3"/>
    <s v="SP.DYN.LE00.IN"/>
    <x v="33"/>
    <n v="84"/>
    <x v="6"/>
  </r>
  <r>
    <x v="2"/>
    <s v="ARM"/>
    <x v="3"/>
    <s v="SP.DYN.LE00.IN"/>
    <x v="55"/>
    <n v="59"/>
    <x v="6"/>
  </r>
  <r>
    <x v="2"/>
    <s v="ARM"/>
    <x v="3"/>
    <s v="SP.DYN.LE00.IN"/>
    <x v="56"/>
    <n v="59"/>
    <x v="6"/>
  </r>
  <r>
    <x v="2"/>
    <s v="ARM"/>
    <x v="3"/>
    <s v="SP.DYN.LE00.IN"/>
    <x v="57"/>
    <n v="60"/>
    <x v="6"/>
  </r>
  <r>
    <x v="2"/>
    <s v="ARM"/>
    <x v="3"/>
    <s v="SP.DYN.LE00.IN"/>
    <x v="58"/>
    <n v="60"/>
    <x v="6"/>
  </r>
  <r>
    <x v="2"/>
    <s v="ARM"/>
    <x v="3"/>
    <s v="SP.DYN.LE00.IN"/>
    <x v="59"/>
    <n v="61"/>
    <x v="6"/>
  </r>
  <r>
    <x v="2"/>
    <s v="ARM"/>
    <x v="3"/>
    <s v="SP.DYN.LE00.IN"/>
    <x v="60"/>
    <n v="61"/>
    <x v="6"/>
  </r>
  <r>
    <x v="2"/>
    <s v="ARM"/>
    <x v="3"/>
    <s v="SP.DYN.LE00.IN"/>
    <x v="61"/>
    <n v="61"/>
    <x v="6"/>
  </r>
  <r>
    <x v="2"/>
    <s v="ARM"/>
    <x v="3"/>
    <s v="SP.DYN.LE00.IN"/>
    <x v="62"/>
    <n v="62"/>
    <x v="4"/>
  </r>
  <r>
    <x v="2"/>
    <s v="ARM"/>
    <x v="3"/>
    <s v="SP.DYN.LE00.IN"/>
    <x v="63"/>
    <n v="62"/>
    <x v="4"/>
  </r>
  <r>
    <x v="2"/>
    <s v="ARM"/>
    <x v="3"/>
    <s v="SP.DYN.LE00.IN"/>
    <x v="64"/>
    <n v="62"/>
    <x v="4"/>
  </r>
  <r>
    <x v="2"/>
    <s v="ARM"/>
    <x v="3"/>
    <s v="SP.DYN.LE00.IN"/>
    <x v="34"/>
    <n v="63"/>
    <x v="4"/>
  </r>
  <r>
    <x v="2"/>
    <s v="ARM"/>
    <x v="3"/>
    <s v="SP.DYN.LE00.IN"/>
    <x v="35"/>
    <n v="63"/>
    <x v="4"/>
  </r>
  <r>
    <x v="2"/>
    <s v="ARM"/>
    <x v="3"/>
    <s v="SP.DYN.LE00.IN"/>
    <x v="36"/>
    <n v="63"/>
    <x v="4"/>
  </r>
  <r>
    <x v="2"/>
    <s v="ARM"/>
    <x v="3"/>
    <s v="SP.DYN.LE00.IN"/>
    <x v="37"/>
    <n v="63"/>
    <x v="4"/>
  </r>
  <r>
    <x v="2"/>
    <s v="ARM"/>
    <x v="3"/>
    <s v="SP.DYN.LE00.IN"/>
    <x v="38"/>
    <n v="64"/>
    <x v="4"/>
  </r>
  <r>
    <x v="2"/>
    <s v="ARM"/>
    <x v="3"/>
    <s v="SP.DYN.LE00.IN"/>
    <x v="39"/>
    <n v="64"/>
    <x v="4"/>
  </r>
  <r>
    <x v="2"/>
    <s v="ARM"/>
    <x v="3"/>
    <s v="SP.DYN.LE00.IN"/>
    <x v="40"/>
    <n v="64"/>
    <x v="4"/>
  </r>
  <r>
    <x v="2"/>
    <s v="ARM"/>
    <x v="3"/>
    <s v="SP.DYN.LE00.IN"/>
    <x v="41"/>
    <n v="64"/>
    <x v="5"/>
  </r>
  <r>
    <x v="2"/>
    <s v="ARM"/>
    <x v="3"/>
    <s v="SP.DYN.LE00.IN"/>
    <x v="42"/>
    <n v="65"/>
    <x v="5"/>
  </r>
  <r>
    <x v="2"/>
    <s v="ARM"/>
    <x v="3"/>
    <s v="SP.DYN.LE00.IN"/>
    <x v="43"/>
    <n v="65"/>
    <x v="5"/>
  </r>
  <r>
    <x v="2"/>
    <s v="ARM"/>
    <x v="3"/>
    <s v="SP.DYN.LE00.IN"/>
    <x v="44"/>
    <n v="65"/>
    <x v="5"/>
  </r>
  <r>
    <x v="2"/>
    <s v="ARM"/>
    <x v="3"/>
    <s v="SP.DYN.LE00.IN"/>
    <x v="45"/>
    <n v="65"/>
    <x v="5"/>
  </r>
  <r>
    <x v="2"/>
    <s v="ARM"/>
    <x v="3"/>
    <s v="SP.DYN.LE00.IN"/>
    <x v="46"/>
    <n v="66"/>
    <x v="5"/>
  </r>
  <r>
    <x v="2"/>
    <s v="ARM"/>
    <x v="3"/>
    <s v="SP.DYN.LE00.IN"/>
    <x v="47"/>
    <n v="66"/>
    <x v="5"/>
  </r>
  <r>
    <x v="2"/>
    <s v="ARM"/>
    <x v="3"/>
    <s v="SP.DYN.LE00.IN"/>
    <x v="48"/>
    <n v="67"/>
    <x v="5"/>
  </r>
  <r>
    <x v="2"/>
    <s v="ARM"/>
    <x v="3"/>
    <s v="SP.DYN.LE00.IN"/>
    <x v="49"/>
    <n v="67"/>
    <x v="5"/>
  </r>
  <r>
    <x v="2"/>
    <s v="ARM"/>
    <x v="3"/>
    <s v="SP.DYN.LE00.IN"/>
    <x v="50"/>
    <n v="67"/>
    <x v="5"/>
  </r>
  <r>
    <x v="2"/>
    <s v="ARM"/>
    <x v="3"/>
    <s v="SP.DYN.LE00.IN"/>
    <x v="51"/>
    <n v="67"/>
    <x v="0"/>
  </r>
  <r>
    <x v="2"/>
    <s v="ARM"/>
    <x v="3"/>
    <s v="SP.DYN.LE00.IN"/>
    <x v="52"/>
    <n v="53"/>
    <x v="0"/>
  </r>
  <r>
    <x v="2"/>
    <s v="ARM"/>
    <x v="3"/>
    <s v="SP.DYN.LE00.IN"/>
    <x v="53"/>
    <n v="68"/>
    <x v="0"/>
  </r>
  <r>
    <x v="2"/>
    <s v="ARM"/>
    <x v="3"/>
    <s v="SP.DYN.LE00.IN"/>
    <x v="0"/>
    <n v="68"/>
    <x v="0"/>
  </r>
  <r>
    <x v="2"/>
    <s v="ARM"/>
    <x v="3"/>
    <s v="SP.DYN.LE00.IN"/>
    <x v="1"/>
    <n v="68"/>
    <x v="0"/>
  </r>
  <r>
    <x v="2"/>
    <s v="ARM"/>
    <x v="3"/>
    <s v="SP.DYN.LE00.IN"/>
    <x v="2"/>
    <n v="68"/>
    <x v="0"/>
  </r>
  <r>
    <x v="2"/>
    <s v="ARM"/>
    <x v="3"/>
    <s v="SP.DYN.LE00.IN"/>
    <x v="3"/>
    <n v="68"/>
    <x v="0"/>
  </r>
  <r>
    <x v="2"/>
    <s v="ARM"/>
    <x v="3"/>
    <s v="SP.DYN.LE00.IN"/>
    <x v="4"/>
    <n v="68"/>
    <x v="0"/>
  </r>
  <r>
    <x v="2"/>
    <s v="ARM"/>
    <x v="3"/>
    <s v="SP.DYN.LE00.IN"/>
    <x v="5"/>
    <n v="69"/>
    <x v="0"/>
  </r>
  <r>
    <x v="2"/>
    <s v="ARM"/>
    <x v="3"/>
    <s v="SP.DYN.LE00.IN"/>
    <x v="6"/>
    <n v="69"/>
    <x v="0"/>
  </r>
  <r>
    <x v="2"/>
    <s v="ARM"/>
    <x v="3"/>
    <s v="SP.DYN.LE00.IN"/>
    <x v="7"/>
    <n v="69"/>
    <x v="1"/>
  </r>
  <r>
    <x v="2"/>
    <s v="ARM"/>
    <x v="3"/>
    <s v="SP.DYN.LE00.IN"/>
    <x v="8"/>
    <n v="70"/>
    <x v="1"/>
  </r>
  <r>
    <x v="2"/>
    <s v="ARM"/>
    <x v="3"/>
    <s v="SP.DYN.LE00.IN"/>
    <x v="9"/>
    <n v="70"/>
    <x v="1"/>
  </r>
  <r>
    <x v="2"/>
    <s v="ARM"/>
    <x v="3"/>
    <s v="SP.DYN.LE00.IN"/>
    <x v="10"/>
    <n v="73"/>
    <x v="1"/>
  </r>
  <r>
    <x v="2"/>
    <s v="ARM"/>
    <x v="3"/>
    <s v="SP.DYN.LE00.IN"/>
    <x v="11"/>
    <n v="73"/>
    <x v="1"/>
  </r>
  <r>
    <x v="2"/>
    <s v="ARM"/>
    <x v="3"/>
    <s v="SP.DYN.LE00.IN"/>
    <x v="12"/>
    <n v="73"/>
    <x v="1"/>
  </r>
  <r>
    <x v="2"/>
    <s v="ARM"/>
    <x v="3"/>
    <s v="SP.DYN.LE00.IN"/>
    <x v="13"/>
    <n v="73"/>
    <x v="1"/>
  </r>
  <r>
    <x v="2"/>
    <s v="ARM"/>
    <x v="3"/>
    <s v="SP.DYN.LE00.IN"/>
    <x v="14"/>
    <n v="73"/>
    <x v="1"/>
  </r>
  <r>
    <x v="2"/>
    <s v="ARM"/>
    <x v="3"/>
    <s v="SP.DYN.LE00.IN"/>
    <x v="15"/>
    <n v="73"/>
    <x v="1"/>
  </r>
  <r>
    <x v="2"/>
    <s v="ARM"/>
    <x v="3"/>
    <s v="SP.DYN.LE00.IN"/>
    <x v="16"/>
    <n v="73"/>
    <x v="1"/>
  </r>
  <r>
    <x v="2"/>
    <s v="ARM"/>
    <x v="3"/>
    <s v="SP.DYN.LE00.IN"/>
    <x v="17"/>
    <n v="73"/>
    <x v="2"/>
  </r>
  <r>
    <x v="2"/>
    <s v="ARM"/>
    <x v="3"/>
    <s v="SP.DYN.LE00.IN"/>
    <x v="18"/>
    <n v="73"/>
    <x v="2"/>
  </r>
  <r>
    <x v="2"/>
    <s v="ARM"/>
    <x v="3"/>
    <s v="SP.DYN.LE00.IN"/>
    <x v="19"/>
    <n v="73"/>
    <x v="2"/>
  </r>
  <r>
    <x v="2"/>
    <s v="ARM"/>
    <x v="3"/>
    <s v="SP.DYN.LE00.IN"/>
    <x v="20"/>
    <n v="73"/>
    <x v="2"/>
  </r>
  <r>
    <x v="2"/>
    <s v="ARM"/>
    <x v="3"/>
    <s v="SP.DYN.LE00.IN"/>
    <x v="21"/>
    <n v="74"/>
    <x v="2"/>
  </r>
  <r>
    <x v="2"/>
    <s v="ARM"/>
    <x v="3"/>
    <s v="SP.DYN.LE00.IN"/>
    <x v="22"/>
    <n v="74"/>
    <x v="2"/>
  </r>
  <r>
    <x v="2"/>
    <s v="ARM"/>
    <x v="3"/>
    <s v="SP.DYN.LE00.IN"/>
    <x v="23"/>
    <n v="75"/>
    <x v="2"/>
  </r>
  <r>
    <x v="2"/>
    <s v="ARM"/>
    <x v="3"/>
    <s v="SP.DYN.LE00.IN"/>
    <x v="24"/>
    <n v="75"/>
    <x v="2"/>
  </r>
  <r>
    <x v="2"/>
    <s v="ARM"/>
    <x v="3"/>
    <s v="SP.DYN.LE00.IN"/>
    <x v="25"/>
    <n v="75"/>
    <x v="2"/>
  </r>
  <r>
    <x v="2"/>
    <s v="ARM"/>
    <x v="3"/>
    <s v="SP.DYN.LE00.IN"/>
    <x v="26"/>
    <n v="75"/>
    <x v="2"/>
  </r>
  <r>
    <x v="2"/>
    <s v="ARM"/>
    <x v="3"/>
    <s v="SP.DYN.LE00.IN"/>
    <x v="27"/>
    <n v="75"/>
    <x v="3"/>
  </r>
  <r>
    <x v="2"/>
    <s v="ARM"/>
    <x v="3"/>
    <s v="SP.DYN.LE00.IN"/>
    <x v="28"/>
    <n v="76"/>
    <x v="3"/>
  </r>
  <r>
    <x v="2"/>
    <s v="ARM"/>
    <x v="3"/>
    <s v="SP.DYN.LE00.IN"/>
    <x v="29"/>
    <n v="76"/>
    <x v="3"/>
  </r>
  <r>
    <x v="2"/>
    <s v="ARM"/>
    <x v="3"/>
    <s v="SP.DYN.LE00.IN"/>
    <x v="30"/>
    <n v="73"/>
    <x v="3"/>
  </r>
  <r>
    <x v="2"/>
    <s v="ARM"/>
    <x v="3"/>
    <s v="SP.DYN.LE00.IN"/>
    <x v="31"/>
    <n v="72"/>
    <x v="6"/>
  </r>
  <r>
    <x v="2"/>
    <s v="ARM"/>
    <x v="3"/>
    <s v="SP.DYN.LE00.IN"/>
    <x v="32"/>
    <n v="75"/>
    <x v="6"/>
  </r>
  <r>
    <x v="2"/>
    <s v="ARM"/>
    <x v="3"/>
    <s v="SP.DYN.LE00.IN"/>
    <x v="33"/>
    <n v="77"/>
    <x v="6"/>
  </r>
  <r>
    <x v="3"/>
    <s v="AUT"/>
    <x v="3"/>
    <s v="SP.DYN.LE00.IN"/>
    <x v="55"/>
    <n v="69"/>
    <x v="6"/>
  </r>
  <r>
    <x v="3"/>
    <s v="AUT"/>
    <x v="3"/>
    <s v="SP.DYN.LE00.IN"/>
    <x v="56"/>
    <n v="70"/>
    <x v="6"/>
  </r>
  <r>
    <x v="3"/>
    <s v="AUT"/>
    <x v="3"/>
    <s v="SP.DYN.LE00.IN"/>
    <x v="57"/>
    <n v="69"/>
    <x v="6"/>
  </r>
  <r>
    <x v="3"/>
    <s v="AUT"/>
    <x v="3"/>
    <s v="SP.DYN.LE00.IN"/>
    <x v="58"/>
    <n v="69"/>
    <x v="6"/>
  </r>
  <r>
    <x v="3"/>
    <s v="AUT"/>
    <x v="3"/>
    <s v="SP.DYN.LE00.IN"/>
    <x v="59"/>
    <n v="70"/>
    <x v="6"/>
  </r>
  <r>
    <x v="3"/>
    <s v="AUT"/>
    <x v="3"/>
    <s v="SP.DYN.LE00.IN"/>
    <x v="60"/>
    <n v="70"/>
    <x v="6"/>
  </r>
  <r>
    <x v="3"/>
    <s v="AUT"/>
    <x v="3"/>
    <s v="SP.DYN.LE00.IN"/>
    <x v="61"/>
    <n v="70"/>
    <x v="6"/>
  </r>
  <r>
    <x v="3"/>
    <s v="AUT"/>
    <x v="3"/>
    <s v="SP.DYN.LE00.IN"/>
    <x v="62"/>
    <n v="70"/>
    <x v="4"/>
  </r>
  <r>
    <x v="3"/>
    <s v="AUT"/>
    <x v="3"/>
    <s v="SP.DYN.LE00.IN"/>
    <x v="63"/>
    <n v="70"/>
    <x v="4"/>
  </r>
  <r>
    <x v="3"/>
    <s v="AUT"/>
    <x v="3"/>
    <s v="SP.DYN.LE00.IN"/>
    <x v="64"/>
    <n v="70"/>
    <x v="4"/>
  </r>
  <r>
    <x v="3"/>
    <s v="AUT"/>
    <x v="3"/>
    <s v="SP.DYN.LE00.IN"/>
    <x v="34"/>
    <n v="70"/>
    <x v="4"/>
  </r>
  <r>
    <x v="3"/>
    <s v="AUT"/>
    <x v="3"/>
    <s v="SP.DYN.LE00.IN"/>
    <x v="35"/>
    <n v="70"/>
    <x v="4"/>
  </r>
  <r>
    <x v="3"/>
    <s v="AUT"/>
    <x v="3"/>
    <s v="SP.DYN.LE00.IN"/>
    <x v="36"/>
    <n v="70"/>
    <x v="4"/>
  </r>
  <r>
    <x v="3"/>
    <s v="AUT"/>
    <x v="3"/>
    <s v="SP.DYN.LE00.IN"/>
    <x v="37"/>
    <n v="71"/>
    <x v="4"/>
  </r>
  <r>
    <x v="3"/>
    <s v="AUT"/>
    <x v="3"/>
    <s v="SP.DYN.LE00.IN"/>
    <x v="38"/>
    <n v="71"/>
    <x v="4"/>
  </r>
  <r>
    <x v="3"/>
    <s v="AUT"/>
    <x v="3"/>
    <s v="SP.DYN.LE00.IN"/>
    <x v="39"/>
    <n v="71"/>
    <x v="4"/>
  </r>
  <r>
    <x v="3"/>
    <s v="AUT"/>
    <x v="3"/>
    <s v="SP.DYN.LE00.IN"/>
    <x v="40"/>
    <n v="72"/>
    <x v="4"/>
  </r>
  <r>
    <x v="3"/>
    <s v="AUT"/>
    <x v="3"/>
    <s v="SP.DYN.LE00.IN"/>
    <x v="41"/>
    <n v="72"/>
    <x v="5"/>
  </r>
  <r>
    <x v="3"/>
    <s v="AUT"/>
    <x v="3"/>
    <s v="SP.DYN.LE00.IN"/>
    <x v="42"/>
    <n v="72"/>
    <x v="5"/>
  </r>
  <r>
    <x v="3"/>
    <s v="AUT"/>
    <x v="3"/>
    <s v="SP.DYN.LE00.IN"/>
    <x v="43"/>
    <n v="72"/>
    <x v="5"/>
  </r>
  <r>
    <x v="3"/>
    <s v="AUT"/>
    <x v="3"/>
    <s v="SP.DYN.LE00.IN"/>
    <x v="44"/>
    <n v="72"/>
    <x v="5"/>
  </r>
  <r>
    <x v="3"/>
    <s v="AUT"/>
    <x v="3"/>
    <s v="SP.DYN.LE00.IN"/>
    <x v="45"/>
    <n v="73"/>
    <x v="5"/>
  </r>
  <r>
    <x v="3"/>
    <s v="AUT"/>
    <x v="3"/>
    <s v="SP.DYN.LE00.IN"/>
    <x v="46"/>
    <n v="73"/>
    <x v="5"/>
  </r>
  <r>
    <x v="3"/>
    <s v="AUT"/>
    <x v="3"/>
    <s v="SP.DYN.LE00.IN"/>
    <x v="47"/>
    <n v="73"/>
    <x v="5"/>
  </r>
  <r>
    <x v="3"/>
    <s v="AUT"/>
    <x v="3"/>
    <s v="SP.DYN.LE00.IN"/>
    <x v="48"/>
    <n v="74"/>
    <x v="5"/>
  </r>
  <r>
    <x v="3"/>
    <s v="AUT"/>
    <x v="3"/>
    <s v="SP.DYN.LE00.IN"/>
    <x v="49"/>
    <n v="74"/>
    <x v="5"/>
  </r>
  <r>
    <x v="3"/>
    <s v="AUT"/>
    <x v="3"/>
    <s v="SP.DYN.LE00.IN"/>
    <x v="50"/>
    <n v="74"/>
    <x v="5"/>
  </r>
  <r>
    <x v="3"/>
    <s v="AUT"/>
    <x v="3"/>
    <s v="SP.DYN.LE00.IN"/>
    <x v="51"/>
    <n v="75"/>
    <x v="0"/>
  </r>
  <r>
    <x v="3"/>
    <s v="AUT"/>
    <x v="3"/>
    <s v="SP.DYN.LE00.IN"/>
    <x v="52"/>
    <n v="75"/>
    <x v="0"/>
  </r>
  <r>
    <x v="3"/>
    <s v="AUT"/>
    <x v="3"/>
    <s v="SP.DYN.LE00.IN"/>
    <x v="53"/>
    <n v="75"/>
    <x v="0"/>
  </r>
  <r>
    <x v="3"/>
    <s v="AUT"/>
    <x v="3"/>
    <s v="SP.DYN.LE00.IN"/>
    <x v="0"/>
    <n v="76"/>
    <x v="0"/>
  </r>
  <r>
    <x v="3"/>
    <s v="AUT"/>
    <x v="3"/>
    <s v="SP.DYN.LE00.IN"/>
    <x v="1"/>
    <n v="76"/>
    <x v="0"/>
  </r>
  <r>
    <x v="3"/>
    <s v="AUT"/>
    <x v="3"/>
    <s v="SP.DYN.LE00.IN"/>
    <x v="2"/>
    <n v="76"/>
    <x v="0"/>
  </r>
  <r>
    <x v="3"/>
    <s v="AUT"/>
    <x v="3"/>
    <s v="SP.DYN.LE00.IN"/>
    <x v="3"/>
    <n v="76"/>
    <x v="0"/>
  </r>
  <r>
    <x v="3"/>
    <s v="AUT"/>
    <x v="3"/>
    <s v="SP.DYN.LE00.IN"/>
    <x v="4"/>
    <n v="76"/>
    <x v="0"/>
  </r>
  <r>
    <x v="3"/>
    <s v="AUT"/>
    <x v="3"/>
    <s v="SP.DYN.LE00.IN"/>
    <x v="5"/>
    <n v="77"/>
    <x v="0"/>
  </r>
  <r>
    <x v="3"/>
    <s v="AUT"/>
    <x v="3"/>
    <s v="SP.DYN.LE00.IN"/>
    <x v="6"/>
    <n v="77"/>
    <x v="0"/>
  </r>
  <r>
    <x v="3"/>
    <s v="AUT"/>
    <x v="3"/>
    <s v="SP.DYN.LE00.IN"/>
    <x v="7"/>
    <n v="77"/>
    <x v="1"/>
  </r>
  <r>
    <x v="3"/>
    <s v="AUT"/>
    <x v="3"/>
    <s v="SP.DYN.LE00.IN"/>
    <x v="8"/>
    <n v="78"/>
    <x v="1"/>
  </r>
  <r>
    <x v="3"/>
    <s v="AUT"/>
    <x v="3"/>
    <s v="SP.DYN.LE00.IN"/>
    <x v="9"/>
    <n v="78"/>
    <x v="1"/>
  </r>
  <r>
    <x v="3"/>
    <s v="AUT"/>
    <x v="3"/>
    <s v="SP.DYN.LE00.IN"/>
    <x v="10"/>
    <n v="78"/>
    <x v="1"/>
  </r>
  <r>
    <x v="3"/>
    <s v="AUT"/>
    <x v="3"/>
    <s v="SP.DYN.LE00.IN"/>
    <x v="11"/>
    <n v="79"/>
    <x v="1"/>
  </r>
  <r>
    <x v="3"/>
    <s v="AUT"/>
    <x v="3"/>
    <s v="SP.DYN.LE00.IN"/>
    <x v="12"/>
    <n v="79"/>
    <x v="1"/>
  </r>
  <r>
    <x v="3"/>
    <s v="AUT"/>
    <x v="3"/>
    <s v="SP.DYN.LE00.IN"/>
    <x v="13"/>
    <n v="79"/>
    <x v="1"/>
  </r>
  <r>
    <x v="3"/>
    <s v="AUT"/>
    <x v="3"/>
    <s v="SP.DYN.LE00.IN"/>
    <x v="14"/>
    <n v="79"/>
    <x v="1"/>
  </r>
  <r>
    <x v="3"/>
    <s v="AUT"/>
    <x v="3"/>
    <s v="SP.DYN.LE00.IN"/>
    <x v="15"/>
    <n v="79"/>
    <x v="1"/>
  </r>
  <r>
    <x v="3"/>
    <s v="AUT"/>
    <x v="3"/>
    <s v="SP.DYN.LE00.IN"/>
    <x v="16"/>
    <n v="80"/>
    <x v="1"/>
  </r>
  <r>
    <x v="3"/>
    <s v="AUT"/>
    <x v="3"/>
    <s v="SP.DYN.LE00.IN"/>
    <x v="17"/>
    <n v="80"/>
    <x v="2"/>
  </r>
  <r>
    <x v="3"/>
    <s v="AUT"/>
    <x v="3"/>
    <s v="SP.DYN.LE00.IN"/>
    <x v="18"/>
    <n v="80"/>
    <x v="2"/>
  </r>
  <r>
    <x v="3"/>
    <s v="AUT"/>
    <x v="3"/>
    <s v="SP.DYN.LE00.IN"/>
    <x v="19"/>
    <n v="80"/>
    <x v="2"/>
  </r>
  <r>
    <x v="3"/>
    <s v="AUT"/>
    <x v="3"/>
    <s v="SP.DYN.LE00.IN"/>
    <x v="20"/>
    <n v="81"/>
    <x v="2"/>
  </r>
  <r>
    <x v="3"/>
    <s v="AUT"/>
    <x v="3"/>
    <s v="SP.DYN.LE00.IN"/>
    <x v="21"/>
    <n v="81"/>
    <x v="2"/>
  </r>
  <r>
    <x v="3"/>
    <s v="AUT"/>
    <x v="3"/>
    <s v="SP.DYN.LE00.IN"/>
    <x v="22"/>
    <n v="81"/>
    <x v="2"/>
  </r>
  <r>
    <x v="3"/>
    <s v="AUT"/>
    <x v="3"/>
    <s v="SP.DYN.LE00.IN"/>
    <x v="23"/>
    <n v="81"/>
    <x v="2"/>
  </r>
  <r>
    <x v="3"/>
    <s v="AUT"/>
    <x v="3"/>
    <s v="SP.DYN.LE00.IN"/>
    <x v="24"/>
    <n v="81"/>
    <x v="2"/>
  </r>
  <r>
    <x v="3"/>
    <s v="AUT"/>
    <x v="3"/>
    <s v="SP.DYN.LE00.IN"/>
    <x v="25"/>
    <n v="81"/>
    <x v="2"/>
  </r>
  <r>
    <x v="3"/>
    <s v="AUT"/>
    <x v="3"/>
    <s v="SP.DYN.LE00.IN"/>
    <x v="26"/>
    <n v="82"/>
    <x v="2"/>
  </r>
  <r>
    <x v="3"/>
    <s v="AUT"/>
    <x v="3"/>
    <s v="SP.DYN.LE00.IN"/>
    <x v="27"/>
    <n v="82"/>
    <x v="3"/>
  </r>
  <r>
    <x v="3"/>
    <s v="AUT"/>
    <x v="3"/>
    <s v="SP.DYN.LE00.IN"/>
    <x v="28"/>
    <n v="82"/>
    <x v="3"/>
  </r>
  <r>
    <x v="3"/>
    <s v="AUT"/>
    <x v="3"/>
    <s v="SP.DYN.LE00.IN"/>
    <x v="29"/>
    <n v="82"/>
    <x v="3"/>
  </r>
  <r>
    <x v="3"/>
    <s v="AUT"/>
    <x v="3"/>
    <s v="SP.DYN.LE00.IN"/>
    <x v="30"/>
    <n v="81"/>
    <x v="3"/>
  </r>
  <r>
    <x v="3"/>
    <s v="AUT"/>
    <x v="3"/>
    <s v="SP.DYN.LE00.IN"/>
    <x v="31"/>
    <n v="81"/>
    <x v="6"/>
  </r>
  <r>
    <x v="3"/>
    <s v="AUT"/>
    <x v="3"/>
    <s v="SP.DYN.LE00.IN"/>
    <x v="32"/>
    <n v="81"/>
    <x v="6"/>
  </r>
  <r>
    <x v="3"/>
    <s v="AUT"/>
    <x v="3"/>
    <s v="SP.DYN.LE00.IN"/>
    <x v="33"/>
    <n v="82"/>
    <x v="6"/>
  </r>
  <r>
    <x v="4"/>
    <s v="AZE"/>
    <x v="3"/>
    <s v="SP.DYN.LE00.IN"/>
    <x v="55"/>
    <n v="51"/>
    <x v="6"/>
  </r>
  <r>
    <x v="4"/>
    <s v="AZE"/>
    <x v="3"/>
    <s v="SP.DYN.LE00.IN"/>
    <x v="56"/>
    <n v="51"/>
    <x v="6"/>
  </r>
  <r>
    <x v="4"/>
    <s v="AZE"/>
    <x v="3"/>
    <s v="SP.DYN.LE00.IN"/>
    <x v="57"/>
    <n v="52"/>
    <x v="6"/>
  </r>
  <r>
    <x v="4"/>
    <s v="AZE"/>
    <x v="3"/>
    <s v="SP.DYN.LE00.IN"/>
    <x v="58"/>
    <n v="53"/>
    <x v="6"/>
  </r>
  <r>
    <x v="4"/>
    <s v="AZE"/>
    <x v="3"/>
    <s v="SP.DYN.LE00.IN"/>
    <x v="59"/>
    <n v="53"/>
    <x v="6"/>
  </r>
  <r>
    <x v="4"/>
    <s v="AZE"/>
    <x v="3"/>
    <s v="SP.DYN.LE00.IN"/>
    <x v="60"/>
    <n v="54"/>
    <x v="6"/>
  </r>
  <r>
    <x v="4"/>
    <s v="AZE"/>
    <x v="3"/>
    <s v="SP.DYN.LE00.IN"/>
    <x v="61"/>
    <n v="54"/>
    <x v="6"/>
  </r>
  <r>
    <x v="4"/>
    <s v="AZE"/>
    <x v="3"/>
    <s v="SP.DYN.LE00.IN"/>
    <x v="62"/>
    <n v="55"/>
    <x v="4"/>
  </r>
  <r>
    <x v="4"/>
    <s v="AZE"/>
    <x v="3"/>
    <s v="SP.DYN.LE00.IN"/>
    <x v="63"/>
    <n v="56"/>
    <x v="4"/>
  </r>
  <r>
    <x v="4"/>
    <s v="AZE"/>
    <x v="3"/>
    <s v="SP.DYN.LE00.IN"/>
    <x v="64"/>
    <n v="56"/>
    <x v="4"/>
  </r>
  <r>
    <x v="4"/>
    <s v="AZE"/>
    <x v="3"/>
    <s v="SP.DYN.LE00.IN"/>
    <x v="34"/>
    <n v="57"/>
    <x v="4"/>
  </r>
  <r>
    <x v="4"/>
    <s v="AZE"/>
    <x v="3"/>
    <s v="SP.DYN.LE00.IN"/>
    <x v="35"/>
    <n v="57"/>
    <x v="4"/>
  </r>
  <r>
    <x v="4"/>
    <s v="AZE"/>
    <x v="3"/>
    <s v="SP.DYN.LE00.IN"/>
    <x v="36"/>
    <n v="58"/>
    <x v="4"/>
  </r>
  <r>
    <x v="4"/>
    <s v="AZE"/>
    <x v="3"/>
    <s v="SP.DYN.LE00.IN"/>
    <x v="37"/>
    <n v="58"/>
    <x v="4"/>
  </r>
  <r>
    <x v="4"/>
    <s v="AZE"/>
    <x v="3"/>
    <s v="SP.DYN.LE00.IN"/>
    <x v="38"/>
    <n v="58"/>
    <x v="4"/>
  </r>
  <r>
    <x v="4"/>
    <s v="AZE"/>
    <x v="3"/>
    <s v="SP.DYN.LE00.IN"/>
    <x v="39"/>
    <n v="59"/>
    <x v="4"/>
  </r>
  <r>
    <x v="4"/>
    <s v="AZE"/>
    <x v="3"/>
    <s v="SP.DYN.LE00.IN"/>
    <x v="40"/>
    <n v="59"/>
    <x v="4"/>
  </r>
  <r>
    <x v="4"/>
    <s v="AZE"/>
    <x v="3"/>
    <s v="SP.DYN.LE00.IN"/>
    <x v="41"/>
    <n v="60"/>
    <x v="5"/>
  </r>
  <r>
    <x v="4"/>
    <s v="AZE"/>
    <x v="3"/>
    <s v="SP.DYN.LE00.IN"/>
    <x v="42"/>
    <n v="60"/>
    <x v="5"/>
  </r>
  <r>
    <x v="4"/>
    <s v="AZE"/>
    <x v="3"/>
    <s v="SP.DYN.LE00.IN"/>
    <x v="43"/>
    <n v="61"/>
    <x v="5"/>
  </r>
  <r>
    <x v="4"/>
    <s v="AZE"/>
    <x v="3"/>
    <s v="SP.DYN.LE00.IN"/>
    <x v="44"/>
    <n v="61"/>
    <x v="5"/>
  </r>
  <r>
    <x v="4"/>
    <s v="AZE"/>
    <x v="3"/>
    <s v="SP.DYN.LE00.IN"/>
    <x v="45"/>
    <n v="62"/>
    <x v="5"/>
  </r>
  <r>
    <x v="4"/>
    <s v="AZE"/>
    <x v="3"/>
    <s v="SP.DYN.LE00.IN"/>
    <x v="46"/>
    <n v="62"/>
    <x v="5"/>
  </r>
  <r>
    <x v="4"/>
    <s v="AZE"/>
    <x v="3"/>
    <s v="SP.DYN.LE00.IN"/>
    <x v="47"/>
    <n v="62"/>
    <x v="5"/>
  </r>
  <r>
    <x v="4"/>
    <s v="AZE"/>
    <x v="3"/>
    <s v="SP.DYN.LE00.IN"/>
    <x v="48"/>
    <n v="62"/>
    <x v="5"/>
  </r>
  <r>
    <x v="4"/>
    <s v="AZE"/>
    <x v="3"/>
    <s v="SP.DYN.LE00.IN"/>
    <x v="49"/>
    <n v="63"/>
    <x v="5"/>
  </r>
  <r>
    <x v="4"/>
    <s v="AZE"/>
    <x v="3"/>
    <s v="SP.DYN.LE00.IN"/>
    <x v="50"/>
    <n v="63"/>
    <x v="5"/>
  </r>
  <r>
    <x v="4"/>
    <s v="AZE"/>
    <x v="3"/>
    <s v="SP.DYN.LE00.IN"/>
    <x v="51"/>
    <n v="63"/>
    <x v="0"/>
  </r>
  <r>
    <x v="4"/>
    <s v="AZE"/>
    <x v="3"/>
    <s v="SP.DYN.LE00.IN"/>
    <x v="52"/>
    <n v="63"/>
    <x v="0"/>
  </r>
  <r>
    <x v="4"/>
    <s v="AZE"/>
    <x v="3"/>
    <s v="SP.DYN.LE00.IN"/>
    <x v="53"/>
    <n v="63"/>
    <x v="0"/>
  </r>
  <r>
    <x v="4"/>
    <s v="AZE"/>
    <x v="3"/>
    <s v="SP.DYN.LE00.IN"/>
    <x v="0"/>
    <n v="63"/>
    <x v="0"/>
  </r>
  <r>
    <x v="4"/>
    <s v="AZE"/>
    <x v="3"/>
    <s v="SP.DYN.LE00.IN"/>
    <x v="1"/>
    <n v="63"/>
    <x v="0"/>
  </r>
  <r>
    <x v="4"/>
    <s v="AZE"/>
    <x v="3"/>
    <s v="SP.DYN.LE00.IN"/>
    <x v="2"/>
    <n v="61"/>
    <x v="0"/>
  </r>
  <r>
    <x v="4"/>
    <s v="AZE"/>
    <x v="3"/>
    <s v="SP.DYN.LE00.IN"/>
    <x v="3"/>
    <n v="61"/>
    <x v="0"/>
  </r>
  <r>
    <x v="4"/>
    <s v="AZE"/>
    <x v="3"/>
    <s v="SP.DYN.LE00.IN"/>
    <x v="4"/>
    <n v="60"/>
    <x v="0"/>
  </r>
  <r>
    <x v="4"/>
    <s v="AZE"/>
    <x v="3"/>
    <s v="SP.DYN.LE00.IN"/>
    <x v="5"/>
    <n v="62"/>
    <x v="0"/>
  </r>
  <r>
    <x v="4"/>
    <s v="AZE"/>
    <x v="3"/>
    <s v="SP.DYN.LE00.IN"/>
    <x v="6"/>
    <n v="63"/>
    <x v="0"/>
  </r>
  <r>
    <x v="4"/>
    <s v="AZE"/>
    <x v="3"/>
    <s v="SP.DYN.LE00.IN"/>
    <x v="7"/>
    <n v="63"/>
    <x v="1"/>
  </r>
  <r>
    <x v="4"/>
    <s v="AZE"/>
    <x v="3"/>
    <s v="SP.DYN.LE00.IN"/>
    <x v="8"/>
    <n v="64"/>
    <x v="1"/>
  </r>
  <r>
    <x v="4"/>
    <s v="AZE"/>
    <x v="3"/>
    <s v="SP.DYN.LE00.IN"/>
    <x v="9"/>
    <n v="65"/>
    <x v="1"/>
  </r>
  <r>
    <x v="4"/>
    <s v="AZE"/>
    <x v="3"/>
    <s v="SP.DYN.LE00.IN"/>
    <x v="10"/>
    <n v="65"/>
    <x v="1"/>
  </r>
  <r>
    <x v="4"/>
    <s v="AZE"/>
    <x v="3"/>
    <s v="SP.DYN.LE00.IN"/>
    <x v="11"/>
    <n v="66"/>
    <x v="1"/>
  </r>
  <r>
    <x v="4"/>
    <s v="AZE"/>
    <x v="3"/>
    <s v="SP.DYN.LE00.IN"/>
    <x v="12"/>
    <n v="67"/>
    <x v="1"/>
  </r>
  <r>
    <x v="4"/>
    <s v="AZE"/>
    <x v="3"/>
    <s v="SP.DYN.LE00.IN"/>
    <x v="13"/>
    <n v="67"/>
    <x v="1"/>
  </r>
  <r>
    <x v="4"/>
    <s v="AZE"/>
    <x v="3"/>
    <s v="SP.DYN.LE00.IN"/>
    <x v="14"/>
    <n v="67"/>
    <x v="1"/>
  </r>
  <r>
    <x v="4"/>
    <s v="AZE"/>
    <x v="3"/>
    <s v="SP.DYN.LE00.IN"/>
    <x v="15"/>
    <n v="68"/>
    <x v="1"/>
  </r>
  <r>
    <x v="4"/>
    <s v="AZE"/>
    <x v="3"/>
    <s v="SP.DYN.LE00.IN"/>
    <x v="16"/>
    <n v="68"/>
    <x v="1"/>
  </r>
  <r>
    <x v="4"/>
    <s v="AZE"/>
    <x v="3"/>
    <s v="SP.DYN.LE00.IN"/>
    <x v="17"/>
    <n v="69"/>
    <x v="2"/>
  </r>
  <r>
    <x v="4"/>
    <s v="AZE"/>
    <x v="3"/>
    <s v="SP.DYN.LE00.IN"/>
    <x v="18"/>
    <n v="69"/>
    <x v="2"/>
  </r>
  <r>
    <x v="4"/>
    <s v="AZE"/>
    <x v="3"/>
    <s v="SP.DYN.LE00.IN"/>
    <x v="19"/>
    <n v="70"/>
    <x v="2"/>
  </r>
  <r>
    <x v="4"/>
    <s v="AZE"/>
    <x v="3"/>
    <s v="SP.DYN.LE00.IN"/>
    <x v="20"/>
    <n v="70"/>
    <x v="2"/>
  </r>
  <r>
    <x v="4"/>
    <s v="AZE"/>
    <x v="3"/>
    <s v="SP.DYN.LE00.IN"/>
    <x v="21"/>
    <n v="71"/>
    <x v="2"/>
  </r>
  <r>
    <x v="4"/>
    <s v="AZE"/>
    <x v="3"/>
    <s v="SP.DYN.LE00.IN"/>
    <x v="22"/>
    <n v="71"/>
    <x v="2"/>
  </r>
  <r>
    <x v="4"/>
    <s v="AZE"/>
    <x v="3"/>
    <s v="SP.DYN.LE00.IN"/>
    <x v="23"/>
    <n v="71"/>
    <x v="2"/>
  </r>
  <r>
    <x v="4"/>
    <s v="AZE"/>
    <x v="3"/>
    <s v="SP.DYN.LE00.IN"/>
    <x v="24"/>
    <n v="72"/>
    <x v="2"/>
  </r>
  <r>
    <x v="4"/>
    <s v="AZE"/>
    <x v="3"/>
    <s v="SP.DYN.LE00.IN"/>
    <x v="25"/>
    <n v="72"/>
    <x v="2"/>
  </r>
  <r>
    <x v="4"/>
    <s v="AZE"/>
    <x v="3"/>
    <s v="SP.DYN.LE00.IN"/>
    <x v="26"/>
    <n v="73"/>
    <x v="2"/>
  </r>
  <r>
    <x v="4"/>
    <s v="AZE"/>
    <x v="3"/>
    <s v="SP.DYN.LE00.IN"/>
    <x v="27"/>
    <n v="73"/>
    <x v="3"/>
  </r>
  <r>
    <x v="4"/>
    <s v="AZE"/>
    <x v="3"/>
    <s v="SP.DYN.LE00.IN"/>
    <x v="28"/>
    <n v="73"/>
    <x v="3"/>
  </r>
  <r>
    <x v="4"/>
    <s v="AZE"/>
    <x v="3"/>
    <s v="SP.DYN.LE00.IN"/>
    <x v="29"/>
    <n v="73"/>
    <x v="3"/>
  </r>
  <r>
    <x v="4"/>
    <s v="AZE"/>
    <x v="3"/>
    <s v="SP.DYN.LE00.IN"/>
    <x v="30"/>
    <n v="70"/>
    <x v="3"/>
  </r>
  <r>
    <x v="4"/>
    <s v="AZE"/>
    <x v="3"/>
    <s v="SP.DYN.LE00.IN"/>
    <x v="31"/>
    <n v="71"/>
    <x v="6"/>
  </r>
  <r>
    <x v="4"/>
    <s v="AZE"/>
    <x v="3"/>
    <s v="SP.DYN.LE00.IN"/>
    <x v="32"/>
    <n v="74"/>
    <x v="6"/>
  </r>
  <r>
    <x v="4"/>
    <s v="AZE"/>
    <x v="3"/>
    <s v="SP.DYN.LE00.IN"/>
    <x v="33"/>
    <n v="74"/>
    <x v="6"/>
  </r>
  <r>
    <x v="5"/>
    <s v="BEL"/>
    <x v="3"/>
    <s v="SP.DYN.LE00.IN"/>
    <x v="55"/>
    <n v="70"/>
    <x v="6"/>
  </r>
  <r>
    <x v="5"/>
    <s v="BEL"/>
    <x v="3"/>
    <s v="SP.DYN.LE00.IN"/>
    <x v="56"/>
    <n v="71"/>
    <x v="6"/>
  </r>
  <r>
    <x v="5"/>
    <s v="BEL"/>
    <x v="3"/>
    <s v="SP.DYN.LE00.IN"/>
    <x v="57"/>
    <n v="70"/>
    <x v="6"/>
  </r>
  <r>
    <x v="5"/>
    <s v="BEL"/>
    <x v="3"/>
    <s v="SP.DYN.LE00.IN"/>
    <x v="58"/>
    <n v="70"/>
    <x v="6"/>
  </r>
  <r>
    <x v="5"/>
    <s v="BEL"/>
    <x v="3"/>
    <s v="SP.DYN.LE00.IN"/>
    <x v="59"/>
    <n v="71"/>
    <x v="6"/>
  </r>
  <r>
    <x v="5"/>
    <s v="BEL"/>
    <x v="3"/>
    <s v="SP.DYN.LE00.IN"/>
    <x v="60"/>
    <n v="71"/>
    <x v="6"/>
  </r>
  <r>
    <x v="5"/>
    <s v="BEL"/>
    <x v="3"/>
    <s v="SP.DYN.LE00.IN"/>
    <x v="61"/>
    <n v="71"/>
    <x v="6"/>
  </r>
  <r>
    <x v="5"/>
    <s v="BEL"/>
    <x v="3"/>
    <s v="SP.DYN.LE00.IN"/>
    <x v="62"/>
    <n v="71"/>
    <x v="4"/>
  </r>
  <r>
    <x v="5"/>
    <s v="BEL"/>
    <x v="3"/>
    <s v="SP.DYN.LE00.IN"/>
    <x v="63"/>
    <n v="71"/>
    <x v="4"/>
  </r>
  <r>
    <x v="5"/>
    <s v="BEL"/>
    <x v="3"/>
    <s v="SP.DYN.LE00.IN"/>
    <x v="64"/>
    <n v="71"/>
    <x v="4"/>
  </r>
  <r>
    <x v="5"/>
    <s v="BEL"/>
    <x v="3"/>
    <s v="SP.DYN.LE00.IN"/>
    <x v="34"/>
    <n v="71"/>
    <x v="4"/>
  </r>
  <r>
    <x v="5"/>
    <s v="BEL"/>
    <x v="3"/>
    <s v="SP.DYN.LE00.IN"/>
    <x v="35"/>
    <n v="71"/>
    <x v="4"/>
  </r>
  <r>
    <x v="5"/>
    <s v="BEL"/>
    <x v="3"/>
    <s v="SP.DYN.LE00.IN"/>
    <x v="36"/>
    <n v="71"/>
    <x v="4"/>
  </r>
  <r>
    <x v="5"/>
    <s v="BEL"/>
    <x v="3"/>
    <s v="SP.DYN.LE00.IN"/>
    <x v="37"/>
    <n v="72"/>
    <x v="4"/>
  </r>
  <r>
    <x v="5"/>
    <s v="BEL"/>
    <x v="3"/>
    <s v="SP.DYN.LE00.IN"/>
    <x v="38"/>
    <n v="72"/>
    <x v="4"/>
  </r>
  <r>
    <x v="5"/>
    <s v="BEL"/>
    <x v="3"/>
    <s v="SP.DYN.LE00.IN"/>
    <x v="39"/>
    <n v="72"/>
    <x v="4"/>
  </r>
  <r>
    <x v="5"/>
    <s v="BEL"/>
    <x v="3"/>
    <s v="SP.DYN.LE00.IN"/>
    <x v="40"/>
    <n v="72"/>
    <x v="4"/>
  </r>
  <r>
    <x v="5"/>
    <s v="BEL"/>
    <x v="3"/>
    <s v="SP.DYN.LE00.IN"/>
    <x v="41"/>
    <n v="73"/>
    <x v="5"/>
  </r>
  <r>
    <x v="5"/>
    <s v="BEL"/>
    <x v="3"/>
    <s v="SP.DYN.LE00.IN"/>
    <x v="42"/>
    <n v="73"/>
    <x v="5"/>
  </r>
  <r>
    <x v="5"/>
    <s v="BEL"/>
    <x v="3"/>
    <s v="SP.DYN.LE00.IN"/>
    <x v="43"/>
    <n v="73"/>
    <x v="5"/>
  </r>
  <r>
    <x v="5"/>
    <s v="BEL"/>
    <x v="3"/>
    <s v="SP.DYN.LE00.IN"/>
    <x v="44"/>
    <n v="73"/>
    <x v="5"/>
  </r>
  <r>
    <x v="5"/>
    <s v="BEL"/>
    <x v="3"/>
    <s v="SP.DYN.LE00.IN"/>
    <x v="45"/>
    <n v="74"/>
    <x v="5"/>
  </r>
  <r>
    <x v="5"/>
    <s v="BEL"/>
    <x v="3"/>
    <s v="SP.DYN.LE00.IN"/>
    <x v="46"/>
    <n v="74"/>
    <x v="5"/>
  </r>
  <r>
    <x v="5"/>
    <s v="BEL"/>
    <x v="3"/>
    <s v="SP.DYN.LE00.IN"/>
    <x v="47"/>
    <n v="74"/>
    <x v="5"/>
  </r>
  <r>
    <x v="5"/>
    <s v="BEL"/>
    <x v="3"/>
    <s v="SP.DYN.LE00.IN"/>
    <x v="48"/>
    <n v="74"/>
    <x v="5"/>
  </r>
  <r>
    <x v="5"/>
    <s v="BEL"/>
    <x v="3"/>
    <s v="SP.DYN.LE00.IN"/>
    <x v="49"/>
    <n v="75"/>
    <x v="5"/>
  </r>
  <r>
    <x v="5"/>
    <s v="BEL"/>
    <x v="3"/>
    <s v="SP.DYN.LE00.IN"/>
    <x v="50"/>
    <n v="75"/>
    <x v="5"/>
  </r>
  <r>
    <x v="5"/>
    <s v="BEL"/>
    <x v="3"/>
    <s v="SP.DYN.LE00.IN"/>
    <x v="51"/>
    <n v="75"/>
    <x v="0"/>
  </r>
  <r>
    <x v="5"/>
    <s v="BEL"/>
    <x v="3"/>
    <s v="SP.DYN.LE00.IN"/>
    <x v="52"/>
    <n v="76"/>
    <x v="0"/>
  </r>
  <r>
    <x v="5"/>
    <s v="BEL"/>
    <x v="3"/>
    <s v="SP.DYN.LE00.IN"/>
    <x v="53"/>
    <n v="76"/>
    <x v="0"/>
  </r>
  <r>
    <x v="5"/>
    <s v="BEL"/>
    <x v="3"/>
    <s v="SP.DYN.LE00.IN"/>
    <x v="0"/>
    <n v="76"/>
    <x v="0"/>
  </r>
  <r>
    <x v="5"/>
    <s v="BEL"/>
    <x v="3"/>
    <s v="SP.DYN.LE00.IN"/>
    <x v="1"/>
    <n v="76"/>
    <x v="0"/>
  </r>
  <r>
    <x v="5"/>
    <s v="BEL"/>
    <x v="3"/>
    <s v="SP.DYN.LE00.IN"/>
    <x v="2"/>
    <n v="76"/>
    <x v="0"/>
  </r>
  <r>
    <x v="5"/>
    <s v="BEL"/>
    <x v="3"/>
    <s v="SP.DYN.LE00.IN"/>
    <x v="3"/>
    <n v="76"/>
    <x v="0"/>
  </r>
  <r>
    <x v="5"/>
    <s v="BEL"/>
    <x v="3"/>
    <s v="SP.DYN.LE00.IN"/>
    <x v="4"/>
    <n v="77"/>
    <x v="0"/>
  </r>
  <r>
    <x v="5"/>
    <s v="BEL"/>
    <x v="3"/>
    <s v="SP.DYN.LE00.IN"/>
    <x v="5"/>
    <n v="77"/>
    <x v="0"/>
  </r>
  <r>
    <x v="5"/>
    <s v="BEL"/>
    <x v="3"/>
    <s v="SP.DYN.LE00.IN"/>
    <x v="6"/>
    <n v="77"/>
    <x v="0"/>
  </r>
  <r>
    <x v="5"/>
    <s v="BEL"/>
    <x v="3"/>
    <s v="SP.DYN.LE00.IN"/>
    <x v="7"/>
    <n v="77"/>
    <x v="1"/>
  </r>
  <r>
    <x v="5"/>
    <s v="BEL"/>
    <x v="3"/>
    <s v="SP.DYN.LE00.IN"/>
    <x v="8"/>
    <n v="77"/>
    <x v="1"/>
  </r>
  <r>
    <x v="5"/>
    <s v="BEL"/>
    <x v="3"/>
    <s v="SP.DYN.LE00.IN"/>
    <x v="9"/>
    <n v="78"/>
    <x v="1"/>
  </r>
  <r>
    <x v="5"/>
    <s v="BEL"/>
    <x v="3"/>
    <s v="SP.DYN.LE00.IN"/>
    <x v="10"/>
    <n v="78"/>
    <x v="1"/>
  </r>
  <r>
    <x v="5"/>
    <s v="BEL"/>
    <x v="3"/>
    <s v="SP.DYN.LE00.IN"/>
    <x v="11"/>
    <n v="78"/>
    <x v="1"/>
  </r>
  <r>
    <x v="5"/>
    <s v="BEL"/>
    <x v="3"/>
    <s v="SP.DYN.LE00.IN"/>
    <x v="12"/>
    <n v="78"/>
    <x v="1"/>
  </r>
  <r>
    <x v="5"/>
    <s v="BEL"/>
    <x v="3"/>
    <s v="SP.DYN.LE00.IN"/>
    <x v="13"/>
    <n v="78"/>
    <x v="1"/>
  </r>
  <r>
    <x v="5"/>
    <s v="BEL"/>
    <x v="3"/>
    <s v="SP.DYN.LE00.IN"/>
    <x v="14"/>
    <n v="79"/>
    <x v="1"/>
  </r>
  <r>
    <x v="5"/>
    <s v="BEL"/>
    <x v="3"/>
    <s v="SP.DYN.LE00.IN"/>
    <x v="15"/>
    <n v="79"/>
    <x v="1"/>
  </r>
  <r>
    <x v="5"/>
    <s v="BEL"/>
    <x v="3"/>
    <s v="SP.DYN.LE00.IN"/>
    <x v="16"/>
    <n v="79"/>
    <x v="1"/>
  </r>
  <r>
    <x v="5"/>
    <s v="BEL"/>
    <x v="3"/>
    <s v="SP.DYN.LE00.IN"/>
    <x v="17"/>
    <n v="80"/>
    <x v="2"/>
  </r>
  <r>
    <x v="5"/>
    <s v="BEL"/>
    <x v="3"/>
    <s v="SP.DYN.LE00.IN"/>
    <x v="18"/>
    <n v="80"/>
    <x v="2"/>
  </r>
  <r>
    <x v="5"/>
    <s v="BEL"/>
    <x v="3"/>
    <s v="SP.DYN.LE00.IN"/>
    <x v="19"/>
    <n v="80"/>
    <x v="2"/>
  </r>
  <r>
    <x v="5"/>
    <s v="BEL"/>
    <x v="3"/>
    <s v="SP.DYN.LE00.IN"/>
    <x v="20"/>
    <n v="80"/>
    <x v="2"/>
  </r>
  <r>
    <x v="5"/>
    <s v="BEL"/>
    <x v="3"/>
    <s v="SP.DYN.LE00.IN"/>
    <x v="21"/>
    <n v="81"/>
    <x v="2"/>
  </r>
  <r>
    <x v="5"/>
    <s v="BEL"/>
    <x v="3"/>
    <s v="SP.DYN.LE00.IN"/>
    <x v="22"/>
    <n v="80"/>
    <x v="2"/>
  </r>
  <r>
    <x v="5"/>
    <s v="BEL"/>
    <x v="3"/>
    <s v="SP.DYN.LE00.IN"/>
    <x v="23"/>
    <n v="81"/>
    <x v="2"/>
  </r>
  <r>
    <x v="5"/>
    <s v="BEL"/>
    <x v="3"/>
    <s v="SP.DYN.LE00.IN"/>
    <x v="24"/>
    <n v="81"/>
    <x v="2"/>
  </r>
  <r>
    <x v="5"/>
    <s v="BEL"/>
    <x v="3"/>
    <s v="SP.DYN.LE00.IN"/>
    <x v="25"/>
    <n v="81"/>
    <x v="2"/>
  </r>
  <r>
    <x v="5"/>
    <s v="BEL"/>
    <x v="3"/>
    <s v="SP.DYN.LE00.IN"/>
    <x v="26"/>
    <n v="81"/>
    <x v="2"/>
  </r>
  <r>
    <x v="5"/>
    <s v="BEL"/>
    <x v="3"/>
    <s v="SP.DYN.LE00.IN"/>
    <x v="27"/>
    <n v="81"/>
    <x v="3"/>
  </r>
  <r>
    <x v="5"/>
    <s v="BEL"/>
    <x v="3"/>
    <s v="SP.DYN.LE00.IN"/>
    <x v="28"/>
    <n v="82"/>
    <x v="3"/>
  </r>
  <r>
    <x v="5"/>
    <s v="BEL"/>
    <x v="3"/>
    <s v="SP.DYN.LE00.IN"/>
    <x v="29"/>
    <n v="82"/>
    <x v="3"/>
  </r>
  <r>
    <x v="5"/>
    <s v="BEL"/>
    <x v="3"/>
    <s v="SP.DYN.LE00.IN"/>
    <x v="30"/>
    <n v="81"/>
    <x v="3"/>
  </r>
  <r>
    <x v="5"/>
    <s v="BEL"/>
    <x v="3"/>
    <s v="SP.DYN.LE00.IN"/>
    <x v="31"/>
    <n v="82"/>
    <x v="6"/>
  </r>
  <r>
    <x v="5"/>
    <s v="BEL"/>
    <x v="3"/>
    <s v="SP.DYN.LE00.IN"/>
    <x v="32"/>
    <n v="82"/>
    <x v="6"/>
  </r>
  <r>
    <x v="5"/>
    <s v="BEL"/>
    <x v="3"/>
    <s v="SP.DYN.LE00.IN"/>
    <x v="33"/>
    <n v="82"/>
    <x v="6"/>
  </r>
  <r>
    <x v="6"/>
    <s v="BGR"/>
    <x v="3"/>
    <s v="SP.DYN.LE00.IN"/>
    <x v="55"/>
    <n v="69"/>
    <x v="6"/>
  </r>
  <r>
    <x v="6"/>
    <s v="BGR"/>
    <x v="3"/>
    <s v="SP.DYN.LE00.IN"/>
    <x v="56"/>
    <n v="70"/>
    <x v="6"/>
  </r>
  <r>
    <x v="6"/>
    <s v="BGR"/>
    <x v="3"/>
    <s v="SP.DYN.LE00.IN"/>
    <x v="57"/>
    <n v="69"/>
    <x v="6"/>
  </r>
  <r>
    <x v="6"/>
    <s v="BGR"/>
    <x v="3"/>
    <s v="SP.DYN.LE00.IN"/>
    <x v="58"/>
    <n v="70"/>
    <x v="6"/>
  </r>
  <r>
    <x v="6"/>
    <s v="BGR"/>
    <x v="3"/>
    <s v="SP.DYN.LE00.IN"/>
    <x v="59"/>
    <n v="71"/>
    <x v="6"/>
  </r>
  <r>
    <x v="6"/>
    <s v="BGR"/>
    <x v="3"/>
    <s v="SP.DYN.LE00.IN"/>
    <x v="60"/>
    <n v="71"/>
    <x v="6"/>
  </r>
  <r>
    <x v="6"/>
    <s v="BGR"/>
    <x v="3"/>
    <s v="SP.DYN.LE00.IN"/>
    <x v="61"/>
    <n v="71"/>
    <x v="6"/>
  </r>
  <r>
    <x v="6"/>
    <s v="BGR"/>
    <x v="3"/>
    <s v="SP.DYN.LE00.IN"/>
    <x v="62"/>
    <n v="70"/>
    <x v="4"/>
  </r>
  <r>
    <x v="6"/>
    <s v="BGR"/>
    <x v="3"/>
    <s v="SP.DYN.LE00.IN"/>
    <x v="63"/>
    <n v="71"/>
    <x v="4"/>
  </r>
  <r>
    <x v="6"/>
    <s v="BGR"/>
    <x v="3"/>
    <s v="SP.DYN.LE00.IN"/>
    <x v="64"/>
    <n v="70"/>
    <x v="4"/>
  </r>
  <r>
    <x v="6"/>
    <s v="BGR"/>
    <x v="3"/>
    <s v="SP.DYN.LE00.IN"/>
    <x v="34"/>
    <n v="71"/>
    <x v="4"/>
  </r>
  <r>
    <x v="6"/>
    <s v="BGR"/>
    <x v="3"/>
    <s v="SP.DYN.LE00.IN"/>
    <x v="35"/>
    <n v="71"/>
    <x v="4"/>
  </r>
  <r>
    <x v="6"/>
    <s v="BGR"/>
    <x v="3"/>
    <s v="SP.DYN.LE00.IN"/>
    <x v="36"/>
    <n v="71"/>
    <x v="4"/>
  </r>
  <r>
    <x v="6"/>
    <s v="BGR"/>
    <x v="3"/>
    <s v="SP.DYN.LE00.IN"/>
    <x v="37"/>
    <n v="71"/>
    <x v="4"/>
  </r>
  <r>
    <x v="6"/>
    <s v="BGR"/>
    <x v="3"/>
    <s v="SP.DYN.LE00.IN"/>
    <x v="38"/>
    <n v="71"/>
    <x v="4"/>
  </r>
  <r>
    <x v="6"/>
    <s v="BGR"/>
    <x v="3"/>
    <s v="SP.DYN.LE00.IN"/>
    <x v="39"/>
    <n v="71"/>
    <x v="4"/>
  </r>
  <r>
    <x v="6"/>
    <s v="BGR"/>
    <x v="3"/>
    <s v="SP.DYN.LE00.IN"/>
    <x v="40"/>
    <n v="71"/>
    <x v="4"/>
  </r>
  <r>
    <x v="6"/>
    <s v="BGR"/>
    <x v="3"/>
    <s v="SP.DYN.LE00.IN"/>
    <x v="41"/>
    <n v="71"/>
    <x v="5"/>
  </r>
  <r>
    <x v="6"/>
    <s v="BGR"/>
    <x v="3"/>
    <s v="SP.DYN.LE00.IN"/>
    <x v="42"/>
    <n v="71"/>
    <x v="5"/>
  </r>
  <r>
    <x v="6"/>
    <s v="BGR"/>
    <x v="3"/>
    <s v="SP.DYN.LE00.IN"/>
    <x v="43"/>
    <n v="71"/>
    <x v="5"/>
  </r>
  <r>
    <x v="6"/>
    <s v="BGR"/>
    <x v="3"/>
    <s v="SP.DYN.LE00.IN"/>
    <x v="44"/>
    <n v="71"/>
    <x v="5"/>
  </r>
  <r>
    <x v="6"/>
    <s v="BGR"/>
    <x v="3"/>
    <s v="SP.DYN.LE00.IN"/>
    <x v="45"/>
    <n v="72"/>
    <x v="5"/>
  </r>
  <r>
    <x v="6"/>
    <s v="BGR"/>
    <x v="3"/>
    <s v="SP.DYN.LE00.IN"/>
    <x v="46"/>
    <n v="71"/>
    <x v="5"/>
  </r>
  <r>
    <x v="6"/>
    <s v="BGR"/>
    <x v="3"/>
    <s v="SP.DYN.LE00.IN"/>
    <x v="47"/>
    <n v="71"/>
    <x v="5"/>
  </r>
  <r>
    <x v="6"/>
    <s v="BGR"/>
    <x v="3"/>
    <s v="SP.DYN.LE00.IN"/>
    <x v="48"/>
    <n v="71"/>
    <x v="5"/>
  </r>
  <r>
    <x v="6"/>
    <s v="BGR"/>
    <x v="3"/>
    <s v="SP.DYN.LE00.IN"/>
    <x v="49"/>
    <n v="71"/>
    <x v="5"/>
  </r>
  <r>
    <x v="6"/>
    <s v="BGR"/>
    <x v="3"/>
    <s v="SP.DYN.LE00.IN"/>
    <x v="50"/>
    <n v="72"/>
    <x v="5"/>
  </r>
  <r>
    <x v="6"/>
    <s v="BGR"/>
    <x v="3"/>
    <s v="SP.DYN.LE00.IN"/>
    <x v="51"/>
    <n v="72"/>
    <x v="0"/>
  </r>
  <r>
    <x v="6"/>
    <s v="BGR"/>
    <x v="3"/>
    <s v="SP.DYN.LE00.IN"/>
    <x v="52"/>
    <n v="72"/>
    <x v="0"/>
  </r>
  <r>
    <x v="6"/>
    <s v="BGR"/>
    <x v="3"/>
    <s v="SP.DYN.LE00.IN"/>
    <x v="53"/>
    <n v="72"/>
    <x v="0"/>
  </r>
  <r>
    <x v="6"/>
    <s v="BGR"/>
    <x v="3"/>
    <s v="SP.DYN.LE00.IN"/>
    <x v="0"/>
    <n v="72"/>
    <x v="0"/>
  </r>
  <r>
    <x v="6"/>
    <s v="BGR"/>
    <x v="3"/>
    <s v="SP.DYN.LE00.IN"/>
    <x v="1"/>
    <n v="72"/>
    <x v="0"/>
  </r>
  <r>
    <x v="6"/>
    <s v="BGR"/>
    <x v="3"/>
    <s v="SP.DYN.LE00.IN"/>
    <x v="2"/>
    <n v="71"/>
    <x v="0"/>
  </r>
  <r>
    <x v="6"/>
    <s v="BGR"/>
    <x v="3"/>
    <s v="SP.DYN.LE00.IN"/>
    <x v="3"/>
    <n v="71"/>
    <x v="0"/>
  </r>
  <r>
    <x v="6"/>
    <s v="BGR"/>
    <x v="3"/>
    <s v="SP.DYN.LE00.IN"/>
    <x v="4"/>
    <n v="71"/>
    <x v="0"/>
  </r>
  <r>
    <x v="6"/>
    <s v="BGR"/>
    <x v="3"/>
    <s v="SP.DYN.LE00.IN"/>
    <x v="5"/>
    <n v="71"/>
    <x v="0"/>
  </r>
  <r>
    <x v="6"/>
    <s v="BGR"/>
    <x v="3"/>
    <s v="SP.DYN.LE00.IN"/>
    <x v="6"/>
    <n v="71"/>
    <x v="0"/>
  </r>
  <r>
    <x v="6"/>
    <s v="BGR"/>
    <x v="3"/>
    <s v="SP.DYN.LE00.IN"/>
    <x v="7"/>
    <n v="70"/>
    <x v="1"/>
  </r>
  <r>
    <x v="6"/>
    <s v="BGR"/>
    <x v="3"/>
    <s v="SP.DYN.LE00.IN"/>
    <x v="8"/>
    <n v="71"/>
    <x v="1"/>
  </r>
  <r>
    <x v="6"/>
    <s v="BGR"/>
    <x v="3"/>
    <s v="SP.DYN.LE00.IN"/>
    <x v="9"/>
    <n v="71"/>
    <x v="1"/>
  </r>
  <r>
    <x v="6"/>
    <s v="BGR"/>
    <x v="3"/>
    <s v="SP.DYN.LE00.IN"/>
    <x v="10"/>
    <n v="72"/>
    <x v="1"/>
  </r>
  <r>
    <x v="6"/>
    <s v="BGR"/>
    <x v="3"/>
    <s v="SP.DYN.LE00.IN"/>
    <x v="11"/>
    <n v="72"/>
    <x v="1"/>
  </r>
  <r>
    <x v="6"/>
    <s v="BGR"/>
    <x v="3"/>
    <s v="SP.DYN.LE00.IN"/>
    <x v="12"/>
    <n v="72"/>
    <x v="1"/>
  </r>
  <r>
    <x v="6"/>
    <s v="BGR"/>
    <x v="3"/>
    <s v="SP.DYN.LE00.IN"/>
    <x v="13"/>
    <n v="72"/>
    <x v="1"/>
  </r>
  <r>
    <x v="6"/>
    <s v="BGR"/>
    <x v="3"/>
    <s v="SP.DYN.LE00.IN"/>
    <x v="14"/>
    <n v="73"/>
    <x v="1"/>
  </r>
  <r>
    <x v="6"/>
    <s v="BGR"/>
    <x v="3"/>
    <s v="SP.DYN.LE00.IN"/>
    <x v="15"/>
    <n v="73"/>
    <x v="1"/>
  </r>
  <r>
    <x v="6"/>
    <s v="BGR"/>
    <x v="3"/>
    <s v="SP.DYN.LE00.IN"/>
    <x v="16"/>
    <n v="73"/>
    <x v="1"/>
  </r>
  <r>
    <x v="6"/>
    <s v="BGR"/>
    <x v="3"/>
    <s v="SP.DYN.LE00.IN"/>
    <x v="17"/>
    <n v="73"/>
    <x v="2"/>
  </r>
  <r>
    <x v="6"/>
    <s v="BGR"/>
    <x v="3"/>
    <s v="SP.DYN.LE00.IN"/>
    <x v="18"/>
    <n v="73"/>
    <x v="2"/>
  </r>
  <r>
    <x v="6"/>
    <s v="BGR"/>
    <x v="3"/>
    <s v="SP.DYN.LE00.IN"/>
    <x v="19"/>
    <n v="73"/>
    <x v="2"/>
  </r>
  <r>
    <x v="6"/>
    <s v="BGR"/>
    <x v="3"/>
    <s v="SP.DYN.LE00.IN"/>
    <x v="20"/>
    <n v="74"/>
    <x v="2"/>
  </r>
  <r>
    <x v="6"/>
    <s v="BGR"/>
    <x v="3"/>
    <s v="SP.DYN.LE00.IN"/>
    <x v="21"/>
    <n v="74"/>
    <x v="2"/>
  </r>
  <r>
    <x v="6"/>
    <s v="BGR"/>
    <x v="3"/>
    <s v="SP.DYN.LE00.IN"/>
    <x v="22"/>
    <n v="74"/>
    <x v="2"/>
  </r>
  <r>
    <x v="6"/>
    <s v="BGR"/>
    <x v="3"/>
    <s v="SP.DYN.LE00.IN"/>
    <x v="23"/>
    <n v="75"/>
    <x v="2"/>
  </r>
  <r>
    <x v="6"/>
    <s v="BGR"/>
    <x v="3"/>
    <s v="SP.DYN.LE00.IN"/>
    <x v="24"/>
    <n v="74"/>
    <x v="2"/>
  </r>
  <r>
    <x v="6"/>
    <s v="BGR"/>
    <x v="3"/>
    <s v="SP.DYN.LE00.IN"/>
    <x v="25"/>
    <n v="75"/>
    <x v="2"/>
  </r>
  <r>
    <x v="6"/>
    <s v="BGR"/>
    <x v="3"/>
    <s v="SP.DYN.LE00.IN"/>
    <x v="26"/>
    <n v="75"/>
    <x v="2"/>
  </r>
  <r>
    <x v="6"/>
    <s v="BGR"/>
    <x v="3"/>
    <s v="SP.DYN.LE00.IN"/>
    <x v="27"/>
    <n v="75"/>
    <x v="3"/>
  </r>
  <r>
    <x v="6"/>
    <s v="BGR"/>
    <x v="3"/>
    <s v="SP.DYN.LE00.IN"/>
    <x v="28"/>
    <n v="75"/>
    <x v="3"/>
  </r>
  <r>
    <x v="6"/>
    <s v="BGR"/>
    <x v="3"/>
    <s v="SP.DYN.LE00.IN"/>
    <x v="29"/>
    <n v="75"/>
    <x v="3"/>
  </r>
  <r>
    <x v="6"/>
    <s v="BGR"/>
    <x v="3"/>
    <s v="SP.DYN.LE00.IN"/>
    <x v="30"/>
    <n v="73"/>
    <x v="3"/>
  </r>
  <r>
    <x v="6"/>
    <s v="BGR"/>
    <x v="3"/>
    <s v="SP.DYN.LE00.IN"/>
    <x v="31"/>
    <n v="71"/>
    <x v="6"/>
  </r>
  <r>
    <x v="6"/>
    <s v="BGR"/>
    <x v="3"/>
    <s v="SP.DYN.LE00.IN"/>
    <x v="32"/>
    <n v="74"/>
    <x v="6"/>
  </r>
  <r>
    <x v="6"/>
    <s v="BGR"/>
    <x v="3"/>
    <s v="SP.DYN.LE00.IN"/>
    <x v="33"/>
    <n v="76"/>
    <x v="6"/>
  </r>
  <r>
    <x v="7"/>
    <s v="BIH"/>
    <x v="3"/>
    <s v="SP.DYN.LE00.IN"/>
    <x v="55"/>
    <n v="59"/>
    <x v="6"/>
  </r>
  <r>
    <x v="7"/>
    <s v="BIH"/>
    <x v="3"/>
    <s v="SP.DYN.LE00.IN"/>
    <x v="56"/>
    <n v="59"/>
    <x v="6"/>
  </r>
  <r>
    <x v="7"/>
    <s v="BIH"/>
    <x v="3"/>
    <s v="SP.DYN.LE00.IN"/>
    <x v="57"/>
    <n v="60"/>
    <x v="6"/>
  </r>
  <r>
    <x v="7"/>
    <s v="BIH"/>
    <x v="3"/>
    <s v="SP.DYN.LE00.IN"/>
    <x v="58"/>
    <n v="61"/>
    <x v="6"/>
  </r>
  <r>
    <x v="7"/>
    <s v="BIH"/>
    <x v="3"/>
    <s v="SP.DYN.LE00.IN"/>
    <x v="59"/>
    <n v="62"/>
    <x v="6"/>
  </r>
  <r>
    <x v="7"/>
    <s v="BIH"/>
    <x v="3"/>
    <s v="SP.DYN.LE00.IN"/>
    <x v="60"/>
    <n v="62"/>
    <x v="6"/>
  </r>
  <r>
    <x v="7"/>
    <s v="BIH"/>
    <x v="3"/>
    <s v="SP.DYN.LE00.IN"/>
    <x v="61"/>
    <n v="63"/>
    <x v="6"/>
  </r>
  <r>
    <x v="7"/>
    <s v="BIH"/>
    <x v="3"/>
    <s v="SP.DYN.LE00.IN"/>
    <x v="62"/>
    <n v="64"/>
    <x v="4"/>
  </r>
  <r>
    <x v="7"/>
    <s v="BIH"/>
    <x v="3"/>
    <s v="SP.DYN.LE00.IN"/>
    <x v="63"/>
    <n v="64"/>
    <x v="4"/>
  </r>
  <r>
    <x v="7"/>
    <s v="BIH"/>
    <x v="3"/>
    <s v="SP.DYN.LE00.IN"/>
    <x v="64"/>
    <n v="64"/>
    <x v="4"/>
  </r>
  <r>
    <x v="7"/>
    <s v="BIH"/>
    <x v="3"/>
    <s v="SP.DYN.LE00.IN"/>
    <x v="34"/>
    <n v="65"/>
    <x v="4"/>
  </r>
  <r>
    <x v="7"/>
    <s v="BIH"/>
    <x v="3"/>
    <s v="SP.DYN.LE00.IN"/>
    <x v="35"/>
    <n v="65"/>
    <x v="4"/>
  </r>
  <r>
    <x v="7"/>
    <s v="BIH"/>
    <x v="3"/>
    <s v="SP.DYN.LE00.IN"/>
    <x v="36"/>
    <n v="66"/>
    <x v="4"/>
  </r>
  <r>
    <x v="7"/>
    <s v="BIH"/>
    <x v="3"/>
    <s v="SP.DYN.LE00.IN"/>
    <x v="37"/>
    <n v="67"/>
    <x v="4"/>
  </r>
  <r>
    <x v="7"/>
    <s v="BIH"/>
    <x v="3"/>
    <s v="SP.DYN.LE00.IN"/>
    <x v="38"/>
    <n v="68"/>
    <x v="4"/>
  </r>
  <r>
    <x v="7"/>
    <s v="BIH"/>
    <x v="3"/>
    <s v="SP.DYN.LE00.IN"/>
    <x v="39"/>
    <n v="68"/>
    <x v="4"/>
  </r>
  <r>
    <x v="7"/>
    <s v="BIH"/>
    <x v="3"/>
    <s v="SP.DYN.LE00.IN"/>
    <x v="40"/>
    <n v="69"/>
    <x v="4"/>
  </r>
  <r>
    <x v="7"/>
    <s v="BIH"/>
    <x v="3"/>
    <s v="SP.DYN.LE00.IN"/>
    <x v="41"/>
    <n v="69"/>
    <x v="5"/>
  </r>
  <r>
    <x v="7"/>
    <s v="BIH"/>
    <x v="3"/>
    <s v="SP.DYN.LE00.IN"/>
    <x v="42"/>
    <n v="69"/>
    <x v="5"/>
  </r>
  <r>
    <x v="7"/>
    <s v="BIH"/>
    <x v="3"/>
    <s v="SP.DYN.LE00.IN"/>
    <x v="43"/>
    <n v="69"/>
    <x v="5"/>
  </r>
  <r>
    <x v="7"/>
    <s v="BIH"/>
    <x v="3"/>
    <s v="SP.DYN.LE00.IN"/>
    <x v="44"/>
    <n v="70"/>
    <x v="5"/>
  </r>
  <r>
    <x v="7"/>
    <s v="BIH"/>
    <x v="3"/>
    <s v="SP.DYN.LE00.IN"/>
    <x v="45"/>
    <n v="70"/>
    <x v="5"/>
  </r>
  <r>
    <x v="7"/>
    <s v="BIH"/>
    <x v="3"/>
    <s v="SP.DYN.LE00.IN"/>
    <x v="46"/>
    <n v="70"/>
    <x v="5"/>
  </r>
  <r>
    <x v="7"/>
    <s v="BIH"/>
    <x v="3"/>
    <s v="SP.DYN.LE00.IN"/>
    <x v="47"/>
    <n v="70"/>
    <x v="5"/>
  </r>
  <r>
    <x v="7"/>
    <s v="BIH"/>
    <x v="3"/>
    <s v="SP.DYN.LE00.IN"/>
    <x v="48"/>
    <n v="70"/>
    <x v="5"/>
  </r>
  <r>
    <x v="7"/>
    <s v="BIH"/>
    <x v="3"/>
    <s v="SP.DYN.LE00.IN"/>
    <x v="49"/>
    <n v="71"/>
    <x v="5"/>
  </r>
  <r>
    <x v="7"/>
    <s v="BIH"/>
    <x v="3"/>
    <s v="SP.DYN.LE00.IN"/>
    <x v="50"/>
    <n v="71"/>
    <x v="5"/>
  </r>
  <r>
    <x v="7"/>
    <s v="BIH"/>
    <x v="3"/>
    <s v="SP.DYN.LE00.IN"/>
    <x v="51"/>
    <n v="71"/>
    <x v="0"/>
  </r>
  <r>
    <x v="7"/>
    <s v="BIH"/>
    <x v="3"/>
    <s v="SP.DYN.LE00.IN"/>
    <x v="52"/>
    <n v="71"/>
    <x v="0"/>
  </r>
  <r>
    <x v="7"/>
    <s v="BIH"/>
    <x v="3"/>
    <s v="SP.DYN.LE00.IN"/>
    <x v="53"/>
    <n v="71"/>
    <x v="0"/>
  </r>
  <r>
    <x v="7"/>
    <s v="BIH"/>
    <x v="3"/>
    <s v="SP.DYN.LE00.IN"/>
    <x v="0"/>
    <n v="72"/>
    <x v="0"/>
  </r>
  <r>
    <x v="7"/>
    <s v="BIH"/>
    <x v="3"/>
    <s v="SP.DYN.LE00.IN"/>
    <x v="1"/>
    <n v="72"/>
    <x v="0"/>
  </r>
  <r>
    <x v="7"/>
    <s v="BIH"/>
    <x v="3"/>
    <s v="SP.DYN.LE00.IN"/>
    <x v="2"/>
    <n v="52"/>
    <x v="0"/>
  </r>
  <r>
    <x v="7"/>
    <s v="BIH"/>
    <x v="3"/>
    <s v="SP.DYN.LE00.IN"/>
    <x v="3"/>
    <n v="51"/>
    <x v="0"/>
  </r>
  <r>
    <x v="7"/>
    <s v="BIH"/>
    <x v="3"/>
    <s v="SP.DYN.LE00.IN"/>
    <x v="4"/>
    <n v="67"/>
    <x v="0"/>
  </r>
  <r>
    <x v="7"/>
    <s v="BIH"/>
    <x v="3"/>
    <s v="SP.DYN.LE00.IN"/>
    <x v="5"/>
    <n v="70"/>
    <x v="0"/>
  </r>
  <r>
    <x v="7"/>
    <s v="BIH"/>
    <x v="3"/>
    <s v="SP.DYN.LE00.IN"/>
    <x v="6"/>
    <n v="73"/>
    <x v="0"/>
  </r>
  <r>
    <x v="7"/>
    <s v="BIH"/>
    <x v="3"/>
    <s v="SP.DYN.LE00.IN"/>
    <x v="7"/>
    <n v="74"/>
    <x v="1"/>
  </r>
  <r>
    <x v="7"/>
    <s v="BIH"/>
    <x v="3"/>
    <s v="SP.DYN.LE00.IN"/>
    <x v="8"/>
    <n v="74"/>
    <x v="1"/>
  </r>
  <r>
    <x v="7"/>
    <s v="BIH"/>
    <x v="3"/>
    <s v="SP.DYN.LE00.IN"/>
    <x v="9"/>
    <n v="75"/>
    <x v="1"/>
  </r>
  <r>
    <x v="7"/>
    <s v="BIH"/>
    <x v="3"/>
    <s v="SP.DYN.LE00.IN"/>
    <x v="10"/>
    <n v="75"/>
    <x v="1"/>
  </r>
  <r>
    <x v="7"/>
    <s v="BIH"/>
    <x v="3"/>
    <s v="SP.DYN.LE00.IN"/>
    <x v="11"/>
    <n v="76"/>
    <x v="1"/>
  </r>
  <r>
    <x v="7"/>
    <s v="BIH"/>
    <x v="3"/>
    <s v="SP.DYN.LE00.IN"/>
    <x v="12"/>
    <n v="76"/>
    <x v="1"/>
  </r>
  <r>
    <x v="7"/>
    <s v="BIH"/>
    <x v="3"/>
    <s v="SP.DYN.LE00.IN"/>
    <x v="13"/>
    <n v="76"/>
    <x v="1"/>
  </r>
  <r>
    <x v="7"/>
    <s v="BIH"/>
    <x v="3"/>
    <s v="SP.DYN.LE00.IN"/>
    <x v="14"/>
    <n v="76"/>
    <x v="1"/>
  </r>
  <r>
    <x v="7"/>
    <s v="BIH"/>
    <x v="3"/>
    <s v="SP.DYN.LE00.IN"/>
    <x v="15"/>
    <n v="76"/>
    <x v="1"/>
  </r>
  <r>
    <x v="7"/>
    <s v="BIH"/>
    <x v="3"/>
    <s v="SP.DYN.LE00.IN"/>
    <x v="16"/>
    <n v="76"/>
    <x v="1"/>
  </r>
  <r>
    <x v="7"/>
    <s v="BIH"/>
    <x v="3"/>
    <s v="SP.DYN.LE00.IN"/>
    <x v="17"/>
    <n v="76"/>
    <x v="2"/>
  </r>
  <r>
    <x v="7"/>
    <s v="BIH"/>
    <x v="3"/>
    <s v="SP.DYN.LE00.IN"/>
    <x v="18"/>
    <n v="76"/>
    <x v="2"/>
  </r>
  <r>
    <x v="7"/>
    <s v="BIH"/>
    <x v="3"/>
    <s v="SP.DYN.LE00.IN"/>
    <x v="19"/>
    <n v="77"/>
    <x v="2"/>
  </r>
  <r>
    <x v="7"/>
    <s v="BIH"/>
    <x v="3"/>
    <s v="SP.DYN.LE00.IN"/>
    <x v="20"/>
    <n v="77"/>
    <x v="2"/>
  </r>
  <r>
    <x v="7"/>
    <s v="BIH"/>
    <x v="3"/>
    <s v="SP.DYN.LE00.IN"/>
    <x v="21"/>
    <n v="77"/>
    <x v="2"/>
  </r>
  <r>
    <x v="7"/>
    <s v="BIH"/>
    <x v="3"/>
    <s v="SP.DYN.LE00.IN"/>
    <x v="22"/>
    <n v="77"/>
    <x v="2"/>
  </r>
  <r>
    <x v="7"/>
    <s v="BIH"/>
    <x v="3"/>
    <s v="SP.DYN.LE00.IN"/>
    <x v="23"/>
    <n v="77"/>
    <x v="2"/>
  </r>
  <r>
    <x v="7"/>
    <s v="BIH"/>
    <x v="3"/>
    <s v="SP.DYN.LE00.IN"/>
    <x v="24"/>
    <n v="77"/>
    <x v="2"/>
  </r>
  <r>
    <x v="7"/>
    <s v="BIH"/>
    <x v="3"/>
    <s v="SP.DYN.LE00.IN"/>
    <x v="25"/>
    <n v="77"/>
    <x v="2"/>
  </r>
  <r>
    <x v="7"/>
    <s v="BIH"/>
    <x v="3"/>
    <s v="SP.DYN.LE00.IN"/>
    <x v="26"/>
    <n v="77"/>
    <x v="2"/>
  </r>
  <r>
    <x v="7"/>
    <s v="BIH"/>
    <x v="3"/>
    <s v="SP.DYN.LE00.IN"/>
    <x v="27"/>
    <n v="77"/>
    <x v="3"/>
  </r>
  <r>
    <x v="7"/>
    <s v="BIH"/>
    <x v="3"/>
    <s v="SP.DYN.LE00.IN"/>
    <x v="28"/>
    <n v="78"/>
    <x v="3"/>
  </r>
  <r>
    <x v="7"/>
    <s v="BIH"/>
    <x v="3"/>
    <s v="SP.DYN.LE00.IN"/>
    <x v="29"/>
    <n v="77"/>
    <x v="3"/>
  </r>
  <r>
    <x v="7"/>
    <s v="BIH"/>
    <x v="3"/>
    <s v="SP.DYN.LE00.IN"/>
    <x v="30"/>
    <n v="76"/>
    <x v="3"/>
  </r>
  <r>
    <x v="7"/>
    <s v="BIH"/>
    <x v="3"/>
    <s v="SP.DYN.LE00.IN"/>
    <x v="31"/>
    <n v="75"/>
    <x v="6"/>
  </r>
  <r>
    <x v="7"/>
    <s v="BIH"/>
    <x v="3"/>
    <s v="SP.DYN.LE00.IN"/>
    <x v="32"/>
    <n v="77"/>
    <x v="6"/>
  </r>
  <r>
    <x v="7"/>
    <s v="BIH"/>
    <x v="3"/>
    <s v="SP.DYN.LE00.IN"/>
    <x v="33"/>
    <n v="78"/>
    <x v="6"/>
  </r>
  <r>
    <x v="8"/>
    <s v="BLR"/>
    <x v="3"/>
    <s v="SP.DYN.LE00.IN"/>
    <x v="55"/>
    <n v="69"/>
    <x v="6"/>
  </r>
  <r>
    <x v="8"/>
    <s v="BLR"/>
    <x v="3"/>
    <s v="SP.DYN.LE00.IN"/>
    <x v="56"/>
    <n v="70"/>
    <x v="6"/>
  </r>
  <r>
    <x v="8"/>
    <s v="BLR"/>
    <x v="3"/>
    <s v="SP.DYN.LE00.IN"/>
    <x v="57"/>
    <n v="69"/>
    <x v="6"/>
  </r>
  <r>
    <x v="8"/>
    <s v="BLR"/>
    <x v="3"/>
    <s v="SP.DYN.LE00.IN"/>
    <x v="58"/>
    <n v="70"/>
    <x v="6"/>
  </r>
  <r>
    <x v="8"/>
    <s v="BLR"/>
    <x v="3"/>
    <s v="SP.DYN.LE00.IN"/>
    <x v="59"/>
    <n v="71"/>
    <x v="6"/>
  </r>
  <r>
    <x v="8"/>
    <s v="BLR"/>
    <x v="3"/>
    <s v="SP.DYN.LE00.IN"/>
    <x v="60"/>
    <n v="71"/>
    <x v="6"/>
  </r>
  <r>
    <x v="8"/>
    <s v="BLR"/>
    <x v="3"/>
    <s v="SP.DYN.LE00.IN"/>
    <x v="61"/>
    <n v="71"/>
    <x v="6"/>
  </r>
  <r>
    <x v="8"/>
    <s v="BLR"/>
    <x v="3"/>
    <s v="SP.DYN.LE00.IN"/>
    <x v="62"/>
    <n v="71"/>
    <x v="4"/>
  </r>
  <r>
    <x v="8"/>
    <s v="BLR"/>
    <x v="3"/>
    <s v="SP.DYN.LE00.IN"/>
    <x v="63"/>
    <n v="71"/>
    <x v="4"/>
  </r>
  <r>
    <x v="8"/>
    <s v="BLR"/>
    <x v="3"/>
    <s v="SP.DYN.LE00.IN"/>
    <x v="64"/>
    <n v="71"/>
    <x v="4"/>
  </r>
  <r>
    <x v="8"/>
    <s v="BLR"/>
    <x v="3"/>
    <s v="SP.DYN.LE00.IN"/>
    <x v="34"/>
    <n v="71"/>
    <x v="4"/>
  </r>
  <r>
    <x v="8"/>
    <s v="BLR"/>
    <x v="3"/>
    <s v="SP.DYN.LE00.IN"/>
    <x v="35"/>
    <n v="71"/>
    <x v="4"/>
  </r>
  <r>
    <x v="8"/>
    <s v="BLR"/>
    <x v="3"/>
    <s v="SP.DYN.LE00.IN"/>
    <x v="36"/>
    <n v="71"/>
    <x v="4"/>
  </r>
  <r>
    <x v="8"/>
    <s v="BLR"/>
    <x v="3"/>
    <s v="SP.DYN.LE00.IN"/>
    <x v="37"/>
    <n v="71"/>
    <x v="4"/>
  </r>
  <r>
    <x v="8"/>
    <s v="BLR"/>
    <x v="3"/>
    <s v="SP.DYN.LE00.IN"/>
    <x v="38"/>
    <n v="71"/>
    <x v="4"/>
  </r>
  <r>
    <x v="8"/>
    <s v="BLR"/>
    <x v="3"/>
    <s v="SP.DYN.LE00.IN"/>
    <x v="39"/>
    <n v="70"/>
    <x v="4"/>
  </r>
  <r>
    <x v="8"/>
    <s v="BLR"/>
    <x v="3"/>
    <s v="SP.DYN.LE00.IN"/>
    <x v="40"/>
    <n v="70"/>
    <x v="4"/>
  </r>
  <r>
    <x v="8"/>
    <s v="BLR"/>
    <x v="3"/>
    <s v="SP.DYN.LE00.IN"/>
    <x v="41"/>
    <n v="70"/>
    <x v="5"/>
  </r>
  <r>
    <x v="8"/>
    <s v="BLR"/>
    <x v="3"/>
    <s v="SP.DYN.LE00.IN"/>
    <x v="42"/>
    <n v="70"/>
    <x v="5"/>
  </r>
  <r>
    <x v="8"/>
    <s v="BLR"/>
    <x v="3"/>
    <s v="SP.DYN.LE00.IN"/>
    <x v="43"/>
    <n v="70"/>
    <x v="5"/>
  </r>
  <r>
    <x v="8"/>
    <s v="BLR"/>
    <x v="3"/>
    <s v="SP.DYN.LE00.IN"/>
    <x v="44"/>
    <n v="70"/>
    <x v="5"/>
  </r>
  <r>
    <x v="8"/>
    <s v="BLR"/>
    <x v="3"/>
    <s v="SP.DYN.LE00.IN"/>
    <x v="45"/>
    <n v="70"/>
    <x v="5"/>
  </r>
  <r>
    <x v="8"/>
    <s v="BLR"/>
    <x v="3"/>
    <s v="SP.DYN.LE00.IN"/>
    <x v="46"/>
    <n v="70"/>
    <x v="5"/>
  </r>
  <r>
    <x v="8"/>
    <s v="BLR"/>
    <x v="3"/>
    <s v="SP.DYN.LE00.IN"/>
    <x v="47"/>
    <n v="70"/>
    <x v="5"/>
  </r>
  <r>
    <x v="8"/>
    <s v="BLR"/>
    <x v="3"/>
    <s v="SP.DYN.LE00.IN"/>
    <x v="48"/>
    <n v="70"/>
    <x v="5"/>
  </r>
  <r>
    <x v="8"/>
    <s v="BLR"/>
    <x v="3"/>
    <s v="SP.DYN.LE00.IN"/>
    <x v="49"/>
    <n v="71"/>
    <x v="5"/>
  </r>
  <r>
    <x v="8"/>
    <s v="BLR"/>
    <x v="3"/>
    <s v="SP.DYN.LE00.IN"/>
    <x v="50"/>
    <n v="72"/>
    <x v="5"/>
  </r>
  <r>
    <x v="8"/>
    <s v="BLR"/>
    <x v="3"/>
    <s v="SP.DYN.LE00.IN"/>
    <x v="51"/>
    <n v="71"/>
    <x v="0"/>
  </r>
  <r>
    <x v="8"/>
    <s v="BLR"/>
    <x v="3"/>
    <s v="SP.DYN.LE00.IN"/>
    <x v="52"/>
    <n v="71"/>
    <x v="0"/>
  </r>
  <r>
    <x v="8"/>
    <s v="BLR"/>
    <x v="3"/>
    <s v="SP.DYN.LE00.IN"/>
    <x v="53"/>
    <n v="71"/>
    <x v="0"/>
  </r>
  <r>
    <x v="8"/>
    <s v="BLR"/>
    <x v="3"/>
    <s v="SP.DYN.LE00.IN"/>
    <x v="0"/>
    <n v="71"/>
    <x v="0"/>
  </r>
  <r>
    <x v="8"/>
    <s v="BLR"/>
    <x v="3"/>
    <s v="SP.DYN.LE00.IN"/>
    <x v="1"/>
    <n v="70"/>
    <x v="0"/>
  </r>
  <r>
    <x v="8"/>
    <s v="BLR"/>
    <x v="3"/>
    <s v="SP.DYN.LE00.IN"/>
    <x v="2"/>
    <n v="70"/>
    <x v="0"/>
  </r>
  <r>
    <x v="8"/>
    <s v="BLR"/>
    <x v="3"/>
    <s v="SP.DYN.LE00.IN"/>
    <x v="3"/>
    <n v="69"/>
    <x v="0"/>
  </r>
  <r>
    <x v="8"/>
    <s v="BLR"/>
    <x v="3"/>
    <s v="SP.DYN.LE00.IN"/>
    <x v="4"/>
    <n v="69"/>
    <x v="0"/>
  </r>
  <r>
    <x v="8"/>
    <s v="BLR"/>
    <x v="3"/>
    <s v="SP.DYN.LE00.IN"/>
    <x v="5"/>
    <n v="68"/>
    <x v="0"/>
  </r>
  <r>
    <x v="8"/>
    <s v="BLR"/>
    <x v="3"/>
    <s v="SP.DYN.LE00.IN"/>
    <x v="6"/>
    <n v="69"/>
    <x v="0"/>
  </r>
  <r>
    <x v="8"/>
    <s v="BLR"/>
    <x v="3"/>
    <s v="SP.DYN.LE00.IN"/>
    <x v="7"/>
    <n v="68"/>
    <x v="1"/>
  </r>
  <r>
    <x v="8"/>
    <s v="BLR"/>
    <x v="3"/>
    <s v="SP.DYN.LE00.IN"/>
    <x v="8"/>
    <n v="68"/>
    <x v="1"/>
  </r>
  <r>
    <x v="8"/>
    <s v="BLR"/>
    <x v="3"/>
    <s v="SP.DYN.LE00.IN"/>
    <x v="9"/>
    <n v="68"/>
    <x v="1"/>
  </r>
  <r>
    <x v="8"/>
    <s v="BLR"/>
    <x v="3"/>
    <s v="SP.DYN.LE00.IN"/>
    <x v="10"/>
    <n v="69"/>
    <x v="1"/>
  </r>
  <r>
    <x v="8"/>
    <s v="BLR"/>
    <x v="3"/>
    <s v="SP.DYN.LE00.IN"/>
    <x v="11"/>
    <n v="69"/>
    <x v="1"/>
  </r>
  <r>
    <x v="8"/>
    <s v="BLR"/>
    <x v="3"/>
    <s v="SP.DYN.LE00.IN"/>
    <x v="12"/>
    <n v="68"/>
    <x v="1"/>
  </r>
  <r>
    <x v="8"/>
    <s v="BLR"/>
    <x v="3"/>
    <s v="SP.DYN.LE00.IN"/>
    <x v="13"/>
    <n v="69"/>
    <x v="1"/>
  </r>
  <r>
    <x v="8"/>
    <s v="BLR"/>
    <x v="3"/>
    <s v="SP.DYN.LE00.IN"/>
    <x v="14"/>
    <n v="69"/>
    <x v="1"/>
  </r>
  <r>
    <x v="8"/>
    <s v="BLR"/>
    <x v="3"/>
    <s v="SP.DYN.LE00.IN"/>
    <x v="15"/>
    <n v="69"/>
    <x v="1"/>
  </r>
  <r>
    <x v="8"/>
    <s v="BLR"/>
    <x v="3"/>
    <s v="SP.DYN.LE00.IN"/>
    <x v="16"/>
    <n v="69"/>
    <x v="1"/>
  </r>
  <r>
    <x v="8"/>
    <s v="BLR"/>
    <x v="3"/>
    <s v="SP.DYN.LE00.IN"/>
    <x v="17"/>
    <n v="70"/>
    <x v="2"/>
  </r>
  <r>
    <x v="8"/>
    <s v="BLR"/>
    <x v="3"/>
    <s v="SP.DYN.LE00.IN"/>
    <x v="18"/>
    <n v="70"/>
    <x v="2"/>
  </r>
  <r>
    <x v="8"/>
    <s v="BLR"/>
    <x v="3"/>
    <s v="SP.DYN.LE00.IN"/>
    <x v="19"/>
    <n v="70"/>
    <x v="2"/>
  </r>
  <r>
    <x v="8"/>
    <s v="BLR"/>
    <x v="3"/>
    <s v="SP.DYN.LE00.IN"/>
    <x v="20"/>
    <n v="70"/>
    <x v="2"/>
  </r>
  <r>
    <x v="8"/>
    <s v="BLR"/>
    <x v="3"/>
    <s v="SP.DYN.LE00.IN"/>
    <x v="21"/>
    <n v="71"/>
    <x v="2"/>
  </r>
  <r>
    <x v="8"/>
    <s v="BLR"/>
    <x v="3"/>
    <s v="SP.DYN.LE00.IN"/>
    <x v="22"/>
    <n v="72"/>
    <x v="2"/>
  </r>
  <r>
    <x v="8"/>
    <s v="BLR"/>
    <x v="3"/>
    <s v="SP.DYN.LE00.IN"/>
    <x v="23"/>
    <n v="72"/>
    <x v="2"/>
  </r>
  <r>
    <x v="8"/>
    <s v="BLR"/>
    <x v="3"/>
    <s v="SP.DYN.LE00.IN"/>
    <x v="24"/>
    <n v="73"/>
    <x v="2"/>
  </r>
  <r>
    <x v="8"/>
    <s v="BLR"/>
    <x v="3"/>
    <s v="SP.DYN.LE00.IN"/>
    <x v="25"/>
    <n v="74"/>
    <x v="2"/>
  </r>
  <r>
    <x v="8"/>
    <s v="BLR"/>
    <x v="3"/>
    <s v="SP.DYN.LE00.IN"/>
    <x v="26"/>
    <n v="74"/>
    <x v="2"/>
  </r>
  <r>
    <x v="8"/>
    <s v="BLR"/>
    <x v="3"/>
    <s v="SP.DYN.LE00.IN"/>
    <x v="27"/>
    <n v="74"/>
    <x v="3"/>
  </r>
  <r>
    <x v="8"/>
    <s v="BLR"/>
    <x v="3"/>
    <s v="SP.DYN.LE00.IN"/>
    <x v="28"/>
    <n v="74"/>
    <x v="3"/>
  </r>
  <r>
    <x v="8"/>
    <s v="BLR"/>
    <x v="3"/>
    <s v="SP.DYN.LE00.IN"/>
    <x v="29"/>
    <n v="74"/>
    <x v="3"/>
  </r>
  <r>
    <x v="8"/>
    <s v="BLR"/>
    <x v="3"/>
    <s v="SP.DYN.LE00.IN"/>
    <x v="30"/>
    <n v="72"/>
    <x v="3"/>
  </r>
  <r>
    <x v="8"/>
    <s v="BLR"/>
    <x v="3"/>
    <s v="SP.DYN.LE00.IN"/>
    <x v="31"/>
    <n v="72"/>
    <x v="6"/>
  </r>
  <r>
    <x v="8"/>
    <s v="BLR"/>
    <x v="3"/>
    <s v="SP.DYN.LE00.IN"/>
    <x v="32"/>
    <n v="74"/>
    <x v="6"/>
  </r>
  <r>
    <x v="8"/>
    <s v="BLR"/>
    <x v="3"/>
    <s v="SP.DYN.LE00.IN"/>
    <x v="33"/>
    <n v="74"/>
    <x v="6"/>
  </r>
  <r>
    <x v="9"/>
    <s v="CHE"/>
    <x v="3"/>
    <s v="SP.DYN.LE00.IN"/>
    <x v="55"/>
    <n v="71"/>
    <x v="6"/>
  </r>
  <r>
    <x v="9"/>
    <s v="CHE"/>
    <x v="3"/>
    <s v="SP.DYN.LE00.IN"/>
    <x v="56"/>
    <n v="72"/>
    <x v="6"/>
  </r>
  <r>
    <x v="9"/>
    <s v="CHE"/>
    <x v="3"/>
    <s v="SP.DYN.LE00.IN"/>
    <x v="57"/>
    <n v="71"/>
    <x v="6"/>
  </r>
  <r>
    <x v="9"/>
    <s v="CHE"/>
    <x v="3"/>
    <s v="SP.DYN.LE00.IN"/>
    <x v="58"/>
    <n v="71"/>
    <x v="6"/>
  </r>
  <r>
    <x v="9"/>
    <s v="CHE"/>
    <x v="3"/>
    <s v="SP.DYN.LE00.IN"/>
    <x v="59"/>
    <n v="72"/>
    <x v="6"/>
  </r>
  <r>
    <x v="9"/>
    <s v="CHE"/>
    <x v="3"/>
    <s v="SP.DYN.LE00.IN"/>
    <x v="60"/>
    <n v="72"/>
    <x v="6"/>
  </r>
  <r>
    <x v="9"/>
    <s v="CHE"/>
    <x v="3"/>
    <s v="SP.DYN.LE00.IN"/>
    <x v="61"/>
    <n v="72"/>
    <x v="6"/>
  </r>
  <r>
    <x v="9"/>
    <s v="CHE"/>
    <x v="3"/>
    <s v="SP.DYN.LE00.IN"/>
    <x v="62"/>
    <n v="73"/>
    <x v="4"/>
  </r>
  <r>
    <x v="9"/>
    <s v="CHE"/>
    <x v="3"/>
    <s v="SP.DYN.LE00.IN"/>
    <x v="63"/>
    <n v="73"/>
    <x v="4"/>
  </r>
  <r>
    <x v="9"/>
    <s v="CHE"/>
    <x v="3"/>
    <s v="SP.DYN.LE00.IN"/>
    <x v="64"/>
    <n v="73"/>
    <x v="4"/>
  </r>
  <r>
    <x v="9"/>
    <s v="CHE"/>
    <x v="3"/>
    <s v="SP.DYN.LE00.IN"/>
    <x v="34"/>
    <n v="73"/>
    <x v="4"/>
  </r>
  <r>
    <x v="9"/>
    <s v="CHE"/>
    <x v="3"/>
    <s v="SP.DYN.LE00.IN"/>
    <x v="35"/>
    <n v="73"/>
    <x v="4"/>
  </r>
  <r>
    <x v="9"/>
    <s v="CHE"/>
    <x v="3"/>
    <s v="SP.DYN.LE00.IN"/>
    <x v="36"/>
    <n v="74"/>
    <x v="4"/>
  </r>
  <r>
    <x v="9"/>
    <s v="CHE"/>
    <x v="3"/>
    <s v="SP.DYN.LE00.IN"/>
    <x v="37"/>
    <n v="74"/>
    <x v="4"/>
  </r>
  <r>
    <x v="9"/>
    <s v="CHE"/>
    <x v="3"/>
    <s v="SP.DYN.LE00.IN"/>
    <x v="38"/>
    <n v="74"/>
    <x v="4"/>
  </r>
  <r>
    <x v="9"/>
    <s v="CHE"/>
    <x v="3"/>
    <s v="SP.DYN.LE00.IN"/>
    <x v="39"/>
    <n v="75"/>
    <x v="4"/>
  </r>
  <r>
    <x v="9"/>
    <s v="CHE"/>
    <x v="3"/>
    <s v="SP.DYN.LE00.IN"/>
    <x v="40"/>
    <n v="75"/>
    <x v="4"/>
  </r>
  <r>
    <x v="9"/>
    <s v="CHE"/>
    <x v="3"/>
    <s v="SP.DYN.LE00.IN"/>
    <x v="41"/>
    <n v="75"/>
    <x v="5"/>
  </r>
  <r>
    <x v="9"/>
    <s v="CHE"/>
    <x v="3"/>
    <s v="SP.DYN.LE00.IN"/>
    <x v="42"/>
    <n v="75"/>
    <x v="5"/>
  </r>
  <r>
    <x v="9"/>
    <s v="CHE"/>
    <x v="3"/>
    <s v="SP.DYN.LE00.IN"/>
    <x v="43"/>
    <n v="75"/>
    <x v="5"/>
  </r>
  <r>
    <x v="9"/>
    <s v="CHE"/>
    <x v="3"/>
    <s v="SP.DYN.LE00.IN"/>
    <x v="44"/>
    <n v="75"/>
    <x v="5"/>
  </r>
  <r>
    <x v="9"/>
    <s v="CHE"/>
    <x v="3"/>
    <s v="SP.DYN.LE00.IN"/>
    <x v="45"/>
    <n v="76"/>
    <x v="5"/>
  </r>
  <r>
    <x v="9"/>
    <s v="CHE"/>
    <x v="3"/>
    <s v="SP.DYN.LE00.IN"/>
    <x v="46"/>
    <n v="76"/>
    <x v="5"/>
  </r>
  <r>
    <x v="9"/>
    <s v="CHE"/>
    <x v="3"/>
    <s v="SP.DYN.LE00.IN"/>
    <x v="47"/>
    <n v="76"/>
    <x v="5"/>
  </r>
  <r>
    <x v="9"/>
    <s v="CHE"/>
    <x v="3"/>
    <s v="SP.DYN.LE00.IN"/>
    <x v="48"/>
    <n v="77"/>
    <x v="5"/>
  </r>
  <r>
    <x v="9"/>
    <s v="CHE"/>
    <x v="3"/>
    <s v="SP.DYN.LE00.IN"/>
    <x v="49"/>
    <n v="77"/>
    <x v="5"/>
  </r>
  <r>
    <x v="9"/>
    <s v="CHE"/>
    <x v="3"/>
    <s v="SP.DYN.LE00.IN"/>
    <x v="50"/>
    <n v="77"/>
    <x v="5"/>
  </r>
  <r>
    <x v="9"/>
    <s v="CHE"/>
    <x v="3"/>
    <s v="SP.DYN.LE00.IN"/>
    <x v="51"/>
    <n v="77"/>
    <x v="0"/>
  </r>
  <r>
    <x v="9"/>
    <s v="CHE"/>
    <x v="3"/>
    <s v="SP.DYN.LE00.IN"/>
    <x v="52"/>
    <n v="77"/>
    <x v="0"/>
  </r>
  <r>
    <x v="9"/>
    <s v="CHE"/>
    <x v="3"/>
    <s v="SP.DYN.LE00.IN"/>
    <x v="53"/>
    <n v="77"/>
    <x v="0"/>
  </r>
  <r>
    <x v="9"/>
    <s v="CHE"/>
    <x v="3"/>
    <s v="SP.DYN.LE00.IN"/>
    <x v="0"/>
    <n v="77"/>
    <x v="0"/>
  </r>
  <r>
    <x v="9"/>
    <s v="CHE"/>
    <x v="3"/>
    <s v="SP.DYN.LE00.IN"/>
    <x v="1"/>
    <n v="78"/>
    <x v="0"/>
  </r>
  <r>
    <x v="9"/>
    <s v="CHE"/>
    <x v="3"/>
    <s v="SP.DYN.LE00.IN"/>
    <x v="2"/>
    <n v="78"/>
    <x v="0"/>
  </r>
  <r>
    <x v="9"/>
    <s v="CHE"/>
    <x v="3"/>
    <s v="SP.DYN.LE00.IN"/>
    <x v="3"/>
    <n v="78"/>
    <x v="0"/>
  </r>
  <r>
    <x v="9"/>
    <s v="CHE"/>
    <x v="3"/>
    <s v="SP.DYN.LE00.IN"/>
    <x v="4"/>
    <n v="78"/>
    <x v="0"/>
  </r>
  <r>
    <x v="9"/>
    <s v="CHE"/>
    <x v="3"/>
    <s v="SP.DYN.LE00.IN"/>
    <x v="5"/>
    <n v="78"/>
    <x v="0"/>
  </r>
  <r>
    <x v="9"/>
    <s v="CHE"/>
    <x v="3"/>
    <s v="SP.DYN.LE00.IN"/>
    <x v="6"/>
    <n v="79"/>
    <x v="0"/>
  </r>
  <r>
    <x v="9"/>
    <s v="CHE"/>
    <x v="3"/>
    <s v="SP.DYN.LE00.IN"/>
    <x v="7"/>
    <n v="79"/>
    <x v="1"/>
  </r>
  <r>
    <x v="9"/>
    <s v="CHE"/>
    <x v="3"/>
    <s v="SP.DYN.LE00.IN"/>
    <x v="8"/>
    <n v="79"/>
    <x v="1"/>
  </r>
  <r>
    <x v="9"/>
    <s v="CHE"/>
    <x v="3"/>
    <s v="SP.DYN.LE00.IN"/>
    <x v="9"/>
    <n v="80"/>
    <x v="1"/>
  </r>
  <r>
    <x v="9"/>
    <s v="CHE"/>
    <x v="3"/>
    <s v="SP.DYN.LE00.IN"/>
    <x v="10"/>
    <n v="80"/>
    <x v="1"/>
  </r>
  <r>
    <x v="9"/>
    <s v="CHE"/>
    <x v="3"/>
    <s v="SP.DYN.LE00.IN"/>
    <x v="11"/>
    <n v="80"/>
    <x v="1"/>
  </r>
  <r>
    <x v="9"/>
    <s v="CHE"/>
    <x v="3"/>
    <s v="SP.DYN.LE00.IN"/>
    <x v="12"/>
    <n v="80"/>
    <x v="1"/>
  </r>
  <r>
    <x v="9"/>
    <s v="CHE"/>
    <x v="3"/>
    <s v="SP.DYN.LE00.IN"/>
    <x v="13"/>
    <n v="81"/>
    <x v="1"/>
  </r>
  <r>
    <x v="9"/>
    <s v="CHE"/>
    <x v="3"/>
    <s v="SP.DYN.LE00.IN"/>
    <x v="14"/>
    <n v="81"/>
    <x v="1"/>
  </r>
  <r>
    <x v="9"/>
    <s v="CHE"/>
    <x v="3"/>
    <s v="SP.DYN.LE00.IN"/>
    <x v="15"/>
    <n v="81"/>
    <x v="1"/>
  </r>
  <r>
    <x v="9"/>
    <s v="CHE"/>
    <x v="3"/>
    <s v="SP.DYN.LE00.IN"/>
    <x v="16"/>
    <n v="81"/>
    <x v="1"/>
  </r>
  <r>
    <x v="9"/>
    <s v="CHE"/>
    <x v="3"/>
    <s v="SP.DYN.LE00.IN"/>
    <x v="17"/>
    <n v="82"/>
    <x v="2"/>
  </r>
  <r>
    <x v="9"/>
    <s v="CHE"/>
    <x v="3"/>
    <s v="SP.DYN.LE00.IN"/>
    <x v="18"/>
    <n v="82"/>
    <x v="2"/>
  </r>
  <r>
    <x v="9"/>
    <s v="CHE"/>
    <x v="3"/>
    <s v="SP.DYN.LE00.IN"/>
    <x v="19"/>
    <n v="82"/>
    <x v="2"/>
  </r>
  <r>
    <x v="9"/>
    <s v="CHE"/>
    <x v="3"/>
    <s v="SP.DYN.LE00.IN"/>
    <x v="20"/>
    <n v="82"/>
    <x v="2"/>
  </r>
  <r>
    <x v="9"/>
    <s v="CHE"/>
    <x v="3"/>
    <s v="SP.DYN.LE00.IN"/>
    <x v="21"/>
    <n v="83"/>
    <x v="2"/>
  </r>
  <r>
    <x v="9"/>
    <s v="CHE"/>
    <x v="3"/>
    <s v="SP.DYN.LE00.IN"/>
    <x v="22"/>
    <n v="83"/>
    <x v="2"/>
  </r>
  <r>
    <x v="9"/>
    <s v="CHE"/>
    <x v="3"/>
    <s v="SP.DYN.LE00.IN"/>
    <x v="23"/>
    <n v="83"/>
    <x v="2"/>
  </r>
  <r>
    <x v="9"/>
    <s v="CHE"/>
    <x v="3"/>
    <s v="SP.DYN.LE00.IN"/>
    <x v="24"/>
    <n v="83"/>
    <x v="2"/>
  </r>
  <r>
    <x v="9"/>
    <s v="CHE"/>
    <x v="3"/>
    <s v="SP.DYN.LE00.IN"/>
    <x v="25"/>
    <n v="83"/>
    <x v="2"/>
  </r>
  <r>
    <x v="9"/>
    <s v="CHE"/>
    <x v="3"/>
    <s v="SP.DYN.LE00.IN"/>
    <x v="26"/>
    <n v="84"/>
    <x v="2"/>
  </r>
  <r>
    <x v="9"/>
    <s v="CHE"/>
    <x v="3"/>
    <s v="SP.DYN.LE00.IN"/>
    <x v="27"/>
    <n v="84"/>
    <x v="3"/>
  </r>
  <r>
    <x v="9"/>
    <s v="CHE"/>
    <x v="3"/>
    <s v="SP.DYN.LE00.IN"/>
    <x v="28"/>
    <n v="84"/>
    <x v="3"/>
  </r>
  <r>
    <x v="9"/>
    <s v="CHE"/>
    <x v="3"/>
    <s v="SP.DYN.LE00.IN"/>
    <x v="29"/>
    <n v="84"/>
    <x v="3"/>
  </r>
  <r>
    <x v="9"/>
    <s v="CHE"/>
    <x v="3"/>
    <s v="SP.DYN.LE00.IN"/>
    <x v="30"/>
    <n v="83"/>
    <x v="3"/>
  </r>
  <r>
    <x v="9"/>
    <s v="CHE"/>
    <x v="3"/>
    <s v="SP.DYN.LE00.IN"/>
    <x v="31"/>
    <n v="84"/>
    <x v="6"/>
  </r>
  <r>
    <x v="9"/>
    <s v="CHE"/>
    <x v="3"/>
    <s v="SP.DYN.LE00.IN"/>
    <x v="32"/>
    <n v="84"/>
    <x v="6"/>
  </r>
  <r>
    <x v="9"/>
    <s v="CHE"/>
    <x v="3"/>
    <s v="SP.DYN.LE00.IN"/>
    <x v="33"/>
    <n v="84"/>
    <x v="6"/>
  </r>
  <r>
    <x v="10"/>
    <s v="CHI"/>
    <x v="3"/>
    <s v="SP.DYN.LE00.IN"/>
    <x v="55"/>
    <n v="73"/>
    <x v="6"/>
  </r>
  <r>
    <x v="10"/>
    <s v="CHI"/>
    <x v="3"/>
    <s v="SP.DYN.LE00.IN"/>
    <x v="56"/>
    <n v="72"/>
    <x v="6"/>
  </r>
  <r>
    <x v="10"/>
    <s v="CHI"/>
    <x v="3"/>
    <s v="SP.DYN.LE00.IN"/>
    <x v="57"/>
    <n v="72"/>
    <x v="6"/>
  </r>
  <r>
    <x v="10"/>
    <s v="CHI"/>
    <x v="3"/>
    <s v="SP.DYN.LE00.IN"/>
    <x v="58"/>
    <n v="72"/>
    <x v="6"/>
  </r>
  <r>
    <x v="10"/>
    <s v="CHI"/>
    <x v="3"/>
    <s v="SP.DYN.LE00.IN"/>
    <x v="59"/>
    <n v="72"/>
    <x v="6"/>
  </r>
  <r>
    <x v="10"/>
    <s v="CHI"/>
    <x v="3"/>
    <s v="SP.DYN.LE00.IN"/>
    <x v="60"/>
    <n v="72"/>
    <x v="6"/>
  </r>
  <r>
    <x v="10"/>
    <s v="CHI"/>
    <x v="3"/>
    <s v="SP.DYN.LE00.IN"/>
    <x v="61"/>
    <n v="72"/>
    <x v="6"/>
  </r>
  <r>
    <x v="10"/>
    <s v="CHI"/>
    <x v="3"/>
    <s v="SP.DYN.LE00.IN"/>
    <x v="62"/>
    <n v="72"/>
    <x v="4"/>
  </r>
  <r>
    <x v="10"/>
    <s v="CHI"/>
    <x v="3"/>
    <s v="SP.DYN.LE00.IN"/>
    <x v="63"/>
    <n v="72"/>
    <x v="4"/>
  </r>
  <r>
    <x v="10"/>
    <s v="CHI"/>
    <x v="3"/>
    <s v="SP.DYN.LE00.IN"/>
    <x v="64"/>
    <n v="72"/>
    <x v="4"/>
  </r>
  <r>
    <x v="10"/>
    <s v="CHI"/>
    <x v="3"/>
    <s v="SP.DYN.LE00.IN"/>
    <x v="34"/>
    <n v="72"/>
    <x v="4"/>
  </r>
  <r>
    <x v="10"/>
    <s v="CHI"/>
    <x v="3"/>
    <s v="SP.DYN.LE00.IN"/>
    <x v="35"/>
    <n v="72"/>
    <x v="4"/>
  </r>
  <r>
    <x v="10"/>
    <s v="CHI"/>
    <x v="3"/>
    <s v="SP.DYN.LE00.IN"/>
    <x v="36"/>
    <n v="72"/>
    <x v="4"/>
  </r>
  <r>
    <x v="10"/>
    <s v="CHI"/>
    <x v="3"/>
    <s v="SP.DYN.LE00.IN"/>
    <x v="37"/>
    <n v="73"/>
    <x v="4"/>
  </r>
  <r>
    <x v="10"/>
    <s v="CHI"/>
    <x v="3"/>
    <s v="SP.DYN.LE00.IN"/>
    <x v="38"/>
    <n v="73"/>
    <x v="4"/>
  </r>
  <r>
    <x v="10"/>
    <s v="CHI"/>
    <x v="3"/>
    <s v="SP.DYN.LE00.IN"/>
    <x v="39"/>
    <n v="73"/>
    <x v="4"/>
  </r>
  <r>
    <x v="10"/>
    <s v="CHI"/>
    <x v="3"/>
    <s v="SP.DYN.LE00.IN"/>
    <x v="40"/>
    <n v="73"/>
    <x v="4"/>
  </r>
  <r>
    <x v="10"/>
    <s v="CHI"/>
    <x v="3"/>
    <s v="SP.DYN.LE00.IN"/>
    <x v="41"/>
    <n v="73"/>
    <x v="5"/>
  </r>
  <r>
    <x v="10"/>
    <s v="CHI"/>
    <x v="3"/>
    <s v="SP.DYN.LE00.IN"/>
    <x v="42"/>
    <n v="73"/>
    <x v="5"/>
  </r>
  <r>
    <x v="10"/>
    <s v="CHI"/>
    <x v="3"/>
    <s v="SP.DYN.LE00.IN"/>
    <x v="43"/>
    <n v="73"/>
    <x v="5"/>
  </r>
  <r>
    <x v="10"/>
    <s v="CHI"/>
    <x v="3"/>
    <s v="SP.DYN.LE00.IN"/>
    <x v="44"/>
    <n v="74"/>
    <x v="5"/>
  </r>
  <r>
    <x v="10"/>
    <s v="CHI"/>
    <x v="3"/>
    <s v="SP.DYN.LE00.IN"/>
    <x v="45"/>
    <n v="74"/>
    <x v="5"/>
  </r>
  <r>
    <x v="10"/>
    <s v="CHI"/>
    <x v="3"/>
    <s v="SP.DYN.LE00.IN"/>
    <x v="46"/>
    <n v="73"/>
    <x v="5"/>
  </r>
  <r>
    <x v="10"/>
    <s v="CHI"/>
    <x v="3"/>
    <s v="SP.DYN.LE00.IN"/>
    <x v="47"/>
    <n v="75"/>
    <x v="5"/>
  </r>
  <r>
    <x v="10"/>
    <s v="CHI"/>
    <x v="3"/>
    <s v="SP.DYN.LE00.IN"/>
    <x v="48"/>
    <n v="75"/>
    <x v="5"/>
  </r>
  <r>
    <x v="10"/>
    <s v="CHI"/>
    <x v="3"/>
    <s v="SP.DYN.LE00.IN"/>
    <x v="49"/>
    <n v="75"/>
    <x v="5"/>
  </r>
  <r>
    <x v="10"/>
    <s v="CHI"/>
    <x v="3"/>
    <s v="SP.DYN.LE00.IN"/>
    <x v="50"/>
    <n v="75"/>
    <x v="5"/>
  </r>
  <r>
    <x v="10"/>
    <s v="CHI"/>
    <x v="3"/>
    <s v="SP.DYN.LE00.IN"/>
    <x v="51"/>
    <n v="76"/>
    <x v="0"/>
  </r>
  <r>
    <x v="10"/>
    <s v="CHI"/>
    <x v="3"/>
    <s v="SP.DYN.LE00.IN"/>
    <x v="52"/>
    <n v="76"/>
    <x v="0"/>
  </r>
  <r>
    <x v="10"/>
    <s v="CHI"/>
    <x v="3"/>
    <s v="SP.DYN.LE00.IN"/>
    <x v="53"/>
    <n v="77"/>
    <x v="0"/>
  </r>
  <r>
    <x v="10"/>
    <s v="CHI"/>
    <x v="3"/>
    <s v="SP.DYN.LE00.IN"/>
    <x v="0"/>
    <n v="76"/>
    <x v="0"/>
  </r>
  <r>
    <x v="10"/>
    <s v="CHI"/>
    <x v="3"/>
    <s v="SP.DYN.LE00.IN"/>
    <x v="1"/>
    <n v="77"/>
    <x v="0"/>
  </r>
  <r>
    <x v="10"/>
    <s v="CHI"/>
    <x v="3"/>
    <s v="SP.DYN.LE00.IN"/>
    <x v="2"/>
    <n v="77"/>
    <x v="0"/>
  </r>
  <r>
    <x v="10"/>
    <s v="CHI"/>
    <x v="3"/>
    <s v="SP.DYN.LE00.IN"/>
    <x v="3"/>
    <n v="77"/>
    <x v="0"/>
  </r>
  <r>
    <x v="10"/>
    <s v="CHI"/>
    <x v="3"/>
    <s v="SP.DYN.LE00.IN"/>
    <x v="4"/>
    <n v="77"/>
    <x v="0"/>
  </r>
  <r>
    <x v="10"/>
    <s v="CHI"/>
    <x v="3"/>
    <s v="SP.DYN.LE00.IN"/>
    <x v="5"/>
    <n v="78"/>
    <x v="0"/>
  </r>
  <r>
    <x v="10"/>
    <s v="CHI"/>
    <x v="3"/>
    <s v="SP.DYN.LE00.IN"/>
    <x v="6"/>
    <n v="78"/>
    <x v="0"/>
  </r>
  <r>
    <x v="10"/>
    <s v="CHI"/>
    <x v="3"/>
    <s v="SP.DYN.LE00.IN"/>
    <x v="7"/>
    <n v="78"/>
    <x v="1"/>
  </r>
  <r>
    <x v="10"/>
    <s v="CHI"/>
    <x v="3"/>
    <s v="SP.DYN.LE00.IN"/>
    <x v="8"/>
    <n v="79"/>
    <x v="1"/>
  </r>
  <r>
    <x v="10"/>
    <s v="CHI"/>
    <x v="3"/>
    <s v="SP.DYN.LE00.IN"/>
    <x v="9"/>
    <n v="79"/>
    <x v="1"/>
  </r>
  <r>
    <x v="10"/>
    <s v="CHI"/>
    <x v="3"/>
    <s v="SP.DYN.LE00.IN"/>
    <x v="10"/>
    <n v="79"/>
    <x v="1"/>
  </r>
  <r>
    <x v="10"/>
    <s v="CHI"/>
    <x v="3"/>
    <s v="SP.DYN.LE00.IN"/>
    <x v="11"/>
    <n v="79"/>
    <x v="1"/>
  </r>
  <r>
    <x v="10"/>
    <s v="CHI"/>
    <x v="3"/>
    <s v="SP.DYN.LE00.IN"/>
    <x v="12"/>
    <n v="79"/>
    <x v="1"/>
  </r>
  <r>
    <x v="10"/>
    <s v="CHI"/>
    <x v="3"/>
    <s v="SP.DYN.LE00.IN"/>
    <x v="13"/>
    <n v="79"/>
    <x v="1"/>
  </r>
  <r>
    <x v="10"/>
    <s v="CHI"/>
    <x v="3"/>
    <s v="SP.DYN.LE00.IN"/>
    <x v="14"/>
    <n v="80"/>
    <x v="1"/>
  </r>
  <r>
    <x v="10"/>
    <s v="CHI"/>
    <x v="3"/>
    <s v="SP.DYN.LE00.IN"/>
    <x v="15"/>
    <n v="80"/>
    <x v="1"/>
  </r>
  <r>
    <x v="10"/>
    <s v="CHI"/>
    <x v="3"/>
    <s v="SP.DYN.LE00.IN"/>
    <x v="16"/>
    <n v="80"/>
    <x v="1"/>
  </r>
  <r>
    <x v="10"/>
    <s v="CHI"/>
    <x v="3"/>
    <s v="SP.DYN.LE00.IN"/>
    <x v="17"/>
    <n v="81"/>
    <x v="2"/>
  </r>
  <r>
    <x v="10"/>
    <s v="CHI"/>
    <x v="3"/>
    <s v="SP.DYN.LE00.IN"/>
    <x v="18"/>
    <n v="81"/>
    <x v="2"/>
  </r>
  <r>
    <x v="10"/>
    <s v="CHI"/>
    <x v="3"/>
    <s v="SP.DYN.LE00.IN"/>
    <x v="19"/>
    <n v="81"/>
    <x v="2"/>
  </r>
  <r>
    <x v="10"/>
    <s v="CHI"/>
    <x v="3"/>
    <s v="SP.DYN.LE00.IN"/>
    <x v="20"/>
    <n v="81"/>
    <x v="2"/>
  </r>
  <r>
    <x v="10"/>
    <s v="CHI"/>
    <x v="3"/>
    <s v="SP.DYN.LE00.IN"/>
    <x v="21"/>
    <n v="81"/>
    <x v="2"/>
  </r>
  <r>
    <x v="10"/>
    <s v="CHI"/>
    <x v="3"/>
    <s v="SP.DYN.LE00.IN"/>
    <x v="22"/>
    <n v="81"/>
    <x v="2"/>
  </r>
  <r>
    <x v="10"/>
    <s v="CHI"/>
    <x v="3"/>
    <s v="SP.DYN.LE00.IN"/>
    <x v="23"/>
    <n v="82"/>
    <x v="2"/>
  </r>
  <r>
    <x v="10"/>
    <s v="CHI"/>
    <x v="3"/>
    <s v="SP.DYN.LE00.IN"/>
    <x v="24"/>
    <n v="82"/>
    <x v="2"/>
  </r>
  <r>
    <x v="10"/>
    <s v="CHI"/>
    <x v="3"/>
    <s v="SP.DYN.LE00.IN"/>
    <x v="25"/>
    <n v="81"/>
    <x v="2"/>
  </r>
  <r>
    <x v="10"/>
    <s v="CHI"/>
    <x v="3"/>
    <s v="SP.DYN.LE00.IN"/>
    <x v="26"/>
    <n v="81"/>
    <x v="2"/>
  </r>
  <r>
    <x v="10"/>
    <s v="CHI"/>
    <x v="3"/>
    <s v="SP.DYN.LE00.IN"/>
    <x v="27"/>
    <n v="81"/>
    <x v="3"/>
  </r>
  <r>
    <x v="10"/>
    <s v="CHI"/>
    <x v="3"/>
    <s v="SP.DYN.LE00.IN"/>
    <x v="28"/>
    <n v="81"/>
    <x v="3"/>
  </r>
  <r>
    <x v="10"/>
    <s v="CHI"/>
    <x v="3"/>
    <s v="SP.DYN.LE00.IN"/>
    <x v="29"/>
    <n v="81"/>
    <x v="3"/>
  </r>
  <r>
    <x v="10"/>
    <s v="CHI"/>
    <x v="3"/>
    <s v="SP.DYN.LE00.IN"/>
    <x v="30"/>
    <n v="81"/>
    <x v="3"/>
  </r>
  <r>
    <x v="10"/>
    <s v="CHI"/>
    <x v="3"/>
    <s v="SP.DYN.LE00.IN"/>
    <x v="31"/>
    <n v="80"/>
    <x v="6"/>
  </r>
  <r>
    <x v="10"/>
    <s v="CHI"/>
    <x v="3"/>
    <s v="SP.DYN.LE00.IN"/>
    <x v="32"/>
    <n v="81"/>
    <x v="6"/>
  </r>
  <r>
    <x v="10"/>
    <s v="CHI"/>
    <x v="3"/>
    <s v="SP.DYN.LE00.IN"/>
    <x v="33"/>
    <n v="81"/>
    <x v="6"/>
  </r>
  <r>
    <x v="11"/>
    <s v="CYP"/>
    <x v="3"/>
    <s v="SP.DYN.LE00.IN"/>
    <x v="55"/>
    <n v="63"/>
    <x v="6"/>
  </r>
  <r>
    <x v="11"/>
    <s v="CYP"/>
    <x v="3"/>
    <s v="SP.DYN.LE00.IN"/>
    <x v="56"/>
    <n v="64"/>
    <x v="6"/>
  </r>
  <r>
    <x v="11"/>
    <s v="CYP"/>
    <x v="3"/>
    <s v="SP.DYN.LE00.IN"/>
    <x v="57"/>
    <n v="65"/>
    <x v="6"/>
  </r>
  <r>
    <x v="11"/>
    <s v="CYP"/>
    <x v="3"/>
    <s v="SP.DYN.LE00.IN"/>
    <x v="58"/>
    <n v="62"/>
    <x v="6"/>
  </r>
  <r>
    <x v="11"/>
    <s v="CYP"/>
    <x v="3"/>
    <s v="SP.DYN.LE00.IN"/>
    <x v="59"/>
    <n v="62"/>
    <x v="6"/>
  </r>
  <r>
    <x v="11"/>
    <s v="CYP"/>
    <x v="3"/>
    <s v="SP.DYN.LE00.IN"/>
    <x v="60"/>
    <n v="66"/>
    <x v="6"/>
  </r>
  <r>
    <x v="11"/>
    <s v="CYP"/>
    <x v="3"/>
    <s v="SP.DYN.LE00.IN"/>
    <x v="61"/>
    <n v="66"/>
    <x v="6"/>
  </r>
  <r>
    <x v="11"/>
    <s v="CYP"/>
    <x v="3"/>
    <s v="SP.DYN.LE00.IN"/>
    <x v="62"/>
    <n v="67"/>
    <x v="4"/>
  </r>
  <r>
    <x v="11"/>
    <s v="CYP"/>
    <x v="3"/>
    <s v="SP.DYN.LE00.IN"/>
    <x v="63"/>
    <n v="67"/>
    <x v="4"/>
  </r>
  <r>
    <x v="11"/>
    <s v="CYP"/>
    <x v="3"/>
    <s v="SP.DYN.LE00.IN"/>
    <x v="64"/>
    <n v="68"/>
    <x v="4"/>
  </r>
  <r>
    <x v="11"/>
    <s v="CYP"/>
    <x v="3"/>
    <s v="SP.DYN.LE00.IN"/>
    <x v="34"/>
    <n v="68"/>
    <x v="4"/>
  </r>
  <r>
    <x v="11"/>
    <s v="CYP"/>
    <x v="3"/>
    <s v="SP.DYN.LE00.IN"/>
    <x v="35"/>
    <n v="68"/>
    <x v="4"/>
  </r>
  <r>
    <x v="11"/>
    <s v="CYP"/>
    <x v="3"/>
    <s v="SP.DYN.LE00.IN"/>
    <x v="36"/>
    <n v="69"/>
    <x v="4"/>
  </r>
  <r>
    <x v="11"/>
    <s v="CYP"/>
    <x v="3"/>
    <s v="SP.DYN.LE00.IN"/>
    <x v="37"/>
    <n v="69"/>
    <x v="4"/>
  </r>
  <r>
    <x v="11"/>
    <s v="CYP"/>
    <x v="3"/>
    <s v="SP.DYN.LE00.IN"/>
    <x v="38"/>
    <n v="55"/>
    <x v="4"/>
  </r>
  <r>
    <x v="11"/>
    <s v="CYP"/>
    <x v="3"/>
    <s v="SP.DYN.LE00.IN"/>
    <x v="39"/>
    <n v="70"/>
    <x v="4"/>
  </r>
  <r>
    <x v="11"/>
    <s v="CYP"/>
    <x v="3"/>
    <s v="SP.DYN.LE00.IN"/>
    <x v="40"/>
    <n v="71"/>
    <x v="4"/>
  </r>
  <r>
    <x v="11"/>
    <s v="CYP"/>
    <x v="3"/>
    <s v="SP.DYN.LE00.IN"/>
    <x v="41"/>
    <n v="71"/>
    <x v="5"/>
  </r>
  <r>
    <x v="11"/>
    <s v="CYP"/>
    <x v="3"/>
    <s v="SP.DYN.LE00.IN"/>
    <x v="42"/>
    <n v="72"/>
    <x v="5"/>
  </r>
  <r>
    <x v="11"/>
    <s v="CYP"/>
    <x v="3"/>
    <s v="SP.DYN.LE00.IN"/>
    <x v="43"/>
    <n v="72"/>
    <x v="5"/>
  </r>
  <r>
    <x v="11"/>
    <s v="CYP"/>
    <x v="3"/>
    <s v="SP.DYN.LE00.IN"/>
    <x v="44"/>
    <n v="73"/>
    <x v="5"/>
  </r>
  <r>
    <x v="11"/>
    <s v="CYP"/>
    <x v="3"/>
    <s v="SP.DYN.LE00.IN"/>
    <x v="45"/>
    <n v="73"/>
    <x v="5"/>
  </r>
  <r>
    <x v="11"/>
    <s v="CYP"/>
    <x v="3"/>
    <s v="SP.DYN.LE00.IN"/>
    <x v="46"/>
    <n v="74"/>
    <x v="5"/>
  </r>
  <r>
    <x v="11"/>
    <s v="CYP"/>
    <x v="3"/>
    <s v="SP.DYN.LE00.IN"/>
    <x v="47"/>
    <n v="74"/>
    <x v="5"/>
  </r>
  <r>
    <x v="11"/>
    <s v="CYP"/>
    <x v="3"/>
    <s v="SP.DYN.LE00.IN"/>
    <x v="48"/>
    <n v="74"/>
    <x v="5"/>
  </r>
  <r>
    <x v="11"/>
    <s v="CYP"/>
    <x v="3"/>
    <s v="SP.DYN.LE00.IN"/>
    <x v="49"/>
    <n v="75"/>
    <x v="5"/>
  </r>
  <r>
    <x v="11"/>
    <s v="CYP"/>
    <x v="3"/>
    <s v="SP.DYN.LE00.IN"/>
    <x v="50"/>
    <n v="75"/>
    <x v="5"/>
  </r>
  <r>
    <x v="11"/>
    <s v="CYP"/>
    <x v="3"/>
    <s v="SP.DYN.LE00.IN"/>
    <x v="51"/>
    <n v="75"/>
    <x v="0"/>
  </r>
  <r>
    <x v="11"/>
    <s v="CYP"/>
    <x v="3"/>
    <s v="SP.DYN.LE00.IN"/>
    <x v="52"/>
    <n v="75"/>
    <x v="0"/>
  </r>
  <r>
    <x v="11"/>
    <s v="CYP"/>
    <x v="3"/>
    <s v="SP.DYN.LE00.IN"/>
    <x v="53"/>
    <n v="76"/>
    <x v="0"/>
  </r>
  <r>
    <x v="11"/>
    <s v="CYP"/>
    <x v="3"/>
    <s v="SP.DYN.LE00.IN"/>
    <x v="0"/>
    <n v="76"/>
    <x v="0"/>
  </r>
  <r>
    <x v="11"/>
    <s v="CYP"/>
    <x v="3"/>
    <s v="SP.DYN.LE00.IN"/>
    <x v="1"/>
    <n v="76"/>
    <x v="0"/>
  </r>
  <r>
    <x v="11"/>
    <s v="CYP"/>
    <x v="3"/>
    <s v="SP.DYN.LE00.IN"/>
    <x v="2"/>
    <n v="76"/>
    <x v="0"/>
  </r>
  <r>
    <x v="11"/>
    <s v="CYP"/>
    <x v="3"/>
    <s v="SP.DYN.LE00.IN"/>
    <x v="3"/>
    <n v="76"/>
    <x v="0"/>
  </r>
  <r>
    <x v="11"/>
    <s v="CYP"/>
    <x v="3"/>
    <s v="SP.DYN.LE00.IN"/>
    <x v="4"/>
    <n v="76"/>
    <x v="0"/>
  </r>
  <r>
    <x v="11"/>
    <s v="CYP"/>
    <x v="3"/>
    <s v="SP.DYN.LE00.IN"/>
    <x v="5"/>
    <n v="77"/>
    <x v="0"/>
  </r>
  <r>
    <x v="11"/>
    <s v="CYP"/>
    <x v="3"/>
    <s v="SP.DYN.LE00.IN"/>
    <x v="6"/>
    <n v="77"/>
    <x v="0"/>
  </r>
  <r>
    <x v="11"/>
    <s v="CYP"/>
    <x v="3"/>
    <s v="SP.DYN.LE00.IN"/>
    <x v="7"/>
    <n v="77"/>
    <x v="1"/>
  </r>
  <r>
    <x v="11"/>
    <s v="CYP"/>
    <x v="3"/>
    <s v="SP.DYN.LE00.IN"/>
    <x v="8"/>
    <n v="77"/>
    <x v="1"/>
  </r>
  <r>
    <x v="11"/>
    <s v="CYP"/>
    <x v="3"/>
    <s v="SP.DYN.LE00.IN"/>
    <x v="9"/>
    <n v="78"/>
    <x v="1"/>
  </r>
  <r>
    <x v="11"/>
    <s v="CYP"/>
    <x v="3"/>
    <s v="SP.DYN.LE00.IN"/>
    <x v="10"/>
    <n v="78"/>
    <x v="1"/>
  </r>
  <r>
    <x v="11"/>
    <s v="CYP"/>
    <x v="3"/>
    <s v="SP.DYN.LE00.IN"/>
    <x v="11"/>
    <n v="78"/>
    <x v="1"/>
  </r>
  <r>
    <x v="11"/>
    <s v="CYP"/>
    <x v="3"/>
    <s v="SP.DYN.LE00.IN"/>
    <x v="12"/>
    <n v="79"/>
    <x v="1"/>
  </r>
  <r>
    <x v="11"/>
    <s v="CYP"/>
    <x v="3"/>
    <s v="SP.DYN.LE00.IN"/>
    <x v="13"/>
    <n v="79"/>
    <x v="1"/>
  </r>
  <r>
    <x v="11"/>
    <s v="CYP"/>
    <x v="3"/>
    <s v="SP.DYN.LE00.IN"/>
    <x v="14"/>
    <n v="79"/>
    <x v="1"/>
  </r>
  <r>
    <x v="11"/>
    <s v="CYP"/>
    <x v="3"/>
    <s v="SP.DYN.LE00.IN"/>
    <x v="15"/>
    <n v="79"/>
    <x v="1"/>
  </r>
  <r>
    <x v="11"/>
    <s v="CYP"/>
    <x v="3"/>
    <s v="SP.DYN.LE00.IN"/>
    <x v="16"/>
    <n v="79"/>
    <x v="1"/>
  </r>
  <r>
    <x v="11"/>
    <s v="CYP"/>
    <x v="3"/>
    <s v="SP.DYN.LE00.IN"/>
    <x v="17"/>
    <n v="80"/>
    <x v="2"/>
  </r>
  <r>
    <x v="11"/>
    <s v="CYP"/>
    <x v="3"/>
    <s v="SP.DYN.LE00.IN"/>
    <x v="18"/>
    <n v="80"/>
    <x v="2"/>
  </r>
  <r>
    <x v="11"/>
    <s v="CYP"/>
    <x v="3"/>
    <s v="SP.DYN.LE00.IN"/>
    <x v="19"/>
    <n v="80"/>
    <x v="2"/>
  </r>
  <r>
    <x v="11"/>
    <s v="CYP"/>
    <x v="3"/>
    <s v="SP.DYN.LE00.IN"/>
    <x v="20"/>
    <n v="81"/>
    <x v="2"/>
  </r>
  <r>
    <x v="11"/>
    <s v="CYP"/>
    <x v="3"/>
    <s v="SP.DYN.LE00.IN"/>
    <x v="21"/>
    <n v="81"/>
    <x v="2"/>
  </r>
  <r>
    <x v="11"/>
    <s v="CYP"/>
    <x v="3"/>
    <s v="SP.DYN.LE00.IN"/>
    <x v="22"/>
    <n v="81"/>
    <x v="2"/>
  </r>
  <r>
    <x v="11"/>
    <s v="CYP"/>
    <x v="3"/>
    <s v="SP.DYN.LE00.IN"/>
    <x v="23"/>
    <n v="81"/>
    <x v="2"/>
  </r>
  <r>
    <x v="11"/>
    <s v="CYP"/>
    <x v="3"/>
    <s v="SP.DYN.LE00.IN"/>
    <x v="24"/>
    <n v="81"/>
    <x v="2"/>
  </r>
  <r>
    <x v="11"/>
    <s v="CYP"/>
    <x v="3"/>
    <s v="SP.DYN.LE00.IN"/>
    <x v="25"/>
    <n v="81"/>
    <x v="2"/>
  </r>
  <r>
    <x v="11"/>
    <s v="CYP"/>
    <x v="3"/>
    <s v="SP.DYN.LE00.IN"/>
    <x v="26"/>
    <n v="82"/>
    <x v="2"/>
  </r>
  <r>
    <x v="11"/>
    <s v="CYP"/>
    <x v="3"/>
    <s v="SP.DYN.LE00.IN"/>
    <x v="27"/>
    <n v="82"/>
    <x v="3"/>
  </r>
  <r>
    <x v="11"/>
    <s v="CYP"/>
    <x v="3"/>
    <s v="SP.DYN.LE00.IN"/>
    <x v="28"/>
    <n v="82"/>
    <x v="3"/>
  </r>
  <r>
    <x v="11"/>
    <s v="CYP"/>
    <x v="3"/>
    <s v="SP.DYN.LE00.IN"/>
    <x v="29"/>
    <n v="81"/>
    <x v="3"/>
  </r>
  <r>
    <x v="11"/>
    <s v="CYP"/>
    <x v="3"/>
    <s v="SP.DYN.LE00.IN"/>
    <x v="30"/>
    <n v="81"/>
    <x v="3"/>
  </r>
  <r>
    <x v="11"/>
    <s v="CYP"/>
    <x v="3"/>
    <s v="SP.DYN.LE00.IN"/>
    <x v="31"/>
    <n v="81"/>
    <x v="6"/>
  </r>
  <r>
    <x v="11"/>
    <s v="CYP"/>
    <x v="3"/>
    <s v="SP.DYN.LE00.IN"/>
    <x v="32"/>
    <n v="80"/>
    <x v="6"/>
  </r>
  <r>
    <x v="11"/>
    <s v="CYP"/>
    <x v="3"/>
    <s v="SP.DYN.LE00.IN"/>
    <x v="33"/>
    <n v="82"/>
    <x v="6"/>
  </r>
  <r>
    <x v="12"/>
    <s v="CZE"/>
    <x v="3"/>
    <s v="SP.DYN.LE00.IN"/>
    <x v="55"/>
    <n v="70"/>
    <x v="6"/>
  </r>
  <r>
    <x v="12"/>
    <s v="CZE"/>
    <x v="3"/>
    <s v="SP.DYN.LE00.IN"/>
    <x v="56"/>
    <n v="71"/>
    <x v="6"/>
  </r>
  <r>
    <x v="12"/>
    <s v="CZE"/>
    <x v="3"/>
    <s v="SP.DYN.LE00.IN"/>
    <x v="57"/>
    <n v="70"/>
    <x v="6"/>
  </r>
  <r>
    <x v="12"/>
    <s v="CZE"/>
    <x v="3"/>
    <s v="SP.DYN.LE00.IN"/>
    <x v="58"/>
    <n v="70"/>
    <x v="6"/>
  </r>
  <r>
    <x v="12"/>
    <s v="CZE"/>
    <x v="3"/>
    <s v="SP.DYN.LE00.IN"/>
    <x v="59"/>
    <n v="70"/>
    <x v="6"/>
  </r>
  <r>
    <x v="12"/>
    <s v="CZE"/>
    <x v="3"/>
    <s v="SP.DYN.LE00.IN"/>
    <x v="60"/>
    <n v="70"/>
    <x v="6"/>
  </r>
  <r>
    <x v="12"/>
    <s v="CZE"/>
    <x v="3"/>
    <s v="SP.DYN.LE00.IN"/>
    <x v="61"/>
    <n v="70"/>
    <x v="6"/>
  </r>
  <r>
    <x v="12"/>
    <s v="CZE"/>
    <x v="3"/>
    <s v="SP.DYN.LE00.IN"/>
    <x v="62"/>
    <n v="70"/>
    <x v="4"/>
  </r>
  <r>
    <x v="12"/>
    <s v="CZE"/>
    <x v="3"/>
    <s v="SP.DYN.LE00.IN"/>
    <x v="63"/>
    <n v="70"/>
    <x v="4"/>
  </r>
  <r>
    <x v="12"/>
    <s v="CZE"/>
    <x v="3"/>
    <s v="SP.DYN.LE00.IN"/>
    <x v="64"/>
    <n v="69"/>
    <x v="4"/>
  </r>
  <r>
    <x v="12"/>
    <s v="CZE"/>
    <x v="3"/>
    <s v="SP.DYN.LE00.IN"/>
    <x v="34"/>
    <n v="69"/>
    <x v="4"/>
  </r>
  <r>
    <x v="12"/>
    <s v="CZE"/>
    <x v="3"/>
    <s v="SP.DYN.LE00.IN"/>
    <x v="35"/>
    <n v="70"/>
    <x v="4"/>
  </r>
  <r>
    <x v="12"/>
    <s v="CZE"/>
    <x v="3"/>
    <s v="SP.DYN.LE00.IN"/>
    <x v="36"/>
    <n v="70"/>
    <x v="4"/>
  </r>
  <r>
    <x v="12"/>
    <s v="CZE"/>
    <x v="3"/>
    <s v="SP.DYN.LE00.IN"/>
    <x v="37"/>
    <n v="70"/>
    <x v="4"/>
  </r>
  <r>
    <x v="12"/>
    <s v="CZE"/>
    <x v="3"/>
    <s v="SP.DYN.LE00.IN"/>
    <x v="38"/>
    <n v="70"/>
    <x v="4"/>
  </r>
  <r>
    <x v="12"/>
    <s v="CZE"/>
    <x v="3"/>
    <s v="SP.DYN.LE00.IN"/>
    <x v="39"/>
    <n v="70"/>
    <x v="4"/>
  </r>
  <r>
    <x v="12"/>
    <s v="CZE"/>
    <x v="3"/>
    <s v="SP.DYN.LE00.IN"/>
    <x v="40"/>
    <n v="71"/>
    <x v="4"/>
  </r>
  <r>
    <x v="12"/>
    <s v="CZE"/>
    <x v="3"/>
    <s v="SP.DYN.LE00.IN"/>
    <x v="41"/>
    <n v="71"/>
    <x v="5"/>
  </r>
  <r>
    <x v="12"/>
    <s v="CZE"/>
    <x v="3"/>
    <s v="SP.DYN.LE00.IN"/>
    <x v="42"/>
    <n v="71"/>
    <x v="5"/>
  </r>
  <r>
    <x v="12"/>
    <s v="CZE"/>
    <x v="3"/>
    <s v="SP.DYN.LE00.IN"/>
    <x v="43"/>
    <n v="71"/>
    <x v="5"/>
  </r>
  <r>
    <x v="12"/>
    <s v="CZE"/>
    <x v="3"/>
    <s v="SP.DYN.LE00.IN"/>
    <x v="44"/>
    <n v="70"/>
    <x v="5"/>
  </r>
  <r>
    <x v="12"/>
    <s v="CZE"/>
    <x v="3"/>
    <s v="SP.DYN.LE00.IN"/>
    <x v="45"/>
    <n v="71"/>
    <x v="5"/>
  </r>
  <r>
    <x v="12"/>
    <s v="CZE"/>
    <x v="3"/>
    <s v="SP.DYN.LE00.IN"/>
    <x v="46"/>
    <n v="71"/>
    <x v="5"/>
  </r>
  <r>
    <x v="12"/>
    <s v="CZE"/>
    <x v="3"/>
    <s v="SP.DYN.LE00.IN"/>
    <x v="47"/>
    <n v="71"/>
    <x v="5"/>
  </r>
  <r>
    <x v="12"/>
    <s v="CZE"/>
    <x v="3"/>
    <s v="SP.DYN.LE00.IN"/>
    <x v="48"/>
    <n v="71"/>
    <x v="5"/>
  </r>
  <r>
    <x v="12"/>
    <s v="CZE"/>
    <x v="3"/>
    <s v="SP.DYN.LE00.IN"/>
    <x v="49"/>
    <n v="71"/>
    <x v="5"/>
  </r>
  <r>
    <x v="12"/>
    <s v="CZE"/>
    <x v="3"/>
    <s v="SP.DYN.LE00.IN"/>
    <x v="50"/>
    <n v="71"/>
    <x v="5"/>
  </r>
  <r>
    <x v="12"/>
    <s v="CZE"/>
    <x v="3"/>
    <s v="SP.DYN.LE00.IN"/>
    <x v="51"/>
    <n v="71"/>
    <x v="0"/>
  </r>
  <r>
    <x v="12"/>
    <s v="CZE"/>
    <x v="3"/>
    <s v="SP.DYN.LE00.IN"/>
    <x v="52"/>
    <n v="72"/>
    <x v="0"/>
  </r>
  <r>
    <x v="12"/>
    <s v="CZE"/>
    <x v="3"/>
    <s v="SP.DYN.LE00.IN"/>
    <x v="53"/>
    <n v="72"/>
    <x v="0"/>
  </r>
  <r>
    <x v="12"/>
    <s v="CZE"/>
    <x v="3"/>
    <s v="SP.DYN.LE00.IN"/>
    <x v="0"/>
    <n v="71"/>
    <x v="0"/>
  </r>
  <r>
    <x v="12"/>
    <s v="CZE"/>
    <x v="3"/>
    <s v="SP.DYN.LE00.IN"/>
    <x v="1"/>
    <n v="72"/>
    <x v="0"/>
  </r>
  <r>
    <x v="12"/>
    <s v="CZE"/>
    <x v="3"/>
    <s v="SP.DYN.LE00.IN"/>
    <x v="2"/>
    <n v="72"/>
    <x v="0"/>
  </r>
  <r>
    <x v="12"/>
    <s v="CZE"/>
    <x v="3"/>
    <s v="SP.DYN.LE00.IN"/>
    <x v="3"/>
    <n v="73"/>
    <x v="0"/>
  </r>
  <r>
    <x v="12"/>
    <s v="CZE"/>
    <x v="3"/>
    <s v="SP.DYN.LE00.IN"/>
    <x v="4"/>
    <n v="73"/>
    <x v="0"/>
  </r>
  <r>
    <x v="12"/>
    <s v="CZE"/>
    <x v="3"/>
    <s v="SP.DYN.LE00.IN"/>
    <x v="5"/>
    <n v="73"/>
    <x v="0"/>
  </r>
  <r>
    <x v="12"/>
    <s v="CZE"/>
    <x v="3"/>
    <s v="SP.DYN.LE00.IN"/>
    <x v="6"/>
    <n v="74"/>
    <x v="0"/>
  </r>
  <r>
    <x v="12"/>
    <s v="CZE"/>
    <x v="3"/>
    <s v="SP.DYN.LE00.IN"/>
    <x v="7"/>
    <n v="74"/>
    <x v="1"/>
  </r>
  <r>
    <x v="12"/>
    <s v="CZE"/>
    <x v="3"/>
    <s v="SP.DYN.LE00.IN"/>
    <x v="8"/>
    <n v="75"/>
    <x v="1"/>
  </r>
  <r>
    <x v="12"/>
    <s v="CZE"/>
    <x v="3"/>
    <s v="SP.DYN.LE00.IN"/>
    <x v="9"/>
    <n v="75"/>
    <x v="1"/>
  </r>
  <r>
    <x v="12"/>
    <s v="CZE"/>
    <x v="3"/>
    <s v="SP.DYN.LE00.IN"/>
    <x v="10"/>
    <n v="75"/>
    <x v="1"/>
  </r>
  <r>
    <x v="12"/>
    <s v="CZE"/>
    <x v="3"/>
    <s v="SP.DYN.LE00.IN"/>
    <x v="11"/>
    <n v="75"/>
    <x v="1"/>
  </r>
  <r>
    <x v="12"/>
    <s v="CZE"/>
    <x v="3"/>
    <s v="SP.DYN.LE00.IN"/>
    <x v="12"/>
    <n v="75"/>
    <x v="1"/>
  </r>
  <r>
    <x v="12"/>
    <s v="CZE"/>
    <x v="3"/>
    <s v="SP.DYN.LE00.IN"/>
    <x v="13"/>
    <n v="75"/>
    <x v="1"/>
  </r>
  <r>
    <x v="12"/>
    <s v="CZE"/>
    <x v="3"/>
    <s v="SP.DYN.LE00.IN"/>
    <x v="14"/>
    <n v="76"/>
    <x v="1"/>
  </r>
  <r>
    <x v="12"/>
    <s v="CZE"/>
    <x v="3"/>
    <s v="SP.DYN.LE00.IN"/>
    <x v="15"/>
    <n v="76"/>
    <x v="1"/>
  </r>
  <r>
    <x v="12"/>
    <s v="CZE"/>
    <x v="3"/>
    <s v="SP.DYN.LE00.IN"/>
    <x v="16"/>
    <n v="77"/>
    <x v="1"/>
  </r>
  <r>
    <x v="12"/>
    <s v="CZE"/>
    <x v="3"/>
    <s v="SP.DYN.LE00.IN"/>
    <x v="17"/>
    <n v="77"/>
    <x v="2"/>
  </r>
  <r>
    <x v="12"/>
    <s v="CZE"/>
    <x v="3"/>
    <s v="SP.DYN.LE00.IN"/>
    <x v="18"/>
    <n v="77"/>
    <x v="2"/>
  </r>
  <r>
    <x v="12"/>
    <s v="CZE"/>
    <x v="3"/>
    <s v="SP.DYN.LE00.IN"/>
    <x v="19"/>
    <n v="77"/>
    <x v="2"/>
  </r>
  <r>
    <x v="12"/>
    <s v="CZE"/>
    <x v="3"/>
    <s v="SP.DYN.LE00.IN"/>
    <x v="20"/>
    <n v="77"/>
    <x v="2"/>
  </r>
  <r>
    <x v="12"/>
    <s v="CZE"/>
    <x v="3"/>
    <s v="SP.DYN.LE00.IN"/>
    <x v="21"/>
    <n v="78"/>
    <x v="2"/>
  </r>
  <r>
    <x v="12"/>
    <s v="CZE"/>
    <x v="3"/>
    <s v="SP.DYN.LE00.IN"/>
    <x v="22"/>
    <n v="78"/>
    <x v="2"/>
  </r>
  <r>
    <x v="12"/>
    <s v="CZE"/>
    <x v="3"/>
    <s v="SP.DYN.LE00.IN"/>
    <x v="23"/>
    <n v="78"/>
    <x v="2"/>
  </r>
  <r>
    <x v="12"/>
    <s v="CZE"/>
    <x v="3"/>
    <s v="SP.DYN.LE00.IN"/>
    <x v="24"/>
    <n v="79"/>
    <x v="2"/>
  </r>
  <r>
    <x v="12"/>
    <s v="CZE"/>
    <x v="3"/>
    <s v="SP.DYN.LE00.IN"/>
    <x v="25"/>
    <n v="79"/>
    <x v="2"/>
  </r>
  <r>
    <x v="12"/>
    <s v="CZE"/>
    <x v="3"/>
    <s v="SP.DYN.LE00.IN"/>
    <x v="26"/>
    <n v="79"/>
    <x v="2"/>
  </r>
  <r>
    <x v="12"/>
    <s v="CZE"/>
    <x v="3"/>
    <s v="SP.DYN.LE00.IN"/>
    <x v="27"/>
    <n v="79"/>
    <x v="3"/>
  </r>
  <r>
    <x v="12"/>
    <s v="CZE"/>
    <x v="3"/>
    <s v="SP.DYN.LE00.IN"/>
    <x v="28"/>
    <n v="79"/>
    <x v="3"/>
  </r>
  <r>
    <x v="12"/>
    <s v="CZE"/>
    <x v="3"/>
    <s v="SP.DYN.LE00.IN"/>
    <x v="29"/>
    <n v="79"/>
    <x v="3"/>
  </r>
  <r>
    <x v="12"/>
    <s v="CZE"/>
    <x v="3"/>
    <s v="SP.DYN.LE00.IN"/>
    <x v="30"/>
    <n v="78"/>
    <x v="3"/>
  </r>
  <r>
    <x v="12"/>
    <s v="CZE"/>
    <x v="3"/>
    <s v="SP.DYN.LE00.IN"/>
    <x v="31"/>
    <n v="77"/>
    <x v="6"/>
  </r>
  <r>
    <x v="12"/>
    <s v="CZE"/>
    <x v="3"/>
    <s v="SP.DYN.LE00.IN"/>
    <x v="32"/>
    <n v="79"/>
    <x v="6"/>
  </r>
  <r>
    <x v="12"/>
    <s v="CZE"/>
    <x v="3"/>
    <s v="SP.DYN.LE00.IN"/>
    <x v="33"/>
    <n v="80"/>
    <x v="6"/>
  </r>
  <r>
    <x v="13"/>
    <s v="DEU"/>
    <x v="3"/>
    <s v="SP.DYN.LE00.IN"/>
    <x v="55"/>
    <n v="69"/>
    <x v="6"/>
  </r>
  <r>
    <x v="13"/>
    <s v="DEU"/>
    <x v="3"/>
    <s v="SP.DYN.LE00.IN"/>
    <x v="56"/>
    <n v="70"/>
    <x v="6"/>
  </r>
  <r>
    <x v="13"/>
    <s v="DEU"/>
    <x v="3"/>
    <s v="SP.DYN.LE00.IN"/>
    <x v="57"/>
    <n v="70"/>
    <x v="6"/>
  </r>
  <r>
    <x v="13"/>
    <s v="DEU"/>
    <x v="3"/>
    <s v="SP.DYN.LE00.IN"/>
    <x v="58"/>
    <n v="70"/>
    <x v="6"/>
  </r>
  <r>
    <x v="13"/>
    <s v="DEU"/>
    <x v="3"/>
    <s v="SP.DYN.LE00.IN"/>
    <x v="59"/>
    <n v="70"/>
    <x v="6"/>
  </r>
  <r>
    <x v="13"/>
    <s v="DEU"/>
    <x v="3"/>
    <s v="SP.DYN.LE00.IN"/>
    <x v="60"/>
    <n v="70"/>
    <x v="6"/>
  </r>
  <r>
    <x v="13"/>
    <s v="DEU"/>
    <x v="3"/>
    <s v="SP.DYN.LE00.IN"/>
    <x v="61"/>
    <n v="71"/>
    <x v="6"/>
  </r>
  <r>
    <x v="13"/>
    <s v="DEU"/>
    <x v="3"/>
    <s v="SP.DYN.LE00.IN"/>
    <x v="62"/>
    <n v="71"/>
    <x v="4"/>
  </r>
  <r>
    <x v="13"/>
    <s v="DEU"/>
    <x v="3"/>
    <s v="SP.DYN.LE00.IN"/>
    <x v="63"/>
    <n v="70"/>
    <x v="4"/>
  </r>
  <r>
    <x v="13"/>
    <s v="DEU"/>
    <x v="3"/>
    <s v="SP.DYN.LE00.IN"/>
    <x v="64"/>
    <n v="70"/>
    <x v="4"/>
  </r>
  <r>
    <x v="13"/>
    <s v="DEU"/>
    <x v="3"/>
    <s v="SP.DYN.LE00.IN"/>
    <x v="34"/>
    <n v="70"/>
    <x v="4"/>
  </r>
  <r>
    <x v="13"/>
    <s v="DEU"/>
    <x v="3"/>
    <s v="SP.DYN.LE00.IN"/>
    <x v="35"/>
    <n v="71"/>
    <x v="4"/>
  </r>
  <r>
    <x v="13"/>
    <s v="DEU"/>
    <x v="3"/>
    <s v="SP.DYN.LE00.IN"/>
    <x v="36"/>
    <n v="71"/>
    <x v="4"/>
  </r>
  <r>
    <x v="13"/>
    <s v="DEU"/>
    <x v="3"/>
    <s v="SP.DYN.LE00.IN"/>
    <x v="37"/>
    <n v="71"/>
    <x v="4"/>
  </r>
  <r>
    <x v="13"/>
    <s v="DEU"/>
    <x v="3"/>
    <s v="SP.DYN.LE00.IN"/>
    <x v="38"/>
    <n v="71"/>
    <x v="4"/>
  </r>
  <r>
    <x v="13"/>
    <s v="DEU"/>
    <x v="3"/>
    <s v="SP.DYN.LE00.IN"/>
    <x v="39"/>
    <n v="71"/>
    <x v="4"/>
  </r>
  <r>
    <x v="13"/>
    <s v="DEU"/>
    <x v="3"/>
    <s v="SP.DYN.LE00.IN"/>
    <x v="40"/>
    <n v="72"/>
    <x v="4"/>
  </r>
  <r>
    <x v="13"/>
    <s v="DEU"/>
    <x v="3"/>
    <s v="SP.DYN.LE00.IN"/>
    <x v="41"/>
    <n v="72"/>
    <x v="5"/>
  </r>
  <r>
    <x v="13"/>
    <s v="DEU"/>
    <x v="3"/>
    <s v="SP.DYN.LE00.IN"/>
    <x v="42"/>
    <n v="72"/>
    <x v="5"/>
  </r>
  <r>
    <x v="13"/>
    <s v="DEU"/>
    <x v="3"/>
    <s v="SP.DYN.LE00.IN"/>
    <x v="43"/>
    <n v="73"/>
    <x v="5"/>
  </r>
  <r>
    <x v="13"/>
    <s v="DEU"/>
    <x v="3"/>
    <s v="SP.DYN.LE00.IN"/>
    <x v="44"/>
    <n v="73"/>
    <x v="5"/>
  </r>
  <r>
    <x v="13"/>
    <s v="DEU"/>
    <x v="3"/>
    <s v="SP.DYN.LE00.IN"/>
    <x v="45"/>
    <n v="73"/>
    <x v="5"/>
  </r>
  <r>
    <x v="13"/>
    <s v="DEU"/>
    <x v="3"/>
    <s v="SP.DYN.LE00.IN"/>
    <x v="46"/>
    <n v="73"/>
    <x v="5"/>
  </r>
  <r>
    <x v="13"/>
    <s v="DEU"/>
    <x v="3"/>
    <s v="SP.DYN.LE00.IN"/>
    <x v="47"/>
    <n v="74"/>
    <x v="5"/>
  </r>
  <r>
    <x v="13"/>
    <s v="DEU"/>
    <x v="3"/>
    <s v="SP.DYN.LE00.IN"/>
    <x v="48"/>
    <n v="74"/>
    <x v="5"/>
  </r>
  <r>
    <x v="13"/>
    <s v="DEU"/>
    <x v="3"/>
    <s v="SP.DYN.LE00.IN"/>
    <x v="49"/>
    <n v="74"/>
    <x v="5"/>
  </r>
  <r>
    <x v="13"/>
    <s v="DEU"/>
    <x v="3"/>
    <s v="SP.DYN.LE00.IN"/>
    <x v="50"/>
    <n v="74"/>
    <x v="5"/>
  </r>
  <r>
    <x v="13"/>
    <s v="DEU"/>
    <x v="3"/>
    <s v="SP.DYN.LE00.IN"/>
    <x v="51"/>
    <n v="75"/>
    <x v="0"/>
  </r>
  <r>
    <x v="13"/>
    <s v="DEU"/>
    <x v="3"/>
    <s v="SP.DYN.LE00.IN"/>
    <x v="52"/>
    <n v="75"/>
    <x v="0"/>
  </r>
  <r>
    <x v="13"/>
    <s v="DEU"/>
    <x v="3"/>
    <s v="SP.DYN.LE00.IN"/>
    <x v="53"/>
    <n v="75"/>
    <x v="0"/>
  </r>
  <r>
    <x v="13"/>
    <s v="DEU"/>
    <x v="3"/>
    <s v="SP.DYN.LE00.IN"/>
    <x v="0"/>
    <n v="75"/>
    <x v="0"/>
  </r>
  <r>
    <x v="13"/>
    <s v="DEU"/>
    <x v="3"/>
    <s v="SP.DYN.LE00.IN"/>
    <x v="1"/>
    <n v="75"/>
    <x v="0"/>
  </r>
  <r>
    <x v="13"/>
    <s v="DEU"/>
    <x v="3"/>
    <s v="SP.DYN.LE00.IN"/>
    <x v="2"/>
    <n v="76"/>
    <x v="0"/>
  </r>
  <r>
    <x v="13"/>
    <s v="DEU"/>
    <x v="3"/>
    <s v="SP.DYN.LE00.IN"/>
    <x v="3"/>
    <n v="76"/>
    <x v="0"/>
  </r>
  <r>
    <x v="13"/>
    <s v="DEU"/>
    <x v="3"/>
    <s v="SP.DYN.LE00.IN"/>
    <x v="4"/>
    <n v="76"/>
    <x v="0"/>
  </r>
  <r>
    <x v="13"/>
    <s v="DEU"/>
    <x v="3"/>
    <s v="SP.DYN.LE00.IN"/>
    <x v="5"/>
    <n v="76"/>
    <x v="0"/>
  </r>
  <r>
    <x v="13"/>
    <s v="DEU"/>
    <x v="3"/>
    <s v="SP.DYN.LE00.IN"/>
    <x v="6"/>
    <n v="77"/>
    <x v="0"/>
  </r>
  <r>
    <x v="13"/>
    <s v="DEU"/>
    <x v="3"/>
    <s v="SP.DYN.LE00.IN"/>
    <x v="7"/>
    <n v="77"/>
    <x v="1"/>
  </r>
  <r>
    <x v="13"/>
    <s v="DEU"/>
    <x v="3"/>
    <s v="SP.DYN.LE00.IN"/>
    <x v="8"/>
    <n v="77"/>
    <x v="1"/>
  </r>
  <r>
    <x v="13"/>
    <s v="DEU"/>
    <x v="3"/>
    <s v="SP.DYN.LE00.IN"/>
    <x v="9"/>
    <n v="78"/>
    <x v="1"/>
  </r>
  <r>
    <x v="13"/>
    <s v="DEU"/>
    <x v="3"/>
    <s v="SP.DYN.LE00.IN"/>
    <x v="10"/>
    <n v="78"/>
    <x v="1"/>
  </r>
  <r>
    <x v="13"/>
    <s v="DEU"/>
    <x v="3"/>
    <s v="SP.DYN.LE00.IN"/>
    <x v="11"/>
    <n v="78"/>
    <x v="1"/>
  </r>
  <r>
    <x v="13"/>
    <s v="DEU"/>
    <x v="3"/>
    <s v="SP.DYN.LE00.IN"/>
    <x v="12"/>
    <n v="78"/>
    <x v="1"/>
  </r>
  <r>
    <x v="13"/>
    <s v="DEU"/>
    <x v="3"/>
    <s v="SP.DYN.LE00.IN"/>
    <x v="13"/>
    <n v="78"/>
    <x v="1"/>
  </r>
  <r>
    <x v="13"/>
    <s v="DEU"/>
    <x v="3"/>
    <s v="SP.DYN.LE00.IN"/>
    <x v="14"/>
    <n v="79"/>
    <x v="1"/>
  </r>
  <r>
    <x v="13"/>
    <s v="DEU"/>
    <x v="3"/>
    <s v="SP.DYN.LE00.IN"/>
    <x v="15"/>
    <n v="79"/>
    <x v="1"/>
  </r>
  <r>
    <x v="13"/>
    <s v="DEU"/>
    <x v="3"/>
    <s v="SP.DYN.LE00.IN"/>
    <x v="16"/>
    <n v="79"/>
    <x v="1"/>
  </r>
  <r>
    <x v="13"/>
    <s v="DEU"/>
    <x v="3"/>
    <s v="SP.DYN.LE00.IN"/>
    <x v="17"/>
    <n v="80"/>
    <x v="2"/>
  </r>
  <r>
    <x v="13"/>
    <s v="DEU"/>
    <x v="3"/>
    <s v="SP.DYN.LE00.IN"/>
    <x v="18"/>
    <n v="80"/>
    <x v="2"/>
  </r>
  <r>
    <x v="13"/>
    <s v="DEU"/>
    <x v="3"/>
    <s v="SP.DYN.LE00.IN"/>
    <x v="19"/>
    <n v="80"/>
    <x v="2"/>
  </r>
  <r>
    <x v="13"/>
    <s v="DEU"/>
    <x v="3"/>
    <s v="SP.DYN.LE00.IN"/>
    <x v="20"/>
    <n v="80"/>
    <x v="2"/>
  </r>
  <r>
    <x v="13"/>
    <s v="DEU"/>
    <x v="3"/>
    <s v="SP.DYN.LE00.IN"/>
    <x v="21"/>
    <n v="80"/>
    <x v="2"/>
  </r>
  <r>
    <x v="13"/>
    <s v="DEU"/>
    <x v="3"/>
    <s v="SP.DYN.LE00.IN"/>
    <x v="22"/>
    <n v="81"/>
    <x v="2"/>
  </r>
  <r>
    <x v="13"/>
    <s v="DEU"/>
    <x v="3"/>
    <s v="SP.DYN.LE00.IN"/>
    <x v="23"/>
    <n v="80"/>
    <x v="2"/>
  </r>
  <r>
    <x v="13"/>
    <s v="DEU"/>
    <x v="3"/>
    <s v="SP.DYN.LE00.IN"/>
    <x v="24"/>
    <n v="81"/>
    <x v="2"/>
  </r>
  <r>
    <x v="13"/>
    <s v="DEU"/>
    <x v="3"/>
    <s v="SP.DYN.LE00.IN"/>
    <x v="25"/>
    <n v="81"/>
    <x v="2"/>
  </r>
  <r>
    <x v="13"/>
    <s v="DEU"/>
    <x v="3"/>
    <s v="SP.DYN.LE00.IN"/>
    <x v="26"/>
    <n v="81"/>
    <x v="2"/>
  </r>
  <r>
    <x v="13"/>
    <s v="DEU"/>
    <x v="3"/>
    <s v="SP.DYN.LE00.IN"/>
    <x v="27"/>
    <n v="81"/>
    <x v="3"/>
  </r>
  <r>
    <x v="13"/>
    <s v="DEU"/>
    <x v="3"/>
    <s v="SP.DYN.LE00.IN"/>
    <x v="28"/>
    <n v="81"/>
    <x v="3"/>
  </r>
  <r>
    <x v="13"/>
    <s v="DEU"/>
    <x v="3"/>
    <s v="SP.DYN.LE00.IN"/>
    <x v="29"/>
    <n v="81"/>
    <x v="3"/>
  </r>
  <r>
    <x v="13"/>
    <s v="DEU"/>
    <x v="3"/>
    <s v="SP.DYN.LE00.IN"/>
    <x v="30"/>
    <n v="81"/>
    <x v="3"/>
  </r>
  <r>
    <x v="13"/>
    <s v="DEU"/>
    <x v="3"/>
    <s v="SP.DYN.LE00.IN"/>
    <x v="31"/>
    <n v="81"/>
    <x v="6"/>
  </r>
  <r>
    <x v="13"/>
    <s v="DEU"/>
    <x v="3"/>
    <s v="SP.DYN.LE00.IN"/>
    <x v="32"/>
    <n v="81"/>
    <x v="6"/>
  </r>
  <r>
    <x v="13"/>
    <s v="DEU"/>
    <x v="3"/>
    <s v="SP.DYN.LE00.IN"/>
    <x v="33"/>
    <n v="81"/>
    <x v="6"/>
  </r>
  <r>
    <x v="14"/>
    <s v="DNK"/>
    <x v="3"/>
    <s v="SP.DYN.LE00.IN"/>
    <x v="55"/>
    <n v="72"/>
    <x v="6"/>
  </r>
  <r>
    <x v="14"/>
    <s v="DNK"/>
    <x v="3"/>
    <s v="SP.DYN.LE00.IN"/>
    <x v="56"/>
    <n v="72"/>
    <x v="6"/>
  </r>
  <r>
    <x v="14"/>
    <s v="DNK"/>
    <x v="3"/>
    <s v="SP.DYN.LE00.IN"/>
    <x v="57"/>
    <n v="72"/>
    <x v="6"/>
  </r>
  <r>
    <x v="14"/>
    <s v="DNK"/>
    <x v="3"/>
    <s v="SP.DYN.LE00.IN"/>
    <x v="58"/>
    <n v="72"/>
    <x v="6"/>
  </r>
  <r>
    <x v="14"/>
    <s v="DNK"/>
    <x v="3"/>
    <s v="SP.DYN.LE00.IN"/>
    <x v="59"/>
    <n v="72"/>
    <x v="6"/>
  </r>
  <r>
    <x v="14"/>
    <s v="DNK"/>
    <x v="3"/>
    <s v="SP.DYN.LE00.IN"/>
    <x v="60"/>
    <n v="72"/>
    <x v="6"/>
  </r>
  <r>
    <x v="14"/>
    <s v="DNK"/>
    <x v="3"/>
    <s v="SP.DYN.LE00.IN"/>
    <x v="61"/>
    <n v="72"/>
    <x v="6"/>
  </r>
  <r>
    <x v="14"/>
    <s v="DNK"/>
    <x v="3"/>
    <s v="SP.DYN.LE00.IN"/>
    <x v="62"/>
    <n v="73"/>
    <x v="4"/>
  </r>
  <r>
    <x v="14"/>
    <s v="DNK"/>
    <x v="3"/>
    <s v="SP.DYN.LE00.IN"/>
    <x v="63"/>
    <n v="73"/>
    <x v="4"/>
  </r>
  <r>
    <x v="14"/>
    <s v="DNK"/>
    <x v="3"/>
    <s v="SP.DYN.LE00.IN"/>
    <x v="64"/>
    <n v="73"/>
    <x v="4"/>
  </r>
  <r>
    <x v="14"/>
    <s v="DNK"/>
    <x v="3"/>
    <s v="SP.DYN.LE00.IN"/>
    <x v="34"/>
    <n v="73"/>
    <x v="4"/>
  </r>
  <r>
    <x v="14"/>
    <s v="DNK"/>
    <x v="3"/>
    <s v="SP.DYN.LE00.IN"/>
    <x v="35"/>
    <n v="73"/>
    <x v="4"/>
  </r>
  <r>
    <x v="14"/>
    <s v="DNK"/>
    <x v="3"/>
    <s v="SP.DYN.LE00.IN"/>
    <x v="36"/>
    <n v="73"/>
    <x v="4"/>
  </r>
  <r>
    <x v="14"/>
    <s v="DNK"/>
    <x v="3"/>
    <s v="SP.DYN.LE00.IN"/>
    <x v="37"/>
    <n v="74"/>
    <x v="4"/>
  </r>
  <r>
    <x v="14"/>
    <s v="DNK"/>
    <x v="3"/>
    <s v="SP.DYN.LE00.IN"/>
    <x v="38"/>
    <n v="74"/>
    <x v="4"/>
  </r>
  <r>
    <x v="14"/>
    <s v="DNK"/>
    <x v="3"/>
    <s v="SP.DYN.LE00.IN"/>
    <x v="39"/>
    <n v="74"/>
    <x v="4"/>
  </r>
  <r>
    <x v="14"/>
    <s v="DNK"/>
    <x v="3"/>
    <s v="SP.DYN.LE00.IN"/>
    <x v="40"/>
    <n v="74"/>
    <x v="4"/>
  </r>
  <r>
    <x v="14"/>
    <s v="DNK"/>
    <x v="3"/>
    <s v="SP.DYN.LE00.IN"/>
    <x v="41"/>
    <n v="75"/>
    <x v="5"/>
  </r>
  <r>
    <x v="14"/>
    <s v="DNK"/>
    <x v="3"/>
    <s v="SP.DYN.LE00.IN"/>
    <x v="42"/>
    <n v="74"/>
    <x v="5"/>
  </r>
  <r>
    <x v="14"/>
    <s v="DNK"/>
    <x v="3"/>
    <s v="SP.DYN.LE00.IN"/>
    <x v="43"/>
    <n v="74"/>
    <x v="5"/>
  </r>
  <r>
    <x v="14"/>
    <s v="DNK"/>
    <x v="3"/>
    <s v="SP.DYN.LE00.IN"/>
    <x v="44"/>
    <n v="74"/>
    <x v="5"/>
  </r>
  <r>
    <x v="14"/>
    <s v="DNK"/>
    <x v="3"/>
    <s v="SP.DYN.LE00.IN"/>
    <x v="45"/>
    <n v="74"/>
    <x v="5"/>
  </r>
  <r>
    <x v="14"/>
    <s v="DNK"/>
    <x v="3"/>
    <s v="SP.DYN.LE00.IN"/>
    <x v="46"/>
    <n v="75"/>
    <x v="5"/>
  </r>
  <r>
    <x v="14"/>
    <s v="DNK"/>
    <x v="3"/>
    <s v="SP.DYN.LE00.IN"/>
    <x v="47"/>
    <n v="74"/>
    <x v="5"/>
  </r>
  <r>
    <x v="14"/>
    <s v="DNK"/>
    <x v="3"/>
    <s v="SP.DYN.LE00.IN"/>
    <x v="48"/>
    <n v="75"/>
    <x v="5"/>
  </r>
  <r>
    <x v="14"/>
    <s v="DNK"/>
    <x v="3"/>
    <s v="SP.DYN.LE00.IN"/>
    <x v="49"/>
    <n v="74"/>
    <x v="5"/>
  </r>
  <r>
    <x v="14"/>
    <s v="DNK"/>
    <x v="3"/>
    <s v="SP.DYN.LE00.IN"/>
    <x v="50"/>
    <n v="75"/>
    <x v="5"/>
  </r>
  <r>
    <x v="14"/>
    <s v="DNK"/>
    <x v="3"/>
    <s v="SP.DYN.LE00.IN"/>
    <x v="51"/>
    <n v="75"/>
    <x v="0"/>
  </r>
  <r>
    <x v="14"/>
    <s v="DNK"/>
    <x v="3"/>
    <s v="SP.DYN.LE00.IN"/>
    <x v="52"/>
    <n v="75"/>
    <x v="0"/>
  </r>
  <r>
    <x v="14"/>
    <s v="DNK"/>
    <x v="3"/>
    <s v="SP.DYN.LE00.IN"/>
    <x v="53"/>
    <n v="75"/>
    <x v="0"/>
  </r>
  <r>
    <x v="14"/>
    <s v="DNK"/>
    <x v="3"/>
    <s v="SP.DYN.LE00.IN"/>
    <x v="0"/>
    <n v="75"/>
    <x v="0"/>
  </r>
  <r>
    <x v="14"/>
    <s v="DNK"/>
    <x v="3"/>
    <s v="SP.DYN.LE00.IN"/>
    <x v="1"/>
    <n v="75"/>
    <x v="0"/>
  </r>
  <r>
    <x v="14"/>
    <s v="DNK"/>
    <x v="3"/>
    <s v="SP.DYN.LE00.IN"/>
    <x v="2"/>
    <n v="75"/>
    <x v="0"/>
  </r>
  <r>
    <x v="14"/>
    <s v="DNK"/>
    <x v="3"/>
    <s v="SP.DYN.LE00.IN"/>
    <x v="3"/>
    <n v="75"/>
    <x v="0"/>
  </r>
  <r>
    <x v="14"/>
    <s v="DNK"/>
    <x v="3"/>
    <s v="SP.DYN.LE00.IN"/>
    <x v="4"/>
    <n v="75"/>
    <x v="0"/>
  </r>
  <r>
    <x v="14"/>
    <s v="DNK"/>
    <x v="3"/>
    <s v="SP.DYN.LE00.IN"/>
    <x v="5"/>
    <n v="75"/>
    <x v="0"/>
  </r>
  <r>
    <x v="14"/>
    <s v="DNK"/>
    <x v="3"/>
    <s v="SP.DYN.LE00.IN"/>
    <x v="6"/>
    <n v="76"/>
    <x v="0"/>
  </r>
  <r>
    <x v="14"/>
    <s v="DNK"/>
    <x v="3"/>
    <s v="SP.DYN.LE00.IN"/>
    <x v="7"/>
    <n v="76"/>
    <x v="1"/>
  </r>
  <r>
    <x v="14"/>
    <s v="DNK"/>
    <x v="3"/>
    <s v="SP.DYN.LE00.IN"/>
    <x v="8"/>
    <n v="76"/>
    <x v="1"/>
  </r>
  <r>
    <x v="14"/>
    <s v="DNK"/>
    <x v="3"/>
    <s v="SP.DYN.LE00.IN"/>
    <x v="9"/>
    <n v="76"/>
    <x v="1"/>
  </r>
  <r>
    <x v="14"/>
    <s v="DNK"/>
    <x v="3"/>
    <s v="SP.DYN.LE00.IN"/>
    <x v="10"/>
    <n v="77"/>
    <x v="1"/>
  </r>
  <r>
    <x v="14"/>
    <s v="DNK"/>
    <x v="3"/>
    <s v="SP.DYN.LE00.IN"/>
    <x v="11"/>
    <n v="77"/>
    <x v="1"/>
  </r>
  <r>
    <x v="14"/>
    <s v="DNK"/>
    <x v="3"/>
    <s v="SP.DYN.LE00.IN"/>
    <x v="12"/>
    <n v="77"/>
    <x v="1"/>
  </r>
  <r>
    <x v="14"/>
    <s v="DNK"/>
    <x v="3"/>
    <s v="SP.DYN.LE00.IN"/>
    <x v="13"/>
    <n v="77"/>
    <x v="1"/>
  </r>
  <r>
    <x v="14"/>
    <s v="DNK"/>
    <x v="3"/>
    <s v="SP.DYN.LE00.IN"/>
    <x v="14"/>
    <n v="77"/>
    <x v="1"/>
  </r>
  <r>
    <x v="14"/>
    <s v="DNK"/>
    <x v="3"/>
    <s v="SP.DYN.LE00.IN"/>
    <x v="15"/>
    <n v="78"/>
    <x v="1"/>
  </r>
  <r>
    <x v="14"/>
    <s v="DNK"/>
    <x v="3"/>
    <s v="SP.DYN.LE00.IN"/>
    <x v="16"/>
    <n v="78"/>
    <x v="1"/>
  </r>
  <r>
    <x v="14"/>
    <s v="DNK"/>
    <x v="3"/>
    <s v="SP.DYN.LE00.IN"/>
    <x v="17"/>
    <n v="78"/>
    <x v="2"/>
  </r>
  <r>
    <x v="14"/>
    <s v="DNK"/>
    <x v="3"/>
    <s v="SP.DYN.LE00.IN"/>
    <x v="18"/>
    <n v="78"/>
    <x v="2"/>
  </r>
  <r>
    <x v="14"/>
    <s v="DNK"/>
    <x v="3"/>
    <s v="SP.DYN.LE00.IN"/>
    <x v="19"/>
    <n v="79"/>
    <x v="2"/>
  </r>
  <r>
    <x v="14"/>
    <s v="DNK"/>
    <x v="3"/>
    <s v="SP.DYN.LE00.IN"/>
    <x v="20"/>
    <n v="79"/>
    <x v="2"/>
  </r>
  <r>
    <x v="14"/>
    <s v="DNK"/>
    <x v="3"/>
    <s v="SP.DYN.LE00.IN"/>
    <x v="21"/>
    <n v="80"/>
    <x v="2"/>
  </r>
  <r>
    <x v="14"/>
    <s v="DNK"/>
    <x v="3"/>
    <s v="SP.DYN.LE00.IN"/>
    <x v="22"/>
    <n v="80"/>
    <x v="2"/>
  </r>
  <r>
    <x v="14"/>
    <s v="DNK"/>
    <x v="3"/>
    <s v="SP.DYN.LE00.IN"/>
    <x v="23"/>
    <n v="80"/>
    <x v="2"/>
  </r>
  <r>
    <x v="14"/>
    <s v="DNK"/>
    <x v="3"/>
    <s v="SP.DYN.LE00.IN"/>
    <x v="24"/>
    <n v="81"/>
    <x v="2"/>
  </r>
  <r>
    <x v="14"/>
    <s v="DNK"/>
    <x v="3"/>
    <s v="SP.DYN.LE00.IN"/>
    <x v="25"/>
    <n v="81"/>
    <x v="2"/>
  </r>
  <r>
    <x v="14"/>
    <s v="DNK"/>
    <x v="3"/>
    <s v="SP.DYN.LE00.IN"/>
    <x v="26"/>
    <n v="81"/>
    <x v="2"/>
  </r>
  <r>
    <x v="14"/>
    <s v="DNK"/>
    <x v="3"/>
    <s v="SP.DYN.LE00.IN"/>
    <x v="27"/>
    <n v="81"/>
    <x v="3"/>
  </r>
  <r>
    <x v="14"/>
    <s v="DNK"/>
    <x v="3"/>
    <s v="SP.DYN.LE00.IN"/>
    <x v="28"/>
    <n v="81"/>
    <x v="3"/>
  </r>
  <r>
    <x v="14"/>
    <s v="DNK"/>
    <x v="3"/>
    <s v="SP.DYN.LE00.IN"/>
    <x v="29"/>
    <n v="81"/>
    <x v="3"/>
  </r>
  <r>
    <x v="14"/>
    <s v="DNK"/>
    <x v="3"/>
    <s v="SP.DYN.LE00.IN"/>
    <x v="30"/>
    <n v="82"/>
    <x v="3"/>
  </r>
  <r>
    <x v="14"/>
    <s v="DNK"/>
    <x v="3"/>
    <s v="SP.DYN.LE00.IN"/>
    <x v="31"/>
    <n v="81"/>
    <x v="6"/>
  </r>
  <r>
    <x v="14"/>
    <s v="DNK"/>
    <x v="3"/>
    <s v="SP.DYN.LE00.IN"/>
    <x v="32"/>
    <n v="81"/>
    <x v="6"/>
  </r>
  <r>
    <x v="14"/>
    <s v="DNK"/>
    <x v="3"/>
    <s v="SP.DYN.LE00.IN"/>
    <x v="33"/>
    <n v="82"/>
    <x v="6"/>
  </r>
  <r>
    <x v="15"/>
    <s v="ESP"/>
    <x v="3"/>
    <s v="SP.DYN.LE00.IN"/>
    <x v="55"/>
    <n v="69"/>
    <x v="6"/>
  </r>
  <r>
    <x v="15"/>
    <s v="ESP"/>
    <x v="3"/>
    <s v="SP.DYN.LE00.IN"/>
    <x v="56"/>
    <n v="69"/>
    <x v="6"/>
  </r>
  <r>
    <x v="15"/>
    <s v="ESP"/>
    <x v="3"/>
    <s v="SP.DYN.LE00.IN"/>
    <x v="57"/>
    <n v="70"/>
    <x v="6"/>
  </r>
  <r>
    <x v="15"/>
    <s v="ESP"/>
    <x v="3"/>
    <s v="SP.DYN.LE00.IN"/>
    <x v="58"/>
    <n v="70"/>
    <x v="6"/>
  </r>
  <r>
    <x v="15"/>
    <s v="ESP"/>
    <x v="3"/>
    <s v="SP.DYN.LE00.IN"/>
    <x v="59"/>
    <n v="70"/>
    <x v="6"/>
  </r>
  <r>
    <x v="15"/>
    <s v="ESP"/>
    <x v="3"/>
    <s v="SP.DYN.LE00.IN"/>
    <x v="60"/>
    <n v="71"/>
    <x v="6"/>
  </r>
  <r>
    <x v="15"/>
    <s v="ESP"/>
    <x v="3"/>
    <s v="SP.DYN.LE00.IN"/>
    <x v="61"/>
    <n v="71"/>
    <x v="6"/>
  </r>
  <r>
    <x v="15"/>
    <s v="ESP"/>
    <x v="3"/>
    <s v="SP.DYN.LE00.IN"/>
    <x v="62"/>
    <n v="71"/>
    <x v="4"/>
  </r>
  <r>
    <x v="15"/>
    <s v="ESP"/>
    <x v="3"/>
    <s v="SP.DYN.LE00.IN"/>
    <x v="63"/>
    <n v="72"/>
    <x v="4"/>
  </r>
  <r>
    <x v="15"/>
    <s v="ESP"/>
    <x v="3"/>
    <s v="SP.DYN.LE00.IN"/>
    <x v="64"/>
    <n v="71"/>
    <x v="4"/>
  </r>
  <r>
    <x v="15"/>
    <s v="ESP"/>
    <x v="3"/>
    <s v="SP.DYN.LE00.IN"/>
    <x v="34"/>
    <n v="72"/>
    <x v="4"/>
  </r>
  <r>
    <x v="15"/>
    <s v="ESP"/>
    <x v="3"/>
    <s v="SP.DYN.LE00.IN"/>
    <x v="35"/>
    <n v="72"/>
    <x v="4"/>
  </r>
  <r>
    <x v="15"/>
    <s v="ESP"/>
    <x v="3"/>
    <s v="SP.DYN.LE00.IN"/>
    <x v="36"/>
    <n v="73"/>
    <x v="4"/>
  </r>
  <r>
    <x v="15"/>
    <s v="ESP"/>
    <x v="3"/>
    <s v="SP.DYN.LE00.IN"/>
    <x v="37"/>
    <n v="73"/>
    <x v="4"/>
  </r>
  <r>
    <x v="15"/>
    <s v="ESP"/>
    <x v="3"/>
    <s v="SP.DYN.LE00.IN"/>
    <x v="38"/>
    <n v="73"/>
    <x v="4"/>
  </r>
  <r>
    <x v="15"/>
    <s v="ESP"/>
    <x v="3"/>
    <s v="SP.DYN.LE00.IN"/>
    <x v="39"/>
    <n v="73"/>
    <x v="4"/>
  </r>
  <r>
    <x v="15"/>
    <s v="ESP"/>
    <x v="3"/>
    <s v="SP.DYN.LE00.IN"/>
    <x v="40"/>
    <n v="74"/>
    <x v="4"/>
  </r>
  <r>
    <x v="15"/>
    <s v="ESP"/>
    <x v="3"/>
    <s v="SP.DYN.LE00.IN"/>
    <x v="41"/>
    <n v="74"/>
    <x v="5"/>
  </r>
  <r>
    <x v="15"/>
    <s v="ESP"/>
    <x v="3"/>
    <s v="SP.DYN.LE00.IN"/>
    <x v="42"/>
    <n v="74"/>
    <x v="5"/>
  </r>
  <r>
    <x v="15"/>
    <s v="ESP"/>
    <x v="3"/>
    <s v="SP.DYN.LE00.IN"/>
    <x v="43"/>
    <n v="75"/>
    <x v="5"/>
  </r>
  <r>
    <x v="15"/>
    <s v="ESP"/>
    <x v="3"/>
    <s v="SP.DYN.LE00.IN"/>
    <x v="44"/>
    <n v="75"/>
    <x v="5"/>
  </r>
  <r>
    <x v="15"/>
    <s v="ESP"/>
    <x v="3"/>
    <s v="SP.DYN.LE00.IN"/>
    <x v="45"/>
    <n v="76"/>
    <x v="5"/>
  </r>
  <r>
    <x v="15"/>
    <s v="ESP"/>
    <x v="3"/>
    <s v="SP.DYN.LE00.IN"/>
    <x v="46"/>
    <n v="76"/>
    <x v="5"/>
  </r>
  <r>
    <x v="15"/>
    <s v="ESP"/>
    <x v="3"/>
    <s v="SP.DYN.LE00.IN"/>
    <x v="47"/>
    <n v="76"/>
    <x v="5"/>
  </r>
  <r>
    <x v="15"/>
    <s v="ESP"/>
    <x v="3"/>
    <s v="SP.DYN.LE00.IN"/>
    <x v="48"/>
    <n v="76"/>
    <x v="5"/>
  </r>
  <r>
    <x v="15"/>
    <s v="ESP"/>
    <x v="3"/>
    <s v="SP.DYN.LE00.IN"/>
    <x v="49"/>
    <n v="76"/>
    <x v="5"/>
  </r>
  <r>
    <x v="15"/>
    <s v="ESP"/>
    <x v="3"/>
    <s v="SP.DYN.LE00.IN"/>
    <x v="50"/>
    <n v="77"/>
    <x v="5"/>
  </r>
  <r>
    <x v="15"/>
    <s v="ESP"/>
    <x v="3"/>
    <s v="SP.DYN.LE00.IN"/>
    <x v="51"/>
    <n v="77"/>
    <x v="0"/>
  </r>
  <r>
    <x v="15"/>
    <s v="ESP"/>
    <x v="3"/>
    <s v="SP.DYN.LE00.IN"/>
    <x v="52"/>
    <n v="77"/>
    <x v="0"/>
  </r>
  <r>
    <x v="15"/>
    <s v="ESP"/>
    <x v="3"/>
    <s v="SP.DYN.LE00.IN"/>
    <x v="53"/>
    <n v="77"/>
    <x v="0"/>
  </r>
  <r>
    <x v="15"/>
    <s v="ESP"/>
    <x v="3"/>
    <s v="SP.DYN.LE00.IN"/>
    <x v="0"/>
    <n v="77"/>
    <x v="0"/>
  </r>
  <r>
    <x v="15"/>
    <s v="ESP"/>
    <x v="3"/>
    <s v="SP.DYN.LE00.IN"/>
    <x v="1"/>
    <n v="77"/>
    <x v="0"/>
  </r>
  <r>
    <x v="15"/>
    <s v="ESP"/>
    <x v="3"/>
    <s v="SP.DYN.LE00.IN"/>
    <x v="2"/>
    <n v="77"/>
    <x v="0"/>
  </r>
  <r>
    <x v="15"/>
    <s v="ESP"/>
    <x v="3"/>
    <s v="SP.DYN.LE00.IN"/>
    <x v="3"/>
    <n v="78"/>
    <x v="0"/>
  </r>
  <r>
    <x v="15"/>
    <s v="ESP"/>
    <x v="3"/>
    <s v="SP.DYN.LE00.IN"/>
    <x v="4"/>
    <n v="78"/>
    <x v="0"/>
  </r>
  <r>
    <x v="15"/>
    <s v="ESP"/>
    <x v="3"/>
    <s v="SP.DYN.LE00.IN"/>
    <x v="5"/>
    <n v="78"/>
    <x v="0"/>
  </r>
  <r>
    <x v="15"/>
    <s v="ESP"/>
    <x v="3"/>
    <s v="SP.DYN.LE00.IN"/>
    <x v="6"/>
    <n v="78"/>
    <x v="0"/>
  </r>
  <r>
    <x v="15"/>
    <s v="ESP"/>
    <x v="3"/>
    <s v="SP.DYN.LE00.IN"/>
    <x v="7"/>
    <n v="79"/>
    <x v="1"/>
  </r>
  <r>
    <x v="15"/>
    <s v="ESP"/>
    <x v="3"/>
    <s v="SP.DYN.LE00.IN"/>
    <x v="8"/>
    <n v="79"/>
    <x v="1"/>
  </r>
  <r>
    <x v="15"/>
    <s v="ESP"/>
    <x v="3"/>
    <s v="SP.DYN.LE00.IN"/>
    <x v="9"/>
    <n v="79"/>
    <x v="1"/>
  </r>
  <r>
    <x v="15"/>
    <s v="ESP"/>
    <x v="3"/>
    <s v="SP.DYN.LE00.IN"/>
    <x v="10"/>
    <n v="79"/>
    <x v="1"/>
  </r>
  <r>
    <x v="15"/>
    <s v="ESP"/>
    <x v="3"/>
    <s v="SP.DYN.LE00.IN"/>
    <x v="11"/>
    <n v="79"/>
    <x v="1"/>
  </r>
  <r>
    <x v="15"/>
    <s v="ESP"/>
    <x v="3"/>
    <s v="SP.DYN.LE00.IN"/>
    <x v="12"/>
    <n v="80"/>
    <x v="1"/>
  </r>
  <r>
    <x v="15"/>
    <s v="ESP"/>
    <x v="3"/>
    <s v="SP.DYN.LE00.IN"/>
    <x v="13"/>
    <n v="80"/>
    <x v="1"/>
  </r>
  <r>
    <x v="15"/>
    <s v="ESP"/>
    <x v="3"/>
    <s v="SP.DYN.LE00.IN"/>
    <x v="14"/>
    <n v="80"/>
    <x v="1"/>
  </r>
  <r>
    <x v="15"/>
    <s v="ESP"/>
    <x v="3"/>
    <s v="SP.DYN.LE00.IN"/>
    <x v="15"/>
    <n v="80"/>
    <x v="1"/>
  </r>
  <r>
    <x v="15"/>
    <s v="ESP"/>
    <x v="3"/>
    <s v="SP.DYN.LE00.IN"/>
    <x v="16"/>
    <n v="81"/>
    <x v="1"/>
  </r>
  <r>
    <x v="15"/>
    <s v="ESP"/>
    <x v="3"/>
    <s v="SP.DYN.LE00.IN"/>
    <x v="17"/>
    <n v="81"/>
    <x v="2"/>
  </r>
  <r>
    <x v="15"/>
    <s v="ESP"/>
    <x v="3"/>
    <s v="SP.DYN.LE00.IN"/>
    <x v="18"/>
    <n v="81"/>
    <x v="2"/>
  </r>
  <r>
    <x v="15"/>
    <s v="ESP"/>
    <x v="3"/>
    <s v="SP.DYN.LE00.IN"/>
    <x v="19"/>
    <n v="81"/>
    <x v="2"/>
  </r>
  <r>
    <x v="15"/>
    <s v="ESP"/>
    <x v="3"/>
    <s v="SP.DYN.LE00.IN"/>
    <x v="20"/>
    <n v="82"/>
    <x v="2"/>
  </r>
  <r>
    <x v="15"/>
    <s v="ESP"/>
    <x v="3"/>
    <s v="SP.DYN.LE00.IN"/>
    <x v="21"/>
    <n v="82"/>
    <x v="2"/>
  </r>
  <r>
    <x v="15"/>
    <s v="ESP"/>
    <x v="3"/>
    <s v="SP.DYN.LE00.IN"/>
    <x v="22"/>
    <n v="82"/>
    <x v="2"/>
  </r>
  <r>
    <x v="15"/>
    <s v="ESP"/>
    <x v="3"/>
    <s v="SP.DYN.LE00.IN"/>
    <x v="23"/>
    <n v="83"/>
    <x v="2"/>
  </r>
  <r>
    <x v="15"/>
    <s v="ESP"/>
    <x v="3"/>
    <s v="SP.DYN.LE00.IN"/>
    <x v="24"/>
    <n v="83"/>
    <x v="2"/>
  </r>
  <r>
    <x v="15"/>
    <s v="ESP"/>
    <x v="3"/>
    <s v="SP.DYN.LE00.IN"/>
    <x v="25"/>
    <n v="83"/>
    <x v="2"/>
  </r>
  <r>
    <x v="15"/>
    <s v="ESP"/>
    <x v="3"/>
    <s v="SP.DYN.LE00.IN"/>
    <x v="26"/>
    <n v="83"/>
    <x v="2"/>
  </r>
  <r>
    <x v="15"/>
    <s v="ESP"/>
    <x v="3"/>
    <s v="SP.DYN.LE00.IN"/>
    <x v="27"/>
    <n v="83"/>
    <x v="3"/>
  </r>
  <r>
    <x v="15"/>
    <s v="ESP"/>
    <x v="3"/>
    <s v="SP.DYN.LE00.IN"/>
    <x v="28"/>
    <n v="83"/>
    <x v="3"/>
  </r>
  <r>
    <x v="15"/>
    <s v="ESP"/>
    <x v="3"/>
    <s v="SP.DYN.LE00.IN"/>
    <x v="29"/>
    <n v="84"/>
    <x v="3"/>
  </r>
  <r>
    <x v="15"/>
    <s v="ESP"/>
    <x v="3"/>
    <s v="SP.DYN.LE00.IN"/>
    <x v="30"/>
    <n v="82"/>
    <x v="3"/>
  </r>
  <r>
    <x v="15"/>
    <s v="ESP"/>
    <x v="3"/>
    <s v="SP.DYN.LE00.IN"/>
    <x v="31"/>
    <n v="83"/>
    <x v="6"/>
  </r>
  <r>
    <x v="15"/>
    <s v="ESP"/>
    <x v="3"/>
    <s v="SP.DYN.LE00.IN"/>
    <x v="32"/>
    <n v="83"/>
    <x v="6"/>
  </r>
  <r>
    <x v="15"/>
    <s v="ESP"/>
    <x v="3"/>
    <s v="SP.DYN.LE00.IN"/>
    <x v="33"/>
    <n v="84"/>
    <x v="6"/>
  </r>
  <r>
    <x v="16"/>
    <s v="EST"/>
    <x v="3"/>
    <s v="SP.DYN.LE00.IN"/>
    <x v="55"/>
    <n v="69"/>
    <x v="6"/>
  </r>
  <r>
    <x v="16"/>
    <s v="EST"/>
    <x v="3"/>
    <s v="SP.DYN.LE00.IN"/>
    <x v="56"/>
    <n v="69"/>
    <x v="6"/>
  </r>
  <r>
    <x v="16"/>
    <s v="EST"/>
    <x v="3"/>
    <s v="SP.DYN.LE00.IN"/>
    <x v="57"/>
    <n v="69"/>
    <x v="6"/>
  </r>
  <r>
    <x v="16"/>
    <s v="EST"/>
    <x v="3"/>
    <s v="SP.DYN.LE00.IN"/>
    <x v="58"/>
    <n v="69"/>
    <x v="6"/>
  </r>
  <r>
    <x v="16"/>
    <s v="EST"/>
    <x v="3"/>
    <s v="SP.DYN.LE00.IN"/>
    <x v="59"/>
    <n v="70"/>
    <x v="6"/>
  </r>
  <r>
    <x v="16"/>
    <s v="EST"/>
    <x v="3"/>
    <s v="SP.DYN.LE00.IN"/>
    <x v="60"/>
    <n v="70"/>
    <x v="6"/>
  </r>
  <r>
    <x v="16"/>
    <s v="EST"/>
    <x v="3"/>
    <s v="SP.DYN.LE00.IN"/>
    <x v="61"/>
    <n v="70"/>
    <x v="6"/>
  </r>
  <r>
    <x v="16"/>
    <s v="EST"/>
    <x v="3"/>
    <s v="SP.DYN.LE00.IN"/>
    <x v="62"/>
    <n v="70"/>
    <x v="4"/>
  </r>
  <r>
    <x v="16"/>
    <s v="EST"/>
    <x v="3"/>
    <s v="SP.DYN.LE00.IN"/>
    <x v="63"/>
    <n v="70"/>
    <x v="4"/>
  </r>
  <r>
    <x v="16"/>
    <s v="EST"/>
    <x v="3"/>
    <s v="SP.DYN.LE00.IN"/>
    <x v="64"/>
    <n v="70"/>
    <x v="4"/>
  </r>
  <r>
    <x v="16"/>
    <s v="EST"/>
    <x v="3"/>
    <s v="SP.DYN.LE00.IN"/>
    <x v="34"/>
    <n v="70"/>
    <x v="4"/>
  </r>
  <r>
    <x v="16"/>
    <s v="EST"/>
    <x v="3"/>
    <s v="SP.DYN.LE00.IN"/>
    <x v="35"/>
    <n v="70"/>
    <x v="4"/>
  </r>
  <r>
    <x v="16"/>
    <s v="EST"/>
    <x v="3"/>
    <s v="SP.DYN.LE00.IN"/>
    <x v="36"/>
    <n v="70"/>
    <x v="4"/>
  </r>
  <r>
    <x v="16"/>
    <s v="EST"/>
    <x v="3"/>
    <s v="SP.DYN.LE00.IN"/>
    <x v="37"/>
    <n v="70"/>
    <x v="4"/>
  </r>
  <r>
    <x v="16"/>
    <s v="EST"/>
    <x v="3"/>
    <s v="SP.DYN.LE00.IN"/>
    <x v="38"/>
    <n v="70"/>
    <x v="4"/>
  </r>
  <r>
    <x v="16"/>
    <s v="EST"/>
    <x v="3"/>
    <s v="SP.DYN.LE00.IN"/>
    <x v="39"/>
    <n v="70"/>
    <x v="4"/>
  </r>
  <r>
    <x v="16"/>
    <s v="EST"/>
    <x v="3"/>
    <s v="SP.DYN.LE00.IN"/>
    <x v="40"/>
    <n v="69"/>
    <x v="4"/>
  </r>
  <r>
    <x v="16"/>
    <s v="EST"/>
    <x v="3"/>
    <s v="SP.DYN.LE00.IN"/>
    <x v="41"/>
    <n v="69"/>
    <x v="5"/>
  </r>
  <r>
    <x v="16"/>
    <s v="EST"/>
    <x v="3"/>
    <s v="SP.DYN.LE00.IN"/>
    <x v="42"/>
    <n v="69"/>
    <x v="5"/>
  </r>
  <r>
    <x v="16"/>
    <s v="EST"/>
    <x v="3"/>
    <s v="SP.DYN.LE00.IN"/>
    <x v="43"/>
    <n v="69"/>
    <x v="5"/>
  </r>
  <r>
    <x v="16"/>
    <s v="EST"/>
    <x v="3"/>
    <s v="SP.DYN.LE00.IN"/>
    <x v="44"/>
    <n v="69"/>
    <x v="5"/>
  </r>
  <r>
    <x v="16"/>
    <s v="EST"/>
    <x v="3"/>
    <s v="SP.DYN.LE00.IN"/>
    <x v="45"/>
    <n v="69"/>
    <x v="5"/>
  </r>
  <r>
    <x v="16"/>
    <s v="EST"/>
    <x v="3"/>
    <s v="SP.DYN.LE00.IN"/>
    <x v="46"/>
    <n v="69"/>
    <x v="5"/>
  </r>
  <r>
    <x v="16"/>
    <s v="EST"/>
    <x v="3"/>
    <s v="SP.DYN.LE00.IN"/>
    <x v="47"/>
    <n v="69"/>
    <x v="5"/>
  </r>
  <r>
    <x v="16"/>
    <s v="EST"/>
    <x v="3"/>
    <s v="SP.DYN.LE00.IN"/>
    <x v="48"/>
    <n v="69"/>
    <x v="5"/>
  </r>
  <r>
    <x v="16"/>
    <s v="EST"/>
    <x v="3"/>
    <s v="SP.DYN.LE00.IN"/>
    <x v="49"/>
    <n v="69"/>
    <x v="5"/>
  </r>
  <r>
    <x v="16"/>
    <s v="EST"/>
    <x v="3"/>
    <s v="SP.DYN.LE00.IN"/>
    <x v="50"/>
    <n v="70"/>
    <x v="5"/>
  </r>
  <r>
    <x v="16"/>
    <s v="EST"/>
    <x v="3"/>
    <s v="SP.DYN.LE00.IN"/>
    <x v="51"/>
    <n v="71"/>
    <x v="0"/>
  </r>
  <r>
    <x v="16"/>
    <s v="EST"/>
    <x v="3"/>
    <s v="SP.DYN.LE00.IN"/>
    <x v="52"/>
    <n v="71"/>
    <x v="0"/>
  </r>
  <r>
    <x v="16"/>
    <s v="EST"/>
    <x v="3"/>
    <s v="SP.DYN.LE00.IN"/>
    <x v="53"/>
    <n v="70"/>
    <x v="0"/>
  </r>
  <r>
    <x v="16"/>
    <s v="EST"/>
    <x v="3"/>
    <s v="SP.DYN.LE00.IN"/>
    <x v="0"/>
    <n v="69"/>
    <x v="0"/>
  </r>
  <r>
    <x v="16"/>
    <s v="EST"/>
    <x v="3"/>
    <s v="SP.DYN.LE00.IN"/>
    <x v="1"/>
    <n v="69"/>
    <x v="0"/>
  </r>
  <r>
    <x v="16"/>
    <s v="EST"/>
    <x v="3"/>
    <s v="SP.DYN.LE00.IN"/>
    <x v="2"/>
    <n v="69"/>
    <x v="0"/>
  </r>
  <r>
    <x v="16"/>
    <s v="EST"/>
    <x v="3"/>
    <s v="SP.DYN.LE00.IN"/>
    <x v="3"/>
    <n v="68"/>
    <x v="0"/>
  </r>
  <r>
    <x v="16"/>
    <s v="EST"/>
    <x v="3"/>
    <s v="SP.DYN.LE00.IN"/>
    <x v="4"/>
    <n v="67"/>
    <x v="0"/>
  </r>
  <r>
    <x v="16"/>
    <s v="EST"/>
    <x v="3"/>
    <s v="SP.DYN.LE00.IN"/>
    <x v="5"/>
    <n v="68"/>
    <x v="0"/>
  </r>
  <r>
    <x v="16"/>
    <s v="EST"/>
    <x v="3"/>
    <s v="SP.DYN.LE00.IN"/>
    <x v="6"/>
    <n v="70"/>
    <x v="0"/>
  </r>
  <r>
    <x v="16"/>
    <s v="EST"/>
    <x v="3"/>
    <s v="SP.DYN.LE00.IN"/>
    <x v="7"/>
    <n v="70"/>
    <x v="1"/>
  </r>
  <r>
    <x v="16"/>
    <s v="EST"/>
    <x v="3"/>
    <s v="SP.DYN.LE00.IN"/>
    <x v="8"/>
    <n v="69"/>
    <x v="1"/>
  </r>
  <r>
    <x v="16"/>
    <s v="EST"/>
    <x v="3"/>
    <s v="SP.DYN.LE00.IN"/>
    <x v="9"/>
    <n v="70"/>
    <x v="1"/>
  </r>
  <r>
    <x v="16"/>
    <s v="EST"/>
    <x v="3"/>
    <s v="SP.DYN.LE00.IN"/>
    <x v="10"/>
    <n v="70"/>
    <x v="1"/>
  </r>
  <r>
    <x v="16"/>
    <s v="EST"/>
    <x v="3"/>
    <s v="SP.DYN.LE00.IN"/>
    <x v="11"/>
    <n v="70"/>
    <x v="1"/>
  </r>
  <r>
    <x v="16"/>
    <s v="EST"/>
    <x v="3"/>
    <s v="SP.DYN.LE00.IN"/>
    <x v="12"/>
    <n v="71"/>
    <x v="1"/>
  </r>
  <r>
    <x v="16"/>
    <s v="EST"/>
    <x v="3"/>
    <s v="SP.DYN.LE00.IN"/>
    <x v="13"/>
    <n v="71"/>
    <x v="1"/>
  </r>
  <r>
    <x v="16"/>
    <s v="EST"/>
    <x v="3"/>
    <s v="SP.DYN.LE00.IN"/>
    <x v="14"/>
    <n v="72"/>
    <x v="1"/>
  </r>
  <r>
    <x v="16"/>
    <s v="EST"/>
    <x v="3"/>
    <s v="SP.DYN.LE00.IN"/>
    <x v="15"/>
    <n v="73"/>
    <x v="1"/>
  </r>
  <r>
    <x v="16"/>
    <s v="EST"/>
    <x v="3"/>
    <s v="SP.DYN.LE00.IN"/>
    <x v="16"/>
    <n v="73"/>
    <x v="1"/>
  </r>
  <r>
    <x v="16"/>
    <s v="EST"/>
    <x v="3"/>
    <s v="SP.DYN.LE00.IN"/>
    <x v="17"/>
    <n v="73"/>
    <x v="2"/>
  </r>
  <r>
    <x v="16"/>
    <s v="EST"/>
    <x v="3"/>
    <s v="SP.DYN.LE00.IN"/>
    <x v="18"/>
    <n v="74"/>
    <x v="2"/>
  </r>
  <r>
    <x v="16"/>
    <s v="EST"/>
    <x v="3"/>
    <s v="SP.DYN.LE00.IN"/>
    <x v="19"/>
    <n v="75"/>
    <x v="2"/>
  </r>
  <r>
    <x v="16"/>
    <s v="EST"/>
    <x v="3"/>
    <s v="SP.DYN.LE00.IN"/>
    <x v="20"/>
    <n v="75"/>
    <x v="2"/>
  </r>
  <r>
    <x v="16"/>
    <s v="EST"/>
    <x v="3"/>
    <s v="SP.DYN.LE00.IN"/>
    <x v="21"/>
    <n v="76"/>
    <x v="2"/>
  </r>
  <r>
    <x v="16"/>
    <s v="EST"/>
    <x v="3"/>
    <s v="SP.DYN.LE00.IN"/>
    <x v="22"/>
    <n v="76"/>
    <x v="2"/>
  </r>
  <r>
    <x v="16"/>
    <s v="EST"/>
    <x v="3"/>
    <s v="SP.DYN.LE00.IN"/>
    <x v="23"/>
    <n v="77"/>
    <x v="2"/>
  </r>
  <r>
    <x v="16"/>
    <s v="EST"/>
    <x v="3"/>
    <s v="SP.DYN.LE00.IN"/>
    <x v="24"/>
    <n v="77"/>
    <x v="2"/>
  </r>
  <r>
    <x v="16"/>
    <s v="EST"/>
    <x v="3"/>
    <s v="SP.DYN.LE00.IN"/>
    <x v="25"/>
    <n v="78"/>
    <x v="2"/>
  </r>
  <r>
    <x v="16"/>
    <s v="EST"/>
    <x v="3"/>
    <s v="SP.DYN.LE00.IN"/>
    <x v="26"/>
    <n v="78"/>
    <x v="2"/>
  </r>
  <r>
    <x v="16"/>
    <s v="EST"/>
    <x v="3"/>
    <s v="SP.DYN.LE00.IN"/>
    <x v="27"/>
    <n v="78"/>
    <x v="3"/>
  </r>
  <r>
    <x v="16"/>
    <s v="EST"/>
    <x v="3"/>
    <s v="SP.DYN.LE00.IN"/>
    <x v="28"/>
    <n v="78"/>
    <x v="3"/>
  </r>
  <r>
    <x v="16"/>
    <s v="EST"/>
    <x v="3"/>
    <s v="SP.DYN.LE00.IN"/>
    <x v="29"/>
    <n v="79"/>
    <x v="3"/>
  </r>
  <r>
    <x v="16"/>
    <s v="EST"/>
    <x v="3"/>
    <s v="SP.DYN.LE00.IN"/>
    <x v="30"/>
    <n v="79"/>
    <x v="3"/>
  </r>
  <r>
    <x v="16"/>
    <s v="EST"/>
    <x v="3"/>
    <s v="SP.DYN.LE00.IN"/>
    <x v="31"/>
    <n v="77"/>
    <x v="6"/>
  </r>
  <r>
    <x v="16"/>
    <s v="EST"/>
    <x v="3"/>
    <s v="SP.DYN.LE00.IN"/>
    <x v="32"/>
    <n v="78"/>
    <x v="6"/>
  </r>
  <r>
    <x v="16"/>
    <s v="EST"/>
    <x v="3"/>
    <s v="SP.DYN.LE00.IN"/>
    <x v="33"/>
    <n v="78"/>
    <x v="6"/>
  </r>
  <r>
    <x v="17"/>
    <s v="FIN"/>
    <x v="3"/>
    <s v="SP.DYN.LE00.IN"/>
    <x v="55"/>
    <n v="69"/>
    <x v="6"/>
  </r>
  <r>
    <x v="17"/>
    <s v="FIN"/>
    <x v="3"/>
    <s v="SP.DYN.LE00.IN"/>
    <x v="56"/>
    <n v="69"/>
    <x v="6"/>
  </r>
  <r>
    <x v="17"/>
    <s v="FIN"/>
    <x v="3"/>
    <s v="SP.DYN.LE00.IN"/>
    <x v="57"/>
    <n v="69"/>
    <x v="6"/>
  </r>
  <r>
    <x v="17"/>
    <s v="FIN"/>
    <x v="3"/>
    <s v="SP.DYN.LE00.IN"/>
    <x v="58"/>
    <n v="69"/>
    <x v="6"/>
  </r>
  <r>
    <x v="17"/>
    <s v="FIN"/>
    <x v="3"/>
    <s v="SP.DYN.LE00.IN"/>
    <x v="59"/>
    <n v="69"/>
    <x v="6"/>
  </r>
  <r>
    <x v="17"/>
    <s v="FIN"/>
    <x v="3"/>
    <s v="SP.DYN.LE00.IN"/>
    <x v="60"/>
    <n v="69"/>
    <x v="6"/>
  </r>
  <r>
    <x v="17"/>
    <s v="FIN"/>
    <x v="3"/>
    <s v="SP.DYN.LE00.IN"/>
    <x v="61"/>
    <n v="69"/>
    <x v="6"/>
  </r>
  <r>
    <x v="17"/>
    <s v="FIN"/>
    <x v="3"/>
    <s v="SP.DYN.LE00.IN"/>
    <x v="62"/>
    <n v="70"/>
    <x v="4"/>
  </r>
  <r>
    <x v="17"/>
    <s v="FIN"/>
    <x v="3"/>
    <s v="SP.DYN.LE00.IN"/>
    <x v="63"/>
    <n v="70"/>
    <x v="4"/>
  </r>
  <r>
    <x v="17"/>
    <s v="FIN"/>
    <x v="3"/>
    <s v="SP.DYN.LE00.IN"/>
    <x v="64"/>
    <n v="70"/>
    <x v="4"/>
  </r>
  <r>
    <x v="17"/>
    <s v="FIN"/>
    <x v="3"/>
    <s v="SP.DYN.LE00.IN"/>
    <x v="34"/>
    <n v="70"/>
    <x v="4"/>
  </r>
  <r>
    <x v="17"/>
    <s v="FIN"/>
    <x v="3"/>
    <s v="SP.DYN.LE00.IN"/>
    <x v="35"/>
    <n v="70"/>
    <x v="4"/>
  </r>
  <r>
    <x v="17"/>
    <s v="FIN"/>
    <x v="3"/>
    <s v="SP.DYN.LE00.IN"/>
    <x v="36"/>
    <n v="71"/>
    <x v="4"/>
  </r>
  <r>
    <x v="17"/>
    <s v="FIN"/>
    <x v="3"/>
    <s v="SP.DYN.LE00.IN"/>
    <x v="37"/>
    <n v="71"/>
    <x v="4"/>
  </r>
  <r>
    <x v="17"/>
    <s v="FIN"/>
    <x v="3"/>
    <s v="SP.DYN.LE00.IN"/>
    <x v="38"/>
    <n v="71"/>
    <x v="4"/>
  </r>
  <r>
    <x v="17"/>
    <s v="FIN"/>
    <x v="3"/>
    <s v="SP.DYN.LE00.IN"/>
    <x v="39"/>
    <n v="72"/>
    <x v="4"/>
  </r>
  <r>
    <x v="17"/>
    <s v="FIN"/>
    <x v="3"/>
    <s v="SP.DYN.LE00.IN"/>
    <x v="40"/>
    <n v="72"/>
    <x v="4"/>
  </r>
  <r>
    <x v="17"/>
    <s v="FIN"/>
    <x v="3"/>
    <s v="SP.DYN.LE00.IN"/>
    <x v="41"/>
    <n v="72"/>
    <x v="5"/>
  </r>
  <r>
    <x v="17"/>
    <s v="FIN"/>
    <x v="3"/>
    <s v="SP.DYN.LE00.IN"/>
    <x v="42"/>
    <n v="73"/>
    <x v="5"/>
  </r>
  <r>
    <x v="17"/>
    <s v="FIN"/>
    <x v="3"/>
    <s v="SP.DYN.LE00.IN"/>
    <x v="43"/>
    <n v="73"/>
    <x v="5"/>
  </r>
  <r>
    <x v="17"/>
    <s v="FIN"/>
    <x v="3"/>
    <s v="SP.DYN.LE00.IN"/>
    <x v="44"/>
    <n v="73"/>
    <x v="5"/>
  </r>
  <r>
    <x v="17"/>
    <s v="FIN"/>
    <x v="3"/>
    <s v="SP.DYN.LE00.IN"/>
    <x v="45"/>
    <n v="74"/>
    <x v="5"/>
  </r>
  <r>
    <x v="17"/>
    <s v="FIN"/>
    <x v="3"/>
    <s v="SP.DYN.LE00.IN"/>
    <x v="46"/>
    <n v="74"/>
    <x v="5"/>
  </r>
  <r>
    <x v="17"/>
    <s v="FIN"/>
    <x v="3"/>
    <s v="SP.DYN.LE00.IN"/>
    <x v="47"/>
    <n v="74"/>
    <x v="5"/>
  </r>
  <r>
    <x v="17"/>
    <s v="FIN"/>
    <x v="3"/>
    <s v="SP.DYN.LE00.IN"/>
    <x v="48"/>
    <n v="75"/>
    <x v="5"/>
  </r>
  <r>
    <x v="17"/>
    <s v="FIN"/>
    <x v="3"/>
    <s v="SP.DYN.LE00.IN"/>
    <x v="49"/>
    <n v="74"/>
    <x v="5"/>
  </r>
  <r>
    <x v="17"/>
    <s v="FIN"/>
    <x v="3"/>
    <s v="SP.DYN.LE00.IN"/>
    <x v="50"/>
    <n v="75"/>
    <x v="5"/>
  </r>
  <r>
    <x v="17"/>
    <s v="FIN"/>
    <x v="3"/>
    <s v="SP.DYN.LE00.IN"/>
    <x v="51"/>
    <n v="75"/>
    <x v="0"/>
  </r>
  <r>
    <x v="17"/>
    <s v="FIN"/>
    <x v="3"/>
    <s v="SP.DYN.LE00.IN"/>
    <x v="52"/>
    <n v="75"/>
    <x v="0"/>
  </r>
  <r>
    <x v="17"/>
    <s v="FIN"/>
    <x v="3"/>
    <s v="SP.DYN.LE00.IN"/>
    <x v="53"/>
    <n v="75"/>
    <x v="0"/>
  </r>
  <r>
    <x v="17"/>
    <s v="FIN"/>
    <x v="3"/>
    <s v="SP.DYN.LE00.IN"/>
    <x v="0"/>
    <n v="75"/>
    <x v="0"/>
  </r>
  <r>
    <x v="17"/>
    <s v="FIN"/>
    <x v="3"/>
    <s v="SP.DYN.LE00.IN"/>
    <x v="1"/>
    <n v="75"/>
    <x v="0"/>
  </r>
  <r>
    <x v="17"/>
    <s v="FIN"/>
    <x v="3"/>
    <s v="SP.DYN.LE00.IN"/>
    <x v="2"/>
    <n v="75"/>
    <x v="0"/>
  </r>
  <r>
    <x v="17"/>
    <s v="FIN"/>
    <x v="3"/>
    <s v="SP.DYN.LE00.IN"/>
    <x v="3"/>
    <n v="76"/>
    <x v="0"/>
  </r>
  <r>
    <x v="17"/>
    <s v="FIN"/>
    <x v="3"/>
    <s v="SP.DYN.LE00.IN"/>
    <x v="4"/>
    <n v="76"/>
    <x v="0"/>
  </r>
  <r>
    <x v="17"/>
    <s v="FIN"/>
    <x v="3"/>
    <s v="SP.DYN.LE00.IN"/>
    <x v="5"/>
    <n v="76"/>
    <x v="0"/>
  </r>
  <r>
    <x v="17"/>
    <s v="FIN"/>
    <x v="3"/>
    <s v="SP.DYN.LE00.IN"/>
    <x v="6"/>
    <n v="77"/>
    <x v="0"/>
  </r>
  <r>
    <x v="17"/>
    <s v="FIN"/>
    <x v="3"/>
    <s v="SP.DYN.LE00.IN"/>
    <x v="7"/>
    <n v="77"/>
    <x v="1"/>
  </r>
  <r>
    <x v="17"/>
    <s v="FIN"/>
    <x v="3"/>
    <s v="SP.DYN.LE00.IN"/>
    <x v="8"/>
    <n v="77"/>
    <x v="1"/>
  </r>
  <r>
    <x v="17"/>
    <s v="FIN"/>
    <x v="3"/>
    <s v="SP.DYN.LE00.IN"/>
    <x v="9"/>
    <n v="77"/>
    <x v="1"/>
  </r>
  <r>
    <x v="17"/>
    <s v="FIN"/>
    <x v="3"/>
    <s v="SP.DYN.LE00.IN"/>
    <x v="10"/>
    <n v="77"/>
    <x v="1"/>
  </r>
  <r>
    <x v="17"/>
    <s v="FIN"/>
    <x v="3"/>
    <s v="SP.DYN.LE00.IN"/>
    <x v="11"/>
    <n v="78"/>
    <x v="1"/>
  </r>
  <r>
    <x v="17"/>
    <s v="FIN"/>
    <x v="3"/>
    <s v="SP.DYN.LE00.IN"/>
    <x v="12"/>
    <n v="78"/>
    <x v="1"/>
  </r>
  <r>
    <x v="17"/>
    <s v="FIN"/>
    <x v="3"/>
    <s v="SP.DYN.LE00.IN"/>
    <x v="13"/>
    <n v="78"/>
    <x v="1"/>
  </r>
  <r>
    <x v="17"/>
    <s v="FIN"/>
    <x v="3"/>
    <s v="SP.DYN.LE00.IN"/>
    <x v="14"/>
    <n v="79"/>
    <x v="1"/>
  </r>
  <r>
    <x v="17"/>
    <s v="FIN"/>
    <x v="3"/>
    <s v="SP.DYN.LE00.IN"/>
    <x v="15"/>
    <n v="79"/>
    <x v="1"/>
  </r>
  <r>
    <x v="17"/>
    <s v="FIN"/>
    <x v="3"/>
    <s v="SP.DYN.LE00.IN"/>
    <x v="16"/>
    <n v="79"/>
    <x v="1"/>
  </r>
  <r>
    <x v="17"/>
    <s v="FIN"/>
    <x v="3"/>
    <s v="SP.DYN.LE00.IN"/>
    <x v="17"/>
    <n v="79"/>
    <x v="2"/>
  </r>
  <r>
    <x v="17"/>
    <s v="FIN"/>
    <x v="3"/>
    <s v="SP.DYN.LE00.IN"/>
    <x v="18"/>
    <n v="80"/>
    <x v="2"/>
  </r>
  <r>
    <x v="17"/>
    <s v="FIN"/>
    <x v="3"/>
    <s v="SP.DYN.LE00.IN"/>
    <x v="19"/>
    <n v="80"/>
    <x v="2"/>
  </r>
  <r>
    <x v="17"/>
    <s v="FIN"/>
    <x v="3"/>
    <s v="SP.DYN.LE00.IN"/>
    <x v="20"/>
    <n v="80"/>
    <x v="2"/>
  </r>
  <r>
    <x v="17"/>
    <s v="FIN"/>
    <x v="3"/>
    <s v="SP.DYN.LE00.IN"/>
    <x v="21"/>
    <n v="80"/>
    <x v="2"/>
  </r>
  <r>
    <x v="17"/>
    <s v="FIN"/>
    <x v="3"/>
    <s v="SP.DYN.LE00.IN"/>
    <x v="22"/>
    <n v="81"/>
    <x v="2"/>
  </r>
  <r>
    <x v="17"/>
    <s v="FIN"/>
    <x v="3"/>
    <s v="SP.DYN.LE00.IN"/>
    <x v="23"/>
    <n v="81"/>
    <x v="2"/>
  </r>
  <r>
    <x v="17"/>
    <s v="FIN"/>
    <x v="3"/>
    <s v="SP.DYN.LE00.IN"/>
    <x v="24"/>
    <n v="81"/>
    <x v="2"/>
  </r>
  <r>
    <x v="17"/>
    <s v="FIN"/>
    <x v="3"/>
    <s v="SP.DYN.LE00.IN"/>
    <x v="25"/>
    <n v="81"/>
    <x v="2"/>
  </r>
  <r>
    <x v="17"/>
    <s v="FIN"/>
    <x v="3"/>
    <s v="SP.DYN.LE00.IN"/>
    <x v="26"/>
    <n v="81"/>
    <x v="2"/>
  </r>
  <r>
    <x v="17"/>
    <s v="FIN"/>
    <x v="3"/>
    <s v="SP.DYN.LE00.IN"/>
    <x v="27"/>
    <n v="82"/>
    <x v="3"/>
  </r>
  <r>
    <x v="17"/>
    <s v="FIN"/>
    <x v="3"/>
    <s v="SP.DYN.LE00.IN"/>
    <x v="28"/>
    <n v="82"/>
    <x v="3"/>
  </r>
  <r>
    <x v="17"/>
    <s v="FIN"/>
    <x v="3"/>
    <s v="SP.DYN.LE00.IN"/>
    <x v="29"/>
    <n v="82"/>
    <x v="3"/>
  </r>
  <r>
    <x v="17"/>
    <s v="FIN"/>
    <x v="3"/>
    <s v="SP.DYN.LE00.IN"/>
    <x v="30"/>
    <n v="82"/>
    <x v="3"/>
  </r>
  <r>
    <x v="17"/>
    <s v="FIN"/>
    <x v="3"/>
    <s v="SP.DYN.LE00.IN"/>
    <x v="31"/>
    <n v="82"/>
    <x v="6"/>
  </r>
  <r>
    <x v="17"/>
    <s v="FIN"/>
    <x v="3"/>
    <s v="SP.DYN.LE00.IN"/>
    <x v="32"/>
    <n v="81"/>
    <x v="6"/>
  </r>
  <r>
    <x v="17"/>
    <s v="FIN"/>
    <x v="3"/>
    <s v="SP.DYN.LE00.IN"/>
    <x v="33"/>
    <n v="82"/>
    <x v="6"/>
  </r>
  <r>
    <x v="18"/>
    <s v="FRA"/>
    <x v="3"/>
    <s v="SP.DYN.LE00.IN"/>
    <x v="55"/>
    <n v="70"/>
    <x v="6"/>
  </r>
  <r>
    <x v="18"/>
    <s v="FRA"/>
    <x v="3"/>
    <s v="SP.DYN.LE00.IN"/>
    <x v="56"/>
    <n v="70"/>
    <x v="6"/>
  </r>
  <r>
    <x v="18"/>
    <s v="FRA"/>
    <x v="3"/>
    <s v="SP.DYN.LE00.IN"/>
    <x v="57"/>
    <n v="70"/>
    <x v="6"/>
  </r>
  <r>
    <x v="18"/>
    <s v="FRA"/>
    <x v="3"/>
    <s v="SP.DYN.LE00.IN"/>
    <x v="58"/>
    <n v="71"/>
    <x v="6"/>
  </r>
  <r>
    <x v="18"/>
    <s v="FRA"/>
    <x v="3"/>
    <s v="SP.DYN.LE00.IN"/>
    <x v="59"/>
    <n v="71"/>
    <x v="6"/>
  </r>
  <r>
    <x v="18"/>
    <s v="FRA"/>
    <x v="3"/>
    <s v="SP.DYN.LE00.IN"/>
    <x v="60"/>
    <n v="71"/>
    <x v="6"/>
  </r>
  <r>
    <x v="18"/>
    <s v="FRA"/>
    <x v="3"/>
    <s v="SP.DYN.LE00.IN"/>
    <x v="61"/>
    <n v="71"/>
    <x v="6"/>
  </r>
  <r>
    <x v="18"/>
    <s v="FRA"/>
    <x v="3"/>
    <s v="SP.DYN.LE00.IN"/>
    <x v="62"/>
    <n v="71"/>
    <x v="4"/>
  </r>
  <r>
    <x v="18"/>
    <s v="FRA"/>
    <x v="3"/>
    <s v="SP.DYN.LE00.IN"/>
    <x v="63"/>
    <n v="71"/>
    <x v="4"/>
  </r>
  <r>
    <x v="18"/>
    <s v="FRA"/>
    <x v="3"/>
    <s v="SP.DYN.LE00.IN"/>
    <x v="64"/>
    <n v="71"/>
    <x v="4"/>
  </r>
  <r>
    <x v="18"/>
    <s v="FRA"/>
    <x v="3"/>
    <s v="SP.DYN.LE00.IN"/>
    <x v="34"/>
    <n v="72"/>
    <x v="4"/>
  </r>
  <r>
    <x v="18"/>
    <s v="FRA"/>
    <x v="3"/>
    <s v="SP.DYN.LE00.IN"/>
    <x v="35"/>
    <n v="72"/>
    <x v="4"/>
  </r>
  <r>
    <x v="18"/>
    <s v="FRA"/>
    <x v="3"/>
    <s v="SP.DYN.LE00.IN"/>
    <x v="36"/>
    <n v="72"/>
    <x v="4"/>
  </r>
  <r>
    <x v="18"/>
    <s v="FRA"/>
    <x v="3"/>
    <s v="SP.DYN.LE00.IN"/>
    <x v="37"/>
    <n v="72"/>
    <x v="4"/>
  </r>
  <r>
    <x v="18"/>
    <s v="FRA"/>
    <x v="3"/>
    <s v="SP.DYN.LE00.IN"/>
    <x v="38"/>
    <n v="73"/>
    <x v="4"/>
  </r>
  <r>
    <x v="18"/>
    <s v="FRA"/>
    <x v="3"/>
    <s v="SP.DYN.LE00.IN"/>
    <x v="39"/>
    <n v="73"/>
    <x v="4"/>
  </r>
  <r>
    <x v="18"/>
    <s v="FRA"/>
    <x v="3"/>
    <s v="SP.DYN.LE00.IN"/>
    <x v="40"/>
    <n v="73"/>
    <x v="4"/>
  </r>
  <r>
    <x v="18"/>
    <s v="FRA"/>
    <x v="3"/>
    <s v="SP.DYN.LE00.IN"/>
    <x v="41"/>
    <n v="73"/>
    <x v="5"/>
  </r>
  <r>
    <x v="18"/>
    <s v="FRA"/>
    <x v="3"/>
    <s v="SP.DYN.LE00.IN"/>
    <x v="42"/>
    <n v="74"/>
    <x v="5"/>
  </r>
  <r>
    <x v="18"/>
    <s v="FRA"/>
    <x v="3"/>
    <s v="SP.DYN.LE00.IN"/>
    <x v="43"/>
    <n v="74"/>
    <x v="5"/>
  </r>
  <r>
    <x v="18"/>
    <s v="FRA"/>
    <x v="3"/>
    <s v="SP.DYN.LE00.IN"/>
    <x v="44"/>
    <n v="74"/>
    <x v="5"/>
  </r>
  <r>
    <x v="18"/>
    <s v="FRA"/>
    <x v="3"/>
    <s v="SP.DYN.LE00.IN"/>
    <x v="45"/>
    <n v="74"/>
    <x v="5"/>
  </r>
  <r>
    <x v="18"/>
    <s v="FRA"/>
    <x v="3"/>
    <s v="SP.DYN.LE00.IN"/>
    <x v="46"/>
    <n v="75"/>
    <x v="5"/>
  </r>
  <r>
    <x v="18"/>
    <s v="FRA"/>
    <x v="3"/>
    <s v="SP.DYN.LE00.IN"/>
    <x v="47"/>
    <n v="75"/>
    <x v="5"/>
  </r>
  <r>
    <x v="18"/>
    <s v="FRA"/>
    <x v="3"/>
    <s v="SP.DYN.LE00.IN"/>
    <x v="48"/>
    <n v="75"/>
    <x v="5"/>
  </r>
  <r>
    <x v="18"/>
    <s v="FRA"/>
    <x v="3"/>
    <s v="SP.DYN.LE00.IN"/>
    <x v="49"/>
    <n v="75"/>
    <x v="5"/>
  </r>
  <r>
    <x v="18"/>
    <s v="FRA"/>
    <x v="3"/>
    <s v="SP.DYN.LE00.IN"/>
    <x v="50"/>
    <n v="76"/>
    <x v="5"/>
  </r>
  <r>
    <x v="18"/>
    <s v="FRA"/>
    <x v="3"/>
    <s v="SP.DYN.LE00.IN"/>
    <x v="51"/>
    <n v="76"/>
    <x v="0"/>
  </r>
  <r>
    <x v="18"/>
    <s v="FRA"/>
    <x v="3"/>
    <s v="SP.DYN.LE00.IN"/>
    <x v="52"/>
    <n v="76"/>
    <x v="0"/>
  </r>
  <r>
    <x v="18"/>
    <s v="FRA"/>
    <x v="3"/>
    <s v="SP.DYN.LE00.IN"/>
    <x v="53"/>
    <n v="76"/>
    <x v="0"/>
  </r>
  <r>
    <x v="18"/>
    <s v="FRA"/>
    <x v="3"/>
    <s v="SP.DYN.LE00.IN"/>
    <x v="0"/>
    <n v="77"/>
    <x v="0"/>
  </r>
  <r>
    <x v="18"/>
    <s v="FRA"/>
    <x v="3"/>
    <s v="SP.DYN.LE00.IN"/>
    <x v="1"/>
    <n v="77"/>
    <x v="0"/>
  </r>
  <r>
    <x v="18"/>
    <s v="FRA"/>
    <x v="3"/>
    <s v="SP.DYN.LE00.IN"/>
    <x v="2"/>
    <n v="77"/>
    <x v="0"/>
  </r>
  <r>
    <x v="18"/>
    <s v="FRA"/>
    <x v="3"/>
    <s v="SP.DYN.LE00.IN"/>
    <x v="3"/>
    <n v="77"/>
    <x v="0"/>
  </r>
  <r>
    <x v="18"/>
    <s v="FRA"/>
    <x v="3"/>
    <s v="SP.DYN.LE00.IN"/>
    <x v="4"/>
    <n v="78"/>
    <x v="0"/>
  </r>
  <r>
    <x v="18"/>
    <s v="FRA"/>
    <x v="3"/>
    <s v="SP.DYN.LE00.IN"/>
    <x v="5"/>
    <n v="78"/>
    <x v="0"/>
  </r>
  <r>
    <x v="18"/>
    <s v="FRA"/>
    <x v="3"/>
    <s v="SP.DYN.LE00.IN"/>
    <x v="6"/>
    <n v="78"/>
    <x v="0"/>
  </r>
  <r>
    <x v="18"/>
    <s v="FRA"/>
    <x v="3"/>
    <s v="SP.DYN.LE00.IN"/>
    <x v="7"/>
    <n v="78"/>
    <x v="1"/>
  </r>
  <r>
    <x v="18"/>
    <s v="FRA"/>
    <x v="3"/>
    <s v="SP.DYN.LE00.IN"/>
    <x v="8"/>
    <n v="79"/>
    <x v="1"/>
  </r>
  <r>
    <x v="18"/>
    <s v="FRA"/>
    <x v="3"/>
    <s v="SP.DYN.LE00.IN"/>
    <x v="9"/>
    <n v="79"/>
    <x v="1"/>
  </r>
  <r>
    <x v="18"/>
    <s v="FRA"/>
    <x v="3"/>
    <s v="SP.DYN.LE00.IN"/>
    <x v="10"/>
    <n v="79"/>
    <x v="1"/>
  </r>
  <r>
    <x v="18"/>
    <s v="FRA"/>
    <x v="3"/>
    <s v="SP.DYN.LE00.IN"/>
    <x v="11"/>
    <n v="79"/>
    <x v="1"/>
  </r>
  <r>
    <x v="18"/>
    <s v="FRA"/>
    <x v="3"/>
    <s v="SP.DYN.LE00.IN"/>
    <x v="12"/>
    <n v="79"/>
    <x v="1"/>
  </r>
  <r>
    <x v="18"/>
    <s v="FRA"/>
    <x v="3"/>
    <s v="SP.DYN.LE00.IN"/>
    <x v="13"/>
    <n v="79"/>
    <x v="1"/>
  </r>
  <r>
    <x v="18"/>
    <s v="FRA"/>
    <x v="3"/>
    <s v="SP.DYN.LE00.IN"/>
    <x v="14"/>
    <n v="80"/>
    <x v="1"/>
  </r>
  <r>
    <x v="18"/>
    <s v="FRA"/>
    <x v="3"/>
    <s v="SP.DYN.LE00.IN"/>
    <x v="15"/>
    <n v="80"/>
    <x v="1"/>
  </r>
  <r>
    <x v="18"/>
    <s v="FRA"/>
    <x v="3"/>
    <s v="SP.DYN.LE00.IN"/>
    <x v="16"/>
    <n v="81"/>
    <x v="1"/>
  </r>
  <r>
    <x v="18"/>
    <s v="FRA"/>
    <x v="3"/>
    <s v="SP.DYN.LE00.IN"/>
    <x v="17"/>
    <n v="81"/>
    <x v="2"/>
  </r>
  <r>
    <x v="18"/>
    <s v="FRA"/>
    <x v="3"/>
    <s v="SP.DYN.LE00.IN"/>
    <x v="18"/>
    <n v="81"/>
    <x v="2"/>
  </r>
  <r>
    <x v="18"/>
    <s v="FRA"/>
    <x v="3"/>
    <s v="SP.DYN.LE00.IN"/>
    <x v="19"/>
    <n v="81"/>
    <x v="2"/>
  </r>
  <r>
    <x v="18"/>
    <s v="FRA"/>
    <x v="3"/>
    <s v="SP.DYN.LE00.IN"/>
    <x v="20"/>
    <n v="82"/>
    <x v="2"/>
  </r>
  <r>
    <x v="18"/>
    <s v="FRA"/>
    <x v="3"/>
    <s v="SP.DYN.LE00.IN"/>
    <x v="21"/>
    <n v="82"/>
    <x v="2"/>
  </r>
  <r>
    <x v="18"/>
    <s v="FRA"/>
    <x v="3"/>
    <s v="SP.DYN.LE00.IN"/>
    <x v="22"/>
    <n v="82"/>
    <x v="2"/>
  </r>
  <r>
    <x v="18"/>
    <s v="FRA"/>
    <x v="3"/>
    <s v="SP.DYN.LE00.IN"/>
    <x v="23"/>
    <n v="82"/>
    <x v="2"/>
  </r>
  <r>
    <x v="18"/>
    <s v="FRA"/>
    <x v="3"/>
    <s v="SP.DYN.LE00.IN"/>
    <x v="24"/>
    <n v="83"/>
    <x v="2"/>
  </r>
  <r>
    <x v="18"/>
    <s v="FRA"/>
    <x v="3"/>
    <s v="SP.DYN.LE00.IN"/>
    <x v="25"/>
    <n v="82"/>
    <x v="2"/>
  </r>
  <r>
    <x v="18"/>
    <s v="FRA"/>
    <x v="3"/>
    <s v="SP.DYN.LE00.IN"/>
    <x v="26"/>
    <n v="83"/>
    <x v="2"/>
  </r>
  <r>
    <x v="18"/>
    <s v="FRA"/>
    <x v="3"/>
    <s v="SP.DYN.LE00.IN"/>
    <x v="27"/>
    <n v="83"/>
    <x v="3"/>
  </r>
  <r>
    <x v="18"/>
    <s v="FRA"/>
    <x v="3"/>
    <s v="SP.DYN.LE00.IN"/>
    <x v="28"/>
    <n v="83"/>
    <x v="3"/>
  </r>
  <r>
    <x v="18"/>
    <s v="FRA"/>
    <x v="3"/>
    <s v="SP.DYN.LE00.IN"/>
    <x v="29"/>
    <n v="83"/>
    <x v="3"/>
  </r>
  <r>
    <x v="18"/>
    <s v="FRA"/>
    <x v="3"/>
    <s v="SP.DYN.LE00.IN"/>
    <x v="30"/>
    <n v="82"/>
    <x v="3"/>
  </r>
  <r>
    <x v="18"/>
    <s v="FRA"/>
    <x v="3"/>
    <s v="SP.DYN.LE00.IN"/>
    <x v="31"/>
    <n v="82"/>
    <x v="6"/>
  </r>
  <r>
    <x v="18"/>
    <s v="FRA"/>
    <x v="3"/>
    <s v="SP.DYN.LE00.IN"/>
    <x v="32"/>
    <n v="82"/>
    <x v="6"/>
  </r>
  <r>
    <x v="18"/>
    <s v="FRA"/>
    <x v="3"/>
    <s v="SP.DYN.LE00.IN"/>
    <x v="33"/>
    <n v="83"/>
    <x v="6"/>
  </r>
  <r>
    <x v="19"/>
    <s v="FRO"/>
    <x v="3"/>
    <s v="SP.DYN.LE00.IN"/>
    <x v="55"/>
    <n v="72"/>
    <x v="6"/>
  </r>
  <r>
    <x v="19"/>
    <s v="FRO"/>
    <x v="3"/>
    <s v="SP.DYN.LE00.IN"/>
    <x v="56"/>
    <n v="73"/>
    <x v="6"/>
  </r>
  <r>
    <x v="19"/>
    <s v="FRO"/>
    <x v="3"/>
    <s v="SP.DYN.LE00.IN"/>
    <x v="57"/>
    <n v="73"/>
    <x v="6"/>
  </r>
  <r>
    <x v="19"/>
    <s v="FRO"/>
    <x v="3"/>
    <s v="SP.DYN.LE00.IN"/>
    <x v="58"/>
    <n v="74"/>
    <x v="6"/>
  </r>
  <r>
    <x v="19"/>
    <s v="FRO"/>
    <x v="3"/>
    <s v="SP.DYN.LE00.IN"/>
    <x v="59"/>
    <n v="74"/>
    <x v="6"/>
  </r>
  <r>
    <x v="19"/>
    <s v="FRO"/>
    <x v="3"/>
    <s v="SP.DYN.LE00.IN"/>
    <x v="60"/>
    <n v="74"/>
    <x v="6"/>
  </r>
  <r>
    <x v="19"/>
    <s v="FRO"/>
    <x v="3"/>
    <s v="SP.DYN.LE00.IN"/>
    <x v="61"/>
    <n v="74"/>
    <x v="6"/>
  </r>
  <r>
    <x v="19"/>
    <s v="FRO"/>
    <x v="3"/>
    <s v="SP.DYN.LE00.IN"/>
    <x v="62"/>
    <n v="74"/>
    <x v="4"/>
  </r>
  <r>
    <x v="19"/>
    <s v="FRO"/>
    <x v="3"/>
    <s v="SP.DYN.LE00.IN"/>
    <x v="63"/>
    <n v="75"/>
    <x v="4"/>
  </r>
  <r>
    <x v="19"/>
    <s v="FRO"/>
    <x v="3"/>
    <s v="SP.DYN.LE00.IN"/>
    <x v="64"/>
    <n v="75"/>
    <x v="4"/>
  </r>
  <r>
    <x v="19"/>
    <s v="FRO"/>
    <x v="3"/>
    <s v="SP.DYN.LE00.IN"/>
    <x v="34"/>
    <n v="75"/>
    <x v="4"/>
  </r>
  <r>
    <x v="19"/>
    <s v="FRO"/>
    <x v="3"/>
    <s v="SP.DYN.LE00.IN"/>
    <x v="35"/>
    <n v="75"/>
    <x v="4"/>
  </r>
  <r>
    <x v="19"/>
    <s v="FRO"/>
    <x v="3"/>
    <s v="SP.DYN.LE00.IN"/>
    <x v="36"/>
    <n v="75"/>
    <x v="4"/>
  </r>
  <r>
    <x v="19"/>
    <s v="FRO"/>
    <x v="3"/>
    <s v="SP.DYN.LE00.IN"/>
    <x v="37"/>
    <n v="75"/>
    <x v="4"/>
  </r>
  <r>
    <x v="19"/>
    <s v="FRO"/>
    <x v="3"/>
    <s v="SP.DYN.LE00.IN"/>
    <x v="38"/>
    <n v="75"/>
    <x v="4"/>
  </r>
  <r>
    <x v="19"/>
    <s v="FRO"/>
    <x v="3"/>
    <s v="SP.DYN.LE00.IN"/>
    <x v="39"/>
    <n v="75"/>
    <x v="4"/>
  </r>
  <r>
    <x v="19"/>
    <s v="FRO"/>
    <x v="3"/>
    <s v="SP.DYN.LE00.IN"/>
    <x v="40"/>
    <n v="76"/>
    <x v="4"/>
  </r>
  <r>
    <x v="19"/>
    <s v="FRO"/>
    <x v="3"/>
    <s v="SP.DYN.LE00.IN"/>
    <x v="41"/>
    <n v="76"/>
    <x v="5"/>
  </r>
  <r>
    <x v="19"/>
    <s v="FRO"/>
    <x v="3"/>
    <s v="SP.DYN.LE00.IN"/>
    <x v="42"/>
    <n v="76"/>
    <x v="5"/>
  </r>
  <r>
    <x v="19"/>
    <s v="FRO"/>
    <x v="3"/>
    <s v="SP.DYN.LE00.IN"/>
    <x v="43"/>
    <n v="76"/>
    <x v="5"/>
  </r>
  <r>
    <x v="19"/>
    <s v="FRO"/>
    <x v="3"/>
    <s v="SP.DYN.LE00.IN"/>
    <x v="44"/>
    <n v="76"/>
    <x v="5"/>
  </r>
  <r>
    <x v="19"/>
    <s v="FRO"/>
    <x v="3"/>
    <s v="SP.DYN.LE00.IN"/>
    <x v="45"/>
    <n v="76"/>
    <x v="5"/>
  </r>
  <r>
    <x v="19"/>
    <s v="FRO"/>
    <x v="3"/>
    <s v="SP.DYN.LE00.IN"/>
    <x v="46"/>
    <n v="76"/>
    <x v="5"/>
  </r>
  <r>
    <x v="19"/>
    <s v="FRO"/>
    <x v="3"/>
    <s v="SP.DYN.LE00.IN"/>
    <x v="47"/>
    <n v="76"/>
    <x v="5"/>
  </r>
  <r>
    <x v="19"/>
    <s v="FRO"/>
    <x v="3"/>
    <s v="SP.DYN.LE00.IN"/>
    <x v="48"/>
    <n v="76"/>
    <x v="5"/>
  </r>
  <r>
    <x v="19"/>
    <s v="FRO"/>
    <x v="3"/>
    <s v="SP.DYN.LE00.IN"/>
    <x v="49"/>
    <n v="76"/>
    <x v="5"/>
  </r>
  <r>
    <x v="19"/>
    <s v="FRO"/>
    <x v="3"/>
    <s v="SP.DYN.LE00.IN"/>
    <x v="50"/>
    <n v="75"/>
    <x v="5"/>
  </r>
  <r>
    <x v="19"/>
    <s v="FRO"/>
    <x v="3"/>
    <s v="SP.DYN.LE00.IN"/>
    <x v="51"/>
    <n v="75"/>
    <x v="0"/>
  </r>
  <r>
    <x v="19"/>
    <s v="FRO"/>
    <x v="3"/>
    <s v="SP.DYN.LE00.IN"/>
    <x v="52"/>
    <n v="76"/>
    <x v="0"/>
  </r>
  <r>
    <x v="19"/>
    <s v="FRO"/>
    <x v="3"/>
    <s v="SP.DYN.LE00.IN"/>
    <x v="53"/>
    <n v="76"/>
    <x v="0"/>
  </r>
  <r>
    <x v="19"/>
    <s v="FRO"/>
    <x v="3"/>
    <s v="SP.DYN.LE00.IN"/>
    <x v="0"/>
    <n v="76"/>
    <x v="0"/>
  </r>
  <r>
    <x v="19"/>
    <s v="FRO"/>
    <x v="3"/>
    <s v="SP.DYN.LE00.IN"/>
    <x v="1"/>
    <n v="76"/>
    <x v="0"/>
  </r>
  <r>
    <x v="19"/>
    <s v="FRO"/>
    <x v="3"/>
    <s v="SP.DYN.LE00.IN"/>
    <x v="2"/>
    <n v="77"/>
    <x v="0"/>
  </r>
  <r>
    <x v="19"/>
    <s v="FRO"/>
    <x v="3"/>
    <s v="SP.DYN.LE00.IN"/>
    <x v="3"/>
    <n v="77"/>
    <x v="0"/>
  </r>
  <r>
    <x v="19"/>
    <s v="FRO"/>
    <x v="3"/>
    <s v="SP.DYN.LE00.IN"/>
    <x v="4"/>
    <n v="77"/>
    <x v="0"/>
  </r>
  <r>
    <x v="19"/>
    <s v="FRO"/>
    <x v="3"/>
    <s v="SP.DYN.LE00.IN"/>
    <x v="5"/>
    <n v="77"/>
    <x v="0"/>
  </r>
  <r>
    <x v="19"/>
    <s v="FRO"/>
    <x v="3"/>
    <s v="SP.DYN.LE00.IN"/>
    <x v="6"/>
    <n v="78"/>
    <x v="0"/>
  </r>
  <r>
    <x v="19"/>
    <s v="FRO"/>
    <x v="3"/>
    <s v="SP.DYN.LE00.IN"/>
    <x v="7"/>
    <n v="78"/>
    <x v="1"/>
  </r>
  <r>
    <x v="19"/>
    <s v="FRO"/>
    <x v="3"/>
    <s v="SP.DYN.LE00.IN"/>
    <x v="8"/>
    <n v="78"/>
    <x v="1"/>
  </r>
  <r>
    <x v="19"/>
    <s v="FRO"/>
    <x v="3"/>
    <s v="SP.DYN.LE00.IN"/>
    <x v="9"/>
    <n v="78"/>
    <x v="1"/>
  </r>
  <r>
    <x v="19"/>
    <s v="FRO"/>
    <x v="3"/>
    <s v="SP.DYN.LE00.IN"/>
    <x v="10"/>
    <n v="78"/>
    <x v="1"/>
  </r>
  <r>
    <x v="19"/>
    <s v="FRO"/>
    <x v="3"/>
    <s v="SP.DYN.LE00.IN"/>
    <x v="11"/>
    <n v="79"/>
    <x v="1"/>
  </r>
  <r>
    <x v="19"/>
    <s v="FRO"/>
    <x v="3"/>
    <s v="SP.DYN.LE00.IN"/>
    <x v="12"/>
    <n v="79"/>
    <x v="1"/>
  </r>
  <r>
    <x v="19"/>
    <s v="FRO"/>
    <x v="3"/>
    <s v="SP.DYN.LE00.IN"/>
    <x v="13"/>
    <n v="79"/>
    <x v="1"/>
  </r>
  <r>
    <x v="19"/>
    <s v="FRO"/>
    <x v="3"/>
    <s v="SP.DYN.LE00.IN"/>
    <x v="14"/>
    <n v="79"/>
    <x v="1"/>
  </r>
  <r>
    <x v="19"/>
    <s v="FRO"/>
    <x v="3"/>
    <s v="SP.DYN.LE00.IN"/>
    <x v="15"/>
    <n v="79"/>
    <x v="1"/>
  </r>
  <r>
    <x v="19"/>
    <s v="FRO"/>
    <x v="3"/>
    <s v="SP.DYN.LE00.IN"/>
    <x v="16"/>
    <n v="80"/>
    <x v="1"/>
  </r>
  <r>
    <x v="19"/>
    <s v="FRO"/>
    <x v="3"/>
    <s v="SP.DYN.LE00.IN"/>
    <x v="17"/>
    <n v="80"/>
    <x v="2"/>
  </r>
  <r>
    <x v="19"/>
    <s v="FRO"/>
    <x v="3"/>
    <s v="SP.DYN.LE00.IN"/>
    <x v="18"/>
    <n v="80"/>
    <x v="2"/>
  </r>
  <r>
    <x v="19"/>
    <s v="FRO"/>
    <x v="3"/>
    <s v="SP.DYN.LE00.IN"/>
    <x v="19"/>
    <n v="80"/>
    <x v="2"/>
  </r>
  <r>
    <x v="19"/>
    <s v="FRO"/>
    <x v="3"/>
    <s v="SP.DYN.LE00.IN"/>
    <x v="20"/>
    <n v="81"/>
    <x v="2"/>
  </r>
  <r>
    <x v="19"/>
    <s v="FRO"/>
    <x v="3"/>
    <s v="SP.DYN.LE00.IN"/>
    <x v="21"/>
    <n v="81"/>
    <x v="2"/>
  </r>
  <r>
    <x v="19"/>
    <s v="FRO"/>
    <x v="3"/>
    <s v="SP.DYN.LE00.IN"/>
    <x v="22"/>
    <n v="81"/>
    <x v="2"/>
  </r>
  <r>
    <x v="19"/>
    <s v="FRO"/>
    <x v="3"/>
    <s v="SP.DYN.LE00.IN"/>
    <x v="23"/>
    <n v="81"/>
    <x v="2"/>
  </r>
  <r>
    <x v="19"/>
    <s v="FRO"/>
    <x v="3"/>
    <s v="SP.DYN.LE00.IN"/>
    <x v="24"/>
    <n v="82"/>
    <x v="2"/>
  </r>
  <r>
    <x v="19"/>
    <s v="FRO"/>
    <x v="3"/>
    <s v="SP.DYN.LE00.IN"/>
    <x v="25"/>
    <n v="82"/>
    <x v="2"/>
  </r>
  <r>
    <x v="19"/>
    <s v="FRO"/>
    <x v="3"/>
    <s v="SP.DYN.LE00.IN"/>
    <x v="26"/>
    <n v="82"/>
    <x v="2"/>
  </r>
  <r>
    <x v="19"/>
    <s v="FRO"/>
    <x v="3"/>
    <s v="SP.DYN.LE00.IN"/>
    <x v="27"/>
    <n v="82"/>
    <x v="3"/>
  </r>
  <r>
    <x v="19"/>
    <s v="FRO"/>
    <x v="3"/>
    <s v="SP.DYN.LE00.IN"/>
    <x v="28"/>
    <n v="82"/>
    <x v="3"/>
  </r>
  <r>
    <x v="19"/>
    <s v="FRO"/>
    <x v="3"/>
    <s v="SP.DYN.LE00.IN"/>
    <x v="29"/>
    <n v="82"/>
    <x v="3"/>
  </r>
  <r>
    <x v="19"/>
    <s v="FRO"/>
    <x v="3"/>
    <s v="SP.DYN.LE00.IN"/>
    <x v="30"/>
    <n v="83"/>
    <x v="3"/>
  </r>
  <r>
    <x v="19"/>
    <s v="FRO"/>
    <x v="3"/>
    <s v="SP.DYN.LE00.IN"/>
    <x v="31"/>
    <n v="83"/>
    <x v="6"/>
  </r>
  <r>
    <x v="19"/>
    <s v="FRO"/>
    <x v="3"/>
    <s v="SP.DYN.LE00.IN"/>
    <x v="32"/>
    <n v="83"/>
    <x v="6"/>
  </r>
  <r>
    <x v="19"/>
    <s v="FRO"/>
    <x v="3"/>
    <s v="SP.DYN.LE00.IN"/>
    <x v="33"/>
    <n v="83"/>
    <x v="6"/>
  </r>
  <r>
    <x v="20"/>
    <s v="GBR"/>
    <x v="3"/>
    <s v="SP.DYN.LE00.IN"/>
    <x v="55"/>
    <n v="71"/>
    <x v="6"/>
  </r>
  <r>
    <x v="20"/>
    <s v="GBR"/>
    <x v="3"/>
    <s v="SP.DYN.LE00.IN"/>
    <x v="56"/>
    <n v="71"/>
    <x v="6"/>
  </r>
  <r>
    <x v="20"/>
    <s v="GBR"/>
    <x v="3"/>
    <s v="SP.DYN.LE00.IN"/>
    <x v="57"/>
    <n v="71"/>
    <x v="6"/>
  </r>
  <r>
    <x v="20"/>
    <s v="GBR"/>
    <x v="3"/>
    <s v="SP.DYN.LE00.IN"/>
    <x v="58"/>
    <n v="71"/>
    <x v="6"/>
  </r>
  <r>
    <x v="20"/>
    <s v="GBR"/>
    <x v="3"/>
    <s v="SP.DYN.LE00.IN"/>
    <x v="59"/>
    <n v="72"/>
    <x v="6"/>
  </r>
  <r>
    <x v="20"/>
    <s v="GBR"/>
    <x v="3"/>
    <s v="SP.DYN.LE00.IN"/>
    <x v="60"/>
    <n v="72"/>
    <x v="6"/>
  </r>
  <r>
    <x v="20"/>
    <s v="GBR"/>
    <x v="3"/>
    <s v="SP.DYN.LE00.IN"/>
    <x v="61"/>
    <n v="72"/>
    <x v="6"/>
  </r>
  <r>
    <x v="20"/>
    <s v="GBR"/>
    <x v="3"/>
    <s v="SP.DYN.LE00.IN"/>
    <x v="62"/>
    <n v="72"/>
    <x v="4"/>
  </r>
  <r>
    <x v="20"/>
    <s v="GBR"/>
    <x v="3"/>
    <s v="SP.DYN.LE00.IN"/>
    <x v="63"/>
    <n v="72"/>
    <x v="4"/>
  </r>
  <r>
    <x v="20"/>
    <s v="GBR"/>
    <x v="3"/>
    <s v="SP.DYN.LE00.IN"/>
    <x v="64"/>
    <n v="72"/>
    <x v="4"/>
  </r>
  <r>
    <x v="20"/>
    <s v="GBR"/>
    <x v="3"/>
    <s v="SP.DYN.LE00.IN"/>
    <x v="34"/>
    <n v="72"/>
    <x v="4"/>
  </r>
  <r>
    <x v="20"/>
    <s v="GBR"/>
    <x v="3"/>
    <s v="SP.DYN.LE00.IN"/>
    <x v="35"/>
    <n v="72"/>
    <x v="4"/>
  </r>
  <r>
    <x v="20"/>
    <s v="GBR"/>
    <x v="3"/>
    <s v="SP.DYN.LE00.IN"/>
    <x v="36"/>
    <n v="72"/>
    <x v="4"/>
  </r>
  <r>
    <x v="20"/>
    <s v="GBR"/>
    <x v="3"/>
    <s v="SP.DYN.LE00.IN"/>
    <x v="37"/>
    <n v="72"/>
    <x v="4"/>
  </r>
  <r>
    <x v="20"/>
    <s v="GBR"/>
    <x v="3"/>
    <s v="SP.DYN.LE00.IN"/>
    <x v="38"/>
    <n v="73"/>
    <x v="4"/>
  </r>
  <r>
    <x v="20"/>
    <s v="GBR"/>
    <x v="3"/>
    <s v="SP.DYN.LE00.IN"/>
    <x v="39"/>
    <n v="73"/>
    <x v="4"/>
  </r>
  <r>
    <x v="20"/>
    <s v="GBR"/>
    <x v="3"/>
    <s v="SP.DYN.LE00.IN"/>
    <x v="40"/>
    <n v="73"/>
    <x v="4"/>
  </r>
  <r>
    <x v="20"/>
    <s v="GBR"/>
    <x v="3"/>
    <s v="SP.DYN.LE00.IN"/>
    <x v="41"/>
    <n v="73"/>
    <x v="5"/>
  </r>
  <r>
    <x v="20"/>
    <s v="GBR"/>
    <x v="3"/>
    <s v="SP.DYN.LE00.IN"/>
    <x v="42"/>
    <n v="73"/>
    <x v="5"/>
  </r>
  <r>
    <x v="20"/>
    <s v="GBR"/>
    <x v="3"/>
    <s v="SP.DYN.LE00.IN"/>
    <x v="43"/>
    <n v="73"/>
    <x v="5"/>
  </r>
  <r>
    <x v="20"/>
    <s v="GBR"/>
    <x v="3"/>
    <s v="SP.DYN.LE00.IN"/>
    <x v="44"/>
    <n v="74"/>
    <x v="5"/>
  </r>
  <r>
    <x v="20"/>
    <s v="GBR"/>
    <x v="3"/>
    <s v="SP.DYN.LE00.IN"/>
    <x v="45"/>
    <n v="74"/>
    <x v="5"/>
  </r>
  <r>
    <x v="20"/>
    <s v="GBR"/>
    <x v="3"/>
    <s v="SP.DYN.LE00.IN"/>
    <x v="46"/>
    <n v="74"/>
    <x v="5"/>
  </r>
  <r>
    <x v="20"/>
    <s v="GBR"/>
    <x v="3"/>
    <s v="SP.DYN.LE00.IN"/>
    <x v="47"/>
    <n v="74"/>
    <x v="5"/>
  </r>
  <r>
    <x v="20"/>
    <s v="GBR"/>
    <x v="3"/>
    <s v="SP.DYN.LE00.IN"/>
    <x v="48"/>
    <n v="75"/>
    <x v="5"/>
  </r>
  <r>
    <x v="20"/>
    <s v="GBR"/>
    <x v="3"/>
    <s v="SP.DYN.LE00.IN"/>
    <x v="49"/>
    <n v="75"/>
    <x v="5"/>
  </r>
  <r>
    <x v="20"/>
    <s v="GBR"/>
    <x v="3"/>
    <s v="SP.DYN.LE00.IN"/>
    <x v="50"/>
    <n v="75"/>
    <x v="5"/>
  </r>
  <r>
    <x v="20"/>
    <s v="GBR"/>
    <x v="3"/>
    <s v="SP.DYN.LE00.IN"/>
    <x v="51"/>
    <n v="75"/>
    <x v="0"/>
  </r>
  <r>
    <x v="20"/>
    <s v="GBR"/>
    <x v="3"/>
    <s v="SP.DYN.LE00.IN"/>
    <x v="52"/>
    <n v="75"/>
    <x v="0"/>
  </r>
  <r>
    <x v="20"/>
    <s v="GBR"/>
    <x v="3"/>
    <s v="SP.DYN.LE00.IN"/>
    <x v="53"/>
    <n v="76"/>
    <x v="0"/>
  </r>
  <r>
    <x v="20"/>
    <s v="GBR"/>
    <x v="3"/>
    <s v="SP.DYN.LE00.IN"/>
    <x v="0"/>
    <n v="76"/>
    <x v="0"/>
  </r>
  <r>
    <x v="20"/>
    <s v="GBR"/>
    <x v="3"/>
    <s v="SP.DYN.LE00.IN"/>
    <x v="1"/>
    <n v="76"/>
    <x v="0"/>
  </r>
  <r>
    <x v="20"/>
    <s v="GBR"/>
    <x v="3"/>
    <s v="SP.DYN.LE00.IN"/>
    <x v="2"/>
    <n v="76"/>
    <x v="0"/>
  </r>
  <r>
    <x v="20"/>
    <s v="GBR"/>
    <x v="3"/>
    <s v="SP.DYN.LE00.IN"/>
    <x v="3"/>
    <n v="76"/>
    <x v="0"/>
  </r>
  <r>
    <x v="20"/>
    <s v="GBR"/>
    <x v="3"/>
    <s v="SP.DYN.LE00.IN"/>
    <x v="4"/>
    <n v="77"/>
    <x v="0"/>
  </r>
  <r>
    <x v="20"/>
    <s v="GBR"/>
    <x v="3"/>
    <s v="SP.DYN.LE00.IN"/>
    <x v="5"/>
    <n v="77"/>
    <x v="0"/>
  </r>
  <r>
    <x v="20"/>
    <s v="GBR"/>
    <x v="3"/>
    <s v="SP.DYN.LE00.IN"/>
    <x v="6"/>
    <n v="77"/>
    <x v="0"/>
  </r>
  <r>
    <x v="20"/>
    <s v="GBR"/>
    <x v="3"/>
    <s v="SP.DYN.LE00.IN"/>
    <x v="7"/>
    <n v="77"/>
    <x v="1"/>
  </r>
  <r>
    <x v="20"/>
    <s v="GBR"/>
    <x v="3"/>
    <s v="SP.DYN.LE00.IN"/>
    <x v="8"/>
    <n v="77"/>
    <x v="1"/>
  </r>
  <r>
    <x v="20"/>
    <s v="GBR"/>
    <x v="3"/>
    <s v="SP.DYN.LE00.IN"/>
    <x v="9"/>
    <n v="77"/>
    <x v="1"/>
  </r>
  <r>
    <x v="20"/>
    <s v="GBR"/>
    <x v="3"/>
    <s v="SP.DYN.LE00.IN"/>
    <x v="10"/>
    <n v="78"/>
    <x v="1"/>
  </r>
  <r>
    <x v="20"/>
    <s v="GBR"/>
    <x v="3"/>
    <s v="SP.DYN.LE00.IN"/>
    <x v="11"/>
    <n v="78"/>
    <x v="1"/>
  </r>
  <r>
    <x v="20"/>
    <s v="GBR"/>
    <x v="3"/>
    <s v="SP.DYN.LE00.IN"/>
    <x v="12"/>
    <n v="78"/>
    <x v="1"/>
  </r>
  <r>
    <x v="20"/>
    <s v="GBR"/>
    <x v="3"/>
    <s v="SP.DYN.LE00.IN"/>
    <x v="13"/>
    <n v="78"/>
    <x v="1"/>
  </r>
  <r>
    <x v="20"/>
    <s v="GBR"/>
    <x v="3"/>
    <s v="SP.DYN.LE00.IN"/>
    <x v="14"/>
    <n v="79"/>
    <x v="1"/>
  </r>
  <r>
    <x v="20"/>
    <s v="GBR"/>
    <x v="3"/>
    <s v="SP.DYN.LE00.IN"/>
    <x v="15"/>
    <n v="79"/>
    <x v="1"/>
  </r>
  <r>
    <x v="20"/>
    <s v="GBR"/>
    <x v="3"/>
    <s v="SP.DYN.LE00.IN"/>
    <x v="16"/>
    <n v="79"/>
    <x v="1"/>
  </r>
  <r>
    <x v="20"/>
    <s v="GBR"/>
    <x v="3"/>
    <s v="SP.DYN.LE00.IN"/>
    <x v="17"/>
    <n v="79"/>
    <x v="2"/>
  </r>
  <r>
    <x v="20"/>
    <s v="GBR"/>
    <x v="3"/>
    <s v="SP.DYN.LE00.IN"/>
    <x v="18"/>
    <n v="80"/>
    <x v="2"/>
  </r>
  <r>
    <x v="20"/>
    <s v="GBR"/>
    <x v="3"/>
    <s v="SP.DYN.LE00.IN"/>
    <x v="19"/>
    <n v="80"/>
    <x v="2"/>
  </r>
  <r>
    <x v="20"/>
    <s v="GBR"/>
    <x v="3"/>
    <s v="SP.DYN.LE00.IN"/>
    <x v="20"/>
    <n v="80"/>
    <x v="2"/>
  </r>
  <r>
    <x v="20"/>
    <s v="GBR"/>
    <x v="3"/>
    <s v="SP.DYN.LE00.IN"/>
    <x v="21"/>
    <n v="81"/>
    <x v="2"/>
  </r>
  <r>
    <x v="20"/>
    <s v="GBR"/>
    <x v="3"/>
    <s v="SP.DYN.LE00.IN"/>
    <x v="22"/>
    <n v="81"/>
    <x v="2"/>
  </r>
  <r>
    <x v="20"/>
    <s v="GBR"/>
    <x v="3"/>
    <s v="SP.DYN.LE00.IN"/>
    <x v="23"/>
    <n v="81"/>
    <x v="2"/>
  </r>
  <r>
    <x v="20"/>
    <s v="GBR"/>
    <x v="3"/>
    <s v="SP.DYN.LE00.IN"/>
    <x v="24"/>
    <n v="81"/>
    <x v="2"/>
  </r>
  <r>
    <x v="20"/>
    <s v="GBR"/>
    <x v="3"/>
    <s v="SP.DYN.LE00.IN"/>
    <x v="25"/>
    <n v="81"/>
    <x v="2"/>
  </r>
  <r>
    <x v="20"/>
    <s v="GBR"/>
    <x v="3"/>
    <s v="SP.DYN.LE00.IN"/>
    <x v="26"/>
    <n v="81"/>
    <x v="2"/>
  </r>
  <r>
    <x v="20"/>
    <s v="GBR"/>
    <x v="3"/>
    <s v="SP.DYN.LE00.IN"/>
    <x v="27"/>
    <n v="81"/>
    <x v="3"/>
  </r>
  <r>
    <x v="20"/>
    <s v="GBR"/>
    <x v="3"/>
    <s v="SP.DYN.LE00.IN"/>
    <x v="28"/>
    <n v="81"/>
    <x v="3"/>
  </r>
  <r>
    <x v="20"/>
    <s v="GBR"/>
    <x v="3"/>
    <s v="SP.DYN.LE00.IN"/>
    <x v="29"/>
    <n v="81"/>
    <x v="3"/>
  </r>
  <r>
    <x v="20"/>
    <s v="GBR"/>
    <x v="3"/>
    <s v="SP.DYN.LE00.IN"/>
    <x v="30"/>
    <n v="80"/>
    <x v="3"/>
  </r>
  <r>
    <x v="20"/>
    <s v="GBR"/>
    <x v="3"/>
    <s v="SP.DYN.LE00.IN"/>
    <x v="31"/>
    <n v="81"/>
    <x v="6"/>
  </r>
  <r>
    <x v="20"/>
    <s v="GBR"/>
    <x v="3"/>
    <s v="SP.DYN.LE00.IN"/>
    <x v="32"/>
    <n v="81"/>
    <x v="6"/>
  </r>
  <r>
    <x v="20"/>
    <s v="GBR"/>
    <x v="3"/>
    <s v="SP.DYN.LE00.IN"/>
    <x v="33"/>
    <n v="81"/>
    <x v="6"/>
  </r>
  <r>
    <x v="21"/>
    <s v="GEO"/>
    <x v="3"/>
    <s v="SP.DYN.LE00.IN"/>
    <x v="55"/>
    <n v="61"/>
    <x v="6"/>
  </r>
  <r>
    <x v="21"/>
    <s v="GEO"/>
    <x v="3"/>
    <s v="SP.DYN.LE00.IN"/>
    <x v="56"/>
    <n v="62"/>
    <x v="6"/>
  </r>
  <r>
    <x v="21"/>
    <s v="GEO"/>
    <x v="3"/>
    <s v="SP.DYN.LE00.IN"/>
    <x v="57"/>
    <n v="62"/>
    <x v="6"/>
  </r>
  <r>
    <x v="21"/>
    <s v="GEO"/>
    <x v="3"/>
    <s v="SP.DYN.LE00.IN"/>
    <x v="58"/>
    <n v="62"/>
    <x v="6"/>
  </r>
  <r>
    <x v="21"/>
    <s v="GEO"/>
    <x v="3"/>
    <s v="SP.DYN.LE00.IN"/>
    <x v="59"/>
    <n v="63"/>
    <x v="6"/>
  </r>
  <r>
    <x v="21"/>
    <s v="GEO"/>
    <x v="3"/>
    <s v="SP.DYN.LE00.IN"/>
    <x v="60"/>
    <n v="63"/>
    <x v="6"/>
  </r>
  <r>
    <x v="21"/>
    <s v="GEO"/>
    <x v="3"/>
    <s v="SP.DYN.LE00.IN"/>
    <x v="61"/>
    <n v="63"/>
    <x v="6"/>
  </r>
  <r>
    <x v="21"/>
    <s v="GEO"/>
    <x v="3"/>
    <s v="SP.DYN.LE00.IN"/>
    <x v="62"/>
    <n v="64"/>
    <x v="4"/>
  </r>
  <r>
    <x v="21"/>
    <s v="GEO"/>
    <x v="3"/>
    <s v="SP.DYN.LE00.IN"/>
    <x v="63"/>
    <n v="64"/>
    <x v="4"/>
  </r>
  <r>
    <x v="21"/>
    <s v="GEO"/>
    <x v="3"/>
    <s v="SP.DYN.LE00.IN"/>
    <x v="64"/>
    <n v="65"/>
    <x v="4"/>
  </r>
  <r>
    <x v="21"/>
    <s v="GEO"/>
    <x v="3"/>
    <s v="SP.DYN.LE00.IN"/>
    <x v="34"/>
    <n v="65"/>
    <x v="4"/>
  </r>
  <r>
    <x v="21"/>
    <s v="GEO"/>
    <x v="3"/>
    <s v="SP.DYN.LE00.IN"/>
    <x v="35"/>
    <n v="65"/>
    <x v="4"/>
  </r>
  <r>
    <x v="21"/>
    <s v="GEO"/>
    <x v="3"/>
    <s v="SP.DYN.LE00.IN"/>
    <x v="36"/>
    <n v="66"/>
    <x v="4"/>
  </r>
  <r>
    <x v="21"/>
    <s v="GEO"/>
    <x v="3"/>
    <s v="SP.DYN.LE00.IN"/>
    <x v="37"/>
    <n v="66"/>
    <x v="4"/>
  </r>
  <r>
    <x v="21"/>
    <s v="GEO"/>
    <x v="3"/>
    <s v="SP.DYN.LE00.IN"/>
    <x v="38"/>
    <n v="66"/>
    <x v="4"/>
  </r>
  <r>
    <x v="21"/>
    <s v="GEO"/>
    <x v="3"/>
    <s v="SP.DYN.LE00.IN"/>
    <x v="39"/>
    <n v="67"/>
    <x v="4"/>
  </r>
  <r>
    <x v="21"/>
    <s v="GEO"/>
    <x v="3"/>
    <s v="SP.DYN.LE00.IN"/>
    <x v="40"/>
    <n v="67"/>
    <x v="4"/>
  </r>
  <r>
    <x v="21"/>
    <s v="GEO"/>
    <x v="3"/>
    <s v="SP.DYN.LE00.IN"/>
    <x v="41"/>
    <n v="67"/>
    <x v="5"/>
  </r>
  <r>
    <x v="21"/>
    <s v="GEO"/>
    <x v="3"/>
    <s v="SP.DYN.LE00.IN"/>
    <x v="42"/>
    <n v="68"/>
    <x v="5"/>
  </r>
  <r>
    <x v="21"/>
    <s v="GEO"/>
    <x v="3"/>
    <s v="SP.DYN.LE00.IN"/>
    <x v="43"/>
    <n v="68"/>
    <x v="5"/>
  </r>
  <r>
    <x v="21"/>
    <s v="GEO"/>
    <x v="3"/>
    <s v="SP.DYN.LE00.IN"/>
    <x v="44"/>
    <n v="68"/>
    <x v="5"/>
  </r>
  <r>
    <x v="21"/>
    <s v="GEO"/>
    <x v="3"/>
    <s v="SP.DYN.LE00.IN"/>
    <x v="45"/>
    <n v="69"/>
    <x v="5"/>
  </r>
  <r>
    <x v="21"/>
    <s v="GEO"/>
    <x v="3"/>
    <s v="SP.DYN.LE00.IN"/>
    <x v="46"/>
    <n v="69"/>
    <x v="5"/>
  </r>
  <r>
    <x v="21"/>
    <s v="GEO"/>
    <x v="3"/>
    <s v="SP.DYN.LE00.IN"/>
    <x v="47"/>
    <n v="69"/>
    <x v="5"/>
  </r>
  <r>
    <x v="21"/>
    <s v="GEO"/>
    <x v="3"/>
    <s v="SP.DYN.LE00.IN"/>
    <x v="48"/>
    <n v="69"/>
    <x v="5"/>
  </r>
  <r>
    <x v="21"/>
    <s v="GEO"/>
    <x v="3"/>
    <s v="SP.DYN.LE00.IN"/>
    <x v="49"/>
    <n v="69"/>
    <x v="5"/>
  </r>
  <r>
    <x v="21"/>
    <s v="GEO"/>
    <x v="3"/>
    <s v="SP.DYN.LE00.IN"/>
    <x v="50"/>
    <n v="69"/>
    <x v="5"/>
  </r>
  <r>
    <x v="21"/>
    <s v="GEO"/>
    <x v="3"/>
    <s v="SP.DYN.LE00.IN"/>
    <x v="51"/>
    <n v="69"/>
    <x v="0"/>
  </r>
  <r>
    <x v="21"/>
    <s v="GEO"/>
    <x v="3"/>
    <s v="SP.DYN.LE00.IN"/>
    <x v="52"/>
    <n v="69"/>
    <x v="0"/>
  </r>
  <r>
    <x v="21"/>
    <s v="GEO"/>
    <x v="3"/>
    <s v="SP.DYN.LE00.IN"/>
    <x v="53"/>
    <n v="69"/>
    <x v="0"/>
  </r>
  <r>
    <x v="21"/>
    <s v="GEO"/>
    <x v="3"/>
    <s v="SP.DYN.LE00.IN"/>
    <x v="0"/>
    <n v="69"/>
    <x v="0"/>
  </r>
  <r>
    <x v="21"/>
    <s v="GEO"/>
    <x v="3"/>
    <s v="SP.DYN.LE00.IN"/>
    <x v="1"/>
    <n v="68"/>
    <x v="0"/>
  </r>
  <r>
    <x v="21"/>
    <s v="GEO"/>
    <x v="3"/>
    <s v="SP.DYN.LE00.IN"/>
    <x v="2"/>
    <n v="68"/>
    <x v="0"/>
  </r>
  <r>
    <x v="21"/>
    <s v="GEO"/>
    <x v="3"/>
    <s v="SP.DYN.LE00.IN"/>
    <x v="3"/>
    <n v="67"/>
    <x v="0"/>
  </r>
  <r>
    <x v="21"/>
    <s v="GEO"/>
    <x v="3"/>
    <s v="SP.DYN.LE00.IN"/>
    <x v="4"/>
    <n v="69"/>
    <x v="0"/>
  </r>
  <r>
    <x v="21"/>
    <s v="GEO"/>
    <x v="3"/>
    <s v="SP.DYN.LE00.IN"/>
    <x v="5"/>
    <n v="69"/>
    <x v="0"/>
  </r>
  <r>
    <x v="21"/>
    <s v="GEO"/>
    <x v="3"/>
    <s v="SP.DYN.LE00.IN"/>
    <x v="6"/>
    <n v="71"/>
    <x v="0"/>
  </r>
  <r>
    <x v="21"/>
    <s v="GEO"/>
    <x v="3"/>
    <s v="SP.DYN.LE00.IN"/>
    <x v="7"/>
    <n v="70"/>
    <x v="1"/>
  </r>
  <r>
    <x v="21"/>
    <s v="GEO"/>
    <x v="3"/>
    <s v="SP.DYN.LE00.IN"/>
    <x v="8"/>
    <n v="70"/>
    <x v="1"/>
  </r>
  <r>
    <x v="21"/>
    <s v="GEO"/>
    <x v="3"/>
    <s v="SP.DYN.LE00.IN"/>
    <x v="9"/>
    <n v="70"/>
    <x v="1"/>
  </r>
  <r>
    <x v="21"/>
    <s v="GEO"/>
    <x v="3"/>
    <s v="SP.DYN.LE00.IN"/>
    <x v="10"/>
    <n v="70"/>
    <x v="1"/>
  </r>
  <r>
    <x v="21"/>
    <s v="GEO"/>
    <x v="3"/>
    <s v="SP.DYN.LE00.IN"/>
    <x v="11"/>
    <n v="70"/>
    <x v="1"/>
  </r>
  <r>
    <x v="21"/>
    <s v="GEO"/>
    <x v="3"/>
    <s v="SP.DYN.LE00.IN"/>
    <x v="12"/>
    <n v="70"/>
    <x v="1"/>
  </r>
  <r>
    <x v="21"/>
    <s v="GEO"/>
    <x v="3"/>
    <s v="SP.DYN.LE00.IN"/>
    <x v="13"/>
    <n v="71"/>
    <x v="1"/>
  </r>
  <r>
    <x v="21"/>
    <s v="GEO"/>
    <x v="3"/>
    <s v="SP.DYN.LE00.IN"/>
    <x v="14"/>
    <n v="71"/>
    <x v="1"/>
  </r>
  <r>
    <x v="21"/>
    <s v="GEO"/>
    <x v="3"/>
    <s v="SP.DYN.LE00.IN"/>
    <x v="15"/>
    <n v="71"/>
    <x v="1"/>
  </r>
  <r>
    <x v="21"/>
    <s v="GEO"/>
    <x v="3"/>
    <s v="SP.DYN.LE00.IN"/>
    <x v="16"/>
    <n v="71"/>
    <x v="1"/>
  </r>
  <r>
    <x v="21"/>
    <s v="GEO"/>
    <x v="3"/>
    <s v="SP.DYN.LE00.IN"/>
    <x v="17"/>
    <n v="71"/>
    <x v="2"/>
  </r>
  <r>
    <x v="21"/>
    <s v="GEO"/>
    <x v="3"/>
    <s v="SP.DYN.LE00.IN"/>
    <x v="18"/>
    <n v="71"/>
    <x v="2"/>
  </r>
  <r>
    <x v="21"/>
    <s v="GEO"/>
    <x v="3"/>
    <s v="SP.DYN.LE00.IN"/>
    <x v="19"/>
    <n v="71"/>
    <x v="2"/>
  </r>
  <r>
    <x v="21"/>
    <s v="GEO"/>
    <x v="3"/>
    <s v="SP.DYN.LE00.IN"/>
    <x v="20"/>
    <n v="72"/>
    <x v="2"/>
  </r>
  <r>
    <x v="21"/>
    <s v="GEO"/>
    <x v="3"/>
    <s v="SP.DYN.LE00.IN"/>
    <x v="21"/>
    <n v="72"/>
    <x v="2"/>
  </r>
  <r>
    <x v="21"/>
    <s v="GEO"/>
    <x v="3"/>
    <s v="SP.DYN.LE00.IN"/>
    <x v="22"/>
    <n v="73"/>
    <x v="2"/>
  </r>
  <r>
    <x v="21"/>
    <s v="GEO"/>
    <x v="3"/>
    <s v="SP.DYN.LE00.IN"/>
    <x v="23"/>
    <n v="73"/>
    <x v="2"/>
  </r>
  <r>
    <x v="21"/>
    <s v="GEO"/>
    <x v="3"/>
    <s v="SP.DYN.LE00.IN"/>
    <x v="24"/>
    <n v="73"/>
    <x v="2"/>
  </r>
  <r>
    <x v="21"/>
    <s v="GEO"/>
    <x v="3"/>
    <s v="SP.DYN.LE00.IN"/>
    <x v="25"/>
    <n v="73"/>
    <x v="2"/>
  </r>
  <r>
    <x v="21"/>
    <s v="GEO"/>
    <x v="3"/>
    <s v="SP.DYN.LE00.IN"/>
    <x v="26"/>
    <n v="73"/>
    <x v="2"/>
  </r>
  <r>
    <x v="21"/>
    <s v="GEO"/>
    <x v="3"/>
    <s v="SP.DYN.LE00.IN"/>
    <x v="27"/>
    <n v="73"/>
    <x v="3"/>
  </r>
  <r>
    <x v="21"/>
    <s v="GEO"/>
    <x v="3"/>
    <s v="SP.DYN.LE00.IN"/>
    <x v="28"/>
    <n v="74"/>
    <x v="3"/>
  </r>
  <r>
    <x v="21"/>
    <s v="GEO"/>
    <x v="3"/>
    <s v="SP.DYN.LE00.IN"/>
    <x v="29"/>
    <n v="74"/>
    <x v="3"/>
  </r>
  <r>
    <x v="21"/>
    <s v="GEO"/>
    <x v="3"/>
    <s v="SP.DYN.LE00.IN"/>
    <x v="30"/>
    <n v="74"/>
    <x v="3"/>
  </r>
  <r>
    <x v="21"/>
    <s v="GEO"/>
    <x v="3"/>
    <s v="SP.DYN.LE00.IN"/>
    <x v="31"/>
    <n v="72"/>
    <x v="6"/>
  </r>
  <r>
    <x v="21"/>
    <s v="GEO"/>
    <x v="3"/>
    <s v="SP.DYN.LE00.IN"/>
    <x v="32"/>
    <n v="74"/>
    <x v="6"/>
  </r>
  <r>
    <x v="21"/>
    <s v="GEO"/>
    <x v="3"/>
    <s v="SP.DYN.LE00.IN"/>
    <x v="33"/>
    <n v="74"/>
    <x v="6"/>
  </r>
  <r>
    <x v="22"/>
    <s v="GIB"/>
    <x v="3"/>
    <s v="SP.DYN.LE00.IN"/>
    <x v="55"/>
    <n v="70"/>
    <x v="6"/>
  </r>
  <r>
    <x v="22"/>
    <s v="GIB"/>
    <x v="3"/>
    <s v="SP.DYN.LE00.IN"/>
    <x v="56"/>
    <n v="70"/>
    <x v="6"/>
  </r>
  <r>
    <x v="22"/>
    <s v="GIB"/>
    <x v="3"/>
    <s v="SP.DYN.LE00.IN"/>
    <x v="57"/>
    <n v="70"/>
    <x v="6"/>
  </r>
  <r>
    <x v="22"/>
    <s v="GIB"/>
    <x v="3"/>
    <s v="SP.DYN.LE00.IN"/>
    <x v="58"/>
    <n v="70"/>
    <x v="6"/>
  </r>
  <r>
    <x v="22"/>
    <s v="GIB"/>
    <x v="3"/>
    <s v="SP.DYN.LE00.IN"/>
    <x v="59"/>
    <n v="70"/>
    <x v="6"/>
  </r>
  <r>
    <x v="22"/>
    <s v="GIB"/>
    <x v="3"/>
    <s v="SP.DYN.LE00.IN"/>
    <x v="60"/>
    <n v="71"/>
    <x v="6"/>
  </r>
  <r>
    <x v="22"/>
    <s v="GIB"/>
    <x v="3"/>
    <s v="SP.DYN.LE00.IN"/>
    <x v="61"/>
    <n v="71"/>
    <x v="6"/>
  </r>
  <r>
    <x v="22"/>
    <s v="GIB"/>
    <x v="3"/>
    <s v="SP.DYN.LE00.IN"/>
    <x v="62"/>
    <n v="72"/>
    <x v="4"/>
  </r>
  <r>
    <x v="22"/>
    <s v="GIB"/>
    <x v="3"/>
    <s v="SP.DYN.LE00.IN"/>
    <x v="63"/>
    <n v="72"/>
    <x v="4"/>
  </r>
  <r>
    <x v="22"/>
    <s v="GIB"/>
    <x v="3"/>
    <s v="SP.DYN.LE00.IN"/>
    <x v="64"/>
    <n v="72"/>
    <x v="4"/>
  </r>
  <r>
    <x v="22"/>
    <s v="GIB"/>
    <x v="3"/>
    <s v="SP.DYN.LE00.IN"/>
    <x v="34"/>
    <n v="72"/>
    <x v="4"/>
  </r>
  <r>
    <x v="22"/>
    <s v="GIB"/>
    <x v="3"/>
    <s v="SP.DYN.LE00.IN"/>
    <x v="35"/>
    <n v="72"/>
    <x v="4"/>
  </r>
  <r>
    <x v="22"/>
    <s v="GIB"/>
    <x v="3"/>
    <s v="SP.DYN.LE00.IN"/>
    <x v="36"/>
    <n v="72"/>
    <x v="4"/>
  </r>
  <r>
    <x v="22"/>
    <s v="GIB"/>
    <x v="3"/>
    <s v="SP.DYN.LE00.IN"/>
    <x v="37"/>
    <n v="73"/>
    <x v="4"/>
  </r>
  <r>
    <x v="22"/>
    <s v="GIB"/>
    <x v="3"/>
    <s v="SP.DYN.LE00.IN"/>
    <x v="38"/>
    <n v="73"/>
    <x v="4"/>
  </r>
  <r>
    <x v="22"/>
    <s v="GIB"/>
    <x v="3"/>
    <s v="SP.DYN.LE00.IN"/>
    <x v="39"/>
    <n v="73"/>
    <x v="4"/>
  </r>
  <r>
    <x v="22"/>
    <s v="GIB"/>
    <x v="3"/>
    <s v="SP.DYN.LE00.IN"/>
    <x v="40"/>
    <n v="73"/>
    <x v="4"/>
  </r>
  <r>
    <x v="22"/>
    <s v="GIB"/>
    <x v="3"/>
    <s v="SP.DYN.LE00.IN"/>
    <x v="41"/>
    <n v="73"/>
    <x v="5"/>
  </r>
  <r>
    <x v="22"/>
    <s v="GIB"/>
    <x v="3"/>
    <s v="SP.DYN.LE00.IN"/>
    <x v="42"/>
    <n v="74"/>
    <x v="5"/>
  </r>
  <r>
    <x v="22"/>
    <s v="GIB"/>
    <x v="3"/>
    <s v="SP.DYN.LE00.IN"/>
    <x v="43"/>
    <n v="74"/>
    <x v="5"/>
  </r>
  <r>
    <x v="22"/>
    <s v="GIB"/>
    <x v="3"/>
    <s v="SP.DYN.LE00.IN"/>
    <x v="44"/>
    <n v="74"/>
    <x v="5"/>
  </r>
  <r>
    <x v="22"/>
    <s v="GIB"/>
    <x v="3"/>
    <s v="SP.DYN.LE00.IN"/>
    <x v="45"/>
    <n v="74"/>
    <x v="5"/>
  </r>
  <r>
    <x v="22"/>
    <s v="GIB"/>
    <x v="3"/>
    <s v="SP.DYN.LE00.IN"/>
    <x v="46"/>
    <n v="74"/>
    <x v="5"/>
  </r>
  <r>
    <x v="22"/>
    <s v="GIB"/>
    <x v="3"/>
    <s v="SP.DYN.LE00.IN"/>
    <x v="47"/>
    <n v="75"/>
    <x v="5"/>
  </r>
  <r>
    <x v="22"/>
    <s v="GIB"/>
    <x v="3"/>
    <s v="SP.DYN.LE00.IN"/>
    <x v="48"/>
    <n v="75"/>
    <x v="5"/>
  </r>
  <r>
    <x v="22"/>
    <s v="GIB"/>
    <x v="3"/>
    <s v="SP.DYN.LE00.IN"/>
    <x v="49"/>
    <n v="75"/>
    <x v="5"/>
  </r>
  <r>
    <x v="22"/>
    <s v="GIB"/>
    <x v="3"/>
    <s v="SP.DYN.LE00.IN"/>
    <x v="50"/>
    <n v="76"/>
    <x v="5"/>
  </r>
  <r>
    <x v="22"/>
    <s v="GIB"/>
    <x v="3"/>
    <s v="SP.DYN.LE00.IN"/>
    <x v="51"/>
    <n v="76"/>
    <x v="0"/>
  </r>
  <r>
    <x v="22"/>
    <s v="GIB"/>
    <x v="3"/>
    <s v="SP.DYN.LE00.IN"/>
    <x v="52"/>
    <n v="76"/>
    <x v="0"/>
  </r>
  <r>
    <x v="22"/>
    <s v="GIB"/>
    <x v="3"/>
    <s v="SP.DYN.LE00.IN"/>
    <x v="53"/>
    <n v="76"/>
    <x v="0"/>
  </r>
  <r>
    <x v="22"/>
    <s v="GIB"/>
    <x v="3"/>
    <s v="SP.DYN.LE00.IN"/>
    <x v="0"/>
    <n v="77"/>
    <x v="0"/>
  </r>
  <r>
    <x v="22"/>
    <s v="GIB"/>
    <x v="3"/>
    <s v="SP.DYN.LE00.IN"/>
    <x v="1"/>
    <n v="77"/>
    <x v="0"/>
  </r>
  <r>
    <x v="22"/>
    <s v="GIB"/>
    <x v="3"/>
    <s v="SP.DYN.LE00.IN"/>
    <x v="2"/>
    <n v="77"/>
    <x v="0"/>
  </r>
  <r>
    <x v="22"/>
    <s v="GIB"/>
    <x v="3"/>
    <s v="SP.DYN.LE00.IN"/>
    <x v="3"/>
    <n v="78"/>
    <x v="0"/>
  </r>
  <r>
    <x v="22"/>
    <s v="GIB"/>
    <x v="3"/>
    <s v="SP.DYN.LE00.IN"/>
    <x v="4"/>
    <n v="78"/>
    <x v="0"/>
  </r>
  <r>
    <x v="22"/>
    <s v="GIB"/>
    <x v="3"/>
    <s v="SP.DYN.LE00.IN"/>
    <x v="5"/>
    <n v="78"/>
    <x v="0"/>
  </r>
  <r>
    <x v="22"/>
    <s v="GIB"/>
    <x v="3"/>
    <s v="SP.DYN.LE00.IN"/>
    <x v="6"/>
    <n v="79"/>
    <x v="0"/>
  </r>
  <r>
    <x v="22"/>
    <s v="GIB"/>
    <x v="3"/>
    <s v="SP.DYN.LE00.IN"/>
    <x v="7"/>
    <n v="79"/>
    <x v="1"/>
  </r>
  <r>
    <x v="22"/>
    <s v="GIB"/>
    <x v="3"/>
    <s v="SP.DYN.LE00.IN"/>
    <x v="8"/>
    <n v="79"/>
    <x v="1"/>
  </r>
  <r>
    <x v="22"/>
    <s v="GIB"/>
    <x v="3"/>
    <s v="SP.DYN.LE00.IN"/>
    <x v="9"/>
    <n v="80"/>
    <x v="1"/>
  </r>
  <r>
    <x v="22"/>
    <s v="GIB"/>
    <x v="3"/>
    <s v="SP.DYN.LE00.IN"/>
    <x v="10"/>
    <n v="80"/>
    <x v="1"/>
  </r>
  <r>
    <x v="22"/>
    <s v="GIB"/>
    <x v="3"/>
    <s v="SP.DYN.LE00.IN"/>
    <x v="11"/>
    <n v="80"/>
    <x v="1"/>
  </r>
  <r>
    <x v="22"/>
    <s v="GIB"/>
    <x v="3"/>
    <s v="SP.DYN.LE00.IN"/>
    <x v="12"/>
    <n v="81"/>
    <x v="1"/>
  </r>
  <r>
    <x v="22"/>
    <s v="GIB"/>
    <x v="3"/>
    <s v="SP.DYN.LE00.IN"/>
    <x v="13"/>
    <n v="81"/>
    <x v="1"/>
  </r>
  <r>
    <x v="22"/>
    <s v="GIB"/>
    <x v="3"/>
    <s v="SP.DYN.LE00.IN"/>
    <x v="14"/>
    <n v="81"/>
    <x v="1"/>
  </r>
  <r>
    <x v="22"/>
    <s v="GIB"/>
    <x v="3"/>
    <s v="SP.DYN.LE00.IN"/>
    <x v="15"/>
    <n v="81"/>
    <x v="1"/>
  </r>
  <r>
    <x v="22"/>
    <s v="GIB"/>
    <x v="3"/>
    <s v="SP.DYN.LE00.IN"/>
    <x v="16"/>
    <n v="81"/>
    <x v="1"/>
  </r>
  <r>
    <x v="22"/>
    <s v="GIB"/>
    <x v="3"/>
    <s v="SP.DYN.LE00.IN"/>
    <x v="17"/>
    <n v="81"/>
    <x v="2"/>
  </r>
  <r>
    <x v="22"/>
    <s v="GIB"/>
    <x v="3"/>
    <s v="SP.DYN.LE00.IN"/>
    <x v="18"/>
    <n v="82"/>
    <x v="2"/>
  </r>
  <r>
    <x v="22"/>
    <s v="GIB"/>
    <x v="3"/>
    <s v="SP.DYN.LE00.IN"/>
    <x v="19"/>
    <n v="82"/>
    <x v="2"/>
  </r>
  <r>
    <x v="22"/>
    <s v="GIB"/>
    <x v="3"/>
    <s v="SP.DYN.LE00.IN"/>
    <x v="20"/>
    <n v="82"/>
    <x v="2"/>
  </r>
  <r>
    <x v="22"/>
    <s v="GIB"/>
    <x v="3"/>
    <s v="SP.DYN.LE00.IN"/>
    <x v="21"/>
    <n v="82"/>
    <x v="2"/>
  </r>
  <r>
    <x v="22"/>
    <s v="GIB"/>
    <x v="3"/>
    <s v="SP.DYN.LE00.IN"/>
    <x v="22"/>
    <n v="83"/>
    <x v="2"/>
  </r>
  <r>
    <x v="22"/>
    <s v="GIB"/>
    <x v="3"/>
    <s v="SP.DYN.LE00.IN"/>
    <x v="23"/>
    <n v="83"/>
    <x v="2"/>
  </r>
  <r>
    <x v="22"/>
    <s v="GIB"/>
    <x v="3"/>
    <s v="SP.DYN.LE00.IN"/>
    <x v="24"/>
    <n v="83"/>
    <x v="2"/>
  </r>
  <r>
    <x v="22"/>
    <s v="GIB"/>
    <x v="3"/>
    <s v="SP.DYN.LE00.IN"/>
    <x v="25"/>
    <n v="83"/>
    <x v="2"/>
  </r>
  <r>
    <x v="22"/>
    <s v="GIB"/>
    <x v="3"/>
    <s v="SP.DYN.LE00.IN"/>
    <x v="26"/>
    <n v="83"/>
    <x v="2"/>
  </r>
  <r>
    <x v="22"/>
    <s v="GIB"/>
    <x v="3"/>
    <s v="SP.DYN.LE00.IN"/>
    <x v="27"/>
    <n v="83"/>
    <x v="3"/>
  </r>
  <r>
    <x v="22"/>
    <s v="GIB"/>
    <x v="3"/>
    <s v="SP.DYN.LE00.IN"/>
    <x v="28"/>
    <n v="83"/>
    <x v="3"/>
  </r>
  <r>
    <x v="22"/>
    <s v="GIB"/>
    <x v="3"/>
    <s v="SP.DYN.LE00.IN"/>
    <x v="29"/>
    <n v="83"/>
    <x v="3"/>
  </r>
  <r>
    <x v="22"/>
    <s v="GIB"/>
    <x v="3"/>
    <s v="SP.DYN.LE00.IN"/>
    <x v="30"/>
    <n v="83"/>
    <x v="3"/>
  </r>
  <r>
    <x v="22"/>
    <s v="GIB"/>
    <x v="3"/>
    <s v="SP.DYN.LE00.IN"/>
    <x v="31"/>
    <n v="80"/>
    <x v="6"/>
  </r>
  <r>
    <x v="22"/>
    <s v="GIB"/>
    <x v="3"/>
    <s v="SP.DYN.LE00.IN"/>
    <x v="32"/>
    <n v="84"/>
    <x v="6"/>
  </r>
  <r>
    <x v="22"/>
    <s v="GIB"/>
    <x v="3"/>
    <s v="SP.DYN.LE00.IN"/>
    <x v="33"/>
    <n v="84"/>
    <x v="6"/>
  </r>
  <r>
    <x v="23"/>
    <s v="GRC"/>
    <x v="3"/>
    <s v="SP.DYN.LE00.IN"/>
    <x v="55"/>
    <n v="70"/>
    <x v="6"/>
  </r>
  <r>
    <x v="23"/>
    <s v="GRC"/>
    <x v="3"/>
    <s v="SP.DYN.LE00.IN"/>
    <x v="56"/>
    <n v="70"/>
    <x v="6"/>
  </r>
  <r>
    <x v="23"/>
    <s v="GRC"/>
    <x v="3"/>
    <s v="SP.DYN.LE00.IN"/>
    <x v="57"/>
    <n v="70"/>
    <x v="6"/>
  </r>
  <r>
    <x v="23"/>
    <s v="GRC"/>
    <x v="3"/>
    <s v="SP.DYN.LE00.IN"/>
    <x v="58"/>
    <n v="71"/>
    <x v="6"/>
  </r>
  <r>
    <x v="23"/>
    <s v="GRC"/>
    <x v="3"/>
    <s v="SP.DYN.LE00.IN"/>
    <x v="59"/>
    <n v="70"/>
    <x v="6"/>
  </r>
  <r>
    <x v="23"/>
    <s v="GRC"/>
    <x v="3"/>
    <s v="SP.DYN.LE00.IN"/>
    <x v="60"/>
    <n v="71"/>
    <x v="6"/>
  </r>
  <r>
    <x v="23"/>
    <s v="GRC"/>
    <x v="3"/>
    <s v="SP.DYN.LE00.IN"/>
    <x v="61"/>
    <n v="72"/>
    <x v="6"/>
  </r>
  <r>
    <x v="23"/>
    <s v="GRC"/>
    <x v="3"/>
    <s v="SP.DYN.LE00.IN"/>
    <x v="62"/>
    <n v="71"/>
    <x v="4"/>
  </r>
  <r>
    <x v="23"/>
    <s v="GRC"/>
    <x v="3"/>
    <s v="SP.DYN.LE00.IN"/>
    <x v="63"/>
    <n v="71"/>
    <x v="4"/>
  </r>
  <r>
    <x v="23"/>
    <s v="GRC"/>
    <x v="3"/>
    <s v="SP.DYN.LE00.IN"/>
    <x v="64"/>
    <n v="72"/>
    <x v="4"/>
  </r>
  <r>
    <x v="23"/>
    <s v="GRC"/>
    <x v="3"/>
    <s v="SP.DYN.LE00.IN"/>
    <x v="34"/>
    <n v="73"/>
    <x v="4"/>
  </r>
  <r>
    <x v="23"/>
    <s v="GRC"/>
    <x v="3"/>
    <s v="SP.DYN.LE00.IN"/>
    <x v="35"/>
    <n v="73"/>
    <x v="4"/>
  </r>
  <r>
    <x v="23"/>
    <s v="GRC"/>
    <x v="3"/>
    <s v="SP.DYN.LE00.IN"/>
    <x v="36"/>
    <n v="73"/>
    <x v="4"/>
  </r>
  <r>
    <x v="23"/>
    <s v="GRC"/>
    <x v="3"/>
    <s v="SP.DYN.LE00.IN"/>
    <x v="37"/>
    <n v="73"/>
    <x v="4"/>
  </r>
  <r>
    <x v="23"/>
    <s v="GRC"/>
    <x v="3"/>
    <s v="SP.DYN.LE00.IN"/>
    <x v="38"/>
    <n v="73"/>
    <x v="4"/>
  </r>
  <r>
    <x v="23"/>
    <s v="GRC"/>
    <x v="3"/>
    <s v="SP.DYN.LE00.IN"/>
    <x v="39"/>
    <n v="73"/>
    <x v="4"/>
  </r>
  <r>
    <x v="23"/>
    <s v="GRC"/>
    <x v="3"/>
    <s v="SP.DYN.LE00.IN"/>
    <x v="40"/>
    <n v="74"/>
    <x v="4"/>
  </r>
  <r>
    <x v="23"/>
    <s v="GRC"/>
    <x v="3"/>
    <s v="SP.DYN.LE00.IN"/>
    <x v="41"/>
    <n v="74"/>
    <x v="5"/>
  </r>
  <r>
    <x v="23"/>
    <s v="GRC"/>
    <x v="3"/>
    <s v="SP.DYN.LE00.IN"/>
    <x v="42"/>
    <n v="74"/>
    <x v="5"/>
  </r>
  <r>
    <x v="23"/>
    <s v="GRC"/>
    <x v="3"/>
    <s v="SP.DYN.LE00.IN"/>
    <x v="43"/>
    <n v="75"/>
    <x v="5"/>
  </r>
  <r>
    <x v="23"/>
    <s v="GRC"/>
    <x v="3"/>
    <s v="SP.DYN.LE00.IN"/>
    <x v="44"/>
    <n v="75"/>
    <x v="5"/>
  </r>
  <r>
    <x v="23"/>
    <s v="GRC"/>
    <x v="3"/>
    <s v="SP.DYN.LE00.IN"/>
    <x v="45"/>
    <n v="75"/>
    <x v="5"/>
  </r>
  <r>
    <x v="23"/>
    <s v="GRC"/>
    <x v="3"/>
    <s v="SP.DYN.LE00.IN"/>
    <x v="46"/>
    <n v="75"/>
    <x v="5"/>
  </r>
  <r>
    <x v="23"/>
    <s v="GRC"/>
    <x v="3"/>
    <s v="SP.DYN.LE00.IN"/>
    <x v="47"/>
    <n v="75"/>
    <x v="5"/>
  </r>
  <r>
    <x v="23"/>
    <s v="GRC"/>
    <x v="3"/>
    <s v="SP.DYN.LE00.IN"/>
    <x v="48"/>
    <n v="76"/>
    <x v="5"/>
  </r>
  <r>
    <x v="23"/>
    <s v="GRC"/>
    <x v="3"/>
    <s v="SP.DYN.LE00.IN"/>
    <x v="49"/>
    <n v="76"/>
    <x v="5"/>
  </r>
  <r>
    <x v="23"/>
    <s v="GRC"/>
    <x v="3"/>
    <s v="SP.DYN.LE00.IN"/>
    <x v="50"/>
    <n v="76"/>
    <x v="5"/>
  </r>
  <r>
    <x v="23"/>
    <s v="GRC"/>
    <x v="3"/>
    <s v="SP.DYN.LE00.IN"/>
    <x v="51"/>
    <n v="76"/>
    <x v="0"/>
  </r>
  <r>
    <x v="23"/>
    <s v="GRC"/>
    <x v="3"/>
    <s v="SP.DYN.LE00.IN"/>
    <x v="52"/>
    <n v="77"/>
    <x v="0"/>
  </r>
  <r>
    <x v="23"/>
    <s v="GRC"/>
    <x v="3"/>
    <s v="SP.DYN.LE00.IN"/>
    <x v="53"/>
    <n v="77"/>
    <x v="0"/>
  </r>
  <r>
    <x v="23"/>
    <s v="GRC"/>
    <x v="3"/>
    <s v="SP.DYN.LE00.IN"/>
    <x v="0"/>
    <n v="77"/>
    <x v="0"/>
  </r>
  <r>
    <x v="23"/>
    <s v="GRC"/>
    <x v="3"/>
    <s v="SP.DYN.LE00.IN"/>
    <x v="1"/>
    <n v="77"/>
    <x v="0"/>
  </r>
  <r>
    <x v="23"/>
    <s v="GRC"/>
    <x v="3"/>
    <s v="SP.DYN.LE00.IN"/>
    <x v="2"/>
    <n v="77"/>
    <x v="0"/>
  </r>
  <r>
    <x v="23"/>
    <s v="GRC"/>
    <x v="3"/>
    <s v="SP.DYN.LE00.IN"/>
    <x v="3"/>
    <n v="77"/>
    <x v="0"/>
  </r>
  <r>
    <x v="23"/>
    <s v="GRC"/>
    <x v="3"/>
    <s v="SP.DYN.LE00.IN"/>
    <x v="4"/>
    <n v="78"/>
    <x v="0"/>
  </r>
  <r>
    <x v="23"/>
    <s v="GRC"/>
    <x v="3"/>
    <s v="SP.DYN.LE00.IN"/>
    <x v="5"/>
    <n v="78"/>
    <x v="0"/>
  </r>
  <r>
    <x v="23"/>
    <s v="GRC"/>
    <x v="3"/>
    <s v="SP.DYN.LE00.IN"/>
    <x v="6"/>
    <n v="78"/>
    <x v="0"/>
  </r>
  <r>
    <x v="23"/>
    <s v="GRC"/>
    <x v="3"/>
    <s v="SP.DYN.LE00.IN"/>
    <x v="7"/>
    <n v="78"/>
    <x v="1"/>
  </r>
  <r>
    <x v="23"/>
    <s v="GRC"/>
    <x v="3"/>
    <s v="SP.DYN.LE00.IN"/>
    <x v="8"/>
    <n v="78"/>
    <x v="1"/>
  </r>
  <r>
    <x v="23"/>
    <s v="GRC"/>
    <x v="3"/>
    <s v="SP.DYN.LE00.IN"/>
    <x v="9"/>
    <n v="78"/>
    <x v="1"/>
  </r>
  <r>
    <x v="23"/>
    <s v="GRC"/>
    <x v="3"/>
    <s v="SP.DYN.LE00.IN"/>
    <x v="10"/>
    <n v="78"/>
    <x v="1"/>
  </r>
  <r>
    <x v="23"/>
    <s v="GRC"/>
    <x v="3"/>
    <s v="SP.DYN.LE00.IN"/>
    <x v="11"/>
    <n v="78"/>
    <x v="1"/>
  </r>
  <r>
    <x v="23"/>
    <s v="GRC"/>
    <x v="3"/>
    <s v="SP.DYN.LE00.IN"/>
    <x v="12"/>
    <n v="79"/>
    <x v="1"/>
  </r>
  <r>
    <x v="23"/>
    <s v="GRC"/>
    <x v="3"/>
    <s v="SP.DYN.LE00.IN"/>
    <x v="13"/>
    <n v="79"/>
    <x v="1"/>
  </r>
  <r>
    <x v="23"/>
    <s v="GRC"/>
    <x v="3"/>
    <s v="SP.DYN.LE00.IN"/>
    <x v="14"/>
    <n v="79"/>
    <x v="1"/>
  </r>
  <r>
    <x v="23"/>
    <s v="GRC"/>
    <x v="3"/>
    <s v="SP.DYN.LE00.IN"/>
    <x v="15"/>
    <n v="79"/>
    <x v="1"/>
  </r>
  <r>
    <x v="23"/>
    <s v="GRC"/>
    <x v="3"/>
    <s v="SP.DYN.LE00.IN"/>
    <x v="16"/>
    <n v="79"/>
    <x v="1"/>
  </r>
  <r>
    <x v="23"/>
    <s v="GRC"/>
    <x v="3"/>
    <s v="SP.DYN.LE00.IN"/>
    <x v="17"/>
    <n v="79"/>
    <x v="2"/>
  </r>
  <r>
    <x v="23"/>
    <s v="GRC"/>
    <x v="3"/>
    <s v="SP.DYN.LE00.IN"/>
    <x v="18"/>
    <n v="80"/>
    <x v="2"/>
  </r>
  <r>
    <x v="23"/>
    <s v="GRC"/>
    <x v="3"/>
    <s v="SP.DYN.LE00.IN"/>
    <x v="19"/>
    <n v="80"/>
    <x v="2"/>
  </r>
  <r>
    <x v="23"/>
    <s v="GRC"/>
    <x v="3"/>
    <s v="SP.DYN.LE00.IN"/>
    <x v="20"/>
    <n v="80"/>
    <x v="2"/>
  </r>
  <r>
    <x v="23"/>
    <s v="GRC"/>
    <x v="3"/>
    <s v="SP.DYN.LE00.IN"/>
    <x v="21"/>
    <n v="81"/>
    <x v="2"/>
  </r>
  <r>
    <x v="23"/>
    <s v="GRC"/>
    <x v="3"/>
    <s v="SP.DYN.LE00.IN"/>
    <x v="22"/>
    <n v="81"/>
    <x v="2"/>
  </r>
  <r>
    <x v="23"/>
    <s v="GRC"/>
    <x v="3"/>
    <s v="SP.DYN.LE00.IN"/>
    <x v="23"/>
    <n v="81"/>
    <x v="2"/>
  </r>
  <r>
    <x v="23"/>
    <s v="GRC"/>
    <x v="3"/>
    <s v="SP.DYN.LE00.IN"/>
    <x v="24"/>
    <n v="81"/>
    <x v="2"/>
  </r>
  <r>
    <x v="23"/>
    <s v="GRC"/>
    <x v="3"/>
    <s v="SP.DYN.LE00.IN"/>
    <x v="25"/>
    <n v="81"/>
    <x v="2"/>
  </r>
  <r>
    <x v="23"/>
    <s v="GRC"/>
    <x v="3"/>
    <s v="SP.DYN.LE00.IN"/>
    <x v="26"/>
    <n v="81"/>
    <x v="2"/>
  </r>
  <r>
    <x v="23"/>
    <s v="GRC"/>
    <x v="3"/>
    <s v="SP.DYN.LE00.IN"/>
    <x v="27"/>
    <n v="81"/>
    <x v="3"/>
  </r>
  <r>
    <x v="23"/>
    <s v="GRC"/>
    <x v="3"/>
    <s v="SP.DYN.LE00.IN"/>
    <x v="28"/>
    <n v="82"/>
    <x v="3"/>
  </r>
  <r>
    <x v="23"/>
    <s v="GRC"/>
    <x v="3"/>
    <s v="SP.DYN.LE00.IN"/>
    <x v="29"/>
    <n v="82"/>
    <x v="3"/>
  </r>
  <r>
    <x v="23"/>
    <s v="GRC"/>
    <x v="3"/>
    <s v="SP.DYN.LE00.IN"/>
    <x v="30"/>
    <n v="81"/>
    <x v="3"/>
  </r>
  <r>
    <x v="23"/>
    <s v="GRC"/>
    <x v="3"/>
    <s v="SP.DYN.LE00.IN"/>
    <x v="31"/>
    <n v="80"/>
    <x v="6"/>
  </r>
  <r>
    <x v="23"/>
    <s v="GRC"/>
    <x v="3"/>
    <s v="SP.DYN.LE00.IN"/>
    <x v="32"/>
    <n v="81"/>
    <x v="6"/>
  </r>
  <r>
    <x v="23"/>
    <s v="GRC"/>
    <x v="3"/>
    <s v="SP.DYN.LE00.IN"/>
    <x v="33"/>
    <n v="82"/>
    <x v="6"/>
  </r>
  <r>
    <x v="24"/>
    <s v="GRL"/>
    <x v="3"/>
    <s v="SP.DYN.LE00.IN"/>
    <x v="55"/>
    <n v="59"/>
    <x v="6"/>
  </r>
  <r>
    <x v="24"/>
    <s v="GRL"/>
    <x v="3"/>
    <s v="SP.DYN.LE00.IN"/>
    <x v="56"/>
    <n v="59"/>
    <x v="6"/>
  </r>
  <r>
    <x v="24"/>
    <s v="GRL"/>
    <x v="3"/>
    <s v="SP.DYN.LE00.IN"/>
    <x v="57"/>
    <n v="60"/>
    <x v="6"/>
  </r>
  <r>
    <x v="24"/>
    <s v="GRL"/>
    <x v="3"/>
    <s v="SP.DYN.LE00.IN"/>
    <x v="58"/>
    <n v="60"/>
    <x v="6"/>
  </r>
  <r>
    <x v="24"/>
    <s v="GRL"/>
    <x v="3"/>
    <s v="SP.DYN.LE00.IN"/>
    <x v="59"/>
    <n v="61"/>
    <x v="6"/>
  </r>
  <r>
    <x v="24"/>
    <s v="GRL"/>
    <x v="3"/>
    <s v="SP.DYN.LE00.IN"/>
    <x v="60"/>
    <n v="61"/>
    <x v="6"/>
  </r>
  <r>
    <x v="24"/>
    <s v="GRL"/>
    <x v="3"/>
    <s v="SP.DYN.LE00.IN"/>
    <x v="61"/>
    <n v="62"/>
    <x v="6"/>
  </r>
  <r>
    <x v="24"/>
    <s v="GRL"/>
    <x v="3"/>
    <s v="SP.DYN.LE00.IN"/>
    <x v="62"/>
    <n v="62"/>
    <x v="4"/>
  </r>
  <r>
    <x v="24"/>
    <s v="GRL"/>
    <x v="3"/>
    <s v="SP.DYN.LE00.IN"/>
    <x v="63"/>
    <n v="63"/>
    <x v="4"/>
  </r>
  <r>
    <x v="24"/>
    <s v="GRL"/>
    <x v="3"/>
    <s v="SP.DYN.LE00.IN"/>
    <x v="64"/>
    <n v="63"/>
    <x v="4"/>
  </r>
  <r>
    <x v="24"/>
    <s v="GRL"/>
    <x v="3"/>
    <s v="SP.DYN.LE00.IN"/>
    <x v="34"/>
    <n v="63"/>
    <x v="4"/>
  </r>
  <r>
    <x v="24"/>
    <s v="GRL"/>
    <x v="3"/>
    <s v="SP.DYN.LE00.IN"/>
    <x v="35"/>
    <n v="63"/>
    <x v="4"/>
  </r>
  <r>
    <x v="24"/>
    <s v="GRL"/>
    <x v="3"/>
    <s v="SP.DYN.LE00.IN"/>
    <x v="36"/>
    <n v="63"/>
    <x v="4"/>
  </r>
  <r>
    <x v="24"/>
    <s v="GRL"/>
    <x v="3"/>
    <s v="SP.DYN.LE00.IN"/>
    <x v="37"/>
    <n v="62"/>
    <x v="4"/>
  </r>
  <r>
    <x v="24"/>
    <s v="GRL"/>
    <x v="3"/>
    <s v="SP.DYN.LE00.IN"/>
    <x v="38"/>
    <n v="62"/>
    <x v="4"/>
  </r>
  <r>
    <x v="24"/>
    <s v="GRL"/>
    <x v="3"/>
    <s v="SP.DYN.LE00.IN"/>
    <x v="39"/>
    <n v="62"/>
    <x v="4"/>
  </r>
  <r>
    <x v="24"/>
    <s v="GRL"/>
    <x v="3"/>
    <s v="SP.DYN.LE00.IN"/>
    <x v="40"/>
    <n v="62"/>
    <x v="4"/>
  </r>
  <r>
    <x v="24"/>
    <s v="GRL"/>
    <x v="3"/>
    <s v="SP.DYN.LE00.IN"/>
    <x v="41"/>
    <n v="62"/>
    <x v="5"/>
  </r>
  <r>
    <x v="24"/>
    <s v="GRL"/>
    <x v="3"/>
    <s v="SP.DYN.LE00.IN"/>
    <x v="42"/>
    <n v="63"/>
    <x v="5"/>
  </r>
  <r>
    <x v="24"/>
    <s v="GRL"/>
    <x v="3"/>
    <s v="SP.DYN.LE00.IN"/>
    <x v="43"/>
    <n v="64"/>
    <x v="5"/>
  </r>
  <r>
    <x v="24"/>
    <s v="GRL"/>
    <x v="3"/>
    <s v="SP.DYN.LE00.IN"/>
    <x v="44"/>
    <n v="63"/>
    <x v="5"/>
  </r>
  <r>
    <x v="24"/>
    <s v="GRL"/>
    <x v="3"/>
    <s v="SP.DYN.LE00.IN"/>
    <x v="45"/>
    <n v="63"/>
    <x v="5"/>
  </r>
  <r>
    <x v="24"/>
    <s v="GRL"/>
    <x v="3"/>
    <s v="SP.DYN.LE00.IN"/>
    <x v="46"/>
    <n v="63"/>
    <x v="5"/>
  </r>
  <r>
    <x v="24"/>
    <s v="GRL"/>
    <x v="3"/>
    <s v="SP.DYN.LE00.IN"/>
    <x v="47"/>
    <n v="63"/>
    <x v="5"/>
  </r>
  <r>
    <x v="24"/>
    <s v="GRL"/>
    <x v="3"/>
    <s v="SP.DYN.LE00.IN"/>
    <x v="48"/>
    <n v="63"/>
    <x v="5"/>
  </r>
  <r>
    <x v="24"/>
    <s v="GRL"/>
    <x v="3"/>
    <s v="SP.DYN.LE00.IN"/>
    <x v="49"/>
    <n v="64"/>
    <x v="5"/>
  </r>
  <r>
    <x v="24"/>
    <s v="GRL"/>
    <x v="3"/>
    <s v="SP.DYN.LE00.IN"/>
    <x v="50"/>
    <n v="64"/>
    <x v="5"/>
  </r>
  <r>
    <x v="24"/>
    <s v="GRL"/>
    <x v="3"/>
    <s v="SP.DYN.LE00.IN"/>
    <x v="51"/>
    <n v="65"/>
    <x v="0"/>
  </r>
  <r>
    <x v="24"/>
    <s v="GRL"/>
    <x v="3"/>
    <s v="SP.DYN.LE00.IN"/>
    <x v="52"/>
    <n v="65"/>
    <x v="0"/>
  </r>
  <r>
    <x v="24"/>
    <s v="GRL"/>
    <x v="3"/>
    <s v="SP.DYN.LE00.IN"/>
    <x v="53"/>
    <n v="65"/>
    <x v="0"/>
  </r>
  <r>
    <x v="24"/>
    <s v="GRL"/>
    <x v="3"/>
    <s v="SP.DYN.LE00.IN"/>
    <x v="0"/>
    <n v="65"/>
    <x v="0"/>
  </r>
  <r>
    <x v="24"/>
    <s v="GRL"/>
    <x v="3"/>
    <s v="SP.DYN.LE00.IN"/>
    <x v="1"/>
    <n v="65"/>
    <x v="0"/>
  </r>
  <r>
    <x v="24"/>
    <s v="GRL"/>
    <x v="3"/>
    <s v="SP.DYN.LE00.IN"/>
    <x v="2"/>
    <n v="65"/>
    <x v="0"/>
  </r>
  <r>
    <x v="24"/>
    <s v="GRL"/>
    <x v="3"/>
    <s v="SP.DYN.LE00.IN"/>
    <x v="3"/>
    <n v="66"/>
    <x v="0"/>
  </r>
  <r>
    <x v="24"/>
    <s v="GRL"/>
    <x v="3"/>
    <s v="SP.DYN.LE00.IN"/>
    <x v="4"/>
    <n v="66"/>
    <x v="0"/>
  </r>
  <r>
    <x v="24"/>
    <s v="GRL"/>
    <x v="3"/>
    <s v="SP.DYN.LE00.IN"/>
    <x v="5"/>
    <n v="66"/>
    <x v="0"/>
  </r>
  <r>
    <x v="24"/>
    <s v="GRL"/>
    <x v="3"/>
    <s v="SP.DYN.LE00.IN"/>
    <x v="6"/>
    <n v="66"/>
    <x v="0"/>
  </r>
  <r>
    <x v="24"/>
    <s v="GRL"/>
    <x v="3"/>
    <s v="SP.DYN.LE00.IN"/>
    <x v="7"/>
    <n v="66"/>
    <x v="1"/>
  </r>
  <r>
    <x v="24"/>
    <s v="GRL"/>
    <x v="3"/>
    <s v="SP.DYN.LE00.IN"/>
    <x v="8"/>
    <n v="66"/>
    <x v="1"/>
  </r>
  <r>
    <x v="24"/>
    <s v="GRL"/>
    <x v="3"/>
    <s v="SP.DYN.LE00.IN"/>
    <x v="9"/>
    <n v="66"/>
    <x v="1"/>
  </r>
  <r>
    <x v="24"/>
    <s v="GRL"/>
    <x v="3"/>
    <s v="SP.DYN.LE00.IN"/>
    <x v="10"/>
    <n v="66"/>
    <x v="1"/>
  </r>
  <r>
    <x v="24"/>
    <s v="GRL"/>
    <x v="3"/>
    <s v="SP.DYN.LE00.IN"/>
    <x v="11"/>
    <n v="66"/>
    <x v="1"/>
  </r>
  <r>
    <x v="24"/>
    <s v="GRL"/>
    <x v="3"/>
    <s v="SP.DYN.LE00.IN"/>
    <x v="12"/>
    <n v="67"/>
    <x v="1"/>
  </r>
  <r>
    <x v="24"/>
    <s v="GRL"/>
    <x v="3"/>
    <s v="SP.DYN.LE00.IN"/>
    <x v="13"/>
    <n v="67"/>
    <x v="1"/>
  </r>
  <r>
    <x v="24"/>
    <s v="GRL"/>
    <x v="3"/>
    <s v="SP.DYN.LE00.IN"/>
    <x v="14"/>
    <n v="68"/>
    <x v="1"/>
  </r>
  <r>
    <x v="24"/>
    <s v="GRL"/>
    <x v="3"/>
    <s v="SP.DYN.LE00.IN"/>
    <x v="15"/>
    <n v="68"/>
    <x v="1"/>
  </r>
  <r>
    <x v="24"/>
    <s v="GRL"/>
    <x v="3"/>
    <s v="SP.DYN.LE00.IN"/>
    <x v="16"/>
    <n v="69"/>
    <x v="1"/>
  </r>
  <r>
    <x v="24"/>
    <s v="GRL"/>
    <x v="3"/>
    <s v="SP.DYN.LE00.IN"/>
    <x v="17"/>
    <n v="69"/>
    <x v="2"/>
  </r>
  <r>
    <x v="24"/>
    <s v="GRL"/>
    <x v="3"/>
    <s v="SP.DYN.LE00.IN"/>
    <x v="18"/>
    <n v="69"/>
    <x v="2"/>
  </r>
  <r>
    <x v="24"/>
    <s v="GRL"/>
    <x v="3"/>
    <s v="SP.DYN.LE00.IN"/>
    <x v="19"/>
    <n v="70"/>
    <x v="2"/>
  </r>
  <r>
    <x v="24"/>
    <s v="GRL"/>
    <x v="3"/>
    <s v="SP.DYN.LE00.IN"/>
    <x v="20"/>
    <n v="70"/>
    <x v="2"/>
  </r>
  <r>
    <x v="24"/>
    <s v="GRL"/>
    <x v="3"/>
    <s v="SP.DYN.LE00.IN"/>
    <x v="21"/>
    <n v="70"/>
    <x v="2"/>
  </r>
  <r>
    <x v="24"/>
    <s v="GRL"/>
    <x v="3"/>
    <s v="SP.DYN.LE00.IN"/>
    <x v="22"/>
    <n v="71"/>
    <x v="2"/>
  </r>
  <r>
    <x v="24"/>
    <s v="GRL"/>
    <x v="3"/>
    <s v="SP.DYN.LE00.IN"/>
    <x v="23"/>
    <n v="71"/>
    <x v="2"/>
  </r>
  <r>
    <x v="24"/>
    <s v="GRL"/>
    <x v="3"/>
    <s v="SP.DYN.LE00.IN"/>
    <x v="24"/>
    <n v="71"/>
    <x v="2"/>
  </r>
  <r>
    <x v="24"/>
    <s v="GRL"/>
    <x v="3"/>
    <s v="SP.DYN.LE00.IN"/>
    <x v="25"/>
    <n v="71"/>
    <x v="2"/>
  </r>
  <r>
    <x v="24"/>
    <s v="GRL"/>
    <x v="3"/>
    <s v="SP.DYN.LE00.IN"/>
    <x v="26"/>
    <n v="72"/>
    <x v="2"/>
  </r>
  <r>
    <x v="24"/>
    <s v="GRL"/>
    <x v="3"/>
    <s v="SP.DYN.LE00.IN"/>
    <x v="27"/>
    <n v="72"/>
    <x v="3"/>
  </r>
  <r>
    <x v="24"/>
    <s v="GRL"/>
    <x v="3"/>
    <s v="SP.DYN.LE00.IN"/>
    <x v="28"/>
    <n v="72"/>
    <x v="3"/>
  </r>
  <r>
    <x v="24"/>
    <s v="GRL"/>
    <x v="3"/>
    <s v="SP.DYN.LE00.IN"/>
    <x v="29"/>
    <n v="72"/>
    <x v="3"/>
  </r>
  <r>
    <x v="24"/>
    <s v="GRL"/>
    <x v="3"/>
    <s v="SP.DYN.LE00.IN"/>
    <x v="30"/>
    <n v="72"/>
    <x v="3"/>
  </r>
  <r>
    <x v="24"/>
    <s v="GRL"/>
    <x v="3"/>
    <s v="SP.DYN.LE00.IN"/>
    <x v="31"/>
    <n v="72"/>
    <x v="6"/>
  </r>
  <r>
    <x v="24"/>
    <s v="GRL"/>
    <x v="3"/>
    <s v="SP.DYN.LE00.IN"/>
    <x v="32"/>
    <n v="72"/>
    <x v="6"/>
  </r>
  <r>
    <x v="24"/>
    <s v="GRL"/>
    <x v="3"/>
    <s v="SP.DYN.LE00.IN"/>
    <x v="33"/>
    <n v="72"/>
    <x v="6"/>
  </r>
  <r>
    <x v="25"/>
    <s v="HRV"/>
    <x v="3"/>
    <s v="SP.DYN.LE00.IN"/>
    <x v="55"/>
    <n v="66"/>
    <x v="6"/>
  </r>
  <r>
    <x v="25"/>
    <s v="HRV"/>
    <x v="3"/>
    <s v="SP.DYN.LE00.IN"/>
    <x v="56"/>
    <n v="66"/>
    <x v="6"/>
  </r>
  <r>
    <x v="25"/>
    <s v="HRV"/>
    <x v="3"/>
    <s v="SP.DYN.LE00.IN"/>
    <x v="57"/>
    <n v="67"/>
    <x v="6"/>
  </r>
  <r>
    <x v="25"/>
    <s v="HRV"/>
    <x v="3"/>
    <s v="SP.DYN.LE00.IN"/>
    <x v="58"/>
    <n v="67"/>
    <x v="6"/>
  </r>
  <r>
    <x v="25"/>
    <s v="HRV"/>
    <x v="3"/>
    <s v="SP.DYN.LE00.IN"/>
    <x v="59"/>
    <n v="68"/>
    <x v="6"/>
  </r>
  <r>
    <x v="25"/>
    <s v="HRV"/>
    <x v="3"/>
    <s v="SP.DYN.LE00.IN"/>
    <x v="60"/>
    <n v="68"/>
    <x v="6"/>
  </r>
  <r>
    <x v="25"/>
    <s v="HRV"/>
    <x v="3"/>
    <s v="SP.DYN.LE00.IN"/>
    <x v="61"/>
    <n v="69"/>
    <x v="6"/>
  </r>
  <r>
    <x v="25"/>
    <s v="HRV"/>
    <x v="3"/>
    <s v="SP.DYN.LE00.IN"/>
    <x v="62"/>
    <n v="69"/>
    <x v="4"/>
  </r>
  <r>
    <x v="25"/>
    <s v="HRV"/>
    <x v="3"/>
    <s v="SP.DYN.LE00.IN"/>
    <x v="63"/>
    <n v="69"/>
    <x v="4"/>
  </r>
  <r>
    <x v="25"/>
    <s v="HRV"/>
    <x v="3"/>
    <s v="SP.DYN.LE00.IN"/>
    <x v="64"/>
    <n v="69"/>
    <x v="4"/>
  </r>
  <r>
    <x v="25"/>
    <s v="HRV"/>
    <x v="3"/>
    <s v="SP.DYN.LE00.IN"/>
    <x v="34"/>
    <n v="69"/>
    <x v="4"/>
  </r>
  <r>
    <x v="25"/>
    <s v="HRV"/>
    <x v="3"/>
    <s v="SP.DYN.LE00.IN"/>
    <x v="35"/>
    <n v="69"/>
    <x v="4"/>
  </r>
  <r>
    <x v="25"/>
    <s v="HRV"/>
    <x v="3"/>
    <s v="SP.DYN.LE00.IN"/>
    <x v="36"/>
    <n v="70"/>
    <x v="4"/>
  </r>
  <r>
    <x v="25"/>
    <s v="HRV"/>
    <x v="3"/>
    <s v="SP.DYN.LE00.IN"/>
    <x v="37"/>
    <n v="70"/>
    <x v="4"/>
  </r>
  <r>
    <x v="25"/>
    <s v="HRV"/>
    <x v="3"/>
    <s v="SP.DYN.LE00.IN"/>
    <x v="38"/>
    <n v="70"/>
    <x v="4"/>
  </r>
  <r>
    <x v="25"/>
    <s v="HRV"/>
    <x v="3"/>
    <s v="SP.DYN.LE00.IN"/>
    <x v="39"/>
    <n v="70"/>
    <x v="4"/>
  </r>
  <r>
    <x v="25"/>
    <s v="HRV"/>
    <x v="3"/>
    <s v="SP.DYN.LE00.IN"/>
    <x v="40"/>
    <n v="70"/>
    <x v="4"/>
  </r>
  <r>
    <x v="25"/>
    <s v="HRV"/>
    <x v="3"/>
    <s v="SP.DYN.LE00.IN"/>
    <x v="41"/>
    <n v="71"/>
    <x v="5"/>
  </r>
  <r>
    <x v="25"/>
    <s v="HRV"/>
    <x v="3"/>
    <s v="SP.DYN.LE00.IN"/>
    <x v="42"/>
    <n v="71"/>
    <x v="5"/>
  </r>
  <r>
    <x v="25"/>
    <s v="HRV"/>
    <x v="3"/>
    <s v="SP.DYN.LE00.IN"/>
    <x v="43"/>
    <n v="70"/>
    <x v="5"/>
  </r>
  <r>
    <x v="25"/>
    <s v="HRV"/>
    <x v="3"/>
    <s v="SP.DYN.LE00.IN"/>
    <x v="44"/>
    <n v="70"/>
    <x v="5"/>
  </r>
  <r>
    <x v="25"/>
    <s v="HRV"/>
    <x v="3"/>
    <s v="SP.DYN.LE00.IN"/>
    <x v="45"/>
    <n v="70"/>
    <x v="5"/>
  </r>
  <r>
    <x v="25"/>
    <s v="HRV"/>
    <x v="3"/>
    <s v="SP.DYN.LE00.IN"/>
    <x v="46"/>
    <n v="70"/>
    <x v="5"/>
  </r>
  <r>
    <x v="25"/>
    <s v="HRV"/>
    <x v="3"/>
    <s v="SP.DYN.LE00.IN"/>
    <x v="47"/>
    <n v="70"/>
    <x v="5"/>
  </r>
  <r>
    <x v="25"/>
    <s v="HRV"/>
    <x v="3"/>
    <s v="SP.DYN.LE00.IN"/>
    <x v="48"/>
    <n v="70"/>
    <x v="5"/>
  </r>
  <r>
    <x v="25"/>
    <s v="HRV"/>
    <x v="3"/>
    <s v="SP.DYN.LE00.IN"/>
    <x v="49"/>
    <n v="71"/>
    <x v="5"/>
  </r>
  <r>
    <x v="25"/>
    <s v="HRV"/>
    <x v="3"/>
    <s v="SP.DYN.LE00.IN"/>
    <x v="50"/>
    <n v="71"/>
    <x v="5"/>
  </r>
  <r>
    <x v="25"/>
    <s v="HRV"/>
    <x v="3"/>
    <s v="SP.DYN.LE00.IN"/>
    <x v="51"/>
    <n v="71"/>
    <x v="0"/>
  </r>
  <r>
    <x v="25"/>
    <s v="HRV"/>
    <x v="3"/>
    <s v="SP.DYN.LE00.IN"/>
    <x v="52"/>
    <n v="71"/>
    <x v="0"/>
  </r>
  <r>
    <x v="25"/>
    <s v="HRV"/>
    <x v="3"/>
    <s v="SP.DYN.LE00.IN"/>
    <x v="53"/>
    <n v="72"/>
    <x v="0"/>
  </r>
  <r>
    <x v="25"/>
    <s v="HRV"/>
    <x v="3"/>
    <s v="SP.DYN.LE00.IN"/>
    <x v="0"/>
    <n v="72"/>
    <x v="0"/>
  </r>
  <r>
    <x v="25"/>
    <s v="HRV"/>
    <x v="3"/>
    <s v="SP.DYN.LE00.IN"/>
    <x v="1"/>
    <n v="72"/>
    <x v="0"/>
  </r>
  <r>
    <x v="25"/>
    <s v="HRV"/>
    <x v="3"/>
    <s v="SP.DYN.LE00.IN"/>
    <x v="2"/>
    <n v="71"/>
    <x v="0"/>
  </r>
  <r>
    <x v="25"/>
    <s v="HRV"/>
    <x v="3"/>
    <s v="SP.DYN.LE00.IN"/>
    <x v="3"/>
    <n v="72"/>
    <x v="0"/>
  </r>
  <r>
    <x v="25"/>
    <s v="HRV"/>
    <x v="3"/>
    <s v="SP.DYN.LE00.IN"/>
    <x v="4"/>
    <n v="72"/>
    <x v="0"/>
  </r>
  <r>
    <x v="25"/>
    <s v="HRV"/>
    <x v="3"/>
    <s v="SP.DYN.LE00.IN"/>
    <x v="5"/>
    <n v="72"/>
    <x v="0"/>
  </r>
  <r>
    <x v="25"/>
    <s v="HRV"/>
    <x v="3"/>
    <s v="SP.DYN.LE00.IN"/>
    <x v="6"/>
    <n v="72"/>
    <x v="0"/>
  </r>
  <r>
    <x v="25"/>
    <s v="HRV"/>
    <x v="3"/>
    <s v="SP.DYN.LE00.IN"/>
    <x v="7"/>
    <n v="72"/>
    <x v="1"/>
  </r>
  <r>
    <x v="25"/>
    <s v="HRV"/>
    <x v="3"/>
    <s v="SP.DYN.LE00.IN"/>
    <x v="8"/>
    <n v="72"/>
    <x v="1"/>
  </r>
  <r>
    <x v="25"/>
    <s v="HRV"/>
    <x v="3"/>
    <s v="SP.DYN.LE00.IN"/>
    <x v="9"/>
    <n v="73"/>
    <x v="1"/>
  </r>
  <r>
    <x v="25"/>
    <s v="HRV"/>
    <x v="3"/>
    <s v="SP.DYN.LE00.IN"/>
    <x v="10"/>
    <n v="73"/>
    <x v="1"/>
  </r>
  <r>
    <x v="25"/>
    <s v="HRV"/>
    <x v="3"/>
    <s v="SP.DYN.LE00.IN"/>
    <x v="11"/>
    <n v="75"/>
    <x v="1"/>
  </r>
  <r>
    <x v="25"/>
    <s v="HRV"/>
    <x v="3"/>
    <s v="SP.DYN.LE00.IN"/>
    <x v="12"/>
    <n v="75"/>
    <x v="1"/>
  </r>
  <r>
    <x v="25"/>
    <s v="HRV"/>
    <x v="3"/>
    <s v="SP.DYN.LE00.IN"/>
    <x v="13"/>
    <n v="75"/>
    <x v="1"/>
  </r>
  <r>
    <x v="25"/>
    <s v="HRV"/>
    <x v="3"/>
    <s v="SP.DYN.LE00.IN"/>
    <x v="14"/>
    <n v="76"/>
    <x v="1"/>
  </r>
  <r>
    <x v="25"/>
    <s v="HRV"/>
    <x v="3"/>
    <s v="SP.DYN.LE00.IN"/>
    <x v="15"/>
    <n v="75"/>
    <x v="1"/>
  </r>
  <r>
    <x v="25"/>
    <s v="HRV"/>
    <x v="3"/>
    <s v="SP.DYN.LE00.IN"/>
    <x v="16"/>
    <n v="76"/>
    <x v="1"/>
  </r>
  <r>
    <x v="25"/>
    <s v="HRV"/>
    <x v="3"/>
    <s v="SP.DYN.LE00.IN"/>
    <x v="17"/>
    <n v="76"/>
    <x v="2"/>
  </r>
  <r>
    <x v="25"/>
    <s v="HRV"/>
    <x v="3"/>
    <s v="SP.DYN.LE00.IN"/>
    <x v="18"/>
    <n v="76"/>
    <x v="2"/>
  </r>
  <r>
    <x v="25"/>
    <s v="HRV"/>
    <x v="3"/>
    <s v="SP.DYN.LE00.IN"/>
    <x v="19"/>
    <n v="76"/>
    <x v="2"/>
  </r>
  <r>
    <x v="25"/>
    <s v="HRV"/>
    <x v="3"/>
    <s v="SP.DYN.LE00.IN"/>
    <x v="20"/>
    <n v="76"/>
    <x v="2"/>
  </r>
  <r>
    <x v="25"/>
    <s v="HRV"/>
    <x v="3"/>
    <s v="SP.DYN.LE00.IN"/>
    <x v="21"/>
    <n v="77"/>
    <x v="2"/>
  </r>
  <r>
    <x v="25"/>
    <s v="HRV"/>
    <x v="3"/>
    <s v="SP.DYN.LE00.IN"/>
    <x v="22"/>
    <n v="77"/>
    <x v="2"/>
  </r>
  <r>
    <x v="25"/>
    <s v="HRV"/>
    <x v="3"/>
    <s v="SP.DYN.LE00.IN"/>
    <x v="23"/>
    <n v="78"/>
    <x v="2"/>
  </r>
  <r>
    <x v="25"/>
    <s v="HRV"/>
    <x v="3"/>
    <s v="SP.DYN.LE00.IN"/>
    <x v="24"/>
    <n v="78"/>
    <x v="2"/>
  </r>
  <r>
    <x v="25"/>
    <s v="HRV"/>
    <x v="3"/>
    <s v="SP.DYN.LE00.IN"/>
    <x v="25"/>
    <n v="77"/>
    <x v="2"/>
  </r>
  <r>
    <x v="25"/>
    <s v="HRV"/>
    <x v="3"/>
    <s v="SP.DYN.LE00.IN"/>
    <x v="26"/>
    <n v="78"/>
    <x v="2"/>
  </r>
  <r>
    <x v="25"/>
    <s v="HRV"/>
    <x v="3"/>
    <s v="SP.DYN.LE00.IN"/>
    <x v="27"/>
    <n v="78"/>
    <x v="3"/>
  </r>
  <r>
    <x v="25"/>
    <s v="HRV"/>
    <x v="3"/>
    <s v="SP.DYN.LE00.IN"/>
    <x v="28"/>
    <n v="78"/>
    <x v="3"/>
  </r>
  <r>
    <x v="25"/>
    <s v="HRV"/>
    <x v="3"/>
    <s v="SP.DYN.LE00.IN"/>
    <x v="29"/>
    <n v="78"/>
    <x v="3"/>
  </r>
  <r>
    <x v="25"/>
    <s v="HRV"/>
    <x v="3"/>
    <s v="SP.DYN.LE00.IN"/>
    <x v="30"/>
    <n v="78"/>
    <x v="3"/>
  </r>
  <r>
    <x v="25"/>
    <s v="HRV"/>
    <x v="3"/>
    <s v="SP.DYN.LE00.IN"/>
    <x v="31"/>
    <n v="76"/>
    <x v="6"/>
  </r>
  <r>
    <x v="25"/>
    <s v="HRV"/>
    <x v="3"/>
    <s v="SP.DYN.LE00.IN"/>
    <x v="32"/>
    <n v="78"/>
    <x v="6"/>
  </r>
  <r>
    <x v="25"/>
    <s v="HRV"/>
    <x v="3"/>
    <s v="SP.DYN.LE00.IN"/>
    <x v="33"/>
    <n v="78"/>
    <x v="6"/>
  </r>
  <r>
    <x v="26"/>
    <s v="HUN"/>
    <x v="3"/>
    <s v="SP.DYN.LE00.IN"/>
    <x v="55"/>
    <n v="68"/>
    <x v="6"/>
  </r>
  <r>
    <x v="26"/>
    <s v="HUN"/>
    <x v="3"/>
    <s v="SP.DYN.LE00.IN"/>
    <x v="56"/>
    <n v="69"/>
    <x v="6"/>
  </r>
  <r>
    <x v="26"/>
    <s v="HUN"/>
    <x v="3"/>
    <s v="SP.DYN.LE00.IN"/>
    <x v="57"/>
    <n v="68"/>
    <x v="6"/>
  </r>
  <r>
    <x v="26"/>
    <s v="HUN"/>
    <x v="3"/>
    <s v="SP.DYN.LE00.IN"/>
    <x v="58"/>
    <n v="69"/>
    <x v="6"/>
  </r>
  <r>
    <x v="26"/>
    <s v="HUN"/>
    <x v="3"/>
    <s v="SP.DYN.LE00.IN"/>
    <x v="59"/>
    <n v="69"/>
    <x v="6"/>
  </r>
  <r>
    <x v="26"/>
    <s v="HUN"/>
    <x v="3"/>
    <s v="SP.DYN.LE00.IN"/>
    <x v="60"/>
    <n v="69"/>
    <x v="6"/>
  </r>
  <r>
    <x v="26"/>
    <s v="HUN"/>
    <x v="3"/>
    <s v="SP.DYN.LE00.IN"/>
    <x v="61"/>
    <n v="70"/>
    <x v="6"/>
  </r>
  <r>
    <x v="26"/>
    <s v="HUN"/>
    <x v="3"/>
    <s v="SP.DYN.LE00.IN"/>
    <x v="62"/>
    <n v="69"/>
    <x v="4"/>
  </r>
  <r>
    <x v="26"/>
    <s v="HUN"/>
    <x v="3"/>
    <s v="SP.DYN.LE00.IN"/>
    <x v="63"/>
    <n v="69"/>
    <x v="4"/>
  </r>
  <r>
    <x v="26"/>
    <s v="HUN"/>
    <x v="3"/>
    <s v="SP.DYN.LE00.IN"/>
    <x v="64"/>
    <n v="69"/>
    <x v="4"/>
  </r>
  <r>
    <x v="26"/>
    <s v="HUN"/>
    <x v="3"/>
    <s v="SP.DYN.LE00.IN"/>
    <x v="34"/>
    <n v="69"/>
    <x v="4"/>
  </r>
  <r>
    <x v="26"/>
    <s v="HUN"/>
    <x v="3"/>
    <s v="SP.DYN.LE00.IN"/>
    <x v="35"/>
    <n v="69"/>
    <x v="4"/>
  </r>
  <r>
    <x v="26"/>
    <s v="HUN"/>
    <x v="3"/>
    <s v="SP.DYN.LE00.IN"/>
    <x v="36"/>
    <n v="70"/>
    <x v="4"/>
  </r>
  <r>
    <x v="26"/>
    <s v="HUN"/>
    <x v="3"/>
    <s v="SP.DYN.LE00.IN"/>
    <x v="37"/>
    <n v="70"/>
    <x v="4"/>
  </r>
  <r>
    <x v="26"/>
    <s v="HUN"/>
    <x v="3"/>
    <s v="SP.DYN.LE00.IN"/>
    <x v="38"/>
    <n v="69"/>
    <x v="4"/>
  </r>
  <r>
    <x v="26"/>
    <s v="HUN"/>
    <x v="3"/>
    <s v="SP.DYN.LE00.IN"/>
    <x v="39"/>
    <n v="69"/>
    <x v="4"/>
  </r>
  <r>
    <x v="26"/>
    <s v="HUN"/>
    <x v="3"/>
    <s v="SP.DYN.LE00.IN"/>
    <x v="40"/>
    <n v="70"/>
    <x v="4"/>
  </r>
  <r>
    <x v="26"/>
    <s v="HUN"/>
    <x v="3"/>
    <s v="SP.DYN.LE00.IN"/>
    <x v="41"/>
    <n v="70"/>
    <x v="5"/>
  </r>
  <r>
    <x v="26"/>
    <s v="HUN"/>
    <x v="3"/>
    <s v="SP.DYN.LE00.IN"/>
    <x v="42"/>
    <n v="69"/>
    <x v="5"/>
  </r>
  <r>
    <x v="26"/>
    <s v="HUN"/>
    <x v="3"/>
    <s v="SP.DYN.LE00.IN"/>
    <x v="43"/>
    <n v="70"/>
    <x v="5"/>
  </r>
  <r>
    <x v="26"/>
    <s v="HUN"/>
    <x v="3"/>
    <s v="SP.DYN.LE00.IN"/>
    <x v="44"/>
    <n v="69"/>
    <x v="5"/>
  </r>
  <r>
    <x v="26"/>
    <s v="HUN"/>
    <x v="3"/>
    <s v="SP.DYN.LE00.IN"/>
    <x v="45"/>
    <n v="69"/>
    <x v="5"/>
  </r>
  <r>
    <x v="26"/>
    <s v="HUN"/>
    <x v="3"/>
    <s v="SP.DYN.LE00.IN"/>
    <x v="46"/>
    <n v="69"/>
    <x v="5"/>
  </r>
  <r>
    <x v="26"/>
    <s v="HUN"/>
    <x v="3"/>
    <s v="SP.DYN.LE00.IN"/>
    <x v="47"/>
    <n v="69"/>
    <x v="5"/>
  </r>
  <r>
    <x v="26"/>
    <s v="HUN"/>
    <x v="3"/>
    <s v="SP.DYN.LE00.IN"/>
    <x v="48"/>
    <n v="69"/>
    <x v="5"/>
  </r>
  <r>
    <x v="26"/>
    <s v="HUN"/>
    <x v="3"/>
    <s v="SP.DYN.LE00.IN"/>
    <x v="49"/>
    <n v="69"/>
    <x v="5"/>
  </r>
  <r>
    <x v="26"/>
    <s v="HUN"/>
    <x v="3"/>
    <s v="SP.DYN.LE00.IN"/>
    <x v="50"/>
    <n v="69"/>
    <x v="5"/>
  </r>
  <r>
    <x v="26"/>
    <s v="HUN"/>
    <x v="3"/>
    <s v="SP.DYN.LE00.IN"/>
    <x v="51"/>
    <n v="70"/>
    <x v="0"/>
  </r>
  <r>
    <x v="26"/>
    <s v="HUN"/>
    <x v="3"/>
    <s v="SP.DYN.LE00.IN"/>
    <x v="52"/>
    <n v="70"/>
    <x v="0"/>
  </r>
  <r>
    <x v="26"/>
    <s v="HUN"/>
    <x v="3"/>
    <s v="SP.DYN.LE00.IN"/>
    <x v="53"/>
    <n v="69"/>
    <x v="0"/>
  </r>
  <r>
    <x v="26"/>
    <s v="HUN"/>
    <x v="3"/>
    <s v="SP.DYN.LE00.IN"/>
    <x v="0"/>
    <n v="69"/>
    <x v="0"/>
  </r>
  <r>
    <x v="26"/>
    <s v="HUN"/>
    <x v="3"/>
    <s v="SP.DYN.LE00.IN"/>
    <x v="1"/>
    <n v="69"/>
    <x v="0"/>
  </r>
  <r>
    <x v="26"/>
    <s v="HUN"/>
    <x v="3"/>
    <s v="SP.DYN.LE00.IN"/>
    <x v="2"/>
    <n v="69"/>
    <x v="0"/>
  </r>
  <r>
    <x v="26"/>
    <s v="HUN"/>
    <x v="3"/>
    <s v="SP.DYN.LE00.IN"/>
    <x v="3"/>
    <n v="69"/>
    <x v="0"/>
  </r>
  <r>
    <x v="26"/>
    <s v="HUN"/>
    <x v="3"/>
    <s v="SP.DYN.LE00.IN"/>
    <x v="4"/>
    <n v="69"/>
    <x v="0"/>
  </r>
  <r>
    <x v="26"/>
    <s v="HUN"/>
    <x v="3"/>
    <s v="SP.DYN.LE00.IN"/>
    <x v="5"/>
    <n v="70"/>
    <x v="0"/>
  </r>
  <r>
    <x v="26"/>
    <s v="HUN"/>
    <x v="3"/>
    <s v="SP.DYN.LE00.IN"/>
    <x v="6"/>
    <n v="70"/>
    <x v="0"/>
  </r>
  <r>
    <x v="26"/>
    <s v="HUN"/>
    <x v="3"/>
    <s v="SP.DYN.LE00.IN"/>
    <x v="7"/>
    <n v="71"/>
    <x v="1"/>
  </r>
  <r>
    <x v="26"/>
    <s v="HUN"/>
    <x v="3"/>
    <s v="SP.DYN.LE00.IN"/>
    <x v="8"/>
    <n v="71"/>
    <x v="1"/>
  </r>
  <r>
    <x v="26"/>
    <s v="HUN"/>
    <x v="3"/>
    <s v="SP.DYN.LE00.IN"/>
    <x v="9"/>
    <n v="71"/>
    <x v="1"/>
  </r>
  <r>
    <x v="26"/>
    <s v="HUN"/>
    <x v="3"/>
    <s v="SP.DYN.LE00.IN"/>
    <x v="10"/>
    <n v="71"/>
    <x v="1"/>
  </r>
  <r>
    <x v="26"/>
    <s v="HUN"/>
    <x v="3"/>
    <s v="SP.DYN.LE00.IN"/>
    <x v="11"/>
    <n v="72"/>
    <x v="1"/>
  </r>
  <r>
    <x v="26"/>
    <s v="HUN"/>
    <x v="3"/>
    <s v="SP.DYN.LE00.IN"/>
    <x v="12"/>
    <n v="72"/>
    <x v="1"/>
  </r>
  <r>
    <x v="26"/>
    <s v="HUN"/>
    <x v="3"/>
    <s v="SP.DYN.LE00.IN"/>
    <x v="13"/>
    <n v="72"/>
    <x v="1"/>
  </r>
  <r>
    <x v="26"/>
    <s v="HUN"/>
    <x v="3"/>
    <s v="SP.DYN.LE00.IN"/>
    <x v="14"/>
    <n v="73"/>
    <x v="1"/>
  </r>
  <r>
    <x v="26"/>
    <s v="HUN"/>
    <x v="3"/>
    <s v="SP.DYN.LE00.IN"/>
    <x v="15"/>
    <n v="73"/>
    <x v="1"/>
  </r>
  <r>
    <x v="26"/>
    <s v="HUN"/>
    <x v="3"/>
    <s v="SP.DYN.LE00.IN"/>
    <x v="16"/>
    <n v="73"/>
    <x v="1"/>
  </r>
  <r>
    <x v="26"/>
    <s v="HUN"/>
    <x v="3"/>
    <s v="SP.DYN.LE00.IN"/>
    <x v="17"/>
    <n v="73"/>
    <x v="2"/>
  </r>
  <r>
    <x v="26"/>
    <s v="HUN"/>
    <x v="3"/>
    <s v="SP.DYN.LE00.IN"/>
    <x v="18"/>
    <n v="74"/>
    <x v="2"/>
  </r>
  <r>
    <x v="26"/>
    <s v="HUN"/>
    <x v="3"/>
    <s v="SP.DYN.LE00.IN"/>
    <x v="19"/>
    <n v="74"/>
    <x v="2"/>
  </r>
  <r>
    <x v="26"/>
    <s v="HUN"/>
    <x v="3"/>
    <s v="SP.DYN.LE00.IN"/>
    <x v="20"/>
    <n v="74"/>
    <x v="2"/>
  </r>
  <r>
    <x v="26"/>
    <s v="HUN"/>
    <x v="3"/>
    <s v="SP.DYN.LE00.IN"/>
    <x v="21"/>
    <n v="75"/>
    <x v="2"/>
  </r>
  <r>
    <x v="26"/>
    <s v="HUN"/>
    <x v="3"/>
    <s v="SP.DYN.LE00.IN"/>
    <x v="22"/>
    <n v="75"/>
    <x v="2"/>
  </r>
  <r>
    <x v="26"/>
    <s v="HUN"/>
    <x v="3"/>
    <s v="SP.DYN.LE00.IN"/>
    <x v="23"/>
    <n v="76"/>
    <x v="2"/>
  </r>
  <r>
    <x v="26"/>
    <s v="HUN"/>
    <x v="3"/>
    <s v="SP.DYN.LE00.IN"/>
    <x v="24"/>
    <n v="76"/>
    <x v="2"/>
  </r>
  <r>
    <x v="26"/>
    <s v="HUN"/>
    <x v="3"/>
    <s v="SP.DYN.LE00.IN"/>
    <x v="25"/>
    <n v="76"/>
    <x v="2"/>
  </r>
  <r>
    <x v="26"/>
    <s v="HUN"/>
    <x v="3"/>
    <s v="SP.DYN.LE00.IN"/>
    <x v="26"/>
    <n v="76"/>
    <x v="2"/>
  </r>
  <r>
    <x v="26"/>
    <s v="HUN"/>
    <x v="3"/>
    <s v="SP.DYN.LE00.IN"/>
    <x v="27"/>
    <n v="76"/>
    <x v="3"/>
  </r>
  <r>
    <x v="26"/>
    <s v="HUN"/>
    <x v="3"/>
    <s v="SP.DYN.LE00.IN"/>
    <x v="28"/>
    <n v="76"/>
    <x v="3"/>
  </r>
  <r>
    <x v="26"/>
    <s v="HUN"/>
    <x v="3"/>
    <s v="SP.DYN.LE00.IN"/>
    <x v="29"/>
    <n v="76"/>
    <x v="3"/>
  </r>
  <r>
    <x v="26"/>
    <s v="HUN"/>
    <x v="3"/>
    <s v="SP.DYN.LE00.IN"/>
    <x v="30"/>
    <n v="75"/>
    <x v="3"/>
  </r>
  <r>
    <x v="26"/>
    <s v="HUN"/>
    <x v="3"/>
    <s v="SP.DYN.LE00.IN"/>
    <x v="31"/>
    <n v="74"/>
    <x v="6"/>
  </r>
  <r>
    <x v="26"/>
    <s v="HUN"/>
    <x v="3"/>
    <s v="SP.DYN.LE00.IN"/>
    <x v="32"/>
    <n v="76"/>
    <x v="6"/>
  </r>
  <r>
    <x v="26"/>
    <s v="HUN"/>
    <x v="3"/>
    <s v="SP.DYN.LE00.IN"/>
    <x v="33"/>
    <n v="77"/>
    <x v="6"/>
  </r>
  <r>
    <x v="27"/>
    <s v="IMN"/>
    <x v="3"/>
    <s v="SP.DYN.LE00.IN"/>
    <x v="55"/>
    <n v="65"/>
    <x v="6"/>
  </r>
  <r>
    <x v="27"/>
    <s v="IMN"/>
    <x v="3"/>
    <s v="SP.DYN.LE00.IN"/>
    <x v="56"/>
    <n v="64"/>
    <x v="6"/>
  </r>
  <r>
    <x v="27"/>
    <s v="IMN"/>
    <x v="3"/>
    <s v="SP.DYN.LE00.IN"/>
    <x v="57"/>
    <n v="64"/>
    <x v="6"/>
  </r>
  <r>
    <x v="27"/>
    <s v="IMN"/>
    <x v="3"/>
    <s v="SP.DYN.LE00.IN"/>
    <x v="58"/>
    <n v="64"/>
    <x v="6"/>
  </r>
  <r>
    <x v="27"/>
    <s v="IMN"/>
    <x v="3"/>
    <s v="SP.DYN.LE00.IN"/>
    <x v="59"/>
    <n v="65"/>
    <x v="6"/>
  </r>
  <r>
    <x v="27"/>
    <s v="IMN"/>
    <x v="3"/>
    <s v="SP.DYN.LE00.IN"/>
    <x v="60"/>
    <n v="65"/>
    <x v="6"/>
  </r>
  <r>
    <x v="27"/>
    <s v="IMN"/>
    <x v="3"/>
    <s v="SP.DYN.LE00.IN"/>
    <x v="61"/>
    <n v="65"/>
    <x v="6"/>
  </r>
  <r>
    <x v="27"/>
    <s v="IMN"/>
    <x v="3"/>
    <s v="SP.DYN.LE00.IN"/>
    <x v="62"/>
    <n v="65"/>
    <x v="4"/>
  </r>
  <r>
    <x v="27"/>
    <s v="IMN"/>
    <x v="3"/>
    <s v="SP.DYN.LE00.IN"/>
    <x v="63"/>
    <n v="66"/>
    <x v="4"/>
  </r>
  <r>
    <x v="27"/>
    <s v="IMN"/>
    <x v="3"/>
    <s v="SP.DYN.LE00.IN"/>
    <x v="64"/>
    <n v="66"/>
    <x v="4"/>
  </r>
  <r>
    <x v="27"/>
    <s v="IMN"/>
    <x v="3"/>
    <s v="SP.DYN.LE00.IN"/>
    <x v="34"/>
    <n v="66"/>
    <x v="4"/>
  </r>
  <r>
    <x v="27"/>
    <s v="IMN"/>
    <x v="3"/>
    <s v="SP.DYN.LE00.IN"/>
    <x v="35"/>
    <n v="66"/>
    <x v="4"/>
  </r>
  <r>
    <x v="27"/>
    <s v="IMN"/>
    <x v="3"/>
    <s v="SP.DYN.LE00.IN"/>
    <x v="36"/>
    <n v="66"/>
    <x v="4"/>
  </r>
  <r>
    <x v="27"/>
    <s v="IMN"/>
    <x v="3"/>
    <s v="SP.DYN.LE00.IN"/>
    <x v="37"/>
    <n v="66"/>
    <x v="4"/>
  </r>
  <r>
    <x v="27"/>
    <s v="IMN"/>
    <x v="3"/>
    <s v="SP.DYN.LE00.IN"/>
    <x v="38"/>
    <n v="66"/>
    <x v="4"/>
  </r>
  <r>
    <x v="27"/>
    <s v="IMN"/>
    <x v="3"/>
    <s v="SP.DYN.LE00.IN"/>
    <x v="39"/>
    <n v="67"/>
    <x v="4"/>
  </r>
  <r>
    <x v="27"/>
    <s v="IMN"/>
    <x v="3"/>
    <s v="SP.DYN.LE00.IN"/>
    <x v="40"/>
    <n v="67"/>
    <x v="4"/>
  </r>
  <r>
    <x v="27"/>
    <s v="IMN"/>
    <x v="3"/>
    <s v="SP.DYN.LE00.IN"/>
    <x v="41"/>
    <n v="67"/>
    <x v="5"/>
  </r>
  <r>
    <x v="27"/>
    <s v="IMN"/>
    <x v="3"/>
    <s v="SP.DYN.LE00.IN"/>
    <x v="42"/>
    <n v="68"/>
    <x v="5"/>
  </r>
  <r>
    <x v="27"/>
    <s v="IMN"/>
    <x v="3"/>
    <s v="SP.DYN.LE00.IN"/>
    <x v="43"/>
    <n v="68"/>
    <x v="5"/>
  </r>
  <r>
    <x v="27"/>
    <s v="IMN"/>
    <x v="3"/>
    <s v="SP.DYN.LE00.IN"/>
    <x v="44"/>
    <n v="68"/>
    <x v="5"/>
  </r>
  <r>
    <x v="27"/>
    <s v="IMN"/>
    <x v="3"/>
    <s v="SP.DYN.LE00.IN"/>
    <x v="45"/>
    <n v="69"/>
    <x v="5"/>
  </r>
  <r>
    <x v="27"/>
    <s v="IMN"/>
    <x v="3"/>
    <s v="SP.DYN.LE00.IN"/>
    <x v="46"/>
    <n v="69"/>
    <x v="5"/>
  </r>
  <r>
    <x v="27"/>
    <s v="IMN"/>
    <x v="3"/>
    <s v="SP.DYN.LE00.IN"/>
    <x v="47"/>
    <n v="69"/>
    <x v="5"/>
  </r>
  <r>
    <x v="27"/>
    <s v="IMN"/>
    <x v="3"/>
    <s v="SP.DYN.LE00.IN"/>
    <x v="48"/>
    <n v="70"/>
    <x v="5"/>
  </r>
  <r>
    <x v="27"/>
    <s v="IMN"/>
    <x v="3"/>
    <s v="SP.DYN.LE00.IN"/>
    <x v="49"/>
    <n v="70"/>
    <x v="5"/>
  </r>
  <r>
    <x v="27"/>
    <s v="IMN"/>
    <x v="3"/>
    <s v="SP.DYN.LE00.IN"/>
    <x v="50"/>
    <n v="70"/>
    <x v="5"/>
  </r>
  <r>
    <x v="27"/>
    <s v="IMN"/>
    <x v="3"/>
    <s v="SP.DYN.LE00.IN"/>
    <x v="51"/>
    <n v="71"/>
    <x v="0"/>
  </r>
  <r>
    <x v="27"/>
    <s v="IMN"/>
    <x v="3"/>
    <s v="SP.DYN.LE00.IN"/>
    <x v="52"/>
    <n v="71"/>
    <x v="0"/>
  </r>
  <r>
    <x v="27"/>
    <s v="IMN"/>
    <x v="3"/>
    <s v="SP.DYN.LE00.IN"/>
    <x v="53"/>
    <n v="71"/>
    <x v="0"/>
  </r>
  <r>
    <x v="27"/>
    <s v="IMN"/>
    <x v="3"/>
    <s v="SP.DYN.LE00.IN"/>
    <x v="0"/>
    <n v="72"/>
    <x v="0"/>
  </r>
  <r>
    <x v="27"/>
    <s v="IMN"/>
    <x v="3"/>
    <s v="SP.DYN.LE00.IN"/>
    <x v="1"/>
    <n v="72"/>
    <x v="0"/>
  </r>
  <r>
    <x v="27"/>
    <s v="IMN"/>
    <x v="3"/>
    <s v="SP.DYN.LE00.IN"/>
    <x v="2"/>
    <n v="73"/>
    <x v="0"/>
  </r>
  <r>
    <x v="27"/>
    <s v="IMN"/>
    <x v="3"/>
    <s v="SP.DYN.LE00.IN"/>
    <x v="3"/>
    <n v="73"/>
    <x v="0"/>
  </r>
  <r>
    <x v="27"/>
    <s v="IMN"/>
    <x v="3"/>
    <s v="SP.DYN.LE00.IN"/>
    <x v="4"/>
    <n v="73"/>
    <x v="0"/>
  </r>
  <r>
    <x v="27"/>
    <s v="IMN"/>
    <x v="3"/>
    <s v="SP.DYN.LE00.IN"/>
    <x v="5"/>
    <n v="73"/>
    <x v="0"/>
  </r>
  <r>
    <x v="27"/>
    <s v="IMN"/>
    <x v="3"/>
    <s v="SP.DYN.LE00.IN"/>
    <x v="6"/>
    <n v="74"/>
    <x v="0"/>
  </r>
  <r>
    <x v="27"/>
    <s v="IMN"/>
    <x v="3"/>
    <s v="SP.DYN.LE00.IN"/>
    <x v="7"/>
    <n v="74"/>
    <x v="1"/>
  </r>
  <r>
    <x v="27"/>
    <s v="IMN"/>
    <x v="3"/>
    <s v="SP.DYN.LE00.IN"/>
    <x v="8"/>
    <n v="74"/>
    <x v="1"/>
  </r>
  <r>
    <x v="27"/>
    <s v="IMN"/>
    <x v="3"/>
    <s v="SP.DYN.LE00.IN"/>
    <x v="9"/>
    <n v="74"/>
    <x v="1"/>
  </r>
  <r>
    <x v="27"/>
    <s v="IMN"/>
    <x v="3"/>
    <s v="SP.DYN.LE00.IN"/>
    <x v="10"/>
    <n v="75"/>
    <x v="1"/>
  </r>
  <r>
    <x v="27"/>
    <s v="IMN"/>
    <x v="3"/>
    <s v="SP.DYN.LE00.IN"/>
    <x v="11"/>
    <n v="75"/>
    <x v="1"/>
  </r>
  <r>
    <x v="27"/>
    <s v="IMN"/>
    <x v="3"/>
    <s v="SP.DYN.LE00.IN"/>
    <x v="12"/>
    <n v="76"/>
    <x v="1"/>
  </r>
  <r>
    <x v="27"/>
    <s v="IMN"/>
    <x v="3"/>
    <s v="SP.DYN.LE00.IN"/>
    <x v="13"/>
    <n v="76"/>
    <x v="1"/>
  </r>
  <r>
    <x v="27"/>
    <s v="IMN"/>
    <x v="3"/>
    <s v="SP.DYN.LE00.IN"/>
    <x v="14"/>
    <n v="77"/>
    <x v="1"/>
  </r>
  <r>
    <x v="27"/>
    <s v="IMN"/>
    <x v="3"/>
    <s v="SP.DYN.LE00.IN"/>
    <x v="15"/>
    <n v="77"/>
    <x v="1"/>
  </r>
  <r>
    <x v="27"/>
    <s v="IMN"/>
    <x v="3"/>
    <s v="SP.DYN.LE00.IN"/>
    <x v="16"/>
    <n v="78"/>
    <x v="1"/>
  </r>
  <r>
    <x v="27"/>
    <s v="IMN"/>
    <x v="3"/>
    <s v="SP.DYN.LE00.IN"/>
    <x v="17"/>
    <n v="78"/>
    <x v="2"/>
  </r>
  <r>
    <x v="27"/>
    <s v="IMN"/>
    <x v="3"/>
    <s v="SP.DYN.LE00.IN"/>
    <x v="18"/>
    <n v="79"/>
    <x v="2"/>
  </r>
  <r>
    <x v="27"/>
    <s v="IMN"/>
    <x v="3"/>
    <s v="SP.DYN.LE00.IN"/>
    <x v="19"/>
    <n v="79"/>
    <x v="2"/>
  </r>
  <r>
    <x v="27"/>
    <s v="IMN"/>
    <x v="3"/>
    <s v="SP.DYN.LE00.IN"/>
    <x v="20"/>
    <n v="80"/>
    <x v="2"/>
  </r>
  <r>
    <x v="27"/>
    <s v="IMN"/>
    <x v="3"/>
    <s v="SP.DYN.LE00.IN"/>
    <x v="21"/>
    <n v="80"/>
    <x v="2"/>
  </r>
  <r>
    <x v="27"/>
    <s v="IMN"/>
    <x v="3"/>
    <s v="SP.DYN.LE00.IN"/>
    <x v="22"/>
    <n v="80"/>
    <x v="2"/>
  </r>
  <r>
    <x v="27"/>
    <s v="IMN"/>
    <x v="3"/>
    <s v="SP.DYN.LE00.IN"/>
    <x v="23"/>
    <n v="80"/>
    <x v="2"/>
  </r>
  <r>
    <x v="27"/>
    <s v="IMN"/>
    <x v="3"/>
    <s v="SP.DYN.LE00.IN"/>
    <x v="24"/>
    <n v="80"/>
    <x v="2"/>
  </r>
  <r>
    <x v="27"/>
    <s v="IMN"/>
    <x v="3"/>
    <s v="SP.DYN.LE00.IN"/>
    <x v="25"/>
    <n v="80"/>
    <x v="2"/>
  </r>
  <r>
    <x v="27"/>
    <s v="IMN"/>
    <x v="3"/>
    <s v="SP.DYN.LE00.IN"/>
    <x v="26"/>
    <n v="80"/>
    <x v="2"/>
  </r>
  <r>
    <x v="27"/>
    <s v="IMN"/>
    <x v="3"/>
    <s v="SP.DYN.LE00.IN"/>
    <x v="27"/>
    <n v="81"/>
    <x v="3"/>
  </r>
  <r>
    <x v="27"/>
    <s v="IMN"/>
    <x v="3"/>
    <s v="SP.DYN.LE00.IN"/>
    <x v="28"/>
    <n v="81"/>
    <x v="3"/>
  </r>
  <r>
    <x v="27"/>
    <s v="IMN"/>
    <x v="3"/>
    <s v="SP.DYN.LE00.IN"/>
    <x v="29"/>
    <n v="81"/>
    <x v="3"/>
  </r>
  <r>
    <x v="27"/>
    <s v="IMN"/>
    <x v="3"/>
    <s v="SP.DYN.LE00.IN"/>
    <x v="30"/>
    <n v="81"/>
    <x v="3"/>
  </r>
  <r>
    <x v="27"/>
    <s v="IMN"/>
    <x v="3"/>
    <s v="SP.DYN.LE00.IN"/>
    <x v="31"/>
    <n v="80"/>
    <x v="6"/>
  </r>
  <r>
    <x v="27"/>
    <s v="IMN"/>
    <x v="3"/>
    <s v="SP.DYN.LE00.IN"/>
    <x v="32"/>
    <n v="81"/>
    <x v="6"/>
  </r>
  <r>
    <x v="27"/>
    <s v="IMN"/>
    <x v="3"/>
    <s v="SP.DYN.LE00.IN"/>
    <x v="33"/>
    <n v="81"/>
    <x v="6"/>
  </r>
  <r>
    <x v="28"/>
    <s v="IRL"/>
    <x v="3"/>
    <s v="SP.DYN.LE00.IN"/>
    <x v="55"/>
    <n v="70"/>
    <x v="6"/>
  </r>
  <r>
    <x v="28"/>
    <s v="IRL"/>
    <x v="3"/>
    <s v="SP.DYN.LE00.IN"/>
    <x v="56"/>
    <n v="70"/>
    <x v="6"/>
  </r>
  <r>
    <x v="28"/>
    <s v="IRL"/>
    <x v="3"/>
    <s v="SP.DYN.LE00.IN"/>
    <x v="57"/>
    <n v="70"/>
    <x v="6"/>
  </r>
  <r>
    <x v="28"/>
    <s v="IRL"/>
    <x v="3"/>
    <s v="SP.DYN.LE00.IN"/>
    <x v="58"/>
    <n v="70"/>
    <x v="6"/>
  </r>
  <r>
    <x v="28"/>
    <s v="IRL"/>
    <x v="3"/>
    <s v="SP.DYN.LE00.IN"/>
    <x v="59"/>
    <n v="70"/>
    <x v="6"/>
  </r>
  <r>
    <x v="28"/>
    <s v="IRL"/>
    <x v="3"/>
    <s v="SP.DYN.LE00.IN"/>
    <x v="60"/>
    <n v="71"/>
    <x v="6"/>
  </r>
  <r>
    <x v="28"/>
    <s v="IRL"/>
    <x v="3"/>
    <s v="SP.DYN.LE00.IN"/>
    <x v="61"/>
    <n v="70"/>
    <x v="6"/>
  </r>
  <r>
    <x v="28"/>
    <s v="IRL"/>
    <x v="3"/>
    <s v="SP.DYN.LE00.IN"/>
    <x v="62"/>
    <n v="71"/>
    <x v="4"/>
  </r>
  <r>
    <x v="28"/>
    <s v="IRL"/>
    <x v="3"/>
    <s v="SP.DYN.LE00.IN"/>
    <x v="63"/>
    <n v="71"/>
    <x v="4"/>
  </r>
  <r>
    <x v="28"/>
    <s v="IRL"/>
    <x v="3"/>
    <s v="SP.DYN.LE00.IN"/>
    <x v="64"/>
    <n v="71"/>
    <x v="4"/>
  </r>
  <r>
    <x v="28"/>
    <s v="IRL"/>
    <x v="3"/>
    <s v="SP.DYN.LE00.IN"/>
    <x v="34"/>
    <n v="71"/>
    <x v="4"/>
  </r>
  <r>
    <x v="28"/>
    <s v="IRL"/>
    <x v="3"/>
    <s v="SP.DYN.LE00.IN"/>
    <x v="35"/>
    <n v="72"/>
    <x v="4"/>
  </r>
  <r>
    <x v="28"/>
    <s v="IRL"/>
    <x v="3"/>
    <s v="SP.DYN.LE00.IN"/>
    <x v="36"/>
    <n v="71"/>
    <x v="4"/>
  </r>
  <r>
    <x v="28"/>
    <s v="IRL"/>
    <x v="3"/>
    <s v="SP.DYN.LE00.IN"/>
    <x v="37"/>
    <n v="71"/>
    <x v="4"/>
  </r>
  <r>
    <x v="28"/>
    <s v="IRL"/>
    <x v="3"/>
    <s v="SP.DYN.LE00.IN"/>
    <x v="38"/>
    <n v="71"/>
    <x v="4"/>
  </r>
  <r>
    <x v="28"/>
    <s v="IRL"/>
    <x v="3"/>
    <s v="SP.DYN.LE00.IN"/>
    <x v="39"/>
    <n v="72"/>
    <x v="4"/>
  </r>
  <r>
    <x v="28"/>
    <s v="IRL"/>
    <x v="3"/>
    <s v="SP.DYN.LE00.IN"/>
    <x v="40"/>
    <n v="72"/>
    <x v="4"/>
  </r>
  <r>
    <x v="28"/>
    <s v="IRL"/>
    <x v="3"/>
    <s v="SP.DYN.LE00.IN"/>
    <x v="41"/>
    <n v="72"/>
    <x v="5"/>
  </r>
  <r>
    <x v="28"/>
    <s v="IRL"/>
    <x v="3"/>
    <s v="SP.DYN.LE00.IN"/>
    <x v="42"/>
    <n v="72"/>
    <x v="5"/>
  </r>
  <r>
    <x v="28"/>
    <s v="IRL"/>
    <x v="3"/>
    <s v="SP.DYN.LE00.IN"/>
    <x v="43"/>
    <n v="72"/>
    <x v="5"/>
  </r>
  <r>
    <x v="28"/>
    <s v="IRL"/>
    <x v="3"/>
    <s v="SP.DYN.LE00.IN"/>
    <x v="44"/>
    <n v="73"/>
    <x v="5"/>
  </r>
  <r>
    <x v="28"/>
    <s v="IRL"/>
    <x v="3"/>
    <s v="SP.DYN.LE00.IN"/>
    <x v="45"/>
    <n v="73"/>
    <x v="5"/>
  </r>
  <r>
    <x v="28"/>
    <s v="IRL"/>
    <x v="3"/>
    <s v="SP.DYN.LE00.IN"/>
    <x v="46"/>
    <n v="73"/>
    <x v="5"/>
  </r>
  <r>
    <x v="28"/>
    <s v="IRL"/>
    <x v="3"/>
    <s v="SP.DYN.LE00.IN"/>
    <x v="47"/>
    <n v="73"/>
    <x v="5"/>
  </r>
  <r>
    <x v="28"/>
    <s v="IRL"/>
    <x v="3"/>
    <s v="SP.DYN.LE00.IN"/>
    <x v="48"/>
    <n v="74"/>
    <x v="5"/>
  </r>
  <r>
    <x v="28"/>
    <s v="IRL"/>
    <x v="3"/>
    <s v="SP.DYN.LE00.IN"/>
    <x v="49"/>
    <n v="74"/>
    <x v="5"/>
  </r>
  <r>
    <x v="28"/>
    <s v="IRL"/>
    <x v="3"/>
    <s v="SP.DYN.LE00.IN"/>
    <x v="50"/>
    <n v="74"/>
    <x v="5"/>
  </r>
  <r>
    <x v="28"/>
    <s v="IRL"/>
    <x v="3"/>
    <s v="SP.DYN.LE00.IN"/>
    <x v="51"/>
    <n v="74"/>
    <x v="0"/>
  </r>
  <r>
    <x v="28"/>
    <s v="IRL"/>
    <x v="3"/>
    <s v="SP.DYN.LE00.IN"/>
    <x v="52"/>
    <n v="74"/>
    <x v="0"/>
  </r>
  <r>
    <x v="28"/>
    <s v="IRL"/>
    <x v="3"/>
    <s v="SP.DYN.LE00.IN"/>
    <x v="53"/>
    <n v="74"/>
    <x v="0"/>
  </r>
  <r>
    <x v="28"/>
    <s v="IRL"/>
    <x v="3"/>
    <s v="SP.DYN.LE00.IN"/>
    <x v="0"/>
    <n v="75"/>
    <x v="0"/>
  </r>
  <r>
    <x v="28"/>
    <s v="IRL"/>
    <x v="3"/>
    <s v="SP.DYN.LE00.IN"/>
    <x v="1"/>
    <n v="75"/>
    <x v="0"/>
  </r>
  <r>
    <x v="28"/>
    <s v="IRL"/>
    <x v="3"/>
    <s v="SP.DYN.LE00.IN"/>
    <x v="2"/>
    <n v="75"/>
    <x v="0"/>
  </r>
  <r>
    <x v="28"/>
    <s v="IRL"/>
    <x v="3"/>
    <s v="SP.DYN.LE00.IN"/>
    <x v="3"/>
    <n v="75"/>
    <x v="0"/>
  </r>
  <r>
    <x v="28"/>
    <s v="IRL"/>
    <x v="3"/>
    <s v="SP.DYN.LE00.IN"/>
    <x v="4"/>
    <n v="76"/>
    <x v="0"/>
  </r>
  <r>
    <x v="28"/>
    <s v="IRL"/>
    <x v="3"/>
    <s v="SP.DYN.LE00.IN"/>
    <x v="5"/>
    <n v="75"/>
    <x v="0"/>
  </r>
  <r>
    <x v="28"/>
    <s v="IRL"/>
    <x v="3"/>
    <s v="SP.DYN.LE00.IN"/>
    <x v="6"/>
    <n v="76"/>
    <x v="0"/>
  </r>
  <r>
    <x v="28"/>
    <s v="IRL"/>
    <x v="3"/>
    <s v="SP.DYN.LE00.IN"/>
    <x v="7"/>
    <n v="76"/>
    <x v="1"/>
  </r>
  <r>
    <x v="28"/>
    <s v="IRL"/>
    <x v="3"/>
    <s v="SP.DYN.LE00.IN"/>
    <x v="8"/>
    <n v="76"/>
    <x v="1"/>
  </r>
  <r>
    <x v="28"/>
    <s v="IRL"/>
    <x v="3"/>
    <s v="SP.DYN.LE00.IN"/>
    <x v="9"/>
    <n v="76"/>
    <x v="1"/>
  </r>
  <r>
    <x v="28"/>
    <s v="IRL"/>
    <x v="3"/>
    <s v="SP.DYN.LE00.IN"/>
    <x v="10"/>
    <n v="77"/>
    <x v="1"/>
  </r>
  <r>
    <x v="28"/>
    <s v="IRL"/>
    <x v="3"/>
    <s v="SP.DYN.LE00.IN"/>
    <x v="11"/>
    <n v="77"/>
    <x v="1"/>
  </r>
  <r>
    <x v="28"/>
    <s v="IRL"/>
    <x v="3"/>
    <s v="SP.DYN.LE00.IN"/>
    <x v="12"/>
    <n v="78"/>
    <x v="1"/>
  </r>
  <r>
    <x v="28"/>
    <s v="IRL"/>
    <x v="3"/>
    <s v="SP.DYN.LE00.IN"/>
    <x v="13"/>
    <n v="78"/>
    <x v="1"/>
  </r>
  <r>
    <x v="28"/>
    <s v="IRL"/>
    <x v="3"/>
    <s v="SP.DYN.LE00.IN"/>
    <x v="14"/>
    <n v="79"/>
    <x v="1"/>
  </r>
  <r>
    <x v="28"/>
    <s v="IRL"/>
    <x v="3"/>
    <s v="SP.DYN.LE00.IN"/>
    <x v="15"/>
    <n v="79"/>
    <x v="1"/>
  </r>
  <r>
    <x v="28"/>
    <s v="IRL"/>
    <x v="3"/>
    <s v="SP.DYN.LE00.IN"/>
    <x v="16"/>
    <n v="79"/>
    <x v="1"/>
  </r>
  <r>
    <x v="28"/>
    <s v="IRL"/>
    <x v="3"/>
    <s v="SP.DYN.LE00.IN"/>
    <x v="17"/>
    <n v="80"/>
    <x v="2"/>
  </r>
  <r>
    <x v="28"/>
    <s v="IRL"/>
    <x v="3"/>
    <s v="SP.DYN.LE00.IN"/>
    <x v="18"/>
    <n v="80"/>
    <x v="2"/>
  </r>
  <r>
    <x v="28"/>
    <s v="IRL"/>
    <x v="3"/>
    <s v="SP.DYN.LE00.IN"/>
    <x v="19"/>
    <n v="80"/>
    <x v="2"/>
  </r>
  <r>
    <x v="28"/>
    <s v="IRL"/>
    <x v="3"/>
    <s v="SP.DYN.LE00.IN"/>
    <x v="20"/>
    <n v="81"/>
    <x v="2"/>
  </r>
  <r>
    <x v="28"/>
    <s v="IRL"/>
    <x v="3"/>
    <s v="SP.DYN.LE00.IN"/>
    <x v="21"/>
    <n v="81"/>
    <x v="2"/>
  </r>
  <r>
    <x v="28"/>
    <s v="IRL"/>
    <x v="3"/>
    <s v="SP.DYN.LE00.IN"/>
    <x v="22"/>
    <n v="81"/>
    <x v="2"/>
  </r>
  <r>
    <x v="28"/>
    <s v="IRL"/>
    <x v="3"/>
    <s v="SP.DYN.LE00.IN"/>
    <x v="23"/>
    <n v="81"/>
    <x v="2"/>
  </r>
  <r>
    <x v="28"/>
    <s v="IRL"/>
    <x v="3"/>
    <s v="SP.DYN.LE00.IN"/>
    <x v="24"/>
    <n v="81"/>
    <x v="2"/>
  </r>
  <r>
    <x v="28"/>
    <s v="IRL"/>
    <x v="3"/>
    <s v="SP.DYN.LE00.IN"/>
    <x v="25"/>
    <n v="81"/>
    <x v="2"/>
  </r>
  <r>
    <x v="28"/>
    <s v="IRL"/>
    <x v="3"/>
    <s v="SP.DYN.LE00.IN"/>
    <x v="26"/>
    <n v="82"/>
    <x v="2"/>
  </r>
  <r>
    <x v="28"/>
    <s v="IRL"/>
    <x v="3"/>
    <s v="SP.DYN.LE00.IN"/>
    <x v="27"/>
    <n v="82"/>
    <x v="3"/>
  </r>
  <r>
    <x v="28"/>
    <s v="IRL"/>
    <x v="3"/>
    <s v="SP.DYN.LE00.IN"/>
    <x v="28"/>
    <n v="82"/>
    <x v="3"/>
  </r>
  <r>
    <x v="28"/>
    <s v="IRL"/>
    <x v="3"/>
    <s v="SP.DYN.LE00.IN"/>
    <x v="29"/>
    <n v="83"/>
    <x v="3"/>
  </r>
  <r>
    <x v="28"/>
    <s v="IRL"/>
    <x v="3"/>
    <s v="SP.DYN.LE00.IN"/>
    <x v="30"/>
    <n v="82"/>
    <x v="3"/>
  </r>
  <r>
    <x v="28"/>
    <s v="IRL"/>
    <x v="3"/>
    <s v="SP.DYN.LE00.IN"/>
    <x v="31"/>
    <n v="82"/>
    <x v="6"/>
  </r>
  <r>
    <x v="28"/>
    <s v="IRL"/>
    <x v="3"/>
    <s v="SP.DYN.LE00.IN"/>
    <x v="32"/>
    <n v="83"/>
    <x v="6"/>
  </r>
  <r>
    <x v="28"/>
    <s v="IRL"/>
    <x v="3"/>
    <s v="SP.DYN.LE00.IN"/>
    <x v="33"/>
    <n v="83"/>
    <x v="6"/>
  </r>
  <r>
    <x v="29"/>
    <s v="ISL"/>
    <x v="3"/>
    <s v="SP.DYN.LE00.IN"/>
    <x v="55"/>
    <n v="74"/>
    <x v="6"/>
  </r>
  <r>
    <x v="29"/>
    <s v="ISL"/>
    <x v="3"/>
    <s v="SP.DYN.LE00.IN"/>
    <x v="56"/>
    <n v="74"/>
    <x v="6"/>
  </r>
  <r>
    <x v="29"/>
    <s v="ISL"/>
    <x v="3"/>
    <s v="SP.DYN.LE00.IN"/>
    <x v="57"/>
    <n v="74"/>
    <x v="6"/>
  </r>
  <r>
    <x v="29"/>
    <s v="ISL"/>
    <x v="3"/>
    <s v="SP.DYN.LE00.IN"/>
    <x v="58"/>
    <n v="73"/>
    <x v="6"/>
  </r>
  <r>
    <x v="29"/>
    <s v="ISL"/>
    <x v="3"/>
    <s v="SP.DYN.LE00.IN"/>
    <x v="59"/>
    <n v="74"/>
    <x v="6"/>
  </r>
  <r>
    <x v="29"/>
    <s v="ISL"/>
    <x v="3"/>
    <s v="SP.DYN.LE00.IN"/>
    <x v="60"/>
    <n v="74"/>
    <x v="6"/>
  </r>
  <r>
    <x v="29"/>
    <s v="ISL"/>
    <x v="3"/>
    <s v="SP.DYN.LE00.IN"/>
    <x v="61"/>
    <n v="73"/>
    <x v="6"/>
  </r>
  <r>
    <x v="29"/>
    <s v="ISL"/>
    <x v="3"/>
    <s v="SP.DYN.LE00.IN"/>
    <x v="62"/>
    <n v="74"/>
    <x v="4"/>
  </r>
  <r>
    <x v="29"/>
    <s v="ISL"/>
    <x v="3"/>
    <s v="SP.DYN.LE00.IN"/>
    <x v="63"/>
    <n v="74"/>
    <x v="4"/>
  </r>
  <r>
    <x v="29"/>
    <s v="ISL"/>
    <x v="3"/>
    <s v="SP.DYN.LE00.IN"/>
    <x v="64"/>
    <n v="74"/>
    <x v="4"/>
  </r>
  <r>
    <x v="29"/>
    <s v="ISL"/>
    <x v="3"/>
    <s v="SP.DYN.LE00.IN"/>
    <x v="34"/>
    <n v="74"/>
    <x v="4"/>
  </r>
  <r>
    <x v="29"/>
    <s v="ISL"/>
    <x v="3"/>
    <s v="SP.DYN.LE00.IN"/>
    <x v="35"/>
    <n v="74"/>
    <x v="4"/>
  </r>
  <r>
    <x v="29"/>
    <s v="ISL"/>
    <x v="3"/>
    <s v="SP.DYN.LE00.IN"/>
    <x v="36"/>
    <n v="74"/>
    <x v="4"/>
  </r>
  <r>
    <x v="29"/>
    <s v="ISL"/>
    <x v="3"/>
    <s v="SP.DYN.LE00.IN"/>
    <x v="37"/>
    <n v="74"/>
    <x v="4"/>
  </r>
  <r>
    <x v="29"/>
    <s v="ISL"/>
    <x v="3"/>
    <s v="SP.DYN.LE00.IN"/>
    <x v="38"/>
    <n v="75"/>
    <x v="4"/>
  </r>
  <r>
    <x v="29"/>
    <s v="ISL"/>
    <x v="3"/>
    <s v="SP.DYN.LE00.IN"/>
    <x v="39"/>
    <n v="76"/>
    <x v="4"/>
  </r>
  <r>
    <x v="29"/>
    <s v="ISL"/>
    <x v="3"/>
    <s v="SP.DYN.LE00.IN"/>
    <x v="40"/>
    <n v="77"/>
    <x v="4"/>
  </r>
  <r>
    <x v="29"/>
    <s v="ISL"/>
    <x v="3"/>
    <s v="SP.DYN.LE00.IN"/>
    <x v="41"/>
    <n v="76"/>
    <x v="5"/>
  </r>
  <r>
    <x v="29"/>
    <s v="ISL"/>
    <x v="3"/>
    <s v="SP.DYN.LE00.IN"/>
    <x v="42"/>
    <n v="77"/>
    <x v="5"/>
  </r>
  <r>
    <x v="29"/>
    <s v="ISL"/>
    <x v="3"/>
    <s v="SP.DYN.LE00.IN"/>
    <x v="43"/>
    <n v="77"/>
    <x v="5"/>
  </r>
  <r>
    <x v="29"/>
    <s v="ISL"/>
    <x v="3"/>
    <s v="SP.DYN.LE00.IN"/>
    <x v="44"/>
    <n v="77"/>
    <x v="5"/>
  </r>
  <r>
    <x v="29"/>
    <s v="ISL"/>
    <x v="3"/>
    <s v="SP.DYN.LE00.IN"/>
    <x v="45"/>
    <n v="77"/>
    <x v="5"/>
  </r>
  <r>
    <x v="29"/>
    <s v="ISL"/>
    <x v="3"/>
    <s v="SP.DYN.LE00.IN"/>
    <x v="46"/>
    <n v="77"/>
    <x v="5"/>
  </r>
  <r>
    <x v="29"/>
    <s v="ISL"/>
    <x v="3"/>
    <s v="SP.DYN.LE00.IN"/>
    <x v="47"/>
    <n v="77"/>
    <x v="5"/>
  </r>
  <r>
    <x v="29"/>
    <s v="ISL"/>
    <x v="3"/>
    <s v="SP.DYN.LE00.IN"/>
    <x v="48"/>
    <n v="78"/>
    <x v="5"/>
  </r>
  <r>
    <x v="29"/>
    <s v="ISL"/>
    <x v="3"/>
    <s v="SP.DYN.LE00.IN"/>
    <x v="49"/>
    <n v="78"/>
    <x v="5"/>
  </r>
  <r>
    <x v="29"/>
    <s v="ISL"/>
    <x v="3"/>
    <s v="SP.DYN.LE00.IN"/>
    <x v="50"/>
    <n v="78"/>
    <x v="5"/>
  </r>
  <r>
    <x v="29"/>
    <s v="ISL"/>
    <x v="3"/>
    <s v="SP.DYN.LE00.IN"/>
    <x v="51"/>
    <n v="77"/>
    <x v="0"/>
  </r>
  <r>
    <x v="29"/>
    <s v="ISL"/>
    <x v="3"/>
    <s v="SP.DYN.LE00.IN"/>
    <x v="52"/>
    <n v="77"/>
    <x v="0"/>
  </r>
  <r>
    <x v="29"/>
    <s v="ISL"/>
    <x v="3"/>
    <s v="SP.DYN.LE00.IN"/>
    <x v="53"/>
    <n v="78"/>
    <x v="0"/>
  </r>
  <r>
    <x v="29"/>
    <s v="ISL"/>
    <x v="3"/>
    <s v="SP.DYN.LE00.IN"/>
    <x v="0"/>
    <n v="78"/>
    <x v="0"/>
  </r>
  <r>
    <x v="29"/>
    <s v="ISL"/>
    <x v="3"/>
    <s v="SP.DYN.LE00.IN"/>
    <x v="1"/>
    <n v="78"/>
    <x v="0"/>
  </r>
  <r>
    <x v="29"/>
    <s v="ISL"/>
    <x v="3"/>
    <s v="SP.DYN.LE00.IN"/>
    <x v="2"/>
    <n v="79"/>
    <x v="0"/>
  </r>
  <r>
    <x v="29"/>
    <s v="ISL"/>
    <x v="3"/>
    <s v="SP.DYN.LE00.IN"/>
    <x v="3"/>
    <n v="79"/>
    <x v="0"/>
  </r>
  <r>
    <x v="29"/>
    <s v="ISL"/>
    <x v="3"/>
    <s v="SP.DYN.LE00.IN"/>
    <x v="4"/>
    <n v="79"/>
    <x v="0"/>
  </r>
  <r>
    <x v="29"/>
    <s v="ISL"/>
    <x v="3"/>
    <s v="SP.DYN.LE00.IN"/>
    <x v="5"/>
    <n v="78"/>
    <x v="0"/>
  </r>
  <r>
    <x v="29"/>
    <s v="ISL"/>
    <x v="3"/>
    <s v="SP.DYN.LE00.IN"/>
    <x v="6"/>
    <n v="79"/>
    <x v="0"/>
  </r>
  <r>
    <x v="29"/>
    <s v="ISL"/>
    <x v="3"/>
    <s v="SP.DYN.LE00.IN"/>
    <x v="7"/>
    <n v="79"/>
    <x v="1"/>
  </r>
  <r>
    <x v="29"/>
    <s v="ISL"/>
    <x v="3"/>
    <s v="SP.DYN.LE00.IN"/>
    <x v="8"/>
    <n v="80"/>
    <x v="1"/>
  </r>
  <r>
    <x v="29"/>
    <s v="ISL"/>
    <x v="3"/>
    <s v="SP.DYN.LE00.IN"/>
    <x v="9"/>
    <n v="79"/>
    <x v="1"/>
  </r>
  <r>
    <x v="29"/>
    <s v="ISL"/>
    <x v="3"/>
    <s v="SP.DYN.LE00.IN"/>
    <x v="10"/>
    <n v="80"/>
    <x v="1"/>
  </r>
  <r>
    <x v="29"/>
    <s v="ISL"/>
    <x v="3"/>
    <s v="SP.DYN.LE00.IN"/>
    <x v="11"/>
    <n v="81"/>
    <x v="1"/>
  </r>
  <r>
    <x v="29"/>
    <s v="ISL"/>
    <x v="3"/>
    <s v="SP.DYN.LE00.IN"/>
    <x v="12"/>
    <n v="81"/>
    <x v="1"/>
  </r>
  <r>
    <x v="29"/>
    <s v="ISL"/>
    <x v="3"/>
    <s v="SP.DYN.LE00.IN"/>
    <x v="13"/>
    <n v="81"/>
    <x v="1"/>
  </r>
  <r>
    <x v="29"/>
    <s v="ISL"/>
    <x v="3"/>
    <s v="SP.DYN.LE00.IN"/>
    <x v="14"/>
    <n v="81"/>
    <x v="1"/>
  </r>
  <r>
    <x v="29"/>
    <s v="ISL"/>
    <x v="3"/>
    <s v="SP.DYN.LE00.IN"/>
    <x v="15"/>
    <n v="82"/>
    <x v="1"/>
  </r>
  <r>
    <x v="29"/>
    <s v="ISL"/>
    <x v="3"/>
    <s v="SP.DYN.LE00.IN"/>
    <x v="16"/>
    <n v="81"/>
    <x v="1"/>
  </r>
  <r>
    <x v="29"/>
    <s v="ISL"/>
    <x v="3"/>
    <s v="SP.DYN.LE00.IN"/>
    <x v="17"/>
    <n v="81"/>
    <x v="2"/>
  </r>
  <r>
    <x v="29"/>
    <s v="ISL"/>
    <x v="3"/>
    <s v="SP.DYN.LE00.IN"/>
    <x v="18"/>
    <n v="82"/>
    <x v="2"/>
  </r>
  <r>
    <x v="29"/>
    <s v="ISL"/>
    <x v="3"/>
    <s v="SP.DYN.LE00.IN"/>
    <x v="19"/>
    <n v="82"/>
    <x v="2"/>
  </r>
  <r>
    <x v="29"/>
    <s v="ISL"/>
    <x v="3"/>
    <s v="SP.DYN.LE00.IN"/>
    <x v="20"/>
    <n v="82"/>
    <x v="2"/>
  </r>
  <r>
    <x v="29"/>
    <s v="ISL"/>
    <x v="3"/>
    <s v="SP.DYN.LE00.IN"/>
    <x v="21"/>
    <n v="82"/>
    <x v="2"/>
  </r>
  <r>
    <x v="29"/>
    <s v="ISL"/>
    <x v="3"/>
    <s v="SP.DYN.LE00.IN"/>
    <x v="22"/>
    <n v="83"/>
    <x v="2"/>
  </r>
  <r>
    <x v="29"/>
    <s v="ISL"/>
    <x v="3"/>
    <s v="SP.DYN.LE00.IN"/>
    <x v="23"/>
    <n v="82"/>
    <x v="2"/>
  </r>
  <r>
    <x v="29"/>
    <s v="ISL"/>
    <x v="3"/>
    <s v="SP.DYN.LE00.IN"/>
    <x v="24"/>
    <n v="83"/>
    <x v="2"/>
  </r>
  <r>
    <x v="29"/>
    <s v="ISL"/>
    <x v="3"/>
    <s v="SP.DYN.LE00.IN"/>
    <x v="25"/>
    <n v="82"/>
    <x v="2"/>
  </r>
  <r>
    <x v="29"/>
    <s v="ISL"/>
    <x v="3"/>
    <s v="SP.DYN.LE00.IN"/>
    <x v="26"/>
    <n v="82"/>
    <x v="2"/>
  </r>
  <r>
    <x v="29"/>
    <s v="ISL"/>
    <x v="3"/>
    <s v="SP.DYN.LE00.IN"/>
    <x v="27"/>
    <n v="83"/>
    <x v="3"/>
  </r>
  <r>
    <x v="29"/>
    <s v="ISL"/>
    <x v="3"/>
    <s v="SP.DYN.LE00.IN"/>
    <x v="28"/>
    <n v="83"/>
    <x v="3"/>
  </r>
  <r>
    <x v="29"/>
    <s v="ISL"/>
    <x v="3"/>
    <s v="SP.DYN.LE00.IN"/>
    <x v="29"/>
    <n v="83"/>
    <x v="3"/>
  </r>
  <r>
    <x v="29"/>
    <s v="ISL"/>
    <x v="3"/>
    <s v="SP.DYN.LE00.IN"/>
    <x v="30"/>
    <n v="83"/>
    <x v="3"/>
  </r>
  <r>
    <x v="29"/>
    <s v="ISL"/>
    <x v="3"/>
    <s v="SP.DYN.LE00.IN"/>
    <x v="31"/>
    <n v="83"/>
    <x v="6"/>
  </r>
  <r>
    <x v="29"/>
    <s v="ISL"/>
    <x v="3"/>
    <s v="SP.DYN.LE00.IN"/>
    <x v="32"/>
    <n v="82"/>
    <x v="6"/>
  </r>
  <r>
    <x v="29"/>
    <s v="ISL"/>
    <x v="3"/>
    <s v="SP.DYN.LE00.IN"/>
    <x v="33"/>
    <n v="83"/>
    <x v="6"/>
  </r>
  <r>
    <x v="30"/>
    <s v="ITA"/>
    <x v="3"/>
    <s v="SP.DYN.LE00.IN"/>
    <x v="55"/>
    <n v="69"/>
    <x v="6"/>
  </r>
  <r>
    <x v="30"/>
    <s v="ITA"/>
    <x v="3"/>
    <s v="SP.DYN.LE00.IN"/>
    <x v="56"/>
    <n v="70"/>
    <x v="6"/>
  </r>
  <r>
    <x v="30"/>
    <s v="ITA"/>
    <x v="3"/>
    <s v="SP.DYN.LE00.IN"/>
    <x v="57"/>
    <n v="69"/>
    <x v="6"/>
  </r>
  <r>
    <x v="30"/>
    <s v="ITA"/>
    <x v="3"/>
    <s v="SP.DYN.LE00.IN"/>
    <x v="58"/>
    <n v="69"/>
    <x v="6"/>
  </r>
  <r>
    <x v="30"/>
    <s v="ITA"/>
    <x v="3"/>
    <s v="SP.DYN.LE00.IN"/>
    <x v="59"/>
    <n v="70"/>
    <x v="6"/>
  </r>
  <r>
    <x v="30"/>
    <s v="ITA"/>
    <x v="3"/>
    <s v="SP.DYN.LE00.IN"/>
    <x v="60"/>
    <n v="70"/>
    <x v="6"/>
  </r>
  <r>
    <x v="30"/>
    <s v="ITA"/>
    <x v="3"/>
    <s v="SP.DYN.LE00.IN"/>
    <x v="61"/>
    <n v="71"/>
    <x v="6"/>
  </r>
  <r>
    <x v="30"/>
    <s v="ITA"/>
    <x v="3"/>
    <s v="SP.DYN.LE00.IN"/>
    <x v="62"/>
    <n v="71"/>
    <x v="4"/>
  </r>
  <r>
    <x v="30"/>
    <s v="ITA"/>
    <x v="3"/>
    <s v="SP.DYN.LE00.IN"/>
    <x v="63"/>
    <n v="71"/>
    <x v="4"/>
  </r>
  <r>
    <x v="30"/>
    <s v="ITA"/>
    <x v="3"/>
    <s v="SP.DYN.LE00.IN"/>
    <x v="64"/>
    <n v="71"/>
    <x v="4"/>
  </r>
  <r>
    <x v="30"/>
    <s v="ITA"/>
    <x v="3"/>
    <s v="SP.DYN.LE00.IN"/>
    <x v="34"/>
    <n v="72"/>
    <x v="4"/>
  </r>
  <r>
    <x v="30"/>
    <s v="ITA"/>
    <x v="3"/>
    <s v="SP.DYN.LE00.IN"/>
    <x v="35"/>
    <n v="72"/>
    <x v="4"/>
  </r>
  <r>
    <x v="30"/>
    <s v="ITA"/>
    <x v="3"/>
    <s v="SP.DYN.LE00.IN"/>
    <x v="36"/>
    <n v="72"/>
    <x v="4"/>
  </r>
  <r>
    <x v="30"/>
    <s v="ITA"/>
    <x v="3"/>
    <s v="SP.DYN.LE00.IN"/>
    <x v="37"/>
    <n v="72"/>
    <x v="4"/>
  </r>
  <r>
    <x v="30"/>
    <s v="ITA"/>
    <x v="3"/>
    <s v="SP.DYN.LE00.IN"/>
    <x v="38"/>
    <n v="73"/>
    <x v="4"/>
  </r>
  <r>
    <x v="30"/>
    <s v="ITA"/>
    <x v="3"/>
    <s v="SP.DYN.LE00.IN"/>
    <x v="39"/>
    <n v="73"/>
    <x v="4"/>
  </r>
  <r>
    <x v="30"/>
    <s v="ITA"/>
    <x v="3"/>
    <s v="SP.DYN.LE00.IN"/>
    <x v="40"/>
    <n v="73"/>
    <x v="4"/>
  </r>
  <r>
    <x v="30"/>
    <s v="ITA"/>
    <x v="3"/>
    <s v="SP.DYN.LE00.IN"/>
    <x v="41"/>
    <n v="73"/>
    <x v="5"/>
  </r>
  <r>
    <x v="30"/>
    <s v="ITA"/>
    <x v="3"/>
    <s v="SP.DYN.LE00.IN"/>
    <x v="42"/>
    <n v="74"/>
    <x v="5"/>
  </r>
  <r>
    <x v="30"/>
    <s v="ITA"/>
    <x v="3"/>
    <s v="SP.DYN.LE00.IN"/>
    <x v="43"/>
    <n v="74"/>
    <x v="5"/>
  </r>
  <r>
    <x v="30"/>
    <s v="ITA"/>
    <x v="3"/>
    <s v="SP.DYN.LE00.IN"/>
    <x v="44"/>
    <n v="74"/>
    <x v="5"/>
  </r>
  <r>
    <x v="30"/>
    <s v="ITA"/>
    <x v="3"/>
    <s v="SP.DYN.LE00.IN"/>
    <x v="45"/>
    <n v="74"/>
    <x v="5"/>
  </r>
  <r>
    <x v="30"/>
    <s v="ITA"/>
    <x v="3"/>
    <s v="SP.DYN.LE00.IN"/>
    <x v="46"/>
    <n v="75"/>
    <x v="5"/>
  </r>
  <r>
    <x v="30"/>
    <s v="ITA"/>
    <x v="3"/>
    <s v="SP.DYN.LE00.IN"/>
    <x v="47"/>
    <n v="75"/>
    <x v="5"/>
  </r>
  <r>
    <x v="30"/>
    <s v="ITA"/>
    <x v="3"/>
    <s v="SP.DYN.LE00.IN"/>
    <x v="48"/>
    <n v="75"/>
    <x v="5"/>
  </r>
  <r>
    <x v="30"/>
    <s v="ITA"/>
    <x v="3"/>
    <s v="SP.DYN.LE00.IN"/>
    <x v="49"/>
    <n v="75"/>
    <x v="5"/>
  </r>
  <r>
    <x v="30"/>
    <s v="ITA"/>
    <x v="3"/>
    <s v="SP.DYN.LE00.IN"/>
    <x v="50"/>
    <n v="76"/>
    <x v="5"/>
  </r>
  <r>
    <x v="30"/>
    <s v="ITA"/>
    <x v="3"/>
    <s v="SP.DYN.LE00.IN"/>
    <x v="51"/>
    <n v="76"/>
    <x v="0"/>
  </r>
  <r>
    <x v="30"/>
    <s v="ITA"/>
    <x v="3"/>
    <s v="SP.DYN.LE00.IN"/>
    <x v="52"/>
    <n v="76"/>
    <x v="0"/>
  </r>
  <r>
    <x v="30"/>
    <s v="ITA"/>
    <x v="3"/>
    <s v="SP.DYN.LE00.IN"/>
    <x v="53"/>
    <n v="77"/>
    <x v="0"/>
  </r>
  <r>
    <x v="30"/>
    <s v="ITA"/>
    <x v="3"/>
    <s v="SP.DYN.LE00.IN"/>
    <x v="0"/>
    <n v="77"/>
    <x v="0"/>
  </r>
  <r>
    <x v="30"/>
    <s v="ITA"/>
    <x v="3"/>
    <s v="SP.DYN.LE00.IN"/>
    <x v="1"/>
    <n v="77"/>
    <x v="0"/>
  </r>
  <r>
    <x v="30"/>
    <s v="ITA"/>
    <x v="3"/>
    <s v="SP.DYN.LE00.IN"/>
    <x v="2"/>
    <n v="77"/>
    <x v="0"/>
  </r>
  <r>
    <x v="30"/>
    <s v="ITA"/>
    <x v="3"/>
    <s v="SP.DYN.LE00.IN"/>
    <x v="3"/>
    <n v="78"/>
    <x v="0"/>
  </r>
  <r>
    <x v="30"/>
    <s v="ITA"/>
    <x v="3"/>
    <s v="SP.DYN.LE00.IN"/>
    <x v="4"/>
    <n v="78"/>
    <x v="0"/>
  </r>
  <r>
    <x v="30"/>
    <s v="ITA"/>
    <x v="3"/>
    <s v="SP.DYN.LE00.IN"/>
    <x v="5"/>
    <n v="78"/>
    <x v="0"/>
  </r>
  <r>
    <x v="30"/>
    <s v="ITA"/>
    <x v="3"/>
    <s v="SP.DYN.LE00.IN"/>
    <x v="6"/>
    <n v="79"/>
    <x v="0"/>
  </r>
  <r>
    <x v="30"/>
    <s v="ITA"/>
    <x v="3"/>
    <s v="SP.DYN.LE00.IN"/>
    <x v="7"/>
    <n v="79"/>
    <x v="1"/>
  </r>
  <r>
    <x v="30"/>
    <s v="ITA"/>
    <x v="3"/>
    <s v="SP.DYN.LE00.IN"/>
    <x v="8"/>
    <n v="79"/>
    <x v="1"/>
  </r>
  <r>
    <x v="30"/>
    <s v="ITA"/>
    <x v="3"/>
    <s v="SP.DYN.LE00.IN"/>
    <x v="9"/>
    <n v="79"/>
    <x v="1"/>
  </r>
  <r>
    <x v="30"/>
    <s v="ITA"/>
    <x v="3"/>
    <s v="SP.DYN.LE00.IN"/>
    <x v="10"/>
    <n v="80"/>
    <x v="1"/>
  </r>
  <r>
    <x v="30"/>
    <s v="ITA"/>
    <x v="3"/>
    <s v="SP.DYN.LE00.IN"/>
    <x v="11"/>
    <n v="80"/>
    <x v="1"/>
  </r>
  <r>
    <x v="30"/>
    <s v="ITA"/>
    <x v="3"/>
    <s v="SP.DYN.LE00.IN"/>
    <x v="12"/>
    <n v="80"/>
    <x v="1"/>
  </r>
  <r>
    <x v="30"/>
    <s v="ITA"/>
    <x v="3"/>
    <s v="SP.DYN.LE00.IN"/>
    <x v="13"/>
    <n v="80"/>
    <x v="1"/>
  </r>
  <r>
    <x v="30"/>
    <s v="ITA"/>
    <x v="3"/>
    <s v="SP.DYN.LE00.IN"/>
    <x v="14"/>
    <n v="81"/>
    <x v="1"/>
  </r>
  <r>
    <x v="30"/>
    <s v="ITA"/>
    <x v="3"/>
    <s v="SP.DYN.LE00.IN"/>
    <x v="15"/>
    <n v="81"/>
    <x v="1"/>
  </r>
  <r>
    <x v="30"/>
    <s v="ITA"/>
    <x v="3"/>
    <s v="SP.DYN.LE00.IN"/>
    <x v="16"/>
    <n v="81"/>
    <x v="1"/>
  </r>
  <r>
    <x v="30"/>
    <s v="ITA"/>
    <x v="3"/>
    <s v="SP.DYN.LE00.IN"/>
    <x v="17"/>
    <n v="81"/>
    <x v="2"/>
  </r>
  <r>
    <x v="30"/>
    <s v="ITA"/>
    <x v="3"/>
    <s v="SP.DYN.LE00.IN"/>
    <x v="18"/>
    <n v="81"/>
    <x v="2"/>
  </r>
  <r>
    <x v="30"/>
    <s v="ITA"/>
    <x v="3"/>
    <s v="SP.DYN.LE00.IN"/>
    <x v="19"/>
    <n v="82"/>
    <x v="2"/>
  </r>
  <r>
    <x v="30"/>
    <s v="ITA"/>
    <x v="3"/>
    <s v="SP.DYN.LE00.IN"/>
    <x v="20"/>
    <n v="82"/>
    <x v="2"/>
  </r>
  <r>
    <x v="30"/>
    <s v="ITA"/>
    <x v="3"/>
    <s v="SP.DYN.LE00.IN"/>
    <x v="21"/>
    <n v="82"/>
    <x v="2"/>
  </r>
  <r>
    <x v="30"/>
    <s v="ITA"/>
    <x v="3"/>
    <s v="SP.DYN.LE00.IN"/>
    <x v="22"/>
    <n v="82"/>
    <x v="2"/>
  </r>
  <r>
    <x v="30"/>
    <s v="ITA"/>
    <x v="3"/>
    <s v="SP.DYN.LE00.IN"/>
    <x v="23"/>
    <n v="83"/>
    <x v="2"/>
  </r>
  <r>
    <x v="30"/>
    <s v="ITA"/>
    <x v="3"/>
    <s v="SP.DYN.LE00.IN"/>
    <x v="24"/>
    <n v="83"/>
    <x v="2"/>
  </r>
  <r>
    <x v="30"/>
    <s v="ITA"/>
    <x v="3"/>
    <s v="SP.DYN.LE00.IN"/>
    <x v="25"/>
    <n v="83"/>
    <x v="2"/>
  </r>
  <r>
    <x v="30"/>
    <s v="ITA"/>
    <x v="3"/>
    <s v="SP.DYN.LE00.IN"/>
    <x v="26"/>
    <n v="83"/>
    <x v="2"/>
  </r>
  <r>
    <x v="30"/>
    <s v="ITA"/>
    <x v="3"/>
    <s v="SP.DYN.LE00.IN"/>
    <x v="27"/>
    <n v="83"/>
    <x v="3"/>
  </r>
  <r>
    <x v="30"/>
    <s v="ITA"/>
    <x v="3"/>
    <s v="SP.DYN.LE00.IN"/>
    <x v="28"/>
    <n v="83"/>
    <x v="3"/>
  </r>
  <r>
    <x v="30"/>
    <s v="ITA"/>
    <x v="3"/>
    <s v="SP.DYN.LE00.IN"/>
    <x v="29"/>
    <n v="83"/>
    <x v="3"/>
  </r>
  <r>
    <x v="30"/>
    <s v="ITA"/>
    <x v="3"/>
    <s v="SP.DYN.LE00.IN"/>
    <x v="30"/>
    <n v="82"/>
    <x v="3"/>
  </r>
  <r>
    <x v="30"/>
    <s v="ITA"/>
    <x v="3"/>
    <s v="SP.DYN.LE00.IN"/>
    <x v="31"/>
    <n v="83"/>
    <x v="6"/>
  </r>
  <r>
    <x v="30"/>
    <s v="ITA"/>
    <x v="3"/>
    <s v="SP.DYN.LE00.IN"/>
    <x v="32"/>
    <n v="83"/>
    <x v="6"/>
  </r>
  <r>
    <x v="30"/>
    <s v="ITA"/>
    <x v="3"/>
    <s v="SP.DYN.LE00.IN"/>
    <x v="33"/>
    <n v="84"/>
    <x v="6"/>
  </r>
  <r>
    <x v="31"/>
    <s v="KAZ"/>
    <x v="3"/>
    <s v="SP.DYN.LE00.IN"/>
    <x v="55"/>
    <n v="58"/>
    <x v="6"/>
  </r>
  <r>
    <x v="31"/>
    <s v="KAZ"/>
    <x v="3"/>
    <s v="SP.DYN.LE00.IN"/>
    <x v="56"/>
    <n v="58"/>
    <x v="6"/>
  </r>
  <r>
    <x v="31"/>
    <s v="KAZ"/>
    <x v="3"/>
    <s v="SP.DYN.LE00.IN"/>
    <x v="57"/>
    <n v="58"/>
    <x v="6"/>
  </r>
  <r>
    <x v="31"/>
    <s v="KAZ"/>
    <x v="3"/>
    <s v="SP.DYN.LE00.IN"/>
    <x v="58"/>
    <n v="59"/>
    <x v="6"/>
  </r>
  <r>
    <x v="31"/>
    <s v="KAZ"/>
    <x v="3"/>
    <s v="SP.DYN.LE00.IN"/>
    <x v="59"/>
    <n v="59"/>
    <x v="6"/>
  </r>
  <r>
    <x v="31"/>
    <s v="KAZ"/>
    <x v="3"/>
    <s v="SP.DYN.LE00.IN"/>
    <x v="60"/>
    <n v="59"/>
    <x v="6"/>
  </r>
  <r>
    <x v="31"/>
    <s v="KAZ"/>
    <x v="3"/>
    <s v="SP.DYN.LE00.IN"/>
    <x v="61"/>
    <n v="59"/>
    <x v="6"/>
  </r>
  <r>
    <x v="31"/>
    <s v="KAZ"/>
    <x v="3"/>
    <s v="SP.DYN.LE00.IN"/>
    <x v="62"/>
    <n v="59"/>
    <x v="4"/>
  </r>
  <r>
    <x v="31"/>
    <s v="KAZ"/>
    <x v="3"/>
    <s v="SP.DYN.LE00.IN"/>
    <x v="63"/>
    <n v="60"/>
    <x v="4"/>
  </r>
  <r>
    <x v="31"/>
    <s v="KAZ"/>
    <x v="3"/>
    <s v="SP.DYN.LE00.IN"/>
    <x v="64"/>
    <n v="60"/>
    <x v="4"/>
  </r>
  <r>
    <x v="31"/>
    <s v="KAZ"/>
    <x v="3"/>
    <s v="SP.DYN.LE00.IN"/>
    <x v="34"/>
    <n v="60"/>
    <x v="4"/>
  </r>
  <r>
    <x v="31"/>
    <s v="KAZ"/>
    <x v="3"/>
    <s v="SP.DYN.LE00.IN"/>
    <x v="35"/>
    <n v="60"/>
    <x v="4"/>
  </r>
  <r>
    <x v="31"/>
    <s v="KAZ"/>
    <x v="3"/>
    <s v="SP.DYN.LE00.IN"/>
    <x v="36"/>
    <n v="60"/>
    <x v="4"/>
  </r>
  <r>
    <x v="31"/>
    <s v="KAZ"/>
    <x v="3"/>
    <s v="SP.DYN.LE00.IN"/>
    <x v="37"/>
    <n v="61"/>
    <x v="4"/>
  </r>
  <r>
    <x v="31"/>
    <s v="KAZ"/>
    <x v="3"/>
    <s v="SP.DYN.LE00.IN"/>
    <x v="38"/>
    <n v="61"/>
    <x v="4"/>
  </r>
  <r>
    <x v="31"/>
    <s v="KAZ"/>
    <x v="3"/>
    <s v="SP.DYN.LE00.IN"/>
    <x v="39"/>
    <n v="61"/>
    <x v="4"/>
  </r>
  <r>
    <x v="31"/>
    <s v="KAZ"/>
    <x v="3"/>
    <s v="SP.DYN.LE00.IN"/>
    <x v="40"/>
    <n v="61"/>
    <x v="4"/>
  </r>
  <r>
    <x v="31"/>
    <s v="KAZ"/>
    <x v="3"/>
    <s v="SP.DYN.LE00.IN"/>
    <x v="41"/>
    <n v="62"/>
    <x v="5"/>
  </r>
  <r>
    <x v="31"/>
    <s v="KAZ"/>
    <x v="3"/>
    <s v="SP.DYN.LE00.IN"/>
    <x v="42"/>
    <n v="62"/>
    <x v="5"/>
  </r>
  <r>
    <x v="31"/>
    <s v="KAZ"/>
    <x v="3"/>
    <s v="SP.DYN.LE00.IN"/>
    <x v="43"/>
    <n v="62"/>
    <x v="5"/>
  </r>
  <r>
    <x v="31"/>
    <s v="KAZ"/>
    <x v="3"/>
    <s v="SP.DYN.LE00.IN"/>
    <x v="44"/>
    <n v="63"/>
    <x v="5"/>
  </r>
  <r>
    <x v="31"/>
    <s v="KAZ"/>
    <x v="3"/>
    <s v="SP.DYN.LE00.IN"/>
    <x v="45"/>
    <n v="63"/>
    <x v="5"/>
  </r>
  <r>
    <x v="31"/>
    <s v="KAZ"/>
    <x v="3"/>
    <s v="SP.DYN.LE00.IN"/>
    <x v="46"/>
    <n v="64"/>
    <x v="5"/>
  </r>
  <r>
    <x v="31"/>
    <s v="KAZ"/>
    <x v="3"/>
    <s v="SP.DYN.LE00.IN"/>
    <x v="47"/>
    <n v="64"/>
    <x v="5"/>
  </r>
  <r>
    <x v="31"/>
    <s v="KAZ"/>
    <x v="3"/>
    <s v="SP.DYN.LE00.IN"/>
    <x v="48"/>
    <n v="65"/>
    <x v="5"/>
  </r>
  <r>
    <x v="31"/>
    <s v="KAZ"/>
    <x v="3"/>
    <s v="SP.DYN.LE00.IN"/>
    <x v="49"/>
    <n v="65"/>
    <x v="5"/>
  </r>
  <r>
    <x v="31"/>
    <s v="KAZ"/>
    <x v="3"/>
    <s v="SP.DYN.LE00.IN"/>
    <x v="50"/>
    <n v="66"/>
    <x v="5"/>
  </r>
  <r>
    <x v="31"/>
    <s v="KAZ"/>
    <x v="3"/>
    <s v="SP.DYN.LE00.IN"/>
    <x v="51"/>
    <n v="66"/>
    <x v="0"/>
  </r>
  <r>
    <x v="31"/>
    <s v="KAZ"/>
    <x v="3"/>
    <s v="SP.DYN.LE00.IN"/>
    <x v="52"/>
    <n v="66"/>
    <x v="0"/>
  </r>
  <r>
    <x v="31"/>
    <s v="KAZ"/>
    <x v="3"/>
    <s v="SP.DYN.LE00.IN"/>
    <x v="53"/>
    <n v="66"/>
    <x v="0"/>
  </r>
  <r>
    <x v="31"/>
    <s v="KAZ"/>
    <x v="3"/>
    <s v="SP.DYN.LE00.IN"/>
    <x v="0"/>
    <n v="66"/>
    <x v="0"/>
  </r>
  <r>
    <x v="31"/>
    <s v="KAZ"/>
    <x v="3"/>
    <s v="SP.DYN.LE00.IN"/>
    <x v="1"/>
    <n v="65"/>
    <x v="0"/>
  </r>
  <r>
    <x v="31"/>
    <s v="KAZ"/>
    <x v="3"/>
    <s v="SP.DYN.LE00.IN"/>
    <x v="2"/>
    <n v="65"/>
    <x v="0"/>
  </r>
  <r>
    <x v="31"/>
    <s v="KAZ"/>
    <x v="3"/>
    <s v="SP.DYN.LE00.IN"/>
    <x v="3"/>
    <n v="65"/>
    <x v="0"/>
  </r>
  <r>
    <x v="31"/>
    <s v="KAZ"/>
    <x v="3"/>
    <s v="SP.DYN.LE00.IN"/>
    <x v="4"/>
    <n v="64"/>
    <x v="0"/>
  </r>
  <r>
    <x v="31"/>
    <s v="KAZ"/>
    <x v="3"/>
    <s v="SP.DYN.LE00.IN"/>
    <x v="5"/>
    <n v="64"/>
    <x v="0"/>
  </r>
  <r>
    <x v="31"/>
    <s v="KAZ"/>
    <x v="3"/>
    <s v="SP.DYN.LE00.IN"/>
    <x v="6"/>
    <n v="63"/>
    <x v="0"/>
  </r>
  <r>
    <x v="31"/>
    <s v="KAZ"/>
    <x v="3"/>
    <s v="SP.DYN.LE00.IN"/>
    <x v="7"/>
    <n v="63"/>
    <x v="1"/>
  </r>
  <r>
    <x v="31"/>
    <s v="KAZ"/>
    <x v="3"/>
    <s v="SP.DYN.LE00.IN"/>
    <x v="8"/>
    <n v="63"/>
    <x v="1"/>
  </r>
  <r>
    <x v="31"/>
    <s v="KAZ"/>
    <x v="3"/>
    <s v="SP.DYN.LE00.IN"/>
    <x v="9"/>
    <n v="64"/>
    <x v="1"/>
  </r>
  <r>
    <x v="31"/>
    <s v="KAZ"/>
    <x v="3"/>
    <s v="SP.DYN.LE00.IN"/>
    <x v="10"/>
    <n v="64"/>
    <x v="1"/>
  </r>
  <r>
    <x v="31"/>
    <s v="KAZ"/>
    <x v="3"/>
    <s v="SP.DYN.LE00.IN"/>
    <x v="11"/>
    <n v="64"/>
    <x v="1"/>
  </r>
  <r>
    <x v="31"/>
    <s v="KAZ"/>
    <x v="3"/>
    <s v="SP.DYN.LE00.IN"/>
    <x v="12"/>
    <n v="64"/>
    <x v="1"/>
  </r>
  <r>
    <x v="31"/>
    <s v="KAZ"/>
    <x v="3"/>
    <s v="SP.DYN.LE00.IN"/>
    <x v="13"/>
    <n v="65"/>
    <x v="1"/>
  </r>
  <r>
    <x v="31"/>
    <s v="KAZ"/>
    <x v="3"/>
    <s v="SP.DYN.LE00.IN"/>
    <x v="14"/>
    <n v="65"/>
    <x v="1"/>
  </r>
  <r>
    <x v="31"/>
    <s v="KAZ"/>
    <x v="3"/>
    <s v="SP.DYN.LE00.IN"/>
    <x v="15"/>
    <n v="65"/>
    <x v="1"/>
  </r>
  <r>
    <x v="31"/>
    <s v="KAZ"/>
    <x v="3"/>
    <s v="SP.DYN.LE00.IN"/>
    <x v="16"/>
    <n v="66"/>
    <x v="1"/>
  </r>
  <r>
    <x v="31"/>
    <s v="KAZ"/>
    <x v="3"/>
    <s v="SP.DYN.LE00.IN"/>
    <x v="17"/>
    <n v="66"/>
    <x v="2"/>
  </r>
  <r>
    <x v="31"/>
    <s v="KAZ"/>
    <x v="3"/>
    <s v="SP.DYN.LE00.IN"/>
    <x v="18"/>
    <n v="67"/>
    <x v="2"/>
  </r>
  <r>
    <x v="31"/>
    <s v="KAZ"/>
    <x v="3"/>
    <s v="SP.DYN.LE00.IN"/>
    <x v="19"/>
    <n v="67"/>
    <x v="2"/>
  </r>
  <r>
    <x v="31"/>
    <s v="KAZ"/>
    <x v="3"/>
    <s v="SP.DYN.LE00.IN"/>
    <x v="20"/>
    <n v="68"/>
    <x v="2"/>
  </r>
  <r>
    <x v="31"/>
    <s v="KAZ"/>
    <x v="3"/>
    <s v="SP.DYN.LE00.IN"/>
    <x v="21"/>
    <n v="69"/>
    <x v="2"/>
  </r>
  <r>
    <x v="31"/>
    <s v="KAZ"/>
    <x v="3"/>
    <s v="SP.DYN.LE00.IN"/>
    <x v="22"/>
    <n v="70"/>
    <x v="2"/>
  </r>
  <r>
    <x v="31"/>
    <s v="KAZ"/>
    <x v="3"/>
    <s v="SP.DYN.LE00.IN"/>
    <x v="23"/>
    <n v="71"/>
    <x v="2"/>
  </r>
  <r>
    <x v="31"/>
    <s v="KAZ"/>
    <x v="3"/>
    <s v="SP.DYN.LE00.IN"/>
    <x v="24"/>
    <n v="71"/>
    <x v="2"/>
  </r>
  <r>
    <x v="31"/>
    <s v="KAZ"/>
    <x v="3"/>
    <s v="SP.DYN.LE00.IN"/>
    <x v="25"/>
    <n v="72"/>
    <x v="2"/>
  </r>
  <r>
    <x v="31"/>
    <s v="KAZ"/>
    <x v="3"/>
    <s v="SP.DYN.LE00.IN"/>
    <x v="26"/>
    <n v="73"/>
    <x v="2"/>
  </r>
  <r>
    <x v="31"/>
    <s v="KAZ"/>
    <x v="3"/>
    <s v="SP.DYN.LE00.IN"/>
    <x v="27"/>
    <n v="73"/>
    <x v="3"/>
  </r>
  <r>
    <x v="31"/>
    <s v="KAZ"/>
    <x v="3"/>
    <s v="SP.DYN.LE00.IN"/>
    <x v="28"/>
    <n v="73"/>
    <x v="3"/>
  </r>
  <r>
    <x v="31"/>
    <s v="KAZ"/>
    <x v="3"/>
    <s v="SP.DYN.LE00.IN"/>
    <x v="29"/>
    <n v="74"/>
    <x v="3"/>
  </r>
  <r>
    <x v="31"/>
    <s v="KAZ"/>
    <x v="3"/>
    <s v="SP.DYN.LE00.IN"/>
    <x v="30"/>
    <n v="71"/>
    <x v="3"/>
  </r>
  <r>
    <x v="31"/>
    <s v="KAZ"/>
    <x v="3"/>
    <s v="SP.DYN.LE00.IN"/>
    <x v="31"/>
    <n v="70"/>
    <x v="6"/>
  </r>
  <r>
    <x v="31"/>
    <s v="KAZ"/>
    <x v="3"/>
    <s v="SP.DYN.LE00.IN"/>
    <x v="32"/>
    <n v="74"/>
    <x v="6"/>
  </r>
  <r>
    <x v="31"/>
    <s v="KAZ"/>
    <x v="3"/>
    <s v="SP.DYN.LE00.IN"/>
    <x v="33"/>
    <n v="74"/>
    <x v="6"/>
  </r>
  <r>
    <x v="32"/>
    <s v="KGZ"/>
    <x v="3"/>
    <s v="SP.DYN.LE00.IN"/>
    <x v="55"/>
    <n v="55"/>
    <x v="6"/>
  </r>
  <r>
    <x v="32"/>
    <s v="KGZ"/>
    <x v="3"/>
    <s v="SP.DYN.LE00.IN"/>
    <x v="56"/>
    <n v="55"/>
    <x v="6"/>
  </r>
  <r>
    <x v="32"/>
    <s v="KGZ"/>
    <x v="3"/>
    <s v="SP.DYN.LE00.IN"/>
    <x v="57"/>
    <n v="56"/>
    <x v="6"/>
  </r>
  <r>
    <x v="32"/>
    <s v="KGZ"/>
    <x v="3"/>
    <s v="SP.DYN.LE00.IN"/>
    <x v="58"/>
    <n v="56"/>
    <x v="6"/>
  </r>
  <r>
    <x v="32"/>
    <s v="KGZ"/>
    <x v="3"/>
    <s v="SP.DYN.LE00.IN"/>
    <x v="59"/>
    <n v="56"/>
    <x v="6"/>
  </r>
  <r>
    <x v="32"/>
    <s v="KGZ"/>
    <x v="3"/>
    <s v="SP.DYN.LE00.IN"/>
    <x v="60"/>
    <n v="57"/>
    <x v="6"/>
  </r>
  <r>
    <x v="32"/>
    <s v="KGZ"/>
    <x v="3"/>
    <s v="SP.DYN.LE00.IN"/>
    <x v="61"/>
    <n v="57"/>
    <x v="6"/>
  </r>
  <r>
    <x v="32"/>
    <s v="KGZ"/>
    <x v="3"/>
    <s v="SP.DYN.LE00.IN"/>
    <x v="62"/>
    <n v="57"/>
    <x v="4"/>
  </r>
  <r>
    <x v="32"/>
    <s v="KGZ"/>
    <x v="3"/>
    <s v="SP.DYN.LE00.IN"/>
    <x v="63"/>
    <n v="57"/>
    <x v="4"/>
  </r>
  <r>
    <x v="32"/>
    <s v="KGZ"/>
    <x v="3"/>
    <s v="SP.DYN.LE00.IN"/>
    <x v="64"/>
    <n v="58"/>
    <x v="4"/>
  </r>
  <r>
    <x v="32"/>
    <s v="KGZ"/>
    <x v="3"/>
    <s v="SP.DYN.LE00.IN"/>
    <x v="34"/>
    <n v="58"/>
    <x v="4"/>
  </r>
  <r>
    <x v="32"/>
    <s v="KGZ"/>
    <x v="3"/>
    <s v="SP.DYN.LE00.IN"/>
    <x v="35"/>
    <n v="58"/>
    <x v="4"/>
  </r>
  <r>
    <x v="32"/>
    <s v="KGZ"/>
    <x v="3"/>
    <s v="SP.DYN.LE00.IN"/>
    <x v="36"/>
    <n v="59"/>
    <x v="4"/>
  </r>
  <r>
    <x v="32"/>
    <s v="KGZ"/>
    <x v="3"/>
    <s v="SP.DYN.LE00.IN"/>
    <x v="37"/>
    <n v="59"/>
    <x v="4"/>
  </r>
  <r>
    <x v="32"/>
    <s v="KGZ"/>
    <x v="3"/>
    <s v="SP.DYN.LE00.IN"/>
    <x v="38"/>
    <n v="59"/>
    <x v="4"/>
  </r>
  <r>
    <x v="32"/>
    <s v="KGZ"/>
    <x v="3"/>
    <s v="SP.DYN.LE00.IN"/>
    <x v="39"/>
    <n v="60"/>
    <x v="4"/>
  </r>
  <r>
    <x v="32"/>
    <s v="KGZ"/>
    <x v="3"/>
    <s v="SP.DYN.LE00.IN"/>
    <x v="40"/>
    <n v="60"/>
    <x v="4"/>
  </r>
  <r>
    <x v="32"/>
    <s v="KGZ"/>
    <x v="3"/>
    <s v="SP.DYN.LE00.IN"/>
    <x v="41"/>
    <n v="60"/>
    <x v="5"/>
  </r>
  <r>
    <x v="32"/>
    <s v="KGZ"/>
    <x v="3"/>
    <s v="SP.DYN.LE00.IN"/>
    <x v="42"/>
    <n v="60"/>
    <x v="5"/>
  </r>
  <r>
    <x v="32"/>
    <s v="KGZ"/>
    <x v="3"/>
    <s v="SP.DYN.LE00.IN"/>
    <x v="43"/>
    <n v="61"/>
    <x v="5"/>
  </r>
  <r>
    <x v="32"/>
    <s v="KGZ"/>
    <x v="3"/>
    <s v="SP.DYN.LE00.IN"/>
    <x v="44"/>
    <n v="61"/>
    <x v="5"/>
  </r>
  <r>
    <x v="32"/>
    <s v="KGZ"/>
    <x v="3"/>
    <s v="SP.DYN.LE00.IN"/>
    <x v="45"/>
    <n v="62"/>
    <x v="5"/>
  </r>
  <r>
    <x v="32"/>
    <s v="KGZ"/>
    <x v="3"/>
    <s v="SP.DYN.LE00.IN"/>
    <x v="46"/>
    <n v="62"/>
    <x v="5"/>
  </r>
  <r>
    <x v="32"/>
    <s v="KGZ"/>
    <x v="3"/>
    <s v="SP.DYN.LE00.IN"/>
    <x v="47"/>
    <n v="62"/>
    <x v="5"/>
  </r>
  <r>
    <x v="32"/>
    <s v="KGZ"/>
    <x v="3"/>
    <s v="SP.DYN.LE00.IN"/>
    <x v="48"/>
    <n v="63"/>
    <x v="5"/>
  </r>
  <r>
    <x v="32"/>
    <s v="KGZ"/>
    <x v="3"/>
    <s v="SP.DYN.LE00.IN"/>
    <x v="49"/>
    <n v="63"/>
    <x v="5"/>
  </r>
  <r>
    <x v="32"/>
    <s v="KGZ"/>
    <x v="3"/>
    <s v="SP.DYN.LE00.IN"/>
    <x v="50"/>
    <n v="64"/>
    <x v="5"/>
  </r>
  <r>
    <x v="32"/>
    <s v="KGZ"/>
    <x v="3"/>
    <s v="SP.DYN.LE00.IN"/>
    <x v="51"/>
    <n v="65"/>
    <x v="0"/>
  </r>
  <r>
    <x v="32"/>
    <s v="KGZ"/>
    <x v="3"/>
    <s v="SP.DYN.LE00.IN"/>
    <x v="52"/>
    <n v="65"/>
    <x v="0"/>
  </r>
  <r>
    <x v="32"/>
    <s v="KGZ"/>
    <x v="3"/>
    <s v="SP.DYN.LE00.IN"/>
    <x v="53"/>
    <n v="68"/>
    <x v="0"/>
  </r>
  <r>
    <x v="32"/>
    <s v="KGZ"/>
    <x v="3"/>
    <s v="SP.DYN.LE00.IN"/>
    <x v="0"/>
    <n v="68"/>
    <x v="0"/>
  </r>
  <r>
    <x v="32"/>
    <s v="KGZ"/>
    <x v="3"/>
    <s v="SP.DYN.LE00.IN"/>
    <x v="1"/>
    <n v="69"/>
    <x v="0"/>
  </r>
  <r>
    <x v="32"/>
    <s v="KGZ"/>
    <x v="3"/>
    <s v="SP.DYN.LE00.IN"/>
    <x v="2"/>
    <n v="68"/>
    <x v="0"/>
  </r>
  <r>
    <x v="32"/>
    <s v="KGZ"/>
    <x v="3"/>
    <s v="SP.DYN.LE00.IN"/>
    <x v="3"/>
    <n v="67"/>
    <x v="0"/>
  </r>
  <r>
    <x v="32"/>
    <s v="KGZ"/>
    <x v="3"/>
    <s v="SP.DYN.LE00.IN"/>
    <x v="4"/>
    <n v="66"/>
    <x v="0"/>
  </r>
  <r>
    <x v="32"/>
    <s v="KGZ"/>
    <x v="3"/>
    <s v="SP.DYN.LE00.IN"/>
    <x v="5"/>
    <n v="66"/>
    <x v="0"/>
  </r>
  <r>
    <x v="32"/>
    <s v="KGZ"/>
    <x v="3"/>
    <s v="SP.DYN.LE00.IN"/>
    <x v="6"/>
    <n v="67"/>
    <x v="0"/>
  </r>
  <r>
    <x v="32"/>
    <s v="KGZ"/>
    <x v="3"/>
    <s v="SP.DYN.LE00.IN"/>
    <x v="7"/>
    <n v="67"/>
    <x v="1"/>
  </r>
  <r>
    <x v="32"/>
    <s v="KGZ"/>
    <x v="3"/>
    <s v="SP.DYN.LE00.IN"/>
    <x v="8"/>
    <n v="67"/>
    <x v="1"/>
  </r>
  <r>
    <x v="32"/>
    <s v="KGZ"/>
    <x v="3"/>
    <s v="SP.DYN.LE00.IN"/>
    <x v="9"/>
    <n v="69"/>
    <x v="1"/>
  </r>
  <r>
    <x v="32"/>
    <s v="KGZ"/>
    <x v="3"/>
    <s v="SP.DYN.LE00.IN"/>
    <x v="10"/>
    <n v="69"/>
    <x v="1"/>
  </r>
  <r>
    <x v="32"/>
    <s v="KGZ"/>
    <x v="3"/>
    <s v="SP.DYN.LE00.IN"/>
    <x v="11"/>
    <n v="69"/>
    <x v="1"/>
  </r>
  <r>
    <x v="32"/>
    <s v="KGZ"/>
    <x v="3"/>
    <s v="SP.DYN.LE00.IN"/>
    <x v="12"/>
    <n v="68"/>
    <x v="1"/>
  </r>
  <r>
    <x v="32"/>
    <s v="KGZ"/>
    <x v="3"/>
    <s v="SP.DYN.LE00.IN"/>
    <x v="13"/>
    <n v="68"/>
    <x v="1"/>
  </r>
  <r>
    <x v="32"/>
    <s v="KGZ"/>
    <x v="3"/>
    <s v="SP.DYN.LE00.IN"/>
    <x v="14"/>
    <n v="68"/>
    <x v="1"/>
  </r>
  <r>
    <x v="32"/>
    <s v="KGZ"/>
    <x v="3"/>
    <s v="SP.DYN.LE00.IN"/>
    <x v="15"/>
    <n v="68"/>
    <x v="1"/>
  </r>
  <r>
    <x v="32"/>
    <s v="KGZ"/>
    <x v="3"/>
    <s v="SP.DYN.LE00.IN"/>
    <x v="16"/>
    <n v="68"/>
    <x v="1"/>
  </r>
  <r>
    <x v="32"/>
    <s v="KGZ"/>
    <x v="3"/>
    <s v="SP.DYN.LE00.IN"/>
    <x v="17"/>
    <n v="68"/>
    <x v="2"/>
  </r>
  <r>
    <x v="32"/>
    <s v="KGZ"/>
    <x v="3"/>
    <s v="SP.DYN.LE00.IN"/>
    <x v="18"/>
    <n v="68"/>
    <x v="2"/>
  </r>
  <r>
    <x v="32"/>
    <s v="KGZ"/>
    <x v="3"/>
    <s v="SP.DYN.LE00.IN"/>
    <x v="19"/>
    <n v="69"/>
    <x v="2"/>
  </r>
  <r>
    <x v="32"/>
    <s v="KGZ"/>
    <x v="3"/>
    <s v="SP.DYN.LE00.IN"/>
    <x v="20"/>
    <n v="69"/>
    <x v="2"/>
  </r>
  <r>
    <x v="32"/>
    <s v="KGZ"/>
    <x v="3"/>
    <s v="SP.DYN.LE00.IN"/>
    <x v="21"/>
    <n v="70"/>
    <x v="2"/>
  </r>
  <r>
    <x v="32"/>
    <s v="KGZ"/>
    <x v="3"/>
    <s v="SP.DYN.LE00.IN"/>
    <x v="22"/>
    <n v="70"/>
    <x v="2"/>
  </r>
  <r>
    <x v="32"/>
    <s v="KGZ"/>
    <x v="3"/>
    <s v="SP.DYN.LE00.IN"/>
    <x v="23"/>
    <n v="70"/>
    <x v="2"/>
  </r>
  <r>
    <x v="32"/>
    <s v="KGZ"/>
    <x v="3"/>
    <s v="SP.DYN.LE00.IN"/>
    <x v="24"/>
    <n v="70"/>
    <x v="2"/>
  </r>
  <r>
    <x v="32"/>
    <s v="KGZ"/>
    <x v="3"/>
    <s v="SP.DYN.LE00.IN"/>
    <x v="25"/>
    <n v="71"/>
    <x v="2"/>
  </r>
  <r>
    <x v="32"/>
    <s v="KGZ"/>
    <x v="3"/>
    <s v="SP.DYN.LE00.IN"/>
    <x v="26"/>
    <n v="71"/>
    <x v="2"/>
  </r>
  <r>
    <x v="32"/>
    <s v="KGZ"/>
    <x v="3"/>
    <s v="SP.DYN.LE00.IN"/>
    <x v="27"/>
    <n v="71"/>
    <x v="3"/>
  </r>
  <r>
    <x v="32"/>
    <s v="KGZ"/>
    <x v="3"/>
    <s v="SP.DYN.LE00.IN"/>
    <x v="28"/>
    <n v="71"/>
    <x v="3"/>
  </r>
  <r>
    <x v="32"/>
    <s v="KGZ"/>
    <x v="3"/>
    <s v="SP.DYN.LE00.IN"/>
    <x v="29"/>
    <n v="72"/>
    <x v="3"/>
  </r>
  <r>
    <x v="32"/>
    <s v="KGZ"/>
    <x v="3"/>
    <s v="SP.DYN.LE00.IN"/>
    <x v="30"/>
    <n v="72"/>
    <x v="3"/>
  </r>
  <r>
    <x v="32"/>
    <s v="KGZ"/>
    <x v="3"/>
    <s v="SP.DYN.LE00.IN"/>
    <x v="31"/>
    <n v="72"/>
    <x v="6"/>
  </r>
  <r>
    <x v="32"/>
    <s v="KGZ"/>
    <x v="3"/>
    <s v="SP.DYN.LE00.IN"/>
    <x v="32"/>
    <n v="72"/>
    <x v="6"/>
  </r>
  <r>
    <x v="32"/>
    <s v="KGZ"/>
    <x v="3"/>
    <s v="SP.DYN.LE00.IN"/>
    <x v="33"/>
    <n v="72"/>
    <x v="6"/>
  </r>
  <r>
    <x v="33"/>
    <s v="LIE"/>
    <x v="3"/>
    <s v="SP.DYN.LE00.IN"/>
    <x v="55"/>
    <n v="71"/>
    <x v="6"/>
  </r>
  <r>
    <x v="33"/>
    <s v="LIE"/>
    <x v="3"/>
    <s v="SP.DYN.LE00.IN"/>
    <x v="56"/>
    <n v="71"/>
    <x v="6"/>
  </r>
  <r>
    <x v="33"/>
    <s v="LIE"/>
    <x v="3"/>
    <s v="SP.DYN.LE00.IN"/>
    <x v="57"/>
    <n v="71"/>
    <x v="6"/>
  </r>
  <r>
    <x v="33"/>
    <s v="LIE"/>
    <x v="3"/>
    <s v="SP.DYN.LE00.IN"/>
    <x v="58"/>
    <n v="71"/>
    <x v="6"/>
  </r>
  <r>
    <x v="33"/>
    <s v="LIE"/>
    <x v="3"/>
    <s v="SP.DYN.LE00.IN"/>
    <x v="59"/>
    <n v="71"/>
    <x v="6"/>
  </r>
  <r>
    <x v="33"/>
    <s v="LIE"/>
    <x v="3"/>
    <s v="SP.DYN.LE00.IN"/>
    <x v="60"/>
    <n v="71"/>
    <x v="6"/>
  </r>
  <r>
    <x v="33"/>
    <s v="LIE"/>
    <x v="3"/>
    <s v="SP.DYN.LE00.IN"/>
    <x v="61"/>
    <n v="72"/>
    <x v="6"/>
  </r>
  <r>
    <x v="33"/>
    <s v="LIE"/>
    <x v="3"/>
    <s v="SP.DYN.LE00.IN"/>
    <x v="62"/>
    <n v="72"/>
    <x v="4"/>
  </r>
  <r>
    <x v="33"/>
    <s v="LIE"/>
    <x v="3"/>
    <s v="SP.DYN.LE00.IN"/>
    <x v="63"/>
    <n v="72"/>
    <x v="4"/>
  </r>
  <r>
    <x v="33"/>
    <s v="LIE"/>
    <x v="3"/>
    <s v="SP.DYN.LE00.IN"/>
    <x v="64"/>
    <n v="73"/>
    <x v="4"/>
  </r>
  <r>
    <x v="33"/>
    <s v="LIE"/>
    <x v="3"/>
    <s v="SP.DYN.LE00.IN"/>
    <x v="34"/>
    <n v="73"/>
    <x v="4"/>
  </r>
  <r>
    <x v="33"/>
    <s v="LIE"/>
    <x v="3"/>
    <s v="SP.DYN.LE00.IN"/>
    <x v="35"/>
    <n v="73"/>
    <x v="4"/>
  </r>
  <r>
    <x v="33"/>
    <s v="LIE"/>
    <x v="3"/>
    <s v="SP.DYN.LE00.IN"/>
    <x v="36"/>
    <n v="73"/>
    <x v="4"/>
  </r>
  <r>
    <x v="33"/>
    <s v="LIE"/>
    <x v="3"/>
    <s v="SP.DYN.LE00.IN"/>
    <x v="37"/>
    <n v="74"/>
    <x v="4"/>
  </r>
  <r>
    <x v="33"/>
    <s v="LIE"/>
    <x v="3"/>
    <s v="SP.DYN.LE00.IN"/>
    <x v="38"/>
    <n v="74"/>
    <x v="4"/>
  </r>
  <r>
    <x v="33"/>
    <s v="LIE"/>
    <x v="3"/>
    <s v="SP.DYN.LE00.IN"/>
    <x v="39"/>
    <n v="74"/>
    <x v="4"/>
  </r>
  <r>
    <x v="33"/>
    <s v="LIE"/>
    <x v="3"/>
    <s v="SP.DYN.LE00.IN"/>
    <x v="40"/>
    <n v="74"/>
    <x v="4"/>
  </r>
  <r>
    <x v="33"/>
    <s v="LIE"/>
    <x v="3"/>
    <s v="SP.DYN.LE00.IN"/>
    <x v="41"/>
    <n v="75"/>
    <x v="5"/>
  </r>
  <r>
    <x v="33"/>
    <s v="LIE"/>
    <x v="3"/>
    <s v="SP.DYN.LE00.IN"/>
    <x v="42"/>
    <n v="75"/>
    <x v="5"/>
  </r>
  <r>
    <x v="33"/>
    <s v="LIE"/>
    <x v="3"/>
    <s v="SP.DYN.LE00.IN"/>
    <x v="43"/>
    <n v="75"/>
    <x v="5"/>
  </r>
  <r>
    <x v="33"/>
    <s v="LIE"/>
    <x v="3"/>
    <s v="SP.DYN.LE00.IN"/>
    <x v="44"/>
    <n v="75"/>
    <x v="5"/>
  </r>
  <r>
    <x v="33"/>
    <s v="LIE"/>
    <x v="3"/>
    <s v="SP.DYN.LE00.IN"/>
    <x v="45"/>
    <n v="75"/>
    <x v="5"/>
  </r>
  <r>
    <x v="33"/>
    <s v="LIE"/>
    <x v="3"/>
    <s v="SP.DYN.LE00.IN"/>
    <x v="46"/>
    <n v="75"/>
    <x v="5"/>
  </r>
  <r>
    <x v="33"/>
    <s v="LIE"/>
    <x v="3"/>
    <s v="SP.DYN.LE00.IN"/>
    <x v="47"/>
    <n v="76"/>
    <x v="5"/>
  </r>
  <r>
    <x v="33"/>
    <s v="LIE"/>
    <x v="3"/>
    <s v="SP.DYN.LE00.IN"/>
    <x v="48"/>
    <n v="76"/>
    <x v="5"/>
  </r>
  <r>
    <x v="33"/>
    <s v="LIE"/>
    <x v="3"/>
    <s v="SP.DYN.LE00.IN"/>
    <x v="49"/>
    <n v="77"/>
    <x v="5"/>
  </r>
  <r>
    <x v="33"/>
    <s v="LIE"/>
    <x v="3"/>
    <s v="SP.DYN.LE00.IN"/>
    <x v="50"/>
    <n v="77"/>
    <x v="5"/>
  </r>
  <r>
    <x v="33"/>
    <s v="LIE"/>
    <x v="3"/>
    <s v="SP.DYN.LE00.IN"/>
    <x v="51"/>
    <n v="78"/>
    <x v="0"/>
  </r>
  <r>
    <x v="33"/>
    <s v="LIE"/>
    <x v="3"/>
    <s v="SP.DYN.LE00.IN"/>
    <x v="52"/>
    <n v="78"/>
    <x v="0"/>
  </r>
  <r>
    <x v="33"/>
    <s v="LIE"/>
    <x v="3"/>
    <s v="SP.DYN.LE00.IN"/>
    <x v="53"/>
    <n v="78"/>
    <x v="0"/>
  </r>
  <r>
    <x v="33"/>
    <s v="LIE"/>
    <x v="3"/>
    <s v="SP.DYN.LE00.IN"/>
    <x v="0"/>
    <n v="78"/>
    <x v="0"/>
  </r>
  <r>
    <x v="33"/>
    <s v="LIE"/>
    <x v="3"/>
    <s v="SP.DYN.LE00.IN"/>
    <x v="1"/>
    <n v="78"/>
    <x v="0"/>
  </r>
  <r>
    <x v="33"/>
    <s v="LIE"/>
    <x v="3"/>
    <s v="SP.DYN.LE00.IN"/>
    <x v="2"/>
    <n v="78"/>
    <x v="0"/>
  </r>
  <r>
    <x v="33"/>
    <s v="LIE"/>
    <x v="3"/>
    <s v="SP.DYN.LE00.IN"/>
    <x v="3"/>
    <n v="78"/>
    <x v="0"/>
  </r>
  <r>
    <x v="33"/>
    <s v="LIE"/>
    <x v="3"/>
    <s v="SP.DYN.LE00.IN"/>
    <x v="4"/>
    <n v="78"/>
    <x v="0"/>
  </r>
  <r>
    <x v="33"/>
    <s v="LIE"/>
    <x v="3"/>
    <s v="SP.DYN.LE00.IN"/>
    <x v="5"/>
    <n v="77"/>
    <x v="0"/>
  </r>
  <r>
    <x v="33"/>
    <s v="LIE"/>
    <x v="3"/>
    <s v="SP.DYN.LE00.IN"/>
    <x v="6"/>
    <n v="77"/>
    <x v="0"/>
  </r>
  <r>
    <x v="33"/>
    <s v="LIE"/>
    <x v="3"/>
    <s v="SP.DYN.LE00.IN"/>
    <x v="7"/>
    <n v="76"/>
    <x v="1"/>
  </r>
  <r>
    <x v="33"/>
    <s v="LIE"/>
    <x v="3"/>
    <s v="SP.DYN.LE00.IN"/>
    <x v="8"/>
    <n v="78"/>
    <x v="1"/>
  </r>
  <r>
    <x v="33"/>
    <s v="LIE"/>
    <x v="3"/>
    <s v="SP.DYN.LE00.IN"/>
    <x v="9"/>
    <n v="79"/>
    <x v="1"/>
  </r>
  <r>
    <x v="33"/>
    <s v="LIE"/>
    <x v="3"/>
    <s v="SP.DYN.LE00.IN"/>
    <x v="10"/>
    <n v="77"/>
    <x v="1"/>
  </r>
  <r>
    <x v="33"/>
    <s v="LIE"/>
    <x v="3"/>
    <s v="SP.DYN.LE00.IN"/>
    <x v="11"/>
    <n v="79"/>
    <x v="1"/>
  </r>
  <r>
    <x v="33"/>
    <s v="LIE"/>
    <x v="3"/>
    <s v="SP.DYN.LE00.IN"/>
    <x v="12"/>
    <n v="80"/>
    <x v="1"/>
  </r>
  <r>
    <x v="33"/>
    <s v="LIE"/>
    <x v="3"/>
    <s v="SP.DYN.LE00.IN"/>
    <x v="13"/>
    <n v="80"/>
    <x v="1"/>
  </r>
  <r>
    <x v="33"/>
    <s v="LIE"/>
    <x v="3"/>
    <s v="SP.DYN.LE00.IN"/>
    <x v="14"/>
    <n v="82"/>
    <x v="1"/>
  </r>
  <r>
    <x v="33"/>
    <s v="LIE"/>
    <x v="3"/>
    <s v="SP.DYN.LE00.IN"/>
    <x v="15"/>
    <n v="81"/>
    <x v="1"/>
  </r>
  <r>
    <x v="33"/>
    <s v="LIE"/>
    <x v="3"/>
    <s v="SP.DYN.LE00.IN"/>
    <x v="16"/>
    <n v="81"/>
    <x v="1"/>
  </r>
  <r>
    <x v="33"/>
    <s v="LIE"/>
    <x v="3"/>
    <s v="SP.DYN.LE00.IN"/>
    <x v="17"/>
    <n v="81"/>
    <x v="2"/>
  </r>
  <r>
    <x v="33"/>
    <s v="LIE"/>
    <x v="3"/>
    <s v="SP.DYN.LE00.IN"/>
    <x v="18"/>
    <n v="83"/>
    <x v="2"/>
  </r>
  <r>
    <x v="33"/>
    <s v="LIE"/>
    <x v="3"/>
    <s v="SP.DYN.LE00.IN"/>
    <x v="19"/>
    <n v="82"/>
    <x v="2"/>
  </r>
  <r>
    <x v="33"/>
    <s v="LIE"/>
    <x v="3"/>
    <s v="SP.DYN.LE00.IN"/>
    <x v="20"/>
    <n v="82"/>
    <x v="2"/>
  </r>
  <r>
    <x v="33"/>
    <s v="LIE"/>
    <x v="3"/>
    <s v="SP.DYN.LE00.IN"/>
    <x v="21"/>
    <n v="82"/>
    <x v="2"/>
  </r>
  <r>
    <x v="33"/>
    <s v="LIE"/>
    <x v="3"/>
    <s v="SP.DYN.LE00.IN"/>
    <x v="22"/>
    <n v="82"/>
    <x v="2"/>
  </r>
  <r>
    <x v="33"/>
    <s v="LIE"/>
    <x v="3"/>
    <s v="SP.DYN.LE00.IN"/>
    <x v="23"/>
    <n v="82"/>
    <x v="2"/>
  </r>
  <r>
    <x v="33"/>
    <s v="LIE"/>
    <x v="3"/>
    <s v="SP.DYN.LE00.IN"/>
    <x v="24"/>
    <n v="82"/>
    <x v="2"/>
  </r>
  <r>
    <x v="33"/>
    <s v="LIE"/>
    <x v="3"/>
    <s v="SP.DYN.LE00.IN"/>
    <x v="25"/>
    <n v="83"/>
    <x v="2"/>
  </r>
  <r>
    <x v="33"/>
    <s v="LIE"/>
    <x v="3"/>
    <s v="SP.DYN.LE00.IN"/>
    <x v="26"/>
    <n v="82"/>
    <x v="2"/>
  </r>
  <r>
    <x v="33"/>
    <s v="LIE"/>
    <x v="3"/>
    <s v="SP.DYN.LE00.IN"/>
    <x v="27"/>
    <n v="84"/>
    <x v="3"/>
  </r>
  <r>
    <x v="33"/>
    <s v="LIE"/>
    <x v="3"/>
    <s v="SP.DYN.LE00.IN"/>
    <x v="28"/>
    <n v="83"/>
    <x v="3"/>
  </r>
  <r>
    <x v="33"/>
    <s v="LIE"/>
    <x v="3"/>
    <s v="SP.DYN.LE00.IN"/>
    <x v="29"/>
    <n v="84"/>
    <x v="3"/>
  </r>
  <r>
    <x v="33"/>
    <s v="LIE"/>
    <x v="3"/>
    <s v="SP.DYN.LE00.IN"/>
    <x v="30"/>
    <n v="82"/>
    <x v="3"/>
  </r>
  <r>
    <x v="33"/>
    <s v="LIE"/>
    <x v="3"/>
    <s v="SP.DYN.LE00.IN"/>
    <x v="31"/>
    <n v="84"/>
    <x v="6"/>
  </r>
  <r>
    <x v="33"/>
    <s v="LIE"/>
    <x v="3"/>
    <s v="SP.DYN.LE00.IN"/>
    <x v="32"/>
    <n v="84"/>
    <x v="6"/>
  </r>
  <r>
    <x v="33"/>
    <s v="LIE"/>
    <x v="3"/>
    <s v="SP.DYN.LE00.IN"/>
    <x v="33"/>
    <n v="85"/>
    <x v="6"/>
  </r>
  <r>
    <x v="34"/>
    <s v="LTU"/>
    <x v="3"/>
    <s v="SP.DYN.LE00.IN"/>
    <x v="55"/>
    <n v="70"/>
    <x v="6"/>
  </r>
  <r>
    <x v="34"/>
    <s v="LTU"/>
    <x v="3"/>
    <s v="SP.DYN.LE00.IN"/>
    <x v="56"/>
    <n v="70"/>
    <x v="6"/>
  </r>
  <r>
    <x v="34"/>
    <s v="LTU"/>
    <x v="3"/>
    <s v="SP.DYN.LE00.IN"/>
    <x v="57"/>
    <n v="69"/>
    <x v="6"/>
  </r>
  <r>
    <x v="34"/>
    <s v="LTU"/>
    <x v="3"/>
    <s v="SP.DYN.LE00.IN"/>
    <x v="58"/>
    <n v="70"/>
    <x v="6"/>
  </r>
  <r>
    <x v="34"/>
    <s v="LTU"/>
    <x v="3"/>
    <s v="SP.DYN.LE00.IN"/>
    <x v="59"/>
    <n v="72"/>
    <x v="6"/>
  </r>
  <r>
    <x v="34"/>
    <s v="LTU"/>
    <x v="3"/>
    <s v="SP.DYN.LE00.IN"/>
    <x v="60"/>
    <n v="71"/>
    <x v="6"/>
  </r>
  <r>
    <x v="34"/>
    <s v="LTU"/>
    <x v="3"/>
    <s v="SP.DYN.LE00.IN"/>
    <x v="61"/>
    <n v="72"/>
    <x v="6"/>
  </r>
  <r>
    <x v="34"/>
    <s v="LTU"/>
    <x v="3"/>
    <s v="SP.DYN.LE00.IN"/>
    <x v="62"/>
    <n v="72"/>
    <x v="4"/>
  </r>
  <r>
    <x v="34"/>
    <s v="LTU"/>
    <x v="3"/>
    <s v="SP.DYN.LE00.IN"/>
    <x v="63"/>
    <n v="71"/>
    <x v="4"/>
  </r>
  <r>
    <x v="34"/>
    <s v="LTU"/>
    <x v="3"/>
    <s v="SP.DYN.LE00.IN"/>
    <x v="64"/>
    <n v="71"/>
    <x v="4"/>
  </r>
  <r>
    <x v="34"/>
    <s v="LTU"/>
    <x v="3"/>
    <s v="SP.DYN.LE00.IN"/>
    <x v="34"/>
    <n v="71"/>
    <x v="4"/>
  </r>
  <r>
    <x v="34"/>
    <s v="LTU"/>
    <x v="3"/>
    <s v="SP.DYN.LE00.IN"/>
    <x v="35"/>
    <n v="72"/>
    <x v="4"/>
  </r>
  <r>
    <x v="34"/>
    <s v="LTU"/>
    <x v="3"/>
    <s v="SP.DYN.LE00.IN"/>
    <x v="36"/>
    <n v="71"/>
    <x v="4"/>
  </r>
  <r>
    <x v="34"/>
    <s v="LTU"/>
    <x v="3"/>
    <s v="SP.DYN.LE00.IN"/>
    <x v="37"/>
    <n v="71"/>
    <x v="4"/>
  </r>
  <r>
    <x v="34"/>
    <s v="LTU"/>
    <x v="3"/>
    <s v="SP.DYN.LE00.IN"/>
    <x v="38"/>
    <n v="71"/>
    <x v="4"/>
  </r>
  <r>
    <x v="34"/>
    <s v="LTU"/>
    <x v="3"/>
    <s v="SP.DYN.LE00.IN"/>
    <x v="39"/>
    <n v="71"/>
    <x v="4"/>
  </r>
  <r>
    <x v="34"/>
    <s v="LTU"/>
    <x v="3"/>
    <s v="SP.DYN.LE00.IN"/>
    <x v="40"/>
    <n v="71"/>
    <x v="4"/>
  </r>
  <r>
    <x v="34"/>
    <s v="LTU"/>
    <x v="3"/>
    <s v="SP.DYN.LE00.IN"/>
    <x v="41"/>
    <n v="71"/>
    <x v="5"/>
  </r>
  <r>
    <x v="34"/>
    <s v="LTU"/>
    <x v="3"/>
    <s v="SP.DYN.LE00.IN"/>
    <x v="42"/>
    <n v="71"/>
    <x v="5"/>
  </r>
  <r>
    <x v="34"/>
    <s v="LTU"/>
    <x v="3"/>
    <s v="SP.DYN.LE00.IN"/>
    <x v="43"/>
    <n v="70"/>
    <x v="5"/>
  </r>
  <r>
    <x v="34"/>
    <s v="LTU"/>
    <x v="3"/>
    <s v="SP.DYN.LE00.IN"/>
    <x v="44"/>
    <n v="70"/>
    <x v="5"/>
  </r>
  <r>
    <x v="34"/>
    <s v="LTU"/>
    <x v="3"/>
    <s v="SP.DYN.LE00.IN"/>
    <x v="45"/>
    <n v="70"/>
    <x v="5"/>
  </r>
  <r>
    <x v="34"/>
    <s v="LTU"/>
    <x v="3"/>
    <s v="SP.DYN.LE00.IN"/>
    <x v="46"/>
    <n v="71"/>
    <x v="5"/>
  </r>
  <r>
    <x v="34"/>
    <s v="LTU"/>
    <x v="3"/>
    <s v="SP.DYN.LE00.IN"/>
    <x v="47"/>
    <n v="71"/>
    <x v="5"/>
  </r>
  <r>
    <x v="34"/>
    <s v="LTU"/>
    <x v="3"/>
    <s v="SP.DYN.LE00.IN"/>
    <x v="48"/>
    <n v="70"/>
    <x v="5"/>
  </r>
  <r>
    <x v="34"/>
    <s v="LTU"/>
    <x v="3"/>
    <s v="SP.DYN.LE00.IN"/>
    <x v="49"/>
    <n v="71"/>
    <x v="5"/>
  </r>
  <r>
    <x v="34"/>
    <s v="LTU"/>
    <x v="3"/>
    <s v="SP.DYN.LE00.IN"/>
    <x v="50"/>
    <n v="72"/>
    <x v="5"/>
  </r>
  <r>
    <x v="34"/>
    <s v="LTU"/>
    <x v="3"/>
    <s v="SP.DYN.LE00.IN"/>
    <x v="51"/>
    <n v="72"/>
    <x v="0"/>
  </r>
  <r>
    <x v="34"/>
    <s v="LTU"/>
    <x v="3"/>
    <s v="SP.DYN.LE00.IN"/>
    <x v="52"/>
    <n v="72"/>
    <x v="0"/>
  </r>
  <r>
    <x v="34"/>
    <s v="LTU"/>
    <x v="3"/>
    <s v="SP.DYN.LE00.IN"/>
    <x v="53"/>
    <n v="71"/>
    <x v="0"/>
  </r>
  <r>
    <x v="34"/>
    <s v="LTU"/>
    <x v="3"/>
    <s v="SP.DYN.LE00.IN"/>
    <x v="0"/>
    <n v="71"/>
    <x v="0"/>
  </r>
  <r>
    <x v="34"/>
    <s v="LTU"/>
    <x v="3"/>
    <s v="SP.DYN.LE00.IN"/>
    <x v="1"/>
    <n v="70"/>
    <x v="0"/>
  </r>
  <r>
    <x v="34"/>
    <s v="LTU"/>
    <x v="3"/>
    <s v="SP.DYN.LE00.IN"/>
    <x v="2"/>
    <n v="70"/>
    <x v="0"/>
  </r>
  <r>
    <x v="34"/>
    <s v="LTU"/>
    <x v="3"/>
    <s v="SP.DYN.LE00.IN"/>
    <x v="3"/>
    <n v="69"/>
    <x v="0"/>
  </r>
  <r>
    <x v="34"/>
    <s v="LTU"/>
    <x v="3"/>
    <s v="SP.DYN.LE00.IN"/>
    <x v="4"/>
    <n v="69"/>
    <x v="0"/>
  </r>
  <r>
    <x v="34"/>
    <s v="LTU"/>
    <x v="3"/>
    <s v="SP.DYN.LE00.IN"/>
    <x v="5"/>
    <n v="69"/>
    <x v="0"/>
  </r>
  <r>
    <x v="34"/>
    <s v="LTU"/>
    <x v="3"/>
    <s v="SP.DYN.LE00.IN"/>
    <x v="6"/>
    <n v="70"/>
    <x v="0"/>
  </r>
  <r>
    <x v="34"/>
    <s v="LTU"/>
    <x v="3"/>
    <s v="SP.DYN.LE00.IN"/>
    <x v="7"/>
    <n v="71"/>
    <x v="1"/>
  </r>
  <r>
    <x v="34"/>
    <s v="LTU"/>
    <x v="3"/>
    <s v="SP.DYN.LE00.IN"/>
    <x v="8"/>
    <n v="71"/>
    <x v="1"/>
  </r>
  <r>
    <x v="34"/>
    <s v="LTU"/>
    <x v="3"/>
    <s v="SP.DYN.LE00.IN"/>
    <x v="9"/>
    <n v="72"/>
    <x v="1"/>
  </r>
  <r>
    <x v="34"/>
    <s v="LTU"/>
    <x v="3"/>
    <s v="SP.DYN.LE00.IN"/>
    <x v="10"/>
    <n v="72"/>
    <x v="1"/>
  </r>
  <r>
    <x v="34"/>
    <s v="LTU"/>
    <x v="3"/>
    <s v="SP.DYN.LE00.IN"/>
    <x v="11"/>
    <n v="72"/>
    <x v="1"/>
  </r>
  <r>
    <x v="34"/>
    <s v="LTU"/>
    <x v="3"/>
    <s v="SP.DYN.LE00.IN"/>
    <x v="12"/>
    <n v="72"/>
    <x v="1"/>
  </r>
  <r>
    <x v="34"/>
    <s v="LTU"/>
    <x v="3"/>
    <s v="SP.DYN.LE00.IN"/>
    <x v="13"/>
    <n v="72"/>
    <x v="1"/>
  </r>
  <r>
    <x v="34"/>
    <s v="LTU"/>
    <x v="3"/>
    <s v="SP.DYN.LE00.IN"/>
    <x v="14"/>
    <n v="72"/>
    <x v="1"/>
  </r>
  <r>
    <x v="34"/>
    <s v="LTU"/>
    <x v="3"/>
    <s v="SP.DYN.LE00.IN"/>
    <x v="15"/>
    <n v="71"/>
    <x v="1"/>
  </r>
  <r>
    <x v="34"/>
    <s v="LTU"/>
    <x v="3"/>
    <s v="SP.DYN.LE00.IN"/>
    <x v="16"/>
    <n v="71"/>
    <x v="1"/>
  </r>
  <r>
    <x v="34"/>
    <s v="LTU"/>
    <x v="3"/>
    <s v="SP.DYN.LE00.IN"/>
    <x v="17"/>
    <n v="71"/>
    <x v="2"/>
  </r>
  <r>
    <x v="34"/>
    <s v="LTU"/>
    <x v="3"/>
    <s v="SP.DYN.LE00.IN"/>
    <x v="18"/>
    <n v="72"/>
    <x v="2"/>
  </r>
  <r>
    <x v="34"/>
    <s v="LTU"/>
    <x v="3"/>
    <s v="SP.DYN.LE00.IN"/>
    <x v="19"/>
    <n v="73"/>
    <x v="2"/>
  </r>
  <r>
    <x v="34"/>
    <s v="LTU"/>
    <x v="3"/>
    <s v="SP.DYN.LE00.IN"/>
    <x v="20"/>
    <n v="73"/>
    <x v="2"/>
  </r>
  <r>
    <x v="34"/>
    <s v="LTU"/>
    <x v="3"/>
    <s v="SP.DYN.LE00.IN"/>
    <x v="21"/>
    <n v="74"/>
    <x v="2"/>
  </r>
  <r>
    <x v="34"/>
    <s v="LTU"/>
    <x v="3"/>
    <s v="SP.DYN.LE00.IN"/>
    <x v="22"/>
    <n v="74"/>
    <x v="2"/>
  </r>
  <r>
    <x v="34"/>
    <s v="LTU"/>
    <x v="3"/>
    <s v="SP.DYN.LE00.IN"/>
    <x v="23"/>
    <n v="74"/>
    <x v="2"/>
  </r>
  <r>
    <x v="34"/>
    <s v="LTU"/>
    <x v="3"/>
    <s v="SP.DYN.LE00.IN"/>
    <x v="24"/>
    <n v="75"/>
    <x v="2"/>
  </r>
  <r>
    <x v="34"/>
    <s v="LTU"/>
    <x v="3"/>
    <s v="SP.DYN.LE00.IN"/>
    <x v="25"/>
    <n v="74"/>
    <x v="2"/>
  </r>
  <r>
    <x v="34"/>
    <s v="LTU"/>
    <x v="3"/>
    <s v="SP.DYN.LE00.IN"/>
    <x v="26"/>
    <n v="75"/>
    <x v="2"/>
  </r>
  <r>
    <x v="34"/>
    <s v="LTU"/>
    <x v="3"/>
    <s v="SP.DYN.LE00.IN"/>
    <x v="27"/>
    <n v="75"/>
    <x v="3"/>
  </r>
  <r>
    <x v="34"/>
    <s v="LTU"/>
    <x v="3"/>
    <s v="SP.DYN.LE00.IN"/>
    <x v="28"/>
    <n v="76"/>
    <x v="3"/>
  </r>
  <r>
    <x v="34"/>
    <s v="LTU"/>
    <x v="3"/>
    <s v="SP.DYN.LE00.IN"/>
    <x v="29"/>
    <n v="76"/>
    <x v="3"/>
  </r>
  <r>
    <x v="34"/>
    <s v="LTU"/>
    <x v="3"/>
    <s v="SP.DYN.LE00.IN"/>
    <x v="30"/>
    <n v="75"/>
    <x v="3"/>
  </r>
  <r>
    <x v="34"/>
    <s v="LTU"/>
    <x v="3"/>
    <s v="SP.DYN.LE00.IN"/>
    <x v="31"/>
    <n v="74"/>
    <x v="6"/>
  </r>
  <r>
    <x v="34"/>
    <s v="LTU"/>
    <x v="3"/>
    <s v="SP.DYN.LE00.IN"/>
    <x v="32"/>
    <n v="76"/>
    <x v="6"/>
  </r>
  <r>
    <x v="34"/>
    <s v="LTU"/>
    <x v="3"/>
    <s v="SP.DYN.LE00.IN"/>
    <x v="33"/>
    <n v="77"/>
    <x v="6"/>
  </r>
  <r>
    <x v="35"/>
    <s v="LUX"/>
    <x v="3"/>
    <s v="SP.DYN.LE00.IN"/>
    <x v="55"/>
    <n v="69"/>
    <x v="6"/>
  </r>
  <r>
    <x v="35"/>
    <s v="LUX"/>
    <x v="3"/>
    <s v="SP.DYN.LE00.IN"/>
    <x v="56"/>
    <n v="69"/>
    <x v="6"/>
  </r>
  <r>
    <x v="35"/>
    <s v="LUX"/>
    <x v="3"/>
    <s v="SP.DYN.LE00.IN"/>
    <x v="57"/>
    <n v="68"/>
    <x v="6"/>
  </r>
  <r>
    <x v="35"/>
    <s v="LUX"/>
    <x v="3"/>
    <s v="SP.DYN.LE00.IN"/>
    <x v="58"/>
    <n v="69"/>
    <x v="6"/>
  </r>
  <r>
    <x v="35"/>
    <s v="LUX"/>
    <x v="3"/>
    <s v="SP.DYN.LE00.IN"/>
    <x v="59"/>
    <n v="69"/>
    <x v="6"/>
  </r>
  <r>
    <x v="35"/>
    <s v="LUX"/>
    <x v="3"/>
    <s v="SP.DYN.LE00.IN"/>
    <x v="60"/>
    <n v="69"/>
    <x v="6"/>
  </r>
  <r>
    <x v="35"/>
    <s v="LUX"/>
    <x v="3"/>
    <s v="SP.DYN.LE00.IN"/>
    <x v="61"/>
    <n v="69"/>
    <x v="6"/>
  </r>
  <r>
    <x v="35"/>
    <s v="LUX"/>
    <x v="3"/>
    <s v="SP.DYN.LE00.IN"/>
    <x v="62"/>
    <n v="69"/>
    <x v="4"/>
  </r>
  <r>
    <x v="35"/>
    <s v="LUX"/>
    <x v="3"/>
    <s v="SP.DYN.LE00.IN"/>
    <x v="63"/>
    <n v="70"/>
    <x v="4"/>
  </r>
  <r>
    <x v="35"/>
    <s v="LUX"/>
    <x v="3"/>
    <s v="SP.DYN.LE00.IN"/>
    <x v="64"/>
    <n v="70"/>
    <x v="4"/>
  </r>
  <r>
    <x v="35"/>
    <s v="LUX"/>
    <x v="3"/>
    <s v="SP.DYN.LE00.IN"/>
    <x v="34"/>
    <n v="69"/>
    <x v="4"/>
  </r>
  <r>
    <x v="35"/>
    <s v="LUX"/>
    <x v="3"/>
    <s v="SP.DYN.LE00.IN"/>
    <x v="35"/>
    <n v="69"/>
    <x v="4"/>
  </r>
  <r>
    <x v="35"/>
    <s v="LUX"/>
    <x v="3"/>
    <s v="SP.DYN.LE00.IN"/>
    <x v="36"/>
    <n v="70"/>
    <x v="4"/>
  </r>
  <r>
    <x v="35"/>
    <s v="LUX"/>
    <x v="3"/>
    <s v="SP.DYN.LE00.IN"/>
    <x v="37"/>
    <n v="70"/>
    <x v="4"/>
  </r>
  <r>
    <x v="35"/>
    <s v="LUX"/>
    <x v="3"/>
    <s v="SP.DYN.LE00.IN"/>
    <x v="38"/>
    <n v="70"/>
    <x v="4"/>
  </r>
  <r>
    <x v="35"/>
    <s v="LUX"/>
    <x v="3"/>
    <s v="SP.DYN.LE00.IN"/>
    <x v="39"/>
    <n v="70"/>
    <x v="4"/>
  </r>
  <r>
    <x v="35"/>
    <s v="LUX"/>
    <x v="3"/>
    <s v="SP.DYN.LE00.IN"/>
    <x v="40"/>
    <n v="70"/>
    <x v="4"/>
  </r>
  <r>
    <x v="35"/>
    <s v="LUX"/>
    <x v="3"/>
    <s v="SP.DYN.LE00.IN"/>
    <x v="41"/>
    <n v="71"/>
    <x v="5"/>
  </r>
  <r>
    <x v="35"/>
    <s v="LUX"/>
    <x v="3"/>
    <s v="SP.DYN.LE00.IN"/>
    <x v="42"/>
    <n v="71"/>
    <x v="5"/>
  </r>
  <r>
    <x v="35"/>
    <s v="LUX"/>
    <x v="3"/>
    <s v="SP.DYN.LE00.IN"/>
    <x v="43"/>
    <n v="72"/>
    <x v="5"/>
  </r>
  <r>
    <x v="35"/>
    <s v="LUX"/>
    <x v="3"/>
    <s v="SP.DYN.LE00.IN"/>
    <x v="44"/>
    <n v="72"/>
    <x v="5"/>
  </r>
  <r>
    <x v="35"/>
    <s v="LUX"/>
    <x v="3"/>
    <s v="SP.DYN.LE00.IN"/>
    <x v="45"/>
    <n v="72"/>
    <x v="5"/>
  </r>
  <r>
    <x v="35"/>
    <s v="LUX"/>
    <x v="3"/>
    <s v="SP.DYN.LE00.IN"/>
    <x v="46"/>
    <n v="72"/>
    <x v="5"/>
  </r>
  <r>
    <x v="35"/>
    <s v="LUX"/>
    <x v="3"/>
    <s v="SP.DYN.LE00.IN"/>
    <x v="47"/>
    <n v="73"/>
    <x v="5"/>
  </r>
  <r>
    <x v="35"/>
    <s v="LUX"/>
    <x v="3"/>
    <s v="SP.DYN.LE00.IN"/>
    <x v="48"/>
    <n v="73"/>
    <x v="5"/>
  </r>
  <r>
    <x v="35"/>
    <s v="LUX"/>
    <x v="3"/>
    <s v="SP.DYN.LE00.IN"/>
    <x v="49"/>
    <n v="73"/>
    <x v="5"/>
  </r>
  <r>
    <x v="35"/>
    <s v="LUX"/>
    <x v="3"/>
    <s v="SP.DYN.LE00.IN"/>
    <x v="50"/>
    <n v="74"/>
    <x v="5"/>
  </r>
  <r>
    <x v="35"/>
    <s v="LUX"/>
    <x v="3"/>
    <s v="SP.DYN.LE00.IN"/>
    <x v="51"/>
    <n v="74"/>
    <x v="0"/>
  </r>
  <r>
    <x v="35"/>
    <s v="LUX"/>
    <x v="3"/>
    <s v="SP.DYN.LE00.IN"/>
    <x v="52"/>
    <n v="74"/>
    <x v="0"/>
  </r>
  <r>
    <x v="35"/>
    <s v="LUX"/>
    <x v="3"/>
    <s v="SP.DYN.LE00.IN"/>
    <x v="53"/>
    <n v="74"/>
    <x v="0"/>
  </r>
  <r>
    <x v="35"/>
    <s v="LUX"/>
    <x v="3"/>
    <s v="SP.DYN.LE00.IN"/>
    <x v="0"/>
    <n v="75"/>
    <x v="0"/>
  </r>
  <r>
    <x v="35"/>
    <s v="LUX"/>
    <x v="3"/>
    <s v="SP.DYN.LE00.IN"/>
    <x v="1"/>
    <n v="75"/>
    <x v="0"/>
  </r>
  <r>
    <x v="35"/>
    <s v="LUX"/>
    <x v="3"/>
    <s v="SP.DYN.LE00.IN"/>
    <x v="2"/>
    <n v="76"/>
    <x v="0"/>
  </r>
  <r>
    <x v="35"/>
    <s v="LUX"/>
    <x v="3"/>
    <s v="SP.DYN.LE00.IN"/>
    <x v="3"/>
    <n v="76"/>
    <x v="0"/>
  </r>
  <r>
    <x v="35"/>
    <s v="LUX"/>
    <x v="3"/>
    <s v="SP.DYN.LE00.IN"/>
    <x v="4"/>
    <n v="76"/>
    <x v="0"/>
  </r>
  <r>
    <x v="35"/>
    <s v="LUX"/>
    <x v="3"/>
    <s v="SP.DYN.LE00.IN"/>
    <x v="5"/>
    <n v="77"/>
    <x v="0"/>
  </r>
  <r>
    <x v="35"/>
    <s v="LUX"/>
    <x v="3"/>
    <s v="SP.DYN.LE00.IN"/>
    <x v="6"/>
    <n v="77"/>
    <x v="0"/>
  </r>
  <r>
    <x v="35"/>
    <s v="LUX"/>
    <x v="3"/>
    <s v="SP.DYN.LE00.IN"/>
    <x v="7"/>
    <n v="77"/>
    <x v="1"/>
  </r>
  <r>
    <x v="35"/>
    <s v="LUX"/>
    <x v="3"/>
    <s v="SP.DYN.LE00.IN"/>
    <x v="8"/>
    <n v="77"/>
    <x v="1"/>
  </r>
  <r>
    <x v="35"/>
    <s v="LUX"/>
    <x v="3"/>
    <s v="SP.DYN.LE00.IN"/>
    <x v="9"/>
    <n v="78"/>
    <x v="1"/>
  </r>
  <r>
    <x v="35"/>
    <s v="LUX"/>
    <x v="3"/>
    <s v="SP.DYN.LE00.IN"/>
    <x v="10"/>
    <n v="78"/>
    <x v="1"/>
  </r>
  <r>
    <x v="35"/>
    <s v="LUX"/>
    <x v="3"/>
    <s v="SP.DYN.LE00.IN"/>
    <x v="11"/>
    <n v="78"/>
    <x v="1"/>
  </r>
  <r>
    <x v="35"/>
    <s v="LUX"/>
    <x v="3"/>
    <s v="SP.DYN.LE00.IN"/>
    <x v="12"/>
    <n v="78"/>
    <x v="1"/>
  </r>
  <r>
    <x v="35"/>
    <s v="LUX"/>
    <x v="3"/>
    <s v="SP.DYN.LE00.IN"/>
    <x v="13"/>
    <n v="78"/>
    <x v="1"/>
  </r>
  <r>
    <x v="35"/>
    <s v="LUX"/>
    <x v="3"/>
    <s v="SP.DYN.LE00.IN"/>
    <x v="14"/>
    <n v="79"/>
    <x v="1"/>
  </r>
  <r>
    <x v="35"/>
    <s v="LUX"/>
    <x v="3"/>
    <s v="SP.DYN.LE00.IN"/>
    <x v="15"/>
    <n v="79"/>
    <x v="1"/>
  </r>
  <r>
    <x v="35"/>
    <s v="LUX"/>
    <x v="3"/>
    <s v="SP.DYN.LE00.IN"/>
    <x v="16"/>
    <n v="79"/>
    <x v="1"/>
  </r>
  <r>
    <x v="35"/>
    <s v="LUX"/>
    <x v="3"/>
    <s v="SP.DYN.LE00.IN"/>
    <x v="17"/>
    <n v="79"/>
    <x v="2"/>
  </r>
  <r>
    <x v="35"/>
    <s v="LUX"/>
    <x v="3"/>
    <s v="SP.DYN.LE00.IN"/>
    <x v="18"/>
    <n v="81"/>
    <x v="2"/>
  </r>
  <r>
    <x v="35"/>
    <s v="LUX"/>
    <x v="3"/>
    <s v="SP.DYN.LE00.IN"/>
    <x v="19"/>
    <n v="81"/>
    <x v="2"/>
  </r>
  <r>
    <x v="35"/>
    <s v="LUX"/>
    <x v="3"/>
    <s v="SP.DYN.LE00.IN"/>
    <x v="20"/>
    <n v="81"/>
    <x v="2"/>
  </r>
  <r>
    <x v="35"/>
    <s v="LUX"/>
    <x v="3"/>
    <s v="SP.DYN.LE00.IN"/>
    <x v="21"/>
    <n v="81"/>
    <x v="2"/>
  </r>
  <r>
    <x v="35"/>
    <s v="LUX"/>
    <x v="3"/>
    <s v="SP.DYN.LE00.IN"/>
    <x v="22"/>
    <n v="81"/>
    <x v="2"/>
  </r>
  <r>
    <x v="35"/>
    <s v="LUX"/>
    <x v="3"/>
    <s v="SP.DYN.LE00.IN"/>
    <x v="23"/>
    <n v="82"/>
    <x v="2"/>
  </r>
  <r>
    <x v="35"/>
    <s v="LUX"/>
    <x v="3"/>
    <s v="SP.DYN.LE00.IN"/>
    <x v="24"/>
    <n v="82"/>
    <x v="2"/>
  </r>
  <r>
    <x v="35"/>
    <s v="LUX"/>
    <x v="3"/>
    <s v="SP.DYN.LE00.IN"/>
    <x v="25"/>
    <n v="82"/>
    <x v="2"/>
  </r>
  <r>
    <x v="35"/>
    <s v="LUX"/>
    <x v="3"/>
    <s v="SP.DYN.LE00.IN"/>
    <x v="26"/>
    <n v="83"/>
    <x v="2"/>
  </r>
  <r>
    <x v="35"/>
    <s v="LUX"/>
    <x v="3"/>
    <s v="SP.DYN.LE00.IN"/>
    <x v="27"/>
    <n v="82"/>
    <x v="3"/>
  </r>
  <r>
    <x v="35"/>
    <s v="LUX"/>
    <x v="3"/>
    <s v="SP.DYN.LE00.IN"/>
    <x v="28"/>
    <n v="82"/>
    <x v="3"/>
  </r>
  <r>
    <x v="35"/>
    <s v="LUX"/>
    <x v="3"/>
    <s v="SP.DYN.LE00.IN"/>
    <x v="29"/>
    <n v="83"/>
    <x v="3"/>
  </r>
  <r>
    <x v="35"/>
    <s v="LUX"/>
    <x v="3"/>
    <s v="SP.DYN.LE00.IN"/>
    <x v="30"/>
    <n v="82"/>
    <x v="3"/>
  </r>
  <r>
    <x v="35"/>
    <s v="LUX"/>
    <x v="3"/>
    <s v="SP.DYN.LE00.IN"/>
    <x v="31"/>
    <n v="83"/>
    <x v="6"/>
  </r>
  <r>
    <x v="35"/>
    <s v="LUX"/>
    <x v="3"/>
    <s v="SP.DYN.LE00.IN"/>
    <x v="32"/>
    <n v="83"/>
    <x v="6"/>
  </r>
  <r>
    <x v="35"/>
    <s v="LUX"/>
    <x v="3"/>
    <s v="SP.DYN.LE00.IN"/>
    <x v="33"/>
    <n v="83"/>
    <x v="6"/>
  </r>
  <r>
    <x v="36"/>
    <s v="LVA"/>
    <x v="3"/>
    <s v="SP.DYN.LE00.IN"/>
    <x v="55"/>
    <n v="70"/>
    <x v="6"/>
  </r>
  <r>
    <x v="36"/>
    <s v="LVA"/>
    <x v="3"/>
    <s v="SP.DYN.LE00.IN"/>
    <x v="56"/>
    <n v="70"/>
    <x v="6"/>
  </r>
  <r>
    <x v="36"/>
    <s v="LVA"/>
    <x v="3"/>
    <s v="SP.DYN.LE00.IN"/>
    <x v="57"/>
    <n v="69"/>
    <x v="6"/>
  </r>
  <r>
    <x v="36"/>
    <s v="LVA"/>
    <x v="3"/>
    <s v="SP.DYN.LE00.IN"/>
    <x v="58"/>
    <n v="70"/>
    <x v="6"/>
  </r>
  <r>
    <x v="36"/>
    <s v="LVA"/>
    <x v="3"/>
    <s v="SP.DYN.LE00.IN"/>
    <x v="59"/>
    <n v="71"/>
    <x v="6"/>
  </r>
  <r>
    <x v="36"/>
    <s v="LVA"/>
    <x v="3"/>
    <s v="SP.DYN.LE00.IN"/>
    <x v="60"/>
    <n v="71"/>
    <x v="6"/>
  </r>
  <r>
    <x v="36"/>
    <s v="LVA"/>
    <x v="3"/>
    <s v="SP.DYN.LE00.IN"/>
    <x v="61"/>
    <n v="71"/>
    <x v="6"/>
  </r>
  <r>
    <x v="36"/>
    <s v="LVA"/>
    <x v="3"/>
    <s v="SP.DYN.LE00.IN"/>
    <x v="62"/>
    <n v="70"/>
    <x v="4"/>
  </r>
  <r>
    <x v="36"/>
    <s v="LVA"/>
    <x v="3"/>
    <s v="SP.DYN.LE00.IN"/>
    <x v="63"/>
    <n v="70"/>
    <x v="4"/>
  </r>
  <r>
    <x v="36"/>
    <s v="LVA"/>
    <x v="3"/>
    <s v="SP.DYN.LE00.IN"/>
    <x v="64"/>
    <n v="70"/>
    <x v="4"/>
  </r>
  <r>
    <x v="36"/>
    <s v="LVA"/>
    <x v="3"/>
    <s v="SP.DYN.LE00.IN"/>
    <x v="34"/>
    <n v="70"/>
    <x v="4"/>
  </r>
  <r>
    <x v="36"/>
    <s v="LVA"/>
    <x v="3"/>
    <s v="SP.DYN.LE00.IN"/>
    <x v="35"/>
    <n v="70"/>
    <x v="4"/>
  </r>
  <r>
    <x v="36"/>
    <s v="LVA"/>
    <x v="3"/>
    <s v="SP.DYN.LE00.IN"/>
    <x v="36"/>
    <n v="70"/>
    <x v="4"/>
  </r>
  <r>
    <x v="36"/>
    <s v="LVA"/>
    <x v="3"/>
    <s v="SP.DYN.LE00.IN"/>
    <x v="37"/>
    <n v="70"/>
    <x v="4"/>
  </r>
  <r>
    <x v="36"/>
    <s v="LVA"/>
    <x v="3"/>
    <s v="SP.DYN.LE00.IN"/>
    <x v="38"/>
    <n v="70"/>
    <x v="4"/>
  </r>
  <r>
    <x v="36"/>
    <s v="LVA"/>
    <x v="3"/>
    <s v="SP.DYN.LE00.IN"/>
    <x v="39"/>
    <n v="69"/>
    <x v="4"/>
  </r>
  <r>
    <x v="36"/>
    <s v="LVA"/>
    <x v="3"/>
    <s v="SP.DYN.LE00.IN"/>
    <x v="40"/>
    <n v="69"/>
    <x v="4"/>
  </r>
  <r>
    <x v="36"/>
    <s v="LVA"/>
    <x v="3"/>
    <s v="SP.DYN.LE00.IN"/>
    <x v="41"/>
    <n v="69"/>
    <x v="5"/>
  </r>
  <r>
    <x v="36"/>
    <s v="LVA"/>
    <x v="3"/>
    <s v="SP.DYN.LE00.IN"/>
    <x v="42"/>
    <n v="69"/>
    <x v="5"/>
  </r>
  <r>
    <x v="36"/>
    <s v="LVA"/>
    <x v="3"/>
    <s v="SP.DYN.LE00.IN"/>
    <x v="43"/>
    <n v="68"/>
    <x v="5"/>
  </r>
  <r>
    <x v="36"/>
    <s v="LVA"/>
    <x v="3"/>
    <s v="SP.DYN.LE00.IN"/>
    <x v="44"/>
    <n v="69"/>
    <x v="5"/>
  </r>
  <r>
    <x v="36"/>
    <s v="LVA"/>
    <x v="3"/>
    <s v="SP.DYN.LE00.IN"/>
    <x v="45"/>
    <n v="69"/>
    <x v="5"/>
  </r>
  <r>
    <x v="36"/>
    <s v="LVA"/>
    <x v="3"/>
    <s v="SP.DYN.LE00.IN"/>
    <x v="46"/>
    <n v="69"/>
    <x v="5"/>
  </r>
  <r>
    <x v="36"/>
    <s v="LVA"/>
    <x v="3"/>
    <s v="SP.DYN.LE00.IN"/>
    <x v="47"/>
    <n v="69"/>
    <x v="5"/>
  </r>
  <r>
    <x v="36"/>
    <s v="LVA"/>
    <x v="3"/>
    <s v="SP.DYN.LE00.IN"/>
    <x v="48"/>
    <n v="69"/>
    <x v="5"/>
  </r>
  <r>
    <x v="36"/>
    <s v="LVA"/>
    <x v="3"/>
    <s v="SP.DYN.LE00.IN"/>
    <x v="49"/>
    <n v="69"/>
    <x v="5"/>
  </r>
  <r>
    <x v="36"/>
    <s v="LVA"/>
    <x v="3"/>
    <s v="SP.DYN.LE00.IN"/>
    <x v="50"/>
    <n v="71"/>
    <x v="5"/>
  </r>
  <r>
    <x v="36"/>
    <s v="LVA"/>
    <x v="3"/>
    <s v="SP.DYN.LE00.IN"/>
    <x v="51"/>
    <n v="71"/>
    <x v="0"/>
  </r>
  <r>
    <x v="36"/>
    <s v="LVA"/>
    <x v="3"/>
    <s v="SP.DYN.LE00.IN"/>
    <x v="52"/>
    <n v="71"/>
    <x v="0"/>
  </r>
  <r>
    <x v="36"/>
    <s v="LVA"/>
    <x v="3"/>
    <s v="SP.DYN.LE00.IN"/>
    <x v="53"/>
    <n v="70"/>
    <x v="0"/>
  </r>
  <r>
    <x v="36"/>
    <s v="LVA"/>
    <x v="3"/>
    <s v="SP.DYN.LE00.IN"/>
    <x v="0"/>
    <n v="69"/>
    <x v="0"/>
  </r>
  <r>
    <x v="36"/>
    <s v="LVA"/>
    <x v="3"/>
    <s v="SP.DYN.LE00.IN"/>
    <x v="1"/>
    <n v="69"/>
    <x v="0"/>
  </r>
  <r>
    <x v="36"/>
    <s v="LVA"/>
    <x v="3"/>
    <s v="SP.DYN.LE00.IN"/>
    <x v="2"/>
    <n v="68"/>
    <x v="0"/>
  </r>
  <r>
    <x v="36"/>
    <s v="LVA"/>
    <x v="3"/>
    <s v="SP.DYN.LE00.IN"/>
    <x v="3"/>
    <n v="67"/>
    <x v="0"/>
  </r>
  <r>
    <x v="36"/>
    <s v="LVA"/>
    <x v="3"/>
    <s v="SP.DYN.LE00.IN"/>
    <x v="4"/>
    <n v="66"/>
    <x v="0"/>
  </r>
  <r>
    <x v="36"/>
    <s v="LVA"/>
    <x v="3"/>
    <s v="SP.DYN.LE00.IN"/>
    <x v="5"/>
    <n v="66"/>
    <x v="0"/>
  </r>
  <r>
    <x v="36"/>
    <s v="LVA"/>
    <x v="3"/>
    <s v="SP.DYN.LE00.IN"/>
    <x v="6"/>
    <n v="69"/>
    <x v="0"/>
  </r>
  <r>
    <x v="36"/>
    <s v="LVA"/>
    <x v="3"/>
    <s v="SP.DYN.LE00.IN"/>
    <x v="7"/>
    <n v="69"/>
    <x v="1"/>
  </r>
  <r>
    <x v="36"/>
    <s v="LVA"/>
    <x v="3"/>
    <s v="SP.DYN.LE00.IN"/>
    <x v="8"/>
    <n v="69"/>
    <x v="1"/>
  </r>
  <r>
    <x v="36"/>
    <s v="LVA"/>
    <x v="3"/>
    <s v="SP.DYN.LE00.IN"/>
    <x v="9"/>
    <n v="70"/>
    <x v="1"/>
  </r>
  <r>
    <x v="36"/>
    <s v="LVA"/>
    <x v="3"/>
    <s v="SP.DYN.LE00.IN"/>
    <x v="10"/>
    <n v="70"/>
    <x v="1"/>
  </r>
  <r>
    <x v="36"/>
    <s v="LVA"/>
    <x v="3"/>
    <s v="SP.DYN.LE00.IN"/>
    <x v="11"/>
    <n v="71"/>
    <x v="1"/>
  </r>
  <r>
    <x v="36"/>
    <s v="LVA"/>
    <x v="3"/>
    <s v="SP.DYN.LE00.IN"/>
    <x v="12"/>
    <n v="71"/>
    <x v="1"/>
  </r>
  <r>
    <x v="36"/>
    <s v="LVA"/>
    <x v="3"/>
    <s v="SP.DYN.LE00.IN"/>
    <x v="13"/>
    <n v="71"/>
    <x v="1"/>
  </r>
  <r>
    <x v="36"/>
    <s v="LVA"/>
    <x v="3"/>
    <s v="SP.DYN.LE00.IN"/>
    <x v="14"/>
    <n v="72"/>
    <x v="1"/>
  </r>
  <r>
    <x v="36"/>
    <s v="LVA"/>
    <x v="3"/>
    <s v="SP.DYN.LE00.IN"/>
    <x v="15"/>
    <n v="71"/>
    <x v="1"/>
  </r>
  <r>
    <x v="36"/>
    <s v="LVA"/>
    <x v="3"/>
    <s v="SP.DYN.LE00.IN"/>
    <x v="16"/>
    <n v="71"/>
    <x v="1"/>
  </r>
  <r>
    <x v="36"/>
    <s v="LVA"/>
    <x v="3"/>
    <s v="SP.DYN.LE00.IN"/>
    <x v="17"/>
    <n v="71"/>
    <x v="2"/>
  </r>
  <r>
    <x v="36"/>
    <s v="LVA"/>
    <x v="3"/>
    <s v="SP.DYN.LE00.IN"/>
    <x v="18"/>
    <n v="72"/>
    <x v="2"/>
  </r>
  <r>
    <x v="36"/>
    <s v="LVA"/>
    <x v="3"/>
    <s v="SP.DYN.LE00.IN"/>
    <x v="19"/>
    <n v="73"/>
    <x v="2"/>
  </r>
  <r>
    <x v="36"/>
    <s v="LVA"/>
    <x v="3"/>
    <s v="SP.DYN.LE00.IN"/>
    <x v="20"/>
    <n v="73"/>
    <x v="2"/>
  </r>
  <r>
    <x v="36"/>
    <s v="LVA"/>
    <x v="3"/>
    <s v="SP.DYN.LE00.IN"/>
    <x v="21"/>
    <n v="74"/>
    <x v="2"/>
  </r>
  <r>
    <x v="36"/>
    <s v="LVA"/>
    <x v="3"/>
    <s v="SP.DYN.LE00.IN"/>
    <x v="22"/>
    <n v="74"/>
    <x v="2"/>
  </r>
  <r>
    <x v="36"/>
    <s v="LVA"/>
    <x v="3"/>
    <s v="SP.DYN.LE00.IN"/>
    <x v="23"/>
    <n v="74"/>
    <x v="2"/>
  </r>
  <r>
    <x v="36"/>
    <s v="LVA"/>
    <x v="3"/>
    <s v="SP.DYN.LE00.IN"/>
    <x v="24"/>
    <n v="74"/>
    <x v="2"/>
  </r>
  <r>
    <x v="36"/>
    <s v="LVA"/>
    <x v="3"/>
    <s v="SP.DYN.LE00.IN"/>
    <x v="25"/>
    <n v="74"/>
    <x v="2"/>
  </r>
  <r>
    <x v="36"/>
    <s v="LVA"/>
    <x v="3"/>
    <s v="SP.DYN.LE00.IN"/>
    <x v="26"/>
    <n v="75"/>
    <x v="2"/>
  </r>
  <r>
    <x v="36"/>
    <s v="LVA"/>
    <x v="3"/>
    <s v="SP.DYN.LE00.IN"/>
    <x v="27"/>
    <n v="75"/>
    <x v="3"/>
  </r>
  <r>
    <x v="36"/>
    <s v="LVA"/>
    <x v="3"/>
    <s v="SP.DYN.LE00.IN"/>
    <x v="28"/>
    <n v="75"/>
    <x v="3"/>
  </r>
  <r>
    <x v="36"/>
    <s v="LVA"/>
    <x v="3"/>
    <s v="SP.DYN.LE00.IN"/>
    <x v="29"/>
    <n v="75"/>
    <x v="3"/>
  </r>
  <r>
    <x v="36"/>
    <s v="LVA"/>
    <x v="3"/>
    <s v="SP.DYN.LE00.IN"/>
    <x v="30"/>
    <n v="75"/>
    <x v="3"/>
  </r>
  <r>
    <x v="36"/>
    <s v="LVA"/>
    <x v="3"/>
    <s v="SP.DYN.LE00.IN"/>
    <x v="31"/>
    <n v="73"/>
    <x v="6"/>
  </r>
  <r>
    <x v="36"/>
    <s v="LVA"/>
    <x v="3"/>
    <s v="SP.DYN.LE00.IN"/>
    <x v="32"/>
    <n v="74"/>
    <x v="6"/>
  </r>
  <r>
    <x v="36"/>
    <s v="LVA"/>
    <x v="3"/>
    <s v="SP.DYN.LE00.IN"/>
    <x v="33"/>
    <n v="76"/>
    <x v="6"/>
  </r>
  <r>
    <x v="37"/>
    <s v="MCO"/>
    <x v="3"/>
    <s v="SP.DYN.LE00.IN"/>
    <x v="55"/>
    <n v="72"/>
    <x v="6"/>
  </r>
  <r>
    <x v="37"/>
    <s v="MCO"/>
    <x v="3"/>
    <s v="SP.DYN.LE00.IN"/>
    <x v="56"/>
    <n v="72"/>
    <x v="6"/>
  </r>
  <r>
    <x v="37"/>
    <s v="MCO"/>
    <x v="3"/>
    <s v="SP.DYN.LE00.IN"/>
    <x v="57"/>
    <n v="72"/>
    <x v="6"/>
  </r>
  <r>
    <x v="37"/>
    <s v="MCO"/>
    <x v="3"/>
    <s v="SP.DYN.LE00.IN"/>
    <x v="58"/>
    <n v="72"/>
    <x v="6"/>
  </r>
  <r>
    <x v="37"/>
    <s v="MCO"/>
    <x v="3"/>
    <s v="SP.DYN.LE00.IN"/>
    <x v="59"/>
    <n v="73"/>
    <x v="6"/>
  </r>
  <r>
    <x v="37"/>
    <s v="MCO"/>
    <x v="3"/>
    <s v="SP.DYN.LE00.IN"/>
    <x v="60"/>
    <n v="73"/>
    <x v="6"/>
  </r>
  <r>
    <x v="37"/>
    <s v="MCO"/>
    <x v="3"/>
    <s v="SP.DYN.LE00.IN"/>
    <x v="61"/>
    <n v="73"/>
    <x v="6"/>
  </r>
  <r>
    <x v="37"/>
    <s v="MCO"/>
    <x v="3"/>
    <s v="SP.DYN.LE00.IN"/>
    <x v="62"/>
    <n v="73"/>
    <x v="4"/>
  </r>
  <r>
    <x v="37"/>
    <s v="MCO"/>
    <x v="3"/>
    <s v="SP.DYN.LE00.IN"/>
    <x v="63"/>
    <n v="73"/>
    <x v="4"/>
  </r>
  <r>
    <x v="37"/>
    <s v="MCO"/>
    <x v="3"/>
    <s v="SP.DYN.LE00.IN"/>
    <x v="64"/>
    <n v="73"/>
    <x v="4"/>
  </r>
  <r>
    <x v="37"/>
    <s v="MCO"/>
    <x v="3"/>
    <s v="SP.DYN.LE00.IN"/>
    <x v="34"/>
    <n v="73"/>
    <x v="4"/>
  </r>
  <r>
    <x v="37"/>
    <s v="MCO"/>
    <x v="3"/>
    <s v="SP.DYN.LE00.IN"/>
    <x v="35"/>
    <n v="73"/>
    <x v="4"/>
  </r>
  <r>
    <x v="37"/>
    <s v="MCO"/>
    <x v="3"/>
    <s v="SP.DYN.LE00.IN"/>
    <x v="36"/>
    <n v="73"/>
    <x v="4"/>
  </r>
  <r>
    <x v="37"/>
    <s v="MCO"/>
    <x v="3"/>
    <s v="SP.DYN.LE00.IN"/>
    <x v="37"/>
    <n v="73"/>
    <x v="4"/>
  </r>
  <r>
    <x v="37"/>
    <s v="MCO"/>
    <x v="3"/>
    <s v="SP.DYN.LE00.IN"/>
    <x v="38"/>
    <n v="73"/>
    <x v="4"/>
  </r>
  <r>
    <x v="37"/>
    <s v="MCO"/>
    <x v="3"/>
    <s v="SP.DYN.LE00.IN"/>
    <x v="39"/>
    <n v="74"/>
    <x v="4"/>
  </r>
  <r>
    <x v="37"/>
    <s v="MCO"/>
    <x v="3"/>
    <s v="SP.DYN.LE00.IN"/>
    <x v="40"/>
    <n v="74"/>
    <x v="4"/>
  </r>
  <r>
    <x v="37"/>
    <s v="MCO"/>
    <x v="3"/>
    <s v="SP.DYN.LE00.IN"/>
    <x v="41"/>
    <n v="74"/>
    <x v="5"/>
  </r>
  <r>
    <x v="37"/>
    <s v="MCO"/>
    <x v="3"/>
    <s v="SP.DYN.LE00.IN"/>
    <x v="42"/>
    <n v="75"/>
    <x v="5"/>
  </r>
  <r>
    <x v="37"/>
    <s v="MCO"/>
    <x v="3"/>
    <s v="SP.DYN.LE00.IN"/>
    <x v="43"/>
    <n v="75"/>
    <x v="5"/>
  </r>
  <r>
    <x v="37"/>
    <s v="MCO"/>
    <x v="3"/>
    <s v="SP.DYN.LE00.IN"/>
    <x v="44"/>
    <n v="75"/>
    <x v="5"/>
  </r>
  <r>
    <x v="37"/>
    <s v="MCO"/>
    <x v="3"/>
    <s v="SP.DYN.LE00.IN"/>
    <x v="45"/>
    <n v="75"/>
    <x v="5"/>
  </r>
  <r>
    <x v="37"/>
    <s v="MCO"/>
    <x v="3"/>
    <s v="SP.DYN.LE00.IN"/>
    <x v="46"/>
    <n v="75"/>
    <x v="5"/>
  </r>
  <r>
    <x v="37"/>
    <s v="MCO"/>
    <x v="3"/>
    <s v="SP.DYN.LE00.IN"/>
    <x v="47"/>
    <n v="76"/>
    <x v="5"/>
  </r>
  <r>
    <x v="37"/>
    <s v="MCO"/>
    <x v="3"/>
    <s v="SP.DYN.LE00.IN"/>
    <x v="48"/>
    <n v="76"/>
    <x v="5"/>
  </r>
  <r>
    <x v="37"/>
    <s v="MCO"/>
    <x v="3"/>
    <s v="SP.DYN.LE00.IN"/>
    <x v="49"/>
    <n v="77"/>
    <x v="5"/>
  </r>
  <r>
    <x v="37"/>
    <s v="MCO"/>
    <x v="3"/>
    <s v="SP.DYN.LE00.IN"/>
    <x v="50"/>
    <n v="78"/>
    <x v="5"/>
  </r>
  <r>
    <x v="37"/>
    <s v="MCO"/>
    <x v="3"/>
    <s v="SP.DYN.LE00.IN"/>
    <x v="51"/>
    <n v="79"/>
    <x v="0"/>
  </r>
  <r>
    <x v="37"/>
    <s v="MCO"/>
    <x v="3"/>
    <s v="SP.DYN.LE00.IN"/>
    <x v="52"/>
    <n v="79"/>
    <x v="0"/>
  </r>
  <r>
    <x v="37"/>
    <s v="MCO"/>
    <x v="3"/>
    <s v="SP.DYN.LE00.IN"/>
    <x v="53"/>
    <n v="79"/>
    <x v="0"/>
  </r>
  <r>
    <x v="37"/>
    <s v="MCO"/>
    <x v="3"/>
    <s v="SP.DYN.LE00.IN"/>
    <x v="0"/>
    <n v="79"/>
    <x v="0"/>
  </r>
  <r>
    <x v="37"/>
    <s v="MCO"/>
    <x v="3"/>
    <s v="SP.DYN.LE00.IN"/>
    <x v="1"/>
    <n v="80"/>
    <x v="0"/>
  </r>
  <r>
    <x v="37"/>
    <s v="MCO"/>
    <x v="3"/>
    <s v="SP.DYN.LE00.IN"/>
    <x v="2"/>
    <n v="80"/>
    <x v="0"/>
  </r>
  <r>
    <x v="37"/>
    <s v="MCO"/>
    <x v="3"/>
    <s v="SP.DYN.LE00.IN"/>
    <x v="3"/>
    <n v="80"/>
    <x v="0"/>
  </r>
  <r>
    <x v="37"/>
    <s v="MCO"/>
    <x v="3"/>
    <s v="SP.DYN.LE00.IN"/>
    <x v="4"/>
    <n v="81"/>
    <x v="0"/>
  </r>
  <r>
    <x v="37"/>
    <s v="MCO"/>
    <x v="3"/>
    <s v="SP.DYN.LE00.IN"/>
    <x v="5"/>
    <n v="81"/>
    <x v="0"/>
  </r>
  <r>
    <x v="37"/>
    <s v="MCO"/>
    <x v="3"/>
    <s v="SP.DYN.LE00.IN"/>
    <x v="6"/>
    <n v="81"/>
    <x v="0"/>
  </r>
  <r>
    <x v="37"/>
    <s v="MCO"/>
    <x v="3"/>
    <s v="SP.DYN.LE00.IN"/>
    <x v="7"/>
    <n v="81"/>
    <x v="1"/>
  </r>
  <r>
    <x v="37"/>
    <s v="MCO"/>
    <x v="3"/>
    <s v="SP.DYN.LE00.IN"/>
    <x v="8"/>
    <n v="82"/>
    <x v="1"/>
  </r>
  <r>
    <x v="37"/>
    <s v="MCO"/>
    <x v="3"/>
    <s v="SP.DYN.LE00.IN"/>
    <x v="9"/>
    <n v="82"/>
    <x v="1"/>
  </r>
  <r>
    <x v="37"/>
    <s v="MCO"/>
    <x v="3"/>
    <s v="SP.DYN.LE00.IN"/>
    <x v="10"/>
    <n v="82"/>
    <x v="1"/>
  </r>
  <r>
    <x v="37"/>
    <s v="MCO"/>
    <x v="3"/>
    <s v="SP.DYN.LE00.IN"/>
    <x v="11"/>
    <n v="82"/>
    <x v="1"/>
  </r>
  <r>
    <x v="37"/>
    <s v="MCO"/>
    <x v="3"/>
    <s v="SP.DYN.LE00.IN"/>
    <x v="12"/>
    <n v="83"/>
    <x v="1"/>
  </r>
  <r>
    <x v="37"/>
    <s v="MCO"/>
    <x v="3"/>
    <s v="SP.DYN.LE00.IN"/>
    <x v="13"/>
    <n v="84"/>
    <x v="1"/>
  </r>
  <r>
    <x v="37"/>
    <s v="MCO"/>
    <x v="3"/>
    <s v="SP.DYN.LE00.IN"/>
    <x v="14"/>
    <n v="84"/>
    <x v="1"/>
  </r>
  <r>
    <x v="37"/>
    <s v="MCO"/>
    <x v="3"/>
    <s v="SP.DYN.LE00.IN"/>
    <x v="15"/>
    <n v="84"/>
    <x v="1"/>
  </r>
  <r>
    <x v="37"/>
    <s v="MCO"/>
    <x v="3"/>
    <s v="SP.DYN.LE00.IN"/>
    <x v="16"/>
    <n v="84"/>
    <x v="1"/>
  </r>
  <r>
    <x v="37"/>
    <s v="MCO"/>
    <x v="3"/>
    <s v="SP.DYN.LE00.IN"/>
    <x v="17"/>
    <n v="84"/>
    <x v="2"/>
  </r>
  <r>
    <x v="37"/>
    <s v="MCO"/>
    <x v="3"/>
    <s v="SP.DYN.LE00.IN"/>
    <x v="18"/>
    <n v="84"/>
    <x v="2"/>
  </r>
  <r>
    <x v="37"/>
    <s v="MCO"/>
    <x v="3"/>
    <s v="SP.DYN.LE00.IN"/>
    <x v="19"/>
    <n v="84"/>
    <x v="2"/>
  </r>
  <r>
    <x v="37"/>
    <s v="MCO"/>
    <x v="3"/>
    <s v="SP.DYN.LE00.IN"/>
    <x v="20"/>
    <n v="85"/>
    <x v="2"/>
  </r>
  <r>
    <x v="37"/>
    <s v="MCO"/>
    <x v="3"/>
    <s v="SP.DYN.LE00.IN"/>
    <x v="21"/>
    <n v="85"/>
    <x v="2"/>
  </r>
  <r>
    <x v="37"/>
    <s v="MCO"/>
    <x v="3"/>
    <s v="SP.DYN.LE00.IN"/>
    <x v="22"/>
    <n v="85"/>
    <x v="2"/>
  </r>
  <r>
    <x v="37"/>
    <s v="MCO"/>
    <x v="3"/>
    <s v="SP.DYN.LE00.IN"/>
    <x v="23"/>
    <n v="85"/>
    <x v="2"/>
  </r>
  <r>
    <x v="37"/>
    <s v="MCO"/>
    <x v="3"/>
    <s v="SP.DYN.LE00.IN"/>
    <x v="24"/>
    <n v="85"/>
    <x v="2"/>
  </r>
  <r>
    <x v="37"/>
    <s v="MCO"/>
    <x v="3"/>
    <s v="SP.DYN.LE00.IN"/>
    <x v="25"/>
    <n v="85"/>
    <x v="2"/>
  </r>
  <r>
    <x v="37"/>
    <s v="MCO"/>
    <x v="3"/>
    <s v="SP.DYN.LE00.IN"/>
    <x v="26"/>
    <n v="86"/>
    <x v="2"/>
  </r>
  <r>
    <x v="37"/>
    <s v="MCO"/>
    <x v="3"/>
    <s v="SP.DYN.LE00.IN"/>
    <x v="27"/>
    <n v="86"/>
    <x v="3"/>
  </r>
  <r>
    <x v="37"/>
    <s v="MCO"/>
    <x v="3"/>
    <s v="SP.DYN.LE00.IN"/>
    <x v="28"/>
    <n v="86"/>
    <x v="3"/>
  </r>
  <r>
    <x v="37"/>
    <s v="MCO"/>
    <x v="3"/>
    <s v="SP.DYN.LE00.IN"/>
    <x v="29"/>
    <n v="86"/>
    <x v="3"/>
  </r>
  <r>
    <x v="37"/>
    <s v="MCO"/>
    <x v="3"/>
    <s v="SP.DYN.LE00.IN"/>
    <x v="30"/>
    <n v="86"/>
    <x v="3"/>
  </r>
  <r>
    <x v="37"/>
    <s v="MCO"/>
    <x v="3"/>
    <s v="SP.DYN.LE00.IN"/>
    <x v="31"/>
    <n v="85"/>
    <x v="6"/>
  </r>
  <r>
    <x v="37"/>
    <s v="MCO"/>
    <x v="3"/>
    <s v="SP.DYN.LE00.IN"/>
    <x v="32"/>
    <n v="86"/>
    <x v="6"/>
  </r>
  <r>
    <x v="37"/>
    <s v="MCO"/>
    <x v="3"/>
    <s v="SP.DYN.LE00.IN"/>
    <x v="33"/>
    <n v="86"/>
    <x v="6"/>
  </r>
  <r>
    <x v="38"/>
    <s v="MDA"/>
    <x v="3"/>
    <s v="SP.DYN.LE00.IN"/>
    <x v="55"/>
    <n v="59"/>
    <x v="6"/>
  </r>
  <r>
    <x v="38"/>
    <s v="MDA"/>
    <x v="3"/>
    <s v="SP.DYN.LE00.IN"/>
    <x v="56"/>
    <n v="60"/>
    <x v="6"/>
  </r>
  <r>
    <x v="38"/>
    <s v="MDA"/>
    <x v="3"/>
    <s v="SP.DYN.LE00.IN"/>
    <x v="57"/>
    <n v="60"/>
    <x v="6"/>
  </r>
  <r>
    <x v="38"/>
    <s v="MDA"/>
    <x v="3"/>
    <s v="SP.DYN.LE00.IN"/>
    <x v="58"/>
    <n v="61"/>
    <x v="6"/>
  </r>
  <r>
    <x v="38"/>
    <s v="MDA"/>
    <x v="3"/>
    <s v="SP.DYN.LE00.IN"/>
    <x v="59"/>
    <n v="61"/>
    <x v="6"/>
  </r>
  <r>
    <x v="38"/>
    <s v="MDA"/>
    <x v="3"/>
    <s v="SP.DYN.LE00.IN"/>
    <x v="60"/>
    <n v="61"/>
    <x v="6"/>
  </r>
  <r>
    <x v="38"/>
    <s v="MDA"/>
    <x v="3"/>
    <s v="SP.DYN.LE00.IN"/>
    <x v="61"/>
    <n v="62"/>
    <x v="6"/>
  </r>
  <r>
    <x v="38"/>
    <s v="MDA"/>
    <x v="3"/>
    <s v="SP.DYN.LE00.IN"/>
    <x v="62"/>
    <n v="62"/>
    <x v="4"/>
  </r>
  <r>
    <x v="38"/>
    <s v="MDA"/>
    <x v="3"/>
    <s v="SP.DYN.LE00.IN"/>
    <x v="63"/>
    <n v="62"/>
    <x v="4"/>
  </r>
  <r>
    <x v="38"/>
    <s v="MDA"/>
    <x v="3"/>
    <s v="SP.DYN.LE00.IN"/>
    <x v="64"/>
    <n v="62"/>
    <x v="4"/>
  </r>
  <r>
    <x v="38"/>
    <s v="MDA"/>
    <x v="3"/>
    <s v="SP.DYN.LE00.IN"/>
    <x v="34"/>
    <n v="62"/>
    <x v="4"/>
  </r>
  <r>
    <x v="38"/>
    <s v="MDA"/>
    <x v="3"/>
    <s v="SP.DYN.LE00.IN"/>
    <x v="35"/>
    <n v="63"/>
    <x v="4"/>
  </r>
  <r>
    <x v="38"/>
    <s v="MDA"/>
    <x v="3"/>
    <s v="SP.DYN.LE00.IN"/>
    <x v="36"/>
    <n v="63"/>
    <x v="4"/>
  </r>
  <r>
    <x v="38"/>
    <s v="MDA"/>
    <x v="3"/>
    <s v="SP.DYN.LE00.IN"/>
    <x v="37"/>
    <n v="63"/>
    <x v="4"/>
  </r>
  <r>
    <x v="38"/>
    <s v="MDA"/>
    <x v="3"/>
    <s v="SP.DYN.LE00.IN"/>
    <x v="38"/>
    <n v="63"/>
    <x v="4"/>
  </r>
  <r>
    <x v="38"/>
    <s v="MDA"/>
    <x v="3"/>
    <s v="SP.DYN.LE00.IN"/>
    <x v="39"/>
    <n v="64"/>
    <x v="4"/>
  </r>
  <r>
    <x v="38"/>
    <s v="MDA"/>
    <x v="3"/>
    <s v="SP.DYN.LE00.IN"/>
    <x v="40"/>
    <n v="64"/>
    <x v="4"/>
  </r>
  <r>
    <x v="38"/>
    <s v="MDA"/>
    <x v="3"/>
    <s v="SP.DYN.LE00.IN"/>
    <x v="41"/>
    <n v="64"/>
    <x v="5"/>
  </r>
  <r>
    <x v="38"/>
    <s v="MDA"/>
    <x v="3"/>
    <s v="SP.DYN.LE00.IN"/>
    <x v="42"/>
    <n v="64"/>
    <x v="5"/>
  </r>
  <r>
    <x v="38"/>
    <s v="MDA"/>
    <x v="3"/>
    <s v="SP.DYN.LE00.IN"/>
    <x v="43"/>
    <n v="65"/>
    <x v="5"/>
  </r>
  <r>
    <x v="38"/>
    <s v="MDA"/>
    <x v="3"/>
    <s v="SP.DYN.LE00.IN"/>
    <x v="44"/>
    <n v="65"/>
    <x v="5"/>
  </r>
  <r>
    <x v="38"/>
    <s v="MDA"/>
    <x v="3"/>
    <s v="SP.DYN.LE00.IN"/>
    <x v="45"/>
    <n v="66"/>
    <x v="5"/>
  </r>
  <r>
    <x v="38"/>
    <s v="MDA"/>
    <x v="3"/>
    <s v="SP.DYN.LE00.IN"/>
    <x v="46"/>
    <n v="66"/>
    <x v="5"/>
  </r>
  <r>
    <x v="38"/>
    <s v="MDA"/>
    <x v="3"/>
    <s v="SP.DYN.LE00.IN"/>
    <x v="47"/>
    <n v="66"/>
    <x v="5"/>
  </r>
  <r>
    <x v="38"/>
    <s v="MDA"/>
    <x v="3"/>
    <s v="SP.DYN.LE00.IN"/>
    <x v="48"/>
    <n v="66"/>
    <x v="5"/>
  </r>
  <r>
    <x v="38"/>
    <s v="MDA"/>
    <x v="3"/>
    <s v="SP.DYN.LE00.IN"/>
    <x v="49"/>
    <n v="67"/>
    <x v="5"/>
  </r>
  <r>
    <x v="38"/>
    <s v="MDA"/>
    <x v="3"/>
    <s v="SP.DYN.LE00.IN"/>
    <x v="50"/>
    <n v="67"/>
    <x v="5"/>
  </r>
  <r>
    <x v="38"/>
    <s v="MDA"/>
    <x v="3"/>
    <s v="SP.DYN.LE00.IN"/>
    <x v="51"/>
    <n v="68"/>
    <x v="0"/>
  </r>
  <r>
    <x v="38"/>
    <s v="MDA"/>
    <x v="3"/>
    <s v="SP.DYN.LE00.IN"/>
    <x v="52"/>
    <n v="68"/>
    <x v="0"/>
  </r>
  <r>
    <x v="38"/>
    <s v="MDA"/>
    <x v="3"/>
    <s v="SP.DYN.LE00.IN"/>
    <x v="53"/>
    <n v="68"/>
    <x v="0"/>
  </r>
  <r>
    <x v="38"/>
    <s v="MDA"/>
    <x v="3"/>
    <s v="SP.DYN.LE00.IN"/>
    <x v="0"/>
    <n v="68"/>
    <x v="0"/>
  </r>
  <r>
    <x v="38"/>
    <s v="MDA"/>
    <x v="3"/>
    <s v="SP.DYN.LE00.IN"/>
    <x v="1"/>
    <n v="68"/>
    <x v="0"/>
  </r>
  <r>
    <x v="38"/>
    <s v="MDA"/>
    <x v="3"/>
    <s v="SP.DYN.LE00.IN"/>
    <x v="2"/>
    <n v="67"/>
    <x v="0"/>
  </r>
  <r>
    <x v="38"/>
    <s v="MDA"/>
    <x v="3"/>
    <s v="SP.DYN.LE00.IN"/>
    <x v="3"/>
    <n v="67"/>
    <x v="0"/>
  </r>
  <r>
    <x v="38"/>
    <s v="MDA"/>
    <x v="3"/>
    <s v="SP.DYN.LE00.IN"/>
    <x v="4"/>
    <n v="66"/>
    <x v="0"/>
  </r>
  <r>
    <x v="38"/>
    <s v="MDA"/>
    <x v="3"/>
    <s v="SP.DYN.LE00.IN"/>
    <x v="5"/>
    <n v="66"/>
    <x v="0"/>
  </r>
  <r>
    <x v="38"/>
    <s v="MDA"/>
    <x v="3"/>
    <s v="SP.DYN.LE00.IN"/>
    <x v="6"/>
    <n v="66"/>
    <x v="0"/>
  </r>
  <r>
    <x v="38"/>
    <s v="MDA"/>
    <x v="3"/>
    <s v="SP.DYN.LE00.IN"/>
    <x v="7"/>
    <n v="66"/>
    <x v="1"/>
  </r>
  <r>
    <x v="38"/>
    <s v="MDA"/>
    <x v="3"/>
    <s v="SP.DYN.LE00.IN"/>
    <x v="8"/>
    <n v="67"/>
    <x v="1"/>
  </r>
  <r>
    <x v="38"/>
    <s v="MDA"/>
    <x v="3"/>
    <s v="SP.DYN.LE00.IN"/>
    <x v="9"/>
    <n v="67"/>
    <x v="1"/>
  </r>
  <r>
    <x v="38"/>
    <s v="MDA"/>
    <x v="3"/>
    <s v="SP.DYN.LE00.IN"/>
    <x v="10"/>
    <n v="67"/>
    <x v="1"/>
  </r>
  <r>
    <x v="38"/>
    <s v="MDA"/>
    <x v="3"/>
    <s v="SP.DYN.LE00.IN"/>
    <x v="11"/>
    <n v="68"/>
    <x v="1"/>
  </r>
  <r>
    <x v="38"/>
    <s v="MDA"/>
    <x v="3"/>
    <s v="SP.DYN.LE00.IN"/>
    <x v="12"/>
    <n v="68"/>
    <x v="1"/>
  </r>
  <r>
    <x v="38"/>
    <s v="MDA"/>
    <x v="3"/>
    <s v="SP.DYN.LE00.IN"/>
    <x v="13"/>
    <n v="68"/>
    <x v="1"/>
  </r>
  <r>
    <x v="38"/>
    <s v="MDA"/>
    <x v="3"/>
    <s v="SP.DYN.LE00.IN"/>
    <x v="14"/>
    <n v="68"/>
    <x v="1"/>
  </r>
  <r>
    <x v="38"/>
    <s v="MDA"/>
    <x v="3"/>
    <s v="SP.DYN.LE00.IN"/>
    <x v="15"/>
    <n v="68"/>
    <x v="1"/>
  </r>
  <r>
    <x v="38"/>
    <s v="MDA"/>
    <x v="3"/>
    <s v="SP.DYN.LE00.IN"/>
    <x v="16"/>
    <n v="68"/>
    <x v="1"/>
  </r>
  <r>
    <x v="38"/>
    <s v="MDA"/>
    <x v="3"/>
    <s v="SP.DYN.LE00.IN"/>
    <x v="17"/>
    <n v="69"/>
    <x v="2"/>
  </r>
  <r>
    <x v="38"/>
    <s v="MDA"/>
    <x v="3"/>
    <s v="SP.DYN.LE00.IN"/>
    <x v="18"/>
    <n v="69"/>
    <x v="2"/>
  </r>
  <r>
    <x v="38"/>
    <s v="MDA"/>
    <x v="3"/>
    <s v="SP.DYN.LE00.IN"/>
    <x v="19"/>
    <n v="69"/>
    <x v="2"/>
  </r>
  <r>
    <x v="38"/>
    <s v="MDA"/>
    <x v="3"/>
    <s v="SP.DYN.LE00.IN"/>
    <x v="20"/>
    <n v="70"/>
    <x v="2"/>
  </r>
  <r>
    <x v="38"/>
    <s v="MDA"/>
    <x v="3"/>
    <s v="SP.DYN.LE00.IN"/>
    <x v="21"/>
    <n v="70"/>
    <x v="2"/>
  </r>
  <r>
    <x v="38"/>
    <s v="MDA"/>
    <x v="3"/>
    <s v="SP.DYN.LE00.IN"/>
    <x v="22"/>
    <n v="70"/>
    <x v="2"/>
  </r>
  <r>
    <x v="38"/>
    <s v="MDA"/>
    <x v="3"/>
    <s v="SP.DYN.LE00.IN"/>
    <x v="23"/>
    <n v="70"/>
    <x v="2"/>
  </r>
  <r>
    <x v="38"/>
    <s v="MDA"/>
    <x v="3"/>
    <s v="SP.DYN.LE00.IN"/>
    <x v="24"/>
    <n v="70"/>
    <x v="2"/>
  </r>
  <r>
    <x v="38"/>
    <s v="MDA"/>
    <x v="3"/>
    <s v="SP.DYN.LE00.IN"/>
    <x v="25"/>
    <n v="70"/>
    <x v="2"/>
  </r>
  <r>
    <x v="38"/>
    <s v="MDA"/>
    <x v="3"/>
    <s v="SP.DYN.LE00.IN"/>
    <x v="26"/>
    <n v="70"/>
    <x v="2"/>
  </r>
  <r>
    <x v="38"/>
    <s v="MDA"/>
    <x v="3"/>
    <s v="SP.DYN.LE00.IN"/>
    <x v="27"/>
    <n v="70"/>
    <x v="3"/>
  </r>
  <r>
    <x v="38"/>
    <s v="MDA"/>
    <x v="3"/>
    <s v="SP.DYN.LE00.IN"/>
    <x v="28"/>
    <n v="70"/>
    <x v="3"/>
  </r>
  <r>
    <x v="38"/>
    <s v="MDA"/>
    <x v="3"/>
    <s v="SP.DYN.LE00.IN"/>
    <x v="29"/>
    <n v="70"/>
    <x v="3"/>
  </r>
  <r>
    <x v="38"/>
    <s v="MDA"/>
    <x v="3"/>
    <s v="SP.DYN.LE00.IN"/>
    <x v="30"/>
    <n v="70"/>
    <x v="3"/>
  </r>
  <r>
    <x v="38"/>
    <s v="MDA"/>
    <x v="3"/>
    <s v="SP.DYN.LE00.IN"/>
    <x v="31"/>
    <n v="69"/>
    <x v="6"/>
  </r>
  <r>
    <x v="38"/>
    <s v="MDA"/>
    <x v="3"/>
    <s v="SP.DYN.LE00.IN"/>
    <x v="32"/>
    <n v="72"/>
    <x v="6"/>
  </r>
  <r>
    <x v="38"/>
    <s v="MDA"/>
    <x v="3"/>
    <s v="SP.DYN.LE00.IN"/>
    <x v="33"/>
    <n v="71"/>
    <x v="6"/>
  </r>
  <r>
    <x v="39"/>
    <s v="MKD"/>
    <x v="3"/>
    <s v="SP.DYN.LE00.IN"/>
    <x v="55"/>
    <n v="61"/>
    <x v="6"/>
  </r>
  <r>
    <x v="39"/>
    <s v="MKD"/>
    <x v="3"/>
    <s v="SP.DYN.LE00.IN"/>
    <x v="56"/>
    <n v="62"/>
    <x v="6"/>
  </r>
  <r>
    <x v="39"/>
    <s v="MKD"/>
    <x v="3"/>
    <s v="SP.DYN.LE00.IN"/>
    <x v="57"/>
    <n v="59"/>
    <x v="6"/>
  </r>
  <r>
    <x v="39"/>
    <s v="MKD"/>
    <x v="3"/>
    <s v="SP.DYN.LE00.IN"/>
    <x v="58"/>
    <n v="61"/>
    <x v="6"/>
  </r>
  <r>
    <x v="39"/>
    <s v="MKD"/>
    <x v="3"/>
    <s v="SP.DYN.LE00.IN"/>
    <x v="59"/>
    <n v="62"/>
    <x v="6"/>
  </r>
  <r>
    <x v="39"/>
    <s v="MKD"/>
    <x v="3"/>
    <s v="SP.DYN.LE00.IN"/>
    <x v="60"/>
    <n v="63"/>
    <x v="6"/>
  </r>
  <r>
    <x v="39"/>
    <s v="MKD"/>
    <x v="3"/>
    <s v="SP.DYN.LE00.IN"/>
    <x v="61"/>
    <n v="63"/>
    <x v="6"/>
  </r>
  <r>
    <x v="39"/>
    <s v="MKD"/>
    <x v="3"/>
    <s v="SP.DYN.LE00.IN"/>
    <x v="62"/>
    <n v="64"/>
    <x v="4"/>
  </r>
  <r>
    <x v="39"/>
    <s v="MKD"/>
    <x v="3"/>
    <s v="SP.DYN.LE00.IN"/>
    <x v="63"/>
    <n v="65"/>
    <x v="4"/>
  </r>
  <r>
    <x v="39"/>
    <s v="MKD"/>
    <x v="3"/>
    <s v="SP.DYN.LE00.IN"/>
    <x v="64"/>
    <n v="64"/>
    <x v="4"/>
  </r>
  <r>
    <x v="39"/>
    <s v="MKD"/>
    <x v="3"/>
    <s v="SP.DYN.LE00.IN"/>
    <x v="34"/>
    <n v="65"/>
    <x v="4"/>
  </r>
  <r>
    <x v="39"/>
    <s v="MKD"/>
    <x v="3"/>
    <s v="SP.DYN.LE00.IN"/>
    <x v="35"/>
    <n v="65"/>
    <x v="4"/>
  </r>
  <r>
    <x v="39"/>
    <s v="MKD"/>
    <x v="3"/>
    <s v="SP.DYN.LE00.IN"/>
    <x v="36"/>
    <n v="66"/>
    <x v="4"/>
  </r>
  <r>
    <x v="39"/>
    <s v="MKD"/>
    <x v="3"/>
    <s v="SP.DYN.LE00.IN"/>
    <x v="37"/>
    <n v="67"/>
    <x v="4"/>
  </r>
  <r>
    <x v="39"/>
    <s v="MKD"/>
    <x v="3"/>
    <s v="SP.DYN.LE00.IN"/>
    <x v="38"/>
    <n v="67"/>
    <x v="4"/>
  </r>
  <r>
    <x v="39"/>
    <s v="MKD"/>
    <x v="3"/>
    <s v="SP.DYN.LE00.IN"/>
    <x v="39"/>
    <n v="67"/>
    <x v="4"/>
  </r>
  <r>
    <x v="39"/>
    <s v="MKD"/>
    <x v="3"/>
    <s v="SP.DYN.LE00.IN"/>
    <x v="40"/>
    <n v="68"/>
    <x v="4"/>
  </r>
  <r>
    <x v="39"/>
    <s v="MKD"/>
    <x v="3"/>
    <s v="SP.DYN.LE00.IN"/>
    <x v="41"/>
    <n v="68"/>
    <x v="5"/>
  </r>
  <r>
    <x v="39"/>
    <s v="MKD"/>
    <x v="3"/>
    <s v="SP.DYN.LE00.IN"/>
    <x v="42"/>
    <n v="69"/>
    <x v="5"/>
  </r>
  <r>
    <x v="39"/>
    <s v="MKD"/>
    <x v="3"/>
    <s v="SP.DYN.LE00.IN"/>
    <x v="43"/>
    <n v="69"/>
    <x v="5"/>
  </r>
  <r>
    <x v="39"/>
    <s v="MKD"/>
    <x v="3"/>
    <s v="SP.DYN.LE00.IN"/>
    <x v="44"/>
    <n v="69"/>
    <x v="5"/>
  </r>
  <r>
    <x v="39"/>
    <s v="MKD"/>
    <x v="3"/>
    <s v="SP.DYN.LE00.IN"/>
    <x v="45"/>
    <n v="69"/>
    <x v="5"/>
  </r>
  <r>
    <x v="39"/>
    <s v="MKD"/>
    <x v="3"/>
    <s v="SP.DYN.LE00.IN"/>
    <x v="46"/>
    <n v="70"/>
    <x v="5"/>
  </r>
  <r>
    <x v="39"/>
    <s v="MKD"/>
    <x v="3"/>
    <s v="SP.DYN.LE00.IN"/>
    <x v="47"/>
    <n v="70"/>
    <x v="5"/>
  </r>
  <r>
    <x v="39"/>
    <s v="MKD"/>
    <x v="3"/>
    <s v="SP.DYN.LE00.IN"/>
    <x v="48"/>
    <n v="70"/>
    <x v="5"/>
  </r>
  <r>
    <x v="39"/>
    <s v="MKD"/>
    <x v="3"/>
    <s v="SP.DYN.LE00.IN"/>
    <x v="49"/>
    <n v="70"/>
    <x v="5"/>
  </r>
  <r>
    <x v="39"/>
    <s v="MKD"/>
    <x v="3"/>
    <s v="SP.DYN.LE00.IN"/>
    <x v="50"/>
    <n v="70"/>
    <x v="5"/>
  </r>
  <r>
    <x v="39"/>
    <s v="MKD"/>
    <x v="3"/>
    <s v="SP.DYN.LE00.IN"/>
    <x v="51"/>
    <n v="70"/>
    <x v="0"/>
  </r>
  <r>
    <x v="39"/>
    <s v="MKD"/>
    <x v="3"/>
    <s v="SP.DYN.LE00.IN"/>
    <x v="52"/>
    <n v="70"/>
    <x v="0"/>
  </r>
  <r>
    <x v="39"/>
    <s v="MKD"/>
    <x v="3"/>
    <s v="SP.DYN.LE00.IN"/>
    <x v="53"/>
    <n v="71"/>
    <x v="0"/>
  </r>
  <r>
    <x v="39"/>
    <s v="MKD"/>
    <x v="3"/>
    <s v="SP.DYN.LE00.IN"/>
    <x v="0"/>
    <n v="71"/>
    <x v="0"/>
  </r>
  <r>
    <x v="39"/>
    <s v="MKD"/>
    <x v="3"/>
    <s v="SP.DYN.LE00.IN"/>
    <x v="1"/>
    <n v="72"/>
    <x v="0"/>
  </r>
  <r>
    <x v="39"/>
    <s v="MKD"/>
    <x v="3"/>
    <s v="SP.DYN.LE00.IN"/>
    <x v="2"/>
    <n v="71"/>
    <x v="0"/>
  </r>
  <r>
    <x v="39"/>
    <s v="MKD"/>
    <x v="3"/>
    <s v="SP.DYN.LE00.IN"/>
    <x v="3"/>
    <n v="72"/>
    <x v="0"/>
  </r>
  <r>
    <x v="39"/>
    <s v="MKD"/>
    <x v="3"/>
    <s v="SP.DYN.LE00.IN"/>
    <x v="4"/>
    <n v="72"/>
    <x v="0"/>
  </r>
  <r>
    <x v="39"/>
    <s v="MKD"/>
    <x v="3"/>
    <s v="SP.DYN.LE00.IN"/>
    <x v="5"/>
    <n v="72"/>
    <x v="0"/>
  </r>
  <r>
    <x v="39"/>
    <s v="MKD"/>
    <x v="3"/>
    <s v="SP.DYN.LE00.IN"/>
    <x v="6"/>
    <n v="72"/>
    <x v="0"/>
  </r>
  <r>
    <x v="39"/>
    <s v="MKD"/>
    <x v="3"/>
    <s v="SP.DYN.LE00.IN"/>
    <x v="7"/>
    <n v="72"/>
    <x v="1"/>
  </r>
  <r>
    <x v="39"/>
    <s v="MKD"/>
    <x v="3"/>
    <s v="SP.DYN.LE00.IN"/>
    <x v="8"/>
    <n v="72"/>
    <x v="1"/>
  </r>
  <r>
    <x v="39"/>
    <s v="MKD"/>
    <x v="3"/>
    <s v="SP.DYN.LE00.IN"/>
    <x v="9"/>
    <n v="73"/>
    <x v="1"/>
  </r>
  <r>
    <x v="39"/>
    <s v="MKD"/>
    <x v="3"/>
    <s v="SP.DYN.LE00.IN"/>
    <x v="10"/>
    <n v="73"/>
    <x v="1"/>
  </r>
  <r>
    <x v="39"/>
    <s v="MKD"/>
    <x v="3"/>
    <s v="SP.DYN.LE00.IN"/>
    <x v="11"/>
    <n v="73"/>
    <x v="1"/>
  </r>
  <r>
    <x v="39"/>
    <s v="MKD"/>
    <x v="3"/>
    <s v="SP.DYN.LE00.IN"/>
    <x v="12"/>
    <n v="73"/>
    <x v="1"/>
  </r>
  <r>
    <x v="39"/>
    <s v="MKD"/>
    <x v="3"/>
    <s v="SP.DYN.LE00.IN"/>
    <x v="13"/>
    <n v="73"/>
    <x v="1"/>
  </r>
  <r>
    <x v="39"/>
    <s v="MKD"/>
    <x v="3"/>
    <s v="SP.DYN.LE00.IN"/>
    <x v="14"/>
    <n v="74"/>
    <x v="1"/>
  </r>
  <r>
    <x v="39"/>
    <s v="MKD"/>
    <x v="3"/>
    <s v="SP.DYN.LE00.IN"/>
    <x v="15"/>
    <n v="74"/>
    <x v="1"/>
  </r>
  <r>
    <x v="39"/>
    <s v="MKD"/>
    <x v="3"/>
    <s v="SP.DYN.LE00.IN"/>
    <x v="16"/>
    <n v="74"/>
    <x v="1"/>
  </r>
  <r>
    <x v="39"/>
    <s v="MKD"/>
    <x v="3"/>
    <s v="SP.DYN.LE00.IN"/>
    <x v="17"/>
    <n v="74"/>
    <x v="2"/>
  </r>
  <r>
    <x v="39"/>
    <s v="MKD"/>
    <x v="3"/>
    <s v="SP.DYN.LE00.IN"/>
    <x v="18"/>
    <n v="74"/>
    <x v="2"/>
  </r>
  <r>
    <x v="39"/>
    <s v="MKD"/>
    <x v="3"/>
    <s v="SP.DYN.LE00.IN"/>
    <x v="19"/>
    <n v="74"/>
    <x v="2"/>
  </r>
  <r>
    <x v="39"/>
    <s v="MKD"/>
    <x v="3"/>
    <s v="SP.DYN.LE00.IN"/>
    <x v="20"/>
    <n v="75"/>
    <x v="2"/>
  </r>
  <r>
    <x v="39"/>
    <s v="MKD"/>
    <x v="3"/>
    <s v="SP.DYN.LE00.IN"/>
    <x v="21"/>
    <n v="75"/>
    <x v="2"/>
  </r>
  <r>
    <x v="39"/>
    <s v="MKD"/>
    <x v="3"/>
    <s v="SP.DYN.LE00.IN"/>
    <x v="22"/>
    <n v="75"/>
    <x v="2"/>
  </r>
  <r>
    <x v="39"/>
    <s v="MKD"/>
    <x v="3"/>
    <s v="SP.DYN.LE00.IN"/>
    <x v="23"/>
    <n v="75"/>
    <x v="2"/>
  </r>
  <r>
    <x v="39"/>
    <s v="MKD"/>
    <x v="3"/>
    <s v="SP.DYN.LE00.IN"/>
    <x v="24"/>
    <n v="75"/>
    <x v="2"/>
  </r>
  <r>
    <x v="39"/>
    <s v="MKD"/>
    <x v="3"/>
    <s v="SP.DYN.LE00.IN"/>
    <x v="25"/>
    <n v="75"/>
    <x v="2"/>
  </r>
  <r>
    <x v="39"/>
    <s v="MKD"/>
    <x v="3"/>
    <s v="SP.DYN.LE00.IN"/>
    <x v="26"/>
    <n v="75"/>
    <x v="2"/>
  </r>
  <r>
    <x v="39"/>
    <s v="MKD"/>
    <x v="3"/>
    <s v="SP.DYN.LE00.IN"/>
    <x v="27"/>
    <n v="76"/>
    <x v="3"/>
  </r>
  <r>
    <x v="39"/>
    <s v="MKD"/>
    <x v="3"/>
    <s v="SP.DYN.LE00.IN"/>
    <x v="28"/>
    <n v="77"/>
    <x v="3"/>
  </r>
  <r>
    <x v="39"/>
    <s v="MKD"/>
    <x v="3"/>
    <s v="SP.DYN.LE00.IN"/>
    <x v="29"/>
    <n v="77"/>
    <x v="3"/>
  </r>
  <r>
    <x v="39"/>
    <s v="MKD"/>
    <x v="3"/>
    <s v="SP.DYN.LE00.IN"/>
    <x v="30"/>
    <n v="74"/>
    <x v="3"/>
  </r>
  <r>
    <x v="39"/>
    <s v="MKD"/>
    <x v="3"/>
    <s v="SP.DYN.LE00.IN"/>
    <x v="31"/>
    <n v="73"/>
    <x v="6"/>
  </r>
  <r>
    <x v="39"/>
    <s v="MKD"/>
    <x v="3"/>
    <s v="SP.DYN.LE00.IN"/>
    <x v="32"/>
    <n v="74"/>
    <x v="6"/>
  </r>
  <r>
    <x v="39"/>
    <s v="MKD"/>
    <x v="3"/>
    <s v="SP.DYN.LE00.IN"/>
    <x v="33"/>
    <n v="75"/>
    <x v="6"/>
  </r>
  <r>
    <x v="40"/>
    <s v="MNE"/>
    <x v="3"/>
    <s v="SP.DYN.LE00.IN"/>
    <x v="55"/>
    <n v="65"/>
    <x v="6"/>
  </r>
  <r>
    <x v="40"/>
    <s v="MNE"/>
    <x v="3"/>
    <s v="SP.DYN.LE00.IN"/>
    <x v="56"/>
    <n v="66"/>
    <x v="6"/>
  </r>
  <r>
    <x v="40"/>
    <s v="MNE"/>
    <x v="3"/>
    <s v="SP.DYN.LE00.IN"/>
    <x v="57"/>
    <n v="66"/>
    <x v="6"/>
  </r>
  <r>
    <x v="40"/>
    <s v="MNE"/>
    <x v="3"/>
    <s v="SP.DYN.LE00.IN"/>
    <x v="58"/>
    <n v="67"/>
    <x v="6"/>
  </r>
  <r>
    <x v="40"/>
    <s v="MNE"/>
    <x v="3"/>
    <s v="SP.DYN.LE00.IN"/>
    <x v="59"/>
    <n v="67"/>
    <x v="6"/>
  </r>
  <r>
    <x v="40"/>
    <s v="MNE"/>
    <x v="3"/>
    <s v="SP.DYN.LE00.IN"/>
    <x v="60"/>
    <n v="68"/>
    <x v="6"/>
  </r>
  <r>
    <x v="40"/>
    <s v="MNE"/>
    <x v="3"/>
    <s v="SP.DYN.LE00.IN"/>
    <x v="61"/>
    <n v="68"/>
    <x v="6"/>
  </r>
  <r>
    <x v="40"/>
    <s v="MNE"/>
    <x v="3"/>
    <s v="SP.DYN.LE00.IN"/>
    <x v="62"/>
    <n v="69"/>
    <x v="4"/>
  </r>
  <r>
    <x v="40"/>
    <s v="MNE"/>
    <x v="3"/>
    <s v="SP.DYN.LE00.IN"/>
    <x v="63"/>
    <n v="70"/>
    <x v="4"/>
  </r>
  <r>
    <x v="40"/>
    <s v="MNE"/>
    <x v="3"/>
    <s v="SP.DYN.LE00.IN"/>
    <x v="64"/>
    <n v="70"/>
    <x v="4"/>
  </r>
  <r>
    <x v="40"/>
    <s v="MNE"/>
    <x v="3"/>
    <s v="SP.DYN.LE00.IN"/>
    <x v="34"/>
    <n v="70"/>
    <x v="4"/>
  </r>
  <r>
    <x v="40"/>
    <s v="MNE"/>
    <x v="3"/>
    <s v="SP.DYN.LE00.IN"/>
    <x v="35"/>
    <n v="71"/>
    <x v="4"/>
  </r>
  <r>
    <x v="40"/>
    <s v="MNE"/>
    <x v="3"/>
    <s v="SP.DYN.LE00.IN"/>
    <x v="36"/>
    <n v="71"/>
    <x v="4"/>
  </r>
  <r>
    <x v="40"/>
    <s v="MNE"/>
    <x v="3"/>
    <s v="SP.DYN.LE00.IN"/>
    <x v="37"/>
    <n v="71"/>
    <x v="4"/>
  </r>
  <r>
    <x v="40"/>
    <s v="MNE"/>
    <x v="3"/>
    <s v="SP.DYN.LE00.IN"/>
    <x v="38"/>
    <n v="71"/>
    <x v="4"/>
  </r>
  <r>
    <x v="40"/>
    <s v="MNE"/>
    <x v="3"/>
    <s v="SP.DYN.LE00.IN"/>
    <x v="39"/>
    <n v="72"/>
    <x v="4"/>
  </r>
  <r>
    <x v="40"/>
    <s v="MNE"/>
    <x v="3"/>
    <s v="SP.DYN.LE00.IN"/>
    <x v="40"/>
    <n v="72"/>
    <x v="4"/>
  </r>
  <r>
    <x v="40"/>
    <s v="MNE"/>
    <x v="3"/>
    <s v="SP.DYN.LE00.IN"/>
    <x v="41"/>
    <n v="72"/>
    <x v="5"/>
  </r>
  <r>
    <x v="40"/>
    <s v="MNE"/>
    <x v="3"/>
    <s v="SP.DYN.LE00.IN"/>
    <x v="42"/>
    <n v="72"/>
    <x v="5"/>
  </r>
  <r>
    <x v="40"/>
    <s v="MNE"/>
    <x v="3"/>
    <s v="SP.DYN.LE00.IN"/>
    <x v="43"/>
    <n v="71"/>
    <x v="5"/>
  </r>
  <r>
    <x v="40"/>
    <s v="MNE"/>
    <x v="3"/>
    <s v="SP.DYN.LE00.IN"/>
    <x v="44"/>
    <n v="72"/>
    <x v="5"/>
  </r>
  <r>
    <x v="40"/>
    <s v="MNE"/>
    <x v="3"/>
    <s v="SP.DYN.LE00.IN"/>
    <x v="45"/>
    <n v="72"/>
    <x v="5"/>
  </r>
  <r>
    <x v="40"/>
    <s v="MNE"/>
    <x v="3"/>
    <s v="SP.DYN.LE00.IN"/>
    <x v="46"/>
    <n v="72"/>
    <x v="5"/>
  </r>
  <r>
    <x v="40"/>
    <s v="MNE"/>
    <x v="3"/>
    <s v="SP.DYN.LE00.IN"/>
    <x v="47"/>
    <n v="72"/>
    <x v="5"/>
  </r>
  <r>
    <x v="40"/>
    <s v="MNE"/>
    <x v="3"/>
    <s v="SP.DYN.LE00.IN"/>
    <x v="48"/>
    <n v="72"/>
    <x v="5"/>
  </r>
  <r>
    <x v="40"/>
    <s v="MNE"/>
    <x v="3"/>
    <s v="SP.DYN.LE00.IN"/>
    <x v="49"/>
    <n v="72"/>
    <x v="5"/>
  </r>
  <r>
    <x v="40"/>
    <s v="MNE"/>
    <x v="3"/>
    <s v="SP.DYN.LE00.IN"/>
    <x v="50"/>
    <n v="73"/>
    <x v="5"/>
  </r>
  <r>
    <x v="40"/>
    <s v="MNE"/>
    <x v="3"/>
    <s v="SP.DYN.LE00.IN"/>
    <x v="51"/>
    <n v="73"/>
    <x v="0"/>
  </r>
  <r>
    <x v="40"/>
    <s v="MNE"/>
    <x v="3"/>
    <s v="SP.DYN.LE00.IN"/>
    <x v="52"/>
    <n v="73"/>
    <x v="0"/>
  </r>
  <r>
    <x v="40"/>
    <s v="MNE"/>
    <x v="3"/>
    <s v="SP.DYN.LE00.IN"/>
    <x v="53"/>
    <n v="74"/>
    <x v="0"/>
  </r>
  <r>
    <x v="40"/>
    <s v="MNE"/>
    <x v="3"/>
    <s v="SP.DYN.LE00.IN"/>
    <x v="0"/>
    <n v="74"/>
    <x v="0"/>
  </r>
  <r>
    <x v="40"/>
    <s v="MNE"/>
    <x v="3"/>
    <s v="SP.DYN.LE00.IN"/>
    <x v="1"/>
    <n v="74"/>
    <x v="0"/>
  </r>
  <r>
    <x v="40"/>
    <s v="MNE"/>
    <x v="3"/>
    <s v="SP.DYN.LE00.IN"/>
    <x v="2"/>
    <n v="74"/>
    <x v="0"/>
  </r>
  <r>
    <x v="40"/>
    <s v="MNE"/>
    <x v="3"/>
    <s v="SP.DYN.LE00.IN"/>
    <x v="3"/>
    <n v="74"/>
    <x v="0"/>
  </r>
  <r>
    <x v="40"/>
    <s v="MNE"/>
    <x v="3"/>
    <s v="SP.DYN.LE00.IN"/>
    <x v="4"/>
    <n v="74"/>
    <x v="0"/>
  </r>
  <r>
    <x v="40"/>
    <s v="MNE"/>
    <x v="3"/>
    <s v="SP.DYN.LE00.IN"/>
    <x v="5"/>
    <n v="74"/>
    <x v="0"/>
  </r>
  <r>
    <x v="40"/>
    <s v="MNE"/>
    <x v="3"/>
    <s v="SP.DYN.LE00.IN"/>
    <x v="6"/>
    <n v="73"/>
    <x v="0"/>
  </r>
  <r>
    <x v="40"/>
    <s v="MNE"/>
    <x v="3"/>
    <s v="SP.DYN.LE00.IN"/>
    <x v="7"/>
    <n v="73"/>
    <x v="1"/>
  </r>
  <r>
    <x v="40"/>
    <s v="MNE"/>
    <x v="3"/>
    <s v="SP.DYN.LE00.IN"/>
    <x v="8"/>
    <n v="73"/>
    <x v="1"/>
  </r>
  <r>
    <x v="40"/>
    <s v="MNE"/>
    <x v="3"/>
    <s v="SP.DYN.LE00.IN"/>
    <x v="9"/>
    <n v="73"/>
    <x v="1"/>
  </r>
  <r>
    <x v="40"/>
    <s v="MNE"/>
    <x v="3"/>
    <s v="SP.DYN.LE00.IN"/>
    <x v="10"/>
    <n v="73"/>
    <x v="1"/>
  </r>
  <r>
    <x v="40"/>
    <s v="MNE"/>
    <x v="3"/>
    <s v="SP.DYN.LE00.IN"/>
    <x v="11"/>
    <n v="74"/>
    <x v="1"/>
  </r>
  <r>
    <x v="40"/>
    <s v="MNE"/>
    <x v="3"/>
    <s v="SP.DYN.LE00.IN"/>
    <x v="12"/>
    <n v="74"/>
    <x v="1"/>
  </r>
  <r>
    <x v="40"/>
    <s v="MNE"/>
    <x v="3"/>
    <s v="SP.DYN.LE00.IN"/>
    <x v="13"/>
    <n v="74"/>
    <x v="1"/>
  </r>
  <r>
    <x v="40"/>
    <s v="MNE"/>
    <x v="3"/>
    <s v="SP.DYN.LE00.IN"/>
    <x v="14"/>
    <n v="74"/>
    <x v="1"/>
  </r>
  <r>
    <x v="40"/>
    <s v="MNE"/>
    <x v="3"/>
    <s v="SP.DYN.LE00.IN"/>
    <x v="15"/>
    <n v="74"/>
    <x v="1"/>
  </r>
  <r>
    <x v="40"/>
    <s v="MNE"/>
    <x v="3"/>
    <s v="SP.DYN.LE00.IN"/>
    <x v="16"/>
    <n v="74"/>
    <x v="1"/>
  </r>
  <r>
    <x v="40"/>
    <s v="MNE"/>
    <x v="3"/>
    <s v="SP.DYN.LE00.IN"/>
    <x v="17"/>
    <n v="74"/>
    <x v="2"/>
  </r>
  <r>
    <x v="40"/>
    <s v="MNE"/>
    <x v="3"/>
    <s v="SP.DYN.LE00.IN"/>
    <x v="18"/>
    <n v="75"/>
    <x v="2"/>
  </r>
  <r>
    <x v="40"/>
    <s v="MNE"/>
    <x v="3"/>
    <s v="SP.DYN.LE00.IN"/>
    <x v="19"/>
    <n v="75"/>
    <x v="2"/>
  </r>
  <r>
    <x v="40"/>
    <s v="MNE"/>
    <x v="3"/>
    <s v="SP.DYN.LE00.IN"/>
    <x v="20"/>
    <n v="76"/>
    <x v="2"/>
  </r>
  <r>
    <x v="40"/>
    <s v="MNE"/>
    <x v="3"/>
    <s v="SP.DYN.LE00.IN"/>
    <x v="21"/>
    <n v="76"/>
    <x v="2"/>
  </r>
  <r>
    <x v="40"/>
    <s v="MNE"/>
    <x v="3"/>
    <s v="SP.DYN.LE00.IN"/>
    <x v="22"/>
    <n v="76"/>
    <x v="2"/>
  </r>
  <r>
    <x v="40"/>
    <s v="MNE"/>
    <x v="3"/>
    <s v="SP.DYN.LE00.IN"/>
    <x v="23"/>
    <n v="76"/>
    <x v="2"/>
  </r>
  <r>
    <x v="40"/>
    <s v="MNE"/>
    <x v="3"/>
    <s v="SP.DYN.LE00.IN"/>
    <x v="24"/>
    <n v="76"/>
    <x v="2"/>
  </r>
  <r>
    <x v="40"/>
    <s v="MNE"/>
    <x v="3"/>
    <s v="SP.DYN.LE00.IN"/>
    <x v="25"/>
    <n v="77"/>
    <x v="2"/>
  </r>
  <r>
    <x v="40"/>
    <s v="MNE"/>
    <x v="3"/>
    <s v="SP.DYN.LE00.IN"/>
    <x v="26"/>
    <n v="77"/>
    <x v="2"/>
  </r>
  <r>
    <x v="40"/>
    <s v="MNE"/>
    <x v="3"/>
    <s v="SP.DYN.LE00.IN"/>
    <x v="27"/>
    <n v="77"/>
    <x v="3"/>
  </r>
  <r>
    <x v="40"/>
    <s v="MNE"/>
    <x v="3"/>
    <s v="SP.DYN.LE00.IN"/>
    <x v="28"/>
    <n v="78"/>
    <x v="3"/>
  </r>
  <r>
    <x v="40"/>
    <s v="MNE"/>
    <x v="3"/>
    <s v="SP.DYN.LE00.IN"/>
    <x v="29"/>
    <n v="77"/>
    <x v="3"/>
  </r>
  <r>
    <x v="40"/>
    <s v="MNE"/>
    <x v="3"/>
    <s v="SP.DYN.LE00.IN"/>
    <x v="30"/>
    <n v="76"/>
    <x v="3"/>
  </r>
  <r>
    <x v="40"/>
    <s v="MNE"/>
    <x v="3"/>
    <s v="SP.DYN.LE00.IN"/>
    <x v="31"/>
    <n v="74"/>
    <x v="6"/>
  </r>
  <r>
    <x v="40"/>
    <s v="MNE"/>
    <x v="3"/>
    <s v="SP.DYN.LE00.IN"/>
    <x v="32"/>
    <n v="76"/>
    <x v="6"/>
  </r>
  <r>
    <x v="40"/>
    <s v="MNE"/>
    <x v="3"/>
    <s v="SP.DYN.LE00.IN"/>
    <x v="33"/>
    <n v="78"/>
    <x v="6"/>
  </r>
  <r>
    <x v="41"/>
    <s v="NLD"/>
    <x v="3"/>
    <s v="SP.DYN.LE00.IN"/>
    <x v="55"/>
    <n v="73"/>
    <x v="6"/>
  </r>
  <r>
    <x v="41"/>
    <s v="NLD"/>
    <x v="3"/>
    <s v="SP.DYN.LE00.IN"/>
    <x v="56"/>
    <n v="74"/>
    <x v="6"/>
  </r>
  <r>
    <x v="41"/>
    <s v="NLD"/>
    <x v="3"/>
    <s v="SP.DYN.LE00.IN"/>
    <x v="57"/>
    <n v="73"/>
    <x v="6"/>
  </r>
  <r>
    <x v="41"/>
    <s v="NLD"/>
    <x v="3"/>
    <s v="SP.DYN.LE00.IN"/>
    <x v="58"/>
    <n v="73"/>
    <x v="6"/>
  </r>
  <r>
    <x v="41"/>
    <s v="NLD"/>
    <x v="3"/>
    <s v="SP.DYN.LE00.IN"/>
    <x v="59"/>
    <n v="74"/>
    <x v="6"/>
  </r>
  <r>
    <x v="41"/>
    <s v="NLD"/>
    <x v="3"/>
    <s v="SP.DYN.LE00.IN"/>
    <x v="60"/>
    <n v="74"/>
    <x v="6"/>
  </r>
  <r>
    <x v="41"/>
    <s v="NLD"/>
    <x v="3"/>
    <s v="SP.DYN.LE00.IN"/>
    <x v="61"/>
    <n v="74"/>
    <x v="6"/>
  </r>
  <r>
    <x v="41"/>
    <s v="NLD"/>
    <x v="3"/>
    <s v="SP.DYN.LE00.IN"/>
    <x v="62"/>
    <n v="74"/>
    <x v="4"/>
  </r>
  <r>
    <x v="41"/>
    <s v="NLD"/>
    <x v="3"/>
    <s v="SP.DYN.LE00.IN"/>
    <x v="63"/>
    <n v="74"/>
    <x v="4"/>
  </r>
  <r>
    <x v="41"/>
    <s v="NLD"/>
    <x v="3"/>
    <s v="SP.DYN.LE00.IN"/>
    <x v="64"/>
    <n v="74"/>
    <x v="4"/>
  </r>
  <r>
    <x v="41"/>
    <s v="NLD"/>
    <x v="3"/>
    <s v="SP.DYN.LE00.IN"/>
    <x v="34"/>
    <n v="74"/>
    <x v="4"/>
  </r>
  <r>
    <x v="41"/>
    <s v="NLD"/>
    <x v="3"/>
    <s v="SP.DYN.LE00.IN"/>
    <x v="35"/>
    <n v="74"/>
    <x v="4"/>
  </r>
  <r>
    <x v="41"/>
    <s v="NLD"/>
    <x v="3"/>
    <s v="SP.DYN.LE00.IN"/>
    <x v="36"/>
    <n v="74"/>
    <x v="4"/>
  </r>
  <r>
    <x v="41"/>
    <s v="NLD"/>
    <x v="3"/>
    <s v="SP.DYN.LE00.IN"/>
    <x v="37"/>
    <n v="74"/>
    <x v="4"/>
  </r>
  <r>
    <x v="41"/>
    <s v="NLD"/>
    <x v="3"/>
    <s v="SP.DYN.LE00.IN"/>
    <x v="38"/>
    <n v="75"/>
    <x v="4"/>
  </r>
  <r>
    <x v="41"/>
    <s v="NLD"/>
    <x v="3"/>
    <s v="SP.DYN.LE00.IN"/>
    <x v="39"/>
    <n v="74"/>
    <x v="4"/>
  </r>
  <r>
    <x v="41"/>
    <s v="NLD"/>
    <x v="3"/>
    <s v="SP.DYN.LE00.IN"/>
    <x v="40"/>
    <n v="75"/>
    <x v="4"/>
  </r>
  <r>
    <x v="41"/>
    <s v="NLD"/>
    <x v="3"/>
    <s v="SP.DYN.LE00.IN"/>
    <x v="41"/>
    <n v="75"/>
    <x v="5"/>
  </r>
  <r>
    <x v="41"/>
    <s v="NLD"/>
    <x v="3"/>
    <s v="SP.DYN.LE00.IN"/>
    <x v="42"/>
    <n v="75"/>
    <x v="5"/>
  </r>
  <r>
    <x v="41"/>
    <s v="NLD"/>
    <x v="3"/>
    <s v="SP.DYN.LE00.IN"/>
    <x v="43"/>
    <n v="76"/>
    <x v="5"/>
  </r>
  <r>
    <x v="41"/>
    <s v="NLD"/>
    <x v="3"/>
    <s v="SP.DYN.LE00.IN"/>
    <x v="44"/>
    <n v="76"/>
    <x v="5"/>
  </r>
  <r>
    <x v="41"/>
    <s v="NLD"/>
    <x v="3"/>
    <s v="SP.DYN.LE00.IN"/>
    <x v="45"/>
    <n v="76"/>
    <x v="5"/>
  </r>
  <r>
    <x v="41"/>
    <s v="NLD"/>
    <x v="3"/>
    <s v="SP.DYN.LE00.IN"/>
    <x v="46"/>
    <n v="76"/>
    <x v="5"/>
  </r>
  <r>
    <x v="41"/>
    <s v="NLD"/>
    <x v="3"/>
    <s v="SP.DYN.LE00.IN"/>
    <x v="47"/>
    <n v="76"/>
    <x v="5"/>
  </r>
  <r>
    <x v="41"/>
    <s v="NLD"/>
    <x v="3"/>
    <s v="SP.DYN.LE00.IN"/>
    <x v="48"/>
    <n v="76"/>
    <x v="5"/>
  </r>
  <r>
    <x v="41"/>
    <s v="NLD"/>
    <x v="3"/>
    <s v="SP.DYN.LE00.IN"/>
    <x v="49"/>
    <n v="76"/>
    <x v="5"/>
  </r>
  <r>
    <x v="41"/>
    <s v="NLD"/>
    <x v="3"/>
    <s v="SP.DYN.LE00.IN"/>
    <x v="50"/>
    <n v="76"/>
    <x v="5"/>
  </r>
  <r>
    <x v="41"/>
    <s v="NLD"/>
    <x v="3"/>
    <s v="SP.DYN.LE00.IN"/>
    <x v="51"/>
    <n v="77"/>
    <x v="0"/>
  </r>
  <r>
    <x v="41"/>
    <s v="NLD"/>
    <x v="3"/>
    <s v="SP.DYN.LE00.IN"/>
    <x v="52"/>
    <n v="77"/>
    <x v="0"/>
  </r>
  <r>
    <x v="41"/>
    <s v="NLD"/>
    <x v="3"/>
    <s v="SP.DYN.LE00.IN"/>
    <x v="53"/>
    <n v="77"/>
    <x v="0"/>
  </r>
  <r>
    <x v="41"/>
    <s v="NLD"/>
    <x v="3"/>
    <s v="SP.DYN.LE00.IN"/>
    <x v="0"/>
    <n v="77"/>
    <x v="0"/>
  </r>
  <r>
    <x v="41"/>
    <s v="NLD"/>
    <x v="3"/>
    <s v="SP.DYN.LE00.IN"/>
    <x v="1"/>
    <n v="77"/>
    <x v="0"/>
  </r>
  <r>
    <x v="41"/>
    <s v="NLD"/>
    <x v="3"/>
    <s v="SP.DYN.LE00.IN"/>
    <x v="2"/>
    <n v="77"/>
    <x v="0"/>
  </r>
  <r>
    <x v="41"/>
    <s v="NLD"/>
    <x v="3"/>
    <s v="SP.DYN.LE00.IN"/>
    <x v="3"/>
    <n v="77"/>
    <x v="0"/>
  </r>
  <r>
    <x v="41"/>
    <s v="NLD"/>
    <x v="3"/>
    <s v="SP.DYN.LE00.IN"/>
    <x v="4"/>
    <n v="77"/>
    <x v="0"/>
  </r>
  <r>
    <x v="41"/>
    <s v="NLD"/>
    <x v="3"/>
    <s v="SP.DYN.LE00.IN"/>
    <x v="5"/>
    <n v="77"/>
    <x v="0"/>
  </r>
  <r>
    <x v="41"/>
    <s v="NLD"/>
    <x v="3"/>
    <s v="SP.DYN.LE00.IN"/>
    <x v="6"/>
    <n v="77"/>
    <x v="0"/>
  </r>
  <r>
    <x v="41"/>
    <s v="NLD"/>
    <x v="3"/>
    <s v="SP.DYN.LE00.IN"/>
    <x v="7"/>
    <n v="78"/>
    <x v="1"/>
  </r>
  <r>
    <x v="41"/>
    <s v="NLD"/>
    <x v="3"/>
    <s v="SP.DYN.LE00.IN"/>
    <x v="8"/>
    <n v="78"/>
    <x v="1"/>
  </r>
  <r>
    <x v="41"/>
    <s v="NLD"/>
    <x v="3"/>
    <s v="SP.DYN.LE00.IN"/>
    <x v="9"/>
    <n v="78"/>
    <x v="1"/>
  </r>
  <r>
    <x v="41"/>
    <s v="NLD"/>
    <x v="3"/>
    <s v="SP.DYN.LE00.IN"/>
    <x v="10"/>
    <n v="78"/>
    <x v="1"/>
  </r>
  <r>
    <x v="41"/>
    <s v="NLD"/>
    <x v="3"/>
    <s v="SP.DYN.LE00.IN"/>
    <x v="11"/>
    <n v="78"/>
    <x v="1"/>
  </r>
  <r>
    <x v="41"/>
    <s v="NLD"/>
    <x v="3"/>
    <s v="SP.DYN.LE00.IN"/>
    <x v="12"/>
    <n v="78"/>
    <x v="1"/>
  </r>
  <r>
    <x v="41"/>
    <s v="NLD"/>
    <x v="3"/>
    <s v="SP.DYN.LE00.IN"/>
    <x v="13"/>
    <n v="78"/>
    <x v="1"/>
  </r>
  <r>
    <x v="41"/>
    <s v="NLD"/>
    <x v="3"/>
    <s v="SP.DYN.LE00.IN"/>
    <x v="14"/>
    <n v="79"/>
    <x v="1"/>
  </r>
  <r>
    <x v="41"/>
    <s v="NLD"/>
    <x v="3"/>
    <s v="SP.DYN.LE00.IN"/>
    <x v="15"/>
    <n v="79"/>
    <x v="1"/>
  </r>
  <r>
    <x v="41"/>
    <s v="NLD"/>
    <x v="3"/>
    <s v="SP.DYN.LE00.IN"/>
    <x v="16"/>
    <n v="80"/>
    <x v="1"/>
  </r>
  <r>
    <x v="41"/>
    <s v="NLD"/>
    <x v="3"/>
    <s v="SP.DYN.LE00.IN"/>
    <x v="17"/>
    <n v="80"/>
    <x v="2"/>
  </r>
  <r>
    <x v="41"/>
    <s v="NLD"/>
    <x v="3"/>
    <s v="SP.DYN.LE00.IN"/>
    <x v="18"/>
    <n v="80"/>
    <x v="2"/>
  </r>
  <r>
    <x v="41"/>
    <s v="NLD"/>
    <x v="3"/>
    <s v="SP.DYN.LE00.IN"/>
    <x v="19"/>
    <n v="81"/>
    <x v="2"/>
  </r>
  <r>
    <x v="41"/>
    <s v="NLD"/>
    <x v="3"/>
    <s v="SP.DYN.LE00.IN"/>
    <x v="20"/>
    <n v="81"/>
    <x v="2"/>
  </r>
  <r>
    <x v="41"/>
    <s v="NLD"/>
    <x v="3"/>
    <s v="SP.DYN.LE00.IN"/>
    <x v="21"/>
    <n v="81"/>
    <x v="2"/>
  </r>
  <r>
    <x v="41"/>
    <s v="NLD"/>
    <x v="3"/>
    <s v="SP.DYN.LE00.IN"/>
    <x v="22"/>
    <n v="81"/>
    <x v="2"/>
  </r>
  <r>
    <x v="41"/>
    <s v="NLD"/>
    <x v="3"/>
    <s v="SP.DYN.LE00.IN"/>
    <x v="23"/>
    <n v="81"/>
    <x v="2"/>
  </r>
  <r>
    <x v="41"/>
    <s v="NLD"/>
    <x v="3"/>
    <s v="SP.DYN.LE00.IN"/>
    <x v="24"/>
    <n v="82"/>
    <x v="2"/>
  </r>
  <r>
    <x v="41"/>
    <s v="NLD"/>
    <x v="3"/>
    <s v="SP.DYN.LE00.IN"/>
    <x v="25"/>
    <n v="82"/>
    <x v="2"/>
  </r>
  <r>
    <x v="41"/>
    <s v="NLD"/>
    <x v="3"/>
    <s v="SP.DYN.LE00.IN"/>
    <x v="26"/>
    <n v="82"/>
    <x v="2"/>
  </r>
  <r>
    <x v="41"/>
    <s v="NLD"/>
    <x v="3"/>
    <s v="SP.DYN.LE00.IN"/>
    <x v="27"/>
    <n v="82"/>
    <x v="3"/>
  </r>
  <r>
    <x v="41"/>
    <s v="NLD"/>
    <x v="3"/>
    <s v="SP.DYN.LE00.IN"/>
    <x v="28"/>
    <n v="82"/>
    <x v="3"/>
  </r>
  <r>
    <x v="41"/>
    <s v="NLD"/>
    <x v="3"/>
    <s v="SP.DYN.LE00.IN"/>
    <x v="29"/>
    <n v="82"/>
    <x v="3"/>
  </r>
  <r>
    <x v="41"/>
    <s v="NLD"/>
    <x v="3"/>
    <s v="SP.DYN.LE00.IN"/>
    <x v="30"/>
    <n v="81"/>
    <x v="3"/>
  </r>
  <r>
    <x v="41"/>
    <s v="NLD"/>
    <x v="3"/>
    <s v="SP.DYN.LE00.IN"/>
    <x v="31"/>
    <n v="81"/>
    <x v="6"/>
  </r>
  <r>
    <x v="41"/>
    <s v="NLD"/>
    <x v="3"/>
    <s v="SP.DYN.LE00.IN"/>
    <x v="32"/>
    <n v="82"/>
    <x v="6"/>
  </r>
  <r>
    <x v="41"/>
    <s v="NLD"/>
    <x v="3"/>
    <s v="SP.DYN.LE00.IN"/>
    <x v="33"/>
    <n v="82"/>
    <x v="6"/>
  </r>
  <r>
    <x v="42"/>
    <s v="NOR"/>
    <x v="3"/>
    <s v="SP.DYN.LE00.IN"/>
    <x v="55"/>
    <n v="74"/>
    <x v="6"/>
  </r>
  <r>
    <x v="42"/>
    <s v="NOR"/>
    <x v="3"/>
    <s v="SP.DYN.LE00.IN"/>
    <x v="56"/>
    <n v="74"/>
    <x v="6"/>
  </r>
  <r>
    <x v="42"/>
    <s v="NOR"/>
    <x v="3"/>
    <s v="SP.DYN.LE00.IN"/>
    <x v="57"/>
    <n v="73"/>
    <x v="6"/>
  </r>
  <r>
    <x v="42"/>
    <s v="NOR"/>
    <x v="3"/>
    <s v="SP.DYN.LE00.IN"/>
    <x v="58"/>
    <n v="73"/>
    <x v="6"/>
  </r>
  <r>
    <x v="42"/>
    <s v="NOR"/>
    <x v="3"/>
    <s v="SP.DYN.LE00.IN"/>
    <x v="59"/>
    <n v="74"/>
    <x v="6"/>
  </r>
  <r>
    <x v="42"/>
    <s v="NOR"/>
    <x v="3"/>
    <s v="SP.DYN.LE00.IN"/>
    <x v="60"/>
    <n v="74"/>
    <x v="6"/>
  </r>
  <r>
    <x v="42"/>
    <s v="NOR"/>
    <x v="3"/>
    <s v="SP.DYN.LE00.IN"/>
    <x v="61"/>
    <n v="74"/>
    <x v="6"/>
  </r>
  <r>
    <x v="42"/>
    <s v="NOR"/>
    <x v="3"/>
    <s v="SP.DYN.LE00.IN"/>
    <x v="62"/>
    <n v="74"/>
    <x v="4"/>
  </r>
  <r>
    <x v="42"/>
    <s v="NOR"/>
    <x v="3"/>
    <s v="SP.DYN.LE00.IN"/>
    <x v="63"/>
    <n v="74"/>
    <x v="4"/>
  </r>
  <r>
    <x v="42"/>
    <s v="NOR"/>
    <x v="3"/>
    <s v="SP.DYN.LE00.IN"/>
    <x v="64"/>
    <n v="74"/>
    <x v="4"/>
  </r>
  <r>
    <x v="42"/>
    <s v="NOR"/>
    <x v="3"/>
    <s v="SP.DYN.LE00.IN"/>
    <x v="34"/>
    <n v="74"/>
    <x v="4"/>
  </r>
  <r>
    <x v="42"/>
    <s v="NOR"/>
    <x v="3"/>
    <s v="SP.DYN.LE00.IN"/>
    <x v="35"/>
    <n v="74"/>
    <x v="4"/>
  </r>
  <r>
    <x v="42"/>
    <s v="NOR"/>
    <x v="3"/>
    <s v="SP.DYN.LE00.IN"/>
    <x v="36"/>
    <n v="74"/>
    <x v="4"/>
  </r>
  <r>
    <x v="42"/>
    <s v="NOR"/>
    <x v="3"/>
    <s v="SP.DYN.LE00.IN"/>
    <x v="37"/>
    <n v="74"/>
    <x v="4"/>
  </r>
  <r>
    <x v="42"/>
    <s v="NOR"/>
    <x v="3"/>
    <s v="SP.DYN.LE00.IN"/>
    <x v="38"/>
    <n v="75"/>
    <x v="4"/>
  </r>
  <r>
    <x v="42"/>
    <s v="NOR"/>
    <x v="3"/>
    <s v="SP.DYN.LE00.IN"/>
    <x v="39"/>
    <n v="75"/>
    <x v="4"/>
  </r>
  <r>
    <x v="42"/>
    <s v="NOR"/>
    <x v="3"/>
    <s v="SP.DYN.LE00.IN"/>
    <x v="40"/>
    <n v="75"/>
    <x v="4"/>
  </r>
  <r>
    <x v="42"/>
    <s v="NOR"/>
    <x v="3"/>
    <s v="SP.DYN.LE00.IN"/>
    <x v="41"/>
    <n v="75"/>
    <x v="5"/>
  </r>
  <r>
    <x v="42"/>
    <s v="NOR"/>
    <x v="3"/>
    <s v="SP.DYN.LE00.IN"/>
    <x v="42"/>
    <n v="75"/>
    <x v="5"/>
  </r>
  <r>
    <x v="42"/>
    <s v="NOR"/>
    <x v="3"/>
    <s v="SP.DYN.LE00.IN"/>
    <x v="43"/>
    <n v="75"/>
    <x v="5"/>
  </r>
  <r>
    <x v="42"/>
    <s v="NOR"/>
    <x v="3"/>
    <s v="SP.DYN.LE00.IN"/>
    <x v="44"/>
    <n v="76"/>
    <x v="5"/>
  </r>
  <r>
    <x v="42"/>
    <s v="NOR"/>
    <x v="3"/>
    <s v="SP.DYN.LE00.IN"/>
    <x v="45"/>
    <n v="76"/>
    <x v="5"/>
  </r>
  <r>
    <x v="42"/>
    <s v="NOR"/>
    <x v="3"/>
    <s v="SP.DYN.LE00.IN"/>
    <x v="46"/>
    <n v="76"/>
    <x v="5"/>
  </r>
  <r>
    <x v="42"/>
    <s v="NOR"/>
    <x v="3"/>
    <s v="SP.DYN.LE00.IN"/>
    <x v="47"/>
    <n v="76"/>
    <x v="5"/>
  </r>
  <r>
    <x v="42"/>
    <s v="NOR"/>
    <x v="3"/>
    <s v="SP.DYN.LE00.IN"/>
    <x v="48"/>
    <n v="76"/>
    <x v="5"/>
  </r>
  <r>
    <x v="42"/>
    <s v="NOR"/>
    <x v="3"/>
    <s v="SP.DYN.LE00.IN"/>
    <x v="49"/>
    <n v="76"/>
    <x v="5"/>
  </r>
  <r>
    <x v="42"/>
    <s v="NOR"/>
    <x v="3"/>
    <s v="SP.DYN.LE00.IN"/>
    <x v="50"/>
    <n v="76"/>
    <x v="5"/>
  </r>
  <r>
    <x v="42"/>
    <s v="NOR"/>
    <x v="3"/>
    <s v="SP.DYN.LE00.IN"/>
    <x v="51"/>
    <n v="76"/>
    <x v="0"/>
  </r>
  <r>
    <x v="42"/>
    <s v="NOR"/>
    <x v="3"/>
    <s v="SP.DYN.LE00.IN"/>
    <x v="52"/>
    <n v="76"/>
    <x v="0"/>
  </r>
  <r>
    <x v="42"/>
    <s v="NOR"/>
    <x v="3"/>
    <s v="SP.DYN.LE00.IN"/>
    <x v="53"/>
    <n v="77"/>
    <x v="0"/>
  </r>
  <r>
    <x v="42"/>
    <s v="NOR"/>
    <x v="3"/>
    <s v="SP.DYN.LE00.IN"/>
    <x v="0"/>
    <n v="77"/>
    <x v="0"/>
  </r>
  <r>
    <x v="42"/>
    <s v="NOR"/>
    <x v="3"/>
    <s v="SP.DYN.LE00.IN"/>
    <x v="1"/>
    <n v="77"/>
    <x v="0"/>
  </r>
  <r>
    <x v="42"/>
    <s v="NOR"/>
    <x v="3"/>
    <s v="SP.DYN.LE00.IN"/>
    <x v="2"/>
    <n v="77"/>
    <x v="0"/>
  </r>
  <r>
    <x v="42"/>
    <s v="NOR"/>
    <x v="3"/>
    <s v="SP.DYN.LE00.IN"/>
    <x v="3"/>
    <n v="77"/>
    <x v="0"/>
  </r>
  <r>
    <x v="42"/>
    <s v="NOR"/>
    <x v="3"/>
    <s v="SP.DYN.LE00.IN"/>
    <x v="4"/>
    <n v="78"/>
    <x v="0"/>
  </r>
  <r>
    <x v="42"/>
    <s v="NOR"/>
    <x v="3"/>
    <s v="SP.DYN.LE00.IN"/>
    <x v="5"/>
    <n v="78"/>
    <x v="0"/>
  </r>
  <r>
    <x v="42"/>
    <s v="NOR"/>
    <x v="3"/>
    <s v="SP.DYN.LE00.IN"/>
    <x v="6"/>
    <n v="78"/>
    <x v="0"/>
  </r>
  <r>
    <x v="42"/>
    <s v="NOR"/>
    <x v="3"/>
    <s v="SP.DYN.LE00.IN"/>
    <x v="7"/>
    <n v="78"/>
    <x v="1"/>
  </r>
  <r>
    <x v="42"/>
    <s v="NOR"/>
    <x v="3"/>
    <s v="SP.DYN.LE00.IN"/>
    <x v="8"/>
    <n v="78"/>
    <x v="1"/>
  </r>
  <r>
    <x v="42"/>
    <s v="NOR"/>
    <x v="3"/>
    <s v="SP.DYN.LE00.IN"/>
    <x v="9"/>
    <n v="78"/>
    <x v="1"/>
  </r>
  <r>
    <x v="42"/>
    <s v="NOR"/>
    <x v="3"/>
    <s v="SP.DYN.LE00.IN"/>
    <x v="10"/>
    <n v="79"/>
    <x v="1"/>
  </r>
  <r>
    <x v="42"/>
    <s v="NOR"/>
    <x v="3"/>
    <s v="SP.DYN.LE00.IN"/>
    <x v="11"/>
    <n v="79"/>
    <x v="1"/>
  </r>
  <r>
    <x v="42"/>
    <s v="NOR"/>
    <x v="3"/>
    <s v="SP.DYN.LE00.IN"/>
    <x v="12"/>
    <n v="79"/>
    <x v="1"/>
  </r>
  <r>
    <x v="42"/>
    <s v="NOR"/>
    <x v="3"/>
    <s v="SP.DYN.LE00.IN"/>
    <x v="13"/>
    <n v="79"/>
    <x v="1"/>
  </r>
  <r>
    <x v="42"/>
    <s v="NOR"/>
    <x v="3"/>
    <s v="SP.DYN.LE00.IN"/>
    <x v="14"/>
    <n v="80"/>
    <x v="1"/>
  </r>
  <r>
    <x v="42"/>
    <s v="NOR"/>
    <x v="3"/>
    <s v="SP.DYN.LE00.IN"/>
    <x v="15"/>
    <n v="80"/>
    <x v="1"/>
  </r>
  <r>
    <x v="42"/>
    <s v="NOR"/>
    <x v="3"/>
    <s v="SP.DYN.LE00.IN"/>
    <x v="16"/>
    <n v="80"/>
    <x v="1"/>
  </r>
  <r>
    <x v="42"/>
    <s v="NOR"/>
    <x v="3"/>
    <s v="SP.DYN.LE00.IN"/>
    <x v="17"/>
    <n v="80"/>
    <x v="2"/>
  </r>
  <r>
    <x v="42"/>
    <s v="NOR"/>
    <x v="3"/>
    <s v="SP.DYN.LE00.IN"/>
    <x v="18"/>
    <n v="81"/>
    <x v="2"/>
  </r>
  <r>
    <x v="42"/>
    <s v="NOR"/>
    <x v="3"/>
    <s v="SP.DYN.LE00.IN"/>
    <x v="19"/>
    <n v="81"/>
    <x v="2"/>
  </r>
  <r>
    <x v="42"/>
    <s v="NOR"/>
    <x v="3"/>
    <s v="SP.DYN.LE00.IN"/>
    <x v="20"/>
    <n v="81"/>
    <x v="2"/>
  </r>
  <r>
    <x v="42"/>
    <s v="NOR"/>
    <x v="3"/>
    <s v="SP.DYN.LE00.IN"/>
    <x v="21"/>
    <n v="81"/>
    <x v="2"/>
  </r>
  <r>
    <x v="42"/>
    <s v="NOR"/>
    <x v="3"/>
    <s v="SP.DYN.LE00.IN"/>
    <x v="22"/>
    <n v="81"/>
    <x v="2"/>
  </r>
  <r>
    <x v="42"/>
    <s v="NOR"/>
    <x v="3"/>
    <s v="SP.DYN.LE00.IN"/>
    <x v="23"/>
    <n v="82"/>
    <x v="2"/>
  </r>
  <r>
    <x v="42"/>
    <s v="NOR"/>
    <x v="3"/>
    <s v="SP.DYN.LE00.IN"/>
    <x v="24"/>
    <n v="82"/>
    <x v="2"/>
  </r>
  <r>
    <x v="42"/>
    <s v="NOR"/>
    <x v="3"/>
    <s v="SP.DYN.LE00.IN"/>
    <x v="25"/>
    <n v="82"/>
    <x v="2"/>
  </r>
  <r>
    <x v="42"/>
    <s v="NOR"/>
    <x v="3"/>
    <s v="SP.DYN.LE00.IN"/>
    <x v="26"/>
    <n v="82"/>
    <x v="2"/>
  </r>
  <r>
    <x v="42"/>
    <s v="NOR"/>
    <x v="3"/>
    <s v="SP.DYN.LE00.IN"/>
    <x v="27"/>
    <n v="83"/>
    <x v="3"/>
  </r>
  <r>
    <x v="42"/>
    <s v="NOR"/>
    <x v="3"/>
    <s v="SP.DYN.LE00.IN"/>
    <x v="28"/>
    <n v="83"/>
    <x v="3"/>
  </r>
  <r>
    <x v="42"/>
    <s v="NOR"/>
    <x v="3"/>
    <s v="SP.DYN.LE00.IN"/>
    <x v="29"/>
    <n v="83"/>
    <x v="3"/>
  </r>
  <r>
    <x v="42"/>
    <s v="NOR"/>
    <x v="3"/>
    <s v="SP.DYN.LE00.IN"/>
    <x v="30"/>
    <n v="83"/>
    <x v="3"/>
  </r>
  <r>
    <x v="42"/>
    <s v="NOR"/>
    <x v="3"/>
    <s v="SP.DYN.LE00.IN"/>
    <x v="31"/>
    <n v="83"/>
    <x v="6"/>
  </r>
  <r>
    <x v="42"/>
    <s v="NOR"/>
    <x v="3"/>
    <s v="SP.DYN.LE00.IN"/>
    <x v="32"/>
    <n v="83"/>
    <x v="6"/>
  </r>
  <r>
    <x v="42"/>
    <s v="NOR"/>
    <x v="3"/>
    <s v="SP.DYN.LE00.IN"/>
    <x v="33"/>
    <n v="83"/>
    <x v="6"/>
  </r>
  <r>
    <x v="43"/>
    <s v="POL"/>
    <x v="3"/>
    <s v="SP.DYN.LE00.IN"/>
    <x v="55"/>
    <n v="68"/>
    <x v="6"/>
  </r>
  <r>
    <x v="43"/>
    <s v="POL"/>
    <x v="3"/>
    <s v="SP.DYN.LE00.IN"/>
    <x v="56"/>
    <n v="68"/>
    <x v="6"/>
  </r>
  <r>
    <x v="43"/>
    <s v="POL"/>
    <x v="3"/>
    <s v="SP.DYN.LE00.IN"/>
    <x v="57"/>
    <n v="67"/>
    <x v="6"/>
  </r>
  <r>
    <x v="43"/>
    <s v="POL"/>
    <x v="3"/>
    <s v="SP.DYN.LE00.IN"/>
    <x v="58"/>
    <n v="68"/>
    <x v="6"/>
  </r>
  <r>
    <x v="43"/>
    <s v="POL"/>
    <x v="3"/>
    <s v="SP.DYN.LE00.IN"/>
    <x v="59"/>
    <n v="69"/>
    <x v="6"/>
  </r>
  <r>
    <x v="43"/>
    <s v="POL"/>
    <x v="3"/>
    <s v="SP.DYN.LE00.IN"/>
    <x v="60"/>
    <n v="69"/>
    <x v="6"/>
  </r>
  <r>
    <x v="43"/>
    <s v="POL"/>
    <x v="3"/>
    <s v="SP.DYN.LE00.IN"/>
    <x v="61"/>
    <n v="70"/>
    <x v="6"/>
  </r>
  <r>
    <x v="43"/>
    <s v="POL"/>
    <x v="3"/>
    <s v="SP.DYN.LE00.IN"/>
    <x v="62"/>
    <n v="69"/>
    <x v="4"/>
  </r>
  <r>
    <x v="43"/>
    <s v="POL"/>
    <x v="3"/>
    <s v="SP.DYN.LE00.IN"/>
    <x v="63"/>
    <n v="70"/>
    <x v="4"/>
  </r>
  <r>
    <x v="43"/>
    <s v="POL"/>
    <x v="3"/>
    <s v="SP.DYN.LE00.IN"/>
    <x v="64"/>
    <n v="70"/>
    <x v="4"/>
  </r>
  <r>
    <x v="43"/>
    <s v="POL"/>
    <x v="3"/>
    <s v="SP.DYN.LE00.IN"/>
    <x v="34"/>
    <n v="70"/>
    <x v="4"/>
  </r>
  <r>
    <x v="43"/>
    <s v="POL"/>
    <x v="3"/>
    <s v="SP.DYN.LE00.IN"/>
    <x v="35"/>
    <n v="70"/>
    <x v="4"/>
  </r>
  <r>
    <x v="43"/>
    <s v="POL"/>
    <x v="3"/>
    <s v="SP.DYN.LE00.IN"/>
    <x v="36"/>
    <n v="71"/>
    <x v="4"/>
  </r>
  <r>
    <x v="43"/>
    <s v="POL"/>
    <x v="3"/>
    <s v="SP.DYN.LE00.IN"/>
    <x v="37"/>
    <n v="71"/>
    <x v="4"/>
  </r>
  <r>
    <x v="43"/>
    <s v="POL"/>
    <x v="3"/>
    <s v="SP.DYN.LE00.IN"/>
    <x v="38"/>
    <n v="71"/>
    <x v="4"/>
  </r>
  <r>
    <x v="43"/>
    <s v="POL"/>
    <x v="3"/>
    <s v="SP.DYN.LE00.IN"/>
    <x v="39"/>
    <n v="71"/>
    <x v="4"/>
  </r>
  <r>
    <x v="43"/>
    <s v="POL"/>
    <x v="3"/>
    <s v="SP.DYN.LE00.IN"/>
    <x v="40"/>
    <n v="71"/>
    <x v="4"/>
  </r>
  <r>
    <x v="43"/>
    <s v="POL"/>
    <x v="3"/>
    <s v="SP.DYN.LE00.IN"/>
    <x v="41"/>
    <n v="70"/>
    <x v="5"/>
  </r>
  <r>
    <x v="43"/>
    <s v="POL"/>
    <x v="3"/>
    <s v="SP.DYN.LE00.IN"/>
    <x v="42"/>
    <n v="70"/>
    <x v="5"/>
  </r>
  <r>
    <x v="43"/>
    <s v="POL"/>
    <x v="3"/>
    <s v="SP.DYN.LE00.IN"/>
    <x v="43"/>
    <n v="71"/>
    <x v="5"/>
  </r>
  <r>
    <x v="43"/>
    <s v="POL"/>
    <x v="3"/>
    <s v="SP.DYN.LE00.IN"/>
    <x v="44"/>
    <n v="70"/>
    <x v="5"/>
  </r>
  <r>
    <x v="43"/>
    <s v="POL"/>
    <x v="3"/>
    <s v="SP.DYN.LE00.IN"/>
    <x v="45"/>
    <n v="71"/>
    <x v="5"/>
  </r>
  <r>
    <x v="43"/>
    <s v="POL"/>
    <x v="3"/>
    <s v="SP.DYN.LE00.IN"/>
    <x v="46"/>
    <n v="71"/>
    <x v="5"/>
  </r>
  <r>
    <x v="43"/>
    <s v="POL"/>
    <x v="3"/>
    <s v="SP.DYN.LE00.IN"/>
    <x v="47"/>
    <n v="71"/>
    <x v="5"/>
  </r>
  <r>
    <x v="43"/>
    <s v="POL"/>
    <x v="3"/>
    <s v="SP.DYN.LE00.IN"/>
    <x v="48"/>
    <n v="71"/>
    <x v="5"/>
  </r>
  <r>
    <x v="43"/>
    <s v="POL"/>
    <x v="3"/>
    <s v="SP.DYN.LE00.IN"/>
    <x v="49"/>
    <n v="71"/>
    <x v="5"/>
  </r>
  <r>
    <x v="43"/>
    <s v="POL"/>
    <x v="3"/>
    <s v="SP.DYN.LE00.IN"/>
    <x v="50"/>
    <n v="71"/>
    <x v="5"/>
  </r>
  <r>
    <x v="43"/>
    <s v="POL"/>
    <x v="3"/>
    <s v="SP.DYN.LE00.IN"/>
    <x v="51"/>
    <n v="71"/>
    <x v="0"/>
  </r>
  <r>
    <x v="43"/>
    <s v="POL"/>
    <x v="3"/>
    <s v="SP.DYN.LE00.IN"/>
    <x v="52"/>
    <n v="71"/>
    <x v="0"/>
  </r>
  <r>
    <x v="43"/>
    <s v="POL"/>
    <x v="3"/>
    <s v="SP.DYN.LE00.IN"/>
    <x v="53"/>
    <n v="71"/>
    <x v="0"/>
  </r>
  <r>
    <x v="43"/>
    <s v="POL"/>
    <x v="3"/>
    <s v="SP.DYN.LE00.IN"/>
    <x v="0"/>
    <n v="71"/>
    <x v="0"/>
  </r>
  <r>
    <x v="43"/>
    <s v="POL"/>
    <x v="3"/>
    <s v="SP.DYN.LE00.IN"/>
    <x v="1"/>
    <n v="71"/>
    <x v="0"/>
  </r>
  <r>
    <x v="43"/>
    <s v="POL"/>
    <x v="3"/>
    <s v="SP.DYN.LE00.IN"/>
    <x v="2"/>
    <n v="71"/>
    <x v="0"/>
  </r>
  <r>
    <x v="43"/>
    <s v="POL"/>
    <x v="3"/>
    <s v="SP.DYN.LE00.IN"/>
    <x v="3"/>
    <n v="72"/>
    <x v="0"/>
  </r>
  <r>
    <x v="43"/>
    <s v="POL"/>
    <x v="3"/>
    <s v="SP.DYN.LE00.IN"/>
    <x v="4"/>
    <n v="72"/>
    <x v="0"/>
  </r>
  <r>
    <x v="43"/>
    <s v="POL"/>
    <x v="3"/>
    <s v="SP.DYN.LE00.IN"/>
    <x v="5"/>
    <n v="72"/>
    <x v="0"/>
  </r>
  <r>
    <x v="43"/>
    <s v="POL"/>
    <x v="3"/>
    <s v="SP.DYN.LE00.IN"/>
    <x v="6"/>
    <n v="72"/>
    <x v="0"/>
  </r>
  <r>
    <x v="43"/>
    <s v="POL"/>
    <x v="3"/>
    <s v="SP.DYN.LE00.IN"/>
    <x v="7"/>
    <n v="73"/>
    <x v="1"/>
  </r>
  <r>
    <x v="43"/>
    <s v="POL"/>
    <x v="3"/>
    <s v="SP.DYN.LE00.IN"/>
    <x v="8"/>
    <n v="73"/>
    <x v="1"/>
  </r>
  <r>
    <x v="43"/>
    <s v="POL"/>
    <x v="3"/>
    <s v="SP.DYN.LE00.IN"/>
    <x v="9"/>
    <n v="73"/>
    <x v="1"/>
  </r>
  <r>
    <x v="43"/>
    <s v="POL"/>
    <x v="3"/>
    <s v="SP.DYN.LE00.IN"/>
    <x v="10"/>
    <n v="74"/>
    <x v="1"/>
  </r>
  <r>
    <x v="43"/>
    <s v="POL"/>
    <x v="3"/>
    <s v="SP.DYN.LE00.IN"/>
    <x v="11"/>
    <n v="74"/>
    <x v="1"/>
  </r>
  <r>
    <x v="43"/>
    <s v="POL"/>
    <x v="3"/>
    <s v="SP.DYN.LE00.IN"/>
    <x v="12"/>
    <n v="74"/>
    <x v="1"/>
  </r>
  <r>
    <x v="43"/>
    <s v="POL"/>
    <x v="3"/>
    <s v="SP.DYN.LE00.IN"/>
    <x v="13"/>
    <n v="75"/>
    <x v="1"/>
  </r>
  <r>
    <x v="43"/>
    <s v="POL"/>
    <x v="3"/>
    <s v="SP.DYN.LE00.IN"/>
    <x v="14"/>
    <n v="75"/>
    <x v="1"/>
  </r>
  <r>
    <x v="43"/>
    <s v="POL"/>
    <x v="3"/>
    <s v="SP.DYN.LE00.IN"/>
    <x v="15"/>
    <n v="75"/>
    <x v="1"/>
  </r>
  <r>
    <x v="43"/>
    <s v="POL"/>
    <x v="3"/>
    <s v="SP.DYN.LE00.IN"/>
    <x v="16"/>
    <n v="75"/>
    <x v="1"/>
  </r>
  <r>
    <x v="43"/>
    <s v="POL"/>
    <x v="3"/>
    <s v="SP.DYN.LE00.IN"/>
    <x v="17"/>
    <n v="75"/>
    <x v="2"/>
  </r>
  <r>
    <x v="43"/>
    <s v="POL"/>
    <x v="3"/>
    <s v="SP.DYN.LE00.IN"/>
    <x v="18"/>
    <n v="76"/>
    <x v="2"/>
  </r>
  <r>
    <x v="43"/>
    <s v="POL"/>
    <x v="3"/>
    <s v="SP.DYN.LE00.IN"/>
    <x v="19"/>
    <n v="76"/>
    <x v="2"/>
  </r>
  <r>
    <x v="43"/>
    <s v="POL"/>
    <x v="3"/>
    <s v="SP.DYN.LE00.IN"/>
    <x v="20"/>
    <n v="76"/>
    <x v="2"/>
  </r>
  <r>
    <x v="43"/>
    <s v="POL"/>
    <x v="3"/>
    <s v="SP.DYN.LE00.IN"/>
    <x v="21"/>
    <n v="77"/>
    <x v="2"/>
  </r>
  <r>
    <x v="43"/>
    <s v="POL"/>
    <x v="3"/>
    <s v="SP.DYN.LE00.IN"/>
    <x v="22"/>
    <n v="77"/>
    <x v="2"/>
  </r>
  <r>
    <x v="43"/>
    <s v="POL"/>
    <x v="3"/>
    <s v="SP.DYN.LE00.IN"/>
    <x v="23"/>
    <n v="77"/>
    <x v="2"/>
  </r>
  <r>
    <x v="43"/>
    <s v="POL"/>
    <x v="3"/>
    <s v="SP.DYN.LE00.IN"/>
    <x v="24"/>
    <n v="78"/>
    <x v="2"/>
  </r>
  <r>
    <x v="43"/>
    <s v="POL"/>
    <x v="3"/>
    <s v="SP.DYN.LE00.IN"/>
    <x v="25"/>
    <n v="77"/>
    <x v="2"/>
  </r>
  <r>
    <x v="43"/>
    <s v="POL"/>
    <x v="3"/>
    <s v="SP.DYN.LE00.IN"/>
    <x v="26"/>
    <n v="78"/>
    <x v="2"/>
  </r>
  <r>
    <x v="43"/>
    <s v="POL"/>
    <x v="3"/>
    <s v="SP.DYN.LE00.IN"/>
    <x v="27"/>
    <n v="78"/>
    <x v="3"/>
  </r>
  <r>
    <x v="43"/>
    <s v="POL"/>
    <x v="3"/>
    <s v="SP.DYN.LE00.IN"/>
    <x v="28"/>
    <n v="78"/>
    <x v="3"/>
  </r>
  <r>
    <x v="43"/>
    <s v="POL"/>
    <x v="3"/>
    <s v="SP.DYN.LE00.IN"/>
    <x v="29"/>
    <n v="78"/>
    <x v="3"/>
  </r>
  <r>
    <x v="43"/>
    <s v="POL"/>
    <x v="3"/>
    <s v="SP.DYN.LE00.IN"/>
    <x v="30"/>
    <n v="76"/>
    <x v="3"/>
  </r>
  <r>
    <x v="43"/>
    <s v="POL"/>
    <x v="3"/>
    <s v="SP.DYN.LE00.IN"/>
    <x v="31"/>
    <n v="75"/>
    <x v="6"/>
  </r>
  <r>
    <x v="43"/>
    <s v="POL"/>
    <x v="3"/>
    <s v="SP.DYN.LE00.IN"/>
    <x v="32"/>
    <n v="77"/>
    <x v="6"/>
  </r>
  <r>
    <x v="43"/>
    <s v="POL"/>
    <x v="3"/>
    <s v="SP.DYN.LE00.IN"/>
    <x v="33"/>
    <n v="79"/>
    <x v="6"/>
  </r>
  <r>
    <x v="44"/>
    <s v="PRT"/>
    <x v="3"/>
    <s v="SP.DYN.LE00.IN"/>
    <x v="55"/>
    <n v="64"/>
    <x v="6"/>
  </r>
  <r>
    <x v="44"/>
    <s v="PRT"/>
    <x v="3"/>
    <s v="SP.DYN.LE00.IN"/>
    <x v="56"/>
    <n v="63"/>
    <x v="6"/>
  </r>
  <r>
    <x v="44"/>
    <s v="PRT"/>
    <x v="3"/>
    <s v="SP.DYN.LE00.IN"/>
    <x v="57"/>
    <n v="64"/>
    <x v="6"/>
  </r>
  <r>
    <x v="44"/>
    <s v="PRT"/>
    <x v="3"/>
    <s v="SP.DYN.LE00.IN"/>
    <x v="58"/>
    <n v="65"/>
    <x v="6"/>
  </r>
  <r>
    <x v="44"/>
    <s v="PRT"/>
    <x v="3"/>
    <s v="SP.DYN.LE00.IN"/>
    <x v="59"/>
    <n v="65"/>
    <x v="6"/>
  </r>
  <r>
    <x v="44"/>
    <s v="PRT"/>
    <x v="3"/>
    <s v="SP.DYN.LE00.IN"/>
    <x v="60"/>
    <n v="66"/>
    <x v="6"/>
  </r>
  <r>
    <x v="44"/>
    <s v="PRT"/>
    <x v="3"/>
    <s v="SP.DYN.LE00.IN"/>
    <x v="61"/>
    <n v="65"/>
    <x v="6"/>
  </r>
  <r>
    <x v="44"/>
    <s v="PRT"/>
    <x v="3"/>
    <s v="SP.DYN.LE00.IN"/>
    <x v="62"/>
    <n v="66"/>
    <x v="4"/>
  </r>
  <r>
    <x v="44"/>
    <s v="PRT"/>
    <x v="3"/>
    <s v="SP.DYN.LE00.IN"/>
    <x v="63"/>
    <n v="67"/>
    <x v="4"/>
  </r>
  <r>
    <x v="44"/>
    <s v="PRT"/>
    <x v="3"/>
    <s v="SP.DYN.LE00.IN"/>
    <x v="64"/>
    <n v="66"/>
    <x v="4"/>
  </r>
  <r>
    <x v="44"/>
    <s v="PRT"/>
    <x v="3"/>
    <s v="SP.DYN.LE00.IN"/>
    <x v="34"/>
    <n v="67"/>
    <x v="4"/>
  </r>
  <r>
    <x v="44"/>
    <s v="PRT"/>
    <x v="3"/>
    <s v="SP.DYN.LE00.IN"/>
    <x v="35"/>
    <n v="67"/>
    <x v="4"/>
  </r>
  <r>
    <x v="44"/>
    <s v="PRT"/>
    <x v="3"/>
    <s v="SP.DYN.LE00.IN"/>
    <x v="36"/>
    <n v="68"/>
    <x v="4"/>
  </r>
  <r>
    <x v="44"/>
    <s v="PRT"/>
    <x v="3"/>
    <s v="SP.DYN.LE00.IN"/>
    <x v="37"/>
    <n v="68"/>
    <x v="4"/>
  </r>
  <r>
    <x v="44"/>
    <s v="PRT"/>
    <x v="3"/>
    <s v="SP.DYN.LE00.IN"/>
    <x v="38"/>
    <n v="68"/>
    <x v="4"/>
  </r>
  <r>
    <x v="44"/>
    <s v="PRT"/>
    <x v="3"/>
    <s v="SP.DYN.LE00.IN"/>
    <x v="39"/>
    <n v="68"/>
    <x v="4"/>
  </r>
  <r>
    <x v="44"/>
    <s v="PRT"/>
    <x v="3"/>
    <s v="SP.DYN.LE00.IN"/>
    <x v="40"/>
    <n v="69"/>
    <x v="4"/>
  </r>
  <r>
    <x v="44"/>
    <s v="PRT"/>
    <x v="3"/>
    <s v="SP.DYN.LE00.IN"/>
    <x v="41"/>
    <n v="70"/>
    <x v="5"/>
  </r>
  <r>
    <x v="44"/>
    <s v="PRT"/>
    <x v="3"/>
    <s v="SP.DYN.LE00.IN"/>
    <x v="42"/>
    <n v="70"/>
    <x v="5"/>
  </r>
  <r>
    <x v="44"/>
    <s v="PRT"/>
    <x v="3"/>
    <s v="SP.DYN.LE00.IN"/>
    <x v="43"/>
    <n v="71"/>
    <x v="5"/>
  </r>
  <r>
    <x v="44"/>
    <s v="PRT"/>
    <x v="3"/>
    <s v="SP.DYN.LE00.IN"/>
    <x v="44"/>
    <n v="71"/>
    <x v="5"/>
  </r>
  <r>
    <x v="44"/>
    <s v="PRT"/>
    <x v="3"/>
    <s v="SP.DYN.LE00.IN"/>
    <x v="45"/>
    <n v="72"/>
    <x v="5"/>
  </r>
  <r>
    <x v="44"/>
    <s v="PRT"/>
    <x v="3"/>
    <s v="SP.DYN.LE00.IN"/>
    <x v="46"/>
    <n v="72"/>
    <x v="5"/>
  </r>
  <r>
    <x v="44"/>
    <s v="PRT"/>
    <x v="3"/>
    <s v="SP.DYN.LE00.IN"/>
    <x v="47"/>
    <n v="72"/>
    <x v="5"/>
  </r>
  <r>
    <x v="44"/>
    <s v="PRT"/>
    <x v="3"/>
    <s v="SP.DYN.LE00.IN"/>
    <x v="48"/>
    <n v="73"/>
    <x v="5"/>
  </r>
  <r>
    <x v="44"/>
    <s v="PRT"/>
    <x v="3"/>
    <s v="SP.DYN.LE00.IN"/>
    <x v="49"/>
    <n v="73"/>
    <x v="5"/>
  </r>
  <r>
    <x v="44"/>
    <s v="PRT"/>
    <x v="3"/>
    <s v="SP.DYN.LE00.IN"/>
    <x v="50"/>
    <n v="73"/>
    <x v="5"/>
  </r>
  <r>
    <x v="44"/>
    <s v="PRT"/>
    <x v="3"/>
    <s v="SP.DYN.LE00.IN"/>
    <x v="51"/>
    <n v="74"/>
    <x v="0"/>
  </r>
  <r>
    <x v="44"/>
    <s v="PRT"/>
    <x v="3"/>
    <s v="SP.DYN.LE00.IN"/>
    <x v="52"/>
    <n v="74"/>
    <x v="0"/>
  </r>
  <r>
    <x v="44"/>
    <s v="PRT"/>
    <x v="3"/>
    <s v="SP.DYN.LE00.IN"/>
    <x v="53"/>
    <n v="74"/>
    <x v="0"/>
  </r>
  <r>
    <x v="44"/>
    <s v="PRT"/>
    <x v="3"/>
    <s v="SP.DYN.LE00.IN"/>
    <x v="0"/>
    <n v="74"/>
    <x v="0"/>
  </r>
  <r>
    <x v="44"/>
    <s v="PRT"/>
    <x v="3"/>
    <s v="SP.DYN.LE00.IN"/>
    <x v="1"/>
    <n v="74"/>
    <x v="0"/>
  </r>
  <r>
    <x v="44"/>
    <s v="PRT"/>
    <x v="3"/>
    <s v="SP.DYN.LE00.IN"/>
    <x v="2"/>
    <n v="74"/>
    <x v="0"/>
  </r>
  <r>
    <x v="44"/>
    <s v="PRT"/>
    <x v="3"/>
    <s v="SP.DYN.LE00.IN"/>
    <x v="3"/>
    <n v="75"/>
    <x v="0"/>
  </r>
  <r>
    <x v="44"/>
    <s v="PRT"/>
    <x v="3"/>
    <s v="SP.DYN.LE00.IN"/>
    <x v="4"/>
    <n v="75"/>
    <x v="0"/>
  </r>
  <r>
    <x v="44"/>
    <s v="PRT"/>
    <x v="3"/>
    <s v="SP.DYN.LE00.IN"/>
    <x v="5"/>
    <n v="75"/>
    <x v="0"/>
  </r>
  <r>
    <x v="44"/>
    <s v="PRT"/>
    <x v="3"/>
    <s v="SP.DYN.LE00.IN"/>
    <x v="6"/>
    <n v="75"/>
    <x v="0"/>
  </r>
  <r>
    <x v="44"/>
    <s v="PRT"/>
    <x v="3"/>
    <s v="SP.DYN.LE00.IN"/>
    <x v="7"/>
    <n v="75"/>
    <x v="1"/>
  </r>
  <r>
    <x v="44"/>
    <s v="PRT"/>
    <x v="3"/>
    <s v="SP.DYN.LE00.IN"/>
    <x v="8"/>
    <n v="76"/>
    <x v="1"/>
  </r>
  <r>
    <x v="44"/>
    <s v="PRT"/>
    <x v="3"/>
    <s v="SP.DYN.LE00.IN"/>
    <x v="9"/>
    <n v="76"/>
    <x v="1"/>
  </r>
  <r>
    <x v="44"/>
    <s v="PRT"/>
    <x v="3"/>
    <s v="SP.DYN.LE00.IN"/>
    <x v="10"/>
    <n v="76"/>
    <x v="1"/>
  </r>
  <r>
    <x v="44"/>
    <s v="PRT"/>
    <x v="3"/>
    <s v="SP.DYN.LE00.IN"/>
    <x v="11"/>
    <n v="77"/>
    <x v="1"/>
  </r>
  <r>
    <x v="44"/>
    <s v="PRT"/>
    <x v="3"/>
    <s v="SP.DYN.LE00.IN"/>
    <x v="12"/>
    <n v="77"/>
    <x v="1"/>
  </r>
  <r>
    <x v="44"/>
    <s v="PRT"/>
    <x v="3"/>
    <s v="SP.DYN.LE00.IN"/>
    <x v="13"/>
    <n v="77"/>
    <x v="1"/>
  </r>
  <r>
    <x v="44"/>
    <s v="PRT"/>
    <x v="3"/>
    <s v="SP.DYN.LE00.IN"/>
    <x v="14"/>
    <n v="78"/>
    <x v="1"/>
  </r>
  <r>
    <x v="44"/>
    <s v="PRT"/>
    <x v="3"/>
    <s v="SP.DYN.LE00.IN"/>
    <x v="15"/>
    <n v="78"/>
    <x v="1"/>
  </r>
  <r>
    <x v="44"/>
    <s v="PRT"/>
    <x v="3"/>
    <s v="SP.DYN.LE00.IN"/>
    <x v="16"/>
    <n v="78"/>
    <x v="1"/>
  </r>
  <r>
    <x v="44"/>
    <s v="PRT"/>
    <x v="3"/>
    <s v="SP.DYN.LE00.IN"/>
    <x v="17"/>
    <n v="78"/>
    <x v="2"/>
  </r>
  <r>
    <x v="44"/>
    <s v="PRT"/>
    <x v="3"/>
    <s v="SP.DYN.LE00.IN"/>
    <x v="18"/>
    <n v="79"/>
    <x v="2"/>
  </r>
  <r>
    <x v="44"/>
    <s v="PRT"/>
    <x v="3"/>
    <s v="SP.DYN.LE00.IN"/>
    <x v="19"/>
    <n v="79"/>
    <x v="2"/>
  </r>
  <r>
    <x v="44"/>
    <s v="PRT"/>
    <x v="3"/>
    <s v="SP.DYN.LE00.IN"/>
    <x v="20"/>
    <n v="79"/>
    <x v="2"/>
  </r>
  <r>
    <x v="44"/>
    <s v="PRT"/>
    <x v="3"/>
    <s v="SP.DYN.LE00.IN"/>
    <x v="21"/>
    <n v="80"/>
    <x v="2"/>
  </r>
  <r>
    <x v="44"/>
    <s v="PRT"/>
    <x v="3"/>
    <s v="SP.DYN.LE00.IN"/>
    <x v="22"/>
    <n v="80"/>
    <x v="2"/>
  </r>
  <r>
    <x v="44"/>
    <s v="PRT"/>
    <x v="3"/>
    <s v="SP.DYN.LE00.IN"/>
    <x v="23"/>
    <n v="81"/>
    <x v="2"/>
  </r>
  <r>
    <x v="44"/>
    <s v="PRT"/>
    <x v="3"/>
    <s v="SP.DYN.LE00.IN"/>
    <x v="24"/>
    <n v="81"/>
    <x v="2"/>
  </r>
  <r>
    <x v="44"/>
    <s v="PRT"/>
    <x v="3"/>
    <s v="SP.DYN.LE00.IN"/>
    <x v="25"/>
    <n v="81"/>
    <x v="2"/>
  </r>
  <r>
    <x v="44"/>
    <s v="PRT"/>
    <x v="3"/>
    <s v="SP.DYN.LE00.IN"/>
    <x v="26"/>
    <n v="81"/>
    <x v="2"/>
  </r>
  <r>
    <x v="44"/>
    <s v="PRT"/>
    <x v="3"/>
    <s v="SP.DYN.LE00.IN"/>
    <x v="27"/>
    <n v="81"/>
    <x v="3"/>
  </r>
  <r>
    <x v="44"/>
    <s v="PRT"/>
    <x v="3"/>
    <s v="SP.DYN.LE00.IN"/>
    <x v="28"/>
    <n v="81"/>
    <x v="3"/>
  </r>
  <r>
    <x v="44"/>
    <s v="PRT"/>
    <x v="3"/>
    <s v="SP.DYN.LE00.IN"/>
    <x v="29"/>
    <n v="82"/>
    <x v="3"/>
  </r>
  <r>
    <x v="44"/>
    <s v="PRT"/>
    <x v="3"/>
    <s v="SP.DYN.LE00.IN"/>
    <x v="30"/>
    <n v="81"/>
    <x v="3"/>
  </r>
  <r>
    <x v="44"/>
    <s v="PRT"/>
    <x v="3"/>
    <s v="SP.DYN.LE00.IN"/>
    <x v="31"/>
    <n v="81"/>
    <x v="6"/>
  </r>
  <r>
    <x v="44"/>
    <s v="PRT"/>
    <x v="3"/>
    <s v="SP.DYN.LE00.IN"/>
    <x v="32"/>
    <n v="82"/>
    <x v="6"/>
  </r>
  <r>
    <x v="44"/>
    <s v="PRT"/>
    <x v="3"/>
    <s v="SP.DYN.LE00.IN"/>
    <x v="33"/>
    <n v="82"/>
    <x v="6"/>
  </r>
  <r>
    <x v="45"/>
    <s v="ROU"/>
    <x v="3"/>
    <s v="SP.DYN.LE00.IN"/>
    <x v="55"/>
    <n v="66"/>
    <x v="6"/>
  </r>
  <r>
    <x v="45"/>
    <s v="ROU"/>
    <x v="3"/>
    <s v="SP.DYN.LE00.IN"/>
    <x v="56"/>
    <n v="66"/>
    <x v="6"/>
  </r>
  <r>
    <x v="45"/>
    <s v="ROU"/>
    <x v="3"/>
    <s v="SP.DYN.LE00.IN"/>
    <x v="57"/>
    <n v="65"/>
    <x v="6"/>
  </r>
  <r>
    <x v="45"/>
    <s v="ROU"/>
    <x v="3"/>
    <s v="SP.DYN.LE00.IN"/>
    <x v="58"/>
    <n v="67"/>
    <x v="6"/>
  </r>
  <r>
    <x v="45"/>
    <s v="ROU"/>
    <x v="3"/>
    <s v="SP.DYN.LE00.IN"/>
    <x v="59"/>
    <n v="68"/>
    <x v="6"/>
  </r>
  <r>
    <x v="45"/>
    <s v="ROU"/>
    <x v="3"/>
    <s v="SP.DYN.LE00.IN"/>
    <x v="60"/>
    <n v="68"/>
    <x v="6"/>
  </r>
  <r>
    <x v="45"/>
    <s v="ROU"/>
    <x v="3"/>
    <s v="SP.DYN.LE00.IN"/>
    <x v="61"/>
    <n v="69"/>
    <x v="6"/>
  </r>
  <r>
    <x v="45"/>
    <s v="ROU"/>
    <x v="3"/>
    <s v="SP.DYN.LE00.IN"/>
    <x v="62"/>
    <n v="68"/>
    <x v="4"/>
  </r>
  <r>
    <x v="45"/>
    <s v="ROU"/>
    <x v="3"/>
    <s v="SP.DYN.LE00.IN"/>
    <x v="63"/>
    <n v="68"/>
    <x v="4"/>
  </r>
  <r>
    <x v="45"/>
    <s v="ROU"/>
    <x v="3"/>
    <s v="SP.DYN.LE00.IN"/>
    <x v="64"/>
    <n v="67"/>
    <x v="4"/>
  </r>
  <r>
    <x v="45"/>
    <s v="ROU"/>
    <x v="3"/>
    <s v="SP.DYN.LE00.IN"/>
    <x v="34"/>
    <n v="67"/>
    <x v="4"/>
  </r>
  <r>
    <x v="45"/>
    <s v="ROU"/>
    <x v="3"/>
    <s v="SP.DYN.LE00.IN"/>
    <x v="35"/>
    <n v="69"/>
    <x v="4"/>
  </r>
  <r>
    <x v="45"/>
    <s v="ROU"/>
    <x v="3"/>
    <s v="SP.DYN.LE00.IN"/>
    <x v="36"/>
    <n v="68"/>
    <x v="4"/>
  </r>
  <r>
    <x v="45"/>
    <s v="ROU"/>
    <x v="3"/>
    <s v="SP.DYN.LE00.IN"/>
    <x v="37"/>
    <n v="69"/>
    <x v="4"/>
  </r>
  <r>
    <x v="45"/>
    <s v="ROU"/>
    <x v="3"/>
    <s v="SP.DYN.LE00.IN"/>
    <x v="38"/>
    <n v="69"/>
    <x v="4"/>
  </r>
  <r>
    <x v="45"/>
    <s v="ROU"/>
    <x v="3"/>
    <s v="SP.DYN.LE00.IN"/>
    <x v="39"/>
    <n v="70"/>
    <x v="4"/>
  </r>
  <r>
    <x v="45"/>
    <s v="ROU"/>
    <x v="3"/>
    <s v="SP.DYN.LE00.IN"/>
    <x v="40"/>
    <n v="70"/>
    <x v="4"/>
  </r>
  <r>
    <x v="45"/>
    <s v="ROU"/>
    <x v="3"/>
    <s v="SP.DYN.LE00.IN"/>
    <x v="41"/>
    <n v="70"/>
    <x v="5"/>
  </r>
  <r>
    <x v="45"/>
    <s v="ROU"/>
    <x v="3"/>
    <s v="SP.DYN.LE00.IN"/>
    <x v="42"/>
    <n v="69"/>
    <x v="5"/>
  </r>
  <r>
    <x v="45"/>
    <s v="ROU"/>
    <x v="3"/>
    <s v="SP.DYN.LE00.IN"/>
    <x v="43"/>
    <n v="69"/>
    <x v="5"/>
  </r>
  <r>
    <x v="45"/>
    <s v="ROU"/>
    <x v="3"/>
    <s v="SP.DYN.LE00.IN"/>
    <x v="44"/>
    <n v="69"/>
    <x v="5"/>
  </r>
  <r>
    <x v="45"/>
    <s v="ROU"/>
    <x v="3"/>
    <s v="SP.DYN.LE00.IN"/>
    <x v="45"/>
    <n v="69"/>
    <x v="5"/>
  </r>
  <r>
    <x v="45"/>
    <s v="ROU"/>
    <x v="3"/>
    <s v="SP.DYN.LE00.IN"/>
    <x v="46"/>
    <n v="70"/>
    <x v="5"/>
  </r>
  <r>
    <x v="45"/>
    <s v="ROU"/>
    <x v="3"/>
    <s v="SP.DYN.LE00.IN"/>
    <x v="47"/>
    <n v="70"/>
    <x v="5"/>
  </r>
  <r>
    <x v="45"/>
    <s v="ROU"/>
    <x v="3"/>
    <s v="SP.DYN.LE00.IN"/>
    <x v="48"/>
    <n v="70"/>
    <x v="5"/>
  </r>
  <r>
    <x v="45"/>
    <s v="ROU"/>
    <x v="3"/>
    <s v="SP.DYN.LE00.IN"/>
    <x v="49"/>
    <n v="70"/>
    <x v="5"/>
  </r>
  <r>
    <x v="45"/>
    <s v="ROU"/>
    <x v="3"/>
    <s v="SP.DYN.LE00.IN"/>
    <x v="50"/>
    <n v="69"/>
    <x v="5"/>
  </r>
  <r>
    <x v="45"/>
    <s v="ROU"/>
    <x v="3"/>
    <s v="SP.DYN.LE00.IN"/>
    <x v="51"/>
    <n v="69"/>
    <x v="0"/>
  </r>
  <r>
    <x v="45"/>
    <s v="ROU"/>
    <x v="3"/>
    <s v="SP.DYN.LE00.IN"/>
    <x v="52"/>
    <n v="69"/>
    <x v="0"/>
  </r>
  <r>
    <x v="45"/>
    <s v="ROU"/>
    <x v="3"/>
    <s v="SP.DYN.LE00.IN"/>
    <x v="53"/>
    <n v="70"/>
    <x v="0"/>
  </r>
  <r>
    <x v="45"/>
    <s v="ROU"/>
    <x v="3"/>
    <s v="SP.DYN.LE00.IN"/>
    <x v="0"/>
    <n v="70"/>
    <x v="0"/>
  </r>
  <r>
    <x v="45"/>
    <s v="ROU"/>
    <x v="3"/>
    <s v="SP.DYN.LE00.IN"/>
    <x v="1"/>
    <n v="70"/>
    <x v="0"/>
  </r>
  <r>
    <x v="45"/>
    <s v="ROU"/>
    <x v="3"/>
    <s v="SP.DYN.LE00.IN"/>
    <x v="2"/>
    <n v="70"/>
    <x v="0"/>
  </r>
  <r>
    <x v="45"/>
    <s v="ROU"/>
    <x v="3"/>
    <s v="SP.DYN.LE00.IN"/>
    <x v="3"/>
    <n v="70"/>
    <x v="0"/>
  </r>
  <r>
    <x v="45"/>
    <s v="ROU"/>
    <x v="3"/>
    <s v="SP.DYN.LE00.IN"/>
    <x v="4"/>
    <n v="70"/>
    <x v="0"/>
  </r>
  <r>
    <x v="45"/>
    <s v="ROU"/>
    <x v="3"/>
    <s v="SP.DYN.LE00.IN"/>
    <x v="5"/>
    <n v="69"/>
    <x v="0"/>
  </r>
  <r>
    <x v="45"/>
    <s v="ROU"/>
    <x v="3"/>
    <s v="SP.DYN.LE00.IN"/>
    <x v="6"/>
    <n v="69"/>
    <x v="0"/>
  </r>
  <r>
    <x v="45"/>
    <s v="ROU"/>
    <x v="3"/>
    <s v="SP.DYN.LE00.IN"/>
    <x v="7"/>
    <n v="69"/>
    <x v="1"/>
  </r>
  <r>
    <x v="45"/>
    <s v="ROU"/>
    <x v="3"/>
    <s v="SP.DYN.LE00.IN"/>
    <x v="8"/>
    <n v="70"/>
    <x v="1"/>
  </r>
  <r>
    <x v="45"/>
    <s v="ROU"/>
    <x v="3"/>
    <s v="SP.DYN.LE00.IN"/>
    <x v="9"/>
    <n v="71"/>
    <x v="1"/>
  </r>
  <r>
    <x v="45"/>
    <s v="ROU"/>
    <x v="3"/>
    <s v="SP.DYN.LE00.IN"/>
    <x v="10"/>
    <n v="71"/>
    <x v="1"/>
  </r>
  <r>
    <x v="45"/>
    <s v="ROU"/>
    <x v="3"/>
    <s v="SP.DYN.LE00.IN"/>
    <x v="11"/>
    <n v="71"/>
    <x v="1"/>
  </r>
  <r>
    <x v="45"/>
    <s v="ROU"/>
    <x v="3"/>
    <s v="SP.DYN.LE00.IN"/>
    <x v="12"/>
    <n v="71"/>
    <x v="1"/>
  </r>
  <r>
    <x v="45"/>
    <s v="ROU"/>
    <x v="3"/>
    <s v="SP.DYN.LE00.IN"/>
    <x v="13"/>
    <n v="71"/>
    <x v="1"/>
  </r>
  <r>
    <x v="45"/>
    <s v="ROU"/>
    <x v="3"/>
    <s v="SP.DYN.LE00.IN"/>
    <x v="14"/>
    <n v="72"/>
    <x v="1"/>
  </r>
  <r>
    <x v="45"/>
    <s v="ROU"/>
    <x v="3"/>
    <s v="SP.DYN.LE00.IN"/>
    <x v="15"/>
    <n v="72"/>
    <x v="1"/>
  </r>
  <r>
    <x v="45"/>
    <s v="ROU"/>
    <x v="3"/>
    <s v="SP.DYN.LE00.IN"/>
    <x v="16"/>
    <n v="72"/>
    <x v="1"/>
  </r>
  <r>
    <x v="45"/>
    <s v="ROU"/>
    <x v="3"/>
    <s v="SP.DYN.LE00.IN"/>
    <x v="17"/>
    <n v="73"/>
    <x v="2"/>
  </r>
  <r>
    <x v="45"/>
    <s v="ROU"/>
    <x v="3"/>
    <s v="SP.DYN.LE00.IN"/>
    <x v="18"/>
    <n v="73"/>
    <x v="2"/>
  </r>
  <r>
    <x v="45"/>
    <s v="ROU"/>
    <x v="3"/>
    <s v="SP.DYN.LE00.IN"/>
    <x v="19"/>
    <n v="73"/>
    <x v="2"/>
  </r>
  <r>
    <x v="45"/>
    <s v="ROU"/>
    <x v="3"/>
    <s v="SP.DYN.LE00.IN"/>
    <x v="20"/>
    <n v="73"/>
    <x v="2"/>
  </r>
  <r>
    <x v="45"/>
    <s v="ROU"/>
    <x v="3"/>
    <s v="SP.DYN.LE00.IN"/>
    <x v="21"/>
    <n v="74"/>
    <x v="2"/>
  </r>
  <r>
    <x v="45"/>
    <s v="ROU"/>
    <x v="3"/>
    <s v="SP.DYN.LE00.IN"/>
    <x v="22"/>
    <n v="74"/>
    <x v="2"/>
  </r>
  <r>
    <x v="45"/>
    <s v="ROU"/>
    <x v="3"/>
    <s v="SP.DYN.LE00.IN"/>
    <x v="23"/>
    <n v="75"/>
    <x v="2"/>
  </r>
  <r>
    <x v="45"/>
    <s v="ROU"/>
    <x v="3"/>
    <s v="SP.DYN.LE00.IN"/>
    <x v="24"/>
    <n v="75"/>
    <x v="2"/>
  </r>
  <r>
    <x v="45"/>
    <s v="ROU"/>
    <x v="3"/>
    <s v="SP.DYN.LE00.IN"/>
    <x v="25"/>
    <n v="75"/>
    <x v="2"/>
  </r>
  <r>
    <x v="45"/>
    <s v="ROU"/>
    <x v="3"/>
    <s v="SP.DYN.LE00.IN"/>
    <x v="26"/>
    <n v="75"/>
    <x v="2"/>
  </r>
  <r>
    <x v="45"/>
    <s v="ROU"/>
    <x v="3"/>
    <s v="SP.DYN.LE00.IN"/>
    <x v="27"/>
    <n v="75"/>
    <x v="3"/>
  </r>
  <r>
    <x v="45"/>
    <s v="ROU"/>
    <x v="3"/>
    <s v="SP.DYN.LE00.IN"/>
    <x v="28"/>
    <n v="75"/>
    <x v="3"/>
  </r>
  <r>
    <x v="45"/>
    <s v="ROU"/>
    <x v="3"/>
    <s v="SP.DYN.LE00.IN"/>
    <x v="29"/>
    <n v="76"/>
    <x v="3"/>
  </r>
  <r>
    <x v="45"/>
    <s v="ROU"/>
    <x v="3"/>
    <s v="SP.DYN.LE00.IN"/>
    <x v="30"/>
    <n v="74"/>
    <x v="3"/>
  </r>
  <r>
    <x v="45"/>
    <s v="ROU"/>
    <x v="3"/>
    <s v="SP.DYN.LE00.IN"/>
    <x v="31"/>
    <n v="73"/>
    <x v="6"/>
  </r>
  <r>
    <x v="45"/>
    <s v="ROU"/>
    <x v="3"/>
    <s v="SP.DYN.LE00.IN"/>
    <x v="32"/>
    <n v="75"/>
    <x v="6"/>
  </r>
  <r>
    <x v="45"/>
    <s v="ROU"/>
    <x v="3"/>
    <s v="SP.DYN.LE00.IN"/>
    <x v="33"/>
    <n v="77"/>
    <x v="6"/>
  </r>
  <r>
    <x v="46"/>
    <s v="RUS"/>
    <x v="3"/>
    <s v="SP.DYN.LE00.IN"/>
    <x v="55"/>
    <n v="68"/>
    <x v="6"/>
  </r>
  <r>
    <x v="46"/>
    <s v="RUS"/>
    <x v="3"/>
    <s v="SP.DYN.LE00.IN"/>
    <x v="56"/>
    <n v="68"/>
    <x v="6"/>
  </r>
  <r>
    <x v="46"/>
    <s v="RUS"/>
    <x v="3"/>
    <s v="SP.DYN.LE00.IN"/>
    <x v="57"/>
    <n v="68"/>
    <x v="6"/>
  </r>
  <r>
    <x v="46"/>
    <s v="RUS"/>
    <x v="3"/>
    <s v="SP.DYN.LE00.IN"/>
    <x v="58"/>
    <n v="68"/>
    <x v="6"/>
  </r>
  <r>
    <x v="46"/>
    <s v="RUS"/>
    <x v="3"/>
    <s v="SP.DYN.LE00.IN"/>
    <x v="59"/>
    <n v="69"/>
    <x v="6"/>
  </r>
  <r>
    <x v="46"/>
    <s v="RUS"/>
    <x v="3"/>
    <s v="SP.DYN.LE00.IN"/>
    <x v="60"/>
    <n v="69"/>
    <x v="6"/>
  </r>
  <r>
    <x v="46"/>
    <s v="RUS"/>
    <x v="3"/>
    <s v="SP.DYN.LE00.IN"/>
    <x v="61"/>
    <n v="69"/>
    <x v="6"/>
  </r>
  <r>
    <x v="46"/>
    <s v="RUS"/>
    <x v="3"/>
    <s v="SP.DYN.LE00.IN"/>
    <x v="62"/>
    <n v="68"/>
    <x v="4"/>
  </r>
  <r>
    <x v="46"/>
    <s v="RUS"/>
    <x v="3"/>
    <s v="SP.DYN.LE00.IN"/>
    <x v="63"/>
    <n v="68"/>
    <x v="4"/>
  </r>
  <r>
    <x v="46"/>
    <s v="RUS"/>
    <x v="3"/>
    <s v="SP.DYN.LE00.IN"/>
    <x v="64"/>
    <n v="68"/>
    <x v="4"/>
  </r>
  <r>
    <x v="46"/>
    <s v="RUS"/>
    <x v="3"/>
    <s v="SP.DYN.LE00.IN"/>
    <x v="34"/>
    <n v="68"/>
    <x v="4"/>
  </r>
  <r>
    <x v="46"/>
    <s v="RUS"/>
    <x v="3"/>
    <s v="SP.DYN.LE00.IN"/>
    <x v="35"/>
    <n v="68"/>
    <x v="4"/>
  </r>
  <r>
    <x v="46"/>
    <s v="RUS"/>
    <x v="3"/>
    <s v="SP.DYN.LE00.IN"/>
    <x v="36"/>
    <n v="68"/>
    <x v="4"/>
  </r>
  <r>
    <x v="46"/>
    <s v="RUS"/>
    <x v="3"/>
    <s v="SP.DYN.LE00.IN"/>
    <x v="37"/>
    <n v="68"/>
    <x v="4"/>
  </r>
  <r>
    <x v="46"/>
    <s v="RUS"/>
    <x v="3"/>
    <s v="SP.DYN.LE00.IN"/>
    <x v="38"/>
    <n v="68"/>
    <x v="4"/>
  </r>
  <r>
    <x v="46"/>
    <s v="RUS"/>
    <x v="3"/>
    <s v="SP.DYN.LE00.IN"/>
    <x v="39"/>
    <n v="68"/>
    <x v="4"/>
  </r>
  <r>
    <x v="46"/>
    <s v="RUS"/>
    <x v="3"/>
    <s v="SP.DYN.LE00.IN"/>
    <x v="40"/>
    <n v="67"/>
    <x v="4"/>
  </r>
  <r>
    <x v="46"/>
    <s v="RUS"/>
    <x v="3"/>
    <s v="SP.DYN.LE00.IN"/>
    <x v="41"/>
    <n v="67"/>
    <x v="5"/>
  </r>
  <r>
    <x v="46"/>
    <s v="RUS"/>
    <x v="3"/>
    <s v="SP.DYN.LE00.IN"/>
    <x v="42"/>
    <n v="67"/>
    <x v="5"/>
  </r>
  <r>
    <x v="46"/>
    <s v="RUS"/>
    <x v="3"/>
    <s v="SP.DYN.LE00.IN"/>
    <x v="43"/>
    <n v="67"/>
    <x v="5"/>
  </r>
  <r>
    <x v="46"/>
    <s v="RUS"/>
    <x v="3"/>
    <s v="SP.DYN.LE00.IN"/>
    <x v="44"/>
    <n v="67"/>
    <x v="5"/>
  </r>
  <r>
    <x v="46"/>
    <s v="RUS"/>
    <x v="3"/>
    <s v="SP.DYN.LE00.IN"/>
    <x v="45"/>
    <n v="67"/>
    <x v="5"/>
  </r>
  <r>
    <x v="46"/>
    <s v="RUS"/>
    <x v="3"/>
    <s v="SP.DYN.LE00.IN"/>
    <x v="46"/>
    <n v="68"/>
    <x v="5"/>
  </r>
  <r>
    <x v="46"/>
    <s v="RUS"/>
    <x v="3"/>
    <s v="SP.DYN.LE00.IN"/>
    <x v="47"/>
    <n v="68"/>
    <x v="5"/>
  </r>
  <r>
    <x v="46"/>
    <s v="RUS"/>
    <x v="3"/>
    <s v="SP.DYN.LE00.IN"/>
    <x v="48"/>
    <n v="67"/>
    <x v="5"/>
  </r>
  <r>
    <x v="46"/>
    <s v="RUS"/>
    <x v="3"/>
    <s v="SP.DYN.LE00.IN"/>
    <x v="49"/>
    <n v="68"/>
    <x v="5"/>
  </r>
  <r>
    <x v="46"/>
    <s v="RUS"/>
    <x v="3"/>
    <s v="SP.DYN.LE00.IN"/>
    <x v="50"/>
    <n v="69"/>
    <x v="5"/>
  </r>
  <r>
    <x v="46"/>
    <s v="RUS"/>
    <x v="3"/>
    <s v="SP.DYN.LE00.IN"/>
    <x v="51"/>
    <n v="69"/>
    <x v="0"/>
  </r>
  <r>
    <x v="46"/>
    <s v="RUS"/>
    <x v="3"/>
    <s v="SP.DYN.LE00.IN"/>
    <x v="52"/>
    <n v="69"/>
    <x v="0"/>
  </r>
  <r>
    <x v="46"/>
    <s v="RUS"/>
    <x v="3"/>
    <s v="SP.DYN.LE00.IN"/>
    <x v="53"/>
    <n v="69"/>
    <x v="0"/>
  </r>
  <r>
    <x v="46"/>
    <s v="RUS"/>
    <x v="3"/>
    <s v="SP.DYN.LE00.IN"/>
    <x v="0"/>
    <n v="69"/>
    <x v="0"/>
  </r>
  <r>
    <x v="46"/>
    <s v="RUS"/>
    <x v="3"/>
    <s v="SP.DYN.LE00.IN"/>
    <x v="1"/>
    <n v="68"/>
    <x v="0"/>
  </r>
  <r>
    <x v="46"/>
    <s v="RUS"/>
    <x v="3"/>
    <s v="SP.DYN.LE00.IN"/>
    <x v="2"/>
    <n v="67"/>
    <x v="0"/>
  </r>
  <r>
    <x v="46"/>
    <s v="RUS"/>
    <x v="3"/>
    <s v="SP.DYN.LE00.IN"/>
    <x v="3"/>
    <n v="65"/>
    <x v="0"/>
  </r>
  <r>
    <x v="46"/>
    <s v="RUS"/>
    <x v="3"/>
    <s v="SP.DYN.LE00.IN"/>
    <x v="4"/>
    <n v="64"/>
    <x v="0"/>
  </r>
  <r>
    <x v="46"/>
    <s v="RUS"/>
    <x v="3"/>
    <s v="SP.DYN.LE00.IN"/>
    <x v="5"/>
    <n v="65"/>
    <x v="0"/>
  </r>
  <r>
    <x v="46"/>
    <s v="RUS"/>
    <x v="3"/>
    <s v="SP.DYN.LE00.IN"/>
    <x v="6"/>
    <n v="66"/>
    <x v="0"/>
  </r>
  <r>
    <x v="46"/>
    <s v="RUS"/>
    <x v="3"/>
    <s v="SP.DYN.LE00.IN"/>
    <x v="7"/>
    <n v="67"/>
    <x v="1"/>
  </r>
  <r>
    <x v="46"/>
    <s v="RUS"/>
    <x v="3"/>
    <s v="SP.DYN.LE00.IN"/>
    <x v="8"/>
    <n v="67"/>
    <x v="1"/>
  </r>
  <r>
    <x v="46"/>
    <s v="RUS"/>
    <x v="3"/>
    <s v="SP.DYN.LE00.IN"/>
    <x v="9"/>
    <n v="66"/>
    <x v="1"/>
  </r>
  <r>
    <x v="46"/>
    <s v="RUS"/>
    <x v="3"/>
    <s v="SP.DYN.LE00.IN"/>
    <x v="10"/>
    <n v="65"/>
    <x v="1"/>
  </r>
  <r>
    <x v="46"/>
    <s v="RUS"/>
    <x v="3"/>
    <s v="SP.DYN.LE00.IN"/>
    <x v="11"/>
    <n v="65"/>
    <x v="1"/>
  </r>
  <r>
    <x v="46"/>
    <s v="RUS"/>
    <x v="3"/>
    <s v="SP.DYN.LE00.IN"/>
    <x v="12"/>
    <n v="65"/>
    <x v="1"/>
  </r>
  <r>
    <x v="46"/>
    <s v="RUS"/>
    <x v="3"/>
    <s v="SP.DYN.LE00.IN"/>
    <x v="13"/>
    <n v="65"/>
    <x v="1"/>
  </r>
  <r>
    <x v="46"/>
    <s v="RUS"/>
    <x v="3"/>
    <s v="SP.DYN.LE00.IN"/>
    <x v="14"/>
    <n v="65"/>
    <x v="1"/>
  </r>
  <r>
    <x v="46"/>
    <s v="RUS"/>
    <x v="3"/>
    <s v="SP.DYN.LE00.IN"/>
    <x v="15"/>
    <n v="66"/>
    <x v="1"/>
  </r>
  <r>
    <x v="46"/>
    <s v="RUS"/>
    <x v="3"/>
    <s v="SP.DYN.LE00.IN"/>
    <x v="16"/>
    <n v="67"/>
    <x v="1"/>
  </r>
  <r>
    <x v="46"/>
    <s v="RUS"/>
    <x v="3"/>
    <s v="SP.DYN.LE00.IN"/>
    <x v="17"/>
    <n v="68"/>
    <x v="2"/>
  </r>
  <r>
    <x v="46"/>
    <s v="RUS"/>
    <x v="3"/>
    <s v="SP.DYN.LE00.IN"/>
    <x v="18"/>
    <n v="68"/>
    <x v="2"/>
  </r>
  <r>
    <x v="46"/>
    <s v="RUS"/>
    <x v="3"/>
    <s v="SP.DYN.LE00.IN"/>
    <x v="19"/>
    <n v="69"/>
    <x v="2"/>
  </r>
  <r>
    <x v="46"/>
    <s v="RUS"/>
    <x v="3"/>
    <s v="SP.DYN.LE00.IN"/>
    <x v="20"/>
    <n v="69"/>
    <x v="2"/>
  </r>
  <r>
    <x v="46"/>
    <s v="RUS"/>
    <x v="3"/>
    <s v="SP.DYN.LE00.IN"/>
    <x v="21"/>
    <n v="70"/>
    <x v="2"/>
  </r>
  <r>
    <x v="46"/>
    <s v="RUS"/>
    <x v="3"/>
    <s v="SP.DYN.LE00.IN"/>
    <x v="22"/>
    <n v="70"/>
    <x v="2"/>
  </r>
  <r>
    <x v="46"/>
    <s v="RUS"/>
    <x v="3"/>
    <s v="SP.DYN.LE00.IN"/>
    <x v="23"/>
    <n v="71"/>
    <x v="2"/>
  </r>
  <r>
    <x v="46"/>
    <s v="RUS"/>
    <x v="3"/>
    <s v="SP.DYN.LE00.IN"/>
    <x v="24"/>
    <n v="71"/>
    <x v="2"/>
  </r>
  <r>
    <x v="46"/>
    <s v="RUS"/>
    <x v="3"/>
    <s v="SP.DYN.LE00.IN"/>
    <x v="25"/>
    <n v="71"/>
    <x v="2"/>
  </r>
  <r>
    <x v="46"/>
    <s v="RUS"/>
    <x v="3"/>
    <s v="SP.DYN.LE00.IN"/>
    <x v="26"/>
    <n v="72"/>
    <x v="2"/>
  </r>
  <r>
    <x v="46"/>
    <s v="RUS"/>
    <x v="3"/>
    <s v="SP.DYN.LE00.IN"/>
    <x v="27"/>
    <n v="72"/>
    <x v="3"/>
  </r>
  <r>
    <x v="46"/>
    <s v="RUS"/>
    <x v="3"/>
    <s v="SP.DYN.LE00.IN"/>
    <x v="28"/>
    <n v="73"/>
    <x v="3"/>
  </r>
  <r>
    <x v="46"/>
    <s v="RUS"/>
    <x v="3"/>
    <s v="SP.DYN.LE00.IN"/>
    <x v="29"/>
    <n v="73"/>
    <x v="3"/>
  </r>
  <r>
    <x v="46"/>
    <s v="RUS"/>
    <x v="3"/>
    <s v="SP.DYN.LE00.IN"/>
    <x v="30"/>
    <n v="71"/>
    <x v="3"/>
  </r>
  <r>
    <x v="46"/>
    <s v="RUS"/>
    <x v="3"/>
    <s v="SP.DYN.LE00.IN"/>
    <x v="31"/>
    <n v="70"/>
    <x v="6"/>
  </r>
  <r>
    <x v="46"/>
    <s v="RUS"/>
    <x v="3"/>
    <s v="SP.DYN.LE00.IN"/>
    <x v="32"/>
    <n v="73"/>
    <x v="6"/>
  </r>
  <r>
    <x v="46"/>
    <s v="RUS"/>
    <x v="3"/>
    <s v="SP.DYN.LE00.IN"/>
    <x v="33"/>
    <n v="73"/>
    <x v="6"/>
  </r>
  <r>
    <x v="47"/>
    <s v="SMR"/>
    <x v="3"/>
    <s v="SP.DYN.LE00.IN"/>
    <x v="55"/>
    <n v="73"/>
    <x v="6"/>
  </r>
  <r>
    <x v="47"/>
    <s v="SMR"/>
    <x v="3"/>
    <s v="SP.DYN.LE00.IN"/>
    <x v="56"/>
    <n v="73"/>
    <x v="6"/>
  </r>
  <r>
    <x v="47"/>
    <s v="SMR"/>
    <x v="3"/>
    <s v="SP.DYN.LE00.IN"/>
    <x v="57"/>
    <n v="74"/>
    <x v="6"/>
  </r>
  <r>
    <x v="47"/>
    <s v="SMR"/>
    <x v="3"/>
    <s v="SP.DYN.LE00.IN"/>
    <x v="58"/>
    <n v="74"/>
    <x v="6"/>
  </r>
  <r>
    <x v="47"/>
    <s v="SMR"/>
    <x v="3"/>
    <s v="SP.DYN.LE00.IN"/>
    <x v="59"/>
    <n v="74"/>
    <x v="6"/>
  </r>
  <r>
    <x v="47"/>
    <s v="SMR"/>
    <x v="3"/>
    <s v="SP.DYN.LE00.IN"/>
    <x v="60"/>
    <n v="74"/>
    <x v="6"/>
  </r>
  <r>
    <x v="47"/>
    <s v="SMR"/>
    <x v="3"/>
    <s v="SP.DYN.LE00.IN"/>
    <x v="61"/>
    <n v="74"/>
    <x v="6"/>
  </r>
  <r>
    <x v="47"/>
    <s v="SMR"/>
    <x v="3"/>
    <s v="SP.DYN.LE00.IN"/>
    <x v="62"/>
    <n v="74"/>
    <x v="4"/>
  </r>
  <r>
    <x v="47"/>
    <s v="SMR"/>
    <x v="3"/>
    <s v="SP.DYN.LE00.IN"/>
    <x v="63"/>
    <n v="74"/>
    <x v="4"/>
  </r>
  <r>
    <x v="47"/>
    <s v="SMR"/>
    <x v="3"/>
    <s v="SP.DYN.LE00.IN"/>
    <x v="64"/>
    <n v="74"/>
    <x v="4"/>
  </r>
  <r>
    <x v="47"/>
    <s v="SMR"/>
    <x v="3"/>
    <s v="SP.DYN.LE00.IN"/>
    <x v="34"/>
    <n v="74"/>
    <x v="4"/>
  </r>
  <r>
    <x v="47"/>
    <s v="SMR"/>
    <x v="3"/>
    <s v="SP.DYN.LE00.IN"/>
    <x v="35"/>
    <n v="74"/>
    <x v="4"/>
  </r>
  <r>
    <x v="47"/>
    <s v="SMR"/>
    <x v="3"/>
    <s v="SP.DYN.LE00.IN"/>
    <x v="36"/>
    <n v="75"/>
    <x v="4"/>
  </r>
  <r>
    <x v="47"/>
    <s v="SMR"/>
    <x v="3"/>
    <s v="SP.DYN.LE00.IN"/>
    <x v="37"/>
    <n v="75"/>
    <x v="4"/>
  </r>
  <r>
    <x v="47"/>
    <s v="SMR"/>
    <x v="3"/>
    <s v="SP.DYN.LE00.IN"/>
    <x v="38"/>
    <n v="75"/>
    <x v="4"/>
  </r>
  <r>
    <x v="47"/>
    <s v="SMR"/>
    <x v="3"/>
    <s v="SP.DYN.LE00.IN"/>
    <x v="39"/>
    <n v="75"/>
    <x v="4"/>
  </r>
  <r>
    <x v="47"/>
    <s v="SMR"/>
    <x v="3"/>
    <s v="SP.DYN.LE00.IN"/>
    <x v="40"/>
    <n v="75"/>
    <x v="4"/>
  </r>
  <r>
    <x v="47"/>
    <s v="SMR"/>
    <x v="3"/>
    <s v="SP.DYN.LE00.IN"/>
    <x v="41"/>
    <n v="76"/>
    <x v="5"/>
  </r>
  <r>
    <x v="47"/>
    <s v="SMR"/>
    <x v="3"/>
    <s v="SP.DYN.LE00.IN"/>
    <x v="42"/>
    <n v="76"/>
    <x v="5"/>
  </r>
  <r>
    <x v="47"/>
    <s v="SMR"/>
    <x v="3"/>
    <s v="SP.DYN.LE00.IN"/>
    <x v="43"/>
    <n v="76"/>
    <x v="5"/>
  </r>
  <r>
    <x v="47"/>
    <s v="SMR"/>
    <x v="3"/>
    <s v="SP.DYN.LE00.IN"/>
    <x v="44"/>
    <n v="76"/>
    <x v="5"/>
  </r>
  <r>
    <x v="47"/>
    <s v="SMR"/>
    <x v="3"/>
    <s v="SP.DYN.LE00.IN"/>
    <x v="45"/>
    <n v="77"/>
    <x v="5"/>
  </r>
  <r>
    <x v="47"/>
    <s v="SMR"/>
    <x v="3"/>
    <s v="SP.DYN.LE00.IN"/>
    <x v="46"/>
    <n v="77"/>
    <x v="5"/>
  </r>
  <r>
    <x v="47"/>
    <s v="SMR"/>
    <x v="3"/>
    <s v="SP.DYN.LE00.IN"/>
    <x v="47"/>
    <n v="77"/>
    <x v="5"/>
  </r>
  <r>
    <x v="47"/>
    <s v="SMR"/>
    <x v="3"/>
    <s v="SP.DYN.LE00.IN"/>
    <x v="48"/>
    <n v="77"/>
    <x v="5"/>
  </r>
  <r>
    <x v="47"/>
    <s v="SMR"/>
    <x v="3"/>
    <s v="SP.DYN.LE00.IN"/>
    <x v="49"/>
    <n v="77"/>
    <x v="5"/>
  </r>
  <r>
    <x v="47"/>
    <s v="SMR"/>
    <x v="3"/>
    <s v="SP.DYN.LE00.IN"/>
    <x v="50"/>
    <n v="77"/>
    <x v="5"/>
  </r>
  <r>
    <x v="47"/>
    <s v="SMR"/>
    <x v="3"/>
    <s v="SP.DYN.LE00.IN"/>
    <x v="51"/>
    <n v="77"/>
    <x v="0"/>
  </r>
  <r>
    <x v="47"/>
    <s v="SMR"/>
    <x v="3"/>
    <s v="SP.DYN.LE00.IN"/>
    <x v="52"/>
    <n v="78"/>
    <x v="0"/>
  </r>
  <r>
    <x v="47"/>
    <s v="SMR"/>
    <x v="3"/>
    <s v="SP.DYN.LE00.IN"/>
    <x v="53"/>
    <n v="78"/>
    <x v="0"/>
  </r>
  <r>
    <x v="47"/>
    <s v="SMR"/>
    <x v="3"/>
    <s v="SP.DYN.LE00.IN"/>
    <x v="0"/>
    <n v="78"/>
    <x v="0"/>
  </r>
  <r>
    <x v="47"/>
    <s v="SMR"/>
    <x v="3"/>
    <s v="SP.DYN.LE00.IN"/>
    <x v="1"/>
    <n v="78"/>
    <x v="0"/>
  </r>
  <r>
    <x v="47"/>
    <s v="SMR"/>
    <x v="3"/>
    <s v="SP.DYN.LE00.IN"/>
    <x v="2"/>
    <n v="78"/>
    <x v="0"/>
  </r>
  <r>
    <x v="47"/>
    <s v="SMR"/>
    <x v="3"/>
    <s v="SP.DYN.LE00.IN"/>
    <x v="3"/>
    <n v="78"/>
    <x v="0"/>
  </r>
  <r>
    <x v="47"/>
    <s v="SMR"/>
    <x v="3"/>
    <s v="SP.DYN.LE00.IN"/>
    <x v="4"/>
    <n v="79"/>
    <x v="0"/>
  </r>
  <r>
    <x v="47"/>
    <s v="SMR"/>
    <x v="3"/>
    <s v="SP.DYN.LE00.IN"/>
    <x v="5"/>
    <n v="79"/>
    <x v="0"/>
  </r>
  <r>
    <x v="47"/>
    <s v="SMR"/>
    <x v="3"/>
    <s v="SP.DYN.LE00.IN"/>
    <x v="6"/>
    <n v="79"/>
    <x v="0"/>
  </r>
  <r>
    <x v="47"/>
    <s v="SMR"/>
    <x v="3"/>
    <s v="SP.DYN.LE00.IN"/>
    <x v="7"/>
    <n v="80"/>
    <x v="1"/>
  </r>
  <r>
    <x v="47"/>
    <s v="SMR"/>
    <x v="3"/>
    <s v="SP.DYN.LE00.IN"/>
    <x v="8"/>
    <n v="80"/>
    <x v="1"/>
  </r>
  <r>
    <x v="47"/>
    <s v="SMR"/>
    <x v="3"/>
    <s v="SP.DYN.LE00.IN"/>
    <x v="9"/>
    <n v="80"/>
    <x v="1"/>
  </r>
  <r>
    <x v="47"/>
    <s v="SMR"/>
    <x v="3"/>
    <s v="SP.DYN.LE00.IN"/>
    <x v="10"/>
    <n v="81"/>
    <x v="1"/>
  </r>
  <r>
    <x v="47"/>
    <s v="SMR"/>
    <x v="3"/>
    <s v="SP.DYN.LE00.IN"/>
    <x v="11"/>
    <n v="81"/>
    <x v="1"/>
  </r>
  <r>
    <x v="47"/>
    <s v="SMR"/>
    <x v="3"/>
    <s v="SP.DYN.LE00.IN"/>
    <x v="12"/>
    <n v="81"/>
    <x v="1"/>
  </r>
  <r>
    <x v="47"/>
    <s v="SMR"/>
    <x v="3"/>
    <s v="SP.DYN.LE00.IN"/>
    <x v="13"/>
    <n v="81"/>
    <x v="1"/>
  </r>
  <r>
    <x v="47"/>
    <s v="SMR"/>
    <x v="3"/>
    <s v="SP.DYN.LE00.IN"/>
    <x v="14"/>
    <n v="82"/>
    <x v="1"/>
  </r>
  <r>
    <x v="47"/>
    <s v="SMR"/>
    <x v="3"/>
    <s v="SP.DYN.LE00.IN"/>
    <x v="15"/>
    <n v="82"/>
    <x v="1"/>
  </r>
  <r>
    <x v="47"/>
    <s v="SMR"/>
    <x v="3"/>
    <s v="SP.DYN.LE00.IN"/>
    <x v="16"/>
    <n v="82"/>
    <x v="1"/>
  </r>
  <r>
    <x v="47"/>
    <s v="SMR"/>
    <x v="3"/>
    <s v="SP.DYN.LE00.IN"/>
    <x v="17"/>
    <n v="83"/>
    <x v="2"/>
  </r>
  <r>
    <x v="47"/>
    <s v="SMR"/>
    <x v="3"/>
    <s v="SP.DYN.LE00.IN"/>
    <x v="18"/>
    <n v="83"/>
    <x v="2"/>
  </r>
  <r>
    <x v="47"/>
    <s v="SMR"/>
    <x v="3"/>
    <s v="SP.DYN.LE00.IN"/>
    <x v="19"/>
    <n v="83"/>
    <x v="2"/>
  </r>
  <r>
    <x v="47"/>
    <s v="SMR"/>
    <x v="3"/>
    <s v="SP.DYN.LE00.IN"/>
    <x v="20"/>
    <n v="83"/>
    <x v="2"/>
  </r>
  <r>
    <x v="47"/>
    <s v="SMR"/>
    <x v="3"/>
    <s v="SP.DYN.LE00.IN"/>
    <x v="21"/>
    <n v="84"/>
    <x v="2"/>
  </r>
  <r>
    <x v="47"/>
    <s v="SMR"/>
    <x v="3"/>
    <s v="SP.DYN.LE00.IN"/>
    <x v="22"/>
    <n v="84"/>
    <x v="2"/>
  </r>
  <r>
    <x v="47"/>
    <s v="SMR"/>
    <x v="3"/>
    <s v="SP.DYN.LE00.IN"/>
    <x v="23"/>
    <n v="84"/>
    <x v="2"/>
  </r>
  <r>
    <x v="47"/>
    <s v="SMR"/>
    <x v="3"/>
    <s v="SP.DYN.LE00.IN"/>
    <x v="24"/>
    <n v="84"/>
    <x v="2"/>
  </r>
  <r>
    <x v="47"/>
    <s v="SMR"/>
    <x v="3"/>
    <s v="SP.DYN.LE00.IN"/>
    <x v="25"/>
    <n v="85"/>
    <x v="2"/>
  </r>
  <r>
    <x v="47"/>
    <s v="SMR"/>
    <x v="3"/>
    <s v="SP.DYN.LE00.IN"/>
    <x v="26"/>
    <n v="85"/>
    <x v="2"/>
  </r>
  <r>
    <x v="47"/>
    <s v="SMR"/>
    <x v="3"/>
    <s v="SP.DYN.LE00.IN"/>
    <x v="27"/>
    <n v="85"/>
    <x v="3"/>
  </r>
  <r>
    <x v="47"/>
    <s v="SMR"/>
    <x v="3"/>
    <s v="SP.DYN.LE00.IN"/>
    <x v="28"/>
    <n v="85"/>
    <x v="3"/>
  </r>
  <r>
    <x v="47"/>
    <s v="SMR"/>
    <x v="3"/>
    <s v="SP.DYN.LE00.IN"/>
    <x v="29"/>
    <n v="85"/>
    <x v="3"/>
  </r>
  <r>
    <x v="47"/>
    <s v="SMR"/>
    <x v="3"/>
    <s v="SP.DYN.LE00.IN"/>
    <x v="30"/>
    <n v="83"/>
    <x v="3"/>
  </r>
  <r>
    <x v="47"/>
    <s v="SMR"/>
    <x v="3"/>
    <s v="SP.DYN.LE00.IN"/>
    <x v="31"/>
    <n v="84"/>
    <x v="6"/>
  </r>
  <r>
    <x v="47"/>
    <s v="SMR"/>
    <x v="3"/>
    <s v="SP.DYN.LE00.IN"/>
    <x v="32"/>
    <n v="86"/>
    <x v="6"/>
  </r>
  <r>
    <x v="47"/>
    <s v="SMR"/>
    <x v="3"/>
    <s v="SP.DYN.LE00.IN"/>
    <x v="33"/>
    <n v="86"/>
    <x v="6"/>
  </r>
  <r>
    <x v="48"/>
    <s v="SRB"/>
    <x v="3"/>
    <s v="SP.DYN.LE00.IN"/>
    <x v="55"/>
    <n v="66"/>
    <x v="6"/>
  </r>
  <r>
    <x v="48"/>
    <s v="SRB"/>
    <x v="3"/>
    <s v="SP.DYN.LE00.IN"/>
    <x v="56"/>
    <n v="66"/>
    <x v="6"/>
  </r>
  <r>
    <x v="48"/>
    <s v="SRB"/>
    <x v="3"/>
    <s v="SP.DYN.LE00.IN"/>
    <x v="57"/>
    <n v="67"/>
    <x v="6"/>
  </r>
  <r>
    <x v="48"/>
    <s v="SRB"/>
    <x v="3"/>
    <s v="SP.DYN.LE00.IN"/>
    <x v="58"/>
    <n v="67"/>
    <x v="6"/>
  </r>
  <r>
    <x v="48"/>
    <s v="SRB"/>
    <x v="3"/>
    <s v="SP.DYN.LE00.IN"/>
    <x v="59"/>
    <n v="68"/>
    <x v="6"/>
  </r>
  <r>
    <x v="48"/>
    <s v="SRB"/>
    <x v="3"/>
    <s v="SP.DYN.LE00.IN"/>
    <x v="60"/>
    <n v="69"/>
    <x v="6"/>
  </r>
  <r>
    <x v="48"/>
    <s v="SRB"/>
    <x v="3"/>
    <s v="SP.DYN.LE00.IN"/>
    <x v="61"/>
    <n v="69"/>
    <x v="6"/>
  </r>
  <r>
    <x v="48"/>
    <s v="SRB"/>
    <x v="3"/>
    <s v="SP.DYN.LE00.IN"/>
    <x v="62"/>
    <n v="70"/>
    <x v="4"/>
  </r>
  <r>
    <x v="48"/>
    <s v="SRB"/>
    <x v="3"/>
    <s v="SP.DYN.LE00.IN"/>
    <x v="63"/>
    <n v="70"/>
    <x v="4"/>
  </r>
  <r>
    <x v="48"/>
    <s v="SRB"/>
    <x v="3"/>
    <s v="SP.DYN.LE00.IN"/>
    <x v="64"/>
    <n v="70"/>
    <x v="4"/>
  </r>
  <r>
    <x v="48"/>
    <s v="SRB"/>
    <x v="3"/>
    <s v="SP.DYN.LE00.IN"/>
    <x v="34"/>
    <n v="70"/>
    <x v="4"/>
  </r>
  <r>
    <x v="48"/>
    <s v="SRB"/>
    <x v="3"/>
    <s v="SP.DYN.LE00.IN"/>
    <x v="35"/>
    <n v="70"/>
    <x v="4"/>
  </r>
  <r>
    <x v="48"/>
    <s v="SRB"/>
    <x v="3"/>
    <s v="SP.DYN.LE00.IN"/>
    <x v="36"/>
    <n v="70"/>
    <x v="4"/>
  </r>
  <r>
    <x v="48"/>
    <s v="SRB"/>
    <x v="3"/>
    <s v="SP.DYN.LE00.IN"/>
    <x v="37"/>
    <n v="70"/>
    <x v="4"/>
  </r>
  <r>
    <x v="48"/>
    <s v="SRB"/>
    <x v="3"/>
    <s v="SP.DYN.LE00.IN"/>
    <x v="38"/>
    <n v="71"/>
    <x v="4"/>
  </r>
  <r>
    <x v="48"/>
    <s v="SRB"/>
    <x v="3"/>
    <s v="SP.DYN.LE00.IN"/>
    <x v="39"/>
    <n v="71"/>
    <x v="4"/>
  </r>
  <r>
    <x v="48"/>
    <s v="SRB"/>
    <x v="3"/>
    <s v="SP.DYN.LE00.IN"/>
    <x v="40"/>
    <n v="72"/>
    <x v="4"/>
  </r>
  <r>
    <x v="48"/>
    <s v="SRB"/>
    <x v="3"/>
    <s v="SP.DYN.LE00.IN"/>
    <x v="41"/>
    <n v="72"/>
    <x v="5"/>
  </r>
  <r>
    <x v="48"/>
    <s v="SRB"/>
    <x v="3"/>
    <s v="SP.DYN.LE00.IN"/>
    <x v="42"/>
    <n v="71"/>
    <x v="5"/>
  </r>
  <r>
    <x v="48"/>
    <s v="SRB"/>
    <x v="3"/>
    <s v="SP.DYN.LE00.IN"/>
    <x v="43"/>
    <n v="71"/>
    <x v="5"/>
  </r>
  <r>
    <x v="48"/>
    <s v="SRB"/>
    <x v="3"/>
    <s v="SP.DYN.LE00.IN"/>
    <x v="44"/>
    <n v="71"/>
    <x v="5"/>
  </r>
  <r>
    <x v="48"/>
    <s v="SRB"/>
    <x v="3"/>
    <s v="SP.DYN.LE00.IN"/>
    <x v="45"/>
    <n v="71"/>
    <x v="5"/>
  </r>
  <r>
    <x v="48"/>
    <s v="SRB"/>
    <x v="3"/>
    <s v="SP.DYN.LE00.IN"/>
    <x v="46"/>
    <n v="71"/>
    <x v="5"/>
  </r>
  <r>
    <x v="48"/>
    <s v="SRB"/>
    <x v="3"/>
    <s v="SP.DYN.LE00.IN"/>
    <x v="47"/>
    <n v="71"/>
    <x v="5"/>
  </r>
  <r>
    <x v="48"/>
    <s v="SRB"/>
    <x v="3"/>
    <s v="SP.DYN.LE00.IN"/>
    <x v="48"/>
    <n v="71"/>
    <x v="5"/>
  </r>
  <r>
    <x v="48"/>
    <s v="SRB"/>
    <x v="3"/>
    <s v="SP.DYN.LE00.IN"/>
    <x v="49"/>
    <n v="71"/>
    <x v="5"/>
  </r>
  <r>
    <x v="48"/>
    <s v="SRB"/>
    <x v="3"/>
    <s v="SP.DYN.LE00.IN"/>
    <x v="50"/>
    <n v="72"/>
    <x v="5"/>
  </r>
  <r>
    <x v="48"/>
    <s v="SRB"/>
    <x v="3"/>
    <s v="SP.DYN.LE00.IN"/>
    <x v="51"/>
    <n v="72"/>
    <x v="0"/>
  </r>
  <r>
    <x v="48"/>
    <s v="SRB"/>
    <x v="3"/>
    <s v="SP.DYN.LE00.IN"/>
    <x v="52"/>
    <n v="72"/>
    <x v="0"/>
  </r>
  <r>
    <x v="48"/>
    <s v="SRB"/>
    <x v="3"/>
    <s v="SP.DYN.LE00.IN"/>
    <x v="53"/>
    <n v="72"/>
    <x v="0"/>
  </r>
  <r>
    <x v="48"/>
    <s v="SRB"/>
    <x v="3"/>
    <s v="SP.DYN.LE00.IN"/>
    <x v="0"/>
    <n v="72"/>
    <x v="0"/>
  </r>
  <r>
    <x v="48"/>
    <s v="SRB"/>
    <x v="3"/>
    <s v="SP.DYN.LE00.IN"/>
    <x v="1"/>
    <n v="72"/>
    <x v="0"/>
  </r>
  <r>
    <x v="48"/>
    <s v="SRB"/>
    <x v="3"/>
    <s v="SP.DYN.LE00.IN"/>
    <x v="2"/>
    <n v="72"/>
    <x v="0"/>
  </r>
  <r>
    <x v="48"/>
    <s v="SRB"/>
    <x v="3"/>
    <s v="SP.DYN.LE00.IN"/>
    <x v="3"/>
    <n v="72"/>
    <x v="0"/>
  </r>
  <r>
    <x v="48"/>
    <s v="SRB"/>
    <x v="3"/>
    <s v="SP.DYN.LE00.IN"/>
    <x v="4"/>
    <n v="72"/>
    <x v="0"/>
  </r>
  <r>
    <x v="48"/>
    <s v="SRB"/>
    <x v="3"/>
    <s v="SP.DYN.LE00.IN"/>
    <x v="5"/>
    <n v="73"/>
    <x v="0"/>
  </r>
  <r>
    <x v="48"/>
    <s v="SRB"/>
    <x v="3"/>
    <s v="SP.DYN.LE00.IN"/>
    <x v="6"/>
    <n v="73"/>
    <x v="0"/>
  </r>
  <r>
    <x v="48"/>
    <s v="SRB"/>
    <x v="3"/>
    <s v="SP.DYN.LE00.IN"/>
    <x v="7"/>
    <n v="73"/>
    <x v="1"/>
  </r>
  <r>
    <x v="48"/>
    <s v="SRB"/>
    <x v="3"/>
    <s v="SP.DYN.LE00.IN"/>
    <x v="8"/>
    <n v="72"/>
    <x v="1"/>
  </r>
  <r>
    <x v="48"/>
    <s v="SRB"/>
    <x v="3"/>
    <s v="SP.DYN.LE00.IN"/>
    <x v="9"/>
    <n v="70"/>
    <x v="1"/>
  </r>
  <r>
    <x v="48"/>
    <s v="SRB"/>
    <x v="3"/>
    <s v="SP.DYN.LE00.IN"/>
    <x v="10"/>
    <n v="72"/>
    <x v="1"/>
  </r>
  <r>
    <x v="48"/>
    <s v="SRB"/>
    <x v="3"/>
    <s v="SP.DYN.LE00.IN"/>
    <x v="11"/>
    <n v="72"/>
    <x v="1"/>
  </r>
  <r>
    <x v="48"/>
    <s v="SRB"/>
    <x v="3"/>
    <s v="SP.DYN.LE00.IN"/>
    <x v="12"/>
    <n v="72"/>
    <x v="1"/>
  </r>
  <r>
    <x v="48"/>
    <s v="SRB"/>
    <x v="3"/>
    <s v="SP.DYN.LE00.IN"/>
    <x v="13"/>
    <n v="72"/>
    <x v="1"/>
  </r>
  <r>
    <x v="48"/>
    <s v="SRB"/>
    <x v="3"/>
    <s v="SP.DYN.LE00.IN"/>
    <x v="14"/>
    <n v="73"/>
    <x v="1"/>
  </r>
  <r>
    <x v="48"/>
    <s v="SRB"/>
    <x v="3"/>
    <s v="SP.DYN.LE00.IN"/>
    <x v="15"/>
    <n v="73"/>
    <x v="1"/>
  </r>
  <r>
    <x v="48"/>
    <s v="SRB"/>
    <x v="3"/>
    <s v="SP.DYN.LE00.IN"/>
    <x v="16"/>
    <n v="73"/>
    <x v="1"/>
  </r>
  <r>
    <x v="48"/>
    <s v="SRB"/>
    <x v="3"/>
    <s v="SP.DYN.LE00.IN"/>
    <x v="17"/>
    <n v="74"/>
    <x v="2"/>
  </r>
  <r>
    <x v="48"/>
    <s v="SRB"/>
    <x v="3"/>
    <s v="SP.DYN.LE00.IN"/>
    <x v="18"/>
    <n v="74"/>
    <x v="2"/>
  </r>
  <r>
    <x v="48"/>
    <s v="SRB"/>
    <x v="3"/>
    <s v="SP.DYN.LE00.IN"/>
    <x v="19"/>
    <n v="74"/>
    <x v="2"/>
  </r>
  <r>
    <x v="48"/>
    <s v="SRB"/>
    <x v="3"/>
    <s v="SP.DYN.LE00.IN"/>
    <x v="20"/>
    <n v="74"/>
    <x v="2"/>
  </r>
  <r>
    <x v="48"/>
    <s v="SRB"/>
    <x v="3"/>
    <s v="SP.DYN.LE00.IN"/>
    <x v="21"/>
    <n v="75"/>
    <x v="2"/>
  </r>
  <r>
    <x v="48"/>
    <s v="SRB"/>
    <x v="3"/>
    <s v="SP.DYN.LE00.IN"/>
    <x v="22"/>
    <n v="75"/>
    <x v="2"/>
  </r>
  <r>
    <x v="48"/>
    <s v="SRB"/>
    <x v="3"/>
    <s v="SP.DYN.LE00.IN"/>
    <x v="23"/>
    <n v="75"/>
    <x v="2"/>
  </r>
  <r>
    <x v="48"/>
    <s v="SRB"/>
    <x v="3"/>
    <s v="SP.DYN.LE00.IN"/>
    <x v="24"/>
    <n v="75"/>
    <x v="2"/>
  </r>
  <r>
    <x v="48"/>
    <s v="SRB"/>
    <x v="3"/>
    <s v="SP.DYN.LE00.IN"/>
    <x v="25"/>
    <n v="75"/>
    <x v="2"/>
  </r>
  <r>
    <x v="48"/>
    <s v="SRB"/>
    <x v="3"/>
    <s v="SP.DYN.LE00.IN"/>
    <x v="26"/>
    <n v="76"/>
    <x v="2"/>
  </r>
  <r>
    <x v="48"/>
    <s v="SRB"/>
    <x v="3"/>
    <s v="SP.DYN.LE00.IN"/>
    <x v="27"/>
    <n v="76"/>
    <x v="3"/>
  </r>
  <r>
    <x v="48"/>
    <s v="SRB"/>
    <x v="3"/>
    <s v="SP.DYN.LE00.IN"/>
    <x v="28"/>
    <n v="76"/>
    <x v="3"/>
  </r>
  <r>
    <x v="48"/>
    <s v="SRB"/>
    <x v="3"/>
    <s v="SP.DYN.LE00.IN"/>
    <x v="29"/>
    <n v="76"/>
    <x v="3"/>
  </r>
  <r>
    <x v="48"/>
    <s v="SRB"/>
    <x v="3"/>
    <s v="SP.DYN.LE00.IN"/>
    <x v="30"/>
    <n v="74"/>
    <x v="3"/>
  </r>
  <r>
    <x v="48"/>
    <s v="SRB"/>
    <x v="3"/>
    <s v="SP.DYN.LE00.IN"/>
    <x v="31"/>
    <n v="73"/>
    <x v="6"/>
  </r>
  <r>
    <x v="48"/>
    <s v="SRB"/>
    <x v="3"/>
    <s v="SP.DYN.LE00.IN"/>
    <x v="32"/>
    <n v="75"/>
    <x v="6"/>
  </r>
  <r>
    <x v="48"/>
    <s v="SRB"/>
    <x v="3"/>
    <s v="SP.DYN.LE00.IN"/>
    <x v="33"/>
    <n v="76"/>
    <x v="6"/>
  </r>
  <r>
    <x v="49"/>
    <s v="SVK"/>
    <x v="3"/>
    <s v="SP.DYN.LE00.IN"/>
    <x v="55"/>
    <n v="70"/>
    <x v="6"/>
  </r>
  <r>
    <x v="49"/>
    <s v="SVK"/>
    <x v="3"/>
    <s v="SP.DYN.LE00.IN"/>
    <x v="56"/>
    <n v="71"/>
    <x v="6"/>
  </r>
  <r>
    <x v="49"/>
    <s v="SVK"/>
    <x v="3"/>
    <s v="SP.DYN.LE00.IN"/>
    <x v="57"/>
    <n v="70"/>
    <x v="6"/>
  </r>
  <r>
    <x v="49"/>
    <s v="SVK"/>
    <x v="3"/>
    <s v="SP.DYN.LE00.IN"/>
    <x v="58"/>
    <n v="71"/>
    <x v="6"/>
  </r>
  <r>
    <x v="49"/>
    <s v="SVK"/>
    <x v="3"/>
    <s v="SP.DYN.LE00.IN"/>
    <x v="59"/>
    <n v="71"/>
    <x v="6"/>
  </r>
  <r>
    <x v="49"/>
    <s v="SVK"/>
    <x v="3"/>
    <s v="SP.DYN.LE00.IN"/>
    <x v="60"/>
    <n v="70"/>
    <x v="6"/>
  </r>
  <r>
    <x v="49"/>
    <s v="SVK"/>
    <x v="3"/>
    <s v="SP.DYN.LE00.IN"/>
    <x v="61"/>
    <n v="70"/>
    <x v="6"/>
  </r>
  <r>
    <x v="49"/>
    <s v="SVK"/>
    <x v="3"/>
    <s v="SP.DYN.LE00.IN"/>
    <x v="62"/>
    <n v="71"/>
    <x v="4"/>
  </r>
  <r>
    <x v="49"/>
    <s v="SVK"/>
    <x v="3"/>
    <s v="SP.DYN.LE00.IN"/>
    <x v="63"/>
    <n v="70"/>
    <x v="4"/>
  </r>
  <r>
    <x v="49"/>
    <s v="SVK"/>
    <x v="3"/>
    <s v="SP.DYN.LE00.IN"/>
    <x v="64"/>
    <n v="70"/>
    <x v="4"/>
  </r>
  <r>
    <x v="49"/>
    <s v="SVK"/>
    <x v="3"/>
    <s v="SP.DYN.LE00.IN"/>
    <x v="34"/>
    <n v="70"/>
    <x v="4"/>
  </r>
  <r>
    <x v="49"/>
    <s v="SVK"/>
    <x v="3"/>
    <s v="SP.DYN.LE00.IN"/>
    <x v="35"/>
    <n v="70"/>
    <x v="4"/>
  </r>
  <r>
    <x v="49"/>
    <s v="SVK"/>
    <x v="3"/>
    <s v="SP.DYN.LE00.IN"/>
    <x v="36"/>
    <n v="70"/>
    <x v="4"/>
  </r>
  <r>
    <x v="49"/>
    <s v="SVK"/>
    <x v="3"/>
    <s v="SP.DYN.LE00.IN"/>
    <x v="37"/>
    <n v="70"/>
    <x v="4"/>
  </r>
  <r>
    <x v="49"/>
    <s v="SVK"/>
    <x v="3"/>
    <s v="SP.DYN.LE00.IN"/>
    <x v="38"/>
    <n v="70"/>
    <x v="4"/>
  </r>
  <r>
    <x v="49"/>
    <s v="SVK"/>
    <x v="3"/>
    <s v="SP.DYN.LE00.IN"/>
    <x v="39"/>
    <n v="70"/>
    <x v="4"/>
  </r>
  <r>
    <x v="49"/>
    <s v="SVK"/>
    <x v="3"/>
    <s v="SP.DYN.LE00.IN"/>
    <x v="40"/>
    <n v="70"/>
    <x v="4"/>
  </r>
  <r>
    <x v="49"/>
    <s v="SVK"/>
    <x v="3"/>
    <s v="SP.DYN.LE00.IN"/>
    <x v="41"/>
    <n v="70"/>
    <x v="5"/>
  </r>
  <r>
    <x v="49"/>
    <s v="SVK"/>
    <x v="3"/>
    <s v="SP.DYN.LE00.IN"/>
    <x v="42"/>
    <n v="70"/>
    <x v="5"/>
  </r>
  <r>
    <x v="49"/>
    <s v="SVK"/>
    <x v="3"/>
    <s v="SP.DYN.LE00.IN"/>
    <x v="43"/>
    <n v="71"/>
    <x v="5"/>
  </r>
  <r>
    <x v="49"/>
    <s v="SVK"/>
    <x v="3"/>
    <s v="SP.DYN.LE00.IN"/>
    <x v="44"/>
    <n v="70"/>
    <x v="5"/>
  </r>
  <r>
    <x v="49"/>
    <s v="SVK"/>
    <x v="3"/>
    <s v="SP.DYN.LE00.IN"/>
    <x v="45"/>
    <n v="71"/>
    <x v="5"/>
  </r>
  <r>
    <x v="49"/>
    <s v="SVK"/>
    <x v="3"/>
    <s v="SP.DYN.LE00.IN"/>
    <x v="46"/>
    <n v="71"/>
    <x v="5"/>
  </r>
  <r>
    <x v="49"/>
    <s v="SVK"/>
    <x v="3"/>
    <s v="SP.DYN.LE00.IN"/>
    <x v="47"/>
    <n v="70"/>
    <x v="5"/>
  </r>
  <r>
    <x v="49"/>
    <s v="SVK"/>
    <x v="3"/>
    <s v="SP.DYN.LE00.IN"/>
    <x v="48"/>
    <n v="71"/>
    <x v="5"/>
  </r>
  <r>
    <x v="49"/>
    <s v="SVK"/>
    <x v="3"/>
    <s v="SP.DYN.LE00.IN"/>
    <x v="49"/>
    <n v="71"/>
    <x v="5"/>
  </r>
  <r>
    <x v="49"/>
    <s v="SVK"/>
    <x v="3"/>
    <s v="SP.DYN.LE00.IN"/>
    <x v="50"/>
    <n v="71"/>
    <x v="5"/>
  </r>
  <r>
    <x v="49"/>
    <s v="SVK"/>
    <x v="3"/>
    <s v="SP.DYN.LE00.IN"/>
    <x v="51"/>
    <n v="71"/>
    <x v="0"/>
  </r>
  <r>
    <x v="49"/>
    <s v="SVK"/>
    <x v="3"/>
    <s v="SP.DYN.LE00.IN"/>
    <x v="52"/>
    <n v="71"/>
    <x v="0"/>
  </r>
  <r>
    <x v="49"/>
    <s v="SVK"/>
    <x v="3"/>
    <s v="SP.DYN.LE00.IN"/>
    <x v="53"/>
    <n v="71"/>
    <x v="0"/>
  </r>
  <r>
    <x v="49"/>
    <s v="SVK"/>
    <x v="3"/>
    <s v="SP.DYN.LE00.IN"/>
    <x v="0"/>
    <n v="71"/>
    <x v="0"/>
  </r>
  <r>
    <x v="49"/>
    <s v="SVK"/>
    <x v="3"/>
    <s v="SP.DYN.LE00.IN"/>
    <x v="1"/>
    <n v="71"/>
    <x v="0"/>
  </r>
  <r>
    <x v="49"/>
    <s v="SVK"/>
    <x v="3"/>
    <s v="SP.DYN.LE00.IN"/>
    <x v="2"/>
    <n v="72"/>
    <x v="0"/>
  </r>
  <r>
    <x v="49"/>
    <s v="SVK"/>
    <x v="3"/>
    <s v="SP.DYN.LE00.IN"/>
    <x v="3"/>
    <n v="72"/>
    <x v="0"/>
  </r>
  <r>
    <x v="49"/>
    <s v="SVK"/>
    <x v="3"/>
    <s v="SP.DYN.LE00.IN"/>
    <x v="4"/>
    <n v="72"/>
    <x v="0"/>
  </r>
  <r>
    <x v="49"/>
    <s v="SVK"/>
    <x v="3"/>
    <s v="SP.DYN.LE00.IN"/>
    <x v="5"/>
    <n v="72"/>
    <x v="0"/>
  </r>
  <r>
    <x v="49"/>
    <s v="SVK"/>
    <x v="3"/>
    <s v="SP.DYN.LE00.IN"/>
    <x v="6"/>
    <n v="73"/>
    <x v="0"/>
  </r>
  <r>
    <x v="49"/>
    <s v="SVK"/>
    <x v="3"/>
    <s v="SP.DYN.LE00.IN"/>
    <x v="7"/>
    <n v="73"/>
    <x v="1"/>
  </r>
  <r>
    <x v="49"/>
    <s v="SVK"/>
    <x v="3"/>
    <s v="SP.DYN.LE00.IN"/>
    <x v="8"/>
    <n v="73"/>
    <x v="1"/>
  </r>
  <r>
    <x v="49"/>
    <s v="SVK"/>
    <x v="3"/>
    <s v="SP.DYN.LE00.IN"/>
    <x v="9"/>
    <n v="73"/>
    <x v="1"/>
  </r>
  <r>
    <x v="49"/>
    <s v="SVK"/>
    <x v="3"/>
    <s v="SP.DYN.LE00.IN"/>
    <x v="10"/>
    <n v="73"/>
    <x v="1"/>
  </r>
  <r>
    <x v="49"/>
    <s v="SVK"/>
    <x v="3"/>
    <s v="SP.DYN.LE00.IN"/>
    <x v="11"/>
    <n v="73"/>
    <x v="1"/>
  </r>
  <r>
    <x v="49"/>
    <s v="SVK"/>
    <x v="3"/>
    <s v="SP.DYN.LE00.IN"/>
    <x v="12"/>
    <n v="74"/>
    <x v="1"/>
  </r>
  <r>
    <x v="49"/>
    <s v="SVK"/>
    <x v="3"/>
    <s v="SP.DYN.LE00.IN"/>
    <x v="13"/>
    <n v="74"/>
    <x v="1"/>
  </r>
  <r>
    <x v="49"/>
    <s v="SVK"/>
    <x v="3"/>
    <s v="SP.DYN.LE00.IN"/>
    <x v="14"/>
    <n v="74"/>
    <x v="1"/>
  </r>
  <r>
    <x v="49"/>
    <s v="SVK"/>
    <x v="3"/>
    <s v="SP.DYN.LE00.IN"/>
    <x v="15"/>
    <n v="74"/>
    <x v="1"/>
  </r>
  <r>
    <x v="49"/>
    <s v="SVK"/>
    <x v="3"/>
    <s v="SP.DYN.LE00.IN"/>
    <x v="16"/>
    <n v="74"/>
    <x v="1"/>
  </r>
  <r>
    <x v="49"/>
    <s v="SVK"/>
    <x v="3"/>
    <s v="SP.DYN.LE00.IN"/>
    <x v="17"/>
    <n v="74"/>
    <x v="2"/>
  </r>
  <r>
    <x v="49"/>
    <s v="SVK"/>
    <x v="3"/>
    <s v="SP.DYN.LE00.IN"/>
    <x v="18"/>
    <n v="75"/>
    <x v="2"/>
  </r>
  <r>
    <x v="49"/>
    <s v="SVK"/>
    <x v="3"/>
    <s v="SP.DYN.LE00.IN"/>
    <x v="19"/>
    <n v="75"/>
    <x v="2"/>
  </r>
  <r>
    <x v="49"/>
    <s v="SVK"/>
    <x v="3"/>
    <s v="SP.DYN.LE00.IN"/>
    <x v="20"/>
    <n v="75"/>
    <x v="2"/>
  </r>
  <r>
    <x v="49"/>
    <s v="SVK"/>
    <x v="3"/>
    <s v="SP.DYN.LE00.IN"/>
    <x v="21"/>
    <n v="76"/>
    <x v="2"/>
  </r>
  <r>
    <x v="49"/>
    <s v="SVK"/>
    <x v="3"/>
    <s v="SP.DYN.LE00.IN"/>
    <x v="22"/>
    <n v="76"/>
    <x v="2"/>
  </r>
  <r>
    <x v="49"/>
    <s v="SVK"/>
    <x v="3"/>
    <s v="SP.DYN.LE00.IN"/>
    <x v="23"/>
    <n v="76"/>
    <x v="2"/>
  </r>
  <r>
    <x v="49"/>
    <s v="SVK"/>
    <x v="3"/>
    <s v="SP.DYN.LE00.IN"/>
    <x v="24"/>
    <n v="77"/>
    <x v="2"/>
  </r>
  <r>
    <x v="49"/>
    <s v="SVK"/>
    <x v="3"/>
    <s v="SP.DYN.LE00.IN"/>
    <x v="25"/>
    <n v="77"/>
    <x v="2"/>
  </r>
  <r>
    <x v="49"/>
    <s v="SVK"/>
    <x v="3"/>
    <s v="SP.DYN.LE00.IN"/>
    <x v="26"/>
    <n v="77"/>
    <x v="2"/>
  </r>
  <r>
    <x v="49"/>
    <s v="SVK"/>
    <x v="3"/>
    <s v="SP.DYN.LE00.IN"/>
    <x v="27"/>
    <n v="77"/>
    <x v="3"/>
  </r>
  <r>
    <x v="49"/>
    <s v="SVK"/>
    <x v="3"/>
    <s v="SP.DYN.LE00.IN"/>
    <x v="28"/>
    <n v="77"/>
    <x v="3"/>
  </r>
  <r>
    <x v="49"/>
    <s v="SVK"/>
    <x v="3"/>
    <s v="SP.DYN.LE00.IN"/>
    <x v="29"/>
    <n v="78"/>
    <x v="3"/>
  </r>
  <r>
    <x v="49"/>
    <s v="SVK"/>
    <x v="3"/>
    <s v="SP.DYN.LE00.IN"/>
    <x v="30"/>
    <n v="77"/>
    <x v="3"/>
  </r>
  <r>
    <x v="49"/>
    <s v="SVK"/>
    <x v="3"/>
    <s v="SP.DYN.LE00.IN"/>
    <x v="31"/>
    <n v="75"/>
    <x v="6"/>
  </r>
  <r>
    <x v="49"/>
    <s v="SVK"/>
    <x v="3"/>
    <s v="SP.DYN.LE00.IN"/>
    <x v="32"/>
    <n v="77"/>
    <x v="6"/>
  </r>
  <r>
    <x v="49"/>
    <s v="SVK"/>
    <x v="3"/>
    <s v="SP.DYN.LE00.IN"/>
    <x v="33"/>
    <n v="78"/>
    <x v="6"/>
  </r>
  <r>
    <x v="50"/>
    <s v="SVN"/>
    <x v="3"/>
    <s v="SP.DYN.LE00.IN"/>
    <x v="55"/>
    <n v="69"/>
    <x v="6"/>
  </r>
  <r>
    <x v="50"/>
    <s v="SVN"/>
    <x v="3"/>
    <s v="SP.DYN.LE00.IN"/>
    <x v="56"/>
    <n v="69"/>
    <x v="6"/>
  </r>
  <r>
    <x v="50"/>
    <s v="SVN"/>
    <x v="3"/>
    <s v="SP.DYN.LE00.IN"/>
    <x v="57"/>
    <n v="69"/>
    <x v="6"/>
  </r>
  <r>
    <x v="50"/>
    <s v="SVN"/>
    <x v="3"/>
    <s v="SP.DYN.LE00.IN"/>
    <x v="58"/>
    <n v="69"/>
    <x v="6"/>
  </r>
  <r>
    <x v="50"/>
    <s v="SVN"/>
    <x v="3"/>
    <s v="SP.DYN.LE00.IN"/>
    <x v="59"/>
    <n v="69"/>
    <x v="6"/>
  </r>
  <r>
    <x v="50"/>
    <s v="SVN"/>
    <x v="3"/>
    <s v="SP.DYN.LE00.IN"/>
    <x v="60"/>
    <n v="68"/>
    <x v="6"/>
  </r>
  <r>
    <x v="50"/>
    <s v="SVN"/>
    <x v="3"/>
    <s v="SP.DYN.LE00.IN"/>
    <x v="61"/>
    <n v="69"/>
    <x v="6"/>
  </r>
  <r>
    <x v="50"/>
    <s v="SVN"/>
    <x v="3"/>
    <s v="SP.DYN.LE00.IN"/>
    <x v="62"/>
    <n v="69"/>
    <x v="4"/>
  </r>
  <r>
    <x v="50"/>
    <s v="SVN"/>
    <x v="3"/>
    <s v="SP.DYN.LE00.IN"/>
    <x v="63"/>
    <n v="69"/>
    <x v="4"/>
  </r>
  <r>
    <x v="50"/>
    <s v="SVN"/>
    <x v="3"/>
    <s v="SP.DYN.LE00.IN"/>
    <x v="64"/>
    <n v="68"/>
    <x v="4"/>
  </r>
  <r>
    <x v="50"/>
    <s v="SVN"/>
    <x v="3"/>
    <s v="SP.DYN.LE00.IN"/>
    <x v="34"/>
    <n v="69"/>
    <x v="4"/>
  </r>
  <r>
    <x v="50"/>
    <s v="SVN"/>
    <x v="3"/>
    <s v="SP.DYN.LE00.IN"/>
    <x v="35"/>
    <n v="69"/>
    <x v="4"/>
  </r>
  <r>
    <x v="50"/>
    <s v="SVN"/>
    <x v="3"/>
    <s v="SP.DYN.LE00.IN"/>
    <x v="36"/>
    <n v="69"/>
    <x v="4"/>
  </r>
  <r>
    <x v="50"/>
    <s v="SVN"/>
    <x v="3"/>
    <s v="SP.DYN.LE00.IN"/>
    <x v="37"/>
    <n v="69"/>
    <x v="4"/>
  </r>
  <r>
    <x v="50"/>
    <s v="SVN"/>
    <x v="3"/>
    <s v="SP.DYN.LE00.IN"/>
    <x v="38"/>
    <n v="70"/>
    <x v="4"/>
  </r>
  <r>
    <x v="50"/>
    <s v="SVN"/>
    <x v="3"/>
    <s v="SP.DYN.LE00.IN"/>
    <x v="39"/>
    <n v="70"/>
    <x v="4"/>
  </r>
  <r>
    <x v="50"/>
    <s v="SVN"/>
    <x v="3"/>
    <s v="SP.DYN.LE00.IN"/>
    <x v="40"/>
    <n v="70"/>
    <x v="4"/>
  </r>
  <r>
    <x v="50"/>
    <s v="SVN"/>
    <x v="3"/>
    <s v="SP.DYN.LE00.IN"/>
    <x v="41"/>
    <n v="71"/>
    <x v="5"/>
  </r>
  <r>
    <x v="50"/>
    <s v="SVN"/>
    <x v="3"/>
    <s v="SP.DYN.LE00.IN"/>
    <x v="42"/>
    <n v="71"/>
    <x v="5"/>
  </r>
  <r>
    <x v="50"/>
    <s v="SVN"/>
    <x v="3"/>
    <s v="SP.DYN.LE00.IN"/>
    <x v="43"/>
    <n v="71"/>
    <x v="5"/>
  </r>
  <r>
    <x v="50"/>
    <s v="SVN"/>
    <x v="3"/>
    <s v="SP.DYN.LE00.IN"/>
    <x v="44"/>
    <n v="71"/>
    <x v="5"/>
  </r>
  <r>
    <x v="50"/>
    <s v="SVN"/>
    <x v="3"/>
    <s v="SP.DYN.LE00.IN"/>
    <x v="45"/>
    <n v="71"/>
    <x v="5"/>
  </r>
  <r>
    <x v="50"/>
    <s v="SVN"/>
    <x v="3"/>
    <s v="SP.DYN.LE00.IN"/>
    <x v="46"/>
    <n v="71"/>
    <x v="5"/>
  </r>
  <r>
    <x v="50"/>
    <s v="SVN"/>
    <x v="3"/>
    <s v="SP.DYN.LE00.IN"/>
    <x v="47"/>
    <n v="71"/>
    <x v="5"/>
  </r>
  <r>
    <x v="50"/>
    <s v="SVN"/>
    <x v="3"/>
    <s v="SP.DYN.LE00.IN"/>
    <x v="48"/>
    <n v="71"/>
    <x v="5"/>
  </r>
  <r>
    <x v="50"/>
    <s v="SVN"/>
    <x v="3"/>
    <s v="SP.DYN.LE00.IN"/>
    <x v="49"/>
    <n v="71"/>
    <x v="5"/>
  </r>
  <r>
    <x v="50"/>
    <s v="SVN"/>
    <x v="3"/>
    <s v="SP.DYN.LE00.IN"/>
    <x v="50"/>
    <n v="72"/>
    <x v="5"/>
  </r>
  <r>
    <x v="50"/>
    <s v="SVN"/>
    <x v="3"/>
    <s v="SP.DYN.LE00.IN"/>
    <x v="51"/>
    <n v="72"/>
    <x v="0"/>
  </r>
  <r>
    <x v="50"/>
    <s v="SVN"/>
    <x v="3"/>
    <s v="SP.DYN.LE00.IN"/>
    <x v="52"/>
    <n v="72"/>
    <x v="0"/>
  </r>
  <r>
    <x v="50"/>
    <s v="SVN"/>
    <x v="3"/>
    <s v="SP.DYN.LE00.IN"/>
    <x v="53"/>
    <n v="73"/>
    <x v="0"/>
  </r>
  <r>
    <x v="50"/>
    <s v="SVN"/>
    <x v="3"/>
    <s v="SP.DYN.LE00.IN"/>
    <x v="0"/>
    <n v="73"/>
    <x v="0"/>
  </r>
  <r>
    <x v="50"/>
    <s v="SVN"/>
    <x v="3"/>
    <s v="SP.DYN.LE00.IN"/>
    <x v="1"/>
    <n v="73"/>
    <x v="0"/>
  </r>
  <r>
    <x v="50"/>
    <s v="SVN"/>
    <x v="3"/>
    <s v="SP.DYN.LE00.IN"/>
    <x v="2"/>
    <n v="73"/>
    <x v="0"/>
  </r>
  <r>
    <x v="50"/>
    <s v="SVN"/>
    <x v="3"/>
    <s v="SP.DYN.LE00.IN"/>
    <x v="3"/>
    <n v="73"/>
    <x v="0"/>
  </r>
  <r>
    <x v="50"/>
    <s v="SVN"/>
    <x v="3"/>
    <s v="SP.DYN.LE00.IN"/>
    <x v="4"/>
    <n v="73"/>
    <x v="0"/>
  </r>
  <r>
    <x v="50"/>
    <s v="SVN"/>
    <x v="3"/>
    <s v="SP.DYN.LE00.IN"/>
    <x v="5"/>
    <n v="74"/>
    <x v="0"/>
  </r>
  <r>
    <x v="50"/>
    <s v="SVN"/>
    <x v="3"/>
    <s v="SP.DYN.LE00.IN"/>
    <x v="6"/>
    <n v="74"/>
    <x v="0"/>
  </r>
  <r>
    <x v="50"/>
    <s v="SVN"/>
    <x v="3"/>
    <s v="SP.DYN.LE00.IN"/>
    <x v="7"/>
    <n v="75"/>
    <x v="1"/>
  </r>
  <r>
    <x v="50"/>
    <s v="SVN"/>
    <x v="3"/>
    <s v="SP.DYN.LE00.IN"/>
    <x v="8"/>
    <n v="75"/>
    <x v="1"/>
  </r>
  <r>
    <x v="50"/>
    <s v="SVN"/>
    <x v="3"/>
    <s v="SP.DYN.LE00.IN"/>
    <x v="9"/>
    <n v="75"/>
    <x v="1"/>
  </r>
  <r>
    <x v="50"/>
    <s v="SVN"/>
    <x v="3"/>
    <s v="SP.DYN.LE00.IN"/>
    <x v="10"/>
    <n v="75"/>
    <x v="1"/>
  </r>
  <r>
    <x v="50"/>
    <s v="SVN"/>
    <x v="3"/>
    <s v="SP.DYN.LE00.IN"/>
    <x v="11"/>
    <n v="76"/>
    <x v="1"/>
  </r>
  <r>
    <x v="50"/>
    <s v="SVN"/>
    <x v="3"/>
    <s v="SP.DYN.LE00.IN"/>
    <x v="12"/>
    <n v="76"/>
    <x v="1"/>
  </r>
  <r>
    <x v="50"/>
    <s v="SVN"/>
    <x v="3"/>
    <s v="SP.DYN.LE00.IN"/>
    <x v="13"/>
    <n v="77"/>
    <x v="1"/>
  </r>
  <r>
    <x v="50"/>
    <s v="SVN"/>
    <x v="3"/>
    <s v="SP.DYN.LE00.IN"/>
    <x v="14"/>
    <n v="77"/>
    <x v="1"/>
  </r>
  <r>
    <x v="50"/>
    <s v="SVN"/>
    <x v="3"/>
    <s v="SP.DYN.LE00.IN"/>
    <x v="15"/>
    <n v="78"/>
    <x v="1"/>
  </r>
  <r>
    <x v="50"/>
    <s v="SVN"/>
    <x v="3"/>
    <s v="SP.DYN.LE00.IN"/>
    <x v="16"/>
    <n v="78"/>
    <x v="1"/>
  </r>
  <r>
    <x v="50"/>
    <s v="SVN"/>
    <x v="3"/>
    <s v="SP.DYN.LE00.IN"/>
    <x v="17"/>
    <n v="79"/>
    <x v="2"/>
  </r>
  <r>
    <x v="50"/>
    <s v="SVN"/>
    <x v="3"/>
    <s v="SP.DYN.LE00.IN"/>
    <x v="18"/>
    <n v="79"/>
    <x v="2"/>
  </r>
  <r>
    <x v="50"/>
    <s v="SVN"/>
    <x v="3"/>
    <s v="SP.DYN.LE00.IN"/>
    <x v="19"/>
    <n v="79"/>
    <x v="2"/>
  </r>
  <r>
    <x v="50"/>
    <s v="SVN"/>
    <x v="3"/>
    <s v="SP.DYN.LE00.IN"/>
    <x v="20"/>
    <n v="79"/>
    <x v="2"/>
  </r>
  <r>
    <x v="50"/>
    <s v="SVN"/>
    <x v="3"/>
    <s v="SP.DYN.LE00.IN"/>
    <x v="21"/>
    <n v="80"/>
    <x v="2"/>
  </r>
  <r>
    <x v="50"/>
    <s v="SVN"/>
    <x v="3"/>
    <s v="SP.DYN.LE00.IN"/>
    <x v="22"/>
    <n v="80"/>
    <x v="2"/>
  </r>
  <r>
    <x v="50"/>
    <s v="SVN"/>
    <x v="3"/>
    <s v="SP.DYN.LE00.IN"/>
    <x v="23"/>
    <n v="80"/>
    <x v="2"/>
  </r>
  <r>
    <x v="50"/>
    <s v="SVN"/>
    <x v="3"/>
    <s v="SP.DYN.LE00.IN"/>
    <x v="24"/>
    <n v="81"/>
    <x v="2"/>
  </r>
  <r>
    <x v="50"/>
    <s v="SVN"/>
    <x v="3"/>
    <s v="SP.DYN.LE00.IN"/>
    <x v="25"/>
    <n v="81"/>
    <x v="2"/>
  </r>
  <r>
    <x v="50"/>
    <s v="SVN"/>
    <x v="3"/>
    <s v="SP.DYN.LE00.IN"/>
    <x v="26"/>
    <n v="81"/>
    <x v="2"/>
  </r>
  <r>
    <x v="50"/>
    <s v="SVN"/>
    <x v="3"/>
    <s v="SP.DYN.LE00.IN"/>
    <x v="27"/>
    <n v="81"/>
    <x v="3"/>
  </r>
  <r>
    <x v="50"/>
    <s v="SVN"/>
    <x v="3"/>
    <s v="SP.DYN.LE00.IN"/>
    <x v="28"/>
    <n v="81"/>
    <x v="3"/>
  </r>
  <r>
    <x v="50"/>
    <s v="SVN"/>
    <x v="3"/>
    <s v="SP.DYN.LE00.IN"/>
    <x v="29"/>
    <n v="82"/>
    <x v="3"/>
  </r>
  <r>
    <x v="50"/>
    <s v="SVN"/>
    <x v="3"/>
    <s v="SP.DYN.LE00.IN"/>
    <x v="30"/>
    <n v="81"/>
    <x v="3"/>
  </r>
  <r>
    <x v="50"/>
    <s v="SVN"/>
    <x v="3"/>
    <s v="SP.DYN.LE00.IN"/>
    <x v="31"/>
    <n v="81"/>
    <x v="6"/>
  </r>
  <r>
    <x v="50"/>
    <s v="SVN"/>
    <x v="3"/>
    <s v="SP.DYN.LE00.IN"/>
    <x v="32"/>
    <n v="81"/>
    <x v="6"/>
  </r>
  <r>
    <x v="50"/>
    <s v="SVN"/>
    <x v="3"/>
    <s v="SP.DYN.LE00.IN"/>
    <x v="33"/>
    <n v="82"/>
    <x v="6"/>
  </r>
  <r>
    <x v="51"/>
    <s v="SWE"/>
    <x v="3"/>
    <s v="SP.DYN.LE00.IN"/>
    <x v="55"/>
    <n v="73"/>
    <x v="6"/>
  </r>
  <r>
    <x v="51"/>
    <s v="SWE"/>
    <x v="3"/>
    <s v="SP.DYN.LE00.IN"/>
    <x v="56"/>
    <n v="73"/>
    <x v="6"/>
  </r>
  <r>
    <x v="51"/>
    <s v="SWE"/>
    <x v="3"/>
    <s v="SP.DYN.LE00.IN"/>
    <x v="57"/>
    <n v="73"/>
    <x v="6"/>
  </r>
  <r>
    <x v="51"/>
    <s v="SWE"/>
    <x v="3"/>
    <s v="SP.DYN.LE00.IN"/>
    <x v="58"/>
    <n v="74"/>
    <x v="6"/>
  </r>
  <r>
    <x v="51"/>
    <s v="SWE"/>
    <x v="3"/>
    <s v="SP.DYN.LE00.IN"/>
    <x v="59"/>
    <n v="74"/>
    <x v="6"/>
  </r>
  <r>
    <x v="51"/>
    <s v="SWE"/>
    <x v="3"/>
    <s v="SP.DYN.LE00.IN"/>
    <x v="60"/>
    <n v="74"/>
    <x v="6"/>
  </r>
  <r>
    <x v="51"/>
    <s v="SWE"/>
    <x v="3"/>
    <s v="SP.DYN.LE00.IN"/>
    <x v="61"/>
    <n v="74"/>
    <x v="6"/>
  </r>
  <r>
    <x v="51"/>
    <s v="SWE"/>
    <x v="3"/>
    <s v="SP.DYN.LE00.IN"/>
    <x v="62"/>
    <n v="74"/>
    <x v="4"/>
  </r>
  <r>
    <x v="51"/>
    <s v="SWE"/>
    <x v="3"/>
    <s v="SP.DYN.LE00.IN"/>
    <x v="63"/>
    <n v="74"/>
    <x v="4"/>
  </r>
  <r>
    <x v="51"/>
    <s v="SWE"/>
    <x v="3"/>
    <s v="SP.DYN.LE00.IN"/>
    <x v="64"/>
    <n v="74"/>
    <x v="4"/>
  </r>
  <r>
    <x v="51"/>
    <s v="SWE"/>
    <x v="3"/>
    <s v="SP.DYN.LE00.IN"/>
    <x v="34"/>
    <n v="75"/>
    <x v="4"/>
  </r>
  <r>
    <x v="51"/>
    <s v="SWE"/>
    <x v="3"/>
    <s v="SP.DYN.LE00.IN"/>
    <x v="35"/>
    <n v="75"/>
    <x v="4"/>
  </r>
  <r>
    <x v="51"/>
    <s v="SWE"/>
    <x v="3"/>
    <s v="SP.DYN.LE00.IN"/>
    <x v="36"/>
    <n v="75"/>
    <x v="4"/>
  </r>
  <r>
    <x v="51"/>
    <s v="SWE"/>
    <x v="3"/>
    <s v="SP.DYN.LE00.IN"/>
    <x v="37"/>
    <n v="75"/>
    <x v="4"/>
  </r>
  <r>
    <x v="51"/>
    <s v="SWE"/>
    <x v="3"/>
    <s v="SP.DYN.LE00.IN"/>
    <x v="38"/>
    <n v="75"/>
    <x v="4"/>
  </r>
  <r>
    <x v="51"/>
    <s v="SWE"/>
    <x v="3"/>
    <s v="SP.DYN.LE00.IN"/>
    <x v="39"/>
    <n v="75"/>
    <x v="4"/>
  </r>
  <r>
    <x v="51"/>
    <s v="SWE"/>
    <x v="3"/>
    <s v="SP.DYN.LE00.IN"/>
    <x v="40"/>
    <n v="75"/>
    <x v="4"/>
  </r>
  <r>
    <x v="51"/>
    <s v="SWE"/>
    <x v="3"/>
    <s v="SP.DYN.LE00.IN"/>
    <x v="41"/>
    <n v="75"/>
    <x v="5"/>
  </r>
  <r>
    <x v="51"/>
    <s v="SWE"/>
    <x v="3"/>
    <s v="SP.DYN.LE00.IN"/>
    <x v="42"/>
    <n v="75"/>
    <x v="5"/>
  </r>
  <r>
    <x v="51"/>
    <s v="SWE"/>
    <x v="3"/>
    <s v="SP.DYN.LE00.IN"/>
    <x v="43"/>
    <n v="76"/>
    <x v="5"/>
  </r>
  <r>
    <x v="51"/>
    <s v="SWE"/>
    <x v="3"/>
    <s v="SP.DYN.LE00.IN"/>
    <x v="44"/>
    <n v="76"/>
    <x v="5"/>
  </r>
  <r>
    <x v="51"/>
    <s v="SWE"/>
    <x v="3"/>
    <s v="SP.DYN.LE00.IN"/>
    <x v="45"/>
    <n v="76"/>
    <x v="5"/>
  </r>
  <r>
    <x v="51"/>
    <s v="SWE"/>
    <x v="3"/>
    <s v="SP.DYN.LE00.IN"/>
    <x v="46"/>
    <n v="76"/>
    <x v="5"/>
  </r>
  <r>
    <x v="51"/>
    <s v="SWE"/>
    <x v="3"/>
    <s v="SP.DYN.LE00.IN"/>
    <x v="47"/>
    <n v="77"/>
    <x v="5"/>
  </r>
  <r>
    <x v="51"/>
    <s v="SWE"/>
    <x v="3"/>
    <s v="SP.DYN.LE00.IN"/>
    <x v="48"/>
    <n v="77"/>
    <x v="5"/>
  </r>
  <r>
    <x v="51"/>
    <s v="SWE"/>
    <x v="3"/>
    <s v="SP.DYN.LE00.IN"/>
    <x v="49"/>
    <n v="77"/>
    <x v="5"/>
  </r>
  <r>
    <x v="51"/>
    <s v="SWE"/>
    <x v="3"/>
    <s v="SP.DYN.LE00.IN"/>
    <x v="50"/>
    <n v="77"/>
    <x v="5"/>
  </r>
  <r>
    <x v="51"/>
    <s v="SWE"/>
    <x v="3"/>
    <s v="SP.DYN.LE00.IN"/>
    <x v="51"/>
    <n v="77"/>
    <x v="0"/>
  </r>
  <r>
    <x v="51"/>
    <s v="SWE"/>
    <x v="3"/>
    <s v="SP.DYN.LE00.IN"/>
    <x v="52"/>
    <n v="77"/>
    <x v="0"/>
  </r>
  <r>
    <x v="51"/>
    <s v="SWE"/>
    <x v="3"/>
    <s v="SP.DYN.LE00.IN"/>
    <x v="53"/>
    <n v="78"/>
    <x v="0"/>
  </r>
  <r>
    <x v="51"/>
    <s v="SWE"/>
    <x v="3"/>
    <s v="SP.DYN.LE00.IN"/>
    <x v="0"/>
    <n v="78"/>
    <x v="0"/>
  </r>
  <r>
    <x v="51"/>
    <s v="SWE"/>
    <x v="3"/>
    <s v="SP.DYN.LE00.IN"/>
    <x v="1"/>
    <n v="78"/>
    <x v="0"/>
  </r>
  <r>
    <x v="51"/>
    <s v="SWE"/>
    <x v="3"/>
    <s v="SP.DYN.LE00.IN"/>
    <x v="2"/>
    <n v="78"/>
    <x v="0"/>
  </r>
  <r>
    <x v="51"/>
    <s v="SWE"/>
    <x v="3"/>
    <s v="SP.DYN.LE00.IN"/>
    <x v="3"/>
    <n v="78"/>
    <x v="0"/>
  </r>
  <r>
    <x v="51"/>
    <s v="SWE"/>
    <x v="3"/>
    <s v="SP.DYN.LE00.IN"/>
    <x v="4"/>
    <n v="79"/>
    <x v="0"/>
  </r>
  <r>
    <x v="51"/>
    <s v="SWE"/>
    <x v="3"/>
    <s v="SP.DYN.LE00.IN"/>
    <x v="5"/>
    <n v="79"/>
    <x v="0"/>
  </r>
  <r>
    <x v="51"/>
    <s v="SWE"/>
    <x v="3"/>
    <s v="SP.DYN.LE00.IN"/>
    <x v="6"/>
    <n v="79"/>
    <x v="0"/>
  </r>
  <r>
    <x v="51"/>
    <s v="SWE"/>
    <x v="3"/>
    <s v="SP.DYN.LE00.IN"/>
    <x v="7"/>
    <n v="79"/>
    <x v="1"/>
  </r>
  <r>
    <x v="51"/>
    <s v="SWE"/>
    <x v="3"/>
    <s v="SP.DYN.LE00.IN"/>
    <x v="8"/>
    <n v="79"/>
    <x v="1"/>
  </r>
  <r>
    <x v="51"/>
    <s v="SWE"/>
    <x v="3"/>
    <s v="SP.DYN.LE00.IN"/>
    <x v="9"/>
    <n v="79"/>
    <x v="1"/>
  </r>
  <r>
    <x v="51"/>
    <s v="SWE"/>
    <x v="3"/>
    <s v="SP.DYN.LE00.IN"/>
    <x v="10"/>
    <n v="80"/>
    <x v="1"/>
  </r>
  <r>
    <x v="51"/>
    <s v="SWE"/>
    <x v="3"/>
    <s v="SP.DYN.LE00.IN"/>
    <x v="11"/>
    <n v="80"/>
    <x v="1"/>
  </r>
  <r>
    <x v="51"/>
    <s v="SWE"/>
    <x v="3"/>
    <s v="SP.DYN.LE00.IN"/>
    <x v="12"/>
    <n v="80"/>
    <x v="1"/>
  </r>
  <r>
    <x v="51"/>
    <s v="SWE"/>
    <x v="3"/>
    <s v="SP.DYN.LE00.IN"/>
    <x v="13"/>
    <n v="80"/>
    <x v="1"/>
  </r>
  <r>
    <x v="51"/>
    <s v="SWE"/>
    <x v="3"/>
    <s v="SP.DYN.LE00.IN"/>
    <x v="14"/>
    <n v="80"/>
    <x v="1"/>
  </r>
  <r>
    <x v="51"/>
    <s v="SWE"/>
    <x v="3"/>
    <s v="SP.DYN.LE00.IN"/>
    <x v="15"/>
    <n v="81"/>
    <x v="1"/>
  </r>
  <r>
    <x v="51"/>
    <s v="SWE"/>
    <x v="3"/>
    <s v="SP.DYN.LE00.IN"/>
    <x v="16"/>
    <n v="81"/>
    <x v="1"/>
  </r>
  <r>
    <x v="51"/>
    <s v="SWE"/>
    <x v="3"/>
    <s v="SP.DYN.LE00.IN"/>
    <x v="17"/>
    <n v="81"/>
    <x v="2"/>
  </r>
  <r>
    <x v="51"/>
    <s v="SWE"/>
    <x v="3"/>
    <s v="SP.DYN.LE00.IN"/>
    <x v="18"/>
    <n v="81"/>
    <x v="2"/>
  </r>
  <r>
    <x v="51"/>
    <s v="SWE"/>
    <x v="3"/>
    <s v="SP.DYN.LE00.IN"/>
    <x v="19"/>
    <n v="81"/>
    <x v="2"/>
  </r>
  <r>
    <x v="51"/>
    <s v="SWE"/>
    <x v="3"/>
    <s v="SP.DYN.LE00.IN"/>
    <x v="20"/>
    <n v="81"/>
    <x v="2"/>
  </r>
  <r>
    <x v="51"/>
    <s v="SWE"/>
    <x v="3"/>
    <s v="SP.DYN.LE00.IN"/>
    <x v="21"/>
    <n v="82"/>
    <x v="2"/>
  </r>
  <r>
    <x v="51"/>
    <s v="SWE"/>
    <x v="3"/>
    <s v="SP.DYN.LE00.IN"/>
    <x v="22"/>
    <n v="82"/>
    <x v="2"/>
  </r>
  <r>
    <x v="51"/>
    <s v="SWE"/>
    <x v="3"/>
    <s v="SP.DYN.LE00.IN"/>
    <x v="23"/>
    <n v="82"/>
    <x v="2"/>
  </r>
  <r>
    <x v="51"/>
    <s v="SWE"/>
    <x v="3"/>
    <s v="SP.DYN.LE00.IN"/>
    <x v="24"/>
    <n v="82"/>
    <x v="2"/>
  </r>
  <r>
    <x v="51"/>
    <s v="SWE"/>
    <x v="3"/>
    <s v="SP.DYN.LE00.IN"/>
    <x v="25"/>
    <n v="82"/>
    <x v="2"/>
  </r>
  <r>
    <x v="51"/>
    <s v="SWE"/>
    <x v="3"/>
    <s v="SP.DYN.LE00.IN"/>
    <x v="26"/>
    <n v="82"/>
    <x v="2"/>
  </r>
  <r>
    <x v="51"/>
    <s v="SWE"/>
    <x v="3"/>
    <s v="SP.DYN.LE00.IN"/>
    <x v="27"/>
    <n v="82"/>
    <x v="3"/>
  </r>
  <r>
    <x v="51"/>
    <s v="SWE"/>
    <x v="3"/>
    <s v="SP.DYN.LE00.IN"/>
    <x v="28"/>
    <n v="83"/>
    <x v="3"/>
  </r>
  <r>
    <x v="51"/>
    <s v="SWE"/>
    <x v="3"/>
    <s v="SP.DYN.LE00.IN"/>
    <x v="29"/>
    <n v="83"/>
    <x v="3"/>
  </r>
  <r>
    <x v="51"/>
    <s v="SWE"/>
    <x v="3"/>
    <s v="SP.DYN.LE00.IN"/>
    <x v="30"/>
    <n v="82"/>
    <x v="3"/>
  </r>
  <r>
    <x v="51"/>
    <s v="SWE"/>
    <x v="3"/>
    <s v="SP.DYN.LE00.IN"/>
    <x v="31"/>
    <n v="83"/>
    <x v="6"/>
  </r>
  <r>
    <x v="51"/>
    <s v="SWE"/>
    <x v="3"/>
    <s v="SP.DYN.LE00.IN"/>
    <x v="32"/>
    <n v="83"/>
    <x v="6"/>
  </r>
  <r>
    <x v="51"/>
    <s v="SWE"/>
    <x v="3"/>
    <s v="SP.DYN.LE00.IN"/>
    <x v="33"/>
    <n v="83"/>
    <x v="6"/>
  </r>
  <r>
    <x v="52"/>
    <s v="TJK"/>
    <x v="3"/>
    <s v="SP.DYN.LE00.IN"/>
    <x v="55"/>
    <n v="53"/>
    <x v="6"/>
  </r>
  <r>
    <x v="52"/>
    <s v="TJK"/>
    <x v="3"/>
    <s v="SP.DYN.LE00.IN"/>
    <x v="56"/>
    <n v="53"/>
    <x v="6"/>
  </r>
  <r>
    <x v="52"/>
    <s v="TJK"/>
    <x v="3"/>
    <s v="SP.DYN.LE00.IN"/>
    <x v="57"/>
    <n v="53"/>
    <x v="6"/>
  </r>
  <r>
    <x v="52"/>
    <s v="TJK"/>
    <x v="3"/>
    <s v="SP.DYN.LE00.IN"/>
    <x v="58"/>
    <n v="54"/>
    <x v="6"/>
  </r>
  <r>
    <x v="52"/>
    <s v="TJK"/>
    <x v="3"/>
    <s v="SP.DYN.LE00.IN"/>
    <x v="59"/>
    <n v="54"/>
    <x v="6"/>
  </r>
  <r>
    <x v="52"/>
    <s v="TJK"/>
    <x v="3"/>
    <s v="SP.DYN.LE00.IN"/>
    <x v="60"/>
    <n v="55"/>
    <x v="6"/>
  </r>
  <r>
    <x v="52"/>
    <s v="TJK"/>
    <x v="3"/>
    <s v="SP.DYN.LE00.IN"/>
    <x v="61"/>
    <n v="55"/>
    <x v="6"/>
  </r>
  <r>
    <x v="52"/>
    <s v="TJK"/>
    <x v="3"/>
    <s v="SP.DYN.LE00.IN"/>
    <x v="62"/>
    <n v="55"/>
    <x v="4"/>
  </r>
  <r>
    <x v="52"/>
    <s v="TJK"/>
    <x v="3"/>
    <s v="SP.DYN.LE00.IN"/>
    <x v="63"/>
    <n v="56"/>
    <x v="4"/>
  </r>
  <r>
    <x v="52"/>
    <s v="TJK"/>
    <x v="3"/>
    <s v="SP.DYN.LE00.IN"/>
    <x v="64"/>
    <n v="56"/>
    <x v="4"/>
  </r>
  <r>
    <x v="52"/>
    <s v="TJK"/>
    <x v="3"/>
    <s v="SP.DYN.LE00.IN"/>
    <x v="34"/>
    <n v="57"/>
    <x v="4"/>
  </r>
  <r>
    <x v="52"/>
    <s v="TJK"/>
    <x v="3"/>
    <s v="SP.DYN.LE00.IN"/>
    <x v="35"/>
    <n v="57"/>
    <x v="4"/>
  </r>
  <r>
    <x v="52"/>
    <s v="TJK"/>
    <x v="3"/>
    <s v="SP.DYN.LE00.IN"/>
    <x v="36"/>
    <n v="57"/>
    <x v="4"/>
  </r>
  <r>
    <x v="52"/>
    <s v="TJK"/>
    <x v="3"/>
    <s v="SP.DYN.LE00.IN"/>
    <x v="37"/>
    <n v="57"/>
    <x v="4"/>
  </r>
  <r>
    <x v="52"/>
    <s v="TJK"/>
    <x v="3"/>
    <s v="SP.DYN.LE00.IN"/>
    <x v="38"/>
    <n v="58"/>
    <x v="4"/>
  </r>
  <r>
    <x v="52"/>
    <s v="TJK"/>
    <x v="3"/>
    <s v="SP.DYN.LE00.IN"/>
    <x v="39"/>
    <n v="58"/>
    <x v="4"/>
  </r>
  <r>
    <x v="52"/>
    <s v="TJK"/>
    <x v="3"/>
    <s v="SP.DYN.LE00.IN"/>
    <x v="40"/>
    <n v="58"/>
    <x v="4"/>
  </r>
  <r>
    <x v="52"/>
    <s v="TJK"/>
    <x v="3"/>
    <s v="SP.DYN.LE00.IN"/>
    <x v="41"/>
    <n v="58"/>
    <x v="5"/>
  </r>
  <r>
    <x v="52"/>
    <s v="TJK"/>
    <x v="3"/>
    <s v="SP.DYN.LE00.IN"/>
    <x v="42"/>
    <n v="58"/>
    <x v="5"/>
  </r>
  <r>
    <x v="52"/>
    <s v="TJK"/>
    <x v="3"/>
    <s v="SP.DYN.LE00.IN"/>
    <x v="43"/>
    <n v="59"/>
    <x v="5"/>
  </r>
  <r>
    <x v="52"/>
    <s v="TJK"/>
    <x v="3"/>
    <s v="SP.DYN.LE00.IN"/>
    <x v="44"/>
    <n v="59"/>
    <x v="5"/>
  </r>
  <r>
    <x v="52"/>
    <s v="TJK"/>
    <x v="3"/>
    <s v="SP.DYN.LE00.IN"/>
    <x v="45"/>
    <n v="59"/>
    <x v="5"/>
  </r>
  <r>
    <x v="52"/>
    <s v="TJK"/>
    <x v="3"/>
    <s v="SP.DYN.LE00.IN"/>
    <x v="46"/>
    <n v="60"/>
    <x v="5"/>
  </r>
  <r>
    <x v="52"/>
    <s v="TJK"/>
    <x v="3"/>
    <s v="SP.DYN.LE00.IN"/>
    <x v="47"/>
    <n v="60"/>
    <x v="5"/>
  </r>
  <r>
    <x v="52"/>
    <s v="TJK"/>
    <x v="3"/>
    <s v="SP.DYN.LE00.IN"/>
    <x v="48"/>
    <n v="61"/>
    <x v="5"/>
  </r>
  <r>
    <x v="52"/>
    <s v="TJK"/>
    <x v="3"/>
    <s v="SP.DYN.LE00.IN"/>
    <x v="49"/>
    <n v="61"/>
    <x v="5"/>
  </r>
  <r>
    <x v="52"/>
    <s v="TJK"/>
    <x v="3"/>
    <s v="SP.DYN.LE00.IN"/>
    <x v="50"/>
    <n v="62"/>
    <x v="5"/>
  </r>
  <r>
    <x v="52"/>
    <s v="TJK"/>
    <x v="3"/>
    <s v="SP.DYN.LE00.IN"/>
    <x v="51"/>
    <n v="62"/>
    <x v="0"/>
  </r>
  <r>
    <x v="52"/>
    <s v="TJK"/>
    <x v="3"/>
    <s v="SP.DYN.LE00.IN"/>
    <x v="52"/>
    <n v="62"/>
    <x v="0"/>
  </r>
  <r>
    <x v="52"/>
    <s v="TJK"/>
    <x v="3"/>
    <s v="SP.DYN.LE00.IN"/>
    <x v="53"/>
    <n v="62"/>
    <x v="0"/>
  </r>
  <r>
    <x v="52"/>
    <s v="TJK"/>
    <x v="3"/>
    <s v="SP.DYN.LE00.IN"/>
    <x v="0"/>
    <n v="62"/>
    <x v="0"/>
  </r>
  <r>
    <x v="52"/>
    <s v="TJK"/>
    <x v="3"/>
    <s v="SP.DYN.LE00.IN"/>
    <x v="1"/>
    <n v="62"/>
    <x v="0"/>
  </r>
  <r>
    <x v="52"/>
    <s v="TJK"/>
    <x v="3"/>
    <s v="SP.DYN.LE00.IN"/>
    <x v="2"/>
    <n v="57"/>
    <x v="0"/>
  </r>
  <r>
    <x v="52"/>
    <s v="TJK"/>
    <x v="3"/>
    <s v="SP.DYN.LE00.IN"/>
    <x v="3"/>
    <n v="56"/>
    <x v="0"/>
  </r>
  <r>
    <x v="52"/>
    <s v="TJK"/>
    <x v="3"/>
    <s v="SP.DYN.LE00.IN"/>
    <x v="4"/>
    <n v="60"/>
    <x v="0"/>
  </r>
  <r>
    <x v="52"/>
    <s v="TJK"/>
    <x v="3"/>
    <s v="SP.DYN.LE00.IN"/>
    <x v="5"/>
    <n v="61"/>
    <x v="0"/>
  </r>
  <r>
    <x v="52"/>
    <s v="TJK"/>
    <x v="3"/>
    <s v="SP.DYN.LE00.IN"/>
    <x v="6"/>
    <n v="61"/>
    <x v="0"/>
  </r>
  <r>
    <x v="52"/>
    <s v="TJK"/>
    <x v="3"/>
    <s v="SP.DYN.LE00.IN"/>
    <x v="7"/>
    <n v="62"/>
    <x v="1"/>
  </r>
  <r>
    <x v="52"/>
    <s v="TJK"/>
    <x v="3"/>
    <s v="SP.DYN.LE00.IN"/>
    <x v="8"/>
    <n v="62"/>
    <x v="1"/>
  </r>
  <r>
    <x v="52"/>
    <s v="TJK"/>
    <x v="3"/>
    <s v="SP.DYN.LE00.IN"/>
    <x v="9"/>
    <n v="63"/>
    <x v="1"/>
  </r>
  <r>
    <x v="52"/>
    <s v="TJK"/>
    <x v="3"/>
    <s v="SP.DYN.LE00.IN"/>
    <x v="10"/>
    <n v="64"/>
    <x v="1"/>
  </r>
  <r>
    <x v="52"/>
    <s v="TJK"/>
    <x v="3"/>
    <s v="SP.DYN.LE00.IN"/>
    <x v="11"/>
    <n v="64"/>
    <x v="1"/>
  </r>
  <r>
    <x v="52"/>
    <s v="TJK"/>
    <x v="3"/>
    <s v="SP.DYN.LE00.IN"/>
    <x v="12"/>
    <n v="65"/>
    <x v="1"/>
  </r>
  <r>
    <x v="52"/>
    <s v="TJK"/>
    <x v="3"/>
    <s v="SP.DYN.LE00.IN"/>
    <x v="13"/>
    <n v="66"/>
    <x v="1"/>
  </r>
  <r>
    <x v="52"/>
    <s v="TJK"/>
    <x v="3"/>
    <s v="SP.DYN.LE00.IN"/>
    <x v="14"/>
    <n v="67"/>
    <x v="1"/>
  </r>
  <r>
    <x v="52"/>
    <s v="TJK"/>
    <x v="3"/>
    <s v="SP.DYN.LE00.IN"/>
    <x v="15"/>
    <n v="67"/>
    <x v="1"/>
  </r>
  <r>
    <x v="52"/>
    <s v="TJK"/>
    <x v="3"/>
    <s v="SP.DYN.LE00.IN"/>
    <x v="16"/>
    <n v="67"/>
    <x v="1"/>
  </r>
  <r>
    <x v="52"/>
    <s v="TJK"/>
    <x v="3"/>
    <s v="SP.DYN.LE00.IN"/>
    <x v="17"/>
    <n v="67"/>
    <x v="2"/>
  </r>
  <r>
    <x v="52"/>
    <s v="TJK"/>
    <x v="3"/>
    <s v="SP.DYN.LE00.IN"/>
    <x v="18"/>
    <n v="68"/>
    <x v="2"/>
  </r>
  <r>
    <x v="52"/>
    <s v="TJK"/>
    <x v="3"/>
    <s v="SP.DYN.LE00.IN"/>
    <x v="19"/>
    <n v="68"/>
    <x v="2"/>
  </r>
  <r>
    <x v="52"/>
    <s v="TJK"/>
    <x v="3"/>
    <s v="SP.DYN.LE00.IN"/>
    <x v="20"/>
    <n v="68"/>
    <x v="2"/>
  </r>
  <r>
    <x v="52"/>
    <s v="TJK"/>
    <x v="3"/>
    <s v="SP.DYN.LE00.IN"/>
    <x v="21"/>
    <n v="69"/>
    <x v="2"/>
  </r>
  <r>
    <x v="52"/>
    <s v="TJK"/>
    <x v="3"/>
    <s v="SP.DYN.LE00.IN"/>
    <x v="22"/>
    <n v="69"/>
    <x v="2"/>
  </r>
  <r>
    <x v="52"/>
    <s v="TJK"/>
    <x v="3"/>
    <s v="SP.DYN.LE00.IN"/>
    <x v="23"/>
    <n v="70"/>
    <x v="2"/>
  </r>
  <r>
    <x v="52"/>
    <s v="TJK"/>
    <x v="3"/>
    <s v="SP.DYN.LE00.IN"/>
    <x v="24"/>
    <n v="70"/>
    <x v="2"/>
  </r>
  <r>
    <x v="52"/>
    <s v="TJK"/>
    <x v="3"/>
    <s v="SP.DYN.LE00.IN"/>
    <x v="25"/>
    <n v="70"/>
    <x v="2"/>
  </r>
  <r>
    <x v="52"/>
    <s v="TJK"/>
    <x v="3"/>
    <s v="SP.DYN.LE00.IN"/>
    <x v="26"/>
    <n v="70"/>
    <x v="2"/>
  </r>
  <r>
    <x v="52"/>
    <s v="TJK"/>
    <x v="3"/>
    <s v="SP.DYN.LE00.IN"/>
    <x v="27"/>
    <n v="71"/>
    <x v="3"/>
  </r>
  <r>
    <x v="52"/>
    <s v="TJK"/>
    <x v="3"/>
    <s v="SP.DYN.LE00.IN"/>
    <x v="28"/>
    <n v="71"/>
    <x v="3"/>
  </r>
  <r>
    <x v="52"/>
    <s v="TJK"/>
    <x v="3"/>
    <s v="SP.DYN.LE00.IN"/>
    <x v="29"/>
    <n v="71"/>
    <x v="3"/>
  </r>
  <r>
    <x v="52"/>
    <s v="TJK"/>
    <x v="3"/>
    <s v="SP.DYN.LE00.IN"/>
    <x v="30"/>
    <n v="69"/>
    <x v="3"/>
  </r>
  <r>
    <x v="52"/>
    <s v="TJK"/>
    <x v="3"/>
    <s v="SP.DYN.LE00.IN"/>
    <x v="31"/>
    <n v="70"/>
    <x v="6"/>
  </r>
  <r>
    <x v="52"/>
    <s v="TJK"/>
    <x v="3"/>
    <s v="SP.DYN.LE00.IN"/>
    <x v="32"/>
    <n v="72"/>
    <x v="6"/>
  </r>
  <r>
    <x v="52"/>
    <s v="TJK"/>
    <x v="3"/>
    <s v="SP.DYN.LE00.IN"/>
    <x v="33"/>
    <n v="72"/>
    <x v="6"/>
  </r>
  <r>
    <x v="53"/>
    <s v="TKM"/>
    <x v="3"/>
    <s v="SP.DYN.LE00.IN"/>
    <x v="55"/>
    <n v="52"/>
    <x v="6"/>
  </r>
  <r>
    <x v="53"/>
    <s v="TKM"/>
    <x v="3"/>
    <s v="SP.DYN.LE00.IN"/>
    <x v="56"/>
    <n v="53"/>
    <x v="6"/>
  </r>
  <r>
    <x v="53"/>
    <s v="TKM"/>
    <x v="3"/>
    <s v="SP.DYN.LE00.IN"/>
    <x v="57"/>
    <n v="53"/>
    <x v="6"/>
  </r>
  <r>
    <x v="53"/>
    <s v="TKM"/>
    <x v="3"/>
    <s v="SP.DYN.LE00.IN"/>
    <x v="58"/>
    <n v="53"/>
    <x v="6"/>
  </r>
  <r>
    <x v="53"/>
    <s v="TKM"/>
    <x v="3"/>
    <s v="SP.DYN.LE00.IN"/>
    <x v="59"/>
    <n v="54"/>
    <x v="6"/>
  </r>
  <r>
    <x v="53"/>
    <s v="TKM"/>
    <x v="3"/>
    <s v="SP.DYN.LE00.IN"/>
    <x v="60"/>
    <n v="54"/>
    <x v="6"/>
  </r>
  <r>
    <x v="53"/>
    <s v="TKM"/>
    <x v="3"/>
    <s v="SP.DYN.LE00.IN"/>
    <x v="61"/>
    <n v="54"/>
    <x v="6"/>
  </r>
  <r>
    <x v="53"/>
    <s v="TKM"/>
    <x v="3"/>
    <s v="SP.DYN.LE00.IN"/>
    <x v="62"/>
    <n v="55"/>
    <x v="4"/>
  </r>
  <r>
    <x v="53"/>
    <s v="TKM"/>
    <x v="3"/>
    <s v="SP.DYN.LE00.IN"/>
    <x v="63"/>
    <n v="55"/>
    <x v="4"/>
  </r>
  <r>
    <x v="53"/>
    <s v="TKM"/>
    <x v="3"/>
    <s v="SP.DYN.LE00.IN"/>
    <x v="64"/>
    <n v="56"/>
    <x v="4"/>
  </r>
  <r>
    <x v="53"/>
    <s v="TKM"/>
    <x v="3"/>
    <s v="SP.DYN.LE00.IN"/>
    <x v="34"/>
    <n v="56"/>
    <x v="4"/>
  </r>
  <r>
    <x v="53"/>
    <s v="TKM"/>
    <x v="3"/>
    <s v="SP.DYN.LE00.IN"/>
    <x v="35"/>
    <n v="56"/>
    <x v="4"/>
  </r>
  <r>
    <x v="53"/>
    <s v="TKM"/>
    <x v="3"/>
    <s v="SP.DYN.LE00.IN"/>
    <x v="36"/>
    <n v="57"/>
    <x v="4"/>
  </r>
  <r>
    <x v="53"/>
    <s v="TKM"/>
    <x v="3"/>
    <s v="SP.DYN.LE00.IN"/>
    <x v="37"/>
    <n v="57"/>
    <x v="4"/>
  </r>
  <r>
    <x v="53"/>
    <s v="TKM"/>
    <x v="3"/>
    <s v="SP.DYN.LE00.IN"/>
    <x v="38"/>
    <n v="57"/>
    <x v="4"/>
  </r>
  <r>
    <x v="53"/>
    <s v="TKM"/>
    <x v="3"/>
    <s v="SP.DYN.LE00.IN"/>
    <x v="39"/>
    <n v="57"/>
    <x v="4"/>
  </r>
  <r>
    <x v="53"/>
    <s v="TKM"/>
    <x v="3"/>
    <s v="SP.DYN.LE00.IN"/>
    <x v="40"/>
    <n v="57"/>
    <x v="4"/>
  </r>
  <r>
    <x v="53"/>
    <s v="TKM"/>
    <x v="3"/>
    <s v="SP.DYN.LE00.IN"/>
    <x v="41"/>
    <n v="58"/>
    <x v="5"/>
  </r>
  <r>
    <x v="53"/>
    <s v="TKM"/>
    <x v="3"/>
    <s v="SP.DYN.LE00.IN"/>
    <x v="42"/>
    <n v="58"/>
    <x v="5"/>
  </r>
  <r>
    <x v="53"/>
    <s v="TKM"/>
    <x v="3"/>
    <s v="SP.DYN.LE00.IN"/>
    <x v="43"/>
    <n v="59"/>
    <x v="5"/>
  </r>
  <r>
    <x v="53"/>
    <s v="TKM"/>
    <x v="3"/>
    <s v="SP.DYN.LE00.IN"/>
    <x v="44"/>
    <n v="60"/>
    <x v="5"/>
  </r>
  <r>
    <x v="53"/>
    <s v="TKM"/>
    <x v="3"/>
    <s v="SP.DYN.LE00.IN"/>
    <x v="45"/>
    <n v="61"/>
    <x v="5"/>
  </r>
  <r>
    <x v="53"/>
    <s v="TKM"/>
    <x v="3"/>
    <s v="SP.DYN.LE00.IN"/>
    <x v="46"/>
    <n v="62"/>
    <x v="5"/>
  </r>
  <r>
    <x v="53"/>
    <s v="TKM"/>
    <x v="3"/>
    <s v="SP.DYN.LE00.IN"/>
    <x v="47"/>
    <n v="62"/>
    <x v="5"/>
  </r>
  <r>
    <x v="53"/>
    <s v="TKM"/>
    <x v="3"/>
    <s v="SP.DYN.LE00.IN"/>
    <x v="48"/>
    <n v="62"/>
    <x v="5"/>
  </r>
  <r>
    <x v="53"/>
    <s v="TKM"/>
    <x v="3"/>
    <s v="SP.DYN.LE00.IN"/>
    <x v="49"/>
    <n v="63"/>
    <x v="5"/>
  </r>
  <r>
    <x v="53"/>
    <s v="TKM"/>
    <x v="3"/>
    <s v="SP.DYN.LE00.IN"/>
    <x v="50"/>
    <n v="63"/>
    <x v="5"/>
  </r>
  <r>
    <x v="53"/>
    <s v="TKM"/>
    <x v="3"/>
    <s v="SP.DYN.LE00.IN"/>
    <x v="51"/>
    <n v="64"/>
    <x v="0"/>
  </r>
  <r>
    <x v="53"/>
    <s v="TKM"/>
    <x v="3"/>
    <s v="SP.DYN.LE00.IN"/>
    <x v="52"/>
    <n v="64"/>
    <x v="0"/>
  </r>
  <r>
    <x v="53"/>
    <s v="TKM"/>
    <x v="3"/>
    <s v="SP.DYN.LE00.IN"/>
    <x v="53"/>
    <n v="64"/>
    <x v="0"/>
  </r>
  <r>
    <x v="53"/>
    <s v="TKM"/>
    <x v="3"/>
    <s v="SP.DYN.LE00.IN"/>
    <x v="0"/>
    <n v="64"/>
    <x v="0"/>
  </r>
  <r>
    <x v="53"/>
    <s v="TKM"/>
    <x v="3"/>
    <s v="SP.DYN.LE00.IN"/>
    <x v="1"/>
    <n v="64"/>
    <x v="0"/>
  </r>
  <r>
    <x v="53"/>
    <s v="TKM"/>
    <x v="3"/>
    <s v="SP.DYN.LE00.IN"/>
    <x v="2"/>
    <n v="64"/>
    <x v="0"/>
  </r>
  <r>
    <x v="53"/>
    <s v="TKM"/>
    <x v="3"/>
    <s v="SP.DYN.LE00.IN"/>
    <x v="3"/>
    <n v="64"/>
    <x v="0"/>
  </r>
  <r>
    <x v="53"/>
    <s v="TKM"/>
    <x v="3"/>
    <s v="SP.DYN.LE00.IN"/>
    <x v="4"/>
    <n v="64"/>
    <x v="0"/>
  </r>
  <r>
    <x v="53"/>
    <s v="TKM"/>
    <x v="3"/>
    <s v="SP.DYN.LE00.IN"/>
    <x v="5"/>
    <n v="64"/>
    <x v="0"/>
  </r>
  <r>
    <x v="53"/>
    <s v="TKM"/>
    <x v="3"/>
    <s v="SP.DYN.LE00.IN"/>
    <x v="6"/>
    <n v="64"/>
    <x v="0"/>
  </r>
  <r>
    <x v="53"/>
    <s v="TKM"/>
    <x v="3"/>
    <s v="SP.DYN.LE00.IN"/>
    <x v="7"/>
    <n v="64"/>
    <x v="1"/>
  </r>
  <r>
    <x v="53"/>
    <s v="TKM"/>
    <x v="3"/>
    <s v="SP.DYN.LE00.IN"/>
    <x v="8"/>
    <n v="64"/>
    <x v="1"/>
  </r>
  <r>
    <x v="53"/>
    <s v="TKM"/>
    <x v="3"/>
    <s v="SP.DYN.LE00.IN"/>
    <x v="9"/>
    <n v="64"/>
    <x v="1"/>
  </r>
  <r>
    <x v="53"/>
    <s v="TKM"/>
    <x v="3"/>
    <s v="SP.DYN.LE00.IN"/>
    <x v="10"/>
    <n v="65"/>
    <x v="1"/>
  </r>
  <r>
    <x v="53"/>
    <s v="TKM"/>
    <x v="3"/>
    <s v="SP.DYN.LE00.IN"/>
    <x v="11"/>
    <n v="65"/>
    <x v="1"/>
  </r>
  <r>
    <x v="53"/>
    <s v="TKM"/>
    <x v="3"/>
    <s v="SP.DYN.LE00.IN"/>
    <x v="12"/>
    <n v="66"/>
    <x v="1"/>
  </r>
  <r>
    <x v="53"/>
    <s v="TKM"/>
    <x v="3"/>
    <s v="SP.DYN.LE00.IN"/>
    <x v="13"/>
    <n v="66"/>
    <x v="1"/>
  </r>
  <r>
    <x v="53"/>
    <s v="TKM"/>
    <x v="3"/>
    <s v="SP.DYN.LE00.IN"/>
    <x v="14"/>
    <n v="66"/>
    <x v="1"/>
  </r>
  <r>
    <x v="53"/>
    <s v="TKM"/>
    <x v="3"/>
    <s v="SP.DYN.LE00.IN"/>
    <x v="15"/>
    <n v="66"/>
    <x v="1"/>
  </r>
  <r>
    <x v="53"/>
    <s v="TKM"/>
    <x v="3"/>
    <s v="SP.DYN.LE00.IN"/>
    <x v="16"/>
    <n v="67"/>
    <x v="1"/>
  </r>
  <r>
    <x v="53"/>
    <s v="TKM"/>
    <x v="3"/>
    <s v="SP.DYN.LE00.IN"/>
    <x v="17"/>
    <n v="67"/>
    <x v="2"/>
  </r>
  <r>
    <x v="53"/>
    <s v="TKM"/>
    <x v="3"/>
    <s v="SP.DYN.LE00.IN"/>
    <x v="18"/>
    <n v="68"/>
    <x v="2"/>
  </r>
  <r>
    <x v="53"/>
    <s v="TKM"/>
    <x v="3"/>
    <s v="SP.DYN.LE00.IN"/>
    <x v="19"/>
    <n v="68"/>
    <x v="2"/>
  </r>
  <r>
    <x v="53"/>
    <s v="TKM"/>
    <x v="3"/>
    <s v="SP.DYN.LE00.IN"/>
    <x v="20"/>
    <n v="69"/>
    <x v="2"/>
  </r>
  <r>
    <x v="53"/>
    <s v="TKM"/>
    <x v="3"/>
    <s v="SP.DYN.LE00.IN"/>
    <x v="21"/>
    <n v="69"/>
    <x v="2"/>
  </r>
  <r>
    <x v="53"/>
    <s v="TKM"/>
    <x v="3"/>
    <s v="SP.DYN.LE00.IN"/>
    <x v="22"/>
    <n v="69"/>
    <x v="2"/>
  </r>
  <r>
    <x v="53"/>
    <s v="TKM"/>
    <x v="3"/>
    <s v="SP.DYN.LE00.IN"/>
    <x v="23"/>
    <n v="69"/>
    <x v="2"/>
  </r>
  <r>
    <x v="53"/>
    <s v="TKM"/>
    <x v="3"/>
    <s v="SP.DYN.LE00.IN"/>
    <x v="24"/>
    <n v="69"/>
    <x v="2"/>
  </r>
  <r>
    <x v="53"/>
    <s v="TKM"/>
    <x v="3"/>
    <s v="SP.DYN.LE00.IN"/>
    <x v="25"/>
    <n v="69"/>
    <x v="2"/>
  </r>
  <r>
    <x v="53"/>
    <s v="TKM"/>
    <x v="3"/>
    <s v="SP.DYN.LE00.IN"/>
    <x v="26"/>
    <n v="69"/>
    <x v="2"/>
  </r>
  <r>
    <x v="53"/>
    <s v="TKM"/>
    <x v="3"/>
    <s v="SP.DYN.LE00.IN"/>
    <x v="27"/>
    <n v="69"/>
    <x v="3"/>
  </r>
  <r>
    <x v="53"/>
    <s v="TKM"/>
    <x v="3"/>
    <s v="SP.DYN.LE00.IN"/>
    <x v="28"/>
    <n v="69"/>
    <x v="3"/>
  </r>
  <r>
    <x v="53"/>
    <s v="TKM"/>
    <x v="3"/>
    <s v="SP.DYN.LE00.IN"/>
    <x v="29"/>
    <n v="69"/>
    <x v="3"/>
  </r>
  <r>
    <x v="53"/>
    <s v="TKM"/>
    <x v="3"/>
    <s v="SP.DYN.LE00.IN"/>
    <x v="30"/>
    <n v="69"/>
    <x v="3"/>
  </r>
  <r>
    <x v="53"/>
    <s v="TKM"/>
    <x v="3"/>
    <s v="SP.DYN.LE00.IN"/>
    <x v="31"/>
    <n v="69"/>
    <x v="6"/>
  </r>
  <r>
    <x v="53"/>
    <s v="TKM"/>
    <x v="3"/>
    <s v="SP.DYN.LE00.IN"/>
    <x v="32"/>
    <n v="70"/>
    <x v="6"/>
  </r>
  <r>
    <x v="53"/>
    <s v="TKM"/>
    <x v="3"/>
    <s v="SP.DYN.LE00.IN"/>
    <x v="33"/>
    <n v="70"/>
    <x v="6"/>
  </r>
  <r>
    <x v="54"/>
    <s v="TUR"/>
    <x v="3"/>
    <s v="SP.DYN.LE00.IN"/>
    <x v="55"/>
    <n v="51"/>
    <x v="6"/>
  </r>
  <r>
    <x v="54"/>
    <s v="TUR"/>
    <x v="3"/>
    <s v="SP.DYN.LE00.IN"/>
    <x v="56"/>
    <n v="52"/>
    <x v="6"/>
  </r>
  <r>
    <x v="54"/>
    <s v="TUR"/>
    <x v="3"/>
    <s v="SP.DYN.LE00.IN"/>
    <x v="57"/>
    <n v="52"/>
    <x v="6"/>
  </r>
  <r>
    <x v="54"/>
    <s v="TUR"/>
    <x v="3"/>
    <s v="SP.DYN.LE00.IN"/>
    <x v="58"/>
    <n v="53"/>
    <x v="6"/>
  </r>
  <r>
    <x v="54"/>
    <s v="TUR"/>
    <x v="3"/>
    <s v="SP.DYN.LE00.IN"/>
    <x v="59"/>
    <n v="54"/>
    <x v="6"/>
  </r>
  <r>
    <x v="54"/>
    <s v="TUR"/>
    <x v="3"/>
    <s v="SP.DYN.LE00.IN"/>
    <x v="60"/>
    <n v="54"/>
    <x v="6"/>
  </r>
  <r>
    <x v="54"/>
    <s v="TUR"/>
    <x v="3"/>
    <s v="SP.DYN.LE00.IN"/>
    <x v="61"/>
    <n v="55"/>
    <x v="6"/>
  </r>
  <r>
    <x v="54"/>
    <s v="TUR"/>
    <x v="3"/>
    <s v="SP.DYN.LE00.IN"/>
    <x v="62"/>
    <n v="55"/>
    <x v="4"/>
  </r>
  <r>
    <x v="54"/>
    <s v="TUR"/>
    <x v="3"/>
    <s v="SP.DYN.LE00.IN"/>
    <x v="63"/>
    <n v="56"/>
    <x v="4"/>
  </r>
  <r>
    <x v="54"/>
    <s v="TUR"/>
    <x v="3"/>
    <s v="SP.DYN.LE00.IN"/>
    <x v="64"/>
    <n v="56"/>
    <x v="4"/>
  </r>
  <r>
    <x v="54"/>
    <s v="TUR"/>
    <x v="3"/>
    <s v="SP.DYN.LE00.IN"/>
    <x v="34"/>
    <n v="57"/>
    <x v="4"/>
  </r>
  <r>
    <x v="54"/>
    <s v="TUR"/>
    <x v="3"/>
    <s v="SP.DYN.LE00.IN"/>
    <x v="35"/>
    <n v="57"/>
    <x v="4"/>
  </r>
  <r>
    <x v="54"/>
    <s v="TUR"/>
    <x v="3"/>
    <s v="SP.DYN.LE00.IN"/>
    <x v="36"/>
    <n v="58"/>
    <x v="4"/>
  </r>
  <r>
    <x v="54"/>
    <s v="TUR"/>
    <x v="3"/>
    <s v="SP.DYN.LE00.IN"/>
    <x v="37"/>
    <n v="58"/>
    <x v="4"/>
  </r>
  <r>
    <x v="54"/>
    <s v="TUR"/>
    <x v="3"/>
    <s v="SP.DYN.LE00.IN"/>
    <x v="38"/>
    <n v="59"/>
    <x v="4"/>
  </r>
  <r>
    <x v="54"/>
    <s v="TUR"/>
    <x v="3"/>
    <s v="SP.DYN.LE00.IN"/>
    <x v="39"/>
    <n v="60"/>
    <x v="4"/>
  </r>
  <r>
    <x v="54"/>
    <s v="TUR"/>
    <x v="3"/>
    <s v="SP.DYN.LE00.IN"/>
    <x v="40"/>
    <n v="60"/>
    <x v="4"/>
  </r>
  <r>
    <x v="54"/>
    <s v="TUR"/>
    <x v="3"/>
    <s v="SP.DYN.LE00.IN"/>
    <x v="41"/>
    <n v="61"/>
    <x v="5"/>
  </r>
  <r>
    <x v="54"/>
    <s v="TUR"/>
    <x v="3"/>
    <s v="SP.DYN.LE00.IN"/>
    <x v="42"/>
    <n v="62"/>
    <x v="5"/>
  </r>
  <r>
    <x v="54"/>
    <s v="TUR"/>
    <x v="3"/>
    <s v="SP.DYN.LE00.IN"/>
    <x v="43"/>
    <n v="62"/>
    <x v="5"/>
  </r>
  <r>
    <x v="54"/>
    <s v="TUR"/>
    <x v="3"/>
    <s v="SP.DYN.LE00.IN"/>
    <x v="44"/>
    <n v="63"/>
    <x v="5"/>
  </r>
  <r>
    <x v="54"/>
    <s v="TUR"/>
    <x v="3"/>
    <s v="SP.DYN.LE00.IN"/>
    <x v="45"/>
    <n v="63"/>
    <x v="5"/>
  </r>
  <r>
    <x v="54"/>
    <s v="TUR"/>
    <x v="3"/>
    <s v="SP.DYN.LE00.IN"/>
    <x v="46"/>
    <n v="64"/>
    <x v="5"/>
  </r>
  <r>
    <x v="54"/>
    <s v="TUR"/>
    <x v="3"/>
    <s v="SP.DYN.LE00.IN"/>
    <x v="47"/>
    <n v="64"/>
    <x v="5"/>
  </r>
  <r>
    <x v="54"/>
    <s v="TUR"/>
    <x v="3"/>
    <s v="SP.DYN.LE00.IN"/>
    <x v="48"/>
    <n v="65"/>
    <x v="5"/>
  </r>
  <r>
    <x v="54"/>
    <s v="TUR"/>
    <x v="3"/>
    <s v="SP.DYN.LE00.IN"/>
    <x v="49"/>
    <n v="65"/>
    <x v="5"/>
  </r>
  <r>
    <x v="54"/>
    <s v="TUR"/>
    <x v="3"/>
    <s v="SP.DYN.LE00.IN"/>
    <x v="50"/>
    <n v="66"/>
    <x v="5"/>
  </r>
  <r>
    <x v="54"/>
    <s v="TUR"/>
    <x v="3"/>
    <s v="SP.DYN.LE00.IN"/>
    <x v="51"/>
    <n v="66"/>
    <x v="0"/>
  </r>
  <r>
    <x v="54"/>
    <s v="TUR"/>
    <x v="3"/>
    <s v="SP.DYN.LE00.IN"/>
    <x v="52"/>
    <n v="67"/>
    <x v="0"/>
  </r>
  <r>
    <x v="54"/>
    <s v="TUR"/>
    <x v="3"/>
    <s v="SP.DYN.LE00.IN"/>
    <x v="53"/>
    <n v="67"/>
    <x v="0"/>
  </r>
  <r>
    <x v="54"/>
    <s v="TUR"/>
    <x v="3"/>
    <s v="SP.DYN.LE00.IN"/>
    <x v="0"/>
    <n v="68"/>
    <x v="0"/>
  </r>
  <r>
    <x v="54"/>
    <s v="TUR"/>
    <x v="3"/>
    <s v="SP.DYN.LE00.IN"/>
    <x v="1"/>
    <n v="68"/>
    <x v="0"/>
  </r>
  <r>
    <x v="54"/>
    <s v="TUR"/>
    <x v="3"/>
    <s v="SP.DYN.LE00.IN"/>
    <x v="2"/>
    <n v="69"/>
    <x v="0"/>
  </r>
  <r>
    <x v="54"/>
    <s v="TUR"/>
    <x v="3"/>
    <s v="SP.DYN.LE00.IN"/>
    <x v="3"/>
    <n v="69"/>
    <x v="0"/>
  </r>
  <r>
    <x v="54"/>
    <s v="TUR"/>
    <x v="3"/>
    <s v="SP.DYN.LE00.IN"/>
    <x v="4"/>
    <n v="69"/>
    <x v="0"/>
  </r>
  <r>
    <x v="54"/>
    <s v="TUR"/>
    <x v="3"/>
    <s v="SP.DYN.LE00.IN"/>
    <x v="5"/>
    <n v="70"/>
    <x v="0"/>
  </r>
  <r>
    <x v="54"/>
    <s v="TUR"/>
    <x v="3"/>
    <s v="SP.DYN.LE00.IN"/>
    <x v="6"/>
    <n v="70"/>
    <x v="0"/>
  </r>
  <r>
    <x v="54"/>
    <s v="TUR"/>
    <x v="3"/>
    <s v="SP.DYN.LE00.IN"/>
    <x v="7"/>
    <n v="71"/>
    <x v="1"/>
  </r>
  <r>
    <x v="54"/>
    <s v="TUR"/>
    <x v="3"/>
    <s v="SP.DYN.LE00.IN"/>
    <x v="8"/>
    <n v="71"/>
    <x v="1"/>
  </r>
  <r>
    <x v="54"/>
    <s v="TUR"/>
    <x v="3"/>
    <s v="SP.DYN.LE00.IN"/>
    <x v="9"/>
    <n v="71"/>
    <x v="1"/>
  </r>
  <r>
    <x v="54"/>
    <s v="TUR"/>
    <x v="3"/>
    <s v="SP.DYN.LE00.IN"/>
    <x v="10"/>
    <n v="72"/>
    <x v="1"/>
  </r>
  <r>
    <x v="54"/>
    <s v="TUR"/>
    <x v="3"/>
    <s v="SP.DYN.LE00.IN"/>
    <x v="11"/>
    <n v="72"/>
    <x v="1"/>
  </r>
  <r>
    <x v="54"/>
    <s v="TUR"/>
    <x v="3"/>
    <s v="SP.DYN.LE00.IN"/>
    <x v="12"/>
    <n v="73"/>
    <x v="1"/>
  </r>
  <r>
    <x v="54"/>
    <s v="TUR"/>
    <x v="3"/>
    <s v="SP.DYN.LE00.IN"/>
    <x v="13"/>
    <n v="73"/>
    <x v="1"/>
  </r>
  <r>
    <x v="54"/>
    <s v="TUR"/>
    <x v="3"/>
    <s v="SP.DYN.LE00.IN"/>
    <x v="14"/>
    <n v="73"/>
    <x v="1"/>
  </r>
  <r>
    <x v="54"/>
    <s v="TUR"/>
    <x v="3"/>
    <s v="SP.DYN.LE00.IN"/>
    <x v="15"/>
    <n v="74"/>
    <x v="1"/>
  </r>
  <r>
    <x v="54"/>
    <s v="TUR"/>
    <x v="3"/>
    <s v="SP.DYN.LE00.IN"/>
    <x v="16"/>
    <n v="74"/>
    <x v="1"/>
  </r>
  <r>
    <x v="54"/>
    <s v="TUR"/>
    <x v="3"/>
    <s v="SP.DYN.LE00.IN"/>
    <x v="17"/>
    <n v="74"/>
    <x v="2"/>
  </r>
  <r>
    <x v="54"/>
    <s v="TUR"/>
    <x v="3"/>
    <s v="SP.DYN.LE00.IN"/>
    <x v="18"/>
    <n v="74"/>
    <x v="2"/>
  </r>
  <r>
    <x v="54"/>
    <s v="TUR"/>
    <x v="3"/>
    <s v="SP.DYN.LE00.IN"/>
    <x v="19"/>
    <n v="75"/>
    <x v="2"/>
  </r>
  <r>
    <x v="54"/>
    <s v="TUR"/>
    <x v="3"/>
    <s v="SP.DYN.LE00.IN"/>
    <x v="20"/>
    <n v="75"/>
    <x v="2"/>
  </r>
  <r>
    <x v="54"/>
    <s v="TUR"/>
    <x v="3"/>
    <s v="SP.DYN.LE00.IN"/>
    <x v="21"/>
    <n v="75"/>
    <x v="2"/>
  </r>
  <r>
    <x v="54"/>
    <s v="TUR"/>
    <x v="3"/>
    <s v="SP.DYN.LE00.IN"/>
    <x v="22"/>
    <n v="76"/>
    <x v="2"/>
  </r>
  <r>
    <x v="54"/>
    <s v="TUR"/>
    <x v="3"/>
    <s v="SP.DYN.LE00.IN"/>
    <x v="23"/>
    <n v="76"/>
    <x v="2"/>
  </r>
  <r>
    <x v="54"/>
    <s v="TUR"/>
    <x v="3"/>
    <s v="SP.DYN.LE00.IN"/>
    <x v="24"/>
    <n v="76"/>
    <x v="2"/>
  </r>
  <r>
    <x v="54"/>
    <s v="TUR"/>
    <x v="3"/>
    <s v="SP.DYN.LE00.IN"/>
    <x v="25"/>
    <n v="77"/>
    <x v="2"/>
  </r>
  <r>
    <x v="54"/>
    <s v="TUR"/>
    <x v="3"/>
    <s v="SP.DYN.LE00.IN"/>
    <x v="26"/>
    <n v="77"/>
    <x v="2"/>
  </r>
  <r>
    <x v="54"/>
    <s v="TUR"/>
    <x v="3"/>
    <s v="SP.DYN.LE00.IN"/>
    <x v="27"/>
    <n v="77"/>
    <x v="3"/>
  </r>
  <r>
    <x v="54"/>
    <s v="TUR"/>
    <x v="3"/>
    <s v="SP.DYN.LE00.IN"/>
    <x v="28"/>
    <n v="77"/>
    <x v="3"/>
  </r>
  <r>
    <x v="54"/>
    <s v="TUR"/>
    <x v="3"/>
    <s v="SP.DYN.LE00.IN"/>
    <x v="29"/>
    <n v="78"/>
    <x v="3"/>
  </r>
  <r>
    <x v="54"/>
    <s v="TUR"/>
    <x v="3"/>
    <s v="SP.DYN.LE00.IN"/>
    <x v="30"/>
    <n v="77"/>
    <x v="3"/>
  </r>
  <r>
    <x v="54"/>
    <s v="TUR"/>
    <x v="3"/>
    <s v="SP.DYN.LE00.IN"/>
    <x v="31"/>
    <n v="76"/>
    <x v="6"/>
  </r>
  <r>
    <x v="54"/>
    <s v="TUR"/>
    <x v="3"/>
    <s v="SP.DYN.LE00.IN"/>
    <x v="32"/>
    <n v="78"/>
    <x v="6"/>
  </r>
  <r>
    <x v="54"/>
    <s v="TUR"/>
    <x v="3"/>
    <s v="SP.DYN.LE00.IN"/>
    <x v="33"/>
    <n v="77"/>
    <x v="6"/>
  </r>
  <r>
    <x v="55"/>
    <s v="UKR"/>
    <x v="3"/>
    <s v="SP.DYN.LE00.IN"/>
    <x v="55"/>
    <n v="69"/>
    <x v="6"/>
  </r>
  <r>
    <x v="55"/>
    <s v="UKR"/>
    <x v="3"/>
    <s v="SP.DYN.LE00.IN"/>
    <x v="56"/>
    <n v="70"/>
    <x v="6"/>
  </r>
  <r>
    <x v="55"/>
    <s v="UKR"/>
    <x v="3"/>
    <s v="SP.DYN.LE00.IN"/>
    <x v="57"/>
    <n v="70"/>
    <x v="6"/>
  </r>
  <r>
    <x v="55"/>
    <s v="UKR"/>
    <x v="3"/>
    <s v="SP.DYN.LE00.IN"/>
    <x v="58"/>
    <n v="71"/>
    <x v="6"/>
  </r>
  <r>
    <x v="55"/>
    <s v="UKR"/>
    <x v="3"/>
    <s v="SP.DYN.LE00.IN"/>
    <x v="59"/>
    <n v="71"/>
    <x v="6"/>
  </r>
  <r>
    <x v="55"/>
    <s v="UKR"/>
    <x v="3"/>
    <s v="SP.DYN.LE00.IN"/>
    <x v="60"/>
    <n v="71"/>
    <x v="6"/>
  </r>
  <r>
    <x v="55"/>
    <s v="UKR"/>
    <x v="3"/>
    <s v="SP.DYN.LE00.IN"/>
    <x v="61"/>
    <n v="71"/>
    <x v="6"/>
  </r>
  <r>
    <x v="55"/>
    <s v="UKR"/>
    <x v="3"/>
    <s v="SP.DYN.LE00.IN"/>
    <x v="62"/>
    <n v="71"/>
    <x v="4"/>
  </r>
  <r>
    <x v="55"/>
    <s v="UKR"/>
    <x v="3"/>
    <s v="SP.DYN.LE00.IN"/>
    <x v="63"/>
    <n v="71"/>
    <x v="4"/>
  </r>
  <r>
    <x v="55"/>
    <s v="UKR"/>
    <x v="3"/>
    <s v="SP.DYN.LE00.IN"/>
    <x v="64"/>
    <n v="71"/>
    <x v="4"/>
  </r>
  <r>
    <x v="55"/>
    <s v="UKR"/>
    <x v="3"/>
    <s v="SP.DYN.LE00.IN"/>
    <x v="34"/>
    <n v="71"/>
    <x v="4"/>
  </r>
  <r>
    <x v="55"/>
    <s v="UKR"/>
    <x v="3"/>
    <s v="SP.DYN.LE00.IN"/>
    <x v="35"/>
    <n v="71"/>
    <x v="4"/>
  </r>
  <r>
    <x v="55"/>
    <s v="UKR"/>
    <x v="3"/>
    <s v="SP.DYN.LE00.IN"/>
    <x v="36"/>
    <n v="71"/>
    <x v="4"/>
  </r>
  <r>
    <x v="55"/>
    <s v="UKR"/>
    <x v="3"/>
    <s v="SP.DYN.LE00.IN"/>
    <x v="37"/>
    <n v="71"/>
    <x v="4"/>
  </r>
  <r>
    <x v="55"/>
    <s v="UKR"/>
    <x v="3"/>
    <s v="SP.DYN.LE00.IN"/>
    <x v="38"/>
    <n v="71"/>
    <x v="4"/>
  </r>
  <r>
    <x v="55"/>
    <s v="UKR"/>
    <x v="3"/>
    <s v="SP.DYN.LE00.IN"/>
    <x v="39"/>
    <n v="70"/>
    <x v="4"/>
  </r>
  <r>
    <x v="55"/>
    <s v="UKR"/>
    <x v="3"/>
    <s v="SP.DYN.LE00.IN"/>
    <x v="40"/>
    <n v="70"/>
    <x v="4"/>
  </r>
  <r>
    <x v="55"/>
    <s v="UKR"/>
    <x v="3"/>
    <s v="SP.DYN.LE00.IN"/>
    <x v="41"/>
    <n v="70"/>
    <x v="5"/>
  </r>
  <r>
    <x v="55"/>
    <s v="UKR"/>
    <x v="3"/>
    <s v="SP.DYN.LE00.IN"/>
    <x v="42"/>
    <n v="70"/>
    <x v="5"/>
  </r>
  <r>
    <x v="55"/>
    <s v="UKR"/>
    <x v="3"/>
    <s v="SP.DYN.LE00.IN"/>
    <x v="43"/>
    <n v="70"/>
    <x v="5"/>
  </r>
  <r>
    <x v="55"/>
    <s v="UKR"/>
    <x v="3"/>
    <s v="SP.DYN.LE00.IN"/>
    <x v="44"/>
    <n v="70"/>
    <x v="5"/>
  </r>
  <r>
    <x v="55"/>
    <s v="UKR"/>
    <x v="3"/>
    <s v="SP.DYN.LE00.IN"/>
    <x v="45"/>
    <n v="70"/>
    <x v="5"/>
  </r>
  <r>
    <x v="55"/>
    <s v="UKR"/>
    <x v="3"/>
    <s v="SP.DYN.LE00.IN"/>
    <x v="46"/>
    <n v="70"/>
    <x v="5"/>
  </r>
  <r>
    <x v="55"/>
    <s v="UKR"/>
    <x v="3"/>
    <s v="SP.DYN.LE00.IN"/>
    <x v="47"/>
    <n v="70"/>
    <x v="5"/>
  </r>
  <r>
    <x v="55"/>
    <s v="UKR"/>
    <x v="3"/>
    <s v="SP.DYN.LE00.IN"/>
    <x v="48"/>
    <n v="70"/>
    <x v="5"/>
  </r>
  <r>
    <x v="55"/>
    <s v="UKR"/>
    <x v="3"/>
    <s v="SP.DYN.LE00.IN"/>
    <x v="49"/>
    <n v="70"/>
    <x v="5"/>
  </r>
  <r>
    <x v="55"/>
    <s v="UKR"/>
    <x v="3"/>
    <s v="SP.DYN.LE00.IN"/>
    <x v="50"/>
    <n v="71"/>
    <x v="5"/>
  </r>
  <r>
    <x v="55"/>
    <s v="UKR"/>
    <x v="3"/>
    <s v="SP.DYN.LE00.IN"/>
    <x v="51"/>
    <n v="71"/>
    <x v="0"/>
  </r>
  <r>
    <x v="55"/>
    <s v="UKR"/>
    <x v="3"/>
    <s v="SP.DYN.LE00.IN"/>
    <x v="52"/>
    <n v="71"/>
    <x v="0"/>
  </r>
  <r>
    <x v="55"/>
    <s v="UKR"/>
    <x v="3"/>
    <s v="SP.DYN.LE00.IN"/>
    <x v="53"/>
    <n v="71"/>
    <x v="0"/>
  </r>
  <r>
    <x v="55"/>
    <s v="UKR"/>
    <x v="3"/>
    <s v="SP.DYN.LE00.IN"/>
    <x v="0"/>
    <n v="70"/>
    <x v="0"/>
  </r>
  <r>
    <x v="55"/>
    <s v="UKR"/>
    <x v="3"/>
    <s v="SP.DYN.LE00.IN"/>
    <x v="1"/>
    <n v="70"/>
    <x v="0"/>
  </r>
  <r>
    <x v="55"/>
    <s v="UKR"/>
    <x v="3"/>
    <s v="SP.DYN.LE00.IN"/>
    <x v="2"/>
    <n v="69"/>
    <x v="0"/>
  </r>
  <r>
    <x v="55"/>
    <s v="UKR"/>
    <x v="3"/>
    <s v="SP.DYN.LE00.IN"/>
    <x v="3"/>
    <n v="68"/>
    <x v="0"/>
  </r>
  <r>
    <x v="55"/>
    <s v="UKR"/>
    <x v="3"/>
    <s v="SP.DYN.LE00.IN"/>
    <x v="4"/>
    <n v="68"/>
    <x v="0"/>
  </r>
  <r>
    <x v="55"/>
    <s v="UKR"/>
    <x v="3"/>
    <s v="SP.DYN.LE00.IN"/>
    <x v="5"/>
    <n v="67"/>
    <x v="0"/>
  </r>
  <r>
    <x v="55"/>
    <s v="UKR"/>
    <x v="3"/>
    <s v="SP.DYN.LE00.IN"/>
    <x v="6"/>
    <n v="67"/>
    <x v="0"/>
  </r>
  <r>
    <x v="55"/>
    <s v="UKR"/>
    <x v="3"/>
    <s v="SP.DYN.LE00.IN"/>
    <x v="7"/>
    <n v="68"/>
    <x v="1"/>
  </r>
  <r>
    <x v="55"/>
    <s v="UKR"/>
    <x v="3"/>
    <s v="SP.DYN.LE00.IN"/>
    <x v="8"/>
    <n v="68"/>
    <x v="1"/>
  </r>
  <r>
    <x v="55"/>
    <s v="UKR"/>
    <x v="3"/>
    <s v="SP.DYN.LE00.IN"/>
    <x v="9"/>
    <n v="68"/>
    <x v="1"/>
  </r>
  <r>
    <x v="55"/>
    <s v="UKR"/>
    <x v="3"/>
    <s v="SP.DYN.LE00.IN"/>
    <x v="10"/>
    <n v="68"/>
    <x v="1"/>
  </r>
  <r>
    <x v="55"/>
    <s v="UKR"/>
    <x v="3"/>
    <s v="SP.DYN.LE00.IN"/>
    <x v="11"/>
    <n v="68"/>
    <x v="1"/>
  </r>
  <r>
    <x v="55"/>
    <s v="UKR"/>
    <x v="3"/>
    <s v="SP.DYN.LE00.IN"/>
    <x v="12"/>
    <n v="68"/>
    <x v="1"/>
  </r>
  <r>
    <x v="55"/>
    <s v="UKR"/>
    <x v="3"/>
    <s v="SP.DYN.LE00.IN"/>
    <x v="13"/>
    <n v="68"/>
    <x v="1"/>
  </r>
  <r>
    <x v="55"/>
    <s v="UKR"/>
    <x v="3"/>
    <s v="SP.DYN.LE00.IN"/>
    <x v="14"/>
    <n v="67"/>
    <x v="1"/>
  </r>
  <r>
    <x v="55"/>
    <s v="UKR"/>
    <x v="3"/>
    <s v="SP.DYN.LE00.IN"/>
    <x v="15"/>
    <n v="68"/>
    <x v="1"/>
  </r>
  <r>
    <x v="55"/>
    <s v="UKR"/>
    <x v="3"/>
    <s v="SP.DYN.LE00.IN"/>
    <x v="16"/>
    <n v="67"/>
    <x v="1"/>
  </r>
  <r>
    <x v="55"/>
    <s v="UKR"/>
    <x v="3"/>
    <s v="SP.DYN.LE00.IN"/>
    <x v="17"/>
    <n v="68"/>
    <x v="2"/>
  </r>
  <r>
    <x v="55"/>
    <s v="UKR"/>
    <x v="3"/>
    <s v="SP.DYN.LE00.IN"/>
    <x v="18"/>
    <n v="68"/>
    <x v="2"/>
  </r>
  <r>
    <x v="55"/>
    <s v="UKR"/>
    <x v="3"/>
    <s v="SP.DYN.LE00.IN"/>
    <x v="19"/>
    <n v="69"/>
    <x v="2"/>
  </r>
  <r>
    <x v="55"/>
    <s v="UKR"/>
    <x v="3"/>
    <s v="SP.DYN.LE00.IN"/>
    <x v="20"/>
    <n v="70"/>
    <x v="2"/>
  </r>
  <r>
    <x v="55"/>
    <s v="UKR"/>
    <x v="3"/>
    <s v="SP.DYN.LE00.IN"/>
    <x v="21"/>
    <n v="71"/>
    <x v="2"/>
  </r>
  <r>
    <x v="55"/>
    <s v="UKR"/>
    <x v="3"/>
    <s v="SP.DYN.LE00.IN"/>
    <x v="22"/>
    <n v="71"/>
    <x v="2"/>
  </r>
  <r>
    <x v="55"/>
    <s v="UKR"/>
    <x v="3"/>
    <s v="SP.DYN.LE00.IN"/>
    <x v="23"/>
    <n v="71"/>
    <x v="2"/>
  </r>
  <r>
    <x v="55"/>
    <s v="UKR"/>
    <x v="3"/>
    <s v="SP.DYN.LE00.IN"/>
    <x v="24"/>
    <n v="72"/>
    <x v="2"/>
  </r>
  <r>
    <x v="55"/>
    <s v="UKR"/>
    <x v="3"/>
    <s v="SP.DYN.LE00.IN"/>
    <x v="25"/>
    <n v="73"/>
    <x v="2"/>
  </r>
  <r>
    <x v="55"/>
    <s v="UKR"/>
    <x v="3"/>
    <s v="SP.DYN.LE00.IN"/>
    <x v="26"/>
    <n v="73"/>
    <x v="2"/>
  </r>
  <r>
    <x v="55"/>
    <s v="UKR"/>
    <x v="3"/>
    <s v="SP.DYN.LE00.IN"/>
    <x v="27"/>
    <n v="74"/>
    <x v="3"/>
  </r>
  <r>
    <x v="55"/>
    <s v="UKR"/>
    <x v="3"/>
    <s v="SP.DYN.LE00.IN"/>
    <x v="28"/>
    <n v="74"/>
    <x v="3"/>
  </r>
  <r>
    <x v="55"/>
    <s v="UKR"/>
    <x v="3"/>
    <s v="SP.DYN.LE00.IN"/>
    <x v="29"/>
    <n v="74"/>
    <x v="3"/>
  </r>
  <r>
    <x v="55"/>
    <s v="UKR"/>
    <x v="3"/>
    <s v="SP.DYN.LE00.IN"/>
    <x v="30"/>
    <n v="73"/>
    <x v="3"/>
  </r>
  <r>
    <x v="55"/>
    <s v="UKR"/>
    <x v="3"/>
    <s v="SP.DYN.LE00.IN"/>
    <x v="31"/>
    <n v="72"/>
    <x v="6"/>
  </r>
  <r>
    <x v="55"/>
    <s v="UKR"/>
    <x v="3"/>
    <s v="SP.DYN.LE00.IN"/>
    <x v="32"/>
    <n v="73"/>
    <x v="6"/>
  </r>
  <r>
    <x v="55"/>
    <s v="UKR"/>
    <x v="3"/>
    <s v="SP.DYN.LE00.IN"/>
    <x v="33"/>
    <n v="73"/>
    <x v="6"/>
  </r>
  <r>
    <x v="56"/>
    <s v="UZB"/>
    <x v="3"/>
    <s v="SP.DYN.LE00.IN"/>
    <x v="55"/>
    <n v="57"/>
    <x v="6"/>
  </r>
  <r>
    <x v="56"/>
    <s v="UZB"/>
    <x v="3"/>
    <s v="SP.DYN.LE00.IN"/>
    <x v="56"/>
    <n v="57"/>
    <x v="6"/>
  </r>
  <r>
    <x v="56"/>
    <s v="UZB"/>
    <x v="3"/>
    <s v="SP.DYN.LE00.IN"/>
    <x v="57"/>
    <n v="57"/>
    <x v="6"/>
  </r>
  <r>
    <x v="56"/>
    <s v="UZB"/>
    <x v="3"/>
    <s v="SP.DYN.LE00.IN"/>
    <x v="58"/>
    <n v="58"/>
    <x v="6"/>
  </r>
  <r>
    <x v="56"/>
    <s v="UZB"/>
    <x v="3"/>
    <s v="SP.DYN.LE00.IN"/>
    <x v="59"/>
    <n v="58"/>
    <x v="6"/>
  </r>
  <r>
    <x v="56"/>
    <s v="UZB"/>
    <x v="3"/>
    <s v="SP.DYN.LE00.IN"/>
    <x v="60"/>
    <n v="58"/>
    <x v="6"/>
  </r>
  <r>
    <x v="56"/>
    <s v="UZB"/>
    <x v="3"/>
    <s v="SP.DYN.LE00.IN"/>
    <x v="61"/>
    <n v="59"/>
    <x v="6"/>
  </r>
  <r>
    <x v="56"/>
    <s v="UZB"/>
    <x v="3"/>
    <s v="SP.DYN.LE00.IN"/>
    <x v="62"/>
    <n v="59"/>
    <x v="4"/>
  </r>
  <r>
    <x v="56"/>
    <s v="UZB"/>
    <x v="3"/>
    <s v="SP.DYN.LE00.IN"/>
    <x v="63"/>
    <n v="59"/>
    <x v="4"/>
  </r>
  <r>
    <x v="56"/>
    <s v="UZB"/>
    <x v="3"/>
    <s v="SP.DYN.LE00.IN"/>
    <x v="64"/>
    <n v="60"/>
    <x v="4"/>
  </r>
  <r>
    <x v="56"/>
    <s v="UZB"/>
    <x v="3"/>
    <s v="SP.DYN.LE00.IN"/>
    <x v="34"/>
    <n v="60"/>
    <x v="4"/>
  </r>
  <r>
    <x v="56"/>
    <s v="UZB"/>
    <x v="3"/>
    <s v="SP.DYN.LE00.IN"/>
    <x v="35"/>
    <n v="60"/>
    <x v="4"/>
  </r>
  <r>
    <x v="56"/>
    <s v="UZB"/>
    <x v="3"/>
    <s v="SP.DYN.LE00.IN"/>
    <x v="36"/>
    <n v="61"/>
    <x v="4"/>
  </r>
  <r>
    <x v="56"/>
    <s v="UZB"/>
    <x v="3"/>
    <s v="SP.DYN.LE00.IN"/>
    <x v="37"/>
    <n v="61"/>
    <x v="4"/>
  </r>
  <r>
    <x v="56"/>
    <s v="UZB"/>
    <x v="3"/>
    <s v="SP.DYN.LE00.IN"/>
    <x v="38"/>
    <n v="61"/>
    <x v="4"/>
  </r>
  <r>
    <x v="56"/>
    <s v="UZB"/>
    <x v="3"/>
    <s v="SP.DYN.LE00.IN"/>
    <x v="39"/>
    <n v="62"/>
    <x v="4"/>
  </r>
  <r>
    <x v="56"/>
    <s v="UZB"/>
    <x v="3"/>
    <s v="SP.DYN.LE00.IN"/>
    <x v="40"/>
    <n v="62"/>
    <x v="4"/>
  </r>
  <r>
    <x v="56"/>
    <s v="UZB"/>
    <x v="3"/>
    <s v="SP.DYN.LE00.IN"/>
    <x v="41"/>
    <n v="62"/>
    <x v="5"/>
  </r>
  <r>
    <x v="56"/>
    <s v="UZB"/>
    <x v="3"/>
    <s v="SP.DYN.LE00.IN"/>
    <x v="42"/>
    <n v="62"/>
    <x v="5"/>
  </r>
  <r>
    <x v="56"/>
    <s v="UZB"/>
    <x v="3"/>
    <s v="SP.DYN.LE00.IN"/>
    <x v="43"/>
    <n v="63"/>
    <x v="5"/>
  </r>
  <r>
    <x v="56"/>
    <s v="UZB"/>
    <x v="3"/>
    <s v="SP.DYN.LE00.IN"/>
    <x v="44"/>
    <n v="63"/>
    <x v="5"/>
  </r>
  <r>
    <x v="56"/>
    <s v="UZB"/>
    <x v="3"/>
    <s v="SP.DYN.LE00.IN"/>
    <x v="45"/>
    <n v="63"/>
    <x v="5"/>
  </r>
  <r>
    <x v="56"/>
    <s v="UZB"/>
    <x v="3"/>
    <s v="SP.DYN.LE00.IN"/>
    <x v="46"/>
    <n v="63"/>
    <x v="5"/>
  </r>
  <r>
    <x v="56"/>
    <s v="UZB"/>
    <x v="3"/>
    <s v="SP.DYN.LE00.IN"/>
    <x v="47"/>
    <n v="64"/>
    <x v="5"/>
  </r>
  <r>
    <x v="56"/>
    <s v="UZB"/>
    <x v="3"/>
    <s v="SP.DYN.LE00.IN"/>
    <x v="48"/>
    <n v="64"/>
    <x v="5"/>
  </r>
  <r>
    <x v="56"/>
    <s v="UZB"/>
    <x v="3"/>
    <s v="SP.DYN.LE00.IN"/>
    <x v="49"/>
    <n v="65"/>
    <x v="5"/>
  </r>
  <r>
    <x v="56"/>
    <s v="UZB"/>
    <x v="3"/>
    <s v="SP.DYN.LE00.IN"/>
    <x v="50"/>
    <n v="65"/>
    <x v="5"/>
  </r>
  <r>
    <x v="56"/>
    <s v="UZB"/>
    <x v="3"/>
    <s v="SP.DYN.LE00.IN"/>
    <x v="51"/>
    <n v="65"/>
    <x v="0"/>
  </r>
  <r>
    <x v="56"/>
    <s v="UZB"/>
    <x v="3"/>
    <s v="SP.DYN.LE00.IN"/>
    <x v="52"/>
    <n v="66"/>
    <x v="0"/>
  </r>
  <r>
    <x v="56"/>
    <s v="UZB"/>
    <x v="3"/>
    <s v="SP.DYN.LE00.IN"/>
    <x v="53"/>
    <n v="66"/>
    <x v="0"/>
  </r>
  <r>
    <x v="56"/>
    <s v="UZB"/>
    <x v="3"/>
    <s v="SP.DYN.LE00.IN"/>
    <x v="0"/>
    <n v="66"/>
    <x v="0"/>
  </r>
  <r>
    <x v="56"/>
    <s v="UZB"/>
    <x v="3"/>
    <s v="SP.DYN.LE00.IN"/>
    <x v="1"/>
    <n v="66"/>
    <x v="0"/>
  </r>
  <r>
    <x v="56"/>
    <s v="UZB"/>
    <x v="3"/>
    <s v="SP.DYN.LE00.IN"/>
    <x v="2"/>
    <n v="65"/>
    <x v="0"/>
  </r>
  <r>
    <x v="56"/>
    <s v="UZB"/>
    <x v="3"/>
    <s v="SP.DYN.LE00.IN"/>
    <x v="3"/>
    <n v="65"/>
    <x v="0"/>
  </r>
  <r>
    <x v="56"/>
    <s v="UZB"/>
    <x v="3"/>
    <s v="SP.DYN.LE00.IN"/>
    <x v="4"/>
    <n v="65"/>
    <x v="0"/>
  </r>
  <r>
    <x v="56"/>
    <s v="UZB"/>
    <x v="3"/>
    <s v="SP.DYN.LE00.IN"/>
    <x v="5"/>
    <n v="65"/>
    <x v="0"/>
  </r>
  <r>
    <x v="56"/>
    <s v="UZB"/>
    <x v="3"/>
    <s v="SP.DYN.LE00.IN"/>
    <x v="6"/>
    <n v="65"/>
    <x v="0"/>
  </r>
  <r>
    <x v="56"/>
    <s v="UZB"/>
    <x v="3"/>
    <s v="SP.DYN.LE00.IN"/>
    <x v="7"/>
    <n v="65"/>
    <x v="1"/>
  </r>
  <r>
    <x v="56"/>
    <s v="UZB"/>
    <x v="3"/>
    <s v="SP.DYN.LE00.IN"/>
    <x v="8"/>
    <n v="65"/>
    <x v="1"/>
  </r>
  <r>
    <x v="56"/>
    <s v="UZB"/>
    <x v="3"/>
    <s v="SP.DYN.LE00.IN"/>
    <x v="9"/>
    <n v="65"/>
    <x v="1"/>
  </r>
  <r>
    <x v="56"/>
    <s v="UZB"/>
    <x v="3"/>
    <s v="SP.DYN.LE00.IN"/>
    <x v="10"/>
    <n v="65"/>
    <x v="1"/>
  </r>
  <r>
    <x v="56"/>
    <s v="UZB"/>
    <x v="3"/>
    <s v="SP.DYN.LE00.IN"/>
    <x v="11"/>
    <n v="66"/>
    <x v="1"/>
  </r>
  <r>
    <x v="56"/>
    <s v="UZB"/>
    <x v="3"/>
    <s v="SP.DYN.LE00.IN"/>
    <x v="12"/>
    <n v="66"/>
    <x v="1"/>
  </r>
  <r>
    <x v="56"/>
    <s v="UZB"/>
    <x v="3"/>
    <s v="SP.DYN.LE00.IN"/>
    <x v="13"/>
    <n v="67"/>
    <x v="1"/>
  </r>
  <r>
    <x v="56"/>
    <s v="UZB"/>
    <x v="3"/>
    <s v="SP.DYN.LE00.IN"/>
    <x v="14"/>
    <n v="67"/>
    <x v="1"/>
  </r>
  <r>
    <x v="56"/>
    <s v="UZB"/>
    <x v="3"/>
    <s v="SP.DYN.LE00.IN"/>
    <x v="15"/>
    <n v="67"/>
    <x v="1"/>
  </r>
  <r>
    <x v="56"/>
    <s v="UZB"/>
    <x v="3"/>
    <s v="SP.DYN.LE00.IN"/>
    <x v="16"/>
    <n v="68"/>
    <x v="1"/>
  </r>
  <r>
    <x v="56"/>
    <s v="UZB"/>
    <x v="3"/>
    <s v="SP.DYN.LE00.IN"/>
    <x v="17"/>
    <n v="68"/>
    <x v="2"/>
  </r>
  <r>
    <x v="56"/>
    <s v="UZB"/>
    <x v="3"/>
    <s v="SP.DYN.LE00.IN"/>
    <x v="18"/>
    <n v="69"/>
    <x v="2"/>
  </r>
  <r>
    <x v="56"/>
    <s v="UZB"/>
    <x v="3"/>
    <s v="SP.DYN.LE00.IN"/>
    <x v="19"/>
    <n v="70"/>
    <x v="2"/>
  </r>
  <r>
    <x v="56"/>
    <s v="UZB"/>
    <x v="3"/>
    <s v="SP.DYN.LE00.IN"/>
    <x v="20"/>
    <n v="70"/>
    <x v="2"/>
  </r>
  <r>
    <x v="56"/>
    <s v="UZB"/>
    <x v="3"/>
    <s v="SP.DYN.LE00.IN"/>
    <x v="21"/>
    <n v="70"/>
    <x v="2"/>
  </r>
  <r>
    <x v="56"/>
    <s v="UZB"/>
    <x v="3"/>
    <s v="SP.DYN.LE00.IN"/>
    <x v="22"/>
    <n v="70"/>
    <x v="2"/>
  </r>
  <r>
    <x v="56"/>
    <s v="UZB"/>
    <x v="3"/>
    <s v="SP.DYN.LE00.IN"/>
    <x v="23"/>
    <n v="71"/>
    <x v="2"/>
  </r>
  <r>
    <x v="56"/>
    <s v="UZB"/>
    <x v="3"/>
    <s v="SP.DYN.LE00.IN"/>
    <x v="24"/>
    <n v="71"/>
    <x v="2"/>
  </r>
  <r>
    <x v="56"/>
    <s v="UZB"/>
    <x v="3"/>
    <s v="SP.DYN.LE00.IN"/>
    <x v="25"/>
    <n v="71"/>
    <x v="2"/>
  </r>
  <r>
    <x v="56"/>
    <s v="UZB"/>
    <x v="3"/>
    <s v="SP.DYN.LE00.IN"/>
    <x v="26"/>
    <n v="72"/>
    <x v="2"/>
  </r>
  <r>
    <x v="56"/>
    <s v="UZB"/>
    <x v="3"/>
    <s v="SP.DYN.LE00.IN"/>
    <x v="27"/>
    <n v="72"/>
    <x v="3"/>
  </r>
  <r>
    <x v="56"/>
    <s v="UZB"/>
    <x v="3"/>
    <s v="SP.DYN.LE00.IN"/>
    <x v="28"/>
    <n v="72"/>
    <x v="3"/>
  </r>
  <r>
    <x v="56"/>
    <s v="UZB"/>
    <x v="3"/>
    <s v="SP.DYN.LE00.IN"/>
    <x v="29"/>
    <n v="72"/>
    <x v="3"/>
  </r>
  <r>
    <x v="56"/>
    <s v="UZB"/>
    <x v="3"/>
    <s v="SP.DYN.LE00.IN"/>
    <x v="30"/>
    <n v="71"/>
    <x v="3"/>
  </r>
  <r>
    <x v="56"/>
    <s v="UZB"/>
    <x v="3"/>
    <s v="SP.DYN.LE00.IN"/>
    <x v="31"/>
    <n v="72"/>
    <x v="6"/>
  </r>
  <r>
    <x v="56"/>
    <s v="UZB"/>
    <x v="3"/>
    <s v="SP.DYN.LE00.IN"/>
    <x v="32"/>
    <n v="72"/>
    <x v="6"/>
  </r>
  <r>
    <x v="56"/>
    <s v="UZB"/>
    <x v="3"/>
    <s v="SP.DYN.LE00.IN"/>
    <x v="33"/>
    <n v="72"/>
    <x v="6"/>
  </r>
  <r>
    <x v="57"/>
    <s v="XKX"/>
    <x v="3"/>
    <s v="SP.DYN.LE00.IN"/>
    <x v="55"/>
    <n v="49"/>
    <x v="6"/>
  </r>
  <r>
    <x v="57"/>
    <s v="XKX"/>
    <x v="3"/>
    <s v="SP.DYN.LE00.IN"/>
    <x v="56"/>
    <n v="50"/>
    <x v="6"/>
  </r>
  <r>
    <x v="57"/>
    <s v="XKX"/>
    <x v="3"/>
    <s v="SP.DYN.LE00.IN"/>
    <x v="57"/>
    <n v="48"/>
    <x v="6"/>
  </r>
  <r>
    <x v="57"/>
    <s v="XKX"/>
    <x v="3"/>
    <s v="SP.DYN.LE00.IN"/>
    <x v="58"/>
    <n v="50"/>
    <x v="6"/>
  </r>
  <r>
    <x v="57"/>
    <s v="XKX"/>
    <x v="3"/>
    <s v="SP.DYN.LE00.IN"/>
    <x v="59"/>
    <n v="51"/>
    <x v="6"/>
  </r>
  <r>
    <x v="57"/>
    <s v="XKX"/>
    <x v="3"/>
    <s v="SP.DYN.LE00.IN"/>
    <x v="60"/>
    <n v="52"/>
    <x v="6"/>
  </r>
  <r>
    <x v="57"/>
    <s v="XKX"/>
    <x v="3"/>
    <s v="SP.DYN.LE00.IN"/>
    <x v="61"/>
    <n v="52"/>
    <x v="6"/>
  </r>
  <r>
    <x v="57"/>
    <s v="XKX"/>
    <x v="3"/>
    <s v="SP.DYN.LE00.IN"/>
    <x v="62"/>
    <n v="53"/>
    <x v="4"/>
  </r>
  <r>
    <x v="57"/>
    <s v="XKX"/>
    <x v="3"/>
    <s v="SP.DYN.LE00.IN"/>
    <x v="63"/>
    <n v="54"/>
    <x v="4"/>
  </r>
  <r>
    <x v="57"/>
    <s v="XKX"/>
    <x v="3"/>
    <s v="SP.DYN.LE00.IN"/>
    <x v="64"/>
    <n v="53"/>
    <x v="4"/>
  </r>
  <r>
    <x v="57"/>
    <s v="XKX"/>
    <x v="3"/>
    <s v="SP.DYN.LE00.IN"/>
    <x v="34"/>
    <n v="54"/>
    <x v="4"/>
  </r>
  <r>
    <x v="57"/>
    <s v="XKX"/>
    <x v="3"/>
    <s v="SP.DYN.LE00.IN"/>
    <x v="35"/>
    <n v="55"/>
    <x v="4"/>
  </r>
  <r>
    <x v="57"/>
    <s v="XKX"/>
    <x v="3"/>
    <s v="SP.DYN.LE00.IN"/>
    <x v="36"/>
    <n v="55"/>
    <x v="4"/>
  </r>
  <r>
    <x v="57"/>
    <s v="XKX"/>
    <x v="3"/>
    <s v="SP.DYN.LE00.IN"/>
    <x v="37"/>
    <n v="56"/>
    <x v="4"/>
  </r>
  <r>
    <x v="57"/>
    <s v="XKX"/>
    <x v="3"/>
    <s v="SP.DYN.LE00.IN"/>
    <x v="38"/>
    <n v="56"/>
    <x v="4"/>
  </r>
  <r>
    <x v="57"/>
    <s v="XKX"/>
    <x v="3"/>
    <s v="SP.DYN.LE00.IN"/>
    <x v="39"/>
    <n v="57"/>
    <x v="4"/>
  </r>
  <r>
    <x v="57"/>
    <s v="XKX"/>
    <x v="3"/>
    <s v="SP.DYN.LE00.IN"/>
    <x v="40"/>
    <n v="58"/>
    <x v="4"/>
  </r>
  <r>
    <x v="57"/>
    <s v="XKX"/>
    <x v="3"/>
    <s v="SP.DYN.LE00.IN"/>
    <x v="41"/>
    <n v="58"/>
    <x v="5"/>
  </r>
  <r>
    <x v="57"/>
    <s v="XKX"/>
    <x v="3"/>
    <s v="SP.DYN.LE00.IN"/>
    <x v="42"/>
    <n v="59"/>
    <x v="5"/>
  </r>
  <r>
    <x v="57"/>
    <s v="XKX"/>
    <x v="3"/>
    <s v="SP.DYN.LE00.IN"/>
    <x v="43"/>
    <n v="59"/>
    <x v="5"/>
  </r>
  <r>
    <x v="57"/>
    <s v="XKX"/>
    <x v="3"/>
    <s v="SP.DYN.LE00.IN"/>
    <x v="44"/>
    <n v="60"/>
    <x v="5"/>
  </r>
  <r>
    <x v="57"/>
    <s v="XKX"/>
    <x v="3"/>
    <s v="SP.DYN.LE00.IN"/>
    <x v="45"/>
    <n v="60"/>
    <x v="5"/>
  </r>
  <r>
    <x v="57"/>
    <s v="XKX"/>
    <x v="3"/>
    <s v="SP.DYN.LE00.IN"/>
    <x v="46"/>
    <n v="60"/>
    <x v="5"/>
  </r>
  <r>
    <x v="57"/>
    <s v="XKX"/>
    <x v="3"/>
    <s v="SP.DYN.LE00.IN"/>
    <x v="47"/>
    <n v="61"/>
    <x v="5"/>
  </r>
  <r>
    <x v="57"/>
    <s v="XKX"/>
    <x v="3"/>
    <s v="SP.DYN.LE00.IN"/>
    <x v="48"/>
    <n v="61"/>
    <x v="5"/>
  </r>
  <r>
    <x v="57"/>
    <s v="XKX"/>
    <x v="3"/>
    <s v="SP.DYN.LE00.IN"/>
    <x v="49"/>
    <n v="61"/>
    <x v="5"/>
  </r>
  <r>
    <x v="57"/>
    <s v="XKX"/>
    <x v="3"/>
    <s v="SP.DYN.LE00.IN"/>
    <x v="50"/>
    <n v="63"/>
    <x v="5"/>
  </r>
  <r>
    <x v="57"/>
    <s v="XKX"/>
    <x v="3"/>
    <s v="SP.DYN.LE00.IN"/>
    <x v="51"/>
    <n v="64"/>
    <x v="0"/>
  </r>
  <r>
    <x v="57"/>
    <s v="XKX"/>
    <x v="3"/>
    <s v="SP.DYN.LE00.IN"/>
    <x v="52"/>
    <n v="64"/>
    <x v="0"/>
  </r>
  <r>
    <x v="57"/>
    <s v="XKX"/>
    <x v="3"/>
    <s v="SP.DYN.LE00.IN"/>
    <x v="53"/>
    <n v="65"/>
    <x v="0"/>
  </r>
  <r>
    <x v="57"/>
    <s v="XKX"/>
    <x v="3"/>
    <s v="SP.DYN.LE00.IN"/>
    <x v="0"/>
    <n v="67"/>
    <x v="0"/>
  </r>
  <r>
    <x v="57"/>
    <s v="XKX"/>
    <x v="3"/>
    <s v="SP.DYN.LE00.IN"/>
    <x v="1"/>
    <n v="66"/>
    <x v="0"/>
  </r>
  <r>
    <x v="57"/>
    <s v="XKX"/>
    <x v="3"/>
    <s v="SP.DYN.LE00.IN"/>
    <x v="2"/>
    <n v="67"/>
    <x v="0"/>
  </r>
  <r>
    <x v="57"/>
    <s v="XKX"/>
    <x v="3"/>
    <s v="SP.DYN.LE00.IN"/>
    <x v="3"/>
    <n v="68"/>
    <x v="0"/>
  </r>
  <r>
    <x v="57"/>
    <s v="XKX"/>
    <x v="3"/>
    <s v="SP.DYN.LE00.IN"/>
    <x v="4"/>
    <n v="69"/>
    <x v="0"/>
  </r>
  <r>
    <x v="57"/>
    <s v="XKX"/>
    <x v="3"/>
    <s v="SP.DYN.LE00.IN"/>
    <x v="5"/>
    <n v="69"/>
    <x v="0"/>
  </r>
  <r>
    <x v="57"/>
    <s v="XKX"/>
    <x v="3"/>
    <s v="SP.DYN.LE00.IN"/>
    <x v="6"/>
    <n v="69"/>
    <x v="0"/>
  </r>
  <r>
    <x v="57"/>
    <s v="XKX"/>
    <x v="3"/>
    <s v="SP.DYN.LE00.IN"/>
    <x v="7"/>
    <n v="70"/>
    <x v="1"/>
  </r>
  <r>
    <x v="57"/>
    <s v="XKX"/>
    <x v="3"/>
    <s v="SP.DYN.LE00.IN"/>
    <x v="8"/>
    <n v="69"/>
    <x v="1"/>
  </r>
  <r>
    <x v="57"/>
    <s v="XKX"/>
    <x v="3"/>
    <s v="SP.DYN.LE00.IN"/>
    <x v="9"/>
    <n v="58"/>
    <x v="1"/>
  </r>
  <r>
    <x v="57"/>
    <s v="XKX"/>
    <x v="3"/>
    <s v="SP.DYN.LE00.IN"/>
    <x v="10"/>
    <n v="71"/>
    <x v="1"/>
  </r>
  <r>
    <x v="57"/>
    <s v="XKX"/>
    <x v="3"/>
    <s v="SP.DYN.LE00.IN"/>
    <x v="11"/>
    <n v="72"/>
    <x v="1"/>
  </r>
  <r>
    <x v="57"/>
    <s v="XKX"/>
    <x v="3"/>
    <s v="SP.DYN.LE00.IN"/>
    <x v="12"/>
    <n v="72"/>
    <x v="1"/>
  </r>
  <r>
    <x v="57"/>
    <s v="XKX"/>
    <x v="3"/>
    <s v="SP.DYN.LE00.IN"/>
    <x v="13"/>
    <n v="73"/>
    <x v="1"/>
  </r>
  <r>
    <x v="57"/>
    <s v="XKX"/>
    <x v="3"/>
    <s v="SP.DYN.LE00.IN"/>
    <x v="14"/>
    <n v="73"/>
    <x v="1"/>
  </r>
  <r>
    <x v="57"/>
    <s v="XKX"/>
    <x v="3"/>
    <s v="SP.DYN.LE00.IN"/>
    <x v="15"/>
    <n v="73"/>
    <x v="1"/>
  </r>
  <r>
    <x v="57"/>
    <s v="XKX"/>
    <x v="3"/>
    <s v="SP.DYN.LE00.IN"/>
    <x v="16"/>
    <n v="74"/>
    <x v="1"/>
  </r>
  <r>
    <x v="57"/>
    <s v="XKX"/>
    <x v="3"/>
    <s v="SP.DYN.LE00.IN"/>
    <x v="17"/>
    <n v="74"/>
    <x v="2"/>
  </r>
  <r>
    <x v="57"/>
    <s v="XKX"/>
    <x v="3"/>
    <s v="SP.DYN.LE00.IN"/>
    <x v="18"/>
    <n v="75"/>
    <x v="2"/>
  </r>
  <r>
    <x v="57"/>
    <s v="XKX"/>
    <x v="3"/>
    <s v="SP.DYN.LE00.IN"/>
    <x v="19"/>
    <n v="75"/>
    <x v="2"/>
  </r>
  <r>
    <x v="57"/>
    <s v="XKX"/>
    <x v="3"/>
    <s v="SP.DYN.LE00.IN"/>
    <x v="20"/>
    <n v="75"/>
    <x v="2"/>
  </r>
  <r>
    <x v="57"/>
    <s v="XKX"/>
    <x v="3"/>
    <s v="SP.DYN.LE00.IN"/>
    <x v="21"/>
    <n v="75"/>
    <x v="2"/>
  </r>
  <r>
    <x v="57"/>
    <s v="XKX"/>
    <x v="3"/>
    <s v="SP.DYN.LE00.IN"/>
    <x v="22"/>
    <n v="76"/>
    <x v="2"/>
  </r>
  <r>
    <x v="57"/>
    <s v="XKX"/>
    <x v="3"/>
    <s v="SP.DYN.LE00.IN"/>
    <x v="23"/>
    <n v="76"/>
    <x v="2"/>
  </r>
  <r>
    <x v="57"/>
    <s v="XKX"/>
    <x v="3"/>
    <s v="SP.DYN.LE00.IN"/>
    <x v="24"/>
    <n v="76"/>
    <x v="2"/>
  </r>
  <r>
    <x v="57"/>
    <s v="XKX"/>
    <x v="3"/>
    <s v="SP.DYN.LE00.IN"/>
    <x v="25"/>
    <n v="76"/>
    <x v="2"/>
  </r>
  <r>
    <x v="57"/>
    <s v="XKX"/>
    <x v="3"/>
    <s v="SP.DYN.LE00.IN"/>
    <x v="26"/>
    <n v="77"/>
    <x v="2"/>
  </r>
  <r>
    <x v="57"/>
    <s v="XKX"/>
    <x v="3"/>
    <s v="SP.DYN.LE00.IN"/>
    <x v="27"/>
    <n v="77"/>
    <x v="3"/>
  </r>
  <r>
    <x v="57"/>
    <s v="XKX"/>
    <x v="3"/>
    <s v="SP.DYN.LE00.IN"/>
    <x v="28"/>
    <n v="77"/>
    <x v="3"/>
  </r>
  <r>
    <x v="57"/>
    <s v="XKX"/>
    <x v="3"/>
    <s v="SP.DYN.LE00.IN"/>
    <x v="29"/>
    <n v="77"/>
    <x v="3"/>
  </r>
  <r>
    <x v="57"/>
    <s v="XKX"/>
    <x v="3"/>
    <s v="SP.DYN.LE00.IN"/>
    <x v="30"/>
    <n v="74"/>
    <x v="3"/>
  </r>
  <r>
    <x v="57"/>
    <s v="XKX"/>
    <x v="3"/>
    <s v="SP.DYN.LE00.IN"/>
    <x v="31"/>
    <n v="75"/>
    <x v="7"/>
  </r>
  <r>
    <x v="57"/>
    <s v="XKX"/>
    <x v="3"/>
    <s v="SP.DYN.LE00.IN"/>
    <x v="32"/>
    <n v="78"/>
    <x v="7"/>
  </r>
  <r>
    <x v="57"/>
    <s v="XKX"/>
    <x v="3"/>
    <s v="SP.DYN.LE00.IN"/>
    <x v="33"/>
    <n v="7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91E10-91CD-414F-B51C-BBA36D89C3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0" firstHeaderRow="1" firstDataRow="2" firstDataCol="1" rowPageCount="1" colPageCount="1"/>
  <pivotFields count="7">
    <pivotField axis="axisCol" showAll="0">
      <items count="59">
        <item h="1" x="0"/>
        <item h="1" x="1"/>
        <item x="2"/>
        <item h="1" x="3"/>
        <item x="4"/>
        <item h="1" x="8"/>
        <item x="5"/>
        <item h="1" x="7"/>
        <item h="1" x="6"/>
        <item h="1" x="10"/>
        <item h="1" x="25"/>
        <item x="11"/>
        <item h="1" x="12"/>
        <item h="1" x="14"/>
        <item x="16"/>
        <item h="1" x="19"/>
        <item h="1" x="17"/>
        <item h="1" x="18"/>
        <item h="1" x="21"/>
        <item h="1" x="13"/>
        <item h="1" x="22"/>
        <item h="1" x="23"/>
        <item h="1" x="24"/>
        <item h="1" x="26"/>
        <item h="1" x="29"/>
        <item h="1" x="28"/>
        <item h="1" x="27"/>
        <item h="1" x="30"/>
        <item h="1" x="31"/>
        <item h="1" x="57"/>
        <item h="1" x="32"/>
        <item h="1" x="36"/>
        <item h="1" x="33"/>
        <item h="1" x="34"/>
        <item h="1" x="35"/>
        <item h="1" x="38"/>
        <item h="1" x="37"/>
        <item h="1" x="40"/>
        <item h="1" x="41"/>
        <item h="1" x="39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15"/>
        <item h="1" x="51"/>
        <item h="1" x="9"/>
        <item h="1" x="52"/>
        <item h="1" x="54"/>
        <item h="1" x="53"/>
        <item h="1" x="55"/>
        <item h="1" x="20"/>
        <item h="1" x="56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6">
        <item x="55"/>
        <item x="56"/>
        <item x="57"/>
        <item x="58"/>
        <item x="59"/>
        <item x="60"/>
        <item x="61"/>
        <item x="62"/>
        <item x="63"/>
        <item x="64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54"/>
        <item t="default"/>
      </items>
    </pivotField>
    <pivotField dataField="1" numFmtId="1" showAll="0"/>
    <pivotField showAll="0"/>
  </pivotFields>
  <rowFields count="1">
    <field x="4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0"/>
  </colFields>
  <colItems count="6">
    <i>
      <x v="2"/>
    </i>
    <i>
      <x v="4"/>
    </i>
    <i>
      <x v="6"/>
    </i>
    <i>
      <x v="11"/>
    </i>
    <i>
      <x v="14"/>
    </i>
    <i t="grand">
      <x/>
    </i>
  </colItems>
  <pageFields count="1">
    <pageField fld="2" item="2" hier="-1"/>
  </pageFields>
  <dataFields count="1">
    <dataField name="Average of value" fld="5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7EC79-153B-4FF2-AF18-CDC6E0EA71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12" firstHeaderRow="1" firstDataRow="2" firstDataCol="1" rowPageCount="1" colPageCount="1"/>
  <pivotFields count="7">
    <pivotField axis="axisCol" showAll="0">
      <items count="59">
        <item h="1" x="0"/>
        <item h="1" x="1"/>
        <item x="2"/>
        <item h="1" x="3"/>
        <item h="1" x="4"/>
        <item x="8"/>
        <item h="1" x="5"/>
        <item h="1" x="7"/>
        <item h="1" x="6"/>
        <item h="1" x="10"/>
        <item h="1" x="25"/>
        <item x="11"/>
        <item h="1" x="12"/>
        <item h="1" x="14"/>
        <item h="1" x="16"/>
        <item x="19"/>
        <item h="1" x="17"/>
        <item h="1" x="18"/>
        <item h="1" x="21"/>
        <item x="13"/>
        <item h="1" x="22"/>
        <item h="1" x="23"/>
        <item h="1" x="24"/>
        <item h="1" x="26"/>
        <item h="1" x="29"/>
        <item h="1" x="28"/>
        <item h="1" x="27"/>
        <item h="1" x="30"/>
        <item h="1" x="31"/>
        <item h="1" x="57"/>
        <item h="1" x="32"/>
        <item h="1" x="36"/>
        <item h="1" x="33"/>
        <item h="1" x="34"/>
        <item h="1" x="35"/>
        <item h="1" x="38"/>
        <item h="1" x="37"/>
        <item h="1" x="40"/>
        <item h="1" x="41"/>
        <item h="1" x="39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15"/>
        <item h="1" x="51"/>
        <item h="1" x="9"/>
        <item h="1" x="52"/>
        <item h="1" x="54"/>
        <item h="1" x="53"/>
        <item h="1" x="55"/>
        <item h="1" x="20"/>
        <item h="1" x="56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dataField="1" numFmtId="1" showAll="0"/>
    <pivotField axis="axisRow" showAll="0">
      <items count="9">
        <item x="7"/>
        <item x="6"/>
        <item x="4"/>
        <item x="5"/>
        <item x="0"/>
        <item x="1"/>
        <item x="2"/>
        <item x="3"/>
        <item t="default"/>
      </items>
    </pivotField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6">
    <i>
      <x v="2"/>
    </i>
    <i>
      <x v="5"/>
    </i>
    <i>
      <x v="11"/>
    </i>
    <i>
      <x v="15"/>
    </i>
    <i>
      <x v="19"/>
    </i>
    <i t="grand">
      <x/>
    </i>
  </colItems>
  <pageFields count="1">
    <pageField fld="2" item="3" hier="-1"/>
  </pageFields>
  <dataFields count="1">
    <dataField name="Average of value" fld="5" subtotal="average" baseField="6" baseItem="0" numFmtId="1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E719E-B643-4863-9DB6-14533CCDDD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1" firstHeaderRow="1" firstDataRow="2" firstDataCol="1" rowPageCount="1" colPageCount="1"/>
  <pivotFields count="7">
    <pivotField axis="axisRow" showAll="0" sortType="descending">
      <items count="59">
        <item x="0"/>
        <item x="1"/>
        <item x="2"/>
        <item x="3"/>
        <item x="4"/>
        <item x="8"/>
        <item x="5"/>
        <item x="7"/>
        <item x="6"/>
        <item x="10"/>
        <item x="25"/>
        <item x="11"/>
        <item x="12"/>
        <item x="14"/>
        <item x="16"/>
        <item x="19"/>
        <item x="17"/>
        <item x="18"/>
        <item x="21"/>
        <item x="13"/>
        <item x="22"/>
        <item x="23"/>
        <item x="24"/>
        <item x="26"/>
        <item x="29"/>
        <item x="28"/>
        <item x="27"/>
        <item x="30"/>
        <item x="31"/>
        <item x="57"/>
        <item x="32"/>
        <item x="36"/>
        <item x="33"/>
        <item x="34"/>
        <item x="35"/>
        <item x="38"/>
        <item x="37"/>
        <item x="40"/>
        <item x="41"/>
        <item x="39"/>
        <item x="42"/>
        <item x="43"/>
        <item x="44"/>
        <item x="45"/>
        <item x="46"/>
        <item x="47"/>
        <item x="48"/>
        <item x="49"/>
        <item x="50"/>
        <item x="15"/>
        <item x="51"/>
        <item x="9"/>
        <item x="52"/>
        <item x="54"/>
        <item x="53"/>
        <item x="55"/>
        <item x="20"/>
        <item x="5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60"/>
            </reference>
          </references>
        </pivotArea>
      </autoSortScope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66"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33"/>
        <item h="1" x="54"/>
        <item t="default"/>
      </items>
    </pivotField>
    <pivotField dataField="1" numFmtId="1" showAll="0"/>
    <pivotField showAll="0"/>
  </pivotFields>
  <rowFields count="1">
    <field x="0"/>
  </rowFields>
  <rowItems count="57">
    <i>
      <x v="36"/>
    </i>
    <i>
      <x v="34"/>
    </i>
    <i>
      <x v="26"/>
    </i>
    <i>
      <x v="51"/>
    </i>
    <i>
      <x v="25"/>
    </i>
    <i>
      <x v="40"/>
    </i>
    <i>
      <x v="9"/>
    </i>
    <i>
      <x v="13"/>
    </i>
    <i>
      <x v="15"/>
    </i>
    <i>
      <x v="24"/>
    </i>
    <i>
      <x v="50"/>
    </i>
    <i>
      <x v="22"/>
    </i>
    <i>
      <x v="38"/>
    </i>
    <i>
      <x v="16"/>
    </i>
    <i>
      <x v="3"/>
    </i>
    <i>
      <x v="56"/>
    </i>
    <i>
      <x v="19"/>
    </i>
    <i>
      <x v="6"/>
    </i>
    <i>
      <x v="45"/>
    </i>
    <i>
      <x v="17"/>
    </i>
    <i>
      <x v="1"/>
    </i>
    <i>
      <x v="27"/>
    </i>
    <i>
      <x v="11"/>
    </i>
    <i>
      <x v="49"/>
    </i>
    <i>
      <x v="48"/>
    </i>
    <i>
      <x v="14"/>
    </i>
    <i>
      <x v="42"/>
    </i>
    <i>
      <x v="12"/>
    </i>
    <i>
      <x v="47"/>
    </i>
    <i>
      <x v="21"/>
    </i>
    <i>
      <x v="33"/>
    </i>
    <i>
      <x v="41"/>
    </i>
    <i>
      <x v="31"/>
    </i>
    <i>
      <x v="23"/>
    </i>
    <i>
      <x v="10"/>
    </i>
    <i>
      <x v="53"/>
    </i>
    <i>
      <x v="43"/>
    </i>
    <i>
      <x v="28"/>
    </i>
    <i>
      <x v="44"/>
    </i>
    <i>
      <x v="8"/>
    </i>
    <i>
      <x v="54"/>
    </i>
    <i>
      <x v="46"/>
    </i>
    <i>
      <x v="37"/>
    </i>
    <i>
      <x v="5"/>
    </i>
    <i>
      <x v="39"/>
    </i>
    <i>
      <x v="7"/>
    </i>
    <i>
      <x v="4"/>
    </i>
    <i>
      <x/>
    </i>
    <i>
      <x v="18"/>
    </i>
    <i>
      <x v="2"/>
    </i>
    <i>
      <x v="29"/>
    </i>
    <i>
      <x v="57"/>
    </i>
    <i>
      <x v="35"/>
    </i>
    <i>
      <x v="55"/>
    </i>
    <i>
      <x v="52"/>
    </i>
    <i>
      <x v="30"/>
    </i>
    <i t="grand">
      <x/>
    </i>
  </rowItems>
  <colFields count="1">
    <field x="4"/>
  </colFields>
  <colItems count="2">
    <i>
      <x v="60"/>
    </i>
    <i t="grand">
      <x/>
    </i>
  </colItems>
  <pageFields count="1">
    <pageField fld="2" item="2" hier="-1"/>
  </pageFields>
  <dataFields count="1">
    <dataField name="Average of value" fld="5" subtotal="average" baseField="4" baseItem="6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80719-CED3-47EF-B966-BC1E44F5D2B6}" name="Table1" displayName="Table1" ref="A1:L10912" totalsRowShown="0">
  <autoFilter ref="A1:L10912" xr:uid="{0F680719-CED3-47EF-B966-BC1E44F5D2B6}">
    <filterColumn colId="4">
      <filters>
        <filter val="2020"/>
      </filters>
    </filterColumn>
  </autoFilter>
  <tableColumns count="12">
    <tableColumn id="1" xr3:uid="{E63F4329-FDDA-4598-8B96-452D3D15602B}" name="CountryName"/>
    <tableColumn id="2" xr3:uid="{91C7C278-B332-454F-ADC7-E31C0DACC7DF}" name="CountryCode"/>
    <tableColumn id="3" xr3:uid="{F22BD60F-A29E-4D85-B329-ED5D93CCFF65}" name="IndicatorName"/>
    <tableColumn id="4" xr3:uid="{B09C58F2-B7F9-437E-B6A5-A68CD10826A1}" name="IndicatorCode"/>
    <tableColumn id="5" xr3:uid="{A8B50035-84C5-456B-AC11-70D40D24BFAE}" name="Year"/>
    <tableColumn id="6" xr3:uid="{F5C02679-8010-4C16-9641-E40649064F00}" name="value" dataDxfId="11"/>
    <tableColumn id="7" xr3:uid="{2CE88B04-A907-4F60-BEAF-3C5D9BED492C}" name="decade"/>
    <tableColumn id="8" xr3:uid="{3A195468-54EE-4145-8C13-677914FD9467}" name="mean" dataDxfId="10">
      <calculatedColumnFormula>AVERAGEIFS(Table1[value],Table1[IndicatorCode],Table1[[#This Row],[IndicatorCode]])</calculatedColumnFormula>
    </tableColumn>
    <tableColumn id="9" xr3:uid="{D924DC3E-B187-4EAF-904B-E59E33CC434C}" name="std_dev" dataDxfId="9">
      <calculatedColumnFormula array="1">_xlfn.STDEV.P(IF(Table1[IndicatorCode]=Table1[[#This Row],[IndicatorCode]],Table1[value]))</calculatedColumnFormula>
    </tableColumn>
    <tableColumn id="10" xr3:uid="{BF0CFD9E-977B-498B-981A-BD841A6B2D95}" name="z-score" dataDxfId="8">
      <calculatedColumnFormula>(Table1[[#This Row],[value]] - Table1[[#This Row],[mean]]) / Table1[[#This Row],[std_dev]]</calculatedColumnFormula>
    </tableColumn>
    <tableColumn id="11" xr3:uid="{D3B9A67A-1094-4CD1-A20A-9A310B0A388B}" name="Composite Development Score" dataDxfId="7">
      <calculatedColumnFormula>AVERAGEIF(Table1[CountryCode],Table1[[#This Row],[CountryCode]],Table1[z-score])</calculatedColumnFormula>
    </tableColumn>
    <tableColumn id="12" xr3:uid="{9AA58975-E09D-4895-8689-9D2FB57776D2}" name="Column1" dataDxfId="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1CC7-9BD8-4536-8EF1-71F41B2A2D23}">
  <dimension ref="A1:G70"/>
  <sheetViews>
    <sheetView workbookViewId="0">
      <selection activeCell="B4" sqref="B4"/>
    </sheetView>
  </sheetViews>
  <sheetFormatPr defaultRowHeight="14.4" x14ac:dyDescent="0.3"/>
  <cols>
    <col min="1" max="1" width="15.21875" bestFit="1" customWidth="1"/>
    <col min="2" max="2" width="32.5546875" bestFit="1" customWidth="1"/>
    <col min="3" max="3" width="9.88671875" bestFit="1" customWidth="1"/>
    <col min="4" max="4" width="7.77734375" bestFit="1" customWidth="1"/>
    <col min="5" max="5" width="6.77734375" bestFit="1" customWidth="1"/>
    <col min="6" max="6" width="7.109375" bestFit="1" customWidth="1"/>
    <col min="7" max="7" width="10.77734375" bestFit="1" customWidth="1"/>
    <col min="8" max="8" width="8" bestFit="1" customWidth="1"/>
    <col min="9" max="9" width="21.33203125" bestFit="1" customWidth="1"/>
    <col min="10" max="10" width="7.77734375" bestFit="1" customWidth="1"/>
    <col min="11" max="11" width="14.21875" bestFit="1" customWidth="1"/>
    <col min="12" max="12" width="7" bestFit="1" customWidth="1"/>
    <col min="13" max="13" width="8" bestFit="1" customWidth="1"/>
    <col min="14" max="14" width="7.33203125" bestFit="1" customWidth="1"/>
    <col min="15" max="15" width="8.6640625" bestFit="1" customWidth="1"/>
    <col min="16" max="16" width="7.109375" bestFit="1" customWidth="1"/>
    <col min="17" max="17" width="11.88671875" bestFit="1" customWidth="1"/>
    <col min="18" max="19" width="8" bestFit="1" customWidth="1"/>
    <col min="20" max="20" width="7.44140625" bestFit="1" customWidth="1"/>
    <col min="21" max="21" width="8.6640625" bestFit="1" customWidth="1"/>
    <col min="22" max="22" width="8" bestFit="1" customWidth="1"/>
    <col min="23" max="23" width="9.6640625" bestFit="1" customWidth="1"/>
    <col min="24" max="24" width="8.109375" bestFit="1" customWidth="1"/>
    <col min="25" max="26" width="8" bestFit="1" customWidth="1"/>
    <col min="27" max="27" width="10.33203125" bestFit="1" customWidth="1"/>
    <col min="28" max="28" width="8" bestFit="1" customWidth="1"/>
    <col min="29" max="29" width="10.5546875" bestFit="1" customWidth="1"/>
    <col min="30" max="30" width="7.21875" bestFit="1" customWidth="1"/>
    <col min="31" max="31" width="14.33203125" bestFit="1" customWidth="1"/>
    <col min="32" max="32" width="7" bestFit="1" customWidth="1"/>
    <col min="33" max="33" width="12.109375" bestFit="1" customWidth="1"/>
    <col min="34" max="34" width="8.77734375" bestFit="1" customWidth="1"/>
    <col min="35" max="35" width="11.5546875" bestFit="1" customWidth="1"/>
    <col min="36" max="36" width="8.5546875" bestFit="1" customWidth="1"/>
    <col min="37" max="37" width="8" bestFit="1" customWidth="1"/>
    <col min="38" max="38" width="11.5546875" bestFit="1" customWidth="1"/>
    <col min="39" max="39" width="11.21875" bestFit="1" customWidth="1"/>
    <col min="40" max="40" width="15.88671875" bestFit="1" customWidth="1"/>
    <col min="41" max="41" width="8" bestFit="1" customWidth="1"/>
    <col min="42" max="42" width="7" bestFit="1" customWidth="1"/>
    <col min="43" max="43" width="8.109375" bestFit="1" customWidth="1"/>
    <col min="44" max="44" width="8.44140625" bestFit="1" customWidth="1"/>
    <col min="45" max="45" width="16.88671875" bestFit="1" customWidth="1"/>
    <col min="46" max="46" width="10.6640625" bestFit="1" customWidth="1"/>
    <col min="47" max="47" width="7" bestFit="1" customWidth="1"/>
    <col min="48" max="48" width="14.33203125" bestFit="1" customWidth="1"/>
    <col min="49" max="49" width="8.109375" bestFit="1" customWidth="1"/>
    <col min="50" max="51" width="8" bestFit="1" customWidth="1"/>
    <col min="52" max="52" width="10.6640625" bestFit="1" customWidth="1"/>
    <col min="53" max="53" width="9" bestFit="1" customWidth="1"/>
    <col min="54" max="54" width="7.21875" bestFit="1" customWidth="1"/>
    <col min="55" max="55" width="12.5546875" bestFit="1" customWidth="1"/>
    <col min="56" max="56" width="7.5546875" bestFit="1" customWidth="1"/>
    <col min="57" max="57" width="14.77734375" bestFit="1" customWidth="1"/>
    <col min="58" max="58" width="10.21875" bestFit="1" customWidth="1"/>
    <col min="59" max="60" width="10.77734375" bestFit="1" customWidth="1"/>
  </cols>
  <sheetData>
    <row r="1" spans="1:7" x14ac:dyDescent="0.3">
      <c r="A1" s="2" t="s">
        <v>2</v>
      </c>
      <c r="B1" t="s">
        <v>127</v>
      </c>
      <c r="D1" t="s">
        <v>139</v>
      </c>
    </row>
    <row r="3" spans="1:7" x14ac:dyDescent="0.3">
      <c r="A3" s="2" t="s">
        <v>134</v>
      </c>
      <c r="B3" s="2" t="s">
        <v>131</v>
      </c>
    </row>
    <row r="4" spans="1:7" x14ac:dyDescent="0.3">
      <c r="A4" s="2" t="s">
        <v>133</v>
      </c>
      <c r="B4" t="s">
        <v>13</v>
      </c>
      <c r="C4" t="s">
        <v>17</v>
      </c>
      <c r="D4" t="s">
        <v>19</v>
      </c>
      <c r="E4" t="s">
        <v>31</v>
      </c>
      <c r="F4" t="s">
        <v>41</v>
      </c>
      <c r="G4" t="s">
        <v>132</v>
      </c>
    </row>
    <row r="5" spans="1:7" x14ac:dyDescent="0.3">
      <c r="A5" s="3">
        <v>1960</v>
      </c>
      <c r="B5" s="1"/>
      <c r="C5" s="1"/>
      <c r="D5" s="1">
        <v>11716</v>
      </c>
      <c r="E5" s="1"/>
      <c r="F5" s="1"/>
      <c r="G5" s="1">
        <v>11716</v>
      </c>
    </row>
    <row r="6" spans="1:7" x14ac:dyDescent="0.3">
      <c r="A6" s="3">
        <v>1961</v>
      </c>
      <c r="B6" s="1"/>
      <c r="C6" s="1"/>
      <c r="D6" s="1">
        <v>12258</v>
      </c>
      <c r="E6" s="1"/>
      <c r="F6" s="1"/>
      <c r="G6" s="1">
        <v>12258</v>
      </c>
    </row>
    <row r="7" spans="1:7" x14ac:dyDescent="0.3">
      <c r="A7" s="3">
        <v>1962</v>
      </c>
      <c r="B7" s="1"/>
      <c r="C7" s="1"/>
      <c r="D7" s="1">
        <v>12846</v>
      </c>
      <c r="E7" s="1"/>
      <c r="F7" s="1"/>
      <c r="G7" s="1">
        <v>12846</v>
      </c>
    </row>
    <row r="8" spans="1:7" x14ac:dyDescent="0.3">
      <c r="A8" s="3">
        <v>1963</v>
      </c>
      <c r="B8" s="1"/>
      <c r="C8" s="1"/>
      <c r="D8" s="1">
        <v>13305</v>
      </c>
      <c r="E8" s="1"/>
      <c r="F8" s="1"/>
      <c r="G8" s="1">
        <v>13305</v>
      </c>
    </row>
    <row r="9" spans="1:7" x14ac:dyDescent="0.3">
      <c r="A9" s="3">
        <v>1964</v>
      </c>
      <c r="B9" s="1"/>
      <c r="C9" s="1"/>
      <c r="D9" s="1">
        <v>14097</v>
      </c>
      <c r="E9" s="1"/>
      <c r="F9" s="1"/>
      <c r="G9" s="1">
        <v>14097</v>
      </c>
    </row>
    <row r="10" spans="1:7" x14ac:dyDescent="0.3">
      <c r="A10" s="3">
        <v>1965</v>
      </c>
      <c r="B10" s="1"/>
      <c r="C10" s="1"/>
      <c r="D10" s="1">
        <v>14467</v>
      </c>
      <c r="E10" s="1"/>
      <c r="F10" s="1"/>
      <c r="G10" s="1">
        <v>14467</v>
      </c>
    </row>
    <row r="11" spans="1:7" x14ac:dyDescent="0.3">
      <c r="A11" s="3">
        <v>1966</v>
      </c>
      <c r="B11" s="1"/>
      <c r="C11" s="1"/>
      <c r="D11" s="1">
        <v>14823</v>
      </c>
      <c r="E11" s="1"/>
      <c r="F11" s="1"/>
      <c r="G11" s="1">
        <v>14823</v>
      </c>
    </row>
    <row r="12" spans="1:7" x14ac:dyDescent="0.3">
      <c r="A12" s="3">
        <v>1967</v>
      </c>
      <c r="B12" s="1"/>
      <c r="C12" s="1"/>
      <c r="D12" s="1">
        <v>15311</v>
      </c>
      <c r="E12" s="1"/>
      <c r="F12" s="1"/>
      <c r="G12" s="1">
        <v>15311</v>
      </c>
    </row>
    <row r="13" spans="1:7" x14ac:dyDescent="0.3">
      <c r="A13" s="3">
        <v>1968</v>
      </c>
      <c r="B13" s="1"/>
      <c r="C13" s="1"/>
      <c r="D13" s="1">
        <v>15890</v>
      </c>
      <c r="E13" s="1"/>
      <c r="F13" s="1"/>
      <c r="G13" s="1">
        <v>15890</v>
      </c>
    </row>
    <row r="14" spans="1:7" x14ac:dyDescent="0.3">
      <c r="A14" s="3">
        <v>1969</v>
      </c>
      <c r="B14" s="1"/>
      <c r="C14" s="1"/>
      <c r="D14" s="1">
        <v>16896</v>
      </c>
      <c r="E14" s="1"/>
      <c r="F14" s="1"/>
      <c r="G14" s="1">
        <v>16896</v>
      </c>
    </row>
    <row r="15" spans="1:7" x14ac:dyDescent="0.3">
      <c r="A15" s="3">
        <v>1970</v>
      </c>
      <c r="B15" s="1"/>
      <c r="C15" s="1"/>
      <c r="D15" s="1">
        <v>17951</v>
      </c>
      <c r="E15" s="1"/>
      <c r="F15" s="1"/>
      <c r="G15" s="1">
        <v>17951</v>
      </c>
    </row>
    <row r="16" spans="1:7" x14ac:dyDescent="0.3">
      <c r="A16" s="3">
        <v>1971</v>
      </c>
      <c r="B16" s="1"/>
      <c r="C16" s="1"/>
      <c r="D16" s="1">
        <v>18633</v>
      </c>
      <c r="E16" s="1"/>
      <c r="F16" s="1"/>
      <c r="G16" s="1">
        <v>18633</v>
      </c>
    </row>
    <row r="17" spans="1:7" x14ac:dyDescent="0.3">
      <c r="A17" s="3">
        <v>1972</v>
      </c>
      <c r="B17" s="1"/>
      <c r="C17" s="1"/>
      <c r="D17" s="1">
        <v>19543</v>
      </c>
      <c r="E17" s="1"/>
      <c r="F17" s="1"/>
      <c r="G17" s="1">
        <v>19543</v>
      </c>
    </row>
    <row r="18" spans="1:7" x14ac:dyDescent="0.3">
      <c r="A18" s="3">
        <v>1973</v>
      </c>
      <c r="B18" s="1"/>
      <c r="C18" s="1"/>
      <c r="D18" s="1">
        <v>20725</v>
      </c>
      <c r="E18" s="1"/>
      <c r="F18" s="1"/>
      <c r="G18" s="1">
        <v>20725</v>
      </c>
    </row>
    <row r="19" spans="1:7" x14ac:dyDescent="0.3">
      <c r="A19" s="3">
        <v>1974</v>
      </c>
      <c r="B19" s="1"/>
      <c r="C19" s="1"/>
      <c r="D19" s="1">
        <v>21603</v>
      </c>
      <c r="E19" s="1"/>
      <c r="F19" s="1"/>
      <c r="G19" s="1">
        <v>21603</v>
      </c>
    </row>
    <row r="20" spans="1:7" x14ac:dyDescent="0.3">
      <c r="A20" s="3">
        <v>1975</v>
      </c>
      <c r="B20" s="1"/>
      <c r="C20" s="1"/>
      <c r="D20" s="1">
        <v>21117</v>
      </c>
      <c r="E20" s="1">
        <v>6173</v>
      </c>
      <c r="F20" s="1"/>
      <c r="G20" s="1">
        <v>13645</v>
      </c>
    </row>
    <row r="21" spans="1:7" x14ac:dyDescent="0.3">
      <c r="A21" s="3">
        <v>1976</v>
      </c>
      <c r="B21" s="1"/>
      <c r="C21" s="1"/>
      <c r="D21" s="1">
        <v>22271</v>
      </c>
      <c r="E21" s="1">
        <v>7485</v>
      </c>
      <c r="F21" s="1"/>
      <c r="G21" s="1">
        <v>14878</v>
      </c>
    </row>
    <row r="22" spans="1:7" x14ac:dyDescent="0.3">
      <c r="A22" s="3">
        <v>1977</v>
      </c>
      <c r="B22" s="1"/>
      <c r="C22" s="1"/>
      <c r="D22" s="1">
        <v>22383</v>
      </c>
      <c r="E22" s="1">
        <v>8708</v>
      </c>
      <c r="F22" s="1"/>
      <c r="G22" s="1">
        <v>15545.5</v>
      </c>
    </row>
    <row r="23" spans="1:7" x14ac:dyDescent="0.3">
      <c r="A23" s="3">
        <v>1978</v>
      </c>
      <c r="B23" s="1"/>
      <c r="C23" s="1"/>
      <c r="D23" s="1">
        <v>22997</v>
      </c>
      <c r="E23" s="1">
        <v>9351</v>
      </c>
      <c r="F23" s="1"/>
      <c r="G23" s="1">
        <v>16174</v>
      </c>
    </row>
    <row r="24" spans="1:7" x14ac:dyDescent="0.3">
      <c r="A24" s="3">
        <v>1979</v>
      </c>
      <c r="B24" s="1"/>
      <c r="C24" s="1"/>
      <c r="D24" s="1">
        <v>23515</v>
      </c>
      <c r="E24" s="1">
        <v>10198</v>
      </c>
      <c r="F24" s="1"/>
      <c r="G24" s="1">
        <v>16856.5</v>
      </c>
    </row>
    <row r="25" spans="1:7" x14ac:dyDescent="0.3">
      <c r="A25" s="3">
        <v>1980</v>
      </c>
      <c r="B25" s="1"/>
      <c r="C25" s="1"/>
      <c r="D25" s="1">
        <v>24532</v>
      </c>
      <c r="E25" s="1">
        <v>10668</v>
      </c>
      <c r="F25" s="1"/>
      <c r="G25" s="1">
        <v>17600</v>
      </c>
    </row>
    <row r="26" spans="1:7" x14ac:dyDescent="0.3">
      <c r="A26" s="3">
        <v>1981</v>
      </c>
      <c r="B26" s="1"/>
      <c r="C26" s="1"/>
      <c r="D26" s="1">
        <v>24465</v>
      </c>
      <c r="E26" s="1">
        <v>10756</v>
      </c>
      <c r="F26" s="1"/>
      <c r="G26" s="1">
        <v>17610.5</v>
      </c>
    </row>
    <row r="27" spans="1:7" x14ac:dyDescent="0.3">
      <c r="A27" s="3">
        <v>1982</v>
      </c>
      <c r="B27" s="1"/>
      <c r="C27" s="1"/>
      <c r="D27" s="1">
        <v>24617</v>
      </c>
      <c r="E27" s="1">
        <v>11270</v>
      </c>
      <c r="F27" s="1"/>
      <c r="G27" s="1">
        <v>17943.5</v>
      </c>
    </row>
    <row r="28" spans="1:7" x14ac:dyDescent="0.3">
      <c r="A28" s="3">
        <v>1983</v>
      </c>
      <c r="B28" s="1"/>
      <c r="C28" s="1"/>
      <c r="D28" s="1">
        <v>24696</v>
      </c>
      <c r="E28" s="1">
        <v>11801</v>
      </c>
      <c r="F28" s="1"/>
      <c r="G28" s="1">
        <v>18248.5</v>
      </c>
    </row>
    <row r="29" spans="1:7" x14ac:dyDescent="0.3">
      <c r="A29" s="3">
        <v>1984</v>
      </c>
      <c r="B29" s="1"/>
      <c r="C29" s="1"/>
      <c r="D29" s="1">
        <v>25305</v>
      </c>
      <c r="E29" s="1">
        <v>12669</v>
      </c>
      <c r="F29" s="1"/>
      <c r="G29" s="1">
        <v>18987</v>
      </c>
    </row>
    <row r="30" spans="1:7" x14ac:dyDescent="0.3">
      <c r="A30" s="3">
        <v>1985</v>
      </c>
      <c r="B30" s="1"/>
      <c r="C30" s="1"/>
      <c r="D30" s="1">
        <v>25715</v>
      </c>
      <c r="E30" s="1">
        <v>13128</v>
      </c>
      <c r="F30" s="1"/>
      <c r="G30" s="1">
        <v>19421.5</v>
      </c>
    </row>
    <row r="31" spans="1:7" x14ac:dyDescent="0.3">
      <c r="A31" s="3">
        <v>1986</v>
      </c>
      <c r="B31" s="1"/>
      <c r="C31" s="1"/>
      <c r="D31" s="1">
        <v>26175</v>
      </c>
      <c r="E31" s="1">
        <v>13459</v>
      </c>
      <c r="F31" s="1"/>
      <c r="G31" s="1">
        <v>19817</v>
      </c>
    </row>
    <row r="32" spans="1:7" x14ac:dyDescent="0.3">
      <c r="A32" s="3">
        <v>1987</v>
      </c>
      <c r="B32" s="1"/>
      <c r="C32" s="1"/>
      <c r="D32" s="1">
        <v>26756</v>
      </c>
      <c r="E32" s="1">
        <v>14254</v>
      </c>
      <c r="F32" s="1"/>
      <c r="G32" s="1">
        <v>20505</v>
      </c>
    </row>
    <row r="33" spans="1:7" x14ac:dyDescent="0.3">
      <c r="A33" s="3">
        <v>1988</v>
      </c>
      <c r="B33" s="1"/>
      <c r="C33" s="1"/>
      <c r="D33" s="1">
        <v>27930</v>
      </c>
      <c r="E33" s="1">
        <v>15323</v>
      </c>
      <c r="F33" s="1"/>
      <c r="G33" s="1">
        <v>21626.5</v>
      </c>
    </row>
    <row r="34" spans="1:7" x14ac:dyDescent="0.3">
      <c r="A34" s="3">
        <v>1989</v>
      </c>
      <c r="B34" s="1"/>
      <c r="C34" s="1"/>
      <c r="D34" s="1">
        <v>28795</v>
      </c>
      <c r="E34" s="1">
        <v>16306</v>
      </c>
      <c r="F34" s="1"/>
      <c r="G34" s="1">
        <v>22550.5</v>
      </c>
    </row>
    <row r="35" spans="1:7" x14ac:dyDescent="0.3">
      <c r="A35" s="3">
        <v>1990</v>
      </c>
      <c r="B35" s="1">
        <v>1644</v>
      </c>
      <c r="C35" s="1">
        <v>2866</v>
      </c>
      <c r="D35" s="1">
        <v>29610</v>
      </c>
      <c r="E35" s="1">
        <v>17144</v>
      </c>
      <c r="F35" s="1">
        <v>9341</v>
      </c>
      <c r="G35" s="1">
        <v>12121</v>
      </c>
    </row>
    <row r="36" spans="1:7" x14ac:dyDescent="0.3">
      <c r="A36" s="3">
        <v>1991</v>
      </c>
      <c r="B36" s="1">
        <v>1427</v>
      </c>
      <c r="C36" s="1">
        <v>2809</v>
      </c>
      <c r="D36" s="1">
        <v>30041</v>
      </c>
      <c r="E36" s="1">
        <v>16830</v>
      </c>
      <c r="F36" s="1">
        <v>8637</v>
      </c>
      <c r="G36" s="1">
        <v>11948.8</v>
      </c>
    </row>
    <row r="37" spans="1:7" x14ac:dyDescent="0.3">
      <c r="A37" s="3">
        <v>1992</v>
      </c>
      <c r="B37" s="1">
        <v>840</v>
      </c>
      <c r="C37" s="1">
        <v>2141</v>
      </c>
      <c r="D37" s="1">
        <v>30377</v>
      </c>
      <c r="E37" s="1">
        <v>17929</v>
      </c>
      <c r="F37" s="1">
        <v>6934</v>
      </c>
      <c r="G37" s="1">
        <v>11644.2</v>
      </c>
    </row>
    <row r="38" spans="1:7" x14ac:dyDescent="0.3">
      <c r="A38" s="3">
        <v>1993</v>
      </c>
      <c r="B38" s="1">
        <v>793</v>
      </c>
      <c r="C38" s="1">
        <v>1622</v>
      </c>
      <c r="D38" s="1">
        <v>29967</v>
      </c>
      <c r="E38" s="1">
        <v>17623</v>
      </c>
      <c r="F38" s="1">
        <v>6707</v>
      </c>
      <c r="G38" s="1">
        <v>11342.4</v>
      </c>
    </row>
    <row r="39" spans="1:7" x14ac:dyDescent="0.3">
      <c r="A39" s="3">
        <v>1994</v>
      </c>
      <c r="B39" s="1">
        <v>857</v>
      </c>
      <c r="C39" s="1">
        <v>1285</v>
      </c>
      <c r="D39" s="1">
        <v>30839</v>
      </c>
      <c r="E39" s="1">
        <v>18281</v>
      </c>
      <c r="F39" s="1">
        <v>6739</v>
      </c>
      <c r="G39" s="1">
        <v>11600.2</v>
      </c>
    </row>
    <row r="40" spans="1:7" x14ac:dyDescent="0.3">
      <c r="A40" s="3">
        <v>1995</v>
      </c>
      <c r="B40" s="1">
        <v>932</v>
      </c>
      <c r="C40" s="1">
        <v>1120</v>
      </c>
      <c r="D40" s="1">
        <v>31509</v>
      </c>
      <c r="E40" s="1">
        <v>19454</v>
      </c>
      <c r="F40" s="1">
        <v>7171</v>
      </c>
      <c r="G40" s="1">
        <v>12037.2</v>
      </c>
    </row>
    <row r="41" spans="1:7" x14ac:dyDescent="0.3">
      <c r="A41" s="3">
        <v>1996</v>
      </c>
      <c r="B41" s="1">
        <v>996</v>
      </c>
      <c r="C41" s="1">
        <v>1123</v>
      </c>
      <c r="D41" s="1">
        <v>31863</v>
      </c>
      <c r="E41" s="1">
        <v>19385</v>
      </c>
      <c r="F41" s="1">
        <v>7637</v>
      </c>
      <c r="G41" s="1">
        <v>12200.8</v>
      </c>
    </row>
    <row r="42" spans="1:7" x14ac:dyDescent="0.3">
      <c r="A42" s="3">
        <v>1997</v>
      </c>
      <c r="B42" s="1">
        <v>1039</v>
      </c>
      <c r="C42" s="1">
        <v>1177</v>
      </c>
      <c r="D42" s="1">
        <v>32992</v>
      </c>
      <c r="E42" s="1">
        <v>19617</v>
      </c>
      <c r="F42" s="1">
        <v>8733</v>
      </c>
      <c r="G42" s="1">
        <v>12711.6</v>
      </c>
    </row>
    <row r="43" spans="1:7" x14ac:dyDescent="0.3">
      <c r="A43" s="3">
        <v>1998</v>
      </c>
      <c r="B43" s="1">
        <v>1128</v>
      </c>
      <c r="C43" s="1">
        <v>1283</v>
      </c>
      <c r="D43" s="1">
        <v>33567</v>
      </c>
      <c r="E43" s="1">
        <v>20562</v>
      </c>
      <c r="F43" s="1">
        <v>9200</v>
      </c>
      <c r="G43" s="1">
        <v>13148</v>
      </c>
    </row>
    <row r="44" spans="1:7" x14ac:dyDescent="0.3">
      <c r="A44" s="3">
        <v>1999</v>
      </c>
      <c r="B44" s="1">
        <v>1180</v>
      </c>
      <c r="C44" s="1">
        <v>1366</v>
      </c>
      <c r="D44" s="1">
        <v>34677</v>
      </c>
      <c r="E44" s="1">
        <v>21350</v>
      </c>
      <c r="F44" s="1">
        <v>9134</v>
      </c>
      <c r="G44" s="1">
        <v>13541.4</v>
      </c>
    </row>
    <row r="45" spans="1:7" x14ac:dyDescent="0.3">
      <c r="A45" s="3">
        <v>2000</v>
      </c>
      <c r="B45" s="1">
        <v>1229</v>
      </c>
      <c r="C45" s="1">
        <v>1505</v>
      </c>
      <c r="D45" s="1">
        <v>35878</v>
      </c>
      <c r="E45" s="1">
        <v>22384</v>
      </c>
      <c r="F45" s="1">
        <v>10007</v>
      </c>
      <c r="G45" s="1">
        <v>14200.6</v>
      </c>
    </row>
    <row r="46" spans="1:7" x14ac:dyDescent="0.3">
      <c r="A46" s="3">
        <v>2001</v>
      </c>
      <c r="B46" s="1">
        <v>1351</v>
      </c>
      <c r="C46" s="1">
        <v>1641</v>
      </c>
      <c r="D46" s="1">
        <v>36148</v>
      </c>
      <c r="E46" s="1">
        <v>23019</v>
      </c>
      <c r="F46" s="1">
        <v>10663</v>
      </c>
      <c r="G46" s="1">
        <v>14564.4</v>
      </c>
    </row>
    <row r="47" spans="1:7" x14ac:dyDescent="0.3">
      <c r="A47" s="3">
        <v>2002</v>
      </c>
      <c r="B47" s="1">
        <v>1535</v>
      </c>
      <c r="C47" s="1">
        <v>1782</v>
      </c>
      <c r="D47" s="1">
        <v>36601</v>
      </c>
      <c r="E47" s="1">
        <v>23604</v>
      </c>
      <c r="F47" s="1">
        <v>11475</v>
      </c>
      <c r="G47" s="1">
        <v>14999.4</v>
      </c>
    </row>
    <row r="48" spans="1:7" x14ac:dyDescent="0.3">
      <c r="A48" s="3">
        <v>2003</v>
      </c>
      <c r="B48" s="1">
        <v>1760</v>
      </c>
      <c r="C48" s="1">
        <v>1950</v>
      </c>
      <c r="D48" s="1">
        <v>36826</v>
      </c>
      <c r="E48" s="1">
        <v>23931</v>
      </c>
      <c r="F48" s="1">
        <v>12424</v>
      </c>
      <c r="G48" s="1">
        <v>15378.2</v>
      </c>
    </row>
    <row r="49" spans="1:7" x14ac:dyDescent="0.3">
      <c r="A49" s="3">
        <v>2004</v>
      </c>
      <c r="B49" s="1">
        <v>1955</v>
      </c>
      <c r="C49" s="1">
        <v>2111</v>
      </c>
      <c r="D49" s="1">
        <v>37977</v>
      </c>
      <c r="E49" s="1">
        <v>24800</v>
      </c>
      <c r="F49" s="1">
        <v>13349</v>
      </c>
      <c r="G49" s="1">
        <v>16038.4</v>
      </c>
    </row>
    <row r="50" spans="1:7" x14ac:dyDescent="0.3">
      <c r="A50" s="3">
        <v>2005</v>
      </c>
      <c r="B50" s="1">
        <v>2240</v>
      </c>
      <c r="C50" s="1">
        <v>2674</v>
      </c>
      <c r="D50" s="1">
        <v>38645</v>
      </c>
      <c r="E50" s="1">
        <v>25631</v>
      </c>
      <c r="F50" s="1">
        <v>14704</v>
      </c>
      <c r="G50" s="1">
        <v>16778.8</v>
      </c>
    </row>
    <row r="51" spans="1:7" x14ac:dyDescent="0.3">
      <c r="A51" s="3">
        <v>2006</v>
      </c>
      <c r="B51" s="1">
        <v>2551</v>
      </c>
      <c r="C51" s="1">
        <v>3557</v>
      </c>
      <c r="D51" s="1">
        <v>39371</v>
      </c>
      <c r="E51" s="1">
        <v>26396</v>
      </c>
      <c r="F51" s="1">
        <v>16235</v>
      </c>
      <c r="G51" s="1">
        <v>17622</v>
      </c>
    </row>
    <row r="52" spans="1:7" x14ac:dyDescent="0.3">
      <c r="A52" s="3">
        <v>2007</v>
      </c>
      <c r="B52" s="1">
        <v>2919</v>
      </c>
      <c r="C52" s="1">
        <v>4412</v>
      </c>
      <c r="D52" s="1">
        <v>40520</v>
      </c>
      <c r="E52" s="1">
        <v>27157</v>
      </c>
      <c r="F52" s="1">
        <v>17543</v>
      </c>
      <c r="G52" s="1">
        <v>18510.2</v>
      </c>
    </row>
    <row r="53" spans="1:7" x14ac:dyDescent="0.3">
      <c r="A53" s="3">
        <v>2008</v>
      </c>
      <c r="B53" s="1">
        <v>3141</v>
      </c>
      <c r="C53" s="1">
        <v>4778</v>
      </c>
      <c r="D53" s="1">
        <v>40381</v>
      </c>
      <c r="E53" s="1">
        <v>27449</v>
      </c>
      <c r="F53" s="1">
        <v>16689</v>
      </c>
      <c r="G53" s="1">
        <v>18487.599999999999</v>
      </c>
    </row>
    <row r="54" spans="1:7" x14ac:dyDescent="0.3">
      <c r="A54" s="3">
        <v>2009</v>
      </c>
      <c r="B54" s="1">
        <v>2717</v>
      </c>
      <c r="C54" s="1">
        <v>5118</v>
      </c>
      <c r="D54" s="1">
        <v>39294</v>
      </c>
      <c r="E54" s="1">
        <v>26184</v>
      </c>
      <c r="F54" s="1">
        <v>14275</v>
      </c>
      <c r="G54" s="1">
        <v>17517.599999999999</v>
      </c>
    </row>
    <row r="55" spans="1:7" x14ac:dyDescent="0.3">
      <c r="A55" s="3">
        <v>2010</v>
      </c>
      <c r="B55" s="1">
        <v>2796</v>
      </c>
      <c r="C55" s="1">
        <v>5300</v>
      </c>
      <c r="D55" s="1">
        <v>39992</v>
      </c>
      <c r="E55" s="1">
        <v>26090</v>
      </c>
      <c r="F55" s="1">
        <v>14658</v>
      </c>
      <c r="G55" s="1">
        <v>17767.2</v>
      </c>
    </row>
    <row r="56" spans="1:7" x14ac:dyDescent="0.3">
      <c r="A56" s="3">
        <v>2011</v>
      </c>
      <c r="B56" s="1">
        <v>2944</v>
      </c>
      <c r="C56" s="1">
        <v>5149</v>
      </c>
      <c r="D56" s="1">
        <v>40237</v>
      </c>
      <c r="E56" s="1">
        <v>25539</v>
      </c>
      <c r="F56" s="1">
        <v>15821</v>
      </c>
      <c r="G56" s="1">
        <v>17938</v>
      </c>
    </row>
    <row r="57" spans="1:7" x14ac:dyDescent="0.3">
      <c r="A57" s="3">
        <v>2012</v>
      </c>
      <c r="B57" s="1">
        <v>3160</v>
      </c>
      <c r="C57" s="1">
        <v>5193</v>
      </c>
      <c r="D57" s="1">
        <v>40074</v>
      </c>
      <c r="E57" s="1">
        <v>24285</v>
      </c>
      <c r="F57" s="1">
        <v>16461</v>
      </c>
      <c r="G57" s="1">
        <v>17834.599999999999</v>
      </c>
    </row>
    <row r="58" spans="1:7" x14ac:dyDescent="0.3">
      <c r="A58" s="3">
        <v>2013</v>
      </c>
      <c r="B58" s="1">
        <v>3266</v>
      </c>
      <c r="C58" s="1">
        <v>5426</v>
      </c>
      <c r="D58" s="1">
        <v>40008</v>
      </c>
      <c r="E58" s="1">
        <v>22712</v>
      </c>
      <c r="F58" s="1">
        <v>16810</v>
      </c>
      <c r="G58" s="1">
        <v>17644.400000000001</v>
      </c>
    </row>
    <row r="59" spans="1:7" x14ac:dyDescent="0.3">
      <c r="A59" s="3">
        <v>2014</v>
      </c>
      <c r="B59" s="1">
        <v>3393</v>
      </c>
      <c r="C59" s="1">
        <v>5509</v>
      </c>
      <c r="D59" s="1">
        <v>40534</v>
      </c>
      <c r="E59" s="1">
        <v>22374</v>
      </c>
      <c r="F59" s="1">
        <v>17414</v>
      </c>
      <c r="G59" s="1">
        <v>17844.8</v>
      </c>
    </row>
    <row r="60" spans="1:7" x14ac:dyDescent="0.3">
      <c r="A60" s="3">
        <v>2015</v>
      </c>
      <c r="B60" s="1">
        <v>3512</v>
      </c>
      <c r="C60" s="1">
        <v>5501</v>
      </c>
      <c r="D60" s="1">
        <v>40894</v>
      </c>
      <c r="E60" s="1">
        <v>23088</v>
      </c>
      <c r="F60" s="1">
        <v>17722</v>
      </c>
      <c r="G60" s="1">
        <v>18143.400000000001</v>
      </c>
    </row>
    <row r="61" spans="1:7" x14ac:dyDescent="0.3">
      <c r="A61" s="3">
        <v>2016</v>
      </c>
      <c r="B61" s="1">
        <v>3534</v>
      </c>
      <c r="C61" s="1">
        <v>5273</v>
      </c>
      <c r="D61" s="1">
        <v>41173</v>
      </c>
      <c r="E61" s="1">
        <v>24478</v>
      </c>
      <c r="F61" s="1">
        <v>18265</v>
      </c>
      <c r="G61" s="1">
        <v>18544.599999999999</v>
      </c>
    </row>
    <row r="62" spans="1:7" x14ac:dyDescent="0.3">
      <c r="A62" s="3">
        <v>2017</v>
      </c>
      <c r="B62" s="1">
        <v>3815</v>
      </c>
      <c r="C62" s="1">
        <v>5229</v>
      </c>
      <c r="D62" s="1">
        <v>41619</v>
      </c>
      <c r="E62" s="1">
        <v>25666</v>
      </c>
      <c r="F62" s="1">
        <v>19271</v>
      </c>
      <c r="G62" s="1">
        <v>19120</v>
      </c>
    </row>
    <row r="63" spans="1:7" x14ac:dyDescent="0.3">
      <c r="A63" s="3">
        <v>2018</v>
      </c>
      <c r="B63" s="1">
        <v>4028</v>
      </c>
      <c r="C63" s="1">
        <v>5262</v>
      </c>
      <c r="D63" s="1">
        <v>42208</v>
      </c>
      <c r="E63" s="1">
        <v>26962</v>
      </c>
      <c r="F63" s="1">
        <v>19914</v>
      </c>
      <c r="G63" s="1">
        <v>19674.8</v>
      </c>
    </row>
    <row r="64" spans="1:7" x14ac:dyDescent="0.3">
      <c r="A64" s="3">
        <v>2019</v>
      </c>
      <c r="B64" s="1">
        <v>4343</v>
      </c>
      <c r="C64" s="1">
        <v>5347</v>
      </c>
      <c r="D64" s="1">
        <v>43006</v>
      </c>
      <c r="E64" s="1">
        <v>28167</v>
      </c>
      <c r="F64" s="1">
        <v>20580</v>
      </c>
      <c r="G64" s="1">
        <v>20288.599999999999</v>
      </c>
    </row>
    <row r="65" spans="1:7" x14ac:dyDescent="0.3">
      <c r="A65" s="3">
        <v>2020</v>
      </c>
      <c r="B65" s="1">
        <v>4032</v>
      </c>
      <c r="C65" s="1">
        <v>5088</v>
      </c>
      <c r="D65" s="1">
        <v>40769</v>
      </c>
      <c r="E65" s="1">
        <v>26896</v>
      </c>
      <c r="F65" s="1">
        <v>19947</v>
      </c>
      <c r="G65" s="1">
        <v>19346.400000000001</v>
      </c>
    </row>
    <row r="66" spans="1:7" x14ac:dyDescent="0.3">
      <c r="A66" s="3">
        <v>2021</v>
      </c>
      <c r="B66" s="1">
        <v>4265</v>
      </c>
      <c r="C66" s="1">
        <v>5350</v>
      </c>
      <c r="D66" s="1">
        <v>43141</v>
      </c>
      <c r="E66" s="1">
        <v>29517</v>
      </c>
      <c r="F66" s="1">
        <v>21571</v>
      </c>
      <c r="G66" s="1">
        <v>20768.8</v>
      </c>
    </row>
    <row r="67" spans="1:7" x14ac:dyDescent="0.3">
      <c r="A67" s="3">
        <v>2022</v>
      </c>
      <c r="B67" s="1">
        <v>4791</v>
      </c>
      <c r="C67" s="1">
        <v>5600</v>
      </c>
      <c r="D67" s="1">
        <v>44487</v>
      </c>
      <c r="E67" s="1">
        <v>31371</v>
      </c>
      <c r="F67" s="1">
        <v>21023</v>
      </c>
      <c r="G67" s="1">
        <v>21454.400000000001</v>
      </c>
    </row>
    <row r="68" spans="1:7" x14ac:dyDescent="0.3">
      <c r="A68" s="3">
        <v>2023</v>
      </c>
      <c r="B68" s="1">
        <v>5197</v>
      </c>
      <c r="C68" s="1">
        <v>5669</v>
      </c>
      <c r="D68" s="1">
        <v>44866</v>
      </c>
      <c r="E68" s="1">
        <v>31885</v>
      </c>
      <c r="F68" s="1">
        <v>20126</v>
      </c>
      <c r="G68" s="1">
        <v>21548.6</v>
      </c>
    </row>
    <row r="69" spans="1:7" x14ac:dyDescent="0.3">
      <c r="A69" s="3">
        <v>2024</v>
      </c>
      <c r="B69" s="1">
        <v>5378</v>
      </c>
      <c r="C69" s="1">
        <v>5871</v>
      </c>
      <c r="D69" s="1">
        <v>45046</v>
      </c>
      <c r="E69" s="1">
        <v>32617</v>
      </c>
      <c r="F69" s="1">
        <v>20078</v>
      </c>
      <c r="G69" s="1">
        <v>21798</v>
      </c>
    </row>
    <row r="70" spans="1:7" x14ac:dyDescent="0.3">
      <c r="A70" s="3" t="s">
        <v>132</v>
      </c>
      <c r="B70" s="1">
        <v>2591.0857142857144</v>
      </c>
      <c r="C70" s="1">
        <v>3631.0571428571429</v>
      </c>
      <c r="D70" s="1">
        <v>29791.846153846152</v>
      </c>
      <c r="E70" s="1">
        <v>20238.52</v>
      </c>
      <c r="F70" s="1">
        <v>14207.371428571429</v>
      </c>
      <c r="G70" s="1">
        <v>16651.95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4AED-E424-409B-8620-2D28ED407B53}">
  <dimension ref="A1:G12"/>
  <sheetViews>
    <sheetView workbookViewId="0">
      <selection activeCell="E1" sqref="E1"/>
    </sheetView>
  </sheetViews>
  <sheetFormatPr defaultRowHeight="14.4" x14ac:dyDescent="0.3"/>
  <cols>
    <col min="1" max="1" width="15.21875" bestFit="1" customWidth="1"/>
    <col min="2" max="2" width="33.44140625" bestFit="1" customWidth="1"/>
    <col min="3" max="3" width="7.109375" bestFit="1" customWidth="1"/>
    <col min="4" max="4" width="6.77734375" bestFit="1" customWidth="1"/>
    <col min="5" max="5" width="11.88671875" bestFit="1" customWidth="1"/>
    <col min="6" max="6" width="8.6640625" bestFit="1" customWidth="1"/>
    <col min="7" max="7" width="10.77734375" bestFit="1" customWidth="1"/>
    <col min="8" max="8" width="7.77734375" bestFit="1" customWidth="1"/>
    <col min="9" max="9" width="21.33203125" bestFit="1" customWidth="1"/>
    <col min="10" max="10" width="7.77734375" bestFit="1" customWidth="1"/>
    <col min="11" max="11" width="14.21875" bestFit="1" customWidth="1"/>
    <col min="12" max="12" width="7" bestFit="1" customWidth="1"/>
    <col min="13" max="13" width="6.77734375" bestFit="1" customWidth="1"/>
    <col min="14" max="14" width="7.33203125" bestFit="1" customWidth="1"/>
    <col min="15" max="15" width="8.6640625" bestFit="1" customWidth="1"/>
    <col min="16" max="16" width="7.109375" bestFit="1" customWidth="1"/>
    <col min="17" max="17" width="11.88671875" bestFit="1" customWidth="1"/>
    <col min="18" max="18" width="7.109375" bestFit="1" customWidth="1"/>
    <col min="19" max="19" width="6.5546875" bestFit="1" customWidth="1"/>
    <col min="20" max="20" width="7.44140625" bestFit="1" customWidth="1"/>
    <col min="21" max="21" width="8.6640625" bestFit="1" customWidth="1"/>
    <col min="22" max="22" width="8.21875" bestFit="1" customWidth="1"/>
    <col min="23" max="23" width="6.77734375" bestFit="1" customWidth="1"/>
    <col min="24" max="24" width="9.6640625" bestFit="1" customWidth="1"/>
    <col min="25" max="25" width="8.109375" bestFit="1" customWidth="1"/>
    <col min="26" max="26" width="7.109375" bestFit="1" customWidth="1"/>
    <col min="27" max="27" width="6.88671875" bestFit="1" customWidth="1"/>
    <col min="28" max="28" width="10.33203125" bestFit="1" customWidth="1"/>
    <col min="29" max="29" width="4.6640625" bestFit="1" customWidth="1"/>
    <col min="30" max="30" width="10.5546875" bestFit="1" customWidth="1"/>
    <col min="31" max="31" width="7.21875" bestFit="1" customWidth="1"/>
    <col min="32" max="32" width="14.33203125" bestFit="1" customWidth="1"/>
    <col min="33" max="33" width="6" bestFit="1" customWidth="1"/>
    <col min="34" max="34" width="12.109375" bestFit="1" customWidth="1"/>
    <col min="35" max="35" width="8.77734375" bestFit="1" customWidth="1"/>
    <col min="36" max="36" width="11.5546875" bestFit="1" customWidth="1"/>
    <col min="37" max="37" width="8.5546875" bestFit="1" customWidth="1"/>
    <col min="38" max="38" width="8" bestFit="1" customWidth="1"/>
    <col min="39" max="39" width="11.5546875" bestFit="1" customWidth="1"/>
    <col min="40" max="40" width="11.21875" bestFit="1" customWidth="1"/>
    <col min="41" max="41" width="15.88671875" bestFit="1" customWidth="1"/>
    <col min="42" max="42" width="7.5546875" bestFit="1" customWidth="1"/>
    <col min="43" max="43" width="6.88671875" bestFit="1" customWidth="1"/>
    <col min="44" max="44" width="8.109375" bestFit="1" customWidth="1"/>
    <col min="45" max="45" width="8.44140625" bestFit="1" customWidth="1"/>
    <col min="46" max="46" width="16.88671875" bestFit="1" customWidth="1"/>
    <col min="47" max="47" width="10.6640625" bestFit="1" customWidth="1"/>
    <col min="48" max="48" width="6.21875" bestFit="1" customWidth="1"/>
    <col min="49" max="49" width="14.33203125" bestFit="1" customWidth="1"/>
    <col min="50" max="50" width="8.109375" bestFit="1" customWidth="1"/>
    <col min="51" max="51" width="5.6640625" bestFit="1" customWidth="1"/>
    <col min="52" max="52" width="7.6640625" bestFit="1" customWidth="1"/>
    <col min="53" max="53" width="10.6640625" bestFit="1" customWidth="1"/>
    <col min="54" max="54" width="9" bestFit="1" customWidth="1"/>
    <col min="55" max="55" width="7.21875" bestFit="1" customWidth="1"/>
    <col min="56" max="56" width="12.5546875" bestFit="1" customWidth="1"/>
    <col min="57" max="57" width="7.5546875" bestFit="1" customWidth="1"/>
    <col min="58" max="58" width="14.77734375" bestFit="1" customWidth="1"/>
    <col min="59" max="59" width="10.21875" bestFit="1" customWidth="1"/>
    <col min="60" max="60" width="10.77734375" bestFit="1" customWidth="1"/>
  </cols>
  <sheetData>
    <row r="1" spans="1:7" x14ac:dyDescent="0.3">
      <c r="A1" s="2" t="s">
        <v>2</v>
      </c>
      <c r="B1" t="s">
        <v>129</v>
      </c>
      <c r="E1" t="s">
        <v>140</v>
      </c>
    </row>
    <row r="3" spans="1:7" x14ac:dyDescent="0.3">
      <c r="A3" s="2" t="s">
        <v>134</v>
      </c>
      <c r="B3" s="2" t="s">
        <v>131</v>
      </c>
    </row>
    <row r="4" spans="1:7" x14ac:dyDescent="0.3">
      <c r="A4" s="2" t="s">
        <v>133</v>
      </c>
      <c r="B4" t="s">
        <v>13</v>
      </c>
      <c r="C4" t="s">
        <v>25</v>
      </c>
      <c r="D4" t="s">
        <v>31</v>
      </c>
      <c r="E4" t="s">
        <v>47</v>
      </c>
      <c r="F4" t="s">
        <v>35</v>
      </c>
      <c r="G4" t="s">
        <v>132</v>
      </c>
    </row>
    <row r="5" spans="1:7" x14ac:dyDescent="0.3">
      <c r="A5" s="3">
        <v>1960</v>
      </c>
      <c r="B5" s="1">
        <v>64.5</v>
      </c>
      <c r="C5" s="1">
        <v>71.099999999999994</v>
      </c>
      <c r="D5" s="1">
        <v>69.099999999999994</v>
      </c>
      <c r="E5" s="1">
        <v>76.3</v>
      </c>
      <c r="F5" s="1">
        <v>73.3</v>
      </c>
      <c r="G5" s="1">
        <v>70.86</v>
      </c>
    </row>
    <row r="6" spans="1:7" x14ac:dyDescent="0.3">
      <c r="A6" s="3">
        <v>1970</v>
      </c>
      <c r="B6" s="1">
        <v>63</v>
      </c>
      <c r="C6" s="1">
        <v>70.8</v>
      </c>
      <c r="D6" s="1">
        <v>67.2</v>
      </c>
      <c r="E6" s="1">
        <v>75</v>
      </c>
      <c r="F6" s="1">
        <v>70.8</v>
      </c>
      <c r="G6" s="1">
        <v>69.36</v>
      </c>
    </row>
    <row r="7" spans="1:7" x14ac:dyDescent="0.3">
      <c r="A7" s="3">
        <v>1980</v>
      </c>
      <c r="B7" s="1">
        <v>65.7</v>
      </c>
      <c r="C7" s="1">
        <v>70.3</v>
      </c>
      <c r="D7" s="1">
        <v>73.3</v>
      </c>
      <c r="E7" s="1">
        <v>75.900000000000006</v>
      </c>
      <c r="F7" s="1">
        <v>73.2</v>
      </c>
      <c r="G7" s="1">
        <v>71.680000000000007</v>
      </c>
    </row>
    <row r="8" spans="1:7" x14ac:dyDescent="0.3">
      <c r="A8" s="3">
        <v>1990</v>
      </c>
      <c r="B8" s="1">
        <v>66.599999999999994</v>
      </c>
      <c r="C8" s="1">
        <v>69.900000000000006</v>
      </c>
      <c r="D8" s="1">
        <v>76</v>
      </c>
      <c r="E8" s="1">
        <v>76.5</v>
      </c>
      <c r="F8" s="1">
        <v>75.599999999999994</v>
      </c>
      <c r="G8" s="1">
        <v>72.92</v>
      </c>
    </row>
    <row r="9" spans="1:7" x14ac:dyDescent="0.3">
      <c r="A9" s="3">
        <v>2000</v>
      </c>
      <c r="B9" s="1">
        <v>72</v>
      </c>
      <c r="C9" s="1">
        <v>68.599999999999994</v>
      </c>
      <c r="D9" s="1">
        <v>78.3</v>
      </c>
      <c r="E9" s="1">
        <v>78.7</v>
      </c>
      <c r="F9" s="1">
        <v>78.099999999999994</v>
      </c>
      <c r="G9" s="1">
        <v>75.14</v>
      </c>
    </row>
    <row r="10" spans="1:7" x14ac:dyDescent="0.3">
      <c r="A10" s="3">
        <v>2010</v>
      </c>
      <c r="B10" s="1">
        <v>74</v>
      </c>
      <c r="C10" s="1">
        <v>71.599999999999994</v>
      </c>
      <c r="D10" s="1">
        <v>80.8</v>
      </c>
      <c r="E10" s="1">
        <v>81</v>
      </c>
      <c r="F10" s="1">
        <v>80.400000000000006</v>
      </c>
      <c r="G10" s="1">
        <v>77.56</v>
      </c>
    </row>
    <row r="11" spans="1:7" x14ac:dyDescent="0.3">
      <c r="A11" s="3">
        <v>2020</v>
      </c>
      <c r="B11" s="1">
        <v>75</v>
      </c>
      <c r="C11" s="1">
        <v>73.5</v>
      </c>
      <c r="D11" s="1">
        <v>81.5</v>
      </c>
      <c r="E11" s="1">
        <v>82.25</v>
      </c>
      <c r="F11" s="1">
        <v>81</v>
      </c>
      <c r="G11" s="1">
        <v>78.650000000000006</v>
      </c>
    </row>
    <row r="12" spans="1:7" x14ac:dyDescent="0.3">
      <c r="A12" s="3" t="s">
        <v>132</v>
      </c>
      <c r="B12" s="1">
        <v>68.09375</v>
      </c>
      <c r="C12" s="1">
        <v>70.578125</v>
      </c>
      <c r="D12" s="1">
        <v>74.578125</v>
      </c>
      <c r="E12" s="1">
        <v>77.546875</v>
      </c>
      <c r="F12" s="1">
        <v>75.59375</v>
      </c>
      <c r="G12" s="1">
        <v>73.278125000000003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F559-7FD0-4131-B489-90758547B796}">
  <dimension ref="A1:D61"/>
  <sheetViews>
    <sheetView workbookViewId="0">
      <selection activeCell="A5" sqref="A5"/>
    </sheetView>
  </sheetViews>
  <sheetFormatPr defaultRowHeight="14.4" x14ac:dyDescent="0.3"/>
  <cols>
    <col min="1" max="1" width="20.5546875" bestFit="1" customWidth="1"/>
    <col min="2" max="2" width="32.5546875" bestFit="1" customWidth="1"/>
    <col min="3" max="3" width="10.77734375" bestFit="1" customWidth="1"/>
    <col min="4" max="4" width="35.44140625" bestFit="1" customWidth="1"/>
    <col min="5" max="29" width="6" bestFit="1" customWidth="1"/>
    <col min="30" max="66" width="7" bestFit="1" customWidth="1"/>
    <col min="67" max="67" width="10.77734375" bestFit="1" customWidth="1"/>
  </cols>
  <sheetData>
    <row r="1" spans="1:4" x14ac:dyDescent="0.3">
      <c r="A1" s="2" t="s">
        <v>2</v>
      </c>
      <c r="B1" t="s">
        <v>127</v>
      </c>
      <c r="D1" t="s">
        <v>141</v>
      </c>
    </row>
    <row r="3" spans="1:4" x14ac:dyDescent="0.3">
      <c r="A3" s="2" t="s">
        <v>134</v>
      </c>
      <c r="B3" s="2" t="s">
        <v>131</v>
      </c>
    </row>
    <row r="4" spans="1:4" x14ac:dyDescent="0.3">
      <c r="A4" s="2" t="s">
        <v>133</v>
      </c>
      <c r="B4">
        <v>2020</v>
      </c>
      <c r="C4" t="s">
        <v>132</v>
      </c>
    </row>
    <row r="5" spans="1:4" x14ac:dyDescent="0.3">
      <c r="A5" s="3" t="s">
        <v>83</v>
      </c>
      <c r="B5" s="1">
        <v>161263</v>
      </c>
      <c r="C5" s="1">
        <v>161263</v>
      </c>
    </row>
    <row r="6" spans="1:4" x14ac:dyDescent="0.3">
      <c r="A6" s="3" t="s">
        <v>79</v>
      </c>
      <c r="B6" s="1">
        <v>105274</v>
      </c>
      <c r="C6" s="1">
        <v>105274</v>
      </c>
    </row>
    <row r="7" spans="1:4" x14ac:dyDescent="0.3">
      <c r="A7" s="3" t="s">
        <v>63</v>
      </c>
      <c r="B7" s="1">
        <v>86595</v>
      </c>
      <c r="C7" s="1">
        <v>86595</v>
      </c>
    </row>
    <row r="8" spans="1:4" x14ac:dyDescent="0.3">
      <c r="A8" s="3" t="s">
        <v>27</v>
      </c>
      <c r="B8" s="1">
        <v>84637</v>
      </c>
      <c r="C8" s="1">
        <v>84637</v>
      </c>
    </row>
    <row r="9" spans="1:4" x14ac:dyDescent="0.3">
      <c r="A9" s="3" t="s">
        <v>65</v>
      </c>
      <c r="B9" s="1">
        <v>80928</v>
      </c>
      <c r="C9" s="1">
        <v>80928</v>
      </c>
    </row>
    <row r="10" spans="1:4" x14ac:dyDescent="0.3">
      <c r="A10" s="3" t="s">
        <v>93</v>
      </c>
      <c r="B10" s="1">
        <v>75287</v>
      </c>
      <c r="C10" s="1">
        <v>75287</v>
      </c>
    </row>
    <row r="11" spans="1:4" x14ac:dyDescent="0.3">
      <c r="A11" s="3" t="s">
        <v>29</v>
      </c>
      <c r="B11" s="1">
        <v>58637</v>
      </c>
      <c r="C11" s="1">
        <v>58637</v>
      </c>
    </row>
    <row r="12" spans="1:4" x14ac:dyDescent="0.3">
      <c r="A12" s="3" t="s">
        <v>37</v>
      </c>
      <c r="B12" s="1">
        <v>55935</v>
      </c>
      <c r="C12" s="1">
        <v>55935</v>
      </c>
    </row>
    <row r="13" spans="1:4" x14ac:dyDescent="0.3">
      <c r="A13" s="3" t="s">
        <v>47</v>
      </c>
      <c r="B13" s="1">
        <v>54302</v>
      </c>
      <c r="C13" s="1">
        <v>54302</v>
      </c>
    </row>
    <row r="14" spans="1:4" x14ac:dyDescent="0.3">
      <c r="A14" s="3" t="s">
        <v>67</v>
      </c>
      <c r="B14" s="1">
        <v>52464</v>
      </c>
      <c r="C14" s="1">
        <v>52464</v>
      </c>
    </row>
    <row r="15" spans="1:4" x14ac:dyDescent="0.3">
      <c r="A15" s="3" t="s">
        <v>111</v>
      </c>
      <c r="B15" s="1">
        <v>51625</v>
      </c>
      <c r="C15" s="1">
        <v>51625</v>
      </c>
    </row>
    <row r="16" spans="1:4" x14ac:dyDescent="0.3">
      <c r="A16" s="3" t="s">
        <v>57</v>
      </c>
      <c r="B16" s="1">
        <v>48170</v>
      </c>
      <c r="C16" s="1">
        <v>48170</v>
      </c>
    </row>
    <row r="17" spans="1:3" x14ac:dyDescent="0.3">
      <c r="A17" s="3" t="s">
        <v>91</v>
      </c>
      <c r="B17" s="1">
        <v>47087</v>
      </c>
      <c r="C17" s="1">
        <v>47087</v>
      </c>
    </row>
    <row r="18" spans="1:3" x14ac:dyDescent="0.3">
      <c r="A18" s="3" t="s">
        <v>43</v>
      </c>
      <c r="B18" s="1">
        <v>44691</v>
      </c>
      <c r="C18" s="1">
        <v>44691</v>
      </c>
    </row>
    <row r="19" spans="1:3" x14ac:dyDescent="0.3">
      <c r="A19" s="3" t="s">
        <v>15</v>
      </c>
      <c r="B19" s="1">
        <v>43429</v>
      </c>
      <c r="C19" s="1">
        <v>43429</v>
      </c>
    </row>
    <row r="20" spans="1:3" x14ac:dyDescent="0.3">
      <c r="A20" s="3" t="s">
        <v>49</v>
      </c>
      <c r="B20" s="1">
        <v>42982</v>
      </c>
      <c r="C20" s="1">
        <v>42982</v>
      </c>
    </row>
    <row r="21" spans="1:3" x14ac:dyDescent="0.3">
      <c r="A21" s="3" t="s">
        <v>35</v>
      </c>
      <c r="B21" s="1">
        <v>42373</v>
      </c>
      <c r="C21" s="1">
        <v>42373</v>
      </c>
    </row>
    <row r="22" spans="1:3" x14ac:dyDescent="0.3">
      <c r="A22" s="3" t="s">
        <v>19</v>
      </c>
      <c r="B22" s="1">
        <v>40769</v>
      </c>
      <c r="C22" s="1">
        <v>40769</v>
      </c>
    </row>
    <row r="23" spans="1:3" x14ac:dyDescent="0.3">
      <c r="A23" s="3" t="s">
        <v>103</v>
      </c>
      <c r="B23" s="1">
        <v>40507</v>
      </c>
      <c r="C23" s="1">
        <v>40507</v>
      </c>
    </row>
    <row r="24" spans="1:3" x14ac:dyDescent="0.3">
      <c r="A24" s="3" t="s">
        <v>45</v>
      </c>
      <c r="B24" s="1">
        <v>35709</v>
      </c>
      <c r="C24" s="1">
        <v>35709</v>
      </c>
    </row>
    <row r="25" spans="1:3" x14ac:dyDescent="0.3">
      <c r="A25" s="3" t="s">
        <v>11</v>
      </c>
      <c r="B25" s="1">
        <v>34537</v>
      </c>
      <c r="C25" s="1">
        <v>34537</v>
      </c>
    </row>
    <row r="26" spans="1:3" x14ac:dyDescent="0.3">
      <c r="A26" s="3" t="s">
        <v>69</v>
      </c>
      <c r="B26" s="1">
        <v>29470</v>
      </c>
      <c r="C26" s="1">
        <v>29470</v>
      </c>
    </row>
    <row r="27" spans="1:3" x14ac:dyDescent="0.3">
      <c r="A27" s="3" t="s">
        <v>31</v>
      </c>
      <c r="B27" s="1">
        <v>26896</v>
      </c>
      <c r="C27" s="1">
        <v>26896</v>
      </c>
    </row>
    <row r="28" spans="1:3" x14ac:dyDescent="0.3">
      <c r="A28" s="3" t="s">
        <v>39</v>
      </c>
      <c r="B28" s="1">
        <v>25077</v>
      </c>
      <c r="C28" s="1">
        <v>25077</v>
      </c>
    </row>
    <row r="29" spans="1:3" x14ac:dyDescent="0.3">
      <c r="A29" s="3" t="s">
        <v>109</v>
      </c>
      <c r="B29" s="1">
        <v>22812</v>
      </c>
      <c r="C29" s="1">
        <v>22812</v>
      </c>
    </row>
    <row r="30" spans="1:3" x14ac:dyDescent="0.3">
      <c r="A30" s="3" t="s">
        <v>41</v>
      </c>
      <c r="B30" s="1">
        <v>19947</v>
      </c>
      <c r="C30" s="1">
        <v>19947</v>
      </c>
    </row>
    <row r="31" spans="1:3" x14ac:dyDescent="0.3">
      <c r="A31" s="3" t="s">
        <v>97</v>
      </c>
      <c r="B31" s="1">
        <v>19779</v>
      </c>
      <c r="C31" s="1">
        <v>19779</v>
      </c>
    </row>
    <row r="32" spans="1:3" x14ac:dyDescent="0.3">
      <c r="A32" s="3" t="s">
        <v>33</v>
      </c>
      <c r="B32" s="1">
        <v>19233</v>
      </c>
      <c r="C32" s="1">
        <v>19233</v>
      </c>
    </row>
    <row r="33" spans="1:3" x14ac:dyDescent="0.3">
      <c r="A33" s="3" t="s">
        <v>107</v>
      </c>
      <c r="B33" s="1">
        <v>17764</v>
      </c>
      <c r="C33" s="1">
        <v>17764</v>
      </c>
    </row>
    <row r="34" spans="1:3" x14ac:dyDescent="0.3">
      <c r="A34" s="3" t="s">
        <v>55</v>
      </c>
      <c r="B34" s="1">
        <v>17487</v>
      </c>
      <c r="C34" s="1">
        <v>17487</v>
      </c>
    </row>
    <row r="35" spans="1:3" x14ac:dyDescent="0.3">
      <c r="A35" s="3" t="s">
        <v>77</v>
      </c>
      <c r="B35" s="1">
        <v>17444</v>
      </c>
      <c r="C35" s="1">
        <v>17444</v>
      </c>
    </row>
    <row r="36" spans="1:3" x14ac:dyDescent="0.3">
      <c r="A36" s="3" t="s">
        <v>95</v>
      </c>
      <c r="B36" s="1">
        <v>15090</v>
      </c>
      <c r="C36" s="1">
        <v>15090</v>
      </c>
    </row>
    <row r="37" spans="1:3" x14ac:dyDescent="0.3">
      <c r="A37" s="3" t="s">
        <v>81</v>
      </c>
      <c r="B37" s="1">
        <v>14901</v>
      </c>
      <c r="C37" s="1">
        <v>14901</v>
      </c>
    </row>
    <row r="38" spans="1:3" x14ac:dyDescent="0.3">
      <c r="A38" s="3" t="s">
        <v>61</v>
      </c>
      <c r="B38" s="1">
        <v>14664</v>
      </c>
      <c r="C38" s="1">
        <v>14664</v>
      </c>
    </row>
    <row r="39" spans="1:3" x14ac:dyDescent="0.3">
      <c r="A39" s="3" t="s">
        <v>59</v>
      </c>
      <c r="B39" s="1">
        <v>13545</v>
      </c>
      <c r="C39" s="1">
        <v>13545</v>
      </c>
    </row>
    <row r="40" spans="1:3" x14ac:dyDescent="0.3">
      <c r="A40" s="3" t="s">
        <v>117</v>
      </c>
      <c r="B40" s="1">
        <v>12339</v>
      </c>
      <c r="C40" s="1">
        <v>12339</v>
      </c>
    </row>
    <row r="41" spans="1:3" x14ac:dyDescent="0.3">
      <c r="A41" s="3" t="s">
        <v>99</v>
      </c>
      <c r="B41" s="1">
        <v>10854</v>
      </c>
      <c r="C41" s="1">
        <v>10854</v>
      </c>
    </row>
    <row r="42" spans="1:3" x14ac:dyDescent="0.3">
      <c r="A42" s="3" t="s">
        <v>71</v>
      </c>
      <c r="B42" s="1">
        <v>10565</v>
      </c>
      <c r="C42" s="1">
        <v>10565</v>
      </c>
    </row>
    <row r="43" spans="1:3" x14ac:dyDescent="0.3">
      <c r="A43" s="3" t="s">
        <v>101</v>
      </c>
      <c r="B43" s="1">
        <v>9632</v>
      </c>
      <c r="C43" s="1">
        <v>9632</v>
      </c>
    </row>
    <row r="44" spans="1:3" x14ac:dyDescent="0.3">
      <c r="A44" s="3" t="s">
        <v>21</v>
      </c>
      <c r="B44" s="1">
        <v>8440</v>
      </c>
      <c r="C44" s="1">
        <v>8440</v>
      </c>
    </row>
    <row r="45" spans="1:3" x14ac:dyDescent="0.3">
      <c r="A45" s="3" t="s">
        <v>115</v>
      </c>
      <c r="B45" s="1">
        <v>6965</v>
      </c>
      <c r="C45" s="1">
        <v>6965</v>
      </c>
    </row>
    <row r="46" spans="1:3" x14ac:dyDescent="0.3">
      <c r="A46" s="3" t="s">
        <v>105</v>
      </c>
      <c r="B46" s="1">
        <v>6851</v>
      </c>
      <c r="C46" s="1">
        <v>6851</v>
      </c>
    </row>
    <row r="47" spans="1:3" x14ac:dyDescent="0.3">
      <c r="A47" s="3" t="s">
        <v>89</v>
      </c>
      <c r="B47" s="1">
        <v>6352</v>
      </c>
      <c r="C47" s="1">
        <v>6352</v>
      </c>
    </row>
    <row r="48" spans="1:3" x14ac:dyDescent="0.3">
      <c r="A48" s="3" t="s">
        <v>25</v>
      </c>
      <c r="B48" s="1">
        <v>6252</v>
      </c>
      <c r="C48" s="1">
        <v>6252</v>
      </c>
    </row>
    <row r="49" spans="1:3" x14ac:dyDescent="0.3">
      <c r="A49" s="3" t="s">
        <v>87</v>
      </c>
      <c r="B49" s="1">
        <v>5744</v>
      </c>
      <c r="C49" s="1">
        <v>5744</v>
      </c>
    </row>
    <row r="50" spans="1:3" x14ac:dyDescent="0.3">
      <c r="A50" s="3" t="s">
        <v>23</v>
      </c>
      <c r="B50" s="1">
        <v>5491</v>
      </c>
      <c r="C50" s="1">
        <v>5491</v>
      </c>
    </row>
    <row r="51" spans="1:3" x14ac:dyDescent="0.3">
      <c r="A51" s="3" t="s">
        <v>17</v>
      </c>
      <c r="B51" s="1">
        <v>5088</v>
      </c>
      <c r="C51" s="1">
        <v>5088</v>
      </c>
    </row>
    <row r="52" spans="1:3" x14ac:dyDescent="0.3">
      <c r="A52" s="3" t="s">
        <v>7</v>
      </c>
      <c r="B52" s="1">
        <v>4981</v>
      </c>
      <c r="C52" s="1">
        <v>4981</v>
      </c>
    </row>
    <row r="53" spans="1:3" x14ac:dyDescent="0.3">
      <c r="A53" s="3" t="s">
        <v>51</v>
      </c>
      <c r="B53" s="1">
        <v>4660</v>
      </c>
      <c r="C53" s="1">
        <v>4660</v>
      </c>
    </row>
    <row r="54" spans="1:3" x14ac:dyDescent="0.3">
      <c r="A54" s="3" t="s">
        <v>13</v>
      </c>
      <c r="B54" s="1">
        <v>4032</v>
      </c>
      <c r="C54" s="1">
        <v>4032</v>
      </c>
    </row>
    <row r="55" spans="1:3" x14ac:dyDescent="0.3">
      <c r="A55" s="3" t="s">
        <v>123</v>
      </c>
      <c r="B55" s="1">
        <v>3991</v>
      </c>
      <c r="C55" s="1">
        <v>3991</v>
      </c>
    </row>
    <row r="56" spans="1:3" x14ac:dyDescent="0.3">
      <c r="A56" s="3" t="s">
        <v>121</v>
      </c>
      <c r="B56" s="1">
        <v>3249</v>
      </c>
      <c r="C56" s="1">
        <v>3249</v>
      </c>
    </row>
    <row r="57" spans="1:3" x14ac:dyDescent="0.3">
      <c r="A57" s="3" t="s">
        <v>85</v>
      </c>
      <c r="B57" s="1">
        <v>3189</v>
      </c>
      <c r="C57" s="1">
        <v>3189</v>
      </c>
    </row>
    <row r="58" spans="1:3" x14ac:dyDescent="0.3">
      <c r="A58" s="3" t="s">
        <v>119</v>
      </c>
      <c r="B58" s="1">
        <v>2324</v>
      </c>
      <c r="C58" s="1">
        <v>2324</v>
      </c>
    </row>
    <row r="59" spans="1:3" x14ac:dyDescent="0.3">
      <c r="A59" s="3" t="s">
        <v>113</v>
      </c>
      <c r="B59" s="1">
        <v>1172</v>
      </c>
      <c r="C59" s="1">
        <v>1172</v>
      </c>
    </row>
    <row r="60" spans="1:3" x14ac:dyDescent="0.3">
      <c r="A60" s="3" t="s">
        <v>73</v>
      </c>
      <c r="B60" s="1">
        <v>1093</v>
      </c>
      <c r="C60" s="1">
        <v>1093</v>
      </c>
    </row>
    <row r="61" spans="1:3" x14ac:dyDescent="0.3">
      <c r="A61" s="3" t="s">
        <v>132</v>
      </c>
      <c r="B61" s="1">
        <v>30081.678571428572</v>
      </c>
      <c r="C61" s="1">
        <v>30081.678571428572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1567-6805-4A7D-ACC4-2D06CE57A6DB}">
  <dimension ref="A1:L10912"/>
  <sheetViews>
    <sheetView tabSelected="1" workbookViewId="0">
      <selection activeCell="P183" sqref="P183"/>
    </sheetView>
  </sheetViews>
  <sheetFormatPr defaultRowHeight="14.4" x14ac:dyDescent="0.3"/>
  <cols>
    <col min="1" max="1" width="14.6640625" customWidth="1"/>
    <col min="2" max="2" width="14" customWidth="1"/>
    <col min="3" max="3" width="15.44140625" customWidth="1"/>
    <col min="4" max="4" width="14.77734375" customWidth="1"/>
    <col min="6" max="6" width="11.5546875" style="1" bestFit="1" customWidth="1"/>
    <col min="7" max="7" width="9" customWidth="1"/>
    <col min="11" max="11" width="13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136</v>
      </c>
      <c r="I1" t="s">
        <v>135</v>
      </c>
      <c r="J1" t="s">
        <v>137</v>
      </c>
      <c r="K1" t="s">
        <v>138</v>
      </c>
      <c r="L1" t="s">
        <v>142</v>
      </c>
    </row>
    <row r="2" spans="1:12" hidden="1" x14ac:dyDescent="0.3">
      <c r="A2" t="s">
        <v>7</v>
      </c>
      <c r="B2" t="s">
        <v>8</v>
      </c>
      <c r="C2" t="s">
        <v>9</v>
      </c>
      <c r="D2" t="s">
        <v>10</v>
      </c>
      <c r="E2">
        <v>1990</v>
      </c>
      <c r="F2" s="1">
        <v>100</v>
      </c>
      <c r="G2">
        <v>1990</v>
      </c>
      <c r="H2">
        <f>AVERAGEIFS(Table1[value],Table1[IndicatorCode],Table1[[#This Row],[IndicatorCode]])</f>
        <v>99.756410256410263</v>
      </c>
      <c r="I2" cm="1">
        <f t="array" ref="I2">_xlfn.STDEV.P(IF(Table1[IndicatorCode]=Table1[[#This Row],[IndicatorCode]],Table1[value]))</f>
        <v>1.1047979755287356</v>
      </c>
      <c r="J2">
        <f>(Table1[[#This Row],[value]] - Table1[[#This Row],[mean]]) / Table1[[#This Row],[std_dev]]</f>
        <v>0.22048351733552002</v>
      </c>
      <c r="K2">
        <f>AVERAGEIF(Table1[CountryCode],Table1[[#This Row],[CountryCode]],Table1[z-score])</f>
        <v>-0.54328248635894838</v>
      </c>
      <c r="L2" t="e">
        <f>VLOOKUP(Table1[[#This Row],[CountryCode]],[1]!Table1[#All],1,FALSE)</f>
        <v>#REF!</v>
      </c>
    </row>
    <row r="3" spans="1:12" hidden="1" x14ac:dyDescent="0.3">
      <c r="A3" t="s">
        <v>7</v>
      </c>
      <c r="B3" t="s">
        <v>8</v>
      </c>
      <c r="C3" t="s">
        <v>9</v>
      </c>
      <c r="D3" t="s">
        <v>10</v>
      </c>
      <c r="E3">
        <v>1991</v>
      </c>
      <c r="F3" s="1">
        <v>100</v>
      </c>
      <c r="G3">
        <v>1990</v>
      </c>
      <c r="H3">
        <f>AVERAGEIFS(Table1[value],Table1[IndicatorCode],Table1[[#This Row],[IndicatorCode]])</f>
        <v>99.756410256410263</v>
      </c>
      <c r="I3" cm="1">
        <f t="array" ref="I3">_xlfn.STDEV.P(IF(Table1[IndicatorCode]=Table1[[#This Row],[IndicatorCode]],Table1[value]))</f>
        <v>1.1047979755287356</v>
      </c>
      <c r="J3">
        <f>(Table1[[#This Row],[value]] - Table1[[#This Row],[mean]]) / Table1[[#This Row],[std_dev]]</f>
        <v>0.22048351733552002</v>
      </c>
      <c r="K3">
        <f>AVERAGEIF(Table1[CountryCode],Table1[[#This Row],[CountryCode]],Table1[z-score])</f>
        <v>-0.54328248635894838</v>
      </c>
      <c r="L3" t="e">
        <f>VLOOKUP(Table1[[#This Row],[CountryCode]],[1]!Table1[#All],1,FALSE)</f>
        <v>#REF!</v>
      </c>
    </row>
    <row r="4" spans="1:12" hidden="1" x14ac:dyDescent="0.3">
      <c r="A4" t="s">
        <v>7</v>
      </c>
      <c r="B4" t="s">
        <v>8</v>
      </c>
      <c r="C4" t="s">
        <v>9</v>
      </c>
      <c r="D4" t="s">
        <v>10</v>
      </c>
      <c r="E4">
        <v>1992</v>
      </c>
      <c r="F4" s="1">
        <v>100</v>
      </c>
      <c r="G4">
        <v>1990</v>
      </c>
      <c r="H4">
        <f>AVERAGEIFS(Table1[value],Table1[IndicatorCode],Table1[[#This Row],[IndicatorCode]])</f>
        <v>99.756410256410263</v>
      </c>
      <c r="I4" cm="1">
        <f t="array" ref="I4">_xlfn.STDEV.P(IF(Table1[IndicatorCode]=Table1[[#This Row],[IndicatorCode]],Table1[value]))</f>
        <v>1.1047979755287356</v>
      </c>
      <c r="J4">
        <f>(Table1[[#This Row],[value]] - Table1[[#This Row],[mean]]) / Table1[[#This Row],[std_dev]]</f>
        <v>0.22048351733552002</v>
      </c>
      <c r="K4">
        <f>AVERAGEIF(Table1[CountryCode],Table1[[#This Row],[CountryCode]],Table1[z-score])</f>
        <v>-0.54328248635894838</v>
      </c>
      <c r="L4" t="e">
        <f>VLOOKUP(Table1[[#This Row],[CountryCode]],[1]!Table1[#All],1,FALSE)</f>
        <v>#REF!</v>
      </c>
    </row>
    <row r="5" spans="1:12" hidden="1" x14ac:dyDescent="0.3">
      <c r="A5" t="s">
        <v>7</v>
      </c>
      <c r="B5" t="s">
        <v>8</v>
      </c>
      <c r="C5" t="s">
        <v>9</v>
      </c>
      <c r="D5" t="s">
        <v>10</v>
      </c>
      <c r="E5">
        <v>1993</v>
      </c>
      <c r="F5" s="1">
        <v>100</v>
      </c>
      <c r="G5">
        <v>1990</v>
      </c>
      <c r="H5">
        <f>AVERAGEIFS(Table1[value],Table1[IndicatorCode],Table1[[#This Row],[IndicatorCode]])</f>
        <v>99.756410256410263</v>
      </c>
      <c r="I5" cm="1">
        <f t="array" ref="I5">_xlfn.STDEV.P(IF(Table1[IndicatorCode]=Table1[[#This Row],[IndicatorCode]],Table1[value]))</f>
        <v>1.1047979755287356</v>
      </c>
      <c r="J5">
        <f>(Table1[[#This Row],[value]] - Table1[[#This Row],[mean]]) / Table1[[#This Row],[std_dev]]</f>
        <v>0.22048351733552002</v>
      </c>
      <c r="K5">
        <f>AVERAGEIF(Table1[CountryCode],Table1[[#This Row],[CountryCode]],Table1[z-score])</f>
        <v>-0.54328248635894838</v>
      </c>
      <c r="L5" t="e">
        <f>VLOOKUP(Table1[[#This Row],[CountryCode]],[1]!Table1[#All],1,FALSE)</f>
        <v>#REF!</v>
      </c>
    </row>
    <row r="6" spans="1:12" hidden="1" x14ac:dyDescent="0.3">
      <c r="A6" t="s">
        <v>7</v>
      </c>
      <c r="B6" t="s">
        <v>8</v>
      </c>
      <c r="C6" t="s">
        <v>9</v>
      </c>
      <c r="D6" t="s">
        <v>10</v>
      </c>
      <c r="E6">
        <v>1994</v>
      </c>
      <c r="F6" s="1">
        <v>100</v>
      </c>
      <c r="G6">
        <v>1990</v>
      </c>
      <c r="H6">
        <f>AVERAGEIFS(Table1[value],Table1[IndicatorCode],Table1[[#This Row],[IndicatorCode]])</f>
        <v>99.756410256410263</v>
      </c>
      <c r="I6" cm="1">
        <f t="array" ref="I6">_xlfn.STDEV.P(IF(Table1[IndicatorCode]=Table1[[#This Row],[IndicatorCode]],Table1[value]))</f>
        <v>1.1047979755287356</v>
      </c>
      <c r="J6">
        <f>(Table1[[#This Row],[value]] - Table1[[#This Row],[mean]]) / Table1[[#This Row],[std_dev]]</f>
        <v>0.22048351733552002</v>
      </c>
      <c r="K6">
        <f>AVERAGEIF(Table1[CountryCode],Table1[[#This Row],[CountryCode]],Table1[z-score])</f>
        <v>-0.54328248635894838</v>
      </c>
      <c r="L6" t="e">
        <f>VLOOKUP(Table1[[#This Row],[CountryCode]],[1]!Table1[#All],1,FALSE)</f>
        <v>#REF!</v>
      </c>
    </row>
    <row r="7" spans="1:12" hidden="1" x14ac:dyDescent="0.3">
      <c r="A7" t="s">
        <v>7</v>
      </c>
      <c r="B7" t="s">
        <v>8</v>
      </c>
      <c r="C7" t="s">
        <v>9</v>
      </c>
      <c r="D7" t="s">
        <v>10</v>
      </c>
      <c r="E7">
        <v>1995</v>
      </c>
      <c r="F7" s="1">
        <v>100</v>
      </c>
      <c r="G7">
        <v>1990</v>
      </c>
      <c r="H7">
        <f>AVERAGEIFS(Table1[value],Table1[IndicatorCode],Table1[[#This Row],[IndicatorCode]])</f>
        <v>99.756410256410263</v>
      </c>
      <c r="I7" cm="1">
        <f t="array" ref="I7">_xlfn.STDEV.P(IF(Table1[IndicatorCode]=Table1[[#This Row],[IndicatorCode]],Table1[value]))</f>
        <v>1.1047979755287356</v>
      </c>
      <c r="J7">
        <f>(Table1[[#This Row],[value]] - Table1[[#This Row],[mean]]) / Table1[[#This Row],[std_dev]]</f>
        <v>0.22048351733552002</v>
      </c>
      <c r="K7">
        <f>AVERAGEIF(Table1[CountryCode],Table1[[#This Row],[CountryCode]],Table1[z-score])</f>
        <v>-0.54328248635894838</v>
      </c>
      <c r="L7" t="e">
        <f>VLOOKUP(Table1[[#This Row],[CountryCode]],[1]!Table1[#All],1,FALSE)</f>
        <v>#REF!</v>
      </c>
    </row>
    <row r="8" spans="1:12" hidden="1" x14ac:dyDescent="0.3">
      <c r="A8" t="s">
        <v>7</v>
      </c>
      <c r="B8" t="s">
        <v>8</v>
      </c>
      <c r="C8" t="s">
        <v>9</v>
      </c>
      <c r="D8" t="s">
        <v>10</v>
      </c>
      <c r="E8">
        <v>1996</v>
      </c>
      <c r="F8" s="1">
        <v>100</v>
      </c>
      <c r="G8">
        <v>1990</v>
      </c>
      <c r="H8">
        <f>AVERAGEIFS(Table1[value],Table1[IndicatorCode],Table1[[#This Row],[IndicatorCode]])</f>
        <v>99.756410256410263</v>
      </c>
      <c r="I8" cm="1">
        <f t="array" ref="I8">_xlfn.STDEV.P(IF(Table1[IndicatorCode]=Table1[[#This Row],[IndicatorCode]],Table1[value]))</f>
        <v>1.1047979755287356</v>
      </c>
      <c r="J8">
        <f>(Table1[[#This Row],[value]] - Table1[[#This Row],[mean]]) / Table1[[#This Row],[std_dev]]</f>
        <v>0.22048351733552002</v>
      </c>
      <c r="K8">
        <f>AVERAGEIF(Table1[CountryCode],Table1[[#This Row],[CountryCode]],Table1[z-score])</f>
        <v>-0.54328248635894838</v>
      </c>
      <c r="L8" t="e">
        <f>VLOOKUP(Table1[[#This Row],[CountryCode]],[1]!Table1[#All],1,FALSE)</f>
        <v>#REF!</v>
      </c>
    </row>
    <row r="9" spans="1:12" hidden="1" x14ac:dyDescent="0.3">
      <c r="A9" t="s">
        <v>7</v>
      </c>
      <c r="B9" t="s">
        <v>8</v>
      </c>
      <c r="C9" t="s">
        <v>9</v>
      </c>
      <c r="D9" t="s">
        <v>10</v>
      </c>
      <c r="E9">
        <v>1997</v>
      </c>
      <c r="F9" s="1">
        <v>100</v>
      </c>
      <c r="G9">
        <v>2000</v>
      </c>
      <c r="H9">
        <f>AVERAGEIFS(Table1[value],Table1[IndicatorCode],Table1[[#This Row],[IndicatorCode]])</f>
        <v>99.756410256410263</v>
      </c>
      <c r="I9" cm="1">
        <f t="array" ref="I9">_xlfn.STDEV.P(IF(Table1[IndicatorCode]=Table1[[#This Row],[IndicatorCode]],Table1[value]))</f>
        <v>1.1047979755287356</v>
      </c>
      <c r="J9">
        <f>(Table1[[#This Row],[value]] - Table1[[#This Row],[mean]]) / Table1[[#This Row],[std_dev]]</f>
        <v>0.22048351733552002</v>
      </c>
      <c r="K9">
        <f>AVERAGEIF(Table1[CountryCode],Table1[[#This Row],[CountryCode]],Table1[z-score])</f>
        <v>-0.54328248635894838</v>
      </c>
      <c r="L9" t="e">
        <f>VLOOKUP(Table1[[#This Row],[CountryCode]],[1]!Table1[#All],1,FALSE)</f>
        <v>#REF!</v>
      </c>
    </row>
    <row r="10" spans="1:12" hidden="1" x14ac:dyDescent="0.3">
      <c r="A10" t="s">
        <v>7</v>
      </c>
      <c r="B10" t="s">
        <v>8</v>
      </c>
      <c r="C10" t="s">
        <v>9</v>
      </c>
      <c r="D10" t="s">
        <v>10</v>
      </c>
      <c r="E10">
        <v>1998</v>
      </c>
      <c r="F10" s="1">
        <v>100</v>
      </c>
      <c r="G10">
        <v>2000</v>
      </c>
      <c r="H10">
        <f>AVERAGEIFS(Table1[value],Table1[IndicatorCode],Table1[[#This Row],[IndicatorCode]])</f>
        <v>99.756410256410263</v>
      </c>
      <c r="I10" cm="1">
        <f t="array" ref="I10">_xlfn.STDEV.P(IF(Table1[IndicatorCode]=Table1[[#This Row],[IndicatorCode]],Table1[value]))</f>
        <v>1.1047979755287356</v>
      </c>
      <c r="J10">
        <f>(Table1[[#This Row],[value]] - Table1[[#This Row],[mean]]) / Table1[[#This Row],[std_dev]]</f>
        <v>0.22048351733552002</v>
      </c>
      <c r="K10">
        <f>AVERAGEIF(Table1[CountryCode],Table1[[#This Row],[CountryCode]],Table1[z-score])</f>
        <v>-0.54328248635894838</v>
      </c>
      <c r="L10" t="e">
        <f>VLOOKUP(Table1[[#This Row],[CountryCode]],[1]!Table1[#All],1,FALSE)</f>
        <v>#REF!</v>
      </c>
    </row>
    <row r="11" spans="1:12" hidden="1" x14ac:dyDescent="0.3">
      <c r="A11" t="s">
        <v>7</v>
      </c>
      <c r="B11" t="s">
        <v>8</v>
      </c>
      <c r="C11" t="s">
        <v>9</v>
      </c>
      <c r="D11" t="s">
        <v>10</v>
      </c>
      <c r="E11">
        <v>1999</v>
      </c>
      <c r="F11" s="1">
        <v>100</v>
      </c>
      <c r="G11">
        <v>2000</v>
      </c>
      <c r="H11">
        <f>AVERAGEIFS(Table1[value],Table1[IndicatorCode],Table1[[#This Row],[IndicatorCode]])</f>
        <v>99.756410256410263</v>
      </c>
      <c r="I11" cm="1">
        <f t="array" ref="I11">_xlfn.STDEV.P(IF(Table1[IndicatorCode]=Table1[[#This Row],[IndicatorCode]],Table1[value]))</f>
        <v>1.1047979755287356</v>
      </c>
      <c r="J11">
        <f>(Table1[[#This Row],[value]] - Table1[[#This Row],[mean]]) / Table1[[#This Row],[std_dev]]</f>
        <v>0.22048351733552002</v>
      </c>
      <c r="K11">
        <f>AVERAGEIF(Table1[CountryCode],Table1[[#This Row],[CountryCode]],Table1[z-score])</f>
        <v>-0.54328248635894838</v>
      </c>
      <c r="L11" t="e">
        <f>VLOOKUP(Table1[[#This Row],[CountryCode]],[1]!Table1[#All],1,FALSE)</f>
        <v>#REF!</v>
      </c>
    </row>
    <row r="12" spans="1:12" hidden="1" x14ac:dyDescent="0.3">
      <c r="A12" t="s">
        <v>7</v>
      </c>
      <c r="B12" t="s">
        <v>8</v>
      </c>
      <c r="C12" t="s">
        <v>9</v>
      </c>
      <c r="D12" t="s">
        <v>10</v>
      </c>
      <c r="E12">
        <v>2000</v>
      </c>
      <c r="F12" s="1">
        <v>99</v>
      </c>
      <c r="G12">
        <v>2000</v>
      </c>
      <c r="H12">
        <f>AVERAGEIFS(Table1[value],Table1[IndicatorCode],Table1[[#This Row],[IndicatorCode]])</f>
        <v>99.756410256410263</v>
      </c>
      <c r="I12" cm="1">
        <f t="array" ref="I12">_xlfn.STDEV.P(IF(Table1[IndicatorCode]=Table1[[#This Row],[IndicatorCode]],Table1[value]))</f>
        <v>1.1047979755287356</v>
      </c>
      <c r="J12">
        <f>(Table1[[#This Row],[value]] - Table1[[#This Row],[mean]]) / Table1[[#This Row],[std_dev]]</f>
        <v>-0.68465934330505884</v>
      </c>
      <c r="K12">
        <f>AVERAGEIF(Table1[CountryCode],Table1[[#This Row],[CountryCode]],Table1[z-score])</f>
        <v>-0.54328248635894838</v>
      </c>
      <c r="L12" t="e">
        <f>VLOOKUP(Table1[[#This Row],[CountryCode]],[1]!Table1[#All],1,FALSE)</f>
        <v>#REF!</v>
      </c>
    </row>
    <row r="13" spans="1:12" hidden="1" x14ac:dyDescent="0.3">
      <c r="A13" t="s">
        <v>7</v>
      </c>
      <c r="B13" t="s">
        <v>8</v>
      </c>
      <c r="C13" t="s">
        <v>9</v>
      </c>
      <c r="D13" t="s">
        <v>10</v>
      </c>
      <c r="E13">
        <v>2001</v>
      </c>
      <c r="F13" s="1">
        <v>99</v>
      </c>
      <c r="G13">
        <v>2000</v>
      </c>
      <c r="H13">
        <f>AVERAGEIFS(Table1[value],Table1[IndicatorCode],Table1[[#This Row],[IndicatorCode]])</f>
        <v>99.756410256410263</v>
      </c>
      <c r="I13" cm="1">
        <f t="array" ref="I13">_xlfn.STDEV.P(IF(Table1[IndicatorCode]=Table1[[#This Row],[IndicatorCode]],Table1[value]))</f>
        <v>1.1047979755287356</v>
      </c>
      <c r="J13">
        <f>(Table1[[#This Row],[value]] - Table1[[#This Row],[mean]]) / Table1[[#This Row],[std_dev]]</f>
        <v>-0.68465934330505884</v>
      </c>
      <c r="K13">
        <f>AVERAGEIF(Table1[CountryCode],Table1[[#This Row],[CountryCode]],Table1[z-score])</f>
        <v>-0.54328248635894838</v>
      </c>
      <c r="L13" t="e">
        <f>VLOOKUP(Table1[[#This Row],[CountryCode]],[1]!Table1[#All],1,FALSE)</f>
        <v>#REF!</v>
      </c>
    </row>
    <row r="14" spans="1:12" hidden="1" x14ac:dyDescent="0.3">
      <c r="A14" t="s">
        <v>7</v>
      </c>
      <c r="B14" t="s">
        <v>8</v>
      </c>
      <c r="C14" t="s">
        <v>9</v>
      </c>
      <c r="D14" t="s">
        <v>10</v>
      </c>
      <c r="E14">
        <v>2002</v>
      </c>
      <c r="F14" s="1">
        <v>99</v>
      </c>
      <c r="G14">
        <v>2000</v>
      </c>
      <c r="H14">
        <f>AVERAGEIFS(Table1[value],Table1[IndicatorCode],Table1[[#This Row],[IndicatorCode]])</f>
        <v>99.756410256410263</v>
      </c>
      <c r="I14" cm="1">
        <f t="array" ref="I14">_xlfn.STDEV.P(IF(Table1[IndicatorCode]=Table1[[#This Row],[IndicatorCode]],Table1[value]))</f>
        <v>1.1047979755287356</v>
      </c>
      <c r="J14">
        <f>(Table1[[#This Row],[value]] - Table1[[#This Row],[mean]]) / Table1[[#This Row],[std_dev]]</f>
        <v>-0.68465934330505884</v>
      </c>
      <c r="K14">
        <f>AVERAGEIF(Table1[CountryCode],Table1[[#This Row],[CountryCode]],Table1[z-score])</f>
        <v>-0.54328248635894838</v>
      </c>
      <c r="L14" t="e">
        <f>VLOOKUP(Table1[[#This Row],[CountryCode]],[1]!Table1[#All],1,FALSE)</f>
        <v>#REF!</v>
      </c>
    </row>
    <row r="15" spans="1:12" hidden="1" x14ac:dyDescent="0.3">
      <c r="A15" t="s">
        <v>7</v>
      </c>
      <c r="B15" t="s">
        <v>8</v>
      </c>
      <c r="C15" t="s">
        <v>9</v>
      </c>
      <c r="D15" t="s">
        <v>10</v>
      </c>
      <c r="E15">
        <v>2003</v>
      </c>
      <c r="F15" s="1">
        <v>99</v>
      </c>
      <c r="G15">
        <v>2000</v>
      </c>
      <c r="H15">
        <f>AVERAGEIFS(Table1[value],Table1[IndicatorCode],Table1[[#This Row],[IndicatorCode]])</f>
        <v>99.756410256410263</v>
      </c>
      <c r="I15" cm="1">
        <f t="array" ref="I15">_xlfn.STDEV.P(IF(Table1[IndicatorCode]=Table1[[#This Row],[IndicatorCode]],Table1[value]))</f>
        <v>1.1047979755287356</v>
      </c>
      <c r="J15">
        <f>(Table1[[#This Row],[value]] - Table1[[#This Row],[mean]]) / Table1[[#This Row],[std_dev]]</f>
        <v>-0.68465934330505884</v>
      </c>
      <c r="K15">
        <f>AVERAGEIF(Table1[CountryCode],Table1[[#This Row],[CountryCode]],Table1[z-score])</f>
        <v>-0.54328248635894838</v>
      </c>
      <c r="L15" t="e">
        <f>VLOOKUP(Table1[[#This Row],[CountryCode]],[1]!Table1[#All],1,FALSE)</f>
        <v>#REF!</v>
      </c>
    </row>
    <row r="16" spans="1:12" hidden="1" x14ac:dyDescent="0.3">
      <c r="A16" t="s">
        <v>7</v>
      </c>
      <c r="B16" t="s">
        <v>8</v>
      </c>
      <c r="C16" t="s">
        <v>9</v>
      </c>
      <c r="D16" t="s">
        <v>10</v>
      </c>
      <c r="E16">
        <v>2004</v>
      </c>
      <c r="F16" s="1">
        <v>99</v>
      </c>
      <c r="G16">
        <v>2000</v>
      </c>
      <c r="H16">
        <f>AVERAGEIFS(Table1[value],Table1[IndicatorCode],Table1[[#This Row],[IndicatorCode]])</f>
        <v>99.756410256410263</v>
      </c>
      <c r="I16" cm="1">
        <f t="array" ref="I16">_xlfn.STDEV.P(IF(Table1[IndicatorCode]=Table1[[#This Row],[IndicatorCode]],Table1[value]))</f>
        <v>1.1047979755287356</v>
      </c>
      <c r="J16">
        <f>(Table1[[#This Row],[value]] - Table1[[#This Row],[mean]]) / Table1[[#This Row],[std_dev]]</f>
        <v>-0.68465934330505884</v>
      </c>
      <c r="K16">
        <f>AVERAGEIF(Table1[CountryCode],Table1[[#This Row],[CountryCode]],Table1[z-score])</f>
        <v>-0.54328248635894838</v>
      </c>
      <c r="L16" t="e">
        <f>VLOOKUP(Table1[[#This Row],[CountryCode]],[1]!Table1[#All],1,FALSE)</f>
        <v>#REF!</v>
      </c>
    </row>
    <row r="17" spans="1:12" hidden="1" x14ac:dyDescent="0.3">
      <c r="A17" t="s">
        <v>7</v>
      </c>
      <c r="B17" t="s">
        <v>8</v>
      </c>
      <c r="C17" t="s">
        <v>9</v>
      </c>
      <c r="D17" t="s">
        <v>10</v>
      </c>
      <c r="E17">
        <v>2005</v>
      </c>
      <c r="F17" s="1">
        <v>99</v>
      </c>
      <c r="G17">
        <v>2000</v>
      </c>
      <c r="H17">
        <f>AVERAGEIFS(Table1[value],Table1[IndicatorCode],Table1[[#This Row],[IndicatorCode]])</f>
        <v>99.756410256410263</v>
      </c>
      <c r="I17" cm="1">
        <f t="array" ref="I17">_xlfn.STDEV.P(IF(Table1[IndicatorCode]=Table1[[#This Row],[IndicatorCode]],Table1[value]))</f>
        <v>1.1047979755287356</v>
      </c>
      <c r="J17">
        <f>(Table1[[#This Row],[value]] - Table1[[#This Row],[mean]]) / Table1[[#This Row],[std_dev]]</f>
        <v>-0.68465934330505884</v>
      </c>
      <c r="K17">
        <f>AVERAGEIF(Table1[CountryCode],Table1[[#This Row],[CountryCode]],Table1[z-score])</f>
        <v>-0.54328248635894838</v>
      </c>
      <c r="L17" t="e">
        <f>VLOOKUP(Table1[[#This Row],[CountryCode]],[1]!Table1[#All],1,FALSE)</f>
        <v>#REF!</v>
      </c>
    </row>
    <row r="18" spans="1:12" hidden="1" x14ac:dyDescent="0.3">
      <c r="A18" t="s">
        <v>7</v>
      </c>
      <c r="B18" t="s">
        <v>8</v>
      </c>
      <c r="C18" t="s">
        <v>9</v>
      </c>
      <c r="D18" t="s">
        <v>10</v>
      </c>
      <c r="E18">
        <v>2006</v>
      </c>
      <c r="F18" s="1">
        <v>99</v>
      </c>
      <c r="G18">
        <v>2000</v>
      </c>
      <c r="H18">
        <f>AVERAGEIFS(Table1[value],Table1[IndicatorCode],Table1[[#This Row],[IndicatorCode]])</f>
        <v>99.756410256410263</v>
      </c>
      <c r="I18" cm="1">
        <f t="array" ref="I18">_xlfn.STDEV.P(IF(Table1[IndicatorCode]=Table1[[#This Row],[IndicatorCode]],Table1[value]))</f>
        <v>1.1047979755287356</v>
      </c>
      <c r="J18">
        <f>(Table1[[#This Row],[value]] - Table1[[#This Row],[mean]]) / Table1[[#This Row],[std_dev]]</f>
        <v>-0.68465934330505884</v>
      </c>
      <c r="K18">
        <f>AVERAGEIF(Table1[CountryCode],Table1[[#This Row],[CountryCode]],Table1[z-score])</f>
        <v>-0.54328248635894838</v>
      </c>
      <c r="L18" t="e">
        <f>VLOOKUP(Table1[[#This Row],[CountryCode]],[1]!Table1[#All],1,FALSE)</f>
        <v>#REF!</v>
      </c>
    </row>
    <row r="19" spans="1:12" hidden="1" x14ac:dyDescent="0.3">
      <c r="A19" t="s">
        <v>7</v>
      </c>
      <c r="B19" t="s">
        <v>8</v>
      </c>
      <c r="C19" t="s">
        <v>9</v>
      </c>
      <c r="D19" t="s">
        <v>10</v>
      </c>
      <c r="E19">
        <v>2007</v>
      </c>
      <c r="F19" s="1">
        <v>99</v>
      </c>
      <c r="G19">
        <v>2010</v>
      </c>
      <c r="H19">
        <f>AVERAGEIFS(Table1[value],Table1[IndicatorCode],Table1[[#This Row],[IndicatorCode]])</f>
        <v>99.756410256410263</v>
      </c>
      <c r="I19" cm="1">
        <f t="array" ref="I19">_xlfn.STDEV.P(IF(Table1[IndicatorCode]=Table1[[#This Row],[IndicatorCode]],Table1[value]))</f>
        <v>1.1047979755287356</v>
      </c>
      <c r="J19">
        <f>(Table1[[#This Row],[value]] - Table1[[#This Row],[mean]]) / Table1[[#This Row],[std_dev]]</f>
        <v>-0.68465934330505884</v>
      </c>
      <c r="K19">
        <f>AVERAGEIF(Table1[CountryCode],Table1[[#This Row],[CountryCode]],Table1[z-score])</f>
        <v>-0.54328248635894838</v>
      </c>
      <c r="L19" t="e">
        <f>VLOOKUP(Table1[[#This Row],[CountryCode]],[1]!Table1[#All],1,FALSE)</f>
        <v>#REF!</v>
      </c>
    </row>
    <row r="20" spans="1:12" hidden="1" x14ac:dyDescent="0.3">
      <c r="A20" t="s">
        <v>7</v>
      </c>
      <c r="B20" t="s">
        <v>8</v>
      </c>
      <c r="C20" t="s">
        <v>9</v>
      </c>
      <c r="D20" t="s">
        <v>10</v>
      </c>
      <c r="E20">
        <v>2008</v>
      </c>
      <c r="F20" s="1">
        <v>100</v>
      </c>
      <c r="G20">
        <v>2010</v>
      </c>
      <c r="H20">
        <f>AVERAGEIFS(Table1[value],Table1[IndicatorCode],Table1[[#This Row],[IndicatorCode]])</f>
        <v>99.756410256410263</v>
      </c>
      <c r="I20" cm="1">
        <f t="array" ref="I20">_xlfn.STDEV.P(IF(Table1[IndicatorCode]=Table1[[#This Row],[IndicatorCode]],Table1[value]))</f>
        <v>1.1047979755287356</v>
      </c>
      <c r="J20">
        <f>(Table1[[#This Row],[value]] - Table1[[#This Row],[mean]]) / Table1[[#This Row],[std_dev]]</f>
        <v>0.22048351733552002</v>
      </c>
      <c r="K20">
        <f>AVERAGEIF(Table1[CountryCode],Table1[[#This Row],[CountryCode]],Table1[z-score])</f>
        <v>-0.54328248635894838</v>
      </c>
      <c r="L20" t="e">
        <f>VLOOKUP(Table1[[#This Row],[CountryCode]],[1]!Table1[#All],1,FALSE)</f>
        <v>#REF!</v>
      </c>
    </row>
    <row r="21" spans="1:12" hidden="1" x14ac:dyDescent="0.3">
      <c r="A21" t="s">
        <v>7</v>
      </c>
      <c r="B21" t="s">
        <v>8</v>
      </c>
      <c r="C21" t="s">
        <v>9</v>
      </c>
      <c r="D21" t="s">
        <v>10</v>
      </c>
      <c r="E21">
        <v>2009</v>
      </c>
      <c r="F21" s="1">
        <v>100</v>
      </c>
      <c r="G21">
        <v>2010</v>
      </c>
      <c r="H21">
        <f>AVERAGEIFS(Table1[value],Table1[IndicatorCode],Table1[[#This Row],[IndicatorCode]])</f>
        <v>99.756410256410263</v>
      </c>
      <c r="I21" cm="1">
        <f t="array" ref="I21">_xlfn.STDEV.P(IF(Table1[IndicatorCode]=Table1[[#This Row],[IndicatorCode]],Table1[value]))</f>
        <v>1.1047979755287356</v>
      </c>
      <c r="J21">
        <f>(Table1[[#This Row],[value]] - Table1[[#This Row],[mean]]) / Table1[[#This Row],[std_dev]]</f>
        <v>0.22048351733552002</v>
      </c>
      <c r="K21">
        <f>AVERAGEIF(Table1[CountryCode],Table1[[#This Row],[CountryCode]],Table1[z-score])</f>
        <v>-0.54328248635894838</v>
      </c>
      <c r="L21" t="e">
        <f>VLOOKUP(Table1[[#This Row],[CountryCode]],[1]!Table1[#All],1,FALSE)</f>
        <v>#REF!</v>
      </c>
    </row>
    <row r="22" spans="1:12" hidden="1" x14ac:dyDescent="0.3">
      <c r="A22" t="s">
        <v>7</v>
      </c>
      <c r="B22" t="s">
        <v>8</v>
      </c>
      <c r="C22" t="s">
        <v>9</v>
      </c>
      <c r="D22" t="s">
        <v>10</v>
      </c>
      <c r="E22">
        <v>2010</v>
      </c>
      <c r="F22" s="1">
        <v>100</v>
      </c>
      <c r="G22">
        <v>2010</v>
      </c>
      <c r="H22">
        <f>AVERAGEIFS(Table1[value],Table1[IndicatorCode],Table1[[#This Row],[IndicatorCode]])</f>
        <v>99.756410256410263</v>
      </c>
      <c r="I22" cm="1">
        <f t="array" ref="I22">_xlfn.STDEV.P(IF(Table1[IndicatorCode]=Table1[[#This Row],[IndicatorCode]],Table1[value]))</f>
        <v>1.1047979755287356</v>
      </c>
      <c r="J22">
        <f>(Table1[[#This Row],[value]] - Table1[[#This Row],[mean]]) / Table1[[#This Row],[std_dev]]</f>
        <v>0.22048351733552002</v>
      </c>
      <c r="K22">
        <f>AVERAGEIF(Table1[CountryCode],Table1[[#This Row],[CountryCode]],Table1[z-score])</f>
        <v>-0.54328248635894838</v>
      </c>
      <c r="L22" t="e">
        <f>VLOOKUP(Table1[[#This Row],[CountryCode]],[1]!Table1[#All],1,FALSE)</f>
        <v>#REF!</v>
      </c>
    </row>
    <row r="23" spans="1:12" hidden="1" x14ac:dyDescent="0.3">
      <c r="A23" t="s">
        <v>7</v>
      </c>
      <c r="B23" t="s">
        <v>8</v>
      </c>
      <c r="C23" t="s">
        <v>9</v>
      </c>
      <c r="D23" t="s">
        <v>10</v>
      </c>
      <c r="E23">
        <v>2011</v>
      </c>
      <c r="F23" s="1">
        <v>100</v>
      </c>
      <c r="G23">
        <v>2010</v>
      </c>
      <c r="H23">
        <f>AVERAGEIFS(Table1[value],Table1[IndicatorCode],Table1[[#This Row],[IndicatorCode]])</f>
        <v>99.756410256410263</v>
      </c>
      <c r="I23" cm="1">
        <f t="array" ref="I23">_xlfn.STDEV.P(IF(Table1[IndicatorCode]=Table1[[#This Row],[IndicatorCode]],Table1[value]))</f>
        <v>1.1047979755287356</v>
      </c>
      <c r="J23">
        <f>(Table1[[#This Row],[value]] - Table1[[#This Row],[mean]]) / Table1[[#This Row],[std_dev]]</f>
        <v>0.22048351733552002</v>
      </c>
      <c r="K23">
        <f>AVERAGEIF(Table1[CountryCode],Table1[[#This Row],[CountryCode]],Table1[z-score])</f>
        <v>-0.54328248635894838</v>
      </c>
      <c r="L23" t="e">
        <f>VLOOKUP(Table1[[#This Row],[CountryCode]],[1]!Table1[#All],1,FALSE)</f>
        <v>#REF!</v>
      </c>
    </row>
    <row r="24" spans="1:12" hidden="1" x14ac:dyDescent="0.3">
      <c r="A24" t="s">
        <v>7</v>
      </c>
      <c r="B24" t="s">
        <v>8</v>
      </c>
      <c r="C24" t="s">
        <v>9</v>
      </c>
      <c r="D24" t="s">
        <v>10</v>
      </c>
      <c r="E24">
        <v>2012</v>
      </c>
      <c r="F24" s="1">
        <v>100</v>
      </c>
      <c r="G24">
        <v>2010</v>
      </c>
      <c r="H24">
        <f>AVERAGEIFS(Table1[value],Table1[IndicatorCode],Table1[[#This Row],[IndicatorCode]])</f>
        <v>99.756410256410263</v>
      </c>
      <c r="I24" cm="1">
        <f t="array" ref="I24">_xlfn.STDEV.P(IF(Table1[IndicatorCode]=Table1[[#This Row],[IndicatorCode]],Table1[value]))</f>
        <v>1.1047979755287356</v>
      </c>
      <c r="J24">
        <f>(Table1[[#This Row],[value]] - Table1[[#This Row],[mean]]) / Table1[[#This Row],[std_dev]]</f>
        <v>0.22048351733552002</v>
      </c>
      <c r="K24">
        <f>AVERAGEIF(Table1[CountryCode],Table1[[#This Row],[CountryCode]],Table1[z-score])</f>
        <v>-0.54328248635894838</v>
      </c>
      <c r="L24" t="e">
        <f>VLOOKUP(Table1[[#This Row],[CountryCode]],[1]!Table1[#All],1,FALSE)</f>
        <v>#REF!</v>
      </c>
    </row>
    <row r="25" spans="1:12" hidden="1" x14ac:dyDescent="0.3">
      <c r="A25" t="s">
        <v>7</v>
      </c>
      <c r="B25" t="s">
        <v>8</v>
      </c>
      <c r="C25" t="s">
        <v>9</v>
      </c>
      <c r="D25" t="s">
        <v>10</v>
      </c>
      <c r="E25">
        <v>2013</v>
      </c>
      <c r="F25" s="1">
        <v>100</v>
      </c>
      <c r="G25">
        <v>2010</v>
      </c>
      <c r="H25">
        <f>AVERAGEIFS(Table1[value],Table1[IndicatorCode],Table1[[#This Row],[IndicatorCode]])</f>
        <v>99.756410256410263</v>
      </c>
      <c r="I25" cm="1">
        <f t="array" ref="I25">_xlfn.STDEV.P(IF(Table1[IndicatorCode]=Table1[[#This Row],[IndicatorCode]],Table1[value]))</f>
        <v>1.1047979755287356</v>
      </c>
      <c r="J25">
        <f>(Table1[[#This Row],[value]] - Table1[[#This Row],[mean]]) / Table1[[#This Row],[std_dev]]</f>
        <v>0.22048351733552002</v>
      </c>
      <c r="K25">
        <f>AVERAGEIF(Table1[CountryCode],Table1[[#This Row],[CountryCode]],Table1[z-score])</f>
        <v>-0.54328248635894838</v>
      </c>
      <c r="L25" t="e">
        <f>VLOOKUP(Table1[[#This Row],[CountryCode]],[1]!Table1[#All],1,FALSE)</f>
        <v>#REF!</v>
      </c>
    </row>
    <row r="26" spans="1:12" hidden="1" x14ac:dyDescent="0.3">
      <c r="A26" t="s">
        <v>7</v>
      </c>
      <c r="B26" t="s">
        <v>8</v>
      </c>
      <c r="C26" t="s">
        <v>9</v>
      </c>
      <c r="D26" t="s">
        <v>10</v>
      </c>
      <c r="E26">
        <v>2014</v>
      </c>
      <c r="F26" s="1">
        <v>100</v>
      </c>
      <c r="G26">
        <v>2010</v>
      </c>
      <c r="H26">
        <f>AVERAGEIFS(Table1[value],Table1[IndicatorCode],Table1[[#This Row],[IndicatorCode]])</f>
        <v>99.756410256410263</v>
      </c>
      <c r="I26" cm="1">
        <f t="array" ref="I26">_xlfn.STDEV.P(IF(Table1[IndicatorCode]=Table1[[#This Row],[IndicatorCode]],Table1[value]))</f>
        <v>1.1047979755287356</v>
      </c>
      <c r="J26">
        <f>(Table1[[#This Row],[value]] - Table1[[#This Row],[mean]]) / Table1[[#This Row],[std_dev]]</f>
        <v>0.22048351733552002</v>
      </c>
      <c r="K26">
        <f>AVERAGEIF(Table1[CountryCode],Table1[[#This Row],[CountryCode]],Table1[z-score])</f>
        <v>-0.54328248635894838</v>
      </c>
      <c r="L26" t="e">
        <f>VLOOKUP(Table1[[#This Row],[CountryCode]],[1]!Table1[#All],1,FALSE)</f>
        <v>#REF!</v>
      </c>
    </row>
    <row r="27" spans="1:12" hidden="1" x14ac:dyDescent="0.3">
      <c r="A27" t="s">
        <v>7</v>
      </c>
      <c r="B27" t="s">
        <v>8</v>
      </c>
      <c r="C27" t="s">
        <v>9</v>
      </c>
      <c r="D27" t="s">
        <v>10</v>
      </c>
      <c r="E27">
        <v>2015</v>
      </c>
      <c r="F27" s="1">
        <v>100</v>
      </c>
      <c r="G27">
        <v>2010</v>
      </c>
      <c r="H27">
        <f>AVERAGEIFS(Table1[value],Table1[IndicatorCode],Table1[[#This Row],[IndicatorCode]])</f>
        <v>99.756410256410263</v>
      </c>
      <c r="I27" cm="1">
        <f t="array" ref="I27">_xlfn.STDEV.P(IF(Table1[IndicatorCode]=Table1[[#This Row],[IndicatorCode]],Table1[value]))</f>
        <v>1.1047979755287356</v>
      </c>
      <c r="J27">
        <f>(Table1[[#This Row],[value]] - Table1[[#This Row],[mean]]) / Table1[[#This Row],[std_dev]]</f>
        <v>0.22048351733552002</v>
      </c>
      <c r="K27">
        <f>AVERAGEIF(Table1[CountryCode],Table1[[#This Row],[CountryCode]],Table1[z-score])</f>
        <v>-0.54328248635894838</v>
      </c>
      <c r="L27" t="e">
        <f>VLOOKUP(Table1[[#This Row],[CountryCode]],[1]!Table1[#All],1,FALSE)</f>
        <v>#REF!</v>
      </c>
    </row>
    <row r="28" spans="1:12" hidden="1" x14ac:dyDescent="0.3">
      <c r="A28" t="s">
        <v>7</v>
      </c>
      <c r="B28" t="s">
        <v>8</v>
      </c>
      <c r="C28" t="s">
        <v>9</v>
      </c>
      <c r="D28" t="s">
        <v>10</v>
      </c>
      <c r="E28">
        <v>2016</v>
      </c>
      <c r="F28" s="1">
        <v>100</v>
      </c>
      <c r="G28">
        <v>2010</v>
      </c>
      <c r="H28">
        <f>AVERAGEIFS(Table1[value],Table1[IndicatorCode],Table1[[#This Row],[IndicatorCode]])</f>
        <v>99.756410256410263</v>
      </c>
      <c r="I28" cm="1">
        <f t="array" ref="I28">_xlfn.STDEV.P(IF(Table1[IndicatorCode]=Table1[[#This Row],[IndicatorCode]],Table1[value]))</f>
        <v>1.1047979755287356</v>
      </c>
      <c r="J28">
        <f>(Table1[[#This Row],[value]] - Table1[[#This Row],[mean]]) / Table1[[#This Row],[std_dev]]</f>
        <v>0.22048351733552002</v>
      </c>
      <c r="K28">
        <f>AVERAGEIF(Table1[CountryCode],Table1[[#This Row],[CountryCode]],Table1[z-score])</f>
        <v>-0.54328248635894838</v>
      </c>
      <c r="L28" t="e">
        <f>VLOOKUP(Table1[[#This Row],[CountryCode]],[1]!Table1[#All],1,FALSE)</f>
        <v>#REF!</v>
      </c>
    </row>
    <row r="29" spans="1:12" hidden="1" x14ac:dyDescent="0.3">
      <c r="A29" t="s">
        <v>7</v>
      </c>
      <c r="B29" t="s">
        <v>8</v>
      </c>
      <c r="C29" t="s">
        <v>9</v>
      </c>
      <c r="D29" t="s">
        <v>10</v>
      </c>
      <c r="E29">
        <v>2017</v>
      </c>
      <c r="F29" s="1">
        <v>100</v>
      </c>
      <c r="G29">
        <v>2020</v>
      </c>
      <c r="H29">
        <f>AVERAGEIFS(Table1[value],Table1[IndicatorCode],Table1[[#This Row],[IndicatorCode]])</f>
        <v>99.756410256410263</v>
      </c>
      <c r="I29" cm="1">
        <f t="array" ref="I29">_xlfn.STDEV.P(IF(Table1[IndicatorCode]=Table1[[#This Row],[IndicatorCode]],Table1[value]))</f>
        <v>1.1047979755287356</v>
      </c>
      <c r="J29">
        <f>(Table1[[#This Row],[value]] - Table1[[#This Row],[mean]]) / Table1[[#This Row],[std_dev]]</f>
        <v>0.22048351733552002</v>
      </c>
      <c r="K29">
        <f>AVERAGEIF(Table1[CountryCode],Table1[[#This Row],[CountryCode]],Table1[z-score])</f>
        <v>-0.54328248635894838</v>
      </c>
      <c r="L29" t="e">
        <f>VLOOKUP(Table1[[#This Row],[CountryCode]],[1]!Table1[#All],1,FALSE)</f>
        <v>#REF!</v>
      </c>
    </row>
    <row r="30" spans="1:12" hidden="1" x14ac:dyDescent="0.3">
      <c r="A30" t="s">
        <v>7</v>
      </c>
      <c r="B30" t="s">
        <v>8</v>
      </c>
      <c r="C30" t="s">
        <v>9</v>
      </c>
      <c r="D30" t="s">
        <v>10</v>
      </c>
      <c r="E30">
        <v>2018</v>
      </c>
      <c r="F30" s="1">
        <v>100</v>
      </c>
      <c r="G30">
        <v>2020</v>
      </c>
      <c r="H30">
        <f>AVERAGEIFS(Table1[value],Table1[IndicatorCode],Table1[[#This Row],[IndicatorCode]])</f>
        <v>99.756410256410263</v>
      </c>
      <c r="I30" cm="1">
        <f t="array" ref="I30">_xlfn.STDEV.P(IF(Table1[IndicatorCode]=Table1[[#This Row],[IndicatorCode]],Table1[value]))</f>
        <v>1.1047979755287356</v>
      </c>
      <c r="J30">
        <f>(Table1[[#This Row],[value]] - Table1[[#This Row],[mean]]) / Table1[[#This Row],[std_dev]]</f>
        <v>0.22048351733552002</v>
      </c>
      <c r="K30">
        <f>AVERAGEIF(Table1[CountryCode],Table1[[#This Row],[CountryCode]],Table1[z-score])</f>
        <v>-0.54328248635894838</v>
      </c>
      <c r="L30" t="e">
        <f>VLOOKUP(Table1[[#This Row],[CountryCode]],[1]!Table1[#All],1,FALSE)</f>
        <v>#REF!</v>
      </c>
    </row>
    <row r="31" spans="1:12" hidden="1" x14ac:dyDescent="0.3">
      <c r="A31" t="s">
        <v>7</v>
      </c>
      <c r="B31" t="s">
        <v>8</v>
      </c>
      <c r="C31" t="s">
        <v>9</v>
      </c>
      <c r="D31" t="s">
        <v>10</v>
      </c>
      <c r="E31">
        <v>2019</v>
      </c>
      <c r="F31" s="1">
        <v>100</v>
      </c>
      <c r="G31">
        <v>2020</v>
      </c>
      <c r="H31">
        <f>AVERAGEIFS(Table1[value],Table1[IndicatorCode],Table1[[#This Row],[IndicatorCode]])</f>
        <v>99.756410256410263</v>
      </c>
      <c r="I31" cm="1">
        <f t="array" ref="I31">_xlfn.STDEV.P(IF(Table1[IndicatorCode]=Table1[[#This Row],[IndicatorCode]],Table1[value]))</f>
        <v>1.1047979755287356</v>
      </c>
      <c r="J31">
        <f>(Table1[[#This Row],[value]] - Table1[[#This Row],[mean]]) / Table1[[#This Row],[std_dev]]</f>
        <v>0.22048351733552002</v>
      </c>
      <c r="K31">
        <f>AVERAGEIF(Table1[CountryCode],Table1[[#This Row],[CountryCode]],Table1[z-score])</f>
        <v>-0.54328248635894838</v>
      </c>
      <c r="L31" t="e">
        <f>VLOOKUP(Table1[[#This Row],[CountryCode]],[1]!Table1[#All],1,FALSE)</f>
        <v>#REF!</v>
      </c>
    </row>
    <row r="32" spans="1:12" x14ac:dyDescent="0.3">
      <c r="A32" t="s">
        <v>7</v>
      </c>
      <c r="B32" t="s">
        <v>8</v>
      </c>
      <c r="C32" t="s">
        <v>9</v>
      </c>
      <c r="D32" t="s">
        <v>10</v>
      </c>
      <c r="E32">
        <v>2020</v>
      </c>
      <c r="F32" s="1">
        <v>100</v>
      </c>
      <c r="G32">
        <v>2020</v>
      </c>
      <c r="H32">
        <f>AVERAGEIFS(Table1[value],Table1[IndicatorCode],Table1[[#This Row],[IndicatorCode]])</f>
        <v>99.756410256410263</v>
      </c>
      <c r="I32" cm="1">
        <f t="array" ref="I32">_xlfn.STDEV.P(IF(Table1[IndicatorCode]=Table1[[#This Row],[IndicatorCode]],Table1[value]))</f>
        <v>1.1047979755287356</v>
      </c>
      <c r="J32">
        <f>(Table1[[#This Row],[value]] - Table1[[#This Row],[mean]]) / Table1[[#This Row],[std_dev]]</f>
        <v>0.22048351733552002</v>
      </c>
      <c r="K32">
        <f>AVERAGEIF(Table1[CountryCode],Table1[[#This Row],[CountryCode]],Table1[z-score])</f>
        <v>-0.54328248635894838</v>
      </c>
    </row>
    <row r="33" spans="1:12" hidden="1" x14ac:dyDescent="0.3">
      <c r="A33" t="s">
        <v>7</v>
      </c>
      <c r="B33" t="s">
        <v>8</v>
      </c>
      <c r="C33" t="s">
        <v>9</v>
      </c>
      <c r="D33" t="s">
        <v>10</v>
      </c>
      <c r="E33">
        <v>2021</v>
      </c>
      <c r="F33" s="1">
        <v>100</v>
      </c>
      <c r="G33">
        <v>1990</v>
      </c>
      <c r="H33">
        <f>AVERAGEIFS(Table1[value],Table1[IndicatorCode],Table1[[#This Row],[IndicatorCode]])</f>
        <v>99.756410256410263</v>
      </c>
      <c r="I33" cm="1">
        <f t="array" ref="I33">_xlfn.STDEV.P(IF(Table1[IndicatorCode]=Table1[[#This Row],[IndicatorCode]],Table1[value]))</f>
        <v>1.1047979755287356</v>
      </c>
      <c r="J33">
        <f>(Table1[[#This Row],[value]] - Table1[[#This Row],[mean]]) / Table1[[#This Row],[std_dev]]</f>
        <v>0.22048351733552002</v>
      </c>
      <c r="K33">
        <f>AVERAGEIF(Table1[CountryCode],Table1[[#This Row],[CountryCode]],Table1[z-score])</f>
        <v>-0.54328248635894838</v>
      </c>
      <c r="L33" t="e">
        <f>VLOOKUP(Table1[[#This Row],[CountryCode]],[1]!Table1[#All],1,FALSE)</f>
        <v>#REF!</v>
      </c>
    </row>
    <row r="34" spans="1:12" hidden="1" x14ac:dyDescent="0.3">
      <c r="A34" t="s">
        <v>7</v>
      </c>
      <c r="B34" t="s">
        <v>8</v>
      </c>
      <c r="C34" t="s">
        <v>9</v>
      </c>
      <c r="D34" t="s">
        <v>10</v>
      </c>
      <c r="E34">
        <v>2022</v>
      </c>
      <c r="F34" s="1">
        <v>100</v>
      </c>
      <c r="G34">
        <v>1990</v>
      </c>
      <c r="H34">
        <f>AVERAGEIFS(Table1[value],Table1[IndicatorCode],Table1[[#This Row],[IndicatorCode]])</f>
        <v>99.756410256410263</v>
      </c>
      <c r="I34" cm="1">
        <f t="array" ref="I34">_xlfn.STDEV.P(IF(Table1[IndicatorCode]=Table1[[#This Row],[IndicatorCode]],Table1[value]))</f>
        <v>1.1047979755287356</v>
      </c>
      <c r="J34">
        <f>(Table1[[#This Row],[value]] - Table1[[#This Row],[mean]]) / Table1[[#This Row],[std_dev]]</f>
        <v>0.22048351733552002</v>
      </c>
      <c r="K34">
        <f>AVERAGEIF(Table1[CountryCode],Table1[[#This Row],[CountryCode]],Table1[z-score])</f>
        <v>-0.54328248635894838</v>
      </c>
      <c r="L34" t="e">
        <f>VLOOKUP(Table1[[#This Row],[CountryCode]],[1]!Table1[#All],1,FALSE)</f>
        <v>#REF!</v>
      </c>
    </row>
    <row r="35" spans="1:12" hidden="1" x14ac:dyDescent="0.3">
      <c r="A35" t="s">
        <v>7</v>
      </c>
      <c r="B35" t="s">
        <v>8</v>
      </c>
      <c r="C35" t="s">
        <v>9</v>
      </c>
      <c r="D35" t="s">
        <v>10</v>
      </c>
      <c r="E35">
        <v>2023</v>
      </c>
      <c r="F35" s="1">
        <v>100</v>
      </c>
      <c r="G35">
        <v>1990</v>
      </c>
      <c r="H35">
        <f>AVERAGEIFS(Table1[value],Table1[IndicatorCode],Table1[[#This Row],[IndicatorCode]])</f>
        <v>99.756410256410263</v>
      </c>
      <c r="I35" cm="1">
        <f t="array" ref="I35">_xlfn.STDEV.P(IF(Table1[IndicatorCode]=Table1[[#This Row],[IndicatorCode]],Table1[value]))</f>
        <v>1.1047979755287356</v>
      </c>
      <c r="J35">
        <f>(Table1[[#This Row],[value]] - Table1[[#This Row],[mean]]) / Table1[[#This Row],[std_dev]]</f>
        <v>0.22048351733552002</v>
      </c>
      <c r="K35">
        <f>AVERAGEIF(Table1[CountryCode],Table1[[#This Row],[CountryCode]],Table1[z-score])</f>
        <v>-0.54328248635894838</v>
      </c>
      <c r="L35" t="e">
        <f>VLOOKUP(Table1[[#This Row],[CountryCode]],[1]!Table1[#All],1,FALSE)</f>
        <v>#REF!</v>
      </c>
    </row>
    <row r="36" spans="1:12" hidden="1" x14ac:dyDescent="0.3">
      <c r="A36" t="s">
        <v>11</v>
      </c>
      <c r="B36" t="s">
        <v>12</v>
      </c>
      <c r="C36" t="s">
        <v>9</v>
      </c>
      <c r="D36" t="s">
        <v>10</v>
      </c>
      <c r="E36">
        <v>1990</v>
      </c>
      <c r="F36" s="1">
        <v>100</v>
      </c>
      <c r="G36">
        <v>1990</v>
      </c>
      <c r="H36">
        <f>AVERAGEIFS(Table1[value],Table1[IndicatorCode],Table1[[#This Row],[IndicatorCode]])</f>
        <v>99.756410256410263</v>
      </c>
      <c r="I36" cm="1">
        <f t="array" ref="I36">_xlfn.STDEV.P(IF(Table1[IndicatorCode]=Table1[[#This Row],[IndicatorCode]],Table1[value]))</f>
        <v>1.1047979755287356</v>
      </c>
      <c r="J36">
        <f>(Table1[[#This Row],[value]] - Table1[[#This Row],[mean]]) / Table1[[#This Row],[std_dev]]</f>
        <v>0.22048351733552002</v>
      </c>
      <c r="K36">
        <f>AVERAGEIF(Table1[CountryCode],Table1[[#This Row],[CountryCode]],Table1[z-score])</f>
        <v>0.63319255148184794</v>
      </c>
      <c r="L36" t="e">
        <f>VLOOKUP(Table1[[#This Row],[CountryCode]],[1]!Table1[#All],1,FALSE)</f>
        <v>#REF!</v>
      </c>
    </row>
    <row r="37" spans="1:12" hidden="1" x14ac:dyDescent="0.3">
      <c r="A37" t="s">
        <v>11</v>
      </c>
      <c r="B37" t="s">
        <v>12</v>
      </c>
      <c r="C37" t="s">
        <v>9</v>
      </c>
      <c r="D37" t="s">
        <v>10</v>
      </c>
      <c r="E37">
        <v>1991</v>
      </c>
      <c r="F37" s="1">
        <v>100</v>
      </c>
      <c r="G37">
        <v>1990</v>
      </c>
      <c r="H37">
        <f>AVERAGEIFS(Table1[value],Table1[IndicatorCode],Table1[[#This Row],[IndicatorCode]])</f>
        <v>99.756410256410263</v>
      </c>
      <c r="I37" cm="1">
        <f t="array" ref="I37">_xlfn.STDEV.P(IF(Table1[IndicatorCode]=Table1[[#This Row],[IndicatorCode]],Table1[value]))</f>
        <v>1.1047979755287356</v>
      </c>
      <c r="J37">
        <f>(Table1[[#This Row],[value]] - Table1[[#This Row],[mean]]) / Table1[[#This Row],[std_dev]]</f>
        <v>0.22048351733552002</v>
      </c>
      <c r="K37">
        <f>AVERAGEIF(Table1[CountryCode],Table1[[#This Row],[CountryCode]],Table1[z-score])</f>
        <v>0.63319255148184794</v>
      </c>
      <c r="L37" t="e">
        <f>VLOOKUP(Table1[[#This Row],[CountryCode]],[1]!Table1[#All],1,FALSE)</f>
        <v>#REF!</v>
      </c>
    </row>
    <row r="38" spans="1:12" hidden="1" x14ac:dyDescent="0.3">
      <c r="A38" t="s">
        <v>11</v>
      </c>
      <c r="B38" t="s">
        <v>12</v>
      </c>
      <c r="C38" t="s">
        <v>9</v>
      </c>
      <c r="D38" t="s">
        <v>10</v>
      </c>
      <c r="E38">
        <v>1992</v>
      </c>
      <c r="F38" s="1">
        <v>100</v>
      </c>
      <c r="G38">
        <v>1990</v>
      </c>
      <c r="H38">
        <f>AVERAGEIFS(Table1[value],Table1[IndicatorCode],Table1[[#This Row],[IndicatorCode]])</f>
        <v>99.756410256410263</v>
      </c>
      <c r="I38" cm="1">
        <f t="array" ref="I38">_xlfn.STDEV.P(IF(Table1[IndicatorCode]=Table1[[#This Row],[IndicatorCode]],Table1[value]))</f>
        <v>1.1047979755287356</v>
      </c>
      <c r="J38">
        <f>(Table1[[#This Row],[value]] - Table1[[#This Row],[mean]]) / Table1[[#This Row],[std_dev]]</f>
        <v>0.22048351733552002</v>
      </c>
      <c r="K38">
        <f>AVERAGEIF(Table1[CountryCode],Table1[[#This Row],[CountryCode]],Table1[z-score])</f>
        <v>0.63319255148184794</v>
      </c>
      <c r="L38" t="e">
        <f>VLOOKUP(Table1[[#This Row],[CountryCode]],[1]!Table1[#All],1,FALSE)</f>
        <v>#REF!</v>
      </c>
    </row>
    <row r="39" spans="1:12" hidden="1" x14ac:dyDescent="0.3">
      <c r="A39" t="s">
        <v>11</v>
      </c>
      <c r="B39" t="s">
        <v>12</v>
      </c>
      <c r="C39" t="s">
        <v>9</v>
      </c>
      <c r="D39" t="s">
        <v>10</v>
      </c>
      <c r="E39">
        <v>1993</v>
      </c>
      <c r="F39" s="1">
        <v>100</v>
      </c>
      <c r="G39">
        <v>1990</v>
      </c>
      <c r="H39">
        <f>AVERAGEIFS(Table1[value],Table1[IndicatorCode],Table1[[#This Row],[IndicatorCode]])</f>
        <v>99.756410256410263</v>
      </c>
      <c r="I39" cm="1">
        <f t="array" ref="I39">_xlfn.STDEV.P(IF(Table1[IndicatorCode]=Table1[[#This Row],[IndicatorCode]],Table1[value]))</f>
        <v>1.1047979755287356</v>
      </c>
      <c r="J39">
        <f>(Table1[[#This Row],[value]] - Table1[[#This Row],[mean]]) / Table1[[#This Row],[std_dev]]</f>
        <v>0.22048351733552002</v>
      </c>
      <c r="K39">
        <f>AVERAGEIF(Table1[CountryCode],Table1[[#This Row],[CountryCode]],Table1[z-score])</f>
        <v>0.63319255148184794</v>
      </c>
      <c r="L39" t="e">
        <f>VLOOKUP(Table1[[#This Row],[CountryCode]],[1]!Table1[#All],1,FALSE)</f>
        <v>#REF!</v>
      </c>
    </row>
    <row r="40" spans="1:12" hidden="1" x14ac:dyDescent="0.3">
      <c r="A40" t="s">
        <v>11</v>
      </c>
      <c r="B40" t="s">
        <v>12</v>
      </c>
      <c r="C40" t="s">
        <v>9</v>
      </c>
      <c r="D40" t="s">
        <v>10</v>
      </c>
      <c r="E40">
        <v>1994</v>
      </c>
      <c r="F40" s="1">
        <v>100</v>
      </c>
      <c r="G40">
        <v>1990</v>
      </c>
      <c r="H40">
        <f>AVERAGEIFS(Table1[value],Table1[IndicatorCode],Table1[[#This Row],[IndicatorCode]])</f>
        <v>99.756410256410263</v>
      </c>
      <c r="I40" cm="1">
        <f t="array" ref="I40">_xlfn.STDEV.P(IF(Table1[IndicatorCode]=Table1[[#This Row],[IndicatorCode]],Table1[value]))</f>
        <v>1.1047979755287356</v>
      </c>
      <c r="J40">
        <f>(Table1[[#This Row],[value]] - Table1[[#This Row],[mean]]) / Table1[[#This Row],[std_dev]]</f>
        <v>0.22048351733552002</v>
      </c>
      <c r="K40">
        <f>AVERAGEIF(Table1[CountryCode],Table1[[#This Row],[CountryCode]],Table1[z-score])</f>
        <v>0.63319255148184794</v>
      </c>
      <c r="L40" t="e">
        <f>VLOOKUP(Table1[[#This Row],[CountryCode]],[1]!Table1[#All],1,FALSE)</f>
        <v>#REF!</v>
      </c>
    </row>
    <row r="41" spans="1:12" hidden="1" x14ac:dyDescent="0.3">
      <c r="A41" t="s">
        <v>11</v>
      </c>
      <c r="B41" t="s">
        <v>12</v>
      </c>
      <c r="C41" t="s">
        <v>9</v>
      </c>
      <c r="D41" t="s">
        <v>10</v>
      </c>
      <c r="E41">
        <v>1995</v>
      </c>
      <c r="F41" s="1">
        <v>100</v>
      </c>
      <c r="G41">
        <v>1990</v>
      </c>
      <c r="H41">
        <f>AVERAGEIFS(Table1[value],Table1[IndicatorCode],Table1[[#This Row],[IndicatorCode]])</f>
        <v>99.756410256410263</v>
      </c>
      <c r="I41" cm="1">
        <f t="array" ref="I41">_xlfn.STDEV.P(IF(Table1[IndicatorCode]=Table1[[#This Row],[IndicatorCode]],Table1[value]))</f>
        <v>1.1047979755287356</v>
      </c>
      <c r="J41">
        <f>(Table1[[#This Row],[value]] - Table1[[#This Row],[mean]]) / Table1[[#This Row],[std_dev]]</f>
        <v>0.22048351733552002</v>
      </c>
      <c r="K41">
        <f>AVERAGEIF(Table1[CountryCode],Table1[[#This Row],[CountryCode]],Table1[z-score])</f>
        <v>0.63319255148184794</v>
      </c>
      <c r="L41" t="e">
        <f>VLOOKUP(Table1[[#This Row],[CountryCode]],[1]!Table1[#All],1,FALSE)</f>
        <v>#REF!</v>
      </c>
    </row>
    <row r="42" spans="1:12" hidden="1" x14ac:dyDescent="0.3">
      <c r="A42" t="s">
        <v>11</v>
      </c>
      <c r="B42" t="s">
        <v>12</v>
      </c>
      <c r="C42" t="s">
        <v>9</v>
      </c>
      <c r="D42" t="s">
        <v>10</v>
      </c>
      <c r="E42">
        <v>1996</v>
      </c>
      <c r="F42" s="1">
        <v>100</v>
      </c>
      <c r="G42">
        <v>1990</v>
      </c>
      <c r="H42">
        <f>AVERAGEIFS(Table1[value],Table1[IndicatorCode],Table1[[#This Row],[IndicatorCode]])</f>
        <v>99.756410256410263</v>
      </c>
      <c r="I42" cm="1">
        <f t="array" ref="I42">_xlfn.STDEV.P(IF(Table1[IndicatorCode]=Table1[[#This Row],[IndicatorCode]],Table1[value]))</f>
        <v>1.1047979755287356</v>
      </c>
      <c r="J42">
        <f>(Table1[[#This Row],[value]] - Table1[[#This Row],[mean]]) / Table1[[#This Row],[std_dev]]</f>
        <v>0.22048351733552002</v>
      </c>
      <c r="K42">
        <f>AVERAGEIF(Table1[CountryCode],Table1[[#This Row],[CountryCode]],Table1[z-score])</f>
        <v>0.63319255148184794</v>
      </c>
      <c r="L42" t="e">
        <f>VLOOKUP(Table1[[#This Row],[CountryCode]],[1]!Table1[#All],1,FALSE)</f>
        <v>#REF!</v>
      </c>
    </row>
    <row r="43" spans="1:12" hidden="1" x14ac:dyDescent="0.3">
      <c r="A43" t="s">
        <v>11</v>
      </c>
      <c r="B43" t="s">
        <v>12</v>
      </c>
      <c r="C43" t="s">
        <v>9</v>
      </c>
      <c r="D43" t="s">
        <v>10</v>
      </c>
      <c r="E43">
        <v>1997</v>
      </c>
      <c r="F43" s="1">
        <v>100</v>
      </c>
      <c r="G43">
        <v>2000</v>
      </c>
      <c r="H43">
        <f>AVERAGEIFS(Table1[value],Table1[IndicatorCode],Table1[[#This Row],[IndicatorCode]])</f>
        <v>99.756410256410263</v>
      </c>
      <c r="I43" cm="1">
        <f t="array" ref="I43">_xlfn.STDEV.P(IF(Table1[IndicatorCode]=Table1[[#This Row],[IndicatorCode]],Table1[value]))</f>
        <v>1.1047979755287356</v>
      </c>
      <c r="J43">
        <f>(Table1[[#This Row],[value]] - Table1[[#This Row],[mean]]) / Table1[[#This Row],[std_dev]]</f>
        <v>0.22048351733552002</v>
      </c>
      <c r="K43">
        <f>AVERAGEIF(Table1[CountryCode],Table1[[#This Row],[CountryCode]],Table1[z-score])</f>
        <v>0.63319255148184794</v>
      </c>
      <c r="L43" t="e">
        <f>VLOOKUP(Table1[[#This Row],[CountryCode]],[1]!Table1[#All],1,FALSE)</f>
        <v>#REF!</v>
      </c>
    </row>
    <row r="44" spans="1:12" hidden="1" x14ac:dyDescent="0.3">
      <c r="A44" t="s">
        <v>11</v>
      </c>
      <c r="B44" t="s">
        <v>12</v>
      </c>
      <c r="C44" t="s">
        <v>9</v>
      </c>
      <c r="D44" t="s">
        <v>10</v>
      </c>
      <c r="E44">
        <v>1998</v>
      </c>
      <c r="F44" s="1">
        <v>100</v>
      </c>
      <c r="G44">
        <v>2000</v>
      </c>
      <c r="H44">
        <f>AVERAGEIFS(Table1[value],Table1[IndicatorCode],Table1[[#This Row],[IndicatorCode]])</f>
        <v>99.756410256410263</v>
      </c>
      <c r="I44" cm="1">
        <f t="array" ref="I44">_xlfn.STDEV.P(IF(Table1[IndicatorCode]=Table1[[#This Row],[IndicatorCode]],Table1[value]))</f>
        <v>1.1047979755287356</v>
      </c>
      <c r="J44">
        <f>(Table1[[#This Row],[value]] - Table1[[#This Row],[mean]]) / Table1[[#This Row],[std_dev]]</f>
        <v>0.22048351733552002</v>
      </c>
      <c r="K44">
        <f>AVERAGEIF(Table1[CountryCode],Table1[[#This Row],[CountryCode]],Table1[z-score])</f>
        <v>0.63319255148184794</v>
      </c>
      <c r="L44" t="e">
        <f>VLOOKUP(Table1[[#This Row],[CountryCode]],[1]!Table1[#All],1,FALSE)</f>
        <v>#REF!</v>
      </c>
    </row>
    <row r="45" spans="1:12" hidden="1" x14ac:dyDescent="0.3">
      <c r="A45" t="s">
        <v>11</v>
      </c>
      <c r="B45" t="s">
        <v>12</v>
      </c>
      <c r="C45" t="s">
        <v>9</v>
      </c>
      <c r="D45" t="s">
        <v>10</v>
      </c>
      <c r="E45">
        <v>1999</v>
      </c>
      <c r="F45" s="1">
        <v>100</v>
      </c>
      <c r="G45">
        <v>2000</v>
      </c>
      <c r="H45">
        <f>AVERAGEIFS(Table1[value],Table1[IndicatorCode],Table1[[#This Row],[IndicatorCode]])</f>
        <v>99.756410256410263</v>
      </c>
      <c r="I45" cm="1">
        <f t="array" ref="I45">_xlfn.STDEV.P(IF(Table1[IndicatorCode]=Table1[[#This Row],[IndicatorCode]],Table1[value]))</f>
        <v>1.1047979755287356</v>
      </c>
      <c r="J45">
        <f>(Table1[[#This Row],[value]] - Table1[[#This Row],[mean]]) / Table1[[#This Row],[std_dev]]</f>
        <v>0.22048351733552002</v>
      </c>
      <c r="K45">
        <f>AVERAGEIF(Table1[CountryCode],Table1[[#This Row],[CountryCode]],Table1[z-score])</f>
        <v>0.63319255148184794</v>
      </c>
      <c r="L45" t="e">
        <f>VLOOKUP(Table1[[#This Row],[CountryCode]],[1]!Table1[#All],1,FALSE)</f>
        <v>#REF!</v>
      </c>
    </row>
    <row r="46" spans="1:12" hidden="1" x14ac:dyDescent="0.3">
      <c r="A46" t="s">
        <v>11</v>
      </c>
      <c r="B46" t="s">
        <v>12</v>
      </c>
      <c r="C46" t="s">
        <v>9</v>
      </c>
      <c r="D46" t="s">
        <v>10</v>
      </c>
      <c r="E46">
        <v>2000</v>
      </c>
      <c r="F46" s="1">
        <v>100</v>
      </c>
      <c r="G46">
        <v>2000</v>
      </c>
      <c r="H46">
        <f>AVERAGEIFS(Table1[value],Table1[IndicatorCode],Table1[[#This Row],[IndicatorCode]])</f>
        <v>99.756410256410263</v>
      </c>
      <c r="I46" cm="1">
        <f t="array" ref="I46">_xlfn.STDEV.P(IF(Table1[IndicatorCode]=Table1[[#This Row],[IndicatorCode]],Table1[value]))</f>
        <v>1.1047979755287356</v>
      </c>
      <c r="J46">
        <f>(Table1[[#This Row],[value]] - Table1[[#This Row],[mean]]) / Table1[[#This Row],[std_dev]]</f>
        <v>0.22048351733552002</v>
      </c>
      <c r="K46">
        <f>AVERAGEIF(Table1[CountryCode],Table1[[#This Row],[CountryCode]],Table1[z-score])</f>
        <v>0.63319255148184794</v>
      </c>
      <c r="L46" t="e">
        <f>VLOOKUP(Table1[[#This Row],[CountryCode]],[1]!Table1[#All],1,FALSE)</f>
        <v>#REF!</v>
      </c>
    </row>
    <row r="47" spans="1:12" hidden="1" x14ac:dyDescent="0.3">
      <c r="A47" t="s">
        <v>11</v>
      </c>
      <c r="B47" t="s">
        <v>12</v>
      </c>
      <c r="C47" t="s">
        <v>9</v>
      </c>
      <c r="D47" t="s">
        <v>10</v>
      </c>
      <c r="E47">
        <v>2001</v>
      </c>
      <c r="F47" s="1">
        <v>100</v>
      </c>
      <c r="G47">
        <v>2000</v>
      </c>
      <c r="H47">
        <f>AVERAGEIFS(Table1[value],Table1[IndicatorCode],Table1[[#This Row],[IndicatorCode]])</f>
        <v>99.756410256410263</v>
      </c>
      <c r="I47" cm="1">
        <f t="array" ref="I47">_xlfn.STDEV.P(IF(Table1[IndicatorCode]=Table1[[#This Row],[IndicatorCode]],Table1[value]))</f>
        <v>1.1047979755287356</v>
      </c>
      <c r="J47">
        <f>(Table1[[#This Row],[value]] - Table1[[#This Row],[mean]]) / Table1[[#This Row],[std_dev]]</f>
        <v>0.22048351733552002</v>
      </c>
      <c r="K47">
        <f>AVERAGEIF(Table1[CountryCode],Table1[[#This Row],[CountryCode]],Table1[z-score])</f>
        <v>0.63319255148184794</v>
      </c>
      <c r="L47" t="e">
        <f>VLOOKUP(Table1[[#This Row],[CountryCode]],[1]!Table1[#All],1,FALSE)</f>
        <v>#REF!</v>
      </c>
    </row>
    <row r="48" spans="1:12" hidden="1" x14ac:dyDescent="0.3">
      <c r="A48" t="s">
        <v>11</v>
      </c>
      <c r="B48" t="s">
        <v>12</v>
      </c>
      <c r="C48" t="s">
        <v>9</v>
      </c>
      <c r="D48" t="s">
        <v>10</v>
      </c>
      <c r="E48">
        <v>2002</v>
      </c>
      <c r="F48" s="1">
        <v>100</v>
      </c>
      <c r="G48">
        <v>2000</v>
      </c>
      <c r="H48">
        <f>AVERAGEIFS(Table1[value],Table1[IndicatorCode],Table1[[#This Row],[IndicatorCode]])</f>
        <v>99.756410256410263</v>
      </c>
      <c r="I48" cm="1">
        <f t="array" ref="I48">_xlfn.STDEV.P(IF(Table1[IndicatorCode]=Table1[[#This Row],[IndicatorCode]],Table1[value]))</f>
        <v>1.1047979755287356</v>
      </c>
      <c r="J48">
        <f>(Table1[[#This Row],[value]] - Table1[[#This Row],[mean]]) / Table1[[#This Row],[std_dev]]</f>
        <v>0.22048351733552002</v>
      </c>
      <c r="K48">
        <f>AVERAGEIF(Table1[CountryCode],Table1[[#This Row],[CountryCode]],Table1[z-score])</f>
        <v>0.63319255148184794</v>
      </c>
      <c r="L48" t="e">
        <f>VLOOKUP(Table1[[#This Row],[CountryCode]],[1]!Table1[#All],1,FALSE)</f>
        <v>#REF!</v>
      </c>
    </row>
    <row r="49" spans="1:12" hidden="1" x14ac:dyDescent="0.3">
      <c r="A49" t="s">
        <v>11</v>
      </c>
      <c r="B49" t="s">
        <v>12</v>
      </c>
      <c r="C49" t="s">
        <v>9</v>
      </c>
      <c r="D49" t="s">
        <v>10</v>
      </c>
      <c r="E49">
        <v>2003</v>
      </c>
      <c r="F49" s="1">
        <v>100</v>
      </c>
      <c r="G49">
        <v>2000</v>
      </c>
      <c r="H49">
        <f>AVERAGEIFS(Table1[value],Table1[IndicatorCode],Table1[[#This Row],[IndicatorCode]])</f>
        <v>99.756410256410263</v>
      </c>
      <c r="I49" cm="1">
        <f t="array" ref="I49">_xlfn.STDEV.P(IF(Table1[IndicatorCode]=Table1[[#This Row],[IndicatorCode]],Table1[value]))</f>
        <v>1.1047979755287356</v>
      </c>
      <c r="J49">
        <f>(Table1[[#This Row],[value]] - Table1[[#This Row],[mean]]) / Table1[[#This Row],[std_dev]]</f>
        <v>0.22048351733552002</v>
      </c>
      <c r="K49">
        <f>AVERAGEIF(Table1[CountryCode],Table1[[#This Row],[CountryCode]],Table1[z-score])</f>
        <v>0.63319255148184794</v>
      </c>
      <c r="L49" t="e">
        <f>VLOOKUP(Table1[[#This Row],[CountryCode]],[1]!Table1[#All],1,FALSE)</f>
        <v>#REF!</v>
      </c>
    </row>
    <row r="50" spans="1:12" hidden="1" x14ac:dyDescent="0.3">
      <c r="A50" t="s">
        <v>11</v>
      </c>
      <c r="B50" t="s">
        <v>12</v>
      </c>
      <c r="C50" t="s">
        <v>9</v>
      </c>
      <c r="D50" t="s">
        <v>10</v>
      </c>
      <c r="E50">
        <v>2004</v>
      </c>
      <c r="F50" s="1">
        <v>100</v>
      </c>
      <c r="G50">
        <v>2000</v>
      </c>
      <c r="H50">
        <f>AVERAGEIFS(Table1[value],Table1[IndicatorCode],Table1[[#This Row],[IndicatorCode]])</f>
        <v>99.756410256410263</v>
      </c>
      <c r="I50" cm="1">
        <f t="array" ref="I50">_xlfn.STDEV.P(IF(Table1[IndicatorCode]=Table1[[#This Row],[IndicatorCode]],Table1[value]))</f>
        <v>1.1047979755287356</v>
      </c>
      <c r="J50">
        <f>(Table1[[#This Row],[value]] - Table1[[#This Row],[mean]]) / Table1[[#This Row],[std_dev]]</f>
        <v>0.22048351733552002</v>
      </c>
      <c r="K50">
        <f>AVERAGEIF(Table1[CountryCode],Table1[[#This Row],[CountryCode]],Table1[z-score])</f>
        <v>0.63319255148184794</v>
      </c>
      <c r="L50" t="e">
        <f>VLOOKUP(Table1[[#This Row],[CountryCode]],[1]!Table1[#All],1,FALSE)</f>
        <v>#REF!</v>
      </c>
    </row>
    <row r="51" spans="1:12" hidden="1" x14ac:dyDescent="0.3">
      <c r="A51" t="s">
        <v>11</v>
      </c>
      <c r="B51" t="s">
        <v>12</v>
      </c>
      <c r="C51" t="s">
        <v>9</v>
      </c>
      <c r="D51" t="s">
        <v>10</v>
      </c>
      <c r="E51">
        <v>2005</v>
      </c>
      <c r="F51" s="1">
        <v>100</v>
      </c>
      <c r="G51">
        <v>2000</v>
      </c>
      <c r="H51">
        <f>AVERAGEIFS(Table1[value],Table1[IndicatorCode],Table1[[#This Row],[IndicatorCode]])</f>
        <v>99.756410256410263</v>
      </c>
      <c r="I51" cm="1">
        <f t="array" ref="I51">_xlfn.STDEV.P(IF(Table1[IndicatorCode]=Table1[[#This Row],[IndicatorCode]],Table1[value]))</f>
        <v>1.1047979755287356</v>
      </c>
      <c r="J51">
        <f>(Table1[[#This Row],[value]] - Table1[[#This Row],[mean]]) / Table1[[#This Row],[std_dev]]</f>
        <v>0.22048351733552002</v>
      </c>
      <c r="K51">
        <f>AVERAGEIF(Table1[CountryCode],Table1[[#This Row],[CountryCode]],Table1[z-score])</f>
        <v>0.63319255148184794</v>
      </c>
      <c r="L51" t="e">
        <f>VLOOKUP(Table1[[#This Row],[CountryCode]],[1]!Table1[#All],1,FALSE)</f>
        <v>#REF!</v>
      </c>
    </row>
    <row r="52" spans="1:12" hidden="1" x14ac:dyDescent="0.3">
      <c r="A52" t="s">
        <v>11</v>
      </c>
      <c r="B52" t="s">
        <v>12</v>
      </c>
      <c r="C52" t="s">
        <v>9</v>
      </c>
      <c r="D52" t="s">
        <v>10</v>
      </c>
      <c r="E52">
        <v>2006</v>
      </c>
      <c r="F52" s="1">
        <v>100</v>
      </c>
      <c r="G52">
        <v>2000</v>
      </c>
      <c r="H52">
        <f>AVERAGEIFS(Table1[value],Table1[IndicatorCode],Table1[[#This Row],[IndicatorCode]])</f>
        <v>99.756410256410263</v>
      </c>
      <c r="I52" cm="1">
        <f t="array" ref="I52">_xlfn.STDEV.P(IF(Table1[IndicatorCode]=Table1[[#This Row],[IndicatorCode]],Table1[value]))</f>
        <v>1.1047979755287356</v>
      </c>
      <c r="J52">
        <f>(Table1[[#This Row],[value]] - Table1[[#This Row],[mean]]) / Table1[[#This Row],[std_dev]]</f>
        <v>0.22048351733552002</v>
      </c>
      <c r="K52">
        <f>AVERAGEIF(Table1[CountryCode],Table1[[#This Row],[CountryCode]],Table1[z-score])</f>
        <v>0.63319255148184794</v>
      </c>
      <c r="L52" t="e">
        <f>VLOOKUP(Table1[[#This Row],[CountryCode]],[1]!Table1[#All],1,FALSE)</f>
        <v>#REF!</v>
      </c>
    </row>
    <row r="53" spans="1:12" hidden="1" x14ac:dyDescent="0.3">
      <c r="A53" t="s">
        <v>11</v>
      </c>
      <c r="B53" t="s">
        <v>12</v>
      </c>
      <c r="C53" t="s">
        <v>9</v>
      </c>
      <c r="D53" t="s">
        <v>10</v>
      </c>
      <c r="E53">
        <v>2007</v>
      </c>
      <c r="F53" s="1">
        <v>100</v>
      </c>
      <c r="G53">
        <v>2010</v>
      </c>
      <c r="H53">
        <f>AVERAGEIFS(Table1[value],Table1[IndicatorCode],Table1[[#This Row],[IndicatorCode]])</f>
        <v>99.756410256410263</v>
      </c>
      <c r="I53" cm="1">
        <f t="array" ref="I53">_xlfn.STDEV.P(IF(Table1[IndicatorCode]=Table1[[#This Row],[IndicatorCode]],Table1[value]))</f>
        <v>1.1047979755287356</v>
      </c>
      <c r="J53">
        <f>(Table1[[#This Row],[value]] - Table1[[#This Row],[mean]]) / Table1[[#This Row],[std_dev]]</f>
        <v>0.22048351733552002</v>
      </c>
      <c r="K53">
        <f>AVERAGEIF(Table1[CountryCode],Table1[[#This Row],[CountryCode]],Table1[z-score])</f>
        <v>0.63319255148184794</v>
      </c>
      <c r="L53" t="e">
        <f>VLOOKUP(Table1[[#This Row],[CountryCode]],[1]!Table1[#All],1,FALSE)</f>
        <v>#REF!</v>
      </c>
    </row>
    <row r="54" spans="1:12" hidden="1" x14ac:dyDescent="0.3">
      <c r="A54" t="s">
        <v>11</v>
      </c>
      <c r="B54" t="s">
        <v>12</v>
      </c>
      <c r="C54" t="s">
        <v>9</v>
      </c>
      <c r="D54" t="s">
        <v>10</v>
      </c>
      <c r="E54">
        <v>2008</v>
      </c>
      <c r="F54" s="1">
        <v>100</v>
      </c>
      <c r="G54">
        <v>2010</v>
      </c>
      <c r="H54">
        <f>AVERAGEIFS(Table1[value],Table1[IndicatorCode],Table1[[#This Row],[IndicatorCode]])</f>
        <v>99.756410256410263</v>
      </c>
      <c r="I54" cm="1">
        <f t="array" ref="I54">_xlfn.STDEV.P(IF(Table1[IndicatorCode]=Table1[[#This Row],[IndicatorCode]],Table1[value]))</f>
        <v>1.1047979755287356</v>
      </c>
      <c r="J54">
        <f>(Table1[[#This Row],[value]] - Table1[[#This Row],[mean]]) / Table1[[#This Row],[std_dev]]</f>
        <v>0.22048351733552002</v>
      </c>
      <c r="K54">
        <f>AVERAGEIF(Table1[CountryCode],Table1[[#This Row],[CountryCode]],Table1[z-score])</f>
        <v>0.63319255148184794</v>
      </c>
      <c r="L54" t="e">
        <f>VLOOKUP(Table1[[#This Row],[CountryCode]],[1]!Table1[#All],1,FALSE)</f>
        <v>#REF!</v>
      </c>
    </row>
    <row r="55" spans="1:12" hidden="1" x14ac:dyDescent="0.3">
      <c r="A55" t="s">
        <v>11</v>
      </c>
      <c r="B55" t="s">
        <v>12</v>
      </c>
      <c r="C55" t="s">
        <v>9</v>
      </c>
      <c r="D55" t="s">
        <v>10</v>
      </c>
      <c r="E55">
        <v>2009</v>
      </c>
      <c r="F55" s="1">
        <v>100</v>
      </c>
      <c r="G55">
        <v>2010</v>
      </c>
      <c r="H55">
        <f>AVERAGEIFS(Table1[value],Table1[IndicatorCode],Table1[[#This Row],[IndicatorCode]])</f>
        <v>99.756410256410263</v>
      </c>
      <c r="I55" cm="1">
        <f t="array" ref="I55">_xlfn.STDEV.P(IF(Table1[IndicatorCode]=Table1[[#This Row],[IndicatorCode]],Table1[value]))</f>
        <v>1.1047979755287356</v>
      </c>
      <c r="J55">
        <f>(Table1[[#This Row],[value]] - Table1[[#This Row],[mean]]) / Table1[[#This Row],[std_dev]]</f>
        <v>0.22048351733552002</v>
      </c>
      <c r="K55">
        <f>AVERAGEIF(Table1[CountryCode],Table1[[#This Row],[CountryCode]],Table1[z-score])</f>
        <v>0.63319255148184794</v>
      </c>
      <c r="L55" t="e">
        <f>VLOOKUP(Table1[[#This Row],[CountryCode]],[1]!Table1[#All],1,FALSE)</f>
        <v>#REF!</v>
      </c>
    </row>
    <row r="56" spans="1:12" hidden="1" x14ac:dyDescent="0.3">
      <c r="A56" t="s">
        <v>11</v>
      </c>
      <c r="B56" t="s">
        <v>12</v>
      </c>
      <c r="C56" t="s">
        <v>9</v>
      </c>
      <c r="D56" t="s">
        <v>10</v>
      </c>
      <c r="E56">
        <v>2010</v>
      </c>
      <c r="F56" s="1">
        <v>100</v>
      </c>
      <c r="G56">
        <v>2010</v>
      </c>
      <c r="H56">
        <f>AVERAGEIFS(Table1[value],Table1[IndicatorCode],Table1[[#This Row],[IndicatorCode]])</f>
        <v>99.756410256410263</v>
      </c>
      <c r="I56" cm="1">
        <f t="array" ref="I56">_xlfn.STDEV.P(IF(Table1[IndicatorCode]=Table1[[#This Row],[IndicatorCode]],Table1[value]))</f>
        <v>1.1047979755287356</v>
      </c>
      <c r="J56">
        <f>(Table1[[#This Row],[value]] - Table1[[#This Row],[mean]]) / Table1[[#This Row],[std_dev]]</f>
        <v>0.22048351733552002</v>
      </c>
      <c r="K56">
        <f>AVERAGEIF(Table1[CountryCode],Table1[[#This Row],[CountryCode]],Table1[z-score])</f>
        <v>0.63319255148184794</v>
      </c>
      <c r="L56" t="e">
        <f>VLOOKUP(Table1[[#This Row],[CountryCode]],[1]!Table1[#All],1,FALSE)</f>
        <v>#REF!</v>
      </c>
    </row>
    <row r="57" spans="1:12" hidden="1" x14ac:dyDescent="0.3">
      <c r="A57" t="s">
        <v>11</v>
      </c>
      <c r="B57" t="s">
        <v>12</v>
      </c>
      <c r="C57" t="s">
        <v>9</v>
      </c>
      <c r="D57" t="s">
        <v>10</v>
      </c>
      <c r="E57">
        <v>2011</v>
      </c>
      <c r="F57" s="1">
        <v>100</v>
      </c>
      <c r="G57">
        <v>2010</v>
      </c>
      <c r="H57">
        <f>AVERAGEIFS(Table1[value],Table1[IndicatorCode],Table1[[#This Row],[IndicatorCode]])</f>
        <v>99.756410256410263</v>
      </c>
      <c r="I57" cm="1">
        <f t="array" ref="I57">_xlfn.STDEV.P(IF(Table1[IndicatorCode]=Table1[[#This Row],[IndicatorCode]],Table1[value]))</f>
        <v>1.1047979755287356</v>
      </c>
      <c r="J57">
        <f>(Table1[[#This Row],[value]] - Table1[[#This Row],[mean]]) / Table1[[#This Row],[std_dev]]</f>
        <v>0.22048351733552002</v>
      </c>
      <c r="K57">
        <f>AVERAGEIF(Table1[CountryCode],Table1[[#This Row],[CountryCode]],Table1[z-score])</f>
        <v>0.63319255148184794</v>
      </c>
      <c r="L57" t="e">
        <f>VLOOKUP(Table1[[#This Row],[CountryCode]],[1]!Table1[#All],1,FALSE)</f>
        <v>#REF!</v>
      </c>
    </row>
    <row r="58" spans="1:12" hidden="1" x14ac:dyDescent="0.3">
      <c r="A58" t="s">
        <v>11</v>
      </c>
      <c r="B58" t="s">
        <v>12</v>
      </c>
      <c r="C58" t="s">
        <v>9</v>
      </c>
      <c r="D58" t="s">
        <v>10</v>
      </c>
      <c r="E58">
        <v>2012</v>
      </c>
      <c r="F58" s="1">
        <v>100</v>
      </c>
      <c r="G58">
        <v>2010</v>
      </c>
      <c r="H58">
        <f>AVERAGEIFS(Table1[value],Table1[IndicatorCode],Table1[[#This Row],[IndicatorCode]])</f>
        <v>99.756410256410263</v>
      </c>
      <c r="I58" cm="1">
        <f t="array" ref="I58">_xlfn.STDEV.P(IF(Table1[IndicatorCode]=Table1[[#This Row],[IndicatorCode]],Table1[value]))</f>
        <v>1.1047979755287356</v>
      </c>
      <c r="J58">
        <f>(Table1[[#This Row],[value]] - Table1[[#This Row],[mean]]) / Table1[[#This Row],[std_dev]]</f>
        <v>0.22048351733552002</v>
      </c>
      <c r="K58">
        <f>AVERAGEIF(Table1[CountryCode],Table1[[#This Row],[CountryCode]],Table1[z-score])</f>
        <v>0.63319255148184794</v>
      </c>
      <c r="L58" t="e">
        <f>VLOOKUP(Table1[[#This Row],[CountryCode]],[1]!Table1[#All],1,FALSE)</f>
        <v>#REF!</v>
      </c>
    </row>
    <row r="59" spans="1:12" hidden="1" x14ac:dyDescent="0.3">
      <c r="A59" t="s">
        <v>11</v>
      </c>
      <c r="B59" t="s">
        <v>12</v>
      </c>
      <c r="C59" t="s">
        <v>9</v>
      </c>
      <c r="D59" t="s">
        <v>10</v>
      </c>
      <c r="E59">
        <v>2013</v>
      </c>
      <c r="F59" s="1">
        <v>100</v>
      </c>
      <c r="G59">
        <v>2010</v>
      </c>
      <c r="H59">
        <f>AVERAGEIFS(Table1[value],Table1[IndicatorCode],Table1[[#This Row],[IndicatorCode]])</f>
        <v>99.756410256410263</v>
      </c>
      <c r="I59" cm="1">
        <f t="array" ref="I59">_xlfn.STDEV.P(IF(Table1[IndicatorCode]=Table1[[#This Row],[IndicatorCode]],Table1[value]))</f>
        <v>1.1047979755287356</v>
      </c>
      <c r="J59">
        <f>(Table1[[#This Row],[value]] - Table1[[#This Row],[mean]]) / Table1[[#This Row],[std_dev]]</f>
        <v>0.22048351733552002</v>
      </c>
      <c r="K59">
        <f>AVERAGEIF(Table1[CountryCode],Table1[[#This Row],[CountryCode]],Table1[z-score])</f>
        <v>0.63319255148184794</v>
      </c>
      <c r="L59" t="e">
        <f>VLOOKUP(Table1[[#This Row],[CountryCode]],[1]!Table1[#All],1,FALSE)</f>
        <v>#REF!</v>
      </c>
    </row>
    <row r="60" spans="1:12" hidden="1" x14ac:dyDescent="0.3">
      <c r="A60" t="s">
        <v>11</v>
      </c>
      <c r="B60" t="s">
        <v>12</v>
      </c>
      <c r="C60" t="s">
        <v>9</v>
      </c>
      <c r="D60" t="s">
        <v>10</v>
      </c>
      <c r="E60">
        <v>2014</v>
      </c>
      <c r="F60" s="1">
        <v>100</v>
      </c>
      <c r="G60">
        <v>2010</v>
      </c>
      <c r="H60">
        <f>AVERAGEIFS(Table1[value],Table1[IndicatorCode],Table1[[#This Row],[IndicatorCode]])</f>
        <v>99.756410256410263</v>
      </c>
      <c r="I60" cm="1">
        <f t="array" ref="I60">_xlfn.STDEV.P(IF(Table1[IndicatorCode]=Table1[[#This Row],[IndicatorCode]],Table1[value]))</f>
        <v>1.1047979755287356</v>
      </c>
      <c r="J60">
        <f>(Table1[[#This Row],[value]] - Table1[[#This Row],[mean]]) / Table1[[#This Row],[std_dev]]</f>
        <v>0.22048351733552002</v>
      </c>
      <c r="K60">
        <f>AVERAGEIF(Table1[CountryCode],Table1[[#This Row],[CountryCode]],Table1[z-score])</f>
        <v>0.63319255148184794</v>
      </c>
      <c r="L60" t="e">
        <f>VLOOKUP(Table1[[#This Row],[CountryCode]],[1]!Table1[#All],1,FALSE)</f>
        <v>#REF!</v>
      </c>
    </row>
    <row r="61" spans="1:12" hidden="1" x14ac:dyDescent="0.3">
      <c r="A61" t="s">
        <v>11</v>
      </c>
      <c r="B61" t="s">
        <v>12</v>
      </c>
      <c r="C61" t="s">
        <v>9</v>
      </c>
      <c r="D61" t="s">
        <v>10</v>
      </c>
      <c r="E61">
        <v>2015</v>
      </c>
      <c r="F61" s="1">
        <v>100</v>
      </c>
      <c r="G61">
        <v>2010</v>
      </c>
      <c r="H61">
        <f>AVERAGEIFS(Table1[value],Table1[IndicatorCode],Table1[[#This Row],[IndicatorCode]])</f>
        <v>99.756410256410263</v>
      </c>
      <c r="I61" cm="1">
        <f t="array" ref="I61">_xlfn.STDEV.P(IF(Table1[IndicatorCode]=Table1[[#This Row],[IndicatorCode]],Table1[value]))</f>
        <v>1.1047979755287356</v>
      </c>
      <c r="J61">
        <f>(Table1[[#This Row],[value]] - Table1[[#This Row],[mean]]) / Table1[[#This Row],[std_dev]]</f>
        <v>0.22048351733552002</v>
      </c>
      <c r="K61">
        <f>AVERAGEIF(Table1[CountryCode],Table1[[#This Row],[CountryCode]],Table1[z-score])</f>
        <v>0.63319255148184794</v>
      </c>
      <c r="L61" t="e">
        <f>VLOOKUP(Table1[[#This Row],[CountryCode]],[1]!Table1[#All],1,FALSE)</f>
        <v>#REF!</v>
      </c>
    </row>
    <row r="62" spans="1:12" hidden="1" x14ac:dyDescent="0.3">
      <c r="A62" t="s">
        <v>11</v>
      </c>
      <c r="B62" t="s">
        <v>12</v>
      </c>
      <c r="C62" t="s">
        <v>9</v>
      </c>
      <c r="D62" t="s">
        <v>10</v>
      </c>
      <c r="E62">
        <v>2016</v>
      </c>
      <c r="F62" s="1">
        <v>100</v>
      </c>
      <c r="G62">
        <v>2010</v>
      </c>
      <c r="H62">
        <f>AVERAGEIFS(Table1[value],Table1[IndicatorCode],Table1[[#This Row],[IndicatorCode]])</f>
        <v>99.756410256410263</v>
      </c>
      <c r="I62" cm="1">
        <f t="array" ref="I62">_xlfn.STDEV.P(IF(Table1[IndicatorCode]=Table1[[#This Row],[IndicatorCode]],Table1[value]))</f>
        <v>1.1047979755287356</v>
      </c>
      <c r="J62">
        <f>(Table1[[#This Row],[value]] - Table1[[#This Row],[mean]]) / Table1[[#This Row],[std_dev]]</f>
        <v>0.22048351733552002</v>
      </c>
      <c r="K62">
        <f>AVERAGEIF(Table1[CountryCode],Table1[[#This Row],[CountryCode]],Table1[z-score])</f>
        <v>0.63319255148184794</v>
      </c>
      <c r="L62" t="e">
        <f>VLOOKUP(Table1[[#This Row],[CountryCode]],[1]!Table1[#All],1,FALSE)</f>
        <v>#REF!</v>
      </c>
    </row>
    <row r="63" spans="1:12" hidden="1" x14ac:dyDescent="0.3">
      <c r="A63" t="s">
        <v>11</v>
      </c>
      <c r="B63" t="s">
        <v>12</v>
      </c>
      <c r="C63" t="s">
        <v>9</v>
      </c>
      <c r="D63" t="s">
        <v>10</v>
      </c>
      <c r="E63">
        <v>2017</v>
      </c>
      <c r="F63" s="1">
        <v>100</v>
      </c>
      <c r="G63">
        <v>2020</v>
      </c>
      <c r="H63">
        <f>AVERAGEIFS(Table1[value],Table1[IndicatorCode],Table1[[#This Row],[IndicatorCode]])</f>
        <v>99.756410256410263</v>
      </c>
      <c r="I63" cm="1">
        <f t="array" ref="I63">_xlfn.STDEV.P(IF(Table1[IndicatorCode]=Table1[[#This Row],[IndicatorCode]],Table1[value]))</f>
        <v>1.1047979755287356</v>
      </c>
      <c r="J63">
        <f>(Table1[[#This Row],[value]] - Table1[[#This Row],[mean]]) / Table1[[#This Row],[std_dev]]</f>
        <v>0.22048351733552002</v>
      </c>
      <c r="K63">
        <f>AVERAGEIF(Table1[CountryCode],Table1[[#This Row],[CountryCode]],Table1[z-score])</f>
        <v>0.63319255148184794</v>
      </c>
      <c r="L63" t="e">
        <f>VLOOKUP(Table1[[#This Row],[CountryCode]],[1]!Table1[#All],1,FALSE)</f>
        <v>#REF!</v>
      </c>
    </row>
    <row r="64" spans="1:12" hidden="1" x14ac:dyDescent="0.3">
      <c r="A64" t="s">
        <v>11</v>
      </c>
      <c r="B64" t="s">
        <v>12</v>
      </c>
      <c r="C64" t="s">
        <v>9</v>
      </c>
      <c r="D64" t="s">
        <v>10</v>
      </c>
      <c r="E64">
        <v>2018</v>
      </c>
      <c r="F64" s="1">
        <v>100</v>
      </c>
      <c r="G64">
        <v>2020</v>
      </c>
      <c r="H64">
        <f>AVERAGEIFS(Table1[value],Table1[IndicatorCode],Table1[[#This Row],[IndicatorCode]])</f>
        <v>99.756410256410263</v>
      </c>
      <c r="I64" cm="1">
        <f t="array" ref="I64">_xlfn.STDEV.P(IF(Table1[IndicatorCode]=Table1[[#This Row],[IndicatorCode]],Table1[value]))</f>
        <v>1.1047979755287356</v>
      </c>
      <c r="J64">
        <f>(Table1[[#This Row],[value]] - Table1[[#This Row],[mean]]) / Table1[[#This Row],[std_dev]]</f>
        <v>0.22048351733552002</v>
      </c>
      <c r="K64">
        <f>AVERAGEIF(Table1[CountryCode],Table1[[#This Row],[CountryCode]],Table1[z-score])</f>
        <v>0.63319255148184794</v>
      </c>
      <c r="L64" t="e">
        <f>VLOOKUP(Table1[[#This Row],[CountryCode]],[1]!Table1[#All],1,FALSE)</f>
        <v>#REF!</v>
      </c>
    </row>
    <row r="65" spans="1:12" hidden="1" x14ac:dyDescent="0.3">
      <c r="A65" t="s">
        <v>11</v>
      </c>
      <c r="B65" t="s">
        <v>12</v>
      </c>
      <c r="C65" t="s">
        <v>9</v>
      </c>
      <c r="D65" t="s">
        <v>10</v>
      </c>
      <c r="E65">
        <v>2019</v>
      </c>
      <c r="F65" s="1">
        <v>100</v>
      </c>
      <c r="G65">
        <v>2020</v>
      </c>
      <c r="H65">
        <f>AVERAGEIFS(Table1[value],Table1[IndicatorCode],Table1[[#This Row],[IndicatorCode]])</f>
        <v>99.756410256410263</v>
      </c>
      <c r="I65" cm="1">
        <f t="array" ref="I65">_xlfn.STDEV.P(IF(Table1[IndicatorCode]=Table1[[#This Row],[IndicatorCode]],Table1[value]))</f>
        <v>1.1047979755287356</v>
      </c>
      <c r="J65">
        <f>(Table1[[#This Row],[value]] - Table1[[#This Row],[mean]]) / Table1[[#This Row],[std_dev]]</f>
        <v>0.22048351733552002</v>
      </c>
      <c r="K65">
        <f>AVERAGEIF(Table1[CountryCode],Table1[[#This Row],[CountryCode]],Table1[z-score])</f>
        <v>0.63319255148184794</v>
      </c>
      <c r="L65" t="e">
        <f>VLOOKUP(Table1[[#This Row],[CountryCode]],[1]!Table1[#All],1,FALSE)</f>
        <v>#REF!</v>
      </c>
    </row>
    <row r="66" spans="1:12" x14ac:dyDescent="0.3">
      <c r="A66" t="s">
        <v>11</v>
      </c>
      <c r="B66" t="s">
        <v>12</v>
      </c>
      <c r="C66" t="s">
        <v>9</v>
      </c>
      <c r="D66" t="s">
        <v>10</v>
      </c>
      <c r="E66">
        <v>2020</v>
      </c>
      <c r="F66" s="1">
        <v>100</v>
      </c>
      <c r="G66">
        <v>2020</v>
      </c>
      <c r="H66">
        <f>AVERAGEIFS(Table1[value],Table1[IndicatorCode],Table1[[#This Row],[IndicatorCode]])</f>
        <v>99.756410256410263</v>
      </c>
      <c r="I66" cm="1">
        <f t="array" ref="I66">_xlfn.STDEV.P(IF(Table1[IndicatorCode]=Table1[[#This Row],[IndicatorCode]],Table1[value]))</f>
        <v>1.1047979755287356</v>
      </c>
      <c r="J66">
        <f>(Table1[[#This Row],[value]] - Table1[[#This Row],[mean]]) / Table1[[#This Row],[std_dev]]</f>
        <v>0.22048351733552002</v>
      </c>
      <c r="K66">
        <f>AVERAGEIF(Table1[CountryCode],Table1[[#This Row],[CountryCode]],Table1[z-score])</f>
        <v>0.63319255148184794</v>
      </c>
    </row>
    <row r="67" spans="1:12" hidden="1" x14ac:dyDescent="0.3">
      <c r="A67" t="s">
        <v>11</v>
      </c>
      <c r="B67" t="s">
        <v>12</v>
      </c>
      <c r="C67" t="s">
        <v>9</v>
      </c>
      <c r="D67" t="s">
        <v>10</v>
      </c>
      <c r="E67">
        <v>2021</v>
      </c>
      <c r="F67" s="1">
        <v>100</v>
      </c>
      <c r="G67">
        <v>2000</v>
      </c>
      <c r="H67">
        <f>AVERAGEIFS(Table1[value],Table1[IndicatorCode],Table1[[#This Row],[IndicatorCode]])</f>
        <v>99.756410256410263</v>
      </c>
      <c r="I67" cm="1">
        <f t="array" ref="I67">_xlfn.STDEV.P(IF(Table1[IndicatorCode]=Table1[[#This Row],[IndicatorCode]],Table1[value]))</f>
        <v>1.1047979755287356</v>
      </c>
      <c r="J67">
        <f>(Table1[[#This Row],[value]] - Table1[[#This Row],[mean]]) / Table1[[#This Row],[std_dev]]</f>
        <v>0.22048351733552002</v>
      </c>
      <c r="K67">
        <f>AVERAGEIF(Table1[CountryCode],Table1[[#This Row],[CountryCode]],Table1[z-score])</f>
        <v>0.63319255148184794</v>
      </c>
      <c r="L67" t="e">
        <f>VLOOKUP(Table1[[#This Row],[CountryCode]],[1]!Table1[#All],1,FALSE)</f>
        <v>#REF!</v>
      </c>
    </row>
    <row r="68" spans="1:12" hidden="1" x14ac:dyDescent="0.3">
      <c r="A68" t="s">
        <v>11</v>
      </c>
      <c r="B68" t="s">
        <v>12</v>
      </c>
      <c r="C68" t="s">
        <v>9</v>
      </c>
      <c r="D68" t="s">
        <v>10</v>
      </c>
      <c r="E68">
        <v>2022</v>
      </c>
      <c r="F68" s="1">
        <v>100</v>
      </c>
      <c r="G68">
        <v>2000</v>
      </c>
      <c r="H68">
        <f>AVERAGEIFS(Table1[value],Table1[IndicatorCode],Table1[[#This Row],[IndicatorCode]])</f>
        <v>99.756410256410263</v>
      </c>
      <c r="I68" cm="1">
        <f t="array" ref="I68">_xlfn.STDEV.P(IF(Table1[IndicatorCode]=Table1[[#This Row],[IndicatorCode]],Table1[value]))</f>
        <v>1.1047979755287356</v>
      </c>
      <c r="J68">
        <f>(Table1[[#This Row],[value]] - Table1[[#This Row],[mean]]) / Table1[[#This Row],[std_dev]]</f>
        <v>0.22048351733552002</v>
      </c>
      <c r="K68">
        <f>AVERAGEIF(Table1[CountryCode],Table1[[#This Row],[CountryCode]],Table1[z-score])</f>
        <v>0.63319255148184794</v>
      </c>
      <c r="L68" t="e">
        <f>VLOOKUP(Table1[[#This Row],[CountryCode]],[1]!Table1[#All],1,FALSE)</f>
        <v>#REF!</v>
      </c>
    </row>
    <row r="69" spans="1:12" hidden="1" x14ac:dyDescent="0.3">
      <c r="A69" t="s">
        <v>11</v>
      </c>
      <c r="B69" t="s">
        <v>12</v>
      </c>
      <c r="C69" t="s">
        <v>9</v>
      </c>
      <c r="D69" t="s">
        <v>10</v>
      </c>
      <c r="E69">
        <v>2023</v>
      </c>
      <c r="F69" s="1">
        <v>100</v>
      </c>
      <c r="G69">
        <v>2000</v>
      </c>
      <c r="H69">
        <f>AVERAGEIFS(Table1[value],Table1[IndicatorCode],Table1[[#This Row],[IndicatorCode]])</f>
        <v>99.756410256410263</v>
      </c>
      <c r="I69" cm="1">
        <f t="array" ref="I69">_xlfn.STDEV.P(IF(Table1[IndicatorCode]=Table1[[#This Row],[IndicatorCode]],Table1[value]))</f>
        <v>1.1047979755287356</v>
      </c>
      <c r="J69">
        <f>(Table1[[#This Row],[value]] - Table1[[#This Row],[mean]]) / Table1[[#This Row],[std_dev]]</f>
        <v>0.22048351733552002</v>
      </c>
      <c r="K69">
        <f>AVERAGEIF(Table1[CountryCode],Table1[[#This Row],[CountryCode]],Table1[z-score])</f>
        <v>0.63319255148184794</v>
      </c>
      <c r="L69" t="e">
        <f>VLOOKUP(Table1[[#This Row],[CountryCode]],[1]!Table1[#All],1,FALSE)</f>
        <v>#REF!</v>
      </c>
    </row>
    <row r="70" spans="1:12" hidden="1" x14ac:dyDescent="0.3">
      <c r="A70" t="s">
        <v>13</v>
      </c>
      <c r="B70" t="s">
        <v>14</v>
      </c>
      <c r="C70" t="s">
        <v>9</v>
      </c>
      <c r="D70" t="s">
        <v>10</v>
      </c>
      <c r="E70">
        <v>2000</v>
      </c>
      <c r="F70" s="1">
        <v>99</v>
      </c>
      <c r="G70">
        <v>2000</v>
      </c>
      <c r="H70">
        <f>AVERAGEIFS(Table1[value],Table1[IndicatorCode],Table1[[#This Row],[IndicatorCode]])</f>
        <v>99.756410256410263</v>
      </c>
      <c r="I70" cm="1">
        <f t="array" ref="I70">_xlfn.STDEV.P(IF(Table1[IndicatorCode]=Table1[[#This Row],[IndicatorCode]],Table1[value]))</f>
        <v>1.1047979755287356</v>
      </c>
      <c r="J70">
        <f>(Table1[[#This Row],[value]] - Table1[[#This Row],[mean]]) / Table1[[#This Row],[std_dev]]</f>
        <v>-0.68465934330505884</v>
      </c>
      <c r="K70">
        <f>AVERAGEIF(Table1[CountryCode],Table1[[#This Row],[CountryCode]],Table1[z-score])</f>
        <v>-0.71856813961256161</v>
      </c>
      <c r="L70" t="e">
        <f>VLOOKUP(Table1[[#This Row],[CountryCode]],[1]!Table1[#All],1,FALSE)</f>
        <v>#REF!</v>
      </c>
    </row>
    <row r="71" spans="1:12" hidden="1" x14ac:dyDescent="0.3">
      <c r="A71" t="s">
        <v>13</v>
      </c>
      <c r="B71" t="s">
        <v>14</v>
      </c>
      <c r="C71" t="s">
        <v>9</v>
      </c>
      <c r="D71" t="s">
        <v>10</v>
      </c>
      <c r="E71">
        <v>2001</v>
      </c>
      <c r="F71" s="1">
        <v>100</v>
      </c>
      <c r="G71">
        <v>2000</v>
      </c>
      <c r="H71">
        <f>AVERAGEIFS(Table1[value],Table1[IndicatorCode],Table1[[#This Row],[IndicatorCode]])</f>
        <v>99.756410256410263</v>
      </c>
      <c r="I71" cm="1">
        <f t="array" ref="I71">_xlfn.STDEV.P(IF(Table1[IndicatorCode]=Table1[[#This Row],[IndicatorCode]],Table1[value]))</f>
        <v>1.1047979755287356</v>
      </c>
      <c r="J71">
        <f>(Table1[[#This Row],[value]] - Table1[[#This Row],[mean]]) / Table1[[#This Row],[std_dev]]</f>
        <v>0.22048351733552002</v>
      </c>
      <c r="K71">
        <f>AVERAGEIF(Table1[CountryCode],Table1[[#This Row],[CountryCode]],Table1[z-score])</f>
        <v>-0.71856813961256161</v>
      </c>
      <c r="L71" t="e">
        <f>VLOOKUP(Table1[[#This Row],[CountryCode]],[1]!Table1[#All],1,FALSE)</f>
        <v>#REF!</v>
      </c>
    </row>
    <row r="72" spans="1:12" hidden="1" x14ac:dyDescent="0.3">
      <c r="A72" t="s">
        <v>13</v>
      </c>
      <c r="B72" t="s">
        <v>14</v>
      </c>
      <c r="C72" t="s">
        <v>9</v>
      </c>
      <c r="D72" t="s">
        <v>10</v>
      </c>
      <c r="E72">
        <v>2002</v>
      </c>
      <c r="F72" s="1">
        <v>98</v>
      </c>
      <c r="G72">
        <v>2000</v>
      </c>
      <c r="H72">
        <f>AVERAGEIFS(Table1[value],Table1[IndicatorCode],Table1[[#This Row],[IndicatorCode]])</f>
        <v>99.756410256410263</v>
      </c>
      <c r="I72" cm="1">
        <f t="array" ref="I72">_xlfn.STDEV.P(IF(Table1[IndicatorCode]=Table1[[#This Row],[IndicatorCode]],Table1[value]))</f>
        <v>1.1047979755287356</v>
      </c>
      <c r="J72">
        <f>(Table1[[#This Row],[value]] - Table1[[#This Row],[mean]]) / Table1[[#This Row],[std_dev]]</f>
        <v>-1.5898022039456376</v>
      </c>
      <c r="K72">
        <f>AVERAGEIF(Table1[CountryCode],Table1[[#This Row],[CountryCode]],Table1[z-score])</f>
        <v>-0.71856813961256161</v>
      </c>
      <c r="L72" t="e">
        <f>VLOOKUP(Table1[[#This Row],[CountryCode]],[1]!Table1[#All],1,FALSE)</f>
        <v>#REF!</v>
      </c>
    </row>
    <row r="73" spans="1:12" hidden="1" x14ac:dyDescent="0.3">
      <c r="A73" t="s">
        <v>13</v>
      </c>
      <c r="B73" t="s">
        <v>14</v>
      </c>
      <c r="C73" t="s">
        <v>9</v>
      </c>
      <c r="D73" t="s">
        <v>10</v>
      </c>
      <c r="E73">
        <v>2003</v>
      </c>
      <c r="F73" s="1">
        <v>99</v>
      </c>
      <c r="G73">
        <v>2000</v>
      </c>
      <c r="H73">
        <f>AVERAGEIFS(Table1[value],Table1[IndicatorCode],Table1[[#This Row],[IndicatorCode]])</f>
        <v>99.756410256410263</v>
      </c>
      <c r="I73" cm="1">
        <f t="array" ref="I73">_xlfn.STDEV.P(IF(Table1[IndicatorCode]=Table1[[#This Row],[IndicatorCode]],Table1[value]))</f>
        <v>1.1047979755287356</v>
      </c>
      <c r="J73">
        <f>(Table1[[#This Row],[value]] - Table1[[#This Row],[mean]]) / Table1[[#This Row],[std_dev]]</f>
        <v>-0.68465934330505884</v>
      </c>
      <c r="K73">
        <f>AVERAGEIF(Table1[CountryCode],Table1[[#This Row],[CountryCode]],Table1[z-score])</f>
        <v>-0.71856813961256161</v>
      </c>
      <c r="L73" t="e">
        <f>VLOOKUP(Table1[[#This Row],[CountryCode]],[1]!Table1[#All],1,FALSE)</f>
        <v>#REF!</v>
      </c>
    </row>
    <row r="74" spans="1:12" hidden="1" x14ac:dyDescent="0.3">
      <c r="A74" t="s">
        <v>13</v>
      </c>
      <c r="B74" t="s">
        <v>14</v>
      </c>
      <c r="C74" t="s">
        <v>9</v>
      </c>
      <c r="D74" t="s">
        <v>10</v>
      </c>
      <c r="E74">
        <v>2004</v>
      </c>
      <c r="F74" s="1">
        <v>99</v>
      </c>
      <c r="G74">
        <v>2000</v>
      </c>
      <c r="H74">
        <f>AVERAGEIFS(Table1[value],Table1[IndicatorCode],Table1[[#This Row],[IndicatorCode]])</f>
        <v>99.756410256410263</v>
      </c>
      <c r="I74" cm="1">
        <f t="array" ref="I74">_xlfn.STDEV.P(IF(Table1[IndicatorCode]=Table1[[#This Row],[IndicatorCode]],Table1[value]))</f>
        <v>1.1047979755287356</v>
      </c>
      <c r="J74">
        <f>(Table1[[#This Row],[value]] - Table1[[#This Row],[mean]]) / Table1[[#This Row],[std_dev]]</f>
        <v>-0.68465934330505884</v>
      </c>
      <c r="K74">
        <f>AVERAGEIF(Table1[CountryCode],Table1[[#This Row],[CountryCode]],Table1[z-score])</f>
        <v>-0.71856813961256161</v>
      </c>
      <c r="L74" t="e">
        <f>VLOOKUP(Table1[[#This Row],[CountryCode]],[1]!Table1[#All],1,FALSE)</f>
        <v>#REF!</v>
      </c>
    </row>
    <row r="75" spans="1:12" hidden="1" x14ac:dyDescent="0.3">
      <c r="A75" t="s">
        <v>13</v>
      </c>
      <c r="B75" t="s">
        <v>14</v>
      </c>
      <c r="C75" t="s">
        <v>9</v>
      </c>
      <c r="D75" t="s">
        <v>10</v>
      </c>
      <c r="E75">
        <v>2005</v>
      </c>
      <c r="F75" s="1">
        <v>100</v>
      </c>
      <c r="G75">
        <v>2000</v>
      </c>
      <c r="H75">
        <f>AVERAGEIFS(Table1[value],Table1[IndicatorCode],Table1[[#This Row],[IndicatorCode]])</f>
        <v>99.756410256410263</v>
      </c>
      <c r="I75" cm="1">
        <f t="array" ref="I75">_xlfn.STDEV.P(IF(Table1[IndicatorCode]=Table1[[#This Row],[IndicatorCode]],Table1[value]))</f>
        <v>1.1047979755287356</v>
      </c>
      <c r="J75">
        <f>(Table1[[#This Row],[value]] - Table1[[#This Row],[mean]]) / Table1[[#This Row],[std_dev]]</f>
        <v>0.22048351733552002</v>
      </c>
      <c r="K75">
        <f>AVERAGEIF(Table1[CountryCode],Table1[[#This Row],[CountryCode]],Table1[z-score])</f>
        <v>-0.71856813961256161</v>
      </c>
      <c r="L75" t="e">
        <f>VLOOKUP(Table1[[#This Row],[CountryCode]],[1]!Table1[#All],1,FALSE)</f>
        <v>#REF!</v>
      </c>
    </row>
    <row r="76" spans="1:12" hidden="1" x14ac:dyDescent="0.3">
      <c r="A76" t="s">
        <v>13</v>
      </c>
      <c r="B76" t="s">
        <v>14</v>
      </c>
      <c r="C76" t="s">
        <v>9</v>
      </c>
      <c r="D76" t="s">
        <v>10</v>
      </c>
      <c r="E76">
        <v>2006</v>
      </c>
      <c r="F76" s="1">
        <v>99</v>
      </c>
      <c r="G76">
        <v>2000</v>
      </c>
      <c r="H76">
        <f>AVERAGEIFS(Table1[value],Table1[IndicatorCode],Table1[[#This Row],[IndicatorCode]])</f>
        <v>99.756410256410263</v>
      </c>
      <c r="I76" cm="1">
        <f t="array" ref="I76">_xlfn.STDEV.P(IF(Table1[IndicatorCode]=Table1[[#This Row],[IndicatorCode]],Table1[value]))</f>
        <v>1.1047979755287356</v>
      </c>
      <c r="J76">
        <f>(Table1[[#This Row],[value]] - Table1[[#This Row],[mean]]) / Table1[[#This Row],[std_dev]]</f>
        <v>-0.68465934330505884</v>
      </c>
      <c r="K76">
        <f>AVERAGEIF(Table1[CountryCode],Table1[[#This Row],[CountryCode]],Table1[z-score])</f>
        <v>-0.71856813961256161</v>
      </c>
      <c r="L76" t="e">
        <f>VLOOKUP(Table1[[#This Row],[CountryCode]],[1]!Table1[#All],1,FALSE)</f>
        <v>#REF!</v>
      </c>
    </row>
    <row r="77" spans="1:12" hidden="1" x14ac:dyDescent="0.3">
      <c r="A77" t="s">
        <v>13</v>
      </c>
      <c r="B77" t="s">
        <v>14</v>
      </c>
      <c r="C77" t="s">
        <v>9</v>
      </c>
      <c r="D77" t="s">
        <v>10</v>
      </c>
      <c r="E77">
        <v>2007</v>
      </c>
      <c r="F77" s="1">
        <v>99</v>
      </c>
      <c r="G77">
        <v>2010</v>
      </c>
      <c r="H77">
        <f>AVERAGEIFS(Table1[value],Table1[IndicatorCode],Table1[[#This Row],[IndicatorCode]])</f>
        <v>99.756410256410263</v>
      </c>
      <c r="I77" cm="1">
        <f t="array" ref="I77">_xlfn.STDEV.P(IF(Table1[IndicatorCode]=Table1[[#This Row],[IndicatorCode]],Table1[value]))</f>
        <v>1.1047979755287356</v>
      </c>
      <c r="J77">
        <f>(Table1[[#This Row],[value]] - Table1[[#This Row],[mean]]) / Table1[[#This Row],[std_dev]]</f>
        <v>-0.68465934330505884</v>
      </c>
      <c r="K77">
        <f>AVERAGEIF(Table1[CountryCode],Table1[[#This Row],[CountryCode]],Table1[z-score])</f>
        <v>-0.71856813961256161</v>
      </c>
      <c r="L77" t="e">
        <f>VLOOKUP(Table1[[#This Row],[CountryCode]],[1]!Table1[#All],1,FALSE)</f>
        <v>#REF!</v>
      </c>
    </row>
    <row r="78" spans="1:12" hidden="1" x14ac:dyDescent="0.3">
      <c r="A78" t="s">
        <v>13</v>
      </c>
      <c r="B78" t="s">
        <v>14</v>
      </c>
      <c r="C78" t="s">
        <v>9</v>
      </c>
      <c r="D78" t="s">
        <v>10</v>
      </c>
      <c r="E78">
        <v>2008</v>
      </c>
      <c r="F78" s="1">
        <v>99</v>
      </c>
      <c r="G78">
        <v>2010</v>
      </c>
      <c r="H78">
        <f>AVERAGEIFS(Table1[value],Table1[IndicatorCode],Table1[[#This Row],[IndicatorCode]])</f>
        <v>99.756410256410263</v>
      </c>
      <c r="I78" cm="1">
        <f t="array" ref="I78">_xlfn.STDEV.P(IF(Table1[IndicatorCode]=Table1[[#This Row],[IndicatorCode]],Table1[value]))</f>
        <v>1.1047979755287356</v>
      </c>
      <c r="J78">
        <f>(Table1[[#This Row],[value]] - Table1[[#This Row],[mean]]) / Table1[[#This Row],[std_dev]]</f>
        <v>-0.68465934330505884</v>
      </c>
      <c r="K78">
        <f>AVERAGEIF(Table1[CountryCode],Table1[[#This Row],[CountryCode]],Table1[z-score])</f>
        <v>-0.71856813961256161</v>
      </c>
      <c r="L78" t="e">
        <f>VLOOKUP(Table1[[#This Row],[CountryCode]],[1]!Table1[#All],1,FALSE)</f>
        <v>#REF!</v>
      </c>
    </row>
    <row r="79" spans="1:12" hidden="1" x14ac:dyDescent="0.3">
      <c r="A79" t="s">
        <v>13</v>
      </c>
      <c r="B79" t="s">
        <v>14</v>
      </c>
      <c r="C79" t="s">
        <v>9</v>
      </c>
      <c r="D79" t="s">
        <v>10</v>
      </c>
      <c r="E79">
        <v>2009</v>
      </c>
      <c r="F79" s="1">
        <v>99</v>
      </c>
      <c r="G79">
        <v>2010</v>
      </c>
      <c r="H79">
        <f>AVERAGEIFS(Table1[value],Table1[IndicatorCode],Table1[[#This Row],[IndicatorCode]])</f>
        <v>99.756410256410263</v>
      </c>
      <c r="I79" cm="1">
        <f t="array" ref="I79">_xlfn.STDEV.P(IF(Table1[IndicatorCode]=Table1[[#This Row],[IndicatorCode]],Table1[value]))</f>
        <v>1.1047979755287356</v>
      </c>
      <c r="J79">
        <f>(Table1[[#This Row],[value]] - Table1[[#This Row],[mean]]) / Table1[[#This Row],[std_dev]]</f>
        <v>-0.68465934330505884</v>
      </c>
      <c r="K79">
        <f>AVERAGEIF(Table1[CountryCode],Table1[[#This Row],[CountryCode]],Table1[z-score])</f>
        <v>-0.71856813961256161</v>
      </c>
      <c r="L79" t="e">
        <f>VLOOKUP(Table1[[#This Row],[CountryCode]],[1]!Table1[#All],1,FALSE)</f>
        <v>#REF!</v>
      </c>
    </row>
    <row r="80" spans="1:12" hidden="1" x14ac:dyDescent="0.3">
      <c r="A80" t="s">
        <v>13</v>
      </c>
      <c r="B80" t="s">
        <v>14</v>
      </c>
      <c r="C80" t="s">
        <v>9</v>
      </c>
      <c r="D80" t="s">
        <v>10</v>
      </c>
      <c r="E80">
        <v>2010</v>
      </c>
      <c r="F80" s="1">
        <v>100</v>
      </c>
      <c r="G80">
        <v>2010</v>
      </c>
      <c r="H80">
        <f>AVERAGEIFS(Table1[value],Table1[IndicatorCode],Table1[[#This Row],[IndicatorCode]])</f>
        <v>99.756410256410263</v>
      </c>
      <c r="I80" cm="1">
        <f t="array" ref="I80">_xlfn.STDEV.P(IF(Table1[IndicatorCode]=Table1[[#This Row],[IndicatorCode]],Table1[value]))</f>
        <v>1.1047979755287356</v>
      </c>
      <c r="J80">
        <f>(Table1[[#This Row],[value]] - Table1[[#This Row],[mean]]) / Table1[[#This Row],[std_dev]]</f>
        <v>0.22048351733552002</v>
      </c>
      <c r="K80">
        <f>AVERAGEIF(Table1[CountryCode],Table1[[#This Row],[CountryCode]],Table1[z-score])</f>
        <v>-0.71856813961256161</v>
      </c>
      <c r="L80" t="e">
        <f>VLOOKUP(Table1[[#This Row],[CountryCode]],[1]!Table1[#All],1,FALSE)</f>
        <v>#REF!</v>
      </c>
    </row>
    <row r="81" spans="1:12" hidden="1" x14ac:dyDescent="0.3">
      <c r="A81" t="s">
        <v>13</v>
      </c>
      <c r="B81" t="s">
        <v>14</v>
      </c>
      <c r="C81" t="s">
        <v>9</v>
      </c>
      <c r="D81" t="s">
        <v>10</v>
      </c>
      <c r="E81">
        <v>2011</v>
      </c>
      <c r="F81" s="1">
        <v>100</v>
      </c>
      <c r="G81">
        <v>2010</v>
      </c>
      <c r="H81">
        <f>AVERAGEIFS(Table1[value],Table1[IndicatorCode],Table1[[#This Row],[IndicatorCode]])</f>
        <v>99.756410256410263</v>
      </c>
      <c r="I81" cm="1">
        <f t="array" ref="I81">_xlfn.STDEV.P(IF(Table1[IndicatorCode]=Table1[[#This Row],[IndicatorCode]],Table1[value]))</f>
        <v>1.1047979755287356</v>
      </c>
      <c r="J81">
        <f>(Table1[[#This Row],[value]] - Table1[[#This Row],[mean]]) / Table1[[#This Row],[std_dev]]</f>
        <v>0.22048351733552002</v>
      </c>
      <c r="K81">
        <f>AVERAGEIF(Table1[CountryCode],Table1[[#This Row],[CountryCode]],Table1[z-score])</f>
        <v>-0.71856813961256161</v>
      </c>
      <c r="L81" t="e">
        <f>VLOOKUP(Table1[[#This Row],[CountryCode]],[1]!Table1[#All],1,FALSE)</f>
        <v>#REF!</v>
      </c>
    </row>
    <row r="82" spans="1:12" hidden="1" x14ac:dyDescent="0.3">
      <c r="A82" t="s">
        <v>13</v>
      </c>
      <c r="B82" t="s">
        <v>14</v>
      </c>
      <c r="C82" t="s">
        <v>9</v>
      </c>
      <c r="D82" t="s">
        <v>10</v>
      </c>
      <c r="E82">
        <v>2012</v>
      </c>
      <c r="F82" s="1">
        <v>100</v>
      </c>
      <c r="G82">
        <v>2010</v>
      </c>
      <c r="H82">
        <f>AVERAGEIFS(Table1[value],Table1[IndicatorCode],Table1[[#This Row],[IndicatorCode]])</f>
        <v>99.756410256410263</v>
      </c>
      <c r="I82" cm="1">
        <f t="array" ref="I82">_xlfn.STDEV.P(IF(Table1[IndicatorCode]=Table1[[#This Row],[IndicatorCode]],Table1[value]))</f>
        <v>1.1047979755287356</v>
      </c>
      <c r="J82">
        <f>(Table1[[#This Row],[value]] - Table1[[#This Row],[mean]]) / Table1[[#This Row],[std_dev]]</f>
        <v>0.22048351733552002</v>
      </c>
      <c r="K82">
        <f>AVERAGEIF(Table1[CountryCode],Table1[[#This Row],[CountryCode]],Table1[z-score])</f>
        <v>-0.71856813961256161</v>
      </c>
      <c r="L82" t="e">
        <f>VLOOKUP(Table1[[#This Row],[CountryCode]],[1]!Table1[#All],1,FALSE)</f>
        <v>#REF!</v>
      </c>
    </row>
    <row r="83" spans="1:12" hidden="1" x14ac:dyDescent="0.3">
      <c r="A83" t="s">
        <v>13</v>
      </c>
      <c r="B83" t="s">
        <v>14</v>
      </c>
      <c r="C83" t="s">
        <v>9</v>
      </c>
      <c r="D83" t="s">
        <v>10</v>
      </c>
      <c r="E83">
        <v>2013</v>
      </c>
      <c r="F83" s="1">
        <v>99</v>
      </c>
      <c r="G83">
        <v>2010</v>
      </c>
      <c r="H83">
        <f>AVERAGEIFS(Table1[value],Table1[IndicatorCode],Table1[[#This Row],[IndicatorCode]])</f>
        <v>99.756410256410263</v>
      </c>
      <c r="I83" cm="1">
        <f t="array" ref="I83">_xlfn.STDEV.P(IF(Table1[IndicatorCode]=Table1[[#This Row],[IndicatorCode]],Table1[value]))</f>
        <v>1.1047979755287356</v>
      </c>
      <c r="J83">
        <f>(Table1[[#This Row],[value]] - Table1[[#This Row],[mean]]) / Table1[[#This Row],[std_dev]]</f>
        <v>-0.68465934330505884</v>
      </c>
      <c r="K83">
        <f>AVERAGEIF(Table1[CountryCode],Table1[[#This Row],[CountryCode]],Table1[z-score])</f>
        <v>-0.71856813961256161</v>
      </c>
      <c r="L83" t="e">
        <f>VLOOKUP(Table1[[#This Row],[CountryCode]],[1]!Table1[#All],1,FALSE)</f>
        <v>#REF!</v>
      </c>
    </row>
    <row r="84" spans="1:12" hidden="1" x14ac:dyDescent="0.3">
      <c r="A84" t="s">
        <v>13</v>
      </c>
      <c r="B84" t="s">
        <v>14</v>
      </c>
      <c r="C84" t="s">
        <v>9</v>
      </c>
      <c r="D84" t="s">
        <v>10</v>
      </c>
      <c r="E84">
        <v>2014</v>
      </c>
      <c r="F84" s="1">
        <v>100</v>
      </c>
      <c r="G84">
        <v>2010</v>
      </c>
      <c r="H84">
        <f>AVERAGEIFS(Table1[value],Table1[IndicatorCode],Table1[[#This Row],[IndicatorCode]])</f>
        <v>99.756410256410263</v>
      </c>
      <c r="I84" cm="1">
        <f t="array" ref="I84">_xlfn.STDEV.P(IF(Table1[IndicatorCode]=Table1[[#This Row],[IndicatorCode]],Table1[value]))</f>
        <v>1.1047979755287356</v>
      </c>
      <c r="J84">
        <f>(Table1[[#This Row],[value]] - Table1[[#This Row],[mean]]) / Table1[[#This Row],[std_dev]]</f>
        <v>0.22048351733552002</v>
      </c>
      <c r="K84">
        <f>AVERAGEIF(Table1[CountryCode],Table1[[#This Row],[CountryCode]],Table1[z-score])</f>
        <v>-0.71856813961256161</v>
      </c>
      <c r="L84" t="e">
        <f>VLOOKUP(Table1[[#This Row],[CountryCode]],[1]!Table1[#All],1,FALSE)</f>
        <v>#REF!</v>
      </c>
    </row>
    <row r="85" spans="1:12" hidden="1" x14ac:dyDescent="0.3">
      <c r="A85" t="s">
        <v>13</v>
      </c>
      <c r="B85" t="s">
        <v>14</v>
      </c>
      <c r="C85" t="s">
        <v>9</v>
      </c>
      <c r="D85" t="s">
        <v>10</v>
      </c>
      <c r="E85">
        <v>2015</v>
      </c>
      <c r="F85" s="1">
        <v>100</v>
      </c>
      <c r="G85">
        <v>2010</v>
      </c>
      <c r="H85">
        <f>AVERAGEIFS(Table1[value],Table1[IndicatorCode],Table1[[#This Row],[IndicatorCode]])</f>
        <v>99.756410256410263</v>
      </c>
      <c r="I85" cm="1">
        <f t="array" ref="I85">_xlfn.STDEV.P(IF(Table1[IndicatorCode]=Table1[[#This Row],[IndicatorCode]],Table1[value]))</f>
        <v>1.1047979755287356</v>
      </c>
      <c r="J85">
        <f>(Table1[[#This Row],[value]] - Table1[[#This Row],[mean]]) / Table1[[#This Row],[std_dev]]</f>
        <v>0.22048351733552002</v>
      </c>
      <c r="K85">
        <f>AVERAGEIF(Table1[CountryCode],Table1[[#This Row],[CountryCode]],Table1[z-score])</f>
        <v>-0.71856813961256161</v>
      </c>
      <c r="L85" t="e">
        <f>VLOOKUP(Table1[[#This Row],[CountryCode]],[1]!Table1[#All],1,FALSE)</f>
        <v>#REF!</v>
      </c>
    </row>
    <row r="86" spans="1:12" hidden="1" x14ac:dyDescent="0.3">
      <c r="A86" t="s">
        <v>13</v>
      </c>
      <c r="B86" t="s">
        <v>14</v>
      </c>
      <c r="C86" t="s">
        <v>9</v>
      </c>
      <c r="D86" t="s">
        <v>10</v>
      </c>
      <c r="E86">
        <v>2016</v>
      </c>
      <c r="F86" s="1">
        <v>100</v>
      </c>
      <c r="G86">
        <v>2010</v>
      </c>
      <c r="H86">
        <f>AVERAGEIFS(Table1[value],Table1[IndicatorCode],Table1[[#This Row],[IndicatorCode]])</f>
        <v>99.756410256410263</v>
      </c>
      <c r="I86" cm="1">
        <f t="array" ref="I86">_xlfn.STDEV.P(IF(Table1[IndicatorCode]=Table1[[#This Row],[IndicatorCode]],Table1[value]))</f>
        <v>1.1047979755287356</v>
      </c>
      <c r="J86">
        <f>(Table1[[#This Row],[value]] - Table1[[#This Row],[mean]]) / Table1[[#This Row],[std_dev]]</f>
        <v>0.22048351733552002</v>
      </c>
      <c r="K86">
        <f>AVERAGEIF(Table1[CountryCode],Table1[[#This Row],[CountryCode]],Table1[z-score])</f>
        <v>-0.71856813961256161</v>
      </c>
      <c r="L86" t="e">
        <f>VLOOKUP(Table1[[#This Row],[CountryCode]],[1]!Table1[#All],1,FALSE)</f>
        <v>#REF!</v>
      </c>
    </row>
    <row r="87" spans="1:12" hidden="1" x14ac:dyDescent="0.3">
      <c r="A87" t="s">
        <v>13</v>
      </c>
      <c r="B87" t="s">
        <v>14</v>
      </c>
      <c r="C87" t="s">
        <v>9</v>
      </c>
      <c r="D87" t="s">
        <v>10</v>
      </c>
      <c r="E87">
        <v>2017</v>
      </c>
      <c r="F87" s="1">
        <v>100</v>
      </c>
      <c r="G87">
        <v>2020</v>
      </c>
      <c r="H87">
        <f>AVERAGEIFS(Table1[value],Table1[IndicatorCode],Table1[[#This Row],[IndicatorCode]])</f>
        <v>99.756410256410263</v>
      </c>
      <c r="I87" cm="1">
        <f t="array" ref="I87">_xlfn.STDEV.P(IF(Table1[IndicatorCode]=Table1[[#This Row],[IndicatorCode]],Table1[value]))</f>
        <v>1.1047979755287356</v>
      </c>
      <c r="J87">
        <f>(Table1[[#This Row],[value]] - Table1[[#This Row],[mean]]) / Table1[[#This Row],[std_dev]]</f>
        <v>0.22048351733552002</v>
      </c>
      <c r="K87">
        <f>AVERAGEIF(Table1[CountryCode],Table1[[#This Row],[CountryCode]],Table1[z-score])</f>
        <v>-0.71856813961256161</v>
      </c>
      <c r="L87" t="e">
        <f>VLOOKUP(Table1[[#This Row],[CountryCode]],[1]!Table1[#All],1,FALSE)</f>
        <v>#REF!</v>
      </c>
    </row>
    <row r="88" spans="1:12" hidden="1" x14ac:dyDescent="0.3">
      <c r="A88" t="s">
        <v>13</v>
      </c>
      <c r="B88" t="s">
        <v>14</v>
      </c>
      <c r="C88" t="s">
        <v>9</v>
      </c>
      <c r="D88" t="s">
        <v>10</v>
      </c>
      <c r="E88">
        <v>2018</v>
      </c>
      <c r="F88" s="1">
        <v>100</v>
      </c>
      <c r="G88">
        <v>2020</v>
      </c>
      <c r="H88">
        <f>AVERAGEIFS(Table1[value],Table1[IndicatorCode],Table1[[#This Row],[IndicatorCode]])</f>
        <v>99.756410256410263</v>
      </c>
      <c r="I88" cm="1">
        <f t="array" ref="I88">_xlfn.STDEV.P(IF(Table1[IndicatorCode]=Table1[[#This Row],[IndicatorCode]],Table1[value]))</f>
        <v>1.1047979755287356</v>
      </c>
      <c r="J88">
        <f>(Table1[[#This Row],[value]] - Table1[[#This Row],[mean]]) / Table1[[#This Row],[std_dev]]</f>
        <v>0.22048351733552002</v>
      </c>
      <c r="K88">
        <f>AVERAGEIF(Table1[CountryCode],Table1[[#This Row],[CountryCode]],Table1[z-score])</f>
        <v>-0.71856813961256161</v>
      </c>
      <c r="L88" t="e">
        <f>VLOOKUP(Table1[[#This Row],[CountryCode]],[1]!Table1[#All],1,FALSE)</f>
        <v>#REF!</v>
      </c>
    </row>
    <row r="89" spans="1:12" hidden="1" x14ac:dyDescent="0.3">
      <c r="A89" t="s">
        <v>13</v>
      </c>
      <c r="B89" t="s">
        <v>14</v>
      </c>
      <c r="C89" t="s">
        <v>9</v>
      </c>
      <c r="D89" t="s">
        <v>10</v>
      </c>
      <c r="E89">
        <v>2019</v>
      </c>
      <c r="F89" s="1">
        <v>100</v>
      </c>
      <c r="G89">
        <v>2020</v>
      </c>
      <c r="H89">
        <f>AVERAGEIFS(Table1[value],Table1[IndicatorCode],Table1[[#This Row],[IndicatorCode]])</f>
        <v>99.756410256410263</v>
      </c>
      <c r="I89" cm="1">
        <f t="array" ref="I89">_xlfn.STDEV.P(IF(Table1[IndicatorCode]=Table1[[#This Row],[IndicatorCode]],Table1[value]))</f>
        <v>1.1047979755287356</v>
      </c>
      <c r="J89">
        <f>(Table1[[#This Row],[value]] - Table1[[#This Row],[mean]]) / Table1[[#This Row],[std_dev]]</f>
        <v>0.22048351733552002</v>
      </c>
      <c r="K89">
        <f>AVERAGEIF(Table1[CountryCode],Table1[[#This Row],[CountryCode]],Table1[z-score])</f>
        <v>-0.71856813961256161</v>
      </c>
      <c r="L89" t="e">
        <f>VLOOKUP(Table1[[#This Row],[CountryCode]],[1]!Table1[#All],1,FALSE)</f>
        <v>#REF!</v>
      </c>
    </row>
    <row r="90" spans="1:12" x14ac:dyDescent="0.3">
      <c r="A90" t="s">
        <v>13</v>
      </c>
      <c r="B90" t="s">
        <v>14</v>
      </c>
      <c r="C90" t="s">
        <v>9</v>
      </c>
      <c r="D90" t="s">
        <v>10</v>
      </c>
      <c r="E90">
        <v>2020</v>
      </c>
      <c r="F90" s="1">
        <v>100</v>
      </c>
      <c r="G90">
        <v>2020</v>
      </c>
      <c r="H90">
        <f>AVERAGEIFS(Table1[value],Table1[IndicatorCode],Table1[[#This Row],[IndicatorCode]])</f>
        <v>99.756410256410263</v>
      </c>
      <c r="I90" cm="1">
        <f t="array" ref="I90">_xlfn.STDEV.P(IF(Table1[IndicatorCode]=Table1[[#This Row],[IndicatorCode]],Table1[value]))</f>
        <v>1.1047979755287356</v>
      </c>
      <c r="J90">
        <f>(Table1[[#This Row],[value]] - Table1[[#This Row],[mean]]) / Table1[[#This Row],[std_dev]]</f>
        <v>0.22048351733552002</v>
      </c>
      <c r="K90">
        <f>AVERAGEIF(Table1[CountryCode],Table1[[#This Row],[CountryCode]],Table1[z-score])</f>
        <v>-0.71856813961256161</v>
      </c>
    </row>
    <row r="91" spans="1:12" hidden="1" x14ac:dyDescent="0.3">
      <c r="A91" t="s">
        <v>13</v>
      </c>
      <c r="B91" t="s">
        <v>14</v>
      </c>
      <c r="C91" t="s">
        <v>9</v>
      </c>
      <c r="D91" t="s">
        <v>10</v>
      </c>
      <c r="E91">
        <v>2021</v>
      </c>
      <c r="F91" s="1">
        <v>100</v>
      </c>
      <c r="G91">
        <v>1990</v>
      </c>
      <c r="H91">
        <f>AVERAGEIFS(Table1[value],Table1[IndicatorCode],Table1[[#This Row],[IndicatorCode]])</f>
        <v>99.756410256410263</v>
      </c>
      <c r="I91" cm="1">
        <f t="array" ref="I91">_xlfn.STDEV.P(IF(Table1[IndicatorCode]=Table1[[#This Row],[IndicatorCode]],Table1[value]))</f>
        <v>1.1047979755287356</v>
      </c>
      <c r="J91">
        <f>(Table1[[#This Row],[value]] - Table1[[#This Row],[mean]]) / Table1[[#This Row],[std_dev]]</f>
        <v>0.22048351733552002</v>
      </c>
      <c r="K91">
        <f>AVERAGEIF(Table1[CountryCode],Table1[[#This Row],[CountryCode]],Table1[z-score])</f>
        <v>-0.71856813961256161</v>
      </c>
      <c r="L91" t="e">
        <f>VLOOKUP(Table1[[#This Row],[CountryCode]],[1]!Table1[#All],1,FALSE)</f>
        <v>#REF!</v>
      </c>
    </row>
    <row r="92" spans="1:12" hidden="1" x14ac:dyDescent="0.3">
      <c r="A92" t="s">
        <v>13</v>
      </c>
      <c r="B92" t="s">
        <v>14</v>
      </c>
      <c r="C92" t="s">
        <v>9</v>
      </c>
      <c r="D92" t="s">
        <v>10</v>
      </c>
      <c r="E92">
        <v>2022</v>
      </c>
      <c r="F92" s="1">
        <v>100</v>
      </c>
      <c r="G92">
        <v>1990</v>
      </c>
      <c r="H92">
        <f>AVERAGEIFS(Table1[value],Table1[IndicatorCode],Table1[[#This Row],[IndicatorCode]])</f>
        <v>99.756410256410263</v>
      </c>
      <c r="I92" cm="1">
        <f t="array" ref="I92">_xlfn.STDEV.P(IF(Table1[IndicatorCode]=Table1[[#This Row],[IndicatorCode]],Table1[value]))</f>
        <v>1.1047979755287356</v>
      </c>
      <c r="J92">
        <f>(Table1[[#This Row],[value]] - Table1[[#This Row],[mean]]) / Table1[[#This Row],[std_dev]]</f>
        <v>0.22048351733552002</v>
      </c>
      <c r="K92">
        <f>AVERAGEIF(Table1[CountryCode],Table1[[#This Row],[CountryCode]],Table1[z-score])</f>
        <v>-0.71856813961256161</v>
      </c>
      <c r="L92" t="e">
        <f>VLOOKUP(Table1[[#This Row],[CountryCode]],[1]!Table1[#All],1,FALSE)</f>
        <v>#REF!</v>
      </c>
    </row>
    <row r="93" spans="1:12" hidden="1" x14ac:dyDescent="0.3">
      <c r="A93" t="s">
        <v>13</v>
      </c>
      <c r="B93" t="s">
        <v>14</v>
      </c>
      <c r="C93" t="s">
        <v>9</v>
      </c>
      <c r="D93" t="s">
        <v>10</v>
      </c>
      <c r="E93">
        <v>2023</v>
      </c>
      <c r="F93" s="1">
        <v>100</v>
      </c>
      <c r="G93">
        <v>1990</v>
      </c>
      <c r="H93">
        <f>AVERAGEIFS(Table1[value],Table1[IndicatorCode],Table1[[#This Row],[IndicatorCode]])</f>
        <v>99.756410256410263</v>
      </c>
      <c r="I93" cm="1">
        <f t="array" ref="I93">_xlfn.STDEV.P(IF(Table1[IndicatorCode]=Table1[[#This Row],[IndicatorCode]],Table1[value]))</f>
        <v>1.1047979755287356</v>
      </c>
      <c r="J93">
        <f>(Table1[[#This Row],[value]] - Table1[[#This Row],[mean]]) / Table1[[#This Row],[std_dev]]</f>
        <v>0.22048351733552002</v>
      </c>
      <c r="K93">
        <f>AVERAGEIF(Table1[CountryCode],Table1[[#This Row],[CountryCode]],Table1[z-score])</f>
        <v>-0.71856813961256161</v>
      </c>
      <c r="L93" t="e">
        <f>VLOOKUP(Table1[[#This Row],[CountryCode]],[1]!Table1[#All],1,FALSE)</f>
        <v>#REF!</v>
      </c>
    </row>
    <row r="94" spans="1:12" hidden="1" x14ac:dyDescent="0.3">
      <c r="A94" t="s">
        <v>15</v>
      </c>
      <c r="B94" t="s">
        <v>16</v>
      </c>
      <c r="C94" t="s">
        <v>9</v>
      </c>
      <c r="D94" t="s">
        <v>10</v>
      </c>
      <c r="E94">
        <v>1990</v>
      </c>
      <c r="F94" s="1">
        <v>100</v>
      </c>
      <c r="G94">
        <v>1990</v>
      </c>
      <c r="H94">
        <f>AVERAGEIFS(Table1[value],Table1[IndicatorCode],Table1[[#This Row],[IndicatorCode]])</f>
        <v>99.756410256410263</v>
      </c>
      <c r="I94" cm="1">
        <f t="array" ref="I94">_xlfn.STDEV.P(IF(Table1[IndicatorCode]=Table1[[#This Row],[IndicatorCode]],Table1[value]))</f>
        <v>1.1047979755287356</v>
      </c>
      <c r="J94">
        <f>(Table1[[#This Row],[value]] - Table1[[#This Row],[mean]]) / Table1[[#This Row],[std_dev]]</f>
        <v>0.22048351733552002</v>
      </c>
      <c r="K94">
        <f>AVERAGEIF(Table1[CountryCode],Table1[[#This Row],[CountryCode]],Table1[z-score])</f>
        <v>0.26765264295626828</v>
      </c>
      <c r="L94" t="e">
        <f>VLOOKUP(Table1[[#This Row],[CountryCode]],[1]!Table1[#All],1,FALSE)</f>
        <v>#REF!</v>
      </c>
    </row>
    <row r="95" spans="1:12" hidden="1" x14ac:dyDescent="0.3">
      <c r="A95" t="s">
        <v>15</v>
      </c>
      <c r="B95" t="s">
        <v>16</v>
      </c>
      <c r="C95" t="s">
        <v>9</v>
      </c>
      <c r="D95" t="s">
        <v>10</v>
      </c>
      <c r="E95">
        <v>1991</v>
      </c>
      <c r="F95" s="1">
        <v>100</v>
      </c>
      <c r="G95">
        <v>1990</v>
      </c>
      <c r="H95">
        <f>AVERAGEIFS(Table1[value],Table1[IndicatorCode],Table1[[#This Row],[IndicatorCode]])</f>
        <v>99.756410256410263</v>
      </c>
      <c r="I95" cm="1">
        <f t="array" ref="I95">_xlfn.STDEV.P(IF(Table1[IndicatorCode]=Table1[[#This Row],[IndicatorCode]],Table1[value]))</f>
        <v>1.1047979755287356</v>
      </c>
      <c r="J95">
        <f>(Table1[[#This Row],[value]] - Table1[[#This Row],[mean]]) / Table1[[#This Row],[std_dev]]</f>
        <v>0.22048351733552002</v>
      </c>
      <c r="K95">
        <f>AVERAGEIF(Table1[CountryCode],Table1[[#This Row],[CountryCode]],Table1[z-score])</f>
        <v>0.26765264295626828</v>
      </c>
      <c r="L95" t="e">
        <f>VLOOKUP(Table1[[#This Row],[CountryCode]],[1]!Table1[#All],1,FALSE)</f>
        <v>#REF!</v>
      </c>
    </row>
    <row r="96" spans="1:12" hidden="1" x14ac:dyDescent="0.3">
      <c r="A96" t="s">
        <v>15</v>
      </c>
      <c r="B96" t="s">
        <v>16</v>
      </c>
      <c r="C96" t="s">
        <v>9</v>
      </c>
      <c r="D96" t="s">
        <v>10</v>
      </c>
      <c r="E96">
        <v>1992</v>
      </c>
      <c r="F96" s="1">
        <v>100</v>
      </c>
      <c r="G96">
        <v>1990</v>
      </c>
      <c r="H96">
        <f>AVERAGEIFS(Table1[value],Table1[IndicatorCode],Table1[[#This Row],[IndicatorCode]])</f>
        <v>99.756410256410263</v>
      </c>
      <c r="I96" cm="1">
        <f t="array" ref="I96">_xlfn.STDEV.P(IF(Table1[IndicatorCode]=Table1[[#This Row],[IndicatorCode]],Table1[value]))</f>
        <v>1.1047979755287356</v>
      </c>
      <c r="J96">
        <f>(Table1[[#This Row],[value]] - Table1[[#This Row],[mean]]) / Table1[[#This Row],[std_dev]]</f>
        <v>0.22048351733552002</v>
      </c>
      <c r="K96">
        <f>AVERAGEIF(Table1[CountryCode],Table1[[#This Row],[CountryCode]],Table1[z-score])</f>
        <v>0.26765264295626828</v>
      </c>
      <c r="L96" t="e">
        <f>VLOOKUP(Table1[[#This Row],[CountryCode]],[1]!Table1[#All],1,FALSE)</f>
        <v>#REF!</v>
      </c>
    </row>
    <row r="97" spans="1:12" hidden="1" x14ac:dyDescent="0.3">
      <c r="A97" t="s">
        <v>15</v>
      </c>
      <c r="B97" t="s">
        <v>16</v>
      </c>
      <c r="C97" t="s">
        <v>9</v>
      </c>
      <c r="D97" t="s">
        <v>10</v>
      </c>
      <c r="E97">
        <v>1993</v>
      </c>
      <c r="F97" s="1">
        <v>100</v>
      </c>
      <c r="G97">
        <v>1990</v>
      </c>
      <c r="H97">
        <f>AVERAGEIFS(Table1[value],Table1[IndicatorCode],Table1[[#This Row],[IndicatorCode]])</f>
        <v>99.756410256410263</v>
      </c>
      <c r="I97" cm="1">
        <f t="array" ref="I97">_xlfn.STDEV.P(IF(Table1[IndicatorCode]=Table1[[#This Row],[IndicatorCode]],Table1[value]))</f>
        <v>1.1047979755287356</v>
      </c>
      <c r="J97">
        <f>(Table1[[#This Row],[value]] - Table1[[#This Row],[mean]]) / Table1[[#This Row],[std_dev]]</f>
        <v>0.22048351733552002</v>
      </c>
      <c r="K97">
        <f>AVERAGEIF(Table1[CountryCode],Table1[[#This Row],[CountryCode]],Table1[z-score])</f>
        <v>0.26765264295626828</v>
      </c>
      <c r="L97" t="e">
        <f>VLOOKUP(Table1[[#This Row],[CountryCode]],[1]!Table1[#All],1,FALSE)</f>
        <v>#REF!</v>
      </c>
    </row>
    <row r="98" spans="1:12" hidden="1" x14ac:dyDescent="0.3">
      <c r="A98" t="s">
        <v>15</v>
      </c>
      <c r="B98" t="s">
        <v>16</v>
      </c>
      <c r="C98" t="s">
        <v>9</v>
      </c>
      <c r="D98" t="s">
        <v>10</v>
      </c>
      <c r="E98">
        <v>1994</v>
      </c>
      <c r="F98" s="1">
        <v>100</v>
      </c>
      <c r="G98">
        <v>1990</v>
      </c>
      <c r="H98">
        <f>AVERAGEIFS(Table1[value],Table1[IndicatorCode],Table1[[#This Row],[IndicatorCode]])</f>
        <v>99.756410256410263</v>
      </c>
      <c r="I98" cm="1">
        <f t="array" ref="I98">_xlfn.STDEV.P(IF(Table1[IndicatorCode]=Table1[[#This Row],[IndicatorCode]],Table1[value]))</f>
        <v>1.1047979755287356</v>
      </c>
      <c r="J98">
        <f>(Table1[[#This Row],[value]] - Table1[[#This Row],[mean]]) / Table1[[#This Row],[std_dev]]</f>
        <v>0.22048351733552002</v>
      </c>
      <c r="K98">
        <f>AVERAGEIF(Table1[CountryCode],Table1[[#This Row],[CountryCode]],Table1[z-score])</f>
        <v>0.26765264295626828</v>
      </c>
      <c r="L98" t="e">
        <f>VLOOKUP(Table1[[#This Row],[CountryCode]],[1]!Table1[#All],1,FALSE)</f>
        <v>#REF!</v>
      </c>
    </row>
    <row r="99" spans="1:12" hidden="1" x14ac:dyDescent="0.3">
      <c r="A99" t="s">
        <v>15</v>
      </c>
      <c r="B99" t="s">
        <v>16</v>
      </c>
      <c r="C99" t="s">
        <v>9</v>
      </c>
      <c r="D99" t="s">
        <v>10</v>
      </c>
      <c r="E99">
        <v>1995</v>
      </c>
      <c r="F99" s="1">
        <v>100</v>
      </c>
      <c r="G99">
        <v>1990</v>
      </c>
      <c r="H99">
        <f>AVERAGEIFS(Table1[value],Table1[IndicatorCode],Table1[[#This Row],[IndicatorCode]])</f>
        <v>99.756410256410263</v>
      </c>
      <c r="I99" cm="1">
        <f t="array" ref="I99">_xlfn.STDEV.P(IF(Table1[IndicatorCode]=Table1[[#This Row],[IndicatorCode]],Table1[value]))</f>
        <v>1.1047979755287356</v>
      </c>
      <c r="J99">
        <f>(Table1[[#This Row],[value]] - Table1[[#This Row],[mean]]) / Table1[[#This Row],[std_dev]]</f>
        <v>0.22048351733552002</v>
      </c>
      <c r="K99">
        <f>AVERAGEIF(Table1[CountryCode],Table1[[#This Row],[CountryCode]],Table1[z-score])</f>
        <v>0.26765264295626828</v>
      </c>
      <c r="L99" t="e">
        <f>VLOOKUP(Table1[[#This Row],[CountryCode]],[1]!Table1[#All],1,FALSE)</f>
        <v>#REF!</v>
      </c>
    </row>
    <row r="100" spans="1:12" hidden="1" x14ac:dyDescent="0.3">
      <c r="A100" t="s">
        <v>15</v>
      </c>
      <c r="B100" t="s">
        <v>16</v>
      </c>
      <c r="C100" t="s">
        <v>9</v>
      </c>
      <c r="D100" t="s">
        <v>10</v>
      </c>
      <c r="E100">
        <v>1996</v>
      </c>
      <c r="F100" s="1">
        <v>100</v>
      </c>
      <c r="G100">
        <v>1990</v>
      </c>
      <c r="H100">
        <f>AVERAGEIFS(Table1[value],Table1[IndicatorCode],Table1[[#This Row],[IndicatorCode]])</f>
        <v>99.756410256410263</v>
      </c>
      <c r="I100" cm="1">
        <f t="array" ref="I100">_xlfn.STDEV.P(IF(Table1[IndicatorCode]=Table1[[#This Row],[IndicatorCode]],Table1[value]))</f>
        <v>1.1047979755287356</v>
      </c>
      <c r="J100">
        <f>(Table1[[#This Row],[value]] - Table1[[#This Row],[mean]]) / Table1[[#This Row],[std_dev]]</f>
        <v>0.22048351733552002</v>
      </c>
      <c r="K100">
        <f>AVERAGEIF(Table1[CountryCode],Table1[[#This Row],[CountryCode]],Table1[z-score])</f>
        <v>0.26765264295626828</v>
      </c>
      <c r="L100" t="e">
        <f>VLOOKUP(Table1[[#This Row],[CountryCode]],[1]!Table1[#All],1,FALSE)</f>
        <v>#REF!</v>
      </c>
    </row>
    <row r="101" spans="1:12" hidden="1" x14ac:dyDescent="0.3">
      <c r="A101" t="s">
        <v>15</v>
      </c>
      <c r="B101" t="s">
        <v>16</v>
      </c>
      <c r="C101" t="s">
        <v>9</v>
      </c>
      <c r="D101" t="s">
        <v>10</v>
      </c>
      <c r="E101">
        <v>1997</v>
      </c>
      <c r="F101" s="1">
        <v>100</v>
      </c>
      <c r="G101">
        <v>2000</v>
      </c>
      <c r="H101">
        <f>AVERAGEIFS(Table1[value],Table1[IndicatorCode],Table1[[#This Row],[IndicatorCode]])</f>
        <v>99.756410256410263</v>
      </c>
      <c r="I101" cm="1">
        <f t="array" ref="I101">_xlfn.STDEV.P(IF(Table1[IndicatorCode]=Table1[[#This Row],[IndicatorCode]],Table1[value]))</f>
        <v>1.1047979755287356</v>
      </c>
      <c r="J101">
        <f>(Table1[[#This Row],[value]] - Table1[[#This Row],[mean]]) / Table1[[#This Row],[std_dev]]</f>
        <v>0.22048351733552002</v>
      </c>
      <c r="K101">
        <f>AVERAGEIF(Table1[CountryCode],Table1[[#This Row],[CountryCode]],Table1[z-score])</f>
        <v>0.26765264295626828</v>
      </c>
      <c r="L101" t="e">
        <f>VLOOKUP(Table1[[#This Row],[CountryCode]],[1]!Table1[#All],1,FALSE)</f>
        <v>#REF!</v>
      </c>
    </row>
    <row r="102" spans="1:12" hidden="1" x14ac:dyDescent="0.3">
      <c r="A102" t="s">
        <v>15</v>
      </c>
      <c r="B102" t="s">
        <v>16</v>
      </c>
      <c r="C102" t="s">
        <v>9</v>
      </c>
      <c r="D102" t="s">
        <v>10</v>
      </c>
      <c r="E102">
        <v>1998</v>
      </c>
      <c r="F102" s="1">
        <v>100</v>
      </c>
      <c r="G102">
        <v>2000</v>
      </c>
      <c r="H102">
        <f>AVERAGEIFS(Table1[value],Table1[IndicatorCode],Table1[[#This Row],[IndicatorCode]])</f>
        <v>99.756410256410263</v>
      </c>
      <c r="I102" cm="1">
        <f t="array" ref="I102">_xlfn.STDEV.P(IF(Table1[IndicatorCode]=Table1[[#This Row],[IndicatorCode]],Table1[value]))</f>
        <v>1.1047979755287356</v>
      </c>
      <c r="J102">
        <f>(Table1[[#This Row],[value]] - Table1[[#This Row],[mean]]) / Table1[[#This Row],[std_dev]]</f>
        <v>0.22048351733552002</v>
      </c>
      <c r="K102">
        <f>AVERAGEIF(Table1[CountryCode],Table1[[#This Row],[CountryCode]],Table1[z-score])</f>
        <v>0.26765264295626828</v>
      </c>
      <c r="L102" t="e">
        <f>VLOOKUP(Table1[[#This Row],[CountryCode]],[1]!Table1[#All],1,FALSE)</f>
        <v>#REF!</v>
      </c>
    </row>
    <row r="103" spans="1:12" hidden="1" x14ac:dyDescent="0.3">
      <c r="A103" t="s">
        <v>15</v>
      </c>
      <c r="B103" t="s">
        <v>16</v>
      </c>
      <c r="C103" t="s">
        <v>9</v>
      </c>
      <c r="D103" t="s">
        <v>10</v>
      </c>
      <c r="E103">
        <v>1999</v>
      </c>
      <c r="F103" s="1">
        <v>100</v>
      </c>
      <c r="G103">
        <v>2000</v>
      </c>
      <c r="H103">
        <f>AVERAGEIFS(Table1[value],Table1[IndicatorCode],Table1[[#This Row],[IndicatorCode]])</f>
        <v>99.756410256410263</v>
      </c>
      <c r="I103" cm="1">
        <f t="array" ref="I103">_xlfn.STDEV.P(IF(Table1[IndicatorCode]=Table1[[#This Row],[IndicatorCode]],Table1[value]))</f>
        <v>1.1047979755287356</v>
      </c>
      <c r="J103">
        <f>(Table1[[#This Row],[value]] - Table1[[#This Row],[mean]]) / Table1[[#This Row],[std_dev]]</f>
        <v>0.22048351733552002</v>
      </c>
      <c r="K103">
        <f>AVERAGEIF(Table1[CountryCode],Table1[[#This Row],[CountryCode]],Table1[z-score])</f>
        <v>0.26765264295626828</v>
      </c>
      <c r="L103" t="e">
        <f>VLOOKUP(Table1[[#This Row],[CountryCode]],[1]!Table1[#All],1,FALSE)</f>
        <v>#REF!</v>
      </c>
    </row>
    <row r="104" spans="1:12" hidden="1" x14ac:dyDescent="0.3">
      <c r="A104" t="s">
        <v>15</v>
      </c>
      <c r="B104" t="s">
        <v>16</v>
      </c>
      <c r="C104" t="s">
        <v>9</v>
      </c>
      <c r="D104" t="s">
        <v>10</v>
      </c>
      <c r="E104">
        <v>2000</v>
      </c>
      <c r="F104" s="1">
        <v>100</v>
      </c>
      <c r="G104">
        <v>2000</v>
      </c>
      <c r="H104">
        <f>AVERAGEIFS(Table1[value],Table1[IndicatorCode],Table1[[#This Row],[IndicatorCode]])</f>
        <v>99.756410256410263</v>
      </c>
      <c r="I104" cm="1">
        <f t="array" ref="I104">_xlfn.STDEV.P(IF(Table1[IndicatorCode]=Table1[[#This Row],[IndicatorCode]],Table1[value]))</f>
        <v>1.1047979755287356</v>
      </c>
      <c r="J104">
        <f>(Table1[[#This Row],[value]] - Table1[[#This Row],[mean]]) / Table1[[#This Row],[std_dev]]</f>
        <v>0.22048351733552002</v>
      </c>
      <c r="K104">
        <f>AVERAGEIF(Table1[CountryCode],Table1[[#This Row],[CountryCode]],Table1[z-score])</f>
        <v>0.26765264295626828</v>
      </c>
      <c r="L104" t="e">
        <f>VLOOKUP(Table1[[#This Row],[CountryCode]],[1]!Table1[#All],1,FALSE)</f>
        <v>#REF!</v>
      </c>
    </row>
    <row r="105" spans="1:12" hidden="1" x14ac:dyDescent="0.3">
      <c r="A105" t="s">
        <v>15</v>
      </c>
      <c r="B105" t="s">
        <v>16</v>
      </c>
      <c r="C105" t="s">
        <v>9</v>
      </c>
      <c r="D105" t="s">
        <v>10</v>
      </c>
      <c r="E105">
        <v>2001</v>
      </c>
      <c r="F105" s="1">
        <v>100</v>
      </c>
      <c r="G105">
        <v>2000</v>
      </c>
      <c r="H105">
        <f>AVERAGEIFS(Table1[value],Table1[IndicatorCode],Table1[[#This Row],[IndicatorCode]])</f>
        <v>99.756410256410263</v>
      </c>
      <c r="I105" cm="1">
        <f t="array" ref="I105">_xlfn.STDEV.P(IF(Table1[IndicatorCode]=Table1[[#This Row],[IndicatorCode]],Table1[value]))</f>
        <v>1.1047979755287356</v>
      </c>
      <c r="J105">
        <f>(Table1[[#This Row],[value]] - Table1[[#This Row],[mean]]) / Table1[[#This Row],[std_dev]]</f>
        <v>0.22048351733552002</v>
      </c>
      <c r="K105">
        <f>AVERAGEIF(Table1[CountryCode],Table1[[#This Row],[CountryCode]],Table1[z-score])</f>
        <v>0.26765264295626828</v>
      </c>
      <c r="L105" t="e">
        <f>VLOOKUP(Table1[[#This Row],[CountryCode]],[1]!Table1[#All],1,FALSE)</f>
        <v>#REF!</v>
      </c>
    </row>
    <row r="106" spans="1:12" hidden="1" x14ac:dyDescent="0.3">
      <c r="A106" t="s">
        <v>15</v>
      </c>
      <c r="B106" t="s">
        <v>16</v>
      </c>
      <c r="C106" t="s">
        <v>9</v>
      </c>
      <c r="D106" t="s">
        <v>10</v>
      </c>
      <c r="E106">
        <v>2002</v>
      </c>
      <c r="F106" s="1">
        <v>100</v>
      </c>
      <c r="G106">
        <v>2000</v>
      </c>
      <c r="H106">
        <f>AVERAGEIFS(Table1[value],Table1[IndicatorCode],Table1[[#This Row],[IndicatorCode]])</f>
        <v>99.756410256410263</v>
      </c>
      <c r="I106" cm="1">
        <f t="array" ref="I106">_xlfn.STDEV.P(IF(Table1[IndicatorCode]=Table1[[#This Row],[IndicatorCode]],Table1[value]))</f>
        <v>1.1047979755287356</v>
      </c>
      <c r="J106">
        <f>(Table1[[#This Row],[value]] - Table1[[#This Row],[mean]]) / Table1[[#This Row],[std_dev]]</f>
        <v>0.22048351733552002</v>
      </c>
      <c r="K106">
        <f>AVERAGEIF(Table1[CountryCode],Table1[[#This Row],[CountryCode]],Table1[z-score])</f>
        <v>0.26765264295626828</v>
      </c>
      <c r="L106" t="e">
        <f>VLOOKUP(Table1[[#This Row],[CountryCode]],[1]!Table1[#All],1,FALSE)</f>
        <v>#REF!</v>
      </c>
    </row>
    <row r="107" spans="1:12" hidden="1" x14ac:dyDescent="0.3">
      <c r="A107" t="s">
        <v>15</v>
      </c>
      <c r="B107" t="s">
        <v>16</v>
      </c>
      <c r="C107" t="s">
        <v>9</v>
      </c>
      <c r="D107" t="s">
        <v>10</v>
      </c>
      <c r="E107">
        <v>2003</v>
      </c>
      <c r="F107" s="1">
        <v>100</v>
      </c>
      <c r="G107">
        <v>2000</v>
      </c>
      <c r="H107">
        <f>AVERAGEIFS(Table1[value],Table1[IndicatorCode],Table1[[#This Row],[IndicatorCode]])</f>
        <v>99.756410256410263</v>
      </c>
      <c r="I107" cm="1">
        <f t="array" ref="I107">_xlfn.STDEV.P(IF(Table1[IndicatorCode]=Table1[[#This Row],[IndicatorCode]],Table1[value]))</f>
        <v>1.1047979755287356</v>
      </c>
      <c r="J107">
        <f>(Table1[[#This Row],[value]] - Table1[[#This Row],[mean]]) / Table1[[#This Row],[std_dev]]</f>
        <v>0.22048351733552002</v>
      </c>
      <c r="K107">
        <f>AVERAGEIF(Table1[CountryCode],Table1[[#This Row],[CountryCode]],Table1[z-score])</f>
        <v>0.26765264295626828</v>
      </c>
      <c r="L107" t="e">
        <f>VLOOKUP(Table1[[#This Row],[CountryCode]],[1]!Table1[#All],1,FALSE)</f>
        <v>#REF!</v>
      </c>
    </row>
    <row r="108" spans="1:12" hidden="1" x14ac:dyDescent="0.3">
      <c r="A108" t="s">
        <v>15</v>
      </c>
      <c r="B108" t="s">
        <v>16</v>
      </c>
      <c r="C108" t="s">
        <v>9</v>
      </c>
      <c r="D108" t="s">
        <v>10</v>
      </c>
      <c r="E108">
        <v>2004</v>
      </c>
      <c r="F108" s="1">
        <v>100</v>
      </c>
      <c r="G108">
        <v>2000</v>
      </c>
      <c r="H108">
        <f>AVERAGEIFS(Table1[value],Table1[IndicatorCode],Table1[[#This Row],[IndicatorCode]])</f>
        <v>99.756410256410263</v>
      </c>
      <c r="I108" cm="1">
        <f t="array" ref="I108">_xlfn.STDEV.P(IF(Table1[IndicatorCode]=Table1[[#This Row],[IndicatorCode]],Table1[value]))</f>
        <v>1.1047979755287356</v>
      </c>
      <c r="J108">
        <f>(Table1[[#This Row],[value]] - Table1[[#This Row],[mean]]) / Table1[[#This Row],[std_dev]]</f>
        <v>0.22048351733552002</v>
      </c>
      <c r="K108">
        <f>AVERAGEIF(Table1[CountryCode],Table1[[#This Row],[CountryCode]],Table1[z-score])</f>
        <v>0.26765264295626828</v>
      </c>
      <c r="L108" t="e">
        <f>VLOOKUP(Table1[[#This Row],[CountryCode]],[1]!Table1[#All],1,FALSE)</f>
        <v>#REF!</v>
      </c>
    </row>
    <row r="109" spans="1:12" hidden="1" x14ac:dyDescent="0.3">
      <c r="A109" t="s">
        <v>15</v>
      </c>
      <c r="B109" t="s">
        <v>16</v>
      </c>
      <c r="C109" t="s">
        <v>9</v>
      </c>
      <c r="D109" t="s">
        <v>10</v>
      </c>
      <c r="E109">
        <v>2005</v>
      </c>
      <c r="F109" s="1">
        <v>100</v>
      </c>
      <c r="G109">
        <v>2000</v>
      </c>
      <c r="H109">
        <f>AVERAGEIFS(Table1[value],Table1[IndicatorCode],Table1[[#This Row],[IndicatorCode]])</f>
        <v>99.756410256410263</v>
      </c>
      <c r="I109" cm="1">
        <f t="array" ref="I109">_xlfn.STDEV.P(IF(Table1[IndicatorCode]=Table1[[#This Row],[IndicatorCode]],Table1[value]))</f>
        <v>1.1047979755287356</v>
      </c>
      <c r="J109">
        <f>(Table1[[#This Row],[value]] - Table1[[#This Row],[mean]]) / Table1[[#This Row],[std_dev]]</f>
        <v>0.22048351733552002</v>
      </c>
      <c r="K109">
        <f>AVERAGEIF(Table1[CountryCode],Table1[[#This Row],[CountryCode]],Table1[z-score])</f>
        <v>0.26765264295626828</v>
      </c>
      <c r="L109" t="e">
        <f>VLOOKUP(Table1[[#This Row],[CountryCode]],[1]!Table1[#All],1,FALSE)</f>
        <v>#REF!</v>
      </c>
    </row>
    <row r="110" spans="1:12" hidden="1" x14ac:dyDescent="0.3">
      <c r="A110" t="s">
        <v>15</v>
      </c>
      <c r="B110" t="s">
        <v>16</v>
      </c>
      <c r="C110" t="s">
        <v>9</v>
      </c>
      <c r="D110" t="s">
        <v>10</v>
      </c>
      <c r="E110">
        <v>2006</v>
      </c>
      <c r="F110" s="1">
        <v>100</v>
      </c>
      <c r="G110">
        <v>2000</v>
      </c>
      <c r="H110">
        <f>AVERAGEIFS(Table1[value],Table1[IndicatorCode],Table1[[#This Row],[IndicatorCode]])</f>
        <v>99.756410256410263</v>
      </c>
      <c r="I110" cm="1">
        <f t="array" ref="I110">_xlfn.STDEV.P(IF(Table1[IndicatorCode]=Table1[[#This Row],[IndicatorCode]],Table1[value]))</f>
        <v>1.1047979755287356</v>
      </c>
      <c r="J110">
        <f>(Table1[[#This Row],[value]] - Table1[[#This Row],[mean]]) / Table1[[#This Row],[std_dev]]</f>
        <v>0.22048351733552002</v>
      </c>
      <c r="K110">
        <f>AVERAGEIF(Table1[CountryCode],Table1[[#This Row],[CountryCode]],Table1[z-score])</f>
        <v>0.26765264295626828</v>
      </c>
      <c r="L110" t="e">
        <f>VLOOKUP(Table1[[#This Row],[CountryCode]],[1]!Table1[#All],1,FALSE)</f>
        <v>#REF!</v>
      </c>
    </row>
    <row r="111" spans="1:12" hidden="1" x14ac:dyDescent="0.3">
      <c r="A111" t="s">
        <v>15</v>
      </c>
      <c r="B111" t="s">
        <v>16</v>
      </c>
      <c r="C111" t="s">
        <v>9</v>
      </c>
      <c r="D111" t="s">
        <v>10</v>
      </c>
      <c r="E111">
        <v>2007</v>
      </c>
      <c r="F111" s="1">
        <v>100</v>
      </c>
      <c r="G111">
        <v>2010</v>
      </c>
      <c r="H111">
        <f>AVERAGEIFS(Table1[value],Table1[IndicatorCode],Table1[[#This Row],[IndicatorCode]])</f>
        <v>99.756410256410263</v>
      </c>
      <c r="I111" cm="1">
        <f t="array" ref="I111">_xlfn.STDEV.P(IF(Table1[IndicatorCode]=Table1[[#This Row],[IndicatorCode]],Table1[value]))</f>
        <v>1.1047979755287356</v>
      </c>
      <c r="J111">
        <f>(Table1[[#This Row],[value]] - Table1[[#This Row],[mean]]) / Table1[[#This Row],[std_dev]]</f>
        <v>0.22048351733552002</v>
      </c>
      <c r="K111">
        <f>AVERAGEIF(Table1[CountryCode],Table1[[#This Row],[CountryCode]],Table1[z-score])</f>
        <v>0.26765264295626828</v>
      </c>
      <c r="L111" t="e">
        <f>VLOOKUP(Table1[[#This Row],[CountryCode]],[1]!Table1[#All],1,FALSE)</f>
        <v>#REF!</v>
      </c>
    </row>
    <row r="112" spans="1:12" hidden="1" x14ac:dyDescent="0.3">
      <c r="A112" t="s">
        <v>15</v>
      </c>
      <c r="B112" t="s">
        <v>16</v>
      </c>
      <c r="C112" t="s">
        <v>9</v>
      </c>
      <c r="D112" t="s">
        <v>10</v>
      </c>
      <c r="E112">
        <v>2008</v>
      </c>
      <c r="F112" s="1">
        <v>100</v>
      </c>
      <c r="G112">
        <v>2010</v>
      </c>
      <c r="H112">
        <f>AVERAGEIFS(Table1[value],Table1[IndicatorCode],Table1[[#This Row],[IndicatorCode]])</f>
        <v>99.756410256410263</v>
      </c>
      <c r="I112" cm="1">
        <f t="array" ref="I112">_xlfn.STDEV.P(IF(Table1[IndicatorCode]=Table1[[#This Row],[IndicatorCode]],Table1[value]))</f>
        <v>1.1047979755287356</v>
      </c>
      <c r="J112">
        <f>(Table1[[#This Row],[value]] - Table1[[#This Row],[mean]]) / Table1[[#This Row],[std_dev]]</f>
        <v>0.22048351733552002</v>
      </c>
      <c r="K112">
        <f>AVERAGEIF(Table1[CountryCode],Table1[[#This Row],[CountryCode]],Table1[z-score])</f>
        <v>0.26765264295626828</v>
      </c>
      <c r="L112" t="e">
        <f>VLOOKUP(Table1[[#This Row],[CountryCode]],[1]!Table1[#All],1,FALSE)</f>
        <v>#REF!</v>
      </c>
    </row>
    <row r="113" spans="1:12" hidden="1" x14ac:dyDescent="0.3">
      <c r="A113" t="s">
        <v>15</v>
      </c>
      <c r="B113" t="s">
        <v>16</v>
      </c>
      <c r="C113" t="s">
        <v>9</v>
      </c>
      <c r="D113" t="s">
        <v>10</v>
      </c>
      <c r="E113">
        <v>2009</v>
      </c>
      <c r="F113" s="1">
        <v>100</v>
      </c>
      <c r="G113">
        <v>2010</v>
      </c>
      <c r="H113">
        <f>AVERAGEIFS(Table1[value],Table1[IndicatorCode],Table1[[#This Row],[IndicatorCode]])</f>
        <v>99.756410256410263</v>
      </c>
      <c r="I113" cm="1">
        <f t="array" ref="I113">_xlfn.STDEV.P(IF(Table1[IndicatorCode]=Table1[[#This Row],[IndicatorCode]],Table1[value]))</f>
        <v>1.1047979755287356</v>
      </c>
      <c r="J113">
        <f>(Table1[[#This Row],[value]] - Table1[[#This Row],[mean]]) / Table1[[#This Row],[std_dev]]</f>
        <v>0.22048351733552002</v>
      </c>
      <c r="K113">
        <f>AVERAGEIF(Table1[CountryCode],Table1[[#This Row],[CountryCode]],Table1[z-score])</f>
        <v>0.26765264295626828</v>
      </c>
      <c r="L113" t="e">
        <f>VLOOKUP(Table1[[#This Row],[CountryCode]],[1]!Table1[#All],1,FALSE)</f>
        <v>#REF!</v>
      </c>
    </row>
    <row r="114" spans="1:12" hidden="1" x14ac:dyDescent="0.3">
      <c r="A114" t="s">
        <v>15</v>
      </c>
      <c r="B114" t="s">
        <v>16</v>
      </c>
      <c r="C114" t="s">
        <v>9</v>
      </c>
      <c r="D114" t="s">
        <v>10</v>
      </c>
      <c r="E114">
        <v>2010</v>
      </c>
      <c r="F114" s="1">
        <v>100</v>
      </c>
      <c r="G114">
        <v>2010</v>
      </c>
      <c r="H114">
        <f>AVERAGEIFS(Table1[value],Table1[IndicatorCode],Table1[[#This Row],[IndicatorCode]])</f>
        <v>99.756410256410263</v>
      </c>
      <c r="I114" cm="1">
        <f t="array" ref="I114">_xlfn.STDEV.P(IF(Table1[IndicatorCode]=Table1[[#This Row],[IndicatorCode]],Table1[value]))</f>
        <v>1.1047979755287356</v>
      </c>
      <c r="J114">
        <f>(Table1[[#This Row],[value]] - Table1[[#This Row],[mean]]) / Table1[[#This Row],[std_dev]]</f>
        <v>0.22048351733552002</v>
      </c>
      <c r="K114">
        <f>AVERAGEIF(Table1[CountryCode],Table1[[#This Row],[CountryCode]],Table1[z-score])</f>
        <v>0.26765264295626828</v>
      </c>
      <c r="L114" t="e">
        <f>VLOOKUP(Table1[[#This Row],[CountryCode]],[1]!Table1[#All],1,FALSE)</f>
        <v>#REF!</v>
      </c>
    </row>
    <row r="115" spans="1:12" hidden="1" x14ac:dyDescent="0.3">
      <c r="A115" t="s">
        <v>15</v>
      </c>
      <c r="B115" t="s">
        <v>16</v>
      </c>
      <c r="C115" t="s">
        <v>9</v>
      </c>
      <c r="D115" t="s">
        <v>10</v>
      </c>
      <c r="E115">
        <v>2011</v>
      </c>
      <c r="F115" s="1">
        <v>100</v>
      </c>
      <c r="G115">
        <v>2010</v>
      </c>
      <c r="H115">
        <f>AVERAGEIFS(Table1[value],Table1[IndicatorCode],Table1[[#This Row],[IndicatorCode]])</f>
        <v>99.756410256410263</v>
      </c>
      <c r="I115" cm="1">
        <f t="array" ref="I115">_xlfn.STDEV.P(IF(Table1[IndicatorCode]=Table1[[#This Row],[IndicatorCode]],Table1[value]))</f>
        <v>1.1047979755287356</v>
      </c>
      <c r="J115">
        <f>(Table1[[#This Row],[value]] - Table1[[#This Row],[mean]]) / Table1[[#This Row],[std_dev]]</f>
        <v>0.22048351733552002</v>
      </c>
      <c r="K115">
        <f>AVERAGEIF(Table1[CountryCode],Table1[[#This Row],[CountryCode]],Table1[z-score])</f>
        <v>0.26765264295626828</v>
      </c>
      <c r="L115" t="e">
        <f>VLOOKUP(Table1[[#This Row],[CountryCode]],[1]!Table1[#All],1,FALSE)</f>
        <v>#REF!</v>
      </c>
    </row>
    <row r="116" spans="1:12" hidden="1" x14ac:dyDescent="0.3">
      <c r="A116" t="s">
        <v>15</v>
      </c>
      <c r="B116" t="s">
        <v>16</v>
      </c>
      <c r="C116" t="s">
        <v>9</v>
      </c>
      <c r="D116" t="s">
        <v>10</v>
      </c>
      <c r="E116">
        <v>2012</v>
      </c>
      <c r="F116" s="1">
        <v>100</v>
      </c>
      <c r="G116">
        <v>2010</v>
      </c>
      <c r="H116">
        <f>AVERAGEIFS(Table1[value],Table1[IndicatorCode],Table1[[#This Row],[IndicatorCode]])</f>
        <v>99.756410256410263</v>
      </c>
      <c r="I116" cm="1">
        <f t="array" ref="I116">_xlfn.STDEV.P(IF(Table1[IndicatorCode]=Table1[[#This Row],[IndicatorCode]],Table1[value]))</f>
        <v>1.1047979755287356</v>
      </c>
      <c r="J116">
        <f>(Table1[[#This Row],[value]] - Table1[[#This Row],[mean]]) / Table1[[#This Row],[std_dev]]</f>
        <v>0.22048351733552002</v>
      </c>
      <c r="K116">
        <f>AVERAGEIF(Table1[CountryCode],Table1[[#This Row],[CountryCode]],Table1[z-score])</f>
        <v>0.26765264295626828</v>
      </c>
      <c r="L116" t="e">
        <f>VLOOKUP(Table1[[#This Row],[CountryCode]],[1]!Table1[#All],1,FALSE)</f>
        <v>#REF!</v>
      </c>
    </row>
    <row r="117" spans="1:12" hidden="1" x14ac:dyDescent="0.3">
      <c r="A117" t="s">
        <v>15</v>
      </c>
      <c r="B117" t="s">
        <v>16</v>
      </c>
      <c r="C117" t="s">
        <v>9</v>
      </c>
      <c r="D117" t="s">
        <v>10</v>
      </c>
      <c r="E117">
        <v>2013</v>
      </c>
      <c r="F117" s="1">
        <v>100</v>
      </c>
      <c r="G117">
        <v>2010</v>
      </c>
      <c r="H117">
        <f>AVERAGEIFS(Table1[value],Table1[IndicatorCode],Table1[[#This Row],[IndicatorCode]])</f>
        <v>99.756410256410263</v>
      </c>
      <c r="I117" cm="1">
        <f t="array" ref="I117">_xlfn.STDEV.P(IF(Table1[IndicatorCode]=Table1[[#This Row],[IndicatorCode]],Table1[value]))</f>
        <v>1.1047979755287356</v>
      </c>
      <c r="J117">
        <f>(Table1[[#This Row],[value]] - Table1[[#This Row],[mean]]) / Table1[[#This Row],[std_dev]]</f>
        <v>0.22048351733552002</v>
      </c>
      <c r="K117">
        <f>AVERAGEIF(Table1[CountryCode],Table1[[#This Row],[CountryCode]],Table1[z-score])</f>
        <v>0.26765264295626828</v>
      </c>
      <c r="L117" t="e">
        <f>VLOOKUP(Table1[[#This Row],[CountryCode]],[1]!Table1[#All],1,FALSE)</f>
        <v>#REF!</v>
      </c>
    </row>
    <row r="118" spans="1:12" hidden="1" x14ac:dyDescent="0.3">
      <c r="A118" t="s">
        <v>15</v>
      </c>
      <c r="B118" t="s">
        <v>16</v>
      </c>
      <c r="C118" t="s">
        <v>9</v>
      </c>
      <c r="D118" t="s">
        <v>10</v>
      </c>
      <c r="E118">
        <v>2014</v>
      </c>
      <c r="F118" s="1">
        <v>100</v>
      </c>
      <c r="G118">
        <v>2010</v>
      </c>
      <c r="H118">
        <f>AVERAGEIFS(Table1[value],Table1[IndicatorCode],Table1[[#This Row],[IndicatorCode]])</f>
        <v>99.756410256410263</v>
      </c>
      <c r="I118" cm="1">
        <f t="array" ref="I118">_xlfn.STDEV.P(IF(Table1[IndicatorCode]=Table1[[#This Row],[IndicatorCode]],Table1[value]))</f>
        <v>1.1047979755287356</v>
      </c>
      <c r="J118">
        <f>(Table1[[#This Row],[value]] - Table1[[#This Row],[mean]]) / Table1[[#This Row],[std_dev]]</f>
        <v>0.22048351733552002</v>
      </c>
      <c r="K118">
        <f>AVERAGEIF(Table1[CountryCode],Table1[[#This Row],[CountryCode]],Table1[z-score])</f>
        <v>0.26765264295626828</v>
      </c>
      <c r="L118" t="e">
        <f>VLOOKUP(Table1[[#This Row],[CountryCode]],[1]!Table1[#All],1,FALSE)</f>
        <v>#REF!</v>
      </c>
    </row>
    <row r="119" spans="1:12" hidden="1" x14ac:dyDescent="0.3">
      <c r="A119" t="s">
        <v>15</v>
      </c>
      <c r="B119" t="s">
        <v>16</v>
      </c>
      <c r="C119" t="s">
        <v>9</v>
      </c>
      <c r="D119" t="s">
        <v>10</v>
      </c>
      <c r="E119">
        <v>2015</v>
      </c>
      <c r="F119" s="1">
        <v>100</v>
      </c>
      <c r="G119">
        <v>2010</v>
      </c>
      <c r="H119">
        <f>AVERAGEIFS(Table1[value],Table1[IndicatorCode],Table1[[#This Row],[IndicatorCode]])</f>
        <v>99.756410256410263</v>
      </c>
      <c r="I119" cm="1">
        <f t="array" ref="I119">_xlfn.STDEV.P(IF(Table1[IndicatorCode]=Table1[[#This Row],[IndicatorCode]],Table1[value]))</f>
        <v>1.1047979755287356</v>
      </c>
      <c r="J119">
        <f>(Table1[[#This Row],[value]] - Table1[[#This Row],[mean]]) / Table1[[#This Row],[std_dev]]</f>
        <v>0.22048351733552002</v>
      </c>
      <c r="K119">
        <f>AVERAGEIF(Table1[CountryCode],Table1[[#This Row],[CountryCode]],Table1[z-score])</f>
        <v>0.26765264295626828</v>
      </c>
      <c r="L119" t="e">
        <f>VLOOKUP(Table1[[#This Row],[CountryCode]],[1]!Table1[#All],1,FALSE)</f>
        <v>#REF!</v>
      </c>
    </row>
    <row r="120" spans="1:12" hidden="1" x14ac:dyDescent="0.3">
      <c r="A120" t="s">
        <v>15</v>
      </c>
      <c r="B120" t="s">
        <v>16</v>
      </c>
      <c r="C120" t="s">
        <v>9</v>
      </c>
      <c r="D120" t="s">
        <v>10</v>
      </c>
      <c r="E120">
        <v>2016</v>
      </c>
      <c r="F120" s="1">
        <v>100</v>
      </c>
      <c r="G120">
        <v>2010</v>
      </c>
      <c r="H120">
        <f>AVERAGEIFS(Table1[value],Table1[IndicatorCode],Table1[[#This Row],[IndicatorCode]])</f>
        <v>99.756410256410263</v>
      </c>
      <c r="I120" cm="1">
        <f t="array" ref="I120">_xlfn.STDEV.P(IF(Table1[IndicatorCode]=Table1[[#This Row],[IndicatorCode]],Table1[value]))</f>
        <v>1.1047979755287356</v>
      </c>
      <c r="J120">
        <f>(Table1[[#This Row],[value]] - Table1[[#This Row],[mean]]) / Table1[[#This Row],[std_dev]]</f>
        <v>0.22048351733552002</v>
      </c>
      <c r="K120">
        <f>AVERAGEIF(Table1[CountryCode],Table1[[#This Row],[CountryCode]],Table1[z-score])</f>
        <v>0.26765264295626828</v>
      </c>
      <c r="L120" t="e">
        <f>VLOOKUP(Table1[[#This Row],[CountryCode]],[1]!Table1[#All],1,FALSE)</f>
        <v>#REF!</v>
      </c>
    </row>
    <row r="121" spans="1:12" hidden="1" x14ac:dyDescent="0.3">
      <c r="A121" t="s">
        <v>15</v>
      </c>
      <c r="B121" t="s">
        <v>16</v>
      </c>
      <c r="C121" t="s">
        <v>9</v>
      </c>
      <c r="D121" t="s">
        <v>10</v>
      </c>
      <c r="E121">
        <v>2017</v>
      </c>
      <c r="F121" s="1">
        <v>100</v>
      </c>
      <c r="G121">
        <v>2020</v>
      </c>
      <c r="H121">
        <f>AVERAGEIFS(Table1[value],Table1[IndicatorCode],Table1[[#This Row],[IndicatorCode]])</f>
        <v>99.756410256410263</v>
      </c>
      <c r="I121" cm="1">
        <f t="array" ref="I121">_xlfn.STDEV.P(IF(Table1[IndicatorCode]=Table1[[#This Row],[IndicatorCode]],Table1[value]))</f>
        <v>1.1047979755287356</v>
      </c>
      <c r="J121">
        <f>(Table1[[#This Row],[value]] - Table1[[#This Row],[mean]]) / Table1[[#This Row],[std_dev]]</f>
        <v>0.22048351733552002</v>
      </c>
      <c r="K121">
        <f>AVERAGEIF(Table1[CountryCode],Table1[[#This Row],[CountryCode]],Table1[z-score])</f>
        <v>0.26765264295626828</v>
      </c>
      <c r="L121" t="e">
        <f>VLOOKUP(Table1[[#This Row],[CountryCode]],[1]!Table1[#All],1,FALSE)</f>
        <v>#REF!</v>
      </c>
    </row>
    <row r="122" spans="1:12" hidden="1" x14ac:dyDescent="0.3">
      <c r="A122" t="s">
        <v>15</v>
      </c>
      <c r="B122" t="s">
        <v>16</v>
      </c>
      <c r="C122" t="s">
        <v>9</v>
      </c>
      <c r="D122" t="s">
        <v>10</v>
      </c>
      <c r="E122">
        <v>2018</v>
      </c>
      <c r="F122" s="1">
        <v>100</v>
      </c>
      <c r="G122">
        <v>2020</v>
      </c>
      <c r="H122">
        <f>AVERAGEIFS(Table1[value],Table1[IndicatorCode],Table1[[#This Row],[IndicatorCode]])</f>
        <v>99.756410256410263</v>
      </c>
      <c r="I122" cm="1">
        <f t="array" ref="I122">_xlfn.STDEV.P(IF(Table1[IndicatorCode]=Table1[[#This Row],[IndicatorCode]],Table1[value]))</f>
        <v>1.1047979755287356</v>
      </c>
      <c r="J122">
        <f>(Table1[[#This Row],[value]] - Table1[[#This Row],[mean]]) / Table1[[#This Row],[std_dev]]</f>
        <v>0.22048351733552002</v>
      </c>
      <c r="K122">
        <f>AVERAGEIF(Table1[CountryCode],Table1[[#This Row],[CountryCode]],Table1[z-score])</f>
        <v>0.26765264295626828</v>
      </c>
      <c r="L122" t="e">
        <f>VLOOKUP(Table1[[#This Row],[CountryCode]],[1]!Table1[#All],1,FALSE)</f>
        <v>#REF!</v>
      </c>
    </row>
    <row r="123" spans="1:12" hidden="1" x14ac:dyDescent="0.3">
      <c r="A123" t="s">
        <v>15</v>
      </c>
      <c r="B123" t="s">
        <v>16</v>
      </c>
      <c r="C123" t="s">
        <v>9</v>
      </c>
      <c r="D123" t="s">
        <v>10</v>
      </c>
      <c r="E123">
        <v>2019</v>
      </c>
      <c r="F123" s="1">
        <v>100</v>
      </c>
      <c r="G123">
        <v>2020</v>
      </c>
      <c r="H123">
        <f>AVERAGEIFS(Table1[value],Table1[IndicatorCode],Table1[[#This Row],[IndicatorCode]])</f>
        <v>99.756410256410263</v>
      </c>
      <c r="I123" cm="1">
        <f t="array" ref="I123">_xlfn.STDEV.P(IF(Table1[IndicatorCode]=Table1[[#This Row],[IndicatorCode]],Table1[value]))</f>
        <v>1.1047979755287356</v>
      </c>
      <c r="J123">
        <f>(Table1[[#This Row],[value]] - Table1[[#This Row],[mean]]) / Table1[[#This Row],[std_dev]]</f>
        <v>0.22048351733552002</v>
      </c>
      <c r="K123">
        <f>AVERAGEIF(Table1[CountryCode],Table1[[#This Row],[CountryCode]],Table1[z-score])</f>
        <v>0.26765264295626828</v>
      </c>
      <c r="L123" t="e">
        <f>VLOOKUP(Table1[[#This Row],[CountryCode]],[1]!Table1[#All],1,FALSE)</f>
        <v>#REF!</v>
      </c>
    </row>
    <row r="124" spans="1:12" x14ac:dyDescent="0.3">
      <c r="A124" t="s">
        <v>15</v>
      </c>
      <c r="B124" t="s">
        <v>16</v>
      </c>
      <c r="C124" t="s">
        <v>9</v>
      </c>
      <c r="D124" t="s">
        <v>10</v>
      </c>
      <c r="E124">
        <v>2020</v>
      </c>
      <c r="F124" s="1">
        <v>100</v>
      </c>
      <c r="G124">
        <v>2020</v>
      </c>
      <c r="H124">
        <f>AVERAGEIFS(Table1[value],Table1[IndicatorCode],Table1[[#This Row],[IndicatorCode]])</f>
        <v>99.756410256410263</v>
      </c>
      <c r="I124" cm="1">
        <f t="array" ref="I124">_xlfn.STDEV.P(IF(Table1[IndicatorCode]=Table1[[#This Row],[IndicatorCode]],Table1[value]))</f>
        <v>1.1047979755287356</v>
      </c>
      <c r="J124">
        <f>(Table1[[#This Row],[value]] - Table1[[#This Row],[mean]]) / Table1[[#This Row],[std_dev]]</f>
        <v>0.22048351733552002</v>
      </c>
      <c r="K124">
        <f>AVERAGEIF(Table1[CountryCode],Table1[[#This Row],[CountryCode]],Table1[z-score])</f>
        <v>0.26765264295626828</v>
      </c>
    </row>
    <row r="125" spans="1:12" hidden="1" x14ac:dyDescent="0.3">
      <c r="A125" t="s">
        <v>15</v>
      </c>
      <c r="B125" t="s">
        <v>16</v>
      </c>
      <c r="C125" t="s">
        <v>9</v>
      </c>
      <c r="D125" t="s">
        <v>10</v>
      </c>
      <c r="E125">
        <v>2021</v>
      </c>
      <c r="F125" s="1">
        <v>100</v>
      </c>
      <c r="G125">
        <v>1990</v>
      </c>
      <c r="H125">
        <f>AVERAGEIFS(Table1[value],Table1[IndicatorCode],Table1[[#This Row],[IndicatorCode]])</f>
        <v>99.756410256410263</v>
      </c>
      <c r="I125" cm="1">
        <f t="array" ref="I125">_xlfn.STDEV.P(IF(Table1[IndicatorCode]=Table1[[#This Row],[IndicatorCode]],Table1[value]))</f>
        <v>1.1047979755287356</v>
      </c>
      <c r="J125">
        <f>(Table1[[#This Row],[value]] - Table1[[#This Row],[mean]]) / Table1[[#This Row],[std_dev]]</f>
        <v>0.22048351733552002</v>
      </c>
      <c r="K125">
        <f>AVERAGEIF(Table1[CountryCode],Table1[[#This Row],[CountryCode]],Table1[z-score])</f>
        <v>0.26765264295626828</v>
      </c>
      <c r="L125" t="e">
        <f>VLOOKUP(Table1[[#This Row],[CountryCode]],[1]!Table1[#All],1,FALSE)</f>
        <v>#REF!</v>
      </c>
    </row>
    <row r="126" spans="1:12" hidden="1" x14ac:dyDescent="0.3">
      <c r="A126" t="s">
        <v>15</v>
      </c>
      <c r="B126" t="s">
        <v>16</v>
      </c>
      <c r="C126" t="s">
        <v>9</v>
      </c>
      <c r="D126" t="s">
        <v>10</v>
      </c>
      <c r="E126">
        <v>2022</v>
      </c>
      <c r="F126" s="1">
        <v>100</v>
      </c>
      <c r="G126">
        <v>2000</v>
      </c>
      <c r="H126">
        <f>AVERAGEIFS(Table1[value],Table1[IndicatorCode],Table1[[#This Row],[IndicatorCode]])</f>
        <v>99.756410256410263</v>
      </c>
      <c r="I126" cm="1">
        <f t="array" ref="I126">_xlfn.STDEV.P(IF(Table1[IndicatorCode]=Table1[[#This Row],[IndicatorCode]],Table1[value]))</f>
        <v>1.1047979755287356</v>
      </c>
      <c r="J126">
        <f>(Table1[[#This Row],[value]] - Table1[[#This Row],[mean]]) / Table1[[#This Row],[std_dev]]</f>
        <v>0.22048351733552002</v>
      </c>
      <c r="K126">
        <f>AVERAGEIF(Table1[CountryCode],Table1[[#This Row],[CountryCode]],Table1[z-score])</f>
        <v>0.26765264295626828</v>
      </c>
      <c r="L126" t="e">
        <f>VLOOKUP(Table1[[#This Row],[CountryCode]],[1]!Table1[#All],1,FALSE)</f>
        <v>#REF!</v>
      </c>
    </row>
    <row r="127" spans="1:12" hidden="1" x14ac:dyDescent="0.3">
      <c r="A127" t="s">
        <v>15</v>
      </c>
      <c r="B127" t="s">
        <v>16</v>
      </c>
      <c r="C127" t="s">
        <v>9</v>
      </c>
      <c r="D127" t="s">
        <v>10</v>
      </c>
      <c r="E127">
        <v>2023</v>
      </c>
      <c r="F127" s="1">
        <v>100</v>
      </c>
      <c r="G127">
        <v>2000</v>
      </c>
      <c r="H127">
        <f>AVERAGEIFS(Table1[value],Table1[IndicatorCode],Table1[[#This Row],[IndicatorCode]])</f>
        <v>99.756410256410263</v>
      </c>
      <c r="I127" cm="1">
        <f t="array" ref="I127">_xlfn.STDEV.P(IF(Table1[IndicatorCode]=Table1[[#This Row],[IndicatorCode]],Table1[value]))</f>
        <v>1.1047979755287356</v>
      </c>
      <c r="J127">
        <f>(Table1[[#This Row],[value]] - Table1[[#This Row],[mean]]) / Table1[[#This Row],[std_dev]]</f>
        <v>0.22048351733552002</v>
      </c>
      <c r="K127">
        <f>AVERAGEIF(Table1[CountryCode],Table1[[#This Row],[CountryCode]],Table1[z-score])</f>
        <v>0.26765264295626828</v>
      </c>
      <c r="L127" t="e">
        <f>VLOOKUP(Table1[[#This Row],[CountryCode]],[1]!Table1[#All],1,FALSE)</f>
        <v>#REF!</v>
      </c>
    </row>
    <row r="128" spans="1:12" hidden="1" x14ac:dyDescent="0.3">
      <c r="A128" t="s">
        <v>17</v>
      </c>
      <c r="B128" t="s">
        <v>18</v>
      </c>
      <c r="C128" t="s">
        <v>9</v>
      </c>
      <c r="D128" t="s">
        <v>10</v>
      </c>
      <c r="E128">
        <v>1999</v>
      </c>
      <c r="F128" s="1">
        <v>97</v>
      </c>
      <c r="G128">
        <v>2000</v>
      </c>
      <c r="H128">
        <f>AVERAGEIFS(Table1[value],Table1[IndicatorCode],Table1[[#This Row],[IndicatorCode]])</f>
        <v>99.756410256410263</v>
      </c>
      <c r="I128" cm="1">
        <f t="array" ref="I128">_xlfn.STDEV.P(IF(Table1[IndicatorCode]=Table1[[#This Row],[IndicatorCode]],Table1[value]))</f>
        <v>1.1047979755287356</v>
      </c>
      <c r="J128">
        <f>(Table1[[#This Row],[value]] - Table1[[#This Row],[mean]]) / Table1[[#This Row],[std_dev]]</f>
        <v>-2.4949450645862168</v>
      </c>
      <c r="K128">
        <f>AVERAGEIF(Table1[CountryCode],Table1[[#This Row],[CountryCode]],Table1[z-score])</f>
        <v>-0.86099801634454787</v>
      </c>
      <c r="L128" t="e">
        <f>VLOOKUP(Table1[[#This Row],[CountryCode]],[1]!Table1[#All],1,FALSE)</f>
        <v>#REF!</v>
      </c>
    </row>
    <row r="129" spans="1:12" hidden="1" x14ac:dyDescent="0.3">
      <c r="A129" t="s">
        <v>17</v>
      </c>
      <c r="B129" t="s">
        <v>18</v>
      </c>
      <c r="C129" t="s">
        <v>9</v>
      </c>
      <c r="D129" t="s">
        <v>10</v>
      </c>
      <c r="E129">
        <v>2000</v>
      </c>
      <c r="F129" s="1">
        <v>99</v>
      </c>
      <c r="G129">
        <v>2000</v>
      </c>
      <c r="H129">
        <f>AVERAGEIFS(Table1[value],Table1[IndicatorCode],Table1[[#This Row],[IndicatorCode]])</f>
        <v>99.756410256410263</v>
      </c>
      <c r="I129" cm="1">
        <f t="array" ref="I129">_xlfn.STDEV.P(IF(Table1[IndicatorCode]=Table1[[#This Row],[IndicatorCode]],Table1[value]))</f>
        <v>1.1047979755287356</v>
      </c>
      <c r="J129">
        <f>(Table1[[#This Row],[value]] - Table1[[#This Row],[mean]]) / Table1[[#This Row],[std_dev]]</f>
        <v>-0.68465934330505884</v>
      </c>
      <c r="K129">
        <f>AVERAGEIF(Table1[CountryCode],Table1[[#This Row],[CountryCode]],Table1[z-score])</f>
        <v>-0.86099801634454787</v>
      </c>
      <c r="L129" t="e">
        <f>VLOOKUP(Table1[[#This Row],[CountryCode]],[1]!Table1[#All],1,FALSE)</f>
        <v>#REF!</v>
      </c>
    </row>
    <row r="130" spans="1:12" hidden="1" x14ac:dyDescent="0.3">
      <c r="A130" t="s">
        <v>17</v>
      </c>
      <c r="B130" t="s">
        <v>18</v>
      </c>
      <c r="C130" t="s">
        <v>9</v>
      </c>
      <c r="D130" t="s">
        <v>10</v>
      </c>
      <c r="E130">
        <v>2001</v>
      </c>
      <c r="F130" s="1">
        <v>99</v>
      </c>
      <c r="G130">
        <v>2000</v>
      </c>
      <c r="H130">
        <f>AVERAGEIFS(Table1[value],Table1[IndicatorCode],Table1[[#This Row],[IndicatorCode]])</f>
        <v>99.756410256410263</v>
      </c>
      <c r="I130" cm="1">
        <f t="array" ref="I130">_xlfn.STDEV.P(IF(Table1[IndicatorCode]=Table1[[#This Row],[IndicatorCode]],Table1[value]))</f>
        <v>1.1047979755287356</v>
      </c>
      <c r="J130">
        <f>(Table1[[#This Row],[value]] - Table1[[#This Row],[mean]]) / Table1[[#This Row],[std_dev]]</f>
        <v>-0.68465934330505884</v>
      </c>
      <c r="K130">
        <f>AVERAGEIF(Table1[CountryCode],Table1[[#This Row],[CountryCode]],Table1[z-score])</f>
        <v>-0.86099801634454787</v>
      </c>
      <c r="L130" t="e">
        <f>VLOOKUP(Table1[[#This Row],[CountryCode]],[1]!Table1[#All],1,FALSE)</f>
        <v>#REF!</v>
      </c>
    </row>
    <row r="131" spans="1:12" hidden="1" x14ac:dyDescent="0.3">
      <c r="A131" t="s">
        <v>17</v>
      </c>
      <c r="B131" t="s">
        <v>18</v>
      </c>
      <c r="C131" t="s">
        <v>9</v>
      </c>
      <c r="D131" t="s">
        <v>10</v>
      </c>
      <c r="E131">
        <v>2002</v>
      </c>
      <c r="F131" s="1">
        <v>100</v>
      </c>
      <c r="G131">
        <v>2000</v>
      </c>
      <c r="H131">
        <f>AVERAGEIFS(Table1[value],Table1[IndicatorCode],Table1[[#This Row],[IndicatorCode]])</f>
        <v>99.756410256410263</v>
      </c>
      <c r="I131" cm="1">
        <f t="array" ref="I131">_xlfn.STDEV.P(IF(Table1[IndicatorCode]=Table1[[#This Row],[IndicatorCode]],Table1[value]))</f>
        <v>1.1047979755287356</v>
      </c>
      <c r="J131">
        <f>(Table1[[#This Row],[value]] - Table1[[#This Row],[mean]]) / Table1[[#This Row],[std_dev]]</f>
        <v>0.22048351733552002</v>
      </c>
      <c r="K131">
        <f>AVERAGEIF(Table1[CountryCode],Table1[[#This Row],[CountryCode]],Table1[z-score])</f>
        <v>-0.86099801634454787</v>
      </c>
      <c r="L131" t="e">
        <f>VLOOKUP(Table1[[#This Row],[CountryCode]],[1]!Table1[#All],1,FALSE)</f>
        <v>#REF!</v>
      </c>
    </row>
    <row r="132" spans="1:12" hidden="1" x14ac:dyDescent="0.3">
      <c r="A132" t="s">
        <v>17</v>
      </c>
      <c r="B132" t="s">
        <v>18</v>
      </c>
      <c r="C132" t="s">
        <v>9</v>
      </c>
      <c r="D132" t="s">
        <v>10</v>
      </c>
      <c r="E132">
        <v>2003</v>
      </c>
      <c r="F132" s="1">
        <v>99</v>
      </c>
      <c r="G132">
        <v>2000</v>
      </c>
      <c r="H132">
        <f>AVERAGEIFS(Table1[value],Table1[IndicatorCode],Table1[[#This Row],[IndicatorCode]])</f>
        <v>99.756410256410263</v>
      </c>
      <c r="I132" cm="1">
        <f t="array" ref="I132">_xlfn.STDEV.P(IF(Table1[IndicatorCode]=Table1[[#This Row],[IndicatorCode]],Table1[value]))</f>
        <v>1.1047979755287356</v>
      </c>
      <c r="J132">
        <f>(Table1[[#This Row],[value]] - Table1[[#This Row],[mean]]) / Table1[[#This Row],[std_dev]]</f>
        <v>-0.68465934330505884</v>
      </c>
      <c r="K132">
        <f>AVERAGEIF(Table1[CountryCode],Table1[[#This Row],[CountryCode]],Table1[z-score])</f>
        <v>-0.86099801634454787</v>
      </c>
      <c r="L132" t="e">
        <f>VLOOKUP(Table1[[#This Row],[CountryCode]],[1]!Table1[#All],1,FALSE)</f>
        <v>#REF!</v>
      </c>
    </row>
    <row r="133" spans="1:12" hidden="1" x14ac:dyDescent="0.3">
      <c r="A133" t="s">
        <v>17</v>
      </c>
      <c r="B133" t="s">
        <v>18</v>
      </c>
      <c r="C133" t="s">
        <v>9</v>
      </c>
      <c r="D133" t="s">
        <v>10</v>
      </c>
      <c r="E133">
        <v>2004</v>
      </c>
      <c r="F133" s="1">
        <v>99</v>
      </c>
      <c r="G133">
        <v>2000</v>
      </c>
      <c r="H133">
        <f>AVERAGEIFS(Table1[value],Table1[IndicatorCode],Table1[[#This Row],[IndicatorCode]])</f>
        <v>99.756410256410263</v>
      </c>
      <c r="I133" cm="1">
        <f t="array" ref="I133">_xlfn.STDEV.P(IF(Table1[IndicatorCode]=Table1[[#This Row],[IndicatorCode]],Table1[value]))</f>
        <v>1.1047979755287356</v>
      </c>
      <c r="J133">
        <f>(Table1[[#This Row],[value]] - Table1[[#This Row],[mean]]) / Table1[[#This Row],[std_dev]]</f>
        <v>-0.68465934330505884</v>
      </c>
      <c r="K133">
        <f>AVERAGEIF(Table1[CountryCode],Table1[[#This Row],[CountryCode]],Table1[z-score])</f>
        <v>-0.86099801634454787</v>
      </c>
      <c r="L133" t="e">
        <f>VLOOKUP(Table1[[#This Row],[CountryCode]],[1]!Table1[#All],1,FALSE)</f>
        <v>#REF!</v>
      </c>
    </row>
    <row r="134" spans="1:12" hidden="1" x14ac:dyDescent="0.3">
      <c r="A134" t="s">
        <v>17</v>
      </c>
      <c r="B134" t="s">
        <v>18</v>
      </c>
      <c r="C134" t="s">
        <v>9</v>
      </c>
      <c r="D134" t="s">
        <v>10</v>
      </c>
      <c r="E134">
        <v>2005</v>
      </c>
      <c r="F134" s="1">
        <v>99</v>
      </c>
      <c r="G134">
        <v>2000</v>
      </c>
      <c r="H134">
        <f>AVERAGEIFS(Table1[value],Table1[IndicatorCode],Table1[[#This Row],[IndicatorCode]])</f>
        <v>99.756410256410263</v>
      </c>
      <c r="I134" cm="1">
        <f t="array" ref="I134">_xlfn.STDEV.P(IF(Table1[IndicatorCode]=Table1[[#This Row],[IndicatorCode]],Table1[value]))</f>
        <v>1.1047979755287356</v>
      </c>
      <c r="J134">
        <f>(Table1[[#This Row],[value]] - Table1[[#This Row],[mean]]) / Table1[[#This Row],[std_dev]]</f>
        <v>-0.68465934330505884</v>
      </c>
      <c r="K134">
        <f>AVERAGEIF(Table1[CountryCode],Table1[[#This Row],[CountryCode]],Table1[z-score])</f>
        <v>-0.86099801634454787</v>
      </c>
      <c r="L134" t="e">
        <f>VLOOKUP(Table1[[#This Row],[CountryCode]],[1]!Table1[#All],1,FALSE)</f>
        <v>#REF!</v>
      </c>
    </row>
    <row r="135" spans="1:12" hidden="1" x14ac:dyDescent="0.3">
      <c r="A135" t="s">
        <v>17</v>
      </c>
      <c r="B135" t="s">
        <v>18</v>
      </c>
      <c r="C135" t="s">
        <v>9</v>
      </c>
      <c r="D135" t="s">
        <v>10</v>
      </c>
      <c r="E135">
        <v>2006</v>
      </c>
      <c r="F135" s="1">
        <v>100</v>
      </c>
      <c r="G135">
        <v>2000</v>
      </c>
      <c r="H135">
        <f>AVERAGEIFS(Table1[value],Table1[IndicatorCode],Table1[[#This Row],[IndicatorCode]])</f>
        <v>99.756410256410263</v>
      </c>
      <c r="I135" cm="1">
        <f t="array" ref="I135">_xlfn.STDEV.P(IF(Table1[IndicatorCode]=Table1[[#This Row],[IndicatorCode]],Table1[value]))</f>
        <v>1.1047979755287356</v>
      </c>
      <c r="J135">
        <f>(Table1[[#This Row],[value]] - Table1[[#This Row],[mean]]) / Table1[[#This Row],[std_dev]]</f>
        <v>0.22048351733552002</v>
      </c>
      <c r="K135">
        <f>AVERAGEIF(Table1[CountryCode],Table1[[#This Row],[CountryCode]],Table1[z-score])</f>
        <v>-0.86099801634454787</v>
      </c>
      <c r="L135" t="e">
        <f>VLOOKUP(Table1[[#This Row],[CountryCode]],[1]!Table1[#All],1,FALSE)</f>
        <v>#REF!</v>
      </c>
    </row>
    <row r="136" spans="1:12" hidden="1" x14ac:dyDescent="0.3">
      <c r="A136" t="s">
        <v>17</v>
      </c>
      <c r="B136" t="s">
        <v>18</v>
      </c>
      <c r="C136" t="s">
        <v>9</v>
      </c>
      <c r="D136" t="s">
        <v>10</v>
      </c>
      <c r="E136">
        <v>2007</v>
      </c>
      <c r="F136" s="1">
        <v>100</v>
      </c>
      <c r="G136">
        <v>2010</v>
      </c>
      <c r="H136">
        <f>AVERAGEIFS(Table1[value],Table1[IndicatorCode],Table1[[#This Row],[IndicatorCode]])</f>
        <v>99.756410256410263</v>
      </c>
      <c r="I136" cm="1">
        <f t="array" ref="I136">_xlfn.STDEV.P(IF(Table1[IndicatorCode]=Table1[[#This Row],[IndicatorCode]],Table1[value]))</f>
        <v>1.1047979755287356</v>
      </c>
      <c r="J136">
        <f>(Table1[[#This Row],[value]] - Table1[[#This Row],[mean]]) / Table1[[#This Row],[std_dev]]</f>
        <v>0.22048351733552002</v>
      </c>
      <c r="K136">
        <f>AVERAGEIF(Table1[CountryCode],Table1[[#This Row],[CountryCode]],Table1[z-score])</f>
        <v>-0.86099801634454787</v>
      </c>
      <c r="L136" t="e">
        <f>VLOOKUP(Table1[[#This Row],[CountryCode]],[1]!Table1[#All],1,FALSE)</f>
        <v>#REF!</v>
      </c>
    </row>
    <row r="137" spans="1:12" hidden="1" x14ac:dyDescent="0.3">
      <c r="A137" t="s">
        <v>17</v>
      </c>
      <c r="B137" t="s">
        <v>18</v>
      </c>
      <c r="C137" t="s">
        <v>9</v>
      </c>
      <c r="D137" t="s">
        <v>10</v>
      </c>
      <c r="E137">
        <v>2008</v>
      </c>
      <c r="F137" s="1">
        <v>100</v>
      </c>
      <c r="G137">
        <v>2010</v>
      </c>
      <c r="H137">
        <f>AVERAGEIFS(Table1[value],Table1[IndicatorCode],Table1[[#This Row],[IndicatorCode]])</f>
        <v>99.756410256410263</v>
      </c>
      <c r="I137" cm="1">
        <f t="array" ref="I137">_xlfn.STDEV.P(IF(Table1[IndicatorCode]=Table1[[#This Row],[IndicatorCode]],Table1[value]))</f>
        <v>1.1047979755287356</v>
      </c>
      <c r="J137">
        <f>(Table1[[#This Row],[value]] - Table1[[#This Row],[mean]]) / Table1[[#This Row],[std_dev]]</f>
        <v>0.22048351733552002</v>
      </c>
      <c r="K137">
        <f>AVERAGEIF(Table1[CountryCode],Table1[[#This Row],[CountryCode]],Table1[z-score])</f>
        <v>-0.86099801634454787</v>
      </c>
      <c r="L137" t="e">
        <f>VLOOKUP(Table1[[#This Row],[CountryCode]],[1]!Table1[#All],1,FALSE)</f>
        <v>#REF!</v>
      </c>
    </row>
    <row r="138" spans="1:12" hidden="1" x14ac:dyDescent="0.3">
      <c r="A138" t="s">
        <v>17</v>
      </c>
      <c r="B138" t="s">
        <v>18</v>
      </c>
      <c r="C138" t="s">
        <v>9</v>
      </c>
      <c r="D138" t="s">
        <v>10</v>
      </c>
      <c r="E138">
        <v>2009</v>
      </c>
      <c r="F138" s="1">
        <v>100</v>
      </c>
      <c r="G138">
        <v>2010</v>
      </c>
      <c r="H138">
        <f>AVERAGEIFS(Table1[value],Table1[IndicatorCode],Table1[[#This Row],[IndicatorCode]])</f>
        <v>99.756410256410263</v>
      </c>
      <c r="I138" cm="1">
        <f t="array" ref="I138">_xlfn.STDEV.P(IF(Table1[IndicatorCode]=Table1[[#This Row],[IndicatorCode]],Table1[value]))</f>
        <v>1.1047979755287356</v>
      </c>
      <c r="J138">
        <f>(Table1[[#This Row],[value]] - Table1[[#This Row],[mean]]) / Table1[[#This Row],[std_dev]]</f>
        <v>0.22048351733552002</v>
      </c>
      <c r="K138">
        <f>AVERAGEIF(Table1[CountryCode],Table1[[#This Row],[CountryCode]],Table1[z-score])</f>
        <v>-0.86099801634454787</v>
      </c>
      <c r="L138" t="e">
        <f>VLOOKUP(Table1[[#This Row],[CountryCode]],[1]!Table1[#All],1,FALSE)</f>
        <v>#REF!</v>
      </c>
    </row>
    <row r="139" spans="1:12" hidden="1" x14ac:dyDescent="0.3">
      <c r="A139" t="s">
        <v>17</v>
      </c>
      <c r="B139" t="s">
        <v>18</v>
      </c>
      <c r="C139" t="s">
        <v>9</v>
      </c>
      <c r="D139" t="s">
        <v>10</v>
      </c>
      <c r="E139">
        <v>2010</v>
      </c>
      <c r="F139" s="1">
        <v>100</v>
      </c>
      <c r="G139">
        <v>2010</v>
      </c>
      <c r="H139">
        <f>AVERAGEIFS(Table1[value],Table1[IndicatorCode],Table1[[#This Row],[IndicatorCode]])</f>
        <v>99.756410256410263</v>
      </c>
      <c r="I139" cm="1">
        <f t="array" ref="I139">_xlfn.STDEV.P(IF(Table1[IndicatorCode]=Table1[[#This Row],[IndicatorCode]],Table1[value]))</f>
        <v>1.1047979755287356</v>
      </c>
      <c r="J139">
        <f>(Table1[[#This Row],[value]] - Table1[[#This Row],[mean]]) / Table1[[#This Row],[std_dev]]</f>
        <v>0.22048351733552002</v>
      </c>
      <c r="K139">
        <f>AVERAGEIF(Table1[CountryCode],Table1[[#This Row],[CountryCode]],Table1[z-score])</f>
        <v>-0.86099801634454787</v>
      </c>
      <c r="L139" t="e">
        <f>VLOOKUP(Table1[[#This Row],[CountryCode]],[1]!Table1[#All],1,FALSE)</f>
        <v>#REF!</v>
      </c>
    </row>
    <row r="140" spans="1:12" hidden="1" x14ac:dyDescent="0.3">
      <c r="A140" t="s">
        <v>17</v>
      </c>
      <c r="B140" t="s">
        <v>18</v>
      </c>
      <c r="C140" t="s">
        <v>9</v>
      </c>
      <c r="D140" t="s">
        <v>10</v>
      </c>
      <c r="E140">
        <v>2011</v>
      </c>
      <c r="F140" s="1">
        <v>100</v>
      </c>
      <c r="G140">
        <v>2010</v>
      </c>
      <c r="H140">
        <f>AVERAGEIFS(Table1[value],Table1[IndicatorCode],Table1[[#This Row],[IndicatorCode]])</f>
        <v>99.756410256410263</v>
      </c>
      <c r="I140" cm="1">
        <f t="array" ref="I140">_xlfn.STDEV.P(IF(Table1[IndicatorCode]=Table1[[#This Row],[IndicatorCode]],Table1[value]))</f>
        <v>1.1047979755287356</v>
      </c>
      <c r="J140">
        <f>(Table1[[#This Row],[value]] - Table1[[#This Row],[mean]]) / Table1[[#This Row],[std_dev]]</f>
        <v>0.22048351733552002</v>
      </c>
      <c r="K140">
        <f>AVERAGEIF(Table1[CountryCode],Table1[[#This Row],[CountryCode]],Table1[z-score])</f>
        <v>-0.86099801634454787</v>
      </c>
      <c r="L140" t="e">
        <f>VLOOKUP(Table1[[#This Row],[CountryCode]],[1]!Table1[#All],1,FALSE)</f>
        <v>#REF!</v>
      </c>
    </row>
    <row r="141" spans="1:12" hidden="1" x14ac:dyDescent="0.3">
      <c r="A141" t="s">
        <v>17</v>
      </c>
      <c r="B141" t="s">
        <v>18</v>
      </c>
      <c r="C141" t="s">
        <v>9</v>
      </c>
      <c r="D141" t="s">
        <v>10</v>
      </c>
      <c r="E141">
        <v>2012</v>
      </c>
      <c r="F141" s="1">
        <v>100</v>
      </c>
      <c r="G141">
        <v>2010</v>
      </c>
      <c r="H141">
        <f>AVERAGEIFS(Table1[value],Table1[IndicatorCode],Table1[[#This Row],[IndicatorCode]])</f>
        <v>99.756410256410263</v>
      </c>
      <c r="I141" cm="1">
        <f t="array" ref="I141">_xlfn.STDEV.P(IF(Table1[IndicatorCode]=Table1[[#This Row],[IndicatorCode]],Table1[value]))</f>
        <v>1.1047979755287356</v>
      </c>
      <c r="J141">
        <f>(Table1[[#This Row],[value]] - Table1[[#This Row],[mean]]) / Table1[[#This Row],[std_dev]]</f>
        <v>0.22048351733552002</v>
      </c>
      <c r="K141">
        <f>AVERAGEIF(Table1[CountryCode],Table1[[#This Row],[CountryCode]],Table1[z-score])</f>
        <v>-0.86099801634454787</v>
      </c>
      <c r="L141" t="e">
        <f>VLOOKUP(Table1[[#This Row],[CountryCode]],[1]!Table1[#All],1,FALSE)</f>
        <v>#REF!</v>
      </c>
    </row>
    <row r="142" spans="1:12" hidden="1" x14ac:dyDescent="0.3">
      <c r="A142" t="s">
        <v>17</v>
      </c>
      <c r="B142" t="s">
        <v>18</v>
      </c>
      <c r="C142" t="s">
        <v>9</v>
      </c>
      <c r="D142" t="s">
        <v>10</v>
      </c>
      <c r="E142">
        <v>2013</v>
      </c>
      <c r="F142" s="1">
        <v>100</v>
      </c>
      <c r="G142">
        <v>2010</v>
      </c>
      <c r="H142">
        <f>AVERAGEIFS(Table1[value],Table1[IndicatorCode],Table1[[#This Row],[IndicatorCode]])</f>
        <v>99.756410256410263</v>
      </c>
      <c r="I142" cm="1">
        <f t="array" ref="I142">_xlfn.STDEV.P(IF(Table1[IndicatorCode]=Table1[[#This Row],[IndicatorCode]],Table1[value]))</f>
        <v>1.1047979755287356</v>
      </c>
      <c r="J142">
        <f>(Table1[[#This Row],[value]] - Table1[[#This Row],[mean]]) / Table1[[#This Row],[std_dev]]</f>
        <v>0.22048351733552002</v>
      </c>
      <c r="K142">
        <f>AVERAGEIF(Table1[CountryCode],Table1[[#This Row],[CountryCode]],Table1[z-score])</f>
        <v>-0.86099801634454787</v>
      </c>
      <c r="L142" t="e">
        <f>VLOOKUP(Table1[[#This Row],[CountryCode]],[1]!Table1[#All],1,FALSE)</f>
        <v>#REF!</v>
      </c>
    </row>
    <row r="143" spans="1:12" hidden="1" x14ac:dyDescent="0.3">
      <c r="A143" t="s">
        <v>17</v>
      </c>
      <c r="B143" t="s">
        <v>18</v>
      </c>
      <c r="C143" t="s">
        <v>9</v>
      </c>
      <c r="D143" t="s">
        <v>10</v>
      </c>
      <c r="E143">
        <v>2014</v>
      </c>
      <c r="F143" s="1">
        <v>100</v>
      </c>
      <c r="G143">
        <v>2010</v>
      </c>
      <c r="H143">
        <f>AVERAGEIFS(Table1[value],Table1[IndicatorCode],Table1[[#This Row],[IndicatorCode]])</f>
        <v>99.756410256410263</v>
      </c>
      <c r="I143" cm="1">
        <f t="array" ref="I143">_xlfn.STDEV.P(IF(Table1[IndicatorCode]=Table1[[#This Row],[IndicatorCode]],Table1[value]))</f>
        <v>1.1047979755287356</v>
      </c>
      <c r="J143">
        <f>(Table1[[#This Row],[value]] - Table1[[#This Row],[mean]]) / Table1[[#This Row],[std_dev]]</f>
        <v>0.22048351733552002</v>
      </c>
      <c r="K143">
        <f>AVERAGEIF(Table1[CountryCode],Table1[[#This Row],[CountryCode]],Table1[z-score])</f>
        <v>-0.86099801634454787</v>
      </c>
      <c r="L143" t="e">
        <f>VLOOKUP(Table1[[#This Row],[CountryCode]],[1]!Table1[#All],1,FALSE)</f>
        <v>#REF!</v>
      </c>
    </row>
    <row r="144" spans="1:12" hidden="1" x14ac:dyDescent="0.3">
      <c r="A144" t="s">
        <v>17</v>
      </c>
      <c r="B144" t="s">
        <v>18</v>
      </c>
      <c r="C144" t="s">
        <v>9</v>
      </c>
      <c r="D144" t="s">
        <v>10</v>
      </c>
      <c r="E144">
        <v>2015</v>
      </c>
      <c r="F144" s="1">
        <v>100</v>
      </c>
      <c r="G144">
        <v>2010</v>
      </c>
      <c r="H144">
        <f>AVERAGEIFS(Table1[value],Table1[IndicatorCode],Table1[[#This Row],[IndicatorCode]])</f>
        <v>99.756410256410263</v>
      </c>
      <c r="I144" cm="1">
        <f t="array" ref="I144">_xlfn.STDEV.P(IF(Table1[IndicatorCode]=Table1[[#This Row],[IndicatorCode]],Table1[value]))</f>
        <v>1.1047979755287356</v>
      </c>
      <c r="J144">
        <f>(Table1[[#This Row],[value]] - Table1[[#This Row],[mean]]) / Table1[[#This Row],[std_dev]]</f>
        <v>0.22048351733552002</v>
      </c>
      <c r="K144">
        <f>AVERAGEIF(Table1[CountryCode],Table1[[#This Row],[CountryCode]],Table1[z-score])</f>
        <v>-0.86099801634454787</v>
      </c>
      <c r="L144" t="e">
        <f>VLOOKUP(Table1[[#This Row],[CountryCode]],[1]!Table1[#All],1,FALSE)</f>
        <v>#REF!</v>
      </c>
    </row>
    <row r="145" spans="1:12" hidden="1" x14ac:dyDescent="0.3">
      <c r="A145" t="s">
        <v>17</v>
      </c>
      <c r="B145" t="s">
        <v>18</v>
      </c>
      <c r="C145" t="s">
        <v>9</v>
      </c>
      <c r="D145" t="s">
        <v>10</v>
      </c>
      <c r="E145">
        <v>2016</v>
      </c>
      <c r="F145" s="1">
        <v>100</v>
      </c>
      <c r="G145">
        <v>2010</v>
      </c>
      <c r="H145">
        <f>AVERAGEIFS(Table1[value],Table1[IndicatorCode],Table1[[#This Row],[IndicatorCode]])</f>
        <v>99.756410256410263</v>
      </c>
      <c r="I145" cm="1">
        <f t="array" ref="I145">_xlfn.STDEV.P(IF(Table1[IndicatorCode]=Table1[[#This Row],[IndicatorCode]],Table1[value]))</f>
        <v>1.1047979755287356</v>
      </c>
      <c r="J145">
        <f>(Table1[[#This Row],[value]] - Table1[[#This Row],[mean]]) / Table1[[#This Row],[std_dev]]</f>
        <v>0.22048351733552002</v>
      </c>
      <c r="K145">
        <f>AVERAGEIF(Table1[CountryCode],Table1[[#This Row],[CountryCode]],Table1[z-score])</f>
        <v>-0.86099801634454787</v>
      </c>
      <c r="L145" t="e">
        <f>VLOOKUP(Table1[[#This Row],[CountryCode]],[1]!Table1[#All],1,FALSE)</f>
        <v>#REF!</v>
      </c>
    </row>
    <row r="146" spans="1:12" hidden="1" x14ac:dyDescent="0.3">
      <c r="A146" t="s">
        <v>17</v>
      </c>
      <c r="B146" t="s">
        <v>18</v>
      </c>
      <c r="C146" t="s">
        <v>9</v>
      </c>
      <c r="D146" t="s">
        <v>10</v>
      </c>
      <c r="E146">
        <v>2017</v>
      </c>
      <c r="F146" s="1">
        <v>100</v>
      </c>
      <c r="G146">
        <v>2020</v>
      </c>
      <c r="H146">
        <f>AVERAGEIFS(Table1[value],Table1[IndicatorCode],Table1[[#This Row],[IndicatorCode]])</f>
        <v>99.756410256410263</v>
      </c>
      <c r="I146" cm="1">
        <f t="array" ref="I146">_xlfn.STDEV.P(IF(Table1[IndicatorCode]=Table1[[#This Row],[IndicatorCode]],Table1[value]))</f>
        <v>1.1047979755287356</v>
      </c>
      <c r="J146">
        <f>(Table1[[#This Row],[value]] - Table1[[#This Row],[mean]]) / Table1[[#This Row],[std_dev]]</f>
        <v>0.22048351733552002</v>
      </c>
      <c r="K146">
        <f>AVERAGEIF(Table1[CountryCode],Table1[[#This Row],[CountryCode]],Table1[z-score])</f>
        <v>-0.86099801634454787</v>
      </c>
      <c r="L146" t="e">
        <f>VLOOKUP(Table1[[#This Row],[CountryCode]],[1]!Table1[#All],1,FALSE)</f>
        <v>#REF!</v>
      </c>
    </row>
    <row r="147" spans="1:12" hidden="1" x14ac:dyDescent="0.3">
      <c r="A147" t="s">
        <v>17</v>
      </c>
      <c r="B147" t="s">
        <v>18</v>
      </c>
      <c r="C147" t="s">
        <v>9</v>
      </c>
      <c r="D147" t="s">
        <v>10</v>
      </c>
      <c r="E147">
        <v>2018</v>
      </c>
      <c r="F147" s="1">
        <v>100</v>
      </c>
      <c r="G147">
        <v>2020</v>
      </c>
      <c r="H147">
        <f>AVERAGEIFS(Table1[value],Table1[IndicatorCode],Table1[[#This Row],[IndicatorCode]])</f>
        <v>99.756410256410263</v>
      </c>
      <c r="I147" cm="1">
        <f t="array" ref="I147">_xlfn.STDEV.P(IF(Table1[IndicatorCode]=Table1[[#This Row],[IndicatorCode]],Table1[value]))</f>
        <v>1.1047979755287356</v>
      </c>
      <c r="J147">
        <f>(Table1[[#This Row],[value]] - Table1[[#This Row],[mean]]) / Table1[[#This Row],[std_dev]]</f>
        <v>0.22048351733552002</v>
      </c>
      <c r="K147">
        <f>AVERAGEIF(Table1[CountryCode],Table1[[#This Row],[CountryCode]],Table1[z-score])</f>
        <v>-0.86099801634454787</v>
      </c>
      <c r="L147" t="e">
        <f>VLOOKUP(Table1[[#This Row],[CountryCode]],[1]!Table1[#All],1,FALSE)</f>
        <v>#REF!</v>
      </c>
    </row>
    <row r="148" spans="1:12" hidden="1" x14ac:dyDescent="0.3">
      <c r="A148" t="s">
        <v>17</v>
      </c>
      <c r="B148" t="s">
        <v>18</v>
      </c>
      <c r="C148" t="s">
        <v>9</v>
      </c>
      <c r="D148" t="s">
        <v>10</v>
      </c>
      <c r="E148">
        <v>2019</v>
      </c>
      <c r="F148" s="1">
        <v>100</v>
      </c>
      <c r="G148">
        <v>2020</v>
      </c>
      <c r="H148">
        <f>AVERAGEIFS(Table1[value],Table1[IndicatorCode],Table1[[#This Row],[IndicatorCode]])</f>
        <v>99.756410256410263</v>
      </c>
      <c r="I148" cm="1">
        <f t="array" ref="I148">_xlfn.STDEV.P(IF(Table1[IndicatorCode]=Table1[[#This Row],[IndicatorCode]],Table1[value]))</f>
        <v>1.1047979755287356</v>
      </c>
      <c r="J148">
        <f>(Table1[[#This Row],[value]] - Table1[[#This Row],[mean]]) / Table1[[#This Row],[std_dev]]</f>
        <v>0.22048351733552002</v>
      </c>
      <c r="K148">
        <f>AVERAGEIF(Table1[CountryCode],Table1[[#This Row],[CountryCode]],Table1[z-score])</f>
        <v>-0.86099801634454787</v>
      </c>
      <c r="L148" t="e">
        <f>VLOOKUP(Table1[[#This Row],[CountryCode]],[1]!Table1[#All],1,FALSE)</f>
        <v>#REF!</v>
      </c>
    </row>
    <row r="149" spans="1:12" x14ac:dyDescent="0.3">
      <c r="A149" t="s">
        <v>17</v>
      </c>
      <c r="B149" t="s">
        <v>18</v>
      </c>
      <c r="C149" t="s">
        <v>9</v>
      </c>
      <c r="D149" t="s">
        <v>10</v>
      </c>
      <c r="E149">
        <v>2020</v>
      </c>
      <c r="F149" s="1">
        <v>100</v>
      </c>
      <c r="G149">
        <v>2020</v>
      </c>
      <c r="H149">
        <f>AVERAGEIFS(Table1[value],Table1[IndicatorCode],Table1[[#This Row],[IndicatorCode]])</f>
        <v>99.756410256410263</v>
      </c>
      <c r="I149" cm="1">
        <f t="array" ref="I149">_xlfn.STDEV.P(IF(Table1[IndicatorCode]=Table1[[#This Row],[IndicatorCode]],Table1[value]))</f>
        <v>1.1047979755287356</v>
      </c>
      <c r="J149">
        <f>(Table1[[#This Row],[value]] - Table1[[#This Row],[mean]]) / Table1[[#This Row],[std_dev]]</f>
        <v>0.22048351733552002</v>
      </c>
      <c r="K149">
        <f>AVERAGEIF(Table1[CountryCode],Table1[[#This Row],[CountryCode]],Table1[z-score])</f>
        <v>-0.86099801634454787</v>
      </c>
    </row>
    <row r="150" spans="1:12" hidden="1" x14ac:dyDescent="0.3">
      <c r="A150" t="s">
        <v>17</v>
      </c>
      <c r="B150" t="s">
        <v>18</v>
      </c>
      <c r="C150" t="s">
        <v>9</v>
      </c>
      <c r="D150" t="s">
        <v>10</v>
      </c>
      <c r="E150">
        <v>2021</v>
      </c>
      <c r="F150" s="1">
        <v>100</v>
      </c>
      <c r="G150">
        <v>1990</v>
      </c>
      <c r="H150">
        <f>AVERAGEIFS(Table1[value],Table1[IndicatorCode],Table1[[#This Row],[IndicatorCode]])</f>
        <v>99.756410256410263</v>
      </c>
      <c r="I150" cm="1">
        <f t="array" ref="I150">_xlfn.STDEV.P(IF(Table1[IndicatorCode]=Table1[[#This Row],[IndicatorCode]],Table1[value]))</f>
        <v>1.1047979755287356</v>
      </c>
      <c r="J150">
        <f>(Table1[[#This Row],[value]] - Table1[[#This Row],[mean]]) / Table1[[#This Row],[std_dev]]</f>
        <v>0.22048351733552002</v>
      </c>
      <c r="K150">
        <f>AVERAGEIF(Table1[CountryCode],Table1[[#This Row],[CountryCode]],Table1[z-score])</f>
        <v>-0.86099801634454787</v>
      </c>
      <c r="L150" t="e">
        <f>VLOOKUP(Table1[[#This Row],[CountryCode]],[1]!Table1[#All],1,FALSE)</f>
        <v>#REF!</v>
      </c>
    </row>
    <row r="151" spans="1:12" hidden="1" x14ac:dyDescent="0.3">
      <c r="A151" t="s">
        <v>17</v>
      </c>
      <c r="B151" t="s">
        <v>18</v>
      </c>
      <c r="C151" t="s">
        <v>9</v>
      </c>
      <c r="D151" t="s">
        <v>10</v>
      </c>
      <c r="E151">
        <v>2022</v>
      </c>
      <c r="F151" s="1">
        <v>100</v>
      </c>
      <c r="G151">
        <v>1990</v>
      </c>
      <c r="H151">
        <f>AVERAGEIFS(Table1[value],Table1[IndicatorCode],Table1[[#This Row],[IndicatorCode]])</f>
        <v>99.756410256410263</v>
      </c>
      <c r="I151" cm="1">
        <f t="array" ref="I151">_xlfn.STDEV.P(IF(Table1[IndicatorCode]=Table1[[#This Row],[IndicatorCode]],Table1[value]))</f>
        <v>1.1047979755287356</v>
      </c>
      <c r="J151">
        <f>(Table1[[#This Row],[value]] - Table1[[#This Row],[mean]]) / Table1[[#This Row],[std_dev]]</f>
        <v>0.22048351733552002</v>
      </c>
      <c r="K151">
        <f>AVERAGEIF(Table1[CountryCode],Table1[[#This Row],[CountryCode]],Table1[z-score])</f>
        <v>-0.86099801634454787</v>
      </c>
      <c r="L151" t="e">
        <f>VLOOKUP(Table1[[#This Row],[CountryCode]],[1]!Table1[#All],1,FALSE)</f>
        <v>#REF!</v>
      </c>
    </row>
    <row r="152" spans="1:12" hidden="1" x14ac:dyDescent="0.3">
      <c r="A152" t="s">
        <v>17</v>
      </c>
      <c r="B152" t="s">
        <v>18</v>
      </c>
      <c r="C152" t="s">
        <v>9</v>
      </c>
      <c r="D152" t="s">
        <v>10</v>
      </c>
      <c r="E152">
        <v>2023</v>
      </c>
      <c r="F152" s="1">
        <v>100</v>
      </c>
      <c r="G152">
        <v>1990</v>
      </c>
      <c r="H152">
        <f>AVERAGEIFS(Table1[value],Table1[IndicatorCode],Table1[[#This Row],[IndicatorCode]])</f>
        <v>99.756410256410263</v>
      </c>
      <c r="I152" cm="1">
        <f t="array" ref="I152">_xlfn.STDEV.P(IF(Table1[IndicatorCode]=Table1[[#This Row],[IndicatorCode]],Table1[value]))</f>
        <v>1.1047979755287356</v>
      </c>
      <c r="J152">
        <f>(Table1[[#This Row],[value]] - Table1[[#This Row],[mean]]) / Table1[[#This Row],[std_dev]]</f>
        <v>0.22048351733552002</v>
      </c>
      <c r="K152">
        <f>AVERAGEIF(Table1[CountryCode],Table1[[#This Row],[CountryCode]],Table1[z-score])</f>
        <v>-0.86099801634454787</v>
      </c>
      <c r="L152" t="e">
        <f>VLOOKUP(Table1[[#This Row],[CountryCode]],[1]!Table1[#All],1,FALSE)</f>
        <v>#REF!</v>
      </c>
    </row>
    <row r="153" spans="1:12" hidden="1" x14ac:dyDescent="0.3">
      <c r="A153" t="s">
        <v>19</v>
      </c>
      <c r="B153" t="s">
        <v>20</v>
      </c>
      <c r="C153" t="s">
        <v>9</v>
      </c>
      <c r="D153" t="s">
        <v>10</v>
      </c>
      <c r="E153">
        <v>1990</v>
      </c>
      <c r="F153" s="1">
        <v>100</v>
      </c>
      <c r="G153">
        <v>1990</v>
      </c>
      <c r="H153">
        <f>AVERAGEIFS(Table1[value],Table1[IndicatorCode],Table1[[#This Row],[IndicatorCode]])</f>
        <v>99.756410256410263</v>
      </c>
      <c r="I153" cm="1">
        <f t="array" ref="I153">_xlfn.STDEV.P(IF(Table1[IndicatorCode]=Table1[[#This Row],[IndicatorCode]],Table1[value]))</f>
        <v>1.1047979755287356</v>
      </c>
      <c r="J153">
        <f>(Table1[[#This Row],[value]] - Table1[[#This Row],[mean]]) / Table1[[#This Row],[std_dev]]</f>
        <v>0.22048351733552002</v>
      </c>
      <c r="K153">
        <f>AVERAGEIF(Table1[CountryCode],Table1[[#This Row],[CountryCode]],Table1[z-score])</f>
        <v>0.41927804487804637</v>
      </c>
      <c r="L153" t="e">
        <f>VLOOKUP(Table1[[#This Row],[CountryCode]],[1]!Table1[#All],1,FALSE)</f>
        <v>#REF!</v>
      </c>
    </row>
    <row r="154" spans="1:12" hidden="1" x14ac:dyDescent="0.3">
      <c r="A154" t="s">
        <v>19</v>
      </c>
      <c r="B154" t="s">
        <v>20</v>
      </c>
      <c r="C154" t="s">
        <v>9</v>
      </c>
      <c r="D154" t="s">
        <v>10</v>
      </c>
      <c r="E154">
        <v>1991</v>
      </c>
      <c r="F154" s="1">
        <v>100</v>
      </c>
      <c r="G154">
        <v>1990</v>
      </c>
      <c r="H154">
        <f>AVERAGEIFS(Table1[value],Table1[IndicatorCode],Table1[[#This Row],[IndicatorCode]])</f>
        <v>99.756410256410263</v>
      </c>
      <c r="I154" cm="1">
        <f t="array" ref="I154">_xlfn.STDEV.P(IF(Table1[IndicatorCode]=Table1[[#This Row],[IndicatorCode]],Table1[value]))</f>
        <v>1.1047979755287356</v>
      </c>
      <c r="J154">
        <f>(Table1[[#This Row],[value]] - Table1[[#This Row],[mean]]) / Table1[[#This Row],[std_dev]]</f>
        <v>0.22048351733552002</v>
      </c>
      <c r="K154">
        <f>AVERAGEIF(Table1[CountryCode],Table1[[#This Row],[CountryCode]],Table1[z-score])</f>
        <v>0.41927804487804637</v>
      </c>
      <c r="L154" t="e">
        <f>VLOOKUP(Table1[[#This Row],[CountryCode]],[1]!Table1[#All],1,FALSE)</f>
        <v>#REF!</v>
      </c>
    </row>
    <row r="155" spans="1:12" hidden="1" x14ac:dyDescent="0.3">
      <c r="A155" t="s">
        <v>19</v>
      </c>
      <c r="B155" t="s">
        <v>20</v>
      </c>
      <c r="C155" t="s">
        <v>9</v>
      </c>
      <c r="D155" t="s">
        <v>10</v>
      </c>
      <c r="E155">
        <v>1992</v>
      </c>
      <c r="F155" s="1">
        <v>100</v>
      </c>
      <c r="G155">
        <v>1990</v>
      </c>
      <c r="H155">
        <f>AVERAGEIFS(Table1[value],Table1[IndicatorCode],Table1[[#This Row],[IndicatorCode]])</f>
        <v>99.756410256410263</v>
      </c>
      <c r="I155" cm="1">
        <f t="array" ref="I155">_xlfn.STDEV.P(IF(Table1[IndicatorCode]=Table1[[#This Row],[IndicatorCode]],Table1[value]))</f>
        <v>1.1047979755287356</v>
      </c>
      <c r="J155">
        <f>(Table1[[#This Row],[value]] - Table1[[#This Row],[mean]]) / Table1[[#This Row],[std_dev]]</f>
        <v>0.22048351733552002</v>
      </c>
      <c r="K155">
        <f>AVERAGEIF(Table1[CountryCode],Table1[[#This Row],[CountryCode]],Table1[z-score])</f>
        <v>0.41927804487804637</v>
      </c>
      <c r="L155" t="e">
        <f>VLOOKUP(Table1[[#This Row],[CountryCode]],[1]!Table1[#All],1,FALSE)</f>
        <v>#REF!</v>
      </c>
    </row>
    <row r="156" spans="1:12" hidden="1" x14ac:dyDescent="0.3">
      <c r="A156" t="s">
        <v>19</v>
      </c>
      <c r="B156" t="s">
        <v>20</v>
      </c>
      <c r="C156" t="s">
        <v>9</v>
      </c>
      <c r="D156" t="s">
        <v>10</v>
      </c>
      <c r="E156">
        <v>1993</v>
      </c>
      <c r="F156" s="1">
        <v>100</v>
      </c>
      <c r="G156">
        <v>1990</v>
      </c>
      <c r="H156">
        <f>AVERAGEIFS(Table1[value],Table1[IndicatorCode],Table1[[#This Row],[IndicatorCode]])</f>
        <v>99.756410256410263</v>
      </c>
      <c r="I156" cm="1">
        <f t="array" ref="I156">_xlfn.STDEV.P(IF(Table1[IndicatorCode]=Table1[[#This Row],[IndicatorCode]],Table1[value]))</f>
        <v>1.1047979755287356</v>
      </c>
      <c r="J156">
        <f>(Table1[[#This Row],[value]] - Table1[[#This Row],[mean]]) / Table1[[#This Row],[std_dev]]</f>
        <v>0.22048351733552002</v>
      </c>
      <c r="K156">
        <f>AVERAGEIF(Table1[CountryCode],Table1[[#This Row],[CountryCode]],Table1[z-score])</f>
        <v>0.41927804487804637</v>
      </c>
      <c r="L156" t="e">
        <f>VLOOKUP(Table1[[#This Row],[CountryCode]],[1]!Table1[#All],1,FALSE)</f>
        <v>#REF!</v>
      </c>
    </row>
    <row r="157" spans="1:12" hidden="1" x14ac:dyDescent="0.3">
      <c r="A157" t="s">
        <v>19</v>
      </c>
      <c r="B157" t="s">
        <v>20</v>
      </c>
      <c r="C157" t="s">
        <v>9</v>
      </c>
      <c r="D157" t="s">
        <v>10</v>
      </c>
      <c r="E157">
        <v>1994</v>
      </c>
      <c r="F157" s="1">
        <v>100</v>
      </c>
      <c r="G157">
        <v>1990</v>
      </c>
      <c r="H157">
        <f>AVERAGEIFS(Table1[value],Table1[IndicatorCode],Table1[[#This Row],[IndicatorCode]])</f>
        <v>99.756410256410263</v>
      </c>
      <c r="I157" cm="1">
        <f t="array" ref="I157">_xlfn.STDEV.P(IF(Table1[IndicatorCode]=Table1[[#This Row],[IndicatorCode]],Table1[value]))</f>
        <v>1.1047979755287356</v>
      </c>
      <c r="J157">
        <f>(Table1[[#This Row],[value]] - Table1[[#This Row],[mean]]) / Table1[[#This Row],[std_dev]]</f>
        <v>0.22048351733552002</v>
      </c>
      <c r="K157">
        <f>AVERAGEIF(Table1[CountryCode],Table1[[#This Row],[CountryCode]],Table1[z-score])</f>
        <v>0.41927804487804637</v>
      </c>
      <c r="L157" t="e">
        <f>VLOOKUP(Table1[[#This Row],[CountryCode]],[1]!Table1[#All],1,FALSE)</f>
        <v>#REF!</v>
      </c>
    </row>
    <row r="158" spans="1:12" hidden="1" x14ac:dyDescent="0.3">
      <c r="A158" t="s">
        <v>19</v>
      </c>
      <c r="B158" t="s">
        <v>20</v>
      </c>
      <c r="C158" t="s">
        <v>9</v>
      </c>
      <c r="D158" t="s">
        <v>10</v>
      </c>
      <c r="E158">
        <v>1995</v>
      </c>
      <c r="F158" s="1">
        <v>100</v>
      </c>
      <c r="G158">
        <v>1990</v>
      </c>
      <c r="H158">
        <f>AVERAGEIFS(Table1[value],Table1[IndicatorCode],Table1[[#This Row],[IndicatorCode]])</f>
        <v>99.756410256410263</v>
      </c>
      <c r="I158" cm="1">
        <f t="array" ref="I158">_xlfn.STDEV.P(IF(Table1[IndicatorCode]=Table1[[#This Row],[IndicatorCode]],Table1[value]))</f>
        <v>1.1047979755287356</v>
      </c>
      <c r="J158">
        <f>(Table1[[#This Row],[value]] - Table1[[#This Row],[mean]]) / Table1[[#This Row],[std_dev]]</f>
        <v>0.22048351733552002</v>
      </c>
      <c r="K158">
        <f>AVERAGEIF(Table1[CountryCode],Table1[[#This Row],[CountryCode]],Table1[z-score])</f>
        <v>0.41927804487804637</v>
      </c>
      <c r="L158" t="e">
        <f>VLOOKUP(Table1[[#This Row],[CountryCode]],[1]!Table1[#All],1,FALSE)</f>
        <v>#REF!</v>
      </c>
    </row>
    <row r="159" spans="1:12" hidden="1" x14ac:dyDescent="0.3">
      <c r="A159" t="s">
        <v>19</v>
      </c>
      <c r="B159" t="s">
        <v>20</v>
      </c>
      <c r="C159" t="s">
        <v>9</v>
      </c>
      <c r="D159" t="s">
        <v>10</v>
      </c>
      <c r="E159">
        <v>1996</v>
      </c>
      <c r="F159" s="1">
        <v>100</v>
      </c>
      <c r="G159">
        <v>1990</v>
      </c>
      <c r="H159">
        <f>AVERAGEIFS(Table1[value],Table1[IndicatorCode],Table1[[#This Row],[IndicatorCode]])</f>
        <v>99.756410256410263</v>
      </c>
      <c r="I159" cm="1">
        <f t="array" ref="I159">_xlfn.STDEV.P(IF(Table1[IndicatorCode]=Table1[[#This Row],[IndicatorCode]],Table1[value]))</f>
        <v>1.1047979755287356</v>
      </c>
      <c r="J159">
        <f>(Table1[[#This Row],[value]] - Table1[[#This Row],[mean]]) / Table1[[#This Row],[std_dev]]</f>
        <v>0.22048351733552002</v>
      </c>
      <c r="K159">
        <f>AVERAGEIF(Table1[CountryCode],Table1[[#This Row],[CountryCode]],Table1[z-score])</f>
        <v>0.41927804487804637</v>
      </c>
      <c r="L159" t="e">
        <f>VLOOKUP(Table1[[#This Row],[CountryCode]],[1]!Table1[#All],1,FALSE)</f>
        <v>#REF!</v>
      </c>
    </row>
    <row r="160" spans="1:12" hidden="1" x14ac:dyDescent="0.3">
      <c r="A160" t="s">
        <v>19</v>
      </c>
      <c r="B160" t="s">
        <v>20</v>
      </c>
      <c r="C160" t="s">
        <v>9</v>
      </c>
      <c r="D160" t="s">
        <v>10</v>
      </c>
      <c r="E160">
        <v>1997</v>
      </c>
      <c r="F160" s="1">
        <v>100</v>
      </c>
      <c r="G160">
        <v>2000</v>
      </c>
      <c r="H160">
        <f>AVERAGEIFS(Table1[value],Table1[IndicatorCode],Table1[[#This Row],[IndicatorCode]])</f>
        <v>99.756410256410263</v>
      </c>
      <c r="I160" cm="1">
        <f t="array" ref="I160">_xlfn.STDEV.P(IF(Table1[IndicatorCode]=Table1[[#This Row],[IndicatorCode]],Table1[value]))</f>
        <v>1.1047979755287356</v>
      </c>
      <c r="J160">
        <f>(Table1[[#This Row],[value]] - Table1[[#This Row],[mean]]) / Table1[[#This Row],[std_dev]]</f>
        <v>0.22048351733552002</v>
      </c>
      <c r="K160">
        <f>AVERAGEIF(Table1[CountryCode],Table1[[#This Row],[CountryCode]],Table1[z-score])</f>
        <v>0.41927804487804637</v>
      </c>
      <c r="L160" t="e">
        <f>VLOOKUP(Table1[[#This Row],[CountryCode]],[1]!Table1[#All],1,FALSE)</f>
        <v>#REF!</v>
      </c>
    </row>
    <row r="161" spans="1:12" hidden="1" x14ac:dyDescent="0.3">
      <c r="A161" t="s">
        <v>19</v>
      </c>
      <c r="B161" t="s">
        <v>20</v>
      </c>
      <c r="C161" t="s">
        <v>9</v>
      </c>
      <c r="D161" t="s">
        <v>10</v>
      </c>
      <c r="E161">
        <v>1998</v>
      </c>
      <c r="F161" s="1">
        <v>100</v>
      </c>
      <c r="G161">
        <v>2000</v>
      </c>
      <c r="H161">
        <f>AVERAGEIFS(Table1[value],Table1[IndicatorCode],Table1[[#This Row],[IndicatorCode]])</f>
        <v>99.756410256410263</v>
      </c>
      <c r="I161" cm="1">
        <f t="array" ref="I161">_xlfn.STDEV.P(IF(Table1[IndicatorCode]=Table1[[#This Row],[IndicatorCode]],Table1[value]))</f>
        <v>1.1047979755287356</v>
      </c>
      <c r="J161">
        <f>(Table1[[#This Row],[value]] - Table1[[#This Row],[mean]]) / Table1[[#This Row],[std_dev]]</f>
        <v>0.22048351733552002</v>
      </c>
      <c r="K161">
        <f>AVERAGEIF(Table1[CountryCode],Table1[[#This Row],[CountryCode]],Table1[z-score])</f>
        <v>0.41927804487804637</v>
      </c>
      <c r="L161" t="e">
        <f>VLOOKUP(Table1[[#This Row],[CountryCode]],[1]!Table1[#All],1,FALSE)</f>
        <v>#REF!</v>
      </c>
    </row>
    <row r="162" spans="1:12" hidden="1" x14ac:dyDescent="0.3">
      <c r="A162" t="s">
        <v>19</v>
      </c>
      <c r="B162" t="s">
        <v>20</v>
      </c>
      <c r="C162" t="s">
        <v>9</v>
      </c>
      <c r="D162" t="s">
        <v>10</v>
      </c>
      <c r="E162">
        <v>1999</v>
      </c>
      <c r="F162" s="1">
        <v>100</v>
      </c>
      <c r="G162">
        <v>2000</v>
      </c>
      <c r="H162">
        <f>AVERAGEIFS(Table1[value],Table1[IndicatorCode],Table1[[#This Row],[IndicatorCode]])</f>
        <v>99.756410256410263</v>
      </c>
      <c r="I162" cm="1">
        <f t="array" ref="I162">_xlfn.STDEV.P(IF(Table1[IndicatorCode]=Table1[[#This Row],[IndicatorCode]],Table1[value]))</f>
        <v>1.1047979755287356</v>
      </c>
      <c r="J162">
        <f>(Table1[[#This Row],[value]] - Table1[[#This Row],[mean]]) / Table1[[#This Row],[std_dev]]</f>
        <v>0.22048351733552002</v>
      </c>
      <c r="K162">
        <f>AVERAGEIF(Table1[CountryCode],Table1[[#This Row],[CountryCode]],Table1[z-score])</f>
        <v>0.41927804487804637</v>
      </c>
      <c r="L162" t="e">
        <f>VLOOKUP(Table1[[#This Row],[CountryCode]],[1]!Table1[#All],1,FALSE)</f>
        <v>#REF!</v>
      </c>
    </row>
    <row r="163" spans="1:12" hidden="1" x14ac:dyDescent="0.3">
      <c r="A163" t="s">
        <v>19</v>
      </c>
      <c r="B163" t="s">
        <v>20</v>
      </c>
      <c r="C163" t="s">
        <v>9</v>
      </c>
      <c r="D163" t="s">
        <v>10</v>
      </c>
      <c r="E163">
        <v>2000</v>
      </c>
      <c r="F163" s="1">
        <v>100</v>
      </c>
      <c r="G163">
        <v>2000</v>
      </c>
      <c r="H163">
        <f>AVERAGEIFS(Table1[value],Table1[IndicatorCode],Table1[[#This Row],[IndicatorCode]])</f>
        <v>99.756410256410263</v>
      </c>
      <c r="I163" cm="1">
        <f t="array" ref="I163">_xlfn.STDEV.P(IF(Table1[IndicatorCode]=Table1[[#This Row],[IndicatorCode]],Table1[value]))</f>
        <v>1.1047979755287356</v>
      </c>
      <c r="J163">
        <f>(Table1[[#This Row],[value]] - Table1[[#This Row],[mean]]) / Table1[[#This Row],[std_dev]]</f>
        <v>0.22048351733552002</v>
      </c>
      <c r="K163">
        <f>AVERAGEIF(Table1[CountryCode],Table1[[#This Row],[CountryCode]],Table1[z-score])</f>
        <v>0.41927804487804637</v>
      </c>
      <c r="L163" t="e">
        <f>VLOOKUP(Table1[[#This Row],[CountryCode]],[1]!Table1[#All],1,FALSE)</f>
        <v>#REF!</v>
      </c>
    </row>
    <row r="164" spans="1:12" hidden="1" x14ac:dyDescent="0.3">
      <c r="A164" t="s">
        <v>19</v>
      </c>
      <c r="B164" t="s">
        <v>20</v>
      </c>
      <c r="C164" t="s">
        <v>9</v>
      </c>
      <c r="D164" t="s">
        <v>10</v>
      </c>
      <c r="E164">
        <v>2001</v>
      </c>
      <c r="F164" s="1">
        <v>100</v>
      </c>
      <c r="G164">
        <v>2000</v>
      </c>
      <c r="H164">
        <f>AVERAGEIFS(Table1[value],Table1[IndicatorCode],Table1[[#This Row],[IndicatorCode]])</f>
        <v>99.756410256410263</v>
      </c>
      <c r="I164" cm="1">
        <f t="array" ref="I164">_xlfn.STDEV.P(IF(Table1[IndicatorCode]=Table1[[#This Row],[IndicatorCode]],Table1[value]))</f>
        <v>1.1047979755287356</v>
      </c>
      <c r="J164">
        <f>(Table1[[#This Row],[value]] - Table1[[#This Row],[mean]]) / Table1[[#This Row],[std_dev]]</f>
        <v>0.22048351733552002</v>
      </c>
      <c r="K164">
        <f>AVERAGEIF(Table1[CountryCode],Table1[[#This Row],[CountryCode]],Table1[z-score])</f>
        <v>0.41927804487804637</v>
      </c>
      <c r="L164" t="e">
        <f>VLOOKUP(Table1[[#This Row],[CountryCode]],[1]!Table1[#All],1,FALSE)</f>
        <v>#REF!</v>
      </c>
    </row>
    <row r="165" spans="1:12" hidden="1" x14ac:dyDescent="0.3">
      <c r="A165" t="s">
        <v>19</v>
      </c>
      <c r="B165" t="s">
        <v>20</v>
      </c>
      <c r="C165" t="s">
        <v>9</v>
      </c>
      <c r="D165" t="s">
        <v>10</v>
      </c>
      <c r="E165">
        <v>2002</v>
      </c>
      <c r="F165" s="1">
        <v>100</v>
      </c>
      <c r="G165">
        <v>2000</v>
      </c>
      <c r="H165">
        <f>AVERAGEIFS(Table1[value],Table1[IndicatorCode],Table1[[#This Row],[IndicatorCode]])</f>
        <v>99.756410256410263</v>
      </c>
      <c r="I165" cm="1">
        <f t="array" ref="I165">_xlfn.STDEV.P(IF(Table1[IndicatorCode]=Table1[[#This Row],[IndicatorCode]],Table1[value]))</f>
        <v>1.1047979755287356</v>
      </c>
      <c r="J165">
        <f>(Table1[[#This Row],[value]] - Table1[[#This Row],[mean]]) / Table1[[#This Row],[std_dev]]</f>
        <v>0.22048351733552002</v>
      </c>
      <c r="K165">
        <f>AVERAGEIF(Table1[CountryCode],Table1[[#This Row],[CountryCode]],Table1[z-score])</f>
        <v>0.41927804487804637</v>
      </c>
      <c r="L165" t="e">
        <f>VLOOKUP(Table1[[#This Row],[CountryCode]],[1]!Table1[#All],1,FALSE)</f>
        <v>#REF!</v>
      </c>
    </row>
    <row r="166" spans="1:12" hidden="1" x14ac:dyDescent="0.3">
      <c r="A166" t="s">
        <v>19</v>
      </c>
      <c r="B166" t="s">
        <v>20</v>
      </c>
      <c r="C166" t="s">
        <v>9</v>
      </c>
      <c r="D166" t="s">
        <v>10</v>
      </c>
      <c r="E166">
        <v>2003</v>
      </c>
      <c r="F166" s="1">
        <v>100</v>
      </c>
      <c r="G166">
        <v>2000</v>
      </c>
      <c r="H166">
        <f>AVERAGEIFS(Table1[value],Table1[IndicatorCode],Table1[[#This Row],[IndicatorCode]])</f>
        <v>99.756410256410263</v>
      </c>
      <c r="I166" cm="1">
        <f t="array" ref="I166">_xlfn.STDEV.P(IF(Table1[IndicatorCode]=Table1[[#This Row],[IndicatorCode]],Table1[value]))</f>
        <v>1.1047979755287356</v>
      </c>
      <c r="J166">
        <f>(Table1[[#This Row],[value]] - Table1[[#This Row],[mean]]) / Table1[[#This Row],[std_dev]]</f>
        <v>0.22048351733552002</v>
      </c>
      <c r="K166">
        <f>AVERAGEIF(Table1[CountryCode],Table1[[#This Row],[CountryCode]],Table1[z-score])</f>
        <v>0.41927804487804637</v>
      </c>
      <c r="L166" t="e">
        <f>VLOOKUP(Table1[[#This Row],[CountryCode]],[1]!Table1[#All],1,FALSE)</f>
        <v>#REF!</v>
      </c>
    </row>
    <row r="167" spans="1:12" hidden="1" x14ac:dyDescent="0.3">
      <c r="A167" t="s">
        <v>19</v>
      </c>
      <c r="B167" t="s">
        <v>20</v>
      </c>
      <c r="C167" t="s">
        <v>9</v>
      </c>
      <c r="D167" t="s">
        <v>10</v>
      </c>
      <c r="E167">
        <v>2004</v>
      </c>
      <c r="F167" s="1">
        <v>100</v>
      </c>
      <c r="G167">
        <v>2000</v>
      </c>
      <c r="H167">
        <f>AVERAGEIFS(Table1[value],Table1[IndicatorCode],Table1[[#This Row],[IndicatorCode]])</f>
        <v>99.756410256410263</v>
      </c>
      <c r="I167" cm="1">
        <f t="array" ref="I167">_xlfn.STDEV.P(IF(Table1[IndicatorCode]=Table1[[#This Row],[IndicatorCode]],Table1[value]))</f>
        <v>1.1047979755287356</v>
      </c>
      <c r="J167">
        <f>(Table1[[#This Row],[value]] - Table1[[#This Row],[mean]]) / Table1[[#This Row],[std_dev]]</f>
        <v>0.22048351733552002</v>
      </c>
      <c r="K167">
        <f>AVERAGEIF(Table1[CountryCode],Table1[[#This Row],[CountryCode]],Table1[z-score])</f>
        <v>0.41927804487804637</v>
      </c>
      <c r="L167" t="e">
        <f>VLOOKUP(Table1[[#This Row],[CountryCode]],[1]!Table1[#All],1,FALSE)</f>
        <v>#REF!</v>
      </c>
    </row>
    <row r="168" spans="1:12" hidden="1" x14ac:dyDescent="0.3">
      <c r="A168" t="s">
        <v>19</v>
      </c>
      <c r="B168" t="s">
        <v>20</v>
      </c>
      <c r="C168" t="s">
        <v>9</v>
      </c>
      <c r="D168" t="s">
        <v>10</v>
      </c>
      <c r="E168">
        <v>2005</v>
      </c>
      <c r="F168" s="1">
        <v>100</v>
      </c>
      <c r="G168">
        <v>2000</v>
      </c>
      <c r="H168">
        <f>AVERAGEIFS(Table1[value],Table1[IndicatorCode],Table1[[#This Row],[IndicatorCode]])</f>
        <v>99.756410256410263</v>
      </c>
      <c r="I168" cm="1">
        <f t="array" ref="I168">_xlfn.STDEV.P(IF(Table1[IndicatorCode]=Table1[[#This Row],[IndicatorCode]],Table1[value]))</f>
        <v>1.1047979755287356</v>
      </c>
      <c r="J168">
        <f>(Table1[[#This Row],[value]] - Table1[[#This Row],[mean]]) / Table1[[#This Row],[std_dev]]</f>
        <v>0.22048351733552002</v>
      </c>
      <c r="K168">
        <f>AVERAGEIF(Table1[CountryCode],Table1[[#This Row],[CountryCode]],Table1[z-score])</f>
        <v>0.41927804487804637</v>
      </c>
      <c r="L168" t="e">
        <f>VLOOKUP(Table1[[#This Row],[CountryCode]],[1]!Table1[#All],1,FALSE)</f>
        <v>#REF!</v>
      </c>
    </row>
    <row r="169" spans="1:12" hidden="1" x14ac:dyDescent="0.3">
      <c r="A169" t="s">
        <v>19</v>
      </c>
      <c r="B169" t="s">
        <v>20</v>
      </c>
      <c r="C169" t="s">
        <v>9</v>
      </c>
      <c r="D169" t="s">
        <v>10</v>
      </c>
      <c r="E169">
        <v>2006</v>
      </c>
      <c r="F169" s="1">
        <v>100</v>
      </c>
      <c r="G169">
        <v>2000</v>
      </c>
      <c r="H169">
        <f>AVERAGEIFS(Table1[value],Table1[IndicatorCode],Table1[[#This Row],[IndicatorCode]])</f>
        <v>99.756410256410263</v>
      </c>
      <c r="I169" cm="1">
        <f t="array" ref="I169">_xlfn.STDEV.P(IF(Table1[IndicatorCode]=Table1[[#This Row],[IndicatorCode]],Table1[value]))</f>
        <v>1.1047979755287356</v>
      </c>
      <c r="J169">
        <f>(Table1[[#This Row],[value]] - Table1[[#This Row],[mean]]) / Table1[[#This Row],[std_dev]]</f>
        <v>0.22048351733552002</v>
      </c>
      <c r="K169">
        <f>AVERAGEIF(Table1[CountryCode],Table1[[#This Row],[CountryCode]],Table1[z-score])</f>
        <v>0.41927804487804637</v>
      </c>
      <c r="L169" t="e">
        <f>VLOOKUP(Table1[[#This Row],[CountryCode]],[1]!Table1[#All],1,FALSE)</f>
        <v>#REF!</v>
      </c>
    </row>
    <row r="170" spans="1:12" hidden="1" x14ac:dyDescent="0.3">
      <c r="A170" t="s">
        <v>19</v>
      </c>
      <c r="B170" t="s">
        <v>20</v>
      </c>
      <c r="C170" t="s">
        <v>9</v>
      </c>
      <c r="D170" t="s">
        <v>10</v>
      </c>
      <c r="E170">
        <v>2007</v>
      </c>
      <c r="F170" s="1">
        <v>100</v>
      </c>
      <c r="G170">
        <v>2010</v>
      </c>
      <c r="H170">
        <f>AVERAGEIFS(Table1[value],Table1[IndicatorCode],Table1[[#This Row],[IndicatorCode]])</f>
        <v>99.756410256410263</v>
      </c>
      <c r="I170" cm="1">
        <f t="array" ref="I170">_xlfn.STDEV.P(IF(Table1[IndicatorCode]=Table1[[#This Row],[IndicatorCode]],Table1[value]))</f>
        <v>1.1047979755287356</v>
      </c>
      <c r="J170">
        <f>(Table1[[#This Row],[value]] - Table1[[#This Row],[mean]]) / Table1[[#This Row],[std_dev]]</f>
        <v>0.22048351733552002</v>
      </c>
      <c r="K170">
        <f>AVERAGEIF(Table1[CountryCode],Table1[[#This Row],[CountryCode]],Table1[z-score])</f>
        <v>0.41927804487804637</v>
      </c>
      <c r="L170" t="e">
        <f>VLOOKUP(Table1[[#This Row],[CountryCode]],[1]!Table1[#All],1,FALSE)</f>
        <v>#REF!</v>
      </c>
    </row>
    <row r="171" spans="1:12" hidden="1" x14ac:dyDescent="0.3">
      <c r="A171" t="s">
        <v>19</v>
      </c>
      <c r="B171" t="s">
        <v>20</v>
      </c>
      <c r="C171" t="s">
        <v>9</v>
      </c>
      <c r="D171" t="s">
        <v>10</v>
      </c>
      <c r="E171">
        <v>2008</v>
      </c>
      <c r="F171" s="1">
        <v>100</v>
      </c>
      <c r="G171">
        <v>2010</v>
      </c>
      <c r="H171">
        <f>AVERAGEIFS(Table1[value],Table1[IndicatorCode],Table1[[#This Row],[IndicatorCode]])</f>
        <v>99.756410256410263</v>
      </c>
      <c r="I171" cm="1">
        <f t="array" ref="I171">_xlfn.STDEV.P(IF(Table1[IndicatorCode]=Table1[[#This Row],[IndicatorCode]],Table1[value]))</f>
        <v>1.1047979755287356</v>
      </c>
      <c r="J171">
        <f>(Table1[[#This Row],[value]] - Table1[[#This Row],[mean]]) / Table1[[#This Row],[std_dev]]</f>
        <v>0.22048351733552002</v>
      </c>
      <c r="K171">
        <f>AVERAGEIF(Table1[CountryCode],Table1[[#This Row],[CountryCode]],Table1[z-score])</f>
        <v>0.41927804487804637</v>
      </c>
      <c r="L171" t="e">
        <f>VLOOKUP(Table1[[#This Row],[CountryCode]],[1]!Table1[#All],1,FALSE)</f>
        <v>#REF!</v>
      </c>
    </row>
    <row r="172" spans="1:12" hidden="1" x14ac:dyDescent="0.3">
      <c r="A172" t="s">
        <v>19</v>
      </c>
      <c r="B172" t="s">
        <v>20</v>
      </c>
      <c r="C172" t="s">
        <v>9</v>
      </c>
      <c r="D172" t="s">
        <v>10</v>
      </c>
      <c r="E172">
        <v>2009</v>
      </c>
      <c r="F172" s="1">
        <v>100</v>
      </c>
      <c r="G172">
        <v>2010</v>
      </c>
      <c r="H172">
        <f>AVERAGEIFS(Table1[value],Table1[IndicatorCode],Table1[[#This Row],[IndicatorCode]])</f>
        <v>99.756410256410263</v>
      </c>
      <c r="I172" cm="1">
        <f t="array" ref="I172">_xlfn.STDEV.P(IF(Table1[IndicatorCode]=Table1[[#This Row],[IndicatorCode]],Table1[value]))</f>
        <v>1.1047979755287356</v>
      </c>
      <c r="J172">
        <f>(Table1[[#This Row],[value]] - Table1[[#This Row],[mean]]) / Table1[[#This Row],[std_dev]]</f>
        <v>0.22048351733552002</v>
      </c>
      <c r="K172">
        <f>AVERAGEIF(Table1[CountryCode],Table1[[#This Row],[CountryCode]],Table1[z-score])</f>
        <v>0.41927804487804637</v>
      </c>
      <c r="L172" t="e">
        <f>VLOOKUP(Table1[[#This Row],[CountryCode]],[1]!Table1[#All],1,FALSE)</f>
        <v>#REF!</v>
      </c>
    </row>
    <row r="173" spans="1:12" hidden="1" x14ac:dyDescent="0.3">
      <c r="A173" t="s">
        <v>19</v>
      </c>
      <c r="B173" t="s">
        <v>20</v>
      </c>
      <c r="C173" t="s">
        <v>9</v>
      </c>
      <c r="D173" t="s">
        <v>10</v>
      </c>
      <c r="E173">
        <v>2010</v>
      </c>
      <c r="F173" s="1">
        <v>100</v>
      </c>
      <c r="G173">
        <v>2010</v>
      </c>
      <c r="H173">
        <f>AVERAGEIFS(Table1[value],Table1[IndicatorCode],Table1[[#This Row],[IndicatorCode]])</f>
        <v>99.756410256410263</v>
      </c>
      <c r="I173" cm="1">
        <f t="array" ref="I173">_xlfn.STDEV.P(IF(Table1[IndicatorCode]=Table1[[#This Row],[IndicatorCode]],Table1[value]))</f>
        <v>1.1047979755287356</v>
      </c>
      <c r="J173">
        <f>(Table1[[#This Row],[value]] - Table1[[#This Row],[mean]]) / Table1[[#This Row],[std_dev]]</f>
        <v>0.22048351733552002</v>
      </c>
      <c r="K173">
        <f>AVERAGEIF(Table1[CountryCode],Table1[[#This Row],[CountryCode]],Table1[z-score])</f>
        <v>0.41927804487804637</v>
      </c>
      <c r="L173" t="e">
        <f>VLOOKUP(Table1[[#This Row],[CountryCode]],[1]!Table1[#All],1,FALSE)</f>
        <v>#REF!</v>
      </c>
    </row>
    <row r="174" spans="1:12" hidden="1" x14ac:dyDescent="0.3">
      <c r="A174" t="s">
        <v>19</v>
      </c>
      <c r="B174" t="s">
        <v>20</v>
      </c>
      <c r="C174" t="s">
        <v>9</v>
      </c>
      <c r="D174" t="s">
        <v>10</v>
      </c>
      <c r="E174">
        <v>2011</v>
      </c>
      <c r="F174" s="1">
        <v>100</v>
      </c>
      <c r="G174">
        <v>2010</v>
      </c>
      <c r="H174">
        <f>AVERAGEIFS(Table1[value],Table1[IndicatorCode],Table1[[#This Row],[IndicatorCode]])</f>
        <v>99.756410256410263</v>
      </c>
      <c r="I174" cm="1">
        <f t="array" ref="I174">_xlfn.STDEV.P(IF(Table1[IndicatorCode]=Table1[[#This Row],[IndicatorCode]],Table1[value]))</f>
        <v>1.1047979755287356</v>
      </c>
      <c r="J174">
        <f>(Table1[[#This Row],[value]] - Table1[[#This Row],[mean]]) / Table1[[#This Row],[std_dev]]</f>
        <v>0.22048351733552002</v>
      </c>
      <c r="K174">
        <f>AVERAGEIF(Table1[CountryCode],Table1[[#This Row],[CountryCode]],Table1[z-score])</f>
        <v>0.41927804487804637</v>
      </c>
      <c r="L174" t="e">
        <f>VLOOKUP(Table1[[#This Row],[CountryCode]],[1]!Table1[#All],1,FALSE)</f>
        <v>#REF!</v>
      </c>
    </row>
    <row r="175" spans="1:12" hidden="1" x14ac:dyDescent="0.3">
      <c r="A175" t="s">
        <v>19</v>
      </c>
      <c r="B175" t="s">
        <v>20</v>
      </c>
      <c r="C175" t="s">
        <v>9</v>
      </c>
      <c r="D175" t="s">
        <v>10</v>
      </c>
      <c r="E175">
        <v>2012</v>
      </c>
      <c r="F175" s="1">
        <v>100</v>
      </c>
      <c r="G175">
        <v>2010</v>
      </c>
      <c r="H175">
        <f>AVERAGEIFS(Table1[value],Table1[IndicatorCode],Table1[[#This Row],[IndicatorCode]])</f>
        <v>99.756410256410263</v>
      </c>
      <c r="I175" cm="1">
        <f t="array" ref="I175">_xlfn.STDEV.P(IF(Table1[IndicatorCode]=Table1[[#This Row],[IndicatorCode]],Table1[value]))</f>
        <v>1.1047979755287356</v>
      </c>
      <c r="J175">
        <f>(Table1[[#This Row],[value]] - Table1[[#This Row],[mean]]) / Table1[[#This Row],[std_dev]]</f>
        <v>0.22048351733552002</v>
      </c>
      <c r="K175">
        <f>AVERAGEIF(Table1[CountryCode],Table1[[#This Row],[CountryCode]],Table1[z-score])</f>
        <v>0.41927804487804637</v>
      </c>
      <c r="L175" t="e">
        <f>VLOOKUP(Table1[[#This Row],[CountryCode]],[1]!Table1[#All],1,FALSE)</f>
        <v>#REF!</v>
      </c>
    </row>
    <row r="176" spans="1:12" hidden="1" x14ac:dyDescent="0.3">
      <c r="A176" t="s">
        <v>19</v>
      </c>
      <c r="B176" t="s">
        <v>20</v>
      </c>
      <c r="C176" t="s">
        <v>9</v>
      </c>
      <c r="D176" t="s">
        <v>10</v>
      </c>
      <c r="E176">
        <v>2013</v>
      </c>
      <c r="F176" s="1">
        <v>100</v>
      </c>
      <c r="G176">
        <v>2010</v>
      </c>
      <c r="H176">
        <f>AVERAGEIFS(Table1[value],Table1[IndicatorCode],Table1[[#This Row],[IndicatorCode]])</f>
        <v>99.756410256410263</v>
      </c>
      <c r="I176" cm="1">
        <f t="array" ref="I176">_xlfn.STDEV.P(IF(Table1[IndicatorCode]=Table1[[#This Row],[IndicatorCode]],Table1[value]))</f>
        <v>1.1047979755287356</v>
      </c>
      <c r="J176">
        <f>(Table1[[#This Row],[value]] - Table1[[#This Row],[mean]]) / Table1[[#This Row],[std_dev]]</f>
        <v>0.22048351733552002</v>
      </c>
      <c r="K176">
        <f>AVERAGEIF(Table1[CountryCode],Table1[[#This Row],[CountryCode]],Table1[z-score])</f>
        <v>0.41927804487804637</v>
      </c>
      <c r="L176" t="e">
        <f>VLOOKUP(Table1[[#This Row],[CountryCode]],[1]!Table1[#All],1,FALSE)</f>
        <v>#REF!</v>
      </c>
    </row>
    <row r="177" spans="1:12" hidden="1" x14ac:dyDescent="0.3">
      <c r="A177" t="s">
        <v>19</v>
      </c>
      <c r="B177" t="s">
        <v>20</v>
      </c>
      <c r="C177" t="s">
        <v>9</v>
      </c>
      <c r="D177" t="s">
        <v>10</v>
      </c>
      <c r="E177">
        <v>2014</v>
      </c>
      <c r="F177" s="1">
        <v>100</v>
      </c>
      <c r="G177">
        <v>2010</v>
      </c>
      <c r="H177">
        <f>AVERAGEIFS(Table1[value],Table1[IndicatorCode],Table1[[#This Row],[IndicatorCode]])</f>
        <v>99.756410256410263</v>
      </c>
      <c r="I177" cm="1">
        <f t="array" ref="I177">_xlfn.STDEV.P(IF(Table1[IndicatorCode]=Table1[[#This Row],[IndicatorCode]],Table1[value]))</f>
        <v>1.1047979755287356</v>
      </c>
      <c r="J177">
        <f>(Table1[[#This Row],[value]] - Table1[[#This Row],[mean]]) / Table1[[#This Row],[std_dev]]</f>
        <v>0.22048351733552002</v>
      </c>
      <c r="K177">
        <f>AVERAGEIF(Table1[CountryCode],Table1[[#This Row],[CountryCode]],Table1[z-score])</f>
        <v>0.41927804487804637</v>
      </c>
      <c r="L177" t="e">
        <f>VLOOKUP(Table1[[#This Row],[CountryCode]],[1]!Table1[#All],1,FALSE)</f>
        <v>#REF!</v>
      </c>
    </row>
    <row r="178" spans="1:12" hidden="1" x14ac:dyDescent="0.3">
      <c r="A178" t="s">
        <v>19</v>
      </c>
      <c r="B178" t="s">
        <v>20</v>
      </c>
      <c r="C178" t="s">
        <v>9</v>
      </c>
      <c r="D178" t="s">
        <v>10</v>
      </c>
      <c r="E178">
        <v>2015</v>
      </c>
      <c r="F178" s="1">
        <v>100</v>
      </c>
      <c r="G178">
        <v>2010</v>
      </c>
      <c r="H178">
        <f>AVERAGEIFS(Table1[value],Table1[IndicatorCode],Table1[[#This Row],[IndicatorCode]])</f>
        <v>99.756410256410263</v>
      </c>
      <c r="I178" cm="1">
        <f t="array" ref="I178">_xlfn.STDEV.P(IF(Table1[IndicatorCode]=Table1[[#This Row],[IndicatorCode]],Table1[value]))</f>
        <v>1.1047979755287356</v>
      </c>
      <c r="J178">
        <f>(Table1[[#This Row],[value]] - Table1[[#This Row],[mean]]) / Table1[[#This Row],[std_dev]]</f>
        <v>0.22048351733552002</v>
      </c>
      <c r="K178">
        <f>AVERAGEIF(Table1[CountryCode],Table1[[#This Row],[CountryCode]],Table1[z-score])</f>
        <v>0.41927804487804637</v>
      </c>
      <c r="L178" t="e">
        <f>VLOOKUP(Table1[[#This Row],[CountryCode]],[1]!Table1[#All],1,FALSE)</f>
        <v>#REF!</v>
      </c>
    </row>
    <row r="179" spans="1:12" hidden="1" x14ac:dyDescent="0.3">
      <c r="A179" t="s">
        <v>19</v>
      </c>
      <c r="B179" t="s">
        <v>20</v>
      </c>
      <c r="C179" t="s">
        <v>9</v>
      </c>
      <c r="D179" t="s">
        <v>10</v>
      </c>
      <c r="E179">
        <v>2016</v>
      </c>
      <c r="F179" s="1">
        <v>100</v>
      </c>
      <c r="G179">
        <v>2010</v>
      </c>
      <c r="H179">
        <f>AVERAGEIFS(Table1[value],Table1[IndicatorCode],Table1[[#This Row],[IndicatorCode]])</f>
        <v>99.756410256410263</v>
      </c>
      <c r="I179" cm="1">
        <f t="array" ref="I179">_xlfn.STDEV.P(IF(Table1[IndicatorCode]=Table1[[#This Row],[IndicatorCode]],Table1[value]))</f>
        <v>1.1047979755287356</v>
      </c>
      <c r="J179">
        <f>(Table1[[#This Row],[value]] - Table1[[#This Row],[mean]]) / Table1[[#This Row],[std_dev]]</f>
        <v>0.22048351733552002</v>
      </c>
      <c r="K179">
        <f>AVERAGEIF(Table1[CountryCode],Table1[[#This Row],[CountryCode]],Table1[z-score])</f>
        <v>0.41927804487804637</v>
      </c>
      <c r="L179" t="e">
        <f>VLOOKUP(Table1[[#This Row],[CountryCode]],[1]!Table1[#All],1,FALSE)</f>
        <v>#REF!</v>
      </c>
    </row>
    <row r="180" spans="1:12" hidden="1" x14ac:dyDescent="0.3">
      <c r="A180" t="s">
        <v>19</v>
      </c>
      <c r="B180" t="s">
        <v>20</v>
      </c>
      <c r="C180" t="s">
        <v>9</v>
      </c>
      <c r="D180" t="s">
        <v>10</v>
      </c>
      <c r="E180">
        <v>2017</v>
      </c>
      <c r="F180" s="1">
        <v>100</v>
      </c>
      <c r="G180">
        <v>2020</v>
      </c>
      <c r="H180">
        <f>AVERAGEIFS(Table1[value],Table1[IndicatorCode],Table1[[#This Row],[IndicatorCode]])</f>
        <v>99.756410256410263</v>
      </c>
      <c r="I180" cm="1">
        <f t="array" ref="I180">_xlfn.STDEV.P(IF(Table1[IndicatorCode]=Table1[[#This Row],[IndicatorCode]],Table1[value]))</f>
        <v>1.1047979755287356</v>
      </c>
      <c r="J180">
        <f>(Table1[[#This Row],[value]] - Table1[[#This Row],[mean]]) / Table1[[#This Row],[std_dev]]</f>
        <v>0.22048351733552002</v>
      </c>
      <c r="K180">
        <f>AVERAGEIF(Table1[CountryCode],Table1[[#This Row],[CountryCode]],Table1[z-score])</f>
        <v>0.41927804487804637</v>
      </c>
      <c r="L180" t="e">
        <f>VLOOKUP(Table1[[#This Row],[CountryCode]],[1]!Table1[#All],1,FALSE)</f>
        <v>#REF!</v>
      </c>
    </row>
    <row r="181" spans="1:12" hidden="1" x14ac:dyDescent="0.3">
      <c r="A181" t="s">
        <v>19</v>
      </c>
      <c r="B181" t="s">
        <v>20</v>
      </c>
      <c r="C181" t="s">
        <v>9</v>
      </c>
      <c r="D181" t="s">
        <v>10</v>
      </c>
      <c r="E181">
        <v>2018</v>
      </c>
      <c r="F181" s="1">
        <v>100</v>
      </c>
      <c r="G181">
        <v>2020</v>
      </c>
      <c r="H181">
        <f>AVERAGEIFS(Table1[value],Table1[IndicatorCode],Table1[[#This Row],[IndicatorCode]])</f>
        <v>99.756410256410263</v>
      </c>
      <c r="I181" cm="1">
        <f t="array" ref="I181">_xlfn.STDEV.P(IF(Table1[IndicatorCode]=Table1[[#This Row],[IndicatorCode]],Table1[value]))</f>
        <v>1.1047979755287356</v>
      </c>
      <c r="J181">
        <f>(Table1[[#This Row],[value]] - Table1[[#This Row],[mean]]) / Table1[[#This Row],[std_dev]]</f>
        <v>0.22048351733552002</v>
      </c>
      <c r="K181">
        <f>AVERAGEIF(Table1[CountryCode],Table1[[#This Row],[CountryCode]],Table1[z-score])</f>
        <v>0.41927804487804637</v>
      </c>
      <c r="L181" t="e">
        <f>VLOOKUP(Table1[[#This Row],[CountryCode]],[1]!Table1[#All],1,FALSE)</f>
        <v>#REF!</v>
      </c>
    </row>
    <row r="182" spans="1:12" hidden="1" x14ac:dyDescent="0.3">
      <c r="A182" t="s">
        <v>19</v>
      </c>
      <c r="B182" t="s">
        <v>20</v>
      </c>
      <c r="C182" t="s">
        <v>9</v>
      </c>
      <c r="D182" t="s">
        <v>10</v>
      </c>
      <c r="E182">
        <v>2019</v>
      </c>
      <c r="F182" s="1">
        <v>100</v>
      </c>
      <c r="G182">
        <v>2020</v>
      </c>
      <c r="H182">
        <f>AVERAGEIFS(Table1[value],Table1[IndicatorCode],Table1[[#This Row],[IndicatorCode]])</f>
        <v>99.756410256410263</v>
      </c>
      <c r="I182" cm="1">
        <f t="array" ref="I182">_xlfn.STDEV.P(IF(Table1[IndicatorCode]=Table1[[#This Row],[IndicatorCode]],Table1[value]))</f>
        <v>1.1047979755287356</v>
      </c>
      <c r="J182">
        <f>(Table1[[#This Row],[value]] - Table1[[#This Row],[mean]]) / Table1[[#This Row],[std_dev]]</f>
        <v>0.22048351733552002</v>
      </c>
      <c r="K182">
        <f>AVERAGEIF(Table1[CountryCode],Table1[[#This Row],[CountryCode]],Table1[z-score])</f>
        <v>0.41927804487804637</v>
      </c>
      <c r="L182" t="e">
        <f>VLOOKUP(Table1[[#This Row],[CountryCode]],[1]!Table1[#All],1,FALSE)</f>
        <v>#REF!</v>
      </c>
    </row>
    <row r="183" spans="1:12" x14ac:dyDescent="0.3">
      <c r="A183" t="s">
        <v>19</v>
      </c>
      <c r="B183" t="s">
        <v>20</v>
      </c>
      <c r="C183" t="s">
        <v>9</v>
      </c>
      <c r="D183" t="s">
        <v>10</v>
      </c>
      <c r="E183">
        <v>2020</v>
      </c>
      <c r="F183" s="1">
        <v>100</v>
      </c>
      <c r="G183">
        <v>2020</v>
      </c>
      <c r="H183">
        <f>AVERAGEIFS(Table1[value],Table1[IndicatorCode],Table1[[#This Row],[IndicatorCode]])</f>
        <v>99.756410256410263</v>
      </c>
      <c r="I183" cm="1">
        <f t="array" ref="I183">_xlfn.STDEV.P(IF(Table1[IndicatorCode]=Table1[[#This Row],[IndicatorCode]],Table1[value]))</f>
        <v>1.1047979755287356</v>
      </c>
      <c r="J183">
        <f>(Table1[[#This Row],[value]] - Table1[[#This Row],[mean]]) / Table1[[#This Row],[std_dev]]</f>
        <v>0.22048351733552002</v>
      </c>
      <c r="K183">
        <f>AVERAGEIF(Table1[CountryCode],Table1[[#This Row],[CountryCode]],Table1[z-score])</f>
        <v>0.41927804487804637</v>
      </c>
    </row>
    <row r="184" spans="1:12" hidden="1" x14ac:dyDescent="0.3">
      <c r="A184" t="s">
        <v>19</v>
      </c>
      <c r="B184" t="s">
        <v>20</v>
      </c>
      <c r="C184" t="s">
        <v>9</v>
      </c>
      <c r="D184" t="s">
        <v>10</v>
      </c>
      <c r="E184">
        <v>2021</v>
      </c>
      <c r="F184" s="1">
        <v>100</v>
      </c>
      <c r="G184">
        <v>1990</v>
      </c>
      <c r="H184">
        <f>AVERAGEIFS(Table1[value],Table1[IndicatorCode],Table1[[#This Row],[IndicatorCode]])</f>
        <v>99.756410256410263</v>
      </c>
      <c r="I184" cm="1">
        <f t="array" ref="I184">_xlfn.STDEV.P(IF(Table1[IndicatorCode]=Table1[[#This Row],[IndicatorCode]],Table1[value]))</f>
        <v>1.1047979755287356</v>
      </c>
      <c r="J184">
        <f>(Table1[[#This Row],[value]] - Table1[[#This Row],[mean]]) / Table1[[#This Row],[std_dev]]</f>
        <v>0.22048351733552002</v>
      </c>
      <c r="K184">
        <f>AVERAGEIF(Table1[CountryCode],Table1[[#This Row],[CountryCode]],Table1[z-score])</f>
        <v>0.41927804487804637</v>
      </c>
      <c r="L184" t="e">
        <f>VLOOKUP(Table1[[#This Row],[CountryCode]],[1]!Table1[#All],1,FALSE)</f>
        <v>#REF!</v>
      </c>
    </row>
    <row r="185" spans="1:12" hidden="1" x14ac:dyDescent="0.3">
      <c r="A185" t="s">
        <v>19</v>
      </c>
      <c r="B185" t="s">
        <v>20</v>
      </c>
      <c r="C185" t="s">
        <v>9</v>
      </c>
      <c r="D185" t="s">
        <v>10</v>
      </c>
      <c r="E185">
        <v>2022</v>
      </c>
      <c r="F185" s="1">
        <v>100</v>
      </c>
      <c r="G185">
        <v>1990</v>
      </c>
      <c r="H185">
        <f>AVERAGEIFS(Table1[value],Table1[IndicatorCode],Table1[[#This Row],[IndicatorCode]])</f>
        <v>99.756410256410263</v>
      </c>
      <c r="I185" cm="1">
        <f t="array" ref="I185">_xlfn.STDEV.P(IF(Table1[IndicatorCode]=Table1[[#This Row],[IndicatorCode]],Table1[value]))</f>
        <v>1.1047979755287356</v>
      </c>
      <c r="J185">
        <f>(Table1[[#This Row],[value]] - Table1[[#This Row],[mean]]) / Table1[[#This Row],[std_dev]]</f>
        <v>0.22048351733552002</v>
      </c>
      <c r="K185">
        <f>AVERAGEIF(Table1[CountryCode],Table1[[#This Row],[CountryCode]],Table1[z-score])</f>
        <v>0.41927804487804637</v>
      </c>
      <c r="L185" t="e">
        <f>VLOOKUP(Table1[[#This Row],[CountryCode]],[1]!Table1[#All],1,FALSE)</f>
        <v>#REF!</v>
      </c>
    </row>
    <row r="186" spans="1:12" hidden="1" x14ac:dyDescent="0.3">
      <c r="A186" t="s">
        <v>19</v>
      </c>
      <c r="B186" t="s">
        <v>20</v>
      </c>
      <c r="C186" t="s">
        <v>9</v>
      </c>
      <c r="D186" t="s">
        <v>10</v>
      </c>
      <c r="E186">
        <v>2023</v>
      </c>
      <c r="F186" s="1">
        <v>100</v>
      </c>
      <c r="G186">
        <v>1990</v>
      </c>
      <c r="H186">
        <f>AVERAGEIFS(Table1[value],Table1[IndicatorCode],Table1[[#This Row],[IndicatorCode]])</f>
        <v>99.756410256410263</v>
      </c>
      <c r="I186" cm="1">
        <f t="array" ref="I186">_xlfn.STDEV.P(IF(Table1[IndicatorCode]=Table1[[#This Row],[IndicatorCode]],Table1[value]))</f>
        <v>1.1047979755287356</v>
      </c>
      <c r="J186">
        <f>(Table1[[#This Row],[value]] - Table1[[#This Row],[mean]]) / Table1[[#This Row],[std_dev]]</f>
        <v>0.22048351733552002</v>
      </c>
      <c r="K186">
        <f>AVERAGEIF(Table1[CountryCode],Table1[[#This Row],[CountryCode]],Table1[z-score])</f>
        <v>0.41927804487804637</v>
      </c>
      <c r="L186" t="e">
        <f>VLOOKUP(Table1[[#This Row],[CountryCode]],[1]!Table1[#All],1,FALSE)</f>
        <v>#REF!</v>
      </c>
    </row>
    <row r="187" spans="1:12" hidden="1" x14ac:dyDescent="0.3">
      <c r="A187" t="s">
        <v>21</v>
      </c>
      <c r="B187" t="s">
        <v>22</v>
      </c>
      <c r="C187" t="s">
        <v>9</v>
      </c>
      <c r="D187" t="s">
        <v>10</v>
      </c>
      <c r="E187">
        <v>1990</v>
      </c>
      <c r="F187" s="1">
        <v>100</v>
      </c>
      <c r="G187">
        <v>1990</v>
      </c>
      <c r="H187">
        <f>AVERAGEIFS(Table1[value],Table1[IndicatorCode],Table1[[#This Row],[IndicatorCode]])</f>
        <v>99.756410256410263</v>
      </c>
      <c r="I187" cm="1">
        <f t="array" ref="I187">_xlfn.STDEV.P(IF(Table1[IndicatorCode]=Table1[[#This Row],[IndicatorCode]],Table1[value]))</f>
        <v>1.1047979755287356</v>
      </c>
      <c r="J187">
        <f>(Table1[[#This Row],[value]] - Table1[[#This Row],[mean]]) / Table1[[#This Row],[std_dev]]</f>
        <v>0.22048351733552002</v>
      </c>
      <c r="K187">
        <f>AVERAGEIF(Table1[CountryCode],Table1[[#This Row],[CountryCode]],Table1[z-score])</f>
        <v>-0.76001533806857513</v>
      </c>
      <c r="L187" t="e">
        <f>VLOOKUP(Table1[[#This Row],[CountryCode]],[1]!Table1[#All],1,FALSE)</f>
        <v>#REF!</v>
      </c>
    </row>
    <row r="188" spans="1:12" hidden="1" x14ac:dyDescent="0.3">
      <c r="A188" t="s">
        <v>21</v>
      </c>
      <c r="B188" t="s">
        <v>22</v>
      </c>
      <c r="C188" t="s">
        <v>9</v>
      </c>
      <c r="D188" t="s">
        <v>10</v>
      </c>
      <c r="E188">
        <v>1991</v>
      </c>
      <c r="F188" s="1">
        <v>100</v>
      </c>
      <c r="G188">
        <v>1990</v>
      </c>
      <c r="H188">
        <f>AVERAGEIFS(Table1[value],Table1[IndicatorCode],Table1[[#This Row],[IndicatorCode]])</f>
        <v>99.756410256410263</v>
      </c>
      <c r="I188" cm="1">
        <f t="array" ref="I188">_xlfn.STDEV.P(IF(Table1[IndicatorCode]=Table1[[#This Row],[IndicatorCode]],Table1[value]))</f>
        <v>1.1047979755287356</v>
      </c>
      <c r="J188">
        <f>(Table1[[#This Row],[value]] - Table1[[#This Row],[mean]]) / Table1[[#This Row],[std_dev]]</f>
        <v>0.22048351733552002</v>
      </c>
      <c r="K188">
        <f>AVERAGEIF(Table1[CountryCode],Table1[[#This Row],[CountryCode]],Table1[z-score])</f>
        <v>-0.76001533806857513</v>
      </c>
      <c r="L188" t="e">
        <f>VLOOKUP(Table1[[#This Row],[CountryCode]],[1]!Table1[#All],1,FALSE)</f>
        <v>#REF!</v>
      </c>
    </row>
    <row r="189" spans="1:12" hidden="1" x14ac:dyDescent="0.3">
      <c r="A189" t="s">
        <v>21</v>
      </c>
      <c r="B189" t="s">
        <v>22</v>
      </c>
      <c r="C189" t="s">
        <v>9</v>
      </c>
      <c r="D189" t="s">
        <v>10</v>
      </c>
      <c r="E189">
        <v>1992</v>
      </c>
      <c r="F189" s="1">
        <v>100</v>
      </c>
      <c r="G189">
        <v>1990</v>
      </c>
      <c r="H189">
        <f>AVERAGEIFS(Table1[value],Table1[IndicatorCode],Table1[[#This Row],[IndicatorCode]])</f>
        <v>99.756410256410263</v>
      </c>
      <c r="I189" cm="1">
        <f t="array" ref="I189">_xlfn.STDEV.P(IF(Table1[IndicatorCode]=Table1[[#This Row],[IndicatorCode]],Table1[value]))</f>
        <v>1.1047979755287356</v>
      </c>
      <c r="J189">
        <f>(Table1[[#This Row],[value]] - Table1[[#This Row],[mean]]) / Table1[[#This Row],[std_dev]]</f>
        <v>0.22048351733552002</v>
      </c>
      <c r="K189">
        <f>AVERAGEIF(Table1[CountryCode],Table1[[#This Row],[CountryCode]],Table1[z-score])</f>
        <v>-0.76001533806857513</v>
      </c>
      <c r="L189" t="e">
        <f>VLOOKUP(Table1[[#This Row],[CountryCode]],[1]!Table1[#All],1,FALSE)</f>
        <v>#REF!</v>
      </c>
    </row>
    <row r="190" spans="1:12" hidden="1" x14ac:dyDescent="0.3">
      <c r="A190" t="s">
        <v>21</v>
      </c>
      <c r="B190" t="s">
        <v>22</v>
      </c>
      <c r="C190" t="s">
        <v>9</v>
      </c>
      <c r="D190" t="s">
        <v>10</v>
      </c>
      <c r="E190">
        <v>1993</v>
      </c>
      <c r="F190" s="1">
        <v>100</v>
      </c>
      <c r="G190">
        <v>1990</v>
      </c>
      <c r="H190">
        <f>AVERAGEIFS(Table1[value],Table1[IndicatorCode],Table1[[#This Row],[IndicatorCode]])</f>
        <v>99.756410256410263</v>
      </c>
      <c r="I190" cm="1">
        <f t="array" ref="I190">_xlfn.STDEV.P(IF(Table1[IndicatorCode]=Table1[[#This Row],[IndicatorCode]],Table1[value]))</f>
        <v>1.1047979755287356</v>
      </c>
      <c r="J190">
        <f>(Table1[[#This Row],[value]] - Table1[[#This Row],[mean]]) / Table1[[#This Row],[std_dev]]</f>
        <v>0.22048351733552002</v>
      </c>
      <c r="K190">
        <f>AVERAGEIF(Table1[CountryCode],Table1[[#This Row],[CountryCode]],Table1[z-score])</f>
        <v>-0.76001533806857513</v>
      </c>
      <c r="L190" t="e">
        <f>VLOOKUP(Table1[[#This Row],[CountryCode]],[1]!Table1[#All],1,FALSE)</f>
        <v>#REF!</v>
      </c>
    </row>
    <row r="191" spans="1:12" hidden="1" x14ac:dyDescent="0.3">
      <c r="A191" t="s">
        <v>21</v>
      </c>
      <c r="B191" t="s">
        <v>22</v>
      </c>
      <c r="C191" t="s">
        <v>9</v>
      </c>
      <c r="D191" t="s">
        <v>10</v>
      </c>
      <c r="E191">
        <v>1994</v>
      </c>
      <c r="F191" s="1">
        <v>100</v>
      </c>
      <c r="G191">
        <v>1990</v>
      </c>
      <c r="H191">
        <f>AVERAGEIFS(Table1[value],Table1[IndicatorCode],Table1[[#This Row],[IndicatorCode]])</f>
        <v>99.756410256410263</v>
      </c>
      <c r="I191" cm="1">
        <f t="array" ref="I191">_xlfn.STDEV.P(IF(Table1[IndicatorCode]=Table1[[#This Row],[IndicatorCode]],Table1[value]))</f>
        <v>1.1047979755287356</v>
      </c>
      <c r="J191">
        <f>(Table1[[#This Row],[value]] - Table1[[#This Row],[mean]]) / Table1[[#This Row],[std_dev]]</f>
        <v>0.22048351733552002</v>
      </c>
      <c r="K191">
        <f>AVERAGEIF(Table1[CountryCode],Table1[[#This Row],[CountryCode]],Table1[z-score])</f>
        <v>-0.76001533806857513</v>
      </c>
      <c r="L191" t="e">
        <f>VLOOKUP(Table1[[#This Row],[CountryCode]],[1]!Table1[#All],1,FALSE)</f>
        <v>#REF!</v>
      </c>
    </row>
    <row r="192" spans="1:12" hidden="1" x14ac:dyDescent="0.3">
      <c r="A192" t="s">
        <v>21</v>
      </c>
      <c r="B192" t="s">
        <v>22</v>
      </c>
      <c r="C192" t="s">
        <v>9</v>
      </c>
      <c r="D192" t="s">
        <v>10</v>
      </c>
      <c r="E192">
        <v>1995</v>
      </c>
      <c r="F192" s="1">
        <v>100</v>
      </c>
      <c r="G192">
        <v>1990</v>
      </c>
      <c r="H192">
        <f>AVERAGEIFS(Table1[value],Table1[IndicatorCode],Table1[[#This Row],[IndicatorCode]])</f>
        <v>99.756410256410263</v>
      </c>
      <c r="I192" cm="1">
        <f t="array" ref="I192">_xlfn.STDEV.P(IF(Table1[IndicatorCode]=Table1[[#This Row],[IndicatorCode]],Table1[value]))</f>
        <v>1.1047979755287356</v>
      </c>
      <c r="J192">
        <f>(Table1[[#This Row],[value]] - Table1[[#This Row],[mean]]) / Table1[[#This Row],[std_dev]]</f>
        <v>0.22048351733552002</v>
      </c>
      <c r="K192">
        <f>AVERAGEIF(Table1[CountryCode],Table1[[#This Row],[CountryCode]],Table1[z-score])</f>
        <v>-0.76001533806857513</v>
      </c>
      <c r="L192" t="e">
        <f>VLOOKUP(Table1[[#This Row],[CountryCode]],[1]!Table1[#All],1,FALSE)</f>
        <v>#REF!</v>
      </c>
    </row>
    <row r="193" spans="1:12" hidden="1" x14ac:dyDescent="0.3">
      <c r="A193" t="s">
        <v>21</v>
      </c>
      <c r="B193" t="s">
        <v>22</v>
      </c>
      <c r="C193" t="s">
        <v>9</v>
      </c>
      <c r="D193" t="s">
        <v>10</v>
      </c>
      <c r="E193">
        <v>1996</v>
      </c>
      <c r="F193" s="1">
        <v>100</v>
      </c>
      <c r="G193">
        <v>1990</v>
      </c>
      <c r="H193">
        <f>AVERAGEIFS(Table1[value],Table1[IndicatorCode],Table1[[#This Row],[IndicatorCode]])</f>
        <v>99.756410256410263</v>
      </c>
      <c r="I193" cm="1">
        <f t="array" ref="I193">_xlfn.STDEV.P(IF(Table1[IndicatorCode]=Table1[[#This Row],[IndicatorCode]],Table1[value]))</f>
        <v>1.1047979755287356</v>
      </c>
      <c r="J193">
        <f>(Table1[[#This Row],[value]] - Table1[[#This Row],[mean]]) / Table1[[#This Row],[std_dev]]</f>
        <v>0.22048351733552002</v>
      </c>
      <c r="K193">
        <f>AVERAGEIF(Table1[CountryCode],Table1[[#This Row],[CountryCode]],Table1[z-score])</f>
        <v>-0.76001533806857513</v>
      </c>
      <c r="L193" t="e">
        <f>VLOOKUP(Table1[[#This Row],[CountryCode]],[1]!Table1[#All],1,FALSE)</f>
        <v>#REF!</v>
      </c>
    </row>
    <row r="194" spans="1:12" hidden="1" x14ac:dyDescent="0.3">
      <c r="A194" t="s">
        <v>21</v>
      </c>
      <c r="B194" t="s">
        <v>22</v>
      </c>
      <c r="C194" t="s">
        <v>9</v>
      </c>
      <c r="D194" t="s">
        <v>10</v>
      </c>
      <c r="E194">
        <v>1997</v>
      </c>
      <c r="F194" s="1">
        <v>100</v>
      </c>
      <c r="G194">
        <v>2000</v>
      </c>
      <c r="H194">
        <f>AVERAGEIFS(Table1[value],Table1[IndicatorCode],Table1[[#This Row],[IndicatorCode]])</f>
        <v>99.756410256410263</v>
      </c>
      <c r="I194" cm="1">
        <f t="array" ref="I194">_xlfn.STDEV.P(IF(Table1[IndicatorCode]=Table1[[#This Row],[IndicatorCode]],Table1[value]))</f>
        <v>1.1047979755287356</v>
      </c>
      <c r="J194">
        <f>(Table1[[#This Row],[value]] - Table1[[#This Row],[mean]]) / Table1[[#This Row],[std_dev]]</f>
        <v>0.22048351733552002</v>
      </c>
      <c r="K194">
        <f>AVERAGEIF(Table1[CountryCode],Table1[[#This Row],[CountryCode]],Table1[z-score])</f>
        <v>-0.76001533806857513</v>
      </c>
      <c r="L194" t="e">
        <f>VLOOKUP(Table1[[#This Row],[CountryCode]],[1]!Table1[#All],1,FALSE)</f>
        <v>#REF!</v>
      </c>
    </row>
    <row r="195" spans="1:12" hidden="1" x14ac:dyDescent="0.3">
      <c r="A195" t="s">
        <v>21</v>
      </c>
      <c r="B195" t="s">
        <v>22</v>
      </c>
      <c r="C195" t="s">
        <v>9</v>
      </c>
      <c r="D195" t="s">
        <v>10</v>
      </c>
      <c r="E195">
        <v>1998</v>
      </c>
      <c r="F195" s="1">
        <v>100</v>
      </c>
      <c r="G195">
        <v>2000</v>
      </c>
      <c r="H195">
        <f>AVERAGEIFS(Table1[value],Table1[IndicatorCode],Table1[[#This Row],[IndicatorCode]])</f>
        <v>99.756410256410263</v>
      </c>
      <c r="I195" cm="1">
        <f t="array" ref="I195">_xlfn.STDEV.P(IF(Table1[IndicatorCode]=Table1[[#This Row],[IndicatorCode]],Table1[value]))</f>
        <v>1.1047979755287356</v>
      </c>
      <c r="J195">
        <f>(Table1[[#This Row],[value]] - Table1[[#This Row],[mean]]) / Table1[[#This Row],[std_dev]]</f>
        <v>0.22048351733552002</v>
      </c>
      <c r="K195">
        <f>AVERAGEIF(Table1[CountryCode],Table1[[#This Row],[CountryCode]],Table1[z-score])</f>
        <v>-0.76001533806857513</v>
      </c>
      <c r="L195" t="e">
        <f>VLOOKUP(Table1[[#This Row],[CountryCode]],[1]!Table1[#All],1,FALSE)</f>
        <v>#REF!</v>
      </c>
    </row>
    <row r="196" spans="1:12" hidden="1" x14ac:dyDescent="0.3">
      <c r="A196" t="s">
        <v>21</v>
      </c>
      <c r="B196" t="s">
        <v>22</v>
      </c>
      <c r="C196" t="s">
        <v>9</v>
      </c>
      <c r="D196" t="s">
        <v>10</v>
      </c>
      <c r="E196">
        <v>1999</v>
      </c>
      <c r="F196" s="1">
        <v>100</v>
      </c>
      <c r="G196">
        <v>2000</v>
      </c>
      <c r="H196">
        <f>AVERAGEIFS(Table1[value],Table1[IndicatorCode],Table1[[#This Row],[IndicatorCode]])</f>
        <v>99.756410256410263</v>
      </c>
      <c r="I196" cm="1">
        <f t="array" ref="I196">_xlfn.STDEV.P(IF(Table1[IndicatorCode]=Table1[[#This Row],[IndicatorCode]],Table1[value]))</f>
        <v>1.1047979755287356</v>
      </c>
      <c r="J196">
        <f>(Table1[[#This Row],[value]] - Table1[[#This Row],[mean]]) / Table1[[#This Row],[std_dev]]</f>
        <v>0.22048351733552002</v>
      </c>
      <c r="K196">
        <f>AVERAGEIF(Table1[CountryCode],Table1[[#This Row],[CountryCode]],Table1[z-score])</f>
        <v>-0.76001533806857513</v>
      </c>
      <c r="L196" t="e">
        <f>VLOOKUP(Table1[[#This Row],[CountryCode]],[1]!Table1[#All],1,FALSE)</f>
        <v>#REF!</v>
      </c>
    </row>
    <row r="197" spans="1:12" hidden="1" x14ac:dyDescent="0.3">
      <c r="A197" t="s">
        <v>21</v>
      </c>
      <c r="B197" t="s">
        <v>22</v>
      </c>
      <c r="C197" t="s">
        <v>9</v>
      </c>
      <c r="D197" t="s">
        <v>10</v>
      </c>
      <c r="E197">
        <v>2000</v>
      </c>
      <c r="F197" s="1">
        <v>88</v>
      </c>
      <c r="G197">
        <v>2000</v>
      </c>
      <c r="H197">
        <f>AVERAGEIFS(Table1[value],Table1[IndicatorCode],Table1[[#This Row],[IndicatorCode]])</f>
        <v>99.756410256410263</v>
      </c>
      <c r="I197" cm="1">
        <f t="array" ref="I197">_xlfn.STDEV.P(IF(Table1[IndicatorCode]=Table1[[#This Row],[IndicatorCode]],Table1[value]))</f>
        <v>1.1047979755287356</v>
      </c>
      <c r="J197">
        <f>(Table1[[#This Row],[value]] - Table1[[#This Row],[mean]]) / Table1[[#This Row],[std_dev]]</f>
        <v>-10.641230810351427</v>
      </c>
      <c r="K197">
        <f>AVERAGEIF(Table1[CountryCode],Table1[[#This Row],[CountryCode]],Table1[z-score])</f>
        <v>-0.76001533806857513</v>
      </c>
      <c r="L197" t="e">
        <f>VLOOKUP(Table1[[#This Row],[CountryCode]],[1]!Table1[#All],1,FALSE)</f>
        <v>#REF!</v>
      </c>
    </row>
    <row r="198" spans="1:12" hidden="1" x14ac:dyDescent="0.3">
      <c r="A198" t="s">
        <v>21</v>
      </c>
      <c r="B198" t="s">
        <v>22</v>
      </c>
      <c r="C198" t="s">
        <v>9</v>
      </c>
      <c r="D198" t="s">
        <v>10</v>
      </c>
      <c r="E198">
        <v>2001</v>
      </c>
      <c r="F198" s="1">
        <v>89</v>
      </c>
      <c r="G198">
        <v>2000</v>
      </c>
      <c r="H198">
        <f>AVERAGEIFS(Table1[value],Table1[IndicatorCode],Table1[[#This Row],[IndicatorCode]])</f>
        <v>99.756410256410263</v>
      </c>
      <c r="I198" cm="1">
        <f t="array" ref="I198">_xlfn.STDEV.P(IF(Table1[IndicatorCode]=Table1[[#This Row],[IndicatorCode]],Table1[value]))</f>
        <v>1.1047979755287356</v>
      </c>
      <c r="J198">
        <f>(Table1[[#This Row],[value]] - Table1[[#This Row],[mean]]) / Table1[[#This Row],[std_dev]]</f>
        <v>-9.7360879497108481</v>
      </c>
      <c r="K198">
        <f>AVERAGEIF(Table1[CountryCode],Table1[[#This Row],[CountryCode]],Table1[z-score])</f>
        <v>-0.76001533806857513</v>
      </c>
      <c r="L198" t="e">
        <f>VLOOKUP(Table1[[#This Row],[CountryCode]],[1]!Table1[#All],1,FALSE)</f>
        <v>#REF!</v>
      </c>
    </row>
    <row r="199" spans="1:12" hidden="1" x14ac:dyDescent="0.3">
      <c r="A199" t="s">
        <v>21</v>
      </c>
      <c r="B199" t="s">
        <v>22</v>
      </c>
      <c r="C199" t="s">
        <v>9</v>
      </c>
      <c r="D199" t="s">
        <v>10</v>
      </c>
      <c r="E199">
        <v>2002</v>
      </c>
      <c r="F199" s="1">
        <v>89</v>
      </c>
      <c r="G199">
        <v>2000</v>
      </c>
      <c r="H199">
        <f>AVERAGEIFS(Table1[value],Table1[IndicatorCode],Table1[[#This Row],[IndicatorCode]])</f>
        <v>99.756410256410263</v>
      </c>
      <c r="I199" cm="1">
        <f t="array" ref="I199">_xlfn.STDEV.P(IF(Table1[IndicatorCode]=Table1[[#This Row],[IndicatorCode]],Table1[value]))</f>
        <v>1.1047979755287356</v>
      </c>
      <c r="J199">
        <f>(Table1[[#This Row],[value]] - Table1[[#This Row],[mean]]) / Table1[[#This Row],[std_dev]]</f>
        <v>-9.7360879497108481</v>
      </c>
      <c r="K199">
        <f>AVERAGEIF(Table1[CountryCode],Table1[[#This Row],[CountryCode]],Table1[z-score])</f>
        <v>-0.76001533806857513</v>
      </c>
      <c r="L199" t="e">
        <f>VLOOKUP(Table1[[#This Row],[CountryCode]],[1]!Table1[#All],1,FALSE)</f>
        <v>#REF!</v>
      </c>
    </row>
    <row r="200" spans="1:12" hidden="1" x14ac:dyDescent="0.3">
      <c r="A200" t="s">
        <v>21</v>
      </c>
      <c r="B200" t="s">
        <v>22</v>
      </c>
      <c r="C200" t="s">
        <v>9</v>
      </c>
      <c r="D200" t="s">
        <v>10</v>
      </c>
      <c r="E200">
        <v>2003</v>
      </c>
      <c r="F200" s="1">
        <v>90</v>
      </c>
      <c r="G200">
        <v>2000</v>
      </c>
      <c r="H200">
        <f>AVERAGEIFS(Table1[value],Table1[IndicatorCode],Table1[[#This Row],[IndicatorCode]])</f>
        <v>99.756410256410263</v>
      </c>
      <c r="I200" cm="1">
        <f t="array" ref="I200">_xlfn.STDEV.P(IF(Table1[IndicatorCode]=Table1[[#This Row],[IndicatorCode]],Table1[value]))</f>
        <v>1.1047979755287356</v>
      </c>
      <c r="J200">
        <f>(Table1[[#This Row],[value]] - Table1[[#This Row],[mean]]) / Table1[[#This Row],[std_dev]]</f>
        <v>-8.8309450890702692</v>
      </c>
      <c r="K200">
        <f>AVERAGEIF(Table1[CountryCode],Table1[[#This Row],[CountryCode]],Table1[z-score])</f>
        <v>-0.76001533806857513</v>
      </c>
      <c r="L200" t="e">
        <f>VLOOKUP(Table1[[#This Row],[CountryCode]],[1]!Table1[#All],1,FALSE)</f>
        <v>#REF!</v>
      </c>
    </row>
    <row r="201" spans="1:12" hidden="1" x14ac:dyDescent="0.3">
      <c r="A201" t="s">
        <v>21</v>
      </c>
      <c r="B201" t="s">
        <v>22</v>
      </c>
      <c r="C201" t="s">
        <v>9</v>
      </c>
      <c r="D201" t="s">
        <v>10</v>
      </c>
      <c r="E201">
        <v>2004</v>
      </c>
      <c r="F201" s="1">
        <v>90</v>
      </c>
      <c r="G201">
        <v>2000</v>
      </c>
      <c r="H201">
        <f>AVERAGEIFS(Table1[value],Table1[IndicatorCode],Table1[[#This Row],[IndicatorCode]])</f>
        <v>99.756410256410263</v>
      </c>
      <c r="I201" cm="1">
        <f t="array" ref="I201">_xlfn.STDEV.P(IF(Table1[IndicatorCode]=Table1[[#This Row],[IndicatorCode]],Table1[value]))</f>
        <v>1.1047979755287356</v>
      </c>
      <c r="J201">
        <f>(Table1[[#This Row],[value]] - Table1[[#This Row],[mean]]) / Table1[[#This Row],[std_dev]]</f>
        <v>-8.8309450890702692</v>
      </c>
      <c r="K201">
        <f>AVERAGEIF(Table1[CountryCode],Table1[[#This Row],[CountryCode]],Table1[z-score])</f>
        <v>-0.76001533806857513</v>
      </c>
      <c r="L201" t="e">
        <f>VLOOKUP(Table1[[#This Row],[CountryCode]],[1]!Table1[#All],1,FALSE)</f>
        <v>#REF!</v>
      </c>
    </row>
    <row r="202" spans="1:12" hidden="1" x14ac:dyDescent="0.3">
      <c r="A202" t="s">
        <v>21</v>
      </c>
      <c r="B202" t="s">
        <v>22</v>
      </c>
      <c r="C202" t="s">
        <v>9</v>
      </c>
      <c r="D202" t="s">
        <v>10</v>
      </c>
      <c r="E202">
        <v>2005</v>
      </c>
      <c r="F202" s="1">
        <v>91</v>
      </c>
      <c r="G202">
        <v>2000</v>
      </c>
      <c r="H202">
        <f>AVERAGEIFS(Table1[value],Table1[IndicatorCode],Table1[[#This Row],[IndicatorCode]])</f>
        <v>99.756410256410263</v>
      </c>
      <c r="I202" cm="1">
        <f t="array" ref="I202">_xlfn.STDEV.P(IF(Table1[IndicatorCode]=Table1[[#This Row],[IndicatorCode]],Table1[value]))</f>
        <v>1.1047979755287356</v>
      </c>
      <c r="J202">
        <f>(Table1[[#This Row],[value]] - Table1[[#This Row],[mean]]) / Table1[[#This Row],[std_dev]]</f>
        <v>-7.9258022284296903</v>
      </c>
      <c r="K202">
        <f>AVERAGEIF(Table1[CountryCode],Table1[[#This Row],[CountryCode]],Table1[z-score])</f>
        <v>-0.76001533806857513</v>
      </c>
      <c r="L202" t="e">
        <f>VLOOKUP(Table1[[#This Row],[CountryCode]],[1]!Table1[#All],1,FALSE)</f>
        <v>#REF!</v>
      </c>
    </row>
    <row r="203" spans="1:12" hidden="1" x14ac:dyDescent="0.3">
      <c r="A203" t="s">
        <v>21</v>
      </c>
      <c r="B203" t="s">
        <v>22</v>
      </c>
      <c r="C203" t="s">
        <v>9</v>
      </c>
      <c r="D203" t="s">
        <v>10</v>
      </c>
      <c r="E203">
        <v>2006</v>
      </c>
      <c r="F203" s="1">
        <v>91</v>
      </c>
      <c r="G203">
        <v>2000</v>
      </c>
      <c r="H203">
        <f>AVERAGEIFS(Table1[value],Table1[IndicatorCode],Table1[[#This Row],[IndicatorCode]])</f>
        <v>99.756410256410263</v>
      </c>
      <c r="I203" cm="1">
        <f t="array" ref="I203">_xlfn.STDEV.P(IF(Table1[IndicatorCode]=Table1[[#This Row],[IndicatorCode]],Table1[value]))</f>
        <v>1.1047979755287356</v>
      </c>
      <c r="J203">
        <f>(Table1[[#This Row],[value]] - Table1[[#This Row],[mean]]) / Table1[[#This Row],[std_dev]]</f>
        <v>-7.9258022284296903</v>
      </c>
      <c r="K203">
        <f>AVERAGEIF(Table1[CountryCode],Table1[[#This Row],[CountryCode]],Table1[z-score])</f>
        <v>-0.76001533806857513</v>
      </c>
      <c r="L203" t="e">
        <f>VLOOKUP(Table1[[#This Row],[CountryCode]],[1]!Table1[#All],1,FALSE)</f>
        <v>#REF!</v>
      </c>
    </row>
    <row r="204" spans="1:12" hidden="1" x14ac:dyDescent="0.3">
      <c r="A204" t="s">
        <v>21</v>
      </c>
      <c r="B204" t="s">
        <v>22</v>
      </c>
      <c r="C204" t="s">
        <v>9</v>
      </c>
      <c r="D204" t="s">
        <v>10</v>
      </c>
      <c r="E204">
        <v>2007</v>
      </c>
      <c r="F204" s="1">
        <v>92</v>
      </c>
      <c r="G204">
        <v>2010</v>
      </c>
      <c r="H204">
        <f>AVERAGEIFS(Table1[value],Table1[IndicatorCode],Table1[[#This Row],[IndicatorCode]])</f>
        <v>99.756410256410263</v>
      </c>
      <c r="I204" cm="1">
        <f t="array" ref="I204">_xlfn.STDEV.P(IF(Table1[IndicatorCode]=Table1[[#This Row],[IndicatorCode]],Table1[value]))</f>
        <v>1.1047979755287356</v>
      </c>
      <c r="J204">
        <f>(Table1[[#This Row],[value]] - Table1[[#This Row],[mean]]) / Table1[[#This Row],[std_dev]]</f>
        <v>-7.0206593677891114</v>
      </c>
      <c r="K204">
        <f>AVERAGEIF(Table1[CountryCode],Table1[[#This Row],[CountryCode]],Table1[z-score])</f>
        <v>-0.76001533806857513</v>
      </c>
      <c r="L204" t="e">
        <f>VLOOKUP(Table1[[#This Row],[CountryCode]],[1]!Table1[#All],1,FALSE)</f>
        <v>#REF!</v>
      </c>
    </row>
    <row r="205" spans="1:12" hidden="1" x14ac:dyDescent="0.3">
      <c r="A205" t="s">
        <v>21</v>
      </c>
      <c r="B205" t="s">
        <v>22</v>
      </c>
      <c r="C205" t="s">
        <v>9</v>
      </c>
      <c r="D205" t="s">
        <v>10</v>
      </c>
      <c r="E205">
        <v>2008</v>
      </c>
      <c r="F205" s="1">
        <v>92</v>
      </c>
      <c r="G205">
        <v>2010</v>
      </c>
      <c r="H205">
        <f>AVERAGEIFS(Table1[value],Table1[IndicatorCode],Table1[[#This Row],[IndicatorCode]])</f>
        <v>99.756410256410263</v>
      </c>
      <c r="I205" cm="1">
        <f t="array" ref="I205">_xlfn.STDEV.P(IF(Table1[IndicatorCode]=Table1[[#This Row],[IndicatorCode]],Table1[value]))</f>
        <v>1.1047979755287356</v>
      </c>
      <c r="J205">
        <f>(Table1[[#This Row],[value]] - Table1[[#This Row],[mean]]) / Table1[[#This Row],[std_dev]]</f>
        <v>-7.0206593677891114</v>
      </c>
      <c r="K205">
        <f>AVERAGEIF(Table1[CountryCode],Table1[[#This Row],[CountryCode]],Table1[z-score])</f>
        <v>-0.76001533806857513</v>
      </c>
      <c r="L205" t="e">
        <f>VLOOKUP(Table1[[#This Row],[CountryCode]],[1]!Table1[#All],1,FALSE)</f>
        <v>#REF!</v>
      </c>
    </row>
    <row r="206" spans="1:12" hidden="1" x14ac:dyDescent="0.3">
      <c r="A206" t="s">
        <v>21</v>
      </c>
      <c r="B206" t="s">
        <v>22</v>
      </c>
      <c r="C206" t="s">
        <v>9</v>
      </c>
      <c r="D206" t="s">
        <v>10</v>
      </c>
      <c r="E206">
        <v>2009</v>
      </c>
      <c r="F206" s="1">
        <v>93</v>
      </c>
      <c r="G206">
        <v>2010</v>
      </c>
      <c r="H206">
        <f>AVERAGEIFS(Table1[value],Table1[IndicatorCode],Table1[[#This Row],[IndicatorCode]])</f>
        <v>99.756410256410263</v>
      </c>
      <c r="I206" cm="1">
        <f t="array" ref="I206">_xlfn.STDEV.P(IF(Table1[IndicatorCode]=Table1[[#This Row],[IndicatorCode]],Table1[value]))</f>
        <v>1.1047979755287356</v>
      </c>
      <c r="J206">
        <f>(Table1[[#This Row],[value]] - Table1[[#This Row],[mean]]) / Table1[[#This Row],[std_dev]]</f>
        <v>-6.1155165071485325</v>
      </c>
      <c r="K206">
        <f>AVERAGEIF(Table1[CountryCode],Table1[[#This Row],[CountryCode]],Table1[z-score])</f>
        <v>-0.76001533806857513</v>
      </c>
      <c r="L206" t="e">
        <f>VLOOKUP(Table1[[#This Row],[CountryCode]],[1]!Table1[#All],1,FALSE)</f>
        <v>#REF!</v>
      </c>
    </row>
    <row r="207" spans="1:12" hidden="1" x14ac:dyDescent="0.3">
      <c r="A207" t="s">
        <v>21</v>
      </c>
      <c r="B207" t="s">
        <v>22</v>
      </c>
      <c r="C207" t="s">
        <v>9</v>
      </c>
      <c r="D207" t="s">
        <v>10</v>
      </c>
      <c r="E207">
        <v>2010</v>
      </c>
      <c r="F207" s="1">
        <v>94</v>
      </c>
      <c r="G207">
        <v>2010</v>
      </c>
      <c r="H207">
        <f>AVERAGEIFS(Table1[value],Table1[IndicatorCode],Table1[[#This Row],[IndicatorCode]])</f>
        <v>99.756410256410263</v>
      </c>
      <c r="I207" cm="1">
        <f t="array" ref="I207">_xlfn.STDEV.P(IF(Table1[IndicatorCode]=Table1[[#This Row],[IndicatorCode]],Table1[value]))</f>
        <v>1.1047979755287356</v>
      </c>
      <c r="J207">
        <f>(Table1[[#This Row],[value]] - Table1[[#This Row],[mean]]) / Table1[[#This Row],[std_dev]]</f>
        <v>-5.2103736465079535</v>
      </c>
      <c r="K207">
        <f>AVERAGEIF(Table1[CountryCode],Table1[[#This Row],[CountryCode]],Table1[z-score])</f>
        <v>-0.76001533806857513</v>
      </c>
      <c r="L207" t="e">
        <f>VLOOKUP(Table1[[#This Row],[CountryCode]],[1]!Table1[#All],1,FALSE)</f>
        <v>#REF!</v>
      </c>
    </row>
    <row r="208" spans="1:12" hidden="1" x14ac:dyDescent="0.3">
      <c r="A208" t="s">
        <v>21</v>
      </c>
      <c r="B208" t="s">
        <v>22</v>
      </c>
      <c r="C208" t="s">
        <v>9</v>
      </c>
      <c r="D208" t="s">
        <v>10</v>
      </c>
      <c r="E208">
        <v>2011</v>
      </c>
      <c r="F208" s="1">
        <v>94</v>
      </c>
      <c r="G208">
        <v>2010</v>
      </c>
      <c r="H208">
        <f>AVERAGEIFS(Table1[value],Table1[IndicatorCode],Table1[[#This Row],[IndicatorCode]])</f>
        <v>99.756410256410263</v>
      </c>
      <c r="I208" cm="1">
        <f t="array" ref="I208">_xlfn.STDEV.P(IF(Table1[IndicatorCode]=Table1[[#This Row],[IndicatorCode]],Table1[value]))</f>
        <v>1.1047979755287356</v>
      </c>
      <c r="J208">
        <f>(Table1[[#This Row],[value]] - Table1[[#This Row],[mean]]) / Table1[[#This Row],[std_dev]]</f>
        <v>-5.2103736465079535</v>
      </c>
      <c r="K208">
        <f>AVERAGEIF(Table1[CountryCode],Table1[[#This Row],[CountryCode]],Table1[z-score])</f>
        <v>-0.76001533806857513</v>
      </c>
      <c r="L208" t="e">
        <f>VLOOKUP(Table1[[#This Row],[CountryCode]],[1]!Table1[#All],1,FALSE)</f>
        <v>#REF!</v>
      </c>
    </row>
    <row r="209" spans="1:12" hidden="1" x14ac:dyDescent="0.3">
      <c r="A209" t="s">
        <v>21</v>
      </c>
      <c r="B209" t="s">
        <v>22</v>
      </c>
      <c r="C209" t="s">
        <v>9</v>
      </c>
      <c r="D209" t="s">
        <v>10</v>
      </c>
      <c r="E209">
        <v>2012</v>
      </c>
      <c r="F209" s="1">
        <v>95</v>
      </c>
      <c r="G209">
        <v>2010</v>
      </c>
      <c r="H209">
        <f>AVERAGEIFS(Table1[value],Table1[IndicatorCode],Table1[[#This Row],[IndicatorCode]])</f>
        <v>99.756410256410263</v>
      </c>
      <c r="I209" cm="1">
        <f t="array" ref="I209">_xlfn.STDEV.P(IF(Table1[IndicatorCode]=Table1[[#This Row],[IndicatorCode]],Table1[value]))</f>
        <v>1.1047979755287356</v>
      </c>
      <c r="J209">
        <f>(Table1[[#This Row],[value]] - Table1[[#This Row],[mean]]) / Table1[[#This Row],[std_dev]]</f>
        <v>-4.3052307858673746</v>
      </c>
      <c r="K209">
        <f>AVERAGEIF(Table1[CountryCode],Table1[[#This Row],[CountryCode]],Table1[z-score])</f>
        <v>-0.76001533806857513</v>
      </c>
      <c r="L209" t="e">
        <f>VLOOKUP(Table1[[#This Row],[CountryCode]],[1]!Table1[#All],1,FALSE)</f>
        <v>#REF!</v>
      </c>
    </row>
    <row r="210" spans="1:12" hidden="1" x14ac:dyDescent="0.3">
      <c r="A210" t="s">
        <v>21</v>
      </c>
      <c r="B210" t="s">
        <v>22</v>
      </c>
      <c r="C210" t="s">
        <v>9</v>
      </c>
      <c r="D210" t="s">
        <v>10</v>
      </c>
      <c r="E210">
        <v>2013</v>
      </c>
      <c r="F210" s="1">
        <v>95</v>
      </c>
      <c r="G210">
        <v>2010</v>
      </c>
      <c r="H210">
        <f>AVERAGEIFS(Table1[value],Table1[IndicatorCode],Table1[[#This Row],[IndicatorCode]])</f>
        <v>99.756410256410263</v>
      </c>
      <c r="I210" cm="1">
        <f t="array" ref="I210">_xlfn.STDEV.P(IF(Table1[IndicatorCode]=Table1[[#This Row],[IndicatorCode]],Table1[value]))</f>
        <v>1.1047979755287356</v>
      </c>
      <c r="J210">
        <f>(Table1[[#This Row],[value]] - Table1[[#This Row],[mean]]) / Table1[[#This Row],[std_dev]]</f>
        <v>-4.3052307858673746</v>
      </c>
      <c r="K210">
        <f>AVERAGEIF(Table1[CountryCode],Table1[[#This Row],[CountryCode]],Table1[z-score])</f>
        <v>-0.76001533806857513</v>
      </c>
      <c r="L210" t="e">
        <f>VLOOKUP(Table1[[#This Row],[CountryCode]],[1]!Table1[#All],1,FALSE)</f>
        <v>#REF!</v>
      </c>
    </row>
    <row r="211" spans="1:12" hidden="1" x14ac:dyDescent="0.3">
      <c r="A211" t="s">
        <v>21</v>
      </c>
      <c r="B211" t="s">
        <v>22</v>
      </c>
      <c r="C211" t="s">
        <v>9</v>
      </c>
      <c r="D211" t="s">
        <v>10</v>
      </c>
      <c r="E211">
        <v>2014</v>
      </c>
      <c r="F211" s="1">
        <v>96</v>
      </c>
      <c r="G211">
        <v>2010</v>
      </c>
      <c r="H211">
        <f>AVERAGEIFS(Table1[value],Table1[IndicatorCode],Table1[[#This Row],[IndicatorCode]])</f>
        <v>99.756410256410263</v>
      </c>
      <c r="I211" cm="1">
        <f t="array" ref="I211">_xlfn.STDEV.P(IF(Table1[IndicatorCode]=Table1[[#This Row],[IndicatorCode]],Table1[value]))</f>
        <v>1.1047979755287356</v>
      </c>
      <c r="J211">
        <f>(Table1[[#This Row],[value]] - Table1[[#This Row],[mean]]) / Table1[[#This Row],[std_dev]]</f>
        <v>-3.4000879252267957</v>
      </c>
      <c r="K211">
        <f>AVERAGEIF(Table1[CountryCode],Table1[[#This Row],[CountryCode]],Table1[z-score])</f>
        <v>-0.76001533806857513</v>
      </c>
      <c r="L211" t="e">
        <f>VLOOKUP(Table1[[#This Row],[CountryCode]],[1]!Table1[#All],1,FALSE)</f>
        <v>#REF!</v>
      </c>
    </row>
    <row r="212" spans="1:12" hidden="1" x14ac:dyDescent="0.3">
      <c r="A212" t="s">
        <v>21</v>
      </c>
      <c r="B212" t="s">
        <v>22</v>
      </c>
      <c r="C212" t="s">
        <v>9</v>
      </c>
      <c r="D212" t="s">
        <v>10</v>
      </c>
      <c r="E212">
        <v>2015</v>
      </c>
      <c r="F212" s="1">
        <v>97</v>
      </c>
      <c r="G212">
        <v>2010</v>
      </c>
      <c r="H212">
        <f>AVERAGEIFS(Table1[value],Table1[IndicatorCode],Table1[[#This Row],[IndicatorCode]])</f>
        <v>99.756410256410263</v>
      </c>
      <c r="I212" cm="1">
        <f t="array" ref="I212">_xlfn.STDEV.P(IF(Table1[IndicatorCode]=Table1[[#This Row],[IndicatorCode]],Table1[value]))</f>
        <v>1.1047979755287356</v>
      </c>
      <c r="J212">
        <f>(Table1[[#This Row],[value]] - Table1[[#This Row],[mean]]) / Table1[[#This Row],[std_dev]]</f>
        <v>-2.4949450645862168</v>
      </c>
      <c r="K212">
        <f>AVERAGEIF(Table1[CountryCode],Table1[[#This Row],[CountryCode]],Table1[z-score])</f>
        <v>-0.76001533806857513</v>
      </c>
      <c r="L212" t="e">
        <f>VLOOKUP(Table1[[#This Row],[CountryCode]],[1]!Table1[#All],1,FALSE)</f>
        <v>#REF!</v>
      </c>
    </row>
    <row r="213" spans="1:12" hidden="1" x14ac:dyDescent="0.3">
      <c r="A213" t="s">
        <v>21</v>
      </c>
      <c r="B213" t="s">
        <v>22</v>
      </c>
      <c r="C213" t="s">
        <v>9</v>
      </c>
      <c r="D213" t="s">
        <v>10</v>
      </c>
      <c r="E213">
        <v>2016</v>
      </c>
      <c r="F213" s="1">
        <v>97</v>
      </c>
      <c r="G213">
        <v>2010</v>
      </c>
      <c r="H213">
        <f>AVERAGEIFS(Table1[value],Table1[IndicatorCode],Table1[[#This Row],[IndicatorCode]])</f>
        <v>99.756410256410263</v>
      </c>
      <c r="I213" cm="1">
        <f t="array" ref="I213">_xlfn.STDEV.P(IF(Table1[IndicatorCode]=Table1[[#This Row],[IndicatorCode]],Table1[value]))</f>
        <v>1.1047979755287356</v>
      </c>
      <c r="J213">
        <f>(Table1[[#This Row],[value]] - Table1[[#This Row],[mean]]) / Table1[[#This Row],[std_dev]]</f>
        <v>-2.4949450645862168</v>
      </c>
      <c r="K213">
        <f>AVERAGEIF(Table1[CountryCode],Table1[[#This Row],[CountryCode]],Table1[z-score])</f>
        <v>-0.76001533806857513</v>
      </c>
      <c r="L213" t="e">
        <f>VLOOKUP(Table1[[#This Row],[CountryCode]],[1]!Table1[#All],1,FALSE)</f>
        <v>#REF!</v>
      </c>
    </row>
    <row r="214" spans="1:12" hidden="1" x14ac:dyDescent="0.3">
      <c r="A214" t="s">
        <v>21</v>
      </c>
      <c r="B214" t="s">
        <v>22</v>
      </c>
      <c r="C214" t="s">
        <v>9</v>
      </c>
      <c r="D214" t="s">
        <v>10</v>
      </c>
      <c r="E214">
        <v>2017</v>
      </c>
      <c r="F214" s="1">
        <v>98</v>
      </c>
      <c r="G214">
        <v>2020</v>
      </c>
      <c r="H214">
        <f>AVERAGEIFS(Table1[value],Table1[IndicatorCode],Table1[[#This Row],[IndicatorCode]])</f>
        <v>99.756410256410263</v>
      </c>
      <c r="I214" cm="1">
        <f t="array" ref="I214">_xlfn.STDEV.P(IF(Table1[IndicatorCode]=Table1[[#This Row],[IndicatorCode]],Table1[value]))</f>
        <v>1.1047979755287356</v>
      </c>
      <c r="J214">
        <f>(Table1[[#This Row],[value]] - Table1[[#This Row],[mean]]) / Table1[[#This Row],[std_dev]]</f>
        <v>-1.5898022039456376</v>
      </c>
      <c r="K214">
        <f>AVERAGEIF(Table1[CountryCode],Table1[[#This Row],[CountryCode]],Table1[z-score])</f>
        <v>-0.76001533806857513</v>
      </c>
      <c r="L214" t="e">
        <f>VLOOKUP(Table1[[#This Row],[CountryCode]],[1]!Table1[#All],1,FALSE)</f>
        <v>#REF!</v>
      </c>
    </row>
    <row r="215" spans="1:12" hidden="1" x14ac:dyDescent="0.3">
      <c r="A215" t="s">
        <v>21</v>
      </c>
      <c r="B215" t="s">
        <v>22</v>
      </c>
      <c r="C215" t="s">
        <v>9</v>
      </c>
      <c r="D215" t="s">
        <v>10</v>
      </c>
      <c r="E215">
        <v>2018</v>
      </c>
      <c r="F215" s="1">
        <v>99</v>
      </c>
      <c r="G215">
        <v>2020</v>
      </c>
      <c r="H215">
        <f>AVERAGEIFS(Table1[value],Table1[IndicatorCode],Table1[[#This Row],[IndicatorCode]])</f>
        <v>99.756410256410263</v>
      </c>
      <c r="I215" cm="1">
        <f t="array" ref="I215">_xlfn.STDEV.P(IF(Table1[IndicatorCode]=Table1[[#This Row],[IndicatorCode]],Table1[value]))</f>
        <v>1.1047979755287356</v>
      </c>
      <c r="J215">
        <f>(Table1[[#This Row],[value]] - Table1[[#This Row],[mean]]) / Table1[[#This Row],[std_dev]]</f>
        <v>-0.68465934330505884</v>
      </c>
      <c r="K215">
        <f>AVERAGEIF(Table1[CountryCode],Table1[[#This Row],[CountryCode]],Table1[z-score])</f>
        <v>-0.76001533806857513</v>
      </c>
      <c r="L215" t="e">
        <f>VLOOKUP(Table1[[#This Row],[CountryCode]],[1]!Table1[#All],1,FALSE)</f>
        <v>#REF!</v>
      </c>
    </row>
    <row r="216" spans="1:12" hidden="1" x14ac:dyDescent="0.3">
      <c r="A216" t="s">
        <v>21</v>
      </c>
      <c r="B216" t="s">
        <v>22</v>
      </c>
      <c r="C216" t="s">
        <v>9</v>
      </c>
      <c r="D216" t="s">
        <v>10</v>
      </c>
      <c r="E216">
        <v>2019</v>
      </c>
      <c r="F216" s="1">
        <v>99</v>
      </c>
      <c r="G216">
        <v>2020</v>
      </c>
      <c r="H216">
        <f>AVERAGEIFS(Table1[value],Table1[IndicatorCode],Table1[[#This Row],[IndicatorCode]])</f>
        <v>99.756410256410263</v>
      </c>
      <c r="I216" cm="1">
        <f t="array" ref="I216">_xlfn.STDEV.P(IF(Table1[IndicatorCode]=Table1[[#This Row],[IndicatorCode]],Table1[value]))</f>
        <v>1.1047979755287356</v>
      </c>
      <c r="J216">
        <f>(Table1[[#This Row],[value]] - Table1[[#This Row],[mean]]) / Table1[[#This Row],[std_dev]]</f>
        <v>-0.68465934330505884</v>
      </c>
      <c r="K216">
        <f>AVERAGEIF(Table1[CountryCode],Table1[[#This Row],[CountryCode]],Table1[z-score])</f>
        <v>-0.76001533806857513</v>
      </c>
      <c r="L216" t="e">
        <f>VLOOKUP(Table1[[#This Row],[CountryCode]],[1]!Table1[#All],1,FALSE)</f>
        <v>#REF!</v>
      </c>
    </row>
    <row r="217" spans="1:12" x14ac:dyDescent="0.3">
      <c r="A217" t="s">
        <v>21</v>
      </c>
      <c r="B217" t="s">
        <v>22</v>
      </c>
      <c r="C217" t="s">
        <v>9</v>
      </c>
      <c r="D217" t="s">
        <v>10</v>
      </c>
      <c r="E217">
        <v>2020</v>
      </c>
      <c r="F217" s="1">
        <v>100</v>
      </c>
      <c r="G217">
        <v>2020</v>
      </c>
      <c r="H217">
        <f>AVERAGEIFS(Table1[value],Table1[IndicatorCode],Table1[[#This Row],[IndicatorCode]])</f>
        <v>99.756410256410263</v>
      </c>
      <c r="I217" cm="1">
        <f t="array" ref="I217">_xlfn.STDEV.P(IF(Table1[IndicatorCode]=Table1[[#This Row],[IndicatorCode]],Table1[value]))</f>
        <v>1.1047979755287356</v>
      </c>
      <c r="J217">
        <f>(Table1[[#This Row],[value]] - Table1[[#This Row],[mean]]) / Table1[[#This Row],[std_dev]]</f>
        <v>0.22048351733552002</v>
      </c>
      <c r="K217">
        <f>AVERAGEIF(Table1[CountryCode],Table1[[#This Row],[CountryCode]],Table1[z-score])</f>
        <v>-0.76001533806857513</v>
      </c>
    </row>
    <row r="218" spans="1:12" hidden="1" x14ac:dyDescent="0.3">
      <c r="A218" t="s">
        <v>21</v>
      </c>
      <c r="B218" t="s">
        <v>22</v>
      </c>
      <c r="C218" t="s">
        <v>9</v>
      </c>
      <c r="D218" t="s">
        <v>10</v>
      </c>
      <c r="E218">
        <v>2021</v>
      </c>
      <c r="F218" s="1">
        <v>100</v>
      </c>
      <c r="G218">
        <v>1990</v>
      </c>
      <c r="H218">
        <f>AVERAGEIFS(Table1[value],Table1[IndicatorCode],Table1[[#This Row],[IndicatorCode]])</f>
        <v>99.756410256410263</v>
      </c>
      <c r="I218" cm="1">
        <f t="array" ref="I218">_xlfn.STDEV.P(IF(Table1[IndicatorCode]=Table1[[#This Row],[IndicatorCode]],Table1[value]))</f>
        <v>1.1047979755287356</v>
      </c>
      <c r="J218">
        <f>(Table1[[#This Row],[value]] - Table1[[#This Row],[mean]]) / Table1[[#This Row],[std_dev]]</f>
        <v>0.22048351733552002</v>
      </c>
      <c r="K218">
        <f>AVERAGEIF(Table1[CountryCode],Table1[[#This Row],[CountryCode]],Table1[z-score])</f>
        <v>-0.76001533806857513</v>
      </c>
      <c r="L218" t="e">
        <f>VLOOKUP(Table1[[#This Row],[CountryCode]],[1]!Table1[#All],1,FALSE)</f>
        <v>#REF!</v>
      </c>
    </row>
    <row r="219" spans="1:12" hidden="1" x14ac:dyDescent="0.3">
      <c r="A219" t="s">
        <v>21</v>
      </c>
      <c r="B219" t="s">
        <v>22</v>
      </c>
      <c r="C219" t="s">
        <v>9</v>
      </c>
      <c r="D219" t="s">
        <v>10</v>
      </c>
      <c r="E219">
        <v>2022</v>
      </c>
      <c r="F219" s="1">
        <v>100</v>
      </c>
      <c r="G219">
        <v>1990</v>
      </c>
      <c r="H219">
        <f>AVERAGEIFS(Table1[value],Table1[IndicatorCode],Table1[[#This Row],[IndicatorCode]])</f>
        <v>99.756410256410263</v>
      </c>
      <c r="I219" cm="1">
        <f t="array" ref="I219">_xlfn.STDEV.P(IF(Table1[IndicatorCode]=Table1[[#This Row],[IndicatorCode]],Table1[value]))</f>
        <v>1.1047979755287356</v>
      </c>
      <c r="J219">
        <f>(Table1[[#This Row],[value]] - Table1[[#This Row],[mean]]) / Table1[[#This Row],[std_dev]]</f>
        <v>0.22048351733552002</v>
      </c>
      <c r="K219">
        <f>AVERAGEIF(Table1[CountryCode],Table1[[#This Row],[CountryCode]],Table1[z-score])</f>
        <v>-0.76001533806857513</v>
      </c>
      <c r="L219" t="e">
        <f>VLOOKUP(Table1[[#This Row],[CountryCode]],[1]!Table1[#All],1,FALSE)</f>
        <v>#REF!</v>
      </c>
    </row>
    <row r="220" spans="1:12" hidden="1" x14ac:dyDescent="0.3">
      <c r="A220" t="s">
        <v>21</v>
      </c>
      <c r="B220" t="s">
        <v>22</v>
      </c>
      <c r="C220" t="s">
        <v>9</v>
      </c>
      <c r="D220" t="s">
        <v>10</v>
      </c>
      <c r="E220">
        <v>2023</v>
      </c>
      <c r="F220" s="1">
        <v>100</v>
      </c>
      <c r="G220">
        <v>1990</v>
      </c>
      <c r="H220">
        <f>AVERAGEIFS(Table1[value],Table1[IndicatorCode],Table1[[#This Row],[IndicatorCode]])</f>
        <v>99.756410256410263</v>
      </c>
      <c r="I220" cm="1">
        <f t="array" ref="I220">_xlfn.STDEV.P(IF(Table1[IndicatorCode]=Table1[[#This Row],[IndicatorCode]],Table1[value]))</f>
        <v>1.1047979755287356</v>
      </c>
      <c r="J220">
        <f>(Table1[[#This Row],[value]] - Table1[[#This Row],[mean]]) / Table1[[#This Row],[std_dev]]</f>
        <v>0.22048351733552002</v>
      </c>
      <c r="K220">
        <f>AVERAGEIF(Table1[CountryCode],Table1[[#This Row],[CountryCode]],Table1[z-score])</f>
        <v>-0.76001533806857513</v>
      </c>
      <c r="L220" t="e">
        <f>VLOOKUP(Table1[[#This Row],[CountryCode]],[1]!Table1[#All],1,FALSE)</f>
        <v>#REF!</v>
      </c>
    </row>
    <row r="221" spans="1:12" hidden="1" x14ac:dyDescent="0.3">
      <c r="A221" t="s">
        <v>23</v>
      </c>
      <c r="B221" t="s">
        <v>24</v>
      </c>
      <c r="C221" t="s">
        <v>9</v>
      </c>
      <c r="D221" t="s">
        <v>10</v>
      </c>
      <c r="E221">
        <v>1990</v>
      </c>
      <c r="F221" s="1">
        <v>100</v>
      </c>
      <c r="G221">
        <v>1990</v>
      </c>
      <c r="H221">
        <f>AVERAGEIFS(Table1[value],Table1[IndicatorCode],Table1[[#This Row],[IndicatorCode]])</f>
        <v>99.756410256410263</v>
      </c>
      <c r="I221" cm="1">
        <f t="array" ref="I221">_xlfn.STDEV.P(IF(Table1[IndicatorCode]=Table1[[#This Row],[IndicatorCode]],Table1[value]))</f>
        <v>1.1047979755287356</v>
      </c>
      <c r="J221">
        <f>(Table1[[#This Row],[value]] - Table1[[#This Row],[mean]]) / Table1[[#This Row],[std_dev]]</f>
        <v>0.22048351733552002</v>
      </c>
      <c r="K221">
        <f>AVERAGEIF(Table1[CountryCode],Table1[[#This Row],[CountryCode]],Table1[z-score])</f>
        <v>-0.44941710005999458</v>
      </c>
      <c r="L221" t="e">
        <f>VLOOKUP(Table1[[#This Row],[CountryCode]],[1]!Table1[#All],1,FALSE)</f>
        <v>#REF!</v>
      </c>
    </row>
    <row r="222" spans="1:12" hidden="1" x14ac:dyDescent="0.3">
      <c r="A222" t="s">
        <v>23</v>
      </c>
      <c r="B222" t="s">
        <v>24</v>
      </c>
      <c r="C222" t="s">
        <v>9</v>
      </c>
      <c r="D222" t="s">
        <v>10</v>
      </c>
      <c r="E222">
        <v>1991</v>
      </c>
      <c r="F222" s="1">
        <v>100</v>
      </c>
      <c r="G222">
        <v>1990</v>
      </c>
      <c r="H222">
        <f>AVERAGEIFS(Table1[value],Table1[IndicatorCode],Table1[[#This Row],[IndicatorCode]])</f>
        <v>99.756410256410263</v>
      </c>
      <c r="I222" cm="1">
        <f t="array" ref="I222">_xlfn.STDEV.P(IF(Table1[IndicatorCode]=Table1[[#This Row],[IndicatorCode]],Table1[value]))</f>
        <v>1.1047979755287356</v>
      </c>
      <c r="J222">
        <f>(Table1[[#This Row],[value]] - Table1[[#This Row],[mean]]) / Table1[[#This Row],[std_dev]]</f>
        <v>0.22048351733552002</v>
      </c>
      <c r="K222">
        <f>AVERAGEIF(Table1[CountryCode],Table1[[#This Row],[CountryCode]],Table1[z-score])</f>
        <v>-0.44941710005999458</v>
      </c>
      <c r="L222" t="e">
        <f>VLOOKUP(Table1[[#This Row],[CountryCode]],[1]!Table1[#All],1,FALSE)</f>
        <v>#REF!</v>
      </c>
    </row>
    <row r="223" spans="1:12" hidden="1" x14ac:dyDescent="0.3">
      <c r="A223" t="s">
        <v>23</v>
      </c>
      <c r="B223" t="s">
        <v>24</v>
      </c>
      <c r="C223" t="s">
        <v>9</v>
      </c>
      <c r="D223" t="s">
        <v>10</v>
      </c>
      <c r="E223">
        <v>1992</v>
      </c>
      <c r="F223" s="1">
        <v>100</v>
      </c>
      <c r="G223">
        <v>1990</v>
      </c>
      <c r="H223">
        <f>AVERAGEIFS(Table1[value],Table1[IndicatorCode],Table1[[#This Row],[IndicatorCode]])</f>
        <v>99.756410256410263</v>
      </c>
      <c r="I223" cm="1">
        <f t="array" ref="I223">_xlfn.STDEV.P(IF(Table1[IndicatorCode]=Table1[[#This Row],[IndicatorCode]],Table1[value]))</f>
        <v>1.1047979755287356</v>
      </c>
      <c r="J223">
        <f>(Table1[[#This Row],[value]] - Table1[[#This Row],[mean]]) / Table1[[#This Row],[std_dev]]</f>
        <v>0.22048351733552002</v>
      </c>
      <c r="K223">
        <f>AVERAGEIF(Table1[CountryCode],Table1[[#This Row],[CountryCode]],Table1[z-score])</f>
        <v>-0.44941710005999458</v>
      </c>
      <c r="L223" t="e">
        <f>VLOOKUP(Table1[[#This Row],[CountryCode]],[1]!Table1[#All],1,FALSE)</f>
        <v>#REF!</v>
      </c>
    </row>
    <row r="224" spans="1:12" hidden="1" x14ac:dyDescent="0.3">
      <c r="A224" t="s">
        <v>23</v>
      </c>
      <c r="B224" t="s">
        <v>24</v>
      </c>
      <c r="C224" t="s">
        <v>9</v>
      </c>
      <c r="D224" t="s">
        <v>10</v>
      </c>
      <c r="E224">
        <v>1993</v>
      </c>
      <c r="F224" s="1">
        <v>100</v>
      </c>
      <c r="G224">
        <v>1990</v>
      </c>
      <c r="H224">
        <f>AVERAGEIFS(Table1[value],Table1[IndicatorCode],Table1[[#This Row],[IndicatorCode]])</f>
        <v>99.756410256410263</v>
      </c>
      <c r="I224" cm="1">
        <f t="array" ref="I224">_xlfn.STDEV.P(IF(Table1[IndicatorCode]=Table1[[#This Row],[IndicatorCode]],Table1[value]))</f>
        <v>1.1047979755287356</v>
      </c>
      <c r="J224">
        <f>(Table1[[#This Row],[value]] - Table1[[#This Row],[mean]]) / Table1[[#This Row],[std_dev]]</f>
        <v>0.22048351733552002</v>
      </c>
      <c r="K224">
        <f>AVERAGEIF(Table1[CountryCode],Table1[[#This Row],[CountryCode]],Table1[z-score])</f>
        <v>-0.44941710005999458</v>
      </c>
      <c r="L224" t="e">
        <f>VLOOKUP(Table1[[#This Row],[CountryCode]],[1]!Table1[#All],1,FALSE)</f>
        <v>#REF!</v>
      </c>
    </row>
    <row r="225" spans="1:12" hidden="1" x14ac:dyDescent="0.3">
      <c r="A225" t="s">
        <v>23</v>
      </c>
      <c r="B225" t="s">
        <v>24</v>
      </c>
      <c r="C225" t="s">
        <v>9</v>
      </c>
      <c r="D225" t="s">
        <v>10</v>
      </c>
      <c r="E225">
        <v>1994</v>
      </c>
      <c r="F225" s="1">
        <v>100</v>
      </c>
      <c r="G225">
        <v>1990</v>
      </c>
      <c r="H225">
        <f>AVERAGEIFS(Table1[value],Table1[IndicatorCode],Table1[[#This Row],[IndicatorCode]])</f>
        <v>99.756410256410263</v>
      </c>
      <c r="I225" cm="1">
        <f t="array" ref="I225">_xlfn.STDEV.P(IF(Table1[IndicatorCode]=Table1[[#This Row],[IndicatorCode]],Table1[value]))</f>
        <v>1.1047979755287356</v>
      </c>
      <c r="J225">
        <f>(Table1[[#This Row],[value]] - Table1[[#This Row],[mean]]) / Table1[[#This Row],[std_dev]]</f>
        <v>0.22048351733552002</v>
      </c>
      <c r="K225">
        <f>AVERAGEIF(Table1[CountryCode],Table1[[#This Row],[CountryCode]],Table1[z-score])</f>
        <v>-0.44941710005999458</v>
      </c>
      <c r="L225" t="e">
        <f>VLOOKUP(Table1[[#This Row],[CountryCode]],[1]!Table1[#All],1,FALSE)</f>
        <v>#REF!</v>
      </c>
    </row>
    <row r="226" spans="1:12" hidden="1" x14ac:dyDescent="0.3">
      <c r="A226" t="s">
        <v>23</v>
      </c>
      <c r="B226" t="s">
        <v>24</v>
      </c>
      <c r="C226" t="s">
        <v>9</v>
      </c>
      <c r="D226" t="s">
        <v>10</v>
      </c>
      <c r="E226">
        <v>1995</v>
      </c>
      <c r="F226" s="1">
        <v>100</v>
      </c>
      <c r="G226">
        <v>1990</v>
      </c>
      <c r="H226">
        <f>AVERAGEIFS(Table1[value],Table1[IndicatorCode],Table1[[#This Row],[IndicatorCode]])</f>
        <v>99.756410256410263</v>
      </c>
      <c r="I226" cm="1">
        <f t="array" ref="I226">_xlfn.STDEV.P(IF(Table1[IndicatorCode]=Table1[[#This Row],[IndicatorCode]],Table1[value]))</f>
        <v>1.1047979755287356</v>
      </c>
      <c r="J226">
        <f>(Table1[[#This Row],[value]] - Table1[[#This Row],[mean]]) / Table1[[#This Row],[std_dev]]</f>
        <v>0.22048351733552002</v>
      </c>
      <c r="K226">
        <f>AVERAGEIF(Table1[CountryCode],Table1[[#This Row],[CountryCode]],Table1[z-score])</f>
        <v>-0.44941710005999458</v>
      </c>
      <c r="L226" t="e">
        <f>VLOOKUP(Table1[[#This Row],[CountryCode]],[1]!Table1[#All],1,FALSE)</f>
        <v>#REF!</v>
      </c>
    </row>
    <row r="227" spans="1:12" hidden="1" x14ac:dyDescent="0.3">
      <c r="A227" t="s">
        <v>23</v>
      </c>
      <c r="B227" t="s">
        <v>24</v>
      </c>
      <c r="C227" t="s">
        <v>9</v>
      </c>
      <c r="D227" t="s">
        <v>10</v>
      </c>
      <c r="E227">
        <v>1996</v>
      </c>
      <c r="F227" s="1">
        <v>100</v>
      </c>
      <c r="G227">
        <v>1990</v>
      </c>
      <c r="H227">
        <f>AVERAGEIFS(Table1[value],Table1[IndicatorCode],Table1[[#This Row],[IndicatorCode]])</f>
        <v>99.756410256410263</v>
      </c>
      <c r="I227" cm="1">
        <f t="array" ref="I227">_xlfn.STDEV.P(IF(Table1[IndicatorCode]=Table1[[#This Row],[IndicatorCode]],Table1[value]))</f>
        <v>1.1047979755287356</v>
      </c>
      <c r="J227">
        <f>(Table1[[#This Row],[value]] - Table1[[#This Row],[mean]]) / Table1[[#This Row],[std_dev]]</f>
        <v>0.22048351733552002</v>
      </c>
      <c r="K227">
        <f>AVERAGEIF(Table1[CountryCode],Table1[[#This Row],[CountryCode]],Table1[z-score])</f>
        <v>-0.44941710005999458</v>
      </c>
      <c r="L227" t="e">
        <f>VLOOKUP(Table1[[#This Row],[CountryCode]],[1]!Table1[#All],1,FALSE)</f>
        <v>#REF!</v>
      </c>
    </row>
    <row r="228" spans="1:12" hidden="1" x14ac:dyDescent="0.3">
      <c r="A228" t="s">
        <v>23</v>
      </c>
      <c r="B228" t="s">
        <v>24</v>
      </c>
      <c r="C228" t="s">
        <v>9</v>
      </c>
      <c r="D228" t="s">
        <v>10</v>
      </c>
      <c r="E228">
        <v>1997</v>
      </c>
      <c r="F228" s="1">
        <v>100</v>
      </c>
      <c r="G228">
        <v>2000</v>
      </c>
      <c r="H228">
        <f>AVERAGEIFS(Table1[value],Table1[IndicatorCode],Table1[[#This Row],[IndicatorCode]])</f>
        <v>99.756410256410263</v>
      </c>
      <c r="I228" cm="1">
        <f t="array" ref="I228">_xlfn.STDEV.P(IF(Table1[IndicatorCode]=Table1[[#This Row],[IndicatorCode]],Table1[value]))</f>
        <v>1.1047979755287356</v>
      </c>
      <c r="J228">
        <f>(Table1[[#This Row],[value]] - Table1[[#This Row],[mean]]) / Table1[[#This Row],[std_dev]]</f>
        <v>0.22048351733552002</v>
      </c>
      <c r="K228">
        <f>AVERAGEIF(Table1[CountryCode],Table1[[#This Row],[CountryCode]],Table1[z-score])</f>
        <v>-0.44941710005999458</v>
      </c>
      <c r="L228" t="e">
        <f>VLOOKUP(Table1[[#This Row],[CountryCode]],[1]!Table1[#All],1,FALSE)</f>
        <v>#REF!</v>
      </c>
    </row>
    <row r="229" spans="1:12" hidden="1" x14ac:dyDescent="0.3">
      <c r="A229" t="s">
        <v>23</v>
      </c>
      <c r="B229" t="s">
        <v>24</v>
      </c>
      <c r="C229" t="s">
        <v>9</v>
      </c>
      <c r="D229" t="s">
        <v>10</v>
      </c>
      <c r="E229">
        <v>1998</v>
      </c>
      <c r="F229" s="1">
        <v>100</v>
      </c>
      <c r="G229">
        <v>2000</v>
      </c>
      <c r="H229">
        <f>AVERAGEIFS(Table1[value],Table1[IndicatorCode],Table1[[#This Row],[IndicatorCode]])</f>
        <v>99.756410256410263</v>
      </c>
      <c r="I229" cm="1">
        <f t="array" ref="I229">_xlfn.STDEV.P(IF(Table1[IndicatorCode]=Table1[[#This Row],[IndicatorCode]],Table1[value]))</f>
        <v>1.1047979755287356</v>
      </c>
      <c r="J229">
        <f>(Table1[[#This Row],[value]] - Table1[[#This Row],[mean]]) / Table1[[#This Row],[std_dev]]</f>
        <v>0.22048351733552002</v>
      </c>
      <c r="K229">
        <f>AVERAGEIF(Table1[CountryCode],Table1[[#This Row],[CountryCode]],Table1[z-score])</f>
        <v>-0.44941710005999458</v>
      </c>
      <c r="L229" t="e">
        <f>VLOOKUP(Table1[[#This Row],[CountryCode]],[1]!Table1[#All],1,FALSE)</f>
        <v>#REF!</v>
      </c>
    </row>
    <row r="230" spans="1:12" hidden="1" x14ac:dyDescent="0.3">
      <c r="A230" t="s">
        <v>23</v>
      </c>
      <c r="B230" t="s">
        <v>24</v>
      </c>
      <c r="C230" t="s">
        <v>9</v>
      </c>
      <c r="D230" t="s">
        <v>10</v>
      </c>
      <c r="E230">
        <v>1999</v>
      </c>
      <c r="F230" s="1">
        <v>100</v>
      </c>
      <c r="G230">
        <v>2000</v>
      </c>
      <c r="H230">
        <f>AVERAGEIFS(Table1[value],Table1[IndicatorCode],Table1[[#This Row],[IndicatorCode]])</f>
        <v>99.756410256410263</v>
      </c>
      <c r="I230" cm="1">
        <f t="array" ref="I230">_xlfn.STDEV.P(IF(Table1[IndicatorCode]=Table1[[#This Row],[IndicatorCode]],Table1[value]))</f>
        <v>1.1047979755287356</v>
      </c>
      <c r="J230">
        <f>(Table1[[#This Row],[value]] - Table1[[#This Row],[mean]]) / Table1[[#This Row],[std_dev]]</f>
        <v>0.22048351733552002</v>
      </c>
      <c r="K230">
        <f>AVERAGEIF(Table1[CountryCode],Table1[[#This Row],[CountryCode]],Table1[z-score])</f>
        <v>-0.44941710005999458</v>
      </c>
      <c r="L230" t="e">
        <f>VLOOKUP(Table1[[#This Row],[CountryCode]],[1]!Table1[#All],1,FALSE)</f>
        <v>#REF!</v>
      </c>
    </row>
    <row r="231" spans="1:12" hidden="1" x14ac:dyDescent="0.3">
      <c r="A231" t="s">
        <v>23</v>
      </c>
      <c r="B231" t="s">
        <v>24</v>
      </c>
      <c r="C231" t="s">
        <v>9</v>
      </c>
      <c r="D231" t="s">
        <v>10</v>
      </c>
      <c r="E231">
        <v>2000</v>
      </c>
      <c r="F231" s="1">
        <v>99</v>
      </c>
      <c r="G231">
        <v>2000</v>
      </c>
      <c r="H231">
        <f>AVERAGEIFS(Table1[value],Table1[IndicatorCode],Table1[[#This Row],[IndicatorCode]])</f>
        <v>99.756410256410263</v>
      </c>
      <c r="I231" cm="1">
        <f t="array" ref="I231">_xlfn.STDEV.P(IF(Table1[IndicatorCode]=Table1[[#This Row],[IndicatorCode]],Table1[value]))</f>
        <v>1.1047979755287356</v>
      </c>
      <c r="J231">
        <f>(Table1[[#This Row],[value]] - Table1[[#This Row],[mean]]) / Table1[[#This Row],[std_dev]]</f>
        <v>-0.68465934330505884</v>
      </c>
      <c r="K231">
        <f>AVERAGEIF(Table1[CountryCode],Table1[[#This Row],[CountryCode]],Table1[z-score])</f>
        <v>-0.44941710005999458</v>
      </c>
      <c r="L231" t="e">
        <f>VLOOKUP(Table1[[#This Row],[CountryCode]],[1]!Table1[#All],1,FALSE)</f>
        <v>#REF!</v>
      </c>
    </row>
    <row r="232" spans="1:12" hidden="1" x14ac:dyDescent="0.3">
      <c r="A232" t="s">
        <v>23</v>
      </c>
      <c r="B232" t="s">
        <v>24</v>
      </c>
      <c r="C232" t="s">
        <v>9</v>
      </c>
      <c r="D232" t="s">
        <v>10</v>
      </c>
      <c r="E232">
        <v>2001</v>
      </c>
      <c r="F232" s="1">
        <v>99</v>
      </c>
      <c r="G232">
        <v>2000</v>
      </c>
      <c r="H232">
        <f>AVERAGEIFS(Table1[value],Table1[IndicatorCode],Table1[[#This Row],[IndicatorCode]])</f>
        <v>99.756410256410263</v>
      </c>
      <c r="I232" cm="1">
        <f t="array" ref="I232">_xlfn.STDEV.P(IF(Table1[IndicatorCode]=Table1[[#This Row],[IndicatorCode]],Table1[value]))</f>
        <v>1.1047979755287356</v>
      </c>
      <c r="J232">
        <f>(Table1[[#This Row],[value]] - Table1[[#This Row],[mean]]) / Table1[[#This Row],[std_dev]]</f>
        <v>-0.68465934330505884</v>
      </c>
      <c r="K232">
        <f>AVERAGEIF(Table1[CountryCode],Table1[[#This Row],[CountryCode]],Table1[z-score])</f>
        <v>-0.44941710005999458</v>
      </c>
      <c r="L232" t="e">
        <f>VLOOKUP(Table1[[#This Row],[CountryCode]],[1]!Table1[#All],1,FALSE)</f>
        <v>#REF!</v>
      </c>
    </row>
    <row r="233" spans="1:12" hidden="1" x14ac:dyDescent="0.3">
      <c r="A233" t="s">
        <v>23</v>
      </c>
      <c r="B233" t="s">
        <v>24</v>
      </c>
      <c r="C233" t="s">
        <v>9</v>
      </c>
      <c r="D233" t="s">
        <v>10</v>
      </c>
      <c r="E233">
        <v>2002</v>
      </c>
      <c r="F233" s="1">
        <v>99</v>
      </c>
      <c r="G233">
        <v>2000</v>
      </c>
      <c r="H233">
        <f>AVERAGEIFS(Table1[value],Table1[IndicatorCode],Table1[[#This Row],[IndicatorCode]])</f>
        <v>99.756410256410263</v>
      </c>
      <c r="I233" cm="1">
        <f t="array" ref="I233">_xlfn.STDEV.P(IF(Table1[IndicatorCode]=Table1[[#This Row],[IndicatorCode]],Table1[value]))</f>
        <v>1.1047979755287356</v>
      </c>
      <c r="J233">
        <f>(Table1[[#This Row],[value]] - Table1[[#This Row],[mean]]) / Table1[[#This Row],[std_dev]]</f>
        <v>-0.68465934330505884</v>
      </c>
      <c r="K233">
        <f>AVERAGEIF(Table1[CountryCode],Table1[[#This Row],[CountryCode]],Table1[z-score])</f>
        <v>-0.44941710005999458</v>
      </c>
      <c r="L233" t="e">
        <f>VLOOKUP(Table1[[#This Row],[CountryCode]],[1]!Table1[#All],1,FALSE)</f>
        <v>#REF!</v>
      </c>
    </row>
    <row r="234" spans="1:12" hidden="1" x14ac:dyDescent="0.3">
      <c r="A234" t="s">
        <v>23</v>
      </c>
      <c r="B234" t="s">
        <v>24</v>
      </c>
      <c r="C234" t="s">
        <v>9</v>
      </c>
      <c r="D234" t="s">
        <v>10</v>
      </c>
      <c r="E234">
        <v>2003</v>
      </c>
      <c r="F234" s="1">
        <v>99</v>
      </c>
      <c r="G234">
        <v>2000</v>
      </c>
      <c r="H234">
        <f>AVERAGEIFS(Table1[value],Table1[IndicatorCode],Table1[[#This Row],[IndicatorCode]])</f>
        <v>99.756410256410263</v>
      </c>
      <c r="I234" cm="1">
        <f t="array" ref="I234">_xlfn.STDEV.P(IF(Table1[IndicatorCode]=Table1[[#This Row],[IndicatorCode]],Table1[value]))</f>
        <v>1.1047979755287356</v>
      </c>
      <c r="J234">
        <f>(Table1[[#This Row],[value]] - Table1[[#This Row],[mean]]) / Table1[[#This Row],[std_dev]]</f>
        <v>-0.68465934330505884</v>
      </c>
      <c r="K234">
        <f>AVERAGEIF(Table1[CountryCode],Table1[[#This Row],[CountryCode]],Table1[z-score])</f>
        <v>-0.44941710005999458</v>
      </c>
      <c r="L234" t="e">
        <f>VLOOKUP(Table1[[#This Row],[CountryCode]],[1]!Table1[#All],1,FALSE)</f>
        <v>#REF!</v>
      </c>
    </row>
    <row r="235" spans="1:12" hidden="1" x14ac:dyDescent="0.3">
      <c r="A235" t="s">
        <v>23</v>
      </c>
      <c r="B235" t="s">
        <v>24</v>
      </c>
      <c r="C235" t="s">
        <v>9</v>
      </c>
      <c r="D235" t="s">
        <v>10</v>
      </c>
      <c r="E235">
        <v>2004</v>
      </c>
      <c r="F235" s="1">
        <v>99</v>
      </c>
      <c r="G235">
        <v>2000</v>
      </c>
      <c r="H235">
        <f>AVERAGEIFS(Table1[value],Table1[IndicatorCode],Table1[[#This Row],[IndicatorCode]])</f>
        <v>99.756410256410263</v>
      </c>
      <c r="I235" cm="1">
        <f t="array" ref="I235">_xlfn.STDEV.P(IF(Table1[IndicatorCode]=Table1[[#This Row],[IndicatorCode]],Table1[value]))</f>
        <v>1.1047979755287356</v>
      </c>
      <c r="J235">
        <f>(Table1[[#This Row],[value]] - Table1[[#This Row],[mean]]) / Table1[[#This Row],[std_dev]]</f>
        <v>-0.68465934330505884</v>
      </c>
      <c r="K235">
        <f>AVERAGEIF(Table1[CountryCode],Table1[[#This Row],[CountryCode]],Table1[z-score])</f>
        <v>-0.44941710005999458</v>
      </c>
      <c r="L235" t="e">
        <f>VLOOKUP(Table1[[#This Row],[CountryCode]],[1]!Table1[#All],1,FALSE)</f>
        <v>#REF!</v>
      </c>
    </row>
    <row r="236" spans="1:12" hidden="1" x14ac:dyDescent="0.3">
      <c r="A236" t="s">
        <v>23</v>
      </c>
      <c r="B236" t="s">
        <v>24</v>
      </c>
      <c r="C236" t="s">
        <v>9</v>
      </c>
      <c r="D236" t="s">
        <v>10</v>
      </c>
      <c r="E236">
        <v>2005</v>
      </c>
      <c r="F236" s="1">
        <v>99</v>
      </c>
      <c r="G236">
        <v>2000</v>
      </c>
      <c r="H236">
        <f>AVERAGEIFS(Table1[value],Table1[IndicatorCode],Table1[[#This Row],[IndicatorCode]])</f>
        <v>99.756410256410263</v>
      </c>
      <c r="I236" cm="1">
        <f t="array" ref="I236">_xlfn.STDEV.P(IF(Table1[IndicatorCode]=Table1[[#This Row],[IndicatorCode]],Table1[value]))</f>
        <v>1.1047979755287356</v>
      </c>
      <c r="J236">
        <f>(Table1[[#This Row],[value]] - Table1[[#This Row],[mean]]) / Table1[[#This Row],[std_dev]]</f>
        <v>-0.68465934330505884</v>
      </c>
      <c r="K236">
        <f>AVERAGEIF(Table1[CountryCode],Table1[[#This Row],[CountryCode]],Table1[z-score])</f>
        <v>-0.44941710005999458</v>
      </c>
      <c r="L236" t="e">
        <f>VLOOKUP(Table1[[#This Row],[CountryCode]],[1]!Table1[#All],1,FALSE)</f>
        <v>#REF!</v>
      </c>
    </row>
    <row r="237" spans="1:12" hidden="1" x14ac:dyDescent="0.3">
      <c r="A237" t="s">
        <v>23</v>
      </c>
      <c r="B237" t="s">
        <v>24</v>
      </c>
      <c r="C237" t="s">
        <v>9</v>
      </c>
      <c r="D237" t="s">
        <v>10</v>
      </c>
      <c r="E237">
        <v>2006</v>
      </c>
      <c r="F237" s="1">
        <v>99</v>
      </c>
      <c r="G237">
        <v>2000</v>
      </c>
      <c r="H237">
        <f>AVERAGEIFS(Table1[value],Table1[IndicatorCode],Table1[[#This Row],[IndicatorCode]])</f>
        <v>99.756410256410263</v>
      </c>
      <c r="I237" cm="1">
        <f t="array" ref="I237">_xlfn.STDEV.P(IF(Table1[IndicatorCode]=Table1[[#This Row],[IndicatorCode]],Table1[value]))</f>
        <v>1.1047979755287356</v>
      </c>
      <c r="J237">
        <f>(Table1[[#This Row],[value]] - Table1[[#This Row],[mean]]) / Table1[[#This Row],[std_dev]]</f>
        <v>-0.68465934330505884</v>
      </c>
      <c r="K237">
        <f>AVERAGEIF(Table1[CountryCode],Table1[[#This Row],[CountryCode]],Table1[z-score])</f>
        <v>-0.44941710005999458</v>
      </c>
      <c r="L237" t="e">
        <f>VLOOKUP(Table1[[#This Row],[CountryCode]],[1]!Table1[#All],1,FALSE)</f>
        <v>#REF!</v>
      </c>
    </row>
    <row r="238" spans="1:12" hidden="1" x14ac:dyDescent="0.3">
      <c r="A238" t="s">
        <v>23</v>
      </c>
      <c r="B238" t="s">
        <v>24</v>
      </c>
      <c r="C238" t="s">
        <v>9</v>
      </c>
      <c r="D238" t="s">
        <v>10</v>
      </c>
      <c r="E238">
        <v>2007</v>
      </c>
      <c r="F238" s="1">
        <v>100</v>
      </c>
      <c r="G238">
        <v>2010</v>
      </c>
      <c r="H238">
        <f>AVERAGEIFS(Table1[value],Table1[IndicatorCode],Table1[[#This Row],[IndicatorCode]])</f>
        <v>99.756410256410263</v>
      </c>
      <c r="I238" cm="1">
        <f t="array" ref="I238">_xlfn.STDEV.P(IF(Table1[IndicatorCode]=Table1[[#This Row],[IndicatorCode]],Table1[value]))</f>
        <v>1.1047979755287356</v>
      </c>
      <c r="J238">
        <f>(Table1[[#This Row],[value]] - Table1[[#This Row],[mean]]) / Table1[[#This Row],[std_dev]]</f>
        <v>0.22048351733552002</v>
      </c>
      <c r="K238">
        <f>AVERAGEIF(Table1[CountryCode],Table1[[#This Row],[CountryCode]],Table1[z-score])</f>
        <v>-0.44941710005999458</v>
      </c>
      <c r="L238" t="e">
        <f>VLOOKUP(Table1[[#This Row],[CountryCode]],[1]!Table1[#All],1,FALSE)</f>
        <v>#REF!</v>
      </c>
    </row>
    <row r="239" spans="1:12" hidden="1" x14ac:dyDescent="0.3">
      <c r="A239" t="s">
        <v>23</v>
      </c>
      <c r="B239" t="s">
        <v>24</v>
      </c>
      <c r="C239" t="s">
        <v>9</v>
      </c>
      <c r="D239" t="s">
        <v>10</v>
      </c>
      <c r="E239">
        <v>2008</v>
      </c>
      <c r="F239" s="1">
        <v>99</v>
      </c>
      <c r="G239">
        <v>2010</v>
      </c>
      <c r="H239">
        <f>AVERAGEIFS(Table1[value],Table1[IndicatorCode],Table1[[#This Row],[IndicatorCode]])</f>
        <v>99.756410256410263</v>
      </c>
      <c r="I239" cm="1">
        <f t="array" ref="I239">_xlfn.STDEV.P(IF(Table1[IndicatorCode]=Table1[[#This Row],[IndicatorCode]],Table1[value]))</f>
        <v>1.1047979755287356</v>
      </c>
      <c r="J239">
        <f>(Table1[[#This Row],[value]] - Table1[[#This Row],[mean]]) / Table1[[#This Row],[std_dev]]</f>
        <v>-0.68465934330505884</v>
      </c>
      <c r="K239">
        <f>AVERAGEIF(Table1[CountryCode],Table1[[#This Row],[CountryCode]],Table1[z-score])</f>
        <v>-0.44941710005999458</v>
      </c>
      <c r="L239" t="e">
        <f>VLOOKUP(Table1[[#This Row],[CountryCode]],[1]!Table1[#All],1,FALSE)</f>
        <v>#REF!</v>
      </c>
    </row>
    <row r="240" spans="1:12" hidden="1" x14ac:dyDescent="0.3">
      <c r="A240" t="s">
        <v>23</v>
      </c>
      <c r="B240" t="s">
        <v>24</v>
      </c>
      <c r="C240" t="s">
        <v>9</v>
      </c>
      <c r="D240" t="s">
        <v>10</v>
      </c>
      <c r="E240">
        <v>2009</v>
      </c>
      <c r="F240" s="1">
        <v>99</v>
      </c>
      <c r="G240">
        <v>2010</v>
      </c>
      <c r="H240">
        <f>AVERAGEIFS(Table1[value],Table1[IndicatorCode],Table1[[#This Row],[IndicatorCode]])</f>
        <v>99.756410256410263</v>
      </c>
      <c r="I240" cm="1">
        <f t="array" ref="I240">_xlfn.STDEV.P(IF(Table1[IndicatorCode]=Table1[[#This Row],[IndicatorCode]],Table1[value]))</f>
        <v>1.1047979755287356</v>
      </c>
      <c r="J240">
        <f>(Table1[[#This Row],[value]] - Table1[[#This Row],[mean]]) / Table1[[#This Row],[std_dev]]</f>
        <v>-0.68465934330505884</v>
      </c>
      <c r="K240">
        <f>AVERAGEIF(Table1[CountryCode],Table1[[#This Row],[CountryCode]],Table1[z-score])</f>
        <v>-0.44941710005999458</v>
      </c>
      <c r="L240" t="e">
        <f>VLOOKUP(Table1[[#This Row],[CountryCode]],[1]!Table1[#All],1,FALSE)</f>
        <v>#REF!</v>
      </c>
    </row>
    <row r="241" spans="1:12" hidden="1" x14ac:dyDescent="0.3">
      <c r="A241" t="s">
        <v>23</v>
      </c>
      <c r="B241" t="s">
        <v>24</v>
      </c>
      <c r="C241" t="s">
        <v>9</v>
      </c>
      <c r="D241" t="s">
        <v>10</v>
      </c>
      <c r="E241">
        <v>2010</v>
      </c>
      <c r="F241" s="1">
        <v>100</v>
      </c>
      <c r="G241">
        <v>2010</v>
      </c>
      <c r="H241">
        <f>AVERAGEIFS(Table1[value],Table1[IndicatorCode],Table1[[#This Row],[IndicatorCode]])</f>
        <v>99.756410256410263</v>
      </c>
      <c r="I241" cm="1">
        <f t="array" ref="I241">_xlfn.STDEV.P(IF(Table1[IndicatorCode]=Table1[[#This Row],[IndicatorCode]],Table1[value]))</f>
        <v>1.1047979755287356</v>
      </c>
      <c r="J241">
        <f>(Table1[[#This Row],[value]] - Table1[[#This Row],[mean]]) / Table1[[#This Row],[std_dev]]</f>
        <v>0.22048351733552002</v>
      </c>
      <c r="K241">
        <f>AVERAGEIF(Table1[CountryCode],Table1[[#This Row],[CountryCode]],Table1[z-score])</f>
        <v>-0.44941710005999458</v>
      </c>
      <c r="L241" t="e">
        <f>VLOOKUP(Table1[[#This Row],[CountryCode]],[1]!Table1[#All],1,FALSE)</f>
        <v>#REF!</v>
      </c>
    </row>
    <row r="242" spans="1:12" hidden="1" x14ac:dyDescent="0.3">
      <c r="A242" t="s">
        <v>23</v>
      </c>
      <c r="B242" t="s">
        <v>24</v>
      </c>
      <c r="C242" t="s">
        <v>9</v>
      </c>
      <c r="D242" t="s">
        <v>10</v>
      </c>
      <c r="E242">
        <v>2011</v>
      </c>
      <c r="F242" s="1">
        <v>100</v>
      </c>
      <c r="G242">
        <v>2010</v>
      </c>
      <c r="H242">
        <f>AVERAGEIFS(Table1[value],Table1[IndicatorCode],Table1[[#This Row],[IndicatorCode]])</f>
        <v>99.756410256410263</v>
      </c>
      <c r="I242" cm="1">
        <f t="array" ref="I242">_xlfn.STDEV.P(IF(Table1[IndicatorCode]=Table1[[#This Row],[IndicatorCode]],Table1[value]))</f>
        <v>1.1047979755287356</v>
      </c>
      <c r="J242">
        <f>(Table1[[#This Row],[value]] - Table1[[#This Row],[mean]]) / Table1[[#This Row],[std_dev]]</f>
        <v>0.22048351733552002</v>
      </c>
      <c r="K242">
        <f>AVERAGEIF(Table1[CountryCode],Table1[[#This Row],[CountryCode]],Table1[z-score])</f>
        <v>-0.44941710005999458</v>
      </c>
      <c r="L242" t="e">
        <f>VLOOKUP(Table1[[#This Row],[CountryCode]],[1]!Table1[#All],1,FALSE)</f>
        <v>#REF!</v>
      </c>
    </row>
    <row r="243" spans="1:12" hidden="1" x14ac:dyDescent="0.3">
      <c r="A243" t="s">
        <v>23</v>
      </c>
      <c r="B243" t="s">
        <v>24</v>
      </c>
      <c r="C243" t="s">
        <v>9</v>
      </c>
      <c r="D243" t="s">
        <v>10</v>
      </c>
      <c r="E243">
        <v>2012</v>
      </c>
      <c r="F243" s="1">
        <v>100</v>
      </c>
      <c r="G243">
        <v>2010</v>
      </c>
      <c r="H243">
        <f>AVERAGEIFS(Table1[value],Table1[IndicatorCode],Table1[[#This Row],[IndicatorCode]])</f>
        <v>99.756410256410263</v>
      </c>
      <c r="I243" cm="1">
        <f t="array" ref="I243">_xlfn.STDEV.P(IF(Table1[IndicatorCode]=Table1[[#This Row],[IndicatorCode]],Table1[value]))</f>
        <v>1.1047979755287356</v>
      </c>
      <c r="J243">
        <f>(Table1[[#This Row],[value]] - Table1[[#This Row],[mean]]) / Table1[[#This Row],[std_dev]]</f>
        <v>0.22048351733552002</v>
      </c>
      <c r="K243">
        <f>AVERAGEIF(Table1[CountryCode],Table1[[#This Row],[CountryCode]],Table1[z-score])</f>
        <v>-0.44941710005999458</v>
      </c>
      <c r="L243" t="e">
        <f>VLOOKUP(Table1[[#This Row],[CountryCode]],[1]!Table1[#All],1,FALSE)</f>
        <v>#REF!</v>
      </c>
    </row>
    <row r="244" spans="1:12" hidden="1" x14ac:dyDescent="0.3">
      <c r="A244" t="s">
        <v>23</v>
      </c>
      <c r="B244" t="s">
        <v>24</v>
      </c>
      <c r="C244" t="s">
        <v>9</v>
      </c>
      <c r="D244" t="s">
        <v>10</v>
      </c>
      <c r="E244">
        <v>2013</v>
      </c>
      <c r="F244" s="1">
        <v>100</v>
      </c>
      <c r="G244">
        <v>2010</v>
      </c>
      <c r="H244">
        <f>AVERAGEIFS(Table1[value],Table1[IndicatorCode],Table1[[#This Row],[IndicatorCode]])</f>
        <v>99.756410256410263</v>
      </c>
      <c r="I244" cm="1">
        <f t="array" ref="I244">_xlfn.STDEV.P(IF(Table1[IndicatorCode]=Table1[[#This Row],[IndicatorCode]],Table1[value]))</f>
        <v>1.1047979755287356</v>
      </c>
      <c r="J244">
        <f>(Table1[[#This Row],[value]] - Table1[[#This Row],[mean]]) / Table1[[#This Row],[std_dev]]</f>
        <v>0.22048351733552002</v>
      </c>
      <c r="K244">
        <f>AVERAGEIF(Table1[CountryCode],Table1[[#This Row],[CountryCode]],Table1[z-score])</f>
        <v>-0.44941710005999458</v>
      </c>
      <c r="L244" t="e">
        <f>VLOOKUP(Table1[[#This Row],[CountryCode]],[1]!Table1[#All],1,FALSE)</f>
        <v>#REF!</v>
      </c>
    </row>
    <row r="245" spans="1:12" hidden="1" x14ac:dyDescent="0.3">
      <c r="A245" t="s">
        <v>23</v>
      </c>
      <c r="B245" t="s">
        <v>24</v>
      </c>
      <c r="C245" t="s">
        <v>9</v>
      </c>
      <c r="D245" t="s">
        <v>10</v>
      </c>
      <c r="E245">
        <v>2014</v>
      </c>
      <c r="F245" s="1">
        <v>100</v>
      </c>
      <c r="G245">
        <v>2010</v>
      </c>
      <c r="H245">
        <f>AVERAGEIFS(Table1[value],Table1[IndicatorCode],Table1[[#This Row],[IndicatorCode]])</f>
        <v>99.756410256410263</v>
      </c>
      <c r="I245" cm="1">
        <f t="array" ref="I245">_xlfn.STDEV.P(IF(Table1[IndicatorCode]=Table1[[#This Row],[IndicatorCode]],Table1[value]))</f>
        <v>1.1047979755287356</v>
      </c>
      <c r="J245">
        <f>(Table1[[#This Row],[value]] - Table1[[#This Row],[mean]]) / Table1[[#This Row],[std_dev]]</f>
        <v>0.22048351733552002</v>
      </c>
      <c r="K245">
        <f>AVERAGEIF(Table1[CountryCode],Table1[[#This Row],[CountryCode]],Table1[z-score])</f>
        <v>-0.44941710005999458</v>
      </c>
      <c r="L245" t="e">
        <f>VLOOKUP(Table1[[#This Row],[CountryCode]],[1]!Table1[#All],1,FALSE)</f>
        <v>#REF!</v>
      </c>
    </row>
    <row r="246" spans="1:12" hidden="1" x14ac:dyDescent="0.3">
      <c r="A246" t="s">
        <v>23</v>
      </c>
      <c r="B246" t="s">
        <v>24</v>
      </c>
      <c r="C246" t="s">
        <v>9</v>
      </c>
      <c r="D246" t="s">
        <v>10</v>
      </c>
      <c r="E246">
        <v>2015</v>
      </c>
      <c r="F246" s="1">
        <v>100</v>
      </c>
      <c r="G246">
        <v>2010</v>
      </c>
      <c r="H246">
        <f>AVERAGEIFS(Table1[value],Table1[IndicatorCode],Table1[[#This Row],[IndicatorCode]])</f>
        <v>99.756410256410263</v>
      </c>
      <c r="I246" cm="1">
        <f t="array" ref="I246">_xlfn.STDEV.P(IF(Table1[IndicatorCode]=Table1[[#This Row],[IndicatorCode]],Table1[value]))</f>
        <v>1.1047979755287356</v>
      </c>
      <c r="J246">
        <f>(Table1[[#This Row],[value]] - Table1[[#This Row],[mean]]) / Table1[[#This Row],[std_dev]]</f>
        <v>0.22048351733552002</v>
      </c>
      <c r="K246">
        <f>AVERAGEIF(Table1[CountryCode],Table1[[#This Row],[CountryCode]],Table1[z-score])</f>
        <v>-0.44941710005999458</v>
      </c>
      <c r="L246" t="e">
        <f>VLOOKUP(Table1[[#This Row],[CountryCode]],[1]!Table1[#All],1,FALSE)</f>
        <v>#REF!</v>
      </c>
    </row>
    <row r="247" spans="1:12" hidden="1" x14ac:dyDescent="0.3">
      <c r="A247" t="s">
        <v>23</v>
      </c>
      <c r="B247" t="s">
        <v>24</v>
      </c>
      <c r="C247" t="s">
        <v>9</v>
      </c>
      <c r="D247" t="s">
        <v>10</v>
      </c>
      <c r="E247">
        <v>2016</v>
      </c>
      <c r="F247" s="1">
        <v>100</v>
      </c>
      <c r="G247">
        <v>2010</v>
      </c>
      <c r="H247">
        <f>AVERAGEIFS(Table1[value],Table1[IndicatorCode],Table1[[#This Row],[IndicatorCode]])</f>
        <v>99.756410256410263</v>
      </c>
      <c r="I247" cm="1">
        <f t="array" ref="I247">_xlfn.STDEV.P(IF(Table1[IndicatorCode]=Table1[[#This Row],[IndicatorCode]],Table1[value]))</f>
        <v>1.1047979755287356</v>
      </c>
      <c r="J247">
        <f>(Table1[[#This Row],[value]] - Table1[[#This Row],[mean]]) / Table1[[#This Row],[std_dev]]</f>
        <v>0.22048351733552002</v>
      </c>
      <c r="K247">
        <f>AVERAGEIF(Table1[CountryCode],Table1[[#This Row],[CountryCode]],Table1[z-score])</f>
        <v>-0.44941710005999458</v>
      </c>
      <c r="L247" t="e">
        <f>VLOOKUP(Table1[[#This Row],[CountryCode]],[1]!Table1[#All],1,FALSE)</f>
        <v>#REF!</v>
      </c>
    </row>
    <row r="248" spans="1:12" hidden="1" x14ac:dyDescent="0.3">
      <c r="A248" t="s">
        <v>23</v>
      </c>
      <c r="B248" t="s">
        <v>24</v>
      </c>
      <c r="C248" t="s">
        <v>9</v>
      </c>
      <c r="D248" t="s">
        <v>10</v>
      </c>
      <c r="E248">
        <v>2017</v>
      </c>
      <c r="F248" s="1">
        <v>100</v>
      </c>
      <c r="G248">
        <v>2020</v>
      </c>
      <c r="H248">
        <f>AVERAGEIFS(Table1[value],Table1[IndicatorCode],Table1[[#This Row],[IndicatorCode]])</f>
        <v>99.756410256410263</v>
      </c>
      <c r="I248" cm="1">
        <f t="array" ref="I248">_xlfn.STDEV.P(IF(Table1[IndicatorCode]=Table1[[#This Row],[IndicatorCode]],Table1[value]))</f>
        <v>1.1047979755287356</v>
      </c>
      <c r="J248">
        <f>(Table1[[#This Row],[value]] - Table1[[#This Row],[mean]]) / Table1[[#This Row],[std_dev]]</f>
        <v>0.22048351733552002</v>
      </c>
      <c r="K248">
        <f>AVERAGEIF(Table1[CountryCode],Table1[[#This Row],[CountryCode]],Table1[z-score])</f>
        <v>-0.44941710005999458</v>
      </c>
      <c r="L248" t="e">
        <f>VLOOKUP(Table1[[#This Row],[CountryCode]],[1]!Table1[#All],1,FALSE)</f>
        <v>#REF!</v>
      </c>
    </row>
    <row r="249" spans="1:12" hidden="1" x14ac:dyDescent="0.3">
      <c r="A249" t="s">
        <v>23</v>
      </c>
      <c r="B249" t="s">
        <v>24</v>
      </c>
      <c r="C249" t="s">
        <v>9</v>
      </c>
      <c r="D249" t="s">
        <v>10</v>
      </c>
      <c r="E249">
        <v>2018</v>
      </c>
      <c r="F249" s="1">
        <v>100</v>
      </c>
      <c r="G249">
        <v>2020</v>
      </c>
      <c r="H249">
        <f>AVERAGEIFS(Table1[value],Table1[IndicatorCode],Table1[[#This Row],[IndicatorCode]])</f>
        <v>99.756410256410263</v>
      </c>
      <c r="I249" cm="1">
        <f t="array" ref="I249">_xlfn.STDEV.P(IF(Table1[IndicatorCode]=Table1[[#This Row],[IndicatorCode]],Table1[value]))</f>
        <v>1.1047979755287356</v>
      </c>
      <c r="J249">
        <f>(Table1[[#This Row],[value]] - Table1[[#This Row],[mean]]) / Table1[[#This Row],[std_dev]]</f>
        <v>0.22048351733552002</v>
      </c>
      <c r="K249">
        <f>AVERAGEIF(Table1[CountryCode],Table1[[#This Row],[CountryCode]],Table1[z-score])</f>
        <v>-0.44941710005999458</v>
      </c>
      <c r="L249" t="e">
        <f>VLOOKUP(Table1[[#This Row],[CountryCode]],[1]!Table1[#All],1,FALSE)</f>
        <v>#REF!</v>
      </c>
    </row>
    <row r="250" spans="1:12" hidden="1" x14ac:dyDescent="0.3">
      <c r="A250" t="s">
        <v>23</v>
      </c>
      <c r="B250" t="s">
        <v>24</v>
      </c>
      <c r="C250" t="s">
        <v>9</v>
      </c>
      <c r="D250" t="s">
        <v>10</v>
      </c>
      <c r="E250">
        <v>2019</v>
      </c>
      <c r="F250" s="1">
        <v>100</v>
      </c>
      <c r="G250">
        <v>2020</v>
      </c>
      <c r="H250">
        <f>AVERAGEIFS(Table1[value],Table1[IndicatorCode],Table1[[#This Row],[IndicatorCode]])</f>
        <v>99.756410256410263</v>
      </c>
      <c r="I250" cm="1">
        <f t="array" ref="I250">_xlfn.STDEV.P(IF(Table1[IndicatorCode]=Table1[[#This Row],[IndicatorCode]],Table1[value]))</f>
        <v>1.1047979755287356</v>
      </c>
      <c r="J250">
        <f>(Table1[[#This Row],[value]] - Table1[[#This Row],[mean]]) / Table1[[#This Row],[std_dev]]</f>
        <v>0.22048351733552002</v>
      </c>
      <c r="K250">
        <f>AVERAGEIF(Table1[CountryCode],Table1[[#This Row],[CountryCode]],Table1[z-score])</f>
        <v>-0.44941710005999458</v>
      </c>
      <c r="L250" t="e">
        <f>VLOOKUP(Table1[[#This Row],[CountryCode]],[1]!Table1[#All],1,FALSE)</f>
        <v>#REF!</v>
      </c>
    </row>
    <row r="251" spans="1:12" x14ac:dyDescent="0.3">
      <c r="A251" t="s">
        <v>23</v>
      </c>
      <c r="B251" t="s">
        <v>24</v>
      </c>
      <c r="C251" t="s">
        <v>9</v>
      </c>
      <c r="D251" t="s">
        <v>10</v>
      </c>
      <c r="E251">
        <v>2020</v>
      </c>
      <c r="F251" s="1">
        <v>100</v>
      </c>
      <c r="G251">
        <v>2020</v>
      </c>
      <c r="H251">
        <f>AVERAGEIFS(Table1[value],Table1[IndicatorCode],Table1[[#This Row],[IndicatorCode]])</f>
        <v>99.756410256410263</v>
      </c>
      <c r="I251" cm="1">
        <f t="array" ref="I251">_xlfn.STDEV.P(IF(Table1[IndicatorCode]=Table1[[#This Row],[IndicatorCode]],Table1[value]))</f>
        <v>1.1047979755287356</v>
      </c>
      <c r="J251">
        <f>(Table1[[#This Row],[value]] - Table1[[#This Row],[mean]]) / Table1[[#This Row],[std_dev]]</f>
        <v>0.22048351733552002</v>
      </c>
      <c r="K251">
        <f>AVERAGEIF(Table1[CountryCode],Table1[[#This Row],[CountryCode]],Table1[z-score])</f>
        <v>-0.44941710005999458</v>
      </c>
    </row>
    <row r="252" spans="1:12" hidden="1" x14ac:dyDescent="0.3">
      <c r="A252" t="s">
        <v>23</v>
      </c>
      <c r="B252" t="s">
        <v>24</v>
      </c>
      <c r="C252" t="s">
        <v>9</v>
      </c>
      <c r="D252" t="s">
        <v>10</v>
      </c>
      <c r="E252">
        <v>2021</v>
      </c>
      <c r="F252" s="1">
        <v>100</v>
      </c>
      <c r="G252">
        <v>1990</v>
      </c>
      <c r="H252">
        <f>AVERAGEIFS(Table1[value],Table1[IndicatorCode],Table1[[#This Row],[IndicatorCode]])</f>
        <v>99.756410256410263</v>
      </c>
      <c r="I252" cm="1">
        <f t="array" ref="I252">_xlfn.STDEV.P(IF(Table1[IndicatorCode]=Table1[[#This Row],[IndicatorCode]],Table1[value]))</f>
        <v>1.1047979755287356</v>
      </c>
      <c r="J252">
        <f>(Table1[[#This Row],[value]] - Table1[[#This Row],[mean]]) / Table1[[#This Row],[std_dev]]</f>
        <v>0.22048351733552002</v>
      </c>
      <c r="K252">
        <f>AVERAGEIF(Table1[CountryCode],Table1[[#This Row],[CountryCode]],Table1[z-score])</f>
        <v>-0.44941710005999458</v>
      </c>
      <c r="L252" t="e">
        <f>VLOOKUP(Table1[[#This Row],[CountryCode]],[1]!Table1[#All],1,FALSE)</f>
        <v>#REF!</v>
      </c>
    </row>
    <row r="253" spans="1:12" hidden="1" x14ac:dyDescent="0.3">
      <c r="A253" t="s">
        <v>23</v>
      </c>
      <c r="B253" t="s">
        <v>24</v>
      </c>
      <c r="C253" t="s">
        <v>9</v>
      </c>
      <c r="D253" t="s">
        <v>10</v>
      </c>
      <c r="E253">
        <v>2022</v>
      </c>
      <c r="F253" s="1">
        <v>100</v>
      </c>
      <c r="G253">
        <v>1990</v>
      </c>
      <c r="H253">
        <f>AVERAGEIFS(Table1[value],Table1[IndicatorCode],Table1[[#This Row],[IndicatorCode]])</f>
        <v>99.756410256410263</v>
      </c>
      <c r="I253" cm="1">
        <f t="array" ref="I253">_xlfn.STDEV.P(IF(Table1[IndicatorCode]=Table1[[#This Row],[IndicatorCode]],Table1[value]))</f>
        <v>1.1047979755287356</v>
      </c>
      <c r="J253">
        <f>(Table1[[#This Row],[value]] - Table1[[#This Row],[mean]]) / Table1[[#This Row],[std_dev]]</f>
        <v>0.22048351733552002</v>
      </c>
      <c r="K253">
        <f>AVERAGEIF(Table1[CountryCode],Table1[[#This Row],[CountryCode]],Table1[z-score])</f>
        <v>-0.44941710005999458</v>
      </c>
      <c r="L253" t="e">
        <f>VLOOKUP(Table1[[#This Row],[CountryCode]],[1]!Table1[#All],1,FALSE)</f>
        <v>#REF!</v>
      </c>
    </row>
    <row r="254" spans="1:12" hidden="1" x14ac:dyDescent="0.3">
      <c r="A254" t="s">
        <v>23</v>
      </c>
      <c r="B254" t="s">
        <v>24</v>
      </c>
      <c r="C254" t="s">
        <v>9</v>
      </c>
      <c r="D254" t="s">
        <v>10</v>
      </c>
      <c r="E254">
        <v>2023</v>
      </c>
      <c r="F254" s="1">
        <v>100</v>
      </c>
      <c r="G254">
        <v>1990</v>
      </c>
      <c r="H254">
        <f>AVERAGEIFS(Table1[value],Table1[IndicatorCode],Table1[[#This Row],[IndicatorCode]])</f>
        <v>99.756410256410263</v>
      </c>
      <c r="I254" cm="1">
        <f t="array" ref="I254">_xlfn.STDEV.P(IF(Table1[IndicatorCode]=Table1[[#This Row],[IndicatorCode]],Table1[value]))</f>
        <v>1.1047979755287356</v>
      </c>
      <c r="J254">
        <f>(Table1[[#This Row],[value]] - Table1[[#This Row],[mean]]) / Table1[[#This Row],[std_dev]]</f>
        <v>0.22048351733552002</v>
      </c>
      <c r="K254">
        <f>AVERAGEIF(Table1[CountryCode],Table1[[#This Row],[CountryCode]],Table1[z-score])</f>
        <v>-0.44941710005999458</v>
      </c>
      <c r="L254" t="e">
        <f>VLOOKUP(Table1[[#This Row],[CountryCode]],[1]!Table1[#All],1,FALSE)</f>
        <v>#REF!</v>
      </c>
    </row>
    <row r="255" spans="1:12" hidden="1" x14ac:dyDescent="0.3">
      <c r="A255" t="s">
        <v>25</v>
      </c>
      <c r="B255" t="s">
        <v>26</v>
      </c>
      <c r="C255" t="s">
        <v>9</v>
      </c>
      <c r="D255" t="s">
        <v>10</v>
      </c>
      <c r="E255">
        <v>1990</v>
      </c>
      <c r="F255" s="1">
        <v>100</v>
      </c>
      <c r="G255">
        <v>1990</v>
      </c>
      <c r="H255">
        <f>AVERAGEIFS(Table1[value],Table1[IndicatorCode],Table1[[#This Row],[IndicatorCode]])</f>
        <v>99.756410256410263</v>
      </c>
      <c r="I255" cm="1">
        <f t="array" ref="I255">_xlfn.STDEV.P(IF(Table1[IndicatorCode]=Table1[[#This Row],[IndicatorCode]],Table1[value]))</f>
        <v>1.1047979755287356</v>
      </c>
      <c r="J255">
        <f>(Table1[[#This Row],[value]] - Table1[[#This Row],[mean]]) / Table1[[#This Row],[std_dev]]</f>
        <v>0.22048351733552002</v>
      </c>
      <c r="K255">
        <f>AVERAGEIF(Table1[CountryCode],Table1[[#This Row],[CountryCode]],Table1[z-score])</f>
        <v>-0.77202666663319364</v>
      </c>
      <c r="L255" t="e">
        <f>VLOOKUP(Table1[[#This Row],[CountryCode]],[1]!Table1[#All],1,FALSE)</f>
        <v>#REF!</v>
      </c>
    </row>
    <row r="256" spans="1:12" hidden="1" x14ac:dyDescent="0.3">
      <c r="A256" t="s">
        <v>25</v>
      </c>
      <c r="B256" t="s">
        <v>26</v>
      </c>
      <c r="C256" t="s">
        <v>9</v>
      </c>
      <c r="D256" t="s">
        <v>10</v>
      </c>
      <c r="E256">
        <v>1991</v>
      </c>
      <c r="F256" s="1">
        <v>100</v>
      </c>
      <c r="G256">
        <v>1990</v>
      </c>
      <c r="H256">
        <f>AVERAGEIFS(Table1[value],Table1[IndicatorCode],Table1[[#This Row],[IndicatorCode]])</f>
        <v>99.756410256410263</v>
      </c>
      <c r="I256" cm="1">
        <f t="array" ref="I256">_xlfn.STDEV.P(IF(Table1[IndicatorCode]=Table1[[#This Row],[IndicatorCode]],Table1[value]))</f>
        <v>1.1047979755287356</v>
      </c>
      <c r="J256">
        <f>(Table1[[#This Row],[value]] - Table1[[#This Row],[mean]]) / Table1[[#This Row],[std_dev]]</f>
        <v>0.22048351733552002</v>
      </c>
      <c r="K256">
        <f>AVERAGEIF(Table1[CountryCode],Table1[[#This Row],[CountryCode]],Table1[z-score])</f>
        <v>-0.77202666663319364</v>
      </c>
      <c r="L256" t="e">
        <f>VLOOKUP(Table1[[#This Row],[CountryCode]],[1]!Table1[#All],1,FALSE)</f>
        <v>#REF!</v>
      </c>
    </row>
    <row r="257" spans="1:12" hidden="1" x14ac:dyDescent="0.3">
      <c r="A257" t="s">
        <v>25</v>
      </c>
      <c r="B257" t="s">
        <v>26</v>
      </c>
      <c r="C257" t="s">
        <v>9</v>
      </c>
      <c r="D257" t="s">
        <v>10</v>
      </c>
      <c r="E257">
        <v>1992</v>
      </c>
      <c r="F257" s="1">
        <v>100</v>
      </c>
      <c r="G257">
        <v>1990</v>
      </c>
      <c r="H257">
        <f>AVERAGEIFS(Table1[value],Table1[IndicatorCode],Table1[[#This Row],[IndicatorCode]])</f>
        <v>99.756410256410263</v>
      </c>
      <c r="I257" cm="1">
        <f t="array" ref="I257">_xlfn.STDEV.P(IF(Table1[IndicatorCode]=Table1[[#This Row],[IndicatorCode]],Table1[value]))</f>
        <v>1.1047979755287356</v>
      </c>
      <c r="J257">
        <f>(Table1[[#This Row],[value]] - Table1[[#This Row],[mean]]) / Table1[[#This Row],[std_dev]]</f>
        <v>0.22048351733552002</v>
      </c>
      <c r="K257">
        <f>AVERAGEIF(Table1[CountryCode],Table1[[#This Row],[CountryCode]],Table1[z-score])</f>
        <v>-0.77202666663319364</v>
      </c>
      <c r="L257" t="e">
        <f>VLOOKUP(Table1[[#This Row],[CountryCode]],[1]!Table1[#All],1,FALSE)</f>
        <v>#REF!</v>
      </c>
    </row>
    <row r="258" spans="1:12" hidden="1" x14ac:dyDescent="0.3">
      <c r="A258" t="s">
        <v>25</v>
      </c>
      <c r="B258" t="s">
        <v>26</v>
      </c>
      <c r="C258" t="s">
        <v>9</v>
      </c>
      <c r="D258" t="s">
        <v>10</v>
      </c>
      <c r="E258">
        <v>1993</v>
      </c>
      <c r="F258" s="1">
        <v>100</v>
      </c>
      <c r="G258">
        <v>1990</v>
      </c>
      <c r="H258">
        <f>AVERAGEIFS(Table1[value],Table1[IndicatorCode],Table1[[#This Row],[IndicatorCode]])</f>
        <v>99.756410256410263</v>
      </c>
      <c r="I258" cm="1">
        <f t="array" ref="I258">_xlfn.STDEV.P(IF(Table1[IndicatorCode]=Table1[[#This Row],[IndicatorCode]],Table1[value]))</f>
        <v>1.1047979755287356</v>
      </c>
      <c r="J258">
        <f>(Table1[[#This Row],[value]] - Table1[[#This Row],[mean]]) / Table1[[#This Row],[std_dev]]</f>
        <v>0.22048351733552002</v>
      </c>
      <c r="K258">
        <f>AVERAGEIF(Table1[CountryCode],Table1[[#This Row],[CountryCode]],Table1[z-score])</f>
        <v>-0.77202666663319364</v>
      </c>
      <c r="L258" t="e">
        <f>VLOOKUP(Table1[[#This Row],[CountryCode]],[1]!Table1[#All],1,FALSE)</f>
        <v>#REF!</v>
      </c>
    </row>
    <row r="259" spans="1:12" hidden="1" x14ac:dyDescent="0.3">
      <c r="A259" t="s">
        <v>25</v>
      </c>
      <c r="B259" t="s">
        <v>26</v>
      </c>
      <c r="C259" t="s">
        <v>9</v>
      </c>
      <c r="D259" t="s">
        <v>10</v>
      </c>
      <c r="E259">
        <v>1994</v>
      </c>
      <c r="F259" s="1">
        <v>100</v>
      </c>
      <c r="G259">
        <v>1990</v>
      </c>
      <c r="H259">
        <f>AVERAGEIFS(Table1[value],Table1[IndicatorCode],Table1[[#This Row],[IndicatorCode]])</f>
        <v>99.756410256410263</v>
      </c>
      <c r="I259" cm="1">
        <f t="array" ref="I259">_xlfn.STDEV.P(IF(Table1[IndicatorCode]=Table1[[#This Row],[IndicatorCode]],Table1[value]))</f>
        <v>1.1047979755287356</v>
      </c>
      <c r="J259">
        <f>(Table1[[#This Row],[value]] - Table1[[#This Row],[mean]]) / Table1[[#This Row],[std_dev]]</f>
        <v>0.22048351733552002</v>
      </c>
      <c r="K259">
        <f>AVERAGEIF(Table1[CountryCode],Table1[[#This Row],[CountryCode]],Table1[z-score])</f>
        <v>-0.77202666663319364</v>
      </c>
      <c r="L259" t="e">
        <f>VLOOKUP(Table1[[#This Row],[CountryCode]],[1]!Table1[#All],1,FALSE)</f>
        <v>#REF!</v>
      </c>
    </row>
    <row r="260" spans="1:12" hidden="1" x14ac:dyDescent="0.3">
      <c r="A260" t="s">
        <v>25</v>
      </c>
      <c r="B260" t="s">
        <v>26</v>
      </c>
      <c r="C260" t="s">
        <v>9</v>
      </c>
      <c r="D260" t="s">
        <v>10</v>
      </c>
      <c r="E260">
        <v>1995</v>
      </c>
      <c r="F260" s="1">
        <v>100</v>
      </c>
      <c r="G260">
        <v>1990</v>
      </c>
      <c r="H260">
        <f>AVERAGEIFS(Table1[value],Table1[IndicatorCode],Table1[[#This Row],[IndicatorCode]])</f>
        <v>99.756410256410263</v>
      </c>
      <c r="I260" cm="1">
        <f t="array" ref="I260">_xlfn.STDEV.P(IF(Table1[IndicatorCode]=Table1[[#This Row],[IndicatorCode]],Table1[value]))</f>
        <v>1.1047979755287356</v>
      </c>
      <c r="J260">
        <f>(Table1[[#This Row],[value]] - Table1[[#This Row],[mean]]) / Table1[[#This Row],[std_dev]]</f>
        <v>0.22048351733552002</v>
      </c>
      <c r="K260">
        <f>AVERAGEIF(Table1[CountryCode],Table1[[#This Row],[CountryCode]],Table1[z-score])</f>
        <v>-0.77202666663319364</v>
      </c>
      <c r="L260" t="e">
        <f>VLOOKUP(Table1[[#This Row],[CountryCode]],[1]!Table1[#All],1,FALSE)</f>
        <v>#REF!</v>
      </c>
    </row>
    <row r="261" spans="1:12" hidden="1" x14ac:dyDescent="0.3">
      <c r="A261" t="s">
        <v>25</v>
      </c>
      <c r="B261" t="s">
        <v>26</v>
      </c>
      <c r="C261" t="s">
        <v>9</v>
      </c>
      <c r="D261" t="s">
        <v>10</v>
      </c>
      <c r="E261">
        <v>1996</v>
      </c>
      <c r="F261" s="1">
        <v>100</v>
      </c>
      <c r="G261">
        <v>1990</v>
      </c>
      <c r="H261">
        <f>AVERAGEIFS(Table1[value],Table1[IndicatorCode],Table1[[#This Row],[IndicatorCode]])</f>
        <v>99.756410256410263</v>
      </c>
      <c r="I261" cm="1">
        <f t="array" ref="I261">_xlfn.STDEV.P(IF(Table1[IndicatorCode]=Table1[[#This Row],[IndicatorCode]],Table1[value]))</f>
        <v>1.1047979755287356</v>
      </c>
      <c r="J261">
        <f>(Table1[[#This Row],[value]] - Table1[[#This Row],[mean]]) / Table1[[#This Row],[std_dev]]</f>
        <v>0.22048351733552002</v>
      </c>
      <c r="K261">
        <f>AVERAGEIF(Table1[CountryCode],Table1[[#This Row],[CountryCode]],Table1[z-score])</f>
        <v>-0.77202666663319364</v>
      </c>
      <c r="L261" t="e">
        <f>VLOOKUP(Table1[[#This Row],[CountryCode]],[1]!Table1[#All],1,FALSE)</f>
        <v>#REF!</v>
      </c>
    </row>
    <row r="262" spans="1:12" hidden="1" x14ac:dyDescent="0.3">
      <c r="A262" t="s">
        <v>25</v>
      </c>
      <c r="B262" t="s">
        <v>26</v>
      </c>
      <c r="C262" t="s">
        <v>9</v>
      </c>
      <c r="D262" t="s">
        <v>10</v>
      </c>
      <c r="E262">
        <v>1997</v>
      </c>
      <c r="F262" s="1">
        <v>100</v>
      </c>
      <c r="G262">
        <v>2000</v>
      </c>
      <c r="H262">
        <f>AVERAGEIFS(Table1[value],Table1[IndicatorCode],Table1[[#This Row],[IndicatorCode]])</f>
        <v>99.756410256410263</v>
      </c>
      <c r="I262" cm="1">
        <f t="array" ref="I262">_xlfn.STDEV.P(IF(Table1[IndicatorCode]=Table1[[#This Row],[IndicatorCode]],Table1[value]))</f>
        <v>1.1047979755287356</v>
      </c>
      <c r="J262">
        <f>(Table1[[#This Row],[value]] - Table1[[#This Row],[mean]]) / Table1[[#This Row],[std_dev]]</f>
        <v>0.22048351733552002</v>
      </c>
      <c r="K262">
        <f>AVERAGEIF(Table1[CountryCode],Table1[[#This Row],[CountryCode]],Table1[z-score])</f>
        <v>-0.77202666663319364</v>
      </c>
      <c r="L262" t="e">
        <f>VLOOKUP(Table1[[#This Row],[CountryCode]],[1]!Table1[#All],1,FALSE)</f>
        <v>#REF!</v>
      </c>
    </row>
    <row r="263" spans="1:12" hidden="1" x14ac:dyDescent="0.3">
      <c r="A263" t="s">
        <v>25</v>
      </c>
      <c r="B263" t="s">
        <v>26</v>
      </c>
      <c r="C263" t="s">
        <v>9</v>
      </c>
      <c r="D263" t="s">
        <v>10</v>
      </c>
      <c r="E263">
        <v>1998</v>
      </c>
      <c r="F263" s="1">
        <v>100</v>
      </c>
      <c r="G263">
        <v>2000</v>
      </c>
      <c r="H263">
        <f>AVERAGEIFS(Table1[value],Table1[IndicatorCode],Table1[[#This Row],[IndicatorCode]])</f>
        <v>99.756410256410263</v>
      </c>
      <c r="I263" cm="1">
        <f t="array" ref="I263">_xlfn.STDEV.P(IF(Table1[IndicatorCode]=Table1[[#This Row],[IndicatorCode]],Table1[value]))</f>
        <v>1.1047979755287356</v>
      </c>
      <c r="J263">
        <f>(Table1[[#This Row],[value]] - Table1[[#This Row],[mean]]) / Table1[[#This Row],[std_dev]]</f>
        <v>0.22048351733552002</v>
      </c>
      <c r="K263">
        <f>AVERAGEIF(Table1[CountryCode],Table1[[#This Row],[CountryCode]],Table1[z-score])</f>
        <v>-0.77202666663319364</v>
      </c>
      <c r="L263" t="e">
        <f>VLOOKUP(Table1[[#This Row],[CountryCode]],[1]!Table1[#All],1,FALSE)</f>
        <v>#REF!</v>
      </c>
    </row>
    <row r="264" spans="1:12" hidden="1" x14ac:dyDescent="0.3">
      <c r="A264" t="s">
        <v>25</v>
      </c>
      <c r="B264" t="s">
        <v>26</v>
      </c>
      <c r="C264" t="s">
        <v>9</v>
      </c>
      <c r="D264" t="s">
        <v>10</v>
      </c>
      <c r="E264">
        <v>1999</v>
      </c>
      <c r="F264" s="1">
        <v>100</v>
      </c>
      <c r="G264">
        <v>2000</v>
      </c>
      <c r="H264">
        <f>AVERAGEIFS(Table1[value],Table1[IndicatorCode],Table1[[#This Row],[IndicatorCode]])</f>
        <v>99.756410256410263</v>
      </c>
      <c r="I264" cm="1">
        <f t="array" ref="I264">_xlfn.STDEV.P(IF(Table1[IndicatorCode]=Table1[[#This Row],[IndicatorCode]],Table1[value]))</f>
        <v>1.1047979755287356</v>
      </c>
      <c r="J264">
        <f>(Table1[[#This Row],[value]] - Table1[[#This Row],[mean]]) / Table1[[#This Row],[std_dev]]</f>
        <v>0.22048351733552002</v>
      </c>
      <c r="K264">
        <f>AVERAGEIF(Table1[CountryCode],Table1[[#This Row],[CountryCode]],Table1[z-score])</f>
        <v>-0.77202666663319364</v>
      </c>
      <c r="L264" t="e">
        <f>VLOOKUP(Table1[[#This Row],[CountryCode]],[1]!Table1[#All],1,FALSE)</f>
        <v>#REF!</v>
      </c>
    </row>
    <row r="265" spans="1:12" hidden="1" x14ac:dyDescent="0.3">
      <c r="A265" t="s">
        <v>25</v>
      </c>
      <c r="B265" t="s">
        <v>26</v>
      </c>
      <c r="C265" t="s">
        <v>9</v>
      </c>
      <c r="D265" t="s">
        <v>10</v>
      </c>
      <c r="E265">
        <v>2000</v>
      </c>
      <c r="F265" s="1">
        <v>89</v>
      </c>
      <c r="G265">
        <v>2000</v>
      </c>
      <c r="H265">
        <f>AVERAGEIFS(Table1[value],Table1[IndicatorCode],Table1[[#This Row],[IndicatorCode]])</f>
        <v>99.756410256410263</v>
      </c>
      <c r="I265" cm="1">
        <f t="array" ref="I265">_xlfn.STDEV.P(IF(Table1[IndicatorCode]=Table1[[#This Row],[IndicatorCode]],Table1[value]))</f>
        <v>1.1047979755287356</v>
      </c>
      <c r="J265">
        <f>(Table1[[#This Row],[value]] - Table1[[#This Row],[mean]]) / Table1[[#This Row],[std_dev]]</f>
        <v>-9.7360879497108481</v>
      </c>
      <c r="K265">
        <f>AVERAGEIF(Table1[CountryCode],Table1[[#This Row],[CountryCode]],Table1[z-score])</f>
        <v>-0.77202666663319364</v>
      </c>
      <c r="L265" t="e">
        <f>VLOOKUP(Table1[[#This Row],[CountryCode]],[1]!Table1[#All],1,FALSE)</f>
        <v>#REF!</v>
      </c>
    </row>
    <row r="266" spans="1:12" hidden="1" x14ac:dyDescent="0.3">
      <c r="A266" t="s">
        <v>25</v>
      </c>
      <c r="B266" t="s">
        <v>26</v>
      </c>
      <c r="C266" t="s">
        <v>9</v>
      </c>
      <c r="D266" t="s">
        <v>10</v>
      </c>
      <c r="E266">
        <v>2001</v>
      </c>
      <c r="F266" s="1">
        <v>90</v>
      </c>
      <c r="G266">
        <v>2000</v>
      </c>
      <c r="H266">
        <f>AVERAGEIFS(Table1[value],Table1[IndicatorCode],Table1[[#This Row],[IndicatorCode]])</f>
        <v>99.756410256410263</v>
      </c>
      <c r="I266" cm="1">
        <f t="array" ref="I266">_xlfn.STDEV.P(IF(Table1[IndicatorCode]=Table1[[#This Row],[IndicatorCode]],Table1[value]))</f>
        <v>1.1047979755287356</v>
      </c>
      <c r="J266">
        <f>(Table1[[#This Row],[value]] - Table1[[#This Row],[mean]]) / Table1[[#This Row],[std_dev]]</f>
        <v>-8.8309450890702692</v>
      </c>
      <c r="K266">
        <f>AVERAGEIF(Table1[CountryCode],Table1[[#This Row],[CountryCode]],Table1[z-score])</f>
        <v>-0.77202666663319364</v>
      </c>
      <c r="L266" t="e">
        <f>VLOOKUP(Table1[[#This Row],[CountryCode]],[1]!Table1[#All],1,FALSE)</f>
        <v>#REF!</v>
      </c>
    </row>
    <row r="267" spans="1:12" hidden="1" x14ac:dyDescent="0.3">
      <c r="A267" t="s">
        <v>25</v>
      </c>
      <c r="B267" t="s">
        <v>26</v>
      </c>
      <c r="C267" t="s">
        <v>9</v>
      </c>
      <c r="D267" t="s">
        <v>10</v>
      </c>
      <c r="E267">
        <v>2002</v>
      </c>
      <c r="F267" s="1">
        <v>90</v>
      </c>
      <c r="G267">
        <v>2000</v>
      </c>
      <c r="H267">
        <f>AVERAGEIFS(Table1[value],Table1[IndicatorCode],Table1[[#This Row],[IndicatorCode]])</f>
        <v>99.756410256410263</v>
      </c>
      <c r="I267" cm="1">
        <f t="array" ref="I267">_xlfn.STDEV.P(IF(Table1[IndicatorCode]=Table1[[#This Row],[IndicatorCode]],Table1[value]))</f>
        <v>1.1047979755287356</v>
      </c>
      <c r="J267">
        <f>(Table1[[#This Row],[value]] - Table1[[#This Row],[mean]]) / Table1[[#This Row],[std_dev]]</f>
        <v>-8.8309450890702692</v>
      </c>
      <c r="K267">
        <f>AVERAGEIF(Table1[CountryCode],Table1[[#This Row],[CountryCode]],Table1[z-score])</f>
        <v>-0.77202666663319364</v>
      </c>
      <c r="L267" t="e">
        <f>VLOOKUP(Table1[[#This Row],[CountryCode]],[1]!Table1[#All],1,FALSE)</f>
        <v>#REF!</v>
      </c>
    </row>
    <row r="268" spans="1:12" hidden="1" x14ac:dyDescent="0.3">
      <c r="A268" t="s">
        <v>25</v>
      </c>
      <c r="B268" t="s">
        <v>26</v>
      </c>
      <c r="C268" t="s">
        <v>9</v>
      </c>
      <c r="D268" t="s">
        <v>10</v>
      </c>
      <c r="E268">
        <v>2003</v>
      </c>
      <c r="F268" s="1">
        <v>91</v>
      </c>
      <c r="G268">
        <v>2000</v>
      </c>
      <c r="H268">
        <f>AVERAGEIFS(Table1[value],Table1[IndicatorCode],Table1[[#This Row],[IndicatorCode]])</f>
        <v>99.756410256410263</v>
      </c>
      <c r="I268" cm="1">
        <f t="array" ref="I268">_xlfn.STDEV.P(IF(Table1[IndicatorCode]=Table1[[#This Row],[IndicatorCode]],Table1[value]))</f>
        <v>1.1047979755287356</v>
      </c>
      <c r="J268">
        <f>(Table1[[#This Row],[value]] - Table1[[#This Row],[mean]]) / Table1[[#This Row],[std_dev]]</f>
        <v>-7.9258022284296903</v>
      </c>
      <c r="K268">
        <f>AVERAGEIF(Table1[CountryCode],Table1[[#This Row],[CountryCode]],Table1[z-score])</f>
        <v>-0.77202666663319364</v>
      </c>
      <c r="L268" t="e">
        <f>VLOOKUP(Table1[[#This Row],[CountryCode]],[1]!Table1[#All],1,FALSE)</f>
        <v>#REF!</v>
      </c>
    </row>
    <row r="269" spans="1:12" hidden="1" x14ac:dyDescent="0.3">
      <c r="A269" t="s">
        <v>25</v>
      </c>
      <c r="B269" t="s">
        <v>26</v>
      </c>
      <c r="C269" t="s">
        <v>9</v>
      </c>
      <c r="D269" t="s">
        <v>10</v>
      </c>
      <c r="E269">
        <v>2004</v>
      </c>
      <c r="F269" s="1">
        <v>91</v>
      </c>
      <c r="G269">
        <v>2000</v>
      </c>
      <c r="H269">
        <f>AVERAGEIFS(Table1[value],Table1[IndicatorCode],Table1[[#This Row],[IndicatorCode]])</f>
        <v>99.756410256410263</v>
      </c>
      <c r="I269" cm="1">
        <f t="array" ref="I269">_xlfn.STDEV.P(IF(Table1[IndicatorCode]=Table1[[#This Row],[IndicatorCode]],Table1[value]))</f>
        <v>1.1047979755287356</v>
      </c>
      <c r="J269">
        <f>(Table1[[#This Row],[value]] - Table1[[#This Row],[mean]]) / Table1[[#This Row],[std_dev]]</f>
        <v>-7.9258022284296903</v>
      </c>
      <c r="K269">
        <f>AVERAGEIF(Table1[CountryCode],Table1[[#This Row],[CountryCode]],Table1[z-score])</f>
        <v>-0.77202666663319364</v>
      </c>
      <c r="L269" t="e">
        <f>VLOOKUP(Table1[[#This Row],[CountryCode]],[1]!Table1[#All],1,FALSE)</f>
        <v>#REF!</v>
      </c>
    </row>
    <row r="270" spans="1:12" hidden="1" x14ac:dyDescent="0.3">
      <c r="A270" t="s">
        <v>25</v>
      </c>
      <c r="B270" t="s">
        <v>26</v>
      </c>
      <c r="C270" t="s">
        <v>9</v>
      </c>
      <c r="D270" t="s">
        <v>10</v>
      </c>
      <c r="E270">
        <v>2005</v>
      </c>
      <c r="F270" s="1">
        <v>92</v>
      </c>
      <c r="G270">
        <v>2000</v>
      </c>
      <c r="H270">
        <f>AVERAGEIFS(Table1[value],Table1[IndicatorCode],Table1[[#This Row],[IndicatorCode]])</f>
        <v>99.756410256410263</v>
      </c>
      <c r="I270" cm="1">
        <f t="array" ref="I270">_xlfn.STDEV.P(IF(Table1[IndicatorCode]=Table1[[#This Row],[IndicatorCode]],Table1[value]))</f>
        <v>1.1047979755287356</v>
      </c>
      <c r="J270">
        <f>(Table1[[#This Row],[value]] - Table1[[#This Row],[mean]]) / Table1[[#This Row],[std_dev]]</f>
        <v>-7.0206593677891114</v>
      </c>
      <c r="K270">
        <f>AVERAGEIF(Table1[CountryCode],Table1[[#This Row],[CountryCode]],Table1[z-score])</f>
        <v>-0.77202666663319364</v>
      </c>
      <c r="L270" t="e">
        <f>VLOOKUP(Table1[[#This Row],[CountryCode]],[1]!Table1[#All],1,FALSE)</f>
        <v>#REF!</v>
      </c>
    </row>
    <row r="271" spans="1:12" hidden="1" x14ac:dyDescent="0.3">
      <c r="A271" t="s">
        <v>25</v>
      </c>
      <c r="B271" t="s">
        <v>26</v>
      </c>
      <c r="C271" t="s">
        <v>9</v>
      </c>
      <c r="D271" t="s">
        <v>10</v>
      </c>
      <c r="E271">
        <v>2006</v>
      </c>
      <c r="F271" s="1">
        <v>92</v>
      </c>
      <c r="G271">
        <v>2000</v>
      </c>
      <c r="H271">
        <f>AVERAGEIFS(Table1[value],Table1[IndicatorCode],Table1[[#This Row],[IndicatorCode]])</f>
        <v>99.756410256410263</v>
      </c>
      <c r="I271" cm="1">
        <f t="array" ref="I271">_xlfn.STDEV.P(IF(Table1[IndicatorCode]=Table1[[#This Row],[IndicatorCode]],Table1[value]))</f>
        <v>1.1047979755287356</v>
      </c>
      <c r="J271">
        <f>(Table1[[#This Row],[value]] - Table1[[#This Row],[mean]]) / Table1[[#This Row],[std_dev]]</f>
        <v>-7.0206593677891114</v>
      </c>
      <c r="K271">
        <f>AVERAGEIF(Table1[CountryCode],Table1[[#This Row],[CountryCode]],Table1[z-score])</f>
        <v>-0.77202666663319364</v>
      </c>
      <c r="L271" t="e">
        <f>VLOOKUP(Table1[[#This Row],[CountryCode]],[1]!Table1[#All],1,FALSE)</f>
        <v>#REF!</v>
      </c>
    </row>
    <row r="272" spans="1:12" hidden="1" x14ac:dyDescent="0.3">
      <c r="A272" t="s">
        <v>25</v>
      </c>
      <c r="B272" t="s">
        <v>26</v>
      </c>
      <c r="C272" t="s">
        <v>9</v>
      </c>
      <c r="D272" t="s">
        <v>10</v>
      </c>
      <c r="E272">
        <v>2007</v>
      </c>
      <c r="F272" s="1">
        <v>93</v>
      </c>
      <c r="G272">
        <v>2010</v>
      </c>
      <c r="H272">
        <f>AVERAGEIFS(Table1[value],Table1[IndicatorCode],Table1[[#This Row],[IndicatorCode]])</f>
        <v>99.756410256410263</v>
      </c>
      <c r="I272" cm="1">
        <f t="array" ref="I272">_xlfn.STDEV.P(IF(Table1[IndicatorCode]=Table1[[#This Row],[IndicatorCode]],Table1[value]))</f>
        <v>1.1047979755287356</v>
      </c>
      <c r="J272">
        <f>(Table1[[#This Row],[value]] - Table1[[#This Row],[mean]]) / Table1[[#This Row],[std_dev]]</f>
        <v>-6.1155165071485325</v>
      </c>
      <c r="K272">
        <f>AVERAGEIF(Table1[CountryCode],Table1[[#This Row],[CountryCode]],Table1[z-score])</f>
        <v>-0.77202666663319364</v>
      </c>
      <c r="L272" t="e">
        <f>VLOOKUP(Table1[[#This Row],[CountryCode]],[1]!Table1[#All],1,FALSE)</f>
        <v>#REF!</v>
      </c>
    </row>
    <row r="273" spans="1:12" hidden="1" x14ac:dyDescent="0.3">
      <c r="A273" t="s">
        <v>25</v>
      </c>
      <c r="B273" t="s">
        <v>26</v>
      </c>
      <c r="C273" t="s">
        <v>9</v>
      </c>
      <c r="D273" t="s">
        <v>10</v>
      </c>
      <c r="E273">
        <v>2008</v>
      </c>
      <c r="F273" s="1">
        <v>93</v>
      </c>
      <c r="G273">
        <v>2010</v>
      </c>
      <c r="H273">
        <f>AVERAGEIFS(Table1[value],Table1[IndicatorCode],Table1[[#This Row],[IndicatorCode]])</f>
        <v>99.756410256410263</v>
      </c>
      <c r="I273" cm="1">
        <f t="array" ref="I273">_xlfn.STDEV.P(IF(Table1[IndicatorCode]=Table1[[#This Row],[IndicatorCode]],Table1[value]))</f>
        <v>1.1047979755287356</v>
      </c>
      <c r="J273">
        <f>(Table1[[#This Row],[value]] - Table1[[#This Row],[mean]]) / Table1[[#This Row],[std_dev]]</f>
        <v>-6.1155165071485325</v>
      </c>
      <c r="K273">
        <f>AVERAGEIF(Table1[CountryCode],Table1[[#This Row],[CountryCode]],Table1[z-score])</f>
        <v>-0.77202666663319364</v>
      </c>
      <c r="L273" t="e">
        <f>VLOOKUP(Table1[[#This Row],[CountryCode]],[1]!Table1[#All],1,FALSE)</f>
        <v>#REF!</v>
      </c>
    </row>
    <row r="274" spans="1:12" hidden="1" x14ac:dyDescent="0.3">
      <c r="A274" t="s">
        <v>25</v>
      </c>
      <c r="B274" t="s">
        <v>26</v>
      </c>
      <c r="C274" t="s">
        <v>9</v>
      </c>
      <c r="D274" t="s">
        <v>10</v>
      </c>
      <c r="E274">
        <v>2009</v>
      </c>
      <c r="F274" s="1">
        <v>94</v>
      </c>
      <c r="G274">
        <v>2010</v>
      </c>
      <c r="H274">
        <f>AVERAGEIFS(Table1[value],Table1[IndicatorCode],Table1[[#This Row],[IndicatorCode]])</f>
        <v>99.756410256410263</v>
      </c>
      <c r="I274" cm="1">
        <f t="array" ref="I274">_xlfn.STDEV.P(IF(Table1[IndicatorCode]=Table1[[#This Row],[IndicatorCode]],Table1[value]))</f>
        <v>1.1047979755287356</v>
      </c>
      <c r="J274">
        <f>(Table1[[#This Row],[value]] - Table1[[#This Row],[mean]]) / Table1[[#This Row],[std_dev]]</f>
        <v>-5.2103736465079535</v>
      </c>
      <c r="K274">
        <f>AVERAGEIF(Table1[CountryCode],Table1[[#This Row],[CountryCode]],Table1[z-score])</f>
        <v>-0.77202666663319364</v>
      </c>
      <c r="L274" t="e">
        <f>VLOOKUP(Table1[[#This Row],[CountryCode]],[1]!Table1[#All],1,FALSE)</f>
        <v>#REF!</v>
      </c>
    </row>
    <row r="275" spans="1:12" hidden="1" x14ac:dyDescent="0.3">
      <c r="A275" t="s">
        <v>25</v>
      </c>
      <c r="B275" t="s">
        <v>26</v>
      </c>
      <c r="C275" t="s">
        <v>9</v>
      </c>
      <c r="D275" t="s">
        <v>10</v>
      </c>
      <c r="E275">
        <v>2010</v>
      </c>
      <c r="F275" s="1">
        <v>94</v>
      </c>
      <c r="G275">
        <v>2010</v>
      </c>
      <c r="H275">
        <f>AVERAGEIFS(Table1[value],Table1[IndicatorCode],Table1[[#This Row],[IndicatorCode]])</f>
        <v>99.756410256410263</v>
      </c>
      <c r="I275" cm="1">
        <f t="array" ref="I275">_xlfn.STDEV.P(IF(Table1[IndicatorCode]=Table1[[#This Row],[IndicatorCode]],Table1[value]))</f>
        <v>1.1047979755287356</v>
      </c>
      <c r="J275">
        <f>(Table1[[#This Row],[value]] - Table1[[#This Row],[mean]]) / Table1[[#This Row],[std_dev]]</f>
        <v>-5.2103736465079535</v>
      </c>
      <c r="K275">
        <f>AVERAGEIF(Table1[CountryCode],Table1[[#This Row],[CountryCode]],Table1[z-score])</f>
        <v>-0.77202666663319364</v>
      </c>
      <c r="L275" t="e">
        <f>VLOOKUP(Table1[[#This Row],[CountryCode]],[1]!Table1[#All],1,FALSE)</f>
        <v>#REF!</v>
      </c>
    </row>
    <row r="276" spans="1:12" hidden="1" x14ac:dyDescent="0.3">
      <c r="A276" t="s">
        <v>25</v>
      </c>
      <c r="B276" t="s">
        <v>26</v>
      </c>
      <c r="C276" t="s">
        <v>9</v>
      </c>
      <c r="D276" t="s">
        <v>10</v>
      </c>
      <c r="E276">
        <v>2011</v>
      </c>
      <c r="F276" s="1">
        <v>95</v>
      </c>
      <c r="G276">
        <v>2010</v>
      </c>
      <c r="H276">
        <f>AVERAGEIFS(Table1[value],Table1[IndicatorCode],Table1[[#This Row],[IndicatorCode]])</f>
        <v>99.756410256410263</v>
      </c>
      <c r="I276" cm="1">
        <f t="array" ref="I276">_xlfn.STDEV.P(IF(Table1[IndicatorCode]=Table1[[#This Row],[IndicatorCode]],Table1[value]))</f>
        <v>1.1047979755287356</v>
      </c>
      <c r="J276">
        <f>(Table1[[#This Row],[value]] - Table1[[#This Row],[mean]]) / Table1[[#This Row],[std_dev]]</f>
        <v>-4.3052307858673746</v>
      </c>
      <c r="K276">
        <f>AVERAGEIF(Table1[CountryCode],Table1[[#This Row],[CountryCode]],Table1[z-score])</f>
        <v>-0.77202666663319364</v>
      </c>
      <c r="L276" t="e">
        <f>VLOOKUP(Table1[[#This Row],[CountryCode]],[1]!Table1[#All],1,FALSE)</f>
        <v>#REF!</v>
      </c>
    </row>
    <row r="277" spans="1:12" hidden="1" x14ac:dyDescent="0.3">
      <c r="A277" t="s">
        <v>25</v>
      </c>
      <c r="B277" t="s">
        <v>26</v>
      </c>
      <c r="C277" t="s">
        <v>9</v>
      </c>
      <c r="D277" t="s">
        <v>10</v>
      </c>
      <c r="E277">
        <v>2012</v>
      </c>
      <c r="F277" s="1">
        <v>96</v>
      </c>
      <c r="G277">
        <v>2010</v>
      </c>
      <c r="H277">
        <f>AVERAGEIFS(Table1[value],Table1[IndicatorCode],Table1[[#This Row],[IndicatorCode]])</f>
        <v>99.756410256410263</v>
      </c>
      <c r="I277" cm="1">
        <f t="array" ref="I277">_xlfn.STDEV.P(IF(Table1[IndicatorCode]=Table1[[#This Row],[IndicatorCode]],Table1[value]))</f>
        <v>1.1047979755287356</v>
      </c>
      <c r="J277">
        <f>(Table1[[#This Row],[value]] - Table1[[#This Row],[mean]]) / Table1[[#This Row],[std_dev]]</f>
        <v>-3.4000879252267957</v>
      </c>
      <c r="K277">
        <f>AVERAGEIF(Table1[CountryCode],Table1[[#This Row],[CountryCode]],Table1[z-score])</f>
        <v>-0.77202666663319364</v>
      </c>
      <c r="L277" t="e">
        <f>VLOOKUP(Table1[[#This Row],[CountryCode]],[1]!Table1[#All],1,FALSE)</f>
        <v>#REF!</v>
      </c>
    </row>
    <row r="278" spans="1:12" hidden="1" x14ac:dyDescent="0.3">
      <c r="A278" t="s">
        <v>25</v>
      </c>
      <c r="B278" t="s">
        <v>26</v>
      </c>
      <c r="C278" t="s">
        <v>9</v>
      </c>
      <c r="D278" t="s">
        <v>10</v>
      </c>
      <c r="E278">
        <v>2013</v>
      </c>
      <c r="F278" s="1">
        <v>96</v>
      </c>
      <c r="G278">
        <v>2010</v>
      </c>
      <c r="H278">
        <f>AVERAGEIFS(Table1[value],Table1[IndicatorCode],Table1[[#This Row],[IndicatorCode]])</f>
        <v>99.756410256410263</v>
      </c>
      <c r="I278" cm="1">
        <f t="array" ref="I278">_xlfn.STDEV.P(IF(Table1[IndicatorCode]=Table1[[#This Row],[IndicatorCode]],Table1[value]))</f>
        <v>1.1047979755287356</v>
      </c>
      <c r="J278">
        <f>(Table1[[#This Row],[value]] - Table1[[#This Row],[mean]]) / Table1[[#This Row],[std_dev]]</f>
        <v>-3.4000879252267957</v>
      </c>
      <c r="K278">
        <f>AVERAGEIF(Table1[CountryCode],Table1[[#This Row],[CountryCode]],Table1[z-score])</f>
        <v>-0.77202666663319364</v>
      </c>
      <c r="L278" t="e">
        <f>VLOOKUP(Table1[[#This Row],[CountryCode]],[1]!Table1[#All],1,FALSE)</f>
        <v>#REF!</v>
      </c>
    </row>
    <row r="279" spans="1:12" hidden="1" x14ac:dyDescent="0.3">
      <c r="A279" t="s">
        <v>25</v>
      </c>
      <c r="B279" t="s">
        <v>26</v>
      </c>
      <c r="C279" t="s">
        <v>9</v>
      </c>
      <c r="D279" t="s">
        <v>10</v>
      </c>
      <c r="E279">
        <v>2014</v>
      </c>
      <c r="F279" s="1">
        <v>97</v>
      </c>
      <c r="G279">
        <v>2010</v>
      </c>
      <c r="H279">
        <f>AVERAGEIFS(Table1[value],Table1[IndicatorCode],Table1[[#This Row],[IndicatorCode]])</f>
        <v>99.756410256410263</v>
      </c>
      <c r="I279" cm="1">
        <f t="array" ref="I279">_xlfn.STDEV.P(IF(Table1[IndicatorCode]=Table1[[#This Row],[IndicatorCode]],Table1[value]))</f>
        <v>1.1047979755287356</v>
      </c>
      <c r="J279">
        <f>(Table1[[#This Row],[value]] - Table1[[#This Row],[mean]]) / Table1[[#This Row],[std_dev]]</f>
        <v>-2.4949450645862168</v>
      </c>
      <c r="K279">
        <f>AVERAGEIF(Table1[CountryCode],Table1[[#This Row],[CountryCode]],Table1[z-score])</f>
        <v>-0.77202666663319364</v>
      </c>
      <c r="L279" t="e">
        <f>VLOOKUP(Table1[[#This Row],[CountryCode]],[1]!Table1[#All],1,FALSE)</f>
        <v>#REF!</v>
      </c>
    </row>
    <row r="280" spans="1:12" hidden="1" x14ac:dyDescent="0.3">
      <c r="A280" t="s">
        <v>25</v>
      </c>
      <c r="B280" t="s">
        <v>26</v>
      </c>
      <c r="C280" t="s">
        <v>9</v>
      </c>
      <c r="D280" t="s">
        <v>10</v>
      </c>
      <c r="E280">
        <v>2015</v>
      </c>
      <c r="F280" s="1">
        <v>97</v>
      </c>
      <c r="G280">
        <v>2010</v>
      </c>
      <c r="H280">
        <f>AVERAGEIFS(Table1[value],Table1[IndicatorCode],Table1[[#This Row],[IndicatorCode]])</f>
        <v>99.756410256410263</v>
      </c>
      <c r="I280" cm="1">
        <f t="array" ref="I280">_xlfn.STDEV.P(IF(Table1[IndicatorCode]=Table1[[#This Row],[IndicatorCode]],Table1[value]))</f>
        <v>1.1047979755287356</v>
      </c>
      <c r="J280">
        <f>(Table1[[#This Row],[value]] - Table1[[#This Row],[mean]]) / Table1[[#This Row],[std_dev]]</f>
        <v>-2.4949450645862168</v>
      </c>
      <c r="K280">
        <f>AVERAGEIF(Table1[CountryCode],Table1[[#This Row],[CountryCode]],Table1[z-score])</f>
        <v>-0.77202666663319364</v>
      </c>
      <c r="L280" t="e">
        <f>VLOOKUP(Table1[[#This Row],[CountryCode]],[1]!Table1[#All],1,FALSE)</f>
        <v>#REF!</v>
      </c>
    </row>
    <row r="281" spans="1:12" hidden="1" x14ac:dyDescent="0.3">
      <c r="A281" t="s">
        <v>25</v>
      </c>
      <c r="B281" t="s">
        <v>26</v>
      </c>
      <c r="C281" t="s">
        <v>9</v>
      </c>
      <c r="D281" t="s">
        <v>10</v>
      </c>
      <c r="E281">
        <v>2016</v>
      </c>
      <c r="F281" s="1">
        <v>98</v>
      </c>
      <c r="G281">
        <v>2010</v>
      </c>
      <c r="H281">
        <f>AVERAGEIFS(Table1[value],Table1[IndicatorCode],Table1[[#This Row],[IndicatorCode]])</f>
        <v>99.756410256410263</v>
      </c>
      <c r="I281" cm="1">
        <f t="array" ref="I281">_xlfn.STDEV.P(IF(Table1[IndicatorCode]=Table1[[#This Row],[IndicatorCode]],Table1[value]))</f>
        <v>1.1047979755287356</v>
      </c>
      <c r="J281">
        <f>(Table1[[#This Row],[value]] - Table1[[#This Row],[mean]]) / Table1[[#This Row],[std_dev]]</f>
        <v>-1.5898022039456376</v>
      </c>
      <c r="K281">
        <f>AVERAGEIF(Table1[CountryCode],Table1[[#This Row],[CountryCode]],Table1[z-score])</f>
        <v>-0.77202666663319364</v>
      </c>
      <c r="L281" t="e">
        <f>VLOOKUP(Table1[[#This Row],[CountryCode]],[1]!Table1[#All],1,FALSE)</f>
        <v>#REF!</v>
      </c>
    </row>
    <row r="282" spans="1:12" hidden="1" x14ac:dyDescent="0.3">
      <c r="A282" t="s">
        <v>25</v>
      </c>
      <c r="B282" t="s">
        <v>26</v>
      </c>
      <c r="C282" t="s">
        <v>9</v>
      </c>
      <c r="D282" t="s">
        <v>10</v>
      </c>
      <c r="E282">
        <v>2017</v>
      </c>
      <c r="F282" s="1">
        <v>99</v>
      </c>
      <c r="G282">
        <v>2020</v>
      </c>
      <c r="H282">
        <f>AVERAGEIFS(Table1[value],Table1[IndicatorCode],Table1[[#This Row],[IndicatorCode]])</f>
        <v>99.756410256410263</v>
      </c>
      <c r="I282" cm="1">
        <f t="array" ref="I282">_xlfn.STDEV.P(IF(Table1[IndicatorCode]=Table1[[#This Row],[IndicatorCode]],Table1[value]))</f>
        <v>1.1047979755287356</v>
      </c>
      <c r="J282">
        <f>(Table1[[#This Row],[value]] - Table1[[#This Row],[mean]]) / Table1[[#This Row],[std_dev]]</f>
        <v>-0.68465934330505884</v>
      </c>
      <c r="K282">
        <f>AVERAGEIF(Table1[CountryCode],Table1[[#This Row],[CountryCode]],Table1[z-score])</f>
        <v>-0.77202666663319364</v>
      </c>
      <c r="L282" t="e">
        <f>VLOOKUP(Table1[[#This Row],[CountryCode]],[1]!Table1[#All],1,FALSE)</f>
        <v>#REF!</v>
      </c>
    </row>
    <row r="283" spans="1:12" hidden="1" x14ac:dyDescent="0.3">
      <c r="A283" t="s">
        <v>25</v>
      </c>
      <c r="B283" t="s">
        <v>26</v>
      </c>
      <c r="C283" t="s">
        <v>9</v>
      </c>
      <c r="D283" t="s">
        <v>10</v>
      </c>
      <c r="E283">
        <v>2018</v>
      </c>
      <c r="F283" s="1">
        <v>99</v>
      </c>
      <c r="G283">
        <v>2020</v>
      </c>
      <c r="H283">
        <f>AVERAGEIFS(Table1[value],Table1[IndicatorCode],Table1[[#This Row],[IndicatorCode]])</f>
        <v>99.756410256410263</v>
      </c>
      <c r="I283" cm="1">
        <f t="array" ref="I283">_xlfn.STDEV.P(IF(Table1[IndicatorCode]=Table1[[#This Row],[IndicatorCode]],Table1[value]))</f>
        <v>1.1047979755287356</v>
      </c>
      <c r="J283">
        <f>(Table1[[#This Row],[value]] - Table1[[#This Row],[mean]]) / Table1[[#This Row],[std_dev]]</f>
        <v>-0.68465934330505884</v>
      </c>
      <c r="K283">
        <f>AVERAGEIF(Table1[CountryCode],Table1[[#This Row],[CountryCode]],Table1[z-score])</f>
        <v>-0.77202666663319364</v>
      </c>
      <c r="L283" t="e">
        <f>VLOOKUP(Table1[[#This Row],[CountryCode]],[1]!Table1[#All],1,FALSE)</f>
        <v>#REF!</v>
      </c>
    </row>
    <row r="284" spans="1:12" hidden="1" x14ac:dyDescent="0.3">
      <c r="A284" t="s">
        <v>25</v>
      </c>
      <c r="B284" t="s">
        <v>26</v>
      </c>
      <c r="C284" t="s">
        <v>9</v>
      </c>
      <c r="D284" t="s">
        <v>10</v>
      </c>
      <c r="E284">
        <v>2019</v>
      </c>
      <c r="F284" s="1">
        <v>100</v>
      </c>
      <c r="G284">
        <v>2020</v>
      </c>
      <c r="H284">
        <f>AVERAGEIFS(Table1[value],Table1[IndicatorCode],Table1[[#This Row],[IndicatorCode]])</f>
        <v>99.756410256410263</v>
      </c>
      <c r="I284" cm="1">
        <f t="array" ref="I284">_xlfn.STDEV.P(IF(Table1[IndicatorCode]=Table1[[#This Row],[IndicatorCode]],Table1[value]))</f>
        <v>1.1047979755287356</v>
      </c>
      <c r="J284">
        <f>(Table1[[#This Row],[value]] - Table1[[#This Row],[mean]]) / Table1[[#This Row],[std_dev]]</f>
        <v>0.22048351733552002</v>
      </c>
      <c r="K284">
        <f>AVERAGEIF(Table1[CountryCode],Table1[[#This Row],[CountryCode]],Table1[z-score])</f>
        <v>-0.77202666663319364</v>
      </c>
      <c r="L284" t="e">
        <f>VLOOKUP(Table1[[#This Row],[CountryCode]],[1]!Table1[#All],1,FALSE)</f>
        <v>#REF!</v>
      </c>
    </row>
    <row r="285" spans="1:12" x14ac:dyDescent="0.3">
      <c r="A285" t="s">
        <v>25</v>
      </c>
      <c r="B285" t="s">
        <v>26</v>
      </c>
      <c r="C285" t="s">
        <v>9</v>
      </c>
      <c r="D285" t="s">
        <v>10</v>
      </c>
      <c r="E285">
        <v>2020</v>
      </c>
      <c r="F285" s="1">
        <v>100</v>
      </c>
      <c r="G285">
        <v>2020</v>
      </c>
      <c r="H285">
        <f>AVERAGEIFS(Table1[value],Table1[IndicatorCode],Table1[[#This Row],[IndicatorCode]])</f>
        <v>99.756410256410263</v>
      </c>
      <c r="I285" cm="1">
        <f t="array" ref="I285">_xlfn.STDEV.P(IF(Table1[IndicatorCode]=Table1[[#This Row],[IndicatorCode]],Table1[value]))</f>
        <v>1.1047979755287356</v>
      </c>
      <c r="J285">
        <f>(Table1[[#This Row],[value]] - Table1[[#This Row],[mean]]) / Table1[[#This Row],[std_dev]]</f>
        <v>0.22048351733552002</v>
      </c>
      <c r="K285">
        <f>AVERAGEIF(Table1[CountryCode],Table1[[#This Row],[CountryCode]],Table1[z-score])</f>
        <v>-0.77202666663319364</v>
      </c>
    </row>
    <row r="286" spans="1:12" hidden="1" x14ac:dyDescent="0.3">
      <c r="A286" t="s">
        <v>25</v>
      </c>
      <c r="B286" t="s">
        <v>26</v>
      </c>
      <c r="C286" t="s">
        <v>9</v>
      </c>
      <c r="D286" t="s">
        <v>10</v>
      </c>
      <c r="E286">
        <v>2021</v>
      </c>
      <c r="F286" s="1">
        <v>100</v>
      </c>
      <c r="G286">
        <v>1990</v>
      </c>
      <c r="H286">
        <f>AVERAGEIFS(Table1[value],Table1[IndicatorCode],Table1[[#This Row],[IndicatorCode]])</f>
        <v>99.756410256410263</v>
      </c>
      <c r="I286" cm="1">
        <f t="array" ref="I286">_xlfn.STDEV.P(IF(Table1[IndicatorCode]=Table1[[#This Row],[IndicatorCode]],Table1[value]))</f>
        <v>1.1047979755287356</v>
      </c>
      <c r="J286">
        <f>(Table1[[#This Row],[value]] - Table1[[#This Row],[mean]]) / Table1[[#This Row],[std_dev]]</f>
        <v>0.22048351733552002</v>
      </c>
      <c r="K286">
        <f>AVERAGEIF(Table1[CountryCode],Table1[[#This Row],[CountryCode]],Table1[z-score])</f>
        <v>-0.77202666663319364</v>
      </c>
      <c r="L286" t="e">
        <f>VLOOKUP(Table1[[#This Row],[CountryCode]],[1]!Table1[#All],1,FALSE)</f>
        <v>#REF!</v>
      </c>
    </row>
    <row r="287" spans="1:12" hidden="1" x14ac:dyDescent="0.3">
      <c r="A287" t="s">
        <v>25</v>
      </c>
      <c r="B287" t="s">
        <v>26</v>
      </c>
      <c r="C287" t="s">
        <v>9</v>
      </c>
      <c r="D287" t="s">
        <v>10</v>
      </c>
      <c r="E287">
        <v>2022</v>
      </c>
      <c r="F287" s="1">
        <v>100</v>
      </c>
      <c r="G287">
        <v>1990</v>
      </c>
      <c r="H287">
        <f>AVERAGEIFS(Table1[value],Table1[IndicatorCode],Table1[[#This Row],[IndicatorCode]])</f>
        <v>99.756410256410263</v>
      </c>
      <c r="I287" cm="1">
        <f t="array" ref="I287">_xlfn.STDEV.P(IF(Table1[IndicatorCode]=Table1[[#This Row],[IndicatorCode]],Table1[value]))</f>
        <v>1.1047979755287356</v>
      </c>
      <c r="J287">
        <f>(Table1[[#This Row],[value]] - Table1[[#This Row],[mean]]) / Table1[[#This Row],[std_dev]]</f>
        <v>0.22048351733552002</v>
      </c>
      <c r="K287">
        <f>AVERAGEIF(Table1[CountryCode],Table1[[#This Row],[CountryCode]],Table1[z-score])</f>
        <v>-0.77202666663319364</v>
      </c>
      <c r="L287" t="e">
        <f>VLOOKUP(Table1[[#This Row],[CountryCode]],[1]!Table1[#All],1,FALSE)</f>
        <v>#REF!</v>
      </c>
    </row>
    <row r="288" spans="1:12" hidden="1" x14ac:dyDescent="0.3">
      <c r="A288" t="s">
        <v>25</v>
      </c>
      <c r="B288" t="s">
        <v>26</v>
      </c>
      <c r="C288" t="s">
        <v>9</v>
      </c>
      <c r="D288" t="s">
        <v>10</v>
      </c>
      <c r="E288">
        <v>2023</v>
      </c>
      <c r="F288" s="1">
        <v>100</v>
      </c>
      <c r="G288">
        <v>1990</v>
      </c>
      <c r="H288">
        <f>AVERAGEIFS(Table1[value],Table1[IndicatorCode],Table1[[#This Row],[IndicatorCode]])</f>
        <v>99.756410256410263</v>
      </c>
      <c r="I288" cm="1">
        <f t="array" ref="I288">_xlfn.STDEV.P(IF(Table1[IndicatorCode]=Table1[[#This Row],[IndicatorCode]],Table1[value]))</f>
        <v>1.1047979755287356</v>
      </c>
      <c r="J288">
        <f>(Table1[[#This Row],[value]] - Table1[[#This Row],[mean]]) / Table1[[#This Row],[std_dev]]</f>
        <v>0.22048351733552002</v>
      </c>
      <c r="K288">
        <f>AVERAGEIF(Table1[CountryCode],Table1[[#This Row],[CountryCode]],Table1[z-score])</f>
        <v>-0.77202666663319364</v>
      </c>
      <c r="L288" t="e">
        <f>VLOOKUP(Table1[[#This Row],[CountryCode]],[1]!Table1[#All],1,FALSE)</f>
        <v>#REF!</v>
      </c>
    </row>
    <row r="289" spans="1:12" hidden="1" x14ac:dyDescent="0.3">
      <c r="A289" t="s">
        <v>27</v>
      </c>
      <c r="B289" t="s">
        <v>28</v>
      </c>
      <c r="C289" t="s">
        <v>9</v>
      </c>
      <c r="D289" t="s">
        <v>10</v>
      </c>
      <c r="E289">
        <v>1990</v>
      </c>
      <c r="F289" s="1">
        <v>100</v>
      </c>
      <c r="G289">
        <v>1990</v>
      </c>
      <c r="H289">
        <f>AVERAGEIFS(Table1[value],Table1[IndicatorCode],Table1[[#This Row],[IndicatorCode]])</f>
        <v>99.756410256410263</v>
      </c>
      <c r="I289" cm="1">
        <f t="array" ref="I289">_xlfn.STDEV.P(IF(Table1[IndicatorCode]=Table1[[#This Row],[IndicatorCode]],Table1[value]))</f>
        <v>1.1047979755287356</v>
      </c>
      <c r="J289">
        <f>(Table1[[#This Row],[value]] - Table1[[#This Row],[mean]]) / Table1[[#This Row],[std_dev]]</f>
        <v>0.22048351733552002</v>
      </c>
      <c r="K289">
        <f>AVERAGEIF(Table1[CountryCode],Table1[[#This Row],[CountryCode]],Table1[z-score])</f>
        <v>0.68174026806790211</v>
      </c>
      <c r="L289" t="e">
        <f>VLOOKUP(Table1[[#This Row],[CountryCode]],[1]!Table1[#All],1,FALSE)</f>
        <v>#REF!</v>
      </c>
    </row>
    <row r="290" spans="1:12" hidden="1" x14ac:dyDescent="0.3">
      <c r="A290" t="s">
        <v>27</v>
      </c>
      <c r="B290" t="s">
        <v>28</v>
      </c>
      <c r="C290" t="s">
        <v>9</v>
      </c>
      <c r="D290" t="s">
        <v>10</v>
      </c>
      <c r="E290">
        <v>1991</v>
      </c>
      <c r="F290" s="1">
        <v>100</v>
      </c>
      <c r="G290">
        <v>1990</v>
      </c>
      <c r="H290">
        <f>AVERAGEIFS(Table1[value],Table1[IndicatorCode],Table1[[#This Row],[IndicatorCode]])</f>
        <v>99.756410256410263</v>
      </c>
      <c r="I290" cm="1">
        <f t="array" ref="I290">_xlfn.STDEV.P(IF(Table1[IndicatorCode]=Table1[[#This Row],[IndicatorCode]],Table1[value]))</f>
        <v>1.1047979755287356</v>
      </c>
      <c r="J290">
        <f>(Table1[[#This Row],[value]] - Table1[[#This Row],[mean]]) / Table1[[#This Row],[std_dev]]</f>
        <v>0.22048351733552002</v>
      </c>
      <c r="K290">
        <f>AVERAGEIF(Table1[CountryCode],Table1[[#This Row],[CountryCode]],Table1[z-score])</f>
        <v>0.68174026806790211</v>
      </c>
      <c r="L290" t="e">
        <f>VLOOKUP(Table1[[#This Row],[CountryCode]],[1]!Table1[#All],1,FALSE)</f>
        <v>#REF!</v>
      </c>
    </row>
    <row r="291" spans="1:12" hidden="1" x14ac:dyDescent="0.3">
      <c r="A291" t="s">
        <v>27</v>
      </c>
      <c r="B291" t="s">
        <v>28</v>
      </c>
      <c r="C291" t="s">
        <v>9</v>
      </c>
      <c r="D291" t="s">
        <v>10</v>
      </c>
      <c r="E291">
        <v>1992</v>
      </c>
      <c r="F291" s="1">
        <v>100</v>
      </c>
      <c r="G291">
        <v>1990</v>
      </c>
      <c r="H291">
        <f>AVERAGEIFS(Table1[value],Table1[IndicatorCode],Table1[[#This Row],[IndicatorCode]])</f>
        <v>99.756410256410263</v>
      </c>
      <c r="I291" cm="1">
        <f t="array" ref="I291">_xlfn.STDEV.P(IF(Table1[IndicatorCode]=Table1[[#This Row],[IndicatorCode]],Table1[value]))</f>
        <v>1.1047979755287356</v>
      </c>
      <c r="J291">
        <f>(Table1[[#This Row],[value]] - Table1[[#This Row],[mean]]) / Table1[[#This Row],[std_dev]]</f>
        <v>0.22048351733552002</v>
      </c>
      <c r="K291">
        <f>AVERAGEIF(Table1[CountryCode],Table1[[#This Row],[CountryCode]],Table1[z-score])</f>
        <v>0.68174026806790211</v>
      </c>
      <c r="L291" t="e">
        <f>VLOOKUP(Table1[[#This Row],[CountryCode]],[1]!Table1[#All],1,FALSE)</f>
        <v>#REF!</v>
      </c>
    </row>
    <row r="292" spans="1:12" hidden="1" x14ac:dyDescent="0.3">
      <c r="A292" t="s">
        <v>27</v>
      </c>
      <c r="B292" t="s">
        <v>28</v>
      </c>
      <c r="C292" t="s">
        <v>9</v>
      </c>
      <c r="D292" t="s">
        <v>10</v>
      </c>
      <c r="E292">
        <v>1993</v>
      </c>
      <c r="F292" s="1">
        <v>100</v>
      </c>
      <c r="G292">
        <v>1990</v>
      </c>
      <c r="H292">
        <f>AVERAGEIFS(Table1[value],Table1[IndicatorCode],Table1[[#This Row],[IndicatorCode]])</f>
        <v>99.756410256410263</v>
      </c>
      <c r="I292" cm="1">
        <f t="array" ref="I292">_xlfn.STDEV.P(IF(Table1[IndicatorCode]=Table1[[#This Row],[IndicatorCode]],Table1[value]))</f>
        <v>1.1047979755287356</v>
      </c>
      <c r="J292">
        <f>(Table1[[#This Row],[value]] - Table1[[#This Row],[mean]]) / Table1[[#This Row],[std_dev]]</f>
        <v>0.22048351733552002</v>
      </c>
      <c r="K292">
        <f>AVERAGEIF(Table1[CountryCode],Table1[[#This Row],[CountryCode]],Table1[z-score])</f>
        <v>0.68174026806790211</v>
      </c>
      <c r="L292" t="e">
        <f>VLOOKUP(Table1[[#This Row],[CountryCode]],[1]!Table1[#All],1,FALSE)</f>
        <v>#REF!</v>
      </c>
    </row>
    <row r="293" spans="1:12" hidden="1" x14ac:dyDescent="0.3">
      <c r="A293" t="s">
        <v>27</v>
      </c>
      <c r="B293" t="s">
        <v>28</v>
      </c>
      <c r="C293" t="s">
        <v>9</v>
      </c>
      <c r="D293" t="s">
        <v>10</v>
      </c>
      <c r="E293">
        <v>1994</v>
      </c>
      <c r="F293" s="1">
        <v>100</v>
      </c>
      <c r="G293">
        <v>1990</v>
      </c>
      <c r="H293">
        <f>AVERAGEIFS(Table1[value],Table1[IndicatorCode],Table1[[#This Row],[IndicatorCode]])</f>
        <v>99.756410256410263</v>
      </c>
      <c r="I293" cm="1">
        <f t="array" ref="I293">_xlfn.STDEV.P(IF(Table1[IndicatorCode]=Table1[[#This Row],[IndicatorCode]],Table1[value]))</f>
        <v>1.1047979755287356</v>
      </c>
      <c r="J293">
        <f>(Table1[[#This Row],[value]] - Table1[[#This Row],[mean]]) / Table1[[#This Row],[std_dev]]</f>
        <v>0.22048351733552002</v>
      </c>
      <c r="K293">
        <f>AVERAGEIF(Table1[CountryCode],Table1[[#This Row],[CountryCode]],Table1[z-score])</f>
        <v>0.68174026806790211</v>
      </c>
      <c r="L293" t="e">
        <f>VLOOKUP(Table1[[#This Row],[CountryCode]],[1]!Table1[#All],1,FALSE)</f>
        <v>#REF!</v>
      </c>
    </row>
    <row r="294" spans="1:12" hidden="1" x14ac:dyDescent="0.3">
      <c r="A294" t="s">
        <v>27</v>
      </c>
      <c r="B294" t="s">
        <v>28</v>
      </c>
      <c r="C294" t="s">
        <v>9</v>
      </c>
      <c r="D294" t="s">
        <v>10</v>
      </c>
      <c r="E294">
        <v>1995</v>
      </c>
      <c r="F294" s="1">
        <v>100</v>
      </c>
      <c r="G294">
        <v>1990</v>
      </c>
      <c r="H294">
        <f>AVERAGEIFS(Table1[value],Table1[IndicatorCode],Table1[[#This Row],[IndicatorCode]])</f>
        <v>99.756410256410263</v>
      </c>
      <c r="I294" cm="1">
        <f t="array" ref="I294">_xlfn.STDEV.P(IF(Table1[IndicatorCode]=Table1[[#This Row],[IndicatorCode]],Table1[value]))</f>
        <v>1.1047979755287356</v>
      </c>
      <c r="J294">
        <f>(Table1[[#This Row],[value]] - Table1[[#This Row],[mean]]) / Table1[[#This Row],[std_dev]]</f>
        <v>0.22048351733552002</v>
      </c>
      <c r="K294">
        <f>AVERAGEIF(Table1[CountryCode],Table1[[#This Row],[CountryCode]],Table1[z-score])</f>
        <v>0.68174026806790211</v>
      </c>
      <c r="L294" t="e">
        <f>VLOOKUP(Table1[[#This Row],[CountryCode]],[1]!Table1[#All],1,FALSE)</f>
        <v>#REF!</v>
      </c>
    </row>
    <row r="295" spans="1:12" hidden="1" x14ac:dyDescent="0.3">
      <c r="A295" t="s">
        <v>27</v>
      </c>
      <c r="B295" t="s">
        <v>28</v>
      </c>
      <c r="C295" t="s">
        <v>9</v>
      </c>
      <c r="D295" t="s">
        <v>10</v>
      </c>
      <c r="E295">
        <v>1996</v>
      </c>
      <c r="F295" s="1">
        <v>100</v>
      </c>
      <c r="G295">
        <v>1990</v>
      </c>
      <c r="H295">
        <f>AVERAGEIFS(Table1[value],Table1[IndicatorCode],Table1[[#This Row],[IndicatorCode]])</f>
        <v>99.756410256410263</v>
      </c>
      <c r="I295" cm="1">
        <f t="array" ref="I295">_xlfn.STDEV.P(IF(Table1[IndicatorCode]=Table1[[#This Row],[IndicatorCode]],Table1[value]))</f>
        <v>1.1047979755287356</v>
      </c>
      <c r="J295">
        <f>(Table1[[#This Row],[value]] - Table1[[#This Row],[mean]]) / Table1[[#This Row],[std_dev]]</f>
        <v>0.22048351733552002</v>
      </c>
      <c r="K295">
        <f>AVERAGEIF(Table1[CountryCode],Table1[[#This Row],[CountryCode]],Table1[z-score])</f>
        <v>0.68174026806790211</v>
      </c>
      <c r="L295" t="e">
        <f>VLOOKUP(Table1[[#This Row],[CountryCode]],[1]!Table1[#All],1,FALSE)</f>
        <v>#REF!</v>
      </c>
    </row>
    <row r="296" spans="1:12" hidden="1" x14ac:dyDescent="0.3">
      <c r="A296" t="s">
        <v>27</v>
      </c>
      <c r="B296" t="s">
        <v>28</v>
      </c>
      <c r="C296" t="s">
        <v>9</v>
      </c>
      <c r="D296" t="s">
        <v>10</v>
      </c>
      <c r="E296">
        <v>1997</v>
      </c>
      <c r="F296" s="1">
        <v>100</v>
      </c>
      <c r="G296">
        <v>2000</v>
      </c>
      <c r="H296">
        <f>AVERAGEIFS(Table1[value],Table1[IndicatorCode],Table1[[#This Row],[IndicatorCode]])</f>
        <v>99.756410256410263</v>
      </c>
      <c r="I296" cm="1">
        <f t="array" ref="I296">_xlfn.STDEV.P(IF(Table1[IndicatorCode]=Table1[[#This Row],[IndicatorCode]],Table1[value]))</f>
        <v>1.1047979755287356</v>
      </c>
      <c r="J296">
        <f>(Table1[[#This Row],[value]] - Table1[[#This Row],[mean]]) / Table1[[#This Row],[std_dev]]</f>
        <v>0.22048351733552002</v>
      </c>
      <c r="K296">
        <f>AVERAGEIF(Table1[CountryCode],Table1[[#This Row],[CountryCode]],Table1[z-score])</f>
        <v>0.68174026806790211</v>
      </c>
      <c r="L296" t="e">
        <f>VLOOKUP(Table1[[#This Row],[CountryCode]],[1]!Table1[#All],1,FALSE)</f>
        <v>#REF!</v>
      </c>
    </row>
    <row r="297" spans="1:12" hidden="1" x14ac:dyDescent="0.3">
      <c r="A297" t="s">
        <v>27</v>
      </c>
      <c r="B297" t="s">
        <v>28</v>
      </c>
      <c r="C297" t="s">
        <v>9</v>
      </c>
      <c r="D297" t="s">
        <v>10</v>
      </c>
      <c r="E297">
        <v>1998</v>
      </c>
      <c r="F297" s="1">
        <v>100</v>
      </c>
      <c r="G297">
        <v>2000</v>
      </c>
      <c r="H297">
        <f>AVERAGEIFS(Table1[value],Table1[IndicatorCode],Table1[[#This Row],[IndicatorCode]])</f>
        <v>99.756410256410263</v>
      </c>
      <c r="I297" cm="1">
        <f t="array" ref="I297">_xlfn.STDEV.P(IF(Table1[IndicatorCode]=Table1[[#This Row],[IndicatorCode]],Table1[value]))</f>
        <v>1.1047979755287356</v>
      </c>
      <c r="J297">
        <f>(Table1[[#This Row],[value]] - Table1[[#This Row],[mean]]) / Table1[[#This Row],[std_dev]]</f>
        <v>0.22048351733552002</v>
      </c>
      <c r="K297">
        <f>AVERAGEIF(Table1[CountryCode],Table1[[#This Row],[CountryCode]],Table1[z-score])</f>
        <v>0.68174026806790211</v>
      </c>
      <c r="L297" t="e">
        <f>VLOOKUP(Table1[[#This Row],[CountryCode]],[1]!Table1[#All],1,FALSE)</f>
        <v>#REF!</v>
      </c>
    </row>
    <row r="298" spans="1:12" hidden="1" x14ac:dyDescent="0.3">
      <c r="A298" t="s">
        <v>27</v>
      </c>
      <c r="B298" t="s">
        <v>28</v>
      </c>
      <c r="C298" t="s">
        <v>9</v>
      </c>
      <c r="D298" t="s">
        <v>10</v>
      </c>
      <c r="E298">
        <v>1999</v>
      </c>
      <c r="F298" s="1">
        <v>100</v>
      </c>
      <c r="G298">
        <v>2000</v>
      </c>
      <c r="H298">
        <f>AVERAGEIFS(Table1[value],Table1[IndicatorCode],Table1[[#This Row],[IndicatorCode]])</f>
        <v>99.756410256410263</v>
      </c>
      <c r="I298" cm="1">
        <f t="array" ref="I298">_xlfn.STDEV.P(IF(Table1[IndicatorCode]=Table1[[#This Row],[IndicatorCode]],Table1[value]))</f>
        <v>1.1047979755287356</v>
      </c>
      <c r="J298">
        <f>(Table1[[#This Row],[value]] - Table1[[#This Row],[mean]]) / Table1[[#This Row],[std_dev]]</f>
        <v>0.22048351733552002</v>
      </c>
      <c r="K298">
        <f>AVERAGEIF(Table1[CountryCode],Table1[[#This Row],[CountryCode]],Table1[z-score])</f>
        <v>0.68174026806790211</v>
      </c>
      <c r="L298" t="e">
        <f>VLOOKUP(Table1[[#This Row],[CountryCode]],[1]!Table1[#All],1,FALSE)</f>
        <v>#REF!</v>
      </c>
    </row>
    <row r="299" spans="1:12" hidden="1" x14ac:dyDescent="0.3">
      <c r="A299" t="s">
        <v>27</v>
      </c>
      <c r="B299" t="s">
        <v>28</v>
      </c>
      <c r="C299" t="s">
        <v>9</v>
      </c>
      <c r="D299" t="s">
        <v>10</v>
      </c>
      <c r="E299">
        <v>2000</v>
      </c>
      <c r="F299" s="1">
        <v>100</v>
      </c>
      <c r="G299">
        <v>2000</v>
      </c>
      <c r="H299">
        <f>AVERAGEIFS(Table1[value],Table1[IndicatorCode],Table1[[#This Row],[IndicatorCode]])</f>
        <v>99.756410256410263</v>
      </c>
      <c r="I299" cm="1">
        <f t="array" ref="I299">_xlfn.STDEV.P(IF(Table1[IndicatorCode]=Table1[[#This Row],[IndicatorCode]],Table1[value]))</f>
        <v>1.1047979755287356</v>
      </c>
      <c r="J299">
        <f>(Table1[[#This Row],[value]] - Table1[[#This Row],[mean]]) / Table1[[#This Row],[std_dev]]</f>
        <v>0.22048351733552002</v>
      </c>
      <c r="K299">
        <f>AVERAGEIF(Table1[CountryCode],Table1[[#This Row],[CountryCode]],Table1[z-score])</f>
        <v>0.68174026806790211</v>
      </c>
      <c r="L299" t="e">
        <f>VLOOKUP(Table1[[#This Row],[CountryCode]],[1]!Table1[#All],1,FALSE)</f>
        <v>#REF!</v>
      </c>
    </row>
    <row r="300" spans="1:12" hidden="1" x14ac:dyDescent="0.3">
      <c r="A300" t="s">
        <v>27</v>
      </c>
      <c r="B300" t="s">
        <v>28</v>
      </c>
      <c r="C300" t="s">
        <v>9</v>
      </c>
      <c r="D300" t="s">
        <v>10</v>
      </c>
      <c r="E300">
        <v>2001</v>
      </c>
      <c r="F300" s="1">
        <v>100</v>
      </c>
      <c r="G300">
        <v>2000</v>
      </c>
      <c r="H300">
        <f>AVERAGEIFS(Table1[value],Table1[IndicatorCode],Table1[[#This Row],[IndicatorCode]])</f>
        <v>99.756410256410263</v>
      </c>
      <c r="I300" cm="1">
        <f t="array" ref="I300">_xlfn.STDEV.P(IF(Table1[IndicatorCode]=Table1[[#This Row],[IndicatorCode]],Table1[value]))</f>
        <v>1.1047979755287356</v>
      </c>
      <c r="J300">
        <f>(Table1[[#This Row],[value]] - Table1[[#This Row],[mean]]) / Table1[[#This Row],[std_dev]]</f>
        <v>0.22048351733552002</v>
      </c>
      <c r="K300">
        <f>AVERAGEIF(Table1[CountryCode],Table1[[#This Row],[CountryCode]],Table1[z-score])</f>
        <v>0.68174026806790211</v>
      </c>
      <c r="L300" t="e">
        <f>VLOOKUP(Table1[[#This Row],[CountryCode]],[1]!Table1[#All],1,FALSE)</f>
        <v>#REF!</v>
      </c>
    </row>
    <row r="301" spans="1:12" hidden="1" x14ac:dyDescent="0.3">
      <c r="A301" t="s">
        <v>27</v>
      </c>
      <c r="B301" t="s">
        <v>28</v>
      </c>
      <c r="C301" t="s">
        <v>9</v>
      </c>
      <c r="D301" t="s">
        <v>10</v>
      </c>
      <c r="E301">
        <v>2002</v>
      </c>
      <c r="F301" s="1">
        <v>100</v>
      </c>
      <c r="G301">
        <v>2000</v>
      </c>
      <c r="H301">
        <f>AVERAGEIFS(Table1[value],Table1[IndicatorCode],Table1[[#This Row],[IndicatorCode]])</f>
        <v>99.756410256410263</v>
      </c>
      <c r="I301" cm="1">
        <f t="array" ref="I301">_xlfn.STDEV.P(IF(Table1[IndicatorCode]=Table1[[#This Row],[IndicatorCode]],Table1[value]))</f>
        <v>1.1047979755287356</v>
      </c>
      <c r="J301">
        <f>(Table1[[#This Row],[value]] - Table1[[#This Row],[mean]]) / Table1[[#This Row],[std_dev]]</f>
        <v>0.22048351733552002</v>
      </c>
      <c r="K301">
        <f>AVERAGEIF(Table1[CountryCode],Table1[[#This Row],[CountryCode]],Table1[z-score])</f>
        <v>0.68174026806790211</v>
      </c>
      <c r="L301" t="e">
        <f>VLOOKUP(Table1[[#This Row],[CountryCode]],[1]!Table1[#All],1,FALSE)</f>
        <v>#REF!</v>
      </c>
    </row>
    <row r="302" spans="1:12" hidden="1" x14ac:dyDescent="0.3">
      <c r="A302" t="s">
        <v>27</v>
      </c>
      <c r="B302" t="s">
        <v>28</v>
      </c>
      <c r="C302" t="s">
        <v>9</v>
      </c>
      <c r="D302" t="s">
        <v>10</v>
      </c>
      <c r="E302">
        <v>2003</v>
      </c>
      <c r="F302" s="1">
        <v>100</v>
      </c>
      <c r="G302">
        <v>2000</v>
      </c>
      <c r="H302">
        <f>AVERAGEIFS(Table1[value],Table1[IndicatorCode],Table1[[#This Row],[IndicatorCode]])</f>
        <v>99.756410256410263</v>
      </c>
      <c r="I302" cm="1">
        <f t="array" ref="I302">_xlfn.STDEV.P(IF(Table1[IndicatorCode]=Table1[[#This Row],[IndicatorCode]],Table1[value]))</f>
        <v>1.1047979755287356</v>
      </c>
      <c r="J302">
        <f>(Table1[[#This Row],[value]] - Table1[[#This Row],[mean]]) / Table1[[#This Row],[std_dev]]</f>
        <v>0.22048351733552002</v>
      </c>
      <c r="K302">
        <f>AVERAGEIF(Table1[CountryCode],Table1[[#This Row],[CountryCode]],Table1[z-score])</f>
        <v>0.68174026806790211</v>
      </c>
      <c r="L302" t="e">
        <f>VLOOKUP(Table1[[#This Row],[CountryCode]],[1]!Table1[#All],1,FALSE)</f>
        <v>#REF!</v>
      </c>
    </row>
    <row r="303" spans="1:12" hidden="1" x14ac:dyDescent="0.3">
      <c r="A303" t="s">
        <v>27</v>
      </c>
      <c r="B303" t="s">
        <v>28</v>
      </c>
      <c r="C303" t="s">
        <v>9</v>
      </c>
      <c r="D303" t="s">
        <v>10</v>
      </c>
      <c r="E303">
        <v>2004</v>
      </c>
      <c r="F303" s="1">
        <v>100</v>
      </c>
      <c r="G303">
        <v>2000</v>
      </c>
      <c r="H303">
        <f>AVERAGEIFS(Table1[value],Table1[IndicatorCode],Table1[[#This Row],[IndicatorCode]])</f>
        <v>99.756410256410263</v>
      </c>
      <c r="I303" cm="1">
        <f t="array" ref="I303">_xlfn.STDEV.P(IF(Table1[IndicatorCode]=Table1[[#This Row],[IndicatorCode]],Table1[value]))</f>
        <v>1.1047979755287356</v>
      </c>
      <c r="J303">
        <f>(Table1[[#This Row],[value]] - Table1[[#This Row],[mean]]) / Table1[[#This Row],[std_dev]]</f>
        <v>0.22048351733552002</v>
      </c>
      <c r="K303">
        <f>AVERAGEIF(Table1[CountryCode],Table1[[#This Row],[CountryCode]],Table1[z-score])</f>
        <v>0.68174026806790211</v>
      </c>
      <c r="L303" t="e">
        <f>VLOOKUP(Table1[[#This Row],[CountryCode]],[1]!Table1[#All],1,FALSE)</f>
        <v>#REF!</v>
      </c>
    </row>
    <row r="304" spans="1:12" hidden="1" x14ac:dyDescent="0.3">
      <c r="A304" t="s">
        <v>27</v>
      </c>
      <c r="B304" t="s">
        <v>28</v>
      </c>
      <c r="C304" t="s">
        <v>9</v>
      </c>
      <c r="D304" t="s">
        <v>10</v>
      </c>
      <c r="E304">
        <v>2005</v>
      </c>
      <c r="F304" s="1">
        <v>100</v>
      </c>
      <c r="G304">
        <v>2000</v>
      </c>
      <c r="H304">
        <f>AVERAGEIFS(Table1[value],Table1[IndicatorCode],Table1[[#This Row],[IndicatorCode]])</f>
        <v>99.756410256410263</v>
      </c>
      <c r="I304" cm="1">
        <f t="array" ref="I304">_xlfn.STDEV.P(IF(Table1[IndicatorCode]=Table1[[#This Row],[IndicatorCode]],Table1[value]))</f>
        <v>1.1047979755287356</v>
      </c>
      <c r="J304">
        <f>(Table1[[#This Row],[value]] - Table1[[#This Row],[mean]]) / Table1[[#This Row],[std_dev]]</f>
        <v>0.22048351733552002</v>
      </c>
      <c r="K304">
        <f>AVERAGEIF(Table1[CountryCode],Table1[[#This Row],[CountryCode]],Table1[z-score])</f>
        <v>0.68174026806790211</v>
      </c>
      <c r="L304" t="e">
        <f>VLOOKUP(Table1[[#This Row],[CountryCode]],[1]!Table1[#All],1,FALSE)</f>
        <v>#REF!</v>
      </c>
    </row>
    <row r="305" spans="1:12" hidden="1" x14ac:dyDescent="0.3">
      <c r="A305" t="s">
        <v>27</v>
      </c>
      <c r="B305" t="s">
        <v>28</v>
      </c>
      <c r="C305" t="s">
        <v>9</v>
      </c>
      <c r="D305" t="s">
        <v>10</v>
      </c>
      <c r="E305">
        <v>2006</v>
      </c>
      <c r="F305" s="1">
        <v>100</v>
      </c>
      <c r="G305">
        <v>2000</v>
      </c>
      <c r="H305">
        <f>AVERAGEIFS(Table1[value],Table1[IndicatorCode],Table1[[#This Row],[IndicatorCode]])</f>
        <v>99.756410256410263</v>
      </c>
      <c r="I305" cm="1">
        <f t="array" ref="I305">_xlfn.STDEV.P(IF(Table1[IndicatorCode]=Table1[[#This Row],[IndicatorCode]],Table1[value]))</f>
        <v>1.1047979755287356</v>
      </c>
      <c r="J305">
        <f>(Table1[[#This Row],[value]] - Table1[[#This Row],[mean]]) / Table1[[#This Row],[std_dev]]</f>
        <v>0.22048351733552002</v>
      </c>
      <c r="K305">
        <f>AVERAGEIF(Table1[CountryCode],Table1[[#This Row],[CountryCode]],Table1[z-score])</f>
        <v>0.68174026806790211</v>
      </c>
      <c r="L305" t="e">
        <f>VLOOKUP(Table1[[#This Row],[CountryCode]],[1]!Table1[#All],1,FALSE)</f>
        <v>#REF!</v>
      </c>
    </row>
    <row r="306" spans="1:12" hidden="1" x14ac:dyDescent="0.3">
      <c r="A306" t="s">
        <v>27</v>
      </c>
      <c r="B306" t="s">
        <v>28</v>
      </c>
      <c r="C306" t="s">
        <v>9</v>
      </c>
      <c r="D306" t="s">
        <v>10</v>
      </c>
      <c r="E306">
        <v>2007</v>
      </c>
      <c r="F306" s="1">
        <v>100</v>
      </c>
      <c r="G306">
        <v>2010</v>
      </c>
      <c r="H306">
        <f>AVERAGEIFS(Table1[value],Table1[IndicatorCode],Table1[[#This Row],[IndicatorCode]])</f>
        <v>99.756410256410263</v>
      </c>
      <c r="I306" cm="1">
        <f t="array" ref="I306">_xlfn.STDEV.P(IF(Table1[IndicatorCode]=Table1[[#This Row],[IndicatorCode]],Table1[value]))</f>
        <v>1.1047979755287356</v>
      </c>
      <c r="J306">
        <f>(Table1[[#This Row],[value]] - Table1[[#This Row],[mean]]) / Table1[[#This Row],[std_dev]]</f>
        <v>0.22048351733552002</v>
      </c>
      <c r="K306">
        <f>AVERAGEIF(Table1[CountryCode],Table1[[#This Row],[CountryCode]],Table1[z-score])</f>
        <v>0.68174026806790211</v>
      </c>
      <c r="L306" t="e">
        <f>VLOOKUP(Table1[[#This Row],[CountryCode]],[1]!Table1[#All],1,FALSE)</f>
        <v>#REF!</v>
      </c>
    </row>
    <row r="307" spans="1:12" hidden="1" x14ac:dyDescent="0.3">
      <c r="A307" t="s">
        <v>27</v>
      </c>
      <c r="B307" t="s">
        <v>28</v>
      </c>
      <c r="C307" t="s">
        <v>9</v>
      </c>
      <c r="D307" t="s">
        <v>10</v>
      </c>
      <c r="E307">
        <v>2008</v>
      </c>
      <c r="F307" s="1">
        <v>100</v>
      </c>
      <c r="G307">
        <v>2010</v>
      </c>
      <c r="H307">
        <f>AVERAGEIFS(Table1[value],Table1[IndicatorCode],Table1[[#This Row],[IndicatorCode]])</f>
        <v>99.756410256410263</v>
      </c>
      <c r="I307" cm="1">
        <f t="array" ref="I307">_xlfn.STDEV.P(IF(Table1[IndicatorCode]=Table1[[#This Row],[IndicatorCode]],Table1[value]))</f>
        <v>1.1047979755287356</v>
      </c>
      <c r="J307">
        <f>(Table1[[#This Row],[value]] - Table1[[#This Row],[mean]]) / Table1[[#This Row],[std_dev]]</f>
        <v>0.22048351733552002</v>
      </c>
      <c r="K307">
        <f>AVERAGEIF(Table1[CountryCode],Table1[[#This Row],[CountryCode]],Table1[z-score])</f>
        <v>0.68174026806790211</v>
      </c>
      <c r="L307" t="e">
        <f>VLOOKUP(Table1[[#This Row],[CountryCode]],[1]!Table1[#All],1,FALSE)</f>
        <v>#REF!</v>
      </c>
    </row>
    <row r="308" spans="1:12" hidden="1" x14ac:dyDescent="0.3">
      <c r="A308" t="s">
        <v>27</v>
      </c>
      <c r="B308" t="s">
        <v>28</v>
      </c>
      <c r="C308" t="s">
        <v>9</v>
      </c>
      <c r="D308" t="s">
        <v>10</v>
      </c>
      <c r="E308">
        <v>2009</v>
      </c>
      <c r="F308" s="1">
        <v>100</v>
      </c>
      <c r="G308">
        <v>2010</v>
      </c>
      <c r="H308">
        <f>AVERAGEIFS(Table1[value],Table1[IndicatorCode],Table1[[#This Row],[IndicatorCode]])</f>
        <v>99.756410256410263</v>
      </c>
      <c r="I308" cm="1">
        <f t="array" ref="I308">_xlfn.STDEV.P(IF(Table1[IndicatorCode]=Table1[[#This Row],[IndicatorCode]],Table1[value]))</f>
        <v>1.1047979755287356</v>
      </c>
      <c r="J308">
        <f>(Table1[[#This Row],[value]] - Table1[[#This Row],[mean]]) / Table1[[#This Row],[std_dev]]</f>
        <v>0.22048351733552002</v>
      </c>
      <c r="K308">
        <f>AVERAGEIF(Table1[CountryCode],Table1[[#This Row],[CountryCode]],Table1[z-score])</f>
        <v>0.68174026806790211</v>
      </c>
      <c r="L308" t="e">
        <f>VLOOKUP(Table1[[#This Row],[CountryCode]],[1]!Table1[#All],1,FALSE)</f>
        <v>#REF!</v>
      </c>
    </row>
    <row r="309" spans="1:12" hidden="1" x14ac:dyDescent="0.3">
      <c r="A309" t="s">
        <v>27</v>
      </c>
      <c r="B309" t="s">
        <v>28</v>
      </c>
      <c r="C309" t="s">
        <v>9</v>
      </c>
      <c r="D309" t="s">
        <v>10</v>
      </c>
      <c r="E309">
        <v>2010</v>
      </c>
      <c r="F309" s="1">
        <v>100</v>
      </c>
      <c r="G309">
        <v>2010</v>
      </c>
      <c r="H309">
        <f>AVERAGEIFS(Table1[value],Table1[IndicatorCode],Table1[[#This Row],[IndicatorCode]])</f>
        <v>99.756410256410263</v>
      </c>
      <c r="I309" cm="1">
        <f t="array" ref="I309">_xlfn.STDEV.P(IF(Table1[IndicatorCode]=Table1[[#This Row],[IndicatorCode]],Table1[value]))</f>
        <v>1.1047979755287356</v>
      </c>
      <c r="J309">
        <f>(Table1[[#This Row],[value]] - Table1[[#This Row],[mean]]) / Table1[[#This Row],[std_dev]]</f>
        <v>0.22048351733552002</v>
      </c>
      <c r="K309">
        <f>AVERAGEIF(Table1[CountryCode],Table1[[#This Row],[CountryCode]],Table1[z-score])</f>
        <v>0.68174026806790211</v>
      </c>
      <c r="L309" t="e">
        <f>VLOOKUP(Table1[[#This Row],[CountryCode]],[1]!Table1[#All],1,FALSE)</f>
        <v>#REF!</v>
      </c>
    </row>
    <row r="310" spans="1:12" hidden="1" x14ac:dyDescent="0.3">
      <c r="A310" t="s">
        <v>27</v>
      </c>
      <c r="B310" t="s">
        <v>28</v>
      </c>
      <c r="C310" t="s">
        <v>9</v>
      </c>
      <c r="D310" t="s">
        <v>10</v>
      </c>
      <c r="E310">
        <v>2011</v>
      </c>
      <c r="F310" s="1">
        <v>100</v>
      </c>
      <c r="G310">
        <v>2010</v>
      </c>
      <c r="H310">
        <f>AVERAGEIFS(Table1[value],Table1[IndicatorCode],Table1[[#This Row],[IndicatorCode]])</f>
        <v>99.756410256410263</v>
      </c>
      <c r="I310" cm="1">
        <f t="array" ref="I310">_xlfn.STDEV.P(IF(Table1[IndicatorCode]=Table1[[#This Row],[IndicatorCode]],Table1[value]))</f>
        <v>1.1047979755287356</v>
      </c>
      <c r="J310">
        <f>(Table1[[#This Row],[value]] - Table1[[#This Row],[mean]]) / Table1[[#This Row],[std_dev]]</f>
        <v>0.22048351733552002</v>
      </c>
      <c r="K310">
        <f>AVERAGEIF(Table1[CountryCode],Table1[[#This Row],[CountryCode]],Table1[z-score])</f>
        <v>0.68174026806790211</v>
      </c>
      <c r="L310" t="e">
        <f>VLOOKUP(Table1[[#This Row],[CountryCode]],[1]!Table1[#All],1,FALSE)</f>
        <v>#REF!</v>
      </c>
    </row>
    <row r="311" spans="1:12" hidden="1" x14ac:dyDescent="0.3">
      <c r="A311" t="s">
        <v>27</v>
      </c>
      <c r="B311" t="s">
        <v>28</v>
      </c>
      <c r="C311" t="s">
        <v>9</v>
      </c>
      <c r="D311" t="s">
        <v>10</v>
      </c>
      <c r="E311">
        <v>2012</v>
      </c>
      <c r="F311" s="1">
        <v>100</v>
      </c>
      <c r="G311">
        <v>2010</v>
      </c>
      <c r="H311">
        <f>AVERAGEIFS(Table1[value],Table1[IndicatorCode],Table1[[#This Row],[IndicatorCode]])</f>
        <v>99.756410256410263</v>
      </c>
      <c r="I311" cm="1">
        <f t="array" ref="I311">_xlfn.STDEV.P(IF(Table1[IndicatorCode]=Table1[[#This Row],[IndicatorCode]],Table1[value]))</f>
        <v>1.1047979755287356</v>
      </c>
      <c r="J311">
        <f>(Table1[[#This Row],[value]] - Table1[[#This Row],[mean]]) / Table1[[#This Row],[std_dev]]</f>
        <v>0.22048351733552002</v>
      </c>
      <c r="K311">
        <f>AVERAGEIF(Table1[CountryCode],Table1[[#This Row],[CountryCode]],Table1[z-score])</f>
        <v>0.68174026806790211</v>
      </c>
      <c r="L311" t="e">
        <f>VLOOKUP(Table1[[#This Row],[CountryCode]],[1]!Table1[#All],1,FALSE)</f>
        <v>#REF!</v>
      </c>
    </row>
    <row r="312" spans="1:12" hidden="1" x14ac:dyDescent="0.3">
      <c r="A312" t="s">
        <v>27</v>
      </c>
      <c r="B312" t="s">
        <v>28</v>
      </c>
      <c r="C312" t="s">
        <v>9</v>
      </c>
      <c r="D312" t="s">
        <v>10</v>
      </c>
      <c r="E312">
        <v>2013</v>
      </c>
      <c r="F312" s="1">
        <v>100</v>
      </c>
      <c r="G312">
        <v>2010</v>
      </c>
      <c r="H312">
        <f>AVERAGEIFS(Table1[value],Table1[IndicatorCode],Table1[[#This Row],[IndicatorCode]])</f>
        <v>99.756410256410263</v>
      </c>
      <c r="I312" cm="1">
        <f t="array" ref="I312">_xlfn.STDEV.P(IF(Table1[IndicatorCode]=Table1[[#This Row],[IndicatorCode]],Table1[value]))</f>
        <v>1.1047979755287356</v>
      </c>
      <c r="J312">
        <f>(Table1[[#This Row],[value]] - Table1[[#This Row],[mean]]) / Table1[[#This Row],[std_dev]]</f>
        <v>0.22048351733552002</v>
      </c>
      <c r="K312">
        <f>AVERAGEIF(Table1[CountryCode],Table1[[#This Row],[CountryCode]],Table1[z-score])</f>
        <v>0.68174026806790211</v>
      </c>
      <c r="L312" t="e">
        <f>VLOOKUP(Table1[[#This Row],[CountryCode]],[1]!Table1[#All],1,FALSE)</f>
        <v>#REF!</v>
      </c>
    </row>
    <row r="313" spans="1:12" hidden="1" x14ac:dyDescent="0.3">
      <c r="A313" t="s">
        <v>27</v>
      </c>
      <c r="B313" t="s">
        <v>28</v>
      </c>
      <c r="C313" t="s">
        <v>9</v>
      </c>
      <c r="D313" t="s">
        <v>10</v>
      </c>
      <c r="E313">
        <v>2014</v>
      </c>
      <c r="F313" s="1">
        <v>100</v>
      </c>
      <c r="G313">
        <v>2010</v>
      </c>
      <c r="H313">
        <f>AVERAGEIFS(Table1[value],Table1[IndicatorCode],Table1[[#This Row],[IndicatorCode]])</f>
        <v>99.756410256410263</v>
      </c>
      <c r="I313" cm="1">
        <f t="array" ref="I313">_xlfn.STDEV.P(IF(Table1[IndicatorCode]=Table1[[#This Row],[IndicatorCode]],Table1[value]))</f>
        <v>1.1047979755287356</v>
      </c>
      <c r="J313">
        <f>(Table1[[#This Row],[value]] - Table1[[#This Row],[mean]]) / Table1[[#This Row],[std_dev]]</f>
        <v>0.22048351733552002</v>
      </c>
      <c r="K313">
        <f>AVERAGEIF(Table1[CountryCode],Table1[[#This Row],[CountryCode]],Table1[z-score])</f>
        <v>0.68174026806790211</v>
      </c>
      <c r="L313" t="e">
        <f>VLOOKUP(Table1[[#This Row],[CountryCode]],[1]!Table1[#All],1,FALSE)</f>
        <v>#REF!</v>
      </c>
    </row>
    <row r="314" spans="1:12" hidden="1" x14ac:dyDescent="0.3">
      <c r="A314" t="s">
        <v>27</v>
      </c>
      <c r="B314" t="s">
        <v>28</v>
      </c>
      <c r="C314" t="s">
        <v>9</v>
      </c>
      <c r="D314" t="s">
        <v>10</v>
      </c>
      <c r="E314">
        <v>2015</v>
      </c>
      <c r="F314" s="1">
        <v>100</v>
      </c>
      <c r="G314">
        <v>2010</v>
      </c>
      <c r="H314">
        <f>AVERAGEIFS(Table1[value],Table1[IndicatorCode],Table1[[#This Row],[IndicatorCode]])</f>
        <v>99.756410256410263</v>
      </c>
      <c r="I314" cm="1">
        <f t="array" ref="I314">_xlfn.STDEV.P(IF(Table1[IndicatorCode]=Table1[[#This Row],[IndicatorCode]],Table1[value]))</f>
        <v>1.1047979755287356</v>
      </c>
      <c r="J314">
        <f>(Table1[[#This Row],[value]] - Table1[[#This Row],[mean]]) / Table1[[#This Row],[std_dev]]</f>
        <v>0.22048351733552002</v>
      </c>
      <c r="K314">
        <f>AVERAGEIF(Table1[CountryCode],Table1[[#This Row],[CountryCode]],Table1[z-score])</f>
        <v>0.68174026806790211</v>
      </c>
      <c r="L314" t="e">
        <f>VLOOKUP(Table1[[#This Row],[CountryCode]],[1]!Table1[#All],1,FALSE)</f>
        <v>#REF!</v>
      </c>
    </row>
    <row r="315" spans="1:12" hidden="1" x14ac:dyDescent="0.3">
      <c r="A315" t="s">
        <v>27</v>
      </c>
      <c r="B315" t="s">
        <v>28</v>
      </c>
      <c r="C315" t="s">
        <v>9</v>
      </c>
      <c r="D315" t="s">
        <v>10</v>
      </c>
      <c r="E315">
        <v>2016</v>
      </c>
      <c r="F315" s="1">
        <v>100</v>
      </c>
      <c r="G315">
        <v>2010</v>
      </c>
      <c r="H315">
        <f>AVERAGEIFS(Table1[value],Table1[IndicatorCode],Table1[[#This Row],[IndicatorCode]])</f>
        <v>99.756410256410263</v>
      </c>
      <c r="I315" cm="1">
        <f t="array" ref="I315">_xlfn.STDEV.P(IF(Table1[IndicatorCode]=Table1[[#This Row],[IndicatorCode]],Table1[value]))</f>
        <v>1.1047979755287356</v>
      </c>
      <c r="J315">
        <f>(Table1[[#This Row],[value]] - Table1[[#This Row],[mean]]) / Table1[[#This Row],[std_dev]]</f>
        <v>0.22048351733552002</v>
      </c>
      <c r="K315">
        <f>AVERAGEIF(Table1[CountryCode],Table1[[#This Row],[CountryCode]],Table1[z-score])</f>
        <v>0.68174026806790211</v>
      </c>
      <c r="L315" t="e">
        <f>VLOOKUP(Table1[[#This Row],[CountryCode]],[1]!Table1[#All],1,FALSE)</f>
        <v>#REF!</v>
      </c>
    </row>
    <row r="316" spans="1:12" hidden="1" x14ac:dyDescent="0.3">
      <c r="A316" t="s">
        <v>27</v>
      </c>
      <c r="B316" t="s">
        <v>28</v>
      </c>
      <c r="C316" t="s">
        <v>9</v>
      </c>
      <c r="D316" t="s">
        <v>10</v>
      </c>
      <c r="E316">
        <v>2017</v>
      </c>
      <c r="F316" s="1">
        <v>100</v>
      </c>
      <c r="G316">
        <v>2020</v>
      </c>
      <c r="H316">
        <f>AVERAGEIFS(Table1[value],Table1[IndicatorCode],Table1[[#This Row],[IndicatorCode]])</f>
        <v>99.756410256410263</v>
      </c>
      <c r="I316" cm="1">
        <f t="array" ref="I316">_xlfn.STDEV.P(IF(Table1[IndicatorCode]=Table1[[#This Row],[IndicatorCode]],Table1[value]))</f>
        <v>1.1047979755287356</v>
      </c>
      <c r="J316">
        <f>(Table1[[#This Row],[value]] - Table1[[#This Row],[mean]]) / Table1[[#This Row],[std_dev]]</f>
        <v>0.22048351733552002</v>
      </c>
      <c r="K316">
        <f>AVERAGEIF(Table1[CountryCode],Table1[[#This Row],[CountryCode]],Table1[z-score])</f>
        <v>0.68174026806790211</v>
      </c>
      <c r="L316" t="e">
        <f>VLOOKUP(Table1[[#This Row],[CountryCode]],[1]!Table1[#All],1,FALSE)</f>
        <v>#REF!</v>
      </c>
    </row>
    <row r="317" spans="1:12" hidden="1" x14ac:dyDescent="0.3">
      <c r="A317" t="s">
        <v>27</v>
      </c>
      <c r="B317" t="s">
        <v>28</v>
      </c>
      <c r="C317" t="s">
        <v>9</v>
      </c>
      <c r="D317" t="s">
        <v>10</v>
      </c>
      <c r="E317">
        <v>2018</v>
      </c>
      <c r="F317" s="1">
        <v>100</v>
      </c>
      <c r="G317">
        <v>2020</v>
      </c>
      <c r="H317">
        <f>AVERAGEIFS(Table1[value],Table1[IndicatorCode],Table1[[#This Row],[IndicatorCode]])</f>
        <v>99.756410256410263</v>
      </c>
      <c r="I317" cm="1">
        <f t="array" ref="I317">_xlfn.STDEV.P(IF(Table1[IndicatorCode]=Table1[[#This Row],[IndicatorCode]],Table1[value]))</f>
        <v>1.1047979755287356</v>
      </c>
      <c r="J317">
        <f>(Table1[[#This Row],[value]] - Table1[[#This Row],[mean]]) / Table1[[#This Row],[std_dev]]</f>
        <v>0.22048351733552002</v>
      </c>
      <c r="K317">
        <f>AVERAGEIF(Table1[CountryCode],Table1[[#This Row],[CountryCode]],Table1[z-score])</f>
        <v>0.68174026806790211</v>
      </c>
      <c r="L317" t="e">
        <f>VLOOKUP(Table1[[#This Row],[CountryCode]],[1]!Table1[#All],1,FALSE)</f>
        <v>#REF!</v>
      </c>
    </row>
    <row r="318" spans="1:12" hidden="1" x14ac:dyDescent="0.3">
      <c r="A318" t="s">
        <v>27</v>
      </c>
      <c r="B318" t="s">
        <v>28</v>
      </c>
      <c r="C318" t="s">
        <v>9</v>
      </c>
      <c r="D318" t="s">
        <v>10</v>
      </c>
      <c r="E318">
        <v>2019</v>
      </c>
      <c r="F318" s="1">
        <v>100</v>
      </c>
      <c r="G318">
        <v>2020</v>
      </c>
      <c r="H318">
        <f>AVERAGEIFS(Table1[value],Table1[IndicatorCode],Table1[[#This Row],[IndicatorCode]])</f>
        <v>99.756410256410263</v>
      </c>
      <c r="I318" cm="1">
        <f t="array" ref="I318">_xlfn.STDEV.P(IF(Table1[IndicatorCode]=Table1[[#This Row],[IndicatorCode]],Table1[value]))</f>
        <v>1.1047979755287356</v>
      </c>
      <c r="J318">
        <f>(Table1[[#This Row],[value]] - Table1[[#This Row],[mean]]) / Table1[[#This Row],[std_dev]]</f>
        <v>0.22048351733552002</v>
      </c>
      <c r="K318">
        <f>AVERAGEIF(Table1[CountryCode],Table1[[#This Row],[CountryCode]],Table1[z-score])</f>
        <v>0.68174026806790211</v>
      </c>
      <c r="L318" t="e">
        <f>VLOOKUP(Table1[[#This Row],[CountryCode]],[1]!Table1[#All],1,FALSE)</f>
        <v>#REF!</v>
      </c>
    </row>
    <row r="319" spans="1:12" x14ac:dyDescent="0.3">
      <c r="A319" t="s">
        <v>27</v>
      </c>
      <c r="B319" t="s">
        <v>28</v>
      </c>
      <c r="C319" t="s">
        <v>9</v>
      </c>
      <c r="D319" t="s">
        <v>10</v>
      </c>
      <c r="E319">
        <v>2020</v>
      </c>
      <c r="F319" s="1">
        <v>100</v>
      </c>
      <c r="G319">
        <v>2020</v>
      </c>
      <c r="H319">
        <f>AVERAGEIFS(Table1[value],Table1[IndicatorCode],Table1[[#This Row],[IndicatorCode]])</f>
        <v>99.756410256410263</v>
      </c>
      <c r="I319" cm="1">
        <f t="array" ref="I319">_xlfn.STDEV.P(IF(Table1[IndicatorCode]=Table1[[#This Row],[IndicatorCode]],Table1[value]))</f>
        <v>1.1047979755287356</v>
      </c>
      <c r="J319">
        <f>(Table1[[#This Row],[value]] - Table1[[#This Row],[mean]]) / Table1[[#This Row],[std_dev]]</f>
        <v>0.22048351733552002</v>
      </c>
      <c r="K319">
        <f>AVERAGEIF(Table1[CountryCode],Table1[[#This Row],[CountryCode]],Table1[z-score])</f>
        <v>0.68174026806790211</v>
      </c>
    </row>
    <row r="320" spans="1:12" hidden="1" x14ac:dyDescent="0.3">
      <c r="A320" t="s">
        <v>27</v>
      </c>
      <c r="B320" t="s">
        <v>28</v>
      </c>
      <c r="C320" t="s">
        <v>9</v>
      </c>
      <c r="D320" t="s">
        <v>10</v>
      </c>
      <c r="E320">
        <v>2021</v>
      </c>
      <c r="F320" s="1">
        <v>100</v>
      </c>
      <c r="G320">
        <v>1990</v>
      </c>
      <c r="H320">
        <f>AVERAGEIFS(Table1[value],Table1[IndicatorCode],Table1[[#This Row],[IndicatorCode]])</f>
        <v>99.756410256410263</v>
      </c>
      <c r="I320" cm="1">
        <f t="array" ref="I320">_xlfn.STDEV.P(IF(Table1[IndicatorCode]=Table1[[#This Row],[IndicatorCode]],Table1[value]))</f>
        <v>1.1047979755287356</v>
      </c>
      <c r="J320">
        <f>(Table1[[#This Row],[value]] - Table1[[#This Row],[mean]]) / Table1[[#This Row],[std_dev]]</f>
        <v>0.22048351733552002</v>
      </c>
      <c r="K320">
        <f>AVERAGEIF(Table1[CountryCode],Table1[[#This Row],[CountryCode]],Table1[z-score])</f>
        <v>0.68174026806790211</v>
      </c>
      <c r="L320" t="e">
        <f>VLOOKUP(Table1[[#This Row],[CountryCode]],[1]!Table1[#All],1,FALSE)</f>
        <v>#REF!</v>
      </c>
    </row>
    <row r="321" spans="1:12" hidden="1" x14ac:dyDescent="0.3">
      <c r="A321" t="s">
        <v>27</v>
      </c>
      <c r="B321" t="s">
        <v>28</v>
      </c>
      <c r="C321" t="s">
        <v>9</v>
      </c>
      <c r="D321" t="s">
        <v>10</v>
      </c>
      <c r="E321">
        <v>2022</v>
      </c>
      <c r="F321" s="1">
        <v>100</v>
      </c>
      <c r="G321">
        <v>1990</v>
      </c>
      <c r="H321">
        <f>AVERAGEIFS(Table1[value],Table1[IndicatorCode],Table1[[#This Row],[IndicatorCode]])</f>
        <v>99.756410256410263</v>
      </c>
      <c r="I321" cm="1">
        <f t="array" ref="I321">_xlfn.STDEV.P(IF(Table1[IndicatorCode]=Table1[[#This Row],[IndicatorCode]],Table1[value]))</f>
        <v>1.1047979755287356</v>
      </c>
      <c r="J321">
        <f>(Table1[[#This Row],[value]] - Table1[[#This Row],[mean]]) / Table1[[#This Row],[std_dev]]</f>
        <v>0.22048351733552002</v>
      </c>
      <c r="K321">
        <f>AVERAGEIF(Table1[CountryCode],Table1[[#This Row],[CountryCode]],Table1[z-score])</f>
        <v>0.68174026806790211</v>
      </c>
      <c r="L321" t="e">
        <f>VLOOKUP(Table1[[#This Row],[CountryCode]],[1]!Table1[#All],1,FALSE)</f>
        <v>#REF!</v>
      </c>
    </row>
    <row r="322" spans="1:12" hidden="1" x14ac:dyDescent="0.3">
      <c r="A322" t="s">
        <v>27</v>
      </c>
      <c r="B322" t="s">
        <v>28</v>
      </c>
      <c r="C322" t="s">
        <v>9</v>
      </c>
      <c r="D322" t="s">
        <v>10</v>
      </c>
      <c r="E322">
        <v>2023</v>
      </c>
      <c r="F322" s="1">
        <v>100</v>
      </c>
      <c r="G322">
        <v>1990</v>
      </c>
      <c r="H322">
        <f>AVERAGEIFS(Table1[value],Table1[IndicatorCode],Table1[[#This Row],[IndicatorCode]])</f>
        <v>99.756410256410263</v>
      </c>
      <c r="I322" cm="1">
        <f t="array" ref="I322">_xlfn.STDEV.P(IF(Table1[IndicatorCode]=Table1[[#This Row],[IndicatorCode]],Table1[value]))</f>
        <v>1.1047979755287356</v>
      </c>
      <c r="J322">
        <f>(Table1[[#This Row],[value]] - Table1[[#This Row],[mean]]) / Table1[[#This Row],[std_dev]]</f>
        <v>0.22048351733552002</v>
      </c>
      <c r="K322">
        <f>AVERAGEIF(Table1[CountryCode],Table1[[#This Row],[CountryCode]],Table1[z-score])</f>
        <v>0.68174026806790211</v>
      </c>
      <c r="L322" t="e">
        <f>VLOOKUP(Table1[[#This Row],[CountryCode]],[1]!Table1[#All],1,FALSE)</f>
        <v>#REF!</v>
      </c>
    </row>
    <row r="323" spans="1:12" hidden="1" x14ac:dyDescent="0.3">
      <c r="A323" t="s">
        <v>29</v>
      </c>
      <c r="B323" t="s">
        <v>30</v>
      </c>
      <c r="C323" t="s">
        <v>9</v>
      </c>
      <c r="D323" t="s">
        <v>10</v>
      </c>
      <c r="E323">
        <v>1990</v>
      </c>
      <c r="F323" s="1">
        <v>100</v>
      </c>
      <c r="G323">
        <v>1990</v>
      </c>
      <c r="H323">
        <f>AVERAGEIFS(Table1[value],Table1[IndicatorCode],Table1[[#This Row],[IndicatorCode]])</f>
        <v>99.756410256410263</v>
      </c>
      <c r="I323" cm="1">
        <f t="array" ref="I323">_xlfn.STDEV.P(IF(Table1[IndicatorCode]=Table1[[#This Row],[IndicatorCode]],Table1[value]))</f>
        <v>1.1047979755287356</v>
      </c>
      <c r="J323">
        <f>(Table1[[#This Row],[value]] - Table1[[#This Row],[mean]]) / Table1[[#This Row],[std_dev]]</f>
        <v>0.22048351733552002</v>
      </c>
      <c r="K323">
        <f>AVERAGEIF(Table1[CountryCode],Table1[[#This Row],[CountryCode]],Table1[z-score])</f>
        <v>0.62183816728032393</v>
      </c>
      <c r="L323" t="e">
        <f>VLOOKUP(Table1[[#This Row],[CountryCode]],[1]!Table1[#All],1,FALSE)</f>
        <v>#REF!</v>
      </c>
    </row>
    <row r="324" spans="1:12" hidden="1" x14ac:dyDescent="0.3">
      <c r="A324" t="s">
        <v>29</v>
      </c>
      <c r="B324" t="s">
        <v>30</v>
      </c>
      <c r="C324" t="s">
        <v>9</v>
      </c>
      <c r="D324" t="s">
        <v>10</v>
      </c>
      <c r="E324">
        <v>1991</v>
      </c>
      <c r="F324" s="1">
        <v>100</v>
      </c>
      <c r="G324">
        <v>1990</v>
      </c>
      <c r="H324">
        <f>AVERAGEIFS(Table1[value],Table1[IndicatorCode],Table1[[#This Row],[IndicatorCode]])</f>
        <v>99.756410256410263</v>
      </c>
      <c r="I324" cm="1">
        <f t="array" ref="I324">_xlfn.STDEV.P(IF(Table1[IndicatorCode]=Table1[[#This Row],[IndicatorCode]],Table1[value]))</f>
        <v>1.1047979755287356</v>
      </c>
      <c r="J324">
        <f>(Table1[[#This Row],[value]] - Table1[[#This Row],[mean]]) / Table1[[#This Row],[std_dev]]</f>
        <v>0.22048351733552002</v>
      </c>
      <c r="K324">
        <f>AVERAGEIF(Table1[CountryCode],Table1[[#This Row],[CountryCode]],Table1[z-score])</f>
        <v>0.62183816728032393</v>
      </c>
      <c r="L324" t="e">
        <f>VLOOKUP(Table1[[#This Row],[CountryCode]],[1]!Table1[#All],1,FALSE)</f>
        <v>#REF!</v>
      </c>
    </row>
    <row r="325" spans="1:12" hidden="1" x14ac:dyDescent="0.3">
      <c r="A325" t="s">
        <v>29</v>
      </c>
      <c r="B325" t="s">
        <v>30</v>
      </c>
      <c r="C325" t="s">
        <v>9</v>
      </c>
      <c r="D325" t="s">
        <v>10</v>
      </c>
      <c r="E325">
        <v>1992</v>
      </c>
      <c r="F325" s="1">
        <v>100</v>
      </c>
      <c r="G325">
        <v>1990</v>
      </c>
      <c r="H325">
        <f>AVERAGEIFS(Table1[value],Table1[IndicatorCode],Table1[[#This Row],[IndicatorCode]])</f>
        <v>99.756410256410263</v>
      </c>
      <c r="I325" cm="1">
        <f t="array" ref="I325">_xlfn.STDEV.P(IF(Table1[IndicatorCode]=Table1[[#This Row],[IndicatorCode]],Table1[value]))</f>
        <v>1.1047979755287356</v>
      </c>
      <c r="J325">
        <f>(Table1[[#This Row],[value]] - Table1[[#This Row],[mean]]) / Table1[[#This Row],[std_dev]]</f>
        <v>0.22048351733552002</v>
      </c>
      <c r="K325">
        <f>AVERAGEIF(Table1[CountryCode],Table1[[#This Row],[CountryCode]],Table1[z-score])</f>
        <v>0.62183816728032393</v>
      </c>
      <c r="L325" t="e">
        <f>VLOOKUP(Table1[[#This Row],[CountryCode]],[1]!Table1[#All],1,FALSE)</f>
        <v>#REF!</v>
      </c>
    </row>
    <row r="326" spans="1:12" hidden="1" x14ac:dyDescent="0.3">
      <c r="A326" t="s">
        <v>29</v>
      </c>
      <c r="B326" t="s">
        <v>30</v>
      </c>
      <c r="C326" t="s">
        <v>9</v>
      </c>
      <c r="D326" t="s">
        <v>10</v>
      </c>
      <c r="E326">
        <v>1993</v>
      </c>
      <c r="F326" s="1">
        <v>100</v>
      </c>
      <c r="G326">
        <v>1990</v>
      </c>
      <c r="H326">
        <f>AVERAGEIFS(Table1[value],Table1[IndicatorCode],Table1[[#This Row],[IndicatorCode]])</f>
        <v>99.756410256410263</v>
      </c>
      <c r="I326" cm="1">
        <f t="array" ref="I326">_xlfn.STDEV.P(IF(Table1[IndicatorCode]=Table1[[#This Row],[IndicatorCode]],Table1[value]))</f>
        <v>1.1047979755287356</v>
      </c>
      <c r="J326">
        <f>(Table1[[#This Row],[value]] - Table1[[#This Row],[mean]]) / Table1[[#This Row],[std_dev]]</f>
        <v>0.22048351733552002</v>
      </c>
      <c r="K326">
        <f>AVERAGEIF(Table1[CountryCode],Table1[[#This Row],[CountryCode]],Table1[z-score])</f>
        <v>0.62183816728032393</v>
      </c>
      <c r="L326" t="e">
        <f>VLOOKUP(Table1[[#This Row],[CountryCode]],[1]!Table1[#All],1,FALSE)</f>
        <v>#REF!</v>
      </c>
    </row>
    <row r="327" spans="1:12" hidden="1" x14ac:dyDescent="0.3">
      <c r="A327" t="s">
        <v>29</v>
      </c>
      <c r="B327" t="s">
        <v>30</v>
      </c>
      <c r="C327" t="s">
        <v>9</v>
      </c>
      <c r="D327" t="s">
        <v>10</v>
      </c>
      <c r="E327">
        <v>1994</v>
      </c>
      <c r="F327" s="1">
        <v>100</v>
      </c>
      <c r="G327">
        <v>1990</v>
      </c>
      <c r="H327">
        <f>AVERAGEIFS(Table1[value],Table1[IndicatorCode],Table1[[#This Row],[IndicatorCode]])</f>
        <v>99.756410256410263</v>
      </c>
      <c r="I327" cm="1">
        <f t="array" ref="I327">_xlfn.STDEV.P(IF(Table1[IndicatorCode]=Table1[[#This Row],[IndicatorCode]],Table1[value]))</f>
        <v>1.1047979755287356</v>
      </c>
      <c r="J327">
        <f>(Table1[[#This Row],[value]] - Table1[[#This Row],[mean]]) / Table1[[#This Row],[std_dev]]</f>
        <v>0.22048351733552002</v>
      </c>
      <c r="K327">
        <f>AVERAGEIF(Table1[CountryCode],Table1[[#This Row],[CountryCode]],Table1[z-score])</f>
        <v>0.62183816728032393</v>
      </c>
      <c r="L327" t="e">
        <f>VLOOKUP(Table1[[#This Row],[CountryCode]],[1]!Table1[#All],1,FALSE)</f>
        <v>#REF!</v>
      </c>
    </row>
    <row r="328" spans="1:12" hidden="1" x14ac:dyDescent="0.3">
      <c r="A328" t="s">
        <v>29</v>
      </c>
      <c r="B328" t="s">
        <v>30</v>
      </c>
      <c r="C328" t="s">
        <v>9</v>
      </c>
      <c r="D328" t="s">
        <v>10</v>
      </c>
      <c r="E328">
        <v>1995</v>
      </c>
      <c r="F328" s="1">
        <v>100</v>
      </c>
      <c r="G328">
        <v>1990</v>
      </c>
      <c r="H328">
        <f>AVERAGEIFS(Table1[value],Table1[IndicatorCode],Table1[[#This Row],[IndicatorCode]])</f>
        <v>99.756410256410263</v>
      </c>
      <c r="I328" cm="1">
        <f t="array" ref="I328">_xlfn.STDEV.P(IF(Table1[IndicatorCode]=Table1[[#This Row],[IndicatorCode]],Table1[value]))</f>
        <v>1.1047979755287356</v>
      </c>
      <c r="J328">
        <f>(Table1[[#This Row],[value]] - Table1[[#This Row],[mean]]) / Table1[[#This Row],[std_dev]]</f>
        <v>0.22048351733552002</v>
      </c>
      <c r="K328">
        <f>AVERAGEIF(Table1[CountryCode],Table1[[#This Row],[CountryCode]],Table1[z-score])</f>
        <v>0.62183816728032393</v>
      </c>
      <c r="L328" t="e">
        <f>VLOOKUP(Table1[[#This Row],[CountryCode]],[1]!Table1[#All],1,FALSE)</f>
        <v>#REF!</v>
      </c>
    </row>
    <row r="329" spans="1:12" hidden="1" x14ac:dyDescent="0.3">
      <c r="A329" t="s">
        <v>29</v>
      </c>
      <c r="B329" t="s">
        <v>30</v>
      </c>
      <c r="C329" t="s">
        <v>9</v>
      </c>
      <c r="D329" t="s">
        <v>10</v>
      </c>
      <c r="E329">
        <v>1996</v>
      </c>
      <c r="F329" s="1">
        <v>100</v>
      </c>
      <c r="G329">
        <v>1990</v>
      </c>
      <c r="H329">
        <f>AVERAGEIFS(Table1[value],Table1[IndicatorCode],Table1[[#This Row],[IndicatorCode]])</f>
        <v>99.756410256410263</v>
      </c>
      <c r="I329" cm="1">
        <f t="array" ref="I329">_xlfn.STDEV.P(IF(Table1[IndicatorCode]=Table1[[#This Row],[IndicatorCode]],Table1[value]))</f>
        <v>1.1047979755287356</v>
      </c>
      <c r="J329">
        <f>(Table1[[#This Row],[value]] - Table1[[#This Row],[mean]]) / Table1[[#This Row],[std_dev]]</f>
        <v>0.22048351733552002</v>
      </c>
      <c r="K329">
        <f>AVERAGEIF(Table1[CountryCode],Table1[[#This Row],[CountryCode]],Table1[z-score])</f>
        <v>0.62183816728032393</v>
      </c>
      <c r="L329" t="e">
        <f>VLOOKUP(Table1[[#This Row],[CountryCode]],[1]!Table1[#All],1,FALSE)</f>
        <v>#REF!</v>
      </c>
    </row>
    <row r="330" spans="1:12" hidden="1" x14ac:dyDescent="0.3">
      <c r="A330" t="s">
        <v>29</v>
      </c>
      <c r="B330" t="s">
        <v>30</v>
      </c>
      <c r="C330" t="s">
        <v>9</v>
      </c>
      <c r="D330" t="s">
        <v>10</v>
      </c>
      <c r="E330">
        <v>1997</v>
      </c>
      <c r="F330" s="1">
        <v>100</v>
      </c>
      <c r="G330">
        <v>2000</v>
      </c>
      <c r="H330">
        <f>AVERAGEIFS(Table1[value],Table1[IndicatorCode],Table1[[#This Row],[IndicatorCode]])</f>
        <v>99.756410256410263</v>
      </c>
      <c r="I330" cm="1">
        <f t="array" ref="I330">_xlfn.STDEV.P(IF(Table1[IndicatorCode]=Table1[[#This Row],[IndicatorCode]],Table1[value]))</f>
        <v>1.1047979755287356</v>
      </c>
      <c r="J330">
        <f>(Table1[[#This Row],[value]] - Table1[[#This Row],[mean]]) / Table1[[#This Row],[std_dev]]</f>
        <v>0.22048351733552002</v>
      </c>
      <c r="K330">
        <f>AVERAGEIF(Table1[CountryCode],Table1[[#This Row],[CountryCode]],Table1[z-score])</f>
        <v>0.62183816728032393</v>
      </c>
      <c r="L330" t="e">
        <f>VLOOKUP(Table1[[#This Row],[CountryCode]],[1]!Table1[#All],1,FALSE)</f>
        <v>#REF!</v>
      </c>
    </row>
    <row r="331" spans="1:12" hidden="1" x14ac:dyDescent="0.3">
      <c r="A331" t="s">
        <v>29</v>
      </c>
      <c r="B331" t="s">
        <v>30</v>
      </c>
      <c r="C331" t="s">
        <v>9</v>
      </c>
      <c r="D331" t="s">
        <v>10</v>
      </c>
      <c r="E331">
        <v>1998</v>
      </c>
      <c r="F331" s="1">
        <v>100</v>
      </c>
      <c r="G331">
        <v>2000</v>
      </c>
      <c r="H331">
        <f>AVERAGEIFS(Table1[value],Table1[IndicatorCode],Table1[[#This Row],[IndicatorCode]])</f>
        <v>99.756410256410263</v>
      </c>
      <c r="I331" cm="1">
        <f t="array" ref="I331">_xlfn.STDEV.P(IF(Table1[IndicatorCode]=Table1[[#This Row],[IndicatorCode]],Table1[value]))</f>
        <v>1.1047979755287356</v>
      </c>
      <c r="J331">
        <f>(Table1[[#This Row],[value]] - Table1[[#This Row],[mean]]) / Table1[[#This Row],[std_dev]]</f>
        <v>0.22048351733552002</v>
      </c>
      <c r="K331">
        <f>AVERAGEIF(Table1[CountryCode],Table1[[#This Row],[CountryCode]],Table1[z-score])</f>
        <v>0.62183816728032393</v>
      </c>
      <c r="L331" t="e">
        <f>VLOOKUP(Table1[[#This Row],[CountryCode]],[1]!Table1[#All],1,FALSE)</f>
        <v>#REF!</v>
      </c>
    </row>
    <row r="332" spans="1:12" hidden="1" x14ac:dyDescent="0.3">
      <c r="A332" t="s">
        <v>29</v>
      </c>
      <c r="B332" t="s">
        <v>30</v>
      </c>
      <c r="C332" t="s">
        <v>9</v>
      </c>
      <c r="D332" t="s">
        <v>10</v>
      </c>
      <c r="E332">
        <v>1999</v>
      </c>
      <c r="F332" s="1">
        <v>100</v>
      </c>
      <c r="G332">
        <v>2000</v>
      </c>
      <c r="H332">
        <f>AVERAGEIFS(Table1[value],Table1[IndicatorCode],Table1[[#This Row],[IndicatorCode]])</f>
        <v>99.756410256410263</v>
      </c>
      <c r="I332" cm="1">
        <f t="array" ref="I332">_xlfn.STDEV.P(IF(Table1[IndicatorCode]=Table1[[#This Row],[IndicatorCode]],Table1[value]))</f>
        <v>1.1047979755287356</v>
      </c>
      <c r="J332">
        <f>(Table1[[#This Row],[value]] - Table1[[#This Row],[mean]]) / Table1[[#This Row],[std_dev]]</f>
        <v>0.22048351733552002</v>
      </c>
      <c r="K332">
        <f>AVERAGEIF(Table1[CountryCode],Table1[[#This Row],[CountryCode]],Table1[z-score])</f>
        <v>0.62183816728032393</v>
      </c>
      <c r="L332" t="e">
        <f>VLOOKUP(Table1[[#This Row],[CountryCode]],[1]!Table1[#All],1,FALSE)</f>
        <v>#REF!</v>
      </c>
    </row>
    <row r="333" spans="1:12" hidden="1" x14ac:dyDescent="0.3">
      <c r="A333" t="s">
        <v>29</v>
      </c>
      <c r="B333" t="s">
        <v>30</v>
      </c>
      <c r="C333" t="s">
        <v>9</v>
      </c>
      <c r="D333" t="s">
        <v>10</v>
      </c>
      <c r="E333">
        <v>2000</v>
      </c>
      <c r="F333" s="1">
        <v>100</v>
      </c>
      <c r="G333">
        <v>2000</v>
      </c>
      <c r="H333">
        <f>AVERAGEIFS(Table1[value],Table1[IndicatorCode],Table1[[#This Row],[IndicatorCode]])</f>
        <v>99.756410256410263</v>
      </c>
      <c r="I333" cm="1">
        <f t="array" ref="I333">_xlfn.STDEV.P(IF(Table1[IndicatorCode]=Table1[[#This Row],[IndicatorCode]],Table1[value]))</f>
        <v>1.1047979755287356</v>
      </c>
      <c r="J333">
        <f>(Table1[[#This Row],[value]] - Table1[[#This Row],[mean]]) / Table1[[#This Row],[std_dev]]</f>
        <v>0.22048351733552002</v>
      </c>
      <c r="K333">
        <f>AVERAGEIF(Table1[CountryCode],Table1[[#This Row],[CountryCode]],Table1[z-score])</f>
        <v>0.62183816728032393</v>
      </c>
      <c r="L333" t="e">
        <f>VLOOKUP(Table1[[#This Row],[CountryCode]],[1]!Table1[#All],1,FALSE)</f>
        <v>#REF!</v>
      </c>
    </row>
    <row r="334" spans="1:12" hidden="1" x14ac:dyDescent="0.3">
      <c r="A334" t="s">
        <v>29</v>
      </c>
      <c r="B334" t="s">
        <v>30</v>
      </c>
      <c r="C334" t="s">
        <v>9</v>
      </c>
      <c r="D334" t="s">
        <v>10</v>
      </c>
      <c r="E334">
        <v>2001</v>
      </c>
      <c r="F334" s="1">
        <v>100</v>
      </c>
      <c r="G334">
        <v>2000</v>
      </c>
      <c r="H334">
        <f>AVERAGEIFS(Table1[value],Table1[IndicatorCode],Table1[[#This Row],[IndicatorCode]])</f>
        <v>99.756410256410263</v>
      </c>
      <c r="I334" cm="1">
        <f t="array" ref="I334">_xlfn.STDEV.P(IF(Table1[IndicatorCode]=Table1[[#This Row],[IndicatorCode]],Table1[value]))</f>
        <v>1.1047979755287356</v>
      </c>
      <c r="J334">
        <f>(Table1[[#This Row],[value]] - Table1[[#This Row],[mean]]) / Table1[[#This Row],[std_dev]]</f>
        <v>0.22048351733552002</v>
      </c>
      <c r="K334">
        <f>AVERAGEIF(Table1[CountryCode],Table1[[#This Row],[CountryCode]],Table1[z-score])</f>
        <v>0.62183816728032393</v>
      </c>
      <c r="L334" t="e">
        <f>VLOOKUP(Table1[[#This Row],[CountryCode]],[1]!Table1[#All],1,FALSE)</f>
        <v>#REF!</v>
      </c>
    </row>
    <row r="335" spans="1:12" hidden="1" x14ac:dyDescent="0.3">
      <c r="A335" t="s">
        <v>29</v>
      </c>
      <c r="B335" t="s">
        <v>30</v>
      </c>
      <c r="C335" t="s">
        <v>9</v>
      </c>
      <c r="D335" t="s">
        <v>10</v>
      </c>
      <c r="E335">
        <v>2002</v>
      </c>
      <c r="F335" s="1">
        <v>100</v>
      </c>
      <c r="G335">
        <v>2000</v>
      </c>
      <c r="H335">
        <f>AVERAGEIFS(Table1[value],Table1[IndicatorCode],Table1[[#This Row],[IndicatorCode]])</f>
        <v>99.756410256410263</v>
      </c>
      <c r="I335" cm="1">
        <f t="array" ref="I335">_xlfn.STDEV.P(IF(Table1[IndicatorCode]=Table1[[#This Row],[IndicatorCode]],Table1[value]))</f>
        <v>1.1047979755287356</v>
      </c>
      <c r="J335">
        <f>(Table1[[#This Row],[value]] - Table1[[#This Row],[mean]]) / Table1[[#This Row],[std_dev]]</f>
        <v>0.22048351733552002</v>
      </c>
      <c r="K335">
        <f>AVERAGEIF(Table1[CountryCode],Table1[[#This Row],[CountryCode]],Table1[z-score])</f>
        <v>0.62183816728032393</v>
      </c>
      <c r="L335" t="e">
        <f>VLOOKUP(Table1[[#This Row],[CountryCode]],[1]!Table1[#All],1,FALSE)</f>
        <v>#REF!</v>
      </c>
    </row>
    <row r="336" spans="1:12" hidden="1" x14ac:dyDescent="0.3">
      <c r="A336" t="s">
        <v>29</v>
      </c>
      <c r="B336" t="s">
        <v>30</v>
      </c>
      <c r="C336" t="s">
        <v>9</v>
      </c>
      <c r="D336" t="s">
        <v>10</v>
      </c>
      <c r="E336">
        <v>2003</v>
      </c>
      <c r="F336" s="1">
        <v>100</v>
      </c>
      <c r="G336">
        <v>2000</v>
      </c>
      <c r="H336">
        <f>AVERAGEIFS(Table1[value],Table1[IndicatorCode],Table1[[#This Row],[IndicatorCode]])</f>
        <v>99.756410256410263</v>
      </c>
      <c r="I336" cm="1">
        <f t="array" ref="I336">_xlfn.STDEV.P(IF(Table1[IndicatorCode]=Table1[[#This Row],[IndicatorCode]],Table1[value]))</f>
        <v>1.1047979755287356</v>
      </c>
      <c r="J336">
        <f>(Table1[[#This Row],[value]] - Table1[[#This Row],[mean]]) / Table1[[#This Row],[std_dev]]</f>
        <v>0.22048351733552002</v>
      </c>
      <c r="K336">
        <f>AVERAGEIF(Table1[CountryCode],Table1[[#This Row],[CountryCode]],Table1[z-score])</f>
        <v>0.62183816728032393</v>
      </c>
      <c r="L336" t="e">
        <f>VLOOKUP(Table1[[#This Row],[CountryCode]],[1]!Table1[#All],1,FALSE)</f>
        <v>#REF!</v>
      </c>
    </row>
    <row r="337" spans="1:12" hidden="1" x14ac:dyDescent="0.3">
      <c r="A337" t="s">
        <v>29</v>
      </c>
      <c r="B337" t="s">
        <v>30</v>
      </c>
      <c r="C337" t="s">
        <v>9</v>
      </c>
      <c r="D337" t="s">
        <v>10</v>
      </c>
      <c r="E337">
        <v>2004</v>
      </c>
      <c r="F337" s="1">
        <v>100</v>
      </c>
      <c r="G337">
        <v>2000</v>
      </c>
      <c r="H337">
        <f>AVERAGEIFS(Table1[value],Table1[IndicatorCode],Table1[[#This Row],[IndicatorCode]])</f>
        <v>99.756410256410263</v>
      </c>
      <c r="I337" cm="1">
        <f t="array" ref="I337">_xlfn.STDEV.P(IF(Table1[IndicatorCode]=Table1[[#This Row],[IndicatorCode]],Table1[value]))</f>
        <v>1.1047979755287356</v>
      </c>
      <c r="J337">
        <f>(Table1[[#This Row],[value]] - Table1[[#This Row],[mean]]) / Table1[[#This Row],[std_dev]]</f>
        <v>0.22048351733552002</v>
      </c>
      <c r="K337">
        <f>AVERAGEIF(Table1[CountryCode],Table1[[#This Row],[CountryCode]],Table1[z-score])</f>
        <v>0.62183816728032393</v>
      </c>
      <c r="L337" t="e">
        <f>VLOOKUP(Table1[[#This Row],[CountryCode]],[1]!Table1[#All],1,FALSE)</f>
        <v>#REF!</v>
      </c>
    </row>
    <row r="338" spans="1:12" hidden="1" x14ac:dyDescent="0.3">
      <c r="A338" t="s">
        <v>29</v>
      </c>
      <c r="B338" t="s">
        <v>30</v>
      </c>
      <c r="C338" t="s">
        <v>9</v>
      </c>
      <c r="D338" t="s">
        <v>10</v>
      </c>
      <c r="E338">
        <v>2005</v>
      </c>
      <c r="F338" s="1">
        <v>100</v>
      </c>
      <c r="G338">
        <v>2000</v>
      </c>
      <c r="H338">
        <f>AVERAGEIFS(Table1[value],Table1[IndicatorCode],Table1[[#This Row],[IndicatorCode]])</f>
        <v>99.756410256410263</v>
      </c>
      <c r="I338" cm="1">
        <f t="array" ref="I338">_xlfn.STDEV.P(IF(Table1[IndicatorCode]=Table1[[#This Row],[IndicatorCode]],Table1[value]))</f>
        <v>1.1047979755287356</v>
      </c>
      <c r="J338">
        <f>(Table1[[#This Row],[value]] - Table1[[#This Row],[mean]]) / Table1[[#This Row],[std_dev]]</f>
        <v>0.22048351733552002</v>
      </c>
      <c r="K338">
        <f>AVERAGEIF(Table1[CountryCode],Table1[[#This Row],[CountryCode]],Table1[z-score])</f>
        <v>0.62183816728032393</v>
      </c>
      <c r="L338" t="e">
        <f>VLOOKUP(Table1[[#This Row],[CountryCode]],[1]!Table1[#All],1,FALSE)</f>
        <v>#REF!</v>
      </c>
    </row>
    <row r="339" spans="1:12" hidden="1" x14ac:dyDescent="0.3">
      <c r="A339" t="s">
        <v>29</v>
      </c>
      <c r="B339" t="s">
        <v>30</v>
      </c>
      <c r="C339" t="s">
        <v>9</v>
      </c>
      <c r="D339" t="s">
        <v>10</v>
      </c>
      <c r="E339">
        <v>2006</v>
      </c>
      <c r="F339" s="1">
        <v>100</v>
      </c>
      <c r="G339">
        <v>2000</v>
      </c>
      <c r="H339">
        <f>AVERAGEIFS(Table1[value],Table1[IndicatorCode],Table1[[#This Row],[IndicatorCode]])</f>
        <v>99.756410256410263</v>
      </c>
      <c r="I339" cm="1">
        <f t="array" ref="I339">_xlfn.STDEV.P(IF(Table1[IndicatorCode]=Table1[[#This Row],[IndicatorCode]],Table1[value]))</f>
        <v>1.1047979755287356</v>
      </c>
      <c r="J339">
        <f>(Table1[[#This Row],[value]] - Table1[[#This Row],[mean]]) / Table1[[#This Row],[std_dev]]</f>
        <v>0.22048351733552002</v>
      </c>
      <c r="K339">
        <f>AVERAGEIF(Table1[CountryCode],Table1[[#This Row],[CountryCode]],Table1[z-score])</f>
        <v>0.62183816728032393</v>
      </c>
      <c r="L339" t="e">
        <f>VLOOKUP(Table1[[#This Row],[CountryCode]],[1]!Table1[#All],1,FALSE)</f>
        <v>#REF!</v>
      </c>
    </row>
    <row r="340" spans="1:12" hidden="1" x14ac:dyDescent="0.3">
      <c r="A340" t="s">
        <v>29</v>
      </c>
      <c r="B340" t="s">
        <v>30</v>
      </c>
      <c r="C340" t="s">
        <v>9</v>
      </c>
      <c r="D340" t="s">
        <v>10</v>
      </c>
      <c r="E340">
        <v>2007</v>
      </c>
      <c r="F340" s="1">
        <v>100</v>
      </c>
      <c r="G340">
        <v>2010</v>
      </c>
      <c r="H340">
        <f>AVERAGEIFS(Table1[value],Table1[IndicatorCode],Table1[[#This Row],[IndicatorCode]])</f>
        <v>99.756410256410263</v>
      </c>
      <c r="I340" cm="1">
        <f t="array" ref="I340">_xlfn.STDEV.P(IF(Table1[IndicatorCode]=Table1[[#This Row],[IndicatorCode]],Table1[value]))</f>
        <v>1.1047979755287356</v>
      </c>
      <c r="J340">
        <f>(Table1[[#This Row],[value]] - Table1[[#This Row],[mean]]) / Table1[[#This Row],[std_dev]]</f>
        <v>0.22048351733552002</v>
      </c>
      <c r="K340">
        <f>AVERAGEIF(Table1[CountryCode],Table1[[#This Row],[CountryCode]],Table1[z-score])</f>
        <v>0.62183816728032393</v>
      </c>
      <c r="L340" t="e">
        <f>VLOOKUP(Table1[[#This Row],[CountryCode]],[1]!Table1[#All],1,FALSE)</f>
        <v>#REF!</v>
      </c>
    </row>
    <row r="341" spans="1:12" hidden="1" x14ac:dyDescent="0.3">
      <c r="A341" t="s">
        <v>29</v>
      </c>
      <c r="B341" t="s">
        <v>30</v>
      </c>
      <c r="C341" t="s">
        <v>9</v>
      </c>
      <c r="D341" t="s">
        <v>10</v>
      </c>
      <c r="E341">
        <v>2008</v>
      </c>
      <c r="F341" s="1">
        <v>100</v>
      </c>
      <c r="G341">
        <v>2010</v>
      </c>
      <c r="H341">
        <f>AVERAGEIFS(Table1[value],Table1[IndicatorCode],Table1[[#This Row],[IndicatorCode]])</f>
        <v>99.756410256410263</v>
      </c>
      <c r="I341" cm="1">
        <f t="array" ref="I341">_xlfn.STDEV.P(IF(Table1[IndicatorCode]=Table1[[#This Row],[IndicatorCode]],Table1[value]))</f>
        <v>1.1047979755287356</v>
      </c>
      <c r="J341">
        <f>(Table1[[#This Row],[value]] - Table1[[#This Row],[mean]]) / Table1[[#This Row],[std_dev]]</f>
        <v>0.22048351733552002</v>
      </c>
      <c r="K341">
        <f>AVERAGEIF(Table1[CountryCode],Table1[[#This Row],[CountryCode]],Table1[z-score])</f>
        <v>0.62183816728032393</v>
      </c>
      <c r="L341" t="e">
        <f>VLOOKUP(Table1[[#This Row],[CountryCode]],[1]!Table1[#All],1,FALSE)</f>
        <v>#REF!</v>
      </c>
    </row>
    <row r="342" spans="1:12" hidden="1" x14ac:dyDescent="0.3">
      <c r="A342" t="s">
        <v>29</v>
      </c>
      <c r="B342" t="s">
        <v>30</v>
      </c>
      <c r="C342" t="s">
        <v>9</v>
      </c>
      <c r="D342" t="s">
        <v>10</v>
      </c>
      <c r="E342">
        <v>2009</v>
      </c>
      <c r="F342" s="1">
        <v>100</v>
      </c>
      <c r="G342">
        <v>2010</v>
      </c>
      <c r="H342">
        <f>AVERAGEIFS(Table1[value],Table1[IndicatorCode],Table1[[#This Row],[IndicatorCode]])</f>
        <v>99.756410256410263</v>
      </c>
      <c r="I342" cm="1">
        <f t="array" ref="I342">_xlfn.STDEV.P(IF(Table1[IndicatorCode]=Table1[[#This Row],[IndicatorCode]],Table1[value]))</f>
        <v>1.1047979755287356</v>
      </c>
      <c r="J342">
        <f>(Table1[[#This Row],[value]] - Table1[[#This Row],[mean]]) / Table1[[#This Row],[std_dev]]</f>
        <v>0.22048351733552002</v>
      </c>
      <c r="K342">
        <f>AVERAGEIF(Table1[CountryCode],Table1[[#This Row],[CountryCode]],Table1[z-score])</f>
        <v>0.62183816728032393</v>
      </c>
      <c r="L342" t="e">
        <f>VLOOKUP(Table1[[#This Row],[CountryCode]],[1]!Table1[#All],1,FALSE)</f>
        <v>#REF!</v>
      </c>
    </row>
    <row r="343" spans="1:12" hidden="1" x14ac:dyDescent="0.3">
      <c r="A343" t="s">
        <v>29</v>
      </c>
      <c r="B343" t="s">
        <v>30</v>
      </c>
      <c r="C343" t="s">
        <v>9</v>
      </c>
      <c r="D343" t="s">
        <v>10</v>
      </c>
      <c r="E343">
        <v>2010</v>
      </c>
      <c r="F343" s="1">
        <v>100</v>
      </c>
      <c r="G343">
        <v>2010</v>
      </c>
      <c r="H343">
        <f>AVERAGEIFS(Table1[value],Table1[IndicatorCode],Table1[[#This Row],[IndicatorCode]])</f>
        <v>99.756410256410263</v>
      </c>
      <c r="I343" cm="1">
        <f t="array" ref="I343">_xlfn.STDEV.P(IF(Table1[IndicatorCode]=Table1[[#This Row],[IndicatorCode]],Table1[value]))</f>
        <v>1.1047979755287356</v>
      </c>
      <c r="J343">
        <f>(Table1[[#This Row],[value]] - Table1[[#This Row],[mean]]) / Table1[[#This Row],[std_dev]]</f>
        <v>0.22048351733552002</v>
      </c>
      <c r="K343">
        <f>AVERAGEIF(Table1[CountryCode],Table1[[#This Row],[CountryCode]],Table1[z-score])</f>
        <v>0.62183816728032393</v>
      </c>
      <c r="L343" t="e">
        <f>VLOOKUP(Table1[[#This Row],[CountryCode]],[1]!Table1[#All],1,FALSE)</f>
        <v>#REF!</v>
      </c>
    </row>
    <row r="344" spans="1:12" hidden="1" x14ac:dyDescent="0.3">
      <c r="A344" t="s">
        <v>29</v>
      </c>
      <c r="B344" t="s">
        <v>30</v>
      </c>
      <c r="C344" t="s">
        <v>9</v>
      </c>
      <c r="D344" t="s">
        <v>10</v>
      </c>
      <c r="E344">
        <v>2011</v>
      </c>
      <c r="F344" s="1">
        <v>100</v>
      </c>
      <c r="G344">
        <v>2010</v>
      </c>
      <c r="H344">
        <f>AVERAGEIFS(Table1[value],Table1[IndicatorCode],Table1[[#This Row],[IndicatorCode]])</f>
        <v>99.756410256410263</v>
      </c>
      <c r="I344" cm="1">
        <f t="array" ref="I344">_xlfn.STDEV.P(IF(Table1[IndicatorCode]=Table1[[#This Row],[IndicatorCode]],Table1[value]))</f>
        <v>1.1047979755287356</v>
      </c>
      <c r="J344">
        <f>(Table1[[#This Row],[value]] - Table1[[#This Row],[mean]]) / Table1[[#This Row],[std_dev]]</f>
        <v>0.22048351733552002</v>
      </c>
      <c r="K344">
        <f>AVERAGEIF(Table1[CountryCode],Table1[[#This Row],[CountryCode]],Table1[z-score])</f>
        <v>0.62183816728032393</v>
      </c>
      <c r="L344" t="e">
        <f>VLOOKUP(Table1[[#This Row],[CountryCode]],[1]!Table1[#All],1,FALSE)</f>
        <v>#REF!</v>
      </c>
    </row>
    <row r="345" spans="1:12" hidden="1" x14ac:dyDescent="0.3">
      <c r="A345" t="s">
        <v>29</v>
      </c>
      <c r="B345" t="s">
        <v>30</v>
      </c>
      <c r="C345" t="s">
        <v>9</v>
      </c>
      <c r="D345" t="s">
        <v>10</v>
      </c>
      <c r="E345">
        <v>2012</v>
      </c>
      <c r="F345" s="1">
        <v>100</v>
      </c>
      <c r="G345">
        <v>2010</v>
      </c>
      <c r="H345">
        <f>AVERAGEIFS(Table1[value],Table1[IndicatorCode],Table1[[#This Row],[IndicatorCode]])</f>
        <v>99.756410256410263</v>
      </c>
      <c r="I345" cm="1">
        <f t="array" ref="I345">_xlfn.STDEV.P(IF(Table1[IndicatorCode]=Table1[[#This Row],[IndicatorCode]],Table1[value]))</f>
        <v>1.1047979755287356</v>
      </c>
      <c r="J345">
        <f>(Table1[[#This Row],[value]] - Table1[[#This Row],[mean]]) / Table1[[#This Row],[std_dev]]</f>
        <v>0.22048351733552002</v>
      </c>
      <c r="K345">
        <f>AVERAGEIF(Table1[CountryCode],Table1[[#This Row],[CountryCode]],Table1[z-score])</f>
        <v>0.62183816728032393</v>
      </c>
      <c r="L345" t="e">
        <f>VLOOKUP(Table1[[#This Row],[CountryCode]],[1]!Table1[#All],1,FALSE)</f>
        <v>#REF!</v>
      </c>
    </row>
    <row r="346" spans="1:12" hidden="1" x14ac:dyDescent="0.3">
      <c r="A346" t="s">
        <v>29</v>
      </c>
      <c r="B346" t="s">
        <v>30</v>
      </c>
      <c r="C346" t="s">
        <v>9</v>
      </c>
      <c r="D346" t="s">
        <v>10</v>
      </c>
      <c r="E346">
        <v>2013</v>
      </c>
      <c r="F346" s="1">
        <v>100</v>
      </c>
      <c r="G346">
        <v>2010</v>
      </c>
      <c r="H346">
        <f>AVERAGEIFS(Table1[value],Table1[IndicatorCode],Table1[[#This Row],[IndicatorCode]])</f>
        <v>99.756410256410263</v>
      </c>
      <c r="I346" cm="1">
        <f t="array" ref="I346">_xlfn.STDEV.P(IF(Table1[IndicatorCode]=Table1[[#This Row],[IndicatorCode]],Table1[value]))</f>
        <v>1.1047979755287356</v>
      </c>
      <c r="J346">
        <f>(Table1[[#This Row],[value]] - Table1[[#This Row],[mean]]) / Table1[[#This Row],[std_dev]]</f>
        <v>0.22048351733552002</v>
      </c>
      <c r="K346">
        <f>AVERAGEIF(Table1[CountryCode],Table1[[#This Row],[CountryCode]],Table1[z-score])</f>
        <v>0.62183816728032393</v>
      </c>
      <c r="L346" t="e">
        <f>VLOOKUP(Table1[[#This Row],[CountryCode]],[1]!Table1[#All],1,FALSE)</f>
        <v>#REF!</v>
      </c>
    </row>
    <row r="347" spans="1:12" hidden="1" x14ac:dyDescent="0.3">
      <c r="A347" t="s">
        <v>29</v>
      </c>
      <c r="B347" t="s">
        <v>30</v>
      </c>
      <c r="C347" t="s">
        <v>9</v>
      </c>
      <c r="D347" t="s">
        <v>10</v>
      </c>
      <c r="E347">
        <v>2014</v>
      </c>
      <c r="F347" s="1">
        <v>100</v>
      </c>
      <c r="G347">
        <v>2010</v>
      </c>
      <c r="H347">
        <f>AVERAGEIFS(Table1[value],Table1[IndicatorCode],Table1[[#This Row],[IndicatorCode]])</f>
        <v>99.756410256410263</v>
      </c>
      <c r="I347" cm="1">
        <f t="array" ref="I347">_xlfn.STDEV.P(IF(Table1[IndicatorCode]=Table1[[#This Row],[IndicatorCode]],Table1[value]))</f>
        <v>1.1047979755287356</v>
      </c>
      <c r="J347">
        <f>(Table1[[#This Row],[value]] - Table1[[#This Row],[mean]]) / Table1[[#This Row],[std_dev]]</f>
        <v>0.22048351733552002</v>
      </c>
      <c r="K347">
        <f>AVERAGEIF(Table1[CountryCode],Table1[[#This Row],[CountryCode]],Table1[z-score])</f>
        <v>0.62183816728032393</v>
      </c>
      <c r="L347" t="e">
        <f>VLOOKUP(Table1[[#This Row],[CountryCode]],[1]!Table1[#All],1,FALSE)</f>
        <v>#REF!</v>
      </c>
    </row>
    <row r="348" spans="1:12" hidden="1" x14ac:dyDescent="0.3">
      <c r="A348" t="s">
        <v>29</v>
      </c>
      <c r="B348" t="s">
        <v>30</v>
      </c>
      <c r="C348" t="s">
        <v>9</v>
      </c>
      <c r="D348" t="s">
        <v>10</v>
      </c>
      <c r="E348">
        <v>2015</v>
      </c>
      <c r="F348" s="1">
        <v>100</v>
      </c>
      <c r="G348">
        <v>2010</v>
      </c>
      <c r="H348">
        <f>AVERAGEIFS(Table1[value],Table1[IndicatorCode],Table1[[#This Row],[IndicatorCode]])</f>
        <v>99.756410256410263</v>
      </c>
      <c r="I348" cm="1">
        <f t="array" ref="I348">_xlfn.STDEV.P(IF(Table1[IndicatorCode]=Table1[[#This Row],[IndicatorCode]],Table1[value]))</f>
        <v>1.1047979755287356</v>
      </c>
      <c r="J348">
        <f>(Table1[[#This Row],[value]] - Table1[[#This Row],[mean]]) / Table1[[#This Row],[std_dev]]</f>
        <v>0.22048351733552002</v>
      </c>
      <c r="K348">
        <f>AVERAGEIF(Table1[CountryCode],Table1[[#This Row],[CountryCode]],Table1[z-score])</f>
        <v>0.62183816728032393</v>
      </c>
      <c r="L348" t="e">
        <f>VLOOKUP(Table1[[#This Row],[CountryCode]],[1]!Table1[#All],1,FALSE)</f>
        <v>#REF!</v>
      </c>
    </row>
    <row r="349" spans="1:12" hidden="1" x14ac:dyDescent="0.3">
      <c r="A349" t="s">
        <v>29</v>
      </c>
      <c r="B349" t="s">
        <v>30</v>
      </c>
      <c r="C349" t="s">
        <v>9</v>
      </c>
      <c r="D349" t="s">
        <v>10</v>
      </c>
      <c r="E349">
        <v>2016</v>
      </c>
      <c r="F349" s="1">
        <v>100</v>
      </c>
      <c r="G349">
        <v>2010</v>
      </c>
      <c r="H349">
        <f>AVERAGEIFS(Table1[value],Table1[IndicatorCode],Table1[[#This Row],[IndicatorCode]])</f>
        <v>99.756410256410263</v>
      </c>
      <c r="I349" cm="1">
        <f t="array" ref="I349">_xlfn.STDEV.P(IF(Table1[IndicatorCode]=Table1[[#This Row],[IndicatorCode]],Table1[value]))</f>
        <v>1.1047979755287356</v>
      </c>
      <c r="J349">
        <f>(Table1[[#This Row],[value]] - Table1[[#This Row],[mean]]) / Table1[[#This Row],[std_dev]]</f>
        <v>0.22048351733552002</v>
      </c>
      <c r="K349">
        <f>AVERAGEIF(Table1[CountryCode],Table1[[#This Row],[CountryCode]],Table1[z-score])</f>
        <v>0.62183816728032393</v>
      </c>
      <c r="L349" t="e">
        <f>VLOOKUP(Table1[[#This Row],[CountryCode]],[1]!Table1[#All],1,FALSE)</f>
        <v>#REF!</v>
      </c>
    </row>
    <row r="350" spans="1:12" hidden="1" x14ac:dyDescent="0.3">
      <c r="A350" t="s">
        <v>29</v>
      </c>
      <c r="B350" t="s">
        <v>30</v>
      </c>
      <c r="C350" t="s">
        <v>9</v>
      </c>
      <c r="D350" t="s">
        <v>10</v>
      </c>
      <c r="E350">
        <v>2017</v>
      </c>
      <c r="F350" s="1">
        <v>100</v>
      </c>
      <c r="G350">
        <v>2020</v>
      </c>
      <c r="H350">
        <f>AVERAGEIFS(Table1[value],Table1[IndicatorCode],Table1[[#This Row],[IndicatorCode]])</f>
        <v>99.756410256410263</v>
      </c>
      <c r="I350" cm="1">
        <f t="array" ref="I350">_xlfn.STDEV.P(IF(Table1[IndicatorCode]=Table1[[#This Row],[IndicatorCode]],Table1[value]))</f>
        <v>1.1047979755287356</v>
      </c>
      <c r="J350">
        <f>(Table1[[#This Row],[value]] - Table1[[#This Row],[mean]]) / Table1[[#This Row],[std_dev]]</f>
        <v>0.22048351733552002</v>
      </c>
      <c r="K350">
        <f>AVERAGEIF(Table1[CountryCode],Table1[[#This Row],[CountryCode]],Table1[z-score])</f>
        <v>0.62183816728032393</v>
      </c>
      <c r="L350" t="e">
        <f>VLOOKUP(Table1[[#This Row],[CountryCode]],[1]!Table1[#All],1,FALSE)</f>
        <v>#REF!</v>
      </c>
    </row>
    <row r="351" spans="1:12" hidden="1" x14ac:dyDescent="0.3">
      <c r="A351" t="s">
        <v>29</v>
      </c>
      <c r="B351" t="s">
        <v>30</v>
      </c>
      <c r="C351" t="s">
        <v>9</v>
      </c>
      <c r="D351" t="s">
        <v>10</v>
      </c>
      <c r="E351">
        <v>2018</v>
      </c>
      <c r="F351" s="1">
        <v>100</v>
      </c>
      <c r="G351">
        <v>2020</v>
      </c>
      <c r="H351">
        <f>AVERAGEIFS(Table1[value],Table1[IndicatorCode],Table1[[#This Row],[IndicatorCode]])</f>
        <v>99.756410256410263</v>
      </c>
      <c r="I351" cm="1">
        <f t="array" ref="I351">_xlfn.STDEV.P(IF(Table1[IndicatorCode]=Table1[[#This Row],[IndicatorCode]],Table1[value]))</f>
        <v>1.1047979755287356</v>
      </c>
      <c r="J351">
        <f>(Table1[[#This Row],[value]] - Table1[[#This Row],[mean]]) / Table1[[#This Row],[std_dev]]</f>
        <v>0.22048351733552002</v>
      </c>
      <c r="K351">
        <f>AVERAGEIF(Table1[CountryCode],Table1[[#This Row],[CountryCode]],Table1[z-score])</f>
        <v>0.62183816728032393</v>
      </c>
      <c r="L351" t="e">
        <f>VLOOKUP(Table1[[#This Row],[CountryCode]],[1]!Table1[#All],1,FALSE)</f>
        <v>#REF!</v>
      </c>
    </row>
    <row r="352" spans="1:12" hidden="1" x14ac:dyDescent="0.3">
      <c r="A352" t="s">
        <v>29</v>
      </c>
      <c r="B352" t="s">
        <v>30</v>
      </c>
      <c r="C352" t="s">
        <v>9</v>
      </c>
      <c r="D352" t="s">
        <v>10</v>
      </c>
      <c r="E352">
        <v>2019</v>
      </c>
      <c r="F352" s="1">
        <v>100</v>
      </c>
      <c r="G352">
        <v>2020</v>
      </c>
      <c r="H352">
        <f>AVERAGEIFS(Table1[value],Table1[IndicatorCode],Table1[[#This Row],[IndicatorCode]])</f>
        <v>99.756410256410263</v>
      </c>
      <c r="I352" cm="1">
        <f t="array" ref="I352">_xlfn.STDEV.P(IF(Table1[IndicatorCode]=Table1[[#This Row],[IndicatorCode]],Table1[value]))</f>
        <v>1.1047979755287356</v>
      </c>
      <c r="J352">
        <f>(Table1[[#This Row],[value]] - Table1[[#This Row],[mean]]) / Table1[[#This Row],[std_dev]]</f>
        <v>0.22048351733552002</v>
      </c>
      <c r="K352">
        <f>AVERAGEIF(Table1[CountryCode],Table1[[#This Row],[CountryCode]],Table1[z-score])</f>
        <v>0.62183816728032393</v>
      </c>
      <c r="L352" t="e">
        <f>VLOOKUP(Table1[[#This Row],[CountryCode]],[1]!Table1[#All],1,FALSE)</f>
        <v>#REF!</v>
      </c>
    </row>
    <row r="353" spans="1:12" x14ac:dyDescent="0.3">
      <c r="A353" t="s">
        <v>29</v>
      </c>
      <c r="B353" t="s">
        <v>30</v>
      </c>
      <c r="C353" t="s">
        <v>9</v>
      </c>
      <c r="D353" t="s">
        <v>10</v>
      </c>
      <c r="E353">
        <v>2020</v>
      </c>
      <c r="F353" s="1">
        <v>100</v>
      </c>
      <c r="G353">
        <v>2020</v>
      </c>
      <c r="H353">
        <f>AVERAGEIFS(Table1[value],Table1[IndicatorCode],Table1[[#This Row],[IndicatorCode]])</f>
        <v>99.756410256410263</v>
      </c>
      <c r="I353" cm="1">
        <f t="array" ref="I353">_xlfn.STDEV.P(IF(Table1[IndicatorCode]=Table1[[#This Row],[IndicatorCode]],Table1[value]))</f>
        <v>1.1047979755287356</v>
      </c>
      <c r="J353">
        <f>(Table1[[#This Row],[value]] - Table1[[#This Row],[mean]]) / Table1[[#This Row],[std_dev]]</f>
        <v>0.22048351733552002</v>
      </c>
      <c r="K353">
        <f>AVERAGEIF(Table1[CountryCode],Table1[[#This Row],[CountryCode]],Table1[z-score])</f>
        <v>0.62183816728032393</v>
      </c>
    </row>
    <row r="354" spans="1:12" hidden="1" x14ac:dyDescent="0.3">
      <c r="A354" t="s">
        <v>29</v>
      </c>
      <c r="B354" t="s">
        <v>30</v>
      </c>
      <c r="C354" t="s">
        <v>9</v>
      </c>
      <c r="D354" t="s">
        <v>10</v>
      </c>
      <c r="E354">
        <v>2021</v>
      </c>
      <c r="F354" s="1">
        <v>100</v>
      </c>
      <c r="G354">
        <v>1990</v>
      </c>
      <c r="H354">
        <f>AVERAGEIFS(Table1[value],Table1[IndicatorCode],Table1[[#This Row],[IndicatorCode]])</f>
        <v>99.756410256410263</v>
      </c>
      <c r="I354" cm="1">
        <f t="array" ref="I354">_xlfn.STDEV.P(IF(Table1[IndicatorCode]=Table1[[#This Row],[IndicatorCode]],Table1[value]))</f>
        <v>1.1047979755287356</v>
      </c>
      <c r="J354">
        <f>(Table1[[#This Row],[value]] - Table1[[#This Row],[mean]]) / Table1[[#This Row],[std_dev]]</f>
        <v>0.22048351733552002</v>
      </c>
      <c r="K354">
        <f>AVERAGEIF(Table1[CountryCode],Table1[[#This Row],[CountryCode]],Table1[z-score])</f>
        <v>0.62183816728032393</v>
      </c>
      <c r="L354" t="e">
        <f>VLOOKUP(Table1[[#This Row],[CountryCode]],[1]!Table1[#All],1,FALSE)</f>
        <v>#REF!</v>
      </c>
    </row>
    <row r="355" spans="1:12" hidden="1" x14ac:dyDescent="0.3">
      <c r="A355" t="s">
        <v>29</v>
      </c>
      <c r="B355" t="s">
        <v>30</v>
      </c>
      <c r="C355" t="s">
        <v>9</v>
      </c>
      <c r="D355" t="s">
        <v>10</v>
      </c>
      <c r="E355">
        <v>2022</v>
      </c>
      <c r="F355" s="1">
        <v>100</v>
      </c>
      <c r="G355">
        <v>1990</v>
      </c>
      <c r="H355">
        <f>AVERAGEIFS(Table1[value],Table1[IndicatorCode],Table1[[#This Row],[IndicatorCode]])</f>
        <v>99.756410256410263</v>
      </c>
      <c r="I355" cm="1">
        <f t="array" ref="I355">_xlfn.STDEV.P(IF(Table1[IndicatorCode]=Table1[[#This Row],[IndicatorCode]],Table1[value]))</f>
        <v>1.1047979755287356</v>
      </c>
      <c r="J355">
        <f>(Table1[[#This Row],[value]] - Table1[[#This Row],[mean]]) / Table1[[#This Row],[std_dev]]</f>
        <v>0.22048351733552002</v>
      </c>
      <c r="K355">
        <f>AVERAGEIF(Table1[CountryCode],Table1[[#This Row],[CountryCode]],Table1[z-score])</f>
        <v>0.62183816728032393</v>
      </c>
      <c r="L355" t="e">
        <f>VLOOKUP(Table1[[#This Row],[CountryCode]],[1]!Table1[#All],1,FALSE)</f>
        <v>#REF!</v>
      </c>
    </row>
    <row r="356" spans="1:12" hidden="1" x14ac:dyDescent="0.3">
      <c r="A356" t="s">
        <v>29</v>
      </c>
      <c r="B356" t="s">
        <v>30</v>
      </c>
      <c r="C356" t="s">
        <v>9</v>
      </c>
      <c r="D356" t="s">
        <v>10</v>
      </c>
      <c r="E356">
        <v>2023</v>
      </c>
      <c r="F356" s="1">
        <v>100</v>
      </c>
      <c r="G356">
        <v>1990</v>
      </c>
      <c r="H356">
        <f>AVERAGEIFS(Table1[value],Table1[IndicatorCode],Table1[[#This Row],[IndicatorCode]])</f>
        <v>99.756410256410263</v>
      </c>
      <c r="I356" cm="1">
        <f t="array" ref="I356">_xlfn.STDEV.P(IF(Table1[IndicatorCode]=Table1[[#This Row],[IndicatorCode]],Table1[value]))</f>
        <v>1.1047979755287356</v>
      </c>
      <c r="J356">
        <f>(Table1[[#This Row],[value]] - Table1[[#This Row],[mean]]) / Table1[[#This Row],[std_dev]]</f>
        <v>0.22048351733552002</v>
      </c>
      <c r="K356">
        <f>AVERAGEIF(Table1[CountryCode],Table1[[#This Row],[CountryCode]],Table1[z-score])</f>
        <v>0.62183816728032393</v>
      </c>
      <c r="L356" t="e">
        <f>VLOOKUP(Table1[[#This Row],[CountryCode]],[1]!Table1[#All],1,FALSE)</f>
        <v>#REF!</v>
      </c>
    </row>
    <row r="357" spans="1:12" hidden="1" x14ac:dyDescent="0.3">
      <c r="A357" t="s">
        <v>31</v>
      </c>
      <c r="B357" t="s">
        <v>32</v>
      </c>
      <c r="C357" t="s">
        <v>9</v>
      </c>
      <c r="D357" t="s">
        <v>10</v>
      </c>
      <c r="E357">
        <v>1990</v>
      </c>
      <c r="F357" s="1">
        <v>100</v>
      </c>
      <c r="G357">
        <v>1990</v>
      </c>
      <c r="H357">
        <f>AVERAGEIFS(Table1[value],Table1[IndicatorCode],Table1[[#This Row],[IndicatorCode]])</f>
        <v>99.756410256410263</v>
      </c>
      <c r="I357" cm="1">
        <f t="array" ref="I357">_xlfn.STDEV.P(IF(Table1[IndicatorCode]=Table1[[#This Row],[IndicatorCode]],Table1[value]))</f>
        <v>1.1047979755287356</v>
      </c>
      <c r="J357">
        <f>(Table1[[#This Row],[value]] - Table1[[#This Row],[mean]]) / Table1[[#This Row],[std_dev]]</f>
        <v>0.22048351733552002</v>
      </c>
      <c r="K357">
        <f>AVERAGEIF(Table1[CountryCode],Table1[[#This Row],[CountryCode]],Table1[z-score])</f>
        <v>-1.226846632548898E-2</v>
      </c>
      <c r="L357" t="e">
        <f>VLOOKUP(Table1[[#This Row],[CountryCode]],[1]!Table1[#All],1,FALSE)</f>
        <v>#REF!</v>
      </c>
    </row>
    <row r="358" spans="1:12" hidden="1" x14ac:dyDescent="0.3">
      <c r="A358" t="s">
        <v>31</v>
      </c>
      <c r="B358" t="s">
        <v>32</v>
      </c>
      <c r="C358" t="s">
        <v>9</v>
      </c>
      <c r="D358" t="s">
        <v>10</v>
      </c>
      <c r="E358">
        <v>1991</v>
      </c>
      <c r="F358" s="1">
        <v>100</v>
      </c>
      <c r="G358">
        <v>1990</v>
      </c>
      <c r="H358">
        <f>AVERAGEIFS(Table1[value],Table1[IndicatorCode],Table1[[#This Row],[IndicatorCode]])</f>
        <v>99.756410256410263</v>
      </c>
      <c r="I358" cm="1">
        <f t="array" ref="I358">_xlfn.STDEV.P(IF(Table1[IndicatorCode]=Table1[[#This Row],[IndicatorCode]],Table1[value]))</f>
        <v>1.1047979755287356</v>
      </c>
      <c r="J358">
        <f>(Table1[[#This Row],[value]] - Table1[[#This Row],[mean]]) / Table1[[#This Row],[std_dev]]</f>
        <v>0.22048351733552002</v>
      </c>
      <c r="K358">
        <f>AVERAGEIF(Table1[CountryCode],Table1[[#This Row],[CountryCode]],Table1[z-score])</f>
        <v>-1.226846632548898E-2</v>
      </c>
      <c r="L358" t="e">
        <f>VLOOKUP(Table1[[#This Row],[CountryCode]],[1]!Table1[#All],1,FALSE)</f>
        <v>#REF!</v>
      </c>
    </row>
    <row r="359" spans="1:12" hidden="1" x14ac:dyDescent="0.3">
      <c r="A359" t="s">
        <v>31</v>
      </c>
      <c r="B359" t="s">
        <v>32</v>
      </c>
      <c r="C359" t="s">
        <v>9</v>
      </c>
      <c r="D359" t="s">
        <v>10</v>
      </c>
      <c r="E359">
        <v>1992</v>
      </c>
      <c r="F359" s="1">
        <v>100</v>
      </c>
      <c r="G359">
        <v>1990</v>
      </c>
      <c r="H359">
        <f>AVERAGEIFS(Table1[value],Table1[IndicatorCode],Table1[[#This Row],[IndicatorCode]])</f>
        <v>99.756410256410263</v>
      </c>
      <c r="I359" cm="1">
        <f t="array" ref="I359">_xlfn.STDEV.P(IF(Table1[IndicatorCode]=Table1[[#This Row],[IndicatorCode]],Table1[value]))</f>
        <v>1.1047979755287356</v>
      </c>
      <c r="J359">
        <f>(Table1[[#This Row],[value]] - Table1[[#This Row],[mean]]) / Table1[[#This Row],[std_dev]]</f>
        <v>0.22048351733552002</v>
      </c>
      <c r="K359">
        <f>AVERAGEIF(Table1[CountryCode],Table1[[#This Row],[CountryCode]],Table1[z-score])</f>
        <v>-1.226846632548898E-2</v>
      </c>
      <c r="L359" t="e">
        <f>VLOOKUP(Table1[[#This Row],[CountryCode]],[1]!Table1[#All],1,FALSE)</f>
        <v>#REF!</v>
      </c>
    </row>
    <row r="360" spans="1:12" hidden="1" x14ac:dyDescent="0.3">
      <c r="A360" t="s">
        <v>31</v>
      </c>
      <c r="B360" t="s">
        <v>32</v>
      </c>
      <c r="C360" t="s">
        <v>9</v>
      </c>
      <c r="D360" t="s">
        <v>10</v>
      </c>
      <c r="E360">
        <v>1993</v>
      </c>
      <c r="F360" s="1">
        <v>100</v>
      </c>
      <c r="G360">
        <v>1990</v>
      </c>
      <c r="H360">
        <f>AVERAGEIFS(Table1[value],Table1[IndicatorCode],Table1[[#This Row],[IndicatorCode]])</f>
        <v>99.756410256410263</v>
      </c>
      <c r="I360" cm="1">
        <f t="array" ref="I360">_xlfn.STDEV.P(IF(Table1[IndicatorCode]=Table1[[#This Row],[IndicatorCode]],Table1[value]))</f>
        <v>1.1047979755287356</v>
      </c>
      <c r="J360">
        <f>(Table1[[#This Row],[value]] - Table1[[#This Row],[mean]]) / Table1[[#This Row],[std_dev]]</f>
        <v>0.22048351733552002</v>
      </c>
      <c r="K360">
        <f>AVERAGEIF(Table1[CountryCode],Table1[[#This Row],[CountryCode]],Table1[z-score])</f>
        <v>-1.226846632548898E-2</v>
      </c>
      <c r="L360" t="e">
        <f>VLOOKUP(Table1[[#This Row],[CountryCode]],[1]!Table1[#All],1,FALSE)</f>
        <v>#REF!</v>
      </c>
    </row>
    <row r="361" spans="1:12" hidden="1" x14ac:dyDescent="0.3">
      <c r="A361" t="s">
        <v>31</v>
      </c>
      <c r="B361" t="s">
        <v>32</v>
      </c>
      <c r="C361" t="s">
        <v>9</v>
      </c>
      <c r="D361" t="s">
        <v>10</v>
      </c>
      <c r="E361">
        <v>1994</v>
      </c>
      <c r="F361" s="1">
        <v>100</v>
      </c>
      <c r="G361">
        <v>1990</v>
      </c>
      <c r="H361">
        <f>AVERAGEIFS(Table1[value],Table1[IndicatorCode],Table1[[#This Row],[IndicatorCode]])</f>
        <v>99.756410256410263</v>
      </c>
      <c r="I361" cm="1">
        <f t="array" ref="I361">_xlfn.STDEV.P(IF(Table1[IndicatorCode]=Table1[[#This Row],[IndicatorCode]],Table1[value]))</f>
        <v>1.1047979755287356</v>
      </c>
      <c r="J361">
        <f>(Table1[[#This Row],[value]] - Table1[[#This Row],[mean]]) / Table1[[#This Row],[std_dev]]</f>
        <v>0.22048351733552002</v>
      </c>
      <c r="K361">
        <f>AVERAGEIF(Table1[CountryCode],Table1[[#This Row],[CountryCode]],Table1[z-score])</f>
        <v>-1.226846632548898E-2</v>
      </c>
      <c r="L361" t="e">
        <f>VLOOKUP(Table1[[#This Row],[CountryCode]],[1]!Table1[#All],1,FALSE)</f>
        <v>#REF!</v>
      </c>
    </row>
    <row r="362" spans="1:12" hidden="1" x14ac:dyDescent="0.3">
      <c r="A362" t="s">
        <v>31</v>
      </c>
      <c r="B362" t="s">
        <v>32</v>
      </c>
      <c r="C362" t="s">
        <v>9</v>
      </c>
      <c r="D362" t="s">
        <v>10</v>
      </c>
      <c r="E362">
        <v>1995</v>
      </c>
      <c r="F362" s="1">
        <v>100</v>
      </c>
      <c r="G362">
        <v>1990</v>
      </c>
      <c r="H362">
        <f>AVERAGEIFS(Table1[value],Table1[IndicatorCode],Table1[[#This Row],[IndicatorCode]])</f>
        <v>99.756410256410263</v>
      </c>
      <c r="I362" cm="1">
        <f t="array" ref="I362">_xlfn.STDEV.P(IF(Table1[IndicatorCode]=Table1[[#This Row],[IndicatorCode]],Table1[value]))</f>
        <v>1.1047979755287356</v>
      </c>
      <c r="J362">
        <f>(Table1[[#This Row],[value]] - Table1[[#This Row],[mean]]) / Table1[[#This Row],[std_dev]]</f>
        <v>0.22048351733552002</v>
      </c>
      <c r="K362">
        <f>AVERAGEIF(Table1[CountryCode],Table1[[#This Row],[CountryCode]],Table1[z-score])</f>
        <v>-1.226846632548898E-2</v>
      </c>
      <c r="L362" t="e">
        <f>VLOOKUP(Table1[[#This Row],[CountryCode]],[1]!Table1[#All],1,FALSE)</f>
        <v>#REF!</v>
      </c>
    </row>
    <row r="363" spans="1:12" hidden="1" x14ac:dyDescent="0.3">
      <c r="A363" t="s">
        <v>31</v>
      </c>
      <c r="B363" t="s">
        <v>32</v>
      </c>
      <c r="C363" t="s">
        <v>9</v>
      </c>
      <c r="D363" t="s">
        <v>10</v>
      </c>
      <c r="E363">
        <v>1996</v>
      </c>
      <c r="F363" s="1">
        <v>100</v>
      </c>
      <c r="G363">
        <v>1990</v>
      </c>
      <c r="H363">
        <f>AVERAGEIFS(Table1[value],Table1[IndicatorCode],Table1[[#This Row],[IndicatorCode]])</f>
        <v>99.756410256410263</v>
      </c>
      <c r="I363" cm="1">
        <f t="array" ref="I363">_xlfn.STDEV.P(IF(Table1[IndicatorCode]=Table1[[#This Row],[IndicatorCode]],Table1[value]))</f>
        <v>1.1047979755287356</v>
      </c>
      <c r="J363">
        <f>(Table1[[#This Row],[value]] - Table1[[#This Row],[mean]]) / Table1[[#This Row],[std_dev]]</f>
        <v>0.22048351733552002</v>
      </c>
      <c r="K363">
        <f>AVERAGEIF(Table1[CountryCode],Table1[[#This Row],[CountryCode]],Table1[z-score])</f>
        <v>-1.226846632548898E-2</v>
      </c>
      <c r="L363" t="e">
        <f>VLOOKUP(Table1[[#This Row],[CountryCode]],[1]!Table1[#All],1,FALSE)</f>
        <v>#REF!</v>
      </c>
    </row>
    <row r="364" spans="1:12" hidden="1" x14ac:dyDescent="0.3">
      <c r="A364" t="s">
        <v>31</v>
      </c>
      <c r="B364" t="s">
        <v>32</v>
      </c>
      <c r="C364" t="s">
        <v>9</v>
      </c>
      <c r="D364" t="s">
        <v>10</v>
      </c>
      <c r="E364">
        <v>1997</v>
      </c>
      <c r="F364" s="1">
        <v>100</v>
      </c>
      <c r="G364">
        <v>2000</v>
      </c>
      <c r="H364">
        <f>AVERAGEIFS(Table1[value],Table1[IndicatorCode],Table1[[#This Row],[IndicatorCode]])</f>
        <v>99.756410256410263</v>
      </c>
      <c r="I364" cm="1">
        <f t="array" ref="I364">_xlfn.STDEV.P(IF(Table1[IndicatorCode]=Table1[[#This Row],[IndicatorCode]],Table1[value]))</f>
        <v>1.1047979755287356</v>
      </c>
      <c r="J364">
        <f>(Table1[[#This Row],[value]] - Table1[[#This Row],[mean]]) / Table1[[#This Row],[std_dev]]</f>
        <v>0.22048351733552002</v>
      </c>
      <c r="K364">
        <f>AVERAGEIF(Table1[CountryCode],Table1[[#This Row],[CountryCode]],Table1[z-score])</f>
        <v>-1.226846632548898E-2</v>
      </c>
      <c r="L364" t="e">
        <f>VLOOKUP(Table1[[#This Row],[CountryCode]],[1]!Table1[#All],1,FALSE)</f>
        <v>#REF!</v>
      </c>
    </row>
    <row r="365" spans="1:12" hidden="1" x14ac:dyDescent="0.3">
      <c r="A365" t="s">
        <v>31</v>
      </c>
      <c r="B365" t="s">
        <v>32</v>
      </c>
      <c r="C365" t="s">
        <v>9</v>
      </c>
      <c r="D365" t="s">
        <v>10</v>
      </c>
      <c r="E365">
        <v>1998</v>
      </c>
      <c r="F365" s="1">
        <v>100</v>
      </c>
      <c r="G365">
        <v>2000</v>
      </c>
      <c r="H365">
        <f>AVERAGEIFS(Table1[value],Table1[IndicatorCode],Table1[[#This Row],[IndicatorCode]])</f>
        <v>99.756410256410263</v>
      </c>
      <c r="I365" cm="1">
        <f t="array" ref="I365">_xlfn.STDEV.P(IF(Table1[IndicatorCode]=Table1[[#This Row],[IndicatorCode]],Table1[value]))</f>
        <v>1.1047979755287356</v>
      </c>
      <c r="J365">
        <f>(Table1[[#This Row],[value]] - Table1[[#This Row],[mean]]) / Table1[[#This Row],[std_dev]]</f>
        <v>0.22048351733552002</v>
      </c>
      <c r="K365">
        <f>AVERAGEIF(Table1[CountryCode],Table1[[#This Row],[CountryCode]],Table1[z-score])</f>
        <v>-1.226846632548898E-2</v>
      </c>
      <c r="L365" t="e">
        <f>VLOOKUP(Table1[[#This Row],[CountryCode]],[1]!Table1[#All],1,FALSE)</f>
        <v>#REF!</v>
      </c>
    </row>
    <row r="366" spans="1:12" hidden="1" x14ac:dyDescent="0.3">
      <c r="A366" t="s">
        <v>31</v>
      </c>
      <c r="B366" t="s">
        <v>32</v>
      </c>
      <c r="C366" t="s">
        <v>9</v>
      </c>
      <c r="D366" t="s">
        <v>10</v>
      </c>
      <c r="E366">
        <v>1999</v>
      </c>
      <c r="F366" s="1">
        <v>100</v>
      </c>
      <c r="G366">
        <v>2000</v>
      </c>
      <c r="H366">
        <f>AVERAGEIFS(Table1[value],Table1[IndicatorCode],Table1[[#This Row],[IndicatorCode]])</f>
        <v>99.756410256410263</v>
      </c>
      <c r="I366" cm="1">
        <f t="array" ref="I366">_xlfn.STDEV.P(IF(Table1[IndicatorCode]=Table1[[#This Row],[IndicatorCode]],Table1[value]))</f>
        <v>1.1047979755287356</v>
      </c>
      <c r="J366">
        <f>(Table1[[#This Row],[value]] - Table1[[#This Row],[mean]]) / Table1[[#This Row],[std_dev]]</f>
        <v>0.22048351733552002</v>
      </c>
      <c r="K366">
        <f>AVERAGEIF(Table1[CountryCode],Table1[[#This Row],[CountryCode]],Table1[z-score])</f>
        <v>-1.226846632548898E-2</v>
      </c>
      <c r="L366" t="e">
        <f>VLOOKUP(Table1[[#This Row],[CountryCode]],[1]!Table1[#All],1,FALSE)</f>
        <v>#REF!</v>
      </c>
    </row>
    <row r="367" spans="1:12" hidden="1" x14ac:dyDescent="0.3">
      <c r="A367" t="s">
        <v>31</v>
      </c>
      <c r="B367" t="s">
        <v>32</v>
      </c>
      <c r="C367" t="s">
        <v>9</v>
      </c>
      <c r="D367" t="s">
        <v>10</v>
      </c>
      <c r="E367">
        <v>2000</v>
      </c>
      <c r="F367" s="1">
        <v>100</v>
      </c>
      <c r="G367">
        <v>2000</v>
      </c>
      <c r="H367">
        <f>AVERAGEIFS(Table1[value],Table1[IndicatorCode],Table1[[#This Row],[IndicatorCode]])</f>
        <v>99.756410256410263</v>
      </c>
      <c r="I367" cm="1">
        <f t="array" ref="I367">_xlfn.STDEV.P(IF(Table1[IndicatorCode]=Table1[[#This Row],[IndicatorCode]],Table1[value]))</f>
        <v>1.1047979755287356</v>
      </c>
      <c r="J367">
        <f>(Table1[[#This Row],[value]] - Table1[[#This Row],[mean]]) / Table1[[#This Row],[std_dev]]</f>
        <v>0.22048351733552002</v>
      </c>
      <c r="K367">
        <f>AVERAGEIF(Table1[CountryCode],Table1[[#This Row],[CountryCode]],Table1[z-score])</f>
        <v>-1.226846632548898E-2</v>
      </c>
      <c r="L367" t="e">
        <f>VLOOKUP(Table1[[#This Row],[CountryCode]],[1]!Table1[#All],1,FALSE)</f>
        <v>#REF!</v>
      </c>
    </row>
    <row r="368" spans="1:12" hidden="1" x14ac:dyDescent="0.3">
      <c r="A368" t="s">
        <v>31</v>
      </c>
      <c r="B368" t="s">
        <v>32</v>
      </c>
      <c r="C368" t="s">
        <v>9</v>
      </c>
      <c r="D368" t="s">
        <v>10</v>
      </c>
      <c r="E368">
        <v>2001</v>
      </c>
      <c r="F368" s="1">
        <v>100</v>
      </c>
      <c r="G368">
        <v>2000</v>
      </c>
      <c r="H368">
        <f>AVERAGEIFS(Table1[value],Table1[IndicatorCode],Table1[[#This Row],[IndicatorCode]])</f>
        <v>99.756410256410263</v>
      </c>
      <c r="I368" cm="1">
        <f t="array" ref="I368">_xlfn.STDEV.P(IF(Table1[IndicatorCode]=Table1[[#This Row],[IndicatorCode]],Table1[value]))</f>
        <v>1.1047979755287356</v>
      </c>
      <c r="J368">
        <f>(Table1[[#This Row],[value]] - Table1[[#This Row],[mean]]) / Table1[[#This Row],[std_dev]]</f>
        <v>0.22048351733552002</v>
      </c>
      <c r="K368">
        <f>AVERAGEIF(Table1[CountryCode],Table1[[#This Row],[CountryCode]],Table1[z-score])</f>
        <v>-1.226846632548898E-2</v>
      </c>
      <c r="L368" t="e">
        <f>VLOOKUP(Table1[[#This Row],[CountryCode]],[1]!Table1[#All],1,FALSE)</f>
        <v>#REF!</v>
      </c>
    </row>
    <row r="369" spans="1:12" hidden="1" x14ac:dyDescent="0.3">
      <c r="A369" t="s">
        <v>31</v>
      </c>
      <c r="B369" t="s">
        <v>32</v>
      </c>
      <c r="C369" t="s">
        <v>9</v>
      </c>
      <c r="D369" t="s">
        <v>10</v>
      </c>
      <c r="E369">
        <v>2002</v>
      </c>
      <c r="F369" s="1">
        <v>100</v>
      </c>
      <c r="G369">
        <v>2000</v>
      </c>
      <c r="H369">
        <f>AVERAGEIFS(Table1[value],Table1[IndicatorCode],Table1[[#This Row],[IndicatorCode]])</f>
        <v>99.756410256410263</v>
      </c>
      <c r="I369" cm="1">
        <f t="array" ref="I369">_xlfn.STDEV.P(IF(Table1[IndicatorCode]=Table1[[#This Row],[IndicatorCode]],Table1[value]))</f>
        <v>1.1047979755287356</v>
      </c>
      <c r="J369">
        <f>(Table1[[#This Row],[value]] - Table1[[#This Row],[mean]]) / Table1[[#This Row],[std_dev]]</f>
        <v>0.22048351733552002</v>
      </c>
      <c r="K369">
        <f>AVERAGEIF(Table1[CountryCode],Table1[[#This Row],[CountryCode]],Table1[z-score])</f>
        <v>-1.226846632548898E-2</v>
      </c>
      <c r="L369" t="e">
        <f>VLOOKUP(Table1[[#This Row],[CountryCode]],[1]!Table1[#All],1,FALSE)</f>
        <v>#REF!</v>
      </c>
    </row>
    <row r="370" spans="1:12" hidden="1" x14ac:dyDescent="0.3">
      <c r="A370" t="s">
        <v>31</v>
      </c>
      <c r="B370" t="s">
        <v>32</v>
      </c>
      <c r="C370" t="s">
        <v>9</v>
      </c>
      <c r="D370" t="s">
        <v>10</v>
      </c>
      <c r="E370">
        <v>2003</v>
      </c>
      <c r="F370" s="1">
        <v>100</v>
      </c>
      <c r="G370">
        <v>2000</v>
      </c>
      <c r="H370">
        <f>AVERAGEIFS(Table1[value],Table1[IndicatorCode],Table1[[#This Row],[IndicatorCode]])</f>
        <v>99.756410256410263</v>
      </c>
      <c r="I370" cm="1">
        <f t="array" ref="I370">_xlfn.STDEV.P(IF(Table1[IndicatorCode]=Table1[[#This Row],[IndicatorCode]],Table1[value]))</f>
        <v>1.1047979755287356</v>
      </c>
      <c r="J370">
        <f>(Table1[[#This Row],[value]] - Table1[[#This Row],[mean]]) / Table1[[#This Row],[std_dev]]</f>
        <v>0.22048351733552002</v>
      </c>
      <c r="K370">
        <f>AVERAGEIF(Table1[CountryCode],Table1[[#This Row],[CountryCode]],Table1[z-score])</f>
        <v>-1.226846632548898E-2</v>
      </c>
      <c r="L370" t="e">
        <f>VLOOKUP(Table1[[#This Row],[CountryCode]],[1]!Table1[#All],1,FALSE)</f>
        <v>#REF!</v>
      </c>
    </row>
    <row r="371" spans="1:12" hidden="1" x14ac:dyDescent="0.3">
      <c r="A371" t="s">
        <v>31</v>
      </c>
      <c r="B371" t="s">
        <v>32</v>
      </c>
      <c r="C371" t="s">
        <v>9</v>
      </c>
      <c r="D371" t="s">
        <v>10</v>
      </c>
      <c r="E371">
        <v>2004</v>
      </c>
      <c r="F371" s="1">
        <v>100</v>
      </c>
      <c r="G371">
        <v>2000</v>
      </c>
      <c r="H371">
        <f>AVERAGEIFS(Table1[value],Table1[IndicatorCode],Table1[[#This Row],[IndicatorCode]])</f>
        <v>99.756410256410263</v>
      </c>
      <c r="I371" cm="1">
        <f t="array" ref="I371">_xlfn.STDEV.P(IF(Table1[IndicatorCode]=Table1[[#This Row],[IndicatorCode]],Table1[value]))</f>
        <v>1.1047979755287356</v>
      </c>
      <c r="J371">
        <f>(Table1[[#This Row],[value]] - Table1[[#This Row],[mean]]) / Table1[[#This Row],[std_dev]]</f>
        <v>0.22048351733552002</v>
      </c>
      <c r="K371">
        <f>AVERAGEIF(Table1[CountryCode],Table1[[#This Row],[CountryCode]],Table1[z-score])</f>
        <v>-1.226846632548898E-2</v>
      </c>
      <c r="L371" t="e">
        <f>VLOOKUP(Table1[[#This Row],[CountryCode]],[1]!Table1[#All],1,FALSE)</f>
        <v>#REF!</v>
      </c>
    </row>
    <row r="372" spans="1:12" hidden="1" x14ac:dyDescent="0.3">
      <c r="A372" t="s">
        <v>31</v>
      </c>
      <c r="B372" t="s">
        <v>32</v>
      </c>
      <c r="C372" t="s">
        <v>9</v>
      </c>
      <c r="D372" t="s">
        <v>10</v>
      </c>
      <c r="E372">
        <v>2005</v>
      </c>
      <c r="F372" s="1">
        <v>100</v>
      </c>
      <c r="G372">
        <v>2000</v>
      </c>
      <c r="H372">
        <f>AVERAGEIFS(Table1[value],Table1[IndicatorCode],Table1[[#This Row],[IndicatorCode]])</f>
        <v>99.756410256410263</v>
      </c>
      <c r="I372" cm="1">
        <f t="array" ref="I372">_xlfn.STDEV.P(IF(Table1[IndicatorCode]=Table1[[#This Row],[IndicatorCode]],Table1[value]))</f>
        <v>1.1047979755287356</v>
      </c>
      <c r="J372">
        <f>(Table1[[#This Row],[value]] - Table1[[#This Row],[mean]]) / Table1[[#This Row],[std_dev]]</f>
        <v>0.22048351733552002</v>
      </c>
      <c r="K372">
        <f>AVERAGEIF(Table1[CountryCode],Table1[[#This Row],[CountryCode]],Table1[z-score])</f>
        <v>-1.226846632548898E-2</v>
      </c>
      <c r="L372" t="e">
        <f>VLOOKUP(Table1[[#This Row],[CountryCode]],[1]!Table1[#All],1,FALSE)</f>
        <v>#REF!</v>
      </c>
    </row>
    <row r="373" spans="1:12" hidden="1" x14ac:dyDescent="0.3">
      <c r="A373" t="s">
        <v>31</v>
      </c>
      <c r="B373" t="s">
        <v>32</v>
      </c>
      <c r="C373" t="s">
        <v>9</v>
      </c>
      <c r="D373" t="s">
        <v>10</v>
      </c>
      <c r="E373">
        <v>2006</v>
      </c>
      <c r="F373" s="1">
        <v>100</v>
      </c>
      <c r="G373">
        <v>2000</v>
      </c>
      <c r="H373">
        <f>AVERAGEIFS(Table1[value],Table1[IndicatorCode],Table1[[#This Row],[IndicatorCode]])</f>
        <v>99.756410256410263</v>
      </c>
      <c r="I373" cm="1">
        <f t="array" ref="I373">_xlfn.STDEV.P(IF(Table1[IndicatorCode]=Table1[[#This Row],[IndicatorCode]],Table1[value]))</f>
        <v>1.1047979755287356</v>
      </c>
      <c r="J373">
        <f>(Table1[[#This Row],[value]] - Table1[[#This Row],[mean]]) / Table1[[#This Row],[std_dev]]</f>
        <v>0.22048351733552002</v>
      </c>
      <c r="K373">
        <f>AVERAGEIF(Table1[CountryCode],Table1[[#This Row],[CountryCode]],Table1[z-score])</f>
        <v>-1.226846632548898E-2</v>
      </c>
      <c r="L373" t="e">
        <f>VLOOKUP(Table1[[#This Row],[CountryCode]],[1]!Table1[#All],1,FALSE)</f>
        <v>#REF!</v>
      </c>
    </row>
    <row r="374" spans="1:12" hidden="1" x14ac:dyDescent="0.3">
      <c r="A374" t="s">
        <v>31</v>
      </c>
      <c r="B374" t="s">
        <v>32</v>
      </c>
      <c r="C374" t="s">
        <v>9</v>
      </c>
      <c r="D374" t="s">
        <v>10</v>
      </c>
      <c r="E374">
        <v>2007</v>
      </c>
      <c r="F374" s="1">
        <v>100</v>
      </c>
      <c r="G374">
        <v>2010</v>
      </c>
      <c r="H374">
        <f>AVERAGEIFS(Table1[value],Table1[IndicatorCode],Table1[[#This Row],[IndicatorCode]])</f>
        <v>99.756410256410263</v>
      </c>
      <c r="I374" cm="1">
        <f t="array" ref="I374">_xlfn.STDEV.P(IF(Table1[IndicatorCode]=Table1[[#This Row],[IndicatorCode]],Table1[value]))</f>
        <v>1.1047979755287356</v>
      </c>
      <c r="J374">
        <f>(Table1[[#This Row],[value]] - Table1[[#This Row],[mean]]) / Table1[[#This Row],[std_dev]]</f>
        <v>0.22048351733552002</v>
      </c>
      <c r="K374">
        <f>AVERAGEIF(Table1[CountryCode],Table1[[#This Row],[CountryCode]],Table1[z-score])</f>
        <v>-1.226846632548898E-2</v>
      </c>
      <c r="L374" t="e">
        <f>VLOOKUP(Table1[[#This Row],[CountryCode]],[1]!Table1[#All],1,FALSE)</f>
        <v>#REF!</v>
      </c>
    </row>
    <row r="375" spans="1:12" hidden="1" x14ac:dyDescent="0.3">
      <c r="A375" t="s">
        <v>31</v>
      </c>
      <c r="B375" t="s">
        <v>32</v>
      </c>
      <c r="C375" t="s">
        <v>9</v>
      </c>
      <c r="D375" t="s">
        <v>10</v>
      </c>
      <c r="E375">
        <v>2008</v>
      </c>
      <c r="F375" s="1">
        <v>100</v>
      </c>
      <c r="G375">
        <v>2010</v>
      </c>
      <c r="H375">
        <f>AVERAGEIFS(Table1[value],Table1[IndicatorCode],Table1[[#This Row],[IndicatorCode]])</f>
        <v>99.756410256410263</v>
      </c>
      <c r="I375" cm="1">
        <f t="array" ref="I375">_xlfn.STDEV.P(IF(Table1[IndicatorCode]=Table1[[#This Row],[IndicatorCode]],Table1[value]))</f>
        <v>1.1047979755287356</v>
      </c>
      <c r="J375">
        <f>(Table1[[#This Row],[value]] - Table1[[#This Row],[mean]]) / Table1[[#This Row],[std_dev]]</f>
        <v>0.22048351733552002</v>
      </c>
      <c r="K375">
        <f>AVERAGEIF(Table1[CountryCode],Table1[[#This Row],[CountryCode]],Table1[z-score])</f>
        <v>-1.226846632548898E-2</v>
      </c>
      <c r="L375" t="e">
        <f>VLOOKUP(Table1[[#This Row],[CountryCode]],[1]!Table1[#All],1,FALSE)</f>
        <v>#REF!</v>
      </c>
    </row>
    <row r="376" spans="1:12" hidden="1" x14ac:dyDescent="0.3">
      <c r="A376" t="s">
        <v>31</v>
      </c>
      <c r="B376" t="s">
        <v>32</v>
      </c>
      <c r="C376" t="s">
        <v>9</v>
      </c>
      <c r="D376" t="s">
        <v>10</v>
      </c>
      <c r="E376">
        <v>2009</v>
      </c>
      <c r="F376" s="1">
        <v>100</v>
      </c>
      <c r="G376">
        <v>2010</v>
      </c>
      <c r="H376">
        <f>AVERAGEIFS(Table1[value],Table1[IndicatorCode],Table1[[#This Row],[IndicatorCode]])</f>
        <v>99.756410256410263</v>
      </c>
      <c r="I376" cm="1">
        <f t="array" ref="I376">_xlfn.STDEV.P(IF(Table1[IndicatorCode]=Table1[[#This Row],[IndicatorCode]],Table1[value]))</f>
        <v>1.1047979755287356</v>
      </c>
      <c r="J376">
        <f>(Table1[[#This Row],[value]] - Table1[[#This Row],[mean]]) / Table1[[#This Row],[std_dev]]</f>
        <v>0.22048351733552002</v>
      </c>
      <c r="K376">
        <f>AVERAGEIF(Table1[CountryCode],Table1[[#This Row],[CountryCode]],Table1[z-score])</f>
        <v>-1.226846632548898E-2</v>
      </c>
      <c r="L376" t="e">
        <f>VLOOKUP(Table1[[#This Row],[CountryCode]],[1]!Table1[#All],1,FALSE)</f>
        <v>#REF!</v>
      </c>
    </row>
    <row r="377" spans="1:12" hidden="1" x14ac:dyDescent="0.3">
      <c r="A377" t="s">
        <v>31</v>
      </c>
      <c r="B377" t="s">
        <v>32</v>
      </c>
      <c r="C377" t="s">
        <v>9</v>
      </c>
      <c r="D377" t="s">
        <v>10</v>
      </c>
      <c r="E377">
        <v>2010</v>
      </c>
      <c r="F377" s="1">
        <v>100</v>
      </c>
      <c r="G377">
        <v>2010</v>
      </c>
      <c r="H377">
        <f>AVERAGEIFS(Table1[value],Table1[IndicatorCode],Table1[[#This Row],[IndicatorCode]])</f>
        <v>99.756410256410263</v>
      </c>
      <c r="I377" cm="1">
        <f t="array" ref="I377">_xlfn.STDEV.P(IF(Table1[IndicatorCode]=Table1[[#This Row],[IndicatorCode]],Table1[value]))</f>
        <v>1.1047979755287356</v>
      </c>
      <c r="J377">
        <f>(Table1[[#This Row],[value]] - Table1[[#This Row],[mean]]) / Table1[[#This Row],[std_dev]]</f>
        <v>0.22048351733552002</v>
      </c>
      <c r="K377">
        <f>AVERAGEIF(Table1[CountryCode],Table1[[#This Row],[CountryCode]],Table1[z-score])</f>
        <v>-1.226846632548898E-2</v>
      </c>
      <c r="L377" t="e">
        <f>VLOOKUP(Table1[[#This Row],[CountryCode]],[1]!Table1[#All],1,FALSE)</f>
        <v>#REF!</v>
      </c>
    </row>
    <row r="378" spans="1:12" hidden="1" x14ac:dyDescent="0.3">
      <c r="A378" t="s">
        <v>31</v>
      </c>
      <c r="B378" t="s">
        <v>32</v>
      </c>
      <c r="C378" t="s">
        <v>9</v>
      </c>
      <c r="D378" t="s">
        <v>10</v>
      </c>
      <c r="E378">
        <v>2011</v>
      </c>
      <c r="F378" s="1">
        <v>100</v>
      </c>
      <c r="G378">
        <v>2010</v>
      </c>
      <c r="H378">
        <f>AVERAGEIFS(Table1[value],Table1[IndicatorCode],Table1[[#This Row],[IndicatorCode]])</f>
        <v>99.756410256410263</v>
      </c>
      <c r="I378" cm="1">
        <f t="array" ref="I378">_xlfn.STDEV.P(IF(Table1[IndicatorCode]=Table1[[#This Row],[IndicatorCode]],Table1[value]))</f>
        <v>1.1047979755287356</v>
      </c>
      <c r="J378">
        <f>(Table1[[#This Row],[value]] - Table1[[#This Row],[mean]]) / Table1[[#This Row],[std_dev]]</f>
        <v>0.22048351733552002</v>
      </c>
      <c r="K378">
        <f>AVERAGEIF(Table1[CountryCode],Table1[[#This Row],[CountryCode]],Table1[z-score])</f>
        <v>-1.226846632548898E-2</v>
      </c>
      <c r="L378" t="e">
        <f>VLOOKUP(Table1[[#This Row],[CountryCode]],[1]!Table1[#All],1,FALSE)</f>
        <v>#REF!</v>
      </c>
    </row>
    <row r="379" spans="1:12" hidden="1" x14ac:dyDescent="0.3">
      <c r="A379" t="s">
        <v>31</v>
      </c>
      <c r="B379" t="s">
        <v>32</v>
      </c>
      <c r="C379" t="s">
        <v>9</v>
      </c>
      <c r="D379" t="s">
        <v>10</v>
      </c>
      <c r="E379">
        <v>2012</v>
      </c>
      <c r="F379" s="1">
        <v>100</v>
      </c>
      <c r="G379">
        <v>2010</v>
      </c>
      <c r="H379">
        <f>AVERAGEIFS(Table1[value],Table1[IndicatorCode],Table1[[#This Row],[IndicatorCode]])</f>
        <v>99.756410256410263</v>
      </c>
      <c r="I379" cm="1">
        <f t="array" ref="I379">_xlfn.STDEV.P(IF(Table1[IndicatorCode]=Table1[[#This Row],[IndicatorCode]],Table1[value]))</f>
        <v>1.1047979755287356</v>
      </c>
      <c r="J379">
        <f>(Table1[[#This Row],[value]] - Table1[[#This Row],[mean]]) / Table1[[#This Row],[std_dev]]</f>
        <v>0.22048351733552002</v>
      </c>
      <c r="K379">
        <f>AVERAGEIF(Table1[CountryCode],Table1[[#This Row],[CountryCode]],Table1[z-score])</f>
        <v>-1.226846632548898E-2</v>
      </c>
      <c r="L379" t="e">
        <f>VLOOKUP(Table1[[#This Row],[CountryCode]],[1]!Table1[#All],1,FALSE)</f>
        <v>#REF!</v>
      </c>
    </row>
    <row r="380" spans="1:12" hidden="1" x14ac:dyDescent="0.3">
      <c r="A380" t="s">
        <v>31</v>
      </c>
      <c r="B380" t="s">
        <v>32</v>
      </c>
      <c r="C380" t="s">
        <v>9</v>
      </c>
      <c r="D380" t="s">
        <v>10</v>
      </c>
      <c r="E380">
        <v>2013</v>
      </c>
      <c r="F380" s="1">
        <v>100</v>
      </c>
      <c r="G380">
        <v>2010</v>
      </c>
      <c r="H380">
        <f>AVERAGEIFS(Table1[value],Table1[IndicatorCode],Table1[[#This Row],[IndicatorCode]])</f>
        <v>99.756410256410263</v>
      </c>
      <c r="I380" cm="1">
        <f t="array" ref="I380">_xlfn.STDEV.P(IF(Table1[IndicatorCode]=Table1[[#This Row],[IndicatorCode]],Table1[value]))</f>
        <v>1.1047979755287356</v>
      </c>
      <c r="J380">
        <f>(Table1[[#This Row],[value]] - Table1[[#This Row],[mean]]) / Table1[[#This Row],[std_dev]]</f>
        <v>0.22048351733552002</v>
      </c>
      <c r="K380">
        <f>AVERAGEIF(Table1[CountryCode],Table1[[#This Row],[CountryCode]],Table1[z-score])</f>
        <v>-1.226846632548898E-2</v>
      </c>
      <c r="L380" t="e">
        <f>VLOOKUP(Table1[[#This Row],[CountryCode]],[1]!Table1[#All],1,FALSE)</f>
        <v>#REF!</v>
      </c>
    </row>
    <row r="381" spans="1:12" hidden="1" x14ac:dyDescent="0.3">
      <c r="A381" t="s">
        <v>31</v>
      </c>
      <c r="B381" t="s">
        <v>32</v>
      </c>
      <c r="C381" t="s">
        <v>9</v>
      </c>
      <c r="D381" t="s">
        <v>10</v>
      </c>
      <c r="E381">
        <v>2014</v>
      </c>
      <c r="F381" s="1">
        <v>100</v>
      </c>
      <c r="G381">
        <v>2010</v>
      </c>
      <c r="H381">
        <f>AVERAGEIFS(Table1[value],Table1[IndicatorCode],Table1[[#This Row],[IndicatorCode]])</f>
        <v>99.756410256410263</v>
      </c>
      <c r="I381" cm="1">
        <f t="array" ref="I381">_xlfn.STDEV.P(IF(Table1[IndicatorCode]=Table1[[#This Row],[IndicatorCode]],Table1[value]))</f>
        <v>1.1047979755287356</v>
      </c>
      <c r="J381">
        <f>(Table1[[#This Row],[value]] - Table1[[#This Row],[mean]]) / Table1[[#This Row],[std_dev]]</f>
        <v>0.22048351733552002</v>
      </c>
      <c r="K381">
        <f>AVERAGEIF(Table1[CountryCode],Table1[[#This Row],[CountryCode]],Table1[z-score])</f>
        <v>-1.226846632548898E-2</v>
      </c>
      <c r="L381" t="e">
        <f>VLOOKUP(Table1[[#This Row],[CountryCode]],[1]!Table1[#All],1,FALSE)</f>
        <v>#REF!</v>
      </c>
    </row>
    <row r="382" spans="1:12" hidden="1" x14ac:dyDescent="0.3">
      <c r="A382" t="s">
        <v>31</v>
      </c>
      <c r="B382" t="s">
        <v>32</v>
      </c>
      <c r="C382" t="s">
        <v>9</v>
      </c>
      <c r="D382" t="s">
        <v>10</v>
      </c>
      <c r="E382">
        <v>2015</v>
      </c>
      <c r="F382" s="1">
        <v>100</v>
      </c>
      <c r="G382">
        <v>2010</v>
      </c>
      <c r="H382">
        <f>AVERAGEIFS(Table1[value],Table1[IndicatorCode],Table1[[#This Row],[IndicatorCode]])</f>
        <v>99.756410256410263</v>
      </c>
      <c r="I382" cm="1">
        <f t="array" ref="I382">_xlfn.STDEV.P(IF(Table1[IndicatorCode]=Table1[[#This Row],[IndicatorCode]],Table1[value]))</f>
        <v>1.1047979755287356</v>
      </c>
      <c r="J382">
        <f>(Table1[[#This Row],[value]] - Table1[[#This Row],[mean]]) / Table1[[#This Row],[std_dev]]</f>
        <v>0.22048351733552002</v>
      </c>
      <c r="K382">
        <f>AVERAGEIF(Table1[CountryCode],Table1[[#This Row],[CountryCode]],Table1[z-score])</f>
        <v>-1.226846632548898E-2</v>
      </c>
      <c r="L382" t="e">
        <f>VLOOKUP(Table1[[#This Row],[CountryCode]],[1]!Table1[#All],1,FALSE)</f>
        <v>#REF!</v>
      </c>
    </row>
    <row r="383" spans="1:12" hidden="1" x14ac:dyDescent="0.3">
      <c r="A383" t="s">
        <v>31</v>
      </c>
      <c r="B383" t="s">
        <v>32</v>
      </c>
      <c r="C383" t="s">
        <v>9</v>
      </c>
      <c r="D383" t="s">
        <v>10</v>
      </c>
      <c r="E383">
        <v>2016</v>
      </c>
      <c r="F383" s="1">
        <v>100</v>
      </c>
      <c r="G383">
        <v>2010</v>
      </c>
      <c r="H383">
        <f>AVERAGEIFS(Table1[value],Table1[IndicatorCode],Table1[[#This Row],[IndicatorCode]])</f>
        <v>99.756410256410263</v>
      </c>
      <c r="I383" cm="1">
        <f t="array" ref="I383">_xlfn.STDEV.P(IF(Table1[IndicatorCode]=Table1[[#This Row],[IndicatorCode]],Table1[value]))</f>
        <v>1.1047979755287356</v>
      </c>
      <c r="J383">
        <f>(Table1[[#This Row],[value]] - Table1[[#This Row],[mean]]) / Table1[[#This Row],[std_dev]]</f>
        <v>0.22048351733552002</v>
      </c>
      <c r="K383">
        <f>AVERAGEIF(Table1[CountryCode],Table1[[#This Row],[CountryCode]],Table1[z-score])</f>
        <v>-1.226846632548898E-2</v>
      </c>
      <c r="L383" t="e">
        <f>VLOOKUP(Table1[[#This Row],[CountryCode]],[1]!Table1[#All],1,FALSE)</f>
        <v>#REF!</v>
      </c>
    </row>
    <row r="384" spans="1:12" hidden="1" x14ac:dyDescent="0.3">
      <c r="A384" t="s">
        <v>31</v>
      </c>
      <c r="B384" t="s">
        <v>32</v>
      </c>
      <c r="C384" t="s">
        <v>9</v>
      </c>
      <c r="D384" t="s">
        <v>10</v>
      </c>
      <c r="E384">
        <v>2017</v>
      </c>
      <c r="F384" s="1">
        <v>100</v>
      </c>
      <c r="G384">
        <v>2020</v>
      </c>
      <c r="H384">
        <f>AVERAGEIFS(Table1[value],Table1[IndicatorCode],Table1[[#This Row],[IndicatorCode]])</f>
        <v>99.756410256410263</v>
      </c>
      <c r="I384" cm="1">
        <f t="array" ref="I384">_xlfn.STDEV.P(IF(Table1[IndicatorCode]=Table1[[#This Row],[IndicatorCode]],Table1[value]))</f>
        <v>1.1047979755287356</v>
      </c>
      <c r="J384">
        <f>(Table1[[#This Row],[value]] - Table1[[#This Row],[mean]]) / Table1[[#This Row],[std_dev]]</f>
        <v>0.22048351733552002</v>
      </c>
      <c r="K384">
        <f>AVERAGEIF(Table1[CountryCode],Table1[[#This Row],[CountryCode]],Table1[z-score])</f>
        <v>-1.226846632548898E-2</v>
      </c>
      <c r="L384" t="e">
        <f>VLOOKUP(Table1[[#This Row],[CountryCode]],[1]!Table1[#All],1,FALSE)</f>
        <v>#REF!</v>
      </c>
    </row>
    <row r="385" spans="1:12" hidden="1" x14ac:dyDescent="0.3">
      <c r="A385" t="s">
        <v>31</v>
      </c>
      <c r="B385" t="s">
        <v>32</v>
      </c>
      <c r="C385" t="s">
        <v>9</v>
      </c>
      <c r="D385" t="s">
        <v>10</v>
      </c>
      <c r="E385">
        <v>2018</v>
      </c>
      <c r="F385" s="1">
        <v>100</v>
      </c>
      <c r="G385">
        <v>2020</v>
      </c>
      <c r="H385">
        <f>AVERAGEIFS(Table1[value],Table1[IndicatorCode],Table1[[#This Row],[IndicatorCode]])</f>
        <v>99.756410256410263</v>
      </c>
      <c r="I385" cm="1">
        <f t="array" ref="I385">_xlfn.STDEV.P(IF(Table1[IndicatorCode]=Table1[[#This Row],[IndicatorCode]],Table1[value]))</f>
        <v>1.1047979755287356</v>
      </c>
      <c r="J385">
        <f>(Table1[[#This Row],[value]] - Table1[[#This Row],[mean]]) / Table1[[#This Row],[std_dev]]</f>
        <v>0.22048351733552002</v>
      </c>
      <c r="K385">
        <f>AVERAGEIF(Table1[CountryCode],Table1[[#This Row],[CountryCode]],Table1[z-score])</f>
        <v>-1.226846632548898E-2</v>
      </c>
      <c r="L385" t="e">
        <f>VLOOKUP(Table1[[#This Row],[CountryCode]],[1]!Table1[#All],1,FALSE)</f>
        <v>#REF!</v>
      </c>
    </row>
    <row r="386" spans="1:12" hidden="1" x14ac:dyDescent="0.3">
      <c r="A386" t="s">
        <v>31</v>
      </c>
      <c r="B386" t="s">
        <v>32</v>
      </c>
      <c r="C386" t="s">
        <v>9</v>
      </c>
      <c r="D386" t="s">
        <v>10</v>
      </c>
      <c r="E386">
        <v>2019</v>
      </c>
      <c r="F386" s="1">
        <v>100</v>
      </c>
      <c r="G386">
        <v>2020</v>
      </c>
      <c r="H386">
        <f>AVERAGEIFS(Table1[value],Table1[IndicatorCode],Table1[[#This Row],[IndicatorCode]])</f>
        <v>99.756410256410263</v>
      </c>
      <c r="I386" cm="1">
        <f t="array" ref="I386">_xlfn.STDEV.P(IF(Table1[IndicatorCode]=Table1[[#This Row],[IndicatorCode]],Table1[value]))</f>
        <v>1.1047979755287356</v>
      </c>
      <c r="J386">
        <f>(Table1[[#This Row],[value]] - Table1[[#This Row],[mean]]) / Table1[[#This Row],[std_dev]]</f>
        <v>0.22048351733552002</v>
      </c>
      <c r="K386">
        <f>AVERAGEIF(Table1[CountryCode],Table1[[#This Row],[CountryCode]],Table1[z-score])</f>
        <v>-1.226846632548898E-2</v>
      </c>
      <c r="L386" t="e">
        <f>VLOOKUP(Table1[[#This Row],[CountryCode]],[1]!Table1[#All],1,FALSE)</f>
        <v>#REF!</v>
      </c>
    </row>
    <row r="387" spans="1:12" x14ac:dyDescent="0.3">
      <c r="A387" t="s">
        <v>31</v>
      </c>
      <c r="B387" t="s">
        <v>32</v>
      </c>
      <c r="C387" t="s">
        <v>9</v>
      </c>
      <c r="D387" t="s">
        <v>10</v>
      </c>
      <c r="E387">
        <v>2020</v>
      </c>
      <c r="F387" s="1">
        <v>100</v>
      </c>
      <c r="G387">
        <v>2020</v>
      </c>
      <c r="H387">
        <f>AVERAGEIFS(Table1[value],Table1[IndicatorCode],Table1[[#This Row],[IndicatorCode]])</f>
        <v>99.756410256410263</v>
      </c>
      <c r="I387" cm="1">
        <f t="array" ref="I387">_xlfn.STDEV.P(IF(Table1[IndicatorCode]=Table1[[#This Row],[IndicatorCode]],Table1[value]))</f>
        <v>1.1047979755287356</v>
      </c>
      <c r="J387">
        <f>(Table1[[#This Row],[value]] - Table1[[#This Row],[mean]]) / Table1[[#This Row],[std_dev]]</f>
        <v>0.22048351733552002</v>
      </c>
      <c r="K387">
        <f>AVERAGEIF(Table1[CountryCode],Table1[[#This Row],[CountryCode]],Table1[z-score])</f>
        <v>-1.226846632548898E-2</v>
      </c>
    </row>
    <row r="388" spans="1:12" hidden="1" x14ac:dyDescent="0.3">
      <c r="A388" t="s">
        <v>31</v>
      </c>
      <c r="B388" t="s">
        <v>32</v>
      </c>
      <c r="C388" t="s">
        <v>9</v>
      </c>
      <c r="D388" t="s">
        <v>10</v>
      </c>
      <c r="E388">
        <v>2021</v>
      </c>
      <c r="F388" s="1">
        <v>100</v>
      </c>
      <c r="G388">
        <v>1990</v>
      </c>
      <c r="H388">
        <f>AVERAGEIFS(Table1[value],Table1[IndicatorCode],Table1[[#This Row],[IndicatorCode]])</f>
        <v>99.756410256410263</v>
      </c>
      <c r="I388" cm="1">
        <f t="array" ref="I388">_xlfn.STDEV.P(IF(Table1[IndicatorCode]=Table1[[#This Row],[IndicatorCode]],Table1[value]))</f>
        <v>1.1047979755287356</v>
      </c>
      <c r="J388">
        <f>(Table1[[#This Row],[value]] - Table1[[#This Row],[mean]]) / Table1[[#This Row],[std_dev]]</f>
        <v>0.22048351733552002</v>
      </c>
      <c r="K388">
        <f>AVERAGEIF(Table1[CountryCode],Table1[[#This Row],[CountryCode]],Table1[z-score])</f>
        <v>-1.226846632548898E-2</v>
      </c>
      <c r="L388" t="e">
        <f>VLOOKUP(Table1[[#This Row],[CountryCode]],[1]!Table1[#All],1,FALSE)</f>
        <v>#REF!</v>
      </c>
    </row>
    <row r="389" spans="1:12" hidden="1" x14ac:dyDescent="0.3">
      <c r="A389" t="s">
        <v>31</v>
      </c>
      <c r="B389" t="s">
        <v>32</v>
      </c>
      <c r="C389" t="s">
        <v>9</v>
      </c>
      <c r="D389" t="s">
        <v>10</v>
      </c>
      <c r="E389">
        <v>2022</v>
      </c>
      <c r="F389" s="1">
        <v>100</v>
      </c>
      <c r="G389">
        <v>1990</v>
      </c>
      <c r="H389">
        <f>AVERAGEIFS(Table1[value],Table1[IndicatorCode],Table1[[#This Row],[IndicatorCode]])</f>
        <v>99.756410256410263</v>
      </c>
      <c r="I389" cm="1">
        <f t="array" ref="I389">_xlfn.STDEV.P(IF(Table1[IndicatorCode]=Table1[[#This Row],[IndicatorCode]],Table1[value]))</f>
        <v>1.1047979755287356</v>
      </c>
      <c r="J389">
        <f>(Table1[[#This Row],[value]] - Table1[[#This Row],[mean]]) / Table1[[#This Row],[std_dev]]</f>
        <v>0.22048351733552002</v>
      </c>
      <c r="K389">
        <f>AVERAGEIF(Table1[CountryCode],Table1[[#This Row],[CountryCode]],Table1[z-score])</f>
        <v>-1.226846632548898E-2</v>
      </c>
      <c r="L389" t="e">
        <f>VLOOKUP(Table1[[#This Row],[CountryCode]],[1]!Table1[#All],1,FALSE)</f>
        <v>#REF!</v>
      </c>
    </row>
    <row r="390" spans="1:12" hidden="1" x14ac:dyDescent="0.3">
      <c r="A390" t="s">
        <v>31</v>
      </c>
      <c r="B390" t="s">
        <v>32</v>
      </c>
      <c r="C390" t="s">
        <v>9</v>
      </c>
      <c r="D390" t="s">
        <v>10</v>
      </c>
      <c r="E390">
        <v>2023</v>
      </c>
      <c r="F390" s="1">
        <v>100</v>
      </c>
      <c r="G390">
        <v>1990</v>
      </c>
      <c r="H390">
        <f>AVERAGEIFS(Table1[value],Table1[IndicatorCode],Table1[[#This Row],[IndicatorCode]])</f>
        <v>99.756410256410263</v>
      </c>
      <c r="I390" cm="1">
        <f t="array" ref="I390">_xlfn.STDEV.P(IF(Table1[IndicatorCode]=Table1[[#This Row],[IndicatorCode]],Table1[value]))</f>
        <v>1.1047979755287356</v>
      </c>
      <c r="J390">
        <f>(Table1[[#This Row],[value]] - Table1[[#This Row],[mean]]) / Table1[[#This Row],[std_dev]]</f>
        <v>0.22048351733552002</v>
      </c>
      <c r="K390">
        <f>AVERAGEIF(Table1[CountryCode],Table1[[#This Row],[CountryCode]],Table1[z-score])</f>
        <v>-1.226846632548898E-2</v>
      </c>
      <c r="L390" t="e">
        <f>VLOOKUP(Table1[[#This Row],[CountryCode]],[1]!Table1[#All],1,FALSE)</f>
        <v>#REF!</v>
      </c>
    </row>
    <row r="391" spans="1:12" hidden="1" x14ac:dyDescent="0.3">
      <c r="A391" t="s">
        <v>33</v>
      </c>
      <c r="B391" t="s">
        <v>34</v>
      </c>
      <c r="C391" t="s">
        <v>9</v>
      </c>
      <c r="D391" t="s">
        <v>10</v>
      </c>
      <c r="E391">
        <v>1990</v>
      </c>
      <c r="F391" s="1">
        <v>100</v>
      </c>
      <c r="G391">
        <v>1990</v>
      </c>
      <c r="H391">
        <f>AVERAGEIFS(Table1[value],Table1[IndicatorCode],Table1[[#This Row],[IndicatorCode]])</f>
        <v>99.756410256410263</v>
      </c>
      <c r="I391" cm="1">
        <f t="array" ref="I391">_xlfn.STDEV.P(IF(Table1[IndicatorCode]=Table1[[#This Row],[IndicatorCode]],Table1[value]))</f>
        <v>1.1047979755287356</v>
      </c>
      <c r="J391">
        <f>(Table1[[#This Row],[value]] - Table1[[#This Row],[mean]]) / Table1[[#This Row],[std_dev]]</f>
        <v>0.22048351733552002</v>
      </c>
      <c r="K391">
        <f>AVERAGEIF(Table1[CountryCode],Table1[[#This Row],[CountryCode]],Table1[z-score])</f>
        <v>0.38305593592472742</v>
      </c>
      <c r="L391" t="e">
        <f>VLOOKUP(Table1[[#This Row],[CountryCode]],[1]!Table1[#All],1,FALSE)</f>
        <v>#REF!</v>
      </c>
    </row>
    <row r="392" spans="1:12" hidden="1" x14ac:dyDescent="0.3">
      <c r="A392" t="s">
        <v>33</v>
      </c>
      <c r="B392" t="s">
        <v>34</v>
      </c>
      <c r="C392" t="s">
        <v>9</v>
      </c>
      <c r="D392" t="s">
        <v>10</v>
      </c>
      <c r="E392">
        <v>1991</v>
      </c>
      <c r="F392" s="1">
        <v>100</v>
      </c>
      <c r="G392">
        <v>1990</v>
      </c>
      <c r="H392">
        <f>AVERAGEIFS(Table1[value],Table1[IndicatorCode],Table1[[#This Row],[IndicatorCode]])</f>
        <v>99.756410256410263</v>
      </c>
      <c r="I392" cm="1">
        <f t="array" ref="I392">_xlfn.STDEV.P(IF(Table1[IndicatorCode]=Table1[[#This Row],[IndicatorCode]],Table1[value]))</f>
        <v>1.1047979755287356</v>
      </c>
      <c r="J392">
        <f>(Table1[[#This Row],[value]] - Table1[[#This Row],[mean]]) / Table1[[#This Row],[std_dev]]</f>
        <v>0.22048351733552002</v>
      </c>
      <c r="K392">
        <f>AVERAGEIF(Table1[CountryCode],Table1[[#This Row],[CountryCode]],Table1[z-score])</f>
        <v>0.38305593592472742</v>
      </c>
      <c r="L392" t="e">
        <f>VLOOKUP(Table1[[#This Row],[CountryCode]],[1]!Table1[#All],1,FALSE)</f>
        <v>#REF!</v>
      </c>
    </row>
    <row r="393" spans="1:12" hidden="1" x14ac:dyDescent="0.3">
      <c r="A393" t="s">
        <v>33</v>
      </c>
      <c r="B393" t="s">
        <v>34</v>
      </c>
      <c r="C393" t="s">
        <v>9</v>
      </c>
      <c r="D393" t="s">
        <v>10</v>
      </c>
      <c r="E393">
        <v>1992</v>
      </c>
      <c r="F393" s="1">
        <v>100</v>
      </c>
      <c r="G393">
        <v>1990</v>
      </c>
      <c r="H393">
        <f>AVERAGEIFS(Table1[value],Table1[IndicatorCode],Table1[[#This Row],[IndicatorCode]])</f>
        <v>99.756410256410263</v>
      </c>
      <c r="I393" cm="1">
        <f t="array" ref="I393">_xlfn.STDEV.P(IF(Table1[IndicatorCode]=Table1[[#This Row],[IndicatorCode]],Table1[value]))</f>
        <v>1.1047979755287356</v>
      </c>
      <c r="J393">
        <f>(Table1[[#This Row],[value]] - Table1[[#This Row],[mean]]) / Table1[[#This Row],[std_dev]]</f>
        <v>0.22048351733552002</v>
      </c>
      <c r="K393">
        <f>AVERAGEIF(Table1[CountryCode],Table1[[#This Row],[CountryCode]],Table1[z-score])</f>
        <v>0.38305593592472742</v>
      </c>
      <c r="L393" t="e">
        <f>VLOOKUP(Table1[[#This Row],[CountryCode]],[1]!Table1[#All],1,FALSE)</f>
        <v>#REF!</v>
      </c>
    </row>
    <row r="394" spans="1:12" hidden="1" x14ac:dyDescent="0.3">
      <c r="A394" t="s">
        <v>33</v>
      </c>
      <c r="B394" t="s">
        <v>34</v>
      </c>
      <c r="C394" t="s">
        <v>9</v>
      </c>
      <c r="D394" t="s">
        <v>10</v>
      </c>
      <c r="E394">
        <v>1993</v>
      </c>
      <c r="F394" s="1">
        <v>100</v>
      </c>
      <c r="G394">
        <v>1990</v>
      </c>
      <c r="H394">
        <f>AVERAGEIFS(Table1[value],Table1[IndicatorCode],Table1[[#This Row],[IndicatorCode]])</f>
        <v>99.756410256410263</v>
      </c>
      <c r="I394" cm="1">
        <f t="array" ref="I394">_xlfn.STDEV.P(IF(Table1[IndicatorCode]=Table1[[#This Row],[IndicatorCode]],Table1[value]))</f>
        <v>1.1047979755287356</v>
      </c>
      <c r="J394">
        <f>(Table1[[#This Row],[value]] - Table1[[#This Row],[mean]]) / Table1[[#This Row],[std_dev]]</f>
        <v>0.22048351733552002</v>
      </c>
      <c r="K394">
        <f>AVERAGEIF(Table1[CountryCode],Table1[[#This Row],[CountryCode]],Table1[z-score])</f>
        <v>0.38305593592472742</v>
      </c>
      <c r="L394" t="e">
        <f>VLOOKUP(Table1[[#This Row],[CountryCode]],[1]!Table1[#All],1,FALSE)</f>
        <v>#REF!</v>
      </c>
    </row>
    <row r="395" spans="1:12" hidden="1" x14ac:dyDescent="0.3">
      <c r="A395" t="s">
        <v>33</v>
      </c>
      <c r="B395" t="s">
        <v>34</v>
      </c>
      <c r="C395" t="s">
        <v>9</v>
      </c>
      <c r="D395" t="s">
        <v>10</v>
      </c>
      <c r="E395">
        <v>1994</v>
      </c>
      <c r="F395" s="1">
        <v>100</v>
      </c>
      <c r="G395">
        <v>1990</v>
      </c>
      <c r="H395">
        <f>AVERAGEIFS(Table1[value],Table1[IndicatorCode],Table1[[#This Row],[IndicatorCode]])</f>
        <v>99.756410256410263</v>
      </c>
      <c r="I395" cm="1">
        <f t="array" ref="I395">_xlfn.STDEV.P(IF(Table1[IndicatorCode]=Table1[[#This Row],[IndicatorCode]],Table1[value]))</f>
        <v>1.1047979755287356</v>
      </c>
      <c r="J395">
        <f>(Table1[[#This Row],[value]] - Table1[[#This Row],[mean]]) / Table1[[#This Row],[std_dev]]</f>
        <v>0.22048351733552002</v>
      </c>
      <c r="K395">
        <f>AVERAGEIF(Table1[CountryCode],Table1[[#This Row],[CountryCode]],Table1[z-score])</f>
        <v>0.38305593592472742</v>
      </c>
      <c r="L395" t="e">
        <f>VLOOKUP(Table1[[#This Row],[CountryCode]],[1]!Table1[#All],1,FALSE)</f>
        <v>#REF!</v>
      </c>
    </row>
    <row r="396" spans="1:12" hidden="1" x14ac:dyDescent="0.3">
      <c r="A396" t="s">
        <v>33</v>
      </c>
      <c r="B396" t="s">
        <v>34</v>
      </c>
      <c r="C396" t="s">
        <v>9</v>
      </c>
      <c r="D396" t="s">
        <v>10</v>
      </c>
      <c r="E396">
        <v>1995</v>
      </c>
      <c r="F396" s="1">
        <v>100</v>
      </c>
      <c r="G396">
        <v>1990</v>
      </c>
      <c r="H396">
        <f>AVERAGEIFS(Table1[value],Table1[IndicatorCode],Table1[[#This Row],[IndicatorCode]])</f>
        <v>99.756410256410263</v>
      </c>
      <c r="I396" cm="1">
        <f t="array" ref="I396">_xlfn.STDEV.P(IF(Table1[IndicatorCode]=Table1[[#This Row],[IndicatorCode]],Table1[value]))</f>
        <v>1.1047979755287356</v>
      </c>
      <c r="J396">
        <f>(Table1[[#This Row],[value]] - Table1[[#This Row],[mean]]) / Table1[[#This Row],[std_dev]]</f>
        <v>0.22048351733552002</v>
      </c>
      <c r="K396">
        <f>AVERAGEIF(Table1[CountryCode],Table1[[#This Row],[CountryCode]],Table1[z-score])</f>
        <v>0.38305593592472742</v>
      </c>
      <c r="L396" t="e">
        <f>VLOOKUP(Table1[[#This Row],[CountryCode]],[1]!Table1[#All],1,FALSE)</f>
        <v>#REF!</v>
      </c>
    </row>
    <row r="397" spans="1:12" hidden="1" x14ac:dyDescent="0.3">
      <c r="A397" t="s">
        <v>33</v>
      </c>
      <c r="B397" t="s">
        <v>34</v>
      </c>
      <c r="C397" t="s">
        <v>9</v>
      </c>
      <c r="D397" t="s">
        <v>10</v>
      </c>
      <c r="E397">
        <v>1996</v>
      </c>
      <c r="F397" s="1">
        <v>100</v>
      </c>
      <c r="G397">
        <v>1990</v>
      </c>
      <c r="H397">
        <f>AVERAGEIFS(Table1[value],Table1[IndicatorCode],Table1[[#This Row],[IndicatorCode]])</f>
        <v>99.756410256410263</v>
      </c>
      <c r="I397" cm="1">
        <f t="array" ref="I397">_xlfn.STDEV.P(IF(Table1[IndicatorCode]=Table1[[#This Row],[IndicatorCode]],Table1[value]))</f>
        <v>1.1047979755287356</v>
      </c>
      <c r="J397">
        <f>(Table1[[#This Row],[value]] - Table1[[#This Row],[mean]]) / Table1[[#This Row],[std_dev]]</f>
        <v>0.22048351733552002</v>
      </c>
      <c r="K397">
        <f>AVERAGEIF(Table1[CountryCode],Table1[[#This Row],[CountryCode]],Table1[z-score])</f>
        <v>0.38305593592472742</v>
      </c>
      <c r="L397" t="e">
        <f>VLOOKUP(Table1[[#This Row],[CountryCode]],[1]!Table1[#All],1,FALSE)</f>
        <v>#REF!</v>
      </c>
    </row>
    <row r="398" spans="1:12" hidden="1" x14ac:dyDescent="0.3">
      <c r="A398" t="s">
        <v>33</v>
      </c>
      <c r="B398" t="s">
        <v>34</v>
      </c>
      <c r="C398" t="s">
        <v>9</v>
      </c>
      <c r="D398" t="s">
        <v>10</v>
      </c>
      <c r="E398">
        <v>1997</v>
      </c>
      <c r="F398" s="1">
        <v>100</v>
      </c>
      <c r="G398">
        <v>2000</v>
      </c>
      <c r="H398">
        <f>AVERAGEIFS(Table1[value],Table1[IndicatorCode],Table1[[#This Row],[IndicatorCode]])</f>
        <v>99.756410256410263</v>
      </c>
      <c r="I398" cm="1">
        <f t="array" ref="I398">_xlfn.STDEV.P(IF(Table1[IndicatorCode]=Table1[[#This Row],[IndicatorCode]],Table1[value]))</f>
        <v>1.1047979755287356</v>
      </c>
      <c r="J398">
        <f>(Table1[[#This Row],[value]] - Table1[[#This Row],[mean]]) / Table1[[#This Row],[std_dev]]</f>
        <v>0.22048351733552002</v>
      </c>
      <c r="K398">
        <f>AVERAGEIF(Table1[CountryCode],Table1[[#This Row],[CountryCode]],Table1[z-score])</f>
        <v>0.38305593592472742</v>
      </c>
      <c r="L398" t="e">
        <f>VLOOKUP(Table1[[#This Row],[CountryCode]],[1]!Table1[#All],1,FALSE)</f>
        <v>#REF!</v>
      </c>
    </row>
    <row r="399" spans="1:12" hidden="1" x14ac:dyDescent="0.3">
      <c r="A399" t="s">
        <v>33</v>
      </c>
      <c r="B399" t="s">
        <v>34</v>
      </c>
      <c r="C399" t="s">
        <v>9</v>
      </c>
      <c r="D399" t="s">
        <v>10</v>
      </c>
      <c r="E399">
        <v>1998</v>
      </c>
      <c r="F399" s="1">
        <v>100</v>
      </c>
      <c r="G399">
        <v>2000</v>
      </c>
      <c r="H399">
        <f>AVERAGEIFS(Table1[value],Table1[IndicatorCode],Table1[[#This Row],[IndicatorCode]])</f>
        <v>99.756410256410263</v>
      </c>
      <c r="I399" cm="1">
        <f t="array" ref="I399">_xlfn.STDEV.P(IF(Table1[IndicatorCode]=Table1[[#This Row],[IndicatorCode]],Table1[value]))</f>
        <v>1.1047979755287356</v>
      </c>
      <c r="J399">
        <f>(Table1[[#This Row],[value]] - Table1[[#This Row],[mean]]) / Table1[[#This Row],[std_dev]]</f>
        <v>0.22048351733552002</v>
      </c>
      <c r="K399">
        <f>AVERAGEIF(Table1[CountryCode],Table1[[#This Row],[CountryCode]],Table1[z-score])</f>
        <v>0.38305593592472742</v>
      </c>
      <c r="L399" t="e">
        <f>VLOOKUP(Table1[[#This Row],[CountryCode]],[1]!Table1[#All],1,FALSE)</f>
        <v>#REF!</v>
      </c>
    </row>
    <row r="400" spans="1:12" hidden="1" x14ac:dyDescent="0.3">
      <c r="A400" t="s">
        <v>33</v>
      </c>
      <c r="B400" t="s">
        <v>34</v>
      </c>
      <c r="C400" t="s">
        <v>9</v>
      </c>
      <c r="D400" t="s">
        <v>10</v>
      </c>
      <c r="E400">
        <v>1999</v>
      </c>
      <c r="F400" s="1">
        <v>100</v>
      </c>
      <c r="G400">
        <v>2000</v>
      </c>
      <c r="H400">
        <f>AVERAGEIFS(Table1[value],Table1[IndicatorCode],Table1[[#This Row],[IndicatorCode]])</f>
        <v>99.756410256410263</v>
      </c>
      <c r="I400" cm="1">
        <f t="array" ref="I400">_xlfn.STDEV.P(IF(Table1[IndicatorCode]=Table1[[#This Row],[IndicatorCode]],Table1[value]))</f>
        <v>1.1047979755287356</v>
      </c>
      <c r="J400">
        <f>(Table1[[#This Row],[value]] - Table1[[#This Row],[mean]]) / Table1[[#This Row],[std_dev]]</f>
        <v>0.22048351733552002</v>
      </c>
      <c r="K400">
        <f>AVERAGEIF(Table1[CountryCode],Table1[[#This Row],[CountryCode]],Table1[z-score])</f>
        <v>0.38305593592472742</v>
      </c>
      <c r="L400" t="e">
        <f>VLOOKUP(Table1[[#This Row],[CountryCode]],[1]!Table1[#All],1,FALSE)</f>
        <v>#REF!</v>
      </c>
    </row>
    <row r="401" spans="1:12" hidden="1" x14ac:dyDescent="0.3">
      <c r="A401" t="s">
        <v>33</v>
      </c>
      <c r="B401" t="s">
        <v>34</v>
      </c>
      <c r="C401" t="s">
        <v>9</v>
      </c>
      <c r="D401" t="s">
        <v>10</v>
      </c>
      <c r="E401">
        <v>2000</v>
      </c>
      <c r="F401" s="1">
        <v>100</v>
      </c>
      <c r="G401">
        <v>2000</v>
      </c>
      <c r="H401">
        <f>AVERAGEIFS(Table1[value],Table1[IndicatorCode],Table1[[#This Row],[IndicatorCode]])</f>
        <v>99.756410256410263</v>
      </c>
      <c r="I401" cm="1">
        <f t="array" ref="I401">_xlfn.STDEV.P(IF(Table1[IndicatorCode]=Table1[[#This Row],[IndicatorCode]],Table1[value]))</f>
        <v>1.1047979755287356</v>
      </c>
      <c r="J401">
        <f>(Table1[[#This Row],[value]] - Table1[[#This Row],[mean]]) / Table1[[#This Row],[std_dev]]</f>
        <v>0.22048351733552002</v>
      </c>
      <c r="K401">
        <f>AVERAGEIF(Table1[CountryCode],Table1[[#This Row],[CountryCode]],Table1[z-score])</f>
        <v>0.38305593592472742</v>
      </c>
      <c r="L401" t="e">
        <f>VLOOKUP(Table1[[#This Row],[CountryCode]],[1]!Table1[#All],1,FALSE)</f>
        <v>#REF!</v>
      </c>
    </row>
    <row r="402" spans="1:12" hidden="1" x14ac:dyDescent="0.3">
      <c r="A402" t="s">
        <v>33</v>
      </c>
      <c r="B402" t="s">
        <v>34</v>
      </c>
      <c r="C402" t="s">
        <v>9</v>
      </c>
      <c r="D402" t="s">
        <v>10</v>
      </c>
      <c r="E402">
        <v>2001</v>
      </c>
      <c r="F402" s="1">
        <v>100</v>
      </c>
      <c r="G402">
        <v>2000</v>
      </c>
      <c r="H402">
        <f>AVERAGEIFS(Table1[value],Table1[IndicatorCode],Table1[[#This Row],[IndicatorCode]])</f>
        <v>99.756410256410263</v>
      </c>
      <c r="I402" cm="1">
        <f t="array" ref="I402">_xlfn.STDEV.P(IF(Table1[IndicatorCode]=Table1[[#This Row],[IndicatorCode]],Table1[value]))</f>
        <v>1.1047979755287356</v>
      </c>
      <c r="J402">
        <f>(Table1[[#This Row],[value]] - Table1[[#This Row],[mean]]) / Table1[[#This Row],[std_dev]]</f>
        <v>0.22048351733552002</v>
      </c>
      <c r="K402">
        <f>AVERAGEIF(Table1[CountryCode],Table1[[#This Row],[CountryCode]],Table1[z-score])</f>
        <v>0.38305593592472742</v>
      </c>
      <c r="L402" t="e">
        <f>VLOOKUP(Table1[[#This Row],[CountryCode]],[1]!Table1[#All],1,FALSE)</f>
        <v>#REF!</v>
      </c>
    </row>
    <row r="403" spans="1:12" hidden="1" x14ac:dyDescent="0.3">
      <c r="A403" t="s">
        <v>33</v>
      </c>
      <c r="B403" t="s">
        <v>34</v>
      </c>
      <c r="C403" t="s">
        <v>9</v>
      </c>
      <c r="D403" t="s">
        <v>10</v>
      </c>
      <c r="E403">
        <v>2002</v>
      </c>
      <c r="F403" s="1">
        <v>100</v>
      </c>
      <c r="G403">
        <v>2000</v>
      </c>
      <c r="H403">
        <f>AVERAGEIFS(Table1[value],Table1[IndicatorCode],Table1[[#This Row],[IndicatorCode]])</f>
        <v>99.756410256410263</v>
      </c>
      <c r="I403" cm="1">
        <f t="array" ref="I403">_xlfn.STDEV.P(IF(Table1[IndicatorCode]=Table1[[#This Row],[IndicatorCode]],Table1[value]))</f>
        <v>1.1047979755287356</v>
      </c>
      <c r="J403">
        <f>(Table1[[#This Row],[value]] - Table1[[#This Row],[mean]]) / Table1[[#This Row],[std_dev]]</f>
        <v>0.22048351733552002</v>
      </c>
      <c r="K403">
        <f>AVERAGEIF(Table1[CountryCode],Table1[[#This Row],[CountryCode]],Table1[z-score])</f>
        <v>0.38305593592472742</v>
      </c>
      <c r="L403" t="e">
        <f>VLOOKUP(Table1[[#This Row],[CountryCode]],[1]!Table1[#All],1,FALSE)</f>
        <v>#REF!</v>
      </c>
    </row>
    <row r="404" spans="1:12" hidden="1" x14ac:dyDescent="0.3">
      <c r="A404" t="s">
        <v>33</v>
      </c>
      <c r="B404" t="s">
        <v>34</v>
      </c>
      <c r="C404" t="s">
        <v>9</v>
      </c>
      <c r="D404" t="s">
        <v>10</v>
      </c>
      <c r="E404">
        <v>2003</v>
      </c>
      <c r="F404" s="1">
        <v>100</v>
      </c>
      <c r="G404">
        <v>2000</v>
      </c>
      <c r="H404">
        <f>AVERAGEIFS(Table1[value],Table1[IndicatorCode],Table1[[#This Row],[IndicatorCode]])</f>
        <v>99.756410256410263</v>
      </c>
      <c r="I404" cm="1">
        <f t="array" ref="I404">_xlfn.STDEV.P(IF(Table1[IndicatorCode]=Table1[[#This Row],[IndicatorCode]],Table1[value]))</f>
        <v>1.1047979755287356</v>
      </c>
      <c r="J404">
        <f>(Table1[[#This Row],[value]] - Table1[[#This Row],[mean]]) / Table1[[#This Row],[std_dev]]</f>
        <v>0.22048351733552002</v>
      </c>
      <c r="K404">
        <f>AVERAGEIF(Table1[CountryCode],Table1[[#This Row],[CountryCode]],Table1[z-score])</f>
        <v>0.38305593592472742</v>
      </c>
      <c r="L404" t="e">
        <f>VLOOKUP(Table1[[#This Row],[CountryCode]],[1]!Table1[#All],1,FALSE)</f>
        <v>#REF!</v>
      </c>
    </row>
    <row r="405" spans="1:12" hidden="1" x14ac:dyDescent="0.3">
      <c r="A405" t="s">
        <v>33</v>
      </c>
      <c r="B405" t="s">
        <v>34</v>
      </c>
      <c r="C405" t="s">
        <v>9</v>
      </c>
      <c r="D405" t="s">
        <v>10</v>
      </c>
      <c r="E405">
        <v>2004</v>
      </c>
      <c r="F405" s="1">
        <v>100</v>
      </c>
      <c r="G405">
        <v>2000</v>
      </c>
      <c r="H405">
        <f>AVERAGEIFS(Table1[value],Table1[IndicatorCode],Table1[[#This Row],[IndicatorCode]])</f>
        <v>99.756410256410263</v>
      </c>
      <c r="I405" cm="1">
        <f t="array" ref="I405">_xlfn.STDEV.P(IF(Table1[IndicatorCode]=Table1[[#This Row],[IndicatorCode]],Table1[value]))</f>
        <v>1.1047979755287356</v>
      </c>
      <c r="J405">
        <f>(Table1[[#This Row],[value]] - Table1[[#This Row],[mean]]) / Table1[[#This Row],[std_dev]]</f>
        <v>0.22048351733552002</v>
      </c>
      <c r="K405">
        <f>AVERAGEIF(Table1[CountryCode],Table1[[#This Row],[CountryCode]],Table1[z-score])</f>
        <v>0.38305593592472742</v>
      </c>
      <c r="L405" t="e">
        <f>VLOOKUP(Table1[[#This Row],[CountryCode]],[1]!Table1[#All],1,FALSE)</f>
        <v>#REF!</v>
      </c>
    </row>
    <row r="406" spans="1:12" hidden="1" x14ac:dyDescent="0.3">
      <c r="A406" t="s">
        <v>33</v>
      </c>
      <c r="B406" t="s">
        <v>34</v>
      </c>
      <c r="C406" t="s">
        <v>9</v>
      </c>
      <c r="D406" t="s">
        <v>10</v>
      </c>
      <c r="E406">
        <v>2005</v>
      </c>
      <c r="F406" s="1">
        <v>100</v>
      </c>
      <c r="G406">
        <v>2000</v>
      </c>
      <c r="H406">
        <f>AVERAGEIFS(Table1[value],Table1[IndicatorCode],Table1[[#This Row],[IndicatorCode]])</f>
        <v>99.756410256410263</v>
      </c>
      <c r="I406" cm="1">
        <f t="array" ref="I406">_xlfn.STDEV.P(IF(Table1[IndicatorCode]=Table1[[#This Row],[IndicatorCode]],Table1[value]))</f>
        <v>1.1047979755287356</v>
      </c>
      <c r="J406">
        <f>(Table1[[#This Row],[value]] - Table1[[#This Row],[mean]]) / Table1[[#This Row],[std_dev]]</f>
        <v>0.22048351733552002</v>
      </c>
      <c r="K406">
        <f>AVERAGEIF(Table1[CountryCode],Table1[[#This Row],[CountryCode]],Table1[z-score])</f>
        <v>0.38305593592472742</v>
      </c>
      <c r="L406" t="e">
        <f>VLOOKUP(Table1[[#This Row],[CountryCode]],[1]!Table1[#All],1,FALSE)</f>
        <v>#REF!</v>
      </c>
    </row>
    <row r="407" spans="1:12" hidden="1" x14ac:dyDescent="0.3">
      <c r="A407" t="s">
        <v>33</v>
      </c>
      <c r="B407" t="s">
        <v>34</v>
      </c>
      <c r="C407" t="s">
        <v>9</v>
      </c>
      <c r="D407" t="s">
        <v>10</v>
      </c>
      <c r="E407">
        <v>2006</v>
      </c>
      <c r="F407" s="1">
        <v>100</v>
      </c>
      <c r="G407">
        <v>2000</v>
      </c>
      <c r="H407">
        <f>AVERAGEIFS(Table1[value],Table1[IndicatorCode],Table1[[#This Row],[IndicatorCode]])</f>
        <v>99.756410256410263</v>
      </c>
      <c r="I407" cm="1">
        <f t="array" ref="I407">_xlfn.STDEV.P(IF(Table1[IndicatorCode]=Table1[[#This Row],[IndicatorCode]],Table1[value]))</f>
        <v>1.1047979755287356</v>
      </c>
      <c r="J407">
        <f>(Table1[[#This Row],[value]] - Table1[[#This Row],[mean]]) / Table1[[#This Row],[std_dev]]</f>
        <v>0.22048351733552002</v>
      </c>
      <c r="K407">
        <f>AVERAGEIF(Table1[CountryCode],Table1[[#This Row],[CountryCode]],Table1[z-score])</f>
        <v>0.38305593592472742</v>
      </c>
      <c r="L407" t="e">
        <f>VLOOKUP(Table1[[#This Row],[CountryCode]],[1]!Table1[#All],1,FALSE)</f>
        <v>#REF!</v>
      </c>
    </row>
    <row r="408" spans="1:12" hidden="1" x14ac:dyDescent="0.3">
      <c r="A408" t="s">
        <v>33</v>
      </c>
      <c r="B408" t="s">
        <v>34</v>
      </c>
      <c r="C408" t="s">
        <v>9</v>
      </c>
      <c r="D408" t="s">
        <v>10</v>
      </c>
      <c r="E408">
        <v>2007</v>
      </c>
      <c r="F408" s="1">
        <v>100</v>
      </c>
      <c r="G408">
        <v>2010</v>
      </c>
      <c r="H408">
        <f>AVERAGEIFS(Table1[value],Table1[IndicatorCode],Table1[[#This Row],[IndicatorCode]])</f>
        <v>99.756410256410263</v>
      </c>
      <c r="I408" cm="1">
        <f t="array" ref="I408">_xlfn.STDEV.P(IF(Table1[IndicatorCode]=Table1[[#This Row],[IndicatorCode]],Table1[value]))</f>
        <v>1.1047979755287356</v>
      </c>
      <c r="J408">
        <f>(Table1[[#This Row],[value]] - Table1[[#This Row],[mean]]) / Table1[[#This Row],[std_dev]]</f>
        <v>0.22048351733552002</v>
      </c>
      <c r="K408">
        <f>AVERAGEIF(Table1[CountryCode],Table1[[#This Row],[CountryCode]],Table1[z-score])</f>
        <v>0.38305593592472742</v>
      </c>
      <c r="L408" t="e">
        <f>VLOOKUP(Table1[[#This Row],[CountryCode]],[1]!Table1[#All],1,FALSE)</f>
        <v>#REF!</v>
      </c>
    </row>
    <row r="409" spans="1:12" hidden="1" x14ac:dyDescent="0.3">
      <c r="A409" t="s">
        <v>33</v>
      </c>
      <c r="B409" t="s">
        <v>34</v>
      </c>
      <c r="C409" t="s">
        <v>9</v>
      </c>
      <c r="D409" t="s">
        <v>10</v>
      </c>
      <c r="E409">
        <v>2008</v>
      </c>
      <c r="F409" s="1">
        <v>100</v>
      </c>
      <c r="G409">
        <v>2010</v>
      </c>
      <c r="H409">
        <f>AVERAGEIFS(Table1[value],Table1[IndicatorCode],Table1[[#This Row],[IndicatorCode]])</f>
        <v>99.756410256410263</v>
      </c>
      <c r="I409" cm="1">
        <f t="array" ref="I409">_xlfn.STDEV.P(IF(Table1[IndicatorCode]=Table1[[#This Row],[IndicatorCode]],Table1[value]))</f>
        <v>1.1047979755287356</v>
      </c>
      <c r="J409">
        <f>(Table1[[#This Row],[value]] - Table1[[#This Row],[mean]]) / Table1[[#This Row],[std_dev]]</f>
        <v>0.22048351733552002</v>
      </c>
      <c r="K409">
        <f>AVERAGEIF(Table1[CountryCode],Table1[[#This Row],[CountryCode]],Table1[z-score])</f>
        <v>0.38305593592472742</v>
      </c>
      <c r="L409" t="e">
        <f>VLOOKUP(Table1[[#This Row],[CountryCode]],[1]!Table1[#All],1,FALSE)</f>
        <v>#REF!</v>
      </c>
    </row>
    <row r="410" spans="1:12" hidden="1" x14ac:dyDescent="0.3">
      <c r="A410" t="s">
        <v>33</v>
      </c>
      <c r="B410" t="s">
        <v>34</v>
      </c>
      <c r="C410" t="s">
        <v>9</v>
      </c>
      <c r="D410" t="s">
        <v>10</v>
      </c>
      <c r="E410">
        <v>2009</v>
      </c>
      <c r="F410" s="1">
        <v>100</v>
      </c>
      <c r="G410">
        <v>2010</v>
      </c>
      <c r="H410">
        <f>AVERAGEIFS(Table1[value],Table1[IndicatorCode],Table1[[#This Row],[IndicatorCode]])</f>
        <v>99.756410256410263</v>
      </c>
      <c r="I410" cm="1">
        <f t="array" ref="I410">_xlfn.STDEV.P(IF(Table1[IndicatorCode]=Table1[[#This Row],[IndicatorCode]],Table1[value]))</f>
        <v>1.1047979755287356</v>
      </c>
      <c r="J410">
        <f>(Table1[[#This Row],[value]] - Table1[[#This Row],[mean]]) / Table1[[#This Row],[std_dev]]</f>
        <v>0.22048351733552002</v>
      </c>
      <c r="K410">
        <f>AVERAGEIF(Table1[CountryCode],Table1[[#This Row],[CountryCode]],Table1[z-score])</f>
        <v>0.38305593592472742</v>
      </c>
      <c r="L410" t="e">
        <f>VLOOKUP(Table1[[#This Row],[CountryCode]],[1]!Table1[#All],1,FALSE)</f>
        <v>#REF!</v>
      </c>
    </row>
    <row r="411" spans="1:12" hidden="1" x14ac:dyDescent="0.3">
      <c r="A411" t="s">
        <v>33</v>
      </c>
      <c r="B411" t="s">
        <v>34</v>
      </c>
      <c r="C411" t="s">
        <v>9</v>
      </c>
      <c r="D411" t="s">
        <v>10</v>
      </c>
      <c r="E411">
        <v>2010</v>
      </c>
      <c r="F411" s="1">
        <v>100</v>
      </c>
      <c r="G411">
        <v>2010</v>
      </c>
      <c r="H411">
        <f>AVERAGEIFS(Table1[value],Table1[IndicatorCode],Table1[[#This Row],[IndicatorCode]])</f>
        <v>99.756410256410263</v>
      </c>
      <c r="I411" cm="1">
        <f t="array" ref="I411">_xlfn.STDEV.P(IF(Table1[IndicatorCode]=Table1[[#This Row],[IndicatorCode]],Table1[value]))</f>
        <v>1.1047979755287356</v>
      </c>
      <c r="J411">
        <f>(Table1[[#This Row],[value]] - Table1[[#This Row],[mean]]) / Table1[[#This Row],[std_dev]]</f>
        <v>0.22048351733552002</v>
      </c>
      <c r="K411">
        <f>AVERAGEIF(Table1[CountryCode],Table1[[#This Row],[CountryCode]],Table1[z-score])</f>
        <v>0.38305593592472742</v>
      </c>
      <c r="L411" t="e">
        <f>VLOOKUP(Table1[[#This Row],[CountryCode]],[1]!Table1[#All],1,FALSE)</f>
        <v>#REF!</v>
      </c>
    </row>
    <row r="412" spans="1:12" hidden="1" x14ac:dyDescent="0.3">
      <c r="A412" t="s">
        <v>33</v>
      </c>
      <c r="B412" t="s">
        <v>34</v>
      </c>
      <c r="C412" t="s">
        <v>9</v>
      </c>
      <c r="D412" t="s">
        <v>10</v>
      </c>
      <c r="E412">
        <v>2011</v>
      </c>
      <c r="F412" s="1">
        <v>100</v>
      </c>
      <c r="G412">
        <v>2010</v>
      </c>
      <c r="H412">
        <f>AVERAGEIFS(Table1[value],Table1[IndicatorCode],Table1[[#This Row],[IndicatorCode]])</f>
        <v>99.756410256410263</v>
      </c>
      <c r="I412" cm="1">
        <f t="array" ref="I412">_xlfn.STDEV.P(IF(Table1[IndicatorCode]=Table1[[#This Row],[IndicatorCode]],Table1[value]))</f>
        <v>1.1047979755287356</v>
      </c>
      <c r="J412">
        <f>(Table1[[#This Row],[value]] - Table1[[#This Row],[mean]]) / Table1[[#This Row],[std_dev]]</f>
        <v>0.22048351733552002</v>
      </c>
      <c r="K412">
        <f>AVERAGEIF(Table1[CountryCode],Table1[[#This Row],[CountryCode]],Table1[z-score])</f>
        <v>0.38305593592472742</v>
      </c>
      <c r="L412" t="e">
        <f>VLOOKUP(Table1[[#This Row],[CountryCode]],[1]!Table1[#All],1,FALSE)</f>
        <v>#REF!</v>
      </c>
    </row>
    <row r="413" spans="1:12" hidden="1" x14ac:dyDescent="0.3">
      <c r="A413" t="s">
        <v>33</v>
      </c>
      <c r="B413" t="s">
        <v>34</v>
      </c>
      <c r="C413" t="s">
        <v>9</v>
      </c>
      <c r="D413" t="s">
        <v>10</v>
      </c>
      <c r="E413">
        <v>2012</v>
      </c>
      <c r="F413" s="1">
        <v>100</v>
      </c>
      <c r="G413">
        <v>2010</v>
      </c>
      <c r="H413">
        <f>AVERAGEIFS(Table1[value],Table1[IndicatorCode],Table1[[#This Row],[IndicatorCode]])</f>
        <v>99.756410256410263</v>
      </c>
      <c r="I413" cm="1">
        <f t="array" ref="I413">_xlfn.STDEV.P(IF(Table1[IndicatorCode]=Table1[[#This Row],[IndicatorCode]],Table1[value]))</f>
        <v>1.1047979755287356</v>
      </c>
      <c r="J413">
        <f>(Table1[[#This Row],[value]] - Table1[[#This Row],[mean]]) / Table1[[#This Row],[std_dev]]</f>
        <v>0.22048351733552002</v>
      </c>
      <c r="K413">
        <f>AVERAGEIF(Table1[CountryCode],Table1[[#This Row],[CountryCode]],Table1[z-score])</f>
        <v>0.38305593592472742</v>
      </c>
      <c r="L413" t="e">
        <f>VLOOKUP(Table1[[#This Row],[CountryCode]],[1]!Table1[#All],1,FALSE)</f>
        <v>#REF!</v>
      </c>
    </row>
    <row r="414" spans="1:12" hidden="1" x14ac:dyDescent="0.3">
      <c r="A414" t="s">
        <v>33</v>
      </c>
      <c r="B414" t="s">
        <v>34</v>
      </c>
      <c r="C414" t="s">
        <v>9</v>
      </c>
      <c r="D414" t="s">
        <v>10</v>
      </c>
      <c r="E414">
        <v>2013</v>
      </c>
      <c r="F414" s="1">
        <v>100</v>
      </c>
      <c r="G414">
        <v>2010</v>
      </c>
      <c r="H414">
        <f>AVERAGEIFS(Table1[value],Table1[IndicatorCode],Table1[[#This Row],[IndicatorCode]])</f>
        <v>99.756410256410263</v>
      </c>
      <c r="I414" cm="1">
        <f t="array" ref="I414">_xlfn.STDEV.P(IF(Table1[IndicatorCode]=Table1[[#This Row],[IndicatorCode]],Table1[value]))</f>
        <v>1.1047979755287356</v>
      </c>
      <c r="J414">
        <f>(Table1[[#This Row],[value]] - Table1[[#This Row],[mean]]) / Table1[[#This Row],[std_dev]]</f>
        <v>0.22048351733552002</v>
      </c>
      <c r="K414">
        <f>AVERAGEIF(Table1[CountryCode],Table1[[#This Row],[CountryCode]],Table1[z-score])</f>
        <v>0.38305593592472742</v>
      </c>
      <c r="L414" t="e">
        <f>VLOOKUP(Table1[[#This Row],[CountryCode]],[1]!Table1[#All],1,FALSE)</f>
        <v>#REF!</v>
      </c>
    </row>
    <row r="415" spans="1:12" hidden="1" x14ac:dyDescent="0.3">
      <c r="A415" t="s">
        <v>33</v>
      </c>
      <c r="B415" t="s">
        <v>34</v>
      </c>
      <c r="C415" t="s">
        <v>9</v>
      </c>
      <c r="D415" t="s">
        <v>10</v>
      </c>
      <c r="E415">
        <v>2014</v>
      </c>
      <c r="F415" s="1">
        <v>100</v>
      </c>
      <c r="G415">
        <v>2010</v>
      </c>
      <c r="H415">
        <f>AVERAGEIFS(Table1[value],Table1[IndicatorCode],Table1[[#This Row],[IndicatorCode]])</f>
        <v>99.756410256410263</v>
      </c>
      <c r="I415" cm="1">
        <f t="array" ref="I415">_xlfn.STDEV.P(IF(Table1[IndicatorCode]=Table1[[#This Row],[IndicatorCode]],Table1[value]))</f>
        <v>1.1047979755287356</v>
      </c>
      <c r="J415">
        <f>(Table1[[#This Row],[value]] - Table1[[#This Row],[mean]]) / Table1[[#This Row],[std_dev]]</f>
        <v>0.22048351733552002</v>
      </c>
      <c r="K415">
        <f>AVERAGEIF(Table1[CountryCode],Table1[[#This Row],[CountryCode]],Table1[z-score])</f>
        <v>0.38305593592472742</v>
      </c>
      <c r="L415" t="e">
        <f>VLOOKUP(Table1[[#This Row],[CountryCode]],[1]!Table1[#All],1,FALSE)</f>
        <v>#REF!</v>
      </c>
    </row>
    <row r="416" spans="1:12" hidden="1" x14ac:dyDescent="0.3">
      <c r="A416" t="s">
        <v>33</v>
      </c>
      <c r="B416" t="s">
        <v>34</v>
      </c>
      <c r="C416" t="s">
        <v>9</v>
      </c>
      <c r="D416" t="s">
        <v>10</v>
      </c>
      <c r="E416">
        <v>2015</v>
      </c>
      <c r="F416" s="1">
        <v>100</v>
      </c>
      <c r="G416">
        <v>2010</v>
      </c>
      <c r="H416">
        <f>AVERAGEIFS(Table1[value],Table1[IndicatorCode],Table1[[#This Row],[IndicatorCode]])</f>
        <v>99.756410256410263</v>
      </c>
      <c r="I416" cm="1">
        <f t="array" ref="I416">_xlfn.STDEV.P(IF(Table1[IndicatorCode]=Table1[[#This Row],[IndicatorCode]],Table1[value]))</f>
        <v>1.1047979755287356</v>
      </c>
      <c r="J416">
        <f>(Table1[[#This Row],[value]] - Table1[[#This Row],[mean]]) / Table1[[#This Row],[std_dev]]</f>
        <v>0.22048351733552002</v>
      </c>
      <c r="K416">
        <f>AVERAGEIF(Table1[CountryCode],Table1[[#This Row],[CountryCode]],Table1[z-score])</f>
        <v>0.38305593592472742</v>
      </c>
      <c r="L416" t="e">
        <f>VLOOKUP(Table1[[#This Row],[CountryCode]],[1]!Table1[#All],1,FALSE)</f>
        <v>#REF!</v>
      </c>
    </row>
    <row r="417" spans="1:12" hidden="1" x14ac:dyDescent="0.3">
      <c r="A417" t="s">
        <v>33</v>
      </c>
      <c r="B417" t="s">
        <v>34</v>
      </c>
      <c r="C417" t="s">
        <v>9</v>
      </c>
      <c r="D417" t="s">
        <v>10</v>
      </c>
      <c r="E417">
        <v>2016</v>
      </c>
      <c r="F417" s="1">
        <v>100</v>
      </c>
      <c r="G417">
        <v>2010</v>
      </c>
      <c r="H417">
        <f>AVERAGEIFS(Table1[value],Table1[IndicatorCode],Table1[[#This Row],[IndicatorCode]])</f>
        <v>99.756410256410263</v>
      </c>
      <c r="I417" cm="1">
        <f t="array" ref="I417">_xlfn.STDEV.P(IF(Table1[IndicatorCode]=Table1[[#This Row],[IndicatorCode]],Table1[value]))</f>
        <v>1.1047979755287356</v>
      </c>
      <c r="J417">
        <f>(Table1[[#This Row],[value]] - Table1[[#This Row],[mean]]) / Table1[[#This Row],[std_dev]]</f>
        <v>0.22048351733552002</v>
      </c>
      <c r="K417">
        <f>AVERAGEIF(Table1[CountryCode],Table1[[#This Row],[CountryCode]],Table1[z-score])</f>
        <v>0.38305593592472742</v>
      </c>
      <c r="L417" t="e">
        <f>VLOOKUP(Table1[[#This Row],[CountryCode]],[1]!Table1[#All],1,FALSE)</f>
        <v>#REF!</v>
      </c>
    </row>
    <row r="418" spans="1:12" hidden="1" x14ac:dyDescent="0.3">
      <c r="A418" t="s">
        <v>33</v>
      </c>
      <c r="B418" t="s">
        <v>34</v>
      </c>
      <c r="C418" t="s">
        <v>9</v>
      </c>
      <c r="D418" t="s">
        <v>10</v>
      </c>
      <c r="E418">
        <v>2017</v>
      </c>
      <c r="F418" s="1">
        <v>100</v>
      </c>
      <c r="G418">
        <v>2020</v>
      </c>
      <c r="H418">
        <f>AVERAGEIFS(Table1[value],Table1[IndicatorCode],Table1[[#This Row],[IndicatorCode]])</f>
        <v>99.756410256410263</v>
      </c>
      <c r="I418" cm="1">
        <f t="array" ref="I418">_xlfn.STDEV.P(IF(Table1[IndicatorCode]=Table1[[#This Row],[IndicatorCode]],Table1[value]))</f>
        <v>1.1047979755287356</v>
      </c>
      <c r="J418">
        <f>(Table1[[#This Row],[value]] - Table1[[#This Row],[mean]]) / Table1[[#This Row],[std_dev]]</f>
        <v>0.22048351733552002</v>
      </c>
      <c r="K418">
        <f>AVERAGEIF(Table1[CountryCode],Table1[[#This Row],[CountryCode]],Table1[z-score])</f>
        <v>0.38305593592472742</v>
      </c>
      <c r="L418" t="e">
        <f>VLOOKUP(Table1[[#This Row],[CountryCode]],[1]!Table1[#All],1,FALSE)</f>
        <v>#REF!</v>
      </c>
    </row>
    <row r="419" spans="1:12" hidden="1" x14ac:dyDescent="0.3">
      <c r="A419" t="s">
        <v>33</v>
      </c>
      <c r="B419" t="s">
        <v>34</v>
      </c>
      <c r="C419" t="s">
        <v>9</v>
      </c>
      <c r="D419" t="s">
        <v>10</v>
      </c>
      <c r="E419">
        <v>2018</v>
      </c>
      <c r="F419" s="1">
        <v>100</v>
      </c>
      <c r="G419">
        <v>2020</v>
      </c>
      <c r="H419">
        <f>AVERAGEIFS(Table1[value],Table1[IndicatorCode],Table1[[#This Row],[IndicatorCode]])</f>
        <v>99.756410256410263</v>
      </c>
      <c r="I419" cm="1">
        <f t="array" ref="I419">_xlfn.STDEV.P(IF(Table1[IndicatorCode]=Table1[[#This Row],[IndicatorCode]],Table1[value]))</f>
        <v>1.1047979755287356</v>
      </c>
      <c r="J419">
        <f>(Table1[[#This Row],[value]] - Table1[[#This Row],[mean]]) / Table1[[#This Row],[std_dev]]</f>
        <v>0.22048351733552002</v>
      </c>
      <c r="K419">
        <f>AVERAGEIF(Table1[CountryCode],Table1[[#This Row],[CountryCode]],Table1[z-score])</f>
        <v>0.38305593592472742</v>
      </c>
      <c r="L419" t="e">
        <f>VLOOKUP(Table1[[#This Row],[CountryCode]],[1]!Table1[#All],1,FALSE)</f>
        <v>#REF!</v>
      </c>
    </row>
    <row r="420" spans="1:12" hidden="1" x14ac:dyDescent="0.3">
      <c r="A420" t="s">
        <v>33</v>
      </c>
      <c r="B420" t="s">
        <v>34</v>
      </c>
      <c r="C420" t="s">
        <v>9</v>
      </c>
      <c r="D420" t="s">
        <v>10</v>
      </c>
      <c r="E420">
        <v>2019</v>
      </c>
      <c r="F420" s="1">
        <v>100</v>
      </c>
      <c r="G420">
        <v>2020</v>
      </c>
      <c r="H420">
        <f>AVERAGEIFS(Table1[value],Table1[IndicatorCode],Table1[[#This Row],[IndicatorCode]])</f>
        <v>99.756410256410263</v>
      </c>
      <c r="I420" cm="1">
        <f t="array" ref="I420">_xlfn.STDEV.P(IF(Table1[IndicatorCode]=Table1[[#This Row],[IndicatorCode]],Table1[value]))</f>
        <v>1.1047979755287356</v>
      </c>
      <c r="J420">
        <f>(Table1[[#This Row],[value]] - Table1[[#This Row],[mean]]) / Table1[[#This Row],[std_dev]]</f>
        <v>0.22048351733552002</v>
      </c>
      <c r="K420">
        <f>AVERAGEIF(Table1[CountryCode],Table1[[#This Row],[CountryCode]],Table1[z-score])</f>
        <v>0.38305593592472742</v>
      </c>
      <c r="L420" t="e">
        <f>VLOOKUP(Table1[[#This Row],[CountryCode]],[1]!Table1[#All],1,FALSE)</f>
        <v>#REF!</v>
      </c>
    </row>
    <row r="421" spans="1:12" x14ac:dyDescent="0.3">
      <c r="A421" t="s">
        <v>33</v>
      </c>
      <c r="B421" t="s">
        <v>34</v>
      </c>
      <c r="C421" t="s">
        <v>9</v>
      </c>
      <c r="D421" t="s">
        <v>10</v>
      </c>
      <c r="E421">
        <v>2020</v>
      </c>
      <c r="F421" s="1">
        <v>100</v>
      </c>
      <c r="G421">
        <v>2020</v>
      </c>
      <c r="H421">
        <f>AVERAGEIFS(Table1[value],Table1[IndicatorCode],Table1[[#This Row],[IndicatorCode]])</f>
        <v>99.756410256410263</v>
      </c>
      <c r="I421" cm="1">
        <f t="array" ref="I421">_xlfn.STDEV.P(IF(Table1[IndicatorCode]=Table1[[#This Row],[IndicatorCode]],Table1[value]))</f>
        <v>1.1047979755287356</v>
      </c>
      <c r="J421">
        <f>(Table1[[#This Row],[value]] - Table1[[#This Row],[mean]]) / Table1[[#This Row],[std_dev]]</f>
        <v>0.22048351733552002</v>
      </c>
      <c r="K421">
        <f>AVERAGEIF(Table1[CountryCode],Table1[[#This Row],[CountryCode]],Table1[z-score])</f>
        <v>0.38305593592472742</v>
      </c>
    </row>
    <row r="422" spans="1:12" hidden="1" x14ac:dyDescent="0.3">
      <c r="A422" t="s">
        <v>33</v>
      </c>
      <c r="B422" t="s">
        <v>34</v>
      </c>
      <c r="C422" t="s">
        <v>9</v>
      </c>
      <c r="D422" t="s">
        <v>10</v>
      </c>
      <c r="E422">
        <v>2021</v>
      </c>
      <c r="F422" s="1">
        <v>100</v>
      </c>
      <c r="G422">
        <v>1990</v>
      </c>
      <c r="H422">
        <f>AVERAGEIFS(Table1[value],Table1[IndicatorCode],Table1[[#This Row],[IndicatorCode]])</f>
        <v>99.756410256410263</v>
      </c>
      <c r="I422" cm="1">
        <f t="array" ref="I422">_xlfn.STDEV.P(IF(Table1[IndicatorCode]=Table1[[#This Row],[IndicatorCode]],Table1[value]))</f>
        <v>1.1047979755287356</v>
      </c>
      <c r="J422">
        <f>(Table1[[#This Row],[value]] - Table1[[#This Row],[mean]]) / Table1[[#This Row],[std_dev]]</f>
        <v>0.22048351733552002</v>
      </c>
      <c r="K422">
        <f>AVERAGEIF(Table1[CountryCode],Table1[[#This Row],[CountryCode]],Table1[z-score])</f>
        <v>0.38305593592472742</v>
      </c>
      <c r="L422" t="e">
        <f>VLOOKUP(Table1[[#This Row],[CountryCode]],[1]!Table1[#All],1,FALSE)</f>
        <v>#REF!</v>
      </c>
    </row>
    <row r="423" spans="1:12" hidden="1" x14ac:dyDescent="0.3">
      <c r="A423" t="s">
        <v>33</v>
      </c>
      <c r="B423" t="s">
        <v>34</v>
      </c>
      <c r="C423" t="s">
        <v>9</v>
      </c>
      <c r="D423" t="s">
        <v>10</v>
      </c>
      <c r="E423">
        <v>2022</v>
      </c>
      <c r="F423" s="1">
        <v>100</v>
      </c>
      <c r="G423">
        <v>1990</v>
      </c>
      <c r="H423">
        <f>AVERAGEIFS(Table1[value],Table1[IndicatorCode],Table1[[#This Row],[IndicatorCode]])</f>
        <v>99.756410256410263</v>
      </c>
      <c r="I423" cm="1">
        <f t="array" ref="I423">_xlfn.STDEV.P(IF(Table1[IndicatorCode]=Table1[[#This Row],[IndicatorCode]],Table1[value]))</f>
        <v>1.1047979755287356</v>
      </c>
      <c r="J423">
        <f>(Table1[[#This Row],[value]] - Table1[[#This Row],[mean]]) / Table1[[#This Row],[std_dev]]</f>
        <v>0.22048351733552002</v>
      </c>
      <c r="K423">
        <f>AVERAGEIF(Table1[CountryCode],Table1[[#This Row],[CountryCode]],Table1[z-score])</f>
        <v>0.38305593592472742</v>
      </c>
      <c r="L423" t="e">
        <f>VLOOKUP(Table1[[#This Row],[CountryCode]],[1]!Table1[#All],1,FALSE)</f>
        <v>#REF!</v>
      </c>
    </row>
    <row r="424" spans="1:12" hidden="1" x14ac:dyDescent="0.3">
      <c r="A424" t="s">
        <v>33</v>
      </c>
      <c r="B424" t="s">
        <v>34</v>
      </c>
      <c r="C424" t="s">
        <v>9</v>
      </c>
      <c r="D424" t="s">
        <v>10</v>
      </c>
      <c r="E424">
        <v>2023</v>
      </c>
      <c r="F424" s="1">
        <v>100</v>
      </c>
      <c r="G424">
        <v>1990</v>
      </c>
      <c r="H424">
        <f>AVERAGEIFS(Table1[value],Table1[IndicatorCode],Table1[[#This Row],[IndicatorCode]])</f>
        <v>99.756410256410263</v>
      </c>
      <c r="I424" cm="1">
        <f t="array" ref="I424">_xlfn.STDEV.P(IF(Table1[IndicatorCode]=Table1[[#This Row],[IndicatorCode]],Table1[value]))</f>
        <v>1.1047979755287356</v>
      </c>
      <c r="J424">
        <f>(Table1[[#This Row],[value]] - Table1[[#This Row],[mean]]) / Table1[[#This Row],[std_dev]]</f>
        <v>0.22048351733552002</v>
      </c>
      <c r="K424">
        <f>AVERAGEIF(Table1[CountryCode],Table1[[#This Row],[CountryCode]],Table1[z-score])</f>
        <v>0.38305593592472742</v>
      </c>
      <c r="L424" t="e">
        <f>VLOOKUP(Table1[[#This Row],[CountryCode]],[1]!Table1[#All],1,FALSE)</f>
        <v>#REF!</v>
      </c>
    </row>
    <row r="425" spans="1:12" hidden="1" x14ac:dyDescent="0.3">
      <c r="A425" t="s">
        <v>35</v>
      </c>
      <c r="B425" t="s">
        <v>36</v>
      </c>
      <c r="C425" t="s">
        <v>9</v>
      </c>
      <c r="D425" t="s">
        <v>10</v>
      </c>
      <c r="E425">
        <v>1990</v>
      </c>
      <c r="F425" s="1">
        <v>100</v>
      </c>
      <c r="G425">
        <v>1990</v>
      </c>
      <c r="H425">
        <f>AVERAGEIFS(Table1[value],Table1[IndicatorCode],Table1[[#This Row],[IndicatorCode]])</f>
        <v>99.756410256410263</v>
      </c>
      <c r="I425" cm="1">
        <f t="array" ref="I425">_xlfn.STDEV.P(IF(Table1[IndicatorCode]=Table1[[#This Row],[IndicatorCode]],Table1[value]))</f>
        <v>1.1047979755287356</v>
      </c>
      <c r="J425">
        <f>(Table1[[#This Row],[value]] - Table1[[#This Row],[mean]]) / Table1[[#This Row],[std_dev]]</f>
        <v>0.22048351733552002</v>
      </c>
      <c r="K425">
        <f>AVERAGEIF(Table1[CountryCode],Table1[[#This Row],[CountryCode]],Table1[z-score])</f>
        <v>0.40817616735273116</v>
      </c>
      <c r="L425" t="e">
        <f>VLOOKUP(Table1[[#This Row],[CountryCode]],[1]!Table1[#All],1,FALSE)</f>
        <v>#REF!</v>
      </c>
    </row>
    <row r="426" spans="1:12" hidden="1" x14ac:dyDescent="0.3">
      <c r="A426" t="s">
        <v>35</v>
      </c>
      <c r="B426" t="s">
        <v>36</v>
      </c>
      <c r="C426" t="s">
        <v>9</v>
      </c>
      <c r="D426" t="s">
        <v>10</v>
      </c>
      <c r="E426">
        <v>1991</v>
      </c>
      <c r="F426" s="1">
        <v>100</v>
      </c>
      <c r="G426">
        <v>1990</v>
      </c>
      <c r="H426">
        <f>AVERAGEIFS(Table1[value],Table1[IndicatorCode],Table1[[#This Row],[IndicatorCode]])</f>
        <v>99.756410256410263</v>
      </c>
      <c r="I426" cm="1">
        <f t="array" ref="I426">_xlfn.STDEV.P(IF(Table1[IndicatorCode]=Table1[[#This Row],[IndicatorCode]],Table1[value]))</f>
        <v>1.1047979755287356</v>
      </c>
      <c r="J426">
        <f>(Table1[[#This Row],[value]] - Table1[[#This Row],[mean]]) / Table1[[#This Row],[std_dev]]</f>
        <v>0.22048351733552002</v>
      </c>
      <c r="K426">
        <f>AVERAGEIF(Table1[CountryCode],Table1[[#This Row],[CountryCode]],Table1[z-score])</f>
        <v>0.40817616735273116</v>
      </c>
      <c r="L426" t="e">
        <f>VLOOKUP(Table1[[#This Row],[CountryCode]],[1]!Table1[#All],1,FALSE)</f>
        <v>#REF!</v>
      </c>
    </row>
    <row r="427" spans="1:12" hidden="1" x14ac:dyDescent="0.3">
      <c r="A427" t="s">
        <v>35</v>
      </c>
      <c r="B427" t="s">
        <v>36</v>
      </c>
      <c r="C427" t="s">
        <v>9</v>
      </c>
      <c r="D427" t="s">
        <v>10</v>
      </c>
      <c r="E427">
        <v>1992</v>
      </c>
      <c r="F427" s="1">
        <v>100</v>
      </c>
      <c r="G427">
        <v>1990</v>
      </c>
      <c r="H427">
        <f>AVERAGEIFS(Table1[value],Table1[IndicatorCode],Table1[[#This Row],[IndicatorCode]])</f>
        <v>99.756410256410263</v>
      </c>
      <c r="I427" cm="1">
        <f t="array" ref="I427">_xlfn.STDEV.P(IF(Table1[IndicatorCode]=Table1[[#This Row],[IndicatorCode]],Table1[value]))</f>
        <v>1.1047979755287356</v>
      </c>
      <c r="J427">
        <f>(Table1[[#This Row],[value]] - Table1[[#This Row],[mean]]) / Table1[[#This Row],[std_dev]]</f>
        <v>0.22048351733552002</v>
      </c>
      <c r="K427">
        <f>AVERAGEIF(Table1[CountryCode],Table1[[#This Row],[CountryCode]],Table1[z-score])</f>
        <v>0.40817616735273116</v>
      </c>
      <c r="L427" t="e">
        <f>VLOOKUP(Table1[[#This Row],[CountryCode]],[1]!Table1[#All],1,FALSE)</f>
        <v>#REF!</v>
      </c>
    </row>
    <row r="428" spans="1:12" hidden="1" x14ac:dyDescent="0.3">
      <c r="A428" t="s">
        <v>35</v>
      </c>
      <c r="B428" t="s">
        <v>36</v>
      </c>
      <c r="C428" t="s">
        <v>9</v>
      </c>
      <c r="D428" t="s">
        <v>10</v>
      </c>
      <c r="E428">
        <v>1993</v>
      </c>
      <c r="F428" s="1">
        <v>100</v>
      </c>
      <c r="G428">
        <v>1990</v>
      </c>
      <c r="H428">
        <f>AVERAGEIFS(Table1[value],Table1[IndicatorCode],Table1[[#This Row],[IndicatorCode]])</f>
        <v>99.756410256410263</v>
      </c>
      <c r="I428" cm="1">
        <f t="array" ref="I428">_xlfn.STDEV.P(IF(Table1[IndicatorCode]=Table1[[#This Row],[IndicatorCode]],Table1[value]))</f>
        <v>1.1047979755287356</v>
      </c>
      <c r="J428">
        <f>(Table1[[#This Row],[value]] - Table1[[#This Row],[mean]]) / Table1[[#This Row],[std_dev]]</f>
        <v>0.22048351733552002</v>
      </c>
      <c r="K428">
        <f>AVERAGEIF(Table1[CountryCode],Table1[[#This Row],[CountryCode]],Table1[z-score])</f>
        <v>0.40817616735273116</v>
      </c>
      <c r="L428" t="e">
        <f>VLOOKUP(Table1[[#This Row],[CountryCode]],[1]!Table1[#All],1,FALSE)</f>
        <v>#REF!</v>
      </c>
    </row>
    <row r="429" spans="1:12" hidden="1" x14ac:dyDescent="0.3">
      <c r="A429" t="s">
        <v>35</v>
      </c>
      <c r="B429" t="s">
        <v>36</v>
      </c>
      <c r="C429" t="s">
        <v>9</v>
      </c>
      <c r="D429" t="s">
        <v>10</v>
      </c>
      <c r="E429">
        <v>1994</v>
      </c>
      <c r="F429" s="1">
        <v>100</v>
      </c>
      <c r="G429">
        <v>1990</v>
      </c>
      <c r="H429">
        <f>AVERAGEIFS(Table1[value],Table1[IndicatorCode],Table1[[#This Row],[IndicatorCode]])</f>
        <v>99.756410256410263</v>
      </c>
      <c r="I429" cm="1">
        <f t="array" ref="I429">_xlfn.STDEV.P(IF(Table1[IndicatorCode]=Table1[[#This Row],[IndicatorCode]],Table1[value]))</f>
        <v>1.1047979755287356</v>
      </c>
      <c r="J429">
        <f>(Table1[[#This Row],[value]] - Table1[[#This Row],[mean]]) / Table1[[#This Row],[std_dev]]</f>
        <v>0.22048351733552002</v>
      </c>
      <c r="K429">
        <f>AVERAGEIF(Table1[CountryCode],Table1[[#This Row],[CountryCode]],Table1[z-score])</f>
        <v>0.40817616735273116</v>
      </c>
      <c r="L429" t="e">
        <f>VLOOKUP(Table1[[#This Row],[CountryCode]],[1]!Table1[#All],1,FALSE)</f>
        <v>#REF!</v>
      </c>
    </row>
    <row r="430" spans="1:12" hidden="1" x14ac:dyDescent="0.3">
      <c r="A430" t="s">
        <v>35</v>
      </c>
      <c r="B430" t="s">
        <v>36</v>
      </c>
      <c r="C430" t="s">
        <v>9</v>
      </c>
      <c r="D430" t="s">
        <v>10</v>
      </c>
      <c r="E430">
        <v>1995</v>
      </c>
      <c r="F430" s="1">
        <v>100</v>
      </c>
      <c r="G430">
        <v>1990</v>
      </c>
      <c r="H430">
        <f>AVERAGEIFS(Table1[value],Table1[IndicatorCode],Table1[[#This Row],[IndicatorCode]])</f>
        <v>99.756410256410263</v>
      </c>
      <c r="I430" cm="1">
        <f t="array" ref="I430">_xlfn.STDEV.P(IF(Table1[IndicatorCode]=Table1[[#This Row],[IndicatorCode]],Table1[value]))</f>
        <v>1.1047979755287356</v>
      </c>
      <c r="J430">
        <f>(Table1[[#This Row],[value]] - Table1[[#This Row],[mean]]) / Table1[[#This Row],[std_dev]]</f>
        <v>0.22048351733552002</v>
      </c>
      <c r="K430">
        <f>AVERAGEIF(Table1[CountryCode],Table1[[#This Row],[CountryCode]],Table1[z-score])</f>
        <v>0.40817616735273116</v>
      </c>
      <c r="L430" t="e">
        <f>VLOOKUP(Table1[[#This Row],[CountryCode]],[1]!Table1[#All],1,FALSE)</f>
        <v>#REF!</v>
      </c>
    </row>
    <row r="431" spans="1:12" hidden="1" x14ac:dyDescent="0.3">
      <c r="A431" t="s">
        <v>35</v>
      </c>
      <c r="B431" t="s">
        <v>36</v>
      </c>
      <c r="C431" t="s">
        <v>9</v>
      </c>
      <c r="D431" t="s">
        <v>10</v>
      </c>
      <c r="E431">
        <v>1996</v>
      </c>
      <c r="F431" s="1">
        <v>100</v>
      </c>
      <c r="G431">
        <v>1990</v>
      </c>
      <c r="H431">
        <f>AVERAGEIFS(Table1[value],Table1[IndicatorCode],Table1[[#This Row],[IndicatorCode]])</f>
        <v>99.756410256410263</v>
      </c>
      <c r="I431" cm="1">
        <f t="array" ref="I431">_xlfn.STDEV.P(IF(Table1[IndicatorCode]=Table1[[#This Row],[IndicatorCode]],Table1[value]))</f>
        <v>1.1047979755287356</v>
      </c>
      <c r="J431">
        <f>(Table1[[#This Row],[value]] - Table1[[#This Row],[mean]]) / Table1[[#This Row],[std_dev]]</f>
        <v>0.22048351733552002</v>
      </c>
      <c r="K431">
        <f>AVERAGEIF(Table1[CountryCode],Table1[[#This Row],[CountryCode]],Table1[z-score])</f>
        <v>0.40817616735273116</v>
      </c>
      <c r="L431" t="e">
        <f>VLOOKUP(Table1[[#This Row],[CountryCode]],[1]!Table1[#All],1,FALSE)</f>
        <v>#REF!</v>
      </c>
    </row>
    <row r="432" spans="1:12" hidden="1" x14ac:dyDescent="0.3">
      <c r="A432" t="s">
        <v>35</v>
      </c>
      <c r="B432" t="s">
        <v>36</v>
      </c>
      <c r="C432" t="s">
        <v>9</v>
      </c>
      <c r="D432" t="s">
        <v>10</v>
      </c>
      <c r="E432">
        <v>1997</v>
      </c>
      <c r="F432" s="1">
        <v>100</v>
      </c>
      <c r="G432">
        <v>2000</v>
      </c>
      <c r="H432">
        <f>AVERAGEIFS(Table1[value],Table1[IndicatorCode],Table1[[#This Row],[IndicatorCode]])</f>
        <v>99.756410256410263</v>
      </c>
      <c r="I432" cm="1">
        <f t="array" ref="I432">_xlfn.STDEV.P(IF(Table1[IndicatorCode]=Table1[[#This Row],[IndicatorCode]],Table1[value]))</f>
        <v>1.1047979755287356</v>
      </c>
      <c r="J432">
        <f>(Table1[[#This Row],[value]] - Table1[[#This Row],[mean]]) / Table1[[#This Row],[std_dev]]</f>
        <v>0.22048351733552002</v>
      </c>
      <c r="K432">
        <f>AVERAGEIF(Table1[CountryCode],Table1[[#This Row],[CountryCode]],Table1[z-score])</f>
        <v>0.40817616735273116</v>
      </c>
      <c r="L432" t="e">
        <f>VLOOKUP(Table1[[#This Row],[CountryCode]],[1]!Table1[#All],1,FALSE)</f>
        <v>#REF!</v>
      </c>
    </row>
    <row r="433" spans="1:12" hidden="1" x14ac:dyDescent="0.3">
      <c r="A433" t="s">
        <v>35</v>
      </c>
      <c r="B433" t="s">
        <v>36</v>
      </c>
      <c r="C433" t="s">
        <v>9</v>
      </c>
      <c r="D433" t="s">
        <v>10</v>
      </c>
      <c r="E433">
        <v>1998</v>
      </c>
      <c r="F433" s="1">
        <v>100</v>
      </c>
      <c r="G433">
        <v>2000</v>
      </c>
      <c r="H433">
        <f>AVERAGEIFS(Table1[value],Table1[IndicatorCode],Table1[[#This Row],[IndicatorCode]])</f>
        <v>99.756410256410263</v>
      </c>
      <c r="I433" cm="1">
        <f t="array" ref="I433">_xlfn.STDEV.P(IF(Table1[IndicatorCode]=Table1[[#This Row],[IndicatorCode]],Table1[value]))</f>
        <v>1.1047979755287356</v>
      </c>
      <c r="J433">
        <f>(Table1[[#This Row],[value]] - Table1[[#This Row],[mean]]) / Table1[[#This Row],[std_dev]]</f>
        <v>0.22048351733552002</v>
      </c>
      <c r="K433">
        <f>AVERAGEIF(Table1[CountryCode],Table1[[#This Row],[CountryCode]],Table1[z-score])</f>
        <v>0.40817616735273116</v>
      </c>
      <c r="L433" t="e">
        <f>VLOOKUP(Table1[[#This Row],[CountryCode]],[1]!Table1[#All],1,FALSE)</f>
        <v>#REF!</v>
      </c>
    </row>
    <row r="434" spans="1:12" hidden="1" x14ac:dyDescent="0.3">
      <c r="A434" t="s">
        <v>35</v>
      </c>
      <c r="B434" t="s">
        <v>36</v>
      </c>
      <c r="C434" t="s">
        <v>9</v>
      </c>
      <c r="D434" t="s">
        <v>10</v>
      </c>
      <c r="E434">
        <v>1999</v>
      </c>
      <c r="F434" s="1">
        <v>100</v>
      </c>
      <c r="G434">
        <v>2000</v>
      </c>
      <c r="H434">
        <f>AVERAGEIFS(Table1[value],Table1[IndicatorCode],Table1[[#This Row],[IndicatorCode]])</f>
        <v>99.756410256410263</v>
      </c>
      <c r="I434" cm="1">
        <f t="array" ref="I434">_xlfn.STDEV.P(IF(Table1[IndicatorCode]=Table1[[#This Row],[IndicatorCode]],Table1[value]))</f>
        <v>1.1047979755287356</v>
      </c>
      <c r="J434">
        <f>(Table1[[#This Row],[value]] - Table1[[#This Row],[mean]]) / Table1[[#This Row],[std_dev]]</f>
        <v>0.22048351733552002</v>
      </c>
      <c r="K434">
        <f>AVERAGEIF(Table1[CountryCode],Table1[[#This Row],[CountryCode]],Table1[z-score])</f>
        <v>0.40817616735273116</v>
      </c>
      <c r="L434" t="e">
        <f>VLOOKUP(Table1[[#This Row],[CountryCode]],[1]!Table1[#All],1,FALSE)</f>
        <v>#REF!</v>
      </c>
    </row>
    <row r="435" spans="1:12" hidden="1" x14ac:dyDescent="0.3">
      <c r="A435" t="s">
        <v>35</v>
      </c>
      <c r="B435" t="s">
        <v>36</v>
      </c>
      <c r="C435" t="s">
        <v>9</v>
      </c>
      <c r="D435" t="s">
        <v>10</v>
      </c>
      <c r="E435">
        <v>2000</v>
      </c>
      <c r="F435" s="1">
        <v>100</v>
      </c>
      <c r="G435">
        <v>2000</v>
      </c>
      <c r="H435">
        <f>AVERAGEIFS(Table1[value],Table1[IndicatorCode],Table1[[#This Row],[IndicatorCode]])</f>
        <v>99.756410256410263</v>
      </c>
      <c r="I435" cm="1">
        <f t="array" ref="I435">_xlfn.STDEV.P(IF(Table1[IndicatorCode]=Table1[[#This Row],[IndicatorCode]],Table1[value]))</f>
        <v>1.1047979755287356</v>
      </c>
      <c r="J435">
        <f>(Table1[[#This Row],[value]] - Table1[[#This Row],[mean]]) / Table1[[#This Row],[std_dev]]</f>
        <v>0.22048351733552002</v>
      </c>
      <c r="K435">
        <f>AVERAGEIF(Table1[CountryCode],Table1[[#This Row],[CountryCode]],Table1[z-score])</f>
        <v>0.40817616735273116</v>
      </c>
      <c r="L435" t="e">
        <f>VLOOKUP(Table1[[#This Row],[CountryCode]],[1]!Table1[#All],1,FALSE)</f>
        <v>#REF!</v>
      </c>
    </row>
    <row r="436" spans="1:12" hidden="1" x14ac:dyDescent="0.3">
      <c r="A436" t="s">
        <v>35</v>
      </c>
      <c r="B436" t="s">
        <v>36</v>
      </c>
      <c r="C436" t="s">
        <v>9</v>
      </c>
      <c r="D436" t="s">
        <v>10</v>
      </c>
      <c r="E436">
        <v>2001</v>
      </c>
      <c r="F436" s="1">
        <v>100</v>
      </c>
      <c r="G436">
        <v>2000</v>
      </c>
      <c r="H436">
        <f>AVERAGEIFS(Table1[value],Table1[IndicatorCode],Table1[[#This Row],[IndicatorCode]])</f>
        <v>99.756410256410263</v>
      </c>
      <c r="I436" cm="1">
        <f t="array" ref="I436">_xlfn.STDEV.P(IF(Table1[IndicatorCode]=Table1[[#This Row],[IndicatorCode]],Table1[value]))</f>
        <v>1.1047979755287356</v>
      </c>
      <c r="J436">
        <f>(Table1[[#This Row],[value]] - Table1[[#This Row],[mean]]) / Table1[[#This Row],[std_dev]]</f>
        <v>0.22048351733552002</v>
      </c>
      <c r="K436">
        <f>AVERAGEIF(Table1[CountryCode],Table1[[#This Row],[CountryCode]],Table1[z-score])</f>
        <v>0.40817616735273116</v>
      </c>
      <c r="L436" t="e">
        <f>VLOOKUP(Table1[[#This Row],[CountryCode]],[1]!Table1[#All],1,FALSE)</f>
        <v>#REF!</v>
      </c>
    </row>
    <row r="437" spans="1:12" hidden="1" x14ac:dyDescent="0.3">
      <c r="A437" t="s">
        <v>35</v>
      </c>
      <c r="B437" t="s">
        <v>36</v>
      </c>
      <c r="C437" t="s">
        <v>9</v>
      </c>
      <c r="D437" t="s">
        <v>10</v>
      </c>
      <c r="E437">
        <v>2002</v>
      </c>
      <c r="F437" s="1">
        <v>100</v>
      </c>
      <c r="G437">
        <v>2000</v>
      </c>
      <c r="H437">
        <f>AVERAGEIFS(Table1[value],Table1[IndicatorCode],Table1[[#This Row],[IndicatorCode]])</f>
        <v>99.756410256410263</v>
      </c>
      <c r="I437" cm="1">
        <f t="array" ref="I437">_xlfn.STDEV.P(IF(Table1[IndicatorCode]=Table1[[#This Row],[IndicatorCode]],Table1[value]))</f>
        <v>1.1047979755287356</v>
      </c>
      <c r="J437">
        <f>(Table1[[#This Row],[value]] - Table1[[#This Row],[mean]]) / Table1[[#This Row],[std_dev]]</f>
        <v>0.22048351733552002</v>
      </c>
      <c r="K437">
        <f>AVERAGEIF(Table1[CountryCode],Table1[[#This Row],[CountryCode]],Table1[z-score])</f>
        <v>0.40817616735273116</v>
      </c>
      <c r="L437" t="e">
        <f>VLOOKUP(Table1[[#This Row],[CountryCode]],[1]!Table1[#All],1,FALSE)</f>
        <v>#REF!</v>
      </c>
    </row>
    <row r="438" spans="1:12" hidden="1" x14ac:dyDescent="0.3">
      <c r="A438" t="s">
        <v>35</v>
      </c>
      <c r="B438" t="s">
        <v>36</v>
      </c>
      <c r="C438" t="s">
        <v>9</v>
      </c>
      <c r="D438" t="s">
        <v>10</v>
      </c>
      <c r="E438">
        <v>2003</v>
      </c>
      <c r="F438" s="1">
        <v>100</v>
      </c>
      <c r="G438">
        <v>2000</v>
      </c>
      <c r="H438">
        <f>AVERAGEIFS(Table1[value],Table1[IndicatorCode],Table1[[#This Row],[IndicatorCode]])</f>
        <v>99.756410256410263</v>
      </c>
      <c r="I438" cm="1">
        <f t="array" ref="I438">_xlfn.STDEV.P(IF(Table1[IndicatorCode]=Table1[[#This Row],[IndicatorCode]],Table1[value]))</f>
        <v>1.1047979755287356</v>
      </c>
      <c r="J438">
        <f>(Table1[[#This Row],[value]] - Table1[[#This Row],[mean]]) / Table1[[#This Row],[std_dev]]</f>
        <v>0.22048351733552002</v>
      </c>
      <c r="K438">
        <f>AVERAGEIF(Table1[CountryCode],Table1[[#This Row],[CountryCode]],Table1[z-score])</f>
        <v>0.40817616735273116</v>
      </c>
      <c r="L438" t="e">
        <f>VLOOKUP(Table1[[#This Row],[CountryCode]],[1]!Table1[#All],1,FALSE)</f>
        <v>#REF!</v>
      </c>
    </row>
    <row r="439" spans="1:12" hidden="1" x14ac:dyDescent="0.3">
      <c r="A439" t="s">
        <v>35</v>
      </c>
      <c r="B439" t="s">
        <v>36</v>
      </c>
      <c r="C439" t="s">
        <v>9</v>
      </c>
      <c r="D439" t="s">
        <v>10</v>
      </c>
      <c r="E439">
        <v>2004</v>
      </c>
      <c r="F439" s="1">
        <v>100</v>
      </c>
      <c r="G439">
        <v>2000</v>
      </c>
      <c r="H439">
        <f>AVERAGEIFS(Table1[value],Table1[IndicatorCode],Table1[[#This Row],[IndicatorCode]])</f>
        <v>99.756410256410263</v>
      </c>
      <c r="I439" cm="1">
        <f t="array" ref="I439">_xlfn.STDEV.P(IF(Table1[IndicatorCode]=Table1[[#This Row],[IndicatorCode]],Table1[value]))</f>
        <v>1.1047979755287356</v>
      </c>
      <c r="J439">
        <f>(Table1[[#This Row],[value]] - Table1[[#This Row],[mean]]) / Table1[[#This Row],[std_dev]]</f>
        <v>0.22048351733552002</v>
      </c>
      <c r="K439">
        <f>AVERAGEIF(Table1[CountryCode],Table1[[#This Row],[CountryCode]],Table1[z-score])</f>
        <v>0.40817616735273116</v>
      </c>
      <c r="L439" t="e">
        <f>VLOOKUP(Table1[[#This Row],[CountryCode]],[1]!Table1[#All],1,FALSE)</f>
        <v>#REF!</v>
      </c>
    </row>
    <row r="440" spans="1:12" hidden="1" x14ac:dyDescent="0.3">
      <c r="A440" t="s">
        <v>35</v>
      </c>
      <c r="B440" t="s">
        <v>36</v>
      </c>
      <c r="C440" t="s">
        <v>9</v>
      </c>
      <c r="D440" t="s">
        <v>10</v>
      </c>
      <c r="E440">
        <v>2005</v>
      </c>
      <c r="F440" s="1">
        <v>100</v>
      </c>
      <c r="G440">
        <v>2000</v>
      </c>
      <c r="H440">
        <f>AVERAGEIFS(Table1[value],Table1[IndicatorCode],Table1[[#This Row],[IndicatorCode]])</f>
        <v>99.756410256410263</v>
      </c>
      <c r="I440" cm="1">
        <f t="array" ref="I440">_xlfn.STDEV.P(IF(Table1[IndicatorCode]=Table1[[#This Row],[IndicatorCode]],Table1[value]))</f>
        <v>1.1047979755287356</v>
      </c>
      <c r="J440">
        <f>(Table1[[#This Row],[value]] - Table1[[#This Row],[mean]]) / Table1[[#This Row],[std_dev]]</f>
        <v>0.22048351733552002</v>
      </c>
      <c r="K440">
        <f>AVERAGEIF(Table1[CountryCode],Table1[[#This Row],[CountryCode]],Table1[z-score])</f>
        <v>0.40817616735273116</v>
      </c>
      <c r="L440" t="e">
        <f>VLOOKUP(Table1[[#This Row],[CountryCode]],[1]!Table1[#All],1,FALSE)</f>
        <v>#REF!</v>
      </c>
    </row>
    <row r="441" spans="1:12" hidden="1" x14ac:dyDescent="0.3">
      <c r="A441" t="s">
        <v>35</v>
      </c>
      <c r="B441" t="s">
        <v>36</v>
      </c>
      <c r="C441" t="s">
        <v>9</v>
      </c>
      <c r="D441" t="s">
        <v>10</v>
      </c>
      <c r="E441">
        <v>2006</v>
      </c>
      <c r="F441" s="1">
        <v>100</v>
      </c>
      <c r="G441">
        <v>2000</v>
      </c>
      <c r="H441">
        <f>AVERAGEIFS(Table1[value],Table1[IndicatorCode],Table1[[#This Row],[IndicatorCode]])</f>
        <v>99.756410256410263</v>
      </c>
      <c r="I441" cm="1">
        <f t="array" ref="I441">_xlfn.STDEV.P(IF(Table1[IndicatorCode]=Table1[[#This Row],[IndicatorCode]],Table1[value]))</f>
        <v>1.1047979755287356</v>
      </c>
      <c r="J441">
        <f>(Table1[[#This Row],[value]] - Table1[[#This Row],[mean]]) / Table1[[#This Row],[std_dev]]</f>
        <v>0.22048351733552002</v>
      </c>
      <c r="K441">
        <f>AVERAGEIF(Table1[CountryCode],Table1[[#This Row],[CountryCode]],Table1[z-score])</f>
        <v>0.40817616735273116</v>
      </c>
      <c r="L441" t="e">
        <f>VLOOKUP(Table1[[#This Row],[CountryCode]],[1]!Table1[#All],1,FALSE)</f>
        <v>#REF!</v>
      </c>
    </row>
    <row r="442" spans="1:12" hidden="1" x14ac:dyDescent="0.3">
      <c r="A442" t="s">
        <v>35</v>
      </c>
      <c r="B442" t="s">
        <v>36</v>
      </c>
      <c r="C442" t="s">
        <v>9</v>
      </c>
      <c r="D442" t="s">
        <v>10</v>
      </c>
      <c r="E442">
        <v>2007</v>
      </c>
      <c r="F442" s="1">
        <v>100</v>
      </c>
      <c r="G442">
        <v>2010</v>
      </c>
      <c r="H442">
        <f>AVERAGEIFS(Table1[value],Table1[IndicatorCode],Table1[[#This Row],[IndicatorCode]])</f>
        <v>99.756410256410263</v>
      </c>
      <c r="I442" cm="1">
        <f t="array" ref="I442">_xlfn.STDEV.P(IF(Table1[IndicatorCode]=Table1[[#This Row],[IndicatorCode]],Table1[value]))</f>
        <v>1.1047979755287356</v>
      </c>
      <c r="J442">
        <f>(Table1[[#This Row],[value]] - Table1[[#This Row],[mean]]) / Table1[[#This Row],[std_dev]]</f>
        <v>0.22048351733552002</v>
      </c>
      <c r="K442">
        <f>AVERAGEIF(Table1[CountryCode],Table1[[#This Row],[CountryCode]],Table1[z-score])</f>
        <v>0.40817616735273116</v>
      </c>
      <c r="L442" t="e">
        <f>VLOOKUP(Table1[[#This Row],[CountryCode]],[1]!Table1[#All],1,FALSE)</f>
        <v>#REF!</v>
      </c>
    </row>
    <row r="443" spans="1:12" hidden="1" x14ac:dyDescent="0.3">
      <c r="A443" t="s">
        <v>35</v>
      </c>
      <c r="B443" t="s">
        <v>36</v>
      </c>
      <c r="C443" t="s">
        <v>9</v>
      </c>
      <c r="D443" t="s">
        <v>10</v>
      </c>
      <c r="E443">
        <v>2008</v>
      </c>
      <c r="F443" s="1">
        <v>100</v>
      </c>
      <c r="G443">
        <v>2010</v>
      </c>
      <c r="H443">
        <f>AVERAGEIFS(Table1[value],Table1[IndicatorCode],Table1[[#This Row],[IndicatorCode]])</f>
        <v>99.756410256410263</v>
      </c>
      <c r="I443" cm="1">
        <f t="array" ref="I443">_xlfn.STDEV.P(IF(Table1[IndicatorCode]=Table1[[#This Row],[IndicatorCode]],Table1[value]))</f>
        <v>1.1047979755287356</v>
      </c>
      <c r="J443">
        <f>(Table1[[#This Row],[value]] - Table1[[#This Row],[mean]]) / Table1[[#This Row],[std_dev]]</f>
        <v>0.22048351733552002</v>
      </c>
      <c r="K443">
        <f>AVERAGEIF(Table1[CountryCode],Table1[[#This Row],[CountryCode]],Table1[z-score])</f>
        <v>0.40817616735273116</v>
      </c>
      <c r="L443" t="e">
        <f>VLOOKUP(Table1[[#This Row],[CountryCode]],[1]!Table1[#All],1,FALSE)</f>
        <v>#REF!</v>
      </c>
    </row>
    <row r="444" spans="1:12" hidden="1" x14ac:dyDescent="0.3">
      <c r="A444" t="s">
        <v>35</v>
      </c>
      <c r="B444" t="s">
        <v>36</v>
      </c>
      <c r="C444" t="s">
        <v>9</v>
      </c>
      <c r="D444" t="s">
        <v>10</v>
      </c>
      <c r="E444">
        <v>2009</v>
      </c>
      <c r="F444" s="1">
        <v>100</v>
      </c>
      <c r="G444">
        <v>2010</v>
      </c>
      <c r="H444">
        <f>AVERAGEIFS(Table1[value],Table1[IndicatorCode],Table1[[#This Row],[IndicatorCode]])</f>
        <v>99.756410256410263</v>
      </c>
      <c r="I444" cm="1">
        <f t="array" ref="I444">_xlfn.STDEV.P(IF(Table1[IndicatorCode]=Table1[[#This Row],[IndicatorCode]],Table1[value]))</f>
        <v>1.1047979755287356</v>
      </c>
      <c r="J444">
        <f>(Table1[[#This Row],[value]] - Table1[[#This Row],[mean]]) / Table1[[#This Row],[std_dev]]</f>
        <v>0.22048351733552002</v>
      </c>
      <c r="K444">
        <f>AVERAGEIF(Table1[CountryCode],Table1[[#This Row],[CountryCode]],Table1[z-score])</f>
        <v>0.40817616735273116</v>
      </c>
      <c r="L444" t="e">
        <f>VLOOKUP(Table1[[#This Row],[CountryCode]],[1]!Table1[#All],1,FALSE)</f>
        <v>#REF!</v>
      </c>
    </row>
    <row r="445" spans="1:12" hidden="1" x14ac:dyDescent="0.3">
      <c r="A445" t="s">
        <v>35</v>
      </c>
      <c r="B445" t="s">
        <v>36</v>
      </c>
      <c r="C445" t="s">
        <v>9</v>
      </c>
      <c r="D445" t="s">
        <v>10</v>
      </c>
      <c r="E445">
        <v>2010</v>
      </c>
      <c r="F445" s="1">
        <v>100</v>
      </c>
      <c r="G445">
        <v>2010</v>
      </c>
      <c r="H445">
        <f>AVERAGEIFS(Table1[value],Table1[IndicatorCode],Table1[[#This Row],[IndicatorCode]])</f>
        <v>99.756410256410263</v>
      </c>
      <c r="I445" cm="1">
        <f t="array" ref="I445">_xlfn.STDEV.P(IF(Table1[IndicatorCode]=Table1[[#This Row],[IndicatorCode]],Table1[value]))</f>
        <v>1.1047979755287356</v>
      </c>
      <c r="J445">
        <f>(Table1[[#This Row],[value]] - Table1[[#This Row],[mean]]) / Table1[[#This Row],[std_dev]]</f>
        <v>0.22048351733552002</v>
      </c>
      <c r="K445">
        <f>AVERAGEIF(Table1[CountryCode],Table1[[#This Row],[CountryCode]],Table1[z-score])</f>
        <v>0.40817616735273116</v>
      </c>
      <c r="L445" t="e">
        <f>VLOOKUP(Table1[[#This Row],[CountryCode]],[1]!Table1[#All],1,FALSE)</f>
        <v>#REF!</v>
      </c>
    </row>
    <row r="446" spans="1:12" hidden="1" x14ac:dyDescent="0.3">
      <c r="A446" t="s">
        <v>35</v>
      </c>
      <c r="B446" t="s">
        <v>36</v>
      </c>
      <c r="C446" t="s">
        <v>9</v>
      </c>
      <c r="D446" t="s">
        <v>10</v>
      </c>
      <c r="E446">
        <v>2011</v>
      </c>
      <c r="F446" s="1">
        <v>100</v>
      </c>
      <c r="G446">
        <v>2010</v>
      </c>
      <c r="H446">
        <f>AVERAGEIFS(Table1[value],Table1[IndicatorCode],Table1[[#This Row],[IndicatorCode]])</f>
        <v>99.756410256410263</v>
      </c>
      <c r="I446" cm="1">
        <f t="array" ref="I446">_xlfn.STDEV.P(IF(Table1[IndicatorCode]=Table1[[#This Row],[IndicatorCode]],Table1[value]))</f>
        <v>1.1047979755287356</v>
      </c>
      <c r="J446">
        <f>(Table1[[#This Row],[value]] - Table1[[#This Row],[mean]]) / Table1[[#This Row],[std_dev]]</f>
        <v>0.22048351733552002</v>
      </c>
      <c r="K446">
        <f>AVERAGEIF(Table1[CountryCode],Table1[[#This Row],[CountryCode]],Table1[z-score])</f>
        <v>0.40817616735273116</v>
      </c>
      <c r="L446" t="e">
        <f>VLOOKUP(Table1[[#This Row],[CountryCode]],[1]!Table1[#All],1,FALSE)</f>
        <v>#REF!</v>
      </c>
    </row>
    <row r="447" spans="1:12" hidden="1" x14ac:dyDescent="0.3">
      <c r="A447" t="s">
        <v>35</v>
      </c>
      <c r="B447" t="s">
        <v>36</v>
      </c>
      <c r="C447" t="s">
        <v>9</v>
      </c>
      <c r="D447" t="s">
        <v>10</v>
      </c>
      <c r="E447">
        <v>2012</v>
      </c>
      <c r="F447" s="1">
        <v>100</v>
      </c>
      <c r="G447">
        <v>2010</v>
      </c>
      <c r="H447">
        <f>AVERAGEIFS(Table1[value],Table1[IndicatorCode],Table1[[#This Row],[IndicatorCode]])</f>
        <v>99.756410256410263</v>
      </c>
      <c r="I447" cm="1">
        <f t="array" ref="I447">_xlfn.STDEV.P(IF(Table1[IndicatorCode]=Table1[[#This Row],[IndicatorCode]],Table1[value]))</f>
        <v>1.1047979755287356</v>
      </c>
      <c r="J447">
        <f>(Table1[[#This Row],[value]] - Table1[[#This Row],[mean]]) / Table1[[#This Row],[std_dev]]</f>
        <v>0.22048351733552002</v>
      </c>
      <c r="K447">
        <f>AVERAGEIF(Table1[CountryCode],Table1[[#This Row],[CountryCode]],Table1[z-score])</f>
        <v>0.40817616735273116</v>
      </c>
      <c r="L447" t="e">
        <f>VLOOKUP(Table1[[#This Row],[CountryCode]],[1]!Table1[#All],1,FALSE)</f>
        <v>#REF!</v>
      </c>
    </row>
    <row r="448" spans="1:12" hidden="1" x14ac:dyDescent="0.3">
      <c r="A448" t="s">
        <v>35</v>
      </c>
      <c r="B448" t="s">
        <v>36</v>
      </c>
      <c r="C448" t="s">
        <v>9</v>
      </c>
      <c r="D448" t="s">
        <v>10</v>
      </c>
      <c r="E448">
        <v>2013</v>
      </c>
      <c r="F448" s="1">
        <v>100</v>
      </c>
      <c r="G448">
        <v>2010</v>
      </c>
      <c r="H448">
        <f>AVERAGEIFS(Table1[value],Table1[IndicatorCode],Table1[[#This Row],[IndicatorCode]])</f>
        <v>99.756410256410263</v>
      </c>
      <c r="I448" cm="1">
        <f t="array" ref="I448">_xlfn.STDEV.P(IF(Table1[IndicatorCode]=Table1[[#This Row],[IndicatorCode]],Table1[value]))</f>
        <v>1.1047979755287356</v>
      </c>
      <c r="J448">
        <f>(Table1[[#This Row],[value]] - Table1[[#This Row],[mean]]) / Table1[[#This Row],[std_dev]]</f>
        <v>0.22048351733552002</v>
      </c>
      <c r="K448">
        <f>AVERAGEIF(Table1[CountryCode],Table1[[#This Row],[CountryCode]],Table1[z-score])</f>
        <v>0.40817616735273116</v>
      </c>
      <c r="L448" t="e">
        <f>VLOOKUP(Table1[[#This Row],[CountryCode]],[1]!Table1[#All],1,FALSE)</f>
        <v>#REF!</v>
      </c>
    </row>
    <row r="449" spans="1:12" hidden="1" x14ac:dyDescent="0.3">
      <c r="A449" t="s">
        <v>35</v>
      </c>
      <c r="B449" t="s">
        <v>36</v>
      </c>
      <c r="C449" t="s">
        <v>9</v>
      </c>
      <c r="D449" t="s">
        <v>10</v>
      </c>
      <c r="E449">
        <v>2014</v>
      </c>
      <c r="F449" s="1">
        <v>100</v>
      </c>
      <c r="G449">
        <v>2010</v>
      </c>
      <c r="H449">
        <f>AVERAGEIFS(Table1[value],Table1[IndicatorCode],Table1[[#This Row],[IndicatorCode]])</f>
        <v>99.756410256410263</v>
      </c>
      <c r="I449" cm="1">
        <f t="array" ref="I449">_xlfn.STDEV.P(IF(Table1[IndicatorCode]=Table1[[#This Row],[IndicatorCode]],Table1[value]))</f>
        <v>1.1047979755287356</v>
      </c>
      <c r="J449">
        <f>(Table1[[#This Row],[value]] - Table1[[#This Row],[mean]]) / Table1[[#This Row],[std_dev]]</f>
        <v>0.22048351733552002</v>
      </c>
      <c r="K449">
        <f>AVERAGEIF(Table1[CountryCode],Table1[[#This Row],[CountryCode]],Table1[z-score])</f>
        <v>0.40817616735273116</v>
      </c>
      <c r="L449" t="e">
        <f>VLOOKUP(Table1[[#This Row],[CountryCode]],[1]!Table1[#All],1,FALSE)</f>
        <v>#REF!</v>
      </c>
    </row>
    <row r="450" spans="1:12" hidden="1" x14ac:dyDescent="0.3">
      <c r="A450" t="s">
        <v>35</v>
      </c>
      <c r="B450" t="s">
        <v>36</v>
      </c>
      <c r="C450" t="s">
        <v>9</v>
      </c>
      <c r="D450" t="s">
        <v>10</v>
      </c>
      <c r="E450">
        <v>2015</v>
      </c>
      <c r="F450" s="1">
        <v>100</v>
      </c>
      <c r="G450">
        <v>2010</v>
      </c>
      <c r="H450">
        <f>AVERAGEIFS(Table1[value],Table1[IndicatorCode],Table1[[#This Row],[IndicatorCode]])</f>
        <v>99.756410256410263</v>
      </c>
      <c r="I450" cm="1">
        <f t="array" ref="I450">_xlfn.STDEV.P(IF(Table1[IndicatorCode]=Table1[[#This Row],[IndicatorCode]],Table1[value]))</f>
        <v>1.1047979755287356</v>
      </c>
      <c r="J450">
        <f>(Table1[[#This Row],[value]] - Table1[[#This Row],[mean]]) / Table1[[#This Row],[std_dev]]</f>
        <v>0.22048351733552002</v>
      </c>
      <c r="K450">
        <f>AVERAGEIF(Table1[CountryCode],Table1[[#This Row],[CountryCode]],Table1[z-score])</f>
        <v>0.40817616735273116</v>
      </c>
      <c r="L450" t="e">
        <f>VLOOKUP(Table1[[#This Row],[CountryCode]],[1]!Table1[#All],1,FALSE)</f>
        <v>#REF!</v>
      </c>
    </row>
    <row r="451" spans="1:12" hidden="1" x14ac:dyDescent="0.3">
      <c r="A451" t="s">
        <v>35</v>
      </c>
      <c r="B451" t="s">
        <v>36</v>
      </c>
      <c r="C451" t="s">
        <v>9</v>
      </c>
      <c r="D451" t="s">
        <v>10</v>
      </c>
      <c r="E451">
        <v>2016</v>
      </c>
      <c r="F451" s="1">
        <v>100</v>
      </c>
      <c r="G451">
        <v>2010</v>
      </c>
      <c r="H451">
        <f>AVERAGEIFS(Table1[value],Table1[IndicatorCode],Table1[[#This Row],[IndicatorCode]])</f>
        <v>99.756410256410263</v>
      </c>
      <c r="I451" cm="1">
        <f t="array" ref="I451">_xlfn.STDEV.P(IF(Table1[IndicatorCode]=Table1[[#This Row],[IndicatorCode]],Table1[value]))</f>
        <v>1.1047979755287356</v>
      </c>
      <c r="J451">
        <f>(Table1[[#This Row],[value]] - Table1[[#This Row],[mean]]) / Table1[[#This Row],[std_dev]]</f>
        <v>0.22048351733552002</v>
      </c>
      <c r="K451">
        <f>AVERAGEIF(Table1[CountryCode],Table1[[#This Row],[CountryCode]],Table1[z-score])</f>
        <v>0.40817616735273116</v>
      </c>
      <c r="L451" t="e">
        <f>VLOOKUP(Table1[[#This Row],[CountryCode]],[1]!Table1[#All],1,FALSE)</f>
        <v>#REF!</v>
      </c>
    </row>
    <row r="452" spans="1:12" hidden="1" x14ac:dyDescent="0.3">
      <c r="A452" t="s">
        <v>35</v>
      </c>
      <c r="B452" t="s">
        <v>36</v>
      </c>
      <c r="C452" t="s">
        <v>9</v>
      </c>
      <c r="D452" t="s">
        <v>10</v>
      </c>
      <c r="E452">
        <v>2017</v>
      </c>
      <c r="F452" s="1">
        <v>100</v>
      </c>
      <c r="G452">
        <v>2020</v>
      </c>
      <c r="H452">
        <f>AVERAGEIFS(Table1[value],Table1[IndicatorCode],Table1[[#This Row],[IndicatorCode]])</f>
        <v>99.756410256410263</v>
      </c>
      <c r="I452" cm="1">
        <f t="array" ref="I452">_xlfn.STDEV.P(IF(Table1[IndicatorCode]=Table1[[#This Row],[IndicatorCode]],Table1[value]))</f>
        <v>1.1047979755287356</v>
      </c>
      <c r="J452">
        <f>(Table1[[#This Row],[value]] - Table1[[#This Row],[mean]]) / Table1[[#This Row],[std_dev]]</f>
        <v>0.22048351733552002</v>
      </c>
      <c r="K452">
        <f>AVERAGEIF(Table1[CountryCode],Table1[[#This Row],[CountryCode]],Table1[z-score])</f>
        <v>0.40817616735273116</v>
      </c>
      <c r="L452" t="e">
        <f>VLOOKUP(Table1[[#This Row],[CountryCode]],[1]!Table1[#All],1,FALSE)</f>
        <v>#REF!</v>
      </c>
    </row>
    <row r="453" spans="1:12" hidden="1" x14ac:dyDescent="0.3">
      <c r="A453" t="s">
        <v>35</v>
      </c>
      <c r="B453" t="s">
        <v>36</v>
      </c>
      <c r="C453" t="s">
        <v>9</v>
      </c>
      <c r="D453" t="s">
        <v>10</v>
      </c>
      <c r="E453">
        <v>2018</v>
      </c>
      <c r="F453" s="1">
        <v>100</v>
      </c>
      <c r="G453">
        <v>2020</v>
      </c>
      <c r="H453">
        <f>AVERAGEIFS(Table1[value],Table1[IndicatorCode],Table1[[#This Row],[IndicatorCode]])</f>
        <v>99.756410256410263</v>
      </c>
      <c r="I453" cm="1">
        <f t="array" ref="I453">_xlfn.STDEV.P(IF(Table1[IndicatorCode]=Table1[[#This Row],[IndicatorCode]],Table1[value]))</f>
        <v>1.1047979755287356</v>
      </c>
      <c r="J453">
        <f>(Table1[[#This Row],[value]] - Table1[[#This Row],[mean]]) / Table1[[#This Row],[std_dev]]</f>
        <v>0.22048351733552002</v>
      </c>
      <c r="K453">
        <f>AVERAGEIF(Table1[CountryCode],Table1[[#This Row],[CountryCode]],Table1[z-score])</f>
        <v>0.40817616735273116</v>
      </c>
      <c r="L453" t="e">
        <f>VLOOKUP(Table1[[#This Row],[CountryCode]],[1]!Table1[#All],1,FALSE)</f>
        <v>#REF!</v>
      </c>
    </row>
    <row r="454" spans="1:12" hidden="1" x14ac:dyDescent="0.3">
      <c r="A454" t="s">
        <v>35</v>
      </c>
      <c r="B454" t="s">
        <v>36</v>
      </c>
      <c r="C454" t="s">
        <v>9</v>
      </c>
      <c r="D454" t="s">
        <v>10</v>
      </c>
      <c r="E454">
        <v>2019</v>
      </c>
      <c r="F454" s="1">
        <v>100</v>
      </c>
      <c r="G454">
        <v>2020</v>
      </c>
      <c r="H454">
        <f>AVERAGEIFS(Table1[value],Table1[IndicatorCode],Table1[[#This Row],[IndicatorCode]])</f>
        <v>99.756410256410263</v>
      </c>
      <c r="I454" cm="1">
        <f t="array" ref="I454">_xlfn.STDEV.P(IF(Table1[IndicatorCode]=Table1[[#This Row],[IndicatorCode]],Table1[value]))</f>
        <v>1.1047979755287356</v>
      </c>
      <c r="J454">
        <f>(Table1[[#This Row],[value]] - Table1[[#This Row],[mean]]) / Table1[[#This Row],[std_dev]]</f>
        <v>0.22048351733552002</v>
      </c>
      <c r="K454">
        <f>AVERAGEIF(Table1[CountryCode],Table1[[#This Row],[CountryCode]],Table1[z-score])</f>
        <v>0.40817616735273116</v>
      </c>
      <c r="L454" t="e">
        <f>VLOOKUP(Table1[[#This Row],[CountryCode]],[1]!Table1[#All],1,FALSE)</f>
        <v>#REF!</v>
      </c>
    </row>
    <row r="455" spans="1:12" x14ac:dyDescent="0.3">
      <c r="A455" t="s">
        <v>35</v>
      </c>
      <c r="B455" t="s">
        <v>36</v>
      </c>
      <c r="C455" t="s">
        <v>9</v>
      </c>
      <c r="D455" t="s">
        <v>10</v>
      </c>
      <c r="E455">
        <v>2020</v>
      </c>
      <c r="F455" s="1">
        <v>100</v>
      </c>
      <c r="G455">
        <v>2020</v>
      </c>
      <c r="H455">
        <f>AVERAGEIFS(Table1[value],Table1[IndicatorCode],Table1[[#This Row],[IndicatorCode]])</f>
        <v>99.756410256410263</v>
      </c>
      <c r="I455" cm="1">
        <f t="array" ref="I455">_xlfn.STDEV.P(IF(Table1[IndicatorCode]=Table1[[#This Row],[IndicatorCode]],Table1[value]))</f>
        <v>1.1047979755287356</v>
      </c>
      <c r="J455">
        <f>(Table1[[#This Row],[value]] - Table1[[#This Row],[mean]]) / Table1[[#This Row],[std_dev]]</f>
        <v>0.22048351733552002</v>
      </c>
      <c r="K455">
        <f>AVERAGEIF(Table1[CountryCode],Table1[[#This Row],[CountryCode]],Table1[z-score])</f>
        <v>0.40817616735273116</v>
      </c>
    </row>
    <row r="456" spans="1:12" hidden="1" x14ac:dyDescent="0.3">
      <c r="A456" t="s">
        <v>35</v>
      </c>
      <c r="B456" t="s">
        <v>36</v>
      </c>
      <c r="C456" t="s">
        <v>9</v>
      </c>
      <c r="D456" t="s">
        <v>10</v>
      </c>
      <c r="E456">
        <v>2021</v>
      </c>
      <c r="F456" s="1">
        <v>100</v>
      </c>
      <c r="G456">
        <v>1990</v>
      </c>
      <c r="H456">
        <f>AVERAGEIFS(Table1[value],Table1[IndicatorCode],Table1[[#This Row],[IndicatorCode]])</f>
        <v>99.756410256410263</v>
      </c>
      <c r="I456" cm="1">
        <f t="array" ref="I456">_xlfn.STDEV.P(IF(Table1[IndicatorCode]=Table1[[#This Row],[IndicatorCode]],Table1[value]))</f>
        <v>1.1047979755287356</v>
      </c>
      <c r="J456">
        <f>(Table1[[#This Row],[value]] - Table1[[#This Row],[mean]]) / Table1[[#This Row],[std_dev]]</f>
        <v>0.22048351733552002</v>
      </c>
      <c r="K456">
        <f>AVERAGEIF(Table1[CountryCode],Table1[[#This Row],[CountryCode]],Table1[z-score])</f>
        <v>0.40817616735273116</v>
      </c>
      <c r="L456" t="e">
        <f>VLOOKUP(Table1[[#This Row],[CountryCode]],[1]!Table1[#All],1,FALSE)</f>
        <v>#REF!</v>
      </c>
    </row>
    <row r="457" spans="1:12" hidden="1" x14ac:dyDescent="0.3">
      <c r="A457" t="s">
        <v>35</v>
      </c>
      <c r="B457" t="s">
        <v>36</v>
      </c>
      <c r="C457" t="s">
        <v>9</v>
      </c>
      <c r="D457" t="s">
        <v>10</v>
      </c>
      <c r="E457">
        <v>2022</v>
      </c>
      <c r="F457" s="1">
        <v>100</v>
      </c>
      <c r="G457">
        <v>1990</v>
      </c>
      <c r="H457">
        <f>AVERAGEIFS(Table1[value],Table1[IndicatorCode],Table1[[#This Row],[IndicatorCode]])</f>
        <v>99.756410256410263</v>
      </c>
      <c r="I457" cm="1">
        <f t="array" ref="I457">_xlfn.STDEV.P(IF(Table1[IndicatorCode]=Table1[[#This Row],[IndicatorCode]],Table1[value]))</f>
        <v>1.1047979755287356</v>
      </c>
      <c r="J457">
        <f>(Table1[[#This Row],[value]] - Table1[[#This Row],[mean]]) / Table1[[#This Row],[std_dev]]</f>
        <v>0.22048351733552002</v>
      </c>
      <c r="K457">
        <f>AVERAGEIF(Table1[CountryCode],Table1[[#This Row],[CountryCode]],Table1[z-score])</f>
        <v>0.40817616735273116</v>
      </c>
      <c r="L457" t="e">
        <f>VLOOKUP(Table1[[#This Row],[CountryCode]],[1]!Table1[#All],1,FALSE)</f>
        <v>#REF!</v>
      </c>
    </row>
    <row r="458" spans="1:12" hidden="1" x14ac:dyDescent="0.3">
      <c r="A458" t="s">
        <v>35</v>
      </c>
      <c r="B458" t="s">
        <v>36</v>
      </c>
      <c r="C458" t="s">
        <v>9</v>
      </c>
      <c r="D458" t="s">
        <v>10</v>
      </c>
      <c r="E458">
        <v>2023</v>
      </c>
      <c r="F458" s="1">
        <v>100</v>
      </c>
      <c r="G458">
        <v>1990</v>
      </c>
      <c r="H458">
        <f>AVERAGEIFS(Table1[value],Table1[IndicatorCode],Table1[[#This Row],[IndicatorCode]])</f>
        <v>99.756410256410263</v>
      </c>
      <c r="I458" cm="1">
        <f t="array" ref="I458">_xlfn.STDEV.P(IF(Table1[IndicatorCode]=Table1[[#This Row],[IndicatorCode]],Table1[value]))</f>
        <v>1.1047979755287356</v>
      </c>
      <c r="J458">
        <f>(Table1[[#This Row],[value]] - Table1[[#This Row],[mean]]) / Table1[[#This Row],[std_dev]]</f>
        <v>0.22048351733552002</v>
      </c>
      <c r="K458">
        <f>AVERAGEIF(Table1[CountryCode],Table1[[#This Row],[CountryCode]],Table1[z-score])</f>
        <v>0.40817616735273116</v>
      </c>
      <c r="L458" t="e">
        <f>VLOOKUP(Table1[[#This Row],[CountryCode]],[1]!Table1[#All],1,FALSE)</f>
        <v>#REF!</v>
      </c>
    </row>
    <row r="459" spans="1:12" hidden="1" x14ac:dyDescent="0.3">
      <c r="A459" t="s">
        <v>37</v>
      </c>
      <c r="B459" t="s">
        <v>38</v>
      </c>
      <c r="C459" t="s">
        <v>9</v>
      </c>
      <c r="D459" t="s">
        <v>10</v>
      </c>
      <c r="E459">
        <v>1990</v>
      </c>
      <c r="F459" s="1">
        <v>100</v>
      </c>
      <c r="G459">
        <v>1990</v>
      </c>
      <c r="H459">
        <f>AVERAGEIFS(Table1[value],Table1[IndicatorCode],Table1[[#This Row],[IndicatorCode]])</f>
        <v>99.756410256410263</v>
      </c>
      <c r="I459" cm="1">
        <f t="array" ref="I459">_xlfn.STDEV.P(IF(Table1[IndicatorCode]=Table1[[#This Row],[IndicatorCode]],Table1[value]))</f>
        <v>1.1047979755287356</v>
      </c>
      <c r="J459">
        <f>(Table1[[#This Row],[value]] - Table1[[#This Row],[mean]]) / Table1[[#This Row],[std_dev]]</f>
        <v>0.22048351733552002</v>
      </c>
      <c r="K459">
        <f>AVERAGEIF(Table1[CountryCode],Table1[[#This Row],[CountryCode]],Table1[z-score])</f>
        <v>0.4680674202807556</v>
      </c>
      <c r="L459" t="e">
        <f>VLOOKUP(Table1[[#This Row],[CountryCode]],[1]!Table1[#All],1,FALSE)</f>
        <v>#REF!</v>
      </c>
    </row>
    <row r="460" spans="1:12" hidden="1" x14ac:dyDescent="0.3">
      <c r="A460" t="s">
        <v>37</v>
      </c>
      <c r="B460" t="s">
        <v>38</v>
      </c>
      <c r="C460" t="s">
        <v>9</v>
      </c>
      <c r="D460" t="s">
        <v>10</v>
      </c>
      <c r="E460">
        <v>1991</v>
      </c>
      <c r="F460" s="1">
        <v>100</v>
      </c>
      <c r="G460">
        <v>1990</v>
      </c>
      <c r="H460">
        <f>AVERAGEIFS(Table1[value],Table1[IndicatorCode],Table1[[#This Row],[IndicatorCode]])</f>
        <v>99.756410256410263</v>
      </c>
      <c r="I460" cm="1">
        <f t="array" ref="I460">_xlfn.STDEV.P(IF(Table1[IndicatorCode]=Table1[[#This Row],[IndicatorCode]],Table1[value]))</f>
        <v>1.1047979755287356</v>
      </c>
      <c r="J460">
        <f>(Table1[[#This Row],[value]] - Table1[[#This Row],[mean]]) / Table1[[#This Row],[std_dev]]</f>
        <v>0.22048351733552002</v>
      </c>
      <c r="K460">
        <f>AVERAGEIF(Table1[CountryCode],Table1[[#This Row],[CountryCode]],Table1[z-score])</f>
        <v>0.4680674202807556</v>
      </c>
      <c r="L460" t="e">
        <f>VLOOKUP(Table1[[#This Row],[CountryCode]],[1]!Table1[#All],1,FALSE)</f>
        <v>#REF!</v>
      </c>
    </row>
    <row r="461" spans="1:12" hidden="1" x14ac:dyDescent="0.3">
      <c r="A461" t="s">
        <v>37</v>
      </c>
      <c r="B461" t="s">
        <v>38</v>
      </c>
      <c r="C461" t="s">
        <v>9</v>
      </c>
      <c r="D461" t="s">
        <v>10</v>
      </c>
      <c r="E461">
        <v>1992</v>
      </c>
      <c r="F461" s="1">
        <v>100</v>
      </c>
      <c r="G461">
        <v>1990</v>
      </c>
      <c r="H461">
        <f>AVERAGEIFS(Table1[value],Table1[IndicatorCode],Table1[[#This Row],[IndicatorCode]])</f>
        <v>99.756410256410263</v>
      </c>
      <c r="I461" cm="1">
        <f t="array" ref="I461">_xlfn.STDEV.P(IF(Table1[IndicatorCode]=Table1[[#This Row],[IndicatorCode]],Table1[value]))</f>
        <v>1.1047979755287356</v>
      </c>
      <c r="J461">
        <f>(Table1[[#This Row],[value]] - Table1[[#This Row],[mean]]) / Table1[[#This Row],[std_dev]]</f>
        <v>0.22048351733552002</v>
      </c>
      <c r="K461">
        <f>AVERAGEIF(Table1[CountryCode],Table1[[#This Row],[CountryCode]],Table1[z-score])</f>
        <v>0.4680674202807556</v>
      </c>
      <c r="L461" t="e">
        <f>VLOOKUP(Table1[[#This Row],[CountryCode]],[1]!Table1[#All],1,FALSE)</f>
        <v>#REF!</v>
      </c>
    </row>
    <row r="462" spans="1:12" hidden="1" x14ac:dyDescent="0.3">
      <c r="A462" t="s">
        <v>37</v>
      </c>
      <c r="B462" t="s">
        <v>38</v>
      </c>
      <c r="C462" t="s">
        <v>9</v>
      </c>
      <c r="D462" t="s">
        <v>10</v>
      </c>
      <c r="E462">
        <v>1993</v>
      </c>
      <c r="F462" s="1">
        <v>100</v>
      </c>
      <c r="G462">
        <v>1990</v>
      </c>
      <c r="H462">
        <f>AVERAGEIFS(Table1[value],Table1[IndicatorCode],Table1[[#This Row],[IndicatorCode]])</f>
        <v>99.756410256410263</v>
      </c>
      <c r="I462" cm="1">
        <f t="array" ref="I462">_xlfn.STDEV.P(IF(Table1[IndicatorCode]=Table1[[#This Row],[IndicatorCode]],Table1[value]))</f>
        <v>1.1047979755287356</v>
      </c>
      <c r="J462">
        <f>(Table1[[#This Row],[value]] - Table1[[#This Row],[mean]]) / Table1[[#This Row],[std_dev]]</f>
        <v>0.22048351733552002</v>
      </c>
      <c r="K462">
        <f>AVERAGEIF(Table1[CountryCode],Table1[[#This Row],[CountryCode]],Table1[z-score])</f>
        <v>0.4680674202807556</v>
      </c>
      <c r="L462" t="e">
        <f>VLOOKUP(Table1[[#This Row],[CountryCode]],[1]!Table1[#All],1,FALSE)</f>
        <v>#REF!</v>
      </c>
    </row>
    <row r="463" spans="1:12" hidden="1" x14ac:dyDescent="0.3">
      <c r="A463" t="s">
        <v>37</v>
      </c>
      <c r="B463" t="s">
        <v>38</v>
      </c>
      <c r="C463" t="s">
        <v>9</v>
      </c>
      <c r="D463" t="s">
        <v>10</v>
      </c>
      <c r="E463">
        <v>1994</v>
      </c>
      <c r="F463" s="1">
        <v>100</v>
      </c>
      <c r="G463">
        <v>1990</v>
      </c>
      <c r="H463">
        <f>AVERAGEIFS(Table1[value],Table1[IndicatorCode],Table1[[#This Row],[IndicatorCode]])</f>
        <v>99.756410256410263</v>
      </c>
      <c r="I463" cm="1">
        <f t="array" ref="I463">_xlfn.STDEV.P(IF(Table1[IndicatorCode]=Table1[[#This Row],[IndicatorCode]],Table1[value]))</f>
        <v>1.1047979755287356</v>
      </c>
      <c r="J463">
        <f>(Table1[[#This Row],[value]] - Table1[[#This Row],[mean]]) / Table1[[#This Row],[std_dev]]</f>
        <v>0.22048351733552002</v>
      </c>
      <c r="K463">
        <f>AVERAGEIF(Table1[CountryCode],Table1[[#This Row],[CountryCode]],Table1[z-score])</f>
        <v>0.4680674202807556</v>
      </c>
      <c r="L463" t="e">
        <f>VLOOKUP(Table1[[#This Row],[CountryCode]],[1]!Table1[#All],1,FALSE)</f>
        <v>#REF!</v>
      </c>
    </row>
    <row r="464" spans="1:12" hidden="1" x14ac:dyDescent="0.3">
      <c r="A464" t="s">
        <v>37</v>
      </c>
      <c r="B464" t="s">
        <v>38</v>
      </c>
      <c r="C464" t="s">
        <v>9</v>
      </c>
      <c r="D464" t="s">
        <v>10</v>
      </c>
      <c r="E464">
        <v>1995</v>
      </c>
      <c r="F464" s="1">
        <v>100</v>
      </c>
      <c r="G464">
        <v>1990</v>
      </c>
      <c r="H464">
        <f>AVERAGEIFS(Table1[value],Table1[IndicatorCode],Table1[[#This Row],[IndicatorCode]])</f>
        <v>99.756410256410263</v>
      </c>
      <c r="I464" cm="1">
        <f t="array" ref="I464">_xlfn.STDEV.P(IF(Table1[IndicatorCode]=Table1[[#This Row],[IndicatorCode]],Table1[value]))</f>
        <v>1.1047979755287356</v>
      </c>
      <c r="J464">
        <f>(Table1[[#This Row],[value]] - Table1[[#This Row],[mean]]) / Table1[[#This Row],[std_dev]]</f>
        <v>0.22048351733552002</v>
      </c>
      <c r="K464">
        <f>AVERAGEIF(Table1[CountryCode],Table1[[#This Row],[CountryCode]],Table1[z-score])</f>
        <v>0.4680674202807556</v>
      </c>
      <c r="L464" t="e">
        <f>VLOOKUP(Table1[[#This Row],[CountryCode]],[1]!Table1[#All],1,FALSE)</f>
        <v>#REF!</v>
      </c>
    </row>
    <row r="465" spans="1:12" hidden="1" x14ac:dyDescent="0.3">
      <c r="A465" t="s">
        <v>37</v>
      </c>
      <c r="B465" t="s">
        <v>38</v>
      </c>
      <c r="C465" t="s">
        <v>9</v>
      </c>
      <c r="D465" t="s">
        <v>10</v>
      </c>
      <c r="E465">
        <v>1996</v>
      </c>
      <c r="F465" s="1">
        <v>100</v>
      </c>
      <c r="G465">
        <v>1990</v>
      </c>
      <c r="H465">
        <f>AVERAGEIFS(Table1[value],Table1[IndicatorCode],Table1[[#This Row],[IndicatorCode]])</f>
        <v>99.756410256410263</v>
      </c>
      <c r="I465" cm="1">
        <f t="array" ref="I465">_xlfn.STDEV.P(IF(Table1[IndicatorCode]=Table1[[#This Row],[IndicatorCode]],Table1[value]))</f>
        <v>1.1047979755287356</v>
      </c>
      <c r="J465">
        <f>(Table1[[#This Row],[value]] - Table1[[#This Row],[mean]]) / Table1[[#This Row],[std_dev]]</f>
        <v>0.22048351733552002</v>
      </c>
      <c r="K465">
        <f>AVERAGEIF(Table1[CountryCode],Table1[[#This Row],[CountryCode]],Table1[z-score])</f>
        <v>0.4680674202807556</v>
      </c>
      <c r="L465" t="e">
        <f>VLOOKUP(Table1[[#This Row],[CountryCode]],[1]!Table1[#All],1,FALSE)</f>
        <v>#REF!</v>
      </c>
    </row>
    <row r="466" spans="1:12" hidden="1" x14ac:dyDescent="0.3">
      <c r="A466" t="s">
        <v>37</v>
      </c>
      <c r="B466" t="s">
        <v>38</v>
      </c>
      <c r="C466" t="s">
        <v>9</v>
      </c>
      <c r="D466" t="s">
        <v>10</v>
      </c>
      <c r="E466">
        <v>1997</v>
      </c>
      <c r="F466" s="1">
        <v>100</v>
      </c>
      <c r="G466">
        <v>2000</v>
      </c>
      <c r="H466">
        <f>AVERAGEIFS(Table1[value],Table1[IndicatorCode],Table1[[#This Row],[IndicatorCode]])</f>
        <v>99.756410256410263</v>
      </c>
      <c r="I466" cm="1">
        <f t="array" ref="I466">_xlfn.STDEV.P(IF(Table1[IndicatorCode]=Table1[[#This Row],[IndicatorCode]],Table1[value]))</f>
        <v>1.1047979755287356</v>
      </c>
      <c r="J466">
        <f>(Table1[[#This Row],[value]] - Table1[[#This Row],[mean]]) / Table1[[#This Row],[std_dev]]</f>
        <v>0.22048351733552002</v>
      </c>
      <c r="K466">
        <f>AVERAGEIF(Table1[CountryCode],Table1[[#This Row],[CountryCode]],Table1[z-score])</f>
        <v>0.4680674202807556</v>
      </c>
      <c r="L466" t="e">
        <f>VLOOKUP(Table1[[#This Row],[CountryCode]],[1]!Table1[#All],1,FALSE)</f>
        <v>#REF!</v>
      </c>
    </row>
    <row r="467" spans="1:12" hidden="1" x14ac:dyDescent="0.3">
      <c r="A467" t="s">
        <v>37</v>
      </c>
      <c r="B467" t="s">
        <v>38</v>
      </c>
      <c r="C467" t="s">
        <v>9</v>
      </c>
      <c r="D467" t="s">
        <v>10</v>
      </c>
      <c r="E467">
        <v>1998</v>
      </c>
      <c r="F467" s="1">
        <v>100</v>
      </c>
      <c r="G467">
        <v>2000</v>
      </c>
      <c r="H467">
        <f>AVERAGEIFS(Table1[value],Table1[IndicatorCode],Table1[[#This Row],[IndicatorCode]])</f>
        <v>99.756410256410263</v>
      </c>
      <c r="I467" cm="1">
        <f t="array" ref="I467">_xlfn.STDEV.P(IF(Table1[IndicatorCode]=Table1[[#This Row],[IndicatorCode]],Table1[value]))</f>
        <v>1.1047979755287356</v>
      </c>
      <c r="J467">
        <f>(Table1[[#This Row],[value]] - Table1[[#This Row],[mean]]) / Table1[[#This Row],[std_dev]]</f>
        <v>0.22048351733552002</v>
      </c>
      <c r="K467">
        <f>AVERAGEIF(Table1[CountryCode],Table1[[#This Row],[CountryCode]],Table1[z-score])</f>
        <v>0.4680674202807556</v>
      </c>
      <c r="L467" t="e">
        <f>VLOOKUP(Table1[[#This Row],[CountryCode]],[1]!Table1[#All],1,FALSE)</f>
        <v>#REF!</v>
      </c>
    </row>
    <row r="468" spans="1:12" hidden="1" x14ac:dyDescent="0.3">
      <c r="A468" t="s">
        <v>37</v>
      </c>
      <c r="B468" t="s">
        <v>38</v>
      </c>
      <c r="C468" t="s">
        <v>9</v>
      </c>
      <c r="D468" t="s">
        <v>10</v>
      </c>
      <c r="E468">
        <v>1999</v>
      </c>
      <c r="F468" s="1">
        <v>100</v>
      </c>
      <c r="G468">
        <v>2000</v>
      </c>
      <c r="H468">
        <f>AVERAGEIFS(Table1[value],Table1[IndicatorCode],Table1[[#This Row],[IndicatorCode]])</f>
        <v>99.756410256410263</v>
      </c>
      <c r="I468" cm="1">
        <f t="array" ref="I468">_xlfn.STDEV.P(IF(Table1[IndicatorCode]=Table1[[#This Row],[IndicatorCode]],Table1[value]))</f>
        <v>1.1047979755287356</v>
      </c>
      <c r="J468">
        <f>(Table1[[#This Row],[value]] - Table1[[#This Row],[mean]]) / Table1[[#This Row],[std_dev]]</f>
        <v>0.22048351733552002</v>
      </c>
      <c r="K468">
        <f>AVERAGEIF(Table1[CountryCode],Table1[[#This Row],[CountryCode]],Table1[z-score])</f>
        <v>0.4680674202807556</v>
      </c>
      <c r="L468" t="e">
        <f>VLOOKUP(Table1[[#This Row],[CountryCode]],[1]!Table1[#All],1,FALSE)</f>
        <v>#REF!</v>
      </c>
    </row>
    <row r="469" spans="1:12" hidden="1" x14ac:dyDescent="0.3">
      <c r="A469" t="s">
        <v>37</v>
      </c>
      <c r="B469" t="s">
        <v>38</v>
      </c>
      <c r="C469" t="s">
        <v>9</v>
      </c>
      <c r="D469" t="s">
        <v>10</v>
      </c>
      <c r="E469">
        <v>2000</v>
      </c>
      <c r="F469" s="1">
        <v>100</v>
      </c>
      <c r="G469">
        <v>2000</v>
      </c>
      <c r="H469">
        <f>AVERAGEIFS(Table1[value],Table1[IndicatorCode],Table1[[#This Row],[IndicatorCode]])</f>
        <v>99.756410256410263</v>
      </c>
      <c r="I469" cm="1">
        <f t="array" ref="I469">_xlfn.STDEV.P(IF(Table1[IndicatorCode]=Table1[[#This Row],[IndicatorCode]],Table1[value]))</f>
        <v>1.1047979755287356</v>
      </c>
      <c r="J469">
        <f>(Table1[[#This Row],[value]] - Table1[[#This Row],[mean]]) / Table1[[#This Row],[std_dev]]</f>
        <v>0.22048351733552002</v>
      </c>
      <c r="K469">
        <f>AVERAGEIF(Table1[CountryCode],Table1[[#This Row],[CountryCode]],Table1[z-score])</f>
        <v>0.4680674202807556</v>
      </c>
      <c r="L469" t="e">
        <f>VLOOKUP(Table1[[#This Row],[CountryCode]],[1]!Table1[#All],1,FALSE)</f>
        <v>#REF!</v>
      </c>
    </row>
    <row r="470" spans="1:12" hidden="1" x14ac:dyDescent="0.3">
      <c r="A470" t="s">
        <v>37</v>
      </c>
      <c r="B470" t="s">
        <v>38</v>
      </c>
      <c r="C470" t="s">
        <v>9</v>
      </c>
      <c r="D470" t="s">
        <v>10</v>
      </c>
      <c r="E470">
        <v>2001</v>
      </c>
      <c r="F470" s="1">
        <v>100</v>
      </c>
      <c r="G470">
        <v>2000</v>
      </c>
      <c r="H470">
        <f>AVERAGEIFS(Table1[value],Table1[IndicatorCode],Table1[[#This Row],[IndicatorCode]])</f>
        <v>99.756410256410263</v>
      </c>
      <c r="I470" cm="1">
        <f t="array" ref="I470">_xlfn.STDEV.P(IF(Table1[IndicatorCode]=Table1[[#This Row],[IndicatorCode]],Table1[value]))</f>
        <v>1.1047979755287356</v>
      </c>
      <c r="J470">
        <f>(Table1[[#This Row],[value]] - Table1[[#This Row],[mean]]) / Table1[[#This Row],[std_dev]]</f>
        <v>0.22048351733552002</v>
      </c>
      <c r="K470">
        <f>AVERAGEIF(Table1[CountryCode],Table1[[#This Row],[CountryCode]],Table1[z-score])</f>
        <v>0.4680674202807556</v>
      </c>
      <c r="L470" t="e">
        <f>VLOOKUP(Table1[[#This Row],[CountryCode]],[1]!Table1[#All],1,FALSE)</f>
        <v>#REF!</v>
      </c>
    </row>
    <row r="471" spans="1:12" hidden="1" x14ac:dyDescent="0.3">
      <c r="A471" t="s">
        <v>37</v>
      </c>
      <c r="B471" t="s">
        <v>38</v>
      </c>
      <c r="C471" t="s">
        <v>9</v>
      </c>
      <c r="D471" t="s">
        <v>10</v>
      </c>
      <c r="E471">
        <v>2002</v>
      </c>
      <c r="F471" s="1">
        <v>100</v>
      </c>
      <c r="G471">
        <v>2000</v>
      </c>
      <c r="H471">
        <f>AVERAGEIFS(Table1[value],Table1[IndicatorCode],Table1[[#This Row],[IndicatorCode]])</f>
        <v>99.756410256410263</v>
      </c>
      <c r="I471" cm="1">
        <f t="array" ref="I471">_xlfn.STDEV.P(IF(Table1[IndicatorCode]=Table1[[#This Row],[IndicatorCode]],Table1[value]))</f>
        <v>1.1047979755287356</v>
      </c>
      <c r="J471">
        <f>(Table1[[#This Row],[value]] - Table1[[#This Row],[mean]]) / Table1[[#This Row],[std_dev]]</f>
        <v>0.22048351733552002</v>
      </c>
      <c r="K471">
        <f>AVERAGEIF(Table1[CountryCode],Table1[[#This Row],[CountryCode]],Table1[z-score])</f>
        <v>0.4680674202807556</v>
      </c>
      <c r="L471" t="e">
        <f>VLOOKUP(Table1[[#This Row],[CountryCode]],[1]!Table1[#All],1,FALSE)</f>
        <v>#REF!</v>
      </c>
    </row>
    <row r="472" spans="1:12" hidden="1" x14ac:dyDescent="0.3">
      <c r="A472" t="s">
        <v>37</v>
      </c>
      <c r="B472" t="s">
        <v>38</v>
      </c>
      <c r="C472" t="s">
        <v>9</v>
      </c>
      <c r="D472" t="s">
        <v>10</v>
      </c>
      <c r="E472">
        <v>2003</v>
      </c>
      <c r="F472" s="1">
        <v>100</v>
      </c>
      <c r="G472">
        <v>2000</v>
      </c>
      <c r="H472">
        <f>AVERAGEIFS(Table1[value],Table1[IndicatorCode],Table1[[#This Row],[IndicatorCode]])</f>
        <v>99.756410256410263</v>
      </c>
      <c r="I472" cm="1">
        <f t="array" ref="I472">_xlfn.STDEV.P(IF(Table1[IndicatorCode]=Table1[[#This Row],[IndicatorCode]],Table1[value]))</f>
        <v>1.1047979755287356</v>
      </c>
      <c r="J472">
        <f>(Table1[[#This Row],[value]] - Table1[[#This Row],[mean]]) / Table1[[#This Row],[std_dev]]</f>
        <v>0.22048351733552002</v>
      </c>
      <c r="K472">
        <f>AVERAGEIF(Table1[CountryCode],Table1[[#This Row],[CountryCode]],Table1[z-score])</f>
        <v>0.4680674202807556</v>
      </c>
      <c r="L472" t="e">
        <f>VLOOKUP(Table1[[#This Row],[CountryCode]],[1]!Table1[#All],1,FALSE)</f>
        <v>#REF!</v>
      </c>
    </row>
    <row r="473" spans="1:12" hidden="1" x14ac:dyDescent="0.3">
      <c r="A473" t="s">
        <v>37</v>
      </c>
      <c r="B473" t="s">
        <v>38</v>
      </c>
      <c r="C473" t="s">
        <v>9</v>
      </c>
      <c r="D473" t="s">
        <v>10</v>
      </c>
      <c r="E473">
        <v>2004</v>
      </c>
      <c r="F473" s="1">
        <v>100</v>
      </c>
      <c r="G473">
        <v>2000</v>
      </c>
      <c r="H473">
        <f>AVERAGEIFS(Table1[value],Table1[IndicatorCode],Table1[[#This Row],[IndicatorCode]])</f>
        <v>99.756410256410263</v>
      </c>
      <c r="I473" cm="1">
        <f t="array" ref="I473">_xlfn.STDEV.P(IF(Table1[IndicatorCode]=Table1[[#This Row],[IndicatorCode]],Table1[value]))</f>
        <v>1.1047979755287356</v>
      </c>
      <c r="J473">
        <f>(Table1[[#This Row],[value]] - Table1[[#This Row],[mean]]) / Table1[[#This Row],[std_dev]]</f>
        <v>0.22048351733552002</v>
      </c>
      <c r="K473">
        <f>AVERAGEIF(Table1[CountryCode],Table1[[#This Row],[CountryCode]],Table1[z-score])</f>
        <v>0.4680674202807556</v>
      </c>
      <c r="L473" t="e">
        <f>VLOOKUP(Table1[[#This Row],[CountryCode]],[1]!Table1[#All],1,FALSE)</f>
        <v>#REF!</v>
      </c>
    </row>
    <row r="474" spans="1:12" hidden="1" x14ac:dyDescent="0.3">
      <c r="A474" t="s">
        <v>37</v>
      </c>
      <c r="B474" t="s">
        <v>38</v>
      </c>
      <c r="C474" t="s">
        <v>9</v>
      </c>
      <c r="D474" t="s">
        <v>10</v>
      </c>
      <c r="E474">
        <v>2005</v>
      </c>
      <c r="F474" s="1">
        <v>100</v>
      </c>
      <c r="G474">
        <v>2000</v>
      </c>
      <c r="H474">
        <f>AVERAGEIFS(Table1[value],Table1[IndicatorCode],Table1[[#This Row],[IndicatorCode]])</f>
        <v>99.756410256410263</v>
      </c>
      <c r="I474" cm="1">
        <f t="array" ref="I474">_xlfn.STDEV.P(IF(Table1[IndicatorCode]=Table1[[#This Row],[IndicatorCode]],Table1[value]))</f>
        <v>1.1047979755287356</v>
      </c>
      <c r="J474">
        <f>(Table1[[#This Row],[value]] - Table1[[#This Row],[mean]]) / Table1[[#This Row],[std_dev]]</f>
        <v>0.22048351733552002</v>
      </c>
      <c r="K474">
        <f>AVERAGEIF(Table1[CountryCode],Table1[[#This Row],[CountryCode]],Table1[z-score])</f>
        <v>0.4680674202807556</v>
      </c>
      <c r="L474" t="e">
        <f>VLOOKUP(Table1[[#This Row],[CountryCode]],[1]!Table1[#All],1,FALSE)</f>
        <v>#REF!</v>
      </c>
    </row>
    <row r="475" spans="1:12" hidden="1" x14ac:dyDescent="0.3">
      <c r="A475" t="s">
        <v>37</v>
      </c>
      <c r="B475" t="s">
        <v>38</v>
      </c>
      <c r="C475" t="s">
        <v>9</v>
      </c>
      <c r="D475" t="s">
        <v>10</v>
      </c>
      <c r="E475">
        <v>2006</v>
      </c>
      <c r="F475" s="1">
        <v>100</v>
      </c>
      <c r="G475">
        <v>2000</v>
      </c>
      <c r="H475">
        <f>AVERAGEIFS(Table1[value],Table1[IndicatorCode],Table1[[#This Row],[IndicatorCode]])</f>
        <v>99.756410256410263</v>
      </c>
      <c r="I475" cm="1">
        <f t="array" ref="I475">_xlfn.STDEV.P(IF(Table1[IndicatorCode]=Table1[[#This Row],[IndicatorCode]],Table1[value]))</f>
        <v>1.1047979755287356</v>
      </c>
      <c r="J475">
        <f>(Table1[[#This Row],[value]] - Table1[[#This Row],[mean]]) / Table1[[#This Row],[std_dev]]</f>
        <v>0.22048351733552002</v>
      </c>
      <c r="K475">
        <f>AVERAGEIF(Table1[CountryCode],Table1[[#This Row],[CountryCode]],Table1[z-score])</f>
        <v>0.4680674202807556</v>
      </c>
      <c r="L475" t="e">
        <f>VLOOKUP(Table1[[#This Row],[CountryCode]],[1]!Table1[#All],1,FALSE)</f>
        <v>#REF!</v>
      </c>
    </row>
    <row r="476" spans="1:12" hidden="1" x14ac:dyDescent="0.3">
      <c r="A476" t="s">
        <v>37</v>
      </c>
      <c r="B476" t="s">
        <v>38</v>
      </c>
      <c r="C476" t="s">
        <v>9</v>
      </c>
      <c r="D476" t="s">
        <v>10</v>
      </c>
      <c r="E476">
        <v>2007</v>
      </c>
      <c r="F476" s="1">
        <v>100</v>
      </c>
      <c r="G476">
        <v>2010</v>
      </c>
      <c r="H476">
        <f>AVERAGEIFS(Table1[value],Table1[IndicatorCode],Table1[[#This Row],[IndicatorCode]])</f>
        <v>99.756410256410263</v>
      </c>
      <c r="I476" cm="1">
        <f t="array" ref="I476">_xlfn.STDEV.P(IF(Table1[IndicatorCode]=Table1[[#This Row],[IndicatorCode]],Table1[value]))</f>
        <v>1.1047979755287356</v>
      </c>
      <c r="J476">
        <f>(Table1[[#This Row],[value]] - Table1[[#This Row],[mean]]) / Table1[[#This Row],[std_dev]]</f>
        <v>0.22048351733552002</v>
      </c>
      <c r="K476">
        <f>AVERAGEIF(Table1[CountryCode],Table1[[#This Row],[CountryCode]],Table1[z-score])</f>
        <v>0.4680674202807556</v>
      </c>
      <c r="L476" t="e">
        <f>VLOOKUP(Table1[[#This Row],[CountryCode]],[1]!Table1[#All],1,FALSE)</f>
        <v>#REF!</v>
      </c>
    </row>
    <row r="477" spans="1:12" hidden="1" x14ac:dyDescent="0.3">
      <c r="A477" t="s">
        <v>37</v>
      </c>
      <c r="B477" t="s">
        <v>38</v>
      </c>
      <c r="C477" t="s">
        <v>9</v>
      </c>
      <c r="D477" t="s">
        <v>10</v>
      </c>
      <c r="E477">
        <v>2008</v>
      </c>
      <c r="F477" s="1">
        <v>100</v>
      </c>
      <c r="G477">
        <v>2010</v>
      </c>
      <c r="H477">
        <f>AVERAGEIFS(Table1[value],Table1[IndicatorCode],Table1[[#This Row],[IndicatorCode]])</f>
        <v>99.756410256410263</v>
      </c>
      <c r="I477" cm="1">
        <f t="array" ref="I477">_xlfn.STDEV.P(IF(Table1[IndicatorCode]=Table1[[#This Row],[IndicatorCode]],Table1[value]))</f>
        <v>1.1047979755287356</v>
      </c>
      <c r="J477">
        <f>(Table1[[#This Row],[value]] - Table1[[#This Row],[mean]]) / Table1[[#This Row],[std_dev]]</f>
        <v>0.22048351733552002</v>
      </c>
      <c r="K477">
        <f>AVERAGEIF(Table1[CountryCode],Table1[[#This Row],[CountryCode]],Table1[z-score])</f>
        <v>0.4680674202807556</v>
      </c>
      <c r="L477" t="e">
        <f>VLOOKUP(Table1[[#This Row],[CountryCode]],[1]!Table1[#All],1,FALSE)</f>
        <v>#REF!</v>
      </c>
    </row>
    <row r="478" spans="1:12" hidden="1" x14ac:dyDescent="0.3">
      <c r="A478" t="s">
        <v>37</v>
      </c>
      <c r="B478" t="s">
        <v>38</v>
      </c>
      <c r="C478" t="s">
        <v>9</v>
      </c>
      <c r="D478" t="s">
        <v>10</v>
      </c>
      <c r="E478">
        <v>2009</v>
      </c>
      <c r="F478" s="1">
        <v>100</v>
      </c>
      <c r="G478">
        <v>2010</v>
      </c>
      <c r="H478">
        <f>AVERAGEIFS(Table1[value],Table1[IndicatorCode],Table1[[#This Row],[IndicatorCode]])</f>
        <v>99.756410256410263</v>
      </c>
      <c r="I478" cm="1">
        <f t="array" ref="I478">_xlfn.STDEV.P(IF(Table1[IndicatorCode]=Table1[[#This Row],[IndicatorCode]],Table1[value]))</f>
        <v>1.1047979755287356</v>
      </c>
      <c r="J478">
        <f>(Table1[[#This Row],[value]] - Table1[[#This Row],[mean]]) / Table1[[#This Row],[std_dev]]</f>
        <v>0.22048351733552002</v>
      </c>
      <c r="K478">
        <f>AVERAGEIF(Table1[CountryCode],Table1[[#This Row],[CountryCode]],Table1[z-score])</f>
        <v>0.4680674202807556</v>
      </c>
      <c r="L478" t="e">
        <f>VLOOKUP(Table1[[#This Row],[CountryCode]],[1]!Table1[#All],1,FALSE)</f>
        <v>#REF!</v>
      </c>
    </row>
    <row r="479" spans="1:12" hidden="1" x14ac:dyDescent="0.3">
      <c r="A479" t="s">
        <v>37</v>
      </c>
      <c r="B479" t="s">
        <v>38</v>
      </c>
      <c r="C479" t="s">
        <v>9</v>
      </c>
      <c r="D479" t="s">
        <v>10</v>
      </c>
      <c r="E479">
        <v>2010</v>
      </c>
      <c r="F479" s="1">
        <v>100</v>
      </c>
      <c r="G479">
        <v>2010</v>
      </c>
      <c r="H479">
        <f>AVERAGEIFS(Table1[value],Table1[IndicatorCode],Table1[[#This Row],[IndicatorCode]])</f>
        <v>99.756410256410263</v>
      </c>
      <c r="I479" cm="1">
        <f t="array" ref="I479">_xlfn.STDEV.P(IF(Table1[IndicatorCode]=Table1[[#This Row],[IndicatorCode]],Table1[value]))</f>
        <v>1.1047979755287356</v>
      </c>
      <c r="J479">
        <f>(Table1[[#This Row],[value]] - Table1[[#This Row],[mean]]) / Table1[[#This Row],[std_dev]]</f>
        <v>0.22048351733552002</v>
      </c>
      <c r="K479">
        <f>AVERAGEIF(Table1[CountryCode],Table1[[#This Row],[CountryCode]],Table1[z-score])</f>
        <v>0.4680674202807556</v>
      </c>
      <c r="L479" t="e">
        <f>VLOOKUP(Table1[[#This Row],[CountryCode]],[1]!Table1[#All],1,FALSE)</f>
        <v>#REF!</v>
      </c>
    </row>
    <row r="480" spans="1:12" hidden="1" x14ac:dyDescent="0.3">
      <c r="A480" t="s">
        <v>37</v>
      </c>
      <c r="B480" t="s">
        <v>38</v>
      </c>
      <c r="C480" t="s">
        <v>9</v>
      </c>
      <c r="D480" t="s">
        <v>10</v>
      </c>
      <c r="E480">
        <v>2011</v>
      </c>
      <c r="F480" s="1">
        <v>100</v>
      </c>
      <c r="G480">
        <v>2010</v>
      </c>
      <c r="H480">
        <f>AVERAGEIFS(Table1[value],Table1[IndicatorCode],Table1[[#This Row],[IndicatorCode]])</f>
        <v>99.756410256410263</v>
      </c>
      <c r="I480" cm="1">
        <f t="array" ref="I480">_xlfn.STDEV.P(IF(Table1[IndicatorCode]=Table1[[#This Row],[IndicatorCode]],Table1[value]))</f>
        <v>1.1047979755287356</v>
      </c>
      <c r="J480">
        <f>(Table1[[#This Row],[value]] - Table1[[#This Row],[mean]]) / Table1[[#This Row],[std_dev]]</f>
        <v>0.22048351733552002</v>
      </c>
      <c r="K480">
        <f>AVERAGEIF(Table1[CountryCode],Table1[[#This Row],[CountryCode]],Table1[z-score])</f>
        <v>0.4680674202807556</v>
      </c>
      <c r="L480" t="e">
        <f>VLOOKUP(Table1[[#This Row],[CountryCode]],[1]!Table1[#All],1,FALSE)</f>
        <v>#REF!</v>
      </c>
    </row>
    <row r="481" spans="1:12" hidden="1" x14ac:dyDescent="0.3">
      <c r="A481" t="s">
        <v>37</v>
      </c>
      <c r="B481" t="s">
        <v>38</v>
      </c>
      <c r="C481" t="s">
        <v>9</v>
      </c>
      <c r="D481" t="s">
        <v>10</v>
      </c>
      <c r="E481">
        <v>2012</v>
      </c>
      <c r="F481" s="1">
        <v>100</v>
      </c>
      <c r="G481">
        <v>2010</v>
      </c>
      <c r="H481">
        <f>AVERAGEIFS(Table1[value],Table1[IndicatorCode],Table1[[#This Row],[IndicatorCode]])</f>
        <v>99.756410256410263</v>
      </c>
      <c r="I481" cm="1">
        <f t="array" ref="I481">_xlfn.STDEV.P(IF(Table1[IndicatorCode]=Table1[[#This Row],[IndicatorCode]],Table1[value]))</f>
        <v>1.1047979755287356</v>
      </c>
      <c r="J481">
        <f>(Table1[[#This Row],[value]] - Table1[[#This Row],[mean]]) / Table1[[#This Row],[std_dev]]</f>
        <v>0.22048351733552002</v>
      </c>
      <c r="K481">
        <f>AVERAGEIF(Table1[CountryCode],Table1[[#This Row],[CountryCode]],Table1[z-score])</f>
        <v>0.4680674202807556</v>
      </c>
      <c r="L481" t="e">
        <f>VLOOKUP(Table1[[#This Row],[CountryCode]],[1]!Table1[#All],1,FALSE)</f>
        <v>#REF!</v>
      </c>
    </row>
    <row r="482" spans="1:12" hidden="1" x14ac:dyDescent="0.3">
      <c r="A482" t="s">
        <v>37</v>
      </c>
      <c r="B482" t="s">
        <v>38</v>
      </c>
      <c r="C482" t="s">
        <v>9</v>
      </c>
      <c r="D482" t="s">
        <v>10</v>
      </c>
      <c r="E482">
        <v>2013</v>
      </c>
      <c r="F482" s="1">
        <v>100</v>
      </c>
      <c r="G482">
        <v>2010</v>
      </c>
      <c r="H482">
        <f>AVERAGEIFS(Table1[value],Table1[IndicatorCode],Table1[[#This Row],[IndicatorCode]])</f>
        <v>99.756410256410263</v>
      </c>
      <c r="I482" cm="1">
        <f t="array" ref="I482">_xlfn.STDEV.P(IF(Table1[IndicatorCode]=Table1[[#This Row],[IndicatorCode]],Table1[value]))</f>
        <v>1.1047979755287356</v>
      </c>
      <c r="J482">
        <f>(Table1[[#This Row],[value]] - Table1[[#This Row],[mean]]) / Table1[[#This Row],[std_dev]]</f>
        <v>0.22048351733552002</v>
      </c>
      <c r="K482">
        <f>AVERAGEIF(Table1[CountryCode],Table1[[#This Row],[CountryCode]],Table1[z-score])</f>
        <v>0.4680674202807556</v>
      </c>
      <c r="L482" t="e">
        <f>VLOOKUP(Table1[[#This Row],[CountryCode]],[1]!Table1[#All],1,FALSE)</f>
        <v>#REF!</v>
      </c>
    </row>
    <row r="483" spans="1:12" hidden="1" x14ac:dyDescent="0.3">
      <c r="A483" t="s">
        <v>37</v>
      </c>
      <c r="B483" t="s">
        <v>38</v>
      </c>
      <c r="C483" t="s">
        <v>9</v>
      </c>
      <c r="D483" t="s">
        <v>10</v>
      </c>
      <c r="E483">
        <v>2014</v>
      </c>
      <c r="F483" s="1">
        <v>100</v>
      </c>
      <c r="G483">
        <v>2010</v>
      </c>
      <c r="H483">
        <f>AVERAGEIFS(Table1[value],Table1[IndicatorCode],Table1[[#This Row],[IndicatorCode]])</f>
        <v>99.756410256410263</v>
      </c>
      <c r="I483" cm="1">
        <f t="array" ref="I483">_xlfn.STDEV.P(IF(Table1[IndicatorCode]=Table1[[#This Row],[IndicatorCode]],Table1[value]))</f>
        <v>1.1047979755287356</v>
      </c>
      <c r="J483">
        <f>(Table1[[#This Row],[value]] - Table1[[#This Row],[mean]]) / Table1[[#This Row],[std_dev]]</f>
        <v>0.22048351733552002</v>
      </c>
      <c r="K483">
        <f>AVERAGEIF(Table1[CountryCode],Table1[[#This Row],[CountryCode]],Table1[z-score])</f>
        <v>0.4680674202807556</v>
      </c>
      <c r="L483" t="e">
        <f>VLOOKUP(Table1[[#This Row],[CountryCode]],[1]!Table1[#All],1,FALSE)</f>
        <v>#REF!</v>
      </c>
    </row>
    <row r="484" spans="1:12" hidden="1" x14ac:dyDescent="0.3">
      <c r="A484" t="s">
        <v>37</v>
      </c>
      <c r="B484" t="s">
        <v>38</v>
      </c>
      <c r="C484" t="s">
        <v>9</v>
      </c>
      <c r="D484" t="s">
        <v>10</v>
      </c>
      <c r="E484">
        <v>2015</v>
      </c>
      <c r="F484" s="1">
        <v>100</v>
      </c>
      <c r="G484">
        <v>2010</v>
      </c>
      <c r="H484">
        <f>AVERAGEIFS(Table1[value],Table1[IndicatorCode],Table1[[#This Row],[IndicatorCode]])</f>
        <v>99.756410256410263</v>
      </c>
      <c r="I484" cm="1">
        <f t="array" ref="I484">_xlfn.STDEV.P(IF(Table1[IndicatorCode]=Table1[[#This Row],[IndicatorCode]],Table1[value]))</f>
        <v>1.1047979755287356</v>
      </c>
      <c r="J484">
        <f>(Table1[[#This Row],[value]] - Table1[[#This Row],[mean]]) / Table1[[#This Row],[std_dev]]</f>
        <v>0.22048351733552002</v>
      </c>
      <c r="K484">
        <f>AVERAGEIF(Table1[CountryCode],Table1[[#This Row],[CountryCode]],Table1[z-score])</f>
        <v>0.4680674202807556</v>
      </c>
      <c r="L484" t="e">
        <f>VLOOKUP(Table1[[#This Row],[CountryCode]],[1]!Table1[#All],1,FALSE)</f>
        <v>#REF!</v>
      </c>
    </row>
    <row r="485" spans="1:12" hidden="1" x14ac:dyDescent="0.3">
      <c r="A485" t="s">
        <v>37</v>
      </c>
      <c r="B485" t="s">
        <v>38</v>
      </c>
      <c r="C485" t="s">
        <v>9</v>
      </c>
      <c r="D485" t="s">
        <v>10</v>
      </c>
      <c r="E485">
        <v>2016</v>
      </c>
      <c r="F485" s="1">
        <v>100</v>
      </c>
      <c r="G485">
        <v>2010</v>
      </c>
      <c r="H485">
        <f>AVERAGEIFS(Table1[value],Table1[IndicatorCode],Table1[[#This Row],[IndicatorCode]])</f>
        <v>99.756410256410263</v>
      </c>
      <c r="I485" cm="1">
        <f t="array" ref="I485">_xlfn.STDEV.P(IF(Table1[IndicatorCode]=Table1[[#This Row],[IndicatorCode]],Table1[value]))</f>
        <v>1.1047979755287356</v>
      </c>
      <c r="J485">
        <f>(Table1[[#This Row],[value]] - Table1[[#This Row],[mean]]) / Table1[[#This Row],[std_dev]]</f>
        <v>0.22048351733552002</v>
      </c>
      <c r="K485">
        <f>AVERAGEIF(Table1[CountryCode],Table1[[#This Row],[CountryCode]],Table1[z-score])</f>
        <v>0.4680674202807556</v>
      </c>
      <c r="L485" t="e">
        <f>VLOOKUP(Table1[[#This Row],[CountryCode]],[1]!Table1[#All],1,FALSE)</f>
        <v>#REF!</v>
      </c>
    </row>
    <row r="486" spans="1:12" hidden="1" x14ac:dyDescent="0.3">
      <c r="A486" t="s">
        <v>37</v>
      </c>
      <c r="B486" t="s">
        <v>38</v>
      </c>
      <c r="C486" t="s">
        <v>9</v>
      </c>
      <c r="D486" t="s">
        <v>10</v>
      </c>
      <c r="E486">
        <v>2017</v>
      </c>
      <c r="F486" s="1">
        <v>100</v>
      </c>
      <c r="G486">
        <v>2020</v>
      </c>
      <c r="H486">
        <f>AVERAGEIFS(Table1[value],Table1[IndicatorCode],Table1[[#This Row],[IndicatorCode]])</f>
        <v>99.756410256410263</v>
      </c>
      <c r="I486" cm="1">
        <f t="array" ref="I486">_xlfn.STDEV.P(IF(Table1[IndicatorCode]=Table1[[#This Row],[IndicatorCode]],Table1[value]))</f>
        <v>1.1047979755287356</v>
      </c>
      <c r="J486">
        <f>(Table1[[#This Row],[value]] - Table1[[#This Row],[mean]]) / Table1[[#This Row],[std_dev]]</f>
        <v>0.22048351733552002</v>
      </c>
      <c r="K486">
        <f>AVERAGEIF(Table1[CountryCode],Table1[[#This Row],[CountryCode]],Table1[z-score])</f>
        <v>0.4680674202807556</v>
      </c>
      <c r="L486" t="e">
        <f>VLOOKUP(Table1[[#This Row],[CountryCode]],[1]!Table1[#All],1,FALSE)</f>
        <v>#REF!</v>
      </c>
    </row>
    <row r="487" spans="1:12" hidden="1" x14ac:dyDescent="0.3">
      <c r="A487" t="s">
        <v>37</v>
      </c>
      <c r="B487" t="s">
        <v>38</v>
      </c>
      <c r="C487" t="s">
        <v>9</v>
      </c>
      <c r="D487" t="s">
        <v>10</v>
      </c>
      <c r="E487">
        <v>2018</v>
      </c>
      <c r="F487" s="1">
        <v>100</v>
      </c>
      <c r="G487">
        <v>2020</v>
      </c>
      <c r="H487">
        <f>AVERAGEIFS(Table1[value],Table1[IndicatorCode],Table1[[#This Row],[IndicatorCode]])</f>
        <v>99.756410256410263</v>
      </c>
      <c r="I487" cm="1">
        <f t="array" ref="I487">_xlfn.STDEV.P(IF(Table1[IndicatorCode]=Table1[[#This Row],[IndicatorCode]],Table1[value]))</f>
        <v>1.1047979755287356</v>
      </c>
      <c r="J487">
        <f>(Table1[[#This Row],[value]] - Table1[[#This Row],[mean]]) / Table1[[#This Row],[std_dev]]</f>
        <v>0.22048351733552002</v>
      </c>
      <c r="K487">
        <f>AVERAGEIF(Table1[CountryCode],Table1[[#This Row],[CountryCode]],Table1[z-score])</f>
        <v>0.4680674202807556</v>
      </c>
      <c r="L487" t="e">
        <f>VLOOKUP(Table1[[#This Row],[CountryCode]],[1]!Table1[#All],1,FALSE)</f>
        <v>#REF!</v>
      </c>
    </row>
    <row r="488" spans="1:12" hidden="1" x14ac:dyDescent="0.3">
      <c r="A488" t="s">
        <v>37</v>
      </c>
      <c r="B488" t="s">
        <v>38</v>
      </c>
      <c r="C488" t="s">
        <v>9</v>
      </c>
      <c r="D488" t="s">
        <v>10</v>
      </c>
      <c r="E488">
        <v>2019</v>
      </c>
      <c r="F488" s="1">
        <v>100</v>
      </c>
      <c r="G488">
        <v>2020</v>
      </c>
      <c r="H488">
        <f>AVERAGEIFS(Table1[value],Table1[IndicatorCode],Table1[[#This Row],[IndicatorCode]])</f>
        <v>99.756410256410263</v>
      </c>
      <c r="I488" cm="1">
        <f t="array" ref="I488">_xlfn.STDEV.P(IF(Table1[IndicatorCode]=Table1[[#This Row],[IndicatorCode]],Table1[value]))</f>
        <v>1.1047979755287356</v>
      </c>
      <c r="J488">
        <f>(Table1[[#This Row],[value]] - Table1[[#This Row],[mean]]) / Table1[[#This Row],[std_dev]]</f>
        <v>0.22048351733552002</v>
      </c>
      <c r="K488">
        <f>AVERAGEIF(Table1[CountryCode],Table1[[#This Row],[CountryCode]],Table1[z-score])</f>
        <v>0.4680674202807556</v>
      </c>
      <c r="L488" t="e">
        <f>VLOOKUP(Table1[[#This Row],[CountryCode]],[1]!Table1[#All],1,FALSE)</f>
        <v>#REF!</v>
      </c>
    </row>
    <row r="489" spans="1:12" x14ac:dyDescent="0.3">
      <c r="A489" t="s">
        <v>37</v>
      </c>
      <c r="B489" t="s">
        <v>38</v>
      </c>
      <c r="C489" t="s">
        <v>9</v>
      </c>
      <c r="D489" t="s">
        <v>10</v>
      </c>
      <c r="E489">
        <v>2020</v>
      </c>
      <c r="F489" s="1">
        <v>100</v>
      </c>
      <c r="G489">
        <v>2020</v>
      </c>
      <c r="H489">
        <f>AVERAGEIFS(Table1[value],Table1[IndicatorCode],Table1[[#This Row],[IndicatorCode]])</f>
        <v>99.756410256410263</v>
      </c>
      <c r="I489" cm="1">
        <f t="array" ref="I489">_xlfn.STDEV.P(IF(Table1[IndicatorCode]=Table1[[#This Row],[IndicatorCode]],Table1[value]))</f>
        <v>1.1047979755287356</v>
      </c>
      <c r="J489">
        <f>(Table1[[#This Row],[value]] - Table1[[#This Row],[mean]]) / Table1[[#This Row],[std_dev]]</f>
        <v>0.22048351733552002</v>
      </c>
      <c r="K489">
        <f>AVERAGEIF(Table1[CountryCode],Table1[[#This Row],[CountryCode]],Table1[z-score])</f>
        <v>0.4680674202807556</v>
      </c>
    </row>
    <row r="490" spans="1:12" hidden="1" x14ac:dyDescent="0.3">
      <c r="A490" t="s">
        <v>37</v>
      </c>
      <c r="B490" t="s">
        <v>38</v>
      </c>
      <c r="C490" t="s">
        <v>9</v>
      </c>
      <c r="D490" t="s">
        <v>10</v>
      </c>
      <c r="E490">
        <v>2021</v>
      </c>
      <c r="F490" s="1">
        <v>100</v>
      </c>
      <c r="G490">
        <v>1990</v>
      </c>
      <c r="H490">
        <f>AVERAGEIFS(Table1[value],Table1[IndicatorCode],Table1[[#This Row],[IndicatorCode]])</f>
        <v>99.756410256410263</v>
      </c>
      <c r="I490" cm="1">
        <f t="array" ref="I490">_xlfn.STDEV.P(IF(Table1[IndicatorCode]=Table1[[#This Row],[IndicatorCode]],Table1[value]))</f>
        <v>1.1047979755287356</v>
      </c>
      <c r="J490">
        <f>(Table1[[#This Row],[value]] - Table1[[#This Row],[mean]]) / Table1[[#This Row],[std_dev]]</f>
        <v>0.22048351733552002</v>
      </c>
      <c r="K490">
        <f>AVERAGEIF(Table1[CountryCode],Table1[[#This Row],[CountryCode]],Table1[z-score])</f>
        <v>0.4680674202807556</v>
      </c>
      <c r="L490" t="e">
        <f>VLOOKUP(Table1[[#This Row],[CountryCode]],[1]!Table1[#All],1,FALSE)</f>
        <v>#REF!</v>
      </c>
    </row>
    <row r="491" spans="1:12" hidden="1" x14ac:dyDescent="0.3">
      <c r="A491" t="s">
        <v>37</v>
      </c>
      <c r="B491" t="s">
        <v>38</v>
      </c>
      <c r="C491" t="s">
        <v>9</v>
      </c>
      <c r="D491" t="s">
        <v>10</v>
      </c>
      <c r="E491">
        <v>2022</v>
      </c>
      <c r="F491" s="1">
        <v>100</v>
      </c>
      <c r="G491">
        <v>1990</v>
      </c>
      <c r="H491">
        <f>AVERAGEIFS(Table1[value],Table1[IndicatorCode],Table1[[#This Row],[IndicatorCode]])</f>
        <v>99.756410256410263</v>
      </c>
      <c r="I491" cm="1">
        <f t="array" ref="I491">_xlfn.STDEV.P(IF(Table1[IndicatorCode]=Table1[[#This Row],[IndicatorCode]],Table1[value]))</f>
        <v>1.1047979755287356</v>
      </c>
      <c r="J491">
        <f>(Table1[[#This Row],[value]] - Table1[[#This Row],[mean]]) / Table1[[#This Row],[std_dev]]</f>
        <v>0.22048351733552002</v>
      </c>
      <c r="K491">
        <f>AVERAGEIF(Table1[CountryCode],Table1[[#This Row],[CountryCode]],Table1[z-score])</f>
        <v>0.4680674202807556</v>
      </c>
      <c r="L491" t="e">
        <f>VLOOKUP(Table1[[#This Row],[CountryCode]],[1]!Table1[#All],1,FALSE)</f>
        <v>#REF!</v>
      </c>
    </row>
    <row r="492" spans="1:12" hidden="1" x14ac:dyDescent="0.3">
      <c r="A492" t="s">
        <v>37</v>
      </c>
      <c r="B492" t="s">
        <v>38</v>
      </c>
      <c r="C492" t="s">
        <v>9</v>
      </c>
      <c r="D492" t="s">
        <v>10</v>
      </c>
      <c r="E492">
        <v>2023</v>
      </c>
      <c r="F492" s="1">
        <v>100</v>
      </c>
      <c r="G492">
        <v>1990</v>
      </c>
      <c r="H492">
        <f>AVERAGEIFS(Table1[value],Table1[IndicatorCode],Table1[[#This Row],[IndicatorCode]])</f>
        <v>99.756410256410263</v>
      </c>
      <c r="I492" cm="1">
        <f t="array" ref="I492">_xlfn.STDEV.P(IF(Table1[IndicatorCode]=Table1[[#This Row],[IndicatorCode]],Table1[value]))</f>
        <v>1.1047979755287356</v>
      </c>
      <c r="J492">
        <f>(Table1[[#This Row],[value]] - Table1[[#This Row],[mean]]) / Table1[[#This Row],[std_dev]]</f>
        <v>0.22048351733552002</v>
      </c>
      <c r="K492">
        <f>AVERAGEIF(Table1[CountryCode],Table1[[#This Row],[CountryCode]],Table1[z-score])</f>
        <v>0.4680674202807556</v>
      </c>
      <c r="L492" t="e">
        <f>VLOOKUP(Table1[[#This Row],[CountryCode]],[1]!Table1[#All],1,FALSE)</f>
        <v>#REF!</v>
      </c>
    </row>
    <row r="493" spans="1:12" hidden="1" x14ac:dyDescent="0.3">
      <c r="A493" t="s">
        <v>39</v>
      </c>
      <c r="B493" t="s">
        <v>40</v>
      </c>
      <c r="C493" t="s">
        <v>9</v>
      </c>
      <c r="D493" t="s">
        <v>10</v>
      </c>
      <c r="E493">
        <v>1990</v>
      </c>
      <c r="F493" s="1">
        <v>100</v>
      </c>
      <c r="G493">
        <v>1990</v>
      </c>
      <c r="H493">
        <f>AVERAGEIFS(Table1[value],Table1[IndicatorCode],Table1[[#This Row],[IndicatorCode]])</f>
        <v>99.756410256410263</v>
      </c>
      <c r="I493" cm="1">
        <f t="array" ref="I493">_xlfn.STDEV.P(IF(Table1[IndicatorCode]=Table1[[#This Row],[IndicatorCode]],Table1[value]))</f>
        <v>1.1047979755287356</v>
      </c>
      <c r="J493">
        <f>(Table1[[#This Row],[value]] - Table1[[#This Row],[mean]]) / Table1[[#This Row],[std_dev]]</f>
        <v>0.22048351733552002</v>
      </c>
      <c r="K493">
        <f>AVERAGEIF(Table1[CountryCode],Table1[[#This Row],[CountryCode]],Table1[z-score])</f>
        <v>9.5615861938696506E-2</v>
      </c>
      <c r="L493" t="e">
        <f>VLOOKUP(Table1[[#This Row],[CountryCode]],[1]!Table1[#All],1,FALSE)</f>
        <v>#REF!</v>
      </c>
    </row>
    <row r="494" spans="1:12" hidden="1" x14ac:dyDescent="0.3">
      <c r="A494" t="s">
        <v>39</v>
      </c>
      <c r="B494" t="s">
        <v>40</v>
      </c>
      <c r="C494" t="s">
        <v>9</v>
      </c>
      <c r="D494" t="s">
        <v>10</v>
      </c>
      <c r="E494">
        <v>1991</v>
      </c>
      <c r="F494" s="1">
        <v>100</v>
      </c>
      <c r="G494">
        <v>1990</v>
      </c>
      <c r="H494">
        <f>AVERAGEIFS(Table1[value],Table1[IndicatorCode],Table1[[#This Row],[IndicatorCode]])</f>
        <v>99.756410256410263</v>
      </c>
      <c r="I494" cm="1">
        <f t="array" ref="I494">_xlfn.STDEV.P(IF(Table1[IndicatorCode]=Table1[[#This Row],[IndicatorCode]],Table1[value]))</f>
        <v>1.1047979755287356</v>
      </c>
      <c r="J494">
        <f>(Table1[[#This Row],[value]] - Table1[[#This Row],[mean]]) / Table1[[#This Row],[std_dev]]</f>
        <v>0.22048351733552002</v>
      </c>
      <c r="K494">
        <f>AVERAGEIF(Table1[CountryCode],Table1[[#This Row],[CountryCode]],Table1[z-score])</f>
        <v>9.5615861938696506E-2</v>
      </c>
      <c r="L494" t="e">
        <f>VLOOKUP(Table1[[#This Row],[CountryCode]],[1]!Table1[#All],1,FALSE)</f>
        <v>#REF!</v>
      </c>
    </row>
    <row r="495" spans="1:12" hidden="1" x14ac:dyDescent="0.3">
      <c r="A495" t="s">
        <v>39</v>
      </c>
      <c r="B495" t="s">
        <v>40</v>
      </c>
      <c r="C495" t="s">
        <v>9</v>
      </c>
      <c r="D495" t="s">
        <v>10</v>
      </c>
      <c r="E495">
        <v>1992</v>
      </c>
      <c r="F495" s="1">
        <v>100</v>
      </c>
      <c r="G495">
        <v>1990</v>
      </c>
      <c r="H495">
        <f>AVERAGEIFS(Table1[value],Table1[IndicatorCode],Table1[[#This Row],[IndicatorCode]])</f>
        <v>99.756410256410263</v>
      </c>
      <c r="I495" cm="1">
        <f t="array" ref="I495">_xlfn.STDEV.P(IF(Table1[IndicatorCode]=Table1[[#This Row],[IndicatorCode]],Table1[value]))</f>
        <v>1.1047979755287356</v>
      </c>
      <c r="J495">
        <f>(Table1[[#This Row],[value]] - Table1[[#This Row],[mean]]) / Table1[[#This Row],[std_dev]]</f>
        <v>0.22048351733552002</v>
      </c>
      <c r="K495">
        <f>AVERAGEIF(Table1[CountryCode],Table1[[#This Row],[CountryCode]],Table1[z-score])</f>
        <v>9.5615861938696506E-2</v>
      </c>
      <c r="L495" t="e">
        <f>VLOOKUP(Table1[[#This Row],[CountryCode]],[1]!Table1[#All],1,FALSE)</f>
        <v>#REF!</v>
      </c>
    </row>
    <row r="496" spans="1:12" hidden="1" x14ac:dyDescent="0.3">
      <c r="A496" t="s">
        <v>39</v>
      </c>
      <c r="B496" t="s">
        <v>40</v>
      </c>
      <c r="C496" t="s">
        <v>9</v>
      </c>
      <c r="D496" t="s">
        <v>10</v>
      </c>
      <c r="E496">
        <v>1993</v>
      </c>
      <c r="F496" s="1">
        <v>100</v>
      </c>
      <c r="G496">
        <v>1990</v>
      </c>
      <c r="H496">
        <f>AVERAGEIFS(Table1[value],Table1[IndicatorCode],Table1[[#This Row],[IndicatorCode]])</f>
        <v>99.756410256410263</v>
      </c>
      <c r="I496" cm="1">
        <f t="array" ref="I496">_xlfn.STDEV.P(IF(Table1[IndicatorCode]=Table1[[#This Row],[IndicatorCode]],Table1[value]))</f>
        <v>1.1047979755287356</v>
      </c>
      <c r="J496">
        <f>(Table1[[#This Row],[value]] - Table1[[#This Row],[mean]]) / Table1[[#This Row],[std_dev]]</f>
        <v>0.22048351733552002</v>
      </c>
      <c r="K496">
        <f>AVERAGEIF(Table1[CountryCode],Table1[[#This Row],[CountryCode]],Table1[z-score])</f>
        <v>9.5615861938696506E-2</v>
      </c>
      <c r="L496" t="e">
        <f>VLOOKUP(Table1[[#This Row],[CountryCode]],[1]!Table1[#All],1,FALSE)</f>
        <v>#REF!</v>
      </c>
    </row>
    <row r="497" spans="1:12" hidden="1" x14ac:dyDescent="0.3">
      <c r="A497" t="s">
        <v>39</v>
      </c>
      <c r="B497" t="s">
        <v>40</v>
      </c>
      <c r="C497" t="s">
        <v>9</v>
      </c>
      <c r="D497" t="s">
        <v>10</v>
      </c>
      <c r="E497">
        <v>1994</v>
      </c>
      <c r="F497" s="1">
        <v>100</v>
      </c>
      <c r="G497">
        <v>1990</v>
      </c>
      <c r="H497">
        <f>AVERAGEIFS(Table1[value],Table1[IndicatorCode],Table1[[#This Row],[IndicatorCode]])</f>
        <v>99.756410256410263</v>
      </c>
      <c r="I497" cm="1">
        <f t="array" ref="I497">_xlfn.STDEV.P(IF(Table1[IndicatorCode]=Table1[[#This Row],[IndicatorCode]],Table1[value]))</f>
        <v>1.1047979755287356</v>
      </c>
      <c r="J497">
        <f>(Table1[[#This Row],[value]] - Table1[[#This Row],[mean]]) / Table1[[#This Row],[std_dev]]</f>
        <v>0.22048351733552002</v>
      </c>
      <c r="K497">
        <f>AVERAGEIF(Table1[CountryCode],Table1[[#This Row],[CountryCode]],Table1[z-score])</f>
        <v>9.5615861938696506E-2</v>
      </c>
      <c r="L497" t="e">
        <f>VLOOKUP(Table1[[#This Row],[CountryCode]],[1]!Table1[#All],1,FALSE)</f>
        <v>#REF!</v>
      </c>
    </row>
    <row r="498" spans="1:12" hidden="1" x14ac:dyDescent="0.3">
      <c r="A498" t="s">
        <v>39</v>
      </c>
      <c r="B498" t="s">
        <v>40</v>
      </c>
      <c r="C498" t="s">
        <v>9</v>
      </c>
      <c r="D498" t="s">
        <v>10</v>
      </c>
      <c r="E498">
        <v>1995</v>
      </c>
      <c r="F498" s="1">
        <v>100</v>
      </c>
      <c r="G498">
        <v>1990</v>
      </c>
      <c r="H498">
        <f>AVERAGEIFS(Table1[value],Table1[IndicatorCode],Table1[[#This Row],[IndicatorCode]])</f>
        <v>99.756410256410263</v>
      </c>
      <c r="I498" cm="1">
        <f t="array" ref="I498">_xlfn.STDEV.P(IF(Table1[IndicatorCode]=Table1[[#This Row],[IndicatorCode]],Table1[value]))</f>
        <v>1.1047979755287356</v>
      </c>
      <c r="J498">
        <f>(Table1[[#This Row],[value]] - Table1[[#This Row],[mean]]) / Table1[[#This Row],[std_dev]]</f>
        <v>0.22048351733552002</v>
      </c>
      <c r="K498">
        <f>AVERAGEIF(Table1[CountryCode],Table1[[#This Row],[CountryCode]],Table1[z-score])</f>
        <v>9.5615861938696506E-2</v>
      </c>
      <c r="L498" t="e">
        <f>VLOOKUP(Table1[[#This Row],[CountryCode]],[1]!Table1[#All],1,FALSE)</f>
        <v>#REF!</v>
      </c>
    </row>
    <row r="499" spans="1:12" hidden="1" x14ac:dyDescent="0.3">
      <c r="A499" t="s">
        <v>39</v>
      </c>
      <c r="B499" t="s">
        <v>40</v>
      </c>
      <c r="C499" t="s">
        <v>9</v>
      </c>
      <c r="D499" t="s">
        <v>10</v>
      </c>
      <c r="E499">
        <v>1996</v>
      </c>
      <c r="F499" s="1">
        <v>100</v>
      </c>
      <c r="G499">
        <v>1990</v>
      </c>
      <c r="H499">
        <f>AVERAGEIFS(Table1[value],Table1[IndicatorCode],Table1[[#This Row],[IndicatorCode]])</f>
        <v>99.756410256410263</v>
      </c>
      <c r="I499" cm="1">
        <f t="array" ref="I499">_xlfn.STDEV.P(IF(Table1[IndicatorCode]=Table1[[#This Row],[IndicatorCode]],Table1[value]))</f>
        <v>1.1047979755287356</v>
      </c>
      <c r="J499">
        <f>(Table1[[#This Row],[value]] - Table1[[#This Row],[mean]]) / Table1[[#This Row],[std_dev]]</f>
        <v>0.22048351733552002</v>
      </c>
      <c r="K499">
        <f>AVERAGEIF(Table1[CountryCode],Table1[[#This Row],[CountryCode]],Table1[z-score])</f>
        <v>9.5615861938696506E-2</v>
      </c>
      <c r="L499" t="e">
        <f>VLOOKUP(Table1[[#This Row],[CountryCode]],[1]!Table1[#All],1,FALSE)</f>
        <v>#REF!</v>
      </c>
    </row>
    <row r="500" spans="1:12" hidden="1" x14ac:dyDescent="0.3">
      <c r="A500" t="s">
        <v>39</v>
      </c>
      <c r="B500" t="s">
        <v>40</v>
      </c>
      <c r="C500" t="s">
        <v>9</v>
      </c>
      <c r="D500" t="s">
        <v>10</v>
      </c>
      <c r="E500">
        <v>1997</v>
      </c>
      <c r="F500" s="1">
        <v>100</v>
      </c>
      <c r="G500">
        <v>2000</v>
      </c>
      <c r="H500">
        <f>AVERAGEIFS(Table1[value],Table1[IndicatorCode],Table1[[#This Row],[IndicatorCode]])</f>
        <v>99.756410256410263</v>
      </c>
      <c r="I500" cm="1">
        <f t="array" ref="I500">_xlfn.STDEV.P(IF(Table1[IndicatorCode]=Table1[[#This Row],[IndicatorCode]],Table1[value]))</f>
        <v>1.1047979755287356</v>
      </c>
      <c r="J500">
        <f>(Table1[[#This Row],[value]] - Table1[[#This Row],[mean]]) / Table1[[#This Row],[std_dev]]</f>
        <v>0.22048351733552002</v>
      </c>
      <c r="K500">
        <f>AVERAGEIF(Table1[CountryCode],Table1[[#This Row],[CountryCode]],Table1[z-score])</f>
        <v>9.5615861938696506E-2</v>
      </c>
      <c r="L500" t="e">
        <f>VLOOKUP(Table1[[#This Row],[CountryCode]],[1]!Table1[#All],1,FALSE)</f>
        <v>#REF!</v>
      </c>
    </row>
    <row r="501" spans="1:12" hidden="1" x14ac:dyDescent="0.3">
      <c r="A501" t="s">
        <v>39</v>
      </c>
      <c r="B501" t="s">
        <v>40</v>
      </c>
      <c r="C501" t="s">
        <v>9</v>
      </c>
      <c r="D501" t="s">
        <v>10</v>
      </c>
      <c r="E501">
        <v>1998</v>
      </c>
      <c r="F501" s="1">
        <v>100</v>
      </c>
      <c r="G501">
        <v>2000</v>
      </c>
      <c r="H501">
        <f>AVERAGEIFS(Table1[value],Table1[IndicatorCode],Table1[[#This Row],[IndicatorCode]])</f>
        <v>99.756410256410263</v>
      </c>
      <c r="I501" cm="1">
        <f t="array" ref="I501">_xlfn.STDEV.P(IF(Table1[IndicatorCode]=Table1[[#This Row],[IndicatorCode]],Table1[value]))</f>
        <v>1.1047979755287356</v>
      </c>
      <c r="J501">
        <f>(Table1[[#This Row],[value]] - Table1[[#This Row],[mean]]) / Table1[[#This Row],[std_dev]]</f>
        <v>0.22048351733552002</v>
      </c>
      <c r="K501">
        <f>AVERAGEIF(Table1[CountryCode],Table1[[#This Row],[CountryCode]],Table1[z-score])</f>
        <v>9.5615861938696506E-2</v>
      </c>
      <c r="L501" t="e">
        <f>VLOOKUP(Table1[[#This Row],[CountryCode]],[1]!Table1[#All],1,FALSE)</f>
        <v>#REF!</v>
      </c>
    </row>
    <row r="502" spans="1:12" hidden="1" x14ac:dyDescent="0.3">
      <c r="A502" t="s">
        <v>39</v>
      </c>
      <c r="B502" t="s">
        <v>40</v>
      </c>
      <c r="C502" t="s">
        <v>9</v>
      </c>
      <c r="D502" t="s">
        <v>10</v>
      </c>
      <c r="E502">
        <v>1999</v>
      </c>
      <c r="F502" s="1">
        <v>100</v>
      </c>
      <c r="G502">
        <v>2000</v>
      </c>
      <c r="H502">
        <f>AVERAGEIFS(Table1[value],Table1[IndicatorCode],Table1[[#This Row],[IndicatorCode]])</f>
        <v>99.756410256410263</v>
      </c>
      <c r="I502" cm="1">
        <f t="array" ref="I502">_xlfn.STDEV.P(IF(Table1[IndicatorCode]=Table1[[#This Row],[IndicatorCode]],Table1[value]))</f>
        <v>1.1047979755287356</v>
      </c>
      <c r="J502">
        <f>(Table1[[#This Row],[value]] - Table1[[#This Row],[mean]]) / Table1[[#This Row],[std_dev]]</f>
        <v>0.22048351733552002</v>
      </c>
      <c r="K502">
        <f>AVERAGEIF(Table1[CountryCode],Table1[[#This Row],[CountryCode]],Table1[z-score])</f>
        <v>9.5615861938696506E-2</v>
      </c>
      <c r="L502" t="e">
        <f>VLOOKUP(Table1[[#This Row],[CountryCode]],[1]!Table1[#All],1,FALSE)</f>
        <v>#REF!</v>
      </c>
    </row>
    <row r="503" spans="1:12" hidden="1" x14ac:dyDescent="0.3">
      <c r="A503" t="s">
        <v>39</v>
      </c>
      <c r="B503" t="s">
        <v>40</v>
      </c>
      <c r="C503" t="s">
        <v>9</v>
      </c>
      <c r="D503" t="s">
        <v>10</v>
      </c>
      <c r="E503">
        <v>2000</v>
      </c>
      <c r="F503" s="1">
        <v>100</v>
      </c>
      <c r="G503">
        <v>2000</v>
      </c>
      <c r="H503">
        <f>AVERAGEIFS(Table1[value],Table1[IndicatorCode],Table1[[#This Row],[IndicatorCode]])</f>
        <v>99.756410256410263</v>
      </c>
      <c r="I503" cm="1">
        <f t="array" ref="I503">_xlfn.STDEV.P(IF(Table1[IndicatorCode]=Table1[[#This Row],[IndicatorCode]],Table1[value]))</f>
        <v>1.1047979755287356</v>
      </c>
      <c r="J503">
        <f>(Table1[[#This Row],[value]] - Table1[[#This Row],[mean]]) / Table1[[#This Row],[std_dev]]</f>
        <v>0.22048351733552002</v>
      </c>
      <c r="K503">
        <f>AVERAGEIF(Table1[CountryCode],Table1[[#This Row],[CountryCode]],Table1[z-score])</f>
        <v>9.5615861938696506E-2</v>
      </c>
      <c r="L503" t="e">
        <f>VLOOKUP(Table1[[#This Row],[CountryCode]],[1]!Table1[#All],1,FALSE)</f>
        <v>#REF!</v>
      </c>
    </row>
    <row r="504" spans="1:12" hidden="1" x14ac:dyDescent="0.3">
      <c r="A504" t="s">
        <v>39</v>
      </c>
      <c r="B504" t="s">
        <v>40</v>
      </c>
      <c r="C504" t="s">
        <v>9</v>
      </c>
      <c r="D504" t="s">
        <v>10</v>
      </c>
      <c r="E504">
        <v>2001</v>
      </c>
      <c r="F504" s="1">
        <v>100</v>
      </c>
      <c r="G504">
        <v>2000</v>
      </c>
      <c r="H504">
        <f>AVERAGEIFS(Table1[value],Table1[IndicatorCode],Table1[[#This Row],[IndicatorCode]])</f>
        <v>99.756410256410263</v>
      </c>
      <c r="I504" cm="1">
        <f t="array" ref="I504">_xlfn.STDEV.P(IF(Table1[IndicatorCode]=Table1[[#This Row],[IndicatorCode]],Table1[value]))</f>
        <v>1.1047979755287356</v>
      </c>
      <c r="J504">
        <f>(Table1[[#This Row],[value]] - Table1[[#This Row],[mean]]) / Table1[[#This Row],[std_dev]]</f>
        <v>0.22048351733552002</v>
      </c>
      <c r="K504">
        <f>AVERAGEIF(Table1[CountryCode],Table1[[#This Row],[CountryCode]],Table1[z-score])</f>
        <v>9.5615861938696506E-2</v>
      </c>
      <c r="L504" t="e">
        <f>VLOOKUP(Table1[[#This Row],[CountryCode]],[1]!Table1[#All],1,FALSE)</f>
        <v>#REF!</v>
      </c>
    </row>
    <row r="505" spans="1:12" hidden="1" x14ac:dyDescent="0.3">
      <c r="A505" t="s">
        <v>39</v>
      </c>
      <c r="B505" t="s">
        <v>40</v>
      </c>
      <c r="C505" t="s">
        <v>9</v>
      </c>
      <c r="D505" t="s">
        <v>10</v>
      </c>
      <c r="E505">
        <v>2002</v>
      </c>
      <c r="F505" s="1">
        <v>100</v>
      </c>
      <c r="G505">
        <v>2000</v>
      </c>
      <c r="H505">
        <f>AVERAGEIFS(Table1[value],Table1[IndicatorCode],Table1[[#This Row],[IndicatorCode]])</f>
        <v>99.756410256410263</v>
      </c>
      <c r="I505" cm="1">
        <f t="array" ref="I505">_xlfn.STDEV.P(IF(Table1[IndicatorCode]=Table1[[#This Row],[IndicatorCode]],Table1[value]))</f>
        <v>1.1047979755287356</v>
      </c>
      <c r="J505">
        <f>(Table1[[#This Row],[value]] - Table1[[#This Row],[mean]]) / Table1[[#This Row],[std_dev]]</f>
        <v>0.22048351733552002</v>
      </c>
      <c r="K505">
        <f>AVERAGEIF(Table1[CountryCode],Table1[[#This Row],[CountryCode]],Table1[z-score])</f>
        <v>9.5615861938696506E-2</v>
      </c>
      <c r="L505" t="e">
        <f>VLOOKUP(Table1[[#This Row],[CountryCode]],[1]!Table1[#All],1,FALSE)</f>
        <v>#REF!</v>
      </c>
    </row>
    <row r="506" spans="1:12" hidden="1" x14ac:dyDescent="0.3">
      <c r="A506" t="s">
        <v>39</v>
      </c>
      <c r="B506" t="s">
        <v>40</v>
      </c>
      <c r="C506" t="s">
        <v>9</v>
      </c>
      <c r="D506" t="s">
        <v>10</v>
      </c>
      <c r="E506">
        <v>2003</v>
      </c>
      <c r="F506" s="1">
        <v>100</v>
      </c>
      <c r="G506">
        <v>2000</v>
      </c>
      <c r="H506">
        <f>AVERAGEIFS(Table1[value],Table1[IndicatorCode],Table1[[#This Row],[IndicatorCode]])</f>
        <v>99.756410256410263</v>
      </c>
      <c r="I506" cm="1">
        <f t="array" ref="I506">_xlfn.STDEV.P(IF(Table1[IndicatorCode]=Table1[[#This Row],[IndicatorCode]],Table1[value]))</f>
        <v>1.1047979755287356</v>
      </c>
      <c r="J506">
        <f>(Table1[[#This Row],[value]] - Table1[[#This Row],[mean]]) / Table1[[#This Row],[std_dev]]</f>
        <v>0.22048351733552002</v>
      </c>
      <c r="K506">
        <f>AVERAGEIF(Table1[CountryCode],Table1[[#This Row],[CountryCode]],Table1[z-score])</f>
        <v>9.5615861938696506E-2</v>
      </c>
      <c r="L506" t="e">
        <f>VLOOKUP(Table1[[#This Row],[CountryCode]],[1]!Table1[#All],1,FALSE)</f>
        <v>#REF!</v>
      </c>
    </row>
    <row r="507" spans="1:12" hidden="1" x14ac:dyDescent="0.3">
      <c r="A507" t="s">
        <v>39</v>
      </c>
      <c r="B507" t="s">
        <v>40</v>
      </c>
      <c r="C507" t="s">
        <v>9</v>
      </c>
      <c r="D507" t="s">
        <v>10</v>
      </c>
      <c r="E507">
        <v>2004</v>
      </c>
      <c r="F507" s="1">
        <v>100</v>
      </c>
      <c r="G507">
        <v>2000</v>
      </c>
      <c r="H507">
        <f>AVERAGEIFS(Table1[value],Table1[IndicatorCode],Table1[[#This Row],[IndicatorCode]])</f>
        <v>99.756410256410263</v>
      </c>
      <c r="I507" cm="1">
        <f t="array" ref="I507">_xlfn.STDEV.P(IF(Table1[IndicatorCode]=Table1[[#This Row],[IndicatorCode]],Table1[value]))</f>
        <v>1.1047979755287356</v>
      </c>
      <c r="J507">
        <f>(Table1[[#This Row],[value]] - Table1[[#This Row],[mean]]) / Table1[[#This Row],[std_dev]]</f>
        <v>0.22048351733552002</v>
      </c>
      <c r="K507">
        <f>AVERAGEIF(Table1[CountryCode],Table1[[#This Row],[CountryCode]],Table1[z-score])</f>
        <v>9.5615861938696506E-2</v>
      </c>
      <c r="L507" t="e">
        <f>VLOOKUP(Table1[[#This Row],[CountryCode]],[1]!Table1[#All],1,FALSE)</f>
        <v>#REF!</v>
      </c>
    </row>
    <row r="508" spans="1:12" hidden="1" x14ac:dyDescent="0.3">
      <c r="A508" t="s">
        <v>39</v>
      </c>
      <c r="B508" t="s">
        <v>40</v>
      </c>
      <c r="C508" t="s">
        <v>9</v>
      </c>
      <c r="D508" t="s">
        <v>10</v>
      </c>
      <c r="E508">
        <v>2005</v>
      </c>
      <c r="F508" s="1">
        <v>100</v>
      </c>
      <c r="G508">
        <v>2000</v>
      </c>
      <c r="H508">
        <f>AVERAGEIFS(Table1[value],Table1[IndicatorCode],Table1[[#This Row],[IndicatorCode]])</f>
        <v>99.756410256410263</v>
      </c>
      <c r="I508" cm="1">
        <f t="array" ref="I508">_xlfn.STDEV.P(IF(Table1[IndicatorCode]=Table1[[#This Row],[IndicatorCode]],Table1[value]))</f>
        <v>1.1047979755287356</v>
      </c>
      <c r="J508">
        <f>(Table1[[#This Row],[value]] - Table1[[#This Row],[mean]]) / Table1[[#This Row],[std_dev]]</f>
        <v>0.22048351733552002</v>
      </c>
      <c r="K508">
        <f>AVERAGEIF(Table1[CountryCode],Table1[[#This Row],[CountryCode]],Table1[z-score])</f>
        <v>9.5615861938696506E-2</v>
      </c>
      <c r="L508" t="e">
        <f>VLOOKUP(Table1[[#This Row],[CountryCode]],[1]!Table1[#All],1,FALSE)</f>
        <v>#REF!</v>
      </c>
    </row>
    <row r="509" spans="1:12" hidden="1" x14ac:dyDescent="0.3">
      <c r="A509" t="s">
        <v>39</v>
      </c>
      <c r="B509" t="s">
        <v>40</v>
      </c>
      <c r="C509" t="s">
        <v>9</v>
      </c>
      <c r="D509" t="s">
        <v>10</v>
      </c>
      <c r="E509">
        <v>2006</v>
      </c>
      <c r="F509" s="1">
        <v>100</v>
      </c>
      <c r="G509">
        <v>2000</v>
      </c>
      <c r="H509">
        <f>AVERAGEIFS(Table1[value],Table1[IndicatorCode],Table1[[#This Row],[IndicatorCode]])</f>
        <v>99.756410256410263</v>
      </c>
      <c r="I509" cm="1">
        <f t="array" ref="I509">_xlfn.STDEV.P(IF(Table1[IndicatorCode]=Table1[[#This Row],[IndicatorCode]],Table1[value]))</f>
        <v>1.1047979755287356</v>
      </c>
      <c r="J509">
        <f>(Table1[[#This Row],[value]] - Table1[[#This Row],[mean]]) / Table1[[#This Row],[std_dev]]</f>
        <v>0.22048351733552002</v>
      </c>
      <c r="K509">
        <f>AVERAGEIF(Table1[CountryCode],Table1[[#This Row],[CountryCode]],Table1[z-score])</f>
        <v>9.5615861938696506E-2</v>
      </c>
      <c r="L509" t="e">
        <f>VLOOKUP(Table1[[#This Row],[CountryCode]],[1]!Table1[#All],1,FALSE)</f>
        <v>#REF!</v>
      </c>
    </row>
    <row r="510" spans="1:12" hidden="1" x14ac:dyDescent="0.3">
      <c r="A510" t="s">
        <v>39</v>
      </c>
      <c r="B510" t="s">
        <v>40</v>
      </c>
      <c r="C510" t="s">
        <v>9</v>
      </c>
      <c r="D510" t="s">
        <v>10</v>
      </c>
      <c r="E510">
        <v>2007</v>
      </c>
      <c r="F510" s="1">
        <v>100</v>
      </c>
      <c r="G510">
        <v>2010</v>
      </c>
      <c r="H510">
        <f>AVERAGEIFS(Table1[value],Table1[IndicatorCode],Table1[[#This Row],[IndicatorCode]])</f>
        <v>99.756410256410263</v>
      </c>
      <c r="I510" cm="1">
        <f t="array" ref="I510">_xlfn.STDEV.P(IF(Table1[IndicatorCode]=Table1[[#This Row],[IndicatorCode]],Table1[value]))</f>
        <v>1.1047979755287356</v>
      </c>
      <c r="J510">
        <f>(Table1[[#This Row],[value]] - Table1[[#This Row],[mean]]) / Table1[[#This Row],[std_dev]]</f>
        <v>0.22048351733552002</v>
      </c>
      <c r="K510">
        <f>AVERAGEIF(Table1[CountryCode],Table1[[#This Row],[CountryCode]],Table1[z-score])</f>
        <v>9.5615861938696506E-2</v>
      </c>
      <c r="L510" t="e">
        <f>VLOOKUP(Table1[[#This Row],[CountryCode]],[1]!Table1[#All],1,FALSE)</f>
        <v>#REF!</v>
      </c>
    </row>
    <row r="511" spans="1:12" hidden="1" x14ac:dyDescent="0.3">
      <c r="A511" t="s">
        <v>39</v>
      </c>
      <c r="B511" t="s">
        <v>40</v>
      </c>
      <c r="C511" t="s">
        <v>9</v>
      </c>
      <c r="D511" t="s">
        <v>10</v>
      </c>
      <c r="E511">
        <v>2008</v>
      </c>
      <c r="F511" s="1">
        <v>100</v>
      </c>
      <c r="G511">
        <v>2010</v>
      </c>
      <c r="H511">
        <f>AVERAGEIFS(Table1[value],Table1[IndicatorCode],Table1[[#This Row],[IndicatorCode]])</f>
        <v>99.756410256410263</v>
      </c>
      <c r="I511" cm="1">
        <f t="array" ref="I511">_xlfn.STDEV.P(IF(Table1[IndicatorCode]=Table1[[#This Row],[IndicatorCode]],Table1[value]))</f>
        <v>1.1047979755287356</v>
      </c>
      <c r="J511">
        <f>(Table1[[#This Row],[value]] - Table1[[#This Row],[mean]]) / Table1[[#This Row],[std_dev]]</f>
        <v>0.22048351733552002</v>
      </c>
      <c r="K511">
        <f>AVERAGEIF(Table1[CountryCode],Table1[[#This Row],[CountryCode]],Table1[z-score])</f>
        <v>9.5615861938696506E-2</v>
      </c>
      <c r="L511" t="e">
        <f>VLOOKUP(Table1[[#This Row],[CountryCode]],[1]!Table1[#All],1,FALSE)</f>
        <v>#REF!</v>
      </c>
    </row>
    <row r="512" spans="1:12" hidden="1" x14ac:dyDescent="0.3">
      <c r="A512" t="s">
        <v>39</v>
      </c>
      <c r="B512" t="s">
        <v>40</v>
      </c>
      <c r="C512" t="s">
        <v>9</v>
      </c>
      <c r="D512" t="s">
        <v>10</v>
      </c>
      <c r="E512">
        <v>2009</v>
      </c>
      <c r="F512" s="1">
        <v>100</v>
      </c>
      <c r="G512">
        <v>2010</v>
      </c>
      <c r="H512">
        <f>AVERAGEIFS(Table1[value],Table1[IndicatorCode],Table1[[#This Row],[IndicatorCode]])</f>
        <v>99.756410256410263</v>
      </c>
      <c r="I512" cm="1">
        <f t="array" ref="I512">_xlfn.STDEV.P(IF(Table1[IndicatorCode]=Table1[[#This Row],[IndicatorCode]],Table1[value]))</f>
        <v>1.1047979755287356</v>
      </c>
      <c r="J512">
        <f>(Table1[[#This Row],[value]] - Table1[[#This Row],[mean]]) / Table1[[#This Row],[std_dev]]</f>
        <v>0.22048351733552002</v>
      </c>
      <c r="K512">
        <f>AVERAGEIF(Table1[CountryCode],Table1[[#This Row],[CountryCode]],Table1[z-score])</f>
        <v>9.5615861938696506E-2</v>
      </c>
      <c r="L512" t="e">
        <f>VLOOKUP(Table1[[#This Row],[CountryCode]],[1]!Table1[#All],1,FALSE)</f>
        <v>#REF!</v>
      </c>
    </row>
    <row r="513" spans="1:12" hidden="1" x14ac:dyDescent="0.3">
      <c r="A513" t="s">
        <v>39</v>
      </c>
      <c r="B513" t="s">
        <v>40</v>
      </c>
      <c r="C513" t="s">
        <v>9</v>
      </c>
      <c r="D513" t="s">
        <v>10</v>
      </c>
      <c r="E513">
        <v>2010</v>
      </c>
      <c r="F513" s="1">
        <v>100</v>
      </c>
      <c r="G513">
        <v>2010</v>
      </c>
      <c r="H513">
        <f>AVERAGEIFS(Table1[value],Table1[IndicatorCode],Table1[[#This Row],[IndicatorCode]])</f>
        <v>99.756410256410263</v>
      </c>
      <c r="I513" cm="1">
        <f t="array" ref="I513">_xlfn.STDEV.P(IF(Table1[IndicatorCode]=Table1[[#This Row],[IndicatorCode]],Table1[value]))</f>
        <v>1.1047979755287356</v>
      </c>
      <c r="J513">
        <f>(Table1[[#This Row],[value]] - Table1[[#This Row],[mean]]) / Table1[[#This Row],[std_dev]]</f>
        <v>0.22048351733552002</v>
      </c>
      <c r="K513">
        <f>AVERAGEIF(Table1[CountryCode],Table1[[#This Row],[CountryCode]],Table1[z-score])</f>
        <v>9.5615861938696506E-2</v>
      </c>
      <c r="L513" t="e">
        <f>VLOOKUP(Table1[[#This Row],[CountryCode]],[1]!Table1[#All],1,FALSE)</f>
        <v>#REF!</v>
      </c>
    </row>
    <row r="514" spans="1:12" hidden="1" x14ac:dyDescent="0.3">
      <c r="A514" t="s">
        <v>39</v>
      </c>
      <c r="B514" t="s">
        <v>40</v>
      </c>
      <c r="C514" t="s">
        <v>9</v>
      </c>
      <c r="D514" t="s">
        <v>10</v>
      </c>
      <c r="E514">
        <v>2011</v>
      </c>
      <c r="F514" s="1">
        <v>100</v>
      </c>
      <c r="G514">
        <v>2010</v>
      </c>
      <c r="H514">
        <f>AVERAGEIFS(Table1[value],Table1[IndicatorCode],Table1[[#This Row],[IndicatorCode]])</f>
        <v>99.756410256410263</v>
      </c>
      <c r="I514" cm="1">
        <f t="array" ref="I514">_xlfn.STDEV.P(IF(Table1[IndicatorCode]=Table1[[#This Row],[IndicatorCode]],Table1[value]))</f>
        <v>1.1047979755287356</v>
      </c>
      <c r="J514">
        <f>(Table1[[#This Row],[value]] - Table1[[#This Row],[mean]]) / Table1[[#This Row],[std_dev]]</f>
        <v>0.22048351733552002</v>
      </c>
      <c r="K514">
        <f>AVERAGEIF(Table1[CountryCode],Table1[[#This Row],[CountryCode]],Table1[z-score])</f>
        <v>9.5615861938696506E-2</v>
      </c>
      <c r="L514" t="e">
        <f>VLOOKUP(Table1[[#This Row],[CountryCode]],[1]!Table1[#All],1,FALSE)</f>
        <v>#REF!</v>
      </c>
    </row>
    <row r="515" spans="1:12" hidden="1" x14ac:dyDescent="0.3">
      <c r="A515" t="s">
        <v>39</v>
      </c>
      <c r="B515" t="s">
        <v>40</v>
      </c>
      <c r="C515" t="s">
        <v>9</v>
      </c>
      <c r="D515" t="s">
        <v>10</v>
      </c>
      <c r="E515">
        <v>2012</v>
      </c>
      <c r="F515" s="1">
        <v>100</v>
      </c>
      <c r="G515">
        <v>2010</v>
      </c>
      <c r="H515">
        <f>AVERAGEIFS(Table1[value],Table1[IndicatorCode],Table1[[#This Row],[IndicatorCode]])</f>
        <v>99.756410256410263</v>
      </c>
      <c r="I515" cm="1">
        <f t="array" ref="I515">_xlfn.STDEV.P(IF(Table1[IndicatorCode]=Table1[[#This Row],[IndicatorCode]],Table1[value]))</f>
        <v>1.1047979755287356</v>
      </c>
      <c r="J515">
        <f>(Table1[[#This Row],[value]] - Table1[[#This Row],[mean]]) / Table1[[#This Row],[std_dev]]</f>
        <v>0.22048351733552002</v>
      </c>
      <c r="K515">
        <f>AVERAGEIF(Table1[CountryCode],Table1[[#This Row],[CountryCode]],Table1[z-score])</f>
        <v>9.5615861938696506E-2</v>
      </c>
      <c r="L515" t="e">
        <f>VLOOKUP(Table1[[#This Row],[CountryCode]],[1]!Table1[#All],1,FALSE)</f>
        <v>#REF!</v>
      </c>
    </row>
    <row r="516" spans="1:12" hidden="1" x14ac:dyDescent="0.3">
      <c r="A516" t="s">
        <v>39</v>
      </c>
      <c r="B516" t="s">
        <v>40</v>
      </c>
      <c r="C516" t="s">
        <v>9</v>
      </c>
      <c r="D516" t="s">
        <v>10</v>
      </c>
      <c r="E516">
        <v>2013</v>
      </c>
      <c r="F516" s="1">
        <v>100</v>
      </c>
      <c r="G516">
        <v>2010</v>
      </c>
      <c r="H516">
        <f>AVERAGEIFS(Table1[value],Table1[IndicatorCode],Table1[[#This Row],[IndicatorCode]])</f>
        <v>99.756410256410263</v>
      </c>
      <c r="I516" cm="1">
        <f t="array" ref="I516">_xlfn.STDEV.P(IF(Table1[IndicatorCode]=Table1[[#This Row],[IndicatorCode]],Table1[value]))</f>
        <v>1.1047979755287356</v>
      </c>
      <c r="J516">
        <f>(Table1[[#This Row],[value]] - Table1[[#This Row],[mean]]) / Table1[[#This Row],[std_dev]]</f>
        <v>0.22048351733552002</v>
      </c>
      <c r="K516">
        <f>AVERAGEIF(Table1[CountryCode],Table1[[#This Row],[CountryCode]],Table1[z-score])</f>
        <v>9.5615861938696506E-2</v>
      </c>
      <c r="L516" t="e">
        <f>VLOOKUP(Table1[[#This Row],[CountryCode]],[1]!Table1[#All],1,FALSE)</f>
        <v>#REF!</v>
      </c>
    </row>
    <row r="517" spans="1:12" hidden="1" x14ac:dyDescent="0.3">
      <c r="A517" t="s">
        <v>39</v>
      </c>
      <c r="B517" t="s">
        <v>40</v>
      </c>
      <c r="C517" t="s">
        <v>9</v>
      </c>
      <c r="D517" t="s">
        <v>10</v>
      </c>
      <c r="E517">
        <v>2014</v>
      </c>
      <c r="F517" s="1">
        <v>100</v>
      </c>
      <c r="G517">
        <v>2010</v>
      </c>
      <c r="H517">
        <f>AVERAGEIFS(Table1[value],Table1[IndicatorCode],Table1[[#This Row],[IndicatorCode]])</f>
        <v>99.756410256410263</v>
      </c>
      <c r="I517" cm="1">
        <f t="array" ref="I517">_xlfn.STDEV.P(IF(Table1[IndicatorCode]=Table1[[#This Row],[IndicatorCode]],Table1[value]))</f>
        <v>1.1047979755287356</v>
      </c>
      <c r="J517">
        <f>(Table1[[#This Row],[value]] - Table1[[#This Row],[mean]]) / Table1[[#This Row],[std_dev]]</f>
        <v>0.22048351733552002</v>
      </c>
      <c r="K517">
        <f>AVERAGEIF(Table1[CountryCode],Table1[[#This Row],[CountryCode]],Table1[z-score])</f>
        <v>9.5615861938696506E-2</v>
      </c>
      <c r="L517" t="e">
        <f>VLOOKUP(Table1[[#This Row],[CountryCode]],[1]!Table1[#All],1,FALSE)</f>
        <v>#REF!</v>
      </c>
    </row>
    <row r="518" spans="1:12" hidden="1" x14ac:dyDescent="0.3">
      <c r="A518" t="s">
        <v>39</v>
      </c>
      <c r="B518" t="s">
        <v>40</v>
      </c>
      <c r="C518" t="s">
        <v>9</v>
      </c>
      <c r="D518" t="s">
        <v>10</v>
      </c>
      <c r="E518">
        <v>2015</v>
      </c>
      <c r="F518" s="1">
        <v>100</v>
      </c>
      <c r="G518">
        <v>2010</v>
      </c>
      <c r="H518">
        <f>AVERAGEIFS(Table1[value],Table1[IndicatorCode],Table1[[#This Row],[IndicatorCode]])</f>
        <v>99.756410256410263</v>
      </c>
      <c r="I518" cm="1">
        <f t="array" ref="I518">_xlfn.STDEV.P(IF(Table1[IndicatorCode]=Table1[[#This Row],[IndicatorCode]],Table1[value]))</f>
        <v>1.1047979755287356</v>
      </c>
      <c r="J518">
        <f>(Table1[[#This Row],[value]] - Table1[[#This Row],[mean]]) / Table1[[#This Row],[std_dev]]</f>
        <v>0.22048351733552002</v>
      </c>
      <c r="K518">
        <f>AVERAGEIF(Table1[CountryCode],Table1[[#This Row],[CountryCode]],Table1[z-score])</f>
        <v>9.5615861938696506E-2</v>
      </c>
      <c r="L518" t="e">
        <f>VLOOKUP(Table1[[#This Row],[CountryCode]],[1]!Table1[#All],1,FALSE)</f>
        <v>#REF!</v>
      </c>
    </row>
    <row r="519" spans="1:12" hidden="1" x14ac:dyDescent="0.3">
      <c r="A519" t="s">
        <v>39</v>
      </c>
      <c r="B519" t="s">
        <v>40</v>
      </c>
      <c r="C519" t="s">
        <v>9</v>
      </c>
      <c r="D519" t="s">
        <v>10</v>
      </c>
      <c r="E519">
        <v>2016</v>
      </c>
      <c r="F519" s="1">
        <v>100</v>
      </c>
      <c r="G519">
        <v>2010</v>
      </c>
      <c r="H519">
        <f>AVERAGEIFS(Table1[value],Table1[IndicatorCode],Table1[[#This Row],[IndicatorCode]])</f>
        <v>99.756410256410263</v>
      </c>
      <c r="I519" cm="1">
        <f t="array" ref="I519">_xlfn.STDEV.P(IF(Table1[IndicatorCode]=Table1[[#This Row],[IndicatorCode]],Table1[value]))</f>
        <v>1.1047979755287356</v>
      </c>
      <c r="J519">
        <f>(Table1[[#This Row],[value]] - Table1[[#This Row],[mean]]) / Table1[[#This Row],[std_dev]]</f>
        <v>0.22048351733552002</v>
      </c>
      <c r="K519">
        <f>AVERAGEIF(Table1[CountryCode],Table1[[#This Row],[CountryCode]],Table1[z-score])</f>
        <v>9.5615861938696506E-2</v>
      </c>
      <c r="L519" t="e">
        <f>VLOOKUP(Table1[[#This Row],[CountryCode]],[1]!Table1[#All],1,FALSE)</f>
        <v>#REF!</v>
      </c>
    </row>
    <row r="520" spans="1:12" hidden="1" x14ac:dyDescent="0.3">
      <c r="A520" t="s">
        <v>39</v>
      </c>
      <c r="B520" t="s">
        <v>40</v>
      </c>
      <c r="C520" t="s">
        <v>9</v>
      </c>
      <c r="D520" t="s">
        <v>10</v>
      </c>
      <c r="E520">
        <v>2017</v>
      </c>
      <c r="F520" s="1">
        <v>100</v>
      </c>
      <c r="G520">
        <v>2020</v>
      </c>
      <c r="H520">
        <f>AVERAGEIFS(Table1[value],Table1[IndicatorCode],Table1[[#This Row],[IndicatorCode]])</f>
        <v>99.756410256410263</v>
      </c>
      <c r="I520" cm="1">
        <f t="array" ref="I520">_xlfn.STDEV.P(IF(Table1[IndicatorCode]=Table1[[#This Row],[IndicatorCode]],Table1[value]))</f>
        <v>1.1047979755287356</v>
      </c>
      <c r="J520">
        <f>(Table1[[#This Row],[value]] - Table1[[#This Row],[mean]]) / Table1[[#This Row],[std_dev]]</f>
        <v>0.22048351733552002</v>
      </c>
      <c r="K520">
        <f>AVERAGEIF(Table1[CountryCode],Table1[[#This Row],[CountryCode]],Table1[z-score])</f>
        <v>9.5615861938696506E-2</v>
      </c>
      <c r="L520" t="e">
        <f>VLOOKUP(Table1[[#This Row],[CountryCode]],[1]!Table1[#All],1,FALSE)</f>
        <v>#REF!</v>
      </c>
    </row>
    <row r="521" spans="1:12" hidden="1" x14ac:dyDescent="0.3">
      <c r="A521" t="s">
        <v>39</v>
      </c>
      <c r="B521" t="s">
        <v>40</v>
      </c>
      <c r="C521" t="s">
        <v>9</v>
      </c>
      <c r="D521" t="s">
        <v>10</v>
      </c>
      <c r="E521">
        <v>2018</v>
      </c>
      <c r="F521" s="1">
        <v>100</v>
      </c>
      <c r="G521">
        <v>2020</v>
      </c>
      <c r="H521">
        <f>AVERAGEIFS(Table1[value],Table1[IndicatorCode],Table1[[#This Row],[IndicatorCode]])</f>
        <v>99.756410256410263</v>
      </c>
      <c r="I521" cm="1">
        <f t="array" ref="I521">_xlfn.STDEV.P(IF(Table1[IndicatorCode]=Table1[[#This Row],[IndicatorCode]],Table1[value]))</f>
        <v>1.1047979755287356</v>
      </c>
      <c r="J521">
        <f>(Table1[[#This Row],[value]] - Table1[[#This Row],[mean]]) / Table1[[#This Row],[std_dev]]</f>
        <v>0.22048351733552002</v>
      </c>
      <c r="K521">
        <f>AVERAGEIF(Table1[CountryCode],Table1[[#This Row],[CountryCode]],Table1[z-score])</f>
        <v>9.5615861938696506E-2</v>
      </c>
      <c r="L521" t="e">
        <f>VLOOKUP(Table1[[#This Row],[CountryCode]],[1]!Table1[#All],1,FALSE)</f>
        <v>#REF!</v>
      </c>
    </row>
    <row r="522" spans="1:12" hidden="1" x14ac:dyDescent="0.3">
      <c r="A522" t="s">
        <v>39</v>
      </c>
      <c r="B522" t="s">
        <v>40</v>
      </c>
      <c r="C522" t="s">
        <v>9</v>
      </c>
      <c r="D522" t="s">
        <v>10</v>
      </c>
      <c r="E522">
        <v>2019</v>
      </c>
      <c r="F522" s="1">
        <v>100</v>
      </c>
      <c r="G522">
        <v>2020</v>
      </c>
      <c r="H522">
        <f>AVERAGEIFS(Table1[value],Table1[IndicatorCode],Table1[[#This Row],[IndicatorCode]])</f>
        <v>99.756410256410263</v>
      </c>
      <c r="I522" cm="1">
        <f t="array" ref="I522">_xlfn.STDEV.P(IF(Table1[IndicatorCode]=Table1[[#This Row],[IndicatorCode]],Table1[value]))</f>
        <v>1.1047979755287356</v>
      </c>
      <c r="J522">
        <f>(Table1[[#This Row],[value]] - Table1[[#This Row],[mean]]) / Table1[[#This Row],[std_dev]]</f>
        <v>0.22048351733552002</v>
      </c>
      <c r="K522">
        <f>AVERAGEIF(Table1[CountryCode],Table1[[#This Row],[CountryCode]],Table1[z-score])</f>
        <v>9.5615861938696506E-2</v>
      </c>
      <c r="L522" t="e">
        <f>VLOOKUP(Table1[[#This Row],[CountryCode]],[1]!Table1[#All],1,FALSE)</f>
        <v>#REF!</v>
      </c>
    </row>
    <row r="523" spans="1:12" x14ac:dyDescent="0.3">
      <c r="A523" t="s">
        <v>39</v>
      </c>
      <c r="B523" t="s">
        <v>40</v>
      </c>
      <c r="C523" t="s">
        <v>9</v>
      </c>
      <c r="D523" t="s">
        <v>10</v>
      </c>
      <c r="E523">
        <v>2020</v>
      </c>
      <c r="F523" s="1">
        <v>100</v>
      </c>
      <c r="G523">
        <v>2020</v>
      </c>
      <c r="H523">
        <f>AVERAGEIFS(Table1[value],Table1[IndicatorCode],Table1[[#This Row],[IndicatorCode]])</f>
        <v>99.756410256410263</v>
      </c>
      <c r="I523" cm="1">
        <f t="array" ref="I523">_xlfn.STDEV.P(IF(Table1[IndicatorCode]=Table1[[#This Row],[IndicatorCode]],Table1[value]))</f>
        <v>1.1047979755287356</v>
      </c>
      <c r="J523">
        <f>(Table1[[#This Row],[value]] - Table1[[#This Row],[mean]]) / Table1[[#This Row],[std_dev]]</f>
        <v>0.22048351733552002</v>
      </c>
      <c r="K523">
        <f>AVERAGEIF(Table1[CountryCode],Table1[[#This Row],[CountryCode]],Table1[z-score])</f>
        <v>9.5615861938696506E-2</v>
      </c>
    </row>
    <row r="524" spans="1:12" hidden="1" x14ac:dyDescent="0.3">
      <c r="A524" t="s">
        <v>39</v>
      </c>
      <c r="B524" t="s">
        <v>40</v>
      </c>
      <c r="C524" t="s">
        <v>9</v>
      </c>
      <c r="D524" t="s">
        <v>10</v>
      </c>
      <c r="E524">
        <v>2021</v>
      </c>
      <c r="F524" s="1">
        <v>100</v>
      </c>
      <c r="G524">
        <v>1990</v>
      </c>
      <c r="H524">
        <f>AVERAGEIFS(Table1[value],Table1[IndicatorCode],Table1[[#This Row],[IndicatorCode]])</f>
        <v>99.756410256410263</v>
      </c>
      <c r="I524" cm="1">
        <f t="array" ref="I524">_xlfn.STDEV.P(IF(Table1[IndicatorCode]=Table1[[#This Row],[IndicatorCode]],Table1[value]))</f>
        <v>1.1047979755287356</v>
      </c>
      <c r="J524">
        <f>(Table1[[#This Row],[value]] - Table1[[#This Row],[mean]]) / Table1[[#This Row],[std_dev]]</f>
        <v>0.22048351733552002</v>
      </c>
      <c r="K524">
        <f>AVERAGEIF(Table1[CountryCode],Table1[[#This Row],[CountryCode]],Table1[z-score])</f>
        <v>9.5615861938696506E-2</v>
      </c>
      <c r="L524" t="e">
        <f>VLOOKUP(Table1[[#This Row],[CountryCode]],[1]!Table1[#All],1,FALSE)</f>
        <v>#REF!</v>
      </c>
    </row>
    <row r="525" spans="1:12" hidden="1" x14ac:dyDescent="0.3">
      <c r="A525" t="s">
        <v>39</v>
      </c>
      <c r="B525" t="s">
        <v>40</v>
      </c>
      <c r="C525" t="s">
        <v>9</v>
      </c>
      <c r="D525" t="s">
        <v>10</v>
      </c>
      <c r="E525">
        <v>2022</v>
      </c>
      <c r="F525" s="1">
        <v>100</v>
      </c>
      <c r="G525">
        <v>1990</v>
      </c>
      <c r="H525">
        <f>AVERAGEIFS(Table1[value],Table1[IndicatorCode],Table1[[#This Row],[IndicatorCode]])</f>
        <v>99.756410256410263</v>
      </c>
      <c r="I525" cm="1">
        <f t="array" ref="I525">_xlfn.STDEV.P(IF(Table1[IndicatorCode]=Table1[[#This Row],[IndicatorCode]],Table1[value]))</f>
        <v>1.1047979755287356</v>
      </c>
      <c r="J525">
        <f>(Table1[[#This Row],[value]] - Table1[[#This Row],[mean]]) / Table1[[#This Row],[std_dev]]</f>
        <v>0.22048351733552002</v>
      </c>
      <c r="K525">
        <f>AVERAGEIF(Table1[CountryCode],Table1[[#This Row],[CountryCode]],Table1[z-score])</f>
        <v>9.5615861938696506E-2</v>
      </c>
      <c r="L525" t="e">
        <f>VLOOKUP(Table1[[#This Row],[CountryCode]],[1]!Table1[#All],1,FALSE)</f>
        <v>#REF!</v>
      </c>
    </row>
    <row r="526" spans="1:12" hidden="1" x14ac:dyDescent="0.3">
      <c r="A526" t="s">
        <v>39</v>
      </c>
      <c r="B526" t="s">
        <v>40</v>
      </c>
      <c r="C526" t="s">
        <v>9</v>
      </c>
      <c r="D526" t="s">
        <v>10</v>
      </c>
      <c r="E526">
        <v>2023</v>
      </c>
      <c r="F526" s="1">
        <v>100</v>
      </c>
      <c r="G526">
        <v>1990</v>
      </c>
      <c r="H526">
        <f>AVERAGEIFS(Table1[value],Table1[IndicatorCode],Table1[[#This Row],[IndicatorCode]])</f>
        <v>99.756410256410263</v>
      </c>
      <c r="I526" cm="1">
        <f t="array" ref="I526">_xlfn.STDEV.P(IF(Table1[IndicatorCode]=Table1[[#This Row],[IndicatorCode]],Table1[value]))</f>
        <v>1.1047979755287356</v>
      </c>
      <c r="J526">
        <f>(Table1[[#This Row],[value]] - Table1[[#This Row],[mean]]) / Table1[[#This Row],[std_dev]]</f>
        <v>0.22048351733552002</v>
      </c>
      <c r="K526">
        <f>AVERAGEIF(Table1[CountryCode],Table1[[#This Row],[CountryCode]],Table1[z-score])</f>
        <v>9.5615861938696506E-2</v>
      </c>
      <c r="L526" t="e">
        <f>VLOOKUP(Table1[[#This Row],[CountryCode]],[1]!Table1[#All],1,FALSE)</f>
        <v>#REF!</v>
      </c>
    </row>
    <row r="527" spans="1:12" hidden="1" x14ac:dyDescent="0.3">
      <c r="A527" t="s">
        <v>41</v>
      </c>
      <c r="B527" t="s">
        <v>42</v>
      </c>
      <c r="C527" t="s">
        <v>9</v>
      </c>
      <c r="D527" t="s">
        <v>10</v>
      </c>
      <c r="E527">
        <v>1990</v>
      </c>
      <c r="F527" s="1">
        <v>100</v>
      </c>
      <c r="G527">
        <v>1990</v>
      </c>
      <c r="H527">
        <f>AVERAGEIFS(Table1[value],Table1[IndicatorCode],Table1[[#This Row],[IndicatorCode]])</f>
        <v>99.756410256410263</v>
      </c>
      <c r="I527" cm="1">
        <f t="array" ref="I527">_xlfn.STDEV.P(IF(Table1[IndicatorCode]=Table1[[#This Row],[IndicatorCode]],Table1[value]))</f>
        <v>1.1047979755287356</v>
      </c>
      <c r="J527">
        <f>(Table1[[#This Row],[value]] - Table1[[#This Row],[mean]]) / Table1[[#This Row],[std_dev]]</f>
        <v>0.22048351733552002</v>
      </c>
      <c r="K527">
        <f>AVERAGEIF(Table1[CountryCode],Table1[[#This Row],[CountryCode]],Table1[z-score])</f>
        <v>0.48103769638692301</v>
      </c>
      <c r="L527" t="e">
        <f>VLOOKUP(Table1[[#This Row],[CountryCode]],[1]!Table1[#All],1,FALSE)</f>
        <v>#REF!</v>
      </c>
    </row>
    <row r="528" spans="1:12" hidden="1" x14ac:dyDescent="0.3">
      <c r="A528" t="s">
        <v>41</v>
      </c>
      <c r="B528" t="s">
        <v>42</v>
      </c>
      <c r="C528" t="s">
        <v>9</v>
      </c>
      <c r="D528" t="s">
        <v>10</v>
      </c>
      <c r="E528">
        <v>1991</v>
      </c>
      <c r="F528" s="1">
        <v>100</v>
      </c>
      <c r="G528">
        <v>1990</v>
      </c>
      <c r="H528">
        <f>AVERAGEIFS(Table1[value],Table1[IndicatorCode],Table1[[#This Row],[IndicatorCode]])</f>
        <v>99.756410256410263</v>
      </c>
      <c r="I528" cm="1">
        <f t="array" ref="I528">_xlfn.STDEV.P(IF(Table1[IndicatorCode]=Table1[[#This Row],[IndicatorCode]],Table1[value]))</f>
        <v>1.1047979755287356</v>
      </c>
      <c r="J528">
        <f>(Table1[[#This Row],[value]] - Table1[[#This Row],[mean]]) / Table1[[#This Row],[std_dev]]</f>
        <v>0.22048351733552002</v>
      </c>
      <c r="K528">
        <f>AVERAGEIF(Table1[CountryCode],Table1[[#This Row],[CountryCode]],Table1[z-score])</f>
        <v>0.48103769638692301</v>
      </c>
      <c r="L528" t="e">
        <f>VLOOKUP(Table1[[#This Row],[CountryCode]],[1]!Table1[#All],1,FALSE)</f>
        <v>#REF!</v>
      </c>
    </row>
    <row r="529" spans="1:12" hidden="1" x14ac:dyDescent="0.3">
      <c r="A529" t="s">
        <v>41</v>
      </c>
      <c r="B529" t="s">
        <v>42</v>
      </c>
      <c r="C529" t="s">
        <v>9</v>
      </c>
      <c r="D529" t="s">
        <v>10</v>
      </c>
      <c r="E529">
        <v>1992</v>
      </c>
      <c r="F529" s="1">
        <v>100</v>
      </c>
      <c r="G529">
        <v>1990</v>
      </c>
      <c r="H529">
        <f>AVERAGEIFS(Table1[value],Table1[IndicatorCode],Table1[[#This Row],[IndicatorCode]])</f>
        <v>99.756410256410263</v>
      </c>
      <c r="I529" cm="1">
        <f t="array" ref="I529">_xlfn.STDEV.P(IF(Table1[IndicatorCode]=Table1[[#This Row],[IndicatorCode]],Table1[value]))</f>
        <v>1.1047979755287356</v>
      </c>
      <c r="J529">
        <f>(Table1[[#This Row],[value]] - Table1[[#This Row],[mean]]) / Table1[[#This Row],[std_dev]]</f>
        <v>0.22048351733552002</v>
      </c>
      <c r="K529">
        <f>AVERAGEIF(Table1[CountryCode],Table1[[#This Row],[CountryCode]],Table1[z-score])</f>
        <v>0.48103769638692301</v>
      </c>
      <c r="L529" t="e">
        <f>VLOOKUP(Table1[[#This Row],[CountryCode]],[1]!Table1[#All],1,FALSE)</f>
        <v>#REF!</v>
      </c>
    </row>
    <row r="530" spans="1:12" hidden="1" x14ac:dyDescent="0.3">
      <c r="A530" t="s">
        <v>41</v>
      </c>
      <c r="B530" t="s">
        <v>42</v>
      </c>
      <c r="C530" t="s">
        <v>9</v>
      </c>
      <c r="D530" t="s">
        <v>10</v>
      </c>
      <c r="E530">
        <v>1993</v>
      </c>
      <c r="F530" s="1">
        <v>100</v>
      </c>
      <c r="G530">
        <v>1990</v>
      </c>
      <c r="H530">
        <f>AVERAGEIFS(Table1[value],Table1[IndicatorCode],Table1[[#This Row],[IndicatorCode]])</f>
        <v>99.756410256410263</v>
      </c>
      <c r="I530" cm="1">
        <f t="array" ref="I530">_xlfn.STDEV.P(IF(Table1[IndicatorCode]=Table1[[#This Row],[IndicatorCode]],Table1[value]))</f>
        <v>1.1047979755287356</v>
      </c>
      <c r="J530">
        <f>(Table1[[#This Row],[value]] - Table1[[#This Row],[mean]]) / Table1[[#This Row],[std_dev]]</f>
        <v>0.22048351733552002</v>
      </c>
      <c r="K530">
        <f>AVERAGEIF(Table1[CountryCode],Table1[[#This Row],[CountryCode]],Table1[z-score])</f>
        <v>0.48103769638692301</v>
      </c>
      <c r="L530" t="e">
        <f>VLOOKUP(Table1[[#This Row],[CountryCode]],[1]!Table1[#All],1,FALSE)</f>
        <v>#REF!</v>
      </c>
    </row>
    <row r="531" spans="1:12" hidden="1" x14ac:dyDescent="0.3">
      <c r="A531" t="s">
        <v>41</v>
      </c>
      <c r="B531" t="s">
        <v>42</v>
      </c>
      <c r="C531" t="s">
        <v>9</v>
      </c>
      <c r="D531" t="s">
        <v>10</v>
      </c>
      <c r="E531">
        <v>1994</v>
      </c>
      <c r="F531" s="1">
        <v>100</v>
      </c>
      <c r="G531">
        <v>1990</v>
      </c>
      <c r="H531">
        <f>AVERAGEIFS(Table1[value],Table1[IndicatorCode],Table1[[#This Row],[IndicatorCode]])</f>
        <v>99.756410256410263</v>
      </c>
      <c r="I531" cm="1">
        <f t="array" ref="I531">_xlfn.STDEV.P(IF(Table1[IndicatorCode]=Table1[[#This Row],[IndicatorCode]],Table1[value]))</f>
        <v>1.1047979755287356</v>
      </c>
      <c r="J531">
        <f>(Table1[[#This Row],[value]] - Table1[[#This Row],[mean]]) / Table1[[#This Row],[std_dev]]</f>
        <v>0.22048351733552002</v>
      </c>
      <c r="K531">
        <f>AVERAGEIF(Table1[CountryCode],Table1[[#This Row],[CountryCode]],Table1[z-score])</f>
        <v>0.48103769638692301</v>
      </c>
      <c r="L531" t="e">
        <f>VLOOKUP(Table1[[#This Row],[CountryCode]],[1]!Table1[#All],1,FALSE)</f>
        <v>#REF!</v>
      </c>
    </row>
    <row r="532" spans="1:12" hidden="1" x14ac:dyDescent="0.3">
      <c r="A532" t="s">
        <v>41</v>
      </c>
      <c r="B532" t="s">
        <v>42</v>
      </c>
      <c r="C532" t="s">
        <v>9</v>
      </c>
      <c r="D532" t="s">
        <v>10</v>
      </c>
      <c r="E532">
        <v>1995</v>
      </c>
      <c r="F532" s="1">
        <v>100</v>
      </c>
      <c r="G532">
        <v>1990</v>
      </c>
      <c r="H532">
        <f>AVERAGEIFS(Table1[value],Table1[IndicatorCode],Table1[[#This Row],[IndicatorCode]])</f>
        <v>99.756410256410263</v>
      </c>
      <c r="I532" cm="1">
        <f t="array" ref="I532">_xlfn.STDEV.P(IF(Table1[IndicatorCode]=Table1[[#This Row],[IndicatorCode]],Table1[value]))</f>
        <v>1.1047979755287356</v>
      </c>
      <c r="J532">
        <f>(Table1[[#This Row],[value]] - Table1[[#This Row],[mean]]) / Table1[[#This Row],[std_dev]]</f>
        <v>0.22048351733552002</v>
      </c>
      <c r="K532">
        <f>AVERAGEIF(Table1[CountryCode],Table1[[#This Row],[CountryCode]],Table1[z-score])</f>
        <v>0.48103769638692301</v>
      </c>
      <c r="L532" t="e">
        <f>VLOOKUP(Table1[[#This Row],[CountryCode]],[1]!Table1[#All],1,FALSE)</f>
        <v>#REF!</v>
      </c>
    </row>
    <row r="533" spans="1:12" hidden="1" x14ac:dyDescent="0.3">
      <c r="A533" t="s">
        <v>41</v>
      </c>
      <c r="B533" t="s">
        <v>42</v>
      </c>
      <c r="C533" t="s">
        <v>9</v>
      </c>
      <c r="D533" t="s">
        <v>10</v>
      </c>
      <c r="E533">
        <v>1996</v>
      </c>
      <c r="F533" s="1">
        <v>100</v>
      </c>
      <c r="G533">
        <v>1990</v>
      </c>
      <c r="H533">
        <f>AVERAGEIFS(Table1[value],Table1[IndicatorCode],Table1[[#This Row],[IndicatorCode]])</f>
        <v>99.756410256410263</v>
      </c>
      <c r="I533" cm="1">
        <f t="array" ref="I533">_xlfn.STDEV.P(IF(Table1[IndicatorCode]=Table1[[#This Row],[IndicatorCode]],Table1[value]))</f>
        <v>1.1047979755287356</v>
      </c>
      <c r="J533">
        <f>(Table1[[#This Row],[value]] - Table1[[#This Row],[mean]]) / Table1[[#This Row],[std_dev]]</f>
        <v>0.22048351733552002</v>
      </c>
      <c r="K533">
        <f>AVERAGEIF(Table1[CountryCode],Table1[[#This Row],[CountryCode]],Table1[z-score])</f>
        <v>0.48103769638692301</v>
      </c>
      <c r="L533" t="e">
        <f>VLOOKUP(Table1[[#This Row],[CountryCode]],[1]!Table1[#All],1,FALSE)</f>
        <v>#REF!</v>
      </c>
    </row>
    <row r="534" spans="1:12" hidden="1" x14ac:dyDescent="0.3">
      <c r="A534" t="s">
        <v>41</v>
      </c>
      <c r="B534" t="s">
        <v>42</v>
      </c>
      <c r="C534" t="s">
        <v>9</v>
      </c>
      <c r="D534" t="s">
        <v>10</v>
      </c>
      <c r="E534">
        <v>1997</v>
      </c>
      <c r="F534" s="1">
        <v>100</v>
      </c>
      <c r="G534">
        <v>2000</v>
      </c>
      <c r="H534">
        <f>AVERAGEIFS(Table1[value],Table1[IndicatorCode],Table1[[#This Row],[IndicatorCode]])</f>
        <v>99.756410256410263</v>
      </c>
      <c r="I534" cm="1">
        <f t="array" ref="I534">_xlfn.STDEV.P(IF(Table1[IndicatorCode]=Table1[[#This Row],[IndicatorCode]],Table1[value]))</f>
        <v>1.1047979755287356</v>
      </c>
      <c r="J534">
        <f>(Table1[[#This Row],[value]] - Table1[[#This Row],[mean]]) / Table1[[#This Row],[std_dev]]</f>
        <v>0.22048351733552002</v>
      </c>
      <c r="K534">
        <f>AVERAGEIF(Table1[CountryCode],Table1[[#This Row],[CountryCode]],Table1[z-score])</f>
        <v>0.48103769638692301</v>
      </c>
      <c r="L534" t="e">
        <f>VLOOKUP(Table1[[#This Row],[CountryCode]],[1]!Table1[#All],1,FALSE)</f>
        <v>#REF!</v>
      </c>
    </row>
    <row r="535" spans="1:12" hidden="1" x14ac:dyDescent="0.3">
      <c r="A535" t="s">
        <v>41</v>
      </c>
      <c r="B535" t="s">
        <v>42</v>
      </c>
      <c r="C535" t="s">
        <v>9</v>
      </c>
      <c r="D535" t="s">
        <v>10</v>
      </c>
      <c r="E535">
        <v>1998</v>
      </c>
      <c r="F535" s="1">
        <v>100</v>
      </c>
      <c r="G535">
        <v>2000</v>
      </c>
      <c r="H535">
        <f>AVERAGEIFS(Table1[value],Table1[IndicatorCode],Table1[[#This Row],[IndicatorCode]])</f>
        <v>99.756410256410263</v>
      </c>
      <c r="I535" cm="1">
        <f t="array" ref="I535">_xlfn.STDEV.P(IF(Table1[IndicatorCode]=Table1[[#This Row],[IndicatorCode]],Table1[value]))</f>
        <v>1.1047979755287356</v>
      </c>
      <c r="J535">
        <f>(Table1[[#This Row],[value]] - Table1[[#This Row],[mean]]) / Table1[[#This Row],[std_dev]]</f>
        <v>0.22048351733552002</v>
      </c>
      <c r="K535">
        <f>AVERAGEIF(Table1[CountryCode],Table1[[#This Row],[CountryCode]],Table1[z-score])</f>
        <v>0.48103769638692301</v>
      </c>
      <c r="L535" t="e">
        <f>VLOOKUP(Table1[[#This Row],[CountryCode]],[1]!Table1[#All],1,FALSE)</f>
        <v>#REF!</v>
      </c>
    </row>
    <row r="536" spans="1:12" hidden="1" x14ac:dyDescent="0.3">
      <c r="A536" t="s">
        <v>41</v>
      </c>
      <c r="B536" t="s">
        <v>42</v>
      </c>
      <c r="C536" t="s">
        <v>9</v>
      </c>
      <c r="D536" t="s">
        <v>10</v>
      </c>
      <c r="E536">
        <v>1999</v>
      </c>
      <c r="F536" s="1">
        <v>100</v>
      </c>
      <c r="G536">
        <v>2000</v>
      </c>
      <c r="H536">
        <f>AVERAGEIFS(Table1[value],Table1[IndicatorCode],Table1[[#This Row],[IndicatorCode]])</f>
        <v>99.756410256410263</v>
      </c>
      <c r="I536" cm="1">
        <f t="array" ref="I536">_xlfn.STDEV.P(IF(Table1[IndicatorCode]=Table1[[#This Row],[IndicatorCode]],Table1[value]))</f>
        <v>1.1047979755287356</v>
      </c>
      <c r="J536">
        <f>(Table1[[#This Row],[value]] - Table1[[#This Row],[mean]]) / Table1[[#This Row],[std_dev]]</f>
        <v>0.22048351733552002</v>
      </c>
      <c r="K536">
        <f>AVERAGEIF(Table1[CountryCode],Table1[[#This Row],[CountryCode]],Table1[z-score])</f>
        <v>0.48103769638692301</v>
      </c>
      <c r="L536" t="e">
        <f>VLOOKUP(Table1[[#This Row],[CountryCode]],[1]!Table1[#All],1,FALSE)</f>
        <v>#REF!</v>
      </c>
    </row>
    <row r="537" spans="1:12" hidden="1" x14ac:dyDescent="0.3">
      <c r="A537" t="s">
        <v>41</v>
      </c>
      <c r="B537" t="s">
        <v>42</v>
      </c>
      <c r="C537" t="s">
        <v>9</v>
      </c>
      <c r="D537" t="s">
        <v>10</v>
      </c>
      <c r="E537">
        <v>2000</v>
      </c>
      <c r="F537" s="1">
        <v>100</v>
      </c>
      <c r="G537">
        <v>2000</v>
      </c>
      <c r="H537">
        <f>AVERAGEIFS(Table1[value],Table1[IndicatorCode],Table1[[#This Row],[IndicatorCode]])</f>
        <v>99.756410256410263</v>
      </c>
      <c r="I537" cm="1">
        <f t="array" ref="I537">_xlfn.STDEV.P(IF(Table1[IndicatorCode]=Table1[[#This Row],[IndicatorCode]],Table1[value]))</f>
        <v>1.1047979755287356</v>
      </c>
      <c r="J537">
        <f>(Table1[[#This Row],[value]] - Table1[[#This Row],[mean]]) / Table1[[#This Row],[std_dev]]</f>
        <v>0.22048351733552002</v>
      </c>
      <c r="K537">
        <f>AVERAGEIF(Table1[CountryCode],Table1[[#This Row],[CountryCode]],Table1[z-score])</f>
        <v>0.48103769638692301</v>
      </c>
      <c r="L537" t="e">
        <f>VLOOKUP(Table1[[#This Row],[CountryCode]],[1]!Table1[#All],1,FALSE)</f>
        <v>#REF!</v>
      </c>
    </row>
    <row r="538" spans="1:12" hidden="1" x14ac:dyDescent="0.3">
      <c r="A538" t="s">
        <v>41</v>
      </c>
      <c r="B538" t="s">
        <v>42</v>
      </c>
      <c r="C538" t="s">
        <v>9</v>
      </c>
      <c r="D538" t="s">
        <v>10</v>
      </c>
      <c r="E538">
        <v>2001</v>
      </c>
      <c r="F538" s="1">
        <v>100</v>
      </c>
      <c r="G538">
        <v>2000</v>
      </c>
      <c r="H538">
        <f>AVERAGEIFS(Table1[value],Table1[IndicatorCode],Table1[[#This Row],[IndicatorCode]])</f>
        <v>99.756410256410263</v>
      </c>
      <c r="I538" cm="1">
        <f t="array" ref="I538">_xlfn.STDEV.P(IF(Table1[IndicatorCode]=Table1[[#This Row],[IndicatorCode]],Table1[value]))</f>
        <v>1.1047979755287356</v>
      </c>
      <c r="J538">
        <f>(Table1[[#This Row],[value]] - Table1[[#This Row],[mean]]) / Table1[[#This Row],[std_dev]]</f>
        <v>0.22048351733552002</v>
      </c>
      <c r="K538">
        <f>AVERAGEIF(Table1[CountryCode],Table1[[#This Row],[CountryCode]],Table1[z-score])</f>
        <v>0.48103769638692301</v>
      </c>
      <c r="L538" t="e">
        <f>VLOOKUP(Table1[[#This Row],[CountryCode]],[1]!Table1[#All],1,FALSE)</f>
        <v>#REF!</v>
      </c>
    </row>
    <row r="539" spans="1:12" hidden="1" x14ac:dyDescent="0.3">
      <c r="A539" t="s">
        <v>41</v>
      </c>
      <c r="B539" t="s">
        <v>42</v>
      </c>
      <c r="C539" t="s">
        <v>9</v>
      </c>
      <c r="D539" t="s">
        <v>10</v>
      </c>
      <c r="E539">
        <v>2002</v>
      </c>
      <c r="F539" s="1">
        <v>100</v>
      </c>
      <c r="G539">
        <v>2000</v>
      </c>
      <c r="H539">
        <f>AVERAGEIFS(Table1[value],Table1[IndicatorCode],Table1[[#This Row],[IndicatorCode]])</f>
        <v>99.756410256410263</v>
      </c>
      <c r="I539" cm="1">
        <f t="array" ref="I539">_xlfn.STDEV.P(IF(Table1[IndicatorCode]=Table1[[#This Row],[IndicatorCode]],Table1[value]))</f>
        <v>1.1047979755287356</v>
      </c>
      <c r="J539">
        <f>(Table1[[#This Row],[value]] - Table1[[#This Row],[mean]]) / Table1[[#This Row],[std_dev]]</f>
        <v>0.22048351733552002</v>
      </c>
      <c r="K539">
        <f>AVERAGEIF(Table1[CountryCode],Table1[[#This Row],[CountryCode]],Table1[z-score])</f>
        <v>0.48103769638692301</v>
      </c>
      <c r="L539" t="e">
        <f>VLOOKUP(Table1[[#This Row],[CountryCode]],[1]!Table1[#All],1,FALSE)</f>
        <v>#REF!</v>
      </c>
    </row>
    <row r="540" spans="1:12" hidden="1" x14ac:dyDescent="0.3">
      <c r="A540" t="s">
        <v>41</v>
      </c>
      <c r="B540" t="s">
        <v>42</v>
      </c>
      <c r="C540" t="s">
        <v>9</v>
      </c>
      <c r="D540" t="s">
        <v>10</v>
      </c>
      <c r="E540">
        <v>2003</v>
      </c>
      <c r="F540" s="1">
        <v>100</v>
      </c>
      <c r="G540">
        <v>2000</v>
      </c>
      <c r="H540">
        <f>AVERAGEIFS(Table1[value],Table1[IndicatorCode],Table1[[#This Row],[IndicatorCode]])</f>
        <v>99.756410256410263</v>
      </c>
      <c r="I540" cm="1">
        <f t="array" ref="I540">_xlfn.STDEV.P(IF(Table1[IndicatorCode]=Table1[[#This Row],[IndicatorCode]],Table1[value]))</f>
        <v>1.1047979755287356</v>
      </c>
      <c r="J540">
        <f>(Table1[[#This Row],[value]] - Table1[[#This Row],[mean]]) / Table1[[#This Row],[std_dev]]</f>
        <v>0.22048351733552002</v>
      </c>
      <c r="K540">
        <f>AVERAGEIF(Table1[CountryCode],Table1[[#This Row],[CountryCode]],Table1[z-score])</f>
        <v>0.48103769638692301</v>
      </c>
      <c r="L540" t="e">
        <f>VLOOKUP(Table1[[#This Row],[CountryCode]],[1]!Table1[#All],1,FALSE)</f>
        <v>#REF!</v>
      </c>
    </row>
    <row r="541" spans="1:12" hidden="1" x14ac:dyDescent="0.3">
      <c r="A541" t="s">
        <v>41</v>
      </c>
      <c r="B541" t="s">
        <v>42</v>
      </c>
      <c r="C541" t="s">
        <v>9</v>
      </c>
      <c r="D541" t="s">
        <v>10</v>
      </c>
      <c r="E541">
        <v>2004</v>
      </c>
      <c r="F541" s="1">
        <v>100</v>
      </c>
      <c r="G541">
        <v>2000</v>
      </c>
      <c r="H541">
        <f>AVERAGEIFS(Table1[value],Table1[IndicatorCode],Table1[[#This Row],[IndicatorCode]])</f>
        <v>99.756410256410263</v>
      </c>
      <c r="I541" cm="1">
        <f t="array" ref="I541">_xlfn.STDEV.P(IF(Table1[IndicatorCode]=Table1[[#This Row],[IndicatorCode]],Table1[value]))</f>
        <v>1.1047979755287356</v>
      </c>
      <c r="J541">
        <f>(Table1[[#This Row],[value]] - Table1[[#This Row],[mean]]) / Table1[[#This Row],[std_dev]]</f>
        <v>0.22048351733552002</v>
      </c>
      <c r="K541">
        <f>AVERAGEIF(Table1[CountryCode],Table1[[#This Row],[CountryCode]],Table1[z-score])</f>
        <v>0.48103769638692301</v>
      </c>
      <c r="L541" t="e">
        <f>VLOOKUP(Table1[[#This Row],[CountryCode]],[1]!Table1[#All],1,FALSE)</f>
        <v>#REF!</v>
      </c>
    </row>
    <row r="542" spans="1:12" hidden="1" x14ac:dyDescent="0.3">
      <c r="A542" t="s">
        <v>41</v>
      </c>
      <c r="B542" t="s">
        <v>42</v>
      </c>
      <c r="C542" t="s">
        <v>9</v>
      </c>
      <c r="D542" t="s">
        <v>10</v>
      </c>
      <c r="E542">
        <v>2005</v>
      </c>
      <c r="F542" s="1">
        <v>100</v>
      </c>
      <c r="G542">
        <v>2000</v>
      </c>
      <c r="H542">
        <f>AVERAGEIFS(Table1[value],Table1[IndicatorCode],Table1[[#This Row],[IndicatorCode]])</f>
        <v>99.756410256410263</v>
      </c>
      <c r="I542" cm="1">
        <f t="array" ref="I542">_xlfn.STDEV.P(IF(Table1[IndicatorCode]=Table1[[#This Row],[IndicatorCode]],Table1[value]))</f>
        <v>1.1047979755287356</v>
      </c>
      <c r="J542">
        <f>(Table1[[#This Row],[value]] - Table1[[#This Row],[mean]]) / Table1[[#This Row],[std_dev]]</f>
        <v>0.22048351733552002</v>
      </c>
      <c r="K542">
        <f>AVERAGEIF(Table1[CountryCode],Table1[[#This Row],[CountryCode]],Table1[z-score])</f>
        <v>0.48103769638692301</v>
      </c>
      <c r="L542" t="e">
        <f>VLOOKUP(Table1[[#This Row],[CountryCode]],[1]!Table1[#All],1,FALSE)</f>
        <v>#REF!</v>
      </c>
    </row>
    <row r="543" spans="1:12" hidden="1" x14ac:dyDescent="0.3">
      <c r="A543" t="s">
        <v>41</v>
      </c>
      <c r="B543" t="s">
        <v>42</v>
      </c>
      <c r="C543" t="s">
        <v>9</v>
      </c>
      <c r="D543" t="s">
        <v>10</v>
      </c>
      <c r="E543">
        <v>2006</v>
      </c>
      <c r="F543" s="1">
        <v>100</v>
      </c>
      <c r="G543">
        <v>2000</v>
      </c>
      <c r="H543">
        <f>AVERAGEIFS(Table1[value],Table1[IndicatorCode],Table1[[#This Row],[IndicatorCode]])</f>
        <v>99.756410256410263</v>
      </c>
      <c r="I543" cm="1">
        <f t="array" ref="I543">_xlfn.STDEV.P(IF(Table1[IndicatorCode]=Table1[[#This Row],[IndicatorCode]],Table1[value]))</f>
        <v>1.1047979755287356</v>
      </c>
      <c r="J543">
        <f>(Table1[[#This Row],[value]] - Table1[[#This Row],[mean]]) / Table1[[#This Row],[std_dev]]</f>
        <v>0.22048351733552002</v>
      </c>
      <c r="K543">
        <f>AVERAGEIF(Table1[CountryCode],Table1[[#This Row],[CountryCode]],Table1[z-score])</f>
        <v>0.48103769638692301</v>
      </c>
      <c r="L543" t="e">
        <f>VLOOKUP(Table1[[#This Row],[CountryCode]],[1]!Table1[#All],1,FALSE)</f>
        <v>#REF!</v>
      </c>
    </row>
    <row r="544" spans="1:12" hidden="1" x14ac:dyDescent="0.3">
      <c r="A544" t="s">
        <v>41</v>
      </c>
      <c r="B544" t="s">
        <v>42</v>
      </c>
      <c r="C544" t="s">
        <v>9</v>
      </c>
      <c r="D544" t="s">
        <v>10</v>
      </c>
      <c r="E544">
        <v>2007</v>
      </c>
      <c r="F544" s="1">
        <v>100</v>
      </c>
      <c r="G544">
        <v>2010</v>
      </c>
      <c r="H544">
        <f>AVERAGEIFS(Table1[value],Table1[IndicatorCode],Table1[[#This Row],[IndicatorCode]])</f>
        <v>99.756410256410263</v>
      </c>
      <c r="I544" cm="1">
        <f t="array" ref="I544">_xlfn.STDEV.P(IF(Table1[IndicatorCode]=Table1[[#This Row],[IndicatorCode]],Table1[value]))</f>
        <v>1.1047979755287356</v>
      </c>
      <c r="J544">
        <f>(Table1[[#This Row],[value]] - Table1[[#This Row],[mean]]) / Table1[[#This Row],[std_dev]]</f>
        <v>0.22048351733552002</v>
      </c>
      <c r="K544">
        <f>AVERAGEIF(Table1[CountryCode],Table1[[#This Row],[CountryCode]],Table1[z-score])</f>
        <v>0.48103769638692301</v>
      </c>
      <c r="L544" t="e">
        <f>VLOOKUP(Table1[[#This Row],[CountryCode]],[1]!Table1[#All],1,FALSE)</f>
        <v>#REF!</v>
      </c>
    </row>
    <row r="545" spans="1:12" hidden="1" x14ac:dyDescent="0.3">
      <c r="A545" t="s">
        <v>41</v>
      </c>
      <c r="B545" t="s">
        <v>42</v>
      </c>
      <c r="C545" t="s">
        <v>9</v>
      </c>
      <c r="D545" t="s">
        <v>10</v>
      </c>
      <c r="E545">
        <v>2008</v>
      </c>
      <c r="F545" s="1">
        <v>100</v>
      </c>
      <c r="G545">
        <v>2010</v>
      </c>
      <c r="H545">
        <f>AVERAGEIFS(Table1[value],Table1[IndicatorCode],Table1[[#This Row],[IndicatorCode]])</f>
        <v>99.756410256410263</v>
      </c>
      <c r="I545" cm="1">
        <f t="array" ref="I545">_xlfn.STDEV.P(IF(Table1[IndicatorCode]=Table1[[#This Row],[IndicatorCode]],Table1[value]))</f>
        <v>1.1047979755287356</v>
      </c>
      <c r="J545">
        <f>(Table1[[#This Row],[value]] - Table1[[#This Row],[mean]]) / Table1[[#This Row],[std_dev]]</f>
        <v>0.22048351733552002</v>
      </c>
      <c r="K545">
        <f>AVERAGEIF(Table1[CountryCode],Table1[[#This Row],[CountryCode]],Table1[z-score])</f>
        <v>0.48103769638692301</v>
      </c>
      <c r="L545" t="e">
        <f>VLOOKUP(Table1[[#This Row],[CountryCode]],[1]!Table1[#All],1,FALSE)</f>
        <v>#REF!</v>
      </c>
    </row>
    <row r="546" spans="1:12" hidden="1" x14ac:dyDescent="0.3">
      <c r="A546" t="s">
        <v>41</v>
      </c>
      <c r="B546" t="s">
        <v>42</v>
      </c>
      <c r="C546" t="s">
        <v>9</v>
      </c>
      <c r="D546" t="s">
        <v>10</v>
      </c>
      <c r="E546">
        <v>2009</v>
      </c>
      <c r="F546" s="1">
        <v>100</v>
      </c>
      <c r="G546">
        <v>2010</v>
      </c>
      <c r="H546">
        <f>AVERAGEIFS(Table1[value],Table1[IndicatorCode],Table1[[#This Row],[IndicatorCode]])</f>
        <v>99.756410256410263</v>
      </c>
      <c r="I546" cm="1">
        <f t="array" ref="I546">_xlfn.STDEV.P(IF(Table1[IndicatorCode]=Table1[[#This Row],[IndicatorCode]],Table1[value]))</f>
        <v>1.1047979755287356</v>
      </c>
      <c r="J546">
        <f>(Table1[[#This Row],[value]] - Table1[[#This Row],[mean]]) / Table1[[#This Row],[std_dev]]</f>
        <v>0.22048351733552002</v>
      </c>
      <c r="K546">
        <f>AVERAGEIF(Table1[CountryCode],Table1[[#This Row],[CountryCode]],Table1[z-score])</f>
        <v>0.48103769638692301</v>
      </c>
      <c r="L546" t="e">
        <f>VLOOKUP(Table1[[#This Row],[CountryCode]],[1]!Table1[#All],1,FALSE)</f>
        <v>#REF!</v>
      </c>
    </row>
    <row r="547" spans="1:12" hidden="1" x14ac:dyDescent="0.3">
      <c r="A547" t="s">
        <v>41</v>
      </c>
      <c r="B547" t="s">
        <v>42</v>
      </c>
      <c r="C547" t="s">
        <v>9</v>
      </c>
      <c r="D547" t="s">
        <v>10</v>
      </c>
      <c r="E547">
        <v>2010</v>
      </c>
      <c r="F547" s="1">
        <v>100</v>
      </c>
      <c r="G547">
        <v>2010</v>
      </c>
      <c r="H547">
        <f>AVERAGEIFS(Table1[value],Table1[IndicatorCode],Table1[[#This Row],[IndicatorCode]])</f>
        <v>99.756410256410263</v>
      </c>
      <c r="I547" cm="1">
        <f t="array" ref="I547">_xlfn.STDEV.P(IF(Table1[IndicatorCode]=Table1[[#This Row],[IndicatorCode]],Table1[value]))</f>
        <v>1.1047979755287356</v>
      </c>
      <c r="J547">
        <f>(Table1[[#This Row],[value]] - Table1[[#This Row],[mean]]) / Table1[[#This Row],[std_dev]]</f>
        <v>0.22048351733552002</v>
      </c>
      <c r="K547">
        <f>AVERAGEIF(Table1[CountryCode],Table1[[#This Row],[CountryCode]],Table1[z-score])</f>
        <v>0.48103769638692301</v>
      </c>
      <c r="L547" t="e">
        <f>VLOOKUP(Table1[[#This Row],[CountryCode]],[1]!Table1[#All],1,FALSE)</f>
        <v>#REF!</v>
      </c>
    </row>
    <row r="548" spans="1:12" hidden="1" x14ac:dyDescent="0.3">
      <c r="A548" t="s">
        <v>41</v>
      </c>
      <c r="B548" t="s">
        <v>42</v>
      </c>
      <c r="C548" t="s">
        <v>9</v>
      </c>
      <c r="D548" t="s">
        <v>10</v>
      </c>
      <c r="E548">
        <v>2011</v>
      </c>
      <c r="F548" s="1">
        <v>100</v>
      </c>
      <c r="G548">
        <v>2010</v>
      </c>
      <c r="H548">
        <f>AVERAGEIFS(Table1[value],Table1[IndicatorCode],Table1[[#This Row],[IndicatorCode]])</f>
        <v>99.756410256410263</v>
      </c>
      <c r="I548" cm="1">
        <f t="array" ref="I548">_xlfn.STDEV.P(IF(Table1[IndicatorCode]=Table1[[#This Row],[IndicatorCode]],Table1[value]))</f>
        <v>1.1047979755287356</v>
      </c>
      <c r="J548">
        <f>(Table1[[#This Row],[value]] - Table1[[#This Row],[mean]]) / Table1[[#This Row],[std_dev]]</f>
        <v>0.22048351733552002</v>
      </c>
      <c r="K548">
        <f>AVERAGEIF(Table1[CountryCode],Table1[[#This Row],[CountryCode]],Table1[z-score])</f>
        <v>0.48103769638692301</v>
      </c>
      <c r="L548" t="e">
        <f>VLOOKUP(Table1[[#This Row],[CountryCode]],[1]!Table1[#All],1,FALSE)</f>
        <v>#REF!</v>
      </c>
    </row>
    <row r="549" spans="1:12" hidden="1" x14ac:dyDescent="0.3">
      <c r="A549" t="s">
        <v>41</v>
      </c>
      <c r="B549" t="s">
        <v>42</v>
      </c>
      <c r="C549" t="s">
        <v>9</v>
      </c>
      <c r="D549" t="s">
        <v>10</v>
      </c>
      <c r="E549">
        <v>2012</v>
      </c>
      <c r="F549" s="1">
        <v>100</v>
      </c>
      <c r="G549">
        <v>2010</v>
      </c>
      <c r="H549">
        <f>AVERAGEIFS(Table1[value],Table1[IndicatorCode],Table1[[#This Row],[IndicatorCode]])</f>
        <v>99.756410256410263</v>
      </c>
      <c r="I549" cm="1">
        <f t="array" ref="I549">_xlfn.STDEV.P(IF(Table1[IndicatorCode]=Table1[[#This Row],[IndicatorCode]],Table1[value]))</f>
        <v>1.1047979755287356</v>
      </c>
      <c r="J549">
        <f>(Table1[[#This Row],[value]] - Table1[[#This Row],[mean]]) / Table1[[#This Row],[std_dev]]</f>
        <v>0.22048351733552002</v>
      </c>
      <c r="K549">
        <f>AVERAGEIF(Table1[CountryCode],Table1[[#This Row],[CountryCode]],Table1[z-score])</f>
        <v>0.48103769638692301</v>
      </c>
      <c r="L549" t="e">
        <f>VLOOKUP(Table1[[#This Row],[CountryCode]],[1]!Table1[#All],1,FALSE)</f>
        <v>#REF!</v>
      </c>
    </row>
    <row r="550" spans="1:12" hidden="1" x14ac:dyDescent="0.3">
      <c r="A550" t="s">
        <v>41</v>
      </c>
      <c r="B550" t="s">
        <v>42</v>
      </c>
      <c r="C550" t="s">
        <v>9</v>
      </c>
      <c r="D550" t="s">
        <v>10</v>
      </c>
      <c r="E550">
        <v>2013</v>
      </c>
      <c r="F550" s="1">
        <v>100</v>
      </c>
      <c r="G550">
        <v>2010</v>
      </c>
      <c r="H550">
        <f>AVERAGEIFS(Table1[value],Table1[IndicatorCode],Table1[[#This Row],[IndicatorCode]])</f>
        <v>99.756410256410263</v>
      </c>
      <c r="I550" cm="1">
        <f t="array" ref="I550">_xlfn.STDEV.P(IF(Table1[IndicatorCode]=Table1[[#This Row],[IndicatorCode]],Table1[value]))</f>
        <v>1.1047979755287356</v>
      </c>
      <c r="J550">
        <f>(Table1[[#This Row],[value]] - Table1[[#This Row],[mean]]) / Table1[[#This Row],[std_dev]]</f>
        <v>0.22048351733552002</v>
      </c>
      <c r="K550">
        <f>AVERAGEIF(Table1[CountryCode],Table1[[#This Row],[CountryCode]],Table1[z-score])</f>
        <v>0.48103769638692301</v>
      </c>
      <c r="L550" t="e">
        <f>VLOOKUP(Table1[[#This Row],[CountryCode]],[1]!Table1[#All],1,FALSE)</f>
        <v>#REF!</v>
      </c>
    </row>
    <row r="551" spans="1:12" hidden="1" x14ac:dyDescent="0.3">
      <c r="A551" t="s">
        <v>41</v>
      </c>
      <c r="B551" t="s">
        <v>42</v>
      </c>
      <c r="C551" t="s">
        <v>9</v>
      </c>
      <c r="D551" t="s">
        <v>10</v>
      </c>
      <c r="E551">
        <v>2014</v>
      </c>
      <c r="F551" s="1">
        <v>100</v>
      </c>
      <c r="G551">
        <v>2010</v>
      </c>
      <c r="H551">
        <f>AVERAGEIFS(Table1[value],Table1[IndicatorCode],Table1[[#This Row],[IndicatorCode]])</f>
        <v>99.756410256410263</v>
      </c>
      <c r="I551" cm="1">
        <f t="array" ref="I551">_xlfn.STDEV.P(IF(Table1[IndicatorCode]=Table1[[#This Row],[IndicatorCode]],Table1[value]))</f>
        <v>1.1047979755287356</v>
      </c>
      <c r="J551">
        <f>(Table1[[#This Row],[value]] - Table1[[#This Row],[mean]]) / Table1[[#This Row],[std_dev]]</f>
        <v>0.22048351733552002</v>
      </c>
      <c r="K551">
        <f>AVERAGEIF(Table1[CountryCode],Table1[[#This Row],[CountryCode]],Table1[z-score])</f>
        <v>0.48103769638692301</v>
      </c>
      <c r="L551" t="e">
        <f>VLOOKUP(Table1[[#This Row],[CountryCode]],[1]!Table1[#All],1,FALSE)</f>
        <v>#REF!</v>
      </c>
    </row>
    <row r="552" spans="1:12" hidden="1" x14ac:dyDescent="0.3">
      <c r="A552" t="s">
        <v>41</v>
      </c>
      <c r="B552" t="s">
        <v>42</v>
      </c>
      <c r="C552" t="s">
        <v>9</v>
      </c>
      <c r="D552" t="s">
        <v>10</v>
      </c>
      <c r="E552">
        <v>2015</v>
      </c>
      <c r="F552" s="1">
        <v>100</v>
      </c>
      <c r="G552">
        <v>2010</v>
      </c>
      <c r="H552">
        <f>AVERAGEIFS(Table1[value],Table1[IndicatorCode],Table1[[#This Row],[IndicatorCode]])</f>
        <v>99.756410256410263</v>
      </c>
      <c r="I552" cm="1">
        <f t="array" ref="I552">_xlfn.STDEV.P(IF(Table1[IndicatorCode]=Table1[[#This Row],[IndicatorCode]],Table1[value]))</f>
        <v>1.1047979755287356</v>
      </c>
      <c r="J552">
        <f>(Table1[[#This Row],[value]] - Table1[[#This Row],[mean]]) / Table1[[#This Row],[std_dev]]</f>
        <v>0.22048351733552002</v>
      </c>
      <c r="K552">
        <f>AVERAGEIF(Table1[CountryCode],Table1[[#This Row],[CountryCode]],Table1[z-score])</f>
        <v>0.48103769638692301</v>
      </c>
      <c r="L552" t="e">
        <f>VLOOKUP(Table1[[#This Row],[CountryCode]],[1]!Table1[#All],1,FALSE)</f>
        <v>#REF!</v>
      </c>
    </row>
    <row r="553" spans="1:12" hidden="1" x14ac:dyDescent="0.3">
      <c r="A553" t="s">
        <v>41</v>
      </c>
      <c r="B553" t="s">
        <v>42</v>
      </c>
      <c r="C553" t="s">
        <v>9</v>
      </c>
      <c r="D553" t="s">
        <v>10</v>
      </c>
      <c r="E553">
        <v>2016</v>
      </c>
      <c r="F553" s="1">
        <v>100</v>
      </c>
      <c r="G553">
        <v>2010</v>
      </c>
      <c r="H553">
        <f>AVERAGEIFS(Table1[value],Table1[IndicatorCode],Table1[[#This Row],[IndicatorCode]])</f>
        <v>99.756410256410263</v>
      </c>
      <c r="I553" cm="1">
        <f t="array" ref="I553">_xlfn.STDEV.P(IF(Table1[IndicatorCode]=Table1[[#This Row],[IndicatorCode]],Table1[value]))</f>
        <v>1.1047979755287356</v>
      </c>
      <c r="J553">
        <f>(Table1[[#This Row],[value]] - Table1[[#This Row],[mean]]) / Table1[[#This Row],[std_dev]]</f>
        <v>0.22048351733552002</v>
      </c>
      <c r="K553">
        <f>AVERAGEIF(Table1[CountryCode],Table1[[#This Row],[CountryCode]],Table1[z-score])</f>
        <v>0.48103769638692301</v>
      </c>
      <c r="L553" t="e">
        <f>VLOOKUP(Table1[[#This Row],[CountryCode]],[1]!Table1[#All],1,FALSE)</f>
        <v>#REF!</v>
      </c>
    </row>
    <row r="554" spans="1:12" hidden="1" x14ac:dyDescent="0.3">
      <c r="A554" t="s">
        <v>41</v>
      </c>
      <c r="B554" t="s">
        <v>42</v>
      </c>
      <c r="C554" t="s">
        <v>9</v>
      </c>
      <c r="D554" t="s">
        <v>10</v>
      </c>
      <c r="E554">
        <v>2017</v>
      </c>
      <c r="F554" s="1">
        <v>100</v>
      </c>
      <c r="G554">
        <v>2020</v>
      </c>
      <c r="H554">
        <f>AVERAGEIFS(Table1[value],Table1[IndicatorCode],Table1[[#This Row],[IndicatorCode]])</f>
        <v>99.756410256410263</v>
      </c>
      <c r="I554" cm="1">
        <f t="array" ref="I554">_xlfn.STDEV.P(IF(Table1[IndicatorCode]=Table1[[#This Row],[IndicatorCode]],Table1[value]))</f>
        <v>1.1047979755287356</v>
      </c>
      <c r="J554">
        <f>(Table1[[#This Row],[value]] - Table1[[#This Row],[mean]]) / Table1[[#This Row],[std_dev]]</f>
        <v>0.22048351733552002</v>
      </c>
      <c r="K554">
        <f>AVERAGEIF(Table1[CountryCode],Table1[[#This Row],[CountryCode]],Table1[z-score])</f>
        <v>0.48103769638692301</v>
      </c>
      <c r="L554" t="e">
        <f>VLOOKUP(Table1[[#This Row],[CountryCode]],[1]!Table1[#All],1,FALSE)</f>
        <v>#REF!</v>
      </c>
    </row>
    <row r="555" spans="1:12" hidden="1" x14ac:dyDescent="0.3">
      <c r="A555" t="s">
        <v>41</v>
      </c>
      <c r="B555" t="s">
        <v>42</v>
      </c>
      <c r="C555" t="s">
        <v>9</v>
      </c>
      <c r="D555" t="s">
        <v>10</v>
      </c>
      <c r="E555">
        <v>2018</v>
      </c>
      <c r="F555" s="1">
        <v>100</v>
      </c>
      <c r="G555">
        <v>2020</v>
      </c>
      <c r="H555">
        <f>AVERAGEIFS(Table1[value],Table1[IndicatorCode],Table1[[#This Row],[IndicatorCode]])</f>
        <v>99.756410256410263</v>
      </c>
      <c r="I555" cm="1">
        <f t="array" ref="I555">_xlfn.STDEV.P(IF(Table1[IndicatorCode]=Table1[[#This Row],[IndicatorCode]],Table1[value]))</f>
        <v>1.1047979755287356</v>
      </c>
      <c r="J555">
        <f>(Table1[[#This Row],[value]] - Table1[[#This Row],[mean]]) / Table1[[#This Row],[std_dev]]</f>
        <v>0.22048351733552002</v>
      </c>
      <c r="K555">
        <f>AVERAGEIF(Table1[CountryCode],Table1[[#This Row],[CountryCode]],Table1[z-score])</f>
        <v>0.48103769638692301</v>
      </c>
      <c r="L555" t="e">
        <f>VLOOKUP(Table1[[#This Row],[CountryCode]],[1]!Table1[#All],1,FALSE)</f>
        <v>#REF!</v>
      </c>
    </row>
    <row r="556" spans="1:12" hidden="1" x14ac:dyDescent="0.3">
      <c r="A556" t="s">
        <v>41</v>
      </c>
      <c r="B556" t="s">
        <v>42</v>
      </c>
      <c r="C556" t="s">
        <v>9</v>
      </c>
      <c r="D556" t="s">
        <v>10</v>
      </c>
      <c r="E556">
        <v>2019</v>
      </c>
      <c r="F556" s="1">
        <v>100</v>
      </c>
      <c r="G556">
        <v>2020</v>
      </c>
      <c r="H556">
        <f>AVERAGEIFS(Table1[value],Table1[IndicatorCode],Table1[[#This Row],[IndicatorCode]])</f>
        <v>99.756410256410263</v>
      </c>
      <c r="I556" cm="1">
        <f t="array" ref="I556">_xlfn.STDEV.P(IF(Table1[IndicatorCode]=Table1[[#This Row],[IndicatorCode]],Table1[value]))</f>
        <v>1.1047979755287356</v>
      </c>
      <c r="J556">
        <f>(Table1[[#This Row],[value]] - Table1[[#This Row],[mean]]) / Table1[[#This Row],[std_dev]]</f>
        <v>0.22048351733552002</v>
      </c>
      <c r="K556">
        <f>AVERAGEIF(Table1[CountryCode],Table1[[#This Row],[CountryCode]],Table1[z-score])</f>
        <v>0.48103769638692301</v>
      </c>
      <c r="L556" t="e">
        <f>VLOOKUP(Table1[[#This Row],[CountryCode]],[1]!Table1[#All],1,FALSE)</f>
        <v>#REF!</v>
      </c>
    </row>
    <row r="557" spans="1:12" x14ac:dyDescent="0.3">
      <c r="A557" t="s">
        <v>41</v>
      </c>
      <c r="B557" t="s">
        <v>42</v>
      </c>
      <c r="C557" t="s">
        <v>9</v>
      </c>
      <c r="D557" t="s">
        <v>10</v>
      </c>
      <c r="E557">
        <v>2020</v>
      </c>
      <c r="F557" s="1">
        <v>100</v>
      </c>
      <c r="G557">
        <v>2020</v>
      </c>
      <c r="H557">
        <f>AVERAGEIFS(Table1[value],Table1[IndicatorCode],Table1[[#This Row],[IndicatorCode]])</f>
        <v>99.756410256410263</v>
      </c>
      <c r="I557" cm="1">
        <f t="array" ref="I557">_xlfn.STDEV.P(IF(Table1[IndicatorCode]=Table1[[#This Row],[IndicatorCode]],Table1[value]))</f>
        <v>1.1047979755287356</v>
      </c>
      <c r="J557">
        <f>(Table1[[#This Row],[value]] - Table1[[#This Row],[mean]]) / Table1[[#This Row],[std_dev]]</f>
        <v>0.22048351733552002</v>
      </c>
      <c r="K557">
        <f>AVERAGEIF(Table1[CountryCode],Table1[[#This Row],[CountryCode]],Table1[z-score])</f>
        <v>0.48103769638692301</v>
      </c>
    </row>
    <row r="558" spans="1:12" hidden="1" x14ac:dyDescent="0.3">
      <c r="A558" t="s">
        <v>41</v>
      </c>
      <c r="B558" t="s">
        <v>42</v>
      </c>
      <c r="C558" t="s">
        <v>9</v>
      </c>
      <c r="D558" t="s">
        <v>10</v>
      </c>
      <c r="E558">
        <v>2021</v>
      </c>
      <c r="F558" s="1">
        <v>100</v>
      </c>
      <c r="G558">
        <v>1990</v>
      </c>
      <c r="H558">
        <f>AVERAGEIFS(Table1[value],Table1[IndicatorCode],Table1[[#This Row],[IndicatorCode]])</f>
        <v>99.756410256410263</v>
      </c>
      <c r="I558" cm="1">
        <f t="array" ref="I558">_xlfn.STDEV.P(IF(Table1[IndicatorCode]=Table1[[#This Row],[IndicatorCode]],Table1[value]))</f>
        <v>1.1047979755287356</v>
      </c>
      <c r="J558">
        <f>(Table1[[#This Row],[value]] - Table1[[#This Row],[mean]]) / Table1[[#This Row],[std_dev]]</f>
        <v>0.22048351733552002</v>
      </c>
      <c r="K558">
        <f>AVERAGEIF(Table1[CountryCode],Table1[[#This Row],[CountryCode]],Table1[z-score])</f>
        <v>0.48103769638692301</v>
      </c>
      <c r="L558" t="e">
        <f>VLOOKUP(Table1[[#This Row],[CountryCode]],[1]!Table1[#All],1,FALSE)</f>
        <v>#REF!</v>
      </c>
    </row>
    <row r="559" spans="1:12" hidden="1" x14ac:dyDescent="0.3">
      <c r="A559" t="s">
        <v>41</v>
      </c>
      <c r="B559" t="s">
        <v>42</v>
      </c>
      <c r="C559" t="s">
        <v>9</v>
      </c>
      <c r="D559" t="s">
        <v>10</v>
      </c>
      <c r="E559">
        <v>2022</v>
      </c>
      <c r="F559" s="1">
        <v>100</v>
      </c>
      <c r="G559">
        <v>1990</v>
      </c>
      <c r="H559">
        <f>AVERAGEIFS(Table1[value],Table1[IndicatorCode],Table1[[#This Row],[IndicatorCode]])</f>
        <v>99.756410256410263</v>
      </c>
      <c r="I559" cm="1">
        <f t="array" ref="I559">_xlfn.STDEV.P(IF(Table1[IndicatorCode]=Table1[[#This Row],[IndicatorCode]],Table1[value]))</f>
        <v>1.1047979755287356</v>
      </c>
      <c r="J559">
        <f>(Table1[[#This Row],[value]] - Table1[[#This Row],[mean]]) / Table1[[#This Row],[std_dev]]</f>
        <v>0.22048351733552002</v>
      </c>
      <c r="K559">
        <f>AVERAGEIF(Table1[CountryCode],Table1[[#This Row],[CountryCode]],Table1[z-score])</f>
        <v>0.48103769638692301</v>
      </c>
      <c r="L559" t="e">
        <f>VLOOKUP(Table1[[#This Row],[CountryCode]],[1]!Table1[#All],1,FALSE)</f>
        <v>#REF!</v>
      </c>
    </row>
    <row r="560" spans="1:12" hidden="1" x14ac:dyDescent="0.3">
      <c r="A560" t="s">
        <v>41</v>
      </c>
      <c r="B560" t="s">
        <v>42</v>
      </c>
      <c r="C560" t="s">
        <v>9</v>
      </c>
      <c r="D560" t="s">
        <v>10</v>
      </c>
      <c r="E560">
        <v>2023</v>
      </c>
      <c r="F560" s="1">
        <v>100</v>
      </c>
      <c r="G560">
        <v>1990</v>
      </c>
      <c r="H560">
        <f>AVERAGEIFS(Table1[value],Table1[IndicatorCode],Table1[[#This Row],[IndicatorCode]])</f>
        <v>99.756410256410263</v>
      </c>
      <c r="I560" cm="1">
        <f t="array" ref="I560">_xlfn.STDEV.P(IF(Table1[IndicatorCode]=Table1[[#This Row],[IndicatorCode]],Table1[value]))</f>
        <v>1.1047979755287356</v>
      </c>
      <c r="J560">
        <f>(Table1[[#This Row],[value]] - Table1[[#This Row],[mean]]) / Table1[[#This Row],[std_dev]]</f>
        <v>0.22048351733552002</v>
      </c>
      <c r="K560">
        <f>AVERAGEIF(Table1[CountryCode],Table1[[#This Row],[CountryCode]],Table1[z-score])</f>
        <v>0.48103769638692301</v>
      </c>
      <c r="L560" t="e">
        <f>VLOOKUP(Table1[[#This Row],[CountryCode]],[1]!Table1[#All],1,FALSE)</f>
        <v>#REF!</v>
      </c>
    </row>
    <row r="561" spans="1:12" hidden="1" x14ac:dyDescent="0.3">
      <c r="A561" t="s">
        <v>43</v>
      </c>
      <c r="B561" t="s">
        <v>44</v>
      </c>
      <c r="C561" t="s">
        <v>9</v>
      </c>
      <c r="D561" t="s">
        <v>10</v>
      </c>
      <c r="E561">
        <v>1990</v>
      </c>
      <c r="F561" s="1">
        <v>100</v>
      </c>
      <c r="G561">
        <v>1990</v>
      </c>
      <c r="H561">
        <f>AVERAGEIFS(Table1[value],Table1[IndicatorCode],Table1[[#This Row],[IndicatorCode]])</f>
        <v>99.756410256410263</v>
      </c>
      <c r="I561" cm="1">
        <f t="array" ref="I561">_xlfn.STDEV.P(IF(Table1[IndicatorCode]=Table1[[#This Row],[IndicatorCode]],Table1[value]))</f>
        <v>1.1047979755287356</v>
      </c>
      <c r="J561">
        <f>(Table1[[#This Row],[value]] - Table1[[#This Row],[mean]]) / Table1[[#This Row],[std_dev]]</f>
        <v>0.22048351733552002</v>
      </c>
      <c r="K561">
        <f>AVERAGEIF(Table1[CountryCode],Table1[[#This Row],[CountryCode]],Table1[z-score])</f>
        <v>0.36646997985615637</v>
      </c>
      <c r="L561" t="e">
        <f>VLOOKUP(Table1[[#This Row],[CountryCode]],[1]!Table1[#All],1,FALSE)</f>
        <v>#REF!</v>
      </c>
    </row>
    <row r="562" spans="1:12" hidden="1" x14ac:dyDescent="0.3">
      <c r="A562" t="s">
        <v>43</v>
      </c>
      <c r="B562" t="s">
        <v>44</v>
      </c>
      <c r="C562" t="s">
        <v>9</v>
      </c>
      <c r="D562" t="s">
        <v>10</v>
      </c>
      <c r="E562">
        <v>1991</v>
      </c>
      <c r="F562" s="1">
        <v>100</v>
      </c>
      <c r="G562">
        <v>1990</v>
      </c>
      <c r="H562">
        <f>AVERAGEIFS(Table1[value],Table1[IndicatorCode],Table1[[#This Row],[IndicatorCode]])</f>
        <v>99.756410256410263</v>
      </c>
      <c r="I562" cm="1">
        <f t="array" ref="I562">_xlfn.STDEV.P(IF(Table1[IndicatorCode]=Table1[[#This Row],[IndicatorCode]],Table1[value]))</f>
        <v>1.1047979755287356</v>
      </c>
      <c r="J562">
        <f>(Table1[[#This Row],[value]] - Table1[[#This Row],[mean]]) / Table1[[#This Row],[std_dev]]</f>
        <v>0.22048351733552002</v>
      </c>
      <c r="K562">
        <f>AVERAGEIF(Table1[CountryCode],Table1[[#This Row],[CountryCode]],Table1[z-score])</f>
        <v>0.36646997985615637</v>
      </c>
      <c r="L562" t="e">
        <f>VLOOKUP(Table1[[#This Row],[CountryCode]],[1]!Table1[#All],1,FALSE)</f>
        <v>#REF!</v>
      </c>
    </row>
    <row r="563" spans="1:12" hidden="1" x14ac:dyDescent="0.3">
      <c r="A563" t="s">
        <v>43</v>
      </c>
      <c r="B563" t="s">
        <v>44</v>
      </c>
      <c r="C563" t="s">
        <v>9</v>
      </c>
      <c r="D563" t="s">
        <v>10</v>
      </c>
      <c r="E563">
        <v>1992</v>
      </c>
      <c r="F563" s="1">
        <v>100</v>
      </c>
      <c r="G563">
        <v>1990</v>
      </c>
      <c r="H563">
        <f>AVERAGEIFS(Table1[value],Table1[IndicatorCode],Table1[[#This Row],[IndicatorCode]])</f>
        <v>99.756410256410263</v>
      </c>
      <c r="I563" cm="1">
        <f t="array" ref="I563">_xlfn.STDEV.P(IF(Table1[IndicatorCode]=Table1[[#This Row],[IndicatorCode]],Table1[value]))</f>
        <v>1.1047979755287356</v>
      </c>
      <c r="J563">
        <f>(Table1[[#This Row],[value]] - Table1[[#This Row],[mean]]) / Table1[[#This Row],[std_dev]]</f>
        <v>0.22048351733552002</v>
      </c>
      <c r="K563">
        <f>AVERAGEIF(Table1[CountryCode],Table1[[#This Row],[CountryCode]],Table1[z-score])</f>
        <v>0.36646997985615637</v>
      </c>
      <c r="L563" t="e">
        <f>VLOOKUP(Table1[[#This Row],[CountryCode]],[1]!Table1[#All],1,FALSE)</f>
        <v>#REF!</v>
      </c>
    </row>
    <row r="564" spans="1:12" hidden="1" x14ac:dyDescent="0.3">
      <c r="A564" t="s">
        <v>43</v>
      </c>
      <c r="B564" t="s">
        <v>44</v>
      </c>
      <c r="C564" t="s">
        <v>9</v>
      </c>
      <c r="D564" t="s">
        <v>10</v>
      </c>
      <c r="E564">
        <v>1993</v>
      </c>
      <c r="F564" s="1">
        <v>100</v>
      </c>
      <c r="G564">
        <v>1990</v>
      </c>
      <c r="H564">
        <f>AVERAGEIFS(Table1[value],Table1[IndicatorCode],Table1[[#This Row],[IndicatorCode]])</f>
        <v>99.756410256410263</v>
      </c>
      <c r="I564" cm="1">
        <f t="array" ref="I564">_xlfn.STDEV.P(IF(Table1[IndicatorCode]=Table1[[#This Row],[IndicatorCode]],Table1[value]))</f>
        <v>1.1047979755287356</v>
      </c>
      <c r="J564">
        <f>(Table1[[#This Row],[value]] - Table1[[#This Row],[mean]]) / Table1[[#This Row],[std_dev]]</f>
        <v>0.22048351733552002</v>
      </c>
      <c r="K564">
        <f>AVERAGEIF(Table1[CountryCode],Table1[[#This Row],[CountryCode]],Table1[z-score])</f>
        <v>0.36646997985615637</v>
      </c>
      <c r="L564" t="e">
        <f>VLOOKUP(Table1[[#This Row],[CountryCode]],[1]!Table1[#All],1,FALSE)</f>
        <v>#REF!</v>
      </c>
    </row>
    <row r="565" spans="1:12" hidden="1" x14ac:dyDescent="0.3">
      <c r="A565" t="s">
        <v>43</v>
      </c>
      <c r="B565" t="s">
        <v>44</v>
      </c>
      <c r="C565" t="s">
        <v>9</v>
      </c>
      <c r="D565" t="s">
        <v>10</v>
      </c>
      <c r="E565">
        <v>1994</v>
      </c>
      <c r="F565" s="1">
        <v>100</v>
      </c>
      <c r="G565">
        <v>1990</v>
      </c>
      <c r="H565">
        <f>AVERAGEIFS(Table1[value],Table1[IndicatorCode],Table1[[#This Row],[IndicatorCode]])</f>
        <v>99.756410256410263</v>
      </c>
      <c r="I565" cm="1">
        <f t="array" ref="I565">_xlfn.STDEV.P(IF(Table1[IndicatorCode]=Table1[[#This Row],[IndicatorCode]],Table1[value]))</f>
        <v>1.1047979755287356</v>
      </c>
      <c r="J565">
        <f>(Table1[[#This Row],[value]] - Table1[[#This Row],[mean]]) / Table1[[#This Row],[std_dev]]</f>
        <v>0.22048351733552002</v>
      </c>
      <c r="K565">
        <f>AVERAGEIF(Table1[CountryCode],Table1[[#This Row],[CountryCode]],Table1[z-score])</f>
        <v>0.36646997985615637</v>
      </c>
      <c r="L565" t="e">
        <f>VLOOKUP(Table1[[#This Row],[CountryCode]],[1]!Table1[#All],1,FALSE)</f>
        <v>#REF!</v>
      </c>
    </row>
    <row r="566" spans="1:12" hidden="1" x14ac:dyDescent="0.3">
      <c r="A566" t="s">
        <v>43</v>
      </c>
      <c r="B566" t="s">
        <v>44</v>
      </c>
      <c r="C566" t="s">
        <v>9</v>
      </c>
      <c r="D566" t="s">
        <v>10</v>
      </c>
      <c r="E566">
        <v>1995</v>
      </c>
      <c r="F566" s="1">
        <v>100</v>
      </c>
      <c r="G566">
        <v>1990</v>
      </c>
      <c r="H566">
        <f>AVERAGEIFS(Table1[value],Table1[IndicatorCode],Table1[[#This Row],[IndicatorCode]])</f>
        <v>99.756410256410263</v>
      </c>
      <c r="I566" cm="1">
        <f t="array" ref="I566">_xlfn.STDEV.P(IF(Table1[IndicatorCode]=Table1[[#This Row],[IndicatorCode]],Table1[value]))</f>
        <v>1.1047979755287356</v>
      </c>
      <c r="J566">
        <f>(Table1[[#This Row],[value]] - Table1[[#This Row],[mean]]) / Table1[[#This Row],[std_dev]]</f>
        <v>0.22048351733552002</v>
      </c>
      <c r="K566">
        <f>AVERAGEIF(Table1[CountryCode],Table1[[#This Row],[CountryCode]],Table1[z-score])</f>
        <v>0.36646997985615637</v>
      </c>
      <c r="L566" t="e">
        <f>VLOOKUP(Table1[[#This Row],[CountryCode]],[1]!Table1[#All],1,FALSE)</f>
        <v>#REF!</v>
      </c>
    </row>
    <row r="567" spans="1:12" hidden="1" x14ac:dyDescent="0.3">
      <c r="A567" t="s">
        <v>43</v>
      </c>
      <c r="B567" t="s">
        <v>44</v>
      </c>
      <c r="C567" t="s">
        <v>9</v>
      </c>
      <c r="D567" t="s">
        <v>10</v>
      </c>
      <c r="E567">
        <v>1996</v>
      </c>
      <c r="F567" s="1">
        <v>100</v>
      </c>
      <c r="G567">
        <v>1990</v>
      </c>
      <c r="H567">
        <f>AVERAGEIFS(Table1[value],Table1[IndicatorCode],Table1[[#This Row],[IndicatorCode]])</f>
        <v>99.756410256410263</v>
      </c>
      <c r="I567" cm="1">
        <f t="array" ref="I567">_xlfn.STDEV.P(IF(Table1[IndicatorCode]=Table1[[#This Row],[IndicatorCode]],Table1[value]))</f>
        <v>1.1047979755287356</v>
      </c>
      <c r="J567">
        <f>(Table1[[#This Row],[value]] - Table1[[#This Row],[mean]]) / Table1[[#This Row],[std_dev]]</f>
        <v>0.22048351733552002</v>
      </c>
      <c r="K567">
        <f>AVERAGEIF(Table1[CountryCode],Table1[[#This Row],[CountryCode]],Table1[z-score])</f>
        <v>0.36646997985615637</v>
      </c>
      <c r="L567" t="e">
        <f>VLOOKUP(Table1[[#This Row],[CountryCode]],[1]!Table1[#All],1,FALSE)</f>
        <v>#REF!</v>
      </c>
    </row>
    <row r="568" spans="1:12" hidden="1" x14ac:dyDescent="0.3">
      <c r="A568" t="s">
        <v>43</v>
      </c>
      <c r="B568" t="s">
        <v>44</v>
      </c>
      <c r="C568" t="s">
        <v>9</v>
      </c>
      <c r="D568" t="s">
        <v>10</v>
      </c>
      <c r="E568">
        <v>1997</v>
      </c>
      <c r="F568" s="1">
        <v>100</v>
      </c>
      <c r="G568">
        <v>2000</v>
      </c>
      <c r="H568">
        <f>AVERAGEIFS(Table1[value],Table1[IndicatorCode],Table1[[#This Row],[IndicatorCode]])</f>
        <v>99.756410256410263</v>
      </c>
      <c r="I568" cm="1">
        <f t="array" ref="I568">_xlfn.STDEV.P(IF(Table1[IndicatorCode]=Table1[[#This Row],[IndicatorCode]],Table1[value]))</f>
        <v>1.1047979755287356</v>
      </c>
      <c r="J568">
        <f>(Table1[[#This Row],[value]] - Table1[[#This Row],[mean]]) / Table1[[#This Row],[std_dev]]</f>
        <v>0.22048351733552002</v>
      </c>
      <c r="K568">
        <f>AVERAGEIF(Table1[CountryCode],Table1[[#This Row],[CountryCode]],Table1[z-score])</f>
        <v>0.36646997985615637</v>
      </c>
      <c r="L568" t="e">
        <f>VLOOKUP(Table1[[#This Row],[CountryCode]],[1]!Table1[#All],1,FALSE)</f>
        <v>#REF!</v>
      </c>
    </row>
    <row r="569" spans="1:12" hidden="1" x14ac:dyDescent="0.3">
      <c r="A569" t="s">
        <v>43</v>
      </c>
      <c r="B569" t="s">
        <v>44</v>
      </c>
      <c r="C569" t="s">
        <v>9</v>
      </c>
      <c r="D569" t="s">
        <v>10</v>
      </c>
      <c r="E569">
        <v>1998</v>
      </c>
      <c r="F569" s="1">
        <v>100</v>
      </c>
      <c r="G569">
        <v>2000</v>
      </c>
      <c r="H569">
        <f>AVERAGEIFS(Table1[value],Table1[IndicatorCode],Table1[[#This Row],[IndicatorCode]])</f>
        <v>99.756410256410263</v>
      </c>
      <c r="I569" cm="1">
        <f t="array" ref="I569">_xlfn.STDEV.P(IF(Table1[IndicatorCode]=Table1[[#This Row],[IndicatorCode]],Table1[value]))</f>
        <v>1.1047979755287356</v>
      </c>
      <c r="J569">
        <f>(Table1[[#This Row],[value]] - Table1[[#This Row],[mean]]) / Table1[[#This Row],[std_dev]]</f>
        <v>0.22048351733552002</v>
      </c>
      <c r="K569">
        <f>AVERAGEIF(Table1[CountryCode],Table1[[#This Row],[CountryCode]],Table1[z-score])</f>
        <v>0.36646997985615637</v>
      </c>
      <c r="L569" t="e">
        <f>VLOOKUP(Table1[[#This Row],[CountryCode]],[1]!Table1[#All],1,FALSE)</f>
        <v>#REF!</v>
      </c>
    </row>
    <row r="570" spans="1:12" hidden="1" x14ac:dyDescent="0.3">
      <c r="A570" t="s">
        <v>43</v>
      </c>
      <c r="B570" t="s">
        <v>44</v>
      </c>
      <c r="C570" t="s">
        <v>9</v>
      </c>
      <c r="D570" t="s">
        <v>10</v>
      </c>
      <c r="E570">
        <v>1999</v>
      </c>
      <c r="F570" s="1">
        <v>100</v>
      </c>
      <c r="G570">
        <v>2000</v>
      </c>
      <c r="H570">
        <f>AVERAGEIFS(Table1[value],Table1[IndicatorCode],Table1[[#This Row],[IndicatorCode]])</f>
        <v>99.756410256410263</v>
      </c>
      <c r="I570" cm="1">
        <f t="array" ref="I570">_xlfn.STDEV.P(IF(Table1[IndicatorCode]=Table1[[#This Row],[IndicatorCode]],Table1[value]))</f>
        <v>1.1047979755287356</v>
      </c>
      <c r="J570">
        <f>(Table1[[#This Row],[value]] - Table1[[#This Row],[mean]]) / Table1[[#This Row],[std_dev]]</f>
        <v>0.22048351733552002</v>
      </c>
      <c r="K570">
        <f>AVERAGEIF(Table1[CountryCode],Table1[[#This Row],[CountryCode]],Table1[z-score])</f>
        <v>0.36646997985615637</v>
      </c>
      <c r="L570" t="e">
        <f>VLOOKUP(Table1[[#This Row],[CountryCode]],[1]!Table1[#All],1,FALSE)</f>
        <v>#REF!</v>
      </c>
    </row>
    <row r="571" spans="1:12" hidden="1" x14ac:dyDescent="0.3">
      <c r="A571" t="s">
        <v>43</v>
      </c>
      <c r="B571" t="s">
        <v>44</v>
      </c>
      <c r="C571" t="s">
        <v>9</v>
      </c>
      <c r="D571" t="s">
        <v>10</v>
      </c>
      <c r="E571">
        <v>2000</v>
      </c>
      <c r="F571" s="1">
        <v>100</v>
      </c>
      <c r="G571">
        <v>2000</v>
      </c>
      <c r="H571">
        <f>AVERAGEIFS(Table1[value],Table1[IndicatorCode],Table1[[#This Row],[IndicatorCode]])</f>
        <v>99.756410256410263</v>
      </c>
      <c r="I571" cm="1">
        <f t="array" ref="I571">_xlfn.STDEV.P(IF(Table1[IndicatorCode]=Table1[[#This Row],[IndicatorCode]],Table1[value]))</f>
        <v>1.1047979755287356</v>
      </c>
      <c r="J571">
        <f>(Table1[[#This Row],[value]] - Table1[[#This Row],[mean]]) / Table1[[#This Row],[std_dev]]</f>
        <v>0.22048351733552002</v>
      </c>
      <c r="K571">
        <f>AVERAGEIF(Table1[CountryCode],Table1[[#This Row],[CountryCode]],Table1[z-score])</f>
        <v>0.36646997985615637</v>
      </c>
      <c r="L571" t="e">
        <f>VLOOKUP(Table1[[#This Row],[CountryCode]],[1]!Table1[#All],1,FALSE)</f>
        <v>#REF!</v>
      </c>
    </row>
    <row r="572" spans="1:12" hidden="1" x14ac:dyDescent="0.3">
      <c r="A572" t="s">
        <v>43</v>
      </c>
      <c r="B572" t="s">
        <v>44</v>
      </c>
      <c r="C572" t="s">
        <v>9</v>
      </c>
      <c r="D572" t="s">
        <v>10</v>
      </c>
      <c r="E572">
        <v>2001</v>
      </c>
      <c r="F572" s="1">
        <v>100</v>
      </c>
      <c r="G572">
        <v>2000</v>
      </c>
      <c r="H572">
        <f>AVERAGEIFS(Table1[value],Table1[IndicatorCode],Table1[[#This Row],[IndicatorCode]])</f>
        <v>99.756410256410263</v>
      </c>
      <c r="I572" cm="1">
        <f t="array" ref="I572">_xlfn.STDEV.P(IF(Table1[IndicatorCode]=Table1[[#This Row],[IndicatorCode]],Table1[value]))</f>
        <v>1.1047979755287356</v>
      </c>
      <c r="J572">
        <f>(Table1[[#This Row],[value]] - Table1[[#This Row],[mean]]) / Table1[[#This Row],[std_dev]]</f>
        <v>0.22048351733552002</v>
      </c>
      <c r="K572">
        <f>AVERAGEIF(Table1[CountryCode],Table1[[#This Row],[CountryCode]],Table1[z-score])</f>
        <v>0.36646997985615637</v>
      </c>
      <c r="L572" t="e">
        <f>VLOOKUP(Table1[[#This Row],[CountryCode]],[1]!Table1[#All],1,FALSE)</f>
        <v>#REF!</v>
      </c>
    </row>
    <row r="573" spans="1:12" hidden="1" x14ac:dyDescent="0.3">
      <c r="A573" t="s">
        <v>43</v>
      </c>
      <c r="B573" t="s">
        <v>44</v>
      </c>
      <c r="C573" t="s">
        <v>9</v>
      </c>
      <c r="D573" t="s">
        <v>10</v>
      </c>
      <c r="E573">
        <v>2002</v>
      </c>
      <c r="F573" s="1">
        <v>100</v>
      </c>
      <c r="G573">
        <v>2000</v>
      </c>
      <c r="H573">
        <f>AVERAGEIFS(Table1[value],Table1[IndicatorCode],Table1[[#This Row],[IndicatorCode]])</f>
        <v>99.756410256410263</v>
      </c>
      <c r="I573" cm="1">
        <f t="array" ref="I573">_xlfn.STDEV.P(IF(Table1[IndicatorCode]=Table1[[#This Row],[IndicatorCode]],Table1[value]))</f>
        <v>1.1047979755287356</v>
      </c>
      <c r="J573">
        <f>(Table1[[#This Row],[value]] - Table1[[#This Row],[mean]]) / Table1[[#This Row],[std_dev]]</f>
        <v>0.22048351733552002</v>
      </c>
      <c r="K573">
        <f>AVERAGEIF(Table1[CountryCode],Table1[[#This Row],[CountryCode]],Table1[z-score])</f>
        <v>0.36646997985615637</v>
      </c>
      <c r="L573" t="e">
        <f>VLOOKUP(Table1[[#This Row],[CountryCode]],[1]!Table1[#All],1,FALSE)</f>
        <v>#REF!</v>
      </c>
    </row>
    <row r="574" spans="1:12" hidden="1" x14ac:dyDescent="0.3">
      <c r="A574" t="s">
        <v>43</v>
      </c>
      <c r="B574" t="s">
        <v>44</v>
      </c>
      <c r="C574" t="s">
        <v>9</v>
      </c>
      <c r="D574" t="s">
        <v>10</v>
      </c>
      <c r="E574">
        <v>2003</v>
      </c>
      <c r="F574" s="1">
        <v>100</v>
      </c>
      <c r="G574">
        <v>2000</v>
      </c>
      <c r="H574">
        <f>AVERAGEIFS(Table1[value],Table1[IndicatorCode],Table1[[#This Row],[IndicatorCode]])</f>
        <v>99.756410256410263</v>
      </c>
      <c r="I574" cm="1">
        <f t="array" ref="I574">_xlfn.STDEV.P(IF(Table1[IndicatorCode]=Table1[[#This Row],[IndicatorCode]],Table1[value]))</f>
        <v>1.1047979755287356</v>
      </c>
      <c r="J574">
        <f>(Table1[[#This Row],[value]] - Table1[[#This Row],[mean]]) / Table1[[#This Row],[std_dev]]</f>
        <v>0.22048351733552002</v>
      </c>
      <c r="K574">
        <f>AVERAGEIF(Table1[CountryCode],Table1[[#This Row],[CountryCode]],Table1[z-score])</f>
        <v>0.36646997985615637</v>
      </c>
      <c r="L574" t="e">
        <f>VLOOKUP(Table1[[#This Row],[CountryCode]],[1]!Table1[#All],1,FALSE)</f>
        <v>#REF!</v>
      </c>
    </row>
    <row r="575" spans="1:12" hidden="1" x14ac:dyDescent="0.3">
      <c r="A575" t="s">
        <v>43</v>
      </c>
      <c r="B575" t="s">
        <v>44</v>
      </c>
      <c r="C575" t="s">
        <v>9</v>
      </c>
      <c r="D575" t="s">
        <v>10</v>
      </c>
      <c r="E575">
        <v>2004</v>
      </c>
      <c r="F575" s="1">
        <v>100</v>
      </c>
      <c r="G575">
        <v>2000</v>
      </c>
      <c r="H575">
        <f>AVERAGEIFS(Table1[value],Table1[IndicatorCode],Table1[[#This Row],[IndicatorCode]])</f>
        <v>99.756410256410263</v>
      </c>
      <c r="I575" cm="1">
        <f t="array" ref="I575">_xlfn.STDEV.P(IF(Table1[IndicatorCode]=Table1[[#This Row],[IndicatorCode]],Table1[value]))</f>
        <v>1.1047979755287356</v>
      </c>
      <c r="J575">
        <f>(Table1[[#This Row],[value]] - Table1[[#This Row],[mean]]) / Table1[[#This Row],[std_dev]]</f>
        <v>0.22048351733552002</v>
      </c>
      <c r="K575">
        <f>AVERAGEIF(Table1[CountryCode],Table1[[#This Row],[CountryCode]],Table1[z-score])</f>
        <v>0.36646997985615637</v>
      </c>
      <c r="L575" t="e">
        <f>VLOOKUP(Table1[[#This Row],[CountryCode]],[1]!Table1[#All],1,FALSE)</f>
        <v>#REF!</v>
      </c>
    </row>
    <row r="576" spans="1:12" hidden="1" x14ac:dyDescent="0.3">
      <c r="A576" t="s">
        <v>43</v>
      </c>
      <c r="B576" t="s">
        <v>44</v>
      </c>
      <c r="C576" t="s">
        <v>9</v>
      </c>
      <c r="D576" t="s">
        <v>10</v>
      </c>
      <c r="E576">
        <v>2005</v>
      </c>
      <c r="F576" s="1">
        <v>100</v>
      </c>
      <c r="G576">
        <v>2000</v>
      </c>
      <c r="H576">
        <f>AVERAGEIFS(Table1[value],Table1[IndicatorCode],Table1[[#This Row],[IndicatorCode]])</f>
        <v>99.756410256410263</v>
      </c>
      <c r="I576" cm="1">
        <f t="array" ref="I576">_xlfn.STDEV.P(IF(Table1[IndicatorCode]=Table1[[#This Row],[IndicatorCode]],Table1[value]))</f>
        <v>1.1047979755287356</v>
      </c>
      <c r="J576">
        <f>(Table1[[#This Row],[value]] - Table1[[#This Row],[mean]]) / Table1[[#This Row],[std_dev]]</f>
        <v>0.22048351733552002</v>
      </c>
      <c r="K576">
        <f>AVERAGEIF(Table1[CountryCode],Table1[[#This Row],[CountryCode]],Table1[z-score])</f>
        <v>0.36646997985615637</v>
      </c>
      <c r="L576" t="e">
        <f>VLOOKUP(Table1[[#This Row],[CountryCode]],[1]!Table1[#All],1,FALSE)</f>
        <v>#REF!</v>
      </c>
    </row>
    <row r="577" spans="1:12" hidden="1" x14ac:dyDescent="0.3">
      <c r="A577" t="s">
        <v>43</v>
      </c>
      <c r="B577" t="s">
        <v>44</v>
      </c>
      <c r="C577" t="s">
        <v>9</v>
      </c>
      <c r="D577" t="s">
        <v>10</v>
      </c>
      <c r="E577">
        <v>2006</v>
      </c>
      <c r="F577" s="1">
        <v>100</v>
      </c>
      <c r="G577">
        <v>2000</v>
      </c>
      <c r="H577">
        <f>AVERAGEIFS(Table1[value],Table1[IndicatorCode],Table1[[#This Row],[IndicatorCode]])</f>
        <v>99.756410256410263</v>
      </c>
      <c r="I577" cm="1">
        <f t="array" ref="I577">_xlfn.STDEV.P(IF(Table1[IndicatorCode]=Table1[[#This Row],[IndicatorCode]],Table1[value]))</f>
        <v>1.1047979755287356</v>
      </c>
      <c r="J577">
        <f>(Table1[[#This Row],[value]] - Table1[[#This Row],[mean]]) / Table1[[#This Row],[std_dev]]</f>
        <v>0.22048351733552002</v>
      </c>
      <c r="K577">
        <f>AVERAGEIF(Table1[CountryCode],Table1[[#This Row],[CountryCode]],Table1[z-score])</f>
        <v>0.36646997985615637</v>
      </c>
      <c r="L577" t="e">
        <f>VLOOKUP(Table1[[#This Row],[CountryCode]],[1]!Table1[#All],1,FALSE)</f>
        <v>#REF!</v>
      </c>
    </row>
    <row r="578" spans="1:12" hidden="1" x14ac:dyDescent="0.3">
      <c r="A578" t="s">
        <v>43</v>
      </c>
      <c r="B578" t="s">
        <v>44</v>
      </c>
      <c r="C578" t="s">
        <v>9</v>
      </c>
      <c r="D578" t="s">
        <v>10</v>
      </c>
      <c r="E578">
        <v>2007</v>
      </c>
      <c r="F578" s="1">
        <v>100</v>
      </c>
      <c r="G578">
        <v>2010</v>
      </c>
      <c r="H578">
        <f>AVERAGEIFS(Table1[value],Table1[IndicatorCode],Table1[[#This Row],[IndicatorCode]])</f>
        <v>99.756410256410263</v>
      </c>
      <c r="I578" cm="1">
        <f t="array" ref="I578">_xlfn.STDEV.P(IF(Table1[IndicatorCode]=Table1[[#This Row],[IndicatorCode]],Table1[value]))</f>
        <v>1.1047979755287356</v>
      </c>
      <c r="J578">
        <f>(Table1[[#This Row],[value]] - Table1[[#This Row],[mean]]) / Table1[[#This Row],[std_dev]]</f>
        <v>0.22048351733552002</v>
      </c>
      <c r="K578">
        <f>AVERAGEIF(Table1[CountryCode],Table1[[#This Row],[CountryCode]],Table1[z-score])</f>
        <v>0.36646997985615637</v>
      </c>
      <c r="L578" t="e">
        <f>VLOOKUP(Table1[[#This Row],[CountryCode]],[1]!Table1[#All],1,FALSE)</f>
        <v>#REF!</v>
      </c>
    </row>
    <row r="579" spans="1:12" hidden="1" x14ac:dyDescent="0.3">
      <c r="A579" t="s">
        <v>43</v>
      </c>
      <c r="B579" t="s">
        <v>44</v>
      </c>
      <c r="C579" t="s">
        <v>9</v>
      </c>
      <c r="D579" t="s">
        <v>10</v>
      </c>
      <c r="E579">
        <v>2008</v>
      </c>
      <c r="F579" s="1">
        <v>100</v>
      </c>
      <c r="G579">
        <v>2010</v>
      </c>
      <c r="H579">
        <f>AVERAGEIFS(Table1[value],Table1[IndicatorCode],Table1[[#This Row],[IndicatorCode]])</f>
        <v>99.756410256410263</v>
      </c>
      <c r="I579" cm="1">
        <f t="array" ref="I579">_xlfn.STDEV.P(IF(Table1[IndicatorCode]=Table1[[#This Row],[IndicatorCode]],Table1[value]))</f>
        <v>1.1047979755287356</v>
      </c>
      <c r="J579">
        <f>(Table1[[#This Row],[value]] - Table1[[#This Row],[mean]]) / Table1[[#This Row],[std_dev]]</f>
        <v>0.22048351733552002</v>
      </c>
      <c r="K579">
        <f>AVERAGEIF(Table1[CountryCode],Table1[[#This Row],[CountryCode]],Table1[z-score])</f>
        <v>0.36646997985615637</v>
      </c>
      <c r="L579" t="e">
        <f>VLOOKUP(Table1[[#This Row],[CountryCode]],[1]!Table1[#All],1,FALSE)</f>
        <v>#REF!</v>
      </c>
    </row>
    <row r="580" spans="1:12" hidden="1" x14ac:dyDescent="0.3">
      <c r="A580" t="s">
        <v>43</v>
      </c>
      <c r="B580" t="s">
        <v>44</v>
      </c>
      <c r="C580" t="s">
        <v>9</v>
      </c>
      <c r="D580" t="s">
        <v>10</v>
      </c>
      <c r="E580">
        <v>2009</v>
      </c>
      <c r="F580" s="1">
        <v>100</v>
      </c>
      <c r="G580">
        <v>2010</v>
      </c>
      <c r="H580">
        <f>AVERAGEIFS(Table1[value],Table1[IndicatorCode],Table1[[#This Row],[IndicatorCode]])</f>
        <v>99.756410256410263</v>
      </c>
      <c r="I580" cm="1">
        <f t="array" ref="I580">_xlfn.STDEV.P(IF(Table1[IndicatorCode]=Table1[[#This Row],[IndicatorCode]],Table1[value]))</f>
        <v>1.1047979755287356</v>
      </c>
      <c r="J580">
        <f>(Table1[[#This Row],[value]] - Table1[[#This Row],[mean]]) / Table1[[#This Row],[std_dev]]</f>
        <v>0.22048351733552002</v>
      </c>
      <c r="K580">
        <f>AVERAGEIF(Table1[CountryCode],Table1[[#This Row],[CountryCode]],Table1[z-score])</f>
        <v>0.36646997985615637</v>
      </c>
      <c r="L580" t="e">
        <f>VLOOKUP(Table1[[#This Row],[CountryCode]],[1]!Table1[#All],1,FALSE)</f>
        <v>#REF!</v>
      </c>
    </row>
    <row r="581" spans="1:12" hidden="1" x14ac:dyDescent="0.3">
      <c r="A581" t="s">
        <v>43</v>
      </c>
      <c r="B581" t="s">
        <v>44</v>
      </c>
      <c r="C581" t="s">
        <v>9</v>
      </c>
      <c r="D581" t="s">
        <v>10</v>
      </c>
      <c r="E581">
        <v>2010</v>
      </c>
      <c r="F581" s="1">
        <v>100</v>
      </c>
      <c r="G581">
        <v>2010</v>
      </c>
      <c r="H581">
        <f>AVERAGEIFS(Table1[value],Table1[IndicatorCode],Table1[[#This Row],[IndicatorCode]])</f>
        <v>99.756410256410263</v>
      </c>
      <c r="I581" cm="1">
        <f t="array" ref="I581">_xlfn.STDEV.P(IF(Table1[IndicatorCode]=Table1[[#This Row],[IndicatorCode]],Table1[value]))</f>
        <v>1.1047979755287356</v>
      </c>
      <c r="J581">
        <f>(Table1[[#This Row],[value]] - Table1[[#This Row],[mean]]) / Table1[[#This Row],[std_dev]]</f>
        <v>0.22048351733552002</v>
      </c>
      <c r="K581">
        <f>AVERAGEIF(Table1[CountryCode],Table1[[#This Row],[CountryCode]],Table1[z-score])</f>
        <v>0.36646997985615637</v>
      </c>
      <c r="L581" t="e">
        <f>VLOOKUP(Table1[[#This Row],[CountryCode]],[1]!Table1[#All],1,FALSE)</f>
        <v>#REF!</v>
      </c>
    </row>
    <row r="582" spans="1:12" hidden="1" x14ac:dyDescent="0.3">
      <c r="A582" t="s">
        <v>43</v>
      </c>
      <c r="B582" t="s">
        <v>44</v>
      </c>
      <c r="C582" t="s">
        <v>9</v>
      </c>
      <c r="D582" t="s">
        <v>10</v>
      </c>
      <c r="E582">
        <v>2011</v>
      </c>
      <c r="F582" s="1">
        <v>100</v>
      </c>
      <c r="G582">
        <v>2010</v>
      </c>
      <c r="H582">
        <f>AVERAGEIFS(Table1[value],Table1[IndicatorCode],Table1[[#This Row],[IndicatorCode]])</f>
        <v>99.756410256410263</v>
      </c>
      <c r="I582" cm="1">
        <f t="array" ref="I582">_xlfn.STDEV.P(IF(Table1[IndicatorCode]=Table1[[#This Row],[IndicatorCode]],Table1[value]))</f>
        <v>1.1047979755287356</v>
      </c>
      <c r="J582">
        <f>(Table1[[#This Row],[value]] - Table1[[#This Row],[mean]]) / Table1[[#This Row],[std_dev]]</f>
        <v>0.22048351733552002</v>
      </c>
      <c r="K582">
        <f>AVERAGEIF(Table1[CountryCode],Table1[[#This Row],[CountryCode]],Table1[z-score])</f>
        <v>0.36646997985615637</v>
      </c>
      <c r="L582" t="e">
        <f>VLOOKUP(Table1[[#This Row],[CountryCode]],[1]!Table1[#All],1,FALSE)</f>
        <v>#REF!</v>
      </c>
    </row>
    <row r="583" spans="1:12" hidden="1" x14ac:dyDescent="0.3">
      <c r="A583" t="s">
        <v>43</v>
      </c>
      <c r="B583" t="s">
        <v>44</v>
      </c>
      <c r="C583" t="s">
        <v>9</v>
      </c>
      <c r="D583" t="s">
        <v>10</v>
      </c>
      <c r="E583">
        <v>2012</v>
      </c>
      <c r="F583" s="1">
        <v>100</v>
      </c>
      <c r="G583">
        <v>2010</v>
      </c>
      <c r="H583">
        <f>AVERAGEIFS(Table1[value],Table1[IndicatorCode],Table1[[#This Row],[IndicatorCode]])</f>
        <v>99.756410256410263</v>
      </c>
      <c r="I583" cm="1">
        <f t="array" ref="I583">_xlfn.STDEV.P(IF(Table1[IndicatorCode]=Table1[[#This Row],[IndicatorCode]],Table1[value]))</f>
        <v>1.1047979755287356</v>
      </c>
      <c r="J583">
        <f>(Table1[[#This Row],[value]] - Table1[[#This Row],[mean]]) / Table1[[#This Row],[std_dev]]</f>
        <v>0.22048351733552002</v>
      </c>
      <c r="K583">
        <f>AVERAGEIF(Table1[CountryCode],Table1[[#This Row],[CountryCode]],Table1[z-score])</f>
        <v>0.36646997985615637</v>
      </c>
      <c r="L583" t="e">
        <f>VLOOKUP(Table1[[#This Row],[CountryCode]],[1]!Table1[#All],1,FALSE)</f>
        <v>#REF!</v>
      </c>
    </row>
    <row r="584" spans="1:12" hidden="1" x14ac:dyDescent="0.3">
      <c r="A584" t="s">
        <v>43</v>
      </c>
      <c r="B584" t="s">
        <v>44</v>
      </c>
      <c r="C584" t="s">
        <v>9</v>
      </c>
      <c r="D584" t="s">
        <v>10</v>
      </c>
      <c r="E584">
        <v>2013</v>
      </c>
      <c r="F584" s="1">
        <v>100</v>
      </c>
      <c r="G584">
        <v>2010</v>
      </c>
      <c r="H584">
        <f>AVERAGEIFS(Table1[value],Table1[IndicatorCode],Table1[[#This Row],[IndicatorCode]])</f>
        <v>99.756410256410263</v>
      </c>
      <c r="I584" cm="1">
        <f t="array" ref="I584">_xlfn.STDEV.P(IF(Table1[IndicatorCode]=Table1[[#This Row],[IndicatorCode]],Table1[value]))</f>
        <v>1.1047979755287356</v>
      </c>
      <c r="J584">
        <f>(Table1[[#This Row],[value]] - Table1[[#This Row],[mean]]) / Table1[[#This Row],[std_dev]]</f>
        <v>0.22048351733552002</v>
      </c>
      <c r="K584">
        <f>AVERAGEIF(Table1[CountryCode],Table1[[#This Row],[CountryCode]],Table1[z-score])</f>
        <v>0.36646997985615637</v>
      </c>
      <c r="L584" t="e">
        <f>VLOOKUP(Table1[[#This Row],[CountryCode]],[1]!Table1[#All],1,FALSE)</f>
        <v>#REF!</v>
      </c>
    </row>
    <row r="585" spans="1:12" hidden="1" x14ac:dyDescent="0.3">
      <c r="A585" t="s">
        <v>43</v>
      </c>
      <c r="B585" t="s">
        <v>44</v>
      </c>
      <c r="C585" t="s">
        <v>9</v>
      </c>
      <c r="D585" t="s">
        <v>10</v>
      </c>
      <c r="E585">
        <v>2014</v>
      </c>
      <c r="F585" s="1">
        <v>100</v>
      </c>
      <c r="G585">
        <v>2010</v>
      </c>
      <c r="H585">
        <f>AVERAGEIFS(Table1[value],Table1[IndicatorCode],Table1[[#This Row],[IndicatorCode]])</f>
        <v>99.756410256410263</v>
      </c>
      <c r="I585" cm="1">
        <f t="array" ref="I585">_xlfn.STDEV.P(IF(Table1[IndicatorCode]=Table1[[#This Row],[IndicatorCode]],Table1[value]))</f>
        <v>1.1047979755287356</v>
      </c>
      <c r="J585">
        <f>(Table1[[#This Row],[value]] - Table1[[#This Row],[mean]]) / Table1[[#This Row],[std_dev]]</f>
        <v>0.22048351733552002</v>
      </c>
      <c r="K585">
        <f>AVERAGEIF(Table1[CountryCode],Table1[[#This Row],[CountryCode]],Table1[z-score])</f>
        <v>0.36646997985615637</v>
      </c>
      <c r="L585" t="e">
        <f>VLOOKUP(Table1[[#This Row],[CountryCode]],[1]!Table1[#All],1,FALSE)</f>
        <v>#REF!</v>
      </c>
    </row>
    <row r="586" spans="1:12" hidden="1" x14ac:dyDescent="0.3">
      <c r="A586" t="s">
        <v>43</v>
      </c>
      <c r="B586" t="s">
        <v>44</v>
      </c>
      <c r="C586" t="s">
        <v>9</v>
      </c>
      <c r="D586" t="s">
        <v>10</v>
      </c>
      <c r="E586">
        <v>2015</v>
      </c>
      <c r="F586" s="1">
        <v>100</v>
      </c>
      <c r="G586">
        <v>2010</v>
      </c>
      <c r="H586">
        <f>AVERAGEIFS(Table1[value],Table1[IndicatorCode],Table1[[#This Row],[IndicatorCode]])</f>
        <v>99.756410256410263</v>
      </c>
      <c r="I586" cm="1">
        <f t="array" ref="I586">_xlfn.STDEV.P(IF(Table1[IndicatorCode]=Table1[[#This Row],[IndicatorCode]],Table1[value]))</f>
        <v>1.1047979755287356</v>
      </c>
      <c r="J586">
        <f>(Table1[[#This Row],[value]] - Table1[[#This Row],[mean]]) / Table1[[#This Row],[std_dev]]</f>
        <v>0.22048351733552002</v>
      </c>
      <c r="K586">
        <f>AVERAGEIF(Table1[CountryCode],Table1[[#This Row],[CountryCode]],Table1[z-score])</f>
        <v>0.36646997985615637</v>
      </c>
      <c r="L586" t="e">
        <f>VLOOKUP(Table1[[#This Row],[CountryCode]],[1]!Table1[#All],1,FALSE)</f>
        <v>#REF!</v>
      </c>
    </row>
    <row r="587" spans="1:12" hidden="1" x14ac:dyDescent="0.3">
      <c r="A587" t="s">
        <v>43</v>
      </c>
      <c r="B587" t="s">
        <v>44</v>
      </c>
      <c r="C587" t="s">
        <v>9</v>
      </c>
      <c r="D587" t="s">
        <v>10</v>
      </c>
      <c r="E587">
        <v>2016</v>
      </c>
      <c r="F587" s="1">
        <v>100</v>
      </c>
      <c r="G587">
        <v>2010</v>
      </c>
      <c r="H587">
        <f>AVERAGEIFS(Table1[value],Table1[IndicatorCode],Table1[[#This Row],[IndicatorCode]])</f>
        <v>99.756410256410263</v>
      </c>
      <c r="I587" cm="1">
        <f t="array" ref="I587">_xlfn.STDEV.P(IF(Table1[IndicatorCode]=Table1[[#This Row],[IndicatorCode]],Table1[value]))</f>
        <v>1.1047979755287356</v>
      </c>
      <c r="J587">
        <f>(Table1[[#This Row],[value]] - Table1[[#This Row],[mean]]) / Table1[[#This Row],[std_dev]]</f>
        <v>0.22048351733552002</v>
      </c>
      <c r="K587">
        <f>AVERAGEIF(Table1[CountryCode],Table1[[#This Row],[CountryCode]],Table1[z-score])</f>
        <v>0.36646997985615637</v>
      </c>
      <c r="L587" t="e">
        <f>VLOOKUP(Table1[[#This Row],[CountryCode]],[1]!Table1[#All],1,FALSE)</f>
        <v>#REF!</v>
      </c>
    </row>
    <row r="588" spans="1:12" hidden="1" x14ac:dyDescent="0.3">
      <c r="A588" t="s">
        <v>43</v>
      </c>
      <c r="B588" t="s">
        <v>44</v>
      </c>
      <c r="C588" t="s">
        <v>9</v>
      </c>
      <c r="D588" t="s">
        <v>10</v>
      </c>
      <c r="E588">
        <v>2017</v>
      </c>
      <c r="F588" s="1">
        <v>100</v>
      </c>
      <c r="G588">
        <v>2020</v>
      </c>
      <c r="H588">
        <f>AVERAGEIFS(Table1[value],Table1[IndicatorCode],Table1[[#This Row],[IndicatorCode]])</f>
        <v>99.756410256410263</v>
      </c>
      <c r="I588" cm="1">
        <f t="array" ref="I588">_xlfn.STDEV.P(IF(Table1[IndicatorCode]=Table1[[#This Row],[IndicatorCode]],Table1[value]))</f>
        <v>1.1047979755287356</v>
      </c>
      <c r="J588">
        <f>(Table1[[#This Row],[value]] - Table1[[#This Row],[mean]]) / Table1[[#This Row],[std_dev]]</f>
        <v>0.22048351733552002</v>
      </c>
      <c r="K588">
        <f>AVERAGEIF(Table1[CountryCode],Table1[[#This Row],[CountryCode]],Table1[z-score])</f>
        <v>0.36646997985615637</v>
      </c>
      <c r="L588" t="e">
        <f>VLOOKUP(Table1[[#This Row],[CountryCode]],[1]!Table1[#All],1,FALSE)</f>
        <v>#REF!</v>
      </c>
    </row>
    <row r="589" spans="1:12" hidden="1" x14ac:dyDescent="0.3">
      <c r="A589" t="s">
        <v>43</v>
      </c>
      <c r="B589" t="s">
        <v>44</v>
      </c>
      <c r="C589" t="s">
        <v>9</v>
      </c>
      <c r="D589" t="s">
        <v>10</v>
      </c>
      <c r="E589">
        <v>2018</v>
      </c>
      <c r="F589" s="1">
        <v>100</v>
      </c>
      <c r="G589">
        <v>2020</v>
      </c>
      <c r="H589">
        <f>AVERAGEIFS(Table1[value],Table1[IndicatorCode],Table1[[#This Row],[IndicatorCode]])</f>
        <v>99.756410256410263</v>
      </c>
      <c r="I589" cm="1">
        <f t="array" ref="I589">_xlfn.STDEV.P(IF(Table1[IndicatorCode]=Table1[[#This Row],[IndicatorCode]],Table1[value]))</f>
        <v>1.1047979755287356</v>
      </c>
      <c r="J589">
        <f>(Table1[[#This Row],[value]] - Table1[[#This Row],[mean]]) / Table1[[#This Row],[std_dev]]</f>
        <v>0.22048351733552002</v>
      </c>
      <c r="K589">
        <f>AVERAGEIF(Table1[CountryCode],Table1[[#This Row],[CountryCode]],Table1[z-score])</f>
        <v>0.36646997985615637</v>
      </c>
      <c r="L589" t="e">
        <f>VLOOKUP(Table1[[#This Row],[CountryCode]],[1]!Table1[#All],1,FALSE)</f>
        <v>#REF!</v>
      </c>
    </row>
    <row r="590" spans="1:12" hidden="1" x14ac:dyDescent="0.3">
      <c r="A590" t="s">
        <v>43</v>
      </c>
      <c r="B590" t="s">
        <v>44</v>
      </c>
      <c r="C590" t="s">
        <v>9</v>
      </c>
      <c r="D590" t="s">
        <v>10</v>
      </c>
      <c r="E590">
        <v>2019</v>
      </c>
      <c r="F590" s="1">
        <v>100</v>
      </c>
      <c r="G590">
        <v>2020</v>
      </c>
      <c r="H590">
        <f>AVERAGEIFS(Table1[value],Table1[IndicatorCode],Table1[[#This Row],[IndicatorCode]])</f>
        <v>99.756410256410263</v>
      </c>
      <c r="I590" cm="1">
        <f t="array" ref="I590">_xlfn.STDEV.P(IF(Table1[IndicatorCode]=Table1[[#This Row],[IndicatorCode]],Table1[value]))</f>
        <v>1.1047979755287356</v>
      </c>
      <c r="J590">
        <f>(Table1[[#This Row],[value]] - Table1[[#This Row],[mean]]) / Table1[[#This Row],[std_dev]]</f>
        <v>0.22048351733552002</v>
      </c>
      <c r="K590">
        <f>AVERAGEIF(Table1[CountryCode],Table1[[#This Row],[CountryCode]],Table1[z-score])</f>
        <v>0.36646997985615637</v>
      </c>
      <c r="L590" t="e">
        <f>VLOOKUP(Table1[[#This Row],[CountryCode]],[1]!Table1[#All],1,FALSE)</f>
        <v>#REF!</v>
      </c>
    </row>
    <row r="591" spans="1:12" x14ac:dyDescent="0.3">
      <c r="A591" t="s">
        <v>43</v>
      </c>
      <c r="B591" t="s">
        <v>44</v>
      </c>
      <c r="C591" t="s">
        <v>9</v>
      </c>
      <c r="D591" t="s">
        <v>10</v>
      </c>
      <c r="E591">
        <v>2020</v>
      </c>
      <c r="F591" s="1">
        <v>100</v>
      </c>
      <c r="G591">
        <v>2020</v>
      </c>
      <c r="H591">
        <f>AVERAGEIFS(Table1[value],Table1[IndicatorCode],Table1[[#This Row],[IndicatorCode]])</f>
        <v>99.756410256410263</v>
      </c>
      <c r="I591" cm="1">
        <f t="array" ref="I591">_xlfn.STDEV.P(IF(Table1[IndicatorCode]=Table1[[#This Row],[IndicatorCode]],Table1[value]))</f>
        <v>1.1047979755287356</v>
      </c>
      <c r="J591">
        <f>(Table1[[#This Row],[value]] - Table1[[#This Row],[mean]]) / Table1[[#This Row],[std_dev]]</f>
        <v>0.22048351733552002</v>
      </c>
      <c r="K591">
        <f>AVERAGEIF(Table1[CountryCode],Table1[[#This Row],[CountryCode]],Table1[z-score])</f>
        <v>0.36646997985615637</v>
      </c>
    </row>
    <row r="592" spans="1:12" hidden="1" x14ac:dyDescent="0.3">
      <c r="A592" t="s">
        <v>43</v>
      </c>
      <c r="B592" t="s">
        <v>44</v>
      </c>
      <c r="C592" t="s">
        <v>9</v>
      </c>
      <c r="D592" t="s">
        <v>10</v>
      </c>
      <c r="E592">
        <v>2021</v>
      </c>
      <c r="F592" s="1">
        <v>100</v>
      </c>
      <c r="G592">
        <v>1990</v>
      </c>
      <c r="H592">
        <f>AVERAGEIFS(Table1[value],Table1[IndicatorCode],Table1[[#This Row],[IndicatorCode]])</f>
        <v>99.756410256410263</v>
      </c>
      <c r="I592" cm="1">
        <f t="array" ref="I592">_xlfn.STDEV.P(IF(Table1[IndicatorCode]=Table1[[#This Row],[IndicatorCode]],Table1[value]))</f>
        <v>1.1047979755287356</v>
      </c>
      <c r="J592">
        <f>(Table1[[#This Row],[value]] - Table1[[#This Row],[mean]]) / Table1[[#This Row],[std_dev]]</f>
        <v>0.22048351733552002</v>
      </c>
      <c r="K592">
        <f>AVERAGEIF(Table1[CountryCode],Table1[[#This Row],[CountryCode]],Table1[z-score])</f>
        <v>0.36646997985615637</v>
      </c>
      <c r="L592" t="e">
        <f>VLOOKUP(Table1[[#This Row],[CountryCode]],[1]!Table1[#All],1,FALSE)</f>
        <v>#REF!</v>
      </c>
    </row>
    <row r="593" spans="1:12" hidden="1" x14ac:dyDescent="0.3">
      <c r="A593" t="s">
        <v>43</v>
      </c>
      <c r="B593" t="s">
        <v>44</v>
      </c>
      <c r="C593" t="s">
        <v>9</v>
      </c>
      <c r="D593" t="s">
        <v>10</v>
      </c>
      <c r="E593">
        <v>2022</v>
      </c>
      <c r="F593" s="1">
        <v>100</v>
      </c>
      <c r="G593">
        <v>1990</v>
      </c>
      <c r="H593">
        <f>AVERAGEIFS(Table1[value],Table1[IndicatorCode],Table1[[#This Row],[IndicatorCode]])</f>
        <v>99.756410256410263</v>
      </c>
      <c r="I593" cm="1">
        <f t="array" ref="I593">_xlfn.STDEV.P(IF(Table1[IndicatorCode]=Table1[[#This Row],[IndicatorCode]],Table1[value]))</f>
        <v>1.1047979755287356</v>
      </c>
      <c r="J593">
        <f>(Table1[[#This Row],[value]] - Table1[[#This Row],[mean]]) / Table1[[#This Row],[std_dev]]</f>
        <v>0.22048351733552002</v>
      </c>
      <c r="K593">
        <f>AVERAGEIF(Table1[CountryCode],Table1[[#This Row],[CountryCode]],Table1[z-score])</f>
        <v>0.36646997985615637</v>
      </c>
      <c r="L593" t="e">
        <f>VLOOKUP(Table1[[#This Row],[CountryCode]],[1]!Table1[#All],1,FALSE)</f>
        <v>#REF!</v>
      </c>
    </row>
    <row r="594" spans="1:12" hidden="1" x14ac:dyDescent="0.3">
      <c r="A594" t="s">
        <v>43</v>
      </c>
      <c r="B594" t="s">
        <v>44</v>
      </c>
      <c r="C594" t="s">
        <v>9</v>
      </c>
      <c r="D594" t="s">
        <v>10</v>
      </c>
      <c r="E594">
        <v>2023</v>
      </c>
      <c r="F594" s="1">
        <v>100</v>
      </c>
      <c r="G594">
        <v>1990</v>
      </c>
      <c r="H594">
        <f>AVERAGEIFS(Table1[value],Table1[IndicatorCode],Table1[[#This Row],[IndicatorCode]])</f>
        <v>99.756410256410263</v>
      </c>
      <c r="I594" cm="1">
        <f t="array" ref="I594">_xlfn.STDEV.P(IF(Table1[IndicatorCode]=Table1[[#This Row],[IndicatorCode]],Table1[value]))</f>
        <v>1.1047979755287356</v>
      </c>
      <c r="J594">
        <f>(Table1[[#This Row],[value]] - Table1[[#This Row],[mean]]) / Table1[[#This Row],[std_dev]]</f>
        <v>0.22048351733552002</v>
      </c>
      <c r="K594">
        <f>AVERAGEIF(Table1[CountryCode],Table1[[#This Row],[CountryCode]],Table1[z-score])</f>
        <v>0.36646997985615637</v>
      </c>
      <c r="L594" t="e">
        <f>VLOOKUP(Table1[[#This Row],[CountryCode]],[1]!Table1[#All],1,FALSE)</f>
        <v>#REF!</v>
      </c>
    </row>
    <row r="595" spans="1:12" hidden="1" x14ac:dyDescent="0.3">
      <c r="A595" t="s">
        <v>45</v>
      </c>
      <c r="B595" t="s">
        <v>46</v>
      </c>
      <c r="C595" t="s">
        <v>9</v>
      </c>
      <c r="D595" t="s">
        <v>10</v>
      </c>
      <c r="E595">
        <v>1990</v>
      </c>
      <c r="F595" s="1">
        <v>100</v>
      </c>
      <c r="G595">
        <v>1990</v>
      </c>
      <c r="H595">
        <f>AVERAGEIFS(Table1[value],Table1[IndicatorCode],Table1[[#This Row],[IndicatorCode]])</f>
        <v>99.756410256410263</v>
      </c>
      <c r="I595" cm="1">
        <f t="array" ref="I595">_xlfn.STDEV.P(IF(Table1[IndicatorCode]=Table1[[#This Row],[IndicatorCode]],Table1[value]))</f>
        <v>1.1047979755287356</v>
      </c>
      <c r="J595">
        <f>(Table1[[#This Row],[value]] - Table1[[#This Row],[mean]]) / Table1[[#This Row],[std_dev]]</f>
        <v>0.22048351733552002</v>
      </c>
      <c r="K595">
        <f>AVERAGEIF(Table1[CountryCode],Table1[[#This Row],[CountryCode]],Table1[z-score])</f>
        <v>0.21233679132661218</v>
      </c>
      <c r="L595" t="e">
        <f>VLOOKUP(Table1[[#This Row],[CountryCode]],[1]!Table1[#All],1,FALSE)</f>
        <v>#REF!</v>
      </c>
    </row>
    <row r="596" spans="1:12" hidden="1" x14ac:dyDescent="0.3">
      <c r="A596" t="s">
        <v>45</v>
      </c>
      <c r="B596" t="s">
        <v>46</v>
      </c>
      <c r="C596" t="s">
        <v>9</v>
      </c>
      <c r="D596" t="s">
        <v>10</v>
      </c>
      <c r="E596">
        <v>1991</v>
      </c>
      <c r="F596" s="1">
        <v>100</v>
      </c>
      <c r="G596">
        <v>1990</v>
      </c>
      <c r="H596">
        <f>AVERAGEIFS(Table1[value],Table1[IndicatorCode],Table1[[#This Row],[IndicatorCode]])</f>
        <v>99.756410256410263</v>
      </c>
      <c r="I596" cm="1">
        <f t="array" ref="I596">_xlfn.STDEV.P(IF(Table1[IndicatorCode]=Table1[[#This Row],[IndicatorCode]],Table1[value]))</f>
        <v>1.1047979755287356</v>
      </c>
      <c r="J596">
        <f>(Table1[[#This Row],[value]] - Table1[[#This Row],[mean]]) / Table1[[#This Row],[std_dev]]</f>
        <v>0.22048351733552002</v>
      </c>
      <c r="K596">
        <f>AVERAGEIF(Table1[CountryCode],Table1[[#This Row],[CountryCode]],Table1[z-score])</f>
        <v>0.21233679132661218</v>
      </c>
      <c r="L596" t="e">
        <f>VLOOKUP(Table1[[#This Row],[CountryCode]],[1]!Table1[#All],1,FALSE)</f>
        <v>#REF!</v>
      </c>
    </row>
    <row r="597" spans="1:12" hidden="1" x14ac:dyDescent="0.3">
      <c r="A597" t="s">
        <v>45</v>
      </c>
      <c r="B597" t="s">
        <v>46</v>
      </c>
      <c r="C597" t="s">
        <v>9</v>
      </c>
      <c r="D597" t="s">
        <v>10</v>
      </c>
      <c r="E597">
        <v>1992</v>
      </c>
      <c r="F597" s="1">
        <v>100</v>
      </c>
      <c r="G597">
        <v>1990</v>
      </c>
      <c r="H597">
        <f>AVERAGEIFS(Table1[value],Table1[IndicatorCode],Table1[[#This Row],[IndicatorCode]])</f>
        <v>99.756410256410263</v>
      </c>
      <c r="I597" cm="1">
        <f t="array" ref="I597">_xlfn.STDEV.P(IF(Table1[IndicatorCode]=Table1[[#This Row],[IndicatorCode]],Table1[value]))</f>
        <v>1.1047979755287356</v>
      </c>
      <c r="J597">
        <f>(Table1[[#This Row],[value]] - Table1[[#This Row],[mean]]) / Table1[[#This Row],[std_dev]]</f>
        <v>0.22048351733552002</v>
      </c>
      <c r="K597">
        <f>AVERAGEIF(Table1[CountryCode],Table1[[#This Row],[CountryCode]],Table1[z-score])</f>
        <v>0.21233679132661218</v>
      </c>
      <c r="L597" t="e">
        <f>VLOOKUP(Table1[[#This Row],[CountryCode]],[1]!Table1[#All],1,FALSE)</f>
        <v>#REF!</v>
      </c>
    </row>
    <row r="598" spans="1:12" hidden="1" x14ac:dyDescent="0.3">
      <c r="A598" t="s">
        <v>45</v>
      </c>
      <c r="B598" t="s">
        <v>46</v>
      </c>
      <c r="C598" t="s">
        <v>9</v>
      </c>
      <c r="D598" t="s">
        <v>10</v>
      </c>
      <c r="E598">
        <v>1993</v>
      </c>
      <c r="F598" s="1">
        <v>100</v>
      </c>
      <c r="G598">
        <v>1990</v>
      </c>
      <c r="H598">
        <f>AVERAGEIFS(Table1[value],Table1[IndicatorCode],Table1[[#This Row],[IndicatorCode]])</f>
        <v>99.756410256410263</v>
      </c>
      <c r="I598" cm="1">
        <f t="array" ref="I598">_xlfn.STDEV.P(IF(Table1[IndicatorCode]=Table1[[#This Row],[IndicatorCode]],Table1[value]))</f>
        <v>1.1047979755287356</v>
      </c>
      <c r="J598">
        <f>(Table1[[#This Row],[value]] - Table1[[#This Row],[mean]]) / Table1[[#This Row],[std_dev]]</f>
        <v>0.22048351733552002</v>
      </c>
      <c r="K598">
        <f>AVERAGEIF(Table1[CountryCode],Table1[[#This Row],[CountryCode]],Table1[z-score])</f>
        <v>0.21233679132661218</v>
      </c>
      <c r="L598" t="e">
        <f>VLOOKUP(Table1[[#This Row],[CountryCode]],[1]!Table1[#All],1,FALSE)</f>
        <v>#REF!</v>
      </c>
    </row>
    <row r="599" spans="1:12" hidden="1" x14ac:dyDescent="0.3">
      <c r="A599" t="s">
        <v>45</v>
      </c>
      <c r="B599" t="s">
        <v>46</v>
      </c>
      <c r="C599" t="s">
        <v>9</v>
      </c>
      <c r="D599" t="s">
        <v>10</v>
      </c>
      <c r="E599">
        <v>1994</v>
      </c>
      <c r="F599" s="1">
        <v>100</v>
      </c>
      <c r="G599">
        <v>1990</v>
      </c>
      <c r="H599">
        <f>AVERAGEIFS(Table1[value],Table1[IndicatorCode],Table1[[#This Row],[IndicatorCode]])</f>
        <v>99.756410256410263</v>
      </c>
      <c r="I599" cm="1">
        <f t="array" ref="I599">_xlfn.STDEV.P(IF(Table1[IndicatorCode]=Table1[[#This Row],[IndicatorCode]],Table1[value]))</f>
        <v>1.1047979755287356</v>
      </c>
      <c r="J599">
        <f>(Table1[[#This Row],[value]] - Table1[[#This Row],[mean]]) / Table1[[#This Row],[std_dev]]</f>
        <v>0.22048351733552002</v>
      </c>
      <c r="K599">
        <f>AVERAGEIF(Table1[CountryCode],Table1[[#This Row],[CountryCode]],Table1[z-score])</f>
        <v>0.21233679132661218</v>
      </c>
      <c r="L599" t="e">
        <f>VLOOKUP(Table1[[#This Row],[CountryCode]],[1]!Table1[#All],1,FALSE)</f>
        <v>#REF!</v>
      </c>
    </row>
    <row r="600" spans="1:12" hidden="1" x14ac:dyDescent="0.3">
      <c r="A600" t="s">
        <v>45</v>
      </c>
      <c r="B600" t="s">
        <v>46</v>
      </c>
      <c r="C600" t="s">
        <v>9</v>
      </c>
      <c r="D600" t="s">
        <v>10</v>
      </c>
      <c r="E600">
        <v>1995</v>
      </c>
      <c r="F600" s="1">
        <v>100</v>
      </c>
      <c r="G600">
        <v>1990</v>
      </c>
      <c r="H600">
        <f>AVERAGEIFS(Table1[value],Table1[IndicatorCode],Table1[[#This Row],[IndicatorCode]])</f>
        <v>99.756410256410263</v>
      </c>
      <c r="I600" cm="1">
        <f t="array" ref="I600">_xlfn.STDEV.P(IF(Table1[IndicatorCode]=Table1[[#This Row],[IndicatorCode]],Table1[value]))</f>
        <v>1.1047979755287356</v>
      </c>
      <c r="J600">
        <f>(Table1[[#This Row],[value]] - Table1[[#This Row],[mean]]) / Table1[[#This Row],[std_dev]]</f>
        <v>0.22048351733552002</v>
      </c>
      <c r="K600">
        <f>AVERAGEIF(Table1[CountryCode],Table1[[#This Row],[CountryCode]],Table1[z-score])</f>
        <v>0.21233679132661218</v>
      </c>
      <c r="L600" t="e">
        <f>VLOOKUP(Table1[[#This Row],[CountryCode]],[1]!Table1[#All],1,FALSE)</f>
        <v>#REF!</v>
      </c>
    </row>
    <row r="601" spans="1:12" hidden="1" x14ac:dyDescent="0.3">
      <c r="A601" t="s">
        <v>45</v>
      </c>
      <c r="B601" t="s">
        <v>46</v>
      </c>
      <c r="C601" t="s">
        <v>9</v>
      </c>
      <c r="D601" t="s">
        <v>10</v>
      </c>
      <c r="E601">
        <v>1996</v>
      </c>
      <c r="F601" s="1">
        <v>100</v>
      </c>
      <c r="G601">
        <v>1990</v>
      </c>
      <c r="H601">
        <f>AVERAGEIFS(Table1[value],Table1[IndicatorCode],Table1[[#This Row],[IndicatorCode]])</f>
        <v>99.756410256410263</v>
      </c>
      <c r="I601" cm="1">
        <f t="array" ref="I601">_xlfn.STDEV.P(IF(Table1[IndicatorCode]=Table1[[#This Row],[IndicatorCode]],Table1[value]))</f>
        <v>1.1047979755287356</v>
      </c>
      <c r="J601">
        <f>(Table1[[#This Row],[value]] - Table1[[#This Row],[mean]]) / Table1[[#This Row],[std_dev]]</f>
        <v>0.22048351733552002</v>
      </c>
      <c r="K601">
        <f>AVERAGEIF(Table1[CountryCode],Table1[[#This Row],[CountryCode]],Table1[z-score])</f>
        <v>0.21233679132661218</v>
      </c>
      <c r="L601" t="e">
        <f>VLOOKUP(Table1[[#This Row],[CountryCode]],[1]!Table1[#All],1,FALSE)</f>
        <v>#REF!</v>
      </c>
    </row>
    <row r="602" spans="1:12" hidden="1" x14ac:dyDescent="0.3">
      <c r="A602" t="s">
        <v>45</v>
      </c>
      <c r="B602" t="s">
        <v>46</v>
      </c>
      <c r="C602" t="s">
        <v>9</v>
      </c>
      <c r="D602" t="s">
        <v>10</v>
      </c>
      <c r="E602">
        <v>1997</v>
      </c>
      <c r="F602" s="1">
        <v>100</v>
      </c>
      <c r="G602">
        <v>2000</v>
      </c>
      <c r="H602">
        <f>AVERAGEIFS(Table1[value],Table1[IndicatorCode],Table1[[#This Row],[IndicatorCode]])</f>
        <v>99.756410256410263</v>
      </c>
      <c r="I602" cm="1">
        <f t="array" ref="I602">_xlfn.STDEV.P(IF(Table1[IndicatorCode]=Table1[[#This Row],[IndicatorCode]],Table1[value]))</f>
        <v>1.1047979755287356</v>
      </c>
      <c r="J602">
        <f>(Table1[[#This Row],[value]] - Table1[[#This Row],[mean]]) / Table1[[#This Row],[std_dev]]</f>
        <v>0.22048351733552002</v>
      </c>
      <c r="K602">
        <f>AVERAGEIF(Table1[CountryCode],Table1[[#This Row],[CountryCode]],Table1[z-score])</f>
        <v>0.21233679132661218</v>
      </c>
      <c r="L602" t="e">
        <f>VLOOKUP(Table1[[#This Row],[CountryCode]],[1]!Table1[#All],1,FALSE)</f>
        <v>#REF!</v>
      </c>
    </row>
    <row r="603" spans="1:12" hidden="1" x14ac:dyDescent="0.3">
      <c r="A603" t="s">
        <v>45</v>
      </c>
      <c r="B603" t="s">
        <v>46</v>
      </c>
      <c r="C603" t="s">
        <v>9</v>
      </c>
      <c r="D603" t="s">
        <v>10</v>
      </c>
      <c r="E603">
        <v>1998</v>
      </c>
      <c r="F603" s="1">
        <v>100</v>
      </c>
      <c r="G603">
        <v>2000</v>
      </c>
      <c r="H603">
        <f>AVERAGEIFS(Table1[value],Table1[IndicatorCode],Table1[[#This Row],[IndicatorCode]])</f>
        <v>99.756410256410263</v>
      </c>
      <c r="I603" cm="1">
        <f t="array" ref="I603">_xlfn.STDEV.P(IF(Table1[IndicatorCode]=Table1[[#This Row],[IndicatorCode]],Table1[value]))</f>
        <v>1.1047979755287356</v>
      </c>
      <c r="J603">
        <f>(Table1[[#This Row],[value]] - Table1[[#This Row],[mean]]) / Table1[[#This Row],[std_dev]]</f>
        <v>0.22048351733552002</v>
      </c>
      <c r="K603">
        <f>AVERAGEIF(Table1[CountryCode],Table1[[#This Row],[CountryCode]],Table1[z-score])</f>
        <v>0.21233679132661218</v>
      </c>
      <c r="L603" t="e">
        <f>VLOOKUP(Table1[[#This Row],[CountryCode]],[1]!Table1[#All],1,FALSE)</f>
        <v>#REF!</v>
      </c>
    </row>
    <row r="604" spans="1:12" hidden="1" x14ac:dyDescent="0.3">
      <c r="A604" t="s">
        <v>45</v>
      </c>
      <c r="B604" t="s">
        <v>46</v>
      </c>
      <c r="C604" t="s">
        <v>9</v>
      </c>
      <c r="D604" t="s">
        <v>10</v>
      </c>
      <c r="E604">
        <v>1999</v>
      </c>
      <c r="F604" s="1">
        <v>100</v>
      </c>
      <c r="G604">
        <v>2000</v>
      </c>
      <c r="H604">
        <f>AVERAGEIFS(Table1[value],Table1[IndicatorCode],Table1[[#This Row],[IndicatorCode]])</f>
        <v>99.756410256410263</v>
      </c>
      <c r="I604" cm="1">
        <f t="array" ref="I604">_xlfn.STDEV.P(IF(Table1[IndicatorCode]=Table1[[#This Row],[IndicatorCode]],Table1[value]))</f>
        <v>1.1047979755287356</v>
      </c>
      <c r="J604">
        <f>(Table1[[#This Row],[value]] - Table1[[#This Row],[mean]]) / Table1[[#This Row],[std_dev]]</f>
        <v>0.22048351733552002</v>
      </c>
      <c r="K604">
        <f>AVERAGEIF(Table1[CountryCode],Table1[[#This Row],[CountryCode]],Table1[z-score])</f>
        <v>0.21233679132661218</v>
      </c>
      <c r="L604" t="e">
        <f>VLOOKUP(Table1[[#This Row],[CountryCode]],[1]!Table1[#All],1,FALSE)</f>
        <v>#REF!</v>
      </c>
    </row>
    <row r="605" spans="1:12" hidden="1" x14ac:dyDescent="0.3">
      <c r="A605" t="s">
        <v>45</v>
      </c>
      <c r="B605" t="s">
        <v>46</v>
      </c>
      <c r="C605" t="s">
        <v>9</v>
      </c>
      <c r="D605" t="s">
        <v>10</v>
      </c>
      <c r="E605">
        <v>2000</v>
      </c>
      <c r="F605" s="1">
        <v>100</v>
      </c>
      <c r="G605">
        <v>2000</v>
      </c>
      <c r="H605">
        <f>AVERAGEIFS(Table1[value],Table1[IndicatorCode],Table1[[#This Row],[IndicatorCode]])</f>
        <v>99.756410256410263</v>
      </c>
      <c r="I605" cm="1">
        <f t="array" ref="I605">_xlfn.STDEV.P(IF(Table1[IndicatorCode]=Table1[[#This Row],[IndicatorCode]],Table1[value]))</f>
        <v>1.1047979755287356</v>
      </c>
      <c r="J605">
        <f>(Table1[[#This Row],[value]] - Table1[[#This Row],[mean]]) / Table1[[#This Row],[std_dev]]</f>
        <v>0.22048351733552002</v>
      </c>
      <c r="K605">
        <f>AVERAGEIF(Table1[CountryCode],Table1[[#This Row],[CountryCode]],Table1[z-score])</f>
        <v>0.21233679132661218</v>
      </c>
      <c r="L605" t="e">
        <f>VLOOKUP(Table1[[#This Row],[CountryCode]],[1]!Table1[#All],1,FALSE)</f>
        <v>#REF!</v>
      </c>
    </row>
    <row r="606" spans="1:12" hidden="1" x14ac:dyDescent="0.3">
      <c r="A606" t="s">
        <v>45</v>
      </c>
      <c r="B606" t="s">
        <v>46</v>
      </c>
      <c r="C606" t="s">
        <v>9</v>
      </c>
      <c r="D606" t="s">
        <v>10</v>
      </c>
      <c r="E606">
        <v>2001</v>
      </c>
      <c r="F606" s="1">
        <v>100</v>
      </c>
      <c r="G606">
        <v>2000</v>
      </c>
      <c r="H606">
        <f>AVERAGEIFS(Table1[value],Table1[IndicatorCode],Table1[[#This Row],[IndicatorCode]])</f>
        <v>99.756410256410263</v>
      </c>
      <c r="I606" cm="1">
        <f t="array" ref="I606">_xlfn.STDEV.P(IF(Table1[IndicatorCode]=Table1[[#This Row],[IndicatorCode]],Table1[value]))</f>
        <v>1.1047979755287356</v>
      </c>
      <c r="J606">
        <f>(Table1[[#This Row],[value]] - Table1[[#This Row],[mean]]) / Table1[[#This Row],[std_dev]]</f>
        <v>0.22048351733552002</v>
      </c>
      <c r="K606">
        <f>AVERAGEIF(Table1[CountryCode],Table1[[#This Row],[CountryCode]],Table1[z-score])</f>
        <v>0.21233679132661218</v>
      </c>
      <c r="L606" t="e">
        <f>VLOOKUP(Table1[[#This Row],[CountryCode]],[1]!Table1[#All],1,FALSE)</f>
        <v>#REF!</v>
      </c>
    </row>
    <row r="607" spans="1:12" hidden="1" x14ac:dyDescent="0.3">
      <c r="A607" t="s">
        <v>45</v>
      </c>
      <c r="B607" t="s">
        <v>46</v>
      </c>
      <c r="C607" t="s">
        <v>9</v>
      </c>
      <c r="D607" t="s">
        <v>10</v>
      </c>
      <c r="E607">
        <v>2002</v>
      </c>
      <c r="F607" s="1">
        <v>100</v>
      </c>
      <c r="G607">
        <v>2000</v>
      </c>
      <c r="H607">
        <f>AVERAGEIFS(Table1[value],Table1[IndicatorCode],Table1[[#This Row],[IndicatorCode]])</f>
        <v>99.756410256410263</v>
      </c>
      <c r="I607" cm="1">
        <f t="array" ref="I607">_xlfn.STDEV.P(IF(Table1[IndicatorCode]=Table1[[#This Row],[IndicatorCode]],Table1[value]))</f>
        <v>1.1047979755287356</v>
      </c>
      <c r="J607">
        <f>(Table1[[#This Row],[value]] - Table1[[#This Row],[mean]]) / Table1[[#This Row],[std_dev]]</f>
        <v>0.22048351733552002</v>
      </c>
      <c r="K607">
        <f>AVERAGEIF(Table1[CountryCode],Table1[[#This Row],[CountryCode]],Table1[z-score])</f>
        <v>0.21233679132661218</v>
      </c>
      <c r="L607" t="e">
        <f>VLOOKUP(Table1[[#This Row],[CountryCode]],[1]!Table1[#All],1,FALSE)</f>
        <v>#REF!</v>
      </c>
    </row>
    <row r="608" spans="1:12" hidden="1" x14ac:dyDescent="0.3">
      <c r="A608" t="s">
        <v>45</v>
      </c>
      <c r="B608" t="s">
        <v>46</v>
      </c>
      <c r="C608" t="s">
        <v>9</v>
      </c>
      <c r="D608" t="s">
        <v>10</v>
      </c>
      <c r="E608">
        <v>2003</v>
      </c>
      <c r="F608" s="1">
        <v>100</v>
      </c>
      <c r="G608">
        <v>2000</v>
      </c>
      <c r="H608">
        <f>AVERAGEIFS(Table1[value],Table1[IndicatorCode],Table1[[#This Row],[IndicatorCode]])</f>
        <v>99.756410256410263</v>
      </c>
      <c r="I608" cm="1">
        <f t="array" ref="I608">_xlfn.STDEV.P(IF(Table1[IndicatorCode]=Table1[[#This Row],[IndicatorCode]],Table1[value]))</f>
        <v>1.1047979755287356</v>
      </c>
      <c r="J608">
        <f>(Table1[[#This Row],[value]] - Table1[[#This Row],[mean]]) / Table1[[#This Row],[std_dev]]</f>
        <v>0.22048351733552002</v>
      </c>
      <c r="K608">
        <f>AVERAGEIF(Table1[CountryCode],Table1[[#This Row],[CountryCode]],Table1[z-score])</f>
        <v>0.21233679132661218</v>
      </c>
      <c r="L608" t="e">
        <f>VLOOKUP(Table1[[#This Row],[CountryCode]],[1]!Table1[#All],1,FALSE)</f>
        <v>#REF!</v>
      </c>
    </row>
    <row r="609" spans="1:12" hidden="1" x14ac:dyDescent="0.3">
      <c r="A609" t="s">
        <v>45</v>
      </c>
      <c r="B609" t="s">
        <v>46</v>
      </c>
      <c r="C609" t="s">
        <v>9</v>
      </c>
      <c r="D609" t="s">
        <v>10</v>
      </c>
      <c r="E609">
        <v>2004</v>
      </c>
      <c r="F609" s="1">
        <v>100</v>
      </c>
      <c r="G609">
        <v>2000</v>
      </c>
      <c r="H609">
        <f>AVERAGEIFS(Table1[value],Table1[IndicatorCode],Table1[[#This Row],[IndicatorCode]])</f>
        <v>99.756410256410263</v>
      </c>
      <c r="I609" cm="1">
        <f t="array" ref="I609">_xlfn.STDEV.P(IF(Table1[IndicatorCode]=Table1[[#This Row],[IndicatorCode]],Table1[value]))</f>
        <v>1.1047979755287356</v>
      </c>
      <c r="J609">
        <f>(Table1[[#This Row],[value]] - Table1[[#This Row],[mean]]) / Table1[[#This Row],[std_dev]]</f>
        <v>0.22048351733552002</v>
      </c>
      <c r="K609">
        <f>AVERAGEIF(Table1[CountryCode],Table1[[#This Row],[CountryCode]],Table1[z-score])</f>
        <v>0.21233679132661218</v>
      </c>
      <c r="L609" t="e">
        <f>VLOOKUP(Table1[[#This Row],[CountryCode]],[1]!Table1[#All],1,FALSE)</f>
        <v>#REF!</v>
      </c>
    </row>
    <row r="610" spans="1:12" hidden="1" x14ac:dyDescent="0.3">
      <c r="A610" t="s">
        <v>45</v>
      </c>
      <c r="B610" t="s">
        <v>46</v>
      </c>
      <c r="C610" t="s">
        <v>9</v>
      </c>
      <c r="D610" t="s">
        <v>10</v>
      </c>
      <c r="E610">
        <v>2005</v>
      </c>
      <c r="F610" s="1">
        <v>100</v>
      </c>
      <c r="G610">
        <v>2000</v>
      </c>
      <c r="H610">
        <f>AVERAGEIFS(Table1[value],Table1[IndicatorCode],Table1[[#This Row],[IndicatorCode]])</f>
        <v>99.756410256410263</v>
      </c>
      <c r="I610" cm="1">
        <f t="array" ref="I610">_xlfn.STDEV.P(IF(Table1[IndicatorCode]=Table1[[#This Row],[IndicatorCode]],Table1[value]))</f>
        <v>1.1047979755287356</v>
      </c>
      <c r="J610">
        <f>(Table1[[#This Row],[value]] - Table1[[#This Row],[mean]]) / Table1[[#This Row],[std_dev]]</f>
        <v>0.22048351733552002</v>
      </c>
      <c r="K610">
        <f>AVERAGEIF(Table1[CountryCode],Table1[[#This Row],[CountryCode]],Table1[z-score])</f>
        <v>0.21233679132661218</v>
      </c>
      <c r="L610" t="e">
        <f>VLOOKUP(Table1[[#This Row],[CountryCode]],[1]!Table1[#All],1,FALSE)</f>
        <v>#REF!</v>
      </c>
    </row>
    <row r="611" spans="1:12" hidden="1" x14ac:dyDescent="0.3">
      <c r="A611" t="s">
        <v>45</v>
      </c>
      <c r="B611" t="s">
        <v>46</v>
      </c>
      <c r="C611" t="s">
        <v>9</v>
      </c>
      <c r="D611" t="s">
        <v>10</v>
      </c>
      <c r="E611">
        <v>2006</v>
      </c>
      <c r="F611" s="1">
        <v>100</v>
      </c>
      <c r="G611">
        <v>2000</v>
      </c>
      <c r="H611">
        <f>AVERAGEIFS(Table1[value],Table1[IndicatorCode],Table1[[#This Row],[IndicatorCode]])</f>
        <v>99.756410256410263</v>
      </c>
      <c r="I611" cm="1">
        <f t="array" ref="I611">_xlfn.STDEV.P(IF(Table1[IndicatorCode]=Table1[[#This Row],[IndicatorCode]],Table1[value]))</f>
        <v>1.1047979755287356</v>
      </c>
      <c r="J611">
        <f>(Table1[[#This Row],[value]] - Table1[[#This Row],[mean]]) / Table1[[#This Row],[std_dev]]</f>
        <v>0.22048351733552002</v>
      </c>
      <c r="K611">
        <f>AVERAGEIF(Table1[CountryCode],Table1[[#This Row],[CountryCode]],Table1[z-score])</f>
        <v>0.21233679132661218</v>
      </c>
      <c r="L611" t="e">
        <f>VLOOKUP(Table1[[#This Row],[CountryCode]],[1]!Table1[#All],1,FALSE)</f>
        <v>#REF!</v>
      </c>
    </row>
    <row r="612" spans="1:12" hidden="1" x14ac:dyDescent="0.3">
      <c r="A612" t="s">
        <v>45</v>
      </c>
      <c r="B612" t="s">
        <v>46</v>
      </c>
      <c r="C612" t="s">
        <v>9</v>
      </c>
      <c r="D612" t="s">
        <v>10</v>
      </c>
      <c r="E612">
        <v>2007</v>
      </c>
      <c r="F612" s="1">
        <v>100</v>
      </c>
      <c r="G612">
        <v>2010</v>
      </c>
      <c r="H612">
        <f>AVERAGEIFS(Table1[value],Table1[IndicatorCode],Table1[[#This Row],[IndicatorCode]])</f>
        <v>99.756410256410263</v>
      </c>
      <c r="I612" cm="1">
        <f t="array" ref="I612">_xlfn.STDEV.P(IF(Table1[IndicatorCode]=Table1[[#This Row],[IndicatorCode]],Table1[value]))</f>
        <v>1.1047979755287356</v>
      </c>
      <c r="J612">
        <f>(Table1[[#This Row],[value]] - Table1[[#This Row],[mean]]) / Table1[[#This Row],[std_dev]]</f>
        <v>0.22048351733552002</v>
      </c>
      <c r="K612">
        <f>AVERAGEIF(Table1[CountryCode],Table1[[#This Row],[CountryCode]],Table1[z-score])</f>
        <v>0.21233679132661218</v>
      </c>
      <c r="L612" t="e">
        <f>VLOOKUP(Table1[[#This Row],[CountryCode]],[1]!Table1[#All],1,FALSE)</f>
        <v>#REF!</v>
      </c>
    </row>
    <row r="613" spans="1:12" hidden="1" x14ac:dyDescent="0.3">
      <c r="A613" t="s">
        <v>45</v>
      </c>
      <c r="B613" t="s">
        <v>46</v>
      </c>
      <c r="C613" t="s">
        <v>9</v>
      </c>
      <c r="D613" t="s">
        <v>10</v>
      </c>
      <c r="E613">
        <v>2008</v>
      </c>
      <c r="F613" s="1">
        <v>100</v>
      </c>
      <c r="G613">
        <v>2010</v>
      </c>
      <c r="H613">
        <f>AVERAGEIFS(Table1[value],Table1[IndicatorCode],Table1[[#This Row],[IndicatorCode]])</f>
        <v>99.756410256410263</v>
      </c>
      <c r="I613" cm="1">
        <f t="array" ref="I613">_xlfn.STDEV.P(IF(Table1[IndicatorCode]=Table1[[#This Row],[IndicatorCode]],Table1[value]))</f>
        <v>1.1047979755287356</v>
      </c>
      <c r="J613">
        <f>(Table1[[#This Row],[value]] - Table1[[#This Row],[mean]]) / Table1[[#This Row],[std_dev]]</f>
        <v>0.22048351733552002</v>
      </c>
      <c r="K613">
        <f>AVERAGEIF(Table1[CountryCode],Table1[[#This Row],[CountryCode]],Table1[z-score])</f>
        <v>0.21233679132661218</v>
      </c>
      <c r="L613" t="e">
        <f>VLOOKUP(Table1[[#This Row],[CountryCode]],[1]!Table1[#All],1,FALSE)</f>
        <v>#REF!</v>
      </c>
    </row>
    <row r="614" spans="1:12" hidden="1" x14ac:dyDescent="0.3">
      <c r="A614" t="s">
        <v>45</v>
      </c>
      <c r="B614" t="s">
        <v>46</v>
      </c>
      <c r="C614" t="s">
        <v>9</v>
      </c>
      <c r="D614" t="s">
        <v>10</v>
      </c>
      <c r="E614">
        <v>2009</v>
      </c>
      <c r="F614" s="1">
        <v>100</v>
      </c>
      <c r="G614">
        <v>2010</v>
      </c>
      <c r="H614">
        <f>AVERAGEIFS(Table1[value],Table1[IndicatorCode],Table1[[#This Row],[IndicatorCode]])</f>
        <v>99.756410256410263</v>
      </c>
      <c r="I614" cm="1">
        <f t="array" ref="I614">_xlfn.STDEV.P(IF(Table1[IndicatorCode]=Table1[[#This Row],[IndicatorCode]],Table1[value]))</f>
        <v>1.1047979755287356</v>
      </c>
      <c r="J614">
        <f>(Table1[[#This Row],[value]] - Table1[[#This Row],[mean]]) / Table1[[#This Row],[std_dev]]</f>
        <v>0.22048351733552002</v>
      </c>
      <c r="K614">
        <f>AVERAGEIF(Table1[CountryCode],Table1[[#This Row],[CountryCode]],Table1[z-score])</f>
        <v>0.21233679132661218</v>
      </c>
      <c r="L614" t="e">
        <f>VLOOKUP(Table1[[#This Row],[CountryCode]],[1]!Table1[#All],1,FALSE)</f>
        <v>#REF!</v>
      </c>
    </row>
    <row r="615" spans="1:12" hidden="1" x14ac:dyDescent="0.3">
      <c r="A615" t="s">
        <v>45</v>
      </c>
      <c r="B615" t="s">
        <v>46</v>
      </c>
      <c r="C615" t="s">
        <v>9</v>
      </c>
      <c r="D615" t="s">
        <v>10</v>
      </c>
      <c r="E615">
        <v>2010</v>
      </c>
      <c r="F615" s="1">
        <v>100</v>
      </c>
      <c r="G615">
        <v>2010</v>
      </c>
      <c r="H615">
        <f>AVERAGEIFS(Table1[value],Table1[IndicatorCode],Table1[[#This Row],[IndicatorCode]])</f>
        <v>99.756410256410263</v>
      </c>
      <c r="I615" cm="1">
        <f t="array" ref="I615">_xlfn.STDEV.P(IF(Table1[IndicatorCode]=Table1[[#This Row],[IndicatorCode]],Table1[value]))</f>
        <v>1.1047979755287356</v>
      </c>
      <c r="J615">
        <f>(Table1[[#This Row],[value]] - Table1[[#This Row],[mean]]) / Table1[[#This Row],[std_dev]]</f>
        <v>0.22048351733552002</v>
      </c>
      <c r="K615">
        <f>AVERAGEIF(Table1[CountryCode],Table1[[#This Row],[CountryCode]],Table1[z-score])</f>
        <v>0.21233679132661218</v>
      </c>
      <c r="L615" t="e">
        <f>VLOOKUP(Table1[[#This Row],[CountryCode]],[1]!Table1[#All],1,FALSE)</f>
        <v>#REF!</v>
      </c>
    </row>
    <row r="616" spans="1:12" hidden="1" x14ac:dyDescent="0.3">
      <c r="A616" t="s">
        <v>45</v>
      </c>
      <c r="B616" t="s">
        <v>46</v>
      </c>
      <c r="C616" t="s">
        <v>9</v>
      </c>
      <c r="D616" t="s">
        <v>10</v>
      </c>
      <c r="E616">
        <v>2011</v>
      </c>
      <c r="F616" s="1">
        <v>100</v>
      </c>
      <c r="G616">
        <v>2010</v>
      </c>
      <c r="H616">
        <f>AVERAGEIFS(Table1[value],Table1[IndicatorCode],Table1[[#This Row],[IndicatorCode]])</f>
        <v>99.756410256410263</v>
      </c>
      <c r="I616" cm="1">
        <f t="array" ref="I616">_xlfn.STDEV.P(IF(Table1[IndicatorCode]=Table1[[#This Row],[IndicatorCode]],Table1[value]))</f>
        <v>1.1047979755287356</v>
      </c>
      <c r="J616">
        <f>(Table1[[#This Row],[value]] - Table1[[#This Row],[mean]]) / Table1[[#This Row],[std_dev]]</f>
        <v>0.22048351733552002</v>
      </c>
      <c r="K616">
        <f>AVERAGEIF(Table1[CountryCode],Table1[[#This Row],[CountryCode]],Table1[z-score])</f>
        <v>0.21233679132661218</v>
      </c>
      <c r="L616" t="e">
        <f>VLOOKUP(Table1[[#This Row],[CountryCode]],[1]!Table1[#All],1,FALSE)</f>
        <v>#REF!</v>
      </c>
    </row>
    <row r="617" spans="1:12" hidden="1" x14ac:dyDescent="0.3">
      <c r="A617" t="s">
        <v>45</v>
      </c>
      <c r="B617" t="s">
        <v>46</v>
      </c>
      <c r="C617" t="s">
        <v>9</v>
      </c>
      <c r="D617" t="s">
        <v>10</v>
      </c>
      <c r="E617">
        <v>2012</v>
      </c>
      <c r="F617" s="1">
        <v>100</v>
      </c>
      <c r="G617">
        <v>2010</v>
      </c>
      <c r="H617">
        <f>AVERAGEIFS(Table1[value],Table1[IndicatorCode],Table1[[#This Row],[IndicatorCode]])</f>
        <v>99.756410256410263</v>
      </c>
      <c r="I617" cm="1">
        <f t="array" ref="I617">_xlfn.STDEV.P(IF(Table1[IndicatorCode]=Table1[[#This Row],[IndicatorCode]],Table1[value]))</f>
        <v>1.1047979755287356</v>
      </c>
      <c r="J617">
        <f>(Table1[[#This Row],[value]] - Table1[[#This Row],[mean]]) / Table1[[#This Row],[std_dev]]</f>
        <v>0.22048351733552002</v>
      </c>
      <c r="K617">
        <f>AVERAGEIF(Table1[CountryCode],Table1[[#This Row],[CountryCode]],Table1[z-score])</f>
        <v>0.21233679132661218</v>
      </c>
      <c r="L617" t="e">
        <f>VLOOKUP(Table1[[#This Row],[CountryCode]],[1]!Table1[#All],1,FALSE)</f>
        <v>#REF!</v>
      </c>
    </row>
    <row r="618" spans="1:12" hidden="1" x14ac:dyDescent="0.3">
      <c r="A618" t="s">
        <v>45</v>
      </c>
      <c r="B618" t="s">
        <v>46</v>
      </c>
      <c r="C618" t="s">
        <v>9</v>
      </c>
      <c r="D618" t="s">
        <v>10</v>
      </c>
      <c r="E618">
        <v>2013</v>
      </c>
      <c r="F618" s="1">
        <v>100</v>
      </c>
      <c r="G618">
        <v>2010</v>
      </c>
      <c r="H618">
        <f>AVERAGEIFS(Table1[value],Table1[IndicatorCode],Table1[[#This Row],[IndicatorCode]])</f>
        <v>99.756410256410263</v>
      </c>
      <c r="I618" cm="1">
        <f t="array" ref="I618">_xlfn.STDEV.P(IF(Table1[IndicatorCode]=Table1[[#This Row],[IndicatorCode]],Table1[value]))</f>
        <v>1.1047979755287356</v>
      </c>
      <c r="J618">
        <f>(Table1[[#This Row],[value]] - Table1[[#This Row],[mean]]) / Table1[[#This Row],[std_dev]]</f>
        <v>0.22048351733552002</v>
      </c>
      <c r="K618">
        <f>AVERAGEIF(Table1[CountryCode],Table1[[#This Row],[CountryCode]],Table1[z-score])</f>
        <v>0.21233679132661218</v>
      </c>
      <c r="L618" t="e">
        <f>VLOOKUP(Table1[[#This Row],[CountryCode]],[1]!Table1[#All],1,FALSE)</f>
        <v>#REF!</v>
      </c>
    </row>
    <row r="619" spans="1:12" hidden="1" x14ac:dyDescent="0.3">
      <c r="A619" t="s">
        <v>45</v>
      </c>
      <c r="B619" t="s">
        <v>46</v>
      </c>
      <c r="C619" t="s">
        <v>9</v>
      </c>
      <c r="D619" t="s">
        <v>10</v>
      </c>
      <c r="E619">
        <v>2014</v>
      </c>
      <c r="F619" s="1">
        <v>100</v>
      </c>
      <c r="G619">
        <v>2010</v>
      </c>
      <c r="H619">
        <f>AVERAGEIFS(Table1[value],Table1[IndicatorCode],Table1[[#This Row],[IndicatorCode]])</f>
        <v>99.756410256410263</v>
      </c>
      <c r="I619" cm="1">
        <f t="array" ref="I619">_xlfn.STDEV.P(IF(Table1[IndicatorCode]=Table1[[#This Row],[IndicatorCode]],Table1[value]))</f>
        <v>1.1047979755287356</v>
      </c>
      <c r="J619">
        <f>(Table1[[#This Row],[value]] - Table1[[#This Row],[mean]]) / Table1[[#This Row],[std_dev]]</f>
        <v>0.22048351733552002</v>
      </c>
      <c r="K619">
        <f>AVERAGEIF(Table1[CountryCode],Table1[[#This Row],[CountryCode]],Table1[z-score])</f>
        <v>0.21233679132661218</v>
      </c>
      <c r="L619" t="e">
        <f>VLOOKUP(Table1[[#This Row],[CountryCode]],[1]!Table1[#All],1,FALSE)</f>
        <v>#REF!</v>
      </c>
    </row>
    <row r="620" spans="1:12" hidden="1" x14ac:dyDescent="0.3">
      <c r="A620" t="s">
        <v>45</v>
      </c>
      <c r="B620" t="s">
        <v>46</v>
      </c>
      <c r="C620" t="s">
        <v>9</v>
      </c>
      <c r="D620" t="s">
        <v>10</v>
      </c>
      <c r="E620">
        <v>2015</v>
      </c>
      <c r="F620" s="1">
        <v>100</v>
      </c>
      <c r="G620">
        <v>2010</v>
      </c>
      <c r="H620">
        <f>AVERAGEIFS(Table1[value],Table1[IndicatorCode],Table1[[#This Row],[IndicatorCode]])</f>
        <v>99.756410256410263</v>
      </c>
      <c r="I620" cm="1">
        <f t="array" ref="I620">_xlfn.STDEV.P(IF(Table1[IndicatorCode]=Table1[[#This Row],[IndicatorCode]],Table1[value]))</f>
        <v>1.1047979755287356</v>
      </c>
      <c r="J620">
        <f>(Table1[[#This Row],[value]] - Table1[[#This Row],[mean]]) / Table1[[#This Row],[std_dev]]</f>
        <v>0.22048351733552002</v>
      </c>
      <c r="K620">
        <f>AVERAGEIF(Table1[CountryCode],Table1[[#This Row],[CountryCode]],Table1[z-score])</f>
        <v>0.21233679132661218</v>
      </c>
      <c r="L620" t="e">
        <f>VLOOKUP(Table1[[#This Row],[CountryCode]],[1]!Table1[#All],1,FALSE)</f>
        <v>#REF!</v>
      </c>
    </row>
    <row r="621" spans="1:12" hidden="1" x14ac:dyDescent="0.3">
      <c r="A621" t="s">
        <v>45</v>
      </c>
      <c r="B621" t="s">
        <v>46</v>
      </c>
      <c r="C621" t="s">
        <v>9</v>
      </c>
      <c r="D621" t="s">
        <v>10</v>
      </c>
      <c r="E621">
        <v>2016</v>
      </c>
      <c r="F621" s="1">
        <v>100</v>
      </c>
      <c r="G621">
        <v>2010</v>
      </c>
      <c r="H621">
        <f>AVERAGEIFS(Table1[value],Table1[IndicatorCode],Table1[[#This Row],[IndicatorCode]])</f>
        <v>99.756410256410263</v>
      </c>
      <c r="I621" cm="1">
        <f t="array" ref="I621">_xlfn.STDEV.P(IF(Table1[IndicatorCode]=Table1[[#This Row],[IndicatorCode]],Table1[value]))</f>
        <v>1.1047979755287356</v>
      </c>
      <c r="J621">
        <f>(Table1[[#This Row],[value]] - Table1[[#This Row],[mean]]) / Table1[[#This Row],[std_dev]]</f>
        <v>0.22048351733552002</v>
      </c>
      <c r="K621">
        <f>AVERAGEIF(Table1[CountryCode],Table1[[#This Row],[CountryCode]],Table1[z-score])</f>
        <v>0.21233679132661218</v>
      </c>
      <c r="L621" t="e">
        <f>VLOOKUP(Table1[[#This Row],[CountryCode]],[1]!Table1[#All],1,FALSE)</f>
        <v>#REF!</v>
      </c>
    </row>
    <row r="622" spans="1:12" hidden="1" x14ac:dyDescent="0.3">
      <c r="A622" t="s">
        <v>45</v>
      </c>
      <c r="B622" t="s">
        <v>46</v>
      </c>
      <c r="C622" t="s">
        <v>9</v>
      </c>
      <c r="D622" t="s">
        <v>10</v>
      </c>
      <c r="E622">
        <v>2017</v>
      </c>
      <c r="F622" s="1">
        <v>100</v>
      </c>
      <c r="G622">
        <v>2020</v>
      </c>
      <c r="H622">
        <f>AVERAGEIFS(Table1[value],Table1[IndicatorCode],Table1[[#This Row],[IndicatorCode]])</f>
        <v>99.756410256410263</v>
      </c>
      <c r="I622" cm="1">
        <f t="array" ref="I622">_xlfn.STDEV.P(IF(Table1[IndicatorCode]=Table1[[#This Row],[IndicatorCode]],Table1[value]))</f>
        <v>1.1047979755287356</v>
      </c>
      <c r="J622">
        <f>(Table1[[#This Row],[value]] - Table1[[#This Row],[mean]]) / Table1[[#This Row],[std_dev]]</f>
        <v>0.22048351733552002</v>
      </c>
      <c r="K622">
        <f>AVERAGEIF(Table1[CountryCode],Table1[[#This Row],[CountryCode]],Table1[z-score])</f>
        <v>0.21233679132661218</v>
      </c>
      <c r="L622" t="e">
        <f>VLOOKUP(Table1[[#This Row],[CountryCode]],[1]!Table1[#All],1,FALSE)</f>
        <v>#REF!</v>
      </c>
    </row>
    <row r="623" spans="1:12" hidden="1" x14ac:dyDescent="0.3">
      <c r="A623" t="s">
        <v>45</v>
      </c>
      <c r="B623" t="s">
        <v>46</v>
      </c>
      <c r="C623" t="s">
        <v>9</v>
      </c>
      <c r="D623" t="s">
        <v>10</v>
      </c>
      <c r="E623">
        <v>2018</v>
      </c>
      <c r="F623" s="1">
        <v>100</v>
      </c>
      <c r="G623">
        <v>2020</v>
      </c>
      <c r="H623">
        <f>AVERAGEIFS(Table1[value],Table1[IndicatorCode],Table1[[#This Row],[IndicatorCode]])</f>
        <v>99.756410256410263</v>
      </c>
      <c r="I623" cm="1">
        <f t="array" ref="I623">_xlfn.STDEV.P(IF(Table1[IndicatorCode]=Table1[[#This Row],[IndicatorCode]],Table1[value]))</f>
        <v>1.1047979755287356</v>
      </c>
      <c r="J623">
        <f>(Table1[[#This Row],[value]] - Table1[[#This Row],[mean]]) / Table1[[#This Row],[std_dev]]</f>
        <v>0.22048351733552002</v>
      </c>
      <c r="K623">
        <f>AVERAGEIF(Table1[CountryCode],Table1[[#This Row],[CountryCode]],Table1[z-score])</f>
        <v>0.21233679132661218</v>
      </c>
      <c r="L623" t="e">
        <f>VLOOKUP(Table1[[#This Row],[CountryCode]],[1]!Table1[#All],1,FALSE)</f>
        <v>#REF!</v>
      </c>
    </row>
    <row r="624" spans="1:12" hidden="1" x14ac:dyDescent="0.3">
      <c r="A624" t="s">
        <v>45</v>
      </c>
      <c r="B624" t="s">
        <v>46</v>
      </c>
      <c r="C624" t="s">
        <v>9</v>
      </c>
      <c r="D624" t="s">
        <v>10</v>
      </c>
      <c r="E624">
        <v>2019</v>
      </c>
      <c r="F624" s="1">
        <v>100</v>
      </c>
      <c r="G624">
        <v>2020</v>
      </c>
      <c r="H624">
        <f>AVERAGEIFS(Table1[value],Table1[IndicatorCode],Table1[[#This Row],[IndicatorCode]])</f>
        <v>99.756410256410263</v>
      </c>
      <c r="I624" cm="1">
        <f t="array" ref="I624">_xlfn.STDEV.P(IF(Table1[IndicatorCode]=Table1[[#This Row],[IndicatorCode]],Table1[value]))</f>
        <v>1.1047979755287356</v>
      </c>
      <c r="J624">
        <f>(Table1[[#This Row],[value]] - Table1[[#This Row],[mean]]) / Table1[[#This Row],[std_dev]]</f>
        <v>0.22048351733552002</v>
      </c>
      <c r="K624">
        <f>AVERAGEIF(Table1[CountryCode],Table1[[#This Row],[CountryCode]],Table1[z-score])</f>
        <v>0.21233679132661218</v>
      </c>
      <c r="L624" t="e">
        <f>VLOOKUP(Table1[[#This Row],[CountryCode]],[1]!Table1[#All],1,FALSE)</f>
        <v>#REF!</v>
      </c>
    </row>
    <row r="625" spans="1:12" x14ac:dyDescent="0.3">
      <c r="A625" t="s">
        <v>45</v>
      </c>
      <c r="B625" t="s">
        <v>46</v>
      </c>
      <c r="C625" t="s">
        <v>9</v>
      </c>
      <c r="D625" t="s">
        <v>10</v>
      </c>
      <c r="E625">
        <v>2020</v>
      </c>
      <c r="F625" s="1">
        <v>100</v>
      </c>
      <c r="G625">
        <v>2020</v>
      </c>
      <c r="H625">
        <f>AVERAGEIFS(Table1[value],Table1[IndicatorCode],Table1[[#This Row],[IndicatorCode]])</f>
        <v>99.756410256410263</v>
      </c>
      <c r="I625" cm="1">
        <f t="array" ref="I625">_xlfn.STDEV.P(IF(Table1[IndicatorCode]=Table1[[#This Row],[IndicatorCode]],Table1[value]))</f>
        <v>1.1047979755287356</v>
      </c>
      <c r="J625">
        <f>(Table1[[#This Row],[value]] - Table1[[#This Row],[mean]]) / Table1[[#This Row],[std_dev]]</f>
        <v>0.22048351733552002</v>
      </c>
      <c r="K625">
        <f>AVERAGEIF(Table1[CountryCode],Table1[[#This Row],[CountryCode]],Table1[z-score])</f>
        <v>0.21233679132661218</v>
      </c>
    </row>
    <row r="626" spans="1:12" hidden="1" x14ac:dyDescent="0.3">
      <c r="A626" t="s">
        <v>45</v>
      </c>
      <c r="B626" t="s">
        <v>46</v>
      </c>
      <c r="C626" t="s">
        <v>9</v>
      </c>
      <c r="D626" t="s">
        <v>10</v>
      </c>
      <c r="E626">
        <v>2021</v>
      </c>
      <c r="F626" s="1">
        <v>100</v>
      </c>
      <c r="G626">
        <v>1990</v>
      </c>
      <c r="H626">
        <f>AVERAGEIFS(Table1[value],Table1[IndicatorCode],Table1[[#This Row],[IndicatorCode]])</f>
        <v>99.756410256410263</v>
      </c>
      <c r="I626" cm="1">
        <f t="array" ref="I626">_xlfn.STDEV.P(IF(Table1[IndicatorCode]=Table1[[#This Row],[IndicatorCode]],Table1[value]))</f>
        <v>1.1047979755287356</v>
      </c>
      <c r="J626">
        <f>(Table1[[#This Row],[value]] - Table1[[#This Row],[mean]]) / Table1[[#This Row],[std_dev]]</f>
        <v>0.22048351733552002</v>
      </c>
      <c r="K626">
        <f>AVERAGEIF(Table1[CountryCode],Table1[[#This Row],[CountryCode]],Table1[z-score])</f>
        <v>0.21233679132661218</v>
      </c>
      <c r="L626" t="e">
        <f>VLOOKUP(Table1[[#This Row],[CountryCode]],[1]!Table1[#All],1,FALSE)</f>
        <v>#REF!</v>
      </c>
    </row>
    <row r="627" spans="1:12" hidden="1" x14ac:dyDescent="0.3">
      <c r="A627" t="s">
        <v>45</v>
      </c>
      <c r="B627" t="s">
        <v>46</v>
      </c>
      <c r="C627" t="s">
        <v>9</v>
      </c>
      <c r="D627" t="s">
        <v>10</v>
      </c>
      <c r="E627">
        <v>2022</v>
      </c>
      <c r="F627" s="1">
        <v>100</v>
      </c>
      <c r="G627">
        <v>1990</v>
      </c>
      <c r="H627">
        <f>AVERAGEIFS(Table1[value],Table1[IndicatorCode],Table1[[#This Row],[IndicatorCode]])</f>
        <v>99.756410256410263</v>
      </c>
      <c r="I627" cm="1">
        <f t="array" ref="I627">_xlfn.STDEV.P(IF(Table1[IndicatorCode]=Table1[[#This Row],[IndicatorCode]],Table1[value]))</f>
        <v>1.1047979755287356</v>
      </c>
      <c r="J627">
        <f>(Table1[[#This Row],[value]] - Table1[[#This Row],[mean]]) / Table1[[#This Row],[std_dev]]</f>
        <v>0.22048351733552002</v>
      </c>
      <c r="K627">
        <f>AVERAGEIF(Table1[CountryCode],Table1[[#This Row],[CountryCode]],Table1[z-score])</f>
        <v>0.21233679132661218</v>
      </c>
      <c r="L627" t="e">
        <f>VLOOKUP(Table1[[#This Row],[CountryCode]],[1]!Table1[#All],1,FALSE)</f>
        <v>#REF!</v>
      </c>
    </row>
    <row r="628" spans="1:12" hidden="1" x14ac:dyDescent="0.3">
      <c r="A628" t="s">
        <v>45</v>
      </c>
      <c r="B628" t="s">
        <v>46</v>
      </c>
      <c r="C628" t="s">
        <v>9</v>
      </c>
      <c r="D628" t="s">
        <v>10</v>
      </c>
      <c r="E628">
        <v>2023</v>
      </c>
      <c r="F628" s="1">
        <v>100</v>
      </c>
      <c r="G628">
        <v>1990</v>
      </c>
      <c r="H628">
        <f>AVERAGEIFS(Table1[value],Table1[IndicatorCode],Table1[[#This Row],[IndicatorCode]])</f>
        <v>99.756410256410263</v>
      </c>
      <c r="I628" cm="1">
        <f t="array" ref="I628">_xlfn.STDEV.P(IF(Table1[IndicatorCode]=Table1[[#This Row],[IndicatorCode]],Table1[value]))</f>
        <v>1.1047979755287356</v>
      </c>
      <c r="J628">
        <f>(Table1[[#This Row],[value]] - Table1[[#This Row],[mean]]) / Table1[[#This Row],[std_dev]]</f>
        <v>0.22048351733552002</v>
      </c>
      <c r="K628">
        <f>AVERAGEIF(Table1[CountryCode],Table1[[#This Row],[CountryCode]],Table1[z-score])</f>
        <v>0.21233679132661218</v>
      </c>
      <c r="L628" t="e">
        <f>VLOOKUP(Table1[[#This Row],[CountryCode]],[1]!Table1[#All],1,FALSE)</f>
        <v>#REF!</v>
      </c>
    </row>
    <row r="629" spans="1:12" hidden="1" x14ac:dyDescent="0.3">
      <c r="A629" t="s">
        <v>47</v>
      </c>
      <c r="B629" t="s">
        <v>48</v>
      </c>
      <c r="C629" t="s">
        <v>9</v>
      </c>
      <c r="D629" t="s">
        <v>10</v>
      </c>
      <c r="E629">
        <v>1990</v>
      </c>
      <c r="F629" s="1">
        <v>100</v>
      </c>
      <c r="G629">
        <v>1990</v>
      </c>
      <c r="H629">
        <f>AVERAGEIFS(Table1[value],Table1[IndicatorCode],Table1[[#This Row],[IndicatorCode]])</f>
        <v>99.756410256410263</v>
      </c>
      <c r="I629" cm="1">
        <f t="array" ref="I629">_xlfn.STDEV.P(IF(Table1[IndicatorCode]=Table1[[#This Row],[IndicatorCode]],Table1[value]))</f>
        <v>1.1047979755287356</v>
      </c>
      <c r="J629">
        <f>(Table1[[#This Row],[value]] - Table1[[#This Row],[mean]]) / Table1[[#This Row],[std_dev]]</f>
        <v>0.22048351733552002</v>
      </c>
      <c r="K629">
        <f>AVERAGEIF(Table1[CountryCode],Table1[[#This Row],[CountryCode]],Table1[z-score])</f>
        <v>-3.9589438634764836E-2</v>
      </c>
      <c r="L629" t="e">
        <f>VLOOKUP(Table1[[#This Row],[CountryCode]],[1]!Table1[#All],1,FALSE)</f>
        <v>#REF!</v>
      </c>
    </row>
    <row r="630" spans="1:12" hidden="1" x14ac:dyDescent="0.3">
      <c r="A630" t="s">
        <v>47</v>
      </c>
      <c r="B630" t="s">
        <v>48</v>
      </c>
      <c r="C630" t="s">
        <v>9</v>
      </c>
      <c r="D630" t="s">
        <v>10</v>
      </c>
      <c r="E630">
        <v>1991</v>
      </c>
      <c r="F630" s="1">
        <v>100</v>
      </c>
      <c r="G630">
        <v>1990</v>
      </c>
      <c r="H630">
        <f>AVERAGEIFS(Table1[value],Table1[IndicatorCode],Table1[[#This Row],[IndicatorCode]])</f>
        <v>99.756410256410263</v>
      </c>
      <c r="I630" cm="1">
        <f t="array" ref="I630">_xlfn.STDEV.P(IF(Table1[IndicatorCode]=Table1[[#This Row],[IndicatorCode]],Table1[value]))</f>
        <v>1.1047979755287356</v>
      </c>
      <c r="J630">
        <f>(Table1[[#This Row],[value]] - Table1[[#This Row],[mean]]) / Table1[[#This Row],[std_dev]]</f>
        <v>0.22048351733552002</v>
      </c>
      <c r="K630">
        <f>AVERAGEIF(Table1[CountryCode],Table1[[#This Row],[CountryCode]],Table1[z-score])</f>
        <v>-3.9589438634764836E-2</v>
      </c>
      <c r="L630" t="e">
        <f>VLOOKUP(Table1[[#This Row],[CountryCode]],[1]!Table1[#All],1,FALSE)</f>
        <v>#REF!</v>
      </c>
    </row>
    <row r="631" spans="1:12" hidden="1" x14ac:dyDescent="0.3">
      <c r="A631" t="s">
        <v>47</v>
      </c>
      <c r="B631" t="s">
        <v>48</v>
      </c>
      <c r="C631" t="s">
        <v>9</v>
      </c>
      <c r="D631" t="s">
        <v>10</v>
      </c>
      <c r="E631">
        <v>1992</v>
      </c>
      <c r="F631" s="1">
        <v>100</v>
      </c>
      <c r="G631">
        <v>1990</v>
      </c>
      <c r="H631">
        <f>AVERAGEIFS(Table1[value],Table1[IndicatorCode],Table1[[#This Row],[IndicatorCode]])</f>
        <v>99.756410256410263</v>
      </c>
      <c r="I631" cm="1">
        <f t="array" ref="I631">_xlfn.STDEV.P(IF(Table1[IndicatorCode]=Table1[[#This Row],[IndicatorCode]],Table1[value]))</f>
        <v>1.1047979755287356</v>
      </c>
      <c r="J631">
        <f>(Table1[[#This Row],[value]] - Table1[[#This Row],[mean]]) / Table1[[#This Row],[std_dev]]</f>
        <v>0.22048351733552002</v>
      </c>
      <c r="K631">
        <f>AVERAGEIF(Table1[CountryCode],Table1[[#This Row],[CountryCode]],Table1[z-score])</f>
        <v>-3.9589438634764836E-2</v>
      </c>
      <c r="L631" t="e">
        <f>VLOOKUP(Table1[[#This Row],[CountryCode]],[1]!Table1[#All],1,FALSE)</f>
        <v>#REF!</v>
      </c>
    </row>
    <row r="632" spans="1:12" hidden="1" x14ac:dyDescent="0.3">
      <c r="A632" t="s">
        <v>47</v>
      </c>
      <c r="B632" t="s">
        <v>48</v>
      </c>
      <c r="C632" t="s">
        <v>9</v>
      </c>
      <c r="D632" t="s">
        <v>10</v>
      </c>
      <c r="E632">
        <v>1993</v>
      </c>
      <c r="F632" s="1">
        <v>100</v>
      </c>
      <c r="G632">
        <v>1990</v>
      </c>
      <c r="H632">
        <f>AVERAGEIFS(Table1[value],Table1[IndicatorCode],Table1[[#This Row],[IndicatorCode]])</f>
        <v>99.756410256410263</v>
      </c>
      <c r="I632" cm="1">
        <f t="array" ref="I632">_xlfn.STDEV.P(IF(Table1[IndicatorCode]=Table1[[#This Row],[IndicatorCode]],Table1[value]))</f>
        <v>1.1047979755287356</v>
      </c>
      <c r="J632">
        <f>(Table1[[#This Row],[value]] - Table1[[#This Row],[mean]]) / Table1[[#This Row],[std_dev]]</f>
        <v>0.22048351733552002</v>
      </c>
      <c r="K632">
        <f>AVERAGEIF(Table1[CountryCode],Table1[[#This Row],[CountryCode]],Table1[z-score])</f>
        <v>-3.9589438634764836E-2</v>
      </c>
      <c r="L632" t="e">
        <f>VLOOKUP(Table1[[#This Row],[CountryCode]],[1]!Table1[#All],1,FALSE)</f>
        <v>#REF!</v>
      </c>
    </row>
    <row r="633" spans="1:12" hidden="1" x14ac:dyDescent="0.3">
      <c r="A633" t="s">
        <v>47</v>
      </c>
      <c r="B633" t="s">
        <v>48</v>
      </c>
      <c r="C633" t="s">
        <v>9</v>
      </c>
      <c r="D633" t="s">
        <v>10</v>
      </c>
      <c r="E633">
        <v>1994</v>
      </c>
      <c r="F633" s="1">
        <v>100</v>
      </c>
      <c r="G633">
        <v>1990</v>
      </c>
      <c r="H633">
        <f>AVERAGEIFS(Table1[value],Table1[IndicatorCode],Table1[[#This Row],[IndicatorCode]])</f>
        <v>99.756410256410263</v>
      </c>
      <c r="I633" cm="1">
        <f t="array" ref="I633">_xlfn.STDEV.P(IF(Table1[IndicatorCode]=Table1[[#This Row],[IndicatorCode]],Table1[value]))</f>
        <v>1.1047979755287356</v>
      </c>
      <c r="J633">
        <f>(Table1[[#This Row],[value]] - Table1[[#This Row],[mean]]) / Table1[[#This Row],[std_dev]]</f>
        <v>0.22048351733552002</v>
      </c>
      <c r="K633">
        <f>AVERAGEIF(Table1[CountryCode],Table1[[#This Row],[CountryCode]],Table1[z-score])</f>
        <v>-3.9589438634764836E-2</v>
      </c>
      <c r="L633" t="e">
        <f>VLOOKUP(Table1[[#This Row],[CountryCode]],[1]!Table1[#All],1,FALSE)</f>
        <v>#REF!</v>
      </c>
    </row>
    <row r="634" spans="1:12" hidden="1" x14ac:dyDescent="0.3">
      <c r="A634" t="s">
        <v>47</v>
      </c>
      <c r="B634" t="s">
        <v>48</v>
      </c>
      <c r="C634" t="s">
        <v>9</v>
      </c>
      <c r="D634" t="s">
        <v>10</v>
      </c>
      <c r="E634">
        <v>1995</v>
      </c>
      <c r="F634" s="1">
        <v>100</v>
      </c>
      <c r="G634">
        <v>1990</v>
      </c>
      <c r="H634">
        <f>AVERAGEIFS(Table1[value],Table1[IndicatorCode],Table1[[#This Row],[IndicatorCode]])</f>
        <v>99.756410256410263</v>
      </c>
      <c r="I634" cm="1">
        <f t="array" ref="I634">_xlfn.STDEV.P(IF(Table1[IndicatorCode]=Table1[[#This Row],[IndicatorCode]],Table1[value]))</f>
        <v>1.1047979755287356</v>
      </c>
      <c r="J634">
        <f>(Table1[[#This Row],[value]] - Table1[[#This Row],[mean]]) / Table1[[#This Row],[std_dev]]</f>
        <v>0.22048351733552002</v>
      </c>
      <c r="K634">
        <f>AVERAGEIF(Table1[CountryCode],Table1[[#This Row],[CountryCode]],Table1[z-score])</f>
        <v>-3.9589438634764836E-2</v>
      </c>
      <c r="L634" t="e">
        <f>VLOOKUP(Table1[[#This Row],[CountryCode]],[1]!Table1[#All],1,FALSE)</f>
        <v>#REF!</v>
      </c>
    </row>
    <row r="635" spans="1:12" hidden="1" x14ac:dyDescent="0.3">
      <c r="A635" t="s">
        <v>47</v>
      </c>
      <c r="B635" t="s">
        <v>48</v>
      </c>
      <c r="C635" t="s">
        <v>9</v>
      </c>
      <c r="D635" t="s">
        <v>10</v>
      </c>
      <c r="E635">
        <v>1996</v>
      </c>
      <c r="F635" s="1">
        <v>100</v>
      </c>
      <c r="G635">
        <v>1990</v>
      </c>
      <c r="H635">
        <f>AVERAGEIFS(Table1[value],Table1[IndicatorCode],Table1[[#This Row],[IndicatorCode]])</f>
        <v>99.756410256410263</v>
      </c>
      <c r="I635" cm="1">
        <f t="array" ref="I635">_xlfn.STDEV.P(IF(Table1[IndicatorCode]=Table1[[#This Row],[IndicatorCode]],Table1[value]))</f>
        <v>1.1047979755287356</v>
      </c>
      <c r="J635">
        <f>(Table1[[#This Row],[value]] - Table1[[#This Row],[mean]]) / Table1[[#This Row],[std_dev]]</f>
        <v>0.22048351733552002</v>
      </c>
      <c r="K635">
        <f>AVERAGEIF(Table1[CountryCode],Table1[[#This Row],[CountryCode]],Table1[z-score])</f>
        <v>-3.9589438634764836E-2</v>
      </c>
      <c r="L635" t="e">
        <f>VLOOKUP(Table1[[#This Row],[CountryCode]],[1]!Table1[#All],1,FALSE)</f>
        <v>#REF!</v>
      </c>
    </row>
    <row r="636" spans="1:12" hidden="1" x14ac:dyDescent="0.3">
      <c r="A636" t="s">
        <v>47</v>
      </c>
      <c r="B636" t="s">
        <v>48</v>
      </c>
      <c r="C636" t="s">
        <v>9</v>
      </c>
      <c r="D636" t="s">
        <v>10</v>
      </c>
      <c r="E636">
        <v>1997</v>
      </c>
      <c r="F636" s="1">
        <v>100</v>
      </c>
      <c r="G636">
        <v>2000</v>
      </c>
      <c r="H636">
        <f>AVERAGEIFS(Table1[value],Table1[IndicatorCode],Table1[[#This Row],[IndicatorCode]])</f>
        <v>99.756410256410263</v>
      </c>
      <c r="I636" cm="1">
        <f t="array" ref="I636">_xlfn.STDEV.P(IF(Table1[IndicatorCode]=Table1[[#This Row],[IndicatorCode]],Table1[value]))</f>
        <v>1.1047979755287356</v>
      </c>
      <c r="J636">
        <f>(Table1[[#This Row],[value]] - Table1[[#This Row],[mean]]) / Table1[[#This Row],[std_dev]]</f>
        <v>0.22048351733552002</v>
      </c>
      <c r="K636">
        <f>AVERAGEIF(Table1[CountryCode],Table1[[#This Row],[CountryCode]],Table1[z-score])</f>
        <v>-3.9589438634764836E-2</v>
      </c>
      <c r="L636" t="e">
        <f>VLOOKUP(Table1[[#This Row],[CountryCode]],[1]!Table1[#All],1,FALSE)</f>
        <v>#REF!</v>
      </c>
    </row>
    <row r="637" spans="1:12" hidden="1" x14ac:dyDescent="0.3">
      <c r="A637" t="s">
        <v>47</v>
      </c>
      <c r="B637" t="s">
        <v>48</v>
      </c>
      <c r="C637" t="s">
        <v>9</v>
      </c>
      <c r="D637" t="s">
        <v>10</v>
      </c>
      <c r="E637">
        <v>1998</v>
      </c>
      <c r="F637" s="1">
        <v>100</v>
      </c>
      <c r="G637">
        <v>2000</v>
      </c>
      <c r="H637">
        <f>AVERAGEIFS(Table1[value],Table1[IndicatorCode],Table1[[#This Row],[IndicatorCode]])</f>
        <v>99.756410256410263</v>
      </c>
      <c r="I637" cm="1">
        <f t="array" ref="I637">_xlfn.STDEV.P(IF(Table1[IndicatorCode]=Table1[[#This Row],[IndicatorCode]],Table1[value]))</f>
        <v>1.1047979755287356</v>
      </c>
      <c r="J637">
        <f>(Table1[[#This Row],[value]] - Table1[[#This Row],[mean]]) / Table1[[#This Row],[std_dev]]</f>
        <v>0.22048351733552002</v>
      </c>
      <c r="K637">
        <f>AVERAGEIF(Table1[CountryCode],Table1[[#This Row],[CountryCode]],Table1[z-score])</f>
        <v>-3.9589438634764836E-2</v>
      </c>
      <c r="L637" t="e">
        <f>VLOOKUP(Table1[[#This Row],[CountryCode]],[1]!Table1[#All],1,FALSE)</f>
        <v>#REF!</v>
      </c>
    </row>
    <row r="638" spans="1:12" hidden="1" x14ac:dyDescent="0.3">
      <c r="A638" t="s">
        <v>47</v>
      </c>
      <c r="B638" t="s">
        <v>48</v>
      </c>
      <c r="C638" t="s">
        <v>9</v>
      </c>
      <c r="D638" t="s">
        <v>10</v>
      </c>
      <c r="E638">
        <v>1999</v>
      </c>
      <c r="F638" s="1">
        <v>100</v>
      </c>
      <c r="G638">
        <v>2000</v>
      </c>
      <c r="H638">
        <f>AVERAGEIFS(Table1[value],Table1[IndicatorCode],Table1[[#This Row],[IndicatorCode]])</f>
        <v>99.756410256410263</v>
      </c>
      <c r="I638" cm="1">
        <f t="array" ref="I638">_xlfn.STDEV.P(IF(Table1[IndicatorCode]=Table1[[#This Row],[IndicatorCode]],Table1[value]))</f>
        <v>1.1047979755287356</v>
      </c>
      <c r="J638">
        <f>(Table1[[#This Row],[value]] - Table1[[#This Row],[mean]]) / Table1[[#This Row],[std_dev]]</f>
        <v>0.22048351733552002</v>
      </c>
      <c r="K638">
        <f>AVERAGEIF(Table1[CountryCode],Table1[[#This Row],[CountryCode]],Table1[z-score])</f>
        <v>-3.9589438634764836E-2</v>
      </c>
      <c r="L638" t="e">
        <f>VLOOKUP(Table1[[#This Row],[CountryCode]],[1]!Table1[#All],1,FALSE)</f>
        <v>#REF!</v>
      </c>
    </row>
    <row r="639" spans="1:12" hidden="1" x14ac:dyDescent="0.3">
      <c r="A639" t="s">
        <v>47</v>
      </c>
      <c r="B639" t="s">
        <v>48</v>
      </c>
      <c r="C639" t="s">
        <v>9</v>
      </c>
      <c r="D639" t="s">
        <v>10</v>
      </c>
      <c r="E639">
        <v>2000</v>
      </c>
      <c r="F639" s="1">
        <v>100</v>
      </c>
      <c r="G639">
        <v>2000</v>
      </c>
      <c r="H639">
        <f>AVERAGEIFS(Table1[value],Table1[IndicatorCode],Table1[[#This Row],[IndicatorCode]])</f>
        <v>99.756410256410263</v>
      </c>
      <c r="I639" cm="1">
        <f t="array" ref="I639">_xlfn.STDEV.P(IF(Table1[IndicatorCode]=Table1[[#This Row],[IndicatorCode]],Table1[value]))</f>
        <v>1.1047979755287356</v>
      </c>
      <c r="J639">
        <f>(Table1[[#This Row],[value]] - Table1[[#This Row],[mean]]) / Table1[[#This Row],[std_dev]]</f>
        <v>0.22048351733552002</v>
      </c>
      <c r="K639">
        <f>AVERAGEIF(Table1[CountryCode],Table1[[#This Row],[CountryCode]],Table1[z-score])</f>
        <v>-3.9589438634764836E-2</v>
      </c>
      <c r="L639" t="e">
        <f>VLOOKUP(Table1[[#This Row],[CountryCode]],[1]!Table1[#All],1,FALSE)</f>
        <v>#REF!</v>
      </c>
    </row>
    <row r="640" spans="1:12" hidden="1" x14ac:dyDescent="0.3">
      <c r="A640" t="s">
        <v>47</v>
      </c>
      <c r="B640" t="s">
        <v>48</v>
      </c>
      <c r="C640" t="s">
        <v>9</v>
      </c>
      <c r="D640" t="s">
        <v>10</v>
      </c>
      <c r="E640">
        <v>2001</v>
      </c>
      <c r="F640" s="1">
        <v>100</v>
      </c>
      <c r="G640">
        <v>2000</v>
      </c>
      <c r="H640">
        <f>AVERAGEIFS(Table1[value],Table1[IndicatorCode],Table1[[#This Row],[IndicatorCode]])</f>
        <v>99.756410256410263</v>
      </c>
      <c r="I640" cm="1">
        <f t="array" ref="I640">_xlfn.STDEV.P(IF(Table1[IndicatorCode]=Table1[[#This Row],[IndicatorCode]],Table1[value]))</f>
        <v>1.1047979755287356</v>
      </c>
      <c r="J640">
        <f>(Table1[[#This Row],[value]] - Table1[[#This Row],[mean]]) / Table1[[#This Row],[std_dev]]</f>
        <v>0.22048351733552002</v>
      </c>
      <c r="K640">
        <f>AVERAGEIF(Table1[CountryCode],Table1[[#This Row],[CountryCode]],Table1[z-score])</f>
        <v>-3.9589438634764836E-2</v>
      </c>
      <c r="L640" t="e">
        <f>VLOOKUP(Table1[[#This Row],[CountryCode]],[1]!Table1[#All],1,FALSE)</f>
        <v>#REF!</v>
      </c>
    </row>
    <row r="641" spans="1:12" hidden="1" x14ac:dyDescent="0.3">
      <c r="A641" t="s">
        <v>47</v>
      </c>
      <c r="B641" t="s">
        <v>48</v>
      </c>
      <c r="C641" t="s">
        <v>9</v>
      </c>
      <c r="D641" t="s">
        <v>10</v>
      </c>
      <c r="E641">
        <v>2002</v>
      </c>
      <c r="F641" s="1">
        <v>100</v>
      </c>
      <c r="G641">
        <v>2000</v>
      </c>
      <c r="H641">
        <f>AVERAGEIFS(Table1[value],Table1[IndicatorCode],Table1[[#This Row],[IndicatorCode]])</f>
        <v>99.756410256410263</v>
      </c>
      <c r="I641" cm="1">
        <f t="array" ref="I641">_xlfn.STDEV.P(IF(Table1[IndicatorCode]=Table1[[#This Row],[IndicatorCode]],Table1[value]))</f>
        <v>1.1047979755287356</v>
      </c>
      <c r="J641">
        <f>(Table1[[#This Row],[value]] - Table1[[#This Row],[mean]]) / Table1[[#This Row],[std_dev]]</f>
        <v>0.22048351733552002</v>
      </c>
      <c r="K641">
        <f>AVERAGEIF(Table1[CountryCode],Table1[[#This Row],[CountryCode]],Table1[z-score])</f>
        <v>-3.9589438634764836E-2</v>
      </c>
      <c r="L641" t="e">
        <f>VLOOKUP(Table1[[#This Row],[CountryCode]],[1]!Table1[#All],1,FALSE)</f>
        <v>#REF!</v>
      </c>
    </row>
    <row r="642" spans="1:12" hidden="1" x14ac:dyDescent="0.3">
      <c r="A642" t="s">
        <v>47</v>
      </c>
      <c r="B642" t="s">
        <v>48</v>
      </c>
      <c r="C642" t="s">
        <v>9</v>
      </c>
      <c r="D642" t="s">
        <v>10</v>
      </c>
      <c r="E642">
        <v>2003</v>
      </c>
      <c r="F642" s="1">
        <v>100</v>
      </c>
      <c r="G642">
        <v>2000</v>
      </c>
      <c r="H642">
        <f>AVERAGEIFS(Table1[value],Table1[IndicatorCode],Table1[[#This Row],[IndicatorCode]])</f>
        <v>99.756410256410263</v>
      </c>
      <c r="I642" cm="1">
        <f t="array" ref="I642">_xlfn.STDEV.P(IF(Table1[IndicatorCode]=Table1[[#This Row],[IndicatorCode]],Table1[value]))</f>
        <v>1.1047979755287356</v>
      </c>
      <c r="J642">
        <f>(Table1[[#This Row],[value]] - Table1[[#This Row],[mean]]) / Table1[[#This Row],[std_dev]]</f>
        <v>0.22048351733552002</v>
      </c>
      <c r="K642">
        <f>AVERAGEIF(Table1[CountryCode],Table1[[#This Row],[CountryCode]],Table1[z-score])</f>
        <v>-3.9589438634764836E-2</v>
      </c>
      <c r="L642" t="e">
        <f>VLOOKUP(Table1[[#This Row],[CountryCode]],[1]!Table1[#All],1,FALSE)</f>
        <v>#REF!</v>
      </c>
    </row>
    <row r="643" spans="1:12" hidden="1" x14ac:dyDescent="0.3">
      <c r="A643" t="s">
        <v>47</v>
      </c>
      <c r="B643" t="s">
        <v>48</v>
      </c>
      <c r="C643" t="s">
        <v>9</v>
      </c>
      <c r="D643" t="s">
        <v>10</v>
      </c>
      <c r="E643">
        <v>2004</v>
      </c>
      <c r="F643" s="1">
        <v>100</v>
      </c>
      <c r="G643">
        <v>2000</v>
      </c>
      <c r="H643">
        <f>AVERAGEIFS(Table1[value],Table1[IndicatorCode],Table1[[#This Row],[IndicatorCode]])</f>
        <v>99.756410256410263</v>
      </c>
      <c r="I643" cm="1">
        <f t="array" ref="I643">_xlfn.STDEV.P(IF(Table1[IndicatorCode]=Table1[[#This Row],[IndicatorCode]],Table1[value]))</f>
        <v>1.1047979755287356</v>
      </c>
      <c r="J643">
        <f>(Table1[[#This Row],[value]] - Table1[[#This Row],[mean]]) / Table1[[#This Row],[std_dev]]</f>
        <v>0.22048351733552002</v>
      </c>
      <c r="K643">
        <f>AVERAGEIF(Table1[CountryCode],Table1[[#This Row],[CountryCode]],Table1[z-score])</f>
        <v>-3.9589438634764836E-2</v>
      </c>
      <c r="L643" t="e">
        <f>VLOOKUP(Table1[[#This Row],[CountryCode]],[1]!Table1[#All],1,FALSE)</f>
        <v>#REF!</v>
      </c>
    </row>
    <row r="644" spans="1:12" hidden="1" x14ac:dyDescent="0.3">
      <c r="A644" t="s">
        <v>47</v>
      </c>
      <c r="B644" t="s">
        <v>48</v>
      </c>
      <c r="C644" t="s">
        <v>9</v>
      </c>
      <c r="D644" t="s">
        <v>10</v>
      </c>
      <c r="E644">
        <v>2005</v>
      </c>
      <c r="F644" s="1">
        <v>100</v>
      </c>
      <c r="G644">
        <v>2000</v>
      </c>
      <c r="H644">
        <f>AVERAGEIFS(Table1[value],Table1[IndicatorCode],Table1[[#This Row],[IndicatorCode]])</f>
        <v>99.756410256410263</v>
      </c>
      <c r="I644" cm="1">
        <f t="array" ref="I644">_xlfn.STDEV.P(IF(Table1[IndicatorCode]=Table1[[#This Row],[IndicatorCode]],Table1[value]))</f>
        <v>1.1047979755287356</v>
      </c>
      <c r="J644">
        <f>(Table1[[#This Row],[value]] - Table1[[#This Row],[mean]]) / Table1[[#This Row],[std_dev]]</f>
        <v>0.22048351733552002</v>
      </c>
      <c r="K644">
        <f>AVERAGEIF(Table1[CountryCode],Table1[[#This Row],[CountryCode]],Table1[z-score])</f>
        <v>-3.9589438634764836E-2</v>
      </c>
      <c r="L644" t="e">
        <f>VLOOKUP(Table1[[#This Row],[CountryCode]],[1]!Table1[#All],1,FALSE)</f>
        <v>#REF!</v>
      </c>
    </row>
    <row r="645" spans="1:12" hidden="1" x14ac:dyDescent="0.3">
      <c r="A645" t="s">
        <v>47</v>
      </c>
      <c r="B645" t="s">
        <v>48</v>
      </c>
      <c r="C645" t="s">
        <v>9</v>
      </c>
      <c r="D645" t="s">
        <v>10</v>
      </c>
      <c r="E645">
        <v>2006</v>
      </c>
      <c r="F645" s="1">
        <v>100</v>
      </c>
      <c r="G645">
        <v>2000</v>
      </c>
      <c r="H645">
        <f>AVERAGEIFS(Table1[value],Table1[IndicatorCode],Table1[[#This Row],[IndicatorCode]])</f>
        <v>99.756410256410263</v>
      </c>
      <c r="I645" cm="1">
        <f t="array" ref="I645">_xlfn.STDEV.P(IF(Table1[IndicatorCode]=Table1[[#This Row],[IndicatorCode]],Table1[value]))</f>
        <v>1.1047979755287356</v>
      </c>
      <c r="J645">
        <f>(Table1[[#This Row],[value]] - Table1[[#This Row],[mean]]) / Table1[[#This Row],[std_dev]]</f>
        <v>0.22048351733552002</v>
      </c>
      <c r="K645">
        <f>AVERAGEIF(Table1[CountryCode],Table1[[#This Row],[CountryCode]],Table1[z-score])</f>
        <v>-3.9589438634764836E-2</v>
      </c>
      <c r="L645" t="e">
        <f>VLOOKUP(Table1[[#This Row],[CountryCode]],[1]!Table1[#All],1,FALSE)</f>
        <v>#REF!</v>
      </c>
    </row>
    <row r="646" spans="1:12" hidden="1" x14ac:dyDescent="0.3">
      <c r="A646" t="s">
        <v>47</v>
      </c>
      <c r="B646" t="s">
        <v>48</v>
      </c>
      <c r="C646" t="s">
        <v>9</v>
      </c>
      <c r="D646" t="s">
        <v>10</v>
      </c>
      <c r="E646">
        <v>2007</v>
      </c>
      <c r="F646" s="1">
        <v>100</v>
      </c>
      <c r="G646">
        <v>2010</v>
      </c>
      <c r="H646">
        <f>AVERAGEIFS(Table1[value],Table1[IndicatorCode],Table1[[#This Row],[IndicatorCode]])</f>
        <v>99.756410256410263</v>
      </c>
      <c r="I646" cm="1">
        <f t="array" ref="I646">_xlfn.STDEV.P(IF(Table1[IndicatorCode]=Table1[[#This Row],[IndicatorCode]],Table1[value]))</f>
        <v>1.1047979755287356</v>
      </c>
      <c r="J646">
        <f>(Table1[[#This Row],[value]] - Table1[[#This Row],[mean]]) / Table1[[#This Row],[std_dev]]</f>
        <v>0.22048351733552002</v>
      </c>
      <c r="K646">
        <f>AVERAGEIF(Table1[CountryCode],Table1[[#This Row],[CountryCode]],Table1[z-score])</f>
        <v>-3.9589438634764836E-2</v>
      </c>
      <c r="L646" t="e">
        <f>VLOOKUP(Table1[[#This Row],[CountryCode]],[1]!Table1[#All],1,FALSE)</f>
        <v>#REF!</v>
      </c>
    </row>
    <row r="647" spans="1:12" hidden="1" x14ac:dyDescent="0.3">
      <c r="A647" t="s">
        <v>47</v>
      </c>
      <c r="B647" t="s">
        <v>48</v>
      </c>
      <c r="C647" t="s">
        <v>9</v>
      </c>
      <c r="D647" t="s">
        <v>10</v>
      </c>
      <c r="E647">
        <v>2008</v>
      </c>
      <c r="F647" s="1">
        <v>100</v>
      </c>
      <c r="G647">
        <v>2010</v>
      </c>
      <c r="H647">
        <f>AVERAGEIFS(Table1[value],Table1[IndicatorCode],Table1[[#This Row],[IndicatorCode]])</f>
        <v>99.756410256410263</v>
      </c>
      <c r="I647" cm="1">
        <f t="array" ref="I647">_xlfn.STDEV.P(IF(Table1[IndicatorCode]=Table1[[#This Row],[IndicatorCode]],Table1[value]))</f>
        <v>1.1047979755287356</v>
      </c>
      <c r="J647">
        <f>(Table1[[#This Row],[value]] - Table1[[#This Row],[mean]]) / Table1[[#This Row],[std_dev]]</f>
        <v>0.22048351733552002</v>
      </c>
      <c r="K647">
        <f>AVERAGEIF(Table1[CountryCode],Table1[[#This Row],[CountryCode]],Table1[z-score])</f>
        <v>-3.9589438634764836E-2</v>
      </c>
      <c r="L647" t="e">
        <f>VLOOKUP(Table1[[#This Row],[CountryCode]],[1]!Table1[#All],1,FALSE)</f>
        <v>#REF!</v>
      </c>
    </row>
    <row r="648" spans="1:12" hidden="1" x14ac:dyDescent="0.3">
      <c r="A648" t="s">
        <v>47</v>
      </c>
      <c r="B648" t="s">
        <v>48</v>
      </c>
      <c r="C648" t="s">
        <v>9</v>
      </c>
      <c r="D648" t="s">
        <v>10</v>
      </c>
      <c r="E648">
        <v>2009</v>
      </c>
      <c r="F648" s="1">
        <v>100</v>
      </c>
      <c r="G648">
        <v>2010</v>
      </c>
      <c r="H648">
        <f>AVERAGEIFS(Table1[value],Table1[IndicatorCode],Table1[[#This Row],[IndicatorCode]])</f>
        <v>99.756410256410263</v>
      </c>
      <c r="I648" cm="1">
        <f t="array" ref="I648">_xlfn.STDEV.P(IF(Table1[IndicatorCode]=Table1[[#This Row],[IndicatorCode]],Table1[value]))</f>
        <v>1.1047979755287356</v>
      </c>
      <c r="J648">
        <f>(Table1[[#This Row],[value]] - Table1[[#This Row],[mean]]) / Table1[[#This Row],[std_dev]]</f>
        <v>0.22048351733552002</v>
      </c>
      <c r="K648">
        <f>AVERAGEIF(Table1[CountryCode],Table1[[#This Row],[CountryCode]],Table1[z-score])</f>
        <v>-3.9589438634764836E-2</v>
      </c>
      <c r="L648" t="e">
        <f>VLOOKUP(Table1[[#This Row],[CountryCode]],[1]!Table1[#All],1,FALSE)</f>
        <v>#REF!</v>
      </c>
    </row>
    <row r="649" spans="1:12" hidden="1" x14ac:dyDescent="0.3">
      <c r="A649" t="s">
        <v>47</v>
      </c>
      <c r="B649" t="s">
        <v>48</v>
      </c>
      <c r="C649" t="s">
        <v>9</v>
      </c>
      <c r="D649" t="s">
        <v>10</v>
      </c>
      <c r="E649">
        <v>2010</v>
      </c>
      <c r="F649" s="1">
        <v>100</v>
      </c>
      <c r="G649">
        <v>2010</v>
      </c>
      <c r="H649">
        <f>AVERAGEIFS(Table1[value],Table1[IndicatorCode],Table1[[#This Row],[IndicatorCode]])</f>
        <v>99.756410256410263</v>
      </c>
      <c r="I649" cm="1">
        <f t="array" ref="I649">_xlfn.STDEV.P(IF(Table1[IndicatorCode]=Table1[[#This Row],[IndicatorCode]],Table1[value]))</f>
        <v>1.1047979755287356</v>
      </c>
      <c r="J649">
        <f>(Table1[[#This Row],[value]] - Table1[[#This Row],[mean]]) / Table1[[#This Row],[std_dev]]</f>
        <v>0.22048351733552002</v>
      </c>
      <c r="K649">
        <f>AVERAGEIF(Table1[CountryCode],Table1[[#This Row],[CountryCode]],Table1[z-score])</f>
        <v>-3.9589438634764836E-2</v>
      </c>
      <c r="L649" t="e">
        <f>VLOOKUP(Table1[[#This Row],[CountryCode]],[1]!Table1[#All],1,FALSE)</f>
        <v>#REF!</v>
      </c>
    </row>
    <row r="650" spans="1:12" hidden="1" x14ac:dyDescent="0.3">
      <c r="A650" t="s">
        <v>47</v>
      </c>
      <c r="B650" t="s">
        <v>48</v>
      </c>
      <c r="C650" t="s">
        <v>9</v>
      </c>
      <c r="D650" t="s">
        <v>10</v>
      </c>
      <c r="E650">
        <v>2011</v>
      </c>
      <c r="F650" s="1">
        <v>100</v>
      </c>
      <c r="G650">
        <v>2010</v>
      </c>
      <c r="H650">
        <f>AVERAGEIFS(Table1[value],Table1[IndicatorCode],Table1[[#This Row],[IndicatorCode]])</f>
        <v>99.756410256410263</v>
      </c>
      <c r="I650" cm="1">
        <f t="array" ref="I650">_xlfn.STDEV.P(IF(Table1[IndicatorCode]=Table1[[#This Row],[IndicatorCode]],Table1[value]))</f>
        <v>1.1047979755287356</v>
      </c>
      <c r="J650">
        <f>(Table1[[#This Row],[value]] - Table1[[#This Row],[mean]]) / Table1[[#This Row],[std_dev]]</f>
        <v>0.22048351733552002</v>
      </c>
      <c r="K650">
        <f>AVERAGEIF(Table1[CountryCode],Table1[[#This Row],[CountryCode]],Table1[z-score])</f>
        <v>-3.9589438634764836E-2</v>
      </c>
      <c r="L650" t="e">
        <f>VLOOKUP(Table1[[#This Row],[CountryCode]],[1]!Table1[#All],1,FALSE)</f>
        <v>#REF!</v>
      </c>
    </row>
    <row r="651" spans="1:12" hidden="1" x14ac:dyDescent="0.3">
      <c r="A651" t="s">
        <v>47</v>
      </c>
      <c r="B651" t="s">
        <v>48</v>
      </c>
      <c r="C651" t="s">
        <v>9</v>
      </c>
      <c r="D651" t="s">
        <v>10</v>
      </c>
      <c r="E651">
        <v>2012</v>
      </c>
      <c r="F651" s="1">
        <v>100</v>
      </c>
      <c r="G651">
        <v>2010</v>
      </c>
      <c r="H651">
        <f>AVERAGEIFS(Table1[value],Table1[IndicatorCode],Table1[[#This Row],[IndicatorCode]])</f>
        <v>99.756410256410263</v>
      </c>
      <c r="I651" cm="1">
        <f t="array" ref="I651">_xlfn.STDEV.P(IF(Table1[IndicatorCode]=Table1[[#This Row],[IndicatorCode]],Table1[value]))</f>
        <v>1.1047979755287356</v>
      </c>
      <c r="J651">
        <f>(Table1[[#This Row],[value]] - Table1[[#This Row],[mean]]) / Table1[[#This Row],[std_dev]]</f>
        <v>0.22048351733552002</v>
      </c>
      <c r="K651">
        <f>AVERAGEIF(Table1[CountryCode],Table1[[#This Row],[CountryCode]],Table1[z-score])</f>
        <v>-3.9589438634764836E-2</v>
      </c>
      <c r="L651" t="e">
        <f>VLOOKUP(Table1[[#This Row],[CountryCode]],[1]!Table1[#All],1,FALSE)</f>
        <v>#REF!</v>
      </c>
    </row>
    <row r="652" spans="1:12" hidden="1" x14ac:dyDescent="0.3">
      <c r="A652" t="s">
        <v>47</v>
      </c>
      <c r="B652" t="s">
        <v>48</v>
      </c>
      <c r="C652" t="s">
        <v>9</v>
      </c>
      <c r="D652" t="s">
        <v>10</v>
      </c>
      <c r="E652">
        <v>2013</v>
      </c>
      <c r="F652" s="1">
        <v>100</v>
      </c>
      <c r="G652">
        <v>2010</v>
      </c>
      <c r="H652">
        <f>AVERAGEIFS(Table1[value],Table1[IndicatorCode],Table1[[#This Row],[IndicatorCode]])</f>
        <v>99.756410256410263</v>
      </c>
      <c r="I652" cm="1">
        <f t="array" ref="I652">_xlfn.STDEV.P(IF(Table1[IndicatorCode]=Table1[[#This Row],[IndicatorCode]],Table1[value]))</f>
        <v>1.1047979755287356</v>
      </c>
      <c r="J652">
        <f>(Table1[[#This Row],[value]] - Table1[[#This Row],[mean]]) / Table1[[#This Row],[std_dev]]</f>
        <v>0.22048351733552002</v>
      </c>
      <c r="K652">
        <f>AVERAGEIF(Table1[CountryCode],Table1[[#This Row],[CountryCode]],Table1[z-score])</f>
        <v>-3.9589438634764836E-2</v>
      </c>
      <c r="L652" t="e">
        <f>VLOOKUP(Table1[[#This Row],[CountryCode]],[1]!Table1[#All],1,FALSE)</f>
        <v>#REF!</v>
      </c>
    </row>
    <row r="653" spans="1:12" hidden="1" x14ac:dyDescent="0.3">
      <c r="A653" t="s">
        <v>47</v>
      </c>
      <c r="B653" t="s">
        <v>48</v>
      </c>
      <c r="C653" t="s">
        <v>9</v>
      </c>
      <c r="D653" t="s">
        <v>10</v>
      </c>
      <c r="E653">
        <v>2014</v>
      </c>
      <c r="F653" s="1">
        <v>100</v>
      </c>
      <c r="G653">
        <v>2010</v>
      </c>
      <c r="H653">
        <f>AVERAGEIFS(Table1[value],Table1[IndicatorCode],Table1[[#This Row],[IndicatorCode]])</f>
        <v>99.756410256410263</v>
      </c>
      <c r="I653" cm="1">
        <f t="array" ref="I653">_xlfn.STDEV.P(IF(Table1[IndicatorCode]=Table1[[#This Row],[IndicatorCode]],Table1[value]))</f>
        <v>1.1047979755287356</v>
      </c>
      <c r="J653">
        <f>(Table1[[#This Row],[value]] - Table1[[#This Row],[mean]]) / Table1[[#This Row],[std_dev]]</f>
        <v>0.22048351733552002</v>
      </c>
      <c r="K653">
        <f>AVERAGEIF(Table1[CountryCode],Table1[[#This Row],[CountryCode]],Table1[z-score])</f>
        <v>-3.9589438634764836E-2</v>
      </c>
      <c r="L653" t="e">
        <f>VLOOKUP(Table1[[#This Row],[CountryCode]],[1]!Table1[#All],1,FALSE)</f>
        <v>#REF!</v>
      </c>
    </row>
    <row r="654" spans="1:12" hidden="1" x14ac:dyDescent="0.3">
      <c r="A654" t="s">
        <v>47</v>
      </c>
      <c r="B654" t="s">
        <v>48</v>
      </c>
      <c r="C654" t="s">
        <v>9</v>
      </c>
      <c r="D654" t="s">
        <v>10</v>
      </c>
      <c r="E654">
        <v>2015</v>
      </c>
      <c r="F654" s="1">
        <v>100</v>
      </c>
      <c r="G654">
        <v>2010</v>
      </c>
      <c r="H654">
        <f>AVERAGEIFS(Table1[value],Table1[IndicatorCode],Table1[[#This Row],[IndicatorCode]])</f>
        <v>99.756410256410263</v>
      </c>
      <c r="I654" cm="1">
        <f t="array" ref="I654">_xlfn.STDEV.P(IF(Table1[IndicatorCode]=Table1[[#This Row],[IndicatorCode]],Table1[value]))</f>
        <v>1.1047979755287356</v>
      </c>
      <c r="J654">
        <f>(Table1[[#This Row],[value]] - Table1[[#This Row],[mean]]) / Table1[[#This Row],[std_dev]]</f>
        <v>0.22048351733552002</v>
      </c>
      <c r="K654">
        <f>AVERAGEIF(Table1[CountryCode],Table1[[#This Row],[CountryCode]],Table1[z-score])</f>
        <v>-3.9589438634764836E-2</v>
      </c>
      <c r="L654" t="e">
        <f>VLOOKUP(Table1[[#This Row],[CountryCode]],[1]!Table1[#All],1,FALSE)</f>
        <v>#REF!</v>
      </c>
    </row>
    <row r="655" spans="1:12" hidden="1" x14ac:dyDescent="0.3">
      <c r="A655" t="s">
        <v>47</v>
      </c>
      <c r="B655" t="s">
        <v>48</v>
      </c>
      <c r="C655" t="s">
        <v>9</v>
      </c>
      <c r="D655" t="s">
        <v>10</v>
      </c>
      <c r="E655">
        <v>2016</v>
      </c>
      <c r="F655" s="1">
        <v>100</v>
      </c>
      <c r="G655">
        <v>2010</v>
      </c>
      <c r="H655">
        <f>AVERAGEIFS(Table1[value],Table1[IndicatorCode],Table1[[#This Row],[IndicatorCode]])</f>
        <v>99.756410256410263</v>
      </c>
      <c r="I655" cm="1">
        <f t="array" ref="I655">_xlfn.STDEV.P(IF(Table1[IndicatorCode]=Table1[[#This Row],[IndicatorCode]],Table1[value]))</f>
        <v>1.1047979755287356</v>
      </c>
      <c r="J655">
        <f>(Table1[[#This Row],[value]] - Table1[[#This Row],[mean]]) / Table1[[#This Row],[std_dev]]</f>
        <v>0.22048351733552002</v>
      </c>
      <c r="K655">
        <f>AVERAGEIF(Table1[CountryCode],Table1[[#This Row],[CountryCode]],Table1[z-score])</f>
        <v>-3.9589438634764836E-2</v>
      </c>
      <c r="L655" t="e">
        <f>VLOOKUP(Table1[[#This Row],[CountryCode]],[1]!Table1[#All],1,FALSE)</f>
        <v>#REF!</v>
      </c>
    </row>
    <row r="656" spans="1:12" hidden="1" x14ac:dyDescent="0.3">
      <c r="A656" t="s">
        <v>47</v>
      </c>
      <c r="B656" t="s">
        <v>48</v>
      </c>
      <c r="C656" t="s">
        <v>9</v>
      </c>
      <c r="D656" t="s">
        <v>10</v>
      </c>
      <c r="E656">
        <v>2017</v>
      </c>
      <c r="F656" s="1">
        <v>100</v>
      </c>
      <c r="G656">
        <v>2020</v>
      </c>
      <c r="H656">
        <f>AVERAGEIFS(Table1[value],Table1[IndicatorCode],Table1[[#This Row],[IndicatorCode]])</f>
        <v>99.756410256410263</v>
      </c>
      <c r="I656" cm="1">
        <f t="array" ref="I656">_xlfn.STDEV.P(IF(Table1[IndicatorCode]=Table1[[#This Row],[IndicatorCode]],Table1[value]))</f>
        <v>1.1047979755287356</v>
      </c>
      <c r="J656">
        <f>(Table1[[#This Row],[value]] - Table1[[#This Row],[mean]]) / Table1[[#This Row],[std_dev]]</f>
        <v>0.22048351733552002</v>
      </c>
      <c r="K656">
        <f>AVERAGEIF(Table1[CountryCode],Table1[[#This Row],[CountryCode]],Table1[z-score])</f>
        <v>-3.9589438634764836E-2</v>
      </c>
      <c r="L656" t="e">
        <f>VLOOKUP(Table1[[#This Row],[CountryCode]],[1]!Table1[#All],1,FALSE)</f>
        <v>#REF!</v>
      </c>
    </row>
    <row r="657" spans="1:12" hidden="1" x14ac:dyDescent="0.3">
      <c r="A657" t="s">
        <v>47</v>
      </c>
      <c r="B657" t="s">
        <v>48</v>
      </c>
      <c r="C657" t="s">
        <v>9</v>
      </c>
      <c r="D657" t="s">
        <v>10</v>
      </c>
      <c r="E657">
        <v>2018</v>
      </c>
      <c r="F657" s="1">
        <v>100</v>
      </c>
      <c r="G657">
        <v>2020</v>
      </c>
      <c r="H657">
        <f>AVERAGEIFS(Table1[value],Table1[IndicatorCode],Table1[[#This Row],[IndicatorCode]])</f>
        <v>99.756410256410263</v>
      </c>
      <c r="I657" cm="1">
        <f t="array" ref="I657">_xlfn.STDEV.P(IF(Table1[IndicatorCode]=Table1[[#This Row],[IndicatorCode]],Table1[value]))</f>
        <v>1.1047979755287356</v>
      </c>
      <c r="J657">
        <f>(Table1[[#This Row],[value]] - Table1[[#This Row],[mean]]) / Table1[[#This Row],[std_dev]]</f>
        <v>0.22048351733552002</v>
      </c>
      <c r="K657">
        <f>AVERAGEIF(Table1[CountryCode],Table1[[#This Row],[CountryCode]],Table1[z-score])</f>
        <v>-3.9589438634764836E-2</v>
      </c>
      <c r="L657" t="e">
        <f>VLOOKUP(Table1[[#This Row],[CountryCode]],[1]!Table1[#All],1,FALSE)</f>
        <v>#REF!</v>
      </c>
    </row>
    <row r="658" spans="1:12" hidden="1" x14ac:dyDescent="0.3">
      <c r="A658" t="s">
        <v>47</v>
      </c>
      <c r="B658" t="s">
        <v>48</v>
      </c>
      <c r="C658" t="s">
        <v>9</v>
      </c>
      <c r="D658" t="s">
        <v>10</v>
      </c>
      <c r="E658">
        <v>2019</v>
      </c>
      <c r="F658" s="1">
        <v>100</v>
      </c>
      <c r="G658">
        <v>2020</v>
      </c>
      <c r="H658">
        <f>AVERAGEIFS(Table1[value],Table1[IndicatorCode],Table1[[#This Row],[IndicatorCode]])</f>
        <v>99.756410256410263</v>
      </c>
      <c r="I658" cm="1">
        <f t="array" ref="I658">_xlfn.STDEV.P(IF(Table1[IndicatorCode]=Table1[[#This Row],[IndicatorCode]],Table1[value]))</f>
        <v>1.1047979755287356</v>
      </c>
      <c r="J658">
        <f>(Table1[[#This Row],[value]] - Table1[[#This Row],[mean]]) / Table1[[#This Row],[std_dev]]</f>
        <v>0.22048351733552002</v>
      </c>
      <c r="K658">
        <f>AVERAGEIF(Table1[CountryCode],Table1[[#This Row],[CountryCode]],Table1[z-score])</f>
        <v>-3.9589438634764836E-2</v>
      </c>
      <c r="L658" t="e">
        <f>VLOOKUP(Table1[[#This Row],[CountryCode]],[1]!Table1[#All],1,FALSE)</f>
        <v>#REF!</v>
      </c>
    </row>
    <row r="659" spans="1:12" x14ac:dyDescent="0.3">
      <c r="A659" t="s">
        <v>47</v>
      </c>
      <c r="B659" t="s">
        <v>48</v>
      </c>
      <c r="C659" t="s">
        <v>9</v>
      </c>
      <c r="D659" t="s">
        <v>10</v>
      </c>
      <c r="E659">
        <v>2020</v>
      </c>
      <c r="F659" s="1">
        <v>100</v>
      </c>
      <c r="G659">
        <v>2020</v>
      </c>
      <c r="H659">
        <f>AVERAGEIFS(Table1[value],Table1[IndicatorCode],Table1[[#This Row],[IndicatorCode]])</f>
        <v>99.756410256410263</v>
      </c>
      <c r="I659" cm="1">
        <f t="array" ref="I659">_xlfn.STDEV.P(IF(Table1[IndicatorCode]=Table1[[#This Row],[IndicatorCode]],Table1[value]))</f>
        <v>1.1047979755287356</v>
      </c>
      <c r="J659">
        <f>(Table1[[#This Row],[value]] - Table1[[#This Row],[mean]]) / Table1[[#This Row],[std_dev]]</f>
        <v>0.22048351733552002</v>
      </c>
      <c r="K659">
        <f>AVERAGEIF(Table1[CountryCode],Table1[[#This Row],[CountryCode]],Table1[z-score])</f>
        <v>-3.9589438634764836E-2</v>
      </c>
    </row>
    <row r="660" spans="1:12" hidden="1" x14ac:dyDescent="0.3">
      <c r="A660" t="s">
        <v>47</v>
      </c>
      <c r="B660" t="s">
        <v>48</v>
      </c>
      <c r="C660" t="s">
        <v>9</v>
      </c>
      <c r="D660" t="s">
        <v>10</v>
      </c>
      <c r="E660">
        <v>2021</v>
      </c>
      <c r="F660" s="1">
        <v>100</v>
      </c>
      <c r="G660">
        <v>1990</v>
      </c>
      <c r="H660">
        <f>AVERAGEIFS(Table1[value],Table1[IndicatorCode],Table1[[#This Row],[IndicatorCode]])</f>
        <v>99.756410256410263</v>
      </c>
      <c r="I660" cm="1">
        <f t="array" ref="I660">_xlfn.STDEV.P(IF(Table1[IndicatorCode]=Table1[[#This Row],[IndicatorCode]],Table1[value]))</f>
        <v>1.1047979755287356</v>
      </c>
      <c r="J660">
        <f>(Table1[[#This Row],[value]] - Table1[[#This Row],[mean]]) / Table1[[#This Row],[std_dev]]</f>
        <v>0.22048351733552002</v>
      </c>
      <c r="K660">
        <f>AVERAGEIF(Table1[CountryCode],Table1[[#This Row],[CountryCode]],Table1[z-score])</f>
        <v>-3.9589438634764836E-2</v>
      </c>
      <c r="L660" t="e">
        <f>VLOOKUP(Table1[[#This Row],[CountryCode]],[1]!Table1[#All],1,FALSE)</f>
        <v>#REF!</v>
      </c>
    </row>
    <row r="661" spans="1:12" hidden="1" x14ac:dyDescent="0.3">
      <c r="A661" t="s">
        <v>47</v>
      </c>
      <c r="B661" t="s">
        <v>48</v>
      </c>
      <c r="C661" t="s">
        <v>9</v>
      </c>
      <c r="D661" t="s">
        <v>10</v>
      </c>
      <c r="E661">
        <v>2022</v>
      </c>
      <c r="F661" s="1">
        <v>100</v>
      </c>
      <c r="G661">
        <v>1990</v>
      </c>
      <c r="H661">
        <f>AVERAGEIFS(Table1[value],Table1[IndicatorCode],Table1[[#This Row],[IndicatorCode]])</f>
        <v>99.756410256410263</v>
      </c>
      <c r="I661" cm="1">
        <f t="array" ref="I661">_xlfn.STDEV.P(IF(Table1[IndicatorCode]=Table1[[#This Row],[IndicatorCode]],Table1[value]))</f>
        <v>1.1047979755287356</v>
      </c>
      <c r="J661">
        <f>(Table1[[#This Row],[value]] - Table1[[#This Row],[mean]]) / Table1[[#This Row],[std_dev]]</f>
        <v>0.22048351733552002</v>
      </c>
      <c r="K661">
        <f>AVERAGEIF(Table1[CountryCode],Table1[[#This Row],[CountryCode]],Table1[z-score])</f>
        <v>-3.9589438634764836E-2</v>
      </c>
      <c r="L661" t="e">
        <f>VLOOKUP(Table1[[#This Row],[CountryCode]],[1]!Table1[#All],1,FALSE)</f>
        <v>#REF!</v>
      </c>
    </row>
    <row r="662" spans="1:12" hidden="1" x14ac:dyDescent="0.3">
      <c r="A662" t="s">
        <v>47</v>
      </c>
      <c r="B662" t="s">
        <v>48</v>
      </c>
      <c r="C662" t="s">
        <v>9</v>
      </c>
      <c r="D662" t="s">
        <v>10</v>
      </c>
      <c r="E662">
        <v>2023</v>
      </c>
      <c r="F662" s="1">
        <v>100</v>
      </c>
      <c r="G662">
        <v>1990</v>
      </c>
      <c r="H662">
        <f>AVERAGEIFS(Table1[value],Table1[IndicatorCode],Table1[[#This Row],[IndicatorCode]])</f>
        <v>99.756410256410263</v>
      </c>
      <c r="I662" cm="1">
        <f t="array" ref="I662">_xlfn.STDEV.P(IF(Table1[IndicatorCode]=Table1[[#This Row],[IndicatorCode]],Table1[value]))</f>
        <v>1.1047979755287356</v>
      </c>
      <c r="J662">
        <f>(Table1[[#This Row],[value]] - Table1[[#This Row],[mean]]) / Table1[[#This Row],[std_dev]]</f>
        <v>0.22048351733552002</v>
      </c>
      <c r="K662">
        <f>AVERAGEIF(Table1[CountryCode],Table1[[#This Row],[CountryCode]],Table1[z-score])</f>
        <v>-3.9589438634764836E-2</v>
      </c>
      <c r="L662" t="e">
        <f>VLOOKUP(Table1[[#This Row],[CountryCode]],[1]!Table1[#All],1,FALSE)</f>
        <v>#REF!</v>
      </c>
    </row>
    <row r="663" spans="1:12" hidden="1" x14ac:dyDescent="0.3">
      <c r="A663" t="s">
        <v>49</v>
      </c>
      <c r="B663" t="s">
        <v>50</v>
      </c>
      <c r="C663" t="s">
        <v>9</v>
      </c>
      <c r="D663" t="s">
        <v>10</v>
      </c>
      <c r="E663">
        <v>1990</v>
      </c>
      <c r="F663" s="1">
        <v>100</v>
      </c>
      <c r="G663">
        <v>1990</v>
      </c>
      <c r="H663">
        <f>AVERAGEIFS(Table1[value],Table1[IndicatorCode],Table1[[#This Row],[IndicatorCode]])</f>
        <v>99.756410256410263</v>
      </c>
      <c r="I663" cm="1">
        <f t="array" ref="I663">_xlfn.STDEV.P(IF(Table1[IndicatorCode]=Table1[[#This Row],[IndicatorCode]],Table1[value]))</f>
        <v>1.1047979755287356</v>
      </c>
      <c r="J663">
        <f>(Table1[[#This Row],[value]] - Table1[[#This Row],[mean]]) / Table1[[#This Row],[std_dev]]</f>
        <v>0.22048351733552002</v>
      </c>
      <c r="K663">
        <f>AVERAGEIF(Table1[CountryCode],Table1[[#This Row],[CountryCode]],Table1[z-score])</f>
        <v>0.3375502618800939</v>
      </c>
      <c r="L663" t="e">
        <f>VLOOKUP(Table1[[#This Row],[CountryCode]],[1]!Table1[#All],1,FALSE)</f>
        <v>#REF!</v>
      </c>
    </row>
    <row r="664" spans="1:12" hidden="1" x14ac:dyDescent="0.3">
      <c r="A664" t="s">
        <v>49</v>
      </c>
      <c r="B664" t="s">
        <v>50</v>
      </c>
      <c r="C664" t="s">
        <v>9</v>
      </c>
      <c r="D664" t="s">
        <v>10</v>
      </c>
      <c r="E664">
        <v>1991</v>
      </c>
      <c r="F664" s="1">
        <v>100</v>
      </c>
      <c r="G664">
        <v>1990</v>
      </c>
      <c r="H664">
        <f>AVERAGEIFS(Table1[value],Table1[IndicatorCode],Table1[[#This Row],[IndicatorCode]])</f>
        <v>99.756410256410263</v>
      </c>
      <c r="I664" cm="1">
        <f t="array" ref="I664">_xlfn.STDEV.P(IF(Table1[IndicatorCode]=Table1[[#This Row],[IndicatorCode]],Table1[value]))</f>
        <v>1.1047979755287356</v>
      </c>
      <c r="J664">
        <f>(Table1[[#This Row],[value]] - Table1[[#This Row],[mean]]) / Table1[[#This Row],[std_dev]]</f>
        <v>0.22048351733552002</v>
      </c>
      <c r="K664">
        <f>AVERAGEIF(Table1[CountryCode],Table1[[#This Row],[CountryCode]],Table1[z-score])</f>
        <v>0.3375502618800939</v>
      </c>
      <c r="L664" t="e">
        <f>VLOOKUP(Table1[[#This Row],[CountryCode]],[1]!Table1[#All],1,FALSE)</f>
        <v>#REF!</v>
      </c>
    </row>
    <row r="665" spans="1:12" hidden="1" x14ac:dyDescent="0.3">
      <c r="A665" t="s">
        <v>49</v>
      </c>
      <c r="B665" t="s">
        <v>50</v>
      </c>
      <c r="C665" t="s">
        <v>9</v>
      </c>
      <c r="D665" t="s">
        <v>10</v>
      </c>
      <c r="E665">
        <v>1992</v>
      </c>
      <c r="F665" s="1">
        <v>100</v>
      </c>
      <c r="G665">
        <v>1990</v>
      </c>
      <c r="H665">
        <f>AVERAGEIFS(Table1[value],Table1[IndicatorCode],Table1[[#This Row],[IndicatorCode]])</f>
        <v>99.756410256410263</v>
      </c>
      <c r="I665" cm="1">
        <f t="array" ref="I665">_xlfn.STDEV.P(IF(Table1[IndicatorCode]=Table1[[#This Row],[IndicatorCode]],Table1[value]))</f>
        <v>1.1047979755287356</v>
      </c>
      <c r="J665">
        <f>(Table1[[#This Row],[value]] - Table1[[#This Row],[mean]]) / Table1[[#This Row],[std_dev]]</f>
        <v>0.22048351733552002</v>
      </c>
      <c r="K665">
        <f>AVERAGEIF(Table1[CountryCode],Table1[[#This Row],[CountryCode]],Table1[z-score])</f>
        <v>0.3375502618800939</v>
      </c>
      <c r="L665" t="e">
        <f>VLOOKUP(Table1[[#This Row],[CountryCode]],[1]!Table1[#All],1,FALSE)</f>
        <v>#REF!</v>
      </c>
    </row>
    <row r="666" spans="1:12" hidden="1" x14ac:dyDescent="0.3">
      <c r="A666" t="s">
        <v>49</v>
      </c>
      <c r="B666" t="s">
        <v>50</v>
      </c>
      <c r="C666" t="s">
        <v>9</v>
      </c>
      <c r="D666" t="s">
        <v>10</v>
      </c>
      <c r="E666">
        <v>1993</v>
      </c>
      <c r="F666" s="1">
        <v>100</v>
      </c>
      <c r="G666">
        <v>1990</v>
      </c>
      <c r="H666">
        <f>AVERAGEIFS(Table1[value],Table1[IndicatorCode],Table1[[#This Row],[IndicatorCode]])</f>
        <v>99.756410256410263</v>
      </c>
      <c r="I666" cm="1">
        <f t="array" ref="I666">_xlfn.STDEV.P(IF(Table1[IndicatorCode]=Table1[[#This Row],[IndicatorCode]],Table1[value]))</f>
        <v>1.1047979755287356</v>
      </c>
      <c r="J666">
        <f>(Table1[[#This Row],[value]] - Table1[[#This Row],[mean]]) / Table1[[#This Row],[std_dev]]</f>
        <v>0.22048351733552002</v>
      </c>
      <c r="K666">
        <f>AVERAGEIF(Table1[CountryCode],Table1[[#This Row],[CountryCode]],Table1[z-score])</f>
        <v>0.3375502618800939</v>
      </c>
      <c r="L666" t="e">
        <f>VLOOKUP(Table1[[#This Row],[CountryCode]],[1]!Table1[#All],1,FALSE)</f>
        <v>#REF!</v>
      </c>
    </row>
    <row r="667" spans="1:12" hidden="1" x14ac:dyDescent="0.3">
      <c r="A667" t="s">
        <v>49</v>
      </c>
      <c r="B667" t="s">
        <v>50</v>
      </c>
      <c r="C667" t="s">
        <v>9</v>
      </c>
      <c r="D667" t="s">
        <v>10</v>
      </c>
      <c r="E667">
        <v>1994</v>
      </c>
      <c r="F667" s="1">
        <v>100</v>
      </c>
      <c r="G667">
        <v>1990</v>
      </c>
      <c r="H667">
        <f>AVERAGEIFS(Table1[value],Table1[IndicatorCode],Table1[[#This Row],[IndicatorCode]])</f>
        <v>99.756410256410263</v>
      </c>
      <c r="I667" cm="1">
        <f t="array" ref="I667">_xlfn.STDEV.P(IF(Table1[IndicatorCode]=Table1[[#This Row],[IndicatorCode]],Table1[value]))</f>
        <v>1.1047979755287356</v>
      </c>
      <c r="J667">
        <f>(Table1[[#This Row],[value]] - Table1[[#This Row],[mean]]) / Table1[[#This Row],[std_dev]]</f>
        <v>0.22048351733552002</v>
      </c>
      <c r="K667">
        <f>AVERAGEIF(Table1[CountryCode],Table1[[#This Row],[CountryCode]],Table1[z-score])</f>
        <v>0.3375502618800939</v>
      </c>
      <c r="L667" t="e">
        <f>VLOOKUP(Table1[[#This Row],[CountryCode]],[1]!Table1[#All],1,FALSE)</f>
        <v>#REF!</v>
      </c>
    </row>
    <row r="668" spans="1:12" hidden="1" x14ac:dyDescent="0.3">
      <c r="A668" t="s">
        <v>49</v>
      </c>
      <c r="B668" t="s">
        <v>50</v>
      </c>
      <c r="C668" t="s">
        <v>9</v>
      </c>
      <c r="D668" t="s">
        <v>10</v>
      </c>
      <c r="E668">
        <v>1995</v>
      </c>
      <c r="F668" s="1">
        <v>100</v>
      </c>
      <c r="G668">
        <v>1990</v>
      </c>
      <c r="H668">
        <f>AVERAGEIFS(Table1[value],Table1[IndicatorCode],Table1[[#This Row],[IndicatorCode]])</f>
        <v>99.756410256410263</v>
      </c>
      <c r="I668" cm="1">
        <f t="array" ref="I668">_xlfn.STDEV.P(IF(Table1[IndicatorCode]=Table1[[#This Row],[IndicatorCode]],Table1[value]))</f>
        <v>1.1047979755287356</v>
      </c>
      <c r="J668">
        <f>(Table1[[#This Row],[value]] - Table1[[#This Row],[mean]]) / Table1[[#This Row],[std_dev]]</f>
        <v>0.22048351733552002</v>
      </c>
      <c r="K668">
        <f>AVERAGEIF(Table1[CountryCode],Table1[[#This Row],[CountryCode]],Table1[z-score])</f>
        <v>0.3375502618800939</v>
      </c>
      <c r="L668" t="e">
        <f>VLOOKUP(Table1[[#This Row],[CountryCode]],[1]!Table1[#All],1,FALSE)</f>
        <v>#REF!</v>
      </c>
    </row>
    <row r="669" spans="1:12" hidden="1" x14ac:dyDescent="0.3">
      <c r="A669" t="s">
        <v>49</v>
      </c>
      <c r="B669" t="s">
        <v>50</v>
      </c>
      <c r="C669" t="s">
        <v>9</v>
      </c>
      <c r="D669" t="s">
        <v>10</v>
      </c>
      <c r="E669">
        <v>1996</v>
      </c>
      <c r="F669" s="1">
        <v>100</v>
      </c>
      <c r="G669">
        <v>1990</v>
      </c>
      <c r="H669">
        <f>AVERAGEIFS(Table1[value],Table1[IndicatorCode],Table1[[#This Row],[IndicatorCode]])</f>
        <v>99.756410256410263</v>
      </c>
      <c r="I669" cm="1">
        <f t="array" ref="I669">_xlfn.STDEV.P(IF(Table1[IndicatorCode]=Table1[[#This Row],[IndicatorCode]],Table1[value]))</f>
        <v>1.1047979755287356</v>
      </c>
      <c r="J669">
        <f>(Table1[[#This Row],[value]] - Table1[[#This Row],[mean]]) / Table1[[#This Row],[std_dev]]</f>
        <v>0.22048351733552002</v>
      </c>
      <c r="K669">
        <f>AVERAGEIF(Table1[CountryCode],Table1[[#This Row],[CountryCode]],Table1[z-score])</f>
        <v>0.3375502618800939</v>
      </c>
      <c r="L669" t="e">
        <f>VLOOKUP(Table1[[#This Row],[CountryCode]],[1]!Table1[#All],1,FALSE)</f>
        <v>#REF!</v>
      </c>
    </row>
    <row r="670" spans="1:12" hidden="1" x14ac:dyDescent="0.3">
      <c r="A670" t="s">
        <v>49</v>
      </c>
      <c r="B670" t="s">
        <v>50</v>
      </c>
      <c r="C670" t="s">
        <v>9</v>
      </c>
      <c r="D670" t="s">
        <v>10</v>
      </c>
      <c r="E670">
        <v>1997</v>
      </c>
      <c r="F670" s="1">
        <v>100</v>
      </c>
      <c r="G670">
        <v>2000</v>
      </c>
      <c r="H670">
        <f>AVERAGEIFS(Table1[value],Table1[IndicatorCode],Table1[[#This Row],[IndicatorCode]])</f>
        <v>99.756410256410263</v>
      </c>
      <c r="I670" cm="1">
        <f t="array" ref="I670">_xlfn.STDEV.P(IF(Table1[IndicatorCode]=Table1[[#This Row],[IndicatorCode]],Table1[value]))</f>
        <v>1.1047979755287356</v>
      </c>
      <c r="J670">
        <f>(Table1[[#This Row],[value]] - Table1[[#This Row],[mean]]) / Table1[[#This Row],[std_dev]]</f>
        <v>0.22048351733552002</v>
      </c>
      <c r="K670">
        <f>AVERAGEIF(Table1[CountryCode],Table1[[#This Row],[CountryCode]],Table1[z-score])</f>
        <v>0.3375502618800939</v>
      </c>
      <c r="L670" t="e">
        <f>VLOOKUP(Table1[[#This Row],[CountryCode]],[1]!Table1[#All],1,FALSE)</f>
        <v>#REF!</v>
      </c>
    </row>
    <row r="671" spans="1:12" hidden="1" x14ac:dyDescent="0.3">
      <c r="A671" t="s">
        <v>49</v>
      </c>
      <c r="B671" t="s">
        <v>50</v>
      </c>
      <c r="C671" t="s">
        <v>9</v>
      </c>
      <c r="D671" t="s">
        <v>10</v>
      </c>
      <c r="E671">
        <v>1998</v>
      </c>
      <c r="F671" s="1">
        <v>100</v>
      </c>
      <c r="G671">
        <v>2000</v>
      </c>
      <c r="H671">
        <f>AVERAGEIFS(Table1[value],Table1[IndicatorCode],Table1[[#This Row],[IndicatorCode]])</f>
        <v>99.756410256410263</v>
      </c>
      <c r="I671" cm="1">
        <f t="array" ref="I671">_xlfn.STDEV.P(IF(Table1[IndicatorCode]=Table1[[#This Row],[IndicatorCode]],Table1[value]))</f>
        <v>1.1047979755287356</v>
      </c>
      <c r="J671">
        <f>(Table1[[#This Row],[value]] - Table1[[#This Row],[mean]]) / Table1[[#This Row],[std_dev]]</f>
        <v>0.22048351733552002</v>
      </c>
      <c r="K671">
        <f>AVERAGEIF(Table1[CountryCode],Table1[[#This Row],[CountryCode]],Table1[z-score])</f>
        <v>0.3375502618800939</v>
      </c>
      <c r="L671" t="e">
        <f>VLOOKUP(Table1[[#This Row],[CountryCode]],[1]!Table1[#All],1,FALSE)</f>
        <v>#REF!</v>
      </c>
    </row>
    <row r="672" spans="1:12" hidden="1" x14ac:dyDescent="0.3">
      <c r="A672" t="s">
        <v>49</v>
      </c>
      <c r="B672" t="s">
        <v>50</v>
      </c>
      <c r="C672" t="s">
        <v>9</v>
      </c>
      <c r="D672" t="s">
        <v>10</v>
      </c>
      <c r="E672">
        <v>1999</v>
      </c>
      <c r="F672" s="1">
        <v>100</v>
      </c>
      <c r="G672">
        <v>2000</v>
      </c>
      <c r="H672">
        <f>AVERAGEIFS(Table1[value],Table1[IndicatorCode],Table1[[#This Row],[IndicatorCode]])</f>
        <v>99.756410256410263</v>
      </c>
      <c r="I672" cm="1">
        <f t="array" ref="I672">_xlfn.STDEV.P(IF(Table1[IndicatorCode]=Table1[[#This Row],[IndicatorCode]],Table1[value]))</f>
        <v>1.1047979755287356</v>
      </c>
      <c r="J672">
        <f>(Table1[[#This Row],[value]] - Table1[[#This Row],[mean]]) / Table1[[#This Row],[std_dev]]</f>
        <v>0.22048351733552002</v>
      </c>
      <c r="K672">
        <f>AVERAGEIF(Table1[CountryCode],Table1[[#This Row],[CountryCode]],Table1[z-score])</f>
        <v>0.3375502618800939</v>
      </c>
      <c r="L672" t="e">
        <f>VLOOKUP(Table1[[#This Row],[CountryCode]],[1]!Table1[#All],1,FALSE)</f>
        <v>#REF!</v>
      </c>
    </row>
    <row r="673" spans="1:12" hidden="1" x14ac:dyDescent="0.3">
      <c r="A673" t="s">
        <v>49</v>
      </c>
      <c r="B673" t="s">
        <v>50</v>
      </c>
      <c r="C673" t="s">
        <v>9</v>
      </c>
      <c r="D673" t="s">
        <v>10</v>
      </c>
      <c r="E673">
        <v>2000</v>
      </c>
      <c r="F673" s="1">
        <v>100</v>
      </c>
      <c r="G673">
        <v>2000</v>
      </c>
      <c r="H673">
        <f>AVERAGEIFS(Table1[value],Table1[IndicatorCode],Table1[[#This Row],[IndicatorCode]])</f>
        <v>99.756410256410263</v>
      </c>
      <c r="I673" cm="1">
        <f t="array" ref="I673">_xlfn.STDEV.P(IF(Table1[IndicatorCode]=Table1[[#This Row],[IndicatorCode]],Table1[value]))</f>
        <v>1.1047979755287356</v>
      </c>
      <c r="J673">
        <f>(Table1[[#This Row],[value]] - Table1[[#This Row],[mean]]) / Table1[[#This Row],[std_dev]]</f>
        <v>0.22048351733552002</v>
      </c>
      <c r="K673">
        <f>AVERAGEIF(Table1[CountryCode],Table1[[#This Row],[CountryCode]],Table1[z-score])</f>
        <v>0.3375502618800939</v>
      </c>
      <c r="L673" t="e">
        <f>VLOOKUP(Table1[[#This Row],[CountryCode]],[1]!Table1[#All],1,FALSE)</f>
        <v>#REF!</v>
      </c>
    </row>
    <row r="674" spans="1:12" hidden="1" x14ac:dyDescent="0.3">
      <c r="A674" t="s">
        <v>49</v>
      </c>
      <c r="B674" t="s">
        <v>50</v>
      </c>
      <c r="C674" t="s">
        <v>9</v>
      </c>
      <c r="D674" t="s">
        <v>10</v>
      </c>
      <c r="E674">
        <v>2001</v>
      </c>
      <c r="F674" s="1">
        <v>100</v>
      </c>
      <c r="G674">
        <v>2000</v>
      </c>
      <c r="H674">
        <f>AVERAGEIFS(Table1[value],Table1[IndicatorCode],Table1[[#This Row],[IndicatorCode]])</f>
        <v>99.756410256410263</v>
      </c>
      <c r="I674" cm="1">
        <f t="array" ref="I674">_xlfn.STDEV.P(IF(Table1[IndicatorCode]=Table1[[#This Row],[IndicatorCode]],Table1[value]))</f>
        <v>1.1047979755287356</v>
      </c>
      <c r="J674">
        <f>(Table1[[#This Row],[value]] - Table1[[#This Row],[mean]]) / Table1[[#This Row],[std_dev]]</f>
        <v>0.22048351733552002</v>
      </c>
      <c r="K674">
        <f>AVERAGEIF(Table1[CountryCode],Table1[[#This Row],[CountryCode]],Table1[z-score])</f>
        <v>0.3375502618800939</v>
      </c>
      <c r="L674" t="e">
        <f>VLOOKUP(Table1[[#This Row],[CountryCode]],[1]!Table1[#All],1,FALSE)</f>
        <v>#REF!</v>
      </c>
    </row>
    <row r="675" spans="1:12" hidden="1" x14ac:dyDescent="0.3">
      <c r="A675" t="s">
        <v>49</v>
      </c>
      <c r="B675" t="s">
        <v>50</v>
      </c>
      <c r="C675" t="s">
        <v>9</v>
      </c>
      <c r="D675" t="s">
        <v>10</v>
      </c>
      <c r="E675">
        <v>2002</v>
      </c>
      <c r="F675" s="1">
        <v>100</v>
      </c>
      <c r="G675">
        <v>2000</v>
      </c>
      <c r="H675">
        <f>AVERAGEIFS(Table1[value],Table1[IndicatorCode],Table1[[#This Row],[IndicatorCode]])</f>
        <v>99.756410256410263</v>
      </c>
      <c r="I675" cm="1">
        <f t="array" ref="I675">_xlfn.STDEV.P(IF(Table1[IndicatorCode]=Table1[[#This Row],[IndicatorCode]],Table1[value]))</f>
        <v>1.1047979755287356</v>
      </c>
      <c r="J675">
        <f>(Table1[[#This Row],[value]] - Table1[[#This Row],[mean]]) / Table1[[#This Row],[std_dev]]</f>
        <v>0.22048351733552002</v>
      </c>
      <c r="K675">
        <f>AVERAGEIF(Table1[CountryCode],Table1[[#This Row],[CountryCode]],Table1[z-score])</f>
        <v>0.3375502618800939</v>
      </c>
      <c r="L675" t="e">
        <f>VLOOKUP(Table1[[#This Row],[CountryCode]],[1]!Table1[#All],1,FALSE)</f>
        <v>#REF!</v>
      </c>
    </row>
    <row r="676" spans="1:12" hidden="1" x14ac:dyDescent="0.3">
      <c r="A676" t="s">
        <v>49</v>
      </c>
      <c r="B676" t="s">
        <v>50</v>
      </c>
      <c r="C676" t="s">
        <v>9</v>
      </c>
      <c r="D676" t="s">
        <v>10</v>
      </c>
      <c r="E676">
        <v>2003</v>
      </c>
      <c r="F676" s="1">
        <v>100</v>
      </c>
      <c r="G676">
        <v>2000</v>
      </c>
      <c r="H676">
        <f>AVERAGEIFS(Table1[value],Table1[IndicatorCode],Table1[[#This Row],[IndicatorCode]])</f>
        <v>99.756410256410263</v>
      </c>
      <c r="I676" cm="1">
        <f t="array" ref="I676">_xlfn.STDEV.P(IF(Table1[IndicatorCode]=Table1[[#This Row],[IndicatorCode]],Table1[value]))</f>
        <v>1.1047979755287356</v>
      </c>
      <c r="J676">
        <f>(Table1[[#This Row],[value]] - Table1[[#This Row],[mean]]) / Table1[[#This Row],[std_dev]]</f>
        <v>0.22048351733552002</v>
      </c>
      <c r="K676">
        <f>AVERAGEIF(Table1[CountryCode],Table1[[#This Row],[CountryCode]],Table1[z-score])</f>
        <v>0.3375502618800939</v>
      </c>
      <c r="L676" t="e">
        <f>VLOOKUP(Table1[[#This Row],[CountryCode]],[1]!Table1[#All],1,FALSE)</f>
        <v>#REF!</v>
      </c>
    </row>
    <row r="677" spans="1:12" hidden="1" x14ac:dyDescent="0.3">
      <c r="A677" t="s">
        <v>49</v>
      </c>
      <c r="B677" t="s">
        <v>50</v>
      </c>
      <c r="C677" t="s">
        <v>9</v>
      </c>
      <c r="D677" t="s">
        <v>10</v>
      </c>
      <c r="E677">
        <v>2004</v>
      </c>
      <c r="F677" s="1">
        <v>100</v>
      </c>
      <c r="G677">
        <v>2000</v>
      </c>
      <c r="H677">
        <f>AVERAGEIFS(Table1[value],Table1[IndicatorCode],Table1[[#This Row],[IndicatorCode]])</f>
        <v>99.756410256410263</v>
      </c>
      <c r="I677" cm="1">
        <f t="array" ref="I677">_xlfn.STDEV.P(IF(Table1[IndicatorCode]=Table1[[#This Row],[IndicatorCode]],Table1[value]))</f>
        <v>1.1047979755287356</v>
      </c>
      <c r="J677">
        <f>(Table1[[#This Row],[value]] - Table1[[#This Row],[mean]]) / Table1[[#This Row],[std_dev]]</f>
        <v>0.22048351733552002</v>
      </c>
      <c r="K677">
        <f>AVERAGEIF(Table1[CountryCode],Table1[[#This Row],[CountryCode]],Table1[z-score])</f>
        <v>0.3375502618800939</v>
      </c>
      <c r="L677" t="e">
        <f>VLOOKUP(Table1[[#This Row],[CountryCode]],[1]!Table1[#All],1,FALSE)</f>
        <v>#REF!</v>
      </c>
    </row>
    <row r="678" spans="1:12" hidden="1" x14ac:dyDescent="0.3">
      <c r="A678" t="s">
        <v>49</v>
      </c>
      <c r="B678" t="s">
        <v>50</v>
      </c>
      <c r="C678" t="s">
        <v>9</v>
      </c>
      <c r="D678" t="s">
        <v>10</v>
      </c>
      <c r="E678">
        <v>2005</v>
      </c>
      <c r="F678" s="1">
        <v>100</v>
      </c>
      <c r="G678">
        <v>2000</v>
      </c>
      <c r="H678">
        <f>AVERAGEIFS(Table1[value],Table1[IndicatorCode],Table1[[#This Row],[IndicatorCode]])</f>
        <v>99.756410256410263</v>
      </c>
      <c r="I678" cm="1">
        <f t="array" ref="I678">_xlfn.STDEV.P(IF(Table1[IndicatorCode]=Table1[[#This Row],[IndicatorCode]],Table1[value]))</f>
        <v>1.1047979755287356</v>
      </c>
      <c r="J678">
        <f>(Table1[[#This Row],[value]] - Table1[[#This Row],[mean]]) / Table1[[#This Row],[std_dev]]</f>
        <v>0.22048351733552002</v>
      </c>
      <c r="K678">
        <f>AVERAGEIF(Table1[CountryCode],Table1[[#This Row],[CountryCode]],Table1[z-score])</f>
        <v>0.3375502618800939</v>
      </c>
      <c r="L678" t="e">
        <f>VLOOKUP(Table1[[#This Row],[CountryCode]],[1]!Table1[#All],1,FALSE)</f>
        <v>#REF!</v>
      </c>
    </row>
    <row r="679" spans="1:12" hidden="1" x14ac:dyDescent="0.3">
      <c r="A679" t="s">
        <v>49</v>
      </c>
      <c r="B679" t="s">
        <v>50</v>
      </c>
      <c r="C679" t="s">
        <v>9</v>
      </c>
      <c r="D679" t="s">
        <v>10</v>
      </c>
      <c r="E679">
        <v>2006</v>
      </c>
      <c r="F679" s="1">
        <v>100</v>
      </c>
      <c r="G679">
        <v>2000</v>
      </c>
      <c r="H679">
        <f>AVERAGEIFS(Table1[value],Table1[IndicatorCode],Table1[[#This Row],[IndicatorCode]])</f>
        <v>99.756410256410263</v>
      </c>
      <c r="I679" cm="1">
        <f t="array" ref="I679">_xlfn.STDEV.P(IF(Table1[IndicatorCode]=Table1[[#This Row],[IndicatorCode]],Table1[value]))</f>
        <v>1.1047979755287356</v>
      </c>
      <c r="J679">
        <f>(Table1[[#This Row],[value]] - Table1[[#This Row],[mean]]) / Table1[[#This Row],[std_dev]]</f>
        <v>0.22048351733552002</v>
      </c>
      <c r="K679">
        <f>AVERAGEIF(Table1[CountryCode],Table1[[#This Row],[CountryCode]],Table1[z-score])</f>
        <v>0.3375502618800939</v>
      </c>
      <c r="L679" t="e">
        <f>VLOOKUP(Table1[[#This Row],[CountryCode]],[1]!Table1[#All],1,FALSE)</f>
        <v>#REF!</v>
      </c>
    </row>
    <row r="680" spans="1:12" hidden="1" x14ac:dyDescent="0.3">
      <c r="A680" t="s">
        <v>49</v>
      </c>
      <c r="B680" t="s">
        <v>50</v>
      </c>
      <c r="C680" t="s">
        <v>9</v>
      </c>
      <c r="D680" t="s">
        <v>10</v>
      </c>
      <c r="E680">
        <v>2007</v>
      </c>
      <c r="F680" s="1">
        <v>100</v>
      </c>
      <c r="G680">
        <v>2010</v>
      </c>
      <c r="H680">
        <f>AVERAGEIFS(Table1[value],Table1[IndicatorCode],Table1[[#This Row],[IndicatorCode]])</f>
        <v>99.756410256410263</v>
      </c>
      <c r="I680" cm="1">
        <f t="array" ref="I680">_xlfn.STDEV.P(IF(Table1[IndicatorCode]=Table1[[#This Row],[IndicatorCode]],Table1[value]))</f>
        <v>1.1047979755287356</v>
      </c>
      <c r="J680">
        <f>(Table1[[#This Row],[value]] - Table1[[#This Row],[mean]]) / Table1[[#This Row],[std_dev]]</f>
        <v>0.22048351733552002</v>
      </c>
      <c r="K680">
        <f>AVERAGEIF(Table1[CountryCode],Table1[[#This Row],[CountryCode]],Table1[z-score])</f>
        <v>0.3375502618800939</v>
      </c>
      <c r="L680" t="e">
        <f>VLOOKUP(Table1[[#This Row],[CountryCode]],[1]!Table1[#All],1,FALSE)</f>
        <v>#REF!</v>
      </c>
    </row>
    <row r="681" spans="1:12" hidden="1" x14ac:dyDescent="0.3">
      <c r="A681" t="s">
        <v>49</v>
      </c>
      <c r="B681" t="s">
        <v>50</v>
      </c>
      <c r="C681" t="s">
        <v>9</v>
      </c>
      <c r="D681" t="s">
        <v>10</v>
      </c>
      <c r="E681">
        <v>2008</v>
      </c>
      <c r="F681" s="1">
        <v>100</v>
      </c>
      <c r="G681">
        <v>2010</v>
      </c>
      <c r="H681">
        <f>AVERAGEIFS(Table1[value],Table1[IndicatorCode],Table1[[#This Row],[IndicatorCode]])</f>
        <v>99.756410256410263</v>
      </c>
      <c r="I681" cm="1">
        <f t="array" ref="I681">_xlfn.STDEV.P(IF(Table1[IndicatorCode]=Table1[[#This Row],[IndicatorCode]],Table1[value]))</f>
        <v>1.1047979755287356</v>
      </c>
      <c r="J681">
        <f>(Table1[[#This Row],[value]] - Table1[[#This Row],[mean]]) / Table1[[#This Row],[std_dev]]</f>
        <v>0.22048351733552002</v>
      </c>
      <c r="K681">
        <f>AVERAGEIF(Table1[CountryCode],Table1[[#This Row],[CountryCode]],Table1[z-score])</f>
        <v>0.3375502618800939</v>
      </c>
      <c r="L681" t="e">
        <f>VLOOKUP(Table1[[#This Row],[CountryCode]],[1]!Table1[#All],1,FALSE)</f>
        <v>#REF!</v>
      </c>
    </row>
    <row r="682" spans="1:12" hidden="1" x14ac:dyDescent="0.3">
      <c r="A682" t="s">
        <v>49</v>
      </c>
      <c r="B682" t="s">
        <v>50</v>
      </c>
      <c r="C682" t="s">
        <v>9</v>
      </c>
      <c r="D682" t="s">
        <v>10</v>
      </c>
      <c r="E682">
        <v>2009</v>
      </c>
      <c r="F682" s="1">
        <v>100</v>
      </c>
      <c r="G682">
        <v>2010</v>
      </c>
      <c r="H682">
        <f>AVERAGEIFS(Table1[value],Table1[IndicatorCode],Table1[[#This Row],[IndicatorCode]])</f>
        <v>99.756410256410263</v>
      </c>
      <c r="I682" cm="1">
        <f t="array" ref="I682">_xlfn.STDEV.P(IF(Table1[IndicatorCode]=Table1[[#This Row],[IndicatorCode]],Table1[value]))</f>
        <v>1.1047979755287356</v>
      </c>
      <c r="J682">
        <f>(Table1[[#This Row],[value]] - Table1[[#This Row],[mean]]) / Table1[[#This Row],[std_dev]]</f>
        <v>0.22048351733552002</v>
      </c>
      <c r="K682">
        <f>AVERAGEIF(Table1[CountryCode],Table1[[#This Row],[CountryCode]],Table1[z-score])</f>
        <v>0.3375502618800939</v>
      </c>
      <c r="L682" t="e">
        <f>VLOOKUP(Table1[[#This Row],[CountryCode]],[1]!Table1[#All],1,FALSE)</f>
        <v>#REF!</v>
      </c>
    </row>
    <row r="683" spans="1:12" hidden="1" x14ac:dyDescent="0.3">
      <c r="A683" t="s">
        <v>49</v>
      </c>
      <c r="B683" t="s">
        <v>50</v>
      </c>
      <c r="C683" t="s">
        <v>9</v>
      </c>
      <c r="D683" t="s">
        <v>10</v>
      </c>
      <c r="E683">
        <v>2010</v>
      </c>
      <c r="F683" s="1">
        <v>100</v>
      </c>
      <c r="G683">
        <v>2010</v>
      </c>
      <c r="H683">
        <f>AVERAGEIFS(Table1[value],Table1[IndicatorCode],Table1[[#This Row],[IndicatorCode]])</f>
        <v>99.756410256410263</v>
      </c>
      <c r="I683" cm="1">
        <f t="array" ref="I683">_xlfn.STDEV.P(IF(Table1[IndicatorCode]=Table1[[#This Row],[IndicatorCode]],Table1[value]))</f>
        <v>1.1047979755287356</v>
      </c>
      <c r="J683">
        <f>(Table1[[#This Row],[value]] - Table1[[#This Row],[mean]]) / Table1[[#This Row],[std_dev]]</f>
        <v>0.22048351733552002</v>
      </c>
      <c r="K683">
        <f>AVERAGEIF(Table1[CountryCode],Table1[[#This Row],[CountryCode]],Table1[z-score])</f>
        <v>0.3375502618800939</v>
      </c>
      <c r="L683" t="e">
        <f>VLOOKUP(Table1[[#This Row],[CountryCode]],[1]!Table1[#All],1,FALSE)</f>
        <v>#REF!</v>
      </c>
    </row>
    <row r="684" spans="1:12" hidden="1" x14ac:dyDescent="0.3">
      <c r="A684" t="s">
        <v>49</v>
      </c>
      <c r="B684" t="s">
        <v>50</v>
      </c>
      <c r="C684" t="s">
        <v>9</v>
      </c>
      <c r="D684" t="s">
        <v>10</v>
      </c>
      <c r="E684">
        <v>2011</v>
      </c>
      <c r="F684" s="1">
        <v>100</v>
      </c>
      <c r="G684">
        <v>2010</v>
      </c>
      <c r="H684">
        <f>AVERAGEIFS(Table1[value],Table1[IndicatorCode],Table1[[#This Row],[IndicatorCode]])</f>
        <v>99.756410256410263</v>
      </c>
      <c r="I684" cm="1">
        <f t="array" ref="I684">_xlfn.STDEV.P(IF(Table1[IndicatorCode]=Table1[[#This Row],[IndicatorCode]],Table1[value]))</f>
        <v>1.1047979755287356</v>
      </c>
      <c r="J684">
        <f>(Table1[[#This Row],[value]] - Table1[[#This Row],[mean]]) / Table1[[#This Row],[std_dev]]</f>
        <v>0.22048351733552002</v>
      </c>
      <c r="K684">
        <f>AVERAGEIF(Table1[CountryCode],Table1[[#This Row],[CountryCode]],Table1[z-score])</f>
        <v>0.3375502618800939</v>
      </c>
      <c r="L684" t="e">
        <f>VLOOKUP(Table1[[#This Row],[CountryCode]],[1]!Table1[#All],1,FALSE)</f>
        <v>#REF!</v>
      </c>
    </row>
    <row r="685" spans="1:12" hidden="1" x14ac:dyDescent="0.3">
      <c r="A685" t="s">
        <v>49</v>
      </c>
      <c r="B685" t="s">
        <v>50</v>
      </c>
      <c r="C685" t="s">
        <v>9</v>
      </c>
      <c r="D685" t="s">
        <v>10</v>
      </c>
      <c r="E685">
        <v>2012</v>
      </c>
      <c r="F685" s="1">
        <v>100</v>
      </c>
      <c r="G685">
        <v>2010</v>
      </c>
      <c r="H685">
        <f>AVERAGEIFS(Table1[value],Table1[IndicatorCode],Table1[[#This Row],[IndicatorCode]])</f>
        <v>99.756410256410263</v>
      </c>
      <c r="I685" cm="1">
        <f t="array" ref="I685">_xlfn.STDEV.P(IF(Table1[IndicatorCode]=Table1[[#This Row],[IndicatorCode]],Table1[value]))</f>
        <v>1.1047979755287356</v>
      </c>
      <c r="J685">
        <f>(Table1[[#This Row],[value]] - Table1[[#This Row],[mean]]) / Table1[[#This Row],[std_dev]]</f>
        <v>0.22048351733552002</v>
      </c>
      <c r="K685">
        <f>AVERAGEIF(Table1[CountryCode],Table1[[#This Row],[CountryCode]],Table1[z-score])</f>
        <v>0.3375502618800939</v>
      </c>
      <c r="L685" t="e">
        <f>VLOOKUP(Table1[[#This Row],[CountryCode]],[1]!Table1[#All],1,FALSE)</f>
        <v>#REF!</v>
      </c>
    </row>
    <row r="686" spans="1:12" hidden="1" x14ac:dyDescent="0.3">
      <c r="A686" t="s">
        <v>49</v>
      </c>
      <c r="B686" t="s">
        <v>50</v>
      </c>
      <c r="C686" t="s">
        <v>9</v>
      </c>
      <c r="D686" t="s">
        <v>10</v>
      </c>
      <c r="E686">
        <v>2013</v>
      </c>
      <c r="F686" s="1">
        <v>100</v>
      </c>
      <c r="G686">
        <v>2010</v>
      </c>
      <c r="H686">
        <f>AVERAGEIFS(Table1[value],Table1[IndicatorCode],Table1[[#This Row],[IndicatorCode]])</f>
        <v>99.756410256410263</v>
      </c>
      <c r="I686" cm="1">
        <f t="array" ref="I686">_xlfn.STDEV.P(IF(Table1[IndicatorCode]=Table1[[#This Row],[IndicatorCode]],Table1[value]))</f>
        <v>1.1047979755287356</v>
      </c>
      <c r="J686">
        <f>(Table1[[#This Row],[value]] - Table1[[#This Row],[mean]]) / Table1[[#This Row],[std_dev]]</f>
        <v>0.22048351733552002</v>
      </c>
      <c r="K686">
        <f>AVERAGEIF(Table1[CountryCode],Table1[[#This Row],[CountryCode]],Table1[z-score])</f>
        <v>0.3375502618800939</v>
      </c>
      <c r="L686" t="e">
        <f>VLOOKUP(Table1[[#This Row],[CountryCode]],[1]!Table1[#All],1,FALSE)</f>
        <v>#REF!</v>
      </c>
    </row>
    <row r="687" spans="1:12" hidden="1" x14ac:dyDescent="0.3">
      <c r="A687" t="s">
        <v>49</v>
      </c>
      <c r="B687" t="s">
        <v>50</v>
      </c>
      <c r="C687" t="s">
        <v>9</v>
      </c>
      <c r="D687" t="s">
        <v>10</v>
      </c>
      <c r="E687">
        <v>2014</v>
      </c>
      <c r="F687" s="1">
        <v>100</v>
      </c>
      <c r="G687">
        <v>2010</v>
      </c>
      <c r="H687">
        <f>AVERAGEIFS(Table1[value],Table1[IndicatorCode],Table1[[#This Row],[IndicatorCode]])</f>
        <v>99.756410256410263</v>
      </c>
      <c r="I687" cm="1">
        <f t="array" ref="I687">_xlfn.STDEV.P(IF(Table1[IndicatorCode]=Table1[[#This Row],[IndicatorCode]],Table1[value]))</f>
        <v>1.1047979755287356</v>
      </c>
      <c r="J687">
        <f>(Table1[[#This Row],[value]] - Table1[[#This Row],[mean]]) / Table1[[#This Row],[std_dev]]</f>
        <v>0.22048351733552002</v>
      </c>
      <c r="K687">
        <f>AVERAGEIF(Table1[CountryCode],Table1[[#This Row],[CountryCode]],Table1[z-score])</f>
        <v>0.3375502618800939</v>
      </c>
      <c r="L687" t="e">
        <f>VLOOKUP(Table1[[#This Row],[CountryCode]],[1]!Table1[#All],1,FALSE)</f>
        <v>#REF!</v>
      </c>
    </row>
    <row r="688" spans="1:12" hidden="1" x14ac:dyDescent="0.3">
      <c r="A688" t="s">
        <v>49</v>
      </c>
      <c r="B688" t="s">
        <v>50</v>
      </c>
      <c r="C688" t="s">
        <v>9</v>
      </c>
      <c r="D688" t="s">
        <v>10</v>
      </c>
      <c r="E688">
        <v>2015</v>
      </c>
      <c r="F688" s="1">
        <v>100</v>
      </c>
      <c r="G688">
        <v>2010</v>
      </c>
      <c r="H688">
        <f>AVERAGEIFS(Table1[value],Table1[IndicatorCode],Table1[[#This Row],[IndicatorCode]])</f>
        <v>99.756410256410263</v>
      </c>
      <c r="I688" cm="1">
        <f t="array" ref="I688">_xlfn.STDEV.P(IF(Table1[IndicatorCode]=Table1[[#This Row],[IndicatorCode]],Table1[value]))</f>
        <v>1.1047979755287356</v>
      </c>
      <c r="J688">
        <f>(Table1[[#This Row],[value]] - Table1[[#This Row],[mean]]) / Table1[[#This Row],[std_dev]]</f>
        <v>0.22048351733552002</v>
      </c>
      <c r="K688">
        <f>AVERAGEIF(Table1[CountryCode],Table1[[#This Row],[CountryCode]],Table1[z-score])</f>
        <v>0.3375502618800939</v>
      </c>
      <c r="L688" t="e">
        <f>VLOOKUP(Table1[[#This Row],[CountryCode]],[1]!Table1[#All],1,FALSE)</f>
        <v>#REF!</v>
      </c>
    </row>
    <row r="689" spans="1:12" hidden="1" x14ac:dyDescent="0.3">
      <c r="A689" t="s">
        <v>49</v>
      </c>
      <c r="B689" t="s">
        <v>50</v>
      </c>
      <c r="C689" t="s">
        <v>9</v>
      </c>
      <c r="D689" t="s">
        <v>10</v>
      </c>
      <c r="E689">
        <v>2016</v>
      </c>
      <c r="F689" s="1">
        <v>100</v>
      </c>
      <c r="G689">
        <v>2010</v>
      </c>
      <c r="H689">
        <f>AVERAGEIFS(Table1[value],Table1[IndicatorCode],Table1[[#This Row],[IndicatorCode]])</f>
        <v>99.756410256410263</v>
      </c>
      <c r="I689" cm="1">
        <f t="array" ref="I689">_xlfn.STDEV.P(IF(Table1[IndicatorCode]=Table1[[#This Row],[IndicatorCode]],Table1[value]))</f>
        <v>1.1047979755287356</v>
      </c>
      <c r="J689">
        <f>(Table1[[#This Row],[value]] - Table1[[#This Row],[mean]]) / Table1[[#This Row],[std_dev]]</f>
        <v>0.22048351733552002</v>
      </c>
      <c r="K689">
        <f>AVERAGEIF(Table1[CountryCode],Table1[[#This Row],[CountryCode]],Table1[z-score])</f>
        <v>0.3375502618800939</v>
      </c>
      <c r="L689" t="e">
        <f>VLOOKUP(Table1[[#This Row],[CountryCode]],[1]!Table1[#All],1,FALSE)</f>
        <v>#REF!</v>
      </c>
    </row>
    <row r="690" spans="1:12" hidden="1" x14ac:dyDescent="0.3">
      <c r="A690" t="s">
        <v>49</v>
      </c>
      <c r="B690" t="s">
        <v>50</v>
      </c>
      <c r="C690" t="s">
        <v>9</v>
      </c>
      <c r="D690" t="s">
        <v>10</v>
      </c>
      <c r="E690">
        <v>2017</v>
      </c>
      <c r="F690" s="1">
        <v>100</v>
      </c>
      <c r="G690">
        <v>2020</v>
      </c>
      <c r="H690">
        <f>AVERAGEIFS(Table1[value],Table1[IndicatorCode],Table1[[#This Row],[IndicatorCode]])</f>
        <v>99.756410256410263</v>
      </c>
      <c r="I690" cm="1">
        <f t="array" ref="I690">_xlfn.STDEV.P(IF(Table1[IndicatorCode]=Table1[[#This Row],[IndicatorCode]],Table1[value]))</f>
        <v>1.1047979755287356</v>
      </c>
      <c r="J690">
        <f>(Table1[[#This Row],[value]] - Table1[[#This Row],[mean]]) / Table1[[#This Row],[std_dev]]</f>
        <v>0.22048351733552002</v>
      </c>
      <c r="K690">
        <f>AVERAGEIF(Table1[CountryCode],Table1[[#This Row],[CountryCode]],Table1[z-score])</f>
        <v>0.3375502618800939</v>
      </c>
      <c r="L690" t="e">
        <f>VLOOKUP(Table1[[#This Row],[CountryCode]],[1]!Table1[#All],1,FALSE)</f>
        <v>#REF!</v>
      </c>
    </row>
    <row r="691" spans="1:12" hidden="1" x14ac:dyDescent="0.3">
      <c r="A691" t="s">
        <v>49</v>
      </c>
      <c r="B691" t="s">
        <v>50</v>
      </c>
      <c r="C691" t="s">
        <v>9</v>
      </c>
      <c r="D691" t="s">
        <v>10</v>
      </c>
      <c r="E691">
        <v>2018</v>
      </c>
      <c r="F691" s="1">
        <v>100</v>
      </c>
      <c r="G691">
        <v>2020</v>
      </c>
      <c r="H691">
        <f>AVERAGEIFS(Table1[value],Table1[IndicatorCode],Table1[[#This Row],[IndicatorCode]])</f>
        <v>99.756410256410263</v>
      </c>
      <c r="I691" cm="1">
        <f t="array" ref="I691">_xlfn.STDEV.P(IF(Table1[IndicatorCode]=Table1[[#This Row],[IndicatorCode]],Table1[value]))</f>
        <v>1.1047979755287356</v>
      </c>
      <c r="J691">
        <f>(Table1[[#This Row],[value]] - Table1[[#This Row],[mean]]) / Table1[[#This Row],[std_dev]]</f>
        <v>0.22048351733552002</v>
      </c>
      <c r="K691">
        <f>AVERAGEIF(Table1[CountryCode],Table1[[#This Row],[CountryCode]],Table1[z-score])</f>
        <v>0.3375502618800939</v>
      </c>
      <c r="L691" t="e">
        <f>VLOOKUP(Table1[[#This Row],[CountryCode]],[1]!Table1[#All],1,FALSE)</f>
        <v>#REF!</v>
      </c>
    </row>
    <row r="692" spans="1:12" hidden="1" x14ac:dyDescent="0.3">
      <c r="A692" t="s">
        <v>49</v>
      </c>
      <c r="B692" t="s">
        <v>50</v>
      </c>
      <c r="C692" t="s">
        <v>9</v>
      </c>
      <c r="D692" t="s">
        <v>10</v>
      </c>
      <c r="E692">
        <v>2019</v>
      </c>
      <c r="F692" s="1">
        <v>100</v>
      </c>
      <c r="G692">
        <v>2020</v>
      </c>
      <c r="H692">
        <f>AVERAGEIFS(Table1[value],Table1[IndicatorCode],Table1[[#This Row],[IndicatorCode]])</f>
        <v>99.756410256410263</v>
      </c>
      <c r="I692" cm="1">
        <f t="array" ref="I692">_xlfn.STDEV.P(IF(Table1[IndicatorCode]=Table1[[#This Row],[IndicatorCode]],Table1[value]))</f>
        <v>1.1047979755287356</v>
      </c>
      <c r="J692">
        <f>(Table1[[#This Row],[value]] - Table1[[#This Row],[mean]]) / Table1[[#This Row],[std_dev]]</f>
        <v>0.22048351733552002</v>
      </c>
      <c r="K692">
        <f>AVERAGEIF(Table1[CountryCode],Table1[[#This Row],[CountryCode]],Table1[z-score])</f>
        <v>0.3375502618800939</v>
      </c>
      <c r="L692" t="e">
        <f>VLOOKUP(Table1[[#This Row],[CountryCode]],[1]!Table1[#All],1,FALSE)</f>
        <v>#REF!</v>
      </c>
    </row>
    <row r="693" spans="1:12" x14ac:dyDescent="0.3">
      <c r="A693" t="s">
        <v>49</v>
      </c>
      <c r="B693" t="s">
        <v>50</v>
      </c>
      <c r="C693" t="s">
        <v>9</v>
      </c>
      <c r="D693" t="s">
        <v>10</v>
      </c>
      <c r="E693">
        <v>2020</v>
      </c>
      <c r="F693" s="1">
        <v>100</v>
      </c>
      <c r="G693">
        <v>2020</v>
      </c>
      <c r="H693">
        <f>AVERAGEIFS(Table1[value],Table1[IndicatorCode],Table1[[#This Row],[IndicatorCode]])</f>
        <v>99.756410256410263</v>
      </c>
      <c r="I693" cm="1">
        <f t="array" ref="I693">_xlfn.STDEV.P(IF(Table1[IndicatorCode]=Table1[[#This Row],[IndicatorCode]],Table1[value]))</f>
        <v>1.1047979755287356</v>
      </c>
      <c r="J693">
        <f>(Table1[[#This Row],[value]] - Table1[[#This Row],[mean]]) / Table1[[#This Row],[std_dev]]</f>
        <v>0.22048351733552002</v>
      </c>
      <c r="K693">
        <f>AVERAGEIF(Table1[CountryCode],Table1[[#This Row],[CountryCode]],Table1[z-score])</f>
        <v>0.3375502618800939</v>
      </c>
    </row>
    <row r="694" spans="1:12" hidden="1" x14ac:dyDescent="0.3">
      <c r="A694" t="s">
        <v>49</v>
      </c>
      <c r="B694" t="s">
        <v>50</v>
      </c>
      <c r="C694" t="s">
        <v>9</v>
      </c>
      <c r="D694" t="s">
        <v>10</v>
      </c>
      <c r="E694">
        <v>2021</v>
      </c>
      <c r="F694" s="1">
        <v>100</v>
      </c>
      <c r="G694">
        <v>2000</v>
      </c>
      <c r="H694">
        <f>AVERAGEIFS(Table1[value],Table1[IndicatorCode],Table1[[#This Row],[IndicatorCode]])</f>
        <v>99.756410256410263</v>
      </c>
      <c r="I694" cm="1">
        <f t="array" ref="I694">_xlfn.STDEV.P(IF(Table1[IndicatorCode]=Table1[[#This Row],[IndicatorCode]],Table1[value]))</f>
        <v>1.1047979755287356</v>
      </c>
      <c r="J694">
        <f>(Table1[[#This Row],[value]] - Table1[[#This Row],[mean]]) / Table1[[#This Row],[std_dev]]</f>
        <v>0.22048351733552002</v>
      </c>
      <c r="K694">
        <f>AVERAGEIF(Table1[CountryCode],Table1[[#This Row],[CountryCode]],Table1[z-score])</f>
        <v>0.3375502618800939</v>
      </c>
      <c r="L694" t="e">
        <f>VLOOKUP(Table1[[#This Row],[CountryCode]],[1]!Table1[#All],1,FALSE)</f>
        <v>#REF!</v>
      </c>
    </row>
    <row r="695" spans="1:12" hidden="1" x14ac:dyDescent="0.3">
      <c r="A695" t="s">
        <v>49</v>
      </c>
      <c r="B695" t="s">
        <v>50</v>
      </c>
      <c r="C695" t="s">
        <v>9</v>
      </c>
      <c r="D695" t="s">
        <v>10</v>
      </c>
      <c r="E695">
        <v>2022</v>
      </c>
      <c r="F695" s="1">
        <v>100</v>
      </c>
      <c r="G695">
        <v>2000</v>
      </c>
      <c r="H695">
        <f>AVERAGEIFS(Table1[value],Table1[IndicatorCode],Table1[[#This Row],[IndicatorCode]])</f>
        <v>99.756410256410263</v>
      </c>
      <c r="I695" cm="1">
        <f t="array" ref="I695">_xlfn.STDEV.P(IF(Table1[IndicatorCode]=Table1[[#This Row],[IndicatorCode]],Table1[value]))</f>
        <v>1.1047979755287356</v>
      </c>
      <c r="J695">
        <f>(Table1[[#This Row],[value]] - Table1[[#This Row],[mean]]) / Table1[[#This Row],[std_dev]]</f>
        <v>0.22048351733552002</v>
      </c>
      <c r="K695">
        <f>AVERAGEIF(Table1[CountryCode],Table1[[#This Row],[CountryCode]],Table1[z-score])</f>
        <v>0.3375502618800939</v>
      </c>
      <c r="L695" t="e">
        <f>VLOOKUP(Table1[[#This Row],[CountryCode]],[1]!Table1[#All],1,FALSE)</f>
        <v>#REF!</v>
      </c>
    </row>
    <row r="696" spans="1:12" hidden="1" x14ac:dyDescent="0.3">
      <c r="A696" t="s">
        <v>49</v>
      </c>
      <c r="B696" t="s">
        <v>50</v>
      </c>
      <c r="C696" t="s">
        <v>9</v>
      </c>
      <c r="D696" t="s">
        <v>10</v>
      </c>
      <c r="E696">
        <v>2023</v>
      </c>
      <c r="F696" s="1">
        <v>100</v>
      </c>
      <c r="G696">
        <v>2000</v>
      </c>
      <c r="H696">
        <f>AVERAGEIFS(Table1[value],Table1[IndicatorCode],Table1[[#This Row],[IndicatorCode]])</f>
        <v>99.756410256410263</v>
      </c>
      <c r="I696" cm="1">
        <f t="array" ref="I696">_xlfn.STDEV.P(IF(Table1[IndicatorCode]=Table1[[#This Row],[IndicatorCode]],Table1[value]))</f>
        <v>1.1047979755287356</v>
      </c>
      <c r="J696">
        <f>(Table1[[#This Row],[value]] - Table1[[#This Row],[mean]]) / Table1[[#This Row],[std_dev]]</f>
        <v>0.22048351733552002</v>
      </c>
      <c r="K696">
        <f>AVERAGEIF(Table1[CountryCode],Table1[[#This Row],[CountryCode]],Table1[z-score])</f>
        <v>0.3375502618800939</v>
      </c>
      <c r="L696" t="e">
        <f>VLOOKUP(Table1[[#This Row],[CountryCode]],[1]!Table1[#All],1,FALSE)</f>
        <v>#REF!</v>
      </c>
    </row>
    <row r="697" spans="1:12" hidden="1" x14ac:dyDescent="0.3">
      <c r="A697" t="s">
        <v>51</v>
      </c>
      <c r="B697" t="s">
        <v>52</v>
      </c>
      <c r="C697" t="s">
        <v>9</v>
      </c>
      <c r="D697" t="s">
        <v>10</v>
      </c>
      <c r="E697">
        <v>2000</v>
      </c>
      <c r="F697" s="1">
        <v>100</v>
      </c>
      <c r="G697">
        <v>2000</v>
      </c>
      <c r="H697">
        <f>AVERAGEIFS(Table1[value],Table1[IndicatorCode],Table1[[#This Row],[IndicatorCode]])</f>
        <v>99.756410256410263</v>
      </c>
      <c r="I697" cm="1">
        <f t="array" ref="I697">_xlfn.STDEV.P(IF(Table1[IndicatorCode]=Table1[[#This Row],[IndicatorCode]],Table1[value]))</f>
        <v>1.1047979755287356</v>
      </c>
      <c r="J697">
        <f>(Table1[[#This Row],[value]] - Table1[[#This Row],[mean]]) / Table1[[#This Row],[std_dev]]</f>
        <v>0.22048351733552002</v>
      </c>
      <c r="K697">
        <f>AVERAGEIF(Table1[CountryCode],Table1[[#This Row],[CountryCode]],Table1[z-score])</f>
        <v>-0.61446545916413864</v>
      </c>
      <c r="L697" t="e">
        <f>VLOOKUP(Table1[[#This Row],[CountryCode]],[1]!Table1[#All],1,FALSE)</f>
        <v>#REF!</v>
      </c>
    </row>
    <row r="698" spans="1:12" hidden="1" x14ac:dyDescent="0.3">
      <c r="A698" t="s">
        <v>51</v>
      </c>
      <c r="B698" t="s">
        <v>52</v>
      </c>
      <c r="C698" t="s">
        <v>9</v>
      </c>
      <c r="D698" t="s">
        <v>10</v>
      </c>
      <c r="E698">
        <v>2001</v>
      </c>
      <c r="F698" s="1">
        <v>100</v>
      </c>
      <c r="G698">
        <v>2000</v>
      </c>
      <c r="H698">
        <f>AVERAGEIFS(Table1[value],Table1[IndicatorCode],Table1[[#This Row],[IndicatorCode]])</f>
        <v>99.756410256410263</v>
      </c>
      <c r="I698" cm="1">
        <f t="array" ref="I698">_xlfn.STDEV.P(IF(Table1[IndicatorCode]=Table1[[#This Row],[IndicatorCode]],Table1[value]))</f>
        <v>1.1047979755287356</v>
      </c>
      <c r="J698">
        <f>(Table1[[#This Row],[value]] - Table1[[#This Row],[mean]]) / Table1[[#This Row],[std_dev]]</f>
        <v>0.22048351733552002</v>
      </c>
      <c r="K698">
        <f>AVERAGEIF(Table1[CountryCode],Table1[[#This Row],[CountryCode]],Table1[z-score])</f>
        <v>-0.61446545916413864</v>
      </c>
      <c r="L698" t="e">
        <f>VLOOKUP(Table1[[#This Row],[CountryCode]],[1]!Table1[#All],1,FALSE)</f>
        <v>#REF!</v>
      </c>
    </row>
    <row r="699" spans="1:12" hidden="1" x14ac:dyDescent="0.3">
      <c r="A699" t="s">
        <v>51</v>
      </c>
      <c r="B699" t="s">
        <v>52</v>
      </c>
      <c r="C699" t="s">
        <v>9</v>
      </c>
      <c r="D699" t="s">
        <v>10</v>
      </c>
      <c r="E699">
        <v>2002</v>
      </c>
      <c r="F699" s="1">
        <v>100</v>
      </c>
      <c r="G699">
        <v>2000</v>
      </c>
      <c r="H699">
        <f>AVERAGEIFS(Table1[value],Table1[IndicatorCode],Table1[[#This Row],[IndicatorCode]])</f>
        <v>99.756410256410263</v>
      </c>
      <c r="I699" cm="1">
        <f t="array" ref="I699">_xlfn.STDEV.P(IF(Table1[IndicatorCode]=Table1[[#This Row],[IndicatorCode]],Table1[value]))</f>
        <v>1.1047979755287356</v>
      </c>
      <c r="J699">
        <f>(Table1[[#This Row],[value]] - Table1[[#This Row],[mean]]) / Table1[[#This Row],[std_dev]]</f>
        <v>0.22048351733552002</v>
      </c>
      <c r="K699">
        <f>AVERAGEIF(Table1[CountryCode],Table1[[#This Row],[CountryCode]],Table1[z-score])</f>
        <v>-0.61446545916413864</v>
      </c>
      <c r="L699" t="e">
        <f>VLOOKUP(Table1[[#This Row],[CountryCode]],[1]!Table1[#All],1,FALSE)</f>
        <v>#REF!</v>
      </c>
    </row>
    <row r="700" spans="1:12" hidden="1" x14ac:dyDescent="0.3">
      <c r="A700" t="s">
        <v>51</v>
      </c>
      <c r="B700" t="s">
        <v>52</v>
      </c>
      <c r="C700" t="s">
        <v>9</v>
      </c>
      <c r="D700" t="s">
        <v>10</v>
      </c>
      <c r="E700">
        <v>2003</v>
      </c>
      <c r="F700" s="1">
        <v>100</v>
      </c>
      <c r="G700">
        <v>2000</v>
      </c>
      <c r="H700">
        <f>AVERAGEIFS(Table1[value],Table1[IndicatorCode],Table1[[#This Row],[IndicatorCode]])</f>
        <v>99.756410256410263</v>
      </c>
      <c r="I700" cm="1">
        <f t="array" ref="I700">_xlfn.STDEV.P(IF(Table1[IndicatorCode]=Table1[[#This Row],[IndicatorCode]],Table1[value]))</f>
        <v>1.1047979755287356</v>
      </c>
      <c r="J700">
        <f>(Table1[[#This Row],[value]] - Table1[[#This Row],[mean]]) / Table1[[#This Row],[std_dev]]</f>
        <v>0.22048351733552002</v>
      </c>
      <c r="K700">
        <f>AVERAGEIF(Table1[CountryCode],Table1[[#This Row],[CountryCode]],Table1[z-score])</f>
        <v>-0.61446545916413864</v>
      </c>
      <c r="L700" t="e">
        <f>VLOOKUP(Table1[[#This Row],[CountryCode]],[1]!Table1[#All],1,FALSE)</f>
        <v>#REF!</v>
      </c>
    </row>
    <row r="701" spans="1:12" hidden="1" x14ac:dyDescent="0.3">
      <c r="A701" t="s">
        <v>51</v>
      </c>
      <c r="B701" t="s">
        <v>52</v>
      </c>
      <c r="C701" t="s">
        <v>9</v>
      </c>
      <c r="D701" t="s">
        <v>10</v>
      </c>
      <c r="E701">
        <v>2004</v>
      </c>
      <c r="F701" s="1">
        <v>100</v>
      </c>
      <c r="G701">
        <v>2000</v>
      </c>
      <c r="H701">
        <f>AVERAGEIFS(Table1[value],Table1[IndicatorCode],Table1[[#This Row],[IndicatorCode]])</f>
        <v>99.756410256410263</v>
      </c>
      <c r="I701" cm="1">
        <f t="array" ref="I701">_xlfn.STDEV.P(IF(Table1[IndicatorCode]=Table1[[#This Row],[IndicatorCode]],Table1[value]))</f>
        <v>1.1047979755287356</v>
      </c>
      <c r="J701">
        <f>(Table1[[#This Row],[value]] - Table1[[#This Row],[mean]]) / Table1[[#This Row],[std_dev]]</f>
        <v>0.22048351733552002</v>
      </c>
      <c r="K701">
        <f>AVERAGEIF(Table1[CountryCode],Table1[[#This Row],[CountryCode]],Table1[z-score])</f>
        <v>-0.61446545916413864</v>
      </c>
      <c r="L701" t="e">
        <f>VLOOKUP(Table1[[#This Row],[CountryCode]],[1]!Table1[#All],1,FALSE)</f>
        <v>#REF!</v>
      </c>
    </row>
    <row r="702" spans="1:12" hidden="1" x14ac:dyDescent="0.3">
      <c r="A702" t="s">
        <v>51</v>
      </c>
      <c r="B702" t="s">
        <v>52</v>
      </c>
      <c r="C702" t="s">
        <v>9</v>
      </c>
      <c r="D702" t="s">
        <v>10</v>
      </c>
      <c r="E702">
        <v>2005</v>
      </c>
      <c r="F702" s="1">
        <v>98</v>
      </c>
      <c r="G702">
        <v>2000</v>
      </c>
      <c r="H702">
        <f>AVERAGEIFS(Table1[value],Table1[IndicatorCode],Table1[[#This Row],[IndicatorCode]])</f>
        <v>99.756410256410263</v>
      </c>
      <c r="I702" cm="1">
        <f t="array" ref="I702">_xlfn.STDEV.P(IF(Table1[IndicatorCode]=Table1[[#This Row],[IndicatorCode]],Table1[value]))</f>
        <v>1.1047979755287356</v>
      </c>
      <c r="J702">
        <f>(Table1[[#This Row],[value]] - Table1[[#This Row],[mean]]) / Table1[[#This Row],[std_dev]]</f>
        <v>-1.5898022039456376</v>
      </c>
      <c r="K702">
        <f>AVERAGEIF(Table1[CountryCode],Table1[[#This Row],[CountryCode]],Table1[z-score])</f>
        <v>-0.61446545916413864</v>
      </c>
      <c r="L702" t="e">
        <f>VLOOKUP(Table1[[#This Row],[CountryCode]],[1]!Table1[#All],1,FALSE)</f>
        <v>#REF!</v>
      </c>
    </row>
    <row r="703" spans="1:12" hidden="1" x14ac:dyDescent="0.3">
      <c r="A703" t="s">
        <v>51</v>
      </c>
      <c r="B703" t="s">
        <v>52</v>
      </c>
      <c r="C703" t="s">
        <v>9</v>
      </c>
      <c r="D703" t="s">
        <v>10</v>
      </c>
      <c r="E703">
        <v>2006</v>
      </c>
      <c r="F703" s="1">
        <v>100</v>
      </c>
      <c r="G703">
        <v>2000</v>
      </c>
      <c r="H703">
        <f>AVERAGEIFS(Table1[value],Table1[IndicatorCode],Table1[[#This Row],[IndicatorCode]])</f>
        <v>99.756410256410263</v>
      </c>
      <c r="I703" cm="1">
        <f t="array" ref="I703">_xlfn.STDEV.P(IF(Table1[IndicatorCode]=Table1[[#This Row],[IndicatorCode]],Table1[value]))</f>
        <v>1.1047979755287356</v>
      </c>
      <c r="J703">
        <f>(Table1[[#This Row],[value]] - Table1[[#This Row],[mean]]) / Table1[[#This Row],[std_dev]]</f>
        <v>0.22048351733552002</v>
      </c>
      <c r="K703">
        <f>AVERAGEIF(Table1[CountryCode],Table1[[#This Row],[CountryCode]],Table1[z-score])</f>
        <v>-0.61446545916413864</v>
      </c>
      <c r="L703" t="e">
        <f>VLOOKUP(Table1[[#This Row],[CountryCode]],[1]!Table1[#All],1,FALSE)</f>
        <v>#REF!</v>
      </c>
    </row>
    <row r="704" spans="1:12" hidden="1" x14ac:dyDescent="0.3">
      <c r="A704" t="s">
        <v>51</v>
      </c>
      <c r="B704" t="s">
        <v>52</v>
      </c>
      <c r="C704" t="s">
        <v>9</v>
      </c>
      <c r="D704" t="s">
        <v>10</v>
      </c>
      <c r="E704">
        <v>2007</v>
      </c>
      <c r="F704" s="1">
        <v>100</v>
      </c>
      <c r="G704">
        <v>2010</v>
      </c>
      <c r="H704">
        <f>AVERAGEIFS(Table1[value],Table1[IndicatorCode],Table1[[#This Row],[IndicatorCode]])</f>
        <v>99.756410256410263</v>
      </c>
      <c r="I704" cm="1">
        <f t="array" ref="I704">_xlfn.STDEV.P(IF(Table1[IndicatorCode]=Table1[[#This Row],[IndicatorCode]],Table1[value]))</f>
        <v>1.1047979755287356</v>
      </c>
      <c r="J704">
        <f>(Table1[[#This Row],[value]] - Table1[[#This Row],[mean]]) / Table1[[#This Row],[std_dev]]</f>
        <v>0.22048351733552002</v>
      </c>
      <c r="K704">
        <f>AVERAGEIF(Table1[CountryCode],Table1[[#This Row],[CountryCode]],Table1[z-score])</f>
        <v>-0.61446545916413864</v>
      </c>
      <c r="L704" t="e">
        <f>VLOOKUP(Table1[[#This Row],[CountryCode]],[1]!Table1[#All],1,FALSE)</f>
        <v>#REF!</v>
      </c>
    </row>
    <row r="705" spans="1:12" hidden="1" x14ac:dyDescent="0.3">
      <c r="A705" t="s">
        <v>51</v>
      </c>
      <c r="B705" t="s">
        <v>52</v>
      </c>
      <c r="C705" t="s">
        <v>9</v>
      </c>
      <c r="D705" t="s">
        <v>10</v>
      </c>
      <c r="E705">
        <v>2008</v>
      </c>
      <c r="F705" s="1">
        <v>100</v>
      </c>
      <c r="G705">
        <v>2010</v>
      </c>
      <c r="H705">
        <f>AVERAGEIFS(Table1[value],Table1[IndicatorCode],Table1[[#This Row],[IndicatorCode]])</f>
        <v>99.756410256410263</v>
      </c>
      <c r="I705" cm="1">
        <f t="array" ref="I705">_xlfn.STDEV.P(IF(Table1[IndicatorCode]=Table1[[#This Row],[IndicatorCode]],Table1[value]))</f>
        <v>1.1047979755287356</v>
      </c>
      <c r="J705">
        <f>(Table1[[#This Row],[value]] - Table1[[#This Row],[mean]]) / Table1[[#This Row],[std_dev]]</f>
        <v>0.22048351733552002</v>
      </c>
      <c r="K705">
        <f>AVERAGEIF(Table1[CountryCode],Table1[[#This Row],[CountryCode]],Table1[z-score])</f>
        <v>-0.61446545916413864</v>
      </c>
      <c r="L705" t="e">
        <f>VLOOKUP(Table1[[#This Row],[CountryCode]],[1]!Table1[#All],1,FALSE)</f>
        <v>#REF!</v>
      </c>
    </row>
    <row r="706" spans="1:12" hidden="1" x14ac:dyDescent="0.3">
      <c r="A706" t="s">
        <v>51</v>
      </c>
      <c r="B706" t="s">
        <v>52</v>
      </c>
      <c r="C706" t="s">
        <v>9</v>
      </c>
      <c r="D706" t="s">
        <v>10</v>
      </c>
      <c r="E706">
        <v>2009</v>
      </c>
      <c r="F706" s="1">
        <v>100</v>
      </c>
      <c r="G706">
        <v>2010</v>
      </c>
      <c r="H706">
        <f>AVERAGEIFS(Table1[value],Table1[IndicatorCode],Table1[[#This Row],[IndicatorCode]])</f>
        <v>99.756410256410263</v>
      </c>
      <c r="I706" cm="1">
        <f t="array" ref="I706">_xlfn.STDEV.P(IF(Table1[IndicatorCode]=Table1[[#This Row],[IndicatorCode]],Table1[value]))</f>
        <v>1.1047979755287356</v>
      </c>
      <c r="J706">
        <f>(Table1[[#This Row],[value]] - Table1[[#This Row],[mean]]) / Table1[[#This Row],[std_dev]]</f>
        <v>0.22048351733552002</v>
      </c>
      <c r="K706">
        <f>AVERAGEIF(Table1[CountryCode],Table1[[#This Row],[CountryCode]],Table1[z-score])</f>
        <v>-0.61446545916413864</v>
      </c>
      <c r="L706" t="e">
        <f>VLOOKUP(Table1[[#This Row],[CountryCode]],[1]!Table1[#All],1,FALSE)</f>
        <v>#REF!</v>
      </c>
    </row>
    <row r="707" spans="1:12" hidden="1" x14ac:dyDescent="0.3">
      <c r="A707" t="s">
        <v>51</v>
      </c>
      <c r="B707" t="s">
        <v>52</v>
      </c>
      <c r="C707" t="s">
        <v>9</v>
      </c>
      <c r="D707" t="s">
        <v>10</v>
      </c>
      <c r="E707">
        <v>2010</v>
      </c>
      <c r="F707" s="1">
        <v>100</v>
      </c>
      <c r="G707">
        <v>2010</v>
      </c>
      <c r="H707">
        <f>AVERAGEIFS(Table1[value],Table1[IndicatorCode],Table1[[#This Row],[IndicatorCode]])</f>
        <v>99.756410256410263</v>
      </c>
      <c r="I707" cm="1">
        <f t="array" ref="I707">_xlfn.STDEV.P(IF(Table1[IndicatorCode]=Table1[[#This Row],[IndicatorCode]],Table1[value]))</f>
        <v>1.1047979755287356</v>
      </c>
      <c r="J707">
        <f>(Table1[[#This Row],[value]] - Table1[[#This Row],[mean]]) / Table1[[#This Row],[std_dev]]</f>
        <v>0.22048351733552002</v>
      </c>
      <c r="K707">
        <f>AVERAGEIF(Table1[CountryCode],Table1[[#This Row],[CountryCode]],Table1[z-score])</f>
        <v>-0.61446545916413864</v>
      </c>
      <c r="L707" t="e">
        <f>VLOOKUP(Table1[[#This Row],[CountryCode]],[1]!Table1[#All],1,FALSE)</f>
        <v>#REF!</v>
      </c>
    </row>
    <row r="708" spans="1:12" hidden="1" x14ac:dyDescent="0.3">
      <c r="A708" t="s">
        <v>51</v>
      </c>
      <c r="B708" t="s">
        <v>52</v>
      </c>
      <c r="C708" t="s">
        <v>9</v>
      </c>
      <c r="D708" t="s">
        <v>10</v>
      </c>
      <c r="E708">
        <v>2011</v>
      </c>
      <c r="F708" s="1">
        <v>100</v>
      </c>
      <c r="G708">
        <v>2010</v>
      </c>
      <c r="H708">
        <f>AVERAGEIFS(Table1[value],Table1[IndicatorCode],Table1[[#This Row],[IndicatorCode]])</f>
        <v>99.756410256410263</v>
      </c>
      <c r="I708" cm="1">
        <f t="array" ref="I708">_xlfn.STDEV.P(IF(Table1[IndicatorCode]=Table1[[#This Row],[IndicatorCode]],Table1[value]))</f>
        <v>1.1047979755287356</v>
      </c>
      <c r="J708">
        <f>(Table1[[#This Row],[value]] - Table1[[#This Row],[mean]]) / Table1[[#This Row],[std_dev]]</f>
        <v>0.22048351733552002</v>
      </c>
      <c r="K708">
        <f>AVERAGEIF(Table1[CountryCode],Table1[[#This Row],[CountryCode]],Table1[z-score])</f>
        <v>-0.61446545916413864</v>
      </c>
      <c r="L708" t="e">
        <f>VLOOKUP(Table1[[#This Row],[CountryCode]],[1]!Table1[#All],1,FALSE)</f>
        <v>#REF!</v>
      </c>
    </row>
    <row r="709" spans="1:12" hidden="1" x14ac:dyDescent="0.3">
      <c r="A709" t="s">
        <v>51</v>
      </c>
      <c r="B709" t="s">
        <v>52</v>
      </c>
      <c r="C709" t="s">
        <v>9</v>
      </c>
      <c r="D709" t="s">
        <v>10</v>
      </c>
      <c r="E709">
        <v>2012</v>
      </c>
      <c r="F709" s="1">
        <v>100</v>
      </c>
      <c r="G709">
        <v>2010</v>
      </c>
      <c r="H709">
        <f>AVERAGEIFS(Table1[value],Table1[IndicatorCode],Table1[[#This Row],[IndicatorCode]])</f>
        <v>99.756410256410263</v>
      </c>
      <c r="I709" cm="1">
        <f t="array" ref="I709">_xlfn.STDEV.P(IF(Table1[IndicatorCode]=Table1[[#This Row],[IndicatorCode]],Table1[value]))</f>
        <v>1.1047979755287356</v>
      </c>
      <c r="J709">
        <f>(Table1[[#This Row],[value]] - Table1[[#This Row],[mean]]) / Table1[[#This Row],[std_dev]]</f>
        <v>0.22048351733552002</v>
      </c>
      <c r="K709">
        <f>AVERAGEIF(Table1[CountryCode],Table1[[#This Row],[CountryCode]],Table1[z-score])</f>
        <v>-0.61446545916413864</v>
      </c>
      <c r="L709" t="e">
        <f>VLOOKUP(Table1[[#This Row],[CountryCode]],[1]!Table1[#All],1,FALSE)</f>
        <v>#REF!</v>
      </c>
    </row>
    <row r="710" spans="1:12" hidden="1" x14ac:dyDescent="0.3">
      <c r="A710" t="s">
        <v>51</v>
      </c>
      <c r="B710" t="s">
        <v>52</v>
      </c>
      <c r="C710" t="s">
        <v>9</v>
      </c>
      <c r="D710" t="s">
        <v>10</v>
      </c>
      <c r="E710">
        <v>2013</v>
      </c>
      <c r="F710" s="1">
        <v>100</v>
      </c>
      <c r="G710">
        <v>2010</v>
      </c>
      <c r="H710">
        <f>AVERAGEIFS(Table1[value],Table1[IndicatorCode],Table1[[#This Row],[IndicatorCode]])</f>
        <v>99.756410256410263</v>
      </c>
      <c r="I710" cm="1">
        <f t="array" ref="I710">_xlfn.STDEV.P(IF(Table1[IndicatorCode]=Table1[[#This Row],[IndicatorCode]],Table1[value]))</f>
        <v>1.1047979755287356</v>
      </c>
      <c r="J710">
        <f>(Table1[[#This Row],[value]] - Table1[[#This Row],[mean]]) / Table1[[#This Row],[std_dev]]</f>
        <v>0.22048351733552002</v>
      </c>
      <c r="K710">
        <f>AVERAGEIF(Table1[CountryCode],Table1[[#This Row],[CountryCode]],Table1[z-score])</f>
        <v>-0.61446545916413864</v>
      </c>
      <c r="L710" t="e">
        <f>VLOOKUP(Table1[[#This Row],[CountryCode]],[1]!Table1[#All],1,FALSE)</f>
        <v>#REF!</v>
      </c>
    </row>
    <row r="711" spans="1:12" hidden="1" x14ac:dyDescent="0.3">
      <c r="A711" t="s">
        <v>51</v>
      </c>
      <c r="B711" t="s">
        <v>52</v>
      </c>
      <c r="C711" t="s">
        <v>9</v>
      </c>
      <c r="D711" t="s">
        <v>10</v>
      </c>
      <c r="E711">
        <v>2014</v>
      </c>
      <c r="F711" s="1">
        <v>100</v>
      </c>
      <c r="G711">
        <v>2010</v>
      </c>
      <c r="H711">
        <f>AVERAGEIFS(Table1[value],Table1[IndicatorCode],Table1[[#This Row],[IndicatorCode]])</f>
        <v>99.756410256410263</v>
      </c>
      <c r="I711" cm="1">
        <f t="array" ref="I711">_xlfn.STDEV.P(IF(Table1[IndicatorCode]=Table1[[#This Row],[IndicatorCode]],Table1[value]))</f>
        <v>1.1047979755287356</v>
      </c>
      <c r="J711">
        <f>(Table1[[#This Row],[value]] - Table1[[#This Row],[mean]]) / Table1[[#This Row],[std_dev]]</f>
        <v>0.22048351733552002</v>
      </c>
      <c r="K711">
        <f>AVERAGEIF(Table1[CountryCode],Table1[[#This Row],[CountryCode]],Table1[z-score])</f>
        <v>-0.61446545916413864</v>
      </c>
      <c r="L711" t="e">
        <f>VLOOKUP(Table1[[#This Row],[CountryCode]],[1]!Table1[#All],1,FALSE)</f>
        <v>#REF!</v>
      </c>
    </row>
    <row r="712" spans="1:12" hidden="1" x14ac:dyDescent="0.3">
      <c r="A712" t="s">
        <v>51</v>
      </c>
      <c r="B712" t="s">
        <v>52</v>
      </c>
      <c r="C712" t="s">
        <v>9</v>
      </c>
      <c r="D712" t="s">
        <v>10</v>
      </c>
      <c r="E712">
        <v>2015</v>
      </c>
      <c r="F712" s="1">
        <v>100</v>
      </c>
      <c r="G712">
        <v>2010</v>
      </c>
      <c r="H712">
        <f>AVERAGEIFS(Table1[value],Table1[IndicatorCode],Table1[[#This Row],[IndicatorCode]])</f>
        <v>99.756410256410263</v>
      </c>
      <c r="I712" cm="1">
        <f t="array" ref="I712">_xlfn.STDEV.P(IF(Table1[IndicatorCode]=Table1[[#This Row],[IndicatorCode]],Table1[value]))</f>
        <v>1.1047979755287356</v>
      </c>
      <c r="J712">
        <f>(Table1[[#This Row],[value]] - Table1[[#This Row],[mean]]) / Table1[[#This Row],[std_dev]]</f>
        <v>0.22048351733552002</v>
      </c>
      <c r="K712">
        <f>AVERAGEIF(Table1[CountryCode],Table1[[#This Row],[CountryCode]],Table1[z-score])</f>
        <v>-0.61446545916413864</v>
      </c>
      <c r="L712" t="e">
        <f>VLOOKUP(Table1[[#This Row],[CountryCode]],[1]!Table1[#All],1,FALSE)</f>
        <v>#REF!</v>
      </c>
    </row>
    <row r="713" spans="1:12" hidden="1" x14ac:dyDescent="0.3">
      <c r="A713" t="s">
        <v>51</v>
      </c>
      <c r="B713" t="s">
        <v>52</v>
      </c>
      <c r="C713" t="s">
        <v>9</v>
      </c>
      <c r="D713" t="s">
        <v>10</v>
      </c>
      <c r="E713">
        <v>2016</v>
      </c>
      <c r="F713" s="1">
        <v>100</v>
      </c>
      <c r="G713">
        <v>2010</v>
      </c>
      <c r="H713">
        <f>AVERAGEIFS(Table1[value],Table1[IndicatorCode],Table1[[#This Row],[IndicatorCode]])</f>
        <v>99.756410256410263</v>
      </c>
      <c r="I713" cm="1">
        <f t="array" ref="I713">_xlfn.STDEV.P(IF(Table1[IndicatorCode]=Table1[[#This Row],[IndicatorCode]],Table1[value]))</f>
        <v>1.1047979755287356</v>
      </c>
      <c r="J713">
        <f>(Table1[[#This Row],[value]] - Table1[[#This Row],[mean]]) / Table1[[#This Row],[std_dev]]</f>
        <v>0.22048351733552002</v>
      </c>
      <c r="K713">
        <f>AVERAGEIF(Table1[CountryCode],Table1[[#This Row],[CountryCode]],Table1[z-score])</f>
        <v>-0.61446545916413864</v>
      </c>
      <c r="L713" t="e">
        <f>VLOOKUP(Table1[[#This Row],[CountryCode]],[1]!Table1[#All],1,FALSE)</f>
        <v>#REF!</v>
      </c>
    </row>
    <row r="714" spans="1:12" hidden="1" x14ac:dyDescent="0.3">
      <c r="A714" t="s">
        <v>51</v>
      </c>
      <c r="B714" t="s">
        <v>52</v>
      </c>
      <c r="C714" t="s">
        <v>9</v>
      </c>
      <c r="D714" t="s">
        <v>10</v>
      </c>
      <c r="E714">
        <v>2017</v>
      </c>
      <c r="F714" s="1">
        <v>100</v>
      </c>
      <c r="G714">
        <v>2020</v>
      </c>
      <c r="H714">
        <f>AVERAGEIFS(Table1[value],Table1[IndicatorCode],Table1[[#This Row],[IndicatorCode]])</f>
        <v>99.756410256410263</v>
      </c>
      <c r="I714" cm="1">
        <f t="array" ref="I714">_xlfn.STDEV.P(IF(Table1[IndicatorCode]=Table1[[#This Row],[IndicatorCode]],Table1[value]))</f>
        <v>1.1047979755287356</v>
      </c>
      <c r="J714">
        <f>(Table1[[#This Row],[value]] - Table1[[#This Row],[mean]]) / Table1[[#This Row],[std_dev]]</f>
        <v>0.22048351733552002</v>
      </c>
      <c r="K714">
        <f>AVERAGEIF(Table1[CountryCode],Table1[[#This Row],[CountryCode]],Table1[z-score])</f>
        <v>-0.61446545916413864</v>
      </c>
      <c r="L714" t="e">
        <f>VLOOKUP(Table1[[#This Row],[CountryCode]],[1]!Table1[#All],1,FALSE)</f>
        <v>#REF!</v>
      </c>
    </row>
    <row r="715" spans="1:12" hidden="1" x14ac:dyDescent="0.3">
      <c r="A715" t="s">
        <v>51</v>
      </c>
      <c r="B715" t="s">
        <v>52</v>
      </c>
      <c r="C715" t="s">
        <v>9</v>
      </c>
      <c r="D715" t="s">
        <v>10</v>
      </c>
      <c r="E715">
        <v>2018</v>
      </c>
      <c r="F715" s="1">
        <v>100</v>
      </c>
      <c r="G715">
        <v>2020</v>
      </c>
      <c r="H715">
        <f>AVERAGEIFS(Table1[value],Table1[IndicatorCode],Table1[[#This Row],[IndicatorCode]])</f>
        <v>99.756410256410263</v>
      </c>
      <c r="I715" cm="1">
        <f t="array" ref="I715">_xlfn.STDEV.P(IF(Table1[IndicatorCode]=Table1[[#This Row],[IndicatorCode]],Table1[value]))</f>
        <v>1.1047979755287356</v>
      </c>
      <c r="J715">
        <f>(Table1[[#This Row],[value]] - Table1[[#This Row],[mean]]) / Table1[[#This Row],[std_dev]]</f>
        <v>0.22048351733552002</v>
      </c>
      <c r="K715">
        <f>AVERAGEIF(Table1[CountryCode],Table1[[#This Row],[CountryCode]],Table1[z-score])</f>
        <v>-0.61446545916413864</v>
      </c>
      <c r="L715" t="e">
        <f>VLOOKUP(Table1[[#This Row],[CountryCode]],[1]!Table1[#All],1,FALSE)</f>
        <v>#REF!</v>
      </c>
    </row>
    <row r="716" spans="1:12" hidden="1" x14ac:dyDescent="0.3">
      <c r="A716" t="s">
        <v>51</v>
      </c>
      <c r="B716" t="s">
        <v>52</v>
      </c>
      <c r="C716" t="s">
        <v>9</v>
      </c>
      <c r="D716" t="s">
        <v>10</v>
      </c>
      <c r="E716">
        <v>2019</v>
      </c>
      <c r="F716" s="1">
        <v>100</v>
      </c>
      <c r="G716">
        <v>2020</v>
      </c>
      <c r="H716">
        <f>AVERAGEIFS(Table1[value],Table1[IndicatorCode],Table1[[#This Row],[IndicatorCode]])</f>
        <v>99.756410256410263</v>
      </c>
      <c r="I716" cm="1">
        <f t="array" ref="I716">_xlfn.STDEV.P(IF(Table1[IndicatorCode]=Table1[[#This Row],[IndicatorCode]],Table1[value]))</f>
        <v>1.1047979755287356</v>
      </c>
      <c r="J716">
        <f>(Table1[[#This Row],[value]] - Table1[[#This Row],[mean]]) / Table1[[#This Row],[std_dev]]</f>
        <v>0.22048351733552002</v>
      </c>
      <c r="K716">
        <f>AVERAGEIF(Table1[CountryCode],Table1[[#This Row],[CountryCode]],Table1[z-score])</f>
        <v>-0.61446545916413864</v>
      </c>
      <c r="L716" t="e">
        <f>VLOOKUP(Table1[[#This Row],[CountryCode]],[1]!Table1[#All],1,FALSE)</f>
        <v>#REF!</v>
      </c>
    </row>
    <row r="717" spans="1:12" x14ac:dyDescent="0.3">
      <c r="A717" t="s">
        <v>51</v>
      </c>
      <c r="B717" t="s">
        <v>52</v>
      </c>
      <c r="C717" t="s">
        <v>9</v>
      </c>
      <c r="D717" t="s">
        <v>10</v>
      </c>
      <c r="E717">
        <v>2020</v>
      </c>
      <c r="F717" s="1">
        <v>100</v>
      </c>
      <c r="G717">
        <v>2020</v>
      </c>
      <c r="H717">
        <f>AVERAGEIFS(Table1[value],Table1[IndicatorCode],Table1[[#This Row],[IndicatorCode]])</f>
        <v>99.756410256410263</v>
      </c>
      <c r="I717" cm="1">
        <f t="array" ref="I717">_xlfn.STDEV.P(IF(Table1[IndicatorCode]=Table1[[#This Row],[IndicatorCode]],Table1[value]))</f>
        <v>1.1047979755287356</v>
      </c>
      <c r="J717">
        <f>(Table1[[#This Row],[value]] - Table1[[#This Row],[mean]]) / Table1[[#This Row],[std_dev]]</f>
        <v>0.22048351733552002</v>
      </c>
      <c r="K717">
        <f>AVERAGEIF(Table1[CountryCode],Table1[[#This Row],[CountryCode]],Table1[z-score])</f>
        <v>-0.61446545916413864</v>
      </c>
    </row>
    <row r="718" spans="1:12" hidden="1" x14ac:dyDescent="0.3">
      <c r="A718" t="s">
        <v>51</v>
      </c>
      <c r="B718" t="s">
        <v>52</v>
      </c>
      <c r="C718" t="s">
        <v>9</v>
      </c>
      <c r="D718" t="s">
        <v>10</v>
      </c>
      <c r="E718">
        <v>2021</v>
      </c>
      <c r="F718" s="1">
        <v>100</v>
      </c>
      <c r="G718">
        <v>1990</v>
      </c>
      <c r="H718">
        <f>AVERAGEIFS(Table1[value],Table1[IndicatorCode],Table1[[#This Row],[IndicatorCode]])</f>
        <v>99.756410256410263</v>
      </c>
      <c r="I718" cm="1">
        <f t="array" ref="I718">_xlfn.STDEV.P(IF(Table1[IndicatorCode]=Table1[[#This Row],[IndicatorCode]],Table1[value]))</f>
        <v>1.1047979755287356</v>
      </c>
      <c r="J718">
        <f>(Table1[[#This Row],[value]] - Table1[[#This Row],[mean]]) / Table1[[#This Row],[std_dev]]</f>
        <v>0.22048351733552002</v>
      </c>
      <c r="K718">
        <f>AVERAGEIF(Table1[CountryCode],Table1[[#This Row],[CountryCode]],Table1[z-score])</f>
        <v>-0.61446545916413864</v>
      </c>
      <c r="L718" t="e">
        <f>VLOOKUP(Table1[[#This Row],[CountryCode]],[1]!Table1[#All],1,FALSE)</f>
        <v>#REF!</v>
      </c>
    </row>
    <row r="719" spans="1:12" hidden="1" x14ac:dyDescent="0.3">
      <c r="A719" t="s">
        <v>51</v>
      </c>
      <c r="B719" t="s">
        <v>52</v>
      </c>
      <c r="C719" t="s">
        <v>9</v>
      </c>
      <c r="D719" t="s">
        <v>10</v>
      </c>
      <c r="E719">
        <v>2022</v>
      </c>
      <c r="F719" s="1">
        <v>100</v>
      </c>
      <c r="G719">
        <v>1990</v>
      </c>
      <c r="H719">
        <f>AVERAGEIFS(Table1[value],Table1[IndicatorCode],Table1[[#This Row],[IndicatorCode]])</f>
        <v>99.756410256410263</v>
      </c>
      <c r="I719" cm="1">
        <f t="array" ref="I719">_xlfn.STDEV.P(IF(Table1[IndicatorCode]=Table1[[#This Row],[IndicatorCode]],Table1[value]))</f>
        <v>1.1047979755287356</v>
      </c>
      <c r="J719">
        <f>(Table1[[#This Row],[value]] - Table1[[#This Row],[mean]]) / Table1[[#This Row],[std_dev]]</f>
        <v>0.22048351733552002</v>
      </c>
      <c r="K719">
        <f>AVERAGEIF(Table1[CountryCode],Table1[[#This Row],[CountryCode]],Table1[z-score])</f>
        <v>-0.61446545916413864</v>
      </c>
      <c r="L719" t="e">
        <f>VLOOKUP(Table1[[#This Row],[CountryCode]],[1]!Table1[#All],1,FALSE)</f>
        <v>#REF!</v>
      </c>
    </row>
    <row r="720" spans="1:12" hidden="1" x14ac:dyDescent="0.3">
      <c r="A720" t="s">
        <v>51</v>
      </c>
      <c r="B720" t="s">
        <v>52</v>
      </c>
      <c r="C720" t="s">
        <v>9</v>
      </c>
      <c r="D720" t="s">
        <v>10</v>
      </c>
      <c r="E720">
        <v>2023</v>
      </c>
      <c r="F720" s="1">
        <v>100</v>
      </c>
      <c r="G720">
        <v>1990</v>
      </c>
      <c r="H720">
        <f>AVERAGEIFS(Table1[value],Table1[IndicatorCode],Table1[[#This Row],[IndicatorCode]])</f>
        <v>99.756410256410263</v>
      </c>
      <c r="I720" cm="1">
        <f t="array" ref="I720">_xlfn.STDEV.P(IF(Table1[IndicatorCode]=Table1[[#This Row],[IndicatorCode]],Table1[value]))</f>
        <v>1.1047979755287356</v>
      </c>
      <c r="J720">
        <f>(Table1[[#This Row],[value]] - Table1[[#This Row],[mean]]) / Table1[[#This Row],[std_dev]]</f>
        <v>0.22048351733552002</v>
      </c>
      <c r="K720">
        <f>AVERAGEIF(Table1[CountryCode],Table1[[#This Row],[CountryCode]],Table1[z-score])</f>
        <v>-0.61446545916413864</v>
      </c>
      <c r="L720" t="e">
        <f>VLOOKUP(Table1[[#This Row],[CountryCode]],[1]!Table1[#All],1,FALSE)</f>
        <v>#REF!</v>
      </c>
    </row>
    <row r="721" spans="1:12" hidden="1" x14ac:dyDescent="0.3">
      <c r="A721" t="s">
        <v>53</v>
      </c>
      <c r="B721" t="s">
        <v>54</v>
      </c>
      <c r="C721" t="s">
        <v>9</v>
      </c>
      <c r="D721" t="s">
        <v>10</v>
      </c>
      <c r="E721">
        <v>1990</v>
      </c>
      <c r="F721" s="1">
        <v>100</v>
      </c>
      <c r="G721">
        <v>1990</v>
      </c>
      <c r="H721">
        <f>AVERAGEIFS(Table1[value],Table1[IndicatorCode],Table1[[#This Row],[IndicatorCode]])</f>
        <v>99.756410256410263</v>
      </c>
      <c r="I721" cm="1">
        <f t="array" ref="I721">_xlfn.STDEV.P(IF(Table1[IndicatorCode]=Table1[[#This Row],[IndicatorCode]],Table1[value]))</f>
        <v>1.1047979755287356</v>
      </c>
      <c r="J721">
        <f>(Table1[[#This Row],[value]] - Table1[[#This Row],[mean]]) / Table1[[#This Row],[std_dev]]</f>
        <v>0.22048351733552002</v>
      </c>
      <c r="K721">
        <f>AVERAGEIF(Table1[CountryCode],Table1[[#This Row],[CountryCode]],Table1[z-score])</f>
        <v>0.50130467154040237</v>
      </c>
      <c r="L721" t="e">
        <f>VLOOKUP(Table1[[#This Row],[CountryCode]],[1]!Table1[#All],1,FALSE)</f>
        <v>#REF!</v>
      </c>
    </row>
    <row r="722" spans="1:12" hidden="1" x14ac:dyDescent="0.3">
      <c r="A722" t="s">
        <v>53</v>
      </c>
      <c r="B722" t="s">
        <v>54</v>
      </c>
      <c r="C722" t="s">
        <v>9</v>
      </c>
      <c r="D722" t="s">
        <v>10</v>
      </c>
      <c r="E722">
        <v>1991</v>
      </c>
      <c r="F722" s="1">
        <v>100</v>
      </c>
      <c r="G722">
        <v>1990</v>
      </c>
      <c r="H722">
        <f>AVERAGEIFS(Table1[value],Table1[IndicatorCode],Table1[[#This Row],[IndicatorCode]])</f>
        <v>99.756410256410263</v>
      </c>
      <c r="I722" cm="1">
        <f t="array" ref="I722">_xlfn.STDEV.P(IF(Table1[IndicatorCode]=Table1[[#This Row],[IndicatorCode]],Table1[value]))</f>
        <v>1.1047979755287356</v>
      </c>
      <c r="J722">
        <f>(Table1[[#This Row],[value]] - Table1[[#This Row],[mean]]) / Table1[[#This Row],[std_dev]]</f>
        <v>0.22048351733552002</v>
      </c>
      <c r="K722">
        <f>AVERAGEIF(Table1[CountryCode],Table1[[#This Row],[CountryCode]],Table1[z-score])</f>
        <v>0.50130467154040237</v>
      </c>
      <c r="L722" t="e">
        <f>VLOOKUP(Table1[[#This Row],[CountryCode]],[1]!Table1[#All],1,FALSE)</f>
        <v>#REF!</v>
      </c>
    </row>
    <row r="723" spans="1:12" hidden="1" x14ac:dyDescent="0.3">
      <c r="A723" t="s">
        <v>53</v>
      </c>
      <c r="B723" t="s">
        <v>54</v>
      </c>
      <c r="C723" t="s">
        <v>9</v>
      </c>
      <c r="D723" t="s">
        <v>10</v>
      </c>
      <c r="E723">
        <v>1992</v>
      </c>
      <c r="F723" s="1">
        <v>100</v>
      </c>
      <c r="G723">
        <v>1990</v>
      </c>
      <c r="H723">
        <f>AVERAGEIFS(Table1[value],Table1[IndicatorCode],Table1[[#This Row],[IndicatorCode]])</f>
        <v>99.756410256410263</v>
      </c>
      <c r="I723" cm="1">
        <f t="array" ref="I723">_xlfn.STDEV.P(IF(Table1[IndicatorCode]=Table1[[#This Row],[IndicatorCode]],Table1[value]))</f>
        <v>1.1047979755287356</v>
      </c>
      <c r="J723">
        <f>(Table1[[#This Row],[value]] - Table1[[#This Row],[mean]]) / Table1[[#This Row],[std_dev]]</f>
        <v>0.22048351733552002</v>
      </c>
      <c r="K723">
        <f>AVERAGEIF(Table1[CountryCode],Table1[[#This Row],[CountryCode]],Table1[z-score])</f>
        <v>0.50130467154040237</v>
      </c>
      <c r="L723" t="e">
        <f>VLOOKUP(Table1[[#This Row],[CountryCode]],[1]!Table1[#All],1,FALSE)</f>
        <v>#REF!</v>
      </c>
    </row>
    <row r="724" spans="1:12" hidden="1" x14ac:dyDescent="0.3">
      <c r="A724" t="s">
        <v>53</v>
      </c>
      <c r="B724" t="s">
        <v>54</v>
      </c>
      <c r="C724" t="s">
        <v>9</v>
      </c>
      <c r="D724" t="s">
        <v>10</v>
      </c>
      <c r="E724">
        <v>1993</v>
      </c>
      <c r="F724" s="1">
        <v>100</v>
      </c>
      <c r="G724">
        <v>1990</v>
      </c>
      <c r="H724">
        <f>AVERAGEIFS(Table1[value],Table1[IndicatorCode],Table1[[#This Row],[IndicatorCode]])</f>
        <v>99.756410256410263</v>
      </c>
      <c r="I724" cm="1">
        <f t="array" ref="I724">_xlfn.STDEV.P(IF(Table1[IndicatorCode]=Table1[[#This Row],[IndicatorCode]],Table1[value]))</f>
        <v>1.1047979755287356</v>
      </c>
      <c r="J724">
        <f>(Table1[[#This Row],[value]] - Table1[[#This Row],[mean]]) / Table1[[#This Row],[std_dev]]</f>
        <v>0.22048351733552002</v>
      </c>
      <c r="K724">
        <f>AVERAGEIF(Table1[CountryCode],Table1[[#This Row],[CountryCode]],Table1[z-score])</f>
        <v>0.50130467154040237</v>
      </c>
      <c r="L724" t="e">
        <f>VLOOKUP(Table1[[#This Row],[CountryCode]],[1]!Table1[#All],1,FALSE)</f>
        <v>#REF!</v>
      </c>
    </row>
    <row r="725" spans="1:12" hidden="1" x14ac:dyDescent="0.3">
      <c r="A725" t="s">
        <v>53</v>
      </c>
      <c r="B725" t="s">
        <v>54</v>
      </c>
      <c r="C725" t="s">
        <v>9</v>
      </c>
      <c r="D725" t="s">
        <v>10</v>
      </c>
      <c r="E725">
        <v>1994</v>
      </c>
      <c r="F725" s="1">
        <v>100</v>
      </c>
      <c r="G725">
        <v>1990</v>
      </c>
      <c r="H725">
        <f>AVERAGEIFS(Table1[value],Table1[IndicatorCode],Table1[[#This Row],[IndicatorCode]])</f>
        <v>99.756410256410263</v>
      </c>
      <c r="I725" cm="1">
        <f t="array" ref="I725">_xlfn.STDEV.P(IF(Table1[IndicatorCode]=Table1[[#This Row],[IndicatorCode]],Table1[value]))</f>
        <v>1.1047979755287356</v>
      </c>
      <c r="J725">
        <f>(Table1[[#This Row],[value]] - Table1[[#This Row],[mean]]) / Table1[[#This Row],[std_dev]]</f>
        <v>0.22048351733552002</v>
      </c>
      <c r="K725">
        <f>AVERAGEIF(Table1[CountryCode],Table1[[#This Row],[CountryCode]],Table1[z-score])</f>
        <v>0.50130467154040237</v>
      </c>
      <c r="L725" t="e">
        <f>VLOOKUP(Table1[[#This Row],[CountryCode]],[1]!Table1[#All],1,FALSE)</f>
        <v>#REF!</v>
      </c>
    </row>
    <row r="726" spans="1:12" hidden="1" x14ac:dyDescent="0.3">
      <c r="A726" t="s">
        <v>53</v>
      </c>
      <c r="B726" t="s">
        <v>54</v>
      </c>
      <c r="C726" t="s">
        <v>9</v>
      </c>
      <c r="D726" t="s">
        <v>10</v>
      </c>
      <c r="E726">
        <v>1995</v>
      </c>
      <c r="F726" s="1">
        <v>100</v>
      </c>
      <c r="G726">
        <v>1990</v>
      </c>
      <c r="H726">
        <f>AVERAGEIFS(Table1[value],Table1[IndicatorCode],Table1[[#This Row],[IndicatorCode]])</f>
        <v>99.756410256410263</v>
      </c>
      <c r="I726" cm="1">
        <f t="array" ref="I726">_xlfn.STDEV.P(IF(Table1[IndicatorCode]=Table1[[#This Row],[IndicatorCode]],Table1[value]))</f>
        <v>1.1047979755287356</v>
      </c>
      <c r="J726">
        <f>(Table1[[#This Row],[value]] - Table1[[#This Row],[mean]]) / Table1[[#This Row],[std_dev]]</f>
        <v>0.22048351733552002</v>
      </c>
      <c r="K726">
        <f>AVERAGEIF(Table1[CountryCode],Table1[[#This Row],[CountryCode]],Table1[z-score])</f>
        <v>0.50130467154040237</v>
      </c>
      <c r="L726" t="e">
        <f>VLOOKUP(Table1[[#This Row],[CountryCode]],[1]!Table1[#All],1,FALSE)</f>
        <v>#REF!</v>
      </c>
    </row>
    <row r="727" spans="1:12" hidden="1" x14ac:dyDescent="0.3">
      <c r="A727" t="s">
        <v>53</v>
      </c>
      <c r="B727" t="s">
        <v>54</v>
      </c>
      <c r="C727" t="s">
        <v>9</v>
      </c>
      <c r="D727" t="s">
        <v>10</v>
      </c>
      <c r="E727">
        <v>1996</v>
      </c>
      <c r="F727" s="1">
        <v>100</v>
      </c>
      <c r="G727">
        <v>1990</v>
      </c>
      <c r="H727">
        <f>AVERAGEIFS(Table1[value],Table1[IndicatorCode],Table1[[#This Row],[IndicatorCode]])</f>
        <v>99.756410256410263</v>
      </c>
      <c r="I727" cm="1">
        <f t="array" ref="I727">_xlfn.STDEV.P(IF(Table1[IndicatorCode]=Table1[[#This Row],[IndicatorCode]],Table1[value]))</f>
        <v>1.1047979755287356</v>
      </c>
      <c r="J727">
        <f>(Table1[[#This Row],[value]] - Table1[[#This Row],[mean]]) / Table1[[#This Row],[std_dev]]</f>
        <v>0.22048351733552002</v>
      </c>
      <c r="K727">
        <f>AVERAGEIF(Table1[CountryCode],Table1[[#This Row],[CountryCode]],Table1[z-score])</f>
        <v>0.50130467154040237</v>
      </c>
      <c r="L727" t="e">
        <f>VLOOKUP(Table1[[#This Row],[CountryCode]],[1]!Table1[#All],1,FALSE)</f>
        <v>#REF!</v>
      </c>
    </row>
    <row r="728" spans="1:12" hidden="1" x14ac:dyDescent="0.3">
      <c r="A728" t="s">
        <v>53</v>
      </c>
      <c r="B728" t="s">
        <v>54</v>
      </c>
      <c r="C728" t="s">
        <v>9</v>
      </c>
      <c r="D728" t="s">
        <v>10</v>
      </c>
      <c r="E728">
        <v>1997</v>
      </c>
      <c r="F728" s="1">
        <v>100</v>
      </c>
      <c r="G728">
        <v>2000</v>
      </c>
      <c r="H728">
        <f>AVERAGEIFS(Table1[value],Table1[IndicatorCode],Table1[[#This Row],[IndicatorCode]])</f>
        <v>99.756410256410263</v>
      </c>
      <c r="I728" cm="1">
        <f t="array" ref="I728">_xlfn.STDEV.P(IF(Table1[IndicatorCode]=Table1[[#This Row],[IndicatorCode]],Table1[value]))</f>
        <v>1.1047979755287356</v>
      </c>
      <c r="J728">
        <f>(Table1[[#This Row],[value]] - Table1[[#This Row],[mean]]) / Table1[[#This Row],[std_dev]]</f>
        <v>0.22048351733552002</v>
      </c>
      <c r="K728">
        <f>AVERAGEIF(Table1[CountryCode],Table1[[#This Row],[CountryCode]],Table1[z-score])</f>
        <v>0.50130467154040237</v>
      </c>
      <c r="L728" t="e">
        <f>VLOOKUP(Table1[[#This Row],[CountryCode]],[1]!Table1[#All],1,FALSE)</f>
        <v>#REF!</v>
      </c>
    </row>
    <row r="729" spans="1:12" hidden="1" x14ac:dyDescent="0.3">
      <c r="A729" t="s">
        <v>53</v>
      </c>
      <c r="B729" t="s">
        <v>54</v>
      </c>
      <c r="C729" t="s">
        <v>9</v>
      </c>
      <c r="D729" t="s">
        <v>10</v>
      </c>
      <c r="E729">
        <v>1998</v>
      </c>
      <c r="F729" s="1">
        <v>100</v>
      </c>
      <c r="G729">
        <v>2000</v>
      </c>
      <c r="H729">
        <f>AVERAGEIFS(Table1[value],Table1[IndicatorCode],Table1[[#This Row],[IndicatorCode]])</f>
        <v>99.756410256410263</v>
      </c>
      <c r="I729" cm="1">
        <f t="array" ref="I729">_xlfn.STDEV.P(IF(Table1[IndicatorCode]=Table1[[#This Row],[IndicatorCode]],Table1[value]))</f>
        <v>1.1047979755287356</v>
      </c>
      <c r="J729">
        <f>(Table1[[#This Row],[value]] - Table1[[#This Row],[mean]]) / Table1[[#This Row],[std_dev]]</f>
        <v>0.22048351733552002</v>
      </c>
      <c r="K729">
        <f>AVERAGEIF(Table1[CountryCode],Table1[[#This Row],[CountryCode]],Table1[z-score])</f>
        <v>0.50130467154040237</v>
      </c>
      <c r="L729" t="e">
        <f>VLOOKUP(Table1[[#This Row],[CountryCode]],[1]!Table1[#All],1,FALSE)</f>
        <v>#REF!</v>
      </c>
    </row>
    <row r="730" spans="1:12" hidden="1" x14ac:dyDescent="0.3">
      <c r="A730" t="s">
        <v>53</v>
      </c>
      <c r="B730" t="s">
        <v>54</v>
      </c>
      <c r="C730" t="s">
        <v>9</v>
      </c>
      <c r="D730" t="s">
        <v>10</v>
      </c>
      <c r="E730">
        <v>1999</v>
      </c>
      <c r="F730" s="1">
        <v>100</v>
      </c>
      <c r="G730">
        <v>2000</v>
      </c>
      <c r="H730">
        <f>AVERAGEIFS(Table1[value],Table1[IndicatorCode],Table1[[#This Row],[IndicatorCode]])</f>
        <v>99.756410256410263</v>
      </c>
      <c r="I730" cm="1">
        <f t="array" ref="I730">_xlfn.STDEV.P(IF(Table1[IndicatorCode]=Table1[[#This Row],[IndicatorCode]],Table1[value]))</f>
        <v>1.1047979755287356</v>
      </c>
      <c r="J730">
        <f>(Table1[[#This Row],[value]] - Table1[[#This Row],[mean]]) / Table1[[#This Row],[std_dev]]</f>
        <v>0.22048351733552002</v>
      </c>
      <c r="K730">
        <f>AVERAGEIF(Table1[CountryCode],Table1[[#This Row],[CountryCode]],Table1[z-score])</f>
        <v>0.50130467154040237</v>
      </c>
      <c r="L730" t="e">
        <f>VLOOKUP(Table1[[#This Row],[CountryCode]],[1]!Table1[#All],1,FALSE)</f>
        <v>#REF!</v>
      </c>
    </row>
    <row r="731" spans="1:12" hidden="1" x14ac:dyDescent="0.3">
      <c r="A731" t="s">
        <v>53</v>
      </c>
      <c r="B731" t="s">
        <v>54</v>
      </c>
      <c r="C731" t="s">
        <v>9</v>
      </c>
      <c r="D731" t="s">
        <v>10</v>
      </c>
      <c r="E731">
        <v>2000</v>
      </c>
      <c r="F731" s="1">
        <v>100</v>
      </c>
      <c r="G731">
        <v>2000</v>
      </c>
      <c r="H731">
        <f>AVERAGEIFS(Table1[value],Table1[IndicatorCode],Table1[[#This Row],[IndicatorCode]])</f>
        <v>99.756410256410263</v>
      </c>
      <c r="I731" cm="1">
        <f t="array" ref="I731">_xlfn.STDEV.P(IF(Table1[IndicatorCode]=Table1[[#This Row],[IndicatorCode]],Table1[value]))</f>
        <v>1.1047979755287356</v>
      </c>
      <c r="J731">
        <f>(Table1[[#This Row],[value]] - Table1[[#This Row],[mean]]) / Table1[[#This Row],[std_dev]]</f>
        <v>0.22048351733552002</v>
      </c>
      <c r="K731">
        <f>AVERAGEIF(Table1[CountryCode],Table1[[#This Row],[CountryCode]],Table1[z-score])</f>
        <v>0.50130467154040237</v>
      </c>
      <c r="L731" t="e">
        <f>VLOOKUP(Table1[[#This Row],[CountryCode]],[1]!Table1[#All],1,FALSE)</f>
        <v>#REF!</v>
      </c>
    </row>
    <row r="732" spans="1:12" hidden="1" x14ac:dyDescent="0.3">
      <c r="A732" t="s">
        <v>53</v>
      </c>
      <c r="B732" t="s">
        <v>54</v>
      </c>
      <c r="C732" t="s">
        <v>9</v>
      </c>
      <c r="D732" t="s">
        <v>10</v>
      </c>
      <c r="E732">
        <v>2001</v>
      </c>
      <c r="F732" s="1">
        <v>100</v>
      </c>
      <c r="G732">
        <v>2000</v>
      </c>
      <c r="H732">
        <f>AVERAGEIFS(Table1[value],Table1[IndicatorCode],Table1[[#This Row],[IndicatorCode]])</f>
        <v>99.756410256410263</v>
      </c>
      <c r="I732" cm="1">
        <f t="array" ref="I732">_xlfn.STDEV.P(IF(Table1[IndicatorCode]=Table1[[#This Row],[IndicatorCode]],Table1[value]))</f>
        <v>1.1047979755287356</v>
      </c>
      <c r="J732">
        <f>(Table1[[#This Row],[value]] - Table1[[#This Row],[mean]]) / Table1[[#This Row],[std_dev]]</f>
        <v>0.22048351733552002</v>
      </c>
      <c r="K732">
        <f>AVERAGEIF(Table1[CountryCode],Table1[[#This Row],[CountryCode]],Table1[z-score])</f>
        <v>0.50130467154040237</v>
      </c>
      <c r="L732" t="e">
        <f>VLOOKUP(Table1[[#This Row],[CountryCode]],[1]!Table1[#All],1,FALSE)</f>
        <v>#REF!</v>
      </c>
    </row>
    <row r="733" spans="1:12" hidden="1" x14ac:dyDescent="0.3">
      <c r="A733" t="s">
        <v>53</v>
      </c>
      <c r="B733" t="s">
        <v>54</v>
      </c>
      <c r="C733" t="s">
        <v>9</v>
      </c>
      <c r="D733" t="s">
        <v>10</v>
      </c>
      <c r="E733">
        <v>2002</v>
      </c>
      <c r="F733" s="1">
        <v>100</v>
      </c>
      <c r="G733">
        <v>2000</v>
      </c>
      <c r="H733">
        <f>AVERAGEIFS(Table1[value],Table1[IndicatorCode],Table1[[#This Row],[IndicatorCode]])</f>
        <v>99.756410256410263</v>
      </c>
      <c r="I733" cm="1">
        <f t="array" ref="I733">_xlfn.STDEV.P(IF(Table1[IndicatorCode]=Table1[[#This Row],[IndicatorCode]],Table1[value]))</f>
        <v>1.1047979755287356</v>
      </c>
      <c r="J733">
        <f>(Table1[[#This Row],[value]] - Table1[[#This Row],[mean]]) / Table1[[#This Row],[std_dev]]</f>
        <v>0.22048351733552002</v>
      </c>
      <c r="K733">
        <f>AVERAGEIF(Table1[CountryCode],Table1[[#This Row],[CountryCode]],Table1[z-score])</f>
        <v>0.50130467154040237</v>
      </c>
      <c r="L733" t="e">
        <f>VLOOKUP(Table1[[#This Row],[CountryCode]],[1]!Table1[#All],1,FALSE)</f>
        <v>#REF!</v>
      </c>
    </row>
    <row r="734" spans="1:12" hidden="1" x14ac:dyDescent="0.3">
      <c r="A734" t="s">
        <v>53</v>
      </c>
      <c r="B734" t="s">
        <v>54</v>
      </c>
      <c r="C734" t="s">
        <v>9</v>
      </c>
      <c r="D734" t="s">
        <v>10</v>
      </c>
      <c r="E734">
        <v>2003</v>
      </c>
      <c r="F734" s="1">
        <v>100</v>
      </c>
      <c r="G734">
        <v>2000</v>
      </c>
      <c r="H734">
        <f>AVERAGEIFS(Table1[value],Table1[IndicatorCode],Table1[[#This Row],[IndicatorCode]])</f>
        <v>99.756410256410263</v>
      </c>
      <c r="I734" cm="1">
        <f t="array" ref="I734">_xlfn.STDEV.P(IF(Table1[IndicatorCode]=Table1[[#This Row],[IndicatorCode]],Table1[value]))</f>
        <v>1.1047979755287356</v>
      </c>
      <c r="J734">
        <f>(Table1[[#This Row],[value]] - Table1[[#This Row],[mean]]) / Table1[[#This Row],[std_dev]]</f>
        <v>0.22048351733552002</v>
      </c>
      <c r="K734">
        <f>AVERAGEIF(Table1[CountryCode],Table1[[#This Row],[CountryCode]],Table1[z-score])</f>
        <v>0.50130467154040237</v>
      </c>
      <c r="L734" t="e">
        <f>VLOOKUP(Table1[[#This Row],[CountryCode]],[1]!Table1[#All],1,FALSE)</f>
        <v>#REF!</v>
      </c>
    </row>
    <row r="735" spans="1:12" hidden="1" x14ac:dyDescent="0.3">
      <c r="A735" t="s">
        <v>53</v>
      </c>
      <c r="B735" t="s">
        <v>54</v>
      </c>
      <c r="C735" t="s">
        <v>9</v>
      </c>
      <c r="D735" t="s">
        <v>10</v>
      </c>
      <c r="E735">
        <v>2004</v>
      </c>
      <c r="F735" s="1">
        <v>100</v>
      </c>
      <c r="G735">
        <v>2000</v>
      </c>
      <c r="H735">
        <f>AVERAGEIFS(Table1[value],Table1[IndicatorCode],Table1[[#This Row],[IndicatorCode]])</f>
        <v>99.756410256410263</v>
      </c>
      <c r="I735" cm="1">
        <f t="array" ref="I735">_xlfn.STDEV.P(IF(Table1[IndicatorCode]=Table1[[#This Row],[IndicatorCode]],Table1[value]))</f>
        <v>1.1047979755287356</v>
      </c>
      <c r="J735">
        <f>(Table1[[#This Row],[value]] - Table1[[#This Row],[mean]]) / Table1[[#This Row],[std_dev]]</f>
        <v>0.22048351733552002</v>
      </c>
      <c r="K735">
        <f>AVERAGEIF(Table1[CountryCode],Table1[[#This Row],[CountryCode]],Table1[z-score])</f>
        <v>0.50130467154040237</v>
      </c>
      <c r="L735" t="e">
        <f>VLOOKUP(Table1[[#This Row],[CountryCode]],[1]!Table1[#All],1,FALSE)</f>
        <v>#REF!</v>
      </c>
    </row>
    <row r="736" spans="1:12" hidden="1" x14ac:dyDescent="0.3">
      <c r="A736" t="s">
        <v>53</v>
      </c>
      <c r="B736" t="s">
        <v>54</v>
      </c>
      <c r="C736" t="s">
        <v>9</v>
      </c>
      <c r="D736" t="s">
        <v>10</v>
      </c>
      <c r="E736">
        <v>2005</v>
      </c>
      <c r="F736" s="1">
        <v>100</v>
      </c>
      <c r="G736">
        <v>2000</v>
      </c>
      <c r="H736">
        <f>AVERAGEIFS(Table1[value],Table1[IndicatorCode],Table1[[#This Row],[IndicatorCode]])</f>
        <v>99.756410256410263</v>
      </c>
      <c r="I736" cm="1">
        <f t="array" ref="I736">_xlfn.STDEV.P(IF(Table1[IndicatorCode]=Table1[[#This Row],[IndicatorCode]],Table1[value]))</f>
        <v>1.1047979755287356</v>
      </c>
      <c r="J736">
        <f>(Table1[[#This Row],[value]] - Table1[[#This Row],[mean]]) / Table1[[#This Row],[std_dev]]</f>
        <v>0.22048351733552002</v>
      </c>
      <c r="K736">
        <f>AVERAGEIF(Table1[CountryCode],Table1[[#This Row],[CountryCode]],Table1[z-score])</f>
        <v>0.50130467154040237</v>
      </c>
      <c r="L736" t="e">
        <f>VLOOKUP(Table1[[#This Row],[CountryCode]],[1]!Table1[#All],1,FALSE)</f>
        <v>#REF!</v>
      </c>
    </row>
    <row r="737" spans="1:12" hidden="1" x14ac:dyDescent="0.3">
      <c r="A737" t="s">
        <v>53</v>
      </c>
      <c r="B737" t="s">
        <v>54</v>
      </c>
      <c r="C737" t="s">
        <v>9</v>
      </c>
      <c r="D737" t="s">
        <v>10</v>
      </c>
      <c r="E737">
        <v>2006</v>
      </c>
      <c r="F737" s="1">
        <v>100</v>
      </c>
      <c r="G737">
        <v>2000</v>
      </c>
      <c r="H737">
        <f>AVERAGEIFS(Table1[value],Table1[IndicatorCode],Table1[[#This Row],[IndicatorCode]])</f>
        <v>99.756410256410263</v>
      </c>
      <c r="I737" cm="1">
        <f t="array" ref="I737">_xlfn.STDEV.P(IF(Table1[IndicatorCode]=Table1[[#This Row],[IndicatorCode]],Table1[value]))</f>
        <v>1.1047979755287356</v>
      </c>
      <c r="J737">
        <f>(Table1[[#This Row],[value]] - Table1[[#This Row],[mean]]) / Table1[[#This Row],[std_dev]]</f>
        <v>0.22048351733552002</v>
      </c>
      <c r="K737">
        <f>AVERAGEIF(Table1[CountryCode],Table1[[#This Row],[CountryCode]],Table1[z-score])</f>
        <v>0.50130467154040237</v>
      </c>
      <c r="L737" t="e">
        <f>VLOOKUP(Table1[[#This Row],[CountryCode]],[1]!Table1[#All],1,FALSE)</f>
        <v>#REF!</v>
      </c>
    </row>
    <row r="738" spans="1:12" hidden="1" x14ac:dyDescent="0.3">
      <c r="A738" t="s">
        <v>53</v>
      </c>
      <c r="B738" t="s">
        <v>54</v>
      </c>
      <c r="C738" t="s">
        <v>9</v>
      </c>
      <c r="D738" t="s">
        <v>10</v>
      </c>
      <c r="E738">
        <v>2007</v>
      </c>
      <c r="F738" s="1">
        <v>100</v>
      </c>
      <c r="G738">
        <v>2010</v>
      </c>
      <c r="H738">
        <f>AVERAGEIFS(Table1[value],Table1[IndicatorCode],Table1[[#This Row],[IndicatorCode]])</f>
        <v>99.756410256410263</v>
      </c>
      <c r="I738" cm="1">
        <f t="array" ref="I738">_xlfn.STDEV.P(IF(Table1[IndicatorCode]=Table1[[#This Row],[IndicatorCode]],Table1[value]))</f>
        <v>1.1047979755287356</v>
      </c>
      <c r="J738">
        <f>(Table1[[#This Row],[value]] - Table1[[#This Row],[mean]]) / Table1[[#This Row],[std_dev]]</f>
        <v>0.22048351733552002</v>
      </c>
      <c r="K738">
        <f>AVERAGEIF(Table1[CountryCode],Table1[[#This Row],[CountryCode]],Table1[z-score])</f>
        <v>0.50130467154040237</v>
      </c>
      <c r="L738" t="e">
        <f>VLOOKUP(Table1[[#This Row],[CountryCode]],[1]!Table1[#All],1,FALSE)</f>
        <v>#REF!</v>
      </c>
    </row>
    <row r="739" spans="1:12" hidden="1" x14ac:dyDescent="0.3">
      <c r="A739" t="s">
        <v>53</v>
      </c>
      <c r="B739" t="s">
        <v>54</v>
      </c>
      <c r="C739" t="s">
        <v>9</v>
      </c>
      <c r="D739" t="s">
        <v>10</v>
      </c>
      <c r="E739">
        <v>2008</v>
      </c>
      <c r="F739" s="1">
        <v>100</v>
      </c>
      <c r="G739">
        <v>2010</v>
      </c>
      <c r="H739">
        <f>AVERAGEIFS(Table1[value],Table1[IndicatorCode],Table1[[#This Row],[IndicatorCode]])</f>
        <v>99.756410256410263</v>
      </c>
      <c r="I739" cm="1">
        <f t="array" ref="I739">_xlfn.STDEV.P(IF(Table1[IndicatorCode]=Table1[[#This Row],[IndicatorCode]],Table1[value]))</f>
        <v>1.1047979755287356</v>
      </c>
      <c r="J739">
        <f>(Table1[[#This Row],[value]] - Table1[[#This Row],[mean]]) / Table1[[#This Row],[std_dev]]</f>
        <v>0.22048351733552002</v>
      </c>
      <c r="K739">
        <f>AVERAGEIF(Table1[CountryCode],Table1[[#This Row],[CountryCode]],Table1[z-score])</f>
        <v>0.50130467154040237</v>
      </c>
      <c r="L739" t="e">
        <f>VLOOKUP(Table1[[#This Row],[CountryCode]],[1]!Table1[#All],1,FALSE)</f>
        <v>#REF!</v>
      </c>
    </row>
    <row r="740" spans="1:12" hidden="1" x14ac:dyDescent="0.3">
      <c r="A740" t="s">
        <v>53</v>
      </c>
      <c r="B740" t="s">
        <v>54</v>
      </c>
      <c r="C740" t="s">
        <v>9</v>
      </c>
      <c r="D740" t="s">
        <v>10</v>
      </c>
      <c r="E740">
        <v>2009</v>
      </c>
      <c r="F740" s="1">
        <v>100</v>
      </c>
      <c r="G740">
        <v>2010</v>
      </c>
      <c r="H740">
        <f>AVERAGEIFS(Table1[value],Table1[IndicatorCode],Table1[[#This Row],[IndicatorCode]])</f>
        <v>99.756410256410263</v>
      </c>
      <c r="I740" cm="1">
        <f t="array" ref="I740">_xlfn.STDEV.P(IF(Table1[IndicatorCode]=Table1[[#This Row],[IndicatorCode]],Table1[value]))</f>
        <v>1.1047979755287356</v>
      </c>
      <c r="J740">
        <f>(Table1[[#This Row],[value]] - Table1[[#This Row],[mean]]) / Table1[[#This Row],[std_dev]]</f>
        <v>0.22048351733552002</v>
      </c>
      <c r="K740">
        <f>AVERAGEIF(Table1[CountryCode],Table1[[#This Row],[CountryCode]],Table1[z-score])</f>
        <v>0.50130467154040237</v>
      </c>
      <c r="L740" t="e">
        <f>VLOOKUP(Table1[[#This Row],[CountryCode]],[1]!Table1[#All],1,FALSE)</f>
        <v>#REF!</v>
      </c>
    </row>
    <row r="741" spans="1:12" hidden="1" x14ac:dyDescent="0.3">
      <c r="A741" t="s">
        <v>53</v>
      </c>
      <c r="B741" t="s">
        <v>54</v>
      </c>
      <c r="C741" t="s">
        <v>9</v>
      </c>
      <c r="D741" t="s">
        <v>10</v>
      </c>
      <c r="E741">
        <v>2010</v>
      </c>
      <c r="F741" s="1">
        <v>100</v>
      </c>
      <c r="G741">
        <v>2010</v>
      </c>
      <c r="H741">
        <f>AVERAGEIFS(Table1[value],Table1[IndicatorCode],Table1[[#This Row],[IndicatorCode]])</f>
        <v>99.756410256410263</v>
      </c>
      <c r="I741" cm="1">
        <f t="array" ref="I741">_xlfn.STDEV.P(IF(Table1[IndicatorCode]=Table1[[#This Row],[IndicatorCode]],Table1[value]))</f>
        <v>1.1047979755287356</v>
      </c>
      <c r="J741">
        <f>(Table1[[#This Row],[value]] - Table1[[#This Row],[mean]]) / Table1[[#This Row],[std_dev]]</f>
        <v>0.22048351733552002</v>
      </c>
      <c r="K741">
        <f>AVERAGEIF(Table1[CountryCode],Table1[[#This Row],[CountryCode]],Table1[z-score])</f>
        <v>0.50130467154040237</v>
      </c>
      <c r="L741" t="e">
        <f>VLOOKUP(Table1[[#This Row],[CountryCode]],[1]!Table1[#All],1,FALSE)</f>
        <v>#REF!</v>
      </c>
    </row>
    <row r="742" spans="1:12" hidden="1" x14ac:dyDescent="0.3">
      <c r="A742" t="s">
        <v>53</v>
      </c>
      <c r="B742" t="s">
        <v>54</v>
      </c>
      <c r="C742" t="s">
        <v>9</v>
      </c>
      <c r="D742" t="s">
        <v>10</v>
      </c>
      <c r="E742">
        <v>2011</v>
      </c>
      <c r="F742" s="1">
        <v>100</v>
      </c>
      <c r="G742">
        <v>2010</v>
      </c>
      <c r="H742">
        <f>AVERAGEIFS(Table1[value],Table1[IndicatorCode],Table1[[#This Row],[IndicatorCode]])</f>
        <v>99.756410256410263</v>
      </c>
      <c r="I742" cm="1">
        <f t="array" ref="I742">_xlfn.STDEV.P(IF(Table1[IndicatorCode]=Table1[[#This Row],[IndicatorCode]],Table1[value]))</f>
        <v>1.1047979755287356</v>
      </c>
      <c r="J742">
        <f>(Table1[[#This Row],[value]] - Table1[[#This Row],[mean]]) / Table1[[#This Row],[std_dev]]</f>
        <v>0.22048351733552002</v>
      </c>
      <c r="K742">
        <f>AVERAGEIF(Table1[CountryCode],Table1[[#This Row],[CountryCode]],Table1[z-score])</f>
        <v>0.50130467154040237</v>
      </c>
      <c r="L742" t="e">
        <f>VLOOKUP(Table1[[#This Row],[CountryCode]],[1]!Table1[#All],1,FALSE)</f>
        <v>#REF!</v>
      </c>
    </row>
    <row r="743" spans="1:12" hidden="1" x14ac:dyDescent="0.3">
      <c r="A743" t="s">
        <v>53</v>
      </c>
      <c r="B743" t="s">
        <v>54</v>
      </c>
      <c r="C743" t="s">
        <v>9</v>
      </c>
      <c r="D743" t="s">
        <v>10</v>
      </c>
      <c r="E743">
        <v>2012</v>
      </c>
      <c r="F743" s="1">
        <v>100</v>
      </c>
      <c r="G743">
        <v>2010</v>
      </c>
      <c r="H743">
        <f>AVERAGEIFS(Table1[value],Table1[IndicatorCode],Table1[[#This Row],[IndicatorCode]])</f>
        <v>99.756410256410263</v>
      </c>
      <c r="I743" cm="1">
        <f t="array" ref="I743">_xlfn.STDEV.P(IF(Table1[IndicatorCode]=Table1[[#This Row],[IndicatorCode]],Table1[value]))</f>
        <v>1.1047979755287356</v>
      </c>
      <c r="J743">
        <f>(Table1[[#This Row],[value]] - Table1[[#This Row],[mean]]) / Table1[[#This Row],[std_dev]]</f>
        <v>0.22048351733552002</v>
      </c>
      <c r="K743">
        <f>AVERAGEIF(Table1[CountryCode],Table1[[#This Row],[CountryCode]],Table1[z-score])</f>
        <v>0.50130467154040237</v>
      </c>
      <c r="L743" t="e">
        <f>VLOOKUP(Table1[[#This Row],[CountryCode]],[1]!Table1[#All],1,FALSE)</f>
        <v>#REF!</v>
      </c>
    </row>
    <row r="744" spans="1:12" hidden="1" x14ac:dyDescent="0.3">
      <c r="A744" t="s">
        <v>53</v>
      </c>
      <c r="B744" t="s">
        <v>54</v>
      </c>
      <c r="C744" t="s">
        <v>9</v>
      </c>
      <c r="D744" t="s">
        <v>10</v>
      </c>
      <c r="E744">
        <v>2013</v>
      </c>
      <c r="F744" s="1">
        <v>100</v>
      </c>
      <c r="G744">
        <v>2010</v>
      </c>
      <c r="H744">
        <f>AVERAGEIFS(Table1[value],Table1[IndicatorCode],Table1[[#This Row],[IndicatorCode]])</f>
        <v>99.756410256410263</v>
      </c>
      <c r="I744" cm="1">
        <f t="array" ref="I744">_xlfn.STDEV.P(IF(Table1[IndicatorCode]=Table1[[#This Row],[IndicatorCode]],Table1[value]))</f>
        <v>1.1047979755287356</v>
      </c>
      <c r="J744">
        <f>(Table1[[#This Row],[value]] - Table1[[#This Row],[mean]]) / Table1[[#This Row],[std_dev]]</f>
        <v>0.22048351733552002</v>
      </c>
      <c r="K744">
        <f>AVERAGEIF(Table1[CountryCode],Table1[[#This Row],[CountryCode]],Table1[z-score])</f>
        <v>0.50130467154040237</v>
      </c>
      <c r="L744" t="e">
        <f>VLOOKUP(Table1[[#This Row],[CountryCode]],[1]!Table1[#All],1,FALSE)</f>
        <v>#REF!</v>
      </c>
    </row>
    <row r="745" spans="1:12" hidden="1" x14ac:dyDescent="0.3">
      <c r="A745" t="s">
        <v>53</v>
      </c>
      <c r="B745" t="s">
        <v>54</v>
      </c>
      <c r="C745" t="s">
        <v>9</v>
      </c>
      <c r="D745" t="s">
        <v>10</v>
      </c>
      <c r="E745">
        <v>2014</v>
      </c>
      <c r="F745" s="1">
        <v>100</v>
      </c>
      <c r="G745">
        <v>2010</v>
      </c>
      <c r="H745">
        <f>AVERAGEIFS(Table1[value],Table1[IndicatorCode],Table1[[#This Row],[IndicatorCode]])</f>
        <v>99.756410256410263</v>
      </c>
      <c r="I745" cm="1">
        <f t="array" ref="I745">_xlfn.STDEV.P(IF(Table1[IndicatorCode]=Table1[[#This Row],[IndicatorCode]],Table1[value]))</f>
        <v>1.1047979755287356</v>
      </c>
      <c r="J745">
        <f>(Table1[[#This Row],[value]] - Table1[[#This Row],[mean]]) / Table1[[#This Row],[std_dev]]</f>
        <v>0.22048351733552002</v>
      </c>
      <c r="K745">
        <f>AVERAGEIF(Table1[CountryCode],Table1[[#This Row],[CountryCode]],Table1[z-score])</f>
        <v>0.50130467154040237</v>
      </c>
      <c r="L745" t="e">
        <f>VLOOKUP(Table1[[#This Row],[CountryCode]],[1]!Table1[#All],1,FALSE)</f>
        <v>#REF!</v>
      </c>
    </row>
    <row r="746" spans="1:12" hidden="1" x14ac:dyDescent="0.3">
      <c r="A746" t="s">
        <v>53</v>
      </c>
      <c r="B746" t="s">
        <v>54</v>
      </c>
      <c r="C746" t="s">
        <v>9</v>
      </c>
      <c r="D746" t="s">
        <v>10</v>
      </c>
      <c r="E746">
        <v>2015</v>
      </c>
      <c r="F746" s="1">
        <v>100</v>
      </c>
      <c r="G746">
        <v>2010</v>
      </c>
      <c r="H746">
        <f>AVERAGEIFS(Table1[value],Table1[IndicatorCode],Table1[[#This Row],[IndicatorCode]])</f>
        <v>99.756410256410263</v>
      </c>
      <c r="I746" cm="1">
        <f t="array" ref="I746">_xlfn.STDEV.P(IF(Table1[IndicatorCode]=Table1[[#This Row],[IndicatorCode]],Table1[value]))</f>
        <v>1.1047979755287356</v>
      </c>
      <c r="J746">
        <f>(Table1[[#This Row],[value]] - Table1[[#This Row],[mean]]) / Table1[[#This Row],[std_dev]]</f>
        <v>0.22048351733552002</v>
      </c>
      <c r="K746">
        <f>AVERAGEIF(Table1[CountryCode],Table1[[#This Row],[CountryCode]],Table1[z-score])</f>
        <v>0.50130467154040237</v>
      </c>
      <c r="L746" t="e">
        <f>VLOOKUP(Table1[[#This Row],[CountryCode]],[1]!Table1[#All],1,FALSE)</f>
        <v>#REF!</v>
      </c>
    </row>
    <row r="747" spans="1:12" hidden="1" x14ac:dyDescent="0.3">
      <c r="A747" t="s">
        <v>53</v>
      </c>
      <c r="B747" t="s">
        <v>54</v>
      </c>
      <c r="C747" t="s">
        <v>9</v>
      </c>
      <c r="D747" t="s">
        <v>10</v>
      </c>
      <c r="E747">
        <v>2016</v>
      </c>
      <c r="F747" s="1">
        <v>100</v>
      </c>
      <c r="G747">
        <v>2010</v>
      </c>
      <c r="H747">
        <f>AVERAGEIFS(Table1[value],Table1[IndicatorCode],Table1[[#This Row],[IndicatorCode]])</f>
        <v>99.756410256410263</v>
      </c>
      <c r="I747" cm="1">
        <f t="array" ref="I747">_xlfn.STDEV.P(IF(Table1[IndicatorCode]=Table1[[#This Row],[IndicatorCode]],Table1[value]))</f>
        <v>1.1047979755287356</v>
      </c>
      <c r="J747">
        <f>(Table1[[#This Row],[value]] - Table1[[#This Row],[mean]]) / Table1[[#This Row],[std_dev]]</f>
        <v>0.22048351733552002</v>
      </c>
      <c r="K747">
        <f>AVERAGEIF(Table1[CountryCode],Table1[[#This Row],[CountryCode]],Table1[z-score])</f>
        <v>0.50130467154040237</v>
      </c>
      <c r="L747" t="e">
        <f>VLOOKUP(Table1[[#This Row],[CountryCode]],[1]!Table1[#All],1,FALSE)</f>
        <v>#REF!</v>
      </c>
    </row>
    <row r="748" spans="1:12" hidden="1" x14ac:dyDescent="0.3">
      <c r="A748" t="s">
        <v>53</v>
      </c>
      <c r="B748" t="s">
        <v>54</v>
      </c>
      <c r="C748" t="s">
        <v>9</v>
      </c>
      <c r="D748" t="s">
        <v>10</v>
      </c>
      <c r="E748">
        <v>2017</v>
      </c>
      <c r="F748" s="1">
        <v>100</v>
      </c>
      <c r="G748">
        <v>2020</v>
      </c>
      <c r="H748">
        <f>AVERAGEIFS(Table1[value],Table1[IndicatorCode],Table1[[#This Row],[IndicatorCode]])</f>
        <v>99.756410256410263</v>
      </c>
      <c r="I748" cm="1">
        <f t="array" ref="I748">_xlfn.STDEV.P(IF(Table1[IndicatorCode]=Table1[[#This Row],[IndicatorCode]],Table1[value]))</f>
        <v>1.1047979755287356</v>
      </c>
      <c r="J748">
        <f>(Table1[[#This Row],[value]] - Table1[[#This Row],[mean]]) / Table1[[#This Row],[std_dev]]</f>
        <v>0.22048351733552002</v>
      </c>
      <c r="K748">
        <f>AVERAGEIF(Table1[CountryCode],Table1[[#This Row],[CountryCode]],Table1[z-score])</f>
        <v>0.50130467154040237</v>
      </c>
      <c r="L748" t="e">
        <f>VLOOKUP(Table1[[#This Row],[CountryCode]],[1]!Table1[#All],1,FALSE)</f>
        <v>#REF!</v>
      </c>
    </row>
    <row r="749" spans="1:12" hidden="1" x14ac:dyDescent="0.3">
      <c r="A749" t="s">
        <v>53</v>
      </c>
      <c r="B749" t="s">
        <v>54</v>
      </c>
      <c r="C749" t="s">
        <v>9</v>
      </c>
      <c r="D749" t="s">
        <v>10</v>
      </c>
      <c r="E749">
        <v>2018</v>
      </c>
      <c r="F749" s="1">
        <v>100</v>
      </c>
      <c r="G749">
        <v>2020</v>
      </c>
      <c r="H749">
        <f>AVERAGEIFS(Table1[value],Table1[IndicatorCode],Table1[[#This Row],[IndicatorCode]])</f>
        <v>99.756410256410263</v>
      </c>
      <c r="I749" cm="1">
        <f t="array" ref="I749">_xlfn.STDEV.P(IF(Table1[IndicatorCode]=Table1[[#This Row],[IndicatorCode]],Table1[value]))</f>
        <v>1.1047979755287356</v>
      </c>
      <c r="J749">
        <f>(Table1[[#This Row],[value]] - Table1[[#This Row],[mean]]) / Table1[[#This Row],[std_dev]]</f>
        <v>0.22048351733552002</v>
      </c>
      <c r="K749">
        <f>AVERAGEIF(Table1[CountryCode],Table1[[#This Row],[CountryCode]],Table1[z-score])</f>
        <v>0.50130467154040237</v>
      </c>
      <c r="L749" t="e">
        <f>VLOOKUP(Table1[[#This Row],[CountryCode]],[1]!Table1[#All],1,FALSE)</f>
        <v>#REF!</v>
      </c>
    </row>
    <row r="750" spans="1:12" hidden="1" x14ac:dyDescent="0.3">
      <c r="A750" t="s">
        <v>53</v>
      </c>
      <c r="B750" t="s">
        <v>54</v>
      </c>
      <c r="C750" t="s">
        <v>9</v>
      </c>
      <c r="D750" t="s">
        <v>10</v>
      </c>
      <c r="E750">
        <v>2019</v>
      </c>
      <c r="F750" s="1">
        <v>100</v>
      </c>
      <c r="G750">
        <v>2020</v>
      </c>
      <c r="H750">
        <f>AVERAGEIFS(Table1[value],Table1[IndicatorCode],Table1[[#This Row],[IndicatorCode]])</f>
        <v>99.756410256410263</v>
      </c>
      <c r="I750" cm="1">
        <f t="array" ref="I750">_xlfn.STDEV.P(IF(Table1[IndicatorCode]=Table1[[#This Row],[IndicatorCode]],Table1[value]))</f>
        <v>1.1047979755287356</v>
      </c>
      <c r="J750">
        <f>(Table1[[#This Row],[value]] - Table1[[#This Row],[mean]]) / Table1[[#This Row],[std_dev]]</f>
        <v>0.22048351733552002</v>
      </c>
      <c r="K750">
        <f>AVERAGEIF(Table1[CountryCode],Table1[[#This Row],[CountryCode]],Table1[z-score])</f>
        <v>0.50130467154040237</v>
      </c>
      <c r="L750" t="e">
        <f>VLOOKUP(Table1[[#This Row],[CountryCode]],[1]!Table1[#All],1,FALSE)</f>
        <v>#REF!</v>
      </c>
    </row>
    <row r="751" spans="1:12" x14ac:dyDescent="0.3">
      <c r="A751" t="s">
        <v>53</v>
      </c>
      <c r="B751" t="s">
        <v>54</v>
      </c>
      <c r="C751" t="s">
        <v>9</v>
      </c>
      <c r="D751" t="s">
        <v>10</v>
      </c>
      <c r="E751">
        <v>2020</v>
      </c>
      <c r="F751" s="1">
        <v>100</v>
      </c>
      <c r="G751">
        <v>2020</v>
      </c>
      <c r="H751">
        <f>AVERAGEIFS(Table1[value],Table1[IndicatorCode],Table1[[#This Row],[IndicatorCode]])</f>
        <v>99.756410256410263</v>
      </c>
      <c r="I751" cm="1">
        <f t="array" ref="I751">_xlfn.STDEV.P(IF(Table1[IndicatorCode]=Table1[[#This Row],[IndicatorCode]],Table1[value]))</f>
        <v>1.1047979755287356</v>
      </c>
      <c r="J751">
        <f>(Table1[[#This Row],[value]] - Table1[[#This Row],[mean]]) / Table1[[#This Row],[std_dev]]</f>
        <v>0.22048351733552002</v>
      </c>
      <c r="K751">
        <f>AVERAGEIF(Table1[CountryCode],Table1[[#This Row],[CountryCode]],Table1[z-score])</f>
        <v>0.50130467154040237</v>
      </c>
    </row>
    <row r="752" spans="1:12" hidden="1" x14ac:dyDescent="0.3">
      <c r="A752" t="s">
        <v>53</v>
      </c>
      <c r="B752" t="s">
        <v>54</v>
      </c>
      <c r="C752" t="s">
        <v>9</v>
      </c>
      <c r="D752" t="s">
        <v>10</v>
      </c>
      <c r="E752">
        <v>2021</v>
      </c>
      <c r="F752" s="1">
        <v>100</v>
      </c>
      <c r="G752">
        <v>1990</v>
      </c>
      <c r="H752">
        <f>AVERAGEIFS(Table1[value],Table1[IndicatorCode],Table1[[#This Row],[IndicatorCode]])</f>
        <v>99.756410256410263</v>
      </c>
      <c r="I752" cm="1">
        <f t="array" ref="I752">_xlfn.STDEV.P(IF(Table1[IndicatorCode]=Table1[[#This Row],[IndicatorCode]],Table1[value]))</f>
        <v>1.1047979755287356</v>
      </c>
      <c r="J752">
        <f>(Table1[[#This Row],[value]] - Table1[[#This Row],[mean]]) / Table1[[#This Row],[std_dev]]</f>
        <v>0.22048351733552002</v>
      </c>
      <c r="K752">
        <f>AVERAGEIF(Table1[CountryCode],Table1[[#This Row],[CountryCode]],Table1[z-score])</f>
        <v>0.50130467154040237</v>
      </c>
      <c r="L752" t="e">
        <f>VLOOKUP(Table1[[#This Row],[CountryCode]],[1]!Table1[#All],1,FALSE)</f>
        <v>#REF!</v>
      </c>
    </row>
    <row r="753" spans="1:12" hidden="1" x14ac:dyDescent="0.3">
      <c r="A753" t="s">
        <v>53</v>
      </c>
      <c r="B753" t="s">
        <v>54</v>
      </c>
      <c r="C753" t="s">
        <v>9</v>
      </c>
      <c r="D753" t="s">
        <v>10</v>
      </c>
      <c r="E753">
        <v>2022</v>
      </c>
      <c r="F753" s="1">
        <v>100</v>
      </c>
      <c r="G753">
        <v>1990</v>
      </c>
      <c r="H753">
        <f>AVERAGEIFS(Table1[value],Table1[IndicatorCode],Table1[[#This Row],[IndicatorCode]])</f>
        <v>99.756410256410263</v>
      </c>
      <c r="I753" cm="1">
        <f t="array" ref="I753">_xlfn.STDEV.P(IF(Table1[IndicatorCode]=Table1[[#This Row],[IndicatorCode]],Table1[value]))</f>
        <v>1.1047979755287356</v>
      </c>
      <c r="J753">
        <f>(Table1[[#This Row],[value]] - Table1[[#This Row],[mean]]) / Table1[[#This Row],[std_dev]]</f>
        <v>0.22048351733552002</v>
      </c>
      <c r="K753">
        <f>AVERAGEIF(Table1[CountryCode],Table1[[#This Row],[CountryCode]],Table1[z-score])</f>
        <v>0.50130467154040237</v>
      </c>
      <c r="L753" t="e">
        <f>VLOOKUP(Table1[[#This Row],[CountryCode]],[1]!Table1[#All],1,FALSE)</f>
        <v>#REF!</v>
      </c>
    </row>
    <row r="754" spans="1:12" hidden="1" x14ac:dyDescent="0.3">
      <c r="A754" t="s">
        <v>53</v>
      </c>
      <c r="B754" t="s">
        <v>54</v>
      </c>
      <c r="C754" t="s">
        <v>9</v>
      </c>
      <c r="D754" t="s">
        <v>10</v>
      </c>
      <c r="E754">
        <v>2023</v>
      </c>
      <c r="F754" s="1">
        <v>100</v>
      </c>
      <c r="G754">
        <v>1990</v>
      </c>
      <c r="H754">
        <f>AVERAGEIFS(Table1[value],Table1[IndicatorCode],Table1[[#This Row],[IndicatorCode]])</f>
        <v>99.756410256410263</v>
      </c>
      <c r="I754" cm="1">
        <f t="array" ref="I754">_xlfn.STDEV.P(IF(Table1[IndicatorCode]=Table1[[#This Row],[IndicatorCode]],Table1[value]))</f>
        <v>1.1047979755287356</v>
      </c>
      <c r="J754">
        <f>(Table1[[#This Row],[value]] - Table1[[#This Row],[mean]]) / Table1[[#This Row],[std_dev]]</f>
        <v>0.22048351733552002</v>
      </c>
      <c r="K754">
        <f>AVERAGEIF(Table1[CountryCode],Table1[[#This Row],[CountryCode]],Table1[z-score])</f>
        <v>0.50130467154040237</v>
      </c>
      <c r="L754" t="e">
        <f>VLOOKUP(Table1[[#This Row],[CountryCode]],[1]!Table1[#All],1,FALSE)</f>
        <v>#REF!</v>
      </c>
    </row>
    <row r="755" spans="1:12" hidden="1" x14ac:dyDescent="0.3">
      <c r="A755" t="s">
        <v>55</v>
      </c>
      <c r="B755" t="s">
        <v>56</v>
      </c>
      <c r="C755" t="s">
        <v>9</v>
      </c>
      <c r="D755" t="s">
        <v>10</v>
      </c>
      <c r="E755">
        <v>1990</v>
      </c>
      <c r="F755" s="1">
        <v>100</v>
      </c>
      <c r="G755">
        <v>1990</v>
      </c>
      <c r="H755">
        <f>AVERAGEIFS(Table1[value],Table1[IndicatorCode],Table1[[#This Row],[IndicatorCode]])</f>
        <v>99.756410256410263</v>
      </c>
      <c r="I755" cm="1">
        <f t="array" ref="I755">_xlfn.STDEV.P(IF(Table1[IndicatorCode]=Table1[[#This Row],[IndicatorCode]],Table1[value]))</f>
        <v>1.1047979755287356</v>
      </c>
      <c r="J755">
        <f>(Table1[[#This Row],[value]] - Table1[[#This Row],[mean]]) / Table1[[#This Row],[std_dev]]</f>
        <v>0.22048351733552002</v>
      </c>
      <c r="K755">
        <f>AVERAGEIF(Table1[CountryCode],Table1[[#This Row],[CountryCode]],Table1[z-score])</f>
        <v>6.3697920427276927E-2</v>
      </c>
      <c r="L755" t="e">
        <f>VLOOKUP(Table1[[#This Row],[CountryCode]],[1]!Table1[#All],1,FALSE)</f>
        <v>#REF!</v>
      </c>
    </row>
    <row r="756" spans="1:12" hidden="1" x14ac:dyDescent="0.3">
      <c r="A756" t="s">
        <v>55</v>
      </c>
      <c r="B756" t="s">
        <v>56</v>
      </c>
      <c r="C756" t="s">
        <v>9</v>
      </c>
      <c r="D756" t="s">
        <v>10</v>
      </c>
      <c r="E756">
        <v>1991</v>
      </c>
      <c r="F756" s="1">
        <v>100</v>
      </c>
      <c r="G756">
        <v>1990</v>
      </c>
      <c r="H756">
        <f>AVERAGEIFS(Table1[value],Table1[IndicatorCode],Table1[[#This Row],[IndicatorCode]])</f>
        <v>99.756410256410263</v>
      </c>
      <c r="I756" cm="1">
        <f t="array" ref="I756">_xlfn.STDEV.P(IF(Table1[IndicatorCode]=Table1[[#This Row],[IndicatorCode]],Table1[value]))</f>
        <v>1.1047979755287356</v>
      </c>
      <c r="J756">
        <f>(Table1[[#This Row],[value]] - Table1[[#This Row],[mean]]) / Table1[[#This Row],[std_dev]]</f>
        <v>0.22048351733552002</v>
      </c>
      <c r="K756">
        <f>AVERAGEIF(Table1[CountryCode],Table1[[#This Row],[CountryCode]],Table1[z-score])</f>
        <v>6.3697920427276927E-2</v>
      </c>
      <c r="L756" t="e">
        <f>VLOOKUP(Table1[[#This Row],[CountryCode]],[1]!Table1[#All],1,FALSE)</f>
        <v>#REF!</v>
      </c>
    </row>
    <row r="757" spans="1:12" hidden="1" x14ac:dyDescent="0.3">
      <c r="A757" t="s">
        <v>55</v>
      </c>
      <c r="B757" t="s">
        <v>56</v>
      </c>
      <c r="C757" t="s">
        <v>9</v>
      </c>
      <c r="D757" t="s">
        <v>10</v>
      </c>
      <c r="E757">
        <v>1992</v>
      </c>
      <c r="F757" s="1">
        <v>100</v>
      </c>
      <c r="G757">
        <v>1990</v>
      </c>
      <c r="H757">
        <f>AVERAGEIFS(Table1[value],Table1[IndicatorCode],Table1[[#This Row],[IndicatorCode]])</f>
        <v>99.756410256410263</v>
      </c>
      <c r="I757" cm="1">
        <f t="array" ref="I757">_xlfn.STDEV.P(IF(Table1[IndicatorCode]=Table1[[#This Row],[IndicatorCode]],Table1[value]))</f>
        <v>1.1047979755287356</v>
      </c>
      <c r="J757">
        <f>(Table1[[#This Row],[value]] - Table1[[#This Row],[mean]]) / Table1[[#This Row],[std_dev]]</f>
        <v>0.22048351733552002</v>
      </c>
      <c r="K757">
        <f>AVERAGEIF(Table1[CountryCode],Table1[[#This Row],[CountryCode]],Table1[z-score])</f>
        <v>6.3697920427276927E-2</v>
      </c>
      <c r="L757" t="e">
        <f>VLOOKUP(Table1[[#This Row],[CountryCode]],[1]!Table1[#All],1,FALSE)</f>
        <v>#REF!</v>
      </c>
    </row>
    <row r="758" spans="1:12" hidden="1" x14ac:dyDescent="0.3">
      <c r="A758" t="s">
        <v>55</v>
      </c>
      <c r="B758" t="s">
        <v>56</v>
      </c>
      <c r="C758" t="s">
        <v>9</v>
      </c>
      <c r="D758" t="s">
        <v>10</v>
      </c>
      <c r="E758">
        <v>1993</v>
      </c>
      <c r="F758" s="1">
        <v>100</v>
      </c>
      <c r="G758">
        <v>1990</v>
      </c>
      <c r="H758">
        <f>AVERAGEIFS(Table1[value],Table1[IndicatorCode],Table1[[#This Row],[IndicatorCode]])</f>
        <v>99.756410256410263</v>
      </c>
      <c r="I758" cm="1">
        <f t="array" ref="I758">_xlfn.STDEV.P(IF(Table1[IndicatorCode]=Table1[[#This Row],[IndicatorCode]],Table1[value]))</f>
        <v>1.1047979755287356</v>
      </c>
      <c r="J758">
        <f>(Table1[[#This Row],[value]] - Table1[[#This Row],[mean]]) / Table1[[#This Row],[std_dev]]</f>
        <v>0.22048351733552002</v>
      </c>
      <c r="K758">
        <f>AVERAGEIF(Table1[CountryCode],Table1[[#This Row],[CountryCode]],Table1[z-score])</f>
        <v>6.3697920427276927E-2</v>
      </c>
      <c r="L758" t="e">
        <f>VLOOKUP(Table1[[#This Row],[CountryCode]],[1]!Table1[#All],1,FALSE)</f>
        <v>#REF!</v>
      </c>
    </row>
    <row r="759" spans="1:12" hidden="1" x14ac:dyDescent="0.3">
      <c r="A759" t="s">
        <v>55</v>
      </c>
      <c r="B759" t="s">
        <v>56</v>
      </c>
      <c r="C759" t="s">
        <v>9</v>
      </c>
      <c r="D759" t="s">
        <v>10</v>
      </c>
      <c r="E759">
        <v>1994</v>
      </c>
      <c r="F759" s="1">
        <v>100</v>
      </c>
      <c r="G759">
        <v>1990</v>
      </c>
      <c r="H759">
        <f>AVERAGEIFS(Table1[value],Table1[IndicatorCode],Table1[[#This Row],[IndicatorCode]])</f>
        <v>99.756410256410263</v>
      </c>
      <c r="I759" cm="1">
        <f t="array" ref="I759">_xlfn.STDEV.P(IF(Table1[IndicatorCode]=Table1[[#This Row],[IndicatorCode]],Table1[value]))</f>
        <v>1.1047979755287356</v>
      </c>
      <c r="J759">
        <f>(Table1[[#This Row],[value]] - Table1[[#This Row],[mean]]) / Table1[[#This Row],[std_dev]]</f>
        <v>0.22048351733552002</v>
      </c>
      <c r="K759">
        <f>AVERAGEIF(Table1[CountryCode],Table1[[#This Row],[CountryCode]],Table1[z-score])</f>
        <v>6.3697920427276927E-2</v>
      </c>
      <c r="L759" t="e">
        <f>VLOOKUP(Table1[[#This Row],[CountryCode]],[1]!Table1[#All],1,FALSE)</f>
        <v>#REF!</v>
      </c>
    </row>
    <row r="760" spans="1:12" hidden="1" x14ac:dyDescent="0.3">
      <c r="A760" t="s">
        <v>55</v>
      </c>
      <c r="B760" t="s">
        <v>56</v>
      </c>
      <c r="C760" t="s">
        <v>9</v>
      </c>
      <c r="D760" t="s">
        <v>10</v>
      </c>
      <c r="E760">
        <v>1995</v>
      </c>
      <c r="F760" s="1">
        <v>100</v>
      </c>
      <c r="G760">
        <v>1990</v>
      </c>
      <c r="H760">
        <f>AVERAGEIFS(Table1[value],Table1[IndicatorCode],Table1[[#This Row],[IndicatorCode]])</f>
        <v>99.756410256410263</v>
      </c>
      <c r="I760" cm="1">
        <f t="array" ref="I760">_xlfn.STDEV.P(IF(Table1[IndicatorCode]=Table1[[#This Row],[IndicatorCode]],Table1[value]))</f>
        <v>1.1047979755287356</v>
      </c>
      <c r="J760">
        <f>(Table1[[#This Row],[value]] - Table1[[#This Row],[mean]]) / Table1[[#This Row],[std_dev]]</f>
        <v>0.22048351733552002</v>
      </c>
      <c r="K760">
        <f>AVERAGEIF(Table1[CountryCode],Table1[[#This Row],[CountryCode]],Table1[z-score])</f>
        <v>6.3697920427276927E-2</v>
      </c>
      <c r="L760" t="e">
        <f>VLOOKUP(Table1[[#This Row],[CountryCode]],[1]!Table1[#All],1,FALSE)</f>
        <v>#REF!</v>
      </c>
    </row>
    <row r="761" spans="1:12" hidden="1" x14ac:dyDescent="0.3">
      <c r="A761" t="s">
        <v>55</v>
      </c>
      <c r="B761" t="s">
        <v>56</v>
      </c>
      <c r="C761" t="s">
        <v>9</v>
      </c>
      <c r="D761" t="s">
        <v>10</v>
      </c>
      <c r="E761">
        <v>1996</v>
      </c>
      <c r="F761" s="1">
        <v>100</v>
      </c>
      <c r="G761">
        <v>1990</v>
      </c>
      <c r="H761">
        <f>AVERAGEIFS(Table1[value],Table1[IndicatorCode],Table1[[#This Row],[IndicatorCode]])</f>
        <v>99.756410256410263</v>
      </c>
      <c r="I761" cm="1">
        <f t="array" ref="I761">_xlfn.STDEV.P(IF(Table1[IndicatorCode]=Table1[[#This Row],[IndicatorCode]],Table1[value]))</f>
        <v>1.1047979755287356</v>
      </c>
      <c r="J761">
        <f>(Table1[[#This Row],[value]] - Table1[[#This Row],[mean]]) / Table1[[#This Row],[std_dev]]</f>
        <v>0.22048351733552002</v>
      </c>
      <c r="K761">
        <f>AVERAGEIF(Table1[CountryCode],Table1[[#This Row],[CountryCode]],Table1[z-score])</f>
        <v>6.3697920427276927E-2</v>
      </c>
      <c r="L761" t="e">
        <f>VLOOKUP(Table1[[#This Row],[CountryCode]],[1]!Table1[#All],1,FALSE)</f>
        <v>#REF!</v>
      </c>
    </row>
    <row r="762" spans="1:12" hidden="1" x14ac:dyDescent="0.3">
      <c r="A762" t="s">
        <v>55</v>
      </c>
      <c r="B762" t="s">
        <v>56</v>
      </c>
      <c r="C762" t="s">
        <v>9</v>
      </c>
      <c r="D762" t="s">
        <v>10</v>
      </c>
      <c r="E762">
        <v>1997</v>
      </c>
      <c r="F762" s="1">
        <v>100</v>
      </c>
      <c r="G762">
        <v>2000</v>
      </c>
      <c r="H762">
        <f>AVERAGEIFS(Table1[value],Table1[IndicatorCode],Table1[[#This Row],[IndicatorCode]])</f>
        <v>99.756410256410263</v>
      </c>
      <c r="I762" cm="1">
        <f t="array" ref="I762">_xlfn.STDEV.P(IF(Table1[IndicatorCode]=Table1[[#This Row],[IndicatorCode]],Table1[value]))</f>
        <v>1.1047979755287356</v>
      </c>
      <c r="J762">
        <f>(Table1[[#This Row],[value]] - Table1[[#This Row],[mean]]) / Table1[[#This Row],[std_dev]]</f>
        <v>0.22048351733552002</v>
      </c>
      <c r="K762">
        <f>AVERAGEIF(Table1[CountryCode],Table1[[#This Row],[CountryCode]],Table1[z-score])</f>
        <v>6.3697920427276927E-2</v>
      </c>
      <c r="L762" t="e">
        <f>VLOOKUP(Table1[[#This Row],[CountryCode]],[1]!Table1[#All],1,FALSE)</f>
        <v>#REF!</v>
      </c>
    </row>
    <row r="763" spans="1:12" hidden="1" x14ac:dyDescent="0.3">
      <c r="A763" t="s">
        <v>55</v>
      </c>
      <c r="B763" t="s">
        <v>56</v>
      </c>
      <c r="C763" t="s">
        <v>9</v>
      </c>
      <c r="D763" t="s">
        <v>10</v>
      </c>
      <c r="E763">
        <v>1998</v>
      </c>
      <c r="F763" s="1">
        <v>100</v>
      </c>
      <c r="G763">
        <v>2000</v>
      </c>
      <c r="H763">
        <f>AVERAGEIFS(Table1[value],Table1[IndicatorCode],Table1[[#This Row],[IndicatorCode]])</f>
        <v>99.756410256410263</v>
      </c>
      <c r="I763" cm="1">
        <f t="array" ref="I763">_xlfn.STDEV.P(IF(Table1[IndicatorCode]=Table1[[#This Row],[IndicatorCode]],Table1[value]))</f>
        <v>1.1047979755287356</v>
      </c>
      <c r="J763">
        <f>(Table1[[#This Row],[value]] - Table1[[#This Row],[mean]]) / Table1[[#This Row],[std_dev]]</f>
        <v>0.22048351733552002</v>
      </c>
      <c r="K763">
        <f>AVERAGEIF(Table1[CountryCode],Table1[[#This Row],[CountryCode]],Table1[z-score])</f>
        <v>6.3697920427276927E-2</v>
      </c>
      <c r="L763" t="e">
        <f>VLOOKUP(Table1[[#This Row],[CountryCode]],[1]!Table1[#All],1,FALSE)</f>
        <v>#REF!</v>
      </c>
    </row>
    <row r="764" spans="1:12" hidden="1" x14ac:dyDescent="0.3">
      <c r="A764" t="s">
        <v>55</v>
      </c>
      <c r="B764" t="s">
        <v>56</v>
      </c>
      <c r="C764" t="s">
        <v>9</v>
      </c>
      <c r="D764" t="s">
        <v>10</v>
      </c>
      <c r="E764">
        <v>1999</v>
      </c>
      <c r="F764" s="1">
        <v>100</v>
      </c>
      <c r="G764">
        <v>2000</v>
      </c>
      <c r="H764">
        <f>AVERAGEIFS(Table1[value],Table1[IndicatorCode],Table1[[#This Row],[IndicatorCode]])</f>
        <v>99.756410256410263</v>
      </c>
      <c r="I764" cm="1">
        <f t="array" ref="I764">_xlfn.STDEV.P(IF(Table1[IndicatorCode]=Table1[[#This Row],[IndicatorCode]],Table1[value]))</f>
        <v>1.1047979755287356</v>
      </c>
      <c r="J764">
        <f>(Table1[[#This Row],[value]] - Table1[[#This Row],[mean]]) / Table1[[#This Row],[std_dev]]</f>
        <v>0.22048351733552002</v>
      </c>
      <c r="K764">
        <f>AVERAGEIF(Table1[CountryCode],Table1[[#This Row],[CountryCode]],Table1[z-score])</f>
        <v>6.3697920427276927E-2</v>
      </c>
      <c r="L764" t="e">
        <f>VLOOKUP(Table1[[#This Row],[CountryCode]],[1]!Table1[#All],1,FALSE)</f>
        <v>#REF!</v>
      </c>
    </row>
    <row r="765" spans="1:12" hidden="1" x14ac:dyDescent="0.3">
      <c r="A765" t="s">
        <v>55</v>
      </c>
      <c r="B765" t="s">
        <v>56</v>
      </c>
      <c r="C765" t="s">
        <v>9</v>
      </c>
      <c r="D765" t="s">
        <v>10</v>
      </c>
      <c r="E765">
        <v>2000</v>
      </c>
      <c r="F765" s="1">
        <v>100</v>
      </c>
      <c r="G765">
        <v>2000</v>
      </c>
      <c r="H765">
        <f>AVERAGEIFS(Table1[value],Table1[IndicatorCode],Table1[[#This Row],[IndicatorCode]])</f>
        <v>99.756410256410263</v>
      </c>
      <c r="I765" cm="1">
        <f t="array" ref="I765">_xlfn.STDEV.P(IF(Table1[IndicatorCode]=Table1[[#This Row],[IndicatorCode]],Table1[value]))</f>
        <v>1.1047979755287356</v>
      </c>
      <c r="J765">
        <f>(Table1[[#This Row],[value]] - Table1[[#This Row],[mean]]) / Table1[[#This Row],[std_dev]]</f>
        <v>0.22048351733552002</v>
      </c>
      <c r="K765">
        <f>AVERAGEIF(Table1[CountryCode],Table1[[#This Row],[CountryCode]],Table1[z-score])</f>
        <v>6.3697920427276927E-2</v>
      </c>
      <c r="L765" t="e">
        <f>VLOOKUP(Table1[[#This Row],[CountryCode]],[1]!Table1[#All],1,FALSE)</f>
        <v>#REF!</v>
      </c>
    </row>
    <row r="766" spans="1:12" hidden="1" x14ac:dyDescent="0.3">
      <c r="A766" t="s">
        <v>55</v>
      </c>
      <c r="B766" t="s">
        <v>56</v>
      </c>
      <c r="C766" t="s">
        <v>9</v>
      </c>
      <c r="D766" t="s">
        <v>10</v>
      </c>
      <c r="E766">
        <v>2001</v>
      </c>
      <c r="F766" s="1">
        <v>100</v>
      </c>
      <c r="G766">
        <v>2000</v>
      </c>
      <c r="H766">
        <f>AVERAGEIFS(Table1[value],Table1[IndicatorCode],Table1[[#This Row],[IndicatorCode]])</f>
        <v>99.756410256410263</v>
      </c>
      <c r="I766" cm="1">
        <f t="array" ref="I766">_xlfn.STDEV.P(IF(Table1[IndicatorCode]=Table1[[#This Row],[IndicatorCode]],Table1[value]))</f>
        <v>1.1047979755287356</v>
      </c>
      <c r="J766">
        <f>(Table1[[#This Row],[value]] - Table1[[#This Row],[mean]]) / Table1[[#This Row],[std_dev]]</f>
        <v>0.22048351733552002</v>
      </c>
      <c r="K766">
        <f>AVERAGEIF(Table1[CountryCode],Table1[[#This Row],[CountryCode]],Table1[z-score])</f>
        <v>6.3697920427276927E-2</v>
      </c>
      <c r="L766" t="e">
        <f>VLOOKUP(Table1[[#This Row],[CountryCode]],[1]!Table1[#All],1,FALSE)</f>
        <v>#REF!</v>
      </c>
    </row>
    <row r="767" spans="1:12" hidden="1" x14ac:dyDescent="0.3">
      <c r="A767" t="s">
        <v>55</v>
      </c>
      <c r="B767" t="s">
        <v>56</v>
      </c>
      <c r="C767" t="s">
        <v>9</v>
      </c>
      <c r="D767" t="s">
        <v>10</v>
      </c>
      <c r="E767">
        <v>2002</v>
      </c>
      <c r="F767" s="1">
        <v>100</v>
      </c>
      <c r="G767">
        <v>2000</v>
      </c>
      <c r="H767">
        <f>AVERAGEIFS(Table1[value],Table1[IndicatorCode],Table1[[#This Row],[IndicatorCode]])</f>
        <v>99.756410256410263</v>
      </c>
      <c r="I767" cm="1">
        <f t="array" ref="I767">_xlfn.STDEV.P(IF(Table1[IndicatorCode]=Table1[[#This Row],[IndicatorCode]],Table1[value]))</f>
        <v>1.1047979755287356</v>
      </c>
      <c r="J767">
        <f>(Table1[[#This Row],[value]] - Table1[[#This Row],[mean]]) / Table1[[#This Row],[std_dev]]</f>
        <v>0.22048351733552002</v>
      </c>
      <c r="K767">
        <f>AVERAGEIF(Table1[CountryCode],Table1[[#This Row],[CountryCode]],Table1[z-score])</f>
        <v>6.3697920427276927E-2</v>
      </c>
      <c r="L767" t="e">
        <f>VLOOKUP(Table1[[#This Row],[CountryCode]],[1]!Table1[#All],1,FALSE)</f>
        <v>#REF!</v>
      </c>
    </row>
    <row r="768" spans="1:12" hidden="1" x14ac:dyDescent="0.3">
      <c r="A768" t="s">
        <v>55</v>
      </c>
      <c r="B768" t="s">
        <v>56</v>
      </c>
      <c r="C768" t="s">
        <v>9</v>
      </c>
      <c r="D768" t="s">
        <v>10</v>
      </c>
      <c r="E768">
        <v>2003</v>
      </c>
      <c r="F768" s="1">
        <v>100</v>
      </c>
      <c r="G768">
        <v>2000</v>
      </c>
      <c r="H768">
        <f>AVERAGEIFS(Table1[value],Table1[IndicatorCode],Table1[[#This Row],[IndicatorCode]])</f>
        <v>99.756410256410263</v>
      </c>
      <c r="I768" cm="1">
        <f t="array" ref="I768">_xlfn.STDEV.P(IF(Table1[IndicatorCode]=Table1[[#This Row],[IndicatorCode]],Table1[value]))</f>
        <v>1.1047979755287356</v>
      </c>
      <c r="J768">
        <f>(Table1[[#This Row],[value]] - Table1[[#This Row],[mean]]) / Table1[[#This Row],[std_dev]]</f>
        <v>0.22048351733552002</v>
      </c>
      <c r="K768">
        <f>AVERAGEIF(Table1[CountryCode],Table1[[#This Row],[CountryCode]],Table1[z-score])</f>
        <v>6.3697920427276927E-2</v>
      </c>
      <c r="L768" t="e">
        <f>VLOOKUP(Table1[[#This Row],[CountryCode]],[1]!Table1[#All],1,FALSE)</f>
        <v>#REF!</v>
      </c>
    </row>
    <row r="769" spans="1:12" hidden="1" x14ac:dyDescent="0.3">
      <c r="A769" t="s">
        <v>55</v>
      </c>
      <c r="B769" t="s">
        <v>56</v>
      </c>
      <c r="C769" t="s">
        <v>9</v>
      </c>
      <c r="D769" t="s">
        <v>10</v>
      </c>
      <c r="E769">
        <v>2004</v>
      </c>
      <c r="F769" s="1">
        <v>100</v>
      </c>
      <c r="G769">
        <v>2000</v>
      </c>
      <c r="H769">
        <f>AVERAGEIFS(Table1[value],Table1[IndicatorCode],Table1[[#This Row],[IndicatorCode]])</f>
        <v>99.756410256410263</v>
      </c>
      <c r="I769" cm="1">
        <f t="array" ref="I769">_xlfn.STDEV.P(IF(Table1[IndicatorCode]=Table1[[#This Row],[IndicatorCode]],Table1[value]))</f>
        <v>1.1047979755287356</v>
      </c>
      <c r="J769">
        <f>(Table1[[#This Row],[value]] - Table1[[#This Row],[mean]]) / Table1[[#This Row],[std_dev]]</f>
        <v>0.22048351733552002</v>
      </c>
      <c r="K769">
        <f>AVERAGEIF(Table1[CountryCode],Table1[[#This Row],[CountryCode]],Table1[z-score])</f>
        <v>6.3697920427276927E-2</v>
      </c>
      <c r="L769" t="e">
        <f>VLOOKUP(Table1[[#This Row],[CountryCode]],[1]!Table1[#All],1,FALSE)</f>
        <v>#REF!</v>
      </c>
    </row>
    <row r="770" spans="1:12" hidden="1" x14ac:dyDescent="0.3">
      <c r="A770" t="s">
        <v>55</v>
      </c>
      <c r="B770" t="s">
        <v>56</v>
      </c>
      <c r="C770" t="s">
        <v>9</v>
      </c>
      <c r="D770" t="s">
        <v>10</v>
      </c>
      <c r="E770">
        <v>2005</v>
      </c>
      <c r="F770" s="1">
        <v>100</v>
      </c>
      <c r="G770">
        <v>2000</v>
      </c>
      <c r="H770">
        <f>AVERAGEIFS(Table1[value],Table1[IndicatorCode],Table1[[#This Row],[IndicatorCode]])</f>
        <v>99.756410256410263</v>
      </c>
      <c r="I770" cm="1">
        <f t="array" ref="I770">_xlfn.STDEV.P(IF(Table1[IndicatorCode]=Table1[[#This Row],[IndicatorCode]],Table1[value]))</f>
        <v>1.1047979755287356</v>
      </c>
      <c r="J770">
        <f>(Table1[[#This Row],[value]] - Table1[[#This Row],[mean]]) / Table1[[#This Row],[std_dev]]</f>
        <v>0.22048351733552002</v>
      </c>
      <c r="K770">
        <f>AVERAGEIF(Table1[CountryCode],Table1[[#This Row],[CountryCode]],Table1[z-score])</f>
        <v>6.3697920427276927E-2</v>
      </c>
      <c r="L770" t="e">
        <f>VLOOKUP(Table1[[#This Row],[CountryCode]],[1]!Table1[#All],1,FALSE)</f>
        <v>#REF!</v>
      </c>
    </row>
    <row r="771" spans="1:12" hidden="1" x14ac:dyDescent="0.3">
      <c r="A771" t="s">
        <v>55</v>
      </c>
      <c r="B771" t="s">
        <v>56</v>
      </c>
      <c r="C771" t="s">
        <v>9</v>
      </c>
      <c r="D771" t="s">
        <v>10</v>
      </c>
      <c r="E771">
        <v>2006</v>
      </c>
      <c r="F771" s="1">
        <v>100</v>
      </c>
      <c r="G771">
        <v>2000</v>
      </c>
      <c r="H771">
        <f>AVERAGEIFS(Table1[value],Table1[IndicatorCode],Table1[[#This Row],[IndicatorCode]])</f>
        <v>99.756410256410263</v>
      </c>
      <c r="I771" cm="1">
        <f t="array" ref="I771">_xlfn.STDEV.P(IF(Table1[IndicatorCode]=Table1[[#This Row],[IndicatorCode]],Table1[value]))</f>
        <v>1.1047979755287356</v>
      </c>
      <c r="J771">
        <f>(Table1[[#This Row],[value]] - Table1[[#This Row],[mean]]) / Table1[[#This Row],[std_dev]]</f>
        <v>0.22048351733552002</v>
      </c>
      <c r="K771">
        <f>AVERAGEIF(Table1[CountryCode],Table1[[#This Row],[CountryCode]],Table1[z-score])</f>
        <v>6.3697920427276927E-2</v>
      </c>
      <c r="L771" t="e">
        <f>VLOOKUP(Table1[[#This Row],[CountryCode]],[1]!Table1[#All],1,FALSE)</f>
        <v>#REF!</v>
      </c>
    </row>
    <row r="772" spans="1:12" hidden="1" x14ac:dyDescent="0.3">
      <c r="A772" t="s">
        <v>55</v>
      </c>
      <c r="B772" t="s">
        <v>56</v>
      </c>
      <c r="C772" t="s">
        <v>9</v>
      </c>
      <c r="D772" t="s">
        <v>10</v>
      </c>
      <c r="E772">
        <v>2007</v>
      </c>
      <c r="F772" s="1">
        <v>100</v>
      </c>
      <c r="G772">
        <v>2010</v>
      </c>
      <c r="H772">
        <f>AVERAGEIFS(Table1[value],Table1[IndicatorCode],Table1[[#This Row],[IndicatorCode]])</f>
        <v>99.756410256410263</v>
      </c>
      <c r="I772" cm="1">
        <f t="array" ref="I772">_xlfn.STDEV.P(IF(Table1[IndicatorCode]=Table1[[#This Row],[IndicatorCode]],Table1[value]))</f>
        <v>1.1047979755287356</v>
      </c>
      <c r="J772">
        <f>(Table1[[#This Row],[value]] - Table1[[#This Row],[mean]]) / Table1[[#This Row],[std_dev]]</f>
        <v>0.22048351733552002</v>
      </c>
      <c r="K772">
        <f>AVERAGEIF(Table1[CountryCode],Table1[[#This Row],[CountryCode]],Table1[z-score])</f>
        <v>6.3697920427276927E-2</v>
      </c>
      <c r="L772" t="e">
        <f>VLOOKUP(Table1[[#This Row],[CountryCode]],[1]!Table1[#All],1,FALSE)</f>
        <v>#REF!</v>
      </c>
    </row>
    <row r="773" spans="1:12" hidden="1" x14ac:dyDescent="0.3">
      <c r="A773" t="s">
        <v>55</v>
      </c>
      <c r="B773" t="s">
        <v>56</v>
      </c>
      <c r="C773" t="s">
        <v>9</v>
      </c>
      <c r="D773" t="s">
        <v>10</v>
      </c>
      <c r="E773">
        <v>2008</v>
      </c>
      <c r="F773" s="1">
        <v>100</v>
      </c>
      <c r="G773">
        <v>2010</v>
      </c>
      <c r="H773">
        <f>AVERAGEIFS(Table1[value],Table1[IndicatorCode],Table1[[#This Row],[IndicatorCode]])</f>
        <v>99.756410256410263</v>
      </c>
      <c r="I773" cm="1">
        <f t="array" ref="I773">_xlfn.STDEV.P(IF(Table1[IndicatorCode]=Table1[[#This Row],[IndicatorCode]],Table1[value]))</f>
        <v>1.1047979755287356</v>
      </c>
      <c r="J773">
        <f>(Table1[[#This Row],[value]] - Table1[[#This Row],[mean]]) / Table1[[#This Row],[std_dev]]</f>
        <v>0.22048351733552002</v>
      </c>
      <c r="K773">
        <f>AVERAGEIF(Table1[CountryCode],Table1[[#This Row],[CountryCode]],Table1[z-score])</f>
        <v>6.3697920427276927E-2</v>
      </c>
      <c r="L773" t="e">
        <f>VLOOKUP(Table1[[#This Row],[CountryCode]],[1]!Table1[#All],1,FALSE)</f>
        <v>#REF!</v>
      </c>
    </row>
    <row r="774" spans="1:12" hidden="1" x14ac:dyDescent="0.3">
      <c r="A774" t="s">
        <v>55</v>
      </c>
      <c r="B774" t="s">
        <v>56</v>
      </c>
      <c r="C774" t="s">
        <v>9</v>
      </c>
      <c r="D774" t="s">
        <v>10</v>
      </c>
      <c r="E774">
        <v>2009</v>
      </c>
      <c r="F774" s="1">
        <v>100</v>
      </c>
      <c r="G774">
        <v>2010</v>
      </c>
      <c r="H774">
        <f>AVERAGEIFS(Table1[value],Table1[IndicatorCode],Table1[[#This Row],[IndicatorCode]])</f>
        <v>99.756410256410263</v>
      </c>
      <c r="I774" cm="1">
        <f t="array" ref="I774">_xlfn.STDEV.P(IF(Table1[IndicatorCode]=Table1[[#This Row],[IndicatorCode]],Table1[value]))</f>
        <v>1.1047979755287356</v>
      </c>
      <c r="J774">
        <f>(Table1[[#This Row],[value]] - Table1[[#This Row],[mean]]) / Table1[[#This Row],[std_dev]]</f>
        <v>0.22048351733552002</v>
      </c>
      <c r="K774">
        <f>AVERAGEIF(Table1[CountryCode],Table1[[#This Row],[CountryCode]],Table1[z-score])</f>
        <v>6.3697920427276927E-2</v>
      </c>
      <c r="L774" t="e">
        <f>VLOOKUP(Table1[[#This Row],[CountryCode]],[1]!Table1[#All],1,FALSE)</f>
        <v>#REF!</v>
      </c>
    </row>
    <row r="775" spans="1:12" hidden="1" x14ac:dyDescent="0.3">
      <c r="A775" t="s">
        <v>55</v>
      </c>
      <c r="B775" t="s">
        <v>56</v>
      </c>
      <c r="C775" t="s">
        <v>9</v>
      </c>
      <c r="D775" t="s">
        <v>10</v>
      </c>
      <c r="E775">
        <v>2010</v>
      </c>
      <c r="F775" s="1">
        <v>100</v>
      </c>
      <c r="G775">
        <v>2010</v>
      </c>
      <c r="H775">
        <f>AVERAGEIFS(Table1[value],Table1[IndicatorCode],Table1[[#This Row],[IndicatorCode]])</f>
        <v>99.756410256410263</v>
      </c>
      <c r="I775" cm="1">
        <f t="array" ref="I775">_xlfn.STDEV.P(IF(Table1[IndicatorCode]=Table1[[#This Row],[IndicatorCode]],Table1[value]))</f>
        <v>1.1047979755287356</v>
      </c>
      <c r="J775">
        <f>(Table1[[#This Row],[value]] - Table1[[#This Row],[mean]]) / Table1[[#This Row],[std_dev]]</f>
        <v>0.22048351733552002</v>
      </c>
      <c r="K775">
        <f>AVERAGEIF(Table1[CountryCode],Table1[[#This Row],[CountryCode]],Table1[z-score])</f>
        <v>6.3697920427276927E-2</v>
      </c>
      <c r="L775" t="e">
        <f>VLOOKUP(Table1[[#This Row],[CountryCode]],[1]!Table1[#All],1,FALSE)</f>
        <v>#REF!</v>
      </c>
    </row>
    <row r="776" spans="1:12" hidden="1" x14ac:dyDescent="0.3">
      <c r="A776" t="s">
        <v>55</v>
      </c>
      <c r="B776" t="s">
        <v>56</v>
      </c>
      <c r="C776" t="s">
        <v>9</v>
      </c>
      <c r="D776" t="s">
        <v>10</v>
      </c>
      <c r="E776">
        <v>2011</v>
      </c>
      <c r="F776" s="1">
        <v>100</v>
      </c>
      <c r="G776">
        <v>2010</v>
      </c>
      <c r="H776">
        <f>AVERAGEIFS(Table1[value],Table1[IndicatorCode],Table1[[#This Row],[IndicatorCode]])</f>
        <v>99.756410256410263</v>
      </c>
      <c r="I776" cm="1">
        <f t="array" ref="I776">_xlfn.STDEV.P(IF(Table1[IndicatorCode]=Table1[[#This Row],[IndicatorCode]],Table1[value]))</f>
        <v>1.1047979755287356</v>
      </c>
      <c r="J776">
        <f>(Table1[[#This Row],[value]] - Table1[[#This Row],[mean]]) / Table1[[#This Row],[std_dev]]</f>
        <v>0.22048351733552002</v>
      </c>
      <c r="K776">
        <f>AVERAGEIF(Table1[CountryCode],Table1[[#This Row],[CountryCode]],Table1[z-score])</f>
        <v>6.3697920427276927E-2</v>
      </c>
      <c r="L776" t="e">
        <f>VLOOKUP(Table1[[#This Row],[CountryCode]],[1]!Table1[#All],1,FALSE)</f>
        <v>#REF!</v>
      </c>
    </row>
    <row r="777" spans="1:12" hidden="1" x14ac:dyDescent="0.3">
      <c r="A777" t="s">
        <v>55</v>
      </c>
      <c r="B777" t="s">
        <v>56</v>
      </c>
      <c r="C777" t="s">
        <v>9</v>
      </c>
      <c r="D777" t="s">
        <v>10</v>
      </c>
      <c r="E777">
        <v>2012</v>
      </c>
      <c r="F777" s="1">
        <v>100</v>
      </c>
      <c r="G777">
        <v>2010</v>
      </c>
      <c r="H777">
        <f>AVERAGEIFS(Table1[value],Table1[IndicatorCode],Table1[[#This Row],[IndicatorCode]])</f>
        <v>99.756410256410263</v>
      </c>
      <c r="I777" cm="1">
        <f t="array" ref="I777">_xlfn.STDEV.P(IF(Table1[IndicatorCode]=Table1[[#This Row],[IndicatorCode]],Table1[value]))</f>
        <v>1.1047979755287356</v>
      </c>
      <c r="J777">
        <f>(Table1[[#This Row],[value]] - Table1[[#This Row],[mean]]) / Table1[[#This Row],[std_dev]]</f>
        <v>0.22048351733552002</v>
      </c>
      <c r="K777">
        <f>AVERAGEIF(Table1[CountryCode],Table1[[#This Row],[CountryCode]],Table1[z-score])</f>
        <v>6.3697920427276927E-2</v>
      </c>
      <c r="L777" t="e">
        <f>VLOOKUP(Table1[[#This Row],[CountryCode]],[1]!Table1[#All],1,FALSE)</f>
        <v>#REF!</v>
      </c>
    </row>
    <row r="778" spans="1:12" hidden="1" x14ac:dyDescent="0.3">
      <c r="A778" t="s">
        <v>55</v>
      </c>
      <c r="B778" t="s">
        <v>56</v>
      </c>
      <c r="C778" t="s">
        <v>9</v>
      </c>
      <c r="D778" t="s">
        <v>10</v>
      </c>
      <c r="E778">
        <v>2013</v>
      </c>
      <c r="F778" s="1">
        <v>100</v>
      </c>
      <c r="G778">
        <v>2010</v>
      </c>
      <c r="H778">
        <f>AVERAGEIFS(Table1[value],Table1[IndicatorCode],Table1[[#This Row],[IndicatorCode]])</f>
        <v>99.756410256410263</v>
      </c>
      <c r="I778" cm="1">
        <f t="array" ref="I778">_xlfn.STDEV.P(IF(Table1[IndicatorCode]=Table1[[#This Row],[IndicatorCode]],Table1[value]))</f>
        <v>1.1047979755287356</v>
      </c>
      <c r="J778">
        <f>(Table1[[#This Row],[value]] - Table1[[#This Row],[mean]]) / Table1[[#This Row],[std_dev]]</f>
        <v>0.22048351733552002</v>
      </c>
      <c r="K778">
        <f>AVERAGEIF(Table1[CountryCode],Table1[[#This Row],[CountryCode]],Table1[z-score])</f>
        <v>6.3697920427276927E-2</v>
      </c>
      <c r="L778" t="e">
        <f>VLOOKUP(Table1[[#This Row],[CountryCode]],[1]!Table1[#All],1,FALSE)</f>
        <v>#REF!</v>
      </c>
    </row>
    <row r="779" spans="1:12" hidden="1" x14ac:dyDescent="0.3">
      <c r="A779" t="s">
        <v>55</v>
      </c>
      <c r="B779" t="s">
        <v>56</v>
      </c>
      <c r="C779" t="s">
        <v>9</v>
      </c>
      <c r="D779" t="s">
        <v>10</v>
      </c>
      <c r="E779">
        <v>2014</v>
      </c>
      <c r="F779" s="1">
        <v>100</v>
      </c>
      <c r="G779">
        <v>2010</v>
      </c>
      <c r="H779">
        <f>AVERAGEIFS(Table1[value],Table1[IndicatorCode],Table1[[#This Row],[IndicatorCode]])</f>
        <v>99.756410256410263</v>
      </c>
      <c r="I779" cm="1">
        <f t="array" ref="I779">_xlfn.STDEV.P(IF(Table1[IndicatorCode]=Table1[[#This Row],[IndicatorCode]],Table1[value]))</f>
        <v>1.1047979755287356</v>
      </c>
      <c r="J779">
        <f>(Table1[[#This Row],[value]] - Table1[[#This Row],[mean]]) / Table1[[#This Row],[std_dev]]</f>
        <v>0.22048351733552002</v>
      </c>
      <c r="K779">
        <f>AVERAGEIF(Table1[CountryCode],Table1[[#This Row],[CountryCode]],Table1[z-score])</f>
        <v>6.3697920427276927E-2</v>
      </c>
      <c r="L779" t="e">
        <f>VLOOKUP(Table1[[#This Row],[CountryCode]],[1]!Table1[#All],1,FALSE)</f>
        <v>#REF!</v>
      </c>
    </row>
    <row r="780" spans="1:12" hidden="1" x14ac:dyDescent="0.3">
      <c r="A780" t="s">
        <v>55</v>
      </c>
      <c r="B780" t="s">
        <v>56</v>
      </c>
      <c r="C780" t="s">
        <v>9</v>
      </c>
      <c r="D780" t="s">
        <v>10</v>
      </c>
      <c r="E780">
        <v>2015</v>
      </c>
      <c r="F780" s="1">
        <v>100</v>
      </c>
      <c r="G780">
        <v>2010</v>
      </c>
      <c r="H780">
        <f>AVERAGEIFS(Table1[value],Table1[IndicatorCode],Table1[[#This Row],[IndicatorCode]])</f>
        <v>99.756410256410263</v>
      </c>
      <c r="I780" cm="1">
        <f t="array" ref="I780">_xlfn.STDEV.P(IF(Table1[IndicatorCode]=Table1[[#This Row],[IndicatorCode]],Table1[value]))</f>
        <v>1.1047979755287356</v>
      </c>
      <c r="J780">
        <f>(Table1[[#This Row],[value]] - Table1[[#This Row],[mean]]) / Table1[[#This Row],[std_dev]]</f>
        <v>0.22048351733552002</v>
      </c>
      <c r="K780">
        <f>AVERAGEIF(Table1[CountryCode],Table1[[#This Row],[CountryCode]],Table1[z-score])</f>
        <v>6.3697920427276927E-2</v>
      </c>
      <c r="L780" t="e">
        <f>VLOOKUP(Table1[[#This Row],[CountryCode]],[1]!Table1[#All],1,FALSE)</f>
        <v>#REF!</v>
      </c>
    </row>
    <row r="781" spans="1:12" hidden="1" x14ac:dyDescent="0.3">
      <c r="A781" t="s">
        <v>55</v>
      </c>
      <c r="B781" t="s">
        <v>56</v>
      </c>
      <c r="C781" t="s">
        <v>9</v>
      </c>
      <c r="D781" t="s">
        <v>10</v>
      </c>
      <c r="E781">
        <v>2016</v>
      </c>
      <c r="F781" s="1">
        <v>100</v>
      </c>
      <c r="G781">
        <v>2010</v>
      </c>
      <c r="H781">
        <f>AVERAGEIFS(Table1[value],Table1[IndicatorCode],Table1[[#This Row],[IndicatorCode]])</f>
        <v>99.756410256410263</v>
      </c>
      <c r="I781" cm="1">
        <f t="array" ref="I781">_xlfn.STDEV.P(IF(Table1[IndicatorCode]=Table1[[#This Row],[IndicatorCode]],Table1[value]))</f>
        <v>1.1047979755287356</v>
      </c>
      <c r="J781">
        <f>(Table1[[#This Row],[value]] - Table1[[#This Row],[mean]]) / Table1[[#This Row],[std_dev]]</f>
        <v>0.22048351733552002</v>
      </c>
      <c r="K781">
        <f>AVERAGEIF(Table1[CountryCode],Table1[[#This Row],[CountryCode]],Table1[z-score])</f>
        <v>6.3697920427276927E-2</v>
      </c>
      <c r="L781" t="e">
        <f>VLOOKUP(Table1[[#This Row],[CountryCode]],[1]!Table1[#All],1,FALSE)</f>
        <v>#REF!</v>
      </c>
    </row>
    <row r="782" spans="1:12" hidden="1" x14ac:dyDescent="0.3">
      <c r="A782" t="s">
        <v>55</v>
      </c>
      <c r="B782" t="s">
        <v>56</v>
      </c>
      <c r="C782" t="s">
        <v>9</v>
      </c>
      <c r="D782" t="s">
        <v>10</v>
      </c>
      <c r="E782">
        <v>2017</v>
      </c>
      <c r="F782" s="1">
        <v>100</v>
      </c>
      <c r="G782">
        <v>2020</v>
      </c>
      <c r="H782">
        <f>AVERAGEIFS(Table1[value],Table1[IndicatorCode],Table1[[#This Row],[IndicatorCode]])</f>
        <v>99.756410256410263</v>
      </c>
      <c r="I782" cm="1">
        <f t="array" ref="I782">_xlfn.STDEV.P(IF(Table1[IndicatorCode]=Table1[[#This Row],[IndicatorCode]],Table1[value]))</f>
        <v>1.1047979755287356</v>
      </c>
      <c r="J782">
        <f>(Table1[[#This Row],[value]] - Table1[[#This Row],[mean]]) / Table1[[#This Row],[std_dev]]</f>
        <v>0.22048351733552002</v>
      </c>
      <c r="K782">
        <f>AVERAGEIF(Table1[CountryCode],Table1[[#This Row],[CountryCode]],Table1[z-score])</f>
        <v>6.3697920427276927E-2</v>
      </c>
      <c r="L782" t="e">
        <f>VLOOKUP(Table1[[#This Row],[CountryCode]],[1]!Table1[#All],1,FALSE)</f>
        <v>#REF!</v>
      </c>
    </row>
    <row r="783" spans="1:12" hidden="1" x14ac:dyDescent="0.3">
      <c r="A783" t="s">
        <v>55</v>
      </c>
      <c r="B783" t="s">
        <v>56</v>
      </c>
      <c r="C783" t="s">
        <v>9</v>
      </c>
      <c r="D783" t="s">
        <v>10</v>
      </c>
      <c r="E783">
        <v>2018</v>
      </c>
      <c r="F783" s="1">
        <v>100</v>
      </c>
      <c r="G783">
        <v>2020</v>
      </c>
      <c r="H783">
        <f>AVERAGEIFS(Table1[value],Table1[IndicatorCode],Table1[[#This Row],[IndicatorCode]])</f>
        <v>99.756410256410263</v>
      </c>
      <c r="I783" cm="1">
        <f t="array" ref="I783">_xlfn.STDEV.P(IF(Table1[IndicatorCode]=Table1[[#This Row],[IndicatorCode]],Table1[value]))</f>
        <v>1.1047979755287356</v>
      </c>
      <c r="J783">
        <f>(Table1[[#This Row],[value]] - Table1[[#This Row],[mean]]) / Table1[[#This Row],[std_dev]]</f>
        <v>0.22048351733552002</v>
      </c>
      <c r="K783">
        <f>AVERAGEIF(Table1[CountryCode],Table1[[#This Row],[CountryCode]],Table1[z-score])</f>
        <v>6.3697920427276927E-2</v>
      </c>
      <c r="L783" t="e">
        <f>VLOOKUP(Table1[[#This Row],[CountryCode]],[1]!Table1[#All],1,FALSE)</f>
        <v>#REF!</v>
      </c>
    </row>
    <row r="784" spans="1:12" hidden="1" x14ac:dyDescent="0.3">
      <c r="A784" t="s">
        <v>55</v>
      </c>
      <c r="B784" t="s">
        <v>56</v>
      </c>
      <c r="C784" t="s">
        <v>9</v>
      </c>
      <c r="D784" t="s">
        <v>10</v>
      </c>
      <c r="E784">
        <v>2019</v>
      </c>
      <c r="F784" s="1">
        <v>100</v>
      </c>
      <c r="G784">
        <v>2020</v>
      </c>
      <c r="H784">
        <f>AVERAGEIFS(Table1[value],Table1[IndicatorCode],Table1[[#This Row],[IndicatorCode]])</f>
        <v>99.756410256410263</v>
      </c>
      <c r="I784" cm="1">
        <f t="array" ref="I784">_xlfn.STDEV.P(IF(Table1[IndicatorCode]=Table1[[#This Row],[IndicatorCode]],Table1[value]))</f>
        <v>1.1047979755287356</v>
      </c>
      <c r="J784">
        <f>(Table1[[#This Row],[value]] - Table1[[#This Row],[mean]]) / Table1[[#This Row],[std_dev]]</f>
        <v>0.22048351733552002</v>
      </c>
      <c r="K784">
        <f>AVERAGEIF(Table1[CountryCode],Table1[[#This Row],[CountryCode]],Table1[z-score])</f>
        <v>6.3697920427276927E-2</v>
      </c>
      <c r="L784" t="e">
        <f>VLOOKUP(Table1[[#This Row],[CountryCode]],[1]!Table1[#All],1,FALSE)</f>
        <v>#REF!</v>
      </c>
    </row>
    <row r="785" spans="1:12" x14ac:dyDescent="0.3">
      <c r="A785" t="s">
        <v>55</v>
      </c>
      <c r="B785" t="s">
        <v>56</v>
      </c>
      <c r="C785" t="s">
        <v>9</v>
      </c>
      <c r="D785" t="s">
        <v>10</v>
      </c>
      <c r="E785">
        <v>2020</v>
      </c>
      <c r="F785" s="1">
        <v>100</v>
      </c>
      <c r="G785">
        <v>2020</v>
      </c>
      <c r="H785">
        <f>AVERAGEIFS(Table1[value],Table1[IndicatorCode],Table1[[#This Row],[IndicatorCode]])</f>
        <v>99.756410256410263</v>
      </c>
      <c r="I785" cm="1">
        <f t="array" ref="I785">_xlfn.STDEV.P(IF(Table1[IndicatorCode]=Table1[[#This Row],[IndicatorCode]],Table1[value]))</f>
        <v>1.1047979755287356</v>
      </c>
      <c r="J785">
        <f>(Table1[[#This Row],[value]] - Table1[[#This Row],[mean]]) / Table1[[#This Row],[std_dev]]</f>
        <v>0.22048351733552002</v>
      </c>
      <c r="K785">
        <f>AVERAGEIF(Table1[CountryCode],Table1[[#This Row],[CountryCode]],Table1[z-score])</f>
        <v>6.3697920427276927E-2</v>
      </c>
    </row>
    <row r="786" spans="1:12" hidden="1" x14ac:dyDescent="0.3">
      <c r="A786" t="s">
        <v>55</v>
      </c>
      <c r="B786" t="s">
        <v>56</v>
      </c>
      <c r="C786" t="s">
        <v>9</v>
      </c>
      <c r="D786" t="s">
        <v>10</v>
      </c>
      <c r="E786">
        <v>2021</v>
      </c>
      <c r="F786" s="1">
        <v>100</v>
      </c>
      <c r="G786">
        <v>1990</v>
      </c>
      <c r="H786">
        <f>AVERAGEIFS(Table1[value],Table1[IndicatorCode],Table1[[#This Row],[IndicatorCode]])</f>
        <v>99.756410256410263</v>
      </c>
      <c r="I786" cm="1">
        <f t="array" ref="I786">_xlfn.STDEV.P(IF(Table1[IndicatorCode]=Table1[[#This Row],[IndicatorCode]],Table1[value]))</f>
        <v>1.1047979755287356</v>
      </c>
      <c r="J786">
        <f>(Table1[[#This Row],[value]] - Table1[[#This Row],[mean]]) / Table1[[#This Row],[std_dev]]</f>
        <v>0.22048351733552002</v>
      </c>
      <c r="K786">
        <f>AVERAGEIF(Table1[CountryCode],Table1[[#This Row],[CountryCode]],Table1[z-score])</f>
        <v>6.3697920427276927E-2</v>
      </c>
      <c r="L786" t="e">
        <f>VLOOKUP(Table1[[#This Row],[CountryCode]],[1]!Table1[#All],1,FALSE)</f>
        <v>#REF!</v>
      </c>
    </row>
    <row r="787" spans="1:12" hidden="1" x14ac:dyDescent="0.3">
      <c r="A787" t="s">
        <v>55</v>
      </c>
      <c r="B787" t="s">
        <v>56</v>
      </c>
      <c r="C787" t="s">
        <v>9</v>
      </c>
      <c r="D787" t="s">
        <v>10</v>
      </c>
      <c r="E787">
        <v>2022</v>
      </c>
      <c r="F787" s="1">
        <v>100</v>
      </c>
      <c r="G787">
        <v>1990</v>
      </c>
      <c r="H787">
        <f>AVERAGEIFS(Table1[value],Table1[IndicatorCode],Table1[[#This Row],[IndicatorCode]])</f>
        <v>99.756410256410263</v>
      </c>
      <c r="I787" cm="1">
        <f t="array" ref="I787">_xlfn.STDEV.P(IF(Table1[IndicatorCode]=Table1[[#This Row],[IndicatorCode]],Table1[value]))</f>
        <v>1.1047979755287356</v>
      </c>
      <c r="J787">
        <f>(Table1[[#This Row],[value]] - Table1[[#This Row],[mean]]) / Table1[[#This Row],[std_dev]]</f>
        <v>0.22048351733552002</v>
      </c>
      <c r="K787">
        <f>AVERAGEIF(Table1[CountryCode],Table1[[#This Row],[CountryCode]],Table1[z-score])</f>
        <v>6.3697920427276927E-2</v>
      </c>
      <c r="L787" t="e">
        <f>VLOOKUP(Table1[[#This Row],[CountryCode]],[1]!Table1[#All],1,FALSE)</f>
        <v>#REF!</v>
      </c>
    </row>
    <row r="788" spans="1:12" hidden="1" x14ac:dyDescent="0.3">
      <c r="A788" t="s">
        <v>55</v>
      </c>
      <c r="B788" t="s">
        <v>56</v>
      </c>
      <c r="C788" t="s">
        <v>9</v>
      </c>
      <c r="D788" t="s">
        <v>10</v>
      </c>
      <c r="E788">
        <v>2023</v>
      </c>
      <c r="F788" s="1">
        <v>100</v>
      </c>
      <c r="G788">
        <v>1990</v>
      </c>
      <c r="H788">
        <f>AVERAGEIFS(Table1[value],Table1[IndicatorCode],Table1[[#This Row],[IndicatorCode]])</f>
        <v>99.756410256410263</v>
      </c>
      <c r="I788" cm="1">
        <f t="array" ref="I788">_xlfn.STDEV.P(IF(Table1[IndicatorCode]=Table1[[#This Row],[IndicatorCode]],Table1[value]))</f>
        <v>1.1047979755287356</v>
      </c>
      <c r="J788">
        <f>(Table1[[#This Row],[value]] - Table1[[#This Row],[mean]]) / Table1[[#This Row],[std_dev]]</f>
        <v>0.22048351733552002</v>
      </c>
      <c r="K788">
        <f>AVERAGEIF(Table1[CountryCode],Table1[[#This Row],[CountryCode]],Table1[z-score])</f>
        <v>6.3697920427276927E-2</v>
      </c>
      <c r="L788" t="e">
        <f>VLOOKUP(Table1[[#This Row],[CountryCode]],[1]!Table1[#All],1,FALSE)</f>
        <v>#REF!</v>
      </c>
    </row>
    <row r="789" spans="1:12" hidden="1" x14ac:dyDescent="0.3">
      <c r="A789" t="s">
        <v>57</v>
      </c>
      <c r="B789" t="s">
        <v>58</v>
      </c>
      <c r="C789" t="s">
        <v>9</v>
      </c>
      <c r="D789" t="s">
        <v>10</v>
      </c>
      <c r="E789">
        <v>1990</v>
      </c>
      <c r="F789" s="1">
        <v>100</v>
      </c>
      <c r="G789">
        <v>1990</v>
      </c>
      <c r="H789">
        <f>AVERAGEIFS(Table1[value],Table1[IndicatorCode],Table1[[#This Row],[IndicatorCode]])</f>
        <v>99.756410256410263</v>
      </c>
      <c r="I789" cm="1">
        <f t="array" ref="I789">_xlfn.STDEV.P(IF(Table1[IndicatorCode]=Table1[[#This Row],[IndicatorCode]],Table1[value]))</f>
        <v>1.1047979755287356</v>
      </c>
      <c r="J789">
        <f>(Table1[[#This Row],[value]] - Table1[[#This Row],[mean]]) / Table1[[#This Row],[std_dev]]</f>
        <v>0.22048351733552002</v>
      </c>
      <c r="K789">
        <f>AVERAGEIF(Table1[CountryCode],Table1[[#This Row],[CountryCode]],Table1[z-score])</f>
        <v>-0.42188835181926676</v>
      </c>
      <c r="L789" t="e">
        <f>VLOOKUP(Table1[[#This Row],[CountryCode]],[1]!Table1[#All],1,FALSE)</f>
        <v>#REF!</v>
      </c>
    </row>
    <row r="790" spans="1:12" hidden="1" x14ac:dyDescent="0.3">
      <c r="A790" t="s">
        <v>57</v>
      </c>
      <c r="B790" t="s">
        <v>58</v>
      </c>
      <c r="C790" t="s">
        <v>9</v>
      </c>
      <c r="D790" t="s">
        <v>10</v>
      </c>
      <c r="E790">
        <v>1991</v>
      </c>
      <c r="F790" s="1">
        <v>100</v>
      </c>
      <c r="G790">
        <v>1990</v>
      </c>
      <c r="H790">
        <f>AVERAGEIFS(Table1[value],Table1[IndicatorCode],Table1[[#This Row],[IndicatorCode]])</f>
        <v>99.756410256410263</v>
      </c>
      <c r="I790" cm="1">
        <f t="array" ref="I790">_xlfn.STDEV.P(IF(Table1[IndicatorCode]=Table1[[#This Row],[IndicatorCode]],Table1[value]))</f>
        <v>1.1047979755287356</v>
      </c>
      <c r="J790">
        <f>(Table1[[#This Row],[value]] - Table1[[#This Row],[mean]]) / Table1[[#This Row],[std_dev]]</f>
        <v>0.22048351733552002</v>
      </c>
      <c r="K790">
        <f>AVERAGEIF(Table1[CountryCode],Table1[[#This Row],[CountryCode]],Table1[z-score])</f>
        <v>-0.42188835181926676</v>
      </c>
      <c r="L790" t="e">
        <f>VLOOKUP(Table1[[#This Row],[CountryCode]],[1]!Table1[#All],1,FALSE)</f>
        <v>#REF!</v>
      </c>
    </row>
    <row r="791" spans="1:12" hidden="1" x14ac:dyDescent="0.3">
      <c r="A791" t="s">
        <v>57</v>
      </c>
      <c r="B791" t="s">
        <v>58</v>
      </c>
      <c r="C791" t="s">
        <v>9</v>
      </c>
      <c r="D791" t="s">
        <v>10</v>
      </c>
      <c r="E791">
        <v>1992</v>
      </c>
      <c r="F791" s="1">
        <v>100</v>
      </c>
      <c r="G791">
        <v>1990</v>
      </c>
      <c r="H791">
        <f>AVERAGEIFS(Table1[value],Table1[IndicatorCode],Table1[[#This Row],[IndicatorCode]])</f>
        <v>99.756410256410263</v>
      </c>
      <c r="I791" cm="1">
        <f t="array" ref="I791">_xlfn.STDEV.P(IF(Table1[IndicatorCode]=Table1[[#This Row],[IndicatorCode]],Table1[value]))</f>
        <v>1.1047979755287356</v>
      </c>
      <c r="J791">
        <f>(Table1[[#This Row],[value]] - Table1[[#This Row],[mean]]) / Table1[[#This Row],[std_dev]]</f>
        <v>0.22048351733552002</v>
      </c>
      <c r="K791">
        <f>AVERAGEIF(Table1[CountryCode],Table1[[#This Row],[CountryCode]],Table1[z-score])</f>
        <v>-0.42188835181926676</v>
      </c>
      <c r="L791" t="e">
        <f>VLOOKUP(Table1[[#This Row],[CountryCode]],[1]!Table1[#All],1,FALSE)</f>
        <v>#REF!</v>
      </c>
    </row>
    <row r="792" spans="1:12" hidden="1" x14ac:dyDescent="0.3">
      <c r="A792" t="s">
        <v>57</v>
      </c>
      <c r="B792" t="s">
        <v>58</v>
      </c>
      <c r="C792" t="s">
        <v>9</v>
      </c>
      <c r="D792" t="s">
        <v>10</v>
      </c>
      <c r="E792">
        <v>1993</v>
      </c>
      <c r="F792" s="1">
        <v>100</v>
      </c>
      <c r="G792">
        <v>1990</v>
      </c>
      <c r="H792">
        <f>AVERAGEIFS(Table1[value],Table1[IndicatorCode],Table1[[#This Row],[IndicatorCode]])</f>
        <v>99.756410256410263</v>
      </c>
      <c r="I792" cm="1">
        <f t="array" ref="I792">_xlfn.STDEV.P(IF(Table1[IndicatorCode]=Table1[[#This Row],[IndicatorCode]],Table1[value]))</f>
        <v>1.1047979755287356</v>
      </c>
      <c r="J792">
        <f>(Table1[[#This Row],[value]] - Table1[[#This Row],[mean]]) / Table1[[#This Row],[std_dev]]</f>
        <v>0.22048351733552002</v>
      </c>
      <c r="K792">
        <f>AVERAGEIF(Table1[CountryCode],Table1[[#This Row],[CountryCode]],Table1[z-score])</f>
        <v>-0.42188835181926676</v>
      </c>
      <c r="L792" t="e">
        <f>VLOOKUP(Table1[[#This Row],[CountryCode]],[1]!Table1[#All],1,FALSE)</f>
        <v>#REF!</v>
      </c>
    </row>
    <row r="793" spans="1:12" hidden="1" x14ac:dyDescent="0.3">
      <c r="A793" t="s">
        <v>57</v>
      </c>
      <c r="B793" t="s">
        <v>58</v>
      </c>
      <c r="C793" t="s">
        <v>9</v>
      </c>
      <c r="D793" t="s">
        <v>10</v>
      </c>
      <c r="E793">
        <v>1994</v>
      </c>
      <c r="F793" s="1">
        <v>100</v>
      </c>
      <c r="G793">
        <v>1990</v>
      </c>
      <c r="H793">
        <f>AVERAGEIFS(Table1[value],Table1[IndicatorCode],Table1[[#This Row],[IndicatorCode]])</f>
        <v>99.756410256410263</v>
      </c>
      <c r="I793" cm="1">
        <f t="array" ref="I793">_xlfn.STDEV.P(IF(Table1[IndicatorCode]=Table1[[#This Row],[IndicatorCode]],Table1[value]))</f>
        <v>1.1047979755287356</v>
      </c>
      <c r="J793">
        <f>(Table1[[#This Row],[value]] - Table1[[#This Row],[mean]]) / Table1[[#This Row],[std_dev]]</f>
        <v>0.22048351733552002</v>
      </c>
      <c r="K793">
        <f>AVERAGEIF(Table1[CountryCode],Table1[[#This Row],[CountryCode]],Table1[z-score])</f>
        <v>-0.42188835181926676</v>
      </c>
      <c r="L793" t="e">
        <f>VLOOKUP(Table1[[#This Row],[CountryCode]],[1]!Table1[#All],1,FALSE)</f>
        <v>#REF!</v>
      </c>
    </row>
    <row r="794" spans="1:12" hidden="1" x14ac:dyDescent="0.3">
      <c r="A794" t="s">
        <v>57</v>
      </c>
      <c r="B794" t="s">
        <v>58</v>
      </c>
      <c r="C794" t="s">
        <v>9</v>
      </c>
      <c r="D794" t="s">
        <v>10</v>
      </c>
      <c r="E794">
        <v>1995</v>
      </c>
      <c r="F794" s="1">
        <v>100</v>
      </c>
      <c r="G794">
        <v>1990</v>
      </c>
      <c r="H794">
        <f>AVERAGEIFS(Table1[value],Table1[IndicatorCode],Table1[[#This Row],[IndicatorCode]])</f>
        <v>99.756410256410263</v>
      </c>
      <c r="I794" cm="1">
        <f t="array" ref="I794">_xlfn.STDEV.P(IF(Table1[IndicatorCode]=Table1[[#This Row],[IndicatorCode]],Table1[value]))</f>
        <v>1.1047979755287356</v>
      </c>
      <c r="J794">
        <f>(Table1[[#This Row],[value]] - Table1[[#This Row],[mean]]) / Table1[[#This Row],[std_dev]]</f>
        <v>0.22048351733552002</v>
      </c>
      <c r="K794">
        <f>AVERAGEIF(Table1[CountryCode],Table1[[#This Row],[CountryCode]],Table1[z-score])</f>
        <v>-0.42188835181926676</v>
      </c>
      <c r="L794" t="e">
        <f>VLOOKUP(Table1[[#This Row],[CountryCode]],[1]!Table1[#All],1,FALSE)</f>
        <v>#REF!</v>
      </c>
    </row>
    <row r="795" spans="1:12" hidden="1" x14ac:dyDescent="0.3">
      <c r="A795" t="s">
        <v>57</v>
      </c>
      <c r="B795" t="s">
        <v>58</v>
      </c>
      <c r="C795" t="s">
        <v>9</v>
      </c>
      <c r="D795" t="s">
        <v>10</v>
      </c>
      <c r="E795">
        <v>1996</v>
      </c>
      <c r="F795" s="1">
        <v>100</v>
      </c>
      <c r="G795">
        <v>1990</v>
      </c>
      <c r="H795">
        <f>AVERAGEIFS(Table1[value],Table1[IndicatorCode],Table1[[#This Row],[IndicatorCode]])</f>
        <v>99.756410256410263</v>
      </c>
      <c r="I795" cm="1">
        <f t="array" ref="I795">_xlfn.STDEV.P(IF(Table1[IndicatorCode]=Table1[[#This Row],[IndicatorCode]],Table1[value]))</f>
        <v>1.1047979755287356</v>
      </c>
      <c r="J795">
        <f>(Table1[[#This Row],[value]] - Table1[[#This Row],[mean]]) / Table1[[#This Row],[std_dev]]</f>
        <v>0.22048351733552002</v>
      </c>
      <c r="K795">
        <f>AVERAGEIF(Table1[CountryCode],Table1[[#This Row],[CountryCode]],Table1[z-score])</f>
        <v>-0.42188835181926676</v>
      </c>
      <c r="L795" t="e">
        <f>VLOOKUP(Table1[[#This Row],[CountryCode]],[1]!Table1[#All],1,FALSE)</f>
        <v>#REF!</v>
      </c>
    </row>
    <row r="796" spans="1:12" hidden="1" x14ac:dyDescent="0.3">
      <c r="A796" t="s">
        <v>57</v>
      </c>
      <c r="B796" t="s">
        <v>58</v>
      </c>
      <c r="C796" t="s">
        <v>9</v>
      </c>
      <c r="D796" t="s">
        <v>10</v>
      </c>
      <c r="E796">
        <v>1997</v>
      </c>
      <c r="F796" s="1">
        <v>100</v>
      </c>
      <c r="G796">
        <v>2000</v>
      </c>
      <c r="H796">
        <f>AVERAGEIFS(Table1[value],Table1[IndicatorCode],Table1[[#This Row],[IndicatorCode]])</f>
        <v>99.756410256410263</v>
      </c>
      <c r="I796" cm="1">
        <f t="array" ref="I796">_xlfn.STDEV.P(IF(Table1[IndicatorCode]=Table1[[#This Row],[IndicatorCode]],Table1[value]))</f>
        <v>1.1047979755287356</v>
      </c>
      <c r="J796">
        <f>(Table1[[#This Row],[value]] - Table1[[#This Row],[mean]]) / Table1[[#This Row],[std_dev]]</f>
        <v>0.22048351733552002</v>
      </c>
      <c r="K796">
        <f>AVERAGEIF(Table1[CountryCode],Table1[[#This Row],[CountryCode]],Table1[z-score])</f>
        <v>-0.42188835181926676</v>
      </c>
      <c r="L796" t="e">
        <f>VLOOKUP(Table1[[#This Row],[CountryCode]],[1]!Table1[#All],1,FALSE)</f>
        <v>#REF!</v>
      </c>
    </row>
    <row r="797" spans="1:12" hidden="1" x14ac:dyDescent="0.3">
      <c r="A797" t="s">
        <v>57</v>
      </c>
      <c r="B797" t="s">
        <v>58</v>
      </c>
      <c r="C797" t="s">
        <v>9</v>
      </c>
      <c r="D797" t="s">
        <v>10</v>
      </c>
      <c r="E797">
        <v>1998</v>
      </c>
      <c r="F797" s="1">
        <v>100</v>
      </c>
      <c r="G797">
        <v>2000</v>
      </c>
      <c r="H797">
        <f>AVERAGEIFS(Table1[value],Table1[IndicatorCode],Table1[[#This Row],[IndicatorCode]])</f>
        <v>99.756410256410263</v>
      </c>
      <c r="I797" cm="1">
        <f t="array" ref="I797">_xlfn.STDEV.P(IF(Table1[IndicatorCode]=Table1[[#This Row],[IndicatorCode]],Table1[value]))</f>
        <v>1.1047979755287356</v>
      </c>
      <c r="J797">
        <f>(Table1[[#This Row],[value]] - Table1[[#This Row],[mean]]) / Table1[[#This Row],[std_dev]]</f>
        <v>0.22048351733552002</v>
      </c>
      <c r="K797">
        <f>AVERAGEIF(Table1[CountryCode],Table1[[#This Row],[CountryCode]],Table1[z-score])</f>
        <v>-0.42188835181926676</v>
      </c>
      <c r="L797" t="e">
        <f>VLOOKUP(Table1[[#This Row],[CountryCode]],[1]!Table1[#All],1,FALSE)</f>
        <v>#REF!</v>
      </c>
    </row>
    <row r="798" spans="1:12" hidden="1" x14ac:dyDescent="0.3">
      <c r="A798" t="s">
        <v>57</v>
      </c>
      <c r="B798" t="s">
        <v>58</v>
      </c>
      <c r="C798" t="s">
        <v>9</v>
      </c>
      <c r="D798" t="s">
        <v>10</v>
      </c>
      <c r="E798">
        <v>1999</v>
      </c>
      <c r="F798" s="1">
        <v>100</v>
      </c>
      <c r="G798">
        <v>2000</v>
      </c>
      <c r="H798">
        <f>AVERAGEIFS(Table1[value],Table1[IndicatorCode],Table1[[#This Row],[IndicatorCode]])</f>
        <v>99.756410256410263</v>
      </c>
      <c r="I798" cm="1">
        <f t="array" ref="I798">_xlfn.STDEV.P(IF(Table1[IndicatorCode]=Table1[[#This Row],[IndicatorCode]],Table1[value]))</f>
        <v>1.1047979755287356</v>
      </c>
      <c r="J798">
        <f>(Table1[[#This Row],[value]] - Table1[[#This Row],[mean]]) / Table1[[#This Row],[std_dev]]</f>
        <v>0.22048351733552002</v>
      </c>
      <c r="K798">
        <f>AVERAGEIF(Table1[CountryCode],Table1[[#This Row],[CountryCode]],Table1[z-score])</f>
        <v>-0.42188835181926676</v>
      </c>
      <c r="L798" t="e">
        <f>VLOOKUP(Table1[[#This Row],[CountryCode]],[1]!Table1[#All],1,FALSE)</f>
        <v>#REF!</v>
      </c>
    </row>
    <row r="799" spans="1:12" hidden="1" x14ac:dyDescent="0.3">
      <c r="A799" t="s">
        <v>57</v>
      </c>
      <c r="B799" t="s">
        <v>58</v>
      </c>
      <c r="C799" t="s">
        <v>9</v>
      </c>
      <c r="D799" t="s">
        <v>10</v>
      </c>
      <c r="E799">
        <v>2000</v>
      </c>
      <c r="F799" s="1">
        <v>100</v>
      </c>
      <c r="G799">
        <v>2000</v>
      </c>
      <c r="H799">
        <f>AVERAGEIFS(Table1[value],Table1[IndicatorCode],Table1[[#This Row],[IndicatorCode]])</f>
        <v>99.756410256410263</v>
      </c>
      <c r="I799" cm="1">
        <f t="array" ref="I799">_xlfn.STDEV.P(IF(Table1[IndicatorCode]=Table1[[#This Row],[IndicatorCode]],Table1[value]))</f>
        <v>1.1047979755287356</v>
      </c>
      <c r="J799">
        <f>(Table1[[#This Row],[value]] - Table1[[#This Row],[mean]]) / Table1[[#This Row],[std_dev]]</f>
        <v>0.22048351733552002</v>
      </c>
      <c r="K799">
        <f>AVERAGEIF(Table1[CountryCode],Table1[[#This Row],[CountryCode]],Table1[z-score])</f>
        <v>-0.42188835181926676</v>
      </c>
      <c r="L799" t="e">
        <f>VLOOKUP(Table1[[#This Row],[CountryCode]],[1]!Table1[#All],1,FALSE)</f>
        <v>#REF!</v>
      </c>
    </row>
    <row r="800" spans="1:12" hidden="1" x14ac:dyDescent="0.3">
      <c r="A800" t="s">
        <v>57</v>
      </c>
      <c r="B800" t="s">
        <v>58</v>
      </c>
      <c r="C800" t="s">
        <v>9</v>
      </c>
      <c r="D800" t="s">
        <v>10</v>
      </c>
      <c r="E800">
        <v>2001</v>
      </c>
      <c r="F800" s="1">
        <v>100</v>
      </c>
      <c r="G800">
        <v>2000</v>
      </c>
      <c r="H800">
        <f>AVERAGEIFS(Table1[value],Table1[IndicatorCode],Table1[[#This Row],[IndicatorCode]])</f>
        <v>99.756410256410263</v>
      </c>
      <c r="I800" cm="1">
        <f t="array" ref="I800">_xlfn.STDEV.P(IF(Table1[IndicatorCode]=Table1[[#This Row],[IndicatorCode]],Table1[value]))</f>
        <v>1.1047979755287356</v>
      </c>
      <c r="J800">
        <f>(Table1[[#This Row],[value]] - Table1[[#This Row],[mean]]) / Table1[[#This Row],[std_dev]]</f>
        <v>0.22048351733552002</v>
      </c>
      <c r="K800">
        <f>AVERAGEIF(Table1[CountryCode],Table1[[#This Row],[CountryCode]],Table1[z-score])</f>
        <v>-0.42188835181926676</v>
      </c>
      <c r="L800" t="e">
        <f>VLOOKUP(Table1[[#This Row],[CountryCode]],[1]!Table1[#All],1,FALSE)</f>
        <v>#REF!</v>
      </c>
    </row>
    <row r="801" spans="1:12" hidden="1" x14ac:dyDescent="0.3">
      <c r="A801" t="s">
        <v>57</v>
      </c>
      <c r="B801" t="s">
        <v>58</v>
      </c>
      <c r="C801" t="s">
        <v>9</v>
      </c>
      <c r="D801" t="s">
        <v>10</v>
      </c>
      <c r="E801">
        <v>2002</v>
      </c>
      <c r="F801" s="1">
        <v>100</v>
      </c>
      <c r="G801">
        <v>2000</v>
      </c>
      <c r="H801">
        <f>AVERAGEIFS(Table1[value],Table1[IndicatorCode],Table1[[#This Row],[IndicatorCode]])</f>
        <v>99.756410256410263</v>
      </c>
      <c r="I801" cm="1">
        <f t="array" ref="I801">_xlfn.STDEV.P(IF(Table1[IndicatorCode]=Table1[[#This Row],[IndicatorCode]],Table1[value]))</f>
        <v>1.1047979755287356</v>
      </c>
      <c r="J801">
        <f>(Table1[[#This Row],[value]] - Table1[[#This Row],[mean]]) / Table1[[#This Row],[std_dev]]</f>
        <v>0.22048351733552002</v>
      </c>
      <c r="K801">
        <f>AVERAGEIF(Table1[CountryCode],Table1[[#This Row],[CountryCode]],Table1[z-score])</f>
        <v>-0.42188835181926676</v>
      </c>
      <c r="L801" t="e">
        <f>VLOOKUP(Table1[[#This Row],[CountryCode]],[1]!Table1[#All],1,FALSE)</f>
        <v>#REF!</v>
      </c>
    </row>
    <row r="802" spans="1:12" hidden="1" x14ac:dyDescent="0.3">
      <c r="A802" t="s">
        <v>57</v>
      </c>
      <c r="B802" t="s">
        <v>58</v>
      </c>
      <c r="C802" t="s">
        <v>9</v>
      </c>
      <c r="D802" t="s">
        <v>10</v>
      </c>
      <c r="E802">
        <v>2003</v>
      </c>
      <c r="F802" s="1">
        <v>100</v>
      </c>
      <c r="G802">
        <v>2000</v>
      </c>
      <c r="H802">
        <f>AVERAGEIFS(Table1[value],Table1[IndicatorCode],Table1[[#This Row],[IndicatorCode]])</f>
        <v>99.756410256410263</v>
      </c>
      <c r="I802" cm="1">
        <f t="array" ref="I802">_xlfn.STDEV.P(IF(Table1[IndicatorCode]=Table1[[#This Row],[IndicatorCode]],Table1[value]))</f>
        <v>1.1047979755287356</v>
      </c>
      <c r="J802">
        <f>(Table1[[#This Row],[value]] - Table1[[#This Row],[mean]]) / Table1[[#This Row],[std_dev]]</f>
        <v>0.22048351733552002</v>
      </c>
      <c r="K802">
        <f>AVERAGEIF(Table1[CountryCode],Table1[[#This Row],[CountryCode]],Table1[z-score])</f>
        <v>-0.42188835181926676</v>
      </c>
      <c r="L802" t="e">
        <f>VLOOKUP(Table1[[#This Row],[CountryCode]],[1]!Table1[#All],1,FALSE)</f>
        <v>#REF!</v>
      </c>
    </row>
    <row r="803" spans="1:12" hidden="1" x14ac:dyDescent="0.3">
      <c r="A803" t="s">
        <v>57</v>
      </c>
      <c r="B803" t="s">
        <v>58</v>
      </c>
      <c r="C803" t="s">
        <v>9</v>
      </c>
      <c r="D803" t="s">
        <v>10</v>
      </c>
      <c r="E803">
        <v>2004</v>
      </c>
      <c r="F803" s="1">
        <v>100</v>
      </c>
      <c r="G803">
        <v>2000</v>
      </c>
      <c r="H803">
        <f>AVERAGEIFS(Table1[value],Table1[IndicatorCode],Table1[[#This Row],[IndicatorCode]])</f>
        <v>99.756410256410263</v>
      </c>
      <c r="I803" cm="1">
        <f t="array" ref="I803">_xlfn.STDEV.P(IF(Table1[IndicatorCode]=Table1[[#This Row],[IndicatorCode]],Table1[value]))</f>
        <v>1.1047979755287356</v>
      </c>
      <c r="J803">
        <f>(Table1[[#This Row],[value]] - Table1[[#This Row],[mean]]) / Table1[[#This Row],[std_dev]]</f>
        <v>0.22048351733552002</v>
      </c>
      <c r="K803">
        <f>AVERAGEIF(Table1[CountryCode],Table1[[#This Row],[CountryCode]],Table1[z-score])</f>
        <v>-0.42188835181926676</v>
      </c>
      <c r="L803" t="e">
        <f>VLOOKUP(Table1[[#This Row],[CountryCode]],[1]!Table1[#All],1,FALSE)</f>
        <v>#REF!</v>
      </c>
    </row>
    <row r="804" spans="1:12" hidden="1" x14ac:dyDescent="0.3">
      <c r="A804" t="s">
        <v>57</v>
      </c>
      <c r="B804" t="s">
        <v>58</v>
      </c>
      <c r="C804" t="s">
        <v>9</v>
      </c>
      <c r="D804" t="s">
        <v>10</v>
      </c>
      <c r="E804">
        <v>2005</v>
      </c>
      <c r="F804" s="1">
        <v>100</v>
      </c>
      <c r="G804">
        <v>2000</v>
      </c>
      <c r="H804">
        <f>AVERAGEIFS(Table1[value],Table1[IndicatorCode],Table1[[#This Row],[IndicatorCode]])</f>
        <v>99.756410256410263</v>
      </c>
      <c r="I804" cm="1">
        <f t="array" ref="I804">_xlfn.STDEV.P(IF(Table1[IndicatorCode]=Table1[[#This Row],[IndicatorCode]],Table1[value]))</f>
        <v>1.1047979755287356</v>
      </c>
      <c r="J804">
        <f>(Table1[[#This Row],[value]] - Table1[[#This Row],[mean]]) / Table1[[#This Row],[std_dev]]</f>
        <v>0.22048351733552002</v>
      </c>
      <c r="K804">
        <f>AVERAGEIF(Table1[CountryCode],Table1[[#This Row],[CountryCode]],Table1[z-score])</f>
        <v>-0.42188835181926676</v>
      </c>
      <c r="L804" t="e">
        <f>VLOOKUP(Table1[[#This Row],[CountryCode]],[1]!Table1[#All],1,FALSE)</f>
        <v>#REF!</v>
      </c>
    </row>
    <row r="805" spans="1:12" hidden="1" x14ac:dyDescent="0.3">
      <c r="A805" t="s">
        <v>57</v>
      </c>
      <c r="B805" t="s">
        <v>58</v>
      </c>
      <c r="C805" t="s">
        <v>9</v>
      </c>
      <c r="D805" t="s">
        <v>10</v>
      </c>
      <c r="E805">
        <v>2006</v>
      </c>
      <c r="F805" s="1">
        <v>100</v>
      </c>
      <c r="G805">
        <v>2000</v>
      </c>
      <c r="H805">
        <f>AVERAGEIFS(Table1[value],Table1[IndicatorCode],Table1[[#This Row],[IndicatorCode]])</f>
        <v>99.756410256410263</v>
      </c>
      <c r="I805" cm="1">
        <f t="array" ref="I805">_xlfn.STDEV.P(IF(Table1[IndicatorCode]=Table1[[#This Row],[IndicatorCode]],Table1[value]))</f>
        <v>1.1047979755287356</v>
      </c>
      <c r="J805">
        <f>(Table1[[#This Row],[value]] - Table1[[#This Row],[mean]]) / Table1[[#This Row],[std_dev]]</f>
        <v>0.22048351733552002</v>
      </c>
      <c r="K805">
        <f>AVERAGEIF(Table1[CountryCode],Table1[[#This Row],[CountryCode]],Table1[z-score])</f>
        <v>-0.42188835181926676</v>
      </c>
      <c r="L805" t="e">
        <f>VLOOKUP(Table1[[#This Row],[CountryCode]],[1]!Table1[#All],1,FALSE)</f>
        <v>#REF!</v>
      </c>
    </row>
    <row r="806" spans="1:12" hidden="1" x14ac:dyDescent="0.3">
      <c r="A806" t="s">
        <v>57</v>
      </c>
      <c r="B806" t="s">
        <v>58</v>
      </c>
      <c r="C806" t="s">
        <v>9</v>
      </c>
      <c r="D806" t="s">
        <v>10</v>
      </c>
      <c r="E806">
        <v>2007</v>
      </c>
      <c r="F806" s="1">
        <v>100</v>
      </c>
      <c r="G806">
        <v>2010</v>
      </c>
      <c r="H806">
        <f>AVERAGEIFS(Table1[value],Table1[IndicatorCode],Table1[[#This Row],[IndicatorCode]])</f>
        <v>99.756410256410263</v>
      </c>
      <c r="I806" cm="1">
        <f t="array" ref="I806">_xlfn.STDEV.P(IF(Table1[IndicatorCode]=Table1[[#This Row],[IndicatorCode]],Table1[value]))</f>
        <v>1.1047979755287356</v>
      </c>
      <c r="J806">
        <f>(Table1[[#This Row],[value]] - Table1[[#This Row],[mean]]) / Table1[[#This Row],[std_dev]]</f>
        <v>0.22048351733552002</v>
      </c>
      <c r="K806">
        <f>AVERAGEIF(Table1[CountryCode],Table1[[#This Row],[CountryCode]],Table1[z-score])</f>
        <v>-0.42188835181926676</v>
      </c>
      <c r="L806" t="e">
        <f>VLOOKUP(Table1[[#This Row],[CountryCode]],[1]!Table1[#All],1,FALSE)</f>
        <v>#REF!</v>
      </c>
    </row>
    <row r="807" spans="1:12" hidden="1" x14ac:dyDescent="0.3">
      <c r="A807" t="s">
        <v>57</v>
      </c>
      <c r="B807" t="s">
        <v>58</v>
      </c>
      <c r="C807" t="s">
        <v>9</v>
      </c>
      <c r="D807" t="s">
        <v>10</v>
      </c>
      <c r="E807">
        <v>2008</v>
      </c>
      <c r="F807" s="1">
        <v>100</v>
      </c>
      <c r="G807">
        <v>2010</v>
      </c>
      <c r="H807">
        <f>AVERAGEIFS(Table1[value],Table1[IndicatorCode],Table1[[#This Row],[IndicatorCode]])</f>
        <v>99.756410256410263</v>
      </c>
      <c r="I807" cm="1">
        <f t="array" ref="I807">_xlfn.STDEV.P(IF(Table1[IndicatorCode]=Table1[[#This Row],[IndicatorCode]],Table1[value]))</f>
        <v>1.1047979755287356</v>
      </c>
      <c r="J807">
        <f>(Table1[[#This Row],[value]] - Table1[[#This Row],[mean]]) / Table1[[#This Row],[std_dev]]</f>
        <v>0.22048351733552002</v>
      </c>
      <c r="K807">
        <f>AVERAGEIF(Table1[CountryCode],Table1[[#This Row],[CountryCode]],Table1[z-score])</f>
        <v>-0.42188835181926676</v>
      </c>
      <c r="L807" t="e">
        <f>VLOOKUP(Table1[[#This Row],[CountryCode]],[1]!Table1[#All],1,FALSE)</f>
        <v>#REF!</v>
      </c>
    </row>
    <row r="808" spans="1:12" hidden="1" x14ac:dyDescent="0.3">
      <c r="A808" t="s">
        <v>57</v>
      </c>
      <c r="B808" t="s">
        <v>58</v>
      </c>
      <c r="C808" t="s">
        <v>9</v>
      </c>
      <c r="D808" t="s">
        <v>10</v>
      </c>
      <c r="E808">
        <v>2009</v>
      </c>
      <c r="F808" s="1">
        <v>100</v>
      </c>
      <c r="G808">
        <v>2010</v>
      </c>
      <c r="H808">
        <f>AVERAGEIFS(Table1[value],Table1[IndicatorCode],Table1[[#This Row],[IndicatorCode]])</f>
        <v>99.756410256410263</v>
      </c>
      <c r="I808" cm="1">
        <f t="array" ref="I808">_xlfn.STDEV.P(IF(Table1[IndicatorCode]=Table1[[#This Row],[IndicatorCode]],Table1[value]))</f>
        <v>1.1047979755287356</v>
      </c>
      <c r="J808">
        <f>(Table1[[#This Row],[value]] - Table1[[#This Row],[mean]]) / Table1[[#This Row],[std_dev]]</f>
        <v>0.22048351733552002</v>
      </c>
      <c r="K808">
        <f>AVERAGEIF(Table1[CountryCode],Table1[[#This Row],[CountryCode]],Table1[z-score])</f>
        <v>-0.42188835181926676</v>
      </c>
      <c r="L808" t="e">
        <f>VLOOKUP(Table1[[#This Row],[CountryCode]],[1]!Table1[#All],1,FALSE)</f>
        <v>#REF!</v>
      </c>
    </row>
    <row r="809" spans="1:12" hidden="1" x14ac:dyDescent="0.3">
      <c r="A809" t="s">
        <v>57</v>
      </c>
      <c r="B809" t="s">
        <v>58</v>
      </c>
      <c r="C809" t="s">
        <v>9</v>
      </c>
      <c r="D809" t="s">
        <v>10</v>
      </c>
      <c r="E809">
        <v>2010</v>
      </c>
      <c r="F809" s="1">
        <v>100</v>
      </c>
      <c r="G809">
        <v>2010</v>
      </c>
      <c r="H809">
        <f>AVERAGEIFS(Table1[value],Table1[IndicatorCode],Table1[[#This Row],[IndicatorCode]])</f>
        <v>99.756410256410263</v>
      </c>
      <c r="I809" cm="1">
        <f t="array" ref="I809">_xlfn.STDEV.P(IF(Table1[IndicatorCode]=Table1[[#This Row],[IndicatorCode]],Table1[value]))</f>
        <v>1.1047979755287356</v>
      </c>
      <c r="J809">
        <f>(Table1[[#This Row],[value]] - Table1[[#This Row],[mean]]) / Table1[[#This Row],[std_dev]]</f>
        <v>0.22048351733552002</v>
      </c>
      <c r="K809">
        <f>AVERAGEIF(Table1[CountryCode],Table1[[#This Row],[CountryCode]],Table1[z-score])</f>
        <v>-0.42188835181926676</v>
      </c>
      <c r="L809" t="e">
        <f>VLOOKUP(Table1[[#This Row],[CountryCode]],[1]!Table1[#All],1,FALSE)</f>
        <v>#REF!</v>
      </c>
    </row>
    <row r="810" spans="1:12" hidden="1" x14ac:dyDescent="0.3">
      <c r="A810" t="s">
        <v>57</v>
      </c>
      <c r="B810" t="s">
        <v>58</v>
      </c>
      <c r="C810" t="s">
        <v>9</v>
      </c>
      <c r="D810" t="s">
        <v>10</v>
      </c>
      <c r="E810">
        <v>2011</v>
      </c>
      <c r="F810" s="1">
        <v>100</v>
      </c>
      <c r="G810">
        <v>2010</v>
      </c>
      <c r="H810">
        <f>AVERAGEIFS(Table1[value],Table1[IndicatorCode],Table1[[#This Row],[IndicatorCode]])</f>
        <v>99.756410256410263</v>
      </c>
      <c r="I810" cm="1">
        <f t="array" ref="I810">_xlfn.STDEV.P(IF(Table1[IndicatorCode]=Table1[[#This Row],[IndicatorCode]],Table1[value]))</f>
        <v>1.1047979755287356</v>
      </c>
      <c r="J810">
        <f>(Table1[[#This Row],[value]] - Table1[[#This Row],[mean]]) / Table1[[#This Row],[std_dev]]</f>
        <v>0.22048351733552002</v>
      </c>
      <c r="K810">
        <f>AVERAGEIF(Table1[CountryCode],Table1[[#This Row],[CountryCode]],Table1[z-score])</f>
        <v>-0.42188835181926676</v>
      </c>
      <c r="L810" t="e">
        <f>VLOOKUP(Table1[[#This Row],[CountryCode]],[1]!Table1[#All],1,FALSE)</f>
        <v>#REF!</v>
      </c>
    </row>
    <row r="811" spans="1:12" hidden="1" x14ac:dyDescent="0.3">
      <c r="A811" t="s">
        <v>57</v>
      </c>
      <c r="B811" t="s">
        <v>58</v>
      </c>
      <c r="C811" t="s">
        <v>9</v>
      </c>
      <c r="D811" t="s">
        <v>10</v>
      </c>
      <c r="E811">
        <v>2012</v>
      </c>
      <c r="F811" s="1">
        <v>100</v>
      </c>
      <c r="G811">
        <v>2010</v>
      </c>
      <c r="H811">
        <f>AVERAGEIFS(Table1[value],Table1[IndicatorCode],Table1[[#This Row],[IndicatorCode]])</f>
        <v>99.756410256410263</v>
      </c>
      <c r="I811" cm="1">
        <f t="array" ref="I811">_xlfn.STDEV.P(IF(Table1[IndicatorCode]=Table1[[#This Row],[IndicatorCode]],Table1[value]))</f>
        <v>1.1047979755287356</v>
      </c>
      <c r="J811">
        <f>(Table1[[#This Row],[value]] - Table1[[#This Row],[mean]]) / Table1[[#This Row],[std_dev]]</f>
        <v>0.22048351733552002</v>
      </c>
      <c r="K811">
        <f>AVERAGEIF(Table1[CountryCode],Table1[[#This Row],[CountryCode]],Table1[z-score])</f>
        <v>-0.42188835181926676</v>
      </c>
      <c r="L811" t="e">
        <f>VLOOKUP(Table1[[#This Row],[CountryCode]],[1]!Table1[#All],1,FALSE)</f>
        <v>#REF!</v>
      </c>
    </row>
    <row r="812" spans="1:12" hidden="1" x14ac:dyDescent="0.3">
      <c r="A812" t="s">
        <v>57</v>
      </c>
      <c r="B812" t="s">
        <v>58</v>
      </c>
      <c r="C812" t="s">
        <v>9</v>
      </c>
      <c r="D812" t="s">
        <v>10</v>
      </c>
      <c r="E812">
        <v>2013</v>
      </c>
      <c r="F812" s="1">
        <v>100</v>
      </c>
      <c r="G812">
        <v>2010</v>
      </c>
      <c r="H812">
        <f>AVERAGEIFS(Table1[value],Table1[IndicatorCode],Table1[[#This Row],[IndicatorCode]])</f>
        <v>99.756410256410263</v>
      </c>
      <c r="I812" cm="1">
        <f t="array" ref="I812">_xlfn.STDEV.P(IF(Table1[IndicatorCode]=Table1[[#This Row],[IndicatorCode]],Table1[value]))</f>
        <v>1.1047979755287356</v>
      </c>
      <c r="J812">
        <f>(Table1[[#This Row],[value]] - Table1[[#This Row],[mean]]) / Table1[[#This Row],[std_dev]]</f>
        <v>0.22048351733552002</v>
      </c>
      <c r="K812">
        <f>AVERAGEIF(Table1[CountryCode],Table1[[#This Row],[CountryCode]],Table1[z-score])</f>
        <v>-0.42188835181926676</v>
      </c>
      <c r="L812" t="e">
        <f>VLOOKUP(Table1[[#This Row],[CountryCode]],[1]!Table1[#All],1,FALSE)</f>
        <v>#REF!</v>
      </c>
    </row>
    <row r="813" spans="1:12" hidden="1" x14ac:dyDescent="0.3">
      <c r="A813" t="s">
        <v>57</v>
      </c>
      <c r="B813" t="s">
        <v>58</v>
      </c>
      <c r="C813" t="s">
        <v>9</v>
      </c>
      <c r="D813" t="s">
        <v>10</v>
      </c>
      <c r="E813">
        <v>2014</v>
      </c>
      <c r="F813" s="1">
        <v>100</v>
      </c>
      <c r="G813">
        <v>2010</v>
      </c>
      <c r="H813">
        <f>AVERAGEIFS(Table1[value],Table1[IndicatorCode],Table1[[#This Row],[IndicatorCode]])</f>
        <v>99.756410256410263</v>
      </c>
      <c r="I813" cm="1">
        <f t="array" ref="I813">_xlfn.STDEV.P(IF(Table1[IndicatorCode]=Table1[[#This Row],[IndicatorCode]],Table1[value]))</f>
        <v>1.1047979755287356</v>
      </c>
      <c r="J813">
        <f>(Table1[[#This Row],[value]] - Table1[[#This Row],[mean]]) / Table1[[#This Row],[std_dev]]</f>
        <v>0.22048351733552002</v>
      </c>
      <c r="K813">
        <f>AVERAGEIF(Table1[CountryCode],Table1[[#This Row],[CountryCode]],Table1[z-score])</f>
        <v>-0.42188835181926676</v>
      </c>
      <c r="L813" t="e">
        <f>VLOOKUP(Table1[[#This Row],[CountryCode]],[1]!Table1[#All],1,FALSE)</f>
        <v>#REF!</v>
      </c>
    </row>
    <row r="814" spans="1:12" hidden="1" x14ac:dyDescent="0.3">
      <c r="A814" t="s">
        <v>57</v>
      </c>
      <c r="B814" t="s">
        <v>58</v>
      </c>
      <c r="C814" t="s">
        <v>9</v>
      </c>
      <c r="D814" t="s">
        <v>10</v>
      </c>
      <c r="E814">
        <v>2015</v>
      </c>
      <c r="F814" s="1">
        <v>100</v>
      </c>
      <c r="G814">
        <v>2010</v>
      </c>
      <c r="H814">
        <f>AVERAGEIFS(Table1[value],Table1[IndicatorCode],Table1[[#This Row],[IndicatorCode]])</f>
        <v>99.756410256410263</v>
      </c>
      <c r="I814" cm="1">
        <f t="array" ref="I814">_xlfn.STDEV.P(IF(Table1[IndicatorCode]=Table1[[#This Row],[IndicatorCode]],Table1[value]))</f>
        <v>1.1047979755287356</v>
      </c>
      <c r="J814">
        <f>(Table1[[#This Row],[value]] - Table1[[#This Row],[mean]]) / Table1[[#This Row],[std_dev]]</f>
        <v>0.22048351733552002</v>
      </c>
      <c r="K814">
        <f>AVERAGEIF(Table1[CountryCode],Table1[[#This Row],[CountryCode]],Table1[z-score])</f>
        <v>-0.42188835181926676</v>
      </c>
      <c r="L814" t="e">
        <f>VLOOKUP(Table1[[#This Row],[CountryCode]],[1]!Table1[#All],1,FALSE)</f>
        <v>#REF!</v>
      </c>
    </row>
    <row r="815" spans="1:12" hidden="1" x14ac:dyDescent="0.3">
      <c r="A815" t="s">
        <v>57</v>
      </c>
      <c r="B815" t="s">
        <v>58</v>
      </c>
      <c r="C815" t="s">
        <v>9</v>
      </c>
      <c r="D815" t="s">
        <v>10</v>
      </c>
      <c r="E815">
        <v>2016</v>
      </c>
      <c r="F815" s="1">
        <v>100</v>
      </c>
      <c r="G815">
        <v>2010</v>
      </c>
      <c r="H815">
        <f>AVERAGEIFS(Table1[value],Table1[IndicatorCode],Table1[[#This Row],[IndicatorCode]])</f>
        <v>99.756410256410263</v>
      </c>
      <c r="I815" cm="1">
        <f t="array" ref="I815">_xlfn.STDEV.P(IF(Table1[IndicatorCode]=Table1[[#This Row],[IndicatorCode]],Table1[value]))</f>
        <v>1.1047979755287356</v>
      </c>
      <c r="J815">
        <f>(Table1[[#This Row],[value]] - Table1[[#This Row],[mean]]) / Table1[[#This Row],[std_dev]]</f>
        <v>0.22048351733552002</v>
      </c>
      <c r="K815">
        <f>AVERAGEIF(Table1[CountryCode],Table1[[#This Row],[CountryCode]],Table1[z-score])</f>
        <v>-0.42188835181926676</v>
      </c>
      <c r="L815" t="e">
        <f>VLOOKUP(Table1[[#This Row],[CountryCode]],[1]!Table1[#All],1,FALSE)</f>
        <v>#REF!</v>
      </c>
    </row>
    <row r="816" spans="1:12" hidden="1" x14ac:dyDescent="0.3">
      <c r="A816" t="s">
        <v>57</v>
      </c>
      <c r="B816" t="s">
        <v>58</v>
      </c>
      <c r="C816" t="s">
        <v>9</v>
      </c>
      <c r="D816" t="s">
        <v>10</v>
      </c>
      <c r="E816">
        <v>2017</v>
      </c>
      <c r="F816" s="1">
        <v>100</v>
      </c>
      <c r="G816">
        <v>2020</v>
      </c>
      <c r="H816">
        <f>AVERAGEIFS(Table1[value],Table1[IndicatorCode],Table1[[#This Row],[IndicatorCode]])</f>
        <v>99.756410256410263</v>
      </c>
      <c r="I816" cm="1">
        <f t="array" ref="I816">_xlfn.STDEV.P(IF(Table1[IndicatorCode]=Table1[[#This Row],[IndicatorCode]],Table1[value]))</f>
        <v>1.1047979755287356</v>
      </c>
      <c r="J816">
        <f>(Table1[[#This Row],[value]] - Table1[[#This Row],[mean]]) / Table1[[#This Row],[std_dev]]</f>
        <v>0.22048351733552002</v>
      </c>
      <c r="K816">
        <f>AVERAGEIF(Table1[CountryCode],Table1[[#This Row],[CountryCode]],Table1[z-score])</f>
        <v>-0.42188835181926676</v>
      </c>
      <c r="L816" t="e">
        <f>VLOOKUP(Table1[[#This Row],[CountryCode]],[1]!Table1[#All],1,FALSE)</f>
        <v>#REF!</v>
      </c>
    </row>
    <row r="817" spans="1:12" hidden="1" x14ac:dyDescent="0.3">
      <c r="A817" t="s">
        <v>57</v>
      </c>
      <c r="B817" t="s">
        <v>58</v>
      </c>
      <c r="C817" t="s">
        <v>9</v>
      </c>
      <c r="D817" t="s">
        <v>10</v>
      </c>
      <c r="E817">
        <v>2018</v>
      </c>
      <c r="F817" s="1">
        <v>100</v>
      </c>
      <c r="G817">
        <v>2020</v>
      </c>
      <c r="H817">
        <f>AVERAGEIFS(Table1[value],Table1[IndicatorCode],Table1[[#This Row],[IndicatorCode]])</f>
        <v>99.756410256410263</v>
      </c>
      <c r="I817" cm="1">
        <f t="array" ref="I817">_xlfn.STDEV.P(IF(Table1[IndicatorCode]=Table1[[#This Row],[IndicatorCode]],Table1[value]))</f>
        <v>1.1047979755287356</v>
      </c>
      <c r="J817">
        <f>(Table1[[#This Row],[value]] - Table1[[#This Row],[mean]]) / Table1[[#This Row],[std_dev]]</f>
        <v>0.22048351733552002</v>
      </c>
      <c r="K817">
        <f>AVERAGEIF(Table1[CountryCode],Table1[[#This Row],[CountryCode]],Table1[z-score])</f>
        <v>-0.42188835181926676</v>
      </c>
      <c r="L817" t="e">
        <f>VLOOKUP(Table1[[#This Row],[CountryCode]],[1]!Table1[#All],1,FALSE)</f>
        <v>#REF!</v>
      </c>
    </row>
    <row r="818" spans="1:12" hidden="1" x14ac:dyDescent="0.3">
      <c r="A818" t="s">
        <v>57</v>
      </c>
      <c r="B818" t="s">
        <v>58</v>
      </c>
      <c r="C818" t="s">
        <v>9</v>
      </c>
      <c r="D818" t="s">
        <v>10</v>
      </c>
      <c r="E818">
        <v>2019</v>
      </c>
      <c r="F818" s="1">
        <v>100</v>
      </c>
      <c r="G818">
        <v>2020</v>
      </c>
      <c r="H818">
        <f>AVERAGEIFS(Table1[value],Table1[IndicatorCode],Table1[[#This Row],[IndicatorCode]])</f>
        <v>99.756410256410263</v>
      </c>
      <c r="I818" cm="1">
        <f t="array" ref="I818">_xlfn.STDEV.P(IF(Table1[IndicatorCode]=Table1[[#This Row],[IndicatorCode]],Table1[value]))</f>
        <v>1.1047979755287356</v>
      </c>
      <c r="J818">
        <f>(Table1[[#This Row],[value]] - Table1[[#This Row],[mean]]) / Table1[[#This Row],[std_dev]]</f>
        <v>0.22048351733552002</v>
      </c>
      <c r="K818">
        <f>AVERAGEIF(Table1[CountryCode],Table1[[#This Row],[CountryCode]],Table1[z-score])</f>
        <v>-0.42188835181926676</v>
      </c>
      <c r="L818" t="e">
        <f>VLOOKUP(Table1[[#This Row],[CountryCode]],[1]!Table1[#All],1,FALSE)</f>
        <v>#REF!</v>
      </c>
    </row>
    <row r="819" spans="1:12" x14ac:dyDescent="0.3">
      <c r="A819" t="s">
        <v>57</v>
      </c>
      <c r="B819" t="s">
        <v>58</v>
      </c>
      <c r="C819" t="s">
        <v>9</v>
      </c>
      <c r="D819" t="s">
        <v>10</v>
      </c>
      <c r="E819">
        <v>2020</v>
      </c>
      <c r="F819" s="1">
        <v>100</v>
      </c>
      <c r="G819">
        <v>2020</v>
      </c>
      <c r="H819">
        <f>AVERAGEIFS(Table1[value],Table1[IndicatorCode],Table1[[#This Row],[IndicatorCode]])</f>
        <v>99.756410256410263</v>
      </c>
      <c r="I819" cm="1">
        <f t="array" ref="I819">_xlfn.STDEV.P(IF(Table1[IndicatorCode]=Table1[[#This Row],[IndicatorCode]],Table1[value]))</f>
        <v>1.1047979755287356</v>
      </c>
      <c r="J819">
        <f>(Table1[[#This Row],[value]] - Table1[[#This Row],[mean]]) / Table1[[#This Row],[std_dev]]</f>
        <v>0.22048351733552002</v>
      </c>
      <c r="K819">
        <f>AVERAGEIF(Table1[CountryCode],Table1[[#This Row],[CountryCode]],Table1[z-score])</f>
        <v>-0.42188835181926676</v>
      </c>
    </row>
    <row r="820" spans="1:12" hidden="1" x14ac:dyDescent="0.3">
      <c r="A820" t="s">
        <v>57</v>
      </c>
      <c r="B820" t="s">
        <v>58</v>
      </c>
      <c r="C820" t="s">
        <v>9</v>
      </c>
      <c r="D820" t="s">
        <v>10</v>
      </c>
      <c r="E820">
        <v>2021</v>
      </c>
      <c r="F820" s="1">
        <v>100</v>
      </c>
      <c r="G820">
        <v>1990</v>
      </c>
      <c r="H820">
        <f>AVERAGEIFS(Table1[value],Table1[IndicatorCode],Table1[[#This Row],[IndicatorCode]])</f>
        <v>99.756410256410263</v>
      </c>
      <c r="I820" cm="1">
        <f t="array" ref="I820">_xlfn.STDEV.P(IF(Table1[IndicatorCode]=Table1[[#This Row],[IndicatorCode]],Table1[value]))</f>
        <v>1.1047979755287356</v>
      </c>
      <c r="J820">
        <f>(Table1[[#This Row],[value]] - Table1[[#This Row],[mean]]) / Table1[[#This Row],[std_dev]]</f>
        <v>0.22048351733552002</v>
      </c>
      <c r="K820">
        <f>AVERAGEIF(Table1[CountryCode],Table1[[#This Row],[CountryCode]],Table1[z-score])</f>
        <v>-0.42188835181926676</v>
      </c>
      <c r="L820" t="e">
        <f>VLOOKUP(Table1[[#This Row],[CountryCode]],[1]!Table1[#All],1,FALSE)</f>
        <v>#REF!</v>
      </c>
    </row>
    <row r="821" spans="1:12" hidden="1" x14ac:dyDescent="0.3">
      <c r="A821" t="s">
        <v>57</v>
      </c>
      <c r="B821" t="s">
        <v>58</v>
      </c>
      <c r="C821" t="s">
        <v>9</v>
      </c>
      <c r="D821" t="s">
        <v>10</v>
      </c>
      <c r="E821">
        <v>2022</v>
      </c>
      <c r="F821" s="1">
        <v>100</v>
      </c>
      <c r="G821">
        <v>1990</v>
      </c>
      <c r="H821">
        <f>AVERAGEIFS(Table1[value],Table1[IndicatorCode],Table1[[#This Row],[IndicatorCode]])</f>
        <v>99.756410256410263</v>
      </c>
      <c r="I821" cm="1">
        <f t="array" ref="I821">_xlfn.STDEV.P(IF(Table1[IndicatorCode]=Table1[[#This Row],[IndicatorCode]],Table1[value]))</f>
        <v>1.1047979755287356</v>
      </c>
      <c r="J821">
        <f>(Table1[[#This Row],[value]] - Table1[[#This Row],[mean]]) / Table1[[#This Row],[std_dev]]</f>
        <v>0.22048351733552002</v>
      </c>
      <c r="K821">
        <f>AVERAGEIF(Table1[CountryCode],Table1[[#This Row],[CountryCode]],Table1[z-score])</f>
        <v>-0.42188835181926676</v>
      </c>
      <c r="L821" t="e">
        <f>VLOOKUP(Table1[[#This Row],[CountryCode]],[1]!Table1[#All],1,FALSE)</f>
        <v>#REF!</v>
      </c>
    </row>
    <row r="822" spans="1:12" hidden="1" x14ac:dyDescent="0.3">
      <c r="A822" t="s">
        <v>57</v>
      </c>
      <c r="B822" t="s">
        <v>58</v>
      </c>
      <c r="C822" t="s">
        <v>9</v>
      </c>
      <c r="D822" t="s">
        <v>10</v>
      </c>
      <c r="E822">
        <v>2023</v>
      </c>
      <c r="F822" s="1">
        <v>100</v>
      </c>
      <c r="G822">
        <v>1990</v>
      </c>
      <c r="H822">
        <f>AVERAGEIFS(Table1[value],Table1[IndicatorCode],Table1[[#This Row],[IndicatorCode]])</f>
        <v>99.756410256410263</v>
      </c>
      <c r="I822" cm="1">
        <f t="array" ref="I822">_xlfn.STDEV.P(IF(Table1[IndicatorCode]=Table1[[#This Row],[IndicatorCode]],Table1[value]))</f>
        <v>1.1047979755287356</v>
      </c>
      <c r="J822">
        <f>(Table1[[#This Row],[value]] - Table1[[#This Row],[mean]]) / Table1[[#This Row],[std_dev]]</f>
        <v>0.22048351733552002</v>
      </c>
      <c r="K822">
        <f>AVERAGEIF(Table1[CountryCode],Table1[[#This Row],[CountryCode]],Table1[z-score])</f>
        <v>-0.42188835181926676</v>
      </c>
      <c r="L822" t="e">
        <f>VLOOKUP(Table1[[#This Row],[CountryCode]],[1]!Table1[#All],1,FALSE)</f>
        <v>#REF!</v>
      </c>
    </row>
    <row r="823" spans="1:12" hidden="1" x14ac:dyDescent="0.3">
      <c r="A823" t="s">
        <v>59</v>
      </c>
      <c r="B823" t="s">
        <v>60</v>
      </c>
      <c r="C823" t="s">
        <v>9</v>
      </c>
      <c r="D823" t="s">
        <v>10</v>
      </c>
      <c r="E823">
        <v>1990</v>
      </c>
      <c r="F823" s="1">
        <v>100</v>
      </c>
      <c r="G823">
        <v>1990</v>
      </c>
      <c r="H823">
        <f>AVERAGEIFS(Table1[value],Table1[IndicatorCode],Table1[[#This Row],[IndicatorCode]])</f>
        <v>99.756410256410263</v>
      </c>
      <c r="I823" cm="1">
        <f t="array" ref="I823">_xlfn.STDEV.P(IF(Table1[IndicatorCode]=Table1[[#This Row],[IndicatorCode]],Table1[value]))</f>
        <v>1.1047979755287356</v>
      </c>
      <c r="J823">
        <f>(Table1[[#This Row],[value]] - Table1[[#This Row],[mean]]) / Table1[[#This Row],[std_dev]]</f>
        <v>0.22048351733552002</v>
      </c>
      <c r="K823">
        <f>AVERAGEIF(Table1[CountryCode],Table1[[#This Row],[CountryCode]],Table1[z-score])</f>
        <v>-0.22872454493605915</v>
      </c>
      <c r="L823" t="e">
        <f>VLOOKUP(Table1[[#This Row],[CountryCode]],[1]!Table1[#All],1,FALSE)</f>
        <v>#REF!</v>
      </c>
    </row>
    <row r="824" spans="1:12" hidden="1" x14ac:dyDescent="0.3">
      <c r="A824" t="s">
        <v>59</v>
      </c>
      <c r="B824" t="s">
        <v>60</v>
      </c>
      <c r="C824" t="s">
        <v>9</v>
      </c>
      <c r="D824" t="s">
        <v>10</v>
      </c>
      <c r="E824">
        <v>1991</v>
      </c>
      <c r="F824" s="1">
        <v>100</v>
      </c>
      <c r="G824">
        <v>1990</v>
      </c>
      <c r="H824">
        <f>AVERAGEIFS(Table1[value],Table1[IndicatorCode],Table1[[#This Row],[IndicatorCode]])</f>
        <v>99.756410256410263</v>
      </c>
      <c r="I824" cm="1">
        <f t="array" ref="I824">_xlfn.STDEV.P(IF(Table1[IndicatorCode]=Table1[[#This Row],[IndicatorCode]],Table1[value]))</f>
        <v>1.1047979755287356</v>
      </c>
      <c r="J824">
        <f>(Table1[[#This Row],[value]] - Table1[[#This Row],[mean]]) / Table1[[#This Row],[std_dev]]</f>
        <v>0.22048351733552002</v>
      </c>
      <c r="K824">
        <f>AVERAGEIF(Table1[CountryCode],Table1[[#This Row],[CountryCode]],Table1[z-score])</f>
        <v>-0.22872454493605915</v>
      </c>
      <c r="L824" t="e">
        <f>VLOOKUP(Table1[[#This Row],[CountryCode]],[1]!Table1[#All],1,FALSE)</f>
        <v>#REF!</v>
      </c>
    </row>
    <row r="825" spans="1:12" hidden="1" x14ac:dyDescent="0.3">
      <c r="A825" t="s">
        <v>59</v>
      </c>
      <c r="B825" t="s">
        <v>60</v>
      </c>
      <c r="C825" t="s">
        <v>9</v>
      </c>
      <c r="D825" t="s">
        <v>10</v>
      </c>
      <c r="E825">
        <v>1992</v>
      </c>
      <c r="F825" s="1">
        <v>100</v>
      </c>
      <c r="G825">
        <v>1990</v>
      </c>
      <c r="H825">
        <f>AVERAGEIFS(Table1[value],Table1[IndicatorCode],Table1[[#This Row],[IndicatorCode]])</f>
        <v>99.756410256410263</v>
      </c>
      <c r="I825" cm="1">
        <f t="array" ref="I825">_xlfn.STDEV.P(IF(Table1[IndicatorCode]=Table1[[#This Row],[IndicatorCode]],Table1[value]))</f>
        <v>1.1047979755287356</v>
      </c>
      <c r="J825">
        <f>(Table1[[#This Row],[value]] - Table1[[#This Row],[mean]]) / Table1[[#This Row],[std_dev]]</f>
        <v>0.22048351733552002</v>
      </c>
      <c r="K825">
        <f>AVERAGEIF(Table1[CountryCode],Table1[[#This Row],[CountryCode]],Table1[z-score])</f>
        <v>-0.22872454493605915</v>
      </c>
      <c r="L825" t="e">
        <f>VLOOKUP(Table1[[#This Row],[CountryCode]],[1]!Table1[#All],1,FALSE)</f>
        <v>#REF!</v>
      </c>
    </row>
    <row r="826" spans="1:12" hidden="1" x14ac:dyDescent="0.3">
      <c r="A826" t="s">
        <v>59</v>
      </c>
      <c r="B826" t="s">
        <v>60</v>
      </c>
      <c r="C826" t="s">
        <v>9</v>
      </c>
      <c r="D826" t="s">
        <v>10</v>
      </c>
      <c r="E826">
        <v>1993</v>
      </c>
      <c r="F826" s="1">
        <v>100</v>
      </c>
      <c r="G826">
        <v>1990</v>
      </c>
      <c r="H826">
        <f>AVERAGEIFS(Table1[value],Table1[IndicatorCode],Table1[[#This Row],[IndicatorCode]])</f>
        <v>99.756410256410263</v>
      </c>
      <c r="I826" cm="1">
        <f t="array" ref="I826">_xlfn.STDEV.P(IF(Table1[IndicatorCode]=Table1[[#This Row],[IndicatorCode]],Table1[value]))</f>
        <v>1.1047979755287356</v>
      </c>
      <c r="J826">
        <f>(Table1[[#This Row],[value]] - Table1[[#This Row],[mean]]) / Table1[[#This Row],[std_dev]]</f>
        <v>0.22048351733552002</v>
      </c>
      <c r="K826">
        <f>AVERAGEIF(Table1[CountryCode],Table1[[#This Row],[CountryCode]],Table1[z-score])</f>
        <v>-0.22872454493605915</v>
      </c>
      <c r="L826" t="e">
        <f>VLOOKUP(Table1[[#This Row],[CountryCode]],[1]!Table1[#All],1,FALSE)</f>
        <v>#REF!</v>
      </c>
    </row>
    <row r="827" spans="1:12" hidden="1" x14ac:dyDescent="0.3">
      <c r="A827" t="s">
        <v>59</v>
      </c>
      <c r="B827" t="s">
        <v>60</v>
      </c>
      <c r="C827" t="s">
        <v>9</v>
      </c>
      <c r="D827" t="s">
        <v>10</v>
      </c>
      <c r="E827">
        <v>1994</v>
      </c>
      <c r="F827" s="1">
        <v>100</v>
      </c>
      <c r="G827">
        <v>1990</v>
      </c>
      <c r="H827">
        <f>AVERAGEIFS(Table1[value],Table1[IndicatorCode],Table1[[#This Row],[IndicatorCode]])</f>
        <v>99.756410256410263</v>
      </c>
      <c r="I827" cm="1">
        <f t="array" ref="I827">_xlfn.STDEV.P(IF(Table1[IndicatorCode]=Table1[[#This Row],[IndicatorCode]],Table1[value]))</f>
        <v>1.1047979755287356</v>
      </c>
      <c r="J827">
        <f>(Table1[[#This Row],[value]] - Table1[[#This Row],[mean]]) / Table1[[#This Row],[std_dev]]</f>
        <v>0.22048351733552002</v>
      </c>
      <c r="K827">
        <f>AVERAGEIF(Table1[CountryCode],Table1[[#This Row],[CountryCode]],Table1[z-score])</f>
        <v>-0.22872454493605915</v>
      </c>
      <c r="L827" t="e">
        <f>VLOOKUP(Table1[[#This Row],[CountryCode]],[1]!Table1[#All],1,FALSE)</f>
        <v>#REF!</v>
      </c>
    </row>
    <row r="828" spans="1:12" hidden="1" x14ac:dyDescent="0.3">
      <c r="A828" t="s">
        <v>59</v>
      </c>
      <c r="B828" t="s">
        <v>60</v>
      </c>
      <c r="C828" t="s">
        <v>9</v>
      </c>
      <c r="D828" t="s">
        <v>10</v>
      </c>
      <c r="E828">
        <v>1995</v>
      </c>
      <c r="F828" s="1">
        <v>100</v>
      </c>
      <c r="G828">
        <v>1990</v>
      </c>
      <c r="H828">
        <f>AVERAGEIFS(Table1[value],Table1[IndicatorCode],Table1[[#This Row],[IndicatorCode]])</f>
        <v>99.756410256410263</v>
      </c>
      <c r="I828" cm="1">
        <f t="array" ref="I828">_xlfn.STDEV.P(IF(Table1[IndicatorCode]=Table1[[#This Row],[IndicatorCode]],Table1[value]))</f>
        <v>1.1047979755287356</v>
      </c>
      <c r="J828">
        <f>(Table1[[#This Row],[value]] - Table1[[#This Row],[mean]]) / Table1[[#This Row],[std_dev]]</f>
        <v>0.22048351733552002</v>
      </c>
      <c r="K828">
        <f>AVERAGEIF(Table1[CountryCode],Table1[[#This Row],[CountryCode]],Table1[z-score])</f>
        <v>-0.22872454493605915</v>
      </c>
      <c r="L828" t="e">
        <f>VLOOKUP(Table1[[#This Row],[CountryCode]],[1]!Table1[#All],1,FALSE)</f>
        <v>#REF!</v>
      </c>
    </row>
    <row r="829" spans="1:12" hidden="1" x14ac:dyDescent="0.3">
      <c r="A829" t="s">
        <v>59</v>
      </c>
      <c r="B829" t="s">
        <v>60</v>
      </c>
      <c r="C829" t="s">
        <v>9</v>
      </c>
      <c r="D829" t="s">
        <v>10</v>
      </c>
      <c r="E829">
        <v>1996</v>
      </c>
      <c r="F829" s="1">
        <v>100</v>
      </c>
      <c r="G829">
        <v>1990</v>
      </c>
      <c r="H829">
        <f>AVERAGEIFS(Table1[value],Table1[IndicatorCode],Table1[[#This Row],[IndicatorCode]])</f>
        <v>99.756410256410263</v>
      </c>
      <c r="I829" cm="1">
        <f t="array" ref="I829">_xlfn.STDEV.P(IF(Table1[IndicatorCode]=Table1[[#This Row],[IndicatorCode]],Table1[value]))</f>
        <v>1.1047979755287356</v>
      </c>
      <c r="J829">
        <f>(Table1[[#This Row],[value]] - Table1[[#This Row],[mean]]) / Table1[[#This Row],[std_dev]]</f>
        <v>0.22048351733552002</v>
      </c>
      <c r="K829">
        <f>AVERAGEIF(Table1[CountryCode],Table1[[#This Row],[CountryCode]],Table1[z-score])</f>
        <v>-0.22872454493605915</v>
      </c>
      <c r="L829" t="e">
        <f>VLOOKUP(Table1[[#This Row],[CountryCode]],[1]!Table1[#All],1,FALSE)</f>
        <v>#REF!</v>
      </c>
    </row>
    <row r="830" spans="1:12" hidden="1" x14ac:dyDescent="0.3">
      <c r="A830" t="s">
        <v>59</v>
      </c>
      <c r="B830" t="s">
        <v>60</v>
      </c>
      <c r="C830" t="s">
        <v>9</v>
      </c>
      <c r="D830" t="s">
        <v>10</v>
      </c>
      <c r="E830">
        <v>1997</v>
      </c>
      <c r="F830" s="1">
        <v>100</v>
      </c>
      <c r="G830">
        <v>2000</v>
      </c>
      <c r="H830">
        <f>AVERAGEIFS(Table1[value],Table1[IndicatorCode],Table1[[#This Row],[IndicatorCode]])</f>
        <v>99.756410256410263</v>
      </c>
      <c r="I830" cm="1">
        <f t="array" ref="I830">_xlfn.STDEV.P(IF(Table1[IndicatorCode]=Table1[[#This Row],[IndicatorCode]],Table1[value]))</f>
        <v>1.1047979755287356</v>
      </c>
      <c r="J830">
        <f>(Table1[[#This Row],[value]] - Table1[[#This Row],[mean]]) / Table1[[#This Row],[std_dev]]</f>
        <v>0.22048351733552002</v>
      </c>
      <c r="K830">
        <f>AVERAGEIF(Table1[CountryCode],Table1[[#This Row],[CountryCode]],Table1[z-score])</f>
        <v>-0.22872454493605915</v>
      </c>
      <c r="L830" t="e">
        <f>VLOOKUP(Table1[[#This Row],[CountryCode]],[1]!Table1[#All],1,FALSE)</f>
        <v>#REF!</v>
      </c>
    </row>
    <row r="831" spans="1:12" hidden="1" x14ac:dyDescent="0.3">
      <c r="A831" t="s">
        <v>59</v>
      </c>
      <c r="B831" t="s">
        <v>60</v>
      </c>
      <c r="C831" t="s">
        <v>9</v>
      </c>
      <c r="D831" t="s">
        <v>10</v>
      </c>
      <c r="E831">
        <v>1998</v>
      </c>
      <c r="F831" s="1">
        <v>100</v>
      </c>
      <c r="G831">
        <v>2000</v>
      </c>
      <c r="H831">
        <f>AVERAGEIFS(Table1[value],Table1[IndicatorCode],Table1[[#This Row],[IndicatorCode]])</f>
        <v>99.756410256410263</v>
      </c>
      <c r="I831" cm="1">
        <f t="array" ref="I831">_xlfn.STDEV.P(IF(Table1[IndicatorCode]=Table1[[#This Row],[IndicatorCode]],Table1[value]))</f>
        <v>1.1047979755287356</v>
      </c>
      <c r="J831">
        <f>(Table1[[#This Row],[value]] - Table1[[#This Row],[mean]]) / Table1[[#This Row],[std_dev]]</f>
        <v>0.22048351733552002</v>
      </c>
      <c r="K831">
        <f>AVERAGEIF(Table1[CountryCode],Table1[[#This Row],[CountryCode]],Table1[z-score])</f>
        <v>-0.22872454493605915</v>
      </c>
      <c r="L831" t="e">
        <f>VLOOKUP(Table1[[#This Row],[CountryCode]],[1]!Table1[#All],1,FALSE)</f>
        <v>#REF!</v>
      </c>
    </row>
    <row r="832" spans="1:12" hidden="1" x14ac:dyDescent="0.3">
      <c r="A832" t="s">
        <v>59</v>
      </c>
      <c r="B832" t="s">
        <v>60</v>
      </c>
      <c r="C832" t="s">
        <v>9</v>
      </c>
      <c r="D832" t="s">
        <v>10</v>
      </c>
      <c r="E832">
        <v>1999</v>
      </c>
      <c r="F832" s="1">
        <v>100</v>
      </c>
      <c r="G832">
        <v>2000</v>
      </c>
      <c r="H832">
        <f>AVERAGEIFS(Table1[value],Table1[IndicatorCode],Table1[[#This Row],[IndicatorCode]])</f>
        <v>99.756410256410263</v>
      </c>
      <c r="I832" cm="1">
        <f t="array" ref="I832">_xlfn.STDEV.P(IF(Table1[IndicatorCode]=Table1[[#This Row],[IndicatorCode]],Table1[value]))</f>
        <v>1.1047979755287356</v>
      </c>
      <c r="J832">
        <f>(Table1[[#This Row],[value]] - Table1[[#This Row],[mean]]) / Table1[[#This Row],[std_dev]]</f>
        <v>0.22048351733552002</v>
      </c>
      <c r="K832">
        <f>AVERAGEIF(Table1[CountryCode],Table1[[#This Row],[CountryCode]],Table1[z-score])</f>
        <v>-0.22872454493605915</v>
      </c>
      <c r="L832" t="e">
        <f>VLOOKUP(Table1[[#This Row],[CountryCode]],[1]!Table1[#All],1,FALSE)</f>
        <v>#REF!</v>
      </c>
    </row>
    <row r="833" spans="1:12" hidden="1" x14ac:dyDescent="0.3">
      <c r="A833" t="s">
        <v>59</v>
      </c>
      <c r="B833" t="s">
        <v>60</v>
      </c>
      <c r="C833" t="s">
        <v>9</v>
      </c>
      <c r="D833" t="s">
        <v>10</v>
      </c>
      <c r="E833">
        <v>2000</v>
      </c>
      <c r="F833" s="1">
        <v>100</v>
      </c>
      <c r="G833">
        <v>2000</v>
      </c>
      <c r="H833">
        <f>AVERAGEIFS(Table1[value],Table1[IndicatorCode],Table1[[#This Row],[IndicatorCode]])</f>
        <v>99.756410256410263</v>
      </c>
      <c r="I833" cm="1">
        <f t="array" ref="I833">_xlfn.STDEV.P(IF(Table1[IndicatorCode]=Table1[[#This Row],[IndicatorCode]],Table1[value]))</f>
        <v>1.1047979755287356</v>
      </c>
      <c r="J833">
        <f>(Table1[[#This Row],[value]] - Table1[[#This Row],[mean]]) / Table1[[#This Row],[std_dev]]</f>
        <v>0.22048351733552002</v>
      </c>
      <c r="K833">
        <f>AVERAGEIF(Table1[CountryCode],Table1[[#This Row],[CountryCode]],Table1[z-score])</f>
        <v>-0.22872454493605915</v>
      </c>
      <c r="L833" t="e">
        <f>VLOOKUP(Table1[[#This Row],[CountryCode]],[1]!Table1[#All],1,FALSE)</f>
        <v>#REF!</v>
      </c>
    </row>
    <row r="834" spans="1:12" hidden="1" x14ac:dyDescent="0.3">
      <c r="A834" t="s">
        <v>59</v>
      </c>
      <c r="B834" t="s">
        <v>60</v>
      </c>
      <c r="C834" t="s">
        <v>9</v>
      </c>
      <c r="D834" t="s">
        <v>10</v>
      </c>
      <c r="E834">
        <v>2001</v>
      </c>
      <c r="F834" s="1">
        <v>100</v>
      </c>
      <c r="G834">
        <v>2000</v>
      </c>
      <c r="H834">
        <f>AVERAGEIFS(Table1[value],Table1[IndicatorCode],Table1[[#This Row],[IndicatorCode]])</f>
        <v>99.756410256410263</v>
      </c>
      <c r="I834" cm="1">
        <f t="array" ref="I834">_xlfn.STDEV.P(IF(Table1[IndicatorCode]=Table1[[#This Row],[IndicatorCode]],Table1[value]))</f>
        <v>1.1047979755287356</v>
      </c>
      <c r="J834">
        <f>(Table1[[#This Row],[value]] - Table1[[#This Row],[mean]]) / Table1[[#This Row],[std_dev]]</f>
        <v>0.22048351733552002</v>
      </c>
      <c r="K834">
        <f>AVERAGEIF(Table1[CountryCode],Table1[[#This Row],[CountryCode]],Table1[z-score])</f>
        <v>-0.22872454493605915</v>
      </c>
      <c r="L834" t="e">
        <f>VLOOKUP(Table1[[#This Row],[CountryCode]],[1]!Table1[#All],1,FALSE)</f>
        <v>#REF!</v>
      </c>
    </row>
    <row r="835" spans="1:12" hidden="1" x14ac:dyDescent="0.3">
      <c r="A835" t="s">
        <v>59</v>
      </c>
      <c r="B835" t="s">
        <v>60</v>
      </c>
      <c r="C835" t="s">
        <v>9</v>
      </c>
      <c r="D835" t="s">
        <v>10</v>
      </c>
      <c r="E835">
        <v>2002</v>
      </c>
      <c r="F835" s="1">
        <v>100</v>
      </c>
      <c r="G835">
        <v>2000</v>
      </c>
      <c r="H835">
        <f>AVERAGEIFS(Table1[value],Table1[IndicatorCode],Table1[[#This Row],[IndicatorCode]])</f>
        <v>99.756410256410263</v>
      </c>
      <c r="I835" cm="1">
        <f t="array" ref="I835">_xlfn.STDEV.P(IF(Table1[IndicatorCode]=Table1[[#This Row],[IndicatorCode]],Table1[value]))</f>
        <v>1.1047979755287356</v>
      </c>
      <c r="J835">
        <f>(Table1[[#This Row],[value]] - Table1[[#This Row],[mean]]) / Table1[[#This Row],[std_dev]]</f>
        <v>0.22048351733552002</v>
      </c>
      <c r="K835">
        <f>AVERAGEIF(Table1[CountryCode],Table1[[#This Row],[CountryCode]],Table1[z-score])</f>
        <v>-0.22872454493605915</v>
      </c>
      <c r="L835" t="e">
        <f>VLOOKUP(Table1[[#This Row],[CountryCode]],[1]!Table1[#All],1,FALSE)</f>
        <v>#REF!</v>
      </c>
    </row>
    <row r="836" spans="1:12" hidden="1" x14ac:dyDescent="0.3">
      <c r="A836" t="s">
        <v>59</v>
      </c>
      <c r="B836" t="s">
        <v>60</v>
      </c>
      <c r="C836" t="s">
        <v>9</v>
      </c>
      <c r="D836" t="s">
        <v>10</v>
      </c>
      <c r="E836">
        <v>2003</v>
      </c>
      <c r="F836" s="1">
        <v>100</v>
      </c>
      <c r="G836">
        <v>2000</v>
      </c>
      <c r="H836">
        <f>AVERAGEIFS(Table1[value],Table1[IndicatorCode],Table1[[#This Row],[IndicatorCode]])</f>
        <v>99.756410256410263</v>
      </c>
      <c r="I836" cm="1">
        <f t="array" ref="I836">_xlfn.STDEV.P(IF(Table1[IndicatorCode]=Table1[[#This Row],[IndicatorCode]],Table1[value]))</f>
        <v>1.1047979755287356</v>
      </c>
      <c r="J836">
        <f>(Table1[[#This Row],[value]] - Table1[[#This Row],[mean]]) / Table1[[#This Row],[std_dev]]</f>
        <v>0.22048351733552002</v>
      </c>
      <c r="K836">
        <f>AVERAGEIF(Table1[CountryCode],Table1[[#This Row],[CountryCode]],Table1[z-score])</f>
        <v>-0.22872454493605915</v>
      </c>
      <c r="L836" t="e">
        <f>VLOOKUP(Table1[[#This Row],[CountryCode]],[1]!Table1[#All],1,FALSE)</f>
        <v>#REF!</v>
      </c>
    </row>
    <row r="837" spans="1:12" hidden="1" x14ac:dyDescent="0.3">
      <c r="A837" t="s">
        <v>59</v>
      </c>
      <c r="B837" t="s">
        <v>60</v>
      </c>
      <c r="C837" t="s">
        <v>9</v>
      </c>
      <c r="D837" t="s">
        <v>10</v>
      </c>
      <c r="E837">
        <v>2004</v>
      </c>
      <c r="F837" s="1">
        <v>100</v>
      </c>
      <c r="G837">
        <v>2000</v>
      </c>
      <c r="H837">
        <f>AVERAGEIFS(Table1[value],Table1[IndicatorCode],Table1[[#This Row],[IndicatorCode]])</f>
        <v>99.756410256410263</v>
      </c>
      <c r="I837" cm="1">
        <f t="array" ref="I837">_xlfn.STDEV.P(IF(Table1[IndicatorCode]=Table1[[#This Row],[IndicatorCode]],Table1[value]))</f>
        <v>1.1047979755287356</v>
      </c>
      <c r="J837">
        <f>(Table1[[#This Row],[value]] - Table1[[#This Row],[mean]]) / Table1[[#This Row],[std_dev]]</f>
        <v>0.22048351733552002</v>
      </c>
      <c r="K837">
        <f>AVERAGEIF(Table1[CountryCode],Table1[[#This Row],[CountryCode]],Table1[z-score])</f>
        <v>-0.22872454493605915</v>
      </c>
      <c r="L837" t="e">
        <f>VLOOKUP(Table1[[#This Row],[CountryCode]],[1]!Table1[#All],1,FALSE)</f>
        <v>#REF!</v>
      </c>
    </row>
    <row r="838" spans="1:12" hidden="1" x14ac:dyDescent="0.3">
      <c r="A838" t="s">
        <v>59</v>
      </c>
      <c r="B838" t="s">
        <v>60</v>
      </c>
      <c r="C838" t="s">
        <v>9</v>
      </c>
      <c r="D838" t="s">
        <v>10</v>
      </c>
      <c r="E838">
        <v>2005</v>
      </c>
      <c r="F838" s="1">
        <v>100</v>
      </c>
      <c r="G838">
        <v>2000</v>
      </c>
      <c r="H838">
        <f>AVERAGEIFS(Table1[value],Table1[IndicatorCode],Table1[[#This Row],[IndicatorCode]])</f>
        <v>99.756410256410263</v>
      </c>
      <c r="I838" cm="1">
        <f t="array" ref="I838">_xlfn.STDEV.P(IF(Table1[IndicatorCode]=Table1[[#This Row],[IndicatorCode]],Table1[value]))</f>
        <v>1.1047979755287356</v>
      </c>
      <c r="J838">
        <f>(Table1[[#This Row],[value]] - Table1[[#This Row],[mean]]) / Table1[[#This Row],[std_dev]]</f>
        <v>0.22048351733552002</v>
      </c>
      <c r="K838">
        <f>AVERAGEIF(Table1[CountryCode],Table1[[#This Row],[CountryCode]],Table1[z-score])</f>
        <v>-0.22872454493605915</v>
      </c>
      <c r="L838" t="e">
        <f>VLOOKUP(Table1[[#This Row],[CountryCode]],[1]!Table1[#All],1,FALSE)</f>
        <v>#REF!</v>
      </c>
    </row>
    <row r="839" spans="1:12" hidden="1" x14ac:dyDescent="0.3">
      <c r="A839" t="s">
        <v>59</v>
      </c>
      <c r="B839" t="s">
        <v>60</v>
      </c>
      <c r="C839" t="s">
        <v>9</v>
      </c>
      <c r="D839" t="s">
        <v>10</v>
      </c>
      <c r="E839">
        <v>2006</v>
      </c>
      <c r="F839" s="1">
        <v>100</v>
      </c>
      <c r="G839">
        <v>2000</v>
      </c>
      <c r="H839">
        <f>AVERAGEIFS(Table1[value],Table1[IndicatorCode],Table1[[#This Row],[IndicatorCode]])</f>
        <v>99.756410256410263</v>
      </c>
      <c r="I839" cm="1">
        <f t="array" ref="I839">_xlfn.STDEV.P(IF(Table1[IndicatorCode]=Table1[[#This Row],[IndicatorCode]],Table1[value]))</f>
        <v>1.1047979755287356</v>
      </c>
      <c r="J839">
        <f>(Table1[[#This Row],[value]] - Table1[[#This Row],[mean]]) / Table1[[#This Row],[std_dev]]</f>
        <v>0.22048351733552002</v>
      </c>
      <c r="K839">
        <f>AVERAGEIF(Table1[CountryCode],Table1[[#This Row],[CountryCode]],Table1[z-score])</f>
        <v>-0.22872454493605915</v>
      </c>
      <c r="L839" t="e">
        <f>VLOOKUP(Table1[[#This Row],[CountryCode]],[1]!Table1[#All],1,FALSE)</f>
        <v>#REF!</v>
      </c>
    </row>
    <row r="840" spans="1:12" hidden="1" x14ac:dyDescent="0.3">
      <c r="A840" t="s">
        <v>59</v>
      </c>
      <c r="B840" t="s">
        <v>60</v>
      </c>
      <c r="C840" t="s">
        <v>9</v>
      </c>
      <c r="D840" t="s">
        <v>10</v>
      </c>
      <c r="E840">
        <v>2007</v>
      </c>
      <c r="F840" s="1">
        <v>100</v>
      </c>
      <c r="G840">
        <v>2010</v>
      </c>
      <c r="H840">
        <f>AVERAGEIFS(Table1[value],Table1[IndicatorCode],Table1[[#This Row],[IndicatorCode]])</f>
        <v>99.756410256410263</v>
      </c>
      <c r="I840" cm="1">
        <f t="array" ref="I840">_xlfn.STDEV.P(IF(Table1[IndicatorCode]=Table1[[#This Row],[IndicatorCode]],Table1[value]))</f>
        <v>1.1047979755287356</v>
      </c>
      <c r="J840">
        <f>(Table1[[#This Row],[value]] - Table1[[#This Row],[mean]]) / Table1[[#This Row],[std_dev]]</f>
        <v>0.22048351733552002</v>
      </c>
      <c r="K840">
        <f>AVERAGEIF(Table1[CountryCode],Table1[[#This Row],[CountryCode]],Table1[z-score])</f>
        <v>-0.22872454493605915</v>
      </c>
      <c r="L840" t="e">
        <f>VLOOKUP(Table1[[#This Row],[CountryCode]],[1]!Table1[#All],1,FALSE)</f>
        <v>#REF!</v>
      </c>
    </row>
    <row r="841" spans="1:12" hidden="1" x14ac:dyDescent="0.3">
      <c r="A841" t="s">
        <v>59</v>
      </c>
      <c r="B841" t="s">
        <v>60</v>
      </c>
      <c r="C841" t="s">
        <v>9</v>
      </c>
      <c r="D841" t="s">
        <v>10</v>
      </c>
      <c r="E841">
        <v>2008</v>
      </c>
      <c r="F841" s="1">
        <v>100</v>
      </c>
      <c r="G841">
        <v>2010</v>
      </c>
      <c r="H841">
        <f>AVERAGEIFS(Table1[value],Table1[IndicatorCode],Table1[[#This Row],[IndicatorCode]])</f>
        <v>99.756410256410263</v>
      </c>
      <c r="I841" cm="1">
        <f t="array" ref="I841">_xlfn.STDEV.P(IF(Table1[IndicatorCode]=Table1[[#This Row],[IndicatorCode]],Table1[value]))</f>
        <v>1.1047979755287356</v>
      </c>
      <c r="J841">
        <f>(Table1[[#This Row],[value]] - Table1[[#This Row],[mean]]) / Table1[[#This Row],[std_dev]]</f>
        <v>0.22048351733552002</v>
      </c>
      <c r="K841">
        <f>AVERAGEIF(Table1[CountryCode],Table1[[#This Row],[CountryCode]],Table1[z-score])</f>
        <v>-0.22872454493605915</v>
      </c>
      <c r="L841" t="e">
        <f>VLOOKUP(Table1[[#This Row],[CountryCode]],[1]!Table1[#All],1,FALSE)</f>
        <v>#REF!</v>
      </c>
    </row>
    <row r="842" spans="1:12" hidden="1" x14ac:dyDescent="0.3">
      <c r="A842" t="s">
        <v>59</v>
      </c>
      <c r="B842" t="s">
        <v>60</v>
      </c>
      <c r="C842" t="s">
        <v>9</v>
      </c>
      <c r="D842" t="s">
        <v>10</v>
      </c>
      <c r="E842">
        <v>2009</v>
      </c>
      <c r="F842" s="1">
        <v>100</v>
      </c>
      <c r="G842">
        <v>2010</v>
      </c>
      <c r="H842">
        <f>AVERAGEIFS(Table1[value],Table1[IndicatorCode],Table1[[#This Row],[IndicatorCode]])</f>
        <v>99.756410256410263</v>
      </c>
      <c r="I842" cm="1">
        <f t="array" ref="I842">_xlfn.STDEV.P(IF(Table1[IndicatorCode]=Table1[[#This Row],[IndicatorCode]],Table1[value]))</f>
        <v>1.1047979755287356</v>
      </c>
      <c r="J842">
        <f>(Table1[[#This Row],[value]] - Table1[[#This Row],[mean]]) / Table1[[#This Row],[std_dev]]</f>
        <v>0.22048351733552002</v>
      </c>
      <c r="K842">
        <f>AVERAGEIF(Table1[CountryCode],Table1[[#This Row],[CountryCode]],Table1[z-score])</f>
        <v>-0.22872454493605915</v>
      </c>
      <c r="L842" t="e">
        <f>VLOOKUP(Table1[[#This Row],[CountryCode]],[1]!Table1[#All],1,FALSE)</f>
        <v>#REF!</v>
      </c>
    </row>
    <row r="843" spans="1:12" hidden="1" x14ac:dyDescent="0.3">
      <c r="A843" t="s">
        <v>59</v>
      </c>
      <c r="B843" t="s">
        <v>60</v>
      </c>
      <c r="C843" t="s">
        <v>9</v>
      </c>
      <c r="D843" t="s">
        <v>10</v>
      </c>
      <c r="E843">
        <v>2010</v>
      </c>
      <c r="F843" s="1">
        <v>100</v>
      </c>
      <c r="G843">
        <v>2010</v>
      </c>
      <c r="H843">
        <f>AVERAGEIFS(Table1[value],Table1[IndicatorCode],Table1[[#This Row],[IndicatorCode]])</f>
        <v>99.756410256410263</v>
      </c>
      <c r="I843" cm="1">
        <f t="array" ref="I843">_xlfn.STDEV.P(IF(Table1[IndicatorCode]=Table1[[#This Row],[IndicatorCode]],Table1[value]))</f>
        <v>1.1047979755287356</v>
      </c>
      <c r="J843">
        <f>(Table1[[#This Row],[value]] - Table1[[#This Row],[mean]]) / Table1[[#This Row],[std_dev]]</f>
        <v>0.22048351733552002</v>
      </c>
      <c r="K843">
        <f>AVERAGEIF(Table1[CountryCode],Table1[[#This Row],[CountryCode]],Table1[z-score])</f>
        <v>-0.22872454493605915</v>
      </c>
      <c r="L843" t="e">
        <f>VLOOKUP(Table1[[#This Row],[CountryCode]],[1]!Table1[#All],1,FALSE)</f>
        <v>#REF!</v>
      </c>
    </row>
    <row r="844" spans="1:12" hidden="1" x14ac:dyDescent="0.3">
      <c r="A844" t="s">
        <v>59</v>
      </c>
      <c r="B844" t="s">
        <v>60</v>
      </c>
      <c r="C844" t="s">
        <v>9</v>
      </c>
      <c r="D844" t="s">
        <v>10</v>
      </c>
      <c r="E844">
        <v>2011</v>
      </c>
      <c r="F844" s="1">
        <v>100</v>
      </c>
      <c r="G844">
        <v>2010</v>
      </c>
      <c r="H844">
        <f>AVERAGEIFS(Table1[value],Table1[IndicatorCode],Table1[[#This Row],[IndicatorCode]])</f>
        <v>99.756410256410263</v>
      </c>
      <c r="I844" cm="1">
        <f t="array" ref="I844">_xlfn.STDEV.P(IF(Table1[IndicatorCode]=Table1[[#This Row],[IndicatorCode]],Table1[value]))</f>
        <v>1.1047979755287356</v>
      </c>
      <c r="J844">
        <f>(Table1[[#This Row],[value]] - Table1[[#This Row],[mean]]) / Table1[[#This Row],[std_dev]]</f>
        <v>0.22048351733552002</v>
      </c>
      <c r="K844">
        <f>AVERAGEIF(Table1[CountryCode],Table1[[#This Row],[CountryCode]],Table1[z-score])</f>
        <v>-0.22872454493605915</v>
      </c>
      <c r="L844" t="e">
        <f>VLOOKUP(Table1[[#This Row],[CountryCode]],[1]!Table1[#All],1,FALSE)</f>
        <v>#REF!</v>
      </c>
    </row>
    <row r="845" spans="1:12" hidden="1" x14ac:dyDescent="0.3">
      <c r="A845" t="s">
        <v>59</v>
      </c>
      <c r="B845" t="s">
        <v>60</v>
      </c>
      <c r="C845" t="s">
        <v>9</v>
      </c>
      <c r="D845" t="s">
        <v>10</v>
      </c>
      <c r="E845">
        <v>2012</v>
      </c>
      <c r="F845" s="1">
        <v>100</v>
      </c>
      <c r="G845">
        <v>2010</v>
      </c>
      <c r="H845">
        <f>AVERAGEIFS(Table1[value],Table1[IndicatorCode],Table1[[#This Row],[IndicatorCode]])</f>
        <v>99.756410256410263</v>
      </c>
      <c r="I845" cm="1">
        <f t="array" ref="I845">_xlfn.STDEV.P(IF(Table1[IndicatorCode]=Table1[[#This Row],[IndicatorCode]],Table1[value]))</f>
        <v>1.1047979755287356</v>
      </c>
      <c r="J845">
        <f>(Table1[[#This Row],[value]] - Table1[[#This Row],[mean]]) / Table1[[#This Row],[std_dev]]</f>
        <v>0.22048351733552002</v>
      </c>
      <c r="K845">
        <f>AVERAGEIF(Table1[CountryCode],Table1[[#This Row],[CountryCode]],Table1[z-score])</f>
        <v>-0.22872454493605915</v>
      </c>
      <c r="L845" t="e">
        <f>VLOOKUP(Table1[[#This Row],[CountryCode]],[1]!Table1[#All],1,FALSE)</f>
        <v>#REF!</v>
      </c>
    </row>
    <row r="846" spans="1:12" hidden="1" x14ac:dyDescent="0.3">
      <c r="A846" t="s">
        <v>59</v>
      </c>
      <c r="B846" t="s">
        <v>60</v>
      </c>
      <c r="C846" t="s">
        <v>9</v>
      </c>
      <c r="D846" t="s">
        <v>10</v>
      </c>
      <c r="E846">
        <v>2013</v>
      </c>
      <c r="F846" s="1">
        <v>100</v>
      </c>
      <c r="G846">
        <v>2010</v>
      </c>
      <c r="H846">
        <f>AVERAGEIFS(Table1[value],Table1[IndicatorCode],Table1[[#This Row],[IndicatorCode]])</f>
        <v>99.756410256410263</v>
      </c>
      <c r="I846" cm="1">
        <f t="array" ref="I846">_xlfn.STDEV.P(IF(Table1[IndicatorCode]=Table1[[#This Row],[IndicatorCode]],Table1[value]))</f>
        <v>1.1047979755287356</v>
      </c>
      <c r="J846">
        <f>(Table1[[#This Row],[value]] - Table1[[#This Row],[mean]]) / Table1[[#This Row],[std_dev]]</f>
        <v>0.22048351733552002</v>
      </c>
      <c r="K846">
        <f>AVERAGEIF(Table1[CountryCode],Table1[[#This Row],[CountryCode]],Table1[z-score])</f>
        <v>-0.22872454493605915</v>
      </c>
      <c r="L846" t="e">
        <f>VLOOKUP(Table1[[#This Row],[CountryCode]],[1]!Table1[#All],1,FALSE)</f>
        <v>#REF!</v>
      </c>
    </row>
    <row r="847" spans="1:12" hidden="1" x14ac:dyDescent="0.3">
      <c r="A847" t="s">
        <v>59</v>
      </c>
      <c r="B847" t="s">
        <v>60</v>
      </c>
      <c r="C847" t="s">
        <v>9</v>
      </c>
      <c r="D847" t="s">
        <v>10</v>
      </c>
      <c r="E847">
        <v>2014</v>
      </c>
      <c r="F847" s="1">
        <v>100</v>
      </c>
      <c r="G847">
        <v>2010</v>
      </c>
      <c r="H847">
        <f>AVERAGEIFS(Table1[value],Table1[IndicatorCode],Table1[[#This Row],[IndicatorCode]])</f>
        <v>99.756410256410263</v>
      </c>
      <c r="I847" cm="1">
        <f t="array" ref="I847">_xlfn.STDEV.P(IF(Table1[IndicatorCode]=Table1[[#This Row],[IndicatorCode]],Table1[value]))</f>
        <v>1.1047979755287356</v>
      </c>
      <c r="J847">
        <f>(Table1[[#This Row],[value]] - Table1[[#This Row],[mean]]) / Table1[[#This Row],[std_dev]]</f>
        <v>0.22048351733552002</v>
      </c>
      <c r="K847">
        <f>AVERAGEIF(Table1[CountryCode],Table1[[#This Row],[CountryCode]],Table1[z-score])</f>
        <v>-0.22872454493605915</v>
      </c>
      <c r="L847" t="e">
        <f>VLOOKUP(Table1[[#This Row],[CountryCode]],[1]!Table1[#All],1,FALSE)</f>
        <v>#REF!</v>
      </c>
    </row>
    <row r="848" spans="1:12" hidden="1" x14ac:dyDescent="0.3">
      <c r="A848" t="s">
        <v>59</v>
      </c>
      <c r="B848" t="s">
        <v>60</v>
      </c>
      <c r="C848" t="s">
        <v>9</v>
      </c>
      <c r="D848" t="s">
        <v>10</v>
      </c>
      <c r="E848">
        <v>2015</v>
      </c>
      <c r="F848" s="1">
        <v>100</v>
      </c>
      <c r="G848">
        <v>2010</v>
      </c>
      <c r="H848">
        <f>AVERAGEIFS(Table1[value],Table1[IndicatorCode],Table1[[#This Row],[IndicatorCode]])</f>
        <v>99.756410256410263</v>
      </c>
      <c r="I848" cm="1">
        <f t="array" ref="I848">_xlfn.STDEV.P(IF(Table1[IndicatorCode]=Table1[[#This Row],[IndicatorCode]],Table1[value]))</f>
        <v>1.1047979755287356</v>
      </c>
      <c r="J848">
        <f>(Table1[[#This Row],[value]] - Table1[[#This Row],[mean]]) / Table1[[#This Row],[std_dev]]</f>
        <v>0.22048351733552002</v>
      </c>
      <c r="K848">
        <f>AVERAGEIF(Table1[CountryCode],Table1[[#This Row],[CountryCode]],Table1[z-score])</f>
        <v>-0.22872454493605915</v>
      </c>
      <c r="L848" t="e">
        <f>VLOOKUP(Table1[[#This Row],[CountryCode]],[1]!Table1[#All],1,FALSE)</f>
        <v>#REF!</v>
      </c>
    </row>
    <row r="849" spans="1:12" hidden="1" x14ac:dyDescent="0.3">
      <c r="A849" t="s">
        <v>59</v>
      </c>
      <c r="B849" t="s">
        <v>60</v>
      </c>
      <c r="C849" t="s">
        <v>9</v>
      </c>
      <c r="D849" t="s">
        <v>10</v>
      </c>
      <c r="E849">
        <v>2016</v>
      </c>
      <c r="F849" s="1">
        <v>100</v>
      </c>
      <c r="G849">
        <v>2010</v>
      </c>
      <c r="H849">
        <f>AVERAGEIFS(Table1[value],Table1[IndicatorCode],Table1[[#This Row],[IndicatorCode]])</f>
        <v>99.756410256410263</v>
      </c>
      <c r="I849" cm="1">
        <f t="array" ref="I849">_xlfn.STDEV.P(IF(Table1[IndicatorCode]=Table1[[#This Row],[IndicatorCode]],Table1[value]))</f>
        <v>1.1047979755287356</v>
      </c>
      <c r="J849">
        <f>(Table1[[#This Row],[value]] - Table1[[#This Row],[mean]]) / Table1[[#This Row],[std_dev]]</f>
        <v>0.22048351733552002</v>
      </c>
      <c r="K849">
        <f>AVERAGEIF(Table1[CountryCode],Table1[[#This Row],[CountryCode]],Table1[z-score])</f>
        <v>-0.22872454493605915</v>
      </c>
      <c r="L849" t="e">
        <f>VLOOKUP(Table1[[#This Row],[CountryCode]],[1]!Table1[#All],1,FALSE)</f>
        <v>#REF!</v>
      </c>
    </row>
    <row r="850" spans="1:12" hidden="1" x14ac:dyDescent="0.3">
      <c r="A850" t="s">
        <v>59</v>
      </c>
      <c r="B850" t="s">
        <v>60</v>
      </c>
      <c r="C850" t="s">
        <v>9</v>
      </c>
      <c r="D850" t="s">
        <v>10</v>
      </c>
      <c r="E850">
        <v>2017</v>
      </c>
      <c r="F850" s="1">
        <v>100</v>
      </c>
      <c r="G850">
        <v>2020</v>
      </c>
      <c r="H850">
        <f>AVERAGEIFS(Table1[value],Table1[IndicatorCode],Table1[[#This Row],[IndicatorCode]])</f>
        <v>99.756410256410263</v>
      </c>
      <c r="I850" cm="1">
        <f t="array" ref="I850">_xlfn.STDEV.P(IF(Table1[IndicatorCode]=Table1[[#This Row],[IndicatorCode]],Table1[value]))</f>
        <v>1.1047979755287356</v>
      </c>
      <c r="J850">
        <f>(Table1[[#This Row],[value]] - Table1[[#This Row],[mean]]) / Table1[[#This Row],[std_dev]]</f>
        <v>0.22048351733552002</v>
      </c>
      <c r="K850">
        <f>AVERAGEIF(Table1[CountryCode],Table1[[#This Row],[CountryCode]],Table1[z-score])</f>
        <v>-0.22872454493605915</v>
      </c>
      <c r="L850" t="e">
        <f>VLOOKUP(Table1[[#This Row],[CountryCode]],[1]!Table1[#All],1,FALSE)</f>
        <v>#REF!</v>
      </c>
    </row>
    <row r="851" spans="1:12" hidden="1" x14ac:dyDescent="0.3">
      <c r="A851" t="s">
        <v>59</v>
      </c>
      <c r="B851" t="s">
        <v>60</v>
      </c>
      <c r="C851" t="s">
        <v>9</v>
      </c>
      <c r="D851" t="s">
        <v>10</v>
      </c>
      <c r="E851">
        <v>2018</v>
      </c>
      <c r="F851" s="1">
        <v>100</v>
      </c>
      <c r="G851">
        <v>2020</v>
      </c>
      <c r="H851">
        <f>AVERAGEIFS(Table1[value],Table1[IndicatorCode],Table1[[#This Row],[IndicatorCode]])</f>
        <v>99.756410256410263</v>
      </c>
      <c r="I851" cm="1">
        <f t="array" ref="I851">_xlfn.STDEV.P(IF(Table1[IndicatorCode]=Table1[[#This Row],[IndicatorCode]],Table1[value]))</f>
        <v>1.1047979755287356</v>
      </c>
      <c r="J851">
        <f>(Table1[[#This Row],[value]] - Table1[[#This Row],[mean]]) / Table1[[#This Row],[std_dev]]</f>
        <v>0.22048351733552002</v>
      </c>
      <c r="K851">
        <f>AVERAGEIF(Table1[CountryCode],Table1[[#This Row],[CountryCode]],Table1[z-score])</f>
        <v>-0.22872454493605915</v>
      </c>
      <c r="L851" t="e">
        <f>VLOOKUP(Table1[[#This Row],[CountryCode]],[1]!Table1[#All],1,FALSE)</f>
        <v>#REF!</v>
      </c>
    </row>
    <row r="852" spans="1:12" hidden="1" x14ac:dyDescent="0.3">
      <c r="A852" t="s">
        <v>59</v>
      </c>
      <c r="B852" t="s">
        <v>60</v>
      </c>
      <c r="C852" t="s">
        <v>9</v>
      </c>
      <c r="D852" t="s">
        <v>10</v>
      </c>
      <c r="E852">
        <v>2019</v>
      </c>
      <c r="F852" s="1">
        <v>100</v>
      </c>
      <c r="G852">
        <v>2020</v>
      </c>
      <c r="H852">
        <f>AVERAGEIFS(Table1[value],Table1[IndicatorCode],Table1[[#This Row],[IndicatorCode]])</f>
        <v>99.756410256410263</v>
      </c>
      <c r="I852" cm="1">
        <f t="array" ref="I852">_xlfn.STDEV.P(IF(Table1[IndicatorCode]=Table1[[#This Row],[IndicatorCode]],Table1[value]))</f>
        <v>1.1047979755287356</v>
      </c>
      <c r="J852">
        <f>(Table1[[#This Row],[value]] - Table1[[#This Row],[mean]]) / Table1[[#This Row],[std_dev]]</f>
        <v>0.22048351733552002</v>
      </c>
      <c r="K852">
        <f>AVERAGEIF(Table1[CountryCode],Table1[[#This Row],[CountryCode]],Table1[z-score])</f>
        <v>-0.22872454493605915</v>
      </c>
      <c r="L852" t="e">
        <f>VLOOKUP(Table1[[#This Row],[CountryCode]],[1]!Table1[#All],1,FALSE)</f>
        <v>#REF!</v>
      </c>
    </row>
    <row r="853" spans="1:12" x14ac:dyDescent="0.3">
      <c r="A853" t="s">
        <v>59</v>
      </c>
      <c r="B853" t="s">
        <v>60</v>
      </c>
      <c r="C853" t="s">
        <v>9</v>
      </c>
      <c r="D853" t="s">
        <v>10</v>
      </c>
      <c r="E853">
        <v>2020</v>
      </c>
      <c r="F853" s="1">
        <v>100</v>
      </c>
      <c r="G853">
        <v>2020</v>
      </c>
      <c r="H853">
        <f>AVERAGEIFS(Table1[value],Table1[IndicatorCode],Table1[[#This Row],[IndicatorCode]])</f>
        <v>99.756410256410263</v>
      </c>
      <c r="I853" cm="1">
        <f t="array" ref="I853">_xlfn.STDEV.P(IF(Table1[IndicatorCode]=Table1[[#This Row],[IndicatorCode]],Table1[value]))</f>
        <v>1.1047979755287356</v>
      </c>
      <c r="J853">
        <f>(Table1[[#This Row],[value]] - Table1[[#This Row],[mean]]) / Table1[[#This Row],[std_dev]]</f>
        <v>0.22048351733552002</v>
      </c>
      <c r="K853">
        <f>AVERAGEIF(Table1[CountryCode],Table1[[#This Row],[CountryCode]],Table1[z-score])</f>
        <v>-0.22872454493605915</v>
      </c>
    </row>
    <row r="854" spans="1:12" hidden="1" x14ac:dyDescent="0.3">
      <c r="A854" t="s">
        <v>59</v>
      </c>
      <c r="B854" t="s">
        <v>60</v>
      </c>
      <c r="C854" t="s">
        <v>9</v>
      </c>
      <c r="D854" t="s">
        <v>10</v>
      </c>
      <c r="E854">
        <v>2021</v>
      </c>
      <c r="F854" s="1">
        <v>100</v>
      </c>
      <c r="G854">
        <v>1990</v>
      </c>
      <c r="H854">
        <f>AVERAGEIFS(Table1[value],Table1[IndicatorCode],Table1[[#This Row],[IndicatorCode]])</f>
        <v>99.756410256410263</v>
      </c>
      <c r="I854" cm="1">
        <f t="array" ref="I854">_xlfn.STDEV.P(IF(Table1[IndicatorCode]=Table1[[#This Row],[IndicatorCode]],Table1[value]))</f>
        <v>1.1047979755287356</v>
      </c>
      <c r="J854">
        <f>(Table1[[#This Row],[value]] - Table1[[#This Row],[mean]]) / Table1[[#This Row],[std_dev]]</f>
        <v>0.22048351733552002</v>
      </c>
      <c r="K854">
        <f>AVERAGEIF(Table1[CountryCode],Table1[[#This Row],[CountryCode]],Table1[z-score])</f>
        <v>-0.22872454493605915</v>
      </c>
      <c r="L854" t="e">
        <f>VLOOKUP(Table1[[#This Row],[CountryCode]],[1]!Table1[#All],1,FALSE)</f>
        <v>#REF!</v>
      </c>
    </row>
    <row r="855" spans="1:12" hidden="1" x14ac:dyDescent="0.3">
      <c r="A855" t="s">
        <v>59</v>
      </c>
      <c r="B855" t="s">
        <v>60</v>
      </c>
      <c r="C855" t="s">
        <v>9</v>
      </c>
      <c r="D855" t="s">
        <v>10</v>
      </c>
      <c r="E855">
        <v>2022</v>
      </c>
      <c r="F855" s="1">
        <v>100</v>
      </c>
      <c r="G855">
        <v>1990</v>
      </c>
      <c r="H855">
        <f>AVERAGEIFS(Table1[value],Table1[IndicatorCode],Table1[[#This Row],[IndicatorCode]])</f>
        <v>99.756410256410263</v>
      </c>
      <c r="I855" cm="1">
        <f t="array" ref="I855">_xlfn.STDEV.P(IF(Table1[IndicatorCode]=Table1[[#This Row],[IndicatorCode]],Table1[value]))</f>
        <v>1.1047979755287356</v>
      </c>
      <c r="J855">
        <f>(Table1[[#This Row],[value]] - Table1[[#This Row],[mean]]) / Table1[[#This Row],[std_dev]]</f>
        <v>0.22048351733552002</v>
      </c>
      <c r="K855">
        <f>AVERAGEIF(Table1[CountryCode],Table1[[#This Row],[CountryCode]],Table1[z-score])</f>
        <v>-0.22872454493605915</v>
      </c>
      <c r="L855" t="e">
        <f>VLOOKUP(Table1[[#This Row],[CountryCode]],[1]!Table1[#All],1,FALSE)</f>
        <v>#REF!</v>
      </c>
    </row>
    <row r="856" spans="1:12" hidden="1" x14ac:dyDescent="0.3">
      <c r="A856" t="s">
        <v>59</v>
      </c>
      <c r="B856" t="s">
        <v>60</v>
      </c>
      <c r="C856" t="s">
        <v>9</v>
      </c>
      <c r="D856" t="s">
        <v>10</v>
      </c>
      <c r="E856">
        <v>2023</v>
      </c>
      <c r="F856" s="1">
        <v>100</v>
      </c>
      <c r="G856">
        <v>1990</v>
      </c>
      <c r="H856">
        <f>AVERAGEIFS(Table1[value],Table1[IndicatorCode],Table1[[#This Row],[IndicatorCode]])</f>
        <v>99.756410256410263</v>
      </c>
      <c r="I856" cm="1">
        <f t="array" ref="I856">_xlfn.STDEV.P(IF(Table1[IndicatorCode]=Table1[[#This Row],[IndicatorCode]],Table1[value]))</f>
        <v>1.1047979755287356</v>
      </c>
      <c r="J856">
        <f>(Table1[[#This Row],[value]] - Table1[[#This Row],[mean]]) / Table1[[#This Row],[std_dev]]</f>
        <v>0.22048351733552002</v>
      </c>
      <c r="K856">
        <f>AVERAGEIF(Table1[CountryCode],Table1[[#This Row],[CountryCode]],Table1[z-score])</f>
        <v>-0.22872454493605915</v>
      </c>
      <c r="L856" t="e">
        <f>VLOOKUP(Table1[[#This Row],[CountryCode]],[1]!Table1[#All],1,FALSE)</f>
        <v>#REF!</v>
      </c>
    </row>
    <row r="857" spans="1:12" hidden="1" x14ac:dyDescent="0.3">
      <c r="A857" t="s">
        <v>61</v>
      </c>
      <c r="B857" t="s">
        <v>62</v>
      </c>
      <c r="C857" t="s">
        <v>9</v>
      </c>
      <c r="D857" t="s">
        <v>10</v>
      </c>
      <c r="E857">
        <v>1990</v>
      </c>
      <c r="F857" s="1">
        <v>100</v>
      </c>
      <c r="G857">
        <v>1990</v>
      </c>
      <c r="H857">
        <f>AVERAGEIFS(Table1[value],Table1[IndicatorCode],Table1[[#This Row],[IndicatorCode]])</f>
        <v>99.756410256410263</v>
      </c>
      <c r="I857" cm="1">
        <f t="array" ref="I857">_xlfn.STDEV.P(IF(Table1[IndicatorCode]=Table1[[#This Row],[IndicatorCode]],Table1[value]))</f>
        <v>1.1047979755287356</v>
      </c>
      <c r="J857">
        <f>(Table1[[#This Row],[value]] - Table1[[#This Row],[mean]]) / Table1[[#This Row],[std_dev]]</f>
        <v>0.22048351733552002</v>
      </c>
      <c r="K857">
        <f>AVERAGEIF(Table1[CountryCode],Table1[[#This Row],[CountryCode]],Table1[z-score])</f>
        <v>-0.27867415315004246</v>
      </c>
      <c r="L857" t="e">
        <f>VLOOKUP(Table1[[#This Row],[CountryCode]],[1]!Table1[#All],1,FALSE)</f>
        <v>#REF!</v>
      </c>
    </row>
    <row r="858" spans="1:12" hidden="1" x14ac:dyDescent="0.3">
      <c r="A858" t="s">
        <v>61</v>
      </c>
      <c r="B858" t="s">
        <v>62</v>
      </c>
      <c r="C858" t="s">
        <v>9</v>
      </c>
      <c r="D858" t="s">
        <v>10</v>
      </c>
      <c r="E858">
        <v>1991</v>
      </c>
      <c r="F858" s="1">
        <v>100</v>
      </c>
      <c r="G858">
        <v>1990</v>
      </c>
      <c r="H858">
        <f>AVERAGEIFS(Table1[value],Table1[IndicatorCode],Table1[[#This Row],[IndicatorCode]])</f>
        <v>99.756410256410263</v>
      </c>
      <c r="I858" cm="1">
        <f t="array" ref="I858">_xlfn.STDEV.P(IF(Table1[IndicatorCode]=Table1[[#This Row],[IndicatorCode]],Table1[value]))</f>
        <v>1.1047979755287356</v>
      </c>
      <c r="J858">
        <f>(Table1[[#This Row],[value]] - Table1[[#This Row],[mean]]) / Table1[[#This Row],[std_dev]]</f>
        <v>0.22048351733552002</v>
      </c>
      <c r="K858">
        <f>AVERAGEIF(Table1[CountryCode],Table1[[#This Row],[CountryCode]],Table1[z-score])</f>
        <v>-0.27867415315004246</v>
      </c>
      <c r="L858" t="e">
        <f>VLOOKUP(Table1[[#This Row],[CountryCode]],[1]!Table1[#All],1,FALSE)</f>
        <v>#REF!</v>
      </c>
    </row>
    <row r="859" spans="1:12" hidden="1" x14ac:dyDescent="0.3">
      <c r="A859" t="s">
        <v>61</v>
      </c>
      <c r="B859" t="s">
        <v>62</v>
      </c>
      <c r="C859" t="s">
        <v>9</v>
      </c>
      <c r="D859" t="s">
        <v>10</v>
      </c>
      <c r="E859">
        <v>1992</v>
      </c>
      <c r="F859" s="1">
        <v>100</v>
      </c>
      <c r="G859">
        <v>1990</v>
      </c>
      <c r="H859">
        <f>AVERAGEIFS(Table1[value],Table1[IndicatorCode],Table1[[#This Row],[IndicatorCode]])</f>
        <v>99.756410256410263</v>
      </c>
      <c r="I859" cm="1">
        <f t="array" ref="I859">_xlfn.STDEV.P(IF(Table1[IndicatorCode]=Table1[[#This Row],[IndicatorCode]],Table1[value]))</f>
        <v>1.1047979755287356</v>
      </c>
      <c r="J859">
        <f>(Table1[[#This Row],[value]] - Table1[[#This Row],[mean]]) / Table1[[#This Row],[std_dev]]</f>
        <v>0.22048351733552002</v>
      </c>
      <c r="K859">
        <f>AVERAGEIF(Table1[CountryCode],Table1[[#This Row],[CountryCode]],Table1[z-score])</f>
        <v>-0.27867415315004246</v>
      </c>
      <c r="L859" t="e">
        <f>VLOOKUP(Table1[[#This Row],[CountryCode]],[1]!Table1[#All],1,FALSE)</f>
        <v>#REF!</v>
      </c>
    </row>
    <row r="860" spans="1:12" hidden="1" x14ac:dyDescent="0.3">
      <c r="A860" t="s">
        <v>61</v>
      </c>
      <c r="B860" t="s">
        <v>62</v>
      </c>
      <c r="C860" t="s">
        <v>9</v>
      </c>
      <c r="D860" t="s">
        <v>10</v>
      </c>
      <c r="E860">
        <v>1993</v>
      </c>
      <c r="F860" s="1">
        <v>100</v>
      </c>
      <c r="G860">
        <v>1990</v>
      </c>
      <c r="H860">
        <f>AVERAGEIFS(Table1[value],Table1[IndicatorCode],Table1[[#This Row],[IndicatorCode]])</f>
        <v>99.756410256410263</v>
      </c>
      <c r="I860" cm="1">
        <f t="array" ref="I860">_xlfn.STDEV.P(IF(Table1[IndicatorCode]=Table1[[#This Row],[IndicatorCode]],Table1[value]))</f>
        <v>1.1047979755287356</v>
      </c>
      <c r="J860">
        <f>(Table1[[#This Row],[value]] - Table1[[#This Row],[mean]]) / Table1[[#This Row],[std_dev]]</f>
        <v>0.22048351733552002</v>
      </c>
      <c r="K860">
        <f>AVERAGEIF(Table1[CountryCode],Table1[[#This Row],[CountryCode]],Table1[z-score])</f>
        <v>-0.27867415315004246</v>
      </c>
      <c r="L860" t="e">
        <f>VLOOKUP(Table1[[#This Row],[CountryCode]],[1]!Table1[#All],1,FALSE)</f>
        <v>#REF!</v>
      </c>
    </row>
    <row r="861" spans="1:12" hidden="1" x14ac:dyDescent="0.3">
      <c r="A861" t="s">
        <v>61</v>
      </c>
      <c r="B861" t="s">
        <v>62</v>
      </c>
      <c r="C861" t="s">
        <v>9</v>
      </c>
      <c r="D861" t="s">
        <v>10</v>
      </c>
      <c r="E861">
        <v>1994</v>
      </c>
      <c r="F861" s="1">
        <v>100</v>
      </c>
      <c r="G861">
        <v>1990</v>
      </c>
      <c r="H861">
        <f>AVERAGEIFS(Table1[value],Table1[IndicatorCode],Table1[[#This Row],[IndicatorCode]])</f>
        <v>99.756410256410263</v>
      </c>
      <c r="I861" cm="1">
        <f t="array" ref="I861">_xlfn.STDEV.P(IF(Table1[IndicatorCode]=Table1[[#This Row],[IndicatorCode]],Table1[value]))</f>
        <v>1.1047979755287356</v>
      </c>
      <c r="J861">
        <f>(Table1[[#This Row],[value]] - Table1[[#This Row],[mean]]) / Table1[[#This Row],[std_dev]]</f>
        <v>0.22048351733552002</v>
      </c>
      <c r="K861">
        <f>AVERAGEIF(Table1[CountryCode],Table1[[#This Row],[CountryCode]],Table1[z-score])</f>
        <v>-0.27867415315004246</v>
      </c>
      <c r="L861" t="e">
        <f>VLOOKUP(Table1[[#This Row],[CountryCode]],[1]!Table1[#All],1,FALSE)</f>
        <v>#REF!</v>
      </c>
    </row>
    <row r="862" spans="1:12" hidden="1" x14ac:dyDescent="0.3">
      <c r="A862" t="s">
        <v>61</v>
      </c>
      <c r="B862" t="s">
        <v>62</v>
      </c>
      <c r="C862" t="s">
        <v>9</v>
      </c>
      <c r="D862" t="s">
        <v>10</v>
      </c>
      <c r="E862">
        <v>1995</v>
      </c>
      <c r="F862" s="1">
        <v>100</v>
      </c>
      <c r="G862">
        <v>1990</v>
      </c>
      <c r="H862">
        <f>AVERAGEIFS(Table1[value],Table1[IndicatorCode],Table1[[#This Row],[IndicatorCode]])</f>
        <v>99.756410256410263</v>
      </c>
      <c r="I862" cm="1">
        <f t="array" ref="I862">_xlfn.STDEV.P(IF(Table1[IndicatorCode]=Table1[[#This Row],[IndicatorCode]],Table1[value]))</f>
        <v>1.1047979755287356</v>
      </c>
      <c r="J862">
        <f>(Table1[[#This Row],[value]] - Table1[[#This Row],[mean]]) / Table1[[#This Row],[std_dev]]</f>
        <v>0.22048351733552002</v>
      </c>
      <c r="K862">
        <f>AVERAGEIF(Table1[CountryCode],Table1[[#This Row],[CountryCode]],Table1[z-score])</f>
        <v>-0.27867415315004246</v>
      </c>
      <c r="L862" t="e">
        <f>VLOOKUP(Table1[[#This Row],[CountryCode]],[1]!Table1[#All],1,FALSE)</f>
        <v>#REF!</v>
      </c>
    </row>
    <row r="863" spans="1:12" hidden="1" x14ac:dyDescent="0.3">
      <c r="A863" t="s">
        <v>61</v>
      </c>
      <c r="B863" t="s">
        <v>62</v>
      </c>
      <c r="C863" t="s">
        <v>9</v>
      </c>
      <c r="D863" t="s">
        <v>10</v>
      </c>
      <c r="E863">
        <v>1996</v>
      </c>
      <c r="F863" s="1">
        <v>100</v>
      </c>
      <c r="G863">
        <v>1990</v>
      </c>
      <c r="H863">
        <f>AVERAGEIFS(Table1[value],Table1[IndicatorCode],Table1[[#This Row],[IndicatorCode]])</f>
        <v>99.756410256410263</v>
      </c>
      <c r="I863" cm="1">
        <f t="array" ref="I863">_xlfn.STDEV.P(IF(Table1[IndicatorCode]=Table1[[#This Row],[IndicatorCode]],Table1[value]))</f>
        <v>1.1047979755287356</v>
      </c>
      <c r="J863">
        <f>(Table1[[#This Row],[value]] - Table1[[#This Row],[mean]]) / Table1[[#This Row],[std_dev]]</f>
        <v>0.22048351733552002</v>
      </c>
      <c r="K863">
        <f>AVERAGEIF(Table1[CountryCode],Table1[[#This Row],[CountryCode]],Table1[z-score])</f>
        <v>-0.27867415315004246</v>
      </c>
      <c r="L863" t="e">
        <f>VLOOKUP(Table1[[#This Row],[CountryCode]],[1]!Table1[#All],1,FALSE)</f>
        <v>#REF!</v>
      </c>
    </row>
    <row r="864" spans="1:12" hidden="1" x14ac:dyDescent="0.3">
      <c r="A864" t="s">
        <v>61</v>
      </c>
      <c r="B864" t="s">
        <v>62</v>
      </c>
      <c r="C864" t="s">
        <v>9</v>
      </c>
      <c r="D864" t="s">
        <v>10</v>
      </c>
      <c r="E864">
        <v>1997</v>
      </c>
      <c r="F864" s="1">
        <v>100</v>
      </c>
      <c r="G864">
        <v>2000</v>
      </c>
      <c r="H864">
        <f>AVERAGEIFS(Table1[value],Table1[IndicatorCode],Table1[[#This Row],[IndicatorCode]])</f>
        <v>99.756410256410263</v>
      </c>
      <c r="I864" cm="1">
        <f t="array" ref="I864">_xlfn.STDEV.P(IF(Table1[IndicatorCode]=Table1[[#This Row],[IndicatorCode]],Table1[value]))</f>
        <v>1.1047979755287356</v>
      </c>
      <c r="J864">
        <f>(Table1[[#This Row],[value]] - Table1[[#This Row],[mean]]) / Table1[[#This Row],[std_dev]]</f>
        <v>0.22048351733552002</v>
      </c>
      <c r="K864">
        <f>AVERAGEIF(Table1[CountryCode],Table1[[#This Row],[CountryCode]],Table1[z-score])</f>
        <v>-0.27867415315004246</v>
      </c>
      <c r="L864" t="e">
        <f>VLOOKUP(Table1[[#This Row],[CountryCode]],[1]!Table1[#All],1,FALSE)</f>
        <v>#REF!</v>
      </c>
    </row>
    <row r="865" spans="1:12" hidden="1" x14ac:dyDescent="0.3">
      <c r="A865" t="s">
        <v>61</v>
      </c>
      <c r="B865" t="s">
        <v>62</v>
      </c>
      <c r="C865" t="s">
        <v>9</v>
      </c>
      <c r="D865" t="s">
        <v>10</v>
      </c>
      <c r="E865">
        <v>1998</v>
      </c>
      <c r="F865" s="1">
        <v>100</v>
      </c>
      <c r="G865">
        <v>2000</v>
      </c>
      <c r="H865">
        <f>AVERAGEIFS(Table1[value],Table1[IndicatorCode],Table1[[#This Row],[IndicatorCode]])</f>
        <v>99.756410256410263</v>
      </c>
      <c r="I865" cm="1">
        <f t="array" ref="I865">_xlfn.STDEV.P(IF(Table1[IndicatorCode]=Table1[[#This Row],[IndicatorCode]],Table1[value]))</f>
        <v>1.1047979755287356</v>
      </c>
      <c r="J865">
        <f>(Table1[[#This Row],[value]] - Table1[[#This Row],[mean]]) / Table1[[#This Row],[std_dev]]</f>
        <v>0.22048351733552002</v>
      </c>
      <c r="K865">
        <f>AVERAGEIF(Table1[CountryCode],Table1[[#This Row],[CountryCode]],Table1[z-score])</f>
        <v>-0.27867415315004246</v>
      </c>
      <c r="L865" t="e">
        <f>VLOOKUP(Table1[[#This Row],[CountryCode]],[1]!Table1[#All],1,FALSE)</f>
        <v>#REF!</v>
      </c>
    </row>
    <row r="866" spans="1:12" hidden="1" x14ac:dyDescent="0.3">
      <c r="A866" t="s">
        <v>61</v>
      </c>
      <c r="B866" t="s">
        <v>62</v>
      </c>
      <c r="C866" t="s">
        <v>9</v>
      </c>
      <c r="D866" t="s">
        <v>10</v>
      </c>
      <c r="E866">
        <v>1999</v>
      </c>
      <c r="F866" s="1">
        <v>100</v>
      </c>
      <c r="G866">
        <v>2000</v>
      </c>
      <c r="H866">
        <f>AVERAGEIFS(Table1[value],Table1[IndicatorCode],Table1[[#This Row],[IndicatorCode]])</f>
        <v>99.756410256410263</v>
      </c>
      <c r="I866" cm="1">
        <f t="array" ref="I866">_xlfn.STDEV.P(IF(Table1[IndicatorCode]=Table1[[#This Row],[IndicatorCode]],Table1[value]))</f>
        <v>1.1047979755287356</v>
      </c>
      <c r="J866">
        <f>(Table1[[#This Row],[value]] - Table1[[#This Row],[mean]]) / Table1[[#This Row],[std_dev]]</f>
        <v>0.22048351733552002</v>
      </c>
      <c r="K866">
        <f>AVERAGEIF(Table1[CountryCode],Table1[[#This Row],[CountryCode]],Table1[z-score])</f>
        <v>-0.27867415315004246</v>
      </c>
      <c r="L866" t="e">
        <f>VLOOKUP(Table1[[#This Row],[CountryCode]],[1]!Table1[#All],1,FALSE)</f>
        <v>#REF!</v>
      </c>
    </row>
    <row r="867" spans="1:12" hidden="1" x14ac:dyDescent="0.3">
      <c r="A867" t="s">
        <v>61</v>
      </c>
      <c r="B867" t="s">
        <v>62</v>
      </c>
      <c r="C867" t="s">
        <v>9</v>
      </c>
      <c r="D867" t="s">
        <v>10</v>
      </c>
      <c r="E867">
        <v>2000</v>
      </c>
      <c r="F867" s="1">
        <v>100</v>
      </c>
      <c r="G867">
        <v>2000</v>
      </c>
      <c r="H867">
        <f>AVERAGEIFS(Table1[value],Table1[IndicatorCode],Table1[[#This Row],[IndicatorCode]])</f>
        <v>99.756410256410263</v>
      </c>
      <c r="I867" cm="1">
        <f t="array" ref="I867">_xlfn.STDEV.P(IF(Table1[IndicatorCode]=Table1[[#This Row],[IndicatorCode]],Table1[value]))</f>
        <v>1.1047979755287356</v>
      </c>
      <c r="J867">
        <f>(Table1[[#This Row],[value]] - Table1[[#This Row],[mean]]) / Table1[[#This Row],[std_dev]]</f>
        <v>0.22048351733552002</v>
      </c>
      <c r="K867">
        <f>AVERAGEIF(Table1[CountryCode],Table1[[#This Row],[CountryCode]],Table1[z-score])</f>
        <v>-0.27867415315004246</v>
      </c>
      <c r="L867" t="e">
        <f>VLOOKUP(Table1[[#This Row],[CountryCode]],[1]!Table1[#All],1,FALSE)</f>
        <v>#REF!</v>
      </c>
    </row>
    <row r="868" spans="1:12" hidden="1" x14ac:dyDescent="0.3">
      <c r="A868" t="s">
        <v>61</v>
      </c>
      <c r="B868" t="s">
        <v>62</v>
      </c>
      <c r="C868" t="s">
        <v>9</v>
      </c>
      <c r="D868" t="s">
        <v>10</v>
      </c>
      <c r="E868">
        <v>2001</v>
      </c>
      <c r="F868" s="1">
        <v>100</v>
      </c>
      <c r="G868">
        <v>2000</v>
      </c>
      <c r="H868">
        <f>AVERAGEIFS(Table1[value],Table1[IndicatorCode],Table1[[#This Row],[IndicatorCode]])</f>
        <v>99.756410256410263</v>
      </c>
      <c r="I868" cm="1">
        <f t="array" ref="I868">_xlfn.STDEV.P(IF(Table1[IndicatorCode]=Table1[[#This Row],[IndicatorCode]],Table1[value]))</f>
        <v>1.1047979755287356</v>
      </c>
      <c r="J868">
        <f>(Table1[[#This Row],[value]] - Table1[[#This Row],[mean]]) / Table1[[#This Row],[std_dev]]</f>
        <v>0.22048351733552002</v>
      </c>
      <c r="K868">
        <f>AVERAGEIF(Table1[CountryCode],Table1[[#This Row],[CountryCode]],Table1[z-score])</f>
        <v>-0.27867415315004246</v>
      </c>
      <c r="L868" t="e">
        <f>VLOOKUP(Table1[[#This Row],[CountryCode]],[1]!Table1[#All],1,FALSE)</f>
        <v>#REF!</v>
      </c>
    </row>
    <row r="869" spans="1:12" hidden="1" x14ac:dyDescent="0.3">
      <c r="A869" t="s">
        <v>61</v>
      </c>
      <c r="B869" t="s">
        <v>62</v>
      </c>
      <c r="C869" t="s">
        <v>9</v>
      </c>
      <c r="D869" t="s">
        <v>10</v>
      </c>
      <c r="E869">
        <v>2002</v>
      </c>
      <c r="F869" s="1">
        <v>100</v>
      </c>
      <c r="G869">
        <v>2000</v>
      </c>
      <c r="H869">
        <f>AVERAGEIFS(Table1[value],Table1[IndicatorCode],Table1[[#This Row],[IndicatorCode]])</f>
        <v>99.756410256410263</v>
      </c>
      <c r="I869" cm="1">
        <f t="array" ref="I869">_xlfn.STDEV.P(IF(Table1[IndicatorCode]=Table1[[#This Row],[IndicatorCode]],Table1[value]))</f>
        <v>1.1047979755287356</v>
      </c>
      <c r="J869">
        <f>(Table1[[#This Row],[value]] - Table1[[#This Row],[mean]]) / Table1[[#This Row],[std_dev]]</f>
        <v>0.22048351733552002</v>
      </c>
      <c r="K869">
        <f>AVERAGEIF(Table1[CountryCode],Table1[[#This Row],[CountryCode]],Table1[z-score])</f>
        <v>-0.27867415315004246</v>
      </c>
      <c r="L869" t="e">
        <f>VLOOKUP(Table1[[#This Row],[CountryCode]],[1]!Table1[#All],1,FALSE)</f>
        <v>#REF!</v>
      </c>
    </row>
    <row r="870" spans="1:12" hidden="1" x14ac:dyDescent="0.3">
      <c r="A870" t="s">
        <v>61</v>
      </c>
      <c r="B870" t="s">
        <v>62</v>
      </c>
      <c r="C870" t="s">
        <v>9</v>
      </c>
      <c r="D870" t="s">
        <v>10</v>
      </c>
      <c r="E870">
        <v>2003</v>
      </c>
      <c r="F870" s="1">
        <v>100</v>
      </c>
      <c r="G870">
        <v>2000</v>
      </c>
      <c r="H870">
        <f>AVERAGEIFS(Table1[value],Table1[IndicatorCode],Table1[[#This Row],[IndicatorCode]])</f>
        <v>99.756410256410263</v>
      </c>
      <c r="I870" cm="1">
        <f t="array" ref="I870">_xlfn.STDEV.P(IF(Table1[IndicatorCode]=Table1[[#This Row],[IndicatorCode]],Table1[value]))</f>
        <v>1.1047979755287356</v>
      </c>
      <c r="J870">
        <f>(Table1[[#This Row],[value]] - Table1[[#This Row],[mean]]) / Table1[[#This Row],[std_dev]]</f>
        <v>0.22048351733552002</v>
      </c>
      <c r="K870">
        <f>AVERAGEIF(Table1[CountryCode],Table1[[#This Row],[CountryCode]],Table1[z-score])</f>
        <v>-0.27867415315004246</v>
      </c>
      <c r="L870" t="e">
        <f>VLOOKUP(Table1[[#This Row],[CountryCode]],[1]!Table1[#All],1,FALSE)</f>
        <v>#REF!</v>
      </c>
    </row>
    <row r="871" spans="1:12" hidden="1" x14ac:dyDescent="0.3">
      <c r="A871" t="s">
        <v>61</v>
      </c>
      <c r="B871" t="s">
        <v>62</v>
      </c>
      <c r="C871" t="s">
        <v>9</v>
      </c>
      <c r="D871" t="s">
        <v>10</v>
      </c>
      <c r="E871">
        <v>2004</v>
      </c>
      <c r="F871" s="1">
        <v>100</v>
      </c>
      <c r="G871">
        <v>2000</v>
      </c>
      <c r="H871">
        <f>AVERAGEIFS(Table1[value],Table1[IndicatorCode],Table1[[#This Row],[IndicatorCode]])</f>
        <v>99.756410256410263</v>
      </c>
      <c r="I871" cm="1">
        <f t="array" ref="I871">_xlfn.STDEV.P(IF(Table1[IndicatorCode]=Table1[[#This Row],[IndicatorCode]],Table1[value]))</f>
        <v>1.1047979755287356</v>
      </c>
      <c r="J871">
        <f>(Table1[[#This Row],[value]] - Table1[[#This Row],[mean]]) / Table1[[#This Row],[std_dev]]</f>
        <v>0.22048351733552002</v>
      </c>
      <c r="K871">
        <f>AVERAGEIF(Table1[CountryCode],Table1[[#This Row],[CountryCode]],Table1[z-score])</f>
        <v>-0.27867415315004246</v>
      </c>
      <c r="L871" t="e">
        <f>VLOOKUP(Table1[[#This Row],[CountryCode]],[1]!Table1[#All],1,FALSE)</f>
        <v>#REF!</v>
      </c>
    </row>
    <row r="872" spans="1:12" hidden="1" x14ac:dyDescent="0.3">
      <c r="A872" t="s">
        <v>61</v>
      </c>
      <c r="B872" t="s">
        <v>62</v>
      </c>
      <c r="C872" t="s">
        <v>9</v>
      </c>
      <c r="D872" t="s">
        <v>10</v>
      </c>
      <c r="E872">
        <v>2005</v>
      </c>
      <c r="F872" s="1">
        <v>100</v>
      </c>
      <c r="G872">
        <v>2000</v>
      </c>
      <c r="H872">
        <f>AVERAGEIFS(Table1[value],Table1[IndicatorCode],Table1[[#This Row],[IndicatorCode]])</f>
        <v>99.756410256410263</v>
      </c>
      <c r="I872" cm="1">
        <f t="array" ref="I872">_xlfn.STDEV.P(IF(Table1[IndicatorCode]=Table1[[#This Row],[IndicatorCode]],Table1[value]))</f>
        <v>1.1047979755287356</v>
      </c>
      <c r="J872">
        <f>(Table1[[#This Row],[value]] - Table1[[#This Row],[mean]]) / Table1[[#This Row],[std_dev]]</f>
        <v>0.22048351733552002</v>
      </c>
      <c r="K872">
        <f>AVERAGEIF(Table1[CountryCode],Table1[[#This Row],[CountryCode]],Table1[z-score])</f>
        <v>-0.27867415315004246</v>
      </c>
      <c r="L872" t="e">
        <f>VLOOKUP(Table1[[#This Row],[CountryCode]],[1]!Table1[#All],1,FALSE)</f>
        <v>#REF!</v>
      </c>
    </row>
    <row r="873" spans="1:12" hidden="1" x14ac:dyDescent="0.3">
      <c r="A873" t="s">
        <v>61</v>
      </c>
      <c r="B873" t="s">
        <v>62</v>
      </c>
      <c r="C873" t="s">
        <v>9</v>
      </c>
      <c r="D873" t="s">
        <v>10</v>
      </c>
      <c r="E873">
        <v>2006</v>
      </c>
      <c r="F873" s="1">
        <v>100</v>
      </c>
      <c r="G873">
        <v>2000</v>
      </c>
      <c r="H873">
        <f>AVERAGEIFS(Table1[value],Table1[IndicatorCode],Table1[[#This Row],[IndicatorCode]])</f>
        <v>99.756410256410263</v>
      </c>
      <c r="I873" cm="1">
        <f t="array" ref="I873">_xlfn.STDEV.P(IF(Table1[IndicatorCode]=Table1[[#This Row],[IndicatorCode]],Table1[value]))</f>
        <v>1.1047979755287356</v>
      </c>
      <c r="J873">
        <f>(Table1[[#This Row],[value]] - Table1[[#This Row],[mean]]) / Table1[[#This Row],[std_dev]]</f>
        <v>0.22048351733552002</v>
      </c>
      <c r="K873">
        <f>AVERAGEIF(Table1[CountryCode],Table1[[#This Row],[CountryCode]],Table1[z-score])</f>
        <v>-0.27867415315004246</v>
      </c>
      <c r="L873" t="e">
        <f>VLOOKUP(Table1[[#This Row],[CountryCode]],[1]!Table1[#All],1,FALSE)</f>
        <v>#REF!</v>
      </c>
    </row>
    <row r="874" spans="1:12" hidden="1" x14ac:dyDescent="0.3">
      <c r="A874" t="s">
        <v>61</v>
      </c>
      <c r="B874" t="s">
        <v>62</v>
      </c>
      <c r="C874" t="s">
        <v>9</v>
      </c>
      <c r="D874" t="s">
        <v>10</v>
      </c>
      <c r="E874">
        <v>2007</v>
      </c>
      <c r="F874" s="1">
        <v>100</v>
      </c>
      <c r="G874">
        <v>2010</v>
      </c>
      <c r="H874">
        <f>AVERAGEIFS(Table1[value],Table1[IndicatorCode],Table1[[#This Row],[IndicatorCode]])</f>
        <v>99.756410256410263</v>
      </c>
      <c r="I874" cm="1">
        <f t="array" ref="I874">_xlfn.STDEV.P(IF(Table1[IndicatorCode]=Table1[[#This Row],[IndicatorCode]],Table1[value]))</f>
        <v>1.1047979755287356</v>
      </c>
      <c r="J874">
        <f>(Table1[[#This Row],[value]] - Table1[[#This Row],[mean]]) / Table1[[#This Row],[std_dev]]</f>
        <v>0.22048351733552002</v>
      </c>
      <c r="K874">
        <f>AVERAGEIF(Table1[CountryCode],Table1[[#This Row],[CountryCode]],Table1[z-score])</f>
        <v>-0.27867415315004246</v>
      </c>
      <c r="L874" t="e">
        <f>VLOOKUP(Table1[[#This Row],[CountryCode]],[1]!Table1[#All],1,FALSE)</f>
        <v>#REF!</v>
      </c>
    </row>
    <row r="875" spans="1:12" hidden="1" x14ac:dyDescent="0.3">
      <c r="A875" t="s">
        <v>61</v>
      </c>
      <c r="B875" t="s">
        <v>62</v>
      </c>
      <c r="C875" t="s">
        <v>9</v>
      </c>
      <c r="D875" t="s">
        <v>10</v>
      </c>
      <c r="E875">
        <v>2008</v>
      </c>
      <c r="F875" s="1">
        <v>100</v>
      </c>
      <c r="G875">
        <v>2010</v>
      </c>
      <c r="H875">
        <f>AVERAGEIFS(Table1[value],Table1[IndicatorCode],Table1[[#This Row],[IndicatorCode]])</f>
        <v>99.756410256410263</v>
      </c>
      <c r="I875" cm="1">
        <f t="array" ref="I875">_xlfn.STDEV.P(IF(Table1[IndicatorCode]=Table1[[#This Row],[IndicatorCode]],Table1[value]))</f>
        <v>1.1047979755287356</v>
      </c>
      <c r="J875">
        <f>(Table1[[#This Row],[value]] - Table1[[#This Row],[mean]]) / Table1[[#This Row],[std_dev]]</f>
        <v>0.22048351733552002</v>
      </c>
      <c r="K875">
        <f>AVERAGEIF(Table1[CountryCode],Table1[[#This Row],[CountryCode]],Table1[z-score])</f>
        <v>-0.27867415315004246</v>
      </c>
      <c r="L875" t="e">
        <f>VLOOKUP(Table1[[#This Row],[CountryCode]],[1]!Table1[#All],1,FALSE)</f>
        <v>#REF!</v>
      </c>
    </row>
    <row r="876" spans="1:12" hidden="1" x14ac:dyDescent="0.3">
      <c r="A876" t="s">
        <v>61</v>
      </c>
      <c r="B876" t="s">
        <v>62</v>
      </c>
      <c r="C876" t="s">
        <v>9</v>
      </c>
      <c r="D876" t="s">
        <v>10</v>
      </c>
      <c r="E876">
        <v>2009</v>
      </c>
      <c r="F876" s="1">
        <v>100</v>
      </c>
      <c r="G876">
        <v>2010</v>
      </c>
      <c r="H876">
        <f>AVERAGEIFS(Table1[value],Table1[IndicatorCode],Table1[[#This Row],[IndicatorCode]])</f>
        <v>99.756410256410263</v>
      </c>
      <c r="I876" cm="1">
        <f t="array" ref="I876">_xlfn.STDEV.P(IF(Table1[IndicatorCode]=Table1[[#This Row],[IndicatorCode]],Table1[value]))</f>
        <v>1.1047979755287356</v>
      </c>
      <c r="J876">
        <f>(Table1[[#This Row],[value]] - Table1[[#This Row],[mean]]) / Table1[[#This Row],[std_dev]]</f>
        <v>0.22048351733552002</v>
      </c>
      <c r="K876">
        <f>AVERAGEIF(Table1[CountryCode],Table1[[#This Row],[CountryCode]],Table1[z-score])</f>
        <v>-0.27867415315004246</v>
      </c>
      <c r="L876" t="e">
        <f>VLOOKUP(Table1[[#This Row],[CountryCode]],[1]!Table1[#All],1,FALSE)</f>
        <v>#REF!</v>
      </c>
    </row>
    <row r="877" spans="1:12" hidden="1" x14ac:dyDescent="0.3">
      <c r="A877" t="s">
        <v>61</v>
      </c>
      <c r="B877" t="s">
        <v>62</v>
      </c>
      <c r="C877" t="s">
        <v>9</v>
      </c>
      <c r="D877" t="s">
        <v>10</v>
      </c>
      <c r="E877">
        <v>2010</v>
      </c>
      <c r="F877" s="1">
        <v>100</v>
      </c>
      <c r="G877">
        <v>2010</v>
      </c>
      <c r="H877">
        <f>AVERAGEIFS(Table1[value],Table1[IndicatorCode],Table1[[#This Row],[IndicatorCode]])</f>
        <v>99.756410256410263</v>
      </c>
      <c r="I877" cm="1">
        <f t="array" ref="I877">_xlfn.STDEV.P(IF(Table1[IndicatorCode]=Table1[[#This Row],[IndicatorCode]],Table1[value]))</f>
        <v>1.1047979755287356</v>
      </c>
      <c r="J877">
        <f>(Table1[[#This Row],[value]] - Table1[[#This Row],[mean]]) / Table1[[#This Row],[std_dev]]</f>
        <v>0.22048351733552002</v>
      </c>
      <c r="K877">
        <f>AVERAGEIF(Table1[CountryCode],Table1[[#This Row],[CountryCode]],Table1[z-score])</f>
        <v>-0.27867415315004246</v>
      </c>
      <c r="L877" t="e">
        <f>VLOOKUP(Table1[[#This Row],[CountryCode]],[1]!Table1[#All],1,FALSE)</f>
        <v>#REF!</v>
      </c>
    </row>
    <row r="878" spans="1:12" hidden="1" x14ac:dyDescent="0.3">
      <c r="A878" t="s">
        <v>61</v>
      </c>
      <c r="B878" t="s">
        <v>62</v>
      </c>
      <c r="C878" t="s">
        <v>9</v>
      </c>
      <c r="D878" t="s">
        <v>10</v>
      </c>
      <c r="E878">
        <v>2011</v>
      </c>
      <c r="F878" s="1">
        <v>100</v>
      </c>
      <c r="G878">
        <v>2010</v>
      </c>
      <c r="H878">
        <f>AVERAGEIFS(Table1[value],Table1[IndicatorCode],Table1[[#This Row],[IndicatorCode]])</f>
        <v>99.756410256410263</v>
      </c>
      <c r="I878" cm="1">
        <f t="array" ref="I878">_xlfn.STDEV.P(IF(Table1[IndicatorCode]=Table1[[#This Row],[IndicatorCode]],Table1[value]))</f>
        <v>1.1047979755287356</v>
      </c>
      <c r="J878">
        <f>(Table1[[#This Row],[value]] - Table1[[#This Row],[mean]]) / Table1[[#This Row],[std_dev]]</f>
        <v>0.22048351733552002</v>
      </c>
      <c r="K878">
        <f>AVERAGEIF(Table1[CountryCode],Table1[[#This Row],[CountryCode]],Table1[z-score])</f>
        <v>-0.27867415315004246</v>
      </c>
      <c r="L878" t="e">
        <f>VLOOKUP(Table1[[#This Row],[CountryCode]],[1]!Table1[#All],1,FALSE)</f>
        <v>#REF!</v>
      </c>
    </row>
    <row r="879" spans="1:12" hidden="1" x14ac:dyDescent="0.3">
      <c r="A879" t="s">
        <v>61</v>
      </c>
      <c r="B879" t="s">
        <v>62</v>
      </c>
      <c r="C879" t="s">
        <v>9</v>
      </c>
      <c r="D879" t="s">
        <v>10</v>
      </c>
      <c r="E879">
        <v>2012</v>
      </c>
      <c r="F879" s="1">
        <v>100</v>
      </c>
      <c r="G879">
        <v>2010</v>
      </c>
      <c r="H879">
        <f>AVERAGEIFS(Table1[value],Table1[IndicatorCode],Table1[[#This Row],[IndicatorCode]])</f>
        <v>99.756410256410263</v>
      </c>
      <c r="I879" cm="1">
        <f t="array" ref="I879">_xlfn.STDEV.P(IF(Table1[IndicatorCode]=Table1[[#This Row],[IndicatorCode]],Table1[value]))</f>
        <v>1.1047979755287356</v>
      </c>
      <c r="J879">
        <f>(Table1[[#This Row],[value]] - Table1[[#This Row],[mean]]) / Table1[[#This Row],[std_dev]]</f>
        <v>0.22048351733552002</v>
      </c>
      <c r="K879">
        <f>AVERAGEIF(Table1[CountryCode],Table1[[#This Row],[CountryCode]],Table1[z-score])</f>
        <v>-0.27867415315004246</v>
      </c>
      <c r="L879" t="e">
        <f>VLOOKUP(Table1[[#This Row],[CountryCode]],[1]!Table1[#All],1,FALSE)</f>
        <v>#REF!</v>
      </c>
    </row>
    <row r="880" spans="1:12" hidden="1" x14ac:dyDescent="0.3">
      <c r="A880" t="s">
        <v>61</v>
      </c>
      <c r="B880" t="s">
        <v>62</v>
      </c>
      <c r="C880" t="s">
        <v>9</v>
      </c>
      <c r="D880" t="s">
        <v>10</v>
      </c>
      <c r="E880">
        <v>2013</v>
      </c>
      <c r="F880" s="1">
        <v>100</v>
      </c>
      <c r="G880">
        <v>2010</v>
      </c>
      <c r="H880">
        <f>AVERAGEIFS(Table1[value],Table1[IndicatorCode],Table1[[#This Row],[IndicatorCode]])</f>
        <v>99.756410256410263</v>
      </c>
      <c r="I880" cm="1">
        <f t="array" ref="I880">_xlfn.STDEV.P(IF(Table1[IndicatorCode]=Table1[[#This Row],[IndicatorCode]],Table1[value]))</f>
        <v>1.1047979755287356</v>
      </c>
      <c r="J880">
        <f>(Table1[[#This Row],[value]] - Table1[[#This Row],[mean]]) / Table1[[#This Row],[std_dev]]</f>
        <v>0.22048351733552002</v>
      </c>
      <c r="K880">
        <f>AVERAGEIF(Table1[CountryCode],Table1[[#This Row],[CountryCode]],Table1[z-score])</f>
        <v>-0.27867415315004246</v>
      </c>
      <c r="L880" t="e">
        <f>VLOOKUP(Table1[[#This Row],[CountryCode]],[1]!Table1[#All],1,FALSE)</f>
        <v>#REF!</v>
      </c>
    </row>
    <row r="881" spans="1:12" hidden="1" x14ac:dyDescent="0.3">
      <c r="A881" t="s">
        <v>61</v>
      </c>
      <c r="B881" t="s">
        <v>62</v>
      </c>
      <c r="C881" t="s">
        <v>9</v>
      </c>
      <c r="D881" t="s">
        <v>10</v>
      </c>
      <c r="E881">
        <v>2014</v>
      </c>
      <c r="F881" s="1">
        <v>100</v>
      </c>
      <c r="G881">
        <v>2010</v>
      </c>
      <c r="H881">
        <f>AVERAGEIFS(Table1[value],Table1[IndicatorCode],Table1[[#This Row],[IndicatorCode]])</f>
        <v>99.756410256410263</v>
      </c>
      <c r="I881" cm="1">
        <f t="array" ref="I881">_xlfn.STDEV.P(IF(Table1[IndicatorCode]=Table1[[#This Row],[IndicatorCode]],Table1[value]))</f>
        <v>1.1047979755287356</v>
      </c>
      <c r="J881">
        <f>(Table1[[#This Row],[value]] - Table1[[#This Row],[mean]]) / Table1[[#This Row],[std_dev]]</f>
        <v>0.22048351733552002</v>
      </c>
      <c r="K881">
        <f>AVERAGEIF(Table1[CountryCode],Table1[[#This Row],[CountryCode]],Table1[z-score])</f>
        <v>-0.27867415315004246</v>
      </c>
      <c r="L881" t="e">
        <f>VLOOKUP(Table1[[#This Row],[CountryCode]],[1]!Table1[#All],1,FALSE)</f>
        <v>#REF!</v>
      </c>
    </row>
    <row r="882" spans="1:12" hidden="1" x14ac:dyDescent="0.3">
      <c r="A882" t="s">
        <v>61</v>
      </c>
      <c r="B882" t="s">
        <v>62</v>
      </c>
      <c r="C882" t="s">
        <v>9</v>
      </c>
      <c r="D882" t="s">
        <v>10</v>
      </c>
      <c r="E882">
        <v>2015</v>
      </c>
      <c r="F882" s="1">
        <v>100</v>
      </c>
      <c r="G882">
        <v>2010</v>
      </c>
      <c r="H882">
        <f>AVERAGEIFS(Table1[value],Table1[IndicatorCode],Table1[[#This Row],[IndicatorCode]])</f>
        <v>99.756410256410263</v>
      </c>
      <c r="I882" cm="1">
        <f t="array" ref="I882">_xlfn.STDEV.P(IF(Table1[IndicatorCode]=Table1[[#This Row],[IndicatorCode]],Table1[value]))</f>
        <v>1.1047979755287356</v>
      </c>
      <c r="J882">
        <f>(Table1[[#This Row],[value]] - Table1[[#This Row],[mean]]) / Table1[[#This Row],[std_dev]]</f>
        <v>0.22048351733552002</v>
      </c>
      <c r="K882">
        <f>AVERAGEIF(Table1[CountryCode],Table1[[#This Row],[CountryCode]],Table1[z-score])</f>
        <v>-0.27867415315004246</v>
      </c>
      <c r="L882" t="e">
        <f>VLOOKUP(Table1[[#This Row],[CountryCode]],[1]!Table1[#All],1,FALSE)</f>
        <v>#REF!</v>
      </c>
    </row>
    <row r="883" spans="1:12" hidden="1" x14ac:dyDescent="0.3">
      <c r="A883" t="s">
        <v>61</v>
      </c>
      <c r="B883" t="s">
        <v>62</v>
      </c>
      <c r="C883" t="s">
        <v>9</v>
      </c>
      <c r="D883" t="s">
        <v>10</v>
      </c>
      <c r="E883">
        <v>2016</v>
      </c>
      <c r="F883" s="1">
        <v>100</v>
      </c>
      <c r="G883">
        <v>2010</v>
      </c>
      <c r="H883">
        <f>AVERAGEIFS(Table1[value],Table1[IndicatorCode],Table1[[#This Row],[IndicatorCode]])</f>
        <v>99.756410256410263</v>
      </c>
      <c r="I883" cm="1">
        <f t="array" ref="I883">_xlfn.STDEV.P(IF(Table1[IndicatorCode]=Table1[[#This Row],[IndicatorCode]],Table1[value]))</f>
        <v>1.1047979755287356</v>
      </c>
      <c r="J883">
        <f>(Table1[[#This Row],[value]] - Table1[[#This Row],[mean]]) / Table1[[#This Row],[std_dev]]</f>
        <v>0.22048351733552002</v>
      </c>
      <c r="K883">
        <f>AVERAGEIF(Table1[CountryCode],Table1[[#This Row],[CountryCode]],Table1[z-score])</f>
        <v>-0.27867415315004246</v>
      </c>
      <c r="L883" t="e">
        <f>VLOOKUP(Table1[[#This Row],[CountryCode]],[1]!Table1[#All],1,FALSE)</f>
        <v>#REF!</v>
      </c>
    </row>
    <row r="884" spans="1:12" hidden="1" x14ac:dyDescent="0.3">
      <c r="A884" t="s">
        <v>61</v>
      </c>
      <c r="B884" t="s">
        <v>62</v>
      </c>
      <c r="C884" t="s">
        <v>9</v>
      </c>
      <c r="D884" t="s">
        <v>10</v>
      </c>
      <c r="E884">
        <v>2017</v>
      </c>
      <c r="F884" s="1">
        <v>100</v>
      </c>
      <c r="G884">
        <v>2020</v>
      </c>
      <c r="H884">
        <f>AVERAGEIFS(Table1[value],Table1[IndicatorCode],Table1[[#This Row],[IndicatorCode]])</f>
        <v>99.756410256410263</v>
      </c>
      <c r="I884" cm="1">
        <f t="array" ref="I884">_xlfn.STDEV.P(IF(Table1[IndicatorCode]=Table1[[#This Row],[IndicatorCode]],Table1[value]))</f>
        <v>1.1047979755287356</v>
      </c>
      <c r="J884">
        <f>(Table1[[#This Row],[value]] - Table1[[#This Row],[mean]]) / Table1[[#This Row],[std_dev]]</f>
        <v>0.22048351733552002</v>
      </c>
      <c r="K884">
        <f>AVERAGEIF(Table1[CountryCode],Table1[[#This Row],[CountryCode]],Table1[z-score])</f>
        <v>-0.27867415315004246</v>
      </c>
      <c r="L884" t="e">
        <f>VLOOKUP(Table1[[#This Row],[CountryCode]],[1]!Table1[#All],1,FALSE)</f>
        <v>#REF!</v>
      </c>
    </row>
    <row r="885" spans="1:12" hidden="1" x14ac:dyDescent="0.3">
      <c r="A885" t="s">
        <v>61</v>
      </c>
      <c r="B885" t="s">
        <v>62</v>
      </c>
      <c r="C885" t="s">
        <v>9</v>
      </c>
      <c r="D885" t="s">
        <v>10</v>
      </c>
      <c r="E885">
        <v>2018</v>
      </c>
      <c r="F885" s="1">
        <v>100</v>
      </c>
      <c r="G885">
        <v>2020</v>
      </c>
      <c r="H885">
        <f>AVERAGEIFS(Table1[value],Table1[IndicatorCode],Table1[[#This Row],[IndicatorCode]])</f>
        <v>99.756410256410263</v>
      </c>
      <c r="I885" cm="1">
        <f t="array" ref="I885">_xlfn.STDEV.P(IF(Table1[IndicatorCode]=Table1[[#This Row],[IndicatorCode]],Table1[value]))</f>
        <v>1.1047979755287356</v>
      </c>
      <c r="J885">
        <f>(Table1[[#This Row],[value]] - Table1[[#This Row],[mean]]) / Table1[[#This Row],[std_dev]]</f>
        <v>0.22048351733552002</v>
      </c>
      <c r="K885">
        <f>AVERAGEIF(Table1[CountryCode],Table1[[#This Row],[CountryCode]],Table1[z-score])</f>
        <v>-0.27867415315004246</v>
      </c>
      <c r="L885" t="e">
        <f>VLOOKUP(Table1[[#This Row],[CountryCode]],[1]!Table1[#All],1,FALSE)</f>
        <v>#REF!</v>
      </c>
    </row>
    <row r="886" spans="1:12" hidden="1" x14ac:dyDescent="0.3">
      <c r="A886" t="s">
        <v>61</v>
      </c>
      <c r="B886" t="s">
        <v>62</v>
      </c>
      <c r="C886" t="s">
        <v>9</v>
      </c>
      <c r="D886" t="s">
        <v>10</v>
      </c>
      <c r="E886">
        <v>2019</v>
      </c>
      <c r="F886" s="1">
        <v>100</v>
      </c>
      <c r="G886">
        <v>2020</v>
      </c>
      <c r="H886">
        <f>AVERAGEIFS(Table1[value],Table1[IndicatorCode],Table1[[#This Row],[IndicatorCode]])</f>
        <v>99.756410256410263</v>
      </c>
      <c r="I886" cm="1">
        <f t="array" ref="I886">_xlfn.STDEV.P(IF(Table1[IndicatorCode]=Table1[[#This Row],[IndicatorCode]],Table1[value]))</f>
        <v>1.1047979755287356</v>
      </c>
      <c r="J886">
        <f>(Table1[[#This Row],[value]] - Table1[[#This Row],[mean]]) / Table1[[#This Row],[std_dev]]</f>
        <v>0.22048351733552002</v>
      </c>
      <c r="K886">
        <f>AVERAGEIF(Table1[CountryCode],Table1[[#This Row],[CountryCode]],Table1[z-score])</f>
        <v>-0.27867415315004246</v>
      </c>
      <c r="L886" t="e">
        <f>VLOOKUP(Table1[[#This Row],[CountryCode]],[1]!Table1[#All],1,FALSE)</f>
        <v>#REF!</v>
      </c>
    </row>
    <row r="887" spans="1:12" x14ac:dyDescent="0.3">
      <c r="A887" t="s">
        <v>61</v>
      </c>
      <c r="B887" t="s">
        <v>62</v>
      </c>
      <c r="C887" t="s">
        <v>9</v>
      </c>
      <c r="D887" t="s">
        <v>10</v>
      </c>
      <c r="E887">
        <v>2020</v>
      </c>
      <c r="F887" s="1">
        <v>100</v>
      </c>
      <c r="G887">
        <v>2020</v>
      </c>
      <c r="H887">
        <f>AVERAGEIFS(Table1[value],Table1[IndicatorCode],Table1[[#This Row],[IndicatorCode]])</f>
        <v>99.756410256410263</v>
      </c>
      <c r="I887" cm="1">
        <f t="array" ref="I887">_xlfn.STDEV.P(IF(Table1[IndicatorCode]=Table1[[#This Row],[IndicatorCode]],Table1[value]))</f>
        <v>1.1047979755287356</v>
      </c>
      <c r="J887">
        <f>(Table1[[#This Row],[value]] - Table1[[#This Row],[mean]]) / Table1[[#This Row],[std_dev]]</f>
        <v>0.22048351733552002</v>
      </c>
      <c r="K887">
        <f>AVERAGEIF(Table1[CountryCode],Table1[[#This Row],[CountryCode]],Table1[z-score])</f>
        <v>-0.27867415315004246</v>
      </c>
    </row>
    <row r="888" spans="1:12" hidden="1" x14ac:dyDescent="0.3">
      <c r="A888" t="s">
        <v>61</v>
      </c>
      <c r="B888" t="s">
        <v>62</v>
      </c>
      <c r="C888" t="s">
        <v>9</v>
      </c>
      <c r="D888" t="s">
        <v>10</v>
      </c>
      <c r="E888">
        <v>2021</v>
      </c>
      <c r="F888" s="1">
        <v>100</v>
      </c>
      <c r="G888">
        <v>1990</v>
      </c>
      <c r="H888">
        <f>AVERAGEIFS(Table1[value],Table1[IndicatorCode],Table1[[#This Row],[IndicatorCode]])</f>
        <v>99.756410256410263</v>
      </c>
      <c r="I888" cm="1">
        <f t="array" ref="I888">_xlfn.STDEV.P(IF(Table1[IndicatorCode]=Table1[[#This Row],[IndicatorCode]],Table1[value]))</f>
        <v>1.1047979755287356</v>
      </c>
      <c r="J888">
        <f>(Table1[[#This Row],[value]] - Table1[[#This Row],[mean]]) / Table1[[#This Row],[std_dev]]</f>
        <v>0.22048351733552002</v>
      </c>
      <c r="K888">
        <f>AVERAGEIF(Table1[CountryCode],Table1[[#This Row],[CountryCode]],Table1[z-score])</f>
        <v>-0.27867415315004246</v>
      </c>
      <c r="L888" t="e">
        <f>VLOOKUP(Table1[[#This Row],[CountryCode]],[1]!Table1[#All],1,FALSE)</f>
        <v>#REF!</v>
      </c>
    </row>
    <row r="889" spans="1:12" hidden="1" x14ac:dyDescent="0.3">
      <c r="A889" t="s">
        <v>61</v>
      </c>
      <c r="B889" t="s">
        <v>62</v>
      </c>
      <c r="C889" t="s">
        <v>9</v>
      </c>
      <c r="D889" t="s">
        <v>10</v>
      </c>
      <c r="E889">
        <v>2022</v>
      </c>
      <c r="F889" s="1">
        <v>100</v>
      </c>
      <c r="G889">
        <v>1990</v>
      </c>
      <c r="H889">
        <f>AVERAGEIFS(Table1[value],Table1[IndicatorCode],Table1[[#This Row],[IndicatorCode]])</f>
        <v>99.756410256410263</v>
      </c>
      <c r="I889" cm="1">
        <f t="array" ref="I889">_xlfn.STDEV.P(IF(Table1[IndicatorCode]=Table1[[#This Row],[IndicatorCode]],Table1[value]))</f>
        <v>1.1047979755287356</v>
      </c>
      <c r="J889">
        <f>(Table1[[#This Row],[value]] - Table1[[#This Row],[mean]]) / Table1[[#This Row],[std_dev]]</f>
        <v>0.22048351733552002</v>
      </c>
      <c r="K889">
        <f>AVERAGEIF(Table1[CountryCode],Table1[[#This Row],[CountryCode]],Table1[z-score])</f>
        <v>-0.27867415315004246</v>
      </c>
      <c r="L889" t="e">
        <f>VLOOKUP(Table1[[#This Row],[CountryCode]],[1]!Table1[#All],1,FALSE)</f>
        <v>#REF!</v>
      </c>
    </row>
    <row r="890" spans="1:12" hidden="1" x14ac:dyDescent="0.3">
      <c r="A890" t="s">
        <v>61</v>
      </c>
      <c r="B890" t="s">
        <v>62</v>
      </c>
      <c r="C890" t="s">
        <v>9</v>
      </c>
      <c r="D890" t="s">
        <v>10</v>
      </c>
      <c r="E890">
        <v>2023</v>
      </c>
      <c r="F890" s="1">
        <v>100</v>
      </c>
      <c r="G890">
        <v>1990</v>
      </c>
      <c r="H890">
        <f>AVERAGEIFS(Table1[value],Table1[IndicatorCode],Table1[[#This Row],[IndicatorCode]])</f>
        <v>99.756410256410263</v>
      </c>
      <c r="I890" cm="1">
        <f t="array" ref="I890">_xlfn.STDEV.P(IF(Table1[IndicatorCode]=Table1[[#This Row],[IndicatorCode]],Table1[value]))</f>
        <v>1.1047979755287356</v>
      </c>
      <c r="J890">
        <f>(Table1[[#This Row],[value]] - Table1[[#This Row],[mean]]) / Table1[[#This Row],[std_dev]]</f>
        <v>0.22048351733552002</v>
      </c>
      <c r="K890">
        <f>AVERAGEIF(Table1[CountryCode],Table1[[#This Row],[CountryCode]],Table1[z-score])</f>
        <v>-0.27867415315004246</v>
      </c>
      <c r="L890" t="e">
        <f>VLOOKUP(Table1[[#This Row],[CountryCode]],[1]!Table1[#All],1,FALSE)</f>
        <v>#REF!</v>
      </c>
    </row>
    <row r="891" spans="1:12" hidden="1" x14ac:dyDescent="0.3">
      <c r="A891" t="s">
        <v>63</v>
      </c>
      <c r="B891" t="s">
        <v>64</v>
      </c>
      <c r="C891" t="s">
        <v>9</v>
      </c>
      <c r="D891" t="s">
        <v>10</v>
      </c>
      <c r="E891">
        <v>1990</v>
      </c>
      <c r="F891" s="1">
        <v>100</v>
      </c>
      <c r="G891">
        <v>1990</v>
      </c>
      <c r="H891">
        <f>AVERAGEIFS(Table1[value],Table1[IndicatorCode],Table1[[#This Row],[IndicatorCode]])</f>
        <v>99.756410256410263</v>
      </c>
      <c r="I891" cm="1">
        <f t="array" ref="I891">_xlfn.STDEV.P(IF(Table1[IndicatorCode]=Table1[[#This Row],[IndicatorCode]],Table1[value]))</f>
        <v>1.1047979755287356</v>
      </c>
      <c r="J891">
        <f>(Table1[[#This Row],[value]] - Table1[[#This Row],[mean]]) / Table1[[#This Row],[std_dev]]</f>
        <v>0.22048351733552002</v>
      </c>
      <c r="K891">
        <f>AVERAGEIF(Table1[CountryCode],Table1[[#This Row],[CountryCode]],Table1[z-score])</f>
        <v>0.37045001694562285</v>
      </c>
      <c r="L891" t="e">
        <f>VLOOKUP(Table1[[#This Row],[CountryCode]],[1]!Table1[#All],1,FALSE)</f>
        <v>#REF!</v>
      </c>
    </row>
    <row r="892" spans="1:12" hidden="1" x14ac:dyDescent="0.3">
      <c r="A892" t="s">
        <v>63</v>
      </c>
      <c r="B892" t="s">
        <v>64</v>
      </c>
      <c r="C892" t="s">
        <v>9</v>
      </c>
      <c r="D892" t="s">
        <v>10</v>
      </c>
      <c r="E892">
        <v>1991</v>
      </c>
      <c r="F892" s="1">
        <v>100</v>
      </c>
      <c r="G892">
        <v>1990</v>
      </c>
      <c r="H892">
        <f>AVERAGEIFS(Table1[value],Table1[IndicatorCode],Table1[[#This Row],[IndicatorCode]])</f>
        <v>99.756410256410263</v>
      </c>
      <c r="I892" cm="1">
        <f t="array" ref="I892">_xlfn.STDEV.P(IF(Table1[IndicatorCode]=Table1[[#This Row],[IndicatorCode]],Table1[value]))</f>
        <v>1.1047979755287356</v>
      </c>
      <c r="J892">
        <f>(Table1[[#This Row],[value]] - Table1[[#This Row],[mean]]) / Table1[[#This Row],[std_dev]]</f>
        <v>0.22048351733552002</v>
      </c>
      <c r="K892">
        <f>AVERAGEIF(Table1[CountryCode],Table1[[#This Row],[CountryCode]],Table1[z-score])</f>
        <v>0.37045001694562285</v>
      </c>
      <c r="L892" t="e">
        <f>VLOOKUP(Table1[[#This Row],[CountryCode]],[1]!Table1[#All],1,FALSE)</f>
        <v>#REF!</v>
      </c>
    </row>
    <row r="893" spans="1:12" hidden="1" x14ac:dyDescent="0.3">
      <c r="A893" t="s">
        <v>63</v>
      </c>
      <c r="B893" t="s">
        <v>64</v>
      </c>
      <c r="C893" t="s">
        <v>9</v>
      </c>
      <c r="D893" t="s">
        <v>10</v>
      </c>
      <c r="E893">
        <v>1992</v>
      </c>
      <c r="F893" s="1">
        <v>100</v>
      </c>
      <c r="G893">
        <v>1990</v>
      </c>
      <c r="H893">
        <f>AVERAGEIFS(Table1[value],Table1[IndicatorCode],Table1[[#This Row],[IndicatorCode]])</f>
        <v>99.756410256410263</v>
      </c>
      <c r="I893" cm="1">
        <f t="array" ref="I893">_xlfn.STDEV.P(IF(Table1[IndicatorCode]=Table1[[#This Row],[IndicatorCode]],Table1[value]))</f>
        <v>1.1047979755287356</v>
      </c>
      <c r="J893">
        <f>(Table1[[#This Row],[value]] - Table1[[#This Row],[mean]]) / Table1[[#This Row],[std_dev]]</f>
        <v>0.22048351733552002</v>
      </c>
      <c r="K893">
        <f>AVERAGEIF(Table1[CountryCode],Table1[[#This Row],[CountryCode]],Table1[z-score])</f>
        <v>0.37045001694562285</v>
      </c>
      <c r="L893" t="e">
        <f>VLOOKUP(Table1[[#This Row],[CountryCode]],[1]!Table1[#All],1,FALSE)</f>
        <v>#REF!</v>
      </c>
    </row>
    <row r="894" spans="1:12" hidden="1" x14ac:dyDescent="0.3">
      <c r="A894" t="s">
        <v>63</v>
      </c>
      <c r="B894" t="s">
        <v>64</v>
      </c>
      <c r="C894" t="s">
        <v>9</v>
      </c>
      <c r="D894" t="s">
        <v>10</v>
      </c>
      <c r="E894">
        <v>1993</v>
      </c>
      <c r="F894" s="1">
        <v>100</v>
      </c>
      <c r="G894">
        <v>1990</v>
      </c>
      <c r="H894">
        <f>AVERAGEIFS(Table1[value],Table1[IndicatorCode],Table1[[#This Row],[IndicatorCode]])</f>
        <v>99.756410256410263</v>
      </c>
      <c r="I894" cm="1">
        <f t="array" ref="I894">_xlfn.STDEV.P(IF(Table1[IndicatorCode]=Table1[[#This Row],[IndicatorCode]],Table1[value]))</f>
        <v>1.1047979755287356</v>
      </c>
      <c r="J894">
        <f>(Table1[[#This Row],[value]] - Table1[[#This Row],[mean]]) / Table1[[#This Row],[std_dev]]</f>
        <v>0.22048351733552002</v>
      </c>
      <c r="K894">
        <f>AVERAGEIF(Table1[CountryCode],Table1[[#This Row],[CountryCode]],Table1[z-score])</f>
        <v>0.37045001694562285</v>
      </c>
      <c r="L894" t="e">
        <f>VLOOKUP(Table1[[#This Row],[CountryCode]],[1]!Table1[#All],1,FALSE)</f>
        <v>#REF!</v>
      </c>
    </row>
    <row r="895" spans="1:12" hidden="1" x14ac:dyDescent="0.3">
      <c r="A895" t="s">
        <v>63</v>
      </c>
      <c r="B895" t="s">
        <v>64</v>
      </c>
      <c r="C895" t="s">
        <v>9</v>
      </c>
      <c r="D895" t="s">
        <v>10</v>
      </c>
      <c r="E895">
        <v>1994</v>
      </c>
      <c r="F895" s="1">
        <v>100</v>
      </c>
      <c r="G895">
        <v>1990</v>
      </c>
      <c r="H895">
        <f>AVERAGEIFS(Table1[value],Table1[IndicatorCode],Table1[[#This Row],[IndicatorCode]])</f>
        <v>99.756410256410263</v>
      </c>
      <c r="I895" cm="1">
        <f t="array" ref="I895">_xlfn.STDEV.P(IF(Table1[IndicatorCode]=Table1[[#This Row],[IndicatorCode]],Table1[value]))</f>
        <v>1.1047979755287356</v>
      </c>
      <c r="J895">
        <f>(Table1[[#This Row],[value]] - Table1[[#This Row],[mean]]) / Table1[[#This Row],[std_dev]]</f>
        <v>0.22048351733552002</v>
      </c>
      <c r="K895">
        <f>AVERAGEIF(Table1[CountryCode],Table1[[#This Row],[CountryCode]],Table1[z-score])</f>
        <v>0.37045001694562285</v>
      </c>
      <c r="L895" t="e">
        <f>VLOOKUP(Table1[[#This Row],[CountryCode]],[1]!Table1[#All],1,FALSE)</f>
        <v>#REF!</v>
      </c>
    </row>
    <row r="896" spans="1:12" hidden="1" x14ac:dyDescent="0.3">
      <c r="A896" t="s">
        <v>63</v>
      </c>
      <c r="B896" t="s">
        <v>64</v>
      </c>
      <c r="C896" t="s">
        <v>9</v>
      </c>
      <c r="D896" t="s">
        <v>10</v>
      </c>
      <c r="E896">
        <v>1995</v>
      </c>
      <c r="F896" s="1">
        <v>100</v>
      </c>
      <c r="G896">
        <v>1990</v>
      </c>
      <c r="H896">
        <f>AVERAGEIFS(Table1[value],Table1[IndicatorCode],Table1[[#This Row],[IndicatorCode]])</f>
        <v>99.756410256410263</v>
      </c>
      <c r="I896" cm="1">
        <f t="array" ref="I896">_xlfn.STDEV.P(IF(Table1[IndicatorCode]=Table1[[#This Row],[IndicatorCode]],Table1[value]))</f>
        <v>1.1047979755287356</v>
      </c>
      <c r="J896">
        <f>(Table1[[#This Row],[value]] - Table1[[#This Row],[mean]]) / Table1[[#This Row],[std_dev]]</f>
        <v>0.22048351733552002</v>
      </c>
      <c r="K896">
        <f>AVERAGEIF(Table1[CountryCode],Table1[[#This Row],[CountryCode]],Table1[z-score])</f>
        <v>0.37045001694562285</v>
      </c>
      <c r="L896" t="e">
        <f>VLOOKUP(Table1[[#This Row],[CountryCode]],[1]!Table1[#All],1,FALSE)</f>
        <v>#REF!</v>
      </c>
    </row>
    <row r="897" spans="1:12" hidden="1" x14ac:dyDescent="0.3">
      <c r="A897" t="s">
        <v>63</v>
      </c>
      <c r="B897" t="s">
        <v>64</v>
      </c>
      <c r="C897" t="s">
        <v>9</v>
      </c>
      <c r="D897" t="s">
        <v>10</v>
      </c>
      <c r="E897">
        <v>1996</v>
      </c>
      <c r="F897" s="1">
        <v>100</v>
      </c>
      <c r="G897">
        <v>1990</v>
      </c>
      <c r="H897">
        <f>AVERAGEIFS(Table1[value],Table1[IndicatorCode],Table1[[#This Row],[IndicatorCode]])</f>
        <v>99.756410256410263</v>
      </c>
      <c r="I897" cm="1">
        <f t="array" ref="I897">_xlfn.STDEV.P(IF(Table1[IndicatorCode]=Table1[[#This Row],[IndicatorCode]],Table1[value]))</f>
        <v>1.1047979755287356</v>
      </c>
      <c r="J897">
        <f>(Table1[[#This Row],[value]] - Table1[[#This Row],[mean]]) / Table1[[#This Row],[std_dev]]</f>
        <v>0.22048351733552002</v>
      </c>
      <c r="K897">
        <f>AVERAGEIF(Table1[CountryCode],Table1[[#This Row],[CountryCode]],Table1[z-score])</f>
        <v>0.37045001694562285</v>
      </c>
      <c r="L897" t="e">
        <f>VLOOKUP(Table1[[#This Row],[CountryCode]],[1]!Table1[#All],1,FALSE)</f>
        <v>#REF!</v>
      </c>
    </row>
    <row r="898" spans="1:12" hidden="1" x14ac:dyDescent="0.3">
      <c r="A898" t="s">
        <v>63</v>
      </c>
      <c r="B898" t="s">
        <v>64</v>
      </c>
      <c r="C898" t="s">
        <v>9</v>
      </c>
      <c r="D898" t="s">
        <v>10</v>
      </c>
      <c r="E898">
        <v>1997</v>
      </c>
      <c r="F898" s="1">
        <v>100</v>
      </c>
      <c r="G898">
        <v>2000</v>
      </c>
      <c r="H898">
        <f>AVERAGEIFS(Table1[value],Table1[IndicatorCode],Table1[[#This Row],[IndicatorCode]])</f>
        <v>99.756410256410263</v>
      </c>
      <c r="I898" cm="1">
        <f t="array" ref="I898">_xlfn.STDEV.P(IF(Table1[IndicatorCode]=Table1[[#This Row],[IndicatorCode]],Table1[value]))</f>
        <v>1.1047979755287356</v>
      </c>
      <c r="J898">
        <f>(Table1[[#This Row],[value]] - Table1[[#This Row],[mean]]) / Table1[[#This Row],[std_dev]]</f>
        <v>0.22048351733552002</v>
      </c>
      <c r="K898">
        <f>AVERAGEIF(Table1[CountryCode],Table1[[#This Row],[CountryCode]],Table1[z-score])</f>
        <v>0.37045001694562285</v>
      </c>
      <c r="L898" t="e">
        <f>VLOOKUP(Table1[[#This Row],[CountryCode]],[1]!Table1[#All],1,FALSE)</f>
        <v>#REF!</v>
      </c>
    </row>
    <row r="899" spans="1:12" hidden="1" x14ac:dyDescent="0.3">
      <c r="A899" t="s">
        <v>63</v>
      </c>
      <c r="B899" t="s">
        <v>64</v>
      </c>
      <c r="C899" t="s">
        <v>9</v>
      </c>
      <c r="D899" t="s">
        <v>10</v>
      </c>
      <c r="E899">
        <v>1998</v>
      </c>
      <c r="F899" s="1">
        <v>100</v>
      </c>
      <c r="G899">
        <v>2000</v>
      </c>
      <c r="H899">
        <f>AVERAGEIFS(Table1[value],Table1[IndicatorCode],Table1[[#This Row],[IndicatorCode]])</f>
        <v>99.756410256410263</v>
      </c>
      <c r="I899" cm="1">
        <f t="array" ref="I899">_xlfn.STDEV.P(IF(Table1[IndicatorCode]=Table1[[#This Row],[IndicatorCode]],Table1[value]))</f>
        <v>1.1047979755287356</v>
      </c>
      <c r="J899">
        <f>(Table1[[#This Row],[value]] - Table1[[#This Row],[mean]]) / Table1[[#This Row],[std_dev]]</f>
        <v>0.22048351733552002</v>
      </c>
      <c r="K899">
        <f>AVERAGEIF(Table1[CountryCode],Table1[[#This Row],[CountryCode]],Table1[z-score])</f>
        <v>0.37045001694562285</v>
      </c>
      <c r="L899" t="e">
        <f>VLOOKUP(Table1[[#This Row],[CountryCode]],[1]!Table1[#All],1,FALSE)</f>
        <v>#REF!</v>
      </c>
    </row>
    <row r="900" spans="1:12" hidden="1" x14ac:dyDescent="0.3">
      <c r="A900" t="s">
        <v>63</v>
      </c>
      <c r="B900" t="s">
        <v>64</v>
      </c>
      <c r="C900" t="s">
        <v>9</v>
      </c>
      <c r="D900" t="s">
        <v>10</v>
      </c>
      <c r="E900">
        <v>1999</v>
      </c>
      <c r="F900" s="1">
        <v>100</v>
      </c>
      <c r="G900">
        <v>2000</v>
      </c>
      <c r="H900">
        <f>AVERAGEIFS(Table1[value],Table1[IndicatorCode],Table1[[#This Row],[IndicatorCode]])</f>
        <v>99.756410256410263</v>
      </c>
      <c r="I900" cm="1">
        <f t="array" ref="I900">_xlfn.STDEV.P(IF(Table1[IndicatorCode]=Table1[[#This Row],[IndicatorCode]],Table1[value]))</f>
        <v>1.1047979755287356</v>
      </c>
      <c r="J900">
        <f>(Table1[[#This Row],[value]] - Table1[[#This Row],[mean]]) / Table1[[#This Row],[std_dev]]</f>
        <v>0.22048351733552002</v>
      </c>
      <c r="K900">
        <f>AVERAGEIF(Table1[CountryCode],Table1[[#This Row],[CountryCode]],Table1[z-score])</f>
        <v>0.37045001694562285</v>
      </c>
      <c r="L900" t="e">
        <f>VLOOKUP(Table1[[#This Row],[CountryCode]],[1]!Table1[#All],1,FALSE)</f>
        <v>#REF!</v>
      </c>
    </row>
    <row r="901" spans="1:12" hidden="1" x14ac:dyDescent="0.3">
      <c r="A901" t="s">
        <v>63</v>
      </c>
      <c r="B901" t="s">
        <v>64</v>
      </c>
      <c r="C901" t="s">
        <v>9</v>
      </c>
      <c r="D901" t="s">
        <v>10</v>
      </c>
      <c r="E901">
        <v>2000</v>
      </c>
      <c r="F901" s="1">
        <v>100</v>
      </c>
      <c r="G901">
        <v>2000</v>
      </c>
      <c r="H901">
        <f>AVERAGEIFS(Table1[value],Table1[IndicatorCode],Table1[[#This Row],[IndicatorCode]])</f>
        <v>99.756410256410263</v>
      </c>
      <c r="I901" cm="1">
        <f t="array" ref="I901">_xlfn.STDEV.P(IF(Table1[IndicatorCode]=Table1[[#This Row],[IndicatorCode]],Table1[value]))</f>
        <v>1.1047979755287356</v>
      </c>
      <c r="J901">
        <f>(Table1[[#This Row],[value]] - Table1[[#This Row],[mean]]) / Table1[[#This Row],[std_dev]]</f>
        <v>0.22048351733552002</v>
      </c>
      <c r="K901">
        <f>AVERAGEIF(Table1[CountryCode],Table1[[#This Row],[CountryCode]],Table1[z-score])</f>
        <v>0.37045001694562285</v>
      </c>
      <c r="L901" t="e">
        <f>VLOOKUP(Table1[[#This Row],[CountryCode]],[1]!Table1[#All],1,FALSE)</f>
        <v>#REF!</v>
      </c>
    </row>
    <row r="902" spans="1:12" hidden="1" x14ac:dyDescent="0.3">
      <c r="A902" t="s">
        <v>63</v>
      </c>
      <c r="B902" t="s">
        <v>64</v>
      </c>
      <c r="C902" t="s">
        <v>9</v>
      </c>
      <c r="D902" t="s">
        <v>10</v>
      </c>
      <c r="E902">
        <v>2001</v>
      </c>
      <c r="F902" s="1">
        <v>100</v>
      </c>
      <c r="G902">
        <v>2000</v>
      </c>
      <c r="H902">
        <f>AVERAGEIFS(Table1[value],Table1[IndicatorCode],Table1[[#This Row],[IndicatorCode]])</f>
        <v>99.756410256410263</v>
      </c>
      <c r="I902" cm="1">
        <f t="array" ref="I902">_xlfn.STDEV.P(IF(Table1[IndicatorCode]=Table1[[#This Row],[IndicatorCode]],Table1[value]))</f>
        <v>1.1047979755287356</v>
      </c>
      <c r="J902">
        <f>(Table1[[#This Row],[value]] - Table1[[#This Row],[mean]]) / Table1[[#This Row],[std_dev]]</f>
        <v>0.22048351733552002</v>
      </c>
      <c r="K902">
        <f>AVERAGEIF(Table1[CountryCode],Table1[[#This Row],[CountryCode]],Table1[z-score])</f>
        <v>0.37045001694562285</v>
      </c>
      <c r="L902" t="e">
        <f>VLOOKUP(Table1[[#This Row],[CountryCode]],[1]!Table1[#All],1,FALSE)</f>
        <v>#REF!</v>
      </c>
    </row>
    <row r="903" spans="1:12" hidden="1" x14ac:dyDescent="0.3">
      <c r="A903" t="s">
        <v>63</v>
      </c>
      <c r="B903" t="s">
        <v>64</v>
      </c>
      <c r="C903" t="s">
        <v>9</v>
      </c>
      <c r="D903" t="s">
        <v>10</v>
      </c>
      <c r="E903">
        <v>2002</v>
      </c>
      <c r="F903" s="1">
        <v>100</v>
      </c>
      <c r="G903">
        <v>2000</v>
      </c>
      <c r="H903">
        <f>AVERAGEIFS(Table1[value],Table1[IndicatorCode],Table1[[#This Row],[IndicatorCode]])</f>
        <v>99.756410256410263</v>
      </c>
      <c r="I903" cm="1">
        <f t="array" ref="I903">_xlfn.STDEV.P(IF(Table1[IndicatorCode]=Table1[[#This Row],[IndicatorCode]],Table1[value]))</f>
        <v>1.1047979755287356</v>
      </c>
      <c r="J903">
        <f>(Table1[[#This Row],[value]] - Table1[[#This Row],[mean]]) / Table1[[#This Row],[std_dev]]</f>
        <v>0.22048351733552002</v>
      </c>
      <c r="K903">
        <f>AVERAGEIF(Table1[CountryCode],Table1[[#This Row],[CountryCode]],Table1[z-score])</f>
        <v>0.37045001694562285</v>
      </c>
      <c r="L903" t="e">
        <f>VLOOKUP(Table1[[#This Row],[CountryCode]],[1]!Table1[#All],1,FALSE)</f>
        <v>#REF!</v>
      </c>
    </row>
    <row r="904" spans="1:12" hidden="1" x14ac:dyDescent="0.3">
      <c r="A904" t="s">
        <v>63</v>
      </c>
      <c r="B904" t="s">
        <v>64</v>
      </c>
      <c r="C904" t="s">
        <v>9</v>
      </c>
      <c r="D904" t="s">
        <v>10</v>
      </c>
      <c r="E904">
        <v>2003</v>
      </c>
      <c r="F904" s="1">
        <v>100</v>
      </c>
      <c r="G904">
        <v>2000</v>
      </c>
      <c r="H904">
        <f>AVERAGEIFS(Table1[value],Table1[IndicatorCode],Table1[[#This Row],[IndicatorCode]])</f>
        <v>99.756410256410263</v>
      </c>
      <c r="I904" cm="1">
        <f t="array" ref="I904">_xlfn.STDEV.P(IF(Table1[IndicatorCode]=Table1[[#This Row],[IndicatorCode]],Table1[value]))</f>
        <v>1.1047979755287356</v>
      </c>
      <c r="J904">
        <f>(Table1[[#This Row],[value]] - Table1[[#This Row],[mean]]) / Table1[[#This Row],[std_dev]]</f>
        <v>0.22048351733552002</v>
      </c>
      <c r="K904">
        <f>AVERAGEIF(Table1[CountryCode],Table1[[#This Row],[CountryCode]],Table1[z-score])</f>
        <v>0.37045001694562285</v>
      </c>
      <c r="L904" t="e">
        <f>VLOOKUP(Table1[[#This Row],[CountryCode]],[1]!Table1[#All],1,FALSE)</f>
        <v>#REF!</v>
      </c>
    </row>
    <row r="905" spans="1:12" hidden="1" x14ac:dyDescent="0.3">
      <c r="A905" t="s">
        <v>63</v>
      </c>
      <c r="B905" t="s">
        <v>64</v>
      </c>
      <c r="C905" t="s">
        <v>9</v>
      </c>
      <c r="D905" t="s">
        <v>10</v>
      </c>
      <c r="E905">
        <v>2004</v>
      </c>
      <c r="F905" s="1">
        <v>100</v>
      </c>
      <c r="G905">
        <v>2000</v>
      </c>
      <c r="H905">
        <f>AVERAGEIFS(Table1[value],Table1[IndicatorCode],Table1[[#This Row],[IndicatorCode]])</f>
        <v>99.756410256410263</v>
      </c>
      <c r="I905" cm="1">
        <f t="array" ref="I905">_xlfn.STDEV.P(IF(Table1[IndicatorCode]=Table1[[#This Row],[IndicatorCode]],Table1[value]))</f>
        <v>1.1047979755287356</v>
      </c>
      <c r="J905">
        <f>(Table1[[#This Row],[value]] - Table1[[#This Row],[mean]]) / Table1[[#This Row],[std_dev]]</f>
        <v>0.22048351733552002</v>
      </c>
      <c r="K905">
        <f>AVERAGEIF(Table1[CountryCode],Table1[[#This Row],[CountryCode]],Table1[z-score])</f>
        <v>0.37045001694562285</v>
      </c>
      <c r="L905" t="e">
        <f>VLOOKUP(Table1[[#This Row],[CountryCode]],[1]!Table1[#All],1,FALSE)</f>
        <v>#REF!</v>
      </c>
    </row>
    <row r="906" spans="1:12" hidden="1" x14ac:dyDescent="0.3">
      <c r="A906" t="s">
        <v>63</v>
      </c>
      <c r="B906" t="s">
        <v>64</v>
      </c>
      <c r="C906" t="s">
        <v>9</v>
      </c>
      <c r="D906" t="s">
        <v>10</v>
      </c>
      <c r="E906">
        <v>2005</v>
      </c>
      <c r="F906" s="1">
        <v>100</v>
      </c>
      <c r="G906">
        <v>2000</v>
      </c>
      <c r="H906">
        <f>AVERAGEIFS(Table1[value],Table1[IndicatorCode],Table1[[#This Row],[IndicatorCode]])</f>
        <v>99.756410256410263</v>
      </c>
      <c r="I906" cm="1">
        <f t="array" ref="I906">_xlfn.STDEV.P(IF(Table1[IndicatorCode]=Table1[[#This Row],[IndicatorCode]],Table1[value]))</f>
        <v>1.1047979755287356</v>
      </c>
      <c r="J906">
        <f>(Table1[[#This Row],[value]] - Table1[[#This Row],[mean]]) / Table1[[#This Row],[std_dev]]</f>
        <v>0.22048351733552002</v>
      </c>
      <c r="K906">
        <f>AVERAGEIF(Table1[CountryCode],Table1[[#This Row],[CountryCode]],Table1[z-score])</f>
        <v>0.37045001694562285</v>
      </c>
      <c r="L906" t="e">
        <f>VLOOKUP(Table1[[#This Row],[CountryCode]],[1]!Table1[#All],1,FALSE)</f>
        <v>#REF!</v>
      </c>
    </row>
    <row r="907" spans="1:12" hidden="1" x14ac:dyDescent="0.3">
      <c r="A907" t="s">
        <v>63</v>
      </c>
      <c r="B907" t="s">
        <v>64</v>
      </c>
      <c r="C907" t="s">
        <v>9</v>
      </c>
      <c r="D907" t="s">
        <v>10</v>
      </c>
      <c r="E907">
        <v>2006</v>
      </c>
      <c r="F907" s="1">
        <v>100</v>
      </c>
      <c r="G907">
        <v>2000</v>
      </c>
      <c r="H907">
        <f>AVERAGEIFS(Table1[value],Table1[IndicatorCode],Table1[[#This Row],[IndicatorCode]])</f>
        <v>99.756410256410263</v>
      </c>
      <c r="I907" cm="1">
        <f t="array" ref="I907">_xlfn.STDEV.P(IF(Table1[IndicatorCode]=Table1[[#This Row],[IndicatorCode]],Table1[value]))</f>
        <v>1.1047979755287356</v>
      </c>
      <c r="J907">
        <f>(Table1[[#This Row],[value]] - Table1[[#This Row],[mean]]) / Table1[[#This Row],[std_dev]]</f>
        <v>0.22048351733552002</v>
      </c>
      <c r="K907">
        <f>AVERAGEIF(Table1[CountryCode],Table1[[#This Row],[CountryCode]],Table1[z-score])</f>
        <v>0.37045001694562285</v>
      </c>
      <c r="L907" t="e">
        <f>VLOOKUP(Table1[[#This Row],[CountryCode]],[1]!Table1[#All],1,FALSE)</f>
        <v>#REF!</v>
      </c>
    </row>
    <row r="908" spans="1:12" hidden="1" x14ac:dyDescent="0.3">
      <c r="A908" t="s">
        <v>63</v>
      </c>
      <c r="B908" t="s">
        <v>64</v>
      </c>
      <c r="C908" t="s">
        <v>9</v>
      </c>
      <c r="D908" t="s">
        <v>10</v>
      </c>
      <c r="E908">
        <v>2007</v>
      </c>
      <c r="F908" s="1">
        <v>100</v>
      </c>
      <c r="G908">
        <v>2010</v>
      </c>
      <c r="H908">
        <f>AVERAGEIFS(Table1[value],Table1[IndicatorCode],Table1[[#This Row],[IndicatorCode]])</f>
        <v>99.756410256410263</v>
      </c>
      <c r="I908" cm="1">
        <f t="array" ref="I908">_xlfn.STDEV.P(IF(Table1[IndicatorCode]=Table1[[#This Row],[IndicatorCode]],Table1[value]))</f>
        <v>1.1047979755287356</v>
      </c>
      <c r="J908">
        <f>(Table1[[#This Row],[value]] - Table1[[#This Row],[mean]]) / Table1[[#This Row],[std_dev]]</f>
        <v>0.22048351733552002</v>
      </c>
      <c r="K908">
        <f>AVERAGEIF(Table1[CountryCode],Table1[[#This Row],[CountryCode]],Table1[z-score])</f>
        <v>0.37045001694562285</v>
      </c>
      <c r="L908" t="e">
        <f>VLOOKUP(Table1[[#This Row],[CountryCode]],[1]!Table1[#All],1,FALSE)</f>
        <v>#REF!</v>
      </c>
    </row>
    <row r="909" spans="1:12" hidden="1" x14ac:dyDescent="0.3">
      <c r="A909" t="s">
        <v>63</v>
      </c>
      <c r="B909" t="s">
        <v>64</v>
      </c>
      <c r="C909" t="s">
        <v>9</v>
      </c>
      <c r="D909" t="s">
        <v>10</v>
      </c>
      <c r="E909">
        <v>2008</v>
      </c>
      <c r="F909" s="1">
        <v>100</v>
      </c>
      <c r="G909">
        <v>2010</v>
      </c>
      <c r="H909">
        <f>AVERAGEIFS(Table1[value],Table1[IndicatorCode],Table1[[#This Row],[IndicatorCode]])</f>
        <v>99.756410256410263</v>
      </c>
      <c r="I909" cm="1">
        <f t="array" ref="I909">_xlfn.STDEV.P(IF(Table1[IndicatorCode]=Table1[[#This Row],[IndicatorCode]],Table1[value]))</f>
        <v>1.1047979755287356</v>
      </c>
      <c r="J909">
        <f>(Table1[[#This Row],[value]] - Table1[[#This Row],[mean]]) / Table1[[#This Row],[std_dev]]</f>
        <v>0.22048351733552002</v>
      </c>
      <c r="K909">
        <f>AVERAGEIF(Table1[CountryCode],Table1[[#This Row],[CountryCode]],Table1[z-score])</f>
        <v>0.37045001694562285</v>
      </c>
      <c r="L909" t="e">
        <f>VLOOKUP(Table1[[#This Row],[CountryCode]],[1]!Table1[#All],1,FALSE)</f>
        <v>#REF!</v>
      </c>
    </row>
    <row r="910" spans="1:12" hidden="1" x14ac:dyDescent="0.3">
      <c r="A910" t="s">
        <v>63</v>
      </c>
      <c r="B910" t="s">
        <v>64</v>
      </c>
      <c r="C910" t="s">
        <v>9</v>
      </c>
      <c r="D910" t="s">
        <v>10</v>
      </c>
      <c r="E910">
        <v>2009</v>
      </c>
      <c r="F910" s="1">
        <v>100</v>
      </c>
      <c r="G910">
        <v>2010</v>
      </c>
      <c r="H910">
        <f>AVERAGEIFS(Table1[value],Table1[IndicatorCode],Table1[[#This Row],[IndicatorCode]])</f>
        <v>99.756410256410263</v>
      </c>
      <c r="I910" cm="1">
        <f t="array" ref="I910">_xlfn.STDEV.P(IF(Table1[IndicatorCode]=Table1[[#This Row],[IndicatorCode]],Table1[value]))</f>
        <v>1.1047979755287356</v>
      </c>
      <c r="J910">
        <f>(Table1[[#This Row],[value]] - Table1[[#This Row],[mean]]) / Table1[[#This Row],[std_dev]]</f>
        <v>0.22048351733552002</v>
      </c>
      <c r="K910">
        <f>AVERAGEIF(Table1[CountryCode],Table1[[#This Row],[CountryCode]],Table1[z-score])</f>
        <v>0.37045001694562285</v>
      </c>
      <c r="L910" t="e">
        <f>VLOOKUP(Table1[[#This Row],[CountryCode]],[1]!Table1[#All],1,FALSE)</f>
        <v>#REF!</v>
      </c>
    </row>
    <row r="911" spans="1:12" hidden="1" x14ac:dyDescent="0.3">
      <c r="A911" t="s">
        <v>63</v>
      </c>
      <c r="B911" t="s">
        <v>64</v>
      </c>
      <c r="C911" t="s">
        <v>9</v>
      </c>
      <c r="D911" t="s">
        <v>10</v>
      </c>
      <c r="E911">
        <v>2010</v>
      </c>
      <c r="F911" s="1">
        <v>100</v>
      </c>
      <c r="G911">
        <v>2010</v>
      </c>
      <c r="H911">
        <f>AVERAGEIFS(Table1[value],Table1[IndicatorCode],Table1[[#This Row],[IndicatorCode]])</f>
        <v>99.756410256410263</v>
      </c>
      <c r="I911" cm="1">
        <f t="array" ref="I911">_xlfn.STDEV.P(IF(Table1[IndicatorCode]=Table1[[#This Row],[IndicatorCode]],Table1[value]))</f>
        <v>1.1047979755287356</v>
      </c>
      <c r="J911">
        <f>(Table1[[#This Row],[value]] - Table1[[#This Row],[mean]]) / Table1[[#This Row],[std_dev]]</f>
        <v>0.22048351733552002</v>
      </c>
      <c r="K911">
        <f>AVERAGEIF(Table1[CountryCode],Table1[[#This Row],[CountryCode]],Table1[z-score])</f>
        <v>0.37045001694562285</v>
      </c>
      <c r="L911" t="e">
        <f>VLOOKUP(Table1[[#This Row],[CountryCode]],[1]!Table1[#All],1,FALSE)</f>
        <v>#REF!</v>
      </c>
    </row>
    <row r="912" spans="1:12" hidden="1" x14ac:dyDescent="0.3">
      <c r="A912" t="s">
        <v>63</v>
      </c>
      <c r="B912" t="s">
        <v>64</v>
      </c>
      <c r="C912" t="s">
        <v>9</v>
      </c>
      <c r="D912" t="s">
        <v>10</v>
      </c>
      <c r="E912">
        <v>2011</v>
      </c>
      <c r="F912" s="1">
        <v>100</v>
      </c>
      <c r="G912">
        <v>2010</v>
      </c>
      <c r="H912">
        <f>AVERAGEIFS(Table1[value],Table1[IndicatorCode],Table1[[#This Row],[IndicatorCode]])</f>
        <v>99.756410256410263</v>
      </c>
      <c r="I912" cm="1">
        <f t="array" ref="I912">_xlfn.STDEV.P(IF(Table1[IndicatorCode]=Table1[[#This Row],[IndicatorCode]],Table1[value]))</f>
        <v>1.1047979755287356</v>
      </c>
      <c r="J912">
        <f>(Table1[[#This Row],[value]] - Table1[[#This Row],[mean]]) / Table1[[#This Row],[std_dev]]</f>
        <v>0.22048351733552002</v>
      </c>
      <c r="K912">
        <f>AVERAGEIF(Table1[CountryCode],Table1[[#This Row],[CountryCode]],Table1[z-score])</f>
        <v>0.37045001694562285</v>
      </c>
      <c r="L912" t="e">
        <f>VLOOKUP(Table1[[#This Row],[CountryCode]],[1]!Table1[#All],1,FALSE)</f>
        <v>#REF!</v>
      </c>
    </row>
    <row r="913" spans="1:12" hidden="1" x14ac:dyDescent="0.3">
      <c r="A913" t="s">
        <v>63</v>
      </c>
      <c r="B913" t="s">
        <v>64</v>
      </c>
      <c r="C913" t="s">
        <v>9</v>
      </c>
      <c r="D913" t="s">
        <v>10</v>
      </c>
      <c r="E913">
        <v>2012</v>
      </c>
      <c r="F913" s="1">
        <v>100</v>
      </c>
      <c r="G913">
        <v>2010</v>
      </c>
      <c r="H913">
        <f>AVERAGEIFS(Table1[value],Table1[IndicatorCode],Table1[[#This Row],[IndicatorCode]])</f>
        <v>99.756410256410263</v>
      </c>
      <c r="I913" cm="1">
        <f t="array" ref="I913">_xlfn.STDEV.P(IF(Table1[IndicatorCode]=Table1[[#This Row],[IndicatorCode]],Table1[value]))</f>
        <v>1.1047979755287356</v>
      </c>
      <c r="J913">
        <f>(Table1[[#This Row],[value]] - Table1[[#This Row],[mean]]) / Table1[[#This Row],[std_dev]]</f>
        <v>0.22048351733552002</v>
      </c>
      <c r="K913">
        <f>AVERAGEIF(Table1[CountryCode],Table1[[#This Row],[CountryCode]],Table1[z-score])</f>
        <v>0.37045001694562285</v>
      </c>
      <c r="L913" t="e">
        <f>VLOOKUP(Table1[[#This Row],[CountryCode]],[1]!Table1[#All],1,FALSE)</f>
        <v>#REF!</v>
      </c>
    </row>
    <row r="914" spans="1:12" hidden="1" x14ac:dyDescent="0.3">
      <c r="A914" t="s">
        <v>63</v>
      </c>
      <c r="B914" t="s">
        <v>64</v>
      </c>
      <c r="C914" t="s">
        <v>9</v>
      </c>
      <c r="D914" t="s">
        <v>10</v>
      </c>
      <c r="E914">
        <v>2013</v>
      </c>
      <c r="F914" s="1">
        <v>100</v>
      </c>
      <c r="G914">
        <v>2010</v>
      </c>
      <c r="H914">
        <f>AVERAGEIFS(Table1[value],Table1[IndicatorCode],Table1[[#This Row],[IndicatorCode]])</f>
        <v>99.756410256410263</v>
      </c>
      <c r="I914" cm="1">
        <f t="array" ref="I914">_xlfn.STDEV.P(IF(Table1[IndicatorCode]=Table1[[#This Row],[IndicatorCode]],Table1[value]))</f>
        <v>1.1047979755287356</v>
      </c>
      <c r="J914">
        <f>(Table1[[#This Row],[value]] - Table1[[#This Row],[mean]]) / Table1[[#This Row],[std_dev]]</f>
        <v>0.22048351733552002</v>
      </c>
      <c r="K914">
        <f>AVERAGEIF(Table1[CountryCode],Table1[[#This Row],[CountryCode]],Table1[z-score])</f>
        <v>0.37045001694562285</v>
      </c>
      <c r="L914" t="e">
        <f>VLOOKUP(Table1[[#This Row],[CountryCode]],[1]!Table1[#All],1,FALSE)</f>
        <v>#REF!</v>
      </c>
    </row>
    <row r="915" spans="1:12" hidden="1" x14ac:dyDescent="0.3">
      <c r="A915" t="s">
        <v>63</v>
      </c>
      <c r="B915" t="s">
        <v>64</v>
      </c>
      <c r="C915" t="s">
        <v>9</v>
      </c>
      <c r="D915" t="s">
        <v>10</v>
      </c>
      <c r="E915">
        <v>2014</v>
      </c>
      <c r="F915" s="1">
        <v>100</v>
      </c>
      <c r="G915">
        <v>2010</v>
      </c>
      <c r="H915">
        <f>AVERAGEIFS(Table1[value],Table1[IndicatorCode],Table1[[#This Row],[IndicatorCode]])</f>
        <v>99.756410256410263</v>
      </c>
      <c r="I915" cm="1">
        <f t="array" ref="I915">_xlfn.STDEV.P(IF(Table1[IndicatorCode]=Table1[[#This Row],[IndicatorCode]],Table1[value]))</f>
        <v>1.1047979755287356</v>
      </c>
      <c r="J915">
        <f>(Table1[[#This Row],[value]] - Table1[[#This Row],[mean]]) / Table1[[#This Row],[std_dev]]</f>
        <v>0.22048351733552002</v>
      </c>
      <c r="K915">
        <f>AVERAGEIF(Table1[CountryCode],Table1[[#This Row],[CountryCode]],Table1[z-score])</f>
        <v>0.37045001694562285</v>
      </c>
      <c r="L915" t="e">
        <f>VLOOKUP(Table1[[#This Row],[CountryCode]],[1]!Table1[#All],1,FALSE)</f>
        <v>#REF!</v>
      </c>
    </row>
    <row r="916" spans="1:12" hidden="1" x14ac:dyDescent="0.3">
      <c r="A916" t="s">
        <v>63</v>
      </c>
      <c r="B916" t="s">
        <v>64</v>
      </c>
      <c r="C916" t="s">
        <v>9</v>
      </c>
      <c r="D916" t="s">
        <v>10</v>
      </c>
      <c r="E916">
        <v>2015</v>
      </c>
      <c r="F916" s="1">
        <v>100</v>
      </c>
      <c r="G916">
        <v>2010</v>
      </c>
      <c r="H916">
        <f>AVERAGEIFS(Table1[value],Table1[IndicatorCode],Table1[[#This Row],[IndicatorCode]])</f>
        <v>99.756410256410263</v>
      </c>
      <c r="I916" cm="1">
        <f t="array" ref="I916">_xlfn.STDEV.P(IF(Table1[IndicatorCode]=Table1[[#This Row],[IndicatorCode]],Table1[value]))</f>
        <v>1.1047979755287356</v>
      </c>
      <c r="J916">
        <f>(Table1[[#This Row],[value]] - Table1[[#This Row],[mean]]) / Table1[[#This Row],[std_dev]]</f>
        <v>0.22048351733552002</v>
      </c>
      <c r="K916">
        <f>AVERAGEIF(Table1[CountryCode],Table1[[#This Row],[CountryCode]],Table1[z-score])</f>
        <v>0.37045001694562285</v>
      </c>
      <c r="L916" t="e">
        <f>VLOOKUP(Table1[[#This Row],[CountryCode]],[1]!Table1[#All],1,FALSE)</f>
        <v>#REF!</v>
      </c>
    </row>
    <row r="917" spans="1:12" hidden="1" x14ac:dyDescent="0.3">
      <c r="A917" t="s">
        <v>63</v>
      </c>
      <c r="B917" t="s">
        <v>64</v>
      </c>
      <c r="C917" t="s">
        <v>9</v>
      </c>
      <c r="D917" t="s">
        <v>10</v>
      </c>
      <c r="E917">
        <v>2016</v>
      </c>
      <c r="F917" s="1">
        <v>100</v>
      </c>
      <c r="G917">
        <v>2010</v>
      </c>
      <c r="H917">
        <f>AVERAGEIFS(Table1[value],Table1[IndicatorCode],Table1[[#This Row],[IndicatorCode]])</f>
        <v>99.756410256410263</v>
      </c>
      <c r="I917" cm="1">
        <f t="array" ref="I917">_xlfn.STDEV.P(IF(Table1[IndicatorCode]=Table1[[#This Row],[IndicatorCode]],Table1[value]))</f>
        <v>1.1047979755287356</v>
      </c>
      <c r="J917">
        <f>(Table1[[#This Row],[value]] - Table1[[#This Row],[mean]]) / Table1[[#This Row],[std_dev]]</f>
        <v>0.22048351733552002</v>
      </c>
      <c r="K917">
        <f>AVERAGEIF(Table1[CountryCode],Table1[[#This Row],[CountryCode]],Table1[z-score])</f>
        <v>0.37045001694562285</v>
      </c>
      <c r="L917" t="e">
        <f>VLOOKUP(Table1[[#This Row],[CountryCode]],[1]!Table1[#All],1,FALSE)</f>
        <v>#REF!</v>
      </c>
    </row>
    <row r="918" spans="1:12" hidden="1" x14ac:dyDescent="0.3">
      <c r="A918" t="s">
        <v>63</v>
      </c>
      <c r="B918" t="s">
        <v>64</v>
      </c>
      <c r="C918" t="s">
        <v>9</v>
      </c>
      <c r="D918" t="s">
        <v>10</v>
      </c>
      <c r="E918">
        <v>2017</v>
      </c>
      <c r="F918" s="1">
        <v>100</v>
      </c>
      <c r="G918">
        <v>2020</v>
      </c>
      <c r="H918">
        <f>AVERAGEIFS(Table1[value],Table1[IndicatorCode],Table1[[#This Row],[IndicatorCode]])</f>
        <v>99.756410256410263</v>
      </c>
      <c r="I918" cm="1">
        <f t="array" ref="I918">_xlfn.STDEV.P(IF(Table1[IndicatorCode]=Table1[[#This Row],[IndicatorCode]],Table1[value]))</f>
        <v>1.1047979755287356</v>
      </c>
      <c r="J918">
        <f>(Table1[[#This Row],[value]] - Table1[[#This Row],[mean]]) / Table1[[#This Row],[std_dev]]</f>
        <v>0.22048351733552002</v>
      </c>
      <c r="K918">
        <f>AVERAGEIF(Table1[CountryCode],Table1[[#This Row],[CountryCode]],Table1[z-score])</f>
        <v>0.37045001694562285</v>
      </c>
      <c r="L918" t="e">
        <f>VLOOKUP(Table1[[#This Row],[CountryCode]],[1]!Table1[#All],1,FALSE)</f>
        <v>#REF!</v>
      </c>
    </row>
    <row r="919" spans="1:12" hidden="1" x14ac:dyDescent="0.3">
      <c r="A919" t="s">
        <v>63</v>
      </c>
      <c r="B919" t="s">
        <v>64</v>
      </c>
      <c r="C919" t="s">
        <v>9</v>
      </c>
      <c r="D919" t="s">
        <v>10</v>
      </c>
      <c r="E919">
        <v>2018</v>
      </c>
      <c r="F919" s="1">
        <v>100</v>
      </c>
      <c r="G919">
        <v>2020</v>
      </c>
      <c r="H919">
        <f>AVERAGEIFS(Table1[value],Table1[IndicatorCode],Table1[[#This Row],[IndicatorCode]])</f>
        <v>99.756410256410263</v>
      </c>
      <c r="I919" cm="1">
        <f t="array" ref="I919">_xlfn.STDEV.P(IF(Table1[IndicatorCode]=Table1[[#This Row],[IndicatorCode]],Table1[value]))</f>
        <v>1.1047979755287356</v>
      </c>
      <c r="J919">
        <f>(Table1[[#This Row],[value]] - Table1[[#This Row],[mean]]) / Table1[[#This Row],[std_dev]]</f>
        <v>0.22048351733552002</v>
      </c>
      <c r="K919">
        <f>AVERAGEIF(Table1[CountryCode],Table1[[#This Row],[CountryCode]],Table1[z-score])</f>
        <v>0.37045001694562285</v>
      </c>
      <c r="L919" t="e">
        <f>VLOOKUP(Table1[[#This Row],[CountryCode]],[1]!Table1[#All],1,FALSE)</f>
        <v>#REF!</v>
      </c>
    </row>
    <row r="920" spans="1:12" hidden="1" x14ac:dyDescent="0.3">
      <c r="A920" t="s">
        <v>63</v>
      </c>
      <c r="B920" t="s">
        <v>64</v>
      </c>
      <c r="C920" t="s">
        <v>9</v>
      </c>
      <c r="D920" t="s">
        <v>10</v>
      </c>
      <c r="E920">
        <v>2019</v>
      </c>
      <c r="F920" s="1">
        <v>100</v>
      </c>
      <c r="G920">
        <v>2020</v>
      </c>
      <c r="H920">
        <f>AVERAGEIFS(Table1[value],Table1[IndicatorCode],Table1[[#This Row],[IndicatorCode]])</f>
        <v>99.756410256410263</v>
      </c>
      <c r="I920" cm="1">
        <f t="array" ref="I920">_xlfn.STDEV.P(IF(Table1[IndicatorCode]=Table1[[#This Row],[IndicatorCode]],Table1[value]))</f>
        <v>1.1047979755287356</v>
      </c>
      <c r="J920">
        <f>(Table1[[#This Row],[value]] - Table1[[#This Row],[mean]]) / Table1[[#This Row],[std_dev]]</f>
        <v>0.22048351733552002</v>
      </c>
      <c r="K920">
        <f>AVERAGEIF(Table1[CountryCode],Table1[[#This Row],[CountryCode]],Table1[z-score])</f>
        <v>0.37045001694562285</v>
      </c>
      <c r="L920" t="e">
        <f>VLOOKUP(Table1[[#This Row],[CountryCode]],[1]!Table1[#All],1,FALSE)</f>
        <v>#REF!</v>
      </c>
    </row>
    <row r="921" spans="1:12" x14ac:dyDescent="0.3">
      <c r="A921" t="s">
        <v>63</v>
      </c>
      <c r="B921" t="s">
        <v>64</v>
      </c>
      <c r="C921" t="s">
        <v>9</v>
      </c>
      <c r="D921" t="s">
        <v>10</v>
      </c>
      <c r="E921">
        <v>2020</v>
      </c>
      <c r="F921" s="1">
        <v>100</v>
      </c>
      <c r="G921">
        <v>2020</v>
      </c>
      <c r="H921">
        <f>AVERAGEIFS(Table1[value],Table1[IndicatorCode],Table1[[#This Row],[IndicatorCode]])</f>
        <v>99.756410256410263</v>
      </c>
      <c r="I921" cm="1">
        <f t="array" ref="I921">_xlfn.STDEV.P(IF(Table1[IndicatorCode]=Table1[[#This Row],[IndicatorCode]],Table1[value]))</f>
        <v>1.1047979755287356</v>
      </c>
      <c r="J921">
        <f>(Table1[[#This Row],[value]] - Table1[[#This Row],[mean]]) / Table1[[#This Row],[std_dev]]</f>
        <v>0.22048351733552002</v>
      </c>
      <c r="K921">
        <f>AVERAGEIF(Table1[CountryCode],Table1[[#This Row],[CountryCode]],Table1[z-score])</f>
        <v>0.37045001694562285</v>
      </c>
    </row>
    <row r="922" spans="1:12" hidden="1" x14ac:dyDescent="0.3">
      <c r="A922" t="s">
        <v>63</v>
      </c>
      <c r="B922" t="s">
        <v>64</v>
      </c>
      <c r="C922" t="s">
        <v>9</v>
      </c>
      <c r="D922" t="s">
        <v>10</v>
      </c>
      <c r="E922">
        <v>2021</v>
      </c>
      <c r="F922" s="1">
        <v>100</v>
      </c>
      <c r="G922">
        <v>1990</v>
      </c>
      <c r="H922">
        <f>AVERAGEIFS(Table1[value],Table1[IndicatorCode],Table1[[#This Row],[IndicatorCode]])</f>
        <v>99.756410256410263</v>
      </c>
      <c r="I922" cm="1">
        <f t="array" ref="I922">_xlfn.STDEV.P(IF(Table1[IndicatorCode]=Table1[[#This Row],[IndicatorCode]],Table1[value]))</f>
        <v>1.1047979755287356</v>
      </c>
      <c r="J922">
        <f>(Table1[[#This Row],[value]] - Table1[[#This Row],[mean]]) / Table1[[#This Row],[std_dev]]</f>
        <v>0.22048351733552002</v>
      </c>
      <c r="K922">
        <f>AVERAGEIF(Table1[CountryCode],Table1[[#This Row],[CountryCode]],Table1[z-score])</f>
        <v>0.37045001694562285</v>
      </c>
      <c r="L922" t="e">
        <f>VLOOKUP(Table1[[#This Row],[CountryCode]],[1]!Table1[#All],1,FALSE)</f>
        <v>#REF!</v>
      </c>
    </row>
    <row r="923" spans="1:12" hidden="1" x14ac:dyDescent="0.3">
      <c r="A923" t="s">
        <v>63</v>
      </c>
      <c r="B923" t="s">
        <v>64</v>
      </c>
      <c r="C923" t="s">
        <v>9</v>
      </c>
      <c r="D923" t="s">
        <v>10</v>
      </c>
      <c r="E923">
        <v>2022</v>
      </c>
      <c r="F923" s="1">
        <v>100</v>
      </c>
      <c r="G923">
        <v>1990</v>
      </c>
      <c r="H923">
        <f>AVERAGEIFS(Table1[value],Table1[IndicatorCode],Table1[[#This Row],[IndicatorCode]])</f>
        <v>99.756410256410263</v>
      </c>
      <c r="I923" cm="1">
        <f t="array" ref="I923">_xlfn.STDEV.P(IF(Table1[IndicatorCode]=Table1[[#This Row],[IndicatorCode]],Table1[value]))</f>
        <v>1.1047979755287356</v>
      </c>
      <c r="J923">
        <f>(Table1[[#This Row],[value]] - Table1[[#This Row],[mean]]) / Table1[[#This Row],[std_dev]]</f>
        <v>0.22048351733552002</v>
      </c>
      <c r="K923">
        <f>AVERAGEIF(Table1[CountryCode],Table1[[#This Row],[CountryCode]],Table1[z-score])</f>
        <v>0.37045001694562285</v>
      </c>
      <c r="L923" t="e">
        <f>VLOOKUP(Table1[[#This Row],[CountryCode]],[1]!Table1[#All],1,FALSE)</f>
        <v>#REF!</v>
      </c>
    </row>
    <row r="924" spans="1:12" hidden="1" x14ac:dyDescent="0.3">
      <c r="A924" t="s">
        <v>63</v>
      </c>
      <c r="B924" t="s">
        <v>64</v>
      </c>
      <c r="C924" t="s">
        <v>9</v>
      </c>
      <c r="D924" t="s">
        <v>10</v>
      </c>
      <c r="E924">
        <v>2023</v>
      </c>
      <c r="F924" s="1">
        <v>100</v>
      </c>
      <c r="G924">
        <v>1990</v>
      </c>
      <c r="H924">
        <f>AVERAGEIFS(Table1[value],Table1[IndicatorCode],Table1[[#This Row],[IndicatorCode]])</f>
        <v>99.756410256410263</v>
      </c>
      <c r="I924" cm="1">
        <f t="array" ref="I924">_xlfn.STDEV.P(IF(Table1[IndicatorCode]=Table1[[#This Row],[IndicatorCode]],Table1[value]))</f>
        <v>1.1047979755287356</v>
      </c>
      <c r="J924">
        <f>(Table1[[#This Row],[value]] - Table1[[#This Row],[mean]]) / Table1[[#This Row],[std_dev]]</f>
        <v>0.22048351733552002</v>
      </c>
      <c r="K924">
        <f>AVERAGEIF(Table1[CountryCode],Table1[[#This Row],[CountryCode]],Table1[z-score])</f>
        <v>0.37045001694562285</v>
      </c>
      <c r="L924" t="e">
        <f>VLOOKUP(Table1[[#This Row],[CountryCode]],[1]!Table1[#All],1,FALSE)</f>
        <v>#REF!</v>
      </c>
    </row>
    <row r="925" spans="1:12" hidden="1" x14ac:dyDescent="0.3">
      <c r="A925" t="s">
        <v>65</v>
      </c>
      <c r="B925" t="s">
        <v>66</v>
      </c>
      <c r="C925" t="s">
        <v>9</v>
      </c>
      <c r="D925" t="s">
        <v>10</v>
      </c>
      <c r="E925">
        <v>1990</v>
      </c>
      <c r="F925" s="1">
        <v>100</v>
      </c>
      <c r="G925">
        <v>1990</v>
      </c>
      <c r="H925">
        <f>AVERAGEIFS(Table1[value],Table1[IndicatorCode],Table1[[#This Row],[IndicatorCode]])</f>
        <v>99.756410256410263</v>
      </c>
      <c r="I925" cm="1">
        <f t="array" ref="I925">_xlfn.STDEV.P(IF(Table1[IndicatorCode]=Table1[[#This Row],[IndicatorCode]],Table1[value]))</f>
        <v>1.1047979755287356</v>
      </c>
      <c r="J925">
        <f>(Table1[[#This Row],[value]] - Table1[[#This Row],[mean]]) / Table1[[#This Row],[std_dev]]</f>
        <v>0.22048351733552002</v>
      </c>
      <c r="K925">
        <f>AVERAGEIF(Table1[CountryCode],Table1[[#This Row],[CountryCode]],Table1[z-score])</f>
        <v>0.33171547334985529</v>
      </c>
      <c r="L925" t="e">
        <f>VLOOKUP(Table1[[#This Row],[CountryCode]],[1]!Table1[#All],1,FALSE)</f>
        <v>#REF!</v>
      </c>
    </row>
    <row r="926" spans="1:12" hidden="1" x14ac:dyDescent="0.3">
      <c r="A926" t="s">
        <v>65</v>
      </c>
      <c r="B926" t="s">
        <v>66</v>
      </c>
      <c r="C926" t="s">
        <v>9</v>
      </c>
      <c r="D926" t="s">
        <v>10</v>
      </c>
      <c r="E926">
        <v>1991</v>
      </c>
      <c r="F926" s="1">
        <v>100</v>
      </c>
      <c r="G926">
        <v>1990</v>
      </c>
      <c r="H926">
        <f>AVERAGEIFS(Table1[value],Table1[IndicatorCode],Table1[[#This Row],[IndicatorCode]])</f>
        <v>99.756410256410263</v>
      </c>
      <c r="I926" cm="1">
        <f t="array" ref="I926">_xlfn.STDEV.P(IF(Table1[IndicatorCode]=Table1[[#This Row],[IndicatorCode]],Table1[value]))</f>
        <v>1.1047979755287356</v>
      </c>
      <c r="J926">
        <f>(Table1[[#This Row],[value]] - Table1[[#This Row],[mean]]) / Table1[[#This Row],[std_dev]]</f>
        <v>0.22048351733552002</v>
      </c>
      <c r="K926">
        <f>AVERAGEIF(Table1[CountryCode],Table1[[#This Row],[CountryCode]],Table1[z-score])</f>
        <v>0.33171547334985529</v>
      </c>
      <c r="L926" t="e">
        <f>VLOOKUP(Table1[[#This Row],[CountryCode]],[1]!Table1[#All],1,FALSE)</f>
        <v>#REF!</v>
      </c>
    </row>
    <row r="927" spans="1:12" hidden="1" x14ac:dyDescent="0.3">
      <c r="A927" t="s">
        <v>65</v>
      </c>
      <c r="B927" t="s">
        <v>66</v>
      </c>
      <c r="C927" t="s">
        <v>9</v>
      </c>
      <c r="D927" t="s">
        <v>10</v>
      </c>
      <c r="E927">
        <v>1992</v>
      </c>
      <c r="F927" s="1">
        <v>100</v>
      </c>
      <c r="G927">
        <v>1990</v>
      </c>
      <c r="H927">
        <f>AVERAGEIFS(Table1[value],Table1[IndicatorCode],Table1[[#This Row],[IndicatorCode]])</f>
        <v>99.756410256410263</v>
      </c>
      <c r="I927" cm="1">
        <f t="array" ref="I927">_xlfn.STDEV.P(IF(Table1[IndicatorCode]=Table1[[#This Row],[IndicatorCode]],Table1[value]))</f>
        <v>1.1047979755287356</v>
      </c>
      <c r="J927">
        <f>(Table1[[#This Row],[value]] - Table1[[#This Row],[mean]]) / Table1[[#This Row],[std_dev]]</f>
        <v>0.22048351733552002</v>
      </c>
      <c r="K927">
        <f>AVERAGEIF(Table1[CountryCode],Table1[[#This Row],[CountryCode]],Table1[z-score])</f>
        <v>0.33171547334985529</v>
      </c>
      <c r="L927" t="e">
        <f>VLOOKUP(Table1[[#This Row],[CountryCode]],[1]!Table1[#All],1,FALSE)</f>
        <v>#REF!</v>
      </c>
    </row>
    <row r="928" spans="1:12" hidden="1" x14ac:dyDescent="0.3">
      <c r="A928" t="s">
        <v>65</v>
      </c>
      <c r="B928" t="s">
        <v>66</v>
      </c>
      <c r="C928" t="s">
        <v>9</v>
      </c>
      <c r="D928" t="s">
        <v>10</v>
      </c>
      <c r="E928">
        <v>1993</v>
      </c>
      <c r="F928" s="1">
        <v>100</v>
      </c>
      <c r="G928">
        <v>1990</v>
      </c>
      <c r="H928">
        <f>AVERAGEIFS(Table1[value],Table1[IndicatorCode],Table1[[#This Row],[IndicatorCode]])</f>
        <v>99.756410256410263</v>
      </c>
      <c r="I928" cm="1">
        <f t="array" ref="I928">_xlfn.STDEV.P(IF(Table1[IndicatorCode]=Table1[[#This Row],[IndicatorCode]],Table1[value]))</f>
        <v>1.1047979755287356</v>
      </c>
      <c r="J928">
        <f>(Table1[[#This Row],[value]] - Table1[[#This Row],[mean]]) / Table1[[#This Row],[std_dev]]</f>
        <v>0.22048351733552002</v>
      </c>
      <c r="K928">
        <f>AVERAGEIF(Table1[CountryCode],Table1[[#This Row],[CountryCode]],Table1[z-score])</f>
        <v>0.33171547334985529</v>
      </c>
      <c r="L928" t="e">
        <f>VLOOKUP(Table1[[#This Row],[CountryCode]],[1]!Table1[#All],1,FALSE)</f>
        <v>#REF!</v>
      </c>
    </row>
    <row r="929" spans="1:12" hidden="1" x14ac:dyDescent="0.3">
      <c r="A929" t="s">
        <v>65</v>
      </c>
      <c r="B929" t="s">
        <v>66</v>
      </c>
      <c r="C929" t="s">
        <v>9</v>
      </c>
      <c r="D929" t="s">
        <v>10</v>
      </c>
      <c r="E929">
        <v>1994</v>
      </c>
      <c r="F929" s="1">
        <v>100</v>
      </c>
      <c r="G929">
        <v>1990</v>
      </c>
      <c r="H929">
        <f>AVERAGEIFS(Table1[value],Table1[IndicatorCode],Table1[[#This Row],[IndicatorCode]])</f>
        <v>99.756410256410263</v>
      </c>
      <c r="I929" cm="1">
        <f t="array" ref="I929">_xlfn.STDEV.P(IF(Table1[IndicatorCode]=Table1[[#This Row],[IndicatorCode]],Table1[value]))</f>
        <v>1.1047979755287356</v>
      </c>
      <c r="J929">
        <f>(Table1[[#This Row],[value]] - Table1[[#This Row],[mean]]) / Table1[[#This Row],[std_dev]]</f>
        <v>0.22048351733552002</v>
      </c>
      <c r="K929">
        <f>AVERAGEIF(Table1[CountryCode],Table1[[#This Row],[CountryCode]],Table1[z-score])</f>
        <v>0.33171547334985529</v>
      </c>
      <c r="L929" t="e">
        <f>VLOOKUP(Table1[[#This Row],[CountryCode]],[1]!Table1[#All],1,FALSE)</f>
        <v>#REF!</v>
      </c>
    </row>
    <row r="930" spans="1:12" hidden="1" x14ac:dyDescent="0.3">
      <c r="A930" t="s">
        <v>65</v>
      </c>
      <c r="B930" t="s">
        <v>66</v>
      </c>
      <c r="C930" t="s">
        <v>9</v>
      </c>
      <c r="D930" t="s">
        <v>10</v>
      </c>
      <c r="E930">
        <v>1995</v>
      </c>
      <c r="F930" s="1">
        <v>100</v>
      </c>
      <c r="G930">
        <v>1990</v>
      </c>
      <c r="H930">
        <f>AVERAGEIFS(Table1[value],Table1[IndicatorCode],Table1[[#This Row],[IndicatorCode]])</f>
        <v>99.756410256410263</v>
      </c>
      <c r="I930" cm="1">
        <f t="array" ref="I930">_xlfn.STDEV.P(IF(Table1[IndicatorCode]=Table1[[#This Row],[IndicatorCode]],Table1[value]))</f>
        <v>1.1047979755287356</v>
      </c>
      <c r="J930">
        <f>(Table1[[#This Row],[value]] - Table1[[#This Row],[mean]]) / Table1[[#This Row],[std_dev]]</f>
        <v>0.22048351733552002</v>
      </c>
      <c r="K930">
        <f>AVERAGEIF(Table1[CountryCode],Table1[[#This Row],[CountryCode]],Table1[z-score])</f>
        <v>0.33171547334985529</v>
      </c>
      <c r="L930" t="e">
        <f>VLOOKUP(Table1[[#This Row],[CountryCode]],[1]!Table1[#All],1,FALSE)</f>
        <v>#REF!</v>
      </c>
    </row>
    <row r="931" spans="1:12" hidden="1" x14ac:dyDescent="0.3">
      <c r="A931" t="s">
        <v>65</v>
      </c>
      <c r="B931" t="s">
        <v>66</v>
      </c>
      <c r="C931" t="s">
        <v>9</v>
      </c>
      <c r="D931" t="s">
        <v>10</v>
      </c>
      <c r="E931">
        <v>1996</v>
      </c>
      <c r="F931" s="1">
        <v>100</v>
      </c>
      <c r="G931">
        <v>1990</v>
      </c>
      <c r="H931">
        <f>AVERAGEIFS(Table1[value],Table1[IndicatorCode],Table1[[#This Row],[IndicatorCode]])</f>
        <v>99.756410256410263</v>
      </c>
      <c r="I931" cm="1">
        <f t="array" ref="I931">_xlfn.STDEV.P(IF(Table1[IndicatorCode]=Table1[[#This Row],[IndicatorCode]],Table1[value]))</f>
        <v>1.1047979755287356</v>
      </c>
      <c r="J931">
        <f>(Table1[[#This Row],[value]] - Table1[[#This Row],[mean]]) / Table1[[#This Row],[std_dev]]</f>
        <v>0.22048351733552002</v>
      </c>
      <c r="K931">
        <f>AVERAGEIF(Table1[CountryCode],Table1[[#This Row],[CountryCode]],Table1[z-score])</f>
        <v>0.33171547334985529</v>
      </c>
      <c r="L931" t="e">
        <f>VLOOKUP(Table1[[#This Row],[CountryCode]],[1]!Table1[#All],1,FALSE)</f>
        <v>#REF!</v>
      </c>
    </row>
    <row r="932" spans="1:12" hidden="1" x14ac:dyDescent="0.3">
      <c r="A932" t="s">
        <v>65</v>
      </c>
      <c r="B932" t="s">
        <v>66</v>
      </c>
      <c r="C932" t="s">
        <v>9</v>
      </c>
      <c r="D932" t="s">
        <v>10</v>
      </c>
      <c r="E932">
        <v>1997</v>
      </c>
      <c r="F932" s="1">
        <v>100</v>
      </c>
      <c r="G932">
        <v>2000</v>
      </c>
      <c r="H932">
        <f>AVERAGEIFS(Table1[value],Table1[IndicatorCode],Table1[[#This Row],[IndicatorCode]])</f>
        <v>99.756410256410263</v>
      </c>
      <c r="I932" cm="1">
        <f t="array" ref="I932">_xlfn.STDEV.P(IF(Table1[IndicatorCode]=Table1[[#This Row],[IndicatorCode]],Table1[value]))</f>
        <v>1.1047979755287356</v>
      </c>
      <c r="J932">
        <f>(Table1[[#This Row],[value]] - Table1[[#This Row],[mean]]) / Table1[[#This Row],[std_dev]]</f>
        <v>0.22048351733552002</v>
      </c>
      <c r="K932">
        <f>AVERAGEIF(Table1[CountryCode],Table1[[#This Row],[CountryCode]],Table1[z-score])</f>
        <v>0.33171547334985529</v>
      </c>
      <c r="L932" t="e">
        <f>VLOOKUP(Table1[[#This Row],[CountryCode]],[1]!Table1[#All],1,FALSE)</f>
        <v>#REF!</v>
      </c>
    </row>
    <row r="933" spans="1:12" hidden="1" x14ac:dyDescent="0.3">
      <c r="A933" t="s">
        <v>65</v>
      </c>
      <c r="B933" t="s">
        <v>66</v>
      </c>
      <c r="C933" t="s">
        <v>9</v>
      </c>
      <c r="D933" t="s">
        <v>10</v>
      </c>
      <c r="E933">
        <v>1998</v>
      </c>
      <c r="F933" s="1">
        <v>100</v>
      </c>
      <c r="G933">
        <v>2000</v>
      </c>
      <c r="H933">
        <f>AVERAGEIFS(Table1[value],Table1[IndicatorCode],Table1[[#This Row],[IndicatorCode]])</f>
        <v>99.756410256410263</v>
      </c>
      <c r="I933" cm="1">
        <f t="array" ref="I933">_xlfn.STDEV.P(IF(Table1[IndicatorCode]=Table1[[#This Row],[IndicatorCode]],Table1[value]))</f>
        <v>1.1047979755287356</v>
      </c>
      <c r="J933">
        <f>(Table1[[#This Row],[value]] - Table1[[#This Row],[mean]]) / Table1[[#This Row],[std_dev]]</f>
        <v>0.22048351733552002</v>
      </c>
      <c r="K933">
        <f>AVERAGEIF(Table1[CountryCode],Table1[[#This Row],[CountryCode]],Table1[z-score])</f>
        <v>0.33171547334985529</v>
      </c>
      <c r="L933" t="e">
        <f>VLOOKUP(Table1[[#This Row],[CountryCode]],[1]!Table1[#All],1,FALSE)</f>
        <v>#REF!</v>
      </c>
    </row>
    <row r="934" spans="1:12" hidden="1" x14ac:dyDescent="0.3">
      <c r="A934" t="s">
        <v>65</v>
      </c>
      <c r="B934" t="s">
        <v>66</v>
      </c>
      <c r="C934" t="s">
        <v>9</v>
      </c>
      <c r="D934" t="s">
        <v>10</v>
      </c>
      <c r="E934">
        <v>1999</v>
      </c>
      <c r="F934" s="1">
        <v>100</v>
      </c>
      <c r="G934">
        <v>2000</v>
      </c>
      <c r="H934">
        <f>AVERAGEIFS(Table1[value],Table1[IndicatorCode],Table1[[#This Row],[IndicatorCode]])</f>
        <v>99.756410256410263</v>
      </c>
      <c r="I934" cm="1">
        <f t="array" ref="I934">_xlfn.STDEV.P(IF(Table1[IndicatorCode]=Table1[[#This Row],[IndicatorCode]],Table1[value]))</f>
        <v>1.1047979755287356</v>
      </c>
      <c r="J934">
        <f>(Table1[[#This Row],[value]] - Table1[[#This Row],[mean]]) / Table1[[#This Row],[std_dev]]</f>
        <v>0.22048351733552002</v>
      </c>
      <c r="K934">
        <f>AVERAGEIF(Table1[CountryCode],Table1[[#This Row],[CountryCode]],Table1[z-score])</f>
        <v>0.33171547334985529</v>
      </c>
      <c r="L934" t="e">
        <f>VLOOKUP(Table1[[#This Row],[CountryCode]],[1]!Table1[#All],1,FALSE)</f>
        <v>#REF!</v>
      </c>
    </row>
    <row r="935" spans="1:12" hidden="1" x14ac:dyDescent="0.3">
      <c r="A935" t="s">
        <v>65</v>
      </c>
      <c r="B935" t="s">
        <v>66</v>
      </c>
      <c r="C935" t="s">
        <v>9</v>
      </c>
      <c r="D935" t="s">
        <v>10</v>
      </c>
      <c r="E935">
        <v>2000</v>
      </c>
      <c r="F935" s="1">
        <v>100</v>
      </c>
      <c r="G935">
        <v>2000</v>
      </c>
      <c r="H935">
        <f>AVERAGEIFS(Table1[value],Table1[IndicatorCode],Table1[[#This Row],[IndicatorCode]])</f>
        <v>99.756410256410263</v>
      </c>
      <c r="I935" cm="1">
        <f t="array" ref="I935">_xlfn.STDEV.P(IF(Table1[IndicatorCode]=Table1[[#This Row],[IndicatorCode]],Table1[value]))</f>
        <v>1.1047979755287356</v>
      </c>
      <c r="J935">
        <f>(Table1[[#This Row],[value]] - Table1[[#This Row],[mean]]) / Table1[[#This Row],[std_dev]]</f>
        <v>0.22048351733552002</v>
      </c>
      <c r="K935">
        <f>AVERAGEIF(Table1[CountryCode],Table1[[#This Row],[CountryCode]],Table1[z-score])</f>
        <v>0.33171547334985529</v>
      </c>
      <c r="L935" t="e">
        <f>VLOOKUP(Table1[[#This Row],[CountryCode]],[1]!Table1[#All],1,FALSE)</f>
        <v>#REF!</v>
      </c>
    </row>
    <row r="936" spans="1:12" hidden="1" x14ac:dyDescent="0.3">
      <c r="A936" t="s">
        <v>65</v>
      </c>
      <c r="B936" t="s">
        <v>66</v>
      </c>
      <c r="C936" t="s">
        <v>9</v>
      </c>
      <c r="D936" t="s">
        <v>10</v>
      </c>
      <c r="E936">
        <v>2001</v>
      </c>
      <c r="F936" s="1">
        <v>100</v>
      </c>
      <c r="G936">
        <v>2000</v>
      </c>
      <c r="H936">
        <f>AVERAGEIFS(Table1[value],Table1[IndicatorCode],Table1[[#This Row],[IndicatorCode]])</f>
        <v>99.756410256410263</v>
      </c>
      <c r="I936" cm="1">
        <f t="array" ref="I936">_xlfn.STDEV.P(IF(Table1[IndicatorCode]=Table1[[#This Row],[IndicatorCode]],Table1[value]))</f>
        <v>1.1047979755287356</v>
      </c>
      <c r="J936">
        <f>(Table1[[#This Row],[value]] - Table1[[#This Row],[mean]]) / Table1[[#This Row],[std_dev]]</f>
        <v>0.22048351733552002</v>
      </c>
      <c r="K936">
        <f>AVERAGEIF(Table1[CountryCode],Table1[[#This Row],[CountryCode]],Table1[z-score])</f>
        <v>0.33171547334985529</v>
      </c>
      <c r="L936" t="e">
        <f>VLOOKUP(Table1[[#This Row],[CountryCode]],[1]!Table1[#All],1,FALSE)</f>
        <v>#REF!</v>
      </c>
    </row>
    <row r="937" spans="1:12" hidden="1" x14ac:dyDescent="0.3">
      <c r="A937" t="s">
        <v>65</v>
      </c>
      <c r="B937" t="s">
        <v>66</v>
      </c>
      <c r="C937" t="s">
        <v>9</v>
      </c>
      <c r="D937" t="s">
        <v>10</v>
      </c>
      <c r="E937">
        <v>2002</v>
      </c>
      <c r="F937" s="1">
        <v>100</v>
      </c>
      <c r="G937">
        <v>2000</v>
      </c>
      <c r="H937">
        <f>AVERAGEIFS(Table1[value],Table1[IndicatorCode],Table1[[#This Row],[IndicatorCode]])</f>
        <v>99.756410256410263</v>
      </c>
      <c r="I937" cm="1">
        <f t="array" ref="I937">_xlfn.STDEV.P(IF(Table1[IndicatorCode]=Table1[[#This Row],[IndicatorCode]],Table1[value]))</f>
        <v>1.1047979755287356</v>
      </c>
      <c r="J937">
        <f>(Table1[[#This Row],[value]] - Table1[[#This Row],[mean]]) / Table1[[#This Row],[std_dev]]</f>
        <v>0.22048351733552002</v>
      </c>
      <c r="K937">
        <f>AVERAGEIF(Table1[CountryCode],Table1[[#This Row],[CountryCode]],Table1[z-score])</f>
        <v>0.33171547334985529</v>
      </c>
      <c r="L937" t="e">
        <f>VLOOKUP(Table1[[#This Row],[CountryCode]],[1]!Table1[#All],1,FALSE)</f>
        <v>#REF!</v>
      </c>
    </row>
    <row r="938" spans="1:12" hidden="1" x14ac:dyDescent="0.3">
      <c r="A938" t="s">
        <v>65</v>
      </c>
      <c r="B938" t="s">
        <v>66</v>
      </c>
      <c r="C938" t="s">
        <v>9</v>
      </c>
      <c r="D938" t="s">
        <v>10</v>
      </c>
      <c r="E938">
        <v>2003</v>
      </c>
      <c r="F938" s="1">
        <v>100</v>
      </c>
      <c r="G938">
        <v>2000</v>
      </c>
      <c r="H938">
        <f>AVERAGEIFS(Table1[value],Table1[IndicatorCode],Table1[[#This Row],[IndicatorCode]])</f>
        <v>99.756410256410263</v>
      </c>
      <c r="I938" cm="1">
        <f t="array" ref="I938">_xlfn.STDEV.P(IF(Table1[IndicatorCode]=Table1[[#This Row],[IndicatorCode]],Table1[value]))</f>
        <v>1.1047979755287356</v>
      </c>
      <c r="J938">
        <f>(Table1[[#This Row],[value]] - Table1[[#This Row],[mean]]) / Table1[[#This Row],[std_dev]]</f>
        <v>0.22048351733552002</v>
      </c>
      <c r="K938">
        <f>AVERAGEIF(Table1[CountryCode],Table1[[#This Row],[CountryCode]],Table1[z-score])</f>
        <v>0.33171547334985529</v>
      </c>
      <c r="L938" t="e">
        <f>VLOOKUP(Table1[[#This Row],[CountryCode]],[1]!Table1[#All],1,FALSE)</f>
        <v>#REF!</v>
      </c>
    </row>
    <row r="939" spans="1:12" hidden="1" x14ac:dyDescent="0.3">
      <c r="A939" t="s">
        <v>65</v>
      </c>
      <c r="B939" t="s">
        <v>66</v>
      </c>
      <c r="C939" t="s">
        <v>9</v>
      </c>
      <c r="D939" t="s">
        <v>10</v>
      </c>
      <c r="E939">
        <v>2004</v>
      </c>
      <c r="F939" s="1">
        <v>100</v>
      </c>
      <c r="G939">
        <v>2000</v>
      </c>
      <c r="H939">
        <f>AVERAGEIFS(Table1[value],Table1[IndicatorCode],Table1[[#This Row],[IndicatorCode]])</f>
        <v>99.756410256410263</v>
      </c>
      <c r="I939" cm="1">
        <f t="array" ref="I939">_xlfn.STDEV.P(IF(Table1[IndicatorCode]=Table1[[#This Row],[IndicatorCode]],Table1[value]))</f>
        <v>1.1047979755287356</v>
      </c>
      <c r="J939">
        <f>(Table1[[#This Row],[value]] - Table1[[#This Row],[mean]]) / Table1[[#This Row],[std_dev]]</f>
        <v>0.22048351733552002</v>
      </c>
      <c r="K939">
        <f>AVERAGEIF(Table1[CountryCode],Table1[[#This Row],[CountryCode]],Table1[z-score])</f>
        <v>0.33171547334985529</v>
      </c>
      <c r="L939" t="e">
        <f>VLOOKUP(Table1[[#This Row],[CountryCode]],[1]!Table1[#All],1,FALSE)</f>
        <v>#REF!</v>
      </c>
    </row>
    <row r="940" spans="1:12" hidden="1" x14ac:dyDescent="0.3">
      <c r="A940" t="s">
        <v>65</v>
      </c>
      <c r="B940" t="s">
        <v>66</v>
      </c>
      <c r="C940" t="s">
        <v>9</v>
      </c>
      <c r="D940" t="s">
        <v>10</v>
      </c>
      <c r="E940">
        <v>2005</v>
      </c>
      <c r="F940" s="1">
        <v>100</v>
      </c>
      <c r="G940">
        <v>2000</v>
      </c>
      <c r="H940">
        <f>AVERAGEIFS(Table1[value],Table1[IndicatorCode],Table1[[#This Row],[IndicatorCode]])</f>
        <v>99.756410256410263</v>
      </c>
      <c r="I940" cm="1">
        <f t="array" ref="I940">_xlfn.STDEV.P(IF(Table1[IndicatorCode]=Table1[[#This Row],[IndicatorCode]],Table1[value]))</f>
        <v>1.1047979755287356</v>
      </c>
      <c r="J940">
        <f>(Table1[[#This Row],[value]] - Table1[[#This Row],[mean]]) / Table1[[#This Row],[std_dev]]</f>
        <v>0.22048351733552002</v>
      </c>
      <c r="K940">
        <f>AVERAGEIF(Table1[CountryCode],Table1[[#This Row],[CountryCode]],Table1[z-score])</f>
        <v>0.33171547334985529</v>
      </c>
      <c r="L940" t="e">
        <f>VLOOKUP(Table1[[#This Row],[CountryCode]],[1]!Table1[#All],1,FALSE)</f>
        <v>#REF!</v>
      </c>
    </row>
    <row r="941" spans="1:12" hidden="1" x14ac:dyDescent="0.3">
      <c r="A941" t="s">
        <v>65</v>
      </c>
      <c r="B941" t="s">
        <v>66</v>
      </c>
      <c r="C941" t="s">
        <v>9</v>
      </c>
      <c r="D941" t="s">
        <v>10</v>
      </c>
      <c r="E941">
        <v>2006</v>
      </c>
      <c r="F941" s="1">
        <v>100</v>
      </c>
      <c r="G941">
        <v>2000</v>
      </c>
      <c r="H941">
        <f>AVERAGEIFS(Table1[value],Table1[IndicatorCode],Table1[[#This Row],[IndicatorCode]])</f>
        <v>99.756410256410263</v>
      </c>
      <c r="I941" cm="1">
        <f t="array" ref="I941">_xlfn.STDEV.P(IF(Table1[IndicatorCode]=Table1[[#This Row],[IndicatorCode]],Table1[value]))</f>
        <v>1.1047979755287356</v>
      </c>
      <c r="J941">
        <f>(Table1[[#This Row],[value]] - Table1[[#This Row],[mean]]) / Table1[[#This Row],[std_dev]]</f>
        <v>0.22048351733552002</v>
      </c>
      <c r="K941">
        <f>AVERAGEIF(Table1[CountryCode],Table1[[#This Row],[CountryCode]],Table1[z-score])</f>
        <v>0.33171547334985529</v>
      </c>
      <c r="L941" t="e">
        <f>VLOOKUP(Table1[[#This Row],[CountryCode]],[1]!Table1[#All],1,FALSE)</f>
        <v>#REF!</v>
      </c>
    </row>
    <row r="942" spans="1:12" hidden="1" x14ac:dyDescent="0.3">
      <c r="A942" t="s">
        <v>65</v>
      </c>
      <c r="B942" t="s">
        <v>66</v>
      </c>
      <c r="C942" t="s">
        <v>9</v>
      </c>
      <c r="D942" t="s">
        <v>10</v>
      </c>
      <c r="E942">
        <v>2007</v>
      </c>
      <c r="F942" s="1">
        <v>100</v>
      </c>
      <c r="G942">
        <v>2010</v>
      </c>
      <c r="H942">
        <f>AVERAGEIFS(Table1[value],Table1[IndicatorCode],Table1[[#This Row],[IndicatorCode]])</f>
        <v>99.756410256410263</v>
      </c>
      <c r="I942" cm="1">
        <f t="array" ref="I942">_xlfn.STDEV.P(IF(Table1[IndicatorCode]=Table1[[#This Row],[IndicatorCode]],Table1[value]))</f>
        <v>1.1047979755287356</v>
      </c>
      <c r="J942">
        <f>(Table1[[#This Row],[value]] - Table1[[#This Row],[mean]]) / Table1[[#This Row],[std_dev]]</f>
        <v>0.22048351733552002</v>
      </c>
      <c r="K942">
        <f>AVERAGEIF(Table1[CountryCode],Table1[[#This Row],[CountryCode]],Table1[z-score])</f>
        <v>0.33171547334985529</v>
      </c>
      <c r="L942" t="e">
        <f>VLOOKUP(Table1[[#This Row],[CountryCode]],[1]!Table1[#All],1,FALSE)</f>
        <v>#REF!</v>
      </c>
    </row>
    <row r="943" spans="1:12" hidden="1" x14ac:dyDescent="0.3">
      <c r="A943" t="s">
        <v>65</v>
      </c>
      <c r="B943" t="s">
        <v>66</v>
      </c>
      <c r="C943" t="s">
        <v>9</v>
      </c>
      <c r="D943" t="s">
        <v>10</v>
      </c>
      <c r="E943">
        <v>2008</v>
      </c>
      <c r="F943" s="1">
        <v>100</v>
      </c>
      <c r="G943">
        <v>2010</v>
      </c>
      <c r="H943">
        <f>AVERAGEIFS(Table1[value],Table1[IndicatorCode],Table1[[#This Row],[IndicatorCode]])</f>
        <v>99.756410256410263</v>
      </c>
      <c r="I943" cm="1">
        <f t="array" ref="I943">_xlfn.STDEV.P(IF(Table1[IndicatorCode]=Table1[[#This Row],[IndicatorCode]],Table1[value]))</f>
        <v>1.1047979755287356</v>
      </c>
      <c r="J943">
        <f>(Table1[[#This Row],[value]] - Table1[[#This Row],[mean]]) / Table1[[#This Row],[std_dev]]</f>
        <v>0.22048351733552002</v>
      </c>
      <c r="K943">
        <f>AVERAGEIF(Table1[CountryCode],Table1[[#This Row],[CountryCode]],Table1[z-score])</f>
        <v>0.33171547334985529</v>
      </c>
      <c r="L943" t="e">
        <f>VLOOKUP(Table1[[#This Row],[CountryCode]],[1]!Table1[#All],1,FALSE)</f>
        <v>#REF!</v>
      </c>
    </row>
    <row r="944" spans="1:12" hidden="1" x14ac:dyDescent="0.3">
      <c r="A944" t="s">
        <v>65</v>
      </c>
      <c r="B944" t="s">
        <v>66</v>
      </c>
      <c r="C944" t="s">
        <v>9</v>
      </c>
      <c r="D944" t="s">
        <v>10</v>
      </c>
      <c r="E944">
        <v>2009</v>
      </c>
      <c r="F944" s="1">
        <v>100</v>
      </c>
      <c r="G944">
        <v>2010</v>
      </c>
      <c r="H944">
        <f>AVERAGEIFS(Table1[value],Table1[IndicatorCode],Table1[[#This Row],[IndicatorCode]])</f>
        <v>99.756410256410263</v>
      </c>
      <c r="I944" cm="1">
        <f t="array" ref="I944">_xlfn.STDEV.P(IF(Table1[IndicatorCode]=Table1[[#This Row],[IndicatorCode]],Table1[value]))</f>
        <v>1.1047979755287356</v>
      </c>
      <c r="J944">
        <f>(Table1[[#This Row],[value]] - Table1[[#This Row],[mean]]) / Table1[[#This Row],[std_dev]]</f>
        <v>0.22048351733552002</v>
      </c>
      <c r="K944">
        <f>AVERAGEIF(Table1[CountryCode],Table1[[#This Row],[CountryCode]],Table1[z-score])</f>
        <v>0.33171547334985529</v>
      </c>
      <c r="L944" t="e">
        <f>VLOOKUP(Table1[[#This Row],[CountryCode]],[1]!Table1[#All],1,FALSE)</f>
        <v>#REF!</v>
      </c>
    </row>
    <row r="945" spans="1:12" hidden="1" x14ac:dyDescent="0.3">
      <c r="A945" t="s">
        <v>65</v>
      </c>
      <c r="B945" t="s">
        <v>66</v>
      </c>
      <c r="C945" t="s">
        <v>9</v>
      </c>
      <c r="D945" t="s">
        <v>10</v>
      </c>
      <c r="E945">
        <v>2010</v>
      </c>
      <c r="F945" s="1">
        <v>100</v>
      </c>
      <c r="G945">
        <v>2010</v>
      </c>
      <c r="H945">
        <f>AVERAGEIFS(Table1[value],Table1[IndicatorCode],Table1[[#This Row],[IndicatorCode]])</f>
        <v>99.756410256410263</v>
      </c>
      <c r="I945" cm="1">
        <f t="array" ref="I945">_xlfn.STDEV.P(IF(Table1[IndicatorCode]=Table1[[#This Row],[IndicatorCode]],Table1[value]))</f>
        <v>1.1047979755287356</v>
      </c>
      <c r="J945">
        <f>(Table1[[#This Row],[value]] - Table1[[#This Row],[mean]]) / Table1[[#This Row],[std_dev]]</f>
        <v>0.22048351733552002</v>
      </c>
      <c r="K945">
        <f>AVERAGEIF(Table1[CountryCode],Table1[[#This Row],[CountryCode]],Table1[z-score])</f>
        <v>0.33171547334985529</v>
      </c>
      <c r="L945" t="e">
        <f>VLOOKUP(Table1[[#This Row],[CountryCode]],[1]!Table1[#All],1,FALSE)</f>
        <v>#REF!</v>
      </c>
    </row>
    <row r="946" spans="1:12" hidden="1" x14ac:dyDescent="0.3">
      <c r="A946" t="s">
        <v>65</v>
      </c>
      <c r="B946" t="s">
        <v>66</v>
      </c>
      <c r="C946" t="s">
        <v>9</v>
      </c>
      <c r="D946" t="s">
        <v>10</v>
      </c>
      <c r="E946">
        <v>2011</v>
      </c>
      <c r="F946" s="1">
        <v>100</v>
      </c>
      <c r="G946">
        <v>2010</v>
      </c>
      <c r="H946">
        <f>AVERAGEIFS(Table1[value],Table1[IndicatorCode],Table1[[#This Row],[IndicatorCode]])</f>
        <v>99.756410256410263</v>
      </c>
      <c r="I946" cm="1">
        <f t="array" ref="I946">_xlfn.STDEV.P(IF(Table1[IndicatorCode]=Table1[[#This Row],[IndicatorCode]],Table1[value]))</f>
        <v>1.1047979755287356</v>
      </c>
      <c r="J946">
        <f>(Table1[[#This Row],[value]] - Table1[[#This Row],[mean]]) / Table1[[#This Row],[std_dev]]</f>
        <v>0.22048351733552002</v>
      </c>
      <c r="K946">
        <f>AVERAGEIF(Table1[CountryCode],Table1[[#This Row],[CountryCode]],Table1[z-score])</f>
        <v>0.33171547334985529</v>
      </c>
      <c r="L946" t="e">
        <f>VLOOKUP(Table1[[#This Row],[CountryCode]],[1]!Table1[#All],1,FALSE)</f>
        <v>#REF!</v>
      </c>
    </row>
    <row r="947" spans="1:12" hidden="1" x14ac:dyDescent="0.3">
      <c r="A947" t="s">
        <v>65</v>
      </c>
      <c r="B947" t="s">
        <v>66</v>
      </c>
      <c r="C947" t="s">
        <v>9</v>
      </c>
      <c r="D947" t="s">
        <v>10</v>
      </c>
      <c r="E947">
        <v>2012</v>
      </c>
      <c r="F947" s="1">
        <v>100</v>
      </c>
      <c r="G947">
        <v>2010</v>
      </c>
      <c r="H947">
        <f>AVERAGEIFS(Table1[value],Table1[IndicatorCode],Table1[[#This Row],[IndicatorCode]])</f>
        <v>99.756410256410263</v>
      </c>
      <c r="I947" cm="1">
        <f t="array" ref="I947">_xlfn.STDEV.P(IF(Table1[IndicatorCode]=Table1[[#This Row],[IndicatorCode]],Table1[value]))</f>
        <v>1.1047979755287356</v>
      </c>
      <c r="J947">
        <f>(Table1[[#This Row],[value]] - Table1[[#This Row],[mean]]) / Table1[[#This Row],[std_dev]]</f>
        <v>0.22048351733552002</v>
      </c>
      <c r="K947">
        <f>AVERAGEIF(Table1[CountryCode],Table1[[#This Row],[CountryCode]],Table1[z-score])</f>
        <v>0.33171547334985529</v>
      </c>
      <c r="L947" t="e">
        <f>VLOOKUP(Table1[[#This Row],[CountryCode]],[1]!Table1[#All],1,FALSE)</f>
        <v>#REF!</v>
      </c>
    </row>
    <row r="948" spans="1:12" hidden="1" x14ac:dyDescent="0.3">
      <c r="A948" t="s">
        <v>65</v>
      </c>
      <c r="B948" t="s">
        <v>66</v>
      </c>
      <c r="C948" t="s">
        <v>9</v>
      </c>
      <c r="D948" t="s">
        <v>10</v>
      </c>
      <c r="E948">
        <v>2013</v>
      </c>
      <c r="F948" s="1">
        <v>100</v>
      </c>
      <c r="G948">
        <v>2010</v>
      </c>
      <c r="H948">
        <f>AVERAGEIFS(Table1[value],Table1[IndicatorCode],Table1[[#This Row],[IndicatorCode]])</f>
        <v>99.756410256410263</v>
      </c>
      <c r="I948" cm="1">
        <f t="array" ref="I948">_xlfn.STDEV.P(IF(Table1[IndicatorCode]=Table1[[#This Row],[IndicatorCode]],Table1[value]))</f>
        <v>1.1047979755287356</v>
      </c>
      <c r="J948">
        <f>(Table1[[#This Row],[value]] - Table1[[#This Row],[mean]]) / Table1[[#This Row],[std_dev]]</f>
        <v>0.22048351733552002</v>
      </c>
      <c r="K948">
        <f>AVERAGEIF(Table1[CountryCode],Table1[[#This Row],[CountryCode]],Table1[z-score])</f>
        <v>0.33171547334985529</v>
      </c>
      <c r="L948" t="e">
        <f>VLOOKUP(Table1[[#This Row],[CountryCode]],[1]!Table1[#All],1,FALSE)</f>
        <v>#REF!</v>
      </c>
    </row>
    <row r="949" spans="1:12" hidden="1" x14ac:dyDescent="0.3">
      <c r="A949" t="s">
        <v>65</v>
      </c>
      <c r="B949" t="s">
        <v>66</v>
      </c>
      <c r="C949" t="s">
        <v>9</v>
      </c>
      <c r="D949" t="s">
        <v>10</v>
      </c>
      <c r="E949">
        <v>2014</v>
      </c>
      <c r="F949" s="1">
        <v>100</v>
      </c>
      <c r="G949">
        <v>2010</v>
      </c>
      <c r="H949">
        <f>AVERAGEIFS(Table1[value],Table1[IndicatorCode],Table1[[#This Row],[IndicatorCode]])</f>
        <v>99.756410256410263</v>
      </c>
      <c r="I949" cm="1">
        <f t="array" ref="I949">_xlfn.STDEV.P(IF(Table1[IndicatorCode]=Table1[[#This Row],[IndicatorCode]],Table1[value]))</f>
        <v>1.1047979755287356</v>
      </c>
      <c r="J949">
        <f>(Table1[[#This Row],[value]] - Table1[[#This Row],[mean]]) / Table1[[#This Row],[std_dev]]</f>
        <v>0.22048351733552002</v>
      </c>
      <c r="K949">
        <f>AVERAGEIF(Table1[CountryCode],Table1[[#This Row],[CountryCode]],Table1[z-score])</f>
        <v>0.33171547334985529</v>
      </c>
      <c r="L949" t="e">
        <f>VLOOKUP(Table1[[#This Row],[CountryCode]],[1]!Table1[#All],1,FALSE)</f>
        <v>#REF!</v>
      </c>
    </row>
    <row r="950" spans="1:12" hidden="1" x14ac:dyDescent="0.3">
      <c r="A950" t="s">
        <v>65</v>
      </c>
      <c r="B950" t="s">
        <v>66</v>
      </c>
      <c r="C950" t="s">
        <v>9</v>
      </c>
      <c r="D950" t="s">
        <v>10</v>
      </c>
      <c r="E950">
        <v>2015</v>
      </c>
      <c r="F950" s="1">
        <v>100</v>
      </c>
      <c r="G950">
        <v>2010</v>
      </c>
      <c r="H950">
        <f>AVERAGEIFS(Table1[value],Table1[IndicatorCode],Table1[[#This Row],[IndicatorCode]])</f>
        <v>99.756410256410263</v>
      </c>
      <c r="I950" cm="1">
        <f t="array" ref="I950">_xlfn.STDEV.P(IF(Table1[IndicatorCode]=Table1[[#This Row],[IndicatorCode]],Table1[value]))</f>
        <v>1.1047979755287356</v>
      </c>
      <c r="J950">
        <f>(Table1[[#This Row],[value]] - Table1[[#This Row],[mean]]) / Table1[[#This Row],[std_dev]]</f>
        <v>0.22048351733552002</v>
      </c>
      <c r="K950">
        <f>AVERAGEIF(Table1[CountryCode],Table1[[#This Row],[CountryCode]],Table1[z-score])</f>
        <v>0.33171547334985529</v>
      </c>
      <c r="L950" t="e">
        <f>VLOOKUP(Table1[[#This Row],[CountryCode]],[1]!Table1[#All],1,FALSE)</f>
        <v>#REF!</v>
      </c>
    </row>
    <row r="951" spans="1:12" hidden="1" x14ac:dyDescent="0.3">
      <c r="A951" t="s">
        <v>65</v>
      </c>
      <c r="B951" t="s">
        <v>66</v>
      </c>
      <c r="C951" t="s">
        <v>9</v>
      </c>
      <c r="D951" t="s">
        <v>10</v>
      </c>
      <c r="E951">
        <v>2016</v>
      </c>
      <c r="F951" s="1">
        <v>100</v>
      </c>
      <c r="G951">
        <v>2010</v>
      </c>
      <c r="H951">
        <f>AVERAGEIFS(Table1[value],Table1[IndicatorCode],Table1[[#This Row],[IndicatorCode]])</f>
        <v>99.756410256410263</v>
      </c>
      <c r="I951" cm="1">
        <f t="array" ref="I951">_xlfn.STDEV.P(IF(Table1[IndicatorCode]=Table1[[#This Row],[IndicatorCode]],Table1[value]))</f>
        <v>1.1047979755287356</v>
      </c>
      <c r="J951">
        <f>(Table1[[#This Row],[value]] - Table1[[#This Row],[mean]]) / Table1[[#This Row],[std_dev]]</f>
        <v>0.22048351733552002</v>
      </c>
      <c r="K951">
        <f>AVERAGEIF(Table1[CountryCode],Table1[[#This Row],[CountryCode]],Table1[z-score])</f>
        <v>0.33171547334985529</v>
      </c>
      <c r="L951" t="e">
        <f>VLOOKUP(Table1[[#This Row],[CountryCode]],[1]!Table1[#All],1,FALSE)</f>
        <v>#REF!</v>
      </c>
    </row>
    <row r="952" spans="1:12" hidden="1" x14ac:dyDescent="0.3">
      <c r="A952" t="s">
        <v>65</v>
      </c>
      <c r="B952" t="s">
        <v>66</v>
      </c>
      <c r="C952" t="s">
        <v>9</v>
      </c>
      <c r="D952" t="s">
        <v>10</v>
      </c>
      <c r="E952">
        <v>2017</v>
      </c>
      <c r="F952" s="1">
        <v>100</v>
      </c>
      <c r="G952">
        <v>2020</v>
      </c>
      <c r="H952">
        <f>AVERAGEIFS(Table1[value],Table1[IndicatorCode],Table1[[#This Row],[IndicatorCode]])</f>
        <v>99.756410256410263</v>
      </c>
      <c r="I952" cm="1">
        <f t="array" ref="I952">_xlfn.STDEV.P(IF(Table1[IndicatorCode]=Table1[[#This Row],[IndicatorCode]],Table1[value]))</f>
        <v>1.1047979755287356</v>
      </c>
      <c r="J952">
        <f>(Table1[[#This Row],[value]] - Table1[[#This Row],[mean]]) / Table1[[#This Row],[std_dev]]</f>
        <v>0.22048351733552002</v>
      </c>
      <c r="K952">
        <f>AVERAGEIF(Table1[CountryCode],Table1[[#This Row],[CountryCode]],Table1[z-score])</f>
        <v>0.33171547334985529</v>
      </c>
      <c r="L952" t="e">
        <f>VLOOKUP(Table1[[#This Row],[CountryCode]],[1]!Table1[#All],1,FALSE)</f>
        <v>#REF!</v>
      </c>
    </row>
    <row r="953" spans="1:12" hidden="1" x14ac:dyDescent="0.3">
      <c r="A953" t="s">
        <v>65</v>
      </c>
      <c r="B953" t="s">
        <v>66</v>
      </c>
      <c r="C953" t="s">
        <v>9</v>
      </c>
      <c r="D953" t="s">
        <v>10</v>
      </c>
      <c r="E953">
        <v>2018</v>
      </c>
      <c r="F953" s="1">
        <v>100</v>
      </c>
      <c r="G953">
        <v>2020</v>
      </c>
      <c r="H953">
        <f>AVERAGEIFS(Table1[value],Table1[IndicatorCode],Table1[[#This Row],[IndicatorCode]])</f>
        <v>99.756410256410263</v>
      </c>
      <c r="I953" cm="1">
        <f t="array" ref="I953">_xlfn.STDEV.P(IF(Table1[IndicatorCode]=Table1[[#This Row],[IndicatorCode]],Table1[value]))</f>
        <v>1.1047979755287356</v>
      </c>
      <c r="J953">
        <f>(Table1[[#This Row],[value]] - Table1[[#This Row],[mean]]) / Table1[[#This Row],[std_dev]]</f>
        <v>0.22048351733552002</v>
      </c>
      <c r="K953">
        <f>AVERAGEIF(Table1[CountryCode],Table1[[#This Row],[CountryCode]],Table1[z-score])</f>
        <v>0.33171547334985529</v>
      </c>
      <c r="L953" t="e">
        <f>VLOOKUP(Table1[[#This Row],[CountryCode]],[1]!Table1[#All],1,FALSE)</f>
        <v>#REF!</v>
      </c>
    </row>
    <row r="954" spans="1:12" hidden="1" x14ac:dyDescent="0.3">
      <c r="A954" t="s">
        <v>65</v>
      </c>
      <c r="B954" t="s">
        <v>66</v>
      </c>
      <c r="C954" t="s">
        <v>9</v>
      </c>
      <c r="D954" t="s">
        <v>10</v>
      </c>
      <c r="E954">
        <v>2019</v>
      </c>
      <c r="F954" s="1">
        <v>100</v>
      </c>
      <c r="G954">
        <v>2020</v>
      </c>
      <c r="H954">
        <f>AVERAGEIFS(Table1[value],Table1[IndicatorCode],Table1[[#This Row],[IndicatorCode]])</f>
        <v>99.756410256410263</v>
      </c>
      <c r="I954" cm="1">
        <f t="array" ref="I954">_xlfn.STDEV.P(IF(Table1[IndicatorCode]=Table1[[#This Row],[IndicatorCode]],Table1[value]))</f>
        <v>1.1047979755287356</v>
      </c>
      <c r="J954">
        <f>(Table1[[#This Row],[value]] - Table1[[#This Row],[mean]]) / Table1[[#This Row],[std_dev]]</f>
        <v>0.22048351733552002</v>
      </c>
      <c r="K954">
        <f>AVERAGEIF(Table1[CountryCode],Table1[[#This Row],[CountryCode]],Table1[z-score])</f>
        <v>0.33171547334985529</v>
      </c>
      <c r="L954" t="e">
        <f>VLOOKUP(Table1[[#This Row],[CountryCode]],[1]!Table1[#All],1,FALSE)</f>
        <v>#REF!</v>
      </c>
    </row>
    <row r="955" spans="1:12" x14ac:dyDescent="0.3">
      <c r="A955" t="s">
        <v>65</v>
      </c>
      <c r="B955" t="s">
        <v>66</v>
      </c>
      <c r="C955" t="s">
        <v>9</v>
      </c>
      <c r="D955" t="s">
        <v>10</v>
      </c>
      <c r="E955">
        <v>2020</v>
      </c>
      <c r="F955" s="1">
        <v>100</v>
      </c>
      <c r="G955">
        <v>2020</v>
      </c>
      <c r="H955">
        <f>AVERAGEIFS(Table1[value],Table1[IndicatorCode],Table1[[#This Row],[IndicatorCode]])</f>
        <v>99.756410256410263</v>
      </c>
      <c r="I955" cm="1">
        <f t="array" ref="I955">_xlfn.STDEV.P(IF(Table1[IndicatorCode]=Table1[[#This Row],[IndicatorCode]],Table1[value]))</f>
        <v>1.1047979755287356</v>
      </c>
      <c r="J955">
        <f>(Table1[[#This Row],[value]] - Table1[[#This Row],[mean]]) / Table1[[#This Row],[std_dev]]</f>
        <v>0.22048351733552002</v>
      </c>
      <c r="K955">
        <f>AVERAGEIF(Table1[CountryCode],Table1[[#This Row],[CountryCode]],Table1[z-score])</f>
        <v>0.33171547334985529</v>
      </c>
    </row>
    <row r="956" spans="1:12" hidden="1" x14ac:dyDescent="0.3">
      <c r="A956" t="s">
        <v>65</v>
      </c>
      <c r="B956" t="s">
        <v>66</v>
      </c>
      <c r="C956" t="s">
        <v>9</v>
      </c>
      <c r="D956" t="s">
        <v>10</v>
      </c>
      <c r="E956">
        <v>2021</v>
      </c>
      <c r="F956" s="1">
        <v>100</v>
      </c>
      <c r="G956">
        <v>1990</v>
      </c>
      <c r="H956">
        <f>AVERAGEIFS(Table1[value],Table1[IndicatorCode],Table1[[#This Row],[IndicatorCode]])</f>
        <v>99.756410256410263</v>
      </c>
      <c r="I956" cm="1">
        <f t="array" ref="I956">_xlfn.STDEV.P(IF(Table1[IndicatorCode]=Table1[[#This Row],[IndicatorCode]],Table1[value]))</f>
        <v>1.1047979755287356</v>
      </c>
      <c r="J956">
        <f>(Table1[[#This Row],[value]] - Table1[[#This Row],[mean]]) / Table1[[#This Row],[std_dev]]</f>
        <v>0.22048351733552002</v>
      </c>
      <c r="K956">
        <f>AVERAGEIF(Table1[CountryCode],Table1[[#This Row],[CountryCode]],Table1[z-score])</f>
        <v>0.33171547334985529</v>
      </c>
      <c r="L956" t="e">
        <f>VLOOKUP(Table1[[#This Row],[CountryCode]],[1]!Table1[#All],1,FALSE)</f>
        <v>#REF!</v>
      </c>
    </row>
    <row r="957" spans="1:12" hidden="1" x14ac:dyDescent="0.3">
      <c r="A957" t="s">
        <v>65</v>
      </c>
      <c r="B957" t="s">
        <v>66</v>
      </c>
      <c r="C957" t="s">
        <v>9</v>
      </c>
      <c r="D957" t="s">
        <v>10</v>
      </c>
      <c r="E957">
        <v>2022</v>
      </c>
      <c r="F957" s="1">
        <v>100</v>
      </c>
      <c r="G957">
        <v>1990</v>
      </c>
      <c r="H957">
        <f>AVERAGEIFS(Table1[value],Table1[IndicatorCode],Table1[[#This Row],[IndicatorCode]])</f>
        <v>99.756410256410263</v>
      </c>
      <c r="I957" cm="1">
        <f t="array" ref="I957">_xlfn.STDEV.P(IF(Table1[IndicatorCode]=Table1[[#This Row],[IndicatorCode]],Table1[value]))</f>
        <v>1.1047979755287356</v>
      </c>
      <c r="J957">
        <f>(Table1[[#This Row],[value]] - Table1[[#This Row],[mean]]) / Table1[[#This Row],[std_dev]]</f>
        <v>0.22048351733552002</v>
      </c>
      <c r="K957">
        <f>AVERAGEIF(Table1[CountryCode],Table1[[#This Row],[CountryCode]],Table1[z-score])</f>
        <v>0.33171547334985529</v>
      </c>
      <c r="L957" t="e">
        <f>VLOOKUP(Table1[[#This Row],[CountryCode]],[1]!Table1[#All],1,FALSE)</f>
        <v>#REF!</v>
      </c>
    </row>
    <row r="958" spans="1:12" hidden="1" x14ac:dyDescent="0.3">
      <c r="A958" t="s">
        <v>65</v>
      </c>
      <c r="B958" t="s">
        <v>66</v>
      </c>
      <c r="C958" t="s">
        <v>9</v>
      </c>
      <c r="D958" t="s">
        <v>10</v>
      </c>
      <c r="E958">
        <v>2023</v>
      </c>
      <c r="F958" s="1">
        <v>100</v>
      </c>
      <c r="G958">
        <v>1990</v>
      </c>
      <c r="H958">
        <f>AVERAGEIFS(Table1[value],Table1[IndicatorCode],Table1[[#This Row],[IndicatorCode]])</f>
        <v>99.756410256410263</v>
      </c>
      <c r="I958" cm="1">
        <f t="array" ref="I958">_xlfn.STDEV.P(IF(Table1[IndicatorCode]=Table1[[#This Row],[IndicatorCode]],Table1[value]))</f>
        <v>1.1047979755287356</v>
      </c>
      <c r="J958">
        <f>(Table1[[#This Row],[value]] - Table1[[#This Row],[mean]]) / Table1[[#This Row],[std_dev]]</f>
        <v>0.22048351733552002</v>
      </c>
      <c r="K958">
        <f>AVERAGEIF(Table1[CountryCode],Table1[[#This Row],[CountryCode]],Table1[z-score])</f>
        <v>0.33171547334985529</v>
      </c>
      <c r="L958" t="e">
        <f>VLOOKUP(Table1[[#This Row],[CountryCode]],[1]!Table1[#All],1,FALSE)</f>
        <v>#REF!</v>
      </c>
    </row>
    <row r="959" spans="1:12" hidden="1" x14ac:dyDescent="0.3">
      <c r="A959" t="s">
        <v>67</v>
      </c>
      <c r="B959" t="s">
        <v>68</v>
      </c>
      <c r="C959" t="s">
        <v>9</v>
      </c>
      <c r="D959" t="s">
        <v>10</v>
      </c>
      <c r="E959">
        <v>1990</v>
      </c>
      <c r="F959" s="1">
        <v>100</v>
      </c>
      <c r="G959">
        <v>1990</v>
      </c>
      <c r="H959">
        <f>AVERAGEIFS(Table1[value],Table1[IndicatorCode],Table1[[#This Row],[IndicatorCode]])</f>
        <v>99.756410256410263</v>
      </c>
      <c r="I959" cm="1">
        <f t="array" ref="I959">_xlfn.STDEV.P(IF(Table1[IndicatorCode]=Table1[[#This Row],[IndicatorCode]],Table1[value]))</f>
        <v>1.1047979755287356</v>
      </c>
      <c r="J959">
        <f>(Table1[[#This Row],[value]] - Table1[[#This Row],[mean]]) / Table1[[#This Row],[std_dev]]</f>
        <v>0.22048351733552002</v>
      </c>
      <c r="K959">
        <f>AVERAGEIF(Table1[CountryCode],Table1[[#This Row],[CountryCode]],Table1[z-score])</f>
        <v>0.55967304374969629</v>
      </c>
      <c r="L959" t="e">
        <f>VLOOKUP(Table1[[#This Row],[CountryCode]],[1]!Table1[#All],1,FALSE)</f>
        <v>#REF!</v>
      </c>
    </row>
    <row r="960" spans="1:12" hidden="1" x14ac:dyDescent="0.3">
      <c r="A960" t="s">
        <v>67</v>
      </c>
      <c r="B960" t="s">
        <v>68</v>
      </c>
      <c r="C960" t="s">
        <v>9</v>
      </c>
      <c r="D960" t="s">
        <v>10</v>
      </c>
      <c r="E960">
        <v>1991</v>
      </c>
      <c r="F960" s="1">
        <v>100</v>
      </c>
      <c r="G960">
        <v>1990</v>
      </c>
      <c r="H960">
        <f>AVERAGEIFS(Table1[value],Table1[IndicatorCode],Table1[[#This Row],[IndicatorCode]])</f>
        <v>99.756410256410263</v>
      </c>
      <c r="I960" cm="1">
        <f t="array" ref="I960">_xlfn.STDEV.P(IF(Table1[IndicatorCode]=Table1[[#This Row],[IndicatorCode]],Table1[value]))</f>
        <v>1.1047979755287356</v>
      </c>
      <c r="J960">
        <f>(Table1[[#This Row],[value]] - Table1[[#This Row],[mean]]) / Table1[[#This Row],[std_dev]]</f>
        <v>0.22048351733552002</v>
      </c>
      <c r="K960">
        <f>AVERAGEIF(Table1[CountryCode],Table1[[#This Row],[CountryCode]],Table1[z-score])</f>
        <v>0.55967304374969629</v>
      </c>
      <c r="L960" t="e">
        <f>VLOOKUP(Table1[[#This Row],[CountryCode]],[1]!Table1[#All],1,FALSE)</f>
        <v>#REF!</v>
      </c>
    </row>
    <row r="961" spans="1:12" hidden="1" x14ac:dyDescent="0.3">
      <c r="A961" t="s">
        <v>67</v>
      </c>
      <c r="B961" t="s">
        <v>68</v>
      </c>
      <c r="C961" t="s">
        <v>9</v>
      </c>
      <c r="D961" t="s">
        <v>10</v>
      </c>
      <c r="E961">
        <v>1992</v>
      </c>
      <c r="F961" s="1">
        <v>100</v>
      </c>
      <c r="G961">
        <v>1990</v>
      </c>
      <c r="H961">
        <f>AVERAGEIFS(Table1[value],Table1[IndicatorCode],Table1[[#This Row],[IndicatorCode]])</f>
        <v>99.756410256410263</v>
      </c>
      <c r="I961" cm="1">
        <f t="array" ref="I961">_xlfn.STDEV.P(IF(Table1[IndicatorCode]=Table1[[#This Row],[IndicatorCode]],Table1[value]))</f>
        <v>1.1047979755287356</v>
      </c>
      <c r="J961">
        <f>(Table1[[#This Row],[value]] - Table1[[#This Row],[mean]]) / Table1[[#This Row],[std_dev]]</f>
        <v>0.22048351733552002</v>
      </c>
      <c r="K961">
        <f>AVERAGEIF(Table1[CountryCode],Table1[[#This Row],[CountryCode]],Table1[z-score])</f>
        <v>0.55967304374969629</v>
      </c>
      <c r="L961" t="e">
        <f>VLOOKUP(Table1[[#This Row],[CountryCode]],[1]!Table1[#All],1,FALSE)</f>
        <v>#REF!</v>
      </c>
    </row>
    <row r="962" spans="1:12" hidden="1" x14ac:dyDescent="0.3">
      <c r="A962" t="s">
        <v>67</v>
      </c>
      <c r="B962" t="s">
        <v>68</v>
      </c>
      <c r="C962" t="s">
        <v>9</v>
      </c>
      <c r="D962" t="s">
        <v>10</v>
      </c>
      <c r="E962">
        <v>1993</v>
      </c>
      <c r="F962" s="1">
        <v>100</v>
      </c>
      <c r="G962">
        <v>1990</v>
      </c>
      <c r="H962">
        <f>AVERAGEIFS(Table1[value],Table1[IndicatorCode],Table1[[#This Row],[IndicatorCode]])</f>
        <v>99.756410256410263</v>
      </c>
      <c r="I962" cm="1">
        <f t="array" ref="I962">_xlfn.STDEV.P(IF(Table1[IndicatorCode]=Table1[[#This Row],[IndicatorCode]],Table1[value]))</f>
        <v>1.1047979755287356</v>
      </c>
      <c r="J962">
        <f>(Table1[[#This Row],[value]] - Table1[[#This Row],[mean]]) / Table1[[#This Row],[std_dev]]</f>
        <v>0.22048351733552002</v>
      </c>
      <c r="K962">
        <f>AVERAGEIF(Table1[CountryCode],Table1[[#This Row],[CountryCode]],Table1[z-score])</f>
        <v>0.55967304374969629</v>
      </c>
      <c r="L962" t="e">
        <f>VLOOKUP(Table1[[#This Row],[CountryCode]],[1]!Table1[#All],1,FALSE)</f>
        <v>#REF!</v>
      </c>
    </row>
    <row r="963" spans="1:12" hidden="1" x14ac:dyDescent="0.3">
      <c r="A963" t="s">
        <v>67</v>
      </c>
      <c r="B963" t="s">
        <v>68</v>
      </c>
      <c r="C963" t="s">
        <v>9</v>
      </c>
      <c r="D963" t="s">
        <v>10</v>
      </c>
      <c r="E963">
        <v>1994</v>
      </c>
      <c r="F963" s="1">
        <v>100</v>
      </c>
      <c r="G963">
        <v>1990</v>
      </c>
      <c r="H963">
        <f>AVERAGEIFS(Table1[value],Table1[IndicatorCode],Table1[[#This Row],[IndicatorCode]])</f>
        <v>99.756410256410263</v>
      </c>
      <c r="I963" cm="1">
        <f t="array" ref="I963">_xlfn.STDEV.P(IF(Table1[IndicatorCode]=Table1[[#This Row],[IndicatorCode]],Table1[value]))</f>
        <v>1.1047979755287356</v>
      </c>
      <c r="J963">
        <f>(Table1[[#This Row],[value]] - Table1[[#This Row],[mean]]) / Table1[[#This Row],[std_dev]]</f>
        <v>0.22048351733552002</v>
      </c>
      <c r="K963">
        <f>AVERAGEIF(Table1[CountryCode],Table1[[#This Row],[CountryCode]],Table1[z-score])</f>
        <v>0.55967304374969629</v>
      </c>
      <c r="L963" t="e">
        <f>VLOOKUP(Table1[[#This Row],[CountryCode]],[1]!Table1[#All],1,FALSE)</f>
        <v>#REF!</v>
      </c>
    </row>
    <row r="964" spans="1:12" hidden="1" x14ac:dyDescent="0.3">
      <c r="A964" t="s">
        <v>67</v>
      </c>
      <c r="B964" t="s">
        <v>68</v>
      </c>
      <c r="C964" t="s">
        <v>9</v>
      </c>
      <c r="D964" t="s">
        <v>10</v>
      </c>
      <c r="E964">
        <v>1995</v>
      </c>
      <c r="F964" s="1">
        <v>100</v>
      </c>
      <c r="G964">
        <v>1990</v>
      </c>
      <c r="H964">
        <f>AVERAGEIFS(Table1[value],Table1[IndicatorCode],Table1[[#This Row],[IndicatorCode]])</f>
        <v>99.756410256410263</v>
      </c>
      <c r="I964" cm="1">
        <f t="array" ref="I964">_xlfn.STDEV.P(IF(Table1[IndicatorCode]=Table1[[#This Row],[IndicatorCode]],Table1[value]))</f>
        <v>1.1047979755287356</v>
      </c>
      <c r="J964">
        <f>(Table1[[#This Row],[value]] - Table1[[#This Row],[mean]]) / Table1[[#This Row],[std_dev]]</f>
        <v>0.22048351733552002</v>
      </c>
      <c r="K964">
        <f>AVERAGEIF(Table1[CountryCode],Table1[[#This Row],[CountryCode]],Table1[z-score])</f>
        <v>0.55967304374969629</v>
      </c>
      <c r="L964" t="e">
        <f>VLOOKUP(Table1[[#This Row],[CountryCode]],[1]!Table1[#All],1,FALSE)</f>
        <v>#REF!</v>
      </c>
    </row>
    <row r="965" spans="1:12" hidden="1" x14ac:dyDescent="0.3">
      <c r="A965" t="s">
        <v>67</v>
      </c>
      <c r="B965" t="s">
        <v>68</v>
      </c>
      <c r="C965" t="s">
        <v>9</v>
      </c>
      <c r="D965" t="s">
        <v>10</v>
      </c>
      <c r="E965">
        <v>1996</v>
      </c>
      <c r="F965" s="1">
        <v>100</v>
      </c>
      <c r="G965">
        <v>1990</v>
      </c>
      <c r="H965">
        <f>AVERAGEIFS(Table1[value],Table1[IndicatorCode],Table1[[#This Row],[IndicatorCode]])</f>
        <v>99.756410256410263</v>
      </c>
      <c r="I965" cm="1">
        <f t="array" ref="I965">_xlfn.STDEV.P(IF(Table1[IndicatorCode]=Table1[[#This Row],[IndicatorCode]],Table1[value]))</f>
        <v>1.1047979755287356</v>
      </c>
      <c r="J965">
        <f>(Table1[[#This Row],[value]] - Table1[[#This Row],[mean]]) / Table1[[#This Row],[std_dev]]</f>
        <v>0.22048351733552002</v>
      </c>
      <c r="K965">
        <f>AVERAGEIF(Table1[CountryCode],Table1[[#This Row],[CountryCode]],Table1[z-score])</f>
        <v>0.55967304374969629</v>
      </c>
      <c r="L965" t="e">
        <f>VLOOKUP(Table1[[#This Row],[CountryCode]],[1]!Table1[#All],1,FALSE)</f>
        <v>#REF!</v>
      </c>
    </row>
    <row r="966" spans="1:12" hidden="1" x14ac:dyDescent="0.3">
      <c r="A966" t="s">
        <v>67</v>
      </c>
      <c r="B966" t="s">
        <v>68</v>
      </c>
      <c r="C966" t="s">
        <v>9</v>
      </c>
      <c r="D966" t="s">
        <v>10</v>
      </c>
      <c r="E966">
        <v>1997</v>
      </c>
      <c r="F966" s="1">
        <v>100</v>
      </c>
      <c r="G966">
        <v>2000</v>
      </c>
      <c r="H966">
        <f>AVERAGEIFS(Table1[value],Table1[IndicatorCode],Table1[[#This Row],[IndicatorCode]])</f>
        <v>99.756410256410263</v>
      </c>
      <c r="I966" cm="1">
        <f t="array" ref="I966">_xlfn.STDEV.P(IF(Table1[IndicatorCode]=Table1[[#This Row],[IndicatorCode]],Table1[value]))</f>
        <v>1.1047979755287356</v>
      </c>
      <c r="J966">
        <f>(Table1[[#This Row],[value]] - Table1[[#This Row],[mean]]) / Table1[[#This Row],[std_dev]]</f>
        <v>0.22048351733552002</v>
      </c>
      <c r="K966">
        <f>AVERAGEIF(Table1[CountryCode],Table1[[#This Row],[CountryCode]],Table1[z-score])</f>
        <v>0.55967304374969629</v>
      </c>
      <c r="L966" t="e">
        <f>VLOOKUP(Table1[[#This Row],[CountryCode]],[1]!Table1[#All],1,FALSE)</f>
        <v>#REF!</v>
      </c>
    </row>
    <row r="967" spans="1:12" hidden="1" x14ac:dyDescent="0.3">
      <c r="A967" t="s">
        <v>67</v>
      </c>
      <c r="B967" t="s">
        <v>68</v>
      </c>
      <c r="C967" t="s">
        <v>9</v>
      </c>
      <c r="D967" t="s">
        <v>10</v>
      </c>
      <c r="E967">
        <v>1998</v>
      </c>
      <c r="F967" s="1">
        <v>100</v>
      </c>
      <c r="G967">
        <v>2000</v>
      </c>
      <c r="H967">
        <f>AVERAGEIFS(Table1[value],Table1[IndicatorCode],Table1[[#This Row],[IndicatorCode]])</f>
        <v>99.756410256410263</v>
      </c>
      <c r="I967" cm="1">
        <f t="array" ref="I967">_xlfn.STDEV.P(IF(Table1[IndicatorCode]=Table1[[#This Row],[IndicatorCode]],Table1[value]))</f>
        <v>1.1047979755287356</v>
      </c>
      <c r="J967">
        <f>(Table1[[#This Row],[value]] - Table1[[#This Row],[mean]]) / Table1[[#This Row],[std_dev]]</f>
        <v>0.22048351733552002</v>
      </c>
      <c r="K967">
        <f>AVERAGEIF(Table1[CountryCode],Table1[[#This Row],[CountryCode]],Table1[z-score])</f>
        <v>0.55967304374969629</v>
      </c>
      <c r="L967" t="e">
        <f>VLOOKUP(Table1[[#This Row],[CountryCode]],[1]!Table1[#All],1,FALSE)</f>
        <v>#REF!</v>
      </c>
    </row>
    <row r="968" spans="1:12" hidden="1" x14ac:dyDescent="0.3">
      <c r="A968" t="s">
        <v>67</v>
      </c>
      <c r="B968" t="s">
        <v>68</v>
      </c>
      <c r="C968" t="s">
        <v>9</v>
      </c>
      <c r="D968" t="s">
        <v>10</v>
      </c>
      <c r="E968">
        <v>1999</v>
      </c>
      <c r="F968" s="1">
        <v>100</v>
      </c>
      <c r="G968">
        <v>2000</v>
      </c>
      <c r="H968">
        <f>AVERAGEIFS(Table1[value],Table1[IndicatorCode],Table1[[#This Row],[IndicatorCode]])</f>
        <v>99.756410256410263</v>
      </c>
      <c r="I968" cm="1">
        <f t="array" ref="I968">_xlfn.STDEV.P(IF(Table1[IndicatorCode]=Table1[[#This Row],[IndicatorCode]],Table1[value]))</f>
        <v>1.1047979755287356</v>
      </c>
      <c r="J968">
        <f>(Table1[[#This Row],[value]] - Table1[[#This Row],[mean]]) / Table1[[#This Row],[std_dev]]</f>
        <v>0.22048351733552002</v>
      </c>
      <c r="K968">
        <f>AVERAGEIF(Table1[CountryCode],Table1[[#This Row],[CountryCode]],Table1[z-score])</f>
        <v>0.55967304374969629</v>
      </c>
      <c r="L968" t="e">
        <f>VLOOKUP(Table1[[#This Row],[CountryCode]],[1]!Table1[#All],1,FALSE)</f>
        <v>#REF!</v>
      </c>
    </row>
    <row r="969" spans="1:12" hidden="1" x14ac:dyDescent="0.3">
      <c r="A969" t="s">
        <v>67</v>
      </c>
      <c r="B969" t="s">
        <v>68</v>
      </c>
      <c r="C969" t="s">
        <v>9</v>
      </c>
      <c r="D969" t="s">
        <v>10</v>
      </c>
      <c r="E969">
        <v>2000</v>
      </c>
      <c r="F969" s="1">
        <v>100</v>
      </c>
      <c r="G969">
        <v>2000</v>
      </c>
      <c r="H969">
        <f>AVERAGEIFS(Table1[value],Table1[IndicatorCode],Table1[[#This Row],[IndicatorCode]])</f>
        <v>99.756410256410263</v>
      </c>
      <c r="I969" cm="1">
        <f t="array" ref="I969">_xlfn.STDEV.P(IF(Table1[IndicatorCode]=Table1[[#This Row],[IndicatorCode]],Table1[value]))</f>
        <v>1.1047979755287356</v>
      </c>
      <c r="J969">
        <f>(Table1[[#This Row],[value]] - Table1[[#This Row],[mean]]) / Table1[[#This Row],[std_dev]]</f>
        <v>0.22048351733552002</v>
      </c>
      <c r="K969">
        <f>AVERAGEIF(Table1[CountryCode],Table1[[#This Row],[CountryCode]],Table1[z-score])</f>
        <v>0.55967304374969629</v>
      </c>
      <c r="L969" t="e">
        <f>VLOOKUP(Table1[[#This Row],[CountryCode]],[1]!Table1[#All],1,FALSE)</f>
        <v>#REF!</v>
      </c>
    </row>
    <row r="970" spans="1:12" hidden="1" x14ac:dyDescent="0.3">
      <c r="A970" t="s">
        <v>67</v>
      </c>
      <c r="B970" t="s">
        <v>68</v>
      </c>
      <c r="C970" t="s">
        <v>9</v>
      </c>
      <c r="D970" t="s">
        <v>10</v>
      </c>
      <c r="E970">
        <v>2001</v>
      </c>
      <c r="F970" s="1">
        <v>100</v>
      </c>
      <c r="G970">
        <v>2000</v>
      </c>
      <c r="H970">
        <f>AVERAGEIFS(Table1[value],Table1[IndicatorCode],Table1[[#This Row],[IndicatorCode]])</f>
        <v>99.756410256410263</v>
      </c>
      <c r="I970" cm="1">
        <f t="array" ref="I970">_xlfn.STDEV.P(IF(Table1[IndicatorCode]=Table1[[#This Row],[IndicatorCode]],Table1[value]))</f>
        <v>1.1047979755287356</v>
      </c>
      <c r="J970">
        <f>(Table1[[#This Row],[value]] - Table1[[#This Row],[mean]]) / Table1[[#This Row],[std_dev]]</f>
        <v>0.22048351733552002</v>
      </c>
      <c r="K970">
        <f>AVERAGEIF(Table1[CountryCode],Table1[[#This Row],[CountryCode]],Table1[z-score])</f>
        <v>0.55967304374969629</v>
      </c>
      <c r="L970" t="e">
        <f>VLOOKUP(Table1[[#This Row],[CountryCode]],[1]!Table1[#All],1,FALSE)</f>
        <v>#REF!</v>
      </c>
    </row>
    <row r="971" spans="1:12" hidden="1" x14ac:dyDescent="0.3">
      <c r="A971" t="s">
        <v>67</v>
      </c>
      <c r="B971" t="s">
        <v>68</v>
      </c>
      <c r="C971" t="s">
        <v>9</v>
      </c>
      <c r="D971" t="s">
        <v>10</v>
      </c>
      <c r="E971">
        <v>2002</v>
      </c>
      <c r="F971" s="1">
        <v>100</v>
      </c>
      <c r="G971">
        <v>2000</v>
      </c>
      <c r="H971">
        <f>AVERAGEIFS(Table1[value],Table1[IndicatorCode],Table1[[#This Row],[IndicatorCode]])</f>
        <v>99.756410256410263</v>
      </c>
      <c r="I971" cm="1">
        <f t="array" ref="I971">_xlfn.STDEV.P(IF(Table1[IndicatorCode]=Table1[[#This Row],[IndicatorCode]],Table1[value]))</f>
        <v>1.1047979755287356</v>
      </c>
      <c r="J971">
        <f>(Table1[[#This Row],[value]] - Table1[[#This Row],[mean]]) / Table1[[#This Row],[std_dev]]</f>
        <v>0.22048351733552002</v>
      </c>
      <c r="K971">
        <f>AVERAGEIF(Table1[CountryCode],Table1[[#This Row],[CountryCode]],Table1[z-score])</f>
        <v>0.55967304374969629</v>
      </c>
      <c r="L971" t="e">
        <f>VLOOKUP(Table1[[#This Row],[CountryCode]],[1]!Table1[#All],1,FALSE)</f>
        <v>#REF!</v>
      </c>
    </row>
    <row r="972" spans="1:12" hidden="1" x14ac:dyDescent="0.3">
      <c r="A972" t="s">
        <v>67</v>
      </c>
      <c r="B972" t="s">
        <v>68</v>
      </c>
      <c r="C972" t="s">
        <v>9</v>
      </c>
      <c r="D972" t="s">
        <v>10</v>
      </c>
      <c r="E972">
        <v>2003</v>
      </c>
      <c r="F972" s="1">
        <v>100</v>
      </c>
      <c r="G972">
        <v>2000</v>
      </c>
      <c r="H972">
        <f>AVERAGEIFS(Table1[value],Table1[IndicatorCode],Table1[[#This Row],[IndicatorCode]])</f>
        <v>99.756410256410263</v>
      </c>
      <c r="I972" cm="1">
        <f t="array" ref="I972">_xlfn.STDEV.P(IF(Table1[IndicatorCode]=Table1[[#This Row],[IndicatorCode]],Table1[value]))</f>
        <v>1.1047979755287356</v>
      </c>
      <c r="J972">
        <f>(Table1[[#This Row],[value]] - Table1[[#This Row],[mean]]) / Table1[[#This Row],[std_dev]]</f>
        <v>0.22048351733552002</v>
      </c>
      <c r="K972">
        <f>AVERAGEIF(Table1[CountryCode],Table1[[#This Row],[CountryCode]],Table1[z-score])</f>
        <v>0.55967304374969629</v>
      </c>
      <c r="L972" t="e">
        <f>VLOOKUP(Table1[[#This Row],[CountryCode]],[1]!Table1[#All],1,FALSE)</f>
        <v>#REF!</v>
      </c>
    </row>
    <row r="973" spans="1:12" hidden="1" x14ac:dyDescent="0.3">
      <c r="A973" t="s">
        <v>67</v>
      </c>
      <c r="B973" t="s">
        <v>68</v>
      </c>
      <c r="C973" t="s">
        <v>9</v>
      </c>
      <c r="D973" t="s">
        <v>10</v>
      </c>
      <c r="E973">
        <v>2004</v>
      </c>
      <c r="F973" s="1">
        <v>100</v>
      </c>
      <c r="G973">
        <v>2000</v>
      </c>
      <c r="H973">
        <f>AVERAGEIFS(Table1[value],Table1[IndicatorCode],Table1[[#This Row],[IndicatorCode]])</f>
        <v>99.756410256410263</v>
      </c>
      <c r="I973" cm="1">
        <f t="array" ref="I973">_xlfn.STDEV.P(IF(Table1[IndicatorCode]=Table1[[#This Row],[IndicatorCode]],Table1[value]))</f>
        <v>1.1047979755287356</v>
      </c>
      <c r="J973">
        <f>(Table1[[#This Row],[value]] - Table1[[#This Row],[mean]]) / Table1[[#This Row],[std_dev]]</f>
        <v>0.22048351733552002</v>
      </c>
      <c r="K973">
        <f>AVERAGEIF(Table1[CountryCode],Table1[[#This Row],[CountryCode]],Table1[z-score])</f>
        <v>0.55967304374969629</v>
      </c>
      <c r="L973" t="e">
        <f>VLOOKUP(Table1[[#This Row],[CountryCode]],[1]!Table1[#All],1,FALSE)</f>
        <v>#REF!</v>
      </c>
    </row>
    <row r="974" spans="1:12" hidden="1" x14ac:dyDescent="0.3">
      <c r="A974" t="s">
        <v>67</v>
      </c>
      <c r="B974" t="s">
        <v>68</v>
      </c>
      <c r="C974" t="s">
        <v>9</v>
      </c>
      <c r="D974" t="s">
        <v>10</v>
      </c>
      <c r="E974">
        <v>2005</v>
      </c>
      <c r="F974" s="1">
        <v>100</v>
      </c>
      <c r="G974">
        <v>2000</v>
      </c>
      <c r="H974">
        <f>AVERAGEIFS(Table1[value],Table1[IndicatorCode],Table1[[#This Row],[IndicatorCode]])</f>
        <v>99.756410256410263</v>
      </c>
      <c r="I974" cm="1">
        <f t="array" ref="I974">_xlfn.STDEV.P(IF(Table1[IndicatorCode]=Table1[[#This Row],[IndicatorCode]],Table1[value]))</f>
        <v>1.1047979755287356</v>
      </c>
      <c r="J974">
        <f>(Table1[[#This Row],[value]] - Table1[[#This Row],[mean]]) / Table1[[#This Row],[std_dev]]</f>
        <v>0.22048351733552002</v>
      </c>
      <c r="K974">
        <f>AVERAGEIF(Table1[CountryCode],Table1[[#This Row],[CountryCode]],Table1[z-score])</f>
        <v>0.55967304374969629</v>
      </c>
      <c r="L974" t="e">
        <f>VLOOKUP(Table1[[#This Row],[CountryCode]],[1]!Table1[#All],1,FALSE)</f>
        <v>#REF!</v>
      </c>
    </row>
    <row r="975" spans="1:12" hidden="1" x14ac:dyDescent="0.3">
      <c r="A975" t="s">
        <v>67</v>
      </c>
      <c r="B975" t="s">
        <v>68</v>
      </c>
      <c r="C975" t="s">
        <v>9</v>
      </c>
      <c r="D975" t="s">
        <v>10</v>
      </c>
      <c r="E975">
        <v>2006</v>
      </c>
      <c r="F975" s="1">
        <v>100</v>
      </c>
      <c r="G975">
        <v>2000</v>
      </c>
      <c r="H975">
        <f>AVERAGEIFS(Table1[value],Table1[IndicatorCode],Table1[[#This Row],[IndicatorCode]])</f>
        <v>99.756410256410263</v>
      </c>
      <c r="I975" cm="1">
        <f t="array" ref="I975">_xlfn.STDEV.P(IF(Table1[IndicatorCode]=Table1[[#This Row],[IndicatorCode]],Table1[value]))</f>
        <v>1.1047979755287356</v>
      </c>
      <c r="J975">
        <f>(Table1[[#This Row],[value]] - Table1[[#This Row],[mean]]) / Table1[[#This Row],[std_dev]]</f>
        <v>0.22048351733552002</v>
      </c>
      <c r="K975">
        <f>AVERAGEIF(Table1[CountryCode],Table1[[#This Row],[CountryCode]],Table1[z-score])</f>
        <v>0.55967304374969629</v>
      </c>
      <c r="L975" t="e">
        <f>VLOOKUP(Table1[[#This Row],[CountryCode]],[1]!Table1[#All],1,FALSE)</f>
        <v>#REF!</v>
      </c>
    </row>
    <row r="976" spans="1:12" hidden="1" x14ac:dyDescent="0.3">
      <c r="A976" t="s">
        <v>67</v>
      </c>
      <c r="B976" t="s">
        <v>68</v>
      </c>
      <c r="C976" t="s">
        <v>9</v>
      </c>
      <c r="D976" t="s">
        <v>10</v>
      </c>
      <c r="E976">
        <v>2007</v>
      </c>
      <c r="F976" s="1">
        <v>100</v>
      </c>
      <c r="G976">
        <v>2010</v>
      </c>
      <c r="H976">
        <f>AVERAGEIFS(Table1[value],Table1[IndicatorCode],Table1[[#This Row],[IndicatorCode]])</f>
        <v>99.756410256410263</v>
      </c>
      <c r="I976" cm="1">
        <f t="array" ref="I976">_xlfn.STDEV.P(IF(Table1[IndicatorCode]=Table1[[#This Row],[IndicatorCode]],Table1[value]))</f>
        <v>1.1047979755287356</v>
      </c>
      <c r="J976">
        <f>(Table1[[#This Row],[value]] - Table1[[#This Row],[mean]]) / Table1[[#This Row],[std_dev]]</f>
        <v>0.22048351733552002</v>
      </c>
      <c r="K976">
        <f>AVERAGEIF(Table1[CountryCode],Table1[[#This Row],[CountryCode]],Table1[z-score])</f>
        <v>0.55967304374969629</v>
      </c>
      <c r="L976" t="e">
        <f>VLOOKUP(Table1[[#This Row],[CountryCode]],[1]!Table1[#All],1,FALSE)</f>
        <v>#REF!</v>
      </c>
    </row>
    <row r="977" spans="1:12" hidden="1" x14ac:dyDescent="0.3">
      <c r="A977" t="s">
        <v>67</v>
      </c>
      <c r="B977" t="s">
        <v>68</v>
      </c>
      <c r="C977" t="s">
        <v>9</v>
      </c>
      <c r="D977" t="s">
        <v>10</v>
      </c>
      <c r="E977">
        <v>2008</v>
      </c>
      <c r="F977" s="1">
        <v>100</v>
      </c>
      <c r="G977">
        <v>2010</v>
      </c>
      <c r="H977">
        <f>AVERAGEIFS(Table1[value],Table1[IndicatorCode],Table1[[#This Row],[IndicatorCode]])</f>
        <v>99.756410256410263</v>
      </c>
      <c r="I977" cm="1">
        <f t="array" ref="I977">_xlfn.STDEV.P(IF(Table1[IndicatorCode]=Table1[[#This Row],[IndicatorCode]],Table1[value]))</f>
        <v>1.1047979755287356</v>
      </c>
      <c r="J977">
        <f>(Table1[[#This Row],[value]] - Table1[[#This Row],[mean]]) / Table1[[#This Row],[std_dev]]</f>
        <v>0.22048351733552002</v>
      </c>
      <c r="K977">
        <f>AVERAGEIF(Table1[CountryCode],Table1[[#This Row],[CountryCode]],Table1[z-score])</f>
        <v>0.55967304374969629</v>
      </c>
      <c r="L977" t="e">
        <f>VLOOKUP(Table1[[#This Row],[CountryCode]],[1]!Table1[#All],1,FALSE)</f>
        <v>#REF!</v>
      </c>
    </row>
    <row r="978" spans="1:12" hidden="1" x14ac:dyDescent="0.3">
      <c r="A978" t="s">
        <v>67</v>
      </c>
      <c r="B978" t="s">
        <v>68</v>
      </c>
      <c r="C978" t="s">
        <v>9</v>
      </c>
      <c r="D978" t="s">
        <v>10</v>
      </c>
      <c r="E978">
        <v>2009</v>
      </c>
      <c r="F978" s="1">
        <v>100</v>
      </c>
      <c r="G978">
        <v>2010</v>
      </c>
      <c r="H978">
        <f>AVERAGEIFS(Table1[value],Table1[IndicatorCode],Table1[[#This Row],[IndicatorCode]])</f>
        <v>99.756410256410263</v>
      </c>
      <c r="I978" cm="1">
        <f t="array" ref="I978">_xlfn.STDEV.P(IF(Table1[IndicatorCode]=Table1[[#This Row],[IndicatorCode]],Table1[value]))</f>
        <v>1.1047979755287356</v>
      </c>
      <c r="J978">
        <f>(Table1[[#This Row],[value]] - Table1[[#This Row],[mean]]) / Table1[[#This Row],[std_dev]]</f>
        <v>0.22048351733552002</v>
      </c>
      <c r="K978">
        <f>AVERAGEIF(Table1[CountryCode],Table1[[#This Row],[CountryCode]],Table1[z-score])</f>
        <v>0.55967304374969629</v>
      </c>
      <c r="L978" t="e">
        <f>VLOOKUP(Table1[[#This Row],[CountryCode]],[1]!Table1[#All],1,FALSE)</f>
        <v>#REF!</v>
      </c>
    </row>
    <row r="979" spans="1:12" hidden="1" x14ac:dyDescent="0.3">
      <c r="A979" t="s">
        <v>67</v>
      </c>
      <c r="B979" t="s">
        <v>68</v>
      </c>
      <c r="C979" t="s">
        <v>9</v>
      </c>
      <c r="D979" t="s">
        <v>10</v>
      </c>
      <c r="E979">
        <v>2010</v>
      </c>
      <c r="F979" s="1">
        <v>100</v>
      </c>
      <c r="G979">
        <v>2010</v>
      </c>
      <c r="H979">
        <f>AVERAGEIFS(Table1[value],Table1[IndicatorCode],Table1[[#This Row],[IndicatorCode]])</f>
        <v>99.756410256410263</v>
      </c>
      <c r="I979" cm="1">
        <f t="array" ref="I979">_xlfn.STDEV.P(IF(Table1[IndicatorCode]=Table1[[#This Row],[IndicatorCode]],Table1[value]))</f>
        <v>1.1047979755287356</v>
      </c>
      <c r="J979">
        <f>(Table1[[#This Row],[value]] - Table1[[#This Row],[mean]]) / Table1[[#This Row],[std_dev]]</f>
        <v>0.22048351733552002</v>
      </c>
      <c r="K979">
        <f>AVERAGEIF(Table1[CountryCode],Table1[[#This Row],[CountryCode]],Table1[z-score])</f>
        <v>0.55967304374969629</v>
      </c>
      <c r="L979" t="e">
        <f>VLOOKUP(Table1[[#This Row],[CountryCode]],[1]!Table1[#All],1,FALSE)</f>
        <v>#REF!</v>
      </c>
    </row>
    <row r="980" spans="1:12" hidden="1" x14ac:dyDescent="0.3">
      <c r="A980" t="s">
        <v>67</v>
      </c>
      <c r="B980" t="s">
        <v>68</v>
      </c>
      <c r="C980" t="s">
        <v>9</v>
      </c>
      <c r="D980" t="s">
        <v>10</v>
      </c>
      <c r="E980">
        <v>2011</v>
      </c>
      <c r="F980" s="1">
        <v>100</v>
      </c>
      <c r="G980">
        <v>2010</v>
      </c>
      <c r="H980">
        <f>AVERAGEIFS(Table1[value],Table1[IndicatorCode],Table1[[#This Row],[IndicatorCode]])</f>
        <v>99.756410256410263</v>
      </c>
      <c r="I980" cm="1">
        <f t="array" ref="I980">_xlfn.STDEV.P(IF(Table1[IndicatorCode]=Table1[[#This Row],[IndicatorCode]],Table1[value]))</f>
        <v>1.1047979755287356</v>
      </c>
      <c r="J980">
        <f>(Table1[[#This Row],[value]] - Table1[[#This Row],[mean]]) / Table1[[#This Row],[std_dev]]</f>
        <v>0.22048351733552002</v>
      </c>
      <c r="K980">
        <f>AVERAGEIF(Table1[CountryCode],Table1[[#This Row],[CountryCode]],Table1[z-score])</f>
        <v>0.55967304374969629</v>
      </c>
      <c r="L980" t="e">
        <f>VLOOKUP(Table1[[#This Row],[CountryCode]],[1]!Table1[#All],1,FALSE)</f>
        <v>#REF!</v>
      </c>
    </row>
    <row r="981" spans="1:12" hidden="1" x14ac:dyDescent="0.3">
      <c r="A981" t="s">
        <v>67</v>
      </c>
      <c r="B981" t="s">
        <v>68</v>
      </c>
      <c r="C981" t="s">
        <v>9</v>
      </c>
      <c r="D981" t="s">
        <v>10</v>
      </c>
      <c r="E981">
        <v>2012</v>
      </c>
      <c r="F981" s="1">
        <v>100</v>
      </c>
      <c r="G981">
        <v>2010</v>
      </c>
      <c r="H981">
        <f>AVERAGEIFS(Table1[value],Table1[IndicatorCode],Table1[[#This Row],[IndicatorCode]])</f>
        <v>99.756410256410263</v>
      </c>
      <c r="I981" cm="1">
        <f t="array" ref="I981">_xlfn.STDEV.P(IF(Table1[IndicatorCode]=Table1[[#This Row],[IndicatorCode]],Table1[value]))</f>
        <v>1.1047979755287356</v>
      </c>
      <c r="J981">
        <f>(Table1[[#This Row],[value]] - Table1[[#This Row],[mean]]) / Table1[[#This Row],[std_dev]]</f>
        <v>0.22048351733552002</v>
      </c>
      <c r="K981">
        <f>AVERAGEIF(Table1[CountryCode],Table1[[#This Row],[CountryCode]],Table1[z-score])</f>
        <v>0.55967304374969629</v>
      </c>
      <c r="L981" t="e">
        <f>VLOOKUP(Table1[[#This Row],[CountryCode]],[1]!Table1[#All],1,FALSE)</f>
        <v>#REF!</v>
      </c>
    </row>
    <row r="982" spans="1:12" hidden="1" x14ac:dyDescent="0.3">
      <c r="A982" t="s">
        <v>67</v>
      </c>
      <c r="B982" t="s">
        <v>68</v>
      </c>
      <c r="C982" t="s">
        <v>9</v>
      </c>
      <c r="D982" t="s">
        <v>10</v>
      </c>
      <c r="E982">
        <v>2013</v>
      </c>
      <c r="F982" s="1">
        <v>100</v>
      </c>
      <c r="G982">
        <v>2010</v>
      </c>
      <c r="H982">
        <f>AVERAGEIFS(Table1[value],Table1[IndicatorCode],Table1[[#This Row],[IndicatorCode]])</f>
        <v>99.756410256410263</v>
      </c>
      <c r="I982" cm="1">
        <f t="array" ref="I982">_xlfn.STDEV.P(IF(Table1[IndicatorCode]=Table1[[#This Row],[IndicatorCode]],Table1[value]))</f>
        <v>1.1047979755287356</v>
      </c>
      <c r="J982">
        <f>(Table1[[#This Row],[value]] - Table1[[#This Row],[mean]]) / Table1[[#This Row],[std_dev]]</f>
        <v>0.22048351733552002</v>
      </c>
      <c r="K982">
        <f>AVERAGEIF(Table1[CountryCode],Table1[[#This Row],[CountryCode]],Table1[z-score])</f>
        <v>0.55967304374969629</v>
      </c>
      <c r="L982" t="e">
        <f>VLOOKUP(Table1[[#This Row],[CountryCode]],[1]!Table1[#All],1,FALSE)</f>
        <v>#REF!</v>
      </c>
    </row>
    <row r="983" spans="1:12" hidden="1" x14ac:dyDescent="0.3">
      <c r="A983" t="s">
        <v>67</v>
      </c>
      <c r="B983" t="s">
        <v>68</v>
      </c>
      <c r="C983" t="s">
        <v>9</v>
      </c>
      <c r="D983" t="s">
        <v>10</v>
      </c>
      <c r="E983">
        <v>2014</v>
      </c>
      <c r="F983" s="1">
        <v>100</v>
      </c>
      <c r="G983">
        <v>2010</v>
      </c>
      <c r="H983">
        <f>AVERAGEIFS(Table1[value],Table1[IndicatorCode],Table1[[#This Row],[IndicatorCode]])</f>
        <v>99.756410256410263</v>
      </c>
      <c r="I983" cm="1">
        <f t="array" ref="I983">_xlfn.STDEV.P(IF(Table1[IndicatorCode]=Table1[[#This Row],[IndicatorCode]],Table1[value]))</f>
        <v>1.1047979755287356</v>
      </c>
      <c r="J983">
        <f>(Table1[[#This Row],[value]] - Table1[[#This Row],[mean]]) / Table1[[#This Row],[std_dev]]</f>
        <v>0.22048351733552002</v>
      </c>
      <c r="K983">
        <f>AVERAGEIF(Table1[CountryCode],Table1[[#This Row],[CountryCode]],Table1[z-score])</f>
        <v>0.55967304374969629</v>
      </c>
      <c r="L983" t="e">
        <f>VLOOKUP(Table1[[#This Row],[CountryCode]],[1]!Table1[#All],1,FALSE)</f>
        <v>#REF!</v>
      </c>
    </row>
    <row r="984" spans="1:12" hidden="1" x14ac:dyDescent="0.3">
      <c r="A984" t="s">
        <v>67</v>
      </c>
      <c r="B984" t="s">
        <v>68</v>
      </c>
      <c r="C984" t="s">
        <v>9</v>
      </c>
      <c r="D984" t="s">
        <v>10</v>
      </c>
      <c r="E984">
        <v>2015</v>
      </c>
      <c r="F984" s="1">
        <v>100</v>
      </c>
      <c r="G984">
        <v>2010</v>
      </c>
      <c r="H984">
        <f>AVERAGEIFS(Table1[value],Table1[IndicatorCode],Table1[[#This Row],[IndicatorCode]])</f>
        <v>99.756410256410263</v>
      </c>
      <c r="I984" cm="1">
        <f t="array" ref="I984">_xlfn.STDEV.P(IF(Table1[IndicatorCode]=Table1[[#This Row],[IndicatorCode]],Table1[value]))</f>
        <v>1.1047979755287356</v>
      </c>
      <c r="J984">
        <f>(Table1[[#This Row],[value]] - Table1[[#This Row],[mean]]) / Table1[[#This Row],[std_dev]]</f>
        <v>0.22048351733552002</v>
      </c>
      <c r="K984">
        <f>AVERAGEIF(Table1[CountryCode],Table1[[#This Row],[CountryCode]],Table1[z-score])</f>
        <v>0.55967304374969629</v>
      </c>
      <c r="L984" t="e">
        <f>VLOOKUP(Table1[[#This Row],[CountryCode]],[1]!Table1[#All],1,FALSE)</f>
        <v>#REF!</v>
      </c>
    </row>
    <row r="985" spans="1:12" hidden="1" x14ac:dyDescent="0.3">
      <c r="A985" t="s">
        <v>67</v>
      </c>
      <c r="B985" t="s">
        <v>68</v>
      </c>
      <c r="C985" t="s">
        <v>9</v>
      </c>
      <c r="D985" t="s">
        <v>10</v>
      </c>
      <c r="E985">
        <v>2016</v>
      </c>
      <c r="F985" s="1">
        <v>100</v>
      </c>
      <c r="G985">
        <v>2010</v>
      </c>
      <c r="H985">
        <f>AVERAGEIFS(Table1[value],Table1[IndicatorCode],Table1[[#This Row],[IndicatorCode]])</f>
        <v>99.756410256410263</v>
      </c>
      <c r="I985" cm="1">
        <f t="array" ref="I985">_xlfn.STDEV.P(IF(Table1[IndicatorCode]=Table1[[#This Row],[IndicatorCode]],Table1[value]))</f>
        <v>1.1047979755287356</v>
      </c>
      <c r="J985">
        <f>(Table1[[#This Row],[value]] - Table1[[#This Row],[mean]]) / Table1[[#This Row],[std_dev]]</f>
        <v>0.22048351733552002</v>
      </c>
      <c r="K985">
        <f>AVERAGEIF(Table1[CountryCode],Table1[[#This Row],[CountryCode]],Table1[z-score])</f>
        <v>0.55967304374969629</v>
      </c>
      <c r="L985" t="e">
        <f>VLOOKUP(Table1[[#This Row],[CountryCode]],[1]!Table1[#All],1,FALSE)</f>
        <v>#REF!</v>
      </c>
    </row>
    <row r="986" spans="1:12" hidden="1" x14ac:dyDescent="0.3">
      <c r="A986" t="s">
        <v>67</v>
      </c>
      <c r="B986" t="s">
        <v>68</v>
      </c>
      <c r="C986" t="s">
        <v>9</v>
      </c>
      <c r="D986" t="s">
        <v>10</v>
      </c>
      <c r="E986">
        <v>2017</v>
      </c>
      <c r="F986" s="1">
        <v>100</v>
      </c>
      <c r="G986">
        <v>2020</v>
      </c>
      <c r="H986">
        <f>AVERAGEIFS(Table1[value],Table1[IndicatorCode],Table1[[#This Row],[IndicatorCode]])</f>
        <v>99.756410256410263</v>
      </c>
      <c r="I986" cm="1">
        <f t="array" ref="I986">_xlfn.STDEV.P(IF(Table1[IndicatorCode]=Table1[[#This Row],[IndicatorCode]],Table1[value]))</f>
        <v>1.1047979755287356</v>
      </c>
      <c r="J986">
        <f>(Table1[[#This Row],[value]] - Table1[[#This Row],[mean]]) / Table1[[#This Row],[std_dev]]</f>
        <v>0.22048351733552002</v>
      </c>
      <c r="K986">
        <f>AVERAGEIF(Table1[CountryCode],Table1[[#This Row],[CountryCode]],Table1[z-score])</f>
        <v>0.55967304374969629</v>
      </c>
      <c r="L986" t="e">
        <f>VLOOKUP(Table1[[#This Row],[CountryCode]],[1]!Table1[#All],1,FALSE)</f>
        <v>#REF!</v>
      </c>
    </row>
    <row r="987" spans="1:12" hidden="1" x14ac:dyDescent="0.3">
      <c r="A987" t="s">
        <v>67</v>
      </c>
      <c r="B987" t="s">
        <v>68</v>
      </c>
      <c r="C987" t="s">
        <v>9</v>
      </c>
      <c r="D987" t="s">
        <v>10</v>
      </c>
      <c r="E987">
        <v>2018</v>
      </c>
      <c r="F987" s="1">
        <v>100</v>
      </c>
      <c r="G987">
        <v>2020</v>
      </c>
      <c r="H987">
        <f>AVERAGEIFS(Table1[value],Table1[IndicatorCode],Table1[[#This Row],[IndicatorCode]])</f>
        <v>99.756410256410263</v>
      </c>
      <c r="I987" cm="1">
        <f t="array" ref="I987">_xlfn.STDEV.P(IF(Table1[IndicatorCode]=Table1[[#This Row],[IndicatorCode]],Table1[value]))</f>
        <v>1.1047979755287356</v>
      </c>
      <c r="J987">
        <f>(Table1[[#This Row],[value]] - Table1[[#This Row],[mean]]) / Table1[[#This Row],[std_dev]]</f>
        <v>0.22048351733552002</v>
      </c>
      <c r="K987">
        <f>AVERAGEIF(Table1[CountryCode],Table1[[#This Row],[CountryCode]],Table1[z-score])</f>
        <v>0.55967304374969629</v>
      </c>
      <c r="L987" t="e">
        <f>VLOOKUP(Table1[[#This Row],[CountryCode]],[1]!Table1[#All],1,FALSE)</f>
        <v>#REF!</v>
      </c>
    </row>
    <row r="988" spans="1:12" hidden="1" x14ac:dyDescent="0.3">
      <c r="A988" t="s">
        <v>67</v>
      </c>
      <c r="B988" t="s">
        <v>68</v>
      </c>
      <c r="C988" t="s">
        <v>9</v>
      </c>
      <c r="D988" t="s">
        <v>10</v>
      </c>
      <c r="E988">
        <v>2019</v>
      </c>
      <c r="F988" s="1">
        <v>100</v>
      </c>
      <c r="G988">
        <v>2020</v>
      </c>
      <c r="H988">
        <f>AVERAGEIFS(Table1[value],Table1[IndicatorCode],Table1[[#This Row],[IndicatorCode]])</f>
        <v>99.756410256410263</v>
      </c>
      <c r="I988" cm="1">
        <f t="array" ref="I988">_xlfn.STDEV.P(IF(Table1[IndicatorCode]=Table1[[#This Row],[IndicatorCode]],Table1[value]))</f>
        <v>1.1047979755287356</v>
      </c>
      <c r="J988">
        <f>(Table1[[#This Row],[value]] - Table1[[#This Row],[mean]]) / Table1[[#This Row],[std_dev]]</f>
        <v>0.22048351733552002</v>
      </c>
      <c r="K988">
        <f>AVERAGEIF(Table1[CountryCode],Table1[[#This Row],[CountryCode]],Table1[z-score])</f>
        <v>0.55967304374969629</v>
      </c>
      <c r="L988" t="e">
        <f>VLOOKUP(Table1[[#This Row],[CountryCode]],[1]!Table1[#All],1,FALSE)</f>
        <v>#REF!</v>
      </c>
    </row>
    <row r="989" spans="1:12" x14ac:dyDescent="0.3">
      <c r="A989" t="s">
        <v>67</v>
      </c>
      <c r="B989" t="s">
        <v>68</v>
      </c>
      <c r="C989" t="s">
        <v>9</v>
      </c>
      <c r="D989" t="s">
        <v>10</v>
      </c>
      <c r="E989">
        <v>2020</v>
      </c>
      <c r="F989" s="1">
        <v>100</v>
      </c>
      <c r="G989">
        <v>2020</v>
      </c>
      <c r="H989">
        <f>AVERAGEIFS(Table1[value],Table1[IndicatorCode],Table1[[#This Row],[IndicatorCode]])</f>
        <v>99.756410256410263</v>
      </c>
      <c r="I989" cm="1">
        <f t="array" ref="I989">_xlfn.STDEV.P(IF(Table1[IndicatorCode]=Table1[[#This Row],[IndicatorCode]],Table1[value]))</f>
        <v>1.1047979755287356</v>
      </c>
      <c r="J989">
        <f>(Table1[[#This Row],[value]] - Table1[[#This Row],[mean]]) / Table1[[#This Row],[std_dev]]</f>
        <v>0.22048351733552002</v>
      </c>
      <c r="K989">
        <f>AVERAGEIF(Table1[CountryCode],Table1[[#This Row],[CountryCode]],Table1[z-score])</f>
        <v>0.55967304374969629</v>
      </c>
    </row>
    <row r="990" spans="1:12" hidden="1" x14ac:dyDescent="0.3">
      <c r="A990" t="s">
        <v>67</v>
      </c>
      <c r="B990" t="s">
        <v>68</v>
      </c>
      <c r="C990" t="s">
        <v>9</v>
      </c>
      <c r="D990" t="s">
        <v>10</v>
      </c>
      <c r="E990">
        <v>2021</v>
      </c>
      <c r="F990" s="1">
        <v>100</v>
      </c>
      <c r="G990">
        <v>1990</v>
      </c>
      <c r="H990">
        <f>AVERAGEIFS(Table1[value],Table1[IndicatorCode],Table1[[#This Row],[IndicatorCode]])</f>
        <v>99.756410256410263</v>
      </c>
      <c r="I990" cm="1">
        <f t="array" ref="I990">_xlfn.STDEV.P(IF(Table1[IndicatorCode]=Table1[[#This Row],[IndicatorCode]],Table1[value]))</f>
        <v>1.1047979755287356</v>
      </c>
      <c r="J990">
        <f>(Table1[[#This Row],[value]] - Table1[[#This Row],[mean]]) / Table1[[#This Row],[std_dev]]</f>
        <v>0.22048351733552002</v>
      </c>
      <c r="K990">
        <f>AVERAGEIF(Table1[CountryCode],Table1[[#This Row],[CountryCode]],Table1[z-score])</f>
        <v>0.55967304374969629</v>
      </c>
      <c r="L990" t="e">
        <f>VLOOKUP(Table1[[#This Row],[CountryCode]],[1]!Table1[#All],1,FALSE)</f>
        <v>#REF!</v>
      </c>
    </row>
    <row r="991" spans="1:12" hidden="1" x14ac:dyDescent="0.3">
      <c r="A991" t="s">
        <v>67</v>
      </c>
      <c r="B991" t="s">
        <v>68</v>
      </c>
      <c r="C991" t="s">
        <v>9</v>
      </c>
      <c r="D991" t="s">
        <v>10</v>
      </c>
      <c r="E991">
        <v>2022</v>
      </c>
      <c r="F991" s="1">
        <v>100</v>
      </c>
      <c r="G991">
        <v>1990</v>
      </c>
      <c r="H991">
        <f>AVERAGEIFS(Table1[value],Table1[IndicatorCode],Table1[[#This Row],[IndicatorCode]])</f>
        <v>99.756410256410263</v>
      </c>
      <c r="I991" cm="1">
        <f t="array" ref="I991">_xlfn.STDEV.P(IF(Table1[IndicatorCode]=Table1[[#This Row],[IndicatorCode]],Table1[value]))</f>
        <v>1.1047979755287356</v>
      </c>
      <c r="J991">
        <f>(Table1[[#This Row],[value]] - Table1[[#This Row],[mean]]) / Table1[[#This Row],[std_dev]]</f>
        <v>0.22048351733552002</v>
      </c>
      <c r="K991">
        <f>AVERAGEIF(Table1[CountryCode],Table1[[#This Row],[CountryCode]],Table1[z-score])</f>
        <v>0.55967304374969629</v>
      </c>
      <c r="L991" t="e">
        <f>VLOOKUP(Table1[[#This Row],[CountryCode]],[1]!Table1[#All],1,FALSE)</f>
        <v>#REF!</v>
      </c>
    </row>
    <row r="992" spans="1:12" hidden="1" x14ac:dyDescent="0.3">
      <c r="A992" t="s">
        <v>67</v>
      </c>
      <c r="B992" t="s">
        <v>68</v>
      </c>
      <c r="C992" t="s">
        <v>9</v>
      </c>
      <c r="D992" t="s">
        <v>10</v>
      </c>
      <c r="E992">
        <v>2023</v>
      </c>
      <c r="F992" s="1">
        <v>100</v>
      </c>
      <c r="G992">
        <v>1990</v>
      </c>
      <c r="H992">
        <f>AVERAGEIFS(Table1[value],Table1[IndicatorCode],Table1[[#This Row],[IndicatorCode]])</f>
        <v>99.756410256410263</v>
      </c>
      <c r="I992" cm="1">
        <f t="array" ref="I992">_xlfn.STDEV.P(IF(Table1[IndicatorCode]=Table1[[#This Row],[IndicatorCode]],Table1[value]))</f>
        <v>1.1047979755287356</v>
      </c>
      <c r="J992">
        <f>(Table1[[#This Row],[value]] - Table1[[#This Row],[mean]]) / Table1[[#This Row],[std_dev]]</f>
        <v>0.22048351733552002</v>
      </c>
      <c r="K992">
        <f>AVERAGEIF(Table1[CountryCode],Table1[[#This Row],[CountryCode]],Table1[z-score])</f>
        <v>0.55967304374969629</v>
      </c>
      <c r="L992" t="e">
        <f>VLOOKUP(Table1[[#This Row],[CountryCode]],[1]!Table1[#All],1,FALSE)</f>
        <v>#REF!</v>
      </c>
    </row>
    <row r="993" spans="1:12" hidden="1" x14ac:dyDescent="0.3">
      <c r="A993" t="s">
        <v>69</v>
      </c>
      <c r="B993" t="s">
        <v>70</v>
      </c>
      <c r="C993" t="s">
        <v>9</v>
      </c>
      <c r="D993" t="s">
        <v>10</v>
      </c>
      <c r="E993">
        <v>1990</v>
      </c>
      <c r="F993" s="1">
        <v>100</v>
      </c>
      <c r="G993">
        <v>1990</v>
      </c>
      <c r="H993">
        <f>AVERAGEIFS(Table1[value],Table1[IndicatorCode],Table1[[#This Row],[IndicatorCode]])</f>
        <v>99.756410256410263</v>
      </c>
      <c r="I993" cm="1">
        <f t="array" ref="I993">_xlfn.STDEV.P(IF(Table1[IndicatorCode]=Table1[[#This Row],[IndicatorCode]],Table1[value]))</f>
        <v>1.1047979755287356</v>
      </c>
      <c r="J993">
        <f>(Table1[[#This Row],[value]] - Table1[[#This Row],[mean]]) / Table1[[#This Row],[std_dev]]</f>
        <v>0.22048351733552002</v>
      </c>
      <c r="K993">
        <f>AVERAGEIF(Table1[CountryCode],Table1[[#This Row],[CountryCode]],Table1[z-score])</f>
        <v>0.20445029067007053</v>
      </c>
      <c r="L993" t="e">
        <f>VLOOKUP(Table1[[#This Row],[CountryCode]],[1]!Table1[#All],1,FALSE)</f>
        <v>#REF!</v>
      </c>
    </row>
    <row r="994" spans="1:12" hidden="1" x14ac:dyDescent="0.3">
      <c r="A994" t="s">
        <v>69</v>
      </c>
      <c r="B994" t="s">
        <v>70</v>
      </c>
      <c r="C994" t="s">
        <v>9</v>
      </c>
      <c r="D994" t="s">
        <v>10</v>
      </c>
      <c r="E994">
        <v>1991</v>
      </c>
      <c r="F994" s="1">
        <v>100</v>
      </c>
      <c r="G994">
        <v>1990</v>
      </c>
      <c r="H994">
        <f>AVERAGEIFS(Table1[value],Table1[IndicatorCode],Table1[[#This Row],[IndicatorCode]])</f>
        <v>99.756410256410263</v>
      </c>
      <c r="I994" cm="1">
        <f t="array" ref="I994">_xlfn.STDEV.P(IF(Table1[IndicatorCode]=Table1[[#This Row],[IndicatorCode]],Table1[value]))</f>
        <v>1.1047979755287356</v>
      </c>
      <c r="J994">
        <f>(Table1[[#This Row],[value]] - Table1[[#This Row],[mean]]) / Table1[[#This Row],[std_dev]]</f>
        <v>0.22048351733552002</v>
      </c>
      <c r="K994">
        <f>AVERAGEIF(Table1[CountryCode],Table1[[#This Row],[CountryCode]],Table1[z-score])</f>
        <v>0.20445029067007053</v>
      </c>
      <c r="L994" t="e">
        <f>VLOOKUP(Table1[[#This Row],[CountryCode]],[1]!Table1[#All],1,FALSE)</f>
        <v>#REF!</v>
      </c>
    </row>
    <row r="995" spans="1:12" hidden="1" x14ac:dyDescent="0.3">
      <c r="A995" t="s">
        <v>69</v>
      </c>
      <c r="B995" t="s">
        <v>70</v>
      </c>
      <c r="C995" t="s">
        <v>9</v>
      </c>
      <c r="D995" t="s">
        <v>10</v>
      </c>
      <c r="E995">
        <v>1992</v>
      </c>
      <c r="F995" s="1">
        <v>100</v>
      </c>
      <c r="G995">
        <v>1990</v>
      </c>
      <c r="H995">
        <f>AVERAGEIFS(Table1[value],Table1[IndicatorCode],Table1[[#This Row],[IndicatorCode]])</f>
        <v>99.756410256410263</v>
      </c>
      <c r="I995" cm="1">
        <f t="array" ref="I995">_xlfn.STDEV.P(IF(Table1[IndicatorCode]=Table1[[#This Row],[IndicatorCode]],Table1[value]))</f>
        <v>1.1047979755287356</v>
      </c>
      <c r="J995">
        <f>(Table1[[#This Row],[value]] - Table1[[#This Row],[mean]]) / Table1[[#This Row],[std_dev]]</f>
        <v>0.22048351733552002</v>
      </c>
      <c r="K995">
        <f>AVERAGEIF(Table1[CountryCode],Table1[[#This Row],[CountryCode]],Table1[z-score])</f>
        <v>0.20445029067007053</v>
      </c>
      <c r="L995" t="e">
        <f>VLOOKUP(Table1[[#This Row],[CountryCode]],[1]!Table1[#All],1,FALSE)</f>
        <v>#REF!</v>
      </c>
    </row>
    <row r="996" spans="1:12" hidden="1" x14ac:dyDescent="0.3">
      <c r="A996" t="s">
        <v>69</v>
      </c>
      <c r="B996" t="s">
        <v>70</v>
      </c>
      <c r="C996" t="s">
        <v>9</v>
      </c>
      <c r="D996" t="s">
        <v>10</v>
      </c>
      <c r="E996">
        <v>1993</v>
      </c>
      <c r="F996" s="1">
        <v>100</v>
      </c>
      <c r="G996">
        <v>1990</v>
      </c>
      <c r="H996">
        <f>AVERAGEIFS(Table1[value],Table1[IndicatorCode],Table1[[#This Row],[IndicatorCode]])</f>
        <v>99.756410256410263</v>
      </c>
      <c r="I996" cm="1">
        <f t="array" ref="I996">_xlfn.STDEV.P(IF(Table1[IndicatorCode]=Table1[[#This Row],[IndicatorCode]],Table1[value]))</f>
        <v>1.1047979755287356</v>
      </c>
      <c r="J996">
        <f>(Table1[[#This Row],[value]] - Table1[[#This Row],[mean]]) / Table1[[#This Row],[std_dev]]</f>
        <v>0.22048351733552002</v>
      </c>
      <c r="K996">
        <f>AVERAGEIF(Table1[CountryCode],Table1[[#This Row],[CountryCode]],Table1[z-score])</f>
        <v>0.20445029067007053</v>
      </c>
      <c r="L996" t="e">
        <f>VLOOKUP(Table1[[#This Row],[CountryCode]],[1]!Table1[#All],1,FALSE)</f>
        <v>#REF!</v>
      </c>
    </row>
    <row r="997" spans="1:12" hidden="1" x14ac:dyDescent="0.3">
      <c r="A997" t="s">
        <v>69</v>
      </c>
      <c r="B997" t="s">
        <v>70</v>
      </c>
      <c r="C997" t="s">
        <v>9</v>
      </c>
      <c r="D997" t="s">
        <v>10</v>
      </c>
      <c r="E997">
        <v>1994</v>
      </c>
      <c r="F997" s="1">
        <v>100</v>
      </c>
      <c r="G997">
        <v>1990</v>
      </c>
      <c r="H997">
        <f>AVERAGEIFS(Table1[value],Table1[IndicatorCode],Table1[[#This Row],[IndicatorCode]])</f>
        <v>99.756410256410263</v>
      </c>
      <c r="I997" cm="1">
        <f t="array" ref="I997">_xlfn.STDEV.P(IF(Table1[IndicatorCode]=Table1[[#This Row],[IndicatorCode]],Table1[value]))</f>
        <v>1.1047979755287356</v>
      </c>
      <c r="J997">
        <f>(Table1[[#This Row],[value]] - Table1[[#This Row],[mean]]) / Table1[[#This Row],[std_dev]]</f>
        <v>0.22048351733552002</v>
      </c>
      <c r="K997">
        <f>AVERAGEIF(Table1[CountryCode],Table1[[#This Row],[CountryCode]],Table1[z-score])</f>
        <v>0.20445029067007053</v>
      </c>
      <c r="L997" t="e">
        <f>VLOOKUP(Table1[[#This Row],[CountryCode]],[1]!Table1[#All],1,FALSE)</f>
        <v>#REF!</v>
      </c>
    </row>
    <row r="998" spans="1:12" hidden="1" x14ac:dyDescent="0.3">
      <c r="A998" t="s">
        <v>69</v>
      </c>
      <c r="B998" t="s">
        <v>70</v>
      </c>
      <c r="C998" t="s">
        <v>9</v>
      </c>
      <c r="D998" t="s">
        <v>10</v>
      </c>
      <c r="E998">
        <v>1995</v>
      </c>
      <c r="F998" s="1">
        <v>100</v>
      </c>
      <c r="G998">
        <v>1990</v>
      </c>
      <c r="H998">
        <f>AVERAGEIFS(Table1[value],Table1[IndicatorCode],Table1[[#This Row],[IndicatorCode]])</f>
        <v>99.756410256410263</v>
      </c>
      <c r="I998" cm="1">
        <f t="array" ref="I998">_xlfn.STDEV.P(IF(Table1[IndicatorCode]=Table1[[#This Row],[IndicatorCode]],Table1[value]))</f>
        <v>1.1047979755287356</v>
      </c>
      <c r="J998">
        <f>(Table1[[#This Row],[value]] - Table1[[#This Row],[mean]]) / Table1[[#This Row],[std_dev]]</f>
        <v>0.22048351733552002</v>
      </c>
      <c r="K998">
        <f>AVERAGEIF(Table1[CountryCode],Table1[[#This Row],[CountryCode]],Table1[z-score])</f>
        <v>0.20445029067007053</v>
      </c>
      <c r="L998" t="e">
        <f>VLOOKUP(Table1[[#This Row],[CountryCode]],[1]!Table1[#All],1,FALSE)</f>
        <v>#REF!</v>
      </c>
    </row>
    <row r="999" spans="1:12" hidden="1" x14ac:dyDescent="0.3">
      <c r="A999" t="s">
        <v>69</v>
      </c>
      <c r="B999" t="s">
        <v>70</v>
      </c>
      <c r="C999" t="s">
        <v>9</v>
      </c>
      <c r="D999" t="s">
        <v>10</v>
      </c>
      <c r="E999">
        <v>1996</v>
      </c>
      <c r="F999" s="1">
        <v>100</v>
      </c>
      <c r="G999">
        <v>1990</v>
      </c>
      <c r="H999">
        <f>AVERAGEIFS(Table1[value],Table1[IndicatorCode],Table1[[#This Row],[IndicatorCode]])</f>
        <v>99.756410256410263</v>
      </c>
      <c r="I999" cm="1">
        <f t="array" ref="I999">_xlfn.STDEV.P(IF(Table1[IndicatorCode]=Table1[[#This Row],[IndicatorCode]],Table1[value]))</f>
        <v>1.1047979755287356</v>
      </c>
      <c r="J999">
        <f>(Table1[[#This Row],[value]] - Table1[[#This Row],[mean]]) / Table1[[#This Row],[std_dev]]</f>
        <v>0.22048351733552002</v>
      </c>
      <c r="K999">
        <f>AVERAGEIF(Table1[CountryCode],Table1[[#This Row],[CountryCode]],Table1[z-score])</f>
        <v>0.20445029067007053</v>
      </c>
      <c r="L999" t="e">
        <f>VLOOKUP(Table1[[#This Row],[CountryCode]],[1]!Table1[#All],1,FALSE)</f>
        <v>#REF!</v>
      </c>
    </row>
    <row r="1000" spans="1:12" hidden="1" x14ac:dyDescent="0.3">
      <c r="A1000" t="s">
        <v>69</v>
      </c>
      <c r="B1000" t="s">
        <v>70</v>
      </c>
      <c r="C1000" t="s">
        <v>9</v>
      </c>
      <c r="D1000" t="s">
        <v>10</v>
      </c>
      <c r="E1000">
        <v>1997</v>
      </c>
      <c r="F1000" s="1">
        <v>100</v>
      </c>
      <c r="G1000">
        <v>2000</v>
      </c>
      <c r="H1000">
        <f>AVERAGEIFS(Table1[value],Table1[IndicatorCode],Table1[[#This Row],[IndicatorCode]])</f>
        <v>99.756410256410263</v>
      </c>
      <c r="I1000" cm="1">
        <f t="array" ref="I1000">_xlfn.STDEV.P(IF(Table1[IndicatorCode]=Table1[[#This Row],[IndicatorCode]],Table1[value]))</f>
        <v>1.1047979755287356</v>
      </c>
      <c r="J1000">
        <f>(Table1[[#This Row],[value]] - Table1[[#This Row],[mean]]) / Table1[[#This Row],[std_dev]]</f>
        <v>0.22048351733552002</v>
      </c>
      <c r="K1000">
        <f>AVERAGEIF(Table1[CountryCode],Table1[[#This Row],[CountryCode]],Table1[z-score])</f>
        <v>0.20445029067007053</v>
      </c>
      <c r="L1000" t="e">
        <f>VLOOKUP(Table1[[#This Row],[CountryCode]],[1]!Table1[#All],1,FALSE)</f>
        <v>#REF!</v>
      </c>
    </row>
    <row r="1001" spans="1:12" hidden="1" x14ac:dyDescent="0.3">
      <c r="A1001" t="s">
        <v>69</v>
      </c>
      <c r="B1001" t="s">
        <v>70</v>
      </c>
      <c r="C1001" t="s">
        <v>9</v>
      </c>
      <c r="D1001" t="s">
        <v>10</v>
      </c>
      <c r="E1001">
        <v>1998</v>
      </c>
      <c r="F1001" s="1">
        <v>100</v>
      </c>
      <c r="G1001">
        <v>2000</v>
      </c>
      <c r="H1001">
        <f>AVERAGEIFS(Table1[value],Table1[IndicatorCode],Table1[[#This Row],[IndicatorCode]])</f>
        <v>99.756410256410263</v>
      </c>
      <c r="I1001" cm="1">
        <f t="array" ref="I1001">_xlfn.STDEV.P(IF(Table1[IndicatorCode]=Table1[[#This Row],[IndicatorCode]],Table1[value]))</f>
        <v>1.1047979755287356</v>
      </c>
      <c r="J1001">
        <f>(Table1[[#This Row],[value]] - Table1[[#This Row],[mean]]) / Table1[[#This Row],[std_dev]]</f>
        <v>0.22048351733552002</v>
      </c>
      <c r="K1001">
        <f>AVERAGEIF(Table1[CountryCode],Table1[[#This Row],[CountryCode]],Table1[z-score])</f>
        <v>0.20445029067007053</v>
      </c>
      <c r="L1001" t="e">
        <f>VLOOKUP(Table1[[#This Row],[CountryCode]],[1]!Table1[#All],1,FALSE)</f>
        <v>#REF!</v>
      </c>
    </row>
    <row r="1002" spans="1:12" hidden="1" x14ac:dyDescent="0.3">
      <c r="A1002" t="s">
        <v>69</v>
      </c>
      <c r="B1002" t="s">
        <v>70</v>
      </c>
      <c r="C1002" t="s">
        <v>9</v>
      </c>
      <c r="D1002" t="s">
        <v>10</v>
      </c>
      <c r="E1002">
        <v>1999</v>
      </c>
      <c r="F1002" s="1">
        <v>100</v>
      </c>
      <c r="G1002">
        <v>2000</v>
      </c>
      <c r="H1002">
        <f>AVERAGEIFS(Table1[value],Table1[IndicatorCode],Table1[[#This Row],[IndicatorCode]])</f>
        <v>99.756410256410263</v>
      </c>
      <c r="I1002" cm="1">
        <f t="array" ref="I1002">_xlfn.STDEV.P(IF(Table1[IndicatorCode]=Table1[[#This Row],[IndicatorCode]],Table1[value]))</f>
        <v>1.1047979755287356</v>
      </c>
      <c r="J1002">
        <f>(Table1[[#This Row],[value]] - Table1[[#This Row],[mean]]) / Table1[[#This Row],[std_dev]]</f>
        <v>0.22048351733552002</v>
      </c>
      <c r="K1002">
        <f>AVERAGEIF(Table1[CountryCode],Table1[[#This Row],[CountryCode]],Table1[z-score])</f>
        <v>0.20445029067007053</v>
      </c>
      <c r="L1002" t="e">
        <f>VLOOKUP(Table1[[#This Row],[CountryCode]],[1]!Table1[#All],1,FALSE)</f>
        <v>#REF!</v>
      </c>
    </row>
    <row r="1003" spans="1:12" hidden="1" x14ac:dyDescent="0.3">
      <c r="A1003" t="s">
        <v>69</v>
      </c>
      <c r="B1003" t="s">
        <v>70</v>
      </c>
      <c r="C1003" t="s">
        <v>9</v>
      </c>
      <c r="D1003" t="s">
        <v>10</v>
      </c>
      <c r="E1003">
        <v>2000</v>
      </c>
      <c r="F1003" s="1">
        <v>100</v>
      </c>
      <c r="G1003">
        <v>2000</v>
      </c>
      <c r="H1003">
        <f>AVERAGEIFS(Table1[value],Table1[IndicatorCode],Table1[[#This Row],[IndicatorCode]])</f>
        <v>99.756410256410263</v>
      </c>
      <c r="I1003" cm="1">
        <f t="array" ref="I1003">_xlfn.STDEV.P(IF(Table1[IndicatorCode]=Table1[[#This Row],[IndicatorCode]],Table1[value]))</f>
        <v>1.1047979755287356</v>
      </c>
      <c r="J1003">
        <f>(Table1[[#This Row],[value]] - Table1[[#This Row],[mean]]) / Table1[[#This Row],[std_dev]]</f>
        <v>0.22048351733552002</v>
      </c>
      <c r="K1003">
        <f>AVERAGEIF(Table1[CountryCode],Table1[[#This Row],[CountryCode]],Table1[z-score])</f>
        <v>0.20445029067007053</v>
      </c>
      <c r="L1003" t="e">
        <f>VLOOKUP(Table1[[#This Row],[CountryCode]],[1]!Table1[#All],1,FALSE)</f>
        <v>#REF!</v>
      </c>
    </row>
    <row r="1004" spans="1:12" hidden="1" x14ac:dyDescent="0.3">
      <c r="A1004" t="s">
        <v>69</v>
      </c>
      <c r="B1004" t="s">
        <v>70</v>
      </c>
      <c r="C1004" t="s">
        <v>9</v>
      </c>
      <c r="D1004" t="s">
        <v>10</v>
      </c>
      <c r="E1004">
        <v>2001</v>
      </c>
      <c r="F1004" s="1">
        <v>100</v>
      </c>
      <c r="G1004">
        <v>2000</v>
      </c>
      <c r="H1004">
        <f>AVERAGEIFS(Table1[value],Table1[IndicatorCode],Table1[[#This Row],[IndicatorCode]])</f>
        <v>99.756410256410263</v>
      </c>
      <c r="I1004" cm="1">
        <f t="array" ref="I1004">_xlfn.STDEV.P(IF(Table1[IndicatorCode]=Table1[[#This Row],[IndicatorCode]],Table1[value]))</f>
        <v>1.1047979755287356</v>
      </c>
      <c r="J1004">
        <f>(Table1[[#This Row],[value]] - Table1[[#This Row],[mean]]) / Table1[[#This Row],[std_dev]]</f>
        <v>0.22048351733552002</v>
      </c>
      <c r="K1004">
        <f>AVERAGEIF(Table1[CountryCode],Table1[[#This Row],[CountryCode]],Table1[z-score])</f>
        <v>0.20445029067007053</v>
      </c>
      <c r="L1004" t="e">
        <f>VLOOKUP(Table1[[#This Row],[CountryCode]],[1]!Table1[#All],1,FALSE)</f>
        <v>#REF!</v>
      </c>
    </row>
    <row r="1005" spans="1:12" hidden="1" x14ac:dyDescent="0.3">
      <c r="A1005" t="s">
        <v>69</v>
      </c>
      <c r="B1005" t="s">
        <v>70</v>
      </c>
      <c r="C1005" t="s">
        <v>9</v>
      </c>
      <c r="D1005" t="s">
        <v>10</v>
      </c>
      <c r="E1005">
        <v>2002</v>
      </c>
      <c r="F1005" s="1">
        <v>100</v>
      </c>
      <c r="G1005">
        <v>2000</v>
      </c>
      <c r="H1005">
        <f>AVERAGEIFS(Table1[value],Table1[IndicatorCode],Table1[[#This Row],[IndicatorCode]])</f>
        <v>99.756410256410263</v>
      </c>
      <c r="I1005" cm="1">
        <f t="array" ref="I1005">_xlfn.STDEV.P(IF(Table1[IndicatorCode]=Table1[[#This Row],[IndicatorCode]],Table1[value]))</f>
        <v>1.1047979755287356</v>
      </c>
      <c r="J1005">
        <f>(Table1[[#This Row],[value]] - Table1[[#This Row],[mean]]) / Table1[[#This Row],[std_dev]]</f>
        <v>0.22048351733552002</v>
      </c>
      <c r="K1005">
        <f>AVERAGEIF(Table1[CountryCode],Table1[[#This Row],[CountryCode]],Table1[z-score])</f>
        <v>0.20445029067007053</v>
      </c>
      <c r="L1005" t="e">
        <f>VLOOKUP(Table1[[#This Row],[CountryCode]],[1]!Table1[#All],1,FALSE)</f>
        <v>#REF!</v>
      </c>
    </row>
    <row r="1006" spans="1:12" hidden="1" x14ac:dyDescent="0.3">
      <c r="A1006" t="s">
        <v>69</v>
      </c>
      <c r="B1006" t="s">
        <v>70</v>
      </c>
      <c r="C1006" t="s">
        <v>9</v>
      </c>
      <c r="D1006" t="s">
        <v>10</v>
      </c>
      <c r="E1006">
        <v>2003</v>
      </c>
      <c r="F1006" s="1">
        <v>100</v>
      </c>
      <c r="G1006">
        <v>2000</v>
      </c>
      <c r="H1006">
        <f>AVERAGEIFS(Table1[value],Table1[IndicatorCode],Table1[[#This Row],[IndicatorCode]])</f>
        <v>99.756410256410263</v>
      </c>
      <c r="I1006" cm="1">
        <f t="array" ref="I1006">_xlfn.STDEV.P(IF(Table1[IndicatorCode]=Table1[[#This Row],[IndicatorCode]],Table1[value]))</f>
        <v>1.1047979755287356</v>
      </c>
      <c r="J1006">
        <f>(Table1[[#This Row],[value]] - Table1[[#This Row],[mean]]) / Table1[[#This Row],[std_dev]]</f>
        <v>0.22048351733552002</v>
      </c>
      <c r="K1006">
        <f>AVERAGEIF(Table1[CountryCode],Table1[[#This Row],[CountryCode]],Table1[z-score])</f>
        <v>0.20445029067007053</v>
      </c>
      <c r="L1006" t="e">
        <f>VLOOKUP(Table1[[#This Row],[CountryCode]],[1]!Table1[#All],1,FALSE)</f>
        <v>#REF!</v>
      </c>
    </row>
    <row r="1007" spans="1:12" hidden="1" x14ac:dyDescent="0.3">
      <c r="A1007" t="s">
        <v>69</v>
      </c>
      <c r="B1007" t="s">
        <v>70</v>
      </c>
      <c r="C1007" t="s">
        <v>9</v>
      </c>
      <c r="D1007" t="s">
        <v>10</v>
      </c>
      <c r="E1007">
        <v>2004</v>
      </c>
      <c r="F1007" s="1">
        <v>100</v>
      </c>
      <c r="G1007">
        <v>2000</v>
      </c>
      <c r="H1007">
        <f>AVERAGEIFS(Table1[value],Table1[IndicatorCode],Table1[[#This Row],[IndicatorCode]])</f>
        <v>99.756410256410263</v>
      </c>
      <c r="I1007" cm="1">
        <f t="array" ref="I1007">_xlfn.STDEV.P(IF(Table1[IndicatorCode]=Table1[[#This Row],[IndicatorCode]],Table1[value]))</f>
        <v>1.1047979755287356</v>
      </c>
      <c r="J1007">
        <f>(Table1[[#This Row],[value]] - Table1[[#This Row],[mean]]) / Table1[[#This Row],[std_dev]]</f>
        <v>0.22048351733552002</v>
      </c>
      <c r="K1007">
        <f>AVERAGEIF(Table1[CountryCode],Table1[[#This Row],[CountryCode]],Table1[z-score])</f>
        <v>0.20445029067007053</v>
      </c>
      <c r="L1007" t="e">
        <f>VLOOKUP(Table1[[#This Row],[CountryCode]],[1]!Table1[#All],1,FALSE)</f>
        <v>#REF!</v>
      </c>
    </row>
    <row r="1008" spans="1:12" hidden="1" x14ac:dyDescent="0.3">
      <c r="A1008" t="s">
        <v>69</v>
      </c>
      <c r="B1008" t="s">
        <v>70</v>
      </c>
      <c r="C1008" t="s">
        <v>9</v>
      </c>
      <c r="D1008" t="s">
        <v>10</v>
      </c>
      <c r="E1008">
        <v>2005</v>
      </c>
      <c r="F1008" s="1">
        <v>100</v>
      </c>
      <c r="G1008">
        <v>2000</v>
      </c>
      <c r="H1008">
        <f>AVERAGEIFS(Table1[value],Table1[IndicatorCode],Table1[[#This Row],[IndicatorCode]])</f>
        <v>99.756410256410263</v>
      </c>
      <c r="I1008" cm="1">
        <f t="array" ref="I1008">_xlfn.STDEV.P(IF(Table1[IndicatorCode]=Table1[[#This Row],[IndicatorCode]],Table1[value]))</f>
        <v>1.1047979755287356</v>
      </c>
      <c r="J1008">
        <f>(Table1[[#This Row],[value]] - Table1[[#This Row],[mean]]) / Table1[[#This Row],[std_dev]]</f>
        <v>0.22048351733552002</v>
      </c>
      <c r="K1008">
        <f>AVERAGEIF(Table1[CountryCode],Table1[[#This Row],[CountryCode]],Table1[z-score])</f>
        <v>0.20445029067007053</v>
      </c>
      <c r="L1008" t="e">
        <f>VLOOKUP(Table1[[#This Row],[CountryCode]],[1]!Table1[#All],1,FALSE)</f>
        <v>#REF!</v>
      </c>
    </row>
    <row r="1009" spans="1:12" hidden="1" x14ac:dyDescent="0.3">
      <c r="A1009" t="s">
        <v>69</v>
      </c>
      <c r="B1009" t="s">
        <v>70</v>
      </c>
      <c r="C1009" t="s">
        <v>9</v>
      </c>
      <c r="D1009" t="s">
        <v>10</v>
      </c>
      <c r="E1009">
        <v>2006</v>
      </c>
      <c r="F1009" s="1">
        <v>100</v>
      </c>
      <c r="G1009">
        <v>2000</v>
      </c>
      <c r="H1009">
        <f>AVERAGEIFS(Table1[value],Table1[IndicatorCode],Table1[[#This Row],[IndicatorCode]])</f>
        <v>99.756410256410263</v>
      </c>
      <c r="I1009" cm="1">
        <f t="array" ref="I1009">_xlfn.STDEV.P(IF(Table1[IndicatorCode]=Table1[[#This Row],[IndicatorCode]],Table1[value]))</f>
        <v>1.1047979755287356</v>
      </c>
      <c r="J1009">
        <f>(Table1[[#This Row],[value]] - Table1[[#This Row],[mean]]) / Table1[[#This Row],[std_dev]]</f>
        <v>0.22048351733552002</v>
      </c>
      <c r="K1009">
        <f>AVERAGEIF(Table1[CountryCode],Table1[[#This Row],[CountryCode]],Table1[z-score])</f>
        <v>0.20445029067007053</v>
      </c>
      <c r="L1009" t="e">
        <f>VLOOKUP(Table1[[#This Row],[CountryCode]],[1]!Table1[#All],1,FALSE)</f>
        <v>#REF!</v>
      </c>
    </row>
    <row r="1010" spans="1:12" hidden="1" x14ac:dyDescent="0.3">
      <c r="A1010" t="s">
        <v>69</v>
      </c>
      <c r="B1010" t="s">
        <v>70</v>
      </c>
      <c r="C1010" t="s">
        <v>9</v>
      </c>
      <c r="D1010" t="s">
        <v>10</v>
      </c>
      <c r="E1010">
        <v>2007</v>
      </c>
      <c r="F1010" s="1">
        <v>100</v>
      </c>
      <c r="G1010">
        <v>2010</v>
      </c>
      <c r="H1010">
        <f>AVERAGEIFS(Table1[value],Table1[IndicatorCode],Table1[[#This Row],[IndicatorCode]])</f>
        <v>99.756410256410263</v>
      </c>
      <c r="I1010" cm="1">
        <f t="array" ref="I1010">_xlfn.STDEV.P(IF(Table1[IndicatorCode]=Table1[[#This Row],[IndicatorCode]],Table1[value]))</f>
        <v>1.1047979755287356</v>
      </c>
      <c r="J1010">
        <f>(Table1[[#This Row],[value]] - Table1[[#This Row],[mean]]) / Table1[[#This Row],[std_dev]]</f>
        <v>0.22048351733552002</v>
      </c>
      <c r="K1010">
        <f>AVERAGEIF(Table1[CountryCode],Table1[[#This Row],[CountryCode]],Table1[z-score])</f>
        <v>0.20445029067007053</v>
      </c>
      <c r="L1010" t="e">
        <f>VLOOKUP(Table1[[#This Row],[CountryCode]],[1]!Table1[#All],1,FALSE)</f>
        <v>#REF!</v>
      </c>
    </row>
    <row r="1011" spans="1:12" hidden="1" x14ac:dyDescent="0.3">
      <c r="A1011" t="s">
        <v>69</v>
      </c>
      <c r="B1011" t="s">
        <v>70</v>
      </c>
      <c r="C1011" t="s">
        <v>9</v>
      </c>
      <c r="D1011" t="s">
        <v>10</v>
      </c>
      <c r="E1011">
        <v>2008</v>
      </c>
      <c r="F1011" s="1">
        <v>100</v>
      </c>
      <c r="G1011">
        <v>2010</v>
      </c>
      <c r="H1011">
        <f>AVERAGEIFS(Table1[value],Table1[IndicatorCode],Table1[[#This Row],[IndicatorCode]])</f>
        <v>99.756410256410263</v>
      </c>
      <c r="I1011" cm="1">
        <f t="array" ref="I1011">_xlfn.STDEV.P(IF(Table1[IndicatorCode]=Table1[[#This Row],[IndicatorCode]],Table1[value]))</f>
        <v>1.1047979755287356</v>
      </c>
      <c r="J1011">
        <f>(Table1[[#This Row],[value]] - Table1[[#This Row],[mean]]) / Table1[[#This Row],[std_dev]]</f>
        <v>0.22048351733552002</v>
      </c>
      <c r="K1011">
        <f>AVERAGEIF(Table1[CountryCode],Table1[[#This Row],[CountryCode]],Table1[z-score])</f>
        <v>0.20445029067007053</v>
      </c>
      <c r="L1011" t="e">
        <f>VLOOKUP(Table1[[#This Row],[CountryCode]],[1]!Table1[#All],1,FALSE)</f>
        <v>#REF!</v>
      </c>
    </row>
    <row r="1012" spans="1:12" hidden="1" x14ac:dyDescent="0.3">
      <c r="A1012" t="s">
        <v>69</v>
      </c>
      <c r="B1012" t="s">
        <v>70</v>
      </c>
      <c r="C1012" t="s">
        <v>9</v>
      </c>
      <c r="D1012" t="s">
        <v>10</v>
      </c>
      <c r="E1012">
        <v>2009</v>
      </c>
      <c r="F1012" s="1">
        <v>100</v>
      </c>
      <c r="G1012">
        <v>2010</v>
      </c>
      <c r="H1012">
        <f>AVERAGEIFS(Table1[value],Table1[IndicatorCode],Table1[[#This Row],[IndicatorCode]])</f>
        <v>99.756410256410263</v>
      </c>
      <c r="I1012" cm="1">
        <f t="array" ref="I1012">_xlfn.STDEV.P(IF(Table1[IndicatorCode]=Table1[[#This Row],[IndicatorCode]],Table1[value]))</f>
        <v>1.1047979755287356</v>
      </c>
      <c r="J1012">
        <f>(Table1[[#This Row],[value]] - Table1[[#This Row],[mean]]) / Table1[[#This Row],[std_dev]]</f>
        <v>0.22048351733552002</v>
      </c>
      <c r="K1012">
        <f>AVERAGEIF(Table1[CountryCode],Table1[[#This Row],[CountryCode]],Table1[z-score])</f>
        <v>0.20445029067007053</v>
      </c>
      <c r="L1012" t="e">
        <f>VLOOKUP(Table1[[#This Row],[CountryCode]],[1]!Table1[#All],1,FALSE)</f>
        <v>#REF!</v>
      </c>
    </row>
    <row r="1013" spans="1:12" hidden="1" x14ac:dyDescent="0.3">
      <c r="A1013" t="s">
        <v>69</v>
      </c>
      <c r="B1013" t="s">
        <v>70</v>
      </c>
      <c r="C1013" t="s">
        <v>9</v>
      </c>
      <c r="D1013" t="s">
        <v>10</v>
      </c>
      <c r="E1013">
        <v>2010</v>
      </c>
      <c r="F1013" s="1">
        <v>100</v>
      </c>
      <c r="G1013">
        <v>2010</v>
      </c>
      <c r="H1013">
        <f>AVERAGEIFS(Table1[value],Table1[IndicatorCode],Table1[[#This Row],[IndicatorCode]])</f>
        <v>99.756410256410263</v>
      </c>
      <c r="I1013" cm="1">
        <f t="array" ref="I1013">_xlfn.STDEV.P(IF(Table1[IndicatorCode]=Table1[[#This Row],[IndicatorCode]],Table1[value]))</f>
        <v>1.1047979755287356</v>
      </c>
      <c r="J1013">
        <f>(Table1[[#This Row],[value]] - Table1[[#This Row],[mean]]) / Table1[[#This Row],[std_dev]]</f>
        <v>0.22048351733552002</v>
      </c>
      <c r="K1013">
        <f>AVERAGEIF(Table1[CountryCode],Table1[[#This Row],[CountryCode]],Table1[z-score])</f>
        <v>0.20445029067007053</v>
      </c>
      <c r="L1013" t="e">
        <f>VLOOKUP(Table1[[#This Row],[CountryCode]],[1]!Table1[#All],1,FALSE)</f>
        <v>#REF!</v>
      </c>
    </row>
    <row r="1014" spans="1:12" hidden="1" x14ac:dyDescent="0.3">
      <c r="A1014" t="s">
        <v>69</v>
      </c>
      <c r="B1014" t="s">
        <v>70</v>
      </c>
      <c r="C1014" t="s">
        <v>9</v>
      </c>
      <c r="D1014" t="s">
        <v>10</v>
      </c>
      <c r="E1014">
        <v>2011</v>
      </c>
      <c r="F1014" s="1">
        <v>100</v>
      </c>
      <c r="G1014">
        <v>2010</v>
      </c>
      <c r="H1014">
        <f>AVERAGEIFS(Table1[value],Table1[IndicatorCode],Table1[[#This Row],[IndicatorCode]])</f>
        <v>99.756410256410263</v>
      </c>
      <c r="I1014" cm="1">
        <f t="array" ref="I1014">_xlfn.STDEV.P(IF(Table1[IndicatorCode]=Table1[[#This Row],[IndicatorCode]],Table1[value]))</f>
        <v>1.1047979755287356</v>
      </c>
      <c r="J1014">
        <f>(Table1[[#This Row],[value]] - Table1[[#This Row],[mean]]) / Table1[[#This Row],[std_dev]]</f>
        <v>0.22048351733552002</v>
      </c>
      <c r="K1014">
        <f>AVERAGEIF(Table1[CountryCode],Table1[[#This Row],[CountryCode]],Table1[z-score])</f>
        <v>0.20445029067007053</v>
      </c>
      <c r="L1014" t="e">
        <f>VLOOKUP(Table1[[#This Row],[CountryCode]],[1]!Table1[#All],1,FALSE)</f>
        <v>#REF!</v>
      </c>
    </row>
    <row r="1015" spans="1:12" hidden="1" x14ac:dyDescent="0.3">
      <c r="A1015" t="s">
        <v>69</v>
      </c>
      <c r="B1015" t="s">
        <v>70</v>
      </c>
      <c r="C1015" t="s">
        <v>9</v>
      </c>
      <c r="D1015" t="s">
        <v>10</v>
      </c>
      <c r="E1015">
        <v>2012</v>
      </c>
      <c r="F1015" s="1">
        <v>100</v>
      </c>
      <c r="G1015">
        <v>2010</v>
      </c>
      <c r="H1015">
        <f>AVERAGEIFS(Table1[value],Table1[IndicatorCode],Table1[[#This Row],[IndicatorCode]])</f>
        <v>99.756410256410263</v>
      </c>
      <c r="I1015" cm="1">
        <f t="array" ref="I1015">_xlfn.STDEV.P(IF(Table1[IndicatorCode]=Table1[[#This Row],[IndicatorCode]],Table1[value]))</f>
        <v>1.1047979755287356</v>
      </c>
      <c r="J1015">
        <f>(Table1[[#This Row],[value]] - Table1[[#This Row],[mean]]) / Table1[[#This Row],[std_dev]]</f>
        <v>0.22048351733552002</v>
      </c>
      <c r="K1015">
        <f>AVERAGEIF(Table1[CountryCode],Table1[[#This Row],[CountryCode]],Table1[z-score])</f>
        <v>0.20445029067007053</v>
      </c>
      <c r="L1015" t="e">
        <f>VLOOKUP(Table1[[#This Row],[CountryCode]],[1]!Table1[#All],1,FALSE)</f>
        <v>#REF!</v>
      </c>
    </row>
    <row r="1016" spans="1:12" hidden="1" x14ac:dyDescent="0.3">
      <c r="A1016" t="s">
        <v>69</v>
      </c>
      <c r="B1016" t="s">
        <v>70</v>
      </c>
      <c r="C1016" t="s">
        <v>9</v>
      </c>
      <c r="D1016" t="s">
        <v>10</v>
      </c>
      <c r="E1016">
        <v>2013</v>
      </c>
      <c r="F1016" s="1">
        <v>100</v>
      </c>
      <c r="G1016">
        <v>2010</v>
      </c>
      <c r="H1016">
        <f>AVERAGEIFS(Table1[value],Table1[IndicatorCode],Table1[[#This Row],[IndicatorCode]])</f>
        <v>99.756410256410263</v>
      </c>
      <c r="I1016" cm="1">
        <f t="array" ref="I1016">_xlfn.STDEV.P(IF(Table1[IndicatorCode]=Table1[[#This Row],[IndicatorCode]],Table1[value]))</f>
        <v>1.1047979755287356</v>
      </c>
      <c r="J1016">
        <f>(Table1[[#This Row],[value]] - Table1[[#This Row],[mean]]) / Table1[[#This Row],[std_dev]]</f>
        <v>0.22048351733552002</v>
      </c>
      <c r="K1016">
        <f>AVERAGEIF(Table1[CountryCode],Table1[[#This Row],[CountryCode]],Table1[z-score])</f>
        <v>0.20445029067007053</v>
      </c>
      <c r="L1016" t="e">
        <f>VLOOKUP(Table1[[#This Row],[CountryCode]],[1]!Table1[#All],1,FALSE)</f>
        <v>#REF!</v>
      </c>
    </row>
    <row r="1017" spans="1:12" hidden="1" x14ac:dyDescent="0.3">
      <c r="A1017" t="s">
        <v>69</v>
      </c>
      <c r="B1017" t="s">
        <v>70</v>
      </c>
      <c r="C1017" t="s">
        <v>9</v>
      </c>
      <c r="D1017" t="s">
        <v>10</v>
      </c>
      <c r="E1017">
        <v>2014</v>
      </c>
      <c r="F1017" s="1">
        <v>100</v>
      </c>
      <c r="G1017">
        <v>2010</v>
      </c>
      <c r="H1017">
        <f>AVERAGEIFS(Table1[value],Table1[IndicatorCode],Table1[[#This Row],[IndicatorCode]])</f>
        <v>99.756410256410263</v>
      </c>
      <c r="I1017" cm="1">
        <f t="array" ref="I1017">_xlfn.STDEV.P(IF(Table1[IndicatorCode]=Table1[[#This Row],[IndicatorCode]],Table1[value]))</f>
        <v>1.1047979755287356</v>
      </c>
      <c r="J1017">
        <f>(Table1[[#This Row],[value]] - Table1[[#This Row],[mean]]) / Table1[[#This Row],[std_dev]]</f>
        <v>0.22048351733552002</v>
      </c>
      <c r="K1017">
        <f>AVERAGEIF(Table1[CountryCode],Table1[[#This Row],[CountryCode]],Table1[z-score])</f>
        <v>0.20445029067007053</v>
      </c>
      <c r="L1017" t="e">
        <f>VLOOKUP(Table1[[#This Row],[CountryCode]],[1]!Table1[#All],1,FALSE)</f>
        <v>#REF!</v>
      </c>
    </row>
    <row r="1018" spans="1:12" hidden="1" x14ac:dyDescent="0.3">
      <c r="A1018" t="s">
        <v>69</v>
      </c>
      <c r="B1018" t="s">
        <v>70</v>
      </c>
      <c r="C1018" t="s">
        <v>9</v>
      </c>
      <c r="D1018" t="s">
        <v>10</v>
      </c>
      <c r="E1018">
        <v>2015</v>
      </c>
      <c r="F1018" s="1">
        <v>100</v>
      </c>
      <c r="G1018">
        <v>2010</v>
      </c>
      <c r="H1018">
        <f>AVERAGEIFS(Table1[value],Table1[IndicatorCode],Table1[[#This Row],[IndicatorCode]])</f>
        <v>99.756410256410263</v>
      </c>
      <c r="I1018" cm="1">
        <f t="array" ref="I1018">_xlfn.STDEV.P(IF(Table1[IndicatorCode]=Table1[[#This Row],[IndicatorCode]],Table1[value]))</f>
        <v>1.1047979755287356</v>
      </c>
      <c r="J1018">
        <f>(Table1[[#This Row],[value]] - Table1[[#This Row],[mean]]) / Table1[[#This Row],[std_dev]]</f>
        <v>0.22048351733552002</v>
      </c>
      <c r="K1018">
        <f>AVERAGEIF(Table1[CountryCode],Table1[[#This Row],[CountryCode]],Table1[z-score])</f>
        <v>0.20445029067007053</v>
      </c>
      <c r="L1018" t="e">
        <f>VLOOKUP(Table1[[#This Row],[CountryCode]],[1]!Table1[#All],1,FALSE)</f>
        <v>#REF!</v>
      </c>
    </row>
    <row r="1019" spans="1:12" hidden="1" x14ac:dyDescent="0.3">
      <c r="A1019" t="s">
        <v>69</v>
      </c>
      <c r="B1019" t="s">
        <v>70</v>
      </c>
      <c r="C1019" t="s">
        <v>9</v>
      </c>
      <c r="D1019" t="s">
        <v>10</v>
      </c>
      <c r="E1019">
        <v>2016</v>
      </c>
      <c r="F1019" s="1">
        <v>100</v>
      </c>
      <c r="G1019">
        <v>2010</v>
      </c>
      <c r="H1019">
        <f>AVERAGEIFS(Table1[value],Table1[IndicatorCode],Table1[[#This Row],[IndicatorCode]])</f>
        <v>99.756410256410263</v>
      </c>
      <c r="I1019" cm="1">
        <f t="array" ref="I1019">_xlfn.STDEV.P(IF(Table1[IndicatorCode]=Table1[[#This Row],[IndicatorCode]],Table1[value]))</f>
        <v>1.1047979755287356</v>
      </c>
      <c r="J1019">
        <f>(Table1[[#This Row],[value]] - Table1[[#This Row],[mean]]) / Table1[[#This Row],[std_dev]]</f>
        <v>0.22048351733552002</v>
      </c>
      <c r="K1019">
        <f>AVERAGEIF(Table1[CountryCode],Table1[[#This Row],[CountryCode]],Table1[z-score])</f>
        <v>0.20445029067007053</v>
      </c>
      <c r="L1019" t="e">
        <f>VLOOKUP(Table1[[#This Row],[CountryCode]],[1]!Table1[#All],1,FALSE)</f>
        <v>#REF!</v>
      </c>
    </row>
    <row r="1020" spans="1:12" hidden="1" x14ac:dyDescent="0.3">
      <c r="A1020" t="s">
        <v>69</v>
      </c>
      <c r="B1020" t="s">
        <v>70</v>
      </c>
      <c r="C1020" t="s">
        <v>9</v>
      </c>
      <c r="D1020" t="s">
        <v>10</v>
      </c>
      <c r="E1020">
        <v>2017</v>
      </c>
      <c r="F1020" s="1">
        <v>100</v>
      </c>
      <c r="G1020">
        <v>2020</v>
      </c>
      <c r="H1020">
        <f>AVERAGEIFS(Table1[value],Table1[IndicatorCode],Table1[[#This Row],[IndicatorCode]])</f>
        <v>99.756410256410263</v>
      </c>
      <c r="I1020" cm="1">
        <f t="array" ref="I1020">_xlfn.STDEV.P(IF(Table1[IndicatorCode]=Table1[[#This Row],[IndicatorCode]],Table1[value]))</f>
        <v>1.1047979755287356</v>
      </c>
      <c r="J1020">
        <f>(Table1[[#This Row],[value]] - Table1[[#This Row],[mean]]) / Table1[[#This Row],[std_dev]]</f>
        <v>0.22048351733552002</v>
      </c>
      <c r="K1020">
        <f>AVERAGEIF(Table1[CountryCode],Table1[[#This Row],[CountryCode]],Table1[z-score])</f>
        <v>0.20445029067007053</v>
      </c>
      <c r="L1020" t="e">
        <f>VLOOKUP(Table1[[#This Row],[CountryCode]],[1]!Table1[#All],1,FALSE)</f>
        <v>#REF!</v>
      </c>
    </row>
    <row r="1021" spans="1:12" hidden="1" x14ac:dyDescent="0.3">
      <c r="A1021" t="s">
        <v>69</v>
      </c>
      <c r="B1021" t="s">
        <v>70</v>
      </c>
      <c r="C1021" t="s">
        <v>9</v>
      </c>
      <c r="D1021" t="s">
        <v>10</v>
      </c>
      <c r="E1021">
        <v>2018</v>
      </c>
      <c r="F1021" s="1">
        <v>100</v>
      </c>
      <c r="G1021">
        <v>2020</v>
      </c>
      <c r="H1021">
        <f>AVERAGEIFS(Table1[value],Table1[IndicatorCode],Table1[[#This Row],[IndicatorCode]])</f>
        <v>99.756410256410263</v>
      </c>
      <c r="I1021" cm="1">
        <f t="array" ref="I1021">_xlfn.STDEV.P(IF(Table1[IndicatorCode]=Table1[[#This Row],[IndicatorCode]],Table1[value]))</f>
        <v>1.1047979755287356</v>
      </c>
      <c r="J1021">
        <f>(Table1[[#This Row],[value]] - Table1[[#This Row],[mean]]) / Table1[[#This Row],[std_dev]]</f>
        <v>0.22048351733552002</v>
      </c>
      <c r="K1021">
        <f>AVERAGEIF(Table1[CountryCode],Table1[[#This Row],[CountryCode]],Table1[z-score])</f>
        <v>0.20445029067007053</v>
      </c>
      <c r="L1021" t="e">
        <f>VLOOKUP(Table1[[#This Row],[CountryCode]],[1]!Table1[#All],1,FALSE)</f>
        <v>#REF!</v>
      </c>
    </row>
    <row r="1022" spans="1:12" hidden="1" x14ac:dyDescent="0.3">
      <c r="A1022" t="s">
        <v>69</v>
      </c>
      <c r="B1022" t="s">
        <v>70</v>
      </c>
      <c r="C1022" t="s">
        <v>9</v>
      </c>
      <c r="D1022" t="s">
        <v>10</v>
      </c>
      <c r="E1022">
        <v>2019</v>
      </c>
      <c r="F1022" s="1">
        <v>100</v>
      </c>
      <c r="G1022">
        <v>2020</v>
      </c>
      <c r="H1022">
        <f>AVERAGEIFS(Table1[value],Table1[IndicatorCode],Table1[[#This Row],[IndicatorCode]])</f>
        <v>99.756410256410263</v>
      </c>
      <c r="I1022" cm="1">
        <f t="array" ref="I1022">_xlfn.STDEV.P(IF(Table1[IndicatorCode]=Table1[[#This Row],[IndicatorCode]],Table1[value]))</f>
        <v>1.1047979755287356</v>
      </c>
      <c r="J1022">
        <f>(Table1[[#This Row],[value]] - Table1[[#This Row],[mean]]) / Table1[[#This Row],[std_dev]]</f>
        <v>0.22048351733552002</v>
      </c>
      <c r="K1022">
        <f>AVERAGEIF(Table1[CountryCode],Table1[[#This Row],[CountryCode]],Table1[z-score])</f>
        <v>0.20445029067007053</v>
      </c>
      <c r="L1022" t="e">
        <f>VLOOKUP(Table1[[#This Row],[CountryCode]],[1]!Table1[#All],1,FALSE)</f>
        <v>#REF!</v>
      </c>
    </row>
    <row r="1023" spans="1:12" x14ac:dyDescent="0.3">
      <c r="A1023" t="s">
        <v>69</v>
      </c>
      <c r="B1023" t="s">
        <v>70</v>
      </c>
      <c r="C1023" t="s">
        <v>9</v>
      </c>
      <c r="D1023" t="s">
        <v>10</v>
      </c>
      <c r="E1023">
        <v>2020</v>
      </c>
      <c r="F1023" s="1">
        <v>100</v>
      </c>
      <c r="G1023">
        <v>2020</v>
      </c>
      <c r="H1023">
        <f>AVERAGEIFS(Table1[value],Table1[IndicatorCode],Table1[[#This Row],[IndicatorCode]])</f>
        <v>99.756410256410263</v>
      </c>
      <c r="I1023" cm="1">
        <f t="array" ref="I1023">_xlfn.STDEV.P(IF(Table1[IndicatorCode]=Table1[[#This Row],[IndicatorCode]],Table1[value]))</f>
        <v>1.1047979755287356</v>
      </c>
      <c r="J1023">
        <f>(Table1[[#This Row],[value]] - Table1[[#This Row],[mean]]) / Table1[[#This Row],[std_dev]]</f>
        <v>0.22048351733552002</v>
      </c>
      <c r="K1023">
        <f>AVERAGEIF(Table1[CountryCode],Table1[[#This Row],[CountryCode]],Table1[z-score])</f>
        <v>0.20445029067007053</v>
      </c>
    </row>
    <row r="1024" spans="1:12" hidden="1" x14ac:dyDescent="0.3">
      <c r="A1024" t="s">
        <v>69</v>
      </c>
      <c r="B1024" t="s">
        <v>70</v>
      </c>
      <c r="C1024" t="s">
        <v>9</v>
      </c>
      <c r="D1024" t="s">
        <v>10</v>
      </c>
      <c r="E1024">
        <v>2021</v>
      </c>
      <c r="F1024" s="1">
        <v>100</v>
      </c>
      <c r="G1024">
        <v>1990</v>
      </c>
      <c r="H1024">
        <f>AVERAGEIFS(Table1[value],Table1[IndicatorCode],Table1[[#This Row],[IndicatorCode]])</f>
        <v>99.756410256410263</v>
      </c>
      <c r="I1024" cm="1">
        <f t="array" ref="I1024">_xlfn.STDEV.P(IF(Table1[IndicatorCode]=Table1[[#This Row],[IndicatorCode]],Table1[value]))</f>
        <v>1.1047979755287356</v>
      </c>
      <c r="J1024">
        <f>(Table1[[#This Row],[value]] - Table1[[#This Row],[mean]]) / Table1[[#This Row],[std_dev]]</f>
        <v>0.22048351733552002</v>
      </c>
      <c r="K1024">
        <f>AVERAGEIF(Table1[CountryCode],Table1[[#This Row],[CountryCode]],Table1[z-score])</f>
        <v>0.20445029067007053</v>
      </c>
      <c r="L1024" t="e">
        <f>VLOOKUP(Table1[[#This Row],[CountryCode]],[1]!Table1[#All],1,FALSE)</f>
        <v>#REF!</v>
      </c>
    </row>
    <row r="1025" spans="1:12" hidden="1" x14ac:dyDescent="0.3">
      <c r="A1025" t="s">
        <v>69</v>
      </c>
      <c r="B1025" t="s">
        <v>70</v>
      </c>
      <c r="C1025" t="s">
        <v>9</v>
      </c>
      <c r="D1025" t="s">
        <v>10</v>
      </c>
      <c r="E1025">
        <v>2022</v>
      </c>
      <c r="F1025" s="1">
        <v>100</v>
      </c>
      <c r="G1025">
        <v>1990</v>
      </c>
      <c r="H1025">
        <f>AVERAGEIFS(Table1[value],Table1[IndicatorCode],Table1[[#This Row],[IndicatorCode]])</f>
        <v>99.756410256410263</v>
      </c>
      <c r="I1025" cm="1">
        <f t="array" ref="I1025">_xlfn.STDEV.P(IF(Table1[IndicatorCode]=Table1[[#This Row],[IndicatorCode]],Table1[value]))</f>
        <v>1.1047979755287356</v>
      </c>
      <c r="J1025">
        <f>(Table1[[#This Row],[value]] - Table1[[#This Row],[mean]]) / Table1[[#This Row],[std_dev]]</f>
        <v>0.22048351733552002</v>
      </c>
      <c r="K1025">
        <f>AVERAGEIF(Table1[CountryCode],Table1[[#This Row],[CountryCode]],Table1[z-score])</f>
        <v>0.20445029067007053</v>
      </c>
      <c r="L1025" t="e">
        <f>VLOOKUP(Table1[[#This Row],[CountryCode]],[1]!Table1[#All],1,FALSE)</f>
        <v>#REF!</v>
      </c>
    </row>
    <row r="1026" spans="1:12" hidden="1" x14ac:dyDescent="0.3">
      <c r="A1026" t="s">
        <v>69</v>
      </c>
      <c r="B1026" t="s">
        <v>70</v>
      </c>
      <c r="C1026" t="s">
        <v>9</v>
      </c>
      <c r="D1026" t="s">
        <v>10</v>
      </c>
      <c r="E1026">
        <v>2023</v>
      </c>
      <c r="F1026" s="1">
        <v>100</v>
      </c>
      <c r="G1026">
        <v>1990</v>
      </c>
      <c r="H1026">
        <f>AVERAGEIFS(Table1[value],Table1[IndicatorCode],Table1[[#This Row],[IndicatorCode]])</f>
        <v>99.756410256410263</v>
      </c>
      <c r="I1026" cm="1">
        <f t="array" ref="I1026">_xlfn.STDEV.P(IF(Table1[IndicatorCode]=Table1[[#This Row],[IndicatorCode]],Table1[value]))</f>
        <v>1.1047979755287356</v>
      </c>
      <c r="J1026">
        <f>(Table1[[#This Row],[value]] - Table1[[#This Row],[mean]]) / Table1[[#This Row],[std_dev]]</f>
        <v>0.22048351733552002</v>
      </c>
      <c r="K1026">
        <f>AVERAGEIF(Table1[CountryCode],Table1[[#This Row],[CountryCode]],Table1[z-score])</f>
        <v>0.20445029067007053</v>
      </c>
      <c r="L1026" t="e">
        <f>VLOOKUP(Table1[[#This Row],[CountryCode]],[1]!Table1[#All],1,FALSE)</f>
        <v>#REF!</v>
      </c>
    </row>
    <row r="1027" spans="1:12" hidden="1" x14ac:dyDescent="0.3">
      <c r="A1027" t="s">
        <v>71</v>
      </c>
      <c r="B1027" t="s">
        <v>72</v>
      </c>
      <c r="C1027" t="s">
        <v>9</v>
      </c>
      <c r="D1027" t="s">
        <v>10</v>
      </c>
      <c r="E1027">
        <v>1995</v>
      </c>
      <c r="F1027" s="1">
        <v>100</v>
      </c>
      <c r="G1027">
        <v>1990</v>
      </c>
      <c r="H1027">
        <f>AVERAGEIFS(Table1[value],Table1[IndicatorCode],Table1[[#This Row],[IndicatorCode]])</f>
        <v>99.756410256410263</v>
      </c>
      <c r="I1027" cm="1">
        <f t="array" ref="I1027">_xlfn.STDEV.P(IF(Table1[IndicatorCode]=Table1[[#This Row],[IndicatorCode]],Table1[value]))</f>
        <v>1.1047979755287356</v>
      </c>
      <c r="J1027">
        <f>(Table1[[#This Row],[value]] - Table1[[#This Row],[mean]]) / Table1[[#This Row],[std_dev]]</f>
        <v>0.22048351733552002</v>
      </c>
      <c r="K1027">
        <f>AVERAGEIF(Table1[CountryCode],Table1[[#This Row],[CountryCode]],Table1[z-score])</f>
        <v>-0.23196726817462951</v>
      </c>
      <c r="L1027" t="e">
        <f>VLOOKUP(Table1[[#This Row],[CountryCode]],[1]!Table1[#All],1,FALSE)</f>
        <v>#REF!</v>
      </c>
    </row>
    <row r="1028" spans="1:12" hidden="1" x14ac:dyDescent="0.3">
      <c r="A1028" t="s">
        <v>71</v>
      </c>
      <c r="B1028" t="s">
        <v>72</v>
      </c>
      <c r="C1028" t="s">
        <v>9</v>
      </c>
      <c r="D1028" t="s">
        <v>10</v>
      </c>
      <c r="E1028">
        <v>1996</v>
      </c>
      <c r="F1028" s="1">
        <v>99</v>
      </c>
      <c r="G1028">
        <v>1990</v>
      </c>
      <c r="H1028">
        <f>AVERAGEIFS(Table1[value],Table1[IndicatorCode],Table1[[#This Row],[IndicatorCode]])</f>
        <v>99.756410256410263</v>
      </c>
      <c r="I1028" cm="1">
        <f t="array" ref="I1028">_xlfn.STDEV.P(IF(Table1[IndicatorCode]=Table1[[#This Row],[IndicatorCode]],Table1[value]))</f>
        <v>1.1047979755287356</v>
      </c>
      <c r="J1028">
        <f>(Table1[[#This Row],[value]] - Table1[[#This Row],[mean]]) / Table1[[#This Row],[std_dev]]</f>
        <v>-0.68465934330505884</v>
      </c>
      <c r="K1028">
        <f>AVERAGEIF(Table1[CountryCode],Table1[[#This Row],[CountryCode]],Table1[z-score])</f>
        <v>-0.23196726817462951</v>
      </c>
      <c r="L1028" t="e">
        <f>VLOOKUP(Table1[[#This Row],[CountryCode]],[1]!Table1[#All],1,FALSE)</f>
        <v>#REF!</v>
      </c>
    </row>
    <row r="1029" spans="1:12" hidden="1" x14ac:dyDescent="0.3">
      <c r="A1029" t="s">
        <v>71</v>
      </c>
      <c r="B1029" t="s">
        <v>72</v>
      </c>
      <c r="C1029" t="s">
        <v>9</v>
      </c>
      <c r="D1029" t="s">
        <v>10</v>
      </c>
      <c r="E1029">
        <v>1997</v>
      </c>
      <c r="F1029" s="1">
        <v>99</v>
      </c>
      <c r="G1029">
        <v>2000</v>
      </c>
      <c r="H1029">
        <f>AVERAGEIFS(Table1[value],Table1[IndicatorCode],Table1[[#This Row],[IndicatorCode]])</f>
        <v>99.756410256410263</v>
      </c>
      <c r="I1029" cm="1">
        <f t="array" ref="I1029">_xlfn.STDEV.P(IF(Table1[IndicatorCode]=Table1[[#This Row],[IndicatorCode]],Table1[value]))</f>
        <v>1.1047979755287356</v>
      </c>
      <c r="J1029">
        <f>(Table1[[#This Row],[value]] - Table1[[#This Row],[mean]]) / Table1[[#This Row],[std_dev]]</f>
        <v>-0.68465934330505884</v>
      </c>
      <c r="K1029">
        <f>AVERAGEIF(Table1[CountryCode],Table1[[#This Row],[CountryCode]],Table1[z-score])</f>
        <v>-0.23196726817462951</v>
      </c>
      <c r="L1029" t="e">
        <f>VLOOKUP(Table1[[#This Row],[CountryCode]],[1]!Table1[#All],1,FALSE)</f>
        <v>#REF!</v>
      </c>
    </row>
    <row r="1030" spans="1:12" hidden="1" x14ac:dyDescent="0.3">
      <c r="A1030" t="s">
        <v>71</v>
      </c>
      <c r="B1030" t="s">
        <v>72</v>
      </c>
      <c r="C1030" t="s">
        <v>9</v>
      </c>
      <c r="D1030" t="s">
        <v>10</v>
      </c>
      <c r="E1030">
        <v>1998</v>
      </c>
      <c r="F1030" s="1">
        <v>99</v>
      </c>
      <c r="G1030">
        <v>2000</v>
      </c>
      <c r="H1030">
        <f>AVERAGEIFS(Table1[value],Table1[IndicatorCode],Table1[[#This Row],[IndicatorCode]])</f>
        <v>99.756410256410263</v>
      </c>
      <c r="I1030" cm="1">
        <f t="array" ref="I1030">_xlfn.STDEV.P(IF(Table1[IndicatorCode]=Table1[[#This Row],[IndicatorCode]],Table1[value]))</f>
        <v>1.1047979755287356</v>
      </c>
      <c r="J1030">
        <f>(Table1[[#This Row],[value]] - Table1[[#This Row],[mean]]) / Table1[[#This Row],[std_dev]]</f>
        <v>-0.68465934330505884</v>
      </c>
      <c r="K1030">
        <f>AVERAGEIF(Table1[CountryCode],Table1[[#This Row],[CountryCode]],Table1[z-score])</f>
        <v>-0.23196726817462951</v>
      </c>
      <c r="L1030" t="e">
        <f>VLOOKUP(Table1[[#This Row],[CountryCode]],[1]!Table1[#All],1,FALSE)</f>
        <v>#REF!</v>
      </c>
    </row>
    <row r="1031" spans="1:12" hidden="1" x14ac:dyDescent="0.3">
      <c r="A1031" t="s">
        <v>71</v>
      </c>
      <c r="B1031" t="s">
        <v>72</v>
      </c>
      <c r="C1031" t="s">
        <v>9</v>
      </c>
      <c r="D1031" t="s">
        <v>10</v>
      </c>
      <c r="E1031">
        <v>1999</v>
      </c>
      <c r="F1031" s="1">
        <v>97</v>
      </c>
      <c r="G1031">
        <v>2000</v>
      </c>
      <c r="H1031">
        <f>AVERAGEIFS(Table1[value],Table1[IndicatorCode],Table1[[#This Row],[IndicatorCode]])</f>
        <v>99.756410256410263</v>
      </c>
      <c r="I1031" cm="1">
        <f t="array" ref="I1031">_xlfn.STDEV.P(IF(Table1[IndicatorCode]=Table1[[#This Row],[IndicatorCode]],Table1[value]))</f>
        <v>1.1047979755287356</v>
      </c>
      <c r="J1031">
        <f>(Table1[[#This Row],[value]] - Table1[[#This Row],[mean]]) / Table1[[#This Row],[std_dev]]</f>
        <v>-2.4949450645862168</v>
      </c>
      <c r="K1031">
        <f>AVERAGEIF(Table1[CountryCode],Table1[[#This Row],[CountryCode]],Table1[z-score])</f>
        <v>-0.23196726817462951</v>
      </c>
      <c r="L1031" t="e">
        <f>VLOOKUP(Table1[[#This Row],[CountryCode]],[1]!Table1[#All],1,FALSE)</f>
        <v>#REF!</v>
      </c>
    </row>
    <row r="1032" spans="1:12" hidden="1" x14ac:dyDescent="0.3">
      <c r="A1032" t="s">
        <v>71</v>
      </c>
      <c r="B1032" t="s">
        <v>72</v>
      </c>
      <c r="C1032" t="s">
        <v>9</v>
      </c>
      <c r="D1032" t="s">
        <v>10</v>
      </c>
      <c r="E1032">
        <v>2000</v>
      </c>
      <c r="F1032" s="1">
        <v>100</v>
      </c>
      <c r="G1032">
        <v>2000</v>
      </c>
      <c r="H1032">
        <f>AVERAGEIFS(Table1[value],Table1[IndicatorCode],Table1[[#This Row],[IndicatorCode]])</f>
        <v>99.756410256410263</v>
      </c>
      <c r="I1032" cm="1">
        <f t="array" ref="I1032">_xlfn.STDEV.P(IF(Table1[IndicatorCode]=Table1[[#This Row],[IndicatorCode]],Table1[value]))</f>
        <v>1.1047979755287356</v>
      </c>
      <c r="J1032">
        <f>(Table1[[#This Row],[value]] - Table1[[#This Row],[mean]]) / Table1[[#This Row],[std_dev]]</f>
        <v>0.22048351733552002</v>
      </c>
      <c r="K1032">
        <f>AVERAGEIF(Table1[CountryCode],Table1[[#This Row],[CountryCode]],Table1[z-score])</f>
        <v>-0.23196726817462951</v>
      </c>
      <c r="L1032" t="e">
        <f>VLOOKUP(Table1[[#This Row],[CountryCode]],[1]!Table1[#All],1,FALSE)</f>
        <v>#REF!</v>
      </c>
    </row>
    <row r="1033" spans="1:12" hidden="1" x14ac:dyDescent="0.3">
      <c r="A1033" t="s">
        <v>71</v>
      </c>
      <c r="B1033" t="s">
        <v>72</v>
      </c>
      <c r="C1033" t="s">
        <v>9</v>
      </c>
      <c r="D1033" t="s">
        <v>10</v>
      </c>
      <c r="E1033">
        <v>2001</v>
      </c>
      <c r="F1033" s="1">
        <v>100</v>
      </c>
      <c r="G1033">
        <v>2000</v>
      </c>
      <c r="H1033">
        <f>AVERAGEIFS(Table1[value],Table1[IndicatorCode],Table1[[#This Row],[IndicatorCode]])</f>
        <v>99.756410256410263</v>
      </c>
      <c r="I1033" cm="1">
        <f t="array" ref="I1033">_xlfn.STDEV.P(IF(Table1[IndicatorCode]=Table1[[#This Row],[IndicatorCode]],Table1[value]))</f>
        <v>1.1047979755287356</v>
      </c>
      <c r="J1033">
        <f>(Table1[[#This Row],[value]] - Table1[[#This Row],[mean]]) / Table1[[#This Row],[std_dev]]</f>
        <v>0.22048351733552002</v>
      </c>
      <c r="K1033">
        <f>AVERAGEIF(Table1[CountryCode],Table1[[#This Row],[CountryCode]],Table1[z-score])</f>
        <v>-0.23196726817462951</v>
      </c>
      <c r="L1033" t="e">
        <f>VLOOKUP(Table1[[#This Row],[CountryCode]],[1]!Table1[#All],1,FALSE)</f>
        <v>#REF!</v>
      </c>
    </row>
    <row r="1034" spans="1:12" hidden="1" x14ac:dyDescent="0.3">
      <c r="A1034" t="s">
        <v>71</v>
      </c>
      <c r="B1034" t="s">
        <v>72</v>
      </c>
      <c r="C1034" t="s">
        <v>9</v>
      </c>
      <c r="D1034" t="s">
        <v>10</v>
      </c>
      <c r="E1034">
        <v>2002</v>
      </c>
      <c r="F1034" s="1">
        <v>100</v>
      </c>
      <c r="G1034">
        <v>2000</v>
      </c>
      <c r="H1034">
        <f>AVERAGEIFS(Table1[value],Table1[IndicatorCode],Table1[[#This Row],[IndicatorCode]])</f>
        <v>99.756410256410263</v>
      </c>
      <c r="I1034" cm="1">
        <f t="array" ref="I1034">_xlfn.STDEV.P(IF(Table1[IndicatorCode]=Table1[[#This Row],[IndicatorCode]],Table1[value]))</f>
        <v>1.1047979755287356</v>
      </c>
      <c r="J1034">
        <f>(Table1[[#This Row],[value]] - Table1[[#This Row],[mean]]) / Table1[[#This Row],[std_dev]]</f>
        <v>0.22048351733552002</v>
      </c>
      <c r="K1034">
        <f>AVERAGEIF(Table1[CountryCode],Table1[[#This Row],[CountryCode]],Table1[z-score])</f>
        <v>-0.23196726817462951</v>
      </c>
      <c r="L1034" t="e">
        <f>VLOOKUP(Table1[[#This Row],[CountryCode]],[1]!Table1[#All],1,FALSE)</f>
        <v>#REF!</v>
      </c>
    </row>
    <row r="1035" spans="1:12" hidden="1" x14ac:dyDescent="0.3">
      <c r="A1035" t="s">
        <v>71</v>
      </c>
      <c r="B1035" t="s">
        <v>72</v>
      </c>
      <c r="C1035" t="s">
        <v>9</v>
      </c>
      <c r="D1035" t="s">
        <v>10</v>
      </c>
      <c r="E1035">
        <v>2003</v>
      </c>
      <c r="F1035" s="1">
        <v>100</v>
      </c>
      <c r="G1035">
        <v>2000</v>
      </c>
      <c r="H1035">
        <f>AVERAGEIFS(Table1[value],Table1[IndicatorCode],Table1[[#This Row],[IndicatorCode]])</f>
        <v>99.756410256410263</v>
      </c>
      <c r="I1035" cm="1">
        <f t="array" ref="I1035">_xlfn.STDEV.P(IF(Table1[IndicatorCode]=Table1[[#This Row],[IndicatorCode]],Table1[value]))</f>
        <v>1.1047979755287356</v>
      </c>
      <c r="J1035">
        <f>(Table1[[#This Row],[value]] - Table1[[#This Row],[mean]]) / Table1[[#This Row],[std_dev]]</f>
        <v>0.22048351733552002</v>
      </c>
      <c r="K1035">
        <f>AVERAGEIF(Table1[CountryCode],Table1[[#This Row],[CountryCode]],Table1[z-score])</f>
        <v>-0.23196726817462951</v>
      </c>
      <c r="L1035" t="e">
        <f>VLOOKUP(Table1[[#This Row],[CountryCode]],[1]!Table1[#All],1,FALSE)</f>
        <v>#REF!</v>
      </c>
    </row>
    <row r="1036" spans="1:12" hidden="1" x14ac:dyDescent="0.3">
      <c r="A1036" t="s">
        <v>71</v>
      </c>
      <c r="B1036" t="s">
        <v>72</v>
      </c>
      <c r="C1036" t="s">
        <v>9</v>
      </c>
      <c r="D1036" t="s">
        <v>10</v>
      </c>
      <c r="E1036">
        <v>2004</v>
      </c>
      <c r="F1036" s="1">
        <v>100</v>
      </c>
      <c r="G1036">
        <v>2000</v>
      </c>
      <c r="H1036">
        <f>AVERAGEIFS(Table1[value],Table1[IndicatorCode],Table1[[#This Row],[IndicatorCode]])</f>
        <v>99.756410256410263</v>
      </c>
      <c r="I1036" cm="1">
        <f t="array" ref="I1036">_xlfn.STDEV.P(IF(Table1[IndicatorCode]=Table1[[#This Row],[IndicatorCode]],Table1[value]))</f>
        <v>1.1047979755287356</v>
      </c>
      <c r="J1036">
        <f>(Table1[[#This Row],[value]] - Table1[[#This Row],[mean]]) / Table1[[#This Row],[std_dev]]</f>
        <v>0.22048351733552002</v>
      </c>
      <c r="K1036">
        <f>AVERAGEIF(Table1[CountryCode],Table1[[#This Row],[CountryCode]],Table1[z-score])</f>
        <v>-0.23196726817462951</v>
      </c>
      <c r="L1036" t="e">
        <f>VLOOKUP(Table1[[#This Row],[CountryCode]],[1]!Table1[#All],1,FALSE)</f>
        <v>#REF!</v>
      </c>
    </row>
    <row r="1037" spans="1:12" hidden="1" x14ac:dyDescent="0.3">
      <c r="A1037" t="s">
        <v>71</v>
      </c>
      <c r="B1037" t="s">
        <v>72</v>
      </c>
      <c r="C1037" t="s">
        <v>9</v>
      </c>
      <c r="D1037" t="s">
        <v>10</v>
      </c>
      <c r="E1037">
        <v>2005</v>
      </c>
      <c r="F1037" s="1">
        <v>100</v>
      </c>
      <c r="G1037">
        <v>2000</v>
      </c>
      <c r="H1037">
        <f>AVERAGEIFS(Table1[value],Table1[IndicatorCode],Table1[[#This Row],[IndicatorCode]])</f>
        <v>99.756410256410263</v>
      </c>
      <c r="I1037" cm="1">
        <f t="array" ref="I1037">_xlfn.STDEV.P(IF(Table1[IndicatorCode]=Table1[[#This Row],[IndicatorCode]],Table1[value]))</f>
        <v>1.1047979755287356</v>
      </c>
      <c r="J1037">
        <f>(Table1[[#This Row],[value]] - Table1[[#This Row],[mean]]) / Table1[[#This Row],[std_dev]]</f>
        <v>0.22048351733552002</v>
      </c>
      <c r="K1037">
        <f>AVERAGEIF(Table1[CountryCode],Table1[[#This Row],[CountryCode]],Table1[z-score])</f>
        <v>-0.23196726817462951</v>
      </c>
      <c r="L1037" t="e">
        <f>VLOOKUP(Table1[[#This Row],[CountryCode]],[1]!Table1[#All],1,FALSE)</f>
        <v>#REF!</v>
      </c>
    </row>
    <row r="1038" spans="1:12" hidden="1" x14ac:dyDescent="0.3">
      <c r="A1038" t="s">
        <v>71</v>
      </c>
      <c r="B1038" t="s">
        <v>72</v>
      </c>
      <c r="C1038" t="s">
        <v>9</v>
      </c>
      <c r="D1038" t="s">
        <v>10</v>
      </c>
      <c r="E1038">
        <v>2006</v>
      </c>
      <c r="F1038" s="1">
        <v>100</v>
      </c>
      <c r="G1038">
        <v>2000</v>
      </c>
      <c r="H1038">
        <f>AVERAGEIFS(Table1[value],Table1[IndicatorCode],Table1[[#This Row],[IndicatorCode]])</f>
        <v>99.756410256410263</v>
      </c>
      <c r="I1038" cm="1">
        <f t="array" ref="I1038">_xlfn.STDEV.P(IF(Table1[IndicatorCode]=Table1[[#This Row],[IndicatorCode]],Table1[value]))</f>
        <v>1.1047979755287356</v>
      </c>
      <c r="J1038">
        <f>(Table1[[#This Row],[value]] - Table1[[#This Row],[mean]]) / Table1[[#This Row],[std_dev]]</f>
        <v>0.22048351733552002</v>
      </c>
      <c r="K1038">
        <f>AVERAGEIF(Table1[CountryCode],Table1[[#This Row],[CountryCode]],Table1[z-score])</f>
        <v>-0.23196726817462951</v>
      </c>
      <c r="L1038" t="e">
        <f>VLOOKUP(Table1[[#This Row],[CountryCode]],[1]!Table1[#All],1,FALSE)</f>
        <v>#REF!</v>
      </c>
    </row>
    <row r="1039" spans="1:12" hidden="1" x14ac:dyDescent="0.3">
      <c r="A1039" t="s">
        <v>71</v>
      </c>
      <c r="B1039" t="s">
        <v>72</v>
      </c>
      <c r="C1039" t="s">
        <v>9</v>
      </c>
      <c r="D1039" t="s">
        <v>10</v>
      </c>
      <c r="E1039">
        <v>2007</v>
      </c>
      <c r="F1039" s="1">
        <v>100</v>
      </c>
      <c r="G1039">
        <v>2010</v>
      </c>
      <c r="H1039">
        <f>AVERAGEIFS(Table1[value],Table1[IndicatorCode],Table1[[#This Row],[IndicatorCode]])</f>
        <v>99.756410256410263</v>
      </c>
      <c r="I1039" cm="1">
        <f t="array" ref="I1039">_xlfn.STDEV.P(IF(Table1[IndicatorCode]=Table1[[#This Row],[IndicatorCode]],Table1[value]))</f>
        <v>1.1047979755287356</v>
      </c>
      <c r="J1039">
        <f>(Table1[[#This Row],[value]] - Table1[[#This Row],[mean]]) / Table1[[#This Row],[std_dev]]</f>
        <v>0.22048351733552002</v>
      </c>
      <c r="K1039">
        <f>AVERAGEIF(Table1[CountryCode],Table1[[#This Row],[CountryCode]],Table1[z-score])</f>
        <v>-0.23196726817462951</v>
      </c>
      <c r="L1039" t="e">
        <f>VLOOKUP(Table1[[#This Row],[CountryCode]],[1]!Table1[#All],1,FALSE)</f>
        <v>#REF!</v>
      </c>
    </row>
    <row r="1040" spans="1:12" hidden="1" x14ac:dyDescent="0.3">
      <c r="A1040" t="s">
        <v>71</v>
      </c>
      <c r="B1040" t="s">
        <v>72</v>
      </c>
      <c r="C1040" t="s">
        <v>9</v>
      </c>
      <c r="D1040" t="s">
        <v>10</v>
      </c>
      <c r="E1040">
        <v>2008</v>
      </c>
      <c r="F1040" s="1">
        <v>100</v>
      </c>
      <c r="G1040">
        <v>2010</v>
      </c>
      <c r="H1040">
        <f>AVERAGEIFS(Table1[value],Table1[IndicatorCode],Table1[[#This Row],[IndicatorCode]])</f>
        <v>99.756410256410263</v>
      </c>
      <c r="I1040" cm="1">
        <f t="array" ref="I1040">_xlfn.STDEV.P(IF(Table1[IndicatorCode]=Table1[[#This Row],[IndicatorCode]],Table1[value]))</f>
        <v>1.1047979755287356</v>
      </c>
      <c r="J1040">
        <f>(Table1[[#This Row],[value]] - Table1[[#This Row],[mean]]) / Table1[[#This Row],[std_dev]]</f>
        <v>0.22048351733552002</v>
      </c>
      <c r="K1040">
        <f>AVERAGEIF(Table1[CountryCode],Table1[[#This Row],[CountryCode]],Table1[z-score])</f>
        <v>-0.23196726817462951</v>
      </c>
      <c r="L1040" t="e">
        <f>VLOOKUP(Table1[[#This Row],[CountryCode]],[1]!Table1[#All],1,FALSE)</f>
        <v>#REF!</v>
      </c>
    </row>
    <row r="1041" spans="1:12" hidden="1" x14ac:dyDescent="0.3">
      <c r="A1041" t="s">
        <v>71</v>
      </c>
      <c r="B1041" t="s">
        <v>72</v>
      </c>
      <c r="C1041" t="s">
        <v>9</v>
      </c>
      <c r="D1041" t="s">
        <v>10</v>
      </c>
      <c r="E1041">
        <v>2009</v>
      </c>
      <c r="F1041" s="1">
        <v>100</v>
      </c>
      <c r="G1041">
        <v>2010</v>
      </c>
      <c r="H1041">
        <f>AVERAGEIFS(Table1[value],Table1[IndicatorCode],Table1[[#This Row],[IndicatorCode]])</f>
        <v>99.756410256410263</v>
      </c>
      <c r="I1041" cm="1">
        <f t="array" ref="I1041">_xlfn.STDEV.P(IF(Table1[IndicatorCode]=Table1[[#This Row],[IndicatorCode]],Table1[value]))</f>
        <v>1.1047979755287356</v>
      </c>
      <c r="J1041">
        <f>(Table1[[#This Row],[value]] - Table1[[#This Row],[mean]]) / Table1[[#This Row],[std_dev]]</f>
        <v>0.22048351733552002</v>
      </c>
      <c r="K1041">
        <f>AVERAGEIF(Table1[CountryCode],Table1[[#This Row],[CountryCode]],Table1[z-score])</f>
        <v>-0.23196726817462951</v>
      </c>
      <c r="L1041" t="e">
        <f>VLOOKUP(Table1[[#This Row],[CountryCode]],[1]!Table1[#All],1,FALSE)</f>
        <v>#REF!</v>
      </c>
    </row>
    <row r="1042" spans="1:12" hidden="1" x14ac:dyDescent="0.3">
      <c r="A1042" t="s">
        <v>71</v>
      </c>
      <c r="B1042" t="s">
        <v>72</v>
      </c>
      <c r="C1042" t="s">
        <v>9</v>
      </c>
      <c r="D1042" t="s">
        <v>10</v>
      </c>
      <c r="E1042">
        <v>2010</v>
      </c>
      <c r="F1042" s="1">
        <v>100</v>
      </c>
      <c r="G1042">
        <v>2010</v>
      </c>
      <c r="H1042">
        <f>AVERAGEIFS(Table1[value],Table1[IndicatorCode],Table1[[#This Row],[IndicatorCode]])</f>
        <v>99.756410256410263</v>
      </c>
      <c r="I1042" cm="1">
        <f t="array" ref="I1042">_xlfn.STDEV.P(IF(Table1[IndicatorCode]=Table1[[#This Row],[IndicatorCode]],Table1[value]))</f>
        <v>1.1047979755287356</v>
      </c>
      <c r="J1042">
        <f>(Table1[[#This Row],[value]] - Table1[[#This Row],[mean]]) / Table1[[#This Row],[std_dev]]</f>
        <v>0.22048351733552002</v>
      </c>
      <c r="K1042">
        <f>AVERAGEIF(Table1[CountryCode],Table1[[#This Row],[CountryCode]],Table1[z-score])</f>
        <v>-0.23196726817462951</v>
      </c>
      <c r="L1042" t="e">
        <f>VLOOKUP(Table1[[#This Row],[CountryCode]],[1]!Table1[#All],1,FALSE)</f>
        <v>#REF!</v>
      </c>
    </row>
    <row r="1043" spans="1:12" hidden="1" x14ac:dyDescent="0.3">
      <c r="A1043" t="s">
        <v>71</v>
      </c>
      <c r="B1043" t="s">
        <v>72</v>
      </c>
      <c r="C1043" t="s">
        <v>9</v>
      </c>
      <c r="D1043" t="s">
        <v>10</v>
      </c>
      <c r="E1043">
        <v>2011</v>
      </c>
      <c r="F1043" s="1">
        <v>100</v>
      </c>
      <c r="G1043">
        <v>2010</v>
      </c>
      <c r="H1043">
        <f>AVERAGEIFS(Table1[value],Table1[IndicatorCode],Table1[[#This Row],[IndicatorCode]])</f>
        <v>99.756410256410263</v>
      </c>
      <c r="I1043" cm="1">
        <f t="array" ref="I1043">_xlfn.STDEV.P(IF(Table1[IndicatorCode]=Table1[[#This Row],[IndicatorCode]],Table1[value]))</f>
        <v>1.1047979755287356</v>
      </c>
      <c r="J1043">
        <f>(Table1[[#This Row],[value]] - Table1[[#This Row],[mean]]) / Table1[[#This Row],[std_dev]]</f>
        <v>0.22048351733552002</v>
      </c>
      <c r="K1043">
        <f>AVERAGEIF(Table1[CountryCode],Table1[[#This Row],[CountryCode]],Table1[z-score])</f>
        <v>-0.23196726817462951</v>
      </c>
      <c r="L1043" t="e">
        <f>VLOOKUP(Table1[[#This Row],[CountryCode]],[1]!Table1[#All],1,FALSE)</f>
        <v>#REF!</v>
      </c>
    </row>
    <row r="1044" spans="1:12" hidden="1" x14ac:dyDescent="0.3">
      <c r="A1044" t="s">
        <v>71</v>
      </c>
      <c r="B1044" t="s">
        <v>72</v>
      </c>
      <c r="C1044" t="s">
        <v>9</v>
      </c>
      <c r="D1044" t="s">
        <v>10</v>
      </c>
      <c r="E1044">
        <v>2012</v>
      </c>
      <c r="F1044" s="1">
        <v>100</v>
      </c>
      <c r="G1044">
        <v>2010</v>
      </c>
      <c r="H1044">
        <f>AVERAGEIFS(Table1[value],Table1[IndicatorCode],Table1[[#This Row],[IndicatorCode]])</f>
        <v>99.756410256410263</v>
      </c>
      <c r="I1044" cm="1">
        <f t="array" ref="I1044">_xlfn.STDEV.P(IF(Table1[IndicatorCode]=Table1[[#This Row],[IndicatorCode]],Table1[value]))</f>
        <v>1.1047979755287356</v>
      </c>
      <c r="J1044">
        <f>(Table1[[#This Row],[value]] - Table1[[#This Row],[mean]]) / Table1[[#This Row],[std_dev]]</f>
        <v>0.22048351733552002</v>
      </c>
      <c r="K1044">
        <f>AVERAGEIF(Table1[CountryCode],Table1[[#This Row],[CountryCode]],Table1[z-score])</f>
        <v>-0.23196726817462951</v>
      </c>
      <c r="L1044" t="e">
        <f>VLOOKUP(Table1[[#This Row],[CountryCode]],[1]!Table1[#All],1,FALSE)</f>
        <v>#REF!</v>
      </c>
    </row>
    <row r="1045" spans="1:12" hidden="1" x14ac:dyDescent="0.3">
      <c r="A1045" t="s">
        <v>71</v>
      </c>
      <c r="B1045" t="s">
        <v>72</v>
      </c>
      <c r="C1045" t="s">
        <v>9</v>
      </c>
      <c r="D1045" t="s">
        <v>10</v>
      </c>
      <c r="E1045">
        <v>2013</v>
      </c>
      <c r="F1045" s="1">
        <v>100</v>
      </c>
      <c r="G1045">
        <v>2010</v>
      </c>
      <c r="H1045">
        <f>AVERAGEIFS(Table1[value],Table1[IndicatorCode],Table1[[#This Row],[IndicatorCode]])</f>
        <v>99.756410256410263</v>
      </c>
      <c r="I1045" cm="1">
        <f t="array" ref="I1045">_xlfn.STDEV.P(IF(Table1[IndicatorCode]=Table1[[#This Row],[IndicatorCode]],Table1[value]))</f>
        <v>1.1047979755287356</v>
      </c>
      <c r="J1045">
        <f>(Table1[[#This Row],[value]] - Table1[[#This Row],[mean]]) / Table1[[#This Row],[std_dev]]</f>
        <v>0.22048351733552002</v>
      </c>
      <c r="K1045">
        <f>AVERAGEIF(Table1[CountryCode],Table1[[#This Row],[CountryCode]],Table1[z-score])</f>
        <v>-0.23196726817462951</v>
      </c>
      <c r="L1045" t="e">
        <f>VLOOKUP(Table1[[#This Row],[CountryCode]],[1]!Table1[#All],1,FALSE)</f>
        <v>#REF!</v>
      </c>
    </row>
    <row r="1046" spans="1:12" hidden="1" x14ac:dyDescent="0.3">
      <c r="A1046" t="s">
        <v>71</v>
      </c>
      <c r="B1046" t="s">
        <v>72</v>
      </c>
      <c r="C1046" t="s">
        <v>9</v>
      </c>
      <c r="D1046" t="s">
        <v>10</v>
      </c>
      <c r="E1046">
        <v>2014</v>
      </c>
      <c r="F1046" s="1">
        <v>100</v>
      </c>
      <c r="G1046">
        <v>2010</v>
      </c>
      <c r="H1046">
        <f>AVERAGEIFS(Table1[value],Table1[IndicatorCode],Table1[[#This Row],[IndicatorCode]])</f>
        <v>99.756410256410263</v>
      </c>
      <c r="I1046" cm="1">
        <f t="array" ref="I1046">_xlfn.STDEV.P(IF(Table1[IndicatorCode]=Table1[[#This Row],[IndicatorCode]],Table1[value]))</f>
        <v>1.1047979755287356</v>
      </c>
      <c r="J1046">
        <f>(Table1[[#This Row],[value]] - Table1[[#This Row],[mean]]) / Table1[[#This Row],[std_dev]]</f>
        <v>0.22048351733552002</v>
      </c>
      <c r="K1046">
        <f>AVERAGEIF(Table1[CountryCode],Table1[[#This Row],[CountryCode]],Table1[z-score])</f>
        <v>-0.23196726817462951</v>
      </c>
      <c r="L1046" t="e">
        <f>VLOOKUP(Table1[[#This Row],[CountryCode]],[1]!Table1[#All],1,FALSE)</f>
        <v>#REF!</v>
      </c>
    </row>
    <row r="1047" spans="1:12" hidden="1" x14ac:dyDescent="0.3">
      <c r="A1047" t="s">
        <v>71</v>
      </c>
      <c r="B1047" t="s">
        <v>72</v>
      </c>
      <c r="C1047" t="s">
        <v>9</v>
      </c>
      <c r="D1047" t="s">
        <v>10</v>
      </c>
      <c r="E1047">
        <v>2015</v>
      </c>
      <c r="F1047" s="1">
        <v>100</v>
      </c>
      <c r="G1047">
        <v>2010</v>
      </c>
      <c r="H1047">
        <f>AVERAGEIFS(Table1[value],Table1[IndicatorCode],Table1[[#This Row],[IndicatorCode]])</f>
        <v>99.756410256410263</v>
      </c>
      <c r="I1047" cm="1">
        <f t="array" ref="I1047">_xlfn.STDEV.P(IF(Table1[IndicatorCode]=Table1[[#This Row],[IndicatorCode]],Table1[value]))</f>
        <v>1.1047979755287356</v>
      </c>
      <c r="J1047">
        <f>(Table1[[#This Row],[value]] - Table1[[#This Row],[mean]]) / Table1[[#This Row],[std_dev]]</f>
        <v>0.22048351733552002</v>
      </c>
      <c r="K1047">
        <f>AVERAGEIF(Table1[CountryCode],Table1[[#This Row],[CountryCode]],Table1[z-score])</f>
        <v>-0.23196726817462951</v>
      </c>
      <c r="L1047" t="e">
        <f>VLOOKUP(Table1[[#This Row],[CountryCode]],[1]!Table1[#All],1,FALSE)</f>
        <v>#REF!</v>
      </c>
    </row>
    <row r="1048" spans="1:12" hidden="1" x14ac:dyDescent="0.3">
      <c r="A1048" t="s">
        <v>71</v>
      </c>
      <c r="B1048" t="s">
        <v>72</v>
      </c>
      <c r="C1048" t="s">
        <v>9</v>
      </c>
      <c r="D1048" t="s">
        <v>10</v>
      </c>
      <c r="E1048">
        <v>2016</v>
      </c>
      <c r="F1048" s="1">
        <v>100</v>
      </c>
      <c r="G1048">
        <v>2010</v>
      </c>
      <c r="H1048">
        <f>AVERAGEIFS(Table1[value],Table1[IndicatorCode],Table1[[#This Row],[IndicatorCode]])</f>
        <v>99.756410256410263</v>
      </c>
      <c r="I1048" cm="1">
        <f t="array" ref="I1048">_xlfn.STDEV.P(IF(Table1[IndicatorCode]=Table1[[#This Row],[IndicatorCode]],Table1[value]))</f>
        <v>1.1047979755287356</v>
      </c>
      <c r="J1048">
        <f>(Table1[[#This Row],[value]] - Table1[[#This Row],[mean]]) / Table1[[#This Row],[std_dev]]</f>
        <v>0.22048351733552002</v>
      </c>
      <c r="K1048">
        <f>AVERAGEIF(Table1[CountryCode],Table1[[#This Row],[CountryCode]],Table1[z-score])</f>
        <v>-0.23196726817462951</v>
      </c>
      <c r="L1048" t="e">
        <f>VLOOKUP(Table1[[#This Row],[CountryCode]],[1]!Table1[#All],1,FALSE)</f>
        <v>#REF!</v>
      </c>
    </row>
    <row r="1049" spans="1:12" hidden="1" x14ac:dyDescent="0.3">
      <c r="A1049" t="s">
        <v>71</v>
      </c>
      <c r="B1049" t="s">
        <v>72</v>
      </c>
      <c r="C1049" t="s">
        <v>9</v>
      </c>
      <c r="D1049" t="s">
        <v>10</v>
      </c>
      <c r="E1049">
        <v>2017</v>
      </c>
      <c r="F1049" s="1">
        <v>100</v>
      </c>
      <c r="G1049">
        <v>2020</v>
      </c>
      <c r="H1049">
        <f>AVERAGEIFS(Table1[value],Table1[IndicatorCode],Table1[[#This Row],[IndicatorCode]])</f>
        <v>99.756410256410263</v>
      </c>
      <c r="I1049" cm="1">
        <f t="array" ref="I1049">_xlfn.STDEV.P(IF(Table1[IndicatorCode]=Table1[[#This Row],[IndicatorCode]],Table1[value]))</f>
        <v>1.1047979755287356</v>
      </c>
      <c r="J1049">
        <f>(Table1[[#This Row],[value]] - Table1[[#This Row],[mean]]) / Table1[[#This Row],[std_dev]]</f>
        <v>0.22048351733552002</v>
      </c>
      <c r="K1049">
        <f>AVERAGEIF(Table1[CountryCode],Table1[[#This Row],[CountryCode]],Table1[z-score])</f>
        <v>-0.23196726817462951</v>
      </c>
      <c r="L1049" t="e">
        <f>VLOOKUP(Table1[[#This Row],[CountryCode]],[1]!Table1[#All],1,FALSE)</f>
        <v>#REF!</v>
      </c>
    </row>
    <row r="1050" spans="1:12" hidden="1" x14ac:dyDescent="0.3">
      <c r="A1050" t="s">
        <v>71</v>
      </c>
      <c r="B1050" t="s">
        <v>72</v>
      </c>
      <c r="C1050" t="s">
        <v>9</v>
      </c>
      <c r="D1050" t="s">
        <v>10</v>
      </c>
      <c r="E1050">
        <v>2018</v>
      </c>
      <c r="F1050" s="1">
        <v>100</v>
      </c>
      <c r="G1050">
        <v>2020</v>
      </c>
      <c r="H1050">
        <f>AVERAGEIFS(Table1[value],Table1[IndicatorCode],Table1[[#This Row],[IndicatorCode]])</f>
        <v>99.756410256410263</v>
      </c>
      <c r="I1050" cm="1">
        <f t="array" ref="I1050">_xlfn.STDEV.P(IF(Table1[IndicatorCode]=Table1[[#This Row],[IndicatorCode]],Table1[value]))</f>
        <v>1.1047979755287356</v>
      </c>
      <c r="J1050">
        <f>(Table1[[#This Row],[value]] - Table1[[#This Row],[mean]]) / Table1[[#This Row],[std_dev]]</f>
        <v>0.22048351733552002</v>
      </c>
      <c r="K1050">
        <f>AVERAGEIF(Table1[CountryCode],Table1[[#This Row],[CountryCode]],Table1[z-score])</f>
        <v>-0.23196726817462951</v>
      </c>
      <c r="L1050" t="e">
        <f>VLOOKUP(Table1[[#This Row],[CountryCode]],[1]!Table1[#All],1,FALSE)</f>
        <v>#REF!</v>
      </c>
    </row>
    <row r="1051" spans="1:12" hidden="1" x14ac:dyDescent="0.3">
      <c r="A1051" t="s">
        <v>71</v>
      </c>
      <c r="B1051" t="s">
        <v>72</v>
      </c>
      <c r="C1051" t="s">
        <v>9</v>
      </c>
      <c r="D1051" t="s">
        <v>10</v>
      </c>
      <c r="E1051">
        <v>2019</v>
      </c>
      <c r="F1051" s="1">
        <v>100</v>
      </c>
      <c r="G1051">
        <v>2020</v>
      </c>
      <c r="H1051">
        <f>AVERAGEIFS(Table1[value],Table1[IndicatorCode],Table1[[#This Row],[IndicatorCode]])</f>
        <v>99.756410256410263</v>
      </c>
      <c r="I1051" cm="1">
        <f t="array" ref="I1051">_xlfn.STDEV.P(IF(Table1[IndicatorCode]=Table1[[#This Row],[IndicatorCode]],Table1[value]))</f>
        <v>1.1047979755287356</v>
      </c>
      <c r="J1051">
        <f>(Table1[[#This Row],[value]] - Table1[[#This Row],[mean]]) / Table1[[#This Row],[std_dev]]</f>
        <v>0.22048351733552002</v>
      </c>
      <c r="K1051">
        <f>AVERAGEIF(Table1[CountryCode],Table1[[#This Row],[CountryCode]],Table1[z-score])</f>
        <v>-0.23196726817462951</v>
      </c>
      <c r="L1051" t="e">
        <f>VLOOKUP(Table1[[#This Row],[CountryCode]],[1]!Table1[#All],1,FALSE)</f>
        <v>#REF!</v>
      </c>
    </row>
    <row r="1052" spans="1:12" x14ac:dyDescent="0.3">
      <c r="A1052" t="s">
        <v>71</v>
      </c>
      <c r="B1052" t="s">
        <v>72</v>
      </c>
      <c r="C1052" t="s">
        <v>9</v>
      </c>
      <c r="D1052" t="s">
        <v>10</v>
      </c>
      <c r="E1052">
        <v>2020</v>
      </c>
      <c r="F1052" s="1">
        <v>100</v>
      </c>
      <c r="G1052">
        <v>2020</v>
      </c>
      <c r="H1052">
        <f>AVERAGEIFS(Table1[value],Table1[IndicatorCode],Table1[[#This Row],[IndicatorCode]])</f>
        <v>99.756410256410263</v>
      </c>
      <c r="I1052" cm="1">
        <f t="array" ref="I1052">_xlfn.STDEV.P(IF(Table1[IndicatorCode]=Table1[[#This Row],[IndicatorCode]],Table1[value]))</f>
        <v>1.1047979755287356</v>
      </c>
      <c r="J1052">
        <f>(Table1[[#This Row],[value]] - Table1[[#This Row],[mean]]) / Table1[[#This Row],[std_dev]]</f>
        <v>0.22048351733552002</v>
      </c>
      <c r="K1052">
        <f>AVERAGEIF(Table1[CountryCode],Table1[[#This Row],[CountryCode]],Table1[z-score])</f>
        <v>-0.23196726817462951</v>
      </c>
    </row>
    <row r="1053" spans="1:12" hidden="1" x14ac:dyDescent="0.3">
      <c r="A1053" t="s">
        <v>71</v>
      </c>
      <c r="B1053" t="s">
        <v>72</v>
      </c>
      <c r="C1053" t="s">
        <v>9</v>
      </c>
      <c r="D1053" t="s">
        <v>10</v>
      </c>
      <c r="E1053">
        <v>2021</v>
      </c>
      <c r="F1053" s="1">
        <v>100</v>
      </c>
      <c r="G1053">
        <v>1990</v>
      </c>
      <c r="H1053">
        <f>AVERAGEIFS(Table1[value],Table1[IndicatorCode],Table1[[#This Row],[IndicatorCode]])</f>
        <v>99.756410256410263</v>
      </c>
      <c r="I1053" cm="1">
        <f t="array" ref="I1053">_xlfn.STDEV.P(IF(Table1[IndicatorCode]=Table1[[#This Row],[IndicatorCode]],Table1[value]))</f>
        <v>1.1047979755287356</v>
      </c>
      <c r="J1053">
        <f>(Table1[[#This Row],[value]] - Table1[[#This Row],[mean]]) / Table1[[#This Row],[std_dev]]</f>
        <v>0.22048351733552002</v>
      </c>
      <c r="K1053">
        <f>AVERAGEIF(Table1[CountryCode],Table1[[#This Row],[CountryCode]],Table1[z-score])</f>
        <v>-0.23196726817462951</v>
      </c>
      <c r="L1053" t="e">
        <f>VLOOKUP(Table1[[#This Row],[CountryCode]],[1]!Table1[#All],1,FALSE)</f>
        <v>#REF!</v>
      </c>
    </row>
    <row r="1054" spans="1:12" hidden="1" x14ac:dyDescent="0.3">
      <c r="A1054" t="s">
        <v>71</v>
      </c>
      <c r="B1054" t="s">
        <v>72</v>
      </c>
      <c r="C1054" t="s">
        <v>9</v>
      </c>
      <c r="D1054" t="s">
        <v>10</v>
      </c>
      <c r="E1054">
        <v>2022</v>
      </c>
      <c r="F1054" s="1">
        <v>100</v>
      </c>
      <c r="G1054">
        <v>1990</v>
      </c>
      <c r="H1054">
        <f>AVERAGEIFS(Table1[value],Table1[IndicatorCode],Table1[[#This Row],[IndicatorCode]])</f>
        <v>99.756410256410263</v>
      </c>
      <c r="I1054" cm="1">
        <f t="array" ref="I1054">_xlfn.STDEV.P(IF(Table1[IndicatorCode]=Table1[[#This Row],[IndicatorCode]],Table1[value]))</f>
        <v>1.1047979755287356</v>
      </c>
      <c r="J1054">
        <f>(Table1[[#This Row],[value]] - Table1[[#This Row],[mean]]) / Table1[[#This Row],[std_dev]]</f>
        <v>0.22048351733552002</v>
      </c>
      <c r="K1054">
        <f>AVERAGEIF(Table1[CountryCode],Table1[[#This Row],[CountryCode]],Table1[z-score])</f>
        <v>-0.23196726817462951</v>
      </c>
      <c r="L1054" t="e">
        <f>VLOOKUP(Table1[[#This Row],[CountryCode]],[1]!Table1[#All],1,FALSE)</f>
        <v>#REF!</v>
      </c>
    </row>
    <row r="1055" spans="1:12" hidden="1" x14ac:dyDescent="0.3">
      <c r="A1055" t="s">
        <v>71</v>
      </c>
      <c r="B1055" t="s">
        <v>72</v>
      </c>
      <c r="C1055" t="s">
        <v>9</v>
      </c>
      <c r="D1055" t="s">
        <v>10</v>
      </c>
      <c r="E1055">
        <v>2023</v>
      </c>
      <c r="F1055" s="1">
        <v>100</v>
      </c>
      <c r="G1055">
        <v>1990</v>
      </c>
      <c r="H1055">
        <f>AVERAGEIFS(Table1[value],Table1[IndicatorCode],Table1[[#This Row],[IndicatorCode]])</f>
        <v>99.756410256410263</v>
      </c>
      <c r="I1055" cm="1">
        <f t="array" ref="I1055">_xlfn.STDEV.P(IF(Table1[IndicatorCode]=Table1[[#This Row],[IndicatorCode]],Table1[value]))</f>
        <v>1.1047979755287356</v>
      </c>
      <c r="J1055">
        <f>(Table1[[#This Row],[value]] - Table1[[#This Row],[mean]]) / Table1[[#This Row],[std_dev]]</f>
        <v>0.22048351733552002</v>
      </c>
      <c r="K1055">
        <f>AVERAGEIF(Table1[CountryCode],Table1[[#This Row],[CountryCode]],Table1[z-score])</f>
        <v>-0.23196726817462951</v>
      </c>
      <c r="L1055" t="e">
        <f>VLOOKUP(Table1[[#This Row],[CountryCode]],[1]!Table1[#All],1,FALSE)</f>
        <v>#REF!</v>
      </c>
    </row>
    <row r="1056" spans="1:12" hidden="1" x14ac:dyDescent="0.3">
      <c r="A1056" t="s">
        <v>73</v>
      </c>
      <c r="B1056" t="s">
        <v>74</v>
      </c>
      <c r="C1056" t="s">
        <v>9</v>
      </c>
      <c r="D1056" t="s">
        <v>10</v>
      </c>
      <c r="E1056">
        <v>1997</v>
      </c>
      <c r="F1056" s="1">
        <v>100</v>
      </c>
      <c r="G1056">
        <v>2000</v>
      </c>
      <c r="H1056">
        <f>AVERAGEIFS(Table1[value],Table1[IndicatorCode],Table1[[#This Row],[IndicatorCode]])</f>
        <v>99.756410256410263</v>
      </c>
      <c r="I1056" cm="1">
        <f t="array" ref="I1056">_xlfn.STDEV.P(IF(Table1[IndicatorCode]=Table1[[#This Row],[IndicatorCode]],Table1[value]))</f>
        <v>1.1047979755287356</v>
      </c>
      <c r="J1056">
        <f>(Table1[[#This Row],[value]] - Table1[[#This Row],[mean]]) / Table1[[#This Row],[std_dev]]</f>
        <v>0.22048351733552002</v>
      </c>
      <c r="K1056">
        <f>AVERAGEIF(Table1[CountryCode],Table1[[#This Row],[CountryCode]],Table1[z-score])</f>
        <v>-0.90374566436467785</v>
      </c>
      <c r="L1056" t="e">
        <f>VLOOKUP(Table1[[#This Row],[CountryCode]],[1]!Table1[#All],1,FALSE)</f>
        <v>#REF!</v>
      </c>
    </row>
    <row r="1057" spans="1:12" hidden="1" x14ac:dyDescent="0.3">
      <c r="A1057" t="s">
        <v>73</v>
      </c>
      <c r="B1057" t="s">
        <v>74</v>
      </c>
      <c r="C1057" t="s">
        <v>9</v>
      </c>
      <c r="D1057" t="s">
        <v>10</v>
      </c>
      <c r="E1057">
        <v>1998</v>
      </c>
      <c r="F1057" s="1">
        <v>100</v>
      </c>
      <c r="G1057">
        <v>2000</v>
      </c>
      <c r="H1057">
        <f>AVERAGEIFS(Table1[value],Table1[IndicatorCode],Table1[[#This Row],[IndicatorCode]])</f>
        <v>99.756410256410263</v>
      </c>
      <c r="I1057" cm="1">
        <f t="array" ref="I1057">_xlfn.STDEV.P(IF(Table1[IndicatorCode]=Table1[[#This Row],[IndicatorCode]],Table1[value]))</f>
        <v>1.1047979755287356</v>
      </c>
      <c r="J1057">
        <f>(Table1[[#This Row],[value]] - Table1[[#This Row],[mean]]) / Table1[[#This Row],[std_dev]]</f>
        <v>0.22048351733552002</v>
      </c>
      <c r="K1057">
        <f>AVERAGEIF(Table1[CountryCode],Table1[[#This Row],[CountryCode]],Table1[z-score])</f>
        <v>-0.90374566436467785</v>
      </c>
      <c r="L1057" t="e">
        <f>VLOOKUP(Table1[[#This Row],[CountryCode]],[1]!Table1[#All],1,FALSE)</f>
        <v>#REF!</v>
      </c>
    </row>
    <row r="1058" spans="1:12" hidden="1" x14ac:dyDescent="0.3">
      <c r="A1058" t="s">
        <v>73</v>
      </c>
      <c r="B1058" t="s">
        <v>74</v>
      </c>
      <c r="C1058" t="s">
        <v>9</v>
      </c>
      <c r="D1058" t="s">
        <v>10</v>
      </c>
      <c r="E1058">
        <v>1999</v>
      </c>
      <c r="F1058" s="1">
        <v>100</v>
      </c>
      <c r="G1058">
        <v>2000</v>
      </c>
      <c r="H1058">
        <f>AVERAGEIFS(Table1[value],Table1[IndicatorCode],Table1[[#This Row],[IndicatorCode]])</f>
        <v>99.756410256410263</v>
      </c>
      <c r="I1058" cm="1">
        <f t="array" ref="I1058">_xlfn.STDEV.P(IF(Table1[IndicatorCode]=Table1[[#This Row],[IndicatorCode]],Table1[value]))</f>
        <v>1.1047979755287356</v>
      </c>
      <c r="J1058">
        <f>(Table1[[#This Row],[value]] - Table1[[#This Row],[mean]]) / Table1[[#This Row],[std_dev]]</f>
        <v>0.22048351733552002</v>
      </c>
      <c r="K1058">
        <f>AVERAGEIF(Table1[CountryCode],Table1[[#This Row],[CountryCode]],Table1[z-score])</f>
        <v>-0.90374566436467785</v>
      </c>
      <c r="L1058" t="e">
        <f>VLOOKUP(Table1[[#This Row],[CountryCode]],[1]!Table1[#All],1,FALSE)</f>
        <v>#REF!</v>
      </c>
    </row>
    <row r="1059" spans="1:12" hidden="1" x14ac:dyDescent="0.3">
      <c r="A1059" t="s">
        <v>73</v>
      </c>
      <c r="B1059" t="s">
        <v>74</v>
      </c>
      <c r="C1059" t="s">
        <v>9</v>
      </c>
      <c r="D1059" t="s">
        <v>10</v>
      </c>
      <c r="E1059">
        <v>2000</v>
      </c>
      <c r="F1059" s="1">
        <v>100</v>
      </c>
      <c r="G1059">
        <v>2000</v>
      </c>
      <c r="H1059">
        <f>AVERAGEIFS(Table1[value],Table1[IndicatorCode],Table1[[#This Row],[IndicatorCode]])</f>
        <v>99.756410256410263</v>
      </c>
      <c r="I1059" cm="1">
        <f t="array" ref="I1059">_xlfn.STDEV.P(IF(Table1[IndicatorCode]=Table1[[#This Row],[IndicatorCode]],Table1[value]))</f>
        <v>1.1047979755287356</v>
      </c>
      <c r="J1059">
        <f>(Table1[[#This Row],[value]] - Table1[[#This Row],[mean]]) / Table1[[#This Row],[std_dev]]</f>
        <v>0.22048351733552002</v>
      </c>
      <c r="K1059">
        <f>AVERAGEIF(Table1[CountryCode],Table1[[#This Row],[CountryCode]],Table1[z-score])</f>
        <v>-0.90374566436467785</v>
      </c>
      <c r="L1059" t="e">
        <f>VLOOKUP(Table1[[#This Row],[CountryCode]],[1]!Table1[#All],1,FALSE)</f>
        <v>#REF!</v>
      </c>
    </row>
    <row r="1060" spans="1:12" hidden="1" x14ac:dyDescent="0.3">
      <c r="A1060" t="s">
        <v>73</v>
      </c>
      <c r="B1060" t="s">
        <v>74</v>
      </c>
      <c r="C1060" t="s">
        <v>9</v>
      </c>
      <c r="D1060" t="s">
        <v>10</v>
      </c>
      <c r="E1060">
        <v>2001</v>
      </c>
      <c r="F1060" s="1">
        <v>100</v>
      </c>
      <c r="G1060">
        <v>2000</v>
      </c>
      <c r="H1060">
        <f>AVERAGEIFS(Table1[value],Table1[IndicatorCode],Table1[[#This Row],[IndicatorCode]])</f>
        <v>99.756410256410263</v>
      </c>
      <c r="I1060" cm="1">
        <f t="array" ref="I1060">_xlfn.STDEV.P(IF(Table1[IndicatorCode]=Table1[[#This Row],[IndicatorCode]],Table1[value]))</f>
        <v>1.1047979755287356</v>
      </c>
      <c r="J1060">
        <f>(Table1[[#This Row],[value]] - Table1[[#This Row],[mean]]) / Table1[[#This Row],[std_dev]]</f>
        <v>0.22048351733552002</v>
      </c>
      <c r="K1060">
        <f>AVERAGEIF(Table1[CountryCode],Table1[[#This Row],[CountryCode]],Table1[z-score])</f>
        <v>-0.90374566436467785</v>
      </c>
      <c r="L1060" t="e">
        <f>VLOOKUP(Table1[[#This Row],[CountryCode]],[1]!Table1[#All],1,FALSE)</f>
        <v>#REF!</v>
      </c>
    </row>
    <row r="1061" spans="1:12" hidden="1" x14ac:dyDescent="0.3">
      <c r="A1061" t="s">
        <v>73</v>
      </c>
      <c r="B1061" t="s">
        <v>74</v>
      </c>
      <c r="C1061" t="s">
        <v>9</v>
      </c>
      <c r="D1061" t="s">
        <v>10</v>
      </c>
      <c r="E1061">
        <v>2002</v>
      </c>
      <c r="F1061" s="1">
        <v>100</v>
      </c>
      <c r="G1061">
        <v>2000</v>
      </c>
      <c r="H1061">
        <f>AVERAGEIFS(Table1[value],Table1[IndicatorCode],Table1[[#This Row],[IndicatorCode]])</f>
        <v>99.756410256410263</v>
      </c>
      <c r="I1061" cm="1">
        <f t="array" ref="I1061">_xlfn.STDEV.P(IF(Table1[IndicatorCode]=Table1[[#This Row],[IndicatorCode]],Table1[value]))</f>
        <v>1.1047979755287356</v>
      </c>
      <c r="J1061">
        <f>(Table1[[#This Row],[value]] - Table1[[#This Row],[mean]]) / Table1[[#This Row],[std_dev]]</f>
        <v>0.22048351733552002</v>
      </c>
      <c r="K1061">
        <f>AVERAGEIF(Table1[CountryCode],Table1[[#This Row],[CountryCode]],Table1[z-score])</f>
        <v>-0.90374566436467785</v>
      </c>
      <c r="L1061" t="e">
        <f>VLOOKUP(Table1[[#This Row],[CountryCode]],[1]!Table1[#All],1,FALSE)</f>
        <v>#REF!</v>
      </c>
    </row>
    <row r="1062" spans="1:12" hidden="1" x14ac:dyDescent="0.3">
      <c r="A1062" t="s">
        <v>73</v>
      </c>
      <c r="B1062" t="s">
        <v>74</v>
      </c>
      <c r="C1062" t="s">
        <v>9</v>
      </c>
      <c r="D1062" t="s">
        <v>10</v>
      </c>
      <c r="E1062">
        <v>2003</v>
      </c>
      <c r="F1062" s="1">
        <v>99</v>
      </c>
      <c r="G1062">
        <v>2000</v>
      </c>
      <c r="H1062">
        <f>AVERAGEIFS(Table1[value],Table1[IndicatorCode],Table1[[#This Row],[IndicatorCode]])</f>
        <v>99.756410256410263</v>
      </c>
      <c r="I1062" cm="1">
        <f t="array" ref="I1062">_xlfn.STDEV.P(IF(Table1[IndicatorCode]=Table1[[#This Row],[IndicatorCode]],Table1[value]))</f>
        <v>1.1047979755287356</v>
      </c>
      <c r="J1062">
        <f>(Table1[[#This Row],[value]] - Table1[[#This Row],[mean]]) / Table1[[#This Row],[std_dev]]</f>
        <v>-0.68465934330505884</v>
      </c>
      <c r="K1062">
        <f>AVERAGEIF(Table1[CountryCode],Table1[[#This Row],[CountryCode]],Table1[z-score])</f>
        <v>-0.90374566436467785</v>
      </c>
      <c r="L1062" t="e">
        <f>VLOOKUP(Table1[[#This Row],[CountryCode]],[1]!Table1[#All],1,FALSE)</f>
        <v>#REF!</v>
      </c>
    </row>
    <row r="1063" spans="1:12" hidden="1" x14ac:dyDescent="0.3">
      <c r="A1063" t="s">
        <v>73</v>
      </c>
      <c r="B1063" t="s">
        <v>74</v>
      </c>
      <c r="C1063" t="s">
        <v>9</v>
      </c>
      <c r="D1063" t="s">
        <v>10</v>
      </c>
      <c r="E1063">
        <v>2004</v>
      </c>
      <c r="F1063" s="1">
        <v>99</v>
      </c>
      <c r="G1063">
        <v>2000</v>
      </c>
      <c r="H1063">
        <f>AVERAGEIFS(Table1[value],Table1[IndicatorCode],Table1[[#This Row],[IndicatorCode]])</f>
        <v>99.756410256410263</v>
      </c>
      <c r="I1063" cm="1">
        <f t="array" ref="I1063">_xlfn.STDEV.P(IF(Table1[IndicatorCode]=Table1[[#This Row],[IndicatorCode]],Table1[value]))</f>
        <v>1.1047979755287356</v>
      </c>
      <c r="J1063">
        <f>(Table1[[#This Row],[value]] - Table1[[#This Row],[mean]]) / Table1[[#This Row],[std_dev]]</f>
        <v>-0.68465934330505884</v>
      </c>
      <c r="K1063">
        <f>AVERAGEIF(Table1[CountryCode],Table1[[#This Row],[CountryCode]],Table1[z-score])</f>
        <v>-0.90374566436467785</v>
      </c>
      <c r="L1063" t="e">
        <f>VLOOKUP(Table1[[#This Row],[CountryCode]],[1]!Table1[#All],1,FALSE)</f>
        <v>#REF!</v>
      </c>
    </row>
    <row r="1064" spans="1:12" hidden="1" x14ac:dyDescent="0.3">
      <c r="A1064" t="s">
        <v>73</v>
      </c>
      <c r="B1064" t="s">
        <v>74</v>
      </c>
      <c r="C1064" t="s">
        <v>9</v>
      </c>
      <c r="D1064" t="s">
        <v>10</v>
      </c>
      <c r="E1064">
        <v>2005</v>
      </c>
      <c r="F1064" s="1">
        <v>99</v>
      </c>
      <c r="G1064">
        <v>2000</v>
      </c>
      <c r="H1064">
        <f>AVERAGEIFS(Table1[value],Table1[IndicatorCode],Table1[[#This Row],[IndicatorCode]])</f>
        <v>99.756410256410263</v>
      </c>
      <c r="I1064" cm="1">
        <f t="array" ref="I1064">_xlfn.STDEV.P(IF(Table1[IndicatorCode]=Table1[[#This Row],[IndicatorCode]],Table1[value]))</f>
        <v>1.1047979755287356</v>
      </c>
      <c r="J1064">
        <f>(Table1[[#This Row],[value]] - Table1[[#This Row],[mean]]) / Table1[[#This Row],[std_dev]]</f>
        <v>-0.68465934330505884</v>
      </c>
      <c r="K1064">
        <f>AVERAGEIF(Table1[CountryCode],Table1[[#This Row],[CountryCode]],Table1[z-score])</f>
        <v>-0.90374566436467785</v>
      </c>
      <c r="L1064" t="e">
        <f>VLOOKUP(Table1[[#This Row],[CountryCode]],[1]!Table1[#All],1,FALSE)</f>
        <v>#REF!</v>
      </c>
    </row>
    <row r="1065" spans="1:12" hidden="1" x14ac:dyDescent="0.3">
      <c r="A1065" t="s">
        <v>73</v>
      </c>
      <c r="B1065" t="s">
        <v>74</v>
      </c>
      <c r="C1065" t="s">
        <v>9</v>
      </c>
      <c r="D1065" t="s">
        <v>10</v>
      </c>
      <c r="E1065">
        <v>2006</v>
      </c>
      <c r="F1065" s="1">
        <v>99</v>
      </c>
      <c r="G1065">
        <v>2000</v>
      </c>
      <c r="H1065">
        <f>AVERAGEIFS(Table1[value],Table1[IndicatorCode],Table1[[#This Row],[IndicatorCode]])</f>
        <v>99.756410256410263</v>
      </c>
      <c r="I1065" cm="1">
        <f t="array" ref="I1065">_xlfn.STDEV.P(IF(Table1[IndicatorCode]=Table1[[#This Row],[IndicatorCode]],Table1[value]))</f>
        <v>1.1047979755287356</v>
      </c>
      <c r="J1065">
        <f>(Table1[[#This Row],[value]] - Table1[[#This Row],[mean]]) / Table1[[#This Row],[std_dev]]</f>
        <v>-0.68465934330505884</v>
      </c>
      <c r="K1065">
        <f>AVERAGEIF(Table1[CountryCode],Table1[[#This Row],[CountryCode]],Table1[z-score])</f>
        <v>-0.90374566436467785</v>
      </c>
      <c r="L1065" t="e">
        <f>VLOOKUP(Table1[[#This Row],[CountryCode]],[1]!Table1[#All],1,FALSE)</f>
        <v>#REF!</v>
      </c>
    </row>
    <row r="1066" spans="1:12" hidden="1" x14ac:dyDescent="0.3">
      <c r="A1066" t="s">
        <v>73</v>
      </c>
      <c r="B1066" t="s">
        <v>74</v>
      </c>
      <c r="C1066" t="s">
        <v>9</v>
      </c>
      <c r="D1066" t="s">
        <v>10</v>
      </c>
      <c r="E1066">
        <v>2007</v>
      </c>
      <c r="F1066" s="1">
        <v>100</v>
      </c>
      <c r="G1066">
        <v>2010</v>
      </c>
      <c r="H1066">
        <f>AVERAGEIFS(Table1[value],Table1[IndicatorCode],Table1[[#This Row],[IndicatorCode]])</f>
        <v>99.756410256410263</v>
      </c>
      <c r="I1066" cm="1">
        <f t="array" ref="I1066">_xlfn.STDEV.P(IF(Table1[IndicatorCode]=Table1[[#This Row],[IndicatorCode]],Table1[value]))</f>
        <v>1.1047979755287356</v>
      </c>
      <c r="J1066">
        <f>(Table1[[#This Row],[value]] - Table1[[#This Row],[mean]]) / Table1[[#This Row],[std_dev]]</f>
        <v>0.22048351733552002</v>
      </c>
      <c r="K1066">
        <f>AVERAGEIF(Table1[CountryCode],Table1[[#This Row],[CountryCode]],Table1[z-score])</f>
        <v>-0.90374566436467785</v>
      </c>
      <c r="L1066" t="e">
        <f>VLOOKUP(Table1[[#This Row],[CountryCode]],[1]!Table1[#All],1,FALSE)</f>
        <v>#REF!</v>
      </c>
    </row>
    <row r="1067" spans="1:12" hidden="1" x14ac:dyDescent="0.3">
      <c r="A1067" t="s">
        <v>73</v>
      </c>
      <c r="B1067" t="s">
        <v>74</v>
      </c>
      <c r="C1067" t="s">
        <v>9</v>
      </c>
      <c r="D1067" t="s">
        <v>10</v>
      </c>
      <c r="E1067">
        <v>2008</v>
      </c>
      <c r="F1067" s="1">
        <v>100</v>
      </c>
      <c r="G1067">
        <v>2010</v>
      </c>
      <c r="H1067">
        <f>AVERAGEIFS(Table1[value],Table1[IndicatorCode],Table1[[#This Row],[IndicatorCode]])</f>
        <v>99.756410256410263</v>
      </c>
      <c r="I1067" cm="1">
        <f t="array" ref="I1067">_xlfn.STDEV.P(IF(Table1[IndicatorCode]=Table1[[#This Row],[IndicatorCode]],Table1[value]))</f>
        <v>1.1047979755287356</v>
      </c>
      <c r="J1067">
        <f>(Table1[[#This Row],[value]] - Table1[[#This Row],[mean]]) / Table1[[#This Row],[std_dev]]</f>
        <v>0.22048351733552002</v>
      </c>
      <c r="K1067">
        <f>AVERAGEIF(Table1[CountryCode],Table1[[#This Row],[CountryCode]],Table1[z-score])</f>
        <v>-0.90374566436467785</v>
      </c>
      <c r="L1067" t="e">
        <f>VLOOKUP(Table1[[#This Row],[CountryCode]],[1]!Table1[#All],1,FALSE)</f>
        <v>#REF!</v>
      </c>
    </row>
    <row r="1068" spans="1:12" hidden="1" x14ac:dyDescent="0.3">
      <c r="A1068" t="s">
        <v>73</v>
      </c>
      <c r="B1068" t="s">
        <v>74</v>
      </c>
      <c r="C1068" t="s">
        <v>9</v>
      </c>
      <c r="D1068" t="s">
        <v>10</v>
      </c>
      <c r="E1068">
        <v>2009</v>
      </c>
      <c r="F1068" s="1">
        <v>100</v>
      </c>
      <c r="G1068">
        <v>2010</v>
      </c>
      <c r="H1068">
        <f>AVERAGEIFS(Table1[value],Table1[IndicatorCode],Table1[[#This Row],[IndicatorCode]])</f>
        <v>99.756410256410263</v>
      </c>
      <c r="I1068" cm="1">
        <f t="array" ref="I1068">_xlfn.STDEV.P(IF(Table1[IndicatorCode]=Table1[[#This Row],[IndicatorCode]],Table1[value]))</f>
        <v>1.1047979755287356</v>
      </c>
      <c r="J1068">
        <f>(Table1[[#This Row],[value]] - Table1[[#This Row],[mean]]) / Table1[[#This Row],[std_dev]]</f>
        <v>0.22048351733552002</v>
      </c>
      <c r="K1068">
        <f>AVERAGEIF(Table1[CountryCode],Table1[[#This Row],[CountryCode]],Table1[z-score])</f>
        <v>-0.90374566436467785</v>
      </c>
      <c r="L1068" t="e">
        <f>VLOOKUP(Table1[[#This Row],[CountryCode]],[1]!Table1[#All],1,FALSE)</f>
        <v>#REF!</v>
      </c>
    </row>
    <row r="1069" spans="1:12" hidden="1" x14ac:dyDescent="0.3">
      <c r="A1069" t="s">
        <v>73</v>
      </c>
      <c r="B1069" t="s">
        <v>74</v>
      </c>
      <c r="C1069" t="s">
        <v>9</v>
      </c>
      <c r="D1069" t="s">
        <v>10</v>
      </c>
      <c r="E1069">
        <v>2010</v>
      </c>
      <c r="F1069" s="1">
        <v>99</v>
      </c>
      <c r="G1069">
        <v>2010</v>
      </c>
      <c r="H1069">
        <f>AVERAGEIFS(Table1[value],Table1[IndicatorCode],Table1[[#This Row],[IndicatorCode]])</f>
        <v>99.756410256410263</v>
      </c>
      <c r="I1069" cm="1">
        <f t="array" ref="I1069">_xlfn.STDEV.P(IF(Table1[IndicatorCode]=Table1[[#This Row],[IndicatorCode]],Table1[value]))</f>
        <v>1.1047979755287356</v>
      </c>
      <c r="J1069">
        <f>(Table1[[#This Row],[value]] - Table1[[#This Row],[mean]]) / Table1[[#This Row],[std_dev]]</f>
        <v>-0.68465934330505884</v>
      </c>
      <c r="K1069">
        <f>AVERAGEIF(Table1[CountryCode],Table1[[#This Row],[CountryCode]],Table1[z-score])</f>
        <v>-0.90374566436467785</v>
      </c>
      <c r="L1069" t="e">
        <f>VLOOKUP(Table1[[#This Row],[CountryCode]],[1]!Table1[#All],1,FALSE)</f>
        <v>#REF!</v>
      </c>
    </row>
    <row r="1070" spans="1:12" hidden="1" x14ac:dyDescent="0.3">
      <c r="A1070" t="s">
        <v>73</v>
      </c>
      <c r="B1070" t="s">
        <v>74</v>
      </c>
      <c r="C1070" t="s">
        <v>9</v>
      </c>
      <c r="D1070" t="s">
        <v>10</v>
      </c>
      <c r="E1070">
        <v>2011</v>
      </c>
      <c r="F1070" s="1">
        <v>98</v>
      </c>
      <c r="G1070">
        <v>2010</v>
      </c>
      <c r="H1070">
        <f>AVERAGEIFS(Table1[value],Table1[IndicatorCode],Table1[[#This Row],[IndicatorCode]])</f>
        <v>99.756410256410263</v>
      </c>
      <c r="I1070" cm="1">
        <f t="array" ref="I1070">_xlfn.STDEV.P(IF(Table1[IndicatorCode]=Table1[[#This Row],[IndicatorCode]],Table1[value]))</f>
        <v>1.1047979755287356</v>
      </c>
      <c r="J1070">
        <f>(Table1[[#This Row],[value]] - Table1[[#This Row],[mean]]) / Table1[[#This Row],[std_dev]]</f>
        <v>-1.5898022039456376</v>
      </c>
      <c r="K1070">
        <f>AVERAGEIF(Table1[CountryCode],Table1[[#This Row],[CountryCode]],Table1[z-score])</f>
        <v>-0.90374566436467785</v>
      </c>
      <c r="L1070" t="e">
        <f>VLOOKUP(Table1[[#This Row],[CountryCode]],[1]!Table1[#All],1,FALSE)</f>
        <v>#REF!</v>
      </c>
    </row>
    <row r="1071" spans="1:12" hidden="1" x14ac:dyDescent="0.3">
      <c r="A1071" t="s">
        <v>73</v>
      </c>
      <c r="B1071" t="s">
        <v>74</v>
      </c>
      <c r="C1071" t="s">
        <v>9</v>
      </c>
      <c r="D1071" t="s">
        <v>10</v>
      </c>
      <c r="E1071">
        <v>2012</v>
      </c>
      <c r="F1071" s="1">
        <v>100</v>
      </c>
      <c r="G1071">
        <v>2010</v>
      </c>
      <c r="H1071">
        <f>AVERAGEIFS(Table1[value],Table1[IndicatorCode],Table1[[#This Row],[IndicatorCode]])</f>
        <v>99.756410256410263</v>
      </c>
      <c r="I1071" cm="1">
        <f t="array" ref="I1071">_xlfn.STDEV.P(IF(Table1[IndicatorCode]=Table1[[#This Row],[IndicatorCode]],Table1[value]))</f>
        <v>1.1047979755287356</v>
      </c>
      <c r="J1071">
        <f>(Table1[[#This Row],[value]] - Table1[[#This Row],[mean]]) / Table1[[#This Row],[std_dev]]</f>
        <v>0.22048351733552002</v>
      </c>
      <c r="K1071">
        <f>AVERAGEIF(Table1[CountryCode],Table1[[#This Row],[CountryCode]],Table1[z-score])</f>
        <v>-0.90374566436467785</v>
      </c>
      <c r="L1071" t="e">
        <f>VLOOKUP(Table1[[#This Row],[CountryCode]],[1]!Table1[#All],1,FALSE)</f>
        <v>#REF!</v>
      </c>
    </row>
    <row r="1072" spans="1:12" hidden="1" x14ac:dyDescent="0.3">
      <c r="A1072" t="s">
        <v>73</v>
      </c>
      <c r="B1072" t="s">
        <v>74</v>
      </c>
      <c r="C1072" t="s">
        <v>9</v>
      </c>
      <c r="D1072" t="s">
        <v>10</v>
      </c>
      <c r="E1072">
        <v>2013</v>
      </c>
      <c r="F1072" s="1">
        <v>99</v>
      </c>
      <c r="G1072">
        <v>2010</v>
      </c>
      <c r="H1072">
        <f>AVERAGEIFS(Table1[value],Table1[IndicatorCode],Table1[[#This Row],[IndicatorCode]])</f>
        <v>99.756410256410263</v>
      </c>
      <c r="I1072" cm="1">
        <f t="array" ref="I1072">_xlfn.STDEV.P(IF(Table1[IndicatorCode]=Table1[[#This Row],[IndicatorCode]],Table1[value]))</f>
        <v>1.1047979755287356</v>
      </c>
      <c r="J1072">
        <f>(Table1[[#This Row],[value]] - Table1[[#This Row],[mean]]) / Table1[[#This Row],[std_dev]]</f>
        <v>-0.68465934330505884</v>
      </c>
      <c r="K1072">
        <f>AVERAGEIF(Table1[CountryCode],Table1[[#This Row],[CountryCode]],Table1[z-score])</f>
        <v>-0.90374566436467785</v>
      </c>
      <c r="L1072" t="e">
        <f>VLOOKUP(Table1[[#This Row],[CountryCode]],[1]!Table1[#All],1,FALSE)</f>
        <v>#REF!</v>
      </c>
    </row>
    <row r="1073" spans="1:12" hidden="1" x14ac:dyDescent="0.3">
      <c r="A1073" t="s">
        <v>73</v>
      </c>
      <c r="B1073" t="s">
        <v>74</v>
      </c>
      <c r="C1073" t="s">
        <v>9</v>
      </c>
      <c r="D1073" t="s">
        <v>10</v>
      </c>
      <c r="E1073">
        <v>2014</v>
      </c>
      <c r="F1073" s="1">
        <v>100</v>
      </c>
      <c r="G1073">
        <v>2010</v>
      </c>
      <c r="H1073">
        <f>AVERAGEIFS(Table1[value],Table1[IndicatorCode],Table1[[#This Row],[IndicatorCode]])</f>
        <v>99.756410256410263</v>
      </c>
      <c r="I1073" cm="1">
        <f t="array" ref="I1073">_xlfn.STDEV.P(IF(Table1[IndicatorCode]=Table1[[#This Row],[IndicatorCode]],Table1[value]))</f>
        <v>1.1047979755287356</v>
      </c>
      <c r="J1073">
        <f>(Table1[[#This Row],[value]] - Table1[[#This Row],[mean]]) / Table1[[#This Row],[std_dev]]</f>
        <v>0.22048351733552002</v>
      </c>
      <c r="K1073">
        <f>AVERAGEIF(Table1[CountryCode],Table1[[#This Row],[CountryCode]],Table1[z-score])</f>
        <v>-0.90374566436467785</v>
      </c>
      <c r="L1073" t="e">
        <f>VLOOKUP(Table1[[#This Row],[CountryCode]],[1]!Table1[#All],1,FALSE)</f>
        <v>#REF!</v>
      </c>
    </row>
    <row r="1074" spans="1:12" hidden="1" x14ac:dyDescent="0.3">
      <c r="A1074" t="s">
        <v>73</v>
      </c>
      <c r="B1074" t="s">
        <v>74</v>
      </c>
      <c r="C1074" t="s">
        <v>9</v>
      </c>
      <c r="D1074" t="s">
        <v>10</v>
      </c>
      <c r="E1074">
        <v>2015</v>
      </c>
      <c r="F1074" s="1">
        <v>99</v>
      </c>
      <c r="G1074">
        <v>2010</v>
      </c>
      <c r="H1074">
        <f>AVERAGEIFS(Table1[value],Table1[IndicatorCode],Table1[[#This Row],[IndicatorCode]])</f>
        <v>99.756410256410263</v>
      </c>
      <c r="I1074" cm="1">
        <f t="array" ref="I1074">_xlfn.STDEV.P(IF(Table1[IndicatorCode]=Table1[[#This Row],[IndicatorCode]],Table1[value]))</f>
        <v>1.1047979755287356</v>
      </c>
      <c r="J1074">
        <f>(Table1[[#This Row],[value]] - Table1[[#This Row],[mean]]) / Table1[[#This Row],[std_dev]]</f>
        <v>-0.68465934330505884</v>
      </c>
      <c r="K1074">
        <f>AVERAGEIF(Table1[CountryCode],Table1[[#This Row],[CountryCode]],Table1[z-score])</f>
        <v>-0.90374566436467785</v>
      </c>
      <c r="L1074" t="e">
        <f>VLOOKUP(Table1[[#This Row],[CountryCode]],[1]!Table1[#All],1,FALSE)</f>
        <v>#REF!</v>
      </c>
    </row>
    <row r="1075" spans="1:12" hidden="1" x14ac:dyDescent="0.3">
      <c r="A1075" t="s">
        <v>73</v>
      </c>
      <c r="B1075" t="s">
        <v>74</v>
      </c>
      <c r="C1075" t="s">
        <v>9</v>
      </c>
      <c r="D1075" t="s">
        <v>10</v>
      </c>
      <c r="E1075">
        <v>2016</v>
      </c>
      <c r="F1075" s="1">
        <v>100</v>
      </c>
      <c r="G1075">
        <v>2010</v>
      </c>
      <c r="H1075">
        <f>AVERAGEIFS(Table1[value],Table1[IndicatorCode],Table1[[#This Row],[IndicatorCode]])</f>
        <v>99.756410256410263</v>
      </c>
      <c r="I1075" cm="1">
        <f t="array" ref="I1075">_xlfn.STDEV.P(IF(Table1[IndicatorCode]=Table1[[#This Row],[IndicatorCode]],Table1[value]))</f>
        <v>1.1047979755287356</v>
      </c>
      <c r="J1075">
        <f>(Table1[[#This Row],[value]] - Table1[[#This Row],[mean]]) / Table1[[#This Row],[std_dev]]</f>
        <v>0.22048351733552002</v>
      </c>
      <c r="K1075">
        <f>AVERAGEIF(Table1[CountryCode],Table1[[#This Row],[CountryCode]],Table1[z-score])</f>
        <v>-0.90374566436467785</v>
      </c>
      <c r="L1075" t="e">
        <f>VLOOKUP(Table1[[#This Row],[CountryCode]],[1]!Table1[#All],1,FALSE)</f>
        <v>#REF!</v>
      </c>
    </row>
    <row r="1076" spans="1:12" hidden="1" x14ac:dyDescent="0.3">
      <c r="A1076" t="s">
        <v>73</v>
      </c>
      <c r="B1076" t="s">
        <v>74</v>
      </c>
      <c r="C1076" t="s">
        <v>9</v>
      </c>
      <c r="D1076" t="s">
        <v>10</v>
      </c>
      <c r="E1076">
        <v>2017</v>
      </c>
      <c r="F1076" s="1">
        <v>100</v>
      </c>
      <c r="G1076">
        <v>2020</v>
      </c>
      <c r="H1076">
        <f>AVERAGEIFS(Table1[value],Table1[IndicatorCode],Table1[[#This Row],[IndicatorCode]])</f>
        <v>99.756410256410263</v>
      </c>
      <c r="I1076" cm="1">
        <f t="array" ref="I1076">_xlfn.STDEV.P(IF(Table1[IndicatorCode]=Table1[[#This Row],[IndicatorCode]],Table1[value]))</f>
        <v>1.1047979755287356</v>
      </c>
      <c r="J1076">
        <f>(Table1[[#This Row],[value]] - Table1[[#This Row],[mean]]) / Table1[[#This Row],[std_dev]]</f>
        <v>0.22048351733552002</v>
      </c>
      <c r="K1076">
        <f>AVERAGEIF(Table1[CountryCode],Table1[[#This Row],[CountryCode]],Table1[z-score])</f>
        <v>-0.90374566436467785</v>
      </c>
      <c r="L1076" t="e">
        <f>VLOOKUP(Table1[[#This Row],[CountryCode]],[1]!Table1[#All],1,FALSE)</f>
        <v>#REF!</v>
      </c>
    </row>
    <row r="1077" spans="1:12" hidden="1" x14ac:dyDescent="0.3">
      <c r="A1077" t="s">
        <v>73</v>
      </c>
      <c r="B1077" t="s">
        <v>74</v>
      </c>
      <c r="C1077" t="s">
        <v>9</v>
      </c>
      <c r="D1077" t="s">
        <v>10</v>
      </c>
      <c r="E1077">
        <v>2018</v>
      </c>
      <c r="F1077" s="1">
        <v>100</v>
      </c>
      <c r="G1077">
        <v>2020</v>
      </c>
      <c r="H1077">
        <f>AVERAGEIFS(Table1[value],Table1[IndicatorCode],Table1[[#This Row],[IndicatorCode]])</f>
        <v>99.756410256410263</v>
      </c>
      <c r="I1077" cm="1">
        <f t="array" ref="I1077">_xlfn.STDEV.P(IF(Table1[IndicatorCode]=Table1[[#This Row],[IndicatorCode]],Table1[value]))</f>
        <v>1.1047979755287356</v>
      </c>
      <c r="J1077">
        <f>(Table1[[#This Row],[value]] - Table1[[#This Row],[mean]]) / Table1[[#This Row],[std_dev]]</f>
        <v>0.22048351733552002</v>
      </c>
      <c r="K1077">
        <f>AVERAGEIF(Table1[CountryCode],Table1[[#This Row],[CountryCode]],Table1[z-score])</f>
        <v>-0.90374566436467785</v>
      </c>
      <c r="L1077" t="e">
        <f>VLOOKUP(Table1[[#This Row],[CountryCode]],[1]!Table1[#All],1,FALSE)</f>
        <v>#REF!</v>
      </c>
    </row>
    <row r="1078" spans="1:12" hidden="1" x14ac:dyDescent="0.3">
      <c r="A1078" t="s">
        <v>73</v>
      </c>
      <c r="B1078" t="s">
        <v>74</v>
      </c>
      <c r="C1078" t="s">
        <v>9</v>
      </c>
      <c r="D1078" t="s">
        <v>10</v>
      </c>
      <c r="E1078">
        <v>2019</v>
      </c>
      <c r="F1078" s="1">
        <v>100</v>
      </c>
      <c r="G1078">
        <v>2020</v>
      </c>
      <c r="H1078">
        <f>AVERAGEIFS(Table1[value],Table1[IndicatorCode],Table1[[#This Row],[IndicatorCode]])</f>
        <v>99.756410256410263</v>
      </c>
      <c r="I1078" cm="1">
        <f t="array" ref="I1078">_xlfn.STDEV.P(IF(Table1[IndicatorCode]=Table1[[#This Row],[IndicatorCode]],Table1[value]))</f>
        <v>1.1047979755287356</v>
      </c>
      <c r="J1078">
        <f>(Table1[[#This Row],[value]] - Table1[[#This Row],[mean]]) / Table1[[#This Row],[std_dev]]</f>
        <v>0.22048351733552002</v>
      </c>
      <c r="K1078">
        <f>AVERAGEIF(Table1[CountryCode],Table1[[#This Row],[CountryCode]],Table1[z-score])</f>
        <v>-0.90374566436467785</v>
      </c>
      <c r="L1078" t="e">
        <f>VLOOKUP(Table1[[#This Row],[CountryCode]],[1]!Table1[#All],1,FALSE)</f>
        <v>#REF!</v>
      </c>
    </row>
    <row r="1079" spans="1:12" x14ac:dyDescent="0.3">
      <c r="A1079" t="s">
        <v>73</v>
      </c>
      <c r="B1079" t="s">
        <v>74</v>
      </c>
      <c r="C1079" t="s">
        <v>9</v>
      </c>
      <c r="D1079" t="s">
        <v>10</v>
      </c>
      <c r="E1079">
        <v>2020</v>
      </c>
      <c r="F1079" s="1">
        <v>100</v>
      </c>
      <c r="G1079">
        <v>2020</v>
      </c>
      <c r="H1079">
        <f>AVERAGEIFS(Table1[value],Table1[IndicatorCode],Table1[[#This Row],[IndicatorCode]])</f>
        <v>99.756410256410263</v>
      </c>
      <c r="I1079" cm="1">
        <f t="array" ref="I1079">_xlfn.STDEV.P(IF(Table1[IndicatorCode]=Table1[[#This Row],[IndicatorCode]],Table1[value]))</f>
        <v>1.1047979755287356</v>
      </c>
      <c r="J1079">
        <f>(Table1[[#This Row],[value]] - Table1[[#This Row],[mean]]) / Table1[[#This Row],[std_dev]]</f>
        <v>0.22048351733552002</v>
      </c>
      <c r="K1079">
        <f>AVERAGEIF(Table1[CountryCode],Table1[[#This Row],[CountryCode]],Table1[z-score])</f>
        <v>-0.90374566436467785</v>
      </c>
    </row>
    <row r="1080" spans="1:12" hidden="1" x14ac:dyDescent="0.3">
      <c r="A1080" t="s">
        <v>73</v>
      </c>
      <c r="B1080" t="s">
        <v>74</v>
      </c>
      <c r="C1080" t="s">
        <v>9</v>
      </c>
      <c r="D1080" t="s">
        <v>10</v>
      </c>
      <c r="E1080">
        <v>2021</v>
      </c>
      <c r="F1080" s="1">
        <v>100</v>
      </c>
      <c r="G1080">
        <v>1990</v>
      </c>
      <c r="H1080">
        <f>AVERAGEIFS(Table1[value],Table1[IndicatorCode],Table1[[#This Row],[IndicatorCode]])</f>
        <v>99.756410256410263</v>
      </c>
      <c r="I1080" cm="1">
        <f t="array" ref="I1080">_xlfn.STDEV.P(IF(Table1[IndicatorCode]=Table1[[#This Row],[IndicatorCode]],Table1[value]))</f>
        <v>1.1047979755287356</v>
      </c>
      <c r="J1080">
        <f>(Table1[[#This Row],[value]] - Table1[[#This Row],[mean]]) / Table1[[#This Row],[std_dev]]</f>
        <v>0.22048351733552002</v>
      </c>
      <c r="K1080">
        <f>AVERAGEIF(Table1[CountryCode],Table1[[#This Row],[CountryCode]],Table1[z-score])</f>
        <v>-0.90374566436467785</v>
      </c>
      <c r="L1080" t="e">
        <f>VLOOKUP(Table1[[#This Row],[CountryCode]],[1]!Table1[#All],1,FALSE)</f>
        <v>#REF!</v>
      </c>
    </row>
    <row r="1081" spans="1:12" hidden="1" x14ac:dyDescent="0.3">
      <c r="A1081" t="s">
        <v>73</v>
      </c>
      <c r="B1081" t="s">
        <v>74</v>
      </c>
      <c r="C1081" t="s">
        <v>9</v>
      </c>
      <c r="D1081" t="s">
        <v>10</v>
      </c>
      <c r="E1081">
        <v>2022</v>
      </c>
      <c r="F1081" s="1">
        <v>100</v>
      </c>
      <c r="G1081">
        <v>1990</v>
      </c>
      <c r="H1081">
        <f>AVERAGEIFS(Table1[value],Table1[IndicatorCode],Table1[[#This Row],[IndicatorCode]])</f>
        <v>99.756410256410263</v>
      </c>
      <c r="I1081" cm="1">
        <f t="array" ref="I1081">_xlfn.STDEV.P(IF(Table1[IndicatorCode]=Table1[[#This Row],[IndicatorCode]],Table1[value]))</f>
        <v>1.1047979755287356</v>
      </c>
      <c r="J1081">
        <f>(Table1[[#This Row],[value]] - Table1[[#This Row],[mean]]) / Table1[[#This Row],[std_dev]]</f>
        <v>0.22048351733552002</v>
      </c>
      <c r="K1081">
        <f>AVERAGEIF(Table1[CountryCode],Table1[[#This Row],[CountryCode]],Table1[z-score])</f>
        <v>-0.90374566436467785</v>
      </c>
      <c r="L1081" t="e">
        <f>VLOOKUP(Table1[[#This Row],[CountryCode]],[1]!Table1[#All],1,FALSE)</f>
        <v>#REF!</v>
      </c>
    </row>
    <row r="1082" spans="1:12" hidden="1" x14ac:dyDescent="0.3">
      <c r="A1082" t="s">
        <v>73</v>
      </c>
      <c r="B1082" t="s">
        <v>74</v>
      </c>
      <c r="C1082" t="s">
        <v>9</v>
      </c>
      <c r="D1082" t="s">
        <v>10</v>
      </c>
      <c r="E1082">
        <v>2023</v>
      </c>
      <c r="F1082" s="1">
        <v>100</v>
      </c>
      <c r="G1082">
        <v>1990</v>
      </c>
      <c r="H1082">
        <f>AVERAGEIFS(Table1[value],Table1[IndicatorCode],Table1[[#This Row],[IndicatorCode]])</f>
        <v>99.756410256410263</v>
      </c>
      <c r="I1082" cm="1">
        <f t="array" ref="I1082">_xlfn.STDEV.P(IF(Table1[IndicatorCode]=Table1[[#This Row],[IndicatorCode]],Table1[value]))</f>
        <v>1.1047979755287356</v>
      </c>
      <c r="J1082">
        <f>(Table1[[#This Row],[value]] - Table1[[#This Row],[mean]]) / Table1[[#This Row],[std_dev]]</f>
        <v>0.22048351733552002</v>
      </c>
      <c r="K1082">
        <f>AVERAGEIF(Table1[CountryCode],Table1[[#This Row],[CountryCode]],Table1[z-score])</f>
        <v>-0.90374566436467785</v>
      </c>
      <c r="L1082" t="e">
        <f>VLOOKUP(Table1[[#This Row],[CountryCode]],[1]!Table1[#All],1,FALSE)</f>
        <v>#REF!</v>
      </c>
    </row>
    <row r="1083" spans="1:12" hidden="1" x14ac:dyDescent="0.3">
      <c r="A1083" t="s">
        <v>75</v>
      </c>
      <c r="B1083" t="s">
        <v>76</v>
      </c>
      <c r="C1083" t="s">
        <v>9</v>
      </c>
      <c r="D1083" t="s">
        <v>10</v>
      </c>
      <c r="E1083">
        <v>1990</v>
      </c>
      <c r="F1083" s="1">
        <v>100</v>
      </c>
      <c r="G1083">
        <v>1990</v>
      </c>
      <c r="H1083">
        <f>AVERAGEIFS(Table1[value],Table1[IndicatorCode],Table1[[#This Row],[IndicatorCode]])</f>
        <v>99.756410256410263</v>
      </c>
      <c r="I1083" cm="1">
        <f t="array" ref="I1083">_xlfn.STDEV.P(IF(Table1[IndicatorCode]=Table1[[#This Row],[IndicatorCode]],Table1[value]))</f>
        <v>1.1047979755287356</v>
      </c>
      <c r="J1083">
        <f>(Table1[[#This Row],[value]] - Table1[[#This Row],[mean]]) / Table1[[#This Row],[std_dev]]</f>
        <v>0.22048351733552002</v>
      </c>
      <c r="K1083">
        <f>AVERAGEIF(Table1[CountryCode],Table1[[#This Row],[CountryCode]],Table1[z-score])</f>
        <v>0.62960664015735945</v>
      </c>
      <c r="L1083" t="e">
        <f>VLOOKUP(Table1[[#This Row],[CountryCode]],[1]!Table1[#All],1,FALSE)</f>
        <v>#REF!</v>
      </c>
    </row>
    <row r="1084" spans="1:12" hidden="1" x14ac:dyDescent="0.3">
      <c r="A1084" t="s">
        <v>75</v>
      </c>
      <c r="B1084" t="s">
        <v>76</v>
      </c>
      <c r="C1084" t="s">
        <v>9</v>
      </c>
      <c r="D1084" t="s">
        <v>10</v>
      </c>
      <c r="E1084">
        <v>1991</v>
      </c>
      <c r="F1084" s="1">
        <v>100</v>
      </c>
      <c r="G1084">
        <v>1990</v>
      </c>
      <c r="H1084">
        <f>AVERAGEIFS(Table1[value],Table1[IndicatorCode],Table1[[#This Row],[IndicatorCode]])</f>
        <v>99.756410256410263</v>
      </c>
      <c r="I1084" cm="1">
        <f t="array" ref="I1084">_xlfn.STDEV.P(IF(Table1[IndicatorCode]=Table1[[#This Row],[IndicatorCode]],Table1[value]))</f>
        <v>1.1047979755287356</v>
      </c>
      <c r="J1084">
        <f>(Table1[[#This Row],[value]] - Table1[[#This Row],[mean]]) / Table1[[#This Row],[std_dev]]</f>
        <v>0.22048351733552002</v>
      </c>
      <c r="K1084">
        <f>AVERAGEIF(Table1[CountryCode],Table1[[#This Row],[CountryCode]],Table1[z-score])</f>
        <v>0.62960664015735945</v>
      </c>
      <c r="L1084" t="e">
        <f>VLOOKUP(Table1[[#This Row],[CountryCode]],[1]!Table1[#All],1,FALSE)</f>
        <v>#REF!</v>
      </c>
    </row>
    <row r="1085" spans="1:12" hidden="1" x14ac:dyDescent="0.3">
      <c r="A1085" t="s">
        <v>75</v>
      </c>
      <c r="B1085" t="s">
        <v>76</v>
      </c>
      <c r="C1085" t="s">
        <v>9</v>
      </c>
      <c r="D1085" t="s">
        <v>10</v>
      </c>
      <c r="E1085">
        <v>1992</v>
      </c>
      <c r="F1085" s="1">
        <v>100</v>
      </c>
      <c r="G1085">
        <v>1990</v>
      </c>
      <c r="H1085">
        <f>AVERAGEIFS(Table1[value],Table1[IndicatorCode],Table1[[#This Row],[IndicatorCode]])</f>
        <v>99.756410256410263</v>
      </c>
      <c r="I1085" cm="1">
        <f t="array" ref="I1085">_xlfn.STDEV.P(IF(Table1[IndicatorCode]=Table1[[#This Row],[IndicatorCode]],Table1[value]))</f>
        <v>1.1047979755287356</v>
      </c>
      <c r="J1085">
        <f>(Table1[[#This Row],[value]] - Table1[[#This Row],[mean]]) / Table1[[#This Row],[std_dev]]</f>
        <v>0.22048351733552002</v>
      </c>
      <c r="K1085">
        <f>AVERAGEIF(Table1[CountryCode],Table1[[#This Row],[CountryCode]],Table1[z-score])</f>
        <v>0.62960664015735945</v>
      </c>
      <c r="L1085" t="e">
        <f>VLOOKUP(Table1[[#This Row],[CountryCode]],[1]!Table1[#All],1,FALSE)</f>
        <v>#REF!</v>
      </c>
    </row>
    <row r="1086" spans="1:12" hidden="1" x14ac:dyDescent="0.3">
      <c r="A1086" t="s">
        <v>75</v>
      </c>
      <c r="B1086" t="s">
        <v>76</v>
      </c>
      <c r="C1086" t="s">
        <v>9</v>
      </c>
      <c r="D1086" t="s">
        <v>10</v>
      </c>
      <c r="E1086">
        <v>1993</v>
      </c>
      <c r="F1086" s="1">
        <v>100</v>
      </c>
      <c r="G1086">
        <v>1990</v>
      </c>
      <c r="H1086">
        <f>AVERAGEIFS(Table1[value],Table1[IndicatorCode],Table1[[#This Row],[IndicatorCode]])</f>
        <v>99.756410256410263</v>
      </c>
      <c r="I1086" cm="1">
        <f t="array" ref="I1086">_xlfn.STDEV.P(IF(Table1[IndicatorCode]=Table1[[#This Row],[IndicatorCode]],Table1[value]))</f>
        <v>1.1047979755287356</v>
      </c>
      <c r="J1086">
        <f>(Table1[[#This Row],[value]] - Table1[[#This Row],[mean]]) / Table1[[#This Row],[std_dev]]</f>
        <v>0.22048351733552002</v>
      </c>
      <c r="K1086">
        <f>AVERAGEIF(Table1[CountryCode],Table1[[#This Row],[CountryCode]],Table1[z-score])</f>
        <v>0.62960664015735945</v>
      </c>
      <c r="L1086" t="e">
        <f>VLOOKUP(Table1[[#This Row],[CountryCode]],[1]!Table1[#All],1,FALSE)</f>
        <v>#REF!</v>
      </c>
    </row>
    <row r="1087" spans="1:12" hidden="1" x14ac:dyDescent="0.3">
      <c r="A1087" t="s">
        <v>75</v>
      </c>
      <c r="B1087" t="s">
        <v>76</v>
      </c>
      <c r="C1087" t="s">
        <v>9</v>
      </c>
      <c r="D1087" t="s">
        <v>10</v>
      </c>
      <c r="E1087">
        <v>1994</v>
      </c>
      <c r="F1087" s="1">
        <v>100</v>
      </c>
      <c r="G1087">
        <v>1990</v>
      </c>
      <c r="H1087">
        <f>AVERAGEIFS(Table1[value],Table1[IndicatorCode],Table1[[#This Row],[IndicatorCode]])</f>
        <v>99.756410256410263</v>
      </c>
      <c r="I1087" cm="1">
        <f t="array" ref="I1087">_xlfn.STDEV.P(IF(Table1[IndicatorCode]=Table1[[#This Row],[IndicatorCode]],Table1[value]))</f>
        <v>1.1047979755287356</v>
      </c>
      <c r="J1087">
        <f>(Table1[[#This Row],[value]] - Table1[[#This Row],[mean]]) / Table1[[#This Row],[std_dev]]</f>
        <v>0.22048351733552002</v>
      </c>
      <c r="K1087">
        <f>AVERAGEIF(Table1[CountryCode],Table1[[#This Row],[CountryCode]],Table1[z-score])</f>
        <v>0.62960664015735945</v>
      </c>
      <c r="L1087" t="e">
        <f>VLOOKUP(Table1[[#This Row],[CountryCode]],[1]!Table1[#All],1,FALSE)</f>
        <v>#REF!</v>
      </c>
    </row>
    <row r="1088" spans="1:12" hidden="1" x14ac:dyDescent="0.3">
      <c r="A1088" t="s">
        <v>75</v>
      </c>
      <c r="B1088" t="s">
        <v>76</v>
      </c>
      <c r="C1088" t="s">
        <v>9</v>
      </c>
      <c r="D1088" t="s">
        <v>10</v>
      </c>
      <c r="E1088">
        <v>1995</v>
      </c>
      <c r="F1088" s="1">
        <v>100</v>
      </c>
      <c r="G1088">
        <v>1990</v>
      </c>
      <c r="H1088">
        <f>AVERAGEIFS(Table1[value],Table1[IndicatorCode],Table1[[#This Row],[IndicatorCode]])</f>
        <v>99.756410256410263</v>
      </c>
      <c r="I1088" cm="1">
        <f t="array" ref="I1088">_xlfn.STDEV.P(IF(Table1[IndicatorCode]=Table1[[#This Row],[IndicatorCode]],Table1[value]))</f>
        <v>1.1047979755287356</v>
      </c>
      <c r="J1088">
        <f>(Table1[[#This Row],[value]] - Table1[[#This Row],[mean]]) / Table1[[#This Row],[std_dev]]</f>
        <v>0.22048351733552002</v>
      </c>
      <c r="K1088">
        <f>AVERAGEIF(Table1[CountryCode],Table1[[#This Row],[CountryCode]],Table1[z-score])</f>
        <v>0.62960664015735945</v>
      </c>
      <c r="L1088" t="e">
        <f>VLOOKUP(Table1[[#This Row],[CountryCode]],[1]!Table1[#All],1,FALSE)</f>
        <v>#REF!</v>
      </c>
    </row>
    <row r="1089" spans="1:12" hidden="1" x14ac:dyDescent="0.3">
      <c r="A1089" t="s">
        <v>75</v>
      </c>
      <c r="B1089" t="s">
        <v>76</v>
      </c>
      <c r="C1089" t="s">
        <v>9</v>
      </c>
      <c r="D1089" t="s">
        <v>10</v>
      </c>
      <c r="E1089">
        <v>1996</v>
      </c>
      <c r="F1089" s="1">
        <v>100</v>
      </c>
      <c r="G1089">
        <v>1990</v>
      </c>
      <c r="H1089">
        <f>AVERAGEIFS(Table1[value],Table1[IndicatorCode],Table1[[#This Row],[IndicatorCode]])</f>
        <v>99.756410256410263</v>
      </c>
      <c r="I1089" cm="1">
        <f t="array" ref="I1089">_xlfn.STDEV.P(IF(Table1[IndicatorCode]=Table1[[#This Row],[IndicatorCode]],Table1[value]))</f>
        <v>1.1047979755287356</v>
      </c>
      <c r="J1089">
        <f>(Table1[[#This Row],[value]] - Table1[[#This Row],[mean]]) / Table1[[#This Row],[std_dev]]</f>
        <v>0.22048351733552002</v>
      </c>
      <c r="K1089">
        <f>AVERAGEIF(Table1[CountryCode],Table1[[#This Row],[CountryCode]],Table1[z-score])</f>
        <v>0.62960664015735945</v>
      </c>
      <c r="L1089" t="e">
        <f>VLOOKUP(Table1[[#This Row],[CountryCode]],[1]!Table1[#All],1,FALSE)</f>
        <v>#REF!</v>
      </c>
    </row>
    <row r="1090" spans="1:12" hidden="1" x14ac:dyDescent="0.3">
      <c r="A1090" t="s">
        <v>75</v>
      </c>
      <c r="B1090" t="s">
        <v>76</v>
      </c>
      <c r="C1090" t="s">
        <v>9</v>
      </c>
      <c r="D1090" t="s">
        <v>10</v>
      </c>
      <c r="E1090">
        <v>1997</v>
      </c>
      <c r="F1090" s="1">
        <v>100</v>
      </c>
      <c r="G1090">
        <v>2000</v>
      </c>
      <c r="H1090">
        <f>AVERAGEIFS(Table1[value],Table1[IndicatorCode],Table1[[#This Row],[IndicatorCode]])</f>
        <v>99.756410256410263</v>
      </c>
      <c r="I1090" cm="1">
        <f t="array" ref="I1090">_xlfn.STDEV.P(IF(Table1[IndicatorCode]=Table1[[#This Row],[IndicatorCode]],Table1[value]))</f>
        <v>1.1047979755287356</v>
      </c>
      <c r="J1090">
        <f>(Table1[[#This Row],[value]] - Table1[[#This Row],[mean]]) / Table1[[#This Row],[std_dev]]</f>
        <v>0.22048351733552002</v>
      </c>
      <c r="K1090">
        <f>AVERAGEIF(Table1[CountryCode],Table1[[#This Row],[CountryCode]],Table1[z-score])</f>
        <v>0.62960664015735945</v>
      </c>
      <c r="L1090" t="e">
        <f>VLOOKUP(Table1[[#This Row],[CountryCode]],[1]!Table1[#All],1,FALSE)</f>
        <v>#REF!</v>
      </c>
    </row>
    <row r="1091" spans="1:12" hidden="1" x14ac:dyDescent="0.3">
      <c r="A1091" t="s">
        <v>75</v>
      </c>
      <c r="B1091" t="s">
        <v>76</v>
      </c>
      <c r="C1091" t="s">
        <v>9</v>
      </c>
      <c r="D1091" t="s">
        <v>10</v>
      </c>
      <c r="E1091">
        <v>1998</v>
      </c>
      <c r="F1091" s="1">
        <v>100</v>
      </c>
      <c r="G1091">
        <v>2000</v>
      </c>
      <c r="H1091">
        <f>AVERAGEIFS(Table1[value],Table1[IndicatorCode],Table1[[#This Row],[IndicatorCode]])</f>
        <v>99.756410256410263</v>
      </c>
      <c r="I1091" cm="1">
        <f t="array" ref="I1091">_xlfn.STDEV.P(IF(Table1[IndicatorCode]=Table1[[#This Row],[IndicatorCode]],Table1[value]))</f>
        <v>1.1047979755287356</v>
      </c>
      <c r="J1091">
        <f>(Table1[[#This Row],[value]] - Table1[[#This Row],[mean]]) / Table1[[#This Row],[std_dev]]</f>
        <v>0.22048351733552002</v>
      </c>
      <c r="K1091">
        <f>AVERAGEIF(Table1[CountryCode],Table1[[#This Row],[CountryCode]],Table1[z-score])</f>
        <v>0.62960664015735945</v>
      </c>
      <c r="L1091" t="e">
        <f>VLOOKUP(Table1[[#This Row],[CountryCode]],[1]!Table1[#All],1,FALSE)</f>
        <v>#REF!</v>
      </c>
    </row>
    <row r="1092" spans="1:12" hidden="1" x14ac:dyDescent="0.3">
      <c r="A1092" t="s">
        <v>75</v>
      </c>
      <c r="B1092" t="s">
        <v>76</v>
      </c>
      <c r="C1092" t="s">
        <v>9</v>
      </c>
      <c r="D1092" t="s">
        <v>10</v>
      </c>
      <c r="E1092">
        <v>1999</v>
      </c>
      <c r="F1092" s="1">
        <v>100</v>
      </c>
      <c r="G1092">
        <v>2000</v>
      </c>
      <c r="H1092">
        <f>AVERAGEIFS(Table1[value],Table1[IndicatorCode],Table1[[#This Row],[IndicatorCode]])</f>
        <v>99.756410256410263</v>
      </c>
      <c r="I1092" cm="1">
        <f t="array" ref="I1092">_xlfn.STDEV.P(IF(Table1[IndicatorCode]=Table1[[#This Row],[IndicatorCode]],Table1[value]))</f>
        <v>1.1047979755287356</v>
      </c>
      <c r="J1092">
        <f>(Table1[[#This Row],[value]] - Table1[[#This Row],[mean]]) / Table1[[#This Row],[std_dev]]</f>
        <v>0.22048351733552002</v>
      </c>
      <c r="K1092">
        <f>AVERAGEIF(Table1[CountryCode],Table1[[#This Row],[CountryCode]],Table1[z-score])</f>
        <v>0.62960664015735945</v>
      </c>
      <c r="L1092" t="e">
        <f>VLOOKUP(Table1[[#This Row],[CountryCode]],[1]!Table1[#All],1,FALSE)</f>
        <v>#REF!</v>
      </c>
    </row>
    <row r="1093" spans="1:12" hidden="1" x14ac:dyDescent="0.3">
      <c r="A1093" t="s">
        <v>75</v>
      </c>
      <c r="B1093" t="s">
        <v>76</v>
      </c>
      <c r="C1093" t="s">
        <v>9</v>
      </c>
      <c r="D1093" t="s">
        <v>10</v>
      </c>
      <c r="E1093">
        <v>2000</v>
      </c>
      <c r="F1093" s="1">
        <v>100</v>
      </c>
      <c r="G1093">
        <v>2000</v>
      </c>
      <c r="H1093">
        <f>AVERAGEIFS(Table1[value],Table1[IndicatorCode],Table1[[#This Row],[IndicatorCode]])</f>
        <v>99.756410256410263</v>
      </c>
      <c r="I1093" cm="1">
        <f t="array" ref="I1093">_xlfn.STDEV.P(IF(Table1[IndicatorCode]=Table1[[#This Row],[IndicatorCode]],Table1[value]))</f>
        <v>1.1047979755287356</v>
      </c>
      <c r="J1093">
        <f>(Table1[[#This Row],[value]] - Table1[[#This Row],[mean]]) / Table1[[#This Row],[std_dev]]</f>
        <v>0.22048351733552002</v>
      </c>
      <c r="K1093">
        <f>AVERAGEIF(Table1[CountryCode],Table1[[#This Row],[CountryCode]],Table1[z-score])</f>
        <v>0.62960664015735945</v>
      </c>
      <c r="L1093" t="e">
        <f>VLOOKUP(Table1[[#This Row],[CountryCode]],[1]!Table1[#All],1,FALSE)</f>
        <v>#REF!</v>
      </c>
    </row>
    <row r="1094" spans="1:12" hidden="1" x14ac:dyDescent="0.3">
      <c r="A1094" t="s">
        <v>75</v>
      </c>
      <c r="B1094" t="s">
        <v>76</v>
      </c>
      <c r="C1094" t="s">
        <v>9</v>
      </c>
      <c r="D1094" t="s">
        <v>10</v>
      </c>
      <c r="E1094">
        <v>2001</v>
      </c>
      <c r="F1094" s="1">
        <v>100</v>
      </c>
      <c r="G1094">
        <v>2000</v>
      </c>
      <c r="H1094">
        <f>AVERAGEIFS(Table1[value],Table1[IndicatorCode],Table1[[#This Row],[IndicatorCode]])</f>
        <v>99.756410256410263</v>
      </c>
      <c r="I1094" cm="1">
        <f t="array" ref="I1094">_xlfn.STDEV.P(IF(Table1[IndicatorCode]=Table1[[#This Row],[IndicatorCode]],Table1[value]))</f>
        <v>1.1047979755287356</v>
      </c>
      <c r="J1094">
        <f>(Table1[[#This Row],[value]] - Table1[[#This Row],[mean]]) / Table1[[#This Row],[std_dev]]</f>
        <v>0.22048351733552002</v>
      </c>
      <c r="K1094">
        <f>AVERAGEIF(Table1[CountryCode],Table1[[#This Row],[CountryCode]],Table1[z-score])</f>
        <v>0.62960664015735945</v>
      </c>
      <c r="L1094" t="e">
        <f>VLOOKUP(Table1[[#This Row],[CountryCode]],[1]!Table1[#All],1,FALSE)</f>
        <v>#REF!</v>
      </c>
    </row>
    <row r="1095" spans="1:12" hidden="1" x14ac:dyDescent="0.3">
      <c r="A1095" t="s">
        <v>75</v>
      </c>
      <c r="B1095" t="s">
        <v>76</v>
      </c>
      <c r="C1095" t="s">
        <v>9</v>
      </c>
      <c r="D1095" t="s">
        <v>10</v>
      </c>
      <c r="E1095">
        <v>2002</v>
      </c>
      <c r="F1095" s="1">
        <v>100</v>
      </c>
      <c r="G1095">
        <v>2000</v>
      </c>
      <c r="H1095">
        <f>AVERAGEIFS(Table1[value],Table1[IndicatorCode],Table1[[#This Row],[IndicatorCode]])</f>
        <v>99.756410256410263</v>
      </c>
      <c r="I1095" cm="1">
        <f t="array" ref="I1095">_xlfn.STDEV.P(IF(Table1[IndicatorCode]=Table1[[#This Row],[IndicatorCode]],Table1[value]))</f>
        <v>1.1047979755287356</v>
      </c>
      <c r="J1095">
        <f>(Table1[[#This Row],[value]] - Table1[[#This Row],[mean]]) / Table1[[#This Row],[std_dev]]</f>
        <v>0.22048351733552002</v>
      </c>
      <c r="K1095">
        <f>AVERAGEIF(Table1[CountryCode],Table1[[#This Row],[CountryCode]],Table1[z-score])</f>
        <v>0.62960664015735945</v>
      </c>
      <c r="L1095" t="e">
        <f>VLOOKUP(Table1[[#This Row],[CountryCode]],[1]!Table1[#All],1,FALSE)</f>
        <v>#REF!</v>
      </c>
    </row>
    <row r="1096" spans="1:12" hidden="1" x14ac:dyDescent="0.3">
      <c r="A1096" t="s">
        <v>75</v>
      </c>
      <c r="B1096" t="s">
        <v>76</v>
      </c>
      <c r="C1096" t="s">
        <v>9</v>
      </c>
      <c r="D1096" t="s">
        <v>10</v>
      </c>
      <c r="E1096">
        <v>2003</v>
      </c>
      <c r="F1096" s="1">
        <v>100</v>
      </c>
      <c r="G1096">
        <v>2000</v>
      </c>
      <c r="H1096">
        <f>AVERAGEIFS(Table1[value],Table1[IndicatorCode],Table1[[#This Row],[IndicatorCode]])</f>
        <v>99.756410256410263</v>
      </c>
      <c r="I1096" cm="1">
        <f t="array" ref="I1096">_xlfn.STDEV.P(IF(Table1[IndicatorCode]=Table1[[#This Row],[IndicatorCode]],Table1[value]))</f>
        <v>1.1047979755287356</v>
      </c>
      <c r="J1096">
        <f>(Table1[[#This Row],[value]] - Table1[[#This Row],[mean]]) / Table1[[#This Row],[std_dev]]</f>
        <v>0.22048351733552002</v>
      </c>
      <c r="K1096">
        <f>AVERAGEIF(Table1[CountryCode],Table1[[#This Row],[CountryCode]],Table1[z-score])</f>
        <v>0.62960664015735945</v>
      </c>
      <c r="L1096" t="e">
        <f>VLOOKUP(Table1[[#This Row],[CountryCode]],[1]!Table1[#All],1,FALSE)</f>
        <v>#REF!</v>
      </c>
    </row>
    <row r="1097" spans="1:12" hidden="1" x14ac:dyDescent="0.3">
      <c r="A1097" t="s">
        <v>75</v>
      </c>
      <c r="B1097" t="s">
        <v>76</v>
      </c>
      <c r="C1097" t="s">
        <v>9</v>
      </c>
      <c r="D1097" t="s">
        <v>10</v>
      </c>
      <c r="E1097">
        <v>2004</v>
      </c>
      <c r="F1097" s="1">
        <v>100</v>
      </c>
      <c r="G1097">
        <v>2000</v>
      </c>
      <c r="H1097">
        <f>AVERAGEIFS(Table1[value],Table1[IndicatorCode],Table1[[#This Row],[IndicatorCode]])</f>
        <v>99.756410256410263</v>
      </c>
      <c r="I1097" cm="1">
        <f t="array" ref="I1097">_xlfn.STDEV.P(IF(Table1[IndicatorCode]=Table1[[#This Row],[IndicatorCode]],Table1[value]))</f>
        <v>1.1047979755287356</v>
      </c>
      <c r="J1097">
        <f>(Table1[[#This Row],[value]] - Table1[[#This Row],[mean]]) / Table1[[#This Row],[std_dev]]</f>
        <v>0.22048351733552002</v>
      </c>
      <c r="K1097">
        <f>AVERAGEIF(Table1[CountryCode],Table1[[#This Row],[CountryCode]],Table1[z-score])</f>
        <v>0.62960664015735945</v>
      </c>
      <c r="L1097" t="e">
        <f>VLOOKUP(Table1[[#This Row],[CountryCode]],[1]!Table1[#All],1,FALSE)</f>
        <v>#REF!</v>
      </c>
    </row>
    <row r="1098" spans="1:12" hidden="1" x14ac:dyDescent="0.3">
      <c r="A1098" t="s">
        <v>75</v>
      </c>
      <c r="B1098" t="s">
        <v>76</v>
      </c>
      <c r="C1098" t="s">
        <v>9</v>
      </c>
      <c r="D1098" t="s">
        <v>10</v>
      </c>
      <c r="E1098">
        <v>2005</v>
      </c>
      <c r="F1098" s="1">
        <v>100</v>
      </c>
      <c r="G1098">
        <v>2000</v>
      </c>
      <c r="H1098">
        <f>AVERAGEIFS(Table1[value],Table1[IndicatorCode],Table1[[#This Row],[IndicatorCode]])</f>
        <v>99.756410256410263</v>
      </c>
      <c r="I1098" cm="1">
        <f t="array" ref="I1098">_xlfn.STDEV.P(IF(Table1[IndicatorCode]=Table1[[#This Row],[IndicatorCode]],Table1[value]))</f>
        <v>1.1047979755287356</v>
      </c>
      <c r="J1098">
        <f>(Table1[[#This Row],[value]] - Table1[[#This Row],[mean]]) / Table1[[#This Row],[std_dev]]</f>
        <v>0.22048351733552002</v>
      </c>
      <c r="K1098">
        <f>AVERAGEIF(Table1[CountryCode],Table1[[#This Row],[CountryCode]],Table1[z-score])</f>
        <v>0.62960664015735945</v>
      </c>
      <c r="L1098" t="e">
        <f>VLOOKUP(Table1[[#This Row],[CountryCode]],[1]!Table1[#All],1,FALSE)</f>
        <v>#REF!</v>
      </c>
    </row>
    <row r="1099" spans="1:12" hidden="1" x14ac:dyDescent="0.3">
      <c r="A1099" t="s">
        <v>75</v>
      </c>
      <c r="B1099" t="s">
        <v>76</v>
      </c>
      <c r="C1099" t="s">
        <v>9</v>
      </c>
      <c r="D1099" t="s">
        <v>10</v>
      </c>
      <c r="E1099">
        <v>2006</v>
      </c>
      <c r="F1099" s="1">
        <v>100</v>
      </c>
      <c r="G1099">
        <v>2000</v>
      </c>
      <c r="H1099">
        <f>AVERAGEIFS(Table1[value],Table1[IndicatorCode],Table1[[#This Row],[IndicatorCode]])</f>
        <v>99.756410256410263</v>
      </c>
      <c r="I1099" cm="1">
        <f t="array" ref="I1099">_xlfn.STDEV.P(IF(Table1[IndicatorCode]=Table1[[#This Row],[IndicatorCode]],Table1[value]))</f>
        <v>1.1047979755287356</v>
      </c>
      <c r="J1099">
        <f>(Table1[[#This Row],[value]] - Table1[[#This Row],[mean]]) / Table1[[#This Row],[std_dev]]</f>
        <v>0.22048351733552002</v>
      </c>
      <c r="K1099">
        <f>AVERAGEIF(Table1[CountryCode],Table1[[#This Row],[CountryCode]],Table1[z-score])</f>
        <v>0.62960664015735945</v>
      </c>
      <c r="L1099" t="e">
        <f>VLOOKUP(Table1[[#This Row],[CountryCode]],[1]!Table1[#All],1,FALSE)</f>
        <v>#REF!</v>
      </c>
    </row>
    <row r="1100" spans="1:12" hidden="1" x14ac:dyDescent="0.3">
      <c r="A1100" t="s">
        <v>75</v>
      </c>
      <c r="B1100" t="s">
        <v>76</v>
      </c>
      <c r="C1100" t="s">
        <v>9</v>
      </c>
      <c r="D1100" t="s">
        <v>10</v>
      </c>
      <c r="E1100">
        <v>2007</v>
      </c>
      <c r="F1100" s="1">
        <v>100</v>
      </c>
      <c r="G1100">
        <v>2010</v>
      </c>
      <c r="H1100">
        <f>AVERAGEIFS(Table1[value],Table1[IndicatorCode],Table1[[#This Row],[IndicatorCode]])</f>
        <v>99.756410256410263</v>
      </c>
      <c r="I1100" cm="1">
        <f t="array" ref="I1100">_xlfn.STDEV.P(IF(Table1[IndicatorCode]=Table1[[#This Row],[IndicatorCode]],Table1[value]))</f>
        <v>1.1047979755287356</v>
      </c>
      <c r="J1100">
        <f>(Table1[[#This Row],[value]] - Table1[[#This Row],[mean]]) / Table1[[#This Row],[std_dev]]</f>
        <v>0.22048351733552002</v>
      </c>
      <c r="K1100">
        <f>AVERAGEIF(Table1[CountryCode],Table1[[#This Row],[CountryCode]],Table1[z-score])</f>
        <v>0.62960664015735945</v>
      </c>
      <c r="L1100" t="e">
        <f>VLOOKUP(Table1[[#This Row],[CountryCode]],[1]!Table1[#All],1,FALSE)</f>
        <v>#REF!</v>
      </c>
    </row>
    <row r="1101" spans="1:12" hidden="1" x14ac:dyDescent="0.3">
      <c r="A1101" t="s">
        <v>75</v>
      </c>
      <c r="B1101" t="s">
        <v>76</v>
      </c>
      <c r="C1101" t="s">
        <v>9</v>
      </c>
      <c r="D1101" t="s">
        <v>10</v>
      </c>
      <c r="E1101">
        <v>2008</v>
      </c>
      <c r="F1101" s="1">
        <v>100</v>
      </c>
      <c r="G1101">
        <v>2010</v>
      </c>
      <c r="H1101">
        <f>AVERAGEIFS(Table1[value],Table1[IndicatorCode],Table1[[#This Row],[IndicatorCode]])</f>
        <v>99.756410256410263</v>
      </c>
      <c r="I1101" cm="1">
        <f t="array" ref="I1101">_xlfn.STDEV.P(IF(Table1[IndicatorCode]=Table1[[#This Row],[IndicatorCode]],Table1[value]))</f>
        <v>1.1047979755287356</v>
      </c>
      <c r="J1101">
        <f>(Table1[[#This Row],[value]] - Table1[[#This Row],[mean]]) / Table1[[#This Row],[std_dev]]</f>
        <v>0.22048351733552002</v>
      </c>
      <c r="K1101">
        <f>AVERAGEIF(Table1[CountryCode],Table1[[#This Row],[CountryCode]],Table1[z-score])</f>
        <v>0.62960664015735945</v>
      </c>
      <c r="L1101" t="e">
        <f>VLOOKUP(Table1[[#This Row],[CountryCode]],[1]!Table1[#All],1,FALSE)</f>
        <v>#REF!</v>
      </c>
    </row>
    <row r="1102" spans="1:12" hidden="1" x14ac:dyDescent="0.3">
      <c r="A1102" t="s">
        <v>75</v>
      </c>
      <c r="B1102" t="s">
        <v>76</v>
      </c>
      <c r="C1102" t="s">
        <v>9</v>
      </c>
      <c r="D1102" t="s">
        <v>10</v>
      </c>
      <c r="E1102">
        <v>2009</v>
      </c>
      <c r="F1102" s="1">
        <v>100</v>
      </c>
      <c r="G1102">
        <v>2010</v>
      </c>
      <c r="H1102">
        <f>AVERAGEIFS(Table1[value],Table1[IndicatorCode],Table1[[#This Row],[IndicatorCode]])</f>
        <v>99.756410256410263</v>
      </c>
      <c r="I1102" cm="1">
        <f t="array" ref="I1102">_xlfn.STDEV.P(IF(Table1[IndicatorCode]=Table1[[#This Row],[IndicatorCode]],Table1[value]))</f>
        <v>1.1047979755287356</v>
      </c>
      <c r="J1102">
        <f>(Table1[[#This Row],[value]] - Table1[[#This Row],[mean]]) / Table1[[#This Row],[std_dev]]</f>
        <v>0.22048351733552002</v>
      </c>
      <c r="K1102">
        <f>AVERAGEIF(Table1[CountryCode],Table1[[#This Row],[CountryCode]],Table1[z-score])</f>
        <v>0.62960664015735945</v>
      </c>
      <c r="L1102" t="e">
        <f>VLOOKUP(Table1[[#This Row],[CountryCode]],[1]!Table1[#All],1,FALSE)</f>
        <v>#REF!</v>
      </c>
    </row>
    <row r="1103" spans="1:12" hidden="1" x14ac:dyDescent="0.3">
      <c r="A1103" t="s">
        <v>75</v>
      </c>
      <c r="B1103" t="s">
        <v>76</v>
      </c>
      <c r="C1103" t="s">
        <v>9</v>
      </c>
      <c r="D1103" t="s">
        <v>10</v>
      </c>
      <c r="E1103">
        <v>2010</v>
      </c>
      <c r="F1103" s="1">
        <v>100</v>
      </c>
      <c r="G1103">
        <v>2010</v>
      </c>
      <c r="H1103">
        <f>AVERAGEIFS(Table1[value],Table1[IndicatorCode],Table1[[#This Row],[IndicatorCode]])</f>
        <v>99.756410256410263</v>
      </c>
      <c r="I1103" cm="1">
        <f t="array" ref="I1103">_xlfn.STDEV.P(IF(Table1[IndicatorCode]=Table1[[#This Row],[IndicatorCode]],Table1[value]))</f>
        <v>1.1047979755287356</v>
      </c>
      <c r="J1103">
        <f>(Table1[[#This Row],[value]] - Table1[[#This Row],[mean]]) / Table1[[#This Row],[std_dev]]</f>
        <v>0.22048351733552002</v>
      </c>
      <c r="K1103">
        <f>AVERAGEIF(Table1[CountryCode],Table1[[#This Row],[CountryCode]],Table1[z-score])</f>
        <v>0.62960664015735945</v>
      </c>
      <c r="L1103" t="e">
        <f>VLOOKUP(Table1[[#This Row],[CountryCode]],[1]!Table1[#All],1,FALSE)</f>
        <v>#REF!</v>
      </c>
    </row>
    <row r="1104" spans="1:12" hidden="1" x14ac:dyDescent="0.3">
      <c r="A1104" t="s">
        <v>75</v>
      </c>
      <c r="B1104" t="s">
        <v>76</v>
      </c>
      <c r="C1104" t="s">
        <v>9</v>
      </c>
      <c r="D1104" t="s">
        <v>10</v>
      </c>
      <c r="E1104">
        <v>2011</v>
      </c>
      <c r="F1104" s="1">
        <v>100</v>
      </c>
      <c r="G1104">
        <v>2010</v>
      </c>
      <c r="H1104">
        <f>AVERAGEIFS(Table1[value],Table1[IndicatorCode],Table1[[#This Row],[IndicatorCode]])</f>
        <v>99.756410256410263</v>
      </c>
      <c r="I1104" cm="1">
        <f t="array" ref="I1104">_xlfn.STDEV.P(IF(Table1[IndicatorCode]=Table1[[#This Row],[IndicatorCode]],Table1[value]))</f>
        <v>1.1047979755287356</v>
      </c>
      <c r="J1104">
        <f>(Table1[[#This Row],[value]] - Table1[[#This Row],[mean]]) / Table1[[#This Row],[std_dev]]</f>
        <v>0.22048351733552002</v>
      </c>
      <c r="K1104">
        <f>AVERAGEIF(Table1[CountryCode],Table1[[#This Row],[CountryCode]],Table1[z-score])</f>
        <v>0.62960664015735945</v>
      </c>
      <c r="L1104" t="e">
        <f>VLOOKUP(Table1[[#This Row],[CountryCode]],[1]!Table1[#All],1,FALSE)</f>
        <v>#REF!</v>
      </c>
    </row>
    <row r="1105" spans="1:12" hidden="1" x14ac:dyDescent="0.3">
      <c r="A1105" t="s">
        <v>75</v>
      </c>
      <c r="B1105" t="s">
        <v>76</v>
      </c>
      <c r="C1105" t="s">
        <v>9</v>
      </c>
      <c r="D1105" t="s">
        <v>10</v>
      </c>
      <c r="E1105">
        <v>2012</v>
      </c>
      <c r="F1105" s="1">
        <v>100</v>
      </c>
      <c r="G1105">
        <v>2010</v>
      </c>
      <c r="H1105">
        <f>AVERAGEIFS(Table1[value],Table1[IndicatorCode],Table1[[#This Row],[IndicatorCode]])</f>
        <v>99.756410256410263</v>
      </c>
      <c r="I1105" cm="1">
        <f t="array" ref="I1105">_xlfn.STDEV.P(IF(Table1[IndicatorCode]=Table1[[#This Row],[IndicatorCode]],Table1[value]))</f>
        <v>1.1047979755287356</v>
      </c>
      <c r="J1105">
        <f>(Table1[[#This Row],[value]] - Table1[[#This Row],[mean]]) / Table1[[#This Row],[std_dev]]</f>
        <v>0.22048351733552002</v>
      </c>
      <c r="K1105">
        <f>AVERAGEIF(Table1[CountryCode],Table1[[#This Row],[CountryCode]],Table1[z-score])</f>
        <v>0.62960664015735945</v>
      </c>
      <c r="L1105" t="e">
        <f>VLOOKUP(Table1[[#This Row],[CountryCode]],[1]!Table1[#All],1,FALSE)</f>
        <v>#REF!</v>
      </c>
    </row>
    <row r="1106" spans="1:12" hidden="1" x14ac:dyDescent="0.3">
      <c r="A1106" t="s">
        <v>75</v>
      </c>
      <c r="B1106" t="s">
        <v>76</v>
      </c>
      <c r="C1106" t="s">
        <v>9</v>
      </c>
      <c r="D1106" t="s">
        <v>10</v>
      </c>
      <c r="E1106">
        <v>2013</v>
      </c>
      <c r="F1106" s="1">
        <v>100</v>
      </c>
      <c r="G1106">
        <v>2010</v>
      </c>
      <c r="H1106">
        <f>AVERAGEIFS(Table1[value],Table1[IndicatorCode],Table1[[#This Row],[IndicatorCode]])</f>
        <v>99.756410256410263</v>
      </c>
      <c r="I1106" cm="1">
        <f t="array" ref="I1106">_xlfn.STDEV.P(IF(Table1[IndicatorCode]=Table1[[#This Row],[IndicatorCode]],Table1[value]))</f>
        <v>1.1047979755287356</v>
      </c>
      <c r="J1106">
        <f>(Table1[[#This Row],[value]] - Table1[[#This Row],[mean]]) / Table1[[#This Row],[std_dev]]</f>
        <v>0.22048351733552002</v>
      </c>
      <c r="K1106">
        <f>AVERAGEIF(Table1[CountryCode],Table1[[#This Row],[CountryCode]],Table1[z-score])</f>
        <v>0.62960664015735945</v>
      </c>
      <c r="L1106" t="e">
        <f>VLOOKUP(Table1[[#This Row],[CountryCode]],[1]!Table1[#All],1,FALSE)</f>
        <v>#REF!</v>
      </c>
    </row>
    <row r="1107" spans="1:12" hidden="1" x14ac:dyDescent="0.3">
      <c r="A1107" t="s">
        <v>75</v>
      </c>
      <c r="B1107" t="s">
        <v>76</v>
      </c>
      <c r="C1107" t="s">
        <v>9</v>
      </c>
      <c r="D1107" t="s">
        <v>10</v>
      </c>
      <c r="E1107">
        <v>2014</v>
      </c>
      <c r="F1107" s="1">
        <v>100</v>
      </c>
      <c r="G1107">
        <v>2010</v>
      </c>
      <c r="H1107">
        <f>AVERAGEIFS(Table1[value],Table1[IndicatorCode],Table1[[#This Row],[IndicatorCode]])</f>
        <v>99.756410256410263</v>
      </c>
      <c r="I1107" cm="1">
        <f t="array" ref="I1107">_xlfn.STDEV.P(IF(Table1[IndicatorCode]=Table1[[#This Row],[IndicatorCode]],Table1[value]))</f>
        <v>1.1047979755287356</v>
      </c>
      <c r="J1107">
        <f>(Table1[[#This Row],[value]] - Table1[[#This Row],[mean]]) / Table1[[#This Row],[std_dev]]</f>
        <v>0.22048351733552002</v>
      </c>
      <c r="K1107">
        <f>AVERAGEIF(Table1[CountryCode],Table1[[#This Row],[CountryCode]],Table1[z-score])</f>
        <v>0.62960664015735945</v>
      </c>
      <c r="L1107" t="e">
        <f>VLOOKUP(Table1[[#This Row],[CountryCode]],[1]!Table1[#All],1,FALSE)</f>
        <v>#REF!</v>
      </c>
    </row>
    <row r="1108" spans="1:12" hidden="1" x14ac:dyDescent="0.3">
      <c r="A1108" t="s">
        <v>75</v>
      </c>
      <c r="B1108" t="s">
        <v>76</v>
      </c>
      <c r="C1108" t="s">
        <v>9</v>
      </c>
      <c r="D1108" t="s">
        <v>10</v>
      </c>
      <c r="E1108">
        <v>2015</v>
      </c>
      <c r="F1108" s="1">
        <v>100</v>
      </c>
      <c r="G1108">
        <v>2010</v>
      </c>
      <c r="H1108">
        <f>AVERAGEIFS(Table1[value],Table1[IndicatorCode],Table1[[#This Row],[IndicatorCode]])</f>
        <v>99.756410256410263</v>
      </c>
      <c r="I1108" cm="1">
        <f t="array" ref="I1108">_xlfn.STDEV.P(IF(Table1[IndicatorCode]=Table1[[#This Row],[IndicatorCode]],Table1[value]))</f>
        <v>1.1047979755287356</v>
      </c>
      <c r="J1108">
        <f>(Table1[[#This Row],[value]] - Table1[[#This Row],[mean]]) / Table1[[#This Row],[std_dev]]</f>
        <v>0.22048351733552002</v>
      </c>
      <c r="K1108">
        <f>AVERAGEIF(Table1[CountryCode],Table1[[#This Row],[CountryCode]],Table1[z-score])</f>
        <v>0.62960664015735945</v>
      </c>
      <c r="L1108" t="e">
        <f>VLOOKUP(Table1[[#This Row],[CountryCode]],[1]!Table1[#All],1,FALSE)</f>
        <v>#REF!</v>
      </c>
    </row>
    <row r="1109" spans="1:12" hidden="1" x14ac:dyDescent="0.3">
      <c r="A1109" t="s">
        <v>75</v>
      </c>
      <c r="B1109" t="s">
        <v>76</v>
      </c>
      <c r="C1109" t="s">
        <v>9</v>
      </c>
      <c r="D1109" t="s">
        <v>10</v>
      </c>
      <c r="E1109">
        <v>2016</v>
      </c>
      <c r="F1109" s="1">
        <v>100</v>
      </c>
      <c r="G1109">
        <v>2010</v>
      </c>
      <c r="H1109">
        <f>AVERAGEIFS(Table1[value],Table1[IndicatorCode],Table1[[#This Row],[IndicatorCode]])</f>
        <v>99.756410256410263</v>
      </c>
      <c r="I1109" cm="1">
        <f t="array" ref="I1109">_xlfn.STDEV.P(IF(Table1[IndicatorCode]=Table1[[#This Row],[IndicatorCode]],Table1[value]))</f>
        <v>1.1047979755287356</v>
      </c>
      <c r="J1109">
        <f>(Table1[[#This Row],[value]] - Table1[[#This Row],[mean]]) / Table1[[#This Row],[std_dev]]</f>
        <v>0.22048351733552002</v>
      </c>
      <c r="K1109">
        <f>AVERAGEIF(Table1[CountryCode],Table1[[#This Row],[CountryCode]],Table1[z-score])</f>
        <v>0.62960664015735945</v>
      </c>
      <c r="L1109" t="e">
        <f>VLOOKUP(Table1[[#This Row],[CountryCode]],[1]!Table1[#All],1,FALSE)</f>
        <v>#REF!</v>
      </c>
    </row>
    <row r="1110" spans="1:12" hidden="1" x14ac:dyDescent="0.3">
      <c r="A1110" t="s">
        <v>75</v>
      </c>
      <c r="B1110" t="s">
        <v>76</v>
      </c>
      <c r="C1110" t="s">
        <v>9</v>
      </c>
      <c r="D1110" t="s">
        <v>10</v>
      </c>
      <c r="E1110">
        <v>2017</v>
      </c>
      <c r="F1110" s="1">
        <v>100</v>
      </c>
      <c r="G1110">
        <v>2020</v>
      </c>
      <c r="H1110">
        <f>AVERAGEIFS(Table1[value],Table1[IndicatorCode],Table1[[#This Row],[IndicatorCode]])</f>
        <v>99.756410256410263</v>
      </c>
      <c r="I1110" cm="1">
        <f t="array" ref="I1110">_xlfn.STDEV.P(IF(Table1[IndicatorCode]=Table1[[#This Row],[IndicatorCode]],Table1[value]))</f>
        <v>1.1047979755287356</v>
      </c>
      <c r="J1110">
        <f>(Table1[[#This Row],[value]] - Table1[[#This Row],[mean]]) / Table1[[#This Row],[std_dev]]</f>
        <v>0.22048351733552002</v>
      </c>
      <c r="K1110">
        <f>AVERAGEIF(Table1[CountryCode],Table1[[#This Row],[CountryCode]],Table1[z-score])</f>
        <v>0.62960664015735945</v>
      </c>
      <c r="L1110" t="e">
        <f>VLOOKUP(Table1[[#This Row],[CountryCode]],[1]!Table1[#All],1,FALSE)</f>
        <v>#REF!</v>
      </c>
    </row>
    <row r="1111" spans="1:12" hidden="1" x14ac:dyDescent="0.3">
      <c r="A1111" t="s">
        <v>75</v>
      </c>
      <c r="B1111" t="s">
        <v>76</v>
      </c>
      <c r="C1111" t="s">
        <v>9</v>
      </c>
      <c r="D1111" t="s">
        <v>10</v>
      </c>
      <c r="E1111">
        <v>2018</v>
      </c>
      <c r="F1111" s="1">
        <v>100</v>
      </c>
      <c r="G1111">
        <v>2020</v>
      </c>
      <c r="H1111">
        <f>AVERAGEIFS(Table1[value],Table1[IndicatorCode],Table1[[#This Row],[IndicatorCode]])</f>
        <v>99.756410256410263</v>
      </c>
      <c r="I1111" cm="1">
        <f t="array" ref="I1111">_xlfn.STDEV.P(IF(Table1[IndicatorCode]=Table1[[#This Row],[IndicatorCode]],Table1[value]))</f>
        <v>1.1047979755287356</v>
      </c>
      <c r="J1111">
        <f>(Table1[[#This Row],[value]] - Table1[[#This Row],[mean]]) / Table1[[#This Row],[std_dev]]</f>
        <v>0.22048351733552002</v>
      </c>
      <c r="K1111">
        <f>AVERAGEIF(Table1[CountryCode],Table1[[#This Row],[CountryCode]],Table1[z-score])</f>
        <v>0.62960664015735945</v>
      </c>
      <c r="L1111" t="e">
        <f>VLOOKUP(Table1[[#This Row],[CountryCode]],[1]!Table1[#All],1,FALSE)</f>
        <v>#REF!</v>
      </c>
    </row>
    <row r="1112" spans="1:12" hidden="1" x14ac:dyDescent="0.3">
      <c r="A1112" t="s">
        <v>75</v>
      </c>
      <c r="B1112" t="s">
        <v>76</v>
      </c>
      <c r="C1112" t="s">
        <v>9</v>
      </c>
      <c r="D1112" t="s">
        <v>10</v>
      </c>
      <c r="E1112">
        <v>2019</v>
      </c>
      <c r="F1112" s="1">
        <v>100</v>
      </c>
      <c r="G1112">
        <v>2020</v>
      </c>
      <c r="H1112">
        <f>AVERAGEIFS(Table1[value],Table1[IndicatorCode],Table1[[#This Row],[IndicatorCode]])</f>
        <v>99.756410256410263</v>
      </c>
      <c r="I1112" cm="1">
        <f t="array" ref="I1112">_xlfn.STDEV.P(IF(Table1[IndicatorCode]=Table1[[#This Row],[IndicatorCode]],Table1[value]))</f>
        <v>1.1047979755287356</v>
      </c>
      <c r="J1112">
        <f>(Table1[[#This Row],[value]] - Table1[[#This Row],[mean]]) / Table1[[#This Row],[std_dev]]</f>
        <v>0.22048351733552002</v>
      </c>
      <c r="K1112">
        <f>AVERAGEIF(Table1[CountryCode],Table1[[#This Row],[CountryCode]],Table1[z-score])</f>
        <v>0.62960664015735945</v>
      </c>
      <c r="L1112" t="e">
        <f>VLOOKUP(Table1[[#This Row],[CountryCode]],[1]!Table1[#All],1,FALSE)</f>
        <v>#REF!</v>
      </c>
    </row>
    <row r="1113" spans="1:12" x14ac:dyDescent="0.3">
      <c r="A1113" t="s">
        <v>75</v>
      </c>
      <c r="B1113" t="s">
        <v>76</v>
      </c>
      <c r="C1113" t="s">
        <v>9</v>
      </c>
      <c r="D1113" t="s">
        <v>10</v>
      </c>
      <c r="E1113">
        <v>2020</v>
      </c>
      <c r="F1113" s="1">
        <v>100</v>
      </c>
      <c r="G1113">
        <v>2020</v>
      </c>
      <c r="H1113">
        <f>AVERAGEIFS(Table1[value],Table1[IndicatorCode],Table1[[#This Row],[IndicatorCode]])</f>
        <v>99.756410256410263</v>
      </c>
      <c r="I1113" cm="1">
        <f t="array" ref="I1113">_xlfn.STDEV.P(IF(Table1[IndicatorCode]=Table1[[#This Row],[IndicatorCode]],Table1[value]))</f>
        <v>1.1047979755287356</v>
      </c>
      <c r="J1113">
        <f>(Table1[[#This Row],[value]] - Table1[[#This Row],[mean]]) / Table1[[#This Row],[std_dev]]</f>
        <v>0.22048351733552002</v>
      </c>
      <c r="K1113">
        <f>AVERAGEIF(Table1[CountryCode],Table1[[#This Row],[CountryCode]],Table1[z-score])</f>
        <v>0.62960664015735945</v>
      </c>
    </row>
    <row r="1114" spans="1:12" hidden="1" x14ac:dyDescent="0.3">
      <c r="A1114" t="s">
        <v>75</v>
      </c>
      <c r="B1114" t="s">
        <v>76</v>
      </c>
      <c r="C1114" t="s">
        <v>9</v>
      </c>
      <c r="D1114" t="s">
        <v>10</v>
      </c>
      <c r="E1114">
        <v>2021</v>
      </c>
      <c r="F1114" s="1">
        <v>100</v>
      </c>
      <c r="G1114">
        <v>1990</v>
      </c>
      <c r="H1114">
        <f>AVERAGEIFS(Table1[value],Table1[IndicatorCode],Table1[[#This Row],[IndicatorCode]])</f>
        <v>99.756410256410263</v>
      </c>
      <c r="I1114" cm="1">
        <f t="array" ref="I1114">_xlfn.STDEV.P(IF(Table1[IndicatorCode]=Table1[[#This Row],[IndicatorCode]],Table1[value]))</f>
        <v>1.1047979755287356</v>
      </c>
      <c r="J1114">
        <f>(Table1[[#This Row],[value]] - Table1[[#This Row],[mean]]) / Table1[[#This Row],[std_dev]]</f>
        <v>0.22048351733552002</v>
      </c>
      <c r="K1114">
        <f>AVERAGEIF(Table1[CountryCode],Table1[[#This Row],[CountryCode]],Table1[z-score])</f>
        <v>0.62960664015735945</v>
      </c>
      <c r="L1114" t="e">
        <f>VLOOKUP(Table1[[#This Row],[CountryCode]],[1]!Table1[#All],1,FALSE)</f>
        <v>#REF!</v>
      </c>
    </row>
    <row r="1115" spans="1:12" hidden="1" x14ac:dyDescent="0.3">
      <c r="A1115" t="s">
        <v>75</v>
      </c>
      <c r="B1115" t="s">
        <v>76</v>
      </c>
      <c r="C1115" t="s">
        <v>9</v>
      </c>
      <c r="D1115" t="s">
        <v>10</v>
      </c>
      <c r="E1115">
        <v>2022</v>
      </c>
      <c r="F1115" s="1">
        <v>100</v>
      </c>
      <c r="G1115">
        <v>1990</v>
      </c>
      <c r="H1115">
        <f>AVERAGEIFS(Table1[value],Table1[IndicatorCode],Table1[[#This Row],[IndicatorCode]])</f>
        <v>99.756410256410263</v>
      </c>
      <c r="I1115" cm="1">
        <f t="array" ref="I1115">_xlfn.STDEV.P(IF(Table1[IndicatorCode]=Table1[[#This Row],[IndicatorCode]],Table1[value]))</f>
        <v>1.1047979755287356</v>
      </c>
      <c r="J1115">
        <f>(Table1[[#This Row],[value]] - Table1[[#This Row],[mean]]) / Table1[[#This Row],[std_dev]]</f>
        <v>0.22048351733552002</v>
      </c>
      <c r="K1115">
        <f>AVERAGEIF(Table1[CountryCode],Table1[[#This Row],[CountryCode]],Table1[z-score])</f>
        <v>0.62960664015735945</v>
      </c>
      <c r="L1115" t="e">
        <f>VLOOKUP(Table1[[#This Row],[CountryCode]],[1]!Table1[#All],1,FALSE)</f>
        <v>#REF!</v>
      </c>
    </row>
    <row r="1116" spans="1:12" hidden="1" x14ac:dyDescent="0.3">
      <c r="A1116" t="s">
        <v>75</v>
      </c>
      <c r="B1116" t="s">
        <v>76</v>
      </c>
      <c r="C1116" t="s">
        <v>9</v>
      </c>
      <c r="D1116" t="s">
        <v>10</v>
      </c>
      <c r="E1116">
        <v>2023</v>
      </c>
      <c r="F1116" s="1">
        <v>100</v>
      </c>
      <c r="G1116">
        <v>1990</v>
      </c>
      <c r="H1116">
        <f>AVERAGEIFS(Table1[value],Table1[IndicatorCode],Table1[[#This Row],[IndicatorCode]])</f>
        <v>99.756410256410263</v>
      </c>
      <c r="I1116" cm="1">
        <f t="array" ref="I1116">_xlfn.STDEV.P(IF(Table1[IndicatorCode]=Table1[[#This Row],[IndicatorCode]],Table1[value]))</f>
        <v>1.1047979755287356</v>
      </c>
      <c r="J1116">
        <f>(Table1[[#This Row],[value]] - Table1[[#This Row],[mean]]) / Table1[[#This Row],[std_dev]]</f>
        <v>0.22048351733552002</v>
      </c>
      <c r="K1116">
        <f>AVERAGEIF(Table1[CountryCode],Table1[[#This Row],[CountryCode]],Table1[z-score])</f>
        <v>0.62960664015735945</v>
      </c>
      <c r="L1116" t="e">
        <f>VLOOKUP(Table1[[#This Row],[CountryCode]],[1]!Table1[#All],1,FALSE)</f>
        <v>#REF!</v>
      </c>
    </row>
    <row r="1117" spans="1:12" hidden="1" x14ac:dyDescent="0.3">
      <c r="A1117" t="s">
        <v>77</v>
      </c>
      <c r="B1117" t="s">
        <v>78</v>
      </c>
      <c r="C1117" t="s">
        <v>9</v>
      </c>
      <c r="D1117" t="s">
        <v>10</v>
      </c>
      <c r="E1117">
        <v>1990</v>
      </c>
      <c r="F1117" s="1">
        <v>100</v>
      </c>
      <c r="G1117">
        <v>1990</v>
      </c>
      <c r="H1117">
        <f>AVERAGEIFS(Table1[value],Table1[IndicatorCode],Table1[[#This Row],[IndicatorCode]])</f>
        <v>99.756410256410263</v>
      </c>
      <c r="I1117" cm="1">
        <f t="array" ref="I1117">_xlfn.STDEV.P(IF(Table1[IndicatorCode]=Table1[[#This Row],[IndicatorCode]],Table1[value]))</f>
        <v>1.1047979755287356</v>
      </c>
      <c r="J1117">
        <f>(Table1[[#This Row],[value]] - Table1[[#This Row],[mean]]) / Table1[[#This Row],[std_dev]]</f>
        <v>0.22048351733552002</v>
      </c>
      <c r="K1117">
        <f>AVERAGEIF(Table1[CountryCode],Table1[[#This Row],[CountryCode]],Table1[z-score])</f>
        <v>-0.22998905081420598</v>
      </c>
      <c r="L1117" t="e">
        <f>VLOOKUP(Table1[[#This Row],[CountryCode]],[1]!Table1[#All],1,FALSE)</f>
        <v>#REF!</v>
      </c>
    </row>
    <row r="1118" spans="1:12" hidden="1" x14ac:dyDescent="0.3">
      <c r="A1118" t="s">
        <v>77</v>
      </c>
      <c r="B1118" t="s">
        <v>78</v>
      </c>
      <c r="C1118" t="s">
        <v>9</v>
      </c>
      <c r="D1118" t="s">
        <v>10</v>
      </c>
      <c r="E1118">
        <v>1991</v>
      </c>
      <c r="F1118" s="1">
        <v>100</v>
      </c>
      <c r="G1118">
        <v>1990</v>
      </c>
      <c r="H1118">
        <f>AVERAGEIFS(Table1[value],Table1[IndicatorCode],Table1[[#This Row],[IndicatorCode]])</f>
        <v>99.756410256410263</v>
      </c>
      <c r="I1118" cm="1">
        <f t="array" ref="I1118">_xlfn.STDEV.P(IF(Table1[IndicatorCode]=Table1[[#This Row],[IndicatorCode]],Table1[value]))</f>
        <v>1.1047979755287356</v>
      </c>
      <c r="J1118">
        <f>(Table1[[#This Row],[value]] - Table1[[#This Row],[mean]]) / Table1[[#This Row],[std_dev]]</f>
        <v>0.22048351733552002</v>
      </c>
      <c r="K1118">
        <f>AVERAGEIF(Table1[CountryCode],Table1[[#This Row],[CountryCode]],Table1[z-score])</f>
        <v>-0.22998905081420598</v>
      </c>
      <c r="L1118" t="e">
        <f>VLOOKUP(Table1[[#This Row],[CountryCode]],[1]!Table1[#All],1,FALSE)</f>
        <v>#REF!</v>
      </c>
    </row>
    <row r="1119" spans="1:12" hidden="1" x14ac:dyDescent="0.3">
      <c r="A1119" t="s">
        <v>77</v>
      </c>
      <c r="B1119" t="s">
        <v>78</v>
      </c>
      <c r="C1119" t="s">
        <v>9</v>
      </c>
      <c r="D1119" t="s">
        <v>10</v>
      </c>
      <c r="E1119">
        <v>1992</v>
      </c>
      <c r="F1119" s="1">
        <v>100</v>
      </c>
      <c r="G1119">
        <v>1990</v>
      </c>
      <c r="H1119">
        <f>AVERAGEIFS(Table1[value],Table1[IndicatorCode],Table1[[#This Row],[IndicatorCode]])</f>
        <v>99.756410256410263</v>
      </c>
      <c r="I1119" cm="1">
        <f t="array" ref="I1119">_xlfn.STDEV.P(IF(Table1[IndicatorCode]=Table1[[#This Row],[IndicatorCode]],Table1[value]))</f>
        <v>1.1047979755287356</v>
      </c>
      <c r="J1119">
        <f>(Table1[[#This Row],[value]] - Table1[[#This Row],[mean]]) / Table1[[#This Row],[std_dev]]</f>
        <v>0.22048351733552002</v>
      </c>
      <c r="K1119">
        <f>AVERAGEIF(Table1[CountryCode],Table1[[#This Row],[CountryCode]],Table1[z-score])</f>
        <v>-0.22998905081420598</v>
      </c>
      <c r="L1119" t="e">
        <f>VLOOKUP(Table1[[#This Row],[CountryCode]],[1]!Table1[#All],1,FALSE)</f>
        <v>#REF!</v>
      </c>
    </row>
    <row r="1120" spans="1:12" hidden="1" x14ac:dyDescent="0.3">
      <c r="A1120" t="s">
        <v>77</v>
      </c>
      <c r="B1120" t="s">
        <v>78</v>
      </c>
      <c r="C1120" t="s">
        <v>9</v>
      </c>
      <c r="D1120" t="s">
        <v>10</v>
      </c>
      <c r="E1120">
        <v>1993</v>
      </c>
      <c r="F1120" s="1">
        <v>100</v>
      </c>
      <c r="G1120">
        <v>1990</v>
      </c>
      <c r="H1120">
        <f>AVERAGEIFS(Table1[value],Table1[IndicatorCode],Table1[[#This Row],[IndicatorCode]])</f>
        <v>99.756410256410263</v>
      </c>
      <c r="I1120" cm="1">
        <f t="array" ref="I1120">_xlfn.STDEV.P(IF(Table1[IndicatorCode]=Table1[[#This Row],[IndicatorCode]],Table1[value]))</f>
        <v>1.1047979755287356</v>
      </c>
      <c r="J1120">
        <f>(Table1[[#This Row],[value]] - Table1[[#This Row],[mean]]) / Table1[[#This Row],[std_dev]]</f>
        <v>0.22048351733552002</v>
      </c>
      <c r="K1120">
        <f>AVERAGEIF(Table1[CountryCode],Table1[[#This Row],[CountryCode]],Table1[z-score])</f>
        <v>-0.22998905081420598</v>
      </c>
      <c r="L1120" t="e">
        <f>VLOOKUP(Table1[[#This Row],[CountryCode]],[1]!Table1[#All],1,FALSE)</f>
        <v>#REF!</v>
      </c>
    </row>
    <row r="1121" spans="1:12" hidden="1" x14ac:dyDescent="0.3">
      <c r="A1121" t="s">
        <v>77</v>
      </c>
      <c r="B1121" t="s">
        <v>78</v>
      </c>
      <c r="C1121" t="s">
        <v>9</v>
      </c>
      <c r="D1121" t="s">
        <v>10</v>
      </c>
      <c r="E1121">
        <v>1994</v>
      </c>
      <c r="F1121" s="1">
        <v>100</v>
      </c>
      <c r="G1121">
        <v>1990</v>
      </c>
      <c r="H1121">
        <f>AVERAGEIFS(Table1[value],Table1[IndicatorCode],Table1[[#This Row],[IndicatorCode]])</f>
        <v>99.756410256410263</v>
      </c>
      <c r="I1121" cm="1">
        <f t="array" ref="I1121">_xlfn.STDEV.P(IF(Table1[IndicatorCode]=Table1[[#This Row],[IndicatorCode]],Table1[value]))</f>
        <v>1.1047979755287356</v>
      </c>
      <c r="J1121">
        <f>(Table1[[#This Row],[value]] - Table1[[#This Row],[mean]]) / Table1[[#This Row],[std_dev]]</f>
        <v>0.22048351733552002</v>
      </c>
      <c r="K1121">
        <f>AVERAGEIF(Table1[CountryCode],Table1[[#This Row],[CountryCode]],Table1[z-score])</f>
        <v>-0.22998905081420598</v>
      </c>
      <c r="L1121" t="e">
        <f>VLOOKUP(Table1[[#This Row],[CountryCode]],[1]!Table1[#All],1,FALSE)</f>
        <v>#REF!</v>
      </c>
    </row>
    <row r="1122" spans="1:12" hidden="1" x14ac:dyDescent="0.3">
      <c r="A1122" t="s">
        <v>77</v>
      </c>
      <c r="B1122" t="s">
        <v>78</v>
      </c>
      <c r="C1122" t="s">
        <v>9</v>
      </c>
      <c r="D1122" t="s">
        <v>10</v>
      </c>
      <c r="E1122">
        <v>1995</v>
      </c>
      <c r="F1122" s="1">
        <v>100</v>
      </c>
      <c r="G1122">
        <v>1990</v>
      </c>
      <c r="H1122">
        <f>AVERAGEIFS(Table1[value],Table1[IndicatorCode],Table1[[#This Row],[IndicatorCode]])</f>
        <v>99.756410256410263</v>
      </c>
      <c r="I1122" cm="1">
        <f t="array" ref="I1122">_xlfn.STDEV.P(IF(Table1[IndicatorCode]=Table1[[#This Row],[IndicatorCode]],Table1[value]))</f>
        <v>1.1047979755287356</v>
      </c>
      <c r="J1122">
        <f>(Table1[[#This Row],[value]] - Table1[[#This Row],[mean]]) / Table1[[#This Row],[std_dev]]</f>
        <v>0.22048351733552002</v>
      </c>
      <c r="K1122">
        <f>AVERAGEIF(Table1[CountryCode],Table1[[#This Row],[CountryCode]],Table1[z-score])</f>
        <v>-0.22998905081420598</v>
      </c>
      <c r="L1122" t="e">
        <f>VLOOKUP(Table1[[#This Row],[CountryCode]],[1]!Table1[#All],1,FALSE)</f>
        <v>#REF!</v>
      </c>
    </row>
    <row r="1123" spans="1:12" hidden="1" x14ac:dyDescent="0.3">
      <c r="A1123" t="s">
        <v>77</v>
      </c>
      <c r="B1123" t="s">
        <v>78</v>
      </c>
      <c r="C1123" t="s">
        <v>9</v>
      </c>
      <c r="D1123" t="s">
        <v>10</v>
      </c>
      <c r="E1123">
        <v>1996</v>
      </c>
      <c r="F1123" s="1">
        <v>100</v>
      </c>
      <c r="G1123">
        <v>1990</v>
      </c>
      <c r="H1123">
        <f>AVERAGEIFS(Table1[value],Table1[IndicatorCode],Table1[[#This Row],[IndicatorCode]])</f>
        <v>99.756410256410263</v>
      </c>
      <c r="I1123" cm="1">
        <f t="array" ref="I1123">_xlfn.STDEV.P(IF(Table1[IndicatorCode]=Table1[[#This Row],[IndicatorCode]],Table1[value]))</f>
        <v>1.1047979755287356</v>
      </c>
      <c r="J1123">
        <f>(Table1[[#This Row],[value]] - Table1[[#This Row],[mean]]) / Table1[[#This Row],[std_dev]]</f>
        <v>0.22048351733552002</v>
      </c>
      <c r="K1123">
        <f>AVERAGEIF(Table1[CountryCode],Table1[[#This Row],[CountryCode]],Table1[z-score])</f>
        <v>-0.22998905081420598</v>
      </c>
      <c r="L1123" t="e">
        <f>VLOOKUP(Table1[[#This Row],[CountryCode]],[1]!Table1[#All],1,FALSE)</f>
        <v>#REF!</v>
      </c>
    </row>
    <row r="1124" spans="1:12" hidden="1" x14ac:dyDescent="0.3">
      <c r="A1124" t="s">
        <v>77</v>
      </c>
      <c r="B1124" t="s">
        <v>78</v>
      </c>
      <c r="C1124" t="s">
        <v>9</v>
      </c>
      <c r="D1124" t="s">
        <v>10</v>
      </c>
      <c r="E1124">
        <v>1997</v>
      </c>
      <c r="F1124" s="1">
        <v>100</v>
      </c>
      <c r="G1124">
        <v>2000</v>
      </c>
      <c r="H1124">
        <f>AVERAGEIFS(Table1[value],Table1[IndicatorCode],Table1[[#This Row],[IndicatorCode]])</f>
        <v>99.756410256410263</v>
      </c>
      <c r="I1124" cm="1">
        <f t="array" ref="I1124">_xlfn.STDEV.P(IF(Table1[IndicatorCode]=Table1[[#This Row],[IndicatorCode]],Table1[value]))</f>
        <v>1.1047979755287356</v>
      </c>
      <c r="J1124">
        <f>(Table1[[#This Row],[value]] - Table1[[#This Row],[mean]]) / Table1[[#This Row],[std_dev]]</f>
        <v>0.22048351733552002</v>
      </c>
      <c r="K1124">
        <f>AVERAGEIF(Table1[CountryCode],Table1[[#This Row],[CountryCode]],Table1[z-score])</f>
        <v>-0.22998905081420598</v>
      </c>
      <c r="L1124" t="e">
        <f>VLOOKUP(Table1[[#This Row],[CountryCode]],[1]!Table1[#All],1,FALSE)</f>
        <v>#REF!</v>
      </c>
    </row>
    <row r="1125" spans="1:12" hidden="1" x14ac:dyDescent="0.3">
      <c r="A1125" t="s">
        <v>77</v>
      </c>
      <c r="B1125" t="s">
        <v>78</v>
      </c>
      <c r="C1125" t="s">
        <v>9</v>
      </c>
      <c r="D1125" t="s">
        <v>10</v>
      </c>
      <c r="E1125">
        <v>1998</v>
      </c>
      <c r="F1125" s="1">
        <v>100</v>
      </c>
      <c r="G1125">
        <v>2000</v>
      </c>
      <c r="H1125">
        <f>AVERAGEIFS(Table1[value],Table1[IndicatorCode],Table1[[#This Row],[IndicatorCode]])</f>
        <v>99.756410256410263</v>
      </c>
      <c r="I1125" cm="1">
        <f t="array" ref="I1125">_xlfn.STDEV.P(IF(Table1[IndicatorCode]=Table1[[#This Row],[IndicatorCode]],Table1[value]))</f>
        <v>1.1047979755287356</v>
      </c>
      <c r="J1125">
        <f>(Table1[[#This Row],[value]] - Table1[[#This Row],[mean]]) / Table1[[#This Row],[std_dev]]</f>
        <v>0.22048351733552002</v>
      </c>
      <c r="K1125">
        <f>AVERAGEIF(Table1[CountryCode],Table1[[#This Row],[CountryCode]],Table1[z-score])</f>
        <v>-0.22998905081420598</v>
      </c>
      <c r="L1125" t="e">
        <f>VLOOKUP(Table1[[#This Row],[CountryCode]],[1]!Table1[#All],1,FALSE)</f>
        <v>#REF!</v>
      </c>
    </row>
    <row r="1126" spans="1:12" hidden="1" x14ac:dyDescent="0.3">
      <c r="A1126" t="s">
        <v>77</v>
      </c>
      <c r="B1126" t="s">
        <v>78</v>
      </c>
      <c r="C1126" t="s">
        <v>9</v>
      </c>
      <c r="D1126" t="s">
        <v>10</v>
      </c>
      <c r="E1126">
        <v>1999</v>
      </c>
      <c r="F1126" s="1">
        <v>100</v>
      </c>
      <c r="G1126">
        <v>2000</v>
      </c>
      <c r="H1126">
        <f>AVERAGEIFS(Table1[value],Table1[IndicatorCode],Table1[[#This Row],[IndicatorCode]])</f>
        <v>99.756410256410263</v>
      </c>
      <c r="I1126" cm="1">
        <f t="array" ref="I1126">_xlfn.STDEV.P(IF(Table1[IndicatorCode]=Table1[[#This Row],[IndicatorCode]],Table1[value]))</f>
        <v>1.1047979755287356</v>
      </c>
      <c r="J1126">
        <f>(Table1[[#This Row],[value]] - Table1[[#This Row],[mean]]) / Table1[[#This Row],[std_dev]]</f>
        <v>0.22048351733552002</v>
      </c>
      <c r="K1126">
        <f>AVERAGEIF(Table1[CountryCode],Table1[[#This Row],[CountryCode]],Table1[z-score])</f>
        <v>-0.22998905081420598</v>
      </c>
      <c r="L1126" t="e">
        <f>VLOOKUP(Table1[[#This Row],[CountryCode]],[1]!Table1[#All],1,FALSE)</f>
        <v>#REF!</v>
      </c>
    </row>
    <row r="1127" spans="1:12" hidden="1" x14ac:dyDescent="0.3">
      <c r="A1127" t="s">
        <v>77</v>
      </c>
      <c r="B1127" t="s">
        <v>78</v>
      </c>
      <c r="C1127" t="s">
        <v>9</v>
      </c>
      <c r="D1127" t="s">
        <v>10</v>
      </c>
      <c r="E1127">
        <v>2000</v>
      </c>
      <c r="F1127" s="1">
        <v>100</v>
      </c>
      <c r="G1127">
        <v>2000</v>
      </c>
      <c r="H1127">
        <f>AVERAGEIFS(Table1[value],Table1[IndicatorCode],Table1[[#This Row],[IndicatorCode]])</f>
        <v>99.756410256410263</v>
      </c>
      <c r="I1127" cm="1">
        <f t="array" ref="I1127">_xlfn.STDEV.P(IF(Table1[IndicatorCode]=Table1[[#This Row],[IndicatorCode]],Table1[value]))</f>
        <v>1.1047979755287356</v>
      </c>
      <c r="J1127">
        <f>(Table1[[#This Row],[value]] - Table1[[#This Row],[mean]]) / Table1[[#This Row],[std_dev]]</f>
        <v>0.22048351733552002</v>
      </c>
      <c r="K1127">
        <f>AVERAGEIF(Table1[CountryCode],Table1[[#This Row],[CountryCode]],Table1[z-score])</f>
        <v>-0.22998905081420598</v>
      </c>
      <c r="L1127" t="e">
        <f>VLOOKUP(Table1[[#This Row],[CountryCode]],[1]!Table1[#All],1,FALSE)</f>
        <v>#REF!</v>
      </c>
    </row>
    <row r="1128" spans="1:12" hidden="1" x14ac:dyDescent="0.3">
      <c r="A1128" t="s">
        <v>77</v>
      </c>
      <c r="B1128" t="s">
        <v>78</v>
      </c>
      <c r="C1128" t="s">
        <v>9</v>
      </c>
      <c r="D1128" t="s">
        <v>10</v>
      </c>
      <c r="E1128">
        <v>2001</v>
      </c>
      <c r="F1128" s="1">
        <v>100</v>
      </c>
      <c r="G1128">
        <v>2000</v>
      </c>
      <c r="H1128">
        <f>AVERAGEIFS(Table1[value],Table1[IndicatorCode],Table1[[#This Row],[IndicatorCode]])</f>
        <v>99.756410256410263</v>
      </c>
      <c r="I1128" cm="1">
        <f t="array" ref="I1128">_xlfn.STDEV.P(IF(Table1[IndicatorCode]=Table1[[#This Row],[IndicatorCode]],Table1[value]))</f>
        <v>1.1047979755287356</v>
      </c>
      <c r="J1128">
        <f>(Table1[[#This Row],[value]] - Table1[[#This Row],[mean]]) / Table1[[#This Row],[std_dev]]</f>
        <v>0.22048351733552002</v>
      </c>
      <c r="K1128">
        <f>AVERAGEIF(Table1[CountryCode],Table1[[#This Row],[CountryCode]],Table1[z-score])</f>
        <v>-0.22998905081420598</v>
      </c>
      <c r="L1128" t="e">
        <f>VLOOKUP(Table1[[#This Row],[CountryCode]],[1]!Table1[#All],1,FALSE)</f>
        <v>#REF!</v>
      </c>
    </row>
    <row r="1129" spans="1:12" hidden="1" x14ac:dyDescent="0.3">
      <c r="A1129" t="s">
        <v>77</v>
      </c>
      <c r="B1129" t="s">
        <v>78</v>
      </c>
      <c r="C1129" t="s">
        <v>9</v>
      </c>
      <c r="D1129" t="s">
        <v>10</v>
      </c>
      <c r="E1129">
        <v>2002</v>
      </c>
      <c r="F1129" s="1">
        <v>99</v>
      </c>
      <c r="G1129">
        <v>2000</v>
      </c>
      <c r="H1129">
        <f>AVERAGEIFS(Table1[value],Table1[IndicatorCode],Table1[[#This Row],[IndicatorCode]])</f>
        <v>99.756410256410263</v>
      </c>
      <c r="I1129" cm="1">
        <f t="array" ref="I1129">_xlfn.STDEV.P(IF(Table1[IndicatorCode]=Table1[[#This Row],[IndicatorCode]],Table1[value]))</f>
        <v>1.1047979755287356</v>
      </c>
      <c r="J1129">
        <f>(Table1[[#This Row],[value]] - Table1[[#This Row],[mean]]) / Table1[[#This Row],[std_dev]]</f>
        <v>-0.68465934330505884</v>
      </c>
      <c r="K1129">
        <f>AVERAGEIF(Table1[CountryCode],Table1[[#This Row],[CountryCode]],Table1[z-score])</f>
        <v>-0.22998905081420598</v>
      </c>
      <c r="L1129" t="e">
        <f>VLOOKUP(Table1[[#This Row],[CountryCode]],[1]!Table1[#All],1,FALSE)</f>
        <v>#REF!</v>
      </c>
    </row>
    <row r="1130" spans="1:12" hidden="1" x14ac:dyDescent="0.3">
      <c r="A1130" t="s">
        <v>77</v>
      </c>
      <c r="B1130" t="s">
        <v>78</v>
      </c>
      <c r="C1130" t="s">
        <v>9</v>
      </c>
      <c r="D1130" t="s">
        <v>10</v>
      </c>
      <c r="E1130">
        <v>2003</v>
      </c>
      <c r="F1130" s="1">
        <v>99</v>
      </c>
      <c r="G1130">
        <v>2000</v>
      </c>
      <c r="H1130">
        <f>AVERAGEIFS(Table1[value],Table1[IndicatorCode],Table1[[#This Row],[IndicatorCode]])</f>
        <v>99.756410256410263</v>
      </c>
      <c r="I1130" cm="1">
        <f t="array" ref="I1130">_xlfn.STDEV.P(IF(Table1[IndicatorCode]=Table1[[#This Row],[IndicatorCode]],Table1[value]))</f>
        <v>1.1047979755287356</v>
      </c>
      <c r="J1130">
        <f>(Table1[[#This Row],[value]] - Table1[[#This Row],[mean]]) / Table1[[#This Row],[std_dev]]</f>
        <v>-0.68465934330505884</v>
      </c>
      <c r="K1130">
        <f>AVERAGEIF(Table1[CountryCode],Table1[[#This Row],[CountryCode]],Table1[z-score])</f>
        <v>-0.22998905081420598</v>
      </c>
      <c r="L1130" t="e">
        <f>VLOOKUP(Table1[[#This Row],[CountryCode]],[1]!Table1[#All],1,FALSE)</f>
        <v>#REF!</v>
      </c>
    </row>
    <row r="1131" spans="1:12" hidden="1" x14ac:dyDescent="0.3">
      <c r="A1131" t="s">
        <v>77</v>
      </c>
      <c r="B1131" t="s">
        <v>78</v>
      </c>
      <c r="C1131" t="s">
        <v>9</v>
      </c>
      <c r="D1131" t="s">
        <v>10</v>
      </c>
      <c r="E1131">
        <v>2004</v>
      </c>
      <c r="F1131" s="1">
        <v>99</v>
      </c>
      <c r="G1131">
        <v>2000</v>
      </c>
      <c r="H1131">
        <f>AVERAGEIFS(Table1[value],Table1[IndicatorCode],Table1[[#This Row],[IndicatorCode]])</f>
        <v>99.756410256410263</v>
      </c>
      <c r="I1131" cm="1">
        <f t="array" ref="I1131">_xlfn.STDEV.P(IF(Table1[IndicatorCode]=Table1[[#This Row],[IndicatorCode]],Table1[value]))</f>
        <v>1.1047979755287356</v>
      </c>
      <c r="J1131">
        <f>(Table1[[#This Row],[value]] - Table1[[#This Row],[mean]]) / Table1[[#This Row],[std_dev]]</f>
        <v>-0.68465934330505884</v>
      </c>
      <c r="K1131">
        <f>AVERAGEIF(Table1[CountryCode],Table1[[#This Row],[CountryCode]],Table1[z-score])</f>
        <v>-0.22998905081420598</v>
      </c>
      <c r="L1131" t="e">
        <f>VLOOKUP(Table1[[#This Row],[CountryCode]],[1]!Table1[#All],1,FALSE)</f>
        <v>#REF!</v>
      </c>
    </row>
    <row r="1132" spans="1:12" hidden="1" x14ac:dyDescent="0.3">
      <c r="A1132" t="s">
        <v>77</v>
      </c>
      <c r="B1132" t="s">
        <v>78</v>
      </c>
      <c r="C1132" t="s">
        <v>9</v>
      </c>
      <c r="D1132" t="s">
        <v>10</v>
      </c>
      <c r="E1132">
        <v>2005</v>
      </c>
      <c r="F1132" s="1">
        <v>99</v>
      </c>
      <c r="G1132">
        <v>2000</v>
      </c>
      <c r="H1132">
        <f>AVERAGEIFS(Table1[value],Table1[IndicatorCode],Table1[[#This Row],[IndicatorCode]])</f>
        <v>99.756410256410263</v>
      </c>
      <c r="I1132" cm="1">
        <f t="array" ref="I1132">_xlfn.STDEV.P(IF(Table1[IndicatorCode]=Table1[[#This Row],[IndicatorCode]],Table1[value]))</f>
        <v>1.1047979755287356</v>
      </c>
      <c r="J1132">
        <f>(Table1[[#This Row],[value]] - Table1[[#This Row],[mean]]) / Table1[[#This Row],[std_dev]]</f>
        <v>-0.68465934330505884</v>
      </c>
      <c r="K1132">
        <f>AVERAGEIF(Table1[CountryCode],Table1[[#This Row],[CountryCode]],Table1[z-score])</f>
        <v>-0.22998905081420598</v>
      </c>
      <c r="L1132" t="e">
        <f>VLOOKUP(Table1[[#This Row],[CountryCode]],[1]!Table1[#All],1,FALSE)</f>
        <v>#REF!</v>
      </c>
    </row>
    <row r="1133" spans="1:12" hidden="1" x14ac:dyDescent="0.3">
      <c r="A1133" t="s">
        <v>77</v>
      </c>
      <c r="B1133" t="s">
        <v>78</v>
      </c>
      <c r="C1133" t="s">
        <v>9</v>
      </c>
      <c r="D1133" t="s">
        <v>10</v>
      </c>
      <c r="E1133">
        <v>2006</v>
      </c>
      <c r="F1133" s="1">
        <v>99</v>
      </c>
      <c r="G1133">
        <v>2000</v>
      </c>
      <c r="H1133">
        <f>AVERAGEIFS(Table1[value],Table1[IndicatorCode],Table1[[#This Row],[IndicatorCode]])</f>
        <v>99.756410256410263</v>
      </c>
      <c r="I1133" cm="1">
        <f t="array" ref="I1133">_xlfn.STDEV.P(IF(Table1[IndicatorCode]=Table1[[#This Row],[IndicatorCode]],Table1[value]))</f>
        <v>1.1047979755287356</v>
      </c>
      <c r="J1133">
        <f>(Table1[[#This Row],[value]] - Table1[[#This Row],[mean]]) / Table1[[#This Row],[std_dev]]</f>
        <v>-0.68465934330505884</v>
      </c>
      <c r="K1133">
        <f>AVERAGEIF(Table1[CountryCode],Table1[[#This Row],[CountryCode]],Table1[z-score])</f>
        <v>-0.22998905081420598</v>
      </c>
      <c r="L1133" t="e">
        <f>VLOOKUP(Table1[[#This Row],[CountryCode]],[1]!Table1[#All],1,FALSE)</f>
        <v>#REF!</v>
      </c>
    </row>
    <row r="1134" spans="1:12" hidden="1" x14ac:dyDescent="0.3">
      <c r="A1134" t="s">
        <v>77</v>
      </c>
      <c r="B1134" t="s">
        <v>78</v>
      </c>
      <c r="C1134" t="s">
        <v>9</v>
      </c>
      <c r="D1134" t="s">
        <v>10</v>
      </c>
      <c r="E1134">
        <v>2007</v>
      </c>
      <c r="F1134" s="1">
        <v>99</v>
      </c>
      <c r="G1134">
        <v>2010</v>
      </c>
      <c r="H1134">
        <f>AVERAGEIFS(Table1[value],Table1[IndicatorCode],Table1[[#This Row],[IndicatorCode]])</f>
        <v>99.756410256410263</v>
      </c>
      <c r="I1134" cm="1">
        <f t="array" ref="I1134">_xlfn.STDEV.P(IF(Table1[IndicatorCode]=Table1[[#This Row],[IndicatorCode]],Table1[value]))</f>
        <v>1.1047979755287356</v>
      </c>
      <c r="J1134">
        <f>(Table1[[#This Row],[value]] - Table1[[#This Row],[mean]]) / Table1[[#This Row],[std_dev]]</f>
        <v>-0.68465934330505884</v>
      </c>
      <c r="K1134">
        <f>AVERAGEIF(Table1[CountryCode],Table1[[#This Row],[CountryCode]],Table1[z-score])</f>
        <v>-0.22998905081420598</v>
      </c>
      <c r="L1134" t="e">
        <f>VLOOKUP(Table1[[#This Row],[CountryCode]],[1]!Table1[#All],1,FALSE)</f>
        <v>#REF!</v>
      </c>
    </row>
    <row r="1135" spans="1:12" hidden="1" x14ac:dyDescent="0.3">
      <c r="A1135" t="s">
        <v>77</v>
      </c>
      <c r="B1135" t="s">
        <v>78</v>
      </c>
      <c r="C1135" t="s">
        <v>9</v>
      </c>
      <c r="D1135" t="s">
        <v>10</v>
      </c>
      <c r="E1135">
        <v>2008</v>
      </c>
      <c r="F1135" s="1">
        <v>99</v>
      </c>
      <c r="G1135">
        <v>2010</v>
      </c>
      <c r="H1135">
        <f>AVERAGEIFS(Table1[value],Table1[IndicatorCode],Table1[[#This Row],[IndicatorCode]])</f>
        <v>99.756410256410263</v>
      </c>
      <c r="I1135" cm="1">
        <f t="array" ref="I1135">_xlfn.STDEV.P(IF(Table1[IndicatorCode]=Table1[[#This Row],[IndicatorCode]],Table1[value]))</f>
        <v>1.1047979755287356</v>
      </c>
      <c r="J1135">
        <f>(Table1[[#This Row],[value]] - Table1[[#This Row],[mean]]) / Table1[[#This Row],[std_dev]]</f>
        <v>-0.68465934330505884</v>
      </c>
      <c r="K1135">
        <f>AVERAGEIF(Table1[CountryCode],Table1[[#This Row],[CountryCode]],Table1[z-score])</f>
        <v>-0.22998905081420598</v>
      </c>
      <c r="L1135" t="e">
        <f>VLOOKUP(Table1[[#This Row],[CountryCode]],[1]!Table1[#All],1,FALSE)</f>
        <v>#REF!</v>
      </c>
    </row>
    <row r="1136" spans="1:12" hidden="1" x14ac:dyDescent="0.3">
      <c r="A1136" t="s">
        <v>77</v>
      </c>
      <c r="B1136" t="s">
        <v>78</v>
      </c>
      <c r="C1136" t="s">
        <v>9</v>
      </c>
      <c r="D1136" t="s">
        <v>10</v>
      </c>
      <c r="E1136">
        <v>2009</v>
      </c>
      <c r="F1136" s="1">
        <v>100</v>
      </c>
      <c r="G1136">
        <v>2010</v>
      </c>
      <c r="H1136">
        <f>AVERAGEIFS(Table1[value],Table1[IndicatorCode],Table1[[#This Row],[IndicatorCode]])</f>
        <v>99.756410256410263</v>
      </c>
      <c r="I1136" cm="1">
        <f t="array" ref="I1136">_xlfn.STDEV.P(IF(Table1[IndicatorCode]=Table1[[#This Row],[IndicatorCode]],Table1[value]))</f>
        <v>1.1047979755287356</v>
      </c>
      <c r="J1136">
        <f>(Table1[[#This Row],[value]] - Table1[[#This Row],[mean]]) / Table1[[#This Row],[std_dev]]</f>
        <v>0.22048351733552002</v>
      </c>
      <c r="K1136">
        <f>AVERAGEIF(Table1[CountryCode],Table1[[#This Row],[CountryCode]],Table1[z-score])</f>
        <v>-0.22998905081420598</v>
      </c>
      <c r="L1136" t="e">
        <f>VLOOKUP(Table1[[#This Row],[CountryCode]],[1]!Table1[#All],1,FALSE)</f>
        <v>#REF!</v>
      </c>
    </row>
    <row r="1137" spans="1:12" hidden="1" x14ac:dyDescent="0.3">
      <c r="A1137" t="s">
        <v>77</v>
      </c>
      <c r="B1137" t="s">
        <v>78</v>
      </c>
      <c r="C1137" t="s">
        <v>9</v>
      </c>
      <c r="D1137" t="s">
        <v>10</v>
      </c>
      <c r="E1137">
        <v>2010</v>
      </c>
      <c r="F1137" s="1">
        <v>100</v>
      </c>
      <c r="G1137">
        <v>2010</v>
      </c>
      <c r="H1137">
        <f>AVERAGEIFS(Table1[value],Table1[IndicatorCode],Table1[[#This Row],[IndicatorCode]])</f>
        <v>99.756410256410263</v>
      </c>
      <c r="I1137" cm="1">
        <f t="array" ref="I1137">_xlfn.STDEV.P(IF(Table1[IndicatorCode]=Table1[[#This Row],[IndicatorCode]],Table1[value]))</f>
        <v>1.1047979755287356</v>
      </c>
      <c r="J1137">
        <f>(Table1[[#This Row],[value]] - Table1[[#This Row],[mean]]) / Table1[[#This Row],[std_dev]]</f>
        <v>0.22048351733552002</v>
      </c>
      <c r="K1137">
        <f>AVERAGEIF(Table1[CountryCode],Table1[[#This Row],[CountryCode]],Table1[z-score])</f>
        <v>-0.22998905081420598</v>
      </c>
      <c r="L1137" t="e">
        <f>VLOOKUP(Table1[[#This Row],[CountryCode]],[1]!Table1[#All],1,FALSE)</f>
        <v>#REF!</v>
      </c>
    </row>
    <row r="1138" spans="1:12" hidden="1" x14ac:dyDescent="0.3">
      <c r="A1138" t="s">
        <v>77</v>
      </c>
      <c r="B1138" t="s">
        <v>78</v>
      </c>
      <c r="C1138" t="s">
        <v>9</v>
      </c>
      <c r="D1138" t="s">
        <v>10</v>
      </c>
      <c r="E1138">
        <v>2011</v>
      </c>
      <c r="F1138" s="1">
        <v>100</v>
      </c>
      <c r="G1138">
        <v>2010</v>
      </c>
      <c r="H1138">
        <f>AVERAGEIFS(Table1[value],Table1[IndicatorCode],Table1[[#This Row],[IndicatorCode]])</f>
        <v>99.756410256410263</v>
      </c>
      <c r="I1138" cm="1">
        <f t="array" ref="I1138">_xlfn.STDEV.P(IF(Table1[IndicatorCode]=Table1[[#This Row],[IndicatorCode]],Table1[value]))</f>
        <v>1.1047979755287356</v>
      </c>
      <c r="J1138">
        <f>(Table1[[#This Row],[value]] - Table1[[#This Row],[mean]]) / Table1[[#This Row],[std_dev]]</f>
        <v>0.22048351733552002</v>
      </c>
      <c r="K1138">
        <f>AVERAGEIF(Table1[CountryCode],Table1[[#This Row],[CountryCode]],Table1[z-score])</f>
        <v>-0.22998905081420598</v>
      </c>
      <c r="L1138" t="e">
        <f>VLOOKUP(Table1[[#This Row],[CountryCode]],[1]!Table1[#All],1,FALSE)</f>
        <v>#REF!</v>
      </c>
    </row>
    <row r="1139" spans="1:12" hidden="1" x14ac:dyDescent="0.3">
      <c r="A1139" t="s">
        <v>77</v>
      </c>
      <c r="B1139" t="s">
        <v>78</v>
      </c>
      <c r="C1139" t="s">
        <v>9</v>
      </c>
      <c r="D1139" t="s">
        <v>10</v>
      </c>
      <c r="E1139">
        <v>2012</v>
      </c>
      <c r="F1139" s="1">
        <v>100</v>
      </c>
      <c r="G1139">
        <v>2010</v>
      </c>
      <c r="H1139">
        <f>AVERAGEIFS(Table1[value],Table1[IndicatorCode],Table1[[#This Row],[IndicatorCode]])</f>
        <v>99.756410256410263</v>
      </c>
      <c r="I1139" cm="1">
        <f t="array" ref="I1139">_xlfn.STDEV.P(IF(Table1[IndicatorCode]=Table1[[#This Row],[IndicatorCode]],Table1[value]))</f>
        <v>1.1047979755287356</v>
      </c>
      <c r="J1139">
        <f>(Table1[[#This Row],[value]] - Table1[[#This Row],[mean]]) / Table1[[#This Row],[std_dev]]</f>
        <v>0.22048351733552002</v>
      </c>
      <c r="K1139">
        <f>AVERAGEIF(Table1[CountryCode],Table1[[#This Row],[CountryCode]],Table1[z-score])</f>
        <v>-0.22998905081420598</v>
      </c>
      <c r="L1139" t="e">
        <f>VLOOKUP(Table1[[#This Row],[CountryCode]],[1]!Table1[#All],1,FALSE)</f>
        <v>#REF!</v>
      </c>
    </row>
    <row r="1140" spans="1:12" hidden="1" x14ac:dyDescent="0.3">
      <c r="A1140" t="s">
        <v>77</v>
      </c>
      <c r="B1140" t="s">
        <v>78</v>
      </c>
      <c r="C1140" t="s">
        <v>9</v>
      </c>
      <c r="D1140" t="s">
        <v>10</v>
      </c>
      <c r="E1140">
        <v>2013</v>
      </c>
      <c r="F1140" s="1">
        <v>100</v>
      </c>
      <c r="G1140">
        <v>2010</v>
      </c>
      <c r="H1140">
        <f>AVERAGEIFS(Table1[value],Table1[IndicatorCode],Table1[[#This Row],[IndicatorCode]])</f>
        <v>99.756410256410263</v>
      </c>
      <c r="I1140" cm="1">
        <f t="array" ref="I1140">_xlfn.STDEV.P(IF(Table1[IndicatorCode]=Table1[[#This Row],[IndicatorCode]],Table1[value]))</f>
        <v>1.1047979755287356</v>
      </c>
      <c r="J1140">
        <f>(Table1[[#This Row],[value]] - Table1[[#This Row],[mean]]) / Table1[[#This Row],[std_dev]]</f>
        <v>0.22048351733552002</v>
      </c>
      <c r="K1140">
        <f>AVERAGEIF(Table1[CountryCode],Table1[[#This Row],[CountryCode]],Table1[z-score])</f>
        <v>-0.22998905081420598</v>
      </c>
      <c r="L1140" t="e">
        <f>VLOOKUP(Table1[[#This Row],[CountryCode]],[1]!Table1[#All],1,FALSE)</f>
        <v>#REF!</v>
      </c>
    </row>
    <row r="1141" spans="1:12" hidden="1" x14ac:dyDescent="0.3">
      <c r="A1141" t="s">
        <v>77</v>
      </c>
      <c r="B1141" t="s">
        <v>78</v>
      </c>
      <c r="C1141" t="s">
        <v>9</v>
      </c>
      <c r="D1141" t="s">
        <v>10</v>
      </c>
      <c r="E1141">
        <v>2014</v>
      </c>
      <c r="F1141" s="1">
        <v>100</v>
      </c>
      <c r="G1141">
        <v>2010</v>
      </c>
      <c r="H1141">
        <f>AVERAGEIFS(Table1[value],Table1[IndicatorCode],Table1[[#This Row],[IndicatorCode]])</f>
        <v>99.756410256410263</v>
      </c>
      <c r="I1141" cm="1">
        <f t="array" ref="I1141">_xlfn.STDEV.P(IF(Table1[IndicatorCode]=Table1[[#This Row],[IndicatorCode]],Table1[value]))</f>
        <v>1.1047979755287356</v>
      </c>
      <c r="J1141">
        <f>(Table1[[#This Row],[value]] - Table1[[#This Row],[mean]]) / Table1[[#This Row],[std_dev]]</f>
        <v>0.22048351733552002</v>
      </c>
      <c r="K1141">
        <f>AVERAGEIF(Table1[CountryCode],Table1[[#This Row],[CountryCode]],Table1[z-score])</f>
        <v>-0.22998905081420598</v>
      </c>
      <c r="L1141" t="e">
        <f>VLOOKUP(Table1[[#This Row],[CountryCode]],[1]!Table1[#All],1,FALSE)</f>
        <v>#REF!</v>
      </c>
    </row>
    <row r="1142" spans="1:12" hidden="1" x14ac:dyDescent="0.3">
      <c r="A1142" t="s">
        <v>77</v>
      </c>
      <c r="B1142" t="s">
        <v>78</v>
      </c>
      <c r="C1142" t="s">
        <v>9</v>
      </c>
      <c r="D1142" t="s">
        <v>10</v>
      </c>
      <c r="E1142">
        <v>2015</v>
      </c>
      <c r="F1142" s="1">
        <v>100</v>
      </c>
      <c r="G1142">
        <v>2010</v>
      </c>
      <c r="H1142">
        <f>AVERAGEIFS(Table1[value],Table1[IndicatorCode],Table1[[#This Row],[IndicatorCode]])</f>
        <v>99.756410256410263</v>
      </c>
      <c r="I1142" cm="1">
        <f t="array" ref="I1142">_xlfn.STDEV.P(IF(Table1[IndicatorCode]=Table1[[#This Row],[IndicatorCode]],Table1[value]))</f>
        <v>1.1047979755287356</v>
      </c>
      <c r="J1142">
        <f>(Table1[[#This Row],[value]] - Table1[[#This Row],[mean]]) / Table1[[#This Row],[std_dev]]</f>
        <v>0.22048351733552002</v>
      </c>
      <c r="K1142">
        <f>AVERAGEIF(Table1[CountryCode],Table1[[#This Row],[CountryCode]],Table1[z-score])</f>
        <v>-0.22998905081420598</v>
      </c>
      <c r="L1142" t="e">
        <f>VLOOKUP(Table1[[#This Row],[CountryCode]],[1]!Table1[#All],1,FALSE)</f>
        <v>#REF!</v>
      </c>
    </row>
    <row r="1143" spans="1:12" hidden="1" x14ac:dyDescent="0.3">
      <c r="A1143" t="s">
        <v>77</v>
      </c>
      <c r="B1143" t="s">
        <v>78</v>
      </c>
      <c r="C1143" t="s">
        <v>9</v>
      </c>
      <c r="D1143" t="s">
        <v>10</v>
      </c>
      <c r="E1143">
        <v>2016</v>
      </c>
      <c r="F1143" s="1">
        <v>100</v>
      </c>
      <c r="G1143">
        <v>2010</v>
      </c>
      <c r="H1143">
        <f>AVERAGEIFS(Table1[value],Table1[IndicatorCode],Table1[[#This Row],[IndicatorCode]])</f>
        <v>99.756410256410263</v>
      </c>
      <c r="I1143" cm="1">
        <f t="array" ref="I1143">_xlfn.STDEV.P(IF(Table1[IndicatorCode]=Table1[[#This Row],[IndicatorCode]],Table1[value]))</f>
        <v>1.1047979755287356</v>
      </c>
      <c r="J1143">
        <f>(Table1[[#This Row],[value]] - Table1[[#This Row],[mean]]) / Table1[[#This Row],[std_dev]]</f>
        <v>0.22048351733552002</v>
      </c>
      <c r="K1143">
        <f>AVERAGEIF(Table1[CountryCode],Table1[[#This Row],[CountryCode]],Table1[z-score])</f>
        <v>-0.22998905081420598</v>
      </c>
      <c r="L1143" t="e">
        <f>VLOOKUP(Table1[[#This Row],[CountryCode]],[1]!Table1[#All],1,FALSE)</f>
        <v>#REF!</v>
      </c>
    </row>
    <row r="1144" spans="1:12" hidden="1" x14ac:dyDescent="0.3">
      <c r="A1144" t="s">
        <v>77</v>
      </c>
      <c r="B1144" t="s">
        <v>78</v>
      </c>
      <c r="C1144" t="s">
        <v>9</v>
      </c>
      <c r="D1144" t="s">
        <v>10</v>
      </c>
      <c r="E1144">
        <v>2017</v>
      </c>
      <c r="F1144" s="1">
        <v>100</v>
      </c>
      <c r="G1144">
        <v>2020</v>
      </c>
      <c r="H1144">
        <f>AVERAGEIFS(Table1[value],Table1[IndicatorCode],Table1[[#This Row],[IndicatorCode]])</f>
        <v>99.756410256410263</v>
      </c>
      <c r="I1144" cm="1">
        <f t="array" ref="I1144">_xlfn.STDEV.P(IF(Table1[IndicatorCode]=Table1[[#This Row],[IndicatorCode]],Table1[value]))</f>
        <v>1.1047979755287356</v>
      </c>
      <c r="J1144">
        <f>(Table1[[#This Row],[value]] - Table1[[#This Row],[mean]]) / Table1[[#This Row],[std_dev]]</f>
        <v>0.22048351733552002</v>
      </c>
      <c r="K1144">
        <f>AVERAGEIF(Table1[CountryCode],Table1[[#This Row],[CountryCode]],Table1[z-score])</f>
        <v>-0.22998905081420598</v>
      </c>
      <c r="L1144" t="e">
        <f>VLOOKUP(Table1[[#This Row],[CountryCode]],[1]!Table1[#All],1,FALSE)</f>
        <v>#REF!</v>
      </c>
    </row>
    <row r="1145" spans="1:12" hidden="1" x14ac:dyDescent="0.3">
      <c r="A1145" t="s">
        <v>77</v>
      </c>
      <c r="B1145" t="s">
        <v>78</v>
      </c>
      <c r="C1145" t="s">
        <v>9</v>
      </c>
      <c r="D1145" t="s">
        <v>10</v>
      </c>
      <c r="E1145">
        <v>2018</v>
      </c>
      <c r="F1145" s="1">
        <v>100</v>
      </c>
      <c r="G1145">
        <v>2020</v>
      </c>
      <c r="H1145">
        <f>AVERAGEIFS(Table1[value],Table1[IndicatorCode],Table1[[#This Row],[IndicatorCode]])</f>
        <v>99.756410256410263</v>
      </c>
      <c r="I1145" cm="1">
        <f t="array" ref="I1145">_xlfn.STDEV.P(IF(Table1[IndicatorCode]=Table1[[#This Row],[IndicatorCode]],Table1[value]))</f>
        <v>1.1047979755287356</v>
      </c>
      <c r="J1145">
        <f>(Table1[[#This Row],[value]] - Table1[[#This Row],[mean]]) / Table1[[#This Row],[std_dev]]</f>
        <v>0.22048351733552002</v>
      </c>
      <c r="K1145">
        <f>AVERAGEIF(Table1[CountryCode],Table1[[#This Row],[CountryCode]],Table1[z-score])</f>
        <v>-0.22998905081420598</v>
      </c>
      <c r="L1145" t="e">
        <f>VLOOKUP(Table1[[#This Row],[CountryCode]],[1]!Table1[#All],1,FALSE)</f>
        <v>#REF!</v>
      </c>
    </row>
    <row r="1146" spans="1:12" hidden="1" x14ac:dyDescent="0.3">
      <c r="A1146" t="s">
        <v>77</v>
      </c>
      <c r="B1146" t="s">
        <v>78</v>
      </c>
      <c r="C1146" t="s">
        <v>9</v>
      </c>
      <c r="D1146" t="s">
        <v>10</v>
      </c>
      <c r="E1146">
        <v>2019</v>
      </c>
      <c r="F1146" s="1">
        <v>100</v>
      </c>
      <c r="G1146">
        <v>2020</v>
      </c>
      <c r="H1146">
        <f>AVERAGEIFS(Table1[value],Table1[IndicatorCode],Table1[[#This Row],[IndicatorCode]])</f>
        <v>99.756410256410263</v>
      </c>
      <c r="I1146" cm="1">
        <f t="array" ref="I1146">_xlfn.STDEV.P(IF(Table1[IndicatorCode]=Table1[[#This Row],[IndicatorCode]],Table1[value]))</f>
        <v>1.1047979755287356</v>
      </c>
      <c r="J1146">
        <f>(Table1[[#This Row],[value]] - Table1[[#This Row],[mean]]) / Table1[[#This Row],[std_dev]]</f>
        <v>0.22048351733552002</v>
      </c>
      <c r="K1146">
        <f>AVERAGEIF(Table1[CountryCode],Table1[[#This Row],[CountryCode]],Table1[z-score])</f>
        <v>-0.22998905081420598</v>
      </c>
      <c r="L1146" t="e">
        <f>VLOOKUP(Table1[[#This Row],[CountryCode]],[1]!Table1[#All],1,FALSE)</f>
        <v>#REF!</v>
      </c>
    </row>
    <row r="1147" spans="1:12" x14ac:dyDescent="0.3">
      <c r="A1147" t="s">
        <v>77</v>
      </c>
      <c r="B1147" t="s">
        <v>78</v>
      </c>
      <c r="C1147" t="s">
        <v>9</v>
      </c>
      <c r="D1147" t="s">
        <v>10</v>
      </c>
      <c r="E1147">
        <v>2020</v>
      </c>
      <c r="F1147" s="1">
        <v>100</v>
      </c>
      <c r="G1147">
        <v>2020</v>
      </c>
      <c r="H1147">
        <f>AVERAGEIFS(Table1[value],Table1[IndicatorCode],Table1[[#This Row],[IndicatorCode]])</f>
        <v>99.756410256410263</v>
      </c>
      <c r="I1147" cm="1">
        <f t="array" ref="I1147">_xlfn.STDEV.P(IF(Table1[IndicatorCode]=Table1[[#This Row],[IndicatorCode]],Table1[value]))</f>
        <v>1.1047979755287356</v>
      </c>
      <c r="J1147">
        <f>(Table1[[#This Row],[value]] - Table1[[#This Row],[mean]]) / Table1[[#This Row],[std_dev]]</f>
        <v>0.22048351733552002</v>
      </c>
      <c r="K1147">
        <f>AVERAGEIF(Table1[CountryCode],Table1[[#This Row],[CountryCode]],Table1[z-score])</f>
        <v>-0.22998905081420598</v>
      </c>
    </row>
    <row r="1148" spans="1:12" hidden="1" x14ac:dyDescent="0.3">
      <c r="A1148" t="s">
        <v>77</v>
      </c>
      <c r="B1148" t="s">
        <v>78</v>
      </c>
      <c r="C1148" t="s">
        <v>9</v>
      </c>
      <c r="D1148" t="s">
        <v>10</v>
      </c>
      <c r="E1148">
        <v>2021</v>
      </c>
      <c r="F1148" s="1">
        <v>100</v>
      </c>
      <c r="G1148">
        <v>1990</v>
      </c>
      <c r="H1148">
        <f>AVERAGEIFS(Table1[value],Table1[IndicatorCode],Table1[[#This Row],[IndicatorCode]])</f>
        <v>99.756410256410263</v>
      </c>
      <c r="I1148" cm="1">
        <f t="array" ref="I1148">_xlfn.STDEV.P(IF(Table1[IndicatorCode]=Table1[[#This Row],[IndicatorCode]],Table1[value]))</f>
        <v>1.1047979755287356</v>
      </c>
      <c r="J1148">
        <f>(Table1[[#This Row],[value]] - Table1[[#This Row],[mean]]) / Table1[[#This Row],[std_dev]]</f>
        <v>0.22048351733552002</v>
      </c>
      <c r="K1148">
        <f>AVERAGEIF(Table1[CountryCode],Table1[[#This Row],[CountryCode]],Table1[z-score])</f>
        <v>-0.22998905081420598</v>
      </c>
      <c r="L1148" t="e">
        <f>VLOOKUP(Table1[[#This Row],[CountryCode]],[1]!Table1[#All],1,FALSE)</f>
        <v>#REF!</v>
      </c>
    </row>
    <row r="1149" spans="1:12" hidden="1" x14ac:dyDescent="0.3">
      <c r="A1149" t="s">
        <v>77</v>
      </c>
      <c r="B1149" t="s">
        <v>78</v>
      </c>
      <c r="C1149" t="s">
        <v>9</v>
      </c>
      <c r="D1149" t="s">
        <v>10</v>
      </c>
      <c r="E1149">
        <v>2022</v>
      </c>
      <c r="F1149" s="1">
        <v>100</v>
      </c>
      <c r="G1149">
        <v>1990</v>
      </c>
      <c r="H1149">
        <f>AVERAGEIFS(Table1[value],Table1[IndicatorCode],Table1[[#This Row],[IndicatorCode]])</f>
        <v>99.756410256410263</v>
      </c>
      <c r="I1149" cm="1">
        <f t="array" ref="I1149">_xlfn.STDEV.P(IF(Table1[IndicatorCode]=Table1[[#This Row],[IndicatorCode]],Table1[value]))</f>
        <v>1.1047979755287356</v>
      </c>
      <c r="J1149">
        <f>(Table1[[#This Row],[value]] - Table1[[#This Row],[mean]]) / Table1[[#This Row],[std_dev]]</f>
        <v>0.22048351733552002</v>
      </c>
      <c r="K1149">
        <f>AVERAGEIF(Table1[CountryCode],Table1[[#This Row],[CountryCode]],Table1[z-score])</f>
        <v>-0.22998905081420598</v>
      </c>
      <c r="L1149" t="e">
        <f>VLOOKUP(Table1[[#This Row],[CountryCode]],[1]!Table1[#All],1,FALSE)</f>
        <v>#REF!</v>
      </c>
    </row>
    <row r="1150" spans="1:12" hidden="1" x14ac:dyDescent="0.3">
      <c r="A1150" t="s">
        <v>77</v>
      </c>
      <c r="B1150" t="s">
        <v>78</v>
      </c>
      <c r="C1150" t="s">
        <v>9</v>
      </c>
      <c r="D1150" t="s">
        <v>10</v>
      </c>
      <c r="E1150">
        <v>2023</v>
      </c>
      <c r="F1150" s="1">
        <v>100</v>
      </c>
      <c r="G1150">
        <v>1990</v>
      </c>
      <c r="H1150">
        <f>AVERAGEIFS(Table1[value],Table1[IndicatorCode],Table1[[#This Row],[IndicatorCode]])</f>
        <v>99.756410256410263</v>
      </c>
      <c r="I1150" cm="1">
        <f t="array" ref="I1150">_xlfn.STDEV.P(IF(Table1[IndicatorCode]=Table1[[#This Row],[IndicatorCode]],Table1[value]))</f>
        <v>1.1047979755287356</v>
      </c>
      <c r="J1150">
        <f>(Table1[[#This Row],[value]] - Table1[[#This Row],[mean]]) / Table1[[#This Row],[std_dev]]</f>
        <v>0.22048351733552002</v>
      </c>
      <c r="K1150">
        <f>AVERAGEIF(Table1[CountryCode],Table1[[#This Row],[CountryCode]],Table1[z-score])</f>
        <v>-0.22998905081420598</v>
      </c>
      <c r="L1150" t="e">
        <f>VLOOKUP(Table1[[#This Row],[CountryCode]],[1]!Table1[#All],1,FALSE)</f>
        <v>#REF!</v>
      </c>
    </row>
    <row r="1151" spans="1:12" hidden="1" x14ac:dyDescent="0.3">
      <c r="A1151" t="s">
        <v>79</v>
      </c>
      <c r="B1151" t="s">
        <v>80</v>
      </c>
      <c r="C1151" t="s">
        <v>9</v>
      </c>
      <c r="D1151" t="s">
        <v>10</v>
      </c>
      <c r="E1151">
        <v>1990</v>
      </c>
      <c r="F1151" s="1">
        <v>100</v>
      </c>
      <c r="G1151">
        <v>1990</v>
      </c>
      <c r="H1151">
        <f>AVERAGEIFS(Table1[value],Table1[IndicatorCode],Table1[[#This Row],[IndicatorCode]])</f>
        <v>99.756410256410263</v>
      </c>
      <c r="I1151" cm="1">
        <f t="array" ref="I1151">_xlfn.STDEV.P(IF(Table1[IndicatorCode]=Table1[[#This Row],[IndicatorCode]],Table1[value]))</f>
        <v>1.1047979755287356</v>
      </c>
      <c r="J1151">
        <f>(Table1[[#This Row],[value]] - Table1[[#This Row],[mean]]) / Table1[[#This Row],[std_dev]]</f>
        <v>0.22048351733552002</v>
      </c>
      <c r="K1151">
        <f>AVERAGEIF(Table1[CountryCode],Table1[[#This Row],[CountryCode]],Table1[z-score])</f>
        <v>1.6213099703277349</v>
      </c>
      <c r="L1151" t="e">
        <f>VLOOKUP(Table1[[#This Row],[CountryCode]],[1]!Table1[#All],1,FALSE)</f>
        <v>#REF!</v>
      </c>
    </row>
    <row r="1152" spans="1:12" hidden="1" x14ac:dyDescent="0.3">
      <c r="A1152" t="s">
        <v>79</v>
      </c>
      <c r="B1152" t="s">
        <v>80</v>
      </c>
      <c r="C1152" t="s">
        <v>9</v>
      </c>
      <c r="D1152" t="s">
        <v>10</v>
      </c>
      <c r="E1152">
        <v>1991</v>
      </c>
      <c r="F1152" s="1">
        <v>100</v>
      </c>
      <c r="G1152">
        <v>1990</v>
      </c>
      <c r="H1152">
        <f>AVERAGEIFS(Table1[value],Table1[IndicatorCode],Table1[[#This Row],[IndicatorCode]])</f>
        <v>99.756410256410263</v>
      </c>
      <c r="I1152" cm="1">
        <f t="array" ref="I1152">_xlfn.STDEV.P(IF(Table1[IndicatorCode]=Table1[[#This Row],[IndicatorCode]],Table1[value]))</f>
        <v>1.1047979755287356</v>
      </c>
      <c r="J1152">
        <f>(Table1[[#This Row],[value]] - Table1[[#This Row],[mean]]) / Table1[[#This Row],[std_dev]]</f>
        <v>0.22048351733552002</v>
      </c>
      <c r="K1152">
        <f>AVERAGEIF(Table1[CountryCode],Table1[[#This Row],[CountryCode]],Table1[z-score])</f>
        <v>1.6213099703277349</v>
      </c>
      <c r="L1152" t="e">
        <f>VLOOKUP(Table1[[#This Row],[CountryCode]],[1]!Table1[#All],1,FALSE)</f>
        <v>#REF!</v>
      </c>
    </row>
    <row r="1153" spans="1:12" hidden="1" x14ac:dyDescent="0.3">
      <c r="A1153" t="s">
        <v>79</v>
      </c>
      <c r="B1153" t="s">
        <v>80</v>
      </c>
      <c r="C1153" t="s">
        <v>9</v>
      </c>
      <c r="D1153" t="s">
        <v>10</v>
      </c>
      <c r="E1153">
        <v>1992</v>
      </c>
      <c r="F1153" s="1">
        <v>100</v>
      </c>
      <c r="G1153">
        <v>1990</v>
      </c>
      <c r="H1153">
        <f>AVERAGEIFS(Table1[value],Table1[IndicatorCode],Table1[[#This Row],[IndicatorCode]])</f>
        <v>99.756410256410263</v>
      </c>
      <c r="I1153" cm="1">
        <f t="array" ref="I1153">_xlfn.STDEV.P(IF(Table1[IndicatorCode]=Table1[[#This Row],[IndicatorCode]],Table1[value]))</f>
        <v>1.1047979755287356</v>
      </c>
      <c r="J1153">
        <f>(Table1[[#This Row],[value]] - Table1[[#This Row],[mean]]) / Table1[[#This Row],[std_dev]]</f>
        <v>0.22048351733552002</v>
      </c>
      <c r="K1153">
        <f>AVERAGEIF(Table1[CountryCode],Table1[[#This Row],[CountryCode]],Table1[z-score])</f>
        <v>1.6213099703277349</v>
      </c>
      <c r="L1153" t="e">
        <f>VLOOKUP(Table1[[#This Row],[CountryCode]],[1]!Table1[#All],1,FALSE)</f>
        <v>#REF!</v>
      </c>
    </row>
    <row r="1154" spans="1:12" hidden="1" x14ac:dyDescent="0.3">
      <c r="A1154" t="s">
        <v>79</v>
      </c>
      <c r="B1154" t="s">
        <v>80</v>
      </c>
      <c r="C1154" t="s">
        <v>9</v>
      </c>
      <c r="D1154" t="s">
        <v>10</v>
      </c>
      <c r="E1154">
        <v>1993</v>
      </c>
      <c r="F1154" s="1">
        <v>100</v>
      </c>
      <c r="G1154">
        <v>1990</v>
      </c>
      <c r="H1154">
        <f>AVERAGEIFS(Table1[value],Table1[IndicatorCode],Table1[[#This Row],[IndicatorCode]])</f>
        <v>99.756410256410263</v>
      </c>
      <c r="I1154" cm="1">
        <f t="array" ref="I1154">_xlfn.STDEV.P(IF(Table1[IndicatorCode]=Table1[[#This Row],[IndicatorCode]],Table1[value]))</f>
        <v>1.1047979755287356</v>
      </c>
      <c r="J1154">
        <f>(Table1[[#This Row],[value]] - Table1[[#This Row],[mean]]) / Table1[[#This Row],[std_dev]]</f>
        <v>0.22048351733552002</v>
      </c>
      <c r="K1154">
        <f>AVERAGEIF(Table1[CountryCode],Table1[[#This Row],[CountryCode]],Table1[z-score])</f>
        <v>1.6213099703277349</v>
      </c>
      <c r="L1154" t="e">
        <f>VLOOKUP(Table1[[#This Row],[CountryCode]],[1]!Table1[#All],1,FALSE)</f>
        <v>#REF!</v>
      </c>
    </row>
    <row r="1155" spans="1:12" hidden="1" x14ac:dyDescent="0.3">
      <c r="A1155" t="s">
        <v>79</v>
      </c>
      <c r="B1155" t="s">
        <v>80</v>
      </c>
      <c r="C1155" t="s">
        <v>9</v>
      </c>
      <c r="D1155" t="s">
        <v>10</v>
      </c>
      <c r="E1155">
        <v>1994</v>
      </c>
      <c r="F1155" s="1">
        <v>100</v>
      </c>
      <c r="G1155">
        <v>1990</v>
      </c>
      <c r="H1155">
        <f>AVERAGEIFS(Table1[value],Table1[IndicatorCode],Table1[[#This Row],[IndicatorCode]])</f>
        <v>99.756410256410263</v>
      </c>
      <c r="I1155" cm="1">
        <f t="array" ref="I1155">_xlfn.STDEV.P(IF(Table1[IndicatorCode]=Table1[[#This Row],[IndicatorCode]],Table1[value]))</f>
        <v>1.1047979755287356</v>
      </c>
      <c r="J1155">
        <f>(Table1[[#This Row],[value]] - Table1[[#This Row],[mean]]) / Table1[[#This Row],[std_dev]]</f>
        <v>0.22048351733552002</v>
      </c>
      <c r="K1155">
        <f>AVERAGEIF(Table1[CountryCode],Table1[[#This Row],[CountryCode]],Table1[z-score])</f>
        <v>1.6213099703277349</v>
      </c>
      <c r="L1155" t="e">
        <f>VLOOKUP(Table1[[#This Row],[CountryCode]],[1]!Table1[#All],1,FALSE)</f>
        <v>#REF!</v>
      </c>
    </row>
    <row r="1156" spans="1:12" hidden="1" x14ac:dyDescent="0.3">
      <c r="A1156" t="s">
        <v>79</v>
      </c>
      <c r="B1156" t="s">
        <v>80</v>
      </c>
      <c r="C1156" t="s">
        <v>9</v>
      </c>
      <c r="D1156" t="s">
        <v>10</v>
      </c>
      <c r="E1156">
        <v>1995</v>
      </c>
      <c r="F1156" s="1">
        <v>100</v>
      </c>
      <c r="G1156">
        <v>1990</v>
      </c>
      <c r="H1156">
        <f>AVERAGEIFS(Table1[value],Table1[IndicatorCode],Table1[[#This Row],[IndicatorCode]])</f>
        <v>99.756410256410263</v>
      </c>
      <c r="I1156" cm="1">
        <f t="array" ref="I1156">_xlfn.STDEV.P(IF(Table1[IndicatorCode]=Table1[[#This Row],[IndicatorCode]],Table1[value]))</f>
        <v>1.1047979755287356</v>
      </c>
      <c r="J1156">
        <f>(Table1[[#This Row],[value]] - Table1[[#This Row],[mean]]) / Table1[[#This Row],[std_dev]]</f>
        <v>0.22048351733552002</v>
      </c>
      <c r="K1156">
        <f>AVERAGEIF(Table1[CountryCode],Table1[[#This Row],[CountryCode]],Table1[z-score])</f>
        <v>1.6213099703277349</v>
      </c>
      <c r="L1156" t="e">
        <f>VLOOKUP(Table1[[#This Row],[CountryCode]],[1]!Table1[#All],1,FALSE)</f>
        <v>#REF!</v>
      </c>
    </row>
    <row r="1157" spans="1:12" hidden="1" x14ac:dyDescent="0.3">
      <c r="A1157" t="s">
        <v>79</v>
      </c>
      <c r="B1157" t="s">
        <v>80</v>
      </c>
      <c r="C1157" t="s">
        <v>9</v>
      </c>
      <c r="D1157" t="s">
        <v>10</v>
      </c>
      <c r="E1157">
        <v>1996</v>
      </c>
      <c r="F1157" s="1">
        <v>100</v>
      </c>
      <c r="G1157">
        <v>1990</v>
      </c>
      <c r="H1157">
        <f>AVERAGEIFS(Table1[value],Table1[IndicatorCode],Table1[[#This Row],[IndicatorCode]])</f>
        <v>99.756410256410263</v>
      </c>
      <c r="I1157" cm="1">
        <f t="array" ref="I1157">_xlfn.STDEV.P(IF(Table1[IndicatorCode]=Table1[[#This Row],[IndicatorCode]],Table1[value]))</f>
        <v>1.1047979755287356</v>
      </c>
      <c r="J1157">
        <f>(Table1[[#This Row],[value]] - Table1[[#This Row],[mean]]) / Table1[[#This Row],[std_dev]]</f>
        <v>0.22048351733552002</v>
      </c>
      <c r="K1157">
        <f>AVERAGEIF(Table1[CountryCode],Table1[[#This Row],[CountryCode]],Table1[z-score])</f>
        <v>1.6213099703277349</v>
      </c>
      <c r="L1157" t="e">
        <f>VLOOKUP(Table1[[#This Row],[CountryCode]],[1]!Table1[#All],1,FALSE)</f>
        <v>#REF!</v>
      </c>
    </row>
    <row r="1158" spans="1:12" hidden="1" x14ac:dyDescent="0.3">
      <c r="A1158" t="s">
        <v>79</v>
      </c>
      <c r="B1158" t="s">
        <v>80</v>
      </c>
      <c r="C1158" t="s">
        <v>9</v>
      </c>
      <c r="D1158" t="s">
        <v>10</v>
      </c>
      <c r="E1158">
        <v>1997</v>
      </c>
      <c r="F1158" s="1">
        <v>100</v>
      </c>
      <c r="G1158">
        <v>2000</v>
      </c>
      <c r="H1158">
        <f>AVERAGEIFS(Table1[value],Table1[IndicatorCode],Table1[[#This Row],[IndicatorCode]])</f>
        <v>99.756410256410263</v>
      </c>
      <c r="I1158" cm="1">
        <f t="array" ref="I1158">_xlfn.STDEV.P(IF(Table1[IndicatorCode]=Table1[[#This Row],[IndicatorCode]],Table1[value]))</f>
        <v>1.1047979755287356</v>
      </c>
      <c r="J1158">
        <f>(Table1[[#This Row],[value]] - Table1[[#This Row],[mean]]) / Table1[[#This Row],[std_dev]]</f>
        <v>0.22048351733552002</v>
      </c>
      <c r="K1158">
        <f>AVERAGEIF(Table1[CountryCode],Table1[[#This Row],[CountryCode]],Table1[z-score])</f>
        <v>1.6213099703277349</v>
      </c>
      <c r="L1158" t="e">
        <f>VLOOKUP(Table1[[#This Row],[CountryCode]],[1]!Table1[#All],1,FALSE)</f>
        <v>#REF!</v>
      </c>
    </row>
    <row r="1159" spans="1:12" hidden="1" x14ac:dyDescent="0.3">
      <c r="A1159" t="s">
        <v>79</v>
      </c>
      <c r="B1159" t="s">
        <v>80</v>
      </c>
      <c r="C1159" t="s">
        <v>9</v>
      </c>
      <c r="D1159" t="s">
        <v>10</v>
      </c>
      <c r="E1159">
        <v>1998</v>
      </c>
      <c r="F1159" s="1">
        <v>100</v>
      </c>
      <c r="G1159">
        <v>2000</v>
      </c>
      <c r="H1159">
        <f>AVERAGEIFS(Table1[value],Table1[IndicatorCode],Table1[[#This Row],[IndicatorCode]])</f>
        <v>99.756410256410263</v>
      </c>
      <c r="I1159" cm="1">
        <f t="array" ref="I1159">_xlfn.STDEV.P(IF(Table1[IndicatorCode]=Table1[[#This Row],[IndicatorCode]],Table1[value]))</f>
        <v>1.1047979755287356</v>
      </c>
      <c r="J1159">
        <f>(Table1[[#This Row],[value]] - Table1[[#This Row],[mean]]) / Table1[[#This Row],[std_dev]]</f>
        <v>0.22048351733552002</v>
      </c>
      <c r="K1159">
        <f>AVERAGEIF(Table1[CountryCode],Table1[[#This Row],[CountryCode]],Table1[z-score])</f>
        <v>1.6213099703277349</v>
      </c>
      <c r="L1159" t="e">
        <f>VLOOKUP(Table1[[#This Row],[CountryCode]],[1]!Table1[#All],1,FALSE)</f>
        <v>#REF!</v>
      </c>
    </row>
    <row r="1160" spans="1:12" hidden="1" x14ac:dyDescent="0.3">
      <c r="A1160" t="s">
        <v>79</v>
      </c>
      <c r="B1160" t="s">
        <v>80</v>
      </c>
      <c r="C1160" t="s">
        <v>9</v>
      </c>
      <c r="D1160" t="s">
        <v>10</v>
      </c>
      <c r="E1160">
        <v>1999</v>
      </c>
      <c r="F1160" s="1">
        <v>100</v>
      </c>
      <c r="G1160">
        <v>2000</v>
      </c>
      <c r="H1160">
        <f>AVERAGEIFS(Table1[value],Table1[IndicatorCode],Table1[[#This Row],[IndicatorCode]])</f>
        <v>99.756410256410263</v>
      </c>
      <c r="I1160" cm="1">
        <f t="array" ref="I1160">_xlfn.STDEV.P(IF(Table1[IndicatorCode]=Table1[[#This Row],[IndicatorCode]],Table1[value]))</f>
        <v>1.1047979755287356</v>
      </c>
      <c r="J1160">
        <f>(Table1[[#This Row],[value]] - Table1[[#This Row],[mean]]) / Table1[[#This Row],[std_dev]]</f>
        <v>0.22048351733552002</v>
      </c>
      <c r="K1160">
        <f>AVERAGEIF(Table1[CountryCode],Table1[[#This Row],[CountryCode]],Table1[z-score])</f>
        <v>1.6213099703277349</v>
      </c>
      <c r="L1160" t="e">
        <f>VLOOKUP(Table1[[#This Row],[CountryCode]],[1]!Table1[#All],1,FALSE)</f>
        <v>#REF!</v>
      </c>
    </row>
    <row r="1161" spans="1:12" hidden="1" x14ac:dyDescent="0.3">
      <c r="A1161" t="s">
        <v>79</v>
      </c>
      <c r="B1161" t="s">
        <v>80</v>
      </c>
      <c r="C1161" t="s">
        <v>9</v>
      </c>
      <c r="D1161" t="s">
        <v>10</v>
      </c>
      <c r="E1161">
        <v>2000</v>
      </c>
      <c r="F1161" s="1">
        <v>100</v>
      </c>
      <c r="G1161">
        <v>2000</v>
      </c>
      <c r="H1161">
        <f>AVERAGEIFS(Table1[value],Table1[IndicatorCode],Table1[[#This Row],[IndicatorCode]])</f>
        <v>99.756410256410263</v>
      </c>
      <c r="I1161" cm="1">
        <f t="array" ref="I1161">_xlfn.STDEV.P(IF(Table1[IndicatorCode]=Table1[[#This Row],[IndicatorCode]],Table1[value]))</f>
        <v>1.1047979755287356</v>
      </c>
      <c r="J1161">
        <f>(Table1[[#This Row],[value]] - Table1[[#This Row],[mean]]) / Table1[[#This Row],[std_dev]]</f>
        <v>0.22048351733552002</v>
      </c>
      <c r="K1161">
        <f>AVERAGEIF(Table1[CountryCode],Table1[[#This Row],[CountryCode]],Table1[z-score])</f>
        <v>1.6213099703277349</v>
      </c>
      <c r="L1161" t="e">
        <f>VLOOKUP(Table1[[#This Row],[CountryCode]],[1]!Table1[#All],1,FALSE)</f>
        <v>#REF!</v>
      </c>
    </row>
    <row r="1162" spans="1:12" hidden="1" x14ac:dyDescent="0.3">
      <c r="A1162" t="s">
        <v>79</v>
      </c>
      <c r="B1162" t="s">
        <v>80</v>
      </c>
      <c r="C1162" t="s">
        <v>9</v>
      </c>
      <c r="D1162" t="s">
        <v>10</v>
      </c>
      <c r="E1162">
        <v>2001</v>
      </c>
      <c r="F1162" s="1">
        <v>100</v>
      </c>
      <c r="G1162">
        <v>2000</v>
      </c>
      <c r="H1162">
        <f>AVERAGEIFS(Table1[value],Table1[IndicatorCode],Table1[[#This Row],[IndicatorCode]])</f>
        <v>99.756410256410263</v>
      </c>
      <c r="I1162" cm="1">
        <f t="array" ref="I1162">_xlfn.STDEV.P(IF(Table1[IndicatorCode]=Table1[[#This Row],[IndicatorCode]],Table1[value]))</f>
        <v>1.1047979755287356</v>
      </c>
      <c r="J1162">
        <f>(Table1[[#This Row],[value]] - Table1[[#This Row],[mean]]) / Table1[[#This Row],[std_dev]]</f>
        <v>0.22048351733552002</v>
      </c>
      <c r="K1162">
        <f>AVERAGEIF(Table1[CountryCode],Table1[[#This Row],[CountryCode]],Table1[z-score])</f>
        <v>1.6213099703277349</v>
      </c>
      <c r="L1162" t="e">
        <f>VLOOKUP(Table1[[#This Row],[CountryCode]],[1]!Table1[#All],1,FALSE)</f>
        <v>#REF!</v>
      </c>
    </row>
    <row r="1163" spans="1:12" hidden="1" x14ac:dyDescent="0.3">
      <c r="A1163" t="s">
        <v>79</v>
      </c>
      <c r="B1163" t="s">
        <v>80</v>
      </c>
      <c r="C1163" t="s">
        <v>9</v>
      </c>
      <c r="D1163" t="s">
        <v>10</v>
      </c>
      <c r="E1163">
        <v>2002</v>
      </c>
      <c r="F1163" s="1">
        <v>100</v>
      </c>
      <c r="G1163">
        <v>2000</v>
      </c>
      <c r="H1163">
        <f>AVERAGEIFS(Table1[value],Table1[IndicatorCode],Table1[[#This Row],[IndicatorCode]])</f>
        <v>99.756410256410263</v>
      </c>
      <c r="I1163" cm="1">
        <f t="array" ref="I1163">_xlfn.STDEV.P(IF(Table1[IndicatorCode]=Table1[[#This Row],[IndicatorCode]],Table1[value]))</f>
        <v>1.1047979755287356</v>
      </c>
      <c r="J1163">
        <f>(Table1[[#This Row],[value]] - Table1[[#This Row],[mean]]) / Table1[[#This Row],[std_dev]]</f>
        <v>0.22048351733552002</v>
      </c>
      <c r="K1163">
        <f>AVERAGEIF(Table1[CountryCode],Table1[[#This Row],[CountryCode]],Table1[z-score])</f>
        <v>1.6213099703277349</v>
      </c>
      <c r="L1163" t="e">
        <f>VLOOKUP(Table1[[#This Row],[CountryCode]],[1]!Table1[#All],1,FALSE)</f>
        <v>#REF!</v>
      </c>
    </row>
    <row r="1164" spans="1:12" hidden="1" x14ac:dyDescent="0.3">
      <c r="A1164" t="s">
        <v>79</v>
      </c>
      <c r="B1164" t="s">
        <v>80</v>
      </c>
      <c r="C1164" t="s">
        <v>9</v>
      </c>
      <c r="D1164" t="s">
        <v>10</v>
      </c>
      <c r="E1164">
        <v>2003</v>
      </c>
      <c r="F1164" s="1">
        <v>100</v>
      </c>
      <c r="G1164">
        <v>2000</v>
      </c>
      <c r="H1164">
        <f>AVERAGEIFS(Table1[value],Table1[IndicatorCode],Table1[[#This Row],[IndicatorCode]])</f>
        <v>99.756410256410263</v>
      </c>
      <c r="I1164" cm="1">
        <f t="array" ref="I1164">_xlfn.STDEV.P(IF(Table1[IndicatorCode]=Table1[[#This Row],[IndicatorCode]],Table1[value]))</f>
        <v>1.1047979755287356</v>
      </c>
      <c r="J1164">
        <f>(Table1[[#This Row],[value]] - Table1[[#This Row],[mean]]) / Table1[[#This Row],[std_dev]]</f>
        <v>0.22048351733552002</v>
      </c>
      <c r="K1164">
        <f>AVERAGEIF(Table1[CountryCode],Table1[[#This Row],[CountryCode]],Table1[z-score])</f>
        <v>1.6213099703277349</v>
      </c>
      <c r="L1164" t="e">
        <f>VLOOKUP(Table1[[#This Row],[CountryCode]],[1]!Table1[#All],1,FALSE)</f>
        <v>#REF!</v>
      </c>
    </row>
    <row r="1165" spans="1:12" hidden="1" x14ac:dyDescent="0.3">
      <c r="A1165" t="s">
        <v>79</v>
      </c>
      <c r="B1165" t="s">
        <v>80</v>
      </c>
      <c r="C1165" t="s">
        <v>9</v>
      </c>
      <c r="D1165" t="s">
        <v>10</v>
      </c>
      <c r="E1165">
        <v>2004</v>
      </c>
      <c r="F1165" s="1">
        <v>100</v>
      </c>
      <c r="G1165">
        <v>2000</v>
      </c>
      <c r="H1165">
        <f>AVERAGEIFS(Table1[value],Table1[IndicatorCode],Table1[[#This Row],[IndicatorCode]])</f>
        <v>99.756410256410263</v>
      </c>
      <c r="I1165" cm="1">
        <f t="array" ref="I1165">_xlfn.STDEV.P(IF(Table1[IndicatorCode]=Table1[[#This Row],[IndicatorCode]],Table1[value]))</f>
        <v>1.1047979755287356</v>
      </c>
      <c r="J1165">
        <f>(Table1[[#This Row],[value]] - Table1[[#This Row],[mean]]) / Table1[[#This Row],[std_dev]]</f>
        <v>0.22048351733552002</v>
      </c>
      <c r="K1165">
        <f>AVERAGEIF(Table1[CountryCode],Table1[[#This Row],[CountryCode]],Table1[z-score])</f>
        <v>1.6213099703277349</v>
      </c>
      <c r="L1165" t="e">
        <f>VLOOKUP(Table1[[#This Row],[CountryCode]],[1]!Table1[#All],1,FALSE)</f>
        <v>#REF!</v>
      </c>
    </row>
    <row r="1166" spans="1:12" hidden="1" x14ac:dyDescent="0.3">
      <c r="A1166" t="s">
        <v>79</v>
      </c>
      <c r="B1166" t="s">
        <v>80</v>
      </c>
      <c r="C1166" t="s">
        <v>9</v>
      </c>
      <c r="D1166" t="s">
        <v>10</v>
      </c>
      <c r="E1166">
        <v>2005</v>
      </c>
      <c r="F1166" s="1">
        <v>100</v>
      </c>
      <c r="G1166">
        <v>2000</v>
      </c>
      <c r="H1166">
        <f>AVERAGEIFS(Table1[value],Table1[IndicatorCode],Table1[[#This Row],[IndicatorCode]])</f>
        <v>99.756410256410263</v>
      </c>
      <c r="I1166" cm="1">
        <f t="array" ref="I1166">_xlfn.STDEV.P(IF(Table1[IndicatorCode]=Table1[[#This Row],[IndicatorCode]],Table1[value]))</f>
        <v>1.1047979755287356</v>
      </c>
      <c r="J1166">
        <f>(Table1[[#This Row],[value]] - Table1[[#This Row],[mean]]) / Table1[[#This Row],[std_dev]]</f>
        <v>0.22048351733552002</v>
      </c>
      <c r="K1166">
        <f>AVERAGEIF(Table1[CountryCode],Table1[[#This Row],[CountryCode]],Table1[z-score])</f>
        <v>1.6213099703277349</v>
      </c>
      <c r="L1166" t="e">
        <f>VLOOKUP(Table1[[#This Row],[CountryCode]],[1]!Table1[#All],1,FALSE)</f>
        <v>#REF!</v>
      </c>
    </row>
    <row r="1167" spans="1:12" hidden="1" x14ac:dyDescent="0.3">
      <c r="A1167" t="s">
        <v>79</v>
      </c>
      <c r="B1167" t="s">
        <v>80</v>
      </c>
      <c r="C1167" t="s">
        <v>9</v>
      </c>
      <c r="D1167" t="s">
        <v>10</v>
      </c>
      <c r="E1167">
        <v>2006</v>
      </c>
      <c r="F1167" s="1">
        <v>100</v>
      </c>
      <c r="G1167">
        <v>2000</v>
      </c>
      <c r="H1167">
        <f>AVERAGEIFS(Table1[value],Table1[IndicatorCode],Table1[[#This Row],[IndicatorCode]])</f>
        <v>99.756410256410263</v>
      </c>
      <c r="I1167" cm="1">
        <f t="array" ref="I1167">_xlfn.STDEV.P(IF(Table1[IndicatorCode]=Table1[[#This Row],[IndicatorCode]],Table1[value]))</f>
        <v>1.1047979755287356</v>
      </c>
      <c r="J1167">
        <f>(Table1[[#This Row],[value]] - Table1[[#This Row],[mean]]) / Table1[[#This Row],[std_dev]]</f>
        <v>0.22048351733552002</v>
      </c>
      <c r="K1167">
        <f>AVERAGEIF(Table1[CountryCode],Table1[[#This Row],[CountryCode]],Table1[z-score])</f>
        <v>1.6213099703277349</v>
      </c>
      <c r="L1167" t="e">
        <f>VLOOKUP(Table1[[#This Row],[CountryCode]],[1]!Table1[#All],1,FALSE)</f>
        <v>#REF!</v>
      </c>
    </row>
    <row r="1168" spans="1:12" hidden="1" x14ac:dyDescent="0.3">
      <c r="A1168" t="s">
        <v>79</v>
      </c>
      <c r="B1168" t="s">
        <v>80</v>
      </c>
      <c r="C1168" t="s">
        <v>9</v>
      </c>
      <c r="D1168" t="s">
        <v>10</v>
      </c>
      <c r="E1168">
        <v>2007</v>
      </c>
      <c r="F1168" s="1">
        <v>100</v>
      </c>
      <c r="G1168">
        <v>2010</v>
      </c>
      <c r="H1168">
        <f>AVERAGEIFS(Table1[value],Table1[IndicatorCode],Table1[[#This Row],[IndicatorCode]])</f>
        <v>99.756410256410263</v>
      </c>
      <c r="I1168" cm="1">
        <f t="array" ref="I1168">_xlfn.STDEV.P(IF(Table1[IndicatorCode]=Table1[[#This Row],[IndicatorCode]],Table1[value]))</f>
        <v>1.1047979755287356</v>
      </c>
      <c r="J1168">
        <f>(Table1[[#This Row],[value]] - Table1[[#This Row],[mean]]) / Table1[[#This Row],[std_dev]]</f>
        <v>0.22048351733552002</v>
      </c>
      <c r="K1168">
        <f>AVERAGEIF(Table1[CountryCode],Table1[[#This Row],[CountryCode]],Table1[z-score])</f>
        <v>1.6213099703277349</v>
      </c>
      <c r="L1168" t="e">
        <f>VLOOKUP(Table1[[#This Row],[CountryCode]],[1]!Table1[#All],1,FALSE)</f>
        <v>#REF!</v>
      </c>
    </row>
    <row r="1169" spans="1:12" hidden="1" x14ac:dyDescent="0.3">
      <c r="A1169" t="s">
        <v>79</v>
      </c>
      <c r="B1169" t="s">
        <v>80</v>
      </c>
      <c r="C1169" t="s">
        <v>9</v>
      </c>
      <c r="D1169" t="s">
        <v>10</v>
      </c>
      <c r="E1169">
        <v>2008</v>
      </c>
      <c r="F1169" s="1">
        <v>100</v>
      </c>
      <c r="G1169">
        <v>2010</v>
      </c>
      <c r="H1169">
        <f>AVERAGEIFS(Table1[value],Table1[IndicatorCode],Table1[[#This Row],[IndicatorCode]])</f>
        <v>99.756410256410263</v>
      </c>
      <c r="I1169" cm="1">
        <f t="array" ref="I1169">_xlfn.STDEV.P(IF(Table1[IndicatorCode]=Table1[[#This Row],[IndicatorCode]],Table1[value]))</f>
        <v>1.1047979755287356</v>
      </c>
      <c r="J1169">
        <f>(Table1[[#This Row],[value]] - Table1[[#This Row],[mean]]) / Table1[[#This Row],[std_dev]]</f>
        <v>0.22048351733552002</v>
      </c>
      <c r="K1169">
        <f>AVERAGEIF(Table1[CountryCode],Table1[[#This Row],[CountryCode]],Table1[z-score])</f>
        <v>1.6213099703277349</v>
      </c>
      <c r="L1169" t="e">
        <f>VLOOKUP(Table1[[#This Row],[CountryCode]],[1]!Table1[#All],1,FALSE)</f>
        <v>#REF!</v>
      </c>
    </row>
    <row r="1170" spans="1:12" hidden="1" x14ac:dyDescent="0.3">
      <c r="A1170" t="s">
        <v>79</v>
      </c>
      <c r="B1170" t="s">
        <v>80</v>
      </c>
      <c r="C1170" t="s">
        <v>9</v>
      </c>
      <c r="D1170" t="s">
        <v>10</v>
      </c>
      <c r="E1170">
        <v>2009</v>
      </c>
      <c r="F1170" s="1">
        <v>100</v>
      </c>
      <c r="G1170">
        <v>2010</v>
      </c>
      <c r="H1170">
        <f>AVERAGEIFS(Table1[value],Table1[IndicatorCode],Table1[[#This Row],[IndicatorCode]])</f>
        <v>99.756410256410263</v>
      </c>
      <c r="I1170" cm="1">
        <f t="array" ref="I1170">_xlfn.STDEV.P(IF(Table1[IndicatorCode]=Table1[[#This Row],[IndicatorCode]],Table1[value]))</f>
        <v>1.1047979755287356</v>
      </c>
      <c r="J1170">
        <f>(Table1[[#This Row],[value]] - Table1[[#This Row],[mean]]) / Table1[[#This Row],[std_dev]]</f>
        <v>0.22048351733552002</v>
      </c>
      <c r="K1170">
        <f>AVERAGEIF(Table1[CountryCode],Table1[[#This Row],[CountryCode]],Table1[z-score])</f>
        <v>1.6213099703277349</v>
      </c>
      <c r="L1170" t="e">
        <f>VLOOKUP(Table1[[#This Row],[CountryCode]],[1]!Table1[#All],1,FALSE)</f>
        <v>#REF!</v>
      </c>
    </row>
    <row r="1171" spans="1:12" hidden="1" x14ac:dyDescent="0.3">
      <c r="A1171" t="s">
        <v>79</v>
      </c>
      <c r="B1171" t="s">
        <v>80</v>
      </c>
      <c r="C1171" t="s">
        <v>9</v>
      </c>
      <c r="D1171" t="s">
        <v>10</v>
      </c>
      <c r="E1171">
        <v>2010</v>
      </c>
      <c r="F1171" s="1">
        <v>100</v>
      </c>
      <c r="G1171">
        <v>2010</v>
      </c>
      <c r="H1171">
        <f>AVERAGEIFS(Table1[value],Table1[IndicatorCode],Table1[[#This Row],[IndicatorCode]])</f>
        <v>99.756410256410263</v>
      </c>
      <c r="I1171" cm="1">
        <f t="array" ref="I1171">_xlfn.STDEV.P(IF(Table1[IndicatorCode]=Table1[[#This Row],[IndicatorCode]],Table1[value]))</f>
        <v>1.1047979755287356</v>
      </c>
      <c r="J1171">
        <f>(Table1[[#This Row],[value]] - Table1[[#This Row],[mean]]) / Table1[[#This Row],[std_dev]]</f>
        <v>0.22048351733552002</v>
      </c>
      <c r="K1171">
        <f>AVERAGEIF(Table1[CountryCode],Table1[[#This Row],[CountryCode]],Table1[z-score])</f>
        <v>1.6213099703277349</v>
      </c>
      <c r="L1171" t="e">
        <f>VLOOKUP(Table1[[#This Row],[CountryCode]],[1]!Table1[#All],1,FALSE)</f>
        <v>#REF!</v>
      </c>
    </row>
    <row r="1172" spans="1:12" hidden="1" x14ac:dyDescent="0.3">
      <c r="A1172" t="s">
        <v>79</v>
      </c>
      <c r="B1172" t="s">
        <v>80</v>
      </c>
      <c r="C1172" t="s">
        <v>9</v>
      </c>
      <c r="D1172" t="s">
        <v>10</v>
      </c>
      <c r="E1172">
        <v>2011</v>
      </c>
      <c r="F1172" s="1">
        <v>100</v>
      </c>
      <c r="G1172">
        <v>2010</v>
      </c>
      <c r="H1172">
        <f>AVERAGEIFS(Table1[value],Table1[IndicatorCode],Table1[[#This Row],[IndicatorCode]])</f>
        <v>99.756410256410263</v>
      </c>
      <c r="I1172" cm="1">
        <f t="array" ref="I1172">_xlfn.STDEV.P(IF(Table1[IndicatorCode]=Table1[[#This Row],[IndicatorCode]],Table1[value]))</f>
        <v>1.1047979755287356</v>
      </c>
      <c r="J1172">
        <f>(Table1[[#This Row],[value]] - Table1[[#This Row],[mean]]) / Table1[[#This Row],[std_dev]]</f>
        <v>0.22048351733552002</v>
      </c>
      <c r="K1172">
        <f>AVERAGEIF(Table1[CountryCode],Table1[[#This Row],[CountryCode]],Table1[z-score])</f>
        <v>1.6213099703277349</v>
      </c>
      <c r="L1172" t="e">
        <f>VLOOKUP(Table1[[#This Row],[CountryCode]],[1]!Table1[#All],1,FALSE)</f>
        <v>#REF!</v>
      </c>
    </row>
    <row r="1173" spans="1:12" hidden="1" x14ac:dyDescent="0.3">
      <c r="A1173" t="s">
        <v>79</v>
      </c>
      <c r="B1173" t="s">
        <v>80</v>
      </c>
      <c r="C1173" t="s">
        <v>9</v>
      </c>
      <c r="D1173" t="s">
        <v>10</v>
      </c>
      <c r="E1173">
        <v>2012</v>
      </c>
      <c r="F1173" s="1">
        <v>100</v>
      </c>
      <c r="G1173">
        <v>2010</v>
      </c>
      <c r="H1173">
        <f>AVERAGEIFS(Table1[value],Table1[IndicatorCode],Table1[[#This Row],[IndicatorCode]])</f>
        <v>99.756410256410263</v>
      </c>
      <c r="I1173" cm="1">
        <f t="array" ref="I1173">_xlfn.STDEV.P(IF(Table1[IndicatorCode]=Table1[[#This Row],[IndicatorCode]],Table1[value]))</f>
        <v>1.1047979755287356</v>
      </c>
      <c r="J1173">
        <f>(Table1[[#This Row],[value]] - Table1[[#This Row],[mean]]) / Table1[[#This Row],[std_dev]]</f>
        <v>0.22048351733552002</v>
      </c>
      <c r="K1173">
        <f>AVERAGEIF(Table1[CountryCode],Table1[[#This Row],[CountryCode]],Table1[z-score])</f>
        <v>1.6213099703277349</v>
      </c>
      <c r="L1173" t="e">
        <f>VLOOKUP(Table1[[#This Row],[CountryCode]],[1]!Table1[#All],1,FALSE)</f>
        <v>#REF!</v>
      </c>
    </row>
    <row r="1174" spans="1:12" hidden="1" x14ac:dyDescent="0.3">
      <c r="A1174" t="s">
        <v>79</v>
      </c>
      <c r="B1174" t="s">
        <v>80</v>
      </c>
      <c r="C1174" t="s">
        <v>9</v>
      </c>
      <c r="D1174" t="s">
        <v>10</v>
      </c>
      <c r="E1174">
        <v>2013</v>
      </c>
      <c r="F1174" s="1">
        <v>100</v>
      </c>
      <c r="G1174">
        <v>2010</v>
      </c>
      <c r="H1174">
        <f>AVERAGEIFS(Table1[value],Table1[IndicatorCode],Table1[[#This Row],[IndicatorCode]])</f>
        <v>99.756410256410263</v>
      </c>
      <c r="I1174" cm="1">
        <f t="array" ref="I1174">_xlfn.STDEV.P(IF(Table1[IndicatorCode]=Table1[[#This Row],[IndicatorCode]],Table1[value]))</f>
        <v>1.1047979755287356</v>
      </c>
      <c r="J1174">
        <f>(Table1[[#This Row],[value]] - Table1[[#This Row],[mean]]) / Table1[[#This Row],[std_dev]]</f>
        <v>0.22048351733552002</v>
      </c>
      <c r="K1174">
        <f>AVERAGEIF(Table1[CountryCode],Table1[[#This Row],[CountryCode]],Table1[z-score])</f>
        <v>1.6213099703277349</v>
      </c>
      <c r="L1174" t="e">
        <f>VLOOKUP(Table1[[#This Row],[CountryCode]],[1]!Table1[#All],1,FALSE)</f>
        <v>#REF!</v>
      </c>
    </row>
    <row r="1175" spans="1:12" hidden="1" x14ac:dyDescent="0.3">
      <c r="A1175" t="s">
        <v>79</v>
      </c>
      <c r="B1175" t="s">
        <v>80</v>
      </c>
      <c r="C1175" t="s">
        <v>9</v>
      </c>
      <c r="D1175" t="s">
        <v>10</v>
      </c>
      <c r="E1175">
        <v>2014</v>
      </c>
      <c r="F1175" s="1">
        <v>100</v>
      </c>
      <c r="G1175">
        <v>2010</v>
      </c>
      <c r="H1175">
        <f>AVERAGEIFS(Table1[value],Table1[IndicatorCode],Table1[[#This Row],[IndicatorCode]])</f>
        <v>99.756410256410263</v>
      </c>
      <c r="I1175" cm="1">
        <f t="array" ref="I1175">_xlfn.STDEV.P(IF(Table1[IndicatorCode]=Table1[[#This Row],[IndicatorCode]],Table1[value]))</f>
        <v>1.1047979755287356</v>
      </c>
      <c r="J1175">
        <f>(Table1[[#This Row],[value]] - Table1[[#This Row],[mean]]) / Table1[[#This Row],[std_dev]]</f>
        <v>0.22048351733552002</v>
      </c>
      <c r="K1175">
        <f>AVERAGEIF(Table1[CountryCode],Table1[[#This Row],[CountryCode]],Table1[z-score])</f>
        <v>1.6213099703277349</v>
      </c>
      <c r="L1175" t="e">
        <f>VLOOKUP(Table1[[#This Row],[CountryCode]],[1]!Table1[#All],1,FALSE)</f>
        <v>#REF!</v>
      </c>
    </row>
    <row r="1176" spans="1:12" hidden="1" x14ac:dyDescent="0.3">
      <c r="A1176" t="s">
        <v>79</v>
      </c>
      <c r="B1176" t="s">
        <v>80</v>
      </c>
      <c r="C1176" t="s">
        <v>9</v>
      </c>
      <c r="D1176" t="s">
        <v>10</v>
      </c>
      <c r="E1176">
        <v>2015</v>
      </c>
      <c r="F1176" s="1">
        <v>100</v>
      </c>
      <c r="G1176">
        <v>2010</v>
      </c>
      <c r="H1176">
        <f>AVERAGEIFS(Table1[value],Table1[IndicatorCode],Table1[[#This Row],[IndicatorCode]])</f>
        <v>99.756410256410263</v>
      </c>
      <c r="I1176" cm="1">
        <f t="array" ref="I1176">_xlfn.STDEV.P(IF(Table1[IndicatorCode]=Table1[[#This Row],[IndicatorCode]],Table1[value]))</f>
        <v>1.1047979755287356</v>
      </c>
      <c r="J1176">
        <f>(Table1[[#This Row],[value]] - Table1[[#This Row],[mean]]) / Table1[[#This Row],[std_dev]]</f>
        <v>0.22048351733552002</v>
      </c>
      <c r="K1176">
        <f>AVERAGEIF(Table1[CountryCode],Table1[[#This Row],[CountryCode]],Table1[z-score])</f>
        <v>1.6213099703277349</v>
      </c>
      <c r="L1176" t="e">
        <f>VLOOKUP(Table1[[#This Row],[CountryCode]],[1]!Table1[#All],1,FALSE)</f>
        <v>#REF!</v>
      </c>
    </row>
    <row r="1177" spans="1:12" hidden="1" x14ac:dyDescent="0.3">
      <c r="A1177" t="s">
        <v>79</v>
      </c>
      <c r="B1177" t="s">
        <v>80</v>
      </c>
      <c r="C1177" t="s">
        <v>9</v>
      </c>
      <c r="D1177" t="s">
        <v>10</v>
      </c>
      <c r="E1177">
        <v>2016</v>
      </c>
      <c r="F1177" s="1">
        <v>100</v>
      </c>
      <c r="G1177">
        <v>2010</v>
      </c>
      <c r="H1177">
        <f>AVERAGEIFS(Table1[value],Table1[IndicatorCode],Table1[[#This Row],[IndicatorCode]])</f>
        <v>99.756410256410263</v>
      </c>
      <c r="I1177" cm="1">
        <f t="array" ref="I1177">_xlfn.STDEV.P(IF(Table1[IndicatorCode]=Table1[[#This Row],[IndicatorCode]],Table1[value]))</f>
        <v>1.1047979755287356</v>
      </c>
      <c r="J1177">
        <f>(Table1[[#This Row],[value]] - Table1[[#This Row],[mean]]) / Table1[[#This Row],[std_dev]]</f>
        <v>0.22048351733552002</v>
      </c>
      <c r="K1177">
        <f>AVERAGEIF(Table1[CountryCode],Table1[[#This Row],[CountryCode]],Table1[z-score])</f>
        <v>1.6213099703277349</v>
      </c>
      <c r="L1177" t="e">
        <f>VLOOKUP(Table1[[#This Row],[CountryCode]],[1]!Table1[#All],1,FALSE)</f>
        <v>#REF!</v>
      </c>
    </row>
    <row r="1178" spans="1:12" hidden="1" x14ac:dyDescent="0.3">
      <c r="A1178" t="s">
        <v>79</v>
      </c>
      <c r="B1178" t="s">
        <v>80</v>
      </c>
      <c r="C1178" t="s">
        <v>9</v>
      </c>
      <c r="D1178" t="s">
        <v>10</v>
      </c>
      <c r="E1178">
        <v>2017</v>
      </c>
      <c r="F1178" s="1">
        <v>100</v>
      </c>
      <c r="G1178">
        <v>2020</v>
      </c>
      <c r="H1178">
        <f>AVERAGEIFS(Table1[value],Table1[IndicatorCode],Table1[[#This Row],[IndicatorCode]])</f>
        <v>99.756410256410263</v>
      </c>
      <c r="I1178" cm="1">
        <f t="array" ref="I1178">_xlfn.STDEV.P(IF(Table1[IndicatorCode]=Table1[[#This Row],[IndicatorCode]],Table1[value]))</f>
        <v>1.1047979755287356</v>
      </c>
      <c r="J1178">
        <f>(Table1[[#This Row],[value]] - Table1[[#This Row],[mean]]) / Table1[[#This Row],[std_dev]]</f>
        <v>0.22048351733552002</v>
      </c>
      <c r="K1178">
        <f>AVERAGEIF(Table1[CountryCode],Table1[[#This Row],[CountryCode]],Table1[z-score])</f>
        <v>1.6213099703277349</v>
      </c>
      <c r="L1178" t="e">
        <f>VLOOKUP(Table1[[#This Row],[CountryCode]],[1]!Table1[#All],1,FALSE)</f>
        <v>#REF!</v>
      </c>
    </row>
    <row r="1179" spans="1:12" hidden="1" x14ac:dyDescent="0.3">
      <c r="A1179" t="s">
        <v>79</v>
      </c>
      <c r="B1179" t="s">
        <v>80</v>
      </c>
      <c r="C1179" t="s">
        <v>9</v>
      </c>
      <c r="D1179" t="s">
        <v>10</v>
      </c>
      <c r="E1179">
        <v>2018</v>
      </c>
      <c r="F1179" s="1">
        <v>100</v>
      </c>
      <c r="G1179">
        <v>2020</v>
      </c>
      <c r="H1179">
        <f>AVERAGEIFS(Table1[value],Table1[IndicatorCode],Table1[[#This Row],[IndicatorCode]])</f>
        <v>99.756410256410263</v>
      </c>
      <c r="I1179" cm="1">
        <f t="array" ref="I1179">_xlfn.STDEV.P(IF(Table1[IndicatorCode]=Table1[[#This Row],[IndicatorCode]],Table1[value]))</f>
        <v>1.1047979755287356</v>
      </c>
      <c r="J1179">
        <f>(Table1[[#This Row],[value]] - Table1[[#This Row],[mean]]) / Table1[[#This Row],[std_dev]]</f>
        <v>0.22048351733552002</v>
      </c>
      <c r="K1179">
        <f>AVERAGEIF(Table1[CountryCode],Table1[[#This Row],[CountryCode]],Table1[z-score])</f>
        <v>1.6213099703277349</v>
      </c>
      <c r="L1179" t="e">
        <f>VLOOKUP(Table1[[#This Row],[CountryCode]],[1]!Table1[#All],1,FALSE)</f>
        <v>#REF!</v>
      </c>
    </row>
    <row r="1180" spans="1:12" hidden="1" x14ac:dyDescent="0.3">
      <c r="A1180" t="s">
        <v>79</v>
      </c>
      <c r="B1180" t="s">
        <v>80</v>
      </c>
      <c r="C1180" t="s">
        <v>9</v>
      </c>
      <c r="D1180" t="s">
        <v>10</v>
      </c>
      <c r="E1180">
        <v>2019</v>
      </c>
      <c r="F1180" s="1">
        <v>100</v>
      </c>
      <c r="G1180">
        <v>2020</v>
      </c>
      <c r="H1180">
        <f>AVERAGEIFS(Table1[value],Table1[IndicatorCode],Table1[[#This Row],[IndicatorCode]])</f>
        <v>99.756410256410263</v>
      </c>
      <c r="I1180" cm="1">
        <f t="array" ref="I1180">_xlfn.STDEV.P(IF(Table1[IndicatorCode]=Table1[[#This Row],[IndicatorCode]],Table1[value]))</f>
        <v>1.1047979755287356</v>
      </c>
      <c r="J1180">
        <f>(Table1[[#This Row],[value]] - Table1[[#This Row],[mean]]) / Table1[[#This Row],[std_dev]]</f>
        <v>0.22048351733552002</v>
      </c>
      <c r="K1180">
        <f>AVERAGEIF(Table1[CountryCode],Table1[[#This Row],[CountryCode]],Table1[z-score])</f>
        <v>1.6213099703277349</v>
      </c>
      <c r="L1180" t="e">
        <f>VLOOKUP(Table1[[#This Row],[CountryCode]],[1]!Table1[#All],1,FALSE)</f>
        <v>#REF!</v>
      </c>
    </row>
    <row r="1181" spans="1:12" x14ac:dyDescent="0.3">
      <c r="A1181" t="s">
        <v>79</v>
      </c>
      <c r="B1181" t="s">
        <v>80</v>
      </c>
      <c r="C1181" t="s">
        <v>9</v>
      </c>
      <c r="D1181" t="s">
        <v>10</v>
      </c>
      <c r="E1181">
        <v>2020</v>
      </c>
      <c r="F1181" s="1">
        <v>100</v>
      </c>
      <c r="G1181">
        <v>2020</v>
      </c>
      <c r="H1181">
        <f>AVERAGEIFS(Table1[value],Table1[IndicatorCode],Table1[[#This Row],[IndicatorCode]])</f>
        <v>99.756410256410263</v>
      </c>
      <c r="I1181" cm="1">
        <f t="array" ref="I1181">_xlfn.STDEV.P(IF(Table1[IndicatorCode]=Table1[[#This Row],[IndicatorCode]],Table1[value]))</f>
        <v>1.1047979755287356</v>
      </c>
      <c r="J1181">
        <f>(Table1[[#This Row],[value]] - Table1[[#This Row],[mean]]) / Table1[[#This Row],[std_dev]]</f>
        <v>0.22048351733552002</v>
      </c>
      <c r="K1181">
        <f>AVERAGEIF(Table1[CountryCode],Table1[[#This Row],[CountryCode]],Table1[z-score])</f>
        <v>1.6213099703277349</v>
      </c>
    </row>
    <row r="1182" spans="1:12" hidden="1" x14ac:dyDescent="0.3">
      <c r="A1182" t="s">
        <v>79</v>
      </c>
      <c r="B1182" t="s">
        <v>80</v>
      </c>
      <c r="C1182" t="s">
        <v>9</v>
      </c>
      <c r="D1182" t="s">
        <v>10</v>
      </c>
      <c r="E1182">
        <v>2021</v>
      </c>
      <c r="F1182" s="1">
        <v>100</v>
      </c>
      <c r="G1182">
        <v>1990</v>
      </c>
      <c r="H1182">
        <f>AVERAGEIFS(Table1[value],Table1[IndicatorCode],Table1[[#This Row],[IndicatorCode]])</f>
        <v>99.756410256410263</v>
      </c>
      <c r="I1182" cm="1">
        <f t="array" ref="I1182">_xlfn.STDEV.P(IF(Table1[IndicatorCode]=Table1[[#This Row],[IndicatorCode]],Table1[value]))</f>
        <v>1.1047979755287356</v>
      </c>
      <c r="J1182">
        <f>(Table1[[#This Row],[value]] - Table1[[#This Row],[mean]]) / Table1[[#This Row],[std_dev]]</f>
        <v>0.22048351733552002</v>
      </c>
      <c r="K1182">
        <f>AVERAGEIF(Table1[CountryCode],Table1[[#This Row],[CountryCode]],Table1[z-score])</f>
        <v>1.6213099703277349</v>
      </c>
      <c r="L1182" t="e">
        <f>VLOOKUP(Table1[[#This Row],[CountryCode]],[1]!Table1[#All],1,FALSE)</f>
        <v>#REF!</v>
      </c>
    </row>
    <row r="1183" spans="1:12" hidden="1" x14ac:dyDescent="0.3">
      <c r="A1183" t="s">
        <v>79</v>
      </c>
      <c r="B1183" t="s">
        <v>80</v>
      </c>
      <c r="C1183" t="s">
        <v>9</v>
      </c>
      <c r="D1183" t="s">
        <v>10</v>
      </c>
      <c r="E1183">
        <v>2022</v>
      </c>
      <c r="F1183" s="1">
        <v>100</v>
      </c>
      <c r="G1183">
        <v>1990</v>
      </c>
      <c r="H1183">
        <f>AVERAGEIFS(Table1[value],Table1[IndicatorCode],Table1[[#This Row],[IndicatorCode]])</f>
        <v>99.756410256410263</v>
      </c>
      <c r="I1183" cm="1">
        <f t="array" ref="I1183">_xlfn.STDEV.P(IF(Table1[IndicatorCode]=Table1[[#This Row],[IndicatorCode]],Table1[value]))</f>
        <v>1.1047979755287356</v>
      </c>
      <c r="J1183">
        <f>(Table1[[#This Row],[value]] - Table1[[#This Row],[mean]]) / Table1[[#This Row],[std_dev]]</f>
        <v>0.22048351733552002</v>
      </c>
      <c r="K1183">
        <f>AVERAGEIF(Table1[CountryCode],Table1[[#This Row],[CountryCode]],Table1[z-score])</f>
        <v>1.6213099703277349</v>
      </c>
      <c r="L1183" t="e">
        <f>VLOOKUP(Table1[[#This Row],[CountryCode]],[1]!Table1[#All],1,FALSE)</f>
        <v>#REF!</v>
      </c>
    </row>
    <row r="1184" spans="1:12" hidden="1" x14ac:dyDescent="0.3">
      <c r="A1184" t="s">
        <v>79</v>
      </c>
      <c r="B1184" t="s">
        <v>80</v>
      </c>
      <c r="C1184" t="s">
        <v>9</v>
      </c>
      <c r="D1184" t="s">
        <v>10</v>
      </c>
      <c r="E1184">
        <v>2023</v>
      </c>
      <c r="F1184" s="1">
        <v>100</v>
      </c>
      <c r="G1184">
        <v>1990</v>
      </c>
      <c r="H1184">
        <f>AVERAGEIFS(Table1[value],Table1[IndicatorCode],Table1[[#This Row],[IndicatorCode]])</f>
        <v>99.756410256410263</v>
      </c>
      <c r="I1184" cm="1">
        <f t="array" ref="I1184">_xlfn.STDEV.P(IF(Table1[IndicatorCode]=Table1[[#This Row],[IndicatorCode]],Table1[value]))</f>
        <v>1.1047979755287356</v>
      </c>
      <c r="J1184">
        <f>(Table1[[#This Row],[value]] - Table1[[#This Row],[mean]]) / Table1[[#This Row],[std_dev]]</f>
        <v>0.22048351733552002</v>
      </c>
      <c r="K1184">
        <f>AVERAGEIF(Table1[CountryCode],Table1[[#This Row],[CountryCode]],Table1[z-score])</f>
        <v>1.6213099703277349</v>
      </c>
      <c r="L1184" t="e">
        <f>VLOOKUP(Table1[[#This Row],[CountryCode]],[1]!Table1[#All],1,FALSE)</f>
        <v>#REF!</v>
      </c>
    </row>
    <row r="1185" spans="1:12" hidden="1" x14ac:dyDescent="0.3">
      <c r="A1185" t="s">
        <v>81</v>
      </c>
      <c r="B1185" t="s">
        <v>82</v>
      </c>
      <c r="C1185" t="s">
        <v>9</v>
      </c>
      <c r="D1185" t="s">
        <v>10</v>
      </c>
      <c r="E1185">
        <v>1990</v>
      </c>
      <c r="F1185" s="1">
        <v>100</v>
      </c>
      <c r="G1185">
        <v>1990</v>
      </c>
      <c r="H1185">
        <f>AVERAGEIFS(Table1[value],Table1[IndicatorCode],Table1[[#This Row],[IndicatorCode]])</f>
        <v>99.756410256410263</v>
      </c>
      <c r="I1185" cm="1">
        <f t="array" ref="I1185">_xlfn.STDEV.P(IF(Table1[IndicatorCode]=Table1[[#This Row],[IndicatorCode]],Table1[value]))</f>
        <v>1.1047979755287356</v>
      </c>
      <c r="J1185">
        <f>(Table1[[#This Row],[value]] - Table1[[#This Row],[mean]]) / Table1[[#This Row],[std_dev]]</f>
        <v>0.22048351733552002</v>
      </c>
      <c r="K1185">
        <f>AVERAGEIF(Table1[CountryCode],Table1[[#This Row],[CountryCode]],Table1[z-score])</f>
        <v>-0.32088063876347467</v>
      </c>
      <c r="L1185" t="e">
        <f>VLOOKUP(Table1[[#This Row],[CountryCode]],[1]!Table1[#All],1,FALSE)</f>
        <v>#REF!</v>
      </c>
    </row>
    <row r="1186" spans="1:12" hidden="1" x14ac:dyDescent="0.3">
      <c r="A1186" t="s">
        <v>81</v>
      </c>
      <c r="B1186" t="s">
        <v>82</v>
      </c>
      <c r="C1186" t="s">
        <v>9</v>
      </c>
      <c r="D1186" t="s">
        <v>10</v>
      </c>
      <c r="E1186">
        <v>1991</v>
      </c>
      <c r="F1186" s="1">
        <v>100</v>
      </c>
      <c r="G1186">
        <v>1990</v>
      </c>
      <c r="H1186">
        <f>AVERAGEIFS(Table1[value],Table1[IndicatorCode],Table1[[#This Row],[IndicatorCode]])</f>
        <v>99.756410256410263</v>
      </c>
      <c r="I1186" cm="1">
        <f t="array" ref="I1186">_xlfn.STDEV.P(IF(Table1[IndicatorCode]=Table1[[#This Row],[IndicatorCode]],Table1[value]))</f>
        <v>1.1047979755287356</v>
      </c>
      <c r="J1186">
        <f>(Table1[[#This Row],[value]] - Table1[[#This Row],[mean]]) / Table1[[#This Row],[std_dev]]</f>
        <v>0.22048351733552002</v>
      </c>
      <c r="K1186">
        <f>AVERAGEIF(Table1[CountryCode],Table1[[#This Row],[CountryCode]],Table1[z-score])</f>
        <v>-0.32088063876347467</v>
      </c>
      <c r="L1186" t="e">
        <f>VLOOKUP(Table1[[#This Row],[CountryCode]],[1]!Table1[#All],1,FALSE)</f>
        <v>#REF!</v>
      </c>
    </row>
    <row r="1187" spans="1:12" hidden="1" x14ac:dyDescent="0.3">
      <c r="A1187" t="s">
        <v>81</v>
      </c>
      <c r="B1187" t="s">
        <v>82</v>
      </c>
      <c r="C1187" t="s">
        <v>9</v>
      </c>
      <c r="D1187" t="s">
        <v>10</v>
      </c>
      <c r="E1187">
        <v>1992</v>
      </c>
      <c r="F1187" s="1">
        <v>100</v>
      </c>
      <c r="G1187">
        <v>1990</v>
      </c>
      <c r="H1187">
        <f>AVERAGEIFS(Table1[value],Table1[IndicatorCode],Table1[[#This Row],[IndicatorCode]])</f>
        <v>99.756410256410263</v>
      </c>
      <c r="I1187" cm="1">
        <f t="array" ref="I1187">_xlfn.STDEV.P(IF(Table1[IndicatorCode]=Table1[[#This Row],[IndicatorCode]],Table1[value]))</f>
        <v>1.1047979755287356</v>
      </c>
      <c r="J1187">
        <f>(Table1[[#This Row],[value]] - Table1[[#This Row],[mean]]) / Table1[[#This Row],[std_dev]]</f>
        <v>0.22048351733552002</v>
      </c>
      <c r="K1187">
        <f>AVERAGEIF(Table1[CountryCode],Table1[[#This Row],[CountryCode]],Table1[z-score])</f>
        <v>-0.32088063876347467</v>
      </c>
      <c r="L1187" t="e">
        <f>VLOOKUP(Table1[[#This Row],[CountryCode]],[1]!Table1[#All],1,FALSE)</f>
        <v>#REF!</v>
      </c>
    </row>
    <row r="1188" spans="1:12" hidden="1" x14ac:dyDescent="0.3">
      <c r="A1188" t="s">
        <v>81</v>
      </c>
      <c r="B1188" t="s">
        <v>82</v>
      </c>
      <c r="C1188" t="s">
        <v>9</v>
      </c>
      <c r="D1188" t="s">
        <v>10</v>
      </c>
      <c r="E1188">
        <v>1993</v>
      </c>
      <c r="F1188" s="1">
        <v>100</v>
      </c>
      <c r="G1188">
        <v>1990</v>
      </c>
      <c r="H1188">
        <f>AVERAGEIFS(Table1[value],Table1[IndicatorCode],Table1[[#This Row],[IndicatorCode]])</f>
        <v>99.756410256410263</v>
      </c>
      <c r="I1188" cm="1">
        <f t="array" ref="I1188">_xlfn.STDEV.P(IF(Table1[IndicatorCode]=Table1[[#This Row],[IndicatorCode]],Table1[value]))</f>
        <v>1.1047979755287356</v>
      </c>
      <c r="J1188">
        <f>(Table1[[#This Row],[value]] - Table1[[#This Row],[mean]]) / Table1[[#This Row],[std_dev]]</f>
        <v>0.22048351733552002</v>
      </c>
      <c r="K1188">
        <f>AVERAGEIF(Table1[CountryCode],Table1[[#This Row],[CountryCode]],Table1[z-score])</f>
        <v>-0.32088063876347467</v>
      </c>
      <c r="L1188" t="e">
        <f>VLOOKUP(Table1[[#This Row],[CountryCode]],[1]!Table1[#All],1,FALSE)</f>
        <v>#REF!</v>
      </c>
    </row>
    <row r="1189" spans="1:12" hidden="1" x14ac:dyDescent="0.3">
      <c r="A1189" t="s">
        <v>81</v>
      </c>
      <c r="B1189" t="s">
        <v>82</v>
      </c>
      <c r="C1189" t="s">
        <v>9</v>
      </c>
      <c r="D1189" t="s">
        <v>10</v>
      </c>
      <c r="E1189">
        <v>1994</v>
      </c>
      <c r="F1189" s="1">
        <v>100</v>
      </c>
      <c r="G1189">
        <v>1990</v>
      </c>
      <c r="H1189">
        <f>AVERAGEIFS(Table1[value],Table1[IndicatorCode],Table1[[#This Row],[IndicatorCode]])</f>
        <v>99.756410256410263</v>
      </c>
      <c r="I1189" cm="1">
        <f t="array" ref="I1189">_xlfn.STDEV.P(IF(Table1[IndicatorCode]=Table1[[#This Row],[IndicatorCode]],Table1[value]))</f>
        <v>1.1047979755287356</v>
      </c>
      <c r="J1189">
        <f>(Table1[[#This Row],[value]] - Table1[[#This Row],[mean]]) / Table1[[#This Row],[std_dev]]</f>
        <v>0.22048351733552002</v>
      </c>
      <c r="K1189">
        <f>AVERAGEIF(Table1[CountryCode],Table1[[#This Row],[CountryCode]],Table1[z-score])</f>
        <v>-0.32088063876347467</v>
      </c>
      <c r="L1189" t="e">
        <f>VLOOKUP(Table1[[#This Row],[CountryCode]],[1]!Table1[#All],1,FALSE)</f>
        <v>#REF!</v>
      </c>
    </row>
    <row r="1190" spans="1:12" hidden="1" x14ac:dyDescent="0.3">
      <c r="A1190" t="s">
        <v>81</v>
      </c>
      <c r="B1190" t="s">
        <v>82</v>
      </c>
      <c r="C1190" t="s">
        <v>9</v>
      </c>
      <c r="D1190" t="s">
        <v>10</v>
      </c>
      <c r="E1190">
        <v>1995</v>
      </c>
      <c r="F1190" s="1">
        <v>100</v>
      </c>
      <c r="G1190">
        <v>1990</v>
      </c>
      <c r="H1190">
        <f>AVERAGEIFS(Table1[value],Table1[IndicatorCode],Table1[[#This Row],[IndicatorCode]])</f>
        <v>99.756410256410263</v>
      </c>
      <c r="I1190" cm="1">
        <f t="array" ref="I1190">_xlfn.STDEV.P(IF(Table1[IndicatorCode]=Table1[[#This Row],[IndicatorCode]],Table1[value]))</f>
        <v>1.1047979755287356</v>
      </c>
      <c r="J1190">
        <f>(Table1[[#This Row],[value]] - Table1[[#This Row],[mean]]) / Table1[[#This Row],[std_dev]]</f>
        <v>0.22048351733552002</v>
      </c>
      <c r="K1190">
        <f>AVERAGEIF(Table1[CountryCode],Table1[[#This Row],[CountryCode]],Table1[z-score])</f>
        <v>-0.32088063876347467</v>
      </c>
      <c r="L1190" t="e">
        <f>VLOOKUP(Table1[[#This Row],[CountryCode]],[1]!Table1[#All],1,FALSE)</f>
        <v>#REF!</v>
      </c>
    </row>
    <row r="1191" spans="1:12" hidden="1" x14ac:dyDescent="0.3">
      <c r="A1191" t="s">
        <v>81</v>
      </c>
      <c r="B1191" t="s">
        <v>82</v>
      </c>
      <c r="C1191" t="s">
        <v>9</v>
      </c>
      <c r="D1191" t="s">
        <v>10</v>
      </c>
      <c r="E1191">
        <v>1996</v>
      </c>
      <c r="F1191" s="1">
        <v>100</v>
      </c>
      <c r="G1191">
        <v>1990</v>
      </c>
      <c r="H1191">
        <f>AVERAGEIFS(Table1[value],Table1[IndicatorCode],Table1[[#This Row],[IndicatorCode]])</f>
        <v>99.756410256410263</v>
      </c>
      <c r="I1191" cm="1">
        <f t="array" ref="I1191">_xlfn.STDEV.P(IF(Table1[IndicatorCode]=Table1[[#This Row],[IndicatorCode]],Table1[value]))</f>
        <v>1.1047979755287356</v>
      </c>
      <c r="J1191">
        <f>(Table1[[#This Row],[value]] - Table1[[#This Row],[mean]]) / Table1[[#This Row],[std_dev]]</f>
        <v>0.22048351733552002</v>
      </c>
      <c r="K1191">
        <f>AVERAGEIF(Table1[CountryCode],Table1[[#This Row],[CountryCode]],Table1[z-score])</f>
        <v>-0.32088063876347467</v>
      </c>
      <c r="L1191" t="e">
        <f>VLOOKUP(Table1[[#This Row],[CountryCode]],[1]!Table1[#All],1,FALSE)</f>
        <v>#REF!</v>
      </c>
    </row>
    <row r="1192" spans="1:12" hidden="1" x14ac:dyDescent="0.3">
      <c r="A1192" t="s">
        <v>81</v>
      </c>
      <c r="B1192" t="s">
        <v>82</v>
      </c>
      <c r="C1192" t="s">
        <v>9</v>
      </c>
      <c r="D1192" t="s">
        <v>10</v>
      </c>
      <c r="E1192">
        <v>1997</v>
      </c>
      <c r="F1192" s="1">
        <v>100</v>
      </c>
      <c r="G1192">
        <v>2000</v>
      </c>
      <c r="H1192">
        <f>AVERAGEIFS(Table1[value],Table1[IndicatorCode],Table1[[#This Row],[IndicatorCode]])</f>
        <v>99.756410256410263</v>
      </c>
      <c r="I1192" cm="1">
        <f t="array" ref="I1192">_xlfn.STDEV.P(IF(Table1[IndicatorCode]=Table1[[#This Row],[IndicatorCode]],Table1[value]))</f>
        <v>1.1047979755287356</v>
      </c>
      <c r="J1192">
        <f>(Table1[[#This Row],[value]] - Table1[[#This Row],[mean]]) / Table1[[#This Row],[std_dev]]</f>
        <v>0.22048351733552002</v>
      </c>
      <c r="K1192">
        <f>AVERAGEIF(Table1[CountryCode],Table1[[#This Row],[CountryCode]],Table1[z-score])</f>
        <v>-0.32088063876347467</v>
      </c>
      <c r="L1192" t="e">
        <f>VLOOKUP(Table1[[#This Row],[CountryCode]],[1]!Table1[#All],1,FALSE)</f>
        <v>#REF!</v>
      </c>
    </row>
    <row r="1193" spans="1:12" hidden="1" x14ac:dyDescent="0.3">
      <c r="A1193" t="s">
        <v>81</v>
      </c>
      <c r="B1193" t="s">
        <v>82</v>
      </c>
      <c r="C1193" t="s">
        <v>9</v>
      </c>
      <c r="D1193" t="s">
        <v>10</v>
      </c>
      <c r="E1193">
        <v>1998</v>
      </c>
      <c r="F1193" s="1">
        <v>100</v>
      </c>
      <c r="G1193">
        <v>2000</v>
      </c>
      <c r="H1193">
        <f>AVERAGEIFS(Table1[value],Table1[IndicatorCode],Table1[[#This Row],[IndicatorCode]])</f>
        <v>99.756410256410263</v>
      </c>
      <c r="I1193" cm="1">
        <f t="array" ref="I1193">_xlfn.STDEV.P(IF(Table1[IndicatorCode]=Table1[[#This Row],[IndicatorCode]],Table1[value]))</f>
        <v>1.1047979755287356</v>
      </c>
      <c r="J1193">
        <f>(Table1[[#This Row],[value]] - Table1[[#This Row],[mean]]) / Table1[[#This Row],[std_dev]]</f>
        <v>0.22048351733552002</v>
      </c>
      <c r="K1193">
        <f>AVERAGEIF(Table1[CountryCode],Table1[[#This Row],[CountryCode]],Table1[z-score])</f>
        <v>-0.32088063876347467</v>
      </c>
      <c r="L1193" t="e">
        <f>VLOOKUP(Table1[[#This Row],[CountryCode]],[1]!Table1[#All],1,FALSE)</f>
        <v>#REF!</v>
      </c>
    </row>
    <row r="1194" spans="1:12" hidden="1" x14ac:dyDescent="0.3">
      <c r="A1194" t="s">
        <v>81</v>
      </c>
      <c r="B1194" t="s">
        <v>82</v>
      </c>
      <c r="C1194" t="s">
        <v>9</v>
      </c>
      <c r="D1194" t="s">
        <v>10</v>
      </c>
      <c r="E1194">
        <v>1999</v>
      </c>
      <c r="F1194" s="1">
        <v>100</v>
      </c>
      <c r="G1194">
        <v>2000</v>
      </c>
      <c r="H1194">
        <f>AVERAGEIFS(Table1[value],Table1[IndicatorCode],Table1[[#This Row],[IndicatorCode]])</f>
        <v>99.756410256410263</v>
      </c>
      <c r="I1194" cm="1">
        <f t="array" ref="I1194">_xlfn.STDEV.P(IF(Table1[IndicatorCode]=Table1[[#This Row],[IndicatorCode]],Table1[value]))</f>
        <v>1.1047979755287356</v>
      </c>
      <c r="J1194">
        <f>(Table1[[#This Row],[value]] - Table1[[#This Row],[mean]]) / Table1[[#This Row],[std_dev]]</f>
        <v>0.22048351733552002</v>
      </c>
      <c r="K1194">
        <f>AVERAGEIF(Table1[CountryCode],Table1[[#This Row],[CountryCode]],Table1[z-score])</f>
        <v>-0.32088063876347467</v>
      </c>
      <c r="L1194" t="e">
        <f>VLOOKUP(Table1[[#This Row],[CountryCode]],[1]!Table1[#All],1,FALSE)</f>
        <v>#REF!</v>
      </c>
    </row>
    <row r="1195" spans="1:12" hidden="1" x14ac:dyDescent="0.3">
      <c r="A1195" t="s">
        <v>81</v>
      </c>
      <c r="B1195" t="s">
        <v>82</v>
      </c>
      <c r="C1195" t="s">
        <v>9</v>
      </c>
      <c r="D1195" t="s">
        <v>10</v>
      </c>
      <c r="E1195">
        <v>2000</v>
      </c>
      <c r="F1195" s="1">
        <v>100</v>
      </c>
      <c r="G1195">
        <v>2000</v>
      </c>
      <c r="H1195">
        <f>AVERAGEIFS(Table1[value],Table1[IndicatorCode],Table1[[#This Row],[IndicatorCode]])</f>
        <v>99.756410256410263</v>
      </c>
      <c r="I1195" cm="1">
        <f t="array" ref="I1195">_xlfn.STDEV.P(IF(Table1[IndicatorCode]=Table1[[#This Row],[IndicatorCode]],Table1[value]))</f>
        <v>1.1047979755287356</v>
      </c>
      <c r="J1195">
        <f>(Table1[[#This Row],[value]] - Table1[[#This Row],[mean]]) / Table1[[#This Row],[std_dev]]</f>
        <v>0.22048351733552002</v>
      </c>
      <c r="K1195">
        <f>AVERAGEIF(Table1[CountryCode],Table1[[#This Row],[CountryCode]],Table1[z-score])</f>
        <v>-0.32088063876347467</v>
      </c>
      <c r="L1195" t="e">
        <f>VLOOKUP(Table1[[#This Row],[CountryCode]],[1]!Table1[#All],1,FALSE)</f>
        <v>#REF!</v>
      </c>
    </row>
    <row r="1196" spans="1:12" hidden="1" x14ac:dyDescent="0.3">
      <c r="A1196" t="s">
        <v>81</v>
      </c>
      <c r="B1196" t="s">
        <v>82</v>
      </c>
      <c r="C1196" t="s">
        <v>9</v>
      </c>
      <c r="D1196" t="s">
        <v>10</v>
      </c>
      <c r="E1196">
        <v>2001</v>
      </c>
      <c r="F1196" s="1">
        <v>100</v>
      </c>
      <c r="G1196">
        <v>2000</v>
      </c>
      <c r="H1196">
        <f>AVERAGEIFS(Table1[value],Table1[IndicatorCode],Table1[[#This Row],[IndicatorCode]])</f>
        <v>99.756410256410263</v>
      </c>
      <c r="I1196" cm="1">
        <f t="array" ref="I1196">_xlfn.STDEV.P(IF(Table1[IndicatorCode]=Table1[[#This Row],[IndicatorCode]],Table1[value]))</f>
        <v>1.1047979755287356</v>
      </c>
      <c r="J1196">
        <f>(Table1[[#This Row],[value]] - Table1[[#This Row],[mean]]) / Table1[[#This Row],[std_dev]]</f>
        <v>0.22048351733552002</v>
      </c>
      <c r="K1196">
        <f>AVERAGEIF(Table1[CountryCode],Table1[[#This Row],[CountryCode]],Table1[z-score])</f>
        <v>-0.32088063876347467</v>
      </c>
      <c r="L1196" t="e">
        <f>VLOOKUP(Table1[[#This Row],[CountryCode]],[1]!Table1[#All],1,FALSE)</f>
        <v>#REF!</v>
      </c>
    </row>
    <row r="1197" spans="1:12" hidden="1" x14ac:dyDescent="0.3">
      <c r="A1197" t="s">
        <v>81</v>
      </c>
      <c r="B1197" t="s">
        <v>82</v>
      </c>
      <c r="C1197" t="s">
        <v>9</v>
      </c>
      <c r="D1197" t="s">
        <v>10</v>
      </c>
      <c r="E1197">
        <v>2002</v>
      </c>
      <c r="F1197" s="1">
        <v>100</v>
      </c>
      <c r="G1197">
        <v>2000</v>
      </c>
      <c r="H1197">
        <f>AVERAGEIFS(Table1[value],Table1[IndicatorCode],Table1[[#This Row],[IndicatorCode]])</f>
        <v>99.756410256410263</v>
      </c>
      <c r="I1197" cm="1">
        <f t="array" ref="I1197">_xlfn.STDEV.P(IF(Table1[IndicatorCode]=Table1[[#This Row],[IndicatorCode]],Table1[value]))</f>
        <v>1.1047979755287356</v>
      </c>
      <c r="J1197">
        <f>(Table1[[#This Row],[value]] - Table1[[#This Row],[mean]]) / Table1[[#This Row],[std_dev]]</f>
        <v>0.22048351733552002</v>
      </c>
      <c r="K1197">
        <f>AVERAGEIF(Table1[CountryCode],Table1[[#This Row],[CountryCode]],Table1[z-score])</f>
        <v>-0.32088063876347467</v>
      </c>
      <c r="L1197" t="e">
        <f>VLOOKUP(Table1[[#This Row],[CountryCode]],[1]!Table1[#All],1,FALSE)</f>
        <v>#REF!</v>
      </c>
    </row>
    <row r="1198" spans="1:12" hidden="1" x14ac:dyDescent="0.3">
      <c r="A1198" t="s">
        <v>81</v>
      </c>
      <c r="B1198" t="s">
        <v>82</v>
      </c>
      <c r="C1198" t="s">
        <v>9</v>
      </c>
      <c r="D1198" t="s">
        <v>10</v>
      </c>
      <c r="E1198">
        <v>2003</v>
      </c>
      <c r="F1198" s="1">
        <v>100</v>
      </c>
      <c r="G1198">
        <v>2000</v>
      </c>
      <c r="H1198">
        <f>AVERAGEIFS(Table1[value],Table1[IndicatorCode],Table1[[#This Row],[IndicatorCode]])</f>
        <v>99.756410256410263</v>
      </c>
      <c r="I1198" cm="1">
        <f t="array" ref="I1198">_xlfn.STDEV.P(IF(Table1[IndicatorCode]=Table1[[#This Row],[IndicatorCode]],Table1[value]))</f>
        <v>1.1047979755287356</v>
      </c>
      <c r="J1198">
        <f>(Table1[[#This Row],[value]] - Table1[[#This Row],[mean]]) / Table1[[#This Row],[std_dev]]</f>
        <v>0.22048351733552002</v>
      </c>
      <c r="K1198">
        <f>AVERAGEIF(Table1[CountryCode],Table1[[#This Row],[CountryCode]],Table1[z-score])</f>
        <v>-0.32088063876347467</v>
      </c>
      <c r="L1198" t="e">
        <f>VLOOKUP(Table1[[#This Row],[CountryCode]],[1]!Table1[#All],1,FALSE)</f>
        <v>#REF!</v>
      </c>
    </row>
    <row r="1199" spans="1:12" hidden="1" x14ac:dyDescent="0.3">
      <c r="A1199" t="s">
        <v>81</v>
      </c>
      <c r="B1199" t="s">
        <v>82</v>
      </c>
      <c r="C1199" t="s">
        <v>9</v>
      </c>
      <c r="D1199" t="s">
        <v>10</v>
      </c>
      <c r="E1199">
        <v>2004</v>
      </c>
      <c r="F1199" s="1">
        <v>100</v>
      </c>
      <c r="G1199">
        <v>2000</v>
      </c>
      <c r="H1199">
        <f>AVERAGEIFS(Table1[value],Table1[IndicatorCode],Table1[[#This Row],[IndicatorCode]])</f>
        <v>99.756410256410263</v>
      </c>
      <c r="I1199" cm="1">
        <f t="array" ref="I1199">_xlfn.STDEV.P(IF(Table1[IndicatorCode]=Table1[[#This Row],[IndicatorCode]],Table1[value]))</f>
        <v>1.1047979755287356</v>
      </c>
      <c r="J1199">
        <f>(Table1[[#This Row],[value]] - Table1[[#This Row],[mean]]) / Table1[[#This Row],[std_dev]]</f>
        <v>0.22048351733552002</v>
      </c>
      <c r="K1199">
        <f>AVERAGEIF(Table1[CountryCode],Table1[[#This Row],[CountryCode]],Table1[z-score])</f>
        <v>-0.32088063876347467</v>
      </c>
      <c r="L1199" t="e">
        <f>VLOOKUP(Table1[[#This Row],[CountryCode]],[1]!Table1[#All],1,FALSE)</f>
        <v>#REF!</v>
      </c>
    </row>
    <row r="1200" spans="1:12" hidden="1" x14ac:dyDescent="0.3">
      <c r="A1200" t="s">
        <v>81</v>
      </c>
      <c r="B1200" t="s">
        <v>82</v>
      </c>
      <c r="C1200" t="s">
        <v>9</v>
      </c>
      <c r="D1200" t="s">
        <v>10</v>
      </c>
      <c r="E1200">
        <v>2005</v>
      </c>
      <c r="F1200" s="1">
        <v>100</v>
      </c>
      <c r="G1200">
        <v>2000</v>
      </c>
      <c r="H1200">
        <f>AVERAGEIFS(Table1[value],Table1[IndicatorCode],Table1[[#This Row],[IndicatorCode]])</f>
        <v>99.756410256410263</v>
      </c>
      <c r="I1200" cm="1">
        <f t="array" ref="I1200">_xlfn.STDEV.P(IF(Table1[IndicatorCode]=Table1[[#This Row],[IndicatorCode]],Table1[value]))</f>
        <v>1.1047979755287356</v>
      </c>
      <c r="J1200">
        <f>(Table1[[#This Row],[value]] - Table1[[#This Row],[mean]]) / Table1[[#This Row],[std_dev]]</f>
        <v>0.22048351733552002</v>
      </c>
      <c r="K1200">
        <f>AVERAGEIF(Table1[CountryCode],Table1[[#This Row],[CountryCode]],Table1[z-score])</f>
        <v>-0.32088063876347467</v>
      </c>
      <c r="L1200" t="e">
        <f>VLOOKUP(Table1[[#This Row],[CountryCode]],[1]!Table1[#All],1,FALSE)</f>
        <v>#REF!</v>
      </c>
    </row>
    <row r="1201" spans="1:12" hidden="1" x14ac:dyDescent="0.3">
      <c r="A1201" t="s">
        <v>81</v>
      </c>
      <c r="B1201" t="s">
        <v>82</v>
      </c>
      <c r="C1201" t="s">
        <v>9</v>
      </c>
      <c r="D1201" t="s">
        <v>10</v>
      </c>
      <c r="E1201">
        <v>2006</v>
      </c>
      <c r="F1201" s="1">
        <v>100</v>
      </c>
      <c r="G1201">
        <v>2000</v>
      </c>
      <c r="H1201">
        <f>AVERAGEIFS(Table1[value],Table1[IndicatorCode],Table1[[#This Row],[IndicatorCode]])</f>
        <v>99.756410256410263</v>
      </c>
      <c r="I1201" cm="1">
        <f t="array" ref="I1201">_xlfn.STDEV.P(IF(Table1[IndicatorCode]=Table1[[#This Row],[IndicatorCode]],Table1[value]))</f>
        <v>1.1047979755287356</v>
      </c>
      <c r="J1201">
        <f>(Table1[[#This Row],[value]] - Table1[[#This Row],[mean]]) / Table1[[#This Row],[std_dev]]</f>
        <v>0.22048351733552002</v>
      </c>
      <c r="K1201">
        <f>AVERAGEIF(Table1[CountryCode],Table1[[#This Row],[CountryCode]],Table1[z-score])</f>
        <v>-0.32088063876347467</v>
      </c>
      <c r="L1201" t="e">
        <f>VLOOKUP(Table1[[#This Row],[CountryCode]],[1]!Table1[#All],1,FALSE)</f>
        <v>#REF!</v>
      </c>
    </row>
    <row r="1202" spans="1:12" hidden="1" x14ac:dyDescent="0.3">
      <c r="A1202" t="s">
        <v>81</v>
      </c>
      <c r="B1202" t="s">
        <v>82</v>
      </c>
      <c r="C1202" t="s">
        <v>9</v>
      </c>
      <c r="D1202" t="s">
        <v>10</v>
      </c>
      <c r="E1202">
        <v>2007</v>
      </c>
      <c r="F1202" s="1">
        <v>100</v>
      </c>
      <c r="G1202">
        <v>2010</v>
      </c>
      <c r="H1202">
        <f>AVERAGEIFS(Table1[value],Table1[IndicatorCode],Table1[[#This Row],[IndicatorCode]])</f>
        <v>99.756410256410263</v>
      </c>
      <c r="I1202" cm="1">
        <f t="array" ref="I1202">_xlfn.STDEV.P(IF(Table1[IndicatorCode]=Table1[[#This Row],[IndicatorCode]],Table1[value]))</f>
        <v>1.1047979755287356</v>
      </c>
      <c r="J1202">
        <f>(Table1[[#This Row],[value]] - Table1[[#This Row],[mean]]) / Table1[[#This Row],[std_dev]]</f>
        <v>0.22048351733552002</v>
      </c>
      <c r="K1202">
        <f>AVERAGEIF(Table1[CountryCode],Table1[[#This Row],[CountryCode]],Table1[z-score])</f>
        <v>-0.32088063876347467</v>
      </c>
      <c r="L1202" t="e">
        <f>VLOOKUP(Table1[[#This Row],[CountryCode]],[1]!Table1[#All],1,FALSE)</f>
        <v>#REF!</v>
      </c>
    </row>
    <row r="1203" spans="1:12" hidden="1" x14ac:dyDescent="0.3">
      <c r="A1203" t="s">
        <v>81</v>
      </c>
      <c r="B1203" t="s">
        <v>82</v>
      </c>
      <c r="C1203" t="s">
        <v>9</v>
      </c>
      <c r="D1203" t="s">
        <v>10</v>
      </c>
      <c r="E1203">
        <v>2008</v>
      </c>
      <c r="F1203" s="1">
        <v>100</v>
      </c>
      <c r="G1203">
        <v>2010</v>
      </c>
      <c r="H1203">
        <f>AVERAGEIFS(Table1[value],Table1[IndicatorCode],Table1[[#This Row],[IndicatorCode]])</f>
        <v>99.756410256410263</v>
      </c>
      <c r="I1203" cm="1">
        <f t="array" ref="I1203">_xlfn.STDEV.P(IF(Table1[IndicatorCode]=Table1[[#This Row],[IndicatorCode]],Table1[value]))</f>
        <v>1.1047979755287356</v>
      </c>
      <c r="J1203">
        <f>(Table1[[#This Row],[value]] - Table1[[#This Row],[mean]]) / Table1[[#This Row],[std_dev]]</f>
        <v>0.22048351733552002</v>
      </c>
      <c r="K1203">
        <f>AVERAGEIF(Table1[CountryCode],Table1[[#This Row],[CountryCode]],Table1[z-score])</f>
        <v>-0.32088063876347467</v>
      </c>
      <c r="L1203" t="e">
        <f>VLOOKUP(Table1[[#This Row],[CountryCode]],[1]!Table1[#All],1,FALSE)</f>
        <v>#REF!</v>
      </c>
    </row>
    <row r="1204" spans="1:12" hidden="1" x14ac:dyDescent="0.3">
      <c r="A1204" t="s">
        <v>81</v>
      </c>
      <c r="B1204" t="s">
        <v>82</v>
      </c>
      <c r="C1204" t="s">
        <v>9</v>
      </c>
      <c r="D1204" t="s">
        <v>10</v>
      </c>
      <c r="E1204">
        <v>2009</v>
      </c>
      <c r="F1204" s="1">
        <v>100</v>
      </c>
      <c r="G1204">
        <v>2010</v>
      </c>
      <c r="H1204">
        <f>AVERAGEIFS(Table1[value],Table1[IndicatorCode],Table1[[#This Row],[IndicatorCode]])</f>
        <v>99.756410256410263</v>
      </c>
      <c r="I1204" cm="1">
        <f t="array" ref="I1204">_xlfn.STDEV.P(IF(Table1[IndicatorCode]=Table1[[#This Row],[IndicatorCode]],Table1[value]))</f>
        <v>1.1047979755287356</v>
      </c>
      <c r="J1204">
        <f>(Table1[[#This Row],[value]] - Table1[[#This Row],[mean]]) / Table1[[#This Row],[std_dev]]</f>
        <v>0.22048351733552002</v>
      </c>
      <c r="K1204">
        <f>AVERAGEIF(Table1[CountryCode],Table1[[#This Row],[CountryCode]],Table1[z-score])</f>
        <v>-0.32088063876347467</v>
      </c>
      <c r="L1204" t="e">
        <f>VLOOKUP(Table1[[#This Row],[CountryCode]],[1]!Table1[#All],1,FALSE)</f>
        <v>#REF!</v>
      </c>
    </row>
    <row r="1205" spans="1:12" hidden="1" x14ac:dyDescent="0.3">
      <c r="A1205" t="s">
        <v>81</v>
      </c>
      <c r="B1205" t="s">
        <v>82</v>
      </c>
      <c r="C1205" t="s">
        <v>9</v>
      </c>
      <c r="D1205" t="s">
        <v>10</v>
      </c>
      <c r="E1205">
        <v>2010</v>
      </c>
      <c r="F1205" s="1">
        <v>100</v>
      </c>
      <c r="G1205">
        <v>2010</v>
      </c>
      <c r="H1205">
        <f>AVERAGEIFS(Table1[value],Table1[IndicatorCode],Table1[[#This Row],[IndicatorCode]])</f>
        <v>99.756410256410263</v>
      </c>
      <c r="I1205" cm="1">
        <f t="array" ref="I1205">_xlfn.STDEV.P(IF(Table1[IndicatorCode]=Table1[[#This Row],[IndicatorCode]],Table1[value]))</f>
        <v>1.1047979755287356</v>
      </c>
      <c r="J1205">
        <f>(Table1[[#This Row],[value]] - Table1[[#This Row],[mean]]) / Table1[[#This Row],[std_dev]]</f>
        <v>0.22048351733552002</v>
      </c>
      <c r="K1205">
        <f>AVERAGEIF(Table1[CountryCode],Table1[[#This Row],[CountryCode]],Table1[z-score])</f>
        <v>-0.32088063876347467</v>
      </c>
      <c r="L1205" t="e">
        <f>VLOOKUP(Table1[[#This Row],[CountryCode]],[1]!Table1[#All],1,FALSE)</f>
        <v>#REF!</v>
      </c>
    </row>
    <row r="1206" spans="1:12" hidden="1" x14ac:dyDescent="0.3">
      <c r="A1206" t="s">
        <v>81</v>
      </c>
      <c r="B1206" t="s">
        <v>82</v>
      </c>
      <c r="C1206" t="s">
        <v>9</v>
      </c>
      <c r="D1206" t="s">
        <v>10</v>
      </c>
      <c r="E1206">
        <v>2011</v>
      </c>
      <c r="F1206" s="1">
        <v>100</v>
      </c>
      <c r="G1206">
        <v>2010</v>
      </c>
      <c r="H1206">
        <f>AVERAGEIFS(Table1[value],Table1[IndicatorCode],Table1[[#This Row],[IndicatorCode]])</f>
        <v>99.756410256410263</v>
      </c>
      <c r="I1206" cm="1">
        <f t="array" ref="I1206">_xlfn.STDEV.P(IF(Table1[IndicatorCode]=Table1[[#This Row],[IndicatorCode]],Table1[value]))</f>
        <v>1.1047979755287356</v>
      </c>
      <c r="J1206">
        <f>(Table1[[#This Row],[value]] - Table1[[#This Row],[mean]]) / Table1[[#This Row],[std_dev]]</f>
        <v>0.22048351733552002</v>
      </c>
      <c r="K1206">
        <f>AVERAGEIF(Table1[CountryCode],Table1[[#This Row],[CountryCode]],Table1[z-score])</f>
        <v>-0.32088063876347467</v>
      </c>
      <c r="L1206" t="e">
        <f>VLOOKUP(Table1[[#This Row],[CountryCode]],[1]!Table1[#All],1,FALSE)</f>
        <v>#REF!</v>
      </c>
    </row>
    <row r="1207" spans="1:12" hidden="1" x14ac:dyDescent="0.3">
      <c r="A1207" t="s">
        <v>81</v>
      </c>
      <c r="B1207" t="s">
        <v>82</v>
      </c>
      <c r="C1207" t="s">
        <v>9</v>
      </c>
      <c r="D1207" t="s">
        <v>10</v>
      </c>
      <c r="E1207">
        <v>2012</v>
      </c>
      <c r="F1207" s="1">
        <v>100</v>
      </c>
      <c r="G1207">
        <v>2010</v>
      </c>
      <c r="H1207">
        <f>AVERAGEIFS(Table1[value],Table1[IndicatorCode],Table1[[#This Row],[IndicatorCode]])</f>
        <v>99.756410256410263</v>
      </c>
      <c r="I1207" cm="1">
        <f t="array" ref="I1207">_xlfn.STDEV.P(IF(Table1[IndicatorCode]=Table1[[#This Row],[IndicatorCode]],Table1[value]))</f>
        <v>1.1047979755287356</v>
      </c>
      <c r="J1207">
        <f>(Table1[[#This Row],[value]] - Table1[[#This Row],[mean]]) / Table1[[#This Row],[std_dev]]</f>
        <v>0.22048351733552002</v>
      </c>
      <c r="K1207">
        <f>AVERAGEIF(Table1[CountryCode],Table1[[#This Row],[CountryCode]],Table1[z-score])</f>
        <v>-0.32088063876347467</v>
      </c>
      <c r="L1207" t="e">
        <f>VLOOKUP(Table1[[#This Row],[CountryCode]],[1]!Table1[#All],1,FALSE)</f>
        <v>#REF!</v>
      </c>
    </row>
    <row r="1208" spans="1:12" hidden="1" x14ac:dyDescent="0.3">
      <c r="A1208" t="s">
        <v>81</v>
      </c>
      <c r="B1208" t="s">
        <v>82</v>
      </c>
      <c r="C1208" t="s">
        <v>9</v>
      </c>
      <c r="D1208" t="s">
        <v>10</v>
      </c>
      <c r="E1208">
        <v>2013</v>
      </c>
      <c r="F1208" s="1">
        <v>100</v>
      </c>
      <c r="G1208">
        <v>2010</v>
      </c>
      <c r="H1208">
        <f>AVERAGEIFS(Table1[value],Table1[IndicatorCode],Table1[[#This Row],[IndicatorCode]])</f>
        <v>99.756410256410263</v>
      </c>
      <c r="I1208" cm="1">
        <f t="array" ref="I1208">_xlfn.STDEV.P(IF(Table1[IndicatorCode]=Table1[[#This Row],[IndicatorCode]],Table1[value]))</f>
        <v>1.1047979755287356</v>
      </c>
      <c r="J1208">
        <f>(Table1[[#This Row],[value]] - Table1[[#This Row],[mean]]) / Table1[[#This Row],[std_dev]]</f>
        <v>0.22048351733552002</v>
      </c>
      <c r="K1208">
        <f>AVERAGEIF(Table1[CountryCode],Table1[[#This Row],[CountryCode]],Table1[z-score])</f>
        <v>-0.32088063876347467</v>
      </c>
      <c r="L1208" t="e">
        <f>VLOOKUP(Table1[[#This Row],[CountryCode]],[1]!Table1[#All],1,FALSE)</f>
        <v>#REF!</v>
      </c>
    </row>
    <row r="1209" spans="1:12" hidden="1" x14ac:dyDescent="0.3">
      <c r="A1209" t="s">
        <v>81</v>
      </c>
      <c r="B1209" t="s">
        <v>82</v>
      </c>
      <c r="C1209" t="s">
        <v>9</v>
      </c>
      <c r="D1209" t="s">
        <v>10</v>
      </c>
      <c r="E1209">
        <v>2014</v>
      </c>
      <c r="F1209" s="1">
        <v>100</v>
      </c>
      <c r="G1209">
        <v>2010</v>
      </c>
      <c r="H1209">
        <f>AVERAGEIFS(Table1[value],Table1[IndicatorCode],Table1[[#This Row],[IndicatorCode]])</f>
        <v>99.756410256410263</v>
      </c>
      <c r="I1209" cm="1">
        <f t="array" ref="I1209">_xlfn.STDEV.P(IF(Table1[IndicatorCode]=Table1[[#This Row],[IndicatorCode]],Table1[value]))</f>
        <v>1.1047979755287356</v>
      </c>
      <c r="J1209">
        <f>(Table1[[#This Row],[value]] - Table1[[#This Row],[mean]]) / Table1[[#This Row],[std_dev]]</f>
        <v>0.22048351733552002</v>
      </c>
      <c r="K1209">
        <f>AVERAGEIF(Table1[CountryCode],Table1[[#This Row],[CountryCode]],Table1[z-score])</f>
        <v>-0.32088063876347467</v>
      </c>
      <c r="L1209" t="e">
        <f>VLOOKUP(Table1[[#This Row],[CountryCode]],[1]!Table1[#All],1,FALSE)</f>
        <v>#REF!</v>
      </c>
    </row>
    <row r="1210" spans="1:12" hidden="1" x14ac:dyDescent="0.3">
      <c r="A1210" t="s">
        <v>81</v>
      </c>
      <c r="B1210" t="s">
        <v>82</v>
      </c>
      <c r="C1210" t="s">
        <v>9</v>
      </c>
      <c r="D1210" t="s">
        <v>10</v>
      </c>
      <c r="E1210">
        <v>2015</v>
      </c>
      <c r="F1210" s="1">
        <v>100</v>
      </c>
      <c r="G1210">
        <v>2010</v>
      </c>
      <c r="H1210">
        <f>AVERAGEIFS(Table1[value],Table1[IndicatorCode],Table1[[#This Row],[IndicatorCode]])</f>
        <v>99.756410256410263</v>
      </c>
      <c r="I1210" cm="1">
        <f t="array" ref="I1210">_xlfn.STDEV.P(IF(Table1[IndicatorCode]=Table1[[#This Row],[IndicatorCode]],Table1[value]))</f>
        <v>1.1047979755287356</v>
      </c>
      <c r="J1210">
        <f>(Table1[[#This Row],[value]] - Table1[[#This Row],[mean]]) / Table1[[#This Row],[std_dev]]</f>
        <v>0.22048351733552002</v>
      </c>
      <c r="K1210">
        <f>AVERAGEIF(Table1[CountryCode],Table1[[#This Row],[CountryCode]],Table1[z-score])</f>
        <v>-0.32088063876347467</v>
      </c>
      <c r="L1210" t="e">
        <f>VLOOKUP(Table1[[#This Row],[CountryCode]],[1]!Table1[#All],1,FALSE)</f>
        <v>#REF!</v>
      </c>
    </row>
    <row r="1211" spans="1:12" hidden="1" x14ac:dyDescent="0.3">
      <c r="A1211" t="s">
        <v>81</v>
      </c>
      <c r="B1211" t="s">
        <v>82</v>
      </c>
      <c r="C1211" t="s">
        <v>9</v>
      </c>
      <c r="D1211" t="s">
        <v>10</v>
      </c>
      <c r="E1211">
        <v>2016</v>
      </c>
      <c r="F1211" s="1">
        <v>100</v>
      </c>
      <c r="G1211">
        <v>2010</v>
      </c>
      <c r="H1211">
        <f>AVERAGEIFS(Table1[value],Table1[IndicatorCode],Table1[[#This Row],[IndicatorCode]])</f>
        <v>99.756410256410263</v>
      </c>
      <c r="I1211" cm="1">
        <f t="array" ref="I1211">_xlfn.STDEV.P(IF(Table1[IndicatorCode]=Table1[[#This Row],[IndicatorCode]],Table1[value]))</f>
        <v>1.1047979755287356</v>
      </c>
      <c r="J1211">
        <f>(Table1[[#This Row],[value]] - Table1[[#This Row],[mean]]) / Table1[[#This Row],[std_dev]]</f>
        <v>0.22048351733552002</v>
      </c>
      <c r="K1211">
        <f>AVERAGEIF(Table1[CountryCode],Table1[[#This Row],[CountryCode]],Table1[z-score])</f>
        <v>-0.32088063876347467</v>
      </c>
      <c r="L1211" t="e">
        <f>VLOOKUP(Table1[[#This Row],[CountryCode]],[1]!Table1[#All],1,FALSE)</f>
        <v>#REF!</v>
      </c>
    </row>
    <row r="1212" spans="1:12" hidden="1" x14ac:dyDescent="0.3">
      <c r="A1212" t="s">
        <v>81</v>
      </c>
      <c r="B1212" t="s">
        <v>82</v>
      </c>
      <c r="C1212" t="s">
        <v>9</v>
      </c>
      <c r="D1212" t="s">
        <v>10</v>
      </c>
      <c r="E1212">
        <v>2017</v>
      </c>
      <c r="F1212" s="1">
        <v>100</v>
      </c>
      <c r="G1212">
        <v>2020</v>
      </c>
      <c r="H1212">
        <f>AVERAGEIFS(Table1[value],Table1[IndicatorCode],Table1[[#This Row],[IndicatorCode]])</f>
        <v>99.756410256410263</v>
      </c>
      <c r="I1212" cm="1">
        <f t="array" ref="I1212">_xlfn.STDEV.P(IF(Table1[IndicatorCode]=Table1[[#This Row],[IndicatorCode]],Table1[value]))</f>
        <v>1.1047979755287356</v>
      </c>
      <c r="J1212">
        <f>(Table1[[#This Row],[value]] - Table1[[#This Row],[mean]]) / Table1[[#This Row],[std_dev]]</f>
        <v>0.22048351733552002</v>
      </c>
      <c r="K1212">
        <f>AVERAGEIF(Table1[CountryCode],Table1[[#This Row],[CountryCode]],Table1[z-score])</f>
        <v>-0.32088063876347467</v>
      </c>
      <c r="L1212" t="e">
        <f>VLOOKUP(Table1[[#This Row],[CountryCode]],[1]!Table1[#All],1,FALSE)</f>
        <v>#REF!</v>
      </c>
    </row>
    <row r="1213" spans="1:12" hidden="1" x14ac:dyDescent="0.3">
      <c r="A1213" t="s">
        <v>81</v>
      </c>
      <c r="B1213" t="s">
        <v>82</v>
      </c>
      <c r="C1213" t="s">
        <v>9</v>
      </c>
      <c r="D1213" t="s">
        <v>10</v>
      </c>
      <c r="E1213">
        <v>2018</v>
      </c>
      <c r="F1213" s="1">
        <v>100</v>
      </c>
      <c r="G1213">
        <v>2020</v>
      </c>
      <c r="H1213">
        <f>AVERAGEIFS(Table1[value],Table1[IndicatorCode],Table1[[#This Row],[IndicatorCode]])</f>
        <v>99.756410256410263</v>
      </c>
      <c r="I1213" cm="1">
        <f t="array" ref="I1213">_xlfn.STDEV.P(IF(Table1[IndicatorCode]=Table1[[#This Row],[IndicatorCode]],Table1[value]))</f>
        <v>1.1047979755287356</v>
      </c>
      <c r="J1213">
        <f>(Table1[[#This Row],[value]] - Table1[[#This Row],[mean]]) / Table1[[#This Row],[std_dev]]</f>
        <v>0.22048351733552002</v>
      </c>
      <c r="K1213">
        <f>AVERAGEIF(Table1[CountryCode],Table1[[#This Row],[CountryCode]],Table1[z-score])</f>
        <v>-0.32088063876347467</v>
      </c>
      <c r="L1213" t="e">
        <f>VLOOKUP(Table1[[#This Row],[CountryCode]],[1]!Table1[#All],1,FALSE)</f>
        <v>#REF!</v>
      </c>
    </row>
    <row r="1214" spans="1:12" hidden="1" x14ac:dyDescent="0.3">
      <c r="A1214" t="s">
        <v>81</v>
      </c>
      <c r="B1214" t="s">
        <v>82</v>
      </c>
      <c r="C1214" t="s">
        <v>9</v>
      </c>
      <c r="D1214" t="s">
        <v>10</v>
      </c>
      <c r="E1214">
        <v>2019</v>
      </c>
      <c r="F1214" s="1">
        <v>100</v>
      </c>
      <c r="G1214">
        <v>2020</v>
      </c>
      <c r="H1214">
        <f>AVERAGEIFS(Table1[value],Table1[IndicatorCode],Table1[[#This Row],[IndicatorCode]])</f>
        <v>99.756410256410263</v>
      </c>
      <c r="I1214" cm="1">
        <f t="array" ref="I1214">_xlfn.STDEV.P(IF(Table1[IndicatorCode]=Table1[[#This Row],[IndicatorCode]],Table1[value]))</f>
        <v>1.1047979755287356</v>
      </c>
      <c r="J1214">
        <f>(Table1[[#This Row],[value]] - Table1[[#This Row],[mean]]) / Table1[[#This Row],[std_dev]]</f>
        <v>0.22048351733552002</v>
      </c>
      <c r="K1214">
        <f>AVERAGEIF(Table1[CountryCode],Table1[[#This Row],[CountryCode]],Table1[z-score])</f>
        <v>-0.32088063876347467</v>
      </c>
      <c r="L1214" t="e">
        <f>VLOOKUP(Table1[[#This Row],[CountryCode]],[1]!Table1[#All],1,FALSE)</f>
        <v>#REF!</v>
      </c>
    </row>
    <row r="1215" spans="1:12" x14ac:dyDescent="0.3">
      <c r="A1215" t="s">
        <v>81</v>
      </c>
      <c r="B1215" t="s">
        <v>82</v>
      </c>
      <c r="C1215" t="s">
        <v>9</v>
      </c>
      <c r="D1215" t="s">
        <v>10</v>
      </c>
      <c r="E1215">
        <v>2020</v>
      </c>
      <c r="F1215" s="1">
        <v>100</v>
      </c>
      <c r="G1215">
        <v>2020</v>
      </c>
      <c r="H1215">
        <f>AVERAGEIFS(Table1[value],Table1[IndicatorCode],Table1[[#This Row],[IndicatorCode]])</f>
        <v>99.756410256410263</v>
      </c>
      <c r="I1215" cm="1">
        <f t="array" ref="I1215">_xlfn.STDEV.P(IF(Table1[IndicatorCode]=Table1[[#This Row],[IndicatorCode]],Table1[value]))</f>
        <v>1.1047979755287356</v>
      </c>
      <c r="J1215">
        <f>(Table1[[#This Row],[value]] - Table1[[#This Row],[mean]]) / Table1[[#This Row],[std_dev]]</f>
        <v>0.22048351733552002</v>
      </c>
      <c r="K1215">
        <f>AVERAGEIF(Table1[CountryCode],Table1[[#This Row],[CountryCode]],Table1[z-score])</f>
        <v>-0.32088063876347467</v>
      </c>
    </row>
    <row r="1216" spans="1:12" hidden="1" x14ac:dyDescent="0.3">
      <c r="A1216" t="s">
        <v>81</v>
      </c>
      <c r="B1216" t="s">
        <v>82</v>
      </c>
      <c r="C1216" t="s">
        <v>9</v>
      </c>
      <c r="D1216" t="s">
        <v>10</v>
      </c>
      <c r="E1216">
        <v>2021</v>
      </c>
      <c r="F1216" s="1">
        <v>100</v>
      </c>
      <c r="G1216">
        <v>1990</v>
      </c>
      <c r="H1216">
        <f>AVERAGEIFS(Table1[value],Table1[IndicatorCode],Table1[[#This Row],[IndicatorCode]])</f>
        <v>99.756410256410263</v>
      </c>
      <c r="I1216" cm="1">
        <f t="array" ref="I1216">_xlfn.STDEV.P(IF(Table1[IndicatorCode]=Table1[[#This Row],[IndicatorCode]],Table1[value]))</f>
        <v>1.1047979755287356</v>
      </c>
      <c r="J1216">
        <f>(Table1[[#This Row],[value]] - Table1[[#This Row],[mean]]) / Table1[[#This Row],[std_dev]]</f>
        <v>0.22048351733552002</v>
      </c>
      <c r="K1216">
        <f>AVERAGEIF(Table1[CountryCode],Table1[[#This Row],[CountryCode]],Table1[z-score])</f>
        <v>-0.32088063876347467</v>
      </c>
      <c r="L1216" t="e">
        <f>VLOOKUP(Table1[[#This Row],[CountryCode]],[1]!Table1[#All],1,FALSE)</f>
        <v>#REF!</v>
      </c>
    </row>
    <row r="1217" spans="1:12" hidden="1" x14ac:dyDescent="0.3">
      <c r="A1217" t="s">
        <v>81</v>
      </c>
      <c r="B1217" t="s">
        <v>82</v>
      </c>
      <c r="C1217" t="s">
        <v>9</v>
      </c>
      <c r="D1217" t="s">
        <v>10</v>
      </c>
      <c r="E1217">
        <v>2022</v>
      </c>
      <c r="F1217" s="1">
        <v>100</v>
      </c>
      <c r="G1217">
        <v>1990</v>
      </c>
      <c r="H1217">
        <f>AVERAGEIFS(Table1[value],Table1[IndicatorCode],Table1[[#This Row],[IndicatorCode]])</f>
        <v>99.756410256410263</v>
      </c>
      <c r="I1217" cm="1">
        <f t="array" ref="I1217">_xlfn.STDEV.P(IF(Table1[IndicatorCode]=Table1[[#This Row],[IndicatorCode]],Table1[value]))</f>
        <v>1.1047979755287356</v>
      </c>
      <c r="J1217">
        <f>(Table1[[#This Row],[value]] - Table1[[#This Row],[mean]]) / Table1[[#This Row],[std_dev]]</f>
        <v>0.22048351733552002</v>
      </c>
      <c r="K1217">
        <f>AVERAGEIF(Table1[CountryCode],Table1[[#This Row],[CountryCode]],Table1[z-score])</f>
        <v>-0.32088063876347467</v>
      </c>
      <c r="L1217" t="e">
        <f>VLOOKUP(Table1[[#This Row],[CountryCode]],[1]!Table1[#All],1,FALSE)</f>
        <v>#REF!</v>
      </c>
    </row>
    <row r="1218" spans="1:12" hidden="1" x14ac:dyDescent="0.3">
      <c r="A1218" t="s">
        <v>81</v>
      </c>
      <c r="B1218" t="s">
        <v>82</v>
      </c>
      <c r="C1218" t="s">
        <v>9</v>
      </c>
      <c r="D1218" t="s">
        <v>10</v>
      </c>
      <c r="E1218">
        <v>2023</v>
      </c>
      <c r="F1218" s="1">
        <v>100</v>
      </c>
      <c r="G1218">
        <v>1990</v>
      </c>
      <c r="H1218">
        <f>AVERAGEIFS(Table1[value],Table1[IndicatorCode],Table1[[#This Row],[IndicatorCode]])</f>
        <v>99.756410256410263</v>
      </c>
      <c r="I1218" cm="1">
        <f t="array" ref="I1218">_xlfn.STDEV.P(IF(Table1[IndicatorCode]=Table1[[#This Row],[IndicatorCode]],Table1[value]))</f>
        <v>1.1047979755287356</v>
      </c>
      <c r="J1218">
        <f>(Table1[[#This Row],[value]] - Table1[[#This Row],[mean]]) / Table1[[#This Row],[std_dev]]</f>
        <v>0.22048351733552002</v>
      </c>
      <c r="K1218">
        <f>AVERAGEIF(Table1[CountryCode],Table1[[#This Row],[CountryCode]],Table1[z-score])</f>
        <v>-0.32088063876347467</v>
      </c>
      <c r="L1218" t="e">
        <f>VLOOKUP(Table1[[#This Row],[CountryCode]],[1]!Table1[#All],1,FALSE)</f>
        <v>#REF!</v>
      </c>
    </row>
    <row r="1219" spans="1:12" hidden="1" x14ac:dyDescent="0.3">
      <c r="A1219" t="s">
        <v>83</v>
      </c>
      <c r="B1219" t="s">
        <v>84</v>
      </c>
      <c r="C1219" t="s">
        <v>9</v>
      </c>
      <c r="D1219" t="s">
        <v>10</v>
      </c>
      <c r="E1219">
        <v>1990</v>
      </c>
      <c r="F1219" s="1">
        <v>100</v>
      </c>
      <c r="G1219">
        <v>1990</v>
      </c>
      <c r="H1219">
        <f>AVERAGEIFS(Table1[value],Table1[IndicatorCode],Table1[[#This Row],[IndicatorCode]])</f>
        <v>99.756410256410263</v>
      </c>
      <c r="I1219" cm="1">
        <f t="array" ref="I1219">_xlfn.STDEV.P(IF(Table1[IndicatorCode]=Table1[[#This Row],[IndicatorCode]],Table1[value]))</f>
        <v>1.1047979755287356</v>
      </c>
      <c r="J1219">
        <f>(Table1[[#This Row],[value]] - Table1[[#This Row],[mean]]) / Table1[[#This Row],[std_dev]]</f>
        <v>0.22048351733552002</v>
      </c>
      <c r="K1219">
        <f>AVERAGEIF(Table1[CountryCode],Table1[[#This Row],[CountryCode]],Table1[z-score])</f>
        <v>1.8607276946173743</v>
      </c>
      <c r="L1219" t="e">
        <f>VLOOKUP(Table1[[#This Row],[CountryCode]],[1]!Table1[#All],1,FALSE)</f>
        <v>#REF!</v>
      </c>
    </row>
    <row r="1220" spans="1:12" hidden="1" x14ac:dyDescent="0.3">
      <c r="A1220" t="s">
        <v>83</v>
      </c>
      <c r="B1220" t="s">
        <v>84</v>
      </c>
      <c r="C1220" t="s">
        <v>9</v>
      </c>
      <c r="D1220" t="s">
        <v>10</v>
      </c>
      <c r="E1220">
        <v>1991</v>
      </c>
      <c r="F1220" s="1">
        <v>100</v>
      </c>
      <c r="G1220">
        <v>1990</v>
      </c>
      <c r="H1220">
        <f>AVERAGEIFS(Table1[value],Table1[IndicatorCode],Table1[[#This Row],[IndicatorCode]])</f>
        <v>99.756410256410263</v>
      </c>
      <c r="I1220" cm="1">
        <f t="array" ref="I1220">_xlfn.STDEV.P(IF(Table1[IndicatorCode]=Table1[[#This Row],[IndicatorCode]],Table1[value]))</f>
        <v>1.1047979755287356</v>
      </c>
      <c r="J1220">
        <f>(Table1[[#This Row],[value]] - Table1[[#This Row],[mean]]) / Table1[[#This Row],[std_dev]]</f>
        <v>0.22048351733552002</v>
      </c>
      <c r="K1220">
        <f>AVERAGEIF(Table1[CountryCode],Table1[[#This Row],[CountryCode]],Table1[z-score])</f>
        <v>1.8607276946173743</v>
      </c>
      <c r="L1220" t="e">
        <f>VLOOKUP(Table1[[#This Row],[CountryCode]],[1]!Table1[#All],1,FALSE)</f>
        <v>#REF!</v>
      </c>
    </row>
    <row r="1221" spans="1:12" hidden="1" x14ac:dyDescent="0.3">
      <c r="A1221" t="s">
        <v>83</v>
      </c>
      <c r="B1221" t="s">
        <v>84</v>
      </c>
      <c r="C1221" t="s">
        <v>9</v>
      </c>
      <c r="D1221" t="s">
        <v>10</v>
      </c>
      <c r="E1221">
        <v>1992</v>
      </c>
      <c r="F1221" s="1">
        <v>100</v>
      </c>
      <c r="G1221">
        <v>1990</v>
      </c>
      <c r="H1221">
        <f>AVERAGEIFS(Table1[value],Table1[IndicatorCode],Table1[[#This Row],[IndicatorCode]])</f>
        <v>99.756410256410263</v>
      </c>
      <c r="I1221" cm="1">
        <f t="array" ref="I1221">_xlfn.STDEV.P(IF(Table1[IndicatorCode]=Table1[[#This Row],[IndicatorCode]],Table1[value]))</f>
        <v>1.1047979755287356</v>
      </c>
      <c r="J1221">
        <f>(Table1[[#This Row],[value]] - Table1[[#This Row],[mean]]) / Table1[[#This Row],[std_dev]]</f>
        <v>0.22048351733552002</v>
      </c>
      <c r="K1221">
        <f>AVERAGEIF(Table1[CountryCode],Table1[[#This Row],[CountryCode]],Table1[z-score])</f>
        <v>1.8607276946173743</v>
      </c>
      <c r="L1221" t="e">
        <f>VLOOKUP(Table1[[#This Row],[CountryCode]],[1]!Table1[#All],1,FALSE)</f>
        <v>#REF!</v>
      </c>
    </row>
    <row r="1222" spans="1:12" hidden="1" x14ac:dyDescent="0.3">
      <c r="A1222" t="s">
        <v>83</v>
      </c>
      <c r="B1222" t="s">
        <v>84</v>
      </c>
      <c r="C1222" t="s">
        <v>9</v>
      </c>
      <c r="D1222" t="s">
        <v>10</v>
      </c>
      <c r="E1222">
        <v>1993</v>
      </c>
      <c r="F1222" s="1">
        <v>100</v>
      </c>
      <c r="G1222">
        <v>1990</v>
      </c>
      <c r="H1222">
        <f>AVERAGEIFS(Table1[value],Table1[IndicatorCode],Table1[[#This Row],[IndicatorCode]])</f>
        <v>99.756410256410263</v>
      </c>
      <c r="I1222" cm="1">
        <f t="array" ref="I1222">_xlfn.STDEV.P(IF(Table1[IndicatorCode]=Table1[[#This Row],[IndicatorCode]],Table1[value]))</f>
        <v>1.1047979755287356</v>
      </c>
      <c r="J1222">
        <f>(Table1[[#This Row],[value]] - Table1[[#This Row],[mean]]) / Table1[[#This Row],[std_dev]]</f>
        <v>0.22048351733552002</v>
      </c>
      <c r="K1222">
        <f>AVERAGEIF(Table1[CountryCode],Table1[[#This Row],[CountryCode]],Table1[z-score])</f>
        <v>1.8607276946173743</v>
      </c>
      <c r="L1222" t="e">
        <f>VLOOKUP(Table1[[#This Row],[CountryCode]],[1]!Table1[#All],1,FALSE)</f>
        <v>#REF!</v>
      </c>
    </row>
    <row r="1223" spans="1:12" hidden="1" x14ac:dyDescent="0.3">
      <c r="A1223" t="s">
        <v>83</v>
      </c>
      <c r="B1223" t="s">
        <v>84</v>
      </c>
      <c r="C1223" t="s">
        <v>9</v>
      </c>
      <c r="D1223" t="s">
        <v>10</v>
      </c>
      <c r="E1223">
        <v>1994</v>
      </c>
      <c r="F1223" s="1">
        <v>100</v>
      </c>
      <c r="G1223">
        <v>1990</v>
      </c>
      <c r="H1223">
        <f>AVERAGEIFS(Table1[value],Table1[IndicatorCode],Table1[[#This Row],[IndicatorCode]])</f>
        <v>99.756410256410263</v>
      </c>
      <c r="I1223" cm="1">
        <f t="array" ref="I1223">_xlfn.STDEV.P(IF(Table1[IndicatorCode]=Table1[[#This Row],[IndicatorCode]],Table1[value]))</f>
        <v>1.1047979755287356</v>
      </c>
      <c r="J1223">
        <f>(Table1[[#This Row],[value]] - Table1[[#This Row],[mean]]) / Table1[[#This Row],[std_dev]]</f>
        <v>0.22048351733552002</v>
      </c>
      <c r="K1223">
        <f>AVERAGEIF(Table1[CountryCode],Table1[[#This Row],[CountryCode]],Table1[z-score])</f>
        <v>1.8607276946173743</v>
      </c>
      <c r="L1223" t="e">
        <f>VLOOKUP(Table1[[#This Row],[CountryCode]],[1]!Table1[#All],1,FALSE)</f>
        <v>#REF!</v>
      </c>
    </row>
    <row r="1224" spans="1:12" hidden="1" x14ac:dyDescent="0.3">
      <c r="A1224" t="s">
        <v>83</v>
      </c>
      <c r="B1224" t="s">
        <v>84</v>
      </c>
      <c r="C1224" t="s">
        <v>9</v>
      </c>
      <c r="D1224" t="s">
        <v>10</v>
      </c>
      <c r="E1224">
        <v>1995</v>
      </c>
      <c r="F1224" s="1">
        <v>100</v>
      </c>
      <c r="G1224">
        <v>1990</v>
      </c>
      <c r="H1224">
        <f>AVERAGEIFS(Table1[value],Table1[IndicatorCode],Table1[[#This Row],[IndicatorCode]])</f>
        <v>99.756410256410263</v>
      </c>
      <c r="I1224" cm="1">
        <f t="array" ref="I1224">_xlfn.STDEV.P(IF(Table1[IndicatorCode]=Table1[[#This Row],[IndicatorCode]],Table1[value]))</f>
        <v>1.1047979755287356</v>
      </c>
      <c r="J1224">
        <f>(Table1[[#This Row],[value]] - Table1[[#This Row],[mean]]) / Table1[[#This Row],[std_dev]]</f>
        <v>0.22048351733552002</v>
      </c>
      <c r="K1224">
        <f>AVERAGEIF(Table1[CountryCode],Table1[[#This Row],[CountryCode]],Table1[z-score])</f>
        <v>1.8607276946173743</v>
      </c>
      <c r="L1224" t="e">
        <f>VLOOKUP(Table1[[#This Row],[CountryCode]],[1]!Table1[#All],1,FALSE)</f>
        <v>#REF!</v>
      </c>
    </row>
    <row r="1225" spans="1:12" hidden="1" x14ac:dyDescent="0.3">
      <c r="A1225" t="s">
        <v>83</v>
      </c>
      <c r="B1225" t="s">
        <v>84</v>
      </c>
      <c r="C1225" t="s">
        <v>9</v>
      </c>
      <c r="D1225" t="s">
        <v>10</v>
      </c>
      <c r="E1225">
        <v>1996</v>
      </c>
      <c r="F1225" s="1">
        <v>100</v>
      </c>
      <c r="G1225">
        <v>1990</v>
      </c>
      <c r="H1225">
        <f>AVERAGEIFS(Table1[value],Table1[IndicatorCode],Table1[[#This Row],[IndicatorCode]])</f>
        <v>99.756410256410263</v>
      </c>
      <c r="I1225" cm="1">
        <f t="array" ref="I1225">_xlfn.STDEV.P(IF(Table1[IndicatorCode]=Table1[[#This Row],[IndicatorCode]],Table1[value]))</f>
        <v>1.1047979755287356</v>
      </c>
      <c r="J1225">
        <f>(Table1[[#This Row],[value]] - Table1[[#This Row],[mean]]) / Table1[[#This Row],[std_dev]]</f>
        <v>0.22048351733552002</v>
      </c>
      <c r="K1225">
        <f>AVERAGEIF(Table1[CountryCode],Table1[[#This Row],[CountryCode]],Table1[z-score])</f>
        <v>1.8607276946173743</v>
      </c>
      <c r="L1225" t="e">
        <f>VLOOKUP(Table1[[#This Row],[CountryCode]],[1]!Table1[#All],1,FALSE)</f>
        <v>#REF!</v>
      </c>
    </row>
    <row r="1226" spans="1:12" hidden="1" x14ac:dyDescent="0.3">
      <c r="A1226" t="s">
        <v>83</v>
      </c>
      <c r="B1226" t="s">
        <v>84</v>
      </c>
      <c r="C1226" t="s">
        <v>9</v>
      </c>
      <c r="D1226" t="s">
        <v>10</v>
      </c>
      <c r="E1226">
        <v>1997</v>
      </c>
      <c r="F1226" s="1">
        <v>100</v>
      </c>
      <c r="G1226">
        <v>2000</v>
      </c>
      <c r="H1226">
        <f>AVERAGEIFS(Table1[value],Table1[IndicatorCode],Table1[[#This Row],[IndicatorCode]])</f>
        <v>99.756410256410263</v>
      </c>
      <c r="I1226" cm="1">
        <f t="array" ref="I1226">_xlfn.STDEV.P(IF(Table1[IndicatorCode]=Table1[[#This Row],[IndicatorCode]],Table1[value]))</f>
        <v>1.1047979755287356</v>
      </c>
      <c r="J1226">
        <f>(Table1[[#This Row],[value]] - Table1[[#This Row],[mean]]) / Table1[[#This Row],[std_dev]]</f>
        <v>0.22048351733552002</v>
      </c>
      <c r="K1226">
        <f>AVERAGEIF(Table1[CountryCode],Table1[[#This Row],[CountryCode]],Table1[z-score])</f>
        <v>1.8607276946173743</v>
      </c>
      <c r="L1226" t="e">
        <f>VLOOKUP(Table1[[#This Row],[CountryCode]],[1]!Table1[#All],1,FALSE)</f>
        <v>#REF!</v>
      </c>
    </row>
    <row r="1227" spans="1:12" hidden="1" x14ac:dyDescent="0.3">
      <c r="A1227" t="s">
        <v>83</v>
      </c>
      <c r="B1227" t="s">
        <v>84</v>
      </c>
      <c r="C1227" t="s">
        <v>9</v>
      </c>
      <c r="D1227" t="s">
        <v>10</v>
      </c>
      <c r="E1227">
        <v>1998</v>
      </c>
      <c r="F1227" s="1">
        <v>100</v>
      </c>
      <c r="G1227">
        <v>2000</v>
      </c>
      <c r="H1227">
        <f>AVERAGEIFS(Table1[value],Table1[IndicatorCode],Table1[[#This Row],[IndicatorCode]])</f>
        <v>99.756410256410263</v>
      </c>
      <c r="I1227" cm="1">
        <f t="array" ref="I1227">_xlfn.STDEV.P(IF(Table1[IndicatorCode]=Table1[[#This Row],[IndicatorCode]],Table1[value]))</f>
        <v>1.1047979755287356</v>
      </c>
      <c r="J1227">
        <f>(Table1[[#This Row],[value]] - Table1[[#This Row],[mean]]) / Table1[[#This Row],[std_dev]]</f>
        <v>0.22048351733552002</v>
      </c>
      <c r="K1227">
        <f>AVERAGEIF(Table1[CountryCode],Table1[[#This Row],[CountryCode]],Table1[z-score])</f>
        <v>1.8607276946173743</v>
      </c>
      <c r="L1227" t="e">
        <f>VLOOKUP(Table1[[#This Row],[CountryCode]],[1]!Table1[#All],1,FALSE)</f>
        <v>#REF!</v>
      </c>
    </row>
    <row r="1228" spans="1:12" hidden="1" x14ac:dyDescent="0.3">
      <c r="A1228" t="s">
        <v>83</v>
      </c>
      <c r="B1228" t="s">
        <v>84</v>
      </c>
      <c r="C1228" t="s">
        <v>9</v>
      </c>
      <c r="D1228" t="s">
        <v>10</v>
      </c>
      <c r="E1228">
        <v>1999</v>
      </c>
      <c r="F1228" s="1">
        <v>100</v>
      </c>
      <c r="G1228">
        <v>2000</v>
      </c>
      <c r="H1228">
        <f>AVERAGEIFS(Table1[value],Table1[IndicatorCode],Table1[[#This Row],[IndicatorCode]])</f>
        <v>99.756410256410263</v>
      </c>
      <c r="I1228" cm="1">
        <f t="array" ref="I1228">_xlfn.STDEV.P(IF(Table1[IndicatorCode]=Table1[[#This Row],[IndicatorCode]],Table1[value]))</f>
        <v>1.1047979755287356</v>
      </c>
      <c r="J1228">
        <f>(Table1[[#This Row],[value]] - Table1[[#This Row],[mean]]) / Table1[[#This Row],[std_dev]]</f>
        <v>0.22048351733552002</v>
      </c>
      <c r="K1228">
        <f>AVERAGEIF(Table1[CountryCode],Table1[[#This Row],[CountryCode]],Table1[z-score])</f>
        <v>1.8607276946173743</v>
      </c>
      <c r="L1228" t="e">
        <f>VLOOKUP(Table1[[#This Row],[CountryCode]],[1]!Table1[#All],1,FALSE)</f>
        <v>#REF!</v>
      </c>
    </row>
    <row r="1229" spans="1:12" hidden="1" x14ac:dyDescent="0.3">
      <c r="A1229" t="s">
        <v>83</v>
      </c>
      <c r="B1229" t="s">
        <v>84</v>
      </c>
      <c r="C1229" t="s">
        <v>9</v>
      </c>
      <c r="D1229" t="s">
        <v>10</v>
      </c>
      <c r="E1229">
        <v>2000</v>
      </c>
      <c r="F1229" s="1">
        <v>100</v>
      </c>
      <c r="G1229">
        <v>2000</v>
      </c>
      <c r="H1229">
        <f>AVERAGEIFS(Table1[value],Table1[IndicatorCode],Table1[[#This Row],[IndicatorCode]])</f>
        <v>99.756410256410263</v>
      </c>
      <c r="I1229" cm="1">
        <f t="array" ref="I1229">_xlfn.STDEV.P(IF(Table1[IndicatorCode]=Table1[[#This Row],[IndicatorCode]],Table1[value]))</f>
        <v>1.1047979755287356</v>
      </c>
      <c r="J1229">
        <f>(Table1[[#This Row],[value]] - Table1[[#This Row],[mean]]) / Table1[[#This Row],[std_dev]]</f>
        <v>0.22048351733552002</v>
      </c>
      <c r="K1229">
        <f>AVERAGEIF(Table1[CountryCode],Table1[[#This Row],[CountryCode]],Table1[z-score])</f>
        <v>1.8607276946173743</v>
      </c>
      <c r="L1229" t="e">
        <f>VLOOKUP(Table1[[#This Row],[CountryCode]],[1]!Table1[#All],1,FALSE)</f>
        <v>#REF!</v>
      </c>
    </row>
    <row r="1230" spans="1:12" hidden="1" x14ac:dyDescent="0.3">
      <c r="A1230" t="s">
        <v>83</v>
      </c>
      <c r="B1230" t="s">
        <v>84</v>
      </c>
      <c r="C1230" t="s">
        <v>9</v>
      </c>
      <c r="D1230" t="s">
        <v>10</v>
      </c>
      <c r="E1230">
        <v>2001</v>
      </c>
      <c r="F1230" s="1">
        <v>100</v>
      </c>
      <c r="G1230">
        <v>2000</v>
      </c>
      <c r="H1230">
        <f>AVERAGEIFS(Table1[value],Table1[IndicatorCode],Table1[[#This Row],[IndicatorCode]])</f>
        <v>99.756410256410263</v>
      </c>
      <c r="I1230" cm="1">
        <f t="array" ref="I1230">_xlfn.STDEV.P(IF(Table1[IndicatorCode]=Table1[[#This Row],[IndicatorCode]],Table1[value]))</f>
        <v>1.1047979755287356</v>
      </c>
      <c r="J1230">
        <f>(Table1[[#This Row],[value]] - Table1[[#This Row],[mean]]) / Table1[[#This Row],[std_dev]]</f>
        <v>0.22048351733552002</v>
      </c>
      <c r="K1230">
        <f>AVERAGEIF(Table1[CountryCode],Table1[[#This Row],[CountryCode]],Table1[z-score])</f>
        <v>1.8607276946173743</v>
      </c>
      <c r="L1230" t="e">
        <f>VLOOKUP(Table1[[#This Row],[CountryCode]],[1]!Table1[#All],1,FALSE)</f>
        <v>#REF!</v>
      </c>
    </row>
    <row r="1231" spans="1:12" hidden="1" x14ac:dyDescent="0.3">
      <c r="A1231" t="s">
        <v>83</v>
      </c>
      <c r="B1231" t="s">
        <v>84</v>
      </c>
      <c r="C1231" t="s">
        <v>9</v>
      </c>
      <c r="D1231" t="s">
        <v>10</v>
      </c>
      <c r="E1231">
        <v>2002</v>
      </c>
      <c r="F1231" s="1">
        <v>100</v>
      </c>
      <c r="G1231">
        <v>2000</v>
      </c>
      <c r="H1231">
        <f>AVERAGEIFS(Table1[value],Table1[IndicatorCode],Table1[[#This Row],[IndicatorCode]])</f>
        <v>99.756410256410263</v>
      </c>
      <c r="I1231" cm="1">
        <f t="array" ref="I1231">_xlfn.STDEV.P(IF(Table1[IndicatorCode]=Table1[[#This Row],[IndicatorCode]],Table1[value]))</f>
        <v>1.1047979755287356</v>
      </c>
      <c r="J1231">
        <f>(Table1[[#This Row],[value]] - Table1[[#This Row],[mean]]) / Table1[[#This Row],[std_dev]]</f>
        <v>0.22048351733552002</v>
      </c>
      <c r="K1231">
        <f>AVERAGEIF(Table1[CountryCode],Table1[[#This Row],[CountryCode]],Table1[z-score])</f>
        <v>1.8607276946173743</v>
      </c>
      <c r="L1231" t="e">
        <f>VLOOKUP(Table1[[#This Row],[CountryCode]],[1]!Table1[#All],1,FALSE)</f>
        <v>#REF!</v>
      </c>
    </row>
    <row r="1232" spans="1:12" hidden="1" x14ac:dyDescent="0.3">
      <c r="A1232" t="s">
        <v>83</v>
      </c>
      <c r="B1232" t="s">
        <v>84</v>
      </c>
      <c r="C1232" t="s">
        <v>9</v>
      </c>
      <c r="D1232" t="s">
        <v>10</v>
      </c>
      <c r="E1232">
        <v>2003</v>
      </c>
      <c r="F1232" s="1">
        <v>100</v>
      </c>
      <c r="G1232">
        <v>2000</v>
      </c>
      <c r="H1232">
        <f>AVERAGEIFS(Table1[value],Table1[IndicatorCode],Table1[[#This Row],[IndicatorCode]])</f>
        <v>99.756410256410263</v>
      </c>
      <c r="I1232" cm="1">
        <f t="array" ref="I1232">_xlfn.STDEV.P(IF(Table1[IndicatorCode]=Table1[[#This Row],[IndicatorCode]],Table1[value]))</f>
        <v>1.1047979755287356</v>
      </c>
      <c r="J1232">
        <f>(Table1[[#This Row],[value]] - Table1[[#This Row],[mean]]) / Table1[[#This Row],[std_dev]]</f>
        <v>0.22048351733552002</v>
      </c>
      <c r="K1232">
        <f>AVERAGEIF(Table1[CountryCode],Table1[[#This Row],[CountryCode]],Table1[z-score])</f>
        <v>1.8607276946173743</v>
      </c>
      <c r="L1232" t="e">
        <f>VLOOKUP(Table1[[#This Row],[CountryCode]],[1]!Table1[#All],1,FALSE)</f>
        <v>#REF!</v>
      </c>
    </row>
    <row r="1233" spans="1:12" hidden="1" x14ac:dyDescent="0.3">
      <c r="A1233" t="s">
        <v>83</v>
      </c>
      <c r="B1233" t="s">
        <v>84</v>
      </c>
      <c r="C1233" t="s">
        <v>9</v>
      </c>
      <c r="D1233" t="s">
        <v>10</v>
      </c>
      <c r="E1233">
        <v>2004</v>
      </c>
      <c r="F1233" s="1">
        <v>100</v>
      </c>
      <c r="G1233">
        <v>2000</v>
      </c>
      <c r="H1233">
        <f>AVERAGEIFS(Table1[value],Table1[IndicatorCode],Table1[[#This Row],[IndicatorCode]])</f>
        <v>99.756410256410263</v>
      </c>
      <c r="I1233" cm="1">
        <f t="array" ref="I1233">_xlfn.STDEV.P(IF(Table1[IndicatorCode]=Table1[[#This Row],[IndicatorCode]],Table1[value]))</f>
        <v>1.1047979755287356</v>
      </c>
      <c r="J1233">
        <f>(Table1[[#This Row],[value]] - Table1[[#This Row],[mean]]) / Table1[[#This Row],[std_dev]]</f>
        <v>0.22048351733552002</v>
      </c>
      <c r="K1233">
        <f>AVERAGEIF(Table1[CountryCode],Table1[[#This Row],[CountryCode]],Table1[z-score])</f>
        <v>1.8607276946173743</v>
      </c>
      <c r="L1233" t="e">
        <f>VLOOKUP(Table1[[#This Row],[CountryCode]],[1]!Table1[#All],1,FALSE)</f>
        <v>#REF!</v>
      </c>
    </row>
    <row r="1234" spans="1:12" hidden="1" x14ac:dyDescent="0.3">
      <c r="A1234" t="s">
        <v>83</v>
      </c>
      <c r="B1234" t="s">
        <v>84</v>
      </c>
      <c r="C1234" t="s">
        <v>9</v>
      </c>
      <c r="D1234" t="s">
        <v>10</v>
      </c>
      <c r="E1234">
        <v>2005</v>
      </c>
      <c r="F1234" s="1">
        <v>100</v>
      </c>
      <c r="G1234">
        <v>2000</v>
      </c>
      <c r="H1234">
        <f>AVERAGEIFS(Table1[value],Table1[IndicatorCode],Table1[[#This Row],[IndicatorCode]])</f>
        <v>99.756410256410263</v>
      </c>
      <c r="I1234" cm="1">
        <f t="array" ref="I1234">_xlfn.STDEV.P(IF(Table1[IndicatorCode]=Table1[[#This Row],[IndicatorCode]],Table1[value]))</f>
        <v>1.1047979755287356</v>
      </c>
      <c r="J1234">
        <f>(Table1[[#This Row],[value]] - Table1[[#This Row],[mean]]) / Table1[[#This Row],[std_dev]]</f>
        <v>0.22048351733552002</v>
      </c>
      <c r="K1234">
        <f>AVERAGEIF(Table1[CountryCode],Table1[[#This Row],[CountryCode]],Table1[z-score])</f>
        <v>1.8607276946173743</v>
      </c>
      <c r="L1234" t="e">
        <f>VLOOKUP(Table1[[#This Row],[CountryCode]],[1]!Table1[#All],1,FALSE)</f>
        <v>#REF!</v>
      </c>
    </row>
    <row r="1235" spans="1:12" hidden="1" x14ac:dyDescent="0.3">
      <c r="A1235" t="s">
        <v>83</v>
      </c>
      <c r="B1235" t="s">
        <v>84</v>
      </c>
      <c r="C1235" t="s">
        <v>9</v>
      </c>
      <c r="D1235" t="s">
        <v>10</v>
      </c>
      <c r="E1235">
        <v>2006</v>
      </c>
      <c r="F1235" s="1">
        <v>100</v>
      </c>
      <c r="G1235">
        <v>2000</v>
      </c>
      <c r="H1235">
        <f>AVERAGEIFS(Table1[value],Table1[IndicatorCode],Table1[[#This Row],[IndicatorCode]])</f>
        <v>99.756410256410263</v>
      </c>
      <c r="I1235" cm="1">
        <f t="array" ref="I1235">_xlfn.STDEV.P(IF(Table1[IndicatorCode]=Table1[[#This Row],[IndicatorCode]],Table1[value]))</f>
        <v>1.1047979755287356</v>
      </c>
      <c r="J1235">
        <f>(Table1[[#This Row],[value]] - Table1[[#This Row],[mean]]) / Table1[[#This Row],[std_dev]]</f>
        <v>0.22048351733552002</v>
      </c>
      <c r="K1235">
        <f>AVERAGEIF(Table1[CountryCode],Table1[[#This Row],[CountryCode]],Table1[z-score])</f>
        <v>1.8607276946173743</v>
      </c>
      <c r="L1235" t="e">
        <f>VLOOKUP(Table1[[#This Row],[CountryCode]],[1]!Table1[#All],1,FALSE)</f>
        <v>#REF!</v>
      </c>
    </row>
    <row r="1236" spans="1:12" hidden="1" x14ac:dyDescent="0.3">
      <c r="A1236" t="s">
        <v>83</v>
      </c>
      <c r="B1236" t="s">
        <v>84</v>
      </c>
      <c r="C1236" t="s">
        <v>9</v>
      </c>
      <c r="D1236" t="s">
        <v>10</v>
      </c>
      <c r="E1236">
        <v>2007</v>
      </c>
      <c r="F1236" s="1">
        <v>100</v>
      </c>
      <c r="G1236">
        <v>2010</v>
      </c>
      <c r="H1236">
        <f>AVERAGEIFS(Table1[value],Table1[IndicatorCode],Table1[[#This Row],[IndicatorCode]])</f>
        <v>99.756410256410263</v>
      </c>
      <c r="I1236" cm="1">
        <f t="array" ref="I1236">_xlfn.STDEV.P(IF(Table1[IndicatorCode]=Table1[[#This Row],[IndicatorCode]],Table1[value]))</f>
        <v>1.1047979755287356</v>
      </c>
      <c r="J1236">
        <f>(Table1[[#This Row],[value]] - Table1[[#This Row],[mean]]) / Table1[[#This Row],[std_dev]]</f>
        <v>0.22048351733552002</v>
      </c>
      <c r="K1236">
        <f>AVERAGEIF(Table1[CountryCode],Table1[[#This Row],[CountryCode]],Table1[z-score])</f>
        <v>1.8607276946173743</v>
      </c>
      <c r="L1236" t="e">
        <f>VLOOKUP(Table1[[#This Row],[CountryCode]],[1]!Table1[#All],1,FALSE)</f>
        <v>#REF!</v>
      </c>
    </row>
    <row r="1237" spans="1:12" hidden="1" x14ac:dyDescent="0.3">
      <c r="A1237" t="s">
        <v>83</v>
      </c>
      <c r="B1237" t="s">
        <v>84</v>
      </c>
      <c r="C1237" t="s">
        <v>9</v>
      </c>
      <c r="D1237" t="s">
        <v>10</v>
      </c>
      <c r="E1237">
        <v>2008</v>
      </c>
      <c r="F1237" s="1">
        <v>100</v>
      </c>
      <c r="G1237">
        <v>2010</v>
      </c>
      <c r="H1237">
        <f>AVERAGEIFS(Table1[value],Table1[IndicatorCode],Table1[[#This Row],[IndicatorCode]])</f>
        <v>99.756410256410263</v>
      </c>
      <c r="I1237" cm="1">
        <f t="array" ref="I1237">_xlfn.STDEV.P(IF(Table1[IndicatorCode]=Table1[[#This Row],[IndicatorCode]],Table1[value]))</f>
        <v>1.1047979755287356</v>
      </c>
      <c r="J1237">
        <f>(Table1[[#This Row],[value]] - Table1[[#This Row],[mean]]) / Table1[[#This Row],[std_dev]]</f>
        <v>0.22048351733552002</v>
      </c>
      <c r="K1237">
        <f>AVERAGEIF(Table1[CountryCode],Table1[[#This Row],[CountryCode]],Table1[z-score])</f>
        <v>1.8607276946173743</v>
      </c>
      <c r="L1237" t="e">
        <f>VLOOKUP(Table1[[#This Row],[CountryCode]],[1]!Table1[#All],1,FALSE)</f>
        <v>#REF!</v>
      </c>
    </row>
    <row r="1238" spans="1:12" hidden="1" x14ac:dyDescent="0.3">
      <c r="A1238" t="s">
        <v>83</v>
      </c>
      <c r="B1238" t="s">
        <v>84</v>
      </c>
      <c r="C1238" t="s">
        <v>9</v>
      </c>
      <c r="D1238" t="s">
        <v>10</v>
      </c>
      <c r="E1238">
        <v>2009</v>
      </c>
      <c r="F1238" s="1">
        <v>100</v>
      </c>
      <c r="G1238">
        <v>2010</v>
      </c>
      <c r="H1238">
        <f>AVERAGEIFS(Table1[value],Table1[IndicatorCode],Table1[[#This Row],[IndicatorCode]])</f>
        <v>99.756410256410263</v>
      </c>
      <c r="I1238" cm="1">
        <f t="array" ref="I1238">_xlfn.STDEV.P(IF(Table1[IndicatorCode]=Table1[[#This Row],[IndicatorCode]],Table1[value]))</f>
        <v>1.1047979755287356</v>
      </c>
      <c r="J1238">
        <f>(Table1[[#This Row],[value]] - Table1[[#This Row],[mean]]) / Table1[[#This Row],[std_dev]]</f>
        <v>0.22048351733552002</v>
      </c>
      <c r="K1238">
        <f>AVERAGEIF(Table1[CountryCode],Table1[[#This Row],[CountryCode]],Table1[z-score])</f>
        <v>1.8607276946173743</v>
      </c>
      <c r="L1238" t="e">
        <f>VLOOKUP(Table1[[#This Row],[CountryCode]],[1]!Table1[#All],1,FALSE)</f>
        <v>#REF!</v>
      </c>
    </row>
    <row r="1239" spans="1:12" hidden="1" x14ac:dyDescent="0.3">
      <c r="A1239" t="s">
        <v>83</v>
      </c>
      <c r="B1239" t="s">
        <v>84</v>
      </c>
      <c r="C1239" t="s">
        <v>9</v>
      </c>
      <c r="D1239" t="s">
        <v>10</v>
      </c>
      <c r="E1239">
        <v>2010</v>
      </c>
      <c r="F1239" s="1">
        <v>100</v>
      </c>
      <c r="G1239">
        <v>2010</v>
      </c>
      <c r="H1239">
        <f>AVERAGEIFS(Table1[value],Table1[IndicatorCode],Table1[[#This Row],[IndicatorCode]])</f>
        <v>99.756410256410263</v>
      </c>
      <c r="I1239" cm="1">
        <f t="array" ref="I1239">_xlfn.STDEV.P(IF(Table1[IndicatorCode]=Table1[[#This Row],[IndicatorCode]],Table1[value]))</f>
        <v>1.1047979755287356</v>
      </c>
      <c r="J1239">
        <f>(Table1[[#This Row],[value]] - Table1[[#This Row],[mean]]) / Table1[[#This Row],[std_dev]]</f>
        <v>0.22048351733552002</v>
      </c>
      <c r="K1239">
        <f>AVERAGEIF(Table1[CountryCode],Table1[[#This Row],[CountryCode]],Table1[z-score])</f>
        <v>1.8607276946173743</v>
      </c>
      <c r="L1239" t="e">
        <f>VLOOKUP(Table1[[#This Row],[CountryCode]],[1]!Table1[#All],1,FALSE)</f>
        <v>#REF!</v>
      </c>
    </row>
    <row r="1240" spans="1:12" hidden="1" x14ac:dyDescent="0.3">
      <c r="A1240" t="s">
        <v>83</v>
      </c>
      <c r="B1240" t="s">
        <v>84</v>
      </c>
      <c r="C1240" t="s">
        <v>9</v>
      </c>
      <c r="D1240" t="s">
        <v>10</v>
      </c>
      <c r="E1240">
        <v>2011</v>
      </c>
      <c r="F1240" s="1">
        <v>100</v>
      </c>
      <c r="G1240">
        <v>2010</v>
      </c>
      <c r="H1240">
        <f>AVERAGEIFS(Table1[value],Table1[IndicatorCode],Table1[[#This Row],[IndicatorCode]])</f>
        <v>99.756410256410263</v>
      </c>
      <c r="I1240" cm="1">
        <f t="array" ref="I1240">_xlfn.STDEV.P(IF(Table1[IndicatorCode]=Table1[[#This Row],[IndicatorCode]],Table1[value]))</f>
        <v>1.1047979755287356</v>
      </c>
      <c r="J1240">
        <f>(Table1[[#This Row],[value]] - Table1[[#This Row],[mean]]) / Table1[[#This Row],[std_dev]]</f>
        <v>0.22048351733552002</v>
      </c>
      <c r="K1240">
        <f>AVERAGEIF(Table1[CountryCode],Table1[[#This Row],[CountryCode]],Table1[z-score])</f>
        <v>1.8607276946173743</v>
      </c>
      <c r="L1240" t="e">
        <f>VLOOKUP(Table1[[#This Row],[CountryCode]],[1]!Table1[#All],1,FALSE)</f>
        <v>#REF!</v>
      </c>
    </row>
    <row r="1241" spans="1:12" hidden="1" x14ac:dyDescent="0.3">
      <c r="A1241" t="s">
        <v>83</v>
      </c>
      <c r="B1241" t="s">
        <v>84</v>
      </c>
      <c r="C1241" t="s">
        <v>9</v>
      </c>
      <c r="D1241" t="s">
        <v>10</v>
      </c>
      <c r="E1241">
        <v>2012</v>
      </c>
      <c r="F1241" s="1">
        <v>100</v>
      </c>
      <c r="G1241">
        <v>2010</v>
      </c>
      <c r="H1241">
        <f>AVERAGEIFS(Table1[value],Table1[IndicatorCode],Table1[[#This Row],[IndicatorCode]])</f>
        <v>99.756410256410263</v>
      </c>
      <c r="I1241" cm="1">
        <f t="array" ref="I1241">_xlfn.STDEV.P(IF(Table1[IndicatorCode]=Table1[[#This Row],[IndicatorCode]],Table1[value]))</f>
        <v>1.1047979755287356</v>
      </c>
      <c r="J1241">
        <f>(Table1[[#This Row],[value]] - Table1[[#This Row],[mean]]) / Table1[[#This Row],[std_dev]]</f>
        <v>0.22048351733552002</v>
      </c>
      <c r="K1241">
        <f>AVERAGEIF(Table1[CountryCode],Table1[[#This Row],[CountryCode]],Table1[z-score])</f>
        <v>1.8607276946173743</v>
      </c>
      <c r="L1241" t="e">
        <f>VLOOKUP(Table1[[#This Row],[CountryCode]],[1]!Table1[#All],1,FALSE)</f>
        <v>#REF!</v>
      </c>
    </row>
    <row r="1242" spans="1:12" hidden="1" x14ac:dyDescent="0.3">
      <c r="A1242" t="s">
        <v>83</v>
      </c>
      <c r="B1242" t="s">
        <v>84</v>
      </c>
      <c r="C1242" t="s">
        <v>9</v>
      </c>
      <c r="D1242" t="s">
        <v>10</v>
      </c>
      <c r="E1242">
        <v>2013</v>
      </c>
      <c r="F1242" s="1">
        <v>100</v>
      </c>
      <c r="G1242">
        <v>2010</v>
      </c>
      <c r="H1242">
        <f>AVERAGEIFS(Table1[value],Table1[IndicatorCode],Table1[[#This Row],[IndicatorCode]])</f>
        <v>99.756410256410263</v>
      </c>
      <c r="I1242" cm="1">
        <f t="array" ref="I1242">_xlfn.STDEV.P(IF(Table1[IndicatorCode]=Table1[[#This Row],[IndicatorCode]],Table1[value]))</f>
        <v>1.1047979755287356</v>
      </c>
      <c r="J1242">
        <f>(Table1[[#This Row],[value]] - Table1[[#This Row],[mean]]) / Table1[[#This Row],[std_dev]]</f>
        <v>0.22048351733552002</v>
      </c>
      <c r="K1242">
        <f>AVERAGEIF(Table1[CountryCode],Table1[[#This Row],[CountryCode]],Table1[z-score])</f>
        <v>1.8607276946173743</v>
      </c>
      <c r="L1242" t="e">
        <f>VLOOKUP(Table1[[#This Row],[CountryCode]],[1]!Table1[#All],1,FALSE)</f>
        <v>#REF!</v>
      </c>
    </row>
    <row r="1243" spans="1:12" hidden="1" x14ac:dyDescent="0.3">
      <c r="A1243" t="s">
        <v>83</v>
      </c>
      <c r="B1243" t="s">
        <v>84</v>
      </c>
      <c r="C1243" t="s">
        <v>9</v>
      </c>
      <c r="D1243" t="s">
        <v>10</v>
      </c>
      <c r="E1243">
        <v>2014</v>
      </c>
      <c r="F1243" s="1">
        <v>100</v>
      </c>
      <c r="G1243">
        <v>2010</v>
      </c>
      <c r="H1243">
        <f>AVERAGEIFS(Table1[value],Table1[IndicatorCode],Table1[[#This Row],[IndicatorCode]])</f>
        <v>99.756410256410263</v>
      </c>
      <c r="I1243" cm="1">
        <f t="array" ref="I1243">_xlfn.STDEV.P(IF(Table1[IndicatorCode]=Table1[[#This Row],[IndicatorCode]],Table1[value]))</f>
        <v>1.1047979755287356</v>
      </c>
      <c r="J1243">
        <f>(Table1[[#This Row],[value]] - Table1[[#This Row],[mean]]) / Table1[[#This Row],[std_dev]]</f>
        <v>0.22048351733552002</v>
      </c>
      <c r="K1243">
        <f>AVERAGEIF(Table1[CountryCode],Table1[[#This Row],[CountryCode]],Table1[z-score])</f>
        <v>1.8607276946173743</v>
      </c>
      <c r="L1243" t="e">
        <f>VLOOKUP(Table1[[#This Row],[CountryCode]],[1]!Table1[#All],1,FALSE)</f>
        <v>#REF!</v>
      </c>
    </row>
    <row r="1244" spans="1:12" hidden="1" x14ac:dyDescent="0.3">
      <c r="A1244" t="s">
        <v>83</v>
      </c>
      <c r="B1244" t="s">
        <v>84</v>
      </c>
      <c r="C1244" t="s">
        <v>9</v>
      </c>
      <c r="D1244" t="s">
        <v>10</v>
      </c>
      <c r="E1244">
        <v>2015</v>
      </c>
      <c r="F1244" s="1">
        <v>100</v>
      </c>
      <c r="G1244">
        <v>2010</v>
      </c>
      <c r="H1244">
        <f>AVERAGEIFS(Table1[value],Table1[IndicatorCode],Table1[[#This Row],[IndicatorCode]])</f>
        <v>99.756410256410263</v>
      </c>
      <c r="I1244" cm="1">
        <f t="array" ref="I1244">_xlfn.STDEV.P(IF(Table1[IndicatorCode]=Table1[[#This Row],[IndicatorCode]],Table1[value]))</f>
        <v>1.1047979755287356</v>
      </c>
      <c r="J1244">
        <f>(Table1[[#This Row],[value]] - Table1[[#This Row],[mean]]) / Table1[[#This Row],[std_dev]]</f>
        <v>0.22048351733552002</v>
      </c>
      <c r="K1244">
        <f>AVERAGEIF(Table1[CountryCode],Table1[[#This Row],[CountryCode]],Table1[z-score])</f>
        <v>1.8607276946173743</v>
      </c>
      <c r="L1244" t="e">
        <f>VLOOKUP(Table1[[#This Row],[CountryCode]],[1]!Table1[#All],1,FALSE)</f>
        <v>#REF!</v>
      </c>
    </row>
    <row r="1245" spans="1:12" hidden="1" x14ac:dyDescent="0.3">
      <c r="A1245" t="s">
        <v>83</v>
      </c>
      <c r="B1245" t="s">
        <v>84</v>
      </c>
      <c r="C1245" t="s">
        <v>9</v>
      </c>
      <c r="D1245" t="s">
        <v>10</v>
      </c>
      <c r="E1245">
        <v>2016</v>
      </c>
      <c r="F1245" s="1">
        <v>100</v>
      </c>
      <c r="G1245">
        <v>2010</v>
      </c>
      <c r="H1245">
        <f>AVERAGEIFS(Table1[value],Table1[IndicatorCode],Table1[[#This Row],[IndicatorCode]])</f>
        <v>99.756410256410263</v>
      </c>
      <c r="I1245" cm="1">
        <f t="array" ref="I1245">_xlfn.STDEV.P(IF(Table1[IndicatorCode]=Table1[[#This Row],[IndicatorCode]],Table1[value]))</f>
        <v>1.1047979755287356</v>
      </c>
      <c r="J1245">
        <f>(Table1[[#This Row],[value]] - Table1[[#This Row],[mean]]) / Table1[[#This Row],[std_dev]]</f>
        <v>0.22048351733552002</v>
      </c>
      <c r="K1245">
        <f>AVERAGEIF(Table1[CountryCode],Table1[[#This Row],[CountryCode]],Table1[z-score])</f>
        <v>1.8607276946173743</v>
      </c>
      <c r="L1245" t="e">
        <f>VLOOKUP(Table1[[#This Row],[CountryCode]],[1]!Table1[#All],1,FALSE)</f>
        <v>#REF!</v>
      </c>
    </row>
    <row r="1246" spans="1:12" hidden="1" x14ac:dyDescent="0.3">
      <c r="A1246" t="s">
        <v>83</v>
      </c>
      <c r="B1246" t="s">
        <v>84</v>
      </c>
      <c r="C1246" t="s">
        <v>9</v>
      </c>
      <c r="D1246" t="s">
        <v>10</v>
      </c>
      <c r="E1246">
        <v>2017</v>
      </c>
      <c r="F1246" s="1">
        <v>100</v>
      </c>
      <c r="G1246">
        <v>2020</v>
      </c>
      <c r="H1246">
        <f>AVERAGEIFS(Table1[value],Table1[IndicatorCode],Table1[[#This Row],[IndicatorCode]])</f>
        <v>99.756410256410263</v>
      </c>
      <c r="I1246" cm="1">
        <f t="array" ref="I1246">_xlfn.STDEV.P(IF(Table1[IndicatorCode]=Table1[[#This Row],[IndicatorCode]],Table1[value]))</f>
        <v>1.1047979755287356</v>
      </c>
      <c r="J1246">
        <f>(Table1[[#This Row],[value]] - Table1[[#This Row],[mean]]) / Table1[[#This Row],[std_dev]]</f>
        <v>0.22048351733552002</v>
      </c>
      <c r="K1246">
        <f>AVERAGEIF(Table1[CountryCode],Table1[[#This Row],[CountryCode]],Table1[z-score])</f>
        <v>1.8607276946173743</v>
      </c>
      <c r="L1246" t="e">
        <f>VLOOKUP(Table1[[#This Row],[CountryCode]],[1]!Table1[#All],1,FALSE)</f>
        <v>#REF!</v>
      </c>
    </row>
    <row r="1247" spans="1:12" hidden="1" x14ac:dyDescent="0.3">
      <c r="A1247" t="s">
        <v>83</v>
      </c>
      <c r="B1247" t="s">
        <v>84</v>
      </c>
      <c r="C1247" t="s">
        <v>9</v>
      </c>
      <c r="D1247" t="s">
        <v>10</v>
      </c>
      <c r="E1247">
        <v>2018</v>
      </c>
      <c r="F1247" s="1">
        <v>100</v>
      </c>
      <c r="G1247">
        <v>2020</v>
      </c>
      <c r="H1247">
        <f>AVERAGEIFS(Table1[value],Table1[IndicatorCode],Table1[[#This Row],[IndicatorCode]])</f>
        <v>99.756410256410263</v>
      </c>
      <c r="I1247" cm="1">
        <f t="array" ref="I1247">_xlfn.STDEV.P(IF(Table1[IndicatorCode]=Table1[[#This Row],[IndicatorCode]],Table1[value]))</f>
        <v>1.1047979755287356</v>
      </c>
      <c r="J1247">
        <f>(Table1[[#This Row],[value]] - Table1[[#This Row],[mean]]) / Table1[[#This Row],[std_dev]]</f>
        <v>0.22048351733552002</v>
      </c>
      <c r="K1247">
        <f>AVERAGEIF(Table1[CountryCode],Table1[[#This Row],[CountryCode]],Table1[z-score])</f>
        <v>1.8607276946173743</v>
      </c>
      <c r="L1247" t="e">
        <f>VLOOKUP(Table1[[#This Row],[CountryCode]],[1]!Table1[#All],1,FALSE)</f>
        <v>#REF!</v>
      </c>
    </row>
    <row r="1248" spans="1:12" hidden="1" x14ac:dyDescent="0.3">
      <c r="A1248" t="s">
        <v>83</v>
      </c>
      <c r="B1248" t="s">
        <v>84</v>
      </c>
      <c r="C1248" t="s">
        <v>9</v>
      </c>
      <c r="D1248" t="s">
        <v>10</v>
      </c>
      <c r="E1248">
        <v>2019</v>
      </c>
      <c r="F1248" s="1">
        <v>100</v>
      </c>
      <c r="G1248">
        <v>2020</v>
      </c>
      <c r="H1248">
        <f>AVERAGEIFS(Table1[value],Table1[IndicatorCode],Table1[[#This Row],[IndicatorCode]])</f>
        <v>99.756410256410263</v>
      </c>
      <c r="I1248" cm="1">
        <f t="array" ref="I1248">_xlfn.STDEV.P(IF(Table1[IndicatorCode]=Table1[[#This Row],[IndicatorCode]],Table1[value]))</f>
        <v>1.1047979755287356</v>
      </c>
      <c r="J1248">
        <f>(Table1[[#This Row],[value]] - Table1[[#This Row],[mean]]) / Table1[[#This Row],[std_dev]]</f>
        <v>0.22048351733552002</v>
      </c>
      <c r="K1248">
        <f>AVERAGEIF(Table1[CountryCode],Table1[[#This Row],[CountryCode]],Table1[z-score])</f>
        <v>1.8607276946173743</v>
      </c>
      <c r="L1248" t="e">
        <f>VLOOKUP(Table1[[#This Row],[CountryCode]],[1]!Table1[#All],1,FALSE)</f>
        <v>#REF!</v>
      </c>
    </row>
    <row r="1249" spans="1:12" x14ac:dyDescent="0.3">
      <c r="A1249" t="s">
        <v>83</v>
      </c>
      <c r="B1249" t="s">
        <v>84</v>
      </c>
      <c r="C1249" t="s">
        <v>9</v>
      </c>
      <c r="D1249" t="s">
        <v>10</v>
      </c>
      <c r="E1249">
        <v>2020</v>
      </c>
      <c r="F1249" s="1">
        <v>100</v>
      </c>
      <c r="G1249">
        <v>2020</v>
      </c>
      <c r="H1249">
        <f>AVERAGEIFS(Table1[value],Table1[IndicatorCode],Table1[[#This Row],[IndicatorCode]])</f>
        <v>99.756410256410263</v>
      </c>
      <c r="I1249" cm="1">
        <f t="array" ref="I1249">_xlfn.STDEV.P(IF(Table1[IndicatorCode]=Table1[[#This Row],[IndicatorCode]],Table1[value]))</f>
        <v>1.1047979755287356</v>
      </c>
      <c r="J1249">
        <f>(Table1[[#This Row],[value]] - Table1[[#This Row],[mean]]) / Table1[[#This Row],[std_dev]]</f>
        <v>0.22048351733552002</v>
      </c>
      <c r="K1249">
        <f>AVERAGEIF(Table1[CountryCode],Table1[[#This Row],[CountryCode]],Table1[z-score])</f>
        <v>1.8607276946173743</v>
      </c>
    </row>
    <row r="1250" spans="1:12" hidden="1" x14ac:dyDescent="0.3">
      <c r="A1250" t="s">
        <v>83</v>
      </c>
      <c r="B1250" t="s">
        <v>84</v>
      </c>
      <c r="C1250" t="s">
        <v>9</v>
      </c>
      <c r="D1250" t="s">
        <v>10</v>
      </c>
      <c r="E1250">
        <v>2021</v>
      </c>
      <c r="F1250" s="1">
        <v>100</v>
      </c>
      <c r="G1250">
        <v>1990</v>
      </c>
      <c r="H1250">
        <f>AVERAGEIFS(Table1[value],Table1[IndicatorCode],Table1[[#This Row],[IndicatorCode]])</f>
        <v>99.756410256410263</v>
      </c>
      <c r="I1250" cm="1">
        <f t="array" ref="I1250">_xlfn.STDEV.P(IF(Table1[IndicatorCode]=Table1[[#This Row],[IndicatorCode]],Table1[value]))</f>
        <v>1.1047979755287356</v>
      </c>
      <c r="J1250">
        <f>(Table1[[#This Row],[value]] - Table1[[#This Row],[mean]]) / Table1[[#This Row],[std_dev]]</f>
        <v>0.22048351733552002</v>
      </c>
      <c r="K1250">
        <f>AVERAGEIF(Table1[CountryCode],Table1[[#This Row],[CountryCode]],Table1[z-score])</f>
        <v>1.8607276946173743</v>
      </c>
      <c r="L1250" t="e">
        <f>VLOOKUP(Table1[[#This Row],[CountryCode]],[1]!Table1[#All],1,FALSE)</f>
        <v>#REF!</v>
      </c>
    </row>
    <row r="1251" spans="1:12" hidden="1" x14ac:dyDescent="0.3">
      <c r="A1251" t="s">
        <v>83</v>
      </c>
      <c r="B1251" t="s">
        <v>84</v>
      </c>
      <c r="C1251" t="s">
        <v>9</v>
      </c>
      <c r="D1251" t="s">
        <v>10</v>
      </c>
      <c r="E1251">
        <v>2022</v>
      </c>
      <c r="F1251" s="1">
        <v>100</v>
      </c>
      <c r="G1251">
        <v>1990</v>
      </c>
      <c r="H1251">
        <f>AVERAGEIFS(Table1[value],Table1[IndicatorCode],Table1[[#This Row],[IndicatorCode]])</f>
        <v>99.756410256410263</v>
      </c>
      <c r="I1251" cm="1">
        <f t="array" ref="I1251">_xlfn.STDEV.P(IF(Table1[IndicatorCode]=Table1[[#This Row],[IndicatorCode]],Table1[value]))</f>
        <v>1.1047979755287356</v>
      </c>
      <c r="J1251">
        <f>(Table1[[#This Row],[value]] - Table1[[#This Row],[mean]]) / Table1[[#This Row],[std_dev]]</f>
        <v>0.22048351733552002</v>
      </c>
      <c r="K1251">
        <f>AVERAGEIF(Table1[CountryCode],Table1[[#This Row],[CountryCode]],Table1[z-score])</f>
        <v>1.8607276946173743</v>
      </c>
      <c r="L1251" t="e">
        <f>VLOOKUP(Table1[[#This Row],[CountryCode]],[1]!Table1[#All],1,FALSE)</f>
        <v>#REF!</v>
      </c>
    </row>
    <row r="1252" spans="1:12" hidden="1" x14ac:dyDescent="0.3">
      <c r="A1252" t="s">
        <v>83</v>
      </c>
      <c r="B1252" t="s">
        <v>84</v>
      </c>
      <c r="C1252" t="s">
        <v>9</v>
      </c>
      <c r="D1252" t="s">
        <v>10</v>
      </c>
      <c r="E1252">
        <v>2023</v>
      </c>
      <c r="F1252" s="1">
        <v>100</v>
      </c>
      <c r="G1252">
        <v>1990</v>
      </c>
      <c r="H1252">
        <f>AVERAGEIFS(Table1[value],Table1[IndicatorCode],Table1[[#This Row],[IndicatorCode]])</f>
        <v>99.756410256410263</v>
      </c>
      <c r="I1252" cm="1">
        <f t="array" ref="I1252">_xlfn.STDEV.P(IF(Table1[IndicatorCode]=Table1[[#This Row],[IndicatorCode]],Table1[value]))</f>
        <v>1.1047979755287356</v>
      </c>
      <c r="J1252">
        <f>(Table1[[#This Row],[value]] - Table1[[#This Row],[mean]]) / Table1[[#This Row],[std_dev]]</f>
        <v>0.22048351733552002</v>
      </c>
      <c r="K1252">
        <f>AVERAGEIF(Table1[CountryCode],Table1[[#This Row],[CountryCode]],Table1[z-score])</f>
        <v>1.8607276946173743</v>
      </c>
      <c r="L1252" t="e">
        <f>VLOOKUP(Table1[[#This Row],[CountryCode]],[1]!Table1[#All],1,FALSE)</f>
        <v>#REF!</v>
      </c>
    </row>
    <row r="1253" spans="1:12" hidden="1" x14ac:dyDescent="0.3">
      <c r="A1253" t="s">
        <v>85</v>
      </c>
      <c r="B1253" t="s">
        <v>86</v>
      </c>
      <c r="C1253" t="s">
        <v>9</v>
      </c>
      <c r="D1253" t="s">
        <v>10</v>
      </c>
      <c r="E1253">
        <v>1990</v>
      </c>
      <c r="F1253" s="1">
        <v>100</v>
      </c>
      <c r="G1253">
        <v>1990</v>
      </c>
      <c r="H1253">
        <f>AVERAGEIFS(Table1[value],Table1[IndicatorCode],Table1[[#This Row],[IndicatorCode]])</f>
        <v>99.756410256410263</v>
      </c>
      <c r="I1253" cm="1">
        <f t="array" ref="I1253">_xlfn.STDEV.P(IF(Table1[IndicatorCode]=Table1[[#This Row],[IndicatorCode]],Table1[value]))</f>
        <v>1.1047979755287356</v>
      </c>
      <c r="J1253">
        <f>(Table1[[#This Row],[value]] - Table1[[#This Row],[mean]]) / Table1[[#This Row],[std_dev]]</f>
        <v>0.22048351733552002</v>
      </c>
      <c r="K1253">
        <f>AVERAGEIF(Table1[CountryCode],Table1[[#This Row],[CountryCode]],Table1[z-score])</f>
        <v>-0.61357720348444234</v>
      </c>
      <c r="L1253" t="e">
        <f>VLOOKUP(Table1[[#This Row],[CountryCode]],[1]!Table1[#All],1,FALSE)</f>
        <v>#REF!</v>
      </c>
    </row>
    <row r="1254" spans="1:12" hidden="1" x14ac:dyDescent="0.3">
      <c r="A1254" t="s">
        <v>85</v>
      </c>
      <c r="B1254" t="s">
        <v>86</v>
      </c>
      <c r="C1254" t="s">
        <v>9</v>
      </c>
      <c r="D1254" t="s">
        <v>10</v>
      </c>
      <c r="E1254">
        <v>1991</v>
      </c>
      <c r="F1254" s="1">
        <v>100</v>
      </c>
      <c r="G1254">
        <v>1990</v>
      </c>
      <c r="H1254">
        <f>AVERAGEIFS(Table1[value],Table1[IndicatorCode],Table1[[#This Row],[IndicatorCode]])</f>
        <v>99.756410256410263</v>
      </c>
      <c r="I1254" cm="1">
        <f t="array" ref="I1254">_xlfn.STDEV.P(IF(Table1[IndicatorCode]=Table1[[#This Row],[IndicatorCode]],Table1[value]))</f>
        <v>1.1047979755287356</v>
      </c>
      <c r="J1254">
        <f>(Table1[[#This Row],[value]] - Table1[[#This Row],[mean]]) / Table1[[#This Row],[std_dev]]</f>
        <v>0.22048351733552002</v>
      </c>
      <c r="K1254">
        <f>AVERAGEIF(Table1[CountryCode],Table1[[#This Row],[CountryCode]],Table1[z-score])</f>
        <v>-0.61357720348444234</v>
      </c>
      <c r="L1254" t="e">
        <f>VLOOKUP(Table1[[#This Row],[CountryCode]],[1]!Table1[#All],1,FALSE)</f>
        <v>#REF!</v>
      </c>
    </row>
    <row r="1255" spans="1:12" hidden="1" x14ac:dyDescent="0.3">
      <c r="A1255" t="s">
        <v>85</v>
      </c>
      <c r="B1255" t="s">
        <v>86</v>
      </c>
      <c r="C1255" t="s">
        <v>9</v>
      </c>
      <c r="D1255" t="s">
        <v>10</v>
      </c>
      <c r="E1255">
        <v>1992</v>
      </c>
      <c r="F1255" s="1">
        <v>100</v>
      </c>
      <c r="G1255">
        <v>1990</v>
      </c>
      <c r="H1255">
        <f>AVERAGEIFS(Table1[value],Table1[IndicatorCode],Table1[[#This Row],[IndicatorCode]])</f>
        <v>99.756410256410263</v>
      </c>
      <c r="I1255" cm="1">
        <f t="array" ref="I1255">_xlfn.STDEV.P(IF(Table1[IndicatorCode]=Table1[[#This Row],[IndicatorCode]],Table1[value]))</f>
        <v>1.1047979755287356</v>
      </c>
      <c r="J1255">
        <f>(Table1[[#This Row],[value]] - Table1[[#This Row],[mean]]) / Table1[[#This Row],[std_dev]]</f>
        <v>0.22048351733552002</v>
      </c>
      <c r="K1255">
        <f>AVERAGEIF(Table1[CountryCode],Table1[[#This Row],[CountryCode]],Table1[z-score])</f>
        <v>-0.61357720348444234</v>
      </c>
      <c r="L1255" t="e">
        <f>VLOOKUP(Table1[[#This Row],[CountryCode]],[1]!Table1[#All],1,FALSE)</f>
        <v>#REF!</v>
      </c>
    </row>
    <row r="1256" spans="1:12" hidden="1" x14ac:dyDescent="0.3">
      <c r="A1256" t="s">
        <v>85</v>
      </c>
      <c r="B1256" t="s">
        <v>86</v>
      </c>
      <c r="C1256" t="s">
        <v>9</v>
      </c>
      <c r="D1256" t="s">
        <v>10</v>
      </c>
      <c r="E1256">
        <v>1993</v>
      </c>
      <c r="F1256" s="1">
        <v>100</v>
      </c>
      <c r="G1256">
        <v>1990</v>
      </c>
      <c r="H1256">
        <f>AVERAGEIFS(Table1[value],Table1[IndicatorCode],Table1[[#This Row],[IndicatorCode]])</f>
        <v>99.756410256410263</v>
      </c>
      <c r="I1256" cm="1">
        <f t="array" ref="I1256">_xlfn.STDEV.P(IF(Table1[IndicatorCode]=Table1[[#This Row],[IndicatorCode]],Table1[value]))</f>
        <v>1.1047979755287356</v>
      </c>
      <c r="J1256">
        <f>(Table1[[#This Row],[value]] - Table1[[#This Row],[mean]]) / Table1[[#This Row],[std_dev]]</f>
        <v>0.22048351733552002</v>
      </c>
      <c r="K1256">
        <f>AVERAGEIF(Table1[CountryCode],Table1[[#This Row],[CountryCode]],Table1[z-score])</f>
        <v>-0.61357720348444234</v>
      </c>
      <c r="L1256" t="e">
        <f>VLOOKUP(Table1[[#This Row],[CountryCode]],[1]!Table1[#All],1,FALSE)</f>
        <v>#REF!</v>
      </c>
    </row>
    <row r="1257" spans="1:12" hidden="1" x14ac:dyDescent="0.3">
      <c r="A1257" t="s">
        <v>85</v>
      </c>
      <c r="B1257" t="s">
        <v>86</v>
      </c>
      <c r="C1257" t="s">
        <v>9</v>
      </c>
      <c r="D1257" t="s">
        <v>10</v>
      </c>
      <c r="E1257">
        <v>1994</v>
      </c>
      <c r="F1257" s="1">
        <v>100</v>
      </c>
      <c r="G1257">
        <v>1990</v>
      </c>
      <c r="H1257">
        <f>AVERAGEIFS(Table1[value],Table1[IndicatorCode],Table1[[#This Row],[IndicatorCode]])</f>
        <v>99.756410256410263</v>
      </c>
      <c r="I1257" cm="1">
        <f t="array" ref="I1257">_xlfn.STDEV.P(IF(Table1[IndicatorCode]=Table1[[#This Row],[IndicatorCode]],Table1[value]))</f>
        <v>1.1047979755287356</v>
      </c>
      <c r="J1257">
        <f>(Table1[[#This Row],[value]] - Table1[[#This Row],[mean]]) / Table1[[#This Row],[std_dev]]</f>
        <v>0.22048351733552002</v>
      </c>
      <c r="K1257">
        <f>AVERAGEIF(Table1[CountryCode],Table1[[#This Row],[CountryCode]],Table1[z-score])</f>
        <v>-0.61357720348444234</v>
      </c>
      <c r="L1257" t="e">
        <f>VLOOKUP(Table1[[#This Row],[CountryCode]],[1]!Table1[#All],1,FALSE)</f>
        <v>#REF!</v>
      </c>
    </row>
    <row r="1258" spans="1:12" hidden="1" x14ac:dyDescent="0.3">
      <c r="A1258" t="s">
        <v>85</v>
      </c>
      <c r="B1258" t="s">
        <v>86</v>
      </c>
      <c r="C1258" t="s">
        <v>9</v>
      </c>
      <c r="D1258" t="s">
        <v>10</v>
      </c>
      <c r="E1258">
        <v>1995</v>
      </c>
      <c r="F1258" s="1">
        <v>100</v>
      </c>
      <c r="G1258">
        <v>1990</v>
      </c>
      <c r="H1258">
        <f>AVERAGEIFS(Table1[value],Table1[IndicatorCode],Table1[[#This Row],[IndicatorCode]])</f>
        <v>99.756410256410263</v>
      </c>
      <c r="I1258" cm="1">
        <f t="array" ref="I1258">_xlfn.STDEV.P(IF(Table1[IndicatorCode]=Table1[[#This Row],[IndicatorCode]],Table1[value]))</f>
        <v>1.1047979755287356</v>
      </c>
      <c r="J1258">
        <f>(Table1[[#This Row],[value]] - Table1[[#This Row],[mean]]) / Table1[[#This Row],[std_dev]]</f>
        <v>0.22048351733552002</v>
      </c>
      <c r="K1258">
        <f>AVERAGEIF(Table1[CountryCode],Table1[[#This Row],[CountryCode]],Table1[z-score])</f>
        <v>-0.61357720348444234</v>
      </c>
      <c r="L1258" t="e">
        <f>VLOOKUP(Table1[[#This Row],[CountryCode]],[1]!Table1[#All],1,FALSE)</f>
        <v>#REF!</v>
      </c>
    </row>
    <row r="1259" spans="1:12" hidden="1" x14ac:dyDescent="0.3">
      <c r="A1259" t="s">
        <v>85</v>
      </c>
      <c r="B1259" t="s">
        <v>86</v>
      </c>
      <c r="C1259" t="s">
        <v>9</v>
      </c>
      <c r="D1259" t="s">
        <v>10</v>
      </c>
      <c r="E1259">
        <v>1996</v>
      </c>
      <c r="F1259" s="1">
        <v>100</v>
      </c>
      <c r="G1259">
        <v>1990</v>
      </c>
      <c r="H1259">
        <f>AVERAGEIFS(Table1[value],Table1[IndicatorCode],Table1[[#This Row],[IndicatorCode]])</f>
        <v>99.756410256410263</v>
      </c>
      <c r="I1259" cm="1">
        <f t="array" ref="I1259">_xlfn.STDEV.P(IF(Table1[IndicatorCode]=Table1[[#This Row],[IndicatorCode]],Table1[value]))</f>
        <v>1.1047979755287356</v>
      </c>
      <c r="J1259">
        <f>(Table1[[#This Row],[value]] - Table1[[#This Row],[mean]]) / Table1[[#This Row],[std_dev]]</f>
        <v>0.22048351733552002</v>
      </c>
      <c r="K1259">
        <f>AVERAGEIF(Table1[CountryCode],Table1[[#This Row],[CountryCode]],Table1[z-score])</f>
        <v>-0.61357720348444234</v>
      </c>
      <c r="L1259" t="e">
        <f>VLOOKUP(Table1[[#This Row],[CountryCode]],[1]!Table1[#All],1,FALSE)</f>
        <v>#REF!</v>
      </c>
    </row>
    <row r="1260" spans="1:12" hidden="1" x14ac:dyDescent="0.3">
      <c r="A1260" t="s">
        <v>85</v>
      </c>
      <c r="B1260" t="s">
        <v>86</v>
      </c>
      <c r="C1260" t="s">
        <v>9</v>
      </c>
      <c r="D1260" t="s">
        <v>10</v>
      </c>
      <c r="E1260">
        <v>1997</v>
      </c>
      <c r="F1260" s="1">
        <v>100</v>
      </c>
      <c r="G1260">
        <v>2000</v>
      </c>
      <c r="H1260">
        <f>AVERAGEIFS(Table1[value],Table1[IndicatorCode],Table1[[#This Row],[IndicatorCode]])</f>
        <v>99.756410256410263</v>
      </c>
      <c r="I1260" cm="1">
        <f t="array" ref="I1260">_xlfn.STDEV.P(IF(Table1[IndicatorCode]=Table1[[#This Row],[IndicatorCode]],Table1[value]))</f>
        <v>1.1047979755287356</v>
      </c>
      <c r="J1260">
        <f>(Table1[[#This Row],[value]] - Table1[[#This Row],[mean]]) / Table1[[#This Row],[std_dev]]</f>
        <v>0.22048351733552002</v>
      </c>
      <c r="K1260">
        <f>AVERAGEIF(Table1[CountryCode],Table1[[#This Row],[CountryCode]],Table1[z-score])</f>
        <v>-0.61357720348444234</v>
      </c>
      <c r="L1260" t="e">
        <f>VLOOKUP(Table1[[#This Row],[CountryCode]],[1]!Table1[#All],1,FALSE)</f>
        <v>#REF!</v>
      </c>
    </row>
    <row r="1261" spans="1:12" hidden="1" x14ac:dyDescent="0.3">
      <c r="A1261" t="s">
        <v>85</v>
      </c>
      <c r="B1261" t="s">
        <v>86</v>
      </c>
      <c r="C1261" t="s">
        <v>9</v>
      </c>
      <c r="D1261" t="s">
        <v>10</v>
      </c>
      <c r="E1261">
        <v>1998</v>
      </c>
      <c r="F1261" s="1">
        <v>100</v>
      </c>
      <c r="G1261">
        <v>2000</v>
      </c>
      <c r="H1261">
        <f>AVERAGEIFS(Table1[value],Table1[IndicatorCode],Table1[[#This Row],[IndicatorCode]])</f>
        <v>99.756410256410263</v>
      </c>
      <c r="I1261" cm="1">
        <f t="array" ref="I1261">_xlfn.STDEV.P(IF(Table1[IndicatorCode]=Table1[[#This Row],[IndicatorCode]],Table1[value]))</f>
        <v>1.1047979755287356</v>
      </c>
      <c r="J1261">
        <f>(Table1[[#This Row],[value]] - Table1[[#This Row],[mean]]) / Table1[[#This Row],[std_dev]]</f>
        <v>0.22048351733552002</v>
      </c>
      <c r="K1261">
        <f>AVERAGEIF(Table1[CountryCode],Table1[[#This Row],[CountryCode]],Table1[z-score])</f>
        <v>-0.61357720348444234</v>
      </c>
      <c r="L1261" t="e">
        <f>VLOOKUP(Table1[[#This Row],[CountryCode]],[1]!Table1[#All],1,FALSE)</f>
        <v>#REF!</v>
      </c>
    </row>
    <row r="1262" spans="1:12" hidden="1" x14ac:dyDescent="0.3">
      <c r="A1262" t="s">
        <v>85</v>
      </c>
      <c r="B1262" t="s">
        <v>86</v>
      </c>
      <c r="C1262" t="s">
        <v>9</v>
      </c>
      <c r="D1262" t="s">
        <v>10</v>
      </c>
      <c r="E1262">
        <v>1999</v>
      </c>
      <c r="F1262" s="1">
        <v>100</v>
      </c>
      <c r="G1262">
        <v>2000</v>
      </c>
      <c r="H1262">
        <f>AVERAGEIFS(Table1[value],Table1[IndicatorCode],Table1[[#This Row],[IndicatorCode]])</f>
        <v>99.756410256410263</v>
      </c>
      <c r="I1262" cm="1">
        <f t="array" ref="I1262">_xlfn.STDEV.P(IF(Table1[IndicatorCode]=Table1[[#This Row],[IndicatorCode]],Table1[value]))</f>
        <v>1.1047979755287356</v>
      </c>
      <c r="J1262">
        <f>(Table1[[#This Row],[value]] - Table1[[#This Row],[mean]]) / Table1[[#This Row],[std_dev]]</f>
        <v>0.22048351733552002</v>
      </c>
      <c r="K1262">
        <f>AVERAGEIF(Table1[CountryCode],Table1[[#This Row],[CountryCode]],Table1[z-score])</f>
        <v>-0.61357720348444234</v>
      </c>
      <c r="L1262" t="e">
        <f>VLOOKUP(Table1[[#This Row],[CountryCode]],[1]!Table1[#All],1,FALSE)</f>
        <v>#REF!</v>
      </c>
    </row>
    <row r="1263" spans="1:12" hidden="1" x14ac:dyDescent="0.3">
      <c r="A1263" t="s">
        <v>85</v>
      </c>
      <c r="B1263" t="s">
        <v>86</v>
      </c>
      <c r="C1263" t="s">
        <v>9</v>
      </c>
      <c r="D1263" t="s">
        <v>10</v>
      </c>
      <c r="E1263">
        <v>2000</v>
      </c>
      <c r="F1263" s="1">
        <v>99</v>
      </c>
      <c r="G1263">
        <v>2000</v>
      </c>
      <c r="H1263">
        <f>AVERAGEIFS(Table1[value],Table1[IndicatorCode],Table1[[#This Row],[IndicatorCode]])</f>
        <v>99.756410256410263</v>
      </c>
      <c r="I1263" cm="1">
        <f t="array" ref="I1263">_xlfn.STDEV.P(IF(Table1[IndicatorCode]=Table1[[#This Row],[IndicatorCode]],Table1[value]))</f>
        <v>1.1047979755287356</v>
      </c>
      <c r="J1263">
        <f>(Table1[[#This Row],[value]] - Table1[[#This Row],[mean]]) / Table1[[#This Row],[std_dev]]</f>
        <v>-0.68465934330505884</v>
      </c>
      <c r="K1263">
        <f>AVERAGEIF(Table1[CountryCode],Table1[[#This Row],[CountryCode]],Table1[z-score])</f>
        <v>-0.61357720348444234</v>
      </c>
      <c r="L1263" t="e">
        <f>VLOOKUP(Table1[[#This Row],[CountryCode]],[1]!Table1[#All],1,FALSE)</f>
        <v>#REF!</v>
      </c>
    </row>
    <row r="1264" spans="1:12" hidden="1" x14ac:dyDescent="0.3">
      <c r="A1264" t="s">
        <v>85</v>
      </c>
      <c r="B1264" t="s">
        <v>86</v>
      </c>
      <c r="C1264" t="s">
        <v>9</v>
      </c>
      <c r="D1264" t="s">
        <v>10</v>
      </c>
      <c r="E1264">
        <v>2001</v>
      </c>
      <c r="F1264" s="1">
        <v>99</v>
      </c>
      <c r="G1264">
        <v>2000</v>
      </c>
      <c r="H1264">
        <f>AVERAGEIFS(Table1[value],Table1[IndicatorCode],Table1[[#This Row],[IndicatorCode]])</f>
        <v>99.756410256410263</v>
      </c>
      <c r="I1264" cm="1">
        <f t="array" ref="I1264">_xlfn.STDEV.P(IF(Table1[IndicatorCode]=Table1[[#This Row],[IndicatorCode]],Table1[value]))</f>
        <v>1.1047979755287356</v>
      </c>
      <c r="J1264">
        <f>(Table1[[#This Row],[value]] - Table1[[#This Row],[mean]]) / Table1[[#This Row],[std_dev]]</f>
        <v>-0.68465934330505884</v>
      </c>
      <c r="K1264">
        <f>AVERAGEIF(Table1[CountryCode],Table1[[#This Row],[CountryCode]],Table1[z-score])</f>
        <v>-0.61357720348444234</v>
      </c>
      <c r="L1264" t="e">
        <f>VLOOKUP(Table1[[#This Row],[CountryCode]],[1]!Table1[#All],1,FALSE)</f>
        <v>#REF!</v>
      </c>
    </row>
    <row r="1265" spans="1:12" hidden="1" x14ac:dyDescent="0.3">
      <c r="A1265" t="s">
        <v>85</v>
      </c>
      <c r="B1265" t="s">
        <v>86</v>
      </c>
      <c r="C1265" t="s">
        <v>9</v>
      </c>
      <c r="D1265" t="s">
        <v>10</v>
      </c>
      <c r="E1265">
        <v>2002</v>
      </c>
      <c r="F1265" s="1">
        <v>99</v>
      </c>
      <c r="G1265">
        <v>2000</v>
      </c>
      <c r="H1265">
        <f>AVERAGEIFS(Table1[value],Table1[IndicatorCode],Table1[[#This Row],[IndicatorCode]])</f>
        <v>99.756410256410263</v>
      </c>
      <c r="I1265" cm="1">
        <f t="array" ref="I1265">_xlfn.STDEV.P(IF(Table1[IndicatorCode]=Table1[[#This Row],[IndicatorCode]],Table1[value]))</f>
        <v>1.1047979755287356</v>
      </c>
      <c r="J1265">
        <f>(Table1[[#This Row],[value]] - Table1[[#This Row],[mean]]) / Table1[[#This Row],[std_dev]]</f>
        <v>-0.68465934330505884</v>
      </c>
      <c r="K1265">
        <f>AVERAGEIF(Table1[CountryCode],Table1[[#This Row],[CountryCode]],Table1[z-score])</f>
        <v>-0.61357720348444234</v>
      </c>
      <c r="L1265" t="e">
        <f>VLOOKUP(Table1[[#This Row],[CountryCode]],[1]!Table1[#All],1,FALSE)</f>
        <v>#REF!</v>
      </c>
    </row>
    <row r="1266" spans="1:12" hidden="1" x14ac:dyDescent="0.3">
      <c r="A1266" t="s">
        <v>85</v>
      </c>
      <c r="B1266" t="s">
        <v>86</v>
      </c>
      <c r="C1266" t="s">
        <v>9</v>
      </c>
      <c r="D1266" t="s">
        <v>10</v>
      </c>
      <c r="E1266">
        <v>2003</v>
      </c>
      <c r="F1266" s="1">
        <v>99</v>
      </c>
      <c r="G1266">
        <v>2000</v>
      </c>
      <c r="H1266">
        <f>AVERAGEIFS(Table1[value],Table1[IndicatorCode],Table1[[#This Row],[IndicatorCode]])</f>
        <v>99.756410256410263</v>
      </c>
      <c r="I1266" cm="1">
        <f t="array" ref="I1266">_xlfn.STDEV.P(IF(Table1[IndicatorCode]=Table1[[#This Row],[IndicatorCode]],Table1[value]))</f>
        <v>1.1047979755287356</v>
      </c>
      <c r="J1266">
        <f>(Table1[[#This Row],[value]] - Table1[[#This Row],[mean]]) / Table1[[#This Row],[std_dev]]</f>
        <v>-0.68465934330505884</v>
      </c>
      <c r="K1266">
        <f>AVERAGEIF(Table1[CountryCode],Table1[[#This Row],[CountryCode]],Table1[z-score])</f>
        <v>-0.61357720348444234</v>
      </c>
      <c r="L1266" t="e">
        <f>VLOOKUP(Table1[[#This Row],[CountryCode]],[1]!Table1[#All],1,FALSE)</f>
        <v>#REF!</v>
      </c>
    </row>
    <row r="1267" spans="1:12" hidden="1" x14ac:dyDescent="0.3">
      <c r="A1267" t="s">
        <v>85</v>
      </c>
      <c r="B1267" t="s">
        <v>86</v>
      </c>
      <c r="C1267" t="s">
        <v>9</v>
      </c>
      <c r="D1267" t="s">
        <v>10</v>
      </c>
      <c r="E1267">
        <v>2004</v>
      </c>
      <c r="F1267" s="1">
        <v>99</v>
      </c>
      <c r="G1267">
        <v>2000</v>
      </c>
      <c r="H1267">
        <f>AVERAGEIFS(Table1[value],Table1[IndicatorCode],Table1[[#This Row],[IndicatorCode]])</f>
        <v>99.756410256410263</v>
      </c>
      <c r="I1267" cm="1">
        <f t="array" ref="I1267">_xlfn.STDEV.P(IF(Table1[IndicatorCode]=Table1[[#This Row],[IndicatorCode]],Table1[value]))</f>
        <v>1.1047979755287356</v>
      </c>
      <c r="J1267">
        <f>(Table1[[#This Row],[value]] - Table1[[#This Row],[mean]]) / Table1[[#This Row],[std_dev]]</f>
        <v>-0.68465934330505884</v>
      </c>
      <c r="K1267">
        <f>AVERAGEIF(Table1[CountryCode],Table1[[#This Row],[CountryCode]],Table1[z-score])</f>
        <v>-0.61357720348444234</v>
      </c>
      <c r="L1267" t="e">
        <f>VLOOKUP(Table1[[#This Row],[CountryCode]],[1]!Table1[#All],1,FALSE)</f>
        <v>#REF!</v>
      </c>
    </row>
    <row r="1268" spans="1:12" hidden="1" x14ac:dyDescent="0.3">
      <c r="A1268" t="s">
        <v>85</v>
      </c>
      <c r="B1268" t="s">
        <v>86</v>
      </c>
      <c r="C1268" t="s">
        <v>9</v>
      </c>
      <c r="D1268" t="s">
        <v>10</v>
      </c>
      <c r="E1268">
        <v>2005</v>
      </c>
      <c r="F1268" s="1">
        <v>99</v>
      </c>
      <c r="G1268">
        <v>2000</v>
      </c>
      <c r="H1268">
        <f>AVERAGEIFS(Table1[value],Table1[IndicatorCode],Table1[[#This Row],[IndicatorCode]])</f>
        <v>99.756410256410263</v>
      </c>
      <c r="I1268" cm="1">
        <f t="array" ref="I1268">_xlfn.STDEV.P(IF(Table1[IndicatorCode]=Table1[[#This Row],[IndicatorCode]],Table1[value]))</f>
        <v>1.1047979755287356</v>
      </c>
      <c r="J1268">
        <f>(Table1[[#This Row],[value]] - Table1[[#This Row],[mean]]) / Table1[[#This Row],[std_dev]]</f>
        <v>-0.68465934330505884</v>
      </c>
      <c r="K1268">
        <f>AVERAGEIF(Table1[CountryCode],Table1[[#This Row],[CountryCode]],Table1[z-score])</f>
        <v>-0.61357720348444234</v>
      </c>
      <c r="L1268" t="e">
        <f>VLOOKUP(Table1[[#This Row],[CountryCode]],[1]!Table1[#All],1,FALSE)</f>
        <v>#REF!</v>
      </c>
    </row>
    <row r="1269" spans="1:12" hidden="1" x14ac:dyDescent="0.3">
      <c r="A1269" t="s">
        <v>85</v>
      </c>
      <c r="B1269" t="s">
        <v>86</v>
      </c>
      <c r="C1269" t="s">
        <v>9</v>
      </c>
      <c r="D1269" t="s">
        <v>10</v>
      </c>
      <c r="E1269">
        <v>2006</v>
      </c>
      <c r="F1269" s="1">
        <v>99</v>
      </c>
      <c r="G1269">
        <v>2000</v>
      </c>
      <c r="H1269">
        <f>AVERAGEIFS(Table1[value],Table1[IndicatorCode],Table1[[#This Row],[IndicatorCode]])</f>
        <v>99.756410256410263</v>
      </c>
      <c r="I1269" cm="1">
        <f t="array" ref="I1269">_xlfn.STDEV.P(IF(Table1[IndicatorCode]=Table1[[#This Row],[IndicatorCode]],Table1[value]))</f>
        <v>1.1047979755287356</v>
      </c>
      <c r="J1269">
        <f>(Table1[[#This Row],[value]] - Table1[[#This Row],[mean]]) / Table1[[#This Row],[std_dev]]</f>
        <v>-0.68465934330505884</v>
      </c>
      <c r="K1269">
        <f>AVERAGEIF(Table1[CountryCode],Table1[[#This Row],[CountryCode]],Table1[z-score])</f>
        <v>-0.61357720348444234</v>
      </c>
      <c r="L1269" t="e">
        <f>VLOOKUP(Table1[[#This Row],[CountryCode]],[1]!Table1[#All],1,FALSE)</f>
        <v>#REF!</v>
      </c>
    </row>
    <row r="1270" spans="1:12" hidden="1" x14ac:dyDescent="0.3">
      <c r="A1270" t="s">
        <v>85</v>
      </c>
      <c r="B1270" t="s">
        <v>86</v>
      </c>
      <c r="C1270" t="s">
        <v>9</v>
      </c>
      <c r="D1270" t="s">
        <v>10</v>
      </c>
      <c r="E1270">
        <v>2007</v>
      </c>
      <c r="F1270" s="1">
        <v>99</v>
      </c>
      <c r="G1270">
        <v>2010</v>
      </c>
      <c r="H1270">
        <f>AVERAGEIFS(Table1[value],Table1[IndicatorCode],Table1[[#This Row],[IndicatorCode]])</f>
        <v>99.756410256410263</v>
      </c>
      <c r="I1270" cm="1">
        <f t="array" ref="I1270">_xlfn.STDEV.P(IF(Table1[IndicatorCode]=Table1[[#This Row],[IndicatorCode]],Table1[value]))</f>
        <v>1.1047979755287356</v>
      </c>
      <c r="J1270">
        <f>(Table1[[#This Row],[value]] - Table1[[#This Row],[mean]]) / Table1[[#This Row],[std_dev]]</f>
        <v>-0.68465934330505884</v>
      </c>
      <c r="K1270">
        <f>AVERAGEIF(Table1[CountryCode],Table1[[#This Row],[CountryCode]],Table1[z-score])</f>
        <v>-0.61357720348444234</v>
      </c>
      <c r="L1270" t="e">
        <f>VLOOKUP(Table1[[#This Row],[CountryCode]],[1]!Table1[#All],1,FALSE)</f>
        <v>#REF!</v>
      </c>
    </row>
    <row r="1271" spans="1:12" hidden="1" x14ac:dyDescent="0.3">
      <c r="A1271" t="s">
        <v>85</v>
      </c>
      <c r="B1271" t="s">
        <v>86</v>
      </c>
      <c r="C1271" t="s">
        <v>9</v>
      </c>
      <c r="D1271" t="s">
        <v>10</v>
      </c>
      <c r="E1271">
        <v>2008</v>
      </c>
      <c r="F1271" s="1">
        <v>99</v>
      </c>
      <c r="G1271">
        <v>2010</v>
      </c>
      <c r="H1271">
        <f>AVERAGEIFS(Table1[value],Table1[IndicatorCode],Table1[[#This Row],[IndicatorCode]])</f>
        <v>99.756410256410263</v>
      </c>
      <c r="I1271" cm="1">
        <f t="array" ref="I1271">_xlfn.STDEV.P(IF(Table1[IndicatorCode]=Table1[[#This Row],[IndicatorCode]],Table1[value]))</f>
        <v>1.1047979755287356</v>
      </c>
      <c r="J1271">
        <f>(Table1[[#This Row],[value]] - Table1[[#This Row],[mean]]) / Table1[[#This Row],[std_dev]]</f>
        <v>-0.68465934330505884</v>
      </c>
      <c r="K1271">
        <f>AVERAGEIF(Table1[CountryCode],Table1[[#This Row],[CountryCode]],Table1[z-score])</f>
        <v>-0.61357720348444234</v>
      </c>
      <c r="L1271" t="e">
        <f>VLOOKUP(Table1[[#This Row],[CountryCode]],[1]!Table1[#All],1,FALSE)</f>
        <v>#REF!</v>
      </c>
    </row>
    <row r="1272" spans="1:12" hidden="1" x14ac:dyDescent="0.3">
      <c r="A1272" t="s">
        <v>85</v>
      </c>
      <c r="B1272" t="s">
        <v>86</v>
      </c>
      <c r="C1272" t="s">
        <v>9</v>
      </c>
      <c r="D1272" t="s">
        <v>10</v>
      </c>
      <c r="E1272">
        <v>2009</v>
      </c>
      <c r="F1272" s="1">
        <v>99</v>
      </c>
      <c r="G1272">
        <v>2010</v>
      </c>
      <c r="H1272">
        <f>AVERAGEIFS(Table1[value],Table1[IndicatorCode],Table1[[#This Row],[IndicatorCode]])</f>
        <v>99.756410256410263</v>
      </c>
      <c r="I1272" cm="1">
        <f t="array" ref="I1272">_xlfn.STDEV.P(IF(Table1[IndicatorCode]=Table1[[#This Row],[IndicatorCode]],Table1[value]))</f>
        <v>1.1047979755287356</v>
      </c>
      <c r="J1272">
        <f>(Table1[[#This Row],[value]] - Table1[[#This Row],[mean]]) / Table1[[#This Row],[std_dev]]</f>
        <v>-0.68465934330505884</v>
      </c>
      <c r="K1272">
        <f>AVERAGEIF(Table1[CountryCode],Table1[[#This Row],[CountryCode]],Table1[z-score])</f>
        <v>-0.61357720348444234</v>
      </c>
      <c r="L1272" t="e">
        <f>VLOOKUP(Table1[[#This Row],[CountryCode]],[1]!Table1[#All],1,FALSE)</f>
        <v>#REF!</v>
      </c>
    </row>
    <row r="1273" spans="1:12" hidden="1" x14ac:dyDescent="0.3">
      <c r="A1273" t="s">
        <v>85</v>
      </c>
      <c r="B1273" t="s">
        <v>86</v>
      </c>
      <c r="C1273" t="s">
        <v>9</v>
      </c>
      <c r="D1273" t="s">
        <v>10</v>
      </c>
      <c r="E1273">
        <v>2010</v>
      </c>
      <c r="F1273" s="1">
        <v>99</v>
      </c>
      <c r="G1273">
        <v>2010</v>
      </c>
      <c r="H1273">
        <f>AVERAGEIFS(Table1[value],Table1[IndicatorCode],Table1[[#This Row],[IndicatorCode]])</f>
        <v>99.756410256410263</v>
      </c>
      <c r="I1273" cm="1">
        <f t="array" ref="I1273">_xlfn.STDEV.P(IF(Table1[IndicatorCode]=Table1[[#This Row],[IndicatorCode]],Table1[value]))</f>
        <v>1.1047979755287356</v>
      </c>
      <c r="J1273">
        <f>(Table1[[#This Row],[value]] - Table1[[#This Row],[mean]]) / Table1[[#This Row],[std_dev]]</f>
        <v>-0.68465934330505884</v>
      </c>
      <c r="K1273">
        <f>AVERAGEIF(Table1[CountryCode],Table1[[#This Row],[CountryCode]],Table1[z-score])</f>
        <v>-0.61357720348444234</v>
      </c>
      <c r="L1273" t="e">
        <f>VLOOKUP(Table1[[#This Row],[CountryCode]],[1]!Table1[#All],1,FALSE)</f>
        <v>#REF!</v>
      </c>
    </row>
    <row r="1274" spans="1:12" hidden="1" x14ac:dyDescent="0.3">
      <c r="A1274" t="s">
        <v>85</v>
      </c>
      <c r="B1274" t="s">
        <v>86</v>
      </c>
      <c r="C1274" t="s">
        <v>9</v>
      </c>
      <c r="D1274" t="s">
        <v>10</v>
      </c>
      <c r="E1274">
        <v>2011</v>
      </c>
      <c r="F1274" s="1">
        <v>99</v>
      </c>
      <c r="G1274">
        <v>2010</v>
      </c>
      <c r="H1274">
        <f>AVERAGEIFS(Table1[value],Table1[IndicatorCode],Table1[[#This Row],[IndicatorCode]])</f>
        <v>99.756410256410263</v>
      </c>
      <c r="I1274" cm="1">
        <f t="array" ref="I1274">_xlfn.STDEV.P(IF(Table1[IndicatorCode]=Table1[[#This Row],[IndicatorCode]],Table1[value]))</f>
        <v>1.1047979755287356</v>
      </c>
      <c r="J1274">
        <f>(Table1[[#This Row],[value]] - Table1[[#This Row],[mean]]) / Table1[[#This Row],[std_dev]]</f>
        <v>-0.68465934330505884</v>
      </c>
      <c r="K1274">
        <f>AVERAGEIF(Table1[CountryCode],Table1[[#This Row],[CountryCode]],Table1[z-score])</f>
        <v>-0.61357720348444234</v>
      </c>
      <c r="L1274" t="e">
        <f>VLOOKUP(Table1[[#This Row],[CountryCode]],[1]!Table1[#All],1,FALSE)</f>
        <v>#REF!</v>
      </c>
    </row>
    <row r="1275" spans="1:12" hidden="1" x14ac:dyDescent="0.3">
      <c r="A1275" t="s">
        <v>85</v>
      </c>
      <c r="B1275" t="s">
        <v>86</v>
      </c>
      <c r="C1275" t="s">
        <v>9</v>
      </c>
      <c r="D1275" t="s">
        <v>10</v>
      </c>
      <c r="E1275">
        <v>2012</v>
      </c>
      <c r="F1275" s="1">
        <v>100</v>
      </c>
      <c r="G1275">
        <v>2010</v>
      </c>
      <c r="H1275">
        <f>AVERAGEIFS(Table1[value],Table1[IndicatorCode],Table1[[#This Row],[IndicatorCode]])</f>
        <v>99.756410256410263</v>
      </c>
      <c r="I1275" cm="1">
        <f t="array" ref="I1275">_xlfn.STDEV.P(IF(Table1[IndicatorCode]=Table1[[#This Row],[IndicatorCode]],Table1[value]))</f>
        <v>1.1047979755287356</v>
      </c>
      <c r="J1275">
        <f>(Table1[[#This Row],[value]] - Table1[[#This Row],[mean]]) / Table1[[#This Row],[std_dev]]</f>
        <v>0.22048351733552002</v>
      </c>
      <c r="K1275">
        <f>AVERAGEIF(Table1[CountryCode],Table1[[#This Row],[CountryCode]],Table1[z-score])</f>
        <v>-0.61357720348444234</v>
      </c>
      <c r="L1275" t="e">
        <f>VLOOKUP(Table1[[#This Row],[CountryCode]],[1]!Table1[#All],1,FALSE)</f>
        <v>#REF!</v>
      </c>
    </row>
    <row r="1276" spans="1:12" hidden="1" x14ac:dyDescent="0.3">
      <c r="A1276" t="s">
        <v>85</v>
      </c>
      <c r="B1276" t="s">
        <v>86</v>
      </c>
      <c r="C1276" t="s">
        <v>9</v>
      </c>
      <c r="D1276" t="s">
        <v>10</v>
      </c>
      <c r="E1276">
        <v>2013</v>
      </c>
      <c r="F1276" s="1">
        <v>100</v>
      </c>
      <c r="G1276">
        <v>2010</v>
      </c>
      <c r="H1276">
        <f>AVERAGEIFS(Table1[value],Table1[IndicatorCode],Table1[[#This Row],[IndicatorCode]])</f>
        <v>99.756410256410263</v>
      </c>
      <c r="I1276" cm="1">
        <f t="array" ref="I1276">_xlfn.STDEV.P(IF(Table1[IndicatorCode]=Table1[[#This Row],[IndicatorCode]],Table1[value]))</f>
        <v>1.1047979755287356</v>
      </c>
      <c r="J1276">
        <f>(Table1[[#This Row],[value]] - Table1[[#This Row],[mean]]) / Table1[[#This Row],[std_dev]]</f>
        <v>0.22048351733552002</v>
      </c>
      <c r="K1276">
        <f>AVERAGEIF(Table1[CountryCode],Table1[[#This Row],[CountryCode]],Table1[z-score])</f>
        <v>-0.61357720348444234</v>
      </c>
      <c r="L1276" t="e">
        <f>VLOOKUP(Table1[[#This Row],[CountryCode]],[1]!Table1[#All],1,FALSE)</f>
        <v>#REF!</v>
      </c>
    </row>
    <row r="1277" spans="1:12" hidden="1" x14ac:dyDescent="0.3">
      <c r="A1277" t="s">
        <v>85</v>
      </c>
      <c r="B1277" t="s">
        <v>86</v>
      </c>
      <c r="C1277" t="s">
        <v>9</v>
      </c>
      <c r="D1277" t="s">
        <v>10</v>
      </c>
      <c r="E1277">
        <v>2014</v>
      </c>
      <c r="F1277" s="1">
        <v>100</v>
      </c>
      <c r="G1277">
        <v>2010</v>
      </c>
      <c r="H1277">
        <f>AVERAGEIFS(Table1[value],Table1[IndicatorCode],Table1[[#This Row],[IndicatorCode]])</f>
        <v>99.756410256410263</v>
      </c>
      <c r="I1277" cm="1">
        <f t="array" ref="I1277">_xlfn.STDEV.P(IF(Table1[IndicatorCode]=Table1[[#This Row],[IndicatorCode]],Table1[value]))</f>
        <v>1.1047979755287356</v>
      </c>
      <c r="J1277">
        <f>(Table1[[#This Row],[value]] - Table1[[#This Row],[mean]]) / Table1[[#This Row],[std_dev]]</f>
        <v>0.22048351733552002</v>
      </c>
      <c r="K1277">
        <f>AVERAGEIF(Table1[CountryCode],Table1[[#This Row],[CountryCode]],Table1[z-score])</f>
        <v>-0.61357720348444234</v>
      </c>
      <c r="L1277" t="e">
        <f>VLOOKUP(Table1[[#This Row],[CountryCode]],[1]!Table1[#All],1,FALSE)</f>
        <v>#REF!</v>
      </c>
    </row>
    <row r="1278" spans="1:12" hidden="1" x14ac:dyDescent="0.3">
      <c r="A1278" t="s">
        <v>85</v>
      </c>
      <c r="B1278" t="s">
        <v>86</v>
      </c>
      <c r="C1278" t="s">
        <v>9</v>
      </c>
      <c r="D1278" t="s">
        <v>10</v>
      </c>
      <c r="E1278">
        <v>2015</v>
      </c>
      <c r="F1278" s="1">
        <v>100</v>
      </c>
      <c r="G1278">
        <v>2010</v>
      </c>
      <c r="H1278">
        <f>AVERAGEIFS(Table1[value],Table1[IndicatorCode],Table1[[#This Row],[IndicatorCode]])</f>
        <v>99.756410256410263</v>
      </c>
      <c r="I1278" cm="1">
        <f t="array" ref="I1278">_xlfn.STDEV.P(IF(Table1[IndicatorCode]=Table1[[#This Row],[IndicatorCode]],Table1[value]))</f>
        <v>1.1047979755287356</v>
      </c>
      <c r="J1278">
        <f>(Table1[[#This Row],[value]] - Table1[[#This Row],[mean]]) / Table1[[#This Row],[std_dev]]</f>
        <v>0.22048351733552002</v>
      </c>
      <c r="K1278">
        <f>AVERAGEIF(Table1[CountryCode],Table1[[#This Row],[CountryCode]],Table1[z-score])</f>
        <v>-0.61357720348444234</v>
      </c>
      <c r="L1278" t="e">
        <f>VLOOKUP(Table1[[#This Row],[CountryCode]],[1]!Table1[#All],1,FALSE)</f>
        <v>#REF!</v>
      </c>
    </row>
    <row r="1279" spans="1:12" hidden="1" x14ac:dyDescent="0.3">
      <c r="A1279" t="s">
        <v>85</v>
      </c>
      <c r="B1279" t="s">
        <v>86</v>
      </c>
      <c r="C1279" t="s">
        <v>9</v>
      </c>
      <c r="D1279" t="s">
        <v>10</v>
      </c>
      <c r="E1279">
        <v>2016</v>
      </c>
      <c r="F1279" s="1">
        <v>100</v>
      </c>
      <c r="G1279">
        <v>2010</v>
      </c>
      <c r="H1279">
        <f>AVERAGEIFS(Table1[value],Table1[IndicatorCode],Table1[[#This Row],[IndicatorCode]])</f>
        <v>99.756410256410263</v>
      </c>
      <c r="I1279" cm="1">
        <f t="array" ref="I1279">_xlfn.STDEV.P(IF(Table1[IndicatorCode]=Table1[[#This Row],[IndicatorCode]],Table1[value]))</f>
        <v>1.1047979755287356</v>
      </c>
      <c r="J1279">
        <f>(Table1[[#This Row],[value]] - Table1[[#This Row],[mean]]) / Table1[[#This Row],[std_dev]]</f>
        <v>0.22048351733552002</v>
      </c>
      <c r="K1279">
        <f>AVERAGEIF(Table1[CountryCode],Table1[[#This Row],[CountryCode]],Table1[z-score])</f>
        <v>-0.61357720348444234</v>
      </c>
      <c r="L1279" t="e">
        <f>VLOOKUP(Table1[[#This Row],[CountryCode]],[1]!Table1[#All],1,FALSE)</f>
        <v>#REF!</v>
      </c>
    </row>
    <row r="1280" spans="1:12" hidden="1" x14ac:dyDescent="0.3">
      <c r="A1280" t="s">
        <v>85</v>
      </c>
      <c r="B1280" t="s">
        <v>86</v>
      </c>
      <c r="C1280" t="s">
        <v>9</v>
      </c>
      <c r="D1280" t="s">
        <v>10</v>
      </c>
      <c r="E1280">
        <v>2017</v>
      </c>
      <c r="F1280" s="1">
        <v>100</v>
      </c>
      <c r="G1280">
        <v>2020</v>
      </c>
      <c r="H1280">
        <f>AVERAGEIFS(Table1[value],Table1[IndicatorCode],Table1[[#This Row],[IndicatorCode]])</f>
        <v>99.756410256410263</v>
      </c>
      <c r="I1280" cm="1">
        <f t="array" ref="I1280">_xlfn.STDEV.P(IF(Table1[IndicatorCode]=Table1[[#This Row],[IndicatorCode]],Table1[value]))</f>
        <v>1.1047979755287356</v>
      </c>
      <c r="J1280">
        <f>(Table1[[#This Row],[value]] - Table1[[#This Row],[mean]]) / Table1[[#This Row],[std_dev]]</f>
        <v>0.22048351733552002</v>
      </c>
      <c r="K1280">
        <f>AVERAGEIF(Table1[CountryCode],Table1[[#This Row],[CountryCode]],Table1[z-score])</f>
        <v>-0.61357720348444234</v>
      </c>
      <c r="L1280" t="e">
        <f>VLOOKUP(Table1[[#This Row],[CountryCode]],[1]!Table1[#All],1,FALSE)</f>
        <v>#REF!</v>
      </c>
    </row>
    <row r="1281" spans="1:12" hidden="1" x14ac:dyDescent="0.3">
      <c r="A1281" t="s">
        <v>85</v>
      </c>
      <c r="B1281" t="s">
        <v>86</v>
      </c>
      <c r="C1281" t="s">
        <v>9</v>
      </c>
      <c r="D1281" t="s">
        <v>10</v>
      </c>
      <c r="E1281">
        <v>2018</v>
      </c>
      <c r="F1281" s="1">
        <v>100</v>
      </c>
      <c r="G1281">
        <v>2020</v>
      </c>
      <c r="H1281">
        <f>AVERAGEIFS(Table1[value],Table1[IndicatorCode],Table1[[#This Row],[IndicatorCode]])</f>
        <v>99.756410256410263</v>
      </c>
      <c r="I1281" cm="1">
        <f t="array" ref="I1281">_xlfn.STDEV.P(IF(Table1[IndicatorCode]=Table1[[#This Row],[IndicatorCode]],Table1[value]))</f>
        <v>1.1047979755287356</v>
      </c>
      <c r="J1281">
        <f>(Table1[[#This Row],[value]] - Table1[[#This Row],[mean]]) / Table1[[#This Row],[std_dev]]</f>
        <v>0.22048351733552002</v>
      </c>
      <c r="K1281">
        <f>AVERAGEIF(Table1[CountryCode],Table1[[#This Row],[CountryCode]],Table1[z-score])</f>
        <v>-0.61357720348444234</v>
      </c>
      <c r="L1281" t="e">
        <f>VLOOKUP(Table1[[#This Row],[CountryCode]],[1]!Table1[#All],1,FALSE)</f>
        <v>#REF!</v>
      </c>
    </row>
    <row r="1282" spans="1:12" hidden="1" x14ac:dyDescent="0.3">
      <c r="A1282" t="s">
        <v>85</v>
      </c>
      <c r="B1282" t="s">
        <v>86</v>
      </c>
      <c r="C1282" t="s">
        <v>9</v>
      </c>
      <c r="D1282" t="s">
        <v>10</v>
      </c>
      <c r="E1282">
        <v>2019</v>
      </c>
      <c r="F1282" s="1">
        <v>100</v>
      </c>
      <c r="G1282">
        <v>2020</v>
      </c>
      <c r="H1282">
        <f>AVERAGEIFS(Table1[value],Table1[IndicatorCode],Table1[[#This Row],[IndicatorCode]])</f>
        <v>99.756410256410263</v>
      </c>
      <c r="I1282" cm="1">
        <f t="array" ref="I1282">_xlfn.STDEV.P(IF(Table1[IndicatorCode]=Table1[[#This Row],[IndicatorCode]],Table1[value]))</f>
        <v>1.1047979755287356</v>
      </c>
      <c r="J1282">
        <f>(Table1[[#This Row],[value]] - Table1[[#This Row],[mean]]) / Table1[[#This Row],[std_dev]]</f>
        <v>0.22048351733552002</v>
      </c>
      <c r="K1282">
        <f>AVERAGEIF(Table1[CountryCode],Table1[[#This Row],[CountryCode]],Table1[z-score])</f>
        <v>-0.61357720348444234</v>
      </c>
      <c r="L1282" t="e">
        <f>VLOOKUP(Table1[[#This Row],[CountryCode]],[1]!Table1[#All],1,FALSE)</f>
        <v>#REF!</v>
      </c>
    </row>
    <row r="1283" spans="1:12" x14ac:dyDescent="0.3">
      <c r="A1283" t="s">
        <v>85</v>
      </c>
      <c r="B1283" t="s">
        <v>86</v>
      </c>
      <c r="C1283" t="s">
        <v>9</v>
      </c>
      <c r="D1283" t="s">
        <v>10</v>
      </c>
      <c r="E1283">
        <v>2020</v>
      </c>
      <c r="F1283" s="1">
        <v>100</v>
      </c>
      <c r="G1283">
        <v>2020</v>
      </c>
      <c r="H1283">
        <f>AVERAGEIFS(Table1[value],Table1[IndicatorCode],Table1[[#This Row],[IndicatorCode]])</f>
        <v>99.756410256410263</v>
      </c>
      <c r="I1283" cm="1">
        <f t="array" ref="I1283">_xlfn.STDEV.P(IF(Table1[IndicatorCode]=Table1[[#This Row],[IndicatorCode]],Table1[value]))</f>
        <v>1.1047979755287356</v>
      </c>
      <c r="J1283">
        <f>(Table1[[#This Row],[value]] - Table1[[#This Row],[mean]]) / Table1[[#This Row],[std_dev]]</f>
        <v>0.22048351733552002</v>
      </c>
      <c r="K1283">
        <f>AVERAGEIF(Table1[CountryCode],Table1[[#This Row],[CountryCode]],Table1[z-score])</f>
        <v>-0.61357720348444234</v>
      </c>
    </row>
    <row r="1284" spans="1:12" hidden="1" x14ac:dyDescent="0.3">
      <c r="A1284" t="s">
        <v>85</v>
      </c>
      <c r="B1284" t="s">
        <v>86</v>
      </c>
      <c r="C1284" t="s">
        <v>9</v>
      </c>
      <c r="D1284" t="s">
        <v>10</v>
      </c>
      <c r="E1284">
        <v>2021</v>
      </c>
      <c r="F1284" s="1">
        <v>100</v>
      </c>
      <c r="G1284">
        <v>1990</v>
      </c>
      <c r="H1284">
        <f>AVERAGEIFS(Table1[value],Table1[IndicatorCode],Table1[[#This Row],[IndicatorCode]])</f>
        <v>99.756410256410263</v>
      </c>
      <c r="I1284" cm="1">
        <f t="array" ref="I1284">_xlfn.STDEV.P(IF(Table1[IndicatorCode]=Table1[[#This Row],[IndicatorCode]],Table1[value]))</f>
        <v>1.1047979755287356</v>
      </c>
      <c r="J1284">
        <f>(Table1[[#This Row],[value]] - Table1[[#This Row],[mean]]) / Table1[[#This Row],[std_dev]]</f>
        <v>0.22048351733552002</v>
      </c>
      <c r="K1284">
        <f>AVERAGEIF(Table1[CountryCode],Table1[[#This Row],[CountryCode]],Table1[z-score])</f>
        <v>-0.61357720348444234</v>
      </c>
      <c r="L1284" t="e">
        <f>VLOOKUP(Table1[[#This Row],[CountryCode]],[1]!Table1[#All],1,FALSE)</f>
        <v>#REF!</v>
      </c>
    </row>
    <row r="1285" spans="1:12" hidden="1" x14ac:dyDescent="0.3">
      <c r="A1285" t="s">
        <v>85</v>
      </c>
      <c r="B1285" t="s">
        <v>86</v>
      </c>
      <c r="C1285" t="s">
        <v>9</v>
      </c>
      <c r="D1285" t="s">
        <v>10</v>
      </c>
      <c r="E1285">
        <v>2022</v>
      </c>
      <c r="F1285" s="1">
        <v>100</v>
      </c>
      <c r="G1285">
        <v>1990</v>
      </c>
      <c r="H1285">
        <f>AVERAGEIFS(Table1[value],Table1[IndicatorCode],Table1[[#This Row],[IndicatorCode]])</f>
        <v>99.756410256410263</v>
      </c>
      <c r="I1285" cm="1">
        <f t="array" ref="I1285">_xlfn.STDEV.P(IF(Table1[IndicatorCode]=Table1[[#This Row],[IndicatorCode]],Table1[value]))</f>
        <v>1.1047979755287356</v>
      </c>
      <c r="J1285">
        <f>(Table1[[#This Row],[value]] - Table1[[#This Row],[mean]]) / Table1[[#This Row],[std_dev]]</f>
        <v>0.22048351733552002</v>
      </c>
      <c r="K1285">
        <f>AVERAGEIF(Table1[CountryCode],Table1[[#This Row],[CountryCode]],Table1[z-score])</f>
        <v>-0.61357720348444234</v>
      </c>
      <c r="L1285" t="e">
        <f>VLOOKUP(Table1[[#This Row],[CountryCode]],[1]!Table1[#All],1,FALSE)</f>
        <v>#REF!</v>
      </c>
    </row>
    <row r="1286" spans="1:12" hidden="1" x14ac:dyDescent="0.3">
      <c r="A1286" t="s">
        <v>85</v>
      </c>
      <c r="B1286" t="s">
        <v>86</v>
      </c>
      <c r="C1286" t="s">
        <v>9</v>
      </c>
      <c r="D1286" t="s">
        <v>10</v>
      </c>
      <c r="E1286">
        <v>2023</v>
      </c>
      <c r="F1286" s="1">
        <v>100</v>
      </c>
      <c r="G1286">
        <v>1990</v>
      </c>
      <c r="H1286">
        <f>AVERAGEIFS(Table1[value],Table1[IndicatorCode],Table1[[#This Row],[IndicatorCode]])</f>
        <v>99.756410256410263</v>
      </c>
      <c r="I1286" cm="1">
        <f t="array" ref="I1286">_xlfn.STDEV.P(IF(Table1[IndicatorCode]=Table1[[#This Row],[IndicatorCode]],Table1[value]))</f>
        <v>1.1047979755287356</v>
      </c>
      <c r="J1286">
        <f>(Table1[[#This Row],[value]] - Table1[[#This Row],[mean]]) / Table1[[#This Row],[std_dev]]</f>
        <v>0.22048351733552002</v>
      </c>
      <c r="K1286">
        <f>AVERAGEIF(Table1[CountryCode],Table1[[#This Row],[CountryCode]],Table1[z-score])</f>
        <v>-0.61357720348444234</v>
      </c>
      <c r="L1286" t="e">
        <f>VLOOKUP(Table1[[#This Row],[CountryCode]],[1]!Table1[#All],1,FALSE)</f>
        <v>#REF!</v>
      </c>
    </row>
    <row r="1287" spans="1:12" hidden="1" x14ac:dyDescent="0.3">
      <c r="A1287" t="s">
        <v>87</v>
      </c>
      <c r="B1287" t="s">
        <v>88</v>
      </c>
      <c r="C1287" t="s">
        <v>9</v>
      </c>
      <c r="D1287" t="s">
        <v>10</v>
      </c>
      <c r="E1287">
        <v>1990</v>
      </c>
      <c r="F1287" s="1">
        <v>100</v>
      </c>
      <c r="G1287">
        <v>1990</v>
      </c>
      <c r="H1287">
        <f>AVERAGEIFS(Table1[value],Table1[IndicatorCode],Table1[[#This Row],[IndicatorCode]])</f>
        <v>99.756410256410263</v>
      </c>
      <c r="I1287" cm="1">
        <f t="array" ref="I1287">_xlfn.STDEV.P(IF(Table1[IndicatorCode]=Table1[[#This Row],[IndicatorCode]],Table1[value]))</f>
        <v>1.1047979755287356</v>
      </c>
      <c r="J1287">
        <f>(Table1[[#This Row],[value]] - Table1[[#This Row],[mean]]) / Table1[[#This Row],[std_dev]]</f>
        <v>0.22048351733552002</v>
      </c>
      <c r="K1287">
        <f>AVERAGEIF(Table1[CountryCode],Table1[[#This Row],[CountryCode]],Table1[z-score])</f>
        <v>-0.44487406992812789</v>
      </c>
      <c r="L1287" t="e">
        <f>VLOOKUP(Table1[[#This Row],[CountryCode]],[1]!Table1[#All],1,FALSE)</f>
        <v>#REF!</v>
      </c>
    </row>
    <row r="1288" spans="1:12" hidden="1" x14ac:dyDescent="0.3">
      <c r="A1288" t="s">
        <v>87</v>
      </c>
      <c r="B1288" t="s">
        <v>88</v>
      </c>
      <c r="C1288" t="s">
        <v>9</v>
      </c>
      <c r="D1288" t="s">
        <v>10</v>
      </c>
      <c r="E1288">
        <v>1991</v>
      </c>
      <c r="F1288" s="1">
        <v>100</v>
      </c>
      <c r="G1288">
        <v>1990</v>
      </c>
      <c r="H1288">
        <f>AVERAGEIFS(Table1[value],Table1[IndicatorCode],Table1[[#This Row],[IndicatorCode]])</f>
        <v>99.756410256410263</v>
      </c>
      <c r="I1288" cm="1">
        <f t="array" ref="I1288">_xlfn.STDEV.P(IF(Table1[IndicatorCode]=Table1[[#This Row],[IndicatorCode]],Table1[value]))</f>
        <v>1.1047979755287356</v>
      </c>
      <c r="J1288">
        <f>(Table1[[#This Row],[value]] - Table1[[#This Row],[mean]]) / Table1[[#This Row],[std_dev]]</f>
        <v>0.22048351733552002</v>
      </c>
      <c r="K1288">
        <f>AVERAGEIF(Table1[CountryCode],Table1[[#This Row],[CountryCode]],Table1[z-score])</f>
        <v>-0.44487406992812789</v>
      </c>
      <c r="L1288" t="e">
        <f>VLOOKUP(Table1[[#This Row],[CountryCode]],[1]!Table1[#All],1,FALSE)</f>
        <v>#REF!</v>
      </c>
    </row>
    <row r="1289" spans="1:12" hidden="1" x14ac:dyDescent="0.3">
      <c r="A1289" t="s">
        <v>87</v>
      </c>
      <c r="B1289" t="s">
        <v>88</v>
      </c>
      <c r="C1289" t="s">
        <v>9</v>
      </c>
      <c r="D1289" t="s">
        <v>10</v>
      </c>
      <c r="E1289">
        <v>1992</v>
      </c>
      <c r="F1289" s="1">
        <v>100</v>
      </c>
      <c r="G1289">
        <v>1990</v>
      </c>
      <c r="H1289">
        <f>AVERAGEIFS(Table1[value],Table1[IndicatorCode],Table1[[#This Row],[IndicatorCode]])</f>
        <v>99.756410256410263</v>
      </c>
      <c r="I1289" cm="1">
        <f t="array" ref="I1289">_xlfn.STDEV.P(IF(Table1[IndicatorCode]=Table1[[#This Row],[IndicatorCode]],Table1[value]))</f>
        <v>1.1047979755287356</v>
      </c>
      <c r="J1289">
        <f>(Table1[[#This Row],[value]] - Table1[[#This Row],[mean]]) / Table1[[#This Row],[std_dev]]</f>
        <v>0.22048351733552002</v>
      </c>
      <c r="K1289">
        <f>AVERAGEIF(Table1[CountryCode],Table1[[#This Row],[CountryCode]],Table1[z-score])</f>
        <v>-0.44487406992812789</v>
      </c>
      <c r="L1289" t="e">
        <f>VLOOKUP(Table1[[#This Row],[CountryCode]],[1]!Table1[#All],1,FALSE)</f>
        <v>#REF!</v>
      </c>
    </row>
    <row r="1290" spans="1:12" hidden="1" x14ac:dyDescent="0.3">
      <c r="A1290" t="s">
        <v>87</v>
      </c>
      <c r="B1290" t="s">
        <v>88</v>
      </c>
      <c r="C1290" t="s">
        <v>9</v>
      </c>
      <c r="D1290" t="s">
        <v>10</v>
      </c>
      <c r="E1290">
        <v>1993</v>
      </c>
      <c r="F1290" s="1">
        <v>100</v>
      </c>
      <c r="G1290">
        <v>1990</v>
      </c>
      <c r="H1290">
        <f>AVERAGEIFS(Table1[value],Table1[IndicatorCode],Table1[[#This Row],[IndicatorCode]])</f>
        <v>99.756410256410263</v>
      </c>
      <c r="I1290" cm="1">
        <f t="array" ref="I1290">_xlfn.STDEV.P(IF(Table1[IndicatorCode]=Table1[[#This Row],[IndicatorCode]],Table1[value]))</f>
        <v>1.1047979755287356</v>
      </c>
      <c r="J1290">
        <f>(Table1[[#This Row],[value]] - Table1[[#This Row],[mean]]) / Table1[[#This Row],[std_dev]]</f>
        <v>0.22048351733552002</v>
      </c>
      <c r="K1290">
        <f>AVERAGEIF(Table1[CountryCode],Table1[[#This Row],[CountryCode]],Table1[z-score])</f>
        <v>-0.44487406992812789</v>
      </c>
      <c r="L1290" t="e">
        <f>VLOOKUP(Table1[[#This Row],[CountryCode]],[1]!Table1[#All],1,FALSE)</f>
        <v>#REF!</v>
      </c>
    </row>
    <row r="1291" spans="1:12" hidden="1" x14ac:dyDescent="0.3">
      <c r="A1291" t="s">
        <v>87</v>
      </c>
      <c r="B1291" t="s">
        <v>88</v>
      </c>
      <c r="C1291" t="s">
        <v>9</v>
      </c>
      <c r="D1291" t="s">
        <v>10</v>
      </c>
      <c r="E1291">
        <v>1994</v>
      </c>
      <c r="F1291" s="1">
        <v>100</v>
      </c>
      <c r="G1291">
        <v>1990</v>
      </c>
      <c r="H1291">
        <f>AVERAGEIFS(Table1[value],Table1[IndicatorCode],Table1[[#This Row],[IndicatorCode]])</f>
        <v>99.756410256410263</v>
      </c>
      <c r="I1291" cm="1">
        <f t="array" ref="I1291">_xlfn.STDEV.P(IF(Table1[IndicatorCode]=Table1[[#This Row],[IndicatorCode]],Table1[value]))</f>
        <v>1.1047979755287356</v>
      </c>
      <c r="J1291">
        <f>(Table1[[#This Row],[value]] - Table1[[#This Row],[mean]]) / Table1[[#This Row],[std_dev]]</f>
        <v>0.22048351733552002</v>
      </c>
      <c r="K1291">
        <f>AVERAGEIF(Table1[CountryCode],Table1[[#This Row],[CountryCode]],Table1[z-score])</f>
        <v>-0.44487406992812789</v>
      </c>
      <c r="L1291" t="e">
        <f>VLOOKUP(Table1[[#This Row],[CountryCode]],[1]!Table1[#All],1,FALSE)</f>
        <v>#REF!</v>
      </c>
    </row>
    <row r="1292" spans="1:12" hidden="1" x14ac:dyDescent="0.3">
      <c r="A1292" t="s">
        <v>87</v>
      </c>
      <c r="B1292" t="s">
        <v>88</v>
      </c>
      <c r="C1292" t="s">
        <v>9</v>
      </c>
      <c r="D1292" t="s">
        <v>10</v>
      </c>
      <c r="E1292">
        <v>1995</v>
      </c>
      <c r="F1292" s="1">
        <v>100</v>
      </c>
      <c r="G1292">
        <v>1990</v>
      </c>
      <c r="H1292">
        <f>AVERAGEIFS(Table1[value],Table1[IndicatorCode],Table1[[#This Row],[IndicatorCode]])</f>
        <v>99.756410256410263</v>
      </c>
      <c r="I1292" cm="1">
        <f t="array" ref="I1292">_xlfn.STDEV.P(IF(Table1[IndicatorCode]=Table1[[#This Row],[IndicatorCode]],Table1[value]))</f>
        <v>1.1047979755287356</v>
      </c>
      <c r="J1292">
        <f>(Table1[[#This Row],[value]] - Table1[[#This Row],[mean]]) / Table1[[#This Row],[std_dev]]</f>
        <v>0.22048351733552002</v>
      </c>
      <c r="K1292">
        <f>AVERAGEIF(Table1[CountryCode],Table1[[#This Row],[CountryCode]],Table1[z-score])</f>
        <v>-0.44487406992812789</v>
      </c>
      <c r="L1292" t="e">
        <f>VLOOKUP(Table1[[#This Row],[CountryCode]],[1]!Table1[#All],1,FALSE)</f>
        <v>#REF!</v>
      </c>
    </row>
    <row r="1293" spans="1:12" hidden="1" x14ac:dyDescent="0.3">
      <c r="A1293" t="s">
        <v>87</v>
      </c>
      <c r="B1293" t="s">
        <v>88</v>
      </c>
      <c r="C1293" t="s">
        <v>9</v>
      </c>
      <c r="D1293" t="s">
        <v>10</v>
      </c>
      <c r="E1293">
        <v>1996</v>
      </c>
      <c r="F1293" s="1">
        <v>100</v>
      </c>
      <c r="G1293">
        <v>1990</v>
      </c>
      <c r="H1293">
        <f>AVERAGEIFS(Table1[value],Table1[IndicatorCode],Table1[[#This Row],[IndicatorCode]])</f>
        <v>99.756410256410263</v>
      </c>
      <c r="I1293" cm="1">
        <f t="array" ref="I1293">_xlfn.STDEV.P(IF(Table1[IndicatorCode]=Table1[[#This Row],[IndicatorCode]],Table1[value]))</f>
        <v>1.1047979755287356</v>
      </c>
      <c r="J1293">
        <f>(Table1[[#This Row],[value]] - Table1[[#This Row],[mean]]) / Table1[[#This Row],[std_dev]]</f>
        <v>0.22048351733552002</v>
      </c>
      <c r="K1293">
        <f>AVERAGEIF(Table1[CountryCode],Table1[[#This Row],[CountryCode]],Table1[z-score])</f>
        <v>-0.44487406992812789</v>
      </c>
      <c r="L1293" t="e">
        <f>VLOOKUP(Table1[[#This Row],[CountryCode]],[1]!Table1[#All],1,FALSE)</f>
        <v>#REF!</v>
      </c>
    </row>
    <row r="1294" spans="1:12" hidden="1" x14ac:dyDescent="0.3">
      <c r="A1294" t="s">
        <v>87</v>
      </c>
      <c r="B1294" t="s">
        <v>88</v>
      </c>
      <c r="C1294" t="s">
        <v>9</v>
      </c>
      <c r="D1294" t="s">
        <v>10</v>
      </c>
      <c r="E1294">
        <v>1997</v>
      </c>
      <c r="F1294" s="1">
        <v>100</v>
      </c>
      <c r="G1294">
        <v>2000</v>
      </c>
      <c r="H1294">
        <f>AVERAGEIFS(Table1[value],Table1[IndicatorCode],Table1[[#This Row],[IndicatorCode]])</f>
        <v>99.756410256410263</v>
      </c>
      <c r="I1294" cm="1">
        <f t="array" ref="I1294">_xlfn.STDEV.P(IF(Table1[IndicatorCode]=Table1[[#This Row],[IndicatorCode]],Table1[value]))</f>
        <v>1.1047979755287356</v>
      </c>
      <c r="J1294">
        <f>(Table1[[#This Row],[value]] - Table1[[#This Row],[mean]]) / Table1[[#This Row],[std_dev]]</f>
        <v>0.22048351733552002</v>
      </c>
      <c r="K1294">
        <f>AVERAGEIF(Table1[CountryCode],Table1[[#This Row],[CountryCode]],Table1[z-score])</f>
        <v>-0.44487406992812789</v>
      </c>
      <c r="L1294" t="e">
        <f>VLOOKUP(Table1[[#This Row],[CountryCode]],[1]!Table1[#All],1,FALSE)</f>
        <v>#REF!</v>
      </c>
    </row>
    <row r="1295" spans="1:12" hidden="1" x14ac:dyDescent="0.3">
      <c r="A1295" t="s">
        <v>87</v>
      </c>
      <c r="B1295" t="s">
        <v>88</v>
      </c>
      <c r="C1295" t="s">
        <v>9</v>
      </c>
      <c r="D1295" t="s">
        <v>10</v>
      </c>
      <c r="E1295">
        <v>1998</v>
      </c>
      <c r="F1295" s="1">
        <v>100</v>
      </c>
      <c r="G1295">
        <v>2000</v>
      </c>
      <c r="H1295">
        <f>AVERAGEIFS(Table1[value],Table1[IndicatorCode],Table1[[#This Row],[IndicatorCode]])</f>
        <v>99.756410256410263</v>
      </c>
      <c r="I1295" cm="1">
        <f t="array" ref="I1295">_xlfn.STDEV.P(IF(Table1[IndicatorCode]=Table1[[#This Row],[IndicatorCode]],Table1[value]))</f>
        <v>1.1047979755287356</v>
      </c>
      <c r="J1295">
        <f>(Table1[[#This Row],[value]] - Table1[[#This Row],[mean]]) / Table1[[#This Row],[std_dev]]</f>
        <v>0.22048351733552002</v>
      </c>
      <c r="K1295">
        <f>AVERAGEIF(Table1[CountryCode],Table1[[#This Row],[CountryCode]],Table1[z-score])</f>
        <v>-0.44487406992812789</v>
      </c>
      <c r="L1295" t="e">
        <f>VLOOKUP(Table1[[#This Row],[CountryCode]],[1]!Table1[#All],1,FALSE)</f>
        <v>#REF!</v>
      </c>
    </row>
    <row r="1296" spans="1:12" hidden="1" x14ac:dyDescent="0.3">
      <c r="A1296" t="s">
        <v>87</v>
      </c>
      <c r="B1296" t="s">
        <v>88</v>
      </c>
      <c r="C1296" t="s">
        <v>9</v>
      </c>
      <c r="D1296" t="s">
        <v>10</v>
      </c>
      <c r="E1296">
        <v>1999</v>
      </c>
      <c r="F1296" s="1">
        <v>100</v>
      </c>
      <c r="G1296">
        <v>2000</v>
      </c>
      <c r="H1296">
        <f>AVERAGEIFS(Table1[value],Table1[IndicatorCode],Table1[[#This Row],[IndicatorCode]])</f>
        <v>99.756410256410263</v>
      </c>
      <c r="I1296" cm="1">
        <f t="array" ref="I1296">_xlfn.STDEV.P(IF(Table1[IndicatorCode]=Table1[[#This Row],[IndicatorCode]],Table1[value]))</f>
        <v>1.1047979755287356</v>
      </c>
      <c r="J1296">
        <f>(Table1[[#This Row],[value]] - Table1[[#This Row],[mean]]) / Table1[[#This Row],[std_dev]]</f>
        <v>0.22048351733552002</v>
      </c>
      <c r="K1296">
        <f>AVERAGEIF(Table1[CountryCode],Table1[[#This Row],[CountryCode]],Table1[z-score])</f>
        <v>-0.44487406992812789</v>
      </c>
      <c r="L1296" t="e">
        <f>VLOOKUP(Table1[[#This Row],[CountryCode]],[1]!Table1[#All],1,FALSE)</f>
        <v>#REF!</v>
      </c>
    </row>
    <row r="1297" spans="1:12" hidden="1" x14ac:dyDescent="0.3">
      <c r="A1297" t="s">
        <v>87</v>
      </c>
      <c r="B1297" t="s">
        <v>88</v>
      </c>
      <c r="C1297" t="s">
        <v>9</v>
      </c>
      <c r="D1297" t="s">
        <v>10</v>
      </c>
      <c r="E1297">
        <v>2000</v>
      </c>
      <c r="F1297" s="1">
        <v>99</v>
      </c>
      <c r="G1297">
        <v>2000</v>
      </c>
      <c r="H1297">
        <f>AVERAGEIFS(Table1[value],Table1[IndicatorCode],Table1[[#This Row],[IndicatorCode]])</f>
        <v>99.756410256410263</v>
      </c>
      <c r="I1297" cm="1">
        <f t="array" ref="I1297">_xlfn.STDEV.P(IF(Table1[IndicatorCode]=Table1[[#This Row],[IndicatorCode]],Table1[value]))</f>
        <v>1.1047979755287356</v>
      </c>
      <c r="J1297">
        <f>(Table1[[#This Row],[value]] - Table1[[#This Row],[mean]]) / Table1[[#This Row],[std_dev]]</f>
        <v>-0.68465934330505884</v>
      </c>
      <c r="K1297">
        <f>AVERAGEIF(Table1[CountryCode],Table1[[#This Row],[CountryCode]],Table1[z-score])</f>
        <v>-0.44487406992812789</v>
      </c>
      <c r="L1297" t="e">
        <f>VLOOKUP(Table1[[#This Row],[CountryCode]],[1]!Table1[#All],1,FALSE)</f>
        <v>#REF!</v>
      </c>
    </row>
    <row r="1298" spans="1:12" hidden="1" x14ac:dyDescent="0.3">
      <c r="A1298" t="s">
        <v>87</v>
      </c>
      <c r="B1298" t="s">
        <v>88</v>
      </c>
      <c r="C1298" t="s">
        <v>9</v>
      </c>
      <c r="D1298" t="s">
        <v>10</v>
      </c>
      <c r="E1298">
        <v>2001</v>
      </c>
      <c r="F1298" s="1">
        <v>99</v>
      </c>
      <c r="G1298">
        <v>2000</v>
      </c>
      <c r="H1298">
        <f>AVERAGEIFS(Table1[value],Table1[IndicatorCode],Table1[[#This Row],[IndicatorCode]])</f>
        <v>99.756410256410263</v>
      </c>
      <c r="I1298" cm="1">
        <f t="array" ref="I1298">_xlfn.STDEV.P(IF(Table1[IndicatorCode]=Table1[[#This Row],[IndicatorCode]],Table1[value]))</f>
        <v>1.1047979755287356</v>
      </c>
      <c r="J1298">
        <f>(Table1[[#This Row],[value]] - Table1[[#This Row],[mean]]) / Table1[[#This Row],[std_dev]]</f>
        <v>-0.68465934330505884</v>
      </c>
      <c r="K1298">
        <f>AVERAGEIF(Table1[CountryCode],Table1[[#This Row],[CountryCode]],Table1[z-score])</f>
        <v>-0.44487406992812789</v>
      </c>
      <c r="L1298" t="e">
        <f>VLOOKUP(Table1[[#This Row],[CountryCode]],[1]!Table1[#All],1,FALSE)</f>
        <v>#REF!</v>
      </c>
    </row>
    <row r="1299" spans="1:12" hidden="1" x14ac:dyDescent="0.3">
      <c r="A1299" t="s">
        <v>87</v>
      </c>
      <c r="B1299" t="s">
        <v>88</v>
      </c>
      <c r="C1299" t="s">
        <v>9</v>
      </c>
      <c r="D1299" t="s">
        <v>10</v>
      </c>
      <c r="E1299">
        <v>2002</v>
      </c>
      <c r="F1299" s="1">
        <v>99</v>
      </c>
      <c r="G1299">
        <v>2000</v>
      </c>
      <c r="H1299">
        <f>AVERAGEIFS(Table1[value],Table1[IndicatorCode],Table1[[#This Row],[IndicatorCode]])</f>
        <v>99.756410256410263</v>
      </c>
      <c r="I1299" cm="1">
        <f t="array" ref="I1299">_xlfn.STDEV.P(IF(Table1[IndicatorCode]=Table1[[#This Row],[IndicatorCode]],Table1[value]))</f>
        <v>1.1047979755287356</v>
      </c>
      <c r="J1299">
        <f>(Table1[[#This Row],[value]] - Table1[[#This Row],[mean]]) / Table1[[#This Row],[std_dev]]</f>
        <v>-0.68465934330505884</v>
      </c>
      <c r="K1299">
        <f>AVERAGEIF(Table1[CountryCode],Table1[[#This Row],[CountryCode]],Table1[z-score])</f>
        <v>-0.44487406992812789</v>
      </c>
      <c r="L1299" t="e">
        <f>VLOOKUP(Table1[[#This Row],[CountryCode]],[1]!Table1[#All],1,FALSE)</f>
        <v>#REF!</v>
      </c>
    </row>
    <row r="1300" spans="1:12" hidden="1" x14ac:dyDescent="0.3">
      <c r="A1300" t="s">
        <v>87</v>
      </c>
      <c r="B1300" t="s">
        <v>88</v>
      </c>
      <c r="C1300" t="s">
        <v>9</v>
      </c>
      <c r="D1300" t="s">
        <v>10</v>
      </c>
      <c r="E1300">
        <v>2003</v>
      </c>
      <c r="F1300" s="1">
        <v>99</v>
      </c>
      <c r="G1300">
        <v>2000</v>
      </c>
      <c r="H1300">
        <f>AVERAGEIFS(Table1[value],Table1[IndicatorCode],Table1[[#This Row],[IndicatorCode]])</f>
        <v>99.756410256410263</v>
      </c>
      <c r="I1300" cm="1">
        <f t="array" ref="I1300">_xlfn.STDEV.P(IF(Table1[IndicatorCode]=Table1[[#This Row],[IndicatorCode]],Table1[value]))</f>
        <v>1.1047979755287356</v>
      </c>
      <c r="J1300">
        <f>(Table1[[#This Row],[value]] - Table1[[#This Row],[mean]]) / Table1[[#This Row],[std_dev]]</f>
        <v>-0.68465934330505884</v>
      </c>
      <c r="K1300">
        <f>AVERAGEIF(Table1[CountryCode],Table1[[#This Row],[CountryCode]],Table1[z-score])</f>
        <v>-0.44487406992812789</v>
      </c>
      <c r="L1300" t="e">
        <f>VLOOKUP(Table1[[#This Row],[CountryCode]],[1]!Table1[#All],1,FALSE)</f>
        <v>#REF!</v>
      </c>
    </row>
    <row r="1301" spans="1:12" hidden="1" x14ac:dyDescent="0.3">
      <c r="A1301" t="s">
        <v>87</v>
      </c>
      <c r="B1301" t="s">
        <v>88</v>
      </c>
      <c r="C1301" t="s">
        <v>9</v>
      </c>
      <c r="D1301" t="s">
        <v>10</v>
      </c>
      <c r="E1301">
        <v>2004</v>
      </c>
      <c r="F1301" s="1">
        <v>99</v>
      </c>
      <c r="G1301">
        <v>2000</v>
      </c>
      <c r="H1301">
        <f>AVERAGEIFS(Table1[value],Table1[IndicatorCode],Table1[[#This Row],[IndicatorCode]])</f>
        <v>99.756410256410263</v>
      </c>
      <c r="I1301" cm="1">
        <f t="array" ref="I1301">_xlfn.STDEV.P(IF(Table1[IndicatorCode]=Table1[[#This Row],[IndicatorCode]],Table1[value]))</f>
        <v>1.1047979755287356</v>
      </c>
      <c r="J1301">
        <f>(Table1[[#This Row],[value]] - Table1[[#This Row],[mean]]) / Table1[[#This Row],[std_dev]]</f>
        <v>-0.68465934330505884</v>
      </c>
      <c r="K1301">
        <f>AVERAGEIF(Table1[CountryCode],Table1[[#This Row],[CountryCode]],Table1[z-score])</f>
        <v>-0.44487406992812789</v>
      </c>
      <c r="L1301" t="e">
        <f>VLOOKUP(Table1[[#This Row],[CountryCode]],[1]!Table1[#All],1,FALSE)</f>
        <v>#REF!</v>
      </c>
    </row>
    <row r="1302" spans="1:12" hidden="1" x14ac:dyDescent="0.3">
      <c r="A1302" t="s">
        <v>87</v>
      </c>
      <c r="B1302" t="s">
        <v>88</v>
      </c>
      <c r="C1302" t="s">
        <v>9</v>
      </c>
      <c r="D1302" t="s">
        <v>10</v>
      </c>
      <c r="E1302">
        <v>2005</v>
      </c>
      <c r="F1302" s="1">
        <v>99</v>
      </c>
      <c r="G1302">
        <v>2000</v>
      </c>
      <c r="H1302">
        <f>AVERAGEIFS(Table1[value],Table1[IndicatorCode],Table1[[#This Row],[IndicatorCode]])</f>
        <v>99.756410256410263</v>
      </c>
      <c r="I1302" cm="1">
        <f t="array" ref="I1302">_xlfn.STDEV.P(IF(Table1[IndicatorCode]=Table1[[#This Row],[IndicatorCode]],Table1[value]))</f>
        <v>1.1047979755287356</v>
      </c>
      <c r="J1302">
        <f>(Table1[[#This Row],[value]] - Table1[[#This Row],[mean]]) / Table1[[#This Row],[std_dev]]</f>
        <v>-0.68465934330505884</v>
      </c>
      <c r="K1302">
        <f>AVERAGEIF(Table1[CountryCode],Table1[[#This Row],[CountryCode]],Table1[z-score])</f>
        <v>-0.44487406992812789</v>
      </c>
      <c r="L1302" t="e">
        <f>VLOOKUP(Table1[[#This Row],[CountryCode]],[1]!Table1[#All],1,FALSE)</f>
        <v>#REF!</v>
      </c>
    </row>
    <row r="1303" spans="1:12" hidden="1" x14ac:dyDescent="0.3">
      <c r="A1303" t="s">
        <v>87</v>
      </c>
      <c r="B1303" t="s">
        <v>88</v>
      </c>
      <c r="C1303" t="s">
        <v>9</v>
      </c>
      <c r="D1303" t="s">
        <v>10</v>
      </c>
      <c r="E1303">
        <v>2006</v>
      </c>
      <c r="F1303" s="1">
        <v>99</v>
      </c>
      <c r="G1303">
        <v>2000</v>
      </c>
      <c r="H1303">
        <f>AVERAGEIFS(Table1[value],Table1[IndicatorCode],Table1[[#This Row],[IndicatorCode]])</f>
        <v>99.756410256410263</v>
      </c>
      <c r="I1303" cm="1">
        <f t="array" ref="I1303">_xlfn.STDEV.P(IF(Table1[IndicatorCode]=Table1[[#This Row],[IndicatorCode]],Table1[value]))</f>
        <v>1.1047979755287356</v>
      </c>
      <c r="J1303">
        <f>(Table1[[#This Row],[value]] - Table1[[#This Row],[mean]]) / Table1[[#This Row],[std_dev]]</f>
        <v>-0.68465934330505884</v>
      </c>
      <c r="K1303">
        <f>AVERAGEIF(Table1[CountryCode],Table1[[#This Row],[CountryCode]],Table1[z-score])</f>
        <v>-0.44487406992812789</v>
      </c>
      <c r="L1303" t="e">
        <f>VLOOKUP(Table1[[#This Row],[CountryCode]],[1]!Table1[#All],1,FALSE)</f>
        <v>#REF!</v>
      </c>
    </row>
    <row r="1304" spans="1:12" hidden="1" x14ac:dyDescent="0.3">
      <c r="A1304" t="s">
        <v>87</v>
      </c>
      <c r="B1304" t="s">
        <v>88</v>
      </c>
      <c r="C1304" t="s">
        <v>9</v>
      </c>
      <c r="D1304" t="s">
        <v>10</v>
      </c>
      <c r="E1304">
        <v>2007</v>
      </c>
      <c r="F1304" s="1">
        <v>99</v>
      </c>
      <c r="G1304">
        <v>2010</v>
      </c>
      <c r="H1304">
        <f>AVERAGEIFS(Table1[value],Table1[IndicatorCode],Table1[[#This Row],[IndicatorCode]])</f>
        <v>99.756410256410263</v>
      </c>
      <c r="I1304" cm="1">
        <f t="array" ref="I1304">_xlfn.STDEV.P(IF(Table1[IndicatorCode]=Table1[[#This Row],[IndicatorCode]],Table1[value]))</f>
        <v>1.1047979755287356</v>
      </c>
      <c r="J1304">
        <f>(Table1[[#This Row],[value]] - Table1[[#This Row],[mean]]) / Table1[[#This Row],[std_dev]]</f>
        <v>-0.68465934330505884</v>
      </c>
      <c r="K1304">
        <f>AVERAGEIF(Table1[CountryCode],Table1[[#This Row],[CountryCode]],Table1[z-score])</f>
        <v>-0.44487406992812789</v>
      </c>
      <c r="L1304" t="e">
        <f>VLOOKUP(Table1[[#This Row],[CountryCode]],[1]!Table1[#All],1,FALSE)</f>
        <v>#REF!</v>
      </c>
    </row>
    <row r="1305" spans="1:12" hidden="1" x14ac:dyDescent="0.3">
      <c r="A1305" t="s">
        <v>87</v>
      </c>
      <c r="B1305" t="s">
        <v>88</v>
      </c>
      <c r="C1305" t="s">
        <v>9</v>
      </c>
      <c r="D1305" t="s">
        <v>10</v>
      </c>
      <c r="E1305">
        <v>2008</v>
      </c>
      <c r="F1305" s="1">
        <v>99</v>
      </c>
      <c r="G1305">
        <v>2010</v>
      </c>
      <c r="H1305">
        <f>AVERAGEIFS(Table1[value],Table1[IndicatorCode],Table1[[#This Row],[IndicatorCode]])</f>
        <v>99.756410256410263</v>
      </c>
      <c r="I1305" cm="1">
        <f t="array" ref="I1305">_xlfn.STDEV.P(IF(Table1[IndicatorCode]=Table1[[#This Row],[IndicatorCode]],Table1[value]))</f>
        <v>1.1047979755287356</v>
      </c>
      <c r="J1305">
        <f>(Table1[[#This Row],[value]] - Table1[[#This Row],[mean]]) / Table1[[#This Row],[std_dev]]</f>
        <v>-0.68465934330505884</v>
      </c>
      <c r="K1305">
        <f>AVERAGEIF(Table1[CountryCode],Table1[[#This Row],[CountryCode]],Table1[z-score])</f>
        <v>-0.44487406992812789</v>
      </c>
      <c r="L1305" t="e">
        <f>VLOOKUP(Table1[[#This Row],[CountryCode]],[1]!Table1[#All],1,FALSE)</f>
        <v>#REF!</v>
      </c>
    </row>
    <row r="1306" spans="1:12" hidden="1" x14ac:dyDescent="0.3">
      <c r="A1306" t="s">
        <v>87</v>
      </c>
      <c r="B1306" t="s">
        <v>88</v>
      </c>
      <c r="C1306" t="s">
        <v>9</v>
      </c>
      <c r="D1306" t="s">
        <v>10</v>
      </c>
      <c r="E1306">
        <v>2009</v>
      </c>
      <c r="F1306" s="1">
        <v>99</v>
      </c>
      <c r="G1306">
        <v>2010</v>
      </c>
      <c r="H1306">
        <f>AVERAGEIFS(Table1[value],Table1[IndicatorCode],Table1[[#This Row],[IndicatorCode]])</f>
        <v>99.756410256410263</v>
      </c>
      <c r="I1306" cm="1">
        <f t="array" ref="I1306">_xlfn.STDEV.P(IF(Table1[IndicatorCode]=Table1[[#This Row],[IndicatorCode]],Table1[value]))</f>
        <v>1.1047979755287356</v>
      </c>
      <c r="J1306">
        <f>(Table1[[#This Row],[value]] - Table1[[#This Row],[mean]]) / Table1[[#This Row],[std_dev]]</f>
        <v>-0.68465934330505884</v>
      </c>
      <c r="K1306">
        <f>AVERAGEIF(Table1[CountryCode],Table1[[#This Row],[CountryCode]],Table1[z-score])</f>
        <v>-0.44487406992812789</v>
      </c>
      <c r="L1306" t="e">
        <f>VLOOKUP(Table1[[#This Row],[CountryCode]],[1]!Table1[#All],1,FALSE)</f>
        <v>#REF!</v>
      </c>
    </row>
    <row r="1307" spans="1:12" hidden="1" x14ac:dyDescent="0.3">
      <c r="A1307" t="s">
        <v>87</v>
      </c>
      <c r="B1307" t="s">
        <v>88</v>
      </c>
      <c r="C1307" t="s">
        <v>9</v>
      </c>
      <c r="D1307" t="s">
        <v>10</v>
      </c>
      <c r="E1307">
        <v>2010</v>
      </c>
      <c r="F1307" s="1">
        <v>100</v>
      </c>
      <c r="G1307">
        <v>2010</v>
      </c>
      <c r="H1307">
        <f>AVERAGEIFS(Table1[value],Table1[IndicatorCode],Table1[[#This Row],[IndicatorCode]])</f>
        <v>99.756410256410263</v>
      </c>
      <c r="I1307" cm="1">
        <f t="array" ref="I1307">_xlfn.STDEV.P(IF(Table1[IndicatorCode]=Table1[[#This Row],[IndicatorCode]],Table1[value]))</f>
        <v>1.1047979755287356</v>
      </c>
      <c r="J1307">
        <f>(Table1[[#This Row],[value]] - Table1[[#This Row],[mean]]) / Table1[[#This Row],[std_dev]]</f>
        <v>0.22048351733552002</v>
      </c>
      <c r="K1307">
        <f>AVERAGEIF(Table1[CountryCode],Table1[[#This Row],[CountryCode]],Table1[z-score])</f>
        <v>-0.44487406992812789</v>
      </c>
      <c r="L1307" t="e">
        <f>VLOOKUP(Table1[[#This Row],[CountryCode]],[1]!Table1[#All],1,FALSE)</f>
        <v>#REF!</v>
      </c>
    </row>
    <row r="1308" spans="1:12" hidden="1" x14ac:dyDescent="0.3">
      <c r="A1308" t="s">
        <v>87</v>
      </c>
      <c r="B1308" t="s">
        <v>88</v>
      </c>
      <c r="C1308" t="s">
        <v>9</v>
      </c>
      <c r="D1308" t="s">
        <v>10</v>
      </c>
      <c r="E1308">
        <v>2011</v>
      </c>
      <c r="F1308" s="1">
        <v>100</v>
      </c>
      <c r="G1308">
        <v>2010</v>
      </c>
      <c r="H1308">
        <f>AVERAGEIFS(Table1[value],Table1[IndicatorCode],Table1[[#This Row],[IndicatorCode]])</f>
        <v>99.756410256410263</v>
      </c>
      <c r="I1308" cm="1">
        <f t="array" ref="I1308">_xlfn.STDEV.P(IF(Table1[IndicatorCode]=Table1[[#This Row],[IndicatorCode]],Table1[value]))</f>
        <v>1.1047979755287356</v>
      </c>
      <c r="J1308">
        <f>(Table1[[#This Row],[value]] - Table1[[#This Row],[mean]]) / Table1[[#This Row],[std_dev]]</f>
        <v>0.22048351733552002</v>
      </c>
      <c r="K1308">
        <f>AVERAGEIF(Table1[CountryCode],Table1[[#This Row],[CountryCode]],Table1[z-score])</f>
        <v>-0.44487406992812789</v>
      </c>
      <c r="L1308" t="e">
        <f>VLOOKUP(Table1[[#This Row],[CountryCode]],[1]!Table1[#All],1,FALSE)</f>
        <v>#REF!</v>
      </c>
    </row>
    <row r="1309" spans="1:12" hidden="1" x14ac:dyDescent="0.3">
      <c r="A1309" t="s">
        <v>87</v>
      </c>
      <c r="B1309" t="s">
        <v>88</v>
      </c>
      <c r="C1309" t="s">
        <v>9</v>
      </c>
      <c r="D1309" t="s">
        <v>10</v>
      </c>
      <c r="E1309">
        <v>2012</v>
      </c>
      <c r="F1309" s="1">
        <v>100</v>
      </c>
      <c r="G1309">
        <v>2010</v>
      </c>
      <c r="H1309">
        <f>AVERAGEIFS(Table1[value],Table1[IndicatorCode],Table1[[#This Row],[IndicatorCode]])</f>
        <v>99.756410256410263</v>
      </c>
      <c r="I1309" cm="1">
        <f t="array" ref="I1309">_xlfn.STDEV.P(IF(Table1[IndicatorCode]=Table1[[#This Row],[IndicatorCode]],Table1[value]))</f>
        <v>1.1047979755287356</v>
      </c>
      <c r="J1309">
        <f>(Table1[[#This Row],[value]] - Table1[[#This Row],[mean]]) / Table1[[#This Row],[std_dev]]</f>
        <v>0.22048351733552002</v>
      </c>
      <c r="K1309">
        <f>AVERAGEIF(Table1[CountryCode],Table1[[#This Row],[CountryCode]],Table1[z-score])</f>
        <v>-0.44487406992812789</v>
      </c>
      <c r="L1309" t="e">
        <f>VLOOKUP(Table1[[#This Row],[CountryCode]],[1]!Table1[#All],1,FALSE)</f>
        <v>#REF!</v>
      </c>
    </row>
    <row r="1310" spans="1:12" hidden="1" x14ac:dyDescent="0.3">
      <c r="A1310" t="s">
        <v>87</v>
      </c>
      <c r="B1310" t="s">
        <v>88</v>
      </c>
      <c r="C1310" t="s">
        <v>9</v>
      </c>
      <c r="D1310" t="s">
        <v>10</v>
      </c>
      <c r="E1310">
        <v>2013</v>
      </c>
      <c r="F1310" s="1">
        <v>100</v>
      </c>
      <c r="G1310">
        <v>2010</v>
      </c>
      <c r="H1310">
        <f>AVERAGEIFS(Table1[value],Table1[IndicatorCode],Table1[[#This Row],[IndicatorCode]])</f>
        <v>99.756410256410263</v>
      </c>
      <c r="I1310" cm="1">
        <f t="array" ref="I1310">_xlfn.STDEV.P(IF(Table1[IndicatorCode]=Table1[[#This Row],[IndicatorCode]],Table1[value]))</f>
        <v>1.1047979755287356</v>
      </c>
      <c r="J1310">
        <f>(Table1[[#This Row],[value]] - Table1[[#This Row],[mean]]) / Table1[[#This Row],[std_dev]]</f>
        <v>0.22048351733552002</v>
      </c>
      <c r="K1310">
        <f>AVERAGEIF(Table1[CountryCode],Table1[[#This Row],[CountryCode]],Table1[z-score])</f>
        <v>-0.44487406992812789</v>
      </c>
      <c r="L1310" t="e">
        <f>VLOOKUP(Table1[[#This Row],[CountryCode]],[1]!Table1[#All],1,FALSE)</f>
        <v>#REF!</v>
      </c>
    </row>
    <row r="1311" spans="1:12" hidden="1" x14ac:dyDescent="0.3">
      <c r="A1311" t="s">
        <v>87</v>
      </c>
      <c r="B1311" t="s">
        <v>88</v>
      </c>
      <c r="C1311" t="s">
        <v>9</v>
      </c>
      <c r="D1311" t="s">
        <v>10</v>
      </c>
      <c r="E1311">
        <v>2014</v>
      </c>
      <c r="F1311" s="1">
        <v>100</v>
      </c>
      <c r="G1311">
        <v>2010</v>
      </c>
      <c r="H1311">
        <f>AVERAGEIFS(Table1[value],Table1[IndicatorCode],Table1[[#This Row],[IndicatorCode]])</f>
        <v>99.756410256410263</v>
      </c>
      <c r="I1311" cm="1">
        <f t="array" ref="I1311">_xlfn.STDEV.P(IF(Table1[IndicatorCode]=Table1[[#This Row],[IndicatorCode]],Table1[value]))</f>
        <v>1.1047979755287356</v>
      </c>
      <c r="J1311">
        <f>(Table1[[#This Row],[value]] - Table1[[#This Row],[mean]]) / Table1[[#This Row],[std_dev]]</f>
        <v>0.22048351733552002</v>
      </c>
      <c r="K1311">
        <f>AVERAGEIF(Table1[CountryCode],Table1[[#This Row],[CountryCode]],Table1[z-score])</f>
        <v>-0.44487406992812789</v>
      </c>
      <c r="L1311" t="e">
        <f>VLOOKUP(Table1[[#This Row],[CountryCode]],[1]!Table1[#All],1,FALSE)</f>
        <v>#REF!</v>
      </c>
    </row>
    <row r="1312" spans="1:12" hidden="1" x14ac:dyDescent="0.3">
      <c r="A1312" t="s">
        <v>87</v>
      </c>
      <c r="B1312" t="s">
        <v>88</v>
      </c>
      <c r="C1312" t="s">
        <v>9</v>
      </c>
      <c r="D1312" t="s">
        <v>10</v>
      </c>
      <c r="E1312">
        <v>2015</v>
      </c>
      <c r="F1312" s="1">
        <v>100</v>
      </c>
      <c r="G1312">
        <v>2010</v>
      </c>
      <c r="H1312">
        <f>AVERAGEIFS(Table1[value],Table1[IndicatorCode],Table1[[#This Row],[IndicatorCode]])</f>
        <v>99.756410256410263</v>
      </c>
      <c r="I1312" cm="1">
        <f t="array" ref="I1312">_xlfn.STDEV.P(IF(Table1[IndicatorCode]=Table1[[#This Row],[IndicatorCode]],Table1[value]))</f>
        <v>1.1047979755287356</v>
      </c>
      <c r="J1312">
        <f>(Table1[[#This Row],[value]] - Table1[[#This Row],[mean]]) / Table1[[#This Row],[std_dev]]</f>
        <v>0.22048351733552002</v>
      </c>
      <c r="K1312">
        <f>AVERAGEIF(Table1[CountryCode],Table1[[#This Row],[CountryCode]],Table1[z-score])</f>
        <v>-0.44487406992812789</v>
      </c>
      <c r="L1312" t="e">
        <f>VLOOKUP(Table1[[#This Row],[CountryCode]],[1]!Table1[#All],1,FALSE)</f>
        <v>#REF!</v>
      </c>
    </row>
    <row r="1313" spans="1:12" hidden="1" x14ac:dyDescent="0.3">
      <c r="A1313" t="s">
        <v>87</v>
      </c>
      <c r="B1313" t="s">
        <v>88</v>
      </c>
      <c r="C1313" t="s">
        <v>9</v>
      </c>
      <c r="D1313" t="s">
        <v>10</v>
      </c>
      <c r="E1313">
        <v>2016</v>
      </c>
      <c r="F1313" s="1">
        <v>100</v>
      </c>
      <c r="G1313">
        <v>2010</v>
      </c>
      <c r="H1313">
        <f>AVERAGEIFS(Table1[value],Table1[IndicatorCode],Table1[[#This Row],[IndicatorCode]])</f>
        <v>99.756410256410263</v>
      </c>
      <c r="I1313" cm="1">
        <f t="array" ref="I1313">_xlfn.STDEV.P(IF(Table1[IndicatorCode]=Table1[[#This Row],[IndicatorCode]],Table1[value]))</f>
        <v>1.1047979755287356</v>
      </c>
      <c r="J1313">
        <f>(Table1[[#This Row],[value]] - Table1[[#This Row],[mean]]) / Table1[[#This Row],[std_dev]]</f>
        <v>0.22048351733552002</v>
      </c>
      <c r="K1313">
        <f>AVERAGEIF(Table1[CountryCode],Table1[[#This Row],[CountryCode]],Table1[z-score])</f>
        <v>-0.44487406992812789</v>
      </c>
      <c r="L1313" t="e">
        <f>VLOOKUP(Table1[[#This Row],[CountryCode]],[1]!Table1[#All],1,FALSE)</f>
        <v>#REF!</v>
      </c>
    </row>
    <row r="1314" spans="1:12" hidden="1" x14ac:dyDescent="0.3">
      <c r="A1314" t="s">
        <v>87</v>
      </c>
      <c r="B1314" t="s">
        <v>88</v>
      </c>
      <c r="C1314" t="s">
        <v>9</v>
      </c>
      <c r="D1314" t="s">
        <v>10</v>
      </c>
      <c r="E1314">
        <v>2017</v>
      </c>
      <c r="F1314" s="1">
        <v>100</v>
      </c>
      <c r="G1314">
        <v>2020</v>
      </c>
      <c r="H1314">
        <f>AVERAGEIFS(Table1[value],Table1[IndicatorCode],Table1[[#This Row],[IndicatorCode]])</f>
        <v>99.756410256410263</v>
      </c>
      <c r="I1314" cm="1">
        <f t="array" ref="I1314">_xlfn.STDEV.P(IF(Table1[IndicatorCode]=Table1[[#This Row],[IndicatorCode]],Table1[value]))</f>
        <v>1.1047979755287356</v>
      </c>
      <c r="J1314">
        <f>(Table1[[#This Row],[value]] - Table1[[#This Row],[mean]]) / Table1[[#This Row],[std_dev]]</f>
        <v>0.22048351733552002</v>
      </c>
      <c r="K1314">
        <f>AVERAGEIF(Table1[CountryCode],Table1[[#This Row],[CountryCode]],Table1[z-score])</f>
        <v>-0.44487406992812789</v>
      </c>
      <c r="L1314" t="e">
        <f>VLOOKUP(Table1[[#This Row],[CountryCode]],[1]!Table1[#All],1,FALSE)</f>
        <v>#REF!</v>
      </c>
    </row>
    <row r="1315" spans="1:12" hidden="1" x14ac:dyDescent="0.3">
      <c r="A1315" t="s">
        <v>87</v>
      </c>
      <c r="B1315" t="s">
        <v>88</v>
      </c>
      <c r="C1315" t="s">
        <v>9</v>
      </c>
      <c r="D1315" t="s">
        <v>10</v>
      </c>
      <c r="E1315">
        <v>2018</v>
      </c>
      <c r="F1315" s="1">
        <v>100</v>
      </c>
      <c r="G1315">
        <v>2020</v>
      </c>
      <c r="H1315">
        <f>AVERAGEIFS(Table1[value],Table1[IndicatorCode],Table1[[#This Row],[IndicatorCode]])</f>
        <v>99.756410256410263</v>
      </c>
      <c r="I1315" cm="1">
        <f t="array" ref="I1315">_xlfn.STDEV.P(IF(Table1[IndicatorCode]=Table1[[#This Row],[IndicatorCode]],Table1[value]))</f>
        <v>1.1047979755287356</v>
      </c>
      <c r="J1315">
        <f>(Table1[[#This Row],[value]] - Table1[[#This Row],[mean]]) / Table1[[#This Row],[std_dev]]</f>
        <v>0.22048351733552002</v>
      </c>
      <c r="K1315">
        <f>AVERAGEIF(Table1[CountryCode],Table1[[#This Row],[CountryCode]],Table1[z-score])</f>
        <v>-0.44487406992812789</v>
      </c>
      <c r="L1315" t="e">
        <f>VLOOKUP(Table1[[#This Row],[CountryCode]],[1]!Table1[#All],1,FALSE)</f>
        <v>#REF!</v>
      </c>
    </row>
    <row r="1316" spans="1:12" hidden="1" x14ac:dyDescent="0.3">
      <c r="A1316" t="s">
        <v>87</v>
      </c>
      <c r="B1316" t="s">
        <v>88</v>
      </c>
      <c r="C1316" t="s">
        <v>9</v>
      </c>
      <c r="D1316" t="s">
        <v>10</v>
      </c>
      <c r="E1316">
        <v>2019</v>
      </c>
      <c r="F1316" s="1">
        <v>100</v>
      </c>
      <c r="G1316">
        <v>2020</v>
      </c>
      <c r="H1316">
        <f>AVERAGEIFS(Table1[value],Table1[IndicatorCode],Table1[[#This Row],[IndicatorCode]])</f>
        <v>99.756410256410263</v>
      </c>
      <c r="I1316" cm="1">
        <f t="array" ref="I1316">_xlfn.STDEV.P(IF(Table1[IndicatorCode]=Table1[[#This Row],[IndicatorCode]],Table1[value]))</f>
        <v>1.1047979755287356</v>
      </c>
      <c r="J1316">
        <f>(Table1[[#This Row],[value]] - Table1[[#This Row],[mean]]) / Table1[[#This Row],[std_dev]]</f>
        <v>0.22048351733552002</v>
      </c>
      <c r="K1316">
        <f>AVERAGEIF(Table1[CountryCode],Table1[[#This Row],[CountryCode]],Table1[z-score])</f>
        <v>-0.44487406992812789</v>
      </c>
      <c r="L1316" t="e">
        <f>VLOOKUP(Table1[[#This Row],[CountryCode]],[1]!Table1[#All],1,FALSE)</f>
        <v>#REF!</v>
      </c>
    </row>
    <row r="1317" spans="1:12" x14ac:dyDescent="0.3">
      <c r="A1317" t="s">
        <v>87</v>
      </c>
      <c r="B1317" t="s">
        <v>88</v>
      </c>
      <c r="C1317" t="s">
        <v>9</v>
      </c>
      <c r="D1317" t="s">
        <v>10</v>
      </c>
      <c r="E1317">
        <v>2020</v>
      </c>
      <c r="F1317" s="1">
        <v>100</v>
      </c>
      <c r="G1317">
        <v>2020</v>
      </c>
      <c r="H1317">
        <f>AVERAGEIFS(Table1[value],Table1[IndicatorCode],Table1[[#This Row],[IndicatorCode]])</f>
        <v>99.756410256410263</v>
      </c>
      <c r="I1317" cm="1">
        <f t="array" ref="I1317">_xlfn.STDEV.P(IF(Table1[IndicatorCode]=Table1[[#This Row],[IndicatorCode]],Table1[value]))</f>
        <v>1.1047979755287356</v>
      </c>
      <c r="J1317">
        <f>(Table1[[#This Row],[value]] - Table1[[#This Row],[mean]]) / Table1[[#This Row],[std_dev]]</f>
        <v>0.22048351733552002</v>
      </c>
      <c r="K1317">
        <f>AVERAGEIF(Table1[CountryCode],Table1[[#This Row],[CountryCode]],Table1[z-score])</f>
        <v>-0.44487406992812789</v>
      </c>
    </row>
    <row r="1318" spans="1:12" hidden="1" x14ac:dyDescent="0.3">
      <c r="A1318" t="s">
        <v>87</v>
      </c>
      <c r="B1318" t="s">
        <v>88</v>
      </c>
      <c r="C1318" t="s">
        <v>9</v>
      </c>
      <c r="D1318" t="s">
        <v>10</v>
      </c>
      <c r="E1318">
        <v>2021</v>
      </c>
      <c r="F1318" s="1">
        <v>100</v>
      </c>
      <c r="G1318">
        <v>1990</v>
      </c>
      <c r="H1318">
        <f>AVERAGEIFS(Table1[value],Table1[IndicatorCode],Table1[[#This Row],[IndicatorCode]])</f>
        <v>99.756410256410263</v>
      </c>
      <c r="I1318" cm="1">
        <f t="array" ref="I1318">_xlfn.STDEV.P(IF(Table1[IndicatorCode]=Table1[[#This Row],[IndicatorCode]],Table1[value]))</f>
        <v>1.1047979755287356</v>
      </c>
      <c r="J1318">
        <f>(Table1[[#This Row],[value]] - Table1[[#This Row],[mean]]) / Table1[[#This Row],[std_dev]]</f>
        <v>0.22048351733552002</v>
      </c>
      <c r="K1318">
        <f>AVERAGEIF(Table1[CountryCode],Table1[[#This Row],[CountryCode]],Table1[z-score])</f>
        <v>-0.44487406992812789</v>
      </c>
      <c r="L1318" t="e">
        <f>VLOOKUP(Table1[[#This Row],[CountryCode]],[1]!Table1[#All],1,FALSE)</f>
        <v>#REF!</v>
      </c>
    </row>
    <row r="1319" spans="1:12" hidden="1" x14ac:dyDescent="0.3">
      <c r="A1319" t="s">
        <v>87</v>
      </c>
      <c r="B1319" t="s">
        <v>88</v>
      </c>
      <c r="C1319" t="s">
        <v>9</v>
      </c>
      <c r="D1319" t="s">
        <v>10</v>
      </c>
      <c r="E1319">
        <v>2022</v>
      </c>
      <c r="F1319" s="1">
        <v>100</v>
      </c>
      <c r="G1319">
        <v>1990</v>
      </c>
      <c r="H1319">
        <f>AVERAGEIFS(Table1[value],Table1[IndicatorCode],Table1[[#This Row],[IndicatorCode]])</f>
        <v>99.756410256410263</v>
      </c>
      <c r="I1319" cm="1">
        <f t="array" ref="I1319">_xlfn.STDEV.P(IF(Table1[IndicatorCode]=Table1[[#This Row],[IndicatorCode]],Table1[value]))</f>
        <v>1.1047979755287356</v>
      </c>
      <c r="J1319">
        <f>(Table1[[#This Row],[value]] - Table1[[#This Row],[mean]]) / Table1[[#This Row],[std_dev]]</f>
        <v>0.22048351733552002</v>
      </c>
      <c r="K1319">
        <f>AVERAGEIF(Table1[CountryCode],Table1[[#This Row],[CountryCode]],Table1[z-score])</f>
        <v>-0.44487406992812789</v>
      </c>
      <c r="L1319" t="e">
        <f>VLOOKUP(Table1[[#This Row],[CountryCode]],[1]!Table1[#All],1,FALSE)</f>
        <v>#REF!</v>
      </c>
    </row>
    <row r="1320" spans="1:12" hidden="1" x14ac:dyDescent="0.3">
      <c r="A1320" t="s">
        <v>87</v>
      </c>
      <c r="B1320" t="s">
        <v>88</v>
      </c>
      <c r="C1320" t="s">
        <v>9</v>
      </c>
      <c r="D1320" t="s">
        <v>10</v>
      </c>
      <c r="E1320">
        <v>2023</v>
      </c>
      <c r="F1320" s="1">
        <v>100</v>
      </c>
      <c r="G1320">
        <v>1990</v>
      </c>
      <c r="H1320">
        <f>AVERAGEIFS(Table1[value],Table1[IndicatorCode],Table1[[#This Row],[IndicatorCode]])</f>
        <v>99.756410256410263</v>
      </c>
      <c r="I1320" cm="1">
        <f t="array" ref="I1320">_xlfn.STDEV.P(IF(Table1[IndicatorCode]=Table1[[#This Row],[IndicatorCode]],Table1[value]))</f>
        <v>1.1047979755287356</v>
      </c>
      <c r="J1320">
        <f>(Table1[[#This Row],[value]] - Table1[[#This Row],[mean]]) / Table1[[#This Row],[std_dev]]</f>
        <v>0.22048351733552002</v>
      </c>
      <c r="K1320">
        <f>AVERAGEIF(Table1[CountryCode],Table1[[#This Row],[CountryCode]],Table1[z-score])</f>
        <v>-0.44487406992812789</v>
      </c>
      <c r="L1320" t="e">
        <f>VLOOKUP(Table1[[#This Row],[CountryCode]],[1]!Table1[#All],1,FALSE)</f>
        <v>#REF!</v>
      </c>
    </row>
    <row r="1321" spans="1:12" hidden="1" x14ac:dyDescent="0.3">
      <c r="A1321" t="s">
        <v>89</v>
      </c>
      <c r="B1321" t="s">
        <v>90</v>
      </c>
      <c r="C1321" t="s">
        <v>9</v>
      </c>
      <c r="D1321" t="s">
        <v>10</v>
      </c>
      <c r="E1321">
        <v>1990</v>
      </c>
      <c r="F1321" s="1">
        <v>100</v>
      </c>
      <c r="G1321">
        <v>1990</v>
      </c>
      <c r="H1321">
        <f>AVERAGEIFS(Table1[value],Table1[IndicatorCode],Table1[[#This Row],[IndicatorCode]])</f>
        <v>99.756410256410263</v>
      </c>
      <c r="I1321" cm="1">
        <f t="array" ref="I1321">_xlfn.STDEV.P(IF(Table1[IndicatorCode]=Table1[[#This Row],[IndicatorCode]],Table1[value]))</f>
        <v>1.1047979755287356</v>
      </c>
      <c r="J1321">
        <f>(Table1[[#This Row],[value]] - Table1[[#This Row],[mean]]) / Table1[[#This Row],[std_dev]]</f>
        <v>0.22048351733552002</v>
      </c>
      <c r="K1321">
        <f>AVERAGEIF(Table1[CountryCode],Table1[[#This Row],[CountryCode]],Table1[z-score])</f>
        <v>-0.18785287830584751</v>
      </c>
      <c r="L1321" t="e">
        <f>VLOOKUP(Table1[[#This Row],[CountryCode]],[1]!Table1[#All],1,FALSE)</f>
        <v>#REF!</v>
      </c>
    </row>
    <row r="1322" spans="1:12" hidden="1" x14ac:dyDescent="0.3">
      <c r="A1322" t="s">
        <v>89</v>
      </c>
      <c r="B1322" t="s">
        <v>90</v>
      </c>
      <c r="C1322" t="s">
        <v>9</v>
      </c>
      <c r="D1322" t="s">
        <v>10</v>
      </c>
      <c r="E1322">
        <v>1991</v>
      </c>
      <c r="F1322" s="1">
        <v>100</v>
      </c>
      <c r="G1322">
        <v>1990</v>
      </c>
      <c r="H1322">
        <f>AVERAGEIFS(Table1[value],Table1[IndicatorCode],Table1[[#This Row],[IndicatorCode]])</f>
        <v>99.756410256410263</v>
      </c>
      <c r="I1322" cm="1">
        <f t="array" ref="I1322">_xlfn.STDEV.P(IF(Table1[IndicatorCode]=Table1[[#This Row],[IndicatorCode]],Table1[value]))</f>
        <v>1.1047979755287356</v>
      </c>
      <c r="J1322">
        <f>(Table1[[#This Row],[value]] - Table1[[#This Row],[mean]]) / Table1[[#This Row],[std_dev]]</f>
        <v>0.22048351733552002</v>
      </c>
      <c r="K1322">
        <f>AVERAGEIF(Table1[CountryCode],Table1[[#This Row],[CountryCode]],Table1[z-score])</f>
        <v>-0.18785287830584751</v>
      </c>
      <c r="L1322" t="e">
        <f>VLOOKUP(Table1[[#This Row],[CountryCode]],[1]!Table1[#All],1,FALSE)</f>
        <v>#REF!</v>
      </c>
    </row>
    <row r="1323" spans="1:12" hidden="1" x14ac:dyDescent="0.3">
      <c r="A1323" t="s">
        <v>89</v>
      </c>
      <c r="B1323" t="s">
        <v>90</v>
      </c>
      <c r="C1323" t="s">
        <v>9</v>
      </c>
      <c r="D1323" t="s">
        <v>10</v>
      </c>
      <c r="E1323">
        <v>1992</v>
      </c>
      <c r="F1323" s="1">
        <v>100</v>
      </c>
      <c r="G1323">
        <v>1990</v>
      </c>
      <c r="H1323">
        <f>AVERAGEIFS(Table1[value],Table1[IndicatorCode],Table1[[#This Row],[IndicatorCode]])</f>
        <v>99.756410256410263</v>
      </c>
      <c r="I1323" cm="1">
        <f t="array" ref="I1323">_xlfn.STDEV.P(IF(Table1[IndicatorCode]=Table1[[#This Row],[IndicatorCode]],Table1[value]))</f>
        <v>1.1047979755287356</v>
      </c>
      <c r="J1323">
        <f>(Table1[[#This Row],[value]] - Table1[[#This Row],[mean]]) / Table1[[#This Row],[std_dev]]</f>
        <v>0.22048351733552002</v>
      </c>
      <c r="K1323">
        <f>AVERAGEIF(Table1[CountryCode],Table1[[#This Row],[CountryCode]],Table1[z-score])</f>
        <v>-0.18785287830584751</v>
      </c>
      <c r="L1323" t="e">
        <f>VLOOKUP(Table1[[#This Row],[CountryCode]],[1]!Table1[#All],1,FALSE)</f>
        <v>#REF!</v>
      </c>
    </row>
    <row r="1324" spans="1:12" hidden="1" x14ac:dyDescent="0.3">
      <c r="A1324" t="s">
        <v>89</v>
      </c>
      <c r="B1324" t="s">
        <v>90</v>
      </c>
      <c r="C1324" t="s">
        <v>9</v>
      </c>
      <c r="D1324" t="s">
        <v>10</v>
      </c>
      <c r="E1324">
        <v>1993</v>
      </c>
      <c r="F1324" s="1">
        <v>100</v>
      </c>
      <c r="G1324">
        <v>1990</v>
      </c>
      <c r="H1324">
        <f>AVERAGEIFS(Table1[value],Table1[IndicatorCode],Table1[[#This Row],[IndicatorCode]])</f>
        <v>99.756410256410263</v>
      </c>
      <c r="I1324" cm="1">
        <f t="array" ref="I1324">_xlfn.STDEV.P(IF(Table1[IndicatorCode]=Table1[[#This Row],[IndicatorCode]],Table1[value]))</f>
        <v>1.1047979755287356</v>
      </c>
      <c r="J1324">
        <f>(Table1[[#This Row],[value]] - Table1[[#This Row],[mean]]) / Table1[[#This Row],[std_dev]]</f>
        <v>0.22048351733552002</v>
      </c>
      <c r="K1324">
        <f>AVERAGEIF(Table1[CountryCode],Table1[[#This Row],[CountryCode]],Table1[z-score])</f>
        <v>-0.18785287830584751</v>
      </c>
      <c r="L1324" t="e">
        <f>VLOOKUP(Table1[[#This Row],[CountryCode]],[1]!Table1[#All],1,FALSE)</f>
        <v>#REF!</v>
      </c>
    </row>
    <row r="1325" spans="1:12" hidden="1" x14ac:dyDescent="0.3">
      <c r="A1325" t="s">
        <v>89</v>
      </c>
      <c r="B1325" t="s">
        <v>90</v>
      </c>
      <c r="C1325" t="s">
        <v>9</v>
      </c>
      <c r="D1325" t="s">
        <v>10</v>
      </c>
      <c r="E1325">
        <v>1994</v>
      </c>
      <c r="F1325" s="1">
        <v>100</v>
      </c>
      <c r="G1325">
        <v>1990</v>
      </c>
      <c r="H1325">
        <f>AVERAGEIFS(Table1[value],Table1[IndicatorCode],Table1[[#This Row],[IndicatorCode]])</f>
        <v>99.756410256410263</v>
      </c>
      <c r="I1325" cm="1">
        <f t="array" ref="I1325">_xlfn.STDEV.P(IF(Table1[IndicatorCode]=Table1[[#This Row],[IndicatorCode]],Table1[value]))</f>
        <v>1.1047979755287356</v>
      </c>
      <c r="J1325">
        <f>(Table1[[#This Row],[value]] - Table1[[#This Row],[mean]]) / Table1[[#This Row],[std_dev]]</f>
        <v>0.22048351733552002</v>
      </c>
      <c r="K1325">
        <f>AVERAGEIF(Table1[CountryCode],Table1[[#This Row],[CountryCode]],Table1[z-score])</f>
        <v>-0.18785287830584751</v>
      </c>
      <c r="L1325" t="e">
        <f>VLOOKUP(Table1[[#This Row],[CountryCode]],[1]!Table1[#All],1,FALSE)</f>
        <v>#REF!</v>
      </c>
    </row>
    <row r="1326" spans="1:12" hidden="1" x14ac:dyDescent="0.3">
      <c r="A1326" t="s">
        <v>89</v>
      </c>
      <c r="B1326" t="s">
        <v>90</v>
      </c>
      <c r="C1326" t="s">
        <v>9</v>
      </c>
      <c r="D1326" t="s">
        <v>10</v>
      </c>
      <c r="E1326">
        <v>1995</v>
      </c>
      <c r="F1326" s="1">
        <v>100</v>
      </c>
      <c r="G1326">
        <v>1990</v>
      </c>
      <c r="H1326">
        <f>AVERAGEIFS(Table1[value],Table1[IndicatorCode],Table1[[#This Row],[IndicatorCode]])</f>
        <v>99.756410256410263</v>
      </c>
      <c r="I1326" cm="1">
        <f t="array" ref="I1326">_xlfn.STDEV.P(IF(Table1[IndicatorCode]=Table1[[#This Row],[IndicatorCode]],Table1[value]))</f>
        <v>1.1047979755287356</v>
      </c>
      <c r="J1326">
        <f>(Table1[[#This Row],[value]] - Table1[[#This Row],[mean]]) / Table1[[#This Row],[std_dev]]</f>
        <v>0.22048351733552002</v>
      </c>
      <c r="K1326">
        <f>AVERAGEIF(Table1[CountryCode],Table1[[#This Row],[CountryCode]],Table1[z-score])</f>
        <v>-0.18785287830584751</v>
      </c>
      <c r="L1326" t="e">
        <f>VLOOKUP(Table1[[#This Row],[CountryCode]],[1]!Table1[#All],1,FALSE)</f>
        <v>#REF!</v>
      </c>
    </row>
    <row r="1327" spans="1:12" hidden="1" x14ac:dyDescent="0.3">
      <c r="A1327" t="s">
        <v>89</v>
      </c>
      <c r="B1327" t="s">
        <v>90</v>
      </c>
      <c r="C1327" t="s">
        <v>9</v>
      </c>
      <c r="D1327" t="s">
        <v>10</v>
      </c>
      <c r="E1327">
        <v>1996</v>
      </c>
      <c r="F1327" s="1">
        <v>100</v>
      </c>
      <c r="G1327">
        <v>1990</v>
      </c>
      <c r="H1327">
        <f>AVERAGEIFS(Table1[value],Table1[IndicatorCode],Table1[[#This Row],[IndicatorCode]])</f>
        <v>99.756410256410263</v>
      </c>
      <c r="I1327" cm="1">
        <f t="array" ref="I1327">_xlfn.STDEV.P(IF(Table1[IndicatorCode]=Table1[[#This Row],[IndicatorCode]],Table1[value]))</f>
        <v>1.1047979755287356</v>
      </c>
      <c r="J1327">
        <f>(Table1[[#This Row],[value]] - Table1[[#This Row],[mean]]) / Table1[[#This Row],[std_dev]]</f>
        <v>0.22048351733552002</v>
      </c>
      <c r="K1327">
        <f>AVERAGEIF(Table1[CountryCode],Table1[[#This Row],[CountryCode]],Table1[z-score])</f>
        <v>-0.18785287830584751</v>
      </c>
      <c r="L1327" t="e">
        <f>VLOOKUP(Table1[[#This Row],[CountryCode]],[1]!Table1[#All],1,FALSE)</f>
        <v>#REF!</v>
      </c>
    </row>
    <row r="1328" spans="1:12" hidden="1" x14ac:dyDescent="0.3">
      <c r="A1328" t="s">
        <v>89</v>
      </c>
      <c r="B1328" t="s">
        <v>90</v>
      </c>
      <c r="C1328" t="s">
        <v>9</v>
      </c>
      <c r="D1328" t="s">
        <v>10</v>
      </c>
      <c r="E1328">
        <v>1997</v>
      </c>
      <c r="F1328" s="1">
        <v>100</v>
      </c>
      <c r="G1328">
        <v>2000</v>
      </c>
      <c r="H1328">
        <f>AVERAGEIFS(Table1[value],Table1[IndicatorCode],Table1[[#This Row],[IndicatorCode]])</f>
        <v>99.756410256410263</v>
      </c>
      <c r="I1328" cm="1">
        <f t="array" ref="I1328">_xlfn.STDEV.P(IF(Table1[IndicatorCode]=Table1[[#This Row],[IndicatorCode]],Table1[value]))</f>
        <v>1.1047979755287356</v>
      </c>
      <c r="J1328">
        <f>(Table1[[#This Row],[value]] - Table1[[#This Row],[mean]]) / Table1[[#This Row],[std_dev]]</f>
        <v>0.22048351733552002</v>
      </c>
      <c r="K1328">
        <f>AVERAGEIF(Table1[CountryCode],Table1[[#This Row],[CountryCode]],Table1[z-score])</f>
        <v>-0.18785287830584751</v>
      </c>
      <c r="L1328" t="e">
        <f>VLOOKUP(Table1[[#This Row],[CountryCode]],[1]!Table1[#All],1,FALSE)</f>
        <v>#REF!</v>
      </c>
    </row>
    <row r="1329" spans="1:12" hidden="1" x14ac:dyDescent="0.3">
      <c r="A1329" t="s">
        <v>89</v>
      </c>
      <c r="B1329" t="s">
        <v>90</v>
      </c>
      <c r="C1329" t="s">
        <v>9</v>
      </c>
      <c r="D1329" t="s">
        <v>10</v>
      </c>
      <c r="E1329">
        <v>1998</v>
      </c>
      <c r="F1329" s="1">
        <v>100</v>
      </c>
      <c r="G1329">
        <v>2000</v>
      </c>
      <c r="H1329">
        <f>AVERAGEIFS(Table1[value],Table1[IndicatorCode],Table1[[#This Row],[IndicatorCode]])</f>
        <v>99.756410256410263</v>
      </c>
      <c r="I1329" cm="1">
        <f t="array" ref="I1329">_xlfn.STDEV.P(IF(Table1[IndicatorCode]=Table1[[#This Row],[IndicatorCode]],Table1[value]))</f>
        <v>1.1047979755287356</v>
      </c>
      <c r="J1329">
        <f>(Table1[[#This Row],[value]] - Table1[[#This Row],[mean]]) / Table1[[#This Row],[std_dev]]</f>
        <v>0.22048351733552002</v>
      </c>
      <c r="K1329">
        <f>AVERAGEIF(Table1[CountryCode],Table1[[#This Row],[CountryCode]],Table1[z-score])</f>
        <v>-0.18785287830584751</v>
      </c>
      <c r="L1329" t="e">
        <f>VLOOKUP(Table1[[#This Row],[CountryCode]],[1]!Table1[#All],1,FALSE)</f>
        <v>#REF!</v>
      </c>
    </row>
    <row r="1330" spans="1:12" hidden="1" x14ac:dyDescent="0.3">
      <c r="A1330" t="s">
        <v>89</v>
      </c>
      <c r="B1330" t="s">
        <v>90</v>
      </c>
      <c r="C1330" t="s">
        <v>9</v>
      </c>
      <c r="D1330" t="s">
        <v>10</v>
      </c>
      <c r="E1330">
        <v>1999</v>
      </c>
      <c r="F1330" s="1">
        <v>100</v>
      </c>
      <c r="G1330">
        <v>2000</v>
      </c>
      <c r="H1330">
        <f>AVERAGEIFS(Table1[value],Table1[IndicatorCode],Table1[[#This Row],[IndicatorCode]])</f>
        <v>99.756410256410263</v>
      </c>
      <c r="I1330" cm="1">
        <f t="array" ref="I1330">_xlfn.STDEV.P(IF(Table1[IndicatorCode]=Table1[[#This Row],[IndicatorCode]],Table1[value]))</f>
        <v>1.1047979755287356</v>
      </c>
      <c r="J1330">
        <f>(Table1[[#This Row],[value]] - Table1[[#This Row],[mean]]) / Table1[[#This Row],[std_dev]]</f>
        <v>0.22048351733552002</v>
      </c>
      <c r="K1330">
        <f>AVERAGEIF(Table1[CountryCode],Table1[[#This Row],[CountryCode]],Table1[z-score])</f>
        <v>-0.18785287830584751</v>
      </c>
      <c r="L1330" t="e">
        <f>VLOOKUP(Table1[[#This Row],[CountryCode]],[1]!Table1[#All],1,FALSE)</f>
        <v>#REF!</v>
      </c>
    </row>
    <row r="1331" spans="1:12" hidden="1" x14ac:dyDescent="0.3">
      <c r="A1331" t="s">
        <v>89</v>
      </c>
      <c r="B1331" t="s">
        <v>90</v>
      </c>
      <c r="C1331" t="s">
        <v>9</v>
      </c>
      <c r="D1331" t="s">
        <v>10</v>
      </c>
      <c r="E1331">
        <v>2000</v>
      </c>
      <c r="F1331" s="1">
        <v>99</v>
      </c>
      <c r="G1331">
        <v>2000</v>
      </c>
      <c r="H1331">
        <f>AVERAGEIFS(Table1[value],Table1[IndicatorCode],Table1[[#This Row],[IndicatorCode]])</f>
        <v>99.756410256410263</v>
      </c>
      <c r="I1331" cm="1">
        <f t="array" ref="I1331">_xlfn.STDEV.P(IF(Table1[IndicatorCode]=Table1[[#This Row],[IndicatorCode]],Table1[value]))</f>
        <v>1.1047979755287356</v>
      </c>
      <c r="J1331">
        <f>(Table1[[#This Row],[value]] - Table1[[#This Row],[mean]]) / Table1[[#This Row],[std_dev]]</f>
        <v>-0.68465934330505884</v>
      </c>
      <c r="K1331">
        <f>AVERAGEIF(Table1[CountryCode],Table1[[#This Row],[CountryCode]],Table1[z-score])</f>
        <v>-0.18785287830584751</v>
      </c>
      <c r="L1331" t="e">
        <f>VLOOKUP(Table1[[#This Row],[CountryCode]],[1]!Table1[#All],1,FALSE)</f>
        <v>#REF!</v>
      </c>
    </row>
    <row r="1332" spans="1:12" hidden="1" x14ac:dyDescent="0.3">
      <c r="A1332" t="s">
        <v>89</v>
      </c>
      <c r="B1332" t="s">
        <v>90</v>
      </c>
      <c r="C1332" t="s">
        <v>9</v>
      </c>
      <c r="D1332" t="s">
        <v>10</v>
      </c>
      <c r="E1332">
        <v>2001</v>
      </c>
      <c r="F1332" s="1">
        <v>99</v>
      </c>
      <c r="G1332">
        <v>2000</v>
      </c>
      <c r="H1332">
        <f>AVERAGEIFS(Table1[value],Table1[IndicatorCode],Table1[[#This Row],[IndicatorCode]])</f>
        <v>99.756410256410263</v>
      </c>
      <c r="I1332" cm="1">
        <f t="array" ref="I1332">_xlfn.STDEV.P(IF(Table1[IndicatorCode]=Table1[[#This Row],[IndicatorCode]],Table1[value]))</f>
        <v>1.1047979755287356</v>
      </c>
      <c r="J1332">
        <f>(Table1[[#This Row],[value]] - Table1[[#This Row],[mean]]) / Table1[[#This Row],[std_dev]]</f>
        <v>-0.68465934330505884</v>
      </c>
      <c r="K1332">
        <f>AVERAGEIF(Table1[CountryCode],Table1[[#This Row],[CountryCode]],Table1[z-score])</f>
        <v>-0.18785287830584751</v>
      </c>
      <c r="L1332" t="e">
        <f>VLOOKUP(Table1[[#This Row],[CountryCode]],[1]!Table1[#All],1,FALSE)</f>
        <v>#REF!</v>
      </c>
    </row>
    <row r="1333" spans="1:12" hidden="1" x14ac:dyDescent="0.3">
      <c r="A1333" t="s">
        <v>89</v>
      </c>
      <c r="B1333" t="s">
        <v>90</v>
      </c>
      <c r="C1333" t="s">
        <v>9</v>
      </c>
      <c r="D1333" t="s">
        <v>10</v>
      </c>
      <c r="E1333">
        <v>2002</v>
      </c>
      <c r="F1333" s="1">
        <v>99</v>
      </c>
      <c r="G1333">
        <v>2000</v>
      </c>
      <c r="H1333">
        <f>AVERAGEIFS(Table1[value],Table1[IndicatorCode],Table1[[#This Row],[IndicatorCode]])</f>
        <v>99.756410256410263</v>
      </c>
      <c r="I1333" cm="1">
        <f t="array" ref="I1333">_xlfn.STDEV.P(IF(Table1[IndicatorCode]=Table1[[#This Row],[IndicatorCode]],Table1[value]))</f>
        <v>1.1047979755287356</v>
      </c>
      <c r="J1333">
        <f>(Table1[[#This Row],[value]] - Table1[[#This Row],[mean]]) / Table1[[#This Row],[std_dev]]</f>
        <v>-0.68465934330505884</v>
      </c>
      <c r="K1333">
        <f>AVERAGEIF(Table1[CountryCode],Table1[[#This Row],[CountryCode]],Table1[z-score])</f>
        <v>-0.18785287830584751</v>
      </c>
      <c r="L1333" t="e">
        <f>VLOOKUP(Table1[[#This Row],[CountryCode]],[1]!Table1[#All],1,FALSE)</f>
        <v>#REF!</v>
      </c>
    </row>
    <row r="1334" spans="1:12" hidden="1" x14ac:dyDescent="0.3">
      <c r="A1334" t="s">
        <v>89</v>
      </c>
      <c r="B1334" t="s">
        <v>90</v>
      </c>
      <c r="C1334" t="s">
        <v>9</v>
      </c>
      <c r="D1334" t="s">
        <v>10</v>
      </c>
      <c r="E1334">
        <v>2003</v>
      </c>
      <c r="F1334" s="1">
        <v>99</v>
      </c>
      <c r="G1334">
        <v>2000</v>
      </c>
      <c r="H1334">
        <f>AVERAGEIFS(Table1[value],Table1[IndicatorCode],Table1[[#This Row],[IndicatorCode]])</f>
        <v>99.756410256410263</v>
      </c>
      <c r="I1334" cm="1">
        <f t="array" ref="I1334">_xlfn.STDEV.P(IF(Table1[IndicatorCode]=Table1[[#This Row],[IndicatorCode]],Table1[value]))</f>
        <v>1.1047979755287356</v>
      </c>
      <c r="J1334">
        <f>(Table1[[#This Row],[value]] - Table1[[#This Row],[mean]]) / Table1[[#This Row],[std_dev]]</f>
        <v>-0.68465934330505884</v>
      </c>
      <c r="K1334">
        <f>AVERAGEIF(Table1[CountryCode],Table1[[#This Row],[CountryCode]],Table1[z-score])</f>
        <v>-0.18785287830584751</v>
      </c>
      <c r="L1334" t="e">
        <f>VLOOKUP(Table1[[#This Row],[CountryCode]],[1]!Table1[#All],1,FALSE)</f>
        <v>#REF!</v>
      </c>
    </row>
    <row r="1335" spans="1:12" hidden="1" x14ac:dyDescent="0.3">
      <c r="A1335" t="s">
        <v>89</v>
      </c>
      <c r="B1335" t="s">
        <v>90</v>
      </c>
      <c r="C1335" t="s">
        <v>9</v>
      </c>
      <c r="D1335" t="s">
        <v>10</v>
      </c>
      <c r="E1335">
        <v>2004</v>
      </c>
      <c r="F1335" s="1">
        <v>99</v>
      </c>
      <c r="G1335">
        <v>2000</v>
      </c>
      <c r="H1335">
        <f>AVERAGEIFS(Table1[value],Table1[IndicatorCode],Table1[[#This Row],[IndicatorCode]])</f>
        <v>99.756410256410263</v>
      </c>
      <c r="I1335" cm="1">
        <f t="array" ref="I1335">_xlfn.STDEV.P(IF(Table1[IndicatorCode]=Table1[[#This Row],[IndicatorCode]],Table1[value]))</f>
        <v>1.1047979755287356</v>
      </c>
      <c r="J1335">
        <f>(Table1[[#This Row],[value]] - Table1[[#This Row],[mean]]) / Table1[[#This Row],[std_dev]]</f>
        <v>-0.68465934330505884</v>
      </c>
      <c r="K1335">
        <f>AVERAGEIF(Table1[CountryCode],Table1[[#This Row],[CountryCode]],Table1[z-score])</f>
        <v>-0.18785287830584751</v>
      </c>
      <c r="L1335" t="e">
        <f>VLOOKUP(Table1[[#This Row],[CountryCode]],[1]!Table1[#All],1,FALSE)</f>
        <v>#REF!</v>
      </c>
    </row>
    <row r="1336" spans="1:12" hidden="1" x14ac:dyDescent="0.3">
      <c r="A1336" t="s">
        <v>89</v>
      </c>
      <c r="B1336" t="s">
        <v>90</v>
      </c>
      <c r="C1336" t="s">
        <v>9</v>
      </c>
      <c r="D1336" t="s">
        <v>10</v>
      </c>
      <c r="E1336">
        <v>2005</v>
      </c>
      <c r="F1336" s="1">
        <v>100</v>
      </c>
      <c r="G1336">
        <v>2000</v>
      </c>
      <c r="H1336">
        <f>AVERAGEIFS(Table1[value],Table1[IndicatorCode],Table1[[#This Row],[IndicatorCode]])</f>
        <v>99.756410256410263</v>
      </c>
      <c r="I1336" cm="1">
        <f t="array" ref="I1336">_xlfn.STDEV.P(IF(Table1[IndicatorCode]=Table1[[#This Row],[IndicatorCode]],Table1[value]))</f>
        <v>1.1047979755287356</v>
      </c>
      <c r="J1336">
        <f>(Table1[[#This Row],[value]] - Table1[[#This Row],[mean]]) / Table1[[#This Row],[std_dev]]</f>
        <v>0.22048351733552002</v>
      </c>
      <c r="K1336">
        <f>AVERAGEIF(Table1[CountryCode],Table1[[#This Row],[CountryCode]],Table1[z-score])</f>
        <v>-0.18785287830584751</v>
      </c>
      <c r="L1336" t="e">
        <f>VLOOKUP(Table1[[#This Row],[CountryCode]],[1]!Table1[#All],1,FALSE)</f>
        <v>#REF!</v>
      </c>
    </row>
    <row r="1337" spans="1:12" hidden="1" x14ac:dyDescent="0.3">
      <c r="A1337" t="s">
        <v>89</v>
      </c>
      <c r="B1337" t="s">
        <v>90</v>
      </c>
      <c r="C1337" t="s">
        <v>9</v>
      </c>
      <c r="D1337" t="s">
        <v>10</v>
      </c>
      <c r="E1337">
        <v>2006</v>
      </c>
      <c r="F1337" s="1">
        <v>99</v>
      </c>
      <c r="G1337">
        <v>2000</v>
      </c>
      <c r="H1337">
        <f>AVERAGEIFS(Table1[value],Table1[IndicatorCode],Table1[[#This Row],[IndicatorCode]])</f>
        <v>99.756410256410263</v>
      </c>
      <c r="I1337" cm="1">
        <f t="array" ref="I1337">_xlfn.STDEV.P(IF(Table1[IndicatorCode]=Table1[[#This Row],[IndicatorCode]],Table1[value]))</f>
        <v>1.1047979755287356</v>
      </c>
      <c r="J1337">
        <f>(Table1[[#This Row],[value]] - Table1[[#This Row],[mean]]) / Table1[[#This Row],[std_dev]]</f>
        <v>-0.68465934330505884</v>
      </c>
      <c r="K1337">
        <f>AVERAGEIF(Table1[CountryCode],Table1[[#This Row],[CountryCode]],Table1[z-score])</f>
        <v>-0.18785287830584751</v>
      </c>
      <c r="L1337" t="e">
        <f>VLOOKUP(Table1[[#This Row],[CountryCode]],[1]!Table1[#All],1,FALSE)</f>
        <v>#REF!</v>
      </c>
    </row>
    <row r="1338" spans="1:12" hidden="1" x14ac:dyDescent="0.3">
      <c r="A1338" t="s">
        <v>89</v>
      </c>
      <c r="B1338" t="s">
        <v>90</v>
      </c>
      <c r="C1338" t="s">
        <v>9</v>
      </c>
      <c r="D1338" t="s">
        <v>10</v>
      </c>
      <c r="E1338">
        <v>2007</v>
      </c>
      <c r="F1338" s="1">
        <v>99</v>
      </c>
      <c r="G1338">
        <v>2010</v>
      </c>
      <c r="H1338">
        <f>AVERAGEIFS(Table1[value],Table1[IndicatorCode],Table1[[#This Row],[IndicatorCode]])</f>
        <v>99.756410256410263</v>
      </c>
      <c r="I1338" cm="1">
        <f t="array" ref="I1338">_xlfn.STDEV.P(IF(Table1[IndicatorCode]=Table1[[#This Row],[IndicatorCode]],Table1[value]))</f>
        <v>1.1047979755287356</v>
      </c>
      <c r="J1338">
        <f>(Table1[[#This Row],[value]] - Table1[[#This Row],[mean]]) / Table1[[#This Row],[std_dev]]</f>
        <v>-0.68465934330505884</v>
      </c>
      <c r="K1338">
        <f>AVERAGEIF(Table1[CountryCode],Table1[[#This Row],[CountryCode]],Table1[z-score])</f>
        <v>-0.18785287830584751</v>
      </c>
      <c r="L1338" t="e">
        <f>VLOOKUP(Table1[[#This Row],[CountryCode]],[1]!Table1[#All],1,FALSE)</f>
        <v>#REF!</v>
      </c>
    </row>
    <row r="1339" spans="1:12" hidden="1" x14ac:dyDescent="0.3">
      <c r="A1339" t="s">
        <v>89</v>
      </c>
      <c r="B1339" t="s">
        <v>90</v>
      </c>
      <c r="C1339" t="s">
        <v>9</v>
      </c>
      <c r="D1339" t="s">
        <v>10</v>
      </c>
      <c r="E1339">
        <v>2008</v>
      </c>
      <c r="F1339" s="1">
        <v>99</v>
      </c>
      <c r="G1339">
        <v>2010</v>
      </c>
      <c r="H1339">
        <f>AVERAGEIFS(Table1[value],Table1[IndicatorCode],Table1[[#This Row],[IndicatorCode]])</f>
        <v>99.756410256410263</v>
      </c>
      <c r="I1339" cm="1">
        <f t="array" ref="I1339">_xlfn.STDEV.P(IF(Table1[IndicatorCode]=Table1[[#This Row],[IndicatorCode]],Table1[value]))</f>
        <v>1.1047979755287356</v>
      </c>
      <c r="J1339">
        <f>(Table1[[#This Row],[value]] - Table1[[#This Row],[mean]]) / Table1[[#This Row],[std_dev]]</f>
        <v>-0.68465934330505884</v>
      </c>
      <c r="K1339">
        <f>AVERAGEIF(Table1[CountryCode],Table1[[#This Row],[CountryCode]],Table1[z-score])</f>
        <v>-0.18785287830584751</v>
      </c>
      <c r="L1339" t="e">
        <f>VLOOKUP(Table1[[#This Row],[CountryCode]],[1]!Table1[#All],1,FALSE)</f>
        <v>#REF!</v>
      </c>
    </row>
    <row r="1340" spans="1:12" hidden="1" x14ac:dyDescent="0.3">
      <c r="A1340" t="s">
        <v>89</v>
      </c>
      <c r="B1340" t="s">
        <v>90</v>
      </c>
      <c r="C1340" t="s">
        <v>9</v>
      </c>
      <c r="D1340" t="s">
        <v>10</v>
      </c>
      <c r="E1340">
        <v>2009</v>
      </c>
      <c r="F1340" s="1">
        <v>99</v>
      </c>
      <c r="G1340">
        <v>2010</v>
      </c>
      <c r="H1340">
        <f>AVERAGEIFS(Table1[value],Table1[IndicatorCode],Table1[[#This Row],[IndicatorCode]])</f>
        <v>99.756410256410263</v>
      </c>
      <c r="I1340" cm="1">
        <f t="array" ref="I1340">_xlfn.STDEV.P(IF(Table1[IndicatorCode]=Table1[[#This Row],[IndicatorCode]],Table1[value]))</f>
        <v>1.1047979755287356</v>
      </c>
      <c r="J1340">
        <f>(Table1[[#This Row],[value]] - Table1[[#This Row],[mean]]) / Table1[[#This Row],[std_dev]]</f>
        <v>-0.68465934330505884</v>
      </c>
      <c r="K1340">
        <f>AVERAGEIF(Table1[CountryCode],Table1[[#This Row],[CountryCode]],Table1[z-score])</f>
        <v>-0.18785287830584751</v>
      </c>
      <c r="L1340" t="e">
        <f>VLOOKUP(Table1[[#This Row],[CountryCode]],[1]!Table1[#All],1,FALSE)</f>
        <v>#REF!</v>
      </c>
    </row>
    <row r="1341" spans="1:12" hidden="1" x14ac:dyDescent="0.3">
      <c r="A1341" t="s">
        <v>89</v>
      </c>
      <c r="B1341" t="s">
        <v>90</v>
      </c>
      <c r="C1341" t="s">
        <v>9</v>
      </c>
      <c r="D1341" t="s">
        <v>10</v>
      </c>
      <c r="E1341">
        <v>2010</v>
      </c>
      <c r="F1341" s="1">
        <v>99</v>
      </c>
      <c r="G1341">
        <v>2010</v>
      </c>
      <c r="H1341">
        <f>AVERAGEIFS(Table1[value],Table1[IndicatorCode],Table1[[#This Row],[IndicatorCode]])</f>
        <v>99.756410256410263</v>
      </c>
      <c r="I1341" cm="1">
        <f t="array" ref="I1341">_xlfn.STDEV.P(IF(Table1[IndicatorCode]=Table1[[#This Row],[IndicatorCode]],Table1[value]))</f>
        <v>1.1047979755287356</v>
      </c>
      <c r="J1341">
        <f>(Table1[[#This Row],[value]] - Table1[[#This Row],[mean]]) / Table1[[#This Row],[std_dev]]</f>
        <v>-0.68465934330505884</v>
      </c>
      <c r="K1341">
        <f>AVERAGEIF(Table1[CountryCode],Table1[[#This Row],[CountryCode]],Table1[z-score])</f>
        <v>-0.18785287830584751</v>
      </c>
      <c r="L1341" t="e">
        <f>VLOOKUP(Table1[[#This Row],[CountryCode]],[1]!Table1[#All],1,FALSE)</f>
        <v>#REF!</v>
      </c>
    </row>
    <row r="1342" spans="1:12" hidden="1" x14ac:dyDescent="0.3">
      <c r="A1342" t="s">
        <v>89</v>
      </c>
      <c r="B1342" t="s">
        <v>90</v>
      </c>
      <c r="C1342" t="s">
        <v>9</v>
      </c>
      <c r="D1342" t="s">
        <v>10</v>
      </c>
      <c r="E1342">
        <v>2011</v>
      </c>
      <c r="F1342" s="1">
        <v>99</v>
      </c>
      <c r="G1342">
        <v>2010</v>
      </c>
      <c r="H1342">
        <f>AVERAGEIFS(Table1[value],Table1[IndicatorCode],Table1[[#This Row],[IndicatorCode]])</f>
        <v>99.756410256410263</v>
      </c>
      <c r="I1342" cm="1">
        <f t="array" ref="I1342">_xlfn.STDEV.P(IF(Table1[IndicatorCode]=Table1[[#This Row],[IndicatorCode]],Table1[value]))</f>
        <v>1.1047979755287356</v>
      </c>
      <c r="J1342">
        <f>(Table1[[#This Row],[value]] - Table1[[#This Row],[mean]]) / Table1[[#This Row],[std_dev]]</f>
        <v>-0.68465934330505884</v>
      </c>
      <c r="K1342">
        <f>AVERAGEIF(Table1[CountryCode],Table1[[#This Row],[CountryCode]],Table1[z-score])</f>
        <v>-0.18785287830584751</v>
      </c>
      <c r="L1342" t="e">
        <f>VLOOKUP(Table1[[#This Row],[CountryCode]],[1]!Table1[#All],1,FALSE)</f>
        <v>#REF!</v>
      </c>
    </row>
    <row r="1343" spans="1:12" hidden="1" x14ac:dyDescent="0.3">
      <c r="A1343" t="s">
        <v>89</v>
      </c>
      <c r="B1343" t="s">
        <v>90</v>
      </c>
      <c r="C1343" t="s">
        <v>9</v>
      </c>
      <c r="D1343" t="s">
        <v>10</v>
      </c>
      <c r="E1343">
        <v>2012</v>
      </c>
      <c r="F1343" s="1">
        <v>99</v>
      </c>
      <c r="G1343">
        <v>2010</v>
      </c>
      <c r="H1343">
        <f>AVERAGEIFS(Table1[value],Table1[IndicatorCode],Table1[[#This Row],[IndicatorCode]])</f>
        <v>99.756410256410263</v>
      </c>
      <c r="I1343" cm="1">
        <f t="array" ref="I1343">_xlfn.STDEV.P(IF(Table1[IndicatorCode]=Table1[[#This Row],[IndicatorCode]],Table1[value]))</f>
        <v>1.1047979755287356</v>
      </c>
      <c r="J1343">
        <f>(Table1[[#This Row],[value]] - Table1[[#This Row],[mean]]) / Table1[[#This Row],[std_dev]]</f>
        <v>-0.68465934330505884</v>
      </c>
      <c r="K1343">
        <f>AVERAGEIF(Table1[CountryCode],Table1[[#This Row],[CountryCode]],Table1[z-score])</f>
        <v>-0.18785287830584751</v>
      </c>
      <c r="L1343" t="e">
        <f>VLOOKUP(Table1[[#This Row],[CountryCode]],[1]!Table1[#All],1,FALSE)</f>
        <v>#REF!</v>
      </c>
    </row>
    <row r="1344" spans="1:12" hidden="1" x14ac:dyDescent="0.3">
      <c r="A1344" t="s">
        <v>89</v>
      </c>
      <c r="B1344" t="s">
        <v>90</v>
      </c>
      <c r="C1344" t="s">
        <v>9</v>
      </c>
      <c r="D1344" t="s">
        <v>10</v>
      </c>
      <c r="E1344">
        <v>2013</v>
      </c>
      <c r="F1344" s="1">
        <v>100</v>
      </c>
      <c r="G1344">
        <v>2010</v>
      </c>
      <c r="H1344">
        <f>AVERAGEIFS(Table1[value],Table1[IndicatorCode],Table1[[#This Row],[IndicatorCode]])</f>
        <v>99.756410256410263</v>
      </c>
      <c r="I1344" cm="1">
        <f t="array" ref="I1344">_xlfn.STDEV.P(IF(Table1[IndicatorCode]=Table1[[#This Row],[IndicatorCode]],Table1[value]))</f>
        <v>1.1047979755287356</v>
      </c>
      <c r="J1344">
        <f>(Table1[[#This Row],[value]] - Table1[[#This Row],[mean]]) / Table1[[#This Row],[std_dev]]</f>
        <v>0.22048351733552002</v>
      </c>
      <c r="K1344">
        <f>AVERAGEIF(Table1[CountryCode],Table1[[#This Row],[CountryCode]],Table1[z-score])</f>
        <v>-0.18785287830584751</v>
      </c>
      <c r="L1344" t="e">
        <f>VLOOKUP(Table1[[#This Row],[CountryCode]],[1]!Table1[#All],1,FALSE)</f>
        <v>#REF!</v>
      </c>
    </row>
    <row r="1345" spans="1:12" hidden="1" x14ac:dyDescent="0.3">
      <c r="A1345" t="s">
        <v>89</v>
      </c>
      <c r="B1345" t="s">
        <v>90</v>
      </c>
      <c r="C1345" t="s">
        <v>9</v>
      </c>
      <c r="D1345" t="s">
        <v>10</v>
      </c>
      <c r="E1345">
        <v>2014</v>
      </c>
      <c r="F1345" s="1">
        <v>98</v>
      </c>
      <c r="G1345">
        <v>2010</v>
      </c>
      <c r="H1345">
        <f>AVERAGEIFS(Table1[value],Table1[IndicatorCode],Table1[[#This Row],[IndicatorCode]])</f>
        <v>99.756410256410263</v>
      </c>
      <c r="I1345" cm="1">
        <f t="array" ref="I1345">_xlfn.STDEV.P(IF(Table1[IndicatorCode]=Table1[[#This Row],[IndicatorCode]],Table1[value]))</f>
        <v>1.1047979755287356</v>
      </c>
      <c r="J1345">
        <f>(Table1[[#This Row],[value]] - Table1[[#This Row],[mean]]) / Table1[[#This Row],[std_dev]]</f>
        <v>-1.5898022039456376</v>
      </c>
      <c r="K1345">
        <f>AVERAGEIF(Table1[CountryCode],Table1[[#This Row],[CountryCode]],Table1[z-score])</f>
        <v>-0.18785287830584751</v>
      </c>
      <c r="L1345" t="e">
        <f>VLOOKUP(Table1[[#This Row],[CountryCode]],[1]!Table1[#All],1,FALSE)</f>
        <v>#REF!</v>
      </c>
    </row>
    <row r="1346" spans="1:12" hidden="1" x14ac:dyDescent="0.3">
      <c r="A1346" t="s">
        <v>89</v>
      </c>
      <c r="B1346" t="s">
        <v>90</v>
      </c>
      <c r="C1346" t="s">
        <v>9</v>
      </c>
      <c r="D1346" t="s">
        <v>10</v>
      </c>
      <c r="E1346">
        <v>2015</v>
      </c>
      <c r="F1346" s="1">
        <v>100</v>
      </c>
      <c r="G1346">
        <v>2010</v>
      </c>
      <c r="H1346">
        <f>AVERAGEIFS(Table1[value],Table1[IndicatorCode],Table1[[#This Row],[IndicatorCode]])</f>
        <v>99.756410256410263</v>
      </c>
      <c r="I1346" cm="1">
        <f t="array" ref="I1346">_xlfn.STDEV.P(IF(Table1[IndicatorCode]=Table1[[#This Row],[IndicatorCode]],Table1[value]))</f>
        <v>1.1047979755287356</v>
      </c>
      <c r="J1346">
        <f>(Table1[[#This Row],[value]] - Table1[[#This Row],[mean]]) / Table1[[#This Row],[std_dev]]</f>
        <v>0.22048351733552002</v>
      </c>
      <c r="K1346">
        <f>AVERAGEIF(Table1[CountryCode],Table1[[#This Row],[CountryCode]],Table1[z-score])</f>
        <v>-0.18785287830584751</v>
      </c>
      <c r="L1346" t="e">
        <f>VLOOKUP(Table1[[#This Row],[CountryCode]],[1]!Table1[#All],1,FALSE)</f>
        <v>#REF!</v>
      </c>
    </row>
    <row r="1347" spans="1:12" hidden="1" x14ac:dyDescent="0.3">
      <c r="A1347" t="s">
        <v>89</v>
      </c>
      <c r="B1347" t="s">
        <v>90</v>
      </c>
      <c r="C1347" t="s">
        <v>9</v>
      </c>
      <c r="D1347" t="s">
        <v>10</v>
      </c>
      <c r="E1347">
        <v>2016</v>
      </c>
      <c r="F1347" s="1">
        <v>100</v>
      </c>
      <c r="G1347">
        <v>2010</v>
      </c>
      <c r="H1347">
        <f>AVERAGEIFS(Table1[value],Table1[IndicatorCode],Table1[[#This Row],[IndicatorCode]])</f>
        <v>99.756410256410263</v>
      </c>
      <c r="I1347" cm="1">
        <f t="array" ref="I1347">_xlfn.STDEV.P(IF(Table1[IndicatorCode]=Table1[[#This Row],[IndicatorCode]],Table1[value]))</f>
        <v>1.1047979755287356</v>
      </c>
      <c r="J1347">
        <f>(Table1[[#This Row],[value]] - Table1[[#This Row],[mean]]) / Table1[[#This Row],[std_dev]]</f>
        <v>0.22048351733552002</v>
      </c>
      <c r="K1347">
        <f>AVERAGEIF(Table1[CountryCode],Table1[[#This Row],[CountryCode]],Table1[z-score])</f>
        <v>-0.18785287830584751</v>
      </c>
      <c r="L1347" t="e">
        <f>VLOOKUP(Table1[[#This Row],[CountryCode]],[1]!Table1[#All],1,FALSE)</f>
        <v>#REF!</v>
      </c>
    </row>
    <row r="1348" spans="1:12" hidden="1" x14ac:dyDescent="0.3">
      <c r="A1348" t="s">
        <v>89</v>
      </c>
      <c r="B1348" t="s">
        <v>90</v>
      </c>
      <c r="C1348" t="s">
        <v>9</v>
      </c>
      <c r="D1348" t="s">
        <v>10</v>
      </c>
      <c r="E1348">
        <v>2017</v>
      </c>
      <c r="F1348" s="1">
        <v>100</v>
      </c>
      <c r="G1348">
        <v>2020</v>
      </c>
      <c r="H1348">
        <f>AVERAGEIFS(Table1[value],Table1[IndicatorCode],Table1[[#This Row],[IndicatorCode]])</f>
        <v>99.756410256410263</v>
      </c>
      <c r="I1348" cm="1">
        <f t="array" ref="I1348">_xlfn.STDEV.P(IF(Table1[IndicatorCode]=Table1[[#This Row],[IndicatorCode]],Table1[value]))</f>
        <v>1.1047979755287356</v>
      </c>
      <c r="J1348">
        <f>(Table1[[#This Row],[value]] - Table1[[#This Row],[mean]]) / Table1[[#This Row],[std_dev]]</f>
        <v>0.22048351733552002</v>
      </c>
      <c r="K1348">
        <f>AVERAGEIF(Table1[CountryCode],Table1[[#This Row],[CountryCode]],Table1[z-score])</f>
        <v>-0.18785287830584751</v>
      </c>
      <c r="L1348" t="e">
        <f>VLOOKUP(Table1[[#This Row],[CountryCode]],[1]!Table1[#All],1,FALSE)</f>
        <v>#REF!</v>
      </c>
    </row>
    <row r="1349" spans="1:12" hidden="1" x14ac:dyDescent="0.3">
      <c r="A1349" t="s">
        <v>89</v>
      </c>
      <c r="B1349" t="s">
        <v>90</v>
      </c>
      <c r="C1349" t="s">
        <v>9</v>
      </c>
      <c r="D1349" t="s">
        <v>10</v>
      </c>
      <c r="E1349">
        <v>2018</v>
      </c>
      <c r="F1349" s="1">
        <v>100</v>
      </c>
      <c r="G1349">
        <v>2020</v>
      </c>
      <c r="H1349">
        <f>AVERAGEIFS(Table1[value],Table1[IndicatorCode],Table1[[#This Row],[IndicatorCode]])</f>
        <v>99.756410256410263</v>
      </c>
      <c r="I1349" cm="1">
        <f t="array" ref="I1349">_xlfn.STDEV.P(IF(Table1[IndicatorCode]=Table1[[#This Row],[IndicatorCode]],Table1[value]))</f>
        <v>1.1047979755287356</v>
      </c>
      <c r="J1349">
        <f>(Table1[[#This Row],[value]] - Table1[[#This Row],[mean]]) / Table1[[#This Row],[std_dev]]</f>
        <v>0.22048351733552002</v>
      </c>
      <c r="K1349">
        <f>AVERAGEIF(Table1[CountryCode],Table1[[#This Row],[CountryCode]],Table1[z-score])</f>
        <v>-0.18785287830584751</v>
      </c>
      <c r="L1349" t="e">
        <f>VLOOKUP(Table1[[#This Row],[CountryCode]],[1]!Table1[#All],1,FALSE)</f>
        <v>#REF!</v>
      </c>
    </row>
    <row r="1350" spans="1:12" hidden="1" x14ac:dyDescent="0.3">
      <c r="A1350" t="s">
        <v>89</v>
      </c>
      <c r="B1350" t="s">
        <v>90</v>
      </c>
      <c r="C1350" t="s">
        <v>9</v>
      </c>
      <c r="D1350" t="s">
        <v>10</v>
      </c>
      <c r="E1350">
        <v>2019</v>
      </c>
      <c r="F1350" s="1">
        <v>100</v>
      </c>
      <c r="G1350">
        <v>2020</v>
      </c>
      <c r="H1350">
        <f>AVERAGEIFS(Table1[value],Table1[IndicatorCode],Table1[[#This Row],[IndicatorCode]])</f>
        <v>99.756410256410263</v>
      </c>
      <c r="I1350" cm="1">
        <f t="array" ref="I1350">_xlfn.STDEV.P(IF(Table1[IndicatorCode]=Table1[[#This Row],[IndicatorCode]],Table1[value]))</f>
        <v>1.1047979755287356</v>
      </c>
      <c r="J1350">
        <f>(Table1[[#This Row],[value]] - Table1[[#This Row],[mean]]) / Table1[[#This Row],[std_dev]]</f>
        <v>0.22048351733552002</v>
      </c>
      <c r="K1350">
        <f>AVERAGEIF(Table1[CountryCode],Table1[[#This Row],[CountryCode]],Table1[z-score])</f>
        <v>-0.18785287830584751</v>
      </c>
      <c r="L1350" t="e">
        <f>VLOOKUP(Table1[[#This Row],[CountryCode]],[1]!Table1[#All],1,FALSE)</f>
        <v>#REF!</v>
      </c>
    </row>
    <row r="1351" spans="1:12" x14ac:dyDescent="0.3">
      <c r="A1351" t="s">
        <v>89</v>
      </c>
      <c r="B1351" t="s">
        <v>90</v>
      </c>
      <c r="C1351" t="s">
        <v>9</v>
      </c>
      <c r="D1351" t="s">
        <v>10</v>
      </c>
      <c r="E1351">
        <v>2020</v>
      </c>
      <c r="F1351" s="1">
        <v>100</v>
      </c>
      <c r="G1351">
        <v>2020</v>
      </c>
      <c r="H1351">
        <f>AVERAGEIFS(Table1[value],Table1[IndicatorCode],Table1[[#This Row],[IndicatorCode]])</f>
        <v>99.756410256410263</v>
      </c>
      <c r="I1351" cm="1">
        <f t="array" ref="I1351">_xlfn.STDEV.P(IF(Table1[IndicatorCode]=Table1[[#This Row],[IndicatorCode]],Table1[value]))</f>
        <v>1.1047979755287356</v>
      </c>
      <c r="J1351">
        <f>(Table1[[#This Row],[value]] - Table1[[#This Row],[mean]]) / Table1[[#This Row],[std_dev]]</f>
        <v>0.22048351733552002</v>
      </c>
      <c r="K1351">
        <f>AVERAGEIF(Table1[CountryCode],Table1[[#This Row],[CountryCode]],Table1[z-score])</f>
        <v>-0.18785287830584751</v>
      </c>
    </row>
    <row r="1352" spans="1:12" hidden="1" x14ac:dyDescent="0.3">
      <c r="A1352" t="s">
        <v>89</v>
      </c>
      <c r="B1352" t="s">
        <v>90</v>
      </c>
      <c r="C1352" t="s">
        <v>9</v>
      </c>
      <c r="D1352" t="s">
        <v>10</v>
      </c>
      <c r="E1352">
        <v>2021</v>
      </c>
      <c r="F1352" s="1">
        <v>100</v>
      </c>
      <c r="G1352">
        <v>1990</v>
      </c>
      <c r="H1352">
        <f>AVERAGEIFS(Table1[value],Table1[IndicatorCode],Table1[[#This Row],[IndicatorCode]])</f>
        <v>99.756410256410263</v>
      </c>
      <c r="I1352" cm="1">
        <f t="array" ref="I1352">_xlfn.STDEV.P(IF(Table1[IndicatorCode]=Table1[[#This Row],[IndicatorCode]],Table1[value]))</f>
        <v>1.1047979755287356</v>
      </c>
      <c r="J1352">
        <f>(Table1[[#This Row],[value]] - Table1[[#This Row],[mean]]) / Table1[[#This Row],[std_dev]]</f>
        <v>0.22048351733552002</v>
      </c>
      <c r="K1352">
        <f>AVERAGEIF(Table1[CountryCode],Table1[[#This Row],[CountryCode]],Table1[z-score])</f>
        <v>-0.18785287830584751</v>
      </c>
      <c r="L1352" t="e">
        <f>VLOOKUP(Table1[[#This Row],[CountryCode]],[1]!Table1[#All],1,FALSE)</f>
        <v>#REF!</v>
      </c>
    </row>
    <row r="1353" spans="1:12" hidden="1" x14ac:dyDescent="0.3">
      <c r="A1353" t="s">
        <v>89</v>
      </c>
      <c r="B1353" t="s">
        <v>90</v>
      </c>
      <c r="C1353" t="s">
        <v>9</v>
      </c>
      <c r="D1353" t="s">
        <v>10</v>
      </c>
      <c r="E1353">
        <v>2022</v>
      </c>
      <c r="F1353" s="1">
        <v>100</v>
      </c>
      <c r="G1353">
        <v>1990</v>
      </c>
      <c r="H1353">
        <f>AVERAGEIFS(Table1[value],Table1[IndicatorCode],Table1[[#This Row],[IndicatorCode]])</f>
        <v>99.756410256410263</v>
      </c>
      <c r="I1353" cm="1">
        <f t="array" ref="I1353">_xlfn.STDEV.P(IF(Table1[IndicatorCode]=Table1[[#This Row],[IndicatorCode]],Table1[value]))</f>
        <v>1.1047979755287356</v>
      </c>
      <c r="J1353">
        <f>(Table1[[#This Row],[value]] - Table1[[#This Row],[mean]]) / Table1[[#This Row],[std_dev]]</f>
        <v>0.22048351733552002</v>
      </c>
      <c r="K1353">
        <f>AVERAGEIF(Table1[CountryCode],Table1[[#This Row],[CountryCode]],Table1[z-score])</f>
        <v>-0.18785287830584751</v>
      </c>
      <c r="L1353" t="e">
        <f>VLOOKUP(Table1[[#This Row],[CountryCode]],[1]!Table1[#All],1,FALSE)</f>
        <v>#REF!</v>
      </c>
    </row>
    <row r="1354" spans="1:12" hidden="1" x14ac:dyDescent="0.3">
      <c r="A1354" t="s">
        <v>89</v>
      </c>
      <c r="B1354" t="s">
        <v>90</v>
      </c>
      <c r="C1354" t="s">
        <v>9</v>
      </c>
      <c r="D1354" t="s">
        <v>10</v>
      </c>
      <c r="E1354">
        <v>2023</v>
      </c>
      <c r="F1354" s="1">
        <v>100</v>
      </c>
      <c r="G1354">
        <v>1990</v>
      </c>
      <c r="H1354">
        <f>AVERAGEIFS(Table1[value],Table1[IndicatorCode],Table1[[#This Row],[IndicatorCode]])</f>
        <v>99.756410256410263</v>
      </c>
      <c r="I1354" cm="1">
        <f t="array" ref="I1354">_xlfn.STDEV.P(IF(Table1[IndicatorCode]=Table1[[#This Row],[IndicatorCode]],Table1[value]))</f>
        <v>1.1047979755287356</v>
      </c>
      <c r="J1354">
        <f>(Table1[[#This Row],[value]] - Table1[[#This Row],[mean]]) / Table1[[#This Row],[std_dev]]</f>
        <v>0.22048351733552002</v>
      </c>
      <c r="K1354">
        <f>AVERAGEIF(Table1[CountryCode],Table1[[#This Row],[CountryCode]],Table1[z-score])</f>
        <v>-0.18785287830584751</v>
      </c>
      <c r="L1354" t="e">
        <f>VLOOKUP(Table1[[#This Row],[CountryCode]],[1]!Table1[#All],1,FALSE)</f>
        <v>#REF!</v>
      </c>
    </row>
    <row r="1355" spans="1:12" hidden="1" x14ac:dyDescent="0.3">
      <c r="A1355" t="s">
        <v>91</v>
      </c>
      <c r="B1355" t="s">
        <v>92</v>
      </c>
      <c r="C1355" t="s">
        <v>9</v>
      </c>
      <c r="D1355" t="s">
        <v>10</v>
      </c>
      <c r="E1355">
        <v>1990</v>
      </c>
      <c r="F1355" s="1">
        <v>100</v>
      </c>
      <c r="G1355">
        <v>1990</v>
      </c>
      <c r="H1355">
        <f>AVERAGEIFS(Table1[value],Table1[IndicatorCode],Table1[[#This Row],[IndicatorCode]])</f>
        <v>99.756410256410263</v>
      </c>
      <c r="I1355" cm="1">
        <f t="array" ref="I1355">_xlfn.STDEV.P(IF(Table1[IndicatorCode]=Table1[[#This Row],[IndicatorCode]],Table1[value]))</f>
        <v>1.1047979755287356</v>
      </c>
      <c r="J1355">
        <f>(Table1[[#This Row],[value]] - Table1[[#This Row],[mean]]) / Table1[[#This Row],[std_dev]]</f>
        <v>0.22048351733552002</v>
      </c>
      <c r="K1355">
        <f>AVERAGEIF(Table1[CountryCode],Table1[[#This Row],[CountryCode]],Table1[z-score])</f>
        <v>0.48073633366786628</v>
      </c>
      <c r="L1355" t="e">
        <f>VLOOKUP(Table1[[#This Row],[CountryCode]],[1]!Table1[#All],1,FALSE)</f>
        <v>#REF!</v>
      </c>
    </row>
    <row r="1356" spans="1:12" hidden="1" x14ac:dyDescent="0.3">
      <c r="A1356" t="s">
        <v>91</v>
      </c>
      <c r="B1356" t="s">
        <v>92</v>
      </c>
      <c r="C1356" t="s">
        <v>9</v>
      </c>
      <c r="D1356" t="s">
        <v>10</v>
      </c>
      <c r="E1356">
        <v>1991</v>
      </c>
      <c r="F1356" s="1">
        <v>100</v>
      </c>
      <c r="G1356">
        <v>1990</v>
      </c>
      <c r="H1356">
        <f>AVERAGEIFS(Table1[value],Table1[IndicatorCode],Table1[[#This Row],[IndicatorCode]])</f>
        <v>99.756410256410263</v>
      </c>
      <c r="I1356" cm="1">
        <f t="array" ref="I1356">_xlfn.STDEV.P(IF(Table1[IndicatorCode]=Table1[[#This Row],[IndicatorCode]],Table1[value]))</f>
        <v>1.1047979755287356</v>
      </c>
      <c r="J1356">
        <f>(Table1[[#This Row],[value]] - Table1[[#This Row],[mean]]) / Table1[[#This Row],[std_dev]]</f>
        <v>0.22048351733552002</v>
      </c>
      <c r="K1356">
        <f>AVERAGEIF(Table1[CountryCode],Table1[[#This Row],[CountryCode]],Table1[z-score])</f>
        <v>0.48073633366786628</v>
      </c>
      <c r="L1356" t="e">
        <f>VLOOKUP(Table1[[#This Row],[CountryCode]],[1]!Table1[#All],1,FALSE)</f>
        <v>#REF!</v>
      </c>
    </row>
    <row r="1357" spans="1:12" hidden="1" x14ac:dyDescent="0.3">
      <c r="A1357" t="s">
        <v>91</v>
      </c>
      <c r="B1357" t="s">
        <v>92</v>
      </c>
      <c r="C1357" t="s">
        <v>9</v>
      </c>
      <c r="D1357" t="s">
        <v>10</v>
      </c>
      <c r="E1357">
        <v>1992</v>
      </c>
      <c r="F1357" s="1">
        <v>100</v>
      </c>
      <c r="G1357">
        <v>1990</v>
      </c>
      <c r="H1357">
        <f>AVERAGEIFS(Table1[value],Table1[IndicatorCode],Table1[[#This Row],[IndicatorCode]])</f>
        <v>99.756410256410263</v>
      </c>
      <c r="I1357" cm="1">
        <f t="array" ref="I1357">_xlfn.STDEV.P(IF(Table1[IndicatorCode]=Table1[[#This Row],[IndicatorCode]],Table1[value]))</f>
        <v>1.1047979755287356</v>
      </c>
      <c r="J1357">
        <f>(Table1[[#This Row],[value]] - Table1[[#This Row],[mean]]) / Table1[[#This Row],[std_dev]]</f>
        <v>0.22048351733552002</v>
      </c>
      <c r="K1357">
        <f>AVERAGEIF(Table1[CountryCode],Table1[[#This Row],[CountryCode]],Table1[z-score])</f>
        <v>0.48073633366786628</v>
      </c>
      <c r="L1357" t="e">
        <f>VLOOKUP(Table1[[#This Row],[CountryCode]],[1]!Table1[#All],1,FALSE)</f>
        <v>#REF!</v>
      </c>
    </row>
    <row r="1358" spans="1:12" hidden="1" x14ac:dyDescent="0.3">
      <c r="A1358" t="s">
        <v>91</v>
      </c>
      <c r="B1358" t="s">
        <v>92</v>
      </c>
      <c r="C1358" t="s">
        <v>9</v>
      </c>
      <c r="D1358" t="s">
        <v>10</v>
      </c>
      <c r="E1358">
        <v>1993</v>
      </c>
      <c r="F1358" s="1">
        <v>100</v>
      </c>
      <c r="G1358">
        <v>1990</v>
      </c>
      <c r="H1358">
        <f>AVERAGEIFS(Table1[value],Table1[IndicatorCode],Table1[[#This Row],[IndicatorCode]])</f>
        <v>99.756410256410263</v>
      </c>
      <c r="I1358" cm="1">
        <f t="array" ref="I1358">_xlfn.STDEV.P(IF(Table1[IndicatorCode]=Table1[[#This Row],[IndicatorCode]],Table1[value]))</f>
        <v>1.1047979755287356</v>
      </c>
      <c r="J1358">
        <f>(Table1[[#This Row],[value]] - Table1[[#This Row],[mean]]) / Table1[[#This Row],[std_dev]]</f>
        <v>0.22048351733552002</v>
      </c>
      <c r="K1358">
        <f>AVERAGEIF(Table1[CountryCode],Table1[[#This Row],[CountryCode]],Table1[z-score])</f>
        <v>0.48073633366786628</v>
      </c>
      <c r="L1358" t="e">
        <f>VLOOKUP(Table1[[#This Row],[CountryCode]],[1]!Table1[#All],1,FALSE)</f>
        <v>#REF!</v>
      </c>
    </row>
    <row r="1359" spans="1:12" hidden="1" x14ac:dyDescent="0.3">
      <c r="A1359" t="s">
        <v>91</v>
      </c>
      <c r="B1359" t="s">
        <v>92</v>
      </c>
      <c r="C1359" t="s">
        <v>9</v>
      </c>
      <c r="D1359" t="s">
        <v>10</v>
      </c>
      <c r="E1359">
        <v>1994</v>
      </c>
      <c r="F1359" s="1">
        <v>100</v>
      </c>
      <c r="G1359">
        <v>1990</v>
      </c>
      <c r="H1359">
        <f>AVERAGEIFS(Table1[value],Table1[IndicatorCode],Table1[[#This Row],[IndicatorCode]])</f>
        <v>99.756410256410263</v>
      </c>
      <c r="I1359" cm="1">
        <f t="array" ref="I1359">_xlfn.STDEV.P(IF(Table1[IndicatorCode]=Table1[[#This Row],[IndicatorCode]],Table1[value]))</f>
        <v>1.1047979755287356</v>
      </c>
      <c r="J1359">
        <f>(Table1[[#This Row],[value]] - Table1[[#This Row],[mean]]) / Table1[[#This Row],[std_dev]]</f>
        <v>0.22048351733552002</v>
      </c>
      <c r="K1359">
        <f>AVERAGEIF(Table1[CountryCode],Table1[[#This Row],[CountryCode]],Table1[z-score])</f>
        <v>0.48073633366786628</v>
      </c>
      <c r="L1359" t="e">
        <f>VLOOKUP(Table1[[#This Row],[CountryCode]],[1]!Table1[#All],1,FALSE)</f>
        <v>#REF!</v>
      </c>
    </row>
    <row r="1360" spans="1:12" hidden="1" x14ac:dyDescent="0.3">
      <c r="A1360" t="s">
        <v>91</v>
      </c>
      <c r="B1360" t="s">
        <v>92</v>
      </c>
      <c r="C1360" t="s">
        <v>9</v>
      </c>
      <c r="D1360" t="s">
        <v>10</v>
      </c>
      <c r="E1360">
        <v>1995</v>
      </c>
      <c r="F1360" s="1">
        <v>100</v>
      </c>
      <c r="G1360">
        <v>1990</v>
      </c>
      <c r="H1360">
        <f>AVERAGEIFS(Table1[value],Table1[IndicatorCode],Table1[[#This Row],[IndicatorCode]])</f>
        <v>99.756410256410263</v>
      </c>
      <c r="I1360" cm="1">
        <f t="array" ref="I1360">_xlfn.STDEV.P(IF(Table1[IndicatorCode]=Table1[[#This Row],[IndicatorCode]],Table1[value]))</f>
        <v>1.1047979755287356</v>
      </c>
      <c r="J1360">
        <f>(Table1[[#This Row],[value]] - Table1[[#This Row],[mean]]) / Table1[[#This Row],[std_dev]]</f>
        <v>0.22048351733552002</v>
      </c>
      <c r="K1360">
        <f>AVERAGEIF(Table1[CountryCode],Table1[[#This Row],[CountryCode]],Table1[z-score])</f>
        <v>0.48073633366786628</v>
      </c>
      <c r="L1360" t="e">
        <f>VLOOKUP(Table1[[#This Row],[CountryCode]],[1]!Table1[#All],1,FALSE)</f>
        <v>#REF!</v>
      </c>
    </row>
    <row r="1361" spans="1:12" hidden="1" x14ac:dyDescent="0.3">
      <c r="A1361" t="s">
        <v>91</v>
      </c>
      <c r="B1361" t="s">
        <v>92</v>
      </c>
      <c r="C1361" t="s">
        <v>9</v>
      </c>
      <c r="D1361" t="s">
        <v>10</v>
      </c>
      <c r="E1361">
        <v>1996</v>
      </c>
      <c r="F1361" s="1">
        <v>100</v>
      </c>
      <c r="G1361">
        <v>1990</v>
      </c>
      <c r="H1361">
        <f>AVERAGEIFS(Table1[value],Table1[IndicatorCode],Table1[[#This Row],[IndicatorCode]])</f>
        <v>99.756410256410263</v>
      </c>
      <c r="I1361" cm="1">
        <f t="array" ref="I1361">_xlfn.STDEV.P(IF(Table1[IndicatorCode]=Table1[[#This Row],[IndicatorCode]],Table1[value]))</f>
        <v>1.1047979755287356</v>
      </c>
      <c r="J1361">
        <f>(Table1[[#This Row],[value]] - Table1[[#This Row],[mean]]) / Table1[[#This Row],[std_dev]]</f>
        <v>0.22048351733552002</v>
      </c>
      <c r="K1361">
        <f>AVERAGEIF(Table1[CountryCode],Table1[[#This Row],[CountryCode]],Table1[z-score])</f>
        <v>0.48073633366786628</v>
      </c>
      <c r="L1361" t="e">
        <f>VLOOKUP(Table1[[#This Row],[CountryCode]],[1]!Table1[#All],1,FALSE)</f>
        <v>#REF!</v>
      </c>
    </row>
    <row r="1362" spans="1:12" hidden="1" x14ac:dyDescent="0.3">
      <c r="A1362" t="s">
        <v>91</v>
      </c>
      <c r="B1362" t="s">
        <v>92</v>
      </c>
      <c r="C1362" t="s">
        <v>9</v>
      </c>
      <c r="D1362" t="s">
        <v>10</v>
      </c>
      <c r="E1362">
        <v>1997</v>
      </c>
      <c r="F1362" s="1">
        <v>100</v>
      </c>
      <c r="G1362">
        <v>2000</v>
      </c>
      <c r="H1362">
        <f>AVERAGEIFS(Table1[value],Table1[IndicatorCode],Table1[[#This Row],[IndicatorCode]])</f>
        <v>99.756410256410263</v>
      </c>
      <c r="I1362" cm="1">
        <f t="array" ref="I1362">_xlfn.STDEV.P(IF(Table1[IndicatorCode]=Table1[[#This Row],[IndicatorCode]],Table1[value]))</f>
        <v>1.1047979755287356</v>
      </c>
      <c r="J1362">
        <f>(Table1[[#This Row],[value]] - Table1[[#This Row],[mean]]) / Table1[[#This Row],[std_dev]]</f>
        <v>0.22048351733552002</v>
      </c>
      <c r="K1362">
        <f>AVERAGEIF(Table1[CountryCode],Table1[[#This Row],[CountryCode]],Table1[z-score])</f>
        <v>0.48073633366786628</v>
      </c>
      <c r="L1362" t="e">
        <f>VLOOKUP(Table1[[#This Row],[CountryCode]],[1]!Table1[#All],1,FALSE)</f>
        <v>#REF!</v>
      </c>
    </row>
    <row r="1363" spans="1:12" hidden="1" x14ac:dyDescent="0.3">
      <c r="A1363" t="s">
        <v>91</v>
      </c>
      <c r="B1363" t="s">
        <v>92</v>
      </c>
      <c r="C1363" t="s">
        <v>9</v>
      </c>
      <c r="D1363" t="s">
        <v>10</v>
      </c>
      <c r="E1363">
        <v>1998</v>
      </c>
      <c r="F1363" s="1">
        <v>100</v>
      </c>
      <c r="G1363">
        <v>2000</v>
      </c>
      <c r="H1363">
        <f>AVERAGEIFS(Table1[value],Table1[IndicatorCode],Table1[[#This Row],[IndicatorCode]])</f>
        <v>99.756410256410263</v>
      </c>
      <c r="I1363" cm="1">
        <f t="array" ref="I1363">_xlfn.STDEV.P(IF(Table1[IndicatorCode]=Table1[[#This Row],[IndicatorCode]],Table1[value]))</f>
        <v>1.1047979755287356</v>
      </c>
      <c r="J1363">
        <f>(Table1[[#This Row],[value]] - Table1[[#This Row],[mean]]) / Table1[[#This Row],[std_dev]]</f>
        <v>0.22048351733552002</v>
      </c>
      <c r="K1363">
        <f>AVERAGEIF(Table1[CountryCode],Table1[[#This Row],[CountryCode]],Table1[z-score])</f>
        <v>0.48073633366786628</v>
      </c>
      <c r="L1363" t="e">
        <f>VLOOKUP(Table1[[#This Row],[CountryCode]],[1]!Table1[#All],1,FALSE)</f>
        <v>#REF!</v>
      </c>
    </row>
    <row r="1364" spans="1:12" hidden="1" x14ac:dyDescent="0.3">
      <c r="A1364" t="s">
        <v>91</v>
      </c>
      <c r="B1364" t="s">
        <v>92</v>
      </c>
      <c r="C1364" t="s">
        <v>9</v>
      </c>
      <c r="D1364" t="s">
        <v>10</v>
      </c>
      <c r="E1364">
        <v>1999</v>
      </c>
      <c r="F1364" s="1">
        <v>100</v>
      </c>
      <c r="G1364">
        <v>2000</v>
      </c>
      <c r="H1364">
        <f>AVERAGEIFS(Table1[value],Table1[IndicatorCode],Table1[[#This Row],[IndicatorCode]])</f>
        <v>99.756410256410263</v>
      </c>
      <c r="I1364" cm="1">
        <f t="array" ref="I1364">_xlfn.STDEV.P(IF(Table1[IndicatorCode]=Table1[[#This Row],[IndicatorCode]],Table1[value]))</f>
        <v>1.1047979755287356</v>
      </c>
      <c r="J1364">
        <f>(Table1[[#This Row],[value]] - Table1[[#This Row],[mean]]) / Table1[[#This Row],[std_dev]]</f>
        <v>0.22048351733552002</v>
      </c>
      <c r="K1364">
        <f>AVERAGEIF(Table1[CountryCode],Table1[[#This Row],[CountryCode]],Table1[z-score])</f>
        <v>0.48073633366786628</v>
      </c>
      <c r="L1364" t="e">
        <f>VLOOKUP(Table1[[#This Row],[CountryCode]],[1]!Table1[#All],1,FALSE)</f>
        <v>#REF!</v>
      </c>
    </row>
    <row r="1365" spans="1:12" hidden="1" x14ac:dyDescent="0.3">
      <c r="A1365" t="s">
        <v>91</v>
      </c>
      <c r="B1365" t="s">
        <v>92</v>
      </c>
      <c r="C1365" t="s">
        <v>9</v>
      </c>
      <c r="D1365" t="s">
        <v>10</v>
      </c>
      <c r="E1365">
        <v>2000</v>
      </c>
      <c r="F1365" s="1">
        <v>100</v>
      </c>
      <c r="G1365">
        <v>2000</v>
      </c>
      <c r="H1365">
        <f>AVERAGEIFS(Table1[value],Table1[IndicatorCode],Table1[[#This Row],[IndicatorCode]])</f>
        <v>99.756410256410263</v>
      </c>
      <c r="I1365" cm="1">
        <f t="array" ref="I1365">_xlfn.STDEV.P(IF(Table1[IndicatorCode]=Table1[[#This Row],[IndicatorCode]],Table1[value]))</f>
        <v>1.1047979755287356</v>
      </c>
      <c r="J1365">
        <f>(Table1[[#This Row],[value]] - Table1[[#This Row],[mean]]) / Table1[[#This Row],[std_dev]]</f>
        <v>0.22048351733552002</v>
      </c>
      <c r="K1365">
        <f>AVERAGEIF(Table1[CountryCode],Table1[[#This Row],[CountryCode]],Table1[z-score])</f>
        <v>0.48073633366786628</v>
      </c>
      <c r="L1365" t="e">
        <f>VLOOKUP(Table1[[#This Row],[CountryCode]],[1]!Table1[#All],1,FALSE)</f>
        <v>#REF!</v>
      </c>
    </row>
    <row r="1366" spans="1:12" hidden="1" x14ac:dyDescent="0.3">
      <c r="A1366" t="s">
        <v>91</v>
      </c>
      <c r="B1366" t="s">
        <v>92</v>
      </c>
      <c r="C1366" t="s">
        <v>9</v>
      </c>
      <c r="D1366" t="s">
        <v>10</v>
      </c>
      <c r="E1366">
        <v>2001</v>
      </c>
      <c r="F1366" s="1">
        <v>100</v>
      </c>
      <c r="G1366">
        <v>2000</v>
      </c>
      <c r="H1366">
        <f>AVERAGEIFS(Table1[value],Table1[IndicatorCode],Table1[[#This Row],[IndicatorCode]])</f>
        <v>99.756410256410263</v>
      </c>
      <c r="I1366" cm="1">
        <f t="array" ref="I1366">_xlfn.STDEV.P(IF(Table1[IndicatorCode]=Table1[[#This Row],[IndicatorCode]],Table1[value]))</f>
        <v>1.1047979755287356</v>
      </c>
      <c r="J1366">
        <f>(Table1[[#This Row],[value]] - Table1[[#This Row],[mean]]) / Table1[[#This Row],[std_dev]]</f>
        <v>0.22048351733552002</v>
      </c>
      <c r="K1366">
        <f>AVERAGEIF(Table1[CountryCode],Table1[[#This Row],[CountryCode]],Table1[z-score])</f>
        <v>0.48073633366786628</v>
      </c>
      <c r="L1366" t="e">
        <f>VLOOKUP(Table1[[#This Row],[CountryCode]],[1]!Table1[#All],1,FALSE)</f>
        <v>#REF!</v>
      </c>
    </row>
    <row r="1367" spans="1:12" hidden="1" x14ac:dyDescent="0.3">
      <c r="A1367" t="s">
        <v>91</v>
      </c>
      <c r="B1367" t="s">
        <v>92</v>
      </c>
      <c r="C1367" t="s">
        <v>9</v>
      </c>
      <c r="D1367" t="s">
        <v>10</v>
      </c>
      <c r="E1367">
        <v>2002</v>
      </c>
      <c r="F1367" s="1">
        <v>100</v>
      </c>
      <c r="G1367">
        <v>2000</v>
      </c>
      <c r="H1367">
        <f>AVERAGEIFS(Table1[value],Table1[IndicatorCode],Table1[[#This Row],[IndicatorCode]])</f>
        <v>99.756410256410263</v>
      </c>
      <c r="I1367" cm="1">
        <f t="array" ref="I1367">_xlfn.STDEV.P(IF(Table1[IndicatorCode]=Table1[[#This Row],[IndicatorCode]],Table1[value]))</f>
        <v>1.1047979755287356</v>
      </c>
      <c r="J1367">
        <f>(Table1[[#This Row],[value]] - Table1[[#This Row],[mean]]) / Table1[[#This Row],[std_dev]]</f>
        <v>0.22048351733552002</v>
      </c>
      <c r="K1367">
        <f>AVERAGEIF(Table1[CountryCode],Table1[[#This Row],[CountryCode]],Table1[z-score])</f>
        <v>0.48073633366786628</v>
      </c>
      <c r="L1367" t="e">
        <f>VLOOKUP(Table1[[#This Row],[CountryCode]],[1]!Table1[#All],1,FALSE)</f>
        <v>#REF!</v>
      </c>
    </row>
    <row r="1368" spans="1:12" hidden="1" x14ac:dyDescent="0.3">
      <c r="A1368" t="s">
        <v>91</v>
      </c>
      <c r="B1368" t="s">
        <v>92</v>
      </c>
      <c r="C1368" t="s">
        <v>9</v>
      </c>
      <c r="D1368" t="s">
        <v>10</v>
      </c>
      <c r="E1368">
        <v>2003</v>
      </c>
      <c r="F1368" s="1">
        <v>100</v>
      </c>
      <c r="G1368">
        <v>2000</v>
      </c>
      <c r="H1368">
        <f>AVERAGEIFS(Table1[value],Table1[IndicatorCode],Table1[[#This Row],[IndicatorCode]])</f>
        <v>99.756410256410263</v>
      </c>
      <c r="I1368" cm="1">
        <f t="array" ref="I1368">_xlfn.STDEV.P(IF(Table1[IndicatorCode]=Table1[[#This Row],[IndicatorCode]],Table1[value]))</f>
        <v>1.1047979755287356</v>
      </c>
      <c r="J1368">
        <f>(Table1[[#This Row],[value]] - Table1[[#This Row],[mean]]) / Table1[[#This Row],[std_dev]]</f>
        <v>0.22048351733552002</v>
      </c>
      <c r="K1368">
        <f>AVERAGEIF(Table1[CountryCode],Table1[[#This Row],[CountryCode]],Table1[z-score])</f>
        <v>0.48073633366786628</v>
      </c>
      <c r="L1368" t="e">
        <f>VLOOKUP(Table1[[#This Row],[CountryCode]],[1]!Table1[#All],1,FALSE)</f>
        <v>#REF!</v>
      </c>
    </row>
    <row r="1369" spans="1:12" hidden="1" x14ac:dyDescent="0.3">
      <c r="A1369" t="s">
        <v>91</v>
      </c>
      <c r="B1369" t="s">
        <v>92</v>
      </c>
      <c r="C1369" t="s">
        <v>9</v>
      </c>
      <c r="D1369" t="s">
        <v>10</v>
      </c>
      <c r="E1369">
        <v>2004</v>
      </c>
      <c r="F1369" s="1">
        <v>100</v>
      </c>
      <c r="G1369">
        <v>2000</v>
      </c>
      <c r="H1369">
        <f>AVERAGEIFS(Table1[value],Table1[IndicatorCode],Table1[[#This Row],[IndicatorCode]])</f>
        <v>99.756410256410263</v>
      </c>
      <c r="I1369" cm="1">
        <f t="array" ref="I1369">_xlfn.STDEV.P(IF(Table1[IndicatorCode]=Table1[[#This Row],[IndicatorCode]],Table1[value]))</f>
        <v>1.1047979755287356</v>
      </c>
      <c r="J1369">
        <f>(Table1[[#This Row],[value]] - Table1[[#This Row],[mean]]) / Table1[[#This Row],[std_dev]]</f>
        <v>0.22048351733552002</v>
      </c>
      <c r="K1369">
        <f>AVERAGEIF(Table1[CountryCode],Table1[[#This Row],[CountryCode]],Table1[z-score])</f>
        <v>0.48073633366786628</v>
      </c>
      <c r="L1369" t="e">
        <f>VLOOKUP(Table1[[#This Row],[CountryCode]],[1]!Table1[#All],1,FALSE)</f>
        <v>#REF!</v>
      </c>
    </row>
    <row r="1370" spans="1:12" hidden="1" x14ac:dyDescent="0.3">
      <c r="A1370" t="s">
        <v>91</v>
      </c>
      <c r="B1370" t="s">
        <v>92</v>
      </c>
      <c r="C1370" t="s">
        <v>9</v>
      </c>
      <c r="D1370" t="s">
        <v>10</v>
      </c>
      <c r="E1370">
        <v>2005</v>
      </c>
      <c r="F1370" s="1">
        <v>100</v>
      </c>
      <c r="G1370">
        <v>2000</v>
      </c>
      <c r="H1370">
        <f>AVERAGEIFS(Table1[value],Table1[IndicatorCode],Table1[[#This Row],[IndicatorCode]])</f>
        <v>99.756410256410263</v>
      </c>
      <c r="I1370" cm="1">
        <f t="array" ref="I1370">_xlfn.STDEV.P(IF(Table1[IndicatorCode]=Table1[[#This Row],[IndicatorCode]],Table1[value]))</f>
        <v>1.1047979755287356</v>
      </c>
      <c r="J1370">
        <f>(Table1[[#This Row],[value]] - Table1[[#This Row],[mean]]) / Table1[[#This Row],[std_dev]]</f>
        <v>0.22048351733552002</v>
      </c>
      <c r="K1370">
        <f>AVERAGEIF(Table1[CountryCode],Table1[[#This Row],[CountryCode]],Table1[z-score])</f>
        <v>0.48073633366786628</v>
      </c>
      <c r="L1370" t="e">
        <f>VLOOKUP(Table1[[#This Row],[CountryCode]],[1]!Table1[#All],1,FALSE)</f>
        <v>#REF!</v>
      </c>
    </row>
    <row r="1371" spans="1:12" hidden="1" x14ac:dyDescent="0.3">
      <c r="A1371" t="s">
        <v>91</v>
      </c>
      <c r="B1371" t="s">
        <v>92</v>
      </c>
      <c r="C1371" t="s">
        <v>9</v>
      </c>
      <c r="D1371" t="s">
        <v>10</v>
      </c>
      <c r="E1371">
        <v>2006</v>
      </c>
      <c r="F1371" s="1">
        <v>100</v>
      </c>
      <c r="G1371">
        <v>2000</v>
      </c>
      <c r="H1371">
        <f>AVERAGEIFS(Table1[value],Table1[IndicatorCode],Table1[[#This Row],[IndicatorCode]])</f>
        <v>99.756410256410263</v>
      </c>
      <c r="I1371" cm="1">
        <f t="array" ref="I1371">_xlfn.STDEV.P(IF(Table1[IndicatorCode]=Table1[[#This Row],[IndicatorCode]],Table1[value]))</f>
        <v>1.1047979755287356</v>
      </c>
      <c r="J1371">
        <f>(Table1[[#This Row],[value]] - Table1[[#This Row],[mean]]) / Table1[[#This Row],[std_dev]]</f>
        <v>0.22048351733552002</v>
      </c>
      <c r="K1371">
        <f>AVERAGEIF(Table1[CountryCode],Table1[[#This Row],[CountryCode]],Table1[z-score])</f>
        <v>0.48073633366786628</v>
      </c>
      <c r="L1371" t="e">
        <f>VLOOKUP(Table1[[#This Row],[CountryCode]],[1]!Table1[#All],1,FALSE)</f>
        <v>#REF!</v>
      </c>
    </row>
    <row r="1372" spans="1:12" hidden="1" x14ac:dyDescent="0.3">
      <c r="A1372" t="s">
        <v>91</v>
      </c>
      <c r="B1372" t="s">
        <v>92</v>
      </c>
      <c r="C1372" t="s">
        <v>9</v>
      </c>
      <c r="D1372" t="s">
        <v>10</v>
      </c>
      <c r="E1372">
        <v>2007</v>
      </c>
      <c r="F1372" s="1">
        <v>100</v>
      </c>
      <c r="G1372">
        <v>2010</v>
      </c>
      <c r="H1372">
        <f>AVERAGEIFS(Table1[value],Table1[IndicatorCode],Table1[[#This Row],[IndicatorCode]])</f>
        <v>99.756410256410263</v>
      </c>
      <c r="I1372" cm="1">
        <f t="array" ref="I1372">_xlfn.STDEV.P(IF(Table1[IndicatorCode]=Table1[[#This Row],[IndicatorCode]],Table1[value]))</f>
        <v>1.1047979755287356</v>
      </c>
      <c r="J1372">
        <f>(Table1[[#This Row],[value]] - Table1[[#This Row],[mean]]) / Table1[[#This Row],[std_dev]]</f>
        <v>0.22048351733552002</v>
      </c>
      <c r="K1372">
        <f>AVERAGEIF(Table1[CountryCode],Table1[[#This Row],[CountryCode]],Table1[z-score])</f>
        <v>0.48073633366786628</v>
      </c>
      <c r="L1372" t="e">
        <f>VLOOKUP(Table1[[#This Row],[CountryCode]],[1]!Table1[#All],1,FALSE)</f>
        <v>#REF!</v>
      </c>
    </row>
    <row r="1373" spans="1:12" hidden="1" x14ac:dyDescent="0.3">
      <c r="A1373" t="s">
        <v>91</v>
      </c>
      <c r="B1373" t="s">
        <v>92</v>
      </c>
      <c r="C1373" t="s">
        <v>9</v>
      </c>
      <c r="D1373" t="s">
        <v>10</v>
      </c>
      <c r="E1373">
        <v>2008</v>
      </c>
      <c r="F1373" s="1">
        <v>100</v>
      </c>
      <c r="G1373">
        <v>2010</v>
      </c>
      <c r="H1373">
        <f>AVERAGEIFS(Table1[value],Table1[IndicatorCode],Table1[[#This Row],[IndicatorCode]])</f>
        <v>99.756410256410263</v>
      </c>
      <c r="I1373" cm="1">
        <f t="array" ref="I1373">_xlfn.STDEV.P(IF(Table1[IndicatorCode]=Table1[[#This Row],[IndicatorCode]],Table1[value]))</f>
        <v>1.1047979755287356</v>
      </c>
      <c r="J1373">
        <f>(Table1[[#This Row],[value]] - Table1[[#This Row],[mean]]) / Table1[[#This Row],[std_dev]]</f>
        <v>0.22048351733552002</v>
      </c>
      <c r="K1373">
        <f>AVERAGEIF(Table1[CountryCode],Table1[[#This Row],[CountryCode]],Table1[z-score])</f>
        <v>0.48073633366786628</v>
      </c>
      <c r="L1373" t="e">
        <f>VLOOKUP(Table1[[#This Row],[CountryCode]],[1]!Table1[#All],1,FALSE)</f>
        <v>#REF!</v>
      </c>
    </row>
    <row r="1374" spans="1:12" hidden="1" x14ac:dyDescent="0.3">
      <c r="A1374" t="s">
        <v>91</v>
      </c>
      <c r="B1374" t="s">
        <v>92</v>
      </c>
      <c r="C1374" t="s">
        <v>9</v>
      </c>
      <c r="D1374" t="s">
        <v>10</v>
      </c>
      <c r="E1374">
        <v>2009</v>
      </c>
      <c r="F1374" s="1">
        <v>100</v>
      </c>
      <c r="G1374">
        <v>2010</v>
      </c>
      <c r="H1374">
        <f>AVERAGEIFS(Table1[value],Table1[IndicatorCode],Table1[[#This Row],[IndicatorCode]])</f>
        <v>99.756410256410263</v>
      </c>
      <c r="I1374" cm="1">
        <f t="array" ref="I1374">_xlfn.STDEV.P(IF(Table1[IndicatorCode]=Table1[[#This Row],[IndicatorCode]],Table1[value]))</f>
        <v>1.1047979755287356</v>
      </c>
      <c r="J1374">
        <f>(Table1[[#This Row],[value]] - Table1[[#This Row],[mean]]) / Table1[[#This Row],[std_dev]]</f>
        <v>0.22048351733552002</v>
      </c>
      <c r="K1374">
        <f>AVERAGEIF(Table1[CountryCode],Table1[[#This Row],[CountryCode]],Table1[z-score])</f>
        <v>0.48073633366786628</v>
      </c>
      <c r="L1374" t="e">
        <f>VLOOKUP(Table1[[#This Row],[CountryCode]],[1]!Table1[#All],1,FALSE)</f>
        <v>#REF!</v>
      </c>
    </row>
    <row r="1375" spans="1:12" hidden="1" x14ac:dyDescent="0.3">
      <c r="A1375" t="s">
        <v>91</v>
      </c>
      <c r="B1375" t="s">
        <v>92</v>
      </c>
      <c r="C1375" t="s">
        <v>9</v>
      </c>
      <c r="D1375" t="s">
        <v>10</v>
      </c>
      <c r="E1375">
        <v>2010</v>
      </c>
      <c r="F1375" s="1">
        <v>100</v>
      </c>
      <c r="G1375">
        <v>2010</v>
      </c>
      <c r="H1375">
        <f>AVERAGEIFS(Table1[value],Table1[IndicatorCode],Table1[[#This Row],[IndicatorCode]])</f>
        <v>99.756410256410263</v>
      </c>
      <c r="I1375" cm="1">
        <f t="array" ref="I1375">_xlfn.STDEV.P(IF(Table1[IndicatorCode]=Table1[[#This Row],[IndicatorCode]],Table1[value]))</f>
        <v>1.1047979755287356</v>
      </c>
      <c r="J1375">
        <f>(Table1[[#This Row],[value]] - Table1[[#This Row],[mean]]) / Table1[[#This Row],[std_dev]]</f>
        <v>0.22048351733552002</v>
      </c>
      <c r="K1375">
        <f>AVERAGEIF(Table1[CountryCode],Table1[[#This Row],[CountryCode]],Table1[z-score])</f>
        <v>0.48073633366786628</v>
      </c>
      <c r="L1375" t="e">
        <f>VLOOKUP(Table1[[#This Row],[CountryCode]],[1]!Table1[#All],1,FALSE)</f>
        <v>#REF!</v>
      </c>
    </row>
    <row r="1376" spans="1:12" hidden="1" x14ac:dyDescent="0.3">
      <c r="A1376" t="s">
        <v>91</v>
      </c>
      <c r="B1376" t="s">
        <v>92</v>
      </c>
      <c r="C1376" t="s">
        <v>9</v>
      </c>
      <c r="D1376" t="s">
        <v>10</v>
      </c>
      <c r="E1376">
        <v>2011</v>
      </c>
      <c r="F1376" s="1">
        <v>100</v>
      </c>
      <c r="G1376">
        <v>2010</v>
      </c>
      <c r="H1376">
        <f>AVERAGEIFS(Table1[value],Table1[IndicatorCode],Table1[[#This Row],[IndicatorCode]])</f>
        <v>99.756410256410263</v>
      </c>
      <c r="I1376" cm="1">
        <f t="array" ref="I1376">_xlfn.STDEV.P(IF(Table1[IndicatorCode]=Table1[[#This Row],[IndicatorCode]],Table1[value]))</f>
        <v>1.1047979755287356</v>
      </c>
      <c r="J1376">
        <f>(Table1[[#This Row],[value]] - Table1[[#This Row],[mean]]) / Table1[[#This Row],[std_dev]]</f>
        <v>0.22048351733552002</v>
      </c>
      <c r="K1376">
        <f>AVERAGEIF(Table1[CountryCode],Table1[[#This Row],[CountryCode]],Table1[z-score])</f>
        <v>0.48073633366786628</v>
      </c>
      <c r="L1376" t="e">
        <f>VLOOKUP(Table1[[#This Row],[CountryCode]],[1]!Table1[#All],1,FALSE)</f>
        <v>#REF!</v>
      </c>
    </row>
    <row r="1377" spans="1:12" hidden="1" x14ac:dyDescent="0.3">
      <c r="A1377" t="s">
        <v>91</v>
      </c>
      <c r="B1377" t="s">
        <v>92</v>
      </c>
      <c r="C1377" t="s">
        <v>9</v>
      </c>
      <c r="D1377" t="s">
        <v>10</v>
      </c>
      <c r="E1377">
        <v>2012</v>
      </c>
      <c r="F1377" s="1">
        <v>100</v>
      </c>
      <c r="G1377">
        <v>2010</v>
      </c>
      <c r="H1377">
        <f>AVERAGEIFS(Table1[value],Table1[IndicatorCode],Table1[[#This Row],[IndicatorCode]])</f>
        <v>99.756410256410263</v>
      </c>
      <c r="I1377" cm="1">
        <f t="array" ref="I1377">_xlfn.STDEV.P(IF(Table1[IndicatorCode]=Table1[[#This Row],[IndicatorCode]],Table1[value]))</f>
        <v>1.1047979755287356</v>
      </c>
      <c r="J1377">
        <f>(Table1[[#This Row],[value]] - Table1[[#This Row],[mean]]) / Table1[[#This Row],[std_dev]]</f>
        <v>0.22048351733552002</v>
      </c>
      <c r="K1377">
        <f>AVERAGEIF(Table1[CountryCode],Table1[[#This Row],[CountryCode]],Table1[z-score])</f>
        <v>0.48073633366786628</v>
      </c>
      <c r="L1377" t="e">
        <f>VLOOKUP(Table1[[#This Row],[CountryCode]],[1]!Table1[#All],1,FALSE)</f>
        <v>#REF!</v>
      </c>
    </row>
    <row r="1378" spans="1:12" hidden="1" x14ac:dyDescent="0.3">
      <c r="A1378" t="s">
        <v>91</v>
      </c>
      <c r="B1378" t="s">
        <v>92</v>
      </c>
      <c r="C1378" t="s">
        <v>9</v>
      </c>
      <c r="D1378" t="s">
        <v>10</v>
      </c>
      <c r="E1378">
        <v>2013</v>
      </c>
      <c r="F1378" s="1">
        <v>100</v>
      </c>
      <c r="G1378">
        <v>2010</v>
      </c>
      <c r="H1378">
        <f>AVERAGEIFS(Table1[value],Table1[IndicatorCode],Table1[[#This Row],[IndicatorCode]])</f>
        <v>99.756410256410263</v>
      </c>
      <c r="I1378" cm="1">
        <f t="array" ref="I1378">_xlfn.STDEV.P(IF(Table1[IndicatorCode]=Table1[[#This Row],[IndicatorCode]],Table1[value]))</f>
        <v>1.1047979755287356</v>
      </c>
      <c r="J1378">
        <f>(Table1[[#This Row],[value]] - Table1[[#This Row],[mean]]) / Table1[[#This Row],[std_dev]]</f>
        <v>0.22048351733552002</v>
      </c>
      <c r="K1378">
        <f>AVERAGEIF(Table1[CountryCode],Table1[[#This Row],[CountryCode]],Table1[z-score])</f>
        <v>0.48073633366786628</v>
      </c>
      <c r="L1378" t="e">
        <f>VLOOKUP(Table1[[#This Row],[CountryCode]],[1]!Table1[#All],1,FALSE)</f>
        <v>#REF!</v>
      </c>
    </row>
    <row r="1379" spans="1:12" hidden="1" x14ac:dyDescent="0.3">
      <c r="A1379" t="s">
        <v>91</v>
      </c>
      <c r="B1379" t="s">
        <v>92</v>
      </c>
      <c r="C1379" t="s">
        <v>9</v>
      </c>
      <c r="D1379" t="s">
        <v>10</v>
      </c>
      <c r="E1379">
        <v>2014</v>
      </c>
      <c r="F1379" s="1">
        <v>100</v>
      </c>
      <c r="G1379">
        <v>2010</v>
      </c>
      <c r="H1379">
        <f>AVERAGEIFS(Table1[value],Table1[IndicatorCode],Table1[[#This Row],[IndicatorCode]])</f>
        <v>99.756410256410263</v>
      </c>
      <c r="I1379" cm="1">
        <f t="array" ref="I1379">_xlfn.STDEV.P(IF(Table1[IndicatorCode]=Table1[[#This Row],[IndicatorCode]],Table1[value]))</f>
        <v>1.1047979755287356</v>
      </c>
      <c r="J1379">
        <f>(Table1[[#This Row],[value]] - Table1[[#This Row],[mean]]) / Table1[[#This Row],[std_dev]]</f>
        <v>0.22048351733552002</v>
      </c>
      <c r="K1379">
        <f>AVERAGEIF(Table1[CountryCode],Table1[[#This Row],[CountryCode]],Table1[z-score])</f>
        <v>0.48073633366786628</v>
      </c>
      <c r="L1379" t="e">
        <f>VLOOKUP(Table1[[#This Row],[CountryCode]],[1]!Table1[#All],1,FALSE)</f>
        <v>#REF!</v>
      </c>
    </row>
    <row r="1380" spans="1:12" hidden="1" x14ac:dyDescent="0.3">
      <c r="A1380" t="s">
        <v>91</v>
      </c>
      <c r="B1380" t="s">
        <v>92</v>
      </c>
      <c r="C1380" t="s">
        <v>9</v>
      </c>
      <c r="D1380" t="s">
        <v>10</v>
      </c>
      <c r="E1380">
        <v>2015</v>
      </c>
      <c r="F1380" s="1">
        <v>100</v>
      </c>
      <c r="G1380">
        <v>2010</v>
      </c>
      <c r="H1380">
        <f>AVERAGEIFS(Table1[value],Table1[IndicatorCode],Table1[[#This Row],[IndicatorCode]])</f>
        <v>99.756410256410263</v>
      </c>
      <c r="I1380" cm="1">
        <f t="array" ref="I1380">_xlfn.STDEV.P(IF(Table1[IndicatorCode]=Table1[[#This Row],[IndicatorCode]],Table1[value]))</f>
        <v>1.1047979755287356</v>
      </c>
      <c r="J1380">
        <f>(Table1[[#This Row],[value]] - Table1[[#This Row],[mean]]) / Table1[[#This Row],[std_dev]]</f>
        <v>0.22048351733552002</v>
      </c>
      <c r="K1380">
        <f>AVERAGEIF(Table1[CountryCode],Table1[[#This Row],[CountryCode]],Table1[z-score])</f>
        <v>0.48073633366786628</v>
      </c>
      <c r="L1380" t="e">
        <f>VLOOKUP(Table1[[#This Row],[CountryCode]],[1]!Table1[#All],1,FALSE)</f>
        <v>#REF!</v>
      </c>
    </row>
    <row r="1381" spans="1:12" hidden="1" x14ac:dyDescent="0.3">
      <c r="A1381" t="s">
        <v>91</v>
      </c>
      <c r="B1381" t="s">
        <v>92</v>
      </c>
      <c r="C1381" t="s">
        <v>9</v>
      </c>
      <c r="D1381" t="s">
        <v>10</v>
      </c>
      <c r="E1381">
        <v>2016</v>
      </c>
      <c r="F1381" s="1">
        <v>100</v>
      </c>
      <c r="G1381">
        <v>2010</v>
      </c>
      <c r="H1381">
        <f>AVERAGEIFS(Table1[value],Table1[IndicatorCode],Table1[[#This Row],[IndicatorCode]])</f>
        <v>99.756410256410263</v>
      </c>
      <c r="I1381" cm="1">
        <f t="array" ref="I1381">_xlfn.STDEV.P(IF(Table1[IndicatorCode]=Table1[[#This Row],[IndicatorCode]],Table1[value]))</f>
        <v>1.1047979755287356</v>
      </c>
      <c r="J1381">
        <f>(Table1[[#This Row],[value]] - Table1[[#This Row],[mean]]) / Table1[[#This Row],[std_dev]]</f>
        <v>0.22048351733552002</v>
      </c>
      <c r="K1381">
        <f>AVERAGEIF(Table1[CountryCode],Table1[[#This Row],[CountryCode]],Table1[z-score])</f>
        <v>0.48073633366786628</v>
      </c>
      <c r="L1381" t="e">
        <f>VLOOKUP(Table1[[#This Row],[CountryCode]],[1]!Table1[#All],1,FALSE)</f>
        <v>#REF!</v>
      </c>
    </row>
    <row r="1382" spans="1:12" hidden="1" x14ac:dyDescent="0.3">
      <c r="A1382" t="s">
        <v>91</v>
      </c>
      <c r="B1382" t="s">
        <v>92</v>
      </c>
      <c r="C1382" t="s">
        <v>9</v>
      </c>
      <c r="D1382" t="s">
        <v>10</v>
      </c>
      <c r="E1382">
        <v>2017</v>
      </c>
      <c r="F1382" s="1">
        <v>100</v>
      </c>
      <c r="G1382">
        <v>2020</v>
      </c>
      <c r="H1382">
        <f>AVERAGEIFS(Table1[value],Table1[IndicatorCode],Table1[[#This Row],[IndicatorCode]])</f>
        <v>99.756410256410263</v>
      </c>
      <c r="I1382" cm="1">
        <f t="array" ref="I1382">_xlfn.STDEV.P(IF(Table1[IndicatorCode]=Table1[[#This Row],[IndicatorCode]],Table1[value]))</f>
        <v>1.1047979755287356</v>
      </c>
      <c r="J1382">
        <f>(Table1[[#This Row],[value]] - Table1[[#This Row],[mean]]) / Table1[[#This Row],[std_dev]]</f>
        <v>0.22048351733552002</v>
      </c>
      <c r="K1382">
        <f>AVERAGEIF(Table1[CountryCode],Table1[[#This Row],[CountryCode]],Table1[z-score])</f>
        <v>0.48073633366786628</v>
      </c>
      <c r="L1382" t="e">
        <f>VLOOKUP(Table1[[#This Row],[CountryCode]],[1]!Table1[#All],1,FALSE)</f>
        <v>#REF!</v>
      </c>
    </row>
    <row r="1383" spans="1:12" hidden="1" x14ac:dyDescent="0.3">
      <c r="A1383" t="s">
        <v>91</v>
      </c>
      <c r="B1383" t="s">
        <v>92</v>
      </c>
      <c r="C1383" t="s">
        <v>9</v>
      </c>
      <c r="D1383" t="s">
        <v>10</v>
      </c>
      <c r="E1383">
        <v>2018</v>
      </c>
      <c r="F1383" s="1">
        <v>100</v>
      </c>
      <c r="G1383">
        <v>2020</v>
      </c>
      <c r="H1383">
        <f>AVERAGEIFS(Table1[value],Table1[IndicatorCode],Table1[[#This Row],[IndicatorCode]])</f>
        <v>99.756410256410263</v>
      </c>
      <c r="I1383" cm="1">
        <f t="array" ref="I1383">_xlfn.STDEV.P(IF(Table1[IndicatorCode]=Table1[[#This Row],[IndicatorCode]],Table1[value]))</f>
        <v>1.1047979755287356</v>
      </c>
      <c r="J1383">
        <f>(Table1[[#This Row],[value]] - Table1[[#This Row],[mean]]) / Table1[[#This Row],[std_dev]]</f>
        <v>0.22048351733552002</v>
      </c>
      <c r="K1383">
        <f>AVERAGEIF(Table1[CountryCode],Table1[[#This Row],[CountryCode]],Table1[z-score])</f>
        <v>0.48073633366786628</v>
      </c>
      <c r="L1383" t="e">
        <f>VLOOKUP(Table1[[#This Row],[CountryCode]],[1]!Table1[#All],1,FALSE)</f>
        <v>#REF!</v>
      </c>
    </row>
    <row r="1384" spans="1:12" hidden="1" x14ac:dyDescent="0.3">
      <c r="A1384" t="s">
        <v>91</v>
      </c>
      <c r="B1384" t="s">
        <v>92</v>
      </c>
      <c r="C1384" t="s">
        <v>9</v>
      </c>
      <c r="D1384" t="s">
        <v>10</v>
      </c>
      <c r="E1384">
        <v>2019</v>
      </c>
      <c r="F1384" s="1">
        <v>100</v>
      </c>
      <c r="G1384">
        <v>2020</v>
      </c>
      <c r="H1384">
        <f>AVERAGEIFS(Table1[value],Table1[IndicatorCode],Table1[[#This Row],[IndicatorCode]])</f>
        <v>99.756410256410263</v>
      </c>
      <c r="I1384" cm="1">
        <f t="array" ref="I1384">_xlfn.STDEV.P(IF(Table1[IndicatorCode]=Table1[[#This Row],[IndicatorCode]],Table1[value]))</f>
        <v>1.1047979755287356</v>
      </c>
      <c r="J1384">
        <f>(Table1[[#This Row],[value]] - Table1[[#This Row],[mean]]) / Table1[[#This Row],[std_dev]]</f>
        <v>0.22048351733552002</v>
      </c>
      <c r="K1384">
        <f>AVERAGEIF(Table1[CountryCode],Table1[[#This Row],[CountryCode]],Table1[z-score])</f>
        <v>0.48073633366786628</v>
      </c>
      <c r="L1384" t="e">
        <f>VLOOKUP(Table1[[#This Row],[CountryCode]],[1]!Table1[#All],1,FALSE)</f>
        <v>#REF!</v>
      </c>
    </row>
    <row r="1385" spans="1:12" x14ac:dyDescent="0.3">
      <c r="A1385" t="s">
        <v>91</v>
      </c>
      <c r="B1385" t="s">
        <v>92</v>
      </c>
      <c r="C1385" t="s">
        <v>9</v>
      </c>
      <c r="D1385" t="s">
        <v>10</v>
      </c>
      <c r="E1385">
        <v>2020</v>
      </c>
      <c r="F1385" s="1">
        <v>100</v>
      </c>
      <c r="G1385">
        <v>2020</v>
      </c>
      <c r="H1385">
        <f>AVERAGEIFS(Table1[value],Table1[IndicatorCode],Table1[[#This Row],[IndicatorCode]])</f>
        <v>99.756410256410263</v>
      </c>
      <c r="I1385" cm="1">
        <f t="array" ref="I1385">_xlfn.STDEV.P(IF(Table1[IndicatorCode]=Table1[[#This Row],[IndicatorCode]],Table1[value]))</f>
        <v>1.1047979755287356</v>
      </c>
      <c r="J1385">
        <f>(Table1[[#This Row],[value]] - Table1[[#This Row],[mean]]) / Table1[[#This Row],[std_dev]]</f>
        <v>0.22048351733552002</v>
      </c>
      <c r="K1385">
        <f>AVERAGEIF(Table1[CountryCode],Table1[[#This Row],[CountryCode]],Table1[z-score])</f>
        <v>0.48073633366786628</v>
      </c>
    </row>
    <row r="1386" spans="1:12" hidden="1" x14ac:dyDescent="0.3">
      <c r="A1386" t="s">
        <v>91</v>
      </c>
      <c r="B1386" t="s">
        <v>92</v>
      </c>
      <c r="C1386" t="s">
        <v>9</v>
      </c>
      <c r="D1386" t="s">
        <v>10</v>
      </c>
      <c r="E1386">
        <v>2021</v>
      </c>
      <c r="F1386" s="1">
        <v>100</v>
      </c>
      <c r="G1386">
        <v>1990</v>
      </c>
      <c r="H1386">
        <f>AVERAGEIFS(Table1[value],Table1[IndicatorCode],Table1[[#This Row],[IndicatorCode]])</f>
        <v>99.756410256410263</v>
      </c>
      <c r="I1386" cm="1">
        <f t="array" ref="I1386">_xlfn.STDEV.P(IF(Table1[IndicatorCode]=Table1[[#This Row],[IndicatorCode]],Table1[value]))</f>
        <v>1.1047979755287356</v>
      </c>
      <c r="J1386">
        <f>(Table1[[#This Row],[value]] - Table1[[#This Row],[mean]]) / Table1[[#This Row],[std_dev]]</f>
        <v>0.22048351733552002</v>
      </c>
      <c r="K1386">
        <f>AVERAGEIF(Table1[CountryCode],Table1[[#This Row],[CountryCode]],Table1[z-score])</f>
        <v>0.48073633366786628</v>
      </c>
      <c r="L1386" t="e">
        <f>VLOOKUP(Table1[[#This Row],[CountryCode]],[1]!Table1[#All],1,FALSE)</f>
        <v>#REF!</v>
      </c>
    </row>
    <row r="1387" spans="1:12" hidden="1" x14ac:dyDescent="0.3">
      <c r="A1387" t="s">
        <v>91</v>
      </c>
      <c r="B1387" t="s">
        <v>92</v>
      </c>
      <c r="C1387" t="s">
        <v>9</v>
      </c>
      <c r="D1387" t="s">
        <v>10</v>
      </c>
      <c r="E1387">
        <v>2022</v>
      </c>
      <c r="F1387" s="1">
        <v>100</v>
      </c>
      <c r="G1387">
        <v>1990</v>
      </c>
      <c r="H1387">
        <f>AVERAGEIFS(Table1[value],Table1[IndicatorCode],Table1[[#This Row],[IndicatorCode]])</f>
        <v>99.756410256410263</v>
      </c>
      <c r="I1387" cm="1">
        <f t="array" ref="I1387">_xlfn.STDEV.P(IF(Table1[IndicatorCode]=Table1[[#This Row],[IndicatorCode]],Table1[value]))</f>
        <v>1.1047979755287356</v>
      </c>
      <c r="J1387">
        <f>(Table1[[#This Row],[value]] - Table1[[#This Row],[mean]]) / Table1[[#This Row],[std_dev]]</f>
        <v>0.22048351733552002</v>
      </c>
      <c r="K1387">
        <f>AVERAGEIF(Table1[CountryCode],Table1[[#This Row],[CountryCode]],Table1[z-score])</f>
        <v>0.48073633366786628</v>
      </c>
      <c r="L1387" t="e">
        <f>VLOOKUP(Table1[[#This Row],[CountryCode]],[1]!Table1[#All],1,FALSE)</f>
        <v>#REF!</v>
      </c>
    </row>
    <row r="1388" spans="1:12" hidden="1" x14ac:dyDescent="0.3">
      <c r="A1388" t="s">
        <v>91</v>
      </c>
      <c r="B1388" t="s">
        <v>92</v>
      </c>
      <c r="C1388" t="s">
        <v>9</v>
      </c>
      <c r="D1388" t="s">
        <v>10</v>
      </c>
      <c r="E1388">
        <v>2023</v>
      </c>
      <c r="F1388" s="1">
        <v>100</v>
      </c>
      <c r="G1388">
        <v>1990</v>
      </c>
      <c r="H1388">
        <f>AVERAGEIFS(Table1[value],Table1[IndicatorCode],Table1[[#This Row],[IndicatorCode]])</f>
        <v>99.756410256410263</v>
      </c>
      <c r="I1388" cm="1">
        <f t="array" ref="I1388">_xlfn.STDEV.P(IF(Table1[IndicatorCode]=Table1[[#This Row],[IndicatorCode]],Table1[value]))</f>
        <v>1.1047979755287356</v>
      </c>
      <c r="J1388">
        <f>(Table1[[#This Row],[value]] - Table1[[#This Row],[mean]]) / Table1[[#This Row],[std_dev]]</f>
        <v>0.22048351733552002</v>
      </c>
      <c r="K1388">
        <f>AVERAGEIF(Table1[CountryCode],Table1[[#This Row],[CountryCode]],Table1[z-score])</f>
        <v>0.48073633366786628</v>
      </c>
      <c r="L1388" t="e">
        <f>VLOOKUP(Table1[[#This Row],[CountryCode]],[1]!Table1[#All],1,FALSE)</f>
        <v>#REF!</v>
      </c>
    </row>
    <row r="1389" spans="1:12" hidden="1" x14ac:dyDescent="0.3">
      <c r="A1389" t="s">
        <v>93</v>
      </c>
      <c r="B1389" t="s">
        <v>94</v>
      </c>
      <c r="C1389" t="s">
        <v>9</v>
      </c>
      <c r="D1389" t="s">
        <v>10</v>
      </c>
      <c r="E1389">
        <v>1990</v>
      </c>
      <c r="F1389" s="1">
        <v>100</v>
      </c>
      <c r="G1389">
        <v>1990</v>
      </c>
      <c r="H1389">
        <f>AVERAGEIFS(Table1[value],Table1[IndicatorCode],Table1[[#This Row],[IndicatorCode]])</f>
        <v>99.756410256410263</v>
      </c>
      <c r="I1389" cm="1">
        <f t="array" ref="I1389">_xlfn.STDEV.P(IF(Table1[IndicatorCode]=Table1[[#This Row],[IndicatorCode]],Table1[value]))</f>
        <v>1.1047979755287356</v>
      </c>
      <c r="J1389">
        <f>(Table1[[#This Row],[value]] - Table1[[#This Row],[mean]]) / Table1[[#This Row],[std_dev]]</f>
        <v>0.22048351733552002</v>
      </c>
      <c r="K1389">
        <f>AVERAGEIF(Table1[CountryCode],Table1[[#This Row],[CountryCode]],Table1[z-score])</f>
        <v>0.64774457538517582</v>
      </c>
      <c r="L1389" t="e">
        <f>VLOOKUP(Table1[[#This Row],[CountryCode]],[1]!Table1[#All],1,FALSE)</f>
        <v>#REF!</v>
      </c>
    </row>
    <row r="1390" spans="1:12" hidden="1" x14ac:dyDescent="0.3">
      <c r="A1390" t="s">
        <v>93</v>
      </c>
      <c r="B1390" t="s">
        <v>94</v>
      </c>
      <c r="C1390" t="s">
        <v>9</v>
      </c>
      <c r="D1390" t="s">
        <v>10</v>
      </c>
      <c r="E1390">
        <v>1991</v>
      </c>
      <c r="F1390" s="1">
        <v>100</v>
      </c>
      <c r="G1390">
        <v>1990</v>
      </c>
      <c r="H1390">
        <f>AVERAGEIFS(Table1[value],Table1[IndicatorCode],Table1[[#This Row],[IndicatorCode]])</f>
        <v>99.756410256410263</v>
      </c>
      <c r="I1390" cm="1">
        <f t="array" ref="I1390">_xlfn.STDEV.P(IF(Table1[IndicatorCode]=Table1[[#This Row],[IndicatorCode]],Table1[value]))</f>
        <v>1.1047979755287356</v>
      </c>
      <c r="J1390">
        <f>(Table1[[#This Row],[value]] - Table1[[#This Row],[mean]]) / Table1[[#This Row],[std_dev]]</f>
        <v>0.22048351733552002</v>
      </c>
      <c r="K1390">
        <f>AVERAGEIF(Table1[CountryCode],Table1[[#This Row],[CountryCode]],Table1[z-score])</f>
        <v>0.64774457538517582</v>
      </c>
      <c r="L1390" t="e">
        <f>VLOOKUP(Table1[[#This Row],[CountryCode]],[1]!Table1[#All],1,FALSE)</f>
        <v>#REF!</v>
      </c>
    </row>
    <row r="1391" spans="1:12" hidden="1" x14ac:dyDescent="0.3">
      <c r="A1391" t="s">
        <v>93</v>
      </c>
      <c r="B1391" t="s">
        <v>94</v>
      </c>
      <c r="C1391" t="s">
        <v>9</v>
      </c>
      <c r="D1391" t="s">
        <v>10</v>
      </c>
      <c r="E1391">
        <v>1992</v>
      </c>
      <c r="F1391" s="1">
        <v>100</v>
      </c>
      <c r="G1391">
        <v>1990</v>
      </c>
      <c r="H1391">
        <f>AVERAGEIFS(Table1[value],Table1[IndicatorCode],Table1[[#This Row],[IndicatorCode]])</f>
        <v>99.756410256410263</v>
      </c>
      <c r="I1391" cm="1">
        <f t="array" ref="I1391">_xlfn.STDEV.P(IF(Table1[IndicatorCode]=Table1[[#This Row],[IndicatorCode]],Table1[value]))</f>
        <v>1.1047979755287356</v>
      </c>
      <c r="J1391">
        <f>(Table1[[#This Row],[value]] - Table1[[#This Row],[mean]]) / Table1[[#This Row],[std_dev]]</f>
        <v>0.22048351733552002</v>
      </c>
      <c r="K1391">
        <f>AVERAGEIF(Table1[CountryCode],Table1[[#This Row],[CountryCode]],Table1[z-score])</f>
        <v>0.64774457538517582</v>
      </c>
      <c r="L1391" t="e">
        <f>VLOOKUP(Table1[[#This Row],[CountryCode]],[1]!Table1[#All],1,FALSE)</f>
        <v>#REF!</v>
      </c>
    </row>
    <row r="1392" spans="1:12" hidden="1" x14ac:dyDescent="0.3">
      <c r="A1392" t="s">
        <v>93</v>
      </c>
      <c r="B1392" t="s">
        <v>94</v>
      </c>
      <c r="C1392" t="s">
        <v>9</v>
      </c>
      <c r="D1392" t="s">
        <v>10</v>
      </c>
      <c r="E1392">
        <v>1993</v>
      </c>
      <c r="F1392" s="1">
        <v>100</v>
      </c>
      <c r="G1392">
        <v>1990</v>
      </c>
      <c r="H1392">
        <f>AVERAGEIFS(Table1[value],Table1[IndicatorCode],Table1[[#This Row],[IndicatorCode]])</f>
        <v>99.756410256410263</v>
      </c>
      <c r="I1392" cm="1">
        <f t="array" ref="I1392">_xlfn.STDEV.P(IF(Table1[IndicatorCode]=Table1[[#This Row],[IndicatorCode]],Table1[value]))</f>
        <v>1.1047979755287356</v>
      </c>
      <c r="J1392">
        <f>(Table1[[#This Row],[value]] - Table1[[#This Row],[mean]]) / Table1[[#This Row],[std_dev]]</f>
        <v>0.22048351733552002</v>
      </c>
      <c r="K1392">
        <f>AVERAGEIF(Table1[CountryCode],Table1[[#This Row],[CountryCode]],Table1[z-score])</f>
        <v>0.64774457538517582</v>
      </c>
      <c r="L1392" t="e">
        <f>VLOOKUP(Table1[[#This Row],[CountryCode]],[1]!Table1[#All],1,FALSE)</f>
        <v>#REF!</v>
      </c>
    </row>
    <row r="1393" spans="1:12" hidden="1" x14ac:dyDescent="0.3">
      <c r="A1393" t="s">
        <v>93</v>
      </c>
      <c r="B1393" t="s">
        <v>94</v>
      </c>
      <c r="C1393" t="s">
        <v>9</v>
      </c>
      <c r="D1393" t="s">
        <v>10</v>
      </c>
      <c r="E1393">
        <v>1994</v>
      </c>
      <c r="F1393" s="1">
        <v>100</v>
      </c>
      <c r="G1393">
        <v>1990</v>
      </c>
      <c r="H1393">
        <f>AVERAGEIFS(Table1[value],Table1[IndicatorCode],Table1[[#This Row],[IndicatorCode]])</f>
        <v>99.756410256410263</v>
      </c>
      <c r="I1393" cm="1">
        <f t="array" ref="I1393">_xlfn.STDEV.P(IF(Table1[IndicatorCode]=Table1[[#This Row],[IndicatorCode]],Table1[value]))</f>
        <v>1.1047979755287356</v>
      </c>
      <c r="J1393">
        <f>(Table1[[#This Row],[value]] - Table1[[#This Row],[mean]]) / Table1[[#This Row],[std_dev]]</f>
        <v>0.22048351733552002</v>
      </c>
      <c r="K1393">
        <f>AVERAGEIF(Table1[CountryCode],Table1[[#This Row],[CountryCode]],Table1[z-score])</f>
        <v>0.64774457538517582</v>
      </c>
      <c r="L1393" t="e">
        <f>VLOOKUP(Table1[[#This Row],[CountryCode]],[1]!Table1[#All],1,FALSE)</f>
        <v>#REF!</v>
      </c>
    </row>
    <row r="1394" spans="1:12" hidden="1" x14ac:dyDescent="0.3">
      <c r="A1394" t="s">
        <v>93</v>
      </c>
      <c r="B1394" t="s">
        <v>94</v>
      </c>
      <c r="C1394" t="s">
        <v>9</v>
      </c>
      <c r="D1394" t="s">
        <v>10</v>
      </c>
      <c r="E1394">
        <v>1995</v>
      </c>
      <c r="F1394" s="1">
        <v>100</v>
      </c>
      <c r="G1394">
        <v>1990</v>
      </c>
      <c r="H1394">
        <f>AVERAGEIFS(Table1[value],Table1[IndicatorCode],Table1[[#This Row],[IndicatorCode]])</f>
        <v>99.756410256410263</v>
      </c>
      <c r="I1394" cm="1">
        <f t="array" ref="I1394">_xlfn.STDEV.P(IF(Table1[IndicatorCode]=Table1[[#This Row],[IndicatorCode]],Table1[value]))</f>
        <v>1.1047979755287356</v>
      </c>
      <c r="J1394">
        <f>(Table1[[#This Row],[value]] - Table1[[#This Row],[mean]]) / Table1[[#This Row],[std_dev]]</f>
        <v>0.22048351733552002</v>
      </c>
      <c r="K1394">
        <f>AVERAGEIF(Table1[CountryCode],Table1[[#This Row],[CountryCode]],Table1[z-score])</f>
        <v>0.64774457538517582</v>
      </c>
      <c r="L1394" t="e">
        <f>VLOOKUP(Table1[[#This Row],[CountryCode]],[1]!Table1[#All],1,FALSE)</f>
        <v>#REF!</v>
      </c>
    </row>
    <row r="1395" spans="1:12" hidden="1" x14ac:dyDescent="0.3">
      <c r="A1395" t="s">
        <v>93</v>
      </c>
      <c r="B1395" t="s">
        <v>94</v>
      </c>
      <c r="C1395" t="s">
        <v>9</v>
      </c>
      <c r="D1395" t="s">
        <v>10</v>
      </c>
      <c r="E1395">
        <v>1996</v>
      </c>
      <c r="F1395" s="1">
        <v>100</v>
      </c>
      <c r="G1395">
        <v>1990</v>
      </c>
      <c r="H1395">
        <f>AVERAGEIFS(Table1[value],Table1[IndicatorCode],Table1[[#This Row],[IndicatorCode]])</f>
        <v>99.756410256410263</v>
      </c>
      <c r="I1395" cm="1">
        <f t="array" ref="I1395">_xlfn.STDEV.P(IF(Table1[IndicatorCode]=Table1[[#This Row],[IndicatorCode]],Table1[value]))</f>
        <v>1.1047979755287356</v>
      </c>
      <c r="J1395">
        <f>(Table1[[#This Row],[value]] - Table1[[#This Row],[mean]]) / Table1[[#This Row],[std_dev]]</f>
        <v>0.22048351733552002</v>
      </c>
      <c r="K1395">
        <f>AVERAGEIF(Table1[CountryCode],Table1[[#This Row],[CountryCode]],Table1[z-score])</f>
        <v>0.64774457538517582</v>
      </c>
      <c r="L1395" t="e">
        <f>VLOOKUP(Table1[[#This Row],[CountryCode]],[1]!Table1[#All],1,FALSE)</f>
        <v>#REF!</v>
      </c>
    </row>
    <row r="1396" spans="1:12" hidden="1" x14ac:dyDescent="0.3">
      <c r="A1396" t="s">
        <v>93</v>
      </c>
      <c r="B1396" t="s">
        <v>94</v>
      </c>
      <c r="C1396" t="s">
        <v>9</v>
      </c>
      <c r="D1396" t="s">
        <v>10</v>
      </c>
      <c r="E1396">
        <v>1997</v>
      </c>
      <c r="F1396" s="1">
        <v>100</v>
      </c>
      <c r="G1396">
        <v>2000</v>
      </c>
      <c r="H1396">
        <f>AVERAGEIFS(Table1[value],Table1[IndicatorCode],Table1[[#This Row],[IndicatorCode]])</f>
        <v>99.756410256410263</v>
      </c>
      <c r="I1396" cm="1">
        <f t="array" ref="I1396">_xlfn.STDEV.P(IF(Table1[IndicatorCode]=Table1[[#This Row],[IndicatorCode]],Table1[value]))</f>
        <v>1.1047979755287356</v>
      </c>
      <c r="J1396">
        <f>(Table1[[#This Row],[value]] - Table1[[#This Row],[mean]]) / Table1[[#This Row],[std_dev]]</f>
        <v>0.22048351733552002</v>
      </c>
      <c r="K1396">
        <f>AVERAGEIF(Table1[CountryCode],Table1[[#This Row],[CountryCode]],Table1[z-score])</f>
        <v>0.64774457538517582</v>
      </c>
      <c r="L1396" t="e">
        <f>VLOOKUP(Table1[[#This Row],[CountryCode]],[1]!Table1[#All],1,FALSE)</f>
        <v>#REF!</v>
      </c>
    </row>
    <row r="1397" spans="1:12" hidden="1" x14ac:dyDescent="0.3">
      <c r="A1397" t="s">
        <v>93</v>
      </c>
      <c r="B1397" t="s">
        <v>94</v>
      </c>
      <c r="C1397" t="s">
        <v>9</v>
      </c>
      <c r="D1397" t="s">
        <v>10</v>
      </c>
      <c r="E1397">
        <v>1998</v>
      </c>
      <c r="F1397" s="1">
        <v>100</v>
      </c>
      <c r="G1397">
        <v>2000</v>
      </c>
      <c r="H1397">
        <f>AVERAGEIFS(Table1[value],Table1[IndicatorCode],Table1[[#This Row],[IndicatorCode]])</f>
        <v>99.756410256410263</v>
      </c>
      <c r="I1397" cm="1">
        <f t="array" ref="I1397">_xlfn.STDEV.P(IF(Table1[IndicatorCode]=Table1[[#This Row],[IndicatorCode]],Table1[value]))</f>
        <v>1.1047979755287356</v>
      </c>
      <c r="J1397">
        <f>(Table1[[#This Row],[value]] - Table1[[#This Row],[mean]]) / Table1[[#This Row],[std_dev]]</f>
        <v>0.22048351733552002</v>
      </c>
      <c r="K1397">
        <f>AVERAGEIF(Table1[CountryCode],Table1[[#This Row],[CountryCode]],Table1[z-score])</f>
        <v>0.64774457538517582</v>
      </c>
      <c r="L1397" t="e">
        <f>VLOOKUP(Table1[[#This Row],[CountryCode]],[1]!Table1[#All],1,FALSE)</f>
        <v>#REF!</v>
      </c>
    </row>
    <row r="1398" spans="1:12" hidden="1" x14ac:dyDescent="0.3">
      <c r="A1398" t="s">
        <v>93</v>
      </c>
      <c r="B1398" t="s">
        <v>94</v>
      </c>
      <c r="C1398" t="s">
        <v>9</v>
      </c>
      <c r="D1398" t="s">
        <v>10</v>
      </c>
      <c r="E1398">
        <v>1999</v>
      </c>
      <c r="F1398" s="1">
        <v>100</v>
      </c>
      <c r="G1398">
        <v>2000</v>
      </c>
      <c r="H1398">
        <f>AVERAGEIFS(Table1[value],Table1[IndicatorCode],Table1[[#This Row],[IndicatorCode]])</f>
        <v>99.756410256410263</v>
      </c>
      <c r="I1398" cm="1">
        <f t="array" ref="I1398">_xlfn.STDEV.P(IF(Table1[IndicatorCode]=Table1[[#This Row],[IndicatorCode]],Table1[value]))</f>
        <v>1.1047979755287356</v>
      </c>
      <c r="J1398">
        <f>(Table1[[#This Row],[value]] - Table1[[#This Row],[mean]]) / Table1[[#This Row],[std_dev]]</f>
        <v>0.22048351733552002</v>
      </c>
      <c r="K1398">
        <f>AVERAGEIF(Table1[CountryCode],Table1[[#This Row],[CountryCode]],Table1[z-score])</f>
        <v>0.64774457538517582</v>
      </c>
      <c r="L1398" t="e">
        <f>VLOOKUP(Table1[[#This Row],[CountryCode]],[1]!Table1[#All],1,FALSE)</f>
        <v>#REF!</v>
      </c>
    </row>
    <row r="1399" spans="1:12" hidden="1" x14ac:dyDescent="0.3">
      <c r="A1399" t="s">
        <v>93</v>
      </c>
      <c r="B1399" t="s">
        <v>94</v>
      </c>
      <c r="C1399" t="s">
        <v>9</v>
      </c>
      <c r="D1399" t="s">
        <v>10</v>
      </c>
      <c r="E1399">
        <v>2000</v>
      </c>
      <c r="F1399" s="1">
        <v>100</v>
      </c>
      <c r="G1399">
        <v>2000</v>
      </c>
      <c r="H1399">
        <f>AVERAGEIFS(Table1[value],Table1[IndicatorCode],Table1[[#This Row],[IndicatorCode]])</f>
        <v>99.756410256410263</v>
      </c>
      <c r="I1399" cm="1">
        <f t="array" ref="I1399">_xlfn.STDEV.P(IF(Table1[IndicatorCode]=Table1[[#This Row],[IndicatorCode]],Table1[value]))</f>
        <v>1.1047979755287356</v>
      </c>
      <c r="J1399">
        <f>(Table1[[#This Row],[value]] - Table1[[#This Row],[mean]]) / Table1[[#This Row],[std_dev]]</f>
        <v>0.22048351733552002</v>
      </c>
      <c r="K1399">
        <f>AVERAGEIF(Table1[CountryCode],Table1[[#This Row],[CountryCode]],Table1[z-score])</f>
        <v>0.64774457538517582</v>
      </c>
      <c r="L1399" t="e">
        <f>VLOOKUP(Table1[[#This Row],[CountryCode]],[1]!Table1[#All],1,FALSE)</f>
        <v>#REF!</v>
      </c>
    </row>
    <row r="1400" spans="1:12" hidden="1" x14ac:dyDescent="0.3">
      <c r="A1400" t="s">
        <v>93</v>
      </c>
      <c r="B1400" t="s">
        <v>94</v>
      </c>
      <c r="C1400" t="s">
        <v>9</v>
      </c>
      <c r="D1400" t="s">
        <v>10</v>
      </c>
      <c r="E1400">
        <v>2001</v>
      </c>
      <c r="F1400" s="1">
        <v>100</v>
      </c>
      <c r="G1400">
        <v>2000</v>
      </c>
      <c r="H1400">
        <f>AVERAGEIFS(Table1[value],Table1[IndicatorCode],Table1[[#This Row],[IndicatorCode]])</f>
        <v>99.756410256410263</v>
      </c>
      <c r="I1400" cm="1">
        <f t="array" ref="I1400">_xlfn.STDEV.P(IF(Table1[IndicatorCode]=Table1[[#This Row],[IndicatorCode]],Table1[value]))</f>
        <v>1.1047979755287356</v>
      </c>
      <c r="J1400">
        <f>(Table1[[#This Row],[value]] - Table1[[#This Row],[mean]]) / Table1[[#This Row],[std_dev]]</f>
        <v>0.22048351733552002</v>
      </c>
      <c r="K1400">
        <f>AVERAGEIF(Table1[CountryCode],Table1[[#This Row],[CountryCode]],Table1[z-score])</f>
        <v>0.64774457538517582</v>
      </c>
      <c r="L1400" t="e">
        <f>VLOOKUP(Table1[[#This Row],[CountryCode]],[1]!Table1[#All],1,FALSE)</f>
        <v>#REF!</v>
      </c>
    </row>
    <row r="1401" spans="1:12" hidden="1" x14ac:dyDescent="0.3">
      <c r="A1401" t="s">
        <v>93</v>
      </c>
      <c r="B1401" t="s">
        <v>94</v>
      </c>
      <c r="C1401" t="s">
        <v>9</v>
      </c>
      <c r="D1401" t="s">
        <v>10</v>
      </c>
      <c r="E1401">
        <v>2002</v>
      </c>
      <c r="F1401" s="1">
        <v>100</v>
      </c>
      <c r="G1401">
        <v>2000</v>
      </c>
      <c r="H1401">
        <f>AVERAGEIFS(Table1[value],Table1[IndicatorCode],Table1[[#This Row],[IndicatorCode]])</f>
        <v>99.756410256410263</v>
      </c>
      <c r="I1401" cm="1">
        <f t="array" ref="I1401">_xlfn.STDEV.P(IF(Table1[IndicatorCode]=Table1[[#This Row],[IndicatorCode]],Table1[value]))</f>
        <v>1.1047979755287356</v>
      </c>
      <c r="J1401">
        <f>(Table1[[#This Row],[value]] - Table1[[#This Row],[mean]]) / Table1[[#This Row],[std_dev]]</f>
        <v>0.22048351733552002</v>
      </c>
      <c r="K1401">
        <f>AVERAGEIF(Table1[CountryCode],Table1[[#This Row],[CountryCode]],Table1[z-score])</f>
        <v>0.64774457538517582</v>
      </c>
      <c r="L1401" t="e">
        <f>VLOOKUP(Table1[[#This Row],[CountryCode]],[1]!Table1[#All],1,FALSE)</f>
        <v>#REF!</v>
      </c>
    </row>
    <row r="1402" spans="1:12" hidden="1" x14ac:dyDescent="0.3">
      <c r="A1402" t="s">
        <v>93</v>
      </c>
      <c r="B1402" t="s">
        <v>94</v>
      </c>
      <c r="C1402" t="s">
        <v>9</v>
      </c>
      <c r="D1402" t="s">
        <v>10</v>
      </c>
      <c r="E1402">
        <v>2003</v>
      </c>
      <c r="F1402" s="1">
        <v>100</v>
      </c>
      <c r="G1402">
        <v>2000</v>
      </c>
      <c r="H1402">
        <f>AVERAGEIFS(Table1[value],Table1[IndicatorCode],Table1[[#This Row],[IndicatorCode]])</f>
        <v>99.756410256410263</v>
      </c>
      <c r="I1402" cm="1">
        <f t="array" ref="I1402">_xlfn.STDEV.P(IF(Table1[IndicatorCode]=Table1[[#This Row],[IndicatorCode]],Table1[value]))</f>
        <v>1.1047979755287356</v>
      </c>
      <c r="J1402">
        <f>(Table1[[#This Row],[value]] - Table1[[#This Row],[mean]]) / Table1[[#This Row],[std_dev]]</f>
        <v>0.22048351733552002</v>
      </c>
      <c r="K1402">
        <f>AVERAGEIF(Table1[CountryCode],Table1[[#This Row],[CountryCode]],Table1[z-score])</f>
        <v>0.64774457538517582</v>
      </c>
      <c r="L1402" t="e">
        <f>VLOOKUP(Table1[[#This Row],[CountryCode]],[1]!Table1[#All],1,FALSE)</f>
        <v>#REF!</v>
      </c>
    </row>
    <row r="1403" spans="1:12" hidden="1" x14ac:dyDescent="0.3">
      <c r="A1403" t="s">
        <v>93</v>
      </c>
      <c r="B1403" t="s">
        <v>94</v>
      </c>
      <c r="C1403" t="s">
        <v>9</v>
      </c>
      <c r="D1403" t="s">
        <v>10</v>
      </c>
      <c r="E1403">
        <v>2004</v>
      </c>
      <c r="F1403" s="1">
        <v>100</v>
      </c>
      <c r="G1403">
        <v>2000</v>
      </c>
      <c r="H1403">
        <f>AVERAGEIFS(Table1[value],Table1[IndicatorCode],Table1[[#This Row],[IndicatorCode]])</f>
        <v>99.756410256410263</v>
      </c>
      <c r="I1403" cm="1">
        <f t="array" ref="I1403">_xlfn.STDEV.P(IF(Table1[IndicatorCode]=Table1[[#This Row],[IndicatorCode]],Table1[value]))</f>
        <v>1.1047979755287356</v>
      </c>
      <c r="J1403">
        <f>(Table1[[#This Row],[value]] - Table1[[#This Row],[mean]]) / Table1[[#This Row],[std_dev]]</f>
        <v>0.22048351733552002</v>
      </c>
      <c r="K1403">
        <f>AVERAGEIF(Table1[CountryCode],Table1[[#This Row],[CountryCode]],Table1[z-score])</f>
        <v>0.64774457538517582</v>
      </c>
      <c r="L1403" t="e">
        <f>VLOOKUP(Table1[[#This Row],[CountryCode]],[1]!Table1[#All],1,FALSE)</f>
        <v>#REF!</v>
      </c>
    </row>
    <row r="1404" spans="1:12" hidden="1" x14ac:dyDescent="0.3">
      <c r="A1404" t="s">
        <v>93</v>
      </c>
      <c r="B1404" t="s">
        <v>94</v>
      </c>
      <c r="C1404" t="s">
        <v>9</v>
      </c>
      <c r="D1404" t="s">
        <v>10</v>
      </c>
      <c r="E1404">
        <v>2005</v>
      </c>
      <c r="F1404" s="1">
        <v>100</v>
      </c>
      <c r="G1404">
        <v>2000</v>
      </c>
      <c r="H1404">
        <f>AVERAGEIFS(Table1[value],Table1[IndicatorCode],Table1[[#This Row],[IndicatorCode]])</f>
        <v>99.756410256410263</v>
      </c>
      <c r="I1404" cm="1">
        <f t="array" ref="I1404">_xlfn.STDEV.P(IF(Table1[IndicatorCode]=Table1[[#This Row],[IndicatorCode]],Table1[value]))</f>
        <v>1.1047979755287356</v>
      </c>
      <c r="J1404">
        <f>(Table1[[#This Row],[value]] - Table1[[#This Row],[mean]]) / Table1[[#This Row],[std_dev]]</f>
        <v>0.22048351733552002</v>
      </c>
      <c r="K1404">
        <f>AVERAGEIF(Table1[CountryCode],Table1[[#This Row],[CountryCode]],Table1[z-score])</f>
        <v>0.64774457538517582</v>
      </c>
      <c r="L1404" t="e">
        <f>VLOOKUP(Table1[[#This Row],[CountryCode]],[1]!Table1[#All],1,FALSE)</f>
        <v>#REF!</v>
      </c>
    </row>
    <row r="1405" spans="1:12" hidden="1" x14ac:dyDescent="0.3">
      <c r="A1405" t="s">
        <v>93</v>
      </c>
      <c r="B1405" t="s">
        <v>94</v>
      </c>
      <c r="C1405" t="s">
        <v>9</v>
      </c>
      <c r="D1405" t="s">
        <v>10</v>
      </c>
      <c r="E1405">
        <v>2006</v>
      </c>
      <c r="F1405" s="1">
        <v>100</v>
      </c>
      <c r="G1405">
        <v>2000</v>
      </c>
      <c r="H1405">
        <f>AVERAGEIFS(Table1[value],Table1[IndicatorCode],Table1[[#This Row],[IndicatorCode]])</f>
        <v>99.756410256410263</v>
      </c>
      <c r="I1405" cm="1">
        <f t="array" ref="I1405">_xlfn.STDEV.P(IF(Table1[IndicatorCode]=Table1[[#This Row],[IndicatorCode]],Table1[value]))</f>
        <v>1.1047979755287356</v>
      </c>
      <c r="J1405">
        <f>(Table1[[#This Row],[value]] - Table1[[#This Row],[mean]]) / Table1[[#This Row],[std_dev]]</f>
        <v>0.22048351733552002</v>
      </c>
      <c r="K1405">
        <f>AVERAGEIF(Table1[CountryCode],Table1[[#This Row],[CountryCode]],Table1[z-score])</f>
        <v>0.64774457538517582</v>
      </c>
      <c r="L1405" t="e">
        <f>VLOOKUP(Table1[[#This Row],[CountryCode]],[1]!Table1[#All],1,FALSE)</f>
        <v>#REF!</v>
      </c>
    </row>
    <row r="1406" spans="1:12" hidden="1" x14ac:dyDescent="0.3">
      <c r="A1406" t="s">
        <v>93</v>
      </c>
      <c r="B1406" t="s">
        <v>94</v>
      </c>
      <c r="C1406" t="s">
        <v>9</v>
      </c>
      <c r="D1406" t="s">
        <v>10</v>
      </c>
      <c r="E1406">
        <v>2007</v>
      </c>
      <c r="F1406" s="1">
        <v>100</v>
      </c>
      <c r="G1406">
        <v>2010</v>
      </c>
      <c r="H1406">
        <f>AVERAGEIFS(Table1[value],Table1[IndicatorCode],Table1[[#This Row],[IndicatorCode]])</f>
        <v>99.756410256410263</v>
      </c>
      <c r="I1406" cm="1">
        <f t="array" ref="I1406">_xlfn.STDEV.P(IF(Table1[IndicatorCode]=Table1[[#This Row],[IndicatorCode]],Table1[value]))</f>
        <v>1.1047979755287356</v>
      </c>
      <c r="J1406">
        <f>(Table1[[#This Row],[value]] - Table1[[#This Row],[mean]]) / Table1[[#This Row],[std_dev]]</f>
        <v>0.22048351733552002</v>
      </c>
      <c r="K1406">
        <f>AVERAGEIF(Table1[CountryCode],Table1[[#This Row],[CountryCode]],Table1[z-score])</f>
        <v>0.64774457538517582</v>
      </c>
      <c r="L1406" t="e">
        <f>VLOOKUP(Table1[[#This Row],[CountryCode]],[1]!Table1[#All],1,FALSE)</f>
        <v>#REF!</v>
      </c>
    </row>
    <row r="1407" spans="1:12" hidden="1" x14ac:dyDescent="0.3">
      <c r="A1407" t="s">
        <v>93</v>
      </c>
      <c r="B1407" t="s">
        <v>94</v>
      </c>
      <c r="C1407" t="s">
        <v>9</v>
      </c>
      <c r="D1407" t="s">
        <v>10</v>
      </c>
      <c r="E1407">
        <v>2008</v>
      </c>
      <c r="F1407" s="1">
        <v>100</v>
      </c>
      <c r="G1407">
        <v>2010</v>
      </c>
      <c r="H1407">
        <f>AVERAGEIFS(Table1[value],Table1[IndicatorCode],Table1[[#This Row],[IndicatorCode]])</f>
        <v>99.756410256410263</v>
      </c>
      <c r="I1407" cm="1">
        <f t="array" ref="I1407">_xlfn.STDEV.P(IF(Table1[IndicatorCode]=Table1[[#This Row],[IndicatorCode]],Table1[value]))</f>
        <v>1.1047979755287356</v>
      </c>
      <c r="J1407">
        <f>(Table1[[#This Row],[value]] - Table1[[#This Row],[mean]]) / Table1[[#This Row],[std_dev]]</f>
        <v>0.22048351733552002</v>
      </c>
      <c r="K1407">
        <f>AVERAGEIF(Table1[CountryCode],Table1[[#This Row],[CountryCode]],Table1[z-score])</f>
        <v>0.64774457538517582</v>
      </c>
      <c r="L1407" t="e">
        <f>VLOOKUP(Table1[[#This Row],[CountryCode]],[1]!Table1[#All],1,FALSE)</f>
        <v>#REF!</v>
      </c>
    </row>
    <row r="1408" spans="1:12" hidden="1" x14ac:dyDescent="0.3">
      <c r="A1408" t="s">
        <v>93</v>
      </c>
      <c r="B1408" t="s">
        <v>94</v>
      </c>
      <c r="C1408" t="s">
        <v>9</v>
      </c>
      <c r="D1408" t="s">
        <v>10</v>
      </c>
      <c r="E1408">
        <v>2009</v>
      </c>
      <c r="F1408" s="1">
        <v>100</v>
      </c>
      <c r="G1408">
        <v>2010</v>
      </c>
      <c r="H1408">
        <f>AVERAGEIFS(Table1[value],Table1[IndicatorCode],Table1[[#This Row],[IndicatorCode]])</f>
        <v>99.756410256410263</v>
      </c>
      <c r="I1408" cm="1">
        <f t="array" ref="I1408">_xlfn.STDEV.P(IF(Table1[IndicatorCode]=Table1[[#This Row],[IndicatorCode]],Table1[value]))</f>
        <v>1.1047979755287356</v>
      </c>
      <c r="J1408">
        <f>(Table1[[#This Row],[value]] - Table1[[#This Row],[mean]]) / Table1[[#This Row],[std_dev]]</f>
        <v>0.22048351733552002</v>
      </c>
      <c r="K1408">
        <f>AVERAGEIF(Table1[CountryCode],Table1[[#This Row],[CountryCode]],Table1[z-score])</f>
        <v>0.64774457538517582</v>
      </c>
      <c r="L1408" t="e">
        <f>VLOOKUP(Table1[[#This Row],[CountryCode]],[1]!Table1[#All],1,FALSE)</f>
        <v>#REF!</v>
      </c>
    </row>
    <row r="1409" spans="1:12" hidden="1" x14ac:dyDescent="0.3">
      <c r="A1409" t="s">
        <v>93</v>
      </c>
      <c r="B1409" t="s">
        <v>94</v>
      </c>
      <c r="C1409" t="s">
        <v>9</v>
      </c>
      <c r="D1409" t="s">
        <v>10</v>
      </c>
      <c r="E1409">
        <v>2010</v>
      </c>
      <c r="F1409" s="1">
        <v>100</v>
      </c>
      <c r="G1409">
        <v>2010</v>
      </c>
      <c r="H1409">
        <f>AVERAGEIFS(Table1[value],Table1[IndicatorCode],Table1[[#This Row],[IndicatorCode]])</f>
        <v>99.756410256410263</v>
      </c>
      <c r="I1409" cm="1">
        <f t="array" ref="I1409">_xlfn.STDEV.P(IF(Table1[IndicatorCode]=Table1[[#This Row],[IndicatorCode]],Table1[value]))</f>
        <v>1.1047979755287356</v>
      </c>
      <c r="J1409">
        <f>(Table1[[#This Row],[value]] - Table1[[#This Row],[mean]]) / Table1[[#This Row],[std_dev]]</f>
        <v>0.22048351733552002</v>
      </c>
      <c r="K1409">
        <f>AVERAGEIF(Table1[CountryCode],Table1[[#This Row],[CountryCode]],Table1[z-score])</f>
        <v>0.64774457538517582</v>
      </c>
      <c r="L1409" t="e">
        <f>VLOOKUP(Table1[[#This Row],[CountryCode]],[1]!Table1[#All],1,FALSE)</f>
        <v>#REF!</v>
      </c>
    </row>
    <row r="1410" spans="1:12" hidden="1" x14ac:dyDescent="0.3">
      <c r="A1410" t="s">
        <v>93</v>
      </c>
      <c r="B1410" t="s">
        <v>94</v>
      </c>
      <c r="C1410" t="s">
        <v>9</v>
      </c>
      <c r="D1410" t="s">
        <v>10</v>
      </c>
      <c r="E1410">
        <v>2011</v>
      </c>
      <c r="F1410" s="1">
        <v>100</v>
      </c>
      <c r="G1410">
        <v>2010</v>
      </c>
      <c r="H1410">
        <f>AVERAGEIFS(Table1[value],Table1[IndicatorCode],Table1[[#This Row],[IndicatorCode]])</f>
        <v>99.756410256410263</v>
      </c>
      <c r="I1410" cm="1">
        <f t="array" ref="I1410">_xlfn.STDEV.P(IF(Table1[IndicatorCode]=Table1[[#This Row],[IndicatorCode]],Table1[value]))</f>
        <v>1.1047979755287356</v>
      </c>
      <c r="J1410">
        <f>(Table1[[#This Row],[value]] - Table1[[#This Row],[mean]]) / Table1[[#This Row],[std_dev]]</f>
        <v>0.22048351733552002</v>
      </c>
      <c r="K1410">
        <f>AVERAGEIF(Table1[CountryCode],Table1[[#This Row],[CountryCode]],Table1[z-score])</f>
        <v>0.64774457538517582</v>
      </c>
      <c r="L1410" t="e">
        <f>VLOOKUP(Table1[[#This Row],[CountryCode]],[1]!Table1[#All],1,FALSE)</f>
        <v>#REF!</v>
      </c>
    </row>
    <row r="1411" spans="1:12" hidden="1" x14ac:dyDescent="0.3">
      <c r="A1411" t="s">
        <v>93</v>
      </c>
      <c r="B1411" t="s">
        <v>94</v>
      </c>
      <c r="C1411" t="s">
        <v>9</v>
      </c>
      <c r="D1411" t="s">
        <v>10</v>
      </c>
      <c r="E1411">
        <v>2012</v>
      </c>
      <c r="F1411" s="1">
        <v>100</v>
      </c>
      <c r="G1411">
        <v>2010</v>
      </c>
      <c r="H1411">
        <f>AVERAGEIFS(Table1[value],Table1[IndicatorCode],Table1[[#This Row],[IndicatorCode]])</f>
        <v>99.756410256410263</v>
      </c>
      <c r="I1411" cm="1">
        <f t="array" ref="I1411">_xlfn.STDEV.P(IF(Table1[IndicatorCode]=Table1[[#This Row],[IndicatorCode]],Table1[value]))</f>
        <v>1.1047979755287356</v>
      </c>
      <c r="J1411">
        <f>(Table1[[#This Row],[value]] - Table1[[#This Row],[mean]]) / Table1[[#This Row],[std_dev]]</f>
        <v>0.22048351733552002</v>
      </c>
      <c r="K1411">
        <f>AVERAGEIF(Table1[CountryCode],Table1[[#This Row],[CountryCode]],Table1[z-score])</f>
        <v>0.64774457538517582</v>
      </c>
      <c r="L1411" t="e">
        <f>VLOOKUP(Table1[[#This Row],[CountryCode]],[1]!Table1[#All],1,FALSE)</f>
        <v>#REF!</v>
      </c>
    </row>
    <row r="1412" spans="1:12" hidden="1" x14ac:dyDescent="0.3">
      <c r="A1412" t="s">
        <v>93</v>
      </c>
      <c r="B1412" t="s">
        <v>94</v>
      </c>
      <c r="C1412" t="s">
        <v>9</v>
      </c>
      <c r="D1412" t="s">
        <v>10</v>
      </c>
      <c r="E1412">
        <v>2013</v>
      </c>
      <c r="F1412" s="1">
        <v>100</v>
      </c>
      <c r="G1412">
        <v>2010</v>
      </c>
      <c r="H1412">
        <f>AVERAGEIFS(Table1[value],Table1[IndicatorCode],Table1[[#This Row],[IndicatorCode]])</f>
        <v>99.756410256410263</v>
      </c>
      <c r="I1412" cm="1">
        <f t="array" ref="I1412">_xlfn.STDEV.P(IF(Table1[IndicatorCode]=Table1[[#This Row],[IndicatorCode]],Table1[value]))</f>
        <v>1.1047979755287356</v>
      </c>
      <c r="J1412">
        <f>(Table1[[#This Row],[value]] - Table1[[#This Row],[mean]]) / Table1[[#This Row],[std_dev]]</f>
        <v>0.22048351733552002</v>
      </c>
      <c r="K1412">
        <f>AVERAGEIF(Table1[CountryCode],Table1[[#This Row],[CountryCode]],Table1[z-score])</f>
        <v>0.64774457538517582</v>
      </c>
      <c r="L1412" t="e">
        <f>VLOOKUP(Table1[[#This Row],[CountryCode]],[1]!Table1[#All],1,FALSE)</f>
        <v>#REF!</v>
      </c>
    </row>
    <row r="1413" spans="1:12" hidden="1" x14ac:dyDescent="0.3">
      <c r="A1413" t="s">
        <v>93</v>
      </c>
      <c r="B1413" t="s">
        <v>94</v>
      </c>
      <c r="C1413" t="s">
        <v>9</v>
      </c>
      <c r="D1413" t="s">
        <v>10</v>
      </c>
      <c r="E1413">
        <v>2014</v>
      </c>
      <c r="F1413" s="1">
        <v>100</v>
      </c>
      <c r="G1413">
        <v>2010</v>
      </c>
      <c r="H1413">
        <f>AVERAGEIFS(Table1[value],Table1[IndicatorCode],Table1[[#This Row],[IndicatorCode]])</f>
        <v>99.756410256410263</v>
      </c>
      <c r="I1413" cm="1">
        <f t="array" ref="I1413">_xlfn.STDEV.P(IF(Table1[IndicatorCode]=Table1[[#This Row],[IndicatorCode]],Table1[value]))</f>
        <v>1.1047979755287356</v>
      </c>
      <c r="J1413">
        <f>(Table1[[#This Row],[value]] - Table1[[#This Row],[mean]]) / Table1[[#This Row],[std_dev]]</f>
        <v>0.22048351733552002</v>
      </c>
      <c r="K1413">
        <f>AVERAGEIF(Table1[CountryCode],Table1[[#This Row],[CountryCode]],Table1[z-score])</f>
        <v>0.64774457538517582</v>
      </c>
      <c r="L1413" t="e">
        <f>VLOOKUP(Table1[[#This Row],[CountryCode]],[1]!Table1[#All],1,FALSE)</f>
        <v>#REF!</v>
      </c>
    </row>
    <row r="1414" spans="1:12" hidden="1" x14ac:dyDescent="0.3">
      <c r="A1414" t="s">
        <v>93</v>
      </c>
      <c r="B1414" t="s">
        <v>94</v>
      </c>
      <c r="C1414" t="s">
        <v>9</v>
      </c>
      <c r="D1414" t="s">
        <v>10</v>
      </c>
      <c r="E1414">
        <v>2015</v>
      </c>
      <c r="F1414" s="1">
        <v>100</v>
      </c>
      <c r="G1414">
        <v>2010</v>
      </c>
      <c r="H1414">
        <f>AVERAGEIFS(Table1[value],Table1[IndicatorCode],Table1[[#This Row],[IndicatorCode]])</f>
        <v>99.756410256410263</v>
      </c>
      <c r="I1414" cm="1">
        <f t="array" ref="I1414">_xlfn.STDEV.P(IF(Table1[IndicatorCode]=Table1[[#This Row],[IndicatorCode]],Table1[value]))</f>
        <v>1.1047979755287356</v>
      </c>
      <c r="J1414">
        <f>(Table1[[#This Row],[value]] - Table1[[#This Row],[mean]]) / Table1[[#This Row],[std_dev]]</f>
        <v>0.22048351733552002</v>
      </c>
      <c r="K1414">
        <f>AVERAGEIF(Table1[CountryCode],Table1[[#This Row],[CountryCode]],Table1[z-score])</f>
        <v>0.64774457538517582</v>
      </c>
      <c r="L1414" t="e">
        <f>VLOOKUP(Table1[[#This Row],[CountryCode]],[1]!Table1[#All],1,FALSE)</f>
        <v>#REF!</v>
      </c>
    </row>
    <row r="1415" spans="1:12" hidden="1" x14ac:dyDescent="0.3">
      <c r="A1415" t="s">
        <v>93</v>
      </c>
      <c r="B1415" t="s">
        <v>94</v>
      </c>
      <c r="C1415" t="s">
        <v>9</v>
      </c>
      <c r="D1415" t="s">
        <v>10</v>
      </c>
      <c r="E1415">
        <v>2016</v>
      </c>
      <c r="F1415" s="1">
        <v>100</v>
      </c>
      <c r="G1415">
        <v>2010</v>
      </c>
      <c r="H1415">
        <f>AVERAGEIFS(Table1[value],Table1[IndicatorCode],Table1[[#This Row],[IndicatorCode]])</f>
        <v>99.756410256410263</v>
      </c>
      <c r="I1415" cm="1">
        <f t="array" ref="I1415">_xlfn.STDEV.P(IF(Table1[IndicatorCode]=Table1[[#This Row],[IndicatorCode]],Table1[value]))</f>
        <v>1.1047979755287356</v>
      </c>
      <c r="J1415">
        <f>(Table1[[#This Row],[value]] - Table1[[#This Row],[mean]]) / Table1[[#This Row],[std_dev]]</f>
        <v>0.22048351733552002</v>
      </c>
      <c r="K1415">
        <f>AVERAGEIF(Table1[CountryCode],Table1[[#This Row],[CountryCode]],Table1[z-score])</f>
        <v>0.64774457538517582</v>
      </c>
      <c r="L1415" t="e">
        <f>VLOOKUP(Table1[[#This Row],[CountryCode]],[1]!Table1[#All],1,FALSE)</f>
        <v>#REF!</v>
      </c>
    </row>
    <row r="1416" spans="1:12" hidden="1" x14ac:dyDescent="0.3">
      <c r="A1416" t="s">
        <v>93</v>
      </c>
      <c r="B1416" t="s">
        <v>94</v>
      </c>
      <c r="C1416" t="s">
        <v>9</v>
      </c>
      <c r="D1416" t="s">
        <v>10</v>
      </c>
      <c r="E1416">
        <v>2017</v>
      </c>
      <c r="F1416" s="1">
        <v>100</v>
      </c>
      <c r="G1416">
        <v>2020</v>
      </c>
      <c r="H1416">
        <f>AVERAGEIFS(Table1[value],Table1[IndicatorCode],Table1[[#This Row],[IndicatorCode]])</f>
        <v>99.756410256410263</v>
      </c>
      <c r="I1416" cm="1">
        <f t="array" ref="I1416">_xlfn.STDEV.P(IF(Table1[IndicatorCode]=Table1[[#This Row],[IndicatorCode]],Table1[value]))</f>
        <v>1.1047979755287356</v>
      </c>
      <c r="J1416">
        <f>(Table1[[#This Row],[value]] - Table1[[#This Row],[mean]]) / Table1[[#This Row],[std_dev]]</f>
        <v>0.22048351733552002</v>
      </c>
      <c r="K1416">
        <f>AVERAGEIF(Table1[CountryCode],Table1[[#This Row],[CountryCode]],Table1[z-score])</f>
        <v>0.64774457538517582</v>
      </c>
      <c r="L1416" t="e">
        <f>VLOOKUP(Table1[[#This Row],[CountryCode]],[1]!Table1[#All],1,FALSE)</f>
        <v>#REF!</v>
      </c>
    </row>
    <row r="1417" spans="1:12" hidden="1" x14ac:dyDescent="0.3">
      <c r="A1417" t="s">
        <v>93</v>
      </c>
      <c r="B1417" t="s">
        <v>94</v>
      </c>
      <c r="C1417" t="s">
        <v>9</v>
      </c>
      <c r="D1417" t="s">
        <v>10</v>
      </c>
      <c r="E1417">
        <v>2018</v>
      </c>
      <c r="F1417" s="1">
        <v>100</v>
      </c>
      <c r="G1417">
        <v>2020</v>
      </c>
      <c r="H1417">
        <f>AVERAGEIFS(Table1[value],Table1[IndicatorCode],Table1[[#This Row],[IndicatorCode]])</f>
        <v>99.756410256410263</v>
      </c>
      <c r="I1417" cm="1">
        <f t="array" ref="I1417">_xlfn.STDEV.P(IF(Table1[IndicatorCode]=Table1[[#This Row],[IndicatorCode]],Table1[value]))</f>
        <v>1.1047979755287356</v>
      </c>
      <c r="J1417">
        <f>(Table1[[#This Row],[value]] - Table1[[#This Row],[mean]]) / Table1[[#This Row],[std_dev]]</f>
        <v>0.22048351733552002</v>
      </c>
      <c r="K1417">
        <f>AVERAGEIF(Table1[CountryCode],Table1[[#This Row],[CountryCode]],Table1[z-score])</f>
        <v>0.64774457538517582</v>
      </c>
      <c r="L1417" t="e">
        <f>VLOOKUP(Table1[[#This Row],[CountryCode]],[1]!Table1[#All],1,FALSE)</f>
        <v>#REF!</v>
      </c>
    </row>
    <row r="1418" spans="1:12" hidden="1" x14ac:dyDescent="0.3">
      <c r="A1418" t="s">
        <v>93</v>
      </c>
      <c r="B1418" t="s">
        <v>94</v>
      </c>
      <c r="C1418" t="s">
        <v>9</v>
      </c>
      <c r="D1418" t="s">
        <v>10</v>
      </c>
      <c r="E1418">
        <v>2019</v>
      </c>
      <c r="F1418" s="1">
        <v>100</v>
      </c>
      <c r="G1418">
        <v>2020</v>
      </c>
      <c r="H1418">
        <f>AVERAGEIFS(Table1[value],Table1[IndicatorCode],Table1[[#This Row],[IndicatorCode]])</f>
        <v>99.756410256410263</v>
      </c>
      <c r="I1418" cm="1">
        <f t="array" ref="I1418">_xlfn.STDEV.P(IF(Table1[IndicatorCode]=Table1[[#This Row],[IndicatorCode]],Table1[value]))</f>
        <v>1.1047979755287356</v>
      </c>
      <c r="J1418">
        <f>(Table1[[#This Row],[value]] - Table1[[#This Row],[mean]]) / Table1[[#This Row],[std_dev]]</f>
        <v>0.22048351733552002</v>
      </c>
      <c r="K1418">
        <f>AVERAGEIF(Table1[CountryCode],Table1[[#This Row],[CountryCode]],Table1[z-score])</f>
        <v>0.64774457538517582</v>
      </c>
      <c r="L1418" t="e">
        <f>VLOOKUP(Table1[[#This Row],[CountryCode]],[1]!Table1[#All],1,FALSE)</f>
        <v>#REF!</v>
      </c>
    </row>
    <row r="1419" spans="1:12" x14ac:dyDescent="0.3">
      <c r="A1419" t="s">
        <v>93</v>
      </c>
      <c r="B1419" t="s">
        <v>94</v>
      </c>
      <c r="C1419" t="s">
        <v>9</v>
      </c>
      <c r="D1419" t="s">
        <v>10</v>
      </c>
      <c r="E1419">
        <v>2020</v>
      </c>
      <c r="F1419" s="1">
        <v>100</v>
      </c>
      <c r="G1419">
        <v>2020</v>
      </c>
      <c r="H1419">
        <f>AVERAGEIFS(Table1[value],Table1[IndicatorCode],Table1[[#This Row],[IndicatorCode]])</f>
        <v>99.756410256410263</v>
      </c>
      <c r="I1419" cm="1">
        <f t="array" ref="I1419">_xlfn.STDEV.P(IF(Table1[IndicatorCode]=Table1[[#This Row],[IndicatorCode]],Table1[value]))</f>
        <v>1.1047979755287356</v>
      </c>
      <c r="J1419">
        <f>(Table1[[#This Row],[value]] - Table1[[#This Row],[mean]]) / Table1[[#This Row],[std_dev]]</f>
        <v>0.22048351733552002</v>
      </c>
      <c r="K1419">
        <f>AVERAGEIF(Table1[CountryCode],Table1[[#This Row],[CountryCode]],Table1[z-score])</f>
        <v>0.64774457538517582</v>
      </c>
    </row>
    <row r="1420" spans="1:12" hidden="1" x14ac:dyDescent="0.3">
      <c r="A1420" t="s">
        <v>93</v>
      </c>
      <c r="B1420" t="s">
        <v>94</v>
      </c>
      <c r="C1420" t="s">
        <v>9</v>
      </c>
      <c r="D1420" t="s">
        <v>10</v>
      </c>
      <c r="E1420">
        <v>2021</v>
      </c>
      <c r="F1420" s="1">
        <v>100</v>
      </c>
      <c r="G1420">
        <v>1990</v>
      </c>
      <c r="H1420">
        <f>AVERAGEIFS(Table1[value],Table1[IndicatorCode],Table1[[#This Row],[IndicatorCode]])</f>
        <v>99.756410256410263</v>
      </c>
      <c r="I1420" cm="1">
        <f t="array" ref="I1420">_xlfn.STDEV.P(IF(Table1[IndicatorCode]=Table1[[#This Row],[IndicatorCode]],Table1[value]))</f>
        <v>1.1047979755287356</v>
      </c>
      <c r="J1420">
        <f>(Table1[[#This Row],[value]] - Table1[[#This Row],[mean]]) / Table1[[#This Row],[std_dev]]</f>
        <v>0.22048351733552002</v>
      </c>
      <c r="K1420">
        <f>AVERAGEIF(Table1[CountryCode],Table1[[#This Row],[CountryCode]],Table1[z-score])</f>
        <v>0.64774457538517582</v>
      </c>
      <c r="L1420" t="e">
        <f>VLOOKUP(Table1[[#This Row],[CountryCode]],[1]!Table1[#All],1,FALSE)</f>
        <v>#REF!</v>
      </c>
    </row>
    <row r="1421" spans="1:12" hidden="1" x14ac:dyDescent="0.3">
      <c r="A1421" t="s">
        <v>93</v>
      </c>
      <c r="B1421" t="s">
        <v>94</v>
      </c>
      <c r="C1421" t="s">
        <v>9</v>
      </c>
      <c r="D1421" t="s">
        <v>10</v>
      </c>
      <c r="E1421">
        <v>2022</v>
      </c>
      <c r="F1421" s="1">
        <v>100</v>
      </c>
      <c r="G1421">
        <v>1990</v>
      </c>
      <c r="H1421">
        <f>AVERAGEIFS(Table1[value],Table1[IndicatorCode],Table1[[#This Row],[IndicatorCode]])</f>
        <v>99.756410256410263</v>
      </c>
      <c r="I1421" cm="1">
        <f t="array" ref="I1421">_xlfn.STDEV.P(IF(Table1[IndicatorCode]=Table1[[#This Row],[IndicatorCode]],Table1[value]))</f>
        <v>1.1047979755287356</v>
      </c>
      <c r="J1421">
        <f>(Table1[[#This Row],[value]] - Table1[[#This Row],[mean]]) / Table1[[#This Row],[std_dev]]</f>
        <v>0.22048351733552002</v>
      </c>
      <c r="K1421">
        <f>AVERAGEIF(Table1[CountryCode],Table1[[#This Row],[CountryCode]],Table1[z-score])</f>
        <v>0.64774457538517582</v>
      </c>
      <c r="L1421" t="e">
        <f>VLOOKUP(Table1[[#This Row],[CountryCode]],[1]!Table1[#All],1,FALSE)</f>
        <v>#REF!</v>
      </c>
    </row>
    <row r="1422" spans="1:12" hidden="1" x14ac:dyDescent="0.3">
      <c r="A1422" t="s">
        <v>93</v>
      </c>
      <c r="B1422" t="s">
        <v>94</v>
      </c>
      <c r="C1422" t="s">
        <v>9</v>
      </c>
      <c r="D1422" t="s">
        <v>10</v>
      </c>
      <c r="E1422">
        <v>2023</v>
      </c>
      <c r="F1422" s="1">
        <v>100</v>
      </c>
      <c r="G1422">
        <v>1990</v>
      </c>
      <c r="H1422">
        <f>AVERAGEIFS(Table1[value],Table1[IndicatorCode],Table1[[#This Row],[IndicatorCode]])</f>
        <v>99.756410256410263</v>
      </c>
      <c r="I1422" cm="1">
        <f t="array" ref="I1422">_xlfn.STDEV.P(IF(Table1[IndicatorCode]=Table1[[#This Row],[IndicatorCode]],Table1[value]))</f>
        <v>1.1047979755287356</v>
      </c>
      <c r="J1422">
        <f>(Table1[[#This Row],[value]] - Table1[[#This Row],[mean]]) / Table1[[#This Row],[std_dev]]</f>
        <v>0.22048351733552002</v>
      </c>
      <c r="K1422">
        <f>AVERAGEIF(Table1[CountryCode],Table1[[#This Row],[CountryCode]],Table1[z-score])</f>
        <v>0.64774457538517582</v>
      </c>
      <c r="L1422" t="e">
        <f>VLOOKUP(Table1[[#This Row],[CountryCode]],[1]!Table1[#All],1,FALSE)</f>
        <v>#REF!</v>
      </c>
    </row>
    <row r="1423" spans="1:12" hidden="1" x14ac:dyDescent="0.3">
      <c r="A1423" t="s">
        <v>95</v>
      </c>
      <c r="B1423" t="s">
        <v>96</v>
      </c>
      <c r="C1423" t="s">
        <v>9</v>
      </c>
      <c r="D1423" t="s">
        <v>10</v>
      </c>
      <c r="E1423">
        <v>1990</v>
      </c>
      <c r="F1423" s="1">
        <v>100</v>
      </c>
      <c r="G1423">
        <v>1990</v>
      </c>
      <c r="H1423">
        <f>AVERAGEIFS(Table1[value],Table1[IndicatorCode],Table1[[#This Row],[IndicatorCode]])</f>
        <v>99.756410256410263</v>
      </c>
      <c r="I1423" cm="1">
        <f t="array" ref="I1423">_xlfn.STDEV.P(IF(Table1[IndicatorCode]=Table1[[#This Row],[IndicatorCode]],Table1[value]))</f>
        <v>1.1047979755287356</v>
      </c>
      <c r="J1423">
        <f>(Table1[[#This Row],[value]] - Table1[[#This Row],[mean]]) / Table1[[#This Row],[std_dev]]</f>
        <v>0.22048351733552002</v>
      </c>
      <c r="K1423">
        <f>AVERAGEIF(Table1[CountryCode],Table1[[#This Row],[CountryCode]],Table1[z-score])</f>
        <v>4.9319686102583721E-2</v>
      </c>
      <c r="L1423" t="e">
        <f>VLOOKUP(Table1[[#This Row],[CountryCode]],[1]!Table1[#All],1,FALSE)</f>
        <v>#REF!</v>
      </c>
    </row>
    <row r="1424" spans="1:12" hidden="1" x14ac:dyDescent="0.3">
      <c r="A1424" t="s">
        <v>95</v>
      </c>
      <c r="B1424" t="s">
        <v>96</v>
      </c>
      <c r="C1424" t="s">
        <v>9</v>
      </c>
      <c r="D1424" t="s">
        <v>10</v>
      </c>
      <c r="E1424">
        <v>1991</v>
      </c>
      <c r="F1424" s="1">
        <v>100</v>
      </c>
      <c r="G1424">
        <v>1990</v>
      </c>
      <c r="H1424">
        <f>AVERAGEIFS(Table1[value],Table1[IndicatorCode],Table1[[#This Row],[IndicatorCode]])</f>
        <v>99.756410256410263</v>
      </c>
      <c r="I1424" cm="1">
        <f t="array" ref="I1424">_xlfn.STDEV.P(IF(Table1[IndicatorCode]=Table1[[#This Row],[IndicatorCode]],Table1[value]))</f>
        <v>1.1047979755287356</v>
      </c>
      <c r="J1424">
        <f>(Table1[[#This Row],[value]] - Table1[[#This Row],[mean]]) / Table1[[#This Row],[std_dev]]</f>
        <v>0.22048351733552002</v>
      </c>
      <c r="K1424">
        <f>AVERAGEIF(Table1[CountryCode],Table1[[#This Row],[CountryCode]],Table1[z-score])</f>
        <v>4.9319686102583721E-2</v>
      </c>
      <c r="L1424" t="e">
        <f>VLOOKUP(Table1[[#This Row],[CountryCode]],[1]!Table1[#All],1,FALSE)</f>
        <v>#REF!</v>
      </c>
    </row>
    <row r="1425" spans="1:12" hidden="1" x14ac:dyDescent="0.3">
      <c r="A1425" t="s">
        <v>95</v>
      </c>
      <c r="B1425" t="s">
        <v>96</v>
      </c>
      <c r="C1425" t="s">
        <v>9</v>
      </c>
      <c r="D1425" t="s">
        <v>10</v>
      </c>
      <c r="E1425">
        <v>1992</v>
      </c>
      <c r="F1425" s="1">
        <v>100</v>
      </c>
      <c r="G1425">
        <v>1990</v>
      </c>
      <c r="H1425">
        <f>AVERAGEIFS(Table1[value],Table1[IndicatorCode],Table1[[#This Row],[IndicatorCode]])</f>
        <v>99.756410256410263</v>
      </c>
      <c r="I1425" cm="1">
        <f t="array" ref="I1425">_xlfn.STDEV.P(IF(Table1[IndicatorCode]=Table1[[#This Row],[IndicatorCode]],Table1[value]))</f>
        <v>1.1047979755287356</v>
      </c>
      <c r="J1425">
        <f>(Table1[[#This Row],[value]] - Table1[[#This Row],[mean]]) / Table1[[#This Row],[std_dev]]</f>
        <v>0.22048351733552002</v>
      </c>
      <c r="K1425">
        <f>AVERAGEIF(Table1[CountryCode],Table1[[#This Row],[CountryCode]],Table1[z-score])</f>
        <v>4.9319686102583721E-2</v>
      </c>
      <c r="L1425" t="e">
        <f>VLOOKUP(Table1[[#This Row],[CountryCode]],[1]!Table1[#All],1,FALSE)</f>
        <v>#REF!</v>
      </c>
    </row>
    <row r="1426" spans="1:12" hidden="1" x14ac:dyDescent="0.3">
      <c r="A1426" t="s">
        <v>95</v>
      </c>
      <c r="B1426" t="s">
        <v>96</v>
      </c>
      <c r="C1426" t="s">
        <v>9</v>
      </c>
      <c r="D1426" t="s">
        <v>10</v>
      </c>
      <c r="E1426">
        <v>1993</v>
      </c>
      <c r="F1426" s="1">
        <v>100</v>
      </c>
      <c r="G1426">
        <v>1990</v>
      </c>
      <c r="H1426">
        <f>AVERAGEIFS(Table1[value],Table1[IndicatorCode],Table1[[#This Row],[IndicatorCode]])</f>
        <v>99.756410256410263</v>
      </c>
      <c r="I1426" cm="1">
        <f t="array" ref="I1426">_xlfn.STDEV.P(IF(Table1[IndicatorCode]=Table1[[#This Row],[IndicatorCode]],Table1[value]))</f>
        <v>1.1047979755287356</v>
      </c>
      <c r="J1426">
        <f>(Table1[[#This Row],[value]] - Table1[[#This Row],[mean]]) / Table1[[#This Row],[std_dev]]</f>
        <v>0.22048351733552002</v>
      </c>
      <c r="K1426">
        <f>AVERAGEIF(Table1[CountryCode],Table1[[#This Row],[CountryCode]],Table1[z-score])</f>
        <v>4.9319686102583721E-2</v>
      </c>
      <c r="L1426" t="e">
        <f>VLOOKUP(Table1[[#This Row],[CountryCode]],[1]!Table1[#All],1,FALSE)</f>
        <v>#REF!</v>
      </c>
    </row>
    <row r="1427" spans="1:12" hidden="1" x14ac:dyDescent="0.3">
      <c r="A1427" t="s">
        <v>95</v>
      </c>
      <c r="B1427" t="s">
        <v>96</v>
      </c>
      <c r="C1427" t="s">
        <v>9</v>
      </c>
      <c r="D1427" t="s">
        <v>10</v>
      </c>
      <c r="E1427">
        <v>1994</v>
      </c>
      <c r="F1427" s="1">
        <v>100</v>
      </c>
      <c r="G1427">
        <v>1990</v>
      </c>
      <c r="H1427">
        <f>AVERAGEIFS(Table1[value],Table1[IndicatorCode],Table1[[#This Row],[IndicatorCode]])</f>
        <v>99.756410256410263</v>
      </c>
      <c r="I1427" cm="1">
        <f t="array" ref="I1427">_xlfn.STDEV.P(IF(Table1[IndicatorCode]=Table1[[#This Row],[IndicatorCode]],Table1[value]))</f>
        <v>1.1047979755287356</v>
      </c>
      <c r="J1427">
        <f>(Table1[[#This Row],[value]] - Table1[[#This Row],[mean]]) / Table1[[#This Row],[std_dev]]</f>
        <v>0.22048351733552002</v>
      </c>
      <c r="K1427">
        <f>AVERAGEIF(Table1[CountryCode],Table1[[#This Row],[CountryCode]],Table1[z-score])</f>
        <v>4.9319686102583721E-2</v>
      </c>
      <c r="L1427" t="e">
        <f>VLOOKUP(Table1[[#This Row],[CountryCode]],[1]!Table1[#All],1,FALSE)</f>
        <v>#REF!</v>
      </c>
    </row>
    <row r="1428" spans="1:12" hidden="1" x14ac:dyDescent="0.3">
      <c r="A1428" t="s">
        <v>95</v>
      </c>
      <c r="B1428" t="s">
        <v>96</v>
      </c>
      <c r="C1428" t="s">
        <v>9</v>
      </c>
      <c r="D1428" t="s">
        <v>10</v>
      </c>
      <c r="E1428">
        <v>1995</v>
      </c>
      <c r="F1428" s="1">
        <v>100</v>
      </c>
      <c r="G1428">
        <v>1990</v>
      </c>
      <c r="H1428">
        <f>AVERAGEIFS(Table1[value],Table1[IndicatorCode],Table1[[#This Row],[IndicatorCode]])</f>
        <v>99.756410256410263</v>
      </c>
      <c r="I1428" cm="1">
        <f t="array" ref="I1428">_xlfn.STDEV.P(IF(Table1[IndicatorCode]=Table1[[#This Row],[IndicatorCode]],Table1[value]))</f>
        <v>1.1047979755287356</v>
      </c>
      <c r="J1428">
        <f>(Table1[[#This Row],[value]] - Table1[[#This Row],[mean]]) / Table1[[#This Row],[std_dev]]</f>
        <v>0.22048351733552002</v>
      </c>
      <c r="K1428">
        <f>AVERAGEIF(Table1[CountryCode],Table1[[#This Row],[CountryCode]],Table1[z-score])</f>
        <v>4.9319686102583721E-2</v>
      </c>
      <c r="L1428" t="e">
        <f>VLOOKUP(Table1[[#This Row],[CountryCode]],[1]!Table1[#All],1,FALSE)</f>
        <v>#REF!</v>
      </c>
    </row>
    <row r="1429" spans="1:12" hidden="1" x14ac:dyDescent="0.3">
      <c r="A1429" t="s">
        <v>95</v>
      </c>
      <c r="B1429" t="s">
        <v>96</v>
      </c>
      <c r="C1429" t="s">
        <v>9</v>
      </c>
      <c r="D1429" t="s">
        <v>10</v>
      </c>
      <c r="E1429">
        <v>1996</v>
      </c>
      <c r="F1429" s="1">
        <v>100</v>
      </c>
      <c r="G1429">
        <v>1990</v>
      </c>
      <c r="H1429">
        <f>AVERAGEIFS(Table1[value],Table1[IndicatorCode],Table1[[#This Row],[IndicatorCode]])</f>
        <v>99.756410256410263</v>
      </c>
      <c r="I1429" cm="1">
        <f t="array" ref="I1429">_xlfn.STDEV.P(IF(Table1[IndicatorCode]=Table1[[#This Row],[IndicatorCode]],Table1[value]))</f>
        <v>1.1047979755287356</v>
      </c>
      <c r="J1429">
        <f>(Table1[[#This Row],[value]] - Table1[[#This Row],[mean]]) / Table1[[#This Row],[std_dev]]</f>
        <v>0.22048351733552002</v>
      </c>
      <c r="K1429">
        <f>AVERAGEIF(Table1[CountryCode],Table1[[#This Row],[CountryCode]],Table1[z-score])</f>
        <v>4.9319686102583721E-2</v>
      </c>
      <c r="L1429" t="e">
        <f>VLOOKUP(Table1[[#This Row],[CountryCode]],[1]!Table1[#All],1,FALSE)</f>
        <v>#REF!</v>
      </c>
    </row>
    <row r="1430" spans="1:12" hidden="1" x14ac:dyDescent="0.3">
      <c r="A1430" t="s">
        <v>95</v>
      </c>
      <c r="B1430" t="s">
        <v>96</v>
      </c>
      <c r="C1430" t="s">
        <v>9</v>
      </c>
      <c r="D1430" t="s">
        <v>10</v>
      </c>
      <c r="E1430">
        <v>1997</v>
      </c>
      <c r="F1430" s="1">
        <v>100</v>
      </c>
      <c r="G1430">
        <v>2000</v>
      </c>
      <c r="H1430">
        <f>AVERAGEIFS(Table1[value],Table1[IndicatorCode],Table1[[#This Row],[IndicatorCode]])</f>
        <v>99.756410256410263</v>
      </c>
      <c r="I1430" cm="1">
        <f t="array" ref="I1430">_xlfn.STDEV.P(IF(Table1[IndicatorCode]=Table1[[#This Row],[IndicatorCode]],Table1[value]))</f>
        <v>1.1047979755287356</v>
      </c>
      <c r="J1430">
        <f>(Table1[[#This Row],[value]] - Table1[[#This Row],[mean]]) / Table1[[#This Row],[std_dev]]</f>
        <v>0.22048351733552002</v>
      </c>
      <c r="K1430">
        <f>AVERAGEIF(Table1[CountryCode],Table1[[#This Row],[CountryCode]],Table1[z-score])</f>
        <v>4.9319686102583721E-2</v>
      </c>
      <c r="L1430" t="e">
        <f>VLOOKUP(Table1[[#This Row],[CountryCode]],[1]!Table1[#All],1,FALSE)</f>
        <v>#REF!</v>
      </c>
    </row>
    <row r="1431" spans="1:12" hidden="1" x14ac:dyDescent="0.3">
      <c r="A1431" t="s">
        <v>95</v>
      </c>
      <c r="B1431" t="s">
        <v>96</v>
      </c>
      <c r="C1431" t="s">
        <v>9</v>
      </c>
      <c r="D1431" t="s">
        <v>10</v>
      </c>
      <c r="E1431">
        <v>1998</v>
      </c>
      <c r="F1431" s="1">
        <v>100</v>
      </c>
      <c r="G1431">
        <v>2000</v>
      </c>
      <c r="H1431">
        <f>AVERAGEIFS(Table1[value],Table1[IndicatorCode],Table1[[#This Row],[IndicatorCode]])</f>
        <v>99.756410256410263</v>
      </c>
      <c r="I1431" cm="1">
        <f t="array" ref="I1431">_xlfn.STDEV.P(IF(Table1[IndicatorCode]=Table1[[#This Row],[IndicatorCode]],Table1[value]))</f>
        <v>1.1047979755287356</v>
      </c>
      <c r="J1431">
        <f>(Table1[[#This Row],[value]] - Table1[[#This Row],[mean]]) / Table1[[#This Row],[std_dev]]</f>
        <v>0.22048351733552002</v>
      </c>
      <c r="K1431">
        <f>AVERAGEIF(Table1[CountryCode],Table1[[#This Row],[CountryCode]],Table1[z-score])</f>
        <v>4.9319686102583721E-2</v>
      </c>
      <c r="L1431" t="e">
        <f>VLOOKUP(Table1[[#This Row],[CountryCode]],[1]!Table1[#All],1,FALSE)</f>
        <v>#REF!</v>
      </c>
    </row>
    <row r="1432" spans="1:12" hidden="1" x14ac:dyDescent="0.3">
      <c r="A1432" t="s">
        <v>95</v>
      </c>
      <c r="B1432" t="s">
        <v>96</v>
      </c>
      <c r="C1432" t="s">
        <v>9</v>
      </c>
      <c r="D1432" t="s">
        <v>10</v>
      </c>
      <c r="E1432">
        <v>1999</v>
      </c>
      <c r="F1432" s="1">
        <v>100</v>
      </c>
      <c r="G1432">
        <v>2000</v>
      </c>
      <c r="H1432">
        <f>AVERAGEIFS(Table1[value],Table1[IndicatorCode],Table1[[#This Row],[IndicatorCode]])</f>
        <v>99.756410256410263</v>
      </c>
      <c r="I1432" cm="1">
        <f t="array" ref="I1432">_xlfn.STDEV.P(IF(Table1[IndicatorCode]=Table1[[#This Row],[IndicatorCode]],Table1[value]))</f>
        <v>1.1047979755287356</v>
      </c>
      <c r="J1432">
        <f>(Table1[[#This Row],[value]] - Table1[[#This Row],[mean]]) / Table1[[#This Row],[std_dev]]</f>
        <v>0.22048351733552002</v>
      </c>
      <c r="K1432">
        <f>AVERAGEIF(Table1[CountryCode],Table1[[#This Row],[CountryCode]],Table1[z-score])</f>
        <v>4.9319686102583721E-2</v>
      </c>
      <c r="L1432" t="e">
        <f>VLOOKUP(Table1[[#This Row],[CountryCode]],[1]!Table1[#All],1,FALSE)</f>
        <v>#REF!</v>
      </c>
    </row>
    <row r="1433" spans="1:12" hidden="1" x14ac:dyDescent="0.3">
      <c r="A1433" t="s">
        <v>95</v>
      </c>
      <c r="B1433" t="s">
        <v>96</v>
      </c>
      <c r="C1433" t="s">
        <v>9</v>
      </c>
      <c r="D1433" t="s">
        <v>10</v>
      </c>
      <c r="E1433">
        <v>2000</v>
      </c>
      <c r="F1433" s="1">
        <v>100</v>
      </c>
      <c r="G1433">
        <v>2000</v>
      </c>
      <c r="H1433">
        <f>AVERAGEIFS(Table1[value],Table1[IndicatorCode],Table1[[#This Row],[IndicatorCode]])</f>
        <v>99.756410256410263</v>
      </c>
      <c r="I1433" cm="1">
        <f t="array" ref="I1433">_xlfn.STDEV.P(IF(Table1[IndicatorCode]=Table1[[#This Row],[IndicatorCode]],Table1[value]))</f>
        <v>1.1047979755287356</v>
      </c>
      <c r="J1433">
        <f>(Table1[[#This Row],[value]] - Table1[[#This Row],[mean]]) / Table1[[#This Row],[std_dev]]</f>
        <v>0.22048351733552002</v>
      </c>
      <c r="K1433">
        <f>AVERAGEIF(Table1[CountryCode],Table1[[#This Row],[CountryCode]],Table1[z-score])</f>
        <v>4.9319686102583721E-2</v>
      </c>
      <c r="L1433" t="e">
        <f>VLOOKUP(Table1[[#This Row],[CountryCode]],[1]!Table1[#All],1,FALSE)</f>
        <v>#REF!</v>
      </c>
    </row>
    <row r="1434" spans="1:12" hidden="1" x14ac:dyDescent="0.3">
      <c r="A1434" t="s">
        <v>95</v>
      </c>
      <c r="B1434" t="s">
        <v>96</v>
      </c>
      <c r="C1434" t="s">
        <v>9</v>
      </c>
      <c r="D1434" t="s">
        <v>10</v>
      </c>
      <c r="E1434">
        <v>2001</v>
      </c>
      <c r="F1434" s="1">
        <v>100</v>
      </c>
      <c r="G1434">
        <v>2000</v>
      </c>
      <c r="H1434">
        <f>AVERAGEIFS(Table1[value],Table1[IndicatorCode],Table1[[#This Row],[IndicatorCode]])</f>
        <v>99.756410256410263</v>
      </c>
      <c r="I1434" cm="1">
        <f t="array" ref="I1434">_xlfn.STDEV.P(IF(Table1[IndicatorCode]=Table1[[#This Row],[IndicatorCode]],Table1[value]))</f>
        <v>1.1047979755287356</v>
      </c>
      <c r="J1434">
        <f>(Table1[[#This Row],[value]] - Table1[[#This Row],[mean]]) / Table1[[#This Row],[std_dev]]</f>
        <v>0.22048351733552002</v>
      </c>
      <c r="K1434">
        <f>AVERAGEIF(Table1[CountryCode],Table1[[#This Row],[CountryCode]],Table1[z-score])</f>
        <v>4.9319686102583721E-2</v>
      </c>
      <c r="L1434" t="e">
        <f>VLOOKUP(Table1[[#This Row],[CountryCode]],[1]!Table1[#All],1,FALSE)</f>
        <v>#REF!</v>
      </c>
    </row>
    <row r="1435" spans="1:12" hidden="1" x14ac:dyDescent="0.3">
      <c r="A1435" t="s">
        <v>95</v>
      </c>
      <c r="B1435" t="s">
        <v>96</v>
      </c>
      <c r="C1435" t="s">
        <v>9</v>
      </c>
      <c r="D1435" t="s">
        <v>10</v>
      </c>
      <c r="E1435">
        <v>2002</v>
      </c>
      <c r="F1435" s="1">
        <v>100</v>
      </c>
      <c r="G1435">
        <v>2000</v>
      </c>
      <c r="H1435">
        <f>AVERAGEIFS(Table1[value],Table1[IndicatorCode],Table1[[#This Row],[IndicatorCode]])</f>
        <v>99.756410256410263</v>
      </c>
      <c r="I1435" cm="1">
        <f t="array" ref="I1435">_xlfn.STDEV.P(IF(Table1[IndicatorCode]=Table1[[#This Row],[IndicatorCode]],Table1[value]))</f>
        <v>1.1047979755287356</v>
      </c>
      <c r="J1435">
        <f>(Table1[[#This Row],[value]] - Table1[[#This Row],[mean]]) / Table1[[#This Row],[std_dev]]</f>
        <v>0.22048351733552002</v>
      </c>
      <c r="K1435">
        <f>AVERAGEIF(Table1[CountryCode],Table1[[#This Row],[CountryCode]],Table1[z-score])</f>
        <v>4.9319686102583721E-2</v>
      </c>
      <c r="L1435" t="e">
        <f>VLOOKUP(Table1[[#This Row],[CountryCode]],[1]!Table1[#All],1,FALSE)</f>
        <v>#REF!</v>
      </c>
    </row>
    <row r="1436" spans="1:12" hidden="1" x14ac:dyDescent="0.3">
      <c r="A1436" t="s">
        <v>95</v>
      </c>
      <c r="B1436" t="s">
        <v>96</v>
      </c>
      <c r="C1436" t="s">
        <v>9</v>
      </c>
      <c r="D1436" t="s">
        <v>10</v>
      </c>
      <c r="E1436">
        <v>2003</v>
      </c>
      <c r="F1436" s="1">
        <v>100</v>
      </c>
      <c r="G1436">
        <v>2000</v>
      </c>
      <c r="H1436">
        <f>AVERAGEIFS(Table1[value],Table1[IndicatorCode],Table1[[#This Row],[IndicatorCode]])</f>
        <v>99.756410256410263</v>
      </c>
      <c r="I1436" cm="1">
        <f t="array" ref="I1436">_xlfn.STDEV.P(IF(Table1[IndicatorCode]=Table1[[#This Row],[IndicatorCode]],Table1[value]))</f>
        <v>1.1047979755287356</v>
      </c>
      <c r="J1436">
        <f>(Table1[[#This Row],[value]] - Table1[[#This Row],[mean]]) / Table1[[#This Row],[std_dev]]</f>
        <v>0.22048351733552002</v>
      </c>
      <c r="K1436">
        <f>AVERAGEIF(Table1[CountryCode],Table1[[#This Row],[CountryCode]],Table1[z-score])</f>
        <v>4.9319686102583721E-2</v>
      </c>
      <c r="L1436" t="e">
        <f>VLOOKUP(Table1[[#This Row],[CountryCode]],[1]!Table1[#All],1,FALSE)</f>
        <v>#REF!</v>
      </c>
    </row>
    <row r="1437" spans="1:12" hidden="1" x14ac:dyDescent="0.3">
      <c r="A1437" t="s">
        <v>95</v>
      </c>
      <c r="B1437" t="s">
        <v>96</v>
      </c>
      <c r="C1437" t="s">
        <v>9</v>
      </c>
      <c r="D1437" t="s">
        <v>10</v>
      </c>
      <c r="E1437">
        <v>2004</v>
      </c>
      <c r="F1437" s="1">
        <v>100</v>
      </c>
      <c r="G1437">
        <v>2000</v>
      </c>
      <c r="H1437">
        <f>AVERAGEIFS(Table1[value],Table1[IndicatorCode],Table1[[#This Row],[IndicatorCode]])</f>
        <v>99.756410256410263</v>
      </c>
      <c r="I1437" cm="1">
        <f t="array" ref="I1437">_xlfn.STDEV.P(IF(Table1[IndicatorCode]=Table1[[#This Row],[IndicatorCode]],Table1[value]))</f>
        <v>1.1047979755287356</v>
      </c>
      <c r="J1437">
        <f>(Table1[[#This Row],[value]] - Table1[[#This Row],[mean]]) / Table1[[#This Row],[std_dev]]</f>
        <v>0.22048351733552002</v>
      </c>
      <c r="K1437">
        <f>AVERAGEIF(Table1[CountryCode],Table1[[#This Row],[CountryCode]],Table1[z-score])</f>
        <v>4.9319686102583721E-2</v>
      </c>
      <c r="L1437" t="e">
        <f>VLOOKUP(Table1[[#This Row],[CountryCode]],[1]!Table1[#All],1,FALSE)</f>
        <v>#REF!</v>
      </c>
    </row>
    <row r="1438" spans="1:12" hidden="1" x14ac:dyDescent="0.3">
      <c r="A1438" t="s">
        <v>95</v>
      </c>
      <c r="B1438" t="s">
        <v>96</v>
      </c>
      <c r="C1438" t="s">
        <v>9</v>
      </c>
      <c r="D1438" t="s">
        <v>10</v>
      </c>
      <c r="E1438">
        <v>2005</v>
      </c>
      <c r="F1438" s="1">
        <v>100</v>
      </c>
      <c r="G1438">
        <v>2000</v>
      </c>
      <c r="H1438">
        <f>AVERAGEIFS(Table1[value],Table1[IndicatorCode],Table1[[#This Row],[IndicatorCode]])</f>
        <v>99.756410256410263</v>
      </c>
      <c r="I1438" cm="1">
        <f t="array" ref="I1438">_xlfn.STDEV.P(IF(Table1[IndicatorCode]=Table1[[#This Row],[IndicatorCode]],Table1[value]))</f>
        <v>1.1047979755287356</v>
      </c>
      <c r="J1438">
        <f>(Table1[[#This Row],[value]] - Table1[[#This Row],[mean]]) / Table1[[#This Row],[std_dev]]</f>
        <v>0.22048351733552002</v>
      </c>
      <c r="K1438">
        <f>AVERAGEIF(Table1[CountryCode],Table1[[#This Row],[CountryCode]],Table1[z-score])</f>
        <v>4.9319686102583721E-2</v>
      </c>
      <c r="L1438" t="e">
        <f>VLOOKUP(Table1[[#This Row],[CountryCode]],[1]!Table1[#All],1,FALSE)</f>
        <v>#REF!</v>
      </c>
    </row>
    <row r="1439" spans="1:12" hidden="1" x14ac:dyDescent="0.3">
      <c r="A1439" t="s">
        <v>95</v>
      </c>
      <c r="B1439" t="s">
        <v>96</v>
      </c>
      <c r="C1439" t="s">
        <v>9</v>
      </c>
      <c r="D1439" t="s">
        <v>10</v>
      </c>
      <c r="E1439">
        <v>2006</v>
      </c>
      <c r="F1439" s="1">
        <v>100</v>
      </c>
      <c r="G1439">
        <v>2000</v>
      </c>
      <c r="H1439">
        <f>AVERAGEIFS(Table1[value],Table1[IndicatorCode],Table1[[#This Row],[IndicatorCode]])</f>
        <v>99.756410256410263</v>
      </c>
      <c r="I1439" cm="1">
        <f t="array" ref="I1439">_xlfn.STDEV.P(IF(Table1[IndicatorCode]=Table1[[#This Row],[IndicatorCode]],Table1[value]))</f>
        <v>1.1047979755287356</v>
      </c>
      <c r="J1439">
        <f>(Table1[[#This Row],[value]] - Table1[[#This Row],[mean]]) / Table1[[#This Row],[std_dev]]</f>
        <v>0.22048351733552002</v>
      </c>
      <c r="K1439">
        <f>AVERAGEIF(Table1[CountryCode],Table1[[#This Row],[CountryCode]],Table1[z-score])</f>
        <v>4.9319686102583721E-2</v>
      </c>
      <c r="L1439" t="e">
        <f>VLOOKUP(Table1[[#This Row],[CountryCode]],[1]!Table1[#All],1,FALSE)</f>
        <v>#REF!</v>
      </c>
    </row>
    <row r="1440" spans="1:12" hidden="1" x14ac:dyDescent="0.3">
      <c r="A1440" t="s">
        <v>95</v>
      </c>
      <c r="B1440" t="s">
        <v>96</v>
      </c>
      <c r="C1440" t="s">
        <v>9</v>
      </c>
      <c r="D1440" t="s">
        <v>10</v>
      </c>
      <c r="E1440">
        <v>2007</v>
      </c>
      <c r="F1440" s="1">
        <v>100</v>
      </c>
      <c r="G1440">
        <v>2010</v>
      </c>
      <c r="H1440">
        <f>AVERAGEIFS(Table1[value],Table1[IndicatorCode],Table1[[#This Row],[IndicatorCode]])</f>
        <v>99.756410256410263</v>
      </c>
      <c r="I1440" cm="1">
        <f t="array" ref="I1440">_xlfn.STDEV.P(IF(Table1[IndicatorCode]=Table1[[#This Row],[IndicatorCode]],Table1[value]))</f>
        <v>1.1047979755287356</v>
      </c>
      <c r="J1440">
        <f>(Table1[[#This Row],[value]] - Table1[[#This Row],[mean]]) / Table1[[#This Row],[std_dev]]</f>
        <v>0.22048351733552002</v>
      </c>
      <c r="K1440">
        <f>AVERAGEIF(Table1[CountryCode],Table1[[#This Row],[CountryCode]],Table1[z-score])</f>
        <v>4.9319686102583721E-2</v>
      </c>
      <c r="L1440" t="e">
        <f>VLOOKUP(Table1[[#This Row],[CountryCode]],[1]!Table1[#All],1,FALSE)</f>
        <v>#REF!</v>
      </c>
    </row>
    <row r="1441" spans="1:12" hidden="1" x14ac:dyDescent="0.3">
      <c r="A1441" t="s">
        <v>95</v>
      </c>
      <c r="B1441" t="s">
        <v>96</v>
      </c>
      <c r="C1441" t="s">
        <v>9</v>
      </c>
      <c r="D1441" t="s">
        <v>10</v>
      </c>
      <c r="E1441">
        <v>2008</v>
      </c>
      <c r="F1441" s="1">
        <v>100</v>
      </c>
      <c r="G1441">
        <v>2010</v>
      </c>
      <c r="H1441">
        <f>AVERAGEIFS(Table1[value],Table1[IndicatorCode],Table1[[#This Row],[IndicatorCode]])</f>
        <v>99.756410256410263</v>
      </c>
      <c r="I1441" cm="1">
        <f t="array" ref="I1441">_xlfn.STDEV.P(IF(Table1[IndicatorCode]=Table1[[#This Row],[IndicatorCode]],Table1[value]))</f>
        <v>1.1047979755287356</v>
      </c>
      <c r="J1441">
        <f>(Table1[[#This Row],[value]] - Table1[[#This Row],[mean]]) / Table1[[#This Row],[std_dev]]</f>
        <v>0.22048351733552002</v>
      </c>
      <c r="K1441">
        <f>AVERAGEIF(Table1[CountryCode],Table1[[#This Row],[CountryCode]],Table1[z-score])</f>
        <v>4.9319686102583721E-2</v>
      </c>
      <c r="L1441" t="e">
        <f>VLOOKUP(Table1[[#This Row],[CountryCode]],[1]!Table1[#All],1,FALSE)</f>
        <v>#REF!</v>
      </c>
    </row>
    <row r="1442" spans="1:12" hidden="1" x14ac:dyDescent="0.3">
      <c r="A1442" t="s">
        <v>95</v>
      </c>
      <c r="B1442" t="s">
        <v>96</v>
      </c>
      <c r="C1442" t="s">
        <v>9</v>
      </c>
      <c r="D1442" t="s">
        <v>10</v>
      </c>
      <c r="E1442">
        <v>2009</v>
      </c>
      <c r="F1442" s="1">
        <v>100</v>
      </c>
      <c r="G1442">
        <v>2010</v>
      </c>
      <c r="H1442">
        <f>AVERAGEIFS(Table1[value],Table1[IndicatorCode],Table1[[#This Row],[IndicatorCode]])</f>
        <v>99.756410256410263</v>
      </c>
      <c r="I1442" cm="1">
        <f t="array" ref="I1442">_xlfn.STDEV.P(IF(Table1[IndicatorCode]=Table1[[#This Row],[IndicatorCode]],Table1[value]))</f>
        <v>1.1047979755287356</v>
      </c>
      <c r="J1442">
        <f>(Table1[[#This Row],[value]] - Table1[[#This Row],[mean]]) / Table1[[#This Row],[std_dev]]</f>
        <v>0.22048351733552002</v>
      </c>
      <c r="K1442">
        <f>AVERAGEIF(Table1[CountryCode],Table1[[#This Row],[CountryCode]],Table1[z-score])</f>
        <v>4.9319686102583721E-2</v>
      </c>
      <c r="L1442" t="e">
        <f>VLOOKUP(Table1[[#This Row],[CountryCode]],[1]!Table1[#All],1,FALSE)</f>
        <v>#REF!</v>
      </c>
    </row>
    <row r="1443" spans="1:12" hidden="1" x14ac:dyDescent="0.3">
      <c r="A1443" t="s">
        <v>95</v>
      </c>
      <c r="B1443" t="s">
        <v>96</v>
      </c>
      <c r="C1443" t="s">
        <v>9</v>
      </c>
      <c r="D1443" t="s">
        <v>10</v>
      </c>
      <c r="E1443">
        <v>2010</v>
      </c>
      <c r="F1443" s="1">
        <v>100</v>
      </c>
      <c r="G1443">
        <v>2010</v>
      </c>
      <c r="H1443">
        <f>AVERAGEIFS(Table1[value],Table1[IndicatorCode],Table1[[#This Row],[IndicatorCode]])</f>
        <v>99.756410256410263</v>
      </c>
      <c r="I1443" cm="1">
        <f t="array" ref="I1443">_xlfn.STDEV.P(IF(Table1[IndicatorCode]=Table1[[#This Row],[IndicatorCode]],Table1[value]))</f>
        <v>1.1047979755287356</v>
      </c>
      <c r="J1443">
        <f>(Table1[[#This Row],[value]] - Table1[[#This Row],[mean]]) / Table1[[#This Row],[std_dev]]</f>
        <v>0.22048351733552002</v>
      </c>
      <c r="K1443">
        <f>AVERAGEIF(Table1[CountryCode],Table1[[#This Row],[CountryCode]],Table1[z-score])</f>
        <v>4.9319686102583721E-2</v>
      </c>
      <c r="L1443" t="e">
        <f>VLOOKUP(Table1[[#This Row],[CountryCode]],[1]!Table1[#All],1,FALSE)</f>
        <v>#REF!</v>
      </c>
    </row>
    <row r="1444" spans="1:12" hidden="1" x14ac:dyDescent="0.3">
      <c r="A1444" t="s">
        <v>95</v>
      </c>
      <c r="B1444" t="s">
        <v>96</v>
      </c>
      <c r="C1444" t="s">
        <v>9</v>
      </c>
      <c r="D1444" t="s">
        <v>10</v>
      </c>
      <c r="E1444">
        <v>2011</v>
      </c>
      <c r="F1444" s="1">
        <v>100</v>
      </c>
      <c r="G1444">
        <v>2010</v>
      </c>
      <c r="H1444">
        <f>AVERAGEIFS(Table1[value],Table1[IndicatorCode],Table1[[#This Row],[IndicatorCode]])</f>
        <v>99.756410256410263</v>
      </c>
      <c r="I1444" cm="1">
        <f t="array" ref="I1444">_xlfn.STDEV.P(IF(Table1[IndicatorCode]=Table1[[#This Row],[IndicatorCode]],Table1[value]))</f>
        <v>1.1047979755287356</v>
      </c>
      <c r="J1444">
        <f>(Table1[[#This Row],[value]] - Table1[[#This Row],[mean]]) / Table1[[#This Row],[std_dev]]</f>
        <v>0.22048351733552002</v>
      </c>
      <c r="K1444">
        <f>AVERAGEIF(Table1[CountryCode],Table1[[#This Row],[CountryCode]],Table1[z-score])</f>
        <v>4.9319686102583721E-2</v>
      </c>
      <c r="L1444" t="e">
        <f>VLOOKUP(Table1[[#This Row],[CountryCode]],[1]!Table1[#All],1,FALSE)</f>
        <v>#REF!</v>
      </c>
    </row>
    <row r="1445" spans="1:12" hidden="1" x14ac:dyDescent="0.3">
      <c r="A1445" t="s">
        <v>95</v>
      </c>
      <c r="B1445" t="s">
        <v>96</v>
      </c>
      <c r="C1445" t="s">
        <v>9</v>
      </c>
      <c r="D1445" t="s">
        <v>10</v>
      </c>
      <c r="E1445">
        <v>2012</v>
      </c>
      <c r="F1445" s="1">
        <v>100</v>
      </c>
      <c r="G1445">
        <v>2010</v>
      </c>
      <c r="H1445">
        <f>AVERAGEIFS(Table1[value],Table1[IndicatorCode],Table1[[#This Row],[IndicatorCode]])</f>
        <v>99.756410256410263</v>
      </c>
      <c r="I1445" cm="1">
        <f t="array" ref="I1445">_xlfn.STDEV.P(IF(Table1[IndicatorCode]=Table1[[#This Row],[IndicatorCode]],Table1[value]))</f>
        <v>1.1047979755287356</v>
      </c>
      <c r="J1445">
        <f>(Table1[[#This Row],[value]] - Table1[[#This Row],[mean]]) / Table1[[#This Row],[std_dev]]</f>
        <v>0.22048351733552002</v>
      </c>
      <c r="K1445">
        <f>AVERAGEIF(Table1[CountryCode],Table1[[#This Row],[CountryCode]],Table1[z-score])</f>
        <v>4.9319686102583721E-2</v>
      </c>
      <c r="L1445" t="e">
        <f>VLOOKUP(Table1[[#This Row],[CountryCode]],[1]!Table1[#All],1,FALSE)</f>
        <v>#REF!</v>
      </c>
    </row>
    <row r="1446" spans="1:12" hidden="1" x14ac:dyDescent="0.3">
      <c r="A1446" t="s">
        <v>95</v>
      </c>
      <c r="B1446" t="s">
        <v>96</v>
      </c>
      <c r="C1446" t="s">
        <v>9</v>
      </c>
      <c r="D1446" t="s">
        <v>10</v>
      </c>
      <c r="E1446">
        <v>2013</v>
      </c>
      <c r="F1446" s="1">
        <v>100</v>
      </c>
      <c r="G1446">
        <v>2010</v>
      </c>
      <c r="H1446">
        <f>AVERAGEIFS(Table1[value],Table1[IndicatorCode],Table1[[#This Row],[IndicatorCode]])</f>
        <v>99.756410256410263</v>
      </c>
      <c r="I1446" cm="1">
        <f t="array" ref="I1446">_xlfn.STDEV.P(IF(Table1[IndicatorCode]=Table1[[#This Row],[IndicatorCode]],Table1[value]))</f>
        <v>1.1047979755287356</v>
      </c>
      <c r="J1446">
        <f>(Table1[[#This Row],[value]] - Table1[[#This Row],[mean]]) / Table1[[#This Row],[std_dev]]</f>
        <v>0.22048351733552002</v>
      </c>
      <c r="K1446">
        <f>AVERAGEIF(Table1[CountryCode],Table1[[#This Row],[CountryCode]],Table1[z-score])</f>
        <v>4.9319686102583721E-2</v>
      </c>
      <c r="L1446" t="e">
        <f>VLOOKUP(Table1[[#This Row],[CountryCode]],[1]!Table1[#All],1,FALSE)</f>
        <v>#REF!</v>
      </c>
    </row>
    <row r="1447" spans="1:12" hidden="1" x14ac:dyDescent="0.3">
      <c r="A1447" t="s">
        <v>95</v>
      </c>
      <c r="B1447" t="s">
        <v>96</v>
      </c>
      <c r="C1447" t="s">
        <v>9</v>
      </c>
      <c r="D1447" t="s">
        <v>10</v>
      </c>
      <c r="E1447">
        <v>2014</v>
      </c>
      <c r="F1447" s="1">
        <v>100</v>
      </c>
      <c r="G1447">
        <v>2010</v>
      </c>
      <c r="H1447">
        <f>AVERAGEIFS(Table1[value],Table1[IndicatorCode],Table1[[#This Row],[IndicatorCode]])</f>
        <v>99.756410256410263</v>
      </c>
      <c r="I1447" cm="1">
        <f t="array" ref="I1447">_xlfn.STDEV.P(IF(Table1[IndicatorCode]=Table1[[#This Row],[IndicatorCode]],Table1[value]))</f>
        <v>1.1047979755287356</v>
      </c>
      <c r="J1447">
        <f>(Table1[[#This Row],[value]] - Table1[[#This Row],[mean]]) / Table1[[#This Row],[std_dev]]</f>
        <v>0.22048351733552002</v>
      </c>
      <c r="K1447">
        <f>AVERAGEIF(Table1[CountryCode],Table1[[#This Row],[CountryCode]],Table1[z-score])</f>
        <v>4.9319686102583721E-2</v>
      </c>
      <c r="L1447" t="e">
        <f>VLOOKUP(Table1[[#This Row],[CountryCode]],[1]!Table1[#All],1,FALSE)</f>
        <v>#REF!</v>
      </c>
    </row>
    <row r="1448" spans="1:12" hidden="1" x14ac:dyDescent="0.3">
      <c r="A1448" t="s">
        <v>95</v>
      </c>
      <c r="B1448" t="s">
        <v>96</v>
      </c>
      <c r="C1448" t="s">
        <v>9</v>
      </c>
      <c r="D1448" t="s">
        <v>10</v>
      </c>
      <c r="E1448">
        <v>2015</v>
      </c>
      <c r="F1448" s="1">
        <v>100</v>
      </c>
      <c r="G1448">
        <v>2010</v>
      </c>
      <c r="H1448">
        <f>AVERAGEIFS(Table1[value],Table1[IndicatorCode],Table1[[#This Row],[IndicatorCode]])</f>
        <v>99.756410256410263</v>
      </c>
      <c r="I1448" cm="1">
        <f t="array" ref="I1448">_xlfn.STDEV.P(IF(Table1[IndicatorCode]=Table1[[#This Row],[IndicatorCode]],Table1[value]))</f>
        <v>1.1047979755287356</v>
      </c>
      <c r="J1448">
        <f>(Table1[[#This Row],[value]] - Table1[[#This Row],[mean]]) / Table1[[#This Row],[std_dev]]</f>
        <v>0.22048351733552002</v>
      </c>
      <c r="K1448">
        <f>AVERAGEIF(Table1[CountryCode],Table1[[#This Row],[CountryCode]],Table1[z-score])</f>
        <v>4.9319686102583721E-2</v>
      </c>
      <c r="L1448" t="e">
        <f>VLOOKUP(Table1[[#This Row],[CountryCode]],[1]!Table1[#All],1,FALSE)</f>
        <v>#REF!</v>
      </c>
    </row>
    <row r="1449" spans="1:12" hidden="1" x14ac:dyDescent="0.3">
      <c r="A1449" t="s">
        <v>95</v>
      </c>
      <c r="B1449" t="s">
        <v>96</v>
      </c>
      <c r="C1449" t="s">
        <v>9</v>
      </c>
      <c r="D1449" t="s">
        <v>10</v>
      </c>
      <c r="E1449">
        <v>2016</v>
      </c>
      <c r="F1449" s="1">
        <v>100</v>
      </c>
      <c r="G1449">
        <v>2010</v>
      </c>
      <c r="H1449">
        <f>AVERAGEIFS(Table1[value],Table1[IndicatorCode],Table1[[#This Row],[IndicatorCode]])</f>
        <v>99.756410256410263</v>
      </c>
      <c r="I1449" cm="1">
        <f t="array" ref="I1449">_xlfn.STDEV.P(IF(Table1[IndicatorCode]=Table1[[#This Row],[IndicatorCode]],Table1[value]))</f>
        <v>1.1047979755287356</v>
      </c>
      <c r="J1449">
        <f>(Table1[[#This Row],[value]] - Table1[[#This Row],[mean]]) / Table1[[#This Row],[std_dev]]</f>
        <v>0.22048351733552002</v>
      </c>
      <c r="K1449">
        <f>AVERAGEIF(Table1[CountryCode],Table1[[#This Row],[CountryCode]],Table1[z-score])</f>
        <v>4.9319686102583721E-2</v>
      </c>
      <c r="L1449" t="e">
        <f>VLOOKUP(Table1[[#This Row],[CountryCode]],[1]!Table1[#All],1,FALSE)</f>
        <v>#REF!</v>
      </c>
    </row>
    <row r="1450" spans="1:12" hidden="1" x14ac:dyDescent="0.3">
      <c r="A1450" t="s">
        <v>95</v>
      </c>
      <c r="B1450" t="s">
        <v>96</v>
      </c>
      <c r="C1450" t="s">
        <v>9</v>
      </c>
      <c r="D1450" t="s">
        <v>10</v>
      </c>
      <c r="E1450">
        <v>2017</v>
      </c>
      <c r="F1450" s="1">
        <v>100</v>
      </c>
      <c r="G1450">
        <v>2020</v>
      </c>
      <c r="H1450">
        <f>AVERAGEIFS(Table1[value],Table1[IndicatorCode],Table1[[#This Row],[IndicatorCode]])</f>
        <v>99.756410256410263</v>
      </c>
      <c r="I1450" cm="1">
        <f t="array" ref="I1450">_xlfn.STDEV.P(IF(Table1[IndicatorCode]=Table1[[#This Row],[IndicatorCode]],Table1[value]))</f>
        <v>1.1047979755287356</v>
      </c>
      <c r="J1450">
        <f>(Table1[[#This Row],[value]] - Table1[[#This Row],[mean]]) / Table1[[#This Row],[std_dev]]</f>
        <v>0.22048351733552002</v>
      </c>
      <c r="K1450">
        <f>AVERAGEIF(Table1[CountryCode],Table1[[#This Row],[CountryCode]],Table1[z-score])</f>
        <v>4.9319686102583721E-2</v>
      </c>
      <c r="L1450" t="e">
        <f>VLOOKUP(Table1[[#This Row],[CountryCode]],[1]!Table1[#All],1,FALSE)</f>
        <v>#REF!</v>
      </c>
    </row>
    <row r="1451" spans="1:12" hidden="1" x14ac:dyDescent="0.3">
      <c r="A1451" t="s">
        <v>95</v>
      </c>
      <c r="B1451" t="s">
        <v>96</v>
      </c>
      <c r="C1451" t="s">
        <v>9</v>
      </c>
      <c r="D1451" t="s">
        <v>10</v>
      </c>
      <c r="E1451">
        <v>2018</v>
      </c>
      <c r="F1451" s="1">
        <v>100</v>
      </c>
      <c r="G1451">
        <v>2020</v>
      </c>
      <c r="H1451">
        <f>AVERAGEIFS(Table1[value],Table1[IndicatorCode],Table1[[#This Row],[IndicatorCode]])</f>
        <v>99.756410256410263</v>
      </c>
      <c r="I1451" cm="1">
        <f t="array" ref="I1451">_xlfn.STDEV.P(IF(Table1[IndicatorCode]=Table1[[#This Row],[IndicatorCode]],Table1[value]))</f>
        <v>1.1047979755287356</v>
      </c>
      <c r="J1451">
        <f>(Table1[[#This Row],[value]] - Table1[[#This Row],[mean]]) / Table1[[#This Row],[std_dev]]</f>
        <v>0.22048351733552002</v>
      </c>
      <c r="K1451">
        <f>AVERAGEIF(Table1[CountryCode],Table1[[#This Row],[CountryCode]],Table1[z-score])</f>
        <v>4.9319686102583721E-2</v>
      </c>
      <c r="L1451" t="e">
        <f>VLOOKUP(Table1[[#This Row],[CountryCode]],[1]!Table1[#All],1,FALSE)</f>
        <v>#REF!</v>
      </c>
    </row>
    <row r="1452" spans="1:12" hidden="1" x14ac:dyDescent="0.3">
      <c r="A1452" t="s">
        <v>95</v>
      </c>
      <c r="B1452" t="s">
        <v>96</v>
      </c>
      <c r="C1452" t="s">
        <v>9</v>
      </c>
      <c r="D1452" t="s">
        <v>10</v>
      </c>
      <c r="E1452">
        <v>2019</v>
      </c>
      <c r="F1452" s="1">
        <v>100</v>
      </c>
      <c r="G1452">
        <v>2020</v>
      </c>
      <c r="H1452">
        <f>AVERAGEIFS(Table1[value],Table1[IndicatorCode],Table1[[#This Row],[IndicatorCode]])</f>
        <v>99.756410256410263</v>
      </c>
      <c r="I1452" cm="1">
        <f t="array" ref="I1452">_xlfn.STDEV.P(IF(Table1[IndicatorCode]=Table1[[#This Row],[IndicatorCode]],Table1[value]))</f>
        <v>1.1047979755287356</v>
      </c>
      <c r="J1452">
        <f>(Table1[[#This Row],[value]] - Table1[[#This Row],[mean]]) / Table1[[#This Row],[std_dev]]</f>
        <v>0.22048351733552002</v>
      </c>
      <c r="K1452">
        <f>AVERAGEIF(Table1[CountryCode],Table1[[#This Row],[CountryCode]],Table1[z-score])</f>
        <v>4.9319686102583721E-2</v>
      </c>
      <c r="L1452" t="e">
        <f>VLOOKUP(Table1[[#This Row],[CountryCode]],[1]!Table1[#All],1,FALSE)</f>
        <v>#REF!</v>
      </c>
    </row>
    <row r="1453" spans="1:12" x14ac:dyDescent="0.3">
      <c r="A1453" t="s">
        <v>95</v>
      </c>
      <c r="B1453" t="s">
        <v>96</v>
      </c>
      <c r="C1453" t="s">
        <v>9</v>
      </c>
      <c r="D1453" t="s">
        <v>10</v>
      </c>
      <c r="E1453">
        <v>2020</v>
      </c>
      <c r="F1453" s="1">
        <v>100</v>
      </c>
      <c r="G1453">
        <v>2020</v>
      </c>
      <c r="H1453">
        <f>AVERAGEIFS(Table1[value],Table1[IndicatorCode],Table1[[#This Row],[IndicatorCode]])</f>
        <v>99.756410256410263</v>
      </c>
      <c r="I1453" cm="1">
        <f t="array" ref="I1453">_xlfn.STDEV.P(IF(Table1[IndicatorCode]=Table1[[#This Row],[IndicatorCode]],Table1[value]))</f>
        <v>1.1047979755287356</v>
      </c>
      <c r="J1453">
        <f>(Table1[[#This Row],[value]] - Table1[[#This Row],[mean]]) / Table1[[#This Row],[std_dev]]</f>
        <v>0.22048351733552002</v>
      </c>
      <c r="K1453">
        <f>AVERAGEIF(Table1[CountryCode],Table1[[#This Row],[CountryCode]],Table1[z-score])</f>
        <v>4.9319686102583721E-2</v>
      </c>
    </row>
    <row r="1454" spans="1:12" hidden="1" x14ac:dyDescent="0.3">
      <c r="A1454" t="s">
        <v>95</v>
      </c>
      <c r="B1454" t="s">
        <v>96</v>
      </c>
      <c r="C1454" t="s">
        <v>9</v>
      </c>
      <c r="D1454" t="s">
        <v>10</v>
      </c>
      <c r="E1454">
        <v>2021</v>
      </c>
      <c r="F1454" s="1">
        <v>100</v>
      </c>
      <c r="G1454">
        <v>1990</v>
      </c>
      <c r="H1454">
        <f>AVERAGEIFS(Table1[value],Table1[IndicatorCode],Table1[[#This Row],[IndicatorCode]])</f>
        <v>99.756410256410263</v>
      </c>
      <c r="I1454" cm="1">
        <f t="array" ref="I1454">_xlfn.STDEV.P(IF(Table1[IndicatorCode]=Table1[[#This Row],[IndicatorCode]],Table1[value]))</f>
        <v>1.1047979755287356</v>
      </c>
      <c r="J1454">
        <f>(Table1[[#This Row],[value]] - Table1[[#This Row],[mean]]) / Table1[[#This Row],[std_dev]]</f>
        <v>0.22048351733552002</v>
      </c>
      <c r="K1454">
        <f>AVERAGEIF(Table1[CountryCode],Table1[[#This Row],[CountryCode]],Table1[z-score])</f>
        <v>4.9319686102583721E-2</v>
      </c>
      <c r="L1454" t="e">
        <f>VLOOKUP(Table1[[#This Row],[CountryCode]],[1]!Table1[#All],1,FALSE)</f>
        <v>#REF!</v>
      </c>
    </row>
    <row r="1455" spans="1:12" hidden="1" x14ac:dyDescent="0.3">
      <c r="A1455" t="s">
        <v>95</v>
      </c>
      <c r="B1455" t="s">
        <v>96</v>
      </c>
      <c r="C1455" t="s">
        <v>9</v>
      </c>
      <c r="D1455" t="s">
        <v>10</v>
      </c>
      <c r="E1455">
        <v>2022</v>
      </c>
      <c r="F1455" s="1">
        <v>100</v>
      </c>
      <c r="G1455">
        <v>1990</v>
      </c>
      <c r="H1455">
        <f>AVERAGEIFS(Table1[value],Table1[IndicatorCode],Table1[[#This Row],[IndicatorCode]])</f>
        <v>99.756410256410263</v>
      </c>
      <c r="I1455" cm="1">
        <f t="array" ref="I1455">_xlfn.STDEV.P(IF(Table1[IndicatorCode]=Table1[[#This Row],[IndicatorCode]],Table1[value]))</f>
        <v>1.1047979755287356</v>
      </c>
      <c r="J1455">
        <f>(Table1[[#This Row],[value]] - Table1[[#This Row],[mean]]) / Table1[[#This Row],[std_dev]]</f>
        <v>0.22048351733552002</v>
      </c>
      <c r="K1455">
        <f>AVERAGEIF(Table1[CountryCode],Table1[[#This Row],[CountryCode]],Table1[z-score])</f>
        <v>4.9319686102583721E-2</v>
      </c>
      <c r="L1455" t="e">
        <f>VLOOKUP(Table1[[#This Row],[CountryCode]],[1]!Table1[#All],1,FALSE)</f>
        <v>#REF!</v>
      </c>
    </row>
    <row r="1456" spans="1:12" hidden="1" x14ac:dyDescent="0.3">
      <c r="A1456" t="s">
        <v>95</v>
      </c>
      <c r="B1456" t="s">
        <v>96</v>
      </c>
      <c r="C1456" t="s">
        <v>9</v>
      </c>
      <c r="D1456" t="s">
        <v>10</v>
      </c>
      <c r="E1456">
        <v>2023</v>
      </c>
      <c r="F1456" s="1">
        <v>100</v>
      </c>
      <c r="G1456">
        <v>1990</v>
      </c>
      <c r="H1456">
        <f>AVERAGEIFS(Table1[value],Table1[IndicatorCode],Table1[[#This Row],[IndicatorCode]])</f>
        <v>99.756410256410263</v>
      </c>
      <c r="I1456" cm="1">
        <f t="array" ref="I1456">_xlfn.STDEV.P(IF(Table1[IndicatorCode]=Table1[[#This Row],[IndicatorCode]],Table1[value]))</f>
        <v>1.1047979755287356</v>
      </c>
      <c r="J1456">
        <f>(Table1[[#This Row],[value]] - Table1[[#This Row],[mean]]) / Table1[[#This Row],[std_dev]]</f>
        <v>0.22048351733552002</v>
      </c>
      <c r="K1456">
        <f>AVERAGEIF(Table1[CountryCode],Table1[[#This Row],[CountryCode]],Table1[z-score])</f>
        <v>4.9319686102583721E-2</v>
      </c>
      <c r="L1456" t="e">
        <f>VLOOKUP(Table1[[#This Row],[CountryCode]],[1]!Table1[#All],1,FALSE)</f>
        <v>#REF!</v>
      </c>
    </row>
    <row r="1457" spans="1:12" hidden="1" x14ac:dyDescent="0.3">
      <c r="A1457" t="s">
        <v>97</v>
      </c>
      <c r="B1457" t="s">
        <v>98</v>
      </c>
      <c r="C1457" t="s">
        <v>9</v>
      </c>
      <c r="D1457" t="s">
        <v>10</v>
      </c>
      <c r="E1457">
        <v>1990</v>
      </c>
      <c r="F1457" s="1">
        <v>100</v>
      </c>
      <c r="G1457">
        <v>1990</v>
      </c>
      <c r="H1457">
        <f>AVERAGEIFS(Table1[value],Table1[IndicatorCode],Table1[[#This Row],[IndicatorCode]])</f>
        <v>99.756410256410263</v>
      </c>
      <c r="I1457" cm="1">
        <f t="array" ref="I1457">_xlfn.STDEV.P(IF(Table1[IndicatorCode]=Table1[[#This Row],[IndicatorCode]],Table1[value]))</f>
        <v>1.1047979755287356</v>
      </c>
      <c r="J1457">
        <f>(Table1[[#This Row],[value]] - Table1[[#This Row],[mean]]) / Table1[[#This Row],[std_dev]]</f>
        <v>0.22048351733552002</v>
      </c>
      <c r="K1457">
        <f>AVERAGEIF(Table1[CountryCode],Table1[[#This Row],[CountryCode]],Table1[z-score])</f>
        <v>-0.19691915896687051</v>
      </c>
      <c r="L1457" t="e">
        <f>VLOOKUP(Table1[[#This Row],[CountryCode]],[1]!Table1[#All],1,FALSE)</f>
        <v>#REF!</v>
      </c>
    </row>
    <row r="1458" spans="1:12" hidden="1" x14ac:dyDescent="0.3">
      <c r="A1458" t="s">
        <v>97</v>
      </c>
      <c r="B1458" t="s">
        <v>98</v>
      </c>
      <c r="C1458" t="s">
        <v>9</v>
      </c>
      <c r="D1458" t="s">
        <v>10</v>
      </c>
      <c r="E1458">
        <v>1991</v>
      </c>
      <c r="F1458" s="1">
        <v>100</v>
      </c>
      <c r="G1458">
        <v>1990</v>
      </c>
      <c r="H1458">
        <f>AVERAGEIFS(Table1[value],Table1[IndicatorCode],Table1[[#This Row],[IndicatorCode]])</f>
        <v>99.756410256410263</v>
      </c>
      <c r="I1458" cm="1">
        <f t="array" ref="I1458">_xlfn.STDEV.P(IF(Table1[IndicatorCode]=Table1[[#This Row],[IndicatorCode]],Table1[value]))</f>
        <v>1.1047979755287356</v>
      </c>
      <c r="J1458">
        <f>(Table1[[#This Row],[value]] - Table1[[#This Row],[mean]]) / Table1[[#This Row],[std_dev]]</f>
        <v>0.22048351733552002</v>
      </c>
      <c r="K1458">
        <f>AVERAGEIF(Table1[CountryCode],Table1[[#This Row],[CountryCode]],Table1[z-score])</f>
        <v>-0.19691915896687051</v>
      </c>
      <c r="L1458" t="e">
        <f>VLOOKUP(Table1[[#This Row],[CountryCode]],[1]!Table1[#All],1,FALSE)</f>
        <v>#REF!</v>
      </c>
    </row>
    <row r="1459" spans="1:12" hidden="1" x14ac:dyDescent="0.3">
      <c r="A1459" t="s">
        <v>97</v>
      </c>
      <c r="B1459" t="s">
        <v>98</v>
      </c>
      <c r="C1459" t="s">
        <v>9</v>
      </c>
      <c r="D1459" t="s">
        <v>10</v>
      </c>
      <c r="E1459">
        <v>1992</v>
      </c>
      <c r="F1459" s="1">
        <v>100</v>
      </c>
      <c r="G1459">
        <v>1990</v>
      </c>
      <c r="H1459">
        <f>AVERAGEIFS(Table1[value],Table1[IndicatorCode],Table1[[#This Row],[IndicatorCode]])</f>
        <v>99.756410256410263</v>
      </c>
      <c r="I1459" cm="1">
        <f t="array" ref="I1459">_xlfn.STDEV.P(IF(Table1[IndicatorCode]=Table1[[#This Row],[IndicatorCode]],Table1[value]))</f>
        <v>1.1047979755287356</v>
      </c>
      <c r="J1459">
        <f>(Table1[[#This Row],[value]] - Table1[[#This Row],[mean]]) / Table1[[#This Row],[std_dev]]</f>
        <v>0.22048351733552002</v>
      </c>
      <c r="K1459">
        <f>AVERAGEIF(Table1[CountryCode],Table1[[#This Row],[CountryCode]],Table1[z-score])</f>
        <v>-0.19691915896687051</v>
      </c>
      <c r="L1459" t="e">
        <f>VLOOKUP(Table1[[#This Row],[CountryCode]],[1]!Table1[#All],1,FALSE)</f>
        <v>#REF!</v>
      </c>
    </row>
    <row r="1460" spans="1:12" hidden="1" x14ac:dyDescent="0.3">
      <c r="A1460" t="s">
        <v>97</v>
      </c>
      <c r="B1460" t="s">
        <v>98</v>
      </c>
      <c r="C1460" t="s">
        <v>9</v>
      </c>
      <c r="D1460" t="s">
        <v>10</v>
      </c>
      <c r="E1460">
        <v>1993</v>
      </c>
      <c r="F1460" s="1">
        <v>100</v>
      </c>
      <c r="G1460">
        <v>1990</v>
      </c>
      <c r="H1460">
        <f>AVERAGEIFS(Table1[value],Table1[IndicatorCode],Table1[[#This Row],[IndicatorCode]])</f>
        <v>99.756410256410263</v>
      </c>
      <c r="I1460" cm="1">
        <f t="array" ref="I1460">_xlfn.STDEV.P(IF(Table1[IndicatorCode]=Table1[[#This Row],[IndicatorCode]],Table1[value]))</f>
        <v>1.1047979755287356</v>
      </c>
      <c r="J1460">
        <f>(Table1[[#This Row],[value]] - Table1[[#This Row],[mean]]) / Table1[[#This Row],[std_dev]]</f>
        <v>0.22048351733552002</v>
      </c>
      <c r="K1460">
        <f>AVERAGEIF(Table1[CountryCode],Table1[[#This Row],[CountryCode]],Table1[z-score])</f>
        <v>-0.19691915896687051</v>
      </c>
      <c r="L1460" t="e">
        <f>VLOOKUP(Table1[[#This Row],[CountryCode]],[1]!Table1[#All],1,FALSE)</f>
        <v>#REF!</v>
      </c>
    </row>
    <row r="1461" spans="1:12" hidden="1" x14ac:dyDescent="0.3">
      <c r="A1461" t="s">
        <v>97</v>
      </c>
      <c r="B1461" t="s">
        <v>98</v>
      </c>
      <c r="C1461" t="s">
        <v>9</v>
      </c>
      <c r="D1461" t="s">
        <v>10</v>
      </c>
      <c r="E1461">
        <v>1994</v>
      </c>
      <c r="F1461" s="1">
        <v>100</v>
      </c>
      <c r="G1461">
        <v>1990</v>
      </c>
      <c r="H1461">
        <f>AVERAGEIFS(Table1[value],Table1[IndicatorCode],Table1[[#This Row],[IndicatorCode]])</f>
        <v>99.756410256410263</v>
      </c>
      <c r="I1461" cm="1">
        <f t="array" ref="I1461">_xlfn.STDEV.P(IF(Table1[IndicatorCode]=Table1[[#This Row],[IndicatorCode]],Table1[value]))</f>
        <v>1.1047979755287356</v>
      </c>
      <c r="J1461">
        <f>(Table1[[#This Row],[value]] - Table1[[#This Row],[mean]]) / Table1[[#This Row],[std_dev]]</f>
        <v>0.22048351733552002</v>
      </c>
      <c r="K1461">
        <f>AVERAGEIF(Table1[CountryCode],Table1[[#This Row],[CountryCode]],Table1[z-score])</f>
        <v>-0.19691915896687051</v>
      </c>
      <c r="L1461" t="e">
        <f>VLOOKUP(Table1[[#This Row],[CountryCode]],[1]!Table1[#All],1,FALSE)</f>
        <v>#REF!</v>
      </c>
    </row>
    <row r="1462" spans="1:12" hidden="1" x14ac:dyDescent="0.3">
      <c r="A1462" t="s">
        <v>97</v>
      </c>
      <c r="B1462" t="s">
        <v>98</v>
      </c>
      <c r="C1462" t="s">
        <v>9</v>
      </c>
      <c r="D1462" t="s">
        <v>10</v>
      </c>
      <c r="E1462">
        <v>1995</v>
      </c>
      <c r="F1462" s="1">
        <v>100</v>
      </c>
      <c r="G1462">
        <v>1990</v>
      </c>
      <c r="H1462">
        <f>AVERAGEIFS(Table1[value],Table1[IndicatorCode],Table1[[#This Row],[IndicatorCode]])</f>
        <v>99.756410256410263</v>
      </c>
      <c r="I1462" cm="1">
        <f t="array" ref="I1462">_xlfn.STDEV.P(IF(Table1[IndicatorCode]=Table1[[#This Row],[IndicatorCode]],Table1[value]))</f>
        <v>1.1047979755287356</v>
      </c>
      <c r="J1462">
        <f>(Table1[[#This Row],[value]] - Table1[[#This Row],[mean]]) / Table1[[#This Row],[std_dev]]</f>
        <v>0.22048351733552002</v>
      </c>
      <c r="K1462">
        <f>AVERAGEIF(Table1[CountryCode],Table1[[#This Row],[CountryCode]],Table1[z-score])</f>
        <v>-0.19691915896687051</v>
      </c>
      <c r="L1462" t="e">
        <f>VLOOKUP(Table1[[#This Row],[CountryCode]],[1]!Table1[#All],1,FALSE)</f>
        <v>#REF!</v>
      </c>
    </row>
    <row r="1463" spans="1:12" hidden="1" x14ac:dyDescent="0.3">
      <c r="A1463" t="s">
        <v>97</v>
      </c>
      <c r="B1463" t="s">
        <v>98</v>
      </c>
      <c r="C1463" t="s">
        <v>9</v>
      </c>
      <c r="D1463" t="s">
        <v>10</v>
      </c>
      <c r="E1463">
        <v>1996</v>
      </c>
      <c r="F1463" s="1">
        <v>100</v>
      </c>
      <c r="G1463">
        <v>1990</v>
      </c>
      <c r="H1463">
        <f>AVERAGEIFS(Table1[value],Table1[IndicatorCode],Table1[[#This Row],[IndicatorCode]])</f>
        <v>99.756410256410263</v>
      </c>
      <c r="I1463" cm="1">
        <f t="array" ref="I1463">_xlfn.STDEV.P(IF(Table1[IndicatorCode]=Table1[[#This Row],[IndicatorCode]],Table1[value]))</f>
        <v>1.1047979755287356</v>
      </c>
      <c r="J1463">
        <f>(Table1[[#This Row],[value]] - Table1[[#This Row],[mean]]) / Table1[[#This Row],[std_dev]]</f>
        <v>0.22048351733552002</v>
      </c>
      <c r="K1463">
        <f>AVERAGEIF(Table1[CountryCode],Table1[[#This Row],[CountryCode]],Table1[z-score])</f>
        <v>-0.19691915896687051</v>
      </c>
      <c r="L1463" t="e">
        <f>VLOOKUP(Table1[[#This Row],[CountryCode]],[1]!Table1[#All],1,FALSE)</f>
        <v>#REF!</v>
      </c>
    </row>
    <row r="1464" spans="1:12" hidden="1" x14ac:dyDescent="0.3">
      <c r="A1464" t="s">
        <v>97</v>
      </c>
      <c r="B1464" t="s">
        <v>98</v>
      </c>
      <c r="C1464" t="s">
        <v>9</v>
      </c>
      <c r="D1464" t="s">
        <v>10</v>
      </c>
      <c r="E1464">
        <v>1997</v>
      </c>
      <c r="F1464" s="1">
        <v>100</v>
      </c>
      <c r="G1464">
        <v>2000</v>
      </c>
      <c r="H1464">
        <f>AVERAGEIFS(Table1[value],Table1[IndicatorCode],Table1[[#This Row],[IndicatorCode]])</f>
        <v>99.756410256410263</v>
      </c>
      <c r="I1464" cm="1">
        <f t="array" ref="I1464">_xlfn.STDEV.P(IF(Table1[IndicatorCode]=Table1[[#This Row],[IndicatorCode]],Table1[value]))</f>
        <v>1.1047979755287356</v>
      </c>
      <c r="J1464">
        <f>(Table1[[#This Row],[value]] - Table1[[#This Row],[mean]]) / Table1[[#This Row],[std_dev]]</f>
        <v>0.22048351733552002</v>
      </c>
      <c r="K1464">
        <f>AVERAGEIF(Table1[CountryCode],Table1[[#This Row],[CountryCode]],Table1[z-score])</f>
        <v>-0.19691915896687051</v>
      </c>
      <c r="L1464" t="e">
        <f>VLOOKUP(Table1[[#This Row],[CountryCode]],[1]!Table1[#All],1,FALSE)</f>
        <v>#REF!</v>
      </c>
    </row>
    <row r="1465" spans="1:12" hidden="1" x14ac:dyDescent="0.3">
      <c r="A1465" t="s">
        <v>97</v>
      </c>
      <c r="B1465" t="s">
        <v>98</v>
      </c>
      <c r="C1465" t="s">
        <v>9</v>
      </c>
      <c r="D1465" t="s">
        <v>10</v>
      </c>
      <c r="E1465">
        <v>1998</v>
      </c>
      <c r="F1465" s="1">
        <v>100</v>
      </c>
      <c r="G1465">
        <v>2000</v>
      </c>
      <c r="H1465">
        <f>AVERAGEIFS(Table1[value],Table1[IndicatorCode],Table1[[#This Row],[IndicatorCode]])</f>
        <v>99.756410256410263</v>
      </c>
      <c r="I1465" cm="1">
        <f t="array" ref="I1465">_xlfn.STDEV.P(IF(Table1[IndicatorCode]=Table1[[#This Row],[IndicatorCode]],Table1[value]))</f>
        <v>1.1047979755287356</v>
      </c>
      <c r="J1465">
        <f>(Table1[[#This Row],[value]] - Table1[[#This Row],[mean]]) / Table1[[#This Row],[std_dev]]</f>
        <v>0.22048351733552002</v>
      </c>
      <c r="K1465">
        <f>AVERAGEIF(Table1[CountryCode],Table1[[#This Row],[CountryCode]],Table1[z-score])</f>
        <v>-0.19691915896687051</v>
      </c>
      <c r="L1465" t="e">
        <f>VLOOKUP(Table1[[#This Row],[CountryCode]],[1]!Table1[#All],1,FALSE)</f>
        <v>#REF!</v>
      </c>
    </row>
    <row r="1466" spans="1:12" hidden="1" x14ac:dyDescent="0.3">
      <c r="A1466" t="s">
        <v>97</v>
      </c>
      <c r="B1466" t="s">
        <v>98</v>
      </c>
      <c r="C1466" t="s">
        <v>9</v>
      </c>
      <c r="D1466" t="s">
        <v>10</v>
      </c>
      <c r="E1466">
        <v>1999</v>
      </c>
      <c r="F1466" s="1">
        <v>100</v>
      </c>
      <c r="G1466">
        <v>2000</v>
      </c>
      <c r="H1466">
        <f>AVERAGEIFS(Table1[value],Table1[IndicatorCode],Table1[[#This Row],[IndicatorCode]])</f>
        <v>99.756410256410263</v>
      </c>
      <c r="I1466" cm="1">
        <f t="array" ref="I1466">_xlfn.STDEV.P(IF(Table1[IndicatorCode]=Table1[[#This Row],[IndicatorCode]],Table1[value]))</f>
        <v>1.1047979755287356</v>
      </c>
      <c r="J1466">
        <f>(Table1[[#This Row],[value]] - Table1[[#This Row],[mean]]) / Table1[[#This Row],[std_dev]]</f>
        <v>0.22048351733552002</v>
      </c>
      <c r="K1466">
        <f>AVERAGEIF(Table1[CountryCode],Table1[[#This Row],[CountryCode]],Table1[z-score])</f>
        <v>-0.19691915896687051</v>
      </c>
      <c r="L1466" t="e">
        <f>VLOOKUP(Table1[[#This Row],[CountryCode]],[1]!Table1[#All],1,FALSE)</f>
        <v>#REF!</v>
      </c>
    </row>
    <row r="1467" spans="1:12" hidden="1" x14ac:dyDescent="0.3">
      <c r="A1467" t="s">
        <v>97</v>
      </c>
      <c r="B1467" t="s">
        <v>98</v>
      </c>
      <c r="C1467" t="s">
        <v>9</v>
      </c>
      <c r="D1467" t="s">
        <v>10</v>
      </c>
      <c r="E1467">
        <v>2000</v>
      </c>
      <c r="F1467" s="1">
        <v>100</v>
      </c>
      <c r="G1467">
        <v>2000</v>
      </c>
      <c r="H1467">
        <f>AVERAGEIFS(Table1[value],Table1[IndicatorCode],Table1[[#This Row],[IndicatorCode]])</f>
        <v>99.756410256410263</v>
      </c>
      <c r="I1467" cm="1">
        <f t="array" ref="I1467">_xlfn.STDEV.P(IF(Table1[IndicatorCode]=Table1[[#This Row],[IndicatorCode]],Table1[value]))</f>
        <v>1.1047979755287356</v>
      </c>
      <c r="J1467">
        <f>(Table1[[#This Row],[value]] - Table1[[#This Row],[mean]]) / Table1[[#This Row],[std_dev]]</f>
        <v>0.22048351733552002</v>
      </c>
      <c r="K1467">
        <f>AVERAGEIF(Table1[CountryCode],Table1[[#This Row],[CountryCode]],Table1[z-score])</f>
        <v>-0.19691915896687051</v>
      </c>
      <c r="L1467" t="e">
        <f>VLOOKUP(Table1[[#This Row],[CountryCode]],[1]!Table1[#All],1,FALSE)</f>
        <v>#REF!</v>
      </c>
    </row>
    <row r="1468" spans="1:12" hidden="1" x14ac:dyDescent="0.3">
      <c r="A1468" t="s">
        <v>97</v>
      </c>
      <c r="B1468" t="s">
        <v>98</v>
      </c>
      <c r="C1468" t="s">
        <v>9</v>
      </c>
      <c r="D1468" t="s">
        <v>10</v>
      </c>
      <c r="E1468">
        <v>2001</v>
      </c>
      <c r="F1468" s="1">
        <v>100</v>
      </c>
      <c r="G1468">
        <v>2000</v>
      </c>
      <c r="H1468">
        <f>AVERAGEIFS(Table1[value],Table1[IndicatorCode],Table1[[#This Row],[IndicatorCode]])</f>
        <v>99.756410256410263</v>
      </c>
      <c r="I1468" cm="1">
        <f t="array" ref="I1468">_xlfn.STDEV.P(IF(Table1[IndicatorCode]=Table1[[#This Row],[IndicatorCode]],Table1[value]))</f>
        <v>1.1047979755287356</v>
      </c>
      <c r="J1468">
        <f>(Table1[[#This Row],[value]] - Table1[[#This Row],[mean]]) / Table1[[#This Row],[std_dev]]</f>
        <v>0.22048351733552002</v>
      </c>
      <c r="K1468">
        <f>AVERAGEIF(Table1[CountryCode],Table1[[#This Row],[CountryCode]],Table1[z-score])</f>
        <v>-0.19691915896687051</v>
      </c>
      <c r="L1468" t="e">
        <f>VLOOKUP(Table1[[#This Row],[CountryCode]],[1]!Table1[#All],1,FALSE)</f>
        <v>#REF!</v>
      </c>
    </row>
    <row r="1469" spans="1:12" hidden="1" x14ac:dyDescent="0.3">
      <c r="A1469" t="s">
        <v>97</v>
      </c>
      <c r="B1469" t="s">
        <v>98</v>
      </c>
      <c r="C1469" t="s">
        <v>9</v>
      </c>
      <c r="D1469" t="s">
        <v>10</v>
      </c>
      <c r="E1469">
        <v>2002</v>
      </c>
      <c r="F1469" s="1">
        <v>100</v>
      </c>
      <c r="G1469">
        <v>2000</v>
      </c>
      <c r="H1469">
        <f>AVERAGEIFS(Table1[value],Table1[IndicatorCode],Table1[[#This Row],[IndicatorCode]])</f>
        <v>99.756410256410263</v>
      </c>
      <c r="I1469" cm="1">
        <f t="array" ref="I1469">_xlfn.STDEV.P(IF(Table1[IndicatorCode]=Table1[[#This Row],[IndicatorCode]],Table1[value]))</f>
        <v>1.1047979755287356</v>
      </c>
      <c r="J1469">
        <f>(Table1[[#This Row],[value]] - Table1[[#This Row],[mean]]) / Table1[[#This Row],[std_dev]]</f>
        <v>0.22048351733552002</v>
      </c>
      <c r="K1469">
        <f>AVERAGEIF(Table1[CountryCode],Table1[[#This Row],[CountryCode]],Table1[z-score])</f>
        <v>-0.19691915896687051</v>
      </c>
      <c r="L1469" t="e">
        <f>VLOOKUP(Table1[[#This Row],[CountryCode]],[1]!Table1[#All],1,FALSE)</f>
        <v>#REF!</v>
      </c>
    </row>
    <row r="1470" spans="1:12" hidden="1" x14ac:dyDescent="0.3">
      <c r="A1470" t="s">
        <v>97</v>
      </c>
      <c r="B1470" t="s">
        <v>98</v>
      </c>
      <c r="C1470" t="s">
        <v>9</v>
      </c>
      <c r="D1470" t="s">
        <v>10</v>
      </c>
      <c r="E1470">
        <v>2003</v>
      </c>
      <c r="F1470" s="1">
        <v>100</v>
      </c>
      <c r="G1470">
        <v>2000</v>
      </c>
      <c r="H1470">
        <f>AVERAGEIFS(Table1[value],Table1[IndicatorCode],Table1[[#This Row],[IndicatorCode]])</f>
        <v>99.756410256410263</v>
      </c>
      <c r="I1470" cm="1">
        <f t="array" ref="I1470">_xlfn.STDEV.P(IF(Table1[IndicatorCode]=Table1[[#This Row],[IndicatorCode]],Table1[value]))</f>
        <v>1.1047979755287356</v>
      </c>
      <c r="J1470">
        <f>(Table1[[#This Row],[value]] - Table1[[#This Row],[mean]]) / Table1[[#This Row],[std_dev]]</f>
        <v>0.22048351733552002</v>
      </c>
      <c r="K1470">
        <f>AVERAGEIF(Table1[CountryCode],Table1[[#This Row],[CountryCode]],Table1[z-score])</f>
        <v>-0.19691915896687051</v>
      </c>
      <c r="L1470" t="e">
        <f>VLOOKUP(Table1[[#This Row],[CountryCode]],[1]!Table1[#All],1,FALSE)</f>
        <v>#REF!</v>
      </c>
    </row>
    <row r="1471" spans="1:12" hidden="1" x14ac:dyDescent="0.3">
      <c r="A1471" t="s">
        <v>97</v>
      </c>
      <c r="B1471" t="s">
        <v>98</v>
      </c>
      <c r="C1471" t="s">
        <v>9</v>
      </c>
      <c r="D1471" t="s">
        <v>10</v>
      </c>
      <c r="E1471">
        <v>2004</v>
      </c>
      <c r="F1471" s="1">
        <v>100</v>
      </c>
      <c r="G1471">
        <v>2000</v>
      </c>
      <c r="H1471">
        <f>AVERAGEIFS(Table1[value],Table1[IndicatorCode],Table1[[#This Row],[IndicatorCode]])</f>
        <v>99.756410256410263</v>
      </c>
      <c r="I1471" cm="1">
        <f t="array" ref="I1471">_xlfn.STDEV.P(IF(Table1[IndicatorCode]=Table1[[#This Row],[IndicatorCode]],Table1[value]))</f>
        <v>1.1047979755287356</v>
      </c>
      <c r="J1471">
        <f>(Table1[[#This Row],[value]] - Table1[[#This Row],[mean]]) / Table1[[#This Row],[std_dev]]</f>
        <v>0.22048351733552002</v>
      </c>
      <c r="K1471">
        <f>AVERAGEIF(Table1[CountryCode],Table1[[#This Row],[CountryCode]],Table1[z-score])</f>
        <v>-0.19691915896687051</v>
      </c>
      <c r="L1471" t="e">
        <f>VLOOKUP(Table1[[#This Row],[CountryCode]],[1]!Table1[#All],1,FALSE)</f>
        <v>#REF!</v>
      </c>
    </row>
    <row r="1472" spans="1:12" hidden="1" x14ac:dyDescent="0.3">
      <c r="A1472" t="s">
        <v>97</v>
      </c>
      <c r="B1472" t="s">
        <v>98</v>
      </c>
      <c r="C1472" t="s">
        <v>9</v>
      </c>
      <c r="D1472" t="s">
        <v>10</v>
      </c>
      <c r="E1472">
        <v>2005</v>
      </c>
      <c r="F1472" s="1">
        <v>100</v>
      </c>
      <c r="G1472">
        <v>2000</v>
      </c>
      <c r="H1472">
        <f>AVERAGEIFS(Table1[value],Table1[IndicatorCode],Table1[[#This Row],[IndicatorCode]])</f>
        <v>99.756410256410263</v>
      </c>
      <c r="I1472" cm="1">
        <f t="array" ref="I1472">_xlfn.STDEV.P(IF(Table1[IndicatorCode]=Table1[[#This Row],[IndicatorCode]],Table1[value]))</f>
        <v>1.1047979755287356</v>
      </c>
      <c r="J1472">
        <f>(Table1[[#This Row],[value]] - Table1[[#This Row],[mean]]) / Table1[[#This Row],[std_dev]]</f>
        <v>0.22048351733552002</v>
      </c>
      <c r="K1472">
        <f>AVERAGEIF(Table1[CountryCode],Table1[[#This Row],[CountryCode]],Table1[z-score])</f>
        <v>-0.19691915896687051</v>
      </c>
      <c r="L1472" t="e">
        <f>VLOOKUP(Table1[[#This Row],[CountryCode]],[1]!Table1[#All],1,FALSE)</f>
        <v>#REF!</v>
      </c>
    </row>
    <row r="1473" spans="1:12" hidden="1" x14ac:dyDescent="0.3">
      <c r="A1473" t="s">
        <v>97</v>
      </c>
      <c r="B1473" t="s">
        <v>98</v>
      </c>
      <c r="C1473" t="s">
        <v>9</v>
      </c>
      <c r="D1473" t="s">
        <v>10</v>
      </c>
      <c r="E1473">
        <v>2006</v>
      </c>
      <c r="F1473" s="1">
        <v>100</v>
      </c>
      <c r="G1473">
        <v>2000</v>
      </c>
      <c r="H1473">
        <f>AVERAGEIFS(Table1[value],Table1[IndicatorCode],Table1[[#This Row],[IndicatorCode]])</f>
        <v>99.756410256410263</v>
      </c>
      <c r="I1473" cm="1">
        <f t="array" ref="I1473">_xlfn.STDEV.P(IF(Table1[IndicatorCode]=Table1[[#This Row],[IndicatorCode]],Table1[value]))</f>
        <v>1.1047979755287356</v>
      </c>
      <c r="J1473">
        <f>(Table1[[#This Row],[value]] - Table1[[#This Row],[mean]]) / Table1[[#This Row],[std_dev]]</f>
        <v>0.22048351733552002</v>
      </c>
      <c r="K1473">
        <f>AVERAGEIF(Table1[CountryCode],Table1[[#This Row],[CountryCode]],Table1[z-score])</f>
        <v>-0.19691915896687051</v>
      </c>
      <c r="L1473" t="e">
        <f>VLOOKUP(Table1[[#This Row],[CountryCode]],[1]!Table1[#All],1,FALSE)</f>
        <v>#REF!</v>
      </c>
    </row>
    <row r="1474" spans="1:12" hidden="1" x14ac:dyDescent="0.3">
      <c r="A1474" t="s">
        <v>97</v>
      </c>
      <c r="B1474" t="s">
        <v>98</v>
      </c>
      <c r="C1474" t="s">
        <v>9</v>
      </c>
      <c r="D1474" t="s">
        <v>10</v>
      </c>
      <c r="E1474">
        <v>2007</v>
      </c>
      <c r="F1474" s="1">
        <v>100</v>
      </c>
      <c r="G1474">
        <v>2010</v>
      </c>
      <c r="H1474">
        <f>AVERAGEIFS(Table1[value],Table1[IndicatorCode],Table1[[#This Row],[IndicatorCode]])</f>
        <v>99.756410256410263</v>
      </c>
      <c r="I1474" cm="1">
        <f t="array" ref="I1474">_xlfn.STDEV.P(IF(Table1[IndicatorCode]=Table1[[#This Row],[IndicatorCode]],Table1[value]))</f>
        <v>1.1047979755287356</v>
      </c>
      <c r="J1474">
        <f>(Table1[[#This Row],[value]] - Table1[[#This Row],[mean]]) / Table1[[#This Row],[std_dev]]</f>
        <v>0.22048351733552002</v>
      </c>
      <c r="K1474">
        <f>AVERAGEIF(Table1[CountryCode],Table1[[#This Row],[CountryCode]],Table1[z-score])</f>
        <v>-0.19691915896687051</v>
      </c>
      <c r="L1474" t="e">
        <f>VLOOKUP(Table1[[#This Row],[CountryCode]],[1]!Table1[#All],1,FALSE)</f>
        <v>#REF!</v>
      </c>
    </row>
    <row r="1475" spans="1:12" hidden="1" x14ac:dyDescent="0.3">
      <c r="A1475" t="s">
        <v>97</v>
      </c>
      <c r="B1475" t="s">
        <v>98</v>
      </c>
      <c r="C1475" t="s">
        <v>9</v>
      </c>
      <c r="D1475" t="s">
        <v>10</v>
      </c>
      <c r="E1475">
        <v>2008</v>
      </c>
      <c r="F1475" s="1">
        <v>100</v>
      </c>
      <c r="G1475">
        <v>2010</v>
      </c>
      <c r="H1475">
        <f>AVERAGEIFS(Table1[value],Table1[IndicatorCode],Table1[[#This Row],[IndicatorCode]])</f>
        <v>99.756410256410263</v>
      </c>
      <c r="I1475" cm="1">
        <f t="array" ref="I1475">_xlfn.STDEV.P(IF(Table1[IndicatorCode]=Table1[[#This Row],[IndicatorCode]],Table1[value]))</f>
        <v>1.1047979755287356</v>
      </c>
      <c r="J1475">
        <f>(Table1[[#This Row],[value]] - Table1[[#This Row],[mean]]) / Table1[[#This Row],[std_dev]]</f>
        <v>0.22048351733552002</v>
      </c>
      <c r="K1475">
        <f>AVERAGEIF(Table1[CountryCode],Table1[[#This Row],[CountryCode]],Table1[z-score])</f>
        <v>-0.19691915896687051</v>
      </c>
      <c r="L1475" t="e">
        <f>VLOOKUP(Table1[[#This Row],[CountryCode]],[1]!Table1[#All],1,FALSE)</f>
        <v>#REF!</v>
      </c>
    </row>
    <row r="1476" spans="1:12" hidden="1" x14ac:dyDescent="0.3">
      <c r="A1476" t="s">
        <v>97</v>
      </c>
      <c r="B1476" t="s">
        <v>98</v>
      </c>
      <c r="C1476" t="s">
        <v>9</v>
      </c>
      <c r="D1476" t="s">
        <v>10</v>
      </c>
      <c r="E1476">
        <v>2009</v>
      </c>
      <c r="F1476" s="1">
        <v>100</v>
      </c>
      <c r="G1476">
        <v>2010</v>
      </c>
      <c r="H1476">
        <f>AVERAGEIFS(Table1[value],Table1[IndicatorCode],Table1[[#This Row],[IndicatorCode]])</f>
        <v>99.756410256410263</v>
      </c>
      <c r="I1476" cm="1">
        <f t="array" ref="I1476">_xlfn.STDEV.P(IF(Table1[IndicatorCode]=Table1[[#This Row],[IndicatorCode]],Table1[value]))</f>
        <v>1.1047979755287356</v>
      </c>
      <c r="J1476">
        <f>(Table1[[#This Row],[value]] - Table1[[#This Row],[mean]]) / Table1[[#This Row],[std_dev]]</f>
        <v>0.22048351733552002</v>
      </c>
      <c r="K1476">
        <f>AVERAGEIF(Table1[CountryCode],Table1[[#This Row],[CountryCode]],Table1[z-score])</f>
        <v>-0.19691915896687051</v>
      </c>
      <c r="L1476" t="e">
        <f>VLOOKUP(Table1[[#This Row],[CountryCode]],[1]!Table1[#All],1,FALSE)</f>
        <v>#REF!</v>
      </c>
    </row>
    <row r="1477" spans="1:12" hidden="1" x14ac:dyDescent="0.3">
      <c r="A1477" t="s">
        <v>97</v>
      </c>
      <c r="B1477" t="s">
        <v>98</v>
      </c>
      <c r="C1477" t="s">
        <v>9</v>
      </c>
      <c r="D1477" t="s">
        <v>10</v>
      </c>
      <c r="E1477">
        <v>2010</v>
      </c>
      <c r="F1477" s="1">
        <v>100</v>
      </c>
      <c r="G1477">
        <v>2010</v>
      </c>
      <c r="H1477">
        <f>AVERAGEIFS(Table1[value],Table1[IndicatorCode],Table1[[#This Row],[IndicatorCode]])</f>
        <v>99.756410256410263</v>
      </c>
      <c r="I1477" cm="1">
        <f t="array" ref="I1477">_xlfn.STDEV.P(IF(Table1[IndicatorCode]=Table1[[#This Row],[IndicatorCode]],Table1[value]))</f>
        <v>1.1047979755287356</v>
      </c>
      <c r="J1477">
        <f>(Table1[[#This Row],[value]] - Table1[[#This Row],[mean]]) / Table1[[#This Row],[std_dev]]</f>
        <v>0.22048351733552002</v>
      </c>
      <c r="K1477">
        <f>AVERAGEIF(Table1[CountryCode],Table1[[#This Row],[CountryCode]],Table1[z-score])</f>
        <v>-0.19691915896687051</v>
      </c>
      <c r="L1477" t="e">
        <f>VLOOKUP(Table1[[#This Row],[CountryCode]],[1]!Table1[#All],1,FALSE)</f>
        <v>#REF!</v>
      </c>
    </row>
    <row r="1478" spans="1:12" hidden="1" x14ac:dyDescent="0.3">
      <c r="A1478" t="s">
        <v>97</v>
      </c>
      <c r="B1478" t="s">
        <v>98</v>
      </c>
      <c r="C1478" t="s">
        <v>9</v>
      </c>
      <c r="D1478" t="s">
        <v>10</v>
      </c>
      <c r="E1478">
        <v>2011</v>
      </c>
      <c r="F1478" s="1">
        <v>100</v>
      </c>
      <c r="G1478">
        <v>2010</v>
      </c>
      <c r="H1478">
        <f>AVERAGEIFS(Table1[value],Table1[IndicatorCode],Table1[[#This Row],[IndicatorCode]])</f>
        <v>99.756410256410263</v>
      </c>
      <c r="I1478" cm="1">
        <f t="array" ref="I1478">_xlfn.STDEV.P(IF(Table1[IndicatorCode]=Table1[[#This Row],[IndicatorCode]],Table1[value]))</f>
        <v>1.1047979755287356</v>
      </c>
      <c r="J1478">
        <f>(Table1[[#This Row],[value]] - Table1[[#This Row],[mean]]) / Table1[[#This Row],[std_dev]]</f>
        <v>0.22048351733552002</v>
      </c>
      <c r="K1478">
        <f>AVERAGEIF(Table1[CountryCode],Table1[[#This Row],[CountryCode]],Table1[z-score])</f>
        <v>-0.19691915896687051</v>
      </c>
      <c r="L1478" t="e">
        <f>VLOOKUP(Table1[[#This Row],[CountryCode]],[1]!Table1[#All],1,FALSE)</f>
        <v>#REF!</v>
      </c>
    </row>
    <row r="1479" spans="1:12" hidden="1" x14ac:dyDescent="0.3">
      <c r="A1479" t="s">
        <v>97</v>
      </c>
      <c r="B1479" t="s">
        <v>98</v>
      </c>
      <c r="C1479" t="s">
        <v>9</v>
      </c>
      <c r="D1479" t="s">
        <v>10</v>
      </c>
      <c r="E1479">
        <v>2012</v>
      </c>
      <c r="F1479" s="1">
        <v>100</v>
      </c>
      <c r="G1479">
        <v>2010</v>
      </c>
      <c r="H1479">
        <f>AVERAGEIFS(Table1[value],Table1[IndicatorCode],Table1[[#This Row],[IndicatorCode]])</f>
        <v>99.756410256410263</v>
      </c>
      <c r="I1479" cm="1">
        <f t="array" ref="I1479">_xlfn.STDEV.P(IF(Table1[IndicatorCode]=Table1[[#This Row],[IndicatorCode]],Table1[value]))</f>
        <v>1.1047979755287356</v>
      </c>
      <c r="J1479">
        <f>(Table1[[#This Row],[value]] - Table1[[#This Row],[mean]]) / Table1[[#This Row],[std_dev]]</f>
        <v>0.22048351733552002</v>
      </c>
      <c r="K1479">
        <f>AVERAGEIF(Table1[CountryCode],Table1[[#This Row],[CountryCode]],Table1[z-score])</f>
        <v>-0.19691915896687051</v>
      </c>
      <c r="L1479" t="e">
        <f>VLOOKUP(Table1[[#This Row],[CountryCode]],[1]!Table1[#All],1,FALSE)</f>
        <v>#REF!</v>
      </c>
    </row>
    <row r="1480" spans="1:12" hidden="1" x14ac:dyDescent="0.3">
      <c r="A1480" t="s">
        <v>97</v>
      </c>
      <c r="B1480" t="s">
        <v>98</v>
      </c>
      <c r="C1480" t="s">
        <v>9</v>
      </c>
      <c r="D1480" t="s">
        <v>10</v>
      </c>
      <c r="E1480">
        <v>2013</v>
      </c>
      <c r="F1480" s="1">
        <v>100</v>
      </c>
      <c r="G1480">
        <v>2010</v>
      </c>
      <c r="H1480">
        <f>AVERAGEIFS(Table1[value],Table1[IndicatorCode],Table1[[#This Row],[IndicatorCode]])</f>
        <v>99.756410256410263</v>
      </c>
      <c r="I1480" cm="1">
        <f t="array" ref="I1480">_xlfn.STDEV.P(IF(Table1[IndicatorCode]=Table1[[#This Row],[IndicatorCode]],Table1[value]))</f>
        <v>1.1047979755287356</v>
      </c>
      <c r="J1480">
        <f>(Table1[[#This Row],[value]] - Table1[[#This Row],[mean]]) / Table1[[#This Row],[std_dev]]</f>
        <v>0.22048351733552002</v>
      </c>
      <c r="K1480">
        <f>AVERAGEIF(Table1[CountryCode],Table1[[#This Row],[CountryCode]],Table1[z-score])</f>
        <v>-0.19691915896687051</v>
      </c>
      <c r="L1480" t="e">
        <f>VLOOKUP(Table1[[#This Row],[CountryCode]],[1]!Table1[#All],1,FALSE)</f>
        <v>#REF!</v>
      </c>
    </row>
    <row r="1481" spans="1:12" hidden="1" x14ac:dyDescent="0.3">
      <c r="A1481" t="s">
        <v>97</v>
      </c>
      <c r="B1481" t="s">
        <v>98</v>
      </c>
      <c r="C1481" t="s">
        <v>9</v>
      </c>
      <c r="D1481" t="s">
        <v>10</v>
      </c>
      <c r="E1481">
        <v>2014</v>
      </c>
      <c r="F1481" s="1">
        <v>100</v>
      </c>
      <c r="G1481">
        <v>2010</v>
      </c>
      <c r="H1481">
        <f>AVERAGEIFS(Table1[value],Table1[IndicatorCode],Table1[[#This Row],[IndicatorCode]])</f>
        <v>99.756410256410263</v>
      </c>
      <c r="I1481" cm="1">
        <f t="array" ref="I1481">_xlfn.STDEV.P(IF(Table1[IndicatorCode]=Table1[[#This Row],[IndicatorCode]],Table1[value]))</f>
        <v>1.1047979755287356</v>
      </c>
      <c r="J1481">
        <f>(Table1[[#This Row],[value]] - Table1[[#This Row],[mean]]) / Table1[[#This Row],[std_dev]]</f>
        <v>0.22048351733552002</v>
      </c>
      <c r="K1481">
        <f>AVERAGEIF(Table1[CountryCode],Table1[[#This Row],[CountryCode]],Table1[z-score])</f>
        <v>-0.19691915896687051</v>
      </c>
      <c r="L1481" t="e">
        <f>VLOOKUP(Table1[[#This Row],[CountryCode]],[1]!Table1[#All],1,FALSE)</f>
        <v>#REF!</v>
      </c>
    </row>
    <row r="1482" spans="1:12" hidden="1" x14ac:dyDescent="0.3">
      <c r="A1482" t="s">
        <v>97</v>
      </c>
      <c r="B1482" t="s">
        <v>98</v>
      </c>
      <c r="C1482" t="s">
        <v>9</v>
      </c>
      <c r="D1482" t="s">
        <v>10</v>
      </c>
      <c r="E1482">
        <v>2015</v>
      </c>
      <c r="F1482" s="1">
        <v>100</v>
      </c>
      <c r="G1482">
        <v>2010</v>
      </c>
      <c r="H1482">
        <f>AVERAGEIFS(Table1[value],Table1[IndicatorCode],Table1[[#This Row],[IndicatorCode]])</f>
        <v>99.756410256410263</v>
      </c>
      <c r="I1482" cm="1">
        <f t="array" ref="I1482">_xlfn.STDEV.P(IF(Table1[IndicatorCode]=Table1[[#This Row],[IndicatorCode]],Table1[value]))</f>
        <v>1.1047979755287356</v>
      </c>
      <c r="J1482">
        <f>(Table1[[#This Row],[value]] - Table1[[#This Row],[mean]]) / Table1[[#This Row],[std_dev]]</f>
        <v>0.22048351733552002</v>
      </c>
      <c r="K1482">
        <f>AVERAGEIF(Table1[CountryCode],Table1[[#This Row],[CountryCode]],Table1[z-score])</f>
        <v>-0.19691915896687051</v>
      </c>
      <c r="L1482" t="e">
        <f>VLOOKUP(Table1[[#This Row],[CountryCode]],[1]!Table1[#All],1,FALSE)</f>
        <v>#REF!</v>
      </c>
    </row>
    <row r="1483" spans="1:12" hidden="1" x14ac:dyDescent="0.3">
      <c r="A1483" t="s">
        <v>97</v>
      </c>
      <c r="B1483" t="s">
        <v>98</v>
      </c>
      <c r="C1483" t="s">
        <v>9</v>
      </c>
      <c r="D1483" t="s">
        <v>10</v>
      </c>
      <c r="E1483">
        <v>2016</v>
      </c>
      <c r="F1483" s="1">
        <v>100</v>
      </c>
      <c r="G1483">
        <v>2010</v>
      </c>
      <c r="H1483">
        <f>AVERAGEIFS(Table1[value],Table1[IndicatorCode],Table1[[#This Row],[IndicatorCode]])</f>
        <v>99.756410256410263</v>
      </c>
      <c r="I1483" cm="1">
        <f t="array" ref="I1483">_xlfn.STDEV.P(IF(Table1[IndicatorCode]=Table1[[#This Row],[IndicatorCode]],Table1[value]))</f>
        <v>1.1047979755287356</v>
      </c>
      <c r="J1483">
        <f>(Table1[[#This Row],[value]] - Table1[[#This Row],[mean]]) / Table1[[#This Row],[std_dev]]</f>
        <v>0.22048351733552002</v>
      </c>
      <c r="K1483">
        <f>AVERAGEIF(Table1[CountryCode],Table1[[#This Row],[CountryCode]],Table1[z-score])</f>
        <v>-0.19691915896687051</v>
      </c>
      <c r="L1483" t="e">
        <f>VLOOKUP(Table1[[#This Row],[CountryCode]],[1]!Table1[#All],1,FALSE)</f>
        <v>#REF!</v>
      </c>
    </row>
    <row r="1484" spans="1:12" hidden="1" x14ac:dyDescent="0.3">
      <c r="A1484" t="s">
        <v>97</v>
      </c>
      <c r="B1484" t="s">
        <v>98</v>
      </c>
      <c r="C1484" t="s">
        <v>9</v>
      </c>
      <c r="D1484" t="s">
        <v>10</v>
      </c>
      <c r="E1484">
        <v>2017</v>
      </c>
      <c r="F1484" s="1">
        <v>100</v>
      </c>
      <c r="G1484">
        <v>2020</v>
      </c>
      <c r="H1484">
        <f>AVERAGEIFS(Table1[value],Table1[IndicatorCode],Table1[[#This Row],[IndicatorCode]])</f>
        <v>99.756410256410263</v>
      </c>
      <c r="I1484" cm="1">
        <f t="array" ref="I1484">_xlfn.STDEV.P(IF(Table1[IndicatorCode]=Table1[[#This Row],[IndicatorCode]],Table1[value]))</f>
        <v>1.1047979755287356</v>
      </c>
      <c r="J1484">
        <f>(Table1[[#This Row],[value]] - Table1[[#This Row],[mean]]) / Table1[[#This Row],[std_dev]]</f>
        <v>0.22048351733552002</v>
      </c>
      <c r="K1484">
        <f>AVERAGEIF(Table1[CountryCode],Table1[[#This Row],[CountryCode]],Table1[z-score])</f>
        <v>-0.19691915896687051</v>
      </c>
      <c r="L1484" t="e">
        <f>VLOOKUP(Table1[[#This Row],[CountryCode]],[1]!Table1[#All],1,FALSE)</f>
        <v>#REF!</v>
      </c>
    </row>
    <row r="1485" spans="1:12" hidden="1" x14ac:dyDescent="0.3">
      <c r="A1485" t="s">
        <v>97</v>
      </c>
      <c r="B1485" t="s">
        <v>98</v>
      </c>
      <c r="C1485" t="s">
        <v>9</v>
      </c>
      <c r="D1485" t="s">
        <v>10</v>
      </c>
      <c r="E1485">
        <v>2018</v>
      </c>
      <c r="F1485" s="1">
        <v>100</v>
      </c>
      <c r="G1485">
        <v>2020</v>
      </c>
      <c r="H1485">
        <f>AVERAGEIFS(Table1[value],Table1[IndicatorCode],Table1[[#This Row],[IndicatorCode]])</f>
        <v>99.756410256410263</v>
      </c>
      <c r="I1485" cm="1">
        <f t="array" ref="I1485">_xlfn.STDEV.P(IF(Table1[IndicatorCode]=Table1[[#This Row],[IndicatorCode]],Table1[value]))</f>
        <v>1.1047979755287356</v>
      </c>
      <c r="J1485">
        <f>(Table1[[#This Row],[value]] - Table1[[#This Row],[mean]]) / Table1[[#This Row],[std_dev]]</f>
        <v>0.22048351733552002</v>
      </c>
      <c r="K1485">
        <f>AVERAGEIF(Table1[CountryCode],Table1[[#This Row],[CountryCode]],Table1[z-score])</f>
        <v>-0.19691915896687051</v>
      </c>
      <c r="L1485" t="e">
        <f>VLOOKUP(Table1[[#This Row],[CountryCode]],[1]!Table1[#All],1,FALSE)</f>
        <v>#REF!</v>
      </c>
    </row>
    <row r="1486" spans="1:12" hidden="1" x14ac:dyDescent="0.3">
      <c r="A1486" t="s">
        <v>97</v>
      </c>
      <c r="B1486" t="s">
        <v>98</v>
      </c>
      <c r="C1486" t="s">
        <v>9</v>
      </c>
      <c r="D1486" t="s">
        <v>10</v>
      </c>
      <c r="E1486">
        <v>2019</v>
      </c>
      <c r="F1486" s="1">
        <v>100</v>
      </c>
      <c r="G1486">
        <v>2020</v>
      </c>
      <c r="H1486">
        <f>AVERAGEIFS(Table1[value],Table1[IndicatorCode],Table1[[#This Row],[IndicatorCode]])</f>
        <v>99.756410256410263</v>
      </c>
      <c r="I1486" cm="1">
        <f t="array" ref="I1486">_xlfn.STDEV.P(IF(Table1[IndicatorCode]=Table1[[#This Row],[IndicatorCode]],Table1[value]))</f>
        <v>1.1047979755287356</v>
      </c>
      <c r="J1486">
        <f>(Table1[[#This Row],[value]] - Table1[[#This Row],[mean]]) / Table1[[#This Row],[std_dev]]</f>
        <v>0.22048351733552002</v>
      </c>
      <c r="K1486">
        <f>AVERAGEIF(Table1[CountryCode],Table1[[#This Row],[CountryCode]],Table1[z-score])</f>
        <v>-0.19691915896687051</v>
      </c>
      <c r="L1486" t="e">
        <f>VLOOKUP(Table1[[#This Row],[CountryCode]],[1]!Table1[#All],1,FALSE)</f>
        <v>#REF!</v>
      </c>
    </row>
    <row r="1487" spans="1:12" x14ac:dyDescent="0.3">
      <c r="A1487" t="s">
        <v>97</v>
      </c>
      <c r="B1487" t="s">
        <v>98</v>
      </c>
      <c r="C1487" t="s">
        <v>9</v>
      </c>
      <c r="D1487" t="s">
        <v>10</v>
      </c>
      <c r="E1487">
        <v>2020</v>
      </c>
      <c r="F1487" s="1">
        <v>100</v>
      </c>
      <c r="G1487">
        <v>2020</v>
      </c>
      <c r="H1487">
        <f>AVERAGEIFS(Table1[value],Table1[IndicatorCode],Table1[[#This Row],[IndicatorCode]])</f>
        <v>99.756410256410263</v>
      </c>
      <c r="I1487" cm="1">
        <f t="array" ref="I1487">_xlfn.STDEV.P(IF(Table1[IndicatorCode]=Table1[[#This Row],[IndicatorCode]],Table1[value]))</f>
        <v>1.1047979755287356</v>
      </c>
      <c r="J1487">
        <f>(Table1[[#This Row],[value]] - Table1[[#This Row],[mean]]) / Table1[[#This Row],[std_dev]]</f>
        <v>0.22048351733552002</v>
      </c>
      <c r="K1487">
        <f>AVERAGEIF(Table1[CountryCode],Table1[[#This Row],[CountryCode]],Table1[z-score])</f>
        <v>-0.19691915896687051</v>
      </c>
    </row>
    <row r="1488" spans="1:12" hidden="1" x14ac:dyDescent="0.3">
      <c r="A1488" t="s">
        <v>97</v>
      </c>
      <c r="B1488" t="s">
        <v>98</v>
      </c>
      <c r="C1488" t="s">
        <v>9</v>
      </c>
      <c r="D1488" t="s">
        <v>10</v>
      </c>
      <c r="E1488">
        <v>2021</v>
      </c>
      <c r="F1488" s="1">
        <v>100</v>
      </c>
      <c r="G1488">
        <v>1990</v>
      </c>
      <c r="H1488">
        <f>AVERAGEIFS(Table1[value],Table1[IndicatorCode],Table1[[#This Row],[IndicatorCode]])</f>
        <v>99.756410256410263</v>
      </c>
      <c r="I1488" cm="1">
        <f t="array" ref="I1488">_xlfn.STDEV.P(IF(Table1[IndicatorCode]=Table1[[#This Row],[IndicatorCode]],Table1[value]))</f>
        <v>1.1047979755287356</v>
      </c>
      <c r="J1488">
        <f>(Table1[[#This Row],[value]] - Table1[[#This Row],[mean]]) / Table1[[#This Row],[std_dev]]</f>
        <v>0.22048351733552002</v>
      </c>
      <c r="K1488">
        <f>AVERAGEIF(Table1[CountryCode],Table1[[#This Row],[CountryCode]],Table1[z-score])</f>
        <v>-0.19691915896687051</v>
      </c>
      <c r="L1488" t="e">
        <f>VLOOKUP(Table1[[#This Row],[CountryCode]],[1]!Table1[#All],1,FALSE)</f>
        <v>#REF!</v>
      </c>
    </row>
    <row r="1489" spans="1:12" hidden="1" x14ac:dyDescent="0.3">
      <c r="A1489" t="s">
        <v>97</v>
      </c>
      <c r="B1489" t="s">
        <v>98</v>
      </c>
      <c r="C1489" t="s">
        <v>9</v>
      </c>
      <c r="D1489" t="s">
        <v>10</v>
      </c>
      <c r="E1489">
        <v>2022</v>
      </c>
      <c r="F1489" s="1">
        <v>100</v>
      </c>
      <c r="G1489">
        <v>1990</v>
      </c>
      <c r="H1489">
        <f>AVERAGEIFS(Table1[value],Table1[IndicatorCode],Table1[[#This Row],[IndicatorCode]])</f>
        <v>99.756410256410263</v>
      </c>
      <c r="I1489" cm="1">
        <f t="array" ref="I1489">_xlfn.STDEV.P(IF(Table1[IndicatorCode]=Table1[[#This Row],[IndicatorCode]],Table1[value]))</f>
        <v>1.1047979755287356</v>
      </c>
      <c r="J1489">
        <f>(Table1[[#This Row],[value]] - Table1[[#This Row],[mean]]) / Table1[[#This Row],[std_dev]]</f>
        <v>0.22048351733552002</v>
      </c>
      <c r="K1489">
        <f>AVERAGEIF(Table1[CountryCode],Table1[[#This Row],[CountryCode]],Table1[z-score])</f>
        <v>-0.19691915896687051</v>
      </c>
      <c r="L1489" t="e">
        <f>VLOOKUP(Table1[[#This Row],[CountryCode]],[1]!Table1[#All],1,FALSE)</f>
        <v>#REF!</v>
      </c>
    </row>
    <row r="1490" spans="1:12" hidden="1" x14ac:dyDescent="0.3">
      <c r="A1490" t="s">
        <v>97</v>
      </c>
      <c r="B1490" t="s">
        <v>98</v>
      </c>
      <c r="C1490" t="s">
        <v>9</v>
      </c>
      <c r="D1490" t="s">
        <v>10</v>
      </c>
      <c r="E1490">
        <v>2023</v>
      </c>
      <c r="F1490" s="1">
        <v>100</v>
      </c>
      <c r="G1490">
        <v>1990</v>
      </c>
      <c r="H1490">
        <f>AVERAGEIFS(Table1[value],Table1[IndicatorCode],Table1[[#This Row],[IndicatorCode]])</f>
        <v>99.756410256410263</v>
      </c>
      <c r="I1490" cm="1">
        <f t="array" ref="I1490">_xlfn.STDEV.P(IF(Table1[IndicatorCode]=Table1[[#This Row],[IndicatorCode]],Table1[value]))</f>
        <v>1.1047979755287356</v>
      </c>
      <c r="J1490">
        <f>(Table1[[#This Row],[value]] - Table1[[#This Row],[mean]]) / Table1[[#This Row],[std_dev]]</f>
        <v>0.22048351733552002</v>
      </c>
      <c r="K1490">
        <f>AVERAGEIF(Table1[CountryCode],Table1[[#This Row],[CountryCode]],Table1[z-score])</f>
        <v>-0.19691915896687051</v>
      </c>
      <c r="L1490" t="e">
        <f>VLOOKUP(Table1[[#This Row],[CountryCode]],[1]!Table1[#All],1,FALSE)</f>
        <v>#REF!</v>
      </c>
    </row>
    <row r="1491" spans="1:12" hidden="1" x14ac:dyDescent="0.3">
      <c r="A1491" t="s">
        <v>99</v>
      </c>
      <c r="B1491" t="s">
        <v>100</v>
      </c>
      <c r="C1491" t="s">
        <v>9</v>
      </c>
      <c r="D1491" t="s">
        <v>10</v>
      </c>
      <c r="E1491">
        <v>1990</v>
      </c>
      <c r="F1491" s="1">
        <v>100</v>
      </c>
      <c r="G1491">
        <v>1990</v>
      </c>
      <c r="H1491">
        <f>AVERAGEIFS(Table1[value],Table1[IndicatorCode],Table1[[#This Row],[IndicatorCode]])</f>
        <v>99.756410256410263</v>
      </c>
      <c r="I1491" cm="1">
        <f t="array" ref="I1491">_xlfn.STDEV.P(IF(Table1[IndicatorCode]=Table1[[#This Row],[IndicatorCode]],Table1[value]))</f>
        <v>1.1047979755287356</v>
      </c>
      <c r="J1491">
        <f>(Table1[[#This Row],[value]] - Table1[[#This Row],[mean]]) / Table1[[#This Row],[std_dev]]</f>
        <v>0.22048351733552002</v>
      </c>
      <c r="K1491">
        <f>AVERAGEIF(Table1[CountryCode],Table1[[#This Row],[CountryCode]],Table1[z-score])</f>
        <v>-0.56629310735046812</v>
      </c>
      <c r="L1491" t="e">
        <f>VLOOKUP(Table1[[#This Row],[CountryCode]],[1]!Table1[#All],1,FALSE)</f>
        <v>#REF!</v>
      </c>
    </row>
    <row r="1492" spans="1:12" hidden="1" x14ac:dyDescent="0.3">
      <c r="A1492" t="s">
        <v>99</v>
      </c>
      <c r="B1492" t="s">
        <v>100</v>
      </c>
      <c r="C1492" t="s">
        <v>9</v>
      </c>
      <c r="D1492" t="s">
        <v>10</v>
      </c>
      <c r="E1492">
        <v>1991</v>
      </c>
      <c r="F1492" s="1">
        <v>100</v>
      </c>
      <c r="G1492">
        <v>1990</v>
      </c>
      <c r="H1492">
        <f>AVERAGEIFS(Table1[value],Table1[IndicatorCode],Table1[[#This Row],[IndicatorCode]])</f>
        <v>99.756410256410263</v>
      </c>
      <c r="I1492" cm="1">
        <f t="array" ref="I1492">_xlfn.STDEV.P(IF(Table1[IndicatorCode]=Table1[[#This Row],[IndicatorCode]],Table1[value]))</f>
        <v>1.1047979755287356</v>
      </c>
      <c r="J1492">
        <f>(Table1[[#This Row],[value]] - Table1[[#This Row],[mean]]) / Table1[[#This Row],[std_dev]]</f>
        <v>0.22048351733552002</v>
      </c>
      <c r="K1492">
        <f>AVERAGEIF(Table1[CountryCode],Table1[[#This Row],[CountryCode]],Table1[z-score])</f>
        <v>-0.56629310735046812</v>
      </c>
      <c r="L1492" t="e">
        <f>VLOOKUP(Table1[[#This Row],[CountryCode]],[1]!Table1[#All],1,FALSE)</f>
        <v>#REF!</v>
      </c>
    </row>
    <row r="1493" spans="1:12" hidden="1" x14ac:dyDescent="0.3">
      <c r="A1493" t="s">
        <v>99</v>
      </c>
      <c r="B1493" t="s">
        <v>100</v>
      </c>
      <c r="C1493" t="s">
        <v>9</v>
      </c>
      <c r="D1493" t="s">
        <v>10</v>
      </c>
      <c r="E1493">
        <v>1992</v>
      </c>
      <c r="F1493" s="1">
        <v>100</v>
      </c>
      <c r="G1493">
        <v>1990</v>
      </c>
      <c r="H1493">
        <f>AVERAGEIFS(Table1[value],Table1[IndicatorCode],Table1[[#This Row],[IndicatorCode]])</f>
        <v>99.756410256410263</v>
      </c>
      <c r="I1493" cm="1">
        <f t="array" ref="I1493">_xlfn.STDEV.P(IF(Table1[IndicatorCode]=Table1[[#This Row],[IndicatorCode]],Table1[value]))</f>
        <v>1.1047979755287356</v>
      </c>
      <c r="J1493">
        <f>(Table1[[#This Row],[value]] - Table1[[#This Row],[mean]]) / Table1[[#This Row],[std_dev]]</f>
        <v>0.22048351733552002</v>
      </c>
      <c r="K1493">
        <f>AVERAGEIF(Table1[CountryCode],Table1[[#This Row],[CountryCode]],Table1[z-score])</f>
        <v>-0.56629310735046812</v>
      </c>
      <c r="L1493" t="e">
        <f>VLOOKUP(Table1[[#This Row],[CountryCode]],[1]!Table1[#All],1,FALSE)</f>
        <v>#REF!</v>
      </c>
    </row>
    <row r="1494" spans="1:12" hidden="1" x14ac:dyDescent="0.3">
      <c r="A1494" t="s">
        <v>99</v>
      </c>
      <c r="B1494" t="s">
        <v>100</v>
      </c>
      <c r="C1494" t="s">
        <v>9</v>
      </c>
      <c r="D1494" t="s">
        <v>10</v>
      </c>
      <c r="E1494">
        <v>1993</v>
      </c>
      <c r="F1494" s="1">
        <v>100</v>
      </c>
      <c r="G1494">
        <v>1990</v>
      </c>
      <c r="H1494">
        <f>AVERAGEIFS(Table1[value],Table1[IndicatorCode],Table1[[#This Row],[IndicatorCode]])</f>
        <v>99.756410256410263</v>
      </c>
      <c r="I1494" cm="1">
        <f t="array" ref="I1494">_xlfn.STDEV.P(IF(Table1[IndicatorCode]=Table1[[#This Row],[IndicatorCode]],Table1[value]))</f>
        <v>1.1047979755287356</v>
      </c>
      <c r="J1494">
        <f>(Table1[[#This Row],[value]] - Table1[[#This Row],[mean]]) / Table1[[#This Row],[std_dev]]</f>
        <v>0.22048351733552002</v>
      </c>
      <c r="K1494">
        <f>AVERAGEIF(Table1[CountryCode],Table1[[#This Row],[CountryCode]],Table1[z-score])</f>
        <v>-0.56629310735046812</v>
      </c>
      <c r="L1494" t="e">
        <f>VLOOKUP(Table1[[#This Row],[CountryCode]],[1]!Table1[#All],1,FALSE)</f>
        <v>#REF!</v>
      </c>
    </row>
    <row r="1495" spans="1:12" hidden="1" x14ac:dyDescent="0.3">
      <c r="A1495" t="s">
        <v>99</v>
      </c>
      <c r="B1495" t="s">
        <v>100</v>
      </c>
      <c r="C1495" t="s">
        <v>9</v>
      </c>
      <c r="D1495" t="s">
        <v>10</v>
      </c>
      <c r="E1495">
        <v>1994</v>
      </c>
      <c r="F1495" s="1">
        <v>100</v>
      </c>
      <c r="G1495">
        <v>1990</v>
      </c>
      <c r="H1495">
        <f>AVERAGEIFS(Table1[value],Table1[IndicatorCode],Table1[[#This Row],[IndicatorCode]])</f>
        <v>99.756410256410263</v>
      </c>
      <c r="I1495" cm="1">
        <f t="array" ref="I1495">_xlfn.STDEV.P(IF(Table1[IndicatorCode]=Table1[[#This Row],[IndicatorCode]],Table1[value]))</f>
        <v>1.1047979755287356</v>
      </c>
      <c r="J1495">
        <f>(Table1[[#This Row],[value]] - Table1[[#This Row],[mean]]) / Table1[[#This Row],[std_dev]]</f>
        <v>0.22048351733552002</v>
      </c>
      <c r="K1495">
        <f>AVERAGEIF(Table1[CountryCode],Table1[[#This Row],[CountryCode]],Table1[z-score])</f>
        <v>-0.56629310735046812</v>
      </c>
      <c r="L1495" t="e">
        <f>VLOOKUP(Table1[[#This Row],[CountryCode]],[1]!Table1[#All],1,FALSE)</f>
        <v>#REF!</v>
      </c>
    </row>
    <row r="1496" spans="1:12" hidden="1" x14ac:dyDescent="0.3">
      <c r="A1496" t="s">
        <v>99</v>
      </c>
      <c r="B1496" t="s">
        <v>100</v>
      </c>
      <c r="C1496" t="s">
        <v>9</v>
      </c>
      <c r="D1496" t="s">
        <v>10</v>
      </c>
      <c r="E1496">
        <v>1995</v>
      </c>
      <c r="F1496" s="1">
        <v>100</v>
      </c>
      <c r="G1496">
        <v>1990</v>
      </c>
      <c r="H1496">
        <f>AVERAGEIFS(Table1[value],Table1[IndicatorCode],Table1[[#This Row],[IndicatorCode]])</f>
        <v>99.756410256410263</v>
      </c>
      <c r="I1496" cm="1">
        <f t="array" ref="I1496">_xlfn.STDEV.P(IF(Table1[IndicatorCode]=Table1[[#This Row],[IndicatorCode]],Table1[value]))</f>
        <v>1.1047979755287356</v>
      </c>
      <c r="J1496">
        <f>(Table1[[#This Row],[value]] - Table1[[#This Row],[mean]]) / Table1[[#This Row],[std_dev]]</f>
        <v>0.22048351733552002</v>
      </c>
      <c r="K1496">
        <f>AVERAGEIF(Table1[CountryCode],Table1[[#This Row],[CountryCode]],Table1[z-score])</f>
        <v>-0.56629310735046812</v>
      </c>
      <c r="L1496" t="e">
        <f>VLOOKUP(Table1[[#This Row],[CountryCode]],[1]!Table1[#All],1,FALSE)</f>
        <v>#REF!</v>
      </c>
    </row>
    <row r="1497" spans="1:12" hidden="1" x14ac:dyDescent="0.3">
      <c r="A1497" t="s">
        <v>99</v>
      </c>
      <c r="B1497" t="s">
        <v>100</v>
      </c>
      <c r="C1497" t="s">
        <v>9</v>
      </c>
      <c r="D1497" t="s">
        <v>10</v>
      </c>
      <c r="E1497">
        <v>1996</v>
      </c>
      <c r="F1497" s="1">
        <v>100</v>
      </c>
      <c r="G1497">
        <v>1990</v>
      </c>
      <c r="H1497">
        <f>AVERAGEIFS(Table1[value],Table1[IndicatorCode],Table1[[#This Row],[IndicatorCode]])</f>
        <v>99.756410256410263</v>
      </c>
      <c r="I1497" cm="1">
        <f t="array" ref="I1497">_xlfn.STDEV.P(IF(Table1[IndicatorCode]=Table1[[#This Row],[IndicatorCode]],Table1[value]))</f>
        <v>1.1047979755287356</v>
      </c>
      <c r="J1497">
        <f>(Table1[[#This Row],[value]] - Table1[[#This Row],[mean]]) / Table1[[#This Row],[std_dev]]</f>
        <v>0.22048351733552002</v>
      </c>
      <c r="K1497">
        <f>AVERAGEIF(Table1[CountryCode],Table1[[#This Row],[CountryCode]],Table1[z-score])</f>
        <v>-0.56629310735046812</v>
      </c>
      <c r="L1497" t="e">
        <f>VLOOKUP(Table1[[#This Row],[CountryCode]],[1]!Table1[#All],1,FALSE)</f>
        <v>#REF!</v>
      </c>
    </row>
    <row r="1498" spans="1:12" hidden="1" x14ac:dyDescent="0.3">
      <c r="A1498" t="s">
        <v>99</v>
      </c>
      <c r="B1498" t="s">
        <v>100</v>
      </c>
      <c r="C1498" t="s">
        <v>9</v>
      </c>
      <c r="D1498" t="s">
        <v>10</v>
      </c>
      <c r="E1498">
        <v>1997</v>
      </c>
      <c r="F1498" s="1">
        <v>100</v>
      </c>
      <c r="G1498">
        <v>2000</v>
      </c>
      <c r="H1498">
        <f>AVERAGEIFS(Table1[value],Table1[IndicatorCode],Table1[[#This Row],[IndicatorCode]])</f>
        <v>99.756410256410263</v>
      </c>
      <c r="I1498" cm="1">
        <f t="array" ref="I1498">_xlfn.STDEV.P(IF(Table1[IndicatorCode]=Table1[[#This Row],[IndicatorCode]],Table1[value]))</f>
        <v>1.1047979755287356</v>
      </c>
      <c r="J1498">
        <f>(Table1[[#This Row],[value]] - Table1[[#This Row],[mean]]) / Table1[[#This Row],[std_dev]]</f>
        <v>0.22048351733552002</v>
      </c>
      <c r="K1498">
        <f>AVERAGEIF(Table1[CountryCode],Table1[[#This Row],[CountryCode]],Table1[z-score])</f>
        <v>-0.56629310735046812</v>
      </c>
      <c r="L1498" t="e">
        <f>VLOOKUP(Table1[[#This Row],[CountryCode]],[1]!Table1[#All],1,FALSE)</f>
        <v>#REF!</v>
      </c>
    </row>
    <row r="1499" spans="1:12" hidden="1" x14ac:dyDescent="0.3">
      <c r="A1499" t="s">
        <v>99</v>
      </c>
      <c r="B1499" t="s">
        <v>100</v>
      </c>
      <c r="C1499" t="s">
        <v>9</v>
      </c>
      <c r="D1499" t="s">
        <v>10</v>
      </c>
      <c r="E1499">
        <v>1998</v>
      </c>
      <c r="F1499" s="1">
        <v>100</v>
      </c>
      <c r="G1499">
        <v>2000</v>
      </c>
      <c r="H1499">
        <f>AVERAGEIFS(Table1[value],Table1[IndicatorCode],Table1[[#This Row],[IndicatorCode]])</f>
        <v>99.756410256410263</v>
      </c>
      <c r="I1499" cm="1">
        <f t="array" ref="I1499">_xlfn.STDEV.P(IF(Table1[IndicatorCode]=Table1[[#This Row],[IndicatorCode]],Table1[value]))</f>
        <v>1.1047979755287356</v>
      </c>
      <c r="J1499">
        <f>(Table1[[#This Row],[value]] - Table1[[#This Row],[mean]]) / Table1[[#This Row],[std_dev]]</f>
        <v>0.22048351733552002</v>
      </c>
      <c r="K1499">
        <f>AVERAGEIF(Table1[CountryCode],Table1[[#This Row],[CountryCode]],Table1[z-score])</f>
        <v>-0.56629310735046812</v>
      </c>
      <c r="L1499" t="e">
        <f>VLOOKUP(Table1[[#This Row],[CountryCode]],[1]!Table1[#All],1,FALSE)</f>
        <v>#REF!</v>
      </c>
    </row>
    <row r="1500" spans="1:12" hidden="1" x14ac:dyDescent="0.3">
      <c r="A1500" t="s">
        <v>99</v>
      </c>
      <c r="B1500" t="s">
        <v>100</v>
      </c>
      <c r="C1500" t="s">
        <v>9</v>
      </c>
      <c r="D1500" t="s">
        <v>10</v>
      </c>
      <c r="E1500">
        <v>1999</v>
      </c>
      <c r="F1500" s="1">
        <v>100</v>
      </c>
      <c r="G1500">
        <v>2000</v>
      </c>
      <c r="H1500">
        <f>AVERAGEIFS(Table1[value],Table1[IndicatorCode],Table1[[#This Row],[IndicatorCode]])</f>
        <v>99.756410256410263</v>
      </c>
      <c r="I1500" cm="1">
        <f t="array" ref="I1500">_xlfn.STDEV.P(IF(Table1[IndicatorCode]=Table1[[#This Row],[IndicatorCode]],Table1[value]))</f>
        <v>1.1047979755287356</v>
      </c>
      <c r="J1500">
        <f>(Table1[[#This Row],[value]] - Table1[[#This Row],[mean]]) / Table1[[#This Row],[std_dev]]</f>
        <v>0.22048351733552002</v>
      </c>
      <c r="K1500">
        <f>AVERAGEIF(Table1[CountryCode],Table1[[#This Row],[CountryCode]],Table1[z-score])</f>
        <v>-0.56629310735046812</v>
      </c>
      <c r="L1500" t="e">
        <f>VLOOKUP(Table1[[#This Row],[CountryCode]],[1]!Table1[#All],1,FALSE)</f>
        <v>#REF!</v>
      </c>
    </row>
    <row r="1501" spans="1:12" hidden="1" x14ac:dyDescent="0.3">
      <c r="A1501" t="s">
        <v>99</v>
      </c>
      <c r="B1501" t="s">
        <v>100</v>
      </c>
      <c r="C1501" t="s">
        <v>9</v>
      </c>
      <c r="D1501" t="s">
        <v>10</v>
      </c>
      <c r="E1501">
        <v>2000</v>
      </c>
      <c r="F1501" s="1">
        <v>94</v>
      </c>
      <c r="G1501">
        <v>2000</v>
      </c>
      <c r="H1501">
        <f>AVERAGEIFS(Table1[value],Table1[IndicatorCode],Table1[[#This Row],[IndicatorCode]])</f>
        <v>99.756410256410263</v>
      </c>
      <c r="I1501" cm="1">
        <f t="array" ref="I1501">_xlfn.STDEV.P(IF(Table1[IndicatorCode]=Table1[[#This Row],[IndicatorCode]],Table1[value]))</f>
        <v>1.1047979755287356</v>
      </c>
      <c r="J1501">
        <f>(Table1[[#This Row],[value]] - Table1[[#This Row],[mean]]) / Table1[[#This Row],[std_dev]]</f>
        <v>-5.2103736465079535</v>
      </c>
      <c r="K1501">
        <f>AVERAGEIF(Table1[CountryCode],Table1[[#This Row],[CountryCode]],Table1[z-score])</f>
        <v>-0.56629310735046812</v>
      </c>
      <c r="L1501" t="e">
        <f>VLOOKUP(Table1[[#This Row],[CountryCode]],[1]!Table1[#All],1,FALSE)</f>
        <v>#REF!</v>
      </c>
    </row>
    <row r="1502" spans="1:12" hidden="1" x14ac:dyDescent="0.3">
      <c r="A1502" t="s">
        <v>99</v>
      </c>
      <c r="B1502" t="s">
        <v>100</v>
      </c>
      <c r="C1502" t="s">
        <v>9</v>
      </c>
      <c r="D1502" t="s">
        <v>10</v>
      </c>
      <c r="E1502">
        <v>2001</v>
      </c>
      <c r="F1502" s="1">
        <v>95</v>
      </c>
      <c r="G1502">
        <v>2000</v>
      </c>
      <c r="H1502">
        <f>AVERAGEIFS(Table1[value],Table1[IndicatorCode],Table1[[#This Row],[IndicatorCode]])</f>
        <v>99.756410256410263</v>
      </c>
      <c r="I1502" cm="1">
        <f t="array" ref="I1502">_xlfn.STDEV.P(IF(Table1[IndicatorCode]=Table1[[#This Row],[IndicatorCode]],Table1[value]))</f>
        <v>1.1047979755287356</v>
      </c>
      <c r="J1502">
        <f>(Table1[[#This Row],[value]] - Table1[[#This Row],[mean]]) / Table1[[#This Row],[std_dev]]</f>
        <v>-4.3052307858673746</v>
      </c>
      <c r="K1502">
        <f>AVERAGEIF(Table1[CountryCode],Table1[[#This Row],[CountryCode]],Table1[z-score])</f>
        <v>-0.56629310735046812</v>
      </c>
      <c r="L1502" t="e">
        <f>VLOOKUP(Table1[[#This Row],[CountryCode]],[1]!Table1[#All],1,FALSE)</f>
        <v>#REF!</v>
      </c>
    </row>
    <row r="1503" spans="1:12" hidden="1" x14ac:dyDescent="0.3">
      <c r="A1503" t="s">
        <v>99</v>
      </c>
      <c r="B1503" t="s">
        <v>100</v>
      </c>
      <c r="C1503" t="s">
        <v>9</v>
      </c>
      <c r="D1503" t="s">
        <v>10</v>
      </c>
      <c r="E1503">
        <v>2002</v>
      </c>
      <c r="F1503" s="1">
        <v>95</v>
      </c>
      <c r="G1503">
        <v>2000</v>
      </c>
      <c r="H1503">
        <f>AVERAGEIFS(Table1[value],Table1[IndicatorCode],Table1[[#This Row],[IndicatorCode]])</f>
        <v>99.756410256410263</v>
      </c>
      <c r="I1503" cm="1">
        <f t="array" ref="I1503">_xlfn.STDEV.P(IF(Table1[IndicatorCode]=Table1[[#This Row],[IndicatorCode]],Table1[value]))</f>
        <v>1.1047979755287356</v>
      </c>
      <c r="J1503">
        <f>(Table1[[#This Row],[value]] - Table1[[#This Row],[mean]]) / Table1[[#This Row],[std_dev]]</f>
        <v>-4.3052307858673746</v>
      </c>
      <c r="K1503">
        <f>AVERAGEIF(Table1[CountryCode],Table1[[#This Row],[CountryCode]],Table1[z-score])</f>
        <v>-0.56629310735046812</v>
      </c>
      <c r="L1503" t="e">
        <f>VLOOKUP(Table1[[#This Row],[CountryCode]],[1]!Table1[#All],1,FALSE)</f>
        <v>#REF!</v>
      </c>
    </row>
    <row r="1504" spans="1:12" hidden="1" x14ac:dyDescent="0.3">
      <c r="A1504" t="s">
        <v>99</v>
      </c>
      <c r="B1504" t="s">
        <v>100</v>
      </c>
      <c r="C1504" t="s">
        <v>9</v>
      </c>
      <c r="D1504" t="s">
        <v>10</v>
      </c>
      <c r="E1504">
        <v>2003</v>
      </c>
      <c r="F1504" s="1">
        <v>95</v>
      </c>
      <c r="G1504">
        <v>2000</v>
      </c>
      <c r="H1504">
        <f>AVERAGEIFS(Table1[value],Table1[IndicatorCode],Table1[[#This Row],[IndicatorCode]])</f>
        <v>99.756410256410263</v>
      </c>
      <c r="I1504" cm="1">
        <f t="array" ref="I1504">_xlfn.STDEV.P(IF(Table1[IndicatorCode]=Table1[[#This Row],[IndicatorCode]],Table1[value]))</f>
        <v>1.1047979755287356</v>
      </c>
      <c r="J1504">
        <f>(Table1[[#This Row],[value]] - Table1[[#This Row],[mean]]) / Table1[[#This Row],[std_dev]]</f>
        <v>-4.3052307858673746</v>
      </c>
      <c r="K1504">
        <f>AVERAGEIF(Table1[CountryCode],Table1[[#This Row],[CountryCode]],Table1[z-score])</f>
        <v>-0.56629310735046812</v>
      </c>
      <c r="L1504" t="e">
        <f>VLOOKUP(Table1[[#This Row],[CountryCode]],[1]!Table1[#All],1,FALSE)</f>
        <v>#REF!</v>
      </c>
    </row>
    <row r="1505" spans="1:12" hidden="1" x14ac:dyDescent="0.3">
      <c r="A1505" t="s">
        <v>99</v>
      </c>
      <c r="B1505" t="s">
        <v>100</v>
      </c>
      <c r="C1505" t="s">
        <v>9</v>
      </c>
      <c r="D1505" t="s">
        <v>10</v>
      </c>
      <c r="E1505">
        <v>2004</v>
      </c>
      <c r="F1505" s="1">
        <v>95</v>
      </c>
      <c r="G1505">
        <v>2000</v>
      </c>
      <c r="H1505">
        <f>AVERAGEIFS(Table1[value],Table1[IndicatorCode],Table1[[#This Row],[IndicatorCode]])</f>
        <v>99.756410256410263</v>
      </c>
      <c r="I1505" cm="1">
        <f t="array" ref="I1505">_xlfn.STDEV.P(IF(Table1[IndicatorCode]=Table1[[#This Row],[IndicatorCode]],Table1[value]))</f>
        <v>1.1047979755287356</v>
      </c>
      <c r="J1505">
        <f>(Table1[[#This Row],[value]] - Table1[[#This Row],[mean]]) / Table1[[#This Row],[std_dev]]</f>
        <v>-4.3052307858673746</v>
      </c>
      <c r="K1505">
        <f>AVERAGEIF(Table1[CountryCode],Table1[[#This Row],[CountryCode]],Table1[z-score])</f>
        <v>-0.56629310735046812</v>
      </c>
      <c r="L1505" t="e">
        <f>VLOOKUP(Table1[[#This Row],[CountryCode]],[1]!Table1[#All],1,FALSE)</f>
        <v>#REF!</v>
      </c>
    </row>
    <row r="1506" spans="1:12" hidden="1" x14ac:dyDescent="0.3">
      <c r="A1506" t="s">
        <v>99</v>
      </c>
      <c r="B1506" t="s">
        <v>100</v>
      </c>
      <c r="C1506" t="s">
        <v>9</v>
      </c>
      <c r="D1506" t="s">
        <v>10</v>
      </c>
      <c r="E1506">
        <v>2005</v>
      </c>
      <c r="F1506" s="1">
        <v>96</v>
      </c>
      <c r="G1506">
        <v>2000</v>
      </c>
      <c r="H1506">
        <f>AVERAGEIFS(Table1[value],Table1[IndicatorCode],Table1[[#This Row],[IndicatorCode]])</f>
        <v>99.756410256410263</v>
      </c>
      <c r="I1506" cm="1">
        <f t="array" ref="I1506">_xlfn.STDEV.P(IF(Table1[IndicatorCode]=Table1[[#This Row],[IndicatorCode]],Table1[value]))</f>
        <v>1.1047979755287356</v>
      </c>
      <c r="J1506">
        <f>(Table1[[#This Row],[value]] - Table1[[#This Row],[mean]]) / Table1[[#This Row],[std_dev]]</f>
        <v>-3.4000879252267957</v>
      </c>
      <c r="K1506">
        <f>AVERAGEIF(Table1[CountryCode],Table1[[#This Row],[CountryCode]],Table1[z-score])</f>
        <v>-0.56629310735046812</v>
      </c>
      <c r="L1506" t="e">
        <f>VLOOKUP(Table1[[#This Row],[CountryCode]],[1]!Table1[#All],1,FALSE)</f>
        <v>#REF!</v>
      </c>
    </row>
    <row r="1507" spans="1:12" hidden="1" x14ac:dyDescent="0.3">
      <c r="A1507" t="s">
        <v>99</v>
      </c>
      <c r="B1507" t="s">
        <v>100</v>
      </c>
      <c r="C1507" t="s">
        <v>9</v>
      </c>
      <c r="D1507" t="s">
        <v>10</v>
      </c>
      <c r="E1507">
        <v>2006</v>
      </c>
      <c r="F1507" s="1">
        <v>96</v>
      </c>
      <c r="G1507">
        <v>2000</v>
      </c>
      <c r="H1507">
        <f>AVERAGEIFS(Table1[value],Table1[IndicatorCode],Table1[[#This Row],[IndicatorCode]])</f>
        <v>99.756410256410263</v>
      </c>
      <c r="I1507" cm="1">
        <f t="array" ref="I1507">_xlfn.STDEV.P(IF(Table1[IndicatorCode]=Table1[[#This Row],[IndicatorCode]],Table1[value]))</f>
        <v>1.1047979755287356</v>
      </c>
      <c r="J1507">
        <f>(Table1[[#This Row],[value]] - Table1[[#This Row],[mean]]) / Table1[[#This Row],[std_dev]]</f>
        <v>-3.4000879252267957</v>
      </c>
      <c r="K1507">
        <f>AVERAGEIF(Table1[CountryCode],Table1[[#This Row],[CountryCode]],Table1[z-score])</f>
        <v>-0.56629310735046812</v>
      </c>
      <c r="L1507" t="e">
        <f>VLOOKUP(Table1[[#This Row],[CountryCode]],[1]!Table1[#All],1,FALSE)</f>
        <v>#REF!</v>
      </c>
    </row>
    <row r="1508" spans="1:12" hidden="1" x14ac:dyDescent="0.3">
      <c r="A1508" t="s">
        <v>99</v>
      </c>
      <c r="B1508" t="s">
        <v>100</v>
      </c>
      <c r="C1508" t="s">
        <v>9</v>
      </c>
      <c r="D1508" t="s">
        <v>10</v>
      </c>
      <c r="E1508">
        <v>2007</v>
      </c>
      <c r="F1508" s="1">
        <v>96</v>
      </c>
      <c r="G1508">
        <v>2010</v>
      </c>
      <c r="H1508">
        <f>AVERAGEIFS(Table1[value],Table1[IndicatorCode],Table1[[#This Row],[IndicatorCode]])</f>
        <v>99.756410256410263</v>
      </c>
      <c r="I1508" cm="1">
        <f t="array" ref="I1508">_xlfn.STDEV.P(IF(Table1[IndicatorCode]=Table1[[#This Row],[IndicatorCode]],Table1[value]))</f>
        <v>1.1047979755287356</v>
      </c>
      <c r="J1508">
        <f>(Table1[[#This Row],[value]] - Table1[[#This Row],[mean]]) / Table1[[#This Row],[std_dev]]</f>
        <v>-3.4000879252267957</v>
      </c>
      <c r="K1508">
        <f>AVERAGEIF(Table1[CountryCode],Table1[[#This Row],[CountryCode]],Table1[z-score])</f>
        <v>-0.56629310735046812</v>
      </c>
      <c r="L1508" t="e">
        <f>VLOOKUP(Table1[[#This Row],[CountryCode]],[1]!Table1[#All],1,FALSE)</f>
        <v>#REF!</v>
      </c>
    </row>
    <row r="1509" spans="1:12" hidden="1" x14ac:dyDescent="0.3">
      <c r="A1509" t="s">
        <v>99</v>
      </c>
      <c r="B1509" t="s">
        <v>100</v>
      </c>
      <c r="C1509" t="s">
        <v>9</v>
      </c>
      <c r="D1509" t="s">
        <v>10</v>
      </c>
      <c r="E1509">
        <v>2008</v>
      </c>
      <c r="F1509" s="1">
        <v>97</v>
      </c>
      <c r="G1509">
        <v>2010</v>
      </c>
      <c r="H1509">
        <f>AVERAGEIFS(Table1[value],Table1[IndicatorCode],Table1[[#This Row],[IndicatorCode]])</f>
        <v>99.756410256410263</v>
      </c>
      <c r="I1509" cm="1">
        <f t="array" ref="I1509">_xlfn.STDEV.P(IF(Table1[IndicatorCode]=Table1[[#This Row],[IndicatorCode]],Table1[value]))</f>
        <v>1.1047979755287356</v>
      </c>
      <c r="J1509">
        <f>(Table1[[#This Row],[value]] - Table1[[#This Row],[mean]]) / Table1[[#This Row],[std_dev]]</f>
        <v>-2.4949450645862168</v>
      </c>
      <c r="K1509">
        <f>AVERAGEIF(Table1[CountryCode],Table1[[#This Row],[CountryCode]],Table1[z-score])</f>
        <v>-0.56629310735046812</v>
      </c>
      <c r="L1509" t="e">
        <f>VLOOKUP(Table1[[#This Row],[CountryCode]],[1]!Table1[#All],1,FALSE)</f>
        <v>#REF!</v>
      </c>
    </row>
    <row r="1510" spans="1:12" hidden="1" x14ac:dyDescent="0.3">
      <c r="A1510" t="s">
        <v>99</v>
      </c>
      <c r="B1510" t="s">
        <v>100</v>
      </c>
      <c r="C1510" t="s">
        <v>9</v>
      </c>
      <c r="D1510" t="s">
        <v>10</v>
      </c>
      <c r="E1510">
        <v>2009</v>
      </c>
      <c r="F1510" s="1">
        <v>97</v>
      </c>
      <c r="G1510">
        <v>2010</v>
      </c>
      <c r="H1510">
        <f>AVERAGEIFS(Table1[value],Table1[IndicatorCode],Table1[[#This Row],[IndicatorCode]])</f>
        <v>99.756410256410263</v>
      </c>
      <c r="I1510" cm="1">
        <f t="array" ref="I1510">_xlfn.STDEV.P(IF(Table1[IndicatorCode]=Table1[[#This Row],[IndicatorCode]],Table1[value]))</f>
        <v>1.1047979755287356</v>
      </c>
      <c r="J1510">
        <f>(Table1[[#This Row],[value]] - Table1[[#This Row],[mean]]) / Table1[[#This Row],[std_dev]]</f>
        <v>-2.4949450645862168</v>
      </c>
      <c r="K1510">
        <f>AVERAGEIF(Table1[CountryCode],Table1[[#This Row],[CountryCode]],Table1[z-score])</f>
        <v>-0.56629310735046812</v>
      </c>
      <c r="L1510" t="e">
        <f>VLOOKUP(Table1[[#This Row],[CountryCode]],[1]!Table1[#All],1,FALSE)</f>
        <v>#REF!</v>
      </c>
    </row>
    <row r="1511" spans="1:12" hidden="1" x14ac:dyDescent="0.3">
      <c r="A1511" t="s">
        <v>99</v>
      </c>
      <c r="B1511" t="s">
        <v>100</v>
      </c>
      <c r="C1511" t="s">
        <v>9</v>
      </c>
      <c r="D1511" t="s">
        <v>10</v>
      </c>
      <c r="E1511">
        <v>2010</v>
      </c>
      <c r="F1511" s="1">
        <v>97</v>
      </c>
      <c r="G1511">
        <v>2010</v>
      </c>
      <c r="H1511">
        <f>AVERAGEIFS(Table1[value],Table1[IndicatorCode],Table1[[#This Row],[IndicatorCode]])</f>
        <v>99.756410256410263</v>
      </c>
      <c r="I1511" cm="1">
        <f t="array" ref="I1511">_xlfn.STDEV.P(IF(Table1[IndicatorCode]=Table1[[#This Row],[IndicatorCode]],Table1[value]))</f>
        <v>1.1047979755287356</v>
      </c>
      <c r="J1511">
        <f>(Table1[[#This Row],[value]] - Table1[[#This Row],[mean]]) / Table1[[#This Row],[std_dev]]</f>
        <v>-2.4949450645862168</v>
      </c>
      <c r="K1511">
        <f>AVERAGEIF(Table1[CountryCode],Table1[[#This Row],[CountryCode]],Table1[z-score])</f>
        <v>-0.56629310735046812</v>
      </c>
      <c r="L1511" t="e">
        <f>VLOOKUP(Table1[[#This Row],[CountryCode]],[1]!Table1[#All],1,FALSE)</f>
        <v>#REF!</v>
      </c>
    </row>
    <row r="1512" spans="1:12" hidden="1" x14ac:dyDescent="0.3">
      <c r="A1512" t="s">
        <v>99</v>
      </c>
      <c r="B1512" t="s">
        <v>100</v>
      </c>
      <c r="C1512" t="s">
        <v>9</v>
      </c>
      <c r="D1512" t="s">
        <v>10</v>
      </c>
      <c r="E1512">
        <v>2011</v>
      </c>
      <c r="F1512" s="1">
        <v>97</v>
      </c>
      <c r="G1512">
        <v>2010</v>
      </c>
      <c r="H1512">
        <f>AVERAGEIFS(Table1[value],Table1[IndicatorCode],Table1[[#This Row],[IndicatorCode]])</f>
        <v>99.756410256410263</v>
      </c>
      <c r="I1512" cm="1">
        <f t="array" ref="I1512">_xlfn.STDEV.P(IF(Table1[IndicatorCode]=Table1[[#This Row],[IndicatorCode]],Table1[value]))</f>
        <v>1.1047979755287356</v>
      </c>
      <c r="J1512">
        <f>(Table1[[#This Row],[value]] - Table1[[#This Row],[mean]]) / Table1[[#This Row],[std_dev]]</f>
        <v>-2.4949450645862168</v>
      </c>
      <c r="K1512">
        <f>AVERAGEIF(Table1[CountryCode],Table1[[#This Row],[CountryCode]],Table1[z-score])</f>
        <v>-0.56629310735046812</v>
      </c>
      <c r="L1512" t="e">
        <f>VLOOKUP(Table1[[#This Row],[CountryCode]],[1]!Table1[#All],1,FALSE)</f>
        <v>#REF!</v>
      </c>
    </row>
    <row r="1513" spans="1:12" hidden="1" x14ac:dyDescent="0.3">
      <c r="A1513" t="s">
        <v>99</v>
      </c>
      <c r="B1513" t="s">
        <v>100</v>
      </c>
      <c r="C1513" t="s">
        <v>9</v>
      </c>
      <c r="D1513" t="s">
        <v>10</v>
      </c>
      <c r="E1513">
        <v>2012</v>
      </c>
      <c r="F1513" s="1">
        <v>98</v>
      </c>
      <c r="G1513">
        <v>2010</v>
      </c>
      <c r="H1513">
        <f>AVERAGEIFS(Table1[value],Table1[IndicatorCode],Table1[[#This Row],[IndicatorCode]])</f>
        <v>99.756410256410263</v>
      </c>
      <c r="I1513" cm="1">
        <f t="array" ref="I1513">_xlfn.STDEV.P(IF(Table1[IndicatorCode]=Table1[[#This Row],[IndicatorCode]],Table1[value]))</f>
        <v>1.1047979755287356</v>
      </c>
      <c r="J1513">
        <f>(Table1[[#This Row],[value]] - Table1[[#This Row],[mean]]) / Table1[[#This Row],[std_dev]]</f>
        <v>-1.5898022039456376</v>
      </c>
      <c r="K1513">
        <f>AVERAGEIF(Table1[CountryCode],Table1[[#This Row],[CountryCode]],Table1[z-score])</f>
        <v>-0.56629310735046812</v>
      </c>
      <c r="L1513" t="e">
        <f>VLOOKUP(Table1[[#This Row],[CountryCode]],[1]!Table1[#All],1,FALSE)</f>
        <v>#REF!</v>
      </c>
    </row>
    <row r="1514" spans="1:12" hidden="1" x14ac:dyDescent="0.3">
      <c r="A1514" t="s">
        <v>99</v>
      </c>
      <c r="B1514" t="s">
        <v>100</v>
      </c>
      <c r="C1514" t="s">
        <v>9</v>
      </c>
      <c r="D1514" t="s">
        <v>10</v>
      </c>
      <c r="E1514">
        <v>2013</v>
      </c>
      <c r="F1514" s="1">
        <v>98</v>
      </c>
      <c r="G1514">
        <v>2010</v>
      </c>
      <c r="H1514">
        <f>AVERAGEIFS(Table1[value],Table1[IndicatorCode],Table1[[#This Row],[IndicatorCode]])</f>
        <v>99.756410256410263</v>
      </c>
      <c r="I1514" cm="1">
        <f t="array" ref="I1514">_xlfn.STDEV.P(IF(Table1[IndicatorCode]=Table1[[#This Row],[IndicatorCode]],Table1[value]))</f>
        <v>1.1047979755287356</v>
      </c>
      <c r="J1514">
        <f>(Table1[[#This Row],[value]] - Table1[[#This Row],[mean]]) / Table1[[#This Row],[std_dev]]</f>
        <v>-1.5898022039456376</v>
      </c>
      <c r="K1514">
        <f>AVERAGEIF(Table1[CountryCode],Table1[[#This Row],[CountryCode]],Table1[z-score])</f>
        <v>-0.56629310735046812</v>
      </c>
      <c r="L1514" t="e">
        <f>VLOOKUP(Table1[[#This Row],[CountryCode]],[1]!Table1[#All],1,FALSE)</f>
        <v>#REF!</v>
      </c>
    </row>
    <row r="1515" spans="1:12" hidden="1" x14ac:dyDescent="0.3">
      <c r="A1515" t="s">
        <v>99</v>
      </c>
      <c r="B1515" t="s">
        <v>100</v>
      </c>
      <c r="C1515" t="s">
        <v>9</v>
      </c>
      <c r="D1515" t="s">
        <v>10</v>
      </c>
      <c r="E1515">
        <v>2014</v>
      </c>
      <c r="F1515" s="1">
        <v>98</v>
      </c>
      <c r="G1515">
        <v>2010</v>
      </c>
      <c r="H1515">
        <f>AVERAGEIFS(Table1[value],Table1[IndicatorCode],Table1[[#This Row],[IndicatorCode]])</f>
        <v>99.756410256410263</v>
      </c>
      <c r="I1515" cm="1">
        <f t="array" ref="I1515">_xlfn.STDEV.P(IF(Table1[IndicatorCode]=Table1[[#This Row],[IndicatorCode]],Table1[value]))</f>
        <v>1.1047979755287356</v>
      </c>
      <c r="J1515">
        <f>(Table1[[#This Row],[value]] - Table1[[#This Row],[mean]]) / Table1[[#This Row],[std_dev]]</f>
        <v>-1.5898022039456376</v>
      </c>
      <c r="K1515">
        <f>AVERAGEIF(Table1[CountryCode],Table1[[#This Row],[CountryCode]],Table1[z-score])</f>
        <v>-0.56629310735046812</v>
      </c>
      <c r="L1515" t="e">
        <f>VLOOKUP(Table1[[#This Row],[CountryCode]],[1]!Table1[#All],1,FALSE)</f>
        <v>#REF!</v>
      </c>
    </row>
    <row r="1516" spans="1:12" hidden="1" x14ac:dyDescent="0.3">
      <c r="A1516" t="s">
        <v>99</v>
      </c>
      <c r="B1516" t="s">
        <v>100</v>
      </c>
      <c r="C1516" t="s">
        <v>9</v>
      </c>
      <c r="D1516" t="s">
        <v>10</v>
      </c>
      <c r="E1516">
        <v>2015</v>
      </c>
      <c r="F1516" s="1">
        <v>99</v>
      </c>
      <c r="G1516">
        <v>2010</v>
      </c>
      <c r="H1516">
        <f>AVERAGEIFS(Table1[value],Table1[IndicatorCode],Table1[[#This Row],[IndicatorCode]])</f>
        <v>99.756410256410263</v>
      </c>
      <c r="I1516" cm="1">
        <f t="array" ref="I1516">_xlfn.STDEV.P(IF(Table1[IndicatorCode]=Table1[[#This Row],[IndicatorCode]],Table1[value]))</f>
        <v>1.1047979755287356</v>
      </c>
      <c r="J1516">
        <f>(Table1[[#This Row],[value]] - Table1[[#This Row],[mean]]) / Table1[[#This Row],[std_dev]]</f>
        <v>-0.68465934330505884</v>
      </c>
      <c r="K1516">
        <f>AVERAGEIF(Table1[CountryCode],Table1[[#This Row],[CountryCode]],Table1[z-score])</f>
        <v>-0.56629310735046812</v>
      </c>
      <c r="L1516" t="e">
        <f>VLOOKUP(Table1[[#This Row],[CountryCode]],[1]!Table1[#All],1,FALSE)</f>
        <v>#REF!</v>
      </c>
    </row>
    <row r="1517" spans="1:12" hidden="1" x14ac:dyDescent="0.3">
      <c r="A1517" t="s">
        <v>99</v>
      </c>
      <c r="B1517" t="s">
        <v>100</v>
      </c>
      <c r="C1517" t="s">
        <v>9</v>
      </c>
      <c r="D1517" t="s">
        <v>10</v>
      </c>
      <c r="E1517">
        <v>2016</v>
      </c>
      <c r="F1517" s="1">
        <v>99</v>
      </c>
      <c r="G1517">
        <v>2010</v>
      </c>
      <c r="H1517">
        <f>AVERAGEIFS(Table1[value],Table1[IndicatorCode],Table1[[#This Row],[IndicatorCode]])</f>
        <v>99.756410256410263</v>
      </c>
      <c r="I1517" cm="1">
        <f t="array" ref="I1517">_xlfn.STDEV.P(IF(Table1[IndicatorCode]=Table1[[#This Row],[IndicatorCode]],Table1[value]))</f>
        <v>1.1047979755287356</v>
      </c>
      <c r="J1517">
        <f>(Table1[[#This Row],[value]] - Table1[[#This Row],[mean]]) / Table1[[#This Row],[std_dev]]</f>
        <v>-0.68465934330505884</v>
      </c>
      <c r="K1517">
        <f>AVERAGEIF(Table1[CountryCode],Table1[[#This Row],[CountryCode]],Table1[z-score])</f>
        <v>-0.56629310735046812</v>
      </c>
      <c r="L1517" t="e">
        <f>VLOOKUP(Table1[[#This Row],[CountryCode]],[1]!Table1[#All],1,FALSE)</f>
        <v>#REF!</v>
      </c>
    </row>
    <row r="1518" spans="1:12" hidden="1" x14ac:dyDescent="0.3">
      <c r="A1518" t="s">
        <v>99</v>
      </c>
      <c r="B1518" t="s">
        <v>100</v>
      </c>
      <c r="C1518" t="s">
        <v>9</v>
      </c>
      <c r="D1518" t="s">
        <v>10</v>
      </c>
      <c r="E1518">
        <v>2017</v>
      </c>
      <c r="F1518" s="1">
        <v>100</v>
      </c>
      <c r="G1518">
        <v>2020</v>
      </c>
      <c r="H1518">
        <f>AVERAGEIFS(Table1[value],Table1[IndicatorCode],Table1[[#This Row],[IndicatorCode]])</f>
        <v>99.756410256410263</v>
      </c>
      <c r="I1518" cm="1">
        <f t="array" ref="I1518">_xlfn.STDEV.P(IF(Table1[IndicatorCode]=Table1[[#This Row],[IndicatorCode]],Table1[value]))</f>
        <v>1.1047979755287356</v>
      </c>
      <c r="J1518">
        <f>(Table1[[#This Row],[value]] - Table1[[#This Row],[mean]]) / Table1[[#This Row],[std_dev]]</f>
        <v>0.22048351733552002</v>
      </c>
      <c r="K1518">
        <f>AVERAGEIF(Table1[CountryCode],Table1[[#This Row],[CountryCode]],Table1[z-score])</f>
        <v>-0.56629310735046812</v>
      </c>
      <c r="L1518" t="e">
        <f>VLOOKUP(Table1[[#This Row],[CountryCode]],[1]!Table1[#All],1,FALSE)</f>
        <v>#REF!</v>
      </c>
    </row>
    <row r="1519" spans="1:12" hidden="1" x14ac:dyDescent="0.3">
      <c r="A1519" t="s">
        <v>99</v>
      </c>
      <c r="B1519" t="s">
        <v>100</v>
      </c>
      <c r="C1519" t="s">
        <v>9</v>
      </c>
      <c r="D1519" t="s">
        <v>10</v>
      </c>
      <c r="E1519">
        <v>2018</v>
      </c>
      <c r="F1519" s="1">
        <v>100</v>
      </c>
      <c r="G1519">
        <v>2020</v>
      </c>
      <c r="H1519">
        <f>AVERAGEIFS(Table1[value],Table1[IndicatorCode],Table1[[#This Row],[IndicatorCode]])</f>
        <v>99.756410256410263</v>
      </c>
      <c r="I1519" cm="1">
        <f t="array" ref="I1519">_xlfn.STDEV.P(IF(Table1[IndicatorCode]=Table1[[#This Row],[IndicatorCode]],Table1[value]))</f>
        <v>1.1047979755287356</v>
      </c>
      <c r="J1519">
        <f>(Table1[[#This Row],[value]] - Table1[[#This Row],[mean]]) / Table1[[#This Row],[std_dev]]</f>
        <v>0.22048351733552002</v>
      </c>
      <c r="K1519">
        <f>AVERAGEIF(Table1[CountryCode],Table1[[#This Row],[CountryCode]],Table1[z-score])</f>
        <v>-0.56629310735046812</v>
      </c>
      <c r="L1519" t="e">
        <f>VLOOKUP(Table1[[#This Row],[CountryCode]],[1]!Table1[#All],1,FALSE)</f>
        <v>#REF!</v>
      </c>
    </row>
    <row r="1520" spans="1:12" hidden="1" x14ac:dyDescent="0.3">
      <c r="A1520" t="s">
        <v>99</v>
      </c>
      <c r="B1520" t="s">
        <v>100</v>
      </c>
      <c r="C1520" t="s">
        <v>9</v>
      </c>
      <c r="D1520" t="s">
        <v>10</v>
      </c>
      <c r="E1520">
        <v>2019</v>
      </c>
      <c r="F1520" s="1">
        <v>100</v>
      </c>
      <c r="G1520">
        <v>2020</v>
      </c>
      <c r="H1520">
        <f>AVERAGEIFS(Table1[value],Table1[IndicatorCode],Table1[[#This Row],[IndicatorCode]])</f>
        <v>99.756410256410263</v>
      </c>
      <c r="I1520" cm="1">
        <f t="array" ref="I1520">_xlfn.STDEV.P(IF(Table1[IndicatorCode]=Table1[[#This Row],[IndicatorCode]],Table1[value]))</f>
        <v>1.1047979755287356</v>
      </c>
      <c r="J1520">
        <f>(Table1[[#This Row],[value]] - Table1[[#This Row],[mean]]) / Table1[[#This Row],[std_dev]]</f>
        <v>0.22048351733552002</v>
      </c>
      <c r="K1520">
        <f>AVERAGEIF(Table1[CountryCode],Table1[[#This Row],[CountryCode]],Table1[z-score])</f>
        <v>-0.56629310735046812</v>
      </c>
      <c r="L1520" t="e">
        <f>VLOOKUP(Table1[[#This Row],[CountryCode]],[1]!Table1[#All],1,FALSE)</f>
        <v>#REF!</v>
      </c>
    </row>
    <row r="1521" spans="1:12" x14ac:dyDescent="0.3">
      <c r="A1521" t="s">
        <v>99</v>
      </c>
      <c r="B1521" t="s">
        <v>100</v>
      </c>
      <c r="C1521" t="s">
        <v>9</v>
      </c>
      <c r="D1521" t="s">
        <v>10</v>
      </c>
      <c r="E1521">
        <v>2020</v>
      </c>
      <c r="F1521" s="1">
        <v>100</v>
      </c>
      <c r="G1521">
        <v>2020</v>
      </c>
      <c r="H1521">
        <f>AVERAGEIFS(Table1[value],Table1[IndicatorCode],Table1[[#This Row],[IndicatorCode]])</f>
        <v>99.756410256410263</v>
      </c>
      <c r="I1521" cm="1">
        <f t="array" ref="I1521">_xlfn.STDEV.P(IF(Table1[IndicatorCode]=Table1[[#This Row],[IndicatorCode]],Table1[value]))</f>
        <v>1.1047979755287356</v>
      </c>
      <c r="J1521">
        <f>(Table1[[#This Row],[value]] - Table1[[#This Row],[mean]]) / Table1[[#This Row],[std_dev]]</f>
        <v>0.22048351733552002</v>
      </c>
      <c r="K1521">
        <f>AVERAGEIF(Table1[CountryCode],Table1[[#This Row],[CountryCode]],Table1[z-score])</f>
        <v>-0.56629310735046812</v>
      </c>
    </row>
    <row r="1522" spans="1:12" hidden="1" x14ac:dyDescent="0.3">
      <c r="A1522" t="s">
        <v>99</v>
      </c>
      <c r="B1522" t="s">
        <v>100</v>
      </c>
      <c r="C1522" t="s">
        <v>9</v>
      </c>
      <c r="D1522" t="s">
        <v>10</v>
      </c>
      <c r="E1522">
        <v>2021</v>
      </c>
      <c r="F1522" s="1">
        <v>100</v>
      </c>
      <c r="G1522">
        <v>1990</v>
      </c>
      <c r="H1522">
        <f>AVERAGEIFS(Table1[value],Table1[IndicatorCode],Table1[[#This Row],[IndicatorCode]])</f>
        <v>99.756410256410263</v>
      </c>
      <c r="I1522" cm="1">
        <f t="array" ref="I1522">_xlfn.STDEV.P(IF(Table1[IndicatorCode]=Table1[[#This Row],[IndicatorCode]],Table1[value]))</f>
        <v>1.1047979755287356</v>
      </c>
      <c r="J1522">
        <f>(Table1[[#This Row],[value]] - Table1[[#This Row],[mean]]) / Table1[[#This Row],[std_dev]]</f>
        <v>0.22048351733552002</v>
      </c>
      <c r="K1522">
        <f>AVERAGEIF(Table1[CountryCode],Table1[[#This Row],[CountryCode]],Table1[z-score])</f>
        <v>-0.56629310735046812</v>
      </c>
      <c r="L1522" t="e">
        <f>VLOOKUP(Table1[[#This Row],[CountryCode]],[1]!Table1[#All],1,FALSE)</f>
        <v>#REF!</v>
      </c>
    </row>
    <row r="1523" spans="1:12" hidden="1" x14ac:dyDescent="0.3">
      <c r="A1523" t="s">
        <v>99</v>
      </c>
      <c r="B1523" t="s">
        <v>100</v>
      </c>
      <c r="C1523" t="s">
        <v>9</v>
      </c>
      <c r="D1523" t="s">
        <v>10</v>
      </c>
      <c r="E1523">
        <v>2022</v>
      </c>
      <c r="F1523" s="1">
        <v>100</v>
      </c>
      <c r="G1523">
        <v>1990</v>
      </c>
      <c r="H1523">
        <f>AVERAGEIFS(Table1[value],Table1[IndicatorCode],Table1[[#This Row],[IndicatorCode]])</f>
        <v>99.756410256410263</v>
      </c>
      <c r="I1523" cm="1">
        <f t="array" ref="I1523">_xlfn.STDEV.P(IF(Table1[IndicatorCode]=Table1[[#This Row],[IndicatorCode]],Table1[value]))</f>
        <v>1.1047979755287356</v>
      </c>
      <c r="J1523">
        <f>(Table1[[#This Row],[value]] - Table1[[#This Row],[mean]]) / Table1[[#This Row],[std_dev]]</f>
        <v>0.22048351733552002</v>
      </c>
      <c r="K1523">
        <f>AVERAGEIF(Table1[CountryCode],Table1[[#This Row],[CountryCode]],Table1[z-score])</f>
        <v>-0.56629310735046812</v>
      </c>
      <c r="L1523" t="e">
        <f>VLOOKUP(Table1[[#This Row],[CountryCode]],[1]!Table1[#All],1,FALSE)</f>
        <v>#REF!</v>
      </c>
    </row>
    <row r="1524" spans="1:12" hidden="1" x14ac:dyDescent="0.3">
      <c r="A1524" t="s">
        <v>99</v>
      </c>
      <c r="B1524" t="s">
        <v>100</v>
      </c>
      <c r="C1524" t="s">
        <v>9</v>
      </c>
      <c r="D1524" t="s">
        <v>10</v>
      </c>
      <c r="E1524">
        <v>2023</v>
      </c>
      <c r="F1524" s="1">
        <v>100</v>
      </c>
      <c r="G1524">
        <v>1990</v>
      </c>
      <c r="H1524">
        <f>AVERAGEIFS(Table1[value],Table1[IndicatorCode],Table1[[#This Row],[IndicatorCode]])</f>
        <v>99.756410256410263</v>
      </c>
      <c r="I1524" cm="1">
        <f t="array" ref="I1524">_xlfn.STDEV.P(IF(Table1[IndicatorCode]=Table1[[#This Row],[IndicatorCode]],Table1[value]))</f>
        <v>1.1047979755287356</v>
      </c>
      <c r="J1524">
        <f>(Table1[[#This Row],[value]] - Table1[[#This Row],[mean]]) / Table1[[#This Row],[std_dev]]</f>
        <v>0.22048351733552002</v>
      </c>
      <c r="K1524">
        <f>AVERAGEIF(Table1[CountryCode],Table1[[#This Row],[CountryCode]],Table1[z-score])</f>
        <v>-0.56629310735046812</v>
      </c>
      <c r="L1524" t="e">
        <f>VLOOKUP(Table1[[#This Row],[CountryCode]],[1]!Table1[#All],1,FALSE)</f>
        <v>#REF!</v>
      </c>
    </row>
    <row r="1525" spans="1:12" hidden="1" x14ac:dyDescent="0.3">
      <c r="A1525" t="s">
        <v>101</v>
      </c>
      <c r="B1525" t="s">
        <v>102</v>
      </c>
      <c r="C1525" t="s">
        <v>9</v>
      </c>
      <c r="D1525" t="s">
        <v>10</v>
      </c>
      <c r="E1525">
        <v>1990</v>
      </c>
      <c r="F1525" s="1">
        <v>100</v>
      </c>
      <c r="G1525">
        <v>1990</v>
      </c>
      <c r="H1525">
        <f>AVERAGEIFS(Table1[value],Table1[IndicatorCode],Table1[[#This Row],[IndicatorCode]])</f>
        <v>99.756410256410263</v>
      </c>
      <c r="I1525" cm="1">
        <f t="array" ref="I1525">_xlfn.STDEV.P(IF(Table1[IndicatorCode]=Table1[[#This Row],[IndicatorCode]],Table1[value]))</f>
        <v>1.1047979755287356</v>
      </c>
      <c r="J1525">
        <f>(Table1[[#This Row],[value]] - Table1[[#This Row],[mean]]) / Table1[[#This Row],[std_dev]]</f>
        <v>0.22048351733552002</v>
      </c>
      <c r="K1525">
        <f>AVERAGEIF(Table1[CountryCode],Table1[[#This Row],[CountryCode]],Table1[z-score])</f>
        <v>-0.17256201820971051</v>
      </c>
      <c r="L1525" t="e">
        <f>VLOOKUP(Table1[[#This Row],[CountryCode]],[1]!Table1[#All],1,FALSE)</f>
        <v>#REF!</v>
      </c>
    </row>
    <row r="1526" spans="1:12" hidden="1" x14ac:dyDescent="0.3">
      <c r="A1526" t="s">
        <v>101</v>
      </c>
      <c r="B1526" t="s">
        <v>102</v>
      </c>
      <c r="C1526" t="s">
        <v>9</v>
      </c>
      <c r="D1526" t="s">
        <v>10</v>
      </c>
      <c r="E1526">
        <v>1991</v>
      </c>
      <c r="F1526" s="1">
        <v>100</v>
      </c>
      <c r="G1526">
        <v>1990</v>
      </c>
      <c r="H1526">
        <f>AVERAGEIFS(Table1[value],Table1[IndicatorCode],Table1[[#This Row],[IndicatorCode]])</f>
        <v>99.756410256410263</v>
      </c>
      <c r="I1526" cm="1">
        <f t="array" ref="I1526">_xlfn.STDEV.P(IF(Table1[IndicatorCode]=Table1[[#This Row],[IndicatorCode]],Table1[value]))</f>
        <v>1.1047979755287356</v>
      </c>
      <c r="J1526">
        <f>(Table1[[#This Row],[value]] - Table1[[#This Row],[mean]]) / Table1[[#This Row],[std_dev]]</f>
        <v>0.22048351733552002</v>
      </c>
      <c r="K1526">
        <f>AVERAGEIF(Table1[CountryCode],Table1[[#This Row],[CountryCode]],Table1[z-score])</f>
        <v>-0.17256201820971051</v>
      </c>
      <c r="L1526" t="e">
        <f>VLOOKUP(Table1[[#This Row],[CountryCode]],[1]!Table1[#All],1,FALSE)</f>
        <v>#REF!</v>
      </c>
    </row>
    <row r="1527" spans="1:12" hidden="1" x14ac:dyDescent="0.3">
      <c r="A1527" t="s">
        <v>101</v>
      </c>
      <c r="B1527" t="s">
        <v>102</v>
      </c>
      <c r="C1527" t="s">
        <v>9</v>
      </c>
      <c r="D1527" t="s">
        <v>10</v>
      </c>
      <c r="E1527">
        <v>1992</v>
      </c>
      <c r="F1527" s="1">
        <v>100</v>
      </c>
      <c r="G1527">
        <v>1990</v>
      </c>
      <c r="H1527">
        <f>AVERAGEIFS(Table1[value],Table1[IndicatorCode],Table1[[#This Row],[IndicatorCode]])</f>
        <v>99.756410256410263</v>
      </c>
      <c r="I1527" cm="1">
        <f t="array" ref="I1527">_xlfn.STDEV.P(IF(Table1[IndicatorCode]=Table1[[#This Row],[IndicatorCode]],Table1[value]))</f>
        <v>1.1047979755287356</v>
      </c>
      <c r="J1527">
        <f>(Table1[[#This Row],[value]] - Table1[[#This Row],[mean]]) / Table1[[#This Row],[std_dev]]</f>
        <v>0.22048351733552002</v>
      </c>
      <c r="K1527">
        <f>AVERAGEIF(Table1[CountryCode],Table1[[#This Row],[CountryCode]],Table1[z-score])</f>
        <v>-0.17256201820971051</v>
      </c>
      <c r="L1527" t="e">
        <f>VLOOKUP(Table1[[#This Row],[CountryCode]],[1]!Table1[#All],1,FALSE)</f>
        <v>#REF!</v>
      </c>
    </row>
    <row r="1528" spans="1:12" hidden="1" x14ac:dyDescent="0.3">
      <c r="A1528" t="s">
        <v>101</v>
      </c>
      <c r="B1528" t="s">
        <v>102</v>
      </c>
      <c r="C1528" t="s">
        <v>9</v>
      </c>
      <c r="D1528" t="s">
        <v>10</v>
      </c>
      <c r="E1528">
        <v>1993</v>
      </c>
      <c r="F1528" s="1">
        <v>100</v>
      </c>
      <c r="G1528">
        <v>1990</v>
      </c>
      <c r="H1528">
        <f>AVERAGEIFS(Table1[value],Table1[IndicatorCode],Table1[[#This Row],[IndicatorCode]])</f>
        <v>99.756410256410263</v>
      </c>
      <c r="I1528" cm="1">
        <f t="array" ref="I1528">_xlfn.STDEV.P(IF(Table1[IndicatorCode]=Table1[[#This Row],[IndicatorCode]],Table1[value]))</f>
        <v>1.1047979755287356</v>
      </c>
      <c r="J1528">
        <f>(Table1[[#This Row],[value]] - Table1[[#This Row],[mean]]) / Table1[[#This Row],[std_dev]]</f>
        <v>0.22048351733552002</v>
      </c>
      <c r="K1528">
        <f>AVERAGEIF(Table1[CountryCode],Table1[[#This Row],[CountryCode]],Table1[z-score])</f>
        <v>-0.17256201820971051</v>
      </c>
      <c r="L1528" t="e">
        <f>VLOOKUP(Table1[[#This Row],[CountryCode]],[1]!Table1[#All],1,FALSE)</f>
        <v>#REF!</v>
      </c>
    </row>
    <row r="1529" spans="1:12" hidden="1" x14ac:dyDescent="0.3">
      <c r="A1529" t="s">
        <v>101</v>
      </c>
      <c r="B1529" t="s">
        <v>102</v>
      </c>
      <c r="C1529" t="s">
        <v>9</v>
      </c>
      <c r="D1529" t="s">
        <v>10</v>
      </c>
      <c r="E1529">
        <v>1994</v>
      </c>
      <c r="F1529" s="1">
        <v>100</v>
      </c>
      <c r="G1529">
        <v>1990</v>
      </c>
      <c r="H1529">
        <f>AVERAGEIFS(Table1[value],Table1[IndicatorCode],Table1[[#This Row],[IndicatorCode]])</f>
        <v>99.756410256410263</v>
      </c>
      <c r="I1529" cm="1">
        <f t="array" ref="I1529">_xlfn.STDEV.P(IF(Table1[IndicatorCode]=Table1[[#This Row],[IndicatorCode]],Table1[value]))</f>
        <v>1.1047979755287356</v>
      </c>
      <c r="J1529">
        <f>(Table1[[#This Row],[value]] - Table1[[#This Row],[mean]]) / Table1[[#This Row],[std_dev]]</f>
        <v>0.22048351733552002</v>
      </c>
      <c r="K1529">
        <f>AVERAGEIF(Table1[CountryCode],Table1[[#This Row],[CountryCode]],Table1[z-score])</f>
        <v>-0.17256201820971051</v>
      </c>
      <c r="L1529" t="e">
        <f>VLOOKUP(Table1[[#This Row],[CountryCode]],[1]!Table1[#All],1,FALSE)</f>
        <v>#REF!</v>
      </c>
    </row>
    <row r="1530" spans="1:12" hidden="1" x14ac:dyDescent="0.3">
      <c r="A1530" t="s">
        <v>101</v>
      </c>
      <c r="B1530" t="s">
        <v>102</v>
      </c>
      <c r="C1530" t="s">
        <v>9</v>
      </c>
      <c r="D1530" t="s">
        <v>10</v>
      </c>
      <c r="E1530">
        <v>1995</v>
      </c>
      <c r="F1530" s="1">
        <v>100</v>
      </c>
      <c r="G1530">
        <v>1990</v>
      </c>
      <c r="H1530">
        <f>AVERAGEIFS(Table1[value],Table1[IndicatorCode],Table1[[#This Row],[IndicatorCode]])</f>
        <v>99.756410256410263</v>
      </c>
      <c r="I1530" cm="1">
        <f t="array" ref="I1530">_xlfn.STDEV.P(IF(Table1[IndicatorCode]=Table1[[#This Row],[IndicatorCode]],Table1[value]))</f>
        <v>1.1047979755287356</v>
      </c>
      <c r="J1530">
        <f>(Table1[[#This Row],[value]] - Table1[[#This Row],[mean]]) / Table1[[#This Row],[std_dev]]</f>
        <v>0.22048351733552002</v>
      </c>
      <c r="K1530">
        <f>AVERAGEIF(Table1[CountryCode],Table1[[#This Row],[CountryCode]],Table1[z-score])</f>
        <v>-0.17256201820971051</v>
      </c>
      <c r="L1530" t="e">
        <f>VLOOKUP(Table1[[#This Row],[CountryCode]],[1]!Table1[#All],1,FALSE)</f>
        <v>#REF!</v>
      </c>
    </row>
    <row r="1531" spans="1:12" hidden="1" x14ac:dyDescent="0.3">
      <c r="A1531" t="s">
        <v>101</v>
      </c>
      <c r="B1531" t="s">
        <v>102</v>
      </c>
      <c r="C1531" t="s">
        <v>9</v>
      </c>
      <c r="D1531" t="s">
        <v>10</v>
      </c>
      <c r="E1531">
        <v>1996</v>
      </c>
      <c r="F1531" s="1">
        <v>100</v>
      </c>
      <c r="G1531">
        <v>1990</v>
      </c>
      <c r="H1531">
        <f>AVERAGEIFS(Table1[value],Table1[IndicatorCode],Table1[[#This Row],[IndicatorCode]])</f>
        <v>99.756410256410263</v>
      </c>
      <c r="I1531" cm="1">
        <f t="array" ref="I1531">_xlfn.STDEV.P(IF(Table1[IndicatorCode]=Table1[[#This Row],[IndicatorCode]],Table1[value]))</f>
        <v>1.1047979755287356</v>
      </c>
      <c r="J1531">
        <f>(Table1[[#This Row],[value]] - Table1[[#This Row],[mean]]) / Table1[[#This Row],[std_dev]]</f>
        <v>0.22048351733552002</v>
      </c>
      <c r="K1531">
        <f>AVERAGEIF(Table1[CountryCode],Table1[[#This Row],[CountryCode]],Table1[z-score])</f>
        <v>-0.17256201820971051</v>
      </c>
      <c r="L1531" t="e">
        <f>VLOOKUP(Table1[[#This Row],[CountryCode]],[1]!Table1[#All],1,FALSE)</f>
        <v>#REF!</v>
      </c>
    </row>
    <row r="1532" spans="1:12" hidden="1" x14ac:dyDescent="0.3">
      <c r="A1532" t="s">
        <v>101</v>
      </c>
      <c r="B1532" t="s">
        <v>102</v>
      </c>
      <c r="C1532" t="s">
        <v>9</v>
      </c>
      <c r="D1532" t="s">
        <v>10</v>
      </c>
      <c r="E1532">
        <v>1997</v>
      </c>
      <c r="F1532" s="1">
        <v>100</v>
      </c>
      <c r="G1532">
        <v>2000</v>
      </c>
      <c r="H1532">
        <f>AVERAGEIFS(Table1[value],Table1[IndicatorCode],Table1[[#This Row],[IndicatorCode]])</f>
        <v>99.756410256410263</v>
      </c>
      <c r="I1532" cm="1">
        <f t="array" ref="I1532">_xlfn.STDEV.P(IF(Table1[IndicatorCode]=Table1[[#This Row],[IndicatorCode]],Table1[value]))</f>
        <v>1.1047979755287356</v>
      </c>
      <c r="J1532">
        <f>(Table1[[#This Row],[value]] - Table1[[#This Row],[mean]]) / Table1[[#This Row],[std_dev]]</f>
        <v>0.22048351733552002</v>
      </c>
      <c r="K1532">
        <f>AVERAGEIF(Table1[CountryCode],Table1[[#This Row],[CountryCode]],Table1[z-score])</f>
        <v>-0.17256201820971051</v>
      </c>
      <c r="L1532" t="e">
        <f>VLOOKUP(Table1[[#This Row],[CountryCode]],[1]!Table1[#All],1,FALSE)</f>
        <v>#REF!</v>
      </c>
    </row>
    <row r="1533" spans="1:12" hidden="1" x14ac:dyDescent="0.3">
      <c r="A1533" t="s">
        <v>101</v>
      </c>
      <c r="B1533" t="s">
        <v>102</v>
      </c>
      <c r="C1533" t="s">
        <v>9</v>
      </c>
      <c r="D1533" t="s">
        <v>10</v>
      </c>
      <c r="E1533">
        <v>1998</v>
      </c>
      <c r="F1533" s="1">
        <v>100</v>
      </c>
      <c r="G1533">
        <v>2000</v>
      </c>
      <c r="H1533">
        <f>AVERAGEIFS(Table1[value],Table1[IndicatorCode],Table1[[#This Row],[IndicatorCode]])</f>
        <v>99.756410256410263</v>
      </c>
      <c r="I1533" cm="1">
        <f t="array" ref="I1533">_xlfn.STDEV.P(IF(Table1[IndicatorCode]=Table1[[#This Row],[IndicatorCode]],Table1[value]))</f>
        <v>1.1047979755287356</v>
      </c>
      <c r="J1533">
        <f>(Table1[[#This Row],[value]] - Table1[[#This Row],[mean]]) / Table1[[#This Row],[std_dev]]</f>
        <v>0.22048351733552002</v>
      </c>
      <c r="K1533">
        <f>AVERAGEIF(Table1[CountryCode],Table1[[#This Row],[CountryCode]],Table1[z-score])</f>
        <v>-0.17256201820971051</v>
      </c>
      <c r="L1533" t="e">
        <f>VLOOKUP(Table1[[#This Row],[CountryCode]],[1]!Table1[#All],1,FALSE)</f>
        <v>#REF!</v>
      </c>
    </row>
    <row r="1534" spans="1:12" hidden="1" x14ac:dyDescent="0.3">
      <c r="A1534" t="s">
        <v>101</v>
      </c>
      <c r="B1534" t="s">
        <v>102</v>
      </c>
      <c r="C1534" t="s">
        <v>9</v>
      </c>
      <c r="D1534" t="s">
        <v>10</v>
      </c>
      <c r="E1534">
        <v>1999</v>
      </c>
      <c r="F1534" s="1">
        <v>100</v>
      </c>
      <c r="G1534">
        <v>2000</v>
      </c>
      <c r="H1534">
        <f>AVERAGEIFS(Table1[value],Table1[IndicatorCode],Table1[[#This Row],[IndicatorCode]])</f>
        <v>99.756410256410263</v>
      </c>
      <c r="I1534" cm="1">
        <f t="array" ref="I1534">_xlfn.STDEV.P(IF(Table1[IndicatorCode]=Table1[[#This Row],[IndicatorCode]],Table1[value]))</f>
        <v>1.1047979755287356</v>
      </c>
      <c r="J1534">
        <f>(Table1[[#This Row],[value]] - Table1[[#This Row],[mean]]) / Table1[[#This Row],[std_dev]]</f>
        <v>0.22048351733552002</v>
      </c>
      <c r="K1534">
        <f>AVERAGEIF(Table1[CountryCode],Table1[[#This Row],[CountryCode]],Table1[z-score])</f>
        <v>-0.17256201820971051</v>
      </c>
      <c r="L1534" t="e">
        <f>VLOOKUP(Table1[[#This Row],[CountryCode]],[1]!Table1[#All],1,FALSE)</f>
        <v>#REF!</v>
      </c>
    </row>
    <row r="1535" spans="1:12" hidden="1" x14ac:dyDescent="0.3">
      <c r="A1535" t="s">
        <v>101</v>
      </c>
      <c r="B1535" t="s">
        <v>102</v>
      </c>
      <c r="C1535" t="s">
        <v>9</v>
      </c>
      <c r="D1535" t="s">
        <v>10</v>
      </c>
      <c r="E1535">
        <v>2000</v>
      </c>
      <c r="F1535" s="1">
        <v>98</v>
      </c>
      <c r="G1535">
        <v>2000</v>
      </c>
      <c r="H1535">
        <f>AVERAGEIFS(Table1[value],Table1[IndicatorCode],Table1[[#This Row],[IndicatorCode]])</f>
        <v>99.756410256410263</v>
      </c>
      <c r="I1535" cm="1">
        <f t="array" ref="I1535">_xlfn.STDEV.P(IF(Table1[IndicatorCode]=Table1[[#This Row],[IndicatorCode]],Table1[value]))</f>
        <v>1.1047979755287356</v>
      </c>
      <c r="J1535">
        <f>(Table1[[#This Row],[value]] - Table1[[#This Row],[mean]]) / Table1[[#This Row],[std_dev]]</f>
        <v>-1.5898022039456376</v>
      </c>
      <c r="K1535">
        <f>AVERAGEIF(Table1[CountryCode],Table1[[#This Row],[CountryCode]],Table1[z-score])</f>
        <v>-0.17256201820971051</v>
      </c>
      <c r="L1535" t="e">
        <f>VLOOKUP(Table1[[#This Row],[CountryCode]],[1]!Table1[#All],1,FALSE)</f>
        <v>#REF!</v>
      </c>
    </row>
    <row r="1536" spans="1:12" hidden="1" x14ac:dyDescent="0.3">
      <c r="A1536" t="s">
        <v>101</v>
      </c>
      <c r="B1536" t="s">
        <v>102</v>
      </c>
      <c r="C1536" t="s">
        <v>9</v>
      </c>
      <c r="D1536" t="s">
        <v>10</v>
      </c>
      <c r="E1536">
        <v>2001</v>
      </c>
      <c r="F1536" s="1">
        <v>98</v>
      </c>
      <c r="G1536">
        <v>2000</v>
      </c>
      <c r="H1536">
        <f>AVERAGEIFS(Table1[value],Table1[IndicatorCode],Table1[[#This Row],[IndicatorCode]])</f>
        <v>99.756410256410263</v>
      </c>
      <c r="I1536" cm="1">
        <f t="array" ref="I1536">_xlfn.STDEV.P(IF(Table1[IndicatorCode]=Table1[[#This Row],[IndicatorCode]],Table1[value]))</f>
        <v>1.1047979755287356</v>
      </c>
      <c r="J1536">
        <f>(Table1[[#This Row],[value]] - Table1[[#This Row],[mean]]) / Table1[[#This Row],[std_dev]]</f>
        <v>-1.5898022039456376</v>
      </c>
      <c r="K1536">
        <f>AVERAGEIF(Table1[CountryCode],Table1[[#This Row],[CountryCode]],Table1[z-score])</f>
        <v>-0.17256201820971051</v>
      </c>
      <c r="L1536" t="e">
        <f>VLOOKUP(Table1[[#This Row],[CountryCode]],[1]!Table1[#All],1,FALSE)</f>
        <v>#REF!</v>
      </c>
    </row>
    <row r="1537" spans="1:12" hidden="1" x14ac:dyDescent="0.3">
      <c r="A1537" t="s">
        <v>101</v>
      </c>
      <c r="B1537" t="s">
        <v>102</v>
      </c>
      <c r="C1537" t="s">
        <v>9</v>
      </c>
      <c r="D1537" t="s">
        <v>10</v>
      </c>
      <c r="E1537">
        <v>2002</v>
      </c>
      <c r="F1537" s="1">
        <v>98</v>
      </c>
      <c r="G1537">
        <v>2000</v>
      </c>
      <c r="H1537">
        <f>AVERAGEIFS(Table1[value],Table1[IndicatorCode],Table1[[#This Row],[IndicatorCode]])</f>
        <v>99.756410256410263</v>
      </c>
      <c r="I1537" cm="1">
        <f t="array" ref="I1537">_xlfn.STDEV.P(IF(Table1[IndicatorCode]=Table1[[#This Row],[IndicatorCode]],Table1[value]))</f>
        <v>1.1047979755287356</v>
      </c>
      <c r="J1537">
        <f>(Table1[[#This Row],[value]] - Table1[[#This Row],[mean]]) / Table1[[#This Row],[std_dev]]</f>
        <v>-1.5898022039456376</v>
      </c>
      <c r="K1537">
        <f>AVERAGEIF(Table1[CountryCode],Table1[[#This Row],[CountryCode]],Table1[z-score])</f>
        <v>-0.17256201820971051</v>
      </c>
      <c r="L1537" t="e">
        <f>VLOOKUP(Table1[[#This Row],[CountryCode]],[1]!Table1[#All],1,FALSE)</f>
        <v>#REF!</v>
      </c>
    </row>
    <row r="1538" spans="1:12" hidden="1" x14ac:dyDescent="0.3">
      <c r="A1538" t="s">
        <v>101</v>
      </c>
      <c r="B1538" t="s">
        <v>102</v>
      </c>
      <c r="C1538" t="s">
        <v>9</v>
      </c>
      <c r="D1538" t="s">
        <v>10</v>
      </c>
      <c r="E1538">
        <v>2003</v>
      </c>
      <c r="F1538" s="1">
        <v>98</v>
      </c>
      <c r="G1538">
        <v>2000</v>
      </c>
      <c r="H1538">
        <f>AVERAGEIFS(Table1[value],Table1[IndicatorCode],Table1[[#This Row],[IndicatorCode]])</f>
        <v>99.756410256410263</v>
      </c>
      <c r="I1538" cm="1">
        <f t="array" ref="I1538">_xlfn.STDEV.P(IF(Table1[IndicatorCode]=Table1[[#This Row],[IndicatorCode]],Table1[value]))</f>
        <v>1.1047979755287356</v>
      </c>
      <c r="J1538">
        <f>(Table1[[#This Row],[value]] - Table1[[#This Row],[mean]]) / Table1[[#This Row],[std_dev]]</f>
        <v>-1.5898022039456376</v>
      </c>
      <c r="K1538">
        <f>AVERAGEIF(Table1[CountryCode],Table1[[#This Row],[CountryCode]],Table1[z-score])</f>
        <v>-0.17256201820971051</v>
      </c>
      <c r="L1538" t="e">
        <f>VLOOKUP(Table1[[#This Row],[CountryCode]],[1]!Table1[#All],1,FALSE)</f>
        <v>#REF!</v>
      </c>
    </row>
    <row r="1539" spans="1:12" hidden="1" x14ac:dyDescent="0.3">
      <c r="A1539" t="s">
        <v>101</v>
      </c>
      <c r="B1539" t="s">
        <v>102</v>
      </c>
      <c r="C1539" t="s">
        <v>9</v>
      </c>
      <c r="D1539" t="s">
        <v>10</v>
      </c>
      <c r="E1539">
        <v>2004</v>
      </c>
      <c r="F1539" s="1">
        <v>98</v>
      </c>
      <c r="G1539">
        <v>2000</v>
      </c>
      <c r="H1539">
        <f>AVERAGEIFS(Table1[value],Table1[IndicatorCode],Table1[[#This Row],[IndicatorCode]])</f>
        <v>99.756410256410263</v>
      </c>
      <c r="I1539" cm="1">
        <f t="array" ref="I1539">_xlfn.STDEV.P(IF(Table1[IndicatorCode]=Table1[[#This Row],[IndicatorCode]],Table1[value]))</f>
        <v>1.1047979755287356</v>
      </c>
      <c r="J1539">
        <f>(Table1[[#This Row],[value]] - Table1[[#This Row],[mean]]) / Table1[[#This Row],[std_dev]]</f>
        <v>-1.5898022039456376</v>
      </c>
      <c r="K1539">
        <f>AVERAGEIF(Table1[CountryCode],Table1[[#This Row],[CountryCode]],Table1[z-score])</f>
        <v>-0.17256201820971051</v>
      </c>
      <c r="L1539" t="e">
        <f>VLOOKUP(Table1[[#This Row],[CountryCode]],[1]!Table1[#All],1,FALSE)</f>
        <v>#REF!</v>
      </c>
    </row>
    <row r="1540" spans="1:12" hidden="1" x14ac:dyDescent="0.3">
      <c r="A1540" t="s">
        <v>101</v>
      </c>
      <c r="B1540" t="s">
        <v>102</v>
      </c>
      <c r="C1540" t="s">
        <v>9</v>
      </c>
      <c r="D1540" t="s">
        <v>10</v>
      </c>
      <c r="E1540">
        <v>2005</v>
      </c>
      <c r="F1540" s="1">
        <v>98</v>
      </c>
      <c r="G1540">
        <v>2000</v>
      </c>
      <c r="H1540">
        <f>AVERAGEIFS(Table1[value],Table1[IndicatorCode],Table1[[#This Row],[IndicatorCode]])</f>
        <v>99.756410256410263</v>
      </c>
      <c r="I1540" cm="1">
        <f t="array" ref="I1540">_xlfn.STDEV.P(IF(Table1[IndicatorCode]=Table1[[#This Row],[IndicatorCode]],Table1[value]))</f>
        <v>1.1047979755287356</v>
      </c>
      <c r="J1540">
        <f>(Table1[[#This Row],[value]] - Table1[[#This Row],[mean]]) / Table1[[#This Row],[std_dev]]</f>
        <v>-1.5898022039456376</v>
      </c>
      <c r="K1540">
        <f>AVERAGEIF(Table1[CountryCode],Table1[[#This Row],[CountryCode]],Table1[z-score])</f>
        <v>-0.17256201820971051</v>
      </c>
      <c r="L1540" t="e">
        <f>VLOOKUP(Table1[[#This Row],[CountryCode]],[1]!Table1[#All],1,FALSE)</f>
        <v>#REF!</v>
      </c>
    </row>
    <row r="1541" spans="1:12" hidden="1" x14ac:dyDescent="0.3">
      <c r="A1541" t="s">
        <v>101</v>
      </c>
      <c r="B1541" t="s">
        <v>102</v>
      </c>
      <c r="C1541" t="s">
        <v>9</v>
      </c>
      <c r="D1541" t="s">
        <v>10</v>
      </c>
      <c r="E1541">
        <v>2006</v>
      </c>
      <c r="F1541" s="1">
        <v>98</v>
      </c>
      <c r="G1541">
        <v>2000</v>
      </c>
      <c r="H1541">
        <f>AVERAGEIFS(Table1[value],Table1[IndicatorCode],Table1[[#This Row],[IndicatorCode]])</f>
        <v>99.756410256410263</v>
      </c>
      <c r="I1541" cm="1">
        <f t="array" ref="I1541">_xlfn.STDEV.P(IF(Table1[IndicatorCode]=Table1[[#This Row],[IndicatorCode]],Table1[value]))</f>
        <v>1.1047979755287356</v>
      </c>
      <c r="J1541">
        <f>(Table1[[#This Row],[value]] - Table1[[#This Row],[mean]]) / Table1[[#This Row],[std_dev]]</f>
        <v>-1.5898022039456376</v>
      </c>
      <c r="K1541">
        <f>AVERAGEIF(Table1[CountryCode],Table1[[#This Row],[CountryCode]],Table1[z-score])</f>
        <v>-0.17256201820971051</v>
      </c>
      <c r="L1541" t="e">
        <f>VLOOKUP(Table1[[#This Row],[CountryCode]],[1]!Table1[#All],1,FALSE)</f>
        <v>#REF!</v>
      </c>
    </row>
    <row r="1542" spans="1:12" hidden="1" x14ac:dyDescent="0.3">
      <c r="A1542" t="s">
        <v>101</v>
      </c>
      <c r="B1542" t="s">
        <v>102</v>
      </c>
      <c r="C1542" t="s">
        <v>9</v>
      </c>
      <c r="D1542" t="s">
        <v>10</v>
      </c>
      <c r="E1542">
        <v>2007</v>
      </c>
      <c r="F1542" s="1">
        <v>98</v>
      </c>
      <c r="G1542">
        <v>2010</v>
      </c>
      <c r="H1542">
        <f>AVERAGEIFS(Table1[value],Table1[IndicatorCode],Table1[[#This Row],[IndicatorCode]])</f>
        <v>99.756410256410263</v>
      </c>
      <c r="I1542" cm="1">
        <f t="array" ref="I1542">_xlfn.STDEV.P(IF(Table1[IndicatorCode]=Table1[[#This Row],[IndicatorCode]],Table1[value]))</f>
        <v>1.1047979755287356</v>
      </c>
      <c r="J1542">
        <f>(Table1[[#This Row],[value]] - Table1[[#This Row],[mean]]) / Table1[[#This Row],[std_dev]]</f>
        <v>-1.5898022039456376</v>
      </c>
      <c r="K1542">
        <f>AVERAGEIF(Table1[CountryCode],Table1[[#This Row],[CountryCode]],Table1[z-score])</f>
        <v>-0.17256201820971051</v>
      </c>
      <c r="L1542" t="e">
        <f>VLOOKUP(Table1[[#This Row],[CountryCode]],[1]!Table1[#All],1,FALSE)</f>
        <v>#REF!</v>
      </c>
    </row>
    <row r="1543" spans="1:12" hidden="1" x14ac:dyDescent="0.3">
      <c r="A1543" t="s">
        <v>101</v>
      </c>
      <c r="B1543" t="s">
        <v>102</v>
      </c>
      <c r="C1543" t="s">
        <v>9</v>
      </c>
      <c r="D1543" t="s">
        <v>10</v>
      </c>
      <c r="E1543">
        <v>2008</v>
      </c>
      <c r="F1543" s="1">
        <v>98</v>
      </c>
      <c r="G1543">
        <v>2010</v>
      </c>
      <c r="H1543">
        <f>AVERAGEIFS(Table1[value],Table1[IndicatorCode],Table1[[#This Row],[IndicatorCode]])</f>
        <v>99.756410256410263</v>
      </c>
      <c r="I1543" cm="1">
        <f t="array" ref="I1543">_xlfn.STDEV.P(IF(Table1[IndicatorCode]=Table1[[#This Row],[IndicatorCode]],Table1[value]))</f>
        <v>1.1047979755287356</v>
      </c>
      <c r="J1543">
        <f>(Table1[[#This Row],[value]] - Table1[[#This Row],[mean]]) / Table1[[#This Row],[std_dev]]</f>
        <v>-1.5898022039456376</v>
      </c>
      <c r="K1543">
        <f>AVERAGEIF(Table1[CountryCode],Table1[[#This Row],[CountryCode]],Table1[z-score])</f>
        <v>-0.17256201820971051</v>
      </c>
      <c r="L1543" t="e">
        <f>VLOOKUP(Table1[[#This Row],[CountryCode]],[1]!Table1[#All],1,FALSE)</f>
        <v>#REF!</v>
      </c>
    </row>
    <row r="1544" spans="1:12" hidden="1" x14ac:dyDescent="0.3">
      <c r="A1544" t="s">
        <v>101</v>
      </c>
      <c r="B1544" t="s">
        <v>102</v>
      </c>
      <c r="C1544" t="s">
        <v>9</v>
      </c>
      <c r="D1544" t="s">
        <v>10</v>
      </c>
      <c r="E1544">
        <v>2009</v>
      </c>
      <c r="F1544" s="1">
        <v>98</v>
      </c>
      <c r="G1544">
        <v>2010</v>
      </c>
      <c r="H1544">
        <f>AVERAGEIFS(Table1[value],Table1[IndicatorCode],Table1[[#This Row],[IndicatorCode]])</f>
        <v>99.756410256410263</v>
      </c>
      <c r="I1544" cm="1">
        <f t="array" ref="I1544">_xlfn.STDEV.P(IF(Table1[IndicatorCode]=Table1[[#This Row],[IndicatorCode]],Table1[value]))</f>
        <v>1.1047979755287356</v>
      </c>
      <c r="J1544">
        <f>(Table1[[#This Row],[value]] - Table1[[#This Row],[mean]]) / Table1[[#This Row],[std_dev]]</f>
        <v>-1.5898022039456376</v>
      </c>
      <c r="K1544">
        <f>AVERAGEIF(Table1[CountryCode],Table1[[#This Row],[CountryCode]],Table1[z-score])</f>
        <v>-0.17256201820971051</v>
      </c>
      <c r="L1544" t="e">
        <f>VLOOKUP(Table1[[#This Row],[CountryCode]],[1]!Table1[#All],1,FALSE)</f>
        <v>#REF!</v>
      </c>
    </row>
    <row r="1545" spans="1:12" hidden="1" x14ac:dyDescent="0.3">
      <c r="A1545" t="s">
        <v>101</v>
      </c>
      <c r="B1545" t="s">
        <v>102</v>
      </c>
      <c r="C1545" t="s">
        <v>9</v>
      </c>
      <c r="D1545" t="s">
        <v>10</v>
      </c>
      <c r="E1545">
        <v>2010</v>
      </c>
      <c r="F1545" s="1">
        <v>99</v>
      </c>
      <c r="G1545">
        <v>2010</v>
      </c>
      <c r="H1545">
        <f>AVERAGEIFS(Table1[value],Table1[IndicatorCode],Table1[[#This Row],[IndicatorCode]])</f>
        <v>99.756410256410263</v>
      </c>
      <c r="I1545" cm="1">
        <f t="array" ref="I1545">_xlfn.STDEV.P(IF(Table1[IndicatorCode]=Table1[[#This Row],[IndicatorCode]],Table1[value]))</f>
        <v>1.1047979755287356</v>
      </c>
      <c r="J1545">
        <f>(Table1[[#This Row],[value]] - Table1[[#This Row],[mean]]) / Table1[[#This Row],[std_dev]]</f>
        <v>-0.68465934330505884</v>
      </c>
      <c r="K1545">
        <f>AVERAGEIF(Table1[CountryCode],Table1[[#This Row],[CountryCode]],Table1[z-score])</f>
        <v>-0.17256201820971051</v>
      </c>
      <c r="L1545" t="e">
        <f>VLOOKUP(Table1[[#This Row],[CountryCode]],[1]!Table1[#All],1,FALSE)</f>
        <v>#REF!</v>
      </c>
    </row>
    <row r="1546" spans="1:12" hidden="1" x14ac:dyDescent="0.3">
      <c r="A1546" t="s">
        <v>101</v>
      </c>
      <c r="B1546" t="s">
        <v>102</v>
      </c>
      <c r="C1546" t="s">
        <v>9</v>
      </c>
      <c r="D1546" t="s">
        <v>10</v>
      </c>
      <c r="E1546">
        <v>2011</v>
      </c>
      <c r="F1546" s="1">
        <v>99</v>
      </c>
      <c r="G1546">
        <v>2010</v>
      </c>
      <c r="H1546">
        <f>AVERAGEIFS(Table1[value],Table1[IndicatorCode],Table1[[#This Row],[IndicatorCode]])</f>
        <v>99.756410256410263</v>
      </c>
      <c r="I1546" cm="1">
        <f t="array" ref="I1546">_xlfn.STDEV.P(IF(Table1[IndicatorCode]=Table1[[#This Row],[IndicatorCode]],Table1[value]))</f>
        <v>1.1047979755287356</v>
      </c>
      <c r="J1546">
        <f>(Table1[[#This Row],[value]] - Table1[[#This Row],[mean]]) / Table1[[#This Row],[std_dev]]</f>
        <v>-0.68465934330505884</v>
      </c>
      <c r="K1546">
        <f>AVERAGEIF(Table1[CountryCode],Table1[[#This Row],[CountryCode]],Table1[z-score])</f>
        <v>-0.17256201820971051</v>
      </c>
      <c r="L1546" t="e">
        <f>VLOOKUP(Table1[[#This Row],[CountryCode]],[1]!Table1[#All],1,FALSE)</f>
        <v>#REF!</v>
      </c>
    </row>
    <row r="1547" spans="1:12" hidden="1" x14ac:dyDescent="0.3">
      <c r="A1547" t="s">
        <v>101</v>
      </c>
      <c r="B1547" t="s">
        <v>102</v>
      </c>
      <c r="C1547" t="s">
        <v>9</v>
      </c>
      <c r="D1547" t="s">
        <v>10</v>
      </c>
      <c r="E1547">
        <v>2012</v>
      </c>
      <c r="F1547" s="1">
        <v>100</v>
      </c>
      <c r="G1547">
        <v>2010</v>
      </c>
      <c r="H1547">
        <f>AVERAGEIFS(Table1[value],Table1[IndicatorCode],Table1[[#This Row],[IndicatorCode]])</f>
        <v>99.756410256410263</v>
      </c>
      <c r="I1547" cm="1">
        <f t="array" ref="I1547">_xlfn.STDEV.P(IF(Table1[IndicatorCode]=Table1[[#This Row],[IndicatorCode]],Table1[value]))</f>
        <v>1.1047979755287356</v>
      </c>
      <c r="J1547">
        <f>(Table1[[#This Row],[value]] - Table1[[#This Row],[mean]]) / Table1[[#This Row],[std_dev]]</f>
        <v>0.22048351733552002</v>
      </c>
      <c r="K1547">
        <f>AVERAGEIF(Table1[CountryCode],Table1[[#This Row],[CountryCode]],Table1[z-score])</f>
        <v>-0.17256201820971051</v>
      </c>
      <c r="L1547" t="e">
        <f>VLOOKUP(Table1[[#This Row],[CountryCode]],[1]!Table1[#All],1,FALSE)</f>
        <v>#REF!</v>
      </c>
    </row>
    <row r="1548" spans="1:12" hidden="1" x14ac:dyDescent="0.3">
      <c r="A1548" t="s">
        <v>101</v>
      </c>
      <c r="B1548" t="s">
        <v>102</v>
      </c>
      <c r="C1548" t="s">
        <v>9</v>
      </c>
      <c r="D1548" t="s">
        <v>10</v>
      </c>
      <c r="E1548">
        <v>2013</v>
      </c>
      <c r="F1548" s="1">
        <v>100</v>
      </c>
      <c r="G1548">
        <v>2010</v>
      </c>
      <c r="H1548">
        <f>AVERAGEIFS(Table1[value],Table1[IndicatorCode],Table1[[#This Row],[IndicatorCode]])</f>
        <v>99.756410256410263</v>
      </c>
      <c r="I1548" cm="1">
        <f t="array" ref="I1548">_xlfn.STDEV.P(IF(Table1[IndicatorCode]=Table1[[#This Row],[IndicatorCode]],Table1[value]))</f>
        <v>1.1047979755287356</v>
      </c>
      <c r="J1548">
        <f>(Table1[[#This Row],[value]] - Table1[[#This Row],[mean]]) / Table1[[#This Row],[std_dev]]</f>
        <v>0.22048351733552002</v>
      </c>
      <c r="K1548">
        <f>AVERAGEIF(Table1[CountryCode],Table1[[#This Row],[CountryCode]],Table1[z-score])</f>
        <v>-0.17256201820971051</v>
      </c>
      <c r="L1548" t="e">
        <f>VLOOKUP(Table1[[#This Row],[CountryCode]],[1]!Table1[#All],1,FALSE)</f>
        <v>#REF!</v>
      </c>
    </row>
    <row r="1549" spans="1:12" hidden="1" x14ac:dyDescent="0.3">
      <c r="A1549" t="s">
        <v>101</v>
      </c>
      <c r="B1549" t="s">
        <v>102</v>
      </c>
      <c r="C1549" t="s">
        <v>9</v>
      </c>
      <c r="D1549" t="s">
        <v>10</v>
      </c>
      <c r="E1549">
        <v>2014</v>
      </c>
      <c r="F1549" s="1">
        <v>100</v>
      </c>
      <c r="G1549">
        <v>2010</v>
      </c>
      <c r="H1549">
        <f>AVERAGEIFS(Table1[value],Table1[IndicatorCode],Table1[[#This Row],[IndicatorCode]])</f>
        <v>99.756410256410263</v>
      </c>
      <c r="I1549" cm="1">
        <f t="array" ref="I1549">_xlfn.STDEV.P(IF(Table1[IndicatorCode]=Table1[[#This Row],[IndicatorCode]],Table1[value]))</f>
        <v>1.1047979755287356</v>
      </c>
      <c r="J1549">
        <f>(Table1[[#This Row],[value]] - Table1[[#This Row],[mean]]) / Table1[[#This Row],[std_dev]]</f>
        <v>0.22048351733552002</v>
      </c>
      <c r="K1549">
        <f>AVERAGEIF(Table1[CountryCode],Table1[[#This Row],[CountryCode]],Table1[z-score])</f>
        <v>-0.17256201820971051</v>
      </c>
      <c r="L1549" t="e">
        <f>VLOOKUP(Table1[[#This Row],[CountryCode]],[1]!Table1[#All],1,FALSE)</f>
        <v>#REF!</v>
      </c>
    </row>
    <row r="1550" spans="1:12" hidden="1" x14ac:dyDescent="0.3">
      <c r="A1550" t="s">
        <v>101</v>
      </c>
      <c r="B1550" t="s">
        <v>102</v>
      </c>
      <c r="C1550" t="s">
        <v>9</v>
      </c>
      <c r="D1550" t="s">
        <v>10</v>
      </c>
      <c r="E1550">
        <v>2015</v>
      </c>
      <c r="F1550" s="1">
        <v>96</v>
      </c>
      <c r="G1550">
        <v>2010</v>
      </c>
      <c r="H1550">
        <f>AVERAGEIFS(Table1[value],Table1[IndicatorCode],Table1[[#This Row],[IndicatorCode]])</f>
        <v>99.756410256410263</v>
      </c>
      <c r="I1550" cm="1">
        <f t="array" ref="I1550">_xlfn.STDEV.P(IF(Table1[IndicatorCode]=Table1[[#This Row],[IndicatorCode]],Table1[value]))</f>
        <v>1.1047979755287356</v>
      </c>
      <c r="J1550">
        <f>(Table1[[#This Row],[value]] - Table1[[#This Row],[mean]]) / Table1[[#This Row],[std_dev]]</f>
        <v>-3.4000879252267957</v>
      </c>
      <c r="K1550">
        <f>AVERAGEIF(Table1[CountryCode],Table1[[#This Row],[CountryCode]],Table1[z-score])</f>
        <v>-0.17256201820971051</v>
      </c>
      <c r="L1550" t="e">
        <f>VLOOKUP(Table1[[#This Row],[CountryCode]],[1]!Table1[#All],1,FALSE)</f>
        <v>#REF!</v>
      </c>
    </row>
    <row r="1551" spans="1:12" hidden="1" x14ac:dyDescent="0.3">
      <c r="A1551" t="s">
        <v>101</v>
      </c>
      <c r="B1551" t="s">
        <v>102</v>
      </c>
      <c r="C1551" t="s">
        <v>9</v>
      </c>
      <c r="D1551" t="s">
        <v>10</v>
      </c>
      <c r="E1551">
        <v>2016</v>
      </c>
      <c r="F1551" s="1">
        <v>99</v>
      </c>
      <c r="G1551">
        <v>2010</v>
      </c>
      <c r="H1551">
        <f>AVERAGEIFS(Table1[value],Table1[IndicatorCode],Table1[[#This Row],[IndicatorCode]])</f>
        <v>99.756410256410263</v>
      </c>
      <c r="I1551" cm="1">
        <f t="array" ref="I1551">_xlfn.STDEV.P(IF(Table1[IndicatorCode]=Table1[[#This Row],[IndicatorCode]],Table1[value]))</f>
        <v>1.1047979755287356</v>
      </c>
      <c r="J1551">
        <f>(Table1[[#This Row],[value]] - Table1[[#This Row],[mean]]) / Table1[[#This Row],[std_dev]]</f>
        <v>-0.68465934330505884</v>
      </c>
      <c r="K1551">
        <f>AVERAGEIF(Table1[CountryCode],Table1[[#This Row],[CountryCode]],Table1[z-score])</f>
        <v>-0.17256201820971051</v>
      </c>
      <c r="L1551" t="e">
        <f>VLOOKUP(Table1[[#This Row],[CountryCode]],[1]!Table1[#All],1,FALSE)</f>
        <v>#REF!</v>
      </c>
    </row>
    <row r="1552" spans="1:12" hidden="1" x14ac:dyDescent="0.3">
      <c r="A1552" t="s">
        <v>101</v>
      </c>
      <c r="B1552" t="s">
        <v>102</v>
      </c>
      <c r="C1552" t="s">
        <v>9</v>
      </c>
      <c r="D1552" t="s">
        <v>10</v>
      </c>
      <c r="E1552">
        <v>2017</v>
      </c>
      <c r="F1552" s="1">
        <v>100</v>
      </c>
      <c r="G1552">
        <v>2020</v>
      </c>
      <c r="H1552">
        <f>AVERAGEIFS(Table1[value],Table1[IndicatorCode],Table1[[#This Row],[IndicatorCode]])</f>
        <v>99.756410256410263</v>
      </c>
      <c r="I1552" cm="1">
        <f t="array" ref="I1552">_xlfn.STDEV.P(IF(Table1[IndicatorCode]=Table1[[#This Row],[IndicatorCode]],Table1[value]))</f>
        <v>1.1047979755287356</v>
      </c>
      <c r="J1552">
        <f>(Table1[[#This Row],[value]] - Table1[[#This Row],[mean]]) / Table1[[#This Row],[std_dev]]</f>
        <v>0.22048351733552002</v>
      </c>
      <c r="K1552">
        <f>AVERAGEIF(Table1[CountryCode],Table1[[#This Row],[CountryCode]],Table1[z-score])</f>
        <v>-0.17256201820971051</v>
      </c>
      <c r="L1552" t="e">
        <f>VLOOKUP(Table1[[#This Row],[CountryCode]],[1]!Table1[#All],1,FALSE)</f>
        <v>#REF!</v>
      </c>
    </row>
    <row r="1553" spans="1:12" hidden="1" x14ac:dyDescent="0.3">
      <c r="A1553" t="s">
        <v>101</v>
      </c>
      <c r="B1553" t="s">
        <v>102</v>
      </c>
      <c r="C1553" t="s">
        <v>9</v>
      </c>
      <c r="D1553" t="s">
        <v>10</v>
      </c>
      <c r="E1553">
        <v>2018</v>
      </c>
      <c r="F1553" s="1">
        <v>100</v>
      </c>
      <c r="G1553">
        <v>2020</v>
      </c>
      <c r="H1553">
        <f>AVERAGEIFS(Table1[value],Table1[IndicatorCode],Table1[[#This Row],[IndicatorCode]])</f>
        <v>99.756410256410263</v>
      </c>
      <c r="I1553" cm="1">
        <f t="array" ref="I1553">_xlfn.STDEV.P(IF(Table1[IndicatorCode]=Table1[[#This Row],[IndicatorCode]],Table1[value]))</f>
        <v>1.1047979755287356</v>
      </c>
      <c r="J1553">
        <f>(Table1[[#This Row],[value]] - Table1[[#This Row],[mean]]) / Table1[[#This Row],[std_dev]]</f>
        <v>0.22048351733552002</v>
      </c>
      <c r="K1553">
        <f>AVERAGEIF(Table1[CountryCode],Table1[[#This Row],[CountryCode]],Table1[z-score])</f>
        <v>-0.17256201820971051</v>
      </c>
      <c r="L1553" t="e">
        <f>VLOOKUP(Table1[[#This Row],[CountryCode]],[1]!Table1[#All],1,FALSE)</f>
        <v>#REF!</v>
      </c>
    </row>
    <row r="1554" spans="1:12" hidden="1" x14ac:dyDescent="0.3">
      <c r="A1554" t="s">
        <v>101</v>
      </c>
      <c r="B1554" t="s">
        <v>102</v>
      </c>
      <c r="C1554" t="s">
        <v>9</v>
      </c>
      <c r="D1554" t="s">
        <v>10</v>
      </c>
      <c r="E1554">
        <v>2019</v>
      </c>
      <c r="F1554" s="1">
        <v>100</v>
      </c>
      <c r="G1554">
        <v>2020</v>
      </c>
      <c r="H1554">
        <f>AVERAGEIFS(Table1[value],Table1[IndicatorCode],Table1[[#This Row],[IndicatorCode]])</f>
        <v>99.756410256410263</v>
      </c>
      <c r="I1554" cm="1">
        <f t="array" ref="I1554">_xlfn.STDEV.P(IF(Table1[IndicatorCode]=Table1[[#This Row],[IndicatorCode]],Table1[value]))</f>
        <v>1.1047979755287356</v>
      </c>
      <c r="J1554">
        <f>(Table1[[#This Row],[value]] - Table1[[#This Row],[mean]]) / Table1[[#This Row],[std_dev]]</f>
        <v>0.22048351733552002</v>
      </c>
      <c r="K1554">
        <f>AVERAGEIF(Table1[CountryCode],Table1[[#This Row],[CountryCode]],Table1[z-score])</f>
        <v>-0.17256201820971051</v>
      </c>
      <c r="L1554" t="e">
        <f>VLOOKUP(Table1[[#This Row],[CountryCode]],[1]!Table1[#All],1,FALSE)</f>
        <v>#REF!</v>
      </c>
    </row>
    <row r="1555" spans="1:12" x14ac:dyDescent="0.3">
      <c r="A1555" t="s">
        <v>101</v>
      </c>
      <c r="B1555" t="s">
        <v>102</v>
      </c>
      <c r="C1555" t="s">
        <v>9</v>
      </c>
      <c r="D1555" t="s">
        <v>10</v>
      </c>
      <c r="E1555">
        <v>2020</v>
      </c>
      <c r="F1555" s="1">
        <v>100</v>
      </c>
      <c r="G1555">
        <v>2020</v>
      </c>
      <c r="H1555">
        <f>AVERAGEIFS(Table1[value],Table1[IndicatorCode],Table1[[#This Row],[IndicatorCode]])</f>
        <v>99.756410256410263</v>
      </c>
      <c r="I1555" cm="1">
        <f t="array" ref="I1555">_xlfn.STDEV.P(IF(Table1[IndicatorCode]=Table1[[#This Row],[IndicatorCode]],Table1[value]))</f>
        <v>1.1047979755287356</v>
      </c>
      <c r="J1555">
        <f>(Table1[[#This Row],[value]] - Table1[[#This Row],[mean]]) / Table1[[#This Row],[std_dev]]</f>
        <v>0.22048351733552002</v>
      </c>
      <c r="K1555">
        <f>AVERAGEIF(Table1[CountryCode],Table1[[#This Row],[CountryCode]],Table1[z-score])</f>
        <v>-0.17256201820971051</v>
      </c>
    </row>
    <row r="1556" spans="1:12" hidden="1" x14ac:dyDescent="0.3">
      <c r="A1556" t="s">
        <v>101</v>
      </c>
      <c r="B1556" t="s">
        <v>102</v>
      </c>
      <c r="C1556" t="s">
        <v>9</v>
      </c>
      <c r="D1556" t="s">
        <v>10</v>
      </c>
      <c r="E1556">
        <v>2021</v>
      </c>
      <c r="F1556" s="1">
        <v>100</v>
      </c>
      <c r="G1556">
        <v>1990</v>
      </c>
      <c r="H1556">
        <f>AVERAGEIFS(Table1[value],Table1[IndicatorCode],Table1[[#This Row],[IndicatorCode]])</f>
        <v>99.756410256410263</v>
      </c>
      <c r="I1556" cm="1">
        <f t="array" ref="I1556">_xlfn.STDEV.P(IF(Table1[IndicatorCode]=Table1[[#This Row],[IndicatorCode]],Table1[value]))</f>
        <v>1.1047979755287356</v>
      </c>
      <c r="J1556">
        <f>(Table1[[#This Row],[value]] - Table1[[#This Row],[mean]]) / Table1[[#This Row],[std_dev]]</f>
        <v>0.22048351733552002</v>
      </c>
      <c r="K1556">
        <f>AVERAGEIF(Table1[CountryCode],Table1[[#This Row],[CountryCode]],Table1[z-score])</f>
        <v>-0.17256201820971051</v>
      </c>
      <c r="L1556" t="e">
        <f>VLOOKUP(Table1[[#This Row],[CountryCode]],[1]!Table1[#All],1,FALSE)</f>
        <v>#REF!</v>
      </c>
    </row>
    <row r="1557" spans="1:12" hidden="1" x14ac:dyDescent="0.3">
      <c r="A1557" t="s">
        <v>101</v>
      </c>
      <c r="B1557" t="s">
        <v>102</v>
      </c>
      <c r="C1557" t="s">
        <v>9</v>
      </c>
      <c r="D1557" t="s">
        <v>10</v>
      </c>
      <c r="E1557">
        <v>2022</v>
      </c>
      <c r="F1557" s="1">
        <v>100</v>
      </c>
      <c r="G1557">
        <v>1990</v>
      </c>
      <c r="H1557">
        <f>AVERAGEIFS(Table1[value],Table1[IndicatorCode],Table1[[#This Row],[IndicatorCode]])</f>
        <v>99.756410256410263</v>
      </c>
      <c r="I1557" cm="1">
        <f t="array" ref="I1557">_xlfn.STDEV.P(IF(Table1[IndicatorCode]=Table1[[#This Row],[IndicatorCode]],Table1[value]))</f>
        <v>1.1047979755287356</v>
      </c>
      <c r="J1557">
        <f>(Table1[[#This Row],[value]] - Table1[[#This Row],[mean]]) / Table1[[#This Row],[std_dev]]</f>
        <v>0.22048351733552002</v>
      </c>
      <c r="K1557">
        <f>AVERAGEIF(Table1[CountryCode],Table1[[#This Row],[CountryCode]],Table1[z-score])</f>
        <v>-0.17256201820971051</v>
      </c>
      <c r="L1557" t="e">
        <f>VLOOKUP(Table1[[#This Row],[CountryCode]],[1]!Table1[#All],1,FALSE)</f>
        <v>#REF!</v>
      </c>
    </row>
    <row r="1558" spans="1:12" hidden="1" x14ac:dyDescent="0.3">
      <c r="A1558" t="s">
        <v>101</v>
      </c>
      <c r="B1558" t="s">
        <v>102</v>
      </c>
      <c r="C1558" t="s">
        <v>9</v>
      </c>
      <c r="D1558" t="s">
        <v>10</v>
      </c>
      <c r="E1558">
        <v>2023</v>
      </c>
      <c r="F1558" s="1">
        <v>100</v>
      </c>
      <c r="G1558">
        <v>1990</v>
      </c>
      <c r="H1558">
        <f>AVERAGEIFS(Table1[value],Table1[IndicatorCode],Table1[[#This Row],[IndicatorCode]])</f>
        <v>99.756410256410263</v>
      </c>
      <c r="I1558" cm="1">
        <f t="array" ref="I1558">_xlfn.STDEV.P(IF(Table1[IndicatorCode]=Table1[[#This Row],[IndicatorCode]],Table1[value]))</f>
        <v>1.1047979755287356</v>
      </c>
      <c r="J1558">
        <f>(Table1[[#This Row],[value]] - Table1[[#This Row],[mean]]) / Table1[[#This Row],[std_dev]]</f>
        <v>0.22048351733552002</v>
      </c>
      <c r="K1558">
        <f>AVERAGEIF(Table1[CountryCode],Table1[[#This Row],[CountryCode]],Table1[z-score])</f>
        <v>-0.17256201820971051</v>
      </c>
      <c r="L1558" t="e">
        <f>VLOOKUP(Table1[[#This Row],[CountryCode]],[1]!Table1[#All],1,FALSE)</f>
        <v>#REF!</v>
      </c>
    </row>
    <row r="1559" spans="1:12" hidden="1" x14ac:dyDescent="0.3">
      <c r="A1559" t="s">
        <v>103</v>
      </c>
      <c r="B1559" t="s">
        <v>104</v>
      </c>
      <c r="C1559" t="s">
        <v>9</v>
      </c>
      <c r="D1559" t="s">
        <v>10</v>
      </c>
      <c r="E1559">
        <v>1990</v>
      </c>
      <c r="F1559" s="1">
        <v>100</v>
      </c>
      <c r="G1559">
        <v>1990</v>
      </c>
      <c r="H1559">
        <f>AVERAGEIFS(Table1[value],Table1[IndicatorCode],Table1[[#This Row],[IndicatorCode]])</f>
        <v>99.756410256410263</v>
      </c>
      <c r="I1559" cm="1">
        <f t="array" ref="I1559">_xlfn.STDEV.P(IF(Table1[IndicatorCode]=Table1[[#This Row],[IndicatorCode]],Table1[value]))</f>
        <v>1.1047979755287356</v>
      </c>
      <c r="J1559">
        <f>(Table1[[#This Row],[value]] - Table1[[#This Row],[mean]]) / Table1[[#This Row],[std_dev]]</f>
        <v>0.22048351733552002</v>
      </c>
      <c r="K1559">
        <f>AVERAGEIF(Table1[CountryCode],Table1[[#This Row],[CountryCode]],Table1[z-score])</f>
        <v>0.77730634815106903</v>
      </c>
      <c r="L1559" t="e">
        <f>VLOOKUP(Table1[[#This Row],[CountryCode]],[1]!Table1[#All],1,FALSE)</f>
        <v>#REF!</v>
      </c>
    </row>
    <row r="1560" spans="1:12" hidden="1" x14ac:dyDescent="0.3">
      <c r="A1560" t="s">
        <v>103</v>
      </c>
      <c r="B1560" t="s">
        <v>104</v>
      </c>
      <c r="C1560" t="s">
        <v>9</v>
      </c>
      <c r="D1560" t="s">
        <v>10</v>
      </c>
      <c r="E1560">
        <v>1991</v>
      </c>
      <c r="F1560" s="1">
        <v>100</v>
      </c>
      <c r="G1560">
        <v>1990</v>
      </c>
      <c r="H1560">
        <f>AVERAGEIFS(Table1[value],Table1[IndicatorCode],Table1[[#This Row],[IndicatorCode]])</f>
        <v>99.756410256410263</v>
      </c>
      <c r="I1560" cm="1">
        <f t="array" ref="I1560">_xlfn.STDEV.P(IF(Table1[IndicatorCode]=Table1[[#This Row],[IndicatorCode]],Table1[value]))</f>
        <v>1.1047979755287356</v>
      </c>
      <c r="J1560">
        <f>(Table1[[#This Row],[value]] - Table1[[#This Row],[mean]]) / Table1[[#This Row],[std_dev]]</f>
        <v>0.22048351733552002</v>
      </c>
      <c r="K1560">
        <f>AVERAGEIF(Table1[CountryCode],Table1[[#This Row],[CountryCode]],Table1[z-score])</f>
        <v>0.77730634815106903</v>
      </c>
      <c r="L1560" t="e">
        <f>VLOOKUP(Table1[[#This Row],[CountryCode]],[1]!Table1[#All],1,FALSE)</f>
        <v>#REF!</v>
      </c>
    </row>
    <row r="1561" spans="1:12" hidden="1" x14ac:dyDescent="0.3">
      <c r="A1561" t="s">
        <v>103</v>
      </c>
      <c r="B1561" t="s">
        <v>104</v>
      </c>
      <c r="C1561" t="s">
        <v>9</v>
      </c>
      <c r="D1561" t="s">
        <v>10</v>
      </c>
      <c r="E1561">
        <v>1992</v>
      </c>
      <c r="F1561" s="1">
        <v>100</v>
      </c>
      <c r="G1561">
        <v>1990</v>
      </c>
      <c r="H1561">
        <f>AVERAGEIFS(Table1[value],Table1[IndicatorCode],Table1[[#This Row],[IndicatorCode]])</f>
        <v>99.756410256410263</v>
      </c>
      <c r="I1561" cm="1">
        <f t="array" ref="I1561">_xlfn.STDEV.P(IF(Table1[IndicatorCode]=Table1[[#This Row],[IndicatorCode]],Table1[value]))</f>
        <v>1.1047979755287356</v>
      </c>
      <c r="J1561">
        <f>(Table1[[#This Row],[value]] - Table1[[#This Row],[mean]]) / Table1[[#This Row],[std_dev]]</f>
        <v>0.22048351733552002</v>
      </c>
      <c r="K1561">
        <f>AVERAGEIF(Table1[CountryCode],Table1[[#This Row],[CountryCode]],Table1[z-score])</f>
        <v>0.77730634815106903</v>
      </c>
      <c r="L1561" t="e">
        <f>VLOOKUP(Table1[[#This Row],[CountryCode]],[1]!Table1[#All],1,FALSE)</f>
        <v>#REF!</v>
      </c>
    </row>
    <row r="1562" spans="1:12" hidden="1" x14ac:dyDescent="0.3">
      <c r="A1562" t="s">
        <v>103</v>
      </c>
      <c r="B1562" t="s">
        <v>104</v>
      </c>
      <c r="C1562" t="s">
        <v>9</v>
      </c>
      <c r="D1562" t="s">
        <v>10</v>
      </c>
      <c r="E1562">
        <v>1993</v>
      </c>
      <c r="F1562" s="1">
        <v>100</v>
      </c>
      <c r="G1562">
        <v>1990</v>
      </c>
      <c r="H1562">
        <f>AVERAGEIFS(Table1[value],Table1[IndicatorCode],Table1[[#This Row],[IndicatorCode]])</f>
        <v>99.756410256410263</v>
      </c>
      <c r="I1562" cm="1">
        <f t="array" ref="I1562">_xlfn.STDEV.P(IF(Table1[IndicatorCode]=Table1[[#This Row],[IndicatorCode]],Table1[value]))</f>
        <v>1.1047979755287356</v>
      </c>
      <c r="J1562">
        <f>(Table1[[#This Row],[value]] - Table1[[#This Row],[mean]]) / Table1[[#This Row],[std_dev]]</f>
        <v>0.22048351733552002</v>
      </c>
      <c r="K1562">
        <f>AVERAGEIF(Table1[CountryCode],Table1[[#This Row],[CountryCode]],Table1[z-score])</f>
        <v>0.77730634815106903</v>
      </c>
      <c r="L1562" t="e">
        <f>VLOOKUP(Table1[[#This Row],[CountryCode]],[1]!Table1[#All],1,FALSE)</f>
        <v>#REF!</v>
      </c>
    </row>
    <row r="1563" spans="1:12" hidden="1" x14ac:dyDescent="0.3">
      <c r="A1563" t="s">
        <v>103</v>
      </c>
      <c r="B1563" t="s">
        <v>104</v>
      </c>
      <c r="C1563" t="s">
        <v>9</v>
      </c>
      <c r="D1563" t="s">
        <v>10</v>
      </c>
      <c r="E1563">
        <v>1994</v>
      </c>
      <c r="F1563" s="1">
        <v>100</v>
      </c>
      <c r="G1563">
        <v>1990</v>
      </c>
      <c r="H1563">
        <f>AVERAGEIFS(Table1[value],Table1[IndicatorCode],Table1[[#This Row],[IndicatorCode]])</f>
        <v>99.756410256410263</v>
      </c>
      <c r="I1563" cm="1">
        <f t="array" ref="I1563">_xlfn.STDEV.P(IF(Table1[IndicatorCode]=Table1[[#This Row],[IndicatorCode]],Table1[value]))</f>
        <v>1.1047979755287356</v>
      </c>
      <c r="J1563">
        <f>(Table1[[#This Row],[value]] - Table1[[#This Row],[mean]]) / Table1[[#This Row],[std_dev]]</f>
        <v>0.22048351733552002</v>
      </c>
      <c r="K1563">
        <f>AVERAGEIF(Table1[CountryCode],Table1[[#This Row],[CountryCode]],Table1[z-score])</f>
        <v>0.77730634815106903</v>
      </c>
      <c r="L1563" t="e">
        <f>VLOOKUP(Table1[[#This Row],[CountryCode]],[1]!Table1[#All],1,FALSE)</f>
        <v>#REF!</v>
      </c>
    </row>
    <row r="1564" spans="1:12" hidden="1" x14ac:dyDescent="0.3">
      <c r="A1564" t="s">
        <v>103</v>
      </c>
      <c r="B1564" t="s">
        <v>104</v>
      </c>
      <c r="C1564" t="s">
        <v>9</v>
      </c>
      <c r="D1564" t="s">
        <v>10</v>
      </c>
      <c r="E1564">
        <v>1995</v>
      </c>
      <c r="F1564" s="1">
        <v>100</v>
      </c>
      <c r="G1564">
        <v>1990</v>
      </c>
      <c r="H1564">
        <f>AVERAGEIFS(Table1[value],Table1[IndicatorCode],Table1[[#This Row],[IndicatorCode]])</f>
        <v>99.756410256410263</v>
      </c>
      <c r="I1564" cm="1">
        <f t="array" ref="I1564">_xlfn.STDEV.P(IF(Table1[IndicatorCode]=Table1[[#This Row],[IndicatorCode]],Table1[value]))</f>
        <v>1.1047979755287356</v>
      </c>
      <c r="J1564">
        <f>(Table1[[#This Row],[value]] - Table1[[#This Row],[mean]]) / Table1[[#This Row],[std_dev]]</f>
        <v>0.22048351733552002</v>
      </c>
      <c r="K1564">
        <f>AVERAGEIF(Table1[CountryCode],Table1[[#This Row],[CountryCode]],Table1[z-score])</f>
        <v>0.77730634815106903</v>
      </c>
      <c r="L1564" t="e">
        <f>VLOOKUP(Table1[[#This Row],[CountryCode]],[1]!Table1[#All],1,FALSE)</f>
        <v>#REF!</v>
      </c>
    </row>
    <row r="1565" spans="1:12" hidden="1" x14ac:dyDescent="0.3">
      <c r="A1565" t="s">
        <v>103</v>
      </c>
      <c r="B1565" t="s">
        <v>104</v>
      </c>
      <c r="C1565" t="s">
        <v>9</v>
      </c>
      <c r="D1565" t="s">
        <v>10</v>
      </c>
      <c r="E1565">
        <v>1996</v>
      </c>
      <c r="F1565" s="1">
        <v>100</v>
      </c>
      <c r="G1565">
        <v>1990</v>
      </c>
      <c r="H1565">
        <f>AVERAGEIFS(Table1[value],Table1[IndicatorCode],Table1[[#This Row],[IndicatorCode]])</f>
        <v>99.756410256410263</v>
      </c>
      <c r="I1565" cm="1">
        <f t="array" ref="I1565">_xlfn.STDEV.P(IF(Table1[IndicatorCode]=Table1[[#This Row],[IndicatorCode]],Table1[value]))</f>
        <v>1.1047979755287356</v>
      </c>
      <c r="J1565">
        <f>(Table1[[#This Row],[value]] - Table1[[#This Row],[mean]]) / Table1[[#This Row],[std_dev]]</f>
        <v>0.22048351733552002</v>
      </c>
      <c r="K1565">
        <f>AVERAGEIF(Table1[CountryCode],Table1[[#This Row],[CountryCode]],Table1[z-score])</f>
        <v>0.77730634815106903</v>
      </c>
      <c r="L1565" t="e">
        <f>VLOOKUP(Table1[[#This Row],[CountryCode]],[1]!Table1[#All],1,FALSE)</f>
        <v>#REF!</v>
      </c>
    </row>
    <row r="1566" spans="1:12" hidden="1" x14ac:dyDescent="0.3">
      <c r="A1566" t="s">
        <v>103</v>
      </c>
      <c r="B1566" t="s">
        <v>104</v>
      </c>
      <c r="C1566" t="s">
        <v>9</v>
      </c>
      <c r="D1566" t="s">
        <v>10</v>
      </c>
      <c r="E1566">
        <v>1997</v>
      </c>
      <c r="F1566" s="1">
        <v>100</v>
      </c>
      <c r="G1566">
        <v>2000</v>
      </c>
      <c r="H1566">
        <f>AVERAGEIFS(Table1[value],Table1[IndicatorCode],Table1[[#This Row],[IndicatorCode]])</f>
        <v>99.756410256410263</v>
      </c>
      <c r="I1566" cm="1">
        <f t="array" ref="I1566">_xlfn.STDEV.P(IF(Table1[IndicatorCode]=Table1[[#This Row],[IndicatorCode]],Table1[value]))</f>
        <v>1.1047979755287356</v>
      </c>
      <c r="J1566">
        <f>(Table1[[#This Row],[value]] - Table1[[#This Row],[mean]]) / Table1[[#This Row],[std_dev]]</f>
        <v>0.22048351733552002</v>
      </c>
      <c r="K1566">
        <f>AVERAGEIF(Table1[CountryCode],Table1[[#This Row],[CountryCode]],Table1[z-score])</f>
        <v>0.77730634815106903</v>
      </c>
      <c r="L1566" t="e">
        <f>VLOOKUP(Table1[[#This Row],[CountryCode]],[1]!Table1[#All],1,FALSE)</f>
        <v>#REF!</v>
      </c>
    </row>
    <row r="1567" spans="1:12" hidden="1" x14ac:dyDescent="0.3">
      <c r="A1567" t="s">
        <v>103</v>
      </c>
      <c r="B1567" t="s">
        <v>104</v>
      </c>
      <c r="C1567" t="s">
        <v>9</v>
      </c>
      <c r="D1567" t="s">
        <v>10</v>
      </c>
      <c r="E1567">
        <v>1998</v>
      </c>
      <c r="F1567" s="1">
        <v>100</v>
      </c>
      <c r="G1567">
        <v>2000</v>
      </c>
      <c r="H1567">
        <f>AVERAGEIFS(Table1[value],Table1[IndicatorCode],Table1[[#This Row],[IndicatorCode]])</f>
        <v>99.756410256410263</v>
      </c>
      <c r="I1567" cm="1">
        <f t="array" ref="I1567">_xlfn.STDEV.P(IF(Table1[IndicatorCode]=Table1[[#This Row],[IndicatorCode]],Table1[value]))</f>
        <v>1.1047979755287356</v>
      </c>
      <c r="J1567">
        <f>(Table1[[#This Row],[value]] - Table1[[#This Row],[mean]]) / Table1[[#This Row],[std_dev]]</f>
        <v>0.22048351733552002</v>
      </c>
      <c r="K1567">
        <f>AVERAGEIF(Table1[CountryCode],Table1[[#This Row],[CountryCode]],Table1[z-score])</f>
        <v>0.77730634815106903</v>
      </c>
      <c r="L1567" t="e">
        <f>VLOOKUP(Table1[[#This Row],[CountryCode]],[1]!Table1[#All],1,FALSE)</f>
        <v>#REF!</v>
      </c>
    </row>
    <row r="1568" spans="1:12" hidden="1" x14ac:dyDescent="0.3">
      <c r="A1568" t="s">
        <v>103</v>
      </c>
      <c r="B1568" t="s">
        <v>104</v>
      </c>
      <c r="C1568" t="s">
        <v>9</v>
      </c>
      <c r="D1568" t="s">
        <v>10</v>
      </c>
      <c r="E1568">
        <v>1999</v>
      </c>
      <c r="F1568" s="1">
        <v>100</v>
      </c>
      <c r="G1568">
        <v>2000</v>
      </c>
      <c r="H1568">
        <f>AVERAGEIFS(Table1[value],Table1[IndicatorCode],Table1[[#This Row],[IndicatorCode]])</f>
        <v>99.756410256410263</v>
      </c>
      <c r="I1568" cm="1">
        <f t="array" ref="I1568">_xlfn.STDEV.P(IF(Table1[IndicatorCode]=Table1[[#This Row],[IndicatorCode]],Table1[value]))</f>
        <v>1.1047979755287356</v>
      </c>
      <c r="J1568">
        <f>(Table1[[#This Row],[value]] - Table1[[#This Row],[mean]]) / Table1[[#This Row],[std_dev]]</f>
        <v>0.22048351733552002</v>
      </c>
      <c r="K1568">
        <f>AVERAGEIF(Table1[CountryCode],Table1[[#This Row],[CountryCode]],Table1[z-score])</f>
        <v>0.77730634815106903</v>
      </c>
      <c r="L1568" t="e">
        <f>VLOOKUP(Table1[[#This Row],[CountryCode]],[1]!Table1[#All],1,FALSE)</f>
        <v>#REF!</v>
      </c>
    </row>
    <row r="1569" spans="1:12" hidden="1" x14ac:dyDescent="0.3">
      <c r="A1569" t="s">
        <v>103</v>
      </c>
      <c r="B1569" t="s">
        <v>104</v>
      </c>
      <c r="C1569" t="s">
        <v>9</v>
      </c>
      <c r="D1569" t="s">
        <v>10</v>
      </c>
      <c r="E1569">
        <v>2000</v>
      </c>
      <c r="F1569" s="1">
        <v>100</v>
      </c>
      <c r="G1569">
        <v>2000</v>
      </c>
      <c r="H1569">
        <f>AVERAGEIFS(Table1[value],Table1[IndicatorCode],Table1[[#This Row],[IndicatorCode]])</f>
        <v>99.756410256410263</v>
      </c>
      <c r="I1569" cm="1">
        <f t="array" ref="I1569">_xlfn.STDEV.P(IF(Table1[IndicatorCode]=Table1[[#This Row],[IndicatorCode]],Table1[value]))</f>
        <v>1.1047979755287356</v>
      </c>
      <c r="J1569">
        <f>(Table1[[#This Row],[value]] - Table1[[#This Row],[mean]]) / Table1[[#This Row],[std_dev]]</f>
        <v>0.22048351733552002</v>
      </c>
      <c r="K1569">
        <f>AVERAGEIF(Table1[CountryCode],Table1[[#This Row],[CountryCode]],Table1[z-score])</f>
        <v>0.77730634815106903</v>
      </c>
      <c r="L1569" t="e">
        <f>VLOOKUP(Table1[[#This Row],[CountryCode]],[1]!Table1[#All],1,FALSE)</f>
        <v>#REF!</v>
      </c>
    </row>
    <row r="1570" spans="1:12" hidden="1" x14ac:dyDescent="0.3">
      <c r="A1570" t="s">
        <v>103</v>
      </c>
      <c r="B1570" t="s">
        <v>104</v>
      </c>
      <c r="C1570" t="s">
        <v>9</v>
      </c>
      <c r="D1570" t="s">
        <v>10</v>
      </c>
      <c r="E1570">
        <v>2001</v>
      </c>
      <c r="F1570" s="1">
        <v>100</v>
      </c>
      <c r="G1570">
        <v>2000</v>
      </c>
      <c r="H1570">
        <f>AVERAGEIFS(Table1[value],Table1[IndicatorCode],Table1[[#This Row],[IndicatorCode]])</f>
        <v>99.756410256410263</v>
      </c>
      <c r="I1570" cm="1">
        <f t="array" ref="I1570">_xlfn.STDEV.P(IF(Table1[IndicatorCode]=Table1[[#This Row],[IndicatorCode]],Table1[value]))</f>
        <v>1.1047979755287356</v>
      </c>
      <c r="J1570">
        <f>(Table1[[#This Row],[value]] - Table1[[#This Row],[mean]]) / Table1[[#This Row],[std_dev]]</f>
        <v>0.22048351733552002</v>
      </c>
      <c r="K1570">
        <f>AVERAGEIF(Table1[CountryCode],Table1[[#This Row],[CountryCode]],Table1[z-score])</f>
        <v>0.77730634815106903</v>
      </c>
      <c r="L1570" t="e">
        <f>VLOOKUP(Table1[[#This Row],[CountryCode]],[1]!Table1[#All],1,FALSE)</f>
        <v>#REF!</v>
      </c>
    </row>
    <row r="1571" spans="1:12" hidden="1" x14ac:dyDescent="0.3">
      <c r="A1571" t="s">
        <v>103</v>
      </c>
      <c r="B1571" t="s">
        <v>104</v>
      </c>
      <c r="C1571" t="s">
        <v>9</v>
      </c>
      <c r="D1571" t="s">
        <v>10</v>
      </c>
      <c r="E1571">
        <v>2002</v>
      </c>
      <c r="F1571" s="1">
        <v>100</v>
      </c>
      <c r="G1571">
        <v>2000</v>
      </c>
      <c r="H1571">
        <f>AVERAGEIFS(Table1[value],Table1[IndicatorCode],Table1[[#This Row],[IndicatorCode]])</f>
        <v>99.756410256410263</v>
      </c>
      <c r="I1571" cm="1">
        <f t="array" ref="I1571">_xlfn.STDEV.P(IF(Table1[IndicatorCode]=Table1[[#This Row],[IndicatorCode]],Table1[value]))</f>
        <v>1.1047979755287356</v>
      </c>
      <c r="J1571">
        <f>(Table1[[#This Row],[value]] - Table1[[#This Row],[mean]]) / Table1[[#This Row],[std_dev]]</f>
        <v>0.22048351733552002</v>
      </c>
      <c r="K1571">
        <f>AVERAGEIF(Table1[CountryCode],Table1[[#This Row],[CountryCode]],Table1[z-score])</f>
        <v>0.77730634815106903</v>
      </c>
      <c r="L1571" t="e">
        <f>VLOOKUP(Table1[[#This Row],[CountryCode]],[1]!Table1[#All],1,FALSE)</f>
        <v>#REF!</v>
      </c>
    </row>
    <row r="1572" spans="1:12" hidden="1" x14ac:dyDescent="0.3">
      <c r="A1572" t="s">
        <v>103</v>
      </c>
      <c r="B1572" t="s">
        <v>104</v>
      </c>
      <c r="C1572" t="s">
        <v>9</v>
      </c>
      <c r="D1572" t="s">
        <v>10</v>
      </c>
      <c r="E1572">
        <v>2003</v>
      </c>
      <c r="F1572" s="1">
        <v>100</v>
      </c>
      <c r="G1572">
        <v>2000</v>
      </c>
      <c r="H1572">
        <f>AVERAGEIFS(Table1[value],Table1[IndicatorCode],Table1[[#This Row],[IndicatorCode]])</f>
        <v>99.756410256410263</v>
      </c>
      <c r="I1572" cm="1">
        <f t="array" ref="I1572">_xlfn.STDEV.P(IF(Table1[IndicatorCode]=Table1[[#This Row],[IndicatorCode]],Table1[value]))</f>
        <v>1.1047979755287356</v>
      </c>
      <c r="J1572">
        <f>(Table1[[#This Row],[value]] - Table1[[#This Row],[mean]]) / Table1[[#This Row],[std_dev]]</f>
        <v>0.22048351733552002</v>
      </c>
      <c r="K1572">
        <f>AVERAGEIF(Table1[CountryCode],Table1[[#This Row],[CountryCode]],Table1[z-score])</f>
        <v>0.77730634815106903</v>
      </c>
      <c r="L1572" t="e">
        <f>VLOOKUP(Table1[[#This Row],[CountryCode]],[1]!Table1[#All],1,FALSE)</f>
        <v>#REF!</v>
      </c>
    </row>
    <row r="1573" spans="1:12" hidden="1" x14ac:dyDescent="0.3">
      <c r="A1573" t="s">
        <v>103</v>
      </c>
      <c r="B1573" t="s">
        <v>104</v>
      </c>
      <c r="C1573" t="s">
        <v>9</v>
      </c>
      <c r="D1573" t="s">
        <v>10</v>
      </c>
      <c r="E1573">
        <v>2004</v>
      </c>
      <c r="F1573" s="1">
        <v>100</v>
      </c>
      <c r="G1573">
        <v>2000</v>
      </c>
      <c r="H1573">
        <f>AVERAGEIFS(Table1[value],Table1[IndicatorCode],Table1[[#This Row],[IndicatorCode]])</f>
        <v>99.756410256410263</v>
      </c>
      <c r="I1573" cm="1">
        <f t="array" ref="I1573">_xlfn.STDEV.P(IF(Table1[IndicatorCode]=Table1[[#This Row],[IndicatorCode]],Table1[value]))</f>
        <v>1.1047979755287356</v>
      </c>
      <c r="J1573">
        <f>(Table1[[#This Row],[value]] - Table1[[#This Row],[mean]]) / Table1[[#This Row],[std_dev]]</f>
        <v>0.22048351733552002</v>
      </c>
      <c r="K1573">
        <f>AVERAGEIF(Table1[CountryCode],Table1[[#This Row],[CountryCode]],Table1[z-score])</f>
        <v>0.77730634815106903</v>
      </c>
      <c r="L1573" t="e">
        <f>VLOOKUP(Table1[[#This Row],[CountryCode]],[1]!Table1[#All],1,FALSE)</f>
        <v>#REF!</v>
      </c>
    </row>
    <row r="1574" spans="1:12" hidden="1" x14ac:dyDescent="0.3">
      <c r="A1574" t="s">
        <v>103</v>
      </c>
      <c r="B1574" t="s">
        <v>104</v>
      </c>
      <c r="C1574" t="s">
        <v>9</v>
      </c>
      <c r="D1574" t="s">
        <v>10</v>
      </c>
      <c r="E1574">
        <v>2005</v>
      </c>
      <c r="F1574" s="1">
        <v>100</v>
      </c>
      <c r="G1574">
        <v>2000</v>
      </c>
      <c r="H1574">
        <f>AVERAGEIFS(Table1[value],Table1[IndicatorCode],Table1[[#This Row],[IndicatorCode]])</f>
        <v>99.756410256410263</v>
      </c>
      <c r="I1574" cm="1">
        <f t="array" ref="I1574">_xlfn.STDEV.P(IF(Table1[IndicatorCode]=Table1[[#This Row],[IndicatorCode]],Table1[value]))</f>
        <v>1.1047979755287356</v>
      </c>
      <c r="J1574">
        <f>(Table1[[#This Row],[value]] - Table1[[#This Row],[mean]]) / Table1[[#This Row],[std_dev]]</f>
        <v>0.22048351733552002</v>
      </c>
      <c r="K1574">
        <f>AVERAGEIF(Table1[CountryCode],Table1[[#This Row],[CountryCode]],Table1[z-score])</f>
        <v>0.77730634815106903</v>
      </c>
      <c r="L1574" t="e">
        <f>VLOOKUP(Table1[[#This Row],[CountryCode]],[1]!Table1[#All],1,FALSE)</f>
        <v>#REF!</v>
      </c>
    </row>
    <row r="1575" spans="1:12" hidden="1" x14ac:dyDescent="0.3">
      <c r="A1575" t="s">
        <v>103</v>
      </c>
      <c r="B1575" t="s">
        <v>104</v>
      </c>
      <c r="C1575" t="s">
        <v>9</v>
      </c>
      <c r="D1575" t="s">
        <v>10</v>
      </c>
      <c r="E1575">
        <v>2006</v>
      </c>
      <c r="F1575" s="1">
        <v>100</v>
      </c>
      <c r="G1575">
        <v>2000</v>
      </c>
      <c r="H1575">
        <f>AVERAGEIFS(Table1[value],Table1[IndicatorCode],Table1[[#This Row],[IndicatorCode]])</f>
        <v>99.756410256410263</v>
      </c>
      <c r="I1575" cm="1">
        <f t="array" ref="I1575">_xlfn.STDEV.P(IF(Table1[IndicatorCode]=Table1[[#This Row],[IndicatorCode]],Table1[value]))</f>
        <v>1.1047979755287356</v>
      </c>
      <c r="J1575">
        <f>(Table1[[#This Row],[value]] - Table1[[#This Row],[mean]]) / Table1[[#This Row],[std_dev]]</f>
        <v>0.22048351733552002</v>
      </c>
      <c r="K1575">
        <f>AVERAGEIF(Table1[CountryCode],Table1[[#This Row],[CountryCode]],Table1[z-score])</f>
        <v>0.77730634815106903</v>
      </c>
      <c r="L1575" t="e">
        <f>VLOOKUP(Table1[[#This Row],[CountryCode]],[1]!Table1[#All],1,FALSE)</f>
        <v>#REF!</v>
      </c>
    </row>
    <row r="1576" spans="1:12" hidden="1" x14ac:dyDescent="0.3">
      <c r="A1576" t="s">
        <v>103</v>
      </c>
      <c r="B1576" t="s">
        <v>104</v>
      </c>
      <c r="C1576" t="s">
        <v>9</v>
      </c>
      <c r="D1576" t="s">
        <v>10</v>
      </c>
      <c r="E1576">
        <v>2007</v>
      </c>
      <c r="F1576" s="1">
        <v>100</v>
      </c>
      <c r="G1576">
        <v>2010</v>
      </c>
      <c r="H1576">
        <f>AVERAGEIFS(Table1[value],Table1[IndicatorCode],Table1[[#This Row],[IndicatorCode]])</f>
        <v>99.756410256410263</v>
      </c>
      <c r="I1576" cm="1">
        <f t="array" ref="I1576">_xlfn.STDEV.P(IF(Table1[IndicatorCode]=Table1[[#This Row],[IndicatorCode]],Table1[value]))</f>
        <v>1.1047979755287356</v>
      </c>
      <c r="J1576">
        <f>(Table1[[#This Row],[value]] - Table1[[#This Row],[mean]]) / Table1[[#This Row],[std_dev]]</f>
        <v>0.22048351733552002</v>
      </c>
      <c r="K1576">
        <f>AVERAGEIF(Table1[CountryCode],Table1[[#This Row],[CountryCode]],Table1[z-score])</f>
        <v>0.77730634815106903</v>
      </c>
      <c r="L1576" t="e">
        <f>VLOOKUP(Table1[[#This Row],[CountryCode]],[1]!Table1[#All],1,FALSE)</f>
        <v>#REF!</v>
      </c>
    </row>
    <row r="1577" spans="1:12" hidden="1" x14ac:dyDescent="0.3">
      <c r="A1577" t="s">
        <v>103</v>
      </c>
      <c r="B1577" t="s">
        <v>104</v>
      </c>
      <c r="C1577" t="s">
        <v>9</v>
      </c>
      <c r="D1577" t="s">
        <v>10</v>
      </c>
      <c r="E1577">
        <v>2008</v>
      </c>
      <c r="F1577" s="1">
        <v>100</v>
      </c>
      <c r="G1577">
        <v>2010</v>
      </c>
      <c r="H1577">
        <f>AVERAGEIFS(Table1[value],Table1[IndicatorCode],Table1[[#This Row],[IndicatorCode]])</f>
        <v>99.756410256410263</v>
      </c>
      <c r="I1577" cm="1">
        <f t="array" ref="I1577">_xlfn.STDEV.P(IF(Table1[IndicatorCode]=Table1[[#This Row],[IndicatorCode]],Table1[value]))</f>
        <v>1.1047979755287356</v>
      </c>
      <c r="J1577">
        <f>(Table1[[#This Row],[value]] - Table1[[#This Row],[mean]]) / Table1[[#This Row],[std_dev]]</f>
        <v>0.22048351733552002</v>
      </c>
      <c r="K1577">
        <f>AVERAGEIF(Table1[CountryCode],Table1[[#This Row],[CountryCode]],Table1[z-score])</f>
        <v>0.77730634815106903</v>
      </c>
      <c r="L1577" t="e">
        <f>VLOOKUP(Table1[[#This Row],[CountryCode]],[1]!Table1[#All],1,FALSE)</f>
        <v>#REF!</v>
      </c>
    </row>
    <row r="1578" spans="1:12" hidden="1" x14ac:dyDescent="0.3">
      <c r="A1578" t="s">
        <v>103</v>
      </c>
      <c r="B1578" t="s">
        <v>104</v>
      </c>
      <c r="C1578" t="s">
        <v>9</v>
      </c>
      <c r="D1578" t="s">
        <v>10</v>
      </c>
      <c r="E1578">
        <v>2009</v>
      </c>
      <c r="F1578" s="1">
        <v>100</v>
      </c>
      <c r="G1578">
        <v>2010</v>
      </c>
      <c r="H1578">
        <f>AVERAGEIFS(Table1[value],Table1[IndicatorCode],Table1[[#This Row],[IndicatorCode]])</f>
        <v>99.756410256410263</v>
      </c>
      <c r="I1578" cm="1">
        <f t="array" ref="I1578">_xlfn.STDEV.P(IF(Table1[IndicatorCode]=Table1[[#This Row],[IndicatorCode]],Table1[value]))</f>
        <v>1.1047979755287356</v>
      </c>
      <c r="J1578">
        <f>(Table1[[#This Row],[value]] - Table1[[#This Row],[mean]]) / Table1[[#This Row],[std_dev]]</f>
        <v>0.22048351733552002</v>
      </c>
      <c r="K1578">
        <f>AVERAGEIF(Table1[CountryCode],Table1[[#This Row],[CountryCode]],Table1[z-score])</f>
        <v>0.77730634815106903</v>
      </c>
      <c r="L1578" t="e">
        <f>VLOOKUP(Table1[[#This Row],[CountryCode]],[1]!Table1[#All],1,FALSE)</f>
        <v>#REF!</v>
      </c>
    </row>
    <row r="1579" spans="1:12" hidden="1" x14ac:dyDescent="0.3">
      <c r="A1579" t="s">
        <v>103</v>
      </c>
      <c r="B1579" t="s">
        <v>104</v>
      </c>
      <c r="C1579" t="s">
        <v>9</v>
      </c>
      <c r="D1579" t="s">
        <v>10</v>
      </c>
      <c r="E1579">
        <v>2010</v>
      </c>
      <c r="F1579" s="1">
        <v>100</v>
      </c>
      <c r="G1579">
        <v>2010</v>
      </c>
      <c r="H1579">
        <f>AVERAGEIFS(Table1[value],Table1[IndicatorCode],Table1[[#This Row],[IndicatorCode]])</f>
        <v>99.756410256410263</v>
      </c>
      <c r="I1579" cm="1">
        <f t="array" ref="I1579">_xlfn.STDEV.P(IF(Table1[IndicatorCode]=Table1[[#This Row],[IndicatorCode]],Table1[value]))</f>
        <v>1.1047979755287356</v>
      </c>
      <c r="J1579">
        <f>(Table1[[#This Row],[value]] - Table1[[#This Row],[mean]]) / Table1[[#This Row],[std_dev]]</f>
        <v>0.22048351733552002</v>
      </c>
      <c r="K1579">
        <f>AVERAGEIF(Table1[CountryCode],Table1[[#This Row],[CountryCode]],Table1[z-score])</f>
        <v>0.77730634815106903</v>
      </c>
      <c r="L1579" t="e">
        <f>VLOOKUP(Table1[[#This Row],[CountryCode]],[1]!Table1[#All],1,FALSE)</f>
        <v>#REF!</v>
      </c>
    </row>
    <row r="1580" spans="1:12" hidden="1" x14ac:dyDescent="0.3">
      <c r="A1580" t="s">
        <v>103</v>
      </c>
      <c r="B1580" t="s">
        <v>104</v>
      </c>
      <c r="C1580" t="s">
        <v>9</v>
      </c>
      <c r="D1580" t="s">
        <v>10</v>
      </c>
      <c r="E1580">
        <v>2011</v>
      </c>
      <c r="F1580" s="1">
        <v>100</v>
      </c>
      <c r="G1580">
        <v>2010</v>
      </c>
      <c r="H1580">
        <f>AVERAGEIFS(Table1[value],Table1[IndicatorCode],Table1[[#This Row],[IndicatorCode]])</f>
        <v>99.756410256410263</v>
      </c>
      <c r="I1580" cm="1">
        <f t="array" ref="I1580">_xlfn.STDEV.P(IF(Table1[IndicatorCode]=Table1[[#This Row],[IndicatorCode]],Table1[value]))</f>
        <v>1.1047979755287356</v>
      </c>
      <c r="J1580">
        <f>(Table1[[#This Row],[value]] - Table1[[#This Row],[mean]]) / Table1[[#This Row],[std_dev]]</f>
        <v>0.22048351733552002</v>
      </c>
      <c r="K1580">
        <f>AVERAGEIF(Table1[CountryCode],Table1[[#This Row],[CountryCode]],Table1[z-score])</f>
        <v>0.77730634815106903</v>
      </c>
      <c r="L1580" t="e">
        <f>VLOOKUP(Table1[[#This Row],[CountryCode]],[1]!Table1[#All],1,FALSE)</f>
        <v>#REF!</v>
      </c>
    </row>
    <row r="1581" spans="1:12" hidden="1" x14ac:dyDescent="0.3">
      <c r="A1581" t="s">
        <v>103</v>
      </c>
      <c r="B1581" t="s">
        <v>104</v>
      </c>
      <c r="C1581" t="s">
        <v>9</v>
      </c>
      <c r="D1581" t="s">
        <v>10</v>
      </c>
      <c r="E1581">
        <v>2012</v>
      </c>
      <c r="F1581" s="1">
        <v>100</v>
      </c>
      <c r="G1581">
        <v>2010</v>
      </c>
      <c r="H1581">
        <f>AVERAGEIFS(Table1[value],Table1[IndicatorCode],Table1[[#This Row],[IndicatorCode]])</f>
        <v>99.756410256410263</v>
      </c>
      <c r="I1581" cm="1">
        <f t="array" ref="I1581">_xlfn.STDEV.P(IF(Table1[IndicatorCode]=Table1[[#This Row],[IndicatorCode]],Table1[value]))</f>
        <v>1.1047979755287356</v>
      </c>
      <c r="J1581">
        <f>(Table1[[#This Row],[value]] - Table1[[#This Row],[mean]]) / Table1[[#This Row],[std_dev]]</f>
        <v>0.22048351733552002</v>
      </c>
      <c r="K1581">
        <f>AVERAGEIF(Table1[CountryCode],Table1[[#This Row],[CountryCode]],Table1[z-score])</f>
        <v>0.77730634815106903</v>
      </c>
      <c r="L1581" t="e">
        <f>VLOOKUP(Table1[[#This Row],[CountryCode]],[1]!Table1[#All],1,FALSE)</f>
        <v>#REF!</v>
      </c>
    </row>
    <row r="1582" spans="1:12" hidden="1" x14ac:dyDescent="0.3">
      <c r="A1582" t="s">
        <v>103</v>
      </c>
      <c r="B1582" t="s">
        <v>104</v>
      </c>
      <c r="C1582" t="s">
        <v>9</v>
      </c>
      <c r="D1582" t="s">
        <v>10</v>
      </c>
      <c r="E1582">
        <v>2013</v>
      </c>
      <c r="F1582" s="1">
        <v>100</v>
      </c>
      <c r="G1582">
        <v>2010</v>
      </c>
      <c r="H1582">
        <f>AVERAGEIFS(Table1[value],Table1[IndicatorCode],Table1[[#This Row],[IndicatorCode]])</f>
        <v>99.756410256410263</v>
      </c>
      <c r="I1582" cm="1">
        <f t="array" ref="I1582">_xlfn.STDEV.P(IF(Table1[IndicatorCode]=Table1[[#This Row],[IndicatorCode]],Table1[value]))</f>
        <v>1.1047979755287356</v>
      </c>
      <c r="J1582">
        <f>(Table1[[#This Row],[value]] - Table1[[#This Row],[mean]]) / Table1[[#This Row],[std_dev]]</f>
        <v>0.22048351733552002</v>
      </c>
      <c r="K1582">
        <f>AVERAGEIF(Table1[CountryCode],Table1[[#This Row],[CountryCode]],Table1[z-score])</f>
        <v>0.77730634815106903</v>
      </c>
      <c r="L1582" t="e">
        <f>VLOOKUP(Table1[[#This Row],[CountryCode]],[1]!Table1[#All],1,FALSE)</f>
        <v>#REF!</v>
      </c>
    </row>
    <row r="1583" spans="1:12" hidden="1" x14ac:dyDescent="0.3">
      <c r="A1583" t="s">
        <v>103</v>
      </c>
      <c r="B1583" t="s">
        <v>104</v>
      </c>
      <c r="C1583" t="s">
        <v>9</v>
      </c>
      <c r="D1583" t="s">
        <v>10</v>
      </c>
      <c r="E1583">
        <v>2014</v>
      </c>
      <c r="F1583" s="1">
        <v>100</v>
      </c>
      <c r="G1583">
        <v>2010</v>
      </c>
      <c r="H1583">
        <f>AVERAGEIFS(Table1[value],Table1[IndicatorCode],Table1[[#This Row],[IndicatorCode]])</f>
        <v>99.756410256410263</v>
      </c>
      <c r="I1583" cm="1">
        <f t="array" ref="I1583">_xlfn.STDEV.P(IF(Table1[IndicatorCode]=Table1[[#This Row],[IndicatorCode]],Table1[value]))</f>
        <v>1.1047979755287356</v>
      </c>
      <c r="J1583">
        <f>(Table1[[#This Row],[value]] - Table1[[#This Row],[mean]]) / Table1[[#This Row],[std_dev]]</f>
        <v>0.22048351733552002</v>
      </c>
      <c r="K1583">
        <f>AVERAGEIF(Table1[CountryCode],Table1[[#This Row],[CountryCode]],Table1[z-score])</f>
        <v>0.77730634815106903</v>
      </c>
      <c r="L1583" t="e">
        <f>VLOOKUP(Table1[[#This Row],[CountryCode]],[1]!Table1[#All],1,FALSE)</f>
        <v>#REF!</v>
      </c>
    </row>
    <row r="1584" spans="1:12" hidden="1" x14ac:dyDescent="0.3">
      <c r="A1584" t="s">
        <v>103</v>
      </c>
      <c r="B1584" t="s">
        <v>104</v>
      </c>
      <c r="C1584" t="s">
        <v>9</v>
      </c>
      <c r="D1584" t="s">
        <v>10</v>
      </c>
      <c r="E1584">
        <v>2015</v>
      </c>
      <c r="F1584" s="1">
        <v>100</v>
      </c>
      <c r="G1584">
        <v>2010</v>
      </c>
      <c r="H1584">
        <f>AVERAGEIFS(Table1[value],Table1[IndicatorCode],Table1[[#This Row],[IndicatorCode]])</f>
        <v>99.756410256410263</v>
      </c>
      <c r="I1584" cm="1">
        <f t="array" ref="I1584">_xlfn.STDEV.P(IF(Table1[IndicatorCode]=Table1[[#This Row],[IndicatorCode]],Table1[value]))</f>
        <v>1.1047979755287356</v>
      </c>
      <c r="J1584">
        <f>(Table1[[#This Row],[value]] - Table1[[#This Row],[mean]]) / Table1[[#This Row],[std_dev]]</f>
        <v>0.22048351733552002</v>
      </c>
      <c r="K1584">
        <f>AVERAGEIF(Table1[CountryCode],Table1[[#This Row],[CountryCode]],Table1[z-score])</f>
        <v>0.77730634815106903</v>
      </c>
      <c r="L1584" t="e">
        <f>VLOOKUP(Table1[[#This Row],[CountryCode]],[1]!Table1[#All],1,FALSE)</f>
        <v>#REF!</v>
      </c>
    </row>
    <row r="1585" spans="1:12" hidden="1" x14ac:dyDescent="0.3">
      <c r="A1585" t="s">
        <v>103</v>
      </c>
      <c r="B1585" t="s">
        <v>104</v>
      </c>
      <c r="C1585" t="s">
        <v>9</v>
      </c>
      <c r="D1585" t="s">
        <v>10</v>
      </c>
      <c r="E1585">
        <v>2016</v>
      </c>
      <c r="F1585" s="1">
        <v>100</v>
      </c>
      <c r="G1585">
        <v>2010</v>
      </c>
      <c r="H1585">
        <f>AVERAGEIFS(Table1[value],Table1[IndicatorCode],Table1[[#This Row],[IndicatorCode]])</f>
        <v>99.756410256410263</v>
      </c>
      <c r="I1585" cm="1">
        <f t="array" ref="I1585">_xlfn.STDEV.P(IF(Table1[IndicatorCode]=Table1[[#This Row],[IndicatorCode]],Table1[value]))</f>
        <v>1.1047979755287356</v>
      </c>
      <c r="J1585">
        <f>(Table1[[#This Row],[value]] - Table1[[#This Row],[mean]]) / Table1[[#This Row],[std_dev]]</f>
        <v>0.22048351733552002</v>
      </c>
      <c r="K1585">
        <f>AVERAGEIF(Table1[CountryCode],Table1[[#This Row],[CountryCode]],Table1[z-score])</f>
        <v>0.77730634815106903</v>
      </c>
      <c r="L1585" t="e">
        <f>VLOOKUP(Table1[[#This Row],[CountryCode]],[1]!Table1[#All],1,FALSE)</f>
        <v>#REF!</v>
      </c>
    </row>
    <row r="1586" spans="1:12" hidden="1" x14ac:dyDescent="0.3">
      <c r="A1586" t="s">
        <v>103</v>
      </c>
      <c r="B1586" t="s">
        <v>104</v>
      </c>
      <c r="C1586" t="s">
        <v>9</v>
      </c>
      <c r="D1586" t="s">
        <v>10</v>
      </c>
      <c r="E1586">
        <v>2017</v>
      </c>
      <c r="F1586" s="1">
        <v>100</v>
      </c>
      <c r="G1586">
        <v>2020</v>
      </c>
      <c r="H1586">
        <f>AVERAGEIFS(Table1[value],Table1[IndicatorCode],Table1[[#This Row],[IndicatorCode]])</f>
        <v>99.756410256410263</v>
      </c>
      <c r="I1586" cm="1">
        <f t="array" ref="I1586">_xlfn.STDEV.P(IF(Table1[IndicatorCode]=Table1[[#This Row],[IndicatorCode]],Table1[value]))</f>
        <v>1.1047979755287356</v>
      </c>
      <c r="J1586">
        <f>(Table1[[#This Row],[value]] - Table1[[#This Row],[mean]]) / Table1[[#This Row],[std_dev]]</f>
        <v>0.22048351733552002</v>
      </c>
      <c r="K1586">
        <f>AVERAGEIF(Table1[CountryCode],Table1[[#This Row],[CountryCode]],Table1[z-score])</f>
        <v>0.77730634815106903</v>
      </c>
      <c r="L1586" t="e">
        <f>VLOOKUP(Table1[[#This Row],[CountryCode]],[1]!Table1[#All],1,FALSE)</f>
        <v>#REF!</v>
      </c>
    </row>
    <row r="1587" spans="1:12" hidden="1" x14ac:dyDescent="0.3">
      <c r="A1587" t="s">
        <v>103</v>
      </c>
      <c r="B1587" t="s">
        <v>104</v>
      </c>
      <c r="C1587" t="s">
        <v>9</v>
      </c>
      <c r="D1587" t="s">
        <v>10</v>
      </c>
      <c r="E1587">
        <v>2018</v>
      </c>
      <c r="F1587" s="1">
        <v>100</v>
      </c>
      <c r="G1587">
        <v>2020</v>
      </c>
      <c r="H1587">
        <f>AVERAGEIFS(Table1[value],Table1[IndicatorCode],Table1[[#This Row],[IndicatorCode]])</f>
        <v>99.756410256410263</v>
      </c>
      <c r="I1587" cm="1">
        <f t="array" ref="I1587">_xlfn.STDEV.P(IF(Table1[IndicatorCode]=Table1[[#This Row],[IndicatorCode]],Table1[value]))</f>
        <v>1.1047979755287356</v>
      </c>
      <c r="J1587">
        <f>(Table1[[#This Row],[value]] - Table1[[#This Row],[mean]]) / Table1[[#This Row],[std_dev]]</f>
        <v>0.22048351733552002</v>
      </c>
      <c r="K1587">
        <f>AVERAGEIF(Table1[CountryCode],Table1[[#This Row],[CountryCode]],Table1[z-score])</f>
        <v>0.77730634815106903</v>
      </c>
      <c r="L1587" t="e">
        <f>VLOOKUP(Table1[[#This Row],[CountryCode]],[1]!Table1[#All],1,FALSE)</f>
        <v>#REF!</v>
      </c>
    </row>
    <row r="1588" spans="1:12" hidden="1" x14ac:dyDescent="0.3">
      <c r="A1588" t="s">
        <v>103</v>
      </c>
      <c r="B1588" t="s">
        <v>104</v>
      </c>
      <c r="C1588" t="s">
        <v>9</v>
      </c>
      <c r="D1588" t="s">
        <v>10</v>
      </c>
      <c r="E1588">
        <v>2019</v>
      </c>
      <c r="F1588" s="1">
        <v>100</v>
      </c>
      <c r="G1588">
        <v>2020</v>
      </c>
      <c r="H1588">
        <f>AVERAGEIFS(Table1[value],Table1[IndicatorCode],Table1[[#This Row],[IndicatorCode]])</f>
        <v>99.756410256410263</v>
      </c>
      <c r="I1588" cm="1">
        <f t="array" ref="I1588">_xlfn.STDEV.P(IF(Table1[IndicatorCode]=Table1[[#This Row],[IndicatorCode]],Table1[value]))</f>
        <v>1.1047979755287356</v>
      </c>
      <c r="J1588">
        <f>(Table1[[#This Row],[value]] - Table1[[#This Row],[mean]]) / Table1[[#This Row],[std_dev]]</f>
        <v>0.22048351733552002</v>
      </c>
      <c r="K1588">
        <f>AVERAGEIF(Table1[CountryCode],Table1[[#This Row],[CountryCode]],Table1[z-score])</f>
        <v>0.77730634815106903</v>
      </c>
      <c r="L1588" t="e">
        <f>VLOOKUP(Table1[[#This Row],[CountryCode]],[1]!Table1[#All],1,FALSE)</f>
        <v>#REF!</v>
      </c>
    </row>
    <row r="1589" spans="1:12" x14ac:dyDescent="0.3">
      <c r="A1589" t="s">
        <v>103</v>
      </c>
      <c r="B1589" t="s">
        <v>104</v>
      </c>
      <c r="C1589" t="s">
        <v>9</v>
      </c>
      <c r="D1589" t="s">
        <v>10</v>
      </c>
      <c r="E1589">
        <v>2020</v>
      </c>
      <c r="F1589" s="1">
        <v>100</v>
      </c>
      <c r="G1589">
        <v>2020</v>
      </c>
      <c r="H1589">
        <f>AVERAGEIFS(Table1[value],Table1[IndicatorCode],Table1[[#This Row],[IndicatorCode]])</f>
        <v>99.756410256410263</v>
      </c>
      <c r="I1589" cm="1">
        <f t="array" ref="I1589">_xlfn.STDEV.P(IF(Table1[IndicatorCode]=Table1[[#This Row],[IndicatorCode]],Table1[value]))</f>
        <v>1.1047979755287356</v>
      </c>
      <c r="J1589">
        <f>(Table1[[#This Row],[value]] - Table1[[#This Row],[mean]]) / Table1[[#This Row],[std_dev]]</f>
        <v>0.22048351733552002</v>
      </c>
      <c r="K1589">
        <f>AVERAGEIF(Table1[CountryCode],Table1[[#This Row],[CountryCode]],Table1[z-score])</f>
        <v>0.77730634815106903</v>
      </c>
    </row>
    <row r="1590" spans="1:12" hidden="1" x14ac:dyDescent="0.3">
      <c r="A1590" t="s">
        <v>103</v>
      </c>
      <c r="B1590" t="s">
        <v>104</v>
      </c>
      <c r="C1590" t="s">
        <v>9</v>
      </c>
      <c r="D1590" t="s">
        <v>10</v>
      </c>
      <c r="E1590">
        <v>2021</v>
      </c>
      <c r="F1590" s="1">
        <v>100</v>
      </c>
      <c r="G1590">
        <v>1990</v>
      </c>
      <c r="H1590">
        <f>AVERAGEIFS(Table1[value],Table1[IndicatorCode],Table1[[#This Row],[IndicatorCode]])</f>
        <v>99.756410256410263</v>
      </c>
      <c r="I1590" cm="1">
        <f t="array" ref="I1590">_xlfn.STDEV.P(IF(Table1[IndicatorCode]=Table1[[#This Row],[IndicatorCode]],Table1[value]))</f>
        <v>1.1047979755287356</v>
      </c>
      <c r="J1590">
        <f>(Table1[[#This Row],[value]] - Table1[[#This Row],[mean]]) / Table1[[#This Row],[std_dev]]</f>
        <v>0.22048351733552002</v>
      </c>
      <c r="K1590">
        <f>AVERAGEIF(Table1[CountryCode],Table1[[#This Row],[CountryCode]],Table1[z-score])</f>
        <v>0.77730634815106903</v>
      </c>
      <c r="L1590" t="e">
        <f>VLOOKUP(Table1[[#This Row],[CountryCode]],[1]!Table1[#All],1,FALSE)</f>
        <v>#REF!</v>
      </c>
    </row>
    <row r="1591" spans="1:12" hidden="1" x14ac:dyDescent="0.3">
      <c r="A1591" t="s">
        <v>103</v>
      </c>
      <c r="B1591" t="s">
        <v>104</v>
      </c>
      <c r="C1591" t="s">
        <v>9</v>
      </c>
      <c r="D1591" t="s">
        <v>10</v>
      </c>
      <c r="E1591">
        <v>2022</v>
      </c>
      <c r="F1591" s="1">
        <v>100</v>
      </c>
      <c r="G1591">
        <v>1990</v>
      </c>
      <c r="H1591">
        <f>AVERAGEIFS(Table1[value],Table1[IndicatorCode],Table1[[#This Row],[IndicatorCode]])</f>
        <v>99.756410256410263</v>
      </c>
      <c r="I1591" cm="1">
        <f t="array" ref="I1591">_xlfn.STDEV.P(IF(Table1[IndicatorCode]=Table1[[#This Row],[IndicatorCode]],Table1[value]))</f>
        <v>1.1047979755287356</v>
      </c>
      <c r="J1591">
        <f>(Table1[[#This Row],[value]] - Table1[[#This Row],[mean]]) / Table1[[#This Row],[std_dev]]</f>
        <v>0.22048351733552002</v>
      </c>
      <c r="K1591">
        <f>AVERAGEIF(Table1[CountryCode],Table1[[#This Row],[CountryCode]],Table1[z-score])</f>
        <v>0.77730634815106903</v>
      </c>
      <c r="L1591" t="e">
        <f>VLOOKUP(Table1[[#This Row],[CountryCode]],[1]!Table1[#All],1,FALSE)</f>
        <v>#REF!</v>
      </c>
    </row>
    <row r="1592" spans="1:12" hidden="1" x14ac:dyDescent="0.3">
      <c r="A1592" t="s">
        <v>103</v>
      </c>
      <c r="B1592" t="s">
        <v>104</v>
      </c>
      <c r="C1592" t="s">
        <v>9</v>
      </c>
      <c r="D1592" t="s">
        <v>10</v>
      </c>
      <c r="E1592">
        <v>2023</v>
      </c>
      <c r="F1592" s="1">
        <v>100</v>
      </c>
      <c r="G1592">
        <v>1990</v>
      </c>
      <c r="H1592">
        <f>AVERAGEIFS(Table1[value],Table1[IndicatorCode],Table1[[#This Row],[IndicatorCode]])</f>
        <v>99.756410256410263</v>
      </c>
      <c r="I1592" cm="1">
        <f t="array" ref="I1592">_xlfn.STDEV.P(IF(Table1[IndicatorCode]=Table1[[#This Row],[IndicatorCode]],Table1[value]))</f>
        <v>1.1047979755287356</v>
      </c>
      <c r="J1592">
        <f>(Table1[[#This Row],[value]] - Table1[[#This Row],[mean]]) / Table1[[#This Row],[std_dev]]</f>
        <v>0.22048351733552002</v>
      </c>
      <c r="K1592">
        <f>AVERAGEIF(Table1[CountryCode],Table1[[#This Row],[CountryCode]],Table1[z-score])</f>
        <v>0.77730634815106903</v>
      </c>
      <c r="L1592" t="e">
        <f>VLOOKUP(Table1[[#This Row],[CountryCode]],[1]!Table1[#All],1,FALSE)</f>
        <v>#REF!</v>
      </c>
    </row>
    <row r="1593" spans="1:12" hidden="1" x14ac:dyDescent="0.3">
      <c r="A1593" t="s">
        <v>105</v>
      </c>
      <c r="B1593" t="s">
        <v>106</v>
      </c>
      <c r="C1593" t="s">
        <v>9</v>
      </c>
      <c r="D1593" t="s">
        <v>10</v>
      </c>
      <c r="E1593">
        <v>1990</v>
      </c>
      <c r="F1593" s="1">
        <v>100</v>
      </c>
      <c r="G1593">
        <v>1990</v>
      </c>
      <c r="H1593">
        <f>AVERAGEIFS(Table1[value],Table1[IndicatorCode],Table1[[#This Row],[IndicatorCode]])</f>
        <v>99.756410256410263</v>
      </c>
      <c r="I1593" cm="1">
        <f t="array" ref="I1593">_xlfn.STDEV.P(IF(Table1[IndicatorCode]=Table1[[#This Row],[IndicatorCode]],Table1[value]))</f>
        <v>1.1047979755287356</v>
      </c>
      <c r="J1593">
        <f>(Table1[[#This Row],[value]] - Table1[[#This Row],[mean]]) / Table1[[#This Row],[std_dev]]</f>
        <v>0.22048351733552002</v>
      </c>
      <c r="K1593">
        <f>AVERAGEIF(Table1[CountryCode],Table1[[#This Row],[CountryCode]],Table1[z-score])</f>
        <v>-0.17106074072717981</v>
      </c>
      <c r="L1593" t="e">
        <f>VLOOKUP(Table1[[#This Row],[CountryCode]],[1]!Table1[#All],1,FALSE)</f>
        <v>#REF!</v>
      </c>
    </row>
    <row r="1594" spans="1:12" hidden="1" x14ac:dyDescent="0.3">
      <c r="A1594" t="s">
        <v>105</v>
      </c>
      <c r="B1594" t="s">
        <v>106</v>
      </c>
      <c r="C1594" t="s">
        <v>9</v>
      </c>
      <c r="D1594" t="s">
        <v>10</v>
      </c>
      <c r="E1594">
        <v>1991</v>
      </c>
      <c r="F1594" s="1">
        <v>100</v>
      </c>
      <c r="G1594">
        <v>1990</v>
      </c>
      <c r="H1594">
        <f>AVERAGEIFS(Table1[value],Table1[IndicatorCode],Table1[[#This Row],[IndicatorCode]])</f>
        <v>99.756410256410263</v>
      </c>
      <c r="I1594" cm="1">
        <f t="array" ref="I1594">_xlfn.STDEV.P(IF(Table1[IndicatorCode]=Table1[[#This Row],[IndicatorCode]],Table1[value]))</f>
        <v>1.1047979755287356</v>
      </c>
      <c r="J1594">
        <f>(Table1[[#This Row],[value]] - Table1[[#This Row],[mean]]) / Table1[[#This Row],[std_dev]]</f>
        <v>0.22048351733552002</v>
      </c>
      <c r="K1594">
        <f>AVERAGEIF(Table1[CountryCode],Table1[[#This Row],[CountryCode]],Table1[z-score])</f>
        <v>-0.17106074072717981</v>
      </c>
      <c r="L1594" t="e">
        <f>VLOOKUP(Table1[[#This Row],[CountryCode]],[1]!Table1[#All],1,FALSE)</f>
        <v>#REF!</v>
      </c>
    </row>
    <row r="1595" spans="1:12" hidden="1" x14ac:dyDescent="0.3">
      <c r="A1595" t="s">
        <v>105</v>
      </c>
      <c r="B1595" t="s">
        <v>106</v>
      </c>
      <c r="C1595" t="s">
        <v>9</v>
      </c>
      <c r="D1595" t="s">
        <v>10</v>
      </c>
      <c r="E1595">
        <v>1992</v>
      </c>
      <c r="F1595" s="1">
        <v>100</v>
      </c>
      <c r="G1595">
        <v>1990</v>
      </c>
      <c r="H1595">
        <f>AVERAGEIFS(Table1[value],Table1[IndicatorCode],Table1[[#This Row],[IndicatorCode]])</f>
        <v>99.756410256410263</v>
      </c>
      <c r="I1595" cm="1">
        <f t="array" ref="I1595">_xlfn.STDEV.P(IF(Table1[IndicatorCode]=Table1[[#This Row],[IndicatorCode]],Table1[value]))</f>
        <v>1.1047979755287356</v>
      </c>
      <c r="J1595">
        <f>(Table1[[#This Row],[value]] - Table1[[#This Row],[mean]]) / Table1[[#This Row],[std_dev]]</f>
        <v>0.22048351733552002</v>
      </c>
      <c r="K1595">
        <f>AVERAGEIF(Table1[CountryCode],Table1[[#This Row],[CountryCode]],Table1[z-score])</f>
        <v>-0.17106074072717981</v>
      </c>
      <c r="L1595" t="e">
        <f>VLOOKUP(Table1[[#This Row],[CountryCode]],[1]!Table1[#All],1,FALSE)</f>
        <v>#REF!</v>
      </c>
    </row>
    <row r="1596" spans="1:12" hidden="1" x14ac:dyDescent="0.3">
      <c r="A1596" t="s">
        <v>105</v>
      </c>
      <c r="B1596" t="s">
        <v>106</v>
      </c>
      <c r="C1596" t="s">
        <v>9</v>
      </c>
      <c r="D1596" t="s">
        <v>10</v>
      </c>
      <c r="E1596">
        <v>1993</v>
      </c>
      <c r="F1596" s="1">
        <v>100</v>
      </c>
      <c r="G1596">
        <v>1990</v>
      </c>
      <c r="H1596">
        <f>AVERAGEIFS(Table1[value],Table1[IndicatorCode],Table1[[#This Row],[IndicatorCode]])</f>
        <v>99.756410256410263</v>
      </c>
      <c r="I1596" cm="1">
        <f t="array" ref="I1596">_xlfn.STDEV.P(IF(Table1[IndicatorCode]=Table1[[#This Row],[IndicatorCode]],Table1[value]))</f>
        <v>1.1047979755287356</v>
      </c>
      <c r="J1596">
        <f>(Table1[[#This Row],[value]] - Table1[[#This Row],[mean]]) / Table1[[#This Row],[std_dev]]</f>
        <v>0.22048351733552002</v>
      </c>
      <c r="K1596">
        <f>AVERAGEIF(Table1[CountryCode],Table1[[#This Row],[CountryCode]],Table1[z-score])</f>
        <v>-0.17106074072717981</v>
      </c>
      <c r="L1596" t="e">
        <f>VLOOKUP(Table1[[#This Row],[CountryCode]],[1]!Table1[#All],1,FALSE)</f>
        <v>#REF!</v>
      </c>
    </row>
    <row r="1597" spans="1:12" hidden="1" x14ac:dyDescent="0.3">
      <c r="A1597" t="s">
        <v>105</v>
      </c>
      <c r="B1597" t="s">
        <v>106</v>
      </c>
      <c r="C1597" t="s">
        <v>9</v>
      </c>
      <c r="D1597" t="s">
        <v>10</v>
      </c>
      <c r="E1597">
        <v>1994</v>
      </c>
      <c r="F1597" s="1">
        <v>100</v>
      </c>
      <c r="G1597">
        <v>1990</v>
      </c>
      <c r="H1597">
        <f>AVERAGEIFS(Table1[value],Table1[IndicatorCode],Table1[[#This Row],[IndicatorCode]])</f>
        <v>99.756410256410263</v>
      </c>
      <c r="I1597" cm="1">
        <f t="array" ref="I1597">_xlfn.STDEV.P(IF(Table1[IndicatorCode]=Table1[[#This Row],[IndicatorCode]],Table1[value]))</f>
        <v>1.1047979755287356</v>
      </c>
      <c r="J1597">
        <f>(Table1[[#This Row],[value]] - Table1[[#This Row],[mean]]) / Table1[[#This Row],[std_dev]]</f>
        <v>0.22048351733552002</v>
      </c>
      <c r="K1597">
        <f>AVERAGEIF(Table1[CountryCode],Table1[[#This Row],[CountryCode]],Table1[z-score])</f>
        <v>-0.17106074072717981</v>
      </c>
      <c r="L1597" t="e">
        <f>VLOOKUP(Table1[[#This Row],[CountryCode]],[1]!Table1[#All],1,FALSE)</f>
        <v>#REF!</v>
      </c>
    </row>
    <row r="1598" spans="1:12" hidden="1" x14ac:dyDescent="0.3">
      <c r="A1598" t="s">
        <v>105</v>
      </c>
      <c r="B1598" t="s">
        <v>106</v>
      </c>
      <c r="C1598" t="s">
        <v>9</v>
      </c>
      <c r="D1598" t="s">
        <v>10</v>
      </c>
      <c r="E1598">
        <v>1995</v>
      </c>
      <c r="F1598" s="1">
        <v>100</v>
      </c>
      <c r="G1598">
        <v>1990</v>
      </c>
      <c r="H1598">
        <f>AVERAGEIFS(Table1[value],Table1[IndicatorCode],Table1[[#This Row],[IndicatorCode]])</f>
        <v>99.756410256410263</v>
      </c>
      <c r="I1598" cm="1">
        <f t="array" ref="I1598">_xlfn.STDEV.P(IF(Table1[IndicatorCode]=Table1[[#This Row],[IndicatorCode]],Table1[value]))</f>
        <v>1.1047979755287356</v>
      </c>
      <c r="J1598">
        <f>(Table1[[#This Row],[value]] - Table1[[#This Row],[mean]]) / Table1[[#This Row],[std_dev]]</f>
        <v>0.22048351733552002</v>
      </c>
      <c r="K1598">
        <f>AVERAGEIF(Table1[CountryCode],Table1[[#This Row],[CountryCode]],Table1[z-score])</f>
        <v>-0.17106074072717981</v>
      </c>
      <c r="L1598" t="e">
        <f>VLOOKUP(Table1[[#This Row],[CountryCode]],[1]!Table1[#All],1,FALSE)</f>
        <v>#REF!</v>
      </c>
    </row>
    <row r="1599" spans="1:12" hidden="1" x14ac:dyDescent="0.3">
      <c r="A1599" t="s">
        <v>105</v>
      </c>
      <c r="B1599" t="s">
        <v>106</v>
      </c>
      <c r="C1599" t="s">
        <v>9</v>
      </c>
      <c r="D1599" t="s">
        <v>10</v>
      </c>
      <c r="E1599">
        <v>1996</v>
      </c>
      <c r="F1599" s="1">
        <v>100</v>
      </c>
      <c r="G1599">
        <v>1990</v>
      </c>
      <c r="H1599">
        <f>AVERAGEIFS(Table1[value],Table1[IndicatorCode],Table1[[#This Row],[IndicatorCode]])</f>
        <v>99.756410256410263</v>
      </c>
      <c r="I1599" cm="1">
        <f t="array" ref="I1599">_xlfn.STDEV.P(IF(Table1[IndicatorCode]=Table1[[#This Row],[IndicatorCode]],Table1[value]))</f>
        <v>1.1047979755287356</v>
      </c>
      <c r="J1599">
        <f>(Table1[[#This Row],[value]] - Table1[[#This Row],[mean]]) / Table1[[#This Row],[std_dev]]</f>
        <v>0.22048351733552002</v>
      </c>
      <c r="K1599">
        <f>AVERAGEIF(Table1[CountryCode],Table1[[#This Row],[CountryCode]],Table1[z-score])</f>
        <v>-0.17106074072717981</v>
      </c>
      <c r="L1599" t="e">
        <f>VLOOKUP(Table1[[#This Row],[CountryCode]],[1]!Table1[#All],1,FALSE)</f>
        <v>#REF!</v>
      </c>
    </row>
    <row r="1600" spans="1:12" hidden="1" x14ac:dyDescent="0.3">
      <c r="A1600" t="s">
        <v>105</v>
      </c>
      <c r="B1600" t="s">
        <v>106</v>
      </c>
      <c r="C1600" t="s">
        <v>9</v>
      </c>
      <c r="D1600" t="s">
        <v>10</v>
      </c>
      <c r="E1600">
        <v>1997</v>
      </c>
      <c r="F1600" s="1">
        <v>100</v>
      </c>
      <c r="G1600">
        <v>2000</v>
      </c>
      <c r="H1600">
        <f>AVERAGEIFS(Table1[value],Table1[IndicatorCode],Table1[[#This Row],[IndicatorCode]])</f>
        <v>99.756410256410263</v>
      </c>
      <c r="I1600" cm="1">
        <f t="array" ref="I1600">_xlfn.STDEV.P(IF(Table1[IndicatorCode]=Table1[[#This Row],[IndicatorCode]],Table1[value]))</f>
        <v>1.1047979755287356</v>
      </c>
      <c r="J1600">
        <f>(Table1[[#This Row],[value]] - Table1[[#This Row],[mean]]) / Table1[[#This Row],[std_dev]]</f>
        <v>0.22048351733552002</v>
      </c>
      <c r="K1600">
        <f>AVERAGEIF(Table1[CountryCode],Table1[[#This Row],[CountryCode]],Table1[z-score])</f>
        <v>-0.17106074072717981</v>
      </c>
      <c r="L1600" t="e">
        <f>VLOOKUP(Table1[[#This Row],[CountryCode]],[1]!Table1[#All],1,FALSE)</f>
        <v>#REF!</v>
      </c>
    </row>
    <row r="1601" spans="1:12" hidden="1" x14ac:dyDescent="0.3">
      <c r="A1601" t="s">
        <v>105</v>
      </c>
      <c r="B1601" t="s">
        <v>106</v>
      </c>
      <c r="C1601" t="s">
        <v>9</v>
      </c>
      <c r="D1601" t="s">
        <v>10</v>
      </c>
      <c r="E1601">
        <v>1998</v>
      </c>
      <c r="F1601" s="1">
        <v>100</v>
      </c>
      <c r="G1601">
        <v>2000</v>
      </c>
      <c r="H1601">
        <f>AVERAGEIFS(Table1[value],Table1[IndicatorCode],Table1[[#This Row],[IndicatorCode]])</f>
        <v>99.756410256410263</v>
      </c>
      <c r="I1601" cm="1">
        <f t="array" ref="I1601">_xlfn.STDEV.P(IF(Table1[IndicatorCode]=Table1[[#This Row],[IndicatorCode]],Table1[value]))</f>
        <v>1.1047979755287356</v>
      </c>
      <c r="J1601">
        <f>(Table1[[#This Row],[value]] - Table1[[#This Row],[mean]]) / Table1[[#This Row],[std_dev]]</f>
        <v>0.22048351733552002</v>
      </c>
      <c r="K1601">
        <f>AVERAGEIF(Table1[CountryCode],Table1[[#This Row],[CountryCode]],Table1[z-score])</f>
        <v>-0.17106074072717981</v>
      </c>
      <c r="L1601" t="e">
        <f>VLOOKUP(Table1[[#This Row],[CountryCode]],[1]!Table1[#All],1,FALSE)</f>
        <v>#REF!</v>
      </c>
    </row>
    <row r="1602" spans="1:12" hidden="1" x14ac:dyDescent="0.3">
      <c r="A1602" t="s">
        <v>105</v>
      </c>
      <c r="B1602" t="s">
        <v>106</v>
      </c>
      <c r="C1602" t="s">
        <v>9</v>
      </c>
      <c r="D1602" t="s">
        <v>10</v>
      </c>
      <c r="E1602">
        <v>1999</v>
      </c>
      <c r="F1602" s="1">
        <v>100</v>
      </c>
      <c r="G1602">
        <v>2000</v>
      </c>
      <c r="H1602">
        <f>AVERAGEIFS(Table1[value],Table1[IndicatorCode],Table1[[#This Row],[IndicatorCode]])</f>
        <v>99.756410256410263</v>
      </c>
      <c r="I1602" cm="1">
        <f t="array" ref="I1602">_xlfn.STDEV.P(IF(Table1[IndicatorCode]=Table1[[#This Row],[IndicatorCode]],Table1[value]))</f>
        <v>1.1047979755287356</v>
      </c>
      <c r="J1602">
        <f>(Table1[[#This Row],[value]] - Table1[[#This Row],[mean]]) / Table1[[#This Row],[std_dev]]</f>
        <v>0.22048351733552002</v>
      </c>
      <c r="K1602">
        <f>AVERAGEIF(Table1[CountryCode],Table1[[#This Row],[CountryCode]],Table1[z-score])</f>
        <v>-0.17106074072717981</v>
      </c>
      <c r="L1602" t="e">
        <f>VLOOKUP(Table1[[#This Row],[CountryCode]],[1]!Table1[#All],1,FALSE)</f>
        <v>#REF!</v>
      </c>
    </row>
    <row r="1603" spans="1:12" hidden="1" x14ac:dyDescent="0.3">
      <c r="A1603" t="s">
        <v>105</v>
      </c>
      <c r="B1603" t="s">
        <v>106</v>
      </c>
      <c r="C1603" t="s">
        <v>9</v>
      </c>
      <c r="D1603" t="s">
        <v>10</v>
      </c>
      <c r="E1603">
        <v>2000</v>
      </c>
      <c r="F1603" s="1">
        <v>100</v>
      </c>
      <c r="G1603">
        <v>2000</v>
      </c>
      <c r="H1603">
        <f>AVERAGEIFS(Table1[value],Table1[IndicatorCode],Table1[[#This Row],[IndicatorCode]])</f>
        <v>99.756410256410263</v>
      </c>
      <c r="I1603" cm="1">
        <f t="array" ref="I1603">_xlfn.STDEV.P(IF(Table1[IndicatorCode]=Table1[[#This Row],[IndicatorCode]],Table1[value]))</f>
        <v>1.1047979755287356</v>
      </c>
      <c r="J1603">
        <f>(Table1[[#This Row],[value]] - Table1[[#This Row],[mean]]) / Table1[[#This Row],[std_dev]]</f>
        <v>0.22048351733552002</v>
      </c>
      <c r="K1603">
        <f>AVERAGEIF(Table1[CountryCode],Table1[[#This Row],[CountryCode]],Table1[z-score])</f>
        <v>-0.17106074072717981</v>
      </c>
      <c r="L1603" t="e">
        <f>VLOOKUP(Table1[[#This Row],[CountryCode]],[1]!Table1[#All],1,FALSE)</f>
        <v>#REF!</v>
      </c>
    </row>
    <row r="1604" spans="1:12" hidden="1" x14ac:dyDescent="0.3">
      <c r="A1604" t="s">
        <v>105</v>
      </c>
      <c r="B1604" t="s">
        <v>106</v>
      </c>
      <c r="C1604" t="s">
        <v>9</v>
      </c>
      <c r="D1604" t="s">
        <v>10</v>
      </c>
      <c r="E1604">
        <v>2001</v>
      </c>
      <c r="F1604" s="1">
        <v>100</v>
      </c>
      <c r="G1604">
        <v>2000</v>
      </c>
      <c r="H1604">
        <f>AVERAGEIFS(Table1[value],Table1[IndicatorCode],Table1[[#This Row],[IndicatorCode]])</f>
        <v>99.756410256410263</v>
      </c>
      <c r="I1604" cm="1">
        <f t="array" ref="I1604">_xlfn.STDEV.P(IF(Table1[IndicatorCode]=Table1[[#This Row],[IndicatorCode]],Table1[value]))</f>
        <v>1.1047979755287356</v>
      </c>
      <c r="J1604">
        <f>(Table1[[#This Row],[value]] - Table1[[#This Row],[mean]]) / Table1[[#This Row],[std_dev]]</f>
        <v>0.22048351733552002</v>
      </c>
      <c r="K1604">
        <f>AVERAGEIF(Table1[CountryCode],Table1[[#This Row],[CountryCode]],Table1[z-score])</f>
        <v>-0.17106074072717981</v>
      </c>
      <c r="L1604" t="e">
        <f>VLOOKUP(Table1[[#This Row],[CountryCode]],[1]!Table1[#All],1,FALSE)</f>
        <v>#REF!</v>
      </c>
    </row>
    <row r="1605" spans="1:12" hidden="1" x14ac:dyDescent="0.3">
      <c r="A1605" t="s">
        <v>105</v>
      </c>
      <c r="B1605" t="s">
        <v>106</v>
      </c>
      <c r="C1605" t="s">
        <v>9</v>
      </c>
      <c r="D1605" t="s">
        <v>10</v>
      </c>
      <c r="E1605">
        <v>2002</v>
      </c>
      <c r="F1605" s="1">
        <v>100</v>
      </c>
      <c r="G1605">
        <v>2000</v>
      </c>
      <c r="H1605">
        <f>AVERAGEIFS(Table1[value],Table1[IndicatorCode],Table1[[#This Row],[IndicatorCode]])</f>
        <v>99.756410256410263</v>
      </c>
      <c r="I1605" cm="1">
        <f t="array" ref="I1605">_xlfn.STDEV.P(IF(Table1[IndicatorCode]=Table1[[#This Row],[IndicatorCode]],Table1[value]))</f>
        <v>1.1047979755287356</v>
      </c>
      <c r="J1605">
        <f>(Table1[[#This Row],[value]] - Table1[[#This Row],[mean]]) / Table1[[#This Row],[std_dev]]</f>
        <v>0.22048351733552002</v>
      </c>
      <c r="K1605">
        <f>AVERAGEIF(Table1[CountryCode],Table1[[#This Row],[CountryCode]],Table1[z-score])</f>
        <v>-0.17106074072717981</v>
      </c>
      <c r="L1605" t="e">
        <f>VLOOKUP(Table1[[#This Row],[CountryCode]],[1]!Table1[#All],1,FALSE)</f>
        <v>#REF!</v>
      </c>
    </row>
    <row r="1606" spans="1:12" hidden="1" x14ac:dyDescent="0.3">
      <c r="A1606" t="s">
        <v>105</v>
      </c>
      <c r="B1606" t="s">
        <v>106</v>
      </c>
      <c r="C1606" t="s">
        <v>9</v>
      </c>
      <c r="D1606" t="s">
        <v>10</v>
      </c>
      <c r="E1606">
        <v>2003</v>
      </c>
      <c r="F1606" s="1">
        <v>100</v>
      </c>
      <c r="G1606">
        <v>2000</v>
      </c>
      <c r="H1606">
        <f>AVERAGEIFS(Table1[value],Table1[IndicatorCode],Table1[[#This Row],[IndicatorCode]])</f>
        <v>99.756410256410263</v>
      </c>
      <c r="I1606" cm="1">
        <f t="array" ref="I1606">_xlfn.STDEV.P(IF(Table1[IndicatorCode]=Table1[[#This Row],[IndicatorCode]],Table1[value]))</f>
        <v>1.1047979755287356</v>
      </c>
      <c r="J1606">
        <f>(Table1[[#This Row],[value]] - Table1[[#This Row],[mean]]) / Table1[[#This Row],[std_dev]]</f>
        <v>0.22048351733552002</v>
      </c>
      <c r="K1606">
        <f>AVERAGEIF(Table1[CountryCode],Table1[[#This Row],[CountryCode]],Table1[z-score])</f>
        <v>-0.17106074072717981</v>
      </c>
      <c r="L1606" t="e">
        <f>VLOOKUP(Table1[[#This Row],[CountryCode]],[1]!Table1[#All],1,FALSE)</f>
        <v>#REF!</v>
      </c>
    </row>
    <row r="1607" spans="1:12" hidden="1" x14ac:dyDescent="0.3">
      <c r="A1607" t="s">
        <v>105</v>
      </c>
      <c r="B1607" t="s">
        <v>106</v>
      </c>
      <c r="C1607" t="s">
        <v>9</v>
      </c>
      <c r="D1607" t="s">
        <v>10</v>
      </c>
      <c r="E1607">
        <v>2004</v>
      </c>
      <c r="F1607" s="1">
        <v>100</v>
      </c>
      <c r="G1607">
        <v>2000</v>
      </c>
      <c r="H1607">
        <f>AVERAGEIFS(Table1[value],Table1[IndicatorCode],Table1[[#This Row],[IndicatorCode]])</f>
        <v>99.756410256410263</v>
      </c>
      <c r="I1607" cm="1">
        <f t="array" ref="I1607">_xlfn.STDEV.P(IF(Table1[IndicatorCode]=Table1[[#This Row],[IndicatorCode]],Table1[value]))</f>
        <v>1.1047979755287356</v>
      </c>
      <c r="J1607">
        <f>(Table1[[#This Row],[value]] - Table1[[#This Row],[mean]]) / Table1[[#This Row],[std_dev]]</f>
        <v>0.22048351733552002</v>
      </c>
      <c r="K1607">
        <f>AVERAGEIF(Table1[CountryCode],Table1[[#This Row],[CountryCode]],Table1[z-score])</f>
        <v>-0.17106074072717981</v>
      </c>
      <c r="L1607" t="e">
        <f>VLOOKUP(Table1[[#This Row],[CountryCode]],[1]!Table1[#All],1,FALSE)</f>
        <v>#REF!</v>
      </c>
    </row>
    <row r="1608" spans="1:12" hidden="1" x14ac:dyDescent="0.3">
      <c r="A1608" t="s">
        <v>105</v>
      </c>
      <c r="B1608" t="s">
        <v>106</v>
      </c>
      <c r="C1608" t="s">
        <v>9</v>
      </c>
      <c r="D1608" t="s">
        <v>10</v>
      </c>
      <c r="E1608">
        <v>2005</v>
      </c>
      <c r="F1608" s="1">
        <v>100</v>
      </c>
      <c r="G1608">
        <v>2000</v>
      </c>
      <c r="H1608">
        <f>AVERAGEIFS(Table1[value],Table1[IndicatorCode],Table1[[#This Row],[IndicatorCode]])</f>
        <v>99.756410256410263</v>
      </c>
      <c r="I1608" cm="1">
        <f t="array" ref="I1608">_xlfn.STDEV.P(IF(Table1[IndicatorCode]=Table1[[#This Row],[IndicatorCode]],Table1[value]))</f>
        <v>1.1047979755287356</v>
      </c>
      <c r="J1608">
        <f>(Table1[[#This Row],[value]] - Table1[[#This Row],[mean]]) / Table1[[#This Row],[std_dev]]</f>
        <v>0.22048351733552002</v>
      </c>
      <c r="K1608">
        <f>AVERAGEIF(Table1[CountryCode],Table1[[#This Row],[CountryCode]],Table1[z-score])</f>
        <v>-0.17106074072717981</v>
      </c>
      <c r="L1608" t="e">
        <f>VLOOKUP(Table1[[#This Row],[CountryCode]],[1]!Table1[#All],1,FALSE)</f>
        <v>#REF!</v>
      </c>
    </row>
    <row r="1609" spans="1:12" hidden="1" x14ac:dyDescent="0.3">
      <c r="A1609" t="s">
        <v>105</v>
      </c>
      <c r="B1609" t="s">
        <v>106</v>
      </c>
      <c r="C1609" t="s">
        <v>9</v>
      </c>
      <c r="D1609" t="s">
        <v>10</v>
      </c>
      <c r="E1609">
        <v>2006</v>
      </c>
      <c r="F1609" s="1">
        <v>100</v>
      </c>
      <c r="G1609">
        <v>2000</v>
      </c>
      <c r="H1609">
        <f>AVERAGEIFS(Table1[value],Table1[IndicatorCode],Table1[[#This Row],[IndicatorCode]])</f>
        <v>99.756410256410263</v>
      </c>
      <c r="I1609" cm="1">
        <f t="array" ref="I1609">_xlfn.STDEV.P(IF(Table1[IndicatorCode]=Table1[[#This Row],[IndicatorCode]],Table1[value]))</f>
        <v>1.1047979755287356</v>
      </c>
      <c r="J1609">
        <f>(Table1[[#This Row],[value]] - Table1[[#This Row],[mean]]) / Table1[[#This Row],[std_dev]]</f>
        <v>0.22048351733552002</v>
      </c>
      <c r="K1609">
        <f>AVERAGEIF(Table1[CountryCode],Table1[[#This Row],[CountryCode]],Table1[z-score])</f>
        <v>-0.17106074072717981</v>
      </c>
      <c r="L1609" t="e">
        <f>VLOOKUP(Table1[[#This Row],[CountryCode]],[1]!Table1[#All],1,FALSE)</f>
        <v>#REF!</v>
      </c>
    </row>
    <row r="1610" spans="1:12" hidden="1" x14ac:dyDescent="0.3">
      <c r="A1610" t="s">
        <v>105</v>
      </c>
      <c r="B1610" t="s">
        <v>106</v>
      </c>
      <c r="C1610" t="s">
        <v>9</v>
      </c>
      <c r="D1610" t="s">
        <v>10</v>
      </c>
      <c r="E1610">
        <v>2007</v>
      </c>
      <c r="F1610" s="1">
        <v>100</v>
      </c>
      <c r="G1610">
        <v>2010</v>
      </c>
      <c r="H1610">
        <f>AVERAGEIFS(Table1[value],Table1[IndicatorCode],Table1[[#This Row],[IndicatorCode]])</f>
        <v>99.756410256410263</v>
      </c>
      <c r="I1610" cm="1">
        <f t="array" ref="I1610">_xlfn.STDEV.P(IF(Table1[IndicatorCode]=Table1[[#This Row],[IndicatorCode]],Table1[value]))</f>
        <v>1.1047979755287356</v>
      </c>
      <c r="J1610">
        <f>(Table1[[#This Row],[value]] - Table1[[#This Row],[mean]]) / Table1[[#This Row],[std_dev]]</f>
        <v>0.22048351733552002</v>
      </c>
      <c r="K1610">
        <f>AVERAGEIF(Table1[CountryCode],Table1[[#This Row],[CountryCode]],Table1[z-score])</f>
        <v>-0.17106074072717981</v>
      </c>
      <c r="L1610" t="e">
        <f>VLOOKUP(Table1[[#This Row],[CountryCode]],[1]!Table1[#All],1,FALSE)</f>
        <v>#REF!</v>
      </c>
    </row>
    <row r="1611" spans="1:12" hidden="1" x14ac:dyDescent="0.3">
      <c r="A1611" t="s">
        <v>105</v>
      </c>
      <c r="B1611" t="s">
        <v>106</v>
      </c>
      <c r="C1611" t="s">
        <v>9</v>
      </c>
      <c r="D1611" t="s">
        <v>10</v>
      </c>
      <c r="E1611">
        <v>2008</v>
      </c>
      <c r="F1611" s="1">
        <v>100</v>
      </c>
      <c r="G1611">
        <v>2010</v>
      </c>
      <c r="H1611">
        <f>AVERAGEIFS(Table1[value],Table1[IndicatorCode],Table1[[#This Row],[IndicatorCode]])</f>
        <v>99.756410256410263</v>
      </c>
      <c r="I1611" cm="1">
        <f t="array" ref="I1611">_xlfn.STDEV.P(IF(Table1[IndicatorCode]=Table1[[#This Row],[IndicatorCode]],Table1[value]))</f>
        <v>1.1047979755287356</v>
      </c>
      <c r="J1611">
        <f>(Table1[[#This Row],[value]] - Table1[[#This Row],[mean]]) / Table1[[#This Row],[std_dev]]</f>
        <v>0.22048351733552002</v>
      </c>
      <c r="K1611">
        <f>AVERAGEIF(Table1[CountryCode],Table1[[#This Row],[CountryCode]],Table1[z-score])</f>
        <v>-0.17106074072717981</v>
      </c>
      <c r="L1611" t="e">
        <f>VLOOKUP(Table1[[#This Row],[CountryCode]],[1]!Table1[#All],1,FALSE)</f>
        <v>#REF!</v>
      </c>
    </row>
    <row r="1612" spans="1:12" hidden="1" x14ac:dyDescent="0.3">
      <c r="A1612" t="s">
        <v>105</v>
      </c>
      <c r="B1612" t="s">
        <v>106</v>
      </c>
      <c r="C1612" t="s">
        <v>9</v>
      </c>
      <c r="D1612" t="s">
        <v>10</v>
      </c>
      <c r="E1612">
        <v>2009</v>
      </c>
      <c r="F1612" s="1">
        <v>100</v>
      </c>
      <c r="G1612">
        <v>2010</v>
      </c>
      <c r="H1612">
        <f>AVERAGEIFS(Table1[value],Table1[IndicatorCode],Table1[[#This Row],[IndicatorCode]])</f>
        <v>99.756410256410263</v>
      </c>
      <c r="I1612" cm="1">
        <f t="array" ref="I1612">_xlfn.STDEV.P(IF(Table1[IndicatorCode]=Table1[[#This Row],[IndicatorCode]],Table1[value]))</f>
        <v>1.1047979755287356</v>
      </c>
      <c r="J1612">
        <f>(Table1[[#This Row],[value]] - Table1[[#This Row],[mean]]) / Table1[[#This Row],[std_dev]]</f>
        <v>0.22048351733552002</v>
      </c>
      <c r="K1612">
        <f>AVERAGEIF(Table1[CountryCode],Table1[[#This Row],[CountryCode]],Table1[z-score])</f>
        <v>-0.17106074072717981</v>
      </c>
      <c r="L1612" t="e">
        <f>VLOOKUP(Table1[[#This Row],[CountryCode]],[1]!Table1[#All],1,FALSE)</f>
        <v>#REF!</v>
      </c>
    </row>
    <row r="1613" spans="1:12" hidden="1" x14ac:dyDescent="0.3">
      <c r="A1613" t="s">
        <v>105</v>
      </c>
      <c r="B1613" t="s">
        <v>106</v>
      </c>
      <c r="C1613" t="s">
        <v>9</v>
      </c>
      <c r="D1613" t="s">
        <v>10</v>
      </c>
      <c r="E1613">
        <v>2010</v>
      </c>
      <c r="F1613" s="1">
        <v>100</v>
      </c>
      <c r="G1613">
        <v>2010</v>
      </c>
      <c r="H1613">
        <f>AVERAGEIFS(Table1[value],Table1[IndicatorCode],Table1[[#This Row],[IndicatorCode]])</f>
        <v>99.756410256410263</v>
      </c>
      <c r="I1613" cm="1">
        <f t="array" ref="I1613">_xlfn.STDEV.P(IF(Table1[IndicatorCode]=Table1[[#This Row],[IndicatorCode]],Table1[value]))</f>
        <v>1.1047979755287356</v>
      </c>
      <c r="J1613">
        <f>(Table1[[#This Row],[value]] - Table1[[#This Row],[mean]]) / Table1[[#This Row],[std_dev]]</f>
        <v>0.22048351733552002</v>
      </c>
      <c r="K1613">
        <f>AVERAGEIF(Table1[CountryCode],Table1[[#This Row],[CountryCode]],Table1[z-score])</f>
        <v>-0.17106074072717981</v>
      </c>
      <c r="L1613" t="e">
        <f>VLOOKUP(Table1[[#This Row],[CountryCode]],[1]!Table1[#All],1,FALSE)</f>
        <v>#REF!</v>
      </c>
    </row>
    <row r="1614" spans="1:12" hidden="1" x14ac:dyDescent="0.3">
      <c r="A1614" t="s">
        <v>105</v>
      </c>
      <c r="B1614" t="s">
        <v>106</v>
      </c>
      <c r="C1614" t="s">
        <v>9</v>
      </c>
      <c r="D1614" t="s">
        <v>10</v>
      </c>
      <c r="E1614">
        <v>2011</v>
      </c>
      <c r="F1614" s="1">
        <v>100</v>
      </c>
      <c r="G1614">
        <v>2010</v>
      </c>
      <c r="H1614">
        <f>AVERAGEIFS(Table1[value],Table1[IndicatorCode],Table1[[#This Row],[IndicatorCode]])</f>
        <v>99.756410256410263</v>
      </c>
      <c r="I1614" cm="1">
        <f t="array" ref="I1614">_xlfn.STDEV.P(IF(Table1[IndicatorCode]=Table1[[#This Row],[IndicatorCode]],Table1[value]))</f>
        <v>1.1047979755287356</v>
      </c>
      <c r="J1614">
        <f>(Table1[[#This Row],[value]] - Table1[[#This Row],[mean]]) / Table1[[#This Row],[std_dev]]</f>
        <v>0.22048351733552002</v>
      </c>
      <c r="K1614">
        <f>AVERAGEIF(Table1[CountryCode],Table1[[#This Row],[CountryCode]],Table1[z-score])</f>
        <v>-0.17106074072717981</v>
      </c>
      <c r="L1614" t="e">
        <f>VLOOKUP(Table1[[#This Row],[CountryCode]],[1]!Table1[#All],1,FALSE)</f>
        <v>#REF!</v>
      </c>
    </row>
    <row r="1615" spans="1:12" hidden="1" x14ac:dyDescent="0.3">
      <c r="A1615" t="s">
        <v>105</v>
      </c>
      <c r="B1615" t="s">
        <v>106</v>
      </c>
      <c r="C1615" t="s">
        <v>9</v>
      </c>
      <c r="D1615" t="s">
        <v>10</v>
      </c>
      <c r="E1615">
        <v>2012</v>
      </c>
      <c r="F1615" s="1">
        <v>100</v>
      </c>
      <c r="G1615">
        <v>2010</v>
      </c>
      <c r="H1615">
        <f>AVERAGEIFS(Table1[value],Table1[IndicatorCode],Table1[[#This Row],[IndicatorCode]])</f>
        <v>99.756410256410263</v>
      </c>
      <c r="I1615" cm="1">
        <f t="array" ref="I1615">_xlfn.STDEV.P(IF(Table1[IndicatorCode]=Table1[[#This Row],[IndicatorCode]],Table1[value]))</f>
        <v>1.1047979755287356</v>
      </c>
      <c r="J1615">
        <f>(Table1[[#This Row],[value]] - Table1[[#This Row],[mean]]) / Table1[[#This Row],[std_dev]]</f>
        <v>0.22048351733552002</v>
      </c>
      <c r="K1615">
        <f>AVERAGEIF(Table1[CountryCode],Table1[[#This Row],[CountryCode]],Table1[z-score])</f>
        <v>-0.17106074072717981</v>
      </c>
      <c r="L1615" t="e">
        <f>VLOOKUP(Table1[[#This Row],[CountryCode]],[1]!Table1[#All],1,FALSE)</f>
        <v>#REF!</v>
      </c>
    </row>
    <row r="1616" spans="1:12" hidden="1" x14ac:dyDescent="0.3">
      <c r="A1616" t="s">
        <v>105</v>
      </c>
      <c r="B1616" t="s">
        <v>106</v>
      </c>
      <c r="C1616" t="s">
        <v>9</v>
      </c>
      <c r="D1616" t="s">
        <v>10</v>
      </c>
      <c r="E1616">
        <v>2013</v>
      </c>
      <c r="F1616" s="1">
        <v>100</v>
      </c>
      <c r="G1616">
        <v>2010</v>
      </c>
      <c r="H1616">
        <f>AVERAGEIFS(Table1[value],Table1[IndicatorCode],Table1[[#This Row],[IndicatorCode]])</f>
        <v>99.756410256410263</v>
      </c>
      <c r="I1616" cm="1">
        <f t="array" ref="I1616">_xlfn.STDEV.P(IF(Table1[IndicatorCode]=Table1[[#This Row],[IndicatorCode]],Table1[value]))</f>
        <v>1.1047979755287356</v>
      </c>
      <c r="J1616">
        <f>(Table1[[#This Row],[value]] - Table1[[#This Row],[mean]]) / Table1[[#This Row],[std_dev]]</f>
        <v>0.22048351733552002</v>
      </c>
      <c r="K1616">
        <f>AVERAGEIF(Table1[CountryCode],Table1[[#This Row],[CountryCode]],Table1[z-score])</f>
        <v>-0.17106074072717981</v>
      </c>
      <c r="L1616" t="e">
        <f>VLOOKUP(Table1[[#This Row],[CountryCode]],[1]!Table1[#All],1,FALSE)</f>
        <v>#REF!</v>
      </c>
    </row>
    <row r="1617" spans="1:12" hidden="1" x14ac:dyDescent="0.3">
      <c r="A1617" t="s">
        <v>105</v>
      </c>
      <c r="B1617" t="s">
        <v>106</v>
      </c>
      <c r="C1617" t="s">
        <v>9</v>
      </c>
      <c r="D1617" t="s">
        <v>10</v>
      </c>
      <c r="E1617">
        <v>2014</v>
      </c>
      <c r="F1617" s="1">
        <v>100</v>
      </c>
      <c r="G1617">
        <v>2010</v>
      </c>
      <c r="H1617">
        <f>AVERAGEIFS(Table1[value],Table1[IndicatorCode],Table1[[#This Row],[IndicatorCode]])</f>
        <v>99.756410256410263</v>
      </c>
      <c r="I1617" cm="1">
        <f t="array" ref="I1617">_xlfn.STDEV.P(IF(Table1[IndicatorCode]=Table1[[#This Row],[IndicatorCode]],Table1[value]))</f>
        <v>1.1047979755287356</v>
      </c>
      <c r="J1617">
        <f>(Table1[[#This Row],[value]] - Table1[[#This Row],[mean]]) / Table1[[#This Row],[std_dev]]</f>
        <v>0.22048351733552002</v>
      </c>
      <c r="K1617">
        <f>AVERAGEIF(Table1[CountryCode],Table1[[#This Row],[CountryCode]],Table1[z-score])</f>
        <v>-0.17106074072717981</v>
      </c>
      <c r="L1617" t="e">
        <f>VLOOKUP(Table1[[#This Row],[CountryCode]],[1]!Table1[#All],1,FALSE)</f>
        <v>#REF!</v>
      </c>
    </row>
    <row r="1618" spans="1:12" hidden="1" x14ac:dyDescent="0.3">
      <c r="A1618" t="s">
        <v>105</v>
      </c>
      <c r="B1618" t="s">
        <v>106</v>
      </c>
      <c r="C1618" t="s">
        <v>9</v>
      </c>
      <c r="D1618" t="s">
        <v>10</v>
      </c>
      <c r="E1618">
        <v>2015</v>
      </c>
      <c r="F1618" s="1">
        <v>100</v>
      </c>
      <c r="G1618">
        <v>2010</v>
      </c>
      <c r="H1618">
        <f>AVERAGEIFS(Table1[value],Table1[IndicatorCode],Table1[[#This Row],[IndicatorCode]])</f>
        <v>99.756410256410263</v>
      </c>
      <c r="I1618" cm="1">
        <f t="array" ref="I1618">_xlfn.STDEV.P(IF(Table1[IndicatorCode]=Table1[[#This Row],[IndicatorCode]],Table1[value]))</f>
        <v>1.1047979755287356</v>
      </c>
      <c r="J1618">
        <f>(Table1[[#This Row],[value]] - Table1[[#This Row],[mean]]) / Table1[[#This Row],[std_dev]]</f>
        <v>0.22048351733552002</v>
      </c>
      <c r="K1618">
        <f>AVERAGEIF(Table1[CountryCode],Table1[[#This Row],[CountryCode]],Table1[z-score])</f>
        <v>-0.17106074072717981</v>
      </c>
      <c r="L1618" t="e">
        <f>VLOOKUP(Table1[[#This Row],[CountryCode]],[1]!Table1[#All],1,FALSE)</f>
        <v>#REF!</v>
      </c>
    </row>
    <row r="1619" spans="1:12" hidden="1" x14ac:dyDescent="0.3">
      <c r="A1619" t="s">
        <v>105</v>
      </c>
      <c r="B1619" t="s">
        <v>106</v>
      </c>
      <c r="C1619" t="s">
        <v>9</v>
      </c>
      <c r="D1619" t="s">
        <v>10</v>
      </c>
      <c r="E1619">
        <v>2016</v>
      </c>
      <c r="F1619" s="1">
        <v>100</v>
      </c>
      <c r="G1619">
        <v>2010</v>
      </c>
      <c r="H1619">
        <f>AVERAGEIFS(Table1[value],Table1[IndicatorCode],Table1[[#This Row],[IndicatorCode]])</f>
        <v>99.756410256410263</v>
      </c>
      <c r="I1619" cm="1">
        <f t="array" ref="I1619">_xlfn.STDEV.P(IF(Table1[IndicatorCode]=Table1[[#This Row],[IndicatorCode]],Table1[value]))</f>
        <v>1.1047979755287356</v>
      </c>
      <c r="J1619">
        <f>(Table1[[#This Row],[value]] - Table1[[#This Row],[mean]]) / Table1[[#This Row],[std_dev]]</f>
        <v>0.22048351733552002</v>
      </c>
      <c r="K1619">
        <f>AVERAGEIF(Table1[CountryCode],Table1[[#This Row],[CountryCode]],Table1[z-score])</f>
        <v>-0.17106074072717981</v>
      </c>
      <c r="L1619" t="e">
        <f>VLOOKUP(Table1[[#This Row],[CountryCode]],[1]!Table1[#All],1,FALSE)</f>
        <v>#REF!</v>
      </c>
    </row>
    <row r="1620" spans="1:12" hidden="1" x14ac:dyDescent="0.3">
      <c r="A1620" t="s">
        <v>105</v>
      </c>
      <c r="B1620" t="s">
        <v>106</v>
      </c>
      <c r="C1620" t="s">
        <v>9</v>
      </c>
      <c r="D1620" t="s">
        <v>10</v>
      </c>
      <c r="E1620">
        <v>2017</v>
      </c>
      <c r="F1620" s="1">
        <v>100</v>
      </c>
      <c r="G1620">
        <v>2020</v>
      </c>
      <c r="H1620">
        <f>AVERAGEIFS(Table1[value],Table1[IndicatorCode],Table1[[#This Row],[IndicatorCode]])</f>
        <v>99.756410256410263</v>
      </c>
      <c r="I1620" cm="1">
        <f t="array" ref="I1620">_xlfn.STDEV.P(IF(Table1[IndicatorCode]=Table1[[#This Row],[IndicatorCode]],Table1[value]))</f>
        <v>1.1047979755287356</v>
      </c>
      <c r="J1620">
        <f>(Table1[[#This Row],[value]] - Table1[[#This Row],[mean]]) / Table1[[#This Row],[std_dev]]</f>
        <v>0.22048351733552002</v>
      </c>
      <c r="K1620">
        <f>AVERAGEIF(Table1[CountryCode],Table1[[#This Row],[CountryCode]],Table1[z-score])</f>
        <v>-0.17106074072717981</v>
      </c>
      <c r="L1620" t="e">
        <f>VLOOKUP(Table1[[#This Row],[CountryCode]],[1]!Table1[#All],1,FALSE)</f>
        <v>#REF!</v>
      </c>
    </row>
    <row r="1621" spans="1:12" hidden="1" x14ac:dyDescent="0.3">
      <c r="A1621" t="s">
        <v>105</v>
      </c>
      <c r="B1621" t="s">
        <v>106</v>
      </c>
      <c r="C1621" t="s">
        <v>9</v>
      </c>
      <c r="D1621" t="s">
        <v>10</v>
      </c>
      <c r="E1621">
        <v>2018</v>
      </c>
      <c r="F1621" s="1">
        <v>100</v>
      </c>
      <c r="G1621">
        <v>2020</v>
      </c>
      <c r="H1621">
        <f>AVERAGEIFS(Table1[value],Table1[IndicatorCode],Table1[[#This Row],[IndicatorCode]])</f>
        <v>99.756410256410263</v>
      </c>
      <c r="I1621" cm="1">
        <f t="array" ref="I1621">_xlfn.STDEV.P(IF(Table1[IndicatorCode]=Table1[[#This Row],[IndicatorCode]],Table1[value]))</f>
        <v>1.1047979755287356</v>
      </c>
      <c r="J1621">
        <f>(Table1[[#This Row],[value]] - Table1[[#This Row],[mean]]) / Table1[[#This Row],[std_dev]]</f>
        <v>0.22048351733552002</v>
      </c>
      <c r="K1621">
        <f>AVERAGEIF(Table1[CountryCode],Table1[[#This Row],[CountryCode]],Table1[z-score])</f>
        <v>-0.17106074072717981</v>
      </c>
      <c r="L1621" t="e">
        <f>VLOOKUP(Table1[[#This Row],[CountryCode]],[1]!Table1[#All],1,FALSE)</f>
        <v>#REF!</v>
      </c>
    </row>
    <row r="1622" spans="1:12" hidden="1" x14ac:dyDescent="0.3">
      <c r="A1622" t="s">
        <v>105</v>
      </c>
      <c r="B1622" t="s">
        <v>106</v>
      </c>
      <c r="C1622" t="s">
        <v>9</v>
      </c>
      <c r="D1622" t="s">
        <v>10</v>
      </c>
      <c r="E1622">
        <v>2019</v>
      </c>
      <c r="F1622" s="1">
        <v>100</v>
      </c>
      <c r="G1622">
        <v>2020</v>
      </c>
      <c r="H1622">
        <f>AVERAGEIFS(Table1[value],Table1[IndicatorCode],Table1[[#This Row],[IndicatorCode]])</f>
        <v>99.756410256410263</v>
      </c>
      <c r="I1622" cm="1">
        <f t="array" ref="I1622">_xlfn.STDEV.P(IF(Table1[IndicatorCode]=Table1[[#This Row],[IndicatorCode]],Table1[value]))</f>
        <v>1.1047979755287356</v>
      </c>
      <c r="J1622">
        <f>(Table1[[#This Row],[value]] - Table1[[#This Row],[mean]]) / Table1[[#This Row],[std_dev]]</f>
        <v>0.22048351733552002</v>
      </c>
      <c r="K1622">
        <f>AVERAGEIF(Table1[CountryCode],Table1[[#This Row],[CountryCode]],Table1[z-score])</f>
        <v>-0.17106074072717981</v>
      </c>
      <c r="L1622" t="e">
        <f>VLOOKUP(Table1[[#This Row],[CountryCode]],[1]!Table1[#All],1,FALSE)</f>
        <v>#REF!</v>
      </c>
    </row>
    <row r="1623" spans="1:12" x14ac:dyDescent="0.3">
      <c r="A1623" t="s">
        <v>105</v>
      </c>
      <c r="B1623" t="s">
        <v>106</v>
      </c>
      <c r="C1623" t="s">
        <v>9</v>
      </c>
      <c r="D1623" t="s">
        <v>10</v>
      </c>
      <c r="E1623">
        <v>2020</v>
      </c>
      <c r="F1623" s="1">
        <v>100</v>
      </c>
      <c r="G1623">
        <v>2020</v>
      </c>
      <c r="H1623">
        <f>AVERAGEIFS(Table1[value],Table1[IndicatorCode],Table1[[#This Row],[IndicatorCode]])</f>
        <v>99.756410256410263</v>
      </c>
      <c r="I1623" cm="1">
        <f t="array" ref="I1623">_xlfn.STDEV.P(IF(Table1[IndicatorCode]=Table1[[#This Row],[IndicatorCode]],Table1[value]))</f>
        <v>1.1047979755287356</v>
      </c>
      <c r="J1623">
        <f>(Table1[[#This Row],[value]] - Table1[[#This Row],[mean]]) / Table1[[#This Row],[std_dev]]</f>
        <v>0.22048351733552002</v>
      </c>
      <c r="K1623">
        <f>AVERAGEIF(Table1[CountryCode],Table1[[#This Row],[CountryCode]],Table1[z-score])</f>
        <v>-0.17106074072717981</v>
      </c>
    </row>
    <row r="1624" spans="1:12" hidden="1" x14ac:dyDescent="0.3">
      <c r="A1624" t="s">
        <v>105</v>
      </c>
      <c r="B1624" t="s">
        <v>106</v>
      </c>
      <c r="C1624" t="s">
        <v>9</v>
      </c>
      <c r="D1624" t="s">
        <v>10</v>
      </c>
      <c r="E1624">
        <v>2021</v>
      </c>
      <c r="F1624" s="1">
        <v>100</v>
      </c>
      <c r="G1624">
        <v>1990</v>
      </c>
      <c r="H1624">
        <f>AVERAGEIFS(Table1[value],Table1[IndicatorCode],Table1[[#This Row],[IndicatorCode]])</f>
        <v>99.756410256410263</v>
      </c>
      <c r="I1624" cm="1">
        <f t="array" ref="I1624">_xlfn.STDEV.P(IF(Table1[IndicatorCode]=Table1[[#This Row],[IndicatorCode]],Table1[value]))</f>
        <v>1.1047979755287356</v>
      </c>
      <c r="J1624">
        <f>(Table1[[#This Row],[value]] - Table1[[#This Row],[mean]]) / Table1[[#This Row],[std_dev]]</f>
        <v>0.22048351733552002</v>
      </c>
      <c r="K1624">
        <f>AVERAGEIF(Table1[CountryCode],Table1[[#This Row],[CountryCode]],Table1[z-score])</f>
        <v>-0.17106074072717981</v>
      </c>
      <c r="L1624" t="e">
        <f>VLOOKUP(Table1[[#This Row],[CountryCode]],[1]!Table1[#All],1,FALSE)</f>
        <v>#REF!</v>
      </c>
    </row>
    <row r="1625" spans="1:12" hidden="1" x14ac:dyDescent="0.3">
      <c r="A1625" t="s">
        <v>105</v>
      </c>
      <c r="B1625" t="s">
        <v>106</v>
      </c>
      <c r="C1625" t="s">
        <v>9</v>
      </c>
      <c r="D1625" t="s">
        <v>10</v>
      </c>
      <c r="E1625">
        <v>2022</v>
      </c>
      <c r="F1625" s="1">
        <v>100</v>
      </c>
      <c r="G1625">
        <v>1990</v>
      </c>
      <c r="H1625">
        <f>AVERAGEIFS(Table1[value],Table1[IndicatorCode],Table1[[#This Row],[IndicatorCode]])</f>
        <v>99.756410256410263</v>
      </c>
      <c r="I1625" cm="1">
        <f t="array" ref="I1625">_xlfn.STDEV.P(IF(Table1[IndicatorCode]=Table1[[#This Row],[IndicatorCode]],Table1[value]))</f>
        <v>1.1047979755287356</v>
      </c>
      <c r="J1625">
        <f>(Table1[[#This Row],[value]] - Table1[[#This Row],[mean]]) / Table1[[#This Row],[std_dev]]</f>
        <v>0.22048351733552002</v>
      </c>
      <c r="K1625">
        <f>AVERAGEIF(Table1[CountryCode],Table1[[#This Row],[CountryCode]],Table1[z-score])</f>
        <v>-0.17106074072717981</v>
      </c>
      <c r="L1625" t="e">
        <f>VLOOKUP(Table1[[#This Row],[CountryCode]],[1]!Table1[#All],1,FALSE)</f>
        <v>#REF!</v>
      </c>
    </row>
    <row r="1626" spans="1:12" hidden="1" x14ac:dyDescent="0.3">
      <c r="A1626" t="s">
        <v>105</v>
      </c>
      <c r="B1626" t="s">
        <v>106</v>
      </c>
      <c r="C1626" t="s">
        <v>9</v>
      </c>
      <c r="D1626" t="s">
        <v>10</v>
      </c>
      <c r="E1626">
        <v>2023</v>
      </c>
      <c r="F1626" s="1">
        <v>100</v>
      </c>
      <c r="G1626">
        <v>1990</v>
      </c>
      <c r="H1626">
        <f>AVERAGEIFS(Table1[value],Table1[IndicatorCode],Table1[[#This Row],[IndicatorCode]])</f>
        <v>99.756410256410263</v>
      </c>
      <c r="I1626" cm="1">
        <f t="array" ref="I1626">_xlfn.STDEV.P(IF(Table1[IndicatorCode]=Table1[[#This Row],[IndicatorCode]],Table1[value]))</f>
        <v>1.1047979755287356</v>
      </c>
      <c r="J1626">
        <f>(Table1[[#This Row],[value]] - Table1[[#This Row],[mean]]) / Table1[[#This Row],[std_dev]]</f>
        <v>0.22048351733552002</v>
      </c>
      <c r="K1626">
        <f>AVERAGEIF(Table1[CountryCode],Table1[[#This Row],[CountryCode]],Table1[z-score])</f>
        <v>-0.17106074072717981</v>
      </c>
      <c r="L1626" t="e">
        <f>VLOOKUP(Table1[[#This Row],[CountryCode]],[1]!Table1[#All],1,FALSE)</f>
        <v>#REF!</v>
      </c>
    </row>
    <row r="1627" spans="1:12" hidden="1" x14ac:dyDescent="0.3">
      <c r="A1627" t="s">
        <v>107</v>
      </c>
      <c r="B1627" t="s">
        <v>108</v>
      </c>
      <c r="C1627" t="s">
        <v>9</v>
      </c>
      <c r="D1627" t="s">
        <v>10</v>
      </c>
      <c r="E1627">
        <v>1990</v>
      </c>
      <c r="F1627" s="1">
        <v>100</v>
      </c>
      <c r="G1627">
        <v>1990</v>
      </c>
      <c r="H1627">
        <f>AVERAGEIFS(Table1[value],Table1[IndicatorCode],Table1[[#This Row],[IndicatorCode]])</f>
        <v>99.756410256410263</v>
      </c>
      <c r="I1627" cm="1">
        <f t="array" ref="I1627">_xlfn.STDEV.P(IF(Table1[IndicatorCode]=Table1[[#This Row],[IndicatorCode]],Table1[value]))</f>
        <v>1.1047979755287356</v>
      </c>
      <c r="J1627">
        <f>(Table1[[#This Row],[value]] - Table1[[#This Row],[mean]]) / Table1[[#This Row],[std_dev]]</f>
        <v>0.22048351733552002</v>
      </c>
      <c r="K1627">
        <f>AVERAGEIF(Table1[CountryCode],Table1[[#This Row],[CountryCode]],Table1[z-score])</f>
        <v>1.9919220601134553E-2</v>
      </c>
      <c r="L1627" t="e">
        <f>VLOOKUP(Table1[[#This Row],[CountryCode]],[1]!Table1[#All],1,FALSE)</f>
        <v>#REF!</v>
      </c>
    </row>
    <row r="1628" spans="1:12" hidden="1" x14ac:dyDescent="0.3">
      <c r="A1628" t="s">
        <v>107</v>
      </c>
      <c r="B1628" t="s">
        <v>108</v>
      </c>
      <c r="C1628" t="s">
        <v>9</v>
      </c>
      <c r="D1628" t="s">
        <v>10</v>
      </c>
      <c r="E1628">
        <v>1991</v>
      </c>
      <c r="F1628" s="1">
        <v>100</v>
      </c>
      <c r="G1628">
        <v>1990</v>
      </c>
      <c r="H1628">
        <f>AVERAGEIFS(Table1[value],Table1[IndicatorCode],Table1[[#This Row],[IndicatorCode]])</f>
        <v>99.756410256410263</v>
      </c>
      <c r="I1628" cm="1">
        <f t="array" ref="I1628">_xlfn.STDEV.P(IF(Table1[IndicatorCode]=Table1[[#This Row],[IndicatorCode]],Table1[value]))</f>
        <v>1.1047979755287356</v>
      </c>
      <c r="J1628">
        <f>(Table1[[#This Row],[value]] - Table1[[#This Row],[mean]]) / Table1[[#This Row],[std_dev]]</f>
        <v>0.22048351733552002</v>
      </c>
      <c r="K1628">
        <f>AVERAGEIF(Table1[CountryCode],Table1[[#This Row],[CountryCode]],Table1[z-score])</f>
        <v>1.9919220601134553E-2</v>
      </c>
      <c r="L1628" t="e">
        <f>VLOOKUP(Table1[[#This Row],[CountryCode]],[1]!Table1[#All],1,FALSE)</f>
        <v>#REF!</v>
      </c>
    </row>
    <row r="1629" spans="1:12" hidden="1" x14ac:dyDescent="0.3">
      <c r="A1629" t="s">
        <v>107</v>
      </c>
      <c r="B1629" t="s">
        <v>108</v>
      </c>
      <c r="C1629" t="s">
        <v>9</v>
      </c>
      <c r="D1629" t="s">
        <v>10</v>
      </c>
      <c r="E1629">
        <v>1992</v>
      </c>
      <c r="F1629" s="1">
        <v>100</v>
      </c>
      <c r="G1629">
        <v>1990</v>
      </c>
      <c r="H1629">
        <f>AVERAGEIFS(Table1[value],Table1[IndicatorCode],Table1[[#This Row],[IndicatorCode]])</f>
        <v>99.756410256410263</v>
      </c>
      <c r="I1629" cm="1">
        <f t="array" ref="I1629">_xlfn.STDEV.P(IF(Table1[IndicatorCode]=Table1[[#This Row],[IndicatorCode]],Table1[value]))</f>
        <v>1.1047979755287356</v>
      </c>
      <c r="J1629">
        <f>(Table1[[#This Row],[value]] - Table1[[#This Row],[mean]]) / Table1[[#This Row],[std_dev]]</f>
        <v>0.22048351733552002</v>
      </c>
      <c r="K1629">
        <f>AVERAGEIF(Table1[CountryCode],Table1[[#This Row],[CountryCode]],Table1[z-score])</f>
        <v>1.9919220601134553E-2</v>
      </c>
      <c r="L1629" t="e">
        <f>VLOOKUP(Table1[[#This Row],[CountryCode]],[1]!Table1[#All],1,FALSE)</f>
        <v>#REF!</v>
      </c>
    </row>
    <row r="1630" spans="1:12" hidden="1" x14ac:dyDescent="0.3">
      <c r="A1630" t="s">
        <v>107</v>
      </c>
      <c r="B1630" t="s">
        <v>108</v>
      </c>
      <c r="C1630" t="s">
        <v>9</v>
      </c>
      <c r="D1630" t="s">
        <v>10</v>
      </c>
      <c r="E1630">
        <v>1993</v>
      </c>
      <c r="F1630" s="1">
        <v>100</v>
      </c>
      <c r="G1630">
        <v>1990</v>
      </c>
      <c r="H1630">
        <f>AVERAGEIFS(Table1[value],Table1[IndicatorCode],Table1[[#This Row],[IndicatorCode]])</f>
        <v>99.756410256410263</v>
      </c>
      <c r="I1630" cm="1">
        <f t="array" ref="I1630">_xlfn.STDEV.P(IF(Table1[IndicatorCode]=Table1[[#This Row],[IndicatorCode]],Table1[value]))</f>
        <v>1.1047979755287356</v>
      </c>
      <c r="J1630">
        <f>(Table1[[#This Row],[value]] - Table1[[#This Row],[mean]]) / Table1[[#This Row],[std_dev]]</f>
        <v>0.22048351733552002</v>
      </c>
      <c r="K1630">
        <f>AVERAGEIF(Table1[CountryCode],Table1[[#This Row],[CountryCode]],Table1[z-score])</f>
        <v>1.9919220601134553E-2</v>
      </c>
      <c r="L1630" t="e">
        <f>VLOOKUP(Table1[[#This Row],[CountryCode]],[1]!Table1[#All],1,FALSE)</f>
        <v>#REF!</v>
      </c>
    </row>
    <row r="1631" spans="1:12" hidden="1" x14ac:dyDescent="0.3">
      <c r="A1631" t="s">
        <v>107</v>
      </c>
      <c r="B1631" t="s">
        <v>108</v>
      </c>
      <c r="C1631" t="s">
        <v>9</v>
      </c>
      <c r="D1631" t="s">
        <v>10</v>
      </c>
      <c r="E1631">
        <v>1994</v>
      </c>
      <c r="F1631" s="1">
        <v>100</v>
      </c>
      <c r="G1631">
        <v>1990</v>
      </c>
      <c r="H1631">
        <f>AVERAGEIFS(Table1[value],Table1[IndicatorCode],Table1[[#This Row],[IndicatorCode]])</f>
        <v>99.756410256410263</v>
      </c>
      <c r="I1631" cm="1">
        <f t="array" ref="I1631">_xlfn.STDEV.P(IF(Table1[IndicatorCode]=Table1[[#This Row],[IndicatorCode]],Table1[value]))</f>
        <v>1.1047979755287356</v>
      </c>
      <c r="J1631">
        <f>(Table1[[#This Row],[value]] - Table1[[#This Row],[mean]]) / Table1[[#This Row],[std_dev]]</f>
        <v>0.22048351733552002</v>
      </c>
      <c r="K1631">
        <f>AVERAGEIF(Table1[CountryCode],Table1[[#This Row],[CountryCode]],Table1[z-score])</f>
        <v>1.9919220601134553E-2</v>
      </c>
      <c r="L1631" t="e">
        <f>VLOOKUP(Table1[[#This Row],[CountryCode]],[1]!Table1[#All],1,FALSE)</f>
        <v>#REF!</v>
      </c>
    </row>
    <row r="1632" spans="1:12" hidden="1" x14ac:dyDescent="0.3">
      <c r="A1632" t="s">
        <v>107</v>
      </c>
      <c r="B1632" t="s">
        <v>108</v>
      </c>
      <c r="C1632" t="s">
        <v>9</v>
      </c>
      <c r="D1632" t="s">
        <v>10</v>
      </c>
      <c r="E1632">
        <v>1995</v>
      </c>
      <c r="F1632" s="1">
        <v>100</v>
      </c>
      <c r="G1632">
        <v>1990</v>
      </c>
      <c r="H1632">
        <f>AVERAGEIFS(Table1[value],Table1[IndicatorCode],Table1[[#This Row],[IndicatorCode]])</f>
        <v>99.756410256410263</v>
      </c>
      <c r="I1632" cm="1">
        <f t="array" ref="I1632">_xlfn.STDEV.P(IF(Table1[IndicatorCode]=Table1[[#This Row],[IndicatorCode]],Table1[value]))</f>
        <v>1.1047979755287356</v>
      </c>
      <c r="J1632">
        <f>(Table1[[#This Row],[value]] - Table1[[#This Row],[mean]]) / Table1[[#This Row],[std_dev]]</f>
        <v>0.22048351733552002</v>
      </c>
      <c r="K1632">
        <f>AVERAGEIF(Table1[CountryCode],Table1[[#This Row],[CountryCode]],Table1[z-score])</f>
        <v>1.9919220601134553E-2</v>
      </c>
      <c r="L1632" t="e">
        <f>VLOOKUP(Table1[[#This Row],[CountryCode]],[1]!Table1[#All],1,FALSE)</f>
        <v>#REF!</v>
      </c>
    </row>
    <row r="1633" spans="1:12" hidden="1" x14ac:dyDescent="0.3">
      <c r="A1633" t="s">
        <v>107</v>
      </c>
      <c r="B1633" t="s">
        <v>108</v>
      </c>
      <c r="C1633" t="s">
        <v>9</v>
      </c>
      <c r="D1633" t="s">
        <v>10</v>
      </c>
      <c r="E1633">
        <v>1996</v>
      </c>
      <c r="F1633" s="1">
        <v>100</v>
      </c>
      <c r="G1633">
        <v>1990</v>
      </c>
      <c r="H1633">
        <f>AVERAGEIFS(Table1[value],Table1[IndicatorCode],Table1[[#This Row],[IndicatorCode]])</f>
        <v>99.756410256410263</v>
      </c>
      <c r="I1633" cm="1">
        <f t="array" ref="I1633">_xlfn.STDEV.P(IF(Table1[IndicatorCode]=Table1[[#This Row],[IndicatorCode]],Table1[value]))</f>
        <v>1.1047979755287356</v>
      </c>
      <c r="J1633">
        <f>(Table1[[#This Row],[value]] - Table1[[#This Row],[mean]]) / Table1[[#This Row],[std_dev]]</f>
        <v>0.22048351733552002</v>
      </c>
      <c r="K1633">
        <f>AVERAGEIF(Table1[CountryCode],Table1[[#This Row],[CountryCode]],Table1[z-score])</f>
        <v>1.9919220601134553E-2</v>
      </c>
      <c r="L1633" t="e">
        <f>VLOOKUP(Table1[[#This Row],[CountryCode]],[1]!Table1[#All],1,FALSE)</f>
        <v>#REF!</v>
      </c>
    </row>
    <row r="1634" spans="1:12" hidden="1" x14ac:dyDescent="0.3">
      <c r="A1634" t="s">
        <v>107</v>
      </c>
      <c r="B1634" t="s">
        <v>108</v>
      </c>
      <c r="C1634" t="s">
        <v>9</v>
      </c>
      <c r="D1634" t="s">
        <v>10</v>
      </c>
      <c r="E1634">
        <v>1997</v>
      </c>
      <c r="F1634" s="1">
        <v>100</v>
      </c>
      <c r="G1634">
        <v>2000</v>
      </c>
      <c r="H1634">
        <f>AVERAGEIFS(Table1[value],Table1[IndicatorCode],Table1[[#This Row],[IndicatorCode]])</f>
        <v>99.756410256410263</v>
      </c>
      <c r="I1634" cm="1">
        <f t="array" ref="I1634">_xlfn.STDEV.P(IF(Table1[IndicatorCode]=Table1[[#This Row],[IndicatorCode]],Table1[value]))</f>
        <v>1.1047979755287356</v>
      </c>
      <c r="J1634">
        <f>(Table1[[#This Row],[value]] - Table1[[#This Row],[mean]]) / Table1[[#This Row],[std_dev]]</f>
        <v>0.22048351733552002</v>
      </c>
      <c r="K1634">
        <f>AVERAGEIF(Table1[CountryCode],Table1[[#This Row],[CountryCode]],Table1[z-score])</f>
        <v>1.9919220601134553E-2</v>
      </c>
      <c r="L1634" t="e">
        <f>VLOOKUP(Table1[[#This Row],[CountryCode]],[1]!Table1[#All],1,FALSE)</f>
        <v>#REF!</v>
      </c>
    </row>
    <row r="1635" spans="1:12" hidden="1" x14ac:dyDescent="0.3">
      <c r="A1635" t="s">
        <v>107</v>
      </c>
      <c r="B1635" t="s">
        <v>108</v>
      </c>
      <c r="C1635" t="s">
        <v>9</v>
      </c>
      <c r="D1635" t="s">
        <v>10</v>
      </c>
      <c r="E1635">
        <v>1998</v>
      </c>
      <c r="F1635" s="1">
        <v>100</v>
      </c>
      <c r="G1635">
        <v>2000</v>
      </c>
      <c r="H1635">
        <f>AVERAGEIFS(Table1[value],Table1[IndicatorCode],Table1[[#This Row],[IndicatorCode]])</f>
        <v>99.756410256410263</v>
      </c>
      <c r="I1635" cm="1">
        <f t="array" ref="I1635">_xlfn.STDEV.P(IF(Table1[IndicatorCode]=Table1[[#This Row],[IndicatorCode]],Table1[value]))</f>
        <v>1.1047979755287356</v>
      </c>
      <c r="J1635">
        <f>(Table1[[#This Row],[value]] - Table1[[#This Row],[mean]]) / Table1[[#This Row],[std_dev]]</f>
        <v>0.22048351733552002</v>
      </c>
      <c r="K1635">
        <f>AVERAGEIF(Table1[CountryCode],Table1[[#This Row],[CountryCode]],Table1[z-score])</f>
        <v>1.9919220601134553E-2</v>
      </c>
      <c r="L1635" t="e">
        <f>VLOOKUP(Table1[[#This Row],[CountryCode]],[1]!Table1[#All],1,FALSE)</f>
        <v>#REF!</v>
      </c>
    </row>
    <row r="1636" spans="1:12" hidden="1" x14ac:dyDescent="0.3">
      <c r="A1636" t="s">
        <v>107</v>
      </c>
      <c r="B1636" t="s">
        <v>108</v>
      </c>
      <c r="C1636" t="s">
        <v>9</v>
      </c>
      <c r="D1636" t="s">
        <v>10</v>
      </c>
      <c r="E1636">
        <v>1999</v>
      </c>
      <c r="F1636" s="1">
        <v>100</v>
      </c>
      <c r="G1636">
        <v>2000</v>
      </c>
      <c r="H1636">
        <f>AVERAGEIFS(Table1[value],Table1[IndicatorCode],Table1[[#This Row],[IndicatorCode]])</f>
        <v>99.756410256410263</v>
      </c>
      <c r="I1636" cm="1">
        <f t="array" ref="I1636">_xlfn.STDEV.P(IF(Table1[IndicatorCode]=Table1[[#This Row],[IndicatorCode]],Table1[value]))</f>
        <v>1.1047979755287356</v>
      </c>
      <c r="J1636">
        <f>(Table1[[#This Row],[value]] - Table1[[#This Row],[mean]]) / Table1[[#This Row],[std_dev]]</f>
        <v>0.22048351733552002</v>
      </c>
      <c r="K1636">
        <f>AVERAGEIF(Table1[CountryCode],Table1[[#This Row],[CountryCode]],Table1[z-score])</f>
        <v>1.9919220601134553E-2</v>
      </c>
      <c r="L1636" t="e">
        <f>VLOOKUP(Table1[[#This Row],[CountryCode]],[1]!Table1[#All],1,FALSE)</f>
        <v>#REF!</v>
      </c>
    </row>
    <row r="1637" spans="1:12" hidden="1" x14ac:dyDescent="0.3">
      <c r="A1637" t="s">
        <v>107</v>
      </c>
      <c r="B1637" t="s">
        <v>108</v>
      </c>
      <c r="C1637" t="s">
        <v>9</v>
      </c>
      <c r="D1637" t="s">
        <v>10</v>
      </c>
      <c r="E1637">
        <v>2000</v>
      </c>
      <c r="F1637" s="1">
        <v>100</v>
      </c>
      <c r="G1637">
        <v>2000</v>
      </c>
      <c r="H1637">
        <f>AVERAGEIFS(Table1[value],Table1[IndicatorCode],Table1[[#This Row],[IndicatorCode]])</f>
        <v>99.756410256410263</v>
      </c>
      <c r="I1637" cm="1">
        <f t="array" ref="I1637">_xlfn.STDEV.P(IF(Table1[IndicatorCode]=Table1[[#This Row],[IndicatorCode]],Table1[value]))</f>
        <v>1.1047979755287356</v>
      </c>
      <c r="J1637">
        <f>(Table1[[#This Row],[value]] - Table1[[#This Row],[mean]]) / Table1[[#This Row],[std_dev]]</f>
        <v>0.22048351733552002</v>
      </c>
      <c r="K1637">
        <f>AVERAGEIF(Table1[CountryCode],Table1[[#This Row],[CountryCode]],Table1[z-score])</f>
        <v>1.9919220601134553E-2</v>
      </c>
      <c r="L1637" t="e">
        <f>VLOOKUP(Table1[[#This Row],[CountryCode]],[1]!Table1[#All],1,FALSE)</f>
        <v>#REF!</v>
      </c>
    </row>
    <row r="1638" spans="1:12" hidden="1" x14ac:dyDescent="0.3">
      <c r="A1638" t="s">
        <v>107</v>
      </c>
      <c r="B1638" t="s">
        <v>108</v>
      </c>
      <c r="C1638" t="s">
        <v>9</v>
      </c>
      <c r="D1638" t="s">
        <v>10</v>
      </c>
      <c r="E1638">
        <v>2001</v>
      </c>
      <c r="F1638" s="1">
        <v>100</v>
      </c>
      <c r="G1638">
        <v>2000</v>
      </c>
      <c r="H1638">
        <f>AVERAGEIFS(Table1[value],Table1[IndicatorCode],Table1[[#This Row],[IndicatorCode]])</f>
        <v>99.756410256410263</v>
      </c>
      <c r="I1638" cm="1">
        <f t="array" ref="I1638">_xlfn.STDEV.P(IF(Table1[IndicatorCode]=Table1[[#This Row],[IndicatorCode]],Table1[value]))</f>
        <v>1.1047979755287356</v>
      </c>
      <c r="J1638">
        <f>(Table1[[#This Row],[value]] - Table1[[#This Row],[mean]]) / Table1[[#This Row],[std_dev]]</f>
        <v>0.22048351733552002</v>
      </c>
      <c r="K1638">
        <f>AVERAGEIF(Table1[CountryCode],Table1[[#This Row],[CountryCode]],Table1[z-score])</f>
        <v>1.9919220601134553E-2</v>
      </c>
      <c r="L1638" t="e">
        <f>VLOOKUP(Table1[[#This Row],[CountryCode]],[1]!Table1[#All],1,FALSE)</f>
        <v>#REF!</v>
      </c>
    </row>
    <row r="1639" spans="1:12" hidden="1" x14ac:dyDescent="0.3">
      <c r="A1639" t="s">
        <v>107</v>
      </c>
      <c r="B1639" t="s">
        <v>108</v>
      </c>
      <c r="C1639" t="s">
        <v>9</v>
      </c>
      <c r="D1639" t="s">
        <v>10</v>
      </c>
      <c r="E1639">
        <v>2002</v>
      </c>
      <c r="F1639" s="1">
        <v>100</v>
      </c>
      <c r="G1639">
        <v>2000</v>
      </c>
      <c r="H1639">
        <f>AVERAGEIFS(Table1[value],Table1[IndicatorCode],Table1[[#This Row],[IndicatorCode]])</f>
        <v>99.756410256410263</v>
      </c>
      <c r="I1639" cm="1">
        <f t="array" ref="I1639">_xlfn.STDEV.P(IF(Table1[IndicatorCode]=Table1[[#This Row],[IndicatorCode]],Table1[value]))</f>
        <v>1.1047979755287356</v>
      </c>
      <c r="J1639">
        <f>(Table1[[#This Row],[value]] - Table1[[#This Row],[mean]]) / Table1[[#This Row],[std_dev]]</f>
        <v>0.22048351733552002</v>
      </c>
      <c r="K1639">
        <f>AVERAGEIF(Table1[CountryCode],Table1[[#This Row],[CountryCode]],Table1[z-score])</f>
        <v>1.9919220601134553E-2</v>
      </c>
      <c r="L1639" t="e">
        <f>VLOOKUP(Table1[[#This Row],[CountryCode]],[1]!Table1[#All],1,FALSE)</f>
        <v>#REF!</v>
      </c>
    </row>
    <row r="1640" spans="1:12" hidden="1" x14ac:dyDescent="0.3">
      <c r="A1640" t="s">
        <v>107</v>
      </c>
      <c r="B1640" t="s">
        <v>108</v>
      </c>
      <c r="C1640" t="s">
        <v>9</v>
      </c>
      <c r="D1640" t="s">
        <v>10</v>
      </c>
      <c r="E1640">
        <v>2003</v>
      </c>
      <c r="F1640" s="1">
        <v>100</v>
      </c>
      <c r="G1640">
        <v>2000</v>
      </c>
      <c r="H1640">
        <f>AVERAGEIFS(Table1[value],Table1[IndicatorCode],Table1[[#This Row],[IndicatorCode]])</f>
        <v>99.756410256410263</v>
      </c>
      <c r="I1640" cm="1">
        <f t="array" ref="I1640">_xlfn.STDEV.P(IF(Table1[IndicatorCode]=Table1[[#This Row],[IndicatorCode]],Table1[value]))</f>
        <v>1.1047979755287356</v>
      </c>
      <c r="J1640">
        <f>(Table1[[#This Row],[value]] - Table1[[#This Row],[mean]]) / Table1[[#This Row],[std_dev]]</f>
        <v>0.22048351733552002</v>
      </c>
      <c r="K1640">
        <f>AVERAGEIF(Table1[CountryCode],Table1[[#This Row],[CountryCode]],Table1[z-score])</f>
        <v>1.9919220601134553E-2</v>
      </c>
      <c r="L1640" t="e">
        <f>VLOOKUP(Table1[[#This Row],[CountryCode]],[1]!Table1[#All],1,FALSE)</f>
        <v>#REF!</v>
      </c>
    </row>
    <row r="1641" spans="1:12" hidden="1" x14ac:dyDescent="0.3">
      <c r="A1641" t="s">
        <v>107</v>
      </c>
      <c r="B1641" t="s">
        <v>108</v>
      </c>
      <c r="C1641" t="s">
        <v>9</v>
      </c>
      <c r="D1641" t="s">
        <v>10</v>
      </c>
      <c r="E1641">
        <v>2004</v>
      </c>
      <c r="F1641" s="1">
        <v>100</v>
      </c>
      <c r="G1641">
        <v>2000</v>
      </c>
      <c r="H1641">
        <f>AVERAGEIFS(Table1[value],Table1[IndicatorCode],Table1[[#This Row],[IndicatorCode]])</f>
        <v>99.756410256410263</v>
      </c>
      <c r="I1641" cm="1">
        <f t="array" ref="I1641">_xlfn.STDEV.P(IF(Table1[IndicatorCode]=Table1[[#This Row],[IndicatorCode]],Table1[value]))</f>
        <v>1.1047979755287356</v>
      </c>
      <c r="J1641">
        <f>(Table1[[#This Row],[value]] - Table1[[#This Row],[mean]]) / Table1[[#This Row],[std_dev]]</f>
        <v>0.22048351733552002</v>
      </c>
      <c r="K1641">
        <f>AVERAGEIF(Table1[CountryCode],Table1[[#This Row],[CountryCode]],Table1[z-score])</f>
        <v>1.9919220601134553E-2</v>
      </c>
      <c r="L1641" t="e">
        <f>VLOOKUP(Table1[[#This Row],[CountryCode]],[1]!Table1[#All],1,FALSE)</f>
        <v>#REF!</v>
      </c>
    </row>
    <row r="1642" spans="1:12" hidden="1" x14ac:dyDescent="0.3">
      <c r="A1642" t="s">
        <v>107</v>
      </c>
      <c r="B1642" t="s">
        <v>108</v>
      </c>
      <c r="C1642" t="s">
        <v>9</v>
      </c>
      <c r="D1642" t="s">
        <v>10</v>
      </c>
      <c r="E1642">
        <v>2005</v>
      </c>
      <c r="F1642" s="1">
        <v>100</v>
      </c>
      <c r="G1642">
        <v>2000</v>
      </c>
      <c r="H1642">
        <f>AVERAGEIFS(Table1[value],Table1[IndicatorCode],Table1[[#This Row],[IndicatorCode]])</f>
        <v>99.756410256410263</v>
      </c>
      <c r="I1642" cm="1">
        <f t="array" ref="I1642">_xlfn.STDEV.P(IF(Table1[IndicatorCode]=Table1[[#This Row],[IndicatorCode]],Table1[value]))</f>
        <v>1.1047979755287356</v>
      </c>
      <c r="J1642">
        <f>(Table1[[#This Row],[value]] - Table1[[#This Row],[mean]]) / Table1[[#This Row],[std_dev]]</f>
        <v>0.22048351733552002</v>
      </c>
      <c r="K1642">
        <f>AVERAGEIF(Table1[CountryCode],Table1[[#This Row],[CountryCode]],Table1[z-score])</f>
        <v>1.9919220601134553E-2</v>
      </c>
      <c r="L1642" t="e">
        <f>VLOOKUP(Table1[[#This Row],[CountryCode]],[1]!Table1[#All],1,FALSE)</f>
        <v>#REF!</v>
      </c>
    </row>
    <row r="1643" spans="1:12" hidden="1" x14ac:dyDescent="0.3">
      <c r="A1643" t="s">
        <v>107</v>
      </c>
      <c r="B1643" t="s">
        <v>108</v>
      </c>
      <c r="C1643" t="s">
        <v>9</v>
      </c>
      <c r="D1643" t="s">
        <v>10</v>
      </c>
      <c r="E1643">
        <v>2006</v>
      </c>
      <c r="F1643" s="1">
        <v>100</v>
      </c>
      <c r="G1643">
        <v>2000</v>
      </c>
      <c r="H1643">
        <f>AVERAGEIFS(Table1[value],Table1[IndicatorCode],Table1[[#This Row],[IndicatorCode]])</f>
        <v>99.756410256410263</v>
      </c>
      <c r="I1643" cm="1">
        <f t="array" ref="I1643">_xlfn.STDEV.P(IF(Table1[IndicatorCode]=Table1[[#This Row],[IndicatorCode]],Table1[value]))</f>
        <v>1.1047979755287356</v>
      </c>
      <c r="J1643">
        <f>(Table1[[#This Row],[value]] - Table1[[#This Row],[mean]]) / Table1[[#This Row],[std_dev]]</f>
        <v>0.22048351733552002</v>
      </c>
      <c r="K1643">
        <f>AVERAGEIF(Table1[CountryCode],Table1[[#This Row],[CountryCode]],Table1[z-score])</f>
        <v>1.9919220601134553E-2</v>
      </c>
      <c r="L1643" t="e">
        <f>VLOOKUP(Table1[[#This Row],[CountryCode]],[1]!Table1[#All],1,FALSE)</f>
        <v>#REF!</v>
      </c>
    </row>
    <row r="1644" spans="1:12" hidden="1" x14ac:dyDescent="0.3">
      <c r="A1644" t="s">
        <v>107</v>
      </c>
      <c r="B1644" t="s">
        <v>108</v>
      </c>
      <c r="C1644" t="s">
        <v>9</v>
      </c>
      <c r="D1644" t="s">
        <v>10</v>
      </c>
      <c r="E1644">
        <v>2007</v>
      </c>
      <c r="F1644" s="1">
        <v>100</v>
      </c>
      <c r="G1644">
        <v>2010</v>
      </c>
      <c r="H1644">
        <f>AVERAGEIFS(Table1[value],Table1[IndicatorCode],Table1[[#This Row],[IndicatorCode]])</f>
        <v>99.756410256410263</v>
      </c>
      <c r="I1644" cm="1">
        <f t="array" ref="I1644">_xlfn.STDEV.P(IF(Table1[IndicatorCode]=Table1[[#This Row],[IndicatorCode]],Table1[value]))</f>
        <v>1.1047979755287356</v>
      </c>
      <c r="J1644">
        <f>(Table1[[#This Row],[value]] - Table1[[#This Row],[mean]]) / Table1[[#This Row],[std_dev]]</f>
        <v>0.22048351733552002</v>
      </c>
      <c r="K1644">
        <f>AVERAGEIF(Table1[CountryCode],Table1[[#This Row],[CountryCode]],Table1[z-score])</f>
        <v>1.9919220601134553E-2</v>
      </c>
      <c r="L1644" t="e">
        <f>VLOOKUP(Table1[[#This Row],[CountryCode]],[1]!Table1[#All],1,FALSE)</f>
        <v>#REF!</v>
      </c>
    </row>
    <row r="1645" spans="1:12" hidden="1" x14ac:dyDescent="0.3">
      <c r="A1645" t="s">
        <v>107</v>
      </c>
      <c r="B1645" t="s">
        <v>108</v>
      </c>
      <c r="C1645" t="s">
        <v>9</v>
      </c>
      <c r="D1645" t="s">
        <v>10</v>
      </c>
      <c r="E1645">
        <v>2008</v>
      </c>
      <c r="F1645" s="1">
        <v>100</v>
      </c>
      <c r="G1645">
        <v>2010</v>
      </c>
      <c r="H1645">
        <f>AVERAGEIFS(Table1[value],Table1[IndicatorCode],Table1[[#This Row],[IndicatorCode]])</f>
        <v>99.756410256410263</v>
      </c>
      <c r="I1645" cm="1">
        <f t="array" ref="I1645">_xlfn.STDEV.P(IF(Table1[IndicatorCode]=Table1[[#This Row],[IndicatorCode]],Table1[value]))</f>
        <v>1.1047979755287356</v>
      </c>
      <c r="J1645">
        <f>(Table1[[#This Row],[value]] - Table1[[#This Row],[mean]]) / Table1[[#This Row],[std_dev]]</f>
        <v>0.22048351733552002</v>
      </c>
      <c r="K1645">
        <f>AVERAGEIF(Table1[CountryCode],Table1[[#This Row],[CountryCode]],Table1[z-score])</f>
        <v>1.9919220601134553E-2</v>
      </c>
      <c r="L1645" t="e">
        <f>VLOOKUP(Table1[[#This Row],[CountryCode]],[1]!Table1[#All],1,FALSE)</f>
        <v>#REF!</v>
      </c>
    </row>
    <row r="1646" spans="1:12" hidden="1" x14ac:dyDescent="0.3">
      <c r="A1646" t="s">
        <v>107</v>
      </c>
      <c r="B1646" t="s">
        <v>108</v>
      </c>
      <c r="C1646" t="s">
        <v>9</v>
      </c>
      <c r="D1646" t="s">
        <v>10</v>
      </c>
      <c r="E1646">
        <v>2009</v>
      </c>
      <c r="F1646" s="1">
        <v>100</v>
      </c>
      <c r="G1646">
        <v>2010</v>
      </c>
      <c r="H1646">
        <f>AVERAGEIFS(Table1[value],Table1[IndicatorCode],Table1[[#This Row],[IndicatorCode]])</f>
        <v>99.756410256410263</v>
      </c>
      <c r="I1646" cm="1">
        <f t="array" ref="I1646">_xlfn.STDEV.P(IF(Table1[IndicatorCode]=Table1[[#This Row],[IndicatorCode]],Table1[value]))</f>
        <v>1.1047979755287356</v>
      </c>
      <c r="J1646">
        <f>(Table1[[#This Row],[value]] - Table1[[#This Row],[mean]]) / Table1[[#This Row],[std_dev]]</f>
        <v>0.22048351733552002</v>
      </c>
      <c r="K1646">
        <f>AVERAGEIF(Table1[CountryCode],Table1[[#This Row],[CountryCode]],Table1[z-score])</f>
        <v>1.9919220601134553E-2</v>
      </c>
      <c r="L1646" t="e">
        <f>VLOOKUP(Table1[[#This Row],[CountryCode]],[1]!Table1[#All],1,FALSE)</f>
        <v>#REF!</v>
      </c>
    </row>
    <row r="1647" spans="1:12" hidden="1" x14ac:dyDescent="0.3">
      <c r="A1647" t="s">
        <v>107</v>
      </c>
      <c r="B1647" t="s">
        <v>108</v>
      </c>
      <c r="C1647" t="s">
        <v>9</v>
      </c>
      <c r="D1647" t="s">
        <v>10</v>
      </c>
      <c r="E1647">
        <v>2010</v>
      </c>
      <c r="F1647" s="1">
        <v>100</v>
      </c>
      <c r="G1647">
        <v>2010</v>
      </c>
      <c r="H1647">
        <f>AVERAGEIFS(Table1[value],Table1[IndicatorCode],Table1[[#This Row],[IndicatorCode]])</f>
        <v>99.756410256410263</v>
      </c>
      <c r="I1647" cm="1">
        <f t="array" ref="I1647">_xlfn.STDEV.P(IF(Table1[IndicatorCode]=Table1[[#This Row],[IndicatorCode]],Table1[value]))</f>
        <v>1.1047979755287356</v>
      </c>
      <c r="J1647">
        <f>(Table1[[#This Row],[value]] - Table1[[#This Row],[mean]]) / Table1[[#This Row],[std_dev]]</f>
        <v>0.22048351733552002</v>
      </c>
      <c r="K1647">
        <f>AVERAGEIF(Table1[CountryCode],Table1[[#This Row],[CountryCode]],Table1[z-score])</f>
        <v>1.9919220601134553E-2</v>
      </c>
      <c r="L1647" t="e">
        <f>VLOOKUP(Table1[[#This Row],[CountryCode]],[1]!Table1[#All],1,FALSE)</f>
        <v>#REF!</v>
      </c>
    </row>
    <row r="1648" spans="1:12" hidden="1" x14ac:dyDescent="0.3">
      <c r="A1648" t="s">
        <v>107</v>
      </c>
      <c r="B1648" t="s">
        <v>108</v>
      </c>
      <c r="C1648" t="s">
        <v>9</v>
      </c>
      <c r="D1648" t="s">
        <v>10</v>
      </c>
      <c r="E1648">
        <v>2011</v>
      </c>
      <c r="F1648" s="1">
        <v>100</v>
      </c>
      <c r="G1648">
        <v>2010</v>
      </c>
      <c r="H1648">
        <f>AVERAGEIFS(Table1[value],Table1[IndicatorCode],Table1[[#This Row],[IndicatorCode]])</f>
        <v>99.756410256410263</v>
      </c>
      <c r="I1648" cm="1">
        <f t="array" ref="I1648">_xlfn.STDEV.P(IF(Table1[IndicatorCode]=Table1[[#This Row],[IndicatorCode]],Table1[value]))</f>
        <v>1.1047979755287356</v>
      </c>
      <c r="J1648">
        <f>(Table1[[#This Row],[value]] - Table1[[#This Row],[mean]]) / Table1[[#This Row],[std_dev]]</f>
        <v>0.22048351733552002</v>
      </c>
      <c r="K1648">
        <f>AVERAGEIF(Table1[CountryCode],Table1[[#This Row],[CountryCode]],Table1[z-score])</f>
        <v>1.9919220601134553E-2</v>
      </c>
      <c r="L1648" t="e">
        <f>VLOOKUP(Table1[[#This Row],[CountryCode]],[1]!Table1[#All],1,FALSE)</f>
        <v>#REF!</v>
      </c>
    </row>
    <row r="1649" spans="1:12" hidden="1" x14ac:dyDescent="0.3">
      <c r="A1649" t="s">
        <v>107</v>
      </c>
      <c r="B1649" t="s">
        <v>108</v>
      </c>
      <c r="C1649" t="s">
        <v>9</v>
      </c>
      <c r="D1649" t="s">
        <v>10</v>
      </c>
      <c r="E1649">
        <v>2012</v>
      </c>
      <c r="F1649" s="1">
        <v>100</v>
      </c>
      <c r="G1649">
        <v>2010</v>
      </c>
      <c r="H1649">
        <f>AVERAGEIFS(Table1[value],Table1[IndicatorCode],Table1[[#This Row],[IndicatorCode]])</f>
        <v>99.756410256410263</v>
      </c>
      <c r="I1649" cm="1">
        <f t="array" ref="I1649">_xlfn.STDEV.P(IF(Table1[IndicatorCode]=Table1[[#This Row],[IndicatorCode]],Table1[value]))</f>
        <v>1.1047979755287356</v>
      </c>
      <c r="J1649">
        <f>(Table1[[#This Row],[value]] - Table1[[#This Row],[mean]]) / Table1[[#This Row],[std_dev]]</f>
        <v>0.22048351733552002</v>
      </c>
      <c r="K1649">
        <f>AVERAGEIF(Table1[CountryCode],Table1[[#This Row],[CountryCode]],Table1[z-score])</f>
        <v>1.9919220601134553E-2</v>
      </c>
      <c r="L1649" t="e">
        <f>VLOOKUP(Table1[[#This Row],[CountryCode]],[1]!Table1[#All],1,FALSE)</f>
        <v>#REF!</v>
      </c>
    </row>
    <row r="1650" spans="1:12" hidden="1" x14ac:dyDescent="0.3">
      <c r="A1650" t="s">
        <v>107</v>
      </c>
      <c r="B1650" t="s">
        <v>108</v>
      </c>
      <c r="C1650" t="s">
        <v>9</v>
      </c>
      <c r="D1650" t="s">
        <v>10</v>
      </c>
      <c r="E1650">
        <v>2013</v>
      </c>
      <c r="F1650" s="1">
        <v>100</v>
      </c>
      <c r="G1650">
        <v>2010</v>
      </c>
      <c r="H1650">
        <f>AVERAGEIFS(Table1[value],Table1[IndicatorCode],Table1[[#This Row],[IndicatorCode]])</f>
        <v>99.756410256410263</v>
      </c>
      <c r="I1650" cm="1">
        <f t="array" ref="I1650">_xlfn.STDEV.P(IF(Table1[IndicatorCode]=Table1[[#This Row],[IndicatorCode]],Table1[value]))</f>
        <v>1.1047979755287356</v>
      </c>
      <c r="J1650">
        <f>(Table1[[#This Row],[value]] - Table1[[#This Row],[mean]]) / Table1[[#This Row],[std_dev]]</f>
        <v>0.22048351733552002</v>
      </c>
      <c r="K1650">
        <f>AVERAGEIF(Table1[CountryCode],Table1[[#This Row],[CountryCode]],Table1[z-score])</f>
        <v>1.9919220601134553E-2</v>
      </c>
      <c r="L1650" t="e">
        <f>VLOOKUP(Table1[[#This Row],[CountryCode]],[1]!Table1[#All],1,FALSE)</f>
        <v>#REF!</v>
      </c>
    </row>
    <row r="1651" spans="1:12" hidden="1" x14ac:dyDescent="0.3">
      <c r="A1651" t="s">
        <v>107</v>
      </c>
      <c r="B1651" t="s">
        <v>108</v>
      </c>
      <c r="C1651" t="s">
        <v>9</v>
      </c>
      <c r="D1651" t="s">
        <v>10</v>
      </c>
      <c r="E1651">
        <v>2014</v>
      </c>
      <c r="F1651" s="1">
        <v>100</v>
      </c>
      <c r="G1651">
        <v>2010</v>
      </c>
      <c r="H1651">
        <f>AVERAGEIFS(Table1[value],Table1[IndicatorCode],Table1[[#This Row],[IndicatorCode]])</f>
        <v>99.756410256410263</v>
      </c>
      <c r="I1651" cm="1">
        <f t="array" ref="I1651">_xlfn.STDEV.P(IF(Table1[IndicatorCode]=Table1[[#This Row],[IndicatorCode]],Table1[value]))</f>
        <v>1.1047979755287356</v>
      </c>
      <c r="J1651">
        <f>(Table1[[#This Row],[value]] - Table1[[#This Row],[mean]]) / Table1[[#This Row],[std_dev]]</f>
        <v>0.22048351733552002</v>
      </c>
      <c r="K1651">
        <f>AVERAGEIF(Table1[CountryCode],Table1[[#This Row],[CountryCode]],Table1[z-score])</f>
        <v>1.9919220601134553E-2</v>
      </c>
      <c r="L1651" t="e">
        <f>VLOOKUP(Table1[[#This Row],[CountryCode]],[1]!Table1[#All],1,FALSE)</f>
        <v>#REF!</v>
      </c>
    </row>
    <row r="1652" spans="1:12" hidden="1" x14ac:dyDescent="0.3">
      <c r="A1652" t="s">
        <v>107</v>
      </c>
      <c r="B1652" t="s">
        <v>108</v>
      </c>
      <c r="C1652" t="s">
        <v>9</v>
      </c>
      <c r="D1652" t="s">
        <v>10</v>
      </c>
      <c r="E1652">
        <v>2015</v>
      </c>
      <c r="F1652" s="1">
        <v>100</v>
      </c>
      <c r="G1652">
        <v>2010</v>
      </c>
      <c r="H1652">
        <f>AVERAGEIFS(Table1[value],Table1[IndicatorCode],Table1[[#This Row],[IndicatorCode]])</f>
        <v>99.756410256410263</v>
      </c>
      <c r="I1652" cm="1">
        <f t="array" ref="I1652">_xlfn.STDEV.P(IF(Table1[IndicatorCode]=Table1[[#This Row],[IndicatorCode]],Table1[value]))</f>
        <v>1.1047979755287356</v>
      </c>
      <c r="J1652">
        <f>(Table1[[#This Row],[value]] - Table1[[#This Row],[mean]]) / Table1[[#This Row],[std_dev]]</f>
        <v>0.22048351733552002</v>
      </c>
      <c r="K1652">
        <f>AVERAGEIF(Table1[CountryCode],Table1[[#This Row],[CountryCode]],Table1[z-score])</f>
        <v>1.9919220601134553E-2</v>
      </c>
      <c r="L1652" t="e">
        <f>VLOOKUP(Table1[[#This Row],[CountryCode]],[1]!Table1[#All],1,FALSE)</f>
        <v>#REF!</v>
      </c>
    </row>
    <row r="1653" spans="1:12" hidden="1" x14ac:dyDescent="0.3">
      <c r="A1653" t="s">
        <v>107</v>
      </c>
      <c r="B1653" t="s">
        <v>108</v>
      </c>
      <c r="C1653" t="s">
        <v>9</v>
      </c>
      <c r="D1653" t="s">
        <v>10</v>
      </c>
      <c r="E1653">
        <v>2016</v>
      </c>
      <c r="F1653" s="1">
        <v>100</v>
      </c>
      <c r="G1653">
        <v>2010</v>
      </c>
      <c r="H1653">
        <f>AVERAGEIFS(Table1[value],Table1[IndicatorCode],Table1[[#This Row],[IndicatorCode]])</f>
        <v>99.756410256410263</v>
      </c>
      <c r="I1653" cm="1">
        <f t="array" ref="I1653">_xlfn.STDEV.P(IF(Table1[IndicatorCode]=Table1[[#This Row],[IndicatorCode]],Table1[value]))</f>
        <v>1.1047979755287356</v>
      </c>
      <c r="J1653">
        <f>(Table1[[#This Row],[value]] - Table1[[#This Row],[mean]]) / Table1[[#This Row],[std_dev]]</f>
        <v>0.22048351733552002</v>
      </c>
      <c r="K1653">
        <f>AVERAGEIF(Table1[CountryCode],Table1[[#This Row],[CountryCode]],Table1[z-score])</f>
        <v>1.9919220601134553E-2</v>
      </c>
      <c r="L1653" t="e">
        <f>VLOOKUP(Table1[[#This Row],[CountryCode]],[1]!Table1[#All],1,FALSE)</f>
        <v>#REF!</v>
      </c>
    </row>
    <row r="1654" spans="1:12" hidden="1" x14ac:dyDescent="0.3">
      <c r="A1654" t="s">
        <v>107</v>
      </c>
      <c r="B1654" t="s">
        <v>108</v>
      </c>
      <c r="C1654" t="s">
        <v>9</v>
      </c>
      <c r="D1654" t="s">
        <v>10</v>
      </c>
      <c r="E1654">
        <v>2017</v>
      </c>
      <c r="F1654" s="1">
        <v>100</v>
      </c>
      <c r="G1654">
        <v>2020</v>
      </c>
      <c r="H1654">
        <f>AVERAGEIFS(Table1[value],Table1[IndicatorCode],Table1[[#This Row],[IndicatorCode]])</f>
        <v>99.756410256410263</v>
      </c>
      <c r="I1654" cm="1">
        <f t="array" ref="I1654">_xlfn.STDEV.P(IF(Table1[IndicatorCode]=Table1[[#This Row],[IndicatorCode]],Table1[value]))</f>
        <v>1.1047979755287356</v>
      </c>
      <c r="J1654">
        <f>(Table1[[#This Row],[value]] - Table1[[#This Row],[mean]]) / Table1[[#This Row],[std_dev]]</f>
        <v>0.22048351733552002</v>
      </c>
      <c r="K1654">
        <f>AVERAGEIF(Table1[CountryCode],Table1[[#This Row],[CountryCode]],Table1[z-score])</f>
        <v>1.9919220601134553E-2</v>
      </c>
      <c r="L1654" t="e">
        <f>VLOOKUP(Table1[[#This Row],[CountryCode]],[1]!Table1[#All],1,FALSE)</f>
        <v>#REF!</v>
      </c>
    </row>
    <row r="1655" spans="1:12" hidden="1" x14ac:dyDescent="0.3">
      <c r="A1655" t="s">
        <v>107</v>
      </c>
      <c r="B1655" t="s">
        <v>108</v>
      </c>
      <c r="C1655" t="s">
        <v>9</v>
      </c>
      <c r="D1655" t="s">
        <v>10</v>
      </c>
      <c r="E1655">
        <v>2018</v>
      </c>
      <c r="F1655" s="1">
        <v>100</v>
      </c>
      <c r="G1655">
        <v>2020</v>
      </c>
      <c r="H1655">
        <f>AVERAGEIFS(Table1[value],Table1[IndicatorCode],Table1[[#This Row],[IndicatorCode]])</f>
        <v>99.756410256410263</v>
      </c>
      <c r="I1655" cm="1">
        <f t="array" ref="I1655">_xlfn.STDEV.P(IF(Table1[IndicatorCode]=Table1[[#This Row],[IndicatorCode]],Table1[value]))</f>
        <v>1.1047979755287356</v>
      </c>
      <c r="J1655">
        <f>(Table1[[#This Row],[value]] - Table1[[#This Row],[mean]]) / Table1[[#This Row],[std_dev]]</f>
        <v>0.22048351733552002</v>
      </c>
      <c r="K1655">
        <f>AVERAGEIF(Table1[CountryCode],Table1[[#This Row],[CountryCode]],Table1[z-score])</f>
        <v>1.9919220601134553E-2</v>
      </c>
      <c r="L1655" t="e">
        <f>VLOOKUP(Table1[[#This Row],[CountryCode]],[1]!Table1[#All],1,FALSE)</f>
        <v>#REF!</v>
      </c>
    </row>
    <row r="1656" spans="1:12" hidden="1" x14ac:dyDescent="0.3">
      <c r="A1656" t="s">
        <v>107</v>
      </c>
      <c r="B1656" t="s">
        <v>108</v>
      </c>
      <c r="C1656" t="s">
        <v>9</v>
      </c>
      <c r="D1656" t="s">
        <v>10</v>
      </c>
      <c r="E1656">
        <v>2019</v>
      </c>
      <c r="F1656" s="1">
        <v>100</v>
      </c>
      <c r="G1656">
        <v>2020</v>
      </c>
      <c r="H1656">
        <f>AVERAGEIFS(Table1[value],Table1[IndicatorCode],Table1[[#This Row],[IndicatorCode]])</f>
        <v>99.756410256410263</v>
      </c>
      <c r="I1656" cm="1">
        <f t="array" ref="I1656">_xlfn.STDEV.P(IF(Table1[IndicatorCode]=Table1[[#This Row],[IndicatorCode]],Table1[value]))</f>
        <v>1.1047979755287356</v>
      </c>
      <c r="J1656">
        <f>(Table1[[#This Row],[value]] - Table1[[#This Row],[mean]]) / Table1[[#This Row],[std_dev]]</f>
        <v>0.22048351733552002</v>
      </c>
      <c r="K1656">
        <f>AVERAGEIF(Table1[CountryCode],Table1[[#This Row],[CountryCode]],Table1[z-score])</f>
        <v>1.9919220601134553E-2</v>
      </c>
      <c r="L1656" t="e">
        <f>VLOOKUP(Table1[[#This Row],[CountryCode]],[1]!Table1[#All],1,FALSE)</f>
        <v>#REF!</v>
      </c>
    </row>
    <row r="1657" spans="1:12" x14ac:dyDescent="0.3">
      <c r="A1657" t="s">
        <v>107</v>
      </c>
      <c r="B1657" t="s">
        <v>108</v>
      </c>
      <c r="C1657" t="s">
        <v>9</v>
      </c>
      <c r="D1657" t="s">
        <v>10</v>
      </c>
      <c r="E1657">
        <v>2020</v>
      </c>
      <c r="F1657" s="1">
        <v>100</v>
      </c>
      <c r="G1657">
        <v>2020</v>
      </c>
      <c r="H1657">
        <f>AVERAGEIFS(Table1[value],Table1[IndicatorCode],Table1[[#This Row],[IndicatorCode]])</f>
        <v>99.756410256410263</v>
      </c>
      <c r="I1657" cm="1">
        <f t="array" ref="I1657">_xlfn.STDEV.P(IF(Table1[IndicatorCode]=Table1[[#This Row],[IndicatorCode]],Table1[value]))</f>
        <v>1.1047979755287356</v>
      </c>
      <c r="J1657">
        <f>(Table1[[#This Row],[value]] - Table1[[#This Row],[mean]]) / Table1[[#This Row],[std_dev]]</f>
        <v>0.22048351733552002</v>
      </c>
      <c r="K1657">
        <f>AVERAGEIF(Table1[CountryCode],Table1[[#This Row],[CountryCode]],Table1[z-score])</f>
        <v>1.9919220601134553E-2</v>
      </c>
    </row>
    <row r="1658" spans="1:12" hidden="1" x14ac:dyDescent="0.3">
      <c r="A1658" t="s">
        <v>107</v>
      </c>
      <c r="B1658" t="s">
        <v>108</v>
      </c>
      <c r="C1658" t="s">
        <v>9</v>
      </c>
      <c r="D1658" t="s">
        <v>10</v>
      </c>
      <c r="E1658">
        <v>2021</v>
      </c>
      <c r="F1658" s="1">
        <v>100</v>
      </c>
      <c r="G1658">
        <v>1990</v>
      </c>
      <c r="H1658">
        <f>AVERAGEIFS(Table1[value],Table1[IndicatorCode],Table1[[#This Row],[IndicatorCode]])</f>
        <v>99.756410256410263</v>
      </c>
      <c r="I1658" cm="1">
        <f t="array" ref="I1658">_xlfn.STDEV.P(IF(Table1[IndicatorCode]=Table1[[#This Row],[IndicatorCode]],Table1[value]))</f>
        <v>1.1047979755287356</v>
      </c>
      <c r="J1658">
        <f>(Table1[[#This Row],[value]] - Table1[[#This Row],[mean]]) / Table1[[#This Row],[std_dev]]</f>
        <v>0.22048351733552002</v>
      </c>
      <c r="K1658">
        <f>AVERAGEIF(Table1[CountryCode],Table1[[#This Row],[CountryCode]],Table1[z-score])</f>
        <v>1.9919220601134553E-2</v>
      </c>
      <c r="L1658" t="e">
        <f>VLOOKUP(Table1[[#This Row],[CountryCode]],[1]!Table1[#All],1,FALSE)</f>
        <v>#REF!</v>
      </c>
    </row>
    <row r="1659" spans="1:12" hidden="1" x14ac:dyDescent="0.3">
      <c r="A1659" t="s">
        <v>107</v>
      </c>
      <c r="B1659" t="s">
        <v>108</v>
      </c>
      <c r="C1659" t="s">
        <v>9</v>
      </c>
      <c r="D1659" t="s">
        <v>10</v>
      </c>
      <c r="E1659">
        <v>2022</v>
      </c>
      <c r="F1659" s="1">
        <v>100</v>
      </c>
      <c r="G1659">
        <v>1990</v>
      </c>
      <c r="H1659">
        <f>AVERAGEIFS(Table1[value],Table1[IndicatorCode],Table1[[#This Row],[IndicatorCode]])</f>
        <v>99.756410256410263</v>
      </c>
      <c r="I1659" cm="1">
        <f t="array" ref="I1659">_xlfn.STDEV.P(IF(Table1[IndicatorCode]=Table1[[#This Row],[IndicatorCode]],Table1[value]))</f>
        <v>1.1047979755287356</v>
      </c>
      <c r="J1659">
        <f>(Table1[[#This Row],[value]] - Table1[[#This Row],[mean]]) / Table1[[#This Row],[std_dev]]</f>
        <v>0.22048351733552002</v>
      </c>
      <c r="K1659">
        <f>AVERAGEIF(Table1[CountryCode],Table1[[#This Row],[CountryCode]],Table1[z-score])</f>
        <v>1.9919220601134553E-2</v>
      </c>
      <c r="L1659" t="e">
        <f>VLOOKUP(Table1[[#This Row],[CountryCode]],[1]!Table1[#All],1,FALSE)</f>
        <v>#REF!</v>
      </c>
    </row>
    <row r="1660" spans="1:12" hidden="1" x14ac:dyDescent="0.3">
      <c r="A1660" t="s">
        <v>107</v>
      </c>
      <c r="B1660" t="s">
        <v>108</v>
      </c>
      <c r="C1660" t="s">
        <v>9</v>
      </c>
      <c r="D1660" t="s">
        <v>10</v>
      </c>
      <c r="E1660">
        <v>2023</v>
      </c>
      <c r="F1660" s="1">
        <v>100</v>
      </c>
      <c r="G1660">
        <v>1990</v>
      </c>
      <c r="H1660">
        <f>AVERAGEIFS(Table1[value],Table1[IndicatorCode],Table1[[#This Row],[IndicatorCode]])</f>
        <v>99.756410256410263</v>
      </c>
      <c r="I1660" cm="1">
        <f t="array" ref="I1660">_xlfn.STDEV.P(IF(Table1[IndicatorCode]=Table1[[#This Row],[IndicatorCode]],Table1[value]))</f>
        <v>1.1047979755287356</v>
      </c>
      <c r="J1660">
        <f>(Table1[[#This Row],[value]] - Table1[[#This Row],[mean]]) / Table1[[#This Row],[std_dev]]</f>
        <v>0.22048351733552002</v>
      </c>
      <c r="K1660">
        <f>AVERAGEIF(Table1[CountryCode],Table1[[#This Row],[CountryCode]],Table1[z-score])</f>
        <v>1.9919220601134553E-2</v>
      </c>
      <c r="L1660" t="e">
        <f>VLOOKUP(Table1[[#This Row],[CountryCode]],[1]!Table1[#All],1,FALSE)</f>
        <v>#REF!</v>
      </c>
    </row>
    <row r="1661" spans="1:12" hidden="1" x14ac:dyDescent="0.3">
      <c r="A1661" t="s">
        <v>109</v>
      </c>
      <c r="B1661" t="s">
        <v>110</v>
      </c>
      <c r="C1661" t="s">
        <v>9</v>
      </c>
      <c r="D1661" t="s">
        <v>10</v>
      </c>
      <c r="E1661">
        <v>1990</v>
      </c>
      <c r="F1661" s="1">
        <v>100</v>
      </c>
      <c r="G1661">
        <v>1990</v>
      </c>
      <c r="H1661">
        <f>AVERAGEIFS(Table1[value],Table1[IndicatorCode],Table1[[#This Row],[IndicatorCode]])</f>
        <v>99.756410256410263</v>
      </c>
      <c r="I1661" cm="1">
        <f t="array" ref="I1661">_xlfn.STDEV.P(IF(Table1[IndicatorCode]=Table1[[#This Row],[IndicatorCode]],Table1[value]))</f>
        <v>1.1047979755287356</v>
      </c>
      <c r="J1661">
        <f>(Table1[[#This Row],[value]] - Table1[[#This Row],[mean]]) / Table1[[#This Row],[std_dev]]</f>
        <v>0.22048351733552002</v>
      </c>
      <c r="K1661">
        <f>AVERAGEIF(Table1[CountryCode],Table1[[#This Row],[CountryCode]],Table1[z-score])</f>
        <v>5.4192965202863402E-2</v>
      </c>
      <c r="L1661" t="e">
        <f>VLOOKUP(Table1[[#This Row],[CountryCode]],[1]!Table1[#All],1,FALSE)</f>
        <v>#REF!</v>
      </c>
    </row>
    <row r="1662" spans="1:12" hidden="1" x14ac:dyDescent="0.3">
      <c r="A1662" t="s">
        <v>109</v>
      </c>
      <c r="B1662" t="s">
        <v>110</v>
      </c>
      <c r="C1662" t="s">
        <v>9</v>
      </c>
      <c r="D1662" t="s">
        <v>10</v>
      </c>
      <c r="E1662">
        <v>1991</v>
      </c>
      <c r="F1662" s="1">
        <v>100</v>
      </c>
      <c r="G1662">
        <v>1990</v>
      </c>
      <c r="H1662">
        <f>AVERAGEIFS(Table1[value],Table1[IndicatorCode],Table1[[#This Row],[IndicatorCode]])</f>
        <v>99.756410256410263</v>
      </c>
      <c r="I1662" cm="1">
        <f t="array" ref="I1662">_xlfn.STDEV.P(IF(Table1[IndicatorCode]=Table1[[#This Row],[IndicatorCode]],Table1[value]))</f>
        <v>1.1047979755287356</v>
      </c>
      <c r="J1662">
        <f>(Table1[[#This Row],[value]] - Table1[[#This Row],[mean]]) / Table1[[#This Row],[std_dev]]</f>
        <v>0.22048351733552002</v>
      </c>
      <c r="K1662">
        <f>AVERAGEIF(Table1[CountryCode],Table1[[#This Row],[CountryCode]],Table1[z-score])</f>
        <v>5.4192965202863402E-2</v>
      </c>
      <c r="L1662" t="e">
        <f>VLOOKUP(Table1[[#This Row],[CountryCode]],[1]!Table1[#All],1,FALSE)</f>
        <v>#REF!</v>
      </c>
    </row>
    <row r="1663" spans="1:12" hidden="1" x14ac:dyDescent="0.3">
      <c r="A1663" t="s">
        <v>109</v>
      </c>
      <c r="B1663" t="s">
        <v>110</v>
      </c>
      <c r="C1663" t="s">
        <v>9</v>
      </c>
      <c r="D1663" t="s">
        <v>10</v>
      </c>
      <c r="E1663">
        <v>1992</v>
      </c>
      <c r="F1663" s="1">
        <v>100</v>
      </c>
      <c r="G1663">
        <v>1990</v>
      </c>
      <c r="H1663">
        <f>AVERAGEIFS(Table1[value],Table1[IndicatorCode],Table1[[#This Row],[IndicatorCode]])</f>
        <v>99.756410256410263</v>
      </c>
      <c r="I1663" cm="1">
        <f t="array" ref="I1663">_xlfn.STDEV.P(IF(Table1[IndicatorCode]=Table1[[#This Row],[IndicatorCode]],Table1[value]))</f>
        <v>1.1047979755287356</v>
      </c>
      <c r="J1663">
        <f>(Table1[[#This Row],[value]] - Table1[[#This Row],[mean]]) / Table1[[#This Row],[std_dev]]</f>
        <v>0.22048351733552002</v>
      </c>
      <c r="K1663">
        <f>AVERAGEIF(Table1[CountryCode],Table1[[#This Row],[CountryCode]],Table1[z-score])</f>
        <v>5.4192965202863402E-2</v>
      </c>
      <c r="L1663" t="e">
        <f>VLOOKUP(Table1[[#This Row],[CountryCode]],[1]!Table1[#All],1,FALSE)</f>
        <v>#REF!</v>
      </c>
    </row>
    <row r="1664" spans="1:12" hidden="1" x14ac:dyDescent="0.3">
      <c r="A1664" t="s">
        <v>109</v>
      </c>
      <c r="B1664" t="s">
        <v>110</v>
      </c>
      <c r="C1664" t="s">
        <v>9</v>
      </c>
      <c r="D1664" t="s">
        <v>10</v>
      </c>
      <c r="E1664">
        <v>1993</v>
      </c>
      <c r="F1664" s="1">
        <v>100</v>
      </c>
      <c r="G1664">
        <v>1990</v>
      </c>
      <c r="H1664">
        <f>AVERAGEIFS(Table1[value],Table1[IndicatorCode],Table1[[#This Row],[IndicatorCode]])</f>
        <v>99.756410256410263</v>
      </c>
      <c r="I1664" cm="1">
        <f t="array" ref="I1664">_xlfn.STDEV.P(IF(Table1[IndicatorCode]=Table1[[#This Row],[IndicatorCode]],Table1[value]))</f>
        <v>1.1047979755287356</v>
      </c>
      <c r="J1664">
        <f>(Table1[[#This Row],[value]] - Table1[[#This Row],[mean]]) / Table1[[#This Row],[std_dev]]</f>
        <v>0.22048351733552002</v>
      </c>
      <c r="K1664">
        <f>AVERAGEIF(Table1[CountryCode],Table1[[#This Row],[CountryCode]],Table1[z-score])</f>
        <v>5.4192965202863402E-2</v>
      </c>
      <c r="L1664" t="e">
        <f>VLOOKUP(Table1[[#This Row],[CountryCode]],[1]!Table1[#All],1,FALSE)</f>
        <v>#REF!</v>
      </c>
    </row>
    <row r="1665" spans="1:12" hidden="1" x14ac:dyDescent="0.3">
      <c r="A1665" t="s">
        <v>109</v>
      </c>
      <c r="B1665" t="s">
        <v>110</v>
      </c>
      <c r="C1665" t="s">
        <v>9</v>
      </c>
      <c r="D1665" t="s">
        <v>10</v>
      </c>
      <c r="E1665">
        <v>1994</v>
      </c>
      <c r="F1665" s="1">
        <v>100</v>
      </c>
      <c r="G1665">
        <v>1990</v>
      </c>
      <c r="H1665">
        <f>AVERAGEIFS(Table1[value],Table1[IndicatorCode],Table1[[#This Row],[IndicatorCode]])</f>
        <v>99.756410256410263</v>
      </c>
      <c r="I1665" cm="1">
        <f t="array" ref="I1665">_xlfn.STDEV.P(IF(Table1[IndicatorCode]=Table1[[#This Row],[IndicatorCode]],Table1[value]))</f>
        <v>1.1047979755287356</v>
      </c>
      <c r="J1665">
        <f>(Table1[[#This Row],[value]] - Table1[[#This Row],[mean]]) / Table1[[#This Row],[std_dev]]</f>
        <v>0.22048351733552002</v>
      </c>
      <c r="K1665">
        <f>AVERAGEIF(Table1[CountryCode],Table1[[#This Row],[CountryCode]],Table1[z-score])</f>
        <v>5.4192965202863402E-2</v>
      </c>
      <c r="L1665" t="e">
        <f>VLOOKUP(Table1[[#This Row],[CountryCode]],[1]!Table1[#All],1,FALSE)</f>
        <v>#REF!</v>
      </c>
    </row>
    <row r="1666" spans="1:12" hidden="1" x14ac:dyDescent="0.3">
      <c r="A1666" t="s">
        <v>109</v>
      </c>
      <c r="B1666" t="s">
        <v>110</v>
      </c>
      <c r="C1666" t="s">
        <v>9</v>
      </c>
      <c r="D1666" t="s">
        <v>10</v>
      </c>
      <c r="E1666">
        <v>1995</v>
      </c>
      <c r="F1666" s="1">
        <v>100</v>
      </c>
      <c r="G1666">
        <v>1990</v>
      </c>
      <c r="H1666">
        <f>AVERAGEIFS(Table1[value],Table1[IndicatorCode],Table1[[#This Row],[IndicatorCode]])</f>
        <v>99.756410256410263</v>
      </c>
      <c r="I1666" cm="1">
        <f t="array" ref="I1666">_xlfn.STDEV.P(IF(Table1[IndicatorCode]=Table1[[#This Row],[IndicatorCode]],Table1[value]))</f>
        <v>1.1047979755287356</v>
      </c>
      <c r="J1666">
        <f>(Table1[[#This Row],[value]] - Table1[[#This Row],[mean]]) / Table1[[#This Row],[std_dev]]</f>
        <v>0.22048351733552002</v>
      </c>
      <c r="K1666">
        <f>AVERAGEIF(Table1[CountryCode],Table1[[#This Row],[CountryCode]],Table1[z-score])</f>
        <v>5.4192965202863402E-2</v>
      </c>
      <c r="L1666" t="e">
        <f>VLOOKUP(Table1[[#This Row],[CountryCode]],[1]!Table1[#All],1,FALSE)</f>
        <v>#REF!</v>
      </c>
    </row>
    <row r="1667" spans="1:12" hidden="1" x14ac:dyDescent="0.3">
      <c r="A1667" t="s">
        <v>109</v>
      </c>
      <c r="B1667" t="s">
        <v>110</v>
      </c>
      <c r="C1667" t="s">
        <v>9</v>
      </c>
      <c r="D1667" t="s">
        <v>10</v>
      </c>
      <c r="E1667">
        <v>1996</v>
      </c>
      <c r="F1667" s="1">
        <v>100</v>
      </c>
      <c r="G1667">
        <v>1990</v>
      </c>
      <c r="H1667">
        <f>AVERAGEIFS(Table1[value],Table1[IndicatorCode],Table1[[#This Row],[IndicatorCode]])</f>
        <v>99.756410256410263</v>
      </c>
      <c r="I1667" cm="1">
        <f t="array" ref="I1667">_xlfn.STDEV.P(IF(Table1[IndicatorCode]=Table1[[#This Row],[IndicatorCode]],Table1[value]))</f>
        <v>1.1047979755287356</v>
      </c>
      <c r="J1667">
        <f>(Table1[[#This Row],[value]] - Table1[[#This Row],[mean]]) / Table1[[#This Row],[std_dev]]</f>
        <v>0.22048351733552002</v>
      </c>
      <c r="K1667">
        <f>AVERAGEIF(Table1[CountryCode],Table1[[#This Row],[CountryCode]],Table1[z-score])</f>
        <v>5.4192965202863402E-2</v>
      </c>
      <c r="L1667" t="e">
        <f>VLOOKUP(Table1[[#This Row],[CountryCode]],[1]!Table1[#All],1,FALSE)</f>
        <v>#REF!</v>
      </c>
    </row>
    <row r="1668" spans="1:12" hidden="1" x14ac:dyDescent="0.3">
      <c r="A1668" t="s">
        <v>109</v>
      </c>
      <c r="B1668" t="s">
        <v>110</v>
      </c>
      <c r="C1668" t="s">
        <v>9</v>
      </c>
      <c r="D1668" t="s">
        <v>10</v>
      </c>
      <c r="E1668">
        <v>1997</v>
      </c>
      <c r="F1668" s="1">
        <v>100</v>
      </c>
      <c r="G1668">
        <v>2000</v>
      </c>
      <c r="H1668">
        <f>AVERAGEIFS(Table1[value],Table1[IndicatorCode],Table1[[#This Row],[IndicatorCode]])</f>
        <v>99.756410256410263</v>
      </c>
      <c r="I1668" cm="1">
        <f t="array" ref="I1668">_xlfn.STDEV.P(IF(Table1[IndicatorCode]=Table1[[#This Row],[IndicatorCode]],Table1[value]))</f>
        <v>1.1047979755287356</v>
      </c>
      <c r="J1668">
        <f>(Table1[[#This Row],[value]] - Table1[[#This Row],[mean]]) / Table1[[#This Row],[std_dev]]</f>
        <v>0.22048351733552002</v>
      </c>
      <c r="K1668">
        <f>AVERAGEIF(Table1[CountryCode],Table1[[#This Row],[CountryCode]],Table1[z-score])</f>
        <v>5.4192965202863402E-2</v>
      </c>
      <c r="L1668" t="e">
        <f>VLOOKUP(Table1[[#This Row],[CountryCode]],[1]!Table1[#All],1,FALSE)</f>
        <v>#REF!</v>
      </c>
    </row>
    <row r="1669" spans="1:12" hidden="1" x14ac:dyDescent="0.3">
      <c r="A1669" t="s">
        <v>109</v>
      </c>
      <c r="B1669" t="s">
        <v>110</v>
      </c>
      <c r="C1669" t="s">
        <v>9</v>
      </c>
      <c r="D1669" t="s">
        <v>10</v>
      </c>
      <c r="E1669">
        <v>1998</v>
      </c>
      <c r="F1669" s="1">
        <v>100</v>
      </c>
      <c r="G1669">
        <v>2000</v>
      </c>
      <c r="H1669">
        <f>AVERAGEIFS(Table1[value],Table1[IndicatorCode],Table1[[#This Row],[IndicatorCode]])</f>
        <v>99.756410256410263</v>
      </c>
      <c r="I1669" cm="1">
        <f t="array" ref="I1669">_xlfn.STDEV.P(IF(Table1[IndicatorCode]=Table1[[#This Row],[IndicatorCode]],Table1[value]))</f>
        <v>1.1047979755287356</v>
      </c>
      <c r="J1669">
        <f>(Table1[[#This Row],[value]] - Table1[[#This Row],[mean]]) / Table1[[#This Row],[std_dev]]</f>
        <v>0.22048351733552002</v>
      </c>
      <c r="K1669">
        <f>AVERAGEIF(Table1[CountryCode],Table1[[#This Row],[CountryCode]],Table1[z-score])</f>
        <v>5.4192965202863402E-2</v>
      </c>
      <c r="L1669" t="e">
        <f>VLOOKUP(Table1[[#This Row],[CountryCode]],[1]!Table1[#All],1,FALSE)</f>
        <v>#REF!</v>
      </c>
    </row>
    <row r="1670" spans="1:12" hidden="1" x14ac:dyDescent="0.3">
      <c r="A1670" t="s">
        <v>109</v>
      </c>
      <c r="B1670" t="s">
        <v>110</v>
      </c>
      <c r="C1670" t="s">
        <v>9</v>
      </c>
      <c r="D1670" t="s">
        <v>10</v>
      </c>
      <c r="E1670">
        <v>1999</v>
      </c>
      <c r="F1670" s="1">
        <v>100</v>
      </c>
      <c r="G1670">
        <v>2000</v>
      </c>
      <c r="H1670">
        <f>AVERAGEIFS(Table1[value],Table1[IndicatorCode],Table1[[#This Row],[IndicatorCode]])</f>
        <v>99.756410256410263</v>
      </c>
      <c r="I1670" cm="1">
        <f t="array" ref="I1670">_xlfn.STDEV.P(IF(Table1[IndicatorCode]=Table1[[#This Row],[IndicatorCode]],Table1[value]))</f>
        <v>1.1047979755287356</v>
      </c>
      <c r="J1670">
        <f>(Table1[[#This Row],[value]] - Table1[[#This Row],[mean]]) / Table1[[#This Row],[std_dev]]</f>
        <v>0.22048351733552002</v>
      </c>
      <c r="K1670">
        <f>AVERAGEIF(Table1[CountryCode],Table1[[#This Row],[CountryCode]],Table1[z-score])</f>
        <v>5.4192965202863402E-2</v>
      </c>
      <c r="L1670" t="e">
        <f>VLOOKUP(Table1[[#This Row],[CountryCode]],[1]!Table1[#All],1,FALSE)</f>
        <v>#REF!</v>
      </c>
    </row>
    <row r="1671" spans="1:12" hidden="1" x14ac:dyDescent="0.3">
      <c r="A1671" t="s">
        <v>109</v>
      </c>
      <c r="B1671" t="s">
        <v>110</v>
      </c>
      <c r="C1671" t="s">
        <v>9</v>
      </c>
      <c r="D1671" t="s">
        <v>10</v>
      </c>
      <c r="E1671">
        <v>2000</v>
      </c>
      <c r="F1671" s="1">
        <v>100</v>
      </c>
      <c r="G1671">
        <v>2000</v>
      </c>
      <c r="H1671">
        <f>AVERAGEIFS(Table1[value],Table1[IndicatorCode],Table1[[#This Row],[IndicatorCode]])</f>
        <v>99.756410256410263</v>
      </c>
      <c r="I1671" cm="1">
        <f t="array" ref="I1671">_xlfn.STDEV.P(IF(Table1[IndicatorCode]=Table1[[#This Row],[IndicatorCode]],Table1[value]))</f>
        <v>1.1047979755287356</v>
      </c>
      <c r="J1671">
        <f>(Table1[[#This Row],[value]] - Table1[[#This Row],[mean]]) / Table1[[#This Row],[std_dev]]</f>
        <v>0.22048351733552002</v>
      </c>
      <c r="K1671">
        <f>AVERAGEIF(Table1[CountryCode],Table1[[#This Row],[CountryCode]],Table1[z-score])</f>
        <v>5.4192965202863402E-2</v>
      </c>
      <c r="L1671" t="e">
        <f>VLOOKUP(Table1[[#This Row],[CountryCode]],[1]!Table1[#All],1,FALSE)</f>
        <v>#REF!</v>
      </c>
    </row>
    <row r="1672" spans="1:12" hidden="1" x14ac:dyDescent="0.3">
      <c r="A1672" t="s">
        <v>109</v>
      </c>
      <c r="B1672" t="s">
        <v>110</v>
      </c>
      <c r="C1672" t="s">
        <v>9</v>
      </c>
      <c r="D1672" t="s">
        <v>10</v>
      </c>
      <c r="E1672">
        <v>2001</v>
      </c>
      <c r="F1672" s="1">
        <v>100</v>
      </c>
      <c r="G1672">
        <v>2000</v>
      </c>
      <c r="H1672">
        <f>AVERAGEIFS(Table1[value],Table1[IndicatorCode],Table1[[#This Row],[IndicatorCode]])</f>
        <v>99.756410256410263</v>
      </c>
      <c r="I1672" cm="1">
        <f t="array" ref="I1672">_xlfn.STDEV.P(IF(Table1[IndicatorCode]=Table1[[#This Row],[IndicatorCode]],Table1[value]))</f>
        <v>1.1047979755287356</v>
      </c>
      <c r="J1672">
        <f>(Table1[[#This Row],[value]] - Table1[[#This Row],[mean]]) / Table1[[#This Row],[std_dev]]</f>
        <v>0.22048351733552002</v>
      </c>
      <c r="K1672">
        <f>AVERAGEIF(Table1[CountryCode],Table1[[#This Row],[CountryCode]],Table1[z-score])</f>
        <v>5.4192965202863402E-2</v>
      </c>
      <c r="L1672" t="e">
        <f>VLOOKUP(Table1[[#This Row],[CountryCode]],[1]!Table1[#All],1,FALSE)</f>
        <v>#REF!</v>
      </c>
    </row>
    <row r="1673" spans="1:12" hidden="1" x14ac:dyDescent="0.3">
      <c r="A1673" t="s">
        <v>109</v>
      </c>
      <c r="B1673" t="s">
        <v>110</v>
      </c>
      <c r="C1673" t="s">
        <v>9</v>
      </c>
      <c r="D1673" t="s">
        <v>10</v>
      </c>
      <c r="E1673">
        <v>2002</v>
      </c>
      <c r="F1673" s="1">
        <v>100</v>
      </c>
      <c r="G1673">
        <v>2000</v>
      </c>
      <c r="H1673">
        <f>AVERAGEIFS(Table1[value],Table1[IndicatorCode],Table1[[#This Row],[IndicatorCode]])</f>
        <v>99.756410256410263</v>
      </c>
      <c r="I1673" cm="1">
        <f t="array" ref="I1673">_xlfn.STDEV.P(IF(Table1[IndicatorCode]=Table1[[#This Row],[IndicatorCode]],Table1[value]))</f>
        <v>1.1047979755287356</v>
      </c>
      <c r="J1673">
        <f>(Table1[[#This Row],[value]] - Table1[[#This Row],[mean]]) / Table1[[#This Row],[std_dev]]</f>
        <v>0.22048351733552002</v>
      </c>
      <c r="K1673">
        <f>AVERAGEIF(Table1[CountryCode],Table1[[#This Row],[CountryCode]],Table1[z-score])</f>
        <v>5.4192965202863402E-2</v>
      </c>
      <c r="L1673" t="e">
        <f>VLOOKUP(Table1[[#This Row],[CountryCode]],[1]!Table1[#All],1,FALSE)</f>
        <v>#REF!</v>
      </c>
    </row>
    <row r="1674" spans="1:12" hidden="1" x14ac:dyDescent="0.3">
      <c r="A1674" t="s">
        <v>109</v>
      </c>
      <c r="B1674" t="s">
        <v>110</v>
      </c>
      <c r="C1674" t="s">
        <v>9</v>
      </c>
      <c r="D1674" t="s">
        <v>10</v>
      </c>
      <c r="E1674">
        <v>2003</v>
      </c>
      <c r="F1674" s="1">
        <v>100</v>
      </c>
      <c r="G1674">
        <v>2000</v>
      </c>
      <c r="H1674">
        <f>AVERAGEIFS(Table1[value],Table1[IndicatorCode],Table1[[#This Row],[IndicatorCode]])</f>
        <v>99.756410256410263</v>
      </c>
      <c r="I1674" cm="1">
        <f t="array" ref="I1674">_xlfn.STDEV.P(IF(Table1[IndicatorCode]=Table1[[#This Row],[IndicatorCode]],Table1[value]))</f>
        <v>1.1047979755287356</v>
      </c>
      <c r="J1674">
        <f>(Table1[[#This Row],[value]] - Table1[[#This Row],[mean]]) / Table1[[#This Row],[std_dev]]</f>
        <v>0.22048351733552002</v>
      </c>
      <c r="K1674">
        <f>AVERAGEIF(Table1[CountryCode],Table1[[#This Row],[CountryCode]],Table1[z-score])</f>
        <v>5.4192965202863402E-2</v>
      </c>
      <c r="L1674" t="e">
        <f>VLOOKUP(Table1[[#This Row],[CountryCode]],[1]!Table1[#All],1,FALSE)</f>
        <v>#REF!</v>
      </c>
    </row>
    <row r="1675" spans="1:12" hidden="1" x14ac:dyDescent="0.3">
      <c r="A1675" t="s">
        <v>109</v>
      </c>
      <c r="B1675" t="s">
        <v>110</v>
      </c>
      <c r="C1675" t="s">
        <v>9</v>
      </c>
      <c r="D1675" t="s">
        <v>10</v>
      </c>
      <c r="E1675">
        <v>2004</v>
      </c>
      <c r="F1675" s="1">
        <v>100</v>
      </c>
      <c r="G1675">
        <v>2000</v>
      </c>
      <c r="H1675">
        <f>AVERAGEIFS(Table1[value],Table1[IndicatorCode],Table1[[#This Row],[IndicatorCode]])</f>
        <v>99.756410256410263</v>
      </c>
      <c r="I1675" cm="1">
        <f t="array" ref="I1675">_xlfn.STDEV.P(IF(Table1[IndicatorCode]=Table1[[#This Row],[IndicatorCode]],Table1[value]))</f>
        <v>1.1047979755287356</v>
      </c>
      <c r="J1675">
        <f>(Table1[[#This Row],[value]] - Table1[[#This Row],[mean]]) / Table1[[#This Row],[std_dev]]</f>
        <v>0.22048351733552002</v>
      </c>
      <c r="K1675">
        <f>AVERAGEIF(Table1[CountryCode],Table1[[#This Row],[CountryCode]],Table1[z-score])</f>
        <v>5.4192965202863402E-2</v>
      </c>
      <c r="L1675" t="e">
        <f>VLOOKUP(Table1[[#This Row],[CountryCode]],[1]!Table1[#All],1,FALSE)</f>
        <v>#REF!</v>
      </c>
    </row>
    <row r="1676" spans="1:12" hidden="1" x14ac:dyDescent="0.3">
      <c r="A1676" t="s">
        <v>109</v>
      </c>
      <c r="B1676" t="s">
        <v>110</v>
      </c>
      <c r="C1676" t="s">
        <v>9</v>
      </c>
      <c r="D1676" t="s">
        <v>10</v>
      </c>
      <c r="E1676">
        <v>2005</v>
      </c>
      <c r="F1676" s="1">
        <v>100</v>
      </c>
      <c r="G1676">
        <v>2000</v>
      </c>
      <c r="H1676">
        <f>AVERAGEIFS(Table1[value],Table1[IndicatorCode],Table1[[#This Row],[IndicatorCode]])</f>
        <v>99.756410256410263</v>
      </c>
      <c r="I1676" cm="1">
        <f t="array" ref="I1676">_xlfn.STDEV.P(IF(Table1[IndicatorCode]=Table1[[#This Row],[IndicatorCode]],Table1[value]))</f>
        <v>1.1047979755287356</v>
      </c>
      <c r="J1676">
        <f>(Table1[[#This Row],[value]] - Table1[[#This Row],[mean]]) / Table1[[#This Row],[std_dev]]</f>
        <v>0.22048351733552002</v>
      </c>
      <c r="K1676">
        <f>AVERAGEIF(Table1[CountryCode],Table1[[#This Row],[CountryCode]],Table1[z-score])</f>
        <v>5.4192965202863402E-2</v>
      </c>
      <c r="L1676" t="e">
        <f>VLOOKUP(Table1[[#This Row],[CountryCode]],[1]!Table1[#All],1,FALSE)</f>
        <v>#REF!</v>
      </c>
    </row>
    <row r="1677" spans="1:12" hidden="1" x14ac:dyDescent="0.3">
      <c r="A1677" t="s">
        <v>109</v>
      </c>
      <c r="B1677" t="s">
        <v>110</v>
      </c>
      <c r="C1677" t="s">
        <v>9</v>
      </c>
      <c r="D1677" t="s">
        <v>10</v>
      </c>
      <c r="E1677">
        <v>2006</v>
      </c>
      <c r="F1677" s="1">
        <v>100</v>
      </c>
      <c r="G1677">
        <v>2000</v>
      </c>
      <c r="H1677">
        <f>AVERAGEIFS(Table1[value],Table1[IndicatorCode],Table1[[#This Row],[IndicatorCode]])</f>
        <v>99.756410256410263</v>
      </c>
      <c r="I1677" cm="1">
        <f t="array" ref="I1677">_xlfn.STDEV.P(IF(Table1[IndicatorCode]=Table1[[#This Row],[IndicatorCode]],Table1[value]))</f>
        <v>1.1047979755287356</v>
      </c>
      <c r="J1677">
        <f>(Table1[[#This Row],[value]] - Table1[[#This Row],[mean]]) / Table1[[#This Row],[std_dev]]</f>
        <v>0.22048351733552002</v>
      </c>
      <c r="K1677">
        <f>AVERAGEIF(Table1[CountryCode],Table1[[#This Row],[CountryCode]],Table1[z-score])</f>
        <v>5.4192965202863402E-2</v>
      </c>
      <c r="L1677" t="e">
        <f>VLOOKUP(Table1[[#This Row],[CountryCode]],[1]!Table1[#All],1,FALSE)</f>
        <v>#REF!</v>
      </c>
    </row>
    <row r="1678" spans="1:12" hidden="1" x14ac:dyDescent="0.3">
      <c r="A1678" t="s">
        <v>109</v>
      </c>
      <c r="B1678" t="s">
        <v>110</v>
      </c>
      <c r="C1678" t="s">
        <v>9</v>
      </c>
      <c r="D1678" t="s">
        <v>10</v>
      </c>
      <c r="E1678">
        <v>2007</v>
      </c>
      <c r="F1678" s="1">
        <v>100</v>
      </c>
      <c r="G1678">
        <v>2010</v>
      </c>
      <c r="H1678">
        <f>AVERAGEIFS(Table1[value],Table1[IndicatorCode],Table1[[#This Row],[IndicatorCode]])</f>
        <v>99.756410256410263</v>
      </c>
      <c r="I1678" cm="1">
        <f t="array" ref="I1678">_xlfn.STDEV.P(IF(Table1[IndicatorCode]=Table1[[#This Row],[IndicatorCode]],Table1[value]))</f>
        <v>1.1047979755287356</v>
      </c>
      <c r="J1678">
        <f>(Table1[[#This Row],[value]] - Table1[[#This Row],[mean]]) / Table1[[#This Row],[std_dev]]</f>
        <v>0.22048351733552002</v>
      </c>
      <c r="K1678">
        <f>AVERAGEIF(Table1[CountryCode],Table1[[#This Row],[CountryCode]],Table1[z-score])</f>
        <v>5.4192965202863402E-2</v>
      </c>
      <c r="L1678" t="e">
        <f>VLOOKUP(Table1[[#This Row],[CountryCode]],[1]!Table1[#All],1,FALSE)</f>
        <v>#REF!</v>
      </c>
    </row>
    <row r="1679" spans="1:12" hidden="1" x14ac:dyDescent="0.3">
      <c r="A1679" t="s">
        <v>109</v>
      </c>
      <c r="B1679" t="s">
        <v>110</v>
      </c>
      <c r="C1679" t="s">
        <v>9</v>
      </c>
      <c r="D1679" t="s">
        <v>10</v>
      </c>
      <c r="E1679">
        <v>2008</v>
      </c>
      <c r="F1679" s="1">
        <v>100</v>
      </c>
      <c r="G1679">
        <v>2010</v>
      </c>
      <c r="H1679">
        <f>AVERAGEIFS(Table1[value],Table1[IndicatorCode],Table1[[#This Row],[IndicatorCode]])</f>
        <v>99.756410256410263</v>
      </c>
      <c r="I1679" cm="1">
        <f t="array" ref="I1679">_xlfn.STDEV.P(IF(Table1[IndicatorCode]=Table1[[#This Row],[IndicatorCode]],Table1[value]))</f>
        <v>1.1047979755287356</v>
      </c>
      <c r="J1679">
        <f>(Table1[[#This Row],[value]] - Table1[[#This Row],[mean]]) / Table1[[#This Row],[std_dev]]</f>
        <v>0.22048351733552002</v>
      </c>
      <c r="K1679">
        <f>AVERAGEIF(Table1[CountryCode],Table1[[#This Row],[CountryCode]],Table1[z-score])</f>
        <v>5.4192965202863402E-2</v>
      </c>
      <c r="L1679" t="e">
        <f>VLOOKUP(Table1[[#This Row],[CountryCode]],[1]!Table1[#All],1,FALSE)</f>
        <v>#REF!</v>
      </c>
    </row>
    <row r="1680" spans="1:12" hidden="1" x14ac:dyDescent="0.3">
      <c r="A1680" t="s">
        <v>109</v>
      </c>
      <c r="B1680" t="s">
        <v>110</v>
      </c>
      <c r="C1680" t="s">
        <v>9</v>
      </c>
      <c r="D1680" t="s">
        <v>10</v>
      </c>
      <c r="E1680">
        <v>2009</v>
      </c>
      <c r="F1680" s="1">
        <v>100</v>
      </c>
      <c r="G1680">
        <v>2010</v>
      </c>
      <c r="H1680">
        <f>AVERAGEIFS(Table1[value],Table1[IndicatorCode],Table1[[#This Row],[IndicatorCode]])</f>
        <v>99.756410256410263</v>
      </c>
      <c r="I1680" cm="1">
        <f t="array" ref="I1680">_xlfn.STDEV.P(IF(Table1[IndicatorCode]=Table1[[#This Row],[IndicatorCode]],Table1[value]))</f>
        <v>1.1047979755287356</v>
      </c>
      <c r="J1680">
        <f>(Table1[[#This Row],[value]] - Table1[[#This Row],[mean]]) / Table1[[#This Row],[std_dev]]</f>
        <v>0.22048351733552002</v>
      </c>
      <c r="K1680">
        <f>AVERAGEIF(Table1[CountryCode],Table1[[#This Row],[CountryCode]],Table1[z-score])</f>
        <v>5.4192965202863402E-2</v>
      </c>
      <c r="L1680" t="e">
        <f>VLOOKUP(Table1[[#This Row],[CountryCode]],[1]!Table1[#All],1,FALSE)</f>
        <v>#REF!</v>
      </c>
    </row>
    <row r="1681" spans="1:12" hidden="1" x14ac:dyDescent="0.3">
      <c r="A1681" t="s">
        <v>109</v>
      </c>
      <c r="B1681" t="s">
        <v>110</v>
      </c>
      <c r="C1681" t="s">
        <v>9</v>
      </c>
      <c r="D1681" t="s">
        <v>10</v>
      </c>
      <c r="E1681">
        <v>2010</v>
      </c>
      <c r="F1681" s="1">
        <v>100</v>
      </c>
      <c r="G1681">
        <v>2010</v>
      </c>
      <c r="H1681">
        <f>AVERAGEIFS(Table1[value],Table1[IndicatorCode],Table1[[#This Row],[IndicatorCode]])</f>
        <v>99.756410256410263</v>
      </c>
      <c r="I1681" cm="1">
        <f t="array" ref="I1681">_xlfn.STDEV.P(IF(Table1[IndicatorCode]=Table1[[#This Row],[IndicatorCode]],Table1[value]))</f>
        <v>1.1047979755287356</v>
      </c>
      <c r="J1681">
        <f>(Table1[[#This Row],[value]] - Table1[[#This Row],[mean]]) / Table1[[#This Row],[std_dev]]</f>
        <v>0.22048351733552002</v>
      </c>
      <c r="K1681">
        <f>AVERAGEIF(Table1[CountryCode],Table1[[#This Row],[CountryCode]],Table1[z-score])</f>
        <v>5.4192965202863402E-2</v>
      </c>
      <c r="L1681" t="e">
        <f>VLOOKUP(Table1[[#This Row],[CountryCode]],[1]!Table1[#All],1,FALSE)</f>
        <v>#REF!</v>
      </c>
    </row>
    <row r="1682" spans="1:12" hidden="1" x14ac:dyDescent="0.3">
      <c r="A1682" t="s">
        <v>109</v>
      </c>
      <c r="B1682" t="s">
        <v>110</v>
      </c>
      <c r="C1682" t="s">
        <v>9</v>
      </c>
      <c r="D1682" t="s">
        <v>10</v>
      </c>
      <c r="E1682">
        <v>2011</v>
      </c>
      <c r="F1682" s="1">
        <v>100</v>
      </c>
      <c r="G1682">
        <v>2010</v>
      </c>
      <c r="H1682">
        <f>AVERAGEIFS(Table1[value],Table1[IndicatorCode],Table1[[#This Row],[IndicatorCode]])</f>
        <v>99.756410256410263</v>
      </c>
      <c r="I1682" cm="1">
        <f t="array" ref="I1682">_xlfn.STDEV.P(IF(Table1[IndicatorCode]=Table1[[#This Row],[IndicatorCode]],Table1[value]))</f>
        <v>1.1047979755287356</v>
      </c>
      <c r="J1682">
        <f>(Table1[[#This Row],[value]] - Table1[[#This Row],[mean]]) / Table1[[#This Row],[std_dev]]</f>
        <v>0.22048351733552002</v>
      </c>
      <c r="K1682">
        <f>AVERAGEIF(Table1[CountryCode],Table1[[#This Row],[CountryCode]],Table1[z-score])</f>
        <v>5.4192965202863402E-2</v>
      </c>
      <c r="L1682" t="e">
        <f>VLOOKUP(Table1[[#This Row],[CountryCode]],[1]!Table1[#All],1,FALSE)</f>
        <v>#REF!</v>
      </c>
    </row>
    <row r="1683" spans="1:12" hidden="1" x14ac:dyDescent="0.3">
      <c r="A1683" t="s">
        <v>109</v>
      </c>
      <c r="B1683" t="s">
        <v>110</v>
      </c>
      <c r="C1683" t="s">
        <v>9</v>
      </c>
      <c r="D1683" t="s">
        <v>10</v>
      </c>
      <c r="E1683">
        <v>2012</v>
      </c>
      <c r="F1683" s="1">
        <v>100</v>
      </c>
      <c r="G1683">
        <v>2010</v>
      </c>
      <c r="H1683">
        <f>AVERAGEIFS(Table1[value],Table1[IndicatorCode],Table1[[#This Row],[IndicatorCode]])</f>
        <v>99.756410256410263</v>
      </c>
      <c r="I1683" cm="1">
        <f t="array" ref="I1683">_xlfn.STDEV.P(IF(Table1[IndicatorCode]=Table1[[#This Row],[IndicatorCode]],Table1[value]))</f>
        <v>1.1047979755287356</v>
      </c>
      <c r="J1683">
        <f>(Table1[[#This Row],[value]] - Table1[[#This Row],[mean]]) / Table1[[#This Row],[std_dev]]</f>
        <v>0.22048351733552002</v>
      </c>
      <c r="K1683">
        <f>AVERAGEIF(Table1[CountryCode],Table1[[#This Row],[CountryCode]],Table1[z-score])</f>
        <v>5.4192965202863402E-2</v>
      </c>
      <c r="L1683" t="e">
        <f>VLOOKUP(Table1[[#This Row],[CountryCode]],[1]!Table1[#All],1,FALSE)</f>
        <v>#REF!</v>
      </c>
    </row>
    <row r="1684" spans="1:12" hidden="1" x14ac:dyDescent="0.3">
      <c r="A1684" t="s">
        <v>109</v>
      </c>
      <c r="B1684" t="s">
        <v>110</v>
      </c>
      <c r="C1684" t="s">
        <v>9</v>
      </c>
      <c r="D1684" t="s">
        <v>10</v>
      </c>
      <c r="E1684">
        <v>2013</v>
      </c>
      <c r="F1684" s="1">
        <v>100</v>
      </c>
      <c r="G1684">
        <v>2010</v>
      </c>
      <c r="H1684">
        <f>AVERAGEIFS(Table1[value],Table1[IndicatorCode],Table1[[#This Row],[IndicatorCode]])</f>
        <v>99.756410256410263</v>
      </c>
      <c r="I1684" cm="1">
        <f t="array" ref="I1684">_xlfn.STDEV.P(IF(Table1[IndicatorCode]=Table1[[#This Row],[IndicatorCode]],Table1[value]))</f>
        <v>1.1047979755287356</v>
      </c>
      <c r="J1684">
        <f>(Table1[[#This Row],[value]] - Table1[[#This Row],[mean]]) / Table1[[#This Row],[std_dev]]</f>
        <v>0.22048351733552002</v>
      </c>
      <c r="K1684">
        <f>AVERAGEIF(Table1[CountryCode],Table1[[#This Row],[CountryCode]],Table1[z-score])</f>
        <v>5.4192965202863402E-2</v>
      </c>
      <c r="L1684" t="e">
        <f>VLOOKUP(Table1[[#This Row],[CountryCode]],[1]!Table1[#All],1,FALSE)</f>
        <v>#REF!</v>
      </c>
    </row>
    <row r="1685" spans="1:12" hidden="1" x14ac:dyDescent="0.3">
      <c r="A1685" t="s">
        <v>109</v>
      </c>
      <c r="B1685" t="s">
        <v>110</v>
      </c>
      <c r="C1685" t="s">
        <v>9</v>
      </c>
      <c r="D1685" t="s">
        <v>10</v>
      </c>
      <c r="E1685">
        <v>2014</v>
      </c>
      <c r="F1685" s="1">
        <v>100</v>
      </c>
      <c r="G1685">
        <v>2010</v>
      </c>
      <c r="H1685">
        <f>AVERAGEIFS(Table1[value],Table1[IndicatorCode],Table1[[#This Row],[IndicatorCode]])</f>
        <v>99.756410256410263</v>
      </c>
      <c r="I1685" cm="1">
        <f t="array" ref="I1685">_xlfn.STDEV.P(IF(Table1[IndicatorCode]=Table1[[#This Row],[IndicatorCode]],Table1[value]))</f>
        <v>1.1047979755287356</v>
      </c>
      <c r="J1685">
        <f>(Table1[[#This Row],[value]] - Table1[[#This Row],[mean]]) / Table1[[#This Row],[std_dev]]</f>
        <v>0.22048351733552002</v>
      </c>
      <c r="K1685">
        <f>AVERAGEIF(Table1[CountryCode],Table1[[#This Row],[CountryCode]],Table1[z-score])</f>
        <v>5.4192965202863402E-2</v>
      </c>
      <c r="L1685" t="e">
        <f>VLOOKUP(Table1[[#This Row],[CountryCode]],[1]!Table1[#All],1,FALSE)</f>
        <v>#REF!</v>
      </c>
    </row>
    <row r="1686" spans="1:12" hidden="1" x14ac:dyDescent="0.3">
      <c r="A1686" t="s">
        <v>109</v>
      </c>
      <c r="B1686" t="s">
        <v>110</v>
      </c>
      <c r="C1686" t="s">
        <v>9</v>
      </c>
      <c r="D1686" t="s">
        <v>10</v>
      </c>
      <c r="E1686">
        <v>2015</v>
      </c>
      <c r="F1686" s="1">
        <v>100</v>
      </c>
      <c r="G1686">
        <v>2010</v>
      </c>
      <c r="H1686">
        <f>AVERAGEIFS(Table1[value],Table1[IndicatorCode],Table1[[#This Row],[IndicatorCode]])</f>
        <v>99.756410256410263</v>
      </c>
      <c r="I1686" cm="1">
        <f t="array" ref="I1686">_xlfn.STDEV.P(IF(Table1[IndicatorCode]=Table1[[#This Row],[IndicatorCode]],Table1[value]))</f>
        <v>1.1047979755287356</v>
      </c>
      <c r="J1686">
        <f>(Table1[[#This Row],[value]] - Table1[[#This Row],[mean]]) / Table1[[#This Row],[std_dev]]</f>
        <v>0.22048351733552002</v>
      </c>
      <c r="K1686">
        <f>AVERAGEIF(Table1[CountryCode],Table1[[#This Row],[CountryCode]],Table1[z-score])</f>
        <v>5.4192965202863402E-2</v>
      </c>
      <c r="L1686" t="e">
        <f>VLOOKUP(Table1[[#This Row],[CountryCode]],[1]!Table1[#All],1,FALSE)</f>
        <v>#REF!</v>
      </c>
    </row>
    <row r="1687" spans="1:12" hidden="1" x14ac:dyDescent="0.3">
      <c r="A1687" t="s">
        <v>109</v>
      </c>
      <c r="B1687" t="s">
        <v>110</v>
      </c>
      <c r="C1687" t="s">
        <v>9</v>
      </c>
      <c r="D1687" t="s">
        <v>10</v>
      </c>
      <c r="E1687">
        <v>2016</v>
      </c>
      <c r="F1687" s="1">
        <v>100</v>
      </c>
      <c r="G1687">
        <v>2010</v>
      </c>
      <c r="H1687">
        <f>AVERAGEIFS(Table1[value],Table1[IndicatorCode],Table1[[#This Row],[IndicatorCode]])</f>
        <v>99.756410256410263</v>
      </c>
      <c r="I1687" cm="1">
        <f t="array" ref="I1687">_xlfn.STDEV.P(IF(Table1[IndicatorCode]=Table1[[#This Row],[IndicatorCode]],Table1[value]))</f>
        <v>1.1047979755287356</v>
      </c>
      <c r="J1687">
        <f>(Table1[[#This Row],[value]] - Table1[[#This Row],[mean]]) / Table1[[#This Row],[std_dev]]</f>
        <v>0.22048351733552002</v>
      </c>
      <c r="K1687">
        <f>AVERAGEIF(Table1[CountryCode],Table1[[#This Row],[CountryCode]],Table1[z-score])</f>
        <v>5.4192965202863402E-2</v>
      </c>
      <c r="L1687" t="e">
        <f>VLOOKUP(Table1[[#This Row],[CountryCode]],[1]!Table1[#All],1,FALSE)</f>
        <v>#REF!</v>
      </c>
    </row>
    <row r="1688" spans="1:12" hidden="1" x14ac:dyDescent="0.3">
      <c r="A1688" t="s">
        <v>109</v>
      </c>
      <c r="B1688" t="s">
        <v>110</v>
      </c>
      <c r="C1688" t="s">
        <v>9</v>
      </c>
      <c r="D1688" t="s">
        <v>10</v>
      </c>
      <c r="E1688">
        <v>2017</v>
      </c>
      <c r="F1688" s="1">
        <v>100</v>
      </c>
      <c r="G1688">
        <v>2020</v>
      </c>
      <c r="H1688">
        <f>AVERAGEIFS(Table1[value],Table1[IndicatorCode],Table1[[#This Row],[IndicatorCode]])</f>
        <v>99.756410256410263</v>
      </c>
      <c r="I1688" cm="1">
        <f t="array" ref="I1688">_xlfn.STDEV.P(IF(Table1[IndicatorCode]=Table1[[#This Row],[IndicatorCode]],Table1[value]))</f>
        <v>1.1047979755287356</v>
      </c>
      <c r="J1688">
        <f>(Table1[[#This Row],[value]] - Table1[[#This Row],[mean]]) / Table1[[#This Row],[std_dev]]</f>
        <v>0.22048351733552002</v>
      </c>
      <c r="K1688">
        <f>AVERAGEIF(Table1[CountryCode],Table1[[#This Row],[CountryCode]],Table1[z-score])</f>
        <v>5.4192965202863402E-2</v>
      </c>
      <c r="L1688" t="e">
        <f>VLOOKUP(Table1[[#This Row],[CountryCode]],[1]!Table1[#All],1,FALSE)</f>
        <v>#REF!</v>
      </c>
    </row>
    <row r="1689" spans="1:12" hidden="1" x14ac:dyDescent="0.3">
      <c r="A1689" t="s">
        <v>109</v>
      </c>
      <c r="B1689" t="s">
        <v>110</v>
      </c>
      <c r="C1689" t="s">
        <v>9</v>
      </c>
      <c r="D1689" t="s">
        <v>10</v>
      </c>
      <c r="E1689">
        <v>2018</v>
      </c>
      <c r="F1689" s="1">
        <v>100</v>
      </c>
      <c r="G1689">
        <v>2020</v>
      </c>
      <c r="H1689">
        <f>AVERAGEIFS(Table1[value],Table1[IndicatorCode],Table1[[#This Row],[IndicatorCode]])</f>
        <v>99.756410256410263</v>
      </c>
      <c r="I1689" cm="1">
        <f t="array" ref="I1689">_xlfn.STDEV.P(IF(Table1[IndicatorCode]=Table1[[#This Row],[IndicatorCode]],Table1[value]))</f>
        <v>1.1047979755287356</v>
      </c>
      <c r="J1689">
        <f>(Table1[[#This Row],[value]] - Table1[[#This Row],[mean]]) / Table1[[#This Row],[std_dev]]</f>
        <v>0.22048351733552002</v>
      </c>
      <c r="K1689">
        <f>AVERAGEIF(Table1[CountryCode],Table1[[#This Row],[CountryCode]],Table1[z-score])</f>
        <v>5.4192965202863402E-2</v>
      </c>
      <c r="L1689" t="e">
        <f>VLOOKUP(Table1[[#This Row],[CountryCode]],[1]!Table1[#All],1,FALSE)</f>
        <v>#REF!</v>
      </c>
    </row>
    <row r="1690" spans="1:12" hidden="1" x14ac:dyDescent="0.3">
      <c r="A1690" t="s">
        <v>109</v>
      </c>
      <c r="B1690" t="s">
        <v>110</v>
      </c>
      <c r="C1690" t="s">
        <v>9</v>
      </c>
      <c r="D1690" t="s">
        <v>10</v>
      </c>
      <c r="E1690">
        <v>2019</v>
      </c>
      <c r="F1690" s="1">
        <v>100</v>
      </c>
      <c r="G1690">
        <v>2020</v>
      </c>
      <c r="H1690">
        <f>AVERAGEIFS(Table1[value],Table1[IndicatorCode],Table1[[#This Row],[IndicatorCode]])</f>
        <v>99.756410256410263</v>
      </c>
      <c r="I1690" cm="1">
        <f t="array" ref="I1690">_xlfn.STDEV.P(IF(Table1[IndicatorCode]=Table1[[#This Row],[IndicatorCode]],Table1[value]))</f>
        <v>1.1047979755287356</v>
      </c>
      <c r="J1690">
        <f>(Table1[[#This Row],[value]] - Table1[[#This Row],[mean]]) / Table1[[#This Row],[std_dev]]</f>
        <v>0.22048351733552002</v>
      </c>
      <c r="K1690">
        <f>AVERAGEIF(Table1[CountryCode],Table1[[#This Row],[CountryCode]],Table1[z-score])</f>
        <v>5.4192965202863402E-2</v>
      </c>
      <c r="L1690" t="e">
        <f>VLOOKUP(Table1[[#This Row],[CountryCode]],[1]!Table1[#All],1,FALSE)</f>
        <v>#REF!</v>
      </c>
    </row>
    <row r="1691" spans="1:12" x14ac:dyDescent="0.3">
      <c r="A1691" t="s">
        <v>109</v>
      </c>
      <c r="B1691" t="s">
        <v>110</v>
      </c>
      <c r="C1691" t="s">
        <v>9</v>
      </c>
      <c r="D1691" t="s">
        <v>10</v>
      </c>
      <c r="E1691">
        <v>2020</v>
      </c>
      <c r="F1691" s="1">
        <v>100</v>
      </c>
      <c r="G1691">
        <v>2020</v>
      </c>
      <c r="H1691">
        <f>AVERAGEIFS(Table1[value],Table1[IndicatorCode],Table1[[#This Row],[IndicatorCode]])</f>
        <v>99.756410256410263</v>
      </c>
      <c r="I1691" cm="1">
        <f t="array" ref="I1691">_xlfn.STDEV.P(IF(Table1[IndicatorCode]=Table1[[#This Row],[IndicatorCode]],Table1[value]))</f>
        <v>1.1047979755287356</v>
      </c>
      <c r="J1691">
        <f>(Table1[[#This Row],[value]] - Table1[[#This Row],[mean]]) / Table1[[#This Row],[std_dev]]</f>
        <v>0.22048351733552002</v>
      </c>
      <c r="K1691">
        <f>AVERAGEIF(Table1[CountryCode],Table1[[#This Row],[CountryCode]],Table1[z-score])</f>
        <v>5.4192965202863402E-2</v>
      </c>
    </row>
    <row r="1692" spans="1:12" hidden="1" x14ac:dyDescent="0.3">
      <c r="A1692" t="s">
        <v>109</v>
      </c>
      <c r="B1692" t="s">
        <v>110</v>
      </c>
      <c r="C1692" t="s">
        <v>9</v>
      </c>
      <c r="D1692" t="s">
        <v>10</v>
      </c>
      <c r="E1692">
        <v>2021</v>
      </c>
      <c r="F1692" s="1">
        <v>100</v>
      </c>
      <c r="G1692">
        <v>1990</v>
      </c>
      <c r="H1692">
        <f>AVERAGEIFS(Table1[value],Table1[IndicatorCode],Table1[[#This Row],[IndicatorCode]])</f>
        <v>99.756410256410263</v>
      </c>
      <c r="I1692" cm="1">
        <f t="array" ref="I1692">_xlfn.STDEV.P(IF(Table1[IndicatorCode]=Table1[[#This Row],[IndicatorCode]],Table1[value]))</f>
        <v>1.1047979755287356</v>
      </c>
      <c r="J1692">
        <f>(Table1[[#This Row],[value]] - Table1[[#This Row],[mean]]) / Table1[[#This Row],[std_dev]]</f>
        <v>0.22048351733552002</v>
      </c>
      <c r="K1692">
        <f>AVERAGEIF(Table1[CountryCode],Table1[[#This Row],[CountryCode]],Table1[z-score])</f>
        <v>5.4192965202863402E-2</v>
      </c>
      <c r="L1692" t="e">
        <f>VLOOKUP(Table1[[#This Row],[CountryCode]],[1]!Table1[#All],1,FALSE)</f>
        <v>#REF!</v>
      </c>
    </row>
    <row r="1693" spans="1:12" hidden="1" x14ac:dyDescent="0.3">
      <c r="A1693" t="s">
        <v>109</v>
      </c>
      <c r="B1693" t="s">
        <v>110</v>
      </c>
      <c r="C1693" t="s">
        <v>9</v>
      </c>
      <c r="D1693" t="s">
        <v>10</v>
      </c>
      <c r="E1693">
        <v>2022</v>
      </c>
      <c r="F1693" s="1">
        <v>100</v>
      </c>
      <c r="G1693">
        <v>1990</v>
      </c>
      <c r="H1693">
        <f>AVERAGEIFS(Table1[value],Table1[IndicatorCode],Table1[[#This Row],[IndicatorCode]])</f>
        <v>99.756410256410263</v>
      </c>
      <c r="I1693" cm="1">
        <f t="array" ref="I1693">_xlfn.STDEV.P(IF(Table1[IndicatorCode]=Table1[[#This Row],[IndicatorCode]],Table1[value]))</f>
        <v>1.1047979755287356</v>
      </c>
      <c r="J1693">
        <f>(Table1[[#This Row],[value]] - Table1[[#This Row],[mean]]) / Table1[[#This Row],[std_dev]]</f>
        <v>0.22048351733552002</v>
      </c>
      <c r="K1693">
        <f>AVERAGEIF(Table1[CountryCode],Table1[[#This Row],[CountryCode]],Table1[z-score])</f>
        <v>5.4192965202863402E-2</v>
      </c>
      <c r="L1693" t="e">
        <f>VLOOKUP(Table1[[#This Row],[CountryCode]],[1]!Table1[#All],1,FALSE)</f>
        <v>#REF!</v>
      </c>
    </row>
    <row r="1694" spans="1:12" hidden="1" x14ac:dyDescent="0.3">
      <c r="A1694" t="s">
        <v>109</v>
      </c>
      <c r="B1694" t="s">
        <v>110</v>
      </c>
      <c r="C1694" t="s">
        <v>9</v>
      </c>
      <c r="D1694" t="s">
        <v>10</v>
      </c>
      <c r="E1694">
        <v>2023</v>
      </c>
      <c r="F1694" s="1">
        <v>100</v>
      </c>
      <c r="G1694">
        <v>1990</v>
      </c>
      <c r="H1694">
        <f>AVERAGEIFS(Table1[value],Table1[IndicatorCode],Table1[[#This Row],[IndicatorCode]])</f>
        <v>99.756410256410263</v>
      </c>
      <c r="I1694" cm="1">
        <f t="array" ref="I1694">_xlfn.STDEV.P(IF(Table1[IndicatorCode]=Table1[[#This Row],[IndicatorCode]],Table1[value]))</f>
        <v>1.1047979755287356</v>
      </c>
      <c r="J1694">
        <f>(Table1[[#This Row],[value]] - Table1[[#This Row],[mean]]) / Table1[[#This Row],[std_dev]]</f>
        <v>0.22048351733552002</v>
      </c>
      <c r="K1694">
        <f>AVERAGEIF(Table1[CountryCode],Table1[[#This Row],[CountryCode]],Table1[z-score])</f>
        <v>5.4192965202863402E-2</v>
      </c>
      <c r="L1694" t="e">
        <f>VLOOKUP(Table1[[#This Row],[CountryCode]],[1]!Table1[#All],1,FALSE)</f>
        <v>#REF!</v>
      </c>
    </row>
    <row r="1695" spans="1:12" hidden="1" x14ac:dyDescent="0.3">
      <c r="A1695" t="s">
        <v>111</v>
      </c>
      <c r="B1695" t="s">
        <v>112</v>
      </c>
      <c r="C1695" t="s">
        <v>9</v>
      </c>
      <c r="D1695" t="s">
        <v>10</v>
      </c>
      <c r="E1695">
        <v>1990</v>
      </c>
      <c r="F1695" s="1">
        <v>100</v>
      </c>
      <c r="G1695">
        <v>1990</v>
      </c>
      <c r="H1695">
        <f>AVERAGEIFS(Table1[value],Table1[IndicatorCode],Table1[[#This Row],[IndicatorCode]])</f>
        <v>99.756410256410263</v>
      </c>
      <c r="I1695" cm="1">
        <f t="array" ref="I1695">_xlfn.STDEV.P(IF(Table1[IndicatorCode]=Table1[[#This Row],[IndicatorCode]],Table1[value]))</f>
        <v>1.1047979755287356</v>
      </c>
      <c r="J1695">
        <f>(Table1[[#This Row],[value]] - Table1[[#This Row],[mean]]) / Table1[[#This Row],[std_dev]]</f>
        <v>0.22048351733552002</v>
      </c>
      <c r="K1695">
        <f>AVERAGEIF(Table1[CountryCode],Table1[[#This Row],[CountryCode]],Table1[z-score])</f>
        <v>0.37952535202791182</v>
      </c>
      <c r="L1695" t="e">
        <f>VLOOKUP(Table1[[#This Row],[CountryCode]],[1]!Table1[#All],1,FALSE)</f>
        <v>#REF!</v>
      </c>
    </row>
    <row r="1696" spans="1:12" hidden="1" x14ac:dyDescent="0.3">
      <c r="A1696" t="s">
        <v>111</v>
      </c>
      <c r="B1696" t="s">
        <v>112</v>
      </c>
      <c r="C1696" t="s">
        <v>9</v>
      </c>
      <c r="D1696" t="s">
        <v>10</v>
      </c>
      <c r="E1696">
        <v>1991</v>
      </c>
      <c r="F1696" s="1">
        <v>100</v>
      </c>
      <c r="G1696">
        <v>1990</v>
      </c>
      <c r="H1696">
        <f>AVERAGEIFS(Table1[value],Table1[IndicatorCode],Table1[[#This Row],[IndicatorCode]])</f>
        <v>99.756410256410263</v>
      </c>
      <c r="I1696" cm="1">
        <f t="array" ref="I1696">_xlfn.STDEV.P(IF(Table1[IndicatorCode]=Table1[[#This Row],[IndicatorCode]],Table1[value]))</f>
        <v>1.1047979755287356</v>
      </c>
      <c r="J1696">
        <f>(Table1[[#This Row],[value]] - Table1[[#This Row],[mean]]) / Table1[[#This Row],[std_dev]]</f>
        <v>0.22048351733552002</v>
      </c>
      <c r="K1696">
        <f>AVERAGEIF(Table1[CountryCode],Table1[[#This Row],[CountryCode]],Table1[z-score])</f>
        <v>0.37952535202791182</v>
      </c>
      <c r="L1696" t="e">
        <f>VLOOKUP(Table1[[#This Row],[CountryCode]],[1]!Table1[#All],1,FALSE)</f>
        <v>#REF!</v>
      </c>
    </row>
    <row r="1697" spans="1:12" hidden="1" x14ac:dyDescent="0.3">
      <c r="A1697" t="s">
        <v>111</v>
      </c>
      <c r="B1697" t="s">
        <v>112</v>
      </c>
      <c r="C1697" t="s">
        <v>9</v>
      </c>
      <c r="D1697" t="s">
        <v>10</v>
      </c>
      <c r="E1697">
        <v>1992</v>
      </c>
      <c r="F1697" s="1">
        <v>100</v>
      </c>
      <c r="G1697">
        <v>1990</v>
      </c>
      <c r="H1697">
        <f>AVERAGEIFS(Table1[value],Table1[IndicatorCode],Table1[[#This Row],[IndicatorCode]])</f>
        <v>99.756410256410263</v>
      </c>
      <c r="I1697" cm="1">
        <f t="array" ref="I1697">_xlfn.STDEV.P(IF(Table1[IndicatorCode]=Table1[[#This Row],[IndicatorCode]],Table1[value]))</f>
        <v>1.1047979755287356</v>
      </c>
      <c r="J1697">
        <f>(Table1[[#This Row],[value]] - Table1[[#This Row],[mean]]) / Table1[[#This Row],[std_dev]]</f>
        <v>0.22048351733552002</v>
      </c>
      <c r="K1697">
        <f>AVERAGEIF(Table1[CountryCode],Table1[[#This Row],[CountryCode]],Table1[z-score])</f>
        <v>0.37952535202791182</v>
      </c>
      <c r="L1697" t="e">
        <f>VLOOKUP(Table1[[#This Row],[CountryCode]],[1]!Table1[#All],1,FALSE)</f>
        <v>#REF!</v>
      </c>
    </row>
    <row r="1698" spans="1:12" hidden="1" x14ac:dyDescent="0.3">
      <c r="A1698" t="s">
        <v>111</v>
      </c>
      <c r="B1698" t="s">
        <v>112</v>
      </c>
      <c r="C1698" t="s">
        <v>9</v>
      </c>
      <c r="D1698" t="s">
        <v>10</v>
      </c>
      <c r="E1698">
        <v>1993</v>
      </c>
      <c r="F1698" s="1">
        <v>100</v>
      </c>
      <c r="G1698">
        <v>1990</v>
      </c>
      <c r="H1698">
        <f>AVERAGEIFS(Table1[value],Table1[IndicatorCode],Table1[[#This Row],[IndicatorCode]])</f>
        <v>99.756410256410263</v>
      </c>
      <c r="I1698" cm="1">
        <f t="array" ref="I1698">_xlfn.STDEV.P(IF(Table1[IndicatorCode]=Table1[[#This Row],[IndicatorCode]],Table1[value]))</f>
        <v>1.1047979755287356</v>
      </c>
      <c r="J1698">
        <f>(Table1[[#This Row],[value]] - Table1[[#This Row],[mean]]) / Table1[[#This Row],[std_dev]]</f>
        <v>0.22048351733552002</v>
      </c>
      <c r="K1698">
        <f>AVERAGEIF(Table1[CountryCode],Table1[[#This Row],[CountryCode]],Table1[z-score])</f>
        <v>0.37952535202791182</v>
      </c>
      <c r="L1698" t="e">
        <f>VLOOKUP(Table1[[#This Row],[CountryCode]],[1]!Table1[#All],1,FALSE)</f>
        <v>#REF!</v>
      </c>
    </row>
    <row r="1699" spans="1:12" hidden="1" x14ac:dyDescent="0.3">
      <c r="A1699" t="s">
        <v>111</v>
      </c>
      <c r="B1699" t="s">
        <v>112</v>
      </c>
      <c r="C1699" t="s">
        <v>9</v>
      </c>
      <c r="D1699" t="s">
        <v>10</v>
      </c>
      <c r="E1699">
        <v>1994</v>
      </c>
      <c r="F1699" s="1">
        <v>100</v>
      </c>
      <c r="G1699">
        <v>1990</v>
      </c>
      <c r="H1699">
        <f>AVERAGEIFS(Table1[value],Table1[IndicatorCode],Table1[[#This Row],[IndicatorCode]])</f>
        <v>99.756410256410263</v>
      </c>
      <c r="I1699" cm="1">
        <f t="array" ref="I1699">_xlfn.STDEV.P(IF(Table1[IndicatorCode]=Table1[[#This Row],[IndicatorCode]],Table1[value]))</f>
        <v>1.1047979755287356</v>
      </c>
      <c r="J1699">
        <f>(Table1[[#This Row],[value]] - Table1[[#This Row],[mean]]) / Table1[[#This Row],[std_dev]]</f>
        <v>0.22048351733552002</v>
      </c>
      <c r="K1699">
        <f>AVERAGEIF(Table1[CountryCode],Table1[[#This Row],[CountryCode]],Table1[z-score])</f>
        <v>0.37952535202791182</v>
      </c>
      <c r="L1699" t="e">
        <f>VLOOKUP(Table1[[#This Row],[CountryCode]],[1]!Table1[#All],1,FALSE)</f>
        <v>#REF!</v>
      </c>
    </row>
    <row r="1700" spans="1:12" hidden="1" x14ac:dyDescent="0.3">
      <c r="A1700" t="s">
        <v>111</v>
      </c>
      <c r="B1700" t="s">
        <v>112</v>
      </c>
      <c r="C1700" t="s">
        <v>9</v>
      </c>
      <c r="D1700" t="s">
        <v>10</v>
      </c>
      <c r="E1700">
        <v>1995</v>
      </c>
      <c r="F1700" s="1">
        <v>100</v>
      </c>
      <c r="G1700">
        <v>1990</v>
      </c>
      <c r="H1700">
        <f>AVERAGEIFS(Table1[value],Table1[IndicatorCode],Table1[[#This Row],[IndicatorCode]])</f>
        <v>99.756410256410263</v>
      </c>
      <c r="I1700" cm="1">
        <f t="array" ref="I1700">_xlfn.STDEV.P(IF(Table1[IndicatorCode]=Table1[[#This Row],[IndicatorCode]],Table1[value]))</f>
        <v>1.1047979755287356</v>
      </c>
      <c r="J1700">
        <f>(Table1[[#This Row],[value]] - Table1[[#This Row],[mean]]) / Table1[[#This Row],[std_dev]]</f>
        <v>0.22048351733552002</v>
      </c>
      <c r="K1700">
        <f>AVERAGEIF(Table1[CountryCode],Table1[[#This Row],[CountryCode]],Table1[z-score])</f>
        <v>0.37952535202791182</v>
      </c>
      <c r="L1700" t="e">
        <f>VLOOKUP(Table1[[#This Row],[CountryCode]],[1]!Table1[#All],1,FALSE)</f>
        <v>#REF!</v>
      </c>
    </row>
    <row r="1701" spans="1:12" hidden="1" x14ac:dyDescent="0.3">
      <c r="A1701" t="s">
        <v>111</v>
      </c>
      <c r="B1701" t="s">
        <v>112</v>
      </c>
      <c r="C1701" t="s">
        <v>9</v>
      </c>
      <c r="D1701" t="s">
        <v>10</v>
      </c>
      <c r="E1701">
        <v>1996</v>
      </c>
      <c r="F1701" s="1">
        <v>100</v>
      </c>
      <c r="G1701">
        <v>1990</v>
      </c>
      <c r="H1701">
        <f>AVERAGEIFS(Table1[value],Table1[IndicatorCode],Table1[[#This Row],[IndicatorCode]])</f>
        <v>99.756410256410263</v>
      </c>
      <c r="I1701" cm="1">
        <f t="array" ref="I1701">_xlfn.STDEV.P(IF(Table1[IndicatorCode]=Table1[[#This Row],[IndicatorCode]],Table1[value]))</f>
        <v>1.1047979755287356</v>
      </c>
      <c r="J1701">
        <f>(Table1[[#This Row],[value]] - Table1[[#This Row],[mean]]) / Table1[[#This Row],[std_dev]]</f>
        <v>0.22048351733552002</v>
      </c>
      <c r="K1701">
        <f>AVERAGEIF(Table1[CountryCode],Table1[[#This Row],[CountryCode]],Table1[z-score])</f>
        <v>0.37952535202791182</v>
      </c>
      <c r="L1701" t="e">
        <f>VLOOKUP(Table1[[#This Row],[CountryCode]],[1]!Table1[#All],1,FALSE)</f>
        <v>#REF!</v>
      </c>
    </row>
    <row r="1702" spans="1:12" hidden="1" x14ac:dyDescent="0.3">
      <c r="A1702" t="s">
        <v>111</v>
      </c>
      <c r="B1702" t="s">
        <v>112</v>
      </c>
      <c r="C1702" t="s">
        <v>9</v>
      </c>
      <c r="D1702" t="s">
        <v>10</v>
      </c>
      <c r="E1702">
        <v>1997</v>
      </c>
      <c r="F1702" s="1">
        <v>100</v>
      </c>
      <c r="G1702">
        <v>2000</v>
      </c>
      <c r="H1702">
        <f>AVERAGEIFS(Table1[value],Table1[IndicatorCode],Table1[[#This Row],[IndicatorCode]])</f>
        <v>99.756410256410263</v>
      </c>
      <c r="I1702" cm="1">
        <f t="array" ref="I1702">_xlfn.STDEV.P(IF(Table1[IndicatorCode]=Table1[[#This Row],[IndicatorCode]],Table1[value]))</f>
        <v>1.1047979755287356</v>
      </c>
      <c r="J1702">
        <f>(Table1[[#This Row],[value]] - Table1[[#This Row],[mean]]) / Table1[[#This Row],[std_dev]]</f>
        <v>0.22048351733552002</v>
      </c>
      <c r="K1702">
        <f>AVERAGEIF(Table1[CountryCode],Table1[[#This Row],[CountryCode]],Table1[z-score])</f>
        <v>0.37952535202791182</v>
      </c>
      <c r="L1702" t="e">
        <f>VLOOKUP(Table1[[#This Row],[CountryCode]],[1]!Table1[#All],1,FALSE)</f>
        <v>#REF!</v>
      </c>
    </row>
    <row r="1703" spans="1:12" hidden="1" x14ac:dyDescent="0.3">
      <c r="A1703" t="s">
        <v>111</v>
      </c>
      <c r="B1703" t="s">
        <v>112</v>
      </c>
      <c r="C1703" t="s">
        <v>9</v>
      </c>
      <c r="D1703" t="s">
        <v>10</v>
      </c>
      <c r="E1703">
        <v>1998</v>
      </c>
      <c r="F1703" s="1">
        <v>100</v>
      </c>
      <c r="G1703">
        <v>2000</v>
      </c>
      <c r="H1703">
        <f>AVERAGEIFS(Table1[value],Table1[IndicatorCode],Table1[[#This Row],[IndicatorCode]])</f>
        <v>99.756410256410263</v>
      </c>
      <c r="I1703" cm="1">
        <f t="array" ref="I1703">_xlfn.STDEV.P(IF(Table1[IndicatorCode]=Table1[[#This Row],[IndicatorCode]],Table1[value]))</f>
        <v>1.1047979755287356</v>
      </c>
      <c r="J1703">
        <f>(Table1[[#This Row],[value]] - Table1[[#This Row],[mean]]) / Table1[[#This Row],[std_dev]]</f>
        <v>0.22048351733552002</v>
      </c>
      <c r="K1703">
        <f>AVERAGEIF(Table1[CountryCode],Table1[[#This Row],[CountryCode]],Table1[z-score])</f>
        <v>0.37952535202791182</v>
      </c>
      <c r="L1703" t="e">
        <f>VLOOKUP(Table1[[#This Row],[CountryCode]],[1]!Table1[#All],1,FALSE)</f>
        <v>#REF!</v>
      </c>
    </row>
    <row r="1704" spans="1:12" hidden="1" x14ac:dyDescent="0.3">
      <c r="A1704" t="s">
        <v>111</v>
      </c>
      <c r="B1704" t="s">
        <v>112</v>
      </c>
      <c r="C1704" t="s">
        <v>9</v>
      </c>
      <c r="D1704" t="s">
        <v>10</v>
      </c>
      <c r="E1704">
        <v>1999</v>
      </c>
      <c r="F1704" s="1">
        <v>100</v>
      </c>
      <c r="G1704">
        <v>2000</v>
      </c>
      <c r="H1704">
        <f>AVERAGEIFS(Table1[value],Table1[IndicatorCode],Table1[[#This Row],[IndicatorCode]])</f>
        <v>99.756410256410263</v>
      </c>
      <c r="I1704" cm="1">
        <f t="array" ref="I1704">_xlfn.STDEV.P(IF(Table1[IndicatorCode]=Table1[[#This Row],[IndicatorCode]],Table1[value]))</f>
        <v>1.1047979755287356</v>
      </c>
      <c r="J1704">
        <f>(Table1[[#This Row],[value]] - Table1[[#This Row],[mean]]) / Table1[[#This Row],[std_dev]]</f>
        <v>0.22048351733552002</v>
      </c>
      <c r="K1704">
        <f>AVERAGEIF(Table1[CountryCode],Table1[[#This Row],[CountryCode]],Table1[z-score])</f>
        <v>0.37952535202791182</v>
      </c>
      <c r="L1704" t="e">
        <f>VLOOKUP(Table1[[#This Row],[CountryCode]],[1]!Table1[#All],1,FALSE)</f>
        <v>#REF!</v>
      </c>
    </row>
    <row r="1705" spans="1:12" hidden="1" x14ac:dyDescent="0.3">
      <c r="A1705" t="s">
        <v>111</v>
      </c>
      <c r="B1705" t="s">
        <v>112</v>
      </c>
      <c r="C1705" t="s">
        <v>9</v>
      </c>
      <c r="D1705" t="s">
        <v>10</v>
      </c>
      <c r="E1705">
        <v>2000</v>
      </c>
      <c r="F1705" s="1">
        <v>100</v>
      </c>
      <c r="G1705">
        <v>2000</v>
      </c>
      <c r="H1705">
        <f>AVERAGEIFS(Table1[value],Table1[IndicatorCode],Table1[[#This Row],[IndicatorCode]])</f>
        <v>99.756410256410263</v>
      </c>
      <c r="I1705" cm="1">
        <f t="array" ref="I1705">_xlfn.STDEV.P(IF(Table1[IndicatorCode]=Table1[[#This Row],[IndicatorCode]],Table1[value]))</f>
        <v>1.1047979755287356</v>
      </c>
      <c r="J1705">
        <f>(Table1[[#This Row],[value]] - Table1[[#This Row],[mean]]) / Table1[[#This Row],[std_dev]]</f>
        <v>0.22048351733552002</v>
      </c>
      <c r="K1705">
        <f>AVERAGEIF(Table1[CountryCode],Table1[[#This Row],[CountryCode]],Table1[z-score])</f>
        <v>0.37952535202791182</v>
      </c>
      <c r="L1705" t="e">
        <f>VLOOKUP(Table1[[#This Row],[CountryCode]],[1]!Table1[#All],1,FALSE)</f>
        <v>#REF!</v>
      </c>
    </row>
    <row r="1706" spans="1:12" hidden="1" x14ac:dyDescent="0.3">
      <c r="A1706" t="s">
        <v>111</v>
      </c>
      <c r="B1706" t="s">
        <v>112</v>
      </c>
      <c r="C1706" t="s">
        <v>9</v>
      </c>
      <c r="D1706" t="s">
        <v>10</v>
      </c>
      <c r="E1706">
        <v>2001</v>
      </c>
      <c r="F1706" s="1">
        <v>100</v>
      </c>
      <c r="G1706">
        <v>2000</v>
      </c>
      <c r="H1706">
        <f>AVERAGEIFS(Table1[value],Table1[IndicatorCode],Table1[[#This Row],[IndicatorCode]])</f>
        <v>99.756410256410263</v>
      </c>
      <c r="I1706" cm="1">
        <f t="array" ref="I1706">_xlfn.STDEV.P(IF(Table1[IndicatorCode]=Table1[[#This Row],[IndicatorCode]],Table1[value]))</f>
        <v>1.1047979755287356</v>
      </c>
      <c r="J1706">
        <f>(Table1[[#This Row],[value]] - Table1[[#This Row],[mean]]) / Table1[[#This Row],[std_dev]]</f>
        <v>0.22048351733552002</v>
      </c>
      <c r="K1706">
        <f>AVERAGEIF(Table1[CountryCode],Table1[[#This Row],[CountryCode]],Table1[z-score])</f>
        <v>0.37952535202791182</v>
      </c>
      <c r="L1706" t="e">
        <f>VLOOKUP(Table1[[#This Row],[CountryCode]],[1]!Table1[#All],1,FALSE)</f>
        <v>#REF!</v>
      </c>
    </row>
    <row r="1707" spans="1:12" hidden="1" x14ac:dyDescent="0.3">
      <c r="A1707" t="s">
        <v>111</v>
      </c>
      <c r="B1707" t="s">
        <v>112</v>
      </c>
      <c r="C1707" t="s">
        <v>9</v>
      </c>
      <c r="D1707" t="s">
        <v>10</v>
      </c>
      <c r="E1707">
        <v>2002</v>
      </c>
      <c r="F1707" s="1">
        <v>100</v>
      </c>
      <c r="G1707">
        <v>2000</v>
      </c>
      <c r="H1707">
        <f>AVERAGEIFS(Table1[value],Table1[IndicatorCode],Table1[[#This Row],[IndicatorCode]])</f>
        <v>99.756410256410263</v>
      </c>
      <c r="I1707" cm="1">
        <f t="array" ref="I1707">_xlfn.STDEV.P(IF(Table1[IndicatorCode]=Table1[[#This Row],[IndicatorCode]],Table1[value]))</f>
        <v>1.1047979755287356</v>
      </c>
      <c r="J1707">
        <f>(Table1[[#This Row],[value]] - Table1[[#This Row],[mean]]) / Table1[[#This Row],[std_dev]]</f>
        <v>0.22048351733552002</v>
      </c>
      <c r="K1707">
        <f>AVERAGEIF(Table1[CountryCode],Table1[[#This Row],[CountryCode]],Table1[z-score])</f>
        <v>0.37952535202791182</v>
      </c>
      <c r="L1707" t="e">
        <f>VLOOKUP(Table1[[#This Row],[CountryCode]],[1]!Table1[#All],1,FALSE)</f>
        <v>#REF!</v>
      </c>
    </row>
    <row r="1708" spans="1:12" hidden="1" x14ac:dyDescent="0.3">
      <c r="A1708" t="s">
        <v>111</v>
      </c>
      <c r="B1708" t="s">
        <v>112</v>
      </c>
      <c r="C1708" t="s">
        <v>9</v>
      </c>
      <c r="D1708" t="s">
        <v>10</v>
      </c>
      <c r="E1708">
        <v>2003</v>
      </c>
      <c r="F1708" s="1">
        <v>100</v>
      </c>
      <c r="G1708">
        <v>2000</v>
      </c>
      <c r="H1708">
        <f>AVERAGEIFS(Table1[value],Table1[IndicatorCode],Table1[[#This Row],[IndicatorCode]])</f>
        <v>99.756410256410263</v>
      </c>
      <c r="I1708" cm="1">
        <f t="array" ref="I1708">_xlfn.STDEV.P(IF(Table1[IndicatorCode]=Table1[[#This Row],[IndicatorCode]],Table1[value]))</f>
        <v>1.1047979755287356</v>
      </c>
      <c r="J1708">
        <f>(Table1[[#This Row],[value]] - Table1[[#This Row],[mean]]) / Table1[[#This Row],[std_dev]]</f>
        <v>0.22048351733552002</v>
      </c>
      <c r="K1708">
        <f>AVERAGEIF(Table1[CountryCode],Table1[[#This Row],[CountryCode]],Table1[z-score])</f>
        <v>0.37952535202791182</v>
      </c>
      <c r="L1708" t="e">
        <f>VLOOKUP(Table1[[#This Row],[CountryCode]],[1]!Table1[#All],1,FALSE)</f>
        <v>#REF!</v>
      </c>
    </row>
    <row r="1709" spans="1:12" hidden="1" x14ac:dyDescent="0.3">
      <c r="A1709" t="s">
        <v>111</v>
      </c>
      <c r="B1709" t="s">
        <v>112</v>
      </c>
      <c r="C1709" t="s">
        <v>9</v>
      </c>
      <c r="D1709" t="s">
        <v>10</v>
      </c>
      <c r="E1709">
        <v>2004</v>
      </c>
      <c r="F1709" s="1">
        <v>100</v>
      </c>
      <c r="G1709">
        <v>2000</v>
      </c>
      <c r="H1709">
        <f>AVERAGEIFS(Table1[value],Table1[IndicatorCode],Table1[[#This Row],[IndicatorCode]])</f>
        <v>99.756410256410263</v>
      </c>
      <c r="I1709" cm="1">
        <f t="array" ref="I1709">_xlfn.STDEV.P(IF(Table1[IndicatorCode]=Table1[[#This Row],[IndicatorCode]],Table1[value]))</f>
        <v>1.1047979755287356</v>
      </c>
      <c r="J1709">
        <f>(Table1[[#This Row],[value]] - Table1[[#This Row],[mean]]) / Table1[[#This Row],[std_dev]]</f>
        <v>0.22048351733552002</v>
      </c>
      <c r="K1709">
        <f>AVERAGEIF(Table1[CountryCode],Table1[[#This Row],[CountryCode]],Table1[z-score])</f>
        <v>0.37952535202791182</v>
      </c>
      <c r="L1709" t="e">
        <f>VLOOKUP(Table1[[#This Row],[CountryCode]],[1]!Table1[#All],1,FALSE)</f>
        <v>#REF!</v>
      </c>
    </row>
    <row r="1710" spans="1:12" hidden="1" x14ac:dyDescent="0.3">
      <c r="A1710" t="s">
        <v>111</v>
      </c>
      <c r="B1710" t="s">
        <v>112</v>
      </c>
      <c r="C1710" t="s">
        <v>9</v>
      </c>
      <c r="D1710" t="s">
        <v>10</v>
      </c>
      <c r="E1710">
        <v>2005</v>
      </c>
      <c r="F1710" s="1">
        <v>100</v>
      </c>
      <c r="G1710">
        <v>2000</v>
      </c>
      <c r="H1710">
        <f>AVERAGEIFS(Table1[value],Table1[IndicatorCode],Table1[[#This Row],[IndicatorCode]])</f>
        <v>99.756410256410263</v>
      </c>
      <c r="I1710" cm="1">
        <f t="array" ref="I1710">_xlfn.STDEV.P(IF(Table1[IndicatorCode]=Table1[[#This Row],[IndicatorCode]],Table1[value]))</f>
        <v>1.1047979755287356</v>
      </c>
      <c r="J1710">
        <f>(Table1[[#This Row],[value]] - Table1[[#This Row],[mean]]) / Table1[[#This Row],[std_dev]]</f>
        <v>0.22048351733552002</v>
      </c>
      <c r="K1710">
        <f>AVERAGEIF(Table1[CountryCode],Table1[[#This Row],[CountryCode]],Table1[z-score])</f>
        <v>0.37952535202791182</v>
      </c>
      <c r="L1710" t="e">
        <f>VLOOKUP(Table1[[#This Row],[CountryCode]],[1]!Table1[#All],1,FALSE)</f>
        <v>#REF!</v>
      </c>
    </row>
    <row r="1711" spans="1:12" hidden="1" x14ac:dyDescent="0.3">
      <c r="A1711" t="s">
        <v>111</v>
      </c>
      <c r="B1711" t="s">
        <v>112</v>
      </c>
      <c r="C1711" t="s">
        <v>9</v>
      </c>
      <c r="D1711" t="s">
        <v>10</v>
      </c>
      <c r="E1711">
        <v>2006</v>
      </c>
      <c r="F1711" s="1">
        <v>100</v>
      </c>
      <c r="G1711">
        <v>2000</v>
      </c>
      <c r="H1711">
        <f>AVERAGEIFS(Table1[value],Table1[IndicatorCode],Table1[[#This Row],[IndicatorCode]])</f>
        <v>99.756410256410263</v>
      </c>
      <c r="I1711" cm="1">
        <f t="array" ref="I1711">_xlfn.STDEV.P(IF(Table1[IndicatorCode]=Table1[[#This Row],[IndicatorCode]],Table1[value]))</f>
        <v>1.1047979755287356</v>
      </c>
      <c r="J1711">
        <f>(Table1[[#This Row],[value]] - Table1[[#This Row],[mean]]) / Table1[[#This Row],[std_dev]]</f>
        <v>0.22048351733552002</v>
      </c>
      <c r="K1711">
        <f>AVERAGEIF(Table1[CountryCode],Table1[[#This Row],[CountryCode]],Table1[z-score])</f>
        <v>0.37952535202791182</v>
      </c>
      <c r="L1711" t="e">
        <f>VLOOKUP(Table1[[#This Row],[CountryCode]],[1]!Table1[#All],1,FALSE)</f>
        <v>#REF!</v>
      </c>
    </row>
    <row r="1712" spans="1:12" hidden="1" x14ac:dyDescent="0.3">
      <c r="A1712" t="s">
        <v>111</v>
      </c>
      <c r="B1712" t="s">
        <v>112</v>
      </c>
      <c r="C1712" t="s">
        <v>9</v>
      </c>
      <c r="D1712" t="s">
        <v>10</v>
      </c>
      <c r="E1712">
        <v>2007</v>
      </c>
      <c r="F1712" s="1">
        <v>100</v>
      </c>
      <c r="G1712">
        <v>2010</v>
      </c>
      <c r="H1712">
        <f>AVERAGEIFS(Table1[value],Table1[IndicatorCode],Table1[[#This Row],[IndicatorCode]])</f>
        <v>99.756410256410263</v>
      </c>
      <c r="I1712" cm="1">
        <f t="array" ref="I1712">_xlfn.STDEV.P(IF(Table1[IndicatorCode]=Table1[[#This Row],[IndicatorCode]],Table1[value]))</f>
        <v>1.1047979755287356</v>
      </c>
      <c r="J1712">
        <f>(Table1[[#This Row],[value]] - Table1[[#This Row],[mean]]) / Table1[[#This Row],[std_dev]]</f>
        <v>0.22048351733552002</v>
      </c>
      <c r="K1712">
        <f>AVERAGEIF(Table1[CountryCode],Table1[[#This Row],[CountryCode]],Table1[z-score])</f>
        <v>0.37952535202791182</v>
      </c>
      <c r="L1712" t="e">
        <f>VLOOKUP(Table1[[#This Row],[CountryCode]],[1]!Table1[#All],1,FALSE)</f>
        <v>#REF!</v>
      </c>
    </row>
    <row r="1713" spans="1:12" hidden="1" x14ac:dyDescent="0.3">
      <c r="A1713" t="s">
        <v>111</v>
      </c>
      <c r="B1713" t="s">
        <v>112</v>
      </c>
      <c r="C1713" t="s">
        <v>9</v>
      </c>
      <c r="D1713" t="s">
        <v>10</v>
      </c>
      <c r="E1713">
        <v>2008</v>
      </c>
      <c r="F1713" s="1">
        <v>100</v>
      </c>
      <c r="G1713">
        <v>2010</v>
      </c>
      <c r="H1713">
        <f>AVERAGEIFS(Table1[value],Table1[IndicatorCode],Table1[[#This Row],[IndicatorCode]])</f>
        <v>99.756410256410263</v>
      </c>
      <c r="I1713" cm="1">
        <f t="array" ref="I1713">_xlfn.STDEV.P(IF(Table1[IndicatorCode]=Table1[[#This Row],[IndicatorCode]],Table1[value]))</f>
        <v>1.1047979755287356</v>
      </c>
      <c r="J1713">
        <f>(Table1[[#This Row],[value]] - Table1[[#This Row],[mean]]) / Table1[[#This Row],[std_dev]]</f>
        <v>0.22048351733552002</v>
      </c>
      <c r="K1713">
        <f>AVERAGEIF(Table1[CountryCode],Table1[[#This Row],[CountryCode]],Table1[z-score])</f>
        <v>0.37952535202791182</v>
      </c>
      <c r="L1713" t="e">
        <f>VLOOKUP(Table1[[#This Row],[CountryCode]],[1]!Table1[#All],1,FALSE)</f>
        <v>#REF!</v>
      </c>
    </row>
    <row r="1714" spans="1:12" hidden="1" x14ac:dyDescent="0.3">
      <c r="A1714" t="s">
        <v>111</v>
      </c>
      <c r="B1714" t="s">
        <v>112</v>
      </c>
      <c r="C1714" t="s">
        <v>9</v>
      </c>
      <c r="D1714" t="s">
        <v>10</v>
      </c>
      <c r="E1714">
        <v>2009</v>
      </c>
      <c r="F1714" s="1">
        <v>100</v>
      </c>
      <c r="G1714">
        <v>2010</v>
      </c>
      <c r="H1714">
        <f>AVERAGEIFS(Table1[value],Table1[IndicatorCode],Table1[[#This Row],[IndicatorCode]])</f>
        <v>99.756410256410263</v>
      </c>
      <c r="I1714" cm="1">
        <f t="array" ref="I1714">_xlfn.STDEV.P(IF(Table1[IndicatorCode]=Table1[[#This Row],[IndicatorCode]],Table1[value]))</f>
        <v>1.1047979755287356</v>
      </c>
      <c r="J1714">
        <f>(Table1[[#This Row],[value]] - Table1[[#This Row],[mean]]) / Table1[[#This Row],[std_dev]]</f>
        <v>0.22048351733552002</v>
      </c>
      <c r="K1714">
        <f>AVERAGEIF(Table1[CountryCode],Table1[[#This Row],[CountryCode]],Table1[z-score])</f>
        <v>0.37952535202791182</v>
      </c>
      <c r="L1714" t="e">
        <f>VLOOKUP(Table1[[#This Row],[CountryCode]],[1]!Table1[#All],1,FALSE)</f>
        <v>#REF!</v>
      </c>
    </row>
    <row r="1715" spans="1:12" hidden="1" x14ac:dyDescent="0.3">
      <c r="A1715" t="s">
        <v>111</v>
      </c>
      <c r="B1715" t="s">
        <v>112</v>
      </c>
      <c r="C1715" t="s">
        <v>9</v>
      </c>
      <c r="D1715" t="s">
        <v>10</v>
      </c>
      <c r="E1715">
        <v>2010</v>
      </c>
      <c r="F1715" s="1">
        <v>100</v>
      </c>
      <c r="G1715">
        <v>2010</v>
      </c>
      <c r="H1715">
        <f>AVERAGEIFS(Table1[value],Table1[IndicatorCode],Table1[[#This Row],[IndicatorCode]])</f>
        <v>99.756410256410263</v>
      </c>
      <c r="I1715" cm="1">
        <f t="array" ref="I1715">_xlfn.STDEV.P(IF(Table1[IndicatorCode]=Table1[[#This Row],[IndicatorCode]],Table1[value]))</f>
        <v>1.1047979755287356</v>
      </c>
      <c r="J1715">
        <f>(Table1[[#This Row],[value]] - Table1[[#This Row],[mean]]) / Table1[[#This Row],[std_dev]]</f>
        <v>0.22048351733552002</v>
      </c>
      <c r="K1715">
        <f>AVERAGEIF(Table1[CountryCode],Table1[[#This Row],[CountryCode]],Table1[z-score])</f>
        <v>0.37952535202791182</v>
      </c>
      <c r="L1715" t="e">
        <f>VLOOKUP(Table1[[#This Row],[CountryCode]],[1]!Table1[#All],1,FALSE)</f>
        <v>#REF!</v>
      </c>
    </row>
    <row r="1716" spans="1:12" hidden="1" x14ac:dyDescent="0.3">
      <c r="A1716" t="s">
        <v>111</v>
      </c>
      <c r="B1716" t="s">
        <v>112</v>
      </c>
      <c r="C1716" t="s">
        <v>9</v>
      </c>
      <c r="D1716" t="s">
        <v>10</v>
      </c>
      <c r="E1716">
        <v>2011</v>
      </c>
      <c r="F1716" s="1">
        <v>100</v>
      </c>
      <c r="G1716">
        <v>2010</v>
      </c>
      <c r="H1716">
        <f>AVERAGEIFS(Table1[value],Table1[IndicatorCode],Table1[[#This Row],[IndicatorCode]])</f>
        <v>99.756410256410263</v>
      </c>
      <c r="I1716" cm="1">
        <f t="array" ref="I1716">_xlfn.STDEV.P(IF(Table1[IndicatorCode]=Table1[[#This Row],[IndicatorCode]],Table1[value]))</f>
        <v>1.1047979755287356</v>
      </c>
      <c r="J1716">
        <f>(Table1[[#This Row],[value]] - Table1[[#This Row],[mean]]) / Table1[[#This Row],[std_dev]]</f>
        <v>0.22048351733552002</v>
      </c>
      <c r="K1716">
        <f>AVERAGEIF(Table1[CountryCode],Table1[[#This Row],[CountryCode]],Table1[z-score])</f>
        <v>0.37952535202791182</v>
      </c>
      <c r="L1716" t="e">
        <f>VLOOKUP(Table1[[#This Row],[CountryCode]],[1]!Table1[#All],1,FALSE)</f>
        <v>#REF!</v>
      </c>
    </row>
    <row r="1717" spans="1:12" hidden="1" x14ac:dyDescent="0.3">
      <c r="A1717" t="s">
        <v>111</v>
      </c>
      <c r="B1717" t="s">
        <v>112</v>
      </c>
      <c r="C1717" t="s">
        <v>9</v>
      </c>
      <c r="D1717" t="s">
        <v>10</v>
      </c>
      <c r="E1717">
        <v>2012</v>
      </c>
      <c r="F1717" s="1">
        <v>100</v>
      </c>
      <c r="G1717">
        <v>2010</v>
      </c>
      <c r="H1717">
        <f>AVERAGEIFS(Table1[value],Table1[IndicatorCode],Table1[[#This Row],[IndicatorCode]])</f>
        <v>99.756410256410263</v>
      </c>
      <c r="I1717" cm="1">
        <f t="array" ref="I1717">_xlfn.STDEV.P(IF(Table1[IndicatorCode]=Table1[[#This Row],[IndicatorCode]],Table1[value]))</f>
        <v>1.1047979755287356</v>
      </c>
      <c r="J1717">
        <f>(Table1[[#This Row],[value]] - Table1[[#This Row],[mean]]) / Table1[[#This Row],[std_dev]]</f>
        <v>0.22048351733552002</v>
      </c>
      <c r="K1717">
        <f>AVERAGEIF(Table1[CountryCode],Table1[[#This Row],[CountryCode]],Table1[z-score])</f>
        <v>0.37952535202791182</v>
      </c>
      <c r="L1717" t="e">
        <f>VLOOKUP(Table1[[#This Row],[CountryCode]],[1]!Table1[#All],1,FALSE)</f>
        <v>#REF!</v>
      </c>
    </row>
    <row r="1718" spans="1:12" hidden="1" x14ac:dyDescent="0.3">
      <c r="A1718" t="s">
        <v>111</v>
      </c>
      <c r="B1718" t="s">
        <v>112</v>
      </c>
      <c r="C1718" t="s">
        <v>9</v>
      </c>
      <c r="D1718" t="s">
        <v>10</v>
      </c>
      <c r="E1718">
        <v>2013</v>
      </c>
      <c r="F1718" s="1">
        <v>100</v>
      </c>
      <c r="G1718">
        <v>2010</v>
      </c>
      <c r="H1718">
        <f>AVERAGEIFS(Table1[value],Table1[IndicatorCode],Table1[[#This Row],[IndicatorCode]])</f>
        <v>99.756410256410263</v>
      </c>
      <c r="I1718" cm="1">
        <f t="array" ref="I1718">_xlfn.STDEV.P(IF(Table1[IndicatorCode]=Table1[[#This Row],[IndicatorCode]],Table1[value]))</f>
        <v>1.1047979755287356</v>
      </c>
      <c r="J1718">
        <f>(Table1[[#This Row],[value]] - Table1[[#This Row],[mean]]) / Table1[[#This Row],[std_dev]]</f>
        <v>0.22048351733552002</v>
      </c>
      <c r="K1718">
        <f>AVERAGEIF(Table1[CountryCode],Table1[[#This Row],[CountryCode]],Table1[z-score])</f>
        <v>0.37952535202791182</v>
      </c>
      <c r="L1718" t="e">
        <f>VLOOKUP(Table1[[#This Row],[CountryCode]],[1]!Table1[#All],1,FALSE)</f>
        <v>#REF!</v>
      </c>
    </row>
    <row r="1719" spans="1:12" hidden="1" x14ac:dyDescent="0.3">
      <c r="A1719" t="s">
        <v>111</v>
      </c>
      <c r="B1719" t="s">
        <v>112</v>
      </c>
      <c r="C1719" t="s">
        <v>9</v>
      </c>
      <c r="D1719" t="s">
        <v>10</v>
      </c>
      <c r="E1719">
        <v>2014</v>
      </c>
      <c r="F1719" s="1">
        <v>100</v>
      </c>
      <c r="G1719">
        <v>2010</v>
      </c>
      <c r="H1719">
        <f>AVERAGEIFS(Table1[value],Table1[IndicatorCode],Table1[[#This Row],[IndicatorCode]])</f>
        <v>99.756410256410263</v>
      </c>
      <c r="I1719" cm="1">
        <f t="array" ref="I1719">_xlfn.STDEV.P(IF(Table1[IndicatorCode]=Table1[[#This Row],[IndicatorCode]],Table1[value]))</f>
        <v>1.1047979755287356</v>
      </c>
      <c r="J1719">
        <f>(Table1[[#This Row],[value]] - Table1[[#This Row],[mean]]) / Table1[[#This Row],[std_dev]]</f>
        <v>0.22048351733552002</v>
      </c>
      <c r="K1719">
        <f>AVERAGEIF(Table1[CountryCode],Table1[[#This Row],[CountryCode]],Table1[z-score])</f>
        <v>0.37952535202791182</v>
      </c>
      <c r="L1719" t="e">
        <f>VLOOKUP(Table1[[#This Row],[CountryCode]],[1]!Table1[#All],1,FALSE)</f>
        <v>#REF!</v>
      </c>
    </row>
    <row r="1720" spans="1:12" hidden="1" x14ac:dyDescent="0.3">
      <c r="A1720" t="s">
        <v>111</v>
      </c>
      <c r="B1720" t="s">
        <v>112</v>
      </c>
      <c r="C1720" t="s">
        <v>9</v>
      </c>
      <c r="D1720" t="s">
        <v>10</v>
      </c>
      <c r="E1720">
        <v>2015</v>
      </c>
      <c r="F1720" s="1">
        <v>100</v>
      </c>
      <c r="G1720">
        <v>2010</v>
      </c>
      <c r="H1720">
        <f>AVERAGEIFS(Table1[value],Table1[IndicatorCode],Table1[[#This Row],[IndicatorCode]])</f>
        <v>99.756410256410263</v>
      </c>
      <c r="I1720" cm="1">
        <f t="array" ref="I1720">_xlfn.STDEV.P(IF(Table1[IndicatorCode]=Table1[[#This Row],[IndicatorCode]],Table1[value]))</f>
        <v>1.1047979755287356</v>
      </c>
      <c r="J1720">
        <f>(Table1[[#This Row],[value]] - Table1[[#This Row],[mean]]) / Table1[[#This Row],[std_dev]]</f>
        <v>0.22048351733552002</v>
      </c>
      <c r="K1720">
        <f>AVERAGEIF(Table1[CountryCode],Table1[[#This Row],[CountryCode]],Table1[z-score])</f>
        <v>0.37952535202791182</v>
      </c>
      <c r="L1720" t="e">
        <f>VLOOKUP(Table1[[#This Row],[CountryCode]],[1]!Table1[#All],1,FALSE)</f>
        <v>#REF!</v>
      </c>
    </row>
    <row r="1721" spans="1:12" hidden="1" x14ac:dyDescent="0.3">
      <c r="A1721" t="s">
        <v>111</v>
      </c>
      <c r="B1721" t="s">
        <v>112</v>
      </c>
      <c r="C1721" t="s">
        <v>9</v>
      </c>
      <c r="D1721" t="s">
        <v>10</v>
      </c>
      <c r="E1721">
        <v>2016</v>
      </c>
      <c r="F1721" s="1">
        <v>100</v>
      </c>
      <c r="G1721">
        <v>2010</v>
      </c>
      <c r="H1721">
        <f>AVERAGEIFS(Table1[value],Table1[IndicatorCode],Table1[[#This Row],[IndicatorCode]])</f>
        <v>99.756410256410263</v>
      </c>
      <c r="I1721" cm="1">
        <f t="array" ref="I1721">_xlfn.STDEV.P(IF(Table1[IndicatorCode]=Table1[[#This Row],[IndicatorCode]],Table1[value]))</f>
        <v>1.1047979755287356</v>
      </c>
      <c r="J1721">
        <f>(Table1[[#This Row],[value]] - Table1[[#This Row],[mean]]) / Table1[[#This Row],[std_dev]]</f>
        <v>0.22048351733552002</v>
      </c>
      <c r="K1721">
        <f>AVERAGEIF(Table1[CountryCode],Table1[[#This Row],[CountryCode]],Table1[z-score])</f>
        <v>0.37952535202791182</v>
      </c>
      <c r="L1721" t="e">
        <f>VLOOKUP(Table1[[#This Row],[CountryCode]],[1]!Table1[#All],1,FALSE)</f>
        <v>#REF!</v>
      </c>
    </row>
    <row r="1722" spans="1:12" hidden="1" x14ac:dyDescent="0.3">
      <c r="A1722" t="s">
        <v>111</v>
      </c>
      <c r="B1722" t="s">
        <v>112</v>
      </c>
      <c r="C1722" t="s">
        <v>9</v>
      </c>
      <c r="D1722" t="s">
        <v>10</v>
      </c>
      <c r="E1722">
        <v>2017</v>
      </c>
      <c r="F1722" s="1">
        <v>100</v>
      </c>
      <c r="G1722">
        <v>2020</v>
      </c>
      <c r="H1722">
        <f>AVERAGEIFS(Table1[value],Table1[IndicatorCode],Table1[[#This Row],[IndicatorCode]])</f>
        <v>99.756410256410263</v>
      </c>
      <c r="I1722" cm="1">
        <f t="array" ref="I1722">_xlfn.STDEV.P(IF(Table1[IndicatorCode]=Table1[[#This Row],[IndicatorCode]],Table1[value]))</f>
        <v>1.1047979755287356</v>
      </c>
      <c r="J1722">
        <f>(Table1[[#This Row],[value]] - Table1[[#This Row],[mean]]) / Table1[[#This Row],[std_dev]]</f>
        <v>0.22048351733552002</v>
      </c>
      <c r="K1722">
        <f>AVERAGEIF(Table1[CountryCode],Table1[[#This Row],[CountryCode]],Table1[z-score])</f>
        <v>0.37952535202791182</v>
      </c>
      <c r="L1722" t="e">
        <f>VLOOKUP(Table1[[#This Row],[CountryCode]],[1]!Table1[#All],1,FALSE)</f>
        <v>#REF!</v>
      </c>
    </row>
    <row r="1723" spans="1:12" hidden="1" x14ac:dyDescent="0.3">
      <c r="A1723" t="s">
        <v>111</v>
      </c>
      <c r="B1723" t="s">
        <v>112</v>
      </c>
      <c r="C1723" t="s">
        <v>9</v>
      </c>
      <c r="D1723" t="s">
        <v>10</v>
      </c>
      <c r="E1723">
        <v>2018</v>
      </c>
      <c r="F1723" s="1">
        <v>100</v>
      </c>
      <c r="G1723">
        <v>2020</v>
      </c>
      <c r="H1723">
        <f>AVERAGEIFS(Table1[value],Table1[IndicatorCode],Table1[[#This Row],[IndicatorCode]])</f>
        <v>99.756410256410263</v>
      </c>
      <c r="I1723" cm="1">
        <f t="array" ref="I1723">_xlfn.STDEV.P(IF(Table1[IndicatorCode]=Table1[[#This Row],[IndicatorCode]],Table1[value]))</f>
        <v>1.1047979755287356</v>
      </c>
      <c r="J1723">
        <f>(Table1[[#This Row],[value]] - Table1[[#This Row],[mean]]) / Table1[[#This Row],[std_dev]]</f>
        <v>0.22048351733552002</v>
      </c>
      <c r="K1723">
        <f>AVERAGEIF(Table1[CountryCode],Table1[[#This Row],[CountryCode]],Table1[z-score])</f>
        <v>0.37952535202791182</v>
      </c>
      <c r="L1723" t="e">
        <f>VLOOKUP(Table1[[#This Row],[CountryCode]],[1]!Table1[#All],1,FALSE)</f>
        <v>#REF!</v>
      </c>
    </row>
    <row r="1724" spans="1:12" hidden="1" x14ac:dyDescent="0.3">
      <c r="A1724" t="s">
        <v>111</v>
      </c>
      <c r="B1724" t="s">
        <v>112</v>
      </c>
      <c r="C1724" t="s">
        <v>9</v>
      </c>
      <c r="D1724" t="s">
        <v>10</v>
      </c>
      <c r="E1724">
        <v>2019</v>
      </c>
      <c r="F1724" s="1">
        <v>100</v>
      </c>
      <c r="G1724">
        <v>2020</v>
      </c>
      <c r="H1724">
        <f>AVERAGEIFS(Table1[value],Table1[IndicatorCode],Table1[[#This Row],[IndicatorCode]])</f>
        <v>99.756410256410263</v>
      </c>
      <c r="I1724" cm="1">
        <f t="array" ref="I1724">_xlfn.STDEV.P(IF(Table1[IndicatorCode]=Table1[[#This Row],[IndicatorCode]],Table1[value]))</f>
        <v>1.1047979755287356</v>
      </c>
      <c r="J1724">
        <f>(Table1[[#This Row],[value]] - Table1[[#This Row],[mean]]) / Table1[[#This Row],[std_dev]]</f>
        <v>0.22048351733552002</v>
      </c>
      <c r="K1724">
        <f>AVERAGEIF(Table1[CountryCode],Table1[[#This Row],[CountryCode]],Table1[z-score])</f>
        <v>0.37952535202791182</v>
      </c>
      <c r="L1724" t="e">
        <f>VLOOKUP(Table1[[#This Row],[CountryCode]],[1]!Table1[#All],1,FALSE)</f>
        <v>#REF!</v>
      </c>
    </row>
    <row r="1725" spans="1:12" x14ac:dyDescent="0.3">
      <c r="A1725" t="s">
        <v>111</v>
      </c>
      <c r="B1725" t="s">
        <v>112</v>
      </c>
      <c r="C1725" t="s">
        <v>9</v>
      </c>
      <c r="D1725" t="s">
        <v>10</v>
      </c>
      <c r="E1725">
        <v>2020</v>
      </c>
      <c r="F1725" s="1">
        <v>100</v>
      </c>
      <c r="G1725">
        <v>2020</v>
      </c>
      <c r="H1725">
        <f>AVERAGEIFS(Table1[value],Table1[IndicatorCode],Table1[[#This Row],[IndicatorCode]])</f>
        <v>99.756410256410263</v>
      </c>
      <c r="I1725" cm="1">
        <f t="array" ref="I1725">_xlfn.STDEV.P(IF(Table1[IndicatorCode]=Table1[[#This Row],[IndicatorCode]],Table1[value]))</f>
        <v>1.1047979755287356</v>
      </c>
      <c r="J1725">
        <f>(Table1[[#This Row],[value]] - Table1[[#This Row],[mean]]) / Table1[[#This Row],[std_dev]]</f>
        <v>0.22048351733552002</v>
      </c>
      <c r="K1725">
        <f>AVERAGEIF(Table1[CountryCode],Table1[[#This Row],[CountryCode]],Table1[z-score])</f>
        <v>0.37952535202791182</v>
      </c>
    </row>
    <row r="1726" spans="1:12" hidden="1" x14ac:dyDescent="0.3">
      <c r="A1726" t="s">
        <v>111</v>
      </c>
      <c r="B1726" t="s">
        <v>112</v>
      </c>
      <c r="C1726" t="s">
        <v>9</v>
      </c>
      <c r="D1726" t="s">
        <v>10</v>
      </c>
      <c r="E1726">
        <v>2021</v>
      </c>
      <c r="F1726" s="1">
        <v>100</v>
      </c>
      <c r="G1726">
        <v>1990</v>
      </c>
      <c r="H1726">
        <f>AVERAGEIFS(Table1[value],Table1[IndicatorCode],Table1[[#This Row],[IndicatorCode]])</f>
        <v>99.756410256410263</v>
      </c>
      <c r="I1726" cm="1">
        <f t="array" ref="I1726">_xlfn.STDEV.P(IF(Table1[IndicatorCode]=Table1[[#This Row],[IndicatorCode]],Table1[value]))</f>
        <v>1.1047979755287356</v>
      </c>
      <c r="J1726">
        <f>(Table1[[#This Row],[value]] - Table1[[#This Row],[mean]]) / Table1[[#This Row],[std_dev]]</f>
        <v>0.22048351733552002</v>
      </c>
      <c r="K1726">
        <f>AVERAGEIF(Table1[CountryCode],Table1[[#This Row],[CountryCode]],Table1[z-score])</f>
        <v>0.37952535202791182</v>
      </c>
      <c r="L1726" t="e">
        <f>VLOOKUP(Table1[[#This Row],[CountryCode]],[1]!Table1[#All],1,FALSE)</f>
        <v>#REF!</v>
      </c>
    </row>
    <row r="1727" spans="1:12" hidden="1" x14ac:dyDescent="0.3">
      <c r="A1727" t="s">
        <v>111</v>
      </c>
      <c r="B1727" t="s">
        <v>112</v>
      </c>
      <c r="C1727" t="s">
        <v>9</v>
      </c>
      <c r="D1727" t="s">
        <v>10</v>
      </c>
      <c r="E1727">
        <v>2022</v>
      </c>
      <c r="F1727" s="1">
        <v>100</v>
      </c>
      <c r="G1727">
        <v>2000</v>
      </c>
      <c r="H1727">
        <f>AVERAGEIFS(Table1[value],Table1[IndicatorCode],Table1[[#This Row],[IndicatorCode]])</f>
        <v>99.756410256410263</v>
      </c>
      <c r="I1727" cm="1">
        <f t="array" ref="I1727">_xlfn.STDEV.P(IF(Table1[IndicatorCode]=Table1[[#This Row],[IndicatorCode]],Table1[value]))</f>
        <v>1.1047979755287356</v>
      </c>
      <c r="J1727">
        <f>(Table1[[#This Row],[value]] - Table1[[#This Row],[mean]]) / Table1[[#This Row],[std_dev]]</f>
        <v>0.22048351733552002</v>
      </c>
      <c r="K1727">
        <f>AVERAGEIF(Table1[CountryCode],Table1[[#This Row],[CountryCode]],Table1[z-score])</f>
        <v>0.37952535202791182</v>
      </c>
      <c r="L1727" t="e">
        <f>VLOOKUP(Table1[[#This Row],[CountryCode]],[1]!Table1[#All],1,FALSE)</f>
        <v>#REF!</v>
      </c>
    </row>
    <row r="1728" spans="1:12" hidden="1" x14ac:dyDescent="0.3">
      <c r="A1728" t="s">
        <v>111</v>
      </c>
      <c r="B1728" t="s">
        <v>112</v>
      </c>
      <c r="C1728" t="s">
        <v>9</v>
      </c>
      <c r="D1728" t="s">
        <v>10</v>
      </c>
      <c r="E1728">
        <v>2023</v>
      </c>
      <c r="F1728" s="1">
        <v>100</v>
      </c>
      <c r="G1728">
        <v>2000</v>
      </c>
      <c r="H1728">
        <f>AVERAGEIFS(Table1[value],Table1[IndicatorCode],Table1[[#This Row],[IndicatorCode]])</f>
        <v>99.756410256410263</v>
      </c>
      <c r="I1728" cm="1">
        <f t="array" ref="I1728">_xlfn.STDEV.P(IF(Table1[IndicatorCode]=Table1[[#This Row],[IndicatorCode]],Table1[value]))</f>
        <v>1.1047979755287356</v>
      </c>
      <c r="J1728">
        <f>(Table1[[#This Row],[value]] - Table1[[#This Row],[mean]]) / Table1[[#This Row],[std_dev]]</f>
        <v>0.22048351733552002</v>
      </c>
      <c r="K1728">
        <f>AVERAGEIF(Table1[CountryCode],Table1[[#This Row],[CountryCode]],Table1[z-score])</f>
        <v>0.37952535202791182</v>
      </c>
      <c r="L1728" t="e">
        <f>VLOOKUP(Table1[[#This Row],[CountryCode]],[1]!Table1[#All],1,FALSE)</f>
        <v>#REF!</v>
      </c>
    </row>
    <row r="1729" spans="1:12" hidden="1" x14ac:dyDescent="0.3">
      <c r="A1729" t="s">
        <v>113</v>
      </c>
      <c r="B1729" t="s">
        <v>114</v>
      </c>
      <c r="C1729" t="s">
        <v>9</v>
      </c>
      <c r="D1729" t="s">
        <v>10</v>
      </c>
      <c r="E1729">
        <v>1999</v>
      </c>
      <c r="F1729" s="1">
        <v>97</v>
      </c>
      <c r="G1729">
        <v>2000</v>
      </c>
      <c r="H1729">
        <f>AVERAGEIFS(Table1[value],Table1[IndicatorCode],Table1[[#This Row],[IndicatorCode]])</f>
        <v>99.756410256410263</v>
      </c>
      <c r="I1729" cm="1">
        <f t="array" ref="I1729">_xlfn.STDEV.P(IF(Table1[IndicatorCode]=Table1[[#This Row],[IndicatorCode]],Table1[value]))</f>
        <v>1.1047979755287356</v>
      </c>
      <c r="J1729">
        <f>(Table1[[#This Row],[value]] - Table1[[#This Row],[mean]]) / Table1[[#This Row],[std_dev]]</f>
        <v>-2.4949450645862168</v>
      </c>
      <c r="K1729">
        <f>AVERAGEIF(Table1[CountryCode],Table1[[#This Row],[CountryCode]],Table1[z-score])</f>
        <v>-1.2093107186394518</v>
      </c>
      <c r="L1729" t="e">
        <f>VLOOKUP(Table1[[#This Row],[CountryCode]],[1]!Table1[#All],1,FALSE)</f>
        <v>#REF!</v>
      </c>
    </row>
    <row r="1730" spans="1:12" hidden="1" x14ac:dyDescent="0.3">
      <c r="A1730" t="s">
        <v>113</v>
      </c>
      <c r="B1730" t="s">
        <v>114</v>
      </c>
      <c r="C1730" t="s">
        <v>9</v>
      </c>
      <c r="D1730" t="s">
        <v>10</v>
      </c>
      <c r="E1730">
        <v>2000</v>
      </c>
      <c r="F1730" s="1">
        <v>99</v>
      </c>
      <c r="G1730">
        <v>2000</v>
      </c>
      <c r="H1730">
        <f>AVERAGEIFS(Table1[value],Table1[IndicatorCode],Table1[[#This Row],[IndicatorCode]])</f>
        <v>99.756410256410263</v>
      </c>
      <c r="I1730" cm="1">
        <f t="array" ref="I1730">_xlfn.STDEV.P(IF(Table1[IndicatorCode]=Table1[[#This Row],[IndicatorCode]],Table1[value]))</f>
        <v>1.1047979755287356</v>
      </c>
      <c r="J1730">
        <f>(Table1[[#This Row],[value]] - Table1[[#This Row],[mean]]) / Table1[[#This Row],[std_dev]]</f>
        <v>-0.68465934330505884</v>
      </c>
      <c r="K1730">
        <f>AVERAGEIF(Table1[CountryCode],Table1[[#This Row],[CountryCode]],Table1[z-score])</f>
        <v>-1.2093107186394518</v>
      </c>
      <c r="L1730" t="e">
        <f>VLOOKUP(Table1[[#This Row],[CountryCode]],[1]!Table1[#All],1,FALSE)</f>
        <v>#REF!</v>
      </c>
    </row>
    <row r="1731" spans="1:12" hidden="1" x14ac:dyDescent="0.3">
      <c r="A1731" t="s">
        <v>113</v>
      </c>
      <c r="B1731" t="s">
        <v>114</v>
      </c>
      <c r="C1731" t="s">
        <v>9</v>
      </c>
      <c r="D1731" t="s">
        <v>10</v>
      </c>
      <c r="E1731">
        <v>2001</v>
      </c>
      <c r="F1731" s="1">
        <v>99</v>
      </c>
      <c r="G1731">
        <v>2000</v>
      </c>
      <c r="H1731">
        <f>AVERAGEIFS(Table1[value],Table1[IndicatorCode],Table1[[#This Row],[IndicatorCode]])</f>
        <v>99.756410256410263</v>
      </c>
      <c r="I1731" cm="1">
        <f t="array" ref="I1731">_xlfn.STDEV.P(IF(Table1[IndicatorCode]=Table1[[#This Row],[IndicatorCode]],Table1[value]))</f>
        <v>1.1047979755287356</v>
      </c>
      <c r="J1731">
        <f>(Table1[[#This Row],[value]] - Table1[[#This Row],[mean]]) / Table1[[#This Row],[std_dev]]</f>
        <v>-0.68465934330505884</v>
      </c>
      <c r="K1731">
        <f>AVERAGEIF(Table1[CountryCode],Table1[[#This Row],[CountryCode]],Table1[z-score])</f>
        <v>-1.2093107186394518</v>
      </c>
      <c r="L1731" t="e">
        <f>VLOOKUP(Table1[[#This Row],[CountryCode]],[1]!Table1[#All],1,FALSE)</f>
        <v>#REF!</v>
      </c>
    </row>
    <row r="1732" spans="1:12" hidden="1" x14ac:dyDescent="0.3">
      <c r="A1732" t="s">
        <v>113</v>
      </c>
      <c r="B1732" t="s">
        <v>114</v>
      </c>
      <c r="C1732" t="s">
        <v>9</v>
      </c>
      <c r="D1732" t="s">
        <v>10</v>
      </c>
      <c r="E1732">
        <v>2002</v>
      </c>
      <c r="F1732" s="1">
        <v>99</v>
      </c>
      <c r="G1732">
        <v>2000</v>
      </c>
      <c r="H1732">
        <f>AVERAGEIFS(Table1[value],Table1[IndicatorCode],Table1[[#This Row],[IndicatorCode]])</f>
        <v>99.756410256410263</v>
      </c>
      <c r="I1732" cm="1">
        <f t="array" ref="I1732">_xlfn.STDEV.P(IF(Table1[IndicatorCode]=Table1[[#This Row],[IndicatorCode]],Table1[value]))</f>
        <v>1.1047979755287356</v>
      </c>
      <c r="J1732">
        <f>(Table1[[#This Row],[value]] - Table1[[#This Row],[mean]]) / Table1[[#This Row],[std_dev]]</f>
        <v>-0.68465934330505884</v>
      </c>
      <c r="K1732">
        <f>AVERAGEIF(Table1[CountryCode],Table1[[#This Row],[CountryCode]],Table1[z-score])</f>
        <v>-1.2093107186394518</v>
      </c>
      <c r="L1732" t="e">
        <f>VLOOKUP(Table1[[#This Row],[CountryCode]],[1]!Table1[#All],1,FALSE)</f>
        <v>#REF!</v>
      </c>
    </row>
    <row r="1733" spans="1:12" hidden="1" x14ac:dyDescent="0.3">
      <c r="A1733" t="s">
        <v>113</v>
      </c>
      <c r="B1733" t="s">
        <v>114</v>
      </c>
      <c r="C1733" t="s">
        <v>9</v>
      </c>
      <c r="D1733" t="s">
        <v>10</v>
      </c>
      <c r="E1733">
        <v>2003</v>
      </c>
      <c r="F1733" s="1">
        <v>100</v>
      </c>
      <c r="G1733">
        <v>2000</v>
      </c>
      <c r="H1733">
        <f>AVERAGEIFS(Table1[value],Table1[IndicatorCode],Table1[[#This Row],[IndicatorCode]])</f>
        <v>99.756410256410263</v>
      </c>
      <c r="I1733" cm="1">
        <f t="array" ref="I1733">_xlfn.STDEV.P(IF(Table1[IndicatorCode]=Table1[[#This Row],[IndicatorCode]],Table1[value]))</f>
        <v>1.1047979755287356</v>
      </c>
      <c r="J1733">
        <f>(Table1[[#This Row],[value]] - Table1[[#This Row],[mean]]) / Table1[[#This Row],[std_dev]]</f>
        <v>0.22048351733552002</v>
      </c>
      <c r="K1733">
        <f>AVERAGEIF(Table1[CountryCode],Table1[[#This Row],[CountryCode]],Table1[z-score])</f>
        <v>-1.2093107186394518</v>
      </c>
      <c r="L1733" t="e">
        <f>VLOOKUP(Table1[[#This Row],[CountryCode]],[1]!Table1[#All],1,FALSE)</f>
        <v>#REF!</v>
      </c>
    </row>
    <row r="1734" spans="1:12" hidden="1" x14ac:dyDescent="0.3">
      <c r="A1734" t="s">
        <v>113</v>
      </c>
      <c r="B1734" t="s">
        <v>114</v>
      </c>
      <c r="C1734" t="s">
        <v>9</v>
      </c>
      <c r="D1734" t="s">
        <v>10</v>
      </c>
      <c r="E1734">
        <v>2004</v>
      </c>
      <c r="F1734" s="1">
        <v>99</v>
      </c>
      <c r="G1734">
        <v>2000</v>
      </c>
      <c r="H1734">
        <f>AVERAGEIFS(Table1[value],Table1[IndicatorCode],Table1[[#This Row],[IndicatorCode]])</f>
        <v>99.756410256410263</v>
      </c>
      <c r="I1734" cm="1">
        <f t="array" ref="I1734">_xlfn.STDEV.P(IF(Table1[IndicatorCode]=Table1[[#This Row],[IndicatorCode]],Table1[value]))</f>
        <v>1.1047979755287356</v>
      </c>
      <c r="J1734">
        <f>(Table1[[#This Row],[value]] - Table1[[#This Row],[mean]]) / Table1[[#This Row],[std_dev]]</f>
        <v>-0.68465934330505884</v>
      </c>
      <c r="K1734">
        <f>AVERAGEIF(Table1[CountryCode],Table1[[#This Row],[CountryCode]],Table1[z-score])</f>
        <v>-1.2093107186394518</v>
      </c>
      <c r="L1734" t="e">
        <f>VLOOKUP(Table1[[#This Row],[CountryCode]],[1]!Table1[#All],1,FALSE)</f>
        <v>#REF!</v>
      </c>
    </row>
    <row r="1735" spans="1:12" hidden="1" x14ac:dyDescent="0.3">
      <c r="A1735" t="s">
        <v>113</v>
      </c>
      <c r="B1735" t="s">
        <v>114</v>
      </c>
      <c r="C1735" t="s">
        <v>9</v>
      </c>
      <c r="D1735" t="s">
        <v>10</v>
      </c>
      <c r="E1735">
        <v>2005</v>
      </c>
      <c r="F1735" s="1">
        <v>99</v>
      </c>
      <c r="G1735">
        <v>2000</v>
      </c>
      <c r="H1735">
        <f>AVERAGEIFS(Table1[value],Table1[IndicatorCode],Table1[[#This Row],[IndicatorCode]])</f>
        <v>99.756410256410263</v>
      </c>
      <c r="I1735" cm="1">
        <f t="array" ref="I1735">_xlfn.STDEV.P(IF(Table1[IndicatorCode]=Table1[[#This Row],[IndicatorCode]],Table1[value]))</f>
        <v>1.1047979755287356</v>
      </c>
      <c r="J1735">
        <f>(Table1[[#This Row],[value]] - Table1[[#This Row],[mean]]) / Table1[[#This Row],[std_dev]]</f>
        <v>-0.68465934330505884</v>
      </c>
      <c r="K1735">
        <f>AVERAGEIF(Table1[CountryCode],Table1[[#This Row],[CountryCode]],Table1[z-score])</f>
        <v>-1.2093107186394518</v>
      </c>
      <c r="L1735" t="e">
        <f>VLOOKUP(Table1[[#This Row],[CountryCode]],[1]!Table1[#All],1,FALSE)</f>
        <v>#REF!</v>
      </c>
    </row>
    <row r="1736" spans="1:12" hidden="1" x14ac:dyDescent="0.3">
      <c r="A1736" t="s">
        <v>113</v>
      </c>
      <c r="B1736" t="s">
        <v>114</v>
      </c>
      <c r="C1736" t="s">
        <v>9</v>
      </c>
      <c r="D1736" t="s">
        <v>10</v>
      </c>
      <c r="E1736">
        <v>2006</v>
      </c>
      <c r="F1736" s="1">
        <v>99</v>
      </c>
      <c r="G1736">
        <v>2000</v>
      </c>
      <c r="H1736">
        <f>AVERAGEIFS(Table1[value],Table1[IndicatorCode],Table1[[#This Row],[IndicatorCode]])</f>
        <v>99.756410256410263</v>
      </c>
      <c r="I1736" cm="1">
        <f t="array" ref="I1736">_xlfn.STDEV.P(IF(Table1[IndicatorCode]=Table1[[#This Row],[IndicatorCode]],Table1[value]))</f>
        <v>1.1047979755287356</v>
      </c>
      <c r="J1736">
        <f>(Table1[[#This Row],[value]] - Table1[[#This Row],[mean]]) / Table1[[#This Row],[std_dev]]</f>
        <v>-0.68465934330505884</v>
      </c>
      <c r="K1736">
        <f>AVERAGEIF(Table1[CountryCode],Table1[[#This Row],[CountryCode]],Table1[z-score])</f>
        <v>-1.2093107186394518</v>
      </c>
      <c r="L1736" t="e">
        <f>VLOOKUP(Table1[[#This Row],[CountryCode]],[1]!Table1[#All],1,FALSE)</f>
        <v>#REF!</v>
      </c>
    </row>
    <row r="1737" spans="1:12" hidden="1" x14ac:dyDescent="0.3">
      <c r="A1737" t="s">
        <v>113</v>
      </c>
      <c r="B1737" t="s">
        <v>114</v>
      </c>
      <c r="C1737" t="s">
        <v>9</v>
      </c>
      <c r="D1737" t="s">
        <v>10</v>
      </c>
      <c r="E1737">
        <v>2007</v>
      </c>
      <c r="F1737" s="1">
        <v>99</v>
      </c>
      <c r="G1737">
        <v>2010</v>
      </c>
      <c r="H1737">
        <f>AVERAGEIFS(Table1[value],Table1[IndicatorCode],Table1[[#This Row],[IndicatorCode]])</f>
        <v>99.756410256410263</v>
      </c>
      <c r="I1737" cm="1">
        <f t="array" ref="I1737">_xlfn.STDEV.P(IF(Table1[IndicatorCode]=Table1[[#This Row],[IndicatorCode]],Table1[value]))</f>
        <v>1.1047979755287356</v>
      </c>
      <c r="J1737">
        <f>(Table1[[#This Row],[value]] - Table1[[#This Row],[mean]]) / Table1[[#This Row],[std_dev]]</f>
        <v>-0.68465934330505884</v>
      </c>
      <c r="K1737">
        <f>AVERAGEIF(Table1[CountryCode],Table1[[#This Row],[CountryCode]],Table1[z-score])</f>
        <v>-1.2093107186394518</v>
      </c>
      <c r="L1737" t="e">
        <f>VLOOKUP(Table1[[#This Row],[CountryCode]],[1]!Table1[#All],1,FALSE)</f>
        <v>#REF!</v>
      </c>
    </row>
    <row r="1738" spans="1:12" hidden="1" x14ac:dyDescent="0.3">
      <c r="A1738" t="s">
        <v>113</v>
      </c>
      <c r="B1738" t="s">
        <v>114</v>
      </c>
      <c r="C1738" t="s">
        <v>9</v>
      </c>
      <c r="D1738" t="s">
        <v>10</v>
      </c>
      <c r="E1738">
        <v>2008</v>
      </c>
      <c r="F1738" s="1">
        <v>99</v>
      </c>
      <c r="G1738">
        <v>2010</v>
      </c>
      <c r="H1738">
        <f>AVERAGEIFS(Table1[value],Table1[IndicatorCode],Table1[[#This Row],[IndicatorCode]])</f>
        <v>99.756410256410263</v>
      </c>
      <c r="I1738" cm="1">
        <f t="array" ref="I1738">_xlfn.STDEV.P(IF(Table1[IndicatorCode]=Table1[[#This Row],[IndicatorCode]],Table1[value]))</f>
        <v>1.1047979755287356</v>
      </c>
      <c r="J1738">
        <f>(Table1[[#This Row],[value]] - Table1[[#This Row],[mean]]) / Table1[[#This Row],[std_dev]]</f>
        <v>-0.68465934330505884</v>
      </c>
      <c r="K1738">
        <f>AVERAGEIF(Table1[CountryCode],Table1[[#This Row],[CountryCode]],Table1[z-score])</f>
        <v>-1.2093107186394518</v>
      </c>
      <c r="L1738" t="e">
        <f>VLOOKUP(Table1[[#This Row],[CountryCode]],[1]!Table1[#All],1,FALSE)</f>
        <v>#REF!</v>
      </c>
    </row>
    <row r="1739" spans="1:12" hidden="1" x14ac:dyDescent="0.3">
      <c r="A1739" t="s">
        <v>113</v>
      </c>
      <c r="B1739" t="s">
        <v>114</v>
      </c>
      <c r="C1739" t="s">
        <v>9</v>
      </c>
      <c r="D1739" t="s">
        <v>10</v>
      </c>
      <c r="E1739">
        <v>2009</v>
      </c>
      <c r="F1739" s="1">
        <v>99</v>
      </c>
      <c r="G1739">
        <v>2010</v>
      </c>
      <c r="H1739">
        <f>AVERAGEIFS(Table1[value],Table1[IndicatorCode],Table1[[#This Row],[IndicatorCode]])</f>
        <v>99.756410256410263</v>
      </c>
      <c r="I1739" cm="1">
        <f t="array" ref="I1739">_xlfn.STDEV.P(IF(Table1[IndicatorCode]=Table1[[#This Row],[IndicatorCode]],Table1[value]))</f>
        <v>1.1047979755287356</v>
      </c>
      <c r="J1739">
        <f>(Table1[[#This Row],[value]] - Table1[[#This Row],[mean]]) / Table1[[#This Row],[std_dev]]</f>
        <v>-0.68465934330505884</v>
      </c>
      <c r="K1739">
        <f>AVERAGEIF(Table1[CountryCode],Table1[[#This Row],[CountryCode]],Table1[z-score])</f>
        <v>-1.2093107186394518</v>
      </c>
      <c r="L1739" t="e">
        <f>VLOOKUP(Table1[[#This Row],[CountryCode]],[1]!Table1[#All],1,FALSE)</f>
        <v>#REF!</v>
      </c>
    </row>
    <row r="1740" spans="1:12" hidden="1" x14ac:dyDescent="0.3">
      <c r="A1740" t="s">
        <v>113</v>
      </c>
      <c r="B1740" t="s">
        <v>114</v>
      </c>
      <c r="C1740" t="s">
        <v>9</v>
      </c>
      <c r="D1740" t="s">
        <v>10</v>
      </c>
      <c r="E1740">
        <v>2010</v>
      </c>
      <c r="F1740" s="1">
        <v>99</v>
      </c>
      <c r="G1740">
        <v>2010</v>
      </c>
      <c r="H1740">
        <f>AVERAGEIFS(Table1[value],Table1[IndicatorCode],Table1[[#This Row],[IndicatorCode]])</f>
        <v>99.756410256410263</v>
      </c>
      <c r="I1740" cm="1">
        <f t="array" ref="I1740">_xlfn.STDEV.P(IF(Table1[IndicatorCode]=Table1[[#This Row],[IndicatorCode]],Table1[value]))</f>
        <v>1.1047979755287356</v>
      </c>
      <c r="J1740">
        <f>(Table1[[#This Row],[value]] - Table1[[#This Row],[mean]]) / Table1[[#This Row],[std_dev]]</f>
        <v>-0.68465934330505884</v>
      </c>
      <c r="K1740">
        <f>AVERAGEIF(Table1[CountryCode],Table1[[#This Row],[CountryCode]],Table1[z-score])</f>
        <v>-1.2093107186394518</v>
      </c>
      <c r="L1740" t="e">
        <f>VLOOKUP(Table1[[#This Row],[CountryCode]],[1]!Table1[#All],1,FALSE)</f>
        <v>#REF!</v>
      </c>
    </row>
    <row r="1741" spans="1:12" hidden="1" x14ac:dyDescent="0.3">
      <c r="A1741" t="s">
        <v>113</v>
      </c>
      <c r="B1741" t="s">
        <v>114</v>
      </c>
      <c r="C1741" t="s">
        <v>9</v>
      </c>
      <c r="D1741" t="s">
        <v>10</v>
      </c>
      <c r="E1741">
        <v>2011</v>
      </c>
      <c r="F1741" s="1">
        <v>99</v>
      </c>
      <c r="G1741">
        <v>2010</v>
      </c>
      <c r="H1741">
        <f>AVERAGEIFS(Table1[value],Table1[IndicatorCode],Table1[[#This Row],[IndicatorCode]])</f>
        <v>99.756410256410263</v>
      </c>
      <c r="I1741" cm="1">
        <f t="array" ref="I1741">_xlfn.STDEV.P(IF(Table1[IndicatorCode]=Table1[[#This Row],[IndicatorCode]],Table1[value]))</f>
        <v>1.1047979755287356</v>
      </c>
      <c r="J1741">
        <f>(Table1[[#This Row],[value]] - Table1[[#This Row],[mean]]) / Table1[[#This Row],[std_dev]]</f>
        <v>-0.68465934330505884</v>
      </c>
      <c r="K1741">
        <f>AVERAGEIF(Table1[CountryCode],Table1[[#This Row],[CountryCode]],Table1[z-score])</f>
        <v>-1.2093107186394518</v>
      </c>
      <c r="L1741" t="e">
        <f>VLOOKUP(Table1[[#This Row],[CountryCode]],[1]!Table1[#All],1,FALSE)</f>
        <v>#REF!</v>
      </c>
    </row>
    <row r="1742" spans="1:12" hidden="1" x14ac:dyDescent="0.3">
      <c r="A1742" t="s">
        <v>113</v>
      </c>
      <c r="B1742" t="s">
        <v>114</v>
      </c>
      <c r="C1742" t="s">
        <v>9</v>
      </c>
      <c r="D1742" t="s">
        <v>10</v>
      </c>
      <c r="E1742">
        <v>2012</v>
      </c>
      <c r="F1742" s="1">
        <v>99</v>
      </c>
      <c r="G1742">
        <v>2010</v>
      </c>
      <c r="H1742">
        <f>AVERAGEIFS(Table1[value],Table1[IndicatorCode],Table1[[#This Row],[IndicatorCode]])</f>
        <v>99.756410256410263</v>
      </c>
      <c r="I1742" cm="1">
        <f t="array" ref="I1742">_xlfn.STDEV.P(IF(Table1[IndicatorCode]=Table1[[#This Row],[IndicatorCode]],Table1[value]))</f>
        <v>1.1047979755287356</v>
      </c>
      <c r="J1742">
        <f>(Table1[[#This Row],[value]] - Table1[[#This Row],[mean]]) / Table1[[#This Row],[std_dev]]</f>
        <v>-0.68465934330505884</v>
      </c>
      <c r="K1742">
        <f>AVERAGEIF(Table1[CountryCode],Table1[[#This Row],[CountryCode]],Table1[z-score])</f>
        <v>-1.2093107186394518</v>
      </c>
      <c r="L1742" t="e">
        <f>VLOOKUP(Table1[[#This Row],[CountryCode]],[1]!Table1[#All],1,FALSE)</f>
        <v>#REF!</v>
      </c>
    </row>
    <row r="1743" spans="1:12" hidden="1" x14ac:dyDescent="0.3">
      <c r="A1743" t="s">
        <v>113</v>
      </c>
      <c r="B1743" t="s">
        <v>114</v>
      </c>
      <c r="C1743" t="s">
        <v>9</v>
      </c>
      <c r="D1743" t="s">
        <v>10</v>
      </c>
      <c r="E1743">
        <v>2013</v>
      </c>
      <c r="F1743" s="1">
        <v>99</v>
      </c>
      <c r="G1743">
        <v>2010</v>
      </c>
      <c r="H1743">
        <f>AVERAGEIFS(Table1[value],Table1[IndicatorCode],Table1[[#This Row],[IndicatorCode]])</f>
        <v>99.756410256410263</v>
      </c>
      <c r="I1743" cm="1">
        <f t="array" ref="I1743">_xlfn.STDEV.P(IF(Table1[IndicatorCode]=Table1[[#This Row],[IndicatorCode]],Table1[value]))</f>
        <v>1.1047979755287356</v>
      </c>
      <c r="J1743">
        <f>(Table1[[#This Row],[value]] - Table1[[#This Row],[mean]]) / Table1[[#This Row],[std_dev]]</f>
        <v>-0.68465934330505884</v>
      </c>
      <c r="K1743">
        <f>AVERAGEIF(Table1[CountryCode],Table1[[#This Row],[CountryCode]],Table1[z-score])</f>
        <v>-1.2093107186394518</v>
      </c>
      <c r="L1743" t="e">
        <f>VLOOKUP(Table1[[#This Row],[CountryCode]],[1]!Table1[#All],1,FALSE)</f>
        <v>#REF!</v>
      </c>
    </row>
    <row r="1744" spans="1:12" hidden="1" x14ac:dyDescent="0.3">
      <c r="A1744" t="s">
        <v>113</v>
      </c>
      <c r="B1744" t="s">
        <v>114</v>
      </c>
      <c r="C1744" t="s">
        <v>9</v>
      </c>
      <c r="D1744" t="s">
        <v>10</v>
      </c>
      <c r="E1744">
        <v>2014</v>
      </c>
      <c r="F1744" s="1">
        <v>99</v>
      </c>
      <c r="G1744">
        <v>2010</v>
      </c>
      <c r="H1744">
        <f>AVERAGEIFS(Table1[value],Table1[IndicatorCode],Table1[[#This Row],[IndicatorCode]])</f>
        <v>99.756410256410263</v>
      </c>
      <c r="I1744" cm="1">
        <f t="array" ref="I1744">_xlfn.STDEV.P(IF(Table1[IndicatorCode]=Table1[[#This Row],[IndicatorCode]],Table1[value]))</f>
        <v>1.1047979755287356</v>
      </c>
      <c r="J1744">
        <f>(Table1[[#This Row],[value]] - Table1[[#This Row],[mean]]) / Table1[[#This Row],[std_dev]]</f>
        <v>-0.68465934330505884</v>
      </c>
      <c r="K1744">
        <f>AVERAGEIF(Table1[CountryCode],Table1[[#This Row],[CountryCode]],Table1[z-score])</f>
        <v>-1.2093107186394518</v>
      </c>
      <c r="L1744" t="e">
        <f>VLOOKUP(Table1[[#This Row],[CountryCode]],[1]!Table1[#All],1,FALSE)</f>
        <v>#REF!</v>
      </c>
    </row>
    <row r="1745" spans="1:12" hidden="1" x14ac:dyDescent="0.3">
      <c r="A1745" t="s">
        <v>113</v>
      </c>
      <c r="B1745" t="s">
        <v>114</v>
      </c>
      <c r="C1745" t="s">
        <v>9</v>
      </c>
      <c r="D1745" t="s">
        <v>10</v>
      </c>
      <c r="E1745">
        <v>2015</v>
      </c>
      <c r="F1745" s="1">
        <v>98</v>
      </c>
      <c r="G1745">
        <v>2010</v>
      </c>
      <c r="H1745">
        <f>AVERAGEIFS(Table1[value],Table1[IndicatorCode],Table1[[#This Row],[IndicatorCode]])</f>
        <v>99.756410256410263</v>
      </c>
      <c r="I1745" cm="1">
        <f t="array" ref="I1745">_xlfn.STDEV.P(IF(Table1[IndicatorCode]=Table1[[#This Row],[IndicatorCode]],Table1[value]))</f>
        <v>1.1047979755287356</v>
      </c>
      <c r="J1745">
        <f>(Table1[[#This Row],[value]] - Table1[[#This Row],[mean]]) / Table1[[#This Row],[std_dev]]</f>
        <v>-1.5898022039456376</v>
      </c>
      <c r="K1745">
        <f>AVERAGEIF(Table1[CountryCode],Table1[[#This Row],[CountryCode]],Table1[z-score])</f>
        <v>-1.2093107186394518</v>
      </c>
      <c r="L1745" t="e">
        <f>VLOOKUP(Table1[[#This Row],[CountryCode]],[1]!Table1[#All],1,FALSE)</f>
        <v>#REF!</v>
      </c>
    </row>
    <row r="1746" spans="1:12" hidden="1" x14ac:dyDescent="0.3">
      <c r="A1746" t="s">
        <v>113</v>
      </c>
      <c r="B1746" t="s">
        <v>114</v>
      </c>
      <c r="C1746" t="s">
        <v>9</v>
      </c>
      <c r="D1746" t="s">
        <v>10</v>
      </c>
      <c r="E1746">
        <v>2016</v>
      </c>
      <c r="F1746" s="1">
        <v>99</v>
      </c>
      <c r="G1746">
        <v>2010</v>
      </c>
      <c r="H1746">
        <f>AVERAGEIFS(Table1[value],Table1[IndicatorCode],Table1[[#This Row],[IndicatorCode]])</f>
        <v>99.756410256410263</v>
      </c>
      <c r="I1746" cm="1">
        <f t="array" ref="I1746">_xlfn.STDEV.P(IF(Table1[IndicatorCode]=Table1[[#This Row],[IndicatorCode]],Table1[value]))</f>
        <v>1.1047979755287356</v>
      </c>
      <c r="J1746">
        <f>(Table1[[#This Row],[value]] - Table1[[#This Row],[mean]]) / Table1[[#This Row],[std_dev]]</f>
        <v>-0.68465934330505884</v>
      </c>
      <c r="K1746">
        <f>AVERAGEIF(Table1[CountryCode],Table1[[#This Row],[CountryCode]],Table1[z-score])</f>
        <v>-1.2093107186394518</v>
      </c>
      <c r="L1746" t="e">
        <f>VLOOKUP(Table1[[#This Row],[CountryCode]],[1]!Table1[#All],1,FALSE)</f>
        <v>#REF!</v>
      </c>
    </row>
    <row r="1747" spans="1:12" hidden="1" x14ac:dyDescent="0.3">
      <c r="A1747" t="s">
        <v>113</v>
      </c>
      <c r="B1747" t="s">
        <v>114</v>
      </c>
      <c r="C1747" t="s">
        <v>9</v>
      </c>
      <c r="D1747" t="s">
        <v>10</v>
      </c>
      <c r="E1747">
        <v>2017</v>
      </c>
      <c r="F1747" s="1">
        <v>99</v>
      </c>
      <c r="G1747">
        <v>2020</v>
      </c>
      <c r="H1747">
        <f>AVERAGEIFS(Table1[value],Table1[IndicatorCode],Table1[[#This Row],[IndicatorCode]])</f>
        <v>99.756410256410263</v>
      </c>
      <c r="I1747" cm="1">
        <f t="array" ref="I1747">_xlfn.STDEV.P(IF(Table1[IndicatorCode]=Table1[[#This Row],[IndicatorCode]],Table1[value]))</f>
        <v>1.1047979755287356</v>
      </c>
      <c r="J1747">
        <f>(Table1[[#This Row],[value]] - Table1[[#This Row],[mean]]) / Table1[[#This Row],[std_dev]]</f>
        <v>-0.68465934330505884</v>
      </c>
      <c r="K1747">
        <f>AVERAGEIF(Table1[CountryCode],Table1[[#This Row],[CountryCode]],Table1[z-score])</f>
        <v>-1.2093107186394518</v>
      </c>
      <c r="L1747" t="e">
        <f>VLOOKUP(Table1[[#This Row],[CountryCode]],[1]!Table1[#All],1,FALSE)</f>
        <v>#REF!</v>
      </c>
    </row>
    <row r="1748" spans="1:12" hidden="1" x14ac:dyDescent="0.3">
      <c r="A1748" t="s">
        <v>113</v>
      </c>
      <c r="B1748" t="s">
        <v>114</v>
      </c>
      <c r="C1748" t="s">
        <v>9</v>
      </c>
      <c r="D1748" t="s">
        <v>10</v>
      </c>
      <c r="E1748">
        <v>2018</v>
      </c>
      <c r="F1748" s="1">
        <v>99</v>
      </c>
      <c r="G1748">
        <v>2020</v>
      </c>
      <c r="H1748">
        <f>AVERAGEIFS(Table1[value],Table1[IndicatorCode],Table1[[#This Row],[IndicatorCode]])</f>
        <v>99.756410256410263</v>
      </c>
      <c r="I1748" cm="1">
        <f t="array" ref="I1748">_xlfn.STDEV.P(IF(Table1[IndicatorCode]=Table1[[#This Row],[IndicatorCode]],Table1[value]))</f>
        <v>1.1047979755287356</v>
      </c>
      <c r="J1748">
        <f>(Table1[[#This Row],[value]] - Table1[[#This Row],[mean]]) / Table1[[#This Row],[std_dev]]</f>
        <v>-0.68465934330505884</v>
      </c>
      <c r="K1748">
        <f>AVERAGEIF(Table1[CountryCode],Table1[[#This Row],[CountryCode]],Table1[z-score])</f>
        <v>-1.2093107186394518</v>
      </c>
      <c r="L1748" t="e">
        <f>VLOOKUP(Table1[[#This Row],[CountryCode]],[1]!Table1[#All],1,FALSE)</f>
        <v>#REF!</v>
      </c>
    </row>
    <row r="1749" spans="1:12" hidden="1" x14ac:dyDescent="0.3">
      <c r="A1749" t="s">
        <v>113</v>
      </c>
      <c r="B1749" t="s">
        <v>114</v>
      </c>
      <c r="C1749" t="s">
        <v>9</v>
      </c>
      <c r="D1749" t="s">
        <v>10</v>
      </c>
      <c r="E1749">
        <v>2019</v>
      </c>
      <c r="F1749" s="1">
        <v>99</v>
      </c>
      <c r="G1749">
        <v>2020</v>
      </c>
      <c r="H1749">
        <f>AVERAGEIFS(Table1[value],Table1[IndicatorCode],Table1[[#This Row],[IndicatorCode]])</f>
        <v>99.756410256410263</v>
      </c>
      <c r="I1749" cm="1">
        <f t="array" ref="I1749">_xlfn.STDEV.P(IF(Table1[IndicatorCode]=Table1[[#This Row],[IndicatorCode]],Table1[value]))</f>
        <v>1.1047979755287356</v>
      </c>
      <c r="J1749">
        <f>(Table1[[#This Row],[value]] - Table1[[#This Row],[mean]]) / Table1[[#This Row],[std_dev]]</f>
        <v>-0.68465934330505884</v>
      </c>
      <c r="K1749">
        <f>AVERAGEIF(Table1[CountryCode],Table1[[#This Row],[CountryCode]],Table1[z-score])</f>
        <v>-1.2093107186394518</v>
      </c>
      <c r="L1749" t="e">
        <f>VLOOKUP(Table1[[#This Row],[CountryCode]],[1]!Table1[#All],1,FALSE)</f>
        <v>#REF!</v>
      </c>
    </row>
    <row r="1750" spans="1:12" x14ac:dyDescent="0.3">
      <c r="A1750" t="s">
        <v>113</v>
      </c>
      <c r="B1750" t="s">
        <v>114</v>
      </c>
      <c r="C1750" t="s">
        <v>9</v>
      </c>
      <c r="D1750" t="s">
        <v>10</v>
      </c>
      <c r="E1750">
        <v>2020</v>
      </c>
      <c r="F1750" s="1">
        <v>100</v>
      </c>
      <c r="G1750">
        <v>2020</v>
      </c>
      <c r="H1750">
        <f>AVERAGEIFS(Table1[value],Table1[IndicatorCode],Table1[[#This Row],[IndicatorCode]])</f>
        <v>99.756410256410263</v>
      </c>
      <c r="I1750" cm="1">
        <f t="array" ref="I1750">_xlfn.STDEV.P(IF(Table1[IndicatorCode]=Table1[[#This Row],[IndicatorCode]],Table1[value]))</f>
        <v>1.1047979755287356</v>
      </c>
      <c r="J1750">
        <f>(Table1[[#This Row],[value]] - Table1[[#This Row],[mean]]) / Table1[[#This Row],[std_dev]]</f>
        <v>0.22048351733552002</v>
      </c>
      <c r="K1750">
        <f>AVERAGEIF(Table1[CountryCode],Table1[[#This Row],[CountryCode]],Table1[z-score])</f>
        <v>-1.2093107186394518</v>
      </c>
    </row>
    <row r="1751" spans="1:12" hidden="1" x14ac:dyDescent="0.3">
      <c r="A1751" t="s">
        <v>113</v>
      </c>
      <c r="B1751" t="s">
        <v>114</v>
      </c>
      <c r="C1751" t="s">
        <v>9</v>
      </c>
      <c r="D1751" t="s">
        <v>10</v>
      </c>
      <c r="E1751">
        <v>2021</v>
      </c>
      <c r="F1751" s="1">
        <v>100</v>
      </c>
      <c r="G1751">
        <v>2000</v>
      </c>
      <c r="H1751">
        <f>AVERAGEIFS(Table1[value],Table1[IndicatorCode],Table1[[#This Row],[IndicatorCode]])</f>
        <v>99.756410256410263</v>
      </c>
      <c r="I1751" cm="1">
        <f t="array" ref="I1751">_xlfn.STDEV.P(IF(Table1[IndicatorCode]=Table1[[#This Row],[IndicatorCode]],Table1[value]))</f>
        <v>1.1047979755287356</v>
      </c>
      <c r="J1751">
        <f>(Table1[[#This Row],[value]] - Table1[[#This Row],[mean]]) / Table1[[#This Row],[std_dev]]</f>
        <v>0.22048351733552002</v>
      </c>
      <c r="K1751">
        <f>AVERAGEIF(Table1[CountryCode],Table1[[#This Row],[CountryCode]],Table1[z-score])</f>
        <v>-1.2093107186394518</v>
      </c>
      <c r="L1751" t="e">
        <f>VLOOKUP(Table1[[#This Row],[CountryCode]],[1]!Table1[#All],1,FALSE)</f>
        <v>#REF!</v>
      </c>
    </row>
    <row r="1752" spans="1:12" hidden="1" x14ac:dyDescent="0.3">
      <c r="A1752" t="s">
        <v>113</v>
      </c>
      <c r="B1752" t="s">
        <v>114</v>
      </c>
      <c r="C1752" t="s">
        <v>9</v>
      </c>
      <c r="D1752" t="s">
        <v>10</v>
      </c>
      <c r="E1752">
        <v>2022</v>
      </c>
      <c r="F1752" s="1">
        <v>100</v>
      </c>
      <c r="G1752">
        <v>2000</v>
      </c>
      <c r="H1752">
        <f>AVERAGEIFS(Table1[value],Table1[IndicatorCode],Table1[[#This Row],[IndicatorCode]])</f>
        <v>99.756410256410263</v>
      </c>
      <c r="I1752" cm="1">
        <f t="array" ref="I1752">_xlfn.STDEV.P(IF(Table1[IndicatorCode]=Table1[[#This Row],[IndicatorCode]],Table1[value]))</f>
        <v>1.1047979755287356</v>
      </c>
      <c r="J1752">
        <f>(Table1[[#This Row],[value]] - Table1[[#This Row],[mean]]) / Table1[[#This Row],[std_dev]]</f>
        <v>0.22048351733552002</v>
      </c>
      <c r="K1752">
        <f>AVERAGEIF(Table1[CountryCode],Table1[[#This Row],[CountryCode]],Table1[z-score])</f>
        <v>-1.2093107186394518</v>
      </c>
      <c r="L1752" t="e">
        <f>VLOOKUP(Table1[[#This Row],[CountryCode]],[1]!Table1[#All],1,FALSE)</f>
        <v>#REF!</v>
      </c>
    </row>
    <row r="1753" spans="1:12" hidden="1" x14ac:dyDescent="0.3">
      <c r="A1753" t="s">
        <v>113</v>
      </c>
      <c r="B1753" t="s">
        <v>114</v>
      </c>
      <c r="C1753" t="s">
        <v>9</v>
      </c>
      <c r="D1753" t="s">
        <v>10</v>
      </c>
      <c r="E1753">
        <v>2023</v>
      </c>
      <c r="F1753" s="1">
        <v>100</v>
      </c>
      <c r="G1753">
        <v>2000</v>
      </c>
      <c r="H1753">
        <f>AVERAGEIFS(Table1[value],Table1[IndicatorCode],Table1[[#This Row],[IndicatorCode]])</f>
        <v>99.756410256410263</v>
      </c>
      <c r="I1753" cm="1">
        <f t="array" ref="I1753">_xlfn.STDEV.P(IF(Table1[IndicatorCode]=Table1[[#This Row],[IndicatorCode]],Table1[value]))</f>
        <v>1.1047979755287356</v>
      </c>
      <c r="J1753">
        <f>(Table1[[#This Row],[value]] - Table1[[#This Row],[mean]]) / Table1[[#This Row],[std_dev]]</f>
        <v>0.22048351733552002</v>
      </c>
      <c r="K1753">
        <f>AVERAGEIF(Table1[CountryCode],Table1[[#This Row],[CountryCode]],Table1[z-score])</f>
        <v>-1.2093107186394518</v>
      </c>
      <c r="L1753" t="e">
        <f>VLOOKUP(Table1[[#This Row],[CountryCode]],[1]!Table1[#All],1,FALSE)</f>
        <v>#REF!</v>
      </c>
    </row>
    <row r="1754" spans="1:12" hidden="1" x14ac:dyDescent="0.3">
      <c r="A1754" t="s">
        <v>115</v>
      </c>
      <c r="B1754" t="s">
        <v>116</v>
      </c>
      <c r="C1754" t="s">
        <v>9</v>
      </c>
      <c r="D1754" t="s">
        <v>10</v>
      </c>
      <c r="E1754">
        <v>2000</v>
      </c>
      <c r="F1754" s="1">
        <v>100</v>
      </c>
      <c r="G1754">
        <v>2000</v>
      </c>
      <c r="H1754">
        <f>AVERAGEIFS(Table1[value],Table1[IndicatorCode],Table1[[#This Row],[IndicatorCode]])</f>
        <v>99.756410256410263</v>
      </c>
      <c r="I1754" cm="1">
        <f t="array" ref="I1754">_xlfn.STDEV.P(IF(Table1[IndicatorCode]=Table1[[#This Row],[IndicatorCode]],Table1[value]))</f>
        <v>1.1047979755287356</v>
      </c>
      <c r="J1754">
        <f>(Table1[[#This Row],[value]] - Table1[[#This Row],[mean]]) / Table1[[#This Row],[std_dev]]</f>
        <v>0.22048351733552002</v>
      </c>
      <c r="K1754">
        <f>AVERAGEIF(Table1[CountryCode],Table1[[#This Row],[CountryCode]],Table1[z-score])</f>
        <v>-0.55461759774946673</v>
      </c>
      <c r="L1754" t="e">
        <f>VLOOKUP(Table1[[#This Row],[CountryCode]],[1]!Table1[#All],1,FALSE)</f>
        <v>#REF!</v>
      </c>
    </row>
    <row r="1755" spans="1:12" hidden="1" x14ac:dyDescent="0.3">
      <c r="A1755" t="s">
        <v>115</v>
      </c>
      <c r="B1755" t="s">
        <v>116</v>
      </c>
      <c r="C1755" t="s">
        <v>9</v>
      </c>
      <c r="D1755" t="s">
        <v>10</v>
      </c>
      <c r="E1755">
        <v>2001</v>
      </c>
      <c r="F1755" s="1">
        <v>100</v>
      </c>
      <c r="G1755">
        <v>2000</v>
      </c>
      <c r="H1755">
        <f>AVERAGEIFS(Table1[value],Table1[IndicatorCode],Table1[[#This Row],[IndicatorCode]])</f>
        <v>99.756410256410263</v>
      </c>
      <c r="I1755" cm="1">
        <f t="array" ref="I1755">_xlfn.STDEV.P(IF(Table1[IndicatorCode]=Table1[[#This Row],[IndicatorCode]],Table1[value]))</f>
        <v>1.1047979755287356</v>
      </c>
      <c r="J1755">
        <f>(Table1[[#This Row],[value]] - Table1[[#This Row],[mean]]) / Table1[[#This Row],[std_dev]]</f>
        <v>0.22048351733552002</v>
      </c>
      <c r="K1755">
        <f>AVERAGEIF(Table1[CountryCode],Table1[[#This Row],[CountryCode]],Table1[z-score])</f>
        <v>-0.55461759774946673</v>
      </c>
      <c r="L1755" t="e">
        <f>VLOOKUP(Table1[[#This Row],[CountryCode]],[1]!Table1[#All],1,FALSE)</f>
        <v>#REF!</v>
      </c>
    </row>
    <row r="1756" spans="1:12" hidden="1" x14ac:dyDescent="0.3">
      <c r="A1756" t="s">
        <v>115</v>
      </c>
      <c r="B1756" t="s">
        <v>116</v>
      </c>
      <c r="C1756" t="s">
        <v>9</v>
      </c>
      <c r="D1756" t="s">
        <v>10</v>
      </c>
      <c r="E1756">
        <v>2002</v>
      </c>
      <c r="F1756" s="1">
        <v>100</v>
      </c>
      <c r="G1756">
        <v>2000</v>
      </c>
      <c r="H1756">
        <f>AVERAGEIFS(Table1[value],Table1[IndicatorCode],Table1[[#This Row],[IndicatorCode]])</f>
        <v>99.756410256410263</v>
      </c>
      <c r="I1756" cm="1">
        <f t="array" ref="I1756">_xlfn.STDEV.P(IF(Table1[IndicatorCode]=Table1[[#This Row],[IndicatorCode]],Table1[value]))</f>
        <v>1.1047979755287356</v>
      </c>
      <c r="J1756">
        <f>(Table1[[#This Row],[value]] - Table1[[#This Row],[mean]]) / Table1[[#This Row],[std_dev]]</f>
        <v>0.22048351733552002</v>
      </c>
      <c r="K1756">
        <f>AVERAGEIF(Table1[CountryCode],Table1[[#This Row],[CountryCode]],Table1[z-score])</f>
        <v>-0.55461759774946673</v>
      </c>
      <c r="L1756" t="e">
        <f>VLOOKUP(Table1[[#This Row],[CountryCode]],[1]!Table1[#All],1,FALSE)</f>
        <v>#REF!</v>
      </c>
    </row>
    <row r="1757" spans="1:12" hidden="1" x14ac:dyDescent="0.3">
      <c r="A1757" t="s">
        <v>115</v>
      </c>
      <c r="B1757" t="s">
        <v>116</v>
      </c>
      <c r="C1757" t="s">
        <v>9</v>
      </c>
      <c r="D1757" t="s">
        <v>10</v>
      </c>
      <c r="E1757">
        <v>2003</v>
      </c>
      <c r="F1757" s="1">
        <v>100</v>
      </c>
      <c r="G1757">
        <v>2000</v>
      </c>
      <c r="H1757">
        <f>AVERAGEIFS(Table1[value],Table1[IndicatorCode],Table1[[#This Row],[IndicatorCode]])</f>
        <v>99.756410256410263</v>
      </c>
      <c r="I1757" cm="1">
        <f t="array" ref="I1757">_xlfn.STDEV.P(IF(Table1[IndicatorCode]=Table1[[#This Row],[IndicatorCode]],Table1[value]))</f>
        <v>1.1047979755287356</v>
      </c>
      <c r="J1757">
        <f>(Table1[[#This Row],[value]] - Table1[[#This Row],[mean]]) / Table1[[#This Row],[std_dev]]</f>
        <v>0.22048351733552002</v>
      </c>
      <c r="K1757">
        <f>AVERAGEIF(Table1[CountryCode],Table1[[#This Row],[CountryCode]],Table1[z-score])</f>
        <v>-0.55461759774946673</v>
      </c>
      <c r="L1757" t="e">
        <f>VLOOKUP(Table1[[#This Row],[CountryCode]],[1]!Table1[#All],1,FALSE)</f>
        <v>#REF!</v>
      </c>
    </row>
    <row r="1758" spans="1:12" hidden="1" x14ac:dyDescent="0.3">
      <c r="A1758" t="s">
        <v>115</v>
      </c>
      <c r="B1758" t="s">
        <v>116</v>
      </c>
      <c r="C1758" t="s">
        <v>9</v>
      </c>
      <c r="D1758" t="s">
        <v>10</v>
      </c>
      <c r="E1758">
        <v>2004</v>
      </c>
      <c r="F1758" s="1">
        <v>100</v>
      </c>
      <c r="G1758">
        <v>2000</v>
      </c>
      <c r="H1758">
        <f>AVERAGEIFS(Table1[value],Table1[IndicatorCode],Table1[[#This Row],[IndicatorCode]])</f>
        <v>99.756410256410263</v>
      </c>
      <c r="I1758" cm="1">
        <f t="array" ref="I1758">_xlfn.STDEV.P(IF(Table1[IndicatorCode]=Table1[[#This Row],[IndicatorCode]],Table1[value]))</f>
        <v>1.1047979755287356</v>
      </c>
      <c r="J1758">
        <f>(Table1[[#This Row],[value]] - Table1[[#This Row],[mean]]) / Table1[[#This Row],[std_dev]]</f>
        <v>0.22048351733552002</v>
      </c>
      <c r="K1758">
        <f>AVERAGEIF(Table1[CountryCode],Table1[[#This Row],[CountryCode]],Table1[z-score])</f>
        <v>-0.55461759774946673</v>
      </c>
      <c r="L1758" t="e">
        <f>VLOOKUP(Table1[[#This Row],[CountryCode]],[1]!Table1[#All],1,FALSE)</f>
        <v>#REF!</v>
      </c>
    </row>
    <row r="1759" spans="1:12" hidden="1" x14ac:dyDescent="0.3">
      <c r="A1759" t="s">
        <v>115</v>
      </c>
      <c r="B1759" t="s">
        <v>116</v>
      </c>
      <c r="C1759" t="s">
        <v>9</v>
      </c>
      <c r="D1759" t="s">
        <v>10</v>
      </c>
      <c r="E1759">
        <v>2005</v>
      </c>
      <c r="F1759" s="1">
        <v>100</v>
      </c>
      <c r="G1759">
        <v>2000</v>
      </c>
      <c r="H1759">
        <f>AVERAGEIFS(Table1[value],Table1[IndicatorCode],Table1[[#This Row],[IndicatorCode]])</f>
        <v>99.756410256410263</v>
      </c>
      <c r="I1759" cm="1">
        <f t="array" ref="I1759">_xlfn.STDEV.P(IF(Table1[IndicatorCode]=Table1[[#This Row],[IndicatorCode]],Table1[value]))</f>
        <v>1.1047979755287356</v>
      </c>
      <c r="J1759">
        <f>(Table1[[#This Row],[value]] - Table1[[#This Row],[mean]]) / Table1[[#This Row],[std_dev]]</f>
        <v>0.22048351733552002</v>
      </c>
      <c r="K1759">
        <f>AVERAGEIF(Table1[CountryCode],Table1[[#This Row],[CountryCode]],Table1[z-score])</f>
        <v>-0.55461759774946673</v>
      </c>
      <c r="L1759" t="e">
        <f>VLOOKUP(Table1[[#This Row],[CountryCode]],[1]!Table1[#All],1,FALSE)</f>
        <v>#REF!</v>
      </c>
    </row>
    <row r="1760" spans="1:12" hidden="1" x14ac:dyDescent="0.3">
      <c r="A1760" t="s">
        <v>115</v>
      </c>
      <c r="B1760" t="s">
        <v>116</v>
      </c>
      <c r="C1760" t="s">
        <v>9</v>
      </c>
      <c r="D1760" t="s">
        <v>10</v>
      </c>
      <c r="E1760">
        <v>2006</v>
      </c>
      <c r="F1760" s="1">
        <v>100</v>
      </c>
      <c r="G1760">
        <v>2000</v>
      </c>
      <c r="H1760">
        <f>AVERAGEIFS(Table1[value],Table1[IndicatorCode],Table1[[#This Row],[IndicatorCode]])</f>
        <v>99.756410256410263</v>
      </c>
      <c r="I1760" cm="1">
        <f t="array" ref="I1760">_xlfn.STDEV.P(IF(Table1[IndicatorCode]=Table1[[#This Row],[IndicatorCode]],Table1[value]))</f>
        <v>1.1047979755287356</v>
      </c>
      <c r="J1760">
        <f>(Table1[[#This Row],[value]] - Table1[[#This Row],[mean]]) / Table1[[#This Row],[std_dev]]</f>
        <v>0.22048351733552002</v>
      </c>
      <c r="K1760">
        <f>AVERAGEIF(Table1[CountryCode],Table1[[#This Row],[CountryCode]],Table1[z-score])</f>
        <v>-0.55461759774946673</v>
      </c>
      <c r="L1760" t="e">
        <f>VLOOKUP(Table1[[#This Row],[CountryCode]],[1]!Table1[#All],1,FALSE)</f>
        <v>#REF!</v>
      </c>
    </row>
    <row r="1761" spans="1:12" hidden="1" x14ac:dyDescent="0.3">
      <c r="A1761" t="s">
        <v>115</v>
      </c>
      <c r="B1761" t="s">
        <v>116</v>
      </c>
      <c r="C1761" t="s">
        <v>9</v>
      </c>
      <c r="D1761" t="s">
        <v>10</v>
      </c>
      <c r="E1761">
        <v>2007</v>
      </c>
      <c r="F1761" s="1">
        <v>100</v>
      </c>
      <c r="G1761">
        <v>2010</v>
      </c>
      <c r="H1761">
        <f>AVERAGEIFS(Table1[value],Table1[IndicatorCode],Table1[[#This Row],[IndicatorCode]])</f>
        <v>99.756410256410263</v>
      </c>
      <c r="I1761" cm="1">
        <f t="array" ref="I1761">_xlfn.STDEV.P(IF(Table1[IndicatorCode]=Table1[[#This Row],[IndicatorCode]],Table1[value]))</f>
        <v>1.1047979755287356</v>
      </c>
      <c r="J1761">
        <f>(Table1[[#This Row],[value]] - Table1[[#This Row],[mean]]) / Table1[[#This Row],[std_dev]]</f>
        <v>0.22048351733552002</v>
      </c>
      <c r="K1761">
        <f>AVERAGEIF(Table1[CountryCode],Table1[[#This Row],[CountryCode]],Table1[z-score])</f>
        <v>-0.55461759774946673</v>
      </c>
      <c r="L1761" t="e">
        <f>VLOOKUP(Table1[[#This Row],[CountryCode]],[1]!Table1[#All],1,FALSE)</f>
        <v>#REF!</v>
      </c>
    </row>
    <row r="1762" spans="1:12" hidden="1" x14ac:dyDescent="0.3">
      <c r="A1762" t="s">
        <v>115</v>
      </c>
      <c r="B1762" t="s">
        <v>116</v>
      </c>
      <c r="C1762" t="s">
        <v>9</v>
      </c>
      <c r="D1762" t="s">
        <v>10</v>
      </c>
      <c r="E1762">
        <v>2008</v>
      </c>
      <c r="F1762" s="1">
        <v>100</v>
      </c>
      <c r="G1762">
        <v>2010</v>
      </c>
      <c r="H1762">
        <f>AVERAGEIFS(Table1[value],Table1[IndicatorCode],Table1[[#This Row],[IndicatorCode]])</f>
        <v>99.756410256410263</v>
      </c>
      <c r="I1762" cm="1">
        <f t="array" ref="I1762">_xlfn.STDEV.P(IF(Table1[IndicatorCode]=Table1[[#This Row],[IndicatorCode]],Table1[value]))</f>
        <v>1.1047979755287356</v>
      </c>
      <c r="J1762">
        <f>(Table1[[#This Row],[value]] - Table1[[#This Row],[mean]]) / Table1[[#This Row],[std_dev]]</f>
        <v>0.22048351733552002</v>
      </c>
      <c r="K1762">
        <f>AVERAGEIF(Table1[CountryCode],Table1[[#This Row],[CountryCode]],Table1[z-score])</f>
        <v>-0.55461759774946673</v>
      </c>
      <c r="L1762" t="e">
        <f>VLOOKUP(Table1[[#This Row],[CountryCode]],[1]!Table1[#All],1,FALSE)</f>
        <v>#REF!</v>
      </c>
    </row>
    <row r="1763" spans="1:12" hidden="1" x14ac:dyDescent="0.3">
      <c r="A1763" t="s">
        <v>115</v>
      </c>
      <c r="B1763" t="s">
        <v>116</v>
      </c>
      <c r="C1763" t="s">
        <v>9</v>
      </c>
      <c r="D1763" t="s">
        <v>10</v>
      </c>
      <c r="E1763">
        <v>2009</v>
      </c>
      <c r="F1763" s="1">
        <v>100</v>
      </c>
      <c r="G1763">
        <v>2010</v>
      </c>
      <c r="H1763">
        <f>AVERAGEIFS(Table1[value],Table1[IndicatorCode],Table1[[#This Row],[IndicatorCode]])</f>
        <v>99.756410256410263</v>
      </c>
      <c r="I1763" cm="1">
        <f t="array" ref="I1763">_xlfn.STDEV.P(IF(Table1[IndicatorCode]=Table1[[#This Row],[IndicatorCode]],Table1[value]))</f>
        <v>1.1047979755287356</v>
      </c>
      <c r="J1763">
        <f>(Table1[[#This Row],[value]] - Table1[[#This Row],[mean]]) / Table1[[#This Row],[std_dev]]</f>
        <v>0.22048351733552002</v>
      </c>
      <c r="K1763">
        <f>AVERAGEIF(Table1[CountryCode],Table1[[#This Row],[CountryCode]],Table1[z-score])</f>
        <v>-0.55461759774946673</v>
      </c>
      <c r="L1763" t="e">
        <f>VLOOKUP(Table1[[#This Row],[CountryCode]],[1]!Table1[#All],1,FALSE)</f>
        <v>#REF!</v>
      </c>
    </row>
    <row r="1764" spans="1:12" hidden="1" x14ac:dyDescent="0.3">
      <c r="A1764" t="s">
        <v>115</v>
      </c>
      <c r="B1764" t="s">
        <v>116</v>
      </c>
      <c r="C1764" t="s">
        <v>9</v>
      </c>
      <c r="D1764" t="s">
        <v>10</v>
      </c>
      <c r="E1764">
        <v>2010</v>
      </c>
      <c r="F1764" s="1">
        <v>100</v>
      </c>
      <c r="G1764">
        <v>2010</v>
      </c>
      <c r="H1764">
        <f>AVERAGEIFS(Table1[value],Table1[IndicatorCode],Table1[[#This Row],[IndicatorCode]])</f>
        <v>99.756410256410263</v>
      </c>
      <c r="I1764" cm="1">
        <f t="array" ref="I1764">_xlfn.STDEV.P(IF(Table1[IndicatorCode]=Table1[[#This Row],[IndicatorCode]],Table1[value]))</f>
        <v>1.1047979755287356</v>
      </c>
      <c r="J1764">
        <f>(Table1[[#This Row],[value]] - Table1[[#This Row],[mean]]) / Table1[[#This Row],[std_dev]]</f>
        <v>0.22048351733552002</v>
      </c>
      <c r="K1764">
        <f>AVERAGEIF(Table1[CountryCode],Table1[[#This Row],[CountryCode]],Table1[z-score])</f>
        <v>-0.55461759774946673</v>
      </c>
      <c r="L1764" t="e">
        <f>VLOOKUP(Table1[[#This Row],[CountryCode]],[1]!Table1[#All],1,FALSE)</f>
        <v>#REF!</v>
      </c>
    </row>
    <row r="1765" spans="1:12" hidden="1" x14ac:dyDescent="0.3">
      <c r="A1765" t="s">
        <v>115</v>
      </c>
      <c r="B1765" t="s">
        <v>116</v>
      </c>
      <c r="C1765" t="s">
        <v>9</v>
      </c>
      <c r="D1765" t="s">
        <v>10</v>
      </c>
      <c r="E1765">
        <v>2011</v>
      </c>
      <c r="F1765" s="1">
        <v>100</v>
      </c>
      <c r="G1765">
        <v>2010</v>
      </c>
      <c r="H1765">
        <f>AVERAGEIFS(Table1[value],Table1[IndicatorCode],Table1[[#This Row],[IndicatorCode]])</f>
        <v>99.756410256410263</v>
      </c>
      <c r="I1765" cm="1">
        <f t="array" ref="I1765">_xlfn.STDEV.P(IF(Table1[IndicatorCode]=Table1[[#This Row],[IndicatorCode]],Table1[value]))</f>
        <v>1.1047979755287356</v>
      </c>
      <c r="J1765">
        <f>(Table1[[#This Row],[value]] - Table1[[#This Row],[mean]]) / Table1[[#This Row],[std_dev]]</f>
        <v>0.22048351733552002</v>
      </c>
      <c r="K1765">
        <f>AVERAGEIF(Table1[CountryCode],Table1[[#This Row],[CountryCode]],Table1[z-score])</f>
        <v>-0.55461759774946673</v>
      </c>
      <c r="L1765" t="e">
        <f>VLOOKUP(Table1[[#This Row],[CountryCode]],[1]!Table1[#All],1,FALSE)</f>
        <v>#REF!</v>
      </c>
    </row>
    <row r="1766" spans="1:12" hidden="1" x14ac:dyDescent="0.3">
      <c r="A1766" t="s">
        <v>115</v>
      </c>
      <c r="B1766" t="s">
        <v>116</v>
      </c>
      <c r="C1766" t="s">
        <v>9</v>
      </c>
      <c r="D1766" t="s">
        <v>10</v>
      </c>
      <c r="E1766">
        <v>2012</v>
      </c>
      <c r="F1766" s="1">
        <v>100</v>
      </c>
      <c r="G1766">
        <v>2010</v>
      </c>
      <c r="H1766">
        <f>AVERAGEIFS(Table1[value],Table1[IndicatorCode],Table1[[#This Row],[IndicatorCode]])</f>
        <v>99.756410256410263</v>
      </c>
      <c r="I1766" cm="1">
        <f t="array" ref="I1766">_xlfn.STDEV.P(IF(Table1[IndicatorCode]=Table1[[#This Row],[IndicatorCode]],Table1[value]))</f>
        <v>1.1047979755287356</v>
      </c>
      <c r="J1766">
        <f>(Table1[[#This Row],[value]] - Table1[[#This Row],[mean]]) / Table1[[#This Row],[std_dev]]</f>
        <v>0.22048351733552002</v>
      </c>
      <c r="K1766">
        <f>AVERAGEIF(Table1[CountryCode],Table1[[#This Row],[CountryCode]],Table1[z-score])</f>
        <v>-0.55461759774946673</v>
      </c>
      <c r="L1766" t="e">
        <f>VLOOKUP(Table1[[#This Row],[CountryCode]],[1]!Table1[#All],1,FALSE)</f>
        <v>#REF!</v>
      </c>
    </row>
    <row r="1767" spans="1:12" hidden="1" x14ac:dyDescent="0.3">
      <c r="A1767" t="s">
        <v>115</v>
      </c>
      <c r="B1767" t="s">
        <v>116</v>
      </c>
      <c r="C1767" t="s">
        <v>9</v>
      </c>
      <c r="D1767" t="s">
        <v>10</v>
      </c>
      <c r="E1767">
        <v>2013</v>
      </c>
      <c r="F1767" s="1">
        <v>100</v>
      </c>
      <c r="G1767">
        <v>2010</v>
      </c>
      <c r="H1767">
        <f>AVERAGEIFS(Table1[value],Table1[IndicatorCode],Table1[[#This Row],[IndicatorCode]])</f>
        <v>99.756410256410263</v>
      </c>
      <c r="I1767" cm="1">
        <f t="array" ref="I1767">_xlfn.STDEV.P(IF(Table1[IndicatorCode]=Table1[[#This Row],[IndicatorCode]],Table1[value]))</f>
        <v>1.1047979755287356</v>
      </c>
      <c r="J1767">
        <f>(Table1[[#This Row],[value]] - Table1[[#This Row],[mean]]) / Table1[[#This Row],[std_dev]]</f>
        <v>0.22048351733552002</v>
      </c>
      <c r="K1767">
        <f>AVERAGEIF(Table1[CountryCode],Table1[[#This Row],[CountryCode]],Table1[z-score])</f>
        <v>-0.55461759774946673</v>
      </c>
      <c r="L1767" t="e">
        <f>VLOOKUP(Table1[[#This Row],[CountryCode]],[1]!Table1[#All],1,FALSE)</f>
        <v>#REF!</v>
      </c>
    </row>
    <row r="1768" spans="1:12" hidden="1" x14ac:dyDescent="0.3">
      <c r="A1768" t="s">
        <v>115</v>
      </c>
      <c r="B1768" t="s">
        <v>116</v>
      </c>
      <c r="C1768" t="s">
        <v>9</v>
      </c>
      <c r="D1768" t="s">
        <v>10</v>
      </c>
      <c r="E1768">
        <v>2014</v>
      </c>
      <c r="F1768" s="1">
        <v>100</v>
      </c>
      <c r="G1768">
        <v>2010</v>
      </c>
      <c r="H1768">
        <f>AVERAGEIFS(Table1[value],Table1[IndicatorCode],Table1[[#This Row],[IndicatorCode]])</f>
        <v>99.756410256410263</v>
      </c>
      <c r="I1768" cm="1">
        <f t="array" ref="I1768">_xlfn.STDEV.P(IF(Table1[IndicatorCode]=Table1[[#This Row],[IndicatorCode]],Table1[value]))</f>
        <v>1.1047979755287356</v>
      </c>
      <c r="J1768">
        <f>(Table1[[#This Row],[value]] - Table1[[#This Row],[mean]]) / Table1[[#This Row],[std_dev]]</f>
        <v>0.22048351733552002</v>
      </c>
      <c r="K1768">
        <f>AVERAGEIF(Table1[CountryCode],Table1[[#This Row],[CountryCode]],Table1[z-score])</f>
        <v>-0.55461759774946673</v>
      </c>
      <c r="L1768" t="e">
        <f>VLOOKUP(Table1[[#This Row],[CountryCode]],[1]!Table1[#All],1,FALSE)</f>
        <v>#REF!</v>
      </c>
    </row>
    <row r="1769" spans="1:12" hidden="1" x14ac:dyDescent="0.3">
      <c r="A1769" t="s">
        <v>115</v>
      </c>
      <c r="B1769" t="s">
        <v>116</v>
      </c>
      <c r="C1769" t="s">
        <v>9</v>
      </c>
      <c r="D1769" t="s">
        <v>10</v>
      </c>
      <c r="E1769">
        <v>2015</v>
      </c>
      <c r="F1769" s="1">
        <v>100</v>
      </c>
      <c r="G1769">
        <v>2010</v>
      </c>
      <c r="H1769">
        <f>AVERAGEIFS(Table1[value],Table1[IndicatorCode],Table1[[#This Row],[IndicatorCode]])</f>
        <v>99.756410256410263</v>
      </c>
      <c r="I1769" cm="1">
        <f t="array" ref="I1769">_xlfn.STDEV.P(IF(Table1[IndicatorCode]=Table1[[#This Row],[IndicatorCode]],Table1[value]))</f>
        <v>1.1047979755287356</v>
      </c>
      <c r="J1769">
        <f>(Table1[[#This Row],[value]] - Table1[[#This Row],[mean]]) / Table1[[#This Row],[std_dev]]</f>
        <v>0.22048351733552002</v>
      </c>
      <c r="K1769">
        <f>AVERAGEIF(Table1[CountryCode],Table1[[#This Row],[CountryCode]],Table1[z-score])</f>
        <v>-0.55461759774946673</v>
      </c>
      <c r="L1769" t="e">
        <f>VLOOKUP(Table1[[#This Row],[CountryCode]],[1]!Table1[#All],1,FALSE)</f>
        <v>#REF!</v>
      </c>
    </row>
    <row r="1770" spans="1:12" hidden="1" x14ac:dyDescent="0.3">
      <c r="A1770" t="s">
        <v>115</v>
      </c>
      <c r="B1770" t="s">
        <v>116</v>
      </c>
      <c r="C1770" t="s">
        <v>9</v>
      </c>
      <c r="D1770" t="s">
        <v>10</v>
      </c>
      <c r="E1770">
        <v>2016</v>
      </c>
      <c r="F1770" s="1">
        <v>100</v>
      </c>
      <c r="G1770">
        <v>2010</v>
      </c>
      <c r="H1770">
        <f>AVERAGEIFS(Table1[value],Table1[IndicatorCode],Table1[[#This Row],[IndicatorCode]])</f>
        <v>99.756410256410263</v>
      </c>
      <c r="I1770" cm="1">
        <f t="array" ref="I1770">_xlfn.STDEV.P(IF(Table1[IndicatorCode]=Table1[[#This Row],[IndicatorCode]],Table1[value]))</f>
        <v>1.1047979755287356</v>
      </c>
      <c r="J1770">
        <f>(Table1[[#This Row],[value]] - Table1[[#This Row],[mean]]) / Table1[[#This Row],[std_dev]]</f>
        <v>0.22048351733552002</v>
      </c>
      <c r="K1770">
        <f>AVERAGEIF(Table1[CountryCode],Table1[[#This Row],[CountryCode]],Table1[z-score])</f>
        <v>-0.55461759774946673</v>
      </c>
      <c r="L1770" t="e">
        <f>VLOOKUP(Table1[[#This Row],[CountryCode]],[1]!Table1[#All],1,FALSE)</f>
        <v>#REF!</v>
      </c>
    </row>
    <row r="1771" spans="1:12" hidden="1" x14ac:dyDescent="0.3">
      <c r="A1771" t="s">
        <v>115</v>
      </c>
      <c r="B1771" t="s">
        <v>116</v>
      </c>
      <c r="C1771" t="s">
        <v>9</v>
      </c>
      <c r="D1771" t="s">
        <v>10</v>
      </c>
      <c r="E1771">
        <v>2017</v>
      </c>
      <c r="F1771" s="1">
        <v>100</v>
      </c>
      <c r="G1771">
        <v>2020</v>
      </c>
      <c r="H1771">
        <f>AVERAGEIFS(Table1[value],Table1[IndicatorCode],Table1[[#This Row],[IndicatorCode]])</f>
        <v>99.756410256410263</v>
      </c>
      <c r="I1771" cm="1">
        <f t="array" ref="I1771">_xlfn.STDEV.P(IF(Table1[IndicatorCode]=Table1[[#This Row],[IndicatorCode]],Table1[value]))</f>
        <v>1.1047979755287356</v>
      </c>
      <c r="J1771">
        <f>(Table1[[#This Row],[value]] - Table1[[#This Row],[mean]]) / Table1[[#This Row],[std_dev]]</f>
        <v>0.22048351733552002</v>
      </c>
      <c r="K1771">
        <f>AVERAGEIF(Table1[CountryCode],Table1[[#This Row],[CountryCode]],Table1[z-score])</f>
        <v>-0.55461759774946673</v>
      </c>
      <c r="L1771" t="e">
        <f>VLOOKUP(Table1[[#This Row],[CountryCode]],[1]!Table1[#All],1,FALSE)</f>
        <v>#REF!</v>
      </c>
    </row>
    <row r="1772" spans="1:12" hidden="1" x14ac:dyDescent="0.3">
      <c r="A1772" t="s">
        <v>115</v>
      </c>
      <c r="B1772" t="s">
        <v>116</v>
      </c>
      <c r="C1772" t="s">
        <v>9</v>
      </c>
      <c r="D1772" t="s">
        <v>10</v>
      </c>
      <c r="E1772">
        <v>2018</v>
      </c>
      <c r="F1772" s="1">
        <v>100</v>
      </c>
      <c r="G1772">
        <v>2020</v>
      </c>
      <c r="H1772">
        <f>AVERAGEIFS(Table1[value],Table1[IndicatorCode],Table1[[#This Row],[IndicatorCode]])</f>
        <v>99.756410256410263</v>
      </c>
      <c r="I1772" cm="1">
        <f t="array" ref="I1772">_xlfn.STDEV.P(IF(Table1[IndicatorCode]=Table1[[#This Row],[IndicatorCode]],Table1[value]))</f>
        <v>1.1047979755287356</v>
      </c>
      <c r="J1772">
        <f>(Table1[[#This Row],[value]] - Table1[[#This Row],[mean]]) / Table1[[#This Row],[std_dev]]</f>
        <v>0.22048351733552002</v>
      </c>
      <c r="K1772">
        <f>AVERAGEIF(Table1[CountryCode],Table1[[#This Row],[CountryCode]],Table1[z-score])</f>
        <v>-0.55461759774946673</v>
      </c>
      <c r="L1772" t="e">
        <f>VLOOKUP(Table1[[#This Row],[CountryCode]],[1]!Table1[#All],1,FALSE)</f>
        <v>#REF!</v>
      </c>
    </row>
    <row r="1773" spans="1:12" hidden="1" x14ac:dyDescent="0.3">
      <c r="A1773" t="s">
        <v>115</v>
      </c>
      <c r="B1773" t="s">
        <v>116</v>
      </c>
      <c r="C1773" t="s">
        <v>9</v>
      </c>
      <c r="D1773" t="s">
        <v>10</v>
      </c>
      <c r="E1773">
        <v>2019</v>
      </c>
      <c r="F1773" s="1">
        <v>100</v>
      </c>
      <c r="G1773">
        <v>2020</v>
      </c>
      <c r="H1773">
        <f>AVERAGEIFS(Table1[value],Table1[IndicatorCode],Table1[[#This Row],[IndicatorCode]])</f>
        <v>99.756410256410263</v>
      </c>
      <c r="I1773" cm="1">
        <f t="array" ref="I1773">_xlfn.STDEV.P(IF(Table1[IndicatorCode]=Table1[[#This Row],[IndicatorCode]],Table1[value]))</f>
        <v>1.1047979755287356</v>
      </c>
      <c r="J1773">
        <f>(Table1[[#This Row],[value]] - Table1[[#This Row],[mean]]) / Table1[[#This Row],[std_dev]]</f>
        <v>0.22048351733552002</v>
      </c>
      <c r="K1773">
        <f>AVERAGEIF(Table1[CountryCode],Table1[[#This Row],[CountryCode]],Table1[z-score])</f>
        <v>-0.55461759774946673</v>
      </c>
      <c r="L1773" t="e">
        <f>VLOOKUP(Table1[[#This Row],[CountryCode]],[1]!Table1[#All],1,FALSE)</f>
        <v>#REF!</v>
      </c>
    </row>
    <row r="1774" spans="1:12" x14ac:dyDescent="0.3">
      <c r="A1774" t="s">
        <v>115</v>
      </c>
      <c r="B1774" t="s">
        <v>116</v>
      </c>
      <c r="C1774" t="s">
        <v>9</v>
      </c>
      <c r="D1774" t="s">
        <v>10</v>
      </c>
      <c r="E1774">
        <v>2020</v>
      </c>
      <c r="F1774" s="1">
        <v>100</v>
      </c>
      <c r="G1774">
        <v>2020</v>
      </c>
      <c r="H1774">
        <f>AVERAGEIFS(Table1[value],Table1[IndicatorCode],Table1[[#This Row],[IndicatorCode]])</f>
        <v>99.756410256410263</v>
      </c>
      <c r="I1774" cm="1">
        <f t="array" ref="I1774">_xlfn.STDEV.P(IF(Table1[IndicatorCode]=Table1[[#This Row],[IndicatorCode]],Table1[value]))</f>
        <v>1.1047979755287356</v>
      </c>
      <c r="J1774">
        <f>(Table1[[#This Row],[value]] - Table1[[#This Row],[mean]]) / Table1[[#This Row],[std_dev]]</f>
        <v>0.22048351733552002</v>
      </c>
      <c r="K1774">
        <f>AVERAGEIF(Table1[CountryCode],Table1[[#This Row],[CountryCode]],Table1[z-score])</f>
        <v>-0.55461759774946673</v>
      </c>
    </row>
    <row r="1775" spans="1:12" hidden="1" x14ac:dyDescent="0.3">
      <c r="A1775" t="s">
        <v>115</v>
      </c>
      <c r="B1775" t="s">
        <v>116</v>
      </c>
      <c r="C1775" t="s">
        <v>9</v>
      </c>
      <c r="D1775" t="s">
        <v>10</v>
      </c>
      <c r="E1775">
        <v>2021</v>
      </c>
      <c r="F1775" s="1">
        <v>100</v>
      </c>
      <c r="G1775">
        <v>2000</v>
      </c>
      <c r="H1775">
        <f>AVERAGEIFS(Table1[value],Table1[IndicatorCode],Table1[[#This Row],[IndicatorCode]])</f>
        <v>99.756410256410263</v>
      </c>
      <c r="I1775" cm="1">
        <f t="array" ref="I1775">_xlfn.STDEV.P(IF(Table1[IndicatorCode]=Table1[[#This Row],[IndicatorCode]],Table1[value]))</f>
        <v>1.1047979755287356</v>
      </c>
      <c r="J1775">
        <f>(Table1[[#This Row],[value]] - Table1[[#This Row],[mean]]) / Table1[[#This Row],[std_dev]]</f>
        <v>0.22048351733552002</v>
      </c>
      <c r="K1775">
        <f>AVERAGEIF(Table1[CountryCode],Table1[[#This Row],[CountryCode]],Table1[z-score])</f>
        <v>-0.55461759774946673</v>
      </c>
      <c r="L1775" t="e">
        <f>VLOOKUP(Table1[[#This Row],[CountryCode]],[1]!Table1[#All],1,FALSE)</f>
        <v>#REF!</v>
      </c>
    </row>
    <row r="1776" spans="1:12" hidden="1" x14ac:dyDescent="0.3">
      <c r="A1776" t="s">
        <v>115</v>
      </c>
      <c r="B1776" t="s">
        <v>116</v>
      </c>
      <c r="C1776" t="s">
        <v>9</v>
      </c>
      <c r="D1776" t="s">
        <v>10</v>
      </c>
      <c r="E1776">
        <v>2022</v>
      </c>
      <c r="F1776" s="1">
        <v>100</v>
      </c>
      <c r="G1776">
        <v>2000</v>
      </c>
      <c r="H1776">
        <f>AVERAGEIFS(Table1[value],Table1[IndicatorCode],Table1[[#This Row],[IndicatorCode]])</f>
        <v>99.756410256410263</v>
      </c>
      <c r="I1776" cm="1">
        <f t="array" ref="I1776">_xlfn.STDEV.P(IF(Table1[IndicatorCode]=Table1[[#This Row],[IndicatorCode]],Table1[value]))</f>
        <v>1.1047979755287356</v>
      </c>
      <c r="J1776">
        <f>(Table1[[#This Row],[value]] - Table1[[#This Row],[mean]]) / Table1[[#This Row],[std_dev]]</f>
        <v>0.22048351733552002</v>
      </c>
      <c r="K1776">
        <f>AVERAGEIF(Table1[CountryCode],Table1[[#This Row],[CountryCode]],Table1[z-score])</f>
        <v>-0.55461759774946673</v>
      </c>
      <c r="L1776" t="e">
        <f>VLOOKUP(Table1[[#This Row],[CountryCode]],[1]!Table1[#All],1,FALSE)</f>
        <v>#REF!</v>
      </c>
    </row>
    <row r="1777" spans="1:12" hidden="1" x14ac:dyDescent="0.3">
      <c r="A1777" t="s">
        <v>115</v>
      </c>
      <c r="B1777" t="s">
        <v>116</v>
      </c>
      <c r="C1777" t="s">
        <v>9</v>
      </c>
      <c r="D1777" t="s">
        <v>10</v>
      </c>
      <c r="E1777">
        <v>2023</v>
      </c>
      <c r="F1777" s="1">
        <v>100</v>
      </c>
      <c r="G1777">
        <v>2000</v>
      </c>
      <c r="H1777">
        <f>AVERAGEIFS(Table1[value],Table1[IndicatorCode],Table1[[#This Row],[IndicatorCode]])</f>
        <v>99.756410256410263</v>
      </c>
      <c r="I1777" cm="1">
        <f t="array" ref="I1777">_xlfn.STDEV.P(IF(Table1[IndicatorCode]=Table1[[#This Row],[IndicatorCode]],Table1[value]))</f>
        <v>1.1047979755287356</v>
      </c>
      <c r="J1777">
        <f>(Table1[[#This Row],[value]] - Table1[[#This Row],[mean]]) / Table1[[#This Row],[std_dev]]</f>
        <v>0.22048351733552002</v>
      </c>
      <c r="K1777">
        <f>AVERAGEIF(Table1[CountryCode],Table1[[#This Row],[CountryCode]],Table1[z-score])</f>
        <v>-0.55461759774946673</v>
      </c>
      <c r="L1777" t="e">
        <f>VLOOKUP(Table1[[#This Row],[CountryCode]],[1]!Table1[#All],1,FALSE)</f>
        <v>#REF!</v>
      </c>
    </row>
    <row r="1778" spans="1:12" hidden="1" x14ac:dyDescent="0.3">
      <c r="A1778" t="s">
        <v>117</v>
      </c>
      <c r="B1778" t="s">
        <v>118</v>
      </c>
      <c r="C1778" t="s">
        <v>9</v>
      </c>
      <c r="D1778" t="s">
        <v>10</v>
      </c>
      <c r="E1778">
        <v>2000</v>
      </c>
      <c r="F1778" s="1">
        <v>100</v>
      </c>
      <c r="G1778">
        <v>2000</v>
      </c>
      <c r="H1778">
        <f>AVERAGEIFS(Table1[value],Table1[IndicatorCode],Table1[[#This Row],[IndicatorCode]])</f>
        <v>99.756410256410263</v>
      </c>
      <c r="I1778" cm="1">
        <f t="array" ref="I1778">_xlfn.STDEV.P(IF(Table1[IndicatorCode]=Table1[[#This Row],[IndicatorCode]],Table1[value]))</f>
        <v>1.1047979755287356</v>
      </c>
      <c r="J1778">
        <f>(Table1[[#This Row],[value]] - Table1[[#This Row],[mean]]) / Table1[[#This Row],[std_dev]]</f>
        <v>0.22048351733552002</v>
      </c>
      <c r="K1778">
        <f>AVERAGEIF(Table1[CountryCode],Table1[[#This Row],[CountryCode]],Table1[z-score])</f>
        <v>-0.69917556524739866</v>
      </c>
      <c r="L1778" t="e">
        <f>VLOOKUP(Table1[[#This Row],[CountryCode]],[1]!Table1[#All],1,FALSE)</f>
        <v>#REF!</v>
      </c>
    </row>
    <row r="1779" spans="1:12" hidden="1" x14ac:dyDescent="0.3">
      <c r="A1779" t="s">
        <v>117</v>
      </c>
      <c r="B1779" t="s">
        <v>118</v>
      </c>
      <c r="C1779" t="s">
        <v>9</v>
      </c>
      <c r="D1779" t="s">
        <v>10</v>
      </c>
      <c r="E1779">
        <v>2001</v>
      </c>
      <c r="F1779" s="1">
        <v>100</v>
      </c>
      <c r="G1779">
        <v>2000</v>
      </c>
      <c r="H1779">
        <f>AVERAGEIFS(Table1[value],Table1[IndicatorCode],Table1[[#This Row],[IndicatorCode]])</f>
        <v>99.756410256410263</v>
      </c>
      <c r="I1779" cm="1">
        <f t="array" ref="I1779">_xlfn.STDEV.P(IF(Table1[IndicatorCode]=Table1[[#This Row],[IndicatorCode]],Table1[value]))</f>
        <v>1.1047979755287356</v>
      </c>
      <c r="J1779">
        <f>(Table1[[#This Row],[value]] - Table1[[#This Row],[mean]]) / Table1[[#This Row],[std_dev]]</f>
        <v>0.22048351733552002</v>
      </c>
      <c r="K1779">
        <f>AVERAGEIF(Table1[CountryCode],Table1[[#This Row],[CountryCode]],Table1[z-score])</f>
        <v>-0.69917556524739866</v>
      </c>
      <c r="L1779" t="e">
        <f>VLOOKUP(Table1[[#This Row],[CountryCode]],[1]!Table1[#All],1,FALSE)</f>
        <v>#REF!</v>
      </c>
    </row>
    <row r="1780" spans="1:12" hidden="1" x14ac:dyDescent="0.3">
      <c r="A1780" t="s">
        <v>117</v>
      </c>
      <c r="B1780" t="s">
        <v>118</v>
      </c>
      <c r="C1780" t="s">
        <v>9</v>
      </c>
      <c r="D1780" t="s">
        <v>10</v>
      </c>
      <c r="E1780">
        <v>2002</v>
      </c>
      <c r="F1780" s="1">
        <v>100</v>
      </c>
      <c r="G1780">
        <v>2000</v>
      </c>
      <c r="H1780">
        <f>AVERAGEIFS(Table1[value],Table1[IndicatorCode],Table1[[#This Row],[IndicatorCode]])</f>
        <v>99.756410256410263</v>
      </c>
      <c r="I1780" cm="1">
        <f t="array" ref="I1780">_xlfn.STDEV.P(IF(Table1[IndicatorCode]=Table1[[#This Row],[IndicatorCode]],Table1[value]))</f>
        <v>1.1047979755287356</v>
      </c>
      <c r="J1780">
        <f>(Table1[[#This Row],[value]] - Table1[[#This Row],[mean]]) / Table1[[#This Row],[std_dev]]</f>
        <v>0.22048351733552002</v>
      </c>
      <c r="K1780">
        <f>AVERAGEIF(Table1[CountryCode],Table1[[#This Row],[CountryCode]],Table1[z-score])</f>
        <v>-0.69917556524739866</v>
      </c>
      <c r="L1780" t="e">
        <f>VLOOKUP(Table1[[#This Row],[CountryCode]],[1]!Table1[#All],1,FALSE)</f>
        <v>#REF!</v>
      </c>
    </row>
    <row r="1781" spans="1:12" hidden="1" x14ac:dyDescent="0.3">
      <c r="A1781" t="s">
        <v>117</v>
      </c>
      <c r="B1781" t="s">
        <v>118</v>
      </c>
      <c r="C1781" t="s">
        <v>9</v>
      </c>
      <c r="D1781" t="s">
        <v>10</v>
      </c>
      <c r="E1781">
        <v>2003</v>
      </c>
      <c r="F1781" s="1">
        <v>100</v>
      </c>
      <c r="G1781">
        <v>2000</v>
      </c>
      <c r="H1781">
        <f>AVERAGEIFS(Table1[value],Table1[IndicatorCode],Table1[[#This Row],[IndicatorCode]])</f>
        <v>99.756410256410263</v>
      </c>
      <c r="I1781" cm="1">
        <f t="array" ref="I1781">_xlfn.STDEV.P(IF(Table1[IndicatorCode]=Table1[[#This Row],[IndicatorCode]],Table1[value]))</f>
        <v>1.1047979755287356</v>
      </c>
      <c r="J1781">
        <f>(Table1[[#This Row],[value]] - Table1[[#This Row],[mean]]) / Table1[[#This Row],[std_dev]]</f>
        <v>0.22048351733552002</v>
      </c>
      <c r="K1781">
        <f>AVERAGEIF(Table1[CountryCode],Table1[[#This Row],[CountryCode]],Table1[z-score])</f>
        <v>-0.69917556524739866</v>
      </c>
      <c r="L1781" t="e">
        <f>VLOOKUP(Table1[[#This Row],[CountryCode]],[1]!Table1[#All],1,FALSE)</f>
        <v>#REF!</v>
      </c>
    </row>
    <row r="1782" spans="1:12" hidden="1" x14ac:dyDescent="0.3">
      <c r="A1782" t="s">
        <v>117</v>
      </c>
      <c r="B1782" t="s">
        <v>118</v>
      </c>
      <c r="C1782" t="s">
        <v>9</v>
      </c>
      <c r="D1782" t="s">
        <v>10</v>
      </c>
      <c r="E1782">
        <v>2004</v>
      </c>
      <c r="F1782" s="1">
        <v>100</v>
      </c>
      <c r="G1782">
        <v>2000</v>
      </c>
      <c r="H1782">
        <f>AVERAGEIFS(Table1[value],Table1[IndicatorCode],Table1[[#This Row],[IndicatorCode]])</f>
        <v>99.756410256410263</v>
      </c>
      <c r="I1782" cm="1">
        <f t="array" ref="I1782">_xlfn.STDEV.P(IF(Table1[IndicatorCode]=Table1[[#This Row],[IndicatorCode]],Table1[value]))</f>
        <v>1.1047979755287356</v>
      </c>
      <c r="J1782">
        <f>(Table1[[#This Row],[value]] - Table1[[#This Row],[mean]]) / Table1[[#This Row],[std_dev]]</f>
        <v>0.22048351733552002</v>
      </c>
      <c r="K1782">
        <f>AVERAGEIF(Table1[CountryCode],Table1[[#This Row],[CountryCode]],Table1[z-score])</f>
        <v>-0.69917556524739866</v>
      </c>
      <c r="L1782" t="e">
        <f>VLOOKUP(Table1[[#This Row],[CountryCode]],[1]!Table1[#All],1,FALSE)</f>
        <v>#REF!</v>
      </c>
    </row>
    <row r="1783" spans="1:12" hidden="1" x14ac:dyDescent="0.3">
      <c r="A1783" t="s">
        <v>117</v>
      </c>
      <c r="B1783" t="s">
        <v>118</v>
      </c>
      <c r="C1783" t="s">
        <v>9</v>
      </c>
      <c r="D1783" t="s">
        <v>10</v>
      </c>
      <c r="E1783">
        <v>2005</v>
      </c>
      <c r="F1783" s="1">
        <v>100</v>
      </c>
      <c r="G1783">
        <v>2000</v>
      </c>
      <c r="H1783">
        <f>AVERAGEIFS(Table1[value],Table1[IndicatorCode],Table1[[#This Row],[IndicatorCode]])</f>
        <v>99.756410256410263</v>
      </c>
      <c r="I1783" cm="1">
        <f t="array" ref="I1783">_xlfn.STDEV.P(IF(Table1[IndicatorCode]=Table1[[#This Row],[IndicatorCode]],Table1[value]))</f>
        <v>1.1047979755287356</v>
      </c>
      <c r="J1783">
        <f>(Table1[[#This Row],[value]] - Table1[[#This Row],[mean]]) / Table1[[#This Row],[std_dev]]</f>
        <v>0.22048351733552002</v>
      </c>
      <c r="K1783">
        <f>AVERAGEIF(Table1[CountryCode],Table1[[#This Row],[CountryCode]],Table1[z-score])</f>
        <v>-0.69917556524739866</v>
      </c>
      <c r="L1783" t="e">
        <f>VLOOKUP(Table1[[#This Row],[CountryCode]],[1]!Table1[#All],1,FALSE)</f>
        <v>#REF!</v>
      </c>
    </row>
    <row r="1784" spans="1:12" hidden="1" x14ac:dyDescent="0.3">
      <c r="A1784" t="s">
        <v>117</v>
      </c>
      <c r="B1784" t="s">
        <v>118</v>
      </c>
      <c r="C1784" t="s">
        <v>9</v>
      </c>
      <c r="D1784" t="s">
        <v>10</v>
      </c>
      <c r="E1784">
        <v>2006</v>
      </c>
      <c r="F1784" s="1">
        <v>100</v>
      </c>
      <c r="G1784">
        <v>2000</v>
      </c>
      <c r="H1784">
        <f>AVERAGEIFS(Table1[value],Table1[IndicatorCode],Table1[[#This Row],[IndicatorCode]])</f>
        <v>99.756410256410263</v>
      </c>
      <c r="I1784" cm="1">
        <f t="array" ref="I1784">_xlfn.STDEV.P(IF(Table1[IndicatorCode]=Table1[[#This Row],[IndicatorCode]],Table1[value]))</f>
        <v>1.1047979755287356</v>
      </c>
      <c r="J1784">
        <f>(Table1[[#This Row],[value]] - Table1[[#This Row],[mean]]) / Table1[[#This Row],[std_dev]]</f>
        <v>0.22048351733552002</v>
      </c>
      <c r="K1784">
        <f>AVERAGEIF(Table1[CountryCode],Table1[[#This Row],[CountryCode]],Table1[z-score])</f>
        <v>-0.69917556524739866</v>
      </c>
      <c r="L1784" t="e">
        <f>VLOOKUP(Table1[[#This Row],[CountryCode]],[1]!Table1[#All],1,FALSE)</f>
        <v>#REF!</v>
      </c>
    </row>
    <row r="1785" spans="1:12" hidden="1" x14ac:dyDescent="0.3">
      <c r="A1785" t="s">
        <v>117</v>
      </c>
      <c r="B1785" t="s">
        <v>118</v>
      </c>
      <c r="C1785" t="s">
        <v>9</v>
      </c>
      <c r="D1785" t="s">
        <v>10</v>
      </c>
      <c r="E1785">
        <v>2007</v>
      </c>
      <c r="F1785" s="1">
        <v>100</v>
      </c>
      <c r="G1785">
        <v>2010</v>
      </c>
      <c r="H1785">
        <f>AVERAGEIFS(Table1[value],Table1[IndicatorCode],Table1[[#This Row],[IndicatorCode]])</f>
        <v>99.756410256410263</v>
      </c>
      <c r="I1785" cm="1">
        <f t="array" ref="I1785">_xlfn.STDEV.P(IF(Table1[IndicatorCode]=Table1[[#This Row],[IndicatorCode]],Table1[value]))</f>
        <v>1.1047979755287356</v>
      </c>
      <c r="J1785">
        <f>(Table1[[#This Row],[value]] - Table1[[#This Row],[mean]]) / Table1[[#This Row],[std_dev]]</f>
        <v>0.22048351733552002</v>
      </c>
      <c r="K1785">
        <f>AVERAGEIF(Table1[CountryCode],Table1[[#This Row],[CountryCode]],Table1[z-score])</f>
        <v>-0.69917556524739866</v>
      </c>
      <c r="L1785" t="e">
        <f>VLOOKUP(Table1[[#This Row],[CountryCode]],[1]!Table1[#All],1,FALSE)</f>
        <v>#REF!</v>
      </c>
    </row>
    <row r="1786" spans="1:12" hidden="1" x14ac:dyDescent="0.3">
      <c r="A1786" t="s">
        <v>117</v>
      </c>
      <c r="B1786" t="s">
        <v>118</v>
      </c>
      <c r="C1786" t="s">
        <v>9</v>
      </c>
      <c r="D1786" t="s">
        <v>10</v>
      </c>
      <c r="E1786">
        <v>2008</v>
      </c>
      <c r="F1786" s="1">
        <v>100</v>
      </c>
      <c r="G1786">
        <v>2010</v>
      </c>
      <c r="H1786">
        <f>AVERAGEIFS(Table1[value],Table1[IndicatorCode],Table1[[#This Row],[IndicatorCode]])</f>
        <v>99.756410256410263</v>
      </c>
      <c r="I1786" cm="1">
        <f t="array" ref="I1786">_xlfn.STDEV.P(IF(Table1[IndicatorCode]=Table1[[#This Row],[IndicatorCode]],Table1[value]))</f>
        <v>1.1047979755287356</v>
      </c>
      <c r="J1786">
        <f>(Table1[[#This Row],[value]] - Table1[[#This Row],[mean]]) / Table1[[#This Row],[std_dev]]</f>
        <v>0.22048351733552002</v>
      </c>
      <c r="K1786">
        <f>AVERAGEIF(Table1[CountryCode],Table1[[#This Row],[CountryCode]],Table1[z-score])</f>
        <v>-0.69917556524739866</v>
      </c>
      <c r="L1786" t="e">
        <f>VLOOKUP(Table1[[#This Row],[CountryCode]],[1]!Table1[#All],1,FALSE)</f>
        <v>#REF!</v>
      </c>
    </row>
    <row r="1787" spans="1:12" hidden="1" x14ac:dyDescent="0.3">
      <c r="A1787" t="s">
        <v>117</v>
      </c>
      <c r="B1787" t="s">
        <v>118</v>
      </c>
      <c r="C1787" t="s">
        <v>9</v>
      </c>
      <c r="D1787" t="s">
        <v>10</v>
      </c>
      <c r="E1787">
        <v>2009</v>
      </c>
      <c r="F1787" s="1">
        <v>100</v>
      </c>
      <c r="G1787">
        <v>2010</v>
      </c>
      <c r="H1787">
        <f>AVERAGEIFS(Table1[value],Table1[IndicatorCode],Table1[[#This Row],[IndicatorCode]])</f>
        <v>99.756410256410263</v>
      </c>
      <c r="I1787" cm="1">
        <f t="array" ref="I1787">_xlfn.STDEV.P(IF(Table1[IndicatorCode]=Table1[[#This Row],[IndicatorCode]],Table1[value]))</f>
        <v>1.1047979755287356</v>
      </c>
      <c r="J1787">
        <f>(Table1[[#This Row],[value]] - Table1[[#This Row],[mean]]) / Table1[[#This Row],[std_dev]]</f>
        <v>0.22048351733552002</v>
      </c>
      <c r="K1787">
        <f>AVERAGEIF(Table1[CountryCode],Table1[[#This Row],[CountryCode]],Table1[z-score])</f>
        <v>-0.69917556524739866</v>
      </c>
      <c r="L1787" t="e">
        <f>VLOOKUP(Table1[[#This Row],[CountryCode]],[1]!Table1[#All],1,FALSE)</f>
        <v>#REF!</v>
      </c>
    </row>
    <row r="1788" spans="1:12" hidden="1" x14ac:dyDescent="0.3">
      <c r="A1788" t="s">
        <v>117</v>
      </c>
      <c r="B1788" t="s">
        <v>118</v>
      </c>
      <c r="C1788" t="s">
        <v>9</v>
      </c>
      <c r="D1788" t="s">
        <v>10</v>
      </c>
      <c r="E1788">
        <v>2010</v>
      </c>
      <c r="F1788" s="1">
        <v>100</v>
      </c>
      <c r="G1788">
        <v>2010</v>
      </c>
      <c r="H1788">
        <f>AVERAGEIFS(Table1[value],Table1[IndicatorCode],Table1[[#This Row],[IndicatorCode]])</f>
        <v>99.756410256410263</v>
      </c>
      <c r="I1788" cm="1">
        <f t="array" ref="I1788">_xlfn.STDEV.P(IF(Table1[IndicatorCode]=Table1[[#This Row],[IndicatorCode]],Table1[value]))</f>
        <v>1.1047979755287356</v>
      </c>
      <c r="J1788">
        <f>(Table1[[#This Row],[value]] - Table1[[#This Row],[mean]]) / Table1[[#This Row],[std_dev]]</f>
        <v>0.22048351733552002</v>
      </c>
      <c r="K1788">
        <f>AVERAGEIF(Table1[CountryCode],Table1[[#This Row],[CountryCode]],Table1[z-score])</f>
        <v>-0.69917556524739866</v>
      </c>
      <c r="L1788" t="e">
        <f>VLOOKUP(Table1[[#This Row],[CountryCode]],[1]!Table1[#All],1,FALSE)</f>
        <v>#REF!</v>
      </c>
    </row>
    <row r="1789" spans="1:12" hidden="1" x14ac:dyDescent="0.3">
      <c r="A1789" t="s">
        <v>117</v>
      </c>
      <c r="B1789" t="s">
        <v>118</v>
      </c>
      <c r="C1789" t="s">
        <v>9</v>
      </c>
      <c r="D1789" t="s">
        <v>10</v>
      </c>
      <c r="E1789">
        <v>2011</v>
      </c>
      <c r="F1789" s="1">
        <v>100</v>
      </c>
      <c r="G1789">
        <v>2010</v>
      </c>
      <c r="H1789">
        <f>AVERAGEIFS(Table1[value],Table1[IndicatorCode],Table1[[#This Row],[IndicatorCode]])</f>
        <v>99.756410256410263</v>
      </c>
      <c r="I1789" cm="1">
        <f t="array" ref="I1789">_xlfn.STDEV.P(IF(Table1[IndicatorCode]=Table1[[#This Row],[IndicatorCode]],Table1[value]))</f>
        <v>1.1047979755287356</v>
      </c>
      <c r="J1789">
        <f>(Table1[[#This Row],[value]] - Table1[[#This Row],[mean]]) / Table1[[#This Row],[std_dev]]</f>
        <v>0.22048351733552002</v>
      </c>
      <c r="K1789">
        <f>AVERAGEIF(Table1[CountryCode],Table1[[#This Row],[CountryCode]],Table1[z-score])</f>
        <v>-0.69917556524739866</v>
      </c>
      <c r="L1789" t="e">
        <f>VLOOKUP(Table1[[#This Row],[CountryCode]],[1]!Table1[#All],1,FALSE)</f>
        <v>#REF!</v>
      </c>
    </row>
    <row r="1790" spans="1:12" hidden="1" x14ac:dyDescent="0.3">
      <c r="A1790" t="s">
        <v>117</v>
      </c>
      <c r="B1790" t="s">
        <v>118</v>
      </c>
      <c r="C1790" t="s">
        <v>9</v>
      </c>
      <c r="D1790" t="s">
        <v>10</v>
      </c>
      <c r="E1790">
        <v>2012</v>
      </c>
      <c r="F1790" s="1">
        <v>100</v>
      </c>
      <c r="G1790">
        <v>2010</v>
      </c>
      <c r="H1790">
        <f>AVERAGEIFS(Table1[value],Table1[IndicatorCode],Table1[[#This Row],[IndicatorCode]])</f>
        <v>99.756410256410263</v>
      </c>
      <c r="I1790" cm="1">
        <f t="array" ref="I1790">_xlfn.STDEV.P(IF(Table1[IndicatorCode]=Table1[[#This Row],[IndicatorCode]],Table1[value]))</f>
        <v>1.1047979755287356</v>
      </c>
      <c r="J1790">
        <f>(Table1[[#This Row],[value]] - Table1[[#This Row],[mean]]) / Table1[[#This Row],[std_dev]]</f>
        <v>0.22048351733552002</v>
      </c>
      <c r="K1790">
        <f>AVERAGEIF(Table1[CountryCode],Table1[[#This Row],[CountryCode]],Table1[z-score])</f>
        <v>-0.69917556524739866</v>
      </c>
      <c r="L1790" t="e">
        <f>VLOOKUP(Table1[[#This Row],[CountryCode]],[1]!Table1[#All],1,FALSE)</f>
        <v>#REF!</v>
      </c>
    </row>
    <row r="1791" spans="1:12" hidden="1" x14ac:dyDescent="0.3">
      <c r="A1791" t="s">
        <v>117</v>
      </c>
      <c r="B1791" t="s">
        <v>118</v>
      </c>
      <c r="C1791" t="s">
        <v>9</v>
      </c>
      <c r="D1791" t="s">
        <v>10</v>
      </c>
      <c r="E1791">
        <v>2013</v>
      </c>
      <c r="F1791" s="1">
        <v>100</v>
      </c>
      <c r="G1791">
        <v>2010</v>
      </c>
      <c r="H1791">
        <f>AVERAGEIFS(Table1[value],Table1[IndicatorCode],Table1[[#This Row],[IndicatorCode]])</f>
        <v>99.756410256410263</v>
      </c>
      <c r="I1791" cm="1">
        <f t="array" ref="I1791">_xlfn.STDEV.P(IF(Table1[IndicatorCode]=Table1[[#This Row],[IndicatorCode]],Table1[value]))</f>
        <v>1.1047979755287356</v>
      </c>
      <c r="J1791">
        <f>(Table1[[#This Row],[value]] - Table1[[#This Row],[mean]]) / Table1[[#This Row],[std_dev]]</f>
        <v>0.22048351733552002</v>
      </c>
      <c r="K1791">
        <f>AVERAGEIF(Table1[CountryCode],Table1[[#This Row],[CountryCode]],Table1[z-score])</f>
        <v>-0.69917556524739866</v>
      </c>
      <c r="L1791" t="e">
        <f>VLOOKUP(Table1[[#This Row],[CountryCode]],[1]!Table1[#All],1,FALSE)</f>
        <v>#REF!</v>
      </c>
    </row>
    <row r="1792" spans="1:12" hidden="1" x14ac:dyDescent="0.3">
      <c r="A1792" t="s">
        <v>117</v>
      </c>
      <c r="B1792" t="s">
        <v>118</v>
      </c>
      <c r="C1792" t="s">
        <v>9</v>
      </c>
      <c r="D1792" t="s">
        <v>10</v>
      </c>
      <c r="E1792">
        <v>2014</v>
      </c>
      <c r="F1792" s="1">
        <v>100</v>
      </c>
      <c r="G1792">
        <v>2010</v>
      </c>
      <c r="H1792">
        <f>AVERAGEIFS(Table1[value],Table1[IndicatorCode],Table1[[#This Row],[IndicatorCode]])</f>
        <v>99.756410256410263</v>
      </c>
      <c r="I1792" cm="1">
        <f t="array" ref="I1792">_xlfn.STDEV.P(IF(Table1[IndicatorCode]=Table1[[#This Row],[IndicatorCode]],Table1[value]))</f>
        <v>1.1047979755287356</v>
      </c>
      <c r="J1792">
        <f>(Table1[[#This Row],[value]] - Table1[[#This Row],[mean]]) / Table1[[#This Row],[std_dev]]</f>
        <v>0.22048351733552002</v>
      </c>
      <c r="K1792">
        <f>AVERAGEIF(Table1[CountryCode],Table1[[#This Row],[CountryCode]],Table1[z-score])</f>
        <v>-0.69917556524739866</v>
      </c>
      <c r="L1792" t="e">
        <f>VLOOKUP(Table1[[#This Row],[CountryCode]],[1]!Table1[#All],1,FALSE)</f>
        <v>#REF!</v>
      </c>
    </row>
    <row r="1793" spans="1:12" hidden="1" x14ac:dyDescent="0.3">
      <c r="A1793" t="s">
        <v>117</v>
      </c>
      <c r="B1793" t="s">
        <v>118</v>
      </c>
      <c r="C1793" t="s">
        <v>9</v>
      </c>
      <c r="D1793" t="s">
        <v>10</v>
      </c>
      <c r="E1793">
        <v>2015</v>
      </c>
      <c r="F1793" s="1">
        <v>100</v>
      </c>
      <c r="G1793">
        <v>2010</v>
      </c>
      <c r="H1793">
        <f>AVERAGEIFS(Table1[value],Table1[IndicatorCode],Table1[[#This Row],[IndicatorCode]])</f>
        <v>99.756410256410263</v>
      </c>
      <c r="I1793" cm="1">
        <f t="array" ref="I1793">_xlfn.STDEV.P(IF(Table1[IndicatorCode]=Table1[[#This Row],[IndicatorCode]],Table1[value]))</f>
        <v>1.1047979755287356</v>
      </c>
      <c r="J1793">
        <f>(Table1[[#This Row],[value]] - Table1[[#This Row],[mean]]) / Table1[[#This Row],[std_dev]]</f>
        <v>0.22048351733552002</v>
      </c>
      <c r="K1793">
        <f>AVERAGEIF(Table1[CountryCode],Table1[[#This Row],[CountryCode]],Table1[z-score])</f>
        <v>-0.69917556524739866</v>
      </c>
      <c r="L1793" t="e">
        <f>VLOOKUP(Table1[[#This Row],[CountryCode]],[1]!Table1[#All],1,FALSE)</f>
        <v>#REF!</v>
      </c>
    </row>
    <row r="1794" spans="1:12" hidden="1" x14ac:dyDescent="0.3">
      <c r="A1794" t="s">
        <v>117</v>
      </c>
      <c r="B1794" t="s">
        <v>118</v>
      </c>
      <c r="C1794" t="s">
        <v>9</v>
      </c>
      <c r="D1794" t="s">
        <v>10</v>
      </c>
      <c r="E1794">
        <v>2016</v>
      </c>
      <c r="F1794" s="1">
        <v>100</v>
      </c>
      <c r="G1794">
        <v>2010</v>
      </c>
      <c r="H1794">
        <f>AVERAGEIFS(Table1[value],Table1[IndicatorCode],Table1[[#This Row],[IndicatorCode]])</f>
        <v>99.756410256410263</v>
      </c>
      <c r="I1794" cm="1">
        <f t="array" ref="I1794">_xlfn.STDEV.P(IF(Table1[IndicatorCode]=Table1[[#This Row],[IndicatorCode]],Table1[value]))</f>
        <v>1.1047979755287356</v>
      </c>
      <c r="J1794">
        <f>(Table1[[#This Row],[value]] - Table1[[#This Row],[mean]]) / Table1[[#This Row],[std_dev]]</f>
        <v>0.22048351733552002</v>
      </c>
      <c r="K1794">
        <f>AVERAGEIF(Table1[CountryCode],Table1[[#This Row],[CountryCode]],Table1[z-score])</f>
        <v>-0.69917556524739866</v>
      </c>
      <c r="L1794" t="e">
        <f>VLOOKUP(Table1[[#This Row],[CountryCode]],[1]!Table1[#All],1,FALSE)</f>
        <v>#REF!</v>
      </c>
    </row>
    <row r="1795" spans="1:12" hidden="1" x14ac:dyDescent="0.3">
      <c r="A1795" t="s">
        <v>117</v>
      </c>
      <c r="B1795" t="s">
        <v>118</v>
      </c>
      <c r="C1795" t="s">
        <v>9</v>
      </c>
      <c r="D1795" t="s">
        <v>10</v>
      </c>
      <c r="E1795">
        <v>2017</v>
      </c>
      <c r="F1795" s="1">
        <v>100</v>
      </c>
      <c r="G1795">
        <v>2020</v>
      </c>
      <c r="H1795">
        <f>AVERAGEIFS(Table1[value],Table1[IndicatorCode],Table1[[#This Row],[IndicatorCode]])</f>
        <v>99.756410256410263</v>
      </c>
      <c r="I1795" cm="1">
        <f t="array" ref="I1795">_xlfn.STDEV.P(IF(Table1[IndicatorCode]=Table1[[#This Row],[IndicatorCode]],Table1[value]))</f>
        <v>1.1047979755287356</v>
      </c>
      <c r="J1795">
        <f>(Table1[[#This Row],[value]] - Table1[[#This Row],[mean]]) / Table1[[#This Row],[std_dev]]</f>
        <v>0.22048351733552002</v>
      </c>
      <c r="K1795">
        <f>AVERAGEIF(Table1[CountryCode],Table1[[#This Row],[CountryCode]],Table1[z-score])</f>
        <v>-0.69917556524739866</v>
      </c>
      <c r="L1795" t="e">
        <f>VLOOKUP(Table1[[#This Row],[CountryCode]],[1]!Table1[#All],1,FALSE)</f>
        <v>#REF!</v>
      </c>
    </row>
    <row r="1796" spans="1:12" hidden="1" x14ac:dyDescent="0.3">
      <c r="A1796" t="s">
        <v>117</v>
      </c>
      <c r="B1796" t="s">
        <v>118</v>
      </c>
      <c r="C1796" t="s">
        <v>9</v>
      </c>
      <c r="D1796" t="s">
        <v>10</v>
      </c>
      <c r="E1796">
        <v>2018</v>
      </c>
      <c r="F1796" s="1">
        <v>100</v>
      </c>
      <c r="G1796">
        <v>2020</v>
      </c>
      <c r="H1796">
        <f>AVERAGEIFS(Table1[value],Table1[IndicatorCode],Table1[[#This Row],[IndicatorCode]])</f>
        <v>99.756410256410263</v>
      </c>
      <c r="I1796" cm="1">
        <f t="array" ref="I1796">_xlfn.STDEV.P(IF(Table1[IndicatorCode]=Table1[[#This Row],[IndicatorCode]],Table1[value]))</f>
        <v>1.1047979755287356</v>
      </c>
      <c r="J1796">
        <f>(Table1[[#This Row],[value]] - Table1[[#This Row],[mean]]) / Table1[[#This Row],[std_dev]]</f>
        <v>0.22048351733552002</v>
      </c>
      <c r="K1796">
        <f>AVERAGEIF(Table1[CountryCode],Table1[[#This Row],[CountryCode]],Table1[z-score])</f>
        <v>-0.69917556524739866</v>
      </c>
      <c r="L1796" t="e">
        <f>VLOOKUP(Table1[[#This Row],[CountryCode]],[1]!Table1[#All],1,FALSE)</f>
        <v>#REF!</v>
      </c>
    </row>
    <row r="1797" spans="1:12" hidden="1" x14ac:dyDescent="0.3">
      <c r="A1797" t="s">
        <v>117</v>
      </c>
      <c r="B1797" t="s">
        <v>118</v>
      </c>
      <c r="C1797" t="s">
        <v>9</v>
      </c>
      <c r="D1797" t="s">
        <v>10</v>
      </c>
      <c r="E1797">
        <v>2019</v>
      </c>
      <c r="F1797" s="1">
        <v>100</v>
      </c>
      <c r="G1797">
        <v>2020</v>
      </c>
      <c r="H1797">
        <f>AVERAGEIFS(Table1[value],Table1[IndicatorCode],Table1[[#This Row],[IndicatorCode]])</f>
        <v>99.756410256410263</v>
      </c>
      <c r="I1797" cm="1">
        <f t="array" ref="I1797">_xlfn.STDEV.P(IF(Table1[IndicatorCode]=Table1[[#This Row],[IndicatorCode]],Table1[value]))</f>
        <v>1.1047979755287356</v>
      </c>
      <c r="J1797">
        <f>(Table1[[#This Row],[value]] - Table1[[#This Row],[mean]]) / Table1[[#This Row],[std_dev]]</f>
        <v>0.22048351733552002</v>
      </c>
      <c r="K1797">
        <f>AVERAGEIF(Table1[CountryCode],Table1[[#This Row],[CountryCode]],Table1[z-score])</f>
        <v>-0.69917556524739866</v>
      </c>
      <c r="L1797" t="e">
        <f>VLOOKUP(Table1[[#This Row],[CountryCode]],[1]!Table1[#All],1,FALSE)</f>
        <v>#REF!</v>
      </c>
    </row>
    <row r="1798" spans="1:12" x14ac:dyDescent="0.3">
      <c r="A1798" t="s">
        <v>117</v>
      </c>
      <c r="B1798" t="s">
        <v>118</v>
      </c>
      <c r="C1798" t="s">
        <v>9</v>
      </c>
      <c r="D1798" t="s">
        <v>10</v>
      </c>
      <c r="E1798">
        <v>2020</v>
      </c>
      <c r="F1798" s="1">
        <v>100</v>
      </c>
      <c r="G1798">
        <v>2020</v>
      </c>
      <c r="H1798">
        <f>AVERAGEIFS(Table1[value],Table1[IndicatorCode],Table1[[#This Row],[IndicatorCode]])</f>
        <v>99.756410256410263</v>
      </c>
      <c r="I1798" cm="1">
        <f t="array" ref="I1798">_xlfn.STDEV.P(IF(Table1[IndicatorCode]=Table1[[#This Row],[IndicatorCode]],Table1[value]))</f>
        <v>1.1047979755287356</v>
      </c>
      <c r="J1798">
        <f>(Table1[[#This Row],[value]] - Table1[[#This Row],[mean]]) / Table1[[#This Row],[std_dev]]</f>
        <v>0.22048351733552002</v>
      </c>
      <c r="K1798">
        <f>AVERAGEIF(Table1[CountryCode],Table1[[#This Row],[CountryCode]],Table1[z-score])</f>
        <v>-0.69917556524739866</v>
      </c>
    </row>
    <row r="1799" spans="1:12" hidden="1" x14ac:dyDescent="0.3">
      <c r="A1799" t="s">
        <v>117</v>
      </c>
      <c r="B1799" t="s">
        <v>118</v>
      </c>
      <c r="C1799" t="s">
        <v>9</v>
      </c>
      <c r="D1799" t="s">
        <v>10</v>
      </c>
      <c r="E1799">
        <v>2021</v>
      </c>
      <c r="F1799" s="1">
        <v>100</v>
      </c>
      <c r="G1799">
        <v>1990</v>
      </c>
      <c r="H1799">
        <f>AVERAGEIFS(Table1[value],Table1[IndicatorCode],Table1[[#This Row],[IndicatorCode]])</f>
        <v>99.756410256410263</v>
      </c>
      <c r="I1799" cm="1">
        <f t="array" ref="I1799">_xlfn.STDEV.P(IF(Table1[IndicatorCode]=Table1[[#This Row],[IndicatorCode]],Table1[value]))</f>
        <v>1.1047979755287356</v>
      </c>
      <c r="J1799">
        <f>(Table1[[#This Row],[value]] - Table1[[#This Row],[mean]]) / Table1[[#This Row],[std_dev]]</f>
        <v>0.22048351733552002</v>
      </c>
      <c r="K1799">
        <f>AVERAGEIF(Table1[CountryCode],Table1[[#This Row],[CountryCode]],Table1[z-score])</f>
        <v>-0.69917556524739866</v>
      </c>
      <c r="L1799" t="e">
        <f>VLOOKUP(Table1[[#This Row],[CountryCode]],[1]!Table1[#All],1,FALSE)</f>
        <v>#REF!</v>
      </c>
    </row>
    <row r="1800" spans="1:12" hidden="1" x14ac:dyDescent="0.3">
      <c r="A1800" t="s">
        <v>117</v>
      </c>
      <c r="B1800" t="s">
        <v>118</v>
      </c>
      <c r="C1800" t="s">
        <v>9</v>
      </c>
      <c r="D1800" t="s">
        <v>10</v>
      </c>
      <c r="E1800">
        <v>2022</v>
      </c>
      <c r="F1800" s="1">
        <v>100</v>
      </c>
      <c r="G1800">
        <v>1990</v>
      </c>
      <c r="H1800">
        <f>AVERAGEIFS(Table1[value],Table1[IndicatorCode],Table1[[#This Row],[IndicatorCode]])</f>
        <v>99.756410256410263</v>
      </c>
      <c r="I1800" cm="1">
        <f t="array" ref="I1800">_xlfn.STDEV.P(IF(Table1[IndicatorCode]=Table1[[#This Row],[IndicatorCode]],Table1[value]))</f>
        <v>1.1047979755287356</v>
      </c>
      <c r="J1800">
        <f>(Table1[[#This Row],[value]] - Table1[[#This Row],[mean]]) / Table1[[#This Row],[std_dev]]</f>
        <v>0.22048351733552002</v>
      </c>
      <c r="K1800">
        <f>AVERAGEIF(Table1[CountryCode],Table1[[#This Row],[CountryCode]],Table1[z-score])</f>
        <v>-0.69917556524739866</v>
      </c>
      <c r="L1800" t="e">
        <f>VLOOKUP(Table1[[#This Row],[CountryCode]],[1]!Table1[#All],1,FALSE)</f>
        <v>#REF!</v>
      </c>
    </row>
    <row r="1801" spans="1:12" hidden="1" x14ac:dyDescent="0.3">
      <c r="A1801" t="s">
        <v>117</v>
      </c>
      <c r="B1801" t="s">
        <v>118</v>
      </c>
      <c r="C1801" t="s">
        <v>9</v>
      </c>
      <c r="D1801" t="s">
        <v>10</v>
      </c>
      <c r="E1801">
        <v>2023</v>
      </c>
      <c r="F1801" s="1">
        <v>100</v>
      </c>
      <c r="G1801">
        <v>1990</v>
      </c>
      <c r="H1801">
        <f>AVERAGEIFS(Table1[value],Table1[IndicatorCode],Table1[[#This Row],[IndicatorCode]])</f>
        <v>99.756410256410263</v>
      </c>
      <c r="I1801" cm="1">
        <f t="array" ref="I1801">_xlfn.STDEV.P(IF(Table1[IndicatorCode]=Table1[[#This Row],[IndicatorCode]],Table1[value]))</f>
        <v>1.1047979755287356</v>
      </c>
      <c r="J1801">
        <f>(Table1[[#This Row],[value]] - Table1[[#This Row],[mean]]) / Table1[[#This Row],[std_dev]]</f>
        <v>0.22048351733552002</v>
      </c>
      <c r="K1801">
        <f>AVERAGEIF(Table1[CountryCode],Table1[[#This Row],[CountryCode]],Table1[z-score])</f>
        <v>-0.69917556524739866</v>
      </c>
      <c r="L1801" t="e">
        <f>VLOOKUP(Table1[[#This Row],[CountryCode]],[1]!Table1[#All],1,FALSE)</f>
        <v>#REF!</v>
      </c>
    </row>
    <row r="1802" spans="1:12" hidden="1" x14ac:dyDescent="0.3">
      <c r="A1802" t="s">
        <v>119</v>
      </c>
      <c r="B1802" t="s">
        <v>120</v>
      </c>
      <c r="C1802" t="s">
        <v>9</v>
      </c>
      <c r="D1802" t="s">
        <v>10</v>
      </c>
      <c r="E1802">
        <v>1990</v>
      </c>
      <c r="F1802" s="1">
        <v>100</v>
      </c>
      <c r="G1802">
        <v>1990</v>
      </c>
      <c r="H1802">
        <f>AVERAGEIFS(Table1[value],Table1[IndicatorCode],Table1[[#This Row],[IndicatorCode]])</f>
        <v>99.756410256410263</v>
      </c>
      <c r="I1802" cm="1">
        <f t="array" ref="I1802">_xlfn.STDEV.P(IF(Table1[IndicatorCode]=Table1[[#This Row],[IndicatorCode]],Table1[value]))</f>
        <v>1.1047979755287356</v>
      </c>
      <c r="J1802">
        <f>(Table1[[#This Row],[value]] - Table1[[#This Row],[mean]]) / Table1[[#This Row],[std_dev]]</f>
        <v>0.22048351733552002</v>
      </c>
      <c r="K1802">
        <f>AVERAGEIF(Table1[CountryCode],Table1[[#This Row],[CountryCode]],Table1[z-score])</f>
        <v>-0.21176470411950787</v>
      </c>
      <c r="L1802" t="e">
        <f>VLOOKUP(Table1[[#This Row],[CountryCode]],[1]!Table1[#All],1,FALSE)</f>
        <v>#REF!</v>
      </c>
    </row>
    <row r="1803" spans="1:12" hidden="1" x14ac:dyDescent="0.3">
      <c r="A1803" t="s">
        <v>119</v>
      </c>
      <c r="B1803" t="s">
        <v>120</v>
      </c>
      <c r="C1803" t="s">
        <v>9</v>
      </c>
      <c r="D1803" t="s">
        <v>10</v>
      </c>
      <c r="E1803">
        <v>1991</v>
      </c>
      <c r="F1803" s="1">
        <v>100</v>
      </c>
      <c r="G1803">
        <v>1990</v>
      </c>
      <c r="H1803">
        <f>AVERAGEIFS(Table1[value],Table1[IndicatorCode],Table1[[#This Row],[IndicatorCode]])</f>
        <v>99.756410256410263</v>
      </c>
      <c r="I1803" cm="1">
        <f t="array" ref="I1803">_xlfn.STDEV.P(IF(Table1[IndicatorCode]=Table1[[#This Row],[IndicatorCode]],Table1[value]))</f>
        <v>1.1047979755287356</v>
      </c>
      <c r="J1803">
        <f>(Table1[[#This Row],[value]] - Table1[[#This Row],[mean]]) / Table1[[#This Row],[std_dev]]</f>
        <v>0.22048351733552002</v>
      </c>
      <c r="K1803">
        <f>AVERAGEIF(Table1[CountryCode],Table1[[#This Row],[CountryCode]],Table1[z-score])</f>
        <v>-0.21176470411950787</v>
      </c>
      <c r="L1803" t="e">
        <f>VLOOKUP(Table1[[#This Row],[CountryCode]],[1]!Table1[#All],1,FALSE)</f>
        <v>#REF!</v>
      </c>
    </row>
    <row r="1804" spans="1:12" hidden="1" x14ac:dyDescent="0.3">
      <c r="A1804" t="s">
        <v>119</v>
      </c>
      <c r="B1804" t="s">
        <v>120</v>
      </c>
      <c r="C1804" t="s">
        <v>9</v>
      </c>
      <c r="D1804" t="s">
        <v>10</v>
      </c>
      <c r="E1804">
        <v>1992</v>
      </c>
      <c r="F1804" s="1">
        <v>100</v>
      </c>
      <c r="G1804">
        <v>1990</v>
      </c>
      <c r="H1804">
        <f>AVERAGEIFS(Table1[value],Table1[IndicatorCode],Table1[[#This Row],[IndicatorCode]])</f>
        <v>99.756410256410263</v>
      </c>
      <c r="I1804" cm="1">
        <f t="array" ref="I1804">_xlfn.STDEV.P(IF(Table1[IndicatorCode]=Table1[[#This Row],[IndicatorCode]],Table1[value]))</f>
        <v>1.1047979755287356</v>
      </c>
      <c r="J1804">
        <f>(Table1[[#This Row],[value]] - Table1[[#This Row],[mean]]) / Table1[[#This Row],[std_dev]]</f>
        <v>0.22048351733552002</v>
      </c>
      <c r="K1804">
        <f>AVERAGEIF(Table1[CountryCode],Table1[[#This Row],[CountryCode]],Table1[z-score])</f>
        <v>-0.21176470411950787</v>
      </c>
      <c r="L1804" t="e">
        <f>VLOOKUP(Table1[[#This Row],[CountryCode]],[1]!Table1[#All],1,FALSE)</f>
        <v>#REF!</v>
      </c>
    </row>
    <row r="1805" spans="1:12" hidden="1" x14ac:dyDescent="0.3">
      <c r="A1805" t="s">
        <v>119</v>
      </c>
      <c r="B1805" t="s">
        <v>120</v>
      </c>
      <c r="C1805" t="s">
        <v>9</v>
      </c>
      <c r="D1805" t="s">
        <v>10</v>
      </c>
      <c r="E1805">
        <v>1993</v>
      </c>
      <c r="F1805" s="1">
        <v>100</v>
      </c>
      <c r="G1805">
        <v>1990</v>
      </c>
      <c r="H1805">
        <f>AVERAGEIFS(Table1[value],Table1[IndicatorCode],Table1[[#This Row],[IndicatorCode]])</f>
        <v>99.756410256410263</v>
      </c>
      <c r="I1805" cm="1">
        <f t="array" ref="I1805">_xlfn.STDEV.P(IF(Table1[IndicatorCode]=Table1[[#This Row],[IndicatorCode]],Table1[value]))</f>
        <v>1.1047979755287356</v>
      </c>
      <c r="J1805">
        <f>(Table1[[#This Row],[value]] - Table1[[#This Row],[mean]]) / Table1[[#This Row],[std_dev]]</f>
        <v>0.22048351733552002</v>
      </c>
      <c r="K1805">
        <f>AVERAGEIF(Table1[CountryCode],Table1[[#This Row],[CountryCode]],Table1[z-score])</f>
        <v>-0.21176470411950787</v>
      </c>
      <c r="L1805" t="e">
        <f>VLOOKUP(Table1[[#This Row],[CountryCode]],[1]!Table1[#All],1,FALSE)</f>
        <v>#REF!</v>
      </c>
    </row>
    <row r="1806" spans="1:12" hidden="1" x14ac:dyDescent="0.3">
      <c r="A1806" t="s">
        <v>119</v>
      </c>
      <c r="B1806" t="s">
        <v>120</v>
      </c>
      <c r="C1806" t="s">
        <v>9</v>
      </c>
      <c r="D1806" t="s">
        <v>10</v>
      </c>
      <c r="E1806">
        <v>1994</v>
      </c>
      <c r="F1806" s="1">
        <v>100</v>
      </c>
      <c r="G1806">
        <v>1990</v>
      </c>
      <c r="H1806">
        <f>AVERAGEIFS(Table1[value],Table1[IndicatorCode],Table1[[#This Row],[IndicatorCode]])</f>
        <v>99.756410256410263</v>
      </c>
      <c r="I1806" cm="1">
        <f t="array" ref="I1806">_xlfn.STDEV.P(IF(Table1[IndicatorCode]=Table1[[#This Row],[IndicatorCode]],Table1[value]))</f>
        <v>1.1047979755287356</v>
      </c>
      <c r="J1806">
        <f>(Table1[[#This Row],[value]] - Table1[[#This Row],[mean]]) / Table1[[#This Row],[std_dev]]</f>
        <v>0.22048351733552002</v>
      </c>
      <c r="K1806">
        <f>AVERAGEIF(Table1[CountryCode],Table1[[#This Row],[CountryCode]],Table1[z-score])</f>
        <v>-0.21176470411950787</v>
      </c>
      <c r="L1806" t="e">
        <f>VLOOKUP(Table1[[#This Row],[CountryCode]],[1]!Table1[#All],1,FALSE)</f>
        <v>#REF!</v>
      </c>
    </row>
    <row r="1807" spans="1:12" hidden="1" x14ac:dyDescent="0.3">
      <c r="A1807" t="s">
        <v>119</v>
      </c>
      <c r="B1807" t="s">
        <v>120</v>
      </c>
      <c r="C1807" t="s">
        <v>9</v>
      </c>
      <c r="D1807" t="s">
        <v>10</v>
      </c>
      <c r="E1807">
        <v>1995</v>
      </c>
      <c r="F1807" s="1">
        <v>100</v>
      </c>
      <c r="G1807">
        <v>1990</v>
      </c>
      <c r="H1807">
        <f>AVERAGEIFS(Table1[value],Table1[IndicatorCode],Table1[[#This Row],[IndicatorCode]])</f>
        <v>99.756410256410263</v>
      </c>
      <c r="I1807" cm="1">
        <f t="array" ref="I1807">_xlfn.STDEV.P(IF(Table1[IndicatorCode]=Table1[[#This Row],[IndicatorCode]],Table1[value]))</f>
        <v>1.1047979755287356</v>
      </c>
      <c r="J1807">
        <f>(Table1[[#This Row],[value]] - Table1[[#This Row],[mean]]) / Table1[[#This Row],[std_dev]]</f>
        <v>0.22048351733552002</v>
      </c>
      <c r="K1807">
        <f>AVERAGEIF(Table1[CountryCode],Table1[[#This Row],[CountryCode]],Table1[z-score])</f>
        <v>-0.21176470411950787</v>
      </c>
      <c r="L1807" t="e">
        <f>VLOOKUP(Table1[[#This Row],[CountryCode]],[1]!Table1[#All],1,FALSE)</f>
        <v>#REF!</v>
      </c>
    </row>
    <row r="1808" spans="1:12" hidden="1" x14ac:dyDescent="0.3">
      <c r="A1808" t="s">
        <v>119</v>
      </c>
      <c r="B1808" t="s">
        <v>120</v>
      </c>
      <c r="C1808" t="s">
        <v>9</v>
      </c>
      <c r="D1808" t="s">
        <v>10</v>
      </c>
      <c r="E1808">
        <v>1996</v>
      </c>
      <c r="F1808" s="1">
        <v>100</v>
      </c>
      <c r="G1808">
        <v>1990</v>
      </c>
      <c r="H1808">
        <f>AVERAGEIFS(Table1[value],Table1[IndicatorCode],Table1[[#This Row],[IndicatorCode]])</f>
        <v>99.756410256410263</v>
      </c>
      <c r="I1808" cm="1">
        <f t="array" ref="I1808">_xlfn.STDEV.P(IF(Table1[IndicatorCode]=Table1[[#This Row],[IndicatorCode]],Table1[value]))</f>
        <v>1.1047979755287356</v>
      </c>
      <c r="J1808">
        <f>(Table1[[#This Row],[value]] - Table1[[#This Row],[mean]]) / Table1[[#This Row],[std_dev]]</f>
        <v>0.22048351733552002</v>
      </c>
      <c r="K1808">
        <f>AVERAGEIF(Table1[CountryCode],Table1[[#This Row],[CountryCode]],Table1[z-score])</f>
        <v>-0.21176470411950787</v>
      </c>
      <c r="L1808" t="e">
        <f>VLOOKUP(Table1[[#This Row],[CountryCode]],[1]!Table1[#All],1,FALSE)</f>
        <v>#REF!</v>
      </c>
    </row>
    <row r="1809" spans="1:12" hidden="1" x14ac:dyDescent="0.3">
      <c r="A1809" t="s">
        <v>119</v>
      </c>
      <c r="B1809" t="s">
        <v>120</v>
      </c>
      <c r="C1809" t="s">
        <v>9</v>
      </c>
      <c r="D1809" t="s">
        <v>10</v>
      </c>
      <c r="E1809">
        <v>1997</v>
      </c>
      <c r="F1809" s="1">
        <v>100</v>
      </c>
      <c r="G1809">
        <v>2000</v>
      </c>
      <c r="H1809">
        <f>AVERAGEIFS(Table1[value],Table1[IndicatorCode],Table1[[#This Row],[IndicatorCode]])</f>
        <v>99.756410256410263</v>
      </c>
      <c r="I1809" cm="1">
        <f t="array" ref="I1809">_xlfn.STDEV.P(IF(Table1[IndicatorCode]=Table1[[#This Row],[IndicatorCode]],Table1[value]))</f>
        <v>1.1047979755287356</v>
      </c>
      <c r="J1809">
        <f>(Table1[[#This Row],[value]] - Table1[[#This Row],[mean]]) / Table1[[#This Row],[std_dev]]</f>
        <v>0.22048351733552002</v>
      </c>
      <c r="K1809">
        <f>AVERAGEIF(Table1[CountryCode],Table1[[#This Row],[CountryCode]],Table1[z-score])</f>
        <v>-0.21176470411950787</v>
      </c>
      <c r="L1809" t="e">
        <f>VLOOKUP(Table1[[#This Row],[CountryCode]],[1]!Table1[#All],1,FALSE)</f>
        <v>#REF!</v>
      </c>
    </row>
    <row r="1810" spans="1:12" hidden="1" x14ac:dyDescent="0.3">
      <c r="A1810" t="s">
        <v>119</v>
      </c>
      <c r="B1810" t="s">
        <v>120</v>
      </c>
      <c r="C1810" t="s">
        <v>9</v>
      </c>
      <c r="D1810" t="s">
        <v>10</v>
      </c>
      <c r="E1810">
        <v>1998</v>
      </c>
      <c r="F1810" s="1">
        <v>100</v>
      </c>
      <c r="G1810">
        <v>2000</v>
      </c>
      <c r="H1810">
        <f>AVERAGEIFS(Table1[value],Table1[IndicatorCode],Table1[[#This Row],[IndicatorCode]])</f>
        <v>99.756410256410263</v>
      </c>
      <c r="I1810" cm="1">
        <f t="array" ref="I1810">_xlfn.STDEV.P(IF(Table1[IndicatorCode]=Table1[[#This Row],[IndicatorCode]],Table1[value]))</f>
        <v>1.1047979755287356</v>
      </c>
      <c r="J1810">
        <f>(Table1[[#This Row],[value]] - Table1[[#This Row],[mean]]) / Table1[[#This Row],[std_dev]]</f>
        <v>0.22048351733552002</v>
      </c>
      <c r="K1810">
        <f>AVERAGEIF(Table1[CountryCode],Table1[[#This Row],[CountryCode]],Table1[z-score])</f>
        <v>-0.21176470411950787</v>
      </c>
      <c r="L1810" t="e">
        <f>VLOOKUP(Table1[[#This Row],[CountryCode]],[1]!Table1[#All],1,FALSE)</f>
        <v>#REF!</v>
      </c>
    </row>
    <row r="1811" spans="1:12" hidden="1" x14ac:dyDescent="0.3">
      <c r="A1811" t="s">
        <v>119</v>
      </c>
      <c r="B1811" t="s">
        <v>120</v>
      </c>
      <c r="C1811" t="s">
        <v>9</v>
      </c>
      <c r="D1811" t="s">
        <v>10</v>
      </c>
      <c r="E1811">
        <v>1999</v>
      </c>
      <c r="F1811" s="1">
        <v>100</v>
      </c>
      <c r="G1811">
        <v>2000</v>
      </c>
      <c r="H1811">
        <f>AVERAGEIFS(Table1[value],Table1[IndicatorCode],Table1[[#This Row],[IndicatorCode]])</f>
        <v>99.756410256410263</v>
      </c>
      <c r="I1811" cm="1">
        <f t="array" ref="I1811">_xlfn.STDEV.P(IF(Table1[IndicatorCode]=Table1[[#This Row],[IndicatorCode]],Table1[value]))</f>
        <v>1.1047979755287356</v>
      </c>
      <c r="J1811">
        <f>(Table1[[#This Row],[value]] - Table1[[#This Row],[mean]]) / Table1[[#This Row],[std_dev]]</f>
        <v>0.22048351733552002</v>
      </c>
      <c r="K1811">
        <f>AVERAGEIF(Table1[CountryCode],Table1[[#This Row],[CountryCode]],Table1[z-score])</f>
        <v>-0.21176470411950787</v>
      </c>
      <c r="L1811" t="e">
        <f>VLOOKUP(Table1[[#This Row],[CountryCode]],[1]!Table1[#All],1,FALSE)</f>
        <v>#REF!</v>
      </c>
    </row>
    <row r="1812" spans="1:12" hidden="1" x14ac:dyDescent="0.3">
      <c r="A1812" t="s">
        <v>119</v>
      </c>
      <c r="B1812" t="s">
        <v>120</v>
      </c>
      <c r="C1812" t="s">
        <v>9</v>
      </c>
      <c r="D1812" t="s">
        <v>10</v>
      </c>
      <c r="E1812">
        <v>2000</v>
      </c>
      <c r="F1812" s="1">
        <v>99</v>
      </c>
      <c r="G1812">
        <v>2000</v>
      </c>
      <c r="H1812">
        <f>AVERAGEIFS(Table1[value],Table1[IndicatorCode],Table1[[#This Row],[IndicatorCode]])</f>
        <v>99.756410256410263</v>
      </c>
      <c r="I1812" cm="1">
        <f t="array" ref="I1812">_xlfn.STDEV.P(IF(Table1[IndicatorCode]=Table1[[#This Row],[IndicatorCode]],Table1[value]))</f>
        <v>1.1047979755287356</v>
      </c>
      <c r="J1812">
        <f>(Table1[[#This Row],[value]] - Table1[[#This Row],[mean]]) / Table1[[#This Row],[std_dev]]</f>
        <v>-0.68465934330505884</v>
      </c>
      <c r="K1812">
        <f>AVERAGEIF(Table1[CountryCode],Table1[[#This Row],[CountryCode]],Table1[z-score])</f>
        <v>-0.21176470411950787</v>
      </c>
      <c r="L1812" t="e">
        <f>VLOOKUP(Table1[[#This Row],[CountryCode]],[1]!Table1[#All],1,FALSE)</f>
        <v>#REF!</v>
      </c>
    </row>
    <row r="1813" spans="1:12" hidden="1" x14ac:dyDescent="0.3">
      <c r="A1813" t="s">
        <v>119</v>
      </c>
      <c r="B1813" t="s">
        <v>120</v>
      </c>
      <c r="C1813" t="s">
        <v>9</v>
      </c>
      <c r="D1813" t="s">
        <v>10</v>
      </c>
      <c r="E1813">
        <v>2001</v>
      </c>
      <c r="F1813" s="1">
        <v>99</v>
      </c>
      <c r="G1813">
        <v>2000</v>
      </c>
      <c r="H1813">
        <f>AVERAGEIFS(Table1[value],Table1[IndicatorCode],Table1[[#This Row],[IndicatorCode]])</f>
        <v>99.756410256410263</v>
      </c>
      <c r="I1813" cm="1">
        <f t="array" ref="I1813">_xlfn.STDEV.P(IF(Table1[IndicatorCode]=Table1[[#This Row],[IndicatorCode]],Table1[value]))</f>
        <v>1.1047979755287356</v>
      </c>
      <c r="J1813">
        <f>(Table1[[#This Row],[value]] - Table1[[#This Row],[mean]]) / Table1[[#This Row],[std_dev]]</f>
        <v>-0.68465934330505884</v>
      </c>
      <c r="K1813">
        <f>AVERAGEIF(Table1[CountryCode],Table1[[#This Row],[CountryCode]],Table1[z-score])</f>
        <v>-0.21176470411950787</v>
      </c>
      <c r="L1813" t="e">
        <f>VLOOKUP(Table1[[#This Row],[CountryCode]],[1]!Table1[#All],1,FALSE)</f>
        <v>#REF!</v>
      </c>
    </row>
    <row r="1814" spans="1:12" hidden="1" x14ac:dyDescent="0.3">
      <c r="A1814" t="s">
        <v>119</v>
      </c>
      <c r="B1814" t="s">
        <v>120</v>
      </c>
      <c r="C1814" t="s">
        <v>9</v>
      </c>
      <c r="D1814" t="s">
        <v>10</v>
      </c>
      <c r="E1814">
        <v>2002</v>
      </c>
      <c r="F1814" s="1">
        <v>99</v>
      </c>
      <c r="G1814">
        <v>2000</v>
      </c>
      <c r="H1814">
        <f>AVERAGEIFS(Table1[value],Table1[IndicatorCode],Table1[[#This Row],[IndicatorCode]])</f>
        <v>99.756410256410263</v>
      </c>
      <c r="I1814" cm="1">
        <f t="array" ref="I1814">_xlfn.STDEV.P(IF(Table1[IndicatorCode]=Table1[[#This Row],[IndicatorCode]],Table1[value]))</f>
        <v>1.1047979755287356</v>
      </c>
      <c r="J1814">
        <f>(Table1[[#This Row],[value]] - Table1[[#This Row],[mean]]) / Table1[[#This Row],[std_dev]]</f>
        <v>-0.68465934330505884</v>
      </c>
      <c r="K1814">
        <f>AVERAGEIF(Table1[CountryCode],Table1[[#This Row],[CountryCode]],Table1[z-score])</f>
        <v>-0.21176470411950787</v>
      </c>
      <c r="L1814" t="e">
        <f>VLOOKUP(Table1[[#This Row],[CountryCode]],[1]!Table1[#All],1,FALSE)</f>
        <v>#REF!</v>
      </c>
    </row>
    <row r="1815" spans="1:12" hidden="1" x14ac:dyDescent="0.3">
      <c r="A1815" t="s">
        <v>119</v>
      </c>
      <c r="B1815" t="s">
        <v>120</v>
      </c>
      <c r="C1815" t="s">
        <v>9</v>
      </c>
      <c r="D1815" t="s">
        <v>10</v>
      </c>
      <c r="E1815">
        <v>2003</v>
      </c>
      <c r="F1815" s="1">
        <v>99</v>
      </c>
      <c r="G1815">
        <v>2000</v>
      </c>
      <c r="H1815">
        <f>AVERAGEIFS(Table1[value],Table1[IndicatorCode],Table1[[#This Row],[IndicatorCode]])</f>
        <v>99.756410256410263</v>
      </c>
      <c r="I1815" cm="1">
        <f t="array" ref="I1815">_xlfn.STDEV.P(IF(Table1[IndicatorCode]=Table1[[#This Row],[IndicatorCode]],Table1[value]))</f>
        <v>1.1047979755287356</v>
      </c>
      <c r="J1815">
        <f>(Table1[[#This Row],[value]] - Table1[[#This Row],[mean]]) / Table1[[#This Row],[std_dev]]</f>
        <v>-0.68465934330505884</v>
      </c>
      <c r="K1815">
        <f>AVERAGEIF(Table1[CountryCode],Table1[[#This Row],[CountryCode]],Table1[z-score])</f>
        <v>-0.21176470411950787</v>
      </c>
      <c r="L1815" t="e">
        <f>VLOOKUP(Table1[[#This Row],[CountryCode]],[1]!Table1[#All],1,FALSE)</f>
        <v>#REF!</v>
      </c>
    </row>
    <row r="1816" spans="1:12" hidden="1" x14ac:dyDescent="0.3">
      <c r="A1816" t="s">
        <v>119</v>
      </c>
      <c r="B1816" t="s">
        <v>120</v>
      </c>
      <c r="C1816" t="s">
        <v>9</v>
      </c>
      <c r="D1816" t="s">
        <v>10</v>
      </c>
      <c r="E1816">
        <v>2004</v>
      </c>
      <c r="F1816" s="1">
        <v>99</v>
      </c>
      <c r="G1816">
        <v>2000</v>
      </c>
      <c r="H1816">
        <f>AVERAGEIFS(Table1[value],Table1[IndicatorCode],Table1[[#This Row],[IndicatorCode]])</f>
        <v>99.756410256410263</v>
      </c>
      <c r="I1816" cm="1">
        <f t="array" ref="I1816">_xlfn.STDEV.P(IF(Table1[IndicatorCode]=Table1[[#This Row],[IndicatorCode]],Table1[value]))</f>
        <v>1.1047979755287356</v>
      </c>
      <c r="J1816">
        <f>(Table1[[#This Row],[value]] - Table1[[#This Row],[mean]]) / Table1[[#This Row],[std_dev]]</f>
        <v>-0.68465934330505884</v>
      </c>
      <c r="K1816">
        <f>AVERAGEIF(Table1[CountryCode],Table1[[#This Row],[CountryCode]],Table1[z-score])</f>
        <v>-0.21176470411950787</v>
      </c>
      <c r="L1816" t="e">
        <f>VLOOKUP(Table1[[#This Row],[CountryCode]],[1]!Table1[#All],1,FALSE)</f>
        <v>#REF!</v>
      </c>
    </row>
    <row r="1817" spans="1:12" hidden="1" x14ac:dyDescent="0.3">
      <c r="A1817" t="s">
        <v>119</v>
      </c>
      <c r="B1817" t="s">
        <v>120</v>
      </c>
      <c r="C1817" t="s">
        <v>9</v>
      </c>
      <c r="D1817" t="s">
        <v>10</v>
      </c>
      <c r="E1817">
        <v>2005</v>
      </c>
      <c r="F1817" s="1">
        <v>100</v>
      </c>
      <c r="G1817">
        <v>2000</v>
      </c>
      <c r="H1817">
        <f>AVERAGEIFS(Table1[value],Table1[IndicatorCode],Table1[[#This Row],[IndicatorCode]])</f>
        <v>99.756410256410263</v>
      </c>
      <c r="I1817" cm="1">
        <f t="array" ref="I1817">_xlfn.STDEV.P(IF(Table1[IndicatorCode]=Table1[[#This Row],[IndicatorCode]],Table1[value]))</f>
        <v>1.1047979755287356</v>
      </c>
      <c r="J1817">
        <f>(Table1[[#This Row],[value]] - Table1[[#This Row],[mean]]) / Table1[[#This Row],[std_dev]]</f>
        <v>0.22048351733552002</v>
      </c>
      <c r="K1817">
        <f>AVERAGEIF(Table1[CountryCode],Table1[[#This Row],[CountryCode]],Table1[z-score])</f>
        <v>-0.21176470411950787</v>
      </c>
      <c r="L1817" t="e">
        <f>VLOOKUP(Table1[[#This Row],[CountryCode]],[1]!Table1[#All],1,FALSE)</f>
        <v>#REF!</v>
      </c>
    </row>
    <row r="1818" spans="1:12" hidden="1" x14ac:dyDescent="0.3">
      <c r="A1818" t="s">
        <v>119</v>
      </c>
      <c r="B1818" t="s">
        <v>120</v>
      </c>
      <c r="C1818" t="s">
        <v>9</v>
      </c>
      <c r="D1818" t="s">
        <v>10</v>
      </c>
      <c r="E1818">
        <v>2006</v>
      </c>
      <c r="F1818" s="1">
        <v>100</v>
      </c>
      <c r="G1818">
        <v>2000</v>
      </c>
      <c r="H1818">
        <f>AVERAGEIFS(Table1[value],Table1[IndicatorCode],Table1[[#This Row],[IndicatorCode]])</f>
        <v>99.756410256410263</v>
      </c>
      <c r="I1818" cm="1">
        <f t="array" ref="I1818">_xlfn.STDEV.P(IF(Table1[IndicatorCode]=Table1[[#This Row],[IndicatorCode]],Table1[value]))</f>
        <v>1.1047979755287356</v>
      </c>
      <c r="J1818">
        <f>(Table1[[#This Row],[value]] - Table1[[#This Row],[mean]]) / Table1[[#This Row],[std_dev]]</f>
        <v>0.22048351733552002</v>
      </c>
      <c r="K1818">
        <f>AVERAGEIF(Table1[CountryCode],Table1[[#This Row],[CountryCode]],Table1[z-score])</f>
        <v>-0.21176470411950787</v>
      </c>
      <c r="L1818" t="e">
        <f>VLOOKUP(Table1[[#This Row],[CountryCode]],[1]!Table1[#All],1,FALSE)</f>
        <v>#REF!</v>
      </c>
    </row>
    <row r="1819" spans="1:12" hidden="1" x14ac:dyDescent="0.3">
      <c r="A1819" t="s">
        <v>119</v>
      </c>
      <c r="B1819" t="s">
        <v>120</v>
      </c>
      <c r="C1819" t="s">
        <v>9</v>
      </c>
      <c r="D1819" t="s">
        <v>10</v>
      </c>
      <c r="E1819">
        <v>2007</v>
      </c>
      <c r="F1819" s="1">
        <v>100</v>
      </c>
      <c r="G1819">
        <v>2010</v>
      </c>
      <c r="H1819">
        <f>AVERAGEIFS(Table1[value],Table1[IndicatorCode],Table1[[#This Row],[IndicatorCode]])</f>
        <v>99.756410256410263</v>
      </c>
      <c r="I1819" cm="1">
        <f t="array" ref="I1819">_xlfn.STDEV.P(IF(Table1[IndicatorCode]=Table1[[#This Row],[IndicatorCode]],Table1[value]))</f>
        <v>1.1047979755287356</v>
      </c>
      <c r="J1819">
        <f>(Table1[[#This Row],[value]] - Table1[[#This Row],[mean]]) / Table1[[#This Row],[std_dev]]</f>
        <v>0.22048351733552002</v>
      </c>
      <c r="K1819">
        <f>AVERAGEIF(Table1[CountryCode],Table1[[#This Row],[CountryCode]],Table1[z-score])</f>
        <v>-0.21176470411950787</v>
      </c>
      <c r="L1819" t="e">
        <f>VLOOKUP(Table1[[#This Row],[CountryCode]],[1]!Table1[#All],1,FALSE)</f>
        <v>#REF!</v>
      </c>
    </row>
    <row r="1820" spans="1:12" hidden="1" x14ac:dyDescent="0.3">
      <c r="A1820" t="s">
        <v>119</v>
      </c>
      <c r="B1820" t="s">
        <v>120</v>
      </c>
      <c r="C1820" t="s">
        <v>9</v>
      </c>
      <c r="D1820" t="s">
        <v>10</v>
      </c>
      <c r="E1820">
        <v>2008</v>
      </c>
      <c r="F1820" s="1">
        <v>100</v>
      </c>
      <c r="G1820">
        <v>2010</v>
      </c>
      <c r="H1820">
        <f>AVERAGEIFS(Table1[value],Table1[IndicatorCode],Table1[[#This Row],[IndicatorCode]])</f>
        <v>99.756410256410263</v>
      </c>
      <c r="I1820" cm="1">
        <f t="array" ref="I1820">_xlfn.STDEV.P(IF(Table1[IndicatorCode]=Table1[[#This Row],[IndicatorCode]],Table1[value]))</f>
        <v>1.1047979755287356</v>
      </c>
      <c r="J1820">
        <f>(Table1[[#This Row],[value]] - Table1[[#This Row],[mean]]) / Table1[[#This Row],[std_dev]]</f>
        <v>0.22048351733552002</v>
      </c>
      <c r="K1820">
        <f>AVERAGEIF(Table1[CountryCode],Table1[[#This Row],[CountryCode]],Table1[z-score])</f>
        <v>-0.21176470411950787</v>
      </c>
      <c r="L1820" t="e">
        <f>VLOOKUP(Table1[[#This Row],[CountryCode]],[1]!Table1[#All],1,FALSE)</f>
        <v>#REF!</v>
      </c>
    </row>
    <row r="1821" spans="1:12" hidden="1" x14ac:dyDescent="0.3">
      <c r="A1821" t="s">
        <v>119</v>
      </c>
      <c r="B1821" t="s">
        <v>120</v>
      </c>
      <c r="C1821" t="s">
        <v>9</v>
      </c>
      <c r="D1821" t="s">
        <v>10</v>
      </c>
      <c r="E1821">
        <v>2009</v>
      </c>
      <c r="F1821" s="1">
        <v>100</v>
      </c>
      <c r="G1821">
        <v>2010</v>
      </c>
      <c r="H1821">
        <f>AVERAGEIFS(Table1[value],Table1[IndicatorCode],Table1[[#This Row],[IndicatorCode]])</f>
        <v>99.756410256410263</v>
      </c>
      <c r="I1821" cm="1">
        <f t="array" ref="I1821">_xlfn.STDEV.P(IF(Table1[IndicatorCode]=Table1[[#This Row],[IndicatorCode]],Table1[value]))</f>
        <v>1.1047979755287356</v>
      </c>
      <c r="J1821">
        <f>(Table1[[#This Row],[value]] - Table1[[#This Row],[mean]]) / Table1[[#This Row],[std_dev]]</f>
        <v>0.22048351733552002</v>
      </c>
      <c r="K1821">
        <f>AVERAGEIF(Table1[CountryCode],Table1[[#This Row],[CountryCode]],Table1[z-score])</f>
        <v>-0.21176470411950787</v>
      </c>
      <c r="L1821" t="e">
        <f>VLOOKUP(Table1[[#This Row],[CountryCode]],[1]!Table1[#All],1,FALSE)</f>
        <v>#REF!</v>
      </c>
    </row>
    <row r="1822" spans="1:12" hidden="1" x14ac:dyDescent="0.3">
      <c r="A1822" t="s">
        <v>119</v>
      </c>
      <c r="B1822" t="s">
        <v>120</v>
      </c>
      <c r="C1822" t="s">
        <v>9</v>
      </c>
      <c r="D1822" t="s">
        <v>10</v>
      </c>
      <c r="E1822">
        <v>2010</v>
      </c>
      <c r="F1822" s="1">
        <v>100</v>
      </c>
      <c r="G1822">
        <v>2010</v>
      </c>
      <c r="H1822">
        <f>AVERAGEIFS(Table1[value],Table1[IndicatorCode],Table1[[#This Row],[IndicatorCode]])</f>
        <v>99.756410256410263</v>
      </c>
      <c r="I1822" cm="1">
        <f t="array" ref="I1822">_xlfn.STDEV.P(IF(Table1[IndicatorCode]=Table1[[#This Row],[IndicatorCode]],Table1[value]))</f>
        <v>1.1047979755287356</v>
      </c>
      <c r="J1822">
        <f>(Table1[[#This Row],[value]] - Table1[[#This Row],[mean]]) / Table1[[#This Row],[std_dev]]</f>
        <v>0.22048351733552002</v>
      </c>
      <c r="K1822">
        <f>AVERAGEIF(Table1[CountryCode],Table1[[#This Row],[CountryCode]],Table1[z-score])</f>
        <v>-0.21176470411950787</v>
      </c>
      <c r="L1822" t="e">
        <f>VLOOKUP(Table1[[#This Row],[CountryCode]],[1]!Table1[#All],1,FALSE)</f>
        <v>#REF!</v>
      </c>
    </row>
    <row r="1823" spans="1:12" hidden="1" x14ac:dyDescent="0.3">
      <c r="A1823" t="s">
        <v>119</v>
      </c>
      <c r="B1823" t="s">
        <v>120</v>
      </c>
      <c r="C1823" t="s">
        <v>9</v>
      </c>
      <c r="D1823" t="s">
        <v>10</v>
      </c>
      <c r="E1823">
        <v>2011</v>
      </c>
      <c r="F1823" s="1">
        <v>100</v>
      </c>
      <c r="G1823">
        <v>2010</v>
      </c>
      <c r="H1823">
        <f>AVERAGEIFS(Table1[value],Table1[IndicatorCode],Table1[[#This Row],[IndicatorCode]])</f>
        <v>99.756410256410263</v>
      </c>
      <c r="I1823" cm="1">
        <f t="array" ref="I1823">_xlfn.STDEV.P(IF(Table1[IndicatorCode]=Table1[[#This Row],[IndicatorCode]],Table1[value]))</f>
        <v>1.1047979755287356</v>
      </c>
      <c r="J1823">
        <f>(Table1[[#This Row],[value]] - Table1[[#This Row],[mean]]) / Table1[[#This Row],[std_dev]]</f>
        <v>0.22048351733552002</v>
      </c>
      <c r="K1823">
        <f>AVERAGEIF(Table1[CountryCode],Table1[[#This Row],[CountryCode]],Table1[z-score])</f>
        <v>-0.21176470411950787</v>
      </c>
      <c r="L1823" t="e">
        <f>VLOOKUP(Table1[[#This Row],[CountryCode]],[1]!Table1[#All],1,FALSE)</f>
        <v>#REF!</v>
      </c>
    </row>
    <row r="1824" spans="1:12" hidden="1" x14ac:dyDescent="0.3">
      <c r="A1824" t="s">
        <v>119</v>
      </c>
      <c r="B1824" t="s">
        <v>120</v>
      </c>
      <c r="C1824" t="s">
        <v>9</v>
      </c>
      <c r="D1824" t="s">
        <v>10</v>
      </c>
      <c r="E1824">
        <v>2012</v>
      </c>
      <c r="F1824" s="1">
        <v>100</v>
      </c>
      <c r="G1824">
        <v>2010</v>
      </c>
      <c r="H1824">
        <f>AVERAGEIFS(Table1[value],Table1[IndicatorCode],Table1[[#This Row],[IndicatorCode]])</f>
        <v>99.756410256410263</v>
      </c>
      <c r="I1824" cm="1">
        <f t="array" ref="I1824">_xlfn.STDEV.P(IF(Table1[IndicatorCode]=Table1[[#This Row],[IndicatorCode]],Table1[value]))</f>
        <v>1.1047979755287356</v>
      </c>
      <c r="J1824">
        <f>(Table1[[#This Row],[value]] - Table1[[#This Row],[mean]]) / Table1[[#This Row],[std_dev]]</f>
        <v>0.22048351733552002</v>
      </c>
      <c r="K1824">
        <f>AVERAGEIF(Table1[CountryCode],Table1[[#This Row],[CountryCode]],Table1[z-score])</f>
        <v>-0.21176470411950787</v>
      </c>
      <c r="L1824" t="e">
        <f>VLOOKUP(Table1[[#This Row],[CountryCode]],[1]!Table1[#All],1,FALSE)</f>
        <v>#REF!</v>
      </c>
    </row>
    <row r="1825" spans="1:12" hidden="1" x14ac:dyDescent="0.3">
      <c r="A1825" t="s">
        <v>119</v>
      </c>
      <c r="B1825" t="s">
        <v>120</v>
      </c>
      <c r="C1825" t="s">
        <v>9</v>
      </c>
      <c r="D1825" t="s">
        <v>10</v>
      </c>
      <c r="E1825">
        <v>2013</v>
      </c>
      <c r="F1825" s="1">
        <v>100</v>
      </c>
      <c r="G1825">
        <v>2010</v>
      </c>
      <c r="H1825">
        <f>AVERAGEIFS(Table1[value],Table1[IndicatorCode],Table1[[#This Row],[IndicatorCode]])</f>
        <v>99.756410256410263</v>
      </c>
      <c r="I1825" cm="1">
        <f t="array" ref="I1825">_xlfn.STDEV.P(IF(Table1[IndicatorCode]=Table1[[#This Row],[IndicatorCode]],Table1[value]))</f>
        <v>1.1047979755287356</v>
      </c>
      <c r="J1825">
        <f>(Table1[[#This Row],[value]] - Table1[[#This Row],[mean]]) / Table1[[#This Row],[std_dev]]</f>
        <v>0.22048351733552002</v>
      </c>
      <c r="K1825">
        <f>AVERAGEIF(Table1[CountryCode],Table1[[#This Row],[CountryCode]],Table1[z-score])</f>
        <v>-0.21176470411950787</v>
      </c>
      <c r="L1825" t="e">
        <f>VLOOKUP(Table1[[#This Row],[CountryCode]],[1]!Table1[#All],1,FALSE)</f>
        <v>#REF!</v>
      </c>
    </row>
    <row r="1826" spans="1:12" hidden="1" x14ac:dyDescent="0.3">
      <c r="A1826" t="s">
        <v>119</v>
      </c>
      <c r="B1826" t="s">
        <v>120</v>
      </c>
      <c r="C1826" t="s">
        <v>9</v>
      </c>
      <c r="D1826" t="s">
        <v>10</v>
      </c>
      <c r="E1826">
        <v>2014</v>
      </c>
      <c r="F1826" s="1">
        <v>100</v>
      </c>
      <c r="G1826">
        <v>2010</v>
      </c>
      <c r="H1826">
        <f>AVERAGEIFS(Table1[value],Table1[IndicatorCode],Table1[[#This Row],[IndicatorCode]])</f>
        <v>99.756410256410263</v>
      </c>
      <c r="I1826" cm="1">
        <f t="array" ref="I1826">_xlfn.STDEV.P(IF(Table1[IndicatorCode]=Table1[[#This Row],[IndicatorCode]],Table1[value]))</f>
        <v>1.1047979755287356</v>
      </c>
      <c r="J1826">
        <f>(Table1[[#This Row],[value]] - Table1[[#This Row],[mean]]) / Table1[[#This Row],[std_dev]]</f>
        <v>0.22048351733552002</v>
      </c>
      <c r="K1826">
        <f>AVERAGEIF(Table1[CountryCode],Table1[[#This Row],[CountryCode]],Table1[z-score])</f>
        <v>-0.21176470411950787</v>
      </c>
      <c r="L1826" t="e">
        <f>VLOOKUP(Table1[[#This Row],[CountryCode]],[1]!Table1[#All],1,FALSE)</f>
        <v>#REF!</v>
      </c>
    </row>
    <row r="1827" spans="1:12" hidden="1" x14ac:dyDescent="0.3">
      <c r="A1827" t="s">
        <v>119</v>
      </c>
      <c r="B1827" t="s">
        <v>120</v>
      </c>
      <c r="C1827" t="s">
        <v>9</v>
      </c>
      <c r="D1827" t="s">
        <v>10</v>
      </c>
      <c r="E1827">
        <v>2015</v>
      </c>
      <c r="F1827" s="1">
        <v>100</v>
      </c>
      <c r="G1827">
        <v>2010</v>
      </c>
      <c r="H1827">
        <f>AVERAGEIFS(Table1[value],Table1[IndicatorCode],Table1[[#This Row],[IndicatorCode]])</f>
        <v>99.756410256410263</v>
      </c>
      <c r="I1827" cm="1">
        <f t="array" ref="I1827">_xlfn.STDEV.P(IF(Table1[IndicatorCode]=Table1[[#This Row],[IndicatorCode]],Table1[value]))</f>
        <v>1.1047979755287356</v>
      </c>
      <c r="J1827">
        <f>(Table1[[#This Row],[value]] - Table1[[#This Row],[mean]]) / Table1[[#This Row],[std_dev]]</f>
        <v>0.22048351733552002</v>
      </c>
      <c r="K1827">
        <f>AVERAGEIF(Table1[CountryCode],Table1[[#This Row],[CountryCode]],Table1[z-score])</f>
        <v>-0.21176470411950787</v>
      </c>
      <c r="L1827" t="e">
        <f>VLOOKUP(Table1[[#This Row],[CountryCode]],[1]!Table1[#All],1,FALSE)</f>
        <v>#REF!</v>
      </c>
    </row>
    <row r="1828" spans="1:12" hidden="1" x14ac:dyDescent="0.3">
      <c r="A1828" t="s">
        <v>119</v>
      </c>
      <c r="B1828" t="s">
        <v>120</v>
      </c>
      <c r="C1828" t="s">
        <v>9</v>
      </c>
      <c r="D1828" t="s">
        <v>10</v>
      </c>
      <c r="E1828">
        <v>2016</v>
      </c>
      <c r="F1828" s="1">
        <v>100</v>
      </c>
      <c r="G1828">
        <v>2010</v>
      </c>
      <c r="H1828">
        <f>AVERAGEIFS(Table1[value],Table1[IndicatorCode],Table1[[#This Row],[IndicatorCode]])</f>
        <v>99.756410256410263</v>
      </c>
      <c r="I1828" cm="1">
        <f t="array" ref="I1828">_xlfn.STDEV.P(IF(Table1[IndicatorCode]=Table1[[#This Row],[IndicatorCode]],Table1[value]))</f>
        <v>1.1047979755287356</v>
      </c>
      <c r="J1828">
        <f>(Table1[[#This Row],[value]] - Table1[[#This Row],[mean]]) / Table1[[#This Row],[std_dev]]</f>
        <v>0.22048351733552002</v>
      </c>
      <c r="K1828">
        <f>AVERAGEIF(Table1[CountryCode],Table1[[#This Row],[CountryCode]],Table1[z-score])</f>
        <v>-0.21176470411950787</v>
      </c>
      <c r="L1828" t="e">
        <f>VLOOKUP(Table1[[#This Row],[CountryCode]],[1]!Table1[#All],1,FALSE)</f>
        <v>#REF!</v>
      </c>
    </row>
    <row r="1829" spans="1:12" hidden="1" x14ac:dyDescent="0.3">
      <c r="A1829" t="s">
        <v>119</v>
      </c>
      <c r="B1829" t="s">
        <v>120</v>
      </c>
      <c r="C1829" t="s">
        <v>9</v>
      </c>
      <c r="D1829" t="s">
        <v>10</v>
      </c>
      <c r="E1829">
        <v>2017</v>
      </c>
      <c r="F1829" s="1">
        <v>100</v>
      </c>
      <c r="G1829">
        <v>2020</v>
      </c>
      <c r="H1829">
        <f>AVERAGEIFS(Table1[value],Table1[IndicatorCode],Table1[[#This Row],[IndicatorCode]])</f>
        <v>99.756410256410263</v>
      </c>
      <c r="I1829" cm="1">
        <f t="array" ref="I1829">_xlfn.STDEV.P(IF(Table1[IndicatorCode]=Table1[[#This Row],[IndicatorCode]],Table1[value]))</f>
        <v>1.1047979755287356</v>
      </c>
      <c r="J1829">
        <f>(Table1[[#This Row],[value]] - Table1[[#This Row],[mean]]) / Table1[[#This Row],[std_dev]]</f>
        <v>0.22048351733552002</v>
      </c>
      <c r="K1829">
        <f>AVERAGEIF(Table1[CountryCode],Table1[[#This Row],[CountryCode]],Table1[z-score])</f>
        <v>-0.21176470411950787</v>
      </c>
      <c r="L1829" t="e">
        <f>VLOOKUP(Table1[[#This Row],[CountryCode]],[1]!Table1[#All],1,FALSE)</f>
        <v>#REF!</v>
      </c>
    </row>
    <row r="1830" spans="1:12" hidden="1" x14ac:dyDescent="0.3">
      <c r="A1830" t="s">
        <v>119</v>
      </c>
      <c r="B1830" t="s">
        <v>120</v>
      </c>
      <c r="C1830" t="s">
        <v>9</v>
      </c>
      <c r="D1830" t="s">
        <v>10</v>
      </c>
      <c r="E1830">
        <v>2018</v>
      </c>
      <c r="F1830" s="1">
        <v>100</v>
      </c>
      <c r="G1830">
        <v>2020</v>
      </c>
      <c r="H1830">
        <f>AVERAGEIFS(Table1[value],Table1[IndicatorCode],Table1[[#This Row],[IndicatorCode]])</f>
        <v>99.756410256410263</v>
      </c>
      <c r="I1830" cm="1">
        <f t="array" ref="I1830">_xlfn.STDEV.P(IF(Table1[IndicatorCode]=Table1[[#This Row],[IndicatorCode]],Table1[value]))</f>
        <v>1.1047979755287356</v>
      </c>
      <c r="J1830">
        <f>(Table1[[#This Row],[value]] - Table1[[#This Row],[mean]]) / Table1[[#This Row],[std_dev]]</f>
        <v>0.22048351733552002</v>
      </c>
      <c r="K1830">
        <f>AVERAGEIF(Table1[CountryCode],Table1[[#This Row],[CountryCode]],Table1[z-score])</f>
        <v>-0.21176470411950787</v>
      </c>
      <c r="L1830" t="e">
        <f>VLOOKUP(Table1[[#This Row],[CountryCode]],[1]!Table1[#All],1,FALSE)</f>
        <v>#REF!</v>
      </c>
    </row>
    <row r="1831" spans="1:12" hidden="1" x14ac:dyDescent="0.3">
      <c r="A1831" t="s">
        <v>119</v>
      </c>
      <c r="B1831" t="s">
        <v>120</v>
      </c>
      <c r="C1831" t="s">
        <v>9</v>
      </c>
      <c r="D1831" t="s">
        <v>10</v>
      </c>
      <c r="E1831">
        <v>2019</v>
      </c>
      <c r="F1831" s="1">
        <v>100</v>
      </c>
      <c r="G1831">
        <v>2020</v>
      </c>
      <c r="H1831">
        <f>AVERAGEIFS(Table1[value],Table1[IndicatorCode],Table1[[#This Row],[IndicatorCode]])</f>
        <v>99.756410256410263</v>
      </c>
      <c r="I1831" cm="1">
        <f t="array" ref="I1831">_xlfn.STDEV.P(IF(Table1[IndicatorCode]=Table1[[#This Row],[IndicatorCode]],Table1[value]))</f>
        <v>1.1047979755287356</v>
      </c>
      <c r="J1831">
        <f>(Table1[[#This Row],[value]] - Table1[[#This Row],[mean]]) / Table1[[#This Row],[std_dev]]</f>
        <v>0.22048351733552002</v>
      </c>
      <c r="K1831">
        <f>AVERAGEIF(Table1[CountryCode],Table1[[#This Row],[CountryCode]],Table1[z-score])</f>
        <v>-0.21176470411950787</v>
      </c>
      <c r="L1831" t="e">
        <f>VLOOKUP(Table1[[#This Row],[CountryCode]],[1]!Table1[#All],1,FALSE)</f>
        <v>#REF!</v>
      </c>
    </row>
    <row r="1832" spans="1:12" x14ac:dyDescent="0.3">
      <c r="A1832" t="s">
        <v>119</v>
      </c>
      <c r="B1832" t="s">
        <v>120</v>
      </c>
      <c r="C1832" t="s">
        <v>9</v>
      </c>
      <c r="D1832" t="s">
        <v>10</v>
      </c>
      <c r="E1832">
        <v>2020</v>
      </c>
      <c r="F1832" s="1">
        <v>100</v>
      </c>
      <c r="G1832">
        <v>2020</v>
      </c>
      <c r="H1832">
        <f>AVERAGEIFS(Table1[value],Table1[IndicatorCode],Table1[[#This Row],[IndicatorCode]])</f>
        <v>99.756410256410263</v>
      </c>
      <c r="I1832" cm="1">
        <f t="array" ref="I1832">_xlfn.STDEV.P(IF(Table1[IndicatorCode]=Table1[[#This Row],[IndicatorCode]],Table1[value]))</f>
        <v>1.1047979755287356</v>
      </c>
      <c r="J1832">
        <f>(Table1[[#This Row],[value]] - Table1[[#This Row],[mean]]) / Table1[[#This Row],[std_dev]]</f>
        <v>0.22048351733552002</v>
      </c>
      <c r="K1832">
        <f>AVERAGEIF(Table1[CountryCode],Table1[[#This Row],[CountryCode]],Table1[z-score])</f>
        <v>-0.21176470411950787</v>
      </c>
    </row>
    <row r="1833" spans="1:12" hidden="1" x14ac:dyDescent="0.3">
      <c r="A1833" t="s">
        <v>119</v>
      </c>
      <c r="B1833" t="s">
        <v>120</v>
      </c>
      <c r="C1833" t="s">
        <v>9</v>
      </c>
      <c r="D1833" t="s">
        <v>10</v>
      </c>
      <c r="E1833">
        <v>2021</v>
      </c>
      <c r="F1833" s="1">
        <v>100</v>
      </c>
      <c r="G1833">
        <v>1990</v>
      </c>
      <c r="H1833">
        <f>AVERAGEIFS(Table1[value],Table1[IndicatorCode],Table1[[#This Row],[IndicatorCode]])</f>
        <v>99.756410256410263</v>
      </c>
      <c r="I1833" cm="1">
        <f t="array" ref="I1833">_xlfn.STDEV.P(IF(Table1[IndicatorCode]=Table1[[#This Row],[IndicatorCode]],Table1[value]))</f>
        <v>1.1047979755287356</v>
      </c>
      <c r="J1833">
        <f>(Table1[[#This Row],[value]] - Table1[[#This Row],[mean]]) / Table1[[#This Row],[std_dev]]</f>
        <v>0.22048351733552002</v>
      </c>
      <c r="K1833">
        <f>AVERAGEIF(Table1[CountryCode],Table1[[#This Row],[CountryCode]],Table1[z-score])</f>
        <v>-0.21176470411950787</v>
      </c>
      <c r="L1833" t="e">
        <f>VLOOKUP(Table1[[#This Row],[CountryCode]],[1]!Table1[#All],1,FALSE)</f>
        <v>#REF!</v>
      </c>
    </row>
    <row r="1834" spans="1:12" hidden="1" x14ac:dyDescent="0.3">
      <c r="A1834" t="s">
        <v>119</v>
      </c>
      <c r="B1834" t="s">
        <v>120</v>
      </c>
      <c r="C1834" t="s">
        <v>9</v>
      </c>
      <c r="D1834" t="s">
        <v>10</v>
      </c>
      <c r="E1834">
        <v>2022</v>
      </c>
      <c r="F1834" s="1">
        <v>100</v>
      </c>
      <c r="G1834">
        <v>1990</v>
      </c>
      <c r="H1834">
        <f>AVERAGEIFS(Table1[value],Table1[IndicatorCode],Table1[[#This Row],[IndicatorCode]])</f>
        <v>99.756410256410263</v>
      </c>
      <c r="I1834" cm="1">
        <f t="array" ref="I1834">_xlfn.STDEV.P(IF(Table1[IndicatorCode]=Table1[[#This Row],[IndicatorCode]],Table1[value]))</f>
        <v>1.1047979755287356</v>
      </c>
      <c r="J1834">
        <f>(Table1[[#This Row],[value]] - Table1[[#This Row],[mean]]) / Table1[[#This Row],[std_dev]]</f>
        <v>0.22048351733552002</v>
      </c>
      <c r="K1834">
        <f>AVERAGEIF(Table1[CountryCode],Table1[[#This Row],[CountryCode]],Table1[z-score])</f>
        <v>-0.21176470411950787</v>
      </c>
      <c r="L1834" t="e">
        <f>VLOOKUP(Table1[[#This Row],[CountryCode]],[1]!Table1[#All],1,FALSE)</f>
        <v>#REF!</v>
      </c>
    </row>
    <row r="1835" spans="1:12" hidden="1" x14ac:dyDescent="0.3">
      <c r="A1835" t="s">
        <v>119</v>
      </c>
      <c r="B1835" t="s">
        <v>120</v>
      </c>
      <c r="C1835" t="s">
        <v>9</v>
      </c>
      <c r="D1835" t="s">
        <v>10</v>
      </c>
      <c r="E1835">
        <v>2023</v>
      </c>
      <c r="F1835" s="1">
        <v>100</v>
      </c>
      <c r="G1835">
        <v>1990</v>
      </c>
      <c r="H1835">
        <f>AVERAGEIFS(Table1[value],Table1[IndicatorCode],Table1[[#This Row],[IndicatorCode]])</f>
        <v>99.756410256410263</v>
      </c>
      <c r="I1835" cm="1">
        <f t="array" ref="I1835">_xlfn.STDEV.P(IF(Table1[IndicatorCode]=Table1[[#This Row],[IndicatorCode]],Table1[value]))</f>
        <v>1.1047979755287356</v>
      </c>
      <c r="J1835">
        <f>(Table1[[#This Row],[value]] - Table1[[#This Row],[mean]]) / Table1[[#This Row],[std_dev]]</f>
        <v>0.22048351733552002</v>
      </c>
      <c r="K1835">
        <f>AVERAGEIF(Table1[CountryCode],Table1[[#This Row],[CountryCode]],Table1[z-score])</f>
        <v>-0.21176470411950787</v>
      </c>
      <c r="L1835" t="e">
        <f>VLOOKUP(Table1[[#This Row],[CountryCode]],[1]!Table1[#All],1,FALSE)</f>
        <v>#REF!</v>
      </c>
    </row>
    <row r="1836" spans="1:12" hidden="1" x14ac:dyDescent="0.3">
      <c r="A1836" t="s">
        <v>121</v>
      </c>
      <c r="B1836" t="s">
        <v>122</v>
      </c>
      <c r="C1836" t="s">
        <v>9</v>
      </c>
      <c r="D1836" t="s">
        <v>10</v>
      </c>
      <c r="E1836">
        <v>1996</v>
      </c>
      <c r="F1836" s="1">
        <v>100</v>
      </c>
      <c r="G1836">
        <v>1990</v>
      </c>
      <c r="H1836">
        <f>AVERAGEIFS(Table1[value],Table1[IndicatorCode],Table1[[#This Row],[IndicatorCode]])</f>
        <v>99.756410256410263</v>
      </c>
      <c r="I1836" cm="1">
        <f t="array" ref="I1836">_xlfn.STDEV.P(IF(Table1[IndicatorCode]=Table1[[#This Row],[IndicatorCode]],Table1[value]))</f>
        <v>1.1047979755287356</v>
      </c>
      <c r="J1836">
        <f>(Table1[[#This Row],[value]] - Table1[[#This Row],[mean]]) / Table1[[#This Row],[std_dev]]</f>
        <v>0.22048351733552002</v>
      </c>
      <c r="K1836">
        <f>AVERAGEIF(Table1[CountryCode],Table1[[#This Row],[CountryCode]],Table1[z-score])</f>
        <v>-0.73322176935075789</v>
      </c>
      <c r="L1836" t="e">
        <f>VLOOKUP(Table1[[#This Row],[CountryCode]],[1]!Table1[#All],1,FALSE)</f>
        <v>#REF!</v>
      </c>
    </row>
    <row r="1837" spans="1:12" hidden="1" x14ac:dyDescent="0.3">
      <c r="A1837" t="s">
        <v>121</v>
      </c>
      <c r="B1837" t="s">
        <v>122</v>
      </c>
      <c r="C1837" t="s">
        <v>9</v>
      </c>
      <c r="D1837" t="s">
        <v>10</v>
      </c>
      <c r="E1837">
        <v>1997</v>
      </c>
      <c r="F1837" s="1">
        <v>99</v>
      </c>
      <c r="G1837">
        <v>2000</v>
      </c>
      <c r="H1837">
        <f>AVERAGEIFS(Table1[value],Table1[IndicatorCode],Table1[[#This Row],[IndicatorCode]])</f>
        <v>99.756410256410263</v>
      </c>
      <c r="I1837" cm="1">
        <f t="array" ref="I1837">_xlfn.STDEV.P(IF(Table1[IndicatorCode]=Table1[[#This Row],[IndicatorCode]],Table1[value]))</f>
        <v>1.1047979755287356</v>
      </c>
      <c r="J1837">
        <f>(Table1[[#This Row],[value]] - Table1[[#This Row],[mean]]) / Table1[[#This Row],[std_dev]]</f>
        <v>-0.68465934330505884</v>
      </c>
      <c r="K1837">
        <f>AVERAGEIF(Table1[CountryCode],Table1[[#This Row],[CountryCode]],Table1[z-score])</f>
        <v>-0.73322176935075789</v>
      </c>
      <c r="L1837" t="e">
        <f>VLOOKUP(Table1[[#This Row],[CountryCode]],[1]!Table1[#All],1,FALSE)</f>
        <v>#REF!</v>
      </c>
    </row>
    <row r="1838" spans="1:12" hidden="1" x14ac:dyDescent="0.3">
      <c r="A1838" t="s">
        <v>121</v>
      </c>
      <c r="B1838" t="s">
        <v>122</v>
      </c>
      <c r="C1838" t="s">
        <v>9</v>
      </c>
      <c r="D1838" t="s">
        <v>10</v>
      </c>
      <c r="E1838">
        <v>1998</v>
      </c>
      <c r="F1838" s="1">
        <v>99</v>
      </c>
      <c r="G1838">
        <v>2000</v>
      </c>
      <c r="H1838">
        <f>AVERAGEIFS(Table1[value],Table1[IndicatorCode],Table1[[#This Row],[IndicatorCode]])</f>
        <v>99.756410256410263</v>
      </c>
      <c r="I1838" cm="1">
        <f t="array" ref="I1838">_xlfn.STDEV.P(IF(Table1[IndicatorCode]=Table1[[#This Row],[IndicatorCode]],Table1[value]))</f>
        <v>1.1047979755287356</v>
      </c>
      <c r="J1838">
        <f>(Table1[[#This Row],[value]] - Table1[[#This Row],[mean]]) / Table1[[#This Row],[std_dev]]</f>
        <v>-0.68465934330505884</v>
      </c>
      <c r="K1838">
        <f>AVERAGEIF(Table1[CountryCode],Table1[[#This Row],[CountryCode]],Table1[z-score])</f>
        <v>-0.73322176935075789</v>
      </c>
      <c r="L1838" t="e">
        <f>VLOOKUP(Table1[[#This Row],[CountryCode]],[1]!Table1[#All],1,FALSE)</f>
        <v>#REF!</v>
      </c>
    </row>
    <row r="1839" spans="1:12" hidden="1" x14ac:dyDescent="0.3">
      <c r="A1839" t="s">
        <v>121</v>
      </c>
      <c r="B1839" t="s">
        <v>122</v>
      </c>
      <c r="C1839" t="s">
        <v>9</v>
      </c>
      <c r="D1839" t="s">
        <v>10</v>
      </c>
      <c r="E1839">
        <v>1999</v>
      </c>
      <c r="F1839" s="1">
        <v>100</v>
      </c>
      <c r="G1839">
        <v>2000</v>
      </c>
      <c r="H1839">
        <f>AVERAGEIFS(Table1[value],Table1[IndicatorCode],Table1[[#This Row],[IndicatorCode]])</f>
        <v>99.756410256410263</v>
      </c>
      <c r="I1839" cm="1">
        <f t="array" ref="I1839">_xlfn.STDEV.P(IF(Table1[IndicatorCode]=Table1[[#This Row],[IndicatorCode]],Table1[value]))</f>
        <v>1.1047979755287356</v>
      </c>
      <c r="J1839">
        <f>(Table1[[#This Row],[value]] - Table1[[#This Row],[mean]]) / Table1[[#This Row],[std_dev]]</f>
        <v>0.22048351733552002</v>
      </c>
      <c r="K1839">
        <f>AVERAGEIF(Table1[CountryCode],Table1[[#This Row],[CountryCode]],Table1[z-score])</f>
        <v>-0.73322176935075789</v>
      </c>
      <c r="L1839" t="e">
        <f>VLOOKUP(Table1[[#This Row],[CountryCode]],[1]!Table1[#All],1,FALSE)</f>
        <v>#REF!</v>
      </c>
    </row>
    <row r="1840" spans="1:12" hidden="1" x14ac:dyDescent="0.3">
      <c r="A1840" t="s">
        <v>121</v>
      </c>
      <c r="B1840" t="s">
        <v>122</v>
      </c>
      <c r="C1840" t="s">
        <v>9</v>
      </c>
      <c r="D1840" t="s">
        <v>10</v>
      </c>
      <c r="E1840">
        <v>2000</v>
      </c>
      <c r="F1840" s="1">
        <v>100</v>
      </c>
      <c r="G1840">
        <v>2000</v>
      </c>
      <c r="H1840">
        <f>AVERAGEIFS(Table1[value],Table1[IndicatorCode],Table1[[#This Row],[IndicatorCode]])</f>
        <v>99.756410256410263</v>
      </c>
      <c r="I1840" cm="1">
        <f t="array" ref="I1840">_xlfn.STDEV.P(IF(Table1[IndicatorCode]=Table1[[#This Row],[IndicatorCode]],Table1[value]))</f>
        <v>1.1047979755287356</v>
      </c>
      <c r="J1840">
        <f>(Table1[[#This Row],[value]] - Table1[[#This Row],[mean]]) / Table1[[#This Row],[std_dev]]</f>
        <v>0.22048351733552002</v>
      </c>
      <c r="K1840">
        <f>AVERAGEIF(Table1[CountryCode],Table1[[#This Row],[CountryCode]],Table1[z-score])</f>
        <v>-0.73322176935075789</v>
      </c>
      <c r="L1840" t="e">
        <f>VLOOKUP(Table1[[#This Row],[CountryCode]],[1]!Table1[#All],1,FALSE)</f>
        <v>#REF!</v>
      </c>
    </row>
    <row r="1841" spans="1:12" hidden="1" x14ac:dyDescent="0.3">
      <c r="A1841" t="s">
        <v>121</v>
      </c>
      <c r="B1841" t="s">
        <v>122</v>
      </c>
      <c r="C1841" t="s">
        <v>9</v>
      </c>
      <c r="D1841" t="s">
        <v>10</v>
      </c>
      <c r="E1841">
        <v>2001</v>
      </c>
      <c r="F1841" s="1">
        <v>100</v>
      </c>
      <c r="G1841">
        <v>2000</v>
      </c>
      <c r="H1841">
        <f>AVERAGEIFS(Table1[value],Table1[IndicatorCode],Table1[[#This Row],[IndicatorCode]])</f>
        <v>99.756410256410263</v>
      </c>
      <c r="I1841" cm="1">
        <f t="array" ref="I1841">_xlfn.STDEV.P(IF(Table1[IndicatorCode]=Table1[[#This Row],[IndicatorCode]],Table1[value]))</f>
        <v>1.1047979755287356</v>
      </c>
      <c r="J1841">
        <f>(Table1[[#This Row],[value]] - Table1[[#This Row],[mean]]) / Table1[[#This Row],[std_dev]]</f>
        <v>0.22048351733552002</v>
      </c>
      <c r="K1841">
        <f>AVERAGEIF(Table1[CountryCode],Table1[[#This Row],[CountryCode]],Table1[z-score])</f>
        <v>-0.73322176935075789</v>
      </c>
      <c r="L1841" t="e">
        <f>VLOOKUP(Table1[[#This Row],[CountryCode]],[1]!Table1[#All],1,FALSE)</f>
        <v>#REF!</v>
      </c>
    </row>
    <row r="1842" spans="1:12" hidden="1" x14ac:dyDescent="0.3">
      <c r="A1842" t="s">
        <v>121</v>
      </c>
      <c r="B1842" t="s">
        <v>122</v>
      </c>
      <c r="C1842" t="s">
        <v>9</v>
      </c>
      <c r="D1842" t="s">
        <v>10</v>
      </c>
      <c r="E1842">
        <v>2002</v>
      </c>
      <c r="F1842" s="1">
        <v>100</v>
      </c>
      <c r="G1842">
        <v>2000</v>
      </c>
      <c r="H1842">
        <f>AVERAGEIFS(Table1[value],Table1[IndicatorCode],Table1[[#This Row],[IndicatorCode]])</f>
        <v>99.756410256410263</v>
      </c>
      <c r="I1842" cm="1">
        <f t="array" ref="I1842">_xlfn.STDEV.P(IF(Table1[IndicatorCode]=Table1[[#This Row],[IndicatorCode]],Table1[value]))</f>
        <v>1.1047979755287356</v>
      </c>
      <c r="J1842">
        <f>(Table1[[#This Row],[value]] - Table1[[#This Row],[mean]]) / Table1[[#This Row],[std_dev]]</f>
        <v>0.22048351733552002</v>
      </c>
      <c r="K1842">
        <f>AVERAGEIF(Table1[CountryCode],Table1[[#This Row],[CountryCode]],Table1[z-score])</f>
        <v>-0.73322176935075789</v>
      </c>
      <c r="L1842" t="e">
        <f>VLOOKUP(Table1[[#This Row],[CountryCode]],[1]!Table1[#All],1,FALSE)</f>
        <v>#REF!</v>
      </c>
    </row>
    <row r="1843" spans="1:12" hidden="1" x14ac:dyDescent="0.3">
      <c r="A1843" t="s">
        <v>121</v>
      </c>
      <c r="B1843" t="s">
        <v>122</v>
      </c>
      <c r="C1843" t="s">
        <v>9</v>
      </c>
      <c r="D1843" t="s">
        <v>10</v>
      </c>
      <c r="E1843">
        <v>2003</v>
      </c>
      <c r="F1843" s="1">
        <v>100</v>
      </c>
      <c r="G1843">
        <v>2000</v>
      </c>
      <c r="H1843">
        <f>AVERAGEIFS(Table1[value],Table1[IndicatorCode],Table1[[#This Row],[IndicatorCode]])</f>
        <v>99.756410256410263</v>
      </c>
      <c r="I1843" cm="1">
        <f t="array" ref="I1843">_xlfn.STDEV.P(IF(Table1[IndicatorCode]=Table1[[#This Row],[IndicatorCode]],Table1[value]))</f>
        <v>1.1047979755287356</v>
      </c>
      <c r="J1843">
        <f>(Table1[[#This Row],[value]] - Table1[[#This Row],[mean]]) / Table1[[#This Row],[std_dev]]</f>
        <v>0.22048351733552002</v>
      </c>
      <c r="K1843">
        <f>AVERAGEIF(Table1[CountryCode],Table1[[#This Row],[CountryCode]],Table1[z-score])</f>
        <v>-0.73322176935075789</v>
      </c>
      <c r="L1843" t="e">
        <f>VLOOKUP(Table1[[#This Row],[CountryCode]],[1]!Table1[#All],1,FALSE)</f>
        <v>#REF!</v>
      </c>
    </row>
    <row r="1844" spans="1:12" hidden="1" x14ac:dyDescent="0.3">
      <c r="A1844" t="s">
        <v>121</v>
      </c>
      <c r="B1844" t="s">
        <v>122</v>
      </c>
      <c r="C1844" t="s">
        <v>9</v>
      </c>
      <c r="D1844" t="s">
        <v>10</v>
      </c>
      <c r="E1844">
        <v>2004</v>
      </c>
      <c r="F1844" s="1">
        <v>100</v>
      </c>
      <c r="G1844">
        <v>2000</v>
      </c>
      <c r="H1844">
        <f>AVERAGEIFS(Table1[value],Table1[IndicatorCode],Table1[[#This Row],[IndicatorCode]])</f>
        <v>99.756410256410263</v>
      </c>
      <c r="I1844" cm="1">
        <f t="array" ref="I1844">_xlfn.STDEV.P(IF(Table1[IndicatorCode]=Table1[[#This Row],[IndicatorCode]],Table1[value]))</f>
        <v>1.1047979755287356</v>
      </c>
      <c r="J1844">
        <f>(Table1[[#This Row],[value]] - Table1[[#This Row],[mean]]) / Table1[[#This Row],[std_dev]]</f>
        <v>0.22048351733552002</v>
      </c>
      <c r="K1844">
        <f>AVERAGEIF(Table1[CountryCode],Table1[[#This Row],[CountryCode]],Table1[z-score])</f>
        <v>-0.73322176935075789</v>
      </c>
      <c r="L1844" t="e">
        <f>VLOOKUP(Table1[[#This Row],[CountryCode]],[1]!Table1[#All],1,FALSE)</f>
        <v>#REF!</v>
      </c>
    </row>
    <row r="1845" spans="1:12" hidden="1" x14ac:dyDescent="0.3">
      <c r="A1845" t="s">
        <v>121</v>
      </c>
      <c r="B1845" t="s">
        <v>122</v>
      </c>
      <c r="C1845" t="s">
        <v>9</v>
      </c>
      <c r="D1845" t="s">
        <v>10</v>
      </c>
      <c r="E1845">
        <v>2005</v>
      </c>
      <c r="F1845" s="1">
        <v>99</v>
      </c>
      <c r="G1845">
        <v>2000</v>
      </c>
      <c r="H1845">
        <f>AVERAGEIFS(Table1[value],Table1[IndicatorCode],Table1[[#This Row],[IndicatorCode]])</f>
        <v>99.756410256410263</v>
      </c>
      <c r="I1845" cm="1">
        <f t="array" ref="I1845">_xlfn.STDEV.P(IF(Table1[IndicatorCode]=Table1[[#This Row],[IndicatorCode]],Table1[value]))</f>
        <v>1.1047979755287356</v>
      </c>
      <c r="J1845">
        <f>(Table1[[#This Row],[value]] - Table1[[#This Row],[mean]]) / Table1[[#This Row],[std_dev]]</f>
        <v>-0.68465934330505884</v>
      </c>
      <c r="K1845">
        <f>AVERAGEIF(Table1[CountryCode],Table1[[#This Row],[CountryCode]],Table1[z-score])</f>
        <v>-0.73322176935075789</v>
      </c>
      <c r="L1845" t="e">
        <f>VLOOKUP(Table1[[#This Row],[CountryCode]],[1]!Table1[#All],1,FALSE)</f>
        <v>#REF!</v>
      </c>
    </row>
    <row r="1846" spans="1:12" hidden="1" x14ac:dyDescent="0.3">
      <c r="A1846" t="s">
        <v>121</v>
      </c>
      <c r="B1846" t="s">
        <v>122</v>
      </c>
      <c r="C1846" t="s">
        <v>9</v>
      </c>
      <c r="D1846" t="s">
        <v>10</v>
      </c>
      <c r="E1846">
        <v>2006</v>
      </c>
      <c r="F1846" s="1">
        <v>100</v>
      </c>
      <c r="G1846">
        <v>2000</v>
      </c>
      <c r="H1846">
        <f>AVERAGEIFS(Table1[value],Table1[IndicatorCode],Table1[[#This Row],[IndicatorCode]])</f>
        <v>99.756410256410263</v>
      </c>
      <c r="I1846" cm="1">
        <f t="array" ref="I1846">_xlfn.STDEV.P(IF(Table1[IndicatorCode]=Table1[[#This Row],[IndicatorCode]],Table1[value]))</f>
        <v>1.1047979755287356</v>
      </c>
      <c r="J1846">
        <f>(Table1[[#This Row],[value]] - Table1[[#This Row],[mean]]) / Table1[[#This Row],[std_dev]]</f>
        <v>0.22048351733552002</v>
      </c>
      <c r="K1846">
        <f>AVERAGEIF(Table1[CountryCode],Table1[[#This Row],[CountryCode]],Table1[z-score])</f>
        <v>-0.73322176935075789</v>
      </c>
      <c r="L1846" t="e">
        <f>VLOOKUP(Table1[[#This Row],[CountryCode]],[1]!Table1[#All],1,FALSE)</f>
        <v>#REF!</v>
      </c>
    </row>
    <row r="1847" spans="1:12" hidden="1" x14ac:dyDescent="0.3">
      <c r="A1847" t="s">
        <v>121</v>
      </c>
      <c r="B1847" t="s">
        <v>122</v>
      </c>
      <c r="C1847" t="s">
        <v>9</v>
      </c>
      <c r="D1847" t="s">
        <v>10</v>
      </c>
      <c r="E1847">
        <v>2007</v>
      </c>
      <c r="F1847" s="1">
        <v>100</v>
      </c>
      <c r="G1847">
        <v>2010</v>
      </c>
      <c r="H1847">
        <f>AVERAGEIFS(Table1[value],Table1[IndicatorCode],Table1[[#This Row],[IndicatorCode]])</f>
        <v>99.756410256410263</v>
      </c>
      <c r="I1847" cm="1">
        <f t="array" ref="I1847">_xlfn.STDEV.P(IF(Table1[IndicatorCode]=Table1[[#This Row],[IndicatorCode]],Table1[value]))</f>
        <v>1.1047979755287356</v>
      </c>
      <c r="J1847">
        <f>(Table1[[#This Row],[value]] - Table1[[#This Row],[mean]]) / Table1[[#This Row],[std_dev]]</f>
        <v>0.22048351733552002</v>
      </c>
      <c r="K1847">
        <f>AVERAGEIF(Table1[CountryCode],Table1[[#This Row],[CountryCode]],Table1[z-score])</f>
        <v>-0.73322176935075789</v>
      </c>
      <c r="L1847" t="e">
        <f>VLOOKUP(Table1[[#This Row],[CountryCode]],[1]!Table1[#All],1,FALSE)</f>
        <v>#REF!</v>
      </c>
    </row>
    <row r="1848" spans="1:12" hidden="1" x14ac:dyDescent="0.3">
      <c r="A1848" t="s">
        <v>121</v>
      </c>
      <c r="B1848" t="s">
        <v>122</v>
      </c>
      <c r="C1848" t="s">
        <v>9</v>
      </c>
      <c r="D1848" t="s">
        <v>10</v>
      </c>
      <c r="E1848">
        <v>2008</v>
      </c>
      <c r="F1848" s="1">
        <v>100</v>
      </c>
      <c r="G1848">
        <v>2010</v>
      </c>
      <c r="H1848">
        <f>AVERAGEIFS(Table1[value],Table1[IndicatorCode],Table1[[#This Row],[IndicatorCode]])</f>
        <v>99.756410256410263</v>
      </c>
      <c r="I1848" cm="1">
        <f t="array" ref="I1848">_xlfn.STDEV.P(IF(Table1[IndicatorCode]=Table1[[#This Row],[IndicatorCode]],Table1[value]))</f>
        <v>1.1047979755287356</v>
      </c>
      <c r="J1848">
        <f>(Table1[[#This Row],[value]] - Table1[[#This Row],[mean]]) / Table1[[#This Row],[std_dev]]</f>
        <v>0.22048351733552002</v>
      </c>
      <c r="K1848">
        <f>AVERAGEIF(Table1[CountryCode],Table1[[#This Row],[CountryCode]],Table1[z-score])</f>
        <v>-0.73322176935075789</v>
      </c>
      <c r="L1848" t="e">
        <f>VLOOKUP(Table1[[#This Row],[CountryCode]],[1]!Table1[#All],1,FALSE)</f>
        <v>#REF!</v>
      </c>
    </row>
    <row r="1849" spans="1:12" hidden="1" x14ac:dyDescent="0.3">
      <c r="A1849" t="s">
        <v>121</v>
      </c>
      <c r="B1849" t="s">
        <v>122</v>
      </c>
      <c r="C1849" t="s">
        <v>9</v>
      </c>
      <c r="D1849" t="s">
        <v>10</v>
      </c>
      <c r="E1849">
        <v>2009</v>
      </c>
      <c r="F1849" s="1">
        <v>100</v>
      </c>
      <c r="G1849">
        <v>2010</v>
      </c>
      <c r="H1849">
        <f>AVERAGEIFS(Table1[value],Table1[IndicatorCode],Table1[[#This Row],[IndicatorCode]])</f>
        <v>99.756410256410263</v>
      </c>
      <c r="I1849" cm="1">
        <f t="array" ref="I1849">_xlfn.STDEV.P(IF(Table1[IndicatorCode]=Table1[[#This Row],[IndicatorCode]],Table1[value]))</f>
        <v>1.1047979755287356</v>
      </c>
      <c r="J1849">
        <f>(Table1[[#This Row],[value]] - Table1[[#This Row],[mean]]) / Table1[[#This Row],[std_dev]]</f>
        <v>0.22048351733552002</v>
      </c>
      <c r="K1849">
        <f>AVERAGEIF(Table1[CountryCode],Table1[[#This Row],[CountryCode]],Table1[z-score])</f>
        <v>-0.73322176935075789</v>
      </c>
      <c r="L1849" t="e">
        <f>VLOOKUP(Table1[[#This Row],[CountryCode]],[1]!Table1[#All],1,FALSE)</f>
        <v>#REF!</v>
      </c>
    </row>
    <row r="1850" spans="1:12" hidden="1" x14ac:dyDescent="0.3">
      <c r="A1850" t="s">
        <v>121</v>
      </c>
      <c r="B1850" t="s">
        <v>122</v>
      </c>
      <c r="C1850" t="s">
        <v>9</v>
      </c>
      <c r="D1850" t="s">
        <v>10</v>
      </c>
      <c r="E1850">
        <v>2010</v>
      </c>
      <c r="F1850" s="1">
        <v>100</v>
      </c>
      <c r="G1850">
        <v>2010</v>
      </c>
      <c r="H1850">
        <f>AVERAGEIFS(Table1[value],Table1[IndicatorCode],Table1[[#This Row],[IndicatorCode]])</f>
        <v>99.756410256410263</v>
      </c>
      <c r="I1850" cm="1">
        <f t="array" ref="I1850">_xlfn.STDEV.P(IF(Table1[IndicatorCode]=Table1[[#This Row],[IndicatorCode]],Table1[value]))</f>
        <v>1.1047979755287356</v>
      </c>
      <c r="J1850">
        <f>(Table1[[#This Row],[value]] - Table1[[#This Row],[mean]]) / Table1[[#This Row],[std_dev]]</f>
        <v>0.22048351733552002</v>
      </c>
      <c r="K1850">
        <f>AVERAGEIF(Table1[CountryCode],Table1[[#This Row],[CountryCode]],Table1[z-score])</f>
        <v>-0.73322176935075789</v>
      </c>
      <c r="L1850" t="e">
        <f>VLOOKUP(Table1[[#This Row],[CountryCode]],[1]!Table1[#All],1,FALSE)</f>
        <v>#REF!</v>
      </c>
    </row>
    <row r="1851" spans="1:12" hidden="1" x14ac:dyDescent="0.3">
      <c r="A1851" t="s">
        <v>121</v>
      </c>
      <c r="B1851" t="s">
        <v>122</v>
      </c>
      <c r="C1851" t="s">
        <v>9</v>
      </c>
      <c r="D1851" t="s">
        <v>10</v>
      </c>
      <c r="E1851">
        <v>2011</v>
      </c>
      <c r="F1851" s="1">
        <v>100</v>
      </c>
      <c r="G1851">
        <v>2010</v>
      </c>
      <c r="H1851">
        <f>AVERAGEIFS(Table1[value],Table1[IndicatorCode],Table1[[#This Row],[IndicatorCode]])</f>
        <v>99.756410256410263</v>
      </c>
      <c r="I1851" cm="1">
        <f t="array" ref="I1851">_xlfn.STDEV.P(IF(Table1[IndicatorCode]=Table1[[#This Row],[IndicatorCode]],Table1[value]))</f>
        <v>1.1047979755287356</v>
      </c>
      <c r="J1851">
        <f>(Table1[[#This Row],[value]] - Table1[[#This Row],[mean]]) / Table1[[#This Row],[std_dev]]</f>
        <v>0.22048351733552002</v>
      </c>
      <c r="K1851">
        <f>AVERAGEIF(Table1[CountryCode],Table1[[#This Row],[CountryCode]],Table1[z-score])</f>
        <v>-0.73322176935075789</v>
      </c>
      <c r="L1851" t="e">
        <f>VLOOKUP(Table1[[#This Row],[CountryCode]],[1]!Table1[#All],1,FALSE)</f>
        <v>#REF!</v>
      </c>
    </row>
    <row r="1852" spans="1:12" hidden="1" x14ac:dyDescent="0.3">
      <c r="A1852" t="s">
        <v>121</v>
      </c>
      <c r="B1852" t="s">
        <v>122</v>
      </c>
      <c r="C1852" t="s">
        <v>9</v>
      </c>
      <c r="D1852" t="s">
        <v>10</v>
      </c>
      <c r="E1852">
        <v>2012</v>
      </c>
      <c r="F1852" s="1">
        <v>100</v>
      </c>
      <c r="G1852">
        <v>2010</v>
      </c>
      <c r="H1852">
        <f>AVERAGEIFS(Table1[value],Table1[IndicatorCode],Table1[[#This Row],[IndicatorCode]])</f>
        <v>99.756410256410263</v>
      </c>
      <c r="I1852" cm="1">
        <f t="array" ref="I1852">_xlfn.STDEV.P(IF(Table1[IndicatorCode]=Table1[[#This Row],[IndicatorCode]],Table1[value]))</f>
        <v>1.1047979755287356</v>
      </c>
      <c r="J1852">
        <f>(Table1[[#This Row],[value]] - Table1[[#This Row],[mean]]) / Table1[[#This Row],[std_dev]]</f>
        <v>0.22048351733552002</v>
      </c>
      <c r="K1852">
        <f>AVERAGEIF(Table1[CountryCode],Table1[[#This Row],[CountryCode]],Table1[z-score])</f>
        <v>-0.73322176935075789</v>
      </c>
      <c r="L1852" t="e">
        <f>VLOOKUP(Table1[[#This Row],[CountryCode]],[1]!Table1[#All],1,FALSE)</f>
        <v>#REF!</v>
      </c>
    </row>
    <row r="1853" spans="1:12" hidden="1" x14ac:dyDescent="0.3">
      <c r="A1853" t="s">
        <v>121</v>
      </c>
      <c r="B1853" t="s">
        <v>122</v>
      </c>
      <c r="C1853" t="s">
        <v>9</v>
      </c>
      <c r="D1853" t="s">
        <v>10</v>
      </c>
      <c r="E1853">
        <v>2013</v>
      </c>
      <c r="F1853" s="1">
        <v>100</v>
      </c>
      <c r="G1853">
        <v>2010</v>
      </c>
      <c r="H1853">
        <f>AVERAGEIFS(Table1[value],Table1[IndicatorCode],Table1[[#This Row],[IndicatorCode]])</f>
        <v>99.756410256410263</v>
      </c>
      <c r="I1853" cm="1">
        <f t="array" ref="I1853">_xlfn.STDEV.P(IF(Table1[IndicatorCode]=Table1[[#This Row],[IndicatorCode]],Table1[value]))</f>
        <v>1.1047979755287356</v>
      </c>
      <c r="J1853">
        <f>(Table1[[#This Row],[value]] - Table1[[#This Row],[mean]]) / Table1[[#This Row],[std_dev]]</f>
        <v>0.22048351733552002</v>
      </c>
      <c r="K1853">
        <f>AVERAGEIF(Table1[CountryCode],Table1[[#This Row],[CountryCode]],Table1[z-score])</f>
        <v>-0.73322176935075789</v>
      </c>
      <c r="L1853" t="e">
        <f>VLOOKUP(Table1[[#This Row],[CountryCode]],[1]!Table1[#All],1,FALSE)</f>
        <v>#REF!</v>
      </c>
    </row>
    <row r="1854" spans="1:12" hidden="1" x14ac:dyDescent="0.3">
      <c r="A1854" t="s">
        <v>121</v>
      </c>
      <c r="B1854" t="s">
        <v>122</v>
      </c>
      <c r="C1854" t="s">
        <v>9</v>
      </c>
      <c r="D1854" t="s">
        <v>10</v>
      </c>
      <c r="E1854">
        <v>2014</v>
      </c>
      <c r="F1854" s="1">
        <v>100</v>
      </c>
      <c r="G1854">
        <v>2010</v>
      </c>
      <c r="H1854">
        <f>AVERAGEIFS(Table1[value],Table1[IndicatorCode],Table1[[#This Row],[IndicatorCode]])</f>
        <v>99.756410256410263</v>
      </c>
      <c r="I1854" cm="1">
        <f t="array" ref="I1854">_xlfn.STDEV.P(IF(Table1[IndicatorCode]=Table1[[#This Row],[IndicatorCode]],Table1[value]))</f>
        <v>1.1047979755287356</v>
      </c>
      <c r="J1854">
        <f>(Table1[[#This Row],[value]] - Table1[[#This Row],[mean]]) / Table1[[#This Row],[std_dev]]</f>
        <v>0.22048351733552002</v>
      </c>
      <c r="K1854">
        <f>AVERAGEIF(Table1[CountryCode],Table1[[#This Row],[CountryCode]],Table1[z-score])</f>
        <v>-0.73322176935075789</v>
      </c>
      <c r="L1854" t="e">
        <f>VLOOKUP(Table1[[#This Row],[CountryCode]],[1]!Table1[#All],1,FALSE)</f>
        <v>#REF!</v>
      </c>
    </row>
    <row r="1855" spans="1:12" hidden="1" x14ac:dyDescent="0.3">
      <c r="A1855" t="s">
        <v>121</v>
      </c>
      <c r="B1855" t="s">
        <v>122</v>
      </c>
      <c r="C1855" t="s">
        <v>9</v>
      </c>
      <c r="D1855" t="s">
        <v>10</v>
      </c>
      <c r="E1855">
        <v>2015</v>
      </c>
      <c r="F1855" s="1">
        <v>100</v>
      </c>
      <c r="G1855">
        <v>2010</v>
      </c>
      <c r="H1855">
        <f>AVERAGEIFS(Table1[value],Table1[IndicatorCode],Table1[[#This Row],[IndicatorCode]])</f>
        <v>99.756410256410263</v>
      </c>
      <c r="I1855" cm="1">
        <f t="array" ref="I1855">_xlfn.STDEV.P(IF(Table1[IndicatorCode]=Table1[[#This Row],[IndicatorCode]],Table1[value]))</f>
        <v>1.1047979755287356</v>
      </c>
      <c r="J1855">
        <f>(Table1[[#This Row],[value]] - Table1[[#This Row],[mean]]) / Table1[[#This Row],[std_dev]]</f>
        <v>0.22048351733552002</v>
      </c>
      <c r="K1855">
        <f>AVERAGEIF(Table1[CountryCode],Table1[[#This Row],[CountryCode]],Table1[z-score])</f>
        <v>-0.73322176935075789</v>
      </c>
      <c r="L1855" t="e">
        <f>VLOOKUP(Table1[[#This Row],[CountryCode]],[1]!Table1[#All],1,FALSE)</f>
        <v>#REF!</v>
      </c>
    </row>
    <row r="1856" spans="1:12" hidden="1" x14ac:dyDescent="0.3">
      <c r="A1856" t="s">
        <v>121</v>
      </c>
      <c r="B1856" t="s">
        <v>122</v>
      </c>
      <c r="C1856" t="s">
        <v>9</v>
      </c>
      <c r="D1856" t="s">
        <v>10</v>
      </c>
      <c r="E1856">
        <v>2016</v>
      </c>
      <c r="F1856" s="1">
        <v>100</v>
      </c>
      <c r="G1856">
        <v>2010</v>
      </c>
      <c r="H1856">
        <f>AVERAGEIFS(Table1[value],Table1[IndicatorCode],Table1[[#This Row],[IndicatorCode]])</f>
        <v>99.756410256410263</v>
      </c>
      <c r="I1856" cm="1">
        <f t="array" ref="I1856">_xlfn.STDEV.P(IF(Table1[IndicatorCode]=Table1[[#This Row],[IndicatorCode]],Table1[value]))</f>
        <v>1.1047979755287356</v>
      </c>
      <c r="J1856">
        <f>(Table1[[#This Row],[value]] - Table1[[#This Row],[mean]]) / Table1[[#This Row],[std_dev]]</f>
        <v>0.22048351733552002</v>
      </c>
      <c r="K1856">
        <f>AVERAGEIF(Table1[CountryCode],Table1[[#This Row],[CountryCode]],Table1[z-score])</f>
        <v>-0.73322176935075789</v>
      </c>
      <c r="L1856" t="e">
        <f>VLOOKUP(Table1[[#This Row],[CountryCode]],[1]!Table1[#All],1,FALSE)</f>
        <v>#REF!</v>
      </c>
    </row>
    <row r="1857" spans="1:12" hidden="1" x14ac:dyDescent="0.3">
      <c r="A1857" t="s">
        <v>121</v>
      </c>
      <c r="B1857" t="s">
        <v>122</v>
      </c>
      <c r="C1857" t="s">
        <v>9</v>
      </c>
      <c r="D1857" t="s">
        <v>10</v>
      </c>
      <c r="E1857">
        <v>2017</v>
      </c>
      <c r="F1857" s="1">
        <v>100</v>
      </c>
      <c r="G1857">
        <v>2020</v>
      </c>
      <c r="H1857">
        <f>AVERAGEIFS(Table1[value],Table1[IndicatorCode],Table1[[#This Row],[IndicatorCode]])</f>
        <v>99.756410256410263</v>
      </c>
      <c r="I1857" cm="1">
        <f t="array" ref="I1857">_xlfn.STDEV.P(IF(Table1[IndicatorCode]=Table1[[#This Row],[IndicatorCode]],Table1[value]))</f>
        <v>1.1047979755287356</v>
      </c>
      <c r="J1857">
        <f>(Table1[[#This Row],[value]] - Table1[[#This Row],[mean]]) / Table1[[#This Row],[std_dev]]</f>
        <v>0.22048351733552002</v>
      </c>
      <c r="K1857">
        <f>AVERAGEIF(Table1[CountryCode],Table1[[#This Row],[CountryCode]],Table1[z-score])</f>
        <v>-0.73322176935075789</v>
      </c>
      <c r="L1857" t="e">
        <f>VLOOKUP(Table1[[#This Row],[CountryCode]],[1]!Table1[#All],1,FALSE)</f>
        <v>#REF!</v>
      </c>
    </row>
    <row r="1858" spans="1:12" hidden="1" x14ac:dyDescent="0.3">
      <c r="A1858" t="s">
        <v>121</v>
      </c>
      <c r="B1858" t="s">
        <v>122</v>
      </c>
      <c r="C1858" t="s">
        <v>9</v>
      </c>
      <c r="D1858" t="s">
        <v>10</v>
      </c>
      <c r="E1858">
        <v>2018</v>
      </c>
      <c r="F1858" s="1">
        <v>100</v>
      </c>
      <c r="G1858">
        <v>2020</v>
      </c>
      <c r="H1858">
        <f>AVERAGEIFS(Table1[value],Table1[IndicatorCode],Table1[[#This Row],[IndicatorCode]])</f>
        <v>99.756410256410263</v>
      </c>
      <c r="I1858" cm="1">
        <f t="array" ref="I1858">_xlfn.STDEV.P(IF(Table1[IndicatorCode]=Table1[[#This Row],[IndicatorCode]],Table1[value]))</f>
        <v>1.1047979755287356</v>
      </c>
      <c r="J1858">
        <f>(Table1[[#This Row],[value]] - Table1[[#This Row],[mean]]) / Table1[[#This Row],[std_dev]]</f>
        <v>0.22048351733552002</v>
      </c>
      <c r="K1858">
        <f>AVERAGEIF(Table1[CountryCode],Table1[[#This Row],[CountryCode]],Table1[z-score])</f>
        <v>-0.73322176935075789</v>
      </c>
      <c r="L1858" t="e">
        <f>VLOOKUP(Table1[[#This Row],[CountryCode]],[1]!Table1[#All],1,FALSE)</f>
        <v>#REF!</v>
      </c>
    </row>
    <row r="1859" spans="1:12" hidden="1" x14ac:dyDescent="0.3">
      <c r="A1859" t="s">
        <v>121</v>
      </c>
      <c r="B1859" t="s">
        <v>122</v>
      </c>
      <c r="C1859" t="s">
        <v>9</v>
      </c>
      <c r="D1859" t="s">
        <v>10</v>
      </c>
      <c r="E1859">
        <v>2019</v>
      </c>
      <c r="F1859" s="1">
        <v>100</v>
      </c>
      <c r="G1859">
        <v>2020</v>
      </c>
      <c r="H1859">
        <f>AVERAGEIFS(Table1[value],Table1[IndicatorCode],Table1[[#This Row],[IndicatorCode]])</f>
        <v>99.756410256410263</v>
      </c>
      <c r="I1859" cm="1">
        <f t="array" ref="I1859">_xlfn.STDEV.P(IF(Table1[IndicatorCode]=Table1[[#This Row],[IndicatorCode]],Table1[value]))</f>
        <v>1.1047979755287356</v>
      </c>
      <c r="J1859">
        <f>(Table1[[#This Row],[value]] - Table1[[#This Row],[mean]]) / Table1[[#This Row],[std_dev]]</f>
        <v>0.22048351733552002</v>
      </c>
      <c r="K1859">
        <f>AVERAGEIF(Table1[CountryCode],Table1[[#This Row],[CountryCode]],Table1[z-score])</f>
        <v>-0.73322176935075789</v>
      </c>
      <c r="L1859" t="e">
        <f>VLOOKUP(Table1[[#This Row],[CountryCode]],[1]!Table1[#All],1,FALSE)</f>
        <v>#REF!</v>
      </c>
    </row>
    <row r="1860" spans="1:12" x14ac:dyDescent="0.3">
      <c r="A1860" t="s">
        <v>121</v>
      </c>
      <c r="B1860" t="s">
        <v>122</v>
      </c>
      <c r="C1860" t="s">
        <v>9</v>
      </c>
      <c r="D1860" t="s">
        <v>10</v>
      </c>
      <c r="E1860">
        <v>2020</v>
      </c>
      <c r="F1860" s="1">
        <v>100</v>
      </c>
      <c r="G1860">
        <v>2020</v>
      </c>
      <c r="H1860">
        <f>AVERAGEIFS(Table1[value],Table1[IndicatorCode],Table1[[#This Row],[IndicatorCode]])</f>
        <v>99.756410256410263</v>
      </c>
      <c r="I1860" cm="1">
        <f t="array" ref="I1860">_xlfn.STDEV.P(IF(Table1[IndicatorCode]=Table1[[#This Row],[IndicatorCode]],Table1[value]))</f>
        <v>1.1047979755287356</v>
      </c>
      <c r="J1860">
        <f>(Table1[[#This Row],[value]] - Table1[[#This Row],[mean]]) / Table1[[#This Row],[std_dev]]</f>
        <v>0.22048351733552002</v>
      </c>
      <c r="K1860">
        <f>AVERAGEIF(Table1[CountryCode],Table1[[#This Row],[CountryCode]],Table1[z-score])</f>
        <v>-0.73322176935075789</v>
      </c>
    </row>
    <row r="1861" spans="1:12" hidden="1" x14ac:dyDescent="0.3">
      <c r="A1861" t="s">
        <v>121</v>
      </c>
      <c r="B1861" t="s">
        <v>122</v>
      </c>
      <c r="C1861" t="s">
        <v>9</v>
      </c>
      <c r="D1861" t="s">
        <v>10</v>
      </c>
      <c r="E1861">
        <v>2021</v>
      </c>
      <c r="F1861" s="1">
        <v>100</v>
      </c>
      <c r="G1861">
        <v>1990</v>
      </c>
      <c r="H1861">
        <f>AVERAGEIFS(Table1[value],Table1[IndicatorCode],Table1[[#This Row],[IndicatorCode]])</f>
        <v>99.756410256410263</v>
      </c>
      <c r="I1861" cm="1">
        <f t="array" ref="I1861">_xlfn.STDEV.P(IF(Table1[IndicatorCode]=Table1[[#This Row],[IndicatorCode]],Table1[value]))</f>
        <v>1.1047979755287356</v>
      </c>
      <c r="J1861">
        <f>(Table1[[#This Row],[value]] - Table1[[#This Row],[mean]]) / Table1[[#This Row],[std_dev]]</f>
        <v>0.22048351733552002</v>
      </c>
      <c r="K1861">
        <f>AVERAGEIF(Table1[CountryCode],Table1[[#This Row],[CountryCode]],Table1[z-score])</f>
        <v>-0.73322176935075789</v>
      </c>
      <c r="L1861" t="e">
        <f>VLOOKUP(Table1[[#This Row],[CountryCode]],[1]!Table1[#All],1,FALSE)</f>
        <v>#REF!</v>
      </c>
    </row>
    <row r="1862" spans="1:12" hidden="1" x14ac:dyDescent="0.3">
      <c r="A1862" t="s">
        <v>121</v>
      </c>
      <c r="B1862" t="s">
        <v>122</v>
      </c>
      <c r="C1862" t="s">
        <v>9</v>
      </c>
      <c r="D1862" t="s">
        <v>10</v>
      </c>
      <c r="E1862">
        <v>2022</v>
      </c>
      <c r="F1862" s="1">
        <v>100</v>
      </c>
      <c r="G1862">
        <v>1990</v>
      </c>
      <c r="H1862">
        <f>AVERAGEIFS(Table1[value],Table1[IndicatorCode],Table1[[#This Row],[IndicatorCode]])</f>
        <v>99.756410256410263</v>
      </c>
      <c r="I1862" cm="1">
        <f t="array" ref="I1862">_xlfn.STDEV.P(IF(Table1[IndicatorCode]=Table1[[#This Row],[IndicatorCode]],Table1[value]))</f>
        <v>1.1047979755287356</v>
      </c>
      <c r="J1862">
        <f>(Table1[[#This Row],[value]] - Table1[[#This Row],[mean]]) / Table1[[#This Row],[std_dev]]</f>
        <v>0.22048351733552002</v>
      </c>
      <c r="K1862">
        <f>AVERAGEIF(Table1[CountryCode],Table1[[#This Row],[CountryCode]],Table1[z-score])</f>
        <v>-0.73322176935075789</v>
      </c>
      <c r="L1862" t="e">
        <f>VLOOKUP(Table1[[#This Row],[CountryCode]],[1]!Table1[#All],1,FALSE)</f>
        <v>#REF!</v>
      </c>
    </row>
    <row r="1863" spans="1:12" hidden="1" x14ac:dyDescent="0.3">
      <c r="A1863" t="s">
        <v>121</v>
      </c>
      <c r="B1863" t="s">
        <v>122</v>
      </c>
      <c r="C1863" t="s">
        <v>9</v>
      </c>
      <c r="D1863" t="s">
        <v>10</v>
      </c>
      <c r="E1863">
        <v>2023</v>
      </c>
      <c r="F1863" s="1">
        <v>100</v>
      </c>
      <c r="G1863">
        <v>1990</v>
      </c>
      <c r="H1863">
        <f>AVERAGEIFS(Table1[value],Table1[IndicatorCode],Table1[[#This Row],[IndicatorCode]])</f>
        <v>99.756410256410263</v>
      </c>
      <c r="I1863" cm="1">
        <f t="array" ref="I1863">_xlfn.STDEV.P(IF(Table1[IndicatorCode]=Table1[[#This Row],[IndicatorCode]],Table1[value]))</f>
        <v>1.1047979755287356</v>
      </c>
      <c r="J1863">
        <f>(Table1[[#This Row],[value]] - Table1[[#This Row],[mean]]) / Table1[[#This Row],[std_dev]]</f>
        <v>0.22048351733552002</v>
      </c>
      <c r="K1863">
        <f>AVERAGEIF(Table1[CountryCode],Table1[[#This Row],[CountryCode]],Table1[z-score])</f>
        <v>-0.73322176935075789</v>
      </c>
      <c r="L1863" t="e">
        <f>VLOOKUP(Table1[[#This Row],[CountryCode]],[1]!Table1[#All],1,FALSE)</f>
        <v>#REF!</v>
      </c>
    </row>
    <row r="1864" spans="1:12" hidden="1" x14ac:dyDescent="0.3">
      <c r="A1864" t="s">
        <v>123</v>
      </c>
      <c r="B1864" t="s">
        <v>124</v>
      </c>
      <c r="C1864" t="s">
        <v>9</v>
      </c>
      <c r="D1864" t="s">
        <v>10</v>
      </c>
      <c r="E1864">
        <v>1990</v>
      </c>
      <c r="F1864" s="1">
        <v>100</v>
      </c>
      <c r="G1864">
        <v>1990</v>
      </c>
      <c r="H1864">
        <f>AVERAGEIFS(Table1[value],Table1[IndicatorCode],Table1[[#This Row],[IndicatorCode]])</f>
        <v>99.756410256410263</v>
      </c>
      <c r="I1864" cm="1">
        <f t="array" ref="I1864">_xlfn.STDEV.P(IF(Table1[IndicatorCode]=Table1[[#This Row],[IndicatorCode]],Table1[value]))</f>
        <v>1.1047979755287356</v>
      </c>
      <c r="J1864">
        <f>(Table1[[#This Row],[value]] - Table1[[#This Row],[mean]]) / Table1[[#This Row],[std_dev]]</f>
        <v>0.22048351733552002</v>
      </c>
      <c r="K1864">
        <f>AVERAGEIF(Table1[CountryCode],Table1[[#This Row],[CountryCode]],Table1[z-score])</f>
        <v>-0.96047002154562466</v>
      </c>
      <c r="L1864" t="e">
        <f>VLOOKUP(Table1[[#This Row],[CountryCode]],[1]!Table1[#All],1,FALSE)</f>
        <v>#REF!</v>
      </c>
    </row>
    <row r="1865" spans="1:12" hidden="1" x14ac:dyDescent="0.3">
      <c r="A1865" t="s">
        <v>123</v>
      </c>
      <c r="B1865" t="s">
        <v>124</v>
      </c>
      <c r="C1865" t="s">
        <v>9</v>
      </c>
      <c r="D1865" t="s">
        <v>10</v>
      </c>
      <c r="E1865">
        <v>1991</v>
      </c>
      <c r="F1865" s="1">
        <v>100</v>
      </c>
      <c r="G1865">
        <v>1990</v>
      </c>
      <c r="H1865">
        <f>AVERAGEIFS(Table1[value],Table1[IndicatorCode],Table1[[#This Row],[IndicatorCode]])</f>
        <v>99.756410256410263</v>
      </c>
      <c r="I1865" cm="1">
        <f t="array" ref="I1865">_xlfn.STDEV.P(IF(Table1[IndicatorCode]=Table1[[#This Row],[IndicatorCode]],Table1[value]))</f>
        <v>1.1047979755287356</v>
      </c>
      <c r="J1865">
        <f>(Table1[[#This Row],[value]] - Table1[[#This Row],[mean]]) / Table1[[#This Row],[std_dev]]</f>
        <v>0.22048351733552002</v>
      </c>
      <c r="K1865">
        <f>AVERAGEIF(Table1[CountryCode],Table1[[#This Row],[CountryCode]],Table1[z-score])</f>
        <v>-0.96047002154562466</v>
      </c>
      <c r="L1865" t="e">
        <f>VLOOKUP(Table1[[#This Row],[CountryCode]],[1]!Table1[#All],1,FALSE)</f>
        <v>#REF!</v>
      </c>
    </row>
    <row r="1866" spans="1:12" hidden="1" x14ac:dyDescent="0.3">
      <c r="A1866" t="s">
        <v>123</v>
      </c>
      <c r="B1866" t="s">
        <v>124</v>
      </c>
      <c r="C1866" t="s">
        <v>9</v>
      </c>
      <c r="D1866" t="s">
        <v>10</v>
      </c>
      <c r="E1866">
        <v>1992</v>
      </c>
      <c r="F1866" s="1">
        <v>100</v>
      </c>
      <c r="G1866">
        <v>1990</v>
      </c>
      <c r="H1866">
        <f>AVERAGEIFS(Table1[value],Table1[IndicatorCode],Table1[[#This Row],[IndicatorCode]])</f>
        <v>99.756410256410263</v>
      </c>
      <c r="I1866" cm="1">
        <f t="array" ref="I1866">_xlfn.STDEV.P(IF(Table1[IndicatorCode]=Table1[[#This Row],[IndicatorCode]],Table1[value]))</f>
        <v>1.1047979755287356</v>
      </c>
      <c r="J1866">
        <f>(Table1[[#This Row],[value]] - Table1[[#This Row],[mean]]) / Table1[[#This Row],[std_dev]]</f>
        <v>0.22048351733552002</v>
      </c>
      <c r="K1866">
        <f>AVERAGEIF(Table1[CountryCode],Table1[[#This Row],[CountryCode]],Table1[z-score])</f>
        <v>-0.96047002154562466</v>
      </c>
      <c r="L1866" t="e">
        <f>VLOOKUP(Table1[[#This Row],[CountryCode]],[1]!Table1[#All],1,FALSE)</f>
        <v>#REF!</v>
      </c>
    </row>
    <row r="1867" spans="1:12" hidden="1" x14ac:dyDescent="0.3">
      <c r="A1867" t="s">
        <v>123</v>
      </c>
      <c r="B1867" t="s">
        <v>124</v>
      </c>
      <c r="C1867" t="s">
        <v>9</v>
      </c>
      <c r="D1867" t="s">
        <v>10</v>
      </c>
      <c r="E1867">
        <v>1993</v>
      </c>
      <c r="F1867" s="1">
        <v>100</v>
      </c>
      <c r="G1867">
        <v>1990</v>
      </c>
      <c r="H1867">
        <f>AVERAGEIFS(Table1[value],Table1[IndicatorCode],Table1[[#This Row],[IndicatorCode]])</f>
        <v>99.756410256410263</v>
      </c>
      <c r="I1867" cm="1">
        <f t="array" ref="I1867">_xlfn.STDEV.P(IF(Table1[IndicatorCode]=Table1[[#This Row],[IndicatorCode]],Table1[value]))</f>
        <v>1.1047979755287356</v>
      </c>
      <c r="J1867">
        <f>(Table1[[#This Row],[value]] - Table1[[#This Row],[mean]]) / Table1[[#This Row],[std_dev]]</f>
        <v>0.22048351733552002</v>
      </c>
      <c r="K1867">
        <f>AVERAGEIF(Table1[CountryCode],Table1[[#This Row],[CountryCode]],Table1[z-score])</f>
        <v>-0.96047002154562466</v>
      </c>
      <c r="L1867" t="e">
        <f>VLOOKUP(Table1[[#This Row],[CountryCode]],[1]!Table1[#All],1,FALSE)</f>
        <v>#REF!</v>
      </c>
    </row>
    <row r="1868" spans="1:12" hidden="1" x14ac:dyDescent="0.3">
      <c r="A1868" t="s">
        <v>123</v>
      </c>
      <c r="B1868" t="s">
        <v>124</v>
      </c>
      <c r="C1868" t="s">
        <v>9</v>
      </c>
      <c r="D1868" t="s">
        <v>10</v>
      </c>
      <c r="E1868">
        <v>1994</v>
      </c>
      <c r="F1868" s="1">
        <v>100</v>
      </c>
      <c r="G1868">
        <v>1990</v>
      </c>
      <c r="H1868">
        <f>AVERAGEIFS(Table1[value],Table1[IndicatorCode],Table1[[#This Row],[IndicatorCode]])</f>
        <v>99.756410256410263</v>
      </c>
      <c r="I1868" cm="1">
        <f t="array" ref="I1868">_xlfn.STDEV.P(IF(Table1[IndicatorCode]=Table1[[#This Row],[IndicatorCode]],Table1[value]))</f>
        <v>1.1047979755287356</v>
      </c>
      <c r="J1868">
        <f>(Table1[[#This Row],[value]] - Table1[[#This Row],[mean]]) / Table1[[#This Row],[std_dev]]</f>
        <v>0.22048351733552002</v>
      </c>
      <c r="K1868">
        <f>AVERAGEIF(Table1[CountryCode],Table1[[#This Row],[CountryCode]],Table1[z-score])</f>
        <v>-0.96047002154562466</v>
      </c>
      <c r="L1868" t="e">
        <f>VLOOKUP(Table1[[#This Row],[CountryCode]],[1]!Table1[#All],1,FALSE)</f>
        <v>#REF!</v>
      </c>
    </row>
    <row r="1869" spans="1:12" hidden="1" x14ac:dyDescent="0.3">
      <c r="A1869" t="s">
        <v>123</v>
      </c>
      <c r="B1869" t="s">
        <v>124</v>
      </c>
      <c r="C1869" t="s">
        <v>9</v>
      </c>
      <c r="D1869" t="s">
        <v>10</v>
      </c>
      <c r="E1869">
        <v>1995</v>
      </c>
      <c r="F1869" s="1">
        <v>100</v>
      </c>
      <c r="G1869">
        <v>1990</v>
      </c>
      <c r="H1869">
        <f>AVERAGEIFS(Table1[value],Table1[IndicatorCode],Table1[[#This Row],[IndicatorCode]])</f>
        <v>99.756410256410263</v>
      </c>
      <c r="I1869" cm="1">
        <f t="array" ref="I1869">_xlfn.STDEV.P(IF(Table1[IndicatorCode]=Table1[[#This Row],[IndicatorCode]],Table1[value]))</f>
        <v>1.1047979755287356</v>
      </c>
      <c r="J1869">
        <f>(Table1[[#This Row],[value]] - Table1[[#This Row],[mean]]) / Table1[[#This Row],[std_dev]]</f>
        <v>0.22048351733552002</v>
      </c>
      <c r="K1869">
        <f>AVERAGEIF(Table1[CountryCode],Table1[[#This Row],[CountryCode]],Table1[z-score])</f>
        <v>-0.96047002154562466</v>
      </c>
      <c r="L1869" t="e">
        <f>VLOOKUP(Table1[[#This Row],[CountryCode]],[1]!Table1[#All],1,FALSE)</f>
        <v>#REF!</v>
      </c>
    </row>
    <row r="1870" spans="1:12" hidden="1" x14ac:dyDescent="0.3">
      <c r="A1870" t="s">
        <v>123</v>
      </c>
      <c r="B1870" t="s">
        <v>124</v>
      </c>
      <c r="C1870" t="s">
        <v>9</v>
      </c>
      <c r="D1870" t="s">
        <v>10</v>
      </c>
      <c r="E1870">
        <v>1996</v>
      </c>
      <c r="F1870" s="1">
        <v>100</v>
      </c>
      <c r="G1870">
        <v>1990</v>
      </c>
      <c r="H1870">
        <f>AVERAGEIFS(Table1[value],Table1[IndicatorCode],Table1[[#This Row],[IndicatorCode]])</f>
        <v>99.756410256410263</v>
      </c>
      <c r="I1870" cm="1">
        <f t="array" ref="I1870">_xlfn.STDEV.P(IF(Table1[IndicatorCode]=Table1[[#This Row],[IndicatorCode]],Table1[value]))</f>
        <v>1.1047979755287356</v>
      </c>
      <c r="J1870">
        <f>(Table1[[#This Row],[value]] - Table1[[#This Row],[mean]]) / Table1[[#This Row],[std_dev]]</f>
        <v>0.22048351733552002</v>
      </c>
      <c r="K1870">
        <f>AVERAGEIF(Table1[CountryCode],Table1[[#This Row],[CountryCode]],Table1[z-score])</f>
        <v>-0.96047002154562466</v>
      </c>
      <c r="L1870" t="e">
        <f>VLOOKUP(Table1[[#This Row],[CountryCode]],[1]!Table1[#All],1,FALSE)</f>
        <v>#REF!</v>
      </c>
    </row>
    <row r="1871" spans="1:12" hidden="1" x14ac:dyDescent="0.3">
      <c r="A1871" t="s">
        <v>123</v>
      </c>
      <c r="B1871" t="s">
        <v>124</v>
      </c>
      <c r="C1871" t="s">
        <v>9</v>
      </c>
      <c r="D1871" t="s">
        <v>10</v>
      </c>
      <c r="E1871">
        <v>1997</v>
      </c>
      <c r="F1871" s="1">
        <v>100</v>
      </c>
      <c r="G1871">
        <v>1970</v>
      </c>
      <c r="H1871">
        <f>AVERAGEIFS(Table1[value],Table1[IndicatorCode],Table1[[#This Row],[IndicatorCode]])</f>
        <v>99.756410256410263</v>
      </c>
      <c r="I1871" cm="1">
        <f t="array" ref="I1871">_xlfn.STDEV.P(IF(Table1[IndicatorCode]=Table1[[#This Row],[IndicatorCode]],Table1[value]))</f>
        <v>1.1047979755287356</v>
      </c>
      <c r="J1871">
        <f>(Table1[[#This Row],[value]] - Table1[[#This Row],[mean]]) / Table1[[#This Row],[std_dev]]</f>
        <v>0.22048351733552002</v>
      </c>
      <c r="K1871">
        <f>AVERAGEIF(Table1[CountryCode],Table1[[#This Row],[CountryCode]],Table1[z-score])</f>
        <v>-0.96047002154562466</v>
      </c>
      <c r="L1871" t="e">
        <f>VLOOKUP(Table1[[#This Row],[CountryCode]],[1]!Table1[#All],1,FALSE)</f>
        <v>#REF!</v>
      </c>
    </row>
    <row r="1872" spans="1:12" hidden="1" x14ac:dyDescent="0.3">
      <c r="A1872" t="s">
        <v>123</v>
      </c>
      <c r="B1872" t="s">
        <v>124</v>
      </c>
      <c r="C1872" t="s">
        <v>9</v>
      </c>
      <c r="D1872" t="s">
        <v>10</v>
      </c>
      <c r="E1872">
        <v>1998</v>
      </c>
      <c r="F1872" s="1">
        <v>100</v>
      </c>
      <c r="G1872">
        <v>1970</v>
      </c>
      <c r="H1872">
        <f>AVERAGEIFS(Table1[value],Table1[IndicatorCode],Table1[[#This Row],[IndicatorCode]])</f>
        <v>99.756410256410263</v>
      </c>
      <c r="I1872" cm="1">
        <f t="array" ref="I1872">_xlfn.STDEV.P(IF(Table1[IndicatorCode]=Table1[[#This Row],[IndicatorCode]],Table1[value]))</f>
        <v>1.1047979755287356</v>
      </c>
      <c r="J1872">
        <f>(Table1[[#This Row],[value]] - Table1[[#This Row],[mean]]) / Table1[[#This Row],[std_dev]]</f>
        <v>0.22048351733552002</v>
      </c>
      <c r="K1872">
        <f>AVERAGEIF(Table1[CountryCode],Table1[[#This Row],[CountryCode]],Table1[z-score])</f>
        <v>-0.96047002154562466</v>
      </c>
      <c r="L1872" t="e">
        <f>VLOOKUP(Table1[[#This Row],[CountryCode]],[1]!Table1[#All],1,FALSE)</f>
        <v>#REF!</v>
      </c>
    </row>
    <row r="1873" spans="1:12" hidden="1" x14ac:dyDescent="0.3">
      <c r="A1873" t="s">
        <v>123</v>
      </c>
      <c r="B1873" t="s">
        <v>124</v>
      </c>
      <c r="C1873" t="s">
        <v>9</v>
      </c>
      <c r="D1873" t="s">
        <v>10</v>
      </c>
      <c r="E1873">
        <v>1999</v>
      </c>
      <c r="F1873" s="1">
        <v>100</v>
      </c>
      <c r="G1873">
        <v>1970</v>
      </c>
      <c r="H1873">
        <f>AVERAGEIFS(Table1[value],Table1[IndicatorCode],Table1[[#This Row],[IndicatorCode]])</f>
        <v>99.756410256410263</v>
      </c>
      <c r="I1873" cm="1">
        <f t="array" ref="I1873">_xlfn.STDEV.P(IF(Table1[IndicatorCode]=Table1[[#This Row],[IndicatorCode]],Table1[value]))</f>
        <v>1.1047979755287356</v>
      </c>
      <c r="J1873">
        <f>(Table1[[#This Row],[value]] - Table1[[#This Row],[mean]]) / Table1[[#This Row],[std_dev]]</f>
        <v>0.22048351733552002</v>
      </c>
      <c r="K1873">
        <f>AVERAGEIF(Table1[CountryCode],Table1[[#This Row],[CountryCode]],Table1[z-score])</f>
        <v>-0.96047002154562466</v>
      </c>
      <c r="L1873" t="e">
        <f>VLOOKUP(Table1[[#This Row],[CountryCode]],[1]!Table1[#All],1,FALSE)</f>
        <v>#REF!</v>
      </c>
    </row>
    <row r="1874" spans="1:12" hidden="1" x14ac:dyDescent="0.3">
      <c r="A1874" t="s">
        <v>7</v>
      </c>
      <c r="B1874" t="s">
        <v>8</v>
      </c>
      <c r="C1874" t="s">
        <v>125</v>
      </c>
      <c r="D1874" t="s">
        <v>126</v>
      </c>
      <c r="E1874">
        <v>1970</v>
      </c>
      <c r="F1874" s="1">
        <v>2</v>
      </c>
      <c r="G1874">
        <v>1970</v>
      </c>
      <c r="H1874">
        <f>AVERAGEIFS(Table1[value],Table1[IndicatorCode],Table1[[#This Row],[IndicatorCode]])</f>
        <v>7.6894248608534319</v>
      </c>
      <c r="I1874" cm="1">
        <f t="array" ref="I1874">_xlfn.STDEV.P(IF(Table1[IndicatorCode]=Table1[[#This Row],[IndicatorCode]],Table1[value]))</f>
        <v>5.2319501044600996</v>
      </c>
      <c r="J1874">
        <f>(Table1[[#This Row],[value]] - Table1[[#This Row],[mean]]) / Table1[[#This Row],[std_dev]]</f>
        <v>-1.0874386695705196</v>
      </c>
      <c r="K1874">
        <f>AVERAGEIF(Table1[CountryCode],Table1[[#This Row],[CountryCode]],Table1[z-score])</f>
        <v>-0.54328248635894838</v>
      </c>
      <c r="L1874" t="e">
        <f>VLOOKUP(Table1[[#This Row],[CountryCode]],[1]!Table1[#Data],4,FALSE)</f>
        <v>#REF!</v>
      </c>
    </row>
    <row r="1875" spans="1:12" hidden="1" x14ac:dyDescent="0.3">
      <c r="A1875" t="s">
        <v>7</v>
      </c>
      <c r="B1875" t="s">
        <v>8</v>
      </c>
      <c r="C1875" t="s">
        <v>125</v>
      </c>
      <c r="D1875" t="s">
        <v>126</v>
      </c>
      <c r="E1875">
        <v>1971</v>
      </c>
      <c r="F1875" s="1">
        <v>2</v>
      </c>
      <c r="G1875">
        <v>1970</v>
      </c>
      <c r="H1875">
        <f>AVERAGEIFS(Table1[value],Table1[IndicatorCode],Table1[[#This Row],[IndicatorCode]])</f>
        <v>7.6894248608534319</v>
      </c>
      <c r="I1875" cm="1">
        <f t="array" ref="I1875">_xlfn.STDEV.P(IF(Table1[IndicatorCode]=Table1[[#This Row],[IndicatorCode]],Table1[value]))</f>
        <v>5.2319501044600996</v>
      </c>
      <c r="J1875">
        <f>(Table1[[#This Row],[value]] - Table1[[#This Row],[mean]]) / Table1[[#This Row],[std_dev]]</f>
        <v>-1.0874386695705196</v>
      </c>
      <c r="K1875">
        <f>AVERAGEIF(Table1[CountryCode],Table1[[#This Row],[CountryCode]],Table1[z-score])</f>
        <v>-0.54328248635894838</v>
      </c>
      <c r="L1875" t="e">
        <f>VLOOKUP(Table1[[#This Row],[CountryCode]],[1]!Table1[#Data],4,FALSE)</f>
        <v>#REF!</v>
      </c>
    </row>
    <row r="1876" spans="1:12" hidden="1" x14ac:dyDescent="0.3">
      <c r="A1876" t="s">
        <v>7</v>
      </c>
      <c r="B1876" t="s">
        <v>8</v>
      </c>
      <c r="C1876" t="s">
        <v>125</v>
      </c>
      <c r="D1876" t="s">
        <v>126</v>
      </c>
      <c r="E1876">
        <v>1972</v>
      </c>
      <c r="F1876" s="1">
        <v>2</v>
      </c>
      <c r="G1876">
        <v>1970</v>
      </c>
      <c r="H1876">
        <f>AVERAGEIFS(Table1[value],Table1[IndicatorCode],Table1[[#This Row],[IndicatorCode]])</f>
        <v>7.6894248608534319</v>
      </c>
      <c r="I1876" cm="1">
        <f t="array" ref="I1876">_xlfn.STDEV.P(IF(Table1[IndicatorCode]=Table1[[#This Row],[IndicatorCode]],Table1[value]))</f>
        <v>5.2319501044600996</v>
      </c>
      <c r="J1876">
        <f>(Table1[[#This Row],[value]] - Table1[[#This Row],[mean]]) / Table1[[#This Row],[std_dev]]</f>
        <v>-1.0874386695705196</v>
      </c>
      <c r="K1876">
        <f>AVERAGEIF(Table1[CountryCode],Table1[[#This Row],[CountryCode]],Table1[z-score])</f>
        <v>-0.54328248635894838</v>
      </c>
      <c r="L1876" t="e">
        <f>VLOOKUP(Table1[[#This Row],[CountryCode]],[1]!Table1[#Data],4,FALSE)</f>
        <v>#REF!</v>
      </c>
    </row>
    <row r="1877" spans="1:12" hidden="1" x14ac:dyDescent="0.3">
      <c r="A1877" t="s">
        <v>7</v>
      </c>
      <c r="B1877" t="s">
        <v>8</v>
      </c>
      <c r="C1877" t="s">
        <v>125</v>
      </c>
      <c r="D1877" t="s">
        <v>126</v>
      </c>
      <c r="E1877">
        <v>1973</v>
      </c>
      <c r="F1877" s="1">
        <v>2</v>
      </c>
      <c r="G1877">
        <v>1970</v>
      </c>
      <c r="H1877">
        <f>AVERAGEIFS(Table1[value],Table1[IndicatorCode],Table1[[#This Row],[IndicatorCode]])</f>
        <v>7.6894248608534319</v>
      </c>
      <c r="I1877" cm="1">
        <f t="array" ref="I1877">_xlfn.STDEV.P(IF(Table1[IndicatorCode]=Table1[[#This Row],[IndicatorCode]],Table1[value]))</f>
        <v>5.2319501044600996</v>
      </c>
      <c r="J1877">
        <f>(Table1[[#This Row],[value]] - Table1[[#This Row],[mean]]) / Table1[[#This Row],[std_dev]]</f>
        <v>-1.0874386695705196</v>
      </c>
      <c r="K1877">
        <f>AVERAGEIF(Table1[CountryCode],Table1[[#This Row],[CountryCode]],Table1[z-score])</f>
        <v>-0.54328248635894838</v>
      </c>
      <c r="L1877" t="e">
        <f>VLOOKUP(Table1[[#This Row],[CountryCode]],[1]!Table1[#Data],4,FALSE)</f>
        <v>#REF!</v>
      </c>
    </row>
    <row r="1878" spans="1:12" hidden="1" x14ac:dyDescent="0.3">
      <c r="A1878" t="s">
        <v>7</v>
      </c>
      <c r="B1878" t="s">
        <v>8</v>
      </c>
      <c r="C1878" t="s">
        <v>125</v>
      </c>
      <c r="D1878" t="s">
        <v>126</v>
      </c>
      <c r="E1878">
        <v>1974</v>
      </c>
      <c r="F1878" s="1">
        <v>2</v>
      </c>
      <c r="G1878">
        <v>1970</v>
      </c>
      <c r="H1878">
        <f>AVERAGEIFS(Table1[value],Table1[IndicatorCode],Table1[[#This Row],[IndicatorCode]])</f>
        <v>7.6894248608534319</v>
      </c>
      <c r="I1878" cm="1">
        <f t="array" ref="I1878">_xlfn.STDEV.P(IF(Table1[IndicatorCode]=Table1[[#This Row],[IndicatorCode]],Table1[value]))</f>
        <v>5.2319501044600996</v>
      </c>
      <c r="J1878">
        <f>(Table1[[#This Row],[value]] - Table1[[#This Row],[mean]]) / Table1[[#This Row],[std_dev]]</f>
        <v>-1.0874386695705196</v>
      </c>
      <c r="K1878">
        <f>AVERAGEIF(Table1[CountryCode],Table1[[#This Row],[CountryCode]],Table1[z-score])</f>
        <v>-0.54328248635894838</v>
      </c>
      <c r="L1878" t="e">
        <f>VLOOKUP(Table1[[#This Row],[CountryCode]],[1]!Table1[#Data],4,FALSE)</f>
        <v>#REF!</v>
      </c>
    </row>
    <row r="1879" spans="1:12" hidden="1" x14ac:dyDescent="0.3">
      <c r="A1879" t="s">
        <v>7</v>
      </c>
      <c r="B1879" t="s">
        <v>8</v>
      </c>
      <c r="C1879" t="s">
        <v>125</v>
      </c>
      <c r="D1879" t="s">
        <v>126</v>
      </c>
      <c r="E1879">
        <v>1975</v>
      </c>
      <c r="F1879" s="1">
        <v>2</v>
      </c>
      <c r="G1879">
        <v>1970</v>
      </c>
      <c r="H1879">
        <f>AVERAGEIFS(Table1[value],Table1[IndicatorCode],Table1[[#This Row],[IndicatorCode]])</f>
        <v>7.6894248608534319</v>
      </c>
      <c r="I1879" cm="1">
        <f t="array" ref="I1879">_xlfn.STDEV.P(IF(Table1[IndicatorCode]=Table1[[#This Row],[IndicatorCode]],Table1[value]))</f>
        <v>5.2319501044600996</v>
      </c>
      <c r="J1879">
        <f>(Table1[[#This Row],[value]] - Table1[[#This Row],[mean]]) / Table1[[#This Row],[std_dev]]</f>
        <v>-1.0874386695705196</v>
      </c>
      <c r="K1879">
        <f>AVERAGEIF(Table1[CountryCode],Table1[[#This Row],[CountryCode]],Table1[z-score])</f>
        <v>-0.54328248635894838</v>
      </c>
      <c r="L1879" t="e">
        <f>VLOOKUP(Table1[[#This Row],[CountryCode]],[1]!Table1[#Data],4,FALSE)</f>
        <v>#REF!</v>
      </c>
    </row>
    <row r="1880" spans="1:12" hidden="1" x14ac:dyDescent="0.3">
      <c r="A1880" t="s">
        <v>7</v>
      </c>
      <c r="B1880" t="s">
        <v>8</v>
      </c>
      <c r="C1880" t="s">
        <v>125</v>
      </c>
      <c r="D1880" t="s">
        <v>126</v>
      </c>
      <c r="E1880">
        <v>1976</v>
      </c>
      <c r="F1880" s="1">
        <v>2</v>
      </c>
      <c r="G1880">
        <v>1970</v>
      </c>
      <c r="H1880">
        <f>AVERAGEIFS(Table1[value],Table1[IndicatorCode],Table1[[#This Row],[IndicatorCode]])</f>
        <v>7.6894248608534319</v>
      </c>
      <c r="I1880" cm="1">
        <f t="array" ref="I1880">_xlfn.STDEV.P(IF(Table1[IndicatorCode]=Table1[[#This Row],[IndicatorCode]],Table1[value]))</f>
        <v>5.2319501044600996</v>
      </c>
      <c r="J1880">
        <f>(Table1[[#This Row],[value]] - Table1[[#This Row],[mean]]) / Table1[[#This Row],[std_dev]]</f>
        <v>-1.0874386695705196</v>
      </c>
      <c r="K1880">
        <f>AVERAGEIF(Table1[CountryCode],Table1[[#This Row],[CountryCode]],Table1[z-score])</f>
        <v>-0.54328248635894838</v>
      </c>
      <c r="L1880" t="e">
        <f>VLOOKUP(Table1[[#This Row],[CountryCode]],[1]!Table1[#Data],4,FALSE)</f>
        <v>#REF!</v>
      </c>
    </row>
    <row r="1881" spans="1:12" hidden="1" x14ac:dyDescent="0.3">
      <c r="A1881" t="s">
        <v>7</v>
      </c>
      <c r="B1881" t="s">
        <v>8</v>
      </c>
      <c r="C1881" t="s">
        <v>125</v>
      </c>
      <c r="D1881" t="s">
        <v>126</v>
      </c>
      <c r="E1881">
        <v>1977</v>
      </c>
      <c r="F1881" s="1">
        <v>2</v>
      </c>
      <c r="G1881">
        <v>1980</v>
      </c>
      <c r="H1881">
        <f>AVERAGEIFS(Table1[value],Table1[IndicatorCode],Table1[[#This Row],[IndicatorCode]])</f>
        <v>7.6894248608534319</v>
      </c>
      <c r="I1881" cm="1">
        <f t="array" ref="I1881">_xlfn.STDEV.P(IF(Table1[IndicatorCode]=Table1[[#This Row],[IndicatorCode]],Table1[value]))</f>
        <v>5.2319501044600996</v>
      </c>
      <c r="J1881">
        <f>(Table1[[#This Row],[value]] - Table1[[#This Row],[mean]]) / Table1[[#This Row],[std_dev]]</f>
        <v>-1.0874386695705196</v>
      </c>
      <c r="K1881">
        <f>AVERAGEIF(Table1[CountryCode],Table1[[#This Row],[CountryCode]],Table1[z-score])</f>
        <v>-0.54328248635894838</v>
      </c>
      <c r="L1881" t="e">
        <f>VLOOKUP(Table1[[#This Row],[CountryCode]],[1]!Table1[#Data],4,FALSE)</f>
        <v>#REF!</v>
      </c>
    </row>
    <row r="1882" spans="1:12" hidden="1" x14ac:dyDescent="0.3">
      <c r="A1882" t="s">
        <v>7</v>
      </c>
      <c r="B1882" t="s">
        <v>8</v>
      </c>
      <c r="C1882" t="s">
        <v>125</v>
      </c>
      <c r="D1882" t="s">
        <v>126</v>
      </c>
      <c r="E1882">
        <v>1978</v>
      </c>
      <c r="F1882" s="1">
        <v>3</v>
      </c>
      <c r="G1882">
        <v>1980</v>
      </c>
      <c r="H1882">
        <f>AVERAGEIFS(Table1[value],Table1[IndicatorCode],Table1[[#This Row],[IndicatorCode]])</f>
        <v>7.6894248608534319</v>
      </c>
      <c r="I1882" cm="1">
        <f t="array" ref="I1882">_xlfn.STDEV.P(IF(Table1[IndicatorCode]=Table1[[#This Row],[IndicatorCode]],Table1[value]))</f>
        <v>5.2319501044600996</v>
      </c>
      <c r="J1882">
        <f>(Table1[[#This Row],[value]] - Table1[[#This Row],[mean]]) / Table1[[#This Row],[std_dev]]</f>
        <v>-0.89630534833576125</v>
      </c>
      <c r="K1882">
        <f>AVERAGEIF(Table1[CountryCode],Table1[[#This Row],[CountryCode]],Table1[z-score])</f>
        <v>-0.54328248635894838</v>
      </c>
      <c r="L1882" t="e">
        <f>VLOOKUP(Table1[[#This Row],[CountryCode]],[1]!Table1[#Data],4,FALSE)</f>
        <v>#REF!</v>
      </c>
    </row>
    <row r="1883" spans="1:12" hidden="1" x14ac:dyDescent="0.3">
      <c r="A1883" t="s">
        <v>7</v>
      </c>
      <c r="B1883" t="s">
        <v>8</v>
      </c>
      <c r="C1883" t="s">
        <v>125</v>
      </c>
      <c r="D1883" t="s">
        <v>126</v>
      </c>
      <c r="E1883">
        <v>1979</v>
      </c>
      <c r="F1883" s="1">
        <v>3</v>
      </c>
      <c r="G1883">
        <v>1980</v>
      </c>
      <c r="H1883">
        <f>AVERAGEIFS(Table1[value],Table1[IndicatorCode],Table1[[#This Row],[IndicatorCode]])</f>
        <v>7.6894248608534319</v>
      </c>
      <c r="I1883" cm="1">
        <f t="array" ref="I1883">_xlfn.STDEV.P(IF(Table1[IndicatorCode]=Table1[[#This Row],[IndicatorCode]],Table1[value]))</f>
        <v>5.2319501044600996</v>
      </c>
      <c r="J1883">
        <f>(Table1[[#This Row],[value]] - Table1[[#This Row],[mean]]) / Table1[[#This Row],[std_dev]]</f>
        <v>-0.89630534833576125</v>
      </c>
      <c r="K1883">
        <f>AVERAGEIF(Table1[CountryCode],Table1[[#This Row],[CountryCode]],Table1[z-score])</f>
        <v>-0.54328248635894838</v>
      </c>
      <c r="L1883" t="e">
        <f>VLOOKUP(Table1[[#This Row],[CountryCode]],[1]!Table1[#Data],4,FALSE)</f>
        <v>#REF!</v>
      </c>
    </row>
    <row r="1884" spans="1:12" hidden="1" x14ac:dyDescent="0.3">
      <c r="A1884" t="s">
        <v>7</v>
      </c>
      <c r="B1884" t="s">
        <v>8</v>
      </c>
      <c r="C1884" t="s">
        <v>125</v>
      </c>
      <c r="D1884" t="s">
        <v>126</v>
      </c>
      <c r="E1884">
        <v>1980</v>
      </c>
      <c r="F1884" s="1">
        <v>3</v>
      </c>
      <c r="G1884">
        <v>1980</v>
      </c>
      <c r="H1884">
        <f>AVERAGEIFS(Table1[value],Table1[IndicatorCode],Table1[[#This Row],[IndicatorCode]])</f>
        <v>7.6894248608534319</v>
      </c>
      <c r="I1884" cm="1">
        <f t="array" ref="I1884">_xlfn.STDEV.P(IF(Table1[IndicatorCode]=Table1[[#This Row],[IndicatorCode]],Table1[value]))</f>
        <v>5.2319501044600996</v>
      </c>
      <c r="J1884">
        <f>(Table1[[#This Row],[value]] - Table1[[#This Row],[mean]]) / Table1[[#This Row],[std_dev]]</f>
        <v>-0.89630534833576125</v>
      </c>
      <c r="K1884">
        <f>AVERAGEIF(Table1[CountryCode],Table1[[#This Row],[CountryCode]],Table1[z-score])</f>
        <v>-0.54328248635894838</v>
      </c>
      <c r="L1884" t="e">
        <f>VLOOKUP(Table1[[#This Row],[CountryCode]],[1]!Table1[#Data],4,FALSE)</f>
        <v>#REF!</v>
      </c>
    </row>
    <row r="1885" spans="1:12" hidden="1" x14ac:dyDescent="0.3">
      <c r="A1885" t="s">
        <v>7</v>
      </c>
      <c r="B1885" t="s">
        <v>8</v>
      </c>
      <c r="C1885" t="s">
        <v>125</v>
      </c>
      <c r="D1885" t="s">
        <v>126</v>
      </c>
      <c r="E1885">
        <v>1981</v>
      </c>
      <c r="F1885" s="1">
        <v>3</v>
      </c>
      <c r="G1885">
        <v>1980</v>
      </c>
      <c r="H1885">
        <f>AVERAGEIFS(Table1[value],Table1[IndicatorCode],Table1[[#This Row],[IndicatorCode]])</f>
        <v>7.6894248608534319</v>
      </c>
      <c r="I1885" cm="1">
        <f t="array" ref="I1885">_xlfn.STDEV.P(IF(Table1[IndicatorCode]=Table1[[#This Row],[IndicatorCode]],Table1[value]))</f>
        <v>5.2319501044600996</v>
      </c>
      <c r="J1885">
        <f>(Table1[[#This Row],[value]] - Table1[[#This Row],[mean]]) / Table1[[#This Row],[std_dev]]</f>
        <v>-0.89630534833576125</v>
      </c>
      <c r="K1885">
        <f>AVERAGEIF(Table1[CountryCode],Table1[[#This Row],[CountryCode]],Table1[z-score])</f>
        <v>-0.54328248635894838</v>
      </c>
      <c r="L1885" t="e">
        <f>VLOOKUP(Table1[[#This Row],[CountryCode]],[1]!Table1[#Data],4,FALSE)</f>
        <v>#REF!</v>
      </c>
    </row>
    <row r="1886" spans="1:12" hidden="1" x14ac:dyDescent="0.3">
      <c r="A1886" t="s">
        <v>7</v>
      </c>
      <c r="B1886" t="s">
        <v>8</v>
      </c>
      <c r="C1886" t="s">
        <v>125</v>
      </c>
      <c r="D1886" t="s">
        <v>126</v>
      </c>
      <c r="E1886">
        <v>1982</v>
      </c>
      <c r="F1886" s="1">
        <v>3</v>
      </c>
      <c r="G1886">
        <v>1980</v>
      </c>
      <c r="H1886">
        <f>AVERAGEIFS(Table1[value],Table1[IndicatorCode],Table1[[#This Row],[IndicatorCode]])</f>
        <v>7.6894248608534319</v>
      </c>
      <c r="I1886" cm="1">
        <f t="array" ref="I1886">_xlfn.STDEV.P(IF(Table1[IndicatorCode]=Table1[[#This Row],[IndicatorCode]],Table1[value]))</f>
        <v>5.2319501044600996</v>
      </c>
      <c r="J1886">
        <f>(Table1[[#This Row],[value]] - Table1[[#This Row],[mean]]) / Table1[[#This Row],[std_dev]]</f>
        <v>-0.89630534833576125</v>
      </c>
      <c r="K1886">
        <f>AVERAGEIF(Table1[CountryCode],Table1[[#This Row],[CountryCode]],Table1[z-score])</f>
        <v>-0.54328248635894838</v>
      </c>
      <c r="L1886" t="e">
        <f>VLOOKUP(Table1[[#This Row],[CountryCode]],[1]!Table1[#Data],4,FALSE)</f>
        <v>#REF!</v>
      </c>
    </row>
    <row r="1887" spans="1:12" hidden="1" x14ac:dyDescent="0.3">
      <c r="A1887" t="s">
        <v>7</v>
      </c>
      <c r="B1887" t="s">
        <v>8</v>
      </c>
      <c r="C1887" t="s">
        <v>125</v>
      </c>
      <c r="D1887" t="s">
        <v>126</v>
      </c>
      <c r="E1887">
        <v>1983</v>
      </c>
      <c r="F1887" s="1">
        <v>3</v>
      </c>
      <c r="G1887">
        <v>1980</v>
      </c>
      <c r="H1887">
        <f>AVERAGEIFS(Table1[value],Table1[IndicatorCode],Table1[[#This Row],[IndicatorCode]])</f>
        <v>7.6894248608534319</v>
      </c>
      <c r="I1887" cm="1">
        <f t="array" ref="I1887">_xlfn.STDEV.P(IF(Table1[IndicatorCode]=Table1[[#This Row],[IndicatorCode]],Table1[value]))</f>
        <v>5.2319501044600996</v>
      </c>
      <c r="J1887">
        <f>(Table1[[#This Row],[value]] - Table1[[#This Row],[mean]]) / Table1[[#This Row],[std_dev]]</f>
        <v>-0.89630534833576125</v>
      </c>
      <c r="K1887">
        <f>AVERAGEIF(Table1[CountryCode],Table1[[#This Row],[CountryCode]],Table1[z-score])</f>
        <v>-0.54328248635894838</v>
      </c>
      <c r="L1887" t="e">
        <f>VLOOKUP(Table1[[#This Row],[CountryCode]],[1]!Table1[#Data],4,FALSE)</f>
        <v>#REF!</v>
      </c>
    </row>
    <row r="1888" spans="1:12" hidden="1" x14ac:dyDescent="0.3">
      <c r="A1888" t="s">
        <v>7</v>
      </c>
      <c r="B1888" t="s">
        <v>8</v>
      </c>
      <c r="C1888" t="s">
        <v>125</v>
      </c>
      <c r="D1888" t="s">
        <v>126</v>
      </c>
      <c r="E1888">
        <v>1984</v>
      </c>
      <c r="F1888" s="1">
        <v>3</v>
      </c>
      <c r="G1888">
        <v>1980</v>
      </c>
      <c r="H1888">
        <f>AVERAGEIFS(Table1[value],Table1[IndicatorCode],Table1[[#This Row],[IndicatorCode]])</f>
        <v>7.6894248608534319</v>
      </c>
      <c r="I1888" cm="1">
        <f t="array" ref="I1888">_xlfn.STDEV.P(IF(Table1[IndicatorCode]=Table1[[#This Row],[IndicatorCode]],Table1[value]))</f>
        <v>5.2319501044600996</v>
      </c>
      <c r="J1888">
        <f>(Table1[[#This Row],[value]] - Table1[[#This Row],[mean]]) / Table1[[#This Row],[std_dev]]</f>
        <v>-0.89630534833576125</v>
      </c>
      <c r="K1888">
        <f>AVERAGEIF(Table1[CountryCode],Table1[[#This Row],[CountryCode]],Table1[z-score])</f>
        <v>-0.54328248635894838</v>
      </c>
      <c r="L1888" t="e">
        <f>VLOOKUP(Table1[[#This Row],[CountryCode]],[1]!Table1[#Data],4,FALSE)</f>
        <v>#REF!</v>
      </c>
    </row>
    <row r="1889" spans="1:12" hidden="1" x14ac:dyDescent="0.3">
      <c r="A1889" t="s">
        <v>7</v>
      </c>
      <c r="B1889" t="s">
        <v>8</v>
      </c>
      <c r="C1889" t="s">
        <v>125</v>
      </c>
      <c r="D1889" t="s">
        <v>126</v>
      </c>
      <c r="E1889">
        <v>1985</v>
      </c>
      <c r="F1889" s="1">
        <v>3</v>
      </c>
      <c r="G1889">
        <v>1980</v>
      </c>
      <c r="H1889">
        <f>AVERAGEIFS(Table1[value],Table1[IndicatorCode],Table1[[#This Row],[IndicatorCode]])</f>
        <v>7.6894248608534319</v>
      </c>
      <c r="I1889" cm="1">
        <f t="array" ref="I1889">_xlfn.STDEV.P(IF(Table1[IndicatorCode]=Table1[[#This Row],[IndicatorCode]],Table1[value]))</f>
        <v>5.2319501044600996</v>
      </c>
      <c r="J1889">
        <f>(Table1[[#This Row],[value]] - Table1[[#This Row],[mean]]) / Table1[[#This Row],[std_dev]]</f>
        <v>-0.89630534833576125</v>
      </c>
      <c r="K1889">
        <f>AVERAGEIF(Table1[CountryCode],Table1[[#This Row],[CountryCode]],Table1[z-score])</f>
        <v>-0.54328248635894838</v>
      </c>
      <c r="L1889" t="e">
        <f>VLOOKUP(Table1[[#This Row],[CountryCode]],[1]!Table1[#Data],4,FALSE)</f>
        <v>#REF!</v>
      </c>
    </row>
    <row r="1890" spans="1:12" hidden="1" x14ac:dyDescent="0.3">
      <c r="A1890" t="s">
        <v>7</v>
      </c>
      <c r="B1890" t="s">
        <v>8</v>
      </c>
      <c r="C1890" t="s">
        <v>125</v>
      </c>
      <c r="D1890" t="s">
        <v>126</v>
      </c>
      <c r="E1890">
        <v>1986</v>
      </c>
      <c r="F1890" s="1">
        <v>3</v>
      </c>
      <c r="G1890">
        <v>1980</v>
      </c>
      <c r="H1890">
        <f>AVERAGEIFS(Table1[value],Table1[IndicatorCode],Table1[[#This Row],[IndicatorCode]])</f>
        <v>7.6894248608534319</v>
      </c>
      <c r="I1890" cm="1">
        <f t="array" ref="I1890">_xlfn.STDEV.P(IF(Table1[IndicatorCode]=Table1[[#This Row],[IndicatorCode]],Table1[value]))</f>
        <v>5.2319501044600996</v>
      </c>
      <c r="J1890">
        <f>(Table1[[#This Row],[value]] - Table1[[#This Row],[mean]]) / Table1[[#This Row],[std_dev]]</f>
        <v>-0.89630534833576125</v>
      </c>
      <c r="K1890">
        <f>AVERAGEIF(Table1[CountryCode],Table1[[#This Row],[CountryCode]],Table1[z-score])</f>
        <v>-0.54328248635894838</v>
      </c>
      <c r="L1890" t="e">
        <f>VLOOKUP(Table1[[#This Row],[CountryCode]],[1]!Table1[#Data],4,FALSE)</f>
        <v>#REF!</v>
      </c>
    </row>
    <row r="1891" spans="1:12" hidden="1" x14ac:dyDescent="0.3">
      <c r="A1891" t="s">
        <v>7</v>
      </c>
      <c r="B1891" t="s">
        <v>8</v>
      </c>
      <c r="C1891" t="s">
        <v>125</v>
      </c>
      <c r="D1891" t="s">
        <v>126</v>
      </c>
      <c r="E1891">
        <v>1987</v>
      </c>
      <c r="F1891" s="1">
        <v>3</v>
      </c>
      <c r="G1891">
        <v>1990</v>
      </c>
      <c r="H1891">
        <f>AVERAGEIFS(Table1[value],Table1[IndicatorCode],Table1[[#This Row],[IndicatorCode]])</f>
        <v>7.6894248608534319</v>
      </c>
      <c r="I1891" cm="1">
        <f t="array" ref="I1891">_xlfn.STDEV.P(IF(Table1[IndicatorCode]=Table1[[#This Row],[IndicatorCode]],Table1[value]))</f>
        <v>5.2319501044600996</v>
      </c>
      <c r="J1891">
        <f>(Table1[[#This Row],[value]] - Table1[[#This Row],[mean]]) / Table1[[#This Row],[std_dev]]</f>
        <v>-0.89630534833576125</v>
      </c>
      <c r="K1891">
        <f>AVERAGEIF(Table1[CountryCode],Table1[[#This Row],[CountryCode]],Table1[z-score])</f>
        <v>-0.54328248635894838</v>
      </c>
      <c r="L1891" t="e">
        <f>VLOOKUP(Table1[[#This Row],[CountryCode]],[1]!Table1[#Data],4,FALSE)</f>
        <v>#REF!</v>
      </c>
    </row>
    <row r="1892" spans="1:12" hidden="1" x14ac:dyDescent="0.3">
      <c r="A1892" t="s">
        <v>7</v>
      </c>
      <c r="B1892" t="s">
        <v>8</v>
      </c>
      <c r="C1892" t="s">
        <v>125</v>
      </c>
      <c r="D1892" t="s">
        <v>126</v>
      </c>
      <c r="E1892">
        <v>1988</v>
      </c>
      <c r="F1892" s="1">
        <v>3</v>
      </c>
      <c r="G1892">
        <v>1990</v>
      </c>
      <c r="H1892">
        <f>AVERAGEIFS(Table1[value],Table1[IndicatorCode],Table1[[#This Row],[IndicatorCode]])</f>
        <v>7.6894248608534319</v>
      </c>
      <c r="I1892" cm="1">
        <f t="array" ref="I1892">_xlfn.STDEV.P(IF(Table1[IndicatorCode]=Table1[[#This Row],[IndicatorCode]],Table1[value]))</f>
        <v>5.2319501044600996</v>
      </c>
      <c r="J1892">
        <f>(Table1[[#This Row],[value]] - Table1[[#This Row],[mean]]) / Table1[[#This Row],[std_dev]]</f>
        <v>-0.89630534833576125</v>
      </c>
      <c r="K1892">
        <f>AVERAGEIF(Table1[CountryCode],Table1[[#This Row],[CountryCode]],Table1[z-score])</f>
        <v>-0.54328248635894838</v>
      </c>
      <c r="L1892" t="e">
        <f>VLOOKUP(Table1[[#This Row],[CountryCode]],[1]!Table1[#Data],4,FALSE)</f>
        <v>#REF!</v>
      </c>
    </row>
    <row r="1893" spans="1:12" hidden="1" x14ac:dyDescent="0.3">
      <c r="A1893" t="s">
        <v>7</v>
      </c>
      <c r="B1893" t="s">
        <v>8</v>
      </c>
      <c r="C1893" t="s">
        <v>125</v>
      </c>
      <c r="D1893" t="s">
        <v>126</v>
      </c>
      <c r="E1893">
        <v>1989</v>
      </c>
      <c r="F1893" s="1">
        <v>2</v>
      </c>
      <c r="G1893">
        <v>1990</v>
      </c>
      <c r="H1893">
        <f>AVERAGEIFS(Table1[value],Table1[IndicatorCode],Table1[[#This Row],[IndicatorCode]])</f>
        <v>7.6894248608534319</v>
      </c>
      <c r="I1893" cm="1">
        <f t="array" ref="I1893">_xlfn.STDEV.P(IF(Table1[IndicatorCode]=Table1[[#This Row],[IndicatorCode]],Table1[value]))</f>
        <v>5.2319501044600996</v>
      </c>
      <c r="J1893">
        <f>(Table1[[#This Row],[value]] - Table1[[#This Row],[mean]]) / Table1[[#This Row],[std_dev]]</f>
        <v>-1.0874386695705196</v>
      </c>
      <c r="K1893">
        <f>AVERAGEIF(Table1[CountryCode],Table1[[#This Row],[CountryCode]],Table1[z-score])</f>
        <v>-0.54328248635894838</v>
      </c>
      <c r="L1893" t="e">
        <f>VLOOKUP(Table1[[#This Row],[CountryCode]],[1]!Table1[#Data],4,FALSE)</f>
        <v>#REF!</v>
      </c>
    </row>
    <row r="1894" spans="1:12" hidden="1" x14ac:dyDescent="0.3">
      <c r="A1894" t="s">
        <v>7</v>
      </c>
      <c r="B1894" t="s">
        <v>8</v>
      </c>
      <c r="C1894" t="s">
        <v>125</v>
      </c>
      <c r="D1894" t="s">
        <v>126</v>
      </c>
      <c r="E1894">
        <v>1990</v>
      </c>
      <c r="F1894" s="1">
        <v>2</v>
      </c>
      <c r="G1894">
        <v>1990</v>
      </c>
      <c r="H1894">
        <f>AVERAGEIFS(Table1[value],Table1[IndicatorCode],Table1[[#This Row],[IndicatorCode]])</f>
        <v>7.6894248608534319</v>
      </c>
      <c r="I1894" cm="1">
        <f t="array" ref="I1894">_xlfn.STDEV.P(IF(Table1[IndicatorCode]=Table1[[#This Row],[IndicatorCode]],Table1[value]))</f>
        <v>5.2319501044600996</v>
      </c>
      <c r="J1894">
        <f>(Table1[[#This Row],[value]] - Table1[[#This Row],[mean]]) / Table1[[#This Row],[std_dev]]</f>
        <v>-1.0874386695705196</v>
      </c>
      <c r="K1894">
        <f>AVERAGEIF(Table1[CountryCode],Table1[[#This Row],[CountryCode]],Table1[z-score])</f>
        <v>-0.54328248635894838</v>
      </c>
      <c r="L1894" t="e">
        <f>VLOOKUP(Table1[[#This Row],[CountryCode]],[1]!Table1[#Data],4,FALSE)</f>
        <v>#REF!</v>
      </c>
    </row>
    <row r="1895" spans="1:12" hidden="1" x14ac:dyDescent="0.3">
      <c r="A1895" t="s">
        <v>7</v>
      </c>
      <c r="B1895" t="s">
        <v>8</v>
      </c>
      <c r="C1895" t="s">
        <v>125</v>
      </c>
      <c r="D1895" t="s">
        <v>126</v>
      </c>
      <c r="E1895">
        <v>1991</v>
      </c>
      <c r="F1895" s="1">
        <v>1</v>
      </c>
      <c r="G1895">
        <v>1990</v>
      </c>
      <c r="H1895">
        <f>AVERAGEIFS(Table1[value],Table1[IndicatorCode],Table1[[#This Row],[IndicatorCode]])</f>
        <v>7.6894248608534319</v>
      </c>
      <c r="I1895" cm="1">
        <f t="array" ref="I1895">_xlfn.STDEV.P(IF(Table1[IndicatorCode]=Table1[[#This Row],[IndicatorCode]],Table1[value]))</f>
        <v>5.2319501044600996</v>
      </c>
      <c r="J1895">
        <f>(Table1[[#This Row],[value]] - Table1[[#This Row],[mean]]) / Table1[[#This Row],[std_dev]]</f>
        <v>-1.2785719908052779</v>
      </c>
      <c r="K1895">
        <f>AVERAGEIF(Table1[CountryCode],Table1[[#This Row],[CountryCode]],Table1[z-score])</f>
        <v>-0.54328248635894838</v>
      </c>
      <c r="L1895" t="e">
        <f>VLOOKUP(Table1[[#This Row],[CountryCode]],[1]!Table1[#Data],4,FALSE)</f>
        <v>#REF!</v>
      </c>
    </row>
    <row r="1896" spans="1:12" hidden="1" x14ac:dyDescent="0.3">
      <c r="A1896" t="s">
        <v>7</v>
      </c>
      <c r="B1896" t="s">
        <v>8</v>
      </c>
      <c r="C1896" t="s">
        <v>125</v>
      </c>
      <c r="D1896" t="s">
        <v>126</v>
      </c>
      <c r="E1896">
        <v>1992</v>
      </c>
      <c r="F1896" s="1">
        <v>1</v>
      </c>
      <c r="G1896">
        <v>1990</v>
      </c>
      <c r="H1896">
        <f>AVERAGEIFS(Table1[value],Table1[IndicatorCode],Table1[[#This Row],[IndicatorCode]])</f>
        <v>7.6894248608534319</v>
      </c>
      <c r="I1896" cm="1">
        <f t="array" ref="I1896">_xlfn.STDEV.P(IF(Table1[IndicatorCode]=Table1[[#This Row],[IndicatorCode]],Table1[value]))</f>
        <v>5.2319501044600996</v>
      </c>
      <c r="J1896">
        <f>(Table1[[#This Row],[value]] - Table1[[#This Row],[mean]]) / Table1[[#This Row],[std_dev]]</f>
        <v>-1.2785719908052779</v>
      </c>
      <c r="K1896">
        <f>AVERAGEIF(Table1[CountryCode],Table1[[#This Row],[CountryCode]],Table1[z-score])</f>
        <v>-0.54328248635894838</v>
      </c>
      <c r="L1896" t="e">
        <f>VLOOKUP(Table1[[#This Row],[CountryCode]],[1]!Table1[#Data],4,FALSE)</f>
        <v>#REF!</v>
      </c>
    </row>
    <row r="1897" spans="1:12" hidden="1" x14ac:dyDescent="0.3">
      <c r="A1897" t="s">
        <v>7</v>
      </c>
      <c r="B1897" t="s">
        <v>8</v>
      </c>
      <c r="C1897" t="s">
        <v>125</v>
      </c>
      <c r="D1897" t="s">
        <v>126</v>
      </c>
      <c r="E1897">
        <v>1993</v>
      </c>
      <c r="F1897" s="1">
        <v>1</v>
      </c>
      <c r="G1897">
        <v>1990</v>
      </c>
      <c r="H1897">
        <f>AVERAGEIFS(Table1[value],Table1[IndicatorCode],Table1[[#This Row],[IndicatorCode]])</f>
        <v>7.6894248608534319</v>
      </c>
      <c r="I1897" cm="1">
        <f t="array" ref="I1897">_xlfn.STDEV.P(IF(Table1[IndicatorCode]=Table1[[#This Row],[IndicatorCode]],Table1[value]))</f>
        <v>5.2319501044600996</v>
      </c>
      <c r="J1897">
        <f>(Table1[[#This Row],[value]] - Table1[[#This Row],[mean]]) / Table1[[#This Row],[std_dev]]</f>
        <v>-1.2785719908052779</v>
      </c>
      <c r="K1897">
        <f>AVERAGEIF(Table1[CountryCode],Table1[[#This Row],[CountryCode]],Table1[z-score])</f>
        <v>-0.54328248635894838</v>
      </c>
      <c r="L1897" t="e">
        <f>VLOOKUP(Table1[[#This Row],[CountryCode]],[1]!Table1[#Data],4,FALSE)</f>
        <v>#REF!</v>
      </c>
    </row>
    <row r="1898" spans="1:12" hidden="1" x14ac:dyDescent="0.3">
      <c r="A1898" t="s">
        <v>7</v>
      </c>
      <c r="B1898" t="s">
        <v>8</v>
      </c>
      <c r="C1898" t="s">
        <v>125</v>
      </c>
      <c r="D1898" t="s">
        <v>126</v>
      </c>
      <c r="E1898">
        <v>1994</v>
      </c>
      <c r="F1898" s="1">
        <v>1</v>
      </c>
      <c r="G1898">
        <v>1990</v>
      </c>
      <c r="H1898">
        <f>AVERAGEIFS(Table1[value],Table1[IndicatorCode],Table1[[#This Row],[IndicatorCode]])</f>
        <v>7.6894248608534319</v>
      </c>
      <c r="I1898" cm="1">
        <f t="array" ref="I1898">_xlfn.STDEV.P(IF(Table1[IndicatorCode]=Table1[[#This Row],[IndicatorCode]],Table1[value]))</f>
        <v>5.2319501044600996</v>
      </c>
      <c r="J1898">
        <f>(Table1[[#This Row],[value]] - Table1[[#This Row],[mean]]) / Table1[[#This Row],[std_dev]]</f>
        <v>-1.2785719908052779</v>
      </c>
      <c r="K1898">
        <f>AVERAGEIF(Table1[CountryCode],Table1[[#This Row],[CountryCode]],Table1[z-score])</f>
        <v>-0.54328248635894838</v>
      </c>
      <c r="L1898" t="e">
        <f>VLOOKUP(Table1[[#This Row],[CountryCode]],[1]!Table1[#Data],4,FALSE)</f>
        <v>#REF!</v>
      </c>
    </row>
    <row r="1899" spans="1:12" hidden="1" x14ac:dyDescent="0.3">
      <c r="A1899" t="s">
        <v>7</v>
      </c>
      <c r="B1899" t="s">
        <v>8</v>
      </c>
      <c r="C1899" t="s">
        <v>125</v>
      </c>
      <c r="D1899" t="s">
        <v>126</v>
      </c>
      <c r="E1899">
        <v>1995</v>
      </c>
      <c r="F1899" s="1">
        <v>1</v>
      </c>
      <c r="G1899">
        <v>1990</v>
      </c>
      <c r="H1899">
        <f>AVERAGEIFS(Table1[value],Table1[IndicatorCode],Table1[[#This Row],[IndicatorCode]])</f>
        <v>7.6894248608534319</v>
      </c>
      <c r="I1899" cm="1">
        <f t="array" ref="I1899">_xlfn.STDEV.P(IF(Table1[IndicatorCode]=Table1[[#This Row],[IndicatorCode]],Table1[value]))</f>
        <v>5.2319501044600996</v>
      </c>
      <c r="J1899">
        <f>(Table1[[#This Row],[value]] - Table1[[#This Row],[mean]]) / Table1[[#This Row],[std_dev]]</f>
        <v>-1.2785719908052779</v>
      </c>
      <c r="K1899">
        <f>AVERAGEIF(Table1[CountryCode],Table1[[#This Row],[CountryCode]],Table1[z-score])</f>
        <v>-0.54328248635894838</v>
      </c>
      <c r="L1899" t="e">
        <f>VLOOKUP(Table1[[#This Row],[CountryCode]],[1]!Table1[#Data],4,FALSE)</f>
        <v>#REF!</v>
      </c>
    </row>
    <row r="1900" spans="1:12" hidden="1" x14ac:dyDescent="0.3">
      <c r="A1900" t="s">
        <v>7</v>
      </c>
      <c r="B1900" t="s">
        <v>8</v>
      </c>
      <c r="C1900" t="s">
        <v>125</v>
      </c>
      <c r="D1900" t="s">
        <v>126</v>
      </c>
      <c r="E1900">
        <v>1996</v>
      </c>
      <c r="F1900" s="1">
        <v>1</v>
      </c>
      <c r="G1900">
        <v>1990</v>
      </c>
      <c r="H1900">
        <f>AVERAGEIFS(Table1[value],Table1[IndicatorCode],Table1[[#This Row],[IndicatorCode]])</f>
        <v>7.6894248608534319</v>
      </c>
      <c r="I1900" cm="1">
        <f t="array" ref="I1900">_xlfn.STDEV.P(IF(Table1[IndicatorCode]=Table1[[#This Row],[IndicatorCode]],Table1[value]))</f>
        <v>5.2319501044600996</v>
      </c>
      <c r="J1900">
        <f>(Table1[[#This Row],[value]] - Table1[[#This Row],[mean]]) / Table1[[#This Row],[std_dev]]</f>
        <v>-1.2785719908052779</v>
      </c>
      <c r="K1900">
        <f>AVERAGEIF(Table1[CountryCode],Table1[[#This Row],[CountryCode]],Table1[z-score])</f>
        <v>-0.54328248635894838</v>
      </c>
      <c r="L1900" t="e">
        <f>VLOOKUP(Table1[[#This Row],[CountryCode]],[1]!Table1[#Data],4,FALSE)</f>
        <v>#REF!</v>
      </c>
    </row>
    <row r="1901" spans="1:12" hidden="1" x14ac:dyDescent="0.3">
      <c r="A1901" t="s">
        <v>7</v>
      </c>
      <c r="B1901" t="s">
        <v>8</v>
      </c>
      <c r="C1901" t="s">
        <v>125</v>
      </c>
      <c r="D1901" t="s">
        <v>126</v>
      </c>
      <c r="E1901">
        <v>1997</v>
      </c>
      <c r="F1901" s="1">
        <v>1</v>
      </c>
      <c r="G1901">
        <v>2000</v>
      </c>
      <c r="H1901">
        <f>AVERAGEIFS(Table1[value],Table1[IndicatorCode],Table1[[#This Row],[IndicatorCode]])</f>
        <v>7.6894248608534319</v>
      </c>
      <c r="I1901" cm="1">
        <f t="array" ref="I1901">_xlfn.STDEV.P(IF(Table1[IndicatorCode]=Table1[[#This Row],[IndicatorCode]],Table1[value]))</f>
        <v>5.2319501044600996</v>
      </c>
      <c r="J1901">
        <f>(Table1[[#This Row],[value]] - Table1[[#This Row],[mean]]) / Table1[[#This Row],[std_dev]]</f>
        <v>-1.2785719908052779</v>
      </c>
      <c r="K1901">
        <f>AVERAGEIF(Table1[CountryCode],Table1[[#This Row],[CountryCode]],Table1[z-score])</f>
        <v>-0.54328248635894838</v>
      </c>
      <c r="L1901" t="e">
        <f>VLOOKUP(Table1[[#This Row],[CountryCode]],[1]!Table1[#Data],4,FALSE)</f>
        <v>#REF!</v>
      </c>
    </row>
    <row r="1902" spans="1:12" hidden="1" x14ac:dyDescent="0.3">
      <c r="A1902" t="s">
        <v>7</v>
      </c>
      <c r="B1902" t="s">
        <v>8</v>
      </c>
      <c r="C1902" t="s">
        <v>125</v>
      </c>
      <c r="D1902" t="s">
        <v>126</v>
      </c>
      <c r="E1902">
        <v>1998</v>
      </c>
      <c r="F1902" s="1">
        <v>1</v>
      </c>
      <c r="G1902">
        <v>2000</v>
      </c>
      <c r="H1902">
        <f>AVERAGEIFS(Table1[value],Table1[IndicatorCode],Table1[[#This Row],[IndicatorCode]])</f>
        <v>7.6894248608534319</v>
      </c>
      <c r="I1902" cm="1">
        <f t="array" ref="I1902">_xlfn.STDEV.P(IF(Table1[IndicatorCode]=Table1[[#This Row],[IndicatorCode]],Table1[value]))</f>
        <v>5.2319501044600996</v>
      </c>
      <c r="J1902">
        <f>(Table1[[#This Row],[value]] - Table1[[#This Row],[mean]]) / Table1[[#This Row],[std_dev]]</f>
        <v>-1.2785719908052779</v>
      </c>
      <c r="K1902">
        <f>AVERAGEIF(Table1[CountryCode],Table1[[#This Row],[CountryCode]],Table1[z-score])</f>
        <v>-0.54328248635894838</v>
      </c>
      <c r="L1902" t="e">
        <f>VLOOKUP(Table1[[#This Row],[CountryCode]],[1]!Table1[#Data],4,FALSE)</f>
        <v>#REF!</v>
      </c>
    </row>
    <row r="1903" spans="1:12" hidden="1" x14ac:dyDescent="0.3">
      <c r="A1903" t="s">
        <v>7</v>
      </c>
      <c r="B1903" t="s">
        <v>8</v>
      </c>
      <c r="C1903" t="s">
        <v>125</v>
      </c>
      <c r="D1903" t="s">
        <v>126</v>
      </c>
      <c r="E1903">
        <v>1999</v>
      </c>
      <c r="F1903" s="1">
        <v>1</v>
      </c>
      <c r="G1903">
        <v>2000</v>
      </c>
      <c r="H1903">
        <f>AVERAGEIFS(Table1[value],Table1[IndicatorCode],Table1[[#This Row],[IndicatorCode]])</f>
        <v>7.6894248608534319</v>
      </c>
      <c r="I1903" cm="1">
        <f t="array" ref="I1903">_xlfn.STDEV.P(IF(Table1[IndicatorCode]=Table1[[#This Row],[IndicatorCode]],Table1[value]))</f>
        <v>5.2319501044600996</v>
      </c>
      <c r="J1903">
        <f>(Table1[[#This Row],[value]] - Table1[[#This Row],[mean]]) / Table1[[#This Row],[std_dev]]</f>
        <v>-1.2785719908052779</v>
      </c>
      <c r="K1903">
        <f>AVERAGEIF(Table1[CountryCode],Table1[[#This Row],[CountryCode]],Table1[z-score])</f>
        <v>-0.54328248635894838</v>
      </c>
      <c r="L1903" t="e">
        <f>VLOOKUP(Table1[[#This Row],[CountryCode]],[1]!Table1[#Data],4,FALSE)</f>
        <v>#REF!</v>
      </c>
    </row>
    <row r="1904" spans="1:12" hidden="1" x14ac:dyDescent="0.3">
      <c r="A1904" t="s">
        <v>7</v>
      </c>
      <c r="B1904" t="s">
        <v>8</v>
      </c>
      <c r="C1904" t="s">
        <v>125</v>
      </c>
      <c r="D1904" t="s">
        <v>126</v>
      </c>
      <c r="E1904">
        <v>2000</v>
      </c>
      <c r="F1904" s="1">
        <v>1</v>
      </c>
      <c r="G1904">
        <v>2000</v>
      </c>
      <c r="H1904">
        <f>AVERAGEIFS(Table1[value],Table1[IndicatorCode],Table1[[#This Row],[IndicatorCode]])</f>
        <v>7.6894248608534319</v>
      </c>
      <c r="I1904" cm="1">
        <f t="array" ref="I1904">_xlfn.STDEV.P(IF(Table1[IndicatorCode]=Table1[[#This Row],[IndicatorCode]],Table1[value]))</f>
        <v>5.2319501044600996</v>
      </c>
      <c r="J1904">
        <f>(Table1[[#This Row],[value]] - Table1[[#This Row],[mean]]) / Table1[[#This Row],[std_dev]]</f>
        <v>-1.2785719908052779</v>
      </c>
      <c r="K1904">
        <f>AVERAGEIF(Table1[CountryCode],Table1[[#This Row],[CountryCode]],Table1[z-score])</f>
        <v>-0.54328248635894838</v>
      </c>
      <c r="L1904" t="e">
        <f>VLOOKUP(Table1[[#This Row],[CountryCode]],[1]!Table1[#Data],4,FALSE)</f>
        <v>#REF!</v>
      </c>
    </row>
    <row r="1905" spans="1:12" hidden="1" x14ac:dyDescent="0.3">
      <c r="A1905" t="s">
        <v>7</v>
      </c>
      <c r="B1905" t="s">
        <v>8</v>
      </c>
      <c r="C1905" t="s">
        <v>125</v>
      </c>
      <c r="D1905" t="s">
        <v>126</v>
      </c>
      <c r="E1905">
        <v>2001</v>
      </c>
      <c r="F1905" s="1">
        <v>1</v>
      </c>
      <c r="G1905">
        <v>2000</v>
      </c>
      <c r="H1905">
        <f>AVERAGEIFS(Table1[value],Table1[IndicatorCode],Table1[[#This Row],[IndicatorCode]])</f>
        <v>7.6894248608534319</v>
      </c>
      <c r="I1905" cm="1">
        <f t="array" ref="I1905">_xlfn.STDEV.P(IF(Table1[IndicatorCode]=Table1[[#This Row],[IndicatorCode]],Table1[value]))</f>
        <v>5.2319501044600996</v>
      </c>
      <c r="J1905">
        <f>(Table1[[#This Row],[value]] - Table1[[#This Row],[mean]]) / Table1[[#This Row],[std_dev]]</f>
        <v>-1.2785719908052779</v>
      </c>
      <c r="K1905">
        <f>AVERAGEIF(Table1[CountryCode],Table1[[#This Row],[CountryCode]],Table1[z-score])</f>
        <v>-0.54328248635894838</v>
      </c>
      <c r="L1905" t="e">
        <f>VLOOKUP(Table1[[#This Row],[CountryCode]],[1]!Table1[#Data],4,FALSE)</f>
        <v>#REF!</v>
      </c>
    </row>
    <row r="1906" spans="1:12" hidden="1" x14ac:dyDescent="0.3">
      <c r="A1906" t="s">
        <v>7</v>
      </c>
      <c r="B1906" t="s">
        <v>8</v>
      </c>
      <c r="C1906" t="s">
        <v>125</v>
      </c>
      <c r="D1906" t="s">
        <v>126</v>
      </c>
      <c r="E1906">
        <v>2002</v>
      </c>
      <c r="F1906" s="1">
        <v>1</v>
      </c>
      <c r="G1906">
        <v>2000</v>
      </c>
      <c r="H1906">
        <f>AVERAGEIFS(Table1[value],Table1[IndicatorCode],Table1[[#This Row],[IndicatorCode]])</f>
        <v>7.6894248608534319</v>
      </c>
      <c r="I1906" cm="1">
        <f t="array" ref="I1906">_xlfn.STDEV.P(IF(Table1[IndicatorCode]=Table1[[#This Row],[IndicatorCode]],Table1[value]))</f>
        <v>5.2319501044600996</v>
      </c>
      <c r="J1906">
        <f>(Table1[[#This Row],[value]] - Table1[[#This Row],[mean]]) / Table1[[#This Row],[std_dev]]</f>
        <v>-1.2785719908052779</v>
      </c>
      <c r="K1906">
        <f>AVERAGEIF(Table1[CountryCode],Table1[[#This Row],[CountryCode]],Table1[z-score])</f>
        <v>-0.54328248635894838</v>
      </c>
      <c r="L1906" t="e">
        <f>VLOOKUP(Table1[[#This Row],[CountryCode]],[1]!Table1[#Data],4,FALSE)</f>
        <v>#REF!</v>
      </c>
    </row>
    <row r="1907" spans="1:12" hidden="1" x14ac:dyDescent="0.3">
      <c r="A1907" t="s">
        <v>7</v>
      </c>
      <c r="B1907" t="s">
        <v>8</v>
      </c>
      <c r="C1907" t="s">
        <v>125</v>
      </c>
      <c r="D1907" t="s">
        <v>126</v>
      </c>
      <c r="E1907">
        <v>2003</v>
      </c>
      <c r="F1907" s="1">
        <v>1</v>
      </c>
      <c r="G1907">
        <v>2000</v>
      </c>
      <c r="H1907">
        <f>AVERAGEIFS(Table1[value],Table1[IndicatorCode],Table1[[#This Row],[IndicatorCode]])</f>
        <v>7.6894248608534319</v>
      </c>
      <c r="I1907" cm="1">
        <f t="array" ref="I1907">_xlfn.STDEV.P(IF(Table1[IndicatorCode]=Table1[[#This Row],[IndicatorCode]],Table1[value]))</f>
        <v>5.2319501044600996</v>
      </c>
      <c r="J1907">
        <f>(Table1[[#This Row],[value]] - Table1[[#This Row],[mean]]) / Table1[[#This Row],[std_dev]]</f>
        <v>-1.2785719908052779</v>
      </c>
      <c r="K1907">
        <f>AVERAGEIF(Table1[CountryCode],Table1[[#This Row],[CountryCode]],Table1[z-score])</f>
        <v>-0.54328248635894838</v>
      </c>
      <c r="L1907" t="e">
        <f>VLOOKUP(Table1[[#This Row],[CountryCode]],[1]!Table1[#Data],4,FALSE)</f>
        <v>#REF!</v>
      </c>
    </row>
    <row r="1908" spans="1:12" hidden="1" x14ac:dyDescent="0.3">
      <c r="A1908" t="s">
        <v>7</v>
      </c>
      <c r="B1908" t="s">
        <v>8</v>
      </c>
      <c r="C1908" t="s">
        <v>125</v>
      </c>
      <c r="D1908" t="s">
        <v>126</v>
      </c>
      <c r="E1908">
        <v>2004</v>
      </c>
      <c r="F1908" s="1">
        <v>1</v>
      </c>
      <c r="G1908">
        <v>2000</v>
      </c>
      <c r="H1908">
        <f>AVERAGEIFS(Table1[value],Table1[IndicatorCode],Table1[[#This Row],[IndicatorCode]])</f>
        <v>7.6894248608534319</v>
      </c>
      <c r="I1908" cm="1">
        <f t="array" ref="I1908">_xlfn.STDEV.P(IF(Table1[IndicatorCode]=Table1[[#This Row],[IndicatorCode]],Table1[value]))</f>
        <v>5.2319501044600996</v>
      </c>
      <c r="J1908">
        <f>(Table1[[#This Row],[value]] - Table1[[#This Row],[mean]]) / Table1[[#This Row],[std_dev]]</f>
        <v>-1.2785719908052779</v>
      </c>
      <c r="K1908">
        <f>AVERAGEIF(Table1[CountryCode],Table1[[#This Row],[CountryCode]],Table1[z-score])</f>
        <v>-0.54328248635894838</v>
      </c>
      <c r="L1908" t="e">
        <f>VLOOKUP(Table1[[#This Row],[CountryCode]],[1]!Table1[#Data],4,FALSE)</f>
        <v>#REF!</v>
      </c>
    </row>
    <row r="1909" spans="1:12" hidden="1" x14ac:dyDescent="0.3">
      <c r="A1909" t="s">
        <v>7</v>
      </c>
      <c r="B1909" t="s">
        <v>8</v>
      </c>
      <c r="C1909" t="s">
        <v>125</v>
      </c>
      <c r="D1909" t="s">
        <v>126</v>
      </c>
      <c r="E1909">
        <v>2005</v>
      </c>
      <c r="F1909" s="1">
        <v>1</v>
      </c>
      <c r="G1909">
        <v>2000</v>
      </c>
      <c r="H1909">
        <f>AVERAGEIFS(Table1[value],Table1[IndicatorCode],Table1[[#This Row],[IndicatorCode]])</f>
        <v>7.6894248608534319</v>
      </c>
      <c r="I1909" cm="1">
        <f t="array" ref="I1909">_xlfn.STDEV.P(IF(Table1[IndicatorCode]=Table1[[#This Row],[IndicatorCode]],Table1[value]))</f>
        <v>5.2319501044600996</v>
      </c>
      <c r="J1909">
        <f>(Table1[[#This Row],[value]] - Table1[[#This Row],[mean]]) / Table1[[#This Row],[std_dev]]</f>
        <v>-1.2785719908052779</v>
      </c>
      <c r="K1909">
        <f>AVERAGEIF(Table1[CountryCode],Table1[[#This Row],[CountryCode]],Table1[z-score])</f>
        <v>-0.54328248635894838</v>
      </c>
      <c r="L1909" t="e">
        <f>VLOOKUP(Table1[[#This Row],[CountryCode]],[1]!Table1[#Data],4,FALSE)</f>
        <v>#REF!</v>
      </c>
    </row>
    <row r="1910" spans="1:12" hidden="1" x14ac:dyDescent="0.3">
      <c r="A1910" t="s">
        <v>7</v>
      </c>
      <c r="B1910" t="s">
        <v>8</v>
      </c>
      <c r="C1910" t="s">
        <v>125</v>
      </c>
      <c r="D1910" t="s">
        <v>126</v>
      </c>
      <c r="E1910">
        <v>2006</v>
      </c>
      <c r="F1910" s="1">
        <v>1</v>
      </c>
      <c r="G1910">
        <v>2000</v>
      </c>
      <c r="H1910">
        <f>AVERAGEIFS(Table1[value],Table1[IndicatorCode],Table1[[#This Row],[IndicatorCode]])</f>
        <v>7.6894248608534319</v>
      </c>
      <c r="I1910" cm="1">
        <f t="array" ref="I1910">_xlfn.STDEV.P(IF(Table1[IndicatorCode]=Table1[[#This Row],[IndicatorCode]],Table1[value]))</f>
        <v>5.2319501044600996</v>
      </c>
      <c r="J1910">
        <f>(Table1[[#This Row],[value]] - Table1[[#This Row],[mean]]) / Table1[[#This Row],[std_dev]]</f>
        <v>-1.2785719908052779</v>
      </c>
      <c r="K1910">
        <f>AVERAGEIF(Table1[CountryCode],Table1[[#This Row],[CountryCode]],Table1[z-score])</f>
        <v>-0.54328248635894838</v>
      </c>
      <c r="L1910" t="e">
        <f>VLOOKUP(Table1[[#This Row],[CountryCode]],[1]!Table1[#Data],4,FALSE)</f>
        <v>#REF!</v>
      </c>
    </row>
    <row r="1911" spans="1:12" hidden="1" x14ac:dyDescent="0.3">
      <c r="A1911" t="s">
        <v>7</v>
      </c>
      <c r="B1911" t="s">
        <v>8</v>
      </c>
      <c r="C1911" t="s">
        <v>125</v>
      </c>
      <c r="D1911" t="s">
        <v>126</v>
      </c>
      <c r="E1911">
        <v>2007</v>
      </c>
      <c r="F1911" s="1">
        <v>1</v>
      </c>
      <c r="G1911">
        <v>2010</v>
      </c>
      <c r="H1911">
        <f>AVERAGEIFS(Table1[value],Table1[IndicatorCode],Table1[[#This Row],[IndicatorCode]])</f>
        <v>7.6894248608534319</v>
      </c>
      <c r="I1911" cm="1">
        <f t="array" ref="I1911">_xlfn.STDEV.P(IF(Table1[IndicatorCode]=Table1[[#This Row],[IndicatorCode]],Table1[value]))</f>
        <v>5.2319501044600996</v>
      </c>
      <c r="J1911">
        <f>(Table1[[#This Row],[value]] - Table1[[#This Row],[mean]]) / Table1[[#This Row],[std_dev]]</f>
        <v>-1.2785719908052779</v>
      </c>
      <c r="K1911">
        <f>AVERAGEIF(Table1[CountryCode],Table1[[#This Row],[CountryCode]],Table1[z-score])</f>
        <v>-0.54328248635894838</v>
      </c>
      <c r="L1911" t="e">
        <f>VLOOKUP(Table1[[#This Row],[CountryCode]],[1]!Table1[#Data],4,FALSE)</f>
        <v>#REF!</v>
      </c>
    </row>
    <row r="1912" spans="1:12" hidden="1" x14ac:dyDescent="0.3">
      <c r="A1912" t="s">
        <v>7</v>
      </c>
      <c r="B1912" t="s">
        <v>8</v>
      </c>
      <c r="C1912" t="s">
        <v>125</v>
      </c>
      <c r="D1912" t="s">
        <v>126</v>
      </c>
      <c r="E1912">
        <v>2008</v>
      </c>
      <c r="F1912" s="1">
        <v>1</v>
      </c>
      <c r="G1912">
        <v>2010</v>
      </c>
      <c r="H1912">
        <f>AVERAGEIFS(Table1[value],Table1[IndicatorCode],Table1[[#This Row],[IndicatorCode]])</f>
        <v>7.6894248608534319</v>
      </c>
      <c r="I1912" cm="1">
        <f t="array" ref="I1912">_xlfn.STDEV.P(IF(Table1[IndicatorCode]=Table1[[#This Row],[IndicatorCode]],Table1[value]))</f>
        <v>5.2319501044600996</v>
      </c>
      <c r="J1912">
        <f>(Table1[[#This Row],[value]] - Table1[[#This Row],[mean]]) / Table1[[#This Row],[std_dev]]</f>
        <v>-1.2785719908052779</v>
      </c>
      <c r="K1912">
        <f>AVERAGEIF(Table1[CountryCode],Table1[[#This Row],[CountryCode]],Table1[z-score])</f>
        <v>-0.54328248635894838</v>
      </c>
      <c r="L1912" t="e">
        <f>VLOOKUP(Table1[[#This Row],[CountryCode]],[1]!Table1[#Data],4,FALSE)</f>
        <v>#REF!</v>
      </c>
    </row>
    <row r="1913" spans="1:12" hidden="1" x14ac:dyDescent="0.3">
      <c r="A1913" t="s">
        <v>7</v>
      </c>
      <c r="B1913" t="s">
        <v>8</v>
      </c>
      <c r="C1913" t="s">
        <v>125</v>
      </c>
      <c r="D1913" t="s">
        <v>126</v>
      </c>
      <c r="E1913">
        <v>2009</v>
      </c>
      <c r="F1913" s="1">
        <v>1</v>
      </c>
      <c r="G1913">
        <v>2010</v>
      </c>
      <c r="H1913">
        <f>AVERAGEIFS(Table1[value],Table1[IndicatorCode],Table1[[#This Row],[IndicatorCode]])</f>
        <v>7.6894248608534319</v>
      </c>
      <c r="I1913" cm="1">
        <f t="array" ref="I1913">_xlfn.STDEV.P(IF(Table1[IndicatorCode]=Table1[[#This Row],[IndicatorCode]],Table1[value]))</f>
        <v>5.2319501044600996</v>
      </c>
      <c r="J1913">
        <f>(Table1[[#This Row],[value]] - Table1[[#This Row],[mean]]) / Table1[[#This Row],[std_dev]]</f>
        <v>-1.2785719908052779</v>
      </c>
      <c r="K1913">
        <f>AVERAGEIF(Table1[CountryCode],Table1[[#This Row],[CountryCode]],Table1[z-score])</f>
        <v>-0.54328248635894838</v>
      </c>
      <c r="L1913" t="e">
        <f>VLOOKUP(Table1[[#This Row],[CountryCode]],[1]!Table1[#Data],4,FALSE)</f>
        <v>#REF!</v>
      </c>
    </row>
    <row r="1914" spans="1:12" hidden="1" x14ac:dyDescent="0.3">
      <c r="A1914" t="s">
        <v>7</v>
      </c>
      <c r="B1914" t="s">
        <v>8</v>
      </c>
      <c r="C1914" t="s">
        <v>125</v>
      </c>
      <c r="D1914" t="s">
        <v>126</v>
      </c>
      <c r="E1914">
        <v>2010</v>
      </c>
      <c r="F1914" s="1">
        <v>2</v>
      </c>
      <c r="G1914">
        <v>2010</v>
      </c>
      <c r="H1914">
        <f>AVERAGEIFS(Table1[value],Table1[IndicatorCode],Table1[[#This Row],[IndicatorCode]])</f>
        <v>7.6894248608534319</v>
      </c>
      <c r="I1914" cm="1">
        <f t="array" ref="I1914">_xlfn.STDEV.P(IF(Table1[IndicatorCode]=Table1[[#This Row],[IndicatorCode]],Table1[value]))</f>
        <v>5.2319501044600996</v>
      </c>
      <c r="J1914">
        <f>(Table1[[#This Row],[value]] - Table1[[#This Row],[mean]]) / Table1[[#This Row],[std_dev]]</f>
        <v>-1.0874386695705196</v>
      </c>
      <c r="K1914">
        <f>AVERAGEIF(Table1[CountryCode],Table1[[#This Row],[CountryCode]],Table1[z-score])</f>
        <v>-0.54328248635894838</v>
      </c>
      <c r="L1914" t="e">
        <f>VLOOKUP(Table1[[#This Row],[CountryCode]],[1]!Table1[#Data],4,FALSE)</f>
        <v>#REF!</v>
      </c>
    </row>
    <row r="1915" spans="1:12" hidden="1" x14ac:dyDescent="0.3">
      <c r="A1915" t="s">
        <v>7</v>
      </c>
      <c r="B1915" t="s">
        <v>8</v>
      </c>
      <c r="C1915" t="s">
        <v>125</v>
      </c>
      <c r="D1915" t="s">
        <v>126</v>
      </c>
      <c r="E1915">
        <v>2011</v>
      </c>
      <c r="F1915" s="1">
        <v>2</v>
      </c>
      <c r="G1915">
        <v>2010</v>
      </c>
      <c r="H1915">
        <f>AVERAGEIFS(Table1[value],Table1[IndicatorCode],Table1[[#This Row],[IndicatorCode]])</f>
        <v>7.6894248608534319</v>
      </c>
      <c r="I1915" cm="1">
        <f t="array" ref="I1915">_xlfn.STDEV.P(IF(Table1[IndicatorCode]=Table1[[#This Row],[IndicatorCode]],Table1[value]))</f>
        <v>5.2319501044600996</v>
      </c>
      <c r="J1915">
        <f>(Table1[[#This Row],[value]] - Table1[[#This Row],[mean]]) / Table1[[#This Row],[std_dev]]</f>
        <v>-1.0874386695705196</v>
      </c>
      <c r="K1915">
        <f>AVERAGEIF(Table1[CountryCode],Table1[[#This Row],[CountryCode]],Table1[z-score])</f>
        <v>-0.54328248635894838</v>
      </c>
      <c r="L1915" t="e">
        <f>VLOOKUP(Table1[[#This Row],[CountryCode]],[1]!Table1[#Data],4,FALSE)</f>
        <v>#REF!</v>
      </c>
    </row>
    <row r="1916" spans="1:12" hidden="1" x14ac:dyDescent="0.3">
      <c r="A1916" t="s">
        <v>7</v>
      </c>
      <c r="B1916" t="s">
        <v>8</v>
      </c>
      <c r="C1916" t="s">
        <v>125</v>
      </c>
      <c r="D1916" t="s">
        <v>126</v>
      </c>
      <c r="E1916">
        <v>2012</v>
      </c>
      <c r="F1916" s="1">
        <v>2</v>
      </c>
      <c r="G1916">
        <v>2010</v>
      </c>
      <c r="H1916">
        <f>AVERAGEIFS(Table1[value],Table1[IndicatorCode],Table1[[#This Row],[IndicatorCode]])</f>
        <v>7.6894248608534319</v>
      </c>
      <c r="I1916" cm="1">
        <f t="array" ref="I1916">_xlfn.STDEV.P(IF(Table1[IndicatorCode]=Table1[[#This Row],[IndicatorCode]],Table1[value]))</f>
        <v>5.2319501044600996</v>
      </c>
      <c r="J1916">
        <f>(Table1[[#This Row],[value]] - Table1[[#This Row],[mean]]) / Table1[[#This Row],[std_dev]]</f>
        <v>-1.0874386695705196</v>
      </c>
      <c r="K1916">
        <f>AVERAGEIF(Table1[CountryCode],Table1[[#This Row],[CountryCode]],Table1[z-score])</f>
        <v>-0.54328248635894838</v>
      </c>
      <c r="L1916" t="e">
        <f>VLOOKUP(Table1[[#This Row],[CountryCode]],[1]!Table1[#Data],4,FALSE)</f>
        <v>#REF!</v>
      </c>
    </row>
    <row r="1917" spans="1:12" hidden="1" x14ac:dyDescent="0.3">
      <c r="A1917" t="s">
        <v>7</v>
      </c>
      <c r="B1917" t="s">
        <v>8</v>
      </c>
      <c r="C1917" t="s">
        <v>125</v>
      </c>
      <c r="D1917" t="s">
        <v>126</v>
      </c>
      <c r="E1917">
        <v>2013</v>
      </c>
      <c r="F1917" s="1">
        <v>2</v>
      </c>
      <c r="G1917">
        <v>2010</v>
      </c>
      <c r="H1917">
        <f>AVERAGEIFS(Table1[value],Table1[IndicatorCode],Table1[[#This Row],[IndicatorCode]])</f>
        <v>7.6894248608534319</v>
      </c>
      <c r="I1917" cm="1">
        <f t="array" ref="I1917">_xlfn.STDEV.P(IF(Table1[IndicatorCode]=Table1[[#This Row],[IndicatorCode]],Table1[value]))</f>
        <v>5.2319501044600996</v>
      </c>
      <c r="J1917">
        <f>(Table1[[#This Row],[value]] - Table1[[#This Row],[mean]]) / Table1[[#This Row],[std_dev]]</f>
        <v>-1.0874386695705196</v>
      </c>
      <c r="K1917">
        <f>AVERAGEIF(Table1[CountryCode],Table1[[#This Row],[CountryCode]],Table1[z-score])</f>
        <v>-0.54328248635894838</v>
      </c>
      <c r="L1917" t="e">
        <f>VLOOKUP(Table1[[#This Row],[CountryCode]],[1]!Table1[#Data],4,FALSE)</f>
        <v>#REF!</v>
      </c>
    </row>
    <row r="1918" spans="1:12" hidden="1" x14ac:dyDescent="0.3">
      <c r="A1918" t="s">
        <v>7</v>
      </c>
      <c r="B1918" t="s">
        <v>8</v>
      </c>
      <c r="C1918" t="s">
        <v>125</v>
      </c>
      <c r="D1918" t="s">
        <v>126</v>
      </c>
      <c r="E1918">
        <v>2014</v>
      </c>
      <c r="F1918" s="1">
        <v>2</v>
      </c>
      <c r="G1918">
        <v>2010</v>
      </c>
      <c r="H1918">
        <f>AVERAGEIFS(Table1[value],Table1[IndicatorCode],Table1[[#This Row],[IndicatorCode]])</f>
        <v>7.6894248608534319</v>
      </c>
      <c r="I1918" cm="1">
        <f t="array" ref="I1918">_xlfn.STDEV.P(IF(Table1[IndicatorCode]=Table1[[#This Row],[IndicatorCode]],Table1[value]))</f>
        <v>5.2319501044600996</v>
      </c>
      <c r="J1918">
        <f>(Table1[[#This Row],[value]] - Table1[[#This Row],[mean]]) / Table1[[#This Row],[std_dev]]</f>
        <v>-1.0874386695705196</v>
      </c>
      <c r="K1918">
        <f>AVERAGEIF(Table1[CountryCode],Table1[[#This Row],[CountryCode]],Table1[z-score])</f>
        <v>-0.54328248635894838</v>
      </c>
      <c r="L1918" t="e">
        <f>VLOOKUP(Table1[[#This Row],[CountryCode]],[1]!Table1[#Data],4,FALSE)</f>
        <v>#REF!</v>
      </c>
    </row>
    <row r="1919" spans="1:12" hidden="1" x14ac:dyDescent="0.3">
      <c r="A1919" t="s">
        <v>7</v>
      </c>
      <c r="B1919" t="s">
        <v>8</v>
      </c>
      <c r="C1919" t="s">
        <v>125</v>
      </c>
      <c r="D1919" t="s">
        <v>126</v>
      </c>
      <c r="E1919">
        <v>2015</v>
      </c>
      <c r="F1919" s="1">
        <v>2</v>
      </c>
      <c r="G1919">
        <v>2010</v>
      </c>
      <c r="H1919">
        <f>AVERAGEIFS(Table1[value],Table1[IndicatorCode],Table1[[#This Row],[IndicatorCode]])</f>
        <v>7.6894248608534319</v>
      </c>
      <c r="I1919" cm="1">
        <f t="array" ref="I1919">_xlfn.STDEV.P(IF(Table1[IndicatorCode]=Table1[[#This Row],[IndicatorCode]],Table1[value]))</f>
        <v>5.2319501044600996</v>
      </c>
      <c r="J1919">
        <f>(Table1[[#This Row],[value]] - Table1[[#This Row],[mean]]) / Table1[[#This Row],[std_dev]]</f>
        <v>-1.0874386695705196</v>
      </c>
      <c r="K1919">
        <f>AVERAGEIF(Table1[CountryCode],Table1[[#This Row],[CountryCode]],Table1[z-score])</f>
        <v>-0.54328248635894838</v>
      </c>
      <c r="L1919" t="e">
        <f>VLOOKUP(Table1[[#This Row],[CountryCode]],[1]!Table1[#Data],4,FALSE)</f>
        <v>#REF!</v>
      </c>
    </row>
    <row r="1920" spans="1:12" hidden="1" x14ac:dyDescent="0.3">
      <c r="A1920" t="s">
        <v>7</v>
      </c>
      <c r="B1920" t="s">
        <v>8</v>
      </c>
      <c r="C1920" t="s">
        <v>125</v>
      </c>
      <c r="D1920" t="s">
        <v>126</v>
      </c>
      <c r="E1920">
        <v>2016</v>
      </c>
      <c r="F1920" s="1">
        <v>2</v>
      </c>
      <c r="G1920">
        <v>2010</v>
      </c>
      <c r="H1920">
        <f>AVERAGEIFS(Table1[value],Table1[IndicatorCode],Table1[[#This Row],[IndicatorCode]])</f>
        <v>7.6894248608534319</v>
      </c>
      <c r="I1920" cm="1">
        <f t="array" ref="I1920">_xlfn.STDEV.P(IF(Table1[IndicatorCode]=Table1[[#This Row],[IndicatorCode]],Table1[value]))</f>
        <v>5.2319501044600996</v>
      </c>
      <c r="J1920">
        <f>(Table1[[#This Row],[value]] - Table1[[#This Row],[mean]]) / Table1[[#This Row],[std_dev]]</f>
        <v>-1.0874386695705196</v>
      </c>
      <c r="K1920">
        <f>AVERAGEIF(Table1[CountryCode],Table1[[#This Row],[CountryCode]],Table1[z-score])</f>
        <v>-0.54328248635894838</v>
      </c>
      <c r="L1920" t="e">
        <f>VLOOKUP(Table1[[#This Row],[CountryCode]],[1]!Table1[#Data],4,FALSE)</f>
        <v>#REF!</v>
      </c>
    </row>
    <row r="1921" spans="1:12" hidden="1" x14ac:dyDescent="0.3">
      <c r="A1921" t="s">
        <v>7</v>
      </c>
      <c r="B1921" t="s">
        <v>8</v>
      </c>
      <c r="C1921" t="s">
        <v>125</v>
      </c>
      <c r="D1921" t="s">
        <v>126</v>
      </c>
      <c r="E1921">
        <v>2017</v>
      </c>
      <c r="F1921" s="1">
        <v>2</v>
      </c>
      <c r="G1921">
        <v>2020</v>
      </c>
      <c r="H1921">
        <f>AVERAGEIFS(Table1[value],Table1[IndicatorCode],Table1[[#This Row],[IndicatorCode]])</f>
        <v>7.6894248608534319</v>
      </c>
      <c r="I1921" cm="1">
        <f t="array" ref="I1921">_xlfn.STDEV.P(IF(Table1[IndicatorCode]=Table1[[#This Row],[IndicatorCode]],Table1[value]))</f>
        <v>5.2319501044600996</v>
      </c>
      <c r="J1921">
        <f>(Table1[[#This Row],[value]] - Table1[[#This Row],[mean]]) / Table1[[#This Row],[std_dev]]</f>
        <v>-1.0874386695705196</v>
      </c>
      <c r="K1921">
        <f>AVERAGEIF(Table1[CountryCode],Table1[[#This Row],[CountryCode]],Table1[z-score])</f>
        <v>-0.54328248635894838</v>
      </c>
      <c r="L1921" t="e">
        <f>VLOOKUP(Table1[[#This Row],[CountryCode]],[1]!Table1[#Data],4,FALSE)</f>
        <v>#REF!</v>
      </c>
    </row>
    <row r="1922" spans="1:12" hidden="1" x14ac:dyDescent="0.3">
      <c r="A1922" t="s">
        <v>7</v>
      </c>
      <c r="B1922" t="s">
        <v>8</v>
      </c>
      <c r="C1922" t="s">
        <v>125</v>
      </c>
      <c r="D1922" t="s">
        <v>126</v>
      </c>
      <c r="E1922">
        <v>2018</v>
      </c>
      <c r="F1922" s="1">
        <v>2</v>
      </c>
      <c r="G1922">
        <v>2020</v>
      </c>
      <c r="H1922">
        <f>AVERAGEIFS(Table1[value],Table1[IndicatorCode],Table1[[#This Row],[IndicatorCode]])</f>
        <v>7.6894248608534319</v>
      </c>
      <c r="I1922" cm="1">
        <f t="array" ref="I1922">_xlfn.STDEV.P(IF(Table1[IndicatorCode]=Table1[[#This Row],[IndicatorCode]],Table1[value]))</f>
        <v>5.2319501044600996</v>
      </c>
      <c r="J1922">
        <f>(Table1[[#This Row],[value]] - Table1[[#This Row],[mean]]) / Table1[[#This Row],[std_dev]]</f>
        <v>-1.0874386695705196</v>
      </c>
      <c r="K1922">
        <f>AVERAGEIF(Table1[CountryCode],Table1[[#This Row],[CountryCode]],Table1[z-score])</f>
        <v>-0.54328248635894838</v>
      </c>
      <c r="L1922" t="e">
        <f>VLOOKUP(Table1[[#This Row],[CountryCode]],[1]!Table1[#Data],4,FALSE)</f>
        <v>#REF!</v>
      </c>
    </row>
    <row r="1923" spans="1:12" hidden="1" x14ac:dyDescent="0.3">
      <c r="A1923" t="s">
        <v>7</v>
      </c>
      <c r="B1923" t="s">
        <v>8</v>
      </c>
      <c r="C1923" t="s">
        <v>125</v>
      </c>
      <c r="D1923" t="s">
        <v>126</v>
      </c>
      <c r="E1923">
        <v>2019</v>
      </c>
      <c r="F1923" s="1">
        <v>2</v>
      </c>
      <c r="G1923">
        <v>2020</v>
      </c>
      <c r="H1923">
        <f>AVERAGEIFS(Table1[value],Table1[IndicatorCode],Table1[[#This Row],[IndicatorCode]])</f>
        <v>7.6894248608534319</v>
      </c>
      <c r="I1923" cm="1">
        <f t="array" ref="I1923">_xlfn.STDEV.P(IF(Table1[IndicatorCode]=Table1[[#This Row],[IndicatorCode]],Table1[value]))</f>
        <v>5.2319501044600996</v>
      </c>
      <c r="J1923">
        <f>(Table1[[#This Row],[value]] - Table1[[#This Row],[mean]]) / Table1[[#This Row],[std_dev]]</f>
        <v>-1.0874386695705196</v>
      </c>
      <c r="K1923">
        <f>AVERAGEIF(Table1[CountryCode],Table1[[#This Row],[CountryCode]],Table1[z-score])</f>
        <v>-0.54328248635894838</v>
      </c>
      <c r="L1923" t="e">
        <f>VLOOKUP(Table1[[#This Row],[CountryCode]],[1]!Table1[#Data],4,FALSE)</f>
        <v>#REF!</v>
      </c>
    </row>
    <row r="1924" spans="1:12" x14ac:dyDescent="0.3">
      <c r="A1924" t="s">
        <v>7</v>
      </c>
      <c r="B1924" t="s">
        <v>8</v>
      </c>
      <c r="C1924" t="s">
        <v>125</v>
      </c>
      <c r="D1924" t="s">
        <v>126</v>
      </c>
      <c r="E1924">
        <v>2020</v>
      </c>
      <c r="F1924" s="1">
        <v>2</v>
      </c>
      <c r="G1924">
        <v>2020</v>
      </c>
      <c r="H1924">
        <f>AVERAGEIFS(Table1[value],Table1[IndicatorCode],Table1[[#This Row],[IndicatorCode]])</f>
        <v>7.6894248608534319</v>
      </c>
      <c r="I1924" cm="1">
        <f t="array" ref="I1924">_xlfn.STDEV.P(IF(Table1[IndicatorCode]=Table1[[#This Row],[IndicatorCode]],Table1[value]))</f>
        <v>5.2319501044600996</v>
      </c>
      <c r="J1924">
        <f>(Table1[[#This Row],[value]] - Table1[[#This Row],[mean]]) / Table1[[#This Row],[std_dev]]</f>
        <v>-1.0874386695705196</v>
      </c>
      <c r="K1924">
        <f>AVERAGEIF(Table1[CountryCode],Table1[[#This Row],[CountryCode]],Table1[z-score])</f>
        <v>-0.54328248635894838</v>
      </c>
    </row>
    <row r="1925" spans="1:12" hidden="1" x14ac:dyDescent="0.3">
      <c r="A1925" t="s">
        <v>7</v>
      </c>
      <c r="B1925" t="s">
        <v>8</v>
      </c>
      <c r="C1925" t="s">
        <v>125</v>
      </c>
      <c r="D1925" t="s">
        <v>126</v>
      </c>
      <c r="E1925">
        <v>2021</v>
      </c>
      <c r="F1925" s="1">
        <v>2</v>
      </c>
      <c r="G1925">
        <v>2020</v>
      </c>
      <c r="H1925">
        <f>AVERAGEIFS(Table1[value],Table1[IndicatorCode],Table1[[#This Row],[IndicatorCode]])</f>
        <v>7.6894248608534319</v>
      </c>
      <c r="I1925" cm="1">
        <f t="array" ref="I1925">_xlfn.STDEV.P(IF(Table1[IndicatorCode]=Table1[[#This Row],[IndicatorCode]],Table1[value]))</f>
        <v>5.2319501044600996</v>
      </c>
      <c r="J1925">
        <f>(Table1[[#This Row],[value]] - Table1[[#This Row],[mean]]) / Table1[[#This Row],[std_dev]]</f>
        <v>-1.0874386695705196</v>
      </c>
      <c r="K1925">
        <f>AVERAGEIF(Table1[CountryCode],Table1[[#This Row],[CountryCode]],Table1[z-score])</f>
        <v>-0.54328248635894838</v>
      </c>
      <c r="L1925" t="e">
        <f>VLOOKUP(Table1[[#This Row],[CountryCode]],[1]!Table1[#Data],4,FALSE)</f>
        <v>#REF!</v>
      </c>
    </row>
    <row r="1926" spans="1:12" hidden="1" x14ac:dyDescent="0.3">
      <c r="A1926" t="s">
        <v>7</v>
      </c>
      <c r="B1926" t="s">
        <v>8</v>
      </c>
      <c r="C1926" t="s">
        <v>125</v>
      </c>
      <c r="D1926" t="s">
        <v>126</v>
      </c>
      <c r="E1926">
        <v>2022</v>
      </c>
      <c r="F1926" s="1">
        <v>2</v>
      </c>
      <c r="G1926">
        <v>1970</v>
      </c>
      <c r="H1926">
        <f>AVERAGEIFS(Table1[value],Table1[IndicatorCode],Table1[[#This Row],[IndicatorCode]])</f>
        <v>7.6894248608534319</v>
      </c>
      <c r="I1926" cm="1">
        <f t="array" ref="I1926">_xlfn.STDEV.P(IF(Table1[IndicatorCode]=Table1[[#This Row],[IndicatorCode]],Table1[value]))</f>
        <v>5.2319501044600996</v>
      </c>
      <c r="J1926">
        <f>(Table1[[#This Row],[value]] - Table1[[#This Row],[mean]]) / Table1[[#This Row],[std_dev]]</f>
        <v>-1.0874386695705196</v>
      </c>
      <c r="K1926">
        <f>AVERAGEIF(Table1[CountryCode],Table1[[#This Row],[CountryCode]],Table1[z-score])</f>
        <v>-0.54328248635894838</v>
      </c>
      <c r="L1926" t="e">
        <f>VLOOKUP(Table1[[#This Row],[CountryCode]],[1]!Table1[#Data],4,FALSE)</f>
        <v>#REF!</v>
      </c>
    </row>
    <row r="1927" spans="1:12" hidden="1" x14ac:dyDescent="0.3">
      <c r="A1927" t="s">
        <v>7</v>
      </c>
      <c r="B1927" t="s">
        <v>8</v>
      </c>
      <c r="C1927" t="s">
        <v>125</v>
      </c>
      <c r="D1927" t="s">
        <v>126</v>
      </c>
      <c r="E1927">
        <v>2023</v>
      </c>
      <c r="F1927" s="1">
        <v>2</v>
      </c>
      <c r="G1927">
        <v>1970</v>
      </c>
      <c r="H1927">
        <f>AVERAGEIFS(Table1[value],Table1[IndicatorCode],Table1[[#This Row],[IndicatorCode]])</f>
        <v>7.6894248608534319</v>
      </c>
      <c r="I1927" cm="1">
        <f t="array" ref="I1927">_xlfn.STDEV.P(IF(Table1[IndicatorCode]=Table1[[#This Row],[IndicatorCode]],Table1[value]))</f>
        <v>5.2319501044600996</v>
      </c>
      <c r="J1927">
        <f>(Table1[[#This Row],[value]] - Table1[[#This Row],[mean]]) / Table1[[#This Row],[std_dev]]</f>
        <v>-1.0874386695705196</v>
      </c>
      <c r="K1927">
        <f>AVERAGEIF(Table1[CountryCode],Table1[[#This Row],[CountryCode]],Table1[z-score])</f>
        <v>-0.54328248635894838</v>
      </c>
      <c r="L1927" t="e">
        <f>VLOOKUP(Table1[[#This Row],[CountryCode]],[1]!Table1[#Data],4,FALSE)</f>
        <v>#REF!</v>
      </c>
    </row>
    <row r="1928" spans="1:12" hidden="1" x14ac:dyDescent="0.3">
      <c r="A1928" t="s">
        <v>7</v>
      </c>
      <c r="B1928" t="s">
        <v>8</v>
      </c>
      <c r="C1928" t="s">
        <v>125</v>
      </c>
      <c r="D1928" t="s">
        <v>126</v>
      </c>
      <c r="E1928">
        <v>2024</v>
      </c>
      <c r="F1928" s="1">
        <v>2</v>
      </c>
      <c r="G1928">
        <v>1970</v>
      </c>
      <c r="H1928">
        <f>AVERAGEIFS(Table1[value],Table1[IndicatorCode],Table1[[#This Row],[IndicatorCode]])</f>
        <v>7.6894248608534319</v>
      </c>
      <c r="I1928" cm="1">
        <f t="array" ref="I1928">_xlfn.STDEV.P(IF(Table1[IndicatorCode]=Table1[[#This Row],[IndicatorCode]],Table1[value]))</f>
        <v>5.2319501044600996</v>
      </c>
      <c r="J1928">
        <f>(Table1[[#This Row],[value]] - Table1[[#This Row],[mean]]) / Table1[[#This Row],[std_dev]]</f>
        <v>-1.0874386695705196</v>
      </c>
      <c r="K1928">
        <f>AVERAGEIF(Table1[CountryCode],Table1[[#This Row],[CountryCode]],Table1[z-score])</f>
        <v>-0.54328248635894838</v>
      </c>
      <c r="L1928" t="e">
        <f>VLOOKUP(Table1[[#This Row],[CountryCode]],[1]!Table1[#Data],4,FALSE)</f>
        <v>#REF!</v>
      </c>
    </row>
    <row r="1929" spans="1:12" hidden="1" x14ac:dyDescent="0.3">
      <c r="A1929" t="s">
        <v>13</v>
      </c>
      <c r="B1929" t="s">
        <v>14</v>
      </c>
      <c r="C1929" t="s">
        <v>125</v>
      </c>
      <c r="D1929" t="s">
        <v>126</v>
      </c>
      <c r="E1929">
        <v>1970</v>
      </c>
      <c r="F1929" s="1">
        <v>4</v>
      </c>
      <c r="G1929">
        <v>1970</v>
      </c>
      <c r="H1929">
        <f>AVERAGEIFS(Table1[value],Table1[IndicatorCode],Table1[[#This Row],[IndicatorCode]])</f>
        <v>7.6894248608534319</v>
      </c>
      <c r="I1929" cm="1">
        <f t="array" ref="I1929">_xlfn.STDEV.P(IF(Table1[IndicatorCode]=Table1[[#This Row],[IndicatorCode]],Table1[value]))</f>
        <v>5.2319501044600996</v>
      </c>
      <c r="J1929">
        <f>(Table1[[#This Row],[value]] - Table1[[#This Row],[mean]]) / Table1[[#This Row],[std_dev]]</f>
        <v>-0.7051720271010028</v>
      </c>
      <c r="K1929">
        <f>AVERAGEIF(Table1[CountryCode],Table1[[#This Row],[CountryCode]],Table1[z-score])</f>
        <v>-0.71856813961256161</v>
      </c>
      <c r="L1929" t="e">
        <f>VLOOKUP(Table1[[#This Row],[CountryCode]],[1]!Table1[#Data],4,FALSE)</f>
        <v>#REF!</v>
      </c>
    </row>
    <row r="1930" spans="1:12" hidden="1" x14ac:dyDescent="0.3">
      <c r="A1930" t="s">
        <v>13</v>
      </c>
      <c r="B1930" t="s">
        <v>14</v>
      </c>
      <c r="C1930" t="s">
        <v>125</v>
      </c>
      <c r="D1930" t="s">
        <v>126</v>
      </c>
      <c r="E1930">
        <v>1971</v>
      </c>
      <c r="F1930" s="1">
        <v>4</v>
      </c>
      <c r="G1930">
        <v>1970</v>
      </c>
      <c r="H1930">
        <f>AVERAGEIFS(Table1[value],Table1[IndicatorCode],Table1[[#This Row],[IndicatorCode]])</f>
        <v>7.6894248608534319</v>
      </c>
      <c r="I1930" cm="1">
        <f t="array" ref="I1930">_xlfn.STDEV.P(IF(Table1[IndicatorCode]=Table1[[#This Row],[IndicatorCode]],Table1[value]))</f>
        <v>5.2319501044600996</v>
      </c>
      <c r="J1930">
        <f>(Table1[[#This Row],[value]] - Table1[[#This Row],[mean]]) / Table1[[#This Row],[std_dev]]</f>
        <v>-0.7051720271010028</v>
      </c>
      <c r="K1930">
        <f>AVERAGEIF(Table1[CountryCode],Table1[[#This Row],[CountryCode]],Table1[z-score])</f>
        <v>-0.71856813961256161</v>
      </c>
      <c r="L1930" t="e">
        <f>VLOOKUP(Table1[[#This Row],[CountryCode]],[1]!Table1[#Data],4,FALSE)</f>
        <v>#REF!</v>
      </c>
    </row>
    <row r="1931" spans="1:12" hidden="1" x14ac:dyDescent="0.3">
      <c r="A1931" t="s">
        <v>13</v>
      </c>
      <c r="B1931" t="s">
        <v>14</v>
      </c>
      <c r="C1931" t="s">
        <v>125</v>
      </c>
      <c r="D1931" t="s">
        <v>126</v>
      </c>
      <c r="E1931">
        <v>1972</v>
      </c>
      <c r="F1931" s="1">
        <v>4</v>
      </c>
      <c r="G1931">
        <v>1970</v>
      </c>
      <c r="H1931">
        <f>AVERAGEIFS(Table1[value],Table1[IndicatorCode],Table1[[#This Row],[IndicatorCode]])</f>
        <v>7.6894248608534319</v>
      </c>
      <c r="I1931" cm="1">
        <f t="array" ref="I1931">_xlfn.STDEV.P(IF(Table1[IndicatorCode]=Table1[[#This Row],[IndicatorCode]],Table1[value]))</f>
        <v>5.2319501044600996</v>
      </c>
      <c r="J1931">
        <f>(Table1[[#This Row],[value]] - Table1[[#This Row],[mean]]) / Table1[[#This Row],[std_dev]]</f>
        <v>-0.7051720271010028</v>
      </c>
      <c r="K1931">
        <f>AVERAGEIF(Table1[CountryCode],Table1[[#This Row],[CountryCode]],Table1[z-score])</f>
        <v>-0.71856813961256161</v>
      </c>
      <c r="L1931" t="e">
        <f>VLOOKUP(Table1[[#This Row],[CountryCode]],[1]!Table1[#Data],4,FALSE)</f>
        <v>#REF!</v>
      </c>
    </row>
    <row r="1932" spans="1:12" hidden="1" x14ac:dyDescent="0.3">
      <c r="A1932" t="s">
        <v>13</v>
      </c>
      <c r="B1932" t="s">
        <v>14</v>
      </c>
      <c r="C1932" t="s">
        <v>125</v>
      </c>
      <c r="D1932" t="s">
        <v>126</v>
      </c>
      <c r="E1932">
        <v>1973</v>
      </c>
      <c r="F1932" s="1">
        <v>4</v>
      </c>
      <c r="G1932">
        <v>1970</v>
      </c>
      <c r="H1932">
        <f>AVERAGEIFS(Table1[value],Table1[IndicatorCode],Table1[[#This Row],[IndicatorCode]])</f>
        <v>7.6894248608534319</v>
      </c>
      <c r="I1932" cm="1">
        <f t="array" ref="I1932">_xlfn.STDEV.P(IF(Table1[IndicatorCode]=Table1[[#This Row],[IndicatorCode]],Table1[value]))</f>
        <v>5.2319501044600996</v>
      </c>
      <c r="J1932">
        <f>(Table1[[#This Row],[value]] - Table1[[#This Row],[mean]]) / Table1[[#This Row],[std_dev]]</f>
        <v>-0.7051720271010028</v>
      </c>
      <c r="K1932">
        <f>AVERAGEIF(Table1[CountryCode],Table1[[#This Row],[CountryCode]],Table1[z-score])</f>
        <v>-0.71856813961256161</v>
      </c>
      <c r="L1932" t="e">
        <f>VLOOKUP(Table1[[#This Row],[CountryCode]],[1]!Table1[#Data],4,FALSE)</f>
        <v>#REF!</v>
      </c>
    </row>
    <row r="1933" spans="1:12" hidden="1" x14ac:dyDescent="0.3">
      <c r="A1933" t="s">
        <v>13</v>
      </c>
      <c r="B1933" t="s">
        <v>14</v>
      </c>
      <c r="C1933" t="s">
        <v>125</v>
      </c>
      <c r="D1933" t="s">
        <v>126</v>
      </c>
      <c r="E1933">
        <v>1974</v>
      </c>
      <c r="F1933" s="1">
        <v>5</v>
      </c>
      <c r="G1933">
        <v>1970</v>
      </c>
      <c r="H1933">
        <f>AVERAGEIFS(Table1[value],Table1[IndicatorCode],Table1[[#This Row],[IndicatorCode]])</f>
        <v>7.6894248608534319</v>
      </c>
      <c r="I1933" cm="1">
        <f t="array" ref="I1933">_xlfn.STDEV.P(IF(Table1[IndicatorCode]=Table1[[#This Row],[IndicatorCode]],Table1[value]))</f>
        <v>5.2319501044600996</v>
      </c>
      <c r="J1933">
        <f>(Table1[[#This Row],[value]] - Table1[[#This Row],[mean]]) / Table1[[#This Row],[std_dev]]</f>
        <v>-0.51403870586624445</v>
      </c>
      <c r="K1933">
        <f>AVERAGEIF(Table1[CountryCode],Table1[[#This Row],[CountryCode]],Table1[z-score])</f>
        <v>-0.71856813961256161</v>
      </c>
      <c r="L1933" t="e">
        <f>VLOOKUP(Table1[[#This Row],[CountryCode]],[1]!Table1[#Data],4,FALSE)</f>
        <v>#REF!</v>
      </c>
    </row>
    <row r="1934" spans="1:12" hidden="1" x14ac:dyDescent="0.3">
      <c r="A1934" t="s">
        <v>13</v>
      </c>
      <c r="B1934" t="s">
        <v>14</v>
      </c>
      <c r="C1934" t="s">
        <v>125</v>
      </c>
      <c r="D1934" t="s">
        <v>126</v>
      </c>
      <c r="E1934">
        <v>1975</v>
      </c>
      <c r="F1934" s="1">
        <v>5</v>
      </c>
      <c r="G1934">
        <v>1970</v>
      </c>
      <c r="H1934">
        <f>AVERAGEIFS(Table1[value],Table1[IndicatorCode],Table1[[#This Row],[IndicatorCode]])</f>
        <v>7.6894248608534319</v>
      </c>
      <c r="I1934" cm="1">
        <f t="array" ref="I1934">_xlfn.STDEV.P(IF(Table1[IndicatorCode]=Table1[[#This Row],[IndicatorCode]],Table1[value]))</f>
        <v>5.2319501044600996</v>
      </c>
      <c r="J1934">
        <f>(Table1[[#This Row],[value]] - Table1[[#This Row],[mean]]) / Table1[[#This Row],[std_dev]]</f>
        <v>-0.51403870586624445</v>
      </c>
      <c r="K1934">
        <f>AVERAGEIF(Table1[CountryCode],Table1[[#This Row],[CountryCode]],Table1[z-score])</f>
        <v>-0.71856813961256161</v>
      </c>
      <c r="L1934" t="e">
        <f>VLOOKUP(Table1[[#This Row],[CountryCode]],[1]!Table1[#Data],4,FALSE)</f>
        <v>#REF!</v>
      </c>
    </row>
    <row r="1935" spans="1:12" hidden="1" x14ac:dyDescent="0.3">
      <c r="A1935" t="s">
        <v>13</v>
      </c>
      <c r="B1935" t="s">
        <v>14</v>
      </c>
      <c r="C1935" t="s">
        <v>125</v>
      </c>
      <c r="D1935" t="s">
        <v>126</v>
      </c>
      <c r="E1935">
        <v>1976</v>
      </c>
      <c r="F1935" s="1">
        <v>5</v>
      </c>
      <c r="G1935">
        <v>1970</v>
      </c>
      <c r="H1935">
        <f>AVERAGEIFS(Table1[value],Table1[IndicatorCode],Table1[[#This Row],[IndicatorCode]])</f>
        <v>7.6894248608534319</v>
      </c>
      <c r="I1935" cm="1">
        <f t="array" ref="I1935">_xlfn.STDEV.P(IF(Table1[IndicatorCode]=Table1[[#This Row],[IndicatorCode]],Table1[value]))</f>
        <v>5.2319501044600996</v>
      </c>
      <c r="J1935">
        <f>(Table1[[#This Row],[value]] - Table1[[#This Row],[mean]]) / Table1[[#This Row],[std_dev]]</f>
        <v>-0.51403870586624445</v>
      </c>
      <c r="K1935">
        <f>AVERAGEIF(Table1[CountryCode],Table1[[#This Row],[CountryCode]],Table1[z-score])</f>
        <v>-0.71856813961256161</v>
      </c>
      <c r="L1935" t="e">
        <f>VLOOKUP(Table1[[#This Row],[CountryCode]],[1]!Table1[#Data],4,FALSE)</f>
        <v>#REF!</v>
      </c>
    </row>
    <row r="1936" spans="1:12" hidden="1" x14ac:dyDescent="0.3">
      <c r="A1936" t="s">
        <v>13</v>
      </c>
      <c r="B1936" t="s">
        <v>14</v>
      </c>
      <c r="C1936" t="s">
        <v>125</v>
      </c>
      <c r="D1936" t="s">
        <v>126</v>
      </c>
      <c r="E1936">
        <v>1977</v>
      </c>
      <c r="F1936" s="1">
        <v>5</v>
      </c>
      <c r="G1936">
        <v>1980</v>
      </c>
      <c r="H1936">
        <f>AVERAGEIFS(Table1[value],Table1[IndicatorCode],Table1[[#This Row],[IndicatorCode]])</f>
        <v>7.6894248608534319</v>
      </c>
      <c r="I1936" cm="1">
        <f t="array" ref="I1936">_xlfn.STDEV.P(IF(Table1[IndicatorCode]=Table1[[#This Row],[IndicatorCode]],Table1[value]))</f>
        <v>5.2319501044600996</v>
      </c>
      <c r="J1936">
        <f>(Table1[[#This Row],[value]] - Table1[[#This Row],[mean]]) / Table1[[#This Row],[std_dev]]</f>
        <v>-0.51403870586624445</v>
      </c>
      <c r="K1936">
        <f>AVERAGEIF(Table1[CountryCode],Table1[[#This Row],[CountryCode]],Table1[z-score])</f>
        <v>-0.71856813961256161</v>
      </c>
      <c r="L1936" t="e">
        <f>VLOOKUP(Table1[[#This Row],[CountryCode]],[1]!Table1[#Data],4,FALSE)</f>
        <v>#REF!</v>
      </c>
    </row>
    <row r="1937" spans="1:12" hidden="1" x14ac:dyDescent="0.3">
      <c r="A1937" t="s">
        <v>13</v>
      </c>
      <c r="B1937" t="s">
        <v>14</v>
      </c>
      <c r="C1937" t="s">
        <v>125</v>
      </c>
      <c r="D1937" t="s">
        <v>126</v>
      </c>
      <c r="E1937">
        <v>1978</v>
      </c>
      <c r="F1937" s="1">
        <v>5</v>
      </c>
      <c r="G1937">
        <v>1980</v>
      </c>
      <c r="H1937">
        <f>AVERAGEIFS(Table1[value],Table1[IndicatorCode],Table1[[#This Row],[IndicatorCode]])</f>
        <v>7.6894248608534319</v>
      </c>
      <c r="I1937" cm="1">
        <f t="array" ref="I1937">_xlfn.STDEV.P(IF(Table1[IndicatorCode]=Table1[[#This Row],[IndicatorCode]],Table1[value]))</f>
        <v>5.2319501044600996</v>
      </c>
      <c r="J1937">
        <f>(Table1[[#This Row],[value]] - Table1[[#This Row],[mean]]) / Table1[[#This Row],[std_dev]]</f>
        <v>-0.51403870586624445</v>
      </c>
      <c r="K1937">
        <f>AVERAGEIF(Table1[CountryCode],Table1[[#This Row],[CountryCode]],Table1[z-score])</f>
        <v>-0.71856813961256161</v>
      </c>
      <c r="L1937" t="e">
        <f>VLOOKUP(Table1[[#This Row],[CountryCode]],[1]!Table1[#Data],4,FALSE)</f>
        <v>#REF!</v>
      </c>
    </row>
    <row r="1938" spans="1:12" hidden="1" x14ac:dyDescent="0.3">
      <c r="A1938" t="s">
        <v>13</v>
      </c>
      <c r="B1938" t="s">
        <v>14</v>
      </c>
      <c r="C1938" t="s">
        <v>125</v>
      </c>
      <c r="D1938" t="s">
        <v>126</v>
      </c>
      <c r="E1938">
        <v>1979</v>
      </c>
      <c r="F1938" s="1">
        <v>5</v>
      </c>
      <c r="G1938">
        <v>1980</v>
      </c>
      <c r="H1938">
        <f>AVERAGEIFS(Table1[value],Table1[IndicatorCode],Table1[[#This Row],[IndicatorCode]])</f>
        <v>7.6894248608534319</v>
      </c>
      <c r="I1938" cm="1">
        <f t="array" ref="I1938">_xlfn.STDEV.P(IF(Table1[IndicatorCode]=Table1[[#This Row],[IndicatorCode]],Table1[value]))</f>
        <v>5.2319501044600996</v>
      </c>
      <c r="J1938">
        <f>(Table1[[#This Row],[value]] - Table1[[#This Row],[mean]]) / Table1[[#This Row],[std_dev]]</f>
        <v>-0.51403870586624445</v>
      </c>
      <c r="K1938">
        <f>AVERAGEIF(Table1[CountryCode],Table1[[#This Row],[CountryCode]],Table1[z-score])</f>
        <v>-0.71856813961256161</v>
      </c>
      <c r="L1938" t="e">
        <f>VLOOKUP(Table1[[#This Row],[CountryCode]],[1]!Table1[#Data],4,FALSE)</f>
        <v>#REF!</v>
      </c>
    </row>
    <row r="1939" spans="1:12" hidden="1" x14ac:dyDescent="0.3">
      <c r="A1939" t="s">
        <v>13</v>
      </c>
      <c r="B1939" t="s">
        <v>14</v>
      </c>
      <c r="C1939" t="s">
        <v>125</v>
      </c>
      <c r="D1939" t="s">
        <v>126</v>
      </c>
      <c r="E1939">
        <v>1980</v>
      </c>
      <c r="F1939" s="1">
        <v>5</v>
      </c>
      <c r="G1939">
        <v>1980</v>
      </c>
      <c r="H1939">
        <f>AVERAGEIFS(Table1[value],Table1[IndicatorCode],Table1[[#This Row],[IndicatorCode]])</f>
        <v>7.6894248608534319</v>
      </c>
      <c r="I1939" cm="1">
        <f t="array" ref="I1939">_xlfn.STDEV.P(IF(Table1[IndicatorCode]=Table1[[#This Row],[IndicatorCode]],Table1[value]))</f>
        <v>5.2319501044600996</v>
      </c>
      <c r="J1939">
        <f>(Table1[[#This Row],[value]] - Table1[[#This Row],[mean]]) / Table1[[#This Row],[std_dev]]</f>
        <v>-0.51403870586624445</v>
      </c>
      <c r="K1939">
        <f>AVERAGEIF(Table1[CountryCode],Table1[[#This Row],[CountryCode]],Table1[z-score])</f>
        <v>-0.71856813961256161</v>
      </c>
      <c r="L1939" t="e">
        <f>VLOOKUP(Table1[[#This Row],[CountryCode]],[1]!Table1[#Data],4,FALSE)</f>
        <v>#REF!</v>
      </c>
    </row>
    <row r="1940" spans="1:12" hidden="1" x14ac:dyDescent="0.3">
      <c r="A1940" t="s">
        <v>13</v>
      </c>
      <c r="B1940" t="s">
        <v>14</v>
      </c>
      <c r="C1940" t="s">
        <v>125</v>
      </c>
      <c r="D1940" t="s">
        <v>126</v>
      </c>
      <c r="E1940">
        <v>1981</v>
      </c>
      <c r="F1940" s="1">
        <v>6</v>
      </c>
      <c r="G1940">
        <v>1980</v>
      </c>
      <c r="H1940">
        <f>AVERAGEIFS(Table1[value],Table1[IndicatorCode],Table1[[#This Row],[IndicatorCode]])</f>
        <v>7.6894248608534319</v>
      </c>
      <c r="I1940" cm="1">
        <f t="array" ref="I1940">_xlfn.STDEV.P(IF(Table1[IndicatorCode]=Table1[[#This Row],[IndicatorCode]],Table1[value]))</f>
        <v>5.2319501044600996</v>
      </c>
      <c r="J1940">
        <f>(Table1[[#This Row],[value]] - Table1[[#This Row],[mean]]) / Table1[[#This Row],[std_dev]]</f>
        <v>-0.32290538463148605</v>
      </c>
      <c r="K1940">
        <f>AVERAGEIF(Table1[CountryCode],Table1[[#This Row],[CountryCode]],Table1[z-score])</f>
        <v>-0.71856813961256161</v>
      </c>
      <c r="L1940" t="e">
        <f>VLOOKUP(Table1[[#This Row],[CountryCode]],[1]!Table1[#Data],4,FALSE)</f>
        <v>#REF!</v>
      </c>
    </row>
    <row r="1941" spans="1:12" hidden="1" x14ac:dyDescent="0.3">
      <c r="A1941" t="s">
        <v>13</v>
      </c>
      <c r="B1941" t="s">
        <v>14</v>
      </c>
      <c r="C1941" t="s">
        <v>125</v>
      </c>
      <c r="D1941" t="s">
        <v>126</v>
      </c>
      <c r="E1941">
        <v>1982</v>
      </c>
      <c r="F1941" s="1">
        <v>6</v>
      </c>
      <c r="G1941">
        <v>1980</v>
      </c>
      <c r="H1941">
        <f>AVERAGEIFS(Table1[value],Table1[IndicatorCode],Table1[[#This Row],[IndicatorCode]])</f>
        <v>7.6894248608534319</v>
      </c>
      <c r="I1941" cm="1">
        <f t="array" ref="I1941">_xlfn.STDEV.P(IF(Table1[IndicatorCode]=Table1[[#This Row],[IndicatorCode]],Table1[value]))</f>
        <v>5.2319501044600996</v>
      </c>
      <c r="J1941">
        <f>(Table1[[#This Row],[value]] - Table1[[#This Row],[mean]]) / Table1[[#This Row],[std_dev]]</f>
        <v>-0.32290538463148605</v>
      </c>
      <c r="K1941">
        <f>AVERAGEIF(Table1[CountryCode],Table1[[#This Row],[CountryCode]],Table1[z-score])</f>
        <v>-0.71856813961256161</v>
      </c>
      <c r="L1941" t="e">
        <f>VLOOKUP(Table1[[#This Row],[CountryCode]],[1]!Table1[#Data],4,FALSE)</f>
        <v>#REF!</v>
      </c>
    </row>
    <row r="1942" spans="1:12" hidden="1" x14ac:dyDescent="0.3">
      <c r="A1942" t="s">
        <v>13</v>
      </c>
      <c r="B1942" t="s">
        <v>14</v>
      </c>
      <c r="C1942" t="s">
        <v>125</v>
      </c>
      <c r="D1942" t="s">
        <v>126</v>
      </c>
      <c r="E1942">
        <v>1983</v>
      </c>
      <c r="F1942" s="1">
        <v>6</v>
      </c>
      <c r="G1942">
        <v>1980</v>
      </c>
      <c r="H1942">
        <f>AVERAGEIFS(Table1[value],Table1[IndicatorCode],Table1[[#This Row],[IndicatorCode]])</f>
        <v>7.6894248608534319</v>
      </c>
      <c r="I1942" cm="1">
        <f t="array" ref="I1942">_xlfn.STDEV.P(IF(Table1[IndicatorCode]=Table1[[#This Row],[IndicatorCode]],Table1[value]))</f>
        <v>5.2319501044600996</v>
      </c>
      <c r="J1942">
        <f>(Table1[[#This Row],[value]] - Table1[[#This Row],[mean]]) / Table1[[#This Row],[std_dev]]</f>
        <v>-0.32290538463148605</v>
      </c>
      <c r="K1942">
        <f>AVERAGEIF(Table1[CountryCode],Table1[[#This Row],[CountryCode]],Table1[z-score])</f>
        <v>-0.71856813961256161</v>
      </c>
      <c r="L1942" t="e">
        <f>VLOOKUP(Table1[[#This Row],[CountryCode]],[1]!Table1[#Data],4,FALSE)</f>
        <v>#REF!</v>
      </c>
    </row>
    <row r="1943" spans="1:12" hidden="1" x14ac:dyDescent="0.3">
      <c r="A1943" t="s">
        <v>13</v>
      </c>
      <c r="B1943" t="s">
        <v>14</v>
      </c>
      <c r="C1943" t="s">
        <v>125</v>
      </c>
      <c r="D1943" t="s">
        <v>126</v>
      </c>
      <c r="E1943">
        <v>1984</v>
      </c>
      <c r="F1943" s="1">
        <v>6</v>
      </c>
      <c r="G1943">
        <v>1980</v>
      </c>
      <c r="H1943">
        <f>AVERAGEIFS(Table1[value],Table1[IndicatorCode],Table1[[#This Row],[IndicatorCode]])</f>
        <v>7.6894248608534319</v>
      </c>
      <c r="I1943" cm="1">
        <f t="array" ref="I1943">_xlfn.STDEV.P(IF(Table1[IndicatorCode]=Table1[[#This Row],[IndicatorCode]],Table1[value]))</f>
        <v>5.2319501044600996</v>
      </c>
      <c r="J1943">
        <f>(Table1[[#This Row],[value]] - Table1[[#This Row],[mean]]) / Table1[[#This Row],[std_dev]]</f>
        <v>-0.32290538463148605</v>
      </c>
      <c r="K1943">
        <f>AVERAGEIF(Table1[CountryCode],Table1[[#This Row],[CountryCode]],Table1[z-score])</f>
        <v>-0.71856813961256161</v>
      </c>
      <c r="L1943" t="e">
        <f>VLOOKUP(Table1[[#This Row],[CountryCode]],[1]!Table1[#Data],4,FALSE)</f>
        <v>#REF!</v>
      </c>
    </row>
    <row r="1944" spans="1:12" hidden="1" x14ac:dyDescent="0.3">
      <c r="A1944" t="s">
        <v>13</v>
      </c>
      <c r="B1944" t="s">
        <v>14</v>
      </c>
      <c r="C1944" t="s">
        <v>125</v>
      </c>
      <c r="D1944" t="s">
        <v>126</v>
      </c>
      <c r="E1944">
        <v>1985</v>
      </c>
      <c r="F1944" s="1">
        <v>6</v>
      </c>
      <c r="G1944">
        <v>1980</v>
      </c>
      <c r="H1944">
        <f>AVERAGEIFS(Table1[value],Table1[IndicatorCode],Table1[[#This Row],[IndicatorCode]])</f>
        <v>7.6894248608534319</v>
      </c>
      <c r="I1944" cm="1">
        <f t="array" ref="I1944">_xlfn.STDEV.P(IF(Table1[IndicatorCode]=Table1[[#This Row],[IndicatorCode]],Table1[value]))</f>
        <v>5.2319501044600996</v>
      </c>
      <c r="J1944">
        <f>(Table1[[#This Row],[value]] - Table1[[#This Row],[mean]]) / Table1[[#This Row],[std_dev]]</f>
        <v>-0.32290538463148605</v>
      </c>
      <c r="K1944">
        <f>AVERAGEIF(Table1[CountryCode],Table1[[#This Row],[CountryCode]],Table1[z-score])</f>
        <v>-0.71856813961256161</v>
      </c>
      <c r="L1944" t="e">
        <f>VLOOKUP(Table1[[#This Row],[CountryCode]],[1]!Table1[#Data],4,FALSE)</f>
        <v>#REF!</v>
      </c>
    </row>
    <row r="1945" spans="1:12" hidden="1" x14ac:dyDescent="0.3">
      <c r="A1945" t="s">
        <v>13</v>
      </c>
      <c r="B1945" t="s">
        <v>14</v>
      </c>
      <c r="C1945" t="s">
        <v>125</v>
      </c>
      <c r="D1945" t="s">
        <v>126</v>
      </c>
      <c r="E1945">
        <v>1986</v>
      </c>
      <c r="F1945" s="1">
        <v>6</v>
      </c>
      <c r="G1945">
        <v>1980</v>
      </c>
      <c r="H1945">
        <f>AVERAGEIFS(Table1[value],Table1[IndicatorCode],Table1[[#This Row],[IndicatorCode]])</f>
        <v>7.6894248608534319</v>
      </c>
      <c r="I1945" cm="1">
        <f t="array" ref="I1945">_xlfn.STDEV.P(IF(Table1[IndicatorCode]=Table1[[#This Row],[IndicatorCode]],Table1[value]))</f>
        <v>5.2319501044600996</v>
      </c>
      <c r="J1945">
        <f>(Table1[[#This Row],[value]] - Table1[[#This Row],[mean]]) / Table1[[#This Row],[std_dev]]</f>
        <v>-0.32290538463148605</v>
      </c>
      <c r="K1945">
        <f>AVERAGEIF(Table1[CountryCode],Table1[[#This Row],[CountryCode]],Table1[z-score])</f>
        <v>-0.71856813961256161</v>
      </c>
      <c r="L1945" t="e">
        <f>VLOOKUP(Table1[[#This Row],[CountryCode]],[1]!Table1[#Data],4,FALSE)</f>
        <v>#REF!</v>
      </c>
    </row>
    <row r="1946" spans="1:12" hidden="1" x14ac:dyDescent="0.3">
      <c r="A1946" t="s">
        <v>13</v>
      </c>
      <c r="B1946" t="s">
        <v>14</v>
      </c>
      <c r="C1946" t="s">
        <v>125</v>
      </c>
      <c r="D1946" t="s">
        <v>126</v>
      </c>
      <c r="E1946">
        <v>1987</v>
      </c>
      <c r="F1946" s="1">
        <v>6</v>
      </c>
      <c r="G1946">
        <v>1990</v>
      </c>
      <c r="H1946">
        <f>AVERAGEIFS(Table1[value],Table1[IndicatorCode],Table1[[#This Row],[IndicatorCode]])</f>
        <v>7.6894248608534319</v>
      </c>
      <c r="I1946" cm="1">
        <f t="array" ref="I1946">_xlfn.STDEV.P(IF(Table1[IndicatorCode]=Table1[[#This Row],[IndicatorCode]],Table1[value]))</f>
        <v>5.2319501044600996</v>
      </c>
      <c r="J1946">
        <f>(Table1[[#This Row],[value]] - Table1[[#This Row],[mean]]) / Table1[[#This Row],[std_dev]]</f>
        <v>-0.32290538463148605</v>
      </c>
      <c r="K1946">
        <f>AVERAGEIF(Table1[CountryCode],Table1[[#This Row],[CountryCode]],Table1[z-score])</f>
        <v>-0.71856813961256161</v>
      </c>
      <c r="L1946" t="e">
        <f>VLOOKUP(Table1[[#This Row],[CountryCode]],[1]!Table1[#Data],4,FALSE)</f>
        <v>#REF!</v>
      </c>
    </row>
    <row r="1947" spans="1:12" hidden="1" x14ac:dyDescent="0.3">
      <c r="A1947" t="s">
        <v>13</v>
      </c>
      <c r="B1947" t="s">
        <v>14</v>
      </c>
      <c r="C1947" t="s">
        <v>125</v>
      </c>
      <c r="D1947" t="s">
        <v>126</v>
      </c>
      <c r="E1947">
        <v>1988</v>
      </c>
      <c r="F1947" s="1">
        <v>6</v>
      </c>
      <c r="G1947">
        <v>1990</v>
      </c>
      <c r="H1947">
        <f>AVERAGEIFS(Table1[value],Table1[IndicatorCode],Table1[[#This Row],[IndicatorCode]])</f>
        <v>7.6894248608534319</v>
      </c>
      <c r="I1947" cm="1">
        <f t="array" ref="I1947">_xlfn.STDEV.P(IF(Table1[IndicatorCode]=Table1[[#This Row],[IndicatorCode]],Table1[value]))</f>
        <v>5.2319501044600996</v>
      </c>
      <c r="J1947">
        <f>(Table1[[#This Row],[value]] - Table1[[#This Row],[mean]]) / Table1[[#This Row],[std_dev]]</f>
        <v>-0.32290538463148605</v>
      </c>
      <c r="K1947">
        <f>AVERAGEIF(Table1[CountryCode],Table1[[#This Row],[CountryCode]],Table1[z-score])</f>
        <v>-0.71856813961256161</v>
      </c>
      <c r="L1947" t="e">
        <f>VLOOKUP(Table1[[#This Row],[CountryCode]],[1]!Table1[#Data],4,FALSE)</f>
        <v>#REF!</v>
      </c>
    </row>
    <row r="1948" spans="1:12" hidden="1" x14ac:dyDescent="0.3">
      <c r="A1948" t="s">
        <v>13</v>
      </c>
      <c r="B1948" t="s">
        <v>14</v>
      </c>
      <c r="C1948" t="s">
        <v>125</v>
      </c>
      <c r="D1948" t="s">
        <v>126</v>
      </c>
      <c r="E1948">
        <v>1989</v>
      </c>
      <c r="F1948" s="1">
        <v>5</v>
      </c>
      <c r="G1948">
        <v>1990</v>
      </c>
      <c r="H1948">
        <f>AVERAGEIFS(Table1[value],Table1[IndicatorCode],Table1[[#This Row],[IndicatorCode]])</f>
        <v>7.6894248608534319</v>
      </c>
      <c r="I1948" cm="1">
        <f t="array" ref="I1948">_xlfn.STDEV.P(IF(Table1[IndicatorCode]=Table1[[#This Row],[IndicatorCode]],Table1[value]))</f>
        <v>5.2319501044600996</v>
      </c>
      <c r="J1948">
        <f>(Table1[[#This Row],[value]] - Table1[[#This Row],[mean]]) / Table1[[#This Row],[std_dev]]</f>
        <v>-0.51403870586624445</v>
      </c>
      <c r="K1948">
        <f>AVERAGEIF(Table1[CountryCode],Table1[[#This Row],[CountryCode]],Table1[z-score])</f>
        <v>-0.71856813961256161</v>
      </c>
      <c r="L1948" t="e">
        <f>VLOOKUP(Table1[[#This Row],[CountryCode]],[1]!Table1[#Data],4,FALSE)</f>
        <v>#REF!</v>
      </c>
    </row>
    <row r="1949" spans="1:12" hidden="1" x14ac:dyDescent="0.3">
      <c r="A1949" t="s">
        <v>13</v>
      </c>
      <c r="B1949" t="s">
        <v>14</v>
      </c>
      <c r="C1949" t="s">
        <v>125</v>
      </c>
      <c r="D1949" t="s">
        <v>126</v>
      </c>
      <c r="E1949">
        <v>1990</v>
      </c>
      <c r="F1949" s="1">
        <v>6</v>
      </c>
      <c r="G1949">
        <v>1990</v>
      </c>
      <c r="H1949">
        <f>AVERAGEIFS(Table1[value],Table1[IndicatorCode],Table1[[#This Row],[IndicatorCode]])</f>
        <v>7.6894248608534319</v>
      </c>
      <c r="I1949" cm="1">
        <f t="array" ref="I1949">_xlfn.STDEV.P(IF(Table1[IndicatorCode]=Table1[[#This Row],[IndicatorCode]],Table1[value]))</f>
        <v>5.2319501044600996</v>
      </c>
      <c r="J1949">
        <f>(Table1[[#This Row],[value]] - Table1[[#This Row],[mean]]) / Table1[[#This Row],[std_dev]]</f>
        <v>-0.32290538463148605</v>
      </c>
      <c r="K1949">
        <f>AVERAGEIF(Table1[CountryCode],Table1[[#This Row],[CountryCode]],Table1[z-score])</f>
        <v>-0.71856813961256161</v>
      </c>
      <c r="L1949" t="e">
        <f>VLOOKUP(Table1[[#This Row],[CountryCode]],[1]!Table1[#Data],4,FALSE)</f>
        <v>#REF!</v>
      </c>
    </row>
    <row r="1950" spans="1:12" hidden="1" x14ac:dyDescent="0.3">
      <c r="A1950" t="s">
        <v>13</v>
      </c>
      <c r="B1950" t="s">
        <v>14</v>
      </c>
      <c r="C1950" t="s">
        <v>125</v>
      </c>
      <c r="D1950" t="s">
        <v>126</v>
      </c>
      <c r="E1950">
        <v>1991</v>
      </c>
      <c r="F1950" s="1">
        <v>6</v>
      </c>
      <c r="G1950">
        <v>1990</v>
      </c>
      <c r="H1950">
        <f>AVERAGEIFS(Table1[value],Table1[IndicatorCode],Table1[[#This Row],[IndicatorCode]])</f>
        <v>7.6894248608534319</v>
      </c>
      <c r="I1950" cm="1">
        <f t="array" ref="I1950">_xlfn.STDEV.P(IF(Table1[IndicatorCode]=Table1[[#This Row],[IndicatorCode]],Table1[value]))</f>
        <v>5.2319501044600996</v>
      </c>
      <c r="J1950">
        <f>(Table1[[#This Row],[value]] - Table1[[#This Row],[mean]]) / Table1[[#This Row],[std_dev]]</f>
        <v>-0.32290538463148605</v>
      </c>
      <c r="K1950">
        <f>AVERAGEIF(Table1[CountryCode],Table1[[#This Row],[CountryCode]],Table1[z-score])</f>
        <v>-0.71856813961256161</v>
      </c>
      <c r="L1950" t="e">
        <f>VLOOKUP(Table1[[#This Row],[CountryCode]],[1]!Table1[#Data],4,FALSE)</f>
        <v>#REF!</v>
      </c>
    </row>
    <row r="1951" spans="1:12" hidden="1" x14ac:dyDescent="0.3">
      <c r="A1951" t="s">
        <v>13</v>
      </c>
      <c r="B1951" t="s">
        <v>14</v>
      </c>
      <c r="C1951" t="s">
        <v>125</v>
      </c>
      <c r="D1951" t="s">
        <v>126</v>
      </c>
      <c r="E1951">
        <v>1992</v>
      </c>
      <c r="F1951" s="1">
        <v>3</v>
      </c>
      <c r="G1951">
        <v>1990</v>
      </c>
      <c r="H1951">
        <f>AVERAGEIFS(Table1[value],Table1[IndicatorCode],Table1[[#This Row],[IndicatorCode]])</f>
        <v>7.6894248608534319</v>
      </c>
      <c r="I1951" cm="1">
        <f t="array" ref="I1951">_xlfn.STDEV.P(IF(Table1[IndicatorCode]=Table1[[#This Row],[IndicatorCode]],Table1[value]))</f>
        <v>5.2319501044600996</v>
      </c>
      <c r="J1951">
        <f>(Table1[[#This Row],[value]] - Table1[[#This Row],[mean]]) / Table1[[#This Row],[std_dev]]</f>
        <v>-0.89630534833576125</v>
      </c>
      <c r="K1951">
        <f>AVERAGEIF(Table1[CountryCode],Table1[[#This Row],[CountryCode]],Table1[z-score])</f>
        <v>-0.71856813961256161</v>
      </c>
      <c r="L1951" t="e">
        <f>VLOOKUP(Table1[[#This Row],[CountryCode]],[1]!Table1[#Data],4,FALSE)</f>
        <v>#REF!</v>
      </c>
    </row>
    <row r="1952" spans="1:12" hidden="1" x14ac:dyDescent="0.3">
      <c r="A1952" t="s">
        <v>13</v>
      </c>
      <c r="B1952" t="s">
        <v>14</v>
      </c>
      <c r="C1952" t="s">
        <v>125</v>
      </c>
      <c r="D1952" t="s">
        <v>126</v>
      </c>
      <c r="E1952">
        <v>1993</v>
      </c>
      <c r="F1952" s="1">
        <v>1</v>
      </c>
      <c r="G1952">
        <v>1990</v>
      </c>
      <c r="H1952">
        <f>AVERAGEIFS(Table1[value],Table1[IndicatorCode],Table1[[#This Row],[IndicatorCode]])</f>
        <v>7.6894248608534319</v>
      </c>
      <c r="I1952" cm="1">
        <f t="array" ref="I1952">_xlfn.STDEV.P(IF(Table1[IndicatorCode]=Table1[[#This Row],[IndicatorCode]],Table1[value]))</f>
        <v>5.2319501044600996</v>
      </c>
      <c r="J1952">
        <f>(Table1[[#This Row],[value]] - Table1[[#This Row],[mean]]) / Table1[[#This Row],[std_dev]]</f>
        <v>-1.2785719908052779</v>
      </c>
      <c r="K1952">
        <f>AVERAGEIF(Table1[CountryCode],Table1[[#This Row],[CountryCode]],Table1[z-score])</f>
        <v>-0.71856813961256161</v>
      </c>
      <c r="L1952" t="e">
        <f>VLOOKUP(Table1[[#This Row],[CountryCode]],[1]!Table1[#Data],4,FALSE)</f>
        <v>#REF!</v>
      </c>
    </row>
    <row r="1953" spans="1:12" hidden="1" x14ac:dyDescent="0.3">
      <c r="A1953" t="s">
        <v>13</v>
      </c>
      <c r="B1953" t="s">
        <v>14</v>
      </c>
      <c r="C1953" t="s">
        <v>125</v>
      </c>
      <c r="D1953" t="s">
        <v>126</v>
      </c>
      <c r="E1953">
        <v>1994</v>
      </c>
      <c r="F1953" s="1">
        <v>1</v>
      </c>
      <c r="G1953">
        <v>1990</v>
      </c>
      <c r="H1953">
        <f>AVERAGEIFS(Table1[value],Table1[IndicatorCode],Table1[[#This Row],[IndicatorCode]])</f>
        <v>7.6894248608534319</v>
      </c>
      <c r="I1953" cm="1">
        <f t="array" ref="I1953">_xlfn.STDEV.P(IF(Table1[IndicatorCode]=Table1[[#This Row],[IndicatorCode]],Table1[value]))</f>
        <v>5.2319501044600996</v>
      </c>
      <c r="J1953">
        <f>(Table1[[#This Row],[value]] - Table1[[#This Row],[mean]]) / Table1[[#This Row],[std_dev]]</f>
        <v>-1.2785719908052779</v>
      </c>
      <c r="K1953">
        <f>AVERAGEIF(Table1[CountryCode],Table1[[#This Row],[CountryCode]],Table1[z-score])</f>
        <v>-0.71856813961256161</v>
      </c>
      <c r="L1953" t="e">
        <f>VLOOKUP(Table1[[#This Row],[CountryCode]],[1]!Table1[#Data],4,FALSE)</f>
        <v>#REF!</v>
      </c>
    </row>
    <row r="1954" spans="1:12" hidden="1" x14ac:dyDescent="0.3">
      <c r="A1954" t="s">
        <v>13</v>
      </c>
      <c r="B1954" t="s">
        <v>14</v>
      </c>
      <c r="C1954" t="s">
        <v>125</v>
      </c>
      <c r="D1954" t="s">
        <v>126</v>
      </c>
      <c r="E1954">
        <v>1995</v>
      </c>
      <c r="F1954" s="1">
        <v>1</v>
      </c>
      <c r="G1954">
        <v>1990</v>
      </c>
      <c r="H1954">
        <f>AVERAGEIFS(Table1[value],Table1[IndicatorCode],Table1[[#This Row],[IndicatorCode]])</f>
        <v>7.6894248608534319</v>
      </c>
      <c r="I1954" cm="1">
        <f t="array" ref="I1954">_xlfn.STDEV.P(IF(Table1[IndicatorCode]=Table1[[#This Row],[IndicatorCode]],Table1[value]))</f>
        <v>5.2319501044600996</v>
      </c>
      <c r="J1954">
        <f>(Table1[[#This Row],[value]] - Table1[[#This Row],[mean]]) / Table1[[#This Row],[std_dev]]</f>
        <v>-1.2785719908052779</v>
      </c>
      <c r="K1954">
        <f>AVERAGEIF(Table1[CountryCode],Table1[[#This Row],[CountryCode]],Table1[z-score])</f>
        <v>-0.71856813961256161</v>
      </c>
      <c r="L1954" t="e">
        <f>VLOOKUP(Table1[[#This Row],[CountryCode]],[1]!Table1[#Data],4,FALSE)</f>
        <v>#REF!</v>
      </c>
    </row>
    <row r="1955" spans="1:12" hidden="1" x14ac:dyDescent="0.3">
      <c r="A1955" t="s">
        <v>13</v>
      </c>
      <c r="B1955" t="s">
        <v>14</v>
      </c>
      <c r="C1955" t="s">
        <v>125</v>
      </c>
      <c r="D1955" t="s">
        <v>126</v>
      </c>
      <c r="E1955">
        <v>1996</v>
      </c>
      <c r="F1955" s="1">
        <v>1</v>
      </c>
      <c r="G1955">
        <v>1990</v>
      </c>
      <c r="H1955">
        <f>AVERAGEIFS(Table1[value],Table1[IndicatorCode],Table1[[#This Row],[IndicatorCode]])</f>
        <v>7.6894248608534319</v>
      </c>
      <c r="I1955" cm="1">
        <f t="array" ref="I1955">_xlfn.STDEV.P(IF(Table1[IndicatorCode]=Table1[[#This Row],[IndicatorCode]],Table1[value]))</f>
        <v>5.2319501044600996</v>
      </c>
      <c r="J1955">
        <f>(Table1[[#This Row],[value]] - Table1[[#This Row],[mean]]) / Table1[[#This Row],[std_dev]]</f>
        <v>-1.2785719908052779</v>
      </c>
      <c r="K1955">
        <f>AVERAGEIF(Table1[CountryCode],Table1[[#This Row],[CountryCode]],Table1[z-score])</f>
        <v>-0.71856813961256161</v>
      </c>
      <c r="L1955" t="e">
        <f>VLOOKUP(Table1[[#This Row],[CountryCode]],[1]!Table1[#Data],4,FALSE)</f>
        <v>#REF!</v>
      </c>
    </row>
    <row r="1956" spans="1:12" hidden="1" x14ac:dyDescent="0.3">
      <c r="A1956" t="s">
        <v>13</v>
      </c>
      <c r="B1956" t="s">
        <v>14</v>
      </c>
      <c r="C1956" t="s">
        <v>125</v>
      </c>
      <c r="D1956" t="s">
        <v>126</v>
      </c>
      <c r="E1956">
        <v>1997</v>
      </c>
      <c r="F1956" s="1">
        <v>1</v>
      </c>
      <c r="G1956">
        <v>2000</v>
      </c>
      <c r="H1956">
        <f>AVERAGEIFS(Table1[value],Table1[IndicatorCode],Table1[[#This Row],[IndicatorCode]])</f>
        <v>7.6894248608534319</v>
      </c>
      <c r="I1956" cm="1">
        <f t="array" ref="I1956">_xlfn.STDEV.P(IF(Table1[IndicatorCode]=Table1[[#This Row],[IndicatorCode]],Table1[value]))</f>
        <v>5.2319501044600996</v>
      </c>
      <c r="J1956">
        <f>(Table1[[#This Row],[value]] - Table1[[#This Row],[mean]]) / Table1[[#This Row],[std_dev]]</f>
        <v>-1.2785719908052779</v>
      </c>
      <c r="K1956">
        <f>AVERAGEIF(Table1[CountryCode],Table1[[#This Row],[CountryCode]],Table1[z-score])</f>
        <v>-0.71856813961256161</v>
      </c>
      <c r="L1956" t="e">
        <f>VLOOKUP(Table1[[#This Row],[CountryCode]],[1]!Table1[#Data],4,FALSE)</f>
        <v>#REF!</v>
      </c>
    </row>
    <row r="1957" spans="1:12" hidden="1" x14ac:dyDescent="0.3">
      <c r="A1957" t="s">
        <v>13</v>
      </c>
      <c r="B1957" t="s">
        <v>14</v>
      </c>
      <c r="C1957" t="s">
        <v>125</v>
      </c>
      <c r="D1957" t="s">
        <v>126</v>
      </c>
      <c r="E1957">
        <v>1998</v>
      </c>
      <c r="F1957" s="1">
        <v>1</v>
      </c>
      <c r="G1957">
        <v>2000</v>
      </c>
      <c r="H1957">
        <f>AVERAGEIFS(Table1[value],Table1[IndicatorCode],Table1[[#This Row],[IndicatorCode]])</f>
        <v>7.6894248608534319</v>
      </c>
      <c r="I1957" cm="1">
        <f t="array" ref="I1957">_xlfn.STDEV.P(IF(Table1[IndicatorCode]=Table1[[#This Row],[IndicatorCode]],Table1[value]))</f>
        <v>5.2319501044600996</v>
      </c>
      <c r="J1957">
        <f>(Table1[[#This Row],[value]] - Table1[[#This Row],[mean]]) / Table1[[#This Row],[std_dev]]</f>
        <v>-1.2785719908052779</v>
      </c>
      <c r="K1957">
        <f>AVERAGEIF(Table1[CountryCode],Table1[[#This Row],[CountryCode]],Table1[z-score])</f>
        <v>-0.71856813961256161</v>
      </c>
      <c r="L1957" t="e">
        <f>VLOOKUP(Table1[[#This Row],[CountryCode]],[1]!Table1[#Data],4,FALSE)</f>
        <v>#REF!</v>
      </c>
    </row>
    <row r="1958" spans="1:12" hidden="1" x14ac:dyDescent="0.3">
      <c r="A1958" t="s">
        <v>13</v>
      </c>
      <c r="B1958" t="s">
        <v>14</v>
      </c>
      <c r="C1958" t="s">
        <v>125</v>
      </c>
      <c r="D1958" t="s">
        <v>126</v>
      </c>
      <c r="E1958">
        <v>1999</v>
      </c>
      <c r="F1958" s="1">
        <v>1</v>
      </c>
      <c r="G1958">
        <v>2000</v>
      </c>
      <c r="H1958">
        <f>AVERAGEIFS(Table1[value],Table1[IndicatorCode],Table1[[#This Row],[IndicatorCode]])</f>
        <v>7.6894248608534319</v>
      </c>
      <c r="I1958" cm="1">
        <f t="array" ref="I1958">_xlfn.STDEV.P(IF(Table1[IndicatorCode]=Table1[[#This Row],[IndicatorCode]],Table1[value]))</f>
        <v>5.2319501044600996</v>
      </c>
      <c r="J1958">
        <f>(Table1[[#This Row],[value]] - Table1[[#This Row],[mean]]) / Table1[[#This Row],[std_dev]]</f>
        <v>-1.2785719908052779</v>
      </c>
      <c r="K1958">
        <f>AVERAGEIF(Table1[CountryCode],Table1[[#This Row],[CountryCode]],Table1[z-score])</f>
        <v>-0.71856813961256161</v>
      </c>
      <c r="L1958" t="e">
        <f>VLOOKUP(Table1[[#This Row],[CountryCode]],[1]!Table1[#Data],4,FALSE)</f>
        <v>#REF!</v>
      </c>
    </row>
    <row r="1959" spans="1:12" hidden="1" x14ac:dyDescent="0.3">
      <c r="A1959" t="s">
        <v>13</v>
      </c>
      <c r="B1959" t="s">
        <v>14</v>
      </c>
      <c r="C1959" t="s">
        <v>125</v>
      </c>
      <c r="D1959" t="s">
        <v>126</v>
      </c>
      <c r="E1959">
        <v>2000</v>
      </c>
      <c r="F1959" s="1">
        <v>1</v>
      </c>
      <c r="G1959">
        <v>2000</v>
      </c>
      <c r="H1959">
        <f>AVERAGEIFS(Table1[value],Table1[IndicatorCode],Table1[[#This Row],[IndicatorCode]])</f>
        <v>7.6894248608534319</v>
      </c>
      <c r="I1959" cm="1">
        <f t="array" ref="I1959">_xlfn.STDEV.P(IF(Table1[IndicatorCode]=Table1[[#This Row],[IndicatorCode]],Table1[value]))</f>
        <v>5.2319501044600996</v>
      </c>
      <c r="J1959">
        <f>(Table1[[#This Row],[value]] - Table1[[#This Row],[mean]]) / Table1[[#This Row],[std_dev]]</f>
        <v>-1.2785719908052779</v>
      </c>
      <c r="K1959">
        <f>AVERAGEIF(Table1[CountryCode],Table1[[#This Row],[CountryCode]],Table1[z-score])</f>
        <v>-0.71856813961256161</v>
      </c>
      <c r="L1959" t="e">
        <f>VLOOKUP(Table1[[#This Row],[CountryCode]],[1]!Table1[#Data],4,FALSE)</f>
        <v>#REF!</v>
      </c>
    </row>
    <row r="1960" spans="1:12" hidden="1" x14ac:dyDescent="0.3">
      <c r="A1960" t="s">
        <v>13</v>
      </c>
      <c r="B1960" t="s">
        <v>14</v>
      </c>
      <c r="C1960" t="s">
        <v>125</v>
      </c>
      <c r="D1960" t="s">
        <v>126</v>
      </c>
      <c r="E1960">
        <v>2001</v>
      </c>
      <c r="F1960" s="1">
        <v>1</v>
      </c>
      <c r="G1960">
        <v>2000</v>
      </c>
      <c r="H1960">
        <f>AVERAGEIFS(Table1[value],Table1[IndicatorCode],Table1[[#This Row],[IndicatorCode]])</f>
        <v>7.6894248608534319</v>
      </c>
      <c r="I1960" cm="1">
        <f t="array" ref="I1960">_xlfn.STDEV.P(IF(Table1[IndicatorCode]=Table1[[#This Row],[IndicatorCode]],Table1[value]))</f>
        <v>5.2319501044600996</v>
      </c>
      <c r="J1960">
        <f>(Table1[[#This Row],[value]] - Table1[[#This Row],[mean]]) / Table1[[#This Row],[std_dev]]</f>
        <v>-1.2785719908052779</v>
      </c>
      <c r="K1960">
        <f>AVERAGEIF(Table1[CountryCode],Table1[[#This Row],[CountryCode]],Table1[z-score])</f>
        <v>-0.71856813961256161</v>
      </c>
      <c r="L1960" t="e">
        <f>VLOOKUP(Table1[[#This Row],[CountryCode]],[1]!Table1[#Data],4,FALSE)</f>
        <v>#REF!</v>
      </c>
    </row>
    <row r="1961" spans="1:12" hidden="1" x14ac:dyDescent="0.3">
      <c r="A1961" t="s">
        <v>13</v>
      </c>
      <c r="B1961" t="s">
        <v>14</v>
      </c>
      <c r="C1961" t="s">
        <v>125</v>
      </c>
      <c r="D1961" t="s">
        <v>126</v>
      </c>
      <c r="E1961">
        <v>2002</v>
      </c>
      <c r="F1961" s="1">
        <v>1</v>
      </c>
      <c r="G1961">
        <v>2000</v>
      </c>
      <c r="H1961">
        <f>AVERAGEIFS(Table1[value],Table1[IndicatorCode],Table1[[#This Row],[IndicatorCode]])</f>
        <v>7.6894248608534319</v>
      </c>
      <c r="I1961" cm="1">
        <f t="array" ref="I1961">_xlfn.STDEV.P(IF(Table1[IndicatorCode]=Table1[[#This Row],[IndicatorCode]],Table1[value]))</f>
        <v>5.2319501044600996</v>
      </c>
      <c r="J1961">
        <f>(Table1[[#This Row],[value]] - Table1[[#This Row],[mean]]) / Table1[[#This Row],[std_dev]]</f>
        <v>-1.2785719908052779</v>
      </c>
      <c r="K1961">
        <f>AVERAGEIF(Table1[CountryCode],Table1[[#This Row],[CountryCode]],Table1[z-score])</f>
        <v>-0.71856813961256161</v>
      </c>
      <c r="L1961" t="e">
        <f>VLOOKUP(Table1[[#This Row],[CountryCode]],[1]!Table1[#Data],4,FALSE)</f>
        <v>#REF!</v>
      </c>
    </row>
    <row r="1962" spans="1:12" hidden="1" x14ac:dyDescent="0.3">
      <c r="A1962" t="s">
        <v>13</v>
      </c>
      <c r="B1962" t="s">
        <v>14</v>
      </c>
      <c r="C1962" t="s">
        <v>125</v>
      </c>
      <c r="D1962" t="s">
        <v>126</v>
      </c>
      <c r="E1962">
        <v>2003</v>
      </c>
      <c r="F1962" s="1">
        <v>1</v>
      </c>
      <c r="G1962">
        <v>2000</v>
      </c>
      <c r="H1962">
        <f>AVERAGEIFS(Table1[value],Table1[IndicatorCode],Table1[[#This Row],[IndicatorCode]])</f>
        <v>7.6894248608534319</v>
      </c>
      <c r="I1962" cm="1">
        <f t="array" ref="I1962">_xlfn.STDEV.P(IF(Table1[IndicatorCode]=Table1[[#This Row],[IndicatorCode]],Table1[value]))</f>
        <v>5.2319501044600996</v>
      </c>
      <c r="J1962">
        <f>(Table1[[#This Row],[value]] - Table1[[#This Row],[mean]]) / Table1[[#This Row],[std_dev]]</f>
        <v>-1.2785719908052779</v>
      </c>
      <c r="K1962">
        <f>AVERAGEIF(Table1[CountryCode],Table1[[#This Row],[CountryCode]],Table1[z-score])</f>
        <v>-0.71856813961256161</v>
      </c>
      <c r="L1962" t="e">
        <f>VLOOKUP(Table1[[#This Row],[CountryCode]],[1]!Table1[#Data],4,FALSE)</f>
        <v>#REF!</v>
      </c>
    </row>
    <row r="1963" spans="1:12" hidden="1" x14ac:dyDescent="0.3">
      <c r="A1963" t="s">
        <v>13</v>
      </c>
      <c r="B1963" t="s">
        <v>14</v>
      </c>
      <c r="C1963" t="s">
        <v>125</v>
      </c>
      <c r="D1963" t="s">
        <v>126</v>
      </c>
      <c r="E1963">
        <v>2004</v>
      </c>
      <c r="F1963" s="1">
        <v>1</v>
      </c>
      <c r="G1963">
        <v>2000</v>
      </c>
      <c r="H1963">
        <f>AVERAGEIFS(Table1[value],Table1[IndicatorCode],Table1[[#This Row],[IndicatorCode]])</f>
        <v>7.6894248608534319</v>
      </c>
      <c r="I1963" cm="1">
        <f t="array" ref="I1963">_xlfn.STDEV.P(IF(Table1[IndicatorCode]=Table1[[#This Row],[IndicatorCode]],Table1[value]))</f>
        <v>5.2319501044600996</v>
      </c>
      <c r="J1963">
        <f>(Table1[[#This Row],[value]] - Table1[[#This Row],[mean]]) / Table1[[#This Row],[std_dev]]</f>
        <v>-1.2785719908052779</v>
      </c>
      <c r="K1963">
        <f>AVERAGEIF(Table1[CountryCode],Table1[[#This Row],[CountryCode]],Table1[z-score])</f>
        <v>-0.71856813961256161</v>
      </c>
      <c r="L1963" t="e">
        <f>VLOOKUP(Table1[[#This Row],[CountryCode]],[1]!Table1[#Data],4,FALSE)</f>
        <v>#REF!</v>
      </c>
    </row>
    <row r="1964" spans="1:12" hidden="1" x14ac:dyDescent="0.3">
      <c r="A1964" t="s">
        <v>13</v>
      </c>
      <c r="B1964" t="s">
        <v>14</v>
      </c>
      <c r="C1964" t="s">
        <v>125</v>
      </c>
      <c r="D1964" t="s">
        <v>126</v>
      </c>
      <c r="E1964">
        <v>2005</v>
      </c>
      <c r="F1964" s="1">
        <v>1</v>
      </c>
      <c r="G1964">
        <v>2000</v>
      </c>
      <c r="H1964">
        <f>AVERAGEIFS(Table1[value],Table1[IndicatorCode],Table1[[#This Row],[IndicatorCode]])</f>
        <v>7.6894248608534319</v>
      </c>
      <c r="I1964" cm="1">
        <f t="array" ref="I1964">_xlfn.STDEV.P(IF(Table1[IndicatorCode]=Table1[[#This Row],[IndicatorCode]],Table1[value]))</f>
        <v>5.2319501044600996</v>
      </c>
      <c r="J1964">
        <f>(Table1[[#This Row],[value]] - Table1[[#This Row],[mean]]) / Table1[[#This Row],[std_dev]]</f>
        <v>-1.2785719908052779</v>
      </c>
      <c r="K1964">
        <f>AVERAGEIF(Table1[CountryCode],Table1[[#This Row],[CountryCode]],Table1[z-score])</f>
        <v>-0.71856813961256161</v>
      </c>
      <c r="L1964" t="e">
        <f>VLOOKUP(Table1[[#This Row],[CountryCode]],[1]!Table1[#Data],4,FALSE)</f>
        <v>#REF!</v>
      </c>
    </row>
    <row r="1965" spans="1:12" hidden="1" x14ac:dyDescent="0.3">
      <c r="A1965" t="s">
        <v>13</v>
      </c>
      <c r="B1965" t="s">
        <v>14</v>
      </c>
      <c r="C1965" t="s">
        <v>125</v>
      </c>
      <c r="D1965" t="s">
        <v>126</v>
      </c>
      <c r="E1965">
        <v>2006</v>
      </c>
      <c r="F1965" s="1">
        <v>1</v>
      </c>
      <c r="G1965">
        <v>2000</v>
      </c>
      <c r="H1965">
        <f>AVERAGEIFS(Table1[value],Table1[IndicatorCode],Table1[[#This Row],[IndicatorCode]])</f>
        <v>7.6894248608534319</v>
      </c>
      <c r="I1965" cm="1">
        <f t="array" ref="I1965">_xlfn.STDEV.P(IF(Table1[IndicatorCode]=Table1[[#This Row],[IndicatorCode]],Table1[value]))</f>
        <v>5.2319501044600996</v>
      </c>
      <c r="J1965">
        <f>(Table1[[#This Row],[value]] - Table1[[#This Row],[mean]]) / Table1[[#This Row],[std_dev]]</f>
        <v>-1.2785719908052779</v>
      </c>
      <c r="K1965">
        <f>AVERAGEIF(Table1[CountryCode],Table1[[#This Row],[CountryCode]],Table1[z-score])</f>
        <v>-0.71856813961256161</v>
      </c>
      <c r="L1965" t="e">
        <f>VLOOKUP(Table1[[#This Row],[CountryCode]],[1]!Table1[#Data],4,FALSE)</f>
        <v>#REF!</v>
      </c>
    </row>
    <row r="1966" spans="1:12" hidden="1" x14ac:dyDescent="0.3">
      <c r="A1966" t="s">
        <v>13</v>
      </c>
      <c r="B1966" t="s">
        <v>14</v>
      </c>
      <c r="C1966" t="s">
        <v>125</v>
      </c>
      <c r="D1966" t="s">
        <v>126</v>
      </c>
      <c r="E1966">
        <v>2007</v>
      </c>
      <c r="F1966" s="1">
        <v>2</v>
      </c>
      <c r="G1966">
        <v>2010</v>
      </c>
      <c r="H1966">
        <f>AVERAGEIFS(Table1[value],Table1[IndicatorCode],Table1[[#This Row],[IndicatorCode]])</f>
        <v>7.6894248608534319</v>
      </c>
      <c r="I1966" cm="1">
        <f t="array" ref="I1966">_xlfn.STDEV.P(IF(Table1[IndicatorCode]=Table1[[#This Row],[IndicatorCode]],Table1[value]))</f>
        <v>5.2319501044600996</v>
      </c>
      <c r="J1966">
        <f>(Table1[[#This Row],[value]] - Table1[[#This Row],[mean]]) / Table1[[#This Row],[std_dev]]</f>
        <v>-1.0874386695705196</v>
      </c>
      <c r="K1966">
        <f>AVERAGEIF(Table1[CountryCode],Table1[[#This Row],[CountryCode]],Table1[z-score])</f>
        <v>-0.71856813961256161</v>
      </c>
      <c r="L1966" t="e">
        <f>VLOOKUP(Table1[[#This Row],[CountryCode]],[1]!Table1[#Data],4,FALSE)</f>
        <v>#REF!</v>
      </c>
    </row>
    <row r="1967" spans="1:12" hidden="1" x14ac:dyDescent="0.3">
      <c r="A1967" t="s">
        <v>13</v>
      </c>
      <c r="B1967" t="s">
        <v>14</v>
      </c>
      <c r="C1967" t="s">
        <v>125</v>
      </c>
      <c r="D1967" t="s">
        <v>126</v>
      </c>
      <c r="E1967">
        <v>2008</v>
      </c>
      <c r="F1967" s="1">
        <v>2</v>
      </c>
      <c r="G1967">
        <v>2010</v>
      </c>
      <c r="H1967">
        <f>AVERAGEIFS(Table1[value],Table1[IndicatorCode],Table1[[#This Row],[IndicatorCode]])</f>
        <v>7.6894248608534319</v>
      </c>
      <c r="I1967" cm="1">
        <f t="array" ref="I1967">_xlfn.STDEV.P(IF(Table1[IndicatorCode]=Table1[[#This Row],[IndicatorCode]],Table1[value]))</f>
        <v>5.2319501044600996</v>
      </c>
      <c r="J1967">
        <f>(Table1[[#This Row],[value]] - Table1[[#This Row],[mean]]) / Table1[[#This Row],[std_dev]]</f>
        <v>-1.0874386695705196</v>
      </c>
      <c r="K1967">
        <f>AVERAGEIF(Table1[CountryCode],Table1[[#This Row],[CountryCode]],Table1[z-score])</f>
        <v>-0.71856813961256161</v>
      </c>
      <c r="L1967" t="e">
        <f>VLOOKUP(Table1[[#This Row],[CountryCode]],[1]!Table1[#Data],4,FALSE)</f>
        <v>#REF!</v>
      </c>
    </row>
    <row r="1968" spans="1:12" hidden="1" x14ac:dyDescent="0.3">
      <c r="A1968" t="s">
        <v>13</v>
      </c>
      <c r="B1968" t="s">
        <v>14</v>
      </c>
      <c r="C1968" t="s">
        <v>125</v>
      </c>
      <c r="D1968" t="s">
        <v>126</v>
      </c>
      <c r="E1968">
        <v>2009</v>
      </c>
      <c r="F1968" s="1">
        <v>1</v>
      </c>
      <c r="G1968">
        <v>2010</v>
      </c>
      <c r="H1968">
        <f>AVERAGEIFS(Table1[value],Table1[IndicatorCode],Table1[[#This Row],[IndicatorCode]])</f>
        <v>7.6894248608534319</v>
      </c>
      <c r="I1968" cm="1">
        <f t="array" ref="I1968">_xlfn.STDEV.P(IF(Table1[IndicatorCode]=Table1[[#This Row],[IndicatorCode]],Table1[value]))</f>
        <v>5.2319501044600996</v>
      </c>
      <c r="J1968">
        <f>(Table1[[#This Row],[value]] - Table1[[#This Row],[mean]]) / Table1[[#This Row],[std_dev]]</f>
        <v>-1.2785719908052779</v>
      </c>
      <c r="K1968">
        <f>AVERAGEIF(Table1[CountryCode],Table1[[#This Row],[CountryCode]],Table1[z-score])</f>
        <v>-0.71856813961256161</v>
      </c>
      <c r="L1968" t="e">
        <f>VLOOKUP(Table1[[#This Row],[CountryCode]],[1]!Table1[#Data],4,FALSE)</f>
        <v>#REF!</v>
      </c>
    </row>
    <row r="1969" spans="1:12" hidden="1" x14ac:dyDescent="0.3">
      <c r="A1969" t="s">
        <v>13</v>
      </c>
      <c r="B1969" t="s">
        <v>14</v>
      </c>
      <c r="C1969" t="s">
        <v>125</v>
      </c>
      <c r="D1969" t="s">
        <v>126</v>
      </c>
      <c r="E1969">
        <v>2010</v>
      </c>
      <c r="F1969" s="1">
        <v>1</v>
      </c>
      <c r="G1969">
        <v>2010</v>
      </c>
      <c r="H1969">
        <f>AVERAGEIFS(Table1[value],Table1[IndicatorCode],Table1[[#This Row],[IndicatorCode]])</f>
        <v>7.6894248608534319</v>
      </c>
      <c r="I1969" cm="1">
        <f t="array" ref="I1969">_xlfn.STDEV.P(IF(Table1[IndicatorCode]=Table1[[#This Row],[IndicatorCode]],Table1[value]))</f>
        <v>5.2319501044600996</v>
      </c>
      <c r="J1969">
        <f>(Table1[[#This Row],[value]] - Table1[[#This Row],[mean]]) / Table1[[#This Row],[std_dev]]</f>
        <v>-1.2785719908052779</v>
      </c>
      <c r="K1969">
        <f>AVERAGEIF(Table1[CountryCode],Table1[[#This Row],[CountryCode]],Table1[z-score])</f>
        <v>-0.71856813961256161</v>
      </c>
      <c r="L1969" t="e">
        <f>VLOOKUP(Table1[[#This Row],[CountryCode]],[1]!Table1[#Data],4,FALSE)</f>
        <v>#REF!</v>
      </c>
    </row>
    <row r="1970" spans="1:12" hidden="1" x14ac:dyDescent="0.3">
      <c r="A1970" t="s">
        <v>13</v>
      </c>
      <c r="B1970" t="s">
        <v>14</v>
      </c>
      <c r="C1970" t="s">
        <v>125</v>
      </c>
      <c r="D1970" t="s">
        <v>126</v>
      </c>
      <c r="E1970">
        <v>2011</v>
      </c>
      <c r="F1970" s="1">
        <v>2</v>
      </c>
      <c r="G1970">
        <v>2010</v>
      </c>
      <c r="H1970">
        <f>AVERAGEIFS(Table1[value],Table1[IndicatorCode],Table1[[#This Row],[IndicatorCode]])</f>
        <v>7.6894248608534319</v>
      </c>
      <c r="I1970" cm="1">
        <f t="array" ref="I1970">_xlfn.STDEV.P(IF(Table1[IndicatorCode]=Table1[[#This Row],[IndicatorCode]],Table1[value]))</f>
        <v>5.2319501044600996</v>
      </c>
      <c r="J1970">
        <f>(Table1[[#This Row],[value]] - Table1[[#This Row],[mean]]) / Table1[[#This Row],[std_dev]]</f>
        <v>-1.0874386695705196</v>
      </c>
      <c r="K1970">
        <f>AVERAGEIF(Table1[CountryCode],Table1[[#This Row],[CountryCode]],Table1[z-score])</f>
        <v>-0.71856813961256161</v>
      </c>
      <c r="L1970" t="e">
        <f>VLOOKUP(Table1[[#This Row],[CountryCode]],[1]!Table1[#Data],4,FALSE)</f>
        <v>#REF!</v>
      </c>
    </row>
    <row r="1971" spans="1:12" hidden="1" x14ac:dyDescent="0.3">
      <c r="A1971" t="s">
        <v>13</v>
      </c>
      <c r="B1971" t="s">
        <v>14</v>
      </c>
      <c r="C1971" t="s">
        <v>125</v>
      </c>
      <c r="D1971" t="s">
        <v>126</v>
      </c>
      <c r="E1971">
        <v>2012</v>
      </c>
      <c r="F1971" s="1">
        <v>2</v>
      </c>
      <c r="G1971">
        <v>2010</v>
      </c>
      <c r="H1971">
        <f>AVERAGEIFS(Table1[value],Table1[IndicatorCode],Table1[[#This Row],[IndicatorCode]])</f>
        <v>7.6894248608534319</v>
      </c>
      <c r="I1971" cm="1">
        <f t="array" ref="I1971">_xlfn.STDEV.P(IF(Table1[IndicatorCode]=Table1[[#This Row],[IndicatorCode]],Table1[value]))</f>
        <v>5.2319501044600996</v>
      </c>
      <c r="J1971">
        <f>(Table1[[#This Row],[value]] - Table1[[#This Row],[mean]]) / Table1[[#This Row],[std_dev]]</f>
        <v>-1.0874386695705196</v>
      </c>
      <c r="K1971">
        <f>AVERAGEIF(Table1[CountryCode],Table1[[#This Row],[CountryCode]],Table1[z-score])</f>
        <v>-0.71856813961256161</v>
      </c>
      <c r="L1971" t="e">
        <f>VLOOKUP(Table1[[#This Row],[CountryCode]],[1]!Table1[#Data],4,FALSE)</f>
        <v>#REF!</v>
      </c>
    </row>
    <row r="1972" spans="1:12" hidden="1" x14ac:dyDescent="0.3">
      <c r="A1972" t="s">
        <v>13</v>
      </c>
      <c r="B1972" t="s">
        <v>14</v>
      </c>
      <c r="C1972" t="s">
        <v>125</v>
      </c>
      <c r="D1972" t="s">
        <v>126</v>
      </c>
      <c r="E1972">
        <v>2013</v>
      </c>
      <c r="F1972" s="1">
        <v>2</v>
      </c>
      <c r="G1972">
        <v>2010</v>
      </c>
      <c r="H1972">
        <f>AVERAGEIFS(Table1[value],Table1[IndicatorCode],Table1[[#This Row],[IndicatorCode]])</f>
        <v>7.6894248608534319</v>
      </c>
      <c r="I1972" cm="1">
        <f t="array" ref="I1972">_xlfn.STDEV.P(IF(Table1[IndicatorCode]=Table1[[#This Row],[IndicatorCode]],Table1[value]))</f>
        <v>5.2319501044600996</v>
      </c>
      <c r="J1972">
        <f>(Table1[[#This Row],[value]] - Table1[[#This Row],[mean]]) / Table1[[#This Row],[std_dev]]</f>
        <v>-1.0874386695705196</v>
      </c>
      <c r="K1972">
        <f>AVERAGEIF(Table1[CountryCode],Table1[[#This Row],[CountryCode]],Table1[z-score])</f>
        <v>-0.71856813961256161</v>
      </c>
      <c r="L1972" t="e">
        <f>VLOOKUP(Table1[[#This Row],[CountryCode]],[1]!Table1[#Data],4,FALSE)</f>
        <v>#REF!</v>
      </c>
    </row>
    <row r="1973" spans="1:12" hidden="1" x14ac:dyDescent="0.3">
      <c r="A1973" t="s">
        <v>13</v>
      </c>
      <c r="B1973" t="s">
        <v>14</v>
      </c>
      <c r="C1973" t="s">
        <v>125</v>
      </c>
      <c r="D1973" t="s">
        <v>126</v>
      </c>
      <c r="E1973">
        <v>2014</v>
      </c>
      <c r="F1973" s="1">
        <v>2</v>
      </c>
      <c r="G1973">
        <v>2010</v>
      </c>
      <c r="H1973">
        <f>AVERAGEIFS(Table1[value],Table1[IndicatorCode],Table1[[#This Row],[IndicatorCode]])</f>
        <v>7.6894248608534319</v>
      </c>
      <c r="I1973" cm="1">
        <f t="array" ref="I1973">_xlfn.STDEV.P(IF(Table1[IndicatorCode]=Table1[[#This Row],[IndicatorCode]],Table1[value]))</f>
        <v>5.2319501044600996</v>
      </c>
      <c r="J1973">
        <f>(Table1[[#This Row],[value]] - Table1[[#This Row],[mean]]) / Table1[[#This Row],[std_dev]]</f>
        <v>-1.0874386695705196</v>
      </c>
      <c r="K1973">
        <f>AVERAGEIF(Table1[CountryCode],Table1[[#This Row],[CountryCode]],Table1[z-score])</f>
        <v>-0.71856813961256161</v>
      </c>
      <c r="L1973" t="e">
        <f>VLOOKUP(Table1[[#This Row],[CountryCode]],[1]!Table1[#Data],4,FALSE)</f>
        <v>#REF!</v>
      </c>
    </row>
    <row r="1974" spans="1:12" hidden="1" x14ac:dyDescent="0.3">
      <c r="A1974" t="s">
        <v>13</v>
      </c>
      <c r="B1974" t="s">
        <v>14</v>
      </c>
      <c r="C1974" t="s">
        <v>125</v>
      </c>
      <c r="D1974" t="s">
        <v>126</v>
      </c>
      <c r="E1974">
        <v>2015</v>
      </c>
      <c r="F1974" s="1">
        <v>2</v>
      </c>
      <c r="G1974">
        <v>2010</v>
      </c>
      <c r="H1974">
        <f>AVERAGEIFS(Table1[value],Table1[IndicatorCode],Table1[[#This Row],[IndicatorCode]])</f>
        <v>7.6894248608534319</v>
      </c>
      <c r="I1974" cm="1">
        <f t="array" ref="I1974">_xlfn.STDEV.P(IF(Table1[IndicatorCode]=Table1[[#This Row],[IndicatorCode]],Table1[value]))</f>
        <v>5.2319501044600996</v>
      </c>
      <c r="J1974">
        <f>(Table1[[#This Row],[value]] - Table1[[#This Row],[mean]]) / Table1[[#This Row],[std_dev]]</f>
        <v>-1.0874386695705196</v>
      </c>
      <c r="K1974">
        <f>AVERAGEIF(Table1[CountryCode],Table1[[#This Row],[CountryCode]],Table1[z-score])</f>
        <v>-0.71856813961256161</v>
      </c>
      <c r="L1974" t="e">
        <f>VLOOKUP(Table1[[#This Row],[CountryCode]],[1]!Table1[#Data],4,FALSE)</f>
        <v>#REF!</v>
      </c>
    </row>
    <row r="1975" spans="1:12" hidden="1" x14ac:dyDescent="0.3">
      <c r="A1975" t="s">
        <v>13</v>
      </c>
      <c r="B1975" t="s">
        <v>14</v>
      </c>
      <c r="C1975" t="s">
        <v>125</v>
      </c>
      <c r="D1975" t="s">
        <v>126</v>
      </c>
      <c r="E1975">
        <v>2016</v>
      </c>
      <c r="F1975" s="1">
        <v>2</v>
      </c>
      <c r="G1975">
        <v>2010</v>
      </c>
      <c r="H1975">
        <f>AVERAGEIFS(Table1[value],Table1[IndicatorCode],Table1[[#This Row],[IndicatorCode]])</f>
        <v>7.6894248608534319</v>
      </c>
      <c r="I1975" cm="1">
        <f t="array" ref="I1975">_xlfn.STDEV.P(IF(Table1[IndicatorCode]=Table1[[#This Row],[IndicatorCode]],Table1[value]))</f>
        <v>5.2319501044600996</v>
      </c>
      <c r="J1975">
        <f>(Table1[[#This Row],[value]] - Table1[[#This Row],[mean]]) / Table1[[#This Row],[std_dev]]</f>
        <v>-1.0874386695705196</v>
      </c>
      <c r="K1975">
        <f>AVERAGEIF(Table1[CountryCode],Table1[[#This Row],[CountryCode]],Table1[z-score])</f>
        <v>-0.71856813961256161</v>
      </c>
      <c r="L1975" t="e">
        <f>VLOOKUP(Table1[[#This Row],[CountryCode]],[1]!Table1[#Data],4,FALSE)</f>
        <v>#REF!</v>
      </c>
    </row>
    <row r="1976" spans="1:12" hidden="1" x14ac:dyDescent="0.3">
      <c r="A1976" t="s">
        <v>13</v>
      </c>
      <c r="B1976" t="s">
        <v>14</v>
      </c>
      <c r="C1976" t="s">
        <v>125</v>
      </c>
      <c r="D1976" t="s">
        <v>126</v>
      </c>
      <c r="E1976">
        <v>2017</v>
      </c>
      <c r="F1976" s="1">
        <v>2</v>
      </c>
      <c r="G1976">
        <v>2020</v>
      </c>
      <c r="H1976">
        <f>AVERAGEIFS(Table1[value],Table1[IndicatorCode],Table1[[#This Row],[IndicatorCode]])</f>
        <v>7.6894248608534319</v>
      </c>
      <c r="I1976" cm="1">
        <f t="array" ref="I1976">_xlfn.STDEV.P(IF(Table1[IndicatorCode]=Table1[[#This Row],[IndicatorCode]],Table1[value]))</f>
        <v>5.2319501044600996</v>
      </c>
      <c r="J1976">
        <f>(Table1[[#This Row],[value]] - Table1[[#This Row],[mean]]) / Table1[[#This Row],[std_dev]]</f>
        <v>-1.0874386695705196</v>
      </c>
      <c r="K1976">
        <f>AVERAGEIF(Table1[CountryCode],Table1[[#This Row],[CountryCode]],Table1[z-score])</f>
        <v>-0.71856813961256161</v>
      </c>
      <c r="L1976" t="e">
        <f>VLOOKUP(Table1[[#This Row],[CountryCode]],[1]!Table1[#Data],4,FALSE)</f>
        <v>#REF!</v>
      </c>
    </row>
    <row r="1977" spans="1:12" hidden="1" x14ac:dyDescent="0.3">
      <c r="A1977" t="s">
        <v>13</v>
      </c>
      <c r="B1977" t="s">
        <v>14</v>
      </c>
      <c r="C1977" t="s">
        <v>125</v>
      </c>
      <c r="D1977" t="s">
        <v>126</v>
      </c>
      <c r="E1977">
        <v>2018</v>
      </c>
      <c r="F1977" s="1">
        <v>2</v>
      </c>
      <c r="G1977">
        <v>2020</v>
      </c>
      <c r="H1977">
        <f>AVERAGEIFS(Table1[value],Table1[IndicatorCode],Table1[[#This Row],[IndicatorCode]])</f>
        <v>7.6894248608534319</v>
      </c>
      <c r="I1977" cm="1">
        <f t="array" ref="I1977">_xlfn.STDEV.P(IF(Table1[IndicatorCode]=Table1[[#This Row],[IndicatorCode]],Table1[value]))</f>
        <v>5.2319501044600996</v>
      </c>
      <c r="J1977">
        <f>(Table1[[#This Row],[value]] - Table1[[#This Row],[mean]]) / Table1[[#This Row],[std_dev]]</f>
        <v>-1.0874386695705196</v>
      </c>
      <c r="K1977">
        <f>AVERAGEIF(Table1[CountryCode],Table1[[#This Row],[CountryCode]],Table1[z-score])</f>
        <v>-0.71856813961256161</v>
      </c>
      <c r="L1977" t="e">
        <f>VLOOKUP(Table1[[#This Row],[CountryCode]],[1]!Table1[#Data],4,FALSE)</f>
        <v>#REF!</v>
      </c>
    </row>
    <row r="1978" spans="1:12" hidden="1" x14ac:dyDescent="0.3">
      <c r="A1978" t="s">
        <v>13</v>
      </c>
      <c r="B1978" t="s">
        <v>14</v>
      </c>
      <c r="C1978" t="s">
        <v>125</v>
      </c>
      <c r="D1978" t="s">
        <v>126</v>
      </c>
      <c r="E1978">
        <v>2019</v>
      </c>
      <c r="F1978" s="1">
        <v>2</v>
      </c>
      <c r="G1978">
        <v>2020</v>
      </c>
      <c r="H1978">
        <f>AVERAGEIFS(Table1[value],Table1[IndicatorCode],Table1[[#This Row],[IndicatorCode]])</f>
        <v>7.6894248608534319</v>
      </c>
      <c r="I1978" cm="1">
        <f t="array" ref="I1978">_xlfn.STDEV.P(IF(Table1[IndicatorCode]=Table1[[#This Row],[IndicatorCode]],Table1[value]))</f>
        <v>5.2319501044600996</v>
      </c>
      <c r="J1978">
        <f>(Table1[[#This Row],[value]] - Table1[[#This Row],[mean]]) / Table1[[#This Row],[std_dev]]</f>
        <v>-1.0874386695705196</v>
      </c>
      <c r="K1978">
        <f>AVERAGEIF(Table1[CountryCode],Table1[[#This Row],[CountryCode]],Table1[z-score])</f>
        <v>-0.71856813961256161</v>
      </c>
      <c r="L1978" t="e">
        <f>VLOOKUP(Table1[[#This Row],[CountryCode]],[1]!Table1[#Data],4,FALSE)</f>
        <v>#REF!</v>
      </c>
    </row>
    <row r="1979" spans="1:12" x14ac:dyDescent="0.3">
      <c r="A1979" t="s">
        <v>13</v>
      </c>
      <c r="B1979" t="s">
        <v>14</v>
      </c>
      <c r="C1979" t="s">
        <v>125</v>
      </c>
      <c r="D1979" t="s">
        <v>126</v>
      </c>
      <c r="E1979">
        <v>2020</v>
      </c>
      <c r="F1979" s="1">
        <v>2</v>
      </c>
      <c r="G1979">
        <v>2020</v>
      </c>
      <c r="H1979">
        <f>AVERAGEIFS(Table1[value],Table1[IndicatorCode],Table1[[#This Row],[IndicatorCode]])</f>
        <v>7.6894248608534319</v>
      </c>
      <c r="I1979" cm="1">
        <f t="array" ref="I1979">_xlfn.STDEV.P(IF(Table1[IndicatorCode]=Table1[[#This Row],[IndicatorCode]],Table1[value]))</f>
        <v>5.2319501044600996</v>
      </c>
      <c r="J1979">
        <f>(Table1[[#This Row],[value]] - Table1[[#This Row],[mean]]) / Table1[[#This Row],[std_dev]]</f>
        <v>-1.0874386695705196</v>
      </c>
      <c r="K1979">
        <f>AVERAGEIF(Table1[CountryCode],Table1[[#This Row],[CountryCode]],Table1[z-score])</f>
        <v>-0.71856813961256161</v>
      </c>
    </row>
    <row r="1980" spans="1:12" hidden="1" x14ac:dyDescent="0.3">
      <c r="A1980" t="s">
        <v>13</v>
      </c>
      <c r="B1980" t="s">
        <v>14</v>
      </c>
      <c r="C1980" t="s">
        <v>125</v>
      </c>
      <c r="D1980" t="s">
        <v>126</v>
      </c>
      <c r="E1980">
        <v>2021</v>
      </c>
      <c r="F1980" s="1">
        <v>3</v>
      </c>
      <c r="G1980">
        <v>2020</v>
      </c>
      <c r="H1980">
        <f>AVERAGEIFS(Table1[value],Table1[IndicatorCode],Table1[[#This Row],[IndicatorCode]])</f>
        <v>7.6894248608534319</v>
      </c>
      <c r="I1980" cm="1">
        <f t="array" ref="I1980">_xlfn.STDEV.P(IF(Table1[IndicatorCode]=Table1[[#This Row],[IndicatorCode]],Table1[value]))</f>
        <v>5.2319501044600996</v>
      </c>
      <c r="J1980">
        <f>(Table1[[#This Row],[value]] - Table1[[#This Row],[mean]]) / Table1[[#This Row],[std_dev]]</f>
        <v>-0.89630534833576125</v>
      </c>
      <c r="K1980">
        <f>AVERAGEIF(Table1[CountryCode],Table1[[#This Row],[CountryCode]],Table1[z-score])</f>
        <v>-0.71856813961256161</v>
      </c>
      <c r="L1980" t="e">
        <f>VLOOKUP(Table1[[#This Row],[CountryCode]],[1]!Table1[#Data],4,FALSE)</f>
        <v>#REF!</v>
      </c>
    </row>
    <row r="1981" spans="1:12" hidden="1" x14ac:dyDescent="0.3">
      <c r="A1981" t="s">
        <v>13</v>
      </c>
      <c r="B1981" t="s">
        <v>14</v>
      </c>
      <c r="C1981" t="s">
        <v>125</v>
      </c>
      <c r="D1981" t="s">
        <v>126</v>
      </c>
      <c r="E1981">
        <v>2022</v>
      </c>
      <c r="F1981" s="1">
        <v>3</v>
      </c>
      <c r="G1981">
        <v>1970</v>
      </c>
      <c r="H1981">
        <f>AVERAGEIFS(Table1[value],Table1[IndicatorCode],Table1[[#This Row],[IndicatorCode]])</f>
        <v>7.6894248608534319</v>
      </c>
      <c r="I1981" cm="1">
        <f t="array" ref="I1981">_xlfn.STDEV.P(IF(Table1[IndicatorCode]=Table1[[#This Row],[IndicatorCode]],Table1[value]))</f>
        <v>5.2319501044600996</v>
      </c>
      <c r="J1981">
        <f>(Table1[[#This Row],[value]] - Table1[[#This Row],[mean]]) / Table1[[#This Row],[std_dev]]</f>
        <v>-0.89630534833576125</v>
      </c>
      <c r="K1981">
        <f>AVERAGEIF(Table1[CountryCode],Table1[[#This Row],[CountryCode]],Table1[z-score])</f>
        <v>-0.71856813961256161</v>
      </c>
      <c r="L1981" t="e">
        <f>VLOOKUP(Table1[[#This Row],[CountryCode]],[1]!Table1[#Data],4,FALSE)</f>
        <v>#REF!</v>
      </c>
    </row>
    <row r="1982" spans="1:12" hidden="1" x14ac:dyDescent="0.3">
      <c r="A1982" t="s">
        <v>13</v>
      </c>
      <c r="B1982" t="s">
        <v>14</v>
      </c>
      <c r="C1982" t="s">
        <v>125</v>
      </c>
      <c r="D1982" t="s">
        <v>126</v>
      </c>
      <c r="E1982">
        <v>2023</v>
      </c>
      <c r="F1982" s="1">
        <v>3</v>
      </c>
      <c r="G1982">
        <v>1970</v>
      </c>
      <c r="H1982">
        <f>AVERAGEIFS(Table1[value],Table1[IndicatorCode],Table1[[#This Row],[IndicatorCode]])</f>
        <v>7.6894248608534319</v>
      </c>
      <c r="I1982" cm="1">
        <f t="array" ref="I1982">_xlfn.STDEV.P(IF(Table1[IndicatorCode]=Table1[[#This Row],[IndicatorCode]],Table1[value]))</f>
        <v>5.2319501044600996</v>
      </c>
      <c r="J1982">
        <f>(Table1[[#This Row],[value]] - Table1[[#This Row],[mean]]) / Table1[[#This Row],[std_dev]]</f>
        <v>-0.89630534833576125</v>
      </c>
      <c r="K1982">
        <f>AVERAGEIF(Table1[CountryCode],Table1[[#This Row],[CountryCode]],Table1[z-score])</f>
        <v>-0.71856813961256161</v>
      </c>
      <c r="L1982" t="e">
        <f>VLOOKUP(Table1[[#This Row],[CountryCode]],[1]!Table1[#Data],4,FALSE)</f>
        <v>#REF!</v>
      </c>
    </row>
    <row r="1983" spans="1:12" hidden="1" x14ac:dyDescent="0.3">
      <c r="A1983" t="s">
        <v>13</v>
      </c>
      <c r="B1983" t="s">
        <v>14</v>
      </c>
      <c r="C1983" t="s">
        <v>125</v>
      </c>
      <c r="D1983" t="s">
        <v>126</v>
      </c>
      <c r="E1983">
        <v>2024</v>
      </c>
      <c r="F1983" s="1">
        <v>2</v>
      </c>
      <c r="G1983">
        <v>1970</v>
      </c>
      <c r="H1983">
        <f>AVERAGEIFS(Table1[value],Table1[IndicatorCode],Table1[[#This Row],[IndicatorCode]])</f>
        <v>7.6894248608534319</v>
      </c>
      <c r="I1983" cm="1">
        <f t="array" ref="I1983">_xlfn.STDEV.P(IF(Table1[IndicatorCode]=Table1[[#This Row],[IndicatorCode]],Table1[value]))</f>
        <v>5.2319501044600996</v>
      </c>
      <c r="J1983">
        <f>(Table1[[#This Row],[value]] - Table1[[#This Row],[mean]]) / Table1[[#This Row],[std_dev]]</f>
        <v>-1.0874386695705196</v>
      </c>
      <c r="K1983">
        <f>AVERAGEIF(Table1[CountryCode],Table1[[#This Row],[CountryCode]],Table1[z-score])</f>
        <v>-0.71856813961256161</v>
      </c>
      <c r="L1983" t="e">
        <f>VLOOKUP(Table1[[#This Row],[CountryCode]],[1]!Table1[#Data],4,FALSE)</f>
        <v>#REF!</v>
      </c>
    </row>
    <row r="1984" spans="1:12" hidden="1" x14ac:dyDescent="0.3">
      <c r="A1984" t="s">
        <v>15</v>
      </c>
      <c r="B1984" t="s">
        <v>16</v>
      </c>
      <c r="C1984" t="s">
        <v>125</v>
      </c>
      <c r="D1984" t="s">
        <v>126</v>
      </c>
      <c r="E1984">
        <v>1970</v>
      </c>
      <c r="F1984" s="1">
        <v>7</v>
      </c>
      <c r="G1984">
        <v>1970</v>
      </c>
      <c r="H1984">
        <f>AVERAGEIFS(Table1[value],Table1[IndicatorCode],Table1[[#This Row],[IndicatorCode]])</f>
        <v>7.6894248608534319</v>
      </c>
      <c r="I1984" cm="1">
        <f t="array" ref="I1984">_xlfn.STDEV.P(IF(Table1[IndicatorCode]=Table1[[#This Row],[IndicatorCode]],Table1[value]))</f>
        <v>5.2319501044600996</v>
      </c>
      <c r="J1984">
        <f>(Table1[[#This Row],[value]] - Table1[[#This Row],[mean]]) / Table1[[#This Row],[std_dev]]</f>
        <v>-0.13177206339672762</v>
      </c>
      <c r="K1984">
        <f>AVERAGEIF(Table1[CountryCode],Table1[[#This Row],[CountryCode]],Table1[z-score])</f>
        <v>0.26765264295626828</v>
      </c>
      <c r="L1984" t="e">
        <f>VLOOKUP(Table1[[#This Row],[CountryCode]],[1]!Table1[#Data],4,FALSE)</f>
        <v>#REF!</v>
      </c>
    </row>
    <row r="1985" spans="1:12" hidden="1" x14ac:dyDescent="0.3">
      <c r="A1985" t="s">
        <v>15</v>
      </c>
      <c r="B1985" t="s">
        <v>16</v>
      </c>
      <c r="C1985" t="s">
        <v>125</v>
      </c>
      <c r="D1985" t="s">
        <v>126</v>
      </c>
      <c r="E1985">
        <v>1971</v>
      </c>
      <c r="F1985" s="1">
        <v>7</v>
      </c>
      <c r="G1985">
        <v>1970</v>
      </c>
      <c r="H1985">
        <f>AVERAGEIFS(Table1[value],Table1[IndicatorCode],Table1[[#This Row],[IndicatorCode]])</f>
        <v>7.6894248608534319</v>
      </c>
      <c r="I1985" cm="1">
        <f t="array" ref="I1985">_xlfn.STDEV.P(IF(Table1[IndicatorCode]=Table1[[#This Row],[IndicatorCode]],Table1[value]))</f>
        <v>5.2319501044600996</v>
      </c>
      <c r="J1985">
        <f>(Table1[[#This Row],[value]] - Table1[[#This Row],[mean]]) / Table1[[#This Row],[std_dev]]</f>
        <v>-0.13177206339672762</v>
      </c>
      <c r="K1985">
        <f>AVERAGEIF(Table1[CountryCode],Table1[[#This Row],[CountryCode]],Table1[z-score])</f>
        <v>0.26765264295626828</v>
      </c>
      <c r="L1985" t="e">
        <f>VLOOKUP(Table1[[#This Row],[CountryCode]],[1]!Table1[#Data],4,FALSE)</f>
        <v>#REF!</v>
      </c>
    </row>
    <row r="1986" spans="1:12" hidden="1" x14ac:dyDescent="0.3">
      <c r="A1986" t="s">
        <v>15</v>
      </c>
      <c r="B1986" t="s">
        <v>16</v>
      </c>
      <c r="C1986" t="s">
        <v>125</v>
      </c>
      <c r="D1986" t="s">
        <v>126</v>
      </c>
      <c r="E1986">
        <v>1972</v>
      </c>
      <c r="F1986" s="1">
        <v>8</v>
      </c>
      <c r="G1986">
        <v>1970</v>
      </c>
      <c r="H1986">
        <f>AVERAGEIFS(Table1[value],Table1[IndicatorCode],Table1[[#This Row],[IndicatorCode]])</f>
        <v>7.6894248608534319</v>
      </c>
      <c r="I1986" cm="1">
        <f t="array" ref="I1986">_xlfn.STDEV.P(IF(Table1[IndicatorCode]=Table1[[#This Row],[IndicatorCode]],Table1[value]))</f>
        <v>5.2319501044600996</v>
      </c>
      <c r="J1986">
        <f>(Table1[[#This Row],[value]] - Table1[[#This Row],[mean]]) / Table1[[#This Row],[std_dev]]</f>
        <v>5.9361257838030791E-2</v>
      </c>
      <c r="K1986">
        <f>AVERAGEIF(Table1[CountryCode],Table1[[#This Row],[CountryCode]],Table1[z-score])</f>
        <v>0.26765264295626828</v>
      </c>
      <c r="L1986" t="e">
        <f>VLOOKUP(Table1[[#This Row],[CountryCode]],[1]!Table1[#Data],4,FALSE)</f>
        <v>#REF!</v>
      </c>
    </row>
    <row r="1987" spans="1:12" hidden="1" x14ac:dyDescent="0.3">
      <c r="A1987" t="s">
        <v>15</v>
      </c>
      <c r="B1987" t="s">
        <v>16</v>
      </c>
      <c r="C1987" t="s">
        <v>125</v>
      </c>
      <c r="D1987" t="s">
        <v>126</v>
      </c>
      <c r="E1987">
        <v>1973</v>
      </c>
      <c r="F1987" s="1">
        <v>8</v>
      </c>
      <c r="G1987">
        <v>1970</v>
      </c>
      <c r="H1987">
        <f>AVERAGEIFS(Table1[value],Table1[IndicatorCode],Table1[[#This Row],[IndicatorCode]])</f>
        <v>7.6894248608534319</v>
      </c>
      <c r="I1987" cm="1">
        <f t="array" ref="I1987">_xlfn.STDEV.P(IF(Table1[IndicatorCode]=Table1[[#This Row],[IndicatorCode]],Table1[value]))</f>
        <v>5.2319501044600996</v>
      </c>
      <c r="J1987">
        <f>(Table1[[#This Row],[value]] - Table1[[#This Row],[mean]]) / Table1[[#This Row],[std_dev]]</f>
        <v>5.9361257838030791E-2</v>
      </c>
      <c r="K1987">
        <f>AVERAGEIF(Table1[CountryCode],Table1[[#This Row],[CountryCode]],Table1[z-score])</f>
        <v>0.26765264295626828</v>
      </c>
      <c r="L1987" t="e">
        <f>VLOOKUP(Table1[[#This Row],[CountryCode]],[1]!Table1[#Data],4,FALSE)</f>
        <v>#REF!</v>
      </c>
    </row>
    <row r="1988" spans="1:12" hidden="1" x14ac:dyDescent="0.3">
      <c r="A1988" t="s">
        <v>15</v>
      </c>
      <c r="B1988" t="s">
        <v>16</v>
      </c>
      <c r="C1988" t="s">
        <v>125</v>
      </c>
      <c r="D1988" t="s">
        <v>126</v>
      </c>
      <c r="E1988">
        <v>1974</v>
      </c>
      <c r="F1988" s="1">
        <v>8</v>
      </c>
      <c r="G1988">
        <v>1970</v>
      </c>
      <c r="H1988">
        <f>AVERAGEIFS(Table1[value],Table1[IndicatorCode],Table1[[#This Row],[IndicatorCode]])</f>
        <v>7.6894248608534319</v>
      </c>
      <c r="I1988" cm="1">
        <f t="array" ref="I1988">_xlfn.STDEV.P(IF(Table1[IndicatorCode]=Table1[[#This Row],[IndicatorCode]],Table1[value]))</f>
        <v>5.2319501044600996</v>
      </c>
      <c r="J1988">
        <f>(Table1[[#This Row],[value]] - Table1[[#This Row],[mean]]) / Table1[[#This Row],[std_dev]]</f>
        <v>5.9361257838030791E-2</v>
      </c>
      <c r="K1988">
        <f>AVERAGEIF(Table1[CountryCode],Table1[[#This Row],[CountryCode]],Table1[z-score])</f>
        <v>0.26765264295626828</v>
      </c>
      <c r="L1988" t="e">
        <f>VLOOKUP(Table1[[#This Row],[CountryCode]],[1]!Table1[#Data],4,FALSE)</f>
        <v>#REF!</v>
      </c>
    </row>
    <row r="1989" spans="1:12" hidden="1" x14ac:dyDescent="0.3">
      <c r="A1989" t="s">
        <v>15</v>
      </c>
      <c r="B1989" t="s">
        <v>16</v>
      </c>
      <c r="C1989" t="s">
        <v>125</v>
      </c>
      <c r="D1989" t="s">
        <v>126</v>
      </c>
      <c r="E1989">
        <v>1975</v>
      </c>
      <c r="F1989" s="1">
        <v>7</v>
      </c>
      <c r="G1989">
        <v>1970</v>
      </c>
      <c r="H1989">
        <f>AVERAGEIFS(Table1[value],Table1[IndicatorCode],Table1[[#This Row],[IndicatorCode]])</f>
        <v>7.6894248608534319</v>
      </c>
      <c r="I1989" cm="1">
        <f t="array" ref="I1989">_xlfn.STDEV.P(IF(Table1[IndicatorCode]=Table1[[#This Row],[IndicatorCode]],Table1[value]))</f>
        <v>5.2319501044600996</v>
      </c>
      <c r="J1989">
        <f>(Table1[[#This Row],[value]] - Table1[[#This Row],[mean]]) / Table1[[#This Row],[std_dev]]</f>
        <v>-0.13177206339672762</v>
      </c>
      <c r="K1989">
        <f>AVERAGEIF(Table1[CountryCode],Table1[[#This Row],[CountryCode]],Table1[z-score])</f>
        <v>0.26765264295626828</v>
      </c>
      <c r="L1989" t="e">
        <f>VLOOKUP(Table1[[#This Row],[CountryCode]],[1]!Table1[#Data],4,FALSE)</f>
        <v>#REF!</v>
      </c>
    </row>
    <row r="1990" spans="1:12" hidden="1" x14ac:dyDescent="0.3">
      <c r="A1990" t="s">
        <v>15</v>
      </c>
      <c r="B1990" t="s">
        <v>16</v>
      </c>
      <c r="C1990" t="s">
        <v>125</v>
      </c>
      <c r="D1990" t="s">
        <v>126</v>
      </c>
      <c r="E1990">
        <v>1976</v>
      </c>
      <c r="F1990" s="1">
        <v>8</v>
      </c>
      <c r="G1990">
        <v>1970</v>
      </c>
      <c r="H1990">
        <f>AVERAGEIFS(Table1[value],Table1[IndicatorCode],Table1[[#This Row],[IndicatorCode]])</f>
        <v>7.6894248608534319</v>
      </c>
      <c r="I1990" cm="1">
        <f t="array" ref="I1990">_xlfn.STDEV.P(IF(Table1[IndicatorCode]=Table1[[#This Row],[IndicatorCode]],Table1[value]))</f>
        <v>5.2319501044600996</v>
      </c>
      <c r="J1990">
        <f>(Table1[[#This Row],[value]] - Table1[[#This Row],[mean]]) / Table1[[#This Row],[std_dev]]</f>
        <v>5.9361257838030791E-2</v>
      </c>
      <c r="K1990">
        <f>AVERAGEIF(Table1[CountryCode],Table1[[#This Row],[CountryCode]],Table1[z-score])</f>
        <v>0.26765264295626828</v>
      </c>
      <c r="L1990" t="e">
        <f>VLOOKUP(Table1[[#This Row],[CountryCode]],[1]!Table1[#Data],4,FALSE)</f>
        <v>#REF!</v>
      </c>
    </row>
    <row r="1991" spans="1:12" hidden="1" x14ac:dyDescent="0.3">
      <c r="A1991" t="s">
        <v>15</v>
      </c>
      <c r="B1991" t="s">
        <v>16</v>
      </c>
      <c r="C1991" t="s">
        <v>125</v>
      </c>
      <c r="D1991" t="s">
        <v>126</v>
      </c>
      <c r="E1991">
        <v>1977</v>
      </c>
      <c r="F1991" s="1">
        <v>8</v>
      </c>
      <c r="G1991">
        <v>1980</v>
      </c>
      <c r="H1991">
        <f>AVERAGEIFS(Table1[value],Table1[IndicatorCode],Table1[[#This Row],[IndicatorCode]])</f>
        <v>7.6894248608534319</v>
      </c>
      <c r="I1991" cm="1">
        <f t="array" ref="I1991">_xlfn.STDEV.P(IF(Table1[IndicatorCode]=Table1[[#This Row],[IndicatorCode]],Table1[value]))</f>
        <v>5.2319501044600996</v>
      </c>
      <c r="J1991">
        <f>(Table1[[#This Row],[value]] - Table1[[#This Row],[mean]]) / Table1[[#This Row],[std_dev]]</f>
        <v>5.9361257838030791E-2</v>
      </c>
      <c r="K1991">
        <f>AVERAGEIF(Table1[CountryCode],Table1[[#This Row],[CountryCode]],Table1[z-score])</f>
        <v>0.26765264295626828</v>
      </c>
      <c r="L1991" t="e">
        <f>VLOOKUP(Table1[[#This Row],[CountryCode]],[1]!Table1[#Data],4,FALSE)</f>
        <v>#REF!</v>
      </c>
    </row>
    <row r="1992" spans="1:12" hidden="1" x14ac:dyDescent="0.3">
      <c r="A1992" t="s">
        <v>15</v>
      </c>
      <c r="B1992" t="s">
        <v>16</v>
      </c>
      <c r="C1992" t="s">
        <v>125</v>
      </c>
      <c r="D1992" t="s">
        <v>126</v>
      </c>
      <c r="E1992">
        <v>1978</v>
      </c>
      <c r="F1992" s="1">
        <v>8</v>
      </c>
      <c r="G1992">
        <v>1980</v>
      </c>
      <c r="H1992">
        <f>AVERAGEIFS(Table1[value],Table1[IndicatorCode],Table1[[#This Row],[IndicatorCode]])</f>
        <v>7.6894248608534319</v>
      </c>
      <c r="I1992" cm="1">
        <f t="array" ref="I1992">_xlfn.STDEV.P(IF(Table1[IndicatorCode]=Table1[[#This Row],[IndicatorCode]],Table1[value]))</f>
        <v>5.2319501044600996</v>
      </c>
      <c r="J1992">
        <f>(Table1[[#This Row],[value]] - Table1[[#This Row],[mean]]) / Table1[[#This Row],[std_dev]]</f>
        <v>5.9361257838030791E-2</v>
      </c>
      <c r="K1992">
        <f>AVERAGEIF(Table1[CountryCode],Table1[[#This Row],[CountryCode]],Table1[z-score])</f>
        <v>0.26765264295626828</v>
      </c>
      <c r="L1992" t="e">
        <f>VLOOKUP(Table1[[#This Row],[CountryCode]],[1]!Table1[#Data],4,FALSE)</f>
        <v>#REF!</v>
      </c>
    </row>
    <row r="1993" spans="1:12" hidden="1" x14ac:dyDescent="0.3">
      <c r="A1993" t="s">
        <v>15</v>
      </c>
      <c r="B1993" t="s">
        <v>16</v>
      </c>
      <c r="C1993" t="s">
        <v>125</v>
      </c>
      <c r="D1993" t="s">
        <v>126</v>
      </c>
      <c r="E1993">
        <v>1979</v>
      </c>
      <c r="F1993" s="1">
        <v>8</v>
      </c>
      <c r="G1993">
        <v>1980</v>
      </c>
      <c r="H1993">
        <f>AVERAGEIFS(Table1[value],Table1[IndicatorCode],Table1[[#This Row],[IndicatorCode]])</f>
        <v>7.6894248608534319</v>
      </c>
      <c r="I1993" cm="1">
        <f t="array" ref="I1993">_xlfn.STDEV.P(IF(Table1[IndicatorCode]=Table1[[#This Row],[IndicatorCode]],Table1[value]))</f>
        <v>5.2319501044600996</v>
      </c>
      <c r="J1993">
        <f>(Table1[[#This Row],[value]] - Table1[[#This Row],[mean]]) / Table1[[#This Row],[std_dev]]</f>
        <v>5.9361257838030791E-2</v>
      </c>
      <c r="K1993">
        <f>AVERAGEIF(Table1[CountryCode],Table1[[#This Row],[CountryCode]],Table1[z-score])</f>
        <v>0.26765264295626828</v>
      </c>
      <c r="L1993" t="e">
        <f>VLOOKUP(Table1[[#This Row],[CountryCode]],[1]!Table1[#Data],4,FALSE)</f>
        <v>#REF!</v>
      </c>
    </row>
    <row r="1994" spans="1:12" hidden="1" x14ac:dyDescent="0.3">
      <c r="A1994" t="s">
        <v>15</v>
      </c>
      <c r="B1994" t="s">
        <v>16</v>
      </c>
      <c r="C1994" t="s">
        <v>125</v>
      </c>
      <c r="D1994" t="s">
        <v>126</v>
      </c>
      <c r="E1994">
        <v>1980</v>
      </c>
      <c r="F1994" s="1">
        <v>8</v>
      </c>
      <c r="G1994">
        <v>1980</v>
      </c>
      <c r="H1994">
        <f>AVERAGEIFS(Table1[value],Table1[IndicatorCode],Table1[[#This Row],[IndicatorCode]])</f>
        <v>7.6894248608534319</v>
      </c>
      <c r="I1994" cm="1">
        <f t="array" ref="I1994">_xlfn.STDEV.P(IF(Table1[IndicatorCode]=Table1[[#This Row],[IndicatorCode]],Table1[value]))</f>
        <v>5.2319501044600996</v>
      </c>
      <c r="J1994">
        <f>(Table1[[#This Row],[value]] - Table1[[#This Row],[mean]]) / Table1[[#This Row],[std_dev]]</f>
        <v>5.9361257838030791E-2</v>
      </c>
      <c r="K1994">
        <f>AVERAGEIF(Table1[CountryCode],Table1[[#This Row],[CountryCode]],Table1[z-score])</f>
        <v>0.26765264295626828</v>
      </c>
      <c r="L1994" t="e">
        <f>VLOOKUP(Table1[[#This Row],[CountryCode]],[1]!Table1[#Data],4,FALSE)</f>
        <v>#REF!</v>
      </c>
    </row>
    <row r="1995" spans="1:12" hidden="1" x14ac:dyDescent="0.3">
      <c r="A1995" t="s">
        <v>15</v>
      </c>
      <c r="B1995" t="s">
        <v>16</v>
      </c>
      <c r="C1995" t="s">
        <v>125</v>
      </c>
      <c r="D1995" t="s">
        <v>126</v>
      </c>
      <c r="E1995">
        <v>1981</v>
      </c>
      <c r="F1995" s="1">
        <v>8</v>
      </c>
      <c r="G1995">
        <v>1980</v>
      </c>
      <c r="H1995">
        <f>AVERAGEIFS(Table1[value],Table1[IndicatorCode],Table1[[#This Row],[IndicatorCode]])</f>
        <v>7.6894248608534319</v>
      </c>
      <c r="I1995" cm="1">
        <f t="array" ref="I1995">_xlfn.STDEV.P(IF(Table1[IndicatorCode]=Table1[[#This Row],[IndicatorCode]],Table1[value]))</f>
        <v>5.2319501044600996</v>
      </c>
      <c r="J1995">
        <f>(Table1[[#This Row],[value]] - Table1[[#This Row],[mean]]) / Table1[[#This Row],[std_dev]]</f>
        <v>5.9361257838030791E-2</v>
      </c>
      <c r="K1995">
        <f>AVERAGEIF(Table1[CountryCode],Table1[[#This Row],[CountryCode]],Table1[z-score])</f>
        <v>0.26765264295626828</v>
      </c>
      <c r="L1995" t="e">
        <f>VLOOKUP(Table1[[#This Row],[CountryCode]],[1]!Table1[#Data],4,FALSE)</f>
        <v>#REF!</v>
      </c>
    </row>
    <row r="1996" spans="1:12" hidden="1" x14ac:dyDescent="0.3">
      <c r="A1996" t="s">
        <v>15</v>
      </c>
      <c r="B1996" t="s">
        <v>16</v>
      </c>
      <c r="C1996" t="s">
        <v>125</v>
      </c>
      <c r="D1996" t="s">
        <v>126</v>
      </c>
      <c r="E1996">
        <v>1982</v>
      </c>
      <c r="F1996" s="1">
        <v>7</v>
      </c>
      <c r="G1996">
        <v>1980</v>
      </c>
      <c r="H1996">
        <f>AVERAGEIFS(Table1[value],Table1[IndicatorCode],Table1[[#This Row],[IndicatorCode]])</f>
        <v>7.6894248608534319</v>
      </c>
      <c r="I1996" cm="1">
        <f t="array" ref="I1996">_xlfn.STDEV.P(IF(Table1[IndicatorCode]=Table1[[#This Row],[IndicatorCode]],Table1[value]))</f>
        <v>5.2319501044600996</v>
      </c>
      <c r="J1996">
        <f>(Table1[[#This Row],[value]] - Table1[[#This Row],[mean]]) / Table1[[#This Row],[std_dev]]</f>
        <v>-0.13177206339672762</v>
      </c>
      <c r="K1996">
        <f>AVERAGEIF(Table1[CountryCode],Table1[[#This Row],[CountryCode]],Table1[z-score])</f>
        <v>0.26765264295626828</v>
      </c>
      <c r="L1996" t="e">
        <f>VLOOKUP(Table1[[#This Row],[CountryCode]],[1]!Table1[#Data],4,FALSE)</f>
        <v>#REF!</v>
      </c>
    </row>
    <row r="1997" spans="1:12" hidden="1" x14ac:dyDescent="0.3">
      <c r="A1997" t="s">
        <v>15</v>
      </c>
      <c r="B1997" t="s">
        <v>16</v>
      </c>
      <c r="C1997" t="s">
        <v>125</v>
      </c>
      <c r="D1997" t="s">
        <v>126</v>
      </c>
      <c r="E1997">
        <v>1983</v>
      </c>
      <c r="F1997" s="1">
        <v>7</v>
      </c>
      <c r="G1997">
        <v>1980</v>
      </c>
      <c r="H1997">
        <f>AVERAGEIFS(Table1[value],Table1[IndicatorCode],Table1[[#This Row],[IndicatorCode]])</f>
        <v>7.6894248608534319</v>
      </c>
      <c r="I1997" cm="1">
        <f t="array" ref="I1997">_xlfn.STDEV.P(IF(Table1[IndicatorCode]=Table1[[#This Row],[IndicatorCode]],Table1[value]))</f>
        <v>5.2319501044600996</v>
      </c>
      <c r="J1997">
        <f>(Table1[[#This Row],[value]] - Table1[[#This Row],[mean]]) / Table1[[#This Row],[std_dev]]</f>
        <v>-0.13177206339672762</v>
      </c>
      <c r="K1997">
        <f>AVERAGEIF(Table1[CountryCode],Table1[[#This Row],[CountryCode]],Table1[z-score])</f>
        <v>0.26765264295626828</v>
      </c>
      <c r="L1997" t="e">
        <f>VLOOKUP(Table1[[#This Row],[CountryCode]],[1]!Table1[#Data],4,FALSE)</f>
        <v>#REF!</v>
      </c>
    </row>
    <row r="1998" spans="1:12" hidden="1" x14ac:dyDescent="0.3">
      <c r="A1998" t="s">
        <v>15</v>
      </c>
      <c r="B1998" t="s">
        <v>16</v>
      </c>
      <c r="C1998" t="s">
        <v>125</v>
      </c>
      <c r="D1998" t="s">
        <v>126</v>
      </c>
      <c r="E1998">
        <v>1984</v>
      </c>
      <c r="F1998" s="1">
        <v>8</v>
      </c>
      <c r="G1998">
        <v>1980</v>
      </c>
      <c r="H1998">
        <f>AVERAGEIFS(Table1[value],Table1[IndicatorCode],Table1[[#This Row],[IndicatorCode]])</f>
        <v>7.6894248608534319</v>
      </c>
      <c r="I1998" cm="1">
        <f t="array" ref="I1998">_xlfn.STDEV.P(IF(Table1[IndicatorCode]=Table1[[#This Row],[IndicatorCode]],Table1[value]))</f>
        <v>5.2319501044600996</v>
      </c>
      <c r="J1998">
        <f>(Table1[[#This Row],[value]] - Table1[[#This Row],[mean]]) / Table1[[#This Row],[std_dev]]</f>
        <v>5.9361257838030791E-2</v>
      </c>
      <c r="K1998">
        <f>AVERAGEIF(Table1[CountryCode],Table1[[#This Row],[CountryCode]],Table1[z-score])</f>
        <v>0.26765264295626828</v>
      </c>
      <c r="L1998" t="e">
        <f>VLOOKUP(Table1[[#This Row],[CountryCode]],[1]!Table1[#Data],4,FALSE)</f>
        <v>#REF!</v>
      </c>
    </row>
    <row r="1999" spans="1:12" hidden="1" x14ac:dyDescent="0.3">
      <c r="A1999" t="s">
        <v>15</v>
      </c>
      <c r="B1999" t="s">
        <v>16</v>
      </c>
      <c r="C1999" t="s">
        <v>125</v>
      </c>
      <c r="D1999" t="s">
        <v>126</v>
      </c>
      <c r="E1999">
        <v>1985</v>
      </c>
      <c r="F1999" s="1">
        <v>8</v>
      </c>
      <c r="G1999">
        <v>1980</v>
      </c>
      <c r="H1999">
        <f>AVERAGEIFS(Table1[value],Table1[IndicatorCode],Table1[[#This Row],[IndicatorCode]])</f>
        <v>7.6894248608534319</v>
      </c>
      <c r="I1999" cm="1">
        <f t="array" ref="I1999">_xlfn.STDEV.P(IF(Table1[IndicatorCode]=Table1[[#This Row],[IndicatorCode]],Table1[value]))</f>
        <v>5.2319501044600996</v>
      </c>
      <c r="J1999">
        <f>(Table1[[#This Row],[value]] - Table1[[#This Row],[mean]]) / Table1[[#This Row],[std_dev]]</f>
        <v>5.9361257838030791E-2</v>
      </c>
      <c r="K1999">
        <f>AVERAGEIF(Table1[CountryCode],Table1[[#This Row],[CountryCode]],Table1[z-score])</f>
        <v>0.26765264295626828</v>
      </c>
      <c r="L1999" t="e">
        <f>VLOOKUP(Table1[[#This Row],[CountryCode]],[1]!Table1[#Data],4,FALSE)</f>
        <v>#REF!</v>
      </c>
    </row>
    <row r="2000" spans="1:12" hidden="1" x14ac:dyDescent="0.3">
      <c r="A2000" t="s">
        <v>15</v>
      </c>
      <c r="B2000" t="s">
        <v>16</v>
      </c>
      <c r="C2000" t="s">
        <v>125</v>
      </c>
      <c r="D2000" t="s">
        <v>126</v>
      </c>
      <c r="E2000">
        <v>1986</v>
      </c>
      <c r="F2000" s="1">
        <v>8</v>
      </c>
      <c r="G2000">
        <v>1980</v>
      </c>
      <c r="H2000">
        <f>AVERAGEIFS(Table1[value],Table1[IndicatorCode],Table1[[#This Row],[IndicatorCode]])</f>
        <v>7.6894248608534319</v>
      </c>
      <c r="I2000" cm="1">
        <f t="array" ref="I2000">_xlfn.STDEV.P(IF(Table1[IndicatorCode]=Table1[[#This Row],[IndicatorCode]],Table1[value]))</f>
        <v>5.2319501044600996</v>
      </c>
      <c r="J2000">
        <f>(Table1[[#This Row],[value]] - Table1[[#This Row],[mean]]) / Table1[[#This Row],[std_dev]]</f>
        <v>5.9361257838030791E-2</v>
      </c>
      <c r="K2000">
        <f>AVERAGEIF(Table1[CountryCode],Table1[[#This Row],[CountryCode]],Table1[z-score])</f>
        <v>0.26765264295626828</v>
      </c>
      <c r="L2000" t="e">
        <f>VLOOKUP(Table1[[#This Row],[CountryCode]],[1]!Table1[#Data],4,FALSE)</f>
        <v>#REF!</v>
      </c>
    </row>
    <row r="2001" spans="1:12" hidden="1" x14ac:dyDescent="0.3">
      <c r="A2001" t="s">
        <v>15</v>
      </c>
      <c r="B2001" t="s">
        <v>16</v>
      </c>
      <c r="C2001" t="s">
        <v>125</v>
      </c>
      <c r="D2001" t="s">
        <v>126</v>
      </c>
      <c r="E2001">
        <v>1987</v>
      </c>
      <c r="F2001" s="1">
        <v>8</v>
      </c>
      <c r="G2001">
        <v>1990</v>
      </c>
      <c r="H2001">
        <f>AVERAGEIFS(Table1[value],Table1[IndicatorCode],Table1[[#This Row],[IndicatorCode]])</f>
        <v>7.6894248608534319</v>
      </c>
      <c r="I2001" cm="1">
        <f t="array" ref="I2001">_xlfn.STDEV.P(IF(Table1[IndicatorCode]=Table1[[#This Row],[IndicatorCode]],Table1[value]))</f>
        <v>5.2319501044600996</v>
      </c>
      <c r="J2001">
        <f>(Table1[[#This Row],[value]] - Table1[[#This Row],[mean]]) / Table1[[#This Row],[std_dev]]</f>
        <v>5.9361257838030791E-2</v>
      </c>
      <c r="K2001">
        <f>AVERAGEIF(Table1[CountryCode],Table1[[#This Row],[CountryCode]],Table1[z-score])</f>
        <v>0.26765264295626828</v>
      </c>
      <c r="L2001" t="e">
        <f>VLOOKUP(Table1[[#This Row],[CountryCode]],[1]!Table1[#Data],4,FALSE)</f>
        <v>#REF!</v>
      </c>
    </row>
    <row r="2002" spans="1:12" hidden="1" x14ac:dyDescent="0.3">
      <c r="A2002" t="s">
        <v>15</v>
      </c>
      <c r="B2002" t="s">
        <v>16</v>
      </c>
      <c r="C2002" t="s">
        <v>125</v>
      </c>
      <c r="D2002" t="s">
        <v>126</v>
      </c>
      <c r="E2002">
        <v>1988</v>
      </c>
      <c r="F2002" s="1">
        <v>8</v>
      </c>
      <c r="G2002">
        <v>1990</v>
      </c>
      <c r="H2002">
        <f>AVERAGEIFS(Table1[value],Table1[IndicatorCode],Table1[[#This Row],[IndicatorCode]])</f>
        <v>7.6894248608534319</v>
      </c>
      <c r="I2002" cm="1">
        <f t="array" ref="I2002">_xlfn.STDEV.P(IF(Table1[IndicatorCode]=Table1[[#This Row],[IndicatorCode]],Table1[value]))</f>
        <v>5.2319501044600996</v>
      </c>
      <c r="J2002">
        <f>(Table1[[#This Row],[value]] - Table1[[#This Row],[mean]]) / Table1[[#This Row],[std_dev]]</f>
        <v>5.9361257838030791E-2</v>
      </c>
      <c r="K2002">
        <f>AVERAGEIF(Table1[CountryCode],Table1[[#This Row],[CountryCode]],Table1[z-score])</f>
        <v>0.26765264295626828</v>
      </c>
      <c r="L2002" t="e">
        <f>VLOOKUP(Table1[[#This Row],[CountryCode]],[1]!Table1[#Data],4,FALSE)</f>
        <v>#REF!</v>
      </c>
    </row>
    <row r="2003" spans="1:12" hidden="1" x14ac:dyDescent="0.3">
      <c r="A2003" t="s">
        <v>15</v>
      </c>
      <c r="B2003" t="s">
        <v>16</v>
      </c>
      <c r="C2003" t="s">
        <v>125</v>
      </c>
      <c r="D2003" t="s">
        <v>126</v>
      </c>
      <c r="E2003">
        <v>1989</v>
      </c>
      <c r="F2003" s="1">
        <v>8</v>
      </c>
      <c r="G2003">
        <v>1990</v>
      </c>
      <c r="H2003">
        <f>AVERAGEIFS(Table1[value],Table1[IndicatorCode],Table1[[#This Row],[IndicatorCode]])</f>
        <v>7.6894248608534319</v>
      </c>
      <c r="I2003" cm="1">
        <f t="array" ref="I2003">_xlfn.STDEV.P(IF(Table1[IndicatorCode]=Table1[[#This Row],[IndicatorCode]],Table1[value]))</f>
        <v>5.2319501044600996</v>
      </c>
      <c r="J2003">
        <f>(Table1[[#This Row],[value]] - Table1[[#This Row],[mean]]) / Table1[[#This Row],[std_dev]]</f>
        <v>5.9361257838030791E-2</v>
      </c>
      <c r="K2003">
        <f>AVERAGEIF(Table1[CountryCode],Table1[[#This Row],[CountryCode]],Table1[z-score])</f>
        <v>0.26765264295626828</v>
      </c>
      <c r="L2003" t="e">
        <f>VLOOKUP(Table1[[#This Row],[CountryCode]],[1]!Table1[#Data],4,FALSE)</f>
        <v>#REF!</v>
      </c>
    </row>
    <row r="2004" spans="1:12" hidden="1" x14ac:dyDescent="0.3">
      <c r="A2004" t="s">
        <v>15</v>
      </c>
      <c r="B2004" t="s">
        <v>16</v>
      </c>
      <c r="C2004" t="s">
        <v>125</v>
      </c>
      <c r="D2004" t="s">
        <v>126</v>
      </c>
      <c r="E2004">
        <v>1990</v>
      </c>
      <c r="F2004" s="1">
        <v>8</v>
      </c>
      <c r="G2004">
        <v>1990</v>
      </c>
      <c r="H2004">
        <f>AVERAGEIFS(Table1[value],Table1[IndicatorCode],Table1[[#This Row],[IndicatorCode]])</f>
        <v>7.6894248608534319</v>
      </c>
      <c r="I2004" cm="1">
        <f t="array" ref="I2004">_xlfn.STDEV.P(IF(Table1[IndicatorCode]=Table1[[#This Row],[IndicatorCode]],Table1[value]))</f>
        <v>5.2319501044600996</v>
      </c>
      <c r="J2004">
        <f>(Table1[[#This Row],[value]] - Table1[[#This Row],[mean]]) / Table1[[#This Row],[std_dev]]</f>
        <v>5.9361257838030791E-2</v>
      </c>
      <c r="K2004">
        <f>AVERAGEIF(Table1[CountryCode],Table1[[#This Row],[CountryCode]],Table1[z-score])</f>
        <v>0.26765264295626828</v>
      </c>
      <c r="L2004" t="e">
        <f>VLOOKUP(Table1[[#This Row],[CountryCode]],[1]!Table1[#Data],4,FALSE)</f>
        <v>#REF!</v>
      </c>
    </row>
    <row r="2005" spans="1:12" hidden="1" x14ac:dyDescent="0.3">
      <c r="A2005" t="s">
        <v>15</v>
      </c>
      <c r="B2005" t="s">
        <v>16</v>
      </c>
      <c r="C2005" t="s">
        <v>125</v>
      </c>
      <c r="D2005" t="s">
        <v>126</v>
      </c>
      <c r="E2005">
        <v>1991</v>
      </c>
      <c r="F2005" s="1">
        <v>8</v>
      </c>
      <c r="G2005">
        <v>1990</v>
      </c>
      <c r="H2005">
        <f>AVERAGEIFS(Table1[value],Table1[IndicatorCode],Table1[[#This Row],[IndicatorCode]])</f>
        <v>7.6894248608534319</v>
      </c>
      <c r="I2005" cm="1">
        <f t="array" ref="I2005">_xlfn.STDEV.P(IF(Table1[IndicatorCode]=Table1[[#This Row],[IndicatorCode]],Table1[value]))</f>
        <v>5.2319501044600996</v>
      </c>
      <c r="J2005">
        <f>(Table1[[#This Row],[value]] - Table1[[#This Row],[mean]]) / Table1[[#This Row],[std_dev]]</f>
        <v>5.9361257838030791E-2</v>
      </c>
      <c r="K2005">
        <f>AVERAGEIF(Table1[CountryCode],Table1[[#This Row],[CountryCode]],Table1[z-score])</f>
        <v>0.26765264295626828</v>
      </c>
      <c r="L2005" t="e">
        <f>VLOOKUP(Table1[[#This Row],[CountryCode]],[1]!Table1[#Data],4,FALSE)</f>
        <v>#REF!</v>
      </c>
    </row>
    <row r="2006" spans="1:12" hidden="1" x14ac:dyDescent="0.3">
      <c r="A2006" t="s">
        <v>15</v>
      </c>
      <c r="B2006" t="s">
        <v>16</v>
      </c>
      <c r="C2006" t="s">
        <v>125</v>
      </c>
      <c r="D2006" t="s">
        <v>126</v>
      </c>
      <c r="E2006">
        <v>1992</v>
      </c>
      <c r="F2006" s="1">
        <v>8</v>
      </c>
      <c r="G2006">
        <v>1990</v>
      </c>
      <c r="H2006">
        <f>AVERAGEIFS(Table1[value],Table1[IndicatorCode],Table1[[#This Row],[IndicatorCode]])</f>
        <v>7.6894248608534319</v>
      </c>
      <c r="I2006" cm="1">
        <f t="array" ref="I2006">_xlfn.STDEV.P(IF(Table1[IndicatorCode]=Table1[[#This Row],[IndicatorCode]],Table1[value]))</f>
        <v>5.2319501044600996</v>
      </c>
      <c r="J2006">
        <f>(Table1[[#This Row],[value]] - Table1[[#This Row],[mean]]) / Table1[[#This Row],[std_dev]]</f>
        <v>5.9361257838030791E-2</v>
      </c>
      <c r="K2006">
        <f>AVERAGEIF(Table1[CountryCode],Table1[[#This Row],[CountryCode]],Table1[z-score])</f>
        <v>0.26765264295626828</v>
      </c>
      <c r="L2006" t="e">
        <f>VLOOKUP(Table1[[#This Row],[CountryCode]],[1]!Table1[#Data],4,FALSE)</f>
        <v>#REF!</v>
      </c>
    </row>
    <row r="2007" spans="1:12" hidden="1" x14ac:dyDescent="0.3">
      <c r="A2007" t="s">
        <v>15</v>
      </c>
      <c r="B2007" t="s">
        <v>16</v>
      </c>
      <c r="C2007" t="s">
        <v>125</v>
      </c>
      <c r="D2007" t="s">
        <v>126</v>
      </c>
      <c r="E2007">
        <v>1993</v>
      </c>
      <c r="F2007" s="1">
        <v>8</v>
      </c>
      <c r="G2007">
        <v>1990</v>
      </c>
      <c r="H2007">
        <f>AVERAGEIFS(Table1[value],Table1[IndicatorCode],Table1[[#This Row],[IndicatorCode]])</f>
        <v>7.6894248608534319</v>
      </c>
      <c r="I2007" cm="1">
        <f t="array" ref="I2007">_xlfn.STDEV.P(IF(Table1[IndicatorCode]=Table1[[#This Row],[IndicatorCode]],Table1[value]))</f>
        <v>5.2319501044600996</v>
      </c>
      <c r="J2007">
        <f>(Table1[[#This Row],[value]] - Table1[[#This Row],[mean]]) / Table1[[#This Row],[std_dev]]</f>
        <v>5.9361257838030791E-2</v>
      </c>
      <c r="K2007">
        <f>AVERAGEIF(Table1[CountryCode],Table1[[#This Row],[CountryCode]],Table1[z-score])</f>
        <v>0.26765264295626828</v>
      </c>
      <c r="L2007" t="e">
        <f>VLOOKUP(Table1[[#This Row],[CountryCode]],[1]!Table1[#Data],4,FALSE)</f>
        <v>#REF!</v>
      </c>
    </row>
    <row r="2008" spans="1:12" hidden="1" x14ac:dyDescent="0.3">
      <c r="A2008" t="s">
        <v>15</v>
      </c>
      <c r="B2008" t="s">
        <v>16</v>
      </c>
      <c r="C2008" t="s">
        <v>125</v>
      </c>
      <c r="D2008" t="s">
        <v>126</v>
      </c>
      <c r="E2008">
        <v>1994</v>
      </c>
      <c r="F2008" s="1">
        <v>8</v>
      </c>
      <c r="G2008">
        <v>1990</v>
      </c>
      <c r="H2008">
        <f>AVERAGEIFS(Table1[value],Table1[IndicatorCode],Table1[[#This Row],[IndicatorCode]])</f>
        <v>7.6894248608534319</v>
      </c>
      <c r="I2008" cm="1">
        <f t="array" ref="I2008">_xlfn.STDEV.P(IF(Table1[IndicatorCode]=Table1[[#This Row],[IndicatorCode]],Table1[value]))</f>
        <v>5.2319501044600996</v>
      </c>
      <c r="J2008">
        <f>(Table1[[#This Row],[value]] - Table1[[#This Row],[mean]]) / Table1[[#This Row],[std_dev]]</f>
        <v>5.9361257838030791E-2</v>
      </c>
      <c r="K2008">
        <f>AVERAGEIF(Table1[CountryCode],Table1[[#This Row],[CountryCode]],Table1[z-score])</f>
        <v>0.26765264295626828</v>
      </c>
      <c r="L2008" t="e">
        <f>VLOOKUP(Table1[[#This Row],[CountryCode]],[1]!Table1[#Data],4,FALSE)</f>
        <v>#REF!</v>
      </c>
    </row>
    <row r="2009" spans="1:12" hidden="1" x14ac:dyDescent="0.3">
      <c r="A2009" t="s">
        <v>15</v>
      </c>
      <c r="B2009" t="s">
        <v>16</v>
      </c>
      <c r="C2009" t="s">
        <v>125</v>
      </c>
      <c r="D2009" t="s">
        <v>126</v>
      </c>
      <c r="E2009">
        <v>1995</v>
      </c>
      <c r="F2009" s="1">
        <v>8</v>
      </c>
      <c r="G2009">
        <v>1990</v>
      </c>
      <c r="H2009">
        <f>AVERAGEIFS(Table1[value],Table1[IndicatorCode],Table1[[#This Row],[IndicatorCode]])</f>
        <v>7.6894248608534319</v>
      </c>
      <c r="I2009" cm="1">
        <f t="array" ref="I2009">_xlfn.STDEV.P(IF(Table1[IndicatorCode]=Table1[[#This Row],[IndicatorCode]],Table1[value]))</f>
        <v>5.2319501044600996</v>
      </c>
      <c r="J2009">
        <f>(Table1[[#This Row],[value]] - Table1[[#This Row],[mean]]) / Table1[[#This Row],[std_dev]]</f>
        <v>5.9361257838030791E-2</v>
      </c>
      <c r="K2009">
        <f>AVERAGEIF(Table1[CountryCode],Table1[[#This Row],[CountryCode]],Table1[z-score])</f>
        <v>0.26765264295626828</v>
      </c>
      <c r="L2009" t="e">
        <f>VLOOKUP(Table1[[#This Row],[CountryCode]],[1]!Table1[#Data],4,FALSE)</f>
        <v>#REF!</v>
      </c>
    </row>
    <row r="2010" spans="1:12" hidden="1" x14ac:dyDescent="0.3">
      <c r="A2010" t="s">
        <v>15</v>
      </c>
      <c r="B2010" t="s">
        <v>16</v>
      </c>
      <c r="C2010" t="s">
        <v>125</v>
      </c>
      <c r="D2010" t="s">
        <v>126</v>
      </c>
      <c r="E2010">
        <v>1996</v>
      </c>
      <c r="F2010" s="1">
        <v>9</v>
      </c>
      <c r="G2010">
        <v>1990</v>
      </c>
      <c r="H2010">
        <f>AVERAGEIFS(Table1[value],Table1[IndicatorCode],Table1[[#This Row],[IndicatorCode]])</f>
        <v>7.6894248608534319</v>
      </c>
      <c r="I2010" cm="1">
        <f t="array" ref="I2010">_xlfn.STDEV.P(IF(Table1[IndicatorCode]=Table1[[#This Row],[IndicatorCode]],Table1[value]))</f>
        <v>5.2319501044600996</v>
      </c>
      <c r="J2010">
        <f>(Table1[[#This Row],[value]] - Table1[[#This Row],[mean]]) / Table1[[#This Row],[std_dev]]</f>
        <v>0.25049457907278921</v>
      </c>
      <c r="K2010">
        <f>AVERAGEIF(Table1[CountryCode],Table1[[#This Row],[CountryCode]],Table1[z-score])</f>
        <v>0.26765264295626828</v>
      </c>
      <c r="L2010" t="e">
        <f>VLOOKUP(Table1[[#This Row],[CountryCode]],[1]!Table1[#Data],4,FALSE)</f>
        <v>#REF!</v>
      </c>
    </row>
    <row r="2011" spans="1:12" hidden="1" x14ac:dyDescent="0.3">
      <c r="A2011" t="s">
        <v>15</v>
      </c>
      <c r="B2011" t="s">
        <v>16</v>
      </c>
      <c r="C2011" t="s">
        <v>125</v>
      </c>
      <c r="D2011" t="s">
        <v>126</v>
      </c>
      <c r="E2011">
        <v>1997</v>
      </c>
      <c r="F2011" s="1">
        <v>8</v>
      </c>
      <c r="G2011">
        <v>2000</v>
      </c>
      <c r="H2011">
        <f>AVERAGEIFS(Table1[value],Table1[IndicatorCode],Table1[[#This Row],[IndicatorCode]])</f>
        <v>7.6894248608534319</v>
      </c>
      <c r="I2011" cm="1">
        <f t="array" ref="I2011">_xlfn.STDEV.P(IF(Table1[IndicatorCode]=Table1[[#This Row],[IndicatorCode]],Table1[value]))</f>
        <v>5.2319501044600996</v>
      </c>
      <c r="J2011">
        <f>(Table1[[#This Row],[value]] - Table1[[#This Row],[mean]]) / Table1[[#This Row],[std_dev]]</f>
        <v>5.9361257838030791E-2</v>
      </c>
      <c r="K2011">
        <f>AVERAGEIF(Table1[CountryCode],Table1[[#This Row],[CountryCode]],Table1[z-score])</f>
        <v>0.26765264295626828</v>
      </c>
      <c r="L2011" t="e">
        <f>VLOOKUP(Table1[[#This Row],[CountryCode]],[1]!Table1[#Data],4,FALSE)</f>
        <v>#REF!</v>
      </c>
    </row>
    <row r="2012" spans="1:12" hidden="1" x14ac:dyDescent="0.3">
      <c r="A2012" t="s">
        <v>15</v>
      </c>
      <c r="B2012" t="s">
        <v>16</v>
      </c>
      <c r="C2012" t="s">
        <v>125</v>
      </c>
      <c r="D2012" t="s">
        <v>126</v>
      </c>
      <c r="E2012">
        <v>1998</v>
      </c>
      <c r="F2012" s="1">
        <v>9</v>
      </c>
      <c r="G2012">
        <v>2000</v>
      </c>
      <c r="H2012">
        <f>AVERAGEIFS(Table1[value],Table1[IndicatorCode],Table1[[#This Row],[IndicatorCode]])</f>
        <v>7.6894248608534319</v>
      </c>
      <c r="I2012" cm="1">
        <f t="array" ref="I2012">_xlfn.STDEV.P(IF(Table1[IndicatorCode]=Table1[[#This Row],[IndicatorCode]],Table1[value]))</f>
        <v>5.2319501044600996</v>
      </c>
      <c r="J2012">
        <f>(Table1[[#This Row],[value]] - Table1[[#This Row],[mean]]) / Table1[[#This Row],[std_dev]]</f>
        <v>0.25049457907278921</v>
      </c>
      <c r="K2012">
        <f>AVERAGEIF(Table1[CountryCode],Table1[[#This Row],[CountryCode]],Table1[z-score])</f>
        <v>0.26765264295626828</v>
      </c>
      <c r="L2012" t="e">
        <f>VLOOKUP(Table1[[#This Row],[CountryCode]],[1]!Table1[#Data],4,FALSE)</f>
        <v>#REF!</v>
      </c>
    </row>
    <row r="2013" spans="1:12" hidden="1" x14ac:dyDescent="0.3">
      <c r="A2013" t="s">
        <v>15</v>
      </c>
      <c r="B2013" t="s">
        <v>16</v>
      </c>
      <c r="C2013" t="s">
        <v>125</v>
      </c>
      <c r="D2013" t="s">
        <v>126</v>
      </c>
      <c r="E2013">
        <v>1999</v>
      </c>
      <c r="F2013" s="1">
        <v>8</v>
      </c>
      <c r="G2013">
        <v>2000</v>
      </c>
      <c r="H2013">
        <f>AVERAGEIFS(Table1[value],Table1[IndicatorCode],Table1[[#This Row],[IndicatorCode]])</f>
        <v>7.6894248608534319</v>
      </c>
      <c r="I2013" cm="1">
        <f t="array" ref="I2013">_xlfn.STDEV.P(IF(Table1[IndicatorCode]=Table1[[#This Row],[IndicatorCode]],Table1[value]))</f>
        <v>5.2319501044600996</v>
      </c>
      <c r="J2013">
        <f>(Table1[[#This Row],[value]] - Table1[[#This Row],[mean]]) / Table1[[#This Row],[std_dev]]</f>
        <v>5.9361257838030791E-2</v>
      </c>
      <c r="K2013">
        <f>AVERAGEIF(Table1[CountryCode],Table1[[#This Row],[CountryCode]],Table1[z-score])</f>
        <v>0.26765264295626828</v>
      </c>
      <c r="L2013" t="e">
        <f>VLOOKUP(Table1[[#This Row],[CountryCode]],[1]!Table1[#Data],4,FALSE)</f>
        <v>#REF!</v>
      </c>
    </row>
    <row r="2014" spans="1:12" hidden="1" x14ac:dyDescent="0.3">
      <c r="A2014" t="s">
        <v>15</v>
      </c>
      <c r="B2014" t="s">
        <v>16</v>
      </c>
      <c r="C2014" t="s">
        <v>125</v>
      </c>
      <c r="D2014" t="s">
        <v>126</v>
      </c>
      <c r="E2014">
        <v>2000</v>
      </c>
      <c r="F2014" s="1">
        <v>8</v>
      </c>
      <c r="G2014">
        <v>2000</v>
      </c>
      <c r="H2014">
        <f>AVERAGEIFS(Table1[value],Table1[IndicatorCode],Table1[[#This Row],[IndicatorCode]])</f>
        <v>7.6894248608534319</v>
      </c>
      <c r="I2014" cm="1">
        <f t="array" ref="I2014">_xlfn.STDEV.P(IF(Table1[IndicatorCode]=Table1[[#This Row],[IndicatorCode]],Table1[value]))</f>
        <v>5.2319501044600996</v>
      </c>
      <c r="J2014">
        <f>(Table1[[#This Row],[value]] - Table1[[#This Row],[mean]]) / Table1[[#This Row],[std_dev]]</f>
        <v>5.9361257838030791E-2</v>
      </c>
      <c r="K2014">
        <f>AVERAGEIF(Table1[CountryCode],Table1[[#This Row],[CountryCode]],Table1[z-score])</f>
        <v>0.26765264295626828</v>
      </c>
      <c r="L2014" t="e">
        <f>VLOOKUP(Table1[[#This Row],[CountryCode]],[1]!Table1[#Data],4,FALSE)</f>
        <v>#REF!</v>
      </c>
    </row>
    <row r="2015" spans="1:12" hidden="1" x14ac:dyDescent="0.3">
      <c r="A2015" t="s">
        <v>15</v>
      </c>
      <c r="B2015" t="s">
        <v>16</v>
      </c>
      <c r="C2015" t="s">
        <v>125</v>
      </c>
      <c r="D2015" t="s">
        <v>126</v>
      </c>
      <c r="E2015">
        <v>2001</v>
      </c>
      <c r="F2015" s="1">
        <v>9</v>
      </c>
      <c r="G2015">
        <v>2000</v>
      </c>
      <c r="H2015">
        <f>AVERAGEIFS(Table1[value],Table1[IndicatorCode],Table1[[#This Row],[IndicatorCode]])</f>
        <v>7.6894248608534319</v>
      </c>
      <c r="I2015" cm="1">
        <f t="array" ref="I2015">_xlfn.STDEV.P(IF(Table1[IndicatorCode]=Table1[[#This Row],[IndicatorCode]],Table1[value]))</f>
        <v>5.2319501044600996</v>
      </c>
      <c r="J2015">
        <f>(Table1[[#This Row],[value]] - Table1[[#This Row],[mean]]) / Table1[[#This Row],[std_dev]]</f>
        <v>0.25049457907278921</v>
      </c>
      <c r="K2015">
        <f>AVERAGEIF(Table1[CountryCode],Table1[[#This Row],[CountryCode]],Table1[z-score])</f>
        <v>0.26765264295626828</v>
      </c>
      <c r="L2015" t="e">
        <f>VLOOKUP(Table1[[#This Row],[CountryCode]],[1]!Table1[#Data],4,FALSE)</f>
        <v>#REF!</v>
      </c>
    </row>
    <row r="2016" spans="1:12" hidden="1" x14ac:dyDescent="0.3">
      <c r="A2016" t="s">
        <v>15</v>
      </c>
      <c r="B2016" t="s">
        <v>16</v>
      </c>
      <c r="C2016" t="s">
        <v>125</v>
      </c>
      <c r="D2016" t="s">
        <v>126</v>
      </c>
      <c r="E2016">
        <v>2002</v>
      </c>
      <c r="F2016" s="1">
        <v>9</v>
      </c>
      <c r="G2016">
        <v>2000</v>
      </c>
      <c r="H2016">
        <f>AVERAGEIFS(Table1[value],Table1[IndicatorCode],Table1[[#This Row],[IndicatorCode]])</f>
        <v>7.6894248608534319</v>
      </c>
      <c r="I2016" cm="1">
        <f t="array" ref="I2016">_xlfn.STDEV.P(IF(Table1[IndicatorCode]=Table1[[#This Row],[IndicatorCode]],Table1[value]))</f>
        <v>5.2319501044600996</v>
      </c>
      <c r="J2016">
        <f>(Table1[[#This Row],[value]] - Table1[[#This Row],[mean]]) / Table1[[#This Row],[std_dev]]</f>
        <v>0.25049457907278921</v>
      </c>
      <c r="K2016">
        <f>AVERAGEIF(Table1[CountryCode],Table1[[#This Row],[CountryCode]],Table1[z-score])</f>
        <v>0.26765264295626828</v>
      </c>
      <c r="L2016" t="e">
        <f>VLOOKUP(Table1[[#This Row],[CountryCode]],[1]!Table1[#Data],4,FALSE)</f>
        <v>#REF!</v>
      </c>
    </row>
    <row r="2017" spans="1:12" hidden="1" x14ac:dyDescent="0.3">
      <c r="A2017" t="s">
        <v>15</v>
      </c>
      <c r="B2017" t="s">
        <v>16</v>
      </c>
      <c r="C2017" t="s">
        <v>125</v>
      </c>
      <c r="D2017" t="s">
        <v>126</v>
      </c>
      <c r="E2017">
        <v>2003</v>
      </c>
      <c r="F2017" s="1">
        <v>10</v>
      </c>
      <c r="G2017">
        <v>2000</v>
      </c>
      <c r="H2017">
        <f>AVERAGEIFS(Table1[value],Table1[IndicatorCode],Table1[[#This Row],[IndicatorCode]])</f>
        <v>7.6894248608534319</v>
      </c>
      <c r="I2017" cm="1">
        <f t="array" ref="I2017">_xlfn.STDEV.P(IF(Table1[IndicatorCode]=Table1[[#This Row],[IndicatorCode]],Table1[value]))</f>
        <v>5.2319501044600996</v>
      </c>
      <c r="J2017">
        <f>(Table1[[#This Row],[value]] - Table1[[#This Row],[mean]]) / Table1[[#This Row],[std_dev]]</f>
        <v>0.44162790030754762</v>
      </c>
      <c r="K2017">
        <f>AVERAGEIF(Table1[CountryCode],Table1[[#This Row],[CountryCode]],Table1[z-score])</f>
        <v>0.26765264295626828</v>
      </c>
      <c r="L2017" t="e">
        <f>VLOOKUP(Table1[[#This Row],[CountryCode]],[1]!Table1[#Data],4,FALSE)</f>
        <v>#REF!</v>
      </c>
    </row>
    <row r="2018" spans="1:12" hidden="1" x14ac:dyDescent="0.3">
      <c r="A2018" t="s">
        <v>15</v>
      </c>
      <c r="B2018" t="s">
        <v>16</v>
      </c>
      <c r="C2018" t="s">
        <v>125</v>
      </c>
      <c r="D2018" t="s">
        <v>126</v>
      </c>
      <c r="E2018">
        <v>2004</v>
      </c>
      <c r="F2018" s="1">
        <v>10</v>
      </c>
      <c r="G2018">
        <v>2000</v>
      </c>
      <c r="H2018">
        <f>AVERAGEIFS(Table1[value],Table1[IndicatorCode],Table1[[#This Row],[IndicatorCode]])</f>
        <v>7.6894248608534319</v>
      </c>
      <c r="I2018" cm="1">
        <f t="array" ref="I2018">_xlfn.STDEV.P(IF(Table1[IndicatorCode]=Table1[[#This Row],[IndicatorCode]],Table1[value]))</f>
        <v>5.2319501044600996</v>
      </c>
      <c r="J2018">
        <f>(Table1[[#This Row],[value]] - Table1[[#This Row],[mean]]) / Table1[[#This Row],[std_dev]]</f>
        <v>0.44162790030754762</v>
      </c>
      <c r="K2018">
        <f>AVERAGEIF(Table1[CountryCode],Table1[[#This Row],[CountryCode]],Table1[z-score])</f>
        <v>0.26765264295626828</v>
      </c>
      <c r="L2018" t="e">
        <f>VLOOKUP(Table1[[#This Row],[CountryCode]],[1]!Table1[#Data],4,FALSE)</f>
        <v>#REF!</v>
      </c>
    </row>
    <row r="2019" spans="1:12" hidden="1" x14ac:dyDescent="0.3">
      <c r="A2019" t="s">
        <v>15</v>
      </c>
      <c r="B2019" t="s">
        <v>16</v>
      </c>
      <c r="C2019" t="s">
        <v>125</v>
      </c>
      <c r="D2019" t="s">
        <v>126</v>
      </c>
      <c r="E2019">
        <v>2005</v>
      </c>
      <c r="F2019" s="1">
        <v>10</v>
      </c>
      <c r="G2019">
        <v>2000</v>
      </c>
      <c r="H2019">
        <f>AVERAGEIFS(Table1[value],Table1[IndicatorCode],Table1[[#This Row],[IndicatorCode]])</f>
        <v>7.6894248608534319</v>
      </c>
      <c r="I2019" cm="1">
        <f t="array" ref="I2019">_xlfn.STDEV.P(IF(Table1[IndicatorCode]=Table1[[#This Row],[IndicatorCode]],Table1[value]))</f>
        <v>5.2319501044600996</v>
      </c>
      <c r="J2019">
        <f>(Table1[[#This Row],[value]] - Table1[[#This Row],[mean]]) / Table1[[#This Row],[std_dev]]</f>
        <v>0.44162790030754762</v>
      </c>
      <c r="K2019">
        <f>AVERAGEIF(Table1[CountryCode],Table1[[#This Row],[CountryCode]],Table1[z-score])</f>
        <v>0.26765264295626828</v>
      </c>
      <c r="L2019" t="e">
        <f>VLOOKUP(Table1[[#This Row],[CountryCode]],[1]!Table1[#Data],4,FALSE)</f>
        <v>#REF!</v>
      </c>
    </row>
    <row r="2020" spans="1:12" hidden="1" x14ac:dyDescent="0.3">
      <c r="A2020" t="s">
        <v>15</v>
      </c>
      <c r="B2020" t="s">
        <v>16</v>
      </c>
      <c r="C2020" t="s">
        <v>125</v>
      </c>
      <c r="D2020" t="s">
        <v>126</v>
      </c>
      <c r="E2020">
        <v>2006</v>
      </c>
      <c r="F2020" s="1">
        <v>9</v>
      </c>
      <c r="G2020">
        <v>2000</v>
      </c>
      <c r="H2020">
        <f>AVERAGEIFS(Table1[value],Table1[IndicatorCode],Table1[[#This Row],[IndicatorCode]])</f>
        <v>7.6894248608534319</v>
      </c>
      <c r="I2020" cm="1">
        <f t="array" ref="I2020">_xlfn.STDEV.P(IF(Table1[IndicatorCode]=Table1[[#This Row],[IndicatorCode]],Table1[value]))</f>
        <v>5.2319501044600996</v>
      </c>
      <c r="J2020">
        <f>(Table1[[#This Row],[value]] - Table1[[#This Row],[mean]]) / Table1[[#This Row],[std_dev]]</f>
        <v>0.25049457907278921</v>
      </c>
      <c r="K2020">
        <f>AVERAGEIF(Table1[CountryCode],Table1[[#This Row],[CountryCode]],Table1[z-score])</f>
        <v>0.26765264295626828</v>
      </c>
      <c r="L2020" t="e">
        <f>VLOOKUP(Table1[[#This Row],[CountryCode]],[1]!Table1[#Data],4,FALSE)</f>
        <v>#REF!</v>
      </c>
    </row>
    <row r="2021" spans="1:12" hidden="1" x14ac:dyDescent="0.3">
      <c r="A2021" t="s">
        <v>15</v>
      </c>
      <c r="B2021" t="s">
        <v>16</v>
      </c>
      <c r="C2021" t="s">
        <v>125</v>
      </c>
      <c r="D2021" t="s">
        <v>126</v>
      </c>
      <c r="E2021">
        <v>2007</v>
      </c>
      <c r="F2021" s="1">
        <v>9</v>
      </c>
      <c r="G2021">
        <v>2010</v>
      </c>
      <c r="H2021">
        <f>AVERAGEIFS(Table1[value],Table1[IndicatorCode],Table1[[#This Row],[IndicatorCode]])</f>
        <v>7.6894248608534319</v>
      </c>
      <c r="I2021" cm="1">
        <f t="array" ref="I2021">_xlfn.STDEV.P(IF(Table1[IndicatorCode]=Table1[[#This Row],[IndicatorCode]],Table1[value]))</f>
        <v>5.2319501044600996</v>
      </c>
      <c r="J2021">
        <f>(Table1[[#This Row],[value]] - Table1[[#This Row],[mean]]) / Table1[[#This Row],[std_dev]]</f>
        <v>0.25049457907278921</v>
      </c>
      <c r="K2021">
        <f>AVERAGEIF(Table1[CountryCode],Table1[[#This Row],[CountryCode]],Table1[z-score])</f>
        <v>0.26765264295626828</v>
      </c>
      <c r="L2021" t="e">
        <f>VLOOKUP(Table1[[#This Row],[CountryCode]],[1]!Table1[#Data],4,FALSE)</f>
        <v>#REF!</v>
      </c>
    </row>
    <row r="2022" spans="1:12" hidden="1" x14ac:dyDescent="0.3">
      <c r="A2022" t="s">
        <v>15</v>
      </c>
      <c r="B2022" t="s">
        <v>16</v>
      </c>
      <c r="C2022" t="s">
        <v>125</v>
      </c>
      <c r="D2022" t="s">
        <v>126</v>
      </c>
      <c r="E2022">
        <v>2008</v>
      </c>
      <c r="F2022" s="1">
        <v>9</v>
      </c>
      <c r="G2022">
        <v>2010</v>
      </c>
      <c r="H2022">
        <f>AVERAGEIFS(Table1[value],Table1[IndicatorCode],Table1[[#This Row],[IndicatorCode]])</f>
        <v>7.6894248608534319</v>
      </c>
      <c r="I2022" cm="1">
        <f t="array" ref="I2022">_xlfn.STDEV.P(IF(Table1[IndicatorCode]=Table1[[#This Row],[IndicatorCode]],Table1[value]))</f>
        <v>5.2319501044600996</v>
      </c>
      <c r="J2022">
        <f>(Table1[[#This Row],[value]] - Table1[[#This Row],[mean]]) / Table1[[#This Row],[std_dev]]</f>
        <v>0.25049457907278921</v>
      </c>
      <c r="K2022">
        <f>AVERAGEIF(Table1[CountryCode],Table1[[#This Row],[CountryCode]],Table1[z-score])</f>
        <v>0.26765264295626828</v>
      </c>
      <c r="L2022" t="e">
        <f>VLOOKUP(Table1[[#This Row],[CountryCode]],[1]!Table1[#Data],4,FALSE)</f>
        <v>#REF!</v>
      </c>
    </row>
    <row r="2023" spans="1:12" hidden="1" x14ac:dyDescent="0.3">
      <c r="A2023" t="s">
        <v>15</v>
      </c>
      <c r="B2023" t="s">
        <v>16</v>
      </c>
      <c r="C2023" t="s">
        <v>125</v>
      </c>
      <c r="D2023" t="s">
        <v>126</v>
      </c>
      <c r="E2023">
        <v>2009</v>
      </c>
      <c r="F2023" s="1">
        <v>8</v>
      </c>
      <c r="G2023">
        <v>2010</v>
      </c>
      <c r="H2023">
        <f>AVERAGEIFS(Table1[value],Table1[IndicatorCode],Table1[[#This Row],[IndicatorCode]])</f>
        <v>7.6894248608534319</v>
      </c>
      <c r="I2023" cm="1">
        <f t="array" ref="I2023">_xlfn.STDEV.P(IF(Table1[IndicatorCode]=Table1[[#This Row],[IndicatorCode]],Table1[value]))</f>
        <v>5.2319501044600996</v>
      </c>
      <c r="J2023">
        <f>(Table1[[#This Row],[value]] - Table1[[#This Row],[mean]]) / Table1[[#This Row],[std_dev]]</f>
        <v>5.9361257838030791E-2</v>
      </c>
      <c r="K2023">
        <f>AVERAGEIF(Table1[CountryCode],Table1[[#This Row],[CountryCode]],Table1[z-score])</f>
        <v>0.26765264295626828</v>
      </c>
      <c r="L2023" t="e">
        <f>VLOOKUP(Table1[[#This Row],[CountryCode]],[1]!Table1[#Data],4,FALSE)</f>
        <v>#REF!</v>
      </c>
    </row>
    <row r="2024" spans="1:12" hidden="1" x14ac:dyDescent="0.3">
      <c r="A2024" t="s">
        <v>15</v>
      </c>
      <c r="B2024" t="s">
        <v>16</v>
      </c>
      <c r="C2024" t="s">
        <v>125</v>
      </c>
      <c r="D2024" t="s">
        <v>126</v>
      </c>
      <c r="E2024">
        <v>2010</v>
      </c>
      <c r="F2024" s="1">
        <v>9</v>
      </c>
      <c r="G2024">
        <v>2010</v>
      </c>
      <c r="H2024">
        <f>AVERAGEIFS(Table1[value],Table1[IndicatorCode],Table1[[#This Row],[IndicatorCode]])</f>
        <v>7.6894248608534319</v>
      </c>
      <c r="I2024" cm="1">
        <f t="array" ref="I2024">_xlfn.STDEV.P(IF(Table1[IndicatorCode]=Table1[[#This Row],[IndicatorCode]],Table1[value]))</f>
        <v>5.2319501044600996</v>
      </c>
      <c r="J2024">
        <f>(Table1[[#This Row],[value]] - Table1[[#This Row],[mean]]) / Table1[[#This Row],[std_dev]]</f>
        <v>0.25049457907278921</v>
      </c>
      <c r="K2024">
        <f>AVERAGEIF(Table1[CountryCode],Table1[[#This Row],[CountryCode]],Table1[z-score])</f>
        <v>0.26765264295626828</v>
      </c>
      <c r="L2024" t="e">
        <f>VLOOKUP(Table1[[#This Row],[CountryCode]],[1]!Table1[#Data],4,FALSE)</f>
        <v>#REF!</v>
      </c>
    </row>
    <row r="2025" spans="1:12" hidden="1" x14ac:dyDescent="0.3">
      <c r="A2025" t="s">
        <v>15</v>
      </c>
      <c r="B2025" t="s">
        <v>16</v>
      </c>
      <c r="C2025" t="s">
        <v>125</v>
      </c>
      <c r="D2025" t="s">
        <v>126</v>
      </c>
      <c r="E2025">
        <v>2011</v>
      </c>
      <c r="F2025" s="1">
        <v>9</v>
      </c>
      <c r="G2025">
        <v>2010</v>
      </c>
      <c r="H2025">
        <f>AVERAGEIFS(Table1[value],Table1[IndicatorCode],Table1[[#This Row],[IndicatorCode]])</f>
        <v>7.6894248608534319</v>
      </c>
      <c r="I2025" cm="1">
        <f t="array" ref="I2025">_xlfn.STDEV.P(IF(Table1[IndicatorCode]=Table1[[#This Row],[IndicatorCode]],Table1[value]))</f>
        <v>5.2319501044600996</v>
      </c>
      <c r="J2025">
        <f>(Table1[[#This Row],[value]] - Table1[[#This Row],[mean]]) / Table1[[#This Row],[std_dev]]</f>
        <v>0.25049457907278921</v>
      </c>
      <c r="K2025">
        <f>AVERAGEIF(Table1[CountryCode],Table1[[#This Row],[CountryCode]],Table1[z-score])</f>
        <v>0.26765264295626828</v>
      </c>
      <c r="L2025" t="e">
        <f>VLOOKUP(Table1[[#This Row],[CountryCode]],[1]!Table1[#Data],4,FALSE)</f>
        <v>#REF!</v>
      </c>
    </row>
    <row r="2026" spans="1:12" hidden="1" x14ac:dyDescent="0.3">
      <c r="A2026" t="s">
        <v>15</v>
      </c>
      <c r="B2026" t="s">
        <v>16</v>
      </c>
      <c r="C2026" t="s">
        <v>125</v>
      </c>
      <c r="D2026" t="s">
        <v>126</v>
      </c>
      <c r="E2026">
        <v>2012</v>
      </c>
      <c r="F2026" s="1">
        <v>8</v>
      </c>
      <c r="G2026">
        <v>2010</v>
      </c>
      <c r="H2026">
        <f>AVERAGEIFS(Table1[value],Table1[IndicatorCode],Table1[[#This Row],[IndicatorCode]])</f>
        <v>7.6894248608534319</v>
      </c>
      <c r="I2026" cm="1">
        <f t="array" ref="I2026">_xlfn.STDEV.P(IF(Table1[IndicatorCode]=Table1[[#This Row],[IndicatorCode]],Table1[value]))</f>
        <v>5.2319501044600996</v>
      </c>
      <c r="J2026">
        <f>(Table1[[#This Row],[value]] - Table1[[#This Row],[mean]]) / Table1[[#This Row],[std_dev]]</f>
        <v>5.9361257838030791E-2</v>
      </c>
      <c r="K2026">
        <f>AVERAGEIF(Table1[CountryCode],Table1[[#This Row],[CountryCode]],Table1[z-score])</f>
        <v>0.26765264295626828</v>
      </c>
      <c r="L2026" t="e">
        <f>VLOOKUP(Table1[[#This Row],[CountryCode]],[1]!Table1[#Data],4,FALSE)</f>
        <v>#REF!</v>
      </c>
    </row>
    <row r="2027" spans="1:12" hidden="1" x14ac:dyDescent="0.3">
      <c r="A2027" t="s">
        <v>15</v>
      </c>
      <c r="B2027" t="s">
        <v>16</v>
      </c>
      <c r="C2027" t="s">
        <v>125</v>
      </c>
      <c r="D2027" t="s">
        <v>126</v>
      </c>
      <c r="E2027">
        <v>2013</v>
      </c>
      <c r="F2027" s="1">
        <v>8</v>
      </c>
      <c r="G2027">
        <v>2010</v>
      </c>
      <c r="H2027">
        <f>AVERAGEIFS(Table1[value],Table1[IndicatorCode],Table1[[#This Row],[IndicatorCode]])</f>
        <v>7.6894248608534319</v>
      </c>
      <c r="I2027" cm="1">
        <f t="array" ref="I2027">_xlfn.STDEV.P(IF(Table1[IndicatorCode]=Table1[[#This Row],[IndicatorCode]],Table1[value]))</f>
        <v>5.2319501044600996</v>
      </c>
      <c r="J2027">
        <f>(Table1[[#This Row],[value]] - Table1[[#This Row],[mean]]) / Table1[[#This Row],[std_dev]]</f>
        <v>5.9361257838030791E-2</v>
      </c>
      <c r="K2027">
        <f>AVERAGEIF(Table1[CountryCode],Table1[[#This Row],[CountryCode]],Table1[z-score])</f>
        <v>0.26765264295626828</v>
      </c>
      <c r="L2027" t="e">
        <f>VLOOKUP(Table1[[#This Row],[CountryCode]],[1]!Table1[#Data],4,FALSE)</f>
        <v>#REF!</v>
      </c>
    </row>
    <row r="2028" spans="1:12" hidden="1" x14ac:dyDescent="0.3">
      <c r="A2028" t="s">
        <v>15</v>
      </c>
      <c r="B2028" t="s">
        <v>16</v>
      </c>
      <c r="C2028" t="s">
        <v>125</v>
      </c>
      <c r="D2028" t="s">
        <v>126</v>
      </c>
      <c r="E2028">
        <v>2014</v>
      </c>
      <c r="F2028" s="1">
        <v>8</v>
      </c>
      <c r="G2028">
        <v>2010</v>
      </c>
      <c r="H2028">
        <f>AVERAGEIFS(Table1[value],Table1[IndicatorCode],Table1[[#This Row],[IndicatorCode]])</f>
        <v>7.6894248608534319</v>
      </c>
      <c r="I2028" cm="1">
        <f t="array" ref="I2028">_xlfn.STDEV.P(IF(Table1[IndicatorCode]=Table1[[#This Row],[IndicatorCode]],Table1[value]))</f>
        <v>5.2319501044600996</v>
      </c>
      <c r="J2028">
        <f>(Table1[[#This Row],[value]] - Table1[[#This Row],[mean]]) / Table1[[#This Row],[std_dev]]</f>
        <v>5.9361257838030791E-2</v>
      </c>
      <c r="K2028">
        <f>AVERAGEIF(Table1[CountryCode],Table1[[#This Row],[CountryCode]],Table1[z-score])</f>
        <v>0.26765264295626828</v>
      </c>
      <c r="L2028" t="e">
        <f>VLOOKUP(Table1[[#This Row],[CountryCode]],[1]!Table1[#Data],4,FALSE)</f>
        <v>#REF!</v>
      </c>
    </row>
    <row r="2029" spans="1:12" hidden="1" x14ac:dyDescent="0.3">
      <c r="A2029" t="s">
        <v>15</v>
      </c>
      <c r="B2029" t="s">
        <v>16</v>
      </c>
      <c r="C2029" t="s">
        <v>125</v>
      </c>
      <c r="D2029" t="s">
        <v>126</v>
      </c>
      <c r="E2029">
        <v>2015</v>
      </c>
      <c r="F2029" s="1">
        <v>8</v>
      </c>
      <c r="G2029">
        <v>2010</v>
      </c>
      <c r="H2029">
        <f>AVERAGEIFS(Table1[value],Table1[IndicatorCode],Table1[[#This Row],[IndicatorCode]])</f>
        <v>7.6894248608534319</v>
      </c>
      <c r="I2029" cm="1">
        <f t="array" ref="I2029">_xlfn.STDEV.P(IF(Table1[IndicatorCode]=Table1[[#This Row],[IndicatorCode]],Table1[value]))</f>
        <v>5.2319501044600996</v>
      </c>
      <c r="J2029">
        <f>(Table1[[#This Row],[value]] - Table1[[#This Row],[mean]]) / Table1[[#This Row],[std_dev]]</f>
        <v>5.9361257838030791E-2</v>
      </c>
      <c r="K2029">
        <f>AVERAGEIF(Table1[CountryCode],Table1[[#This Row],[CountryCode]],Table1[z-score])</f>
        <v>0.26765264295626828</v>
      </c>
      <c r="L2029" t="e">
        <f>VLOOKUP(Table1[[#This Row],[CountryCode]],[1]!Table1[#Data],4,FALSE)</f>
        <v>#REF!</v>
      </c>
    </row>
    <row r="2030" spans="1:12" hidden="1" x14ac:dyDescent="0.3">
      <c r="A2030" t="s">
        <v>15</v>
      </c>
      <c r="B2030" t="s">
        <v>16</v>
      </c>
      <c r="C2030" t="s">
        <v>125</v>
      </c>
      <c r="D2030" t="s">
        <v>126</v>
      </c>
      <c r="E2030">
        <v>2016</v>
      </c>
      <c r="F2030" s="1">
        <v>8</v>
      </c>
      <c r="G2030">
        <v>2010</v>
      </c>
      <c r="H2030">
        <f>AVERAGEIFS(Table1[value],Table1[IndicatorCode],Table1[[#This Row],[IndicatorCode]])</f>
        <v>7.6894248608534319</v>
      </c>
      <c r="I2030" cm="1">
        <f t="array" ref="I2030">_xlfn.STDEV.P(IF(Table1[IndicatorCode]=Table1[[#This Row],[IndicatorCode]],Table1[value]))</f>
        <v>5.2319501044600996</v>
      </c>
      <c r="J2030">
        <f>(Table1[[#This Row],[value]] - Table1[[#This Row],[mean]]) / Table1[[#This Row],[std_dev]]</f>
        <v>5.9361257838030791E-2</v>
      </c>
      <c r="K2030">
        <f>AVERAGEIF(Table1[CountryCode],Table1[[#This Row],[CountryCode]],Table1[z-score])</f>
        <v>0.26765264295626828</v>
      </c>
      <c r="L2030" t="e">
        <f>VLOOKUP(Table1[[#This Row],[CountryCode]],[1]!Table1[#Data],4,FALSE)</f>
        <v>#REF!</v>
      </c>
    </row>
    <row r="2031" spans="1:12" hidden="1" x14ac:dyDescent="0.3">
      <c r="A2031" t="s">
        <v>15</v>
      </c>
      <c r="B2031" t="s">
        <v>16</v>
      </c>
      <c r="C2031" t="s">
        <v>125</v>
      </c>
      <c r="D2031" t="s">
        <v>126</v>
      </c>
      <c r="E2031">
        <v>2017</v>
      </c>
      <c r="F2031" s="1">
        <v>8</v>
      </c>
      <c r="G2031">
        <v>2020</v>
      </c>
      <c r="H2031">
        <f>AVERAGEIFS(Table1[value],Table1[IndicatorCode],Table1[[#This Row],[IndicatorCode]])</f>
        <v>7.6894248608534319</v>
      </c>
      <c r="I2031" cm="1">
        <f t="array" ref="I2031">_xlfn.STDEV.P(IF(Table1[IndicatorCode]=Table1[[#This Row],[IndicatorCode]],Table1[value]))</f>
        <v>5.2319501044600996</v>
      </c>
      <c r="J2031">
        <f>(Table1[[#This Row],[value]] - Table1[[#This Row],[mean]]) / Table1[[#This Row],[std_dev]]</f>
        <v>5.9361257838030791E-2</v>
      </c>
      <c r="K2031">
        <f>AVERAGEIF(Table1[CountryCode],Table1[[#This Row],[CountryCode]],Table1[z-score])</f>
        <v>0.26765264295626828</v>
      </c>
      <c r="L2031" t="e">
        <f>VLOOKUP(Table1[[#This Row],[CountryCode]],[1]!Table1[#Data],4,FALSE)</f>
        <v>#REF!</v>
      </c>
    </row>
    <row r="2032" spans="1:12" hidden="1" x14ac:dyDescent="0.3">
      <c r="A2032" t="s">
        <v>15</v>
      </c>
      <c r="B2032" t="s">
        <v>16</v>
      </c>
      <c r="C2032" t="s">
        <v>125</v>
      </c>
      <c r="D2032" t="s">
        <v>126</v>
      </c>
      <c r="E2032">
        <v>2018</v>
      </c>
      <c r="F2032" s="1">
        <v>8</v>
      </c>
      <c r="G2032">
        <v>2020</v>
      </c>
      <c r="H2032">
        <f>AVERAGEIFS(Table1[value],Table1[IndicatorCode],Table1[[#This Row],[IndicatorCode]])</f>
        <v>7.6894248608534319</v>
      </c>
      <c r="I2032" cm="1">
        <f t="array" ref="I2032">_xlfn.STDEV.P(IF(Table1[IndicatorCode]=Table1[[#This Row],[IndicatorCode]],Table1[value]))</f>
        <v>5.2319501044600996</v>
      </c>
      <c r="J2032">
        <f>(Table1[[#This Row],[value]] - Table1[[#This Row],[mean]]) / Table1[[#This Row],[std_dev]]</f>
        <v>5.9361257838030791E-2</v>
      </c>
      <c r="K2032">
        <f>AVERAGEIF(Table1[CountryCode],Table1[[#This Row],[CountryCode]],Table1[z-score])</f>
        <v>0.26765264295626828</v>
      </c>
      <c r="L2032" t="e">
        <f>VLOOKUP(Table1[[#This Row],[CountryCode]],[1]!Table1[#Data],4,FALSE)</f>
        <v>#REF!</v>
      </c>
    </row>
    <row r="2033" spans="1:12" hidden="1" x14ac:dyDescent="0.3">
      <c r="A2033" t="s">
        <v>15</v>
      </c>
      <c r="B2033" t="s">
        <v>16</v>
      </c>
      <c r="C2033" t="s">
        <v>125</v>
      </c>
      <c r="D2033" t="s">
        <v>126</v>
      </c>
      <c r="E2033">
        <v>2019</v>
      </c>
      <c r="F2033" s="1">
        <v>8</v>
      </c>
      <c r="G2033">
        <v>2020</v>
      </c>
      <c r="H2033">
        <f>AVERAGEIFS(Table1[value],Table1[IndicatorCode],Table1[[#This Row],[IndicatorCode]])</f>
        <v>7.6894248608534319</v>
      </c>
      <c r="I2033" cm="1">
        <f t="array" ref="I2033">_xlfn.STDEV.P(IF(Table1[IndicatorCode]=Table1[[#This Row],[IndicatorCode]],Table1[value]))</f>
        <v>5.2319501044600996</v>
      </c>
      <c r="J2033">
        <f>(Table1[[#This Row],[value]] - Table1[[#This Row],[mean]]) / Table1[[#This Row],[std_dev]]</f>
        <v>5.9361257838030791E-2</v>
      </c>
      <c r="K2033">
        <f>AVERAGEIF(Table1[CountryCode],Table1[[#This Row],[CountryCode]],Table1[z-score])</f>
        <v>0.26765264295626828</v>
      </c>
      <c r="L2033" t="e">
        <f>VLOOKUP(Table1[[#This Row],[CountryCode]],[1]!Table1[#Data],4,FALSE)</f>
        <v>#REF!</v>
      </c>
    </row>
    <row r="2034" spans="1:12" x14ac:dyDescent="0.3">
      <c r="A2034" t="s">
        <v>15</v>
      </c>
      <c r="B2034" t="s">
        <v>16</v>
      </c>
      <c r="C2034" t="s">
        <v>125</v>
      </c>
      <c r="D2034" t="s">
        <v>126</v>
      </c>
      <c r="E2034">
        <v>2020</v>
      </c>
      <c r="F2034" s="1">
        <v>7</v>
      </c>
      <c r="G2034">
        <v>2020</v>
      </c>
      <c r="H2034">
        <f>AVERAGEIFS(Table1[value],Table1[IndicatorCode],Table1[[#This Row],[IndicatorCode]])</f>
        <v>7.6894248608534319</v>
      </c>
      <c r="I2034" cm="1">
        <f t="array" ref="I2034">_xlfn.STDEV.P(IF(Table1[IndicatorCode]=Table1[[#This Row],[IndicatorCode]],Table1[value]))</f>
        <v>5.2319501044600996</v>
      </c>
      <c r="J2034">
        <f>(Table1[[#This Row],[value]] - Table1[[#This Row],[mean]]) / Table1[[#This Row],[std_dev]]</f>
        <v>-0.13177206339672762</v>
      </c>
      <c r="K2034">
        <f>AVERAGEIF(Table1[CountryCode],Table1[[#This Row],[CountryCode]],Table1[z-score])</f>
        <v>0.26765264295626828</v>
      </c>
    </row>
    <row r="2035" spans="1:12" hidden="1" x14ac:dyDescent="0.3">
      <c r="A2035" t="s">
        <v>15</v>
      </c>
      <c r="B2035" t="s">
        <v>16</v>
      </c>
      <c r="C2035" t="s">
        <v>125</v>
      </c>
      <c r="D2035" t="s">
        <v>126</v>
      </c>
      <c r="E2035">
        <v>2021</v>
      </c>
      <c r="F2035" s="1">
        <v>7</v>
      </c>
      <c r="G2035">
        <v>2020</v>
      </c>
      <c r="H2035">
        <f>AVERAGEIFS(Table1[value],Table1[IndicatorCode],Table1[[#This Row],[IndicatorCode]])</f>
        <v>7.6894248608534319</v>
      </c>
      <c r="I2035" cm="1">
        <f t="array" ref="I2035">_xlfn.STDEV.P(IF(Table1[IndicatorCode]=Table1[[#This Row],[IndicatorCode]],Table1[value]))</f>
        <v>5.2319501044600996</v>
      </c>
      <c r="J2035">
        <f>(Table1[[#This Row],[value]] - Table1[[#This Row],[mean]]) / Table1[[#This Row],[std_dev]]</f>
        <v>-0.13177206339672762</v>
      </c>
      <c r="K2035">
        <f>AVERAGEIF(Table1[CountryCode],Table1[[#This Row],[CountryCode]],Table1[z-score])</f>
        <v>0.26765264295626828</v>
      </c>
      <c r="L2035" t="e">
        <f>VLOOKUP(Table1[[#This Row],[CountryCode]],[1]!Table1[#Data],4,FALSE)</f>
        <v>#REF!</v>
      </c>
    </row>
    <row r="2036" spans="1:12" hidden="1" x14ac:dyDescent="0.3">
      <c r="A2036" t="s">
        <v>15</v>
      </c>
      <c r="B2036" t="s">
        <v>16</v>
      </c>
      <c r="C2036" t="s">
        <v>125</v>
      </c>
      <c r="D2036" t="s">
        <v>126</v>
      </c>
      <c r="E2036">
        <v>2022</v>
      </c>
      <c r="F2036" s="1">
        <v>7</v>
      </c>
      <c r="G2036">
        <v>1970</v>
      </c>
      <c r="H2036">
        <f>AVERAGEIFS(Table1[value],Table1[IndicatorCode],Table1[[#This Row],[IndicatorCode]])</f>
        <v>7.6894248608534319</v>
      </c>
      <c r="I2036" cm="1">
        <f t="array" ref="I2036">_xlfn.STDEV.P(IF(Table1[IndicatorCode]=Table1[[#This Row],[IndicatorCode]],Table1[value]))</f>
        <v>5.2319501044600996</v>
      </c>
      <c r="J2036">
        <f>(Table1[[#This Row],[value]] - Table1[[#This Row],[mean]]) / Table1[[#This Row],[std_dev]]</f>
        <v>-0.13177206339672762</v>
      </c>
      <c r="K2036">
        <f>AVERAGEIF(Table1[CountryCode],Table1[[#This Row],[CountryCode]],Table1[z-score])</f>
        <v>0.26765264295626828</v>
      </c>
      <c r="L2036" t="e">
        <f>VLOOKUP(Table1[[#This Row],[CountryCode]],[1]!Table1[#Data],4,FALSE)</f>
        <v>#REF!</v>
      </c>
    </row>
    <row r="2037" spans="1:12" hidden="1" x14ac:dyDescent="0.3">
      <c r="A2037" t="s">
        <v>15</v>
      </c>
      <c r="B2037" t="s">
        <v>16</v>
      </c>
      <c r="C2037" t="s">
        <v>125</v>
      </c>
      <c r="D2037" t="s">
        <v>126</v>
      </c>
      <c r="E2037">
        <v>2023</v>
      </c>
      <c r="F2037" s="1">
        <v>6</v>
      </c>
      <c r="G2037">
        <v>1970</v>
      </c>
      <c r="H2037">
        <f>AVERAGEIFS(Table1[value],Table1[IndicatorCode],Table1[[#This Row],[IndicatorCode]])</f>
        <v>7.6894248608534319</v>
      </c>
      <c r="I2037" cm="1">
        <f t="array" ref="I2037">_xlfn.STDEV.P(IF(Table1[IndicatorCode]=Table1[[#This Row],[IndicatorCode]],Table1[value]))</f>
        <v>5.2319501044600996</v>
      </c>
      <c r="J2037">
        <f>(Table1[[#This Row],[value]] - Table1[[#This Row],[mean]]) / Table1[[#This Row],[std_dev]]</f>
        <v>-0.32290538463148605</v>
      </c>
      <c r="K2037">
        <f>AVERAGEIF(Table1[CountryCode],Table1[[#This Row],[CountryCode]],Table1[z-score])</f>
        <v>0.26765264295626828</v>
      </c>
      <c r="L2037" t="e">
        <f>VLOOKUP(Table1[[#This Row],[CountryCode]],[1]!Table1[#Data],4,FALSE)</f>
        <v>#REF!</v>
      </c>
    </row>
    <row r="2038" spans="1:12" hidden="1" x14ac:dyDescent="0.3">
      <c r="A2038" t="s">
        <v>15</v>
      </c>
      <c r="B2038" t="s">
        <v>16</v>
      </c>
      <c r="C2038" t="s">
        <v>125</v>
      </c>
      <c r="D2038" t="s">
        <v>126</v>
      </c>
      <c r="E2038">
        <v>2024</v>
      </c>
      <c r="F2038" s="1">
        <v>6</v>
      </c>
      <c r="G2038">
        <v>1970</v>
      </c>
      <c r="H2038">
        <f>AVERAGEIFS(Table1[value],Table1[IndicatorCode],Table1[[#This Row],[IndicatorCode]])</f>
        <v>7.6894248608534319</v>
      </c>
      <c r="I2038" cm="1">
        <f t="array" ref="I2038">_xlfn.STDEV.P(IF(Table1[IndicatorCode]=Table1[[#This Row],[IndicatorCode]],Table1[value]))</f>
        <v>5.2319501044600996</v>
      </c>
      <c r="J2038">
        <f>(Table1[[#This Row],[value]] - Table1[[#This Row],[mean]]) / Table1[[#This Row],[std_dev]]</f>
        <v>-0.32290538463148605</v>
      </c>
      <c r="K2038">
        <f>AVERAGEIF(Table1[CountryCode],Table1[[#This Row],[CountryCode]],Table1[z-score])</f>
        <v>0.26765264295626828</v>
      </c>
      <c r="L2038" t="e">
        <f>VLOOKUP(Table1[[#This Row],[CountryCode]],[1]!Table1[#Data],4,FALSE)</f>
        <v>#REF!</v>
      </c>
    </row>
    <row r="2039" spans="1:12" hidden="1" x14ac:dyDescent="0.3">
      <c r="A2039" t="s">
        <v>17</v>
      </c>
      <c r="B2039" t="s">
        <v>18</v>
      </c>
      <c r="C2039" t="s">
        <v>125</v>
      </c>
      <c r="D2039" t="s">
        <v>126</v>
      </c>
      <c r="E2039">
        <v>1970</v>
      </c>
      <c r="F2039" s="1">
        <v>5</v>
      </c>
      <c r="G2039">
        <v>1970</v>
      </c>
      <c r="H2039">
        <f>AVERAGEIFS(Table1[value],Table1[IndicatorCode],Table1[[#This Row],[IndicatorCode]])</f>
        <v>7.6894248608534319</v>
      </c>
      <c r="I2039" cm="1">
        <f t="array" ref="I2039">_xlfn.STDEV.P(IF(Table1[IndicatorCode]=Table1[[#This Row],[IndicatorCode]],Table1[value]))</f>
        <v>5.2319501044600996</v>
      </c>
      <c r="J2039">
        <f>(Table1[[#This Row],[value]] - Table1[[#This Row],[mean]]) / Table1[[#This Row],[std_dev]]</f>
        <v>-0.51403870586624445</v>
      </c>
      <c r="K2039">
        <f>AVERAGEIF(Table1[CountryCode],Table1[[#This Row],[CountryCode]],Table1[z-score])</f>
        <v>-0.86099801634454787</v>
      </c>
      <c r="L2039" t="e">
        <f>VLOOKUP(Table1[[#This Row],[CountryCode]],[1]!Table1[#Data],4,FALSE)</f>
        <v>#REF!</v>
      </c>
    </row>
    <row r="2040" spans="1:12" hidden="1" x14ac:dyDescent="0.3">
      <c r="A2040" t="s">
        <v>17</v>
      </c>
      <c r="B2040" t="s">
        <v>18</v>
      </c>
      <c r="C2040" t="s">
        <v>125</v>
      </c>
      <c r="D2040" t="s">
        <v>126</v>
      </c>
      <c r="E2040">
        <v>1971</v>
      </c>
      <c r="F2040" s="1">
        <v>5</v>
      </c>
      <c r="G2040">
        <v>1970</v>
      </c>
      <c r="H2040">
        <f>AVERAGEIFS(Table1[value],Table1[IndicatorCode],Table1[[#This Row],[IndicatorCode]])</f>
        <v>7.6894248608534319</v>
      </c>
      <c r="I2040" cm="1">
        <f t="array" ref="I2040">_xlfn.STDEV.P(IF(Table1[IndicatorCode]=Table1[[#This Row],[IndicatorCode]],Table1[value]))</f>
        <v>5.2319501044600996</v>
      </c>
      <c r="J2040">
        <f>(Table1[[#This Row],[value]] - Table1[[#This Row],[mean]]) / Table1[[#This Row],[std_dev]]</f>
        <v>-0.51403870586624445</v>
      </c>
      <c r="K2040">
        <f>AVERAGEIF(Table1[CountryCode],Table1[[#This Row],[CountryCode]],Table1[z-score])</f>
        <v>-0.86099801634454787</v>
      </c>
      <c r="L2040" t="e">
        <f>VLOOKUP(Table1[[#This Row],[CountryCode]],[1]!Table1[#Data],4,FALSE)</f>
        <v>#REF!</v>
      </c>
    </row>
    <row r="2041" spans="1:12" hidden="1" x14ac:dyDescent="0.3">
      <c r="A2041" t="s">
        <v>17</v>
      </c>
      <c r="B2041" t="s">
        <v>18</v>
      </c>
      <c r="C2041" t="s">
        <v>125</v>
      </c>
      <c r="D2041" t="s">
        <v>126</v>
      </c>
      <c r="E2041">
        <v>1972</v>
      </c>
      <c r="F2041" s="1">
        <v>5</v>
      </c>
      <c r="G2041">
        <v>1970</v>
      </c>
      <c r="H2041">
        <f>AVERAGEIFS(Table1[value],Table1[IndicatorCode],Table1[[#This Row],[IndicatorCode]])</f>
        <v>7.6894248608534319</v>
      </c>
      <c r="I2041" cm="1">
        <f t="array" ref="I2041">_xlfn.STDEV.P(IF(Table1[IndicatorCode]=Table1[[#This Row],[IndicatorCode]],Table1[value]))</f>
        <v>5.2319501044600996</v>
      </c>
      <c r="J2041">
        <f>(Table1[[#This Row],[value]] - Table1[[#This Row],[mean]]) / Table1[[#This Row],[std_dev]]</f>
        <v>-0.51403870586624445</v>
      </c>
      <c r="K2041">
        <f>AVERAGEIF(Table1[CountryCode],Table1[[#This Row],[CountryCode]],Table1[z-score])</f>
        <v>-0.86099801634454787</v>
      </c>
      <c r="L2041" t="e">
        <f>VLOOKUP(Table1[[#This Row],[CountryCode]],[1]!Table1[#Data],4,FALSE)</f>
        <v>#REF!</v>
      </c>
    </row>
    <row r="2042" spans="1:12" hidden="1" x14ac:dyDescent="0.3">
      <c r="A2042" t="s">
        <v>17</v>
      </c>
      <c r="B2042" t="s">
        <v>18</v>
      </c>
      <c r="C2042" t="s">
        <v>125</v>
      </c>
      <c r="D2042" t="s">
        <v>126</v>
      </c>
      <c r="E2042">
        <v>1973</v>
      </c>
      <c r="F2042" s="1">
        <v>5</v>
      </c>
      <c r="G2042">
        <v>1970</v>
      </c>
      <c r="H2042">
        <f>AVERAGEIFS(Table1[value],Table1[IndicatorCode],Table1[[#This Row],[IndicatorCode]])</f>
        <v>7.6894248608534319</v>
      </c>
      <c r="I2042" cm="1">
        <f t="array" ref="I2042">_xlfn.STDEV.P(IF(Table1[IndicatorCode]=Table1[[#This Row],[IndicatorCode]],Table1[value]))</f>
        <v>5.2319501044600996</v>
      </c>
      <c r="J2042">
        <f>(Table1[[#This Row],[value]] - Table1[[#This Row],[mean]]) / Table1[[#This Row],[std_dev]]</f>
        <v>-0.51403870586624445</v>
      </c>
      <c r="K2042">
        <f>AVERAGEIF(Table1[CountryCode],Table1[[#This Row],[CountryCode]],Table1[z-score])</f>
        <v>-0.86099801634454787</v>
      </c>
      <c r="L2042" t="e">
        <f>VLOOKUP(Table1[[#This Row],[CountryCode]],[1]!Table1[#Data],4,FALSE)</f>
        <v>#REF!</v>
      </c>
    </row>
    <row r="2043" spans="1:12" hidden="1" x14ac:dyDescent="0.3">
      <c r="A2043" t="s">
        <v>17</v>
      </c>
      <c r="B2043" t="s">
        <v>18</v>
      </c>
      <c r="C2043" t="s">
        <v>125</v>
      </c>
      <c r="D2043" t="s">
        <v>126</v>
      </c>
      <c r="E2043">
        <v>1974</v>
      </c>
      <c r="F2043" s="1">
        <v>5</v>
      </c>
      <c r="G2043">
        <v>1970</v>
      </c>
      <c r="H2043">
        <f>AVERAGEIFS(Table1[value],Table1[IndicatorCode],Table1[[#This Row],[IndicatorCode]])</f>
        <v>7.6894248608534319</v>
      </c>
      <c r="I2043" cm="1">
        <f t="array" ref="I2043">_xlfn.STDEV.P(IF(Table1[IndicatorCode]=Table1[[#This Row],[IndicatorCode]],Table1[value]))</f>
        <v>5.2319501044600996</v>
      </c>
      <c r="J2043">
        <f>(Table1[[#This Row],[value]] - Table1[[#This Row],[mean]]) / Table1[[#This Row],[std_dev]]</f>
        <v>-0.51403870586624445</v>
      </c>
      <c r="K2043">
        <f>AVERAGEIF(Table1[CountryCode],Table1[[#This Row],[CountryCode]],Table1[z-score])</f>
        <v>-0.86099801634454787</v>
      </c>
      <c r="L2043" t="e">
        <f>VLOOKUP(Table1[[#This Row],[CountryCode]],[1]!Table1[#Data],4,FALSE)</f>
        <v>#REF!</v>
      </c>
    </row>
    <row r="2044" spans="1:12" hidden="1" x14ac:dyDescent="0.3">
      <c r="A2044" t="s">
        <v>17</v>
      </c>
      <c r="B2044" t="s">
        <v>18</v>
      </c>
      <c r="C2044" t="s">
        <v>125</v>
      </c>
      <c r="D2044" t="s">
        <v>126</v>
      </c>
      <c r="E2044">
        <v>1975</v>
      </c>
      <c r="F2044" s="1">
        <v>6</v>
      </c>
      <c r="G2044">
        <v>1970</v>
      </c>
      <c r="H2044">
        <f>AVERAGEIFS(Table1[value],Table1[IndicatorCode],Table1[[#This Row],[IndicatorCode]])</f>
        <v>7.6894248608534319</v>
      </c>
      <c r="I2044" cm="1">
        <f t="array" ref="I2044">_xlfn.STDEV.P(IF(Table1[IndicatorCode]=Table1[[#This Row],[IndicatorCode]],Table1[value]))</f>
        <v>5.2319501044600996</v>
      </c>
      <c r="J2044">
        <f>(Table1[[#This Row],[value]] - Table1[[#This Row],[mean]]) / Table1[[#This Row],[std_dev]]</f>
        <v>-0.32290538463148605</v>
      </c>
      <c r="K2044">
        <f>AVERAGEIF(Table1[CountryCode],Table1[[#This Row],[CountryCode]],Table1[z-score])</f>
        <v>-0.86099801634454787</v>
      </c>
      <c r="L2044" t="e">
        <f>VLOOKUP(Table1[[#This Row],[CountryCode]],[1]!Table1[#Data],4,FALSE)</f>
        <v>#REF!</v>
      </c>
    </row>
    <row r="2045" spans="1:12" hidden="1" x14ac:dyDescent="0.3">
      <c r="A2045" t="s">
        <v>17</v>
      </c>
      <c r="B2045" t="s">
        <v>18</v>
      </c>
      <c r="C2045" t="s">
        <v>125</v>
      </c>
      <c r="D2045" t="s">
        <v>126</v>
      </c>
      <c r="E2045">
        <v>1976</v>
      </c>
      <c r="F2045" s="1">
        <v>6</v>
      </c>
      <c r="G2045">
        <v>1970</v>
      </c>
      <c r="H2045">
        <f>AVERAGEIFS(Table1[value],Table1[IndicatorCode],Table1[[#This Row],[IndicatorCode]])</f>
        <v>7.6894248608534319</v>
      </c>
      <c r="I2045" cm="1">
        <f t="array" ref="I2045">_xlfn.STDEV.P(IF(Table1[IndicatorCode]=Table1[[#This Row],[IndicatorCode]],Table1[value]))</f>
        <v>5.2319501044600996</v>
      </c>
      <c r="J2045">
        <f>(Table1[[#This Row],[value]] - Table1[[#This Row],[mean]]) / Table1[[#This Row],[std_dev]]</f>
        <v>-0.32290538463148605</v>
      </c>
      <c r="K2045">
        <f>AVERAGEIF(Table1[CountryCode],Table1[[#This Row],[CountryCode]],Table1[z-score])</f>
        <v>-0.86099801634454787</v>
      </c>
      <c r="L2045" t="e">
        <f>VLOOKUP(Table1[[#This Row],[CountryCode]],[1]!Table1[#Data],4,FALSE)</f>
        <v>#REF!</v>
      </c>
    </row>
    <row r="2046" spans="1:12" hidden="1" x14ac:dyDescent="0.3">
      <c r="A2046" t="s">
        <v>17</v>
      </c>
      <c r="B2046" t="s">
        <v>18</v>
      </c>
      <c r="C2046" t="s">
        <v>125</v>
      </c>
      <c r="D2046" t="s">
        <v>126</v>
      </c>
      <c r="E2046">
        <v>1977</v>
      </c>
      <c r="F2046" s="1">
        <v>6</v>
      </c>
      <c r="G2046">
        <v>1980</v>
      </c>
      <c r="H2046">
        <f>AVERAGEIFS(Table1[value],Table1[IndicatorCode],Table1[[#This Row],[IndicatorCode]])</f>
        <v>7.6894248608534319</v>
      </c>
      <c r="I2046" cm="1">
        <f t="array" ref="I2046">_xlfn.STDEV.P(IF(Table1[IndicatorCode]=Table1[[#This Row],[IndicatorCode]],Table1[value]))</f>
        <v>5.2319501044600996</v>
      </c>
      <c r="J2046">
        <f>(Table1[[#This Row],[value]] - Table1[[#This Row],[mean]]) / Table1[[#This Row],[std_dev]]</f>
        <v>-0.32290538463148605</v>
      </c>
      <c r="K2046">
        <f>AVERAGEIF(Table1[CountryCode],Table1[[#This Row],[CountryCode]],Table1[z-score])</f>
        <v>-0.86099801634454787</v>
      </c>
      <c r="L2046" t="e">
        <f>VLOOKUP(Table1[[#This Row],[CountryCode]],[1]!Table1[#Data],4,FALSE)</f>
        <v>#REF!</v>
      </c>
    </row>
    <row r="2047" spans="1:12" hidden="1" x14ac:dyDescent="0.3">
      <c r="A2047" t="s">
        <v>17</v>
      </c>
      <c r="B2047" t="s">
        <v>18</v>
      </c>
      <c r="C2047" t="s">
        <v>125</v>
      </c>
      <c r="D2047" t="s">
        <v>126</v>
      </c>
      <c r="E2047">
        <v>1978</v>
      </c>
      <c r="F2047" s="1">
        <v>6</v>
      </c>
      <c r="G2047">
        <v>1980</v>
      </c>
      <c r="H2047">
        <f>AVERAGEIFS(Table1[value],Table1[IndicatorCode],Table1[[#This Row],[IndicatorCode]])</f>
        <v>7.6894248608534319</v>
      </c>
      <c r="I2047" cm="1">
        <f t="array" ref="I2047">_xlfn.STDEV.P(IF(Table1[IndicatorCode]=Table1[[#This Row],[IndicatorCode]],Table1[value]))</f>
        <v>5.2319501044600996</v>
      </c>
      <c r="J2047">
        <f>(Table1[[#This Row],[value]] - Table1[[#This Row],[mean]]) / Table1[[#This Row],[std_dev]]</f>
        <v>-0.32290538463148605</v>
      </c>
      <c r="K2047">
        <f>AVERAGEIF(Table1[CountryCode],Table1[[#This Row],[CountryCode]],Table1[z-score])</f>
        <v>-0.86099801634454787</v>
      </c>
      <c r="L2047" t="e">
        <f>VLOOKUP(Table1[[#This Row],[CountryCode]],[1]!Table1[#Data],4,FALSE)</f>
        <v>#REF!</v>
      </c>
    </row>
    <row r="2048" spans="1:12" hidden="1" x14ac:dyDescent="0.3">
      <c r="A2048" t="s">
        <v>17</v>
      </c>
      <c r="B2048" t="s">
        <v>18</v>
      </c>
      <c r="C2048" t="s">
        <v>125</v>
      </c>
      <c r="D2048" t="s">
        <v>126</v>
      </c>
      <c r="E2048">
        <v>1979</v>
      </c>
      <c r="F2048" s="1">
        <v>6</v>
      </c>
      <c r="G2048">
        <v>1980</v>
      </c>
      <c r="H2048">
        <f>AVERAGEIFS(Table1[value],Table1[IndicatorCode],Table1[[#This Row],[IndicatorCode]])</f>
        <v>7.6894248608534319</v>
      </c>
      <c r="I2048" cm="1">
        <f t="array" ref="I2048">_xlfn.STDEV.P(IF(Table1[IndicatorCode]=Table1[[#This Row],[IndicatorCode]],Table1[value]))</f>
        <v>5.2319501044600996</v>
      </c>
      <c r="J2048">
        <f>(Table1[[#This Row],[value]] - Table1[[#This Row],[mean]]) / Table1[[#This Row],[std_dev]]</f>
        <v>-0.32290538463148605</v>
      </c>
      <c r="K2048">
        <f>AVERAGEIF(Table1[CountryCode],Table1[[#This Row],[CountryCode]],Table1[z-score])</f>
        <v>-0.86099801634454787</v>
      </c>
      <c r="L2048" t="e">
        <f>VLOOKUP(Table1[[#This Row],[CountryCode]],[1]!Table1[#Data],4,FALSE)</f>
        <v>#REF!</v>
      </c>
    </row>
    <row r="2049" spans="1:12" hidden="1" x14ac:dyDescent="0.3">
      <c r="A2049" t="s">
        <v>17</v>
      </c>
      <c r="B2049" t="s">
        <v>18</v>
      </c>
      <c r="C2049" t="s">
        <v>125</v>
      </c>
      <c r="D2049" t="s">
        <v>126</v>
      </c>
      <c r="E2049">
        <v>1980</v>
      </c>
      <c r="F2049" s="1">
        <v>7</v>
      </c>
      <c r="G2049">
        <v>1980</v>
      </c>
      <c r="H2049">
        <f>AVERAGEIFS(Table1[value],Table1[IndicatorCode],Table1[[#This Row],[IndicatorCode]])</f>
        <v>7.6894248608534319</v>
      </c>
      <c r="I2049" cm="1">
        <f t="array" ref="I2049">_xlfn.STDEV.P(IF(Table1[IndicatorCode]=Table1[[#This Row],[IndicatorCode]],Table1[value]))</f>
        <v>5.2319501044600996</v>
      </c>
      <c r="J2049">
        <f>(Table1[[#This Row],[value]] - Table1[[#This Row],[mean]]) / Table1[[#This Row],[std_dev]]</f>
        <v>-0.13177206339672762</v>
      </c>
      <c r="K2049">
        <f>AVERAGEIF(Table1[CountryCode],Table1[[#This Row],[CountryCode]],Table1[z-score])</f>
        <v>-0.86099801634454787</v>
      </c>
      <c r="L2049" t="e">
        <f>VLOOKUP(Table1[[#This Row],[CountryCode]],[1]!Table1[#Data],4,FALSE)</f>
        <v>#REF!</v>
      </c>
    </row>
    <row r="2050" spans="1:12" hidden="1" x14ac:dyDescent="0.3">
      <c r="A2050" t="s">
        <v>17</v>
      </c>
      <c r="B2050" t="s">
        <v>18</v>
      </c>
      <c r="C2050" t="s">
        <v>125</v>
      </c>
      <c r="D2050" t="s">
        <v>126</v>
      </c>
      <c r="E2050">
        <v>1981</v>
      </c>
      <c r="F2050" s="1">
        <v>7</v>
      </c>
      <c r="G2050">
        <v>1980</v>
      </c>
      <c r="H2050">
        <f>AVERAGEIFS(Table1[value],Table1[IndicatorCode],Table1[[#This Row],[IndicatorCode]])</f>
        <v>7.6894248608534319</v>
      </c>
      <c r="I2050" cm="1">
        <f t="array" ref="I2050">_xlfn.STDEV.P(IF(Table1[IndicatorCode]=Table1[[#This Row],[IndicatorCode]],Table1[value]))</f>
        <v>5.2319501044600996</v>
      </c>
      <c r="J2050">
        <f>(Table1[[#This Row],[value]] - Table1[[#This Row],[mean]]) / Table1[[#This Row],[std_dev]]</f>
        <v>-0.13177206339672762</v>
      </c>
      <c r="K2050">
        <f>AVERAGEIF(Table1[CountryCode],Table1[[#This Row],[CountryCode]],Table1[z-score])</f>
        <v>-0.86099801634454787</v>
      </c>
      <c r="L2050" t="e">
        <f>VLOOKUP(Table1[[#This Row],[CountryCode]],[1]!Table1[#Data],4,FALSE)</f>
        <v>#REF!</v>
      </c>
    </row>
    <row r="2051" spans="1:12" hidden="1" x14ac:dyDescent="0.3">
      <c r="A2051" t="s">
        <v>17</v>
      </c>
      <c r="B2051" t="s">
        <v>18</v>
      </c>
      <c r="C2051" t="s">
        <v>125</v>
      </c>
      <c r="D2051" t="s">
        <v>126</v>
      </c>
      <c r="E2051">
        <v>1982</v>
      </c>
      <c r="F2051" s="1">
        <v>7</v>
      </c>
      <c r="G2051">
        <v>1980</v>
      </c>
      <c r="H2051">
        <f>AVERAGEIFS(Table1[value],Table1[IndicatorCode],Table1[[#This Row],[IndicatorCode]])</f>
        <v>7.6894248608534319</v>
      </c>
      <c r="I2051" cm="1">
        <f t="array" ref="I2051">_xlfn.STDEV.P(IF(Table1[IndicatorCode]=Table1[[#This Row],[IndicatorCode]],Table1[value]))</f>
        <v>5.2319501044600996</v>
      </c>
      <c r="J2051">
        <f>(Table1[[#This Row],[value]] - Table1[[#This Row],[mean]]) / Table1[[#This Row],[std_dev]]</f>
        <v>-0.13177206339672762</v>
      </c>
      <c r="K2051">
        <f>AVERAGEIF(Table1[CountryCode],Table1[[#This Row],[CountryCode]],Table1[z-score])</f>
        <v>-0.86099801634454787</v>
      </c>
      <c r="L2051" t="e">
        <f>VLOOKUP(Table1[[#This Row],[CountryCode]],[1]!Table1[#Data],4,FALSE)</f>
        <v>#REF!</v>
      </c>
    </row>
    <row r="2052" spans="1:12" hidden="1" x14ac:dyDescent="0.3">
      <c r="A2052" t="s">
        <v>17</v>
      </c>
      <c r="B2052" t="s">
        <v>18</v>
      </c>
      <c r="C2052" t="s">
        <v>125</v>
      </c>
      <c r="D2052" t="s">
        <v>126</v>
      </c>
      <c r="E2052">
        <v>1983</v>
      </c>
      <c r="F2052" s="1">
        <v>7</v>
      </c>
      <c r="G2052">
        <v>1980</v>
      </c>
      <c r="H2052">
        <f>AVERAGEIFS(Table1[value],Table1[IndicatorCode],Table1[[#This Row],[IndicatorCode]])</f>
        <v>7.6894248608534319</v>
      </c>
      <c r="I2052" cm="1">
        <f t="array" ref="I2052">_xlfn.STDEV.P(IF(Table1[IndicatorCode]=Table1[[#This Row],[IndicatorCode]],Table1[value]))</f>
        <v>5.2319501044600996</v>
      </c>
      <c r="J2052">
        <f>(Table1[[#This Row],[value]] - Table1[[#This Row],[mean]]) / Table1[[#This Row],[std_dev]]</f>
        <v>-0.13177206339672762</v>
      </c>
      <c r="K2052">
        <f>AVERAGEIF(Table1[CountryCode],Table1[[#This Row],[CountryCode]],Table1[z-score])</f>
        <v>-0.86099801634454787</v>
      </c>
      <c r="L2052" t="e">
        <f>VLOOKUP(Table1[[#This Row],[CountryCode]],[1]!Table1[#Data],4,FALSE)</f>
        <v>#REF!</v>
      </c>
    </row>
    <row r="2053" spans="1:12" hidden="1" x14ac:dyDescent="0.3">
      <c r="A2053" t="s">
        <v>17</v>
      </c>
      <c r="B2053" t="s">
        <v>18</v>
      </c>
      <c r="C2053" t="s">
        <v>125</v>
      </c>
      <c r="D2053" t="s">
        <v>126</v>
      </c>
      <c r="E2053">
        <v>1984</v>
      </c>
      <c r="F2053" s="1">
        <v>7</v>
      </c>
      <c r="G2053">
        <v>1980</v>
      </c>
      <c r="H2053">
        <f>AVERAGEIFS(Table1[value],Table1[IndicatorCode],Table1[[#This Row],[IndicatorCode]])</f>
        <v>7.6894248608534319</v>
      </c>
      <c r="I2053" cm="1">
        <f t="array" ref="I2053">_xlfn.STDEV.P(IF(Table1[IndicatorCode]=Table1[[#This Row],[IndicatorCode]],Table1[value]))</f>
        <v>5.2319501044600996</v>
      </c>
      <c r="J2053">
        <f>(Table1[[#This Row],[value]] - Table1[[#This Row],[mean]]) / Table1[[#This Row],[std_dev]]</f>
        <v>-0.13177206339672762</v>
      </c>
      <c r="K2053">
        <f>AVERAGEIF(Table1[CountryCode],Table1[[#This Row],[CountryCode]],Table1[z-score])</f>
        <v>-0.86099801634454787</v>
      </c>
      <c r="L2053" t="e">
        <f>VLOOKUP(Table1[[#This Row],[CountryCode]],[1]!Table1[#Data],4,FALSE)</f>
        <v>#REF!</v>
      </c>
    </row>
    <row r="2054" spans="1:12" hidden="1" x14ac:dyDescent="0.3">
      <c r="A2054" t="s">
        <v>17</v>
      </c>
      <c r="B2054" t="s">
        <v>18</v>
      </c>
      <c r="C2054" t="s">
        <v>125</v>
      </c>
      <c r="D2054" t="s">
        <v>126</v>
      </c>
      <c r="E2054">
        <v>1985</v>
      </c>
      <c r="F2054" s="1">
        <v>7</v>
      </c>
      <c r="G2054">
        <v>1980</v>
      </c>
      <c r="H2054">
        <f>AVERAGEIFS(Table1[value],Table1[IndicatorCode],Table1[[#This Row],[IndicatorCode]])</f>
        <v>7.6894248608534319</v>
      </c>
      <c r="I2054" cm="1">
        <f t="array" ref="I2054">_xlfn.STDEV.P(IF(Table1[IndicatorCode]=Table1[[#This Row],[IndicatorCode]],Table1[value]))</f>
        <v>5.2319501044600996</v>
      </c>
      <c r="J2054">
        <f>(Table1[[#This Row],[value]] - Table1[[#This Row],[mean]]) / Table1[[#This Row],[std_dev]]</f>
        <v>-0.13177206339672762</v>
      </c>
      <c r="K2054">
        <f>AVERAGEIF(Table1[CountryCode],Table1[[#This Row],[CountryCode]],Table1[z-score])</f>
        <v>-0.86099801634454787</v>
      </c>
      <c r="L2054" t="e">
        <f>VLOOKUP(Table1[[#This Row],[CountryCode]],[1]!Table1[#Data],4,FALSE)</f>
        <v>#REF!</v>
      </c>
    </row>
    <row r="2055" spans="1:12" hidden="1" x14ac:dyDescent="0.3">
      <c r="A2055" t="s">
        <v>17</v>
      </c>
      <c r="B2055" t="s">
        <v>18</v>
      </c>
      <c r="C2055" t="s">
        <v>125</v>
      </c>
      <c r="D2055" t="s">
        <v>126</v>
      </c>
      <c r="E2055">
        <v>1986</v>
      </c>
      <c r="F2055" s="1">
        <v>7</v>
      </c>
      <c r="G2055">
        <v>1980</v>
      </c>
      <c r="H2055">
        <f>AVERAGEIFS(Table1[value],Table1[IndicatorCode],Table1[[#This Row],[IndicatorCode]])</f>
        <v>7.6894248608534319</v>
      </c>
      <c r="I2055" cm="1">
        <f t="array" ref="I2055">_xlfn.STDEV.P(IF(Table1[IndicatorCode]=Table1[[#This Row],[IndicatorCode]],Table1[value]))</f>
        <v>5.2319501044600996</v>
      </c>
      <c r="J2055">
        <f>(Table1[[#This Row],[value]] - Table1[[#This Row],[mean]]) / Table1[[#This Row],[std_dev]]</f>
        <v>-0.13177206339672762</v>
      </c>
      <c r="K2055">
        <f>AVERAGEIF(Table1[CountryCode],Table1[[#This Row],[CountryCode]],Table1[z-score])</f>
        <v>-0.86099801634454787</v>
      </c>
      <c r="L2055" t="e">
        <f>VLOOKUP(Table1[[#This Row],[CountryCode]],[1]!Table1[#Data],4,FALSE)</f>
        <v>#REF!</v>
      </c>
    </row>
    <row r="2056" spans="1:12" hidden="1" x14ac:dyDescent="0.3">
      <c r="A2056" t="s">
        <v>17</v>
      </c>
      <c r="B2056" t="s">
        <v>18</v>
      </c>
      <c r="C2056" t="s">
        <v>125</v>
      </c>
      <c r="D2056" t="s">
        <v>126</v>
      </c>
      <c r="E2056">
        <v>1987</v>
      </c>
      <c r="F2056" s="1">
        <v>7</v>
      </c>
      <c r="G2056">
        <v>1990</v>
      </c>
      <c r="H2056">
        <f>AVERAGEIFS(Table1[value],Table1[IndicatorCode],Table1[[#This Row],[IndicatorCode]])</f>
        <v>7.6894248608534319</v>
      </c>
      <c r="I2056" cm="1">
        <f t="array" ref="I2056">_xlfn.STDEV.P(IF(Table1[IndicatorCode]=Table1[[#This Row],[IndicatorCode]],Table1[value]))</f>
        <v>5.2319501044600996</v>
      </c>
      <c r="J2056">
        <f>(Table1[[#This Row],[value]] - Table1[[#This Row],[mean]]) / Table1[[#This Row],[std_dev]]</f>
        <v>-0.13177206339672762</v>
      </c>
      <c r="K2056">
        <f>AVERAGEIF(Table1[CountryCode],Table1[[#This Row],[CountryCode]],Table1[z-score])</f>
        <v>-0.86099801634454787</v>
      </c>
      <c r="L2056" t="e">
        <f>VLOOKUP(Table1[[#This Row],[CountryCode]],[1]!Table1[#Data],4,FALSE)</f>
        <v>#REF!</v>
      </c>
    </row>
    <row r="2057" spans="1:12" hidden="1" x14ac:dyDescent="0.3">
      <c r="A2057" t="s">
        <v>17</v>
      </c>
      <c r="B2057" t="s">
        <v>18</v>
      </c>
      <c r="C2057" t="s">
        <v>125</v>
      </c>
      <c r="D2057" t="s">
        <v>126</v>
      </c>
      <c r="E2057">
        <v>1988</v>
      </c>
      <c r="F2057" s="1">
        <v>7</v>
      </c>
      <c r="G2057">
        <v>1990</v>
      </c>
      <c r="H2057">
        <f>AVERAGEIFS(Table1[value],Table1[IndicatorCode],Table1[[#This Row],[IndicatorCode]])</f>
        <v>7.6894248608534319</v>
      </c>
      <c r="I2057" cm="1">
        <f t="array" ref="I2057">_xlfn.STDEV.P(IF(Table1[IndicatorCode]=Table1[[#This Row],[IndicatorCode]],Table1[value]))</f>
        <v>5.2319501044600996</v>
      </c>
      <c r="J2057">
        <f>(Table1[[#This Row],[value]] - Table1[[#This Row],[mean]]) / Table1[[#This Row],[std_dev]]</f>
        <v>-0.13177206339672762</v>
      </c>
      <c r="K2057">
        <f>AVERAGEIF(Table1[CountryCode],Table1[[#This Row],[CountryCode]],Table1[z-score])</f>
        <v>-0.86099801634454787</v>
      </c>
      <c r="L2057" t="e">
        <f>VLOOKUP(Table1[[#This Row],[CountryCode]],[1]!Table1[#Data],4,FALSE)</f>
        <v>#REF!</v>
      </c>
    </row>
    <row r="2058" spans="1:12" hidden="1" x14ac:dyDescent="0.3">
      <c r="A2058" t="s">
        <v>17</v>
      </c>
      <c r="B2058" t="s">
        <v>18</v>
      </c>
      <c r="C2058" t="s">
        <v>125</v>
      </c>
      <c r="D2058" t="s">
        <v>126</v>
      </c>
      <c r="E2058">
        <v>1989</v>
      </c>
      <c r="F2058" s="1">
        <v>7</v>
      </c>
      <c r="G2058">
        <v>1990</v>
      </c>
      <c r="H2058">
        <f>AVERAGEIFS(Table1[value],Table1[IndicatorCode],Table1[[#This Row],[IndicatorCode]])</f>
        <v>7.6894248608534319</v>
      </c>
      <c r="I2058" cm="1">
        <f t="array" ref="I2058">_xlfn.STDEV.P(IF(Table1[IndicatorCode]=Table1[[#This Row],[IndicatorCode]],Table1[value]))</f>
        <v>5.2319501044600996</v>
      </c>
      <c r="J2058">
        <f>(Table1[[#This Row],[value]] - Table1[[#This Row],[mean]]) / Table1[[#This Row],[std_dev]]</f>
        <v>-0.13177206339672762</v>
      </c>
      <c r="K2058">
        <f>AVERAGEIF(Table1[CountryCode],Table1[[#This Row],[CountryCode]],Table1[z-score])</f>
        <v>-0.86099801634454787</v>
      </c>
      <c r="L2058" t="e">
        <f>VLOOKUP(Table1[[#This Row],[CountryCode]],[1]!Table1[#Data],4,FALSE)</f>
        <v>#REF!</v>
      </c>
    </row>
    <row r="2059" spans="1:12" hidden="1" x14ac:dyDescent="0.3">
      <c r="A2059" t="s">
        <v>17</v>
      </c>
      <c r="B2059" t="s">
        <v>18</v>
      </c>
      <c r="C2059" t="s">
        <v>125</v>
      </c>
      <c r="D2059" t="s">
        <v>126</v>
      </c>
      <c r="E2059">
        <v>1990</v>
      </c>
      <c r="F2059" s="1">
        <v>8</v>
      </c>
      <c r="G2059">
        <v>1990</v>
      </c>
      <c r="H2059">
        <f>AVERAGEIFS(Table1[value],Table1[IndicatorCode],Table1[[#This Row],[IndicatorCode]])</f>
        <v>7.6894248608534319</v>
      </c>
      <c r="I2059" cm="1">
        <f t="array" ref="I2059">_xlfn.STDEV.P(IF(Table1[IndicatorCode]=Table1[[#This Row],[IndicatorCode]],Table1[value]))</f>
        <v>5.2319501044600996</v>
      </c>
      <c r="J2059">
        <f>(Table1[[#This Row],[value]] - Table1[[#This Row],[mean]]) / Table1[[#This Row],[std_dev]]</f>
        <v>5.9361257838030791E-2</v>
      </c>
      <c r="K2059">
        <f>AVERAGEIF(Table1[CountryCode],Table1[[#This Row],[CountryCode]],Table1[z-score])</f>
        <v>-0.86099801634454787</v>
      </c>
      <c r="L2059" t="e">
        <f>VLOOKUP(Table1[[#This Row],[CountryCode]],[1]!Table1[#Data],4,FALSE)</f>
        <v>#REF!</v>
      </c>
    </row>
    <row r="2060" spans="1:12" hidden="1" x14ac:dyDescent="0.3">
      <c r="A2060" t="s">
        <v>17</v>
      </c>
      <c r="B2060" t="s">
        <v>18</v>
      </c>
      <c r="C2060" t="s">
        <v>125</v>
      </c>
      <c r="D2060" t="s">
        <v>126</v>
      </c>
      <c r="E2060">
        <v>1991</v>
      </c>
      <c r="F2060" s="1">
        <v>8</v>
      </c>
      <c r="G2060">
        <v>1990</v>
      </c>
      <c r="H2060">
        <f>AVERAGEIFS(Table1[value],Table1[IndicatorCode],Table1[[#This Row],[IndicatorCode]])</f>
        <v>7.6894248608534319</v>
      </c>
      <c r="I2060" cm="1">
        <f t="array" ref="I2060">_xlfn.STDEV.P(IF(Table1[IndicatorCode]=Table1[[#This Row],[IndicatorCode]],Table1[value]))</f>
        <v>5.2319501044600996</v>
      </c>
      <c r="J2060">
        <f>(Table1[[#This Row],[value]] - Table1[[#This Row],[mean]]) / Table1[[#This Row],[std_dev]]</f>
        <v>5.9361257838030791E-2</v>
      </c>
      <c r="K2060">
        <f>AVERAGEIF(Table1[CountryCode],Table1[[#This Row],[CountryCode]],Table1[z-score])</f>
        <v>-0.86099801634454787</v>
      </c>
      <c r="L2060" t="e">
        <f>VLOOKUP(Table1[[#This Row],[CountryCode]],[1]!Table1[#Data],4,FALSE)</f>
        <v>#REF!</v>
      </c>
    </row>
    <row r="2061" spans="1:12" hidden="1" x14ac:dyDescent="0.3">
      <c r="A2061" t="s">
        <v>17</v>
      </c>
      <c r="B2061" t="s">
        <v>18</v>
      </c>
      <c r="C2061" t="s">
        <v>125</v>
      </c>
      <c r="D2061" t="s">
        <v>126</v>
      </c>
      <c r="E2061">
        <v>1992</v>
      </c>
      <c r="F2061" s="1">
        <v>6</v>
      </c>
      <c r="G2061">
        <v>1990</v>
      </c>
      <c r="H2061">
        <f>AVERAGEIFS(Table1[value],Table1[IndicatorCode],Table1[[#This Row],[IndicatorCode]])</f>
        <v>7.6894248608534319</v>
      </c>
      <c r="I2061" cm="1">
        <f t="array" ref="I2061">_xlfn.STDEV.P(IF(Table1[IndicatorCode]=Table1[[#This Row],[IndicatorCode]],Table1[value]))</f>
        <v>5.2319501044600996</v>
      </c>
      <c r="J2061">
        <f>(Table1[[#This Row],[value]] - Table1[[#This Row],[mean]]) / Table1[[#This Row],[std_dev]]</f>
        <v>-0.32290538463148605</v>
      </c>
      <c r="K2061">
        <f>AVERAGEIF(Table1[CountryCode],Table1[[#This Row],[CountryCode]],Table1[z-score])</f>
        <v>-0.86099801634454787</v>
      </c>
      <c r="L2061" t="e">
        <f>VLOOKUP(Table1[[#This Row],[CountryCode]],[1]!Table1[#Data],4,FALSE)</f>
        <v>#REF!</v>
      </c>
    </row>
    <row r="2062" spans="1:12" hidden="1" x14ac:dyDescent="0.3">
      <c r="A2062" t="s">
        <v>17</v>
      </c>
      <c r="B2062" t="s">
        <v>18</v>
      </c>
      <c r="C2062" t="s">
        <v>125</v>
      </c>
      <c r="D2062" t="s">
        <v>126</v>
      </c>
      <c r="E2062">
        <v>1993</v>
      </c>
      <c r="F2062" s="1">
        <v>5</v>
      </c>
      <c r="G2062">
        <v>1990</v>
      </c>
      <c r="H2062">
        <f>AVERAGEIFS(Table1[value],Table1[IndicatorCode],Table1[[#This Row],[IndicatorCode]])</f>
        <v>7.6894248608534319</v>
      </c>
      <c r="I2062" cm="1">
        <f t="array" ref="I2062">_xlfn.STDEV.P(IF(Table1[IndicatorCode]=Table1[[#This Row],[IndicatorCode]],Table1[value]))</f>
        <v>5.2319501044600996</v>
      </c>
      <c r="J2062">
        <f>(Table1[[#This Row],[value]] - Table1[[#This Row],[mean]]) / Table1[[#This Row],[std_dev]]</f>
        <v>-0.51403870586624445</v>
      </c>
      <c r="K2062">
        <f>AVERAGEIF(Table1[CountryCode],Table1[[#This Row],[CountryCode]],Table1[z-score])</f>
        <v>-0.86099801634454787</v>
      </c>
      <c r="L2062" t="e">
        <f>VLOOKUP(Table1[[#This Row],[CountryCode]],[1]!Table1[#Data],4,FALSE)</f>
        <v>#REF!</v>
      </c>
    </row>
    <row r="2063" spans="1:12" hidden="1" x14ac:dyDescent="0.3">
      <c r="A2063" t="s">
        <v>17</v>
      </c>
      <c r="B2063" t="s">
        <v>18</v>
      </c>
      <c r="C2063" t="s">
        <v>125</v>
      </c>
      <c r="D2063" t="s">
        <v>126</v>
      </c>
      <c r="E2063">
        <v>1994</v>
      </c>
      <c r="F2063" s="1">
        <v>5</v>
      </c>
      <c r="G2063">
        <v>1990</v>
      </c>
      <c r="H2063">
        <f>AVERAGEIFS(Table1[value],Table1[IndicatorCode],Table1[[#This Row],[IndicatorCode]])</f>
        <v>7.6894248608534319</v>
      </c>
      <c r="I2063" cm="1">
        <f t="array" ref="I2063">_xlfn.STDEV.P(IF(Table1[IndicatorCode]=Table1[[#This Row],[IndicatorCode]],Table1[value]))</f>
        <v>5.2319501044600996</v>
      </c>
      <c r="J2063">
        <f>(Table1[[#This Row],[value]] - Table1[[#This Row],[mean]]) / Table1[[#This Row],[std_dev]]</f>
        <v>-0.51403870586624445</v>
      </c>
      <c r="K2063">
        <f>AVERAGEIF(Table1[CountryCode],Table1[[#This Row],[CountryCode]],Table1[z-score])</f>
        <v>-0.86099801634454787</v>
      </c>
      <c r="L2063" t="e">
        <f>VLOOKUP(Table1[[#This Row],[CountryCode]],[1]!Table1[#Data],4,FALSE)</f>
        <v>#REF!</v>
      </c>
    </row>
    <row r="2064" spans="1:12" hidden="1" x14ac:dyDescent="0.3">
      <c r="A2064" t="s">
        <v>17</v>
      </c>
      <c r="B2064" t="s">
        <v>18</v>
      </c>
      <c r="C2064" t="s">
        <v>125</v>
      </c>
      <c r="D2064" t="s">
        <v>126</v>
      </c>
      <c r="E2064">
        <v>1995</v>
      </c>
      <c r="F2064" s="1">
        <v>4</v>
      </c>
      <c r="G2064">
        <v>1990</v>
      </c>
      <c r="H2064">
        <f>AVERAGEIFS(Table1[value],Table1[IndicatorCode],Table1[[#This Row],[IndicatorCode]])</f>
        <v>7.6894248608534319</v>
      </c>
      <c r="I2064" cm="1">
        <f t="array" ref="I2064">_xlfn.STDEV.P(IF(Table1[IndicatorCode]=Table1[[#This Row],[IndicatorCode]],Table1[value]))</f>
        <v>5.2319501044600996</v>
      </c>
      <c r="J2064">
        <f>(Table1[[#This Row],[value]] - Table1[[#This Row],[mean]]) / Table1[[#This Row],[std_dev]]</f>
        <v>-0.7051720271010028</v>
      </c>
      <c r="K2064">
        <f>AVERAGEIF(Table1[CountryCode],Table1[[#This Row],[CountryCode]],Table1[z-score])</f>
        <v>-0.86099801634454787</v>
      </c>
      <c r="L2064" t="e">
        <f>VLOOKUP(Table1[[#This Row],[CountryCode]],[1]!Table1[#Data],4,FALSE)</f>
        <v>#REF!</v>
      </c>
    </row>
    <row r="2065" spans="1:12" hidden="1" x14ac:dyDescent="0.3">
      <c r="A2065" t="s">
        <v>17</v>
      </c>
      <c r="B2065" t="s">
        <v>18</v>
      </c>
      <c r="C2065" t="s">
        <v>125</v>
      </c>
      <c r="D2065" t="s">
        <v>126</v>
      </c>
      <c r="E2065">
        <v>1996</v>
      </c>
      <c r="F2065" s="1">
        <v>4</v>
      </c>
      <c r="G2065">
        <v>1990</v>
      </c>
      <c r="H2065">
        <f>AVERAGEIFS(Table1[value],Table1[IndicatorCode],Table1[[#This Row],[IndicatorCode]])</f>
        <v>7.6894248608534319</v>
      </c>
      <c r="I2065" cm="1">
        <f t="array" ref="I2065">_xlfn.STDEV.P(IF(Table1[IndicatorCode]=Table1[[#This Row],[IndicatorCode]],Table1[value]))</f>
        <v>5.2319501044600996</v>
      </c>
      <c r="J2065">
        <f>(Table1[[#This Row],[value]] - Table1[[#This Row],[mean]]) / Table1[[#This Row],[std_dev]]</f>
        <v>-0.7051720271010028</v>
      </c>
      <c r="K2065">
        <f>AVERAGEIF(Table1[CountryCode],Table1[[#This Row],[CountryCode]],Table1[z-score])</f>
        <v>-0.86099801634454787</v>
      </c>
      <c r="L2065" t="e">
        <f>VLOOKUP(Table1[[#This Row],[CountryCode]],[1]!Table1[#Data],4,FALSE)</f>
        <v>#REF!</v>
      </c>
    </row>
    <row r="2066" spans="1:12" hidden="1" x14ac:dyDescent="0.3">
      <c r="A2066" t="s">
        <v>17</v>
      </c>
      <c r="B2066" t="s">
        <v>18</v>
      </c>
      <c r="C2066" t="s">
        <v>125</v>
      </c>
      <c r="D2066" t="s">
        <v>126</v>
      </c>
      <c r="E2066">
        <v>1997</v>
      </c>
      <c r="F2066" s="1">
        <v>3</v>
      </c>
      <c r="G2066">
        <v>2000</v>
      </c>
      <c r="H2066">
        <f>AVERAGEIFS(Table1[value],Table1[IndicatorCode],Table1[[#This Row],[IndicatorCode]])</f>
        <v>7.6894248608534319</v>
      </c>
      <c r="I2066" cm="1">
        <f t="array" ref="I2066">_xlfn.STDEV.P(IF(Table1[IndicatorCode]=Table1[[#This Row],[IndicatorCode]],Table1[value]))</f>
        <v>5.2319501044600996</v>
      </c>
      <c r="J2066">
        <f>(Table1[[#This Row],[value]] - Table1[[#This Row],[mean]]) / Table1[[#This Row],[std_dev]]</f>
        <v>-0.89630534833576125</v>
      </c>
      <c r="K2066">
        <f>AVERAGEIF(Table1[CountryCode],Table1[[#This Row],[CountryCode]],Table1[z-score])</f>
        <v>-0.86099801634454787</v>
      </c>
      <c r="L2066" t="e">
        <f>VLOOKUP(Table1[[#This Row],[CountryCode]],[1]!Table1[#Data],4,FALSE)</f>
        <v>#REF!</v>
      </c>
    </row>
    <row r="2067" spans="1:12" hidden="1" x14ac:dyDescent="0.3">
      <c r="A2067" t="s">
        <v>17</v>
      </c>
      <c r="B2067" t="s">
        <v>18</v>
      </c>
      <c r="C2067" t="s">
        <v>125</v>
      </c>
      <c r="D2067" t="s">
        <v>126</v>
      </c>
      <c r="E2067">
        <v>1998</v>
      </c>
      <c r="F2067" s="1">
        <v>3</v>
      </c>
      <c r="G2067">
        <v>2000</v>
      </c>
      <c r="H2067">
        <f>AVERAGEIFS(Table1[value],Table1[IndicatorCode],Table1[[#This Row],[IndicatorCode]])</f>
        <v>7.6894248608534319</v>
      </c>
      <c r="I2067" cm="1">
        <f t="array" ref="I2067">_xlfn.STDEV.P(IF(Table1[IndicatorCode]=Table1[[#This Row],[IndicatorCode]],Table1[value]))</f>
        <v>5.2319501044600996</v>
      </c>
      <c r="J2067">
        <f>(Table1[[#This Row],[value]] - Table1[[#This Row],[mean]]) / Table1[[#This Row],[std_dev]]</f>
        <v>-0.89630534833576125</v>
      </c>
      <c r="K2067">
        <f>AVERAGEIF(Table1[CountryCode],Table1[[#This Row],[CountryCode]],Table1[z-score])</f>
        <v>-0.86099801634454787</v>
      </c>
      <c r="L2067" t="e">
        <f>VLOOKUP(Table1[[#This Row],[CountryCode]],[1]!Table1[#Data],4,FALSE)</f>
        <v>#REF!</v>
      </c>
    </row>
    <row r="2068" spans="1:12" hidden="1" x14ac:dyDescent="0.3">
      <c r="A2068" t="s">
        <v>17</v>
      </c>
      <c r="B2068" t="s">
        <v>18</v>
      </c>
      <c r="C2068" t="s">
        <v>125</v>
      </c>
      <c r="D2068" t="s">
        <v>126</v>
      </c>
      <c r="E2068">
        <v>1999</v>
      </c>
      <c r="F2068" s="1">
        <v>3</v>
      </c>
      <c r="G2068">
        <v>2000</v>
      </c>
      <c r="H2068">
        <f>AVERAGEIFS(Table1[value],Table1[IndicatorCode],Table1[[#This Row],[IndicatorCode]])</f>
        <v>7.6894248608534319</v>
      </c>
      <c r="I2068" cm="1">
        <f t="array" ref="I2068">_xlfn.STDEV.P(IF(Table1[IndicatorCode]=Table1[[#This Row],[IndicatorCode]],Table1[value]))</f>
        <v>5.2319501044600996</v>
      </c>
      <c r="J2068">
        <f>(Table1[[#This Row],[value]] - Table1[[#This Row],[mean]]) / Table1[[#This Row],[std_dev]]</f>
        <v>-0.89630534833576125</v>
      </c>
      <c r="K2068">
        <f>AVERAGEIF(Table1[CountryCode],Table1[[#This Row],[CountryCode]],Table1[z-score])</f>
        <v>-0.86099801634454787</v>
      </c>
      <c r="L2068" t="e">
        <f>VLOOKUP(Table1[[#This Row],[CountryCode]],[1]!Table1[#Data],4,FALSE)</f>
        <v>#REF!</v>
      </c>
    </row>
    <row r="2069" spans="1:12" hidden="1" x14ac:dyDescent="0.3">
      <c r="A2069" t="s">
        <v>17</v>
      </c>
      <c r="B2069" t="s">
        <v>18</v>
      </c>
      <c r="C2069" t="s">
        <v>125</v>
      </c>
      <c r="D2069" t="s">
        <v>126</v>
      </c>
      <c r="E2069">
        <v>2000</v>
      </c>
      <c r="F2069" s="1">
        <v>4</v>
      </c>
      <c r="G2069">
        <v>2000</v>
      </c>
      <c r="H2069">
        <f>AVERAGEIFS(Table1[value],Table1[IndicatorCode],Table1[[#This Row],[IndicatorCode]])</f>
        <v>7.6894248608534319</v>
      </c>
      <c r="I2069" cm="1">
        <f t="array" ref="I2069">_xlfn.STDEV.P(IF(Table1[IndicatorCode]=Table1[[#This Row],[IndicatorCode]],Table1[value]))</f>
        <v>5.2319501044600996</v>
      </c>
      <c r="J2069">
        <f>(Table1[[#This Row],[value]] - Table1[[#This Row],[mean]]) / Table1[[#This Row],[std_dev]]</f>
        <v>-0.7051720271010028</v>
      </c>
      <c r="K2069">
        <f>AVERAGEIF(Table1[CountryCode],Table1[[#This Row],[CountryCode]],Table1[z-score])</f>
        <v>-0.86099801634454787</v>
      </c>
      <c r="L2069" t="e">
        <f>VLOOKUP(Table1[[#This Row],[CountryCode]],[1]!Table1[#Data],4,FALSE)</f>
        <v>#REF!</v>
      </c>
    </row>
    <row r="2070" spans="1:12" hidden="1" x14ac:dyDescent="0.3">
      <c r="A2070" t="s">
        <v>17</v>
      </c>
      <c r="B2070" t="s">
        <v>18</v>
      </c>
      <c r="C2070" t="s">
        <v>125</v>
      </c>
      <c r="D2070" t="s">
        <v>126</v>
      </c>
      <c r="E2070">
        <v>2001</v>
      </c>
      <c r="F2070" s="1">
        <v>3</v>
      </c>
      <c r="G2070">
        <v>2000</v>
      </c>
      <c r="H2070">
        <f>AVERAGEIFS(Table1[value],Table1[IndicatorCode],Table1[[#This Row],[IndicatorCode]])</f>
        <v>7.6894248608534319</v>
      </c>
      <c r="I2070" cm="1">
        <f t="array" ref="I2070">_xlfn.STDEV.P(IF(Table1[IndicatorCode]=Table1[[#This Row],[IndicatorCode]],Table1[value]))</f>
        <v>5.2319501044600996</v>
      </c>
      <c r="J2070">
        <f>(Table1[[#This Row],[value]] - Table1[[#This Row],[mean]]) / Table1[[#This Row],[std_dev]]</f>
        <v>-0.89630534833576125</v>
      </c>
      <c r="K2070">
        <f>AVERAGEIF(Table1[CountryCode],Table1[[#This Row],[CountryCode]],Table1[z-score])</f>
        <v>-0.86099801634454787</v>
      </c>
      <c r="L2070" t="e">
        <f>VLOOKUP(Table1[[#This Row],[CountryCode]],[1]!Table1[#Data],4,FALSE)</f>
        <v>#REF!</v>
      </c>
    </row>
    <row r="2071" spans="1:12" hidden="1" x14ac:dyDescent="0.3">
      <c r="A2071" t="s">
        <v>17</v>
      </c>
      <c r="B2071" t="s">
        <v>18</v>
      </c>
      <c r="C2071" t="s">
        <v>125</v>
      </c>
      <c r="D2071" t="s">
        <v>126</v>
      </c>
      <c r="E2071">
        <v>2002</v>
      </c>
      <c r="F2071" s="1">
        <v>3</v>
      </c>
      <c r="G2071">
        <v>2000</v>
      </c>
      <c r="H2071">
        <f>AVERAGEIFS(Table1[value],Table1[IndicatorCode],Table1[[#This Row],[IndicatorCode]])</f>
        <v>7.6894248608534319</v>
      </c>
      <c r="I2071" cm="1">
        <f t="array" ref="I2071">_xlfn.STDEV.P(IF(Table1[IndicatorCode]=Table1[[#This Row],[IndicatorCode]],Table1[value]))</f>
        <v>5.2319501044600996</v>
      </c>
      <c r="J2071">
        <f>(Table1[[#This Row],[value]] - Table1[[#This Row],[mean]]) / Table1[[#This Row],[std_dev]]</f>
        <v>-0.89630534833576125</v>
      </c>
      <c r="K2071">
        <f>AVERAGEIF(Table1[CountryCode],Table1[[#This Row],[CountryCode]],Table1[z-score])</f>
        <v>-0.86099801634454787</v>
      </c>
      <c r="L2071" t="e">
        <f>VLOOKUP(Table1[[#This Row],[CountryCode]],[1]!Table1[#Data],4,FALSE)</f>
        <v>#REF!</v>
      </c>
    </row>
    <row r="2072" spans="1:12" hidden="1" x14ac:dyDescent="0.3">
      <c r="A2072" t="s">
        <v>17</v>
      </c>
      <c r="B2072" t="s">
        <v>18</v>
      </c>
      <c r="C2072" t="s">
        <v>125</v>
      </c>
      <c r="D2072" t="s">
        <v>126</v>
      </c>
      <c r="E2072">
        <v>2003</v>
      </c>
      <c r="F2072" s="1">
        <v>4</v>
      </c>
      <c r="G2072">
        <v>2000</v>
      </c>
      <c r="H2072">
        <f>AVERAGEIFS(Table1[value],Table1[IndicatorCode],Table1[[#This Row],[IndicatorCode]])</f>
        <v>7.6894248608534319</v>
      </c>
      <c r="I2072" cm="1">
        <f t="array" ref="I2072">_xlfn.STDEV.P(IF(Table1[IndicatorCode]=Table1[[#This Row],[IndicatorCode]],Table1[value]))</f>
        <v>5.2319501044600996</v>
      </c>
      <c r="J2072">
        <f>(Table1[[#This Row],[value]] - Table1[[#This Row],[mean]]) / Table1[[#This Row],[std_dev]]</f>
        <v>-0.7051720271010028</v>
      </c>
      <c r="K2072">
        <f>AVERAGEIF(Table1[CountryCode],Table1[[#This Row],[CountryCode]],Table1[z-score])</f>
        <v>-0.86099801634454787</v>
      </c>
      <c r="L2072" t="e">
        <f>VLOOKUP(Table1[[#This Row],[CountryCode]],[1]!Table1[#Data],4,FALSE)</f>
        <v>#REF!</v>
      </c>
    </row>
    <row r="2073" spans="1:12" hidden="1" x14ac:dyDescent="0.3">
      <c r="A2073" t="s">
        <v>17</v>
      </c>
      <c r="B2073" t="s">
        <v>18</v>
      </c>
      <c r="C2073" t="s">
        <v>125</v>
      </c>
      <c r="D2073" t="s">
        <v>126</v>
      </c>
      <c r="E2073">
        <v>2004</v>
      </c>
      <c r="F2073" s="1">
        <v>4</v>
      </c>
      <c r="G2073">
        <v>2000</v>
      </c>
      <c r="H2073">
        <f>AVERAGEIFS(Table1[value],Table1[IndicatorCode],Table1[[#This Row],[IndicatorCode]])</f>
        <v>7.6894248608534319</v>
      </c>
      <c r="I2073" cm="1">
        <f t="array" ref="I2073">_xlfn.STDEV.P(IF(Table1[IndicatorCode]=Table1[[#This Row],[IndicatorCode]],Table1[value]))</f>
        <v>5.2319501044600996</v>
      </c>
      <c r="J2073">
        <f>(Table1[[#This Row],[value]] - Table1[[#This Row],[mean]]) / Table1[[#This Row],[std_dev]]</f>
        <v>-0.7051720271010028</v>
      </c>
      <c r="K2073">
        <f>AVERAGEIF(Table1[CountryCode],Table1[[#This Row],[CountryCode]],Table1[z-score])</f>
        <v>-0.86099801634454787</v>
      </c>
      <c r="L2073" t="e">
        <f>VLOOKUP(Table1[[#This Row],[CountryCode]],[1]!Table1[#Data],4,FALSE)</f>
        <v>#REF!</v>
      </c>
    </row>
    <row r="2074" spans="1:12" hidden="1" x14ac:dyDescent="0.3">
      <c r="A2074" t="s">
        <v>17</v>
      </c>
      <c r="B2074" t="s">
        <v>18</v>
      </c>
      <c r="C2074" t="s">
        <v>125</v>
      </c>
      <c r="D2074" t="s">
        <v>126</v>
      </c>
      <c r="E2074">
        <v>2005</v>
      </c>
      <c r="F2074" s="1">
        <v>4</v>
      </c>
      <c r="G2074">
        <v>2000</v>
      </c>
      <c r="H2074">
        <f>AVERAGEIFS(Table1[value],Table1[IndicatorCode],Table1[[#This Row],[IndicatorCode]])</f>
        <v>7.6894248608534319</v>
      </c>
      <c r="I2074" cm="1">
        <f t="array" ref="I2074">_xlfn.STDEV.P(IF(Table1[IndicatorCode]=Table1[[#This Row],[IndicatorCode]],Table1[value]))</f>
        <v>5.2319501044600996</v>
      </c>
      <c r="J2074">
        <f>(Table1[[#This Row],[value]] - Table1[[#This Row],[mean]]) / Table1[[#This Row],[std_dev]]</f>
        <v>-0.7051720271010028</v>
      </c>
      <c r="K2074">
        <f>AVERAGEIF(Table1[CountryCode],Table1[[#This Row],[CountryCode]],Table1[z-score])</f>
        <v>-0.86099801634454787</v>
      </c>
      <c r="L2074" t="e">
        <f>VLOOKUP(Table1[[#This Row],[CountryCode]],[1]!Table1[#Data],4,FALSE)</f>
        <v>#REF!</v>
      </c>
    </row>
    <row r="2075" spans="1:12" hidden="1" x14ac:dyDescent="0.3">
      <c r="A2075" t="s">
        <v>17</v>
      </c>
      <c r="B2075" t="s">
        <v>18</v>
      </c>
      <c r="C2075" t="s">
        <v>125</v>
      </c>
      <c r="D2075" t="s">
        <v>126</v>
      </c>
      <c r="E2075">
        <v>2006</v>
      </c>
      <c r="F2075" s="1">
        <v>4</v>
      </c>
      <c r="G2075">
        <v>2000</v>
      </c>
      <c r="H2075">
        <f>AVERAGEIFS(Table1[value],Table1[IndicatorCode],Table1[[#This Row],[IndicatorCode]])</f>
        <v>7.6894248608534319</v>
      </c>
      <c r="I2075" cm="1">
        <f t="array" ref="I2075">_xlfn.STDEV.P(IF(Table1[IndicatorCode]=Table1[[#This Row],[IndicatorCode]],Table1[value]))</f>
        <v>5.2319501044600996</v>
      </c>
      <c r="J2075">
        <f>(Table1[[#This Row],[value]] - Table1[[#This Row],[mean]]) / Table1[[#This Row],[std_dev]]</f>
        <v>-0.7051720271010028</v>
      </c>
      <c r="K2075">
        <f>AVERAGEIF(Table1[CountryCode],Table1[[#This Row],[CountryCode]],Table1[z-score])</f>
        <v>-0.86099801634454787</v>
      </c>
      <c r="L2075" t="e">
        <f>VLOOKUP(Table1[[#This Row],[CountryCode]],[1]!Table1[#Data],4,FALSE)</f>
        <v>#REF!</v>
      </c>
    </row>
    <row r="2076" spans="1:12" hidden="1" x14ac:dyDescent="0.3">
      <c r="A2076" t="s">
        <v>17</v>
      </c>
      <c r="B2076" t="s">
        <v>18</v>
      </c>
      <c r="C2076" t="s">
        <v>125</v>
      </c>
      <c r="D2076" t="s">
        <v>126</v>
      </c>
      <c r="E2076">
        <v>2007</v>
      </c>
      <c r="F2076" s="1">
        <v>3</v>
      </c>
      <c r="G2076">
        <v>2010</v>
      </c>
      <c r="H2076">
        <f>AVERAGEIFS(Table1[value],Table1[IndicatorCode],Table1[[#This Row],[IndicatorCode]])</f>
        <v>7.6894248608534319</v>
      </c>
      <c r="I2076" cm="1">
        <f t="array" ref="I2076">_xlfn.STDEV.P(IF(Table1[IndicatorCode]=Table1[[#This Row],[IndicatorCode]],Table1[value]))</f>
        <v>5.2319501044600996</v>
      </c>
      <c r="J2076">
        <f>(Table1[[#This Row],[value]] - Table1[[#This Row],[mean]]) / Table1[[#This Row],[std_dev]]</f>
        <v>-0.89630534833576125</v>
      </c>
      <c r="K2076">
        <f>AVERAGEIF(Table1[CountryCode],Table1[[#This Row],[CountryCode]],Table1[z-score])</f>
        <v>-0.86099801634454787</v>
      </c>
      <c r="L2076" t="e">
        <f>VLOOKUP(Table1[[#This Row],[CountryCode]],[1]!Table1[#Data],4,FALSE)</f>
        <v>#REF!</v>
      </c>
    </row>
    <row r="2077" spans="1:12" hidden="1" x14ac:dyDescent="0.3">
      <c r="A2077" t="s">
        <v>17</v>
      </c>
      <c r="B2077" t="s">
        <v>18</v>
      </c>
      <c r="C2077" t="s">
        <v>125</v>
      </c>
      <c r="D2077" t="s">
        <v>126</v>
      </c>
      <c r="E2077">
        <v>2008</v>
      </c>
      <c r="F2077" s="1">
        <v>4</v>
      </c>
      <c r="G2077">
        <v>2010</v>
      </c>
      <c r="H2077">
        <f>AVERAGEIFS(Table1[value],Table1[IndicatorCode],Table1[[#This Row],[IndicatorCode]])</f>
        <v>7.6894248608534319</v>
      </c>
      <c r="I2077" cm="1">
        <f t="array" ref="I2077">_xlfn.STDEV.P(IF(Table1[IndicatorCode]=Table1[[#This Row],[IndicatorCode]],Table1[value]))</f>
        <v>5.2319501044600996</v>
      </c>
      <c r="J2077">
        <f>(Table1[[#This Row],[value]] - Table1[[#This Row],[mean]]) / Table1[[#This Row],[std_dev]]</f>
        <v>-0.7051720271010028</v>
      </c>
      <c r="K2077">
        <f>AVERAGEIF(Table1[CountryCode],Table1[[#This Row],[CountryCode]],Table1[z-score])</f>
        <v>-0.86099801634454787</v>
      </c>
      <c r="L2077" t="e">
        <f>VLOOKUP(Table1[[#This Row],[CountryCode]],[1]!Table1[#Data],4,FALSE)</f>
        <v>#REF!</v>
      </c>
    </row>
    <row r="2078" spans="1:12" hidden="1" x14ac:dyDescent="0.3">
      <c r="A2078" t="s">
        <v>17</v>
      </c>
      <c r="B2078" t="s">
        <v>18</v>
      </c>
      <c r="C2078" t="s">
        <v>125</v>
      </c>
      <c r="D2078" t="s">
        <v>126</v>
      </c>
      <c r="E2078">
        <v>2009</v>
      </c>
      <c r="F2078" s="1">
        <v>3</v>
      </c>
      <c r="G2078">
        <v>2010</v>
      </c>
      <c r="H2078">
        <f>AVERAGEIFS(Table1[value],Table1[IndicatorCode],Table1[[#This Row],[IndicatorCode]])</f>
        <v>7.6894248608534319</v>
      </c>
      <c r="I2078" cm="1">
        <f t="array" ref="I2078">_xlfn.STDEV.P(IF(Table1[IndicatorCode]=Table1[[#This Row],[IndicatorCode]],Table1[value]))</f>
        <v>5.2319501044600996</v>
      </c>
      <c r="J2078">
        <f>(Table1[[#This Row],[value]] - Table1[[#This Row],[mean]]) / Table1[[#This Row],[std_dev]]</f>
        <v>-0.89630534833576125</v>
      </c>
      <c r="K2078">
        <f>AVERAGEIF(Table1[CountryCode],Table1[[#This Row],[CountryCode]],Table1[z-score])</f>
        <v>-0.86099801634454787</v>
      </c>
      <c r="L2078" t="e">
        <f>VLOOKUP(Table1[[#This Row],[CountryCode]],[1]!Table1[#Data],4,FALSE)</f>
        <v>#REF!</v>
      </c>
    </row>
    <row r="2079" spans="1:12" hidden="1" x14ac:dyDescent="0.3">
      <c r="A2079" t="s">
        <v>17</v>
      </c>
      <c r="B2079" t="s">
        <v>18</v>
      </c>
      <c r="C2079" t="s">
        <v>125</v>
      </c>
      <c r="D2079" t="s">
        <v>126</v>
      </c>
      <c r="E2079">
        <v>2010</v>
      </c>
      <c r="F2079" s="1">
        <v>3</v>
      </c>
      <c r="G2079">
        <v>2010</v>
      </c>
      <c r="H2079">
        <f>AVERAGEIFS(Table1[value],Table1[IndicatorCode],Table1[[#This Row],[IndicatorCode]])</f>
        <v>7.6894248608534319</v>
      </c>
      <c r="I2079" cm="1">
        <f t="array" ref="I2079">_xlfn.STDEV.P(IF(Table1[IndicatorCode]=Table1[[#This Row],[IndicatorCode]],Table1[value]))</f>
        <v>5.2319501044600996</v>
      </c>
      <c r="J2079">
        <f>(Table1[[#This Row],[value]] - Table1[[#This Row],[mean]]) / Table1[[#This Row],[std_dev]]</f>
        <v>-0.89630534833576125</v>
      </c>
      <c r="K2079">
        <f>AVERAGEIF(Table1[CountryCode],Table1[[#This Row],[CountryCode]],Table1[z-score])</f>
        <v>-0.86099801634454787</v>
      </c>
      <c r="L2079" t="e">
        <f>VLOOKUP(Table1[[#This Row],[CountryCode]],[1]!Table1[#Data],4,FALSE)</f>
        <v>#REF!</v>
      </c>
    </row>
    <row r="2080" spans="1:12" hidden="1" x14ac:dyDescent="0.3">
      <c r="A2080" t="s">
        <v>17</v>
      </c>
      <c r="B2080" t="s">
        <v>18</v>
      </c>
      <c r="C2080" t="s">
        <v>125</v>
      </c>
      <c r="D2080" t="s">
        <v>126</v>
      </c>
      <c r="E2080">
        <v>2011</v>
      </c>
      <c r="F2080" s="1">
        <v>3</v>
      </c>
      <c r="G2080">
        <v>2010</v>
      </c>
      <c r="H2080">
        <f>AVERAGEIFS(Table1[value],Table1[IndicatorCode],Table1[[#This Row],[IndicatorCode]])</f>
        <v>7.6894248608534319</v>
      </c>
      <c r="I2080" cm="1">
        <f t="array" ref="I2080">_xlfn.STDEV.P(IF(Table1[IndicatorCode]=Table1[[#This Row],[IndicatorCode]],Table1[value]))</f>
        <v>5.2319501044600996</v>
      </c>
      <c r="J2080">
        <f>(Table1[[#This Row],[value]] - Table1[[#This Row],[mean]]) / Table1[[#This Row],[std_dev]]</f>
        <v>-0.89630534833576125</v>
      </c>
      <c r="K2080">
        <f>AVERAGEIF(Table1[CountryCode],Table1[[#This Row],[CountryCode]],Table1[z-score])</f>
        <v>-0.86099801634454787</v>
      </c>
      <c r="L2080" t="e">
        <f>VLOOKUP(Table1[[#This Row],[CountryCode]],[1]!Table1[#Data],4,FALSE)</f>
        <v>#REF!</v>
      </c>
    </row>
    <row r="2081" spans="1:12" hidden="1" x14ac:dyDescent="0.3">
      <c r="A2081" t="s">
        <v>17</v>
      </c>
      <c r="B2081" t="s">
        <v>18</v>
      </c>
      <c r="C2081" t="s">
        <v>125</v>
      </c>
      <c r="D2081" t="s">
        <v>126</v>
      </c>
      <c r="E2081">
        <v>2012</v>
      </c>
      <c r="F2081" s="1">
        <v>3</v>
      </c>
      <c r="G2081">
        <v>2010</v>
      </c>
      <c r="H2081">
        <f>AVERAGEIFS(Table1[value],Table1[IndicatorCode],Table1[[#This Row],[IndicatorCode]])</f>
        <v>7.6894248608534319</v>
      </c>
      <c r="I2081" cm="1">
        <f t="array" ref="I2081">_xlfn.STDEV.P(IF(Table1[IndicatorCode]=Table1[[#This Row],[IndicatorCode]],Table1[value]))</f>
        <v>5.2319501044600996</v>
      </c>
      <c r="J2081">
        <f>(Table1[[#This Row],[value]] - Table1[[#This Row],[mean]]) / Table1[[#This Row],[std_dev]]</f>
        <v>-0.89630534833576125</v>
      </c>
      <c r="K2081">
        <f>AVERAGEIF(Table1[CountryCode],Table1[[#This Row],[CountryCode]],Table1[z-score])</f>
        <v>-0.86099801634454787</v>
      </c>
      <c r="L2081" t="e">
        <f>VLOOKUP(Table1[[#This Row],[CountryCode]],[1]!Table1[#Data],4,FALSE)</f>
        <v>#REF!</v>
      </c>
    </row>
    <row r="2082" spans="1:12" hidden="1" x14ac:dyDescent="0.3">
      <c r="A2082" t="s">
        <v>17</v>
      </c>
      <c r="B2082" t="s">
        <v>18</v>
      </c>
      <c r="C2082" t="s">
        <v>125</v>
      </c>
      <c r="D2082" t="s">
        <v>126</v>
      </c>
      <c r="E2082">
        <v>2013</v>
      </c>
      <c r="F2082" s="1">
        <v>4</v>
      </c>
      <c r="G2082">
        <v>2010</v>
      </c>
      <c r="H2082">
        <f>AVERAGEIFS(Table1[value],Table1[IndicatorCode],Table1[[#This Row],[IndicatorCode]])</f>
        <v>7.6894248608534319</v>
      </c>
      <c r="I2082" cm="1">
        <f t="array" ref="I2082">_xlfn.STDEV.P(IF(Table1[IndicatorCode]=Table1[[#This Row],[IndicatorCode]],Table1[value]))</f>
        <v>5.2319501044600996</v>
      </c>
      <c r="J2082">
        <f>(Table1[[#This Row],[value]] - Table1[[#This Row],[mean]]) / Table1[[#This Row],[std_dev]]</f>
        <v>-0.7051720271010028</v>
      </c>
      <c r="K2082">
        <f>AVERAGEIF(Table1[CountryCode],Table1[[#This Row],[CountryCode]],Table1[z-score])</f>
        <v>-0.86099801634454787</v>
      </c>
      <c r="L2082" t="e">
        <f>VLOOKUP(Table1[[#This Row],[CountryCode]],[1]!Table1[#Data],4,FALSE)</f>
        <v>#REF!</v>
      </c>
    </row>
    <row r="2083" spans="1:12" hidden="1" x14ac:dyDescent="0.3">
      <c r="A2083" t="s">
        <v>17</v>
      </c>
      <c r="B2083" t="s">
        <v>18</v>
      </c>
      <c r="C2083" t="s">
        <v>125</v>
      </c>
      <c r="D2083" t="s">
        <v>126</v>
      </c>
      <c r="E2083">
        <v>2014</v>
      </c>
      <c r="F2083" s="1">
        <v>4</v>
      </c>
      <c r="G2083">
        <v>2010</v>
      </c>
      <c r="H2083">
        <f>AVERAGEIFS(Table1[value],Table1[IndicatorCode],Table1[[#This Row],[IndicatorCode]])</f>
        <v>7.6894248608534319</v>
      </c>
      <c r="I2083" cm="1">
        <f t="array" ref="I2083">_xlfn.STDEV.P(IF(Table1[IndicatorCode]=Table1[[#This Row],[IndicatorCode]],Table1[value]))</f>
        <v>5.2319501044600996</v>
      </c>
      <c r="J2083">
        <f>(Table1[[#This Row],[value]] - Table1[[#This Row],[mean]]) / Table1[[#This Row],[std_dev]]</f>
        <v>-0.7051720271010028</v>
      </c>
      <c r="K2083">
        <f>AVERAGEIF(Table1[CountryCode],Table1[[#This Row],[CountryCode]],Table1[z-score])</f>
        <v>-0.86099801634454787</v>
      </c>
      <c r="L2083" t="e">
        <f>VLOOKUP(Table1[[#This Row],[CountryCode]],[1]!Table1[#Data],4,FALSE)</f>
        <v>#REF!</v>
      </c>
    </row>
    <row r="2084" spans="1:12" hidden="1" x14ac:dyDescent="0.3">
      <c r="A2084" t="s">
        <v>17</v>
      </c>
      <c r="B2084" t="s">
        <v>18</v>
      </c>
      <c r="C2084" t="s">
        <v>125</v>
      </c>
      <c r="D2084" t="s">
        <v>126</v>
      </c>
      <c r="E2084">
        <v>2015</v>
      </c>
      <c r="F2084" s="1">
        <v>4</v>
      </c>
      <c r="G2084">
        <v>2010</v>
      </c>
      <c r="H2084">
        <f>AVERAGEIFS(Table1[value],Table1[IndicatorCode],Table1[[#This Row],[IndicatorCode]])</f>
        <v>7.6894248608534319</v>
      </c>
      <c r="I2084" cm="1">
        <f t="array" ref="I2084">_xlfn.STDEV.P(IF(Table1[IndicatorCode]=Table1[[#This Row],[IndicatorCode]],Table1[value]))</f>
        <v>5.2319501044600996</v>
      </c>
      <c r="J2084">
        <f>(Table1[[#This Row],[value]] - Table1[[#This Row],[mean]]) / Table1[[#This Row],[std_dev]]</f>
        <v>-0.7051720271010028</v>
      </c>
      <c r="K2084">
        <f>AVERAGEIF(Table1[CountryCode],Table1[[#This Row],[CountryCode]],Table1[z-score])</f>
        <v>-0.86099801634454787</v>
      </c>
      <c r="L2084" t="e">
        <f>VLOOKUP(Table1[[#This Row],[CountryCode]],[1]!Table1[#Data],4,FALSE)</f>
        <v>#REF!</v>
      </c>
    </row>
    <row r="2085" spans="1:12" hidden="1" x14ac:dyDescent="0.3">
      <c r="A2085" t="s">
        <v>17</v>
      </c>
      <c r="B2085" t="s">
        <v>18</v>
      </c>
      <c r="C2085" t="s">
        <v>125</v>
      </c>
      <c r="D2085" t="s">
        <v>126</v>
      </c>
      <c r="E2085">
        <v>2016</v>
      </c>
      <c r="F2085" s="1">
        <v>4</v>
      </c>
      <c r="G2085">
        <v>2010</v>
      </c>
      <c r="H2085">
        <f>AVERAGEIFS(Table1[value],Table1[IndicatorCode],Table1[[#This Row],[IndicatorCode]])</f>
        <v>7.6894248608534319</v>
      </c>
      <c r="I2085" cm="1">
        <f t="array" ref="I2085">_xlfn.STDEV.P(IF(Table1[IndicatorCode]=Table1[[#This Row],[IndicatorCode]],Table1[value]))</f>
        <v>5.2319501044600996</v>
      </c>
      <c r="J2085">
        <f>(Table1[[#This Row],[value]] - Table1[[#This Row],[mean]]) / Table1[[#This Row],[std_dev]]</f>
        <v>-0.7051720271010028</v>
      </c>
      <c r="K2085">
        <f>AVERAGEIF(Table1[CountryCode],Table1[[#This Row],[CountryCode]],Table1[z-score])</f>
        <v>-0.86099801634454787</v>
      </c>
      <c r="L2085" t="e">
        <f>VLOOKUP(Table1[[#This Row],[CountryCode]],[1]!Table1[#Data],4,FALSE)</f>
        <v>#REF!</v>
      </c>
    </row>
    <row r="2086" spans="1:12" hidden="1" x14ac:dyDescent="0.3">
      <c r="A2086" t="s">
        <v>17</v>
      </c>
      <c r="B2086" t="s">
        <v>18</v>
      </c>
      <c r="C2086" t="s">
        <v>125</v>
      </c>
      <c r="D2086" t="s">
        <v>126</v>
      </c>
      <c r="E2086">
        <v>2017</v>
      </c>
      <c r="F2086" s="1">
        <v>3</v>
      </c>
      <c r="G2086">
        <v>2020</v>
      </c>
      <c r="H2086">
        <f>AVERAGEIFS(Table1[value],Table1[IndicatorCode],Table1[[#This Row],[IndicatorCode]])</f>
        <v>7.6894248608534319</v>
      </c>
      <c r="I2086" cm="1">
        <f t="array" ref="I2086">_xlfn.STDEV.P(IF(Table1[IndicatorCode]=Table1[[#This Row],[IndicatorCode]],Table1[value]))</f>
        <v>5.2319501044600996</v>
      </c>
      <c r="J2086">
        <f>(Table1[[#This Row],[value]] - Table1[[#This Row],[mean]]) / Table1[[#This Row],[std_dev]]</f>
        <v>-0.89630534833576125</v>
      </c>
      <c r="K2086">
        <f>AVERAGEIF(Table1[CountryCode],Table1[[#This Row],[CountryCode]],Table1[z-score])</f>
        <v>-0.86099801634454787</v>
      </c>
      <c r="L2086" t="e">
        <f>VLOOKUP(Table1[[#This Row],[CountryCode]],[1]!Table1[#Data],4,FALSE)</f>
        <v>#REF!</v>
      </c>
    </row>
    <row r="2087" spans="1:12" hidden="1" x14ac:dyDescent="0.3">
      <c r="A2087" t="s">
        <v>17</v>
      </c>
      <c r="B2087" t="s">
        <v>18</v>
      </c>
      <c r="C2087" t="s">
        <v>125</v>
      </c>
      <c r="D2087" t="s">
        <v>126</v>
      </c>
      <c r="E2087">
        <v>2018</v>
      </c>
      <c r="F2087" s="1">
        <v>3</v>
      </c>
      <c r="G2087">
        <v>2020</v>
      </c>
      <c r="H2087">
        <f>AVERAGEIFS(Table1[value],Table1[IndicatorCode],Table1[[#This Row],[IndicatorCode]])</f>
        <v>7.6894248608534319</v>
      </c>
      <c r="I2087" cm="1">
        <f t="array" ref="I2087">_xlfn.STDEV.P(IF(Table1[IndicatorCode]=Table1[[#This Row],[IndicatorCode]],Table1[value]))</f>
        <v>5.2319501044600996</v>
      </c>
      <c r="J2087">
        <f>(Table1[[#This Row],[value]] - Table1[[#This Row],[mean]]) / Table1[[#This Row],[std_dev]]</f>
        <v>-0.89630534833576125</v>
      </c>
      <c r="K2087">
        <f>AVERAGEIF(Table1[CountryCode],Table1[[#This Row],[CountryCode]],Table1[z-score])</f>
        <v>-0.86099801634454787</v>
      </c>
      <c r="L2087" t="e">
        <f>VLOOKUP(Table1[[#This Row],[CountryCode]],[1]!Table1[#Data],4,FALSE)</f>
        <v>#REF!</v>
      </c>
    </row>
    <row r="2088" spans="1:12" hidden="1" x14ac:dyDescent="0.3">
      <c r="A2088" t="s">
        <v>17</v>
      </c>
      <c r="B2088" t="s">
        <v>18</v>
      </c>
      <c r="C2088" t="s">
        <v>125</v>
      </c>
      <c r="D2088" t="s">
        <v>126</v>
      </c>
      <c r="E2088">
        <v>2019</v>
      </c>
      <c r="F2088" s="1">
        <v>4</v>
      </c>
      <c r="G2088">
        <v>2020</v>
      </c>
      <c r="H2088">
        <f>AVERAGEIFS(Table1[value],Table1[IndicatorCode],Table1[[#This Row],[IndicatorCode]])</f>
        <v>7.6894248608534319</v>
      </c>
      <c r="I2088" cm="1">
        <f t="array" ref="I2088">_xlfn.STDEV.P(IF(Table1[IndicatorCode]=Table1[[#This Row],[IndicatorCode]],Table1[value]))</f>
        <v>5.2319501044600996</v>
      </c>
      <c r="J2088">
        <f>(Table1[[#This Row],[value]] - Table1[[#This Row],[mean]]) / Table1[[#This Row],[std_dev]]</f>
        <v>-0.7051720271010028</v>
      </c>
      <c r="K2088">
        <f>AVERAGEIF(Table1[CountryCode],Table1[[#This Row],[CountryCode]],Table1[z-score])</f>
        <v>-0.86099801634454787</v>
      </c>
      <c r="L2088" t="e">
        <f>VLOOKUP(Table1[[#This Row],[CountryCode]],[1]!Table1[#Data],4,FALSE)</f>
        <v>#REF!</v>
      </c>
    </row>
    <row r="2089" spans="1:12" x14ac:dyDescent="0.3">
      <c r="A2089" t="s">
        <v>17</v>
      </c>
      <c r="B2089" t="s">
        <v>18</v>
      </c>
      <c r="C2089" t="s">
        <v>125</v>
      </c>
      <c r="D2089" t="s">
        <v>126</v>
      </c>
      <c r="E2089">
        <v>2020</v>
      </c>
      <c r="F2089" s="1">
        <v>4</v>
      </c>
      <c r="G2089">
        <v>2020</v>
      </c>
      <c r="H2089">
        <f>AVERAGEIFS(Table1[value],Table1[IndicatorCode],Table1[[#This Row],[IndicatorCode]])</f>
        <v>7.6894248608534319</v>
      </c>
      <c r="I2089" cm="1">
        <f t="array" ref="I2089">_xlfn.STDEV.P(IF(Table1[IndicatorCode]=Table1[[#This Row],[IndicatorCode]],Table1[value]))</f>
        <v>5.2319501044600996</v>
      </c>
      <c r="J2089">
        <f>(Table1[[#This Row],[value]] - Table1[[#This Row],[mean]]) / Table1[[#This Row],[std_dev]]</f>
        <v>-0.7051720271010028</v>
      </c>
      <c r="K2089">
        <f>AVERAGEIF(Table1[CountryCode],Table1[[#This Row],[CountryCode]],Table1[z-score])</f>
        <v>-0.86099801634454787</v>
      </c>
    </row>
    <row r="2090" spans="1:12" hidden="1" x14ac:dyDescent="0.3">
      <c r="A2090" t="s">
        <v>17</v>
      </c>
      <c r="B2090" t="s">
        <v>18</v>
      </c>
      <c r="C2090" t="s">
        <v>125</v>
      </c>
      <c r="D2090" t="s">
        <v>126</v>
      </c>
      <c r="E2090">
        <v>2021</v>
      </c>
      <c r="F2090" s="1">
        <v>4</v>
      </c>
      <c r="G2090">
        <v>2020</v>
      </c>
      <c r="H2090">
        <f>AVERAGEIFS(Table1[value],Table1[IndicatorCode],Table1[[#This Row],[IndicatorCode]])</f>
        <v>7.6894248608534319</v>
      </c>
      <c r="I2090" cm="1">
        <f t="array" ref="I2090">_xlfn.STDEV.P(IF(Table1[IndicatorCode]=Table1[[#This Row],[IndicatorCode]],Table1[value]))</f>
        <v>5.2319501044600996</v>
      </c>
      <c r="J2090">
        <f>(Table1[[#This Row],[value]] - Table1[[#This Row],[mean]]) / Table1[[#This Row],[std_dev]]</f>
        <v>-0.7051720271010028</v>
      </c>
      <c r="K2090">
        <f>AVERAGEIF(Table1[CountryCode],Table1[[#This Row],[CountryCode]],Table1[z-score])</f>
        <v>-0.86099801634454787</v>
      </c>
      <c r="L2090" t="e">
        <f>VLOOKUP(Table1[[#This Row],[CountryCode]],[1]!Table1[#Data],4,FALSE)</f>
        <v>#REF!</v>
      </c>
    </row>
    <row r="2091" spans="1:12" hidden="1" x14ac:dyDescent="0.3">
      <c r="A2091" t="s">
        <v>17</v>
      </c>
      <c r="B2091" t="s">
        <v>18</v>
      </c>
      <c r="C2091" t="s">
        <v>125</v>
      </c>
      <c r="D2091" t="s">
        <v>126</v>
      </c>
      <c r="E2091">
        <v>2022</v>
      </c>
      <c r="F2091" s="1">
        <v>4</v>
      </c>
      <c r="G2091">
        <v>1970</v>
      </c>
      <c r="H2091">
        <f>AVERAGEIFS(Table1[value],Table1[IndicatorCode],Table1[[#This Row],[IndicatorCode]])</f>
        <v>7.6894248608534319</v>
      </c>
      <c r="I2091" cm="1">
        <f t="array" ref="I2091">_xlfn.STDEV.P(IF(Table1[IndicatorCode]=Table1[[#This Row],[IndicatorCode]],Table1[value]))</f>
        <v>5.2319501044600996</v>
      </c>
      <c r="J2091">
        <f>(Table1[[#This Row],[value]] - Table1[[#This Row],[mean]]) / Table1[[#This Row],[std_dev]]</f>
        <v>-0.7051720271010028</v>
      </c>
      <c r="K2091">
        <f>AVERAGEIF(Table1[CountryCode],Table1[[#This Row],[CountryCode]],Table1[z-score])</f>
        <v>-0.86099801634454787</v>
      </c>
      <c r="L2091" t="e">
        <f>VLOOKUP(Table1[[#This Row],[CountryCode]],[1]!Table1[#Data],4,FALSE)</f>
        <v>#REF!</v>
      </c>
    </row>
    <row r="2092" spans="1:12" hidden="1" x14ac:dyDescent="0.3">
      <c r="A2092" t="s">
        <v>17</v>
      </c>
      <c r="B2092" t="s">
        <v>18</v>
      </c>
      <c r="C2092" t="s">
        <v>125</v>
      </c>
      <c r="D2092" t="s">
        <v>126</v>
      </c>
      <c r="E2092">
        <v>2023</v>
      </c>
      <c r="F2092" s="1">
        <v>4</v>
      </c>
      <c r="G2092">
        <v>1970</v>
      </c>
      <c r="H2092">
        <f>AVERAGEIFS(Table1[value],Table1[IndicatorCode],Table1[[#This Row],[IndicatorCode]])</f>
        <v>7.6894248608534319</v>
      </c>
      <c r="I2092" cm="1">
        <f t="array" ref="I2092">_xlfn.STDEV.P(IF(Table1[IndicatorCode]=Table1[[#This Row],[IndicatorCode]],Table1[value]))</f>
        <v>5.2319501044600996</v>
      </c>
      <c r="J2092">
        <f>(Table1[[#This Row],[value]] - Table1[[#This Row],[mean]]) / Table1[[#This Row],[std_dev]]</f>
        <v>-0.7051720271010028</v>
      </c>
      <c r="K2092">
        <f>AVERAGEIF(Table1[CountryCode],Table1[[#This Row],[CountryCode]],Table1[z-score])</f>
        <v>-0.86099801634454787</v>
      </c>
      <c r="L2092" t="e">
        <f>VLOOKUP(Table1[[#This Row],[CountryCode]],[1]!Table1[#Data],4,FALSE)</f>
        <v>#REF!</v>
      </c>
    </row>
    <row r="2093" spans="1:12" hidden="1" x14ac:dyDescent="0.3">
      <c r="A2093" t="s">
        <v>17</v>
      </c>
      <c r="B2093" t="s">
        <v>18</v>
      </c>
      <c r="C2093" t="s">
        <v>125</v>
      </c>
      <c r="D2093" t="s">
        <v>126</v>
      </c>
      <c r="E2093">
        <v>2024</v>
      </c>
      <c r="F2093" s="1">
        <v>4</v>
      </c>
      <c r="G2093">
        <v>1970</v>
      </c>
      <c r="H2093">
        <f>AVERAGEIFS(Table1[value],Table1[IndicatorCode],Table1[[#This Row],[IndicatorCode]])</f>
        <v>7.6894248608534319</v>
      </c>
      <c r="I2093" cm="1">
        <f t="array" ref="I2093">_xlfn.STDEV.P(IF(Table1[IndicatorCode]=Table1[[#This Row],[IndicatorCode]],Table1[value]))</f>
        <v>5.2319501044600996</v>
      </c>
      <c r="J2093">
        <f>(Table1[[#This Row],[value]] - Table1[[#This Row],[mean]]) / Table1[[#This Row],[std_dev]]</f>
        <v>-0.7051720271010028</v>
      </c>
      <c r="K2093">
        <f>AVERAGEIF(Table1[CountryCode],Table1[[#This Row],[CountryCode]],Table1[z-score])</f>
        <v>-0.86099801634454787</v>
      </c>
      <c r="L2093" t="e">
        <f>VLOOKUP(Table1[[#This Row],[CountryCode]],[1]!Table1[#Data],4,FALSE)</f>
        <v>#REF!</v>
      </c>
    </row>
    <row r="2094" spans="1:12" hidden="1" x14ac:dyDescent="0.3">
      <c r="A2094" t="s">
        <v>19</v>
      </c>
      <c r="B2094" t="s">
        <v>20</v>
      </c>
      <c r="C2094" t="s">
        <v>125</v>
      </c>
      <c r="D2094" t="s">
        <v>126</v>
      </c>
      <c r="E2094">
        <v>1970</v>
      </c>
      <c r="F2094" s="1">
        <v>14</v>
      </c>
      <c r="G2094">
        <v>1970</v>
      </c>
      <c r="H2094">
        <f>AVERAGEIFS(Table1[value],Table1[IndicatorCode],Table1[[#This Row],[IndicatorCode]])</f>
        <v>7.6894248608534319</v>
      </c>
      <c r="I2094" cm="1">
        <f t="array" ref="I2094">_xlfn.STDEV.P(IF(Table1[IndicatorCode]=Table1[[#This Row],[IndicatorCode]],Table1[value]))</f>
        <v>5.2319501044600996</v>
      </c>
      <c r="J2094">
        <f>(Table1[[#This Row],[value]] - Table1[[#This Row],[mean]]) / Table1[[#This Row],[std_dev]]</f>
        <v>1.2061611852465812</v>
      </c>
      <c r="K2094">
        <f>AVERAGEIF(Table1[CountryCode],Table1[[#This Row],[CountryCode]],Table1[z-score])</f>
        <v>0.41927804487804637</v>
      </c>
      <c r="L2094" t="e">
        <f>VLOOKUP(Table1[[#This Row],[CountryCode]],[1]!Table1[#Data],4,FALSE)</f>
        <v>#REF!</v>
      </c>
    </row>
    <row r="2095" spans="1:12" hidden="1" x14ac:dyDescent="0.3">
      <c r="A2095" t="s">
        <v>19</v>
      </c>
      <c r="B2095" t="s">
        <v>20</v>
      </c>
      <c r="C2095" t="s">
        <v>125</v>
      </c>
      <c r="D2095" t="s">
        <v>126</v>
      </c>
      <c r="E2095">
        <v>1971</v>
      </c>
      <c r="F2095" s="1">
        <v>13</v>
      </c>
      <c r="G2095">
        <v>1970</v>
      </c>
      <c r="H2095">
        <f>AVERAGEIFS(Table1[value],Table1[IndicatorCode],Table1[[#This Row],[IndicatorCode]])</f>
        <v>7.6894248608534319</v>
      </c>
      <c r="I2095" cm="1">
        <f t="array" ref="I2095">_xlfn.STDEV.P(IF(Table1[IndicatorCode]=Table1[[#This Row],[IndicatorCode]],Table1[value]))</f>
        <v>5.2319501044600996</v>
      </c>
      <c r="J2095">
        <f>(Table1[[#This Row],[value]] - Table1[[#This Row],[mean]]) / Table1[[#This Row],[std_dev]]</f>
        <v>1.0150278640118229</v>
      </c>
      <c r="K2095">
        <f>AVERAGEIF(Table1[CountryCode],Table1[[#This Row],[CountryCode]],Table1[z-score])</f>
        <v>0.41927804487804637</v>
      </c>
      <c r="L2095" t="e">
        <f>VLOOKUP(Table1[[#This Row],[CountryCode]],[1]!Table1[#Data],4,FALSE)</f>
        <v>#REF!</v>
      </c>
    </row>
    <row r="2096" spans="1:12" hidden="1" x14ac:dyDescent="0.3">
      <c r="A2096" t="s">
        <v>19</v>
      </c>
      <c r="B2096" t="s">
        <v>20</v>
      </c>
      <c r="C2096" t="s">
        <v>125</v>
      </c>
      <c r="D2096" t="s">
        <v>126</v>
      </c>
      <c r="E2096">
        <v>1972</v>
      </c>
      <c r="F2096" s="1">
        <v>15</v>
      </c>
      <c r="G2096">
        <v>1970</v>
      </c>
      <c r="H2096">
        <f>AVERAGEIFS(Table1[value],Table1[IndicatorCode],Table1[[#This Row],[IndicatorCode]])</f>
        <v>7.6894248608534319</v>
      </c>
      <c r="I2096" cm="1">
        <f t="array" ref="I2096">_xlfn.STDEV.P(IF(Table1[IndicatorCode]=Table1[[#This Row],[IndicatorCode]],Table1[value]))</f>
        <v>5.2319501044600996</v>
      </c>
      <c r="J2096">
        <f>(Table1[[#This Row],[value]] - Table1[[#This Row],[mean]]) / Table1[[#This Row],[std_dev]]</f>
        <v>1.3972945064813396</v>
      </c>
      <c r="K2096">
        <f>AVERAGEIF(Table1[CountryCode],Table1[[#This Row],[CountryCode]],Table1[z-score])</f>
        <v>0.41927804487804637</v>
      </c>
      <c r="L2096" t="e">
        <f>VLOOKUP(Table1[[#This Row],[CountryCode]],[1]!Table1[#Data],4,FALSE)</f>
        <v>#REF!</v>
      </c>
    </row>
    <row r="2097" spans="1:12" hidden="1" x14ac:dyDescent="0.3">
      <c r="A2097" t="s">
        <v>19</v>
      </c>
      <c r="B2097" t="s">
        <v>20</v>
      </c>
      <c r="C2097" t="s">
        <v>125</v>
      </c>
      <c r="D2097" t="s">
        <v>126</v>
      </c>
      <c r="E2097">
        <v>1973</v>
      </c>
      <c r="F2097" s="1">
        <v>15</v>
      </c>
      <c r="G2097">
        <v>1970</v>
      </c>
      <c r="H2097">
        <f>AVERAGEIFS(Table1[value],Table1[IndicatorCode],Table1[[#This Row],[IndicatorCode]])</f>
        <v>7.6894248608534319</v>
      </c>
      <c r="I2097" cm="1">
        <f t="array" ref="I2097">_xlfn.STDEV.P(IF(Table1[IndicatorCode]=Table1[[#This Row],[IndicatorCode]],Table1[value]))</f>
        <v>5.2319501044600996</v>
      </c>
      <c r="J2097">
        <f>(Table1[[#This Row],[value]] - Table1[[#This Row],[mean]]) / Table1[[#This Row],[std_dev]]</f>
        <v>1.3972945064813396</v>
      </c>
      <c r="K2097">
        <f>AVERAGEIF(Table1[CountryCode],Table1[[#This Row],[CountryCode]],Table1[z-score])</f>
        <v>0.41927804487804637</v>
      </c>
      <c r="L2097" t="e">
        <f>VLOOKUP(Table1[[#This Row],[CountryCode]],[1]!Table1[#Data],4,FALSE)</f>
        <v>#REF!</v>
      </c>
    </row>
    <row r="2098" spans="1:12" hidden="1" x14ac:dyDescent="0.3">
      <c r="A2098" t="s">
        <v>19</v>
      </c>
      <c r="B2098" t="s">
        <v>20</v>
      </c>
      <c r="C2098" t="s">
        <v>125</v>
      </c>
      <c r="D2098" t="s">
        <v>126</v>
      </c>
      <c r="E2098">
        <v>1974</v>
      </c>
      <c r="F2098" s="1">
        <v>15</v>
      </c>
      <c r="G2098">
        <v>1970</v>
      </c>
      <c r="H2098">
        <f>AVERAGEIFS(Table1[value],Table1[IndicatorCode],Table1[[#This Row],[IndicatorCode]])</f>
        <v>7.6894248608534319</v>
      </c>
      <c r="I2098" cm="1">
        <f t="array" ref="I2098">_xlfn.STDEV.P(IF(Table1[IndicatorCode]=Table1[[#This Row],[IndicatorCode]],Table1[value]))</f>
        <v>5.2319501044600996</v>
      </c>
      <c r="J2098">
        <f>(Table1[[#This Row],[value]] - Table1[[#This Row],[mean]]) / Table1[[#This Row],[std_dev]]</f>
        <v>1.3972945064813396</v>
      </c>
      <c r="K2098">
        <f>AVERAGEIF(Table1[CountryCode],Table1[[#This Row],[CountryCode]],Table1[z-score])</f>
        <v>0.41927804487804637</v>
      </c>
      <c r="L2098" t="e">
        <f>VLOOKUP(Table1[[#This Row],[CountryCode]],[1]!Table1[#Data],4,FALSE)</f>
        <v>#REF!</v>
      </c>
    </row>
    <row r="2099" spans="1:12" hidden="1" x14ac:dyDescent="0.3">
      <c r="A2099" t="s">
        <v>19</v>
      </c>
      <c r="B2099" t="s">
        <v>20</v>
      </c>
      <c r="C2099" t="s">
        <v>125</v>
      </c>
      <c r="D2099" t="s">
        <v>126</v>
      </c>
      <c r="E2099">
        <v>1975</v>
      </c>
      <c r="F2099" s="1">
        <v>13</v>
      </c>
      <c r="G2099">
        <v>1970</v>
      </c>
      <c r="H2099">
        <f>AVERAGEIFS(Table1[value],Table1[IndicatorCode],Table1[[#This Row],[IndicatorCode]])</f>
        <v>7.6894248608534319</v>
      </c>
      <c r="I2099" cm="1">
        <f t="array" ref="I2099">_xlfn.STDEV.P(IF(Table1[IndicatorCode]=Table1[[#This Row],[IndicatorCode]],Table1[value]))</f>
        <v>5.2319501044600996</v>
      </c>
      <c r="J2099">
        <f>(Table1[[#This Row],[value]] - Table1[[#This Row],[mean]]) / Table1[[#This Row],[std_dev]]</f>
        <v>1.0150278640118229</v>
      </c>
      <c r="K2099">
        <f>AVERAGEIF(Table1[CountryCode],Table1[[#This Row],[CountryCode]],Table1[z-score])</f>
        <v>0.41927804487804637</v>
      </c>
      <c r="L2099" t="e">
        <f>VLOOKUP(Table1[[#This Row],[CountryCode]],[1]!Table1[#Data],4,FALSE)</f>
        <v>#REF!</v>
      </c>
    </row>
    <row r="2100" spans="1:12" hidden="1" x14ac:dyDescent="0.3">
      <c r="A2100" t="s">
        <v>19</v>
      </c>
      <c r="B2100" t="s">
        <v>20</v>
      </c>
      <c r="C2100" t="s">
        <v>125</v>
      </c>
      <c r="D2100" t="s">
        <v>126</v>
      </c>
      <c r="E2100">
        <v>1976</v>
      </c>
      <c r="F2100" s="1">
        <v>14</v>
      </c>
      <c r="G2100">
        <v>1970</v>
      </c>
      <c r="H2100">
        <f>AVERAGEIFS(Table1[value],Table1[IndicatorCode],Table1[[#This Row],[IndicatorCode]])</f>
        <v>7.6894248608534319</v>
      </c>
      <c r="I2100" cm="1">
        <f t="array" ref="I2100">_xlfn.STDEV.P(IF(Table1[IndicatorCode]=Table1[[#This Row],[IndicatorCode]],Table1[value]))</f>
        <v>5.2319501044600996</v>
      </c>
      <c r="J2100">
        <f>(Table1[[#This Row],[value]] - Table1[[#This Row],[mean]]) / Table1[[#This Row],[std_dev]]</f>
        <v>1.2061611852465812</v>
      </c>
      <c r="K2100">
        <f>AVERAGEIF(Table1[CountryCode],Table1[[#This Row],[CountryCode]],Table1[z-score])</f>
        <v>0.41927804487804637</v>
      </c>
      <c r="L2100" t="e">
        <f>VLOOKUP(Table1[[#This Row],[CountryCode]],[1]!Table1[#Data],4,FALSE)</f>
        <v>#REF!</v>
      </c>
    </row>
    <row r="2101" spans="1:12" hidden="1" x14ac:dyDescent="0.3">
      <c r="A2101" t="s">
        <v>19</v>
      </c>
      <c r="B2101" t="s">
        <v>20</v>
      </c>
      <c r="C2101" t="s">
        <v>125</v>
      </c>
      <c r="D2101" t="s">
        <v>126</v>
      </c>
      <c r="E2101">
        <v>1977</v>
      </c>
      <c r="F2101" s="1">
        <v>14</v>
      </c>
      <c r="G2101">
        <v>1980</v>
      </c>
      <c r="H2101">
        <f>AVERAGEIFS(Table1[value],Table1[IndicatorCode],Table1[[#This Row],[IndicatorCode]])</f>
        <v>7.6894248608534319</v>
      </c>
      <c r="I2101" cm="1">
        <f t="array" ref="I2101">_xlfn.STDEV.P(IF(Table1[IndicatorCode]=Table1[[#This Row],[IndicatorCode]],Table1[value]))</f>
        <v>5.2319501044600996</v>
      </c>
      <c r="J2101">
        <f>(Table1[[#This Row],[value]] - Table1[[#This Row],[mean]]) / Table1[[#This Row],[std_dev]]</f>
        <v>1.2061611852465812</v>
      </c>
      <c r="K2101">
        <f>AVERAGEIF(Table1[CountryCode],Table1[[#This Row],[CountryCode]],Table1[z-score])</f>
        <v>0.41927804487804637</v>
      </c>
      <c r="L2101" t="e">
        <f>VLOOKUP(Table1[[#This Row],[CountryCode]],[1]!Table1[#Data],4,FALSE)</f>
        <v>#REF!</v>
      </c>
    </row>
    <row r="2102" spans="1:12" hidden="1" x14ac:dyDescent="0.3">
      <c r="A2102" t="s">
        <v>19</v>
      </c>
      <c r="B2102" t="s">
        <v>20</v>
      </c>
      <c r="C2102" t="s">
        <v>125</v>
      </c>
      <c r="D2102" t="s">
        <v>126</v>
      </c>
      <c r="E2102">
        <v>1978</v>
      </c>
      <c r="F2102" s="1">
        <v>14</v>
      </c>
      <c r="G2102">
        <v>1980</v>
      </c>
      <c r="H2102">
        <f>AVERAGEIFS(Table1[value],Table1[IndicatorCode],Table1[[#This Row],[IndicatorCode]])</f>
        <v>7.6894248608534319</v>
      </c>
      <c r="I2102" cm="1">
        <f t="array" ref="I2102">_xlfn.STDEV.P(IF(Table1[IndicatorCode]=Table1[[#This Row],[IndicatorCode]],Table1[value]))</f>
        <v>5.2319501044600996</v>
      </c>
      <c r="J2102">
        <f>(Table1[[#This Row],[value]] - Table1[[#This Row],[mean]]) / Table1[[#This Row],[std_dev]]</f>
        <v>1.2061611852465812</v>
      </c>
      <c r="K2102">
        <f>AVERAGEIF(Table1[CountryCode],Table1[[#This Row],[CountryCode]],Table1[z-score])</f>
        <v>0.41927804487804637</v>
      </c>
      <c r="L2102" t="e">
        <f>VLOOKUP(Table1[[#This Row],[CountryCode]],[1]!Table1[#Data],4,FALSE)</f>
        <v>#REF!</v>
      </c>
    </row>
    <row r="2103" spans="1:12" hidden="1" x14ac:dyDescent="0.3">
      <c r="A2103" t="s">
        <v>19</v>
      </c>
      <c r="B2103" t="s">
        <v>20</v>
      </c>
      <c r="C2103" t="s">
        <v>125</v>
      </c>
      <c r="D2103" t="s">
        <v>126</v>
      </c>
      <c r="E2103">
        <v>1979</v>
      </c>
      <c r="F2103" s="1">
        <v>15</v>
      </c>
      <c r="G2103">
        <v>1980</v>
      </c>
      <c r="H2103">
        <f>AVERAGEIFS(Table1[value],Table1[IndicatorCode],Table1[[#This Row],[IndicatorCode]])</f>
        <v>7.6894248608534319</v>
      </c>
      <c r="I2103" cm="1">
        <f t="array" ref="I2103">_xlfn.STDEV.P(IF(Table1[IndicatorCode]=Table1[[#This Row],[IndicatorCode]],Table1[value]))</f>
        <v>5.2319501044600996</v>
      </c>
      <c r="J2103">
        <f>(Table1[[#This Row],[value]] - Table1[[#This Row],[mean]]) / Table1[[#This Row],[std_dev]]</f>
        <v>1.3972945064813396</v>
      </c>
      <c r="K2103">
        <f>AVERAGEIF(Table1[CountryCode],Table1[[#This Row],[CountryCode]],Table1[z-score])</f>
        <v>0.41927804487804637</v>
      </c>
      <c r="L2103" t="e">
        <f>VLOOKUP(Table1[[#This Row],[CountryCode]],[1]!Table1[#Data],4,FALSE)</f>
        <v>#REF!</v>
      </c>
    </row>
    <row r="2104" spans="1:12" hidden="1" x14ac:dyDescent="0.3">
      <c r="A2104" t="s">
        <v>19</v>
      </c>
      <c r="B2104" t="s">
        <v>20</v>
      </c>
      <c r="C2104" t="s">
        <v>125</v>
      </c>
      <c r="D2104" t="s">
        <v>126</v>
      </c>
      <c r="E2104">
        <v>1980</v>
      </c>
      <c r="F2104" s="1">
        <v>14</v>
      </c>
      <c r="G2104">
        <v>1980</v>
      </c>
      <c r="H2104">
        <f>AVERAGEIFS(Table1[value],Table1[IndicatorCode],Table1[[#This Row],[IndicatorCode]])</f>
        <v>7.6894248608534319</v>
      </c>
      <c r="I2104" cm="1">
        <f t="array" ref="I2104">_xlfn.STDEV.P(IF(Table1[IndicatorCode]=Table1[[#This Row],[IndicatorCode]],Table1[value]))</f>
        <v>5.2319501044600996</v>
      </c>
      <c r="J2104">
        <f>(Table1[[#This Row],[value]] - Table1[[#This Row],[mean]]) / Table1[[#This Row],[std_dev]]</f>
        <v>1.2061611852465812</v>
      </c>
      <c r="K2104">
        <f>AVERAGEIF(Table1[CountryCode],Table1[[#This Row],[CountryCode]],Table1[z-score])</f>
        <v>0.41927804487804637</v>
      </c>
      <c r="L2104" t="e">
        <f>VLOOKUP(Table1[[#This Row],[CountryCode]],[1]!Table1[#Data],4,FALSE)</f>
        <v>#REF!</v>
      </c>
    </row>
    <row r="2105" spans="1:12" hidden="1" x14ac:dyDescent="0.3">
      <c r="A2105" t="s">
        <v>19</v>
      </c>
      <c r="B2105" t="s">
        <v>20</v>
      </c>
      <c r="C2105" t="s">
        <v>125</v>
      </c>
      <c r="D2105" t="s">
        <v>126</v>
      </c>
      <c r="E2105">
        <v>1981</v>
      </c>
      <c r="F2105" s="1">
        <v>13</v>
      </c>
      <c r="G2105">
        <v>1980</v>
      </c>
      <c r="H2105">
        <f>AVERAGEIFS(Table1[value],Table1[IndicatorCode],Table1[[#This Row],[IndicatorCode]])</f>
        <v>7.6894248608534319</v>
      </c>
      <c r="I2105" cm="1">
        <f t="array" ref="I2105">_xlfn.STDEV.P(IF(Table1[IndicatorCode]=Table1[[#This Row],[IndicatorCode]],Table1[value]))</f>
        <v>5.2319501044600996</v>
      </c>
      <c r="J2105">
        <f>(Table1[[#This Row],[value]] - Table1[[#This Row],[mean]]) / Table1[[#This Row],[std_dev]]</f>
        <v>1.0150278640118229</v>
      </c>
      <c r="K2105">
        <f>AVERAGEIF(Table1[CountryCode],Table1[[#This Row],[CountryCode]],Table1[z-score])</f>
        <v>0.41927804487804637</v>
      </c>
      <c r="L2105" t="e">
        <f>VLOOKUP(Table1[[#This Row],[CountryCode]],[1]!Table1[#Data],4,FALSE)</f>
        <v>#REF!</v>
      </c>
    </row>
    <row r="2106" spans="1:12" hidden="1" x14ac:dyDescent="0.3">
      <c r="A2106" t="s">
        <v>19</v>
      </c>
      <c r="B2106" t="s">
        <v>20</v>
      </c>
      <c r="C2106" t="s">
        <v>125</v>
      </c>
      <c r="D2106" t="s">
        <v>126</v>
      </c>
      <c r="E2106">
        <v>1982</v>
      </c>
      <c r="F2106" s="1">
        <v>12</v>
      </c>
      <c r="G2106">
        <v>1980</v>
      </c>
      <c r="H2106">
        <f>AVERAGEIFS(Table1[value],Table1[IndicatorCode],Table1[[#This Row],[IndicatorCode]])</f>
        <v>7.6894248608534319</v>
      </c>
      <c r="I2106" cm="1">
        <f t="array" ref="I2106">_xlfn.STDEV.P(IF(Table1[IndicatorCode]=Table1[[#This Row],[IndicatorCode]],Table1[value]))</f>
        <v>5.2319501044600996</v>
      </c>
      <c r="J2106">
        <f>(Table1[[#This Row],[value]] - Table1[[#This Row],[mean]]) / Table1[[#This Row],[std_dev]]</f>
        <v>0.82389454277706442</v>
      </c>
      <c r="K2106">
        <f>AVERAGEIF(Table1[CountryCode],Table1[[#This Row],[CountryCode]],Table1[z-score])</f>
        <v>0.41927804487804637</v>
      </c>
      <c r="L2106" t="e">
        <f>VLOOKUP(Table1[[#This Row],[CountryCode]],[1]!Table1[#Data],4,FALSE)</f>
        <v>#REF!</v>
      </c>
    </row>
    <row r="2107" spans="1:12" hidden="1" x14ac:dyDescent="0.3">
      <c r="A2107" t="s">
        <v>19</v>
      </c>
      <c r="B2107" t="s">
        <v>20</v>
      </c>
      <c r="C2107" t="s">
        <v>125</v>
      </c>
      <c r="D2107" t="s">
        <v>126</v>
      </c>
      <c r="E2107">
        <v>1983</v>
      </c>
      <c r="F2107" s="1">
        <v>11</v>
      </c>
      <c r="G2107">
        <v>1980</v>
      </c>
      <c r="H2107">
        <f>AVERAGEIFS(Table1[value],Table1[IndicatorCode],Table1[[#This Row],[IndicatorCode]])</f>
        <v>7.6894248608534319</v>
      </c>
      <c r="I2107" cm="1">
        <f t="array" ref="I2107">_xlfn.STDEV.P(IF(Table1[IndicatorCode]=Table1[[#This Row],[IndicatorCode]],Table1[value]))</f>
        <v>5.2319501044600996</v>
      </c>
      <c r="J2107">
        <f>(Table1[[#This Row],[value]] - Table1[[#This Row],[mean]]) / Table1[[#This Row],[std_dev]]</f>
        <v>0.63276122154230596</v>
      </c>
      <c r="K2107">
        <f>AVERAGEIF(Table1[CountryCode],Table1[[#This Row],[CountryCode]],Table1[z-score])</f>
        <v>0.41927804487804637</v>
      </c>
      <c r="L2107" t="e">
        <f>VLOOKUP(Table1[[#This Row],[CountryCode]],[1]!Table1[#Data],4,FALSE)</f>
        <v>#REF!</v>
      </c>
    </row>
    <row r="2108" spans="1:12" hidden="1" x14ac:dyDescent="0.3">
      <c r="A2108" t="s">
        <v>19</v>
      </c>
      <c r="B2108" t="s">
        <v>20</v>
      </c>
      <c r="C2108" t="s">
        <v>125</v>
      </c>
      <c r="D2108" t="s">
        <v>126</v>
      </c>
      <c r="E2108">
        <v>1984</v>
      </c>
      <c r="F2108" s="1">
        <v>11</v>
      </c>
      <c r="G2108">
        <v>1980</v>
      </c>
      <c r="H2108">
        <f>AVERAGEIFS(Table1[value],Table1[IndicatorCode],Table1[[#This Row],[IndicatorCode]])</f>
        <v>7.6894248608534319</v>
      </c>
      <c r="I2108" cm="1">
        <f t="array" ref="I2108">_xlfn.STDEV.P(IF(Table1[IndicatorCode]=Table1[[#This Row],[IndicatorCode]],Table1[value]))</f>
        <v>5.2319501044600996</v>
      </c>
      <c r="J2108">
        <f>(Table1[[#This Row],[value]] - Table1[[#This Row],[mean]]) / Table1[[#This Row],[std_dev]]</f>
        <v>0.63276122154230596</v>
      </c>
      <c r="K2108">
        <f>AVERAGEIF(Table1[CountryCode],Table1[[#This Row],[CountryCode]],Table1[z-score])</f>
        <v>0.41927804487804637</v>
      </c>
      <c r="L2108" t="e">
        <f>VLOOKUP(Table1[[#This Row],[CountryCode]],[1]!Table1[#Data],4,FALSE)</f>
        <v>#REF!</v>
      </c>
    </row>
    <row r="2109" spans="1:12" hidden="1" x14ac:dyDescent="0.3">
      <c r="A2109" t="s">
        <v>19</v>
      </c>
      <c r="B2109" t="s">
        <v>20</v>
      </c>
      <c r="C2109" t="s">
        <v>125</v>
      </c>
      <c r="D2109" t="s">
        <v>126</v>
      </c>
      <c r="E2109">
        <v>1985</v>
      </c>
      <c r="F2109" s="1">
        <v>11</v>
      </c>
      <c r="G2109">
        <v>1980</v>
      </c>
      <c r="H2109">
        <f>AVERAGEIFS(Table1[value],Table1[IndicatorCode],Table1[[#This Row],[IndicatorCode]])</f>
        <v>7.6894248608534319</v>
      </c>
      <c r="I2109" cm="1">
        <f t="array" ref="I2109">_xlfn.STDEV.P(IF(Table1[IndicatorCode]=Table1[[#This Row],[IndicatorCode]],Table1[value]))</f>
        <v>5.2319501044600996</v>
      </c>
      <c r="J2109">
        <f>(Table1[[#This Row],[value]] - Table1[[#This Row],[mean]]) / Table1[[#This Row],[std_dev]]</f>
        <v>0.63276122154230596</v>
      </c>
      <c r="K2109">
        <f>AVERAGEIF(Table1[CountryCode],Table1[[#This Row],[CountryCode]],Table1[z-score])</f>
        <v>0.41927804487804637</v>
      </c>
      <c r="L2109" t="e">
        <f>VLOOKUP(Table1[[#This Row],[CountryCode]],[1]!Table1[#Data],4,FALSE)</f>
        <v>#REF!</v>
      </c>
    </row>
    <row r="2110" spans="1:12" hidden="1" x14ac:dyDescent="0.3">
      <c r="A2110" t="s">
        <v>19</v>
      </c>
      <c r="B2110" t="s">
        <v>20</v>
      </c>
      <c r="C2110" t="s">
        <v>125</v>
      </c>
      <c r="D2110" t="s">
        <v>126</v>
      </c>
      <c r="E2110">
        <v>1986</v>
      </c>
      <c r="F2110" s="1">
        <v>11</v>
      </c>
      <c r="G2110">
        <v>1980</v>
      </c>
      <c r="H2110">
        <f>AVERAGEIFS(Table1[value],Table1[IndicatorCode],Table1[[#This Row],[IndicatorCode]])</f>
        <v>7.6894248608534319</v>
      </c>
      <c r="I2110" cm="1">
        <f t="array" ref="I2110">_xlfn.STDEV.P(IF(Table1[IndicatorCode]=Table1[[#This Row],[IndicatorCode]],Table1[value]))</f>
        <v>5.2319501044600996</v>
      </c>
      <c r="J2110">
        <f>(Table1[[#This Row],[value]] - Table1[[#This Row],[mean]]) / Table1[[#This Row],[std_dev]]</f>
        <v>0.63276122154230596</v>
      </c>
      <c r="K2110">
        <f>AVERAGEIF(Table1[CountryCode],Table1[[#This Row],[CountryCode]],Table1[z-score])</f>
        <v>0.41927804487804637</v>
      </c>
      <c r="L2110" t="e">
        <f>VLOOKUP(Table1[[#This Row],[CountryCode]],[1]!Table1[#Data],4,FALSE)</f>
        <v>#REF!</v>
      </c>
    </row>
    <row r="2111" spans="1:12" hidden="1" x14ac:dyDescent="0.3">
      <c r="A2111" t="s">
        <v>19</v>
      </c>
      <c r="B2111" t="s">
        <v>20</v>
      </c>
      <c r="C2111" t="s">
        <v>125</v>
      </c>
      <c r="D2111" t="s">
        <v>126</v>
      </c>
      <c r="E2111">
        <v>1987</v>
      </c>
      <c r="F2111" s="1">
        <v>11</v>
      </c>
      <c r="G2111">
        <v>1990</v>
      </c>
      <c r="H2111">
        <f>AVERAGEIFS(Table1[value],Table1[IndicatorCode],Table1[[#This Row],[IndicatorCode]])</f>
        <v>7.6894248608534319</v>
      </c>
      <c r="I2111" cm="1">
        <f t="array" ref="I2111">_xlfn.STDEV.P(IF(Table1[IndicatorCode]=Table1[[#This Row],[IndicatorCode]],Table1[value]))</f>
        <v>5.2319501044600996</v>
      </c>
      <c r="J2111">
        <f>(Table1[[#This Row],[value]] - Table1[[#This Row],[mean]]) / Table1[[#This Row],[std_dev]]</f>
        <v>0.63276122154230596</v>
      </c>
      <c r="K2111">
        <f>AVERAGEIF(Table1[CountryCode],Table1[[#This Row],[CountryCode]],Table1[z-score])</f>
        <v>0.41927804487804637</v>
      </c>
      <c r="L2111" t="e">
        <f>VLOOKUP(Table1[[#This Row],[CountryCode]],[1]!Table1[#Data],4,FALSE)</f>
        <v>#REF!</v>
      </c>
    </row>
    <row r="2112" spans="1:12" hidden="1" x14ac:dyDescent="0.3">
      <c r="A2112" t="s">
        <v>19</v>
      </c>
      <c r="B2112" t="s">
        <v>20</v>
      </c>
      <c r="C2112" t="s">
        <v>125</v>
      </c>
      <c r="D2112" t="s">
        <v>126</v>
      </c>
      <c r="E2112">
        <v>1988</v>
      </c>
      <c r="F2112" s="1">
        <v>11</v>
      </c>
      <c r="G2112">
        <v>1990</v>
      </c>
      <c r="H2112">
        <f>AVERAGEIFS(Table1[value],Table1[IndicatorCode],Table1[[#This Row],[IndicatorCode]])</f>
        <v>7.6894248608534319</v>
      </c>
      <c r="I2112" cm="1">
        <f t="array" ref="I2112">_xlfn.STDEV.P(IF(Table1[IndicatorCode]=Table1[[#This Row],[IndicatorCode]],Table1[value]))</f>
        <v>5.2319501044600996</v>
      </c>
      <c r="J2112">
        <f>(Table1[[#This Row],[value]] - Table1[[#This Row],[mean]]) / Table1[[#This Row],[std_dev]]</f>
        <v>0.63276122154230596</v>
      </c>
      <c r="K2112">
        <f>AVERAGEIF(Table1[CountryCode],Table1[[#This Row],[CountryCode]],Table1[z-score])</f>
        <v>0.41927804487804637</v>
      </c>
      <c r="L2112" t="e">
        <f>VLOOKUP(Table1[[#This Row],[CountryCode]],[1]!Table1[#Data],4,FALSE)</f>
        <v>#REF!</v>
      </c>
    </row>
    <row r="2113" spans="1:12" hidden="1" x14ac:dyDescent="0.3">
      <c r="A2113" t="s">
        <v>19</v>
      </c>
      <c r="B2113" t="s">
        <v>20</v>
      </c>
      <c r="C2113" t="s">
        <v>125</v>
      </c>
      <c r="D2113" t="s">
        <v>126</v>
      </c>
      <c r="E2113">
        <v>1989</v>
      </c>
      <c r="F2113" s="1">
        <v>11</v>
      </c>
      <c r="G2113">
        <v>1990</v>
      </c>
      <c r="H2113">
        <f>AVERAGEIFS(Table1[value],Table1[IndicatorCode],Table1[[#This Row],[IndicatorCode]])</f>
        <v>7.6894248608534319</v>
      </c>
      <c r="I2113" cm="1">
        <f t="array" ref="I2113">_xlfn.STDEV.P(IF(Table1[IndicatorCode]=Table1[[#This Row],[IndicatorCode]],Table1[value]))</f>
        <v>5.2319501044600996</v>
      </c>
      <c r="J2113">
        <f>(Table1[[#This Row],[value]] - Table1[[#This Row],[mean]]) / Table1[[#This Row],[std_dev]]</f>
        <v>0.63276122154230596</v>
      </c>
      <c r="K2113">
        <f>AVERAGEIF(Table1[CountryCode],Table1[[#This Row],[CountryCode]],Table1[z-score])</f>
        <v>0.41927804487804637</v>
      </c>
      <c r="L2113" t="e">
        <f>VLOOKUP(Table1[[#This Row],[CountryCode]],[1]!Table1[#Data],4,FALSE)</f>
        <v>#REF!</v>
      </c>
    </row>
    <row r="2114" spans="1:12" hidden="1" x14ac:dyDescent="0.3">
      <c r="A2114" t="s">
        <v>19</v>
      </c>
      <c r="B2114" t="s">
        <v>20</v>
      </c>
      <c r="C2114" t="s">
        <v>125</v>
      </c>
      <c r="D2114" t="s">
        <v>126</v>
      </c>
      <c r="E2114">
        <v>1990</v>
      </c>
      <c r="F2114" s="1">
        <v>12</v>
      </c>
      <c r="G2114">
        <v>1990</v>
      </c>
      <c r="H2114">
        <f>AVERAGEIFS(Table1[value],Table1[IndicatorCode],Table1[[#This Row],[IndicatorCode]])</f>
        <v>7.6894248608534319</v>
      </c>
      <c r="I2114" cm="1">
        <f t="array" ref="I2114">_xlfn.STDEV.P(IF(Table1[IndicatorCode]=Table1[[#This Row],[IndicatorCode]],Table1[value]))</f>
        <v>5.2319501044600996</v>
      </c>
      <c r="J2114">
        <f>(Table1[[#This Row],[value]] - Table1[[#This Row],[mean]]) / Table1[[#This Row],[std_dev]]</f>
        <v>0.82389454277706442</v>
      </c>
      <c r="K2114">
        <f>AVERAGEIF(Table1[CountryCode],Table1[[#This Row],[CountryCode]],Table1[z-score])</f>
        <v>0.41927804487804637</v>
      </c>
      <c r="L2114" t="e">
        <f>VLOOKUP(Table1[[#This Row],[CountryCode]],[1]!Table1[#Data],4,FALSE)</f>
        <v>#REF!</v>
      </c>
    </row>
    <row r="2115" spans="1:12" hidden="1" x14ac:dyDescent="0.3">
      <c r="A2115" t="s">
        <v>19</v>
      </c>
      <c r="B2115" t="s">
        <v>20</v>
      </c>
      <c r="C2115" t="s">
        <v>125</v>
      </c>
      <c r="D2115" t="s">
        <v>126</v>
      </c>
      <c r="E2115">
        <v>1991</v>
      </c>
      <c r="F2115" s="1">
        <v>12</v>
      </c>
      <c r="G2115">
        <v>1990</v>
      </c>
      <c r="H2115">
        <f>AVERAGEIFS(Table1[value],Table1[IndicatorCode],Table1[[#This Row],[IndicatorCode]])</f>
        <v>7.6894248608534319</v>
      </c>
      <c r="I2115" cm="1">
        <f t="array" ref="I2115">_xlfn.STDEV.P(IF(Table1[IndicatorCode]=Table1[[#This Row],[IndicatorCode]],Table1[value]))</f>
        <v>5.2319501044600996</v>
      </c>
      <c r="J2115">
        <f>(Table1[[#This Row],[value]] - Table1[[#This Row],[mean]]) / Table1[[#This Row],[std_dev]]</f>
        <v>0.82389454277706442</v>
      </c>
      <c r="K2115">
        <f>AVERAGEIF(Table1[CountryCode],Table1[[#This Row],[CountryCode]],Table1[z-score])</f>
        <v>0.41927804487804637</v>
      </c>
      <c r="L2115" t="e">
        <f>VLOOKUP(Table1[[#This Row],[CountryCode]],[1]!Table1[#Data],4,FALSE)</f>
        <v>#REF!</v>
      </c>
    </row>
    <row r="2116" spans="1:12" hidden="1" x14ac:dyDescent="0.3">
      <c r="A2116" t="s">
        <v>19</v>
      </c>
      <c r="B2116" t="s">
        <v>20</v>
      </c>
      <c r="C2116" t="s">
        <v>125</v>
      </c>
      <c r="D2116" t="s">
        <v>126</v>
      </c>
      <c r="E2116">
        <v>1992</v>
      </c>
      <c r="F2116" s="1">
        <v>12</v>
      </c>
      <c r="G2116">
        <v>1990</v>
      </c>
      <c r="H2116">
        <f>AVERAGEIFS(Table1[value],Table1[IndicatorCode],Table1[[#This Row],[IndicatorCode]])</f>
        <v>7.6894248608534319</v>
      </c>
      <c r="I2116" cm="1">
        <f t="array" ref="I2116">_xlfn.STDEV.P(IF(Table1[IndicatorCode]=Table1[[#This Row],[IndicatorCode]],Table1[value]))</f>
        <v>5.2319501044600996</v>
      </c>
      <c r="J2116">
        <f>(Table1[[#This Row],[value]] - Table1[[#This Row],[mean]]) / Table1[[#This Row],[std_dev]]</f>
        <v>0.82389454277706442</v>
      </c>
      <c r="K2116">
        <f>AVERAGEIF(Table1[CountryCode],Table1[[#This Row],[CountryCode]],Table1[z-score])</f>
        <v>0.41927804487804637</v>
      </c>
      <c r="L2116" t="e">
        <f>VLOOKUP(Table1[[#This Row],[CountryCode]],[1]!Table1[#Data],4,FALSE)</f>
        <v>#REF!</v>
      </c>
    </row>
    <row r="2117" spans="1:12" hidden="1" x14ac:dyDescent="0.3">
      <c r="A2117" t="s">
        <v>19</v>
      </c>
      <c r="B2117" t="s">
        <v>20</v>
      </c>
      <c r="C2117" t="s">
        <v>125</v>
      </c>
      <c r="D2117" t="s">
        <v>126</v>
      </c>
      <c r="E2117">
        <v>1993</v>
      </c>
      <c r="F2117" s="1">
        <v>11</v>
      </c>
      <c r="G2117">
        <v>1990</v>
      </c>
      <c r="H2117">
        <f>AVERAGEIFS(Table1[value],Table1[IndicatorCode],Table1[[#This Row],[IndicatorCode]])</f>
        <v>7.6894248608534319</v>
      </c>
      <c r="I2117" cm="1">
        <f t="array" ref="I2117">_xlfn.STDEV.P(IF(Table1[IndicatorCode]=Table1[[#This Row],[IndicatorCode]],Table1[value]))</f>
        <v>5.2319501044600996</v>
      </c>
      <c r="J2117">
        <f>(Table1[[#This Row],[value]] - Table1[[#This Row],[mean]]) / Table1[[#This Row],[std_dev]]</f>
        <v>0.63276122154230596</v>
      </c>
      <c r="K2117">
        <f>AVERAGEIF(Table1[CountryCode],Table1[[#This Row],[CountryCode]],Table1[z-score])</f>
        <v>0.41927804487804637</v>
      </c>
      <c r="L2117" t="e">
        <f>VLOOKUP(Table1[[#This Row],[CountryCode]],[1]!Table1[#Data],4,FALSE)</f>
        <v>#REF!</v>
      </c>
    </row>
    <row r="2118" spans="1:12" hidden="1" x14ac:dyDescent="0.3">
      <c r="A2118" t="s">
        <v>19</v>
      </c>
      <c r="B2118" t="s">
        <v>20</v>
      </c>
      <c r="C2118" t="s">
        <v>125</v>
      </c>
      <c r="D2118" t="s">
        <v>126</v>
      </c>
      <c r="E2118">
        <v>1994</v>
      </c>
      <c r="F2118" s="1">
        <v>12</v>
      </c>
      <c r="G2118">
        <v>1990</v>
      </c>
      <c r="H2118">
        <f>AVERAGEIFS(Table1[value],Table1[IndicatorCode],Table1[[#This Row],[IndicatorCode]])</f>
        <v>7.6894248608534319</v>
      </c>
      <c r="I2118" cm="1">
        <f t="array" ref="I2118">_xlfn.STDEV.P(IF(Table1[IndicatorCode]=Table1[[#This Row],[IndicatorCode]],Table1[value]))</f>
        <v>5.2319501044600996</v>
      </c>
      <c r="J2118">
        <f>(Table1[[#This Row],[value]] - Table1[[#This Row],[mean]]) / Table1[[#This Row],[std_dev]]</f>
        <v>0.82389454277706442</v>
      </c>
      <c r="K2118">
        <f>AVERAGEIF(Table1[CountryCode],Table1[[#This Row],[CountryCode]],Table1[z-score])</f>
        <v>0.41927804487804637</v>
      </c>
      <c r="L2118" t="e">
        <f>VLOOKUP(Table1[[#This Row],[CountryCode]],[1]!Table1[#Data],4,FALSE)</f>
        <v>#REF!</v>
      </c>
    </row>
    <row r="2119" spans="1:12" hidden="1" x14ac:dyDescent="0.3">
      <c r="A2119" t="s">
        <v>19</v>
      </c>
      <c r="B2119" t="s">
        <v>20</v>
      </c>
      <c r="C2119" t="s">
        <v>125</v>
      </c>
      <c r="D2119" t="s">
        <v>126</v>
      </c>
      <c r="E2119">
        <v>1995</v>
      </c>
      <c r="F2119" s="1">
        <v>12</v>
      </c>
      <c r="G2119">
        <v>1990</v>
      </c>
      <c r="H2119">
        <f>AVERAGEIFS(Table1[value],Table1[IndicatorCode],Table1[[#This Row],[IndicatorCode]])</f>
        <v>7.6894248608534319</v>
      </c>
      <c r="I2119" cm="1">
        <f t="array" ref="I2119">_xlfn.STDEV.P(IF(Table1[IndicatorCode]=Table1[[#This Row],[IndicatorCode]],Table1[value]))</f>
        <v>5.2319501044600996</v>
      </c>
      <c r="J2119">
        <f>(Table1[[#This Row],[value]] - Table1[[#This Row],[mean]]) / Table1[[#This Row],[std_dev]]</f>
        <v>0.82389454277706442</v>
      </c>
      <c r="K2119">
        <f>AVERAGEIF(Table1[CountryCode],Table1[[#This Row],[CountryCode]],Table1[z-score])</f>
        <v>0.41927804487804637</v>
      </c>
      <c r="L2119" t="e">
        <f>VLOOKUP(Table1[[#This Row],[CountryCode]],[1]!Table1[#Data],4,FALSE)</f>
        <v>#REF!</v>
      </c>
    </row>
    <row r="2120" spans="1:12" hidden="1" x14ac:dyDescent="0.3">
      <c r="A2120" t="s">
        <v>19</v>
      </c>
      <c r="B2120" t="s">
        <v>20</v>
      </c>
      <c r="C2120" t="s">
        <v>125</v>
      </c>
      <c r="D2120" t="s">
        <v>126</v>
      </c>
      <c r="E2120">
        <v>1996</v>
      </c>
      <c r="F2120" s="1">
        <v>13</v>
      </c>
      <c r="G2120">
        <v>1990</v>
      </c>
      <c r="H2120">
        <f>AVERAGEIFS(Table1[value],Table1[IndicatorCode],Table1[[#This Row],[IndicatorCode]])</f>
        <v>7.6894248608534319</v>
      </c>
      <c r="I2120" cm="1">
        <f t="array" ref="I2120">_xlfn.STDEV.P(IF(Table1[IndicatorCode]=Table1[[#This Row],[IndicatorCode]],Table1[value]))</f>
        <v>5.2319501044600996</v>
      </c>
      <c r="J2120">
        <f>(Table1[[#This Row],[value]] - Table1[[#This Row],[mean]]) / Table1[[#This Row],[std_dev]]</f>
        <v>1.0150278640118229</v>
      </c>
      <c r="K2120">
        <f>AVERAGEIF(Table1[CountryCode],Table1[[#This Row],[CountryCode]],Table1[z-score])</f>
        <v>0.41927804487804637</v>
      </c>
      <c r="L2120" t="e">
        <f>VLOOKUP(Table1[[#This Row],[CountryCode]],[1]!Table1[#Data],4,FALSE)</f>
        <v>#REF!</v>
      </c>
    </row>
    <row r="2121" spans="1:12" hidden="1" x14ac:dyDescent="0.3">
      <c r="A2121" t="s">
        <v>19</v>
      </c>
      <c r="B2121" t="s">
        <v>20</v>
      </c>
      <c r="C2121" t="s">
        <v>125</v>
      </c>
      <c r="D2121" t="s">
        <v>126</v>
      </c>
      <c r="E2121">
        <v>1997</v>
      </c>
      <c r="F2121" s="1">
        <v>12</v>
      </c>
      <c r="G2121">
        <v>2000</v>
      </c>
      <c r="H2121">
        <f>AVERAGEIFS(Table1[value],Table1[IndicatorCode],Table1[[#This Row],[IndicatorCode]])</f>
        <v>7.6894248608534319</v>
      </c>
      <c r="I2121" cm="1">
        <f t="array" ref="I2121">_xlfn.STDEV.P(IF(Table1[IndicatorCode]=Table1[[#This Row],[IndicatorCode]],Table1[value]))</f>
        <v>5.2319501044600996</v>
      </c>
      <c r="J2121">
        <f>(Table1[[#This Row],[value]] - Table1[[#This Row],[mean]]) / Table1[[#This Row],[std_dev]]</f>
        <v>0.82389454277706442</v>
      </c>
      <c r="K2121">
        <f>AVERAGEIF(Table1[CountryCode],Table1[[#This Row],[CountryCode]],Table1[z-score])</f>
        <v>0.41927804487804637</v>
      </c>
      <c r="L2121" t="e">
        <f>VLOOKUP(Table1[[#This Row],[CountryCode]],[1]!Table1[#Data],4,FALSE)</f>
        <v>#REF!</v>
      </c>
    </row>
    <row r="2122" spans="1:12" hidden="1" x14ac:dyDescent="0.3">
      <c r="A2122" t="s">
        <v>19</v>
      </c>
      <c r="B2122" t="s">
        <v>20</v>
      </c>
      <c r="C2122" t="s">
        <v>125</v>
      </c>
      <c r="D2122" t="s">
        <v>126</v>
      </c>
      <c r="E2122">
        <v>1998</v>
      </c>
      <c r="F2122" s="1">
        <v>12</v>
      </c>
      <c r="G2122">
        <v>2000</v>
      </c>
      <c r="H2122">
        <f>AVERAGEIFS(Table1[value],Table1[IndicatorCode],Table1[[#This Row],[IndicatorCode]])</f>
        <v>7.6894248608534319</v>
      </c>
      <c r="I2122" cm="1">
        <f t="array" ref="I2122">_xlfn.STDEV.P(IF(Table1[IndicatorCode]=Table1[[#This Row],[IndicatorCode]],Table1[value]))</f>
        <v>5.2319501044600996</v>
      </c>
      <c r="J2122">
        <f>(Table1[[#This Row],[value]] - Table1[[#This Row],[mean]]) / Table1[[#This Row],[std_dev]]</f>
        <v>0.82389454277706442</v>
      </c>
      <c r="K2122">
        <f>AVERAGEIF(Table1[CountryCode],Table1[[#This Row],[CountryCode]],Table1[z-score])</f>
        <v>0.41927804487804637</v>
      </c>
      <c r="L2122" t="e">
        <f>VLOOKUP(Table1[[#This Row],[CountryCode]],[1]!Table1[#Data],4,FALSE)</f>
        <v>#REF!</v>
      </c>
    </row>
    <row r="2123" spans="1:12" hidden="1" x14ac:dyDescent="0.3">
      <c r="A2123" t="s">
        <v>19</v>
      </c>
      <c r="B2123" t="s">
        <v>20</v>
      </c>
      <c r="C2123" t="s">
        <v>125</v>
      </c>
      <c r="D2123" t="s">
        <v>126</v>
      </c>
      <c r="E2123">
        <v>1999</v>
      </c>
      <c r="F2123" s="1">
        <v>12</v>
      </c>
      <c r="G2123">
        <v>2000</v>
      </c>
      <c r="H2123">
        <f>AVERAGEIFS(Table1[value],Table1[IndicatorCode],Table1[[#This Row],[IndicatorCode]])</f>
        <v>7.6894248608534319</v>
      </c>
      <c r="I2123" cm="1">
        <f t="array" ref="I2123">_xlfn.STDEV.P(IF(Table1[IndicatorCode]=Table1[[#This Row],[IndicatorCode]],Table1[value]))</f>
        <v>5.2319501044600996</v>
      </c>
      <c r="J2123">
        <f>(Table1[[#This Row],[value]] - Table1[[#This Row],[mean]]) / Table1[[#This Row],[std_dev]]</f>
        <v>0.82389454277706442</v>
      </c>
      <c r="K2123">
        <f>AVERAGEIF(Table1[CountryCode],Table1[[#This Row],[CountryCode]],Table1[z-score])</f>
        <v>0.41927804487804637</v>
      </c>
      <c r="L2123" t="e">
        <f>VLOOKUP(Table1[[#This Row],[CountryCode]],[1]!Table1[#Data],4,FALSE)</f>
        <v>#REF!</v>
      </c>
    </row>
    <row r="2124" spans="1:12" hidden="1" x14ac:dyDescent="0.3">
      <c r="A2124" t="s">
        <v>19</v>
      </c>
      <c r="B2124" t="s">
        <v>20</v>
      </c>
      <c r="C2124" t="s">
        <v>125</v>
      </c>
      <c r="D2124" t="s">
        <v>126</v>
      </c>
      <c r="E2124">
        <v>2000</v>
      </c>
      <c r="F2124" s="1">
        <v>12</v>
      </c>
      <c r="G2124">
        <v>2000</v>
      </c>
      <c r="H2124">
        <f>AVERAGEIFS(Table1[value],Table1[IndicatorCode],Table1[[#This Row],[IndicatorCode]])</f>
        <v>7.6894248608534319</v>
      </c>
      <c r="I2124" cm="1">
        <f t="array" ref="I2124">_xlfn.STDEV.P(IF(Table1[IndicatorCode]=Table1[[#This Row],[IndicatorCode]],Table1[value]))</f>
        <v>5.2319501044600996</v>
      </c>
      <c r="J2124">
        <f>(Table1[[#This Row],[value]] - Table1[[#This Row],[mean]]) / Table1[[#This Row],[std_dev]]</f>
        <v>0.82389454277706442</v>
      </c>
      <c r="K2124">
        <f>AVERAGEIF(Table1[CountryCode],Table1[[#This Row],[CountryCode]],Table1[z-score])</f>
        <v>0.41927804487804637</v>
      </c>
      <c r="L2124" t="e">
        <f>VLOOKUP(Table1[[#This Row],[CountryCode]],[1]!Table1[#Data],4,FALSE)</f>
        <v>#REF!</v>
      </c>
    </row>
    <row r="2125" spans="1:12" hidden="1" x14ac:dyDescent="0.3">
      <c r="A2125" t="s">
        <v>19</v>
      </c>
      <c r="B2125" t="s">
        <v>20</v>
      </c>
      <c r="C2125" t="s">
        <v>125</v>
      </c>
      <c r="D2125" t="s">
        <v>126</v>
      </c>
      <c r="E2125">
        <v>2001</v>
      </c>
      <c r="F2125" s="1">
        <v>12</v>
      </c>
      <c r="G2125">
        <v>2000</v>
      </c>
      <c r="H2125">
        <f>AVERAGEIFS(Table1[value],Table1[IndicatorCode],Table1[[#This Row],[IndicatorCode]])</f>
        <v>7.6894248608534319</v>
      </c>
      <c r="I2125" cm="1">
        <f t="array" ref="I2125">_xlfn.STDEV.P(IF(Table1[IndicatorCode]=Table1[[#This Row],[IndicatorCode]],Table1[value]))</f>
        <v>5.2319501044600996</v>
      </c>
      <c r="J2125">
        <f>(Table1[[#This Row],[value]] - Table1[[#This Row],[mean]]) / Table1[[#This Row],[std_dev]]</f>
        <v>0.82389454277706442</v>
      </c>
      <c r="K2125">
        <f>AVERAGEIF(Table1[CountryCode],Table1[[#This Row],[CountryCode]],Table1[z-score])</f>
        <v>0.41927804487804637</v>
      </c>
      <c r="L2125" t="e">
        <f>VLOOKUP(Table1[[#This Row],[CountryCode]],[1]!Table1[#Data],4,FALSE)</f>
        <v>#REF!</v>
      </c>
    </row>
    <row r="2126" spans="1:12" hidden="1" x14ac:dyDescent="0.3">
      <c r="A2126" t="s">
        <v>19</v>
      </c>
      <c r="B2126" t="s">
        <v>20</v>
      </c>
      <c r="C2126" t="s">
        <v>125</v>
      </c>
      <c r="D2126" t="s">
        <v>126</v>
      </c>
      <c r="E2126">
        <v>2002</v>
      </c>
      <c r="F2126" s="1">
        <v>11</v>
      </c>
      <c r="G2126">
        <v>2000</v>
      </c>
      <c r="H2126">
        <f>AVERAGEIFS(Table1[value],Table1[IndicatorCode],Table1[[#This Row],[IndicatorCode]])</f>
        <v>7.6894248608534319</v>
      </c>
      <c r="I2126" cm="1">
        <f t="array" ref="I2126">_xlfn.STDEV.P(IF(Table1[IndicatorCode]=Table1[[#This Row],[IndicatorCode]],Table1[value]))</f>
        <v>5.2319501044600996</v>
      </c>
      <c r="J2126">
        <f>(Table1[[#This Row],[value]] - Table1[[#This Row],[mean]]) / Table1[[#This Row],[std_dev]]</f>
        <v>0.63276122154230596</v>
      </c>
      <c r="K2126">
        <f>AVERAGEIF(Table1[CountryCode],Table1[[#This Row],[CountryCode]],Table1[z-score])</f>
        <v>0.41927804487804637</v>
      </c>
      <c r="L2126" t="e">
        <f>VLOOKUP(Table1[[#This Row],[CountryCode]],[1]!Table1[#Data],4,FALSE)</f>
        <v>#REF!</v>
      </c>
    </row>
    <row r="2127" spans="1:12" hidden="1" x14ac:dyDescent="0.3">
      <c r="A2127" t="s">
        <v>19</v>
      </c>
      <c r="B2127" t="s">
        <v>20</v>
      </c>
      <c r="C2127" t="s">
        <v>125</v>
      </c>
      <c r="D2127" t="s">
        <v>126</v>
      </c>
      <c r="E2127">
        <v>2003</v>
      </c>
      <c r="F2127" s="1">
        <v>12</v>
      </c>
      <c r="G2127">
        <v>2000</v>
      </c>
      <c r="H2127">
        <f>AVERAGEIFS(Table1[value],Table1[IndicatorCode],Table1[[#This Row],[IndicatorCode]])</f>
        <v>7.6894248608534319</v>
      </c>
      <c r="I2127" cm="1">
        <f t="array" ref="I2127">_xlfn.STDEV.P(IF(Table1[IndicatorCode]=Table1[[#This Row],[IndicatorCode]],Table1[value]))</f>
        <v>5.2319501044600996</v>
      </c>
      <c r="J2127">
        <f>(Table1[[#This Row],[value]] - Table1[[#This Row],[mean]]) / Table1[[#This Row],[std_dev]]</f>
        <v>0.82389454277706442</v>
      </c>
      <c r="K2127">
        <f>AVERAGEIF(Table1[CountryCode],Table1[[#This Row],[CountryCode]],Table1[z-score])</f>
        <v>0.41927804487804637</v>
      </c>
      <c r="L2127" t="e">
        <f>VLOOKUP(Table1[[#This Row],[CountryCode]],[1]!Table1[#Data],4,FALSE)</f>
        <v>#REF!</v>
      </c>
    </row>
    <row r="2128" spans="1:12" hidden="1" x14ac:dyDescent="0.3">
      <c r="A2128" t="s">
        <v>19</v>
      </c>
      <c r="B2128" t="s">
        <v>20</v>
      </c>
      <c r="C2128" t="s">
        <v>125</v>
      </c>
      <c r="D2128" t="s">
        <v>126</v>
      </c>
      <c r="E2128">
        <v>2004</v>
      </c>
      <c r="F2128" s="1">
        <v>12</v>
      </c>
      <c r="G2128">
        <v>2000</v>
      </c>
      <c r="H2128">
        <f>AVERAGEIFS(Table1[value],Table1[IndicatorCode],Table1[[#This Row],[IndicatorCode]])</f>
        <v>7.6894248608534319</v>
      </c>
      <c r="I2128" cm="1">
        <f t="array" ref="I2128">_xlfn.STDEV.P(IF(Table1[IndicatorCode]=Table1[[#This Row],[IndicatorCode]],Table1[value]))</f>
        <v>5.2319501044600996</v>
      </c>
      <c r="J2128">
        <f>(Table1[[#This Row],[value]] - Table1[[#This Row],[mean]]) / Table1[[#This Row],[std_dev]]</f>
        <v>0.82389454277706442</v>
      </c>
      <c r="K2128">
        <f>AVERAGEIF(Table1[CountryCode],Table1[[#This Row],[CountryCode]],Table1[z-score])</f>
        <v>0.41927804487804637</v>
      </c>
      <c r="L2128" t="e">
        <f>VLOOKUP(Table1[[#This Row],[CountryCode]],[1]!Table1[#Data],4,FALSE)</f>
        <v>#REF!</v>
      </c>
    </row>
    <row r="2129" spans="1:12" hidden="1" x14ac:dyDescent="0.3">
      <c r="A2129" t="s">
        <v>19</v>
      </c>
      <c r="B2129" t="s">
        <v>20</v>
      </c>
      <c r="C2129" t="s">
        <v>125</v>
      </c>
      <c r="D2129" t="s">
        <v>126</v>
      </c>
      <c r="E2129">
        <v>2005</v>
      </c>
      <c r="F2129" s="1">
        <v>11</v>
      </c>
      <c r="G2129">
        <v>2000</v>
      </c>
      <c r="H2129">
        <f>AVERAGEIFS(Table1[value],Table1[IndicatorCode],Table1[[#This Row],[IndicatorCode]])</f>
        <v>7.6894248608534319</v>
      </c>
      <c r="I2129" cm="1">
        <f t="array" ref="I2129">_xlfn.STDEV.P(IF(Table1[IndicatorCode]=Table1[[#This Row],[IndicatorCode]],Table1[value]))</f>
        <v>5.2319501044600996</v>
      </c>
      <c r="J2129">
        <f>(Table1[[#This Row],[value]] - Table1[[#This Row],[mean]]) / Table1[[#This Row],[std_dev]]</f>
        <v>0.63276122154230596</v>
      </c>
      <c r="K2129">
        <f>AVERAGEIF(Table1[CountryCode],Table1[[#This Row],[CountryCode]],Table1[z-score])</f>
        <v>0.41927804487804637</v>
      </c>
      <c r="L2129" t="e">
        <f>VLOOKUP(Table1[[#This Row],[CountryCode]],[1]!Table1[#Data],4,FALSE)</f>
        <v>#REF!</v>
      </c>
    </row>
    <row r="2130" spans="1:12" hidden="1" x14ac:dyDescent="0.3">
      <c r="A2130" t="s">
        <v>19</v>
      </c>
      <c r="B2130" t="s">
        <v>20</v>
      </c>
      <c r="C2130" t="s">
        <v>125</v>
      </c>
      <c r="D2130" t="s">
        <v>126</v>
      </c>
      <c r="E2130">
        <v>2006</v>
      </c>
      <c r="F2130" s="1">
        <v>11</v>
      </c>
      <c r="G2130">
        <v>2000</v>
      </c>
      <c r="H2130">
        <f>AVERAGEIFS(Table1[value],Table1[IndicatorCode],Table1[[#This Row],[IndicatorCode]])</f>
        <v>7.6894248608534319</v>
      </c>
      <c r="I2130" cm="1">
        <f t="array" ref="I2130">_xlfn.STDEV.P(IF(Table1[IndicatorCode]=Table1[[#This Row],[IndicatorCode]],Table1[value]))</f>
        <v>5.2319501044600996</v>
      </c>
      <c r="J2130">
        <f>(Table1[[#This Row],[value]] - Table1[[#This Row],[mean]]) / Table1[[#This Row],[std_dev]]</f>
        <v>0.63276122154230596</v>
      </c>
      <c r="K2130">
        <f>AVERAGEIF(Table1[CountryCode],Table1[[#This Row],[CountryCode]],Table1[z-score])</f>
        <v>0.41927804487804637</v>
      </c>
      <c r="L2130" t="e">
        <f>VLOOKUP(Table1[[#This Row],[CountryCode]],[1]!Table1[#Data],4,FALSE)</f>
        <v>#REF!</v>
      </c>
    </row>
    <row r="2131" spans="1:12" hidden="1" x14ac:dyDescent="0.3">
      <c r="A2131" t="s">
        <v>19</v>
      </c>
      <c r="B2131" t="s">
        <v>20</v>
      </c>
      <c r="C2131" t="s">
        <v>125</v>
      </c>
      <c r="D2131" t="s">
        <v>126</v>
      </c>
      <c r="E2131">
        <v>2007</v>
      </c>
      <c r="F2131" s="1">
        <v>11</v>
      </c>
      <c r="G2131">
        <v>2010</v>
      </c>
      <c r="H2131">
        <f>AVERAGEIFS(Table1[value],Table1[IndicatorCode],Table1[[#This Row],[IndicatorCode]])</f>
        <v>7.6894248608534319</v>
      </c>
      <c r="I2131" cm="1">
        <f t="array" ref="I2131">_xlfn.STDEV.P(IF(Table1[IndicatorCode]=Table1[[#This Row],[IndicatorCode]],Table1[value]))</f>
        <v>5.2319501044600996</v>
      </c>
      <c r="J2131">
        <f>(Table1[[#This Row],[value]] - Table1[[#This Row],[mean]]) / Table1[[#This Row],[std_dev]]</f>
        <v>0.63276122154230596</v>
      </c>
      <c r="K2131">
        <f>AVERAGEIF(Table1[CountryCode],Table1[[#This Row],[CountryCode]],Table1[z-score])</f>
        <v>0.41927804487804637</v>
      </c>
      <c r="L2131" t="e">
        <f>VLOOKUP(Table1[[#This Row],[CountryCode]],[1]!Table1[#Data],4,FALSE)</f>
        <v>#REF!</v>
      </c>
    </row>
    <row r="2132" spans="1:12" hidden="1" x14ac:dyDescent="0.3">
      <c r="A2132" t="s">
        <v>19</v>
      </c>
      <c r="B2132" t="s">
        <v>20</v>
      </c>
      <c r="C2132" t="s">
        <v>125</v>
      </c>
      <c r="D2132" t="s">
        <v>126</v>
      </c>
      <c r="E2132">
        <v>2008</v>
      </c>
      <c r="F2132" s="1">
        <v>11</v>
      </c>
      <c r="G2132">
        <v>2010</v>
      </c>
      <c r="H2132">
        <f>AVERAGEIFS(Table1[value],Table1[IndicatorCode],Table1[[#This Row],[IndicatorCode]])</f>
        <v>7.6894248608534319</v>
      </c>
      <c r="I2132" cm="1">
        <f t="array" ref="I2132">_xlfn.STDEV.P(IF(Table1[IndicatorCode]=Table1[[#This Row],[IndicatorCode]],Table1[value]))</f>
        <v>5.2319501044600996</v>
      </c>
      <c r="J2132">
        <f>(Table1[[#This Row],[value]] - Table1[[#This Row],[mean]]) / Table1[[#This Row],[std_dev]]</f>
        <v>0.63276122154230596</v>
      </c>
      <c r="K2132">
        <f>AVERAGEIF(Table1[CountryCode],Table1[[#This Row],[CountryCode]],Table1[z-score])</f>
        <v>0.41927804487804637</v>
      </c>
      <c r="L2132" t="e">
        <f>VLOOKUP(Table1[[#This Row],[CountryCode]],[1]!Table1[#Data],4,FALSE)</f>
        <v>#REF!</v>
      </c>
    </row>
    <row r="2133" spans="1:12" hidden="1" x14ac:dyDescent="0.3">
      <c r="A2133" t="s">
        <v>19</v>
      </c>
      <c r="B2133" t="s">
        <v>20</v>
      </c>
      <c r="C2133" t="s">
        <v>125</v>
      </c>
      <c r="D2133" t="s">
        <v>126</v>
      </c>
      <c r="E2133">
        <v>2009</v>
      </c>
      <c r="F2133" s="1">
        <v>10</v>
      </c>
      <c r="G2133">
        <v>2010</v>
      </c>
      <c r="H2133">
        <f>AVERAGEIFS(Table1[value],Table1[IndicatorCode],Table1[[#This Row],[IndicatorCode]])</f>
        <v>7.6894248608534319</v>
      </c>
      <c r="I2133" cm="1">
        <f t="array" ref="I2133">_xlfn.STDEV.P(IF(Table1[IndicatorCode]=Table1[[#This Row],[IndicatorCode]],Table1[value]))</f>
        <v>5.2319501044600996</v>
      </c>
      <c r="J2133">
        <f>(Table1[[#This Row],[value]] - Table1[[#This Row],[mean]]) / Table1[[#This Row],[std_dev]]</f>
        <v>0.44162790030754762</v>
      </c>
      <c r="K2133">
        <f>AVERAGEIF(Table1[CountryCode],Table1[[#This Row],[CountryCode]],Table1[z-score])</f>
        <v>0.41927804487804637</v>
      </c>
      <c r="L2133" t="e">
        <f>VLOOKUP(Table1[[#This Row],[CountryCode]],[1]!Table1[#Data],4,FALSE)</f>
        <v>#REF!</v>
      </c>
    </row>
    <row r="2134" spans="1:12" hidden="1" x14ac:dyDescent="0.3">
      <c r="A2134" t="s">
        <v>19</v>
      </c>
      <c r="B2134" t="s">
        <v>20</v>
      </c>
      <c r="C2134" t="s">
        <v>125</v>
      </c>
      <c r="D2134" t="s">
        <v>126</v>
      </c>
      <c r="E2134">
        <v>2010</v>
      </c>
      <c r="F2134" s="1">
        <v>11</v>
      </c>
      <c r="G2134">
        <v>2010</v>
      </c>
      <c r="H2134">
        <f>AVERAGEIFS(Table1[value],Table1[IndicatorCode],Table1[[#This Row],[IndicatorCode]])</f>
        <v>7.6894248608534319</v>
      </c>
      <c r="I2134" cm="1">
        <f t="array" ref="I2134">_xlfn.STDEV.P(IF(Table1[IndicatorCode]=Table1[[#This Row],[IndicatorCode]],Table1[value]))</f>
        <v>5.2319501044600996</v>
      </c>
      <c r="J2134">
        <f>(Table1[[#This Row],[value]] - Table1[[#This Row],[mean]]) / Table1[[#This Row],[std_dev]]</f>
        <v>0.63276122154230596</v>
      </c>
      <c r="K2134">
        <f>AVERAGEIF(Table1[CountryCode],Table1[[#This Row],[CountryCode]],Table1[z-score])</f>
        <v>0.41927804487804637</v>
      </c>
      <c r="L2134" t="e">
        <f>VLOOKUP(Table1[[#This Row],[CountryCode]],[1]!Table1[#Data],4,FALSE)</f>
        <v>#REF!</v>
      </c>
    </row>
    <row r="2135" spans="1:12" hidden="1" x14ac:dyDescent="0.3">
      <c r="A2135" t="s">
        <v>19</v>
      </c>
      <c r="B2135" t="s">
        <v>20</v>
      </c>
      <c r="C2135" t="s">
        <v>125</v>
      </c>
      <c r="D2135" t="s">
        <v>126</v>
      </c>
      <c r="E2135">
        <v>2011</v>
      </c>
      <c r="F2135" s="1">
        <v>9</v>
      </c>
      <c r="G2135">
        <v>2010</v>
      </c>
      <c r="H2135">
        <f>AVERAGEIFS(Table1[value],Table1[IndicatorCode],Table1[[#This Row],[IndicatorCode]])</f>
        <v>7.6894248608534319</v>
      </c>
      <c r="I2135" cm="1">
        <f t="array" ref="I2135">_xlfn.STDEV.P(IF(Table1[IndicatorCode]=Table1[[#This Row],[IndicatorCode]],Table1[value]))</f>
        <v>5.2319501044600996</v>
      </c>
      <c r="J2135">
        <f>(Table1[[#This Row],[value]] - Table1[[#This Row],[mean]]) / Table1[[#This Row],[std_dev]]</f>
        <v>0.25049457907278921</v>
      </c>
      <c r="K2135">
        <f>AVERAGEIF(Table1[CountryCode],Table1[[#This Row],[CountryCode]],Table1[z-score])</f>
        <v>0.41927804487804637</v>
      </c>
      <c r="L2135" t="e">
        <f>VLOOKUP(Table1[[#This Row],[CountryCode]],[1]!Table1[#Data],4,FALSE)</f>
        <v>#REF!</v>
      </c>
    </row>
    <row r="2136" spans="1:12" hidden="1" x14ac:dyDescent="0.3">
      <c r="A2136" t="s">
        <v>19</v>
      </c>
      <c r="B2136" t="s">
        <v>20</v>
      </c>
      <c r="C2136" t="s">
        <v>125</v>
      </c>
      <c r="D2136" t="s">
        <v>126</v>
      </c>
      <c r="E2136">
        <v>2012</v>
      </c>
      <c r="F2136" s="1">
        <v>9</v>
      </c>
      <c r="G2136">
        <v>2010</v>
      </c>
      <c r="H2136">
        <f>AVERAGEIFS(Table1[value],Table1[IndicatorCode],Table1[[#This Row],[IndicatorCode]])</f>
        <v>7.6894248608534319</v>
      </c>
      <c r="I2136" cm="1">
        <f t="array" ref="I2136">_xlfn.STDEV.P(IF(Table1[IndicatorCode]=Table1[[#This Row],[IndicatorCode]],Table1[value]))</f>
        <v>5.2319501044600996</v>
      </c>
      <c r="J2136">
        <f>(Table1[[#This Row],[value]] - Table1[[#This Row],[mean]]) / Table1[[#This Row],[std_dev]]</f>
        <v>0.25049457907278921</v>
      </c>
      <c r="K2136">
        <f>AVERAGEIF(Table1[CountryCode],Table1[[#This Row],[CountryCode]],Table1[z-score])</f>
        <v>0.41927804487804637</v>
      </c>
      <c r="L2136" t="e">
        <f>VLOOKUP(Table1[[#This Row],[CountryCode]],[1]!Table1[#Data],4,FALSE)</f>
        <v>#REF!</v>
      </c>
    </row>
    <row r="2137" spans="1:12" hidden="1" x14ac:dyDescent="0.3">
      <c r="A2137" t="s">
        <v>19</v>
      </c>
      <c r="B2137" t="s">
        <v>20</v>
      </c>
      <c r="C2137" t="s">
        <v>125</v>
      </c>
      <c r="D2137" t="s">
        <v>126</v>
      </c>
      <c r="E2137">
        <v>2013</v>
      </c>
      <c r="F2137" s="1">
        <v>9</v>
      </c>
      <c r="G2137">
        <v>2010</v>
      </c>
      <c r="H2137">
        <f>AVERAGEIFS(Table1[value],Table1[IndicatorCode],Table1[[#This Row],[IndicatorCode]])</f>
        <v>7.6894248608534319</v>
      </c>
      <c r="I2137" cm="1">
        <f t="array" ref="I2137">_xlfn.STDEV.P(IF(Table1[IndicatorCode]=Table1[[#This Row],[IndicatorCode]],Table1[value]))</f>
        <v>5.2319501044600996</v>
      </c>
      <c r="J2137">
        <f>(Table1[[#This Row],[value]] - Table1[[#This Row],[mean]]) / Table1[[#This Row],[std_dev]]</f>
        <v>0.25049457907278921</v>
      </c>
      <c r="K2137">
        <f>AVERAGEIF(Table1[CountryCode],Table1[[#This Row],[CountryCode]],Table1[z-score])</f>
        <v>0.41927804487804637</v>
      </c>
      <c r="L2137" t="e">
        <f>VLOOKUP(Table1[[#This Row],[CountryCode]],[1]!Table1[#Data],4,FALSE)</f>
        <v>#REF!</v>
      </c>
    </row>
    <row r="2138" spans="1:12" hidden="1" x14ac:dyDescent="0.3">
      <c r="A2138" t="s">
        <v>19</v>
      </c>
      <c r="B2138" t="s">
        <v>20</v>
      </c>
      <c r="C2138" t="s">
        <v>125</v>
      </c>
      <c r="D2138" t="s">
        <v>126</v>
      </c>
      <c r="E2138">
        <v>2014</v>
      </c>
      <c r="F2138" s="1">
        <v>9</v>
      </c>
      <c r="G2138">
        <v>2010</v>
      </c>
      <c r="H2138">
        <f>AVERAGEIFS(Table1[value],Table1[IndicatorCode],Table1[[#This Row],[IndicatorCode]])</f>
        <v>7.6894248608534319</v>
      </c>
      <c r="I2138" cm="1">
        <f t="array" ref="I2138">_xlfn.STDEV.P(IF(Table1[IndicatorCode]=Table1[[#This Row],[IndicatorCode]],Table1[value]))</f>
        <v>5.2319501044600996</v>
      </c>
      <c r="J2138">
        <f>(Table1[[#This Row],[value]] - Table1[[#This Row],[mean]]) / Table1[[#This Row],[std_dev]]</f>
        <v>0.25049457907278921</v>
      </c>
      <c r="K2138">
        <f>AVERAGEIF(Table1[CountryCode],Table1[[#This Row],[CountryCode]],Table1[z-score])</f>
        <v>0.41927804487804637</v>
      </c>
      <c r="L2138" t="e">
        <f>VLOOKUP(Table1[[#This Row],[CountryCode]],[1]!Table1[#Data],4,FALSE)</f>
        <v>#REF!</v>
      </c>
    </row>
    <row r="2139" spans="1:12" hidden="1" x14ac:dyDescent="0.3">
      <c r="A2139" t="s">
        <v>19</v>
      </c>
      <c r="B2139" t="s">
        <v>20</v>
      </c>
      <c r="C2139" t="s">
        <v>125</v>
      </c>
      <c r="D2139" t="s">
        <v>126</v>
      </c>
      <c r="E2139">
        <v>2015</v>
      </c>
      <c r="F2139" s="1">
        <v>9</v>
      </c>
      <c r="G2139">
        <v>2010</v>
      </c>
      <c r="H2139">
        <f>AVERAGEIFS(Table1[value],Table1[IndicatorCode],Table1[[#This Row],[IndicatorCode]])</f>
        <v>7.6894248608534319</v>
      </c>
      <c r="I2139" cm="1">
        <f t="array" ref="I2139">_xlfn.STDEV.P(IF(Table1[IndicatorCode]=Table1[[#This Row],[IndicatorCode]],Table1[value]))</f>
        <v>5.2319501044600996</v>
      </c>
      <c r="J2139">
        <f>(Table1[[#This Row],[value]] - Table1[[#This Row],[mean]]) / Table1[[#This Row],[std_dev]]</f>
        <v>0.25049457907278921</v>
      </c>
      <c r="K2139">
        <f>AVERAGEIF(Table1[CountryCode],Table1[[#This Row],[CountryCode]],Table1[z-score])</f>
        <v>0.41927804487804637</v>
      </c>
      <c r="L2139" t="e">
        <f>VLOOKUP(Table1[[#This Row],[CountryCode]],[1]!Table1[#Data],4,FALSE)</f>
        <v>#REF!</v>
      </c>
    </row>
    <row r="2140" spans="1:12" hidden="1" x14ac:dyDescent="0.3">
      <c r="A2140" t="s">
        <v>19</v>
      </c>
      <c r="B2140" t="s">
        <v>20</v>
      </c>
      <c r="C2140" t="s">
        <v>125</v>
      </c>
      <c r="D2140" t="s">
        <v>126</v>
      </c>
      <c r="E2140">
        <v>2016</v>
      </c>
      <c r="F2140" s="1">
        <v>9</v>
      </c>
      <c r="G2140">
        <v>2010</v>
      </c>
      <c r="H2140">
        <f>AVERAGEIFS(Table1[value],Table1[IndicatorCode],Table1[[#This Row],[IndicatorCode]])</f>
        <v>7.6894248608534319</v>
      </c>
      <c r="I2140" cm="1">
        <f t="array" ref="I2140">_xlfn.STDEV.P(IF(Table1[IndicatorCode]=Table1[[#This Row],[IndicatorCode]],Table1[value]))</f>
        <v>5.2319501044600996</v>
      </c>
      <c r="J2140">
        <f>(Table1[[#This Row],[value]] - Table1[[#This Row],[mean]]) / Table1[[#This Row],[std_dev]]</f>
        <v>0.25049457907278921</v>
      </c>
      <c r="K2140">
        <f>AVERAGEIF(Table1[CountryCode],Table1[[#This Row],[CountryCode]],Table1[z-score])</f>
        <v>0.41927804487804637</v>
      </c>
      <c r="L2140" t="e">
        <f>VLOOKUP(Table1[[#This Row],[CountryCode]],[1]!Table1[#Data],4,FALSE)</f>
        <v>#REF!</v>
      </c>
    </row>
    <row r="2141" spans="1:12" hidden="1" x14ac:dyDescent="0.3">
      <c r="A2141" t="s">
        <v>19</v>
      </c>
      <c r="B2141" t="s">
        <v>20</v>
      </c>
      <c r="C2141" t="s">
        <v>125</v>
      </c>
      <c r="D2141" t="s">
        <v>126</v>
      </c>
      <c r="E2141">
        <v>2017</v>
      </c>
      <c r="F2141" s="1">
        <v>9</v>
      </c>
      <c r="G2141">
        <v>2020</v>
      </c>
      <c r="H2141">
        <f>AVERAGEIFS(Table1[value],Table1[IndicatorCode],Table1[[#This Row],[IndicatorCode]])</f>
        <v>7.6894248608534319</v>
      </c>
      <c r="I2141" cm="1">
        <f t="array" ref="I2141">_xlfn.STDEV.P(IF(Table1[IndicatorCode]=Table1[[#This Row],[IndicatorCode]],Table1[value]))</f>
        <v>5.2319501044600996</v>
      </c>
      <c r="J2141">
        <f>(Table1[[#This Row],[value]] - Table1[[#This Row],[mean]]) / Table1[[#This Row],[std_dev]]</f>
        <v>0.25049457907278921</v>
      </c>
      <c r="K2141">
        <f>AVERAGEIF(Table1[CountryCode],Table1[[#This Row],[CountryCode]],Table1[z-score])</f>
        <v>0.41927804487804637</v>
      </c>
      <c r="L2141" t="e">
        <f>VLOOKUP(Table1[[#This Row],[CountryCode]],[1]!Table1[#Data],4,FALSE)</f>
        <v>#REF!</v>
      </c>
    </row>
    <row r="2142" spans="1:12" hidden="1" x14ac:dyDescent="0.3">
      <c r="A2142" t="s">
        <v>19</v>
      </c>
      <c r="B2142" t="s">
        <v>20</v>
      </c>
      <c r="C2142" t="s">
        <v>125</v>
      </c>
      <c r="D2142" t="s">
        <v>126</v>
      </c>
      <c r="E2142">
        <v>2018</v>
      </c>
      <c r="F2142" s="1">
        <v>9</v>
      </c>
      <c r="G2142">
        <v>2020</v>
      </c>
      <c r="H2142">
        <f>AVERAGEIFS(Table1[value],Table1[IndicatorCode],Table1[[#This Row],[IndicatorCode]])</f>
        <v>7.6894248608534319</v>
      </c>
      <c r="I2142" cm="1">
        <f t="array" ref="I2142">_xlfn.STDEV.P(IF(Table1[IndicatorCode]=Table1[[#This Row],[IndicatorCode]],Table1[value]))</f>
        <v>5.2319501044600996</v>
      </c>
      <c r="J2142">
        <f>(Table1[[#This Row],[value]] - Table1[[#This Row],[mean]]) / Table1[[#This Row],[std_dev]]</f>
        <v>0.25049457907278921</v>
      </c>
      <c r="K2142">
        <f>AVERAGEIF(Table1[CountryCode],Table1[[#This Row],[CountryCode]],Table1[z-score])</f>
        <v>0.41927804487804637</v>
      </c>
      <c r="L2142" t="e">
        <f>VLOOKUP(Table1[[#This Row],[CountryCode]],[1]!Table1[#Data],4,FALSE)</f>
        <v>#REF!</v>
      </c>
    </row>
    <row r="2143" spans="1:12" hidden="1" x14ac:dyDescent="0.3">
      <c r="A2143" t="s">
        <v>19</v>
      </c>
      <c r="B2143" t="s">
        <v>20</v>
      </c>
      <c r="C2143" t="s">
        <v>125</v>
      </c>
      <c r="D2143" t="s">
        <v>126</v>
      </c>
      <c r="E2143">
        <v>2019</v>
      </c>
      <c r="F2143" s="1">
        <v>9</v>
      </c>
      <c r="G2143">
        <v>2020</v>
      </c>
      <c r="H2143">
        <f>AVERAGEIFS(Table1[value],Table1[IndicatorCode],Table1[[#This Row],[IndicatorCode]])</f>
        <v>7.6894248608534319</v>
      </c>
      <c r="I2143" cm="1">
        <f t="array" ref="I2143">_xlfn.STDEV.P(IF(Table1[IndicatorCode]=Table1[[#This Row],[IndicatorCode]],Table1[value]))</f>
        <v>5.2319501044600996</v>
      </c>
      <c r="J2143">
        <f>(Table1[[#This Row],[value]] - Table1[[#This Row],[mean]]) / Table1[[#This Row],[std_dev]]</f>
        <v>0.25049457907278921</v>
      </c>
      <c r="K2143">
        <f>AVERAGEIF(Table1[CountryCode],Table1[[#This Row],[CountryCode]],Table1[z-score])</f>
        <v>0.41927804487804637</v>
      </c>
      <c r="L2143" t="e">
        <f>VLOOKUP(Table1[[#This Row],[CountryCode]],[1]!Table1[#Data],4,FALSE)</f>
        <v>#REF!</v>
      </c>
    </row>
    <row r="2144" spans="1:12" x14ac:dyDescent="0.3">
      <c r="A2144" t="s">
        <v>19</v>
      </c>
      <c r="B2144" t="s">
        <v>20</v>
      </c>
      <c r="C2144" t="s">
        <v>125</v>
      </c>
      <c r="D2144" t="s">
        <v>126</v>
      </c>
      <c r="E2144">
        <v>2020</v>
      </c>
      <c r="F2144" s="1">
        <v>8</v>
      </c>
      <c r="G2144">
        <v>2020</v>
      </c>
      <c r="H2144">
        <f>AVERAGEIFS(Table1[value],Table1[IndicatorCode],Table1[[#This Row],[IndicatorCode]])</f>
        <v>7.6894248608534319</v>
      </c>
      <c r="I2144" cm="1">
        <f t="array" ref="I2144">_xlfn.STDEV.P(IF(Table1[IndicatorCode]=Table1[[#This Row],[IndicatorCode]],Table1[value]))</f>
        <v>5.2319501044600996</v>
      </c>
      <c r="J2144">
        <f>(Table1[[#This Row],[value]] - Table1[[#This Row],[mean]]) / Table1[[#This Row],[std_dev]]</f>
        <v>5.9361257838030791E-2</v>
      </c>
      <c r="K2144">
        <f>AVERAGEIF(Table1[CountryCode],Table1[[#This Row],[CountryCode]],Table1[z-score])</f>
        <v>0.41927804487804637</v>
      </c>
    </row>
    <row r="2145" spans="1:12" hidden="1" x14ac:dyDescent="0.3">
      <c r="A2145" t="s">
        <v>19</v>
      </c>
      <c r="B2145" t="s">
        <v>20</v>
      </c>
      <c r="C2145" t="s">
        <v>125</v>
      </c>
      <c r="D2145" t="s">
        <v>126</v>
      </c>
      <c r="E2145">
        <v>2021</v>
      </c>
      <c r="F2145" s="1">
        <v>8</v>
      </c>
      <c r="G2145">
        <v>2020</v>
      </c>
      <c r="H2145">
        <f>AVERAGEIFS(Table1[value],Table1[IndicatorCode],Table1[[#This Row],[IndicatorCode]])</f>
        <v>7.6894248608534319</v>
      </c>
      <c r="I2145" cm="1">
        <f t="array" ref="I2145">_xlfn.STDEV.P(IF(Table1[IndicatorCode]=Table1[[#This Row],[IndicatorCode]],Table1[value]))</f>
        <v>5.2319501044600996</v>
      </c>
      <c r="J2145">
        <f>(Table1[[#This Row],[value]] - Table1[[#This Row],[mean]]) / Table1[[#This Row],[std_dev]]</f>
        <v>5.9361257838030791E-2</v>
      </c>
      <c r="K2145">
        <f>AVERAGEIF(Table1[CountryCode],Table1[[#This Row],[CountryCode]],Table1[z-score])</f>
        <v>0.41927804487804637</v>
      </c>
      <c r="L2145" t="e">
        <f>VLOOKUP(Table1[[#This Row],[CountryCode]],[1]!Table1[#Data],4,FALSE)</f>
        <v>#REF!</v>
      </c>
    </row>
    <row r="2146" spans="1:12" hidden="1" x14ac:dyDescent="0.3">
      <c r="A2146" t="s">
        <v>19</v>
      </c>
      <c r="B2146" t="s">
        <v>20</v>
      </c>
      <c r="C2146" t="s">
        <v>125</v>
      </c>
      <c r="D2146" t="s">
        <v>126</v>
      </c>
      <c r="E2146">
        <v>2022</v>
      </c>
      <c r="F2146" s="1">
        <v>8</v>
      </c>
      <c r="G2146">
        <v>1970</v>
      </c>
      <c r="H2146">
        <f>AVERAGEIFS(Table1[value],Table1[IndicatorCode],Table1[[#This Row],[IndicatorCode]])</f>
        <v>7.6894248608534319</v>
      </c>
      <c r="I2146" cm="1">
        <f t="array" ref="I2146">_xlfn.STDEV.P(IF(Table1[IndicatorCode]=Table1[[#This Row],[IndicatorCode]],Table1[value]))</f>
        <v>5.2319501044600996</v>
      </c>
      <c r="J2146">
        <f>(Table1[[#This Row],[value]] - Table1[[#This Row],[mean]]) / Table1[[#This Row],[std_dev]]</f>
        <v>5.9361257838030791E-2</v>
      </c>
      <c r="K2146">
        <f>AVERAGEIF(Table1[CountryCode],Table1[[#This Row],[CountryCode]],Table1[z-score])</f>
        <v>0.41927804487804637</v>
      </c>
      <c r="L2146" t="e">
        <f>VLOOKUP(Table1[[#This Row],[CountryCode]],[1]!Table1[#Data],4,FALSE)</f>
        <v>#REF!</v>
      </c>
    </row>
    <row r="2147" spans="1:12" hidden="1" x14ac:dyDescent="0.3">
      <c r="A2147" t="s">
        <v>19</v>
      </c>
      <c r="B2147" t="s">
        <v>20</v>
      </c>
      <c r="C2147" t="s">
        <v>125</v>
      </c>
      <c r="D2147" t="s">
        <v>126</v>
      </c>
      <c r="E2147">
        <v>2023</v>
      </c>
      <c r="F2147" s="1">
        <v>7</v>
      </c>
      <c r="G2147">
        <v>1970</v>
      </c>
      <c r="H2147">
        <f>AVERAGEIFS(Table1[value],Table1[IndicatorCode],Table1[[#This Row],[IndicatorCode]])</f>
        <v>7.6894248608534319</v>
      </c>
      <c r="I2147" cm="1">
        <f t="array" ref="I2147">_xlfn.STDEV.P(IF(Table1[IndicatorCode]=Table1[[#This Row],[IndicatorCode]],Table1[value]))</f>
        <v>5.2319501044600996</v>
      </c>
      <c r="J2147">
        <f>(Table1[[#This Row],[value]] - Table1[[#This Row],[mean]]) / Table1[[#This Row],[std_dev]]</f>
        <v>-0.13177206339672762</v>
      </c>
      <c r="K2147">
        <f>AVERAGEIF(Table1[CountryCode],Table1[[#This Row],[CountryCode]],Table1[z-score])</f>
        <v>0.41927804487804637</v>
      </c>
      <c r="L2147" t="e">
        <f>VLOOKUP(Table1[[#This Row],[CountryCode]],[1]!Table1[#Data],4,FALSE)</f>
        <v>#REF!</v>
      </c>
    </row>
    <row r="2148" spans="1:12" hidden="1" x14ac:dyDescent="0.3">
      <c r="A2148" t="s">
        <v>19</v>
      </c>
      <c r="B2148" t="s">
        <v>20</v>
      </c>
      <c r="C2148" t="s">
        <v>125</v>
      </c>
      <c r="D2148" t="s">
        <v>126</v>
      </c>
      <c r="E2148">
        <v>2024</v>
      </c>
      <c r="F2148" s="1">
        <v>7</v>
      </c>
      <c r="G2148">
        <v>1970</v>
      </c>
      <c r="H2148">
        <f>AVERAGEIFS(Table1[value],Table1[IndicatorCode],Table1[[#This Row],[IndicatorCode]])</f>
        <v>7.6894248608534319</v>
      </c>
      <c r="I2148" cm="1">
        <f t="array" ref="I2148">_xlfn.STDEV.P(IF(Table1[IndicatorCode]=Table1[[#This Row],[IndicatorCode]],Table1[value]))</f>
        <v>5.2319501044600996</v>
      </c>
      <c r="J2148">
        <f>(Table1[[#This Row],[value]] - Table1[[#This Row],[mean]]) / Table1[[#This Row],[std_dev]]</f>
        <v>-0.13177206339672762</v>
      </c>
      <c r="K2148">
        <f>AVERAGEIF(Table1[CountryCode],Table1[[#This Row],[CountryCode]],Table1[z-score])</f>
        <v>0.41927804487804637</v>
      </c>
      <c r="L2148" t="e">
        <f>VLOOKUP(Table1[[#This Row],[CountryCode]],[1]!Table1[#Data],4,FALSE)</f>
        <v>#REF!</v>
      </c>
    </row>
    <row r="2149" spans="1:12" hidden="1" x14ac:dyDescent="0.3">
      <c r="A2149" t="s">
        <v>21</v>
      </c>
      <c r="B2149" t="s">
        <v>22</v>
      </c>
      <c r="C2149" t="s">
        <v>125</v>
      </c>
      <c r="D2149" t="s">
        <v>126</v>
      </c>
      <c r="E2149">
        <v>1970</v>
      </c>
      <c r="F2149" s="1">
        <v>8</v>
      </c>
      <c r="G2149">
        <v>1970</v>
      </c>
      <c r="H2149">
        <f>AVERAGEIFS(Table1[value],Table1[IndicatorCode],Table1[[#This Row],[IndicatorCode]])</f>
        <v>7.6894248608534319</v>
      </c>
      <c r="I2149" cm="1">
        <f t="array" ref="I2149">_xlfn.STDEV.P(IF(Table1[IndicatorCode]=Table1[[#This Row],[IndicatorCode]],Table1[value]))</f>
        <v>5.2319501044600996</v>
      </c>
      <c r="J2149">
        <f>(Table1[[#This Row],[value]] - Table1[[#This Row],[mean]]) / Table1[[#This Row],[std_dev]]</f>
        <v>5.9361257838030791E-2</v>
      </c>
      <c r="K2149">
        <f>AVERAGEIF(Table1[CountryCode],Table1[[#This Row],[CountryCode]],Table1[z-score])</f>
        <v>-0.76001533806857513</v>
      </c>
      <c r="L2149" t="e">
        <f>VLOOKUP(Table1[[#This Row],[CountryCode]],[1]!Table1[#Data],4,FALSE)</f>
        <v>#REF!</v>
      </c>
    </row>
    <row r="2150" spans="1:12" hidden="1" x14ac:dyDescent="0.3">
      <c r="A2150" t="s">
        <v>21</v>
      </c>
      <c r="B2150" t="s">
        <v>22</v>
      </c>
      <c r="C2150" t="s">
        <v>125</v>
      </c>
      <c r="D2150" t="s">
        <v>126</v>
      </c>
      <c r="E2150">
        <v>1971</v>
      </c>
      <c r="F2150" s="1">
        <v>8</v>
      </c>
      <c r="G2150">
        <v>1970</v>
      </c>
      <c r="H2150">
        <f>AVERAGEIFS(Table1[value],Table1[IndicatorCode],Table1[[#This Row],[IndicatorCode]])</f>
        <v>7.6894248608534319</v>
      </c>
      <c r="I2150" cm="1">
        <f t="array" ref="I2150">_xlfn.STDEV.P(IF(Table1[IndicatorCode]=Table1[[#This Row],[IndicatorCode]],Table1[value]))</f>
        <v>5.2319501044600996</v>
      </c>
      <c r="J2150">
        <f>(Table1[[#This Row],[value]] - Table1[[#This Row],[mean]]) / Table1[[#This Row],[std_dev]]</f>
        <v>5.9361257838030791E-2</v>
      </c>
      <c r="K2150">
        <f>AVERAGEIF(Table1[CountryCode],Table1[[#This Row],[CountryCode]],Table1[z-score])</f>
        <v>-0.76001533806857513</v>
      </c>
      <c r="L2150" t="e">
        <f>VLOOKUP(Table1[[#This Row],[CountryCode]],[1]!Table1[#Data],4,FALSE)</f>
        <v>#REF!</v>
      </c>
    </row>
    <row r="2151" spans="1:12" hidden="1" x14ac:dyDescent="0.3">
      <c r="A2151" t="s">
        <v>21</v>
      </c>
      <c r="B2151" t="s">
        <v>22</v>
      </c>
      <c r="C2151" t="s">
        <v>125</v>
      </c>
      <c r="D2151" t="s">
        <v>126</v>
      </c>
      <c r="E2151">
        <v>1972</v>
      </c>
      <c r="F2151" s="1">
        <v>8</v>
      </c>
      <c r="G2151">
        <v>1970</v>
      </c>
      <c r="H2151">
        <f>AVERAGEIFS(Table1[value],Table1[IndicatorCode],Table1[[#This Row],[IndicatorCode]])</f>
        <v>7.6894248608534319</v>
      </c>
      <c r="I2151" cm="1">
        <f t="array" ref="I2151">_xlfn.STDEV.P(IF(Table1[IndicatorCode]=Table1[[#This Row],[IndicatorCode]],Table1[value]))</f>
        <v>5.2319501044600996</v>
      </c>
      <c r="J2151">
        <f>(Table1[[#This Row],[value]] - Table1[[#This Row],[mean]]) / Table1[[#This Row],[std_dev]]</f>
        <v>5.9361257838030791E-2</v>
      </c>
      <c r="K2151">
        <f>AVERAGEIF(Table1[CountryCode],Table1[[#This Row],[CountryCode]],Table1[z-score])</f>
        <v>-0.76001533806857513</v>
      </c>
      <c r="L2151" t="e">
        <f>VLOOKUP(Table1[[#This Row],[CountryCode]],[1]!Table1[#Data],4,FALSE)</f>
        <v>#REF!</v>
      </c>
    </row>
    <row r="2152" spans="1:12" hidden="1" x14ac:dyDescent="0.3">
      <c r="A2152" t="s">
        <v>21</v>
      </c>
      <c r="B2152" t="s">
        <v>22</v>
      </c>
      <c r="C2152" t="s">
        <v>125</v>
      </c>
      <c r="D2152" t="s">
        <v>126</v>
      </c>
      <c r="E2152">
        <v>1973</v>
      </c>
      <c r="F2152" s="1">
        <v>8</v>
      </c>
      <c r="G2152">
        <v>1970</v>
      </c>
      <c r="H2152">
        <f>AVERAGEIFS(Table1[value],Table1[IndicatorCode],Table1[[#This Row],[IndicatorCode]])</f>
        <v>7.6894248608534319</v>
      </c>
      <c r="I2152" cm="1">
        <f t="array" ref="I2152">_xlfn.STDEV.P(IF(Table1[IndicatorCode]=Table1[[#This Row],[IndicatorCode]],Table1[value]))</f>
        <v>5.2319501044600996</v>
      </c>
      <c r="J2152">
        <f>(Table1[[#This Row],[value]] - Table1[[#This Row],[mean]]) / Table1[[#This Row],[std_dev]]</f>
        <v>5.9361257838030791E-2</v>
      </c>
      <c r="K2152">
        <f>AVERAGEIF(Table1[CountryCode],Table1[[#This Row],[CountryCode]],Table1[z-score])</f>
        <v>-0.76001533806857513</v>
      </c>
      <c r="L2152" t="e">
        <f>VLOOKUP(Table1[[#This Row],[CountryCode]],[1]!Table1[#Data],4,FALSE)</f>
        <v>#REF!</v>
      </c>
    </row>
    <row r="2153" spans="1:12" hidden="1" x14ac:dyDescent="0.3">
      <c r="A2153" t="s">
        <v>21</v>
      </c>
      <c r="B2153" t="s">
        <v>22</v>
      </c>
      <c r="C2153" t="s">
        <v>125</v>
      </c>
      <c r="D2153" t="s">
        <v>126</v>
      </c>
      <c r="E2153">
        <v>1974</v>
      </c>
      <c r="F2153" s="1">
        <v>8</v>
      </c>
      <c r="G2153">
        <v>1970</v>
      </c>
      <c r="H2153">
        <f>AVERAGEIFS(Table1[value],Table1[IndicatorCode],Table1[[#This Row],[IndicatorCode]])</f>
        <v>7.6894248608534319</v>
      </c>
      <c r="I2153" cm="1">
        <f t="array" ref="I2153">_xlfn.STDEV.P(IF(Table1[IndicatorCode]=Table1[[#This Row],[IndicatorCode]],Table1[value]))</f>
        <v>5.2319501044600996</v>
      </c>
      <c r="J2153">
        <f>(Table1[[#This Row],[value]] - Table1[[#This Row],[mean]]) / Table1[[#This Row],[std_dev]]</f>
        <v>5.9361257838030791E-2</v>
      </c>
      <c r="K2153">
        <f>AVERAGEIF(Table1[CountryCode],Table1[[#This Row],[CountryCode]],Table1[z-score])</f>
        <v>-0.76001533806857513</v>
      </c>
      <c r="L2153" t="e">
        <f>VLOOKUP(Table1[[#This Row],[CountryCode]],[1]!Table1[#Data],4,FALSE)</f>
        <v>#REF!</v>
      </c>
    </row>
    <row r="2154" spans="1:12" hidden="1" x14ac:dyDescent="0.3">
      <c r="A2154" t="s">
        <v>21</v>
      </c>
      <c r="B2154" t="s">
        <v>22</v>
      </c>
      <c r="C2154" t="s">
        <v>125</v>
      </c>
      <c r="D2154" t="s">
        <v>126</v>
      </c>
      <c r="E2154">
        <v>1975</v>
      </c>
      <c r="F2154" s="1">
        <v>9</v>
      </c>
      <c r="G2154">
        <v>1970</v>
      </c>
      <c r="H2154">
        <f>AVERAGEIFS(Table1[value],Table1[IndicatorCode],Table1[[#This Row],[IndicatorCode]])</f>
        <v>7.6894248608534319</v>
      </c>
      <c r="I2154" cm="1">
        <f t="array" ref="I2154">_xlfn.STDEV.P(IF(Table1[IndicatorCode]=Table1[[#This Row],[IndicatorCode]],Table1[value]))</f>
        <v>5.2319501044600996</v>
      </c>
      <c r="J2154">
        <f>(Table1[[#This Row],[value]] - Table1[[#This Row],[mean]]) / Table1[[#This Row],[std_dev]]</f>
        <v>0.25049457907278921</v>
      </c>
      <c r="K2154">
        <f>AVERAGEIF(Table1[CountryCode],Table1[[#This Row],[CountryCode]],Table1[z-score])</f>
        <v>-0.76001533806857513</v>
      </c>
      <c r="L2154" t="e">
        <f>VLOOKUP(Table1[[#This Row],[CountryCode]],[1]!Table1[#Data],4,FALSE)</f>
        <v>#REF!</v>
      </c>
    </row>
    <row r="2155" spans="1:12" hidden="1" x14ac:dyDescent="0.3">
      <c r="A2155" t="s">
        <v>21</v>
      </c>
      <c r="B2155" t="s">
        <v>22</v>
      </c>
      <c r="C2155" t="s">
        <v>125</v>
      </c>
      <c r="D2155" t="s">
        <v>126</v>
      </c>
      <c r="E2155">
        <v>1976</v>
      </c>
      <c r="F2155" s="1">
        <v>9</v>
      </c>
      <c r="G2155">
        <v>1970</v>
      </c>
      <c r="H2155">
        <f>AVERAGEIFS(Table1[value],Table1[IndicatorCode],Table1[[#This Row],[IndicatorCode]])</f>
        <v>7.6894248608534319</v>
      </c>
      <c r="I2155" cm="1">
        <f t="array" ref="I2155">_xlfn.STDEV.P(IF(Table1[IndicatorCode]=Table1[[#This Row],[IndicatorCode]],Table1[value]))</f>
        <v>5.2319501044600996</v>
      </c>
      <c r="J2155">
        <f>(Table1[[#This Row],[value]] - Table1[[#This Row],[mean]]) / Table1[[#This Row],[std_dev]]</f>
        <v>0.25049457907278921</v>
      </c>
      <c r="K2155">
        <f>AVERAGEIF(Table1[CountryCode],Table1[[#This Row],[CountryCode]],Table1[z-score])</f>
        <v>-0.76001533806857513</v>
      </c>
      <c r="L2155" t="e">
        <f>VLOOKUP(Table1[[#This Row],[CountryCode]],[1]!Table1[#Data],4,FALSE)</f>
        <v>#REF!</v>
      </c>
    </row>
    <row r="2156" spans="1:12" hidden="1" x14ac:dyDescent="0.3">
      <c r="A2156" t="s">
        <v>21</v>
      </c>
      <c r="B2156" t="s">
        <v>22</v>
      </c>
      <c r="C2156" t="s">
        <v>125</v>
      </c>
      <c r="D2156" t="s">
        <v>126</v>
      </c>
      <c r="E2156">
        <v>1977</v>
      </c>
      <c r="F2156" s="1">
        <v>9</v>
      </c>
      <c r="G2156">
        <v>1980</v>
      </c>
      <c r="H2156">
        <f>AVERAGEIFS(Table1[value],Table1[IndicatorCode],Table1[[#This Row],[IndicatorCode]])</f>
        <v>7.6894248608534319</v>
      </c>
      <c r="I2156" cm="1">
        <f t="array" ref="I2156">_xlfn.STDEV.P(IF(Table1[IndicatorCode]=Table1[[#This Row],[IndicatorCode]],Table1[value]))</f>
        <v>5.2319501044600996</v>
      </c>
      <c r="J2156">
        <f>(Table1[[#This Row],[value]] - Table1[[#This Row],[mean]]) / Table1[[#This Row],[std_dev]]</f>
        <v>0.25049457907278921</v>
      </c>
      <c r="K2156">
        <f>AVERAGEIF(Table1[CountryCode],Table1[[#This Row],[CountryCode]],Table1[z-score])</f>
        <v>-0.76001533806857513</v>
      </c>
      <c r="L2156" t="e">
        <f>VLOOKUP(Table1[[#This Row],[CountryCode]],[1]!Table1[#Data],4,FALSE)</f>
        <v>#REF!</v>
      </c>
    </row>
    <row r="2157" spans="1:12" hidden="1" x14ac:dyDescent="0.3">
      <c r="A2157" t="s">
        <v>21</v>
      </c>
      <c r="B2157" t="s">
        <v>22</v>
      </c>
      <c r="C2157" t="s">
        <v>125</v>
      </c>
      <c r="D2157" t="s">
        <v>126</v>
      </c>
      <c r="E2157">
        <v>1978</v>
      </c>
      <c r="F2157" s="1">
        <v>10</v>
      </c>
      <c r="G2157">
        <v>1980</v>
      </c>
      <c r="H2157">
        <f>AVERAGEIFS(Table1[value],Table1[IndicatorCode],Table1[[#This Row],[IndicatorCode]])</f>
        <v>7.6894248608534319</v>
      </c>
      <c r="I2157" cm="1">
        <f t="array" ref="I2157">_xlfn.STDEV.P(IF(Table1[IndicatorCode]=Table1[[#This Row],[IndicatorCode]],Table1[value]))</f>
        <v>5.2319501044600996</v>
      </c>
      <c r="J2157">
        <f>(Table1[[#This Row],[value]] - Table1[[#This Row],[mean]]) / Table1[[#This Row],[std_dev]]</f>
        <v>0.44162790030754762</v>
      </c>
      <c r="K2157">
        <f>AVERAGEIF(Table1[CountryCode],Table1[[#This Row],[CountryCode]],Table1[z-score])</f>
        <v>-0.76001533806857513</v>
      </c>
      <c r="L2157" t="e">
        <f>VLOOKUP(Table1[[#This Row],[CountryCode]],[1]!Table1[#Data],4,FALSE)</f>
        <v>#REF!</v>
      </c>
    </row>
    <row r="2158" spans="1:12" hidden="1" x14ac:dyDescent="0.3">
      <c r="A2158" t="s">
        <v>21</v>
      </c>
      <c r="B2158" t="s">
        <v>22</v>
      </c>
      <c r="C2158" t="s">
        <v>125</v>
      </c>
      <c r="D2158" t="s">
        <v>126</v>
      </c>
      <c r="E2158">
        <v>1979</v>
      </c>
      <c r="F2158" s="1">
        <v>10</v>
      </c>
      <c r="G2158">
        <v>1980</v>
      </c>
      <c r="H2158">
        <f>AVERAGEIFS(Table1[value],Table1[IndicatorCode],Table1[[#This Row],[IndicatorCode]])</f>
        <v>7.6894248608534319</v>
      </c>
      <c r="I2158" cm="1">
        <f t="array" ref="I2158">_xlfn.STDEV.P(IF(Table1[IndicatorCode]=Table1[[#This Row],[IndicatorCode]],Table1[value]))</f>
        <v>5.2319501044600996</v>
      </c>
      <c r="J2158">
        <f>(Table1[[#This Row],[value]] - Table1[[#This Row],[mean]]) / Table1[[#This Row],[std_dev]]</f>
        <v>0.44162790030754762</v>
      </c>
      <c r="K2158">
        <f>AVERAGEIF(Table1[CountryCode],Table1[[#This Row],[CountryCode]],Table1[z-score])</f>
        <v>-0.76001533806857513</v>
      </c>
      <c r="L2158" t="e">
        <f>VLOOKUP(Table1[[#This Row],[CountryCode]],[1]!Table1[#Data],4,FALSE)</f>
        <v>#REF!</v>
      </c>
    </row>
    <row r="2159" spans="1:12" hidden="1" x14ac:dyDescent="0.3">
      <c r="A2159" t="s">
        <v>21</v>
      </c>
      <c r="B2159" t="s">
        <v>22</v>
      </c>
      <c r="C2159" t="s">
        <v>125</v>
      </c>
      <c r="D2159" t="s">
        <v>126</v>
      </c>
      <c r="E2159">
        <v>1980</v>
      </c>
      <c r="F2159" s="1">
        <v>11</v>
      </c>
      <c r="G2159">
        <v>1980</v>
      </c>
      <c r="H2159">
        <f>AVERAGEIFS(Table1[value],Table1[IndicatorCode],Table1[[#This Row],[IndicatorCode]])</f>
        <v>7.6894248608534319</v>
      </c>
      <c r="I2159" cm="1">
        <f t="array" ref="I2159">_xlfn.STDEV.P(IF(Table1[IndicatorCode]=Table1[[#This Row],[IndicatorCode]],Table1[value]))</f>
        <v>5.2319501044600996</v>
      </c>
      <c r="J2159">
        <f>(Table1[[#This Row],[value]] - Table1[[#This Row],[mean]]) / Table1[[#This Row],[std_dev]]</f>
        <v>0.63276122154230596</v>
      </c>
      <c r="K2159">
        <f>AVERAGEIF(Table1[CountryCode],Table1[[#This Row],[CountryCode]],Table1[z-score])</f>
        <v>-0.76001533806857513</v>
      </c>
      <c r="L2159" t="e">
        <f>VLOOKUP(Table1[[#This Row],[CountryCode]],[1]!Table1[#Data],4,FALSE)</f>
        <v>#REF!</v>
      </c>
    </row>
    <row r="2160" spans="1:12" hidden="1" x14ac:dyDescent="0.3">
      <c r="A2160" t="s">
        <v>21</v>
      </c>
      <c r="B2160" t="s">
        <v>22</v>
      </c>
      <c r="C2160" t="s">
        <v>125</v>
      </c>
      <c r="D2160" t="s">
        <v>126</v>
      </c>
      <c r="E2160">
        <v>1981</v>
      </c>
      <c r="F2160" s="1">
        <v>10</v>
      </c>
      <c r="G2160">
        <v>1980</v>
      </c>
      <c r="H2160">
        <f>AVERAGEIFS(Table1[value],Table1[IndicatorCode],Table1[[#This Row],[IndicatorCode]])</f>
        <v>7.6894248608534319</v>
      </c>
      <c r="I2160" cm="1">
        <f t="array" ref="I2160">_xlfn.STDEV.P(IF(Table1[IndicatorCode]=Table1[[#This Row],[IndicatorCode]],Table1[value]))</f>
        <v>5.2319501044600996</v>
      </c>
      <c r="J2160">
        <f>(Table1[[#This Row],[value]] - Table1[[#This Row],[mean]]) / Table1[[#This Row],[std_dev]]</f>
        <v>0.44162790030754762</v>
      </c>
      <c r="K2160">
        <f>AVERAGEIF(Table1[CountryCode],Table1[[#This Row],[CountryCode]],Table1[z-score])</f>
        <v>-0.76001533806857513</v>
      </c>
      <c r="L2160" t="e">
        <f>VLOOKUP(Table1[[#This Row],[CountryCode]],[1]!Table1[#Data],4,FALSE)</f>
        <v>#REF!</v>
      </c>
    </row>
    <row r="2161" spans="1:12" hidden="1" x14ac:dyDescent="0.3">
      <c r="A2161" t="s">
        <v>21</v>
      </c>
      <c r="B2161" t="s">
        <v>22</v>
      </c>
      <c r="C2161" t="s">
        <v>125</v>
      </c>
      <c r="D2161" t="s">
        <v>126</v>
      </c>
      <c r="E2161">
        <v>1982</v>
      </c>
      <c r="F2161" s="1">
        <v>10</v>
      </c>
      <c r="G2161">
        <v>1980</v>
      </c>
      <c r="H2161">
        <f>AVERAGEIFS(Table1[value],Table1[IndicatorCode],Table1[[#This Row],[IndicatorCode]])</f>
        <v>7.6894248608534319</v>
      </c>
      <c r="I2161" cm="1">
        <f t="array" ref="I2161">_xlfn.STDEV.P(IF(Table1[IndicatorCode]=Table1[[#This Row],[IndicatorCode]],Table1[value]))</f>
        <v>5.2319501044600996</v>
      </c>
      <c r="J2161">
        <f>(Table1[[#This Row],[value]] - Table1[[#This Row],[mean]]) / Table1[[#This Row],[std_dev]]</f>
        <v>0.44162790030754762</v>
      </c>
      <c r="K2161">
        <f>AVERAGEIF(Table1[CountryCode],Table1[[#This Row],[CountryCode]],Table1[z-score])</f>
        <v>-0.76001533806857513</v>
      </c>
      <c r="L2161" t="e">
        <f>VLOOKUP(Table1[[#This Row],[CountryCode]],[1]!Table1[#Data],4,FALSE)</f>
        <v>#REF!</v>
      </c>
    </row>
    <row r="2162" spans="1:12" hidden="1" x14ac:dyDescent="0.3">
      <c r="A2162" t="s">
        <v>21</v>
      </c>
      <c r="B2162" t="s">
        <v>22</v>
      </c>
      <c r="C2162" t="s">
        <v>125</v>
      </c>
      <c r="D2162" t="s">
        <v>126</v>
      </c>
      <c r="E2162">
        <v>1983</v>
      </c>
      <c r="F2162" s="1">
        <v>10</v>
      </c>
      <c r="G2162">
        <v>1980</v>
      </c>
      <c r="H2162">
        <f>AVERAGEIFS(Table1[value],Table1[IndicatorCode],Table1[[#This Row],[IndicatorCode]])</f>
        <v>7.6894248608534319</v>
      </c>
      <c r="I2162" cm="1">
        <f t="array" ref="I2162">_xlfn.STDEV.P(IF(Table1[IndicatorCode]=Table1[[#This Row],[IndicatorCode]],Table1[value]))</f>
        <v>5.2319501044600996</v>
      </c>
      <c r="J2162">
        <f>(Table1[[#This Row],[value]] - Table1[[#This Row],[mean]]) / Table1[[#This Row],[std_dev]]</f>
        <v>0.44162790030754762</v>
      </c>
      <c r="K2162">
        <f>AVERAGEIF(Table1[CountryCode],Table1[[#This Row],[CountryCode]],Table1[z-score])</f>
        <v>-0.76001533806857513</v>
      </c>
      <c r="L2162" t="e">
        <f>VLOOKUP(Table1[[#This Row],[CountryCode]],[1]!Table1[#Data],4,FALSE)</f>
        <v>#REF!</v>
      </c>
    </row>
    <row r="2163" spans="1:12" hidden="1" x14ac:dyDescent="0.3">
      <c r="A2163" t="s">
        <v>21</v>
      </c>
      <c r="B2163" t="s">
        <v>22</v>
      </c>
      <c r="C2163" t="s">
        <v>125</v>
      </c>
      <c r="D2163" t="s">
        <v>126</v>
      </c>
      <c r="E2163">
        <v>1984</v>
      </c>
      <c r="F2163" s="1">
        <v>10</v>
      </c>
      <c r="G2163">
        <v>1980</v>
      </c>
      <c r="H2163">
        <f>AVERAGEIFS(Table1[value],Table1[IndicatorCode],Table1[[#This Row],[IndicatorCode]])</f>
        <v>7.6894248608534319</v>
      </c>
      <c r="I2163" cm="1">
        <f t="array" ref="I2163">_xlfn.STDEV.P(IF(Table1[IndicatorCode]=Table1[[#This Row],[IndicatorCode]],Table1[value]))</f>
        <v>5.2319501044600996</v>
      </c>
      <c r="J2163">
        <f>(Table1[[#This Row],[value]] - Table1[[#This Row],[mean]]) / Table1[[#This Row],[std_dev]]</f>
        <v>0.44162790030754762</v>
      </c>
      <c r="K2163">
        <f>AVERAGEIF(Table1[CountryCode],Table1[[#This Row],[CountryCode]],Table1[z-score])</f>
        <v>-0.76001533806857513</v>
      </c>
      <c r="L2163" t="e">
        <f>VLOOKUP(Table1[[#This Row],[CountryCode]],[1]!Table1[#Data],4,FALSE)</f>
        <v>#REF!</v>
      </c>
    </row>
    <row r="2164" spans="1:12" hidden="1" x14ac:dyDescent="0.3">
      <c r="A2164" t="s">
        <v>21</v>
      </c>
      <c r="B2164" t="s">
        <v>22</v>
      </c>
      <c r="C2164" t="s">
        <v>125</v>
      </c>
      <c r="D2164" t="s">
        <v>126</v>
      </c>
      <c r="E2164">
        <v>1985</v>
      </c>
      <c r="F2164" s="1">
        <v>10</v>
      </c>
      <c r="G2164">
        <v>1980</v>
      </c>
      <c r="H2164">
        <f>AVERAGEIFS(Table1[value],Table1[IndicatorCode],Table1[[#This Row],[IndicatorCode]])</f>
        <v>7.6894248608534319</v>
      </c>
      <c r="I2164" cm="1">
        <f t="array" ref="I2164">_xlfn.STDEV.P(IF(Table1[IndicatorCode]=Table1[[#This Row],[IndicatorCode]],Table1[value]))</f>
        <v>5.2319501044600996</v>
      </c>
      <c r="J2164">
        <f>(Table1[[#This Row],[value]] - Table1[[#This Row],[mean]]) / Table1[[#This Row],[std_dev]]</f>
        <v>0.44162790030754762</v>
      </c>
      <c r="K2164">
        <f>AVERAGEIF(Table1[CountryCode],Table1[[#This Row],[CountryCode]],Table1[z-score])</f>
        <v>-0.76001533806857513</v>
      </c>
      <c r="L2164" t="e">
        <f>VLOOKUP(Table1[[#This Row],[CountryCode]],[1]!Table1[#Data],4,FALSE)</f>
        <v>#REF!</v>
      </c>
    </row>
    <row r="2165" spans="1:12" hidden="1" x14ac:dyDescent="0.3">
      <c r="A2165" t="s">
        <v>21</v>
      </c>
      <c r="B2165" t="s">
        <v>22</v>
      </c>
      <c r="C2165" t="s">
        <v>125</v>
      </c>
      <c r="D2165" t="s">
        <v>126</v>
      </c>
      <c r="E2165">
        <v>1986</v>
      </c>
      <c r="F2165" s="1">
        <v>10</v>
      </c>
      <c r="G2165">
        <v>1980</v>
      </c>
      <c r="H2165">
        <f>AVERAGEIFS(Table1[value],Table1[IndicatorCode],Table1[[#This Row],[IndicatorCode]])</f>
        <v>7.6894248608534319</v>
      </c>
      <c r="I2165" cm="1">
        <f t="array" ref="I2165">_xlfn.STDEV.P(IF(Table1[IndicatorCode]=Table1[[#This Row],[IndicatorCode]],Table1[value]))</f>
        <v>5.2319501044600996</v>
      </c>
      <c r="J2165">
        <f>(Table1[[#This Row],[value]] - Table1[[#This Row],[mean]]) / Table1[[#This Row],[std_dev]]</f>
        <v>0.44162790030754762</v>
      </c>
      <c r="K2165">
        <f>AVERAGEIF(Table1[CountryCode],Table1[[#This Row],[CountryCode]],Table1[z-score])</f>
        <v>-0.76001533806857513</v>
      </c>
      <c r="L2165" t="e">
        <f>VLOOKUP(Table1[[#This Row],[CountryCode]],[1]!Table1[#Data],4,FALSE)</f>
        <v>#REF!</v>
      </c>
    </row>
    <row r="2166" spans="1:12" hidden="1" x14ac:dyDescent="0.3">
      <c r="A2166" t="s">
        <v>21</v>
      </c>
      <c r="B2166" t="s">
        <v>22</v>
      </c>
      <c r="C2166" t="s">
        <v>125</v>
      </c>
      <c r="D2166" t="s">
        <v>126</v>
      </c>
      <c r="E2166">
        <v>1987</v>
      </c>
      <c r="F2166" s="1">
        <v>10</v>
      </c>
      <c r="G2166">
        <v>1990</v>
      </c>
      <c r="H2166">
        <f>AVERAGEIFS(Table1[value],Table1[IndicatorCode],Table1[[#This Row],[IndicatorCode]])</f>
        <v>7.6894248608534319</v>
      </c>
      <c r="I2166" cm="1">
        <f t="array" ref="I2166">_xlfn.STDEV.P(IF(Table1[IndicatorCode]=Table1[[#This Row],[IndicatorCode]],Table1[value]))</f>
        <v>5.2319501044600996</v>
      </c>
      <c r="J2166">
        <f>(Table1[[#This Row],[value]] - Table1[[#This Row],[mean]]) / Table1[[#This Row],[std_dev]]</f>
        <v>0.44162790030754762</v>
      </c>
      <c r="K2166">
        <f>AVERAGEIF(Table1[CountryCode],Table1[[#This Row],[CountryCode]],Table1[z-score])</f>
        <v>-0.76001533806857513</v>
      </c>
      <c r="L2166" t="e">
        <f>VLOOKUP(Table1[[#This Row],[CountryCode]],[1]!Table1[#Data],4,FALSE)</f>
        <v>#REF!</v>
      </c>
    </row>
    <row r="2167" spans="1:12" hidden="1" x14ac:dyDescent="0.3">
      <c r="A2167" t="s">
        <v>21</v>
      </c>
      <c r="B2167" t="s">
        <v>22</v>
      </c>
      <c r="C2167" t="s">
        <v>125</v>
      </c>
      <c r="D2167" t="s">
        <v>126</v>
      </c>
      <c r="E2167">
        <v>1988</v>
      </c>
      <c r="F2167" s="1">
        <v>10</v>
      </c>
      <c r="G2167">
        <v>1990</v>
      </c>
      <c r="H2167">
        <f>AVERAGEIFS(Table1[value],Table1[IndicatorCode],Table1[[#This Row],[IndicatorCode]])</f>
        <v>7.6894248608534319</v>
      </c>
      <c r="I2167" cm="1">
        <f t="array" ref="I2167">_xlfn.STDEV.P(IF(Table1[IndicatorCode]=Table1[[#This Row],[IndicatorCode]],Table1[value]))</f>
        <v>5.2319501044600996</v>
      </c>
      <c r="J2167">
        <f>(Table1[[#This Row],[value]] - Table1[[#This Row],[mean]]) / Table1[[#This Row],[std_dev]]</f>
        <v>0.44162790030754762</v>
      </c>
      <c r="K2167">
        <f>AVERAGEIF(Table1[CountryCode],Table1[[#This Row],[CountryCode]],Table1[z-score])</f>
        <v>-0.76001533806857513</v>
      </c>
      <c r="L2167" t="e">
        <f>VLOOKUP(Table1[[#This Row],[CountryCode]],[1]!Table1[#Data],4,FALSE)</f>
        <v>#REF!</v>
      </c>
    </row>
    <row r="2168" spans="1:12" hidden="1" x14ac:dyDescent="0.3">
      <c r="A2168" t="s">
        <v>21</v>
      </c>
      <c r="B2168" t="s">
        <v>22</v>
      </c>
      <c r="C2168" t="s">
        <v>125</v>
      </c>
      <c r="D2168" t="s">
        <v>126</v>
      </c>
      <c r="E2168">
        <v>1989</v>
      </c>
      <c r="F2168" s="1">
        <v>10</v>
      </c>
      <c r="G2168">
        <v>1990</v>
      </c>
      <c r="H2168">
        <f>AVERAGEIFS(Table1[value],Table1[IndicatorCode],Table1[[#This Row],[IndicatorCode]])</f>
        <v>7.6894248608534319</v>
      </c>
      <c r="I2168" cm="1">
        <f t="array" ref="I2168">_xlfn.STDEV.P(IF(Table1[IndicatorCode]=Table1[[#This Row],[IndicatorCode]],Table1[value]))</f>
        <v>5.2319501044600996</v>
      </c>
      <c r="J2168">
        <f>(Table1[[#This Row],[value]] - Table1[[#This Row],[mean]]) / Table1[[#This Row],[std_dev]]</f>
        <v>0.44162790030754762</v>
      </c>
      <c r="K2168">
        <f>AVERAGEIF(Table1[CountryCode],Table1[[#This Row],[CountryCode]],Table1[z-score])</f>
        <v>-0.76001533806857513</v>
      </c>
      <c r="L2168" t="e">
        <f>VLOOKUP(Table1[[#This Row],[CountryCode]],[1]!Table1[#Data],4,FALSE)</f>
        <v>#REF!</v>
      </c>
    </row>
    <row r="2169" spans="1:12" hidden="1" x14ac:dyDescent="0.3">
      <c r="A2169" t="s">
        <v>21</v>
      </c>
      <c r="B2169" t="s">
        <v>22</v>
      </c>
      <c r="C2169" t="s">
        <v>125</v>
      </c>
      <c r="D2169" t="s">
        <v>126</v>
      </c>
      <c r="E2169">
        <v>1990</v>
      </c>
      <c r="F2169" s="1">
        <v>9</v>
      </c>
      <c r="G2169">
        <v>1990</v>
      </c>
      <c r="H2169">
        <f>AVERAGEIFS(Table1[value],Table1[IndicatorCode],Table1[[#This Row],[IndicatorCode]])</f>
        <v>7.6894248608534319</v>
      </c>
      <c r="I2169" cm="1">
        <f t="array" ref="I2169">_xlfn.STDEV.P(IF(Table1[IndicatorCode]=Table1[[#This Row],[IndicatorCode]],Table1[value]))</f>
        <v>5.2319501044600996</v>
      </c>
      <c r="J2169">
        <f>(Table1[[#This Row],[value]] - Table1[[#This Row],[mean]]) / Table1[[#This Row],[std_dev]]</f>
        <v>0.25049457907278921</v>
      </c>
      <c r="K2169">
        <f>AVERAGEIF(Table1[CountryCode],Table1[[#This Row],[CountryCode]],Table1[z-score])</f>
        <v>-0.76001533806857513</v>
      </c>
      <c r="L2169" t="e">
        <f>VLOOKUP(Table1[[#This Row],[CountryCode]],[1]!Table1[#Data],4,FALSE)</f>
        <v>#REF!</v>
      </c>
    </row>
    <row r="2170" spans="1:12" hidden="1" x14ac:dyDescent="0.3">
      <c r="A2170" t="s">
        <v>21</v>
      </c>
      <c r="B2170" t="s">
        <v>22</v>
      </c>
      <c r="C2170" t="s">
        <v>125</v>
      </c>
      <c r="D2170" t="s">
        <v>126</v>
      </c>
      <c r="E2170">
        <v>1991</v>
      </c>
      <c r="F2170" s="1">
        <v>8</v>
      </c>
      <c r="G2170">
        <v>1990</v>
      </c>
      <c r="H2170">
        <f>AVERAGEIFS(Table1[value],Table1[IndicatorCode],Table1[[#This Row],[IndicatorCode]])</f>
        <v>7.6894248608534319</v>
      </c>
      <c r="I2170" cm="1">
        <f t="array" ref="I2170">_xlfn.STDEV.P(IF(Table1[IndicatorCode]=Table1[[#This Row],[IndicatorCode]],Table1[value]))</f>
        <v>5.2319501044600996</v>
      </c>
      <c r="J2170">
        <f>(Table1[[#This Row],[value]] - Table1[[#This Row],[mean]]) / Table1[[#This Row],[std_dev]]</f>
        <v>5.9361257838030791E-2</v>
      </c>
      <c r="K2170">
        <f>AVERAGEIF(Table1[CountryCode],Table1[[#This Row],[CountryCode]],Table1[z-score])</f>
        <v>-0.76001533806857513</v>
      </c>
      <c r="L2170" t="e">
        <f>VLOOKUP(Table1[[#This Row],[CountryCode]],[1]!Table1[#Data],4,FALSE)</f>
        <v>#REF!</v>
      </c>
    </row>
    <row r="2171" spans="1:12" hidden="1" x14ac:dyDescent="0.3">
      <c r="A2171" t="s">
        <v>21</v>
      </c>
      <c r="B2171" t="s">
        <v>22</v>
      </c>
      <c r="C2171" t="s">
        <v>125</v>
      </c>
      <c r="D2171" t="s">
        <v>126</v>
      </c>
      <c r="E2171">
        <v>1992</v>
      </c>
      <c r="F2171" s="1">
        <v>7</v>
      </c>
      <c r="G2171">
        <v>1990</v>
      </c>
      <c r="H2171">
        <f>AVERAGEIFS(Table1[value],Table1[IndicatorCode],Table1[[#This Row],[IndicatorCode]])</f>
        <v>7.6894248608534319</v>
      </c>
      <c r="I2171" cm="1">
        <f t="array" ref="I2171">_xlfn.STDEV.P(IF(Table1[IndicatorCode]=Table1[[#This Row],[IndicatorCode]],Table1[value]))</f>
        <v>5.2319501044600996</v>
      </c>
      <c r="J2171">
        <f>(Table1[[#This Row],[value]] - Table1[[#This Row],[mean]]) / Table1[[#This Row],[std_dev]]</f>
        <v>-0.13177206339672762</v>
      </c>
      <c r="K2171">
        <f>AVERAGEIF(Table1[CountryCode],Table1[[#This Row],[CountryCode]],Table1[z-score])</f>
        <v>-0.76001533806857513</v>
      </c>
      <c r="L2171" t="e">
        <f>VLOOKUP(Table1[[#This Row],[CountryCode]],[1]!Table1[#Data],4,FALSE)</f>
        <v>#REF!</v>
      </c>
    </row>
    <row r="2172" spans="1:12" hidden="1" x14ac:dyDescent="0.3">
      <c r="A2172" t="s">
        <v>21</v>
      </c>
      <c r="B2172" t="s">
        <v>22</v>
      </c>
      <c r="C2172" t="s">
        <v>125</v>
      </c>
      <c r="D2172" t="s">
        <v>126</v>
      </c>
      <c r="E2172">
        <v>1993</v>
      </c>
      <c r="F2172" s="1">
        <v>7</v>
      </c>
      <c r="G2172">
        <v>1990</v>
      </c>
      <c r="H2172">
        <f>AVERAGEIFS(Table1[value],Table1[IndicatorCode],Table1[[#This Row],[IndicatorCode]])</f>
        <v>7.6894248608534319</v>
      </c>
      <c r="I2172" cm="1">
        <f t="array" ref="I2172">_xlfn.STDEV.P(IF(Table1[IndicatorCode]=Table1[[#This Row],[IndicatorCode]],Table1[value]))</f>
        <v>5.2319501044600996</v>
      </c>
      <c r="J2172">
        <f>(Table1[[#This Row],[value]] - Table1[[#This Row],[mean]]) / Table1[[#This Row],[std_dev]]</f>
        <v>-0.13177206339672762</v>
      </c>
      <c r="K2172">
        <f>AVERAGEIF(Table1[CountryCode],Table1[[#This Row],[CountryCode]],Table1[z-score])</f>
        <v>-0.76001533806857513</v>
      </c>
      <c r="L2172" t="e">
        <f>VLOOKUP(Table1[[#This Row],[CountryCode]],[1]!Table1[#Data],4,FALSE)</f>
        <v>#REF!</v>
      </c>
    </row>
    <row r="2173" spans="1:12" hidden="1" x14ac:dyDescent="0.3">
      <c r="A2173" t="s">
        <v>21</v>
      </c>
      <c r="B2173" t="s">
        <v>22</v>
      </c>
      <c r="C2173" t="s">
        <v>125</v>
      </c>
      <c r="D2173" t="s">
        <v>126</v>
      </c>
      <c r="E2173">
        <v>1994</v>
      </c>
      <c r="F2173" s="1">
        <v>7</v>
      </c>
      <c r="G2173">
        <v>1990</v>
      </c>
      <c r="H2173">
        <f>AVERAGEIFS(Table1[value],Table1[IndicatorCode],Table1[[#This Row],[IndicatorCode]])</f>
        <v>7.6894248608534319</v>
      </c>
      <c r="I2173" cm="1">
        <f t="array" ref="I2173">_xlfn.STDEV.P(IF(Table1[IndicatorCode]=Table1[[#This Row],[IndicatorCode]],Table1[value]))</f>
        <v>5.2319501044600996</v>
      </c>
      <c r="J2173">
        <f>(Table1[[#This Row],[value]] - Table1[[#This Row],[mean]]) / Table1[[#This Row],[std_dev]]</f>
        <v>-0.13177206339672762</v>
      </c>
      <c r="K2173">
        <f>AVERAGEIF(Table1[CountryCode],Table1[[#This Row],[CountryCode]],Table1[z-score])</f>
        <v>-0.76001533806857513</v>
      </c>
      <c r="L2173" t="e">
        <f>VLOOKUP(Table1[[#This Row],[CountryCode]],[1]!Table1[#Data],4,FALSE)</f>
        <v>#REF!</v>
      </c>
    </row>
    <row r="2174" spans="1:12" hidden="1" x14ac:dyDescent="0.3">
      <c r="A2174" t="s">
        <v>21</v>
      </c>
      <c r="B2174" t="s">
        <v>22</v>
      </c>
      <c r="C2174" t="s">
        <v>125</v>
      </c>
      <c r="D2174" t="s">
        <v>126</v>
      </c>
      <c r="E2174">
        <v>1995</v>
      </c>
      <c r="F2174" s="1">
        <v>7</v>
      </c>
      <c r="G2174">
        <v>1990</v>
      </c>
      <c r="H2174">
        <f>AVERAGEIFS(Table1[value],Table1[IndicatorCode],Table1[[#This Row],[IndicatorCode]])</f>
        <v>7.6894248608534319</v>
      </c>
      <c r="I2174" cm="1">
        <f t="array" ref="I2174">_xlfn.STDEV.P(IF(Table1[IndicatorCode]=Table1[[#This Row],[IndicatorCode]],Table1[value]))</f>
        <v>5.2319501044600996</v>
      </c>
      <c r="J2174">
        <f>(Table1[[#This Row],[value]] - Table1[[#This Row],[mean]]) / Table1[[#This Row],[std_dev]]</f>
        <v>-0.13177206339672762</v>
      </c>
      <c r="K2174">
        <f>AVERAGEIF(Table1[CountryCode],Table1[[#This Row],[CountryCode]],Table1[z-score])</f>
        <v>-0.76001533806857513</v>
      </c>
      <c r="L2174" t="e">
        <f>VLOOKUP(Table1[[#This Row],[CountryCode]],[1]!Table1[#Data],4,FALSE)</f>
        <v>#REF!</v>
      </c>
    </row>
    <row r="2175" spans="1:12" hidden="1" x14ac:dyDescent="0.3">
      <c r="A2175" t="s">
        <v>21</v>
      </c>
      <c r="B2175" t="s">
        <v>22</v>
      </c>
      <c r="C2175" t="s">
        <v>125</v>
      </c>
      <c r="D2175" t="s">
        <v>126</v>
      </c>
      <c r="E2175">
        <v>1996</v>
      </c>
      <c r="F2175" s="1">
        <v>7</v>
      </c>
      <c r="G2175">
        <v>1990</v>
      </c>
      <c r="H2175">
        <f>AVERAGEIFS(Table1[value],Table1[IndicatorCode],Table1[[#This Row],[IndicatorCode]])</f>
        <v>7.6894248608534319</v>
      </c>
      <c r="I2175" cm="1">
        <f t="array" ref="I2175">_xlfn.STDEV.P(IF(Table1[IndicatorCode]=Table1[[#This Row],[IndicatorCode]],Table1[value]))</f>
        <v>5.2319501044600996</v>
      </c>
      <c r="J2175">
        <f>(Table1[[#This Row],[value]] - Table1[[#This Row],[mean]]) / Table1[[#This Row],[std_dev]]</f>
        <v>-0.13177206339672762</v>
      </c>
      <c r="K2175">
        <f>AVERAGEIF(Table1[CountryCode],Table1[[#This Row],[CountryCode]],Table1[z-score])</f>
        <v>-0.76001533806857513</v>
      </c>
      <c r="L2175" t="e">
        <f>VLOOKUP(Table1[[#This Row],[CountryCode]],[1]!Table1[#Data],4,FALSE)</f>
        <v>#REF!</v>
      </c>
    </row>
    <row r="2176" spans="1:12" hidden="1" x14ac:dyDescent="0.3">
      <c r="A2176" t="s">
        <v>21</v>
      </c>
      <c r="B2176" t="s">
        <v>22</v>
      </c>
      <c r="C2176" t="s">
        <v>125</v>
      </c>
      <c r="D2176" t="s">
        <v>126</v>
      </c>
      <c r="E2176">
        <v>1997</v>
      </c>
      <c r="F2176" s="1">
        <v>7</v>
      </c>
      <c r="G2176">
        <v>2000</v>
      </c>
      <c r="H2176">
        <f>AVERAGEIFS(Table1[value],Table1[IndicatorCode],Table1[[#This Row],[IndicatorCode]])</f>
        <v>7.6894248608534319</v>
      </c>
      <c r="I2176" cm="1">
        <f t="array" ref="I2176">_xlfn.STDEV.P(IF(Table1[IndicatorCode]=Table1[[#This Row],[IndicatorCode]],Table1[value]))</f>
        <v>5.2319501044600996</v>
      </c>
      <c r="J2176">
        <f>(Table1[[#This Row],[value]] - Table1[[#This Row],[mean]]) / Table1[[#This Row],[std_dev]]</f>
        <v>-0.13177206339672762</v>
      </c>
      <c r="K2176">
        <f>AVERAGEIF(Table1[CountryCode],Table1[[#This Row],[CountryCode]],Table1[z-score])</f>
        <v>-0.76001533806857513</v>
      </c>
      <c r="L2176" t="e">
        <f>VLOOKUP(Table1[[#This Row],[CountryCode]],[1]!Table1[#Data],4,FALSE)</f>
        <v>#REF!</v>
      </c>
    </row>
    <row r="2177" spans="1:12" hidden="1" x14ac:dyDescent="0.3">
      <c r="A2177" t="s">
        <v>21</v>
      </c>
      <c r="B2177" t="s">
        <v>22</v>
      </c>
      <c r="C2177" t="s">
        <v>125</v>
      </c>
      <c r="D2177" t="s">
        <v>126</v>
      </c>
      <c r="E2177">
        <v>1998</v>
      </c>
      <c r="F2177" s="1">
        <v>7</v>
      </c>
      <c r="G2177">
        <v>2000</v>
      </c>
      <c r="H2177">
        <f>AVERAGEIFS(Table1[value],Table1[IndicatorCode],Table1[[#This Row],[IndicatorCode]])</f>
        <v>7.6894248608534319</v>
      </c>
      <c r="I2177" cm="1">
        <f t="array" ref="I2177">_xlfn.STDEV.P(IF(Table1[IndicatorCode]=Table1[[#This Row],[IndicatorCode]],Table1[value]))</f>
        <v>5.2319501044600996</v>
      </c>
      <c r="J2177">
        <f>(Table1[[#This Row],[value]] - Table1[[#This Row],[mean]]) / Table1[[#This Row],[std_dev]]</f>
        <v>-0.13177206339672762</v>
      </c>
      <c r="K2177">
        <f>AVERAGEIF(Table1[CountryCode],Table1[[#This Row],[CountryCode]],Table1[z-score])</f>
        <v>-0.76001533806857513</v>
      </c>
      <c r="L2177" t="e">
        <f>VLOOKUP(Table1[[#This Row],[CountryCode]],[1]!Table1[#Data],4,FALSE)</f>
        <v>#REF!</v>
      </c>
    </row>
    <row r="2178" spans="1:12" hidden="1" x14ac:dyDescent="0.3">
      <c r="A2178" t="s">
        <v>21</v>
      </c>
      <c r="B2178" t="s">
        <v>22</v>
      </c>
      <c r="C2178" t="s">
        <v>125</v>
      </c>
      <c r="D2178" t="s">
        <v>126</v>
      </c>
      <c r="E2178">
        <v>1999</v>
      </c>
      <c r="F2178" s="1">
        <v>6</v>
      </c>
      <c r="G2178">
        <v>2000</v>
      </c>
      <c r="H2178">
        <f>AVERAGEIFS(Table1[value],Table1[IndicatorCode],Table1[[#This Row],[IndicatorCode]])</f>
        <v>7.6894248608534319</v>
      </c>
      <c r="I2178" cm="1">
        <f t="array" ref="I2178">_xlfn.STDEV.P(IF(Table1[IndicatorCode]=Table1[[#This Row],[IndicatorCode]],Table1[value]))</f>
        <v>5.2319501044600996</v>
      </c>
      <c r="J2178">
        <f>(Table1[[#This Row],[value]] - Table1[[#This Row],[mean]]) / Table1[[#This Row],[std_dev]]</f>
        <v>-0.32290538463148605</v>
      </c>
      <c r="K2178">
        <f>AVERAGEIF(Table1[CountryCode],Table1[[#This Row],[CountryCode]],Table1[z-score])</f>
        <v>-0.76001533806857513</v>
      </c>
      <c r="L2178" t="e">
        <f>VLOOKUP(Table1[[#This Row],[CountryCode]],[1]!Table1[#Data],4,FALSE)</f>
        <v>#REF!</v>
      </c>
    </row>
    <row r="2179" spans="1:12" hidden="1" x14ac:dyDescent="0.3">
      <c r="A2179" t="s">
        <v>21</v>
      </c>
      <c r="B2179" t="s">
        <v>22</v>
      </c>
      <c r="C2179" t="s">
        <v>125</v>
      </c>
      <c r="D2179" t="s">
        <v>126</v>
      </c>
      <c r="E2179">
        <v>2000</v>
      </c>
      <c r="F2179" s="1">
        <v>6</v>
      </c>
      <c r="G2179">
        <v>2000</v>
      </c>
      <c r="H2179">
        <f>AVERAGEIFS(Table1[value],Table1[IndicatorCode],Table1[[#This Row],[IndicatorCode]])</f>
        <v>7.6894248608534319</v>
      </c>
      <c r="I2179" cm="1">
        <f t="array" ref="I2179">_xlfn.STDEV.P(IF(Table1[IndicatorCode]=Table1[[#This Row],[IndicatorCode]],Table1[value]))</f>
        <v>5.2319501044600996</v>
      </c>
      <c r="J2179">
        <f>(Table1[[#This Row],[value]] - Table1[[#This Row],[mean]]) / Table1[[#This Row],[std_dev]]</f>
        <v>-0.32290538463148605</v>
      </c>
      <c r="K2179">
        <f>AVERAGEIF(Table1[CountryCode],Table1[[#This Row],[CountryCode]],Table1[z-score])</f>
        <v>-0.76001533806857513</v>
      </c>
      <c r="L2179" t="e">
        <f>VLOOKUP(Table1[[#This Row],[CountryCode]],[1]!Table1[#Data],4,FALSE)</f>
        <v>#REF!</v>
      </c>
    </row>
    <row r="2180" spans="1:12" hidden="1" x14ac:dyDescent="0.3">
      <c r="A2180" t="s">
        <v>21</v>
      </c>
      <c r="B2180" t="s">
        <v>22</v>
      </c>
      <c r="C2180" t="s">
        <v>125</v>
      </c>
      <c r="D2180" t="s">
        <v>126</v>
      </c>
      <c r="E2180">
        <v>2001</v>
      </c>
      <c r="F2180" s="1">
        <v>6</v>
      </c>
      <c r="G2180">
        <v>2000</v>
      </c>
      <c r="H2180">
        <f>AVERAGEIFS(Table1[value],Table1[IndicatorCode],Table1[[#This Row],[IndicatorCode]])</f>
        <v>7.6894248608534319</v>
      </c>
      <c r="I2180" cm="1">
        <f t="array" ref="I2180">_xlfn.STDEV.P(IF(Table1[IndicatorCode]=Table1[[#This Row],[IndicatorCode]],Table1[value]))</f>
        <v>5.2319501044600996</v>
      </c>
      <c r="J2180">
        <f>(Table1[[#This Row],[value]] - Table1[[#This Row],[mean]]) / Table1[[#This Row],[std_dev]]</f>
        <v>-0.32290538463148605</v>
      </c>
      <c r="K2180">
        <f>AVERAGEIF(Table1[CountryCode],Table1[[#This Row],[CountryCode]],Table1[z-score])</f>
        <v>-0.76001533806857513</v>
      </c>
      <c r="L2180" t="e">
        <f>VLOOKUP(Table1[[#This Row],[CountryCode]],[1]!Table1[#Data],4,FALSE)</f>
        <v>#REF!</v>
      </c>
    </row>
    <row r="2181" spans="1:12" hidden="1" x14ac:dyDescent="0.3">
      <c r="A2181" t="s">
        <v>21</v>
      </c>
      <c r="B2181" t="s">
        <v>22</v>
      </c>
      <c r="C2181" t="s">
        <v>125</v>
      </c>
      <c r="D2181" t="s">
        <v>126</v>
      </c>
      <c r="E2181">
        <v>2002</v>
      </c>
      <c r="F2181" s="1">
        <v>6</v>
      </c>
      <c r="G2181">
        <v>2000</v>
      </c>
      <c r="H2181">
        <f>AVERAGEIFS(Table1[value],Table1[IndicatorCode],Table1[[#This Row],[IndicatorCode]])</f>
        <v>7.6894248608534319</v>
      </c>
      <c r="I2181" cm="1">
        <f t="array" ref="I2181">_xlfn.STDEV.P(IF(Table1[IndicatorCode]=Table1[[#This Row],[IndicatorCode]],Table1[value]))</f>
        <v>5.2319501044600996</v>
      </c>
      <c r="J2181">
        <f>(Table1[[#This Row],[value]] - Table1[[#This Row],[mean]]) / Table1[[#This Row],[std_dev]]</f>
        <v>-0.32290538463148605</v>
      </c>
      <c r="K2181">
        <f>AVERAGEIF(Table1[CountryCode],Table1[[#This Row],[CountryCode]],Table1[z-score])</f>
        <v>-0.76001533806857513</v>
      </c>
      <c r="L2181" t="e">
        <f>VLOOKUP(Table1[[#This Row],[CountryCode]],[1]!Table1[#Data],4,FALSE)</f>
        <v>#REF!</v>
      </c>
    </row>
    <row r="2182" spans="1:12" hidden="1" x14ac:dyDescent="0.3">
      <c r="A2182" t="s">
        <v>21</v>
      </c>
      <c r="B2182" t="s">
        <v>22</v>
      </c>
      <c r="C2182" t="s">
        <v>125</v>
      </c>
      <c r="D2182" t="s">
        <v>126</v>
      </c>
      <c r="E2182">
        <v>2003</v>
      </c>
      <c r="F2182" s="1">
        <v>7</v>
      </c>
      <c r="G2182">
        <v>2000</v>
      </c>
      <c r="H2182">
        <f>AVERAGEIFS(Table1[value],Table1[IndicatorCode],Table1[[#This Row],[IndicatorCode]])</f>
        <v>7.6894248608534319</v>
      </c>
      <c r="I2182" cm="1">
        <f t="array" ref="I2182">_xlfn.STDEV.P(IF(Table1[IndicatorCode]=Table1[[#This Row],[IndicatorCode]],Table1[value]))</f>
        <v>5.2319501044600996</v>
      </c>
      <c r="J2182">
        <f>(Table1[[#This Row],[value]] - Table1[[#This Row],[mean]]) / Table1[[#This Row],[std_dev]]</f>
        <v>-0.13177206339672762</v>
      </c>
      <c r="K2182">
        <f>AVERAGEIF(Table1[CountryCode],Table1[[#This Row],[CountryCode]],Table1[z-score])</f>
        <v>-0.76001533806857513</v>
      </c>
      <c r="L2182" t="e">
        <f>VLOOKUP(Table1[[#This Row],[CountryCode]],[1]!Table1[#Data],4,FALSE)</f>
        <v>#REF!</v>
      </c>
    </row>
    <row r="2183" spans="1:12" hidden="1" x14ac:dyDescent="0.3">
      <c r="A2183" t="s">
        <v>21</v>
      </c>
      <c r="B2183" t="s">
        <v>22</v>
      </c>
      <c r="C2183" t="s">
        <v>125</v>
      </c>
      <c r="D2183" t="s">
        <v>126</v>
      </c>
      <c r="E2183">
        <v>2004</v>
      </c>
      <c r="F2183" s="1">
        <v>7</v>
      </c>
      <c r="G2183">
        <v>2000</v>
      </c>
      <c r="H2183">
        <f>AVERAGEIFS(Table1[value],Table1[IndicatorCode],Table1[[#This Row],[IndicatorCode]])</f>
        <v>7.6894248608534319</v>
      </c>
      <c r="I2183" cm="1">
        <f t="array" ref="I2183">_xlfn.STDEV.P(IF(Table1[IndicatorCode]=Table1[[#This Row],[IndicatorCode]],Table1[value]))</f>
        <v>5.2319501044600996</v>
      </c>
      <c r="J2183">
        <f>(Table1[[#This Row],[value]] - Table1[[#This Row],[mean]]) / Table1[[#This Row],[std_dev]]</f>
        <v>-0.13177206339672762</v>
      </c>
      <c r="K2183">
        <f>AVERAGEIF(Table1[CountryCode],Table1[[#This Row],[CountryCode]],Table1[z-score])</f>
        <v>-0.76001533806857513</v>
      </c>
      <c r="L2183" t="e">
        <f>VLOOKUP(Table1[[#This Row],[CountryCode]],[1]!Table1[#Data],4,FALSE)</f>
        <v>#REF!</v>
      </c>
    </row>
    <row r="2184" spans="1:12" hidden="1" x14ac:dyDescent="0.3">
      <c r="A2184" t="s">
        <v>21</v>
      </c>
      <c r="B2184" t="s">
        <v>22</v>
      </c>
      <c r="C2184" t="s">
        <v>125</v>
      </c>
      <c r="D2184" t="s">
        <v>126</v>
      </c>
      <c r="E2184">
        <v>2005</v>
      </c>
      <c r="F2184" s="1">
        <v>7</v>
      </c>
      <c r="G2184">
        <v>2000</v>
      </c>
      <c r="H2184">
        <f>AVERAGEIFS(Table1[value],Table1[IndicatorCode],Table1[[#This Row],[IndicatorCode]])</f>
        <v>7.6894248608534319</v>
      </c>
      <c r="I2184" cm="1">
        <f t="array" ref="I2184">_xlfn.STDEV.P(IF(Table1[IndicatorCode]=Table1[[#This Row],[IndicatorCode]],Table1[value]))</f>
        <v>5.2319501044600996</v>
      </c>
      <c r="J2184">
        <f>(Table1[[#This Row],[value]] - Table1[[#This Row],[mean]]) / Table1[[#This Row],[std_dev]]</f>
        <v>-0.13177206339672762</v>
      </c>
      <c r="K2184">
        <f>AVERAGEIF(Table1[CountryCode],Table1[[#This Row],[CountryCode]],Table1[z-score])</f>
        <v>-0.76001533806857513</v>
      </c>
      <c r="L2184" t="e">
        <f>VLOOKUP(Table1[[#This Row],[CountryCode]],[1]!Table1[#Data],4,FALSE)</f>
        <v>#REF!</v>
      </c>
    </row>
    <row r="2185" spans="1:12" hidden="1" x14ac:dyDescent="0.3">
      <c r="A2185" t="s">
        <v>21</v>
      </c>
      <c r="B2185" t="s">
        <v>22</v>
      </c>
      <c r="C2185" t="s">
        <v>125</v>
      </c>
      <c r="D2185" t="s">
        <v>126</v>
      </c>
      <c r="E2185">
        <v>2006</v>
      </c>
      <c r="F2185" s="1">
        <v>7</v>
      </c>
      <c r="G2185">
        <v>2000</v>
      </c>
      <c r="H2185">
        <f>AVERAGEIFS(Table1[value],Table1[IndicatorCode],Table1[[#This Row],[IndicatorCode]])</f>
        <v>7.6894248608534319</v>
      </c>
      <c r="I2185" cm="1">
        <f t="array" ref="I2185">_xlfn.STDEV.P(IF(Table1[IndicatorCode]=Table1[[#This Row],[IndicatorCode]],Table1[value]))</f>
        <v>5.2319501044600996</v>
      </c>
      <c r="J2185">
        <f>(Table1[[#This Row],[value]] - Table1[[#This Row],[mean]]) / Table1[[#This Row],[std_dev]]</f>
        <v>-0.13177206339672762</v>
      </c>
      <c r="K2185">
        <f>AVERAGEIF(Table1[CountryCode],Table1[[#This Row],[CountryCode]],Table1[z-score])</f>
        <v>-0.76001533806857513</v>
      </c>
      <c r="L2185" t="e">
        <f>VLOOKUP(Table1[[#This Row],[CountryCode]],[1]!Table1[#Data],4,FALSE)</f>
        <v>#REF!</v>
      </c>
    </row>
    <row r="2186" spans="1:12" hidden="1" x14ac:dyDescent="0.3">
      <c r="A2186" t="s">
        <v>21</v>
      </c>
      <c r="B2186" t="s">
        <v>22</v>
      </c>
      <c r="C2186" t="s">
        <v>125</v>
      </c>
      <c r="D2186" t="s">
        <v>126</v>
      </c>
      <c r="E2186">
        <v>2007</v>
      </c>
      <c r="F2186" s="1">
        <v>8</v>
      </c>
      <c r="G2186">
        <v>2010</v>
      </c>
      <c r="H2186">
        <f>AVERAGEIFS(Table1[value],Table1[IndicatorCode],Table1[[#This Row],[IndicatorCode]])</f>
        <v>7.6894248608534319</v>
      </c>
      <c r="I2186" cm="1">
        <f t="array" ref="I2186">_xlfn.STDEV.P(IF(Table1[IndicatorCode]=Table1[[#This Row],[IndicatorCode]],Table1[value]))</f>
        <v>5.2319501044600996</v>
      </c>
      <c r="J2186">
        <f>(Table1[[#This Row],[value]] - Table1[[#This Row],[mean]]) / Table1[[#This Row],[std_dev]]</f>
        <v>5.9361257838030791E-2</v>
      </c>
      <c r="K2186">
        <f>AVERAGEIF(Table1[CountryCode],Table1[[#This Row],[CountryCode]],Table1[z-score])</f>
        <v>-0.76001533806857513</v>
      </c>
      <c r="L2186" t="e">
        <f>VLOOKUP(Table1[[#This Row],[CountryCode]],[1]!Table1[#Data],4,FALSE)</f>
        <v>#REF!</v>
      </c>
    </row>
    <row r="2187" spans="1:12" hidden="1" x14ac:dyDescent="0.3">
      <c r="A2187" t="s">
        <v>21</v>
      </c>
      <c r="B2187" t="s">
        <v>22</v>
      </c>
      <c r="C2187" t="s">
        <v>125</v>
      </c>
      <c r="D2187" t="s">
        <v>126</v>
      </c>
      <c r="E2187">
        <v>2008</v>
      </c>
      <c r="F2187" s="1">
        <v>7</v>
      </c>
      <c r="G2187">
        <v>2010</v>
      </c>
      <c r="H2187">
        <f>AVERAGEIFS(Table1[value],Table1[IndicatorCode],Table1[[#This Row],[IndicatorCode]])</f>
        <v>7.6894248608534319</v>
      </c>
      <c r="I2187" cm="1">
        <f t="array" ref="I2187">_xlfn.STDEV.P(IF(Table1[IndicatorCode]=Table1[[#This Row],[IndicatorCode]],Table1[value]))</f>
        <v>5.2319501044600996</v>
      </c>
      <c r="J2187">
        <f>(Table1[[#This Row],[value]] - Table1[[#This Row],[mean]]) / Table1[[#This Row],[std_dev]]</f>
        <v>-0.13177206339672762</v>
      </c>
      <c r="K2187">
        <f>AVERAGEIF(Table1[CountryCode],Table1[[#This Row],[CountryCode]],Table1[z-score])</f>
        <v>-0.76001533806857513</v>
      </c>
      <c r="L2187" t="e">
        <f>VLOOKUP(Table1[[#This Row],[CountryCode]],[1]!Table1[#Data],4,FALSE)</f>
        <v>#REF!</v>
      </c>
    </row>
    <row r="2188" spans="1:12" hidden="1" x14ac:dyDescent="0.3">
      <c r="A2188" t="s">
        <v>21</v>
      </c>
      <c r="B2188" t="s">
        <v>22</v>
      </c>
      <c r="C2188" t="s">
        <v>125</v>
      </c>
      <c r="D2188" t="s">
        <v>126</v>
      </c>
      <c r="E2188">
        <v>2009</v>
      </c>
      <c r="F2188" s="1">
        <v>6</v>
      </c>
      <c r="G2188">
        <v>2010</v>
      </c>
      <c r="H2188">
        <f>AVERAGEIFS(Table1[value],Table1[IndicatorCode],Table1[[#This Row],[IndicatorCode]])</f>
        <v>7.6894248608534319</v>
      </c>
      <c r="I2188" cm="1">
        <f t="array" ref="I2188">_xlfn.STDEV.P(IF(Table1[IndicatorCode]=Table1[[#This Row],[IndicatorCode]],Table1[value]))</f>
        <v>5.2319501044600996</v>
      </c>
      <c r="J2188">
        <f>(Table1[[#This Row],[value]] - Table1[[#This Row],[mean]]) / Table1[[#This Row],[std_dev]]</f>
        <v>-0.32290538463148605</v>
      </c>
      <c r="K2188">
        <f>AVERAGEIF(Table1[CountryCode],Table1[[#This Row],[CountryCode]],Table1[z-score])</f>
        <v>-0.76001533806857513</v>
      </c>
      <c r="L2188" t="e">
        <f>VLOOKUP(Table1[[#This Row],[CountryCode]],[1]!Table1[#Data],4,FALSE)</f>
        <v>#REF!</v>
      </c>
    </row>
    <row r="2189" spans="1:12" hidden="1" x14ac:dyDescent="0.3">
      <c r="A2189" t="s">
        <v>21</v>
      </c>
      <c r="B2189" t="s">
        <v>22</v>
      </c>
      <c r="C2189" t="s">
        <v>125</v>
      </c>
      <c r="D2189" t="s">
        <v>126</v>
      </c>
      <c r="E2189">
        <v>2010</v>
      </c>
      <c r="F2189" s="1">
        <v>7</v>
      </c>
      <c r="G2189">
        <v>2010</v>
      </c>
      <c r="H2189">
        <f>AVERAGEIFS(Table1[value],Table1[IndicatorCode],Table1[[#This Row],[IndicatorCode]])</f>
        <v>7.6894248608534319</v>
      </c>
      <c r="I2189" cm="1">
        <f t="array" ref="I2189">_xlfn.STDEV.P(IF(Table1[IndicatorCode]=Table1[[#This Row],[IndicatorCode]],Table1[value]))</f>
        <v>5.2319501044600996</v>
      </c>
      <c r="J2189">
        <f>(Table1[[#This Row],[value]] - Table1[[#This Row],[mean]]) / Table1[[#This Row],[std_dev]]</f>
        <v>-0.13177206339672762</v>
      </c>
      <c r="K2189">
        <f>AVERAGEIF(Table1[CountryCode],Table1[[#This Row],[CountryCode]],Table1[z-score])</f>
        <v>-0.76001533806857513</v>
      </c>
      <c r="L2189" t="e">
        <f>VLOOKUP(Table1[[#This Row],[CountryCode]],[1]!Table1[#Data],4,FALSE)</f>
        <v>#REF!</v>
      </c>
    </row>
    <row r="2190" spans="1:12" hidden="1" x14ac:dyDescent="0.3">
      <c r="A2190" t="s">
        <v>21</v>
      </c>
      <c r="B2190" t="s">
        <v>22</v>
      </c>
      <c r="C2190" t="s">
        <v>125</v>
      </c>
      <c r="D2190" t="s">
        <v>126</v>
      </c>
      <c r="E2190">
        <v>2011</v>
      </c>
      <c r="F2190" s="1">
        <v>7</v>
      </c>
      <c r="G2190">
        <v>2010</v>
      </c>
      <c r="H2190">
        <f>AVERAGEIFS(Table1[value],Table1[IndicatorCode],Table1[[#This Row],[IndicatorCode]])</f>
        <v>7.6894248608534319</v>
      </c>
      <c r="I2190" cm="1">
        <f t="array" ref="I2190">_xlfn.STDEV.P(IF(Table1[IndicatorCode]=Table1[[#This Row],[IndicatorCode]],Table1[value]))</f>
        <v>5.2319501044600996</v>
      </c>
      <c r="J2190">
        <f>(Table1[[#This Row],[value]] - Table1[[#This Row],[mean]]) / Table1[[#This Row],[std_dev]]</f>
        <v>-0.13177206339672762</v>
      </c>
      <c r="K2190">
        <f>AVERAGEIF(Table1[CountryCode],Table1[[#This Row],[CountryCode]],Table1[z-score])</f>
        <v>-0.76001533806857513</v>
      </c>
      <c r="L2190" t="e">
        <f>VLOOKUP(Table1[[#This Row],[CountryCode]],[1]!Table1[#Data],4,FALSE)</f>
        <v>#REF!</v>
      </c>
    </row>
    <row r="2191" spans="1:12" hidden="1" x14ac:dyDescent="0.3">
      <c r="A2191" t="s">
        <v>21</v>
      </c>
      <c r="B2191" t="s">
        <v>22</v>
      </c>
      <c r="C2191" t="s">
        <v>125</v>
      </c>
      <c r="D2191" t="s">
        <v>126</v>
      </c>
      <c r="E2191">
        <v>2012</v>
      </c>
      <c r="F2191" s="1">
        <v>7</v>
      </c>
      <c r="G2191">
        <v>2010</v>
      </c>
      <c r="H2191">
        <f>AVERAGEIFS(Table1[value],Table1[IndicatorCode],Table1[[#This Row],[IndicatorCode]])</f>
        <v>7.6894248608534319</v>
      </c>
      <c r="I2191" cm="1">
        <f t="array" ref="I2191">_xlfn.STDEV.P(IF(Table1[IndicatorCode]=Table1[[#This Row],[IndicatorCode]],Table1[value]))</f>
        <v>5.2319501044600996</v>
      </c>
      <c r="J2191">
        <f>(Table1[[#This Row],[value]] - Table1[[#This Row],[mean]]) / Table1[[#This Row],[std_dev]]</f>
        <v>-0.13177206339672762</v>
      </c>
      <c r="K2191">
        <f>AVERAGEIF(Table1[CountryCode],Table1[[#This Row],[CountryCode]],Table1[z-score])</f>
        <v>-0.76001533806857513</v>
      </c>
      <c r="L2191" t="e">
        <f>VLOOKUP(Table1[[#This Row],[CountryCode]],[1]!Table1[#Data],4,FALSE)</f>
        <v>#REF!</v>
      </c>
    </row>
    <row r="2192" spans="1:12" hidden="1" x14ac:dyDescent="0.3">
      <c r="A2192" t="s">
        <v>21</v>
      </c>
      <c r="B2192" t="s">
        <v>22</v>
      </c>
      <c r="C2192" t="s">
        <v>125</v>
      </c>
      <c r="D2192" t="s">
        <v>126</v>
      </c>
      <c r="E2192">
        <v>2013</v>
      </c>
      <c r="F2192" s="1">
        <v>6</v>
      </c>
      <c r="G2192">
        <v>2010</v>
      </c>
      <c r="H2192">
        <f>AVERAGEIFS(Table1[value],Table1[IndicatorCode],Table1[[#This Row],[IndicatorCode]])</f>
        <v>7.6894248608534319</v>
      </c>
      <c r="I2192" cm="1">
        <f t="array" ref="I2192">_xlfn.STDEV.P(IF(Table1[IndicatorCode]=Table1[[#This Row],[IndicatorCode]],Table1[value]))</f>
        <v>5.2319501044600996</v>
      </c>
      <c r="J2192">
        <f>(Table1[[#This Row],[value]] - Table1[[#This Row],[mean]]) / Table1[[#This Row],[std_dev]]</f>
        <v>-0.32290538463148605</v>
      </c>
      <c r="K2192">
        <f>AVERAGEIF(Table1[CountryCode],Table1[[#This Row],[CountryCode]],Table1[z-score])</f>
        <v>-0.76001533806857513</v>
      </c>
      <c r="L2192" t="e">
        <f>VLOOKUP(Table1[[#This Row],[CountryCode]],[1]!Table1[#Data],4,FALSE)</f>
        <v>#REF!</v>
      </c>
    </row>
    <row r="2193" spans="1:12" hidden="1" x14ac:dyDescent="0.3">
      <c r="A2193" t="s">
        <v>21</v>
      </c>
      <c r="B2193" t="s">
        <v>22</v>
      </c>
      <c r="C2193" t="s">
        <v>125</v>
      </c>
      <c r="D2193" t="s">
        <v>126</v>
      </c>
      <c r="E2193">
        <v>2014</v>
      </c>
      <c r="F2193" s="1">
        <v>7</v>
      </c>
      <c r="G2193">
        <v>2010</v>
      </c>
      <c r="H2193">
        <f>AVERAGEIFS(Table1[value],Table1[IndicatorCode],Table1[[#This Row],[IndicatorCode]])</f>
        <v>7.6894248608534319</v>
      </c>
      <c r="I2193" cm="1">
        <f t="array" ref="I2193">_xlfn.STDEV.P(IF(Table1[IndicatorCode]=Table1[[#This Row],[IndicatorCode]],Table1[value]))</f>
        <v>5.2319501044600996</v>
      </c>
      <c r="J2193">
        <f>(Table1[[#This Row],[value]] - Table1[[#This Row],[mean]]) / Table1[[#This Row],[std_dev]]</f>
        <v>-0.13177206339672762</v>
      </c>
      <c r="K2193">
        <f>AVERAGEIF(Table1[CountryCode],Table1[[#This Row],[CountryCode]],Table1[z-score])</f>
        <v>-0.76001533806857513</v>
      </c>
      <c r="L2193" t="e">
        <f>VLOOKUP(Table1[[#This Row],[CountryCode]],[1]!Table1[#Data],4,FALSE)</f>
        <v>#REF!</v>
      </c>
    </row>
    <row r="2194" spans="1:12" hidden="1" x14ac:dyDescent="0.3">
      <c r="A2194" t="s">
        <v>21</v>
      </c>
      <c r="B2194" t="s">
        <v>22</v>
      </c>
      <c r="C2194" t="s">
        <v>125</v>
      </c>
      <c r="D2194" t="s">
        <v>126</v>
      </c>
      <c r="E2194">
        <v>2015</v>
      </c>
      <c r="F2194" s="1">
        <v>7</v>
      </c>
      <c r="G2194">
        <v>2010</v>
      </c>
      <c r="H2194">
        <f>AVERAGEIFS(Table1[value],Table1[IndicatorCode],Table1[[#This Row],[IndicatorCode]])</f>
        <v>7.6894248608534319</v>
      </c>
      <c r="I2194" cm="1">
        <f t="array" ref="I2194">_xlfn.STDEV.P(IF(Table1[IndicatorCode]=Table1[[#This Row],[IndicatorCode]],Table1[value]))</f>
        <v>5.2319501044600996</v>
      </c>
      <c r="J2194">
        <f>(Table1[[#This Row],[value]] - Table1[[#This Row],[mean]]) / Table1[[#This Row],[std_dev]]</f>
        <v>-0.13177206339672762</v>
      </c>
      <c r="K2194">
        <f>AVERAGEIF(Table1[CountryCode],Table1[[#This Row],[CountryCode]],Table1[z-score])</f>
        <v>-0.76001533806857513</v>
      </c>
      <c r="L2194" t="e">
        <f>VLOOKUP(Table1[[#This Row],[CountryCode]],[1]!Table1[#Data],4,FALSE)</f>
        <v>#REF!</v>
      </c>
    </row>
    <row r="2195" spans="1:12" hidden="1" x14ac:dyDescent="0.3">
      <c r="A2195" t="s">
        <v>21</v>
      </c>
      <c r="B2195" t="s">
        <v>22</v>
      </c>
      <c r="C2195" t="s">
        <v>125</v>
      </c>
      <c r="D2195" t="s">
        <v>126</v>
      </c>
      <c r="E2195">
        <v>2016</v>
      </c>
      <c r="F2195" s="1">
        <v>7</v>
      </c>
      <c r="G2195">
        <v>2010</v>
      </c>
      <c r="H2195">
        <f>AVERAGEIFS(Table1[value],Table1[IndicatorCode],Table1[[#This Row],[IndicatorCode]])</f>
        <v>7.6894248608534319</v>
      </c>
      <c r="I2195" cm="1">
        <f t="array" ref="I2195">_xlfn.STDEV.P(IF(Table1[IndicatorCode]=Table1[[#This Row],[IndicatorCode]],Table1[value]))</f>
        <v>5.2319501044600996</v>
      </c>
      <c r="J2195">
        <f>(Table1[[#This Row],[value]] - Table1[[#This Row],[mean]]) / Table1[[#This Row],[std_dev]]</f>
        <v>-0.13177206339672762</v>
      </c>
      <c r="K2195">
        <f>AVERAGEIF(Table1[CountryCode],Table1[[#This Row],[CountryCode]],Table1[z-score])</f>
        <v>-0.76001533806857513</v>
      </c>
      <c r="L2195" t="e">
        <f>VLOOKUP(Table1[[#This Row],[CountryCode]],[1]!Table1[#Data],4,FALSE)</f>
        <v>#REF!</v>
      </c>
    </row>
    <row r="2196" spans="1:12" hidden="1" x14ac:dyDescent="0.3">
      <c r="A2196" t="s">
        <v>21</v>
      </c>
      <c r="B2196" t="s">
        <v>22</v>
      </c>
      <c r="C2196" t="s">
        <v>125</v>
      </c>
      <c r="D2196" t="s">
        <v>126</v>
      </c>
      <c r="E2196">
        <v>2017</v>
      </c>
      <c r="F2196" s="1">
        <v>7</v>
      </c>
      <c r="G2196">
        <v>2020</v>
      </c>
      <c r="H2196">
        <f>AVERAGEIFS(Table1[value],Table1[IndicatorCode],Table1[[#This Row],[IndicatorCode]])</f>
        <v>7.6894248608534319</v>
      </c>
      <c r="I2196" cm="1">
        <f t="array" ref="I2196">_xlfn.STDEV.P(IF(Table1[IndicatorCode]=Table1[[#This Row],[IndicatorCode]],Table1[value]))</f>
        <v>5.2319501044600996</v>
      </c>
      <c r="J2196">
        <f>(Table1[[#This Row],[value]] - Table1[[#This Row],[mean]]) / Table1[[#This Row],[std_dev]]</f>
        <v>-0.13177206339672762</v>
      </c>
      <c r="K2196">
        <f>AVERAGEIF(Table1[CountryCode],Table1[[#This Row],[CountryCode]],Table1[z-score])</f>
        <v>-0.76001533806857513</v>
      </c>
      <c r="L2196" t="e">
        <f>VLOOKUP(Table1[[#This Row],[CountryCode]],[1]!Table1[#Data],4,FALSE)</f>
        <v>#REF!</v>
      </c>
    </row>
    <row r="2197" spans="1:12" hidden="1" x14ac:dyDescent="0.3">
      <c r="A2197" t="s">
        <v>21</v>
      </c>
      <c r="B2197" t="s">
        <v>22</v>
      </c>
      <c r="C2197" t="s">
        <v>125</v>
      </c>
      <c r="D2197" t="s">
        <v>126</v>
      </c>
      <c r="E2197">
        <v>2018</v>
      </c>
      <c r="F2197" s="1">
        <v>7</v>
      </c>
      <c r="G2197">
        <v>2020</v>
      </c>
      <c r="H2197">
        <f>AVERAGEIFS(Table1[value],Table1[IndicatorCode],Table1[[#This Row],[IndicatorCode]])</f>
        <v>7.6894248608534319</v>
      </c>
      <c r="I2197" cm="1">
        <f t="array" ref="I2197">_xlfn.STDEV.P(IF(Table1[IndicatorCode]=Table1[[#This Row],[IndicatorCode]],Table1[value]))</f>
        <v>5.2319501044600996</v>
      </c>
      <c r="J2197">
        <f>(Table1[[#This Row],[value]] - Table1[[#This Row],[mean]]) / Table1[[#This Row],[std_dev]]</f>
        <v>-0.13177206339672762</v>
      </c>
      <c r="K2197">
        <f>AVERAGEIF(Table1[CountryCode],Table1[[#This Row],[CountryCode]],Table1[z-score])</f>
        <v>-0.76001533806857513</v>
      </c>
      <c r="L2197" t="e">
        <f>VLOOKUP(Table1[[#This Row],[CountryCode]],[1]!Table1[#Data],4,FALSE)</f>
        <v>#REF!</v>
      </c>
    </row>
    <row r="2198" spans="1:12" hidden="1" x14ac:dyDescent="0.3">
      <c r="A2198" t="s">
        <v>21</v>
      </c>
      <c r="B2198" t="s">
        <v>22</v>
      </c>
      <c r="C2198" t="s">
        <v>125</v>
      </c>
      <c r="D2198" t="s">
        <v>126</v>
      </c>
      <c r="E2198">
        <v>2019</v>
      </c>
      <c r="F2198" s="1">
        <v>7</v>
      </c>
      <c r="G2198">
        <v>2020</v>
      </c>
      <c r="H2198">
        <f>AVERAGEIFS(Table1[value],Table1[IndicatorCode],Table1[[#This Row],[IndicatorCode]])</f>
        <v>7.6894248608534319</v>
      </c>
      <c r="I2198" cm="1">
        <f t="array" ref="I2198">_xlfn.STDEV.P(IF(Table1[IndicatorCode]=Table1[[#This Row],[IndicatorCode]],Table1[value]))</f>
        <v>5.2319501044600996</v>
      </c>
      <c r="J2198">
        <f>(Table1[[#This Row],[value]] - Table1[[#This Row],[mean]]) / Table1[[#This Row],[std_dev]]</f>
        <v>-0.13177206339672762</v>
      </c>
      <c r="K2198">
        <f>AVERAGEIF(Table1[CountryCode],Table1[[#This Row],[CountryCode]],Table1[z-score])</f>
        <v>-0.76001533806857513</v>
      </c>
      <c r="L2198" t="e">
        <f>VLOOKUP(Table1[[#This Row],[CountryCode]],[1]!Table1[#Data],4,FALSE)</f>
        <v>#REF!</v>
      </c>
    </row>
    <row r="2199" spans="1:12" x14ac:dyDescent="0.3">
      <c r="A2199" t="s">
        <v>21</v>
      </c>
      <c r="B2199" t="s">
        <v>22</v>
      </c>
      <c r="C2199" t="s">
        <v>125</v>
      </c>
      <c r="D2199" t="s">
        <v>126</v>
      </c>
      <c r="E2199">
        <v>2020</v>
      </c>
      <c r="F2199" s="1">
        <v>6</v>
      </c>
      <c r="G2199">
        <v>2020</v>
      </c>
      <c r="H2199">
        <f>AVERAGEIFS(Table1[value],Table1[IndicatorCode],Table1[[#This Row],[IndicatorCode]])</f>
        <v>7.6894248608534319</v>
      </c>
      <c r="I2199" cm="1">
        <f t="array" ref="I2199">_xlfn.STDEV.P(IF(Table1[IndicatorCode]=Table1[[#This Row],[IndicatorCode]],Table1[value]))</f>
        <v>5.2319501044600996</v>
      </c>
      <c r="J2199">
        <f>(Table1[[#This Row],[value]] - Table1[[#This Row],[mean]]) / Table1[[#This Row],[std_dev]]</f>
        <v>-0.32290538463148605</v>
      </c>
      <c r="K2199">
        <f>AVERAGEIF(Table1[CountryCode],Table1[[#This Row],[CountryCode]],Table1[z-score])</f>
        <v>-0.76001533806857513</v>
      </c>
    </row>
    <row r="2200" spans="1:12" hidden="1" x14ac:dyDescent="0.3">
      <c r="A2200" t="s">
        <v>21</v>
      </c>
      <c r="B2200" t="s">
        <v>22</v>
      </c>
      <c r="C2200" t="s">
        <v>125</v>
      </c>
      <c r="D2200" t="s">
        <v>126</v>
      </c>
      <c r="E2200">
        <v>2021</v>
      </c>
      <c r="F2200" s="1">
        <v>7</v>
      </c>
      <c r="G2200">
        <v>2020</v>
      </c>
      <c r="H2200">
        <f>AVERAGEIFS(Table1[value],Table1[IndicatorCode],Table1[[#This Row],[IndicatorCode]])</f>
        <v>7.6894248608534319</v>
      </c>
      <c r="I2200" cm="1">
        <f t="array" ref="I2200">_xlfn.STDEV.P(IF(Table1[IndicatorCode]=Table1[[#This Row],[IndicatorCode]],Table1[value]))</f>
        <v>5.2319501044600996</v>
      </c>
      <c r="J2200">
        <f>(Table1[[#This Row],[value]] - Table1[[#This Row],[mean]]) / Table1[[#This Row],[std_dev]]</f>
        <v>-0.13177206339672762</v>
      </c>
      <c r="K2200">
        <f>AVERAGEIF(Table1[CountryCode],Table1[[#This Row],[CountryCode]],Table1[z-score])</f>
        <v>-0.76001533806857513</v>
      </c>
      <c r="L2200" t="e">
        <f>VLOOKUP(Table1[[#This Row],[CountryCode]],[1]!Table1[#Data],4,FALSE)</f>
        <v>#REF!</v>
      </c>
    </row>
    <row r="2201" spans="1:12" hidden="1" x14ac:dyDescent="0.3">
      <c r="A2201" t="s">
        <v>21</v>
      </c>
      <c r="B2201" t="s">
        <v>22</v>
      </c>
      <c r="C2201" t="s">
        <v>125</v>
      </c>
      <c r="D2201" t="s">
        <v>126</v>
      </c>
      <c r="E2201">
        <v>2022</v>
      </c>
      <c r="F2201" s="1">
        <v>8</v>
      </c>
      <c r="G2201">
        <v>1970</v>
      </c>
      <c r="H2201">
        <f>AVERAGEIFS(Table1[value],Table1[IndicatorCode],Table1[[#This Row],[IndicatorCode]])</f>
        <v>7.6894248608534319</v>
      </c>
      <c r="I2201" cm="1">
        <f t="array" ref="I2201">_xlfn.STDEV.P(IF(Table1[IndicatorCode]=Table1[[#This Row],[IndicatorCode]],Table1[value]))</f>
        <v>5.2319501044600996</v>
      </c>
      <c r="J2201">
        <f>(Table1[[#This Row],[value]] - Table1[[#This Row],[mean]]) / Table1[[#This Row],[std_dev]]</f>
        <v>5.9361257838030791E-2</v>
      </c>
      <c r="K2201">
        <f>AVERAGEIF(Table1[CountryCode],Table1[[#This Row],[CountryCode]],Table1[z-score])</f>
        <v>-0.76001533806857513</v>
      </c>
      <c r="L2201" t="e">
        <f>VLOOKUP(Table1[[#This Row],[CountryCode]],[1]!Table1[#Data],4,FALSE)</f>
        <v>#REF!</v>
      </c>
    </row>
    <row r="2202" spans="1:12" hidden="1" x14ac:dyDescent="0.3">
      <c r="A2202" t="s">
        <v>21</v>
      </c>
      <c r="B2202" t="s">
        <v>22</v>
      </c>
      <c r="C2202" t="s">
        <v>125</v>
      </c>
      <c r="D2202" t="s">
        <v>126</v>
      </c>
      <c r="E2202">
        <v>2023</v>
      </c>
      <c r="F2202" s="1">
        <v>6</v>
      </c>
      <c r="G2202">
        <v>1970</v>
      </c>
      <c r="H2202">
        <f>AVERAGEIFS(Table1[value],Table1[IndicatorCode],Table1[[#This Row],[IndicatorCode]])</f>
        <v>7.6894248608534319</v>
      </c>
      <c r="I2202" cm="1">
        <f t="array" ref="I2202">_xlfn.STDEV.P(IF(Table1[IndicatorCode]=Table1[[#This Row],[IndicatorCode]],Table1[value]))</f>
        <v>5.2319501044600996</v>
      </c>
      <c r="J2202">
        <f>(Table1[[#This Row],[value]] - Table1[[#This Row],[mean]]) / Table1[[#This Row],[std_dev]]</f>
        <v>-0.32290538463148605</v>
      </c>
      <c r="K2202">
        <f>AVERAGEIF(Table1[CountryCode],Table1[[#This Row],[CountryCode]],Table1[z-score])</f>
        <v>-0.76001533806857513</v>
      </c>
      <c r="L2202" t="e">
        <f>VLOOKUP(Table1[[#This Row],[CountryCode]],[1]!Table1[#Data],4,FALSE)</f>
        <v>#REF!</v>
      </c>
    </row>
    <row r="2203" spans="1:12" hidden="1" x14ac:dyDescent="0.3">
      <c r="A2203" t="s">
        <v>21</v>
      </c>
      <c r="B2203" t="s">
        <v>22</v>
      </c>
      <c r="C2203" t="s">
        <v>125</v>
      </c>
      <c r="D2203" t="s">
        <v>126</v>
      </c>
      <c r="E2203">
        <v>2024</v>
      </c>
      <c r="F2203" s="1">
        <v>5</v>
      </c>
      <c r="G2203">
        <v>1970</v>
      </c>
      <c r="H2203">
        <f>AVERAGEIFS(Table1[value],Table1[IndicatorCode],Table1[[#This Row],[IndicatorCode]])</f>
        <v>7.6894248608534319</v>
      </c>
      <c r="I2203" cm="1">
        <f t="array" ref="I2203">_xlfn.STDEV.P(IF(Table1[IndicatorCode]=Table1[[#This Row],[IndicatorCode]],Table1[value]))</f>
        <v>5.2319501044600996</v>
      </c>
      <c r="J2203">
        <f>(Table1[[#This Row],[value]] - Table1[[#This Row],[mean]]) / Table1[[#This Row],[std_dev]]</f>
        <v>-0.51403870586624445</v>
      </c>
      <c r="K2203">
        <f>AVERAGEIF(Table1[CountryCode],Table1[[#This Row],[CountryCode]],Table1[z-score])</f>
        <v>-0.76001533806857513</v>
      </c>
      <c r="L2203" t="e">
        <f>VLOOKUP(Table1[[#This Row],[CountryCode]],[1]!Table1[#Data],4,FALSE)</f>
        <v>#REF!</v>
      </c>
    </row>
    <row r="2204" spans="1:12" hidden="1" x14ac:dyDescent="0.3">
      <c r="A2204" t="s">
        <v>23</v>
      </c>
      <c r="B2204" t="s">
        <v>24</v>
      </c>
      <c r="C2204" t="s">
        <v>125</v>
      </c>
      <c r="D2204" t="s">
        <v>126</v>
      </c>
      <c r="E2204">
        <v>1970</v>
      </c>
      <c r="F2204" s="1">
        <v>3</v>
      </c>
      <c r="G2204">
        <v>1970</v>
      </c>
      <c r="H2204">
        <f>AVERAGEIFS(Table1[value],Table1[IndicatorCode],Table1[[#This Row],[IndicatorCode]])</f>
        <v>7.6894248608534319</v>
      </c>
      <c r="I2204" cm="1">
        <f t="array" ref="I2204">_xlfn.STDEV.P(IF(Table1[IndicatorCode]=Table1[[#This Row],[IndicatorCode]],Table1[value]))</f>
        <v>5.2319501044600996</v>
      </c>
      <c r="J2204">
        <f>(Table1[[#This Row],[value]] - Table1[[#This Row],[mean]]) / Table1[[#This Row],[std_dev]]</f>
        <v>-0.89630534833576125</v>
      </c>
      <c r="K2204">
        <f>AVERAGEIF(Table1[CountryCode],Table1[[#This Row],[CountryCode]],Table1[z-score])</f>
        <v>-0.44941710005999458</v>
      </c>
      <c r="L2204" t="e">
        <f>VLOOKUP(Table1[[#This Row],[CountryCode]],[1]!Table1[#Data],4,FALSE)</f>
        <v>#REF!</v>
      </c>
    </row>
    <row r="2205" spans="1:12" hidden="1" x14ac:dyDescent="0.3">
      <c r="A2205" t="s">
        <v>23</v>
      </c>
      <c r="B2205" t="s">
        <v>24</v>
      </c>
      <c r="C2205" t="s">
        <v>125</v>
      </c>
      <c r="D2205" t="s">
        <v>126</v>
      </c>
      <c r="E2205">
        <v>1971</v>
      </c>
      <c r="F2205" s="1">
        <v>3</v>
      </c>
      <c r="G2205">
        <v>1970</v>
      </c>
      <c r="H2205">
        <f>AVERAGEIFS(Table1[value],Table1[IndicatorCode],Table1[[#This Row],[IndicatorCode]])</f>
        <v>7.6894248608534319</v>
      </c>
      <c r="I2205" cm="1">
        <f t="array" ref="I2205">_xlfn.STDEV.P(IF(Table1[IndicatorCode]=Table1[[#This Row],[IndicatorCode]],Table1[value]))</f>
        <v>5.2319501044600996</v>
      </c>
      <c r="J2205">
        <f>(Table1[[#This Row],[value]] - Table1[[#This Row],[mean]]) / Table1[[#This Row],[std_dev]]</f>
        <v>-0.89630534833576125</v>
      </c>
      <c r="K2205">
        <f>AVERAGEIF(Table1[CountryCode],Table1[[#This Row],[CountryCode]],Table1[z-score])</f>
        <v>-0.44941710005999458</v>
      </c>
      <c r="L2205" t="e">
        <f>VLOOKUP(Table1[[#This Row],[CountryCode]],[1]!Table1[#Data],4,FALSE)</f>
        <v>#REF!</v>
      </c>
    </row>
    <row r="2206" spans="1:12" hidden="1" x14ac:dyDescent="0.3">
      <c r="A2206" t="s">
        <v>23</v>
      </c>
      <c r="B2206" t="s">
        <v>24</v>
      </c>
      <c r="C2206" t="s">
        <v>125</v>
      </c>
      <c r="D2206" t="s">
        <v>126</v>
      </c>
      <c r="E2206">
        <v>1972</v>
      </c>
      <c r="F2206" s="1">
        <v>3</v>
      </c>
      <c r="G2206">
        <v>1970</v>
      </c>
      <c r="H2206">
        <f>AVERAGEIFS(Table1[value],Table1[IndicatorCode],Table1[[#This Row],[IndicatorCode]])</f>
        <v>7.6894248608534319</v>
      </c>
      <c r="I2206" cm="1">
        <f t="array" ref="I2206">_xlfn.STDEV.P(IF(Table1[IndicatorCode]=Table1[[#This Row],[IndicatorCode]],Table1[value]))</f>
        <v>5.2319501044600996</v>
      </c>
      <c r="J2206">
        <f>(Table1[[#This Row],[value]] - Table1[[#This Row],[mean]]) / Table1[[#This Row],[std_dev]]</f>
        <v>-0.89630534833576125</v>
      </c>
      <c r="K2206">
        <f>AVERAGEIF(Table1[CountryCode],Table1[[#This Row],[CountryCode]],Table1[z-score])</f>
        <v>-0.44941710005999458</v>
      </c>
      <c r="L2206" t="e">
        <f>VLOOKUP(Table1[[#This Row],[CountryCode]],[1]!Table1[#Data],4,FALSE)</f>
        <v>#REF!</v>
      </c>
    </row>
    <row r="2207" spans="1:12" hidden="1" x14ac:dyDescent="0.3">
      <c r="A2207" t="s">
        <v>23</v>
      </c>
      <c r="B2207" t="s">
        <v>24</v>
      </c>
      <c r="C2207" t="s">
        <v>125</v>
      </c>
      <c r="D2207" t="s">
        <v>126</v>
      </c>
      <c r="E2207">
        <v>1973</v>
      </c>
      <c r="F2207" s="1">
        <v>3</v>
      </c>
      <c r="G2207">
        <v>1970</v>
      </c>
      <c r="H2207">
        <f>AVERAGEIFS(Table1[value],Table1[IndicatorCode],Table1[[#This Row],[IndicatorCode]])</f>
        <v>7.6894248608534319</v>
      </c>
      <c r="I2207" cm="1">
        <f t="array" ref="I2207">_xlfn.STDEV.P(IF(Table1[IndicatorCode]=Table1[[#This Row],[IndicatorCode]],Table1[value]))</f>
        <v>5.2319501044600996</v>
      </c>
      <c r="J2207">
        <f>(Table1[[#This Row],[value]] - Table1[[#This Row],[mean]]) / Table1[[#This Row],[std_dev]]</f>
        <v>-0.89630534833576125</v>
      </c>
      <c r="K2207">
        <f>AVERAGEIF(Table1[CountryCode],Table1[[#This Row],[CountryCode]],Table1[z-score])</f>
        <v>-0.44941710005999458</v>
      </c>
      <c r="L2207" t="e">
        <f>VLOOKUP(Table1[[#This Row],[CountryCode]],[1]!Table1[#Data],4,FALSE)</f>
        <v>#REF!</v>
      </c>
    </row>
    <row r="2208" spans="1:12" hidden="1" x14ac:dyDescent="0.3">
      <c r="A2208" t="s">
        <v>23</v>
      </c>
      <c r="B2208" t="s">
        <v>24</v>
      </c>
      <c r="C2208" t="s">
        <v>125</v>
      </c>
      <c r="D2208" t="s">
        <v>126</v>
      </c>
      <c r="E2208">
        <v>1974</v>
      </c>
      <c r="F2208" s="1">
        <v>3</v>
      </c>
      <c r="G2208">
        <v>1970</v>
      </c>
      <c r="H2208">
        <f>AVERAGEIFS(Table1[value],Table1[IndicatorCode],Table1[[#This Row],[IndicatorCode]])</f>
        <v>7.6894248608534319</v>
      </c>
      <c r="I2208" cm="1">
        <f t="array" ref="I2208">_xlfn.STDEV.P(IF(Table1[IndicatorCode]=Table1[[#This Row],[IndicatorCode]],Table1[value]))</f>
        <v>5.2319501044600996</v>
      </c>
      <c r="J2208">
        <f>(Table1[[#This Row],[value]] - Table1[[#This Row],[mean]]) / Table1[[#This Row],[std_dev]]</f>
        <v>-0.89630534833576125</v>
      </c>
      <c r="K2208">
        <f>AVERAGEIF(Table1[CountryCode],Table1[[#This Row],[CountryCode]],Table1[z-score])</f>
        <v>-0.44941710005999458</v>
      </c>
      <c r="L2208" t="e">
        <f>VLOOKUP(Table1[[#This Row],[CountryCode]],[1]!Table1[#Data],4,FALSE)</f>
        <v>#REF!</v>
      </c>
    </row>
    <row r="2209" spans="1:12" hidden="1" x14ac:dyDescent="0.3">
      <c r="A2209" t="s">
        <v>23</v>
      </c>
      <c r="B2209" t="s">
        <v>24</v>
      </c>
      <c r="C2209" t="s">
        <v>125</v>
      </c>
      <c r="D2209" t="s">
        <v>126</v>
      </c>
      <c r="E2209">
        <v>1975</v>
      </c>
      <c r="F2209" s="1">
        <v>3</v>
      </c>
      <c r="G2209">
        <v>1970</v>
      </c>
      <c r="H2209">
        <f>AVERAGEIFS(Table1[value],Table1[IndicatorCode],Table1[[#This Row],[IndicatorCode]])</f>
        <v>7.6894248608534319</v>
      </c>
      <c r="I2209" cm="1">
        <f t="array" ref="I2209">_xlfn.STDEV.P(IF(Table1[IndicatorCode]=Table1[[#This Row],[IndicatorCode]],Table1[value]))</f>
        <v>5.2319501044600996</v>
      </c>
      <c r="J2209">
        <f>(Table1[[#This Row],[value]] - Table1[[#This Row],[mean]]) / Table1[[#This Row],[std_dev]]</f>
        <v>-0.89630534833576125</v>
      </c>
      <c r="K2209">
        <f>AVERAGEIF(Table1[CountryCode],Table1[[#This Row],[CountryCode]],Table1[z-score])</f>
        <v>-0.44941710005999458</v>
      </c>
      <c r="L2209" t="e">
        <f>VLOOKUP(Table1[[#This Row],[CountryCode]],[1]!Table1[#Data],4,FALSE)</f>
        <v>#REF!</v>
      </c>
    </row>
    <row r="2210" spans="1:12" hidden="1" x14ac:dyDescent="0.3">
      <c r="A2210" t="s">
        <v>23</v>
      </c>
      <c r="B2210" t="s">
        <v>24</v>
      </c>
      <c r="C2210" t="s">
        <v>125</v>
      </c>
      <c r="D2210" t="s">
        <v>126</v>
      </c>
      <c r="E2210">
        <v>1976</v>
      </c>
      <c r="F2210" s="1">
        <v>3</v>
      </c>
      <c r="G2210">
        <v>1970</v>
      </c>
      <c r="H2210">
        <f>AVERAGEIFS(Table1[value],Table1[IndicatorCode],Table1[[#This Row],[IndicatorCode]])</f>
        <v>7.6894248608534319</v>
      </c>
      <c r="I2210" cm="1">
        <f t="array" ref="I2210">_xlfn.STDEV.P(IF(Table1[IndicatorCode]=Table1[[#This Row],[IndicatorCode]],Table1[value]))</f>
        <v>5.2319501044600996</v>
      </c>
      <c r="J2210">
        <f>(Table1[[#This Row],[value]] - Table1[[#This Row],[mean]]) / Table1[[#This Row],[std_dev]]</f>
        <v>-0.89630534833576125</v>
      </c>
      <c r="K2210">
        <f>AVERAGEIF(Table1[CountryCode],Table1[[#This Row],[CountryCode]],Table1[z-score])</f>
        <v>-0.44941710005999458</v>
      </c>
      <c r="L2210" t="e">
        <f>VLOOKUP(Table1[[#This Row],[CountryCode]],[1]!Table1[#Data],4,FALSE)</f>
        <v>#REF!</v>
      </c>
    </row>
    <row r="2211" spans="1:12" hidden="1" x14ac:dyDescent="0.3">
      <c r="A2211" t="s">
        <v>23</v>
      </c>
      <c r="B2211" t="s">
        <v>24</v>
      </c>
      <c r="C2211" t="s">
        <v>125</v>
      </c>
      <c r="D2211" t="s">
        <v>126</v>
      </c>
      <c r="E2211">
        <v>1977</v>
      </c>
      <c r="F2211" s="1">
        <v>3</v>
      </c>
      <c r="G2211">
        <v>1980</v>
      </c>
      <c r="H2211">
        <f>AVERAGEIFS(Table1[value],Table1[IndicatorCode],Table1[[#This Row],[IndicatorCode]])</f>
        <v>7.6894248608534319</v>
      </c>
      <c r="I2211" cm="1">
        <f t="array" ref="I2211">_xlfn.STDEV.P(IF(Table1[IndicatorCode]=Table1[[#This Row],[IndicatorCode]],Table1[value]))</f>
        <v>5.2319501044600996</v>
      </c>
      <c r="J2211">
        <f>(Table1[[#This Row],[value]] - Table1[[#This Row],[mean]]) / Table1[[#This Row],[std_dev]]</f>
        <v>-0.89630534833576125</v>
      </c>
      <c r="K2211">
        <f>AVERAGEIF(Table1[CountryCode],Table1[[#This Row],[CountryCode]],Table1[z-score])</f>
        <v>-0.44941710005999458</v>
      </c>
      <c r="L2211" t="e">
        <f>VLOOKUP(Table1[[#This Row],[CountryCode]],[1]!Table1[#Data],4,FALSE)</f>
        <v>#REF!</v>
      </c>
    </row>
    <row r="2212" spans="1:12" hidden="1" x14ac:dyDescent="0.3">
      <c r="A2212" t="s">
        <v>23</v>
      </c>
      <c r="B2212" t="s">
        <v>24</v>
      </c>
      <c r="C2212" t="s">
        <v>125</v>
      </c>
      <c r="D2212" t="s">
        <v>126</v>
      </c>
      <c r="E2212">
        <v>1978</v>
      </c>
      <c r="F2212" s="1">
        <v>4</v>
      </c>
      <c r="G2212">
        <v>1980</v>
      </c>
      <c r="H2212">
        <f>AVERAGEIFS(Table1[value],Table1[IndicatorCode],Table1[[#This Row],[IndicatorCode]])</f>
        <v>7.6894248608534319</v>
      </c>
      <c r="I2212" cm="1">
        <f t="array" ref="I2212">_xlfn.STDEV.P(IF(Table1[IndicatorCode]=Table1[[#This Row],[IndicatorCode]],Table1[value]))</f>
        <v>5.2319501044600996</v>
      </c>
      <c r="J2212">
        <f>(Table1[[#This Row],[value]] - Table1[[#This Row],[mean]]) / Table1[[#This Row],[std_dev]]</f>
        <v>-0.7051720271010028</v>
      </c>
      <c r="K2212">
        <f>AVERAGEIF(Table1[CountryCode],Table1[[#This Row],[CountryCode]],Table1[z-score])</f>
        <v>-0.44941710005999458</v>
      </c>
      <c r="L2212" t="e">
        <f>VLOOKUP(Table1[[#This Row],[CountryCode]],[1]!Table1[#Data],4,FALSE)</f>
        <v>#REF!</v>
      </c>
    </row>
    <row r="2213" spans="1:12" hidden="1" x14ac:dyDescent="0.3">
      <c r="A2213" t="s">
        <v>23</v>
      </c>
      <c r="B2213" t="s">
        <v>24</v>
      </c>
      <c r="C2213" t="s">
        <v>125</v>
      </c>
      <c r="D2213" t="s">
        <v>126</v>
      </c>
      <c r="E2213">
        <v>1979</v>
      </c>
      <c r="F2213" s="1">
        <v>4</v>
      </c>
      <c r="G2213">
        <v>1980</v>
      </c>
      <c r="H2213">
        <f>AVERAGEIFS(Table1[value],Table1[IndicatorCode],Table1[[#This Row],[IndicatorCode]])</f>
        <v>7.6894248608534319</v>
      </c>
      <c r="I2213" cm="1">
        <f t="array" ref="I2213">_xlfn.STDEV.P(IF(Table1[IndicatorCode]=Table1[[#This Row],[IndicatorCode]],Table1[value]))</f>
        <v>5.2319501044600996</v>
      </c>
      <c r="J2213">
        <f>(Table1[[#This Row],[value]] - Table1[[#This Row],[mean]]) / Table1[[#This Row],[std_dev]]</f>
        <v>-0.7051720271010028</v>
      </c>
      <c r="K2213">
        <f>AVERAGEIF(Table1[CountryCode],Table1[[#This Row],[CountryCode]],Table1[z-score])</f>
        <v>-0.44941710005999458</v>
      </c>
      <c r="L2213" t="e">
        <f>VLOOKUP(Table1[[#This Row],[CountryCode]],[1]!Table1[#Data],4,FALSE)</f>
        <v>#REF!</v>
      </c>
    </row>
    <row r="2214" spans="1:12" hidden="1" x14ac:dyDescent="0.3">
      <c r="A2214" t="s">
        <v>23</v>
      </c>
      <c r="B2214" t="s">
        <v>24</v>
      </c>
      <c r="C2214" t="s">
        <v>125</v>
      </c>
      <c r="D2214" t="s">
        <v>126</v>
      </c>
      <c r="E2214">
        <v>1980</v>
      </c>
      <c r="F2214" s="1">
        <v>4</v>
      </c>
      <c r="G2214">
        <v>1980</v>
      </c>
      <c r="H2214">
        <f>AVERAGEIFS(Table1[value],Table1[IndicatorCode],Table1[[#This Row],[IndicatorCode]])</f>
        <v>7.6894248608534319</v>
      </c>
      <c r="I2214" cm="1">
        <f t="array" ref="I2214">_xlfn.STDEV.P(IF(Table1[IndicatorCode]=Table1[[#This Row],[IndicatorCode]],Table1[value]))</f>
        <v>5.2319501044600996</v>
      </c>
      <c r="J2214">
        <f>(Table1[[#This Row],[value]] - Table1[[#This Row],[mean]]) / Table1[[#This Row],[std_dev]]</f>
        <v>-0.7051720271010028</v>
      </c>
      <c r="K2214">
        <f>AVERAGEIF(Table1[CountryCode],Table1[[#This Row],[CountryCode]],Table1[z-score])</f>
        <v>-0.44941710005999458</v>
      </c>
      <c r="L2214" t="e">
        <f>VLOOKUP(Table1[[#This Row],[CountryCode]],[1]!Table1[#Data],4,FALSE)</f>
        <v>#REF!</v>
      </c>
    </row>
    <row r="2215" spans="1:12" hidden="1" x14ac:dyDescent="0.3">
      <c r="A2215" t="s">
        <v>23</v>
      </c>
      <c r="B2215" t="s">
        <v>24</v>
      </c>
      <c r="C2215" t="s">
        <v>125</v>
      </c>
      <c r="D2215" t="s">
        <v>126</v>
      </c>
      <c r="E2215">
        <v>1981</v>
      </c>
      <c r="F2215" s="1">
        <v>4</v>
      </c>
      <c r="G2215">
        <v>1980</v>
      </c>
      <c r="H2215">
        <f>AVERAGEIFS(Table1[value],Table1[IndicatorCode],Table1[[#This Row],[IndicatorCode]])</f>
        <v>7.6894248608534319</v>
      </c>
      <c r="I2215" cm="1">
        <f t="array" ref="I2215">_xlfn.STDEV.P(IF(Table1[IndicatorCode]=Table1[[#This Row],[IndicatorCode]],Table1[value]))</f>
        <v>5.2319501044600996</v>
      </c>
      <c r="J2215">
        <f>(Table1[[#This Row],[value]] - Table1[[#This Row],[mean]]) / Table1[[#This Row],[std_dev]]</f>
        <v>-0.7051720271010028</v>
      </c>
      <c r="K2215">
        <f>AVERAGEIF(Table1[CountryCode],Table1[[#This Row],[CountryCode]],Table1[z-score])</f>
        <v>-0.44941710005999458</v>
      </c>
      <c r="L2215" t="e">
        <f>VLOOKUP(Table1[[#This Row],[CountryCode]],[1]!Table1[#Data],4,FALSE)</f>
        <v>#REF!</v>
      </c>
    </row>
    <row r="2216" spans="1:12" hidden="1" x14ac:dyDescent="0.3">
      <c r="A2216" t="s">
        <v>23</v>
      </c>
      <c r="B2216" t="s">
        <v>24</v>
      </c>
      <c r="C2216" t="s">
        <v>125</v>
      </c>
      <c r="D2216" t="s">
        <v>126</v>
      </c>
      <c r="E2216">
        <v>1982</v>
      </c>
      <c r="F2216" s="1">
        <v>4</v>
      </c>
      <c r="G2216">
        <v>1980</v>
      </c>
      <c r="H2216">
        <f>AVERAGEIFS(Table1[value],Table1[IndicatorCode],Table1[[#This Row],[IndicatorCode]])</f>
        <v>7.6894248608534319</v>
      </c>
      <c r="I2216" cm="1">
        <f t="array" ref="I2216">_xlfn.STDEV.P(IF(Table1[IndicatorCode]=Table1[[#This Row],[IndicatorCode]],Table1[value]))</f>
        <v>5.2319501044600996</v>
      </c>
      <c r="J2216">
        <f>(Table1[[#This Row],[value]] - Table1[[#This Row],[mean]]) / Table1[[#This Row],[std_dev]]</f>
        <v>-0.7051720271010028</v>
      </c>
      <c r="K2216">
        <f>AVERAGEIF(Table1[CountryCode],Table1[[#This Row],[CountryCode]],Table1[z-score])</f>
        <v>-0.44941710005999458</v>
      </c>
      <c r="L2216" t="e">
        <f>VLOOKUP(Table1[[#This Row],[CountryCode]],[1]!Table1[#Data],4,FALSE)</f>
        <v>#REF!</v>
      </c>
    </row>
    <row r="2217" spans="1:12" hidden="1" x14ac:dyDescent="0.3">
      <c r="A2217" t="s">
        <v>23</v>
      </c>
      <c r="B2217" t="s">
        <v>24</v>
      </c>
      <c r="C2217" t="s">
        <v>125</v>
      </c>
      <c r="D2217" t="s">
        <v>126</v>
      </c>
      <c r="E2217">
        <v>1983</v>
      </c>
      <c r="F2217" s="1">
        <v>4</v>
      </c>
      <c r="G2217">
        <v>1980</v>
      </c>
      <c r="H2217">
        <f>AVERAGEIFS(Table1[value],Table1[IndicatorCode],Table1[[#This Row],[IndicatorCode]])</f>
        <v>7.6894248608534319</v>
      </c>
      <c r="I2217" cm="1">
        <f t="array" ref="I2217">_xlfn.STDEV.P(IF(Table1[IndicatorCode]=Table1[[#This Row],[IndicatorCode]],Table1[value]))</f>
        <v>5.2319501044600996</v>
      </c>
      <c r="J2217">
        <f>(Table1[[#This Row],[value]] - Table1[[#This Row],[mean]]) / Table1[[#This Row],[std_dev]]</f>
        <v>-0.7051720271010028</v>
      </c>
      <c r="K2217">
        <f>AVERAGEIF(Table1[CountryCode],Table1[[#This Row],[CountryCode]],Table1[z-score])</f>
        <v>-0.44941710005999458</v>
      </c>
      <c r="L2217" t="e">
        <f>VLOOKUP(Table1[[#This Row],[CountryCode]],[1]!Table1[#Data],4,FALSE)</f>
        <v>#REF!</v>
      </c>
    </row>
    <row r="2218" spans="1:12" hidden="1" x14ac:dyDescent="0.3">
      <c r="A2218" t="s">
        <v>23</v>
      </c>
      <c r="B2218" t="s">
        <v>24</v>
      </c>
      <c r="C2218" t="s">
        <v>125</v>
      </c>
      <c r="D2218" t="s">
        <v>126</v>
      </c>
      <c r="E2218">
        <v>1984</v>
      </c>
      <c r="F2218" s="1">
        <v>4</v>
      </c>
      <c r="G2218">
        <v>1980</v>
      </c>
      <c r="H2218">
        <f>AVERAGEIFS(Table1[value],Table1[IndicatorCode],Table1[[#This Row],[IndicatorCode]])</f>
        <v>7.6894248608534319</v>
      </c>
      <c r="I2218" cm="1">
        <f t="array" ref="I2218">_xlfn.STDEV.P(IF(Table1[IndicatorCode]=Table1[[#This Row],[IndicatorCode]],Table1[value]))</f>
        <v>5.2319501044600996</v>
      </c>
      <c r="J2218">
        <f>(Table1[[#This Row],[value]] - Table1[[#This Row],[mean]]) / Table1[[#This Row],[std_dev]]</f>
        <v>-0.7051720271010028</v>
      </c>
      <c r="K2218">
        <f>AVERAGEIF(Table1[CountryCode],Table1[[#This Row],[CountryCode]],Table1[z-score])</f>
        <v>-0.44941710005999458</v>
      </c>
      <c r="L2218" t="e">
        <f>VLOOKUP(Table1[[#This Row],[CountryCode]],[1]!Table1[#Data],4,FALSE)</f>
        <v>#REF!</v>
      </c>
    </row>
    <row r="2219" spans="1:12" hidden="1" x14ac:dyDescent="0.3">
      <c r="A2219" t="s">
        <v>23</v>
      </c>
      <c r="B2219" t="s">
        <v>24</v>
      </c>
      <c r="C2219" t="s">
        <v>125</v>
      </c>
      <c r="D2219" t="s">
        <v>126</v>
      </c>
      <c r="E2219">
        <v>1985</v>
      </c>
      <c r="F2219" s="1">
        <v>5</v>
      </c>
      <c r="G2219">
        <v>1980</v>
      </c>
      <c r="H2219">
        <f>AVERAGEIFS(Table1[value],Table1[IndicatorCode],Table1[[#This Row],[IndicatorCode]])</f>
        <v>7.6894248608534319</v>
      </c>
      <c r="I2219" cm="1">
        <f t="array" ref="I2219">_xlfn.STDEV.P(IF(Table1[IndicatorCode]=Table1[[#This Row],[IndicatorCode]],Table1[value]))</f>
        <v>5.2319501044600996</v>
      </c>
      <c r="J2219">
        <f>(Table1[[#This Row],[value]] - Table1[[#This Row],[mean]]) / Table1[[#This Row],[std_dev]]</f>
        <v>-0.51403870586624445</v>
      </c>
      <c r="K2219">
        <f>AVERAGEIF(Table1[CountryCode],Table1[[#This Row],[CountryCode]],Table1[z-score])</f>
        <v>-0.44941710005999458</v>
      </c>
      <c r="L2219" t="e">
        <f>VLOOKUP(Table1[[#This Row],[CountryCode]],[1]!Table1[#Data],4,FALSE)</f>
        <v>#REF!</v>
      </c>
    </row>
    <row r="2220" spans="1:12" hidden="1" x14ac:dyDescent="0.3">
      <c r="A2220" t="s">
        <v>23</v>
      </c>
      <c r="B2220" t="s">
        <v>24</v>
      </c>
      <c r="C2220" t="s">
        <v>125</v>
      </c>
      <c r="D2220" t="s">
        <v>126</v>
      </c>
      <c r="E2220">
        <v>1986</v>
      </c>
      <c r="F2220" s="1">
        <v>5</v>
      </c>
      <c r="G2220">
        <v>1980</v>
      </c>
      <c r="H2220">
        <f>AVERAGEIFS(Table1[value],Table1[IndicatorCode],Table1[[#This Row],[IndicatorCode]])</f>
        <v>7.6894248608534319</v>
      </c>
      <c r="I2220" cm="1">
        <f t="array" ref="I2220">_xlfn.STDEV.P(IF(Table1[IndicatorCode]=Table1[[#This Row],[IndicatorCode]],Table1[value]))</f>
        <v>5.2319501044600996</v>
      </c>
      <c r="J2220">
        <f>(Table1[[#This Row],[value]] - Table1[[#This Row],[mean]]) / Table1[[#This Row],[std_dev]]</f>
        <v>-0.51403870586624445</v>
      </c>
      <c r="K2220">
        <f>AVERAGEIF(Table1[CountryCode],Table1[[#This Row],[CountryCode]],Table1[z-score])</f>
        <v>-0.44941710005999458</v>
      </c>
      <c r="L2220" t="e">
        <f>VLOOKUP(Table1[[#This Row],[CountryCode]],[1]!Table1[#Data],4,FALSE)</f>
        <v>#REF!</v>
      </c>
    </row>
    <row r="2221" spans="1:12" hidden="1" x14ac:dyDescent="0.3">
      <c r="A2221" t="s">
        <v>23</v>
      </c>
      <c r="B2221" t="s">
        <v>24</v>
      </c>
      <c r="C2221" t="s">
        <v>125</v>
      </c>
      <c r="D2221" t="s">
        <v>126</v>
      </c>
      <c r="E2221">
        <v>1987</v>
      </c>
      <c r="F2221" s="1">
        <v>4</v>
      </c>
      <c r="G2221">
        <v>1990</v>
      </c>
      <c r="H2221">
        <f>AVERAGEIFS(Table1[value],Table1[IndicatorCode],Table1[[#This Row],[IndicatorCode]])</f>
        <v>7.6894248608534319</v>
      </c>
      <c r="I2221" cm="1">
        <f t="array" ref="I2221">_xlfn.STDEV.P(IF(Table1[IndicatorCode]=Table1[[#This Row],[IndicatorCode]],Table1[value]))</f>
        <v>5.2319501044600996</v>
      </c>
      <c r="J2221">
        <f>(Table1[[#This Row],[value]] - Table1[[#This Row],[mean]]) / Table1[[#This Row],[std_dev]]</f>
        <v>-0.7051720271010028</v>
      </c>
      <c r="K2221">
        <f>AVERAGEIF(Table1[CountryCode],Table1[[#This Row],[CountryCode]],Table1[z-score])</f>
        <v>-0.44941710005999458</v>
      </c>
      <c r="L2221" t="e">
        <f>VLOOKUP(Table1[[#This Row],[CountryCode]],[1]!Table1[#Data],4,FALSE)</f>
        <v>#REF!</v>
      </c>
    </row>
    <row r="2222" spans="1:12" hidden="1" x14ac:dyDescent="0.3">
      <c r="A2222" t="s">
        <v>23</v>
      </c>
      <c r="B2222" t="s">
        <v>24</v>
      </c>
      <c r="C2222" t="s">
        <v>125</v>
      </c>
      <c r="D2222" t="s">
        <v>126</v>
      </c>
      <c r="E2222">
        <v>1988</v>
      </c>
      <c r="F2222" s="1">
        <v>4</v>
      </c>
      <c r="G2222">
        <v>1990</v>
      </c>
      <c r="H2222">
        <f>AVERAGEIFS(Table1[value],Table1[IndicatorCode],Table1[[#This Row],[IndicatorCode]])</f>
        <v>7.6894248608534319</v>
      </c>
      <c r="I2222" cm="1">
        <f t="array" ref="I2222">_xlfn.STDEV.P(IF(Table1[IndicatorCode]=Table1[[#This Row],[IndicatorCode]],Table1[value]))</f>
        <v>5.2319501044600996</v>
      </c>
      <c r="J2222">
        <f>(Table1[[#This Row],[value]] - Table1[[#This Row],[mean]]) / Table1[[#This Row],[std_dev]]</f>
        <v>-0.7051720271010028</v>
      </c>
      <c r="K2222">
        <f>AVERAGEIF(Table1[CountryCode],Table1[[#This Row],[CountryCode]],Table1[z-score])</f>
        <v>-0.44941710005999458</v>
      </c>
      <c r="L2222" t="e">
        <f>VLOOKUP(Table1[[#This Row],[CountryCode]],[1]!Table1[#Data],4,FALSE)</f>
        <v>#REF!</v>
      </c>
    </row>
    <row r="2223" spans="1:12" hidden="1" x14ac:dyDescent="0.3">
      <c r="A2223" t="s">
        <v>23</v>
      </c>
      <c r="B2223" t="s">
        <v>24</v>
      </c>
      <c r="C2223" t="s">
        <v>125</v>
      </c>
      <c r="D2223" t="s">
        <v>126</v>
      </c>
      <c r="E2223">
        <v>1989</v>
      </c>
      <c r="F2223" s="1">
        <v>4</v>
      </c>
      <c r="G2223">
        <v>1990</v>
      </c>
      <c r="H2223">
        <f>AVERAGEIFS(Table1[value],Table1[IndicatorCode],Table1[[#This Row],[IndicatorCode]])</f>
        <v>7.6894248608534319</v>
      </c>
      <c r="I2223" cm="1">
        <f t="array" ref="I2223">_xlfn.STDEV.P(IF(Table1[IndicatorCode]=Table1[[#This Row],[IndicatorCode]],Table1[value]))</f>
        <v>5.2319501044600996</v>
      </c>
      <c r="J2223">
        <f>(Table1[[#This Row],[value]] - Table1[[#This Row],[mean]]) / Table1[[#This Row],[std_dev]]</f>
        <v>-0.7051720271010028</v>
      </c>
      <c r="K2223">
        <f>AVERAGEIF(Table1[CountryCode],Table1[[#This Row],[CountryCode]],Table1[z-score])</f>
        <v>-0.44941710005999458</v>
      </c>
      <c r="L2223" t="e">
        <f>VLOOKUP(Table1[[#This Row],[CountryCode]],[1]!Table1[#Data],4,FALSE)</f>
        <v>#REF!</v>
      </c>
    </row>
    <row r="2224" spans="1:12" hidden="1" x14ac:dyDescent="0.3">
      <c r="A2224" t="s">
        <v>23</v>
      </c>
      <c r="B2224" t="s">
        <v>24</v>
      </c>
      <c r="C2224" t="s">
        <v>125</v>
      </c>
      <c r="D2224" t="s">
        <v>126</v>
      </c>
      <c r="E2224">
        <v>1990</v>
      </c>
      <c r="F2224" s="1">
        <v>6</v>
      </c>
      <c r="G2224">
        <v>1990</v>
      </c>
      <c r="H2224">
        <f>AVERAGEIFS(Table1[value],Table1[IndicatorCode],Table1[[#This Row],[IndicatorCode]])</f>
        <v>7.6894248608534319</v>
      </c>
      <c r="I2224" cm="1">
        <f t="array" ref="I2224">_xlfn.STDEV.P(IF(Table1[IndicatorCode]=Table1[[#This Row],[IndicatorCode]],Table1[value]))</f>
        <v>5.2319501044600996</v>
      </c>
      <c r="J2224">
        <f>(Table1[[#This Row],[value]] - Table1[[#This Row],[mean]]) / Table1[[#This Row],[std_dev]]</f>
        <v>-0.32290538463148605</v>
      </c>
      <c r="K2224">
        <f>AVERAGEIF(Table1[CountryCode],Table1[[#This Row],[CountryCode]],Table1[z-score])</f>
        <v>-0.44941710005999458</v>
      </c>
      <c r="L2224" t="e">
        <f>VLOOKUP(Table1[[#This Row],[CountryCode]],[1]!Table1[#Data],4,FALSE)</f>
        <v>#REF!</v>
      </c>
    </row>
    <row r="2225" spans="1:12" hidden="1" x14ac:dyDescent="0.3">
      <c r="A2225" t="s">
        <v>23</v>
      </c>
      <c r="B2225" t="s">
        <v>24</v>
      </c>
      <c r="C2225" t="s">
        <v>125</v>
      </c>
      <c r="D2225" t="s">
        <v>126</v>
      </c>
      <c r="E2225">
        <v>1991</v>
      </c>
      <c r="F2225" s="1">
        <v>5</v>
      </c>
      <c r="G2225">
        <v>1990</v>
      </c>
      <c r="H2225">
        <f>AVERAGEIFS(Table1[value],Table1[IndicatorCode],Table1[[#This Row],[IndicatorCode]])</f>
        <v>7.6894248608534319</v>
      </c>
      <c r="I2225" cm="1">
        <f t="array" ref="I2225">_xlfn.STDEV.P(IF(Table1[IndicatorCode]=Table1[[#This Row],[IndicatorCode]],Table1[value]))</f>
        <v>5.2319501044600996</v>
      </c>
      <c r="J2225">
        <f>(Table1[[#This Row],[value]] - Table1[[#This Row],[mean]]) / Table1[[#This Row],[std_dev]]</f>
        <v>-0.51403870586624445</v>
      </c>
      <c r="K2225">
        <f>AVERAGEIF(Table1[CountryCode],Table1[[#This Row],[CountryCode]],Table1[z-score])</f>
        <v>-0.44941710005999458</v>
      </c>
      <c r="L2225" t="e">
        <f>VLOOKUP(Table1[[#This Row],[CountryCode]],[1]!Table1[#Data],4,FALSE)</f>
        <v>#REF!</v>
      </c>
    </row>
    <row r="2226" spans="1:12" hidden="1" x14ac:dyDescent="0.3">
      <c r="A2226" t="s">
        <v>23</v>
      </c>
      <c r="B2226" t="s">
        <v>24</v>
      </c>
      <c r="C2226" t="s">
        <v>125</v>
      </c>
      <c r="D2226" t="s">
        <v>126</v>
      </c>
      <c r="E2226">
        <v>1992</v>
      </c>
      <c r="F2226" s="1">
        <v>4</v>
      </c>
      <c r="G2226">
        <v>1990</v>
      </c>
      <c r="H2226">
        <f>AVERAGEIFS(Table1[value],Table1[IndicatorCode],Table1[[#This Row],[IndicatorCode]])</f>
        <v>7.6894248608534319</v>
      </c>
      <c r="I2226" cm="1">
        <f t="array" ref="I2226">_xlfn.STDEV.P(IF(Table1[IndicatorCode]=Table1[[#This Row],[IndicatorCode]],Table1[value]))</f>
        <v>5.2319501044600996</v>
      </c>
      <c r="J2226">
        <f>(Table1[[#This Row],[value]] - Table1[[#This Row],[mean]]) / Table1[[#This Row],[std_dev]]</f>
        <v>-0.7051720271010028</v>
      </c>
      <c r="K2226">
        <f>AVERAGEIF(Table1[CountryCode],Table1[[#This Row],[CountryCode]],Table1[z-score])</f>
        <v>-0.44941710005999458</v>
      </c>
      <c r="L2226" t="e">
        <f>VLOOKUP(Table1[[#This Row],[CountryCode]],[1]!Table1[#Data],4,FALSE)</f>
        <v>#REF!</v>
      </c>
    </row>
    <row r="2227" spans="1:12" hidden="1" x14ac:dyDescent="0.3">
      <c r="A2227" t="s">
        <v>23</v>
      </c>
      <c r="B2227" t="s">
        <v>24</v>
      </c>
      <c r="C2227" t="s">
        <v>125</v>
      </c>
      <c r="D2227" t="s">
        <v>126</v>
      </c>
      <c r="E2227">
        <v>1993</v>
      </c>
      <c r="F2227" s="1">
        <v>3</v>
      </c>
      <c r="G2227">
        <v>1990</v>
      </c>
      <c r="H2227">
        <f>AVERAGEIFS(Table1[value],Table1[IndicatorCode],Table1[[#This Row],[IndicatorCode]])</f>
        <v>7.6894248608534319</v>
      </c>
      <c r="I2227" cm="1">
        <f t="array" ref="I2227">_xlfn.STDEV.P(IF(Table1[IndicatorCode]=Table1[[#This Row],[IndicatorCode]],Table1[value]))</f>
        <v>5.2319501044600996</v>
      </c>
      <c r="J2227">
        <f>(Table1[[#This Row],[value]] - Table1[[#This Row],[mean]]) / Table1[[#This Row],[std_dev]]</f>
        <v>-0.89630534833576125</v>
      </c>
      <c r="K2227">
        <f>AVERAGEIF(Table1[CountryCode],Table1[[#This Row],[CountryCode]],Table1[z-score])</f>
        <v>-0.44941710005999458</v>
      </c>
      <c r="L2227" t="e">
        <f>VLOOKUP(Table1[[#This Row],[CountryCode]],[1]!Table1[#Data],4,FALSE)</f>
        <v>#REF!</v>
      </c>
    </row>
    <row r="2228" spans="1:12" hidden="1" x14ac:dyDescent="0.3">
      <c r="A2228" t="s">
        <v>23</v>
      </c>
      <c r="B2228" t="s">
        <v>24</v>
      </c>
      <c r="C2228" t="s">
        <v>125</v>
      </c>
      <c r="D2228" t="s">
        <v>126</v>
      </c>
      <c r="E2228">
        <v>1994</v>
      </c>
      <c r="F2228" s="1">
        <v>1</v>
      </c>
      <c r="G2228">
        <v>1990</v>
      </c>
      <c r="H2228">
        <f>AVERAGEIFS(Table1[value],Table1[IndicatorCode],Table1[[#This Row],[IndicatorCode]])</f>
        <v>7.6894248608534319</v>
      </c>
      <c r="I2228" cm="1">
        <f t="array" ref="I2228">_xlfn.STDEV.P(IF(Table1[IndicatorCode]=Table1[[#This Row],[IndicatorCode]],Table1[value]))</f>
        <v>5.2319501044600996</v>
      </c>
      <c r="J2228">
        <f>(Table1[[#This Row],[value]] - Table1[[#This Row],[mean]]) / Table1[[#This Row],[std_dev]]</f>
        <v>-1.2785719908052779</v>
      </c>
      <c r="K2228">
        <f>AVERAGEIF(Table1[CountryCode],Table1[[#This Row],[CountryCode]],Table1[z-score])</f>
        <v>-0.44941710005999458</v>
      </c>
      <c r="L2228" t="e">
        <f>VLOOKUP(Table1[[#This Row],[CountryCode]],[1]!Table1[#Data],4,FALSE)</f>
        <v>#REF!</v>
      </c>
    </row>
    <row r="2229" spans="1:12" hidden="1" x14ac:dyDescent="0.3">
      <c r="A2229" t="s">
        <v>23</v>
      </c>
      <c r="B2229" t="s">
        <v>24</v>
      </c>
      <c r="C2229" t="s">
        <v>125</v>
      </c>
      <c r="D2229" t="s">
        <v>126</v>
      </c>
      <c r="E2229">
        <v>1995</v>
      </c>
      <c r="F2229" s="1">
        <v>1</v>
      </c>
      <c r="G2229">
        <v>1990</v>
      </c>
      <c r="H2229">
        <f>AVERAGEIFS(Table1[value],Table1[IndicatorCode],Table1[[#This Row],[IndicatorCode]])</f>
        <v>7.6894248608534319</v>
      </c>
      <c r="I2229" cm="1">
        <f t="array" ref="I2229">_xlfn.STDEV.P(IF(Table1[IndicatorCode]=Table1[[#This Row],[IndicatorCode]],Table1[value]))</f>
        <v>5.2319501044600996</v>
      </c>
      <c r="J2229">
        <f>(Table1[[#This Row],[value]] - Table1[[#This Row],[mean]]) / Table1[[#This Row],[std_dev]]</f>
        <v>-1.2785719908052779</v>
      </c>
      <c r="K2229">
        <f>AVERAGEIF(Table1[CountryCode],Table1[[#This Row],[CountryCode]],Table1[z-score])</f>
        <v>-0.44941710005999458</v>
      </c>
      <c r="L2229" t="e">
        <f>VLOOKUP(Table1[[#This Row],[CountryCode]],[1]!Table1[#Data],4,FALSE)</f>
        <v>#REF!</v>
      </c>
    </row>
    <row r="2230" spans="1:12" hidden="1" x14ac:dyDescent="0.3">
      <c r="A2230" t="s">
        <v>23</v>
      </c>
      <c r="B2230" t="s">
        <v>24</v>
      </c>
      <c r="C2230" t="s">
        <v>125</v>
      </c>
      <c r="D2230" t="s">
        <v>126</v>
      </c>
      <c r="E2230">
        <v>1996</v>
      </c>
      <c r="F2230" s="1">
        <v>1</v>
      </c>
      <c r="G2230">
        <v>1990</v>
      </c>
      <c r="H2230">
        <f>AVERAGEIFS(Table1[value],Table1[IndicatorCode],Table1[[#This Row],[IndicatorCode]])</f>
        <v>7.6894248608534319</v>
      </c>
      <c r="I2230" cm="1">
        <f t="array" ref="I2230">_xlfn.STDEV.P(IF(Table1[IndicatorCode]=Table1[[#This Row],[IndicatorCode]],Table1[value]))</f>
        <v>5.2319501044600996</v>
      </c>
      <c r="J2230">
        <f>(Table1[[#This Row],[value]] - Table1[[#This Row],[mean]]) / Table1[[#This Row],[std_dev]]</f>
        <v>-1.2785719908052779</v>
      </c>
      <c r="K2230">
        <f>AVERAGEIF(Table1[CountryCode],Table1[[#This Row],[CountryCode]],Table1[z-score])</f>
        <v>-0.44941710005999458</v>
      </c>
      <c r="L2230" t="e">
        <f>VLOOKUP(Table1[[#This Row],[CountryCode]],[1]!Table1[#Data],4,FALSE)</f>
        <v>#REF!</v>
      </c>
    </row>
    <row r="2231" spans="1:12" hidden="1" x14ac:dyDescent="0.3">
      <c r="A2231" t="s">
        <v>23</v>
      </c>
      <c r="B2231" t="s">
        <v>24</v>
      </c>
      <c r="C2231" t="s">
        <v>125</v>
      </c>
      <c r="D2231" t="s">
        <v>126</v>
      </c>
      <c r="E2231">
        <v>1997</v>
      </c>
      <c r="F2231" s="1">
        <v>2</v>
      </c>
      <c r="G2231">
        <v>2000</v>
      </c>
      <c r="H2231">
        <f>AVERAGEIFS(Table1[value],Table1[IndicatorCode],Table1[[#This Row],[IndicatorCode]])</f>
        <v>7.6894248608534319</v>
      </c>
      <c r="I2231" cm="1">
        <f t="array" ref="I2231">_xlfn.STDEV.P(IF(Table1[IndicatorCode]=Table1[[#This Row],[IndicatorCode]],Table1[value]))</f>
        <v>5.2319501044600996</v>
      </c>
      <c r="J2231">
        <f>(Table1[[#This Row],[value]] - Table1[[#This Row],[mean]]) / Table1[[#This Row],[std_dev]]</f>
        <v>-1.0874386695705196</v>
      </c>
      <c r="K2231">
        <f>AVERAGEIF(Table1[CountryCode],Table1[[#This Row],[CountryCode]],Table1[z-score])</f>
        <v>-0.44941710005999458</v>
      </c>
      <c r="L2231" t="e">
        <f>VLOOKUP(Table1[[#This Row],[CountryCode]],[1]!Table1[#Data],4,FALSE)</f>
        <v>#REF!</v>
      </c>
    </row>
    <row r="2232" spans="1:12" hidden="1" x14ac:dyDescent="0.3">
      <c r="A2232" t="s">
        <v>23</v>
      </c>
      <c r="B2232" t="s">
        <v>24</v>
      </c>
      <c r="C2232" t="s">
        <v>125</v>
      </c>
      <c r="D2232" t="s">
        <v>126</v>
      </c>
      <c r="E2232">
        <v>1998</v>
      </c>
      <c r="F2232" s="1">
        <v>3</v>
      </c>
      <c r="G2232">
        <v>2000</v>
      </c>
      <c r="H2232">
        <f>AVERAGEIFS(Table1[value],Table1[IndicatorCode],Table1[[#This Row],[IndicatorCode]])</f>
        <v>7.6894248608534319</v>
      </c>
      <c r="I2232" cm="1">
        <f t="array" ref="I2232">_xlfn.STDEV.P(IF(Table1[IndicatorCode]=Table1[[#This Row],[IndicatorCode]],Table1[value]))</f>
        <v>5.2319501044600996</v>
      </c>
      <c r="J2232">
        <f>(Table1[[#This Row],[value]] - Table1[[#This Row],[mean]]) / Table1[[#This Row],[std_dev]]</f>
        <v>-0.89630534833576125</v>
      </c>
      <c r="K2232">
        <f>AVERAGEIF(Table1[CountryCode],Table1[[#This Row],[CountryCode]],Table1[z-score])</f>
        <v>-0.44941710005999458</v>
      </c>
      <c r="L2232" t="e">
        <f>VLOOKUP(Table1[[#This Row],[CountryCode]],[1]!Table1[#Data],4,FALSE)</f>
        <v>#REF!</v>
      </c>
    </row>
    <row r="2233" spans="1:12" hidden="1" x14ac:dyDescent="0.3">
      <c r="A2233" t="s">
        <v>23</v>
      </c>
      <c r="B2233" t="s">
        <v>24</v>
      </c>
      <c r="C2233" t="s">
        <v>125</v>
      </c>
      <c r="D2233" t="s">
        <v>126</v>
      </c>
      <c r="E2233">
        <v>1999</v>
      </c>
      <c r="F2233" s="1">
        <v>3</v>
      </c>
      <c r="G2233">
        <v>2000</v>
      </c>
      <c r="H2233">
        <f>AVERAGEIFS(Table1[value],Table1[IndicatorCode],Table1[[#This Row],[IndicatorCode]])</f>
        <v>7.6894248608534319</v>
      </c>
      <c r="I2233" cm="1">
        <f t="array" ref="I2233">_xlfn.STDEV.P(IF(Table1[IndicatorCode]=Table1[[#This Row],[IndicatorCode]],Table1[value]))</f>
        <v>5.2319501044600996</v>
      </c>
      <c r="J2233">
        <f>(Table1[[#This Row],[value]] - Table1[[#This Row],[mean]]) / Table1[[#This Row],[std_dev]]</f>
        <v>-0.89630534833576125</v>
      </c>
      <c r="K2233">
        <f>AVERAGEIF(Table1[CountryCode],Table1[[#This Row],[CountryCode]],Table1[z-score])</f>
        <v>-0.44941710005999458</v>
      </c>
      <c r="L2233" t="e">
        <f>VLOOKUP(Table1[[#This Row],[CountryCode]],[1]!Table1[#Data],4,FALSE)</f>
        <v>#REF!</v>
      </c>
    </row>
    <row r="2234" spans="1:12" hidden="1" x14ac:dyDescent="0.3">
      <c r="A2234" t="s">
        <v>23</v>
      </c>
      <c r="B2234" t="s">
        <v>24</v>
      </c>
      <c r="C2234" t="s">
        <v>125</v>
      </c>
      <c r="D2234" t="s">
        <v>126</v>
      </c>
      <c r="E2234">
        <v>2000</v>
      </c>
      <c r="F2234" s="1">
        <v>3</v>
      </c>
      <c r="G2234">
        <v>2000</v>
      </c>
      <c r="H2234">
        <f>AVERAGEIFS(Table1[value],Table1[IndicatorCode],Table1[[#This Row],[IndicatorCode]])</f>
        <v>7.6894248608534319</v>
      </c>
      <c r="I2234" cm="1">
        <f t="array" ref="I2234">_xlfn.STDEV.P(IF(Table1[IndicatorCode]=Table1[[#This Row],[IndicatorCode]],Table1[value]))</f>
        <v>5.2319501044600996</v>
      </c>
      <c r="J2234">
        <f>(Table1[[#This Row],[value]] - Table1[[#This Row],[mean]]) / Table1[[#This Row],[std_dev]]</f>
        <v>-0.89630534833576125</v>
      </c>
      <c r="K2234">
        <f>AVERAGEIF(Table1[CountryCode],Table1[[#This Row],[CountryCode]],Table1[z-score])</f>
        <v>-0.44941710005999458</v>
      </c>
      <c r="L2234" t="e">
        <f>VLOOKUP(Table1[[#This Row],[CountryCode]],[1]!Table1[#Data],4,FALSE)</f>
        <v>#REF!</v>
      </c>
    </row>
    <row r="2235" spans="1:12" hidden="1" x14ac:dyDescent="0.3">
      <c r="A2235" t="s">
        <v>23</v>
      </c>
      <c r="B2235" t="s">
        <v>24</v>
      </c>
      <c r="C2235" t="s">
        <v>125</v>
      </c>
      <c r="D2235" t="s">
        <v>126</v>
      </c>
      <c r="E2235">
        <v>2001</v>
      </c>
      <c r="F2235" s="1">
        <v>3</v>
      </c>
      <c r="G2235">
        <v>2000</v>
      </c>
      <c r="H2235">
        <f>AVERAGEIFS(Table1[value],Table1[IndicatorCode],Table1[[#This Row],[IndicatorCode]])</f>
        <v>7.6894248608534319</v>
      </c>
      <c r="I2235" cm="1">
        <f t="array" ref="I2235">_xlfn.STDEV.P(IF(Table1[IndicatorCode]=Table1[[#This Row],[IndicatorCode]],Table1[value]))</f>
        <v>5.2319501044600996</v>
      </c>
      <c r="J2235">
        <f>(Table1[[#This Row],[value]] - Table1[[#This Row],[mean]]) / Table1[[#This Row],[std_dev]]</f>
        <v>-0.89630534833576125</v>
      </c>
      <c r="K2235">
        <f>AVERAGEIF(Table1[CountryCode],Table1[[#This Row],[CountryCode]],Table1[z-score])</f>
        <v>-0.44941710005999458</v>
      </c>
      <c r="L2235" t="e">
        <f>VLOOKUP(Table1[[#This Row],[CountryCode]],[1]!Table1[#Data],4,FALSE)</f>
        <v>#REF!</v>
      </c>
    </row>
    <row r="2236" spans="1:12" hidden="1" x14ac:dyDescent="0.3">
      <c r="A2236" t="s">
        <v>23</v>
      </c>
      <c r="B2236" t="s">
        <v>24</v>
      </c>
      <c r="C2236" t="s">
        <v>125</v>
      </c>
      <c r="D2236" t="s">
        <v>126</v>
      </c>
      <c r="E2236">
        <v>2002</v>
      </c>
      <c r="F2236" s="1">
        <v>4</v>
      </c>
      <c r="G2236">
        <v>2000</v>
      </c>
      <c r="H2236">
        <f>AVERAGEIFS(Table1[value],Table1[IndicatorCode],Table1[[#This Row],[IndicatorCode]])</f>
        <v>7.6894248608534319</v>
      </c>
      <c r="I2236" cm="1">
        <f t="array" ref="I2236">_xlfn.STDEV.P(IF(Table1[IndicatorCode]=Table1[[#This Row],[IndicatorCode]],Table1[value]))</f>
        <v>5.2319501044600996</v>
      </c>
      <c r="J2236">
        <f>(Table1[[#This Row],[value]] - Table1[[#This Row],[mean]]) / Table1[[#This Row],[std_dev]]</f>
        <v>-0.7051720271010028</v>
      </c>
      <c r="K2236">
        <f>AVERAGEIF(Table1[CountryCode],Table1[[#This Row],[CountryCode]],Table1[z-score])</f>
        <v>-0.44941710005999458</v>
      </c>
      <c r="L2236" t="e">
        <f>VLOOKUP(Table1[[#This Row],[CountryCode]],[1]!Table1[#Data],4,FALSE)</f>
        <v>#REF!</v>
      </c>
    </row>
    <row r="2237" spans="1:12" hidden="1" x14ac:dyDescent="0.3">
      <c r="A2237" t="s">
        <v>23</v>
      </c>
      <c r="B2237" t="s">
        <v>24</v>
      </c>
      <c r="C2237" t="s">
        <v>125</v>
      </c>
      <c r="D2237" t="s">
        <v>126</v>
      </c>
      <c r="E2237">
        <v>2003</v>
      </c>
      <c r="F2237" s="1">
        <v>4</v>
      </c>
      <c r="G2237">
        <v>2000</v>
      </c>
      <c r="H2237">
        <f>AVERAGEIFS(Table1[value],Table1[IndicatorCode],Table1[[#This Row],[IndicatorCode]])</f>
        <v>7.6894248608534319</v>
      </c>
      <c r="I2237" cm="1">
        <f t="array" ref="I2237">_xlfn.STDEV.P(IF(Table1[IndicatorCode]=Table1[[#This Row],[IndicatorCode]],Table1[value]))</f>
        <v>5.2319501044600996</v>
      </c>
      <c r="J2237">
        <f>(Table1[[#This Row],[value]] - Table1[[#This Row],[mean]]) / Table1[[#This Row],[std_dev]]</f>
        <v>-0.7051720271010028</v>
      </c>
      <c r="K2237">
        <f>AVERAGEIF(Table1[CountryCode],Table1[[#This Row],[CountryCode]],Table1[z-score])</f>
        <v>-0.44941710005999458</v>
      </c>
      <c r="L2237" t="e">
        <f>VLOOKUP(Table1[[#This Row],[CountryCode]],[1]!Table1[#Data],4,FALSE)</f>
        <v>#REF!</v>
      </c>
    </row>
    <row r="2238" spans="1:12" hidden="1" x14ac:dyDescent="0.3">
      <c r="A2238" t="s">
        <v>23</v>
      </c>
      <c r="B2238" t="s">
        <v>24</v>
      </c>
      <c r="C2238" t="s">
        <v>125</v>
      </c>
      <c r="D2238" t="s">
        <v>126</v>
      </c>
      <c r="E2238">
        <v>2004</v>
      </c>
      <c r="F2238" s="1">
        <v>4</v>
      </c>
      <c r="G2238">
        <v>2000</v>
      </c>
      <c r="H2238">
        <f>AVERAGEIFS(Table1[value],Table1[IndicatorCode],Table1[[#This Row],[IndicatorCode]])</f>
        <v>7.6894248608534319</v>
      </c>
      <c r="I2238" cm="1">
        <f t="array" ref="I2238">_xlfn.STDEV.P(IF(Table1[IndicatorCode]=Table1[[#This Row],[IndicatorCode]],Table1[value]))</f>
        <v>5.2319501044600996</v>
      </c>
      <c r="J2238">
        <f>(Table1[[#This Row],[value]] - Table1[[#This Row],[mean]]) / Table1[[#This Row],[std_dev]]</f>
        <v>-0.7051720271010028</v>
      </c>
      <c r="K2238">
        <f>AVERAGEIF(Table1[CountryCode],Table1[[#This Row],[CountryCode]],Table1[z-score])</f>
        <v>-0.44941710005999458</v>
      </c>
      <c r="L2238" t="e">
        <f>VLOOKUP(Table1[[#This Row],[CountryCode]],[1]!Table1[#Data],4,FALSE)</f>
        <v>#REF!</v>
      </c>
    </row>
    <row r="2239" spans="1:12" hidden="1" x14ac:dyDescent="0.3">
      <c r="A2239" t="s">
        <v>23</v>
      </c>
      <c r="B2239" t="s">
        <v>24</v>
      </c>
      <c r="C2239" t="s">
        <v>125</v>
      </c>
      <c r="D2239" t="s">
        <v>126</v>
      </c>
      <c r="E2239">
        <v>2005</v>
      </c>
      <c r="F2239" s="1">
        <v>4</v>
      </c>
      <c r="G2239">
        <v>2000</v>
      </c>
      <c r="H2239">
        <f>AVERAGEIFS(Table1[value],Table1[IndicatorCode],Table1[[#This Row],[IndicatorCode]])</f>
        <v>7.6894248608534319</v>
      </c>
      <c r="I2239" cm="1">
        <f t="array" ref="I2239">_xlfn.STDEV.P(IF(Table1[IndicatorCode]=Table1[[#This Row],[IndicatorCode]],Table1[value]))</f>
        <v>5.2319501044600996</v>
      </c>
      <c r="J2239">
        <f>(Table1[[#This Row],[value]] - Table1[[#This Row],[mean]]) / Table1[[#This Row],[std_dev]]</f>
        <v>-0.7051720271010028</v>
      </c>
      <c r="K2239">
        <f>AVERAGEIF(Table1[CountryCode],Table1[[#This Row],[CountryCode]],Table1[z-score])</f>
        <v>-0.44941710005999458</v>
      </c>
      <c r="L2239" t="e">
        <f>VLOOKUP(Table1[[#This Row],[CountryCode]],[1]!Table1[#Data],4,FALSE)</f>
        <v>#REF!</v>
      </c>
    </row>
    <row r="2240" spans="1:12" hidden="1" x14ac:dyDescent="0.3">
      <c r="A2240" t="s">
        <v>23</v>
      </c>
      <c r="B2240" t="s">
        <v>24</v>
      </c>
      <c r="C2240" t="s">
        <v>125</v>
      </c>
      <c r="D2240" t="s">
        <v>126</v>
      </c>
      <c r="E2240">
        <v>2006</v>
      </c>
      <c r="F2240" s="1">
        <v>5</v>
      </c>
      <c r="G2240">
        <v>2000</v>
      </c>
      <c r="H2240">
        <f>AVERAGEIFS(Table1[value],Table1[IndicatorCode],Table1[[#This Row],[IndicatorCode]])</f>
        <v>7.6894248608534319</v>
      </c>
      <c r="I2240" cm="1">
        <f t="array" ref="I2240">_xlfn.STDEV.P(IF(Table1[IndicatorCode]=Table1[[#This Row],[IndicatorCode]],Table1[value]))</f>
        <v>5.2319501044600996</v>
      </c>
      <c r="J2240">
        <f>(Table1[[#This Row],[value]] - Table1[[#This Row],[mean]]) / Table1[[#This Row],[std_dev]]</f>
        <v>-0.51403870586624445</v>
      </c>
      <c r="K2240">
        <f>AVERAGEIF(Table1[CountryCode],Table1[[#This Row],[CountryCode]],Table1[z-score])</f>
        <v>-0.44941710005999458</v>
      </c>
      <c r="L2240" t="e">
        <f>VLOOKUP(Table1[[#This Row],[CountryCode]],[1]!Table1[#Data],4,FALSE)</f>
        <v>#REF!</v>
      </c>
    </row>
    <row r="2241" spans="1:12" hidden="1" x14ac:dyDescent="0.3">
      <c r="A2241" t="s">
        <v>23</v>
      </c>
      <c r="B2241" t="s">
        <v>24</v>
      </c>
      <c r="C2241" t="s">
        <v>125</v>
      </c>
      <c r="D2241" t="s">
        <v>126</v>
      </c>
      <c r="E2241">
        <v>2007</v>
      </c>
      <c r="F2241" s="1">
        <v>5</v>
      </c>
      <c r="G2241">
        <v>2010</v>
      </c>
      <c r="H2241">
        <f>AVERAGEIFS(Table1[value],Table1[IndicatorCode],Table1[[#This Row],[IndicatorCode]])</f>
        <v>7.6894248608534319</v>
      </c>
      <c r="I2241" cm="1">
        <f t="array" ref="I2241">_xlfn.STDEV.P(IF(Table1[IndicatorCode]=Table1[[#This Row],[IndicatorCode]],Table1[value]))</f>
        <v>5.2319501044600996</v>
      </c>
      <c r="J2241">
        <f>(Table1[[#This Row],[value]] - Table1[[#This Row],[mean]]) / Table1[[#This Row],[std_dev]]</f>
        <v>-0.51403870586624445</v>
      </c>
      <c r="K2241">
        <f>AVERAGEIF(Table1[CountryCode],Table1[[#This Row],[CountryCode]],Table1[z-score])</f>
        <v>-0.44941710005999458</v>
      </c>
      <c r="L2241" t="e">
        <f>VLOOKUP(Table1[[#This Row],[CountryCode]],[1]!Table1[#Data],4,FALSE)</f>
        <v>#REF!</v>
      </c>
    </row>
    <row r="2242" spans="1:12" hidden="1" x14ac:dyDescent="0.3">
      <c r="A2242" t="s">
        <v>23</v>
      </c>
      <c r="B2242" t="s">
        <v>24</v>
      </c>
      <c r="C2242" t="s">
        <v>125</v>
      </c>
      <c r="D2242" t="s">
        <v>126</v>
      </c>
      <c r="E2242">
        <v>2008</v>
      </c>
      <c r="F2242" s="1">
        <v>5</v>
      </c>
      <c r="G2242">
        <v>2010</v>
      </c>
      <c r="H2242">
        <f>AVERAGEIFS(Table1[value],Table1[IndicatorCode],Table1[[#This Row],[IndicatorCode]])</f>
        <v>7.6894248608534319</v>
      </c>
      <c r="I2242" cm="1">
        <f t="array" ref="I2242">_xlfn.STDEV.P(IF(Table1[IndicatorCode]=Table1[[#This Row],[IndicatorCode]],Table1[value]))</f>
        <v>5.2319501044600996</v>
      </c>
      <c r="J2242">
        <f>(Table1[[#This Row],[value]] - Table1[[#This Row],[mean]]) / Table1[[#This Row],[std_dev]]</f>
        <v>-0.51403870586624445</v>
      </c>
      <c r="K2242">
        <f>AVERAGEIF(Table1[CountryCode],Table1[[#This Row],[CountryCode]],Table1[z-score])</f>
        <v>-0.44941710005999458</v>
      </c>
      <c r="L2242" t="e">
        <f>VLOOKUP(Table1[[#This Row],[CountryCode]],[1]!Table1[#Data],4,FALSE)</f>
        <v>#REF!</v>
      </c>
    </row>
    <row r="2243" spans="1:12" hidden="1" x14ac:dyDescent="0.3">
      <c r="A2243" t="s">
        <v>23</v>
      </c>
      <c r="B2243" t="s">
        <v>24</v>
      </c>
      <c r="C2243" t="s">
        <v>125</v>
      </c>
      <c r="D2243" t="s">
        <v>126</v>
      </c>
      <c r="E2243">
        <v>2009</v>
      </c>
      <c r="F2243" s="1">
        <v>6</v>
      </c>
      <c r="G2243">
        <v>2010</v>
      </c>
      <c r="H2243">
        <f>AVERAGEIFS(Table1[value],Table1[IndicatorCode],Table1[[#This Row],[IndicatorCode]])</f>
        <v>7.6894248608534319</v>
      </c>
      <c r="I2243" cm="1">
        <f t="array" ref="I2243">_xlfn.STDEV.P(IF(Table1[IndicatorCode]=Table1[[#This Row],[IndicatorCode]],Table1[value]))</f>
        <v>5.2319501044600996</v>
      </c>
      <c r="J2243">
        <f>(Table1[[#This Row],[value]] - Table1[[#This Row],[mean]]) / Table1[[#This Row],[std_dev]]</f>
        <v>-0.32290538463148605</v>
      </c>
      <c r="K2243">
        <f>AVERAGEIF(Table1[CountryCode],Table1[[#This Row],[CountryCode]],Table1[z-score])</f>
        <v>-0.44941710005999458</v>
      </c>
      <c r="L2243" t="e">
        <f>VLOOKUP(Table1[[#This Row],[CountryCode]],[1]!Table1[#Data],4,FALSE)</f>
        <v>#REF!</v>
      </c>
    </row>
    <row r="2244" spans="1:12" hidden="1" x14ac:dyDescent="0.3">
      <c r="A2244" t="s">
        <v>23</v>
      </c>
      <c r="B2244" t="s">
        <v>24</v>
      </c>
      <c r="C2244" t="s">
        <v>125</v>
      </c>
      <c r="D2244" t="s">
        <v>126</v>
      </c>
      <c r="E2244">
        <v>2010</v>
      </c>
      <c r="F2244" s="1">
        <v>6</v>
      </c>
      <c r="G2244">
        <v>2010</v>
      </c>
      <c r="H2244">
        <f>AVERAGEIFS(Table1[value],Table1[IndicatorCode],Table1[[#This Row],[IndicatorCode]])</f>
        <v>7.6894248608534319</v>
      </c>
      <c r="I2244" cm="1">
        <f t="array" ref="I2244">_xlfn.STDEV.P(IF(Table1[IndicatorCode]=Table1[[#This Row],[IndicatorCode]],Table1[value]))</f>
        <v>5.2319501044600996</v>
      </c>
      <c r="J2244">
        <f>(Table1[[#This Row],[value]] - Table1[[#This Row],[mean]]) / Table1[[#This Row],[std_dev]]</f>
        <v>-0.32290538463148605</v>
      </c>
      <c r="K2244">
        <f>AVERAGEIF(Table1[CountryCode],Table1[[#This Row],[CountryCode]],Table1[z-score])</f>
        <v>-0.44941710005999458</v>
      </c>
      <c r="L2244" t="e">
        <f>VLOOKUP(Table1[[#This Row],[CountryCode]],[1]!Table1[#Data],4,FALSE)</f>
        <v>#REF!</v>
      </c>
    </row>
    <row r="2245" spans="1:12" hidden="1" x14ac:dyDescent="0.3">
      <c r="A2245" t="s">
        <v>23</v>
      </c>
      <c r="B2245" t="s">
        <v>24</v>
      </c>
      <c r="C2245" t="s">
        <v>125</v>
      </c>
      <c r="D2245" t="s">
        <v>126</v>
      </c>
      <c r="E2245">
        <v>2011</v>
      </c>
      <c r="F2245" s="1">
        <v>7</v>
      </c>
      <c r="G2245">
        <v>2010</v>
      </c>
      <c r="H2245">
        <f>AVERAGEIFS(Table1[value],Table1[IndicatorCode],Table1[[#This Row],[IndicatorCode]])</f>
        <v>7.6894248608534319</v>
      </c>
      <c r="I2245" cm="1">
        <f t="array" ref="I2245">_xlfn.STDEV.P(IF(Table1[IndicatorCode]=Table1[[#This Row],[IndicatorCode]],Table1[value]))</f>
        <v>5.2319501044600996</v>
      </c>
      <c r="J2245">
        <f>(Table1[[#This Row],[value]] - Table1[[#This Row],[mean]]) / Table1[[#This Row],[std_dev]]</f>
        <v>-0.13177206339672762</v>
      </c>
      <c r="K2245">
        <f>AVERAGEIF(Table1[CountryCode],Table1[[#This Row],[CountryCode]],Table1[z-score])</f>
        <v>-0.44941710005999458</v>
      </c>
      <c r="L2245" t="e">
        <f>VLOOKUP(Table1[[#This Row],[CountryCode]],[1]!Table1[#Data],4,FALSE)</f>
        <v>#REF!</v>
      </c>
    </row>
    <row r="2246" spans="1:12" hidden="1" x14ac:dyDescent="0.3">
      <c r="A2246" t="s">
        <v>23</v>
      </c>
      <c r="B2246" t="s">
        <v>24</v>
      </c>
      <c r="C2246" t="s">
        <v>125</v>
      </c>
      <c r="D2246" t="s">
        <v>126</v>
      </c>
      <c r="E2246">
        <v>2012</v>
      </c>
      <c r="F2246" s="1">
        <v>6</v>
      </c>
      <c r="G2246">
        <v>2010</v>
      </c>
      <c r="H2246">
        <f>AVERAGEIFS(Table1[value],Table1[IndicatorCode],Table1[[#This Row],[IndicatorCode]])</f>
        <v>7.6894248608534319</v>
      </c>
      <c r="I2246" cm="1">
        <f t="array" ref="I2246">_xlfn.STDEV.P(IF(Table1[IndicatorCode]=Table1[[#This Row],[IndicatorCode]],Table1[value]))</f>
        <v>5.2319501044600996</v>
      </c>
      <c r="J2246">
        <f>(Table1[[#This Row],[value]] - Table1[[#This Row],[mean]]) / Table1[[#This Row],[std_dev]]</f>
        <v>-0.32290538463148605</v>
      </c>
      <c r="K2246">
        <f>AVERAGEIF(Table1[CountryCode],Table1[[#This Row],[CountryCode]],Table1[z-score])</f>
        <v>-0.44941710005999458</v>
      </c>
      <c r="L2246" t="e">
        <f>VLOOKUP(Table1[[#This Row],[CountryCode]],[1]!Table1[#Data],4,FALSE)</f>
        <v>#REF!</v>
      </c>
    </row>
    <row r="2247" spans="1:12" hidden="1" x14ac:dyDescent="0.3">
      <c r="A2247" t="s">
        <v>23</v>
      </c>
      <c r="B2247" t="s">
        <v>24</v>
      </c>
      <c r="C2247" t="s">
        <v>125</v>
      </c>
      <c r="D2247" t="s">
        <v>126</v>
      </c>
      <c r="E2247">
        <v>2013</v>
      </c>
      <c r="F2247" s="1">
        <v>6</v>
      </c>
      <c r="G2247">
        <v>2010</v>
      </c>
      <c r="H2247">
        <f>AVERAGEIFS(Table1[value],Table1[IndicatorCode],Table1[[#This Row],[IndicatorCode]])</f>
        <v>7.6894248608534319</v>
      </c>
      <c r="I2247" cm="1">
        <f t="array" ref="I2247">_xlfn.STDEV.P(IF(Table1[IndicatorCode]=Table1[[#This Row],[IndicatorCode]],Table1[value]))</f>
        <v>5.2319501044600996</v>
      </c>
      <c r="J2247">
        <f>(Table1[[#This Row],[value]] - Table1[[#This Row],[mean]]) / Table1[[#This Row],[std_dev]]</f>
        <v>-0.32290538463148605</v>
      </c>
      <c r="K2247">
        <f>AVERAGEIF(Table1[CountryCode],Table1[[#This Row],[CountryCode]],Table1[z-score])</f>
        <v>-0.44941710005999458</v>
      </c>
      <c r="L2247" t="e">
        <f>VLOOKUP(Table1[[#This Row],[CountryCode]],[1]!Table1[#Data],4,FALSE)</f>
        <v>#REF!</v>
      </c>
    </row>
    <row r="2248" spans="1:12" hidden="1" x14ac:dyDescent="0.3">
      <c r="A2248" t="s">
        <v>23</v>
      </c>
      <c r="B2248" t="s">
        <v>24</v>
      </c>
      <c r="C2248" t="s">
        <v>125</v>
      </c>
      <c r="D2248" t="s">
        <v>126</v>
      </c>
      <c r="E2248">
        <v>2014</v>
      </c>
      <c r="F2248" s="1">
        <v>6</v>
      </c>
      <c r="G2248">
        <v>2010</v>
      </c>
      <c r="H2248">
        <f>AVERAGEIFS(Table1[value],Table1[IndicatorCode],Table1[[#This Row],[IndicatorCode]])</f>
        <v>7.6894248608534319</v>
      </c>
      <c r="I2248" cm="1">
        <f t="array" ref="I2248">_xlfn.STDEV.P(IF(Table1[IndicatorCode]=Table1[[#This Row],[IndicatorCode]],Table1[value]))</f>
        <v>5.2319501044600996</v>
      </c>
      <c r="J2248">
        <f>(Table1[[#This Row],[value]] - Table1[[#This Row],[mean]]) / Table1[[#This Row],[std_dev]]</f>
        <v>-0.32290538463148605</v>
      </c>
      <c r="K2248">
        <f>AVERAGEIF(Table1[CountryCode],Table1[[#This Row],[CountryCode]],Table1[z-score])</f>
        <v>-0.44941710005999458</v>
      </c>
      <c r="L2248" t="e">
        <f>VLOOKUP(Table1[[#This Row],[CountryCode]],[1]!Table1[#Data],4,FALSE)</f>
        <v>#REF!</v>
      </c>
    </row>
    <row r="2249" spans="1:12" hidden="1" x14ac:dyDescent="0.3">
      <c r="A2249" t="s">
        <v>23</v>
      </c>
      <c r="B2249" t="s">
        <v>24</v>
      </c>
      <c r="C2249" t="s">
        <v>125</v>
      </c>
      <c r="D2249" t="s">
        <v>126</v>
      </c>
      <c r="E2249">
        <v>2015</v>
      </c>
      <c r="F2249" s="1">
        <v>6</v>
      </c>
      <c r="G2249">
        <v>2010</v>
      </c>
      <c r="H2249">
        <f>AVERAGEIFS(Table1[value],Table1[IndicatorCode],Table1[[#This Row],[IndicatorCode]])</f>
        <v>7.6894248608534319</v>
      </c>
      <c r="I2249" cm="1">
        <f t="array" ref="I2249">_xlfn.STDEV.P(IF(Table1[IndicatorCode]=Table1[[#This Row],[IndicatorCode]],Table1[value]))</f>
        <v>5.2319501044600996</v>
      </c>
      <c r="J2249">
        <f>(Table1[[#This Row],[value]] - Table1[[#This Row],[mean]]) / Table1[[#This Row],[std_dev]]</f>
        <v>-0.32290538463148605</v>
      </c>
      <c r="K2249">
        <f>AVERAGEIF(Table1[CountryCode],Table1[[#This Row],[CountryCode]],Table1[z-score])</f>
        <v>-0.44941710005999458</v>
      </c>
      <c r="L2249" t="e">
        <f>VLOOKUP(Table1[[#This Row],[CountryCode]],[1]!Table1[#Data],4,FALSE)</f>
        <v>#REF!</v>
      </c>
    </row>
    <row r="2250" spans="1:12" hidden="1" x14ac:dyDescent="0.3">
      <c r="A2250" t="s">
        <v>23</v>
      </c>
      <c r="B2250" t="s">
        <v>24</v>
      </c>
      <c r="C2250" t="s">
        <v>125</v>
      </c>
      <c r="D2250" t="s">
        <v>126</v>
      </c>
      <c r="E2250">
        <v>2016</v>
      </c>
      <c r="F2250" s="1">
        <v>7</v>
      </c>
      <c r="G2250">
        <v>2010</v>
      </c>
      <c r="H2250">
        <f>AVERAGEIFS(Table1[value],Table1[IndicatorCode],Table1[[#This Row],[IndicatorCode]])</f>
        <v>7.6894248608534319</v>
      </c>
      <c r="I2250" cm="1">
        <f t="array" ref="I2250">_xlfn.STDEV.P(IF(Table1[IndicatorCode]=Table1[[#This Row],[IndicatorCode]],Table1[value]))</f>
        <v>5.2319501044600996</v>
      </c>
      <c r="J2250">
        <f>(Table1[[#This Row],[value]] - Table1[[#This Row],[mean]]) / Table1[[#This Row],[std_dev]]</f>
        <v>-0.13177206339672762</v>
      </c>
      <c r="K2250">
        <f>AVERAGEIF(Table1[CountryCode],Table1[[#This Row],[CountryCode]],Table1[z-score])</f>
        <v>-0.44941710005999458</v>
      </c>
      <c r="L2250" t="e">
        <f>VLOOKUP(Table1[[#This Row],[CountryCode]],[1]!Table1[#Data],4,FALSE)</f>
        <v>#REF!</v>
      </c>
    </row>
    <row r="2251" spans="1:12" hidden="1" x14ac:dyDescent="0.3">
      <c r="A2251" t="s">
        <v>23</v>
      </c>
      <c r="B2251" t="s">
        <v>24</v>
      </c>
      <c r="C2251" t="s">
        <v>125</v>
      </c>
      <c r="D2251" t="s">
        <v>126</v>
      </c>
      <c r="E2251">
        <v>2017</v>
      </c>
      <c r="F2251" s="1">
        <v>7</v>
      </c>
      <c r="G2251">
        <v>2020</v>
      </c>
      <c r="H2251">
        <f>AVERAGEIFS(Table1[value],Table1[IndicatorCode],Table1[[#This Row],[IndicatorCode]])</f>
        <v>7.6894248608534319</v>
      </c>
      <c r="I2251" cm="1">
        <f t="array" ref="I2251">_xlfn.STDEV.P(IF(Table1[IndicatorCode]=Table1[[#This Row],[IndicatorCode]],Table1[value]))</f>
        <v>5.2319501044600996</v>
      </c>
      <c r="J2251">
        <f>(Table1[[#This Row],[value]] - Table1[[#This Row],[mean]]) / Table1[[#This Row],[std_dev]]</f>
        <v>-0.13177206339672762</v>
      </c>
      <c r="K2251">
        <f>AVERAGEIF(Table1[CountryCode],Table1[[#This Row],[CountryCode]],Table1[z-score])</f>
        <v>-0.44941710005999458</v>
      </c>
      <c r="L2251" t="e">
        <f>VLOOKUP(Table1[[#This Row],[CountryCode]],[1]!Table1[#Data],4,FALSE)</f>
        <v>#REF!</v>
      </c>
    </row>
    <row r="2252" spans="1:12" hidden="1" x14ac:dyDescent="0.3">
      <c r="A2252" t="s">
        <v>23</v>
      </c>
      <c r="B2252" t="s">
        <v>24</v>
      </c>
      <c r="C2252" t="s">
        <v>125</v>
      </c>
      <c r="D2252" t="s">
        <v>126</v>
      </c>
      <c r="E2252">
        <v>2018</v>
      </c>
      <c r="F2252" s="1">
        <v>7</v>
      </c>
      <c r="G2252">
        <v>2020</v>
      </c>
      <c r="H2252">
        <f>AVERAGEIFS(Table1[value],Table1[IndicatorCode],Table1[[#This Row],[IndicatorCode]])</f>
        <v>7.6894248608534319</v>
      </c>
      <c r="I2252" cm="1">
        <f t="array" ref="I2252">_xlfn.STDEV.P(IF(Table1[IndicatorCode]=Table1[[#This Row],[IndicatorCode]],Table1[value]))</f>
        <v>5.2319501044600996</v>
      </c>
      <c r="J2252">
        <f>(Table1[[#This Row],[value]] - Table1[[#This Row],[mean]]) / Table1[[#This Row],[std_dev]]</f>
        <v>-0.13177206339672762</v>
      </c>
      <c r="K2252">
        <f>AVERAGEIF(Table1[CountryCode],Table1[[#This Row],[CountryCode]],Table1[z-score])</f>
        <v>-0.44941710005999458</v>
      </c>
      <c r="L2252" t="e">
        <f>VLOOKUP(Table1[[#This Row],[CountryCode]],[1]!Table1[#Data],4,FALSE)</f>
        <v>#REF!</v>
      </c>
    </row>
    <row r="2253" spans="1:12" hidden="1" x14ac:dyDescent="0.3">
      <c r="A2253" t="s">
        <v>23</v>
      </c>
      <c r="B2253" t="s">
        <v>24</v>
      </c>
      <c r="C2253" t="s">
        <v>125</v>
      </c>
      <c r="D2253" t="s">
        <v>126</v>
      </c>
      <c r="E2253">
        <v>2019</v>
      </c>
      <c r="F2253" s="1">
        <v>7</v>
      </c>
      <c r="G2253">
        <v>2020</v>
      </c>
      <c r="H2253">
        <f>AVERAGEIFS(Table1[value],Table1[IndicatorCode],Table1[[#This Row],[IndicatorCode]])</f>
        <v>7.6894248608534319</v>
      </c>
      <c r="I2253" cm="1">
        <f t="array" ref="I2253">_xlfn.STDEV.P(IF(Table1[IndicatorCode]=Table1[[#This Row],[IndicatorCode]],Table1[value]))</f>
        <v>5.2319501044600996</v>
      </c>
      <c r="J2253">
        <f>(Table1[[#This Row],[value]] - Table1[[#This Row],[mean]]) / Table1[[#This Row],[std_dev]]</f>
        <v>-0.13177206339672762</v>
      </c>
      <c r="K2253">
        <f>AVERAGEIF(Table1[CountryCode],Table1[[#This Row],[CountryCode]],Table1[z-score])</f>
        <v>-0.44941710005999458</v>
      </c>
      <c r="L2253" t="e">
        <f>VLOOKUP(Table1[[#This Row],[CountryCode]],[1]!Table1[#Data],4,FALSE)</f>
        <v>#REF!</v>
      </c>
    </row>
    <row r="2254" spans="1:12" x14ac:dyDescent="0.3">
      <c r="A2254" t="s">
        <v>23</v>
      </c>
      <c r="B2254" t="s">
        <v>24</v>
      </c>
      <c r="C2254" t="s">
        <v>125</v>
      </c>
      <c r="D2254" t="s">
        <v>126</v>
      </c>
      <c r="E2254">
        <v>2020</v>
      </c>
      <c r="F2254" s="1">
        <v>7</v>
      </c>
      <c r="G2254">
        <v>2020</v>
      </c>
      <c r="H2254">
        <f>AVERAGEIFS(Table1[value],Table1[IndicatorCode],Table1[[#This Row],[IndicatorCode]])</f>
        <v>7.6894248608534319</v>
      </c>
      <c r="I2254" cm="1">
        <f t="array" ref="I2254">_xlfn.STDEV.P(IF(Table1[IndicatorCode]=Table1[[#This Row],[IndicatorCode]],Table1[value]))</f>
        <v>5.2319501044600996</v>
      </c>
      <c r="J2254">
        <f>(Table1[[#This Row],[value]] - Table1[[#This Row],[mean]]) / Table1[[#This Row],[std_dev]]</f>
        <v>-0.13177206339672762</v>
      </c>
      <c r="K2254">
        <f>AVERAGEIF(Table1[CountryCode],Table1[[#This Row],[CountryCode]],Table1[z-score])</f>
        <v>-0.44941710005999458</v>
      </c>
    </row>
    <row r="2255" spans="1:12" hidden="1" x14ac:dyDescent="0.3">
      <c r="A2255" t="s">
        <v>23</v>
      </c>
      <c r="B2255" t="s">
        <v>24</v>
      </c>
      <c r="C2255" t="s">
        <v>125</v>
      </c>
      <c r="D2255" t="s">
        <v>126</v>
      </c>
      <c r="E2255">
        <v>2021</v>
      </c>
      <c r="F2255" s="1">
        <v>7</v>
      </c>
      <c r="G2255">
        <v>2020</v>
      </c>
      <c r="H2255">
        <f>AVERAGEIFS(Table1[value],Table1[IndicatorCode],Table1[[#This Row],[IndicatorCode]])</f>
        <v>7.6894248608534319</v>
      </c>
      <c r="I2255" cm="1">
        <f t="array" ref="I2255">_xlfn.STDEV.P(IF(Table1[IndicatorCode]=Table1[[#This Row],[IndicatorCode]],Table1[value]))</f>
        <v>5.2319501044600996</v>
      </c>
      <c r="J2255">
        <f>(Table1[[#This Row],[value]] - Table1[[#This Row],[mean]]) / Table1[[#This Row],[std_dev]]</f>
        <v>-0.13177206339672762</v>
      </c>
      <c r="K2255">
        <f>AVERAGEIF(Table1[CountryCode],Table1[[#This Row],[CountryCode]],Table1[z-score])</f>
        <v>-0.44941710005999458</v>
      </c>
      <c r="L2255" t="e">
        <f>VLOOKUP(Table1[[#This Row],[CountryCode]],[1]!Table1[#Data],4,FALSE)</f>
        <v>#REF!</v>
      </c>
    </row>
    <row r="2256" spans="1:12" hidden="1" x14ac:dyDescent="0.3">
      <c r="A2256" t="s">
        <v>23</v>
      </c>
      <c r="B2256" t="s">
        <v>24</v>
      </c>
      <c r="C2256" t="s">
        <v>125</v>
      </c>
      <c r="D2256" t="s">
        <v>126</v>
      </c>
      <c r="E2256">
        <v>2022</v>
      </c>
      <c r="F2256" s="1">
        <v>7</v>
      </c>
      <c r="G2256">
        <v>1970</v>
      </c>
      <c r="H2256">
        <f>AVERAGEIFS(Table1[value],Table1[IndicatorCode],Table1[[#This Row],[IndicatorCode]])</f>
        <v>7.6894248608534319</v>
      </c>
      <c r="I2256" cm="1">
        <f t="array" ref="I2256">_xlfn.STDEV.P(IF(Table1[IndicatorCode]=Table1[[#This Row],[IndicatorCode]],Table1[value]))</f>
        <v>5.2319501044600996</v>
      </c>
      <c r="J2256">
        <f>(Table1[[#This Row],[value]] - Table1[[#This Row],[mean]]) / Table1[[#This Row],[std_dev]]</f>
        <v>-0.13177206339672762</v>
      </c>
      <c r="K2256">
        <f>AVERAGEIF(Table1[CountryCode],Table1[[#This Row],[CountryCode]],Table1[z-score])</f>
        <v>-0.44941710005999458</v>
      </c>
      <c r="L2256" t="e">
        <f>VLOOKUP(Table1[[#This Row],[CountryCode]],[1]!Table1[#Data],4,FALSE)</f>
        <v>#REF!</v>
      </c>
    </row>
    <row r="2257" spans="1:12" hidden="1" x14ac:dyDescent="0.3">
      <c r="A2257" t="s">
        <v>23</v>
      </c>
      <c r="B2257" t="s">
        <v>24</v>
      </c>
      <c r="C2257" t="s">
        <v>125</v>
      </c>
      <c r="D2257" t="s">
        <v>126</v>
      </c>
      <c r="E2257">
        <v>2023</v>
      </c>
      <c r="F2257" s="1">
        <v>7</v>
      </c>
      <c r="G2257">
        <v>1970</v>
      </c>
      <c r="H2257">
        <f>AVERAGEIFS(Table1[value],Table1[IndicatorCode],Table1[[#This Row],[IndicatorCode]])</f>
        <v>7.6894248608534319</v>
      </c>
      <c r="I2257" cm="1">
        <f t="array" ref="I2257">_xlfn.STDEV.P(IF(Table1[IndicatorCode]=Table1[[#This Row],[IndicatorCode]],Table1[value]))</f>
        <v>5.2319501044600996</v>
      </c>
      <c r="J2257">
        <f>(Table1[[#This Row],[value]] - Table1[[#This Row],[mean]]) / Table1[[#This Row],[std_dev]]</f>
        <v>-0.13177206339672762</v>
      </c>
      <c r="K2257">
        <f>AVERAGEIF(Table1[CountryCode],Table1[[#This Row],[CountryCode]],Table1[z-score])</f>
        <v>-0.44941710005999458</v>
      </c>
      <c r="L2257" t="e">
        <f>VLOOKUP(Table1[[#This Row],[CountryCode]],[1]!Table1[#Data],4,FALSE)</f>
        <v>#REF!</v>
      </c>
    </row>
    <row r="2258" spans="1:12" hidden="1" x14ac:dyDescent="0.3">
      <c r="A2258" t="s">
        <v>23</v>
      </c>
      <c r="B2258" t="s">
        <v>24</v>
      </c>
      <c r="C2258" t="s">
        <v>125</v>
      </c>
      <c r="D2258" t="s">
        <v>126</v>
      </c>
      <c r="E2258">
        <v>2024</v>
      </c>
      <c r="F2258" s="1">
        <v>6</v>
      </c>
      <c r="G2258">
        <v>1970</v>
      </c>
      <c r="H2258">
        <f>AVERAGEIFS(Table1[value],Table1[IndicatorCode],Table1[[#This Row],[IndicatorCode]])</f>
        <v>7.6894248608534319</v>
      </c>
      <c r="I2258" cm="1">
        <f t="array" ref="I2258">_xlfn.STDEV.P(IF(Table1[IndicatorCode]=Table1[[#This Row],[IndicatorCode]],Table1[value]))</f>
        <v>5.2319501044600996</v>
      </c>
      <c r="J2258">
        <f>(Table1[[#This Row],[value]] - Table1[[#This Row],[mean]]) / Table1[[#This Row],[std_dev]]</f>
        <v>-0.32290538463148605</v>
      </c>
      <c r="K2258">
        <f>AVERAGEIF(Table1[CountryCode],Table1[[#This Row],[CountryCode]],Table1[z-score])</f>
        <v>-0.44941710005999458</v>
      </c>
      <c r="L2258" t="e">
        <f>VLOOKUP(Table1[[#This Row],[CountryCode]],[1]!Table1[#Data],4,FALSE)</f>
        <v>#REF!</v>
      </c>
    </row>
    <row r="2259" spans="1:12" hidden="1" x14ac:dyDescent="0.3">
      <c r="A2259" t="s">
        <v>25</v>
      </c>
      <c r="B2259" t="s">
        <v>26</v>
      </c>
      <c r="C2259" t="s">
        <v>125</v>
      </c>
      <c r="D2259" t="s">
        <v>126</v>
      </c>
      <c r="E2259">
        <v>1970</v>
      </c>
      <c r="F2259" s="1">
        <v>7</v>
      </c>
      <c r="G2259">
        <v>1970</v>
      </c>
      <c r="H2259">
        <f>AVERAGEIFS(Table1[value],Table1[IndicatorCode],Table1[[#This Row],[IndicatorCode]])</f>
        <v>7.6894248608534319</v>
      </c>
      <c r="I2259" cm="1">
        <f t="array" ref="I2259">_xlfn.STDEV.P(IF(Table1[IndicatorCode]=Table1[[#This Row],[IndicatorCode]],Table1[value]))</f>
        <v>5.2319501044600996</v>
      </c>
      <c r="J2259">
        <f>(Table1[[#This Row],[value]] - Table1[[#This Row],[mean]]) / Table1[[#This Row],[std_dev]]</f>
        <v>-0.13177206339672762</v>
      </c>
      <c r="K2259">
        <f>AVERAGEIF(Table1[CountryCode],Table1[[#This Row],[CountryCode]],Table1[z-score])</f>
        <v>-0.77202666663319364</v>
      </c>
      <c r="L2259" t="e">
        <f>VLOOKUP(Table1[[#This Row],[CountryCode]],[1]!Table1[#Data],4,FALSE)</f>
        <v>#REF!</v>
      </c>
    </row>
    <row r="2260" spans="1:12" hidden="1" x14ac:dyDescent="0.3">
      <c r="A2260" t="s">
        <v>25</v>
      </c>
      <c r="B2260" t="s">
        <v>26</v>
      </c>
      <c r="C2260" t="s">
        <v>125</v>
      </c>
      <c r="D2260" t="s">
        <v>126</v>
      </c>
      <c r="E2260">
        <v>1971</v>
      </c>
      <c r="F2260" s="1">
        <v>7</v>
      </c>
      <c r="G2260">
        <v>1970</v>
      </c>
      <c r="H2260">
        <f>AVERAGEIFS(Table1[value],Table1[IndicatorCode],Table1[[#This Row],[IndicatorCode]])</f>
        <v>7.6894248608534319</v>
      </c>
      <c r="I2260" cm="1">
        <f t="array" ref="I2260">_xlfn.STDEV.P(IF(Table1[IndicatorCode]=Table1[[#This Row],[IndicatorCode]],Table1[value]))</f>
        <v>5.2319501044600996</v>
      </c>
      <c r="J2260">
        <f>(Table1[[#This Row],[value]] - Table1[[#This Row],[mean]]) / Table1[[#This Row],[std_dev]]</f>
        <v>-0.13177206339672762</v>
      </c>
      <c r="K2260">
        <f>AVERAGEIF(Table1[CountryCode],Table1[[#This Row],[CountryCode]],Table1[z-score])</f>
        <v>-0.77202666663319364</v>
      </c>
      <c r="L2260" t="e">
        <f>VLOOKUP(Table1[[#This Row],[CountryCode]],[1]!Table1[#Data],4,FALSE)</f>
        <v>#REF!</v>
      </c>
    </row>
    <row r="2261" spans="1:12" hidden="1" x14ac:dyDescent="0.3">
      <c r="A2261" t="s">
        <v>25</v>
      </c>
      <c r="B2261" t="s">
        <v>26</v>
      </c>
      <c r="C2261" t="s">
        <v>125</v>
      </c>
      <c r="D2261" t="s">
        <v>126</v>
      </c>
      <c r="E2261">
        <v>1972</v>
      </c>
      <c r="F2261" s="1">
        <v>7</v>
      </c>
      <c r="G2261">
        <v>1970</v>
      </c>
      <c r="H2261">
        <f>AVERAGEIFS(Table1[value],Table1[IndicatorCode],Table1[[#This Row],[IndicatorCode]])</f>
        <v>7.6894248608534319</v>
      </c>
      <c r="I2261" cm="1">
        <f t="array" ref="I2261">_xlfn.STDEV.P(IF(Table1[IndicatorCode]=Table1[[#This Row],[IndicatorCode]],Table1[value]))</f>
        <v>5.2319501044600996</v>
      </c>
      <c r="J2261">
        <f>(Table1[[#This Row],[value]] - Table1[[#This Row],[mean]]) / Table1[[#This Row],[std_dev]]</f>
        <v>-0.13177206339672762</v>
      </c>
      <c r="K2261">
        <f>AVERAGEIF(Table1[CountryCode],Table1[[#This Row],[CountryCode]],Table1[z-score])</f>
        <v>-0.77202666663319364</v>
      </c>
      <c r="L2261" t="e">
        <f>VLOOKUP(Table1[[#This Row],[CountryCode]],[1]!Table1[#Data],4,FALSE)</f>
        <v>#REF!</v>
      </c>
    </row>
    <row r="2262" spans="1:12" hidden="1" x14ac:dyDescent="0.3">
      <c r="A2262" t="s">
        <v>25</v>
      </c>
      <c r="B2262" t="s">
        <v>26</v>
      </c>
      <c r="C2262" t="s">
        <v>125</v>
      </c>
      <c r="D2262" t="s">
        <v>126</v>
      </c>
      <c r="E2262">
        <v>1973</v>
      </c>
      <c r="F2262" s="1">
        <v>8</v>
      </c>
      <c r="G2262">
        <v>1970</v>
      </c>
      <c r="H2262">
        <f>AVERAGEIFS(Table1[value],Table1[IndicatorCode],Table1[[#This Row],[IndicatorCode]])</f>
        <v>7.6894248608534319</v>
      </c>
      <c r="I2262" cm="1">
        <f t="array" ref="I2262">_xlfn.STDEV.P(IF(Table1[IndicatorCode]=Table1[[#This Row],[IndicatorCode]],Table1[value]))</f>
        <v>5.2319501044600996</v>
      </c>
      <c r="J2262">
        <f>(Table1[[#This Row],[value]] - Table1[[#This Row],[mean]]) / Table1[[#This Row],[std_dev]]</f>
        <v>5.9361257838030791E-2</v>
      </c>
      <c r="K2262">
        <f>AVERAGEIF(Table1[CountryCode],Table1[[#This Row],[CountryCode]],Table1[z-score])</f>
        <v>-0.77202666663319364</v>
      </c>
      <c r="L2262" t="e">
        <f>VLOOKUP(Table1[[#This Row],[CountryCode]],[1]!Table1[#Data],4,FALSE)</f>
        <v>#REF!</v>
      </c>
    </row>
    <row r="2263" spans="1:12" hidden="1" x14ac:dyDescent="0.3">
      <c r="A2263" t="s">
        <v>25</v>
      </c>
      <c r="B2263" t="s">
        <v>26</v>
      </c>
      <c r="C2263" t="s">
        <v>125</v>
      </c>
      <c r="D2263" t="s">
        <v>126</v>
      </c>
      <c r="E2263">
        <v>1974</v>
      </c>
      <c r="F2263" s="1">
        <v>8</v>
      </c>
      <c r="G2263">
        <v>1970</v>
      </c>
      <c r="H2263">
        <f>AVERAGEIFS(Table1[value],Table1[IndicatorCode],Table1[[#This Row],[IndicatorCode]])</f>
        <v>7.6894248608534319</v>
      </c>
      <c r="I2263" cm="1">
        <f t="array" ref="I2263">_xlfn.STDEV.P(IF(Table1[IndicatorCode]=Table1[[#This Row],[IndicatorCode]],Table1[value]))</f>
        <v>5.2319501044600996</v>
      </c>
      <c r="J2263">
        <f>(Table1[[#This Row],[value]] - Table1[[#This Row],[mean]]) / Table1[[#This Row],[std_dev]]</f>
        <v>5.9361257838030791E-2</v>
      </c>
      <c r="K2263">
        <f>AVERAGEIF(Table1[CountryCode],Table1[[#This Row],[CountryCode]],Table1[z-score])</f>
        <v>-0.77202666663319364</v>
      </c>
      <c r="L2263" t="e">
        <f>VLOOKUP(Table1[[#This Row],[CountryCode]],[1]!Table1[#Data],4,FALSE)</f>
        <v>#REF!</v>
      </c>
    </row>
    <row r="2264" spans="1:12" hidden="1" x14ac:dyDescent="0.3">
      <c r="A2264" t="s">
        <v>25</v>
      </c>
      <c r="B2264" t="s">
        <v>26</v>
      </c>
      <c r="C2264" t="s">
        <v>125</v>
      </c>
      <c r="D2264" t="s">
        <v>126</v>
      </c>
      <c r="E2264">
        <v>1975</v>
      </c>
      <c r="F2264" s="1">
        <v>9</v>
      </c>
      <c r="G2264">
        <v>1970</v>
      </c>
      <c r="H2264">
        <f>AVERAGEIFS(Table1[value],Table1[IndicatorCode],Table1[[#This Row],[IndicatorCode]])</f>
        <v>7.6894248608534319</v>
      </c>
      <c r="I2264" cm="1">
        <f t="array" ref="I2264">_xlfn.STDEV.P(IF(Table1[IndicatorCode]=Table1[[#This Row],[IndicatorCode]],Table1[value]))</f>
        <v>5.2319501044600996</v>
      </c>
      <c r="J2264">
        <f>(Table1[[#This Row],[value]] - Table1[[#This Row],[mean]]) / Table1[[#This Row],[std_dev]]</f>
        <v>0.25049457907278921</v>
      </c>
      <c r="K2264">
        <f>AVERAGEIF(Table1[CountryCode],Table1[[#This Row],[CountryCode]],Table1[z-score])</f>
        <v>-0.77202666663319364</v>
      </c>
      <c r="L2264" t="e">
        <f>VLOOKUP(Table1[[#This Row],[CountryCode]],[1]!Table1[#Data],4,FALSE)</f>
        <v>#REF!</v>
      </c>
    </row>
    <row r="2265" spans="1:12" hidden="1" x14ac:dyDescent="0.3">
      <c r="A2265" t="s">
        <v>25</v>
      </c>
      <c r="B2265" t="s">
        <v>26</v>
      </c>
      <c r="C2265" t="s">
        <v>125</v>
      </c>
      <c r="D2265" t="s">
        <v>126</v>
      </c>
      <c r="E2265">
        <v>1976</v>
      </c>
      <c r="F2265" s="1">
        <v>9</v>
      </c>
      <c r="G2265">
        <v>1970</v>
      </c>
      <c r="H2265">
        <f>AVERAGEIFS(Table1[value],Table1[IndicatorCode],Table1[[#This Row],[IndicatorCode]])</f>
        <v>7.6894248608534319</v>
      </c>
      <c r="I2265" cm="1">
        <f t="array" ref="I2265">_xlfn.STDEV.P(IF(Table1[IndicatorCode]=Table1[[#This Row],[IndicatorCode]],Table1[value]))</f>
        <v>5.2319501044600996</v>
      </c>
      <c r="J2265">
        <f>(Table1[[#This Row],[value]] - Table1[[#This Row],[mean]]) / Table1[[#This Row],[std_dev]]</f>
        <v>0.25049457907278921</v>
      </c>
      <c r="K2265">
        <f>AVERAGEIF(Table1[CountryCode],Table1[[#This Row],[CountryCode]],Table1[z-score])</f>
        <v>-0.77202666663319364</v>
      </c>
      <c r="L2265" t="e">
        <f>VLOOKUP(Table1[[#This Row],[CountryCode]],[1]!Table1[#Data],4,FALSE)</f>
        <v>#REF!</v>
      </c>
    </row>
    <row r="2266" spans="1:12" hidden="1" x14ac:dyDescent="0.3">
      <c r="A2266" t="s">
        <v>25</v>
      </c>
      <c r="B2266" t="s">
        <v>26</v>
      </c>
      <c r="C2266" t="s">
        <v>125</v>
      </c>
      <c r="D2266" t="s">
        <v>126</v>
      </c>
      <c r="E2266">
        <v>1977</v>
      </c>
      <c r="F2266" s="1">
        <v>9</v>
      </c>
      <c r="G2266">
        <v>1980</v>
      </c>
      <c r="H2266">
        <f>AVERAGEIFS(Table1[value],Table1[IndicatorCode],Table1[[#This Row],[IndicatorCode]])</f>
        <v>7.6894248608534319</v>
      </c>
      <c r="I2266" cm="1">
        <f t="array" ref="I2266">_xlfn.STDEV.P(IF(Table1[IndicatorCode]=Table1[[#This Row],[IndicatorCode]],Table1[value]))</f>
        <v>5.2319501044600996</v>
      </c>
      <c r="J2266">
        <f>(Table1[[#This Row],[value]] - Table1[[#This Row],[mean]]) / Table1[[#This Row],[std_dev]]</f>
        <v>0.25049457907278921</v>
      </c>
      <c r="K2266">
        <f>AVERAGEIF(Table1[CountryCode],Table1[[#This Row],[CountryCode]],Table1[z-score])</f>
        <v>-0.77202666663319364</v>
      </c>
      <c r="L2266" t="e">
        <f>VLOOKUP(Table1[[#This Row],[CountryCode]],[1]!Table1[#Data],4,FALSE)</f>
        <v>#REF!</v>
      </c>
    </row>
    <row r="2267" spans="1:12" hidden="1" x14ac:dyDescent="0.3">
      <c r="A2267" t="s">
        <v>25</v>
      </c>
      <c r="B2267" t="s">
        <v>26</v>
      </c>
      <c r="C2267" t="s">
        <v>125</v>
      </c>
      <c r="D2267" t="s">
        <v>126</v>
      </c>
      <c r="E2267">
        <v>1978</v>
      </c>
      <c r="F2267" s="1">
        <v>10</v>
      </c>
      <c r="G2267">
        <v>1980</v>
      </c>
      <c r="H2267">
        <f>AVERAGEIFS(Table1[value],Table1[IndicatorCode],Table1[[#This Row],[IndicatorCode]])</f>
        <v>7.6894248608534319</v>
      </c>
      <c r="I2267" cm="1">
        <f t="array" ref="I2267">_xlfn.STDEV.P(IF(Table1[IndicatorCode]=Table1[[#This Row],[IndicatorCode]],Table1[value]))</f>
        <v>5.2319501044600996</v>
      </c>
      <c r="J2267">
        <f>(Table1[[#This Row],[value]] - Table1[[#This Row],[mean]]) / Table1[[#This Row],[std_dev]]</f>
        <v>0.44162790030754762</v>
      </c>
      <c r="K2267">
        <f>AVERAGEIF(Table1[CountryCode],Table1[[#This Row],[CountryCode]],Table1[z-score])</f>
        <v>-0.77202666663319364</v>
      </c>
      <c r="L2267" t="e">
        <f>VLOOKUP(Table1[[#This Row],[CountryCode]],[1]!Table1[#Data],4,FALSE)</f>
        <v>#REF!</v>
      </c>
    </row>
    <row r="2268" spans="1:12" hidden="1" x14ac:dyDescent="0.3">
      <c r="A2268" t="s">
        <v>25</v>
      </c>
      <c r="B2268" t="s">
        <v>26</v>
      </c>
      <c r="C2268" t="s">
        <v>125</v>
      </c>
      <c r="D2268" t="s">
        <v>126</v>
      </c>
      <c r="E2268">
        <v>1979</v>
      </c>
      <c r="F2268" s="1">
        <v>10</v>
      </c>
      <c r="G2268">
        <v>1980</v>
      </c>
      <c r="H2268">
        <f>AVERAGEIFS(Table1[value],Table1[IndicatorCode],Table1[[#This Row],[IndicatorCode]])</f>
        <v>7.6894248608534319</v>
      </c>
      <c r="I2268" cm="1">
        <f t="array" ref="I2268">_xlfn.STDEV.P(IF(Table1[IndicatorCode]=Table1[[#This Row],[IndicatorCode]],Table1[value]))</f>
        <v>5.2319501044600996</v>
      </c>
      <c r="J2268">
        <f>(Table1[[#This Row],[value]] - Table1[[#This Row],[mean]]) / Table1[[#This Row],[std_dev]]</f>
        <v>0.44162790030754762</v>
      </c>
      <c r="K2268">
        <f>AVERAGEIF(Table1[CountryCode],Table1[[#This Row],[CountryCode]],Table1[z-score])</f>
        <v>-0.77202666663319364</v>
      </c>
      <c r="L2268" t="e">
        <f>VLOOKUP(Table1[[#This Row],[CountryCode]],[1]!Table1[#Data],4,FALSE)</f>
        <v>#REF!</v>
      </c>
    </row>
    <row r="2269" spans="1:12" hidden="1" x14ac:dyDescent="0.3">
      <c r="A2269" t="s">
        <v>25</v>
      </c>
      <c r="B2269" t="s">
        <v>26</v>
      </c>
      <c r="C2269" t="s">
        <v>125</v>
      </c>
      <c r="D2269" t="s">
        <v>126</v>
      </c>
      <c r="E2269">
        <v>1980</v>
      </c>
      <c r="F2269" s="1">
        <v>10</v>
      </c>
      <c r="G2269">
        <v>1980</v>
      </c>
      <c r="H2269">
        <f>AVERAGEIFS(Table1[value],Table1[IndicatorCode],Table1[[#This Row],[IndicatorCode]])</f>
        <v>7.6894248608534319</v>
      </c>
      <c r="I2269" cm="1">
        <f t="array" ref="I2269">_xlfn.STDEV.P(IF(Table1[IndicatorCode]=Table1[[#This Row],[IndicatorCode]],Table1[value]))</f>
        <v>5.2319501044600996</v>
      </c>
      <c r="J2269">
        <f>(Table1[[#This Row],[value]] - Table1[[#This Row],[mean]]) / Table1[[#This Row],[std_dev]]</f>
        <v>0.44162790030754762</v>
      </c>
      <c r="K2269">
        <f>AVERAGEIF(Table1[CountryCode],Table1[[#This Row],[CountryCode]],Table1[z-score])</f>
        <v>-0.77202666663319364</v>
      </c>
      <c r="L2269" t="e">
        <f>VLOOKUP(Table1[[#This Row],[CountryCode]],[1]!Table1[#Data],4,FALSE)</f>
        <v>#REF!</v>
      </c>
    </row>
    <row r="2270" spans="1:12" hidden="1" x14ac:dyDescent="0.3">
      <c r="A2270" t="s">
        <v>25</v>
      </c>
      <c r="B2270" t="s">
        <v>26</v>
      </c>
      <c r="C2270" t="s">
        <v>125</v>
      </c>
      <c r="D2270" t="s">
        <v>126</v>
      </c>
      <c r="E2270">
        <v>1981</v>
      </c>
      <c r="F2270" s="1">
        <v>10</v>
      </c>
      <c r="G2270">
        <v>1980</v>
      </c>
      <c r="H2270">
        <f>AVERAGEIFS(Table1[value],Table1[IndicatorCode],Table1[[#This Row],[IndicatorCode]])</f>
        <v>7.6894248608534319</v>
      </c>
      <c r="I2270" cm="1">
        <f t="array" ref="I2270">_xlfn.STDEV.P(IF(Table1[IndicatorCode]=Table1[[#This Row],[IndicatorCode]],Table1[value]))</f>
        <v>5.2319501044600996</v>
      </c>
      <c r="J2270">
        <f>(Table1[[#This Row],[value]] - Table1[[#This Row],[mean]]) / Table1[[#This Row],[std_dev]]</f>
        <v>0.44162790030754762</v>
      </c>
      <c r="K2270">
        <f>AVERAGEIF(Table1[CountryCode],Table1[[#This Row],[CountryCode]],Table1[z-score])</f>
        <v>-0.77202666663319364</v>
      </c>
      <c r="L2270" t="e">
        <f>VLOOKUP(Table1[[#This Row],[CountryCode]],[1]!Table1[#Data],4,FALSE)</f>
        <v>#REF!</v>
      </c>
    </row>
    <row r="2271" spans="1:12" hidden="1" x14ac:dyDescent="0.3">
      <c r="A2271" t="s">
        <v>25</v>
      </c>
      <c r="B2271" t="s">
        <v>26</v>
      </c>
      <c r="C2271" t="s">
        <v>125</v>
      </c>
      <c r="D2271" t="s">
        <v>126</v>
      </c>
      <c r="E2271">
        <v>1982</v>
      </c>
      <c r="F2271" s="1">
        <v>10</v>
      </c>
      <c r="G2271">
        <v>1980</v>
      </c>
      <c r="H2271">
        <f>AVERAGEIFS(Table1[value],Table1[IndicatorCode],Table1[[#This Row],[IndicatorCode]])</f>
        <v>7.6894248608534319</v>
      </c>
      <c r="I2271" cm="1">
        <f t="array" ref="I2271">_xlfn.STDEV.P(IF(Table1[IndicatorCode]=Table1[[#This Row],[IndicatorCode]],Table1[value]))</f>
        <v>5.2319501044600996</v>
      </c>
      <c r="J2271">
        <f>(Table1[[#This Row],[value]] - Table1[[#This Row],[mean]]) / Table1[[#This Row],[std_dev]]</f>
        <v>0.44162790030754762</v>
      </c>
      <c r="K2271">
        <f>AVERAGEIF(Table1[CountryCode],Table1[[#This Row],[CountryCode]],Table1[z-score])</f>
        <v>-0.77202666663319364</v>
      </c>
      <c r="L2271" t="e">
        <f>VLOOKUP(Table1[[#This Row],[CountryCode]],[1]!Table1[#Data],4,FALSE)</f>
        <v>#REF!</v>
      </c>
    </row>
    <row r="2272" spans="1:12" hidden="1" x14ac:dyDescent="0.3">
      <c r="A2272" t="s">
        <v>25</v>
      </c>
      <c r="B2272" t="s">
        <v>26</v>
      </c>
      <c r="C2272" t="s">
        <v>125</v>
      </c>
      <c r="D2272" t="s">
        <v>126</v>
      </c>
      <c r="E2272">
        <v>1983</v>
      </c>
      <c r="F2272" s="1">
        <v>10</v>
      </c>
      <c r="G2272">
        <v>1980</v>
      </c>
      <c r="H2272">
        <f>AVERAGEIFS(Table1[value],Table1[IndicatorCode],Table1[[#This Row],[IndicatorCode]])</f>
        <v>7.6894248608534319</v>
      </c>
      <c r="I2272" cm="1">
        <f t="array" ref="I2272">_xlfn.STDEV.P(IF(Table1[IndicatorCode]=Table1[[#This Row],[IndicatorCode]],Table1[value]))</f>
        <v>5.2319501044600996</v>
      </c>
      <c r="J2272">
        <f>(Table1[[#This Row],[value]] - Table1[[#This Row],[mean]]) / Table1[[#This Row],[std_dev]]</f>
        <v>0.44162790030754762</v>
      </c>
      <c r="K2272">
        <f>AVERAGEIF(Table1[CountryCode],Table1[[#This Row],[CountryCode]],Table1[z-score])</f>
        <v>-0.77202666663319364</v>
      </c>
      <c r="L2272" t="e">
        <f>VLOOKUP(Table1[[#This Row],[CountryCode]],[1]!Table1[#Data],4,FALSE)</f>
        <v>#REF!</v>
      </c>
    </row>
    <row r="2273" spans="1:12" hidden="1" x14ac:dyDescent="0.3">
      <c r="A2273" t="s">
        <v>25</v>
      </c>
      <c r="B2273" t="s">
        <v>26</v>
      </c>
      <c r="C2273" t="s">
        <v>125</v>
      </c>
      <c r="D2273" t="s">
        <v>126</v>
      </c>
      <c r="E2273">
        <v>1984</v>
      </c>
      <c r="F2273" s="1">
        <v>10</v>
      </c>
      <c r="G2273">
        <v>1980</v>
      </c>
      <c r="H2273">
        <f>AVERAGEIFS(Table1[value],Table1[IndicatorCode],Table1[[#This Row],[IndicatorCode]])</f>
        <v>7.6894248608534319</v>
      </c>
      <c r="I2273" cm="1">
        <f t="array" ref="I2273">_xlfn.STDEV.P(IF(Table1[IndicatorCode]=Table1[[#This Row],[IndicatorCode]],Table1[value]))</f>
        <v>5.2319501044600996</v>
      </c>
      <c r="J2273">
        <f>(Table1[[#This Row],[value]] - Table1[[#This Row],[mean]]) / Table1[[#This Row],[std_dev]]</f>
        <v>0.44162790030754762</v>
      </c>
      <c r="K2273">
        <f>AVERAGEIF(Table1[CountryCode],Table1[[#This Row],[CountryCode]],Table1[z-score])</f>
        <v>-0.77202666663319364</v>
      </c>
      <c r="L2273" t="e">
        <f>VLOOKUP(Table1[[#This Row],[CountryCode]],[1]!Table1[#Data],4,FALSE)</f>
        <v>#REF!</v>
      </c>
    </row>
    <row r="2274" spans="1:12" hidden="1" x14ac:dyDescent="0.3">
      <c r="A2274" t="s">
        <v>25</v>
      </c>
      <c r="B2274" t="s">
        <v>26</v>
      </c>
      <c r="C2274" t="s">
        <v>125</v>
      </c>
      <c r="D2274" t="s">
        <v>126</v>
      </c>
      <c r="E2274">
        <v>1985</v>
      </c>
      <c r="F2274" s="1">
        <v>10</v>
      </c>
      <c r="G2274">
        <v>1980</v>
      </c>
      <c r="H2274">
        <f>AVERAGEIFS(Table1[value],Table1[IndicatorCode],Table1[[#This Row],[IndicatorCode]])</f>
        <v>7.6894248608534319</v>
      </c>
      <c r="I2274" cm="1">
        <f t="array" ref="I2274">_xlfn.STDEV.P(IF(Table1[IndicatorCode]=Table1[[#This Row],[IndicatorCode]],Table1[value]))</f>
        <v>5.2319501044600996</v>
      </c>
      <c r="J2274">
        <f>(Table1[[#This Row],[value]] - Table1[[#This Row],[mean]]) / Table1[[#This Row],[std_dev]]</f>
        <v>0.44162790030754762</v>
      </c>
      <c r="K2274">
        <f>AVERAGEIF(Table1[CountryCode],Table1[[#This Row],[CountryCode]],Table1[z-score])</f>
        <v>-0.77202666663319364</v>
      </c>
      <c r="L2274" t="e">
        <f>VLOOKUP(Table1[[#This Row],[CountryCode]],[1]!Table1[#Data],4,FALSE)</f>
        <v>#REF!</v>
      </c>
    </row>
    <row r="2275" spans="1:12" hidden="1" x14ac:dyDescent="0.3">
      <c r="A2275" t="s">
        <v>25</v>
      </c>
      <c r="B2275" t="s">
        <v>26</v>
      </c>
      <c r="C2275" t="s">
        <v>125</v>
      </c>
      <c r="D2275" t="s">
        <v>126</v>
      </c>
      <c r="E2275">
        <v>1986</v>
      </c>
      <c r="F2275" s="1">
        <v>10</v>
      </c>
      <c r="G2275">
        <v>1980</v>
      </c>
      <c r="H2275">
        <f>AVERAGEIFS(Table1[value],Table1[IndicatorCode],Table1[[#This Row],[IndicatorCode]])</f>
        <v>7.6894248608534319</v>
      </c>
      <c r="I2275" cm="1">
        <f t="array" ref="I2275">_xlfn.STDEV.P(IF(Table1[IndicatorCode]=Table1[[#This Row],[IndicatorCode]],Table1[value]))</f>
        <v>5.2319501044600996</v>
      </c>
      <c r="J2275">
        <f>(Table1[[#This Row],[value]] - Table1[[#This Row],[mean]]) / Table1[[#This Row],[std_dev]]</f>
        <v>0.44162790030754762</v>
      </c>
      <c r="K2275">
        <f>AVERAGEIF(Table1[CountryCode],Table1[[#This Row],[CountryCode]],Table1[z-score])</f>
        <v>-0.77202666663319364</v>
      </c>
      <c r="L2275" t="e">
        <f>VLOOKUP(Table1[[#This Row],[CountryCode]],[1]!Table1[#Data],4,FALSE)</f>
        <v>#REF!</v>
      </c>
    </row>
    <row r="2276" spans="1:12" hidden="1" x14ac:dyDescent="0.3">
      <c r="A2276" t="s">
        <v>25</v>
      </c>
      <c r="B2276" t="s">
        <v>26</v>
      </c>
      <c r="C2276" t="s">
        <v>125</v>
      </c>
      <c r="D2276" t="s">
        <v>126</v>
      </c>
      <c r="E2276">
        <v>1987</v>
      </c>
      <c r="F2276" s="1">
        <v>10</v>
      </c>
      <c r="G2276">
        <v>1990</v>
      </c>
      <c r="H2276">
        <f>AVERAGEIFS(Table1[value],Table1[IndicatorCode],Table1[[#This Row],[IndicatorCode]])</f>
        <v>7.6894248608534319</v>
      </c>
      <c r="I2276" cm="1">
        <f t="array" ref="I2276">_xlfn.STDEV.P(IF(Table1[IndicatorCode]=Table1[[#This Row],[IndicatorCode]],Table1[value]))</f>
        <v>5.2319501044600996</v>
      </c>
      <c r="J2276">
        <f>(Table1[[#This Row],[value]] - Table1[[#This Row],[mean]]) / Table1[[#This Row],[std_dev]]</f>
        <v>0.44162790030754762</v>
      </c>
      <c r="K2276">
        <f>AVERAGEIF(Table1[CountryCode],Table1[[#This Row],[CountryCode]],Table1[z-score])</f>
        <v>-0.77202666663319364</v>
      </c>
      <c r="L2276" t="e">
        <f>VLOOKUP(Table1[[#This Row],[CountryCode]],[1]!Table1[#Data],4,FALSE)</f>
        <v>#REF!</v>
      </c>
    </row>
    <row r="2277" spans="1:12" hidden="1" x14ac:dyDescent="0.3">
      <c r="A2277" t="s">
        <v>25</v>
      </c>
      <c r="B2277" t="s">
        <v>26</v>
      </c>
      <c r="C2277" t="s">
        <v>125</v>
      </c>
      <c r="D2277" t="s">
        <v>126</v>
      </c>
      <c r="E2277">
        <v>1988</v>
      </c>
      <c r="F2277" s="1">
        <v>10</v>
      </c>
      <c r="G2277">
        <v>1990</v>
      </c>
      <c r="H2277">
        <f>AVERAGEIFS(Table1[value],Table1[IndicatorCode],Table1[[#This Row],[IndicatorCode]])</f>
        <v>7.6894248608534319</v>
      </c>
      <c r="I2277" cm="1">
        <f t="array" ref="I2277">_xlfn.STDEV.P(IF(Table1[IndicatorCode]=Table1[[#This Row],[IndicatorCode]],Table1[value]))</f>
        <v>5.2319501044600996</v>
      </c>
      <c r="J2277">
        <f>(Table1[[#This Row],[value]] - Table1[[#This Row],[mean]]) / Table1[[#This Row],[std_dev]]</f>
        <v>0.44162790030754762</v>
      </c>
      <c r="K2277">
        <f>AVERAGEIF(Table1[CountryCode],Table1[[#This Row],[CountryCode]],Table1[z-score])</f>
        <v>-0.77202666663319364</v>
      </c>
      <c r="L2277" t="e">
        <f>VLOOKUP(Table1[[#This Row],[CountryCode]],[1]!Table1[#Data],4,FALSE)</f>
        <v>#REF!</v>
      </c>
    </row>
    <row r="2278" spans="1:12" hidden="1" x14ac:dyDescent="0.3">
      <c r="A2278" t="s">
        <v>25</v>
      </c>
      <c r="B2278" t="s">
        <v>26</v>
      </c>
      <c r="C2278" t="s">
        <v>125</v>
      </c>
      <c r="D2278" t="s">
        <v>126</v>
      </c>
      <c r="E2278">
        <v>1989</v>
      </c>
      <c r="F2278" s="1">
        <v>10</v>
      </c>
      <c r="G2278">
        <v>1990</v>
      </c>
      <c r="H2278">
        <f>AVERAGEIFS(Table1[value],Table1[IndicatorCode],Table1[[#This Row],[IndicatorCode]])</f>
        <v>7.6894248608534319</v>
      </c>
      <c r="I2278" cm="1">
        <f t="array" ref="I2278">_xlfn.STDEV.P(IF(Table1[IndicatorCode]=Table1[[#This Row],[IndicatorCode]],Table1[value]))</f>
        <v>5.2319501044600996</v>
      </c>
      <c r="J2278">
        <f>(Table1[[#This Row],[value]] - Table1[[#This Row],[mean]]) / Table1[[#This Row],[std_dev]]</f>
        <v>0.44162790030754762</v>
      </c>
      <c r="K2278">
        <f>AVERAGEIF(Table1[CountryCode],Table1[[#This Row],[CountryCode]],Table1[z-score])</f>
        <v>-0.77202666663319364</v>
      </c>
      <c r="L2278" t="e">
        <f>VLOOKUP(Table1[[#This Row],[CountryCode]],[1]!Table1[#Data],4,FALSE)</f>
        <v>#REF!</v>
      </c>
    </row>
    <row r="2279" spans="1:12" hidden="1" x14ac:dyDescent="0.3">
      <c r="A2279" t="s">
        <v>25</v>
      </c>
      <c r="B2279" t="s">
        <v>26</v>
      </c>
      <c r="C2279" t="s">
        <v>125</v>
      </c>
      <c r="D2279" t="s">
        <v>126</v>
      </c>
      <c r="E2279">
        <v>1990</v>
      </c>
      <c r="F2279" s="1">
        <v>10</v>
      </c>
      <c r="G2279">
        <v>1990</v>
      </c>
      <c r="H2279">
        <f>AVERAGEIFS(Table1[value],Table1[IndicatorCode],Table1[[#This Row],[IndicatorCode]])</f>
        <v>7.6894248608534319</v>
      </c>
      <c r="I2279" cm="1">
        <f t="array" ref="I2279">_xlfn.STDEV.P(IF(Table1[IndicatorCode]=Table1[[#This Row],[IndicatorCode]],Table1[value]))</f>
        <v>5.2319501044600996</v>
      </c>
      <c r="J2279">
        <f>(Table1[[#This Row],[value]] - Table1[[#This Row],[mean]]) / Table1[[#This Row],[std_dev]]</f>
        <v>0.44162790030754762</v>
      </c>
      <c r="K2279">
        <f>AVERAGEIF(Table1[CountryCode],Table1[[#This Row],[CountryCode]],Table1[z-score])</f>
        <v>-0.77202666663319364</v>
      </c>
      <c r="L2279" t="e">
        <f>VLOOKUP(Table1[[#This Row],[CountryCode]],[1]!Table1[#Data],4,FALSE)</f>
        <v>#REF!</v>
      </c>
    </row>
    <row r="2280" spans="1:12" hidden="1" x14ac:dyDescent="0.3">
      <c r="A2280" t="s">
        <v>25</v>
      </c>
      <c r="B2280" t="s">
        <v>26</v>
      </c>
      <c r="C2280" t="s">
        <v>125</v>
      </c>
      <c r="D2280" t="s">
        <v>126</v>
      </c>
      <c r="E2280">
        <v>1991</v>
      </c>
      <c r="F2280" s="1">
        <v>10</v>
      </c>
      <c r="G2280">
        <v>1990</v>
      </c>
      <c r="H2280">
        <f>AVERAGEIFS(Table1[value],Table1[IndicatorCode],Table1[[#This Row],[IndicatorCode]])</f>
        <v>7.6894248608534319</v>
      </c>
      <c r="I2280" cm="1">
        <f t="array" ref="I2280">_xlfn.STDEV.P(IF(Table1[IndicatorCode]=Table1[[#This Row],[IndicatorCode]],Table1[value]))</f>
        <v>5.2319501044600996</v>
      </c>
      <c r="J2280">
        <f>(Table1[[#This Row],[value]] - Table1[[#This Row],[mean]]) / Table1[[#This Row],[std_dev]]</f>
        <v>0.44162790030754762</v>
      </c>
      <c r="K2280">
        <f>AVERAGEIF(Table1[CountryCode],Table1[[#This Row],[CountryCode]],Table1[z-score])</f>
        <v>-0.77202666663319364</v>
      </c>
      <c r="L2280" t="e">
        <f>VLOOKUP(Table1[[#This Row],[CountryCode]],[1]!Table1[#Data],4,FALSE)</f>
        <v>#REF!</v>
      </c>
    </row>
    <row r="2281" spans="1:12" hidden="1" x14ac:dyDescent="0.3">
      <c r="A2281" t="s">
        <v>25</v>
      </c>
      <c r="B2281" t="s">
        <v>26</v>
      </c>
      <c r="C2281" t="s">
        <v>125</v>
      </c>
      <c r="D2281" t="s">
        <v>126</v>
      </c>
      <c r="E2281">
        <v>1992</v>
      </c>
      <c r="F2281" s="1">
        <v>9</v>
      </c>
      <c r="G2281">
        <v>1990</v>
      </c>
      <c r="H2281">
        <f>AVERAGEIFS(Table1[value],Table1[IndicatorCode],Table1[[#This Row],[IndicatorCode]])</f>
        <v>7.6894248608534319</v>
      </c>
      <c r="I2281" cm="1">
        <f t="array" ref="I2281">_xlfn.STDEV.P(IF(Table1[IndicatorCode]=Table1[[#This Row],[IndicatorCode]],Table1[value]))</f>
        <v>5.2319501044600996</v>
      </c>
      <c r="J2281">
        <f>(Table1[[#This Row],[value]] - Table1[[#This Row],[mean]]) / Table1[[#This Row],[std_dev]]</f>
        <v>0.25049457907278921</v>
      </c>
      <c r="K2281">
        <f>AVERAGEIF(Table1[CountryCode],Table1[[#This Row],[CountryCode]],Table1[z-score])</f>
        <v>-0.77202666663319364</v>
      </c>
      <c r="L2281" t="e">
        <f>VLOOKUP(Table1[[#This Row],[CountryCode]],[1]!Table1[#Data],4,FALSE)</f>
        <v>#REF!</v>
      </c>
    </row>
    <row r="2282" spans="1:12" hidden="1" x14ac:dyDescent="0.3">
      <c r="A2282" t="s">
        <v>25</v>
      </c>
      <c r="B2282" t="s">
        <v>26</v>
      </c>
      <c r="C2282" t="s">
        <v>125</v>
      </c>
      <c r="D2282" t="s">
        <v>126</v>
      </c>
      <c r="E2282">
        <v>1993</v>
      </c>
      <c r="F2282" s="1">
        <v>8</v>
      </c>
      <c r="G2282">
        <v>1990</v>
      </c>
      <c r="H2282">
        <f>AVERAGEIFS(Table1[value],Table1[IndicatorCode],Table1[[#This Row],[IndicatorCode]])</f>
        <v>7.6894248608534319</v>
      </c>
      <c r="I2282" cm="1">
        <f t="array" ref="I2282">_xlfn.STDEV.P(IF(Table1[IndicatorCode]=Table1[[#This Row],[IndicatorCode]],Table1[value]))</f>
        <v>5.2319501044600996</v>
      </c>
      <c r="J2282">
        <f>(Table1[[#This Row],[value]] - Table1[[#This Row],[mean]]) / Table1[[#This Row],[std_dev]]</f>
        <v>5.9361257838030791E-2</v>
      </c>
      <c r="K2282">
        <f>AVERAGEIF(Table1[CountryCode],Table1[[#This Row],[CountryCode]],Table1[z-score])</f>
        <v>-0.77202666663319364</v>
      </c>
      <c r="L2282" t="e">
        <f>VLOOKUP(Table1[[#This Row],[CountryCode]],[1]!Table1[#Data],4,FALSE)</f>
        <v>#REF!</v>
      </c>
    </row>
    <row r="2283" spans="1:12" hidden="1" x14ac:dyDescent="0.3">
      <c r="A2283" t="s">
        <v>25</v>
      </c>
      <c r="B2283" t="s">
        <v>26</v>
      </c>
      <c r="C2283" t="s">
        <v>125</v>
      </c>
      <c r="D2283" t="s">
        <v>126</v>
      </c>
      <c r="E2283">
        <v>1994</v>
      </c>
      <c r="F2283" s="1">
        <v>7</v>
      </c>
      <c r="G2283">
        <v>1990</v>
      </c>
      <c r="H2283">
        <f>AVERAGEIFS(Table1[value],Table1[IndicatorCode],Table1[[#This Row],[IndicatorCode]])</f>
        <v>7.6894248608534319</v>
      </c>
      <c r="I2283" cm="1">
        <f t="array" ref="I2283">_xlfn.STDEV.P(IF(Table1[IndicatorCode]=Table1[[#This Row],[IndicatorCode]],Table1[value]))</f>
        <v>5.2319501044600996</v>
      </c>
      <c r="J2283">
        <f>(Table1[[#This Row],[value]] - Table1[[#This Row],[mean]]) / Table1[[#This Row],[std_dev]]</f>
        <v>-0.13177206339672762</v>
      </c>
      <c r="K2283">
        <f>AVERAGEIF(Table1[CountryCode],Table1[[#This Row],[CountryCode]],Table1[z-score])</f>
        <v>-0.77202666663319364</v>
      </c>
      <c r="L2283" t="e">
        <f>VLOOKUP(Table1[[#This Row],[CountryCode]],[1]!Table1[#Data],4,FALSE)</f>
        <v>#REF!</v>
      </c>
    </row>
    <row r="2284" spans="1:12" hidden="1" x14ac:dyDescent="0.3">
      <c r="A2284" t="s">
        <v>25</v>
      </c>
      <c r="B2284" t="s">
        <v>26</v>
      </c>
      <c r="C2284" t="s">
        <v>125</v>
      </c>
      <c r="D2284" t="s">
        <v>126</v>
      </c>
      <c r="E2284">
        <v>1995</v>
      </c>
      <c r="F2284" s="1">
        <v>6</v>
      </c>
      <c r="G2284">
        <v>1990</v>
      </c>
      <c r="H2284">
        <f>AVERAGEIFS(Table1[value],Table1[IndicatorCode],Table1[[#This Row],[IndicatorCode]])</f>
        <v>7.6894248608534319</v>
      </c>
      <c r="I2284" cm="1">
        <f t="array" ref="I2284">_xlfn.STDEV.P(IF(Table1[IndicatorCode]=Table1[[#This Row],[IndicatorCode]],Table1[value]))</f>
        <v>5.2319501044600996</v>
      </c>
      <c r="J2284">
        <f>(Table1[[#This Row],[value]] - Table1[[#This Row],[mean]]) / Table1[[#This Row],[std_dev]]</f>
        <v>-0.32290538463148605</v>
      </c>
      <c r="K2284">
        <f>AVERAGEIF(Table1[CountryCode],Table1[[#This Row],[CountryCode]],Table1[z-score])</f>
        <v>-0.77202666663319364</v>
      </c>
      <c r="L2284" t="e">
        <f>VLOOKUP(Table1[[#This Row],[CountryCode]],[1]!Table1[#Data],4,FALSE)</f>
        <v>#REF!</v>
      </c>
    </row>
    <row r="2285" spans="1:12" hidden="1" x14ac:dyDescent="0.3">
      <c r="A2285" t="s">
        <v>25</v>
      </c>
      <c r="B2285" t="s">
        <v>26</v>
      </c>
      <c r="C2285" t="s">
        <v>125</v>
      </c>
      <c r="D2285" t="s">
        <v>126</v>
      </c>
      <c r="E2285">
        <v>1996</v>
      </c>
      <c r="F2285" s="1">
        <v>6</v>
      </c>
      <c r="G2285">
        <v>1990</v>
      </c>
      <c r="H2285">
        <f>AVERAGEIFS(Table1[value],Table1[IndicatorCode],Table1[[#This Row],[IndicatorCode]])</f>
        <v>7.6894248608534319</v>
      </c>
      <c r="I2285" cm="1">
        <f t="array" ref="I2285">_xlfn.STDEV.P(IF(Table1[IndicatorCode]=Table1[[#This Row],[IndicatorCode]],Table1[value]))</f>
        <v>5.2319501044600996</v>
      </c>
      <c r="J2285">
        <f>(Table1[[#This Row],[value]] - Table1[[#This Row],[mean]]) / Table1[[#This Row],[std_dev]]</f>
        <v>-0.32290538463148605</v>
      </c>
      <c r="K2285">
        <f>AVERAGEIF(Table1[CountryCode],Table1[[#This Row],[CountryCode]],Table1[z-score])</f>
        <v>-0.77202666663319364</v>
      </c>
      <c r="L2285" t="e">
        <f>VLOOKUP(Table1[[#This Row],[CountryCode]],[1]!Table1[#Data],4,FALSE)</f>
        <v>#REF!</v>
      </c>
    </row>
    <row r="2286" spans="1:12" hidden="1" x14ac:dyDescent="0.3">
      <c r="A2286" t="s">
        <v>25</v>
      </c>
      <c r="B2286" t="s">
        <v>26</v>
      </c>
      <c r="C2286" t="s">
        <v>125</v>
      </c>
      <c r="D2286" t="s">
        <v>126</v>
      </c>
      <c r="E2286">
        <v>1997</v>
      </c>
      <c r="F2286" s="1">
        <v>6</v>
      </c>
      <c r="G2286">
        <v>2000</v>
      </c>
      <c r="H2286">
        <f>AVERAGEIFS(Table1[value],Table1[IndicatorCode],Table1[[#This Row],[IndicatorCode]])</f>
        <v>7.6894248608534319</v>
      </c>
      <c r="I2286" cm="1">
        <f t="array" ref="I2286">_xlfn.STDEV.P(IF(Table1[IndicatorCode]=Table1[[#This Row],[IndicatorCode]],Table1[value]))</f>
        <v>5.2319501044600996</v>
      </c>
      <c r="J2286">
        <f>(Table1[[#This Row],[value]] - Table1[[#This Row],[mean]]) / Table1[[#This Row],[std_dev]]</f>
        <v>-0.32290538463148605</v>
      </c>
      <c r="K2286">
        <f>AVERAGEIF(Table1[CountryCode],Table1[[#This Row],[CountryCode]],Table1[z-score])</f>
        <v>-0.77202666663319364</v>
      </c>
      <c r="L2286" t="e">
        <f>VLOOKUP(Table1[[#This Row],[CountryCode]],[1]!Table1[#Data],4,FALSE)</f>
        <v>#REF!</v>
      </c>
    </row>
    <row r="2287" spans="1:12" hidden="1" x14ac:dyDescent="0.3">
      <c r="A2287" t="s">
        <v>25</v>
      </c>
      <c r="B2287" t="s">
        <v>26</v>
      </c>
      <c r="C2287" t="s">
        <v>125</v>
      </c>
      <c r="D2287" t="s">
        <v>126</v>
      </c>
      <c r="E2287">
        <v>1998</v>
      </c>
      <c r="F2287" s="1">
        <v>6</v>
      </c>
      <c r="G2287">
        <v>2000</v>
      </c>
      <c r="H2287">
        <f>AVERAGEIFS(Table1[value],Table1[IndicatorCode],Table1[[#This Row],[IndicatorCode]])</f>
        <v>7.6894248608534319</v>
      </c>
      <c r="I2287" cm="1">
        <f t="array" ref="I2287">_xlfn.STDEV.P(IF(Table1[IndicatorCode]=Table1[[#This Row],[IndicatorCode]],Table1[value]))</f>
        <v>5.2319501044600996</v>
      </c>
      <c r="J2287">
        <f>(Table1[[#This Row],[value]] - Table1[[#This Row],[mean]]) / Table1[[#This Row],[std_dev]]</f>
        <v>-0.32290538463148605</v>
      </c>
      <c r="K2287">
        <f>AVERAGEIF(Table1[CountryCode],Table1[[#This Row],[CountryCode]],Table1[z-score])</f>
        <v>-0.77202666663319364</v>
      </c>
      <c r="L2287" t="e">
        <f>VLOOKUP(Table1[[#This Row],[CountryCode]],[1]!Table1[#Data],4,FALSE)</f>
        <v>#REF!</v>
      </c>
    </row>
    <row r="2288" spans="1:12" hidden="1" x14ac:dyDescent="0.3">
      <c r="A2288" t="s">
        <v>25</v>
      </c>
      <c r="B2288" t="s">
        <v>26</v>
      </c>
      <c r="C2288" t="s">
        <v>125</v>
      </c>
      <c r="D2288" t="s">
        <v>126</v>
      </c>
      <c r="E2288">
        <v>1999</v>
      </c>
      <c r="F2288" s="1">
        <v>6</v>
      </c>
      <c r="G2288">
        <v>2000</v>
      </c>
      <c r="H2288">
        <f>AVERAGEIFS(Table1[value],Table1[IndicatorCode],Table1[[#This Row],[IndicatorCode]])</f>
        <v>7.6894248608534319</v>
      </c>
      <c r="I2288" cm="1">
        <f t="array" ref="I2288">_xlfn.STDEV.P(IF(Table1[IndicatorCode]=Table1[[#This Row],[IndicatorCode]],Table1[value]))</f>
        <v>5.2319501044600996</v>
      </c>
      <c r="J2288">
        <f>(Table1[[#This Row],[value]] - Table1[[#This Row],[mean]]) / Table1[[#This Row],[std_dev]]</f>
        <v>-0.32290538463148605</v>
      </c>
      <c r="K2288">
        <f>AVERAGEIF(Table1[CountryCode],Table1[[#This Row],[CountryCode]],Table1[z-score])</f>
        <v>-0.77202666663319364</v>
      </c>
      <c r="L2288" t="e">
        <f>VLOOKUP(Table1[[#This Row],[CountryCode]],[1]!Table1[#Data],4,FALSE)</f>
        <v>#REF!</v>
      </c>
    </row>
    <row r="2289" spans="1:12" hidden="1" x14ac:dyDescent="0.3">
      <c r="A2289" t="s">
        <v>25</v>
      </c>
      <c r="B2289" t="s">
        <v>26</v>
      </c>
      <c r="C2289" t="s">
        <v>125</v>
      </c>
      <c r="D2289" t="s">
        <v>126</v>
      </c>
      <c r="E2289">
        <v>2000</v>
      </c>
      <c r="F2289" s="1">
        <v>6</v>
      </c>
      <c r="G2289">
        <v>2000</v>
      </c>
      <c r="H2289">
        <f>AVERAGEIFS(Table1[value],Table1[IndicatorCode],Table1[[#This Row],[IndicatorCode]])</f>
        <v>7.6894248608534319</v>
      </c>
      <c r="I2289" cm="1">
        <f t="array" ref="I2289">_xlfn.STDEV.P(IF(Table1[IndicatorCode]=Table1[[#This Row],[IndicatorCode]],Table1[value]))</f>
        <v>5.2319501044600996</v>
      </c>
      <c r="J2289">
        <f>(Table1[[#This Row],[value]] - Table1[[#This Row],[mean]]) / Table1[[#This Row],[std_dev]]</f>
        <v>-0.32290538463148605</v>
      </c>
      <c r="K2289">
        <f>AVERAGEIF(Table1[CountryCode],Table1[[#This Row],[CountryCode]],Table1[z-score])</f>
        <v>-0.77202666663319364</v>
      </c>
      <c r="L2289" t="e">
        <f>VLOOKUP(Table1[[#This Row],[CountryCode]],[1]!Table1[#Data],4,FALSE)</f>
        <v>#REF!</v>
      </c>
    </row>
    <row r="2290" spans="1:12" hidden="1" x14ac:dyDescent="0.3">
      <c r="A2290" t="s">
        <v>25</v>
      </c>
      <c r="B2290" t="s">
        <v>26</v>
      </c>
      <c r="C2290" t="s">
        <v>125</v>
      </c>
      <c r="D2290" t="s">
        <v>126</v>
      </c>
      <c r="E2290">
        <v>2001</v>
      </c>
      <c r="F2290" s="1">
        <v>6</v>
      </c>
      <c r="G2290">
        <v>2000</v>
      </c>
      <c r="H2290">
        <f>AVERAGEIFS(Table1[value],Table1[IndicatorCode],Table1[[#This Row],[IndicatorCode]])</f>
        <v>7.6894248608534319</v>
      </c>
      <c r="I2290" cm="1">
        <f t="array" ref="I2290">_xlfn.STDEV.P(IF(Table1[IndicatorCode]=Table1[[#This Row],[IndicatorCode]],Table1[value]))</f>
        <v>5.2319501044600996</v>
      </c>
      <c r="J2290">
        <f>(Table1[[#This Row],[value]] - Table1[[#This Row],[mean]]) / Table1[[#This Row],[std_dev]]</f>
        <v>-0.32290538463148605</v>
      </c>
      <c r="K2290">
        <f>AVERAGEIF(Table1[CountryCode],Table1[[#This Row],[CountryCode]],Table1[z-score])</f>
        <v>-0.77202666663319364</v>
      </c>
      <c r="L2290" t="e">
        <f>VLOOKUP(Table1[[#This Row],[CountryCode]],[1]!Table1[#Data],4,FALSE)</f>
        <v>#REF!</v>
      </c>
    </row>
    <row r="2291" spans="1:12" hidden="1" x14ac:dyDescent="0.3">
      <c r="A2291" t="s">
        <v>25</v>
      </c>
      <c r="B2291" t="s">
        <v>26</v>
      </c>
      <c r="C2291" t="s">
        <v>125</v>
      </c>
      <c r="D2291" t="s">
        <v>126</v>
      </c>
      <c r="E2291">
        <v>2002</v>
      </c>
      <c r="F2291" s="1">
        <v>6</v>
      </c>
      <c r="G2291">
        <v>2000</v>
      </c>
      <c r="H2291">
        <f>AVERAGEIFS(Table1[value],Table1[IndicatorCode],Table1[[#This Row],[IndicatorCode]])</f>
        <v>7.6894248608534319</v>
      </c>
      <c r="I2291" cm="1">
        <f t="array" ref="I2291">_xlfn.STDEV.P(IF(Table1[IndicatorCode]=Table1[[#This Row],[IndicatorCode]],Table1[value]))</f>
        <v>5.2319501044600996</v>
      </c>
      <c r="J2291">
        <f>(Table1[[#This Row],[value]] - Table1[[#This Row],[mean]]) / Table1[[#This Row],[std_dev]]</f>
        <v>-0.32290538463148605</v>
      </c>
      <c r="K2291">
        <f>AVERAGEIF(Table1[CountryCode],Table1[[#This Row],[CountryCode]],Table1[z-score])</f>
        <v>-0.77202666663319364</v>
      </c>
      <c r="L2291" t="e">
        <f>VLOOKUP(Table1[[#This Row],[CountryCode]],[1]!Table1[#Data],4,FALSE)</f>
        <v>#REF!</v>
      </c>
    </row>
    <row r="2292" spans="1:12" hidden="1" x14ac:dyDescent="0.3">
      <c r="A2292" t="s">
        <v>25</v>
      </c>
      <c r="B2292" t="s">
        <v>26</v>
      </c>
      <c r="C2292" t="s">
        <v>125</v>
      </c>
      <c r="D2292" t="s">
        <v>126</v>
      </c>
      <c r="E2292">
        <v>2003</v>
      </c>
      <c r="F2292" s="1">
        <v>6</v>
      </c>
      <c r="G2292">
        <v>2000</v>
      </c>
      <c r="H2292">
        <f>AVERAGEIFS(Table1[value],Table1[IndicatorCode],Table1[[#This Row],[IndicatorCode]])</f>
        <v>7.6894248608534319</v>
      </c>
      <c r="I2292" cm="1">
        <f t="array" ref="I2292">_xlfn.STDEV.P(IF(Table1[IndicatorCode]=Table1[[#This Row],[IndicatorCode]],Table1[value]))</f>
        <v>5.2319501044600996</v>
      </c>
      <c r="J2292">
        <f>(Table1[[#This Row],[value]] - Table1[[#This Row],[mean]]) / Table1[[#This Row],[std_dev]]</f>
        <v>-0.32290538463148605</v>
      </c>
      <c r="K2292">
        <f>AVERAGEIF(Table1[CountryCode],Table1[[#This Row],[CountryCode]],Table1[z-score])</f>
        <v>-0.77202666663319364</v>
      </c>
      <c r="L2292" t="e">
        <f>VLOOKUP(Table1[[#This Row],[CountryCode]],[1]!Table1[#Data],4,FALSE)</f>
        <v>#REF!</v>
      </c>
    </row>
    <row r="2293" spans="1:12" hidden="1" x14ac:dyDescent="0.3">
      <c r="A2293" t="s">
        <v>25</v>
      </c>
      <c r="B2293" t="s">
        <v>26</v>
      </c>
      <c r="C2293" t="s">
        <v>125</v>
      </c>
      <c r="D2293" t="s">
        <v>126</v>
      </c>
      <c r="E2293">
        <v>2004</v>
      </c>
      <c r="F2293" s="1">
        <v>6</v>
      </c>
      <c r="G2293">
        <v>2000</v>
      </c>
      <c r="H2293">
        <f>AVERAGEIFS(Table1[value],Table1[IndicatorCode],Table1[[#This Row],[IndicatorCode]])</f>
        <v>7.6894248608534319</v>
      </c>
      <c r="I2293" cm="1">
        <f t="array" ref="I2293">_xlfn.STDEV.P(IF(Table1[IndicatorCode]=Table1[[#This Row],[IndicatorCode]],Table1[value]))</f>
        <v>5.2319501044600996</v>
      </c>
      <c r="J2293">
        <f>(Table1[[#This Row],[value]] - Table1[[#This Row],[mean]]) / Table1[[#This Row],[std_dev]]</f>
        <v>-0.32290538463148605</v>
      </c>
      <c r="K2293">
        <f>AVERAGEIF(Table1[CountryCode],Table1[[#This Row],[CountryCode]],Table1[z-score])</f>
        <v>-0.77202666663319364</v>
      </c>
      <c r="L2293" t="e">
        <f>VLOOKUP(Table1[[#This Row],[CountryCode]],[1]!Table1[#Data],4,FALSE)</f>
        <v>#REF!</v>
      </c>
    </row>
    <row r="2294" spans="1:12" hidden="1" x14ac:dyDescent="0.3">
      <c r="A2294" t="s">
        <v>25</v>
      </c>
      <c r="B2294" t="s">
        <v>26</v>
      </c>
      <c r="C2294" t="s">
        <v>125</v>
      </c>
      <c r="D2294" t="s">
        <v>126</v>
      </c>
      <c r="E2294">
        <v>2005</v>
      </c>
      <c r="F2294" s="1">
        <v>6</v>
      </c>
      <c r="G2294">
        <v>2000</v>
      </c>
      <c r="H2294">
        <f>AVERAGEIFS(Table1[value],Table1[IndicatorCode],Table1[[#This Row],[IndicatorCode]])</f>
        <v>7.6894248608534319</v>
      </c>
      <c r="I2294" cm="1">
        <f t="array" ref="I2294">_xlfn.STDEV.P(IF(Table1[IndicatorCode]=Table1[[#This Row],[IndicatorCode]],Table1[value]))</f>
        <v>5.2319501044600996</v>
      </c>
      <c r="J2294">
        <f>(Table1[[#This Row],[value]] - Table1[[#This Row],[mean]]) / Table1[[#This Row],[std_dev]]</f>
        <v>-0.32290538463148605</v>
      </c>
      <c r="K2294">
        <f>AVERAGEIF(Table1[CountryCode],Table1[[#This Row],[CountryCode]],Table1[z-score])</f>
        <v>-0.77202666663319364</v>
      </c>
      <c r="L2294" t="e">
        <f>VLOOKUP(Table1[[#This Row],[CountryCode]],[1]!Table1[#Data],4,FALSE)</f>
        <v>#REF!</v>
      </c>
    </row>
    <row r="2295" spans="1:12" hidden="1" x14ac:dyDescent="0.3">
      <c r="A2295" t="s">
        <v>25</v>
      </c>
      <c r="B2295" t="s">
        <v>26</v>
      </c>
      <c r="C2295" t="s">
        <v>125</v>
      </c>
      <c r="D2295" t="s">
        <v>126</v>
      </c>
      <c r="E2295">
        <v>2006</v>
      </c>
      <c r="F2295" s="1">
        <v>7</v>
      </c>
      <c r="G2295">
        <v>2000</v>
      </c>
      <c r="H2295">
        <f>AVERAGEIFS(Table1[value],Table1[IndicatorCode],Table1[[#This Row],[IndicatorCode]])</f>
        <v>7.6894248608534319</v>
      </c>
      <c r="I2295" cm="1">
        <f t="array" ref="I2295">_xlfn.STDEV.P(IF(Table1[IndicatorCode]=Table1[[#This Row],[IndicatorCode]],Table1[value]))</f>
        <v>5.2319501044600996</v>
      </c>
      <c r="J2295">
        <f>(Table1[[#This Row],[value]] - Table1[[#This Row],[mean]]) / Table1[[#This Row],[std_dev]]</f>
        <v>-0.13177206339672762</v>
      </c>
      <c r="K2295">
        <f>AVERAGEIF(Table1[CountryCode],Table1[[#This Row],[CountryCode]],Table1[z-score])</f>
        <v>-0.77202666663319364</v>
      </c>
      <c r="L2295" t="e">
        <f>VLOOKUP(Table1[[#This Row],[CountryCode]],[1]!Table1[#Data],4,FALSE)</f>
        <v>#REF!</v>
      </c>
    </row>
    <row r="2296" spans="1:12" hidden="1" x14ac:dyDescent="0.3">
      <c r="A2296" t="s">
        <v>25</v>
      </c>
      <c r="B2296" t="s">
        <v>26</v>
      </c>
      <c r="C2296" t="s">
        <v>125</v>
      </c>
      <c r="D2296" t="s">
        <v>126</v>
      </c>
      <c r="E2296">
        <v>2007</v>
      </c>
      <c r="F2296" s="1">
        <v>6</v>
      </c>
      <c r="G2296">
        <v>2010</v>
      </c>
      <c r="H2296">
        <f>AVERAGEIFS(Table1[value],Table1[IndicatorCode],Table1[[#This Row],[IndicatorCode]])</f>
        <v>7.6894248608534319</v>
      </c>
      <c r="I2296" cm="1">
        <f t="array" ref="I2296">_xlfn.STDEV.P(IF(Table1[IndicatorCode]=Table1[[#This Row],[IndicatorCode]],Table1[value]))</f>
        <v>5.2319501044600996</v>
      </c>
      <c r="J2296">
        <f>(Table1[[#This Row],[value]] - Table1[[#This Row],[mean]]) / Table1[[#This Row],[std_dev]]</f>
        <v>-0.32290538463148605</v>
      </c>
      <c r="K2296">
        <f>AVERAGEIF(Table1[CountryCode],Table1[[#This Row],[CountryCode]],Table1[z-score])</f>
        <v>-0.77202666663319364</v>
      </c>
      <c r="L2296" t="e">
        <f>VLOOKUP(Table1[[#This Row],[CountryCode]],[1]!Table1[#Data],4,FALSE)</f>
        <v>#REF!</v>
      </c>
    </row>
    <row r="2297" spans="1:12" hidden="1" x14ac:dyDescent="0.3">
      <c r="A2297" t="s">
        <v>25</v>
      </c>
      <c r="B2297" t="s">
        <v>26</v>
      </c>
      <c r="C2297" t="s">
        <v>125</v>
      </c>
      <c r="D2297" t="s">
        <v>126</v>
      </c>
      <c r="E2297">
        <v>2008</v>
      </c>
      <c r="F2297" s="1">
        <v>7</v>
      </c>
      <c r="G2297">
        <v>2010</v>
      </c>
      <c r="H2297">
        <f>AVERAGEIFS(Table1[value],Table1[IndicatorCode],Table1[[#This Row],[IndicatorCode]])</f>
        <v>7.6894248608534319</v>
      </c>
      <c r="I2297" cm="1">
        <f t="array" ref="I2297">_xlfn.STDEV.P(IF(Table1[IndicatorCode]=Table1[[#This Row],[IndicatorCode]],Table1[value]))</f>
        <v>5.2319501044600996</v>
      </c>
      <c r="J2297">
        <f>(Table1[[#This Row],[value]] - Table1[[#This Row],[mean]]) / Table1[[#This Row],[std_dev]]</f>
        <v>-0.13177206339672762</v>
      </c>
      <c r="K2297">
        <f>AVERAGEIF(Table1[CountryCode],Table1[[#This Row],[CountryCode]],Table1[z-score])</f>
        <v>-0.77202666663319364</v>
      </c>
      <c r="L2297" t="e">
        <f>VLOOKUP(Table1[[#This Row],[CountryCode]],[1]!Table1[#Data],4,FALSE)</f>
        <v>#REF!</v>
      </c>
    </row>
    <row r="2298" spans="1:12" hidden="1" x14ac:dyDescent="0.3">
      <c r="A2298" t="s">
        <v>25</v>
      </c>
      <c r="B2298" t="s">
        <v>26</v>
      </c>
      <c r="C2298" t="s">
        <v>125</v>
      </c>
      <c r="D2298" t="s">
        <v>126</v>
      </c>
      <c r="E2298">
        <v>2009</v>
      </c>
      <c r="F2298" s="1">
        <v>6</v>
      </c>
      <c r="G2298">
        <v>2010</v>
      </c>
      <c r="H2298">
        <f>AVERAGEIFS(Table1[value],Table1[IndicatorCode],Table1[[#This Row],[IndicatorCode]])</f>
        <v>7.6894248608534319</v>
      </c>
      <c r="I2298" cm="1">
        <f t="array" ref="I2298">_xlfn.STDEV.P(IF(Table1[IndicatorCode]=Table1[[#This Row],[IndicatorCode]],Table1[value]))</f>
        <v>5.2319501044600996</v>
      </c>
      <c r="J2298">
        <f>(Table1[[#This Row],[value]] - Table1[[#This Row],[mean]]) / Table1[[#This Row],[std_dev]]</f>
        <v>-0.32290538463148605</v>
      </c>
      <c r="K2298">
        <f>AVERAGEIF(Table1[CountryCode],Table1[[#This Row],[CountryCode]],Table1[z-score])</f>
        <v>-0.77202666663319364</v>
      </c>
      <c r="L2298" t="e">
        <f>VLOOKUP(Table1[[#This Row],[CountryCode]],[1]!Table1[#Data],4,FALSE)</f>
        <v>#REF!</v>
      </c>
    </row>
    <row r="2299" spans="1:12" hidden="1" x14ac:dyDescent="0.3">
      <c r="A2299" t="s">
        <v>25</v>
      </c>
      <c r="B2299" t="s">
        <v>26</v>
      </c>
      <c r="C2299" t="s">
        <v>125</v>
      </c>
      <c r="D2299" t="s">
        <v>126</v>
      </c>
      <c r="E2299">
        <v>2010</v>
      </c>
      <c r="F2299" s="1">
        <v>7</v>
      </c>
      <c r="G2299">
        <v>2010</v>
      </c>
      <c r="H2299">
        <f>AVERAGEIFS(Table1[value],Table1[IndicatorCode],Table1[[#This Row],[IndicatorCode]])</f>
        <v>7.6894248608534319</v>
      </c>
      <c r="I2299" cm="1">
        <f t="array" ref="I2299">_xlfn.STDEV.P(IF(Table1[IndicatorCode]=Table1[[#This Row],[IndicatorCode]],Table1[value]))</f>
        <v>5.2319501044600996</v>
      </c>
      <c r="J2299">
        <f>(Table1[[#This Row],[value]] - Table1[[#This Row],[mean]]) / Table1[[#This Row],[std_dev]]</f>
        <v>-0.13177206339672762</v>
      </c>
      <c r="K2299">
        <f>AVERAGEIF(Table1[CountryCode],Table1[[#This Row],[CountryCode]],Table1[z-score])</f>
        <v>-0.77202666663319364</v>
      </c>
      <c r="L2299" t="e">
        <f>VLOOKUP(Table1[[#This Row],[CountryCode]],[1]!Table1[#Data],4,FALSE)</f>
        <v>#REF!</v>
      </c>
    </row>
    <row r="2300" spans="1:12" hidden="1" x14ac:dyDescent="0.3">
      <c r="A2300" t="s">
        <v>25</v>
      </c>
      <c r="B2300" t="s">
        <v>26</v>
      </c>
      <c r="C2300" t="s">
        <v>125</v>
      </c>
      <c r="D2300" t="s">
        <v>126</v>
      </c>
      <c r="E2300">
        <v>2011</v>
      </c>
      <c r="F2300" s="1">
        <v>7</v>
      </c>
      <c r="G2300">
        <v>2010</v>
      </c>
      <c r="H2300">
        <f>AVERAGEIFS(Table1[value],Table1[IndicatorCode],Table1[[#This Row],[IndicatorCode]])</f>
        <v>7.6894248608534319</v>
      </c>
      <c r="I2300" cm="1">
        <f t="array" ref="I2300">_xlfn.STDEV.P(IF(Table1[IndicatorCode]=Table1[[#This Row],[IndicatorCode]],Table1[value]))</f>
        <v>5.2319501044600996</v>
      </c>
      <c r="J2300">
        <f>(Table1[[#This Row],[value]] - Table1[[#This Row],[mean]]) / Table1[[#This Row],[std_dev]]</f>
        <v>-0.13177206339672762</v>
      </c>
      <c r="K2300">
        <f>AVERAGEIF(Table1[CountryCode],Table1[[#This Row],[CountryCode]],Table1[z-score])</f>
        <v>-0.77202666663319364</v>
      </c>
      <c r="L2300" t="e">
        <f>VLOOKUP(Table1[[#This Row],[CountryCode]],[1]!Table1[#Data],4,FALSE)</f>
        <v>#REF!</v>
      </c>
    </row>
    <row r="2301" spans="1:12" hidden="1" x14ac:dyDescent="0.3">
      <c r="A2301" t="s">
        <v>25</v>
      </c>
      <c r="B2301" t="s">
        <v>26</v>
      </c>
      <c r="C2301" t="s">
        <v>125</v>
      </c>
      <c r="D2301" t="s">
        <v>126</v>
      </c>
      <c r="E2301">
        <v>2012</v>
      </c>
      <c r="F2301" s="1">
        <v>7</v>
      </c>
      <c r="G2301">
        <v>2010</v>
      </c>
      <c r="H2301">
        <f>AVERAGEIFS(Table1[value],Table1[IndicatorCode],Table1[[#This Row],[IndicatorCode]])</f>
        <v>7.6894248608534319</v>
      </c>
      <c r="I2301" cm="1">
        <f t="array" ref="I2301">_xlfn.STDEV.P(IF(Table1[IndicatorCode]=Table1[[#This Row],[IndicatorCode]],Table1[value]))</f>
        <v>5.2319501044600996</v>
      </c>
      <c r="J2301">
        <f>(Table1[[#This Row],[value]] - Table1[[#This Row],[mean]]) / Table1[[#This Row],[std_dev]]</f>
        <v>-0.13177206339672762</v>
      </c>
      <c r="K2301">
        <f>AVERAGEIF(Table1[CountryCode],Table1[[#This Row],[CountryCode]],Table1[z-score])</f>
        <v>-0.77202666663319364</v>
      </c>
      <c r="L2301" t="e">
        <f>VLOOKUP(Table1[[#This Row],[CountryCode]],[1]!Table1[#Data],4,FALSE)</f>
        <v>#REF!</v>
      </c>
    </row>
    <row r="2302" spans="1:12" hidden="1" x14ac:dyDescent="0.3">
      <c r="A2302" t="s">
        <v>25</v>
      </c>
      <c r="B2302" t="s">
        <v>26</v>
      </c>
      <c r="C2302" t="s">
        <v>125</v>
      </c>
      <c r="D2302" t="s">
        <v>126</v>
      </c>
      <c r="E2302">
        <v>2013</v>
      </c>
      <c r="F2302" s="1">
        <v>7</v>
      </c>
      <c r="G2302">
        <v>2010</v>
      </c>
      <c r="H2302">
        <f>AVERAGEIFS(Table1[value],Table1[IndicatorCode],Table1[[#This Row],[IndicatorCode]])</f>
        <v>7.6894248608534319</v>
      </c>
      <c r="I2302" cm="1">
        <f t="array" ref="I2302">_xlfn.STDEV.P(IF(Table1[IndicatorCode]=Table1[[#This Row],[IndicatorCode]],Table1[value]))</f>
        <v>5.2319501044600996</v>
      </c>
      <c r="J2302">
        <f>(Table1[[#This Row],[value]] - Table1[[#This Row],[mean]]) / Table1[[#This Row],[std_dev]]</f>
        <v>-0.13177206339672762</v>
      </c>
      <c r="K2302">
        <f>AVERAGEIF(Table1[CountryCode],Table1[[#This Row],[CountryCode]],Table1[z-score])</f>
        <v>-0.77202666663319364</v>
      </c>
      <c r="L2302" t="e">
        <f>VLOOKUP(Table1[[#This Row],[CountryCode]],[1]!Table1[#Data],4,FALSE)</f>
        <v>#REF!</v>
      </c>
    </row>
    <row r="2303" spans="1:12" hidden="1" x14ac:dyDescent="0.3">
      <c r="A2303" t="s">
        <v>25</v>
      </c>
      <c r="B2303" t="s">
        <v>26</v>
      </c>
      <c r="C2303" t="s">
        <v>125</v>
      </c>
      <c r="D2303" t="s">
        <v>126</v>
      </c>
      <c r="E2303">
        <v>2014</v>
      </c>
      <c r="F2303" s="1">
        <v>7</v>
      </c>
      <c r="G2303">
        <v>2010</v>
      </c>
      <c r="H2303">
        <f>AVERAGEIFS(Table1[value],Table1[IndicatorCode],Table1[[#This Row],[IndicatorCode]])</f>
        <v>7.6894248608534319</v>
      </c>
      <c r="I2303" cm="1">
        <f t="array" ref="I2303">_xlfn.STDEV.P(IF(Table1[IndicatorCode]=Table1[[#This Row],[IndicatorCode]],Table1[value]))</f>
        <v>5.2319501044600996</v>
      </c>
      <c r="J2303">
        <f>(Table1[[#This Row],[value]] - Table1[[#This Row],[mean]]) / Table1[[#This Row],[std_dev]]</f>
        <v>-0.13177206339672762</v>
      </c>
      <c r="K2303">
        <f>AVERAGEIF(Table1[CountryCode],Table1[[#This Row],[CountryCode]],Table1[z-score])</f>
        <v>-0.77202666663319364</v>
      </c>
      <c r="L2303" t="e">
        <f>VLOOKUP(Table1[[#This Row],[CountryCode]],[1]!Table1[#Data],4,FALSE)</f>
        <v>#REF!</v>
      </c>
    </row>
    <row r="2304" spans="1:12" hidden="1" x14ac:dyDescent="0.3">
      <c r="A2304" t="s">
        <v>25</v>
      </c>
      <c r="B2304" t="s">
        <v>26</v>
      </c>
      <c r="C2304" t="s">
        <v>125</v>
      </c>
      <c r="D2304" t="s">
        <v>126</v>
      </c>
      <c r="E2304">
        <v>2015</v>
      </c>
      <c r="F2304" s="1">
        <v>6</v>
      </c>
      <c r="G2304">
        <v>2010</v>
      </c>
      <c r="H2304">
        <f>AVERAGEIFS(Table1[value],Table1[IndicatorCode],Table1[[#This Row],[IndicatorCode]])</f>
        <v>7.6894248608534319</v>
      </c>
      <c r="I2304" cm="1">
        <f t="array" ref="I2304">_xlfn.STDEV.P(IF(Table1[IndicatorCode]=Table1[[#This Row],[IndicatorCode]],Table1[value]))</f>
        <v>5.2319501044600996</v>
      </c>
      <c r="J2304">
        <f>(Table1[[#This Row],[value]] - Table1[[#This Row],[mean]]) / Table1[[#This Row],[std_dev]]</f>
        <v>-0.32290538463148605</v>
      </c>
      <c r="K2304">
        <f>AVERAGEIF(Table1[CountryCode],Table1[[#This Row],[CountryCode]],Table1[z-score])</f>
        <v>-0.77202666663319364</v>
      </c>
      <c r="L2304" t="e">
        <f>VLOOKUP(Table1[[#This Row],[CountryCode]],[1]!Table1[#Data],4,FALSE)</f>
        <v>#REF!</v>
      </c>
    </row>
    <row r="2305" spans="1:12" hidden="1" x14ac:dyDescent="0.3">
      <c r="A2305" t="s">
        <v>25</v>
      </c>
      <c r="B2305" t="s">
        <v>26</v>
      </c>
      <c r="C2305" t="s">
        <v>125</v>
      </c>
      <c r="D2305" t="s">
        <v>126</v>
      </c>
      <c r="E2305">
        <v>2016</v>
      </c>
      <c r="F2305" s="1">
        <v>6</v>
      </c>
      <c r="G2305">
        <v>2010</v>
      </c>
      <c r="H2305">
        <f>AVERAGEIFS(Table1[value],Table1[IndicatorCode],Table1[[#This Row],[IndicatorCode]])</f>
        <v>7.6894248608534319</v>
      </c>
      <c r="I2305" cm="1">
        <f t="array" ref="I2305">_xlfn.STDEV.P(IF(Table1[IndicatorCode]=Table1[[#This Row],[IndicatorCode]],Table1[value]))</f>
        <v>5.2319501044600996</v>
      </c>
      <c r="J2305">
        <f>(Table1[[#This Row],[value]] - Table1[[#This Row],[mean]]) / Table1[[#This Row],[std_dev]]</f>
        <v>-0.32290538463148605</v>
      </c>
      <c r="K2305">
        <f>AVERAGEIF(Table1[CountryCode],Table1[[#This Row],[CountryCode]],Table1[z-score])</f>
        <v>-0.77202666663319364</v>
      </c>
      <c r="L2305" t="e">
        <f>VLOOKUP(Table1[[#This Row],[CountryCode]],[1]!Table1[#Data],4,FALSE)</f>
        <v>#REF!</v>
      </c>
    </row>
    <row r="2306" spans="1:12" hidden="1" x14ac:dyDescent="0.3">
      <c r="A2306" t="s">
        <v>25</v>
      </c>
      <c r="B2306" t="s">
        <v>26</v>
      </c>
      <c r="C2306" t="s">
        <v>125</v>
      </c>
      <c r="D2306" t="s">
        <v>126</v>
      </c>
      <c r="E2306">
        <v>2017</v>
      </c>
      <c r="F2306" s="1">
        <v>6</v>
      </c>
      <c r="G2306">
        <v>2020</v>
      </c>
      <c r="H2306">
        <f>AVERAGEIFS(Table1[value],Table1[IndicatorCode],Table1[[#This Row],[IndicatorCode]])</f>
        <v>7.6894248608534319</v>
      </c>
      <c r="I2306" cm="1">
        <f t="array" ref="I2306">_xlfn.STDEV.P(IF(Table1[IndicatorCode]=Table1[[#This Row],[IndicatorCode]],Table1[value]))</f>
        <v>5.2319501044600996</v>
      </c>
      <c r="J2306">
        <f>(Table1[[#This Row],[value]] - Table1[[#This Row],[mean]]) / Table1[[#This Row],[std_dev]]</f>
        <v>-0.32290538463148605</v>
      </c>
      <c r="K2306">
        <f>AVERAGEIF(Table1[CountryCode],Table1[[#This Row],[CountryCode]],Table1[z-score])</f>
        <v>-0.77202666663319364</v>
      </c>
      <c r="L2306" t="e">
        <f>VLOOKUP(Table1[[#This Row],[CountryCode]],[1]!Table1[#Data],4,FALSE)</f>
        <v>#REF!</v>
      </c>
    </row>
    <row r="2307" spans="1:12" hidden="1" x14ac:dyDescent="0.3">
      <c r="A2307" t="s">
        <v>25</v>
      </c>
      <c r="B2307" t="s">
        <v>26</v>
      </c>
      <c r="C2307" t="s">
        <v>125</v>
      </c>
      <c r="D2307" t="s">
        <v>126</v>
      </c>
      <c r="E2307">
        <v>2018</v>
      </c>
      <c r="F2307" s="1">
        <v>7</v>
      </c>
      <c r="G2307">
        <v>2020</v>
      </c>
      <c r="H2307">
        <f>AVERAGEIFS(Table1[value],Table1[IndicatorCode],Table1[[#This Row],[IndicatorCode]])</f>
        <v>7.6894248608534319</v>
      </c>
      <c r="I2307" cm="1">
        <f t="array" ref="I2307">_xlfn.STDEV.P(IF(Table1[IndicatorCode]=Table1[[#This Row],[IndicatorCode]],Table1[value]))</f>
        <v>5.2319501044600996</v>
      </c>
      <c r="J2307">
        <f>(Table1[[#This Row],[value]] - Table1[[#This Row],[mean]]) / Table1[[#This Row],[std_dev]]</f>
        <v>-0.13177206339672762</v>
      </c>
      <c r="K2307">
        <f>AVERAGEIF(Table1[CountryCode],Table1[[#This Row],[CountryCode]],Table1[z-score])</f>
        <v>-0.77202666663319364</v>
      </c>
      <c r="L2307" t="e">
        <f>VLOOKUP(Table1[[#This Row],[CountryCode]],[1]!Table1[#Data],4,FALSE)</f>
        <v>#REF!</v>
      </c>
    </row>
    <row r="2308" spans="1:12" hidden="1" x14ac:dyDescent="0.3">
      <c r="A2308" t="s">
        <v>25</v>
      </c>
      <c r="B2308" t="s">
        <v>26</v>
      </c>
      <c r="C2308" t="s">
        <v>125</v>
      </c>
      <c r="D2308" t="s">
        <v>126</v>
      </c>
      <c r="E2308">
        <v>2019</v>
      </c>
      <c r="F2308" s="1">
        <v>7</v>
      </c>
      <c r="G2308">
        <v>2020</v>
      </c>
      <c r="H2308">
        <f>AVERAGEIFS(Table1[value],Table1[IndicatorCode],Table1[[#This Row],[IndicatorCode]])</f>
        <v>7.6894248608534319</v>
      </c>
      <c r="I2308" cm="1">
        <f t="array" ref="I2308">_xlfn.STDEV.P(IF(Table1[IndicatorCode]=Table1[[#This Row],[IndicatorCode]],Table1[value]))</f>
        <v>5.2319501044600996</v>
      </c>
      <c r="J2308">
        <f>(Table1[[#This Row],[value]] - Table1[[#This Row],[mean]]) / Table1[[#This Row],[std_dev]]</f>
        <v>-0.13177206339672762</v>
      </c>
      <c r="K2308">
        <f>AVERAGEIF(Table1[CountryCode],Table1[[#This Row],[CountryCode]],Table1[z-score])</f>
        <v>-0.77202666663319364</v>
      </c>
      <c r="L2308" t="e">
        <f>VLOOKUP(Table1[[#This Row],[CountryCode]],[1]!Table1[#Data],4,FALSE)</f>
        <v>#REF!</v>
      </c>
    </row>
    <row r="2309" spans="1:12" x14ac:dyDescent="0.3">
      <c r="A2309" t="s">
        <v>25</v>
      </c>
      <c r="B2309" t="s">
        <v>26</v>
      </c>
      <c r="C2309" t="s">
        <v>125</v>
      </c>
      <c r="D2309" t="s">
        <v>126</v>
      </c>
      <c r="E2309">
        <v>2020</v>
      </c>
      <c r="F2309" s="1">
        <v>6</v>
      </c>
      <c r="G2309">
        <v>2020</v>
      </c>
      <c r="H2309">
        <f>AVERAGEIFS(Table1[value],Table1[IndicatorCode],Table1[[#This Row],[IndicatorCode]])</f>
        <v>7.6894248608534319</v>
      </c>
      <c r="I2309" cm="1">
        <f t="array" ref="I2309">_xlfn.STDEV.P(IF(Table1[IndicatorCode]=Table1[[#This Row],[IndicatorCode]],Table1[value]))</f>
        <v>5.2319501044600996</v>
      </c>
      <c r="J2309">
        <f>(Table1[[#This Row],[value]] - Table1[[#This Row],[mean]]) / Table1[[#This Row],[std_dev]]</f>
        <v>-0.32290538463148605</v>
      </c>
      <c r="K2309">
        <f>AVERAGEIF(Table1[CountryCode],Table1[[#This Row],[CountryCode]],Table1[z-score])</f>
        <v>-0.77202666663319364</v>
      </c>
    </row>
    <row r="2310" spans="1:12" hidden="1" x14ac:dyDescent="0.3">
      <c r="A2310" t="s">
        <v>25</v>
      </c>
      <c r="B2310" t="s">
        <v>26</v>
      </c>
      <c r="C2310" t="s">
        <v>125</v>
      </c>
      <c r="D2310" t="s">
        <v>126</v>
      </c>
      <c r="E2310">
        <v>2021</v>
      </c>
      <c r="F2310" s="1">
        <v>6</v>
      </c>
      <c r="G2310">
        <v>2020</v>
      </c>
      <c r="H2310">
        <f>AVERAGEIFS(Table1[value],Table1[IndicatorCode],Table1[[#This Row],[IndicatorCode]])</f>
        <v>7.6894248608534319</v>
      </c>
      <c r="I2310" cm="1">
        <f t="array" ref="I2310">_xlfn.STDEV.P(IF(Table1[IndicatorCode]=Table1[[#This Row],[IndicatorCode]],Table1[value]))</f>
        <v>5.2319501044600996</v>
      </c>
      <c r="J2310">
        <f>(Table1[[#This Row],[value]] - Table1[[#This Row],[mean]]) / Table1[[#This Row],[std_dev]]</f>
        <v>-0.32290538463148605</v>
      </c>
      <c r="K2310">
        <f>AVERAGEIF(Table1[CountryCode],Table1[[#This Row],[CountryCode]],Table1[z-score])</f>
        <v>-0.77202666663319364</v>
      </c>
      <c r="L2310" t="e">
        <f>VLOOKUP(Table1[[#This Row],[CountryCode]],[1]!Table1[#Data],4,FALSE)</f>
        <v>#REF!</v>
      </c>
    </row>
    <row r="2311" spans="1:12" hidden="1" x14ac:dyDescent="0.3">
      <c r="A2311" t="s">
        <v>25</v>
      </c>
      <c r="B2311" t="s">
        <v>26</v>
      </c>
      <c r="C2311" t="s">
        <v>125</v>
      </c>
      <c r="D2311" t="s">
        <v>126</v>
      </c>
      <c r="E2311">
        <v>2022</v>
      </c>
      <c r="F2311" s="1">
        <v>6</v>
      </c>
      <c r="G2311">
        <v>1970</v>
      </c>
      <c r="H2311">
        <f>AVERAGEIFS(Table1[value],Table1[IndicatorCode],Table1[[#This Row],[IndicatorCode]])</f>
        <v>7.6894248608534319</v>
      </c>
      <c r="I2311" cm="1">
        <f t="array" ref="I2311">_xlfn.STDEV.P(IF(Table1[IndicatorCode]=Table1[[#This Row],[IndicatorCode]],Table1[value]))</f>
        <v>5.2319501044600996</v>
      </c>
      <c r="J2311">
        <f>(Table1[[#This Row],[value]] - Table1[[#This Row],[mean]]) / Table1[[#This Row],[std_dev]]</f>
        <v>-0.32290538463148605</v>
      </c>
      <c r="K2311">
        <f>AVERAGEIF(Table1[CountryCode],Table1[[#This Row],[CountryCode]],Table1[z-score])</f>
        <v>-0.77202666663319364</v>
      </c>
      <c r="L2311" t="e">
        <f>VLOOKUP(Table1[[#This Row],[CountryCode]],[1]!Table1[#Data],4,FALSE)</f>
        <v>#REF!</v>
      </c>
    </row>
    <row r="2312" spans="1:12" hidden="1" x14ac:dyDescent="0.3">
      <c r="A2312" t="s">
        <v>25</v>
      </c>
      <c r="B2312" t="s">
        <v>26</v>
      </c>
      <c r="C2312" t="s">
        <v>125</v>
      </c>
      <c r="D2312" t="s">
        <v>126</v>
      </c>
      <c r="E2312">
        <v>2023</v>
      </c>
      <c r="F2312" s="1">
        <v>6</v>
      </c>
      <c r="G2312">
        <v>1970</v>
      </c>
      <c r="H2312">
        <f>AVERAGEIFS(Table1[value],Table1[IndicatorCode],Table1[[#This Row],[IndicatorCode]])</f>
        <v>7.6894248608534319</v>
      </c>
      <c r="I2312" cm="1">
        <f t="array" ref="I2312">_xlfn.STDEV.P(IF(Table1[IndicatorCode]=Table1[[#This Row],[IndicatorCode]],Table1[value]))</f>
        <v>5.2319501044600996</v>
      </c>
      <c r="J2312">
        <f>(Table1[[#This Row],[value]] - Table1[[#This Row],[mean]]) / Table1[[#This Row],[std_dev]]</f>
        <v>-0.32290538463148605</v>
      </c>
      <c r="K2312">
        <f>AVERAGEIF(Table1[CountryCode],Table1[[#This Row],[CountryCode]],Table1[z-score])</f>
        <v>-0.77202666663319364</v>
      </c>
      <c r="L2312" t="e">
        <f>VLOOKUP(Table1[[#This Row],[CountryCode]],[1]!Table1[#Data],4,FALSE)</f>
        <v>#REF!</v>
      </c>
    </row>
    <row r="2313" spans="1:12" hidden="1" x14ac:dyDescent="0.3">
      <c r="A2313" t="s">
        <v>25</v>
      </c>
      <c r="B2313" t="s">
        <v>26</v>
      </c>
      <c r="C2313" t="s">
        <v>125</v>
      </c>
      <c r="D2313" t="s">
        <v>126</v>
      </c>
      <c r="E2313">
        <v>2024</v>
      </c>
      <c r="F2313" s="1">
        <v>6</v>
      </c>
      <c r="G2313">
        <v>1970</v>
      </c>
      <c r="H2313">
        <f>AVERAGEIFS(Table1[value],Table1[IndicatorCode],Table1[[#This Row],[IndicatorCode]])</f>
        <v>7.6894248608534319</v>
      </c>
      <c r="I2313" cm="1">
        <f t="array" ref="I2313">_xlfn.STDEV.P(IF(Table1[IndicatorCode]=Table1[[#This Row],[IndicatorCode]],Table1[value]))</f>
        <v>5.2319501044600996</v>
      </c>
      <c r="J2313">
        <f>(Table1[[#This Row],[value]] - Table1[[#This Row],[mean]]) / Table1[[#This Row],[std_dev]]</f>
        <v>-0.32290538463148605</v>
      </c>
      <c r="K2313">
        <f>AVERAGEIF(Table1[CountryCode],Table1[[#This Row],[CountryCode]],Table1[z-score])</f>
        <v>-0.77202666663319364</v>
      </c>
      <c r="L2313" t="e">
        <f>VLOOKUP(Table1[[#This Row],[CountryCode]],[1]!Table1[#Data],4,FALSE)</f>
        <v>#REF!</v>
      </c>
    </row>
    <row r="2314" spans="1:12" hidden="1" x14ac:dyDescent="0.3">
      <c r="A2314" t="s">
        <v>27</v>
      </c>
      <c r="B2314" t="s">
        <v>28</v>
      </c>
      <c r="C2314" t="s">
        <v>125</v>
      </c>
      <c r="D2314" t="s">
        <v>126</v>
      </c>
      <c r="E2314">
        <v>1970</v>
      </c>
      <c r="F2314" s="1">
        <v>7</v>
      </c>
      <c r="G2314">
        <v>1970</v>
      </c>
      <c r="H2314">
        <f>AVERAGEIFS(Table1[value],Table1[IndicatorCode],Table1[[#This Row],[IndicatorCode]])</f>
        <v>7.6894248608534319</v>
      </c>
      <c r="I2314" cm="1">
        <f t="array" ref="I2314">_xlfn.STDEV.P(IF(Table1[IndicatorCode]=Table1[[#This Row],[IndicatorCode]],Table1[value]))</f>
        <v>5.2319501044600996</v>
      </c>
      <c r="J2314">
        <f>(Table1[[#This Row],[value]] - Table1[[#This Row],[mean]]) / Table1[[#This Row],[std_dev]]</f>
        <v>-0.13177206339672762</v>
      </c>
      <c r="K2314">
        <f>AVERAGEIF(Table1[CountryCode],Table1[[#This Row],[CountryCode]],Table1[z-score])</f>
        <v>0.68174026806790211</v>
      </c>
      <c r="L2314" t="e">
        <f>VLOOKUP(Table1[[#This Row],[CountryCode]],[1]!Table1[#Data],4,FALSE)</f>
        <v>#REF!</v>
      </c>
    </row>
    <row r="2315" spans="1:12" hidden="1" x14ac:dyDescent="0.3">
      <c r="A2315" t="s">
        <v>27</v>
      </c>
      <c r="B2315" t="s">
        <v>28</v>
      </c>
      <c r="C2315" t="s">
        <v>125</v>
      </c>
      <c r="D2315" t="s">
        <v>126</v>
      </c>
      <c r="E2315">
        <v>1971</v>
      </c>
      <c r="F2315" s="1">
        <v>7</v>
      </c>
      <c r="G2315">
        <v>1970</v>
      </c>
      <c r="H2315">
        <f>AVERAGEIFS(Table1[value],Table1[IndicatorCode],Table1[[#This Row],[IndicatorCode]])</f>
        <v>7.6894248608534319</v>
      </c>
      <c r="I2315" cm="1">
        <f t="array" ref="I2315">_xlfn.STDEV.P(IF(Table1[IndicatorCode]=Table1[[#This Row],[IndicatorCode]],Table1[value]))</f>
        <v>5.2319501044600996</v>
      </c>
      <c r="J2315">
        <f>(Table1[[#This Row],[value]] - Table1[[#This Row],[mean]]) / Table1[[#This Row],[std_dev]]</f>
        <v>-0.13177206339672762</v>
      </c>
      <c r="K2315">
        <f>AVERAGEIF(Table1[CountryCode],Table1[[#This Row],[CountryCode]],Table1[z-score])</f>
        <v>0.68174026806790211</v>
      </c>
      <c r="L2315" t="e">
        <f>VLOOKUP(Table1[[#This Row],[CountryCode]],[1]!Table1[#Data],4,FALSE)</f>
        <v>#REF!</v>
      </c>
    </row>
    <row r="2316" spans="1:12" hidden="1" x14ac:dyDescent="0.3">
      <c r="A2316" t="s">
        <v>27</v>
      </c>
      <c r="B2316" t="s">
        <v>28</v>
      </c>
      <c r="C2316" t="s">
        <v>125</v>
      </c>
      <c r="D2316" t="s">
        <v>126</v>
      </c>
      <c r="E2316">
        <v>1972</v>
      </c>
      <c r="F2316" s="1">
        <v>7</v>
      </c>
      <c r="G2316">
        <v>1970</v>
      </c>
      <c r="H2316">
        <f>AVERAGEIFS(Table1[value],Table1[IndicatorCode],Table1[[#This Row],[IndicatorCode]])</f>
        <v>7.6894248608534319</v>
      </c>
      <c r="I2316" cm="1">
        <f t="array" ref="I2316">_xlfn.STDEV.P(IF(Table1[IndicatorCode]=Table1[[#This Row],[IndicatorCode]],Table1[value]))</f>
        <v>5.2319501044600996</v>
      </c>
      <c r="J2316">
        <f>(Table1[[#This Row],[value]] - Table1[[#This Row],[mean]]) / Table1[[#This Row],[std_dev]]</f>
        <v>-0.13177206339672762</v>
      </c>
      <c r="K2316">
        <f>AVERAGEIF(Table1[CountryCode],Table1[[#This Row],[CountryCode]],Table1[z-score])</f>
        <v>0.68174026806790211</v>
      </c>
      <c r="L2316" t="e">
        <f>VLOOKUP(Table1[[#This Row],[CountryCode]],[1]!Table1[#Data],4,FALSE)</f>
        <v>#REF!</v>
      </c>
    </row>
    <row r="2317" spans="1:12" hidden="1" x14ac:dyDescent="0.3">
      <c r="A2317" t="s">
        <v>27</v>
      </c>
      <c r="B2317" t="s">
        <v>28</v>
      </c>
      <c r="C2317" t="s">
        <v>125</v>
      </c>
      <c r="D2317" t="s">
        <v>126</v>
      </c>
      <c r="E2317">
        <v>1973</v>
      </c>
      <c r="F2317" s="1">
        <v>8</v>
      </c>
      <c r="G2317">
        <v>1970</v>
      </c>
      <c r="H2317">
        <f>AVERAGEIFS(Table1[value],Table1[IndicatorCode],Table1[[#This Row],[IndicatorCode]])</f>
        <v>7.6894248608534319</v>
      </c>
      <c r="I2317" cm="1">
        <f t="array" ref="I2317">_xlfn.STDEV.P(IF(Table1[IndicatorCode]=Table1[[#This Row],[IndicatorCode]],Table1[value]))</f>
        <v>5.2319501044600996</v>
      </c>
      <c r="J2317">
        <f>(Table1[[#This Row],[value]] - Table1[[#This Row],[mean]]) / Table1[[#This Row],[std_dev]]</f>
        <v>5.9361257838030791E-2</v>
      </c>
      <c r="K2317">
        <f>AVERAGEIF(Table1[CountryCode],Table1[[#This Row],[CountryCode]],Table1[z-score])</f>
        <v>0.68174026806790211</v>
      </c>
      <c r="L2317" t="e">
        <f>VLOOKUP(Table1[[#This Row],[CountryCode]],[1]!Table1[#Data],4,FALSE)</f>
        <v>#REF!</v>
      </c>
    </row>
    <row r="2318" spans="1:12" hidden="1" x14ac:dyDescent="0.3">
      <c r="A2318" t="s">
        <v>27</v>
      </c>
      <c r="B2318" t="s">
        <v>28</v>
      </c>
      <c r="C2318" t="s">
        <v>125</v>
      </c>
      <c r="D2318" t="s">
        <v>126</v>
      </c>
      <c r="E2318">
        <v>1974</v>
      </c>
      <c r="F2318" s="1">
        <v>7</v>
      </c>
      <c r="G2318">
        <v>1970</v>
      </c>
      <c r="H2318">
        <f>AVERAGEIFS(Table1[value],Table1[IndicatorCode],Table1[[#This Row],[IndicatorCode]])</f>
        <v>7.6894248608534319</v>
      </c>
      <c r="I2318" cm="1">
        <f t="array" ref="I2318">_xlfn.STDEV.P(IF(Table1[IndicatorCode]=Table1[[#This Row],[IndicatorCode]],Table1[value]))</f>
        <v>5.2319501044600996</v>
      </c>
      <c r="J2318">
        <f>(Table1[[#This Row],[value]] - Table1[[#This Row],[mean]]) / Table1[[#This Row],[std_dev]]</f>
        <v>-0.13177206339672762</v>
      </c>
      <c r="K2318">
        <f>AVERAGEIF(Table1[CountryCode],Table1[[#This Row],[CountryCode]],Table1[z-score])</f>
        <v>0.68174026806790211</v>
      </c>
      <c r="L2318" t="e">
        <f>VLOOKUP(Table1[[#This Row],[CountryCode]],[1]!Table1[#Data],4,FALSE)</f>
        <v>#REF!</v>
      </c>
    </row>
    <row r="2319" spans="1:12" hidden="1" x14ac:dyDescent="0.3">
      <c r="A2319" t="s">
        <v>27</v>
      </c>
      <c r="B2319" t="s">
        <v>28</v>
      </c>
      <c r="C2319" t="s">
        <v>125</v>
      </c>
      <c r="D2319" t="s">
        <v>126</v>
      </c>
      <c r="E2319">
        <v>1975</v>
      </c>
      <c r="F2319" s="1">
        <v>6</v>
      </c>
      <c r="G2319">
        <v>1970</v>
      </c>
      <c r="H2319">
        <f>AVERAGEIFS(Table1[value],Table1[IndicatorCode],Table1[[#This Row],[IndicatorCode]])</f>
        <v>7.6894248608534319</v>
      </c>
      <c r="I2319" cm="1">
        <f t="array" ref="I2319">_xlfn.STDEV.P(IF(Table1[IndicatorCode]=Table1[[#This Row],[IndicatorCode]],Table1[value]))</f>
        <v>5.2319501044600996</v>
      </c>
      <c r="J2319">
        <f>(Table1[[#This Row],[value]] - Table1[[#This Row],[mean]]) / Table1[[#This Row],[std_dev]]</f>
        <v>-0.32290538463148605</v>
      </c>
      <c r="K2319">
        <f>AVERAGEIF(Table1[CountryCode],Table1[[#This Row],[CountryCode]],Table1[z-score])</f>
        <v>0.68174026806790211</v>
      </c>
      <c r="L2319" t="e">
        <f>VLOOKUP(Table1[[#This Row],[CountryCode]],[1]!Table1[#Data],4,FALSE)</f>
        <v>#REF!</v>
      </c>
    </row>
    <row r="2320" spans="1:12" hidden="1" x14ac:dyDescent="0.3">
      <c r="A2320" t="s">
        <v>27</v>
      </c>
      <c r="B2320" t="s">
        <v>28</v>
      </c>
      <c r="C2320" t="s">
        <v>125</v>
      </c>
      <c r="D2320" t="s">
        <v>126</v>
      </c>
      <c r="E2320">
        <v>1976</v>
      </c>
      <c r="F2320" s="1">
        <v>7</v>
      </c>
      <c r="G2320">
        <v>1970</v>
      </c>
      <c r="H2320">
        <f>AVERAGEIFS(Table1[value],Table1[IndicatorCode],Table1[[#This Row],[IndicatorCode]])</f>
        <v>7.6894248608534319</v>
      </c>
      <c r="I2320" cm="1">
        <f t="array" ref="I2320">_xlfn.STDEV.P(IF(Table1[IndicatorCode]=Table1[[#This Row],[IndicatorCode]],Table1[value]))</f>
        <v>5.2319501044600996</v>
      </c>
      <c r="J2320">
        <f>(Table1[[#This Row],[value]] - Table1[[#This Row],[mean]]) / Table1[[#This Row],[std_dev]]</f>
        <v>-0.13177206339672762</v>
      </c>
      <c r="K2320">
        <f>AVERAGEIF(Table1[CountryCode],Table1[[#This Row],[CountryCode]],Table1[z-score])</f>
        <v>0.68174026806790211</v>
      </c>
      <c r="L2320" t="e">
        <f>VLOOKUP(Table1[[#This Row],[CountryCode]],[1]!Table1[#Data],4,FALSE)</f>
        <v>#REF!</v>
      </c>
    </row>
    <row r="2321" spans="1:12" hidden="1" x14ac:dyDescent="0.3">
      <c r="A2321" t="s">
        <v>27</v>
      </c>
      <c r="B2321" t="s">
        <v>28</v>
      </c>
      <c r="C2321" t="s">
        <v>125</v>
      </c>
      <c r="D2321" t="s">
        <v>126</v>
      </c>
      <c r="E2321">
        <v>1977</v>
      </c>
      <c r="F2321" s="1">
        <v>7</v>
      </c>
      <c r="G2321">
        <v>1980</v>
      </c>
      <c r="H2321">
        <f>AVERAGEIFS(Table1[value],Table1[IndicatorCode],Table1[[#This Row],[IndicatorCode]])</f>
        <v>7.6894248608534319</v>
      </c>
      <c r="I2321" cm="1">
        <f t="array" ref="I2321">_xlfn.STDEV.P(IF(Table1[IndicatorCode]=Table1[[#This Row],[IndicatorCode]],Table1[value]))</f>
        <v>5.2319501044600996</v>
      </c>
      <c r="J2321">
        <f>(Table1[[#This Row],[value]] - Table1[[#This Row],[mean]]) / Table1[[#This Row],[std_dev]]</f>
        <v>-0.13177206339672762</v>
      </c>
      <c r="K2321">
        <f>AVERAGEIF(Table1[CountryCode],Table1[[#This Row],[CountryCode]],Table1[z-score])</f>
        <v>0.68174026806790211</v>
      </c>
      <c r="L2321" t="e">
        <f>VLOOKUP(Table1[[#This Row],[CountryCode]],[1]!Table1[#Data],4,FALSE)</f>
        <v>#REF!</v>
      </c>
    </row>
    <row r="2322" spans="1:12" hidden="1" x14ac:dyDescent="0.3">
      <c r="A2322" t="s">
        <v>27</v>
      </c>
      <c r="B2322" t="s">
        <v>28</v>
      </c>
      <c r="C2322" t="s">
        <v>125</v>
      </c>
      <c r="D2322" t="s">
        <v>126</v>
      </c>
      <c r="E2322">
        <v>1978</v>
      </c>
      <c r="F2322" s="1">
        <v>7</v>
      </c>
      <c r="G2322">
        <v>1980</v>
      </c>
      <c r="H2322">
        <f>AVERAGEIFS(Table1[value],Table1[IndicatorCode],Table1[[#This Row],[IndicatorCode]])</f>
        <v>7.6894248608534319</v>
      </c>
      <c r="I2322" cm="1">
        <f t="array" ref="I2322">_xlfn.STDEV.P(IF(Table1[IndicatorCode]=Table1[[#This Row],[IndicatorCode]],Table1[value]))</f>
        <v>5.2319501044600996</v>
      </c>
      <c r="J2322">
        <f>(Table1[[#This Row],[value]] - Table1[[#This Row],[mean]]) / Table1[[#This Row],[std_dev]]</f>
        <v>-0.13177206339672762</v>
      </c>
      <c r="K2322">
        <f>AVERAGEIF(Table1[CountryCode],Table1[[#This Row],[CountryCode]],Table1[z-score])</f>
        <v>0.68174026806790211</v>
      </c>
      <c r="L2322" t="e">
        <f>VLOOKUP(Table1[[#This Row],[CountryCode]],[1]!Table1[#Data],4,FALSE)</f>
        <v>#REF!</v>
      </c>
    </row>
    <row r="2323" spans="1:12" hidden="1" x14ac:dyDescent="0.3">
      <c r="A2323" t="s">
        <v>27</v>
      </c>
      <c r="B2323" t="s">
        <v>28</v>
      </c>
      <c r="C2323" t="s">
        <v>125</v>
      </c>
      <c r="D2323" t="s">
        <v>126</v>
      </c>
      <c r="E2323">
        <v>1979</v>
      </c>
      <c r="F2323" s="1">
        <v>7</v>
      </c>
      <c r="G2323">
        <v>1980</v>
      </c>
      <c r="H2323">
        <f>AVERAGEIFS(Table1[value],Table1[IndicatorCode],Table1[[#This Row],[IndicatorCode]])</f>
        <v>7.6894248608534319</v>
      </c>
      <c r="I2323" cm="1">
        <f t="array" ref="I2323">_xlfn.STDEV.P(IF(Table1[IndicatorCode]=Table1[[#This Row],[IndicatorCode]],Table1[value]))</f>
        <v>5.2319501044600996</v>
      </c>
      <c r="J2323">
        <f>(Table1[[#This Row],[value]] - Table1[[#This Row],[mean]]) / Table1[[#This Row],[std_dev]]</f>
        <v>-0.13177206339672762</v>
      </c>
      <c r="K2323">
        <f>AVERAGEIF(Table1[CountryCode],Table1[[#This Row],[CountryCode]],Table1[z-score])</f>
        <v>0.68174026806790211</v>
      </c>
      <c r="L2323" t="e">
        <f>VLOOKUP(Table1[[#This Row],[CountryCode]],[1]!Table1[#Data],4,FALSE)</f>
        <v>#REF!</v>
      </c>
    </row>
    <row r="2324" spans="1:12" hidden="1" x14ac:dyDescent="0.3">
      <c r="A2324" t="s">
        <v>27</v>
      </c>
      <c r="B2324" t="s">
        <v>28</v>
      </c>
      <c r="C2324" t="s">
        <v>125</v>
      </c>
      <c r="D2324" t="s">
        <v>126</v>
      </c>
      <c r="E2324">
        <v>1980</v>
      </c>
      <c r="F2324" s="1">
        <v>7</v>
      </c>
      <c r="G2324">
        <v>1980</v>
      </c>
      <c r="H2324">
        <f>AVERAGEIFS(Table1[value],Table1[IndicatorCode],Table1[[#This Row],[IndicatorCode]])</f>
        <v>7.6894248608534319</v>
      </c>
      <c r="I2324" cm="1">
        <f t="array" ref="I2324">_xlfn.STDEV.P(IF(Table1[IndicatorCode]=Table1[[#This Row],[IndicatorCode]],Table1[value]))</f>
        <v>5.2319501044600996</v>
      </c>
      <c r="J2324">
        <f>(Table1[[#This Row],[value]] - Table1[[#This Row],[mean]]) / Table1[[#This Row],[std_dev]]</f>
        <v>-0.13177206339672762</v>
      </c>
      <c r="K2324">
        <f>AVERAGEIF(Table1[CountryCode],Table1[[#This Row],[CountryCode]],Table1[z-score])</f>
        <v>0.68174026806790211</v>
      </c>
      <c r="L2324" t="e">
        <f>VLOOKUP(Table1[[#This Row],[CountryCode]],[1]!Table1[#Data],4,FALSE)</f>
        <v>#REF!</v>
      </c>
    </row>
    <row r="2325" spans="1:12" hidden="1" x14ac:dyDescent="0.3">
      <c r="A2325" t="s">
        <v>27</v>
      </c>
      <c r="B2325" t="s">
        <v>28</v>
      </c>
      <c r="C2325" t="s">
        <v>125</v>
      </c>
      <c r="D2325" t="s">
        <v>126</v>
      </c>
      <c r="E2325">
        <v>1981</v>
      </c>
      <c r="F2325" s="1">
        <v>6</v>
      </c>
      <c r="G2325">
        <v>1980</v>
      </c>
      <c r="H2325">
        <f>AVERAGEIFS(Table1[value],Table1[IndicatorCode],Table1[[#This Row],[IndicatorCode]])</f>
        <v>7.6894248608534319</v>
      </c>
      <c r="I2325" cm="1">
        <f t="array" ref="I2325">_xlfn.STDEV.P(IF(Table1[IndicatorCode]=Table1[[#This Row],[IndicatorCode]],Table1[value]))</f>
        <v>5.2319501044600996</v>
      </c>
      <c r="J2325">
        <f>(Table1[[#This Row],[value]] - Table1[[#This Row],[mean]]) / Table1[[#This Row],[std_dev]]</f>
        <v>-0.32290538463148605</v>
      </c>
      <c r="K2325">
        <f>AVERAGEIF(Table1[CountryCode],Table1[[#This Row],[CountryCode]],Table1[z-score])</f>
        <v>0.68174026806790211</v>
      </c>
      <c r="L2325" t="e">
        <f>VLOOKUP(Table1[[#This Row],[CountryCode]],[1]!Table1[#Data],4,FALSE)</f>
        <v>#REF!</v>
      </c>
    </row>
    <row r="2326" spans="1:12" hidden="1" x14ac:dyDescent="0.3">
      <c r="A2326" t="s">
        <v>27</v>
      </c>
      <c r="B2326" t="s">
        <v>28</v>
      </c>
      <c r="C2326" t="s">
        <v>125</v>
      </c>
      <c r="D2326" t="s">
        <v>126</v>
      </c>
      <c r="E2326">
        <v>1982</v>
      </c>
      <c r="F2326" s="1">
        <v>6</v>
      </c>
      <c r="G2326">
        <v>1980</v>
      </c>
      <c r="H2326">
        <f>AVERAGEIFS(Table1[value],Table1[IndicatorCode],Table1[[#This Row],[IndicatorCode]])</f>
        <v>7.6894248608534319</v>
      </c>
      <c r="I2326" cm="1">
        <f t="array" ref="I2326">_xlfn.STDEV.P(IF(Table1[IndicatorCode]=Table1[[#This Row],[IndicatorCode]],Table1[value]))</f>
        <v>5.2319501044600996</v>
      </c>
      <c r="J2326">
        <f>(Table1[[#This Row],[value]] - Table1[[#This Row],[mean]]) / Table1[[#This Row],[std_dev]]</f>
        <v>-0.32290538463148605</v>
      </c>
      <c r="K2326">
        <f>AVERAGEIF(Table1[CountryCode],Table1[[#This Row],[CountryCode]],Table1[z-score])</f>
        <v>0.68174026806790211</v>
      </c>
      <c r="L2326" t="e">
        <f>VLOOKUP(Table1[[#This Row],[CountryCode]],[1]!Table1[#Data],4,FALSE)</f>
        <v>#REF!</v>
      </c>
    </row>
    <row r="2327" spans="1:12" hidden="1" x14ac:dyDescent="0.3">
      <c r="A2327" t="s">
        <v>27</v>
      </c>
      <c r="B2327" t="s">
        <v>28</v>
      </c>
      <c r="C2327" t="s">
        <v>125</v>
      </c>
      <c r="D2327" t="s">
        <v>126</v>
      </c>
      <c r="E2327">
        <v>1983</v>
      </c>
      <c r="F2327" s="1">
        <v>7</v>
      </c>
      <c r="G2327">
        <v>1980</v>
      </c>
      <c r="H2327">
        <f>AVERAGEIFS(Table1[value],Table1[IndicatorCode],Table1[[#This Row],[IndicatorCode]])</f>
        <v>7.6894248608534319</v>
      </c>
      <c r="I2327" cm="1">
        <f t="array" ref="I2327">_xlfn.STDEV.P(IF(Table1[IndicatorCode]=Table1[[#This Row],[IndicatorCode]],Table1[value]))</f>
        <v>5.2319501044600996</v>
      </c>
      <c r="J2327">
        <f>(Table1[[#This Row],[value]] - Table1[[#This Row],[mean]]) / Table1[[#This Row],[std_dev]]</f>
        <v>-0.13177206339672762</v>
      </c>
      <c r="K2327">
        <f>AVERAGEIF(Table1[CountryCode],Table1[[#This Row],[CountryCode]],Table1[z-score])</f>
        <v>0.68174026806790211</v>
      </c>
      <c r="L2327" t="e">
        <f>VLOOKUP(Table1[[#This Row],[CountryCode]],[1]!Table1[#Data],4,FALSE)</f>
        <v>#REF!</v>
      </c>
    </row>
    <row r="2328" spans="1:12" hidden="1" x14ac:dyDescent="0.3">
      <c r="A2328" t="s">
        <v>27</v>
      </c>
      <c r="B2328" t="s">
        <v>28</v>
      </c>
      <c r="C2328" t="s">
        <v>125</v>
      </c>
      <c r="D2328" t="s">
        <v>126</v>
      </c>
      <c r="E2328">
        <v>1984</v>
      </c>
      <c r="F2328" s="1">
        <v>7</v>
      </c>
      <c r="G2328">
        <v>1980</v>
      </c>
      <c r="H2328">
        <f>AVERAGEIFS(Table1[value],Table1[IndicatorCode],Table1[[#This Row],[IndicatorCode]])</f>
        <v>7.6894248608534319</v>
      </c>
      <c r="I2328" cm="1">
        <f t="array" ref="I2328">_xlfn.STDEV.P(IF(Table1[IndicatorCode]=Table1[[#This Row],[IndicatorCode]],Table1[value]))</f>
        <v>5.2319501044600996</v>
      </c>
      <c r="J2328">
        <f>(Table1[[#This Row],[value]] - Table1[[#This Row],[mean]]) / Table1[[#This Row],[std_dev]]</f>
        <v>-0.13177206339672762</v>
      </c>
      <c r="K2328">
        <f>AVERAGEIF(Table1[CountryCode],Table1[[#This Row],[CountryCode]],Table1[z-score])</f>
        <v>0.68174026806790211</v>
      </c>
      <c r="L2328" t="e">
        <f>VLOOKUP(Table1[[#This Row],[CountryCode]],[1]!Table1[#Data],4,FALSE)</f>
        <v>#REF!</v>
      </c>
    </row>
    <row r="2329" spans="1:12" hidden="1" x14ac:dyDescent="0.3">
      <c r="A2329" t="s">
        <v>27</v>
      </c>
      <c r="B2329" t="s">
        <v>28</v>
      </c>
      <c r="C2329" t="s">
        <v>125</v>
      </c>
      <c r="D2329" t="s">
        <v>126</v>
      </c>
      <c r="E2329">
        <v>1985</v>
      </c>
      <c r="F2329" s="1">
        <v>7</v>
      </c>
      <c r="G2329">
        <v>1980</v>
      </c>
      <c r="H2329">
        <f>AVERAGEIFS(Table1[value],Table1[IndicatorCode],Table1[[#This Row],[IndicatorCode]])</f>
        <v>7.6894248608534319</v>
      </c>
      <c r="I2329" cm="1">
        <f t="array" ref="I2329">_xlfn.STDEV.P(IF(Table1[IndicatorCode]=Table1[[#This Row],[IndicatorCode]],Table1[value]))</f>
        <v>5.2319501044600996</v>
      </c>
      <c r="J2329">
        <f>(Table1[[#This Row],[value]] - Table1[[#This Row],[mean]]) / Table1[[#This Row],[std_dev]]</f>
        <v>-0.13177206339672762</v>
      </c>
      <c r="K2329">
        <f>AVERAGEIF(Table1[CountryCode],Table1[[#This Row],[CountryCode]],Table1[z-score])</f>
        <v>0.68174026806790211</v>
      </c>
      <c r="L2329" t="e">
        <f>VLOOKUP(Table1[[#This Row],[CountryCode]],[1]!Table1[#Data],4,FALSE)</f>
        <v>#REF!</v>
      </c>
    </row>
    <row r="2330" spans="1:12" hidden="1" x14ac:dyDescent="0.3">
      <c r="A2330" t="s">
        <v>27</v>
      </c>
      <c r="B2330" t="s">
        <v>28</v>
      </c>
      <c r="C2330" t="s">
        <v>125</v>
      </c>
      <c r="D2330" t="s">
        <v>126</v>
      </c>
      <c r="E2330">
        <v>1986</v>
      </c>
      <c r="F2330" s="1">
        <v>7</v>
      </c>
      <c r="G2330">
        <v>1980</v>
      </c>
      <c r="H2330">
        <f>AVERAGEIFS(Table1[value],Table1[IndicatorCode],Table1[[#This Row],[IndicatorCode]])</f>
        <v>7.6894248608534319</v>
      </c>
      <c r="I2330" cm="1">
        <f t="array" ref="I2330">_xlfn.STDEV.P(IF(Table1[IndicatorCode]=Table1[[#This Row],[IndicatorCode]],Table1[value]))</f>
        <v>5.2319501044600996</v>
      </c>
      <c r="J2330">
        <f>(Table1[[#This Row],[value]] - Table1[[#This Row],[mean]]) / Table1[[#This Row],[std_dev]]</f>
        <v>-0.13177206339672762</v>
      </c>
      <c r="K2330">
        <f>AVERAGEIF(Table1[CountryCode],Table1[[#This Row],[CountryCode]],Table1[z-score])</f>
        <v>0.68174026806790211</v>
      </c>
      <c r="L2330" t="e">
        <f>VLOOKUP(Table1[[#This Row],[CountryCode]],[1]!Table1[#Data],4,FALSE)</f>
        <v>#REF!</v>
      </c>
    </row>
    <row r="2331" spans="1:12" hidden="1" x14ac:dyDescent="0.3">
      <c r="A2331" t="s">
        <v>27</v>
      </c>
      <c r="B2331" t="s">
        <v>28</v>
      </c>
      <c r="C2331" t="s">
        <v>125</v>
      </c>
      <c r="D2331" t="s">
        <v>126</v>
      </c>
      <c r="E2331">
        <v>1987</v>
      </c>
      <c r="F2331" s="1">
        <v>7</v>
      </c>
      <c r="G2331">
        <v>1990</v>
      </c>
      <c r="H2331">
        <f>AVERAGEIFS(Table1[value],Table1[IndicatorCode],Table1[[#This Row],[IndicatorCode]])</f>
        <v>7.6894248608534319</v>
      </c>
      <c r="I2331" cm="1">
        <f t="array" ref="I2331">_xlfn.STDEV.P(IF(Table1[IndicatorCode]=Table1[[#This Row],[IndicatorCode]],Table1[value]))</f>
        <v>5.2319501044600996</v>
      </c>
      <c r="J2331">
        <f>(Table1[[#This Row],[value]] - Table1[[#This Row],[mean]]) / Table1[[#This Row],[std_dev]]</f>
        <v>-0.13177206339672762</v>
      </c>
      <c r="K2331">
        <f>AVERAGEIF(Table1[CountryCode],Table1[[#This Row],[CountryCode]],Table1[z-score])</f>
        <v>0.68174026806790211</v>
      </c>
      <c r="L2331" t="e">
        <f>VLOOKUP(Table1[[#This Row],[CountryCode]],[1]!Table1[#Data],4,FALSE)</f>
        <v>#REF!</v>
      </c>
    </row>
    <row r="2332" spans="1:12" hidden="1" x14ac:dyDescent="0.3">
      <c r="A2332" t="s">
        <v>27</v>
      </c>
      <c r="B2332" t="s">
        <v>28</v>
      </c>
      <c r="C2332" t="s">
        <v>125</v>
      </c>
      <c r="D2332" t="s">
        <v>126</v>
      </c>
      <c r="E2332">
        <v>1988</v>
      </c>
      <c r="F2332" s="1">
        <v>7</v>
      </c>
      <c r="G2332">
        <v>1990</v>
      </c>
      <c r="H2332">
        <f>AVERAGEIFS(Table1[value],Table1[IndicatorCode],Table1[[#This Row],[IndicatorCode]])</f>
        <v>7.6894248608534319</v>
      </c>
      <c r="I2332" cm="1">
        <f t="array" ref="I2332">_xlfn.STDEV.P(IF(Table1[IndicatorCode]=Table1[[#This Row],[IndicatorCode]],Table1[value]))</f>
        <v>5.2319501044600996</v>
      </c>
      <c r="J2332">
        <f>(Table1[[#This Row],[value]] - Table1[[#This Row],[mean]]) / Table1[[#This Row],[std_dev]]</f>
        <v>-0.13177206339672762</v>
      </c>
      <c r="K2332">
        <f>AVERAGEIF(Table1[CountryCode],Table1[[#This Row],[CountryCode]],Table1[z-score])</f>
        <v>0.68174026806790211</v>
      </c>
      <c r="L2332" t="e">
        <f>VLOOKUP(Table1[[#This Row],[CountryCode]],[1]!Table1[#Data],4,FALSE)</f>
        <v>#REF!</v>
      </c>
    </row>
    <row r="2333" spans="1:12" hidden="1" x14ac:dyDescent="0.3">
      <c r="A2333" t="s">
        <v>27</v>
      </c>
      <c r="B2333" t="s">
        <v>28</v>
      </c>
      <c r="C2333" t="s">
        <v>125</v>
      </c>
      <c r="D2333" t="s">
        <v>126</v>
      </c>
      <c r="E2333">
        <v>1989</v>
      </c>
      <c r="F2333" s="1">
        <v>7</v>
      </c>
      <c r="G2333">
        <v>1990</v>
      </c>
      <c r="H2333">
        <f>AVERAGEIFS(Table1[value],Table1[IndicatorCode],Table1[[#This Row],[IndicatorCode]])</f>
        <v>7.6894248608534319</v>
      </c>
      <c r="I2333" cm="1">
        <f t="array" ref="I2333">_xlfn.STDEV.P(IF(Table1[IndicatorCode]=Table1[[#This Row],[IndicatorCode]],Table1[value]))</f>
        <v>5.2319501044600996</v>
      </c>
      <c r="J2333">
        <f>(Table1[[#This Row],[value]] - Table1[[#This Row],[mean]]) / Table1[[#This Row],[std_dev]]</f>
        <v>-0.13177206339672762</v>
      </c>
      <c r="K2333">
        <f>AVERAGEIF(Table1[CountryCode],Table1[[#This Row],[CountryCode]],Table1[z-score])</f>
        <v>0.68174026806790211</v>
      </c>
      <c r="L2333" t="e">
        <f>VLOOKUP(Table1[[#This Row],[CountryCode]],[1]!Table1[#Data],4,FALSE)</f>
        <v>#REF!</v>
      </c>
    </row>
    <row r="2334" spans="1:12" hidden="1" x14ac:dyDescent="0.3">
      <c r="A2334" t="s">
        <v>27</v>
      </c>
      <c r="B2334" t="s">
        <v>28</v>
      </c>
      <c r="C2334" t="s">
        <v>125</v>
      </c>
      <c r="D2334" t="s">
        <v>126</v>
      </c>
      <c r="E2334">
        <v>1990</v>
      </c>
      <c r="F2334" s="1">
        <v>7</v>
      </c>
      <c r="G2334">
        <v>1990</v>
      </c>
      <c r="H2334">
        <f>AVERAGEIFS(Table1[value],Table1[IndicatorCode],Table1[[#This Row],[IndicatorCode]])</f>
        <v>7.6894248608534319</v>
      </c>
      <c r="I2334" cm="1">
        <f t="array" ref="I2334">_xlfn.STDEV.P(IF(Table1[IndicatorCode]=Table1[[#This Row],[IndicatorCode]],Table1[value]))</f>
        <v>5.2319501044600996</v>
      </c>
      <c r="J2334">
        <f>(Table1[[#This Row],[value]] - Table1[[#This Row],[mean]]) / Table1[[#This Row],[std_dev]]</f>
        <v>-0.13177206339672762</v>
      </c>
      <c r="K2334">
        <f>AVERAGEIF(Table1[CountryCode],Table1[[#This Row],[CountryCode]],Table1[z-score])</f>
        <v>0.68174026806790211</v>
      </c>
      <c r="L2334" t="e">
        <f>VLOOKUP(Table1[[#This Row],[CountryCode]],[1]!Table1[#Data],4,FALSE)</f>
        <v>#REF!</v>
      </c>
    </row>
    <row r="2335" spans="1:12" hidden="1" x14ac:dyDescent="0.3">
      <c r="A2335" t="s">
        <v>27</v>
      </c>
      <c r="B2335" t="s">
        <v>28</v>
      </c>
      <c r="C2335" t="s">
        <v>125</v>
      </c>
      <c r="D2335" t="s">
        <v>126</v>
      </c>
      <c r="E2335">
        <v>1991</v>
      </c>
      <c r="F2335" s="1">
        <v>7</v>
      </c>
      <c r="G2335">
        <v>1990</v>
      </c>
      <c r="H2335">
        <f>AVERAGEIFS(Table1[value],Table1[IndicatorCode],Table1[[#This Row],[IndicatorCode]])</f>
        <v>7.6894248608534319</v>
      </c>
      <c r="I2335" cm="1">
        <f t="array" ref="I2335">_xlfn.STDEV.P(IF(Table1[IndicatorCode]=Table1[[#This Row],[IndicatorCode]],Table1[value]))</f>
        <v>5.2319501044600996</v>
      </c>
      <c r="J2335">
        <f>(Table1[[#This Row],[value]] - Table1[[#This Row],[mean]]) / Table1[[#This Row],[std_dev]]</f>
        <v>-0.13177206339672762</v>
      </c>
      <c r="K2335">
        <f>AVERAGEIF(Table1[CountryCode],Table1[[#This Row],[CountryCode]],Table1[z-score])</f>
        <v>0.68174026806790211</v>
      </c>
      <c r="L2335" t="e">
        <f>VLOOKUP(Table1[[#This Row],[CountryCode]],[1]!Table1[#Data],4,FALSE)</f>
        <v>#REF!</v>
      </c>
    </row>
    <row r="2336" spans="1:12" hidden="1" x14ac:dyDescent="0.3">
      <c r="A2336" t="s">
        <v>27</v>
      </c>
      <c r="B2336" t="s">
        <v>28</v>
      </c>
      <c r="C2336" t="s">
        <v>125</v>
      </c>
      <c r="D2336" t="s">
        <v>126</v>
      </c>
      <c r="E2336">
        <v>1992</v>
      </c>
      <c r="F2336" s="1">
        <v>7</v>
      </c>
      <c r="G2336">
        <v>1990</v>
      </c>
      <c r="H2336">
        <f>AVERAGEIFS(Table1[value],Table1[IndicatorCode],Table1[[#This Row],[IndicatorCode]])</f>
        <v>7.6894248608534319</v>
      </c>
      <c r="I2336" cm="1">
        <f t="array" ref="I2336">_xlfn.STDEV.P(IF(Table1[IndicatorCode]=Table1[[#This Row],[IndicatorCode]],Table1[value]))</f>
        <v>5.2319501044600996</v>
      </c>
      <c r="J2336">
        <f>(Table1[[#This Row],[value]] - Table1[[#This Row],[mean]]) / Table1[[#This Row],[std_dev]]</f>
        <v>-0.13177206339672762</v>
      </c>
      <c r="K2336">
        <f>AVERAGEIF(Table1[CountryCode],Table1[[#This Row],[CountryCode]],Table1[z-score])</f>
        <v>0.68174026806790211</v>
      </c>
      <c r="L2336" t="e">
        <f>VLOOKUP(Table1[[#This Row],[CountryCode]],[1]!Table1[#Data],4,FALSE)</f>
        <v>#REF!</v>
      </c>
    </row>
    <row r="2337" spans="1:12" hidden="1" x14ac:dyDescent="0.3">
      <c r="A2337" t="s">
        <v>27</v>
      </c>
      <c r="B2337" t="s">
        <v>28</v>
      </c>
      <c r="C2337" t="s">
        <v>125</v>
      </c>
      <c r="D2337" t="s">
        <v>126</v>
      </c>
      <c r="E2337">
        <v>1993</v>
      </c>
      <c r="F2337" s="1">
        <v>6</v>
      </c>
      <c r="G2337">
        <v>1990</v>
      </c>
      <c r="H2337">
        <f>AVERAGEIFS(Table1[value],Table1[IndicatorCode],Table1[[#This Row],[IndicatorCode]])</f>
        <v>7.6894248608534319</v>
      </c>
      <c r="I2337" cm="1">
        <f t="array" ref="I2337">_xlfn.STDEV.P(IF(Table1[IndicatorCode]=Table1[[#This Row],[IndicatorCode]],Table1[value]))</f>
        <v>5.2319501044600996</v>
      </c>
      <c r="J2337">
        <f>(Table1[[#This Row],[value]] - Table1[[#This Row],[mean]]) / Table1[[#This Row],[std_dev]]</f>
        <v>-0.32290538463148605</v>
      </c>
      <c r="K2337">
        <f>AVERAGEIF(Table1[CountryCode],Table1[[#This Row],[CountryCode]],Table1[z-score])</f>
        <v>0.68174026806790211</v>
      </c>
      <c r="L2337" t="e">
        <f>VLOOKUP(Table1[[#This Row],[CountryCode]],[1]!Table1[#Data],4,FALSE)</f>
        <v>#REF!</v>
      </c>
    </row>
    <row r="2338" spans="1:12" hidden="1" x14ac:dyDescent="0.3">
      <c r="A2338" t="s">
        <v>27</v>
      </c>
      <c r="B2338" t="s">
        <v>28</v>
      </c>
      <c r="C2338" t="s">
        <v>125</v>
      </c>
      <c r="D2338" t="s">
        <v>126</v>
      </c>
      <c r="E2338">
        <v>1994</v>
      </c>
      <c r="F2338" s="1">
        <v>6</v>
      </c>
      <c r="G2338">
        <v>1990</v>
      </c>
      <c r="H2338">
        <f>AVERAGEIFS(Table1[value],Table1[IndicatorCode],Table1[[#This Row],[IndicatorCode]])</f>
        <v>7.6894248608534319</v>
      </c>
      <c r="I2338" cm="1">
        <f t="array" ref="I2338">_xlfn.STDEV.P(IF(Table1[IndicatorCode]=Table1[[#This Row],[IndicatorCode]],Table1[value]))</f>
        <v>5.2319501044600996</v>
      </c>
      <c r="J2338">
        <f>(Table1[[#This Row],[value]] - Table1[[#This Row],[mean]]) / Table1[[#This Row],[std_dev]]</f>
        <v>-0.32290538463148605</v>
      </c>
      <c r="K2338">
        <f>AVERAGEIF(Table1[CountryCode],Table1[[#This Row],[CountryCode]],Table1[z-score])</f>
        <v>0.68174026806790211</v>
      </c>
      <c r="L2338" t="e">
        <f>VLOOKUP(Table1[[#This Row],[CountryCode]],[1]!Table1[#Data],4,FALSE)</f>
        <v>#REF!</v>
      </c>
    </row>
    <row r="2339" spans="1:12" hidden="1" x14ac:dyDescent="0.3">
      <c r="A2339" t="s">
        <v>27</v>
      </c>
      <c r="B2339" t="s">
        <v>28</v>
      </c>
      <c r="C2339" t="s">
        <v>125</v>
      </c>
      <c r="D2339" t="s">
        <v>126</v>
      </c>
      <c r="E2339">
        <v>1995</v>
      </c>
      <c r="F2339" s="1">
        <v>6</v>
      </c>
      <c r="G2339">
        <v>1990</v>
      </c>
      <c r="H2339">
        <f>AVERAGEIFS(Table1[value],Table1[IndicatorCode],Table1[[#This Row],[IndicatorCode]])</f>
        <v>7.6894248608534319</v>
      </c>
      <c r="I2339" cm="1">
        <f t="array" ref="I2339">_xlfn.STDEV.P(IF(Table1[IndicatorCode]=Table1[[#This Row],[IndicatorCode]],Table1[value]))</f>
        <v>5.2319501044600996</v>
      </c>
      <c r="J2339">
        <f>(Table1[[#This Row],[value]] - Table1[[#This Row],[mean]]) / Table1[[#This Row],[std_dev]]</f>
        <v>-0.32290538463148605</v>
      </c>
      <c r="K2339">
        <f>AVERAGEIF(Table1[CountryCode],Table1[[#This Row],[CountryCode]],Table1[z-score])</f>
        <v>0.68174026806790211</v>
      </c>
      <c r="L2339" t="e">
        <f>VLOOKUP(Table1[[#This Row],[CountryCode]],[1]!Table1[#Data],4,FALSE)</f>
        <v>#REF!</v>
      </c>
    </row>
    <row r="2340" spans="1:12" hidden="1" x14ac:dyDescent="0.3">
      <c r="A2340" t="s">
        <v>27</v>
      </c>
      <c r="B2340" t="s">
        <v>28</v>
      </c>
      <c r="C2340" t="s">
        <v>125</v>
      </c>
      <c r="D2340" t="s">
        <v>126</v>
      </c>
      <c r="E2340">
        <v>1996</v>
      </c>
      <c r="F2340" s="1">
        <v>6</v>
      </c>
      <c r="G2340">
        <v>1990</v>
      </c>
      <c r="H2340">
        <f>AVERAGEIFS(Table1[value],Table1[IndicatorCode],Table1[[#This Row],[IndicatorCode]])</f>
        <v>7.6894248608534319</v>
      </c>
      <c r="I2340" cm="1">
        <f t="array" ref="I2340">_xlfn.STDEV.P(IF(Table1[IndicatorCode]=Table1[[#This Row],[IndicatorCode]],Table1[value]))</f>
        <v>5.2319501044600996</v>
      </c>
      <c r="J2340">
        <f>(Table1[[#This Row],[value]] - Table1[[#This Row],[mean]]) / Table1[[#This Row],[std_dev]]</f>
        <v>-0.32290538463148605</v>
      </c>
      <c r="K2340">
        <f>AVERAGEIF(Table1[CountryCode],Table1[[#This Row],[CountryCode]],Table1[z-score])</f>
        <v>0.68174026806790211</v>
      </c>
      <c r="L2340" t="e">
        <f>VLOOKUP(Table1[[#This Row],[CountryCode]],[1]!Table1[#Data],4,FALSE)</f>
        <v>#REF!</v>
      </c>
    </row>
    <row r="2341" spans="1:12" hidden="1" x14ac:dyDescent="0.3">
      <c r="A2341" t="s">
        <v>27</v>
      </c>
      <c r="B2341" t="s">
        <v>28</v>
      </c>
      <c r="C2341" t="s">
        <v>125</v>
      </c>
      <c r="D2341" t="s">
        <v>126</v>
      </c>
      <c r="E2341">
        <v>1997</v>
      </c>
      <c r="F2341" s="1">
        <v>6</v>
      </c>
      <c r="G2341">
        <v>2000</v>
      </c>
      <c r="H2341">
        <f>AVERAGEIFS(Table1[value],Table1[IndicatorCode],Table1[[#This Row],[IndicatorCode]])</f>
        <v>7.6894248608534319</v>
      </c>
      <c r="I2341" cm="1">
        <f t="array" ref="I2341">_xlfn.STDEV.P(IF(Table1[IndicatorCode]=Table1[[#This Row],[IndicatorCode]],Table1[value]))</f>
        <v>5.2319501044600996</v>
      </c>
      <c r="J2341">
        <f>(Table1[[#This Row],[value]] - Table1[[#This Row],[mean]]) / Table1[[#This Row],[std_dev]]</f>
        <v>-0.32290538463148605</v>
      </c>
      <c r="K2341">
        <f>AVERAGEIF(Table1[CountryCode],Table1[[#This Row],[CountryCode]],Table1[z-score])</f>
        <v>0.68174026806790211</v>
      </c>
      <c r="L2341" t="e">
        <f>VLOOKUP(Table1[[#This Row],[CountryCode]],[1]!Table1[#Data],4,FALSE)</f>
        <v>#REF!</v>
      </c>
    </row>
    <row r="2342" spans="1:12" hidden="1" x14ac:dyDescent="0.3">
      <c r="A2342" t="s">
        <v>27</v>
      </c>
      <c r="B2342" t="s">
        <v>28</v>
      </c>
      <c r="C2342" t="s">
        <v>125</v>
      </c>
      <c r="D2342" t="s">
        <v>126</v>
      </c>
      <c r="E2342">
        <v>1998</v>
      </c>
      <c r="F2342" s="1">
        <v>6</v>
      </c>
      <c r="G2342">
        <v>2000</v>
      </c>
      <c r="H2342">
        <f>AVERAGEIFS(Table1[value],Table1[IndicatorCode],Table1[[#This Row],[IndicatorCode]])</f>
        <v>7.6894248608534319</v>
      </c>
      <c r="I2342" cm="1">
        <f t="array" ref="I2342">_xlfn.STDEV.P(IF(Table1[IndicatorCode]=Table1[[#This Row],[IndicatorCode]],Table1[value]))</f>
        <v>5.2319501044600996</v>
      </c>
      <c r="J2342">
        <f>(Table1[[#This Row],[value]] - Table1[[#This Row],[mean]]) / Table1[[#This Row],[std_dev]]</f>
        <v>-0.32290538463148605</v>
      </c>
      <c r="K2342">
        <f>AVERAGEIF(Table1[CountryCode],Table1[[#This Row],[CountryCode]],Table1[z-score])</f>
        <v>0.68174026806790211</v>
      </c>
      <c r="L2342" t="e">
        <f>VLOOKUP(Table1[[#This Row],[CountryCode]],[1]!Table1[#Data],4,FALSE)</f>
        <v>#REF!</v>
      </c>
    </row>
    <row r="2343" spans="1:12" hidden="1" x14ac:dyDescent="0.3">
      <c r="A2343" t="s">
        <v>27</v>
      </c>
      <c r="B2343" t="s">
        <v>28</v>
      </c>
      <c r="C2343" t="s">
        <v>125</v>
      </c>
      <c r="D2343" t="s">
        <v>126</v>
      </c>
      <c r="E2343">
        <v>1999</v>
      </c>
      <c r="F2343" s="1">
        <v>6</v>
      </c>
      <c r="G2343">
        <v>2000</v>
      </c>
      <c r="H2343">
        <f>AVERAGEIFS(Table1[value],Table1[IndicatorCode],Table1[[#This Row],[IndicatorCode]])</f>
        <v>7.6894248608534319</v>
      </c>
      <c r="I2343" cm="1">
        <f t="array" ref="I2343">_xlfn.STDEV.P(IF(Table1[IndicatorCode]=Table1[[#This Row],[IndicatorCode]],Table1[value]))</f>
        <v>5.2319501044600996</v>
      </c>
      <c r="J2343">
        <f>(Table1[[#This Row],[value]] - Table1[[#This Row],[mean]]) / Table1[[#This Row],[std_dev]]</f>
        <v>-0.32290538463148605</v>
      </c>
      <c r="K2343">
        <f>AVERAGEIF(Table1[CountryCode],Table1[[#This Row],[CountryCode]],Table1[z-score])</f>
        <v>0.68174026806790211</v>
      </c>
      <c r="L2343" t="e">
        <f>VLOOKUP(Table1[[#This Row],[CountryCode]],[1]!Table1[#Data],4,FALSE)</f>
        <v>#REF!</v>
      </c>
    </row>
    <row r="2344" spans="1:12" hidden="1" x14ac:dyDescent="0.3">
      <c r="A2344" t="s">
        <v>27</v>
      </c>
      <c r="B2344" t="s">
        <v>28</v>
      </c>
      <c r="C2344" t="s">
        <v>125</v>
      </c>
      <c r="D2344" t="s">
        <v>126</v>
      </c>
      <c r="E2344">
        <v>2000</v>
      </c>
      <c r="F2344" s="1">
        <v>6</v>
      </c>
      <c r="G2344">
        <v>2000</v>
      </c>
      <c r="H2344">
        <f>AVERAGEIFS(Table1[value],Table1[IndicatorCode],Table1[[#This Row],[IndicatorCode]])</f>
        <v>7.6894248608534319</v>
      </c>
      <c r="I2344" cm="1">
        <f t="array" ref="I2344">_xlfn.STDEV.P(IF(Table1[IndicatorCode]=Table1[[#This Row],[IndicatorCode]],Table1[value]))</f>
        <v>5.2319501044600996</v>
      </c>
      <c r="J2344">
        <f>(Table1[[#This Row],[value]] - Table1[[#This Row],[mean]]) / Table1[[#This Row],[std_dev]]</f>
        <v>-0.32290538463148605</v>
      </c>
      <c r="K2344">
        <f>AVERAGEIF(Table1[CountryCode],Table1[[#This Row],[CountryCode]],Table1[z-score])</f>
        <v>0.68174026806790211</v>
      </c>
      <c r="L2344" t="e">
        <f>VLOOKUP(Table1[[#This Row],[CountryCode]],[1]!Table1[#Data],4,FALSE)</f>
        <v>#REF!</v>
      </c>
    </row>
    <row r="2345" spans="1:12" hidden="1" x14ac:dyDescent="0.3">
      <c r="A2345" t="s">
        <v>27</v>
      </c>
      <c r="B2345" t="s">
        <v>28</v>
      </c>
      <c r="C2345" t="s">
        <v>125</v>
      </c>
      <c r="D2345" t="s">
        <v>126</v>
      </c>
      <c r="E2345">
        <v>2001</v>
      </c>
      <c r="F2345" s="1">
        <v>6</v>
      </c>
      <c r="G2345">
        <v>2000</v>
      </c>
      <c r="H2345">
        <f>AVERAGEIFS(Table1[value],Table1[IndicatorCode],Table1[[#This Row],[IndicatorCode]])</f>
        <v>7.6894248608534319</v>
      </c>
      <c r="I2345" cm="1">
        <f t="array" ref="I2345">_xlfn.STDEV.P(IF(Table1[IndicatorCode]=Table1[[#This Row],[IndicatorCode]],Table1[value]))</f>
        <v>5.2319501044600996</v>
      </c>
      <c r="J2345">
        <f>(Table1[[#This Row],[value]] - Table1[[#This Row],[mean]]) / Table1[[#This Row],[std_dev]]</f>
        <v>-0.32290538463148605</v>
      </c>
      <c r="K2345">
        <f>AVERAGEIF(Table1[CountryCode],Table1[[#This Row],[CountryCode]],Table1[z-score])</f>
        <v>0.68174026806790211</v>
      </c>
      <c r="L2345" t="e">
        <f>VLOOKUP(Table1[[#This Row],[CountryCode]],[1]!Table1[#Data],4,FALSE)</f>
        <v>#REF!</v>
      </c>
    </row>
    <row r="2346" spans="1:12" hidden="1" x14ac:dyDescent="0.3">
      <c r="A2346" t="s">
        <v>27</v>
      </c>
      <c r="B2346" t="s">
        <v>28</v>
      </c>
      <c r="C2346" t="s">
        <v>125</v>
      </c>
      <c r="D2346" t="s">
        <v>126</v>
      </c>
      <c r="E2346">
        <v>2002</v>
      </c>
      <c r="F2346" s="1">
        <v>6</v>
      </c>
      <c r="G2346">
        <v>2000</v>
      </c>
      <c r="H2346">
        <f>AVERAGEIFS(Table1[value],Table1[IndicatorCode],Table1[[#This Row],[IndicatorCode]])</f>
        <v>7.6894248608534319</v>
      </c>
      <c r="I2346" cm="1">
        <f t="array" ref="I2346">_xlfn.STDEV.P(IF(Table1[IndicatorCode]=Table1[[#This Row],[IndicatorCode]],Table1[value]))</f>
        <v>5.2319501044600996</v>
      </c>
      <c r="J2346">
        <f>(Table1[[#This Row],[value]] - Table1[[#This Row],[mean]]) / Table1[[#This Row],[std_dev]]</f>
        <v>-0.32290538463148605</v>
      </c>
      <c r="K2346">
        <f>AVERAGEIF(Table1[CountryCode],Table1[[#This Row],[CountryCode]],Table1[z-score])</f>
        <v>0.68174026806790211</v>
      </c>
      <c r="L2346" t="e">
        <f>VLOOKUP(Table1[[#This Row],[CountryCode]],[1]!Table1[#Data],4,FALSE)</f>
        <v>#REF!</v>
      </c>
    </row>
    <row r="2347" spans="1:12" hidden="1" x14ac:dyDescent="0.3">
      <c r="A2347" t="s">
        <v>27</v>
      </c>
      <c r="B2347" t="s">
        <v>28</v>
      </c>
      <c r="C2347" t="s">
        <v>125</v>
      </c>
      <c r="D2347" t="s">
        <v>126</v>
      </c>
      <c r="E2347">
        <v>2003</v>
      </c>
      <c r="F2347" s="1">
        <v>6</v>
      </c>
      <c r="G2347">
        <v>2000</v>
      </c>
      <c r="H2347">
        <f>AVERAGEIFS(Table1[value],Table1[IndicatorCode],Table1[[#This Row],[IndicatorCode]])</f>
        <v>7.6894248608534319</v>
      </c>
      <c r="I2347" cm="1">
        <f t="array" ref="I2347">_xlfn.STDEV.P(IF(Table1[IndicatorCode]=Table1[[#This Row],[IndicatorCode]],Table1[value]))</f>
        <v>5.2319501044600996</v>
      </c>
      <c r="J2347">
        <f>(Table1[[#This Row],[value]] - Table1[[#This Row],[mean]]) / Table1[[#This Row],[std_dev]]</f>
        <v>-0.32290538463148605</v>
      </c>
      <c r="K2347">
        <f>AVERAGEIF(Table1[CountryCode],Table1[[#This Row],[CountryCode]],Table1[z-score])</f>
        <v>0.68174026806790211</v>
      </c>
      <c r="L2347" t="e">
        <f>VLOOKUP(Table1[[#This Row],[CountryCode]],[1]!Table1[#Data],4,FALSE)</f>
        <v>#REF!</v>
      </c>
    </row>
    <row r="2348" spans="1:12" hidden="1" x14ac:dyDescent="0.3">
      <c r="A2348" t="s">
        <v>27</v>
      </c>
      <c r="B2348" t="s">
        <v>28</v>
      </c>
      <c r="C2348" t="s">
        <v>125</v>
      </c>
      <c r="D2348" t="s">
        <v>126</v>
      </c>
      <c r="E2348">
        <v>2004</v>
      </c>
      <c r="F2348" s="1">
        <v>6</v>
      </c>
      <c r="G2348">
        <v>2000</v>
      </c>
      <c r="H2348">
        <f>AVERAGEIFS(Table1[value],Table1[IndicatorCode],Table1[[#This Row],[IndicatorCode]])</f>
        <v>7.6894248608534319</v>
      </c>
      <c r="I2348" cm="1">
        <f t="array" ref="I2348">_xlfn.STDEV.P(IF(Table1[IndicatorCode]=Table1[[#This Row],[IndicatorCode]],Table1[value]))</f>
        <v>5.2319501044600996</v>
      </c>
      <c r="J2348">
        <f>(Table1[[#This Row],[value]] - Table1[[#This Row],[mean]]) / Table1[[#This Row],[std_dev]]</f>
        <v>-0.32290538463148605</v>
      </c>
      <c r="K2348">
        <f>AVERAGEIF(Table1[CountryCode],Table1[[#This Row],[CountryCode]],Table1[z-score])</f>
        <v>0.68174026806790211</v>
      </c>
      <c r="L2348" t="e">
        <f>VLOOKUP(Table1[[#This Row],[CountryCode]],[1]!Table1[#Data],4,FALSE)</f>
        <v>#REF!</v>
      </c>
    </row>
    <row r="2349" spans="1:12" hidden="1" x14ac:dyDescent="0.3">
      <c r="A2349" t="s">
        <v>27</v>
      </c>
      <c r="B2349" t="s">
        <v>28</v>
      </c>
      <c r="C2349" t="s">
        <v>125</v>
      </c>
      <c r="D2349" t="s">
        <v>126</v>
      </c>
      <c r="E2349">
        <v>2005</v>
      </c>
      <c r="F2349" s="1">
        <v>6</v>
      </c>
      <c r="G2349">
        <v>2000</v>
      </c>
      <c r="H2349">
        <f>AVERAGEIFS(Table1[value],Table1[IndicatorCode],Table1[[#This Row],[IndicatorCode]])</f>
        <v>7.6894248608534319</v>
      </c>
      <c r="I2349" cm="1">
        <f t="array" ref="I2349">_xlfn.STDEV.P(IF(Table1[IndicatorCode]=Table1[[#This Row],[IndicatorCode]],Table1[value]))</f>
        <v>5.2319501044600996</v>
      </c>
      <c r="J2349">
        <f>(Table1[[#This Row],[value]] - Table1[[#This Row],[mean]]) / Table1[[#This Row],[std_dev]]</f>
        <v>-0.32290538463148605</v>
      </c>
      <c r="K2349">
        <f>AVERAGEIF(Table1[CountryCode],Table1[[#This Row],[CountryCode]],Table1[z-score])</f>
        <v>0.68174026806790211</v>
      </c>
      <c r="L2349" t="e">
        <f>VLOOKUP(Table1[[#This Row],[CountryCode]],[1]!Table1[#Data],4,FALSE)</f>
        <v>#REF!</v>
      </c>
    </row>
    <row r="2350" spans="1:12" hidden="1" x14ac:dyDescent="0.3">
      <c r="A2350" t="s">
        <v>27</v>
      </c>
      <c r="B2350" t="s">
        <v>28</v>
      </c>
      <c r="C2350" t="s">
        <v>125</v>
      </c>
      <c r="D2350" t="s">
        <v>126</v>
      </c>
      <c r="E2350">
        <v>2006</v>
      </c>
      <c r="F2350" s="1">
        <v>6</v>
      </c>
      <c r="G2350">
        <v>2000</v>
      </c>
      <c r="H2350">
        <f>AVERAGEIFS(Table1[value],Table1[IndicatorCode],Table1[[#This Row],[IndicatorCode]])</f>
        <v>7.6894248608534319</v>
      </c>
      <c r="I2350" cm="1">
        <f t="array" ref="I2350">_xlfn.STDEV.P(IF(Table1[IndicatorCode]=Table1[[#This Row],[IndicatorCode]],Table1[value]))</f>
        <v>5.2319501044600996</v>
      </c>
      <c r="J2350">
        <f>(Table1[[#This Row],[value]] - Table1[[#This Row],[mean]]) / Table1[[#This Row],[std_dev]]</f>
        <v>-0.32290538463148605</v>
      </c>
      <c r="K2350">
        <f>AVERAGEIF(Table1[CountryCode],Table1[[#This Row],[CountryCode]],Table1[z-score])</f>
        <v>0.68174026806790211</v>
      </c>
      <c r="L2350" t="e">
        <f>VLOOKUP(Table1[[#This Row],[CountryCode]],[1]!Table1[#Data],4,FALSE)</f>
        <v>#REF!</v>
      </c>
    </row>
    <row r="2351" spans="1:12" hidden="1" x14ac:dyDescent="0.3">
      <c r="A2351" t="s">
        <v>27</v>
      </c>
      <c r="B2351" t="s">
        <v>28</v>
      </c>
      <c r="C2351" t="s">
        <v>125</v>
      </c>
      <c r="D2351" t="s">
        <v>126</v>
      </c>
      <c r="E2351">
        <v>2007</v>
      </c>
      <c r="F2351" s="1">
        <v>6</v>
      </c>
      <c r="G2351">
        <v>2010</v>
      </c>
      <c r="H2351">
        <f>AVERAGEIFS(Table1[value],Table1[IndicatorCode],Table1[[#This Row],[IndicatorCode]])</f>
        <v>7.6894248608534319</v>
      </c>
      <c r="I2351" cm="1">
        <f t="array" ref="I2351">_xlfn.STDEV.P(IF(Table1[IndicatorCode]=Table1[[#This Row],[IndicatorCode]],Table1[value]))</f>
        <v>5.2319501044600996</v>
      </c>
      <c r="J2351">
        <f>(Table1[[#This Row],[value]] - Table1[[#This Row],[mean]]) / Table1[[#This Row],[std_dev]]</f>
        <v>-0.32290538463148605</v>
      </c>
      <c r="K2351">
        <f>AVERAGEIF(Table1[CountryCode],Table1[[#This Row],[CountryCode]],Table1[z-score])</f>
        <v>0.68174026806790211</v>
      </c>
      <c r="L2351" t="e">
        <f>VLOOKUP(Table1[[#This Row],[CountryCode]],[1]!Table1[#Data],4,FALSE)</f>
        <v>#REF!</v>
      </c>
    </row>
    <row r="2352" spans="1:12" hidden="1" x14ac:dyDescent="0.3">
      <c r="A2352" t="s">
        <v>27</v>
      </c>
      <c r="B2352" t="s">
        <v>28</v>
      </c>
      <c r="C2352" t="s">
        <v>125</v>
      </c>
      <c r="D2352" t="s">
        <v>126</v>
      </c>
      <c r="E2352">
        <v>2008</v>
      </c>
      <c r="F2352" s="1">
        <v>6</v>
      </c>
      <c r="G2352">
        <v>2010</v>
      </c>
      <c r="H2352">
        <f>AVERAGEIFS(Table1[value],Table1[IndicatorCode],Table1[[#This Row],[IndicatorCode]])</f>
        <v>7.6894248608534319</v>
      </c>
      <c r="I2352" cm="1">
        <f t="array" ref="I2352">_xlfn.STDEV.P(IF(Table1[IndicatorCode]=Table1[[#This Row],[IndicatorCode]],Table1[value]))</f>
        <v>5.2319501044600996</v>
      </c>
      <c r="J2352">
        <f>(Table1[[#This Row],[value]] - Table1[[#This Row],[mean]]) / Table1[[#This Row],[std_dev]]</f>
        <v>-0.32290538463148605</v>
      </c>
      <c r="K2352">
        <f>AVERAGEIF(Table1[CountryCode],Table1[[#This Row],[CountryCode]],Table1[z-score])</f>
        <v>0.68174026806790211</v>
      </c>
      <c r="L2352" t="e">
        <f>VLOOKUP(Table1[[#This Row],[CountryCode]],[1]!Table1[#Data],4,FALSE)</f>
        <v>#REF!</v>
      </c>
    </row>
    <row r="2353" spans="1:12" hidden="1" x14ac:dyDescent="0.3">
      <c r="A2353" t="s">
        <v>27</v>
      </c>
      <c r="B2353" t="s">
        <v>28</v>
      </c>
      <c r="C2353" t="s">
        <v>125</v>
      </c>
      <c r="D2353" t="s">
        <v>126</v>
      </c>
      <c r="E2353">
        <v>2009</v>
      </c>
      <c r="F2353" s="1">
        <v>6</v>
      </c>
      <c r="G2353">
        <v>2010</v>
      </c>
      <c r="H2353">
        <f>AVERAGEIFS(Table1[value],Table1[IndicatorCode],Table1[[#This Row],[IndicatorCode]])</f>
        <v>7.6894248608534319</v>
      </c>
      <c r="I2353" cm="1">
        <f t="array" ref="I2353">_xlfn.STDEV.P(IF(Table1[IndicatorCode]=Table1[[#This Row],[IndicatorCode]],Table1[value]))</f>
        <v>5.2319501044600996</v>
      </c>
      <c r="J2353">
        <f>(Table1[[#This Row],[value]] - Table1[[#This Row],[mean]]) / Table1[[#This Row],[std_dev]]</f>
        <v>-0.32290538463148605</v>
      </c>
      <c r="K2353">
        <f>AVERAGEIF(Table1[CountryCode],Table1[[#This Row],[CountryCode]],Table1[z-score])</f>
        <v>0.68174026806790211</v>
      </c>
      <c r="L2353" t="e">
        <f>VLOOKUP(Table1[[#This Row],[CountryCode]],[1]!Table1[#Data],4,FALSE)</f>
        <v>#REF!</v>
      </c>
    </row>
    <row r="2354" spans="1:12" hidden="1" x14ac:dyDescent="0.3">
      <c r="A2354" t="s">
        <v>27</v>
      </c>
      <c r="B2354" t="s">
        <v>28</v>
      </c>
      <c r="C2354" t="s">
        <v>125</v>
      </c>
      <c r="D2354" t="s">
        <v>126</v>
      </c>
      <c r="E2354">
        <v>2010</v>
      </c>
      <c r="F2354" s="1">
        <v>6</v>
      </c>
      <c r="G2354">
        <v>2010</v>
      </c>
      <c r="H2354">
        <f>AVERAGEIFS(Table1[value],Table1[IndicatorCode],Table1[[#This Row],[IndicatorCode]])</f>
        <v>7.6894248608534319</v>
      </c>
      <c r="I2354" cm="1">
        <f t="array" ref="I2354">_xlfn.STDEV.P(IF(Table1[IndicatorCode]=Table1[[#This Row],[IndicatorCode]],Table1[value]))</f>
        <v>5.2319501044600996</v>
      </c>
      <c r="J2354">
        <f>(Table1[[#This Row],[value]] - Table1[[#This Row],[mean]]) / Table1[[#This Row],[std_dev]]</f>
        <v>-0.32290538463148605</v>
      </c>
      <c r="K2354">
        <f>AVERAGEIF(Table1[CountryCode],Table1[[#This Row],[CountryCode]],Table1[z-score])</f>
        <v>0.68174026806790211</v>
      </c>
      <c r="L2354" t="e">
        <f>VLOOKUP(Table1[[#This Row],[CountryCode]],[1]!Table1[#Data],4,FALSE)</f>
        <v>#REF!</v>
      </c>
    </row>
    <row r="2355" spans="1:12" hidden="1" x14ac:dyDescent="0.3">
      <c r="A2355" t="s">
        <v>27</v>
      </c>
      <c r="B2355" t="s">
        <v>28</v>
      </c>
      <c r="C2355" t="s">
        <v>125</v>
      </c>
      <c r="D2355" t="s">
        <v>126</v>
      </c>
      <c r="E2355">
        <v>2011</v>
      </c>
      <c r="F2355" s="1">
        <v>5</v>
      </c>
      <c r="G2355">
        <v>2010</v>
      </c>
      <c r="H2355">
        <f>AVERAGEIFS(Table1[value],Table1[IndicatorCode],Table1[[#This Row],[IndicatorCode]])</f>
        <v>7.6894248608534319</v>
      </c>
      <c r="I2355" cm="1">
        <f t="array" ref="I2355">_xlfn.STDEV.P(IF(Table1[IndicatorCode]=Table1[[#This Row],[IndicatorCode]],Table1[value]))</f>
        <v>5.2319501044600996</v>
      </c>
      <c r="J2355">
        <f>(Table1[[#This Row],[value]] - Table1[[#This Row],[mean]]) / Table1[[#This Row],[std_dev]]</f>
        <v>-0.51403870586624445</v>
      </c>
      <c r="K2355">
        <f>AVERAGEIF(Table1[CountryCode],Table1[[#This Row],[CountryCode]],Table1[z-score])</f>
        <v>0.68174026806790211</v>
      </c>
      <c r="L2355" t="e">
        <f>VLOOKUP(Table1[[#This Row],[CountryCode]],[1]!Table1[#Data],4,FALSE)</f>
        <v>#REF!</v>
      </c>
    </row>
    <row r="2356" spans="1:12" hidden="1" x14ac:dyDescent="0.3">
      <c r="A2356" t="s">
        <v>27</v>
      </c>
      <c r="B2356" t="s">
        <v>28</v>
      </c>
      <c r="C2356" t="s">
        <v>125</v>
      </c>
      <c r="D2356" t="s">
        <v>126</v>
      </c>
      <c r="E2356">
        <v>2012</v>
      </c>
      <c r="F2356" s="1">
        <v>5</v>
      </c>
      <c r="G2356">
        <v>2010</v>
      </c>
      <c r="H2356">
        <f>AVERAGEIFS(Table1[value],Table1[IndicatorCode],Table1[[#This Row],[IndicatorCode]])</f>
        <v>7.6894248608534319</v>
      </c>
      <c r="I2356" cm="1">
        <f t="array" ref="I2356">_xlfn.STDEV.P(IF(Table1[IndicatorCode]=Table1[[#This Row],[IndicatorCode]],Table1[value]))</f>
        <v>5.2319501044600996</v>
      </c>
      <c r="J2356">
        <f>(Table1[[#This Row],[value]] - Table1[[#This Row],[mean]]) / Table1[[#This Row],[std_dev]]</f>
        <v>-0.51403870586624445</v>
      </c>
      <c r="K2356">
        <f>AVERAGEIF(Table1[CountryCode],Table1[[#This Row],[CountryCode]],Table1[z-score])</f>
        <v>0.68174026806790211</v>
      </c>
      <c r="L2356" t="e">
        <f>VLOOKUP(Table1[[#This Row],[CountryCode]],[1]!Table1[#Data],4,FALSE)</f>
        <v>#REF!</v>
      </c>
    </row>
    <row r="2357" spans="1:12" hidden="1" x14ac:dyDescent="0.3">
      <c r="A2357" t="s">
        <v>27</v>
      </c>
      <c r="B2357" t="s">
        <v>28</v>
      </c>
      <c r="C2357" t="s">
        <v>125</v>
      </c>
      <c r="D2357" t="s">
        <v>126</v>
      </c>
      <c r="E2357">
        <v>2013</v>
      </c>
      <c r="F2357" s="1">
        <v>6</v>
      </c>
      <c r="G2357">
        <v>2010</v>
      </c>
      <c r="H2357">
        <f>AVERAGEIFS(Table1[value],Table1[IndicatorCode],Table1[[#This Row],[IndicatorCode]])</f>
        <v>7.6894248608534319</v>
      </c>
      <c r="I2357" cm="1">
        <f t="array" ref="I2357">_xlfn.STDEV.P(IF(Table1[IndicatorCode]=Table1[[#This Row],[IndicatorCode]],Table1[value]))</f>
        <v>5.2319501044600996</v>
      </c>
      <c r="J2357">
        <f>(Table1[[#This Row],[value]] - Table1[[#This Row],[mean]]) / Table1[[#This Row],[std_dev]]</f>
        <v>-0.32290538463148605</v>
      </c>
      <c r="K2357">
        <f>AVERAGEIF(Table1[CountryCode],Table1[[#This Row],[CountryCode]],Table1[z-score])</f>
        <v>0.68174026806790211</v>
      </c>
      <c r="L2357" t="e">
        <f>VLOOKUP(Table1[[#This Row],[CountryCode]],[1]!Table1[#Data],4,FALSE)</f>
        <v>#REF!</v>
      </c>
    </row>
    <row r="2358" spans="1:12" hidden="1" x14ac:dyDescent="0.3">
      <c r="A2358" t="s">
        <v>27</v>
      </c>
      <c r="B2358" t="s">
        <v>28</v>
      </c>
      <c r="C2358" t="s">
        <v>125</v>
      </c>
      <c r="D2358" t="s">
        <v>126</v>
      </c>
      <c r="E2358">
        <v>2014</v>
      </c>
      <c r="F2358" s="1">
        <v>5</v>
      </c>
      <c r="G2358">
        <v>2010</v>
      </c>
      <c r="H2358">
        <f>AVERAGEIFS(Table1[value],Table1[IndicatorCode],Table1[[#This Row],[IndicatorCode]])</f>
        <v>7.6894248608534319</v>
      </c>
      <c r="I2358" cm="1">
        <f t="array" ref="I2358">_xlfn.STDEV.P(IF(Table1[IndicatorCode]=Table1[[#This Row],[IndicatorCode]],Table1[value]))</f>
        <v>5.2319501044600996</v>
      </c>
      <c r="J2358">
        <f>(Table1[[#This Row],[value]] - Table1[[#This Row],[mean]]) / Table1[[#This Row],[std_dev]]</f>
        <v>-0.51403870586624445</v>
      </c>
      <c r="K2358">
        <f>AVERAGEIF(Table1[CountryCode],Table1[[#This Row],[CountryCode]],Table1[z-score])</f>
        <v>0.68174026806790211</v>
      </c>
      <c r="L2358" t="e">
        <f>VLOOKUP(Table1[[#This Row],[CountryCode]],[1]!Table1[#Data],4,FALSE)</f>
        <v>#REF!</v>
      </c>
    </row>
    <row r="2359" spans="1:12" hidden="1" x14ac:dyDescent="0.3">
      <c r="A2359" t="s">
        <v>27</v>
      </c>
      <c r="B2359" t="s">
        <v>28</v>
      </c>
      <c r="C2359" t="s">
        <v>125</v>
      </c>
      <c r="D2359" t="s">
        <v>126</v>
      </c>
      <c r="E2359">
        <v>2015</v>
      </c>
      <c r="F2359" s="1">
        <v>5</v>
      </c>
      <c r="G2359">
        <v>2010</v>
      </c>
      <c r="H2359">
        <f>AVERAGEIFS(Table1[value],Table1[IndicatorCode],Table1[[#This Row],[IndicatorCode]])</f>
        <v>7.6894248608534319</v>
      </c>
      <c r="I2359" cm="1">
        <f t="array" ref="I2359">_xlfn.STDEV.P(IF(Table1[IndicatorCode]=Table1[[#This Row],[IndicatorCode]],Table1[value]))</f>
        <v>5.2319501044600996</v>
      </c>
      <c r="J2359">
        <f>(Table1[[#This Row],[value]] - Table1[[#This Row],[mean]]) / Table1[[#This Row],[std_dev]]</f>
        <v>-0.51403870586624445</v>
      </c>
      <c r="K2359">
        <f>AVERAGEIF(Table1[CountryCode],Table1[[#This Row],[CountryCode]],Table1[z-score])</f>
        <v>0.68174026806790211</v>
      </c>
      <c r="L2359" t="e">
        <f>VLOOKUP(Table1[[#This Row],[CountryCode]],[1]!Table1[#Data],4,FALSE)</f>
        <v>#REF!</v>
      </c>
    </row>
    <row r="2360" spans="1:12" hidden="1" x14ac:dyDescent="0.3">
      <c r="A2360" t="s">
        <v>27</v>
      </c>
      <c r="B2360" t="s">
        <v>28</v>
      </c>
      <c r="C2360" t="s">
        <v>125</v>
      </c>
      <c r="D2360" t="s">
        <v>126</v>
      </c>
      <c r="E2360">
        <v>2016</v>
      </c>
      <c r="F2360" s="1">
        <v>5</v>
      </c>
      <c r="G2360">
        <v>2010</v>
      </c>
      <c r="H2360">
        <f>AVERAGEIFS(Table1[value],Table1[IndicatorCode],Table1[[#This Row],[IndicatorCode]])</f>
        <v>7.6894248608534319</v>
      </c>
      <c r="I2360" cm="1">
        <f t="array" ref="I2360">_xlfn.STDEV.P(IF(Table1[IndicatorCode]=Table1[[#This Row],[IndicatorCode]],Table1[value]))</f>
        <v>5.2319501044600996</v>
      </c>
      <c r="J2360">
        <f>(Table1[[#This Row],[value]] - Table1[[#This Row],[mean]]) / Table1[[#This Row],[std_dev]]</f>
        <v>-0.51403870586624445</v>
      </c>
      <c r="K2360">
        <f>AVERAGEIF(Table1[CountryCode],Table1[[#This Row],[CountryCode]],Table1[z-score])</f>
        <v>0.68174026806790211</v>
      </c>
      <c r="L2360" t="e">
        <f>VLOOKUP(Table1[[#This Row],[CountryCode]],[1]!Table1[#Data],4,FALSE)</f>
        <v>#REF!</v>
      </c>
    </row>
    <row r="2361" spans="1:12" hidden="1" x14ac:dyDescent="0.3">
      <c r="A2361" t="s">
        <v>27</v>
      </c>
      <c r="B2361" t="s">
        <v>28</v>
      </c>
      <c r="C2361" t="s">
        <v>125</v>
      </c>
      <c r="D2361" t="s">
        <v>126</v>
      </c>
      <c r="E2361">
        <v>2017</v>
      </c>
      <c r="F2361" s="1">
        <v>5</v>
      </c>
      <c r="G2361">
        <v>2020</v>
      </c>
      <c r="H2361">
        <f>AVERAGEIFS(Table1[value],Table1[IndicatorCode],Table1[[#This Row],[IndicatorCode]])</f>
        <v>7.6894248608534319</v>
      </c>
      <c r="I2361" cm="1">
        <f t="array" ref="I2361">_xlfn.STDEV.P(IF(Table1[IndicatorCode]=Table1[[#This Row],[IndicatorCode]],Table1[value]))</f>
        <v>5.2319501044600996</v>
      </c>
      <c r="J2361">
        <f>(Table1[[#This Row],[value]] - Table1[[#This Row],[mean]]) / Table1[[#This Row],[std_dev]]</f>
        <v>-0.51403870586624445</v>
      </c>
      <c r="K2361">
        <f>AVERAGEIF(Table1[CountryCode],Table1[[#This Row],[CountryCode]],Table1[z-score])</f>
        <v>0.68174026806790211</v>
      </c>
      <c r="L2361" t="e">
        <f>VLOOKUP(Table1[[#This Row],[CountryCode]],[1]!Table1[#Data],4,FALSE)</f>
        <v>#REF!</v>
      </c>
    </row>
    <row r="2362" spans="1:12" hidden="1" x14ac:dyDescent="0.3">
      <c r="A2362" t="s">
        <v>27</v>
      </c>
      <c r="B2362" t="s">
        <v>28</v>
      </c>
      <c r="C2362" t="s">
        <v>125</v>
      </c>
      <c r="D2362" t="s">
        <v>126</v>
      </c>
      <c r="E2362">
        <v>2018</v>
      </c>
      <c r="F2362" s="1">
        <v>5</v>
      </c>
      <c r="G2362">
        <v>2020</v>
      </c>
      <c r="H2362">
        <f>AVERAGEIFS(Table1[value],Table1[IndicatorCode],Table1[[#This Row],[IndicatorCode]])</f>
        <v>7.6894248608534319</v>
      </c>
      <c r="I2362" cm="1">
        <f t="array" ref="I2362">_xlfn.STDEV.P(IF(Table1[IndicatorCode]=Table1[[#This Row],[IndicatorCode]],Table1[value]))</f>
        <v>5.2319501044600996</v>
      </c>
      <c r="J2362">
        <f>(Table1[[#This Row],[value]] - Table1[[#This Row],[mean]]) / Table1[[#This Row],[std_dev]]</f>
        <v>-0.51403870586624445</v>
      </c>
      <c r="K2362">
        <f>AVERAGEIF(Table1[CountryCode],Table1[[#This Row],[CountryCode]],Table1[z-score])</f>
        <v>0.68174026806790211</v>
      </c>
      <c r="L2362" t="e">
        <f>VLOOKUP(Table1[[#This Row],[CountryCode]],[1]!Table1[#Data],4,FALSE)</f>
        <v>#REF!</v>
      </c>
    </row>
    <row r="2363" spans="1:12" hidden="1" x14ac:dyDescent="0.3">
      <c r="A2363" t="s">
        <v>27</v>
      </c>
      <c r="B2363" t="s">
        <v>28</v>
      </c>
      <c r="C2363" t="s">
        <v>125</v>
      </c>
      <c r="D2363" t="s">
        <v>126</v>
      </c>
      <c r="E2363">
        <v>2019</v>
      </c>
      <c r="F2363" s="1">
        <v>4</v>
      </c>
      <c r="G2363">
        <v>2020</v>
      </c>
      <c r="H2363">
        <f>AVERAGEIFS(Table1[value],Table1[IndicatorCode],Table1[[#This Row],[IndicatorCode]])</f>
        <v>7.6894248608534319</v>
      </c>
      <c r="I2363" cm="1">
        <f t="array" ref="I2363">_xlfn.STDEV.P(IF(Table1[IndicatorCode]=Table1[[#This Row],[IndicatorCode]],Table1[value]))</f>
        <v>5.2319501044600996</v>
      </c>
      <c r="J2363">
        <f>(Table1[[#This Row],[value]] - Table1[[#This Row],[mean]]) / Table1[[#This Row],[std_dev]]</f>
        <v>-0.7051720271010028</v>
      </c>
      <c r="K2363">
        <f>AVERAGEIF(Table1[CountryCode],Table1[[#This Row],[CountryCode]],Table1[z-score])</f>
        <v>0.68174026806790211</v>
      </c>
      <c r="L2363" t="e">
        <f>VLOOKUP(Table1[[#This Row],[CountryCode]],[1]!Table1[#Data],4,FALSE)</f>
        <v>#REF!</v>
      </c>
    </row>
    <row r="2364" spans="1:12" x14ac:dyDescent="0.3">
      <c r="A2364" t="s">
        <v>27</v>
      </c>
      <c r="B2364" t="s">
        <v>28</v>
      </c>
      <c r="C2364" t="s">
        <v>125</v>
      </c>
      <c r="D2364" t="s">
        <v>126</v>
      </c>
      <c r="E2364">
        <v>2020</v>
      </c>
      <c r="F2364" s="1">
        <v>4</v>
      </c>
      <c r="G2364">
        <v>2020</v>
      </c>
      <c r="H2364">
        <f>AVERAGEIFS(Table1[value],Table1[IndicatorCode],Table1[[#This Row],[IndicatorCode]])</f>
        <v>7.6894248608534319</v>
      </c>
      <c r="I2364" cm="1">
        <f t="array" ref="I2364">_xlfn.STDEV.P(IF(Table1[IndicatorCode]=Table1[[#This Row],[IndicatorCode]],Table1[value]))</f>
        <v>5.2319501044600996</v>
      </c>
      <c r="J2364">
        <f>(Table1[[#This Row],[value]] - Table1[[#This Row],[mean]]) / Table1[[#This Row],[std_dev]]</f>
        <v>-0.7051720271010028</v>
      </c>
      <c r="K2364">
        <f>AVERAGEIF(Table1[CountryCode],Table1[[#This Row],[CountryCode]],Table1[z-score])</f>
        <v>0.68174026806790211</v>
      </c>
    </row>
    <row r="2365" spans="1:12" hidden="1" x14ac:dyDescent="0.3">
      <c r="A2365" t="s">
        <v>27</v>
      </c>
      <c r="B2365" t="s">
        <v>28</v>
      </c>
      <c r="C2365" t="s">
        <v>125</v>
      </c>
      <c r="D2365" t="s">
        <v>126</v>
      </c>
      <c r="E2365">
        <v>2021</v>
      </c>
      <c r="F2365" s="1">
        <v>4</v>
      </c>
      <c r="G2365">
        <v>2020</v>
      </c>
      <c r="H2365">
        <f>AVERAGEIFS(Table1[value],Table1[IndicatorCode],Table1[[#This Row],[IndicatorCode]])</f>
        <v>7.6894248608534319</v>
      </c>
      <c r="I2365" cm="1">
        <f t="array" ref="I2365">_xlfn.STDEV.P(IF(Table1[IndicatorCode]=Table1[[#This Row],[IndicatorCode]],Table1[value]))</f>
        <v>5.2319501044600996</v>
      </c>
      <c r="J2365">
        <f>(Table1[[#This Row],[value]] - Table1[[#This Row],[mean]]) / Table1[[#This Row],[std_dev]]</f>
        <v>-0.7051720271010028</v>
      </c>
      <c r="K2365">
        <f>AVERAGEIF(Table1[CountryCode],Table1[[#This Row],[CountryCode]],Table1[z-score])</f>
        <v>0.68174026806790211</v>
      </c>
      <c r="L2365" t="e">
        <f>VLOOKUP(Table1[[#This Row],[CountryCode]],[1]!Table1[#Data],4,FALSE)</f>
        <v>#REF!</v>
      </c>
    </row>
    <row r="2366" spans="1:12" hidden="1" x14ac:dyDescent="0.3">
      <c r="A2366" t="s">
        <v>27</v>
      </c>
      <c r="B2366" t="s">
        <v>28</v>
      </c>
      <c r="C2366" t="s">
        <v>125</v>
      </c>
      <c r="D2366" t="s">
        <v>126</v>
      </c>
      <c r="E2366">
        <v>2022</v>
      </c>
      <c r="F2366" s="1">
        <v>4</v>
      </c>
      <c r="G2366">
        <v>1970</v>
      </c>
      <c r="H2366">
        <f>AVERAGEIFS(Table1[value],Table1[IndicatorCode],Table1[[#This Row],[IndicatorCode]])</f>
        <v>7.6894248608534319</v>
      </c>
      <c r="I2366" cm="1">
        <f t="array" ref="I2366">_xlfn.STDEV.P(IF(Table1[IndicatorCode]=Table1[[#This Row],[IndicatorCode]],Table1[value]))</f>
        <v>5.2319501044600996</v>
      </c>
      <c r="J2366">
        <f>(Table1[[#This Row],[value]] - Table1[[#This Row],[mean]]) / Table1[[#This Row],[std_dev]]</f>
        <v>-0.7051720271010028</v>
      </c>
      <c r="K2366">
        <f>AVERAGEIF(Table1[CountryCode],Table1[[#This Row],[CountryCode]],Table1[z-score])</f>
        <v>0.68174026806790211</v>
      </c>
      <c r="L2366" t="e">
        <f>VLOOKUP(Table1[[#This Row],[CountryCode]],[1]!Table1[#Data],4,FALSE)</f>
        <v>#REF!</v>
      </c>
    </row>
    <row r="2367" spans="1:12" hidden="1" x14ac:dyDescent="0.3">
      <c r="A2367" t="s">
        <v>27</v>
      </c>
      <c r="B2367" t="s">
        <v>28</v>
      </c>
      <c r="C2367" t="s">
        <v>125</v>
      </c>
      <c r="D2367" t="s">
        <v>126</v>
      </c>
      <c r="E2367">
        <v>2023</v>
      </c>
      <c r="F2367" s="1">
        <v>4</v>
      </c>
      <c r="G2367">
        <v>1970</v>
      </c>
      <c r="H2367">
        <f>AVERAGEIFS(Table1[value],Table1[IndicatorCode],Table1[[#This Row],[IndicatorCode]])</f>
        <v>7.6894248608534319</v>
      </c>
      <c r="I2367" cm="1">
        <f t="array" ref="I2367">_xlfn.STDEV.P(IF(Table1[IndicatorCode]=Table1[[#This Row],[IndicatorCode]],Table1[value]))</f>
        <v>5.2319501044600996</v>
      </c>
      <c r="J2367">
        <f>(Table1[[#This Row],[value]] - Table1[[#This Row],[mean]]) / Table1[[#This Row],[std_dev]]</f>
        <v>-0.7051720271010028</v>
      </c>
      <c r="K2367">
        <f>AVERAGEIF(Table1[CountryCode],Table1[[#This Row],[CountryCode]],Table1[z-score])</f>
        <v>0.68174026806790211</v>
      </c>
      <c r="L2367" t="e">
        <f>VLOOKUP(Table1[[#This Row],[CountryCode]],[1]!Table1[#Data],4,FALSE)</f>
        <v>#REF!</v>
      </c>
    </row>
    <row r="2368" spans="1:12" hidden="1" x14ac:dyDescent="0.3">
      <c r="A2368" t="s">
        <v>27</v>
      </c>
      <c r="B2368" t="s">
        <v>28</v>
      </c>
      <c r="C2368" t="s">
        <v>125</v>
      </c>
      <c r="D2368" t="s">
        <v>126</v>
      </c>
      <c r="E2368">
        <v>2024</v>
      </c>
      <c r="F2368" s="1">
        <v>4</v>
      </c>
      <c r="G2368">
        <v>1970</v>
      </c>
      <c r="H2368">
        <f>AVERAGEIFS(Table1[value],Table1[IndicatorCode],Table1[[#This Row],[IndicatorCode]])</f>
        <v>7.6894248608534319</v>
      </c>
      <c r="I2368" cm="1">
        <f t="array" ref="I2368">_xlfn.STDEV.P(IF(Table1[IndicatorCode]=Table1[[#This Row],[IndicatorCode]],Table1[value]))</f>
        <v>5.2319501044600996</v>
      </c>
      <c r="J2368">
        <f>(Table1[[#This Row],[value]] - Table1[[#This Row],[mean]]) / Table1[[#This Row],[std_dev]]</f>
        <v>-0.7051720271010028</v>
      </c>
      <c r="K2368">
        <f>AVERAGEIF(Table1[CountryCode],Table1[[#This Row],[CountryCode]],Table1[z-score])</f>
        <v>0.68174026806790211</v>
      </c>
      <c r="L2368" t="e">
        <f>VLOOKUP(Table1[[#This Row],[CountryCode]],[1]!Table1[#Data],4,FALSE)</f>
        <v>#REF!</v>
      </c>
    </row>
    <row r="2369" spans="1:12" hidden="1" x14ac:dyDescent="0.3">
      <c r="A2369" t="s">
        <v>31</v>
      </c>
      <c r="B2369" t="s">
        <v>32</v>
      </c>
      <c r="C2369" t="s">
        <v>125</v>
      </c>
      <c r="D2369" t="s">
        <v>126</v>
      </c>
      <c r="E2369">
        <v>1970</v>
      </c>
      <c r="F2369" s="1">
        <v>3</v>
      </c>
      <c r="G2369">
        <v>1970</v>
      </c>
      <c r="H2369">
        <f>AVERAGEIFS(Table1[value],Table1[IndicatorCode],Table1[[#This Row],[IndicatorCode]])</f>
        <v>7.6894248608534319</v>
      </c>
      <c r="I2369" cm="1">
        <f t="array" ref="I2369">_xlfn.STDEV.P(IF(Table1[IndicatorCode]=Table1[[#This Row],[IndicatorCode]],Table1[value]))</f>
        <v>5.2319501044600996</v>
      </c>
      <c r="J2369">
        <f>(Table1[[#This Row],[value]] - Table1[[#This Row],[mean]]) / Table1[[#This Row],[std_dev]]</f>
        <v>-0.89630534833576125</v>
      </c>
      <c r="K2369">
        <f>AVERAGEIF(Table1[CountryCode],Table1[[#This Row],[CountryCode]],Table1[z-score])</f>
        <v>-1.226846632548898E-2</v>
      </c>
      <c r="L2369" t="e">
        <f>VLOOKUP(Table1[[#This Row],[CountryCode]],[1]!Table1[#Data],4,FALSE)</f>
        <v>#REF!</v>
      </c>
    </row>
    <row r="2370" spans="1:12" hidden="1" x14ac:dyDescent="0.3">
      <c r="A2370" t="s">
        <v>31</v>
      </c>
      <c r="B2370" t="s">
        <v>32</v>
      </c>
      <c r="C2370" t="s">
        <v>125</v>
      </c>
      <c r="D2370" t="s">
        <v>126</v>
      </c>
      <c r="E2370">
        <v>1971</v>
      </c>
      <c r="F2370" s="1">
        <v>3</v>
      </c>
      <c r="G2370">
        <v>1970</v>
      </c>
      <c r="H2370">
        <f>AVERAGEIFS(Table1[value],Table1[IndicatorCode],Table1[[#This Row],[IndicatorCode]])</f>
        <v>7.6894248608534319</v>
      </c>
      <c r="I2370" cm="1">
        <f t="array" ref="I2370">_xlfn.STDEV.P(IF(Table1[IndicatorCode]=Table1[[#This Row],[IndicatorCode]],Table1[value]))</f>
        <v>5.2319501044600996</v>
      </c>
      <c r="J2370">
        <f>(Table1[[#This Row],[value]] - Table1[[#This Row],[mean]]) / Table1[[#This Row],[std_dev]]</f>
        <v>-0.89630534833576125</v>
      </c>
      <c r="K2370">
        <f>AVERAGEIF(Table1[CountryCode],Table1[[#This Row],[CountryCode]],Table1[z-score])</f>
        <v>-1.226846632548898E-2</v>
      </c>
      <c r="L2370" t="e">
        <f>VLOOKUP(Table1[[#This Row],[CountryCode]],[1]!Table1[#Data],4,FALSE)</f>
        <v>#REF!</v>
      </c>
    </row>
    <row r="2371" spans="1:12" hidden="1" x14ac:dyDescent="0.3">
      <c r="A2371" t="s">
        <v>31</v>
      </c>
      <c r="B2371" t="s">
        <v>32</v>
      </c>
      <c r="C2371" t="s">
        <v>125</v>
      </c>
      <c r="D2371" t="s">
        <v>126</v>
      </c>
      <c r="E2371">
        <v>1972</v>
      </c>
      <c r="F2371" s="1">
        <v>4</v>
      </c>
      <c r="G2371">
        <v>1970</v>
      </c>
      <c r="H2371">
        <f>AVERAGEIFS(Table1[value],Table1[IndicatorCode],Table1[[#This Row],[IndicatorCode]])</f>
        <v>7.6894248608534319</v>
      </c>
      <c r="I2371" cm="1">
        <f t="array" ref="I2371">_xlfn.STDEV.P(IF(Table1[IndicatorCode]=Table1[[#This Row],[IndicatorCode]],Table1[value]))</f>
        <v>5.2319501044600996</v>
      </c>
      <c r="J2371">
        <f>(Table1[[#This Row],[value]] - Table1[[#This Row],[mean]]) / Table1[[#This Row],[std_dev]]</f>
        <v>-0.7051720271010028</v>
      </c>
      <c r="K2371">
        <f>AVERAGEIF(Table1[CountryCode],Table1[[#This Row],[CountryCode]],Table1[z-score])</f>
        <v>-1.226846632548898E-2</v>
      </c>
      <c r="L2371" t="e">
        <f>VLOOKUP(Table1[[#This Row],[CountryCode]],[1]!Table1[#Data],4,FALSE)</f>
        <v>#REF!</v>
      </c>
    </row>
    <row r="2372" spans="1:12" hidden="1" x14ac:dyDescent="0.3">
      <c r="A2372" t="s">
        <v>31</v>
      </c>
      <c r="B2372" t="s">
        <v>32</v>
      </c>
      <c r="C2372" t="s">
        <v>125</v>
      </c>
      <c r="D2372" t="s">
        <v>126</v>
      </c>
      <c r="E2372">
        <v>1973</v>
      </c>
      <c r="F2372" s="1">
        <v>4</v>
      </c>
      <c r="G2372">
        <v>1970</v>
      </c>
      <c r="H2372">
        <f>AVERAGEIFS(Table1[value],Table1[IndicatorCode],Table1[[#This Row],[IndicatorCode]])</f>
        <v>7.6894248608534319</v>
      </c>
      <c r="I2372" cm="1">
        <f t="array" ref="I2372">_xlfn.STDEV.P(IF(Table1[IndicatorCode]=Table1[[#This Row],[IndicatorCode]],Table1[value]))</f>
        <v>5.2319501044600996</v>
      </c>
      <c r="J2372">
        <f>(Table1[[#This Row],[value]] - Table1[[#This Row],[mean]]) / Table1[[#This Row],[std_dev]]</f>
        <v>-0.7051720271010028</v>
      </c>
      <c r="K2372">
        <f>AVERAGEIF(Table1[CountryCode],Table1[[#This Row],[CountryCode]],Table1[z-score])</f>
        <v>-1.226846632548898E-2</v>
      </c>
      <c r="L2372" t="e">
        <f>VLOOKUP(Table1[[#This Row],[CountryCode]],[1]!Table1[#Data],4,FALSE)</f>
        <v>#REF!</v>
      </c>
    </row>
    <row r="2373" spans="1:12" hidden="1" x14ac:dyDescent="0.3">
      <c r="A2373" t="s">
        <v>31</v>
      </c>
      <c r="B2373" t="s">
        <v>32</v>
      </c>
      <c r="C2373" t="s">
        <v>125</v>
      </c>
      <c r="D2373" t="s">
        <v>126</v>
      </c>
      <c r="E2373">
        <v>1974</v>
      </c>
      <c r="F2373" s="1">
        <v>3</v>
      </c>
      <c r="G2373">
        <v>1970</v>
      </c>
      <c r="H2373">
        <f>AVERAGEIFS(Table1[value],Table1[IndicatorCode],Table1[[#This Row],[IndicatorCode]])</f>
        <v>7.6894248608534319</v>
      </c>
      <c r="I2373" cm="1">
        <f t="array" ref="I2373">_xlfn.STDEV.P(IF(Table1[IndicatorCode]=Table1[[#This Row],[IndicatorCode]],Table1[value]))</f>
        <v>5.2319501044600996</v>
      </c>
      <c r="J2373">
        <f>(Table1[[#This Row],[value]] - Table1[[#This Row],[mean]]) / Table1[[#This Row],[std_dev]]</f>
        <v>-0.89630534833576125</v>
      </c>
      <c r="K2373">
        <f>AVERAGEIF(Table1[CountryCode],Table1[[#This Row],[CountryCode]],Table1[z-score])</f>
        <v>-1.226846632548898E-2</v>
      </c>
      <c r="L2373" t="e">
        <f>VLOOKUP(Table1[[#This Row],[CountryCode]],[1]!Table1[#Data],4,FALSE)</f>
        <v>#REF!</v>
      </c>
    </row>
    <row r="2374" spans="1:12" hidden="1" x14ac:dyDescent="0.3">
      <c r="A2374" t="s">
        <v>31</v>
      </c>
      <c r="B2374" t="s">
        <v>32</v>
      </c>
      <c r="C2374" t="s">
        <v>125</v>
      </c>
      <c r="D2374" t="s">
        <v>126</v>
      </c>
      <c r="E2374">
        <v>1975</v>
      </c>
      <c r="F2374" s="1">
        <v>3</v>
      </c>
      <c r="G2374">
        <v>1970</v>
      </c>
      <c r="H2374">
        <f>AVERAGEIFS(Table1[value],Table1[IndicatorCode],Table1[[#This Row],[IndicatorCode]])</f>
        <v>7.6894248608534319</v>
      </c>
      <c r="I2374" cm="1">
        <f t="array" ref="I2374">_xlfn.STDEV.P(IF(Table1[IndicatorCode]=Table1[[#This Row],[IndicatorCode]],Table1[value]))</f>
        <v>5.2319501044600996</v>
      </c>
      <c r="J2374">
        <f>(Table1[[#This Row],[value]] - Table1[[#This Row],[mean]]) / Table1[[#This Row],[std_dev]]</f>
        <v>-0.89630534833576125</v>
      </c>
      <c r="K2374">
        <f>AVERAGEIF(Table1[CountryCode],Table1[[#This Row],[CountryCode]],Table1[z-score])</f>
        <v>-1.226846632548898E-2</v>
      </c>
      <c r="L2374" t="e">
        <f>VLOOKUP(Table1[[#This Row],[CountryCode]],[1]!Table1[#Data],4,FALSE)</f>
        <v>#REF!</v>
      </c>
    </row>
    <row r="2375" spans="1:12" hidden="1" x14ac:dyDescent="0.3">
      <c r="A2375" t="s">
        <v>31</v>
      </c>
      <c r="B2375" t="s">
        <v>32</v>
      </c>
      <c r="C2375" t="s">
        <v>125</v>
      </c>
      <c r="D2375" t="s">
        <v>126</v>
      </c>
      <c r="E2375">
        <v>1976</v>
      </c>
      <c r="F2375" s="1">
        <v>4</v>
      </c>
      <c r="G2375">
        <v>1970</v>
      </c>
      <c r="H2375">
        <f>AVERAGEIFS(Table1[value],Table1[IndicatorCode],Table1[[#This Row],[IndicatorCode]])</f>
        <v>7.6894248608534319</v>
      </c>
      <c r="I2375" cm="1">
        <f t="array" ref="I2375">_xlfn.STDEV.P(IF(Table1[IndicatorCode]=Table1[[#This Row],[IndicatorCode]],Table1[value]))</f>
        <v>5.2319501044600996</v>
      </c>
      <c r="J2375">
        <f>(Table1[[#This Row],[value]] - Table1[[#This Row],[mean]]) / Table1[[#This Row],[std_dev]]</f>
        <v>-0.7051720271010028</v>
      </c>
      <c r="K2375">
        <f>AVERAGEIF(Table1[CountryCode],Table1[[#This Row],[CountryCode]],Table1[z-score])</f>
        <v>-1.226846632548898E-2</v>
      </c>
      <c r="L2375" t="e">
        <f>VLOOKUP(Table1[[#This Row],[CountryCode]],[1]!Table1[#Data],4,FALSE)</f>
        <v>#REF!</v>
      </c>
    </row>
    <row r="2376" spans="1:12" hidden="1" x14ac:dyDescent="0.3">
      <c r="A2376" t="s">
        <v>31</v>
      </c>
      <c r="B2376" t="s">
        <v>32</v>
      </c>
      <c r="C2376" t="s">
        <v>125</v>
      </c>
      <c r="D2376" t="s">
        <v>126</v>
      </c>
      <c r="E2376">
        <v>1977</v>
      </c>
      <c r="F2376" s="1">
        <v>4</v>
      </c>
      <c r="G2376">
        <v>1980</v>
      </c>
      <c r="H2376">
        <f>AVERAGEIFS(Table1[value],Table1[IndicatorCode],Table1[[#This Row],[IndicatorCode]])</f>
        <v>7.6894248608534319</v>
      </c>
      <c r="I2376" cm="1">
        <f t="array" ref="I2376">_xlfn.STDEV.P(IF(Table1[IndicatorCode]=Table1[[#This Row],[IndicatorCode]],Table1[value]))</f>
        <v>5.2319501044600996</v>
      </c>
      <c r="J2376">
        <f>(Table1[[#This Row],[value]] - Table1[[#This Row],[mean]]) / Table1[[#This Row],[std_dev]]</f>
        <v>-0.7051720271010028</v>
      </c>
      <c r="K2376">
        <f>AVERAGEIF(Table1[CountryCode],Table1[[#This Row],[CountryCode]],Table1[z-score])</f>
        <v>-1.226846632548898E-2</v>
      </c>
      <c r="L2376" t="e">
        <f>VLOOKUP(Table1[[#This Row],[CountryCode]],[1]!Table1[#Data],4,FALSE)</f>
        <v>#REF!</v>
      </c>
    </row>
    <row r="2377" spans="1:12" hidden="1" x14ac:dyDescent="0.3">
      <c r="A2377" t="s">
        <v>31</v>
      </c>
      <c r="B2377" t="s">
        <v>32</v>
      </c>
      <c r="C2377" t="s">
        <v>125</v>
      </c>
      <c r="D2377" t="s">
        <v>126</v>
      </c>
      <c r="E2377">
        <v>1978</v>
      </c>
      <c r="F2377" s="1">
        <v>4</v>
      </c>
      <c r="G2377">
        <v>1980</v>
      </c>
      <c r="H2377">
        <f>AVERAGEIFS(Table1[value],Table1[IndicatorCode],Table1[[#This Row],[IndicatorCode]])</f>
        <v>7.6894248608534319</v>
      </c>
      <c r="I2377" cm="1">
        <f t="array" ref="I2377">_xlfn.STDEV.P(IF(Table1[IndicatorCode]=Table1[[#This Row],[IndicatorCode]],Table1[value]))</f>
        <v>5.2319501044600996</v>
      </c>
      <c r="J2377">
        <f>(Table1[[#This Row],[value]] - Table1[[#This Row],[mean]]) / Table1[[#This Row],[std_dev]]</f>
        <v>-0.7051720271010028</v>
      </c>
      <c r="K2377">
        <f>AVERAGEIF(Table1[CountryCode],Table1[[#This Row],[CountryCode]],Table1[z-score])</f>
        <v>-1.226846632548898E-2</v>
      </c>
      <c r="L2377" t="e">
        <f>VLOOKUP(Table1[[#This Row],[CountryCode]],[1]!Table1[#Data],4,FALSE)</f>
        <v>#REF!</v>
      </c>
    </row>
    <row r="2378" spans="1:12" hidden="1" x14ac:dyDescent="0.3">
      <c r="A2378" t="s">
        <v>31</v>
      </c>
      <c r="B2378" t="s">
        <v>32</v>
      </c>
      <c r="C2378" t="s">
        <v>125</v>
      </c>
      <c r="D2378" t="s">
        <v>126</v>
      </c>
      <c r="E2378">
        <v>1979</v>
      </c>
      <c r="F2378" s="1">
        <v>5</v>
      </c>
      <c r="G2378">
        <v>1980</v>
      </c>
      <c r="H2378">
        <f>AVERAGEIFS(Table1[value],Table1[IndicatorCode],Table1[[#This Row],[IndicatorCode]])</f>
        <v>7.6894248608534319</v>
      </c>
      <c r="I2378" cm="1">
        <f t="array" ref="I2378">_xlfn.STDEV.P(IF(Table1[IndicatorCode]=Table1[[#This Row],[IndicatorCode]],Table1[value]))</f>
        <v>5.2319501044600996</v>
      </c>
      <c r="J2378">
        <f>(Table1[[#This Row],[value]] - Table1[[#This Row],[mean]]) / Table1[[#This Row],[std_dev]]</f>
        <v>-0.51403870586624445</v>
      </c>
      <c r="K2378">
        <f>AVERAGEIF(Table1[CountryCode],Table1[[#This Row],[CountryCode]],Table1[z-score])</f>
        <v>-1.226846632548898E-2</v>
      </c>
      <c r="L2378" t="e">
        <f>VLOOKUP(Table1[[#This Row],[CountryCode]],[1]!Table1[#Data],4,FALSE)</f>
        <v>#REF!</v>
      </c>
    </row>
    <row r="2379" spans="1:12" hidden="1" x14ac:dyDescent="0.3">
      <c r="A2379" t="s">
        <v>31</v>
      </c>
      <c r="B2379" t="s">
        <v>32</v>
      </c>
      <c r="C2379" t="s">
        <v>125</v>
      </c>
      <c r="D2379" t="s">
        <v>126</v>
      </c>
      <c r="E2379">
        <v>1980</v>
      </c>
      <c r="F2379" s="1">
        <v>5</v>
      </c>
      <c r="G2379">
        <v>1980</v>
      </c>
      <c r="H2379">
        <f>AVERAGEIFS(Table1[value],Table1[IndicatorCode],Table1[[#This Row],[IndicatorCode]])</f>
        <v>7.6894248608534319</v>
      </c>
      <c r="I2379" cm="1">
        <f t="array" ref="I2379">_xlfn.STDEV.P(IF(Table1[IndicatorCode]=Table1[[#This Row],[IndicatorCode]],Table1[value]))</f>
        <v>5.2319501044600996</v>
      </c>
      <c r="J2379">
        <f>(Table1[[#This Row],[value]] - Table1[[#This Row],[mean]]) / Table1[[#This Row],[std_dev]]</f>
        <v>-0.51403870586624445</v>
      </c>
      <c r="K2379">
        <f>AVERAGEIF(Table1[CountryCode],Table1[[#This Row],[CountryCode]],Table1[z-score])</f>
        <v>-1.226846632548898E-2</v>
      </c>
      <c r="L2379" t="e">
        <f>VLOOKUP(Table1[[#This Row],[CountryCode]],[1]!Table1[#Data],4,FALSE)</f>
        <v>#REF!</v>
      </c>
    </row>
    <row r="2380" spans="1:12" hidden="1" x14ac:dyDescent="0.3">
      <c r="A2380" t="s">
        <v>31</v>
      </c>
      <c r="B2380" t="s">
        <v>32</v>
      </c>
      <c r="C2380" t="s">
        <v>125</v>
      </c>
      <c r="D2380" t="s">
        <v>126</v>
      </c>
      <c r="E2380">
        <v>1981</v>
      </c>
      <c r="F2380" s="1">
        <v>5</v>
      </c>
      <c r="G2380">
        <v>1980</v>
      </c>
      <c r="H2380">
        <f>AVERAGEIFS(Table1[value],Table1[IndicatorCode],Table1[[#This Row],[IndicatorCode]])</f>
        <v>7.6894248608534319</v>
      </c>
      <c r="I2380" cm="1">
        <f t="array" ref="I2380">_xlfn.STDEV.P(IF(Table1[IndicatorCode]=Table1[[#This Row],[IndicatorCode]],Table1[value]))</f>
        <v>5.2319501044600996</v>
      </c>
      <c r="J2380">
        <f>(Table1[[#This Row],[value]] - Table1[[#This Row],[mean]]) / Table1[[#This Row],[std_dev]]</f>
        <v>-0.51403870586624445</v>
      </c>
      <c r="K2380">
        <f>AVERAGEIF(Table1[CountryCode],Table1[[#This Row],[CountryCode]],Table1[z-score])</f>
        <v>-1.226846632548898E-2</v>
      </c>
      <c r="L2380" t="e">
        <f>VLOOKUP(Table1[[#This Row],[CountryCode]],[1]!Table1[#Data],4,FALSE)</f>
        <v>#REF!</v>
      </c>
    </row>
    <row r="2381" spans="1:12" hidden="1" x14ac:dyDescent="0.3">
      <c r="A2381" t="s">
        <v>31</v>
      </c>
      <c r="B2381" t="s">
        <v>32</v>
      </c>
      <c r="C2381" t="s">
        <v>125</v>
      </c>
      <c r="D2381" t="s">
        <v>126</v>
      </c>
      <c r="E2381">
        <v>1982</v>
      </c>
      <c r="F2381" s="1">
        <v>5</v>
      </c>
      <c r="G2381">
        <v>1980</v>
      </c>
      <c r="H2381">
        <f>AVERAGEIFS(Table1[value],Table1[IndicatorCode],Table1[[#This Row],[IndicatorCode]])</f>
        <v>7.6894248608534319</v>
      </c>
      <c r="I2381" cm="1">
        <f t="array" ref="I2381">_xlfn.STDEV.P(IF(Table1[IndicatorCode]=Table1[[#This Row],[IndicatorCode]],Table1[value]))</f>
        <v>5.2319501044600996</v>
      </c>
      <c r="J2381">
        <f>(Table1[[#This Row],[value]] - Table1[[#This Row],[mean]]) / Table1[[#This Row],[std_dev]]</f>
        <v>-0.51403870586624445</v>
      </c>
      <c r="K2381">
        <f>AVERAGEIF(Table1[CountryCode],Table1[[#This Row],[CountryCode]],Table1[z-score])</f>
        <v>-1.226846632548898E-2</v>
      </c>
      <c r="L2381" t="e">
        <f>VLOOKUP(Table1[[#This Row],[CountryCode]],[1]!Table1[#Data],4,FALSE)</f>
        <v>#REF!</v>
      </c>
    </row>
    <row r="2382" spans="1:12" hidden="1" x14ac:dyDescent="0.3">
      <c r="A2382" t="s">
        <v>31</v>
      </c>
      <c r="B2382" t="s">
        <v>32</v>
      </c>
      <c r="C2382" t="s">
        <v>125</v>
      </c>
      <c r="D2382" t="s">
        <v>126</v>
      </c>
      <c r="E2382">
        <v>1983</v>
      </c>
      <c r="F2382" s="1">
        <v>4</v>
      </c>
      <c r="G2382">
        <v>1980</v>
      </c>
      <c r="H2382">
        <f>AVERAGEIFS(Table1[value],Table1[IndicatorCode],Table1[[#This Row],[IndicatorCode]])</f>
        <v>7.6894248608534319</v>
      </c>
      <c r="I2382" cm="1">
        <f t="array" ref="I2382">_xlfn.STDEV.P(IF(Table1[IndicatorCode]=Table1[[#This Row],[IndicatorCode]],Table1[value]))</f>
        <v>5.2319501044600996</v>
      </c>
      <c r="J2382">
        <f>(Table1[[#This Row],[value]] - Table1[[#This Row],[mean]]) / Table1[[#This Row],[std_dev]]</f>
        <v>-0.7051720271010028</v>
      </c>
      <c r="K2382">
        <f>AVERAGEIF(Table1[CountryCode],Table1[[#This Row],[CountryCode]],Table1[z-score])</f>
        <v>-1.226846632548898E-2</v>
      </c>
      <c r="L2382" t="e">
        <f>VLOOKUP(Table1[[#This Row],[CountryCode]],[1]!Table1[#Data],4,FALSE)</f>
        <v>#REF!</v>
      </c>
    </row>
    <row r="2383" spans="1:12" hidden="1" x14ac:dyDescent="0.3">
      <c r="A2383" t="s">
        <v>31</v>
      </c>
      <c r="B2383" t="s">
        <v>32</v>
      </c>
      <c r="C2383" t="s">
        <v>125</v>
      </c>
      <c r="D2383" t="s">
        <v>126</v>
      </c>
      <c r="E2383">
        <v>1984</v>
      </c>
      <c r="F2383" s="1">
        <v>4</v>
      </c>
      <c r="G2383">
        <v>1980</v>
      </c>
      <c r="H2383">
        <f>AVERAGEIFS(Table1[value],Table1[IndicatorCode],Table1[[#This Row],[IndicatorCode]])</f>
        <v>7.6894248608534319</v>
      </c>
      <c r="I2383" cm="1">
        <f t="array" ref="I2383">_xlfn.STDEV.P(IF(Table1[IndicatorCode]=Table1[[#This Row],[IndicatorCode]],Table1[value]))</f>
        <v>5.2319501044600996</v>
      </c>
      <c r="J2383">
        <f>(Table1[[#This Row],[value]] - Table1[[#This Row],[mean]]) / Table1[[#This Row],[std_dev]]</f>
        <v>-0.7051720271010028</v>
      </c>
      <c r="K2383">
        <f>AVERAGEIF(Table1[CountryCode],Table1[[#This Row],[CountryCode]],Table1[z-score])</f>
        <v>-1.226846632548898E-2</v>
      </c>
      <c r="L2383" t="e">
        <f>VLOOKUP(Table1[[#This Row],[CountryCode]],[1]!Table1[#Data],4,FALSE)</f>
        <v>#REF!</v>
      </c>
    </row>
    <row r="2384" spans="1:12" hidden="1" x14ac:dyDescent="0.3">
      <c r="A2384" t="s">
        <v>31</v>
      </c>
      <c r="B2384" t="s">
        <v>32</v>
      </c>
      <c r="C2384" t="s">
        <v>125</v>
      </c>
      <c r="D2384" t="s">
        <v>126</v>
      </c>
      <c r="E2384">
        <v>1985</v>
      </c>
      <c r="F2384" s="1">
        <v>4</v>
      </c>
      <c r="G2384">
        <v>1980</v>
      </c>
      <c r="H2384">
        <f>AVERAGEIFS(Table1[value],Table1[IndicatorCode],Table1[[#This Row],[IndicatorCode]])</f>
        <v>7.6894248608534319</v>
      </c>
      <c r="I2384" cm="1">
        <f t="array" ref="I2384">_xlfn.STDEV.P(IF(Table1[IndicatorCode]=Table1[[#This Row],[IndicatorCode]],Table1[value]))</f>
        <v>5.2319501044600996</v>
      </c>
      <c r="J2384">
        <f>(Table1[[#This Row],[value]] - Table1[[#This Row],[mean]]) / Table1[[#This Row],[std_dev]]</f>
        <v>-0.7051720271010028</v>
      </c>
      <c r="K2384">
        <f>AVERAGEIF(Table1[CountryCode],Table1[[#This Row],[CountryCode]],Table1[z-score])</f>
        <v>-1.226846632548898E-2</v>
      </c>
      <c r="L2384" t="e">
        <f>VLOOKUP(Table1[[#This Row],[CountryCode]],[1]!Table1[#Data],4,FALSE)</f>
        <v>#REF!</v>
      </c>
    </row>
    <row r="2385" spans="1:12" hidden="1" x14ac:dyDescent="0.3">
      <c r="A2385" t="s">
        <v>31</v>
      </c>
      <c r="B2385" t="s">
        <v>32</v>
      </c>
      <c r="C2385" t="s">
        <v>125</v>
      </c>
      <c r="D2385" t="s">
        <v>126</v>
      </c>
      <c r="E2385">
        <v>1986</v>
      </c>
      <c r="F2385" s="1">
        <v>5</v>
      </c>
      <c r="G2385">
        <v>1980</v>
      </c>
      <c r="H2385">
        <f>AVERAGEIFS(Table1[value],Table1[IndicatorCode],Table1[[#This Row],[IndicatorCode]])</f>
        <v>7.6894248608534319</v>
      </c>
      <c r="I2385" cm="1">
        <f t="array" ref="I2385">_xlfn.STDEV.P(IF(Table1[IndicatorCode]=Table1[[#This Row],[IndicatorCode]],Table1[value]))</f>
        <v>5.2319501044600996</v>
      </c>
      <c r="J2385">
        <f>(Table1[[#This Row],[value]] - Table1[[#This Row],[mean]]) / Table1[[#This Row],[std_dev]]</f>
        <v>-0.51403870586624445</v>
      </c>
      <c r="K2385">
        <f>AVERAGEIF(Table1[CountryCode],Table1[[#This Row],[CountryCode]],Table1[z-score])</f>
        <v>-1.226846632548898E-2</v>
      </c>
      <c r="L2385" t="e">
        <f>VLOOKUP(Table1[[#This Row],[CountryCode]],[1]!Table1[#Data],4,FALSE)</f>
        <v>#REF!</v>
      </c>
    </row>
    <row r="2386" spans="1:12" hidden="1" x14ac:dyDescent="0.3">
      <c r="A2386" t="s">
        <v>31</v>
      </c>
      <c r="B2386" t="s">
        <v>32</v>
      </c>
      <c r="C2386" t="s">
        <v>125</v>
      </c>
      <c r="D2386" t="s">
        <v>126</v>
      </c>
      <c r="E2386">
        <v>1987</v>
      </c>
      <c r="F2386" s="1">
        <v>5</v>
      </c>
      <c r="G2386">
        <v>1990</v>
      </c>
      <c r="H2386">
        <f>AVERAGEIFS(Table1[value],Table1[IndicatorCode],Table1[[#This Row],[IndicatorCode]])</f>
        <v>7.6894248608534319</v>
      </c>
      <c r="I2386" cm="1">
        <f t="array" ref="I2386">_xlfn.STDEV.P(IF(Table1[IndicatorCode]=Table1[[#This Row],[IndicatorCode]],Table1[value]))</f>
        <v>5.2319501044600996</v>
      </c>
      <c r="J2386">
        <f>(Table1[[#This Row],[value]] - Table1[[#This Row],[mean]]) / Table1[[#This Row],[std_dev]]</f>
        <v>-0.51403870586624445</v>
      </c>
      <c r="K2386">
        <f>AVERAGEIF(Table1[CountryCode],Table1[[#This Row],[CountryCode]],Table1[z-score])</f>
        <v>-1.226846632548898E-2</v>
      </c>
      <c r="L2386" t="e">
        <f>VLOOKUP(Table1[[#This Row],[CountryCode]],[1]!Table1[#Data],4,FALSE)</f>
        <v>#REF!</v>
      </c>
    </row>
    <row r="2387" spans="1:12" hidden="1" x14ac:dyDescent="0.3">
      <c r="A2387" t="s">
        <v>31</v>
      </c>
      <c r="B2387" t="s">
        <v>32</v>
      </c>
      <c r="C2387" t="s">
        <v>125</v>
      </c>
      <c r="D2387" t="s">
        <v>126</v>
      </c>
      <c r="E2387">
        <v>1988</v>
      </c>
      <c r="F2387" s="1">
        <v>5</v>
      </c>
      <c r="G2387">
        <v>1990</v>
      </c>
      <c r="H2387">
        <f>AVERAGEIFS(Table1[value],Table1[IndicatorCode],Table1[[#This Row],[IndicatorCode]])</f>
        <v>7.6894248608534319</v>
      </c>
      <c r="I2387" cm="1">
        <f t="array" ref="I2387">_xlfn.STDEV.P(IF(Table1[IndicatorCode]=Table1[[#This Row],[IndicatorCode]],Table1[value]))</f>
        <v>5.2319501044600996</v>
      </c>
      <c r="J2387">
        <f>(Table1[[#This Row],[value]] - Table1[[#This Row],[mean]]) / Table1[[#This Row],[std_dev]]</f>
        <v>-0.51403870586624445</v>
      </c>
      <c r="K2387">
        <f>AVERAGEIF(Table1[CountryCode],Table1[[#This Row],[CountryCode]],Table1[z-score])</f>
        <v>-1.226846632548898E-2</v>
      </c>
      <c r="L2387" t="e">
        <f>VLOOKUP(Table1[[#This Row],[CountryCode]],[1]!Table1[#Data],4,FALSE)</f>
        <v>#REF!</v>
      </c>
    </row>
    <row r="2388" spans="1:12" hidden="1" x14ac:dyDescent="0.3">
      <c r="A2388" t="s">
        <v>31</v>
      </c>
      <c r="B2388" t="s">
        <v>32</v>
      </c>
      <c r="C2388" t="s">
        <v>125</v>
      </c>
      <c r="D2388" t="s">
        <v>126</v>
      </c>
      <c r="E2388">
        <v>1989</v>
      </c>
      <c r="F2388" s="1">
        <v>6</v>
      </c>
      <c r="G2388">
        <v>1990</v>
      </c>
      <c r="H2388">
        <f>AVERAGEIFS(Table1[value],Table1[IndicatorCode],Table1[[#This Row],[IndicatorCode]])</f>
        <v>7.6894248608534319</v>
      </c>
      <c r="I2388" cm="1">
        <f t="array" ref="I2388">_xlfn.STDEV.P(IF(Table1[IndicatorCode]=Table1[[#This Row],[IndicatorCode]],Table1[value]))</f>
        <v>5.2319501044600996</v>
      </c>
      <c r="J2388">
        <f>(Table1[[#This Row],[value]] - Table1[[#This Row],[mean]]) / Table1[[#This Row],[std_dev]]</f>
        <v>-0.32290538463148605</v>
      </c>
      <c r="K2388">
        <f>AVERAGEIF(Table1[CountryCode],Table1[[#This Row],[CountryCode]],Table1[z-score])</f>
        <v>-1.226846632548898E-2</v>
      </c>
      <c r="L2388" t="e">
        <f>VLOOKUP(Table1[[#This Row],[CountryCode]],[1]!Table1[#Data],4,FALSE)</f>
        <v>#REF!</v>
      </c>
    </row>
    <row r="2389" spans="1:12" hidden="1" x14ac:dyDescent="0.3">
      <c r="A2389" t="s">
        <v>31</v>
      </c>
      <c r="B2389" t="s">
        <v>32</v>
      </c>
      <c r="C2389" t="s">
        <v>125</v>
      </c>
      <c r="D2389" t="s">
        <v>126</v>
      </c>
      <c r="E2389">
        <v>1990</v>
      </c>
      <c r="F2389" s="1">
        <v>6</v>
      </c>
      <c r="G2389">
        <v>1990</v>
      </c>
      <c r="H2389">
        <f>AVERAGEIFS(Table1[value],Table1[IndicatorCode],Table1[[#This Row],[IndicatorCode]])</f>
        <v>7.6894248608534319</v>
      </c>
      <c r="I2389" cm="1">
        <f t="array" ref="I2389">_xlfn.STDEV.P(IF(Table1[IndicatorCode]=Table1[[#This Row],[IndicatorCode]],Table1[value]))</f>
        <v>5.2319501044600996</v>
      </c>
      <c r="J2389">
        <f>(Table1[[#This Row],[value]] - Table1[[#This Row],[mean]]) / Table1[[#This Row],[std_dev]]</f>
        <v>-0.32290538463148605</v>
      </c>
      <c r="K2389">
        <f>AVERAGEIF(Table1[CountryCode],Table1[[#This Row],[CountryCode]],Table1[z-score])</f>
        <v>-1.226846632548898E-2</v>
      </c>
      <c r="L2389" t="e">
        <f>VLOOKUP(Table1[[#This Row],[CountryCode]],[1]!Table1[#Data],4,FALSE)</f>
        <v>#REF!</v>
      </c>
    </row>
    <row r="2390" spans="1:12" hidden="1" x14ac:dyDescent="0.3">
      <c r="A2390" t="s">
        <v>31</v>
      </c>
      <c r="B2390" t="s">
        <v>32</v>
      </c>
      <c r="C2390" t="s">
        <v>125</v>
      </c>
      <c r="D2390" t="s">
        <v>126</v>
      </c>
      <c r="E2390">
        <v>1991</v>
      </c>
      <c r="F2390" s="1">
        <v>6</v>
      </c>
      <c r="G2390">
        <v>1990</v>
      </c>
      <c r="H2390">
        <f>AVERAGEIFS(Table1[value],Table1[IndicatorCode],Table1[[#This Row],[IndicatorCode]])</f>
        <v>7.6894248608534319</v>
      </c>
      <c r="I2390" cm="1">
        <f t="array" ref="I2390">_xlfn.STDEV.P(IF(Table1[IndicatorCode]=Table1[[#This Row],[IndicatorCode]],Table1[value]))</f>
        <v>5.2319501044600996</v>
      </c>
      <c r="J2390">
        <f>(Table1[[#This Row],[value]] - Table1[[#This Row],[mean]]) / Table1[[#This Row],[std_dev]]</f>
        <v>-0.32290538463148605</v>
      </c>
      <c r="K2390">
        <f>AVERAGEIF(Table1[CountryCode],Table1[[#This Row],[CountryCode]],Table1[z-score])</f>
        <v>-1.226846632548898E-2</v>
      </c>
      <c r="L2390" t="e">
        <f>VLOOKUP(Table1[[#This Row],[CountryCode]],[1]!Table1[#Data],4,FALSE)</f>
        <v>#REF!</v>
      </c>
    </row>
    <row r="2391" spans="1:12" hidden="1" x14ac:dyDescent="0.3">
      <c r="A2391" t="s">
        <v>31</v>
      </c>
      <c r="B2391" t="s">
        <v>32</v>
      </c>
      <c r="C2391" t="s">
        <v>125</v>
      </c>
      <c r="D2391" t="s">
        <v>126</v>
      </c>
      <c r="E2391">
        <v>1992</v>
      </c>
      <c r="F2391" s="1">
        <v>7</v>
      </c>
      <c r="G2391">
        <v>1990</v>
      </c>
      <c r="H2391">
        <f>AVERAGEIFS(Table1[value],Table1[IndicatorCode],Table1[[#This Row],[IndicatorCode]])</f>
        <v>7.6894248608534319</v>
      </c>
      <c r="I2391" cm="1">
        <f t="array" ref="I2391">_xlfn.STDEV.P(IF(Table1[IndicatorCode]=Table1[[#This Row],[IndicatorCode]],Table1[value]))</f>
        <v>5.2319501044600996</v>
      </c>
      <c r="J2391">
        <f>(Table1[[#This Row],[value]] - Table1[[#This Row],[mean]]) / Table1[[#This Row],[std_dev]]</f>
        <v>-0.13177206339672762</v>
      </c>
      <c r="K2391">
        <f>AVERAGEIF(Table1[CountryCode],Table1[[#This Row],[CountryCode]],Table1[z-score])</f>
        <v>-1.226846632548898E-2</v>
      </c>
      <c r="L2391" t="e">
        <f>VLOOKUP(Table1[[#This Row],[CountryCode]],[1]!Table1[#Data],4,FALSE)</f>
        <v>#REF!</v>
      </c>
    </row>
    <row r="2392" spans="1:12" hidden="1" x14ac:dyDescent="0.3">
      <c r="A2392" t="s">
        <v>31</v>
      </c>
      <c r="B2392" t="s">
        <v>32</v>
      </c>
      <c r="C2392" t="s">
        <v>125</v>
      </c>
      <c r="D2392" t="s">
        <v>126</v>
      </c>
      <c r="E2392">
        <v>1993</v>
      </c>
      <c r="F2392" s="1">
        <v>7</v>
      </c>
      <c r="G2392">
        <v>1990</v>
      </c>
      <c r="H2392">
        <f>AVERAGEIFS(Table1[value],Table1[IndicatorCode],Table1[[#This Row],[IndicatorCode]])</f>
        <v>7.6894248608534319</v>
      </c>
      <c r="I2392" cm="1">
        <f t="array" ref="I2392">_xlfn.STDEV.P(IF(Table1[IndicatorCode]=Table1[[#This Row],[IndicatorCode]],Table1[value]))</f>
        <v>5.2319501044600996</v>
      </c>
      <c r="J2392">
        <f>(Table1[[#This Row],[value]] - Table1[[#This Row],[mean]]) / Table1[[#This Row],[std_dev]]</f>
        <v>-0.13177206339672762</v>
      </c>
      <c r="K2392">
        <f>AVERAGEIF(Table1[CountryCode],Table1[[#This Row],[CountryCode]],Table1[z-score])</f>
        <v>-1.226846632548898E-2</v>
      </c>
      <c r="L2392" t="e">
        <f>VLOOKUP(Table1[[#This Row],[CountryCode]],[1]!Table1[#Data],4,FALSE)</f>
        <v>#REF!</v>
      </c>
    </row>
    <row r="2393" spans="1:12" hidden="1" x14ac:dyDescent="0.3">
      <c r="A2393" t="s">
        <v>31</v>
      </c>
      <c r="B2393" t="s">
        <v>32</v>
      </c>
      <c r="C2393" t="s">
        <v>125</v>
      </c>
      <c r="D2393" t="s">
        <v>126</v>
      </c>
      <c r="E2393">
        <v>1994</v>
      </c>
      <c r="F2393" s="1">
        <v>7</v>
      </c>
      <c r="G2393">
        <v>1990</v>
      </c>
      <c r="H2393">
        <f>AVERAGEIFS(Table1[value],Table1[IndicatorCode],Table1[[#This Row],[IndicatorCode]])</f>
        <v>7.6894248608534319</v>
      </c>
      <c r="I2393" cm="1">
        <f t="array" ref="I2393">_xlfn.STDEV.P(IF(Table1[IndicatorCode]=Table1[[#This Row],[IndicatorCode]],Table1[value]))</f>
        <v>5.2319501044600996</v>
      </c>
      <c r="J2393">
        <f>(Table1[[#This Row],[value]] - Table1[[#This Row],[mean]]) / Table1[[#This Row],[std_dev]]</f>
        <v>-0.13177206339672762</v>
      </c>
      <c r="K2393">
        <f>AVERAGEIF(Table1[CountryCode],Table1[[#This Row],[CountryCode]],Table1[z-score])</f>
        <v>-1.226846632548898E-2</v>
      </c>
      <c r="L2393" t="e">
        <f>VLOOKUP(Table1[[#This Row],[CountryCode]],[1]!Table1[#Data],4,FALSE)</f>
        <v>#REF!</v>
      </c>
    </row>
    <row r="2394" spans="1:12" hidden="1" x14ac:dyDescent="0.3">
      <c r="A2394" t="s">
        <v>31</v>
      </c>
      <c r="B2394" t="s">
        <v>32</v>
      </c>
      <c r="C2394" t="s">
        <v>125</v>
      </c>
      <c r="D2394" t="s">
        <v>126</v>
      </c>
      <c r="E2394">
        <v>1995</v>
      </c>
      <c r="F2394" s="1">
        <v>7</v>
      </c>
      <c r="G2394">
        <v>1990</v>
      </c>
      <c r="H2394">
        <f>AVERAGEIFS(Table1[value],Table1[IndicatorCode],Table1[[#This Row],[IndicatorCode]])</f>
        <v>7.6894248608534319</v>
      </c>
      <c r="I2394" cm="1">
        <f t="array" ref="I2394">_xlfn.STDEV.P(IF(Table1[IndicatorCode]=Table1[[#This Row],[IndicatorCode]],Table1[value]))</f>
        <v>5.2319501044600996</v>
      </c>
      <c r="J2394">
        <f>(Table1[[#This Row],[value]] - Table1[[#This Row],[mean]]) / Table1[[#This Row],[std_dev]]</f>
        <v>-0.13177206339672762</v>
      </c>
      <c r="K2394">
        <f>AVERAGEIF(Table1[CountryCode],Table1[[#This Row],[CountryCode]],Table1[z-score])</f>
        <v>-1.226846632548898E-2</v>
      </c>
      <c r="L2394" t="e">
        <f>VLOOKUP(Table1[[#This Row],[CountryCode]],[1]!Table1[#Data],4,FALSE)</f>
        <v>#REF!</v>
      </c>
    </row>
    <row r="2395" spans="1:12" hidden="1" x14ac:dyDescent="0.3">
      <c r="A2395" t="s">
        <v>31</v>
      </c>
      <c r="B2395" t="s">
        <v>32</v>
      </c>
      <c r="C2395" t="s">
        <v>125</v>
      </c>
      <c r="D2395" t="s">
        <v>126</v>
      </c>
      <c r="E2395">
        <v>1996</v>
      </c>
      <c r="F2395" s="1">
        <v>7</v>
      </c>
      <c r="G2395">
        <v>1990</v>
      </c>
      <c r="H2395">
        <f>AVERAGEIFS(Table1[value],Table1[IndicatorCode],Table1[[#This Row],[IndicatorCode]])</f>
        <v>7.6894248608534319</v>
      </c>
      <c r="I2395" cm="1">
        <f t="array" ref="I2395">_xlfn.STDEV.P(IF(Table1[IndicatorCode]=Table1[[#This Row],[IndicatorCode]],Table1[value]))</f>
        <v>5.2319501044600996</v>
      </c>
      <c r="J2395">
        <f>(Table1[[#This Row],[value]] - Table1[[#This Row],[mean]]) / Table1[[#This Row],[std_dev]]</f>
        <v>-0.13177206339672762</v>
      </c>
      <c r="K2395">
        <f>AVERAGEIF(Table1[CountryCode],Table1[[#This Row],[CountryCode]],Table1[z-score])</f>
        <v>-1.226846632548898E-2</v>
      </c>
      <c r="L2395" t="e">
        <f>VLOOKUP(Table1[[#This Row],[CountryCode]],[1]!Table1[#Data],4,FALSE)</f>
        <v>#REF!</v>
      </c>
    </row>
    <row r="2396" spans="1:12" hidden="1" x14ac:dyDescent="0.3">
      <c r="A2396" t="s">
        <v>31</v>
      </c>
      <c r="B2396" t="s">
        <v>32</v>
      </c>
      <c r="C2396" t="s">
        <v>125</v>
      </c>
      <c r="D2396" t="s">
        <v>126</v>
      </c>
      <c r="E2396">
        <v>1997</v>
      </c>
      <c r="F2396" s="1">
        <v>7</v>
      </c>
      <c r="G2396">
        <v>2000</v>
      </c>
      <c r="H2396">
        <f>AVERAGEIFS(Table1[value],Table1[IndicatorCode],Table1[[#This Row],[IndicatorCode]])</f>
        <v>7.6894248608534319</v>
      </c>
      <c r="I2396" cm="1">
        <f t="array" ref="I2396">_xlfn.STDEV.P(IF(Table1[IndicatorCode]=Table1[[#This Row],[IndicatorCode]],Table1[value]))</f>
        <v>5.2319501044600996</v>
      </c>
      <c r="J2396">
        <f>(Table1[[#This Row],[value]] - Table1[[#This Row],[mean]]) / Table1[[#This Row],[std_dev]]</f>
        <v>-0.13177206339672762</v>
      </c>
      <c r="K2396">
        <f>AVERAGEIF(Table1[CountryCode],Table1[[#This Row],[CountryCode]],Table1[z-score])</f>
        <v>-1.226846632548898E-2</v>
      </c>
      <c r="L2396" t="e">
        <f>VLOOKUP(Table1[[#This Row],[CountryCode]],[1]!Table1[#Data],4,FALSE)</f>
        <v>#REF!</v>
      </c>
    </row>
    <row r="2397" spans="1:12" hidden="1" x14ac:dyDescent="0.3">
      <c r="A2397" t="s">
        <v>31</v>
      </c>
      <c r="B2397" t="s">
        <v>32</v>
      </c>
      <c r="C2397" t="s">
        <v>125</v>
      </c>
      <c r="D2397" t="s">
        <v>126</v>
      </c>
      <c r="E2397">
        <v>1998</v>
      </c>
      <c r="F2397" s="1">
        <v>7</v>
      </c>
      <c r="G2397">
        <v>2000</v>
      </c>
      <c r="H2397">
        <f>AVERAGEIFS(Table1[value],Table1[IndicatorCode],Table1[[#This Row],[IndicatorCode]])</f>
        <v>7.6894248608534319</v>
      </c>
      <c r="I2397" cm="1">
        <f t="array" ref="I2397">_xlfn.STDEV.P(IF(Table1[IndicatorCode]=Table1[[#This Row],[IndicatorCode]],Table1[value]))</f>
        <v>5.2319501044600996</v>
      </c>
      <c r="J2397">
        <f>(Table1[[#This Row],[value]] - Table1[[#This Row],[mean]]) / Table1[[#This Row],[std_dev]]</f>
        <v>-0.13177206339672762</v>
      </c>
      <c r="K2397">
        <f>AVERAGEIF(Table1[CountryCode],Table1[[#This Row],[CountryCode]],Table1[z-score])</f>
        <v>-1.226846632548898E-2</v>
      </c>
      <c r="L2397" t="e">
        <f>VLOOKUP(Table1[[#This Row],[CountryCode]],[1]!Table1[#Data],4,FALSE)</f>
        <v>#REF!</v>
      </c>
    </row>
    <row r="2398" spans="1:12" hidden="1" x14ac:dyDescent="0.3">
      <c r="A2398" t="s">
        <v>31</v>
      </c>
      <c r="B2398" t="s">
        <v>32</v>
      </c>
      <c r="C2398" t="s">
        <v>125</v>
      </c>
      <c r="D2398" t="s">
        <v>126</v>
      </c>
      <c r="E2398">
        <v>1999</v>
      </c>
      <c r="F2398" s="1">
        <v>7</v>
      </c>
      <c r="G2398">
        <v>2000</v>
      </c>
      <c r="H2398">
        <f>AVERAGEIFS(Table1[value],Table1[IndicatorCode],Table1[[#This Row],[IndicatorCode]])</f>
        <v>7.6894248608534319</v>
      </c>
      <c r="I2398" cm="1">
        <f t="array" ref="I2398">_xlfn.STDEV.P(IF(Table1[IndicatorCode]=Table1[[#This Row],[IndicatorCode]],Table1[value]))</f>
        <v>5.2319501044600996</v>
      </c>
      <c r="J2398">
        <f>(Table1[[#This Row],[value]] - Table1[[#This Row],[mean]]) / Table1[[#This Row],[std_dev]]</f>
        <v>-0.13177206339672762</v>
      </c>
      <c r="K2398">
        <f>AVERAGEIF(Table1[CountryCode],Table1[[#This Row],[CountryCode]],Table1[z-score])</f>
        <v>-1.226846632548898E-2</v>
      </c>
      <c r="L2398" t="e">
        <f>VLOOKUP(Table1[[#This Row],[CountryCode]],[1]!Table1[#Data],4,FALSE)</f>
        <v>#REF!</v>
      </c>
    </row>
    <row r="2399" spans="1:12" hidden="1" x14ac:dyDescent="0.3">
      <c r="A2399" t="s">
        <v>31</v>
      </c>
      <c r="B2399" t="s">
        <v>32</v>
      </c>
      <c r="C2399" t="s">
        <v>125</v>
      </c>
      <c r="D2399" t="s">
        <v>126</v>
      </c>
      <c r="E2399">
        <v>2000</v>
      </c>
      <c r="F2399" s="1">
        <v>8</v>
      </c>
      <c r="G2399">
        <v>2000</v>
      </c>
      <c r="H2399">
        <f>AVERAGEIFS(Table1[value],Table1[IndicatorCode],Table1[[#This Row],[IndicatorCode]])</f>
        <v>7.6894248608534319</v>
      </c>
      <c r="I2399" cm="1">
        <f t="array" ref="I2399">_xlfn.STDEV.P(IF(Table1[IndicatorCode]=Table1[[#This Row],[IndicatorCode]],Table1[value]))</f>
        <v>5.2319501044600996</v>
      </c>
      <c r="J2399">
        <f>(Table1[[#This Row],[value]] - Table1[[#This Row],[mean]]) / Table1[[#This Row],[std_dev]]</f>
        <v>5.9361257838030791E-2</v>
      </c>
      <c r="K2399">
        <f>AVERAGEIF(Table1[CountryCode],Table1[[#This Row],[CountryCode]],Table1[z-score])</f>
        <v>-1.226846632548898E-2</v>
      </c>
      <c r="L2399" t="e">
        <f>VLOOKUP(Table1[[#This Row],[CountryCode]],[1]!Table1[#Data],4,FALSE)</f>
        <v>#REF!</v>
      </c>
    </row>
    <row r="2400" spans="1:12" hidden="1" x14ac:dyDescent="0.3">
      <c r="A2400" t="s">
        <v>31</v>
      </c>
      <c r="B2400" t="s">
        <v>32</v>
      </c>
      <c r="C2400" t="s">
        <v>125</v>
      </c>
      <c r="D2400" t="s">
        <v>126</v>
      </c>
      <c r="E2400">
        <v>2001</v>
      </c>
      <c r="F2400" s="1">
        <v>7</v>
      </c>
      <c r="G2400">
        <v>2000</v>
      </c>
      <c r="H2400">
        <f>AVERAGEIFS(Table1[value],Table1[IndicatorCode],Table1[[#This Row],[IndicatorCode]])</f>
        <v>7.6894248608534319</v>
      </c>
      <c r="I2400" cm="1">
        <f t="array" ref="I2400">_xlfn.STDEV.P(IF(Table1[IndicatorCode]=Table1[[#This Row],[IndicatorCode]],Table1[value]))</f>
        <v>5.2319501044600996</v>
      </c>
      <c r="J2400">
        <f>(Table1[[#This Row],[value]] - Table1[[#This Row],[mean]]) / Table1[[#This Row],[std_dev]]</f>
        <v>-0.13177206339672762</v>
      </c>
      <c r="K2400">
        <f>AVERAGEIF(Table1[CountryCode],Table1[[#This Row],[CountryCode]],Table1[z-score])</f>
        <v>-1.226846632548898E-2</v>
      </c>
      <c r="L2400" t="e">
        <f>VLOOKUP(Table1[[#This Row],[CountryCode]],[1]!Table1[#Data],4,FALSE)</f>
        <v>#REF!</v>
      </c>
    </row>
    <row r="2401" spans="1:12" hidden="1" x14ac:dyDescent="0.3">
      <c r="A2401" t="s">
        <v>31</v>
      </c>
      <c r="B2401" t="s">
        <v>32</v>
      </c>
      <c r="C2401" t="s">
        <v>125</v>
      </c>
      <c r="D2401" t="s">
        <v>126</v>
      </c>
      <c r="E2401">
        <v>2002</v>
      </c>
      <c r="F2401" s="1">
        <v>7</v>
      </c>
      <c r="G2401">
        <v>2000</v>
      </c>
      <c r="H2401">
        <f>AVERAGEIFS(Table1[value],Table1[IndicatorCode],Table1[[#This Row],[IndicatorCode]])</f>
        <v>7.6894248608534319</v>
      </c>
      <c r="I2401" cm="1">
        <f t="array" ref="I2401">_xlfn.STDEV.P(IF(Table1[IndicatorCode]=Table1[[#This Row],[IndicatorCode]],Table1[value]))</f>
        <v>5.2319501044600996</v>
      </c>
      <c r="J2401">
        <f>(Table1[[#This Row],[value]] - Table1[[#This Row],[mean]]) / Table1[[#This Row],[std_dev]]</f>
        <v>-0.13177206339672762</v>
      </c>
      <c r="K2401">
        <f>AVERAGEIF(Table1[CountryCode],Table1[[#This Row],[CountryCode]],Table1[z-score])</f>
        <v>-1.226846632548898E-2</v>
      </c>
      <c r="L2401" t="e">
        <f>VLOOKUP(Table1[[#This Row],[CountryCode]],[1]!Table1[#Data],4,FALSE)</f>
        <v>#REF!</v>
      </c>
    </row>
    <row r="2402" spans="1:12" hidden="1" x14ac:dyDescent="0.3">
      <c r="A2402" t="s">
        <v>31</v>
      </c>
      <c r="B2402" t="s">
        <v>32</v>
      </c>
      <c r="C2402" t="s">
        <v>125</v>
      </c>
      <c r="D2402" t="s">
        <v>126</v>
      </c>
      <c r="E2402">
        <v>2003</v>
      </c>
      <c r="F2402" s="1">
        <v>8</v>
      </c>
      <c r="G2402">
        <v>2000</v>
      </c>
      <c r="H2402">
        <f>AVERAGEIFS(Table1[value],Table1[IndicatorCode],Table1[[#This Row],[IndicatorCode]])</f>
        <v>7.6894248608534319</v>
      </c>
      <c r="I2402" cm="1">
        <f t="array" ref="I2402">_xlfn.STDEV.P(IF(Table1[IndicatorCode]=Table1[[#This Row],[IndicatorCode]],Table1[value]))</f>
        <v>5.2319501044600996</v>
      </c>
      <c r="J2402">
        <f>(Table1[[#This Row],[value]] - Table1[[#This Row],[mean]]) / Table1[[#This Row],[std_dev]]</f>
        <v>5.9361257838030791E-2</v>
      </c>
      <c r="K2402">
        <f>AVERAGEIF(Table1[CountryCode],Table1[[#This Row],[CountryCode]],Table1[z-score])</f>
        <v>-1.226846632548898E-2</v>
      </c>
      <c r="L2402" t="e">
        <f>VLOOKUP(Table1[[#This Row],[CountryCode]],[1]!Table1[#Data],4,FALSE)</f>
        <v>#REF!</v>
      </c>
    </row>
    <row r="2403" spans="1:12" hidden="1" x14ac:dyDescent="0.3">
      <c r="A2403" t="s">
        <v>31</v>
      </c>
      <c r="B2403" t="s">
        <v>32</v>
      </c>
      <c r="C2403" t="s">
        <v>125</v>
      </c>
      <c r="D2403" t="s">
        <v>126</v>
      </c>
      <c r="E2403">
        <v>2004</v>
      </c>
      <c r="F2403" s="1">
        <v>8</v>
      </c>
      <c r="G2403">
        <v>2000</v>
      </c>
      <c r="H2403">
        <f>AVERAGEIFS(Table1[value],Table1[IndicatorCode],Table1[[#This Row],[IndicatorCode]])</f>
        <v>7.6894248608534319</v>
      </c>
      <c r="I2403" cm="1">
        <f t="array" ref="I2403">_xlfn.STDEV.P(IF(Table1[IndicatorCode]=Table1[[#This Row],[IndicatorCode]],Table1[value]))</f>
        <v>5.2319501044600996</v>
      </c>
      <c r="J2403">
        <f>(Table1[[#This Row],[value]] - Table1[[#This Row],[mean]]) / Table1[[#This Row],[std_dev]]</f>
        <v>5.9361257838030791E-2</v>
      </c>
      <c r="K2403">
        <f>AVERAGEIF(Table1[CountryCode],Table1[[#This Row],[CountryCode]],Table1[z-score])</f>
        <v>-1.226846632548898E-2</v>
      </c>
      <c r="L2403" t="e">
        <f>VLOOKUP(Table1[[#This Row],[CountryCode]],[1]!Table1[#Data],4,FALSE)</f>
        <v>#REF!</v>
      </c>
    </row>
    <row r="2404" spans="1:12" hidden="1" x14ac:dyDescent="0.3">
      <c r="A2404" t="s">
        <v>31</v>
      </c>
      <c r="B2404" t="s">
        <v>32</v>
      </c>
      <c r="C2404" t="s">
        <v>125</v>
      </c>
      <c r="D2404" t="s">
        <v>126</v>
      </c>
      <c r="E2404">
        <v>2005</v>
      </c>
      <c r="F2404" s="1">
        <v>8</v>
      </c>
      <c r="G2404">
        <v>2000</v>
      </c>
      <c r="H2404">
        <f>AVERAGEIFS(Table1[value],Table1[IndicatorCode],Table1[[#This Row],[IndicatorCode]])</f>
        <v>7.6894248608534319</v>
      </c>
      <c r="I2404" cm="1">
        <f t="array" ref="I2404">_xlfn.STDEV.P(IF(Table1[IndicatorCode]=Table1[[#This Row],[IndicatorCode]],Table1[value]))</f>
        <v>5.2319501044600996</v>
      </c>
      <c r="J2404">
        <f>(Table1[[#This Row],[value]] - Table1[[#This Row],[mean]]) / Table1[[#This Row],[std_dev]]</f>
        <v>5.9361257838030791E-2</v>
      </c>
      <c r="K2404">
        <f>AVERAGEIF(Table1[CountryCode],Table1[[#This Row],[CountryCode]],Table1[z-score])</f>
        <v>-1.226846632548898E-2</v>
      </c>
      <c r="L2404" t="e">
        <f>VLOOKUP(Table1[[#This Row],[CountryCode]],[1]!Table1[#Data],4,FALSE)</f>
        <v>#REF!</v>
      </c>
    </row>
    <row r="2405" spans="1:12" hidden="1" x14ac:dyDescent="0.3">
      <c r="A2405" t="s">
        <v>31</v>
      </c>
      <c r="B2405" t="s">
        <v>32</v>
      </c>
      <c r="C2405" t="s">
        <v>125</v>
      </c>
      <c r="D2405" t="s">
        <v>126</v>
      </c>
      <c r="E2405">
        <v>2006</v>
      </c>
      <c r="F2405" s="1">
        <v>8</v>
      </c>
      <c r="G2405">
        <v>2000</v>
      </c>
      <c r="H2405">
        <f>AVERAGEIFS(Table1[value],Table1[IndicatorCode],Table1[[#This Row],[IndicatorCode]])</f>
        <v>7.6894248608534319</v>
      </c>
      <c r="I2405" cm="1">
        <f t="array" ref="I2405">_xlfn.STDEV.P(IF(Table1[IndicatorCode]=Table1[[#This Row],[IndicatorCode]],Table1[value]))</f>
        <v>5.2319501044600996</v>
      </c>
      <c r="J2405">
        <f>(Table1[[#This Row],[value]] - Table1[[#This Row],[mean]]) / Table1[[#This Row],[std_dev]]</f>
        <v>5.9361257838030791E-2</v>
      </c>
      <c r="K2405">
        <f>AVERAGEIF(Table1[CountryCode],Table1[[#This Row],[CountryCode]],Table1[z-score])</f>
        <v>-1.226846632548898E-2</v>
      </c>
      <c r="L2405" t="e">
        <f>VLOOKUP(Table1[[#This Row],[CountryCode]],[1]!Table1[#Data],4,FALSE)</f>
        <v>#REF!</v>
      </c>
    </row>
    <row r="2406" spans="1:12" hidden="1" x14ac:dyDescent="0.3">
      <c r="A2406" t="s">
        <v>31</v>
      </c>
      <c r="B2406" t="s">
        <v>32</v>
      </c>
      <c r="C2406" t="s">
        <v>125</v>
      </c>
      <c r="D2406" t="s">
        <v>126</v>
      </c>
      <c r="E2406">
        <v>2007</v>
      </c>
      <c r="F2406" s="1">
        <v>8</v>
      </c>
      <c r="G2406">
        <v>2010</v>
      </c>
      <c r="H2406">
        <f>AVERAGEIFS(Table1[value],Table1[IndicatorCode],Table1[[#This Row],[IndicatorCode]])</f>
        <v>7.6894248608534319</v>
      </c>
      <c r="I2406" cm="1">
        <f t="array" ref="I2406">_xlfn.STDEV.P(IF(Table1[IndicatorCode]=Table1[[#This Row],[IndicatorCode]],Table1[value]))</f>
        <v>5.2319501044600996</v>
      </c>
      <c r="J2406">
        <f>(Table1[[#This Row],[value]] - Table1[[#This Row],[mean]]) / Table1[[#This Row],[std_dev]]</f>
        <v>5.9361257838030791E-2</v>
      </c>
      <c r="K2406">
        <f>AVERAGEIF(Table1[CountryCode],Table1[[#This Row],[CountryCode]],Table1[z-score])</f>
        <v>-1.226846632548898E-2</v>
      </c>
      <c r="L2406" t="e">
        <f>VLOOKUP(Table1[[#This Row],[CountryCode]],[1]!Table1[#Data],4,FALSE)</f>
        <v>#REF!</v>
      </c>
    </row>
    <row r="2407" spans="1:12" hidden="1" x14ac:dyDescent="0.3">
      <c r="A2407" t="s">
        <v>31</v>
      </c>
      <c r="B2407" t="s">
        <v>32</v>
      </c>
      <c r="C2407" t="s">
        <v>125</v>
      </c>
      <c r="D2407" t="s">
        <v>126</v>
      </c>
      <c r="E2407">
        <v>2008</v>
      </c>
      <c r="F2407" s="1">
        <v>8</v>
      </c>
      <c r="G2407">
        <v>2010</v>
      </c>
      <c r="H2407">
        <f>AVERAGEIFS(Table1[value],Table1[IndicatorCode],Table1[[#This Row],[IndicatorCode]])</f>
        <v>7.6894248608534319</v>
      </c>
      <c r="I2407" cm="1">
        <f t="array" ref="I2407">_xlfn.STDEV.P(IF(Table1[IndicatorCode]=Table1[[#This Row],[IndicatorCode]],Table1[value]))</f>
        <v>5.2319501044600996</v>
      </c>
      <c r="J2407">
        <f>(Table1[[#This Row],[value]] - Table1[[#This Row],[mean]]) / Table1[[#This Row],[std_dev]]</f>
        <v>5.9361257838030791E-2</v>
      </c>
      <c r="K2407">
        <f>AVERAGEIF(Table1[CountryCode],Table1[[#This Row],[CountryCode]],Table1[z-score])</f>
        <v>-1.226846632548898E-2</v>
      </c>
      <c r="L2407" t="e">
        <f>VLOOKUP(Table1[[#This Row],[CountryCode]],[1]!Table1[#Data],4,FALSE)</f>
        <v>#REF!</v>
      </c>
    </row>
    <row r="2408" spans="1:12" hidden="1" x14ac:dyDescent="0.3">
      <c r="A2408" t="s">
        <v>31</v>
      </c>
      <c r="B2408" t="s">
        <v>32</v>
      </c>
      <c r="C2408" t="s">
        <v>125</v>
      </c>
      <c r="D2408" t="s">
        <v>126</v>
      </c>
      <c r="E2408">
        <v>2009</v>
      </c>
      <c r="F2408" s="1">
        <v>7</v>
      </c>
      <c r="G2408">
        <v>2010</v>
      </c>
      <c r="H2408">
        <f>AVERAGEIFS(Table1[value],Table1[IndicatorCode],Table1[[#This Row],[IndicatorCode]])</f>
        <v>7.6894248608534319</v>
      </c>
      <c r="I2408" cm="1">
        <f t="array" ref="I2408">_xlfn.STDEV.P(IF(Table1[IndicatorCode]=Table1[[#This Row],[IndicatorCode]],Table1[value]))</f>
        <v>5.2319501044600996</v>
      </c>
      <c r="J2408">
        <f>(Table1[[#This Row],[value]] - Table1[[#This Row],[mean]]) / Table1[[#This Row],[std_dev]]</f>
        <v>-0.13177206339672762</v>
      </c>
      <c r="K2408">
        <f>AVERAGEIF(Table1[CountryCode],Table1[[#This Row],[CountryCode]],Table1[z-score])</f>
        <v>-1.226846632548898E-2</v>
      </c>
      <c r="L2408" t="e">
        <f>VLOOKUP(Table1[[#This Row],[CountryCode]],[1]!Table1[#Data],4,FALSE)</f>
        <v>#REF!</v>
      </c>
    </row>
    <row r="2409" spans="1:12" hidden="1" x14ac:dyDescent="0.3">
      <c r="A2409" t="s">
        <v>31</v>
      </c>
      <c r="B2409" t="s">
        <v>32</v>
      </c>
      <c r="C2409" t="s">
        <v>125</v>
      </c>
      <c r="D2409" t="s">
        <v>126</v>
      </c>
      <c r="E2409">
        <v>2010</v>
      </c>
      <c r="F2409" s="1">
        <v>7</v>
      </c>
      <c r="G2409">
        <v>2010</v>
      </c>
      <c r="H2409">
        <f>AVERAGEIFS(Table1[value],Table1[IndicatorCode],Table1[[#This Row],[IndicatorCode]])</f>
        <v>7.6894248608534319</v>
      </c>
      <c r="I2409" cm="1">
        <f t="array" ref="I2409">_xlfn.STDEV.P(IF(Table1[IndicatorCode]=Table1[[#This Row],[IndicatorCode]],Table1[value]))</f>
        <v>5.2319501044600996</v>
      </c>
      <c r="J2409">
        <f>(Table1[[#This Row],[value]] - Table1[[#This Row],[mean]]) / Table1[[#This Row],[std_dev]]</f>
        <v>-0.13177206339672762</v>
      </c>
      <c r="K2409">
        <f>AVERAGEIF(Table1[CountryCode],Table1[[#This Row],[CountryCode]],Table1[z-score])</f>
        <v>-1.226846632548898E-2</v>
      </c>
      <c r="L2409" t="e">
        <f>VLOOKUP(Table1[[#This Row],[CountryCode]],[1]!Table1[#Data],4,FALSE)</f>
        <v>#REF!</v>
      </c>
    </row>
    <row r="2410" spans="1:12" hidden="1" x14ac:dyDescent="0.3">
      <c r="A2410" t="s">
        <v>31</v>
      </c>
      <c r="B2410" t="s">
        <v>32</v>
      </c>
      <c r="C2410" t="s">
        <v>125</v>
      </c>
      <c r="D2410" t="s">
        <v>126</v>
      </c>
      <c r="E2410">
        <v>2011</v>
      </c>
      <c r="F2410" s="1">
        <v>7</v>
      </c>
      <c r="G2410">
        <v>2010</v>
      </c>
      <c r="H2410">
        <f>AVERAGEIFS(Table1[value],Table1[IndicatorCode],Table1[[#This Row],[IndicatorCode]])</f>
        <v>7.6894248608534319</v>
      </c>
      <c r="I2410" cm="1">
        <f t="array" ref="I2410">_xlfn.STDEV.P(IF(Table1[IndicatorCode]=Table1[[#This Row],[IndicatorCode]],Table1[value]))</f>
        <v>5.2319501044600996</v>
      </c>
      <c r="J2410">
        <f>(Table1[[#This Row],[value]] - Table1[[#This Row],[mean]]) / Table1[[#This Row],[std_dev]]</f>
        <v>-0.13177206339672762</v>
      </c>
      <c r="K2410">
        <f>AVERAGEIF(Table1[CountryCode],Table1[[#This Row],[CountryCode]],Table1[z-score])</f>
        <v>-1.226846632548898E-2</v>
      </c>
      <c r="L2410" t="e">
        <f>VLOOKUP(Table1[[#This Row],[CountryCode]],[1]!Table1[#Data],4,FALSE)</f>
        <v>#REF!</v>
      </c>
    </row>
    <row r="2411" spans="1:12" hidden="1" x14ac:dyDescent="0.3">
      <c r="A2411" t="s">
        <v>31</v>
      </c>
      <c r="B2411" t="s">
        <v>32</v>
      </c>
      <c r="C2411" t="s">
        <v>125</v>
      </c>
      <c r="D2411" t="s">
        <v>126</v>
      </c>
      <c r="E2411">
        <v>2012</v>
      </c>
      <c r="F2411" s="1">
        <v>6</v>
      </c>
      <c r="G2411">
        <v>2010</v>
      </c>
      <c r="H2411">
        <f>AVERAGEIFS(Table1[value],Table1[IndicatorCode],Table1[[#This Row],[IndicatorCode]])</f>
        <v>7.6894248608534319</v>
      </c>
      <c r="I2411" cm="1">
        <f t="array" ref="I2411">_xlfn.STDEV.P(IF(Table1[IndicatorCode]=Table1[[#This Row],[IndicatorCode]],Table1[value]))</f>
        <v>5.2319501044600996</v>
      </c>
      <c r="J2411">
        <f>(Table1[[#This Row],[value]] - Table1[[#This Row],[mean]]) / Table1[[#This Row],[std_dev]]</f>
        <v>-0.32290538463148605</v>
      </c>
      <c r="K2411">
        <f>AVERAGEIF(Table1[CountryCode],Table1[[#This Row],[CountryCode]],Table1[z-score])</f>
        <v>-1.226846632548898E-2</v>
      </c>
      <c r="L2411" t="e">
        <f>VLOOKUP(Table1[[#This Row],[CountryCode]],[1]!Table1[#Data],4,FALSE)</f>
        <v>#REF!</v>
      </c>
    </row>
    <row r="2412" spans="1:12" hidden="1" x14ac:dyDescent="0.3">
      <c r="A2412" t="s">
        <v>31</v>
      </c>
      <c r="B2412" t="s">
        <v>32</v>
      </c>
      <c r="C2412" t="s">
        <v>125</v>
      </c>
      <c r="D2412" t="s">
        <v>126</v>
      </c>
      <c r="E2412">
        <v>2013</v>
      </c>
      <c r="F2412" s="1">
        <v>5</v>
      </c>
      <c r="G2412">
        <v>2010</v>
      </c>
      <c r="H2412">
        <f>AVERAGEIFS(Table1[value],Table1[IndicatorCode],Table1[[#This Row],[IndicatorCode]])</f>
        <v>7.6894248608534319</v>
      </c>
      <c r="I2412" cm="1">
        <f t="array" ref="I2412">_xlfn.STDEV.P(IF(Table1[IndicatorCode]=Table1[[#This Row],[IndicatorCode]],Table1[value]))</f>
        <v>5.2319501044600996</v>
      </c>
      <c r="J2412">
        <f>(Table1[[#This Row],[value]] - Table1[[#This Row],[mean]]) / Table1[[#This Row],[std_dev]]</f>
        <v>-0.51403870586624445</v>
      </c>
      <c r="K2412">
        <f>AVERAGEIF(Table1[CountryCode],Table1[[#This Row],[CountryCode]],Table1[z-score])</f>
        <v>-1.226846632548898E-2</v>
      </c>
      <c r="L2412" t="e">
        <f>VLOOKUP(Table1[[#This Row],[CountryCode]],[1]!Table1[#Data],4,FALSE)</f>
        <v>#REF!</v>
      </c>
    </row>
    <row r="2413" spans="1:12" hidden="1" x14ac:dyDescent="0.3">
      <c r="A2413" t="s">
        <v>31</v>
      </c>
      <c r="B2413" t="s">
        <v>32</v>
      </c>
      <c r="C2413" t="s">
        <v>125</v>
      </c>
      <c r="D2413" t="s">
        <v>126</v>
      </c>
      <c r="E2413">
        <v>2014</v>
      </c>
      <c r="F2413" s="1">
        <v>6</v>
      </c>
      <c r="G2413">
        <v>2010</v>
      </c>
      <c r="H2413">
        <f>AVERAGEIFS(Table1[value],Table1[IndicatorCode],Table1[[#This Row],[IndicatorCode]])</f>
        <v>7.6894248608534319</v>
      </c>
      <c r="I2413" cm="1">
        <f t="array" ref="I2413">_xlfn.STDEV.P(IF(Table1[IndicatorCode]=Table1[[#This Row],[IndicatorCode]],Table1[value]))</f>
        <v>5.2319501044600996</v>
      </c>
      <c r="J2413">
        <f>(Table1[[#This Row],[value]] - Table1[[#This Row],[mean]]) / Table1[[#This Row],[std_dev]]</f>
        <v>-0.32290538463148605</v>
      </c>
      <c r="K2413">
        <f>AVERAGEIF(Table1[CountryCode],Table1[[#This Row],[CountryCode]],Table1[z-score])</f>
        <v>-1.226846632548898E-2</v>
      </c>
      <c r="L2413" t="e">
        <f>VLOOKUP(Table1[[#This Row],[CountryCode]],[1]!Table1[#Data],4,FALSE)</f>
        <v>#REF!</v>
      </c>
    </row>
    <row r="2414" spans="1:12" hidden="1" x14ac:dyDescent="0.3">
      <c r="A2414" t="s">
        <v>31</v>
      </c>
      <c r="B2414" t="s">
        <v>32</v>
      </c>
      <c r="C2414" t="s">
        <v>125</v>
      </c>
      <c r="D2414" t="s">
        <v>126</v>
      </c>
      <c r="E2414">
        <v>2015</v>
      </c>
      <c r="F2414" s="1">
        <v>6</v>
      </c>
      <c r="G2414">
        <v>2010</v>
      </c>
      <c r="H2414">
        <f>AVERAGEIFS(Table1[value],Table1[IndicatorCode],Table1[[#This Row],[IndicatorCode]])</f>
        <v>7.6894248608534319</v>
      </c>
      <c r="I2414" cm="1">
        <f t="array" ref="I2414">_xlfn.STDEV.P(IF(Table1[IndicatorCode]=Table1[[#This Row],[IndicatorCode]],Table1[value]))</f>
        <v>5.2319501044600996</v>
      </c>
      <c r="J2414">
        <f>(Table1[[#This Row],[value]] - Table1[[#This Row],[mean]]) / Table1[[#This Row],[std_dev]]</f>
        <v>-0.32290538463148605</v>
      </c>
      <c r="K2414">
        <f>AVERAGEIF(Table1[CountryCode],Table1[[#This Row],[CountryCode]],Table1[z-score])</f>
        <v>-1.226846632548898E-2</v>
      </c>
      <c r="L2414" t="e">
        <f>VLOOKUP(Table1[[#This Row],[CountryCode]],[1]!Table1[#Data],4,FALSE)</f>
        <v>#REF!</v>
      </c>
    </row>
    <row r="2415" spans="1:12" hidden="1" x14ac:dyDescent="0.3">
      <c r="A2415" t="s">
        <v>31</v>
      </c>
      <c r="B2415" t="s">
        <v>32</v>
      </c>
      <c r="C2415" t="s">
        <v>125</v>
      </c>
      <c r="D2415" t="s">
        <v>126</v>
      </c>
      <c r="E2415">
        <v>2016</v>
      </c>
      <c r="F2415" s="1">
        <v>6</v>
      </c>
      <c r="G2415">
        <v>2010</v>
      </c>
      <c r="H2415">
        <f>AVERAGEIFS(Table1[value],Table1[IndicatorCode],Table1[[#This Row],[IndicatorCode]])</f>
        <v>7.6894248608534319</v>
      </c>
      <c r="I2415" cm="1">
        <f t="array" ref="I2415">_xlfn.STDEV.P(IF(Table1[IndicatorCode]=Table1[[#This Row],[IndicatorCode]],Table1[value]))</f>
        <v>5.2319501044600996</v>
      </c>
      <c r="J2415">
        <f>(Table1[[#This Row],[value]] - Table1[[#This Row],[mean]]) / Table1[[#This Row],[std_dev]]</f>
        <v>-0.32290538463148605</v>
      </c>
      <c r="K2415">
        <f>AVERAGEIF(Table1[CountryCode],Table1[[#This Row],[CountryCode]],Table1[z-score])</f>
        <v>-1.226846632548898E-2</v>
      </c>
      <c r="L2415" t="e">
        <f>VLOOKUP(Table1[[#This Row],[CountryCode]],[1]!Table1[#Data],4,FALSE)</f>
        <v>#REF!</v>
      </c>
    </row>
    <row r="2416" spans="1:12" hidden="1" x14ac:dyDescent="0.3">
      <c r="A2416" t="s">
        <v>31</v>
      </c>
      <c r="B2416" t="s">
        <v>32</v>
      </c>
      <c r="C2416" t="s">
        <v>125</v>
      </c>
      <c r="D2416" t="s">
        <v>126</v>
      </c>
      <c r="E2416">
        <v>2017</v>
      </c>
      <c r="F2416" s="1">
        <v>6</v>
      </c>
      <c r="G2416">
        <v>2020</v>
      </c>
      <c r="H2416">
        <f>AVERAGEIFS(Table1[value],Table1[IndicatorCode],Table1[[#This Row],[IndicatorCode]])</f>
        <v>7.6894248608534319</v>
      </c>
      <c r="I2416" cm="1">
        <f t="array" ref="I2416">_xlfn.STDEV.P(IF(Table1[IndicatorCode]=Table1[[#This Row],[IndicatorCode]],Table1[value]))</f>
        <v>5.2319501044600996</v>
      </c>
      <c r="J2416">
        <f>(Table1[[#This Row],[value]] - Table1[[#This Row],[mean]]) / Table1[[#This Row],[std_dev]]</f>
        <v>-0.32290538463148605</v>
      </c>
      <c r="K2416">
        <f>AVERAGEIF(Table1[CountryCode],Table1[[#This Row],[CountryCode]],Table1[z-score])</f>
        <v>-1.226846632548898E-2</v>
      </c>
      <c r="L2416" t="e">
        <f>VLOOKUP(Table1[[#This Row],[CountryCode]],[1]!Table1[#Data],4,FALSE)</f>
        <v>#REF!</v>
      </c>
    </row>
    <row r="2417" spans="1:12" hidden="1" x14ac:dyDescent="0.3">
      <c r="A2417" t="s">
        <v>31</v>
      </c>
      <c r="B2417" t="s">
        <v>32</v>
      </c>
      <c r="C2417" t="s">
        <v>125</v>
      </c>
      <c r="D2417" t="s">
        <v>126</v>
      </c>
      <c r="E2417">
        <v>2018</v>
      </c>
      <c r="F2417" s="1">
        <v>6</v>
      </c>
      <c r="G2417">
        <v>2020</v>
      </c>
      <c r="H2417">
        <f>AVERAGEIFS(Table1[value],Table1[IndicatorCode],Table1[[#This Row],[IndicatorCode]])</f>
        <v>7.6894248608534319</v>
      </c>
      <c r="I2417" cm="1">
        <f t="array" ref="I2417">_xlfn.STDEV.P(IF(Table1[IndicatorCode]=Table1[[#This Row],[IndicatorCode]],Table1[value]))</f>
        <v>5.2319501044600996</v>
      </c>
      <c r="J2417">
        <f>(Table1[[#This Row],[value]] - Table1[[#This Row],[mean]]) / Table1[[#This Row],[std_dev]]</f>
        <v>-0.32290538463148605</v>
      </c>
      <c r="K2417">
        <f>AVERAGEIF(Table1[CountryCode],Table1[[#This Row],[CountryCode]],Table1[z-score])</f>
        <v>-1.226846632548898E-2</v>
      </c>
      <c r="L2417" t="e">
        <f>VLOOKUP(Table1[[#This Row],[CountryCode]],[1]!Table1[#Data],4,FALSE)</f>
        <v>#REF!</v>
      </c>
    </row>
    <row r="2418" spans="1:12" hidden="1" x14ac:dyDescent="0.3">
      <c r="A2418" t="s">
        <v>31</v>
      </c>
      <c r="B2418" t="s">
        <v>32</v>
      </c>
      <c r="C2418" t="s">
        <v>125</v>
      </c>
      <c r="D2418" t="s">
        <v>126</v>
      </c>
      <c r="E2418">
        <v>2019</v>
      </c>
      <c r="F2418" s="1">
        <v>6</v>
      </c>
      <c r="G2418">
        <v>2020</v>
      </c>
      <c r="H2418">
        <f>AVERAGEIFS(Table1[value],Table1[IndicatorCode],Table1[[#This Row],[IndicatorCode]])</f>
        <v>7.6894248608534319</v>
      </c>
      <c r="I2418" cm="1">
        <f t="array" ref="I2418">_xlfn.STDEV.P(IF(Table1[IndicatorCode]=Table1[[#This Row],[IndicatorCode]],Table1[value]))</f>
        <v>5.2319501044600996</v>
      </c>
      <c r="J2418">
        <f>(Table1[[#This Row],[value]] - Table1[[#This Row],[mean]]) / Table1[[#This Row],[std_dev]]</f>
        <v>-0.32290538463148605</v>
      </c>
      <c r="K2418">
        <f>AVERAGEIF(Table1[CountryCode],Table1[[#This Row],[CountryCode]],Table1[z-score])</f>
        <v>-1.226846632548898E-2</v>
      </c>
      <c r="L2418" t="e">
        <f>VLOOKUP(Table1[[#This Row],[CountryCode]],[1]!Table1[#Data],4,FALSE)</f>
        <v>#REF!</v>
      </c>
    </row>
    <row r="2419" spans="1:12" x14ac:dyDescent="0.3">
      <c r="A2419" t="s">
        <v>31</v>
      </c>
      <c r="B2419" t="s">
        <v>32</v>
      </c>
      <c r="C2419" t="s">
        <v>125</v>
      </c>
      <c r="D2419" t="s">
        <v>126</v>
      </c>
      <c r="E2419">
        <v>2020</v>
      </c>
      <c r="F2419" s="1">
        <v>5</v>
      </c>
      <c r="G2419">
        <v>2020</v>
      </c>
      <c r="H2419">
        <f>AVERAGEIFS(Table1[value],Table1[IndicatorCode],Table1[[#This Row],[IndicatorCode]])</f>
        <v>7.6894248608534319</v>
      </c>
      <c r="I2419" cm="1">
        <f t="array" ref="I2419">_xlfn.STDEV.P(IF(Table1[IndicatorCode]=Table1[[#This Row],[IndicatorCode]],Table1[value]))</f>
        <v>5.2319501044600996</v>
      </c>
      <c r="J2419">
        <f>(Table1[[#This Row],[value]] - Table1[[#This Row],[mean]]) / Table1[[#This Row],[std_dev]]</f>
        <v>-0.51403870586624445</v>
      </c>
      <c r="K2419">
        <f>AVERAGEIF(Table1[CountryCode],Table1[[#This Row],[CountryCode]],Table1[z-score])</f>
        <v>-1.226846632548898E-2</v>
      </c>
    </row>
    <row r="2420" spans="1:12" hidden="1" x14ac:dyDescent="0.3">
      <c r="A2420" t="s">
        <v>31</v>
      </c>
      <c r="B2420" t="s">
        <v>32</v>
      </c>
      <c r="C2420" t="s">
        <v>125</v>
      </c>
      <c r="D2420" t="s">
        <v>126</v>
      </c>
      <c r="E2420">
        <v>2021</v>
      </c>
      <c r="F2420" s="1">
        <v>5</v>
      </c>
      <c r="G2420">
        <v>2020</v>
      </c>
      <c r="H2420">
        <f>AVERAGEIFS(Table1[value],Table1[IndicatorCode],Table1[[#This Row],[IndicatorCode]])</f>
        <v>7.6894248608534319</v>
      </c>
      <c r="I2420" cm="1">
        <f t="array" ref="I2420">_xlfn.STDEV.P(IF(Table1[IndicatorCode]=Table1[[#This Row],[IndicatorCode]],Table1[value]))</f>
        <v>5.2319501044600996</v>
      </c>
      <c r="J2420">
        <f>(Table1[[#This Row],[value]] - Table1[[#This Row],[mean]]) / Table1[[#This Row],[std_dev]]</f>
        <v>-0.51403870586624445</v>
      </c>
      <c r="K2420">
        <f>AVERAGEIF(Table1[CountryCode],Table1[[#This Row],[CountryCode]],Table1[z-score])</f>
        <v>-1.226846632548898E-2</v>
      </c>
      <c r="L2420" t="e">
        <f>VLOOKUP(Table1[[#This Row],[CountryCode]],[1]!Table1[#Data],4,FALSE)</f>
        <v>#REF!</v>
      </c>
    </row>
    <row r="2421" spans="1:12" hidden="1" x14ac:dyDescent="0.3">
      <c r="A2421" t="s">
        <v>31</v>
      </c>
      <c r="B2421" t="s">
        <v>32</v>
      </c>
      <c r="C2421" t="s">
        <v>125</v>
      </c>
      <c r="D2421" t="s">
        <v>126</v>
      </c>
      <c r="E2421">
        <v>2022</v>
      </c>
      <c r="F2421" s="1">
        <v>5</v>
      </c>
      <c r="G2421">
        <v>1970</v>
      </c>
      <c r="H2421">
        <f>AVERAGEIFS(Table1[value],Table1[IndicatorCode],Table1[[#This Row],[IndicatorCode]])</f>
        <v>7.6894248608534319</v>
      </c>
      <c r="I2421" cm="1">
        <f t="array" ref="I2421">_xlfn.STDEV.P(IF(Table1[IndicatorCode]=Table1[[#This Row],[IndicatorCode]],Table1[value]))</f>
        <v>5.2319501044600996</v>
      </c>
      <c r="J2421">
        <f>(Table1[[#This Row],[value]] - Table1[[#This Row],[mean]]) / Table1[[#This Row],[std_dev]]</f>
        <v>-0.51403870586624445</v>
      </c>
      <c r="K2421">
        <f>AVERAGEIF(Table1[CountryCode],Table1[[#This Row],[CountryCode]],Table1[z-score])</f>
        <v>-1.226846632548898E-2</v>
      </c>
      <c r="L2421" t="e">
        <f>VLOOKUP(Table1[[#This Row],[CountryCode]],[1]!Table1[#Data],4,FALSE)</f>
        <v>#REF!</v>
      </c>
    </row>
    <row r="2422" spans="1:12" hidden="1" x14ac:dyDescent="0.3">
      <c r="A2422" t="s">
        <v>31</v>
      </c>
      <c r="B2422" t="s">
        <v>32</v>
      </c>
      <c r="C2422" t="s">
        <v>125</v>
      </c>
      <c r="D2422" t="s">
        <v>126</v>
      </c>
      <c r="E2422">
        <v>2023</v>
      </c>
      <c r="F2422" s="1">
        <v>5</v>
      </c>
      <c r="G2422">
        <v>1970</v>
      </c>
      <c r="H2422">
        <f>AVERAGEIFS(Table1[value],Table1[IndicatorCode],Table1[[#This Row],[IndicatorCode]])</f>
        <v>7.6894248608534319</v>
      </c>
      <c r="I2422" cm="1">
        <f t="array" ref="I2422">_xlfn.STDEV.P(IF(Table1[IndicatorCode]=Table1[[#This Row],[IndicatorCode]],Table1[value]))</f>
        <v>5.2319501044600996</v>
      </c>
      <c r="J2422">
        <f>(Table1[[#This Row],[value]] - Table1[[#This Row],[mean]]) / Table1[[#This Row],[std_dev]]</f>
        <v>-0.51403870586624445</v>
      </c>
      <c r="K2422">
        <f>AVERAGEIF(Table1[CountryCode],Table1[[#This Row],[CountryCode]],Table1[z-score])</f>
        <v>-1.226846632548898E-2</v>
      </c>
      <c r="L2422" t="e">
        <f>VLOOKUP(Table1[[#This Row],[CountryCode]],[1]!Table1[#Data],4,FALSE)</f>
        <v>#REF!</v>
      </c>
    </row>
    <row r="2423" spans="1:12" hidden="1" x14ac:dyDescent="0.3">
      <c r="A2423" t="s">
        <v>31</v>
      </c>
      <c r="B2423" t="s">
        <v>32</v>
      </c>
      <c r="C2423" t="s">
        <v>125</v>
      </c>
      <c r="D2423" t="s">
        <v>126</v>
      </c>
      <c r="E2423">
        <v>2024</v>
      </c>
      <c r="F2423" s="1">
        <v>5</v>
      </c>
      <c r="G2423">
        <v>1970</v>
      </c>
      <c r="H2423">
        <f>AVERAGEIFS(Table1[value],Table1[IndicatorCode],Table1[[#This Row],[IndicatorCode]])</f>
        <v>7.6894248608534319</v>
      </c>
      <c r="I2423" cm="1">
        <f t="array" ref="I2423">_xlfn.STDEV.P(IF(Table1[IndicatorCode]=Table1[[#This Row],[IndicatorCode]],Table1[value]))</f>
        <v>5.2319501044600996</v>
      </c>
      <c r="J2423">
        <f>(Table1[[#This Row],[value]] - Table1[[#This Row],[mean]]) / Table1[[#This Row],[std_dev]]</f>
        <v>-0.51403870586624445</v>
      </c>
      <c r="K2423">
        <f>AVERAGEIF(Table1[CountryCode],Table1[[#This Row],[CountryCode]],Table1[z-score])</f>
        <v>-1.226846632548898E-2</v>
      </c>
      <c r="L2423" t="e">
        <f>VLOOKUP(Table1[[#This Row],[CountryCode]],[1]!Table1[#Data],4,FALSE)</f>
        <v>#REF!</v>
      </c>
    </row>
    <row r="2424" spans="1:12" hidden="1" x14ac:dyDescent="0.3">
      <c r="A2424" t="s">
        <v>33</v>
      </c>
      <c r="B2424" t="s">
        <v>34</v>
      </c>
      <c r="C2424" t="s">
        <v>125</v>
      </c>
      <c r="D2424" t="s">
        <v>126</v>
      </c>
      <c r="E2424">
        <v>1970</v>
      </c>
      <c r="F2424" s="1">
        <v>19</v>
      </c>
      <c r="G2424">
        <v>1970</v>
      </c>
      <c r="H2424">
        <f>AVERAGEIFS(Table1[value],Table1[IndicatorCode],Table1[[#This Row],[IndicatorCode]])</f>
        <v>7.6894248608534319</v>
      </c>
      <c r="I2424" cm="1">
        <f t="array" ref="I2424">_xlfn.STDEV.P(IF(Table1[IndicatorCode]=Table1[[#This Row],[IndicatorCode]],Table1[value]))</f>
        <v>5.2319501044600996</v>
      </c>
      <c r="J2424">
        <f>(Table1[[#This Row],[value]] - Table1[[#This Row],[mean]]) / Table1[[#This Row],[std_dev]]</f>
        <v>2.1618277914203734</v>
      </c>
      <c r="K2424">
        <f>AVERAGEIF(Table1[CountryCode],Table1[[#This Row],[CountryCode]],Table1[z-score])</f>
        <v>0.38305593592472742</v>
      </c>
      <c r="L2424" t="e">
        <f>VLOOKUP(Table1[[#This Row],[CountryCode]],[1]!Table1[#Data],4,FALSE)</f>
        <v>#REF!</v>
      </c>
    </row>
    <row r="2425" spans="1:12" hidden="1" x14ac:dyDescent="0.3">
      <c r="A2425" t="s">
        <v>33</v>
      </c>
      <c r="B2425" t="s">
        <v>34</v>
      </c>
      <c r="C2425" t="s">
        <v>125</v>
      </c>
      <c r="D2425" t="s">
        <v>126</v>
      </c>
      <c r="E2425">
        <v>1971</v>
      </c>
      <c r="F2425" s="1">
        <v>19</v>
      </c>
      <c r="G2425">
        <v>1970</v>
      </c>
      <c r="H2425">
        <f>AVERAGEIFS(Table1[value],Table1[IndicatorCode],Table1[[#This Row],[IndicatorCode]])</f>
        <v>7.6894248608534319</v>
      </c>
      <c r="I2425" cm="1">
        <f t="array" ref="I2425">_xlfn.STDEV.P(IF(Table1[IndicatorCode]=Table1[[#This Row],[IndicatorCode]],Table1[value]))</f>
        <v>5.2319501044600996</v>
      </c>
      <c r="J2425">
        <f>(Table1[[#This Row],[value]] - Table1[[#This Row],[mean]]) / Table1[[#This Row],[std_dev]]</f>
        <v>2.1618277914203734</v>
      </c>
      <c r="K2425">
        <f>AVERAGEIF(Table1[CountryCode],Table1[[#This Row],[CountryCode]],Table1[z-score])</f>
        <v>0.38305593592472742</v>
      </c>
      <c r="L2425" t="e">
        <f>VLOOKUP(Table1[[#This Row],[CountryCode]],[1]!Table1[#Data],4,FALSE)</f>
        <v>#REF!</v>
      </c>
    </row>
    <row r="2426" spans="1:12" hidden="1" x14ac:dyDescent="0.3">
      <c r="A2426" t="s">
        <v>33</v>
      </c>
      <c r="B2426" t="s">
        <v>34</v>
      </c>
      <c r="C2426" t="s">
        <v>125</v>
      </c>
      <c r="D2426" t="s">
        <v>126</v>
      </c>
      <c r="E2426">
        <v>1972</v>
      </c>
      <c r="F2426" s="1">
        <v>19</v>
      </c>
      <c r="G2426">
        <v>1970</v>
      </c>
      <c r="H2426">
        <f>AVERAGEIFS(Table1[value],Table1[IndicatorCode],Table1[[#This Row],[IndicatorCode]])</f>
        <v>7.6894248608534319</v>
      </c>
      <c r="I2426" cm="1">
        <f t="array" ref="I2426">_xlfn.STDEV.P(IF(Table1[IndicatorCode]=Table1[[#This Row],[IndicatorCode]],Table1[value]))</f>
        <v>5.2319501044600996</v>
      </c>
      <c r="J2426">
        <f>(Table1[[#This Row],[value]] - Table1[[#This Row],[mean]]) / Table1[[#This Row],[std_dev]]</f>
        <v>2.1618277914203734</v>
      </c>
      <c r="K2426">
        <f>AVERAGEIF(Table1[CountryCode],Table1[[#This Row],[CountryCode]],Table1[z-score])</f>
        <v>0.38305593592472742</v>
      </c>
      <c r="L2426" t="e">
        <f>VLOOKUP(Table1[[#This Row],[CountryCode]],[1]!Table1[#Data],4,FALSE)</f>
        <v>#REF!</v>
      </c>
    </row>
    <row r="2427" spans="1:12" hidden="1" x14ac:dyDescent="0.3">
      <c r="A2427" t="s">
        <v>33</v>
      </c>
      <c r="B2427" t="s">
        <v>34</v>
      </c>
      <c r="C2427" t="s">
        <v>125</v>
      </c>
      <c r="D2427" t="s">
        <v>126</v>
      </c>
      <c r="E2427">
        <v>1973</v>
      </c>
      <c r="F2427" s="1">
        <v>19</v>
      </c>
      <c r="G2427">
        <v>1970</v>
      </c>
      <c r="H2427">
        <f>AVERAGEIFS(Table1[value],Table1[IndicatorCode],Table1[[#This Row],[IndicatorCode]])</f>
        <v>7.6894248608534319</v>
      </c>
      <c r="I2427" cm="1">
        <f t="array" ref="I2427">_xlfn.STDEV.P(IF(Table1[IndicatorCode]=Table1[[#This Row],[IndicatorCode]],Table1[value]))</f>
        <v>5.2319501044600996</v>
      </c>
      <c r="J2427">
        <f>(Table1[[#This Row],[value]] - Table1[[#This Row],[mean]]) / Table1[[#This Row],[std_dev]]</f>
        <v>2.1618277914203734</v>
      </c>
      <c r="K2427">
        <f>AVERAGEIF(Table1[CountryCode],Table1[[#This Row],[CountryCode]],Table1[z-score])</f>
        <v>0.38305593592472742</v>
      </c>
      <c r="L2427" t="e">
        <f>VLOOKUP(Table1[[#This Row],[CountryCode]],[1]!Table1[#Data],4,FALSE)</f>
        <v>#REF!</v>
      </c>
    </row>
    <row r="2428" spans="1:12" hidden="1" x14ac:dyDescent="0.3">
      <c r="A2428" t="s">
        <v>33</v>
      </c>
      <c r="B2428" t="s">
        <v>34</v>
      </c>
      <c r="C2428" t="s">
        <v>125</v>
      </c>
      <c r="D2428" t="s">
        <v>126</v>
      </c>
      <c r="E2428">
        <v>1974</v>
      </c>
      <c r="F2428" s="1">
        <v>17</v>
      </c>
      <c r="G2428">
        <v>1970</v>
      </c>
      <c r="H2428">
        <f>AVERAGEIFS(Table1[value],Table1[IndicatorCode],Table1[[#This Row],[IndicatorCode]])</f>
        <v>7.6894248608534319</v>
      </c>
      <c r="I2428" cm="1">
        <f t="array" ref="I2428">_xlfn.STDEV.P(IF(Table1[IndicatorCode]=Table1[[#This Row],[IndicatorCode]],Table1[value]))</f>
        <v>5.2319501044600996</v>
      </c>
      <c r="J2428">
        <f>(Table1[[#This Row],[value]] - Table1[[#This Row],[mean]]) / Table1[[#This Row],[std_dev]]</f>
        <v>1.7795611489508565</v>
      </c>
      <c r="K2428">
        <f>AVERAGEIF(Table1[CountryCode],Table1[[#This Row],[CountryCode]],Table1[z-score])</f>
        <v>0.38305593592472742</v>
      </c>
      <c r="L2428" t="e">
        <f>VLOOKUP(Table1[[#This Row],[CountryCode]],[1]!Table1[#Data],4,FALSE)</f>
        <v>#REF!</v>
      </c>
    </row>
    <row r="2429" spans="1:12" hidden="1" x14ac:dyDescent="0.3">
      <c r="A2429" t="s">
        <v>33</v>
      </c>
      <c r="B2429" t="s">
        <v>34</v>
      </c>
      <c r="C2429" t="s">
        <v>125</v>
      </c>
      <c r="D2429" t="s">
        <v>126</v>
      </c>
      <c r="E2429">
        <v>1975</v>
      </c>
      <c r="F2429" s="1">
        <v>18</v>
      </c>
      <c r="G2429">
        <v>1970</v>
      </c>
      <c r="H2429">
        <f>AVERAGEIFS(Table1[value],Table1[IndicatorCode],Table1[[#This Row],[IndicatorCode]])</f>
        <v>7.6894248608534319</v>
      </c>
      <c r="I2429" cm="1">
        <f t="array" ref="I2429">_xlfn.STDEV.P(IF(Table1[IndicatorCode]=Table1[[#This Row],[IndicatorCode]],Table1[value]))</f>
        <v>5.2319501044600996</v>
      </c>
      <c r="J2429">
        <f>(Table1[[#This Row],[value]] - Table1[[#This Row],[mean]]) / Table1[[#This Row],[std_dev]]</f>
        <v>1.9706944701856148</v>
      </c>
      <c r="K2429">
        <f>AVERAGEIF(Table1[CountryCode],Table1[[#This Row],[CountryCode]],Table1[z-score])</f>
        <v>0.38305593592472742</v>
      </c>
      <c r="L2429" t="e">
        <f>VLOOKUP(Table1[[#This Row],[CountryCode]],[1]!Table1[#Data],4,FALSE)</f>
        <v>#REF!</v>
      </c>
    </row>
    <row r="2430" spans="1:12" hidden="1" x14ac:dyDescent="0.3">
      <c r="A2430" t="s">
        <v>33</v>
      </c>
      <c r="B2430" t="s">
        <v>34</v>
      </c>
      <c r="C2430" t="s">
        <v>125</v>
      </c>
      <c r="D2430" t="s">
        <v>126</v>
      </c>
      <c r="E2430">
        <v>1976</v>
      </c>
      <c r="F2430" s="1">
        <v>18</v>
      </c>
      <c r="G2430">
        <v>1970</v>
      </c>
      <c r="H2430">
        <f>AVERAGEIFS(Table1[value],Table1[IndicatorCode],Table1[[#This Row],[IndicatorCode]])</f>
        <v>7.6894248608534319</v>
      </c>
      <c r="I2430" cm="1">
        <f t="array" ref="I2430">_xlfn.STDEV.P(IF(Table1[IndicatorCode]=Table1[[#This Row],[IndicatorCode]],Table1[value]))</f>
        <v>5.2319501044600996</v>
      </c>
      <c r="J2430">
        <f>(Table1[[#This Row],[value]] - Table1[[#This Row],[mean]]) / Table1[[#This Row],[std_dev]]</f>
        <v>1.9706944701856148</v>
      </c>
      <c r="K2430">
        <f>AVERAGEIF(Table1[CountryCode],Table1[[#This Row],[CountryCode]],Table1[z-score])</f>
        <v>0.38305593592472742</v>
      </c>
      <c r="L2430" t="e">
        <f>VLOOKUP(Table1[[#This Row],[CountryCode]],[1]!Table1[#Data],4,FALSE)</f>
        <v>#REF!</v>
      </c>
    </row>
    <row r="2431" spans="1:12" hidden="1" x14ac:dyDescent="0.3">
      <c r="A2431" t="s">
        <v>33</v>
      </c>
      <c r="B2431" t="s">
        <v>34</v>
      </c>
      <c r="C2431" t="s">
        <v>125</v>
      </c>
      <c r="D2431" t="s">
        <v>126</v>
      </c>
      <c r="E2431">
        <v>1977</v>
      </c>
      <c r="F2431" s="1">
        <v>19</v>
      </c>
      <c r="G2431">
        <v>1980</v>
      </c>
      <c r="H2431">
        <f>AVERAGEIFS(Table1[value],Table1[IndicatorCode],Table1[[#This Row],[IndicatorCode]])</f>
        <v>7.6894248608534319</v>
      </c>
      <c r="I2431" cm="1">
        <f t="array" ref="I2431">_xlfn.STDEV.P(IF(Table1[IndicatorCode]=Table1[[#This Row],[IndicatorCode]],Table1[value]))</f>
        <v>5.2319501044600996</v>
      </c>
      <c r="J2431">
        <f>(Table1[[#This Row],[value]] - Table1[[#This Row],[mean]]) / Table1[[#This Row],[std_dev]]</f>
        <v>2.1618277914203734</v>
      </c>
      <c r="K2431">
        <f>AVERAGEIF(Table1[CountryCode],Table1[[#This Row],[CountryCode]],Table1[z-score])</f>
        <v>0.38305593592472742</v>
      </c>
      <c r="L2431" t="e">
        <f>VLOOKUP(Table1[[#This Row],[CountryCode]],[1]!Table1[#Data],4,FALSE)</f>
        <v>#REF!</v>
      </c>
    </row>
    <row r="2432" spans="1:12" hidden="1" x14ac:dyDescent="0.3">
      <c r="A2432" t="s">
        <v>33</v>
      </c>
      <c r="B2432" t="s">
        <v>34</v>
      </c>
      <c r="C2432" t="s">
        <v>125</v>
      </c>
      <c r="D2432" t="s">
        <v>126</v>
      </c>
      <c r="E2432">
        <v>1978</v>
      </c>
      <c r="F2432" s="1">
        <v>19</v>
      </c>
      <c r="G2432">
        <v>1980</v>
      </c>
      <c r="H2432">
        <f>AVERAGEIFS(Table1[value],Table1[IndicatorCode],Table1[[#This Row],[IndicatorCode]])</f>
        <v>7.6894248608534319</v>
      </c>
      <c r="I2432" cm="1">
        <f t="array" ref="I2432">_xlfn.STDEV.P(IF(Table1[IndicatorCode]=Table1[[#This Row],[IndicatorCode]],Table1[value]))</f>
        <v>5.2319501044600996</v>
      </c>
      <c r="J2432">
        <f>(Table1[[#This Row],[value]] - Table1[[#This Row],[mean]]) / Table1[[#This Row],[std_dev]]</f>
        <v>2.1618277914203734</v>
      </c>
      <c r="K2432">
        <f>AVERAGEIF(Table1[CountryCode],Table1[[#This Row],[CountryCode]],Table1[z-score])</f>
        <v>0.38305593592472742</v>
      </c>
      <c r="L2432" t="e">
        <f>VLOOKUP(Table1[[#This Row],[CountryCode]],[1]!Table1[#Data],4,FALSE)</f>
        <v>#REF!</v>
      </c>
    </row>
    <row r="2433" spans="1:12" hidden="1" x14ac:dyDescent="0.3">
      <c r="A2433" t="s">
        <v>33</v>
      </c>
      <c r="B2433" t="s">
        <v>34</v>
      </c>
      <c r="C2433" t="s">
        <v>125</v>
      </c>
      <c r="D2433" t="s">
        <v>126</v>
      </c>
      <c r="E2433">
        <v>1979</v>
      </c>
      <c r="F2433" s="1">
        <v>19</v>
      </c>
      <c r="G2433">
        <v>1980</v>
      </c>
      <c r="H2433">
        <f>AVERAGEIFS(Table1[value],Table1[IndicatorCode],Table1[[#This Row],[IndicatorCode]])</f>
        <v>7.6894248608534319</v>
      </c>
      <c r="I2433" cm="1">
        <f t="array" ref="I2433">_xlfn.STDEV.P(IF(Table1[IndicatorCode]=Table1[[#This Row],[IndicatorCode]],Table1[value]))</f>
        <v>5.2319501044600996</v>
      </c>
      <c r="J2433">
        <f>(Table1[[#This Row],[value]] - Table1[[#This Row],[mean]]) / Table1[[#This Row],[std_dev]]</f>
        <v>2.1618277914203734</v>
      </c>
      <c r="K2433">
        <f>AVERAGEIF(Table1[CountryCode],Table1[[#This Row],[CountryCode]],Table1[z-score])</f>
        <v>0.38305593592472742</v>
      </c>
      <c r="L2433" t="e">
        <f>VLOOKUP(Table1[[#This Row],[CountryCode]],[1]!Table1[#Data],4,FALSE)</f>
        <v>#REF!</v>
      </c>
    </row>
    <row r="2434" spans="1:12" hidden="1" x14ac:dyDescent="0.3">
      <c r="A2434" t="s">
        <v>33</v>
      </c>
      <c r="B2434" t="s">
        <v>34</v>
      </c>
      <c r="C2434" t="s">
        <v>125</v>
      </c>
      <c r="D2434" t="s">
        <v>126</v>
      </c>
      <c r="E2434">
        <v>1980</v>
      </c>
      <c r="F2434" s="1">
        <v>19</v>
      </c>
      <c r="G2434">
        <v>1980</v>
      </c>
      <c r="H2434">
        <f>AVERAGEIFS(Table1[value],Table1[IndicatorCode],Table1[[#This Row],[IndicatorCode]])</f>
        <v>7.6894248608534319</v>
      </c>
      <c r="I2434" cm="1">
        <f t="array" ref="I2434">_xlfn.STDEV.P(IF(Table1[IndicatorCode]=Table1[[#This Row],[IndicatorCode]],Table1[value]))</f>
        <v>5.2319501044600996</v>
      </c>
      <c r="J2434">
        <f>(Table1[[#This Row],[value]] - Table1[[#This Row],[mean]]) / Table1[[#This Row],[std_dev]]</f>
        <v>2.1618277914203734</v>
      </c>
      <c r="K2434">
        <f>AVERAGEIF(Table1[CountryCode],Table1[[#This Row],[CountryCode]],Table1[z-score])</f>
        <v>0.38305593592472742</v>
      </c>
      <c r="L2434" t="e">
        <f>VLOOKUP(Table1[[#This Row],[CountryCode]],[1]!Table1[#Data],4,FALSE)</f>
        <v>#REF!</v>
      </c>
    </row>
    <row r="2435" spans="1:12" hidden="1" x14ac:dyDescent="0.3">
      <c r="A2435" t="s">
        <v>33</v>
      </c>
      <c r="B2435" t="s">
        <v>34</v>
      </c>
      <c r="C2435" t="s">
        <v>125</v>
      </c>
      <c r="D2435" t="s">
        <v>126</v>
      </c>
      <c r="E2435">
        <v>1981</v>
      </c>
      <c r="F2435" s="1">
        <v>19</v>
      </c>
      <c r="G2435">
        <v>1980</v>
      </c>
      <c r="H2435">
        <f>AVERAGEIFS(Table1[value],Table1[IndicatorCode],Table1[[#This Row],[IndicatorCode]])</f>
        <v>7.6894248608534319</v>
      </c>
      <c r="I2435" cm="1">
        <f t="array" ref="I2435">_xlfn.STDEV.P(IF(Table1[IndicatorCode]=Table1[[#This Row],[IndicatorCode]],Table1[value]))</f>
        <v>5.2319501044600996</v>
      </c>
      <c r="J2435">
        <f>(Table1[[#This Row],[value]] - Table1[[#This Row],[mean]]) / Table1[[#This Row],[std_dev]]</f>
        <v>2.1618277914203734</v>
      </c>
      <c r="K2435">
        <f>AVERAGEIF(Table1[CountryCode],Table1[[#This Row],[CountryCode]],Table1[z-score])</f>
        <v>0.38305593592472742</v>
      </c>
      <c r="L2435" t="e">
        <f>VLOOKUP(Table1[[#This Row],[CountryCode]],[1]!Table1[#Data],4,FALSE)</f>
        <v>#REF!</v>
      </c>
    </row>
    <row r="2436" spans="1:12" hidden="1" x14ac:dyDescent="0.3">
      <c r="A2436" t="s">
        <v>33</v>
      </c>
      <c r="B2436" t="s">
        <v>34</v>
      </c>
      <c r="C2436" t="s">
        <v>125</v>
      </c>
      <c r="D2436" t="s">
        <v>126</v>
      </c>
      <c r="E2436">
        <v>1982</v>
      </c>
      <c r="F2436" s="1">
        <v>19</v>
      </c>
      <c r="G2436">
        <v>1980</v>
      </c>
      <c r="H2436">
        <f>AVERAGEIFS(Table1[value],Table1[IndicatorCode],Table1[[#This Row],[IndicatorCode]])</f>
        <v>7.6894248608534319</v>
      </c>
      <c r="I2436" cm="1">
        <f t="array" ref="I2436">_xlfn.STDEV.P(IF(Table1[IndicatorCode]=Table1[[#This Row],[IndicatorCode]],Table1[value]))</f>
        <v>5.2319501044600996</v>
      </c>
      <c r="J2436">
        <f>(Table1[[#This Row],[value]] - Table1[[#This Row],[mean]]) / Table1[[#This Row],[std_dev]]</f>
        <v>2.1618277914203734</v>
      </c>
      <c r="K2436">
        <f>AVERAGEIF(Table1[CountryCode],Table1[[#This Row],[CountryCode]],Table1[z-score])</f>
        <v>0.38305593592472742</v>
      </c>
      <c r="L2436" t="e">
        <f>VLOOKUP(Table1[[#This Row],[CountryCode]],[1]!Table1[#Data],4,FALSE)</f>
        <v>#REF!</v>
      </c>
    </row>
    <row r="2437" spans="1:12" hidden="1" x14ac:dyDescent="0.3">
      <c r="A2437" t="s">
        <v>33</v>
      </c>
      <c r="B2437" t="s">
        <v>34</v>
      </c>
      <c r="C2437" t="s">
        <v>125</v>
      </c>
      <c r="D2437" t="s">
        <v>126</v>
      </c>
      <c r="E2437">
        <v>1983</v>
      </c>
      <c r="F2437" s="1">
        <v>19</v>
      </c>
      <c r="G2437">
        <v>1980</v>
      </c>
      <c r="H2437">
        <f>AVERAGEIFS(Table1[value],Table1[IndicatorCode],Table1[[#This Row],[IndicatorCode]])</f>
        <v>7.6894248608534319</v>
      </c>
      <c r="I2437" cm="1">
        <f t="array" ref="I2437">_xlfn.STDEV.P(IF(Table1[IndicatorCode]=Table1[[#This Row],[IndicatorCode]],Table1[value]))</f>
        <v>5.2319501044600996</v>
      </c>
      <c r="J2437">
        <f>(Table1[[#This Row],[value]] - Table1[[#This Row],[mean]]) / Table1[[#This Row],[std_dev]]</f>
        <v>2.1618277914203734</v>
      </c>
      <c r="K2437">
        <f>AVERAGEIF(Table1[CountryCode],Table1[[#This Row],[CountryCode]],Table1[z-score])</f>
        <v>0.38305593592472742</v>
      </c>
      <c r="L2437" t="e">
        <f>VLOOKUP(Table1[[#This Row],[CountryCode]],[1]!Table1[#Data],4,FALSE)</f>
        <v>#REF!</v>
      </c>
    </row>
    <row r="2438" spans="1:12" hidden="1" x14ac:dyDescent="0.3">
      <c r="A2438" t="s">
        <v>33</v>
      </c>
      <c r="B2438" t="s">
        <v>34</v>
      </c>
      <c r="C2438" t="s">
        <v>125</v>
      </c>
      <c r="D2438" t="s">
        <v>126</v>
      </c>
      <c r="E2438">
        <v>1984</v>
      </c>
      <c r="F2438" s="1">
        <v>19</v>
      </c>
      <c r="G2438">
        <v>1980</v>
      </c>
      <c r="H2438">
        <f>AVERAGEIFS(Table1[value],Table1[IndicatorCode],Table1[[#This Row],[IndicatorCode]])</f>
        <v>7.6894248608534319</v>
      </c>
      <c r="I2438" cm="1">
        <f t="array" ref="I2438">_xlfn.STDEV.P(IF(Table1[IndicatorCode]=Table1[[#This Row],[IndicatorCode]],Table1[value]))</f>
        <v>5.2319501044600996</v>
      </c>
      <c r="J2438">
        <f>(Table1[[#This Row],[value]] - Table1[[#This Row],[mean]]) / Table1[[#This Row],[std_dev]]</f>
        <v>2.1618277914203734</v>
      </c>
      <c r="K2438">
        <f>AVERAGEIF(Table1[CountryCode],Table1[[#This Row],[CountryCode]],Table1[z-score])</f>
        <v>0.38305593592472742</v>
      </c>
      <c r="L2438" t="e">
        <f>VLOOKUP(Table1[[#This Row],[CountryCode]],[1]!Table1[#Data],4,FALSE)</f>
        <v>#REF!</v>
      </c>
    </row>
    <row r="2439" spans="1:12" hidden="1" x14ac:dyDescent="0.3">
      <c r="A2439" t="s">
        <v>33</v>
      </c>
      <c r="B2439" t="s">
        <v>34</v>
      </c>
      <c r="C2439" t="s">
        <v>125</v>
      </c>
      <c r="D2439" t="s">
        <v>126</v>
      </c>
      <c r="E2439">
        <v>1985</v>
      </c>
      <c r="F2439" s="1">
        <v>19</v>
      </c>
      <c r="G2439">
        <v>1980</v>
      </c>
      <c r="H2439">
        <f>AVERAGEIFS(Table1[value],Table1[IndicatorCode],Table1[[#This Row],[IndicatorCode]])</f>
        <v>7.6894248608534319</v>
      </c>
      <c r="I2439" cm="1">
        <f t="array" ref="I2439">_xlfn.STDEV.P(IF(Table1[IndicatorCode]=Table1[[#This Row],[IndicatorCode]],Table1[value]))</f>
        <v>5.2319501044600996</v>
      </c>
      <c r="J2439">
        <f>(Table1[[#This Row],[value]] - Table1[[#This Row],[mean]]) / Table1[[#This Row],[std_dev]]</f>
        <v>2.1618277914203734</v>
      </c>
      <c r="K2439">
        <f>AVERAGEIF(Table1[CountryCode],Table1[[#This Row],[CountryCode]],Table1[z-score])</f>
        <v>0.38305593592472742</v>
      </c>
      <c r="L2439" t="e">
        <f>VLOOKUP(Table1[[#This Row],[CountryCode]],[1]!Table1[#Data],4,FALSE)</f>
        <v>#REF!</v>
      </c>
    </row>
    <row r="2440" spans="1:12" hidden="1" x14ac:dyDescent="0.3">
      <c r="A2440" t="s">
        <v>33</v>
      </c>
      <c r="B2440" t="s">
        <v>34</v>
      </c>
      <c r="C2440" t="s">
        <v>125</v>
      </c>
      <c r="D2440" t="s">
        <v>126</v>
      </c>
      <c r="E2440">
        <v>1986</v>
      </c>
      <c r="F2440" s="1">
        <v>19</v>
      </c>
      <c r="G2440">
        <v>1980</v>
      </c>
      <c r="H2440">
        <f>AVERAGEIFS(Table1[value],Table1[IndicatorCode],Table1[[#This Row],[IndicatorCode]])</f>
        <v>7.6894248608534319</v>
      </c>
      <c r="I2440" cm="1">
        <f t="array" ref="I2440">_xlfn.STDEV.P(IF(Table1[IndicatorCode]=Table1[[#This Row],[IndicatorCode]],Table1[value]))</f>
        <v>5.2319501044600996</v>
      </c>
      <c r="J2440">
        <f>(Table1[[#This Row],[value]] - Table1[[#This Row],[mean]]) / Table1[[#This Row],[std_dev]]</f>
        <v>2.1618277914203734</v>
      </c>
      <c r="K2440">
        <f>AVERAGEIF(Table1[CountryCode],Table1[[#This Row],[CountryCode]],Table1[z-score])</f>
        <v>0.38305593592472742</v>
      </c>
      <c r="L2440" t="e">
        <f>VLOOKUP(Table1[[#This Row],[CountryCode]],[1]!Table1[#Data],4,FALSE)</f>
        <v>#REF!</v>
      </c>
    </row>
    <row r="2441" spans="1:12" hidden="1" x14ac:dyDescent="0.3">
      <c r="A2441" t="s">
        <v>33</v>
      </c>
      <c r="B2441" t="s">
        <v>34</v>
      </c>
      <c r="C2441" t="s">
        <v>125</v>
      </c>
      <c r="D2441" t="s">
        <v>126</v>
      </c>
      <c r="E2441">
        <v>1987</v>
      </c>
      <c r="F2441" s="1">
        <v>19</v>
      </c>
      <c r="G2441">
        <v>1990</v>
      </c>
      <c r="H2441">
        <f>AVERAGEIFS(Table1[value],Table1[IndicatorCode],Table1[[#This Row],[IndicatorCode]])</f>
        <v>7.6894248608534319</v>
      </c>
      <c r="I2441" cm="1">
        <f t="array" ref="I2441">_xlfn.STDEV.P(IF(Table1[IndicatorCode]=Table1[[#This Row],[IndicatorCode]],Table1[value]))</f>
        <v>5.2319501044600996</v>
      </c>
      <c r="J2441">
        <f>(Table1[[#This Row],[value]] - Table1[[#This Row],[mean]]) / Table1[[#This Row],[std_dev]]</f>
        <v>2.1618277914203734</v>
      </c>
      <c r="K2441">
        <f>AVERAGEIF(Table1[CountryCode],Table1[[#This Row],[CountryCode]],Table1[z-score])</f>
        <v>0.38305593592472742</v>
      </c>
      <c r="L2441" t="e">
        <f>VLOOKUP(Table1[[#This Row],[CountryCode]],[1]!Table1[#Data],4,FALSE)</f>
        <v>#REF!</v>
      </c>
    </row>
    <row r="2442" spans="1:12" hidden="1" x14ac:dyDescent="0.3">
      <c r="A2442" t="s">
        <v>33</v>
      </c>
      <c r="B2442" t="s">
        <v>34</v>
      </c>
      <c r="C2442" t="s">
        <v>125</v>
      </c>
      <c r="D2442" t="s">
        <v>126</v>
      </c>
      <c r="E2442">
        <v>1988</v>
      </c>
      <c r="F2442" s="1">
        <v>18</v>
      </c>
      <c r="G2442">
        <v>1990</v>
      </c>
      <c r="H2442">
        <f>AVERAGEIFS(Table1[value],Table1[IndicatorCode],Table1[[#This Row],[IndicatorCode]])</f>
        <v>7.6894248608534319</v>
      </c>
      <c r="I2442" cm="1">
        <f t="array" ref="I2442">_xlfn.STDEV.P(IF(Table1[IndicatorCode]=Table1[[#This Row],[IndicatorCode]],Table1[value]))</f>
        <v>5.2319501044600996</v>
      </c>
      <c r="J2442">
        <f>(Table1[[#This Row],[value]] - Table1[[#This Row],[mean]]) / Table1[[#This Row],[std_dev]]</f>
        <v>1.9706944701856148</v>
      </c>
      <c r="K2442">
        <f>AVERAGEIF(Table1[CountryCode],Table1[[#This Row],[CountryCode]],Table1[z-score])</f>
        <v>0.38305593592472742</v>
      </c>
      <c r="L2442" t="e">
        <f>VLOOKUP(Table1[[#This Row],[CountryCode]],[1]!Table1[#Data],4,FALSE)</f>
        <v>#REF!</v>
      </c>
    </row>
    <row r="2443" spans="1:12" hidden="1" x14ac:dyDescent="0.3">
      <c r="A2443" t="s">
        <v>33</v>
      </c>
      <c r="B2443" t="s">
        <v>34</v>
      </c>
      <c r="C2443" t="s">
        <v>125</v>
      </c>
      <c r="D2443" t="s">
        <v>126</v>
      </c>
      <c r="E2443">
        <v>1989</v>
      </c>
      <c r="F2443" s="1">
        <v>18</v>
      </c>
      <c r="G2443">
        <v>1990</v>
      </c>
      <c r="H2443">
        <f>AVERAGEIFS(Table1[value],Table1[IndicatorCode],Table1[[#This Row],[IndicatorCode]])</f>
        <v>7.6894248608534319</v>
      </c>
      <c r="I2443" cm="1">
        <f t="array" ref="I2443">_xlfn.STDEV.P(IF(Table1[IndicatorCode]=Table1[[#This Row],[IndicatorCode]],Table1[value]))</f>
        <v>5.2319501044600996</v>
      </c>
      <c r="J2443">
        <f>(Table1[[#This Row],[value]] - Table1[[#This Row],[mean]]) / Table1[[#This Row],[std_dev]]</f>
        <v>1.9706944701856148</v>
      </c>
      <c r="K2443">
        <f>AVERAGEIF(Table1[CountryCode],Table1[[#This Row],[CountryCode]],Table1[z-score])</f>
        <v>0.38305593592472742</v>
      </c>
      <c r="L2443" t="e">
        <f>VLOOKUP(Table1[[#This Row],[CountryCode]],[1]!Table1[#Data],4,FALSE)</f>
        <v>#REF!</v>
      </c>
    </row>
    <row r="2444" spans="1:12" hidden="1" x14ac:dyDescent="0.3">
      <c r="A2444" t="s">
        <v>33</v>
      </c>
      <c r="B2444" t="s">
        <v>34</v>
      </c>
      <c r="C2444" t="s">
        <v>125</v>
      </c>
      <c r="D2444" t="s">
        <v>126</v>
      </c>
      <c r="E2444">
        <v>1990</v>
      </c>
      <c r="F2444" s="1">
        <v>16</v>
      </c>
      <c r="G2444">
        <v>1990</v>
      </c>
      <c r="H2444">
        <f>AVERAGEIFS(Table1[value],Table1[IndicatorCode],Table1[[#This Row],[IndicatorCode]])</f>
        <v>7.6894248608534319</v>
      </c>
      <c r="I2444" cm="1">
        <f t="array" ref="I2444">_xlfn.STDEV.P(IF(Table1[IndicatorCode]=Table1[[#This Row],[IndicatorCode]],Table1[value]))</f>
        <v>5.2319501044600996</v>
      </c>
      <c r="J2444">
        <f>(Table1[[#This Row],[value]] - Table1[[#This Row],[mean]]) / Table1[[#This Row],[std_dev]]</f>
        <v>1.5884278277160979</v>
      </c>
      <c r="K2444">
        <f>AVERAGEIF(Table1[CountryCode],Table1[[#This Row],[CountryCode]],Table1[z-score])</f>
        <v>0.38305593592472742</v>
      </c>
      <c r="L2444" t="e">
        <f>VLOOKUP(Table1[[#This Row],[CountryCode]],[1]!Table1[#Data],4,FALSE)</f>
        <v>#REF!</v>
      </c>
    </row>
    <row r="2445" spans="1:12" hidden="1" x14ac:dyDescent="0.3">
      <c r="A2445" t="s">
        <v>33</v>
      </c>
      <c r="B2445" t="s">
        <v>34</v>
      </c>
      <c r="C2445" t="s">
        <v>125</v>
      </c>
      <c r="D2445" t="s">
        <v>126</v>
      </c>
      <c r="E2445">
        <v>1991</v>
      </c>
      <c r="F2445" s="1">
        <v>15</v>
      </c>
      <c r="G2445">
        <v>1990</v>
      </c>
      <c r="H2445">
        <f>AVERAGEIFS(Table1[value],Table1[IndicatorCode],Table1[[#This Row],[IndicatorCode]])</f>
        <v>7.6894248608534319</v>
      </c>
      <c r="I2445" cm="1">
        <f t="array" ref="I2445">_xlfn.STDEV.P(IF(Table1[IndicatorCode]=Table1[[#This Row],[IndicatorCode]],Table1[value]))</f>
        <v>5.2319501044600996</v>
      </c>
      <c r="J2445">
        <f>(Table1[[#This Row],[value]] - Table1[[#This Row],[mean]]) / Table1[[#This Row],[std_dev]]</f>
        <v>1.3972945064813396</v>
      </c>
      <c r="K2445">
        <f>AVERAGEIF(Table1[CountryCode],Table1[[#This Row],[CountryCode]],Table1[z-score])</f>
        <v>0.38305593592472742</v>
      </c>
      <c r="L2445" t="e">
        <f>VLOOKUP(Table1[[#This Row],[CountryCode]],[1]!Table1[#Data],4,FALSE)</f>
        <v>#REF!</v>
      </c>
    </row>
    <row r="2446" spans="1:12" hidden="1" x14ac:dyDescent="0.3">
      <c r="A2446" t="s">
        <v>33</v>
      </c>
      <c r="B2446" t="s">
        <v>34</v>
      </c>
      <c r="C2446" t="s">
        <v>125</v>
      </c>
      <c r="D2446" t="s">
        <v>126</v>
      </c>
      <c r="E2446">
        <v>1992</v>
      </c>
      <c r="F2446" s="1">
        <v>14</v>
      </c>
      <c r="G2446">
        <v>1990</v>
      </c>
      <c r="H2446">
        <f>AVERAGEIFS(Table1[value],Table1[IndicatorCode],Table1[[#This Row],[IndicatorCode]])</f>
        <v>7.6894248608534319</v>
      </c>
      <c r="I2446" cm="1">
        <f t="array" ref="I2446">_xlfn.STDEV.P(IF(Table1[IndicatorCode]=Table1[[#This Row],[IndicatorCode]],Table1[value]))</f>
        <v>5.2319501044600996</v>
      </c>
      <c r="J2446">
        <f>(Table1[[#This Row],[value]] - Table1[[#This Row],[mean]]) / Table1[[#This Row],[std_dev]]</f>
        <v>1.2061611852465812</v>
      </c>
      <c r="K2446">
        <f>AVERAGEIF(Table1[CountryCode],Table1[[#This Row],[CountryCode]],Table1[z-score])</f>
        <v>0.38305593592472742</v>
      </c>
      <c r="L2446" t="e">
        <f>VLOOKUP(Table1[[#This Row],[CountryCode]],[1]!Table1[#Data],4,FALSE)</f>
        <v>#REF!</v>
      </c>
    </row>
    <row r="2447" spans="1:12" hidden="1" x14ac:dyDescent="0.3">
      <c r="A2447" t="s">
        <v>33</v>
      </c>
      <c r="B2447" t="s">
        <v>34</v>
      </c>
      <c r="C2447" t="s">
        <v>125</v>
      </c>
      <c r="D2447" t="s">
        <v>126</v>
      </c>
      <c r="E2447">
        <v>1993</v>
      </c>
      <c r="F2447" s="1">
        <v>14</v>
      </c>
      <c r="G2447">
        <v>1990</v>
      </c>
      <c r="H2447">
        <f>AVERAGEIFS(Table1[value],Table1[IndicatorCode],Table1[[#This Row],[IndicatorCode]])</f>
        <v>7.6894248608534319</v>
      </c>
      <c r="I2447" cm="1">
        <f t="array" ref="I2447">_xlfn.STDEV.P(IF(Table1[IndicatorCode]=Table1[[#This Row],[IndicatorCode]],Table1[value]))</f>
        <v>5.2319501044600996</v>
      </c>
      <c r="J2447">
        <f>(Table1[[#This Row],[value]] - Table1[[#This Row],[mean]]) / Table1[[#This Row],[std_dev]]</f>
        <v>1.2061611852465812</v>
      </c>
      <c r="K2447">
        <f>AVERAGEIF(Table1[CountryCode],Table1[[#This Row],[CountryCode]],Table1[z-score])</f>
        <v>0.38305593592472742</v>
      </c>
      <c r="L2447" t="e">
        <f>VLOOKUP(Table1[[#This Row],[CountryCode]],[1]!Table1[#Data],4,FALSE)</f>
        <v>#REF!</v>
      </c>
    </row>
    <row r="2448" spans="1:12" hidden="1" x14ac:dyDescent="0.3">
      <c r="A2448" t="s">
        <v>33</v>
      </c>
      <c r="B2448" t="s">
        <v>34</v>
      </c>
      <c r="C2448" t="s">
        <v>125</v>
      </c>
      <c r="D2448" t="s">
        <v>126</v>
      </c>
      <c r="E2448">
        <v>1994</v>
      </c>
      <c r="F2448" s="1">
        <v>13</v>
      </c>
      <c r="G2448">
        <v>1990</v>
      </c>
      <c r="H2448">
        <f>AVERAGEIFS(Table1[value],Table1[IndicatorCode],Table1[[#This Row],[IndicatorCode]])</f>
        <v>7.6894248608534319</v>
      </c>
      <c r="I2448" cm="1">
        <f t="array" ref="I2448">_xlfn.STDEV.P(IF(Table1[IndicatorCode]=Table1[[#This Row],[IndicatorCode]],Table1[value]))</f>
        <v>5.2319501044600996</v>
      </c>
      <c r="J2448">
        <f>(Table1[[#This Row],[value]] - Table1[[#This Row],[mean]]) / Table1[[#This Row],[std_dev]]</f>
        <v>1.0150278640118229</v>
      </c>
      <c r="K2448">
        <f>AVERAGEIF(Table1[CountryCode],Table1[[#This Row],[CountryCode]],Table1[z-score])</f>
        <v>0.38305593592472742</v>
      </c>
      <c r="L2448" t="e">
        <f>VLOOKUP(Table1[[#This Row],[CountryCode]],[1]!Table1[#Data],4,FALSE)</f>
        <v>#REF!</v>
      </c>
    </row>
    <row r="2449" spans="1:12" hidden="1" x14ac:dyDescent="0.3">
      <c r="A2449" t="s">
        <v>33</v>
      </c>
      <c r="B2449" t="s">
        <v>34</v>
      </c>
      <c r="C2449" t="s">
        <v>125</v>
      </c>
      <c r="D2449" t="s">
        <v>126</v>
      </c>
      <c r="E2449">
        <v>1995</v>
      </c>
      <c r="F2449" s="1">
        <v>13</v>
      </c>
      <c r="G2449">
        <v>1990</v>
      </c>
      <c r="H2449">
        <f>AVERAGEIFS(Table1[value],Table1[IndicatorCode],Table1[[#This Row],[IndicatorCode]])</f>
        <v>7.6894248608534319</v>
      </c>
      <c r="I2449" cm="1">
        <f t="array" ref="I2449">_xlfn.STDEV.P(IF(Table1[IndicatorCode]=Table1[[#This Row],[IndicatorCode]],Table1[value]))</f>
        <v>5.2319501044600996</v>
      </c>
      <c r="J2449">
        <f>(Table1[[#This Row],[value]] - Table1[[#This Row],[mean]]) / Table1[[#This Row],[std_dev]]</f>
        <v>1.0150278640118229</v>
      </c>
      <c r="K2449">
        <f>AVERAGEIF(Table1[CountryCode],Table1[[#This Row],[CountryCode]],Table1[z-score])</f>
        <v>0.38305593592472742</v>
      </c>
      <c r="L2449" t="e">
        <f>VLOOKUP(Table1[[#This Row],[CountryCode]],[1]!Table1[#Data],4,FALSE)</f>
        <v>#REF!</v>
      </c>
    </row>
    <row r="2450" spans="1:12" hidden="1" x14ac:dyDescent="0.3">
      <c r="A2450" t="s">
        <v>33</v>
      </c>
      <c r="B2450" t="s">
        <v>34</v>
      </c>
      <c r="C2450" t="s">
        <v>125</v>
      </c>
      <c r="D2450" t="s">
        <v>126</v>
      </c>
      <c r="E2450">
        <v>1996</v>
      </c>
      <c r="F2450" s="1">
        <v>13</v>
      </c>
      <c r="G2450">
        <v>1990</v>
      </c>
      <c r="H2450">
        <f>AVERAGEIFS(Table1[value],Table1[IndicatorCode],Table1[[#This Row],[IndicatorCode]])</f>
        <v>7.6894248608534319</v>
      </c>
      <c r="I2450" cm="1">
        <f t="array" ref="I2450">_xlfn.STDEV.P(IF(Table1[IndicatorCode]=Table1[[#This Row],[IndicatorCode]],Table1[value]))</f>
        <v>5.2319501044600996</v>
      </c>
      <c r="J2450">
        <f>(Table1[[#This Row],[value]] - Table1[[#This Row],[mean]]) / Table1[[#This Row],[std_dev]]</f>
        <v>1.0150278640118229</v>
      </c>
      <c r="K2450">
        <f>AVERAGEIF(Table1[CountryCode],Table1[[#This Row],[CountryCode]],Table1[z-score])</f>
        <v>0.38305593592472742</v>
      </c>
      <c r="L2450" t="e">
        <f>VLOOKUP(Table1[[#This Row],[CountryCode]],[1]!Table1[#Data],4,FALSE)</f>
        <v>#REF!</v>
      </c>
    </row>
    <row r="2451" spans="1:12" hidden="1" x14ac:dyDescent="0.3">
      <c r="A2451" t="s">
        <v>33</v>
      </c>
      <c r="B2451" t="s">
        <v>34</v>
      </c>
      <c r="C2451" t="s">
        <v>125</v>
      </c>
      <c r="D2451" t="s">
        <v>126</v>
      </c>
      <c r="E2451">
        <v>1997</v>
      </c>
      <c r="F2451" s="1">
        <v>13</v>
      </c>
      <c r="G2451">
        <v>2000</v>
      </c>
      <c r="H2451">
        <f>AVERAGEIFS(Table1[value],Table1[IndicatorCode],Table1[[#This Row],[IndicatorCode]])</f>
        <v>7.6894248608534319</v>
      </c>
      <c r="I2451" cm="1">
        <f t="array" ref="I2451">_xlfn.STDEV.P(IF(Table1[IndicatorCode]=Table1[[#This Row],[IndicatorCode]],Table1[value]))</f>
        <v>5.2319501044600996</v>
      </c>
      <c r="J2451">
        <f>(Table1[[#This Row],[value]] - Table1[[#This Row],[mean]]) / Table1[[#This Row],[std_dev]]</f>
        <v>1.0150278640118229</v>
      </c>
      <c r="K2451">
        <f>AVERAGEIF(Table1[CountryCode],Table1[[#This Row],[CountryCode]],Table1[z-score])</f>
        <v>0.38305593592472742</v>
      </c>
      <c r="L2451" t="e">
        <f>VLOOKUP(Table1[[#This Row],[CountryCode]],[1]!Table1[#Data],4,FALSE)</f>
        <v>#REF!</v>
      </c>
    </row>
    <row r="2452" spans="1:12" hidden="1" x14ac:dyDescent="0.3">
      <c r="A2452" t="s">
        <v>33</v>
      </c>
      <c r="B2452" t="s">
        <v>34</v>
      </c>
      <c r="C2452" t="s">
        <v>125</v>
      </c>
      <c r="D2452" t="s">
        <v>126</v>
      </c>
      <c r="E2452">
        <v>1998</v>
      </c>
      <c r="F2452" s="1">
        <v>12</v>
      </c>
      <c r="G2452">
        <v>2000</v>
      </c>
      <c r="H2452">
        <f>AVERAGEIFS(Table1[value],Table1[IndicatorCode],Table1[[#This Row],[IndicatorCode]])</f>
        <v>7.6894248608534319</v>
      </c>
      <c r="I2452" cm="1">
        <f t="array" ref="I2452">_xlfn.STDEV.P(IF(Table1[IndicatorCode]=Table1[[#This Row],[IndicatorCode]],Table1[value]))</f>
        <v>5.2319501044600996</v>
      </c>
      <c r="J2452">
        <f>(Table1[[#This Row],[value]] - Table1[[#This Row],[mean]]) / Table1[[#This Row],[std_dev]]</f>
        <v>0.82389454277706442</v>
      </c>
      <c r="K2452">
        <f>AVERAGEIF(Table1[CountryCode],Table1[[#This Row],[CountryCode]],Table1[z-score])</f>
        <v>0.38305593592472742</v>
      </c>
      <c r="L2452" t="e">
        <f>VLOOKUP(Table1[[#This Row],[CountryCode]],[1]!Table1[#Data],4,FALSE)</f>
        <v>#REF!</v>
      </c>
    </row>
    <row r="2453" spans="1:12" hidden="1" x14ac:dyDescent="0.3">
      <c r="A2453" t="s">
        <v>33</v>
      </c>
      <c r="B2453" t="s">
        <v>34</v>
      </c>
      <c r="C2453" t="s">
        <v>125</v>
      </c>
      <c r="D2453" t="s">
        <v>126</v>
      </c>
      <c r="E2453">
        <v>1999</v>
      </c>
      <c r="F2453" s="1">
        <v>12</v>
      </c>
      <c r="G2453">
        <v>2000</v>
      </c>
      <c r="H2453">
        <f>AVERAGEIFS(Table1[value],Table1[IndicatorCode],Table1[[#This Row],[IndicatorCode]])</f>
        <v>7.6894248608534319</v>
      </c>
      <c r="I2453" cm="1">
        <f t="array" ref="I2453">_xlfn.STDEV.P(IF(Table1[IndicatorCode]=Table1[[#This Row],[IndicatorCode]],Table1[value]))</f>
        <v>5.2319501044600996</v>
      </c>
      <c r="J2453">
        <f>(Table1[[#This Row],[value]] - Table1[[#This Row],[mean]]) / Table1[[#This Row],[std_dev]]</f>
        <v>0.82389454277706442</v>
      </c>
      <c r="K2453">
        <f>AVERAGEIF(Table1[CountryCode],Table1[[#This Row],[CountryCode]],Table1[z-score])</f>
        <v>0.38305593592472742</v>
      </c>
      <c r="L2453" t="e">
        <f>VLOOKUP(Table1[[#This Row],[CountryCode]],[1]!Table1[#Data],4,FALSE)</f>
        <v>#REF!</v>
      </c>
    </row>
    <row r="2454" spans="1:12" hidden="1" x14ac:dyDescent="0.3">
      <c r="A2454" t="s">
        <v>33</v>
      </c>
      <c r="B2454" t="s">
        <v>34</v>
      </c>
      <c r="C2454" t="s">
        <v>125</v>
      </c>
      <c r="D2454" t="s">
        <v>126</v>
      </c>
      <c r="E2454">
        <v>2000</v>
      </c>
      <c r="F2454" s="1">
        <v>13</v>
      </c>
      <c r="G2454">
        <v>2000</v>
      </c>
      <c r="H2454">
        <f>AVERAGEIFS(Table1[value],Table1[IndicatorCode],Table1[[#This Row],[IndicatorCode]])</f>
        <v>7.6894248608534319</v>
      </c>
      <c r="I2454" cm="1">
        <f t="array" ref="I2454">_xlfn.STDEV.P(IF(Table1[IndicatorCode]=Table1[[#This Row],[IndicatorCode]],Table1[value]))</f>
        <v>5.2319501044600996</v>
      </c>
      <c r="J2454">
        <f>(Table1[[#This Row],[value]] - Table1[[#This Row],[mean]]) / Table1[[#This Row],[std_dev]]</f>
        <v>1.0150278640118229</v>
      </c>
      <c r="K2454">
        <f>AVERAGEIF(Table1[CountryCode],Table1[[#This Row],[CountryCode]],Table1[z-score])</f>
        <v>0.38305593592472742</v>
      </c>
      <c r="L2454" t="e">
        <f>VLOOKUP(Table1[[#This Row],[CountryCode]],[1]!Table1[#Data],4,FALSE)</f>
        <v>#REF!</v>
      </c>
    </row>
    <row r="2455" spans="1:12" hidden="1" x14ac:dyDescent="0.3">
      <c r="A2455" t="s">
        <v>33</v>
      </c>
      <c r="B2455" t="s">
        <v>34</v>
      </c>
      <c r="C2455" t="s">
        <v>125</v>
      </c>
      <c r="D2455" t="s">
        <v>126</v>
      </c>
      <c r="E2455">
        <v>2001</v>
      </c>
      <c r="F2455" s="1">
        <v>13</v>
      </c>
      <c r="G2455">
        <v>2000</v>
      </c>
      <c r="H2455">
        <f>AVERAGEIFS(Table1[value],Table1[IndicatorCode],Table1[[#This Row],[IndicatorCode]])</f>
        <v>7.6894248608534319</v>
      </c>
      <c r="I2455" cm="1">
        <f t="array" ref="I2455">_xlfn.STDEV.P(IF(Table1[IndicatorCode]=Table1[[#This Row],[IndicatorCode]],Table1[value]))</f>
        <v>5.2319501044600996</v>
      </c>
      <c r="J2455">
        <f>(Table1[[#This Row],[value]] - Table1[[#This Row],[mean]]) / Table1[[#This Row],[std_dev]]</f>
        <v>1.0150278640118229</v>
      </c>
      <c r="K2455">
        <f>AVERAGEIF(Table1[CountryCode],Table1[[#This Row],[CountryCode]],Table1[z-score])</f>
        <v>0.38305593592472742</v>
      </c>
      <c r="L2455" t="e">
        <f>VLOOKUP(Table1[[#This Row],[CountryCode]],[1]!Table1[#Data],4,FALSE)</f>
        <v>#REF!</v>
      </c>
    </row>
    <row r="2456" spans="1:12" hidden="1" x14ac:dyDescent="0.3">
      <c r="A2456" t="s">
        <v>33</v>
      </c>
      <c r="B2456" t="s">
        <v>34</v>
      </c>
      <c r="C2456" t="s">
        <v>125</v>
      </c>
      <c r="D2456" t="s">
        <v>126</v>
      </c>
      <c r="E2456">
        <v>2002</v>
      </c>
      <c r="F2456" s="1">
        <v>12</v>
      </c>
      <c r="G2456">
        <v>2000</v>
      </c>
      <c r="H2456">
        <f>AVERAGEIFS(Table1[value],Table1[IndicatorCode],Table1[[#This Row],[IndicatorCode]])</f>
        <v>7.6894248608534319</v>
      </c>
      <c r="I2456" cm="1">
        <f t="array" ref="I2456">_xlfn.STDEV.P(IF(Table1[IndicatorCode]=Table1[[#This Row],[IndicatorCode]],Table1[value]))</f>
        <v>5.2319501044600996</v>
      </c>
      <c r="J2456">
        <f>(Table1[[#This Row],[value]] - Table1[[#This Row],[mean]]) / Table1[[#This Row],[std_dev]]</f>
        <v>0.82389454277706442</v>
      </c>
      <c r="K2456">
        <f>AVERAGEIF(Table1[CountryCode],Table1[[#This Row],[CountryCode]],Table1[z-score])</f>
        <v>0.38305593592472742</v>
      </c>
      <c r="L2456" t="e">
        <f>VLOOKUP(Table1[[#This Row],[CountryCode]],[1]!Table1[#Data],4,FALSE)</f>
        <v>#REF!</v>
      </c>
    </row>
    <row r="2457" spans="1:12" hidden="1" x14ac:dyDescent="0.3">
      <c r="A2457" t="s">
        <v>33</v>
      </c>
      <c r="B2457" t="s">
        <v>34</v>
      </c>
      <c r="C2457" t="s">
        <v>125</v>
      </c>
      <c r="D2457" t="s">
        <v>126</v>
      </c>
      <c r="E2457">
        <v>2003</v>
      </c>
      <c r="F2457" s="1">
        <v>13</v>
      </c>
      <c r="G2457">
        <v>2000</v>
      </c>
      <c r="H2457">
        <f>AVERAGEIFS(Table1[value],Table1[IndicatorCode],Table1[[#This Row],[IndicatorCode]])</f>
        <v>7.6894248608534319</v>
      </c>
      <c r="I2457" cm="1">
        <f t="array" ref="I2457">_xlfn.STDEV.P(IF(Table1[IndicatorCode]=Table1[[#This Row],[IndicatorCode]],Table1[value]))</f>
        <v>5.2319501044600996</v>
      </c>
      <c r="J2457">
        <f>(Table1[[#This Row],[value]] - Table1[[#This Row],[mean]]) / Table1[[#This Row],[std_dev]]</f>
        <v>1.0150278640118229</v>
      </c>
      <c r="K2457">
        <f>AVERAGEIF(Table1[CountryCode],Table1[[#This Row],[CountryCode]],Table1[z-score])</f>
        <v>0.38305593592472742</v>
      </c>
      <c r="L2457" t="e">
        <f>VLOOKUP(Table1[[#This Row],[CountryCode]],[1]!Table1[#Data],4,FALSE)</f>
        <v>#REF!</v>
      </c>
    </row>
    <row r="2458" spans="1:12" hidden="1" x14ac:dyDescent="0.3">
      <c r="A2458" t="s">
        <v>33</v>
      </c>
      <c r="B2458" t="s">
        <v>34</v>
      </c>
      <c r="C2458" t="s">
        <v>125</v>
      </c>
      <c r="D2458" t="s">
        <v>126</v>
      </c>
      <c r="E2458">
        <v>2004</v>
      </c>
      <c r="F2458" s="1">
        <v>13</v>
      </c>
      <c r="G2458">
        <v>2000</v>
      </c>
      <c r="H2458">
        <f>AVERAGEIFS(Table1[value],Table1[IndicatorCode],Table1[[#This Row],[IndicatorCode]])</f>
        <v>7.6894248608534319</v>
      </c>
      <c r="I2458" cm="1">
        <f t="array" ref="I2458">_xlfn.STDEV.P(IF(Table1[IndicatorCode]=Table1[[#This Row],[IndicatorCode]],Table1[value]))</f>
        <v>5.2319501044600996</v>
      </c>
      <c r="J2458">
        <f>(Table1[[#This Row],[value]] - Table1[[#This Row],[mean]]) / Table1[[#This Row],[std_dev]]</f>
        <v>1.0150278640118229</v>
      </c>
      <c r="K2458">
        <f>AVERAGEIF(Table1[CountryCode],Table1[[#This Row],[CountryCode]],Table1[z-score])</f>
        <v>0.38305593592472742</v>
      </c>
      <c r="L2458" t="e">
        <f>VLOOKUP(Table1[[#This Row],[CountryCode]],[1]!Table1[#Data],4,FALSE)</f>
        <v>#REF!</v>
      </c>
    </row>
    <row r="2459" spans="1:12" hidden="1" x14ac:dyDescent="0.3">
      <c r="A2459" t="s">
        <v>33</v>
      </c>
      <c r="B2459" t="s">
        <v>34</v>
      </c>
      <c r="C2459" t="s">
        <v>125</v>
      </c>
      <c r="D2459" t="s">
        <v>126</v>
      </c>
      <c r="E2459">
        <v>2005</v>
      </c>
      <c r="F2459" s="1">
        <v>13</v>
      </c>
      <c r="G2459">
        <v>2000</v>
      </c>
      <c r="H2459">
        <f>AVERAGEIFS(Table1[value],Table1[IndicatorCode],Table1[[#This Row],[IndicatorCode]])</f>
        <v>7.6894248608534319</v>
      </c>
      <c r="I2459" cm="1">
        <f t="array" ref="I2459">_xlfn.STDEV.P(IF(Table1[IndicatorCode]=Table1[[#This Row],[IndicatorCode]],Table1[value]))</f>
        <v>5.2319501044600996</v>
      </c>
      <c r="J2459">
        <f>(Table1[[#This Row],[value]] - Table1[[#This Row],[mean]]) / Table1[[#This Row],[std_dev]]</f>
        <v>1.0150278640118229</v>
      </c>
      <c r="K2459">
        <f>AVERAGEIF(Table1[CountryCode],Table1[[#This Row],[CountryCode]],Table1[z-score])</f>
        <v>0.38305593592472742</v>
      </c>
      <c r="L2459" t="e">
        <f>VLOOKUP(Table1[[#This Row],[CountryCode]],[1]!Table1[#Data],4,FALSE)</f>
        <v>#REF!</v>
      </c>
    </row>
    <row r="2460" spans="1:12" hidden="1" x14ac:dyDescent="0.3">
      <c r="A2460" t="s">
        <v>33</v>
      </c>
      <c r="B2460" t="s">
        <v>34</v>
      </c>
      <c r="C2460" t="s">
        <v>125</v>
      </c>
      <c r="D2460" t="s">
        <v>126</v>
      </c>
      <c r="E2460">
        <v>2006</v>
      </c>
      <c r="F2460" s="1">
        <v>13</v>
      </c>
      <c r="G2460">
        <v>2000</v>
      </c>
      <c r="H2460">
        <f>AVERAGEIFS(Table1[value],Table1[IndicatorCode],Table1[[#This Row],[IndicatorCode]])</f>
        <v>7.6894248608534319</v>
      </c>
      <c r="I2460" cm="1">
        <f t="array" ref="I2460">_xlfn.STDEV.P(IF(Table1[IndicatorCode]=Table1[[#This Row],[IndicatorCode]],Table1[value]))</f>
        <v>5.2319501044600996</v>
      </c>
      <c r="J2460">
        <f>(Table1[[#This Row],[value]] - Table1[[#This Row],[mean]]) / Table1[[#This Row],[std_dev]]</f>
        <v>1.0150278640118229</v>
      </c>
      <c r="K2460">
        <f>AVERAGEIF(Table1[CountryCode],Table1[[#This Row],[CountryCode]],Table1[z-score])</f>
        <v>0.38305593592472742</v>
      </c>
      <c r="L2460" t="e">
        <f>VLOOKUP(Table1[[#This Row],[CountryCode]],[1]!Table1[#Data],4,FALSE)</f>
        <v>#REF!</v>
      </c>
    </row>
    <row r="2461" spans="1:12" hidden="1" x14ac:dyDescent="0.3">
      <c r="A2461" t="s">
        <v>33</v>
      </c>
      <c r="B2461" t="s">
        <v>34</v>
      </c>
      <c r="C2461" t="s">
        <v>125</v>
      </c>
      <c r="D2461" t="s">
        <v>126</v>
      </c>
      <c r="E2461">
        <v>2007</v>
      </c>
      <c r="F2461" s="1">
        <v>13</v>
      </c>
      <c r="G2461">
        <v>2010</v>
      </c>
      <c r="H2461">
        <f>AVERAGEIFS(Table1[value],Table1[IndicatorCode],Table1[[#This Row],[IndicatorCode]])</f>
        <v>7.6894248608534319</v>
      </c>
      <c r="I2461" cm="1">
        <f t="array" ref="I2461">_xlfn.STDEV.P(IF(Table1[IndicatorCode]=Table1[[#This Row],[IndicatorCode]],Table1[value]))</f>
        <v>5.2319501044600996</v>
      </c>
      <c r="J2461">
        <f>(Table1[[#This Row],[value]] - Table1[[#This Row],[mean]]) / Table1[[#This Row],[std_dev]]</f>
        <v>1.0150278640118229</v>
      </c>
      <c r="K2461">
        <f>AVERAGEIF(Table1[CountryCode],Table1[[#This Row],[CountryCode]],Table1[z-score])</f>
        <v>0.38305593592472742</v>
      </c>
      <c r="L2461" t="e">
        <f>VLOOKUP(Table1[[#This Row],[CountryCode]],[1]!Table1[#Data],4,FALSE)</f>
        <v>#REF!</v>
      </c>
    </row>
    <row r="2462" spans="1:12" hidden="1" x14ac:dyDescent="0.3">
      <c r="A2462" t="s">
        <v>33</v>
      </c>
      <c r="B2462" t="s">
        <v>34</v>
      </c>
      <c r="C2462" t="s">
        <v>125</v>
      </c>
      <c r="D2462" t="s">
        <v>126</v>
      </c>
      <c r="E2462">
        <v>2008</v>
      </c>
      <c r="F2462" s="1">
        <v>12</v>
      </c>
      <c r="G2462">
        <v>2010</v>
      </c>
      <c r="H2462">
        <f>AVERAGEIFS(Table1[value],Table1[IndicatorCode],Table1[[#This Row],[IndicatorCode]])</f>
        <v>7.6894248608534319</v>
      </c>
      <c r="I2462" cm="1">
        <f t="array" ref="I2462">_xlfn.STDEV.P(IF(Table1[IndicatorCode]=Table1[[#This Row],[IndicatorCode]],Table1[value]))</f>
        <v>5.2319501044600996</v>
      </c>
      <c r="J2462">
        <f>(Table1[[#This Row],[value]] - Table1[[#This Row],[mean]]) / Table1[[#This Row],[std_dev]]</f>
        <v>0.82389454277706442</v>
      </c>
      <c r="K2462">
        <f>AVERAGEIF(Table1[CountryCode],Table1[[#This Row],[CountryCode]],Table1[z-score])</f>
        <v>0.38305593592472742</v>
      </c>
      <c r="L2462" t="e">
        <f>VLOOKUP(Table1[[#This Row],[CountryCode]],[1]!Table1[#Data],4,FALSE)</f>
        <v>#REF!</v>
      </c>
    </row>
    <row r="2463" spans="1:12" hidden="1" x14ac:dyDescent="0.3">
      <c r="A2463" t="s">
        <v>33</v>
      </c>
      <c r="B2463" t="s">
        <v>34</v>
      </c>
      <c r="C2463" t="s">
        <v>125</v>
      </c>
      <c r="D2463" t="s">
        <v>126</v>
      </c>
      <c r="E2463">
        <v>2009</v>
      </c>
      <c r="F2463" s="1">
        <v>11</v>
      </c>
      <c r="G2463">
        <v>2010</v>
      </c>
      <c r="H2463">
        <f>AVERAGEIFS(Table1[value],Table1[IndicatorCode],Table1[[#This Row],[IndicatorCode]])</f>
        <v>7.6894248608534319</v>
      </c>
      <c r="I2463" cm="1">
        <f t="array" ref="I2463">_xlfn.STDEV.P(IF(Table1[IndicatorCode]=Table1[[#This Row],[IndicatorCode]],Table1[value]))</f>
        <v>5.2319501044600996</v>
      </c>
      <c r="J2463">
        <f>(Table1[[#This Row],[value]] - Table1[[#This Row],[mean]]) / Table1[[#This Row],[std_dev]]</f>
        <v>0.63276122154230596</v>
      </c>
      <c r="K2463">
        <f>AVERAGEIF(Table1[CountryCode],Table1[[#This Row],[CountryCode]],Table1[z-score])</f>
        <v>0.38305593592472742</v>
      </c>
      <c r="L2463" t="e">
        <f>VLOOKUP(Table1[[#This Row],[CountryCode]],[1]!Table1[#Data],4,FALSE)</f>
        <v>#REF!</v>
      </c>
    </row>
    <row r="2464" spans="1:12" hidden="1" x14ac:dyDescent="0.3">
      <c r="A2464" t="s">
        <v>33</v>
      </c>
      <c r="B2464" t="s">
        <v>34</v>
      </c>
      <c r="C2464" t="s">
        <v>125</v>
      </c>
      <c r="D2464" t="s">
        <v>126</v>
      </c>
      <c r="E2464">
        <v>2010</v>
      </c>
      <c r="F2464" s="1">
        <v>12</v>
      </c>
      <c r="G2464">
        <v>2010</v>
      </c>
      <c r="H2464">
        <f>AVERAGEIFS(Table1[value],Table1[IndicatorCode],Table1[[#This Row],[IndicatorCode]])</f>
        <v>7.6894248608534319</v>
      </c>
      <c r="I2464" cm="1">
        <f t="array" ref="I2464">_xlfn.STDEV.P(IF(Table1[IndicatorCode]=Table1[[#This Row],[IndicatorCode]],Table1[value]))</f>
        <v>5.2319501044600996</v>
      </c>
      <c r="J2464">
        <f>(Table1[[#This Row],[value]] - Table1[[#This Row],[mean]]) / Table1[[#This Row],[std_dev]]</f>
        <v>0.82389454277706442</v>
      </c>
      <c r="K2464">
        <f>AVERAGEIF(Table1[CountryCode],Table1[[#This Row],[CountryCode]],Table1[z-score])</f>
        <v>0.38305593592472742</v>
      </c>
      <c r="L2464" t="e">
        <f>VLOOKUP(Table1[[#This Row],[CountryCode]],[1]!Table1[#Data],4,FALSE)</f>
        <v>#REF!</v>
      </c>
    </row>
    <row r="2465" spans="1:12" hidden="1" x14ac:dyDescent="0.3">
      <c r="A2465" t="s">
        <v>33</v>
      </c>
      <c r="B2465" t="s">
        <v>34</v>
      </c>
      <c r="C2465" t="s">
        <v>125</v>
      </c>
      <c r="D2465" t="s">
        <v>126</v>
      </c>
      <c r="E2465">
        <v>2011</v>
      </c>
      <c r="F2465" s="1">
        <v>11</v>
      </c>
      <c r="G2465">
        <v>2010</v>
      </c>
      <c r="H2465">
        <f>AVERAGEIFS(Table1[value],Table1[IndicatorCode],Table1[[#This Row],[IndicatorCode]])</f>
        <v>7.6894248608534319</v>
      </c>
      <c r="I2465" cm="1">
        <f t="array" ref="I2465">_xlfn.STDEV.P(IF(Table1[IndicatorCode]=Table1[[#This Row],[IndicatorCode]],Table1[value]))</f>
        <v>5.2319501044600996</v>
      </c>
      <c r="J2465">
        <f>(Table1[[#This Row],[value]] - Table1[[#This Row],[mean]]) / Table1[[#This Row],[std_dev]]</f>
        <v>0.63276122154230596</v>
      </c>
      <c r="K2465">
        <f>AVERAGEIF(Table1[CountryCode],Table1[[#This Row],[CountryCode]],Table1[z-score])</f>
        <v>0.38305593592472742</v>
      </c>
      <c r="L2465" t="e">
        <f>VLOOKUP(Table1[[#This Row],[CountryCode]],[1]!Table1[#Data],4,FALSE)</f>
        <v>#REF!</v>
      </c>
    </row>
    <row r="2466" spans="1:12" hidden="1" x14ac:dyDescent="0.3">
      <c r="A2466" t="s">
        <v>33</v>
      </c>
      <c r="B2466" t="s">
        <v>34</v>
      </c>
      <c r="C2466" t="s">
        <v>125</v>
      </c>
      <c r="D2466" t="s">
        <v>126</v>
      </c>
      <c r="E2466">
        <v>2012</v>
      </c>
      <c r="F2466" s="1">
        <v>11</v>
      </c>
      <c r="G2466">
        <v>2010</v>
      </c>
      <c r="H2466">
        <f>AVERAGEIFS(Table1[value],Table1[IndicatorCode],Table1[[#This Row],[IndicatorCode]])</f>
        <v>7.6894248608534319</v>
      </c>
      <c r="I2466" cm="1">
        <f t="array" ref="I2466">_xlfn.STDEV.P(IF(Table1[IndicatorCode]=Table1[[#This Row],[IndicatorCode]],Table1[value]))</f>
        <v>5.2319501044600996</v>
      </c>
      <c r="J2466">
        <f>(Table1[[#This Row],[value]] - Table1[[#This Row],[mean]]) / Table1[[#This Row],[std_dev]]</f>
        <v>0.63276122154230596</v>
      </c>
      <c r="K2466">
        <f>AVERAGEIF(Table1[CountryCode],Table1[[#This Row],[CountryCode]],Table1[z-score])</f>
        <v>0.38305593592472742</v>
      </c>
      <c r="L2466" t="e">
        <f>VLOOKUP(Table1[[#This Row],[CountryCode]],[1]!Table1[#Data],4,FALSE)</f>
        <v>#REF!</v>
      </c>
    </row>
    <row r="2467" spans="1:12" hidden="1" x14ac:dyDescent="0.3">
      <c r="A2467" t="s">
        <v>33</v>
      </c>
      <c r="B2467" t="s">
        <v>34</v>
      </c>
      <c r="C2467" t="s">
        <v>125</v>
      </c>
      <c r="D2467" t="s">
        <v>126</v>
      </c>
      <c r="E2467">
        <v>2013</v>
      </c>
      <c r="F2467" s="1">
        <v>10</v>
      </c>
      <c r="G2467">
        <v>2010</v>
      </c>
      <c r="H2467">
        <f>AVERAGEIFS(Table1[value],Table1[IndicatorCode],Table1[[#This Row],[IndicatorCode]])</f>
        <v>7.6894248608534319</v>
      </c>
      <c r="I2467" cm="1">
        <f t="array" ref="I2467">_xlfn.STDEV.P(IF(Table1[IndicatorCode]=Table1[[#This Row],[IndicatorCode]],Table1[value]))</f>
        <v>5.2319501044600996</v>
      </c>
      <c r="J2467">
        <f>(Table1[[#This Row],[value]] - Table1[[#This Row],[mean]]) / Table1[[#This Row],[std_dev]]</f>
        <v>0.44162790030754762</v>
      </c>
      <c r="K2467">
        <f>AVERAGEIF(Table1[CountryCode],Table1[[#This Row],[CountryCode]],Table1[z-score])</f>
        <v>0.38305593592472742</v>
      </c>
      <c r="L2467" t="e">
        <f>VLOOKUP(Table1[[#This Row],[CountryCode]],[1]!Table1[#Data],4,FALSE)</f>
        <v>#REF!</v>
      </c>
    </row>
    <row r="2468" spans="1:12" hidden="1" x14ac:dyDescent="0.3">
      <c r="A2468" t="s">
        <v>33</v>
      </c>
      <c r="B2468" t="s">
        <v>34</v>
      </c>
      <c r="C2468" t="s">
        <v>125</v>
      </c>
      <c r="D2468" t="s">
        <v>126</v>
      </c>
      <c r="E2468">
        <v>2014</v>
      </c>
      <c r="F2468" s="1">
        <v>10</v>
      </c>
      <c r="G2468">
        <v>2010</v>
      </c>
      <c r="H2468">
        <f>AVERAGEIFS(Table1[value],Table1[IndicatorCode],Table1[[#This Row],[IndicatorCode]])</f>
        <v>7.6894248608534319</v>
      </c>
      <c r="I2468" cm="1">
        <f t="array" ref="I2468">_xlfn.STDEV.P(IF(Table1[IndicatorCode]=Table1[[#This Row],[IndicatorCode]],Table1[value]))</f>
        <v>5.2319501044600996</v>
      </c>
      <c r="J2468">
        <f>(Table1[[#This Row],[value]] - Table1[[#This Row],[mean]]) / Table1[[#This Row],[std_dev]]</f>
        <v>0.44162790030754762</v>
      </c>
      <c r="K2468">
        <f>AVERAGEIF(Table1[CountryCode],Table1[[#This Row],[CountryCode]],Table1[z-score])</f>
        <v>0.38305593592472742</v>
      </c>
      <c r="L2468" t="e">
        <f>VLOOKUP(Table1[[#This Row],[CountryCode]],[1]!Table1[#Data],4,FALSE)</f>
        <v>#REF!</v>
      </c>
    </row>
    <row r="2469" spans="1:12" hidden="1" x14ac:dyDescent="0.3">
      <c r="A2469" t="s">
        <v>33</v>
      </c>
      <c r="B2469" t="s">
        <v>34</v>
      </c>
      <c r="C2469" t="s">
        <v>125</v>
      </c>
      <c r="D2469" t="s">
        <v>126</v>
      </c>
      <c r="E2469">
        <v>2015</v>
      </c>
      <c r="F2469" s="1">
        <v>10</v>
      </c>
      <c r="G2469">
        <v>2010</v>
      </c>
      <c r="H2469">
        <f>AVERAGEIFS(Table1[value],Table1[IndicatorCode],Table1[[#This Row],[IndicatorCode]])</f>
        <v>7.6894248608534319</v>
      </c>
      <c r="I2469" cm="1">
        <f t="array" ref="I2469">_xlfn.STDEV.P(IF(Table1[IndicatorCode]=Table1[[#This Row],[IndicatorCode]],Table1[value]))</f>
        <v>5.2319501044600996</v>
      </c>
      <c r="J2469">
        <f>(Table1[[#This Row],[value]] - Table1[[#This Row],[mean]]) / Table1[[#This Row],[std_dev]]</f>
        <v>0.44162790030754762</v>
      </c>
      <c r="K2469">
        <f>AVERAGEIF(Table1[CountryCode],Table1[[#This Row],[CountryCode]],Table1[z-score])</f>
        <v>0.38305593592472742</v>
      </c>
      <c r="L2469" t="e">
        <f>VLOOKUP(Table1[[#This Row],[CountryCode]],[1]!Table1[#Data],4,FALSE)</f>
        <v>#REF!</v>
      </c>
    </row>
    <row r="2470" spans="1:12" hidden="1" x14ac:dyDescent="0.3">
      <c r="A2470" t="s">
        <v>33</v>
      </c>
      <c r="B2470" t="s">
        <v>34</v>
      </c>
      <c r="C2470" t="s">
        <v>125</v>
      </c>
      <c r="D2470" t="s">
        <v>126</v>
      </c>
      <c r="E2470">
        <v>2016</v>
      </c>
      <c r="F2470" s="1">
        <v>10</v>
      </c>
      <c r="G2470">
        <v>2010</v>
      </c>
      <c r="H2470">
        <f>AVERAGEIFS(Table1[value],Table1[IndicatorCode],Table1[[#This Row],[IndicatorCode]])</f>
        <v>7.6894248608534319</v>
      </c>
      <c r="I2470" cm="1">
        <f t="array" ref="I2470">_xlfn.STDEV.P(IF(Table1[IndicatorCode]=Table1[[#This Row],[IndicatorCode]],Table1[value]))</f>
        <v>5.2319501044600996</v>
      </c>
      <c r="J2470">
        <f>(Table1[[#This Row],[value]] - Table1[[#This Row],[mean]]) / Table1[[#This Row],[std_dev]]</f>
        <v>0.44162790030754762</v>
      </c>
      <c r="K2470">
        <f>AVERAGEIF(Table1[CountryCode],Table1[[#This Row],[CountryCode]],Table1[z-score])</f>
        <v>0.38305593592472742</v>
      </c>
      <c r="L2470" t="e">
        <f>VLOOKUP(Table1[[#This Row],[CountryCode]],[1]!Table1[#Data],4,FALSE)</f>
        <v>#REF!</v>
      </c>
    </row>
    <row r="2471" spans="1:12" hidden="1" x14ac:dyDescent="0.3">
      <c r="A2471" t="s">
        <v>33</v>
      </c>
      <c r="B2471" t="s">
        <v>34</v>
      </c>
      <c r="C2471" t="s">
        <v>125</v>
      </c>
      <c r="D2471" t="s">
        <v>126</v>
      </c>
      <c r="E2471">
        <v>2017</v>
      </c>
      <c r="F2471" s="1">
        <v>10</v>
      </c>
      <c r="G2471">
        <v>2020</v>
      </c>
      <c r="H2471">
        <f>AVERAGEIFS(Table1[value],Table1[IndicatorCode],Table1[[#This Row],[IndicatorCode]])</f>
        <v>7.6894248608534319</v>
      </c>
      <c r="I2471" cm="1">
        <f t="array" ref="I2471">_xlfn.STDEV.P(IF(Table1[IndicatorCode]=Table1[[#This Row],[IndicatorCode]],Table1[value]))</f>
        <v>5.2319501044600996</v>
      </c>
      <c r="J2471">
        <f>(Table1[[#This Row],[value]] - Table1[[#This Row],[mean]]) / Table1[[#This Row],[std_dev]]</f>
        <v>0.44162790030754762</v>
      </c>
      <c r="K2471">
        <f>AVERAGEIF(Table1[CountryCode],Table1[[#This Row],[CountryCode]],Table1[z-score])</f>
        <v>0.38305593592472742</v>
      </c>
      <c r="L2471" t="e">
        <f>VLOOKUP(Table1[[#This Row],[CountryCode]],[1]!Table1[#Data],4,FALSE)</f>
        <v>#REF!</v>
      </c>
    </row>
    <row r="2472" spans="1:12" hidden="1" x14ac:dyDescent="0.3">
      <c r="A2472" t="s">
        <v>33</v>
      </c>
      <c r="B2472" t="s">
        <v>34</v>
      </c>
      <c r="C2472" t="s">
        <v>125</v>
      </c>
      <c r="D2472" t="s">
        <v>126</v>
      </c>
      <c r="E2472">
        <v>2018</v>
      </c>
      <c r="F2472" s="1">
        <v>10</v>
      </c>
      <c r="G2472">
        <v>2020</v>
      </c>
      <c r="H2472">
        <f>AVERAGEIFS(Table1[value],Table1[IndicatorCode],Table1[[#This Row],[IndicatorCode]])</f>
        <v>7.6894248608534319</v>
      </c>
      <c r="I2472" cm="1">
        <f t="array" ref="I2472">_xlfn.STDEV.P(IF(Table1[IndicatorCode]=Table1[[#This Row],[IndicatorCode]],Table1[value]))</f>
        <v>5.2319501044600996</v>
      </c>
      <c r="J2472">
        <f>(Table1[[#This Row],[value]] - Table1[[#This Row],[mean]]) / Table1[[#This Row],[std_dev]]</f>
        <v>0.44162790030754762</v>
      </c>
      <c r="K2472">
        <f>AVERAGEIF(Table1[CountryCode],Table1[[#This Row],[CountryCode]],Table1[z-score])</f>
        <v>0.38305593592472742</v>
      </c>
      <c r="L2472" t="e">
        <f>VLOOKUP(Table1[[#This Row],[CountryCode]],[1]!Table1[#Data],4,FALSE)</f>
        <v>#REF!</v>
      </c>
    </row>
    <row r="2473" spans="1:12" hidden="1" x14ac:dyDescent="0.3">
      <c r="A2473" t="s">
        <v>33</v>
      </c>
      <c r="B2473" t="s">
        <v>34</v>
      </c>
      <c r="C2473" t="s">
        <v>125</v>
      </c>
      <c r="D2473" t="s">
        <v>126</v>
      </c>
      <c r="E2473">
        <v>2019</v>
      </c>
      <c r="F2473" s="1">
        <v>10</v>
      </c>
      <c r="G2473">
        <v>2020</v>
      </c>
      <c r="H2473">
        <f>AVERAGEIFS(Table1[value],Table1[IndicatorCode],Table1[[#This Row],[IndicatorCode]])</f>
        <v>7.6894248608534319</v>
      </c>
      <c r="I2473" cm="1">
        <f t="array" ref="I2473">_xlfn.STDEV.P(IF(Table1[IndicatorCode]=Table1[[#This Row],[IndicatorCode]],Table1[value]))</f>
        <v>5.2319501044600996</v>
      </c>
      <c r="J2473">
        <f>(Table1[[#This Row],[value]] - Table1[[#This Row],[mean]]) / Table1[[#This Row],[std_dev]]</f>
        <v>0.44162790030754762</v>
      </c>
      <c r="K2473">
        <f>AVERAGEIF(Table1[CountryCode],Table1[[#This Row],[CountryCode]],Table1[z-score])</f>
        <v>0.38305593592472742</v>
      </c>
      <c r="L2473" t="e">
        <f>VLOOKUP(Table1[[#This Row],[CountryCode]],[1]!Table1[#Data],4,FALSE)</f>
        <v>#REF!</v>
      </c>
    </row>
    <row r="2474" spans="1:12" x14ac:dyDescent="0.3">
      <c r="A2474" t="s">
        <v>33</v>
      </c>
      <c r="B2474" t="s">
        <v>34</v>
      </c>
      <c r="C2474" t="s">
        <v>125</v>
      </c>
      <c r="D2474" t="s">
        <v>126</v>
      </c>
      <c r="E2474">
        <v>2020</v>
      </c>
      <c r="F2474" s="1">
        <v>9</v>
      </c>
      <c r="G2474">
        <v>2020</v>
      </c>
      <c r="H2474">
        <f>AVERAGEIFS(Table1[value],Table1[IndicatorCode],Table1[[#This Row],[IndicatorCode]])</f>
        <v>7.6894248608534319</v>
      </c>
      <c r="I2474" cm="1">
        <f t="array" ref="I2474">_xlfn.STDEV.P(IF(Table1[IndicatorCode]=Table1[[#This Row],[IndicatorCode]],Table1[value]))</f>
        <v>5.2319501044600996</v>
      </c>
      <c r="J2474">
        <f>(Table1[[#This Row],[value]] - Table1[[#This Row],[mean]]) / Table1[[#This Row],[std_dev]]</f>
        <v>0.25049457907278921</v>
      </c>
      <c r="K2474">
        <f>AVERAGEIF(Table1[CountryCode],Table1[[#This Row],[CountryCode]],Table1[z-score])</f>
        <v>0.38305593592472742</v>
      </c>
    </row>
    <row r="2475" spans="1:12" hidden="1" x14ac:dyDescent="0.3">
      <c r="A2475" t="s">
        <v>33</v>
      </c>
      <c r="B2475" t="s">
        <v>34</v>
      </c>
      <c r="C2475" t="s">
        <v>125</v>
      </c>
      <c r="D2475" t="s">
        <v>126</v>
      </c>
      <c r="E2475">
        <v>2021</v>
      </c>
      <c r="F2475" s="1">
        <v>9</v>
      </c>
      <c r="G2475">
        <v>2020</v>
      </c>
      <c r="H2475">
        <f>AVERAGEIFS(Table1[value],Table1[IndicatorCode],Table1[[#This Row],[IndicatorCode]])</f>
        <v>7.6894248608534319</v>
      </c>
      <c r="I2475" cm="1">
        <f t="array" ref="I2475">_xlfn.STDEV.P(IF(Table1[IndicatorCode]=Table1[[#This Row],[IndicatorCode]],Table1[value]))</f>
        <v>5.2319501044600996</v>
      </c>
      <c r="J2475">
        <f>(Table1[[#This Row],[value]] - Table1[[#This Row],[mean]]) / Table1[[#This Row],[std_dev]]</f>
        <v>0.25049457907278921</v>
      </c>
      <c r="K2475">
        <f>AVERAGEIF(Table1[CountryCode],Table1[[#This Row],[CountryCode]],Table1[z-score])</f>
        <v>0.38305593592472742</v>
      </c>
      <c r="L2475" t="e">
        <f>VLOOKUP(Table1[[#This Row],[CountryCode]],[1]!Table1[#Data],4,FALSE)</f>
        <v>#REF!</v>
      </c>
    </row>
    <row r="2476" spans="1:12" hidden="1" x14ac:dyDescent="0.3">
      <c r="A2476" t="s">
        <v>33</v>
      </c>
      <c r="B2476" t="s">
        <v>34</v>
      </c>
      <c r="C2476" t="s">
        <v>125</v>
      </c>
      <c r="D2476" t="s">
        <v>126</v>
      </c>
      <c r="E2476">
        <v>2022</v>
      </c>
      <c r="F2476" s="1">
        <v>9</v>
      </c>
      <c r="G2476">
        <v>1970</v>
      </c>
      <c r="H2476">
        <f>AVERAGEIFS(Table1[value],Table1[IndicatorCode],Table1[[#This Row],[IndicatorCode]])</f>
        <v>7.6894248608534319</v>
      </c>
      <c r="I2476" cm="1">
        <f t="array" ref="I2476">_xlfn.STDEV.P(IF(Table1[IndicatorCode]=Table1[[#This Row],[IndicatorCode]],Table1[value]))</f>
        <v>5.2319501044600996</v>
      </c>
      <c r="J2476">
        <f>(Table1[[#This Row],[value]] - Table1[[#This Row],[mean]]) / Table1[[#This Row],[std_dev]]</f>
        <v>0.25049457907278921</v>
      </c>
      <c r="K2476">
        <f>AVERAGEIF(Table1[CountryCode],Table1[[#This Row],[CountryCode]],Table1[z-score])</f>
        <v>0.38305593592472742</v>
      </c>
      <c r="L2476" t="e">
        <f>VLOOKUP(Table1[[#This Row],[CountryCode]],[1]!Table1[#Data],4,FALSE)</f>
        <v>#REF!</v>
      </c>
    </row>
    <row r="2477" spans="1:12" hidden="1" x14ac:dyDescent="0.3">
      <c r="A2477" t="s">
        <v>33</v>
      </c>
      <c r="B2477" t="s">
        <v>34</v>
      </c>
      <c r="C2477" t="s">
        <v>125</v>
      </c>
      <c r="D2477" t="s">
        <v>126</v>
      </c>
      <c r="E2477">
        <v>2023</v>
      </c>
      <c r="F2477" s="1">
        <v>8</v>
      </c>
      <c r="G2477">
        <v>1970</v>
      </c>
      <c r="H2477">
        <f>AVERAGEIFS(Table1[value],Table1[IndicatorCode],Table1[[#This Row],[IndicatorCode]])</f>
        <v>7.6894248608534319</v>
      </c>
      <c r="I2477" cm="1">
        <f t="array" ref="I2477">_xlfn.STDEV.P(IF(Table1[IndicatorCode]=Table1[[#This Row],[IndicatorCode]],Table1[value]))</f>
        <v>5.2319501044600996</v>
      </c>
      <c r="J2477">
        <f>(Table1[[#This Row],[value]] - Table1[[#This Row],[mean]]) / Table1[[#This Row],[std_dev]]</f>
        <v>5.9361257838030791E-2</v>
      </c>
      <c r="K2477">
        <f>AVERAGEIF(Table1[CountryCode],Table1[[#This Row],[CountryCode]],Table1[z-score])</f>
        <v>0.38305593592472742</v>
      </c>
      <c r="L2477" t="e">
        <f>VLOOKUP(Table1[[#This Row],[CountryCode]],[1]!Table1[#Data],4,FALSE)</f>
        <v>#REF!</v>
      </c>
    </row>
    <row r="2478" spans="1:12" hidden="1" x14ac:dyDescent="0.3">
      <c r="A2478" t="s">
        <v>33</v>
      </c>
      <c r="B2478" t="s">
        <v>34</v>
      </c>
      <c r="C2478" t="s">
        <v>125</v>
      </c>
      <c r="D2478" t="s">
        <v>126</v>
      </c>
      <c r="E2478">
        <v>2024</v>
      </c>
      <c r="F2478" s="1">
        <v>7</v>
      </c>
      <c r="G2478">
        <v>1970</v>
      </c>
      <c r="H2478">
        <f>AVERAGEIFS(Table1[value],Table1[IndicatorCode],Table1[[#This Row],[IndicatorCode]])</f>
        <v>7.6894248608534319</v>
      </c>
      <c r="I2478" cm="1">
        <f t="array" ref="I2478">_xlfn.STDEV.P(IF(Table1[IndicatorCode]=Table1[[#This Row],[IndicatorCode]],Table1[value]))</f>
        <v>5.2319501044600996</v>
      </c>
      <c r="J2478">
        <f>(Table1[[#This Row],[value]] - Table1[[#This Row],[mean]]) / Table1[[#This Row],[std_dev]]</f>
        <v>-0.13177206339672762</v>
      </c>
      <c r="K2478">
        <f>AVERAGEIF(Table1[CountryCode],Table1[[#This Row],[CountryCode]],Table1[z-score])</f>
        <v>0.38305593592472742</v>
      </c>
      <c r="L2478" t="e">
        <f>VLOOKUP(Table1[[#This Row],[CountryCode]],[1]!Table1[#Data],4,FALSE)</f>
        <v>#REF!</v>
      </c>
    </row>
    <row r="2479" spans="1:12" hidden="1" x14ac:dyDescent="0.3">
      <c r="A2479" t="s">
        <v>35</v>
      </c>
      <c r="B2479" t="s">
        <v>36</v>
      </c>
      <c r="C2479" t="s">
        <v>125</v>
      </c>
      <c r="D2479" t="s">
        <v>126</v>
      </c>
      <c r="E2479">
        <v>1970</v>
      </c>
      <c r="F2479" s="1">
        <v>14</v>
      </c>
      <c r="G2479">
        <v>1970</v>
      </c>
      <c r="H2479">
        <f>AVERAGEIFS(Table1[value],Table1[IndicatorCode],Table1[[#This Row],[IndicatorCode]])</f>
        <v>7.6894248608534319</v>
      </c>
      <c r="I2479" cm="1">
        <f t="array" ref="I2479">_xlfn.STDEV.P(IF(Table1[IndicatorCode]=Table1[[#This Row],[IndicatorCode]],Table1[value]))</f>
        <v>5.2319501044600996</v>
      </c>
      <c r="J2479">
        <f>(Table1[[#This Row],[value]] - Table1[[#This Row],[mean]]) / Table1[[#This Row],[std_dev]]</f>
        <v>1.2061611852465812</v>
      </c>
      <c r="K2479">
        <f>AVERAGEIF(Table1[CountryCode],Table1[[#This Row],[CountryCode]],Table1[z-score])</f>
        <v>0.40817616735273116</v>
      </c>
      <c r="L2479" t="e">
        <f>VLOOKUP(Table1[[#This Row],[CountryCode]],[1]!Table1[#Data],4,FALSE)</f>
        <v>#REF!</v>
      </c>
    </row>
    <row r="2480" spans="1:12" hidden="1" x14ac:dyDescent="0.3">
      <c r="A2480" t="s">
        <v>35</v>
      </c>
      <c r="B2480" t="s">
        <v>36</v>
      </c>
      <c r="C2480" t="s">
        <v>125</v>
      </c>
      <c r="D2480" t="s">
        <v>126</v>
      </c>
      <c r="E2480">
        <v>1971</v>
      </c>
      <c r="F2480" s="1">
        <v>14</v>
      </c>
      <c r="G2480">
        <v>1970</v>
      </c>
      <c r="H2480">
        <f>AVERAGEIFS(Table1[value],Table1[IndicatorCode],Table1[[#This Row],[IndicatorCode]])</f>
        <v>7.6894248608534319</v>
      </c>
      <c r="I2480" cm="1">
        <f t="array" ref="I2480">_xlfn.STDEV.P(IF(Table1[IndicatorCode]=Table1[[#This Row],[IndicatorCode]],Table1[value]))</f>
        <v>5.2319501044600996</v>
      </c>
      <c r="J2480">
        <f>(Table1[[#This Row],[value]] - Table1[[#This Row],[mean]]) / Table1[[#This Row],[std_dev]]</f>
        <v>1.2061611852465812</v>
      </c>
      <c r="K2480">
        <f>AVERAGEIF(Table1[CountryCode],Table1[[#This Row],[CountryCode]],Table1[z-score])</f>
        <v>0.40817616735273116</v>
      </c>
      <c r="L2480" t="e">
        <f>VLOOKUP(Table1[[#This Row],[CountryCode]],[1]!Table1[#Data],4,FALSE)</f>
        <v>#REF!</v>
      </c>
    </row>
    <row r="2481" spans="1:12" hidden="1" x14ac:dyDescent="0.3">
      <c r="A2481" t="s">
        <v>35</v>
      </c>
      <c r="B2481" t="s">
        <v>36</v>
      </c>
      <c r="C2481" t="s">
        <v>125</v>
      </c>
      <c r="D2481" t="s">
        <v>126</v>
      </c>
      <c r="E2481">
        <v>1972</v>
      </c>
      <c r="F2481" s="1">
        <v>14</v>
      </c>
      <c r="G2481">
        <v>1970</v>
      </c>
      <c r="H2481">
        <f>AVERAGEIFS(Table1[value],Table1[IndicatorCode],Table1[[#This Row],[IndicatorCode]])</f>
        <v>7.6894248608534319</v>
      </c>
      <c r="I2481" cm="1">
        <f t="array" ref="I2481">_xlfn.STDEV.P(IF(Table1[IndicatorCode]=Table1[[#This Row],[IndicatorCode]],Table1[value]))</f>
        <v>5.2319501044600996</v>
      </c>
      <c r="J2481">
        <f>(Table1[[#This Row],[value]] - Table1[[#This Row],[mean]]) / Table1[[#This Row],[std_dev]]</f>
        <v>1.2061611852465812</v>
      </c>
      <c r="K2481">
        <f>AVERAGEIF(Table1[CountryCode],Table1[[#This Row],[CountryCode]],Table1[z-score])</f>
        <v>0.40817616735273116</v>
      </c>
      <c r="L2481" t="e">
        <f>VLOOKUP(Table1[[#This Row],[CountryCode]],[1]!Table1[#Data],4,FALSE)</f>
        <v>#REF!</v>
      </c>
    </row>
    <row r="2482" spans="1:12" hidden="1" x14ac:dyDescent="0.3">
      <c r="A2482" t="s">
        <v>35</v>
      </c>
      <c r="B2482" t="s">
        <v>36</v>
      </c>
      <c r="C2482" t="s">
        <v>125</v>
      </c>
      <c r="D2482" t="s">
        <v>126</v>
      </c>
      <c r="E2482">
        <v>1973</v>
      </c>
      <c r="F2482" s="1">
        <v>15</v>
      </c>
      <c r="G2482">
        <v>1970</v>
      </c>
      <c r="H2482">
        <f>AVERAGEIFS(Table1[value],Table1[IndicatorCode],Table1[[#This Row],[IndicatorCode]])</f>
        <v>7.6894248608534319</v>
      </c>
      <c r="I2482" cm="1">
        <f t="array" ref="I2482">_xlfn.STDEV.P(IF(Table1[IndicatorCode]=Table1[[#This Row],[IndicatorCode]],Table1[value]))</f>
        <v>5.2319501044600996</v>
      </c>
      <c r="J2482">
        <f>(Table1[[#This Row],[value]] - Table1[[#This Row],[mean]]) / Table1[[#This Row],[std_dev]]</f>
        <v>1.3972945064813396</v>
      </c>
      <c r="K2482">
        <f>AVERAGEIF(Table1[CountryCode],Table1[[#This Row],[CountryCode]],Table1[z-score])</f>
        <v>0.40817616735273116</v>
      </c>
      <c r="L2482" t="e">
        <f>VLOOKUP(Table1[[#This Row],[CountryCode]],[1]!Table1[#Data],4,FALSE)</f>
        <v>#REF!</v>
      </c>
    </row>
    <row r="2483" spans="1:12" hidden="1" x14ac:dyDescent="0.3">
      <c r="A2483" t="s">
        <v>35</v>
      </c>
      <c r="B2483" t="s">
        <v>36</v>
      </c>
      <c r="C2483" t="s">
        <v>125</v>
      </c>
      <c r="D2483" t="s">
        <v>126</v>
      </c>
      <c r="E2483">
        <v>1974</v>
      </c>
      <c r="F2483" s="1">
        <v>14</v>
      </c>
      <c r="G2483">
        <v>1970</v>
      </c>
      <c r="H2483">
        <f>AVERAGEIFS(Table1[value],Table1[IndicatorCode],Table1[[#This Row],[IndicatorCode]])</f>
        <v>7.6894248608534319</v>
      </c>
      <c r="I2483" cm="1">
        <f t="array" ref="I2483">_xlfn.STDEV.P(IF(Table1[IndicatorCode]=Table1[[#This Row],[IndicatorCode]],Table1[value]))</f>
        <v>5.2319501044600996</v>
      </c>
      <c r="J2483">
        <f>(Table1[[#This Row],[value]] - Table1[[#This Row],[mean]]) / Table1[[#This Row],[std_dev]]</f>
        <v>1.2061611852465812</v>
      </c>
      <c r="K2483">
        <f>AVERAGEIF(Table1[CountryCode],Table1[[#This Row],[CountryCode]],Table1[z-score])</f>
        <v>0.40817616735273116</v>
      </c>
      <c r="L2483" t="e">
        <f>VLOOKUP(Table1[[#This Row],[CountryCode]],[1]!Table1[#Data],4,FALSE)</f>
        <v>#REF!</v>
      </c>
    </row>
    <row r="2484" spans="1:12" hidden="1" x14ac:dyDescent="0.3">
      <c r="A2484" t="s">
        <v>35</v>
      </c>
      <c r="B2484" t="s">
        <v>36</v>
      </c>
      <c r="C2484" t="s">
        <v>125</v>
      </c>
      <c r="D2484" t="s">
        <v>126</v>
      </c>
      <c r="E2484">
        <v>1975</v>
      </c>
      <c r="F2484" s="1">
        <v>13</v>
      </c>
      <c r="G2484">
        <v>1970</v>
      </c>
      <c r="H2484">
        <f>AVERAGEIFS(Table1[value],Table1[IndicatorCode],Table1[[#This Row],[IndicatorCode]])</f>
        <v>7.6894248608534319</v>
      </c>
      <c r="I2484" cm="1">
        <f t="array" ref="I2484">_xlfn.STDEV.P(IF(Table1[IndicatorCode]=Table1[[#This Row],[IndicatorCode]],Table1[value]))</f>
        <v>5.2319501044600996</v>
      </c>
      <c r="J2484">
        <f>(Table1[[#This Row],[value]] - Table1[[#This Row],[mean]]) / Table1[[#This Row],[std_dev]]</f>
        <v>1.0150278640118229</v>
      </c>
      <c r="K2484">
        <f>AVERAGEIF(Table1[CountryCode],Table1[[#This Row],[CountryCode]],Table1[z-score])</f>
        <v>0.40817616735273116</v>
      </c>
      <c r="L2484" t="e">
        <f>VLOOKUP(Table1[[#This Row],[CountryCode]],[1]!Table1[#Data],4,FALSE)</f>
        <v>#REF!</v>
      </c>
    </row>
    <row r="2485" spans="1:12" hidden="1" x14ac:dyDescent="0.3">
      <c r="A2485" t="s">
        <v>35</v>
      </c>
      <c r="B2485" t="s">
        <v>36</v>
      </c>
      <c r="C2485" t="s">
        <v>125</v>
      </c>
      <c r="D2485" t="s">
        <v>126</v>
      </c>
      <c r="E2485">
        <v>1976</v>
      </c>
      <c r="F2485" s="1">
        <v>14</v>
      </c>
      <c r="G2485">
        <v>1970</v>
      </c>
      <c r="H2485">
        <f>AVERAGEIFS(Table1[value],Table1[IndicatorCode],Table1[[#This Row],[IndicatorCode]])</f>
        <v>7.6894248608534319</v>
      </c>
      <c r="I2485" cm="1">
        <f t="array" ref="I2485">_xlfn.STDEV.P(IF(Table1[IndicatorCode]=Table1[[#This Row],[IndicatorCode]],Table1[value]))</f>
        <v>5.2319501044600996</v>
      </c>
      <c r="J2485">
        <f>(Table1[[#This Row],[value]] - Table1[[#This Row],[mean]]) / Table1[[#This Row],[std_dev]]</f>
        <v>1.2061611852465812</v>
      </c>
      <c r="K2485">
        <f>AVERAGEIF(Table1[CountryCode],Table1[[#This Row],[CountryCode]],Table1[z-score])</f>
        <v>0.40817616735273116</v>
      </c>
      <c r="L2485" t="e">
        <f>VLOOKUP(Table1[[#This Row],[CountryCode]],[1]!Table1[#Data],4,FALSE)</f>
        <v>#REF!</v>
      </c>
    </row>
    <row r="2486" spans="1:12" hidden="1" x14ac:dyDescent="0.3">
      <c r="A2486" t="s">
        <v>35</v>
      </c>
      <c r="B2486" t="s">
        <v>36</v>
      </c>
      <c r="C2486" t="s">
        <v>125</v>
      </c>
      <c r="D2486" t="s">
        <v>126</v>
      </c>
      <c r="E2486">
        <v>1977</v>
      </c>
      <c r="F2486" s="1">
        <v>14</v>
      </c>
      <c r="G2486">
        <v>1980</v>
      </c>
      <c r="H2486">
        <f>AVERAGEIFS(Table1[value],Table1[IndicatorCode],Table1[[#This Row],[IndicatorCode]])</f>
        <v>7.6894248608534319</v>
      </c>
      <c r="I2486" cm="1">
        <f t="array" ref="I2486">_xlfn.STDEV.P(IF(Table1[IndicatorCode]=Table1[[#This Row],[IndicatorCode]],Table1[value]))</f>
        <v>5.2319501044600996</v>
      </c>
      <c r="J2486">
        <f>(Table1[[#This Row],[value]] - Table1[[#This Row],[mean]]) / Table1[[#This Row],[std_dev]]</f>
        <v>1.2061611852465812</v>
      </c>
      <c r="K2486">
        <f>AVERAGEIF(Table1[CountryCode],Table1[[#This Row],[CountryCode]],Table1[z-score])</f>
        <v>0.40817616735273116</v>
      </c>
      <c r="L2486" t="e">
        <f>VLOOKUP(Table1[[#This Row],[CountryCode]],[1]!Table1[#Data],4,FALSE)</f>
        <v>#REF!</v>
      </c>
    </row>
    <row r="2487" spans="1:12" hidden="1" x14ac:dyDescent="0.3">
      <c r="A2487" t="s">
        <v>35</v>
      </c>
      <c r="B2487" t="s">
        <v>36</v>
      </c>
      <c r="C2487" t="s">
        <v>125</v>
      </c>
      <c r="D2487" t="s">
        <v>126</v>
      </c>
      <c r="E2487">
        <v>1978</v>
      </c>
      <c r="F2487" s="1">
        <v>15</v>
      </c>
      <c r="G2487">
        <v>1980</v>
      </c>
      <c r="H2487">
        <f>AVERAGEIFS(Table1[value],Table1[IndicatorCode],Table1[[#This Row],[IndicatorCode]])</f>
        <v>7.6894248608534319</v>
      </c>
      <c r="I2487" cm="1">
        <f t="array" ref="I2487">_xlfn.STDEV.P(IF(Table1[IndicatorCode]=Table1[[#This Row],[IndicatorCode]],Table1[value]))</f>
        <v>5.2319501044600996</v>
      </c>
      <c r="J2487">
        <f>(Table1[[#This Row],[value]] - Table1[[#This Row],[mean]]) / Table1[[#This Row],[std_dev]]</f>
        <v>1.3972945064813396</v>
      </c>
      <c r="K2487">
        <f>AVERAGEIF(Table1[CountryCode],Table1[[#This Row],[CountryCode]],Table1[z-score])</f>
        <v>0.40817616735273116</v>
      </c>
      <c r="L2487" t="e">
        <f>VLOOKUP(Table1[[#This Row],[CountryCode]],[1]!Table1[#Data],4,FALSE)</f>
        <v>#REF!</v>
      </c>
    </row>
    <row r="2488" spans="1:12" hidden="1" x14ac:dyDescent="0.3">
      <c r="A2488" t="s">
        <v>35</v>
      </c>
      <c r="B2488" t="s">
        <v>36</v>
      </c>
      <c r="C2488" t="s">
        <v>125</v>
      </c>
      <c r="D2488" t="s">
        <v>126</v>
      </c>
      <c r="E2488">
        <v>1979</v>
      </c>
      <c r="F2488" s="1">
        <v>15</v>
      </c>
      <c r="G2488">
        <v>1980</v>
      </c>
      <c r="H2488">
        <f>AVERAGEIFS(Table1[value],Table1[IndicatorCode],Table1[[#This Row],[IndicatorCode]])</f>
        <v>7.6894248608534319</v>
      </c>
      <c r="I2488" cm="1">
        <f t="array" ref="I2488">_xlfn.STDEV.P(IF(Table1[IndicatorCode]=Table1[[#This Row],[IndicatorCode]],Table1[value]))</f>
        <v>5.2319501044600996</v>
      </c>
      <c r="J2488">
        <f>(Table1[[#This Row],[value]] - Table1[[#This Row],[mean]]) / Table1[[#This Row],[std_dev]]</f>
        <v>1.3972945064813396</v>
      </c>
      <c r="K2488">
        <f>AVERAGEIF(Table1[CountryCode],Table1[[#This Row],[CountryCode]],Table1[z-score])</f>
        <v>0.40817616735273116</v>
      </c>
      <c r="L2488" t="e">
        <f>VLOOKUP(Table1[[#This Row],[CountryCode]],[1]!Table1[#Data],4,FALSE)</f>
        <v>#REF!</v>
      </c>
    </row>
    <row r="2489" spans="1:12" hidden="1" x14ac:dyDescent="0.3">
      <c r="A2489" t="s">
        <v>35</v>
      </c>
      <c r="B2489" t="s">
        <v>36</v>
      </c>
      <c r="C2489" t="s">
        <v>125</v>
      </c>
      <c r="D2489" t="s">
        <v>126</v>
      </c>
      <c r="E2489">
        <v>1980</v>
      </c>
      <c r="F2489" s="1">
        <v>15</v>
      </c>
      <c r="G2489">
        <v>1980</v>
      </c>
      <c r="H2489">
        <f>AVERAGEIFS(Table1[value],Table1[IndicatorCode],Table1[[#This Row],[IndicatorCode]])</f>
        <v>7.6894248608534319</v>
      </c>
      <c r="I2489" cm="1">
        <f t="array" ref="I2489">_xlfn.STDEV.P(IF(Table1[IndicatorCode]=Table1[[#This Row],[IndicatorCode]],Table1[value]))</f>
        <v>5.2319501044600996</v>
      </c>
      <c r="J2489">
        <f>(Table1[[#This Row],[value]] - Table1[[#This Row],[mean]]) / Table1[[#This Row],[std_dev]]</f>
        <v>1.3972945064813396</v>
      </c>
      <c r="K2489">
        <f>AVERAGEIF(Table1[CountryCode],Table1[[#This Row],[CountryCode]],Table1[z-score])</f>
        <v>0.40817616735273116</v>
      </c>
      <c r="L2489" t="e">
        <f>VLOOKUP(Table1[[#This Row],[CountryCode]],[1]!Table1[#Data],4,FALSE)</f>
        <v>#REF!</v>
      </c>
    </row>
    <row r="2490" spans="1:12" hidden="1" x14ac:dyDescent="0.3">
      <c r="A2490" t="s">
        <v>35</v>
      </c>
      <c r="B2490" t="s">
        <v>36</v>
      </c>
      <c r="C2490" t="s">
        <v>125</v>
      </c>
      <c r="D2490" t="s">
        <v>126</v>
      </c>
      <c r="E2490">
        <v>1981</v>
      </c>
      <c r="F2490" s="1">
        <v>14</v>
      </c>
      <c r="G2490">
        <v>1980</v>
      </c>
      <c r="H2490">
        <f>AVERAGEIFS(Table1[value],Table1[IndicatorCode],Table1[[#This Row],[IndicatorCode]])</f>
        <v>7.6894248608534319</v>
      </c>
      <c r="I2490" cm="1">
        <f t="array" ref="I2490">_xlfn.STDEV.P(IF(Table1[IndicatorCode]=Table1[[#This Row],[IndicatorCode]],Table1[value]))</f>
        <v>5.2319501044600996</v>
      </c>
      <c r="J2490">
        <f>(Table1[[#This Row],[value]] - Table1[[#This Row],[mean]]) / Table1[[#This Row],[std_dev]]</f>
        <v>1.2061611852465812</v>
      </c>
      <c r="K2490">
        <f>AVERAGEIF(Table1[CountryCode],Table1[[#This Row],[CountryCode]],Table1[z-score])</f>
        <v>0.40817616735273116</v>
      </c>
      <c r="L2490" t="e">
        <f>VLOOKUP(Table1[[#This Row],[CountryCode]],[1]!Table1[#Data],4,FALSE)</f>
        <v>#REF!</v>
      </c>
    </row>
    <row r="2491" spans="1:12" hidden="1" x14ac:dyDescent="0.3">
      <c r="A2491" t="s">
        <v>35</v>
      </c>
      <c r="B2491" t="s">
        <v>36</v>
      </c>
      <c r="C2491" t="s">
        <v>125</v>
      </c>
      <c r="D2491" t="s">
        <v>126</v>
      </c>
      <c r="E2491">
        <v>1982</v>
      </c>
      <c r="F2491" s="1">
        <v>13</v>
      </c>
      <c r="G2491">
        <v>1980</v>
      </c>
      <c r="H2491">
        <f>AVERAGEIFS(Table1[value],Table1[IndicatorCode],Table1[[#This Row],[IndicatorCode]])</f>
        <v>7.6894248608534319</v>
      </c>
      <c r="I2491" cm="1">
        <f t="array" ref="I2491">_xlfn.STDEV.P(IF(Table1[IndicatorCode]=Table1[[#This Row],[IndicatorCode]],Table1[value]))</f>
        <v>5.2319501044600996</v>
      </c>
      <c r="J2491">
        <f>(Table1[[#This Row],[value]] - Table1[[#This Row],[mean]]) / Table1[[#This Row],[std_dev]]</f>
        <v>1.0150278640118229</v>
      </c>
      <c r="K2491">
        <f>AVERAGEIF(Table1[CountryCode],Table1[[#This Row],[CountryCode]],Table1[z-score])</f>
        <v>0.40817616735273116</v>
      </c>
      <c r="L2491" t="e">
        <f>VLOOKUP(Table1[[#This Row],[CountryCode]],[1]!Table1[#Data],4,FALSE)</f>
        <v>#REF!</v>
      </c>
    </row>
    <row r="2492" spans="1:12" hidden="1" x14ac:dyDescent="0.3">
      <c r="A2492" t="s">
        <v>35</v>
      </c>
      <c r="B2492" t="s">
        <v>36</v>
      </c>
      <c r="C2492" t="s">
        <v>125</v>
      </c>
      <c r="D2492" t="s">
        <v>126</v>
      </c>
      <c r="E2492">
        <v>1983</v>
      </c>
      <c r="F2492" s="1">
        <v>14</v>
      </c>
      <c r="G2492">
        <v>1980</v>
      </c>
      <c r="H2492">
        <f>AVERAGEIFS(Table1[value],Table1[IndicatorCode],Table1[[#This Row],[IndicatorCode]])</f>
        <v>7.6894248608534319</v>
      </c>
      <c r="I2492" cm="1">
        <f t="array" ref="I2492">_xlfn.STDEV.P(IF(Table1[IndicatorCode]=Table1[[#This Row],[IndicatorCode]],Table1[value]))</f>
        <v>5.2319501044600996</v>
      </c>
      <c r="J2492">
        <f>(Table1[[#This Row],[value]] - Table1[[#This Row],[mean]]) / Table1[[#This Row],[std_dev]]</f>
        <v>1.2061611852465812</v>
      </c>
      <c r="K2492">
        <f>AVERAGEIF(Table1[CountryCode],Table1[[#This Row],[CountryCode]],Table1[z-score])</f>
        <v>0.40817616735273116</v>
      </c>
      <c r="L2492" t="e">
        <f>VLOOKUP(Table1[[#This Row],[CountryCode]],[1]!Table1[#Data],4,FALSE)</f>
        <v>#REF!</v>
      </c>
    </row>
    <row r="2493" spans="1:12" hidden="1" x14ac:dyDescent="0.3">
      <c r="A2493" t="s">
        <v>35</v>
      </c>
      <c r="B2493" t="s">
        <v>36</v>
      </c>
      <c r="C2493" t="s">
        <v>125</v>
      </c>
      <c r="D2493" t="s">
        <v>126</v>
      </c>
      <c r="E2493">
        <v>1984</v>
      </c>
      <c r="F2493" s="1">
        <v>14</v>
      </c>
      <c r="G2493">
        <v>1980</v>
      </c>
      <c r="H2493">
        <f>AVERAGEIFS(Table1[value],Table1[IndicatorCode],Table1[[#This Row],[IndicatorCode]])</f>
        <v>7.6894248608534319</v>
      </c>
      <c r="I2493" cm="1">
        <f t="array" ref="I2493">_xlfn.STDEV.P(IF(Table1[IndicatorCode]=Table1[[#This Row],[IndicatorCode]],Table1[value]))</f>
        <v>5.2319501044600996</v>
      </c>
      <c r="J2493">
        <f>(Table1[[#This Row],[value]] - Table1[[#This Row],[mean]]) / Table1[[#This Row],[std_dev]]</f>
        <v>1.2061611852465812</v>
      </c>
      <c r="K2493">
        <f>AVERAGEIF(Table1[CountryCode],Table1[[#This Row],[CountryCode]],Table1[z-score])</f>
        <v>0.40817616735273116</v>
      </c>
      <c r="L2493" t="e">
        <f>VLOOKUP(Table1[[#This Row],[CountryCode]],[1]!Table1[#Data],4,FALSE)</f>
        <v>#REF!</v>
      </c>
    </row>
    <row r="2494" spans="1:12" hidden="1" x14ac:dyDescent="0.3">
      <c r="A2494" t="s">
        <v>35</v>
      </c>
      <c r="B2494" t="s">
        <v>36</v>
      </c>
      <c r="C2494" t="s">
        <v>125</v>
      </c>
      <c r="D2494" t="s">
        <v>126</v>
      </c>
      <c r="E2494">
        <v>1985</v>
      </c>
      <c r="F2494" s="1">
        <v>14</v>
      </c>
      <c r="G2494">
        <v>1980</v>
      </c>
      <c r="H2494">
        <f>AVERAGEIFS(Table1[value],Table1[IndicatorCode],Table1[[#This Row],[IndicatorCode]])</f>
        <v>7.6894248608534319</v>
      </c>
      <c r="I2494" cm="1">
        <f t="array" ref="I2494">_xlfn.STDEV.P(IF(Table1[IndicatorCode]=Table1[[#This Row],[IndicatorCode]],Table1[value]))</f>
        <v>5.2319501044600996</v>
      </c>
      <c r="J2494">
        <f>(Table1[[#This Row],[value]] - Table1[[#This Row],[mean]]) / Table1[[#This Row],[std_dev]]</f>
        <v>1.2061611852465812</v>
      </c>
      <c r="K2494">
        <f>AVERAGEIF(Table1[CountryCode],Table1[[#This Row],[CountryCode]],Table1[z-score])</f>
        <v>0.40817616735273116</v>
      </c>
      <c r="L2494" t="e">
        <f>VLOOKUP(Table1[[#This Row],[CountryCode]],[1]!Table1[#Data],4,FALSE)</f>
        <v>#REF!</v>
      </c>
    </row>
    <row r="2495" spans="1:12" hidden="1" x14ac:dyDescent="0.3">
      <c r="A2495" t="s">
        <v>35</v>
      </c>
      <c r="B2495" t="s">
        <v>36</v>
      </c>
      <c r="C2495" t="s">
        <v>125</v>
      </c>
      <c r="D2495" t="s">
        <v>126</v>
      </c>
      <c r="E2495">
        <v>1986</v>
      </c>
      <c r="F2495" s="1">
        <v>14</v>
      </c>
      <c r="G2495">
        <v>1980</v>
      </c>
      <c r="H2495">
        <f>AVERAGEIFS(Table1[value],Table1[IndicatorCode],Table1[[#This Row],[IndicatorCode]])</f>
        <v>7.6894248608534319</v>
      </c>
      <c r="I2495" cm="1">
        <f t="array" ref="I2495">_xlfn.STDEV.P(IF(Table1[IndicatorCode]=Table1[[#This Row],[IndicatorCode]],Table1[value]))</f>
        <v>5.2319501044600996</v>
      </c>
      <c r="J2495">
        <f>(Table1[[#This Row],[value]] - Table1[[#This Row],[mean]]) / Table1[[#This Row],[std_dev]]</f>
        <v>1.2061611852465812</v>
      </c>
      <c r="K2495">
        <f>AVERAGEIF(Table1[CountryCode],Table1[[#This Row],[CountryCode]],Table1[z-score])</f>
        <v>0.40817616735273116</v>
      </c>
      <c r="L2495" t="e">
        <f>VLOOKUP(Table1[[#This Row],[CountryCode]],[1]!Table1[#Data],4,FALSE)</f>
        <v>#REF!</v>
      </c>
    </row>
    <row r="2496" spans="1:12" hidden="1" x14ac:dyDescent="0.3">
      <c r="A2496" t="s">
        <v>35</v>
      </c>
      <c r="B2496" t="s">
        <v>36</v>
      </c>
      <c r="C2496" t="s">
        <v>125</v>
      </c>
      <c r="D2496" t="s">
        <v>126</v>
      </c>
      <c r="E2496">
        <v>1987</v>
      </c>
      <c r="F2496" s="1">
        <v>14</v>
      </c>
      <c r="G2496">
        <v>1990</v>
      </c>
      <c r="H2496">
        <f>AVERAGEIFS(Table1[value],Table1[IndicatorCode],Table1[[#This Row],[IndicatorCode]])</f>
        <v>7.6894248608534319</v>
      </c>
      <c r="I2496" cm="1">
        <f t="array" ref="I2496">_xlfn.STDEV.P(IF(Table1[IndicatorCode]=Table1[[#This Row],[IndicatorCode]],Table1[value]))</f>
        <v>5.2319501044600996</v>
      </c>
      <c r="J2496">
        <f>(Table1[[#This Row],[value]] - Table1[[#This Row],[mean]]) / Table1[[#This Row],[std_dev]]</f>
        <v>1.2061611852465812</v>
      </c>
      <c r="K2496">
        <f>AVERAGEIF(Table1[CountryCode],Table1[[#This Row],[CountryCode]],Table1[z-score])</f>
        <v>0.40817616735273116</v>
      </c>
      <c r="L2496" t="e">
        <f>VLOOKUP(Table1[[#This Row],[CountryCode]],[1]!Table1[#Data],4,FALSE)</f>
        <v>#REF!</v>
      </c>
    </row>
    <row r="2497" spans="1:12" hidden="1" x14ac:dyDescent="0.3">
      <c r="A2497" t="s">
        <v>35</v>
      </c>
      <c r="B2497" t="s">
        <v>36</v>
      </c>
      <c r="C2497" t="s">
        <v>125</v>
      </c>
      <c r="D2497" t="s">
        <v>126</v>
      </c>
      <c r="E2497">
        <v>1988</v>
      </c>
      <c r="F2497" s="1">
        <v>14</v>
      </c>
      <c r="G2497">
        <v>1990</v>
      </c>
      <c r="H2497">
        <f>AVERAGEIFS(Table1[value],Table1[IndicatorCode],Table1[[#This Row],[IndicatorCode]])</f>
        <v>7.6894248608534319</v>
      </c>
      <c r="I2497" cm="1">
        <f t="array" ref="I2497">_xlfn.STDEV.P(IF(Table1[IndicatorCode]=Table1[[#This Row],[IndicatorCode]],Table1[value]))</f>
        <v>5.2319501044600996</v>
      </c>
      <c r="J2497">
        <f>(Table1[[#This Row],[value]] - Table1[[#This Row],[mean]]) / Table1[[#This Row],[std_dev]]</f>
        <v>1.2061611852465812</v>
      </c>
      <c r="K2497">
        <f>AVERAGEIF(Table1[CountryCode],Table1[[#This Row],[CountryCode]],Table1[z-score])</f>
        <v>0.40817616735273116</v>
      </c>
      <c r="L2497" t="e">
        <f>VLOOKUP(Table1[[#This Row],[CountryCode]],[1]!Table1[#Data],4,FALSE)</f>
        <v>#REF!</v>
      </c>
    </row>
    <row r="2498" spans="1:12" hidden="1" x14ac:dyDescent="0.3">
      <c r="A2498" t="s">
        <v>35</v>
      </c>
      <c r="B2498" t="s">
        <v>36</v>
      </c>
      <c r="C2498" t="s">
        <v>125</v>
      </c>
      <c r="D2498" t="s">
        <v>126</v>
      </c>
      <c r="E2498">
        <v>1989</v>
      </c>
      <c r="F2498" s="1">
        <v>13</v>
      </c>
      <c r="G2498">
        <v>1990</v>
      </c>
      <c r="H2498">
        <f>AVERAGEIFS(Table1[value],Table1[IndicatorCode],Table1[[#This Row],[IndicatorCode]])</f>
        <v>7.6894248608534319</v>
      </c>
      <c r="I2498" cm="1">
        <f t="array" ref="I2498">_xlfn.STDEV.P(IF(Table1[IndicatorCode]=Table1[[#This Row],[IndicatorCode]],Table1[value]))</f>
        <v>5.2319501044600996</v>
      </c>
      <c r="J2498">
        <f>(Table1[[#This Row],[value]] - Table1[[#This Row],[mean]]) / Table1[[#This Row],[std_dev]]</f>
        <v>1.0150278640118229</v>
      </c>
      <c r="K2498">
        <f>AVERAGEIF(Table1[CountryCode],Table1[[#This Row],[CountryCode]],Table1[z-score])</f>
        <v>0.40817616735273116</v>
      </c>
      <c r="L2498" t="e">
        <f>VLOOKUP(Table1[[#This Row],[CountryCode]],[1]!Table1[#Data],4,FALSE)</f>
        <v>#REF!</v>
      </c>
    </row>
    <row r="2499" spans="1:12" hidden="1" x14ac:dyDescent="0.3">
      <c r="A2499" t="s">
        <v>35</v>
      </c>
      <c r="B2499" t="s">
        <v>36</v>
      </c>
      <c r="C2499" t="s">
        <v>125</v>
      </c>
      <c r="D2499" t="s">
        <v>126</v>
      </c>
      <c r="E2499">
        <v>1990</v>
      </c>
      <c r="F2499" s="1">
        <v>13</v>
      </c>
      <c r="G2499">
        <v>1990</v>
      </c>
      <c r="H2499">
        <f>AVERAGEIFS(Table1[value],Table1[IndicatorCode],Table1[[#This Row],[IndicatorCode]])</f>
        <v>7.6894248608534319</v>
      </c>
      <c r="I2499" cm="1">
        <f t="array" ref="I2499">_xlfn.STDEV.P(IF(Table1[IndicatorCode]=Table1[[#This Row],[IndicatorCode]],Table1[value]))</f>
        <v>5.2319501044600996</v>
      </c>
      <c r="J2499">
        <f>(Table1[[#This Row],[value]] - Table1[[#This Row],[mean]]) / Table1[[#This Row],[std_dev]]</f>
        <v>1.0150278640118229</v>
      </c>
      <c r="K2499">
        <f>AVERAGEIF(Table1[CountryCode],Table1[[#This Row],[CountryCode]],Table1[z-score])</f>
        <v>0.40817616735273116</v>
      </c>
      <c r="L2499" t="e">
        <f>VLOOKUP(Table1[[#This Row],[CountryCode]],[1]!Table1[#Data],4,FALSE)</f>
        <v>#REF!</v>
      </c>
    </row>
    <row r="2500" spans="1:12" hidden="1" x14ac:dyDescent="0.3">
      <c r="A2500" t="s">
        <v>35</v>
      </c>
      <c r="B2500" t="s">
        <v>36</v>
      </c>
      <c r="C2500" t="s">
        <v>125</v>
      </c>
      <c r="D2500" t="s">
        <v>126</v>
      </c>
      <c r="E2500">
        <v>1991</v>
      </c>
      <c r="F2500" s="1">
        <v>12</v>
      </c>
      <c r="G2500">
        <v>1990</v>
      </c>
      <c r="H2500">
        <f>AVERAGEIFS(Table1[value],Table1[IndicatorCode],Table1[[#This Row],[IndicatorCode]])</f>
        <v>7.6894248608534319</v>
      </c>
      <c r="I2500" cm="1">
        <f t="array" ref="I2500">_xlfn.STDEV.P(IF(Table1[IndicatorCode]=Table1[[#This Row],[IndicatorCode]],Table1[value]))</f>
        <v>5.2319501044600996</v>
      </c>
      <c r="J2500">
        <f>(Table1[[#This Row],[value]] - Table1[[#This Row],[mean]]) / Table1[[#This Row],[std_dev]]</f>
        <v>0.82389454277706442</v>
      </c>
      <c r="K2500">
        <f>AVERAGEIF(Table1[CountryCode],Table1[[#This Row],[CountryCode]],Table1[z-score])</f>
        <v>0.40817616735273116</v>
      </c>
      <c r="L2500" t="e">
        <f>VLOOKUP(Table1[[#This Row],[CountryCode]],[1]!Table1[#Data],4,FALSE)</f>
        <v>#REF!</v>
      </c>
    </row>
    <row r="2501" spans="1:12" hidden="1" x14ac:dyDescent="0.3">
      <c r="A2501" t="s">
        <v>35</v>
      </c>
      <c r="B2501" t="s">
        <v>36</v>
      </c>
      <c r="C2501" t="s">
        <v>125</v>
      </c>
      <c r="D2501" t="s">
        <v>126</v>
      </c>
      <c r="E2501">
        <v>1992</v>
      </c>
      <c r="F2501" s="1">
        <v>12</v>
      </c>
      <c r="G2501">
        <v>1990</v>
      </c>
      <c r="H2501">
        <f>AVERAGEIFS(Table1[value],Table1[IndicatorCode],Table1[[#This Row],[IndicatorCode]])</f>
        <v>7.6894248608534319</v>
      </c>
      <c r="I2501" cm="1">
        <f t="array" ref="I2501">_xlfn.STDEV.P(IF(Table1[IndicatorCode]=Table1[[#This Row],[IndicatorCode]],Table1[value]))</f>
        <v>5.2319501044600996</v>
      </c>
      <c r="J2501">
        <f>(Table1[[#This Row],[value]] - Table1[[#This Row],[mean]]) / Table1[[#This Row],[std_dev]]</f>
        <v>0.82389454277706442</v>
      </c>
      <c r="K2501">
        <f>AVERAGEIF(Table1[CountryCode],Table1[[#This Row],[CountryCode]],Table1[z-score])</f>
        <v>0.40817616735273116</v>
      </c>
      <c r="L2501" t="e">
        <f>VLOOKUP(Table1[[#This Row],[CountryCode]],[1]!Table1[#Data],4,FALSE)</f>
        <v>#REF!</v>
      </c>
    </row>
    <row r="2502" spans="1:12" hidden="1" x14ac:dyDescent="0.3">
      <c r="A2502" t="s">
        <v>35</v>
      </c>
      <c r="B2502" t="s">
        <v>36</v>
      </c>
      <c r="C2502" t="s">
        <v>125</v>
      </c>
      <c r="D2502" t="s">
        <v>126</v>
      </c>
      <c r="E2502">
        <v>1993</v>
      </c>
      <c r="F2502" s="1">
        <v>11</v>
      </c>
      <c r="G2502">
        <v>1990</v>
      </c>
      <c r="H2502">
        <f>AVERAGEIFS(Table1[value],Table1[IndicatorCode],Table1[[#This Row],[IndicatorCode]])</f>
        <v>7.6894248608534319</v>
      </c>
      <c r="I2502" cm="1">
        <f t="array" ref="I2502">_xlfn.STDEV.P(IF(Table1[IndicatorCode]=Table1[[#This Row],[IndicatorCode]],Table1[value]))</f>
        <v>5.2319501044600996</v>
      </c>
      <c r="J2502">
        <f>(Table1[[#This Row],[value]] - Table1[[#This Row],[mean]]) / Table1[[#This Row],[std_dev]]</f>
        <v>0.63276122154230596</v>
      </c>
      <c r="K2502">
        <f>AVERAGEIF(Table1[CountryCode],Table1[[#This Row],[CountryCode]],Table1[z-score])</f>
        <v>0.40817616735273116</v>
      </c>
      <c r="L2502" t="e">
        <f>VLOOKUP(Table1[[#This Row],[CountryCode]],[1]!Table1[#Data],4,FALSE)</f>
        <v>#REF!</v>
      </c>
    </row>
    <row r="2503" spans="1:12" hidden="1" x14ac:dyDescent="0.3">
      <c r="A2503" t="s">
        <v>35</v>
      </c>
      <c r="B2503" t="s">
        <v>36</v>
      </c>
      <c r="C2503" t="s">
        <v>125</v>
      </c>
      <c r="D2503" t="s">
        <v>126</v>
      </c>
      <c r="E2503">
        <v>1994</v>
      </c>
      <c r="F2503" s="1">
        <v>11</v>
      </c>
      <c r="G2503">
        <v>1990</v>
      </c>
      <c r="H2503">
        <f>AVERAGEIFS(Table1[value],Table1[IndicatorCode],Table1[[#This Row],[IndicatorCode]])</f>
        <v>7.6894248608534319</v>
      </c>
      <c r="I2503" cm="1">
        <f t="array" ref="I2503">_xlfn.STDEV.P(IF(Table1[IndicatorCode]=Table1[[#This Row],[IndicatorCode]],Table1[value]))</f>
        <v>5.2319501044600996</v>
      </c>
      <c r="J2503">
        <f>(Table1[[#This Row],[value]] - Table1[[#This Row],[mean]]) / Table1[[#This Row],[std_dev]]</f>
        <v>0.63276122154230596</v>
      </c>
      <c r="K2503">
        <f>AVERAGEIF(Table1[CountryCode],Table1[[#This Row],[CountryCode]],Table1[z-score])</f>
        <v>0.40817616735273116</v>
      </c>
      <c r="L2503" t="e">
        <f>VLOOKUP(Table1[[#This Row],[CountryCode]],[1]!Table1[#Data],4,FALSE)</f>
        <v>#REF!</v>
      </c>
    </row>
    <row r="2504" spans="1:12" hidden="1" x14ac:dyDescent="0.3">
      <c r="A2504" t="s">
        <v>35</v>
      </c>
      <c r="B2504" t="s">
        <v>36</v>
      </c>
      <c r="C2504" t="s">
        <v>125</v>
      </c>
      <c r="D2504" t="s">
        <v>126</v>
      </c>
      <c r="E2504">
        <v>1995</v>
      </c>
      <c r="F2504" s="1">
        <v>11</v>
      </c>
      <c r="G2504">
        <v>1990</v>
      </c>
      <c r="H2504">
        <f>AVERAGEIFS(Table1[value],Table1[IndicatorCode],Table1[[#This Row],[IndicatorCode]])</f>
        <v>7.6894248608534319</v>
      </c>
      <c r="I2504" cm="1">
        <f t="array" ref="I2504">_xlfn.STDEV.P(IF(Table1[IndicatorCode]=Table1[[#This Row],[IndicatorCode]],Table1[value]))</f>
        <v>5.2319501044600996</v>
      </c>
      <c r="J2504">
        <f>(Table1[[#This Row],[value]] - Table1[[#This Row],[mean]]) / Table1[[#This Row],[std_dev]]</f>
        <v>0.63276122154230596</v>
      </c>
      <c r="K2504">
        <f>AVERAGEIF(Table1[CountryCode],Table1[[#This Row],[CountryCode]],Table1[z-score])</f>
        <v>0.40817616735273116</v>
      </c>
      <c r="L2504" t="e">
        <f>VLOOKUP(Table1[[#This Row],[CountryCode]],[1]!Table1[#Data],4,FALSE)</f>
        <v>#REF!</v>
      </c>
    </row>
    <row r="2505" spans="1:12" hidden="1" x14ac:dyDescent="0.3">
      <c r="A2505" t="s">
        <v>35</v>
      </c>
      <c r="B2505" t="s">
        <v>36</v>
      </c>
      <c r="C2505" t="s">
        <v>125</v>
      </c>
      <c r="D2505" t="s">
        <v>126</v>
      </c>
      <c r="E2505">
        <v>1996</v>
      </c>
      <c r="F2505" s="1">
        <v>11</v>
      </c>
      <c r="G2505">
        <v>1990</v>
      </c>
      <c r="H2505">
        <f>AVERAGEIFS(Table1[value],Table1[IndicatorCode],Table1[[#This Row],[IndicatorCode]])</f>
        <v>7.6894248608534319</v>
      </c>
      <c r="I2505" cm="1">
        <f t="array" ref="I2505">_xlfn.STDEV.P(IF(Table1[IndicatorCode]=Table1[[#This Row],[IndicatorCode]],Table1[value]))</f>
        <v>5.2319501044600996</v>
      </c>
      <c r="J2505">
        <f>(Table1[[#This Row],[value]] - Table1[[#This Row],[mean]]) / Table1[[#This Row],[std_dev]]</f>
        <v>0.63276122154230596</v>
      </c>
      <c r="K2505">
        <f>AVERAGEIF(Table1[CountryCode],Table1[[#This Row],[CountryCode]],Table1[z-score])</f>
        <v>0.40817616735273116</v>
      </c>
      <c r="L2505" t="e">
        <f>VLOOKUP(Table1[[#This Row],[CountryCode]],[1]!Table1[#Data],4,FALSE)</f>
        <v>#REF!</v>
      </c>
    </row>
    <row r="2506" spans="1:12" hidden="1" x14ac:dyDescent="0.3">
      <c r="A2506" t="s">
        <v>35</v>
      </c>
      <c r="B2506" t="s">
        <v>36</v>
      </c>
      <c r="C2506" t="s">
        <v>125</v>
      </c>
      <c r="D2506" t="s">
        <v>126</v>
      </c>
      <c r="E2506">
        <v>1997</v>
      </c>
      <c r="F2506" s="1">
        <v>11</v>
      </c>
      <c r="G2506">
        <v>2000</v>
      </c>
      <c r="H2506">
        <f>AVERAGEIFS(Table1[value],Table1[IndicatorCode],Table1[[#This Row],[IndicatorCode]])</f>
        <v>7.6894248608534319</v>
      </c>
      <c r="I2506" cm="1">
        <f t="array" ref="I2506">_xlfn.STDEV.P(IF(Table1[IndicatorCode]=Table1[[#This Row],[IndicatorCode]],Table1[value]))</f>
        <v>5.2319501044600996</v>
      </c>
      <c r="J2506">
        <f>(Table1[[#This Row],[value]] - Table1[[#This Row],[mean]]) / Table1[[#This Row],[std_dev]]</f>
        <v>0.63276122154230596</v>
      </c>
      <c r="K2506">
        <f>AVERAGEIF(Table1[CountryCode],Table1[[#This Row],[CountryCode]],Table1[z-score])</f>
        <v>0.40817616735273116</v>
      </c>
      <c r="L2506" t="e">
        <f>VLOOKUP(Table1[[#This Row],[CountryCode]],[1]!Table1[#Data],4,FALSE)</f>
        <v>#REF!</v>
      </c>
    </row>
    <row r="2507" spans="1:12" hidden="1" x14ac:dyDescent="0.3">
      <c r="A2507" t="s">
        <v>35</v>
      </c>
      <c r="B2507" t="s">
        <v>36</v>
      </c>
      <c r="C2507" t="s">
        <v>125</v>
      </c>
      <c r="D2507" t="s">
        <v>126</v>
      </c>
      <c r="E2507">
        <v>1998</v>
      </c>
      <c r="F2507" s="1">
        <v>11</v>
      </c>
      <c r="G2507">
        <v>2000</v>
      </c>
      <c r="H2507">
        <f>AVERAGEIFS(Table1[value],Table1[IndicatorCode],Table1[[#This Row],[IndicatorCode]])</f>
        <v>7.6894248608534319</v>
      </c>
      <c r="I2507" cm="1">
        <f t="array" ref="I2507">_xlfn.STDEV.P(IF(Table1[IndicatorCode]=Table1[[#This Row],[IndicatorCode]],Table1[value]))</f>
        <v>5.2319501044600996</v>
      </c>
      <c r="J2507">
        <f>(Table1[[#This Row],[value]] - Table1[[#This Row],[mean]]) / Table1[[#This Row],[std_dev]]</f>
        <v>0.63276122154230596</v>
      </c>
      <c r="K2507">
        <f>AVERAGEIF(Table1[CountryCode],Table1[[#This Row],[CountryCode]],Table1[z-score])</f>
        <v>0.40817616735273116</v>
      </c>
      <c r="L2507" t="e">
        <f>VLOOKUP(Table1[[#This Row],[CountryCode]],[1]!Table1[#Data],4,FALSE)</f>
        <v>#REF!</v>
      </c>
    </row>
    <row r="2508" spans="1:12" hidden="1" x14ac:dyDescent="0.3">
      <c r="A2508" t="s">
        <v>35</v>
      </c>
      <c r="B2508" t="s">
        <v>36</v>
      </c>
      <c r="C2508" t="s">
        <v>125</v>
      </c>
      <c r="D2508" t="s">
        <v>126</v>
      </c>
      <c r="E2508">
        <v>1999</v>
      </c>
      <c r="F2508" s="1">
        <v>11</v>
      </c>
      <c r="G2508">
        <v>2000</v>
      </c>
      <c r="H2508">
        <f>AVERAGEIFS(Table1[value],Table1[IndicatorCode],Table1[[#This Row],[IndicatorCode]])</f>
        <v>7.6894248608534319</v>
      </c>
      <c r="I2508" cm="1">
        <f t="array" ref="I2508">_xlfn.STDEV.P(IF(Table1[IndicatorCode]=Table1[[#This Row],[IndicatorCode]],Table1[value]))</f>
        <v>5.2319501044600996</v>
      </c>
      <c r="J2508">
        <f>(Table1[[#This Row],[value]] - Table1[[#This Row],[mean]]) / Table1[[#This Row],[std_dev]]</f>
        <v>0.63276122154230596</v>
      </c>
      <c r="K2508">
        <f>AVERAGEIF(Table1[CountryCode],Table1[[#This Row],[CountryCode]],Table1[z-score])</f>
        <v>0.40817616735273116</v>
      </c>
      <c r="L2508" t="e">
        <f>VLOOKUP(Table1[[#This Row],[CountryCode]],[1]!Table1[#Data],4,FALSE)</f>
        <v>#REF!</v>
      </c>
    </row>
    <row r="2509" spans="1:12" hidden="1" x14ac:dyDescent="0.3">
      <c r="A2509" t="s">
        <v>35</v>
      </c>
      <c r="B2509" t="s">
        <v>36</v>
      </c>
      <c r="C2509" t="s">
        <v>125</v>
      </c>
      <c r="D2509" t="s">
        <v>126</v>
      </c>
      <c r="E2509">
        <v>2000</v>
      </c>
      <c r="F2509" s="1">
        <v>11</v>
      </c>
      <c r="G2509">
        <v>2000</v>
      </c>
      <c r="H2509">
        <f>AVERAGEIFS(Table1[value],Table1[IndicatorCode],Table1[[#This Row],[IndicatorCode]])</f>
        <v>7.6894248608534319</v>
      </c>
      <c r="I2509" cm="1">
        <f t="array" ref="I2509">_xlfn.STDEV.P(IF(Table1[IndicatorCode]=Table1[[#This Row],[IndicatorCode]],Table1[value]))</f>
        <v>5.2319501044600996</v>
      </c>
      <c r="J2509">
        <f>(Table1[[#This Row],[value]] - Table1[[#This Row],[mean]]) / Table1[[#This Row],[std_dev]]</f>
        <v>0.63276122154230596</v>
      </c>
      <c r="K2509">
        <f>AVERAGEIF(Table1[CountryCode],Table1[[#This Row],[CountryCode]],Table1[z-score])</f>
        <v>0.40817616735273116</v>
      </c>
      <c r="L2509" t="e">
        <f>VLOOKUP(Table1[[#This Row],[CountryCode]],[1]!Table1[#Data],4,FALSE)</f>
        <v>#REF!</v>
      </c>
    </row>
    <row r="2510" spans="1:12" hidden="1" x14ac:dyDescent="0.3">
      <c r="A2510" t="s">
        <v>35</v>
      </c>
      <c r="B2510" t="s">
        <v>36</v>
      </c>
      <c r="C2510" t="s">
        <v>125</v>
      </c>
      <c r="D2510" t="s">
        <v>126</v>
      </c>
      <c r="E2510">
        <v>2001</v>
      </c>
      <c r="F2510" s="1">
        <v>11</v>
      </c>
      <c r="G2510">
        <v>2000</v>
      </c>
      <c r="H2510">
        <f>AVERAGEIFS(Table1[value],Table1[IndicatorCode],Table1[[#This Row],[IndicatorCode]])</f>
        <v>7.6894248608534319</v>
      </c>
      <c r="I2510" cm="1">
        <f t="array" ref="I2510">_xlfn.STDEV.P(IF(Table1[IndicatorCode]=Table1[[#This Row],[IndicatorCode]],Table1[value]))</f>
        <v>5.2319501044600996</v>
      </c>
      <c r="J2510">
        <f>(Table1[[#This Row],[value]] - Table1[[#This Row],[mean]]) / Table1[[#This Row],[std_dev]]</f>
        <v>0.63276122154230596</v>
      </c>
      <c r="K2510">
        <f>AVERAGEIF(Table1[CountryCode],Table1[[#This Row],[CountryCode]],Table1[z-score])</f>
        <v>0.40817616735273116</v>
      </c>
      <c r="L2510" t="e">
        <f>VLOOKUP(Table1[[#This Row],[CountryCode]],[1]!Table1[#Data],4,FALSE)</f>
        <v>#REF!</v>
      </c>
    </row>
    <row r="2511" spans="1:12" hidden="1" x14ac:dyDescent="0.3">
      <c r="A2511" t="s">
        <v>35</v>
      </c>
      <c r="B2511" t="s">
        <v>36</v>
      </c>
      <c r="C2511" t="s">
        <v>125</v>
      </c>
      <c r="D2511" t="s">
        <v>126</v>
      </c>
      <c r="E2511">
        <v>2002</v>
      </c>
      <c r="F2511" s="1">
        <v>11</v>
      </c>
      <c r="G2511">
        <v>2000</v>
      </c>
      <c r="H2511">
        <f>AVERAGEIFS(Table1[value],Table1[IndicatorCode],Table1[[#This Row],[IndicatorCode]])</f>
        <v>7.6894248608534319</v>
      </c>
      <c r="I2511" cm="1">
        <f t="array" ref="I2511">_xlfn.STDEV.P(IF(Table1[IndicatorCode]=Table1[[#This Row],[IndicatorCode]],Table1[value]))</f>
        <v>5.2319501044600996</v>
      </c>
      <c r="J2511">
        <f>(Table1[[#This Row],[value]] - Table1[[#This Row],[mean]]) / Table1[[#This Row],[std_dev]]</f>
        <v>0.63276122154230596</v>
      </c>
      <c r="K2511">
        <f>AVERAGEIF(Table1[CountryCode],Table1[[#This Row],[CountryCode]],Table1[z-score])</f>
        <v>0.40817616735273116</v>
      </c>
      <c r="L2511" t="e">
        <f>VLOOKUP(Table1[[#This Row],[CountryCode]],[1]!Table1[#Data],4,FALSE)</f>
        <v>#REF!</v>
      </c>
    </row>
    <row r="2512" spans="1:12" hidden="1" x14ac:dyDescent="0.3">
      <c r="A2512" t="s">
        <v>35</v>
      </c>
      <c r="B2512" t="s">
        <v>36</v>
      </c>
      <c r="C2512" t="s">
        <v>125</v>
      </c>
      <c r="D2512" t="s">
        <v>126</v>
      </c>
      <c r="E2512">
        <v>2003</v>
      </c>
      <c r="F2512" s="1">
        <v>11</v>
      </c>
      <c r="G2512">
        <v>2000</v>
      </c>
      <c r="H2512">
        <f>AVERAGEIFS(Table1[value],Table1[IndicatorCode],Table1[[#This Row],[IndicatorCode]])</f>
        <v>7.6894248608534319</v>
      </c>
      <c r="I2512" cm="1">
        <f t="array" ref="I2512">_xlfn.STDEV.P(IF(Table1[IndicatorCode]=Table1[[#This Row],[IndicatorCode]],Table1[value]))</f>
        <v>5.2319501044600996</v>
      </c>
      <c r="J2512">
        <f>(Table1[[#This Row],[value]] - Table1[[#This Row],[mean]]) / Table1[[#This Row],[std_dev]]</f>
        <v>0.63276122154230596</v>
      </c>
      <c r="K2512">
        <f>AVERAGEIF(Table1[CountryCode],Table1[[#This Row],[CountryCode]],Table1[z-score])</f>
        <v>0.40817616735273116</v>
      </c>
      <c r="L2512" t="e">
        <f>VLOOKUP(Table1[[#This Row],[CountryCode]],[1]!Table1[#Data],4,FALSE)</f>
        <v>#REF!</v>
      </c>
    </row>
    <row r="2513" spans="1:12" hidden="1" x14ac:dyDescent="0.3">
      <c r="A2513" t="s">
        <v>35</v>
      </c>
      <c r="B2513" t="s">
        <v>36</v>
      </c>
      <c r="C2513" t="s">
        <v>125</v>
      </c>
      <c r="D2513" t="s">
        <v>126</v>
      </c>
      <c r="E2513">
        <v>2004</v>
      </c>
      <c r="F2513" s="1">
        <v>10</v>
      </c>
      <c r="G2513">
        <v>2000</v>
      </c>
      <c r="H2513">
        <f>AVERAGEIFS(Table1[value],Table1[IndicatorCode],Table1[[#This Row],[IndicatorCode]])</f>
        <v>7.6894248608534319</v>
      </c>
      <c r="I2513" cm="1">
        <f t="array" ref="I2513">_xlfn.STDEV.P(IF(Table1[IndicatorCode]=Table1[[#This Row],[IndicatorCode]],Table1[value]))</f>
        <v>5.2319501044600996</v>
      </c>
      <c r="J2513">
        <f>(Table1[[#This Row],[value]] - Table1[[#This Row],[mean]]) / Table1[[#This Row],[std_dev]]</f>
        <v>0.44162790030754762</v>
      </c>
      <c r="K2513">
        <f>AVERAGEIF(Table1[CountryCode],Table1[[#This Row],[CountryCode]],Table1[z-score])</f>
        <v>0.40817616735273116</v>
      </c>
      <c r="L2513" t="e">
        <f>VLOOKUP(Table1[[#This Row],[CountryCode]],[1]!Table1[#Data],4,FALSE)</f>
        <v>#REF!</v>
      </c>
    </row>
    <row r="2514" spans="1:12" hidden="1" x14ac:dyDescent="0.3">
      <c r="A2514" t="s">
        <v>35</v>
      </c>
      <c r="B2514" t="s">
        <v>36</v>
      </c>
      <c r="C2514" t="s">
        <v>125</v>
      </c>
      <c r="D2514" t="s">
        <v>126</v>
      </c>
      <c r="E2514">
        <v>2005</v>
      </c>
      <c r="F2514" s="1">
        <v>10</v>
      </c>
      <c r="G2514">
        <v>2000</v>
      </c>
      <c r="H2514">
        <f>AVERAGEIFS(Table1[value],Table1[IndicatorCode],Table1[[#This Row],[IndicatorCode]])</f>
        <v>7.6894248608534319</v>
      </c>
      <c r="I2514" cm="1">
        <f t="array" ref="I2514">_xlfn.STDEV.P(IF(Table1[IndicatorCode]=Table1[[#This Row],[IndicatorCode]],Table1[value]))</f>
        <v>5.2319501044600996</v>
      </c>
      <c r="J2514">
        <f>(Table1[[#This Row],[value]] - Table1[[#This Row],[mean]]) / Table1[[#This Row],[std_dev]]</f>
        <v>0.44162790030754762</v>
      </c>
      <c r="K2514">
        <f>AVERAGEIF(Table1[CountryCode],Table1[[#This Row],[CountryCode]],Table1[z-score])</f>
        <v>0.40817616735273116</v>
      </c>
      <c r="L2514" t="e">
        <f>VLOOKUP(Table1[[#This Row],[CountryCode]],[1]!Table1[#Data],4,FALSE)</f>
        <v>#REF!</v>
      </c>
    </row>
    <row r="2515" spans="1:12" hidden="1" x14ac:dyDescent="0.3">
      <c r="A2515" t="s">
        <v>35</v>
      </c>
      <c r="B2515" t="s">
        <v>36</v>
      </c>
      <c r="C2515" t="s">
        <v>125</v>
      </c>
      <c r="D2515" t="s">
        <v>126</v>
      </c>
      <c r="E2515">
        <v>2006</v>
      </c>
      <c r="F2515" s="1">
        <v>10</v>
      </c>
      <c r="G2515">
        <v>2000</v>
      </c>
      <c r="H2515">
        <f>AVERAGEIFS(Table1[value],Table1[IndicatorCode],Table1[[#This Row],[IndicatorCode]])</f>
        <v>7.6894248608534319</v>
      </c>
      <c r="I2515" cm="1">
        <f t="array" ref="I2515">_xlfn.STDEV.P(IF(Table1[IndicatorCode]=Table1[[#This Row],[IndicatorCode]],Table1[value]))</f>
        <v>5.2319501044600996</v>
      </c>
      <c r="J2515">
        <f>(Table1[[#This Row],[value]] - Table1[[#This Row],[mean]]) / Table1[[#This Row],[std_dev]]</f>
        <v>0.44162790030754762</v>
      </c>
      <c r="K2515">
        <f>AVERAGEIF(Table1[CountryCode],Table1[[#This Row],[CountryCode]],Table1[z-score])</f>
        <v>0.40817616735273116</v>
      </c>
      <c r="L2515" t="e">
        <f>VLOOKUP(Table1[[#This Row],[CountryCode]],[1]!Table1[#Data],4,FALSE)</f>
        <v>#REF!</v>
      </c>
    </row>
    <row r="2516" spans="1:12" hidden="1" x14ac:dyDescent="0.3">
      <c r="A2516" t="s">
        <v>35</v>
      </c>
      <c r="B2516" t="s">
        <v>36</v>
      </c>
      <c r="C2516" t="s">
        <v>125</v>
      </c>
      <c r="D2516" t="s">
        <v>126</v>
      </c>
      <c r="E2516">
        <v>2007</v>
      </c>
      <c r="F2516" s="1">
        <v>10</v>
      </c>
      <c r="G2516">
        <v>2010</v>
      </c>
      <c r="H2516">
        <f>AVERAGEIFS(Table1[value],Table1[IndicatorCode],Table1[[#This Row],[IndicatorCode]])</f>
        <v>7.6894248608534319</v>
      </c>
      <c r="I2516" cm="1">
        <f t="array" ref="I2516">_xlfn.STDEV.P(IF(Table1[IndicatorCode]=Table1[[#This Row],[IndicatorCode]],Table1[value]))</f>
        <v>5.2319501044600996</v>
      </c>
      <c r="J2516">
        <f>(Table1[[#This Row],[value]] - Table1[[#This Row],[mean]]) / Table1[[#This Row],[std_dev]]</f>
        <v>0.44162790030754762</v>
      </c>
      <c r="K2516">
        <f>AVERAGEIF(Table1[CountryCode],Table1[[#This Row],[CountryCode]],Table1[z-score])</f>
        <v>0.40817616735273116</v>
      </c>
      <c r="L2516" t="e">
        <f>VLOOKUP(Table1[[#This Row],[CountryCode]],[1]!Table1[#Data],4,FALSE)</f>
        <v>#REF!</v>
      </c>
    </row>
    <row r="2517" spans="1:12" hidden="1" x14ac:dyDescent="0.3">
      <c r="A2517" t="s">
        <v>35</v>
      </c>
      <c r="B2517" t="s">
        <v>36</v>
      </c>
      <c r="C2517" t="s">
        <v>125</v>
      </c>
      <c r="D2517" t="s">
        <v>126</v>
      </c>
      <c r="E2517">
        <v>2008</v>
      </c>
      <c r="F2517" s="1">
        <v>10</v>
      </c>
      <c r="G2517">
        <v>2010</v>
      </c>
      <c r="H2517">
        <f>AVERAGEIFS(Table1[value],Table1[IndicatorCode],Table1[[#This Row],[IndicatorCode]])</f>
        <v>7.6894248608534319</v>
      </c>
      <c r="I2517" cm="1">
        <f t="array" ref="I2517">_xlfn.STDEV.P(IF(Table1[IndicatorCode]=Table1[[#This Row],[IndicatorCode]],Table1[value]))</f>
        <v>5.2319501044600996</v>
      </c>
      <c r="J2517">
        <f>(Table1[[#This Row],[value]] - Table1[[#This Row],[mean]]) / Table1[[#This Row],[std_dev]]</f>
        <v>0.44162790030754762</v>
      </c>
      <c r="K2517">
        <f>AVERAGEIF(Table1[CountryCode],Table1[[#This Row],[CountryCode]],Table1[z-score])</f>
        <v>0.40817616735273116</v>
      </c>
      <c r="L2517" t="e">
        <f>VLOOKUP(Table1[[#This Row],[CountryCode]],[1]!Table1[#Data],4,FALSE)</f>
        <v>#REF!</v>
      </c>
    </row>
    <row r="2518" spans="1:12" hidden="1" x14ac:dyDescent="0.3">
      <c r="A2518" t="s">
        <v>35</v>
      </c>
      <c r="B2518" t="s">
        <v>36</v>
      </c>
      <c r="C2518" t="s">
        <v>125</v>
      </c>
      <c r="D2518" t="s">
        <v>126</v>
      </c>
      <c r="E2518">
        <v>2009</v>
      </c>
      <c r="F2518" s="1">
        <v>9</v>
      </c>
      <c r="G2518">
        <v>2010</v>
      </c>
      <c r="H2518">
        <f>AVERAGEIFS(Table1[value],Table1[IndicatorCode],Table1[[#This Row],[IndicatorCode]])</f>
        <v>7.6894248608534319</v>
      </c>
      <c r="I2518" cm="1">
        <f t="array" ref="I2518">_xlfn.STDEV.P(IF(Table1[IndicatorCode]=Table1[[#This Row],[IndicatorCode]],Table1[value]))</f>
        <v>5.2319501044600996</v>
      </c>
      <c r="J2518">
        <f>(Table1[[#This Row],[value]] - Table1[[#This Row],[mean]]) / Table1[[#This Row],[std_dev]]</f>
        <v>0.25049457907278921</v>
      </c>
      <c r="K2518">
        <f>AVERAGEIF(Table1[CountryCode],Table1[[#This Row],[CountryCode]],Table1[z-score])</f>
        <v>0.40817616735273116</v>
      </c>
      <c r="L2518" t="e">
        <f>VLOOKUP(Table1[[#This Row],[CountryCode]],[1]!Table1[#Data],4,FALSE)</f>
        <v>#REF!</v>
      </c>
    </row>
    <row r="2519" spans="1:12" hidden="1" x14ac:dyDescent="0.3">
      <c r="A2519" t="s">
        <v>35</v>
      </c>
      <c r="B2519" t="s">
        <v>36</v>
      </c>
      <c r="C2519" t="s">
        <v>125</v>
      </c>
      <c r="D2519" t="s">
        <v>126</v>
      </c>
      <c r="E2519">
        <v>2010</v>
      </c>
      <c r="F2519" s="1">
        <v>10</v>
      </c>
      <c r="G2519">
        <v>2010</v>
      </c>
      <c r="H2519">
        <f>AVERAGEIFS(Table1[value],Table1[IndicatorCode],Table1[[#This Row],[IndicatorCode]])</f>
        <v>7.6894248608534319</v>
      </c>
      <c r="I2519" cm="1">
        <f t="array" ref="I2519">_xlfn.STDEV.P(IF(Table1[IndicatorCode]=Table1[[#This Row],[IndicatorCode]],Table1[value]))</f>
        <v>5.2319501044600996</v>
      </c>
      <c r="J2519">
        <f>(Table1[[#This Row],[value]] - Table1[[#This Row],[mean]]) / Table1[[#This Row],[std_dev]]</f>
        <v>0.44162790030754762</v>
      </c>
      <c r="K2519">
        <f>AVERAGEIF(Table1[CountryCode],Table1[[#This Row],[CountryCode]],Table1[z-score])</f>
        <v>0.40817616735273116</v>
      </c>
      <c r="L2519" t="e">
        <f>VLOOKUP(Table1[[#This Row],[CountryCode]],[1]!Table1[#Data],4,FALSE)</f>
        <v>#REF!</v>
      </c>
    </row>
    <row r="2520" spans="1:12" hidden="1" x14ac:dyDescent="0.3">
      <c r="A2520" t="s">
        <v>35</v>
      </c>
      <c r="B2520" t="s">
        <v>36</v>
      </c>
      <c r="C2520" t="s">
        <v>125</v>
      </c>
      <c r="D2520" t="s">
        <v>126</v>
      </c>
      <c r="E2520">
        <v>2011</v>
      </c>
      <c r="F2520" s="1">
        <v>10</v>
      </c>
      <c r="G2520">
        <v>2010</v>
      </c>
      <c r="H2520">
        <f>AVERAGEIFS(Table1[value],Table1[IndicatorCode],Table1[[#This Row],[IndicatorCode]])</f>
        <v>7.6894248608534319</v>
      </c>
      <c r="I2520" cm="1">
        <f t="array" ref="I2520">_xlfn.STDEV.P(IF(Table1[IndicatorCode]=Table1[[#This Row],[IndicatorCode]],Table1[value]))</f>
        <v>5.2319501044600996</v>
      </c>
      <c r="J2520">
        <f>(Table1[[#This Row],[value]] - Table1[[#This Row],[mean]]) / Table1[[#This Row],[std_dev]]</f>
        <v>0.44162790030754762</v>
      </c>
      <c r="K2520">
        <f>AVERAGEIF(Table1[CountryCode],Table1[[#This Row],[CountryCode]],Table1[z-score])</f>
        <v>0.40817616735273116</v>
      </c>
      <c r="L2520" t="e">
        <f>VLOOKUP(Table1[[#This Row],[CountryCode]],[1]!Table1[#Data],4,FALSE)</f>
        <v>#REF!</v>
      </c>
    </row>
    <row r="2521" spans="1:12" hidden="1" x14ac:dyDescent="0.3">
      <c r="A2521" t="s">
        <v>35</v>
      </c>
      <c r="B2521" t="s">
        <v>36</v>
      </c>
      <c r="C2521" t="s">
        <v>125</v>
      </c>
      <c r="D2521" t="s">
        <v>126</v>
      </c>
      <c r="E2521">
        <v>2012</v>
      </c>
      <c r="F2521" s="1">
        <v>10</v>
      </c>
      <c r="G2521">
        <v>2010</v>
      </c>
      <c r="H2521">
        <f>AVERAGEIFS(Table1[value],Table1[IndicatorCode],Table1[[#This Row],[IndicatorCode]])</f>
        <v>7.6894248608534319</v>
      </c>
      <c r="I2521" cm="1">
        <f t="array" ref="I2521">_xlfn.STDEV.P(IF(Table1[IndicatorCode]=Table1[[#This Row],[IndicatorCode]],Table1[value]))</f>
        <v>5.2319501044600996</v>
      </c>
      <c r="J2521">
        <f>(Table1[[#This Row],[value]] - Table1[[#This Row],[mean]]) / Table1[[#This Row],[std_dev]]</f>
        <v>0.44162790030754762</v>
      </c>
      <c r="K2521">
        <f>AVERAGEIF(Table1[CountryCode],Table1[[#This Row],[CountryCode]],Table1[z-score])</f>
        <v>0.40817616735273116</v>
      </c>
      <c r="L2521" t="e">
        <f>VLOOKUP(Table1[[#This Row],[CountryCode]],[1]!Table1[#Data],4,FALSE)</f>
        <v>#REF!</v>
      </c>
    </row>
    <row r="2522" spans="1:12" hidden="1" x14ac:dyDescent="0.3">
      <c r="A2522" t="s">
        <v>35</v>
      </c>
      <c r="B2522" t="s">
        <v>36</v>
      </c>
      <c r="C2522" t="s">
        <v>125</v>
      </c>
      <c r="D2522" t="s">
        <v>126</v>
      </c>
      <c r="E2522">
        <v>2013</v>
      </c>
      <c r="F2522" s="1">
        <v>10</v>
      </c>
      <c r="G2522">
        <v>2010</v>
      </c>
      <c r="H2522">
        <f>AVERAGEIFS(Table1[value],Table1[IndicatorCode],Table1[[#This Row],[IndicatorCode]])</f>
        <v>7.6894248608534319</v>
      </c>
      <c r="I2522" cm="1">
        <f t="array" ref="I2522">_xlfn.STDEV.P(IF(Table1[IndicatorCode]=Table1[[#This Row],[IndicatorCode]],Table1[value]))</f>
        <v>5.2319501044600996</v>
      </c>
      <c r="J2522">
        <f>(Table1[[#This Row],[value]] - Table1[[#This Row],[mean]]) / Table1[[#This Row],[std_dev]]</f>
        <v>0.44162790030754762</v>
      </c>
      <c r="K2522">
        <f>AVERAGEIF(Table1[CountryCode],Table1[[#This Row],[CountryCode]],Table1[z-score])</f>
        <v>0.40817616735273116</v>
      </c>
      <c r="L2522" t="e">
        <f>VLOOKUP(Table1[[#This Row],[CountryCode]],[1]!Table1[#Data],4,FALSE)</f>
        <v>#REF!</v>
      </c>
    </row>
    <row r="2523" spans="1:12" hidden="1" x14ac:dyDescent="0.3">
      <c r="A2523" t="s">
        <v>35</v>
      </c>
      <c r="B2523" t="s">
        <v>36</v>
      </c>
      <c r="C2523" t="s">
        <v>125</v>
      </c>
      <c r="D2523" t="s">
        <v>126</v>
      </c>
      <c r="E2523">
        <v>2014</v>
      </c>
      <c r="F2523" s="1">
        <v>10</v>
      </c>
      <c r="G2523">
        <v>2010</v>
      </c>
      <c r="H2523">
        <f>AVERAGEIFS(Table1[value],Table1[IndicatorCode],Table1[[#This Row],[IndicatorCode]])</f>
        <v>7.6894248608534319</v>
      </c>
      <c r="I2523" cm="1">
        <f t="array" ref="I2523">_xlfn.STDEV.P(IF(Table1[IndicatorCode]=Table1[[#This Row],[IndicatorCode]],Table1[value]))</f>
        <v>5.2319501044600996</v>
      </c>
      <c r="J2523">
        <f>(Table1[[#This Row],[value]] - Table1[[#This Row],[mean]]) / Table1[[#This Row],[std_dev]]</f>
        <v>0.44162790030754762</v>
      </c>
      <c r="K2523">
        <f>AVERAGEIF(Table1[CountryCode],Table1[[#This Row],[CountryCode]],Table1[z-score])</f>
        <v>0.40817616735273116</v>
      </c>
      <c r="L2523" t="e">
        <f>VLOOKUP(Table1[[#This Row],[CountryCode]],[1]!Table1[#Data],4,FALSE)</f>
        <v>#REF!</v>
      </c>
    </row>
    <row r="2524" spans="1:12" hidden="1" x14ac:dyDescent="0.3">
      <c r="A2524" t="s">
        <v>35</v>
      </c>
      <c r="B2524" t="s">
        <v>36</v>
      </c>
      <c r="C2524" t="s">
        <v>125</v>
      </c>
      <c r="D2524" t="s">
        <v>126</v>
      </c>
      <c r="E2524">
        <v>2015</v>
      </c>
      <c r="F2524" s="1">
        <v>10</v>
      </c>
      <c r="G2524">
        <v>2010</v>
      </c>
      <c r="H2524">
        <f>AVERAGEIFS(Table1[value],Table1[IndicatorCode],Table1[[#This Row],[IndicatorCode]])</f>
        <v>7.6894248608534319</v>
      </c>
      <c r="I2524" cm="1">
        <f t="array" ref="I2524">_xlfn.STDEV.P(IF(Table1[IndicatorCode]=Table1[[#This Row],[IndicatorCode]],Table1[value]))</f>
        <v>5.2319501044600996</v>
      </c>
      <c r="J2524">
        <f>(Table1[[#This Row],[value]] - Table1[[#This Row],[mean]]) / Table1[[#This Row],[std_dev]]</f>
        <v>0.44162790030754762</v>
      </c>
      <c r="K2524">
        <f>AVERAGEIF(Table1[CountryCode],Table1[[#This Row],[CountryCode]],Table1[z-score])</f>
        <v>0.40817616735273116</v>
      </c>
      <c r="L2524" t="e">
        <f>VLOOKUP(Table1[[#This Row],[CountryCode]],[1]!Table1[#Data],4,FALSE)</f>
        <v>#REF!</v>
      </c>
    </row>
    <row r="2525" spans="1:12" hidden="1" x14ac:dyDescent="0.3">
      <c r="A2525" t="s">
        <v>35</v>
      </c>
      <c r="B2525" t="s">
        <v>36</v>
      </c>
      <c r="C2525" t="s">
        <v>125</v>
      </c>
      <c r="D2525" t="s">
        <v>126</v>
      </c>
      <c r="E2525">
        <v>2016</v>
      </c>
      <c r="F2525" s="1">
        <v>10</v>
      </c>
      <c r="G2525">
        <v>2010</v>
      </c>
      <c r="H2525">
        <f>AVERAGEIFS(Table1[value],Table1[IndicatorCode],Table1[[#This Row],[IndicatorCode]])</f>
        <v>7.6894248608534319</v>
      </c>
      <c r="I2525" cm="1">
        <f t="array" ref="I2525">_xlfn.STDEV.P(IF(Table1[IndicatorCode]=Table1[[#This Row],[IndicatorCode]],Table1[value]))</f>
        <v>5.2319501044600996</v>
      </c>
      <c r="J2525">
        <f>(Table1[[#This Row],[value]] - Table1[[#This Row],[mean]]) / Table1[[#This Row],[std_dev]]</f>
        <v>0.44162790030754762</v>
      </c>
      <c r="K2525">
        <f>AVERAGEIF(Table1[CountryCode],Table1[[#This Row],[CountryCode]],Table1[z-score])</f>
        <v>0.40817616735273116</v>
      </c>
      <c r="L2525" t="e">
        <f>VLOOKUP(Table1[[#This Row],[CountryCode]],[1]!Table1[#Data],4,FALSE)</f>
        <v>#REF!</v>
      </c>
    </row>
    <row r="2526" spans="1:12" hidden="1" x14ac:dyDescent="0.3">
      <c r="A2526" t="s">
        <v>35</v>
      </c>
      <c r="B2526" t="s">
        <v>36</v>
      </c>
      <c r="C2526" t="s">
        <v>125</v>
      </c>
      <c r="D2526" t="s">
        <v>126</v>
      </c>
      <c r="E2526">
        <v>2017</v>
      </c>
      <c r="F2526" s="1">
        <v>9</v>
      </c>
      <c r="G2526">
        <v>2020</v>
      </c>
      <c r="H2526">
        <f>AVERAGEIFS(Table1[value],Table1[IndicatorCode],Table1[[#This Row],[IndicatorCode]])</f>
        <v>7.6894248608534319</v>
      </c>
      <c r="I2526" cm="1">
        <f t="array" ref="I2526">_xlfn.STDEV.P(IF(Table1[IndicatorCode]=Table1[[#This Row],[IndicatorCode]],Table1[value]))</f>
        <v>5.2319501044600996</v>
      </c>
      <c r="J2526">
        <f>(Table1[[#This Row],[value]] - Table1[[#This Row],[mean]]) / Table1[[#This Row],[std_dev]]</f>
        <v>0.25049457907278921</v>
      </c>
      <c r="K2526">
        <f>AVERAGEIF(Table1[CountryCode],Table1[[#This Row],[CountryCode]],Table1[z-score])</f>
        <v>0.40817616735273116</v>
      </c>
      <c r="L2526" t="e">
        <f>VLOOKUP(Table1[[#This Row],[CountryCode]],[1]!Table1[#Data],4,FALSE)</f>
        <v>#REF!</v>
      </c>
    </row>
    <row r="2527" spans="1:12" hidden="1" x14ac:dyDescent="0.3">
      <c r="A2527" t="s">
        <v>35</v>
      </c>
      <c r="B2527" t="s">
        <v>36</v>
      </c>
      <c r="C2527" t="s">
        <v>125</v>
      </c>
      <c r="D2527" t="s">
        <v>126</v>
      </c>
      <c r="E2527">
        <v>2018</v>
      </c>
      <c r="F2527" s="1">
        <v>9</v>
      </c>
      <c r="G2527">
        <v>2020</v>
      </c>
      <c r="H2527">
        <f>AVERAGEIFS(Table1[value],Table1[IndicatorCode],Table1[[#This Row],[IndicatorCode]])</f>
        <v>7.6894248608534319</v>
      </c>
      <c r="I2527" cm="1">
        <f t="array" ref="I2527">_xlfn.STDEV.P(IF(Table1[IndicatorCode]=Table1[[#This Row],[IndicatorCode]],Table1[value]))</f>
        <v>5.2319501044600996</v>
      </c>
      <c r="J2527">
        <f>(Table1[[#This Row],[value]] - Table1[[#This Row],[mean]]) / Table1[[#This Row],[std_dev]]</f>
        <v>0.25049457907278921</v>
      </c>
      <c r="K2527">
        <f>AVERAGEIF(Table1[CountryCode],Table1[[#This Row],[CountryCode]],Table1[z-score])</f>
        <v>0.40817616735273116</v>
      </c>
      <c r="L2527" t="e">
        <f>VLOOKUP(Table1[[#This Row],[CountryCode]],[1]!Table1[#Data],4,FALSE)</f>
        <v>#REF!</v>
      </c>
    </row>
    <row r="2528" spans="1:12" hidden="1" x14ac:dyDescent="0.3">
      <c r="A2528" t="s">
        <v>35</v>
      </c>
      <c r="B2528" t="s">
        <v>36</v>
      </c>
      <c r="C2528" t="s">
        <v>125</v>
      </c>
      <c r="D2528" t="s">
        <v>126</v>
      </c>
      <c r="E2528">
        <v>2019</v>
      </c>
      <c r="F2528" s="1">
        <v>8</v>
      </c>
      <c r="G2528">
        <v>2020</v>
      </c>
      <c r="H2528">
        <f>AVERAGEIFS(Table1[value],Table1[IndicatorCode],Table1[[#This Row],[IndicatorCode]])</f>
        <v>7.6894248608534319</v>
      </c>
      <c r="I2528" cm="1">
        <f t="array" ref="I2528">_xlfn.STDEV.P(IF(Table1[IndicatorCode]=Table1[[#This Row],[IndicatorCode]],Table1[value]))</f>
        <v>5.2319501044600996</v>
      </c>
      <c r="J2528">
        <f>(Table1[[#This Row],[value]] - Table1[[#This Row],[mean]]) / Table1[[#This Row],[std_dev]]</f>
        <v>5.9361257838030791E-2</v>
      </c>
      <c r="K2528">
        <f>AVERAGEIF(Table1[CountryCode],Table1[[#This Row],[CountryCode]],Table1[z-score])</f>
        <v>0.40817616735273116</v>
      </c>
      <c r="L2528" t="e">
        <f>VLOOKUP(Table1[[#This Row],[CountryCode]],[1]!Table1[#Data],4,FALSE)</f>
        <v>#REF!</v>
      </c>
    </row>
    <row r="2529" spans="1:12" x14ac:dyDescent="0.3">
      <c r="A2529" t="s">
        <v>35</v>
      </c>
      <c r="B2529" t="s">
        <v>36</v>
      </c>
      <c r="C2529" t="s">
        <v>125</v>
      </c>
      <c r="D2529" t="s">
        <v>126</v>
      </c>
      <c r="E2529">
        <v>2020</v>
      </c>
      <c r="F2529" s="1">
        <v>8</v>
      </c>
      <c r="G2529">
        <v>2020</v>
      </c>
      <c r="H2529">
        <f>AVERAGEIFS(Table1[value],Table1[IndicatorCode],Table1[[#This Row],[IndicatorCode]])</f>
        <v>7.6894248608534319</v>
      </c>
      <c r="I2529" cm="1">
        <f t="array" ref="I2529">_xlfn.STDEV.P(IF(Table1[IndicatorCode]=Table1[[#This Row],[IndicatorCode]],Table1[value]))</f>
        <v>5.2319501044600996</v>
      </c>
      <c r="J2529">
        <f>(Table1[[#This Row],[value]] - Table1[[#This Row],[mean]]) / Table1[[#This Row],[std_dev]]</f>
        <v>5.9361257838030791E-2</v>
      </c>
      <c r="K2529">
        <f>AVERAGEIF(Table1[CountryCode],Table1[[#This Row],[CountryCode]],Table1[z-score])</f>
        <v>0.40817616735273116</v>
      </c>
    </row>
    <row r="2530" spans="1:12" hidden="1" x14ac:dyDescent="0.3">
      <c r="A2530" t="s">
        <v>35</v>
      </c>
      <c r="B2530" t="s">
        <v>36</v>
      </c>
      <c r="C2530" t="s">
        <v>125</v>
      </c>
      <c r="D2530" t="s">
        <v>126</v>
      </c>
      <c r="E2530">
        <v>2021</v>
      </c>
      <c r="F2530" s="1">
        <v>8</v>
      </c>
      <c r="G2530">
        <v>2020</v>
      </c>
      <c r="H2530">
        <f>AVERAGEIFS(Table1[value],Table1[IndicatorCode],Table1[[#This Row],[IndicatorCode]])</f>
        <v>7.6894248608534319</v>
      </c>
      <c r="I2530" cm="1">
        <f t="array" ref="I2530">_xlfn.STDEV.P(IF(Table1[IndicatorCode]=Table1[[#This Row],[IndicatorCode]],Table1[value]))</f>
        <v>5.2319501044600996</v>
      </c>
      <c r="J2530">
        <f>(Table1[[#This Row],[value]] - Table1[[#This Row],[mean]]) / Table1[[#This Row],[std_dev]]</f>
        <v>5.9361257838030791E-2</v>
      </c>
      <c r="K2530">
        <f>AVERAGEIF(Table1[CountryCode],Table1[[#This Row],[CountryCode]],Table1[z-score])</f>
        <v>0.40817616735273116</v>
      </c>
      <c r="L2530" t="e">
        <f>VLOOKUP(Table1[[#This Row],[CountryCode]],[1]!Table1[#Data],4,FALSE)</f>
        <v>#REF!</v>
      </c>
    </row>
    <row r="2531" spans="1:12" hidden="1" x14ac:dyDescent="0.3">
      <c r="A2531" t="s">
        <v>35</v>
      </c>
      <c r="B2531" t="s">
        <v>36</v>
      </c>
      <c r="C2531" t="s">
        <v>125</v>
      </c>
      <c r="D2531" t="s">
        <v>126</v>
      </c>
      <c r="E2531">
        <v>2022</v>
      </c>
      <c r="F2531" s="1">
        <v>8</v>
      </c>
      <c r="G2531">
        <v>1970</v>
      </c>
      <c r="H2531">
        <f>AVERAGEIFS(Table1[value],Table1[IndicatorCode],Table1[[#This Row],[IndicatorCode]])</f>
        <v>7.6894248608534319</v>
      </c>
      <c r="I2531" cm="1">
        <f t="array" ref="I2531">_xlfn.STDEV.P(IF(Table1[IndicatorCode]=Table1[[#This Row],[IndicatorCode]],Table1[value]))</f>
        <v>5.2319501044600996</v>
      </c>
      <c r="J2531">
        <f>(Table1[[#This Row],[value]] - Table1[[#This Row],[mean]]) / Table1[[#This Row],[std_dev]]</f>
        <v>5.9361257838030791E-2</v>
      </c>
      <c r="K2531">
        <f>AVERAGEIF(Table1[CountryCode],Table1[[#This Row],[CountryCode]],Table1[z-score])</f>
        <v>0.40817616735273116</v>
      </c>
      <c r="L2531" t="e">
        <f>VLOOKUP(Table1[[#This Row],[CountryCode]],[1]!Table1[#Data],4,FALSE)</f>
        <v>#REF!</v>
      </c>
    </row>
    <row r="2532" spans="1:12" hidden="1" x14ac:dyDescent="0.3">
      <c r="A2532" t="s">
        <v>35</v>
      </c>
      <c r="B2532" t="s">
        <v>36</v>
      </c>
      <c r="C2532" t="s">
        <v>125</v>
      </c>
      <c r="D2532" t="s">
        <v>126</v>
      </c>
      <c r="E2532">
        <v>2023</v>
      </c>
      <c r="F2532" s="1">
        <v>7</v>
      </c>
      <c r="G2532">
        <v>1970</v>
      </c>
      <c r="H2532">
        <f>AVERAGEIFS(Table1[value],Table1[IndicatorCode],Table1[[#This Row],[IndicatorCode]])</f>
        <v>7.6894248608534319</v>
      </c>
      <c r="I2532" cm="1">
        <f t="array" ref="I2532">_xlfn.STDEV.P(IF(Table1[IndicatorCode]=Table1[[#This Row],[IndicatorCode]],Table1[value]))</f>
        <v>5.2319501044600996</v>
      </c>
      <c r="J2532">
        <f>(Table1[[#This Row],[value]] - Table1[[#This Row],[mean]]) / Table1[[#This Row],[std_dev]]</f>
        <v>-0.13177206339672762</v>
      </c>
      <c r="K2532">
        <f>AVERAGEIF(Table1[CountryCode],Table1[[#This Row],[CountryCode]],Table1[z-score])</f>
        <v>0.40817616735273116</v>
      </c>
      <c r="L2532" t="e">
        <f>VLOOKUP(Table1[[#This Row],[CountryCode]],[1]!Table1[#Data],4,FALSE)</f>
        <v>#REF!</v>
      </c>
    </row>
    <row r="2533" spans="1:12" hidden="1" x14ac:dyDescent="0.3">
      <c r="A2533" t="s">
        <v>35</v>
      </c>
      <c r="B2533" t="s">
        <v>36</v>
      </c>
      <c r="C2533" t="s">
        <v>125</v>
      </c>
      <c r="D2533" t="s">
        <v>126</v>
      </c>
      <c r="E2533">
        <v>2024</v>
      </c>
      <c r="F2533" s="1">
        <v>7</v>
      </c>
      <c r="G2533">
        <v>1970</v>
      </c>
      <c r="H2533">
        <f>AVERAGEIFS(Table1[value],Table1[IndicatorCode],Table1[[#This Row],[IndicatorCode]])</f>
        <v>7.6894248608534319</v>
      </c>
      <c r="I2533" cm="1">
        <f t="array" ref="I2533">_xlfn.STDEV.P(IF(Table1[IndicatorCode]=Table1[[#This Row],[IndicatorCode]],Table1[value]))</f>
        <v>5.2319501044600996</v>
      </c>
      <c r="J2533">
        <f>(Table1[[#This Row],[value]] - Table1[[#This Row],[mean]]) / Table1[[#This Row],[std_dev]]</f>
        <v>-0.13177206339672762</v>
      </c>
      <c r="K2533">
        <f>AVERAGEIF(Table1[CountryCode],Table1[[#This Row],[CountryCode]],Table1[z-score])</f>
        <v>0.40817616735273116</v>
      </c>
      <c r="L2533" t="e">
        <f>VLOOKUP(Table1[[#This Row],[CountryCode]],[1]!Table1[#Data],4,FALSE)</f>
        <v>#REF!</v>
      </c>
    </row>
    <row r="2534" spans="1:12" hidden="1" x14ac:dyDescent="0.3">
      <c r="A2534" t="s">
        <v>37</v>
      </c>
      <c r="B2534" t="s">
        <v>38</v>
      </c>
      <c r="C2534" t="s">
        <v>125</v>
      </c>
      <c r="D2534" t="s">
        <v>126</v>
      </c>
      <c r="E2534">
        <v>1970</v>
      </c>
      <c r="F2534" s="1">
        <v>13</v>
      </c>
      <c r="G2534">
        <v>1970</v>
      </c>
      <c r="H2534">
        <f>AVERAGEIFS(Table1[value],Table1[IndicatorCode],Table1[[#This Row],[IndicatorCode]])</f>
        <v>7.6894248608534319</v>
      </c>
      <c r="I2534" cm="1">
        <f t="array" ref="I2534">_xlfn.STDEV.P(IF(Table1[IndicatorCode]=Table1[[#This Row],[IndicatorCode]],Table1[value]))</f>
        <v>5.2319501044600996</v>
      </c>
      <c r="J2534">
        <f>(Table1[[#This Row],[value]] - Table1[[#This Row],[mean]]) / Table1[[#This Row],[std_dev]]</f>
        <v>1.0150278640118229</v>
      </c>
      <c r="K2534">
        <f>AVERAGEIF(Table1[CountryCode],Table1[[#This Row],[CountryCode]],Table1[z-score])</f>
        <v>0.4680674202807556</v>
      </c>
      <c r="L2534" t="e">
        <f>VLOOKUP(Table1[[#This Row],[CountryCode]],[1]!Table1[#Data],4,FALSE)</f>
        <v>#REF!</v>
      </c>
    </row>
    <row r="2535" spans="1:12" hidden="1" x14ac:dyDescent="0.3">
      <c r="A2535" t="s">
        <v>37</v>
      </c>
      <c r="B2535" t="s">
        <v>38</v>
      </c>
      <c r="C2535" t="s">
        <v>125</v>
      </c>
      <c r="D2535" t="s">
        <v>126</v>
      </c>
      <c r="E2535">
        <v>1971</v>
      </c>
      <c r="F2535" s="1">
        <v>12</v>
      </c>
      <c r="G2535">
        <v>1970</v>
      </c>
      <c r="H2535">
        <f>AVERAGEIFS(Table1[value],Table1[IndicatorCode],Table1[[#This Row],[IndicatorCode]])</f>
        <v>7.6894248608534319</v>
      </c>
      <c r="I2535" cm="1">
        <f t="array" ref="I2535">_xlfn.STDEV.P(IF(Table1[IndicatorCode]=Table1[[#This Row],[IndicatorCode]],Table1[value]))</f>
        <v>5.2319501044600996</v>
      </c>
      <c r="J2535">
        <f>(Table1[[#This Row],[value]] - Table1[[#This Row],[mean]]) / Table1[[#This Row],[std_dev]]</f>
        <v>0.82389454277706442</v>
      </c>
      <c r="K2535">
        <f>AVERAGEIF(Table1[CountryCode],Table1[[#This Row],[CountryCode]],Table1[z-score])</f>
        <v>0.4680674202807556</v>
      </c>
      <c r="L2535" t="e">
        <f>VLOOKUP(Table1[[#This Row],[CountryCode]],[1]!Table1[#Data],4,FALSE)</f>
        <v>#REF!</v>
      </c>
    </row>
    <row r="2536" spans="1:12" hidden="1" x14ac:dyDescent="0.3">
      <c r="A2536" t="s">
        <v>37</v>
      </c>
      <c r="B2536" t="s">
        <v>38</v>
      </c>
      <c r="C2536" t="s">
        <v>125</v>
      </c>
      <c r="D2536" t="s">
        <v>126</v>
      </c>
      <c r="E2536">
        <v>1972</v>
      </c>
      <c r="F2536" s="1">
        <v>12</v>
      </c>
      <c r="G2536">
        <v>1970</v>
      </c>
      <c r="H2536">
        <f>AVERAGEIFS(Table1[value],Table1[IndicatorCode],Table1[[#This Row],[IndicatorCode]])</f>
        <v>7.6894248608534319</v>
      </c>
      <c r="I2536" cm="1">
        <f t="array" ref="I2536">_xlfn.STDEV.P(IF(Table1[IndicatorCode]=Table1[[#This Row],[IndicatorCode]],Table1[value]))</f>
        <v>5.2319501044600996</v>
      </c>
      <c r="J2536">
        <f>(Table1[[#This Row],[value]] - Table1[[#This Row],[mean]]) / Table1[[#This Row],[std_dev]]</f>
        <v>0.82389454277706442</v>
      </c>
      <c r="K2536">
        <f>AVERAGEIF(Table1[CountryCode],Table1[[#This Row],[CountryCode]],Table1[z-score])</f>
        <v>0.4680674202807556</v>
      </c>
      <c r="L2536" t="e">
        <f>VLOOKUP(Table1[[#This Row],[CountryCode]],[1]!Table1[#Data],4,FALSE)</f>
        <v>#REF!</v>
      </c>
    </row>
    <row r="2537" spans="1:12" hidden="1" x14ac:dyDescent="0.3">
      <c r="A2537" t="s">
        <v>37</v>
      </c>
      <c r="B2537" t="s">
        <v>38</v>
      </c>
      <c r="C2537" t="s">
        <v>125</v>
      </c>
      <c r="D2537" t="s">
        <v>126</v>
      </c>
      <c r="E2537">
        <v>1973</v>
      </c>
      <c r="F2537" s="1">
        <v>12</v>
      </c>
      <c r="G2537">
        <v>1970</v>
      </c>
      <c r="H2537">
        <f>AVERAGEIFS(Table1[value],Table1[IndicatorCode],Table1[[#This Row],[IndicatorCode]])</f>
        <v>7.6894248608534319</v>
      </c>
      <c r="I2537" cm="1">
        <f t="array" ref="I2537">_xlfn.STDEV.P(IF(Table1[IndicatorCode]=Table1[[#This Row],[IndicatorCode]],Table1[value]))</f>
        <v>5.2319501044600996</v>
      </c>
      <c r="J2537">
        <f>(Table1[[#This Row],[value]] - Table1[[#This Row],[mean]]) / Table1[[#This Row],[std_dev]]</f>
        <v>0.82389454277706442</v>
      </c>
      <c r="K2537">
        <f>AVERAGEIF(Table1[CountryCode],Table1[[#This Row],[CountryCode]],Table1[z-score])</f>
        <v>0.4680674202807556</v>
      </c>
      <c r="L2537" t="e">
        <f>VLOOKUP(Table1[[#This Row],[CountryCode]],[1]!Table1[#Data],4,FALSE)</f>
        <v>#REF!</v>
      </c>
    </row>
    <row r="2538" spans="1:12" hidden="1" x14ac:dyDescent="0.3">
      <c r="A2538" t="s">
        <v>37</v>
      </c>
      <c r="B2538" t="s">
        <v>38</v>
      </c>
      <c r="C2538" t="s">
        <v>125</v>
      </c>
      <c r="D2538" t="s">
        <v>126</v>
      </c>
      <c r="E2538">
        <v>1974</v>
      </c>
      <c r="F2538" s="1">
        <v>10</v>
      </c>
      <c r="G2538">
        <v>1970</v>
      </c>
      <c r="H2538">
        <f>AVERAGEIFS(Table1[value],Table1[IndicatorCode],Table1[[#This Row],[IndicatorCode]])</f>
        <v>7.6894248608534319</v>
      </c>
      <c r="I2538" cm="1">
        <f t="array" ref="I2538">_xlfn.STDEV.P(IF(Table1[IndicatorCode]=Table1[[#This Row],[IndicatorCode]],Table1[value]))</f>
        <v>5.2319501044600996</v>
      </c>
      <c r="J2538">
        <f>(Table1[[#This Row],[value]] - Table1[[#This Row],[mean]]) / Table1[[#This Row],[std_dev]]</f>
        <v>0.44162790030754762</v>
      </c>
      <c r="K2538">
        <f>AVERAGEIF(Table1[CountryCode],Table1[[#This Row],[CountryCode]],Table1[z-score])</f>
        <v>0.4680674202807556</v>
      </c>
      <c r="L2538" t="e">
        <f>VLOOKUP(Table1[[#This Row],[CountryCode]],[1]!Table1[#Data],4,FALSE)</f>
        <v>#REF!</v>
      </c>
    </row>
    <row r="2539" spans="1:12" hidden="1" x14ac:dyDescent="0.3">
      <c r="A2539" t="s">
        <v>37</v>
      </c>
      <c r="B2539" t="s">
        <v>38</v>
      </c>
      <c r="C2539" t="s">
        <v>125</v>
      </c>
      <c r="D2539" t="s">
        <v>126</v>
      </c>
      <c r="E2539">
        <v>1975</v>
      </c>
      <c r="F2539" s="1">
        <v>11</v>
      </c>
      <c r="G2539">
        <v>1970</v>
      </c>
      <c r="H2539">
        <f>AVERAGEIFS(Table1[value],Table1[IndicatorCode],Table1[[#This Row],[IndicatorCode]])</f>
        <v>7.6894248608534319</v>
      </c>
      <c r="I2539" cm="1">
        <f t="array" ref="I2539">_xlfn.STDEV.P(IF(Table1[IndicatorCode]=Table1[[#This Row],[IndicatorCode]],Table1[value]))</f>
        <v>5.2319501044600996</v>
      </c>
      <c r="J2539">
        <f>(Table1[[#This Row],[value]] - Table1[[#This Row],[mean]]) / Table1[[#This Row],[std_dev]]</f>
        <v>0.63276122154230596</v>
      </c>
      <c r="K2539">
        <f>AVERAGEIF(Table1[CountryCode],Table1[[#This Row],[CountryCode]],Table1[z-score])</f>
        <v>0.4680674202807556</v>
      </c>
      <c r="L2539" t="e">
        <f>VLOOKUP(Table1[[#This Row],[CountryCode]],[1]!Table1[#Data],4,FALSE)</f>
        <v>#REF!</v>
      </c>
    </row>
    <row r="2540" spans="1:12" hidden="1" x14ac:dyDescent="0.3">
      <c r="A2540" t="s">
        <v>37</v>
      </c>
      <c r="B2540" t="s">
        <v>38</v>
      </c>
      <c r="C2540" t="s">
        <v>125</v>
      </c>
      <c r="D2540" t="s">
        <v>126</v>
      </c>
      <c r="E2540">
        <v>1976</v>
      </c>
      <c r="F2540" s="1">
        <v>12</v>
      </c>
      <c r="G2540">
        <v>1970</v>
      </c>
      <c r="H2540">
        <f>AVERAGEIFS(Table1[value],Table1[IndicatorCode],Table1[[#This Row],[IndicatorCode]])</f>
        <v>7.6894248608534319</v>
      </c>
      <c r="I2540" cm="1">
        <f t="array" ref="I2540">_xlfn.STDEV.P(IF(Table1[IndicatorCode]=Table1[[#This Row],[IndicatorCode]],Table1[value]))</f>
        <v>5.2319501044600996</v>
      </c>
      <c r="J2540">
        <f>(Table1[[#This Row],[value]] - Table1[[#This Row],[mean]]) / Table1[[#This Row],[std_dev]]</f>
        <v>0.82389454277706442</v>
      </c>
      <c r="K2540">
        <f>AVERAGEIF(Table1[CountryCode],Table1[[#This Row],[CountryCode]],Table1[z-score])</f>
        <v>0.4680674202807556</v>
      </c>
      <c r="L2540" t="e">
        <f>VLOOKUP(Table1[[#This Row],[CountryCode]],[1]!Table1[#Data],4,FALSE)</f>
        <v>#REF!</v>
      </c>
    </row>
    <row r="2541" spans="1:12" hidden="1" x14ac:dyDescent="0.3">
      <c r="A2541" t="s">
        <v>37</v>
      </c>
      <c r="B2541" t="s">
        <v>38</v>
      </c>
      <c r="C2541" t="s">
        <v>125</v>
      </c>
      <c r="D2541" t="s">
        <v>126</v>
      </c>
      <c r="E2541">
        <v>1977</v>
      </c>
      <c r="F2541" s="1">
        <v>12</v>
      </c>
      <c r="G2541">
        <v>1980</v>
      </c>
      <c r="H2541">
        <f>AVERAGEIFS(Table1[value],Table1[IndicatorCode],Table1[[#This Row],[IndicatorCode]])</f>
        <v>7.6894248608534319</v>
      </c>
      <c r="I2541" cm="1">
        <f t="array" ref="I2541">_xlfn.STDEV.P(IF(Table1[IndicatorCode]=Table1[[#This Row],[IndicatorCode]],Table1[value]))</f>
        <v>5.2319501044600996</v>
      </c>
      <c r="J2541">
        <f>(Table1[[#This Row],[value]] - Table1[[#This Row],[mean]]) / Table1[[#This Row],[std_dev]]</f>
        <v>0.82389454277706442</v>
      </c>
      <c r="K2541">
        <f>AVERAGEIF(Table1[CountryCode],Table1[[#This Row],[CountryCode]],Table1[z-score])</f>
        <v>0.4680674202807556</v>
      </c>
      <c r="L2541" t="e">
        <f>VLOOKUP(Table1[[#This Row],[CountryCode]],[1]!Table1[#Data],4,FALSE)</f>
        <v>#REF!</v>
      </c>
    </row>
    <row r="2542" spans="1:12" hidden="1" x14ac:dyDescent="0.3">
      <c r="A2542" t="s">
        <v>37</v>
      </c>
      <c r="B2542" t="s">
        <v>38</v>
      </c>
      <c r="C2542" t="s">
        <v>125</v>
      </c>
      <c r="D2542" t="s">
        <v>126</v>
      </c>
      <c r="E2542">
        <v>1978</v>
      </c>
      <c r="F2542" s="1">
        <v>12</v>
      </c>
      <c r="G2542">
        <v>1980</v>
      </c>
      <c r="H2542">
        <f>AVERAGEIFS(Table1[value],Table1[IndicatorCode],Table1[[#This Row],[IndicatorCode]])</f>
        <v>7.6894248608534319</v>
      </c>
      <c r="I2542" cm="1">
        <f t="array" ref="I2542">_xlfn.STDEV.P(IF(Table1[IndicatorCode]=Table1[[#This Row],[IndicatorCode]],Table1[value]))</f>
        <v>5.2319501044600996</v>
      </c>
      <c r="J2542">
        <f>(Table1[[#This Row],[value]] - Table1[[#This Row],[mean]]) / Table1[[#This Row],[std_dev]]</f>
        <v>0.82389454277706442</v>
      </c>
      <c r="K2542">
        <f>AVERAGEIF(Table1[CountryCode],Table1[[#This Row],[CountryCode]],Table1[z-score])</f>
        <v>0.4680674202807556</v>
      </c>
      <c r="L2542" t="e">
        <f>VLOOKUP(Table1[[#This Row],[CountryCode]],[1]!Table1[#Data],4,FALSE)</f>
        <v>#REF!</v>
      </c>
    </row>
    <row r="2543" spans="1:12" hidden="1" x14ac:dyDescent="0.3">
      <c r="A2543" t="s">
        <v>37</v>
      </c>
      <c r="B2543" t="s">
        <v>38</v>
      </c>
      <c r="C2543" t="s">
        <v>125</v>
      </c>
      <c r="D2543" t="s">
        <v>126</v>
      </c>
      <c r="E2543">
        <v>1979</v>
      </c>
      <c r="F2543" s="1">
        <v>13</v>
      </c>
      <c r="G2543">
        <v>1980</v>
      </c>
      <c r="H2543">
        <f>AVERAGEIFS(Table1[value],Table1[IndicatorCode],Table1[[#This Row],[IndicatorCode]])</f>
        <v>7.6894248608534319</v>
      </c>
      <c r="I2543" cm="1">
        <f t="array" ref="I2543">_xlfn.STDEV.P(IF(Table1[IndicatorCode]=Table1[[#This Row],[IndicatorCode]],Table1[value]))</f>
        <v>5.2319501044600996</v>
      </c>
      <c r="J2543">
        <f>(Table1[[#This Row],[value]] - Table1[[#This Row],[mean]]) / Table1[[#This Row],[std_dev]]</f>
        <v>1.0150278640118229</v>
      </c>
      <c r="K2543">
        <f>AVERAGEIF(Table1[CountryCode],Table1[[#This Row],[CountryCode]],Table1[z-score])</f>
        <v>0.4680674202807556</v>
      </c>
      <c r="L2543" t="e">
        <f>VLOOKUP(Table1[[#This Row],[CountryCode]],[1]!Table1[#Data],4,FALSE)</f>
        <v>#REF!</v>
      </c>
    </row>
    <row r="2544" spans="1:12" hidden="1" x14ac:dyDescent="0.3">
      <c r="A2544" t="s">
        <v>37</v>
      </c>
      <c r="B2544" t="s">
        <v>38</v>
      </c>
      <c r="C2544" t="s">
        <v>125</v>
      </c>
      <c r="D2544" t="s">
        <v>126</v>
      </c>
      <c r="E2544">
        <v>1980</v>
      </c>
      <c r="F2544" s="1">
        <v>13</v>
      </c>
      <c r="G2544">
        <v>1980</v>
      </c>
      <c r="H2544">
        <f>AVERAGEIFS(Table1[value],Table1[IndicatorCode],Table1[[#This Row],[IndicatorCode]])</f>
        <v>7.6894248608534319</v>
      </c>
      <c r="I2544" cm="1">
        <f t="array" ref="I2544">_xlfn.STDEV.P(IF(Table1[IndicatorCode]=Table1[[#This Row],[IndicatorCode]],Table1[value]))</f>
        <v>5.2319501044600996</v>
      </c>
      <c r="J2544">
        <f>(Table1[[#This Row],[value]] - Table1[[#This Row],[mean]]) / Table1[[#This Row],[std_dev]]</f>
        <v>1.0150278640118229</v>
      </c>
      <c r="K2544">
        <f>AVERAGEIF(Table1[CountryCode],Table1[[#This Row],[CountryCode]],Table1[z-score])</f>
        <v>0.4680674202807556</v>
      </c>
      <c r="L2544" t="e">
        <f>VLOOKUP(Table1[[#This Row],[CountryCode]],[1]!Table1[#Data],4,FALSE)</f>
        <v>#REF!</v>
      </c>
    </row>
    <row r="2545" spans="1:12" hidden="1" x14ac:dyDescent="0.3">
      <c r="A2545" t="s">
        <v>37</v>
      </c>
      <c r="B2545" t="s">
        <v>38</v>
      </c>
      <c r="C2545" t="s">
        <v>125</v>
      </c>
      <c r="D2545" t="s">
        <v>126</v>
      </c>
      <c r="E2545">
        <v>1981</v>
      </c>
      <c r="F2545" s="1">
        <v>11</v>
      </c>
      <c r="G2545">
        <v>1980</v>
      </c>
      <c r="H2545">
        <f>AVERAGEIFS(Table1[value],Table1[IndicatorCode],Table1[[#This Row],[IndicatorCode]])</f>
        <v>7.6894248608534319</v>
      </c>
      <c r="I2545" cm="1">
        <f t="array" ref="I2545">_xlfn.STDEV.P(IF(Table1[IndicatorCode]=Table1[[#This Row],[IndicatorCode]],Table1[value]))</f>
        <v>5.2319501044600996</v>
      </c>
      <c r="J2545">
        <f>(Table1[[#This Row],[value]] - Table1[[#This Row],[mean]]) / Table1[[#This Row],[std_dev]]</f>
        <v>0.63276122154230596</v>
      </c>
      <c r="K2545">
        <f>AVERAGEIF(Table1[CountryCode],Table1[[#This Row],[CountryCode]],Table1[z-score])</f>
        <v>0.4680674202807556</v>
      </c>
      <c r="L2545" t="e">
        <f>VLOOKUP(Table1[[#This Row],[CountryCode]],[1]!Table1[#Data],4,FALSE)</f>
        <v>#REF!</v>
      </c>
    </row>
    <row r="2546" spans="1:12" hidden="1" x14ac:dyDescent="0.3">
      <c r="A2546" t="s">
        <v>37</v>
      </c>
      <c r="B2546" t="s">
        <v>38</v>
      </c>
      <c r="C2546" t="s">
        <v>125</v>
      </c>
      <c r="D2546" t="s">
        <v>126</v>
      </c>
      <c r="E2546">
        <v>1982</v>
      </c>
      <c r="F2546" s="1">
        <v>11</v>
      </c>
      <c r="G2546">
        <v>1980</v>
      </c>
      <c r="H2546">
        <f>AVERAGEIFS(Table1[value],Table1[IndicatorCode],Table1[[#This Row],[IndicatorCode]])</f>
        <v>7.6894248608534319</v>
      </c>
      <c r="I2546" cm="1">
        <f t="array" ref="I2546">_xlfn.STDEV.P(IF(Table1[IndicatorCode]=Table1[[#This Row],[IndicatorCode]],Table1[value]))</f>
        <v>5.2319501044600996</v>
      </c>
      <c r="J2546">
        <f>(Table1[[#This Row],[value]] - Table1[[#This Row],[mean]]) / Table1[[#This Row],[std_dev]]</f>
        <v>0.63276122154230596</v>
      </c>
      <c r="K2546">
        <f>AVERAGEIF(Table1[CountryCode],Table1[[#This Row],[CountryCode]],Table1[z-score])</f>
        <v>0.4680674202807556</v>
      </c>
      <c r="L2546" t="e">
        <f>VLOOKUP(Table1[[#This Row],[CountryCode]],[1]!Table1[#Data],4,FALSE)</f>
        <v>#REF!</v>
      </c>
    </row>
    <row r="2547" spans="1:12" hidden="1" x14ac:dyDescent="0.3">
      <c r="A2547" t="s">
        <v>37</v>
      </c>
      <c r="B2547" t="s">
        <v>38</v>
      </c>
      <c r="C2547" t="s">
        <v>125</v>
      </c>
      <c r="D2547" t="s">
        <v>126</v>
      </c>
      <c r="E2547">
        <v>1983</v>
      </c>
      <c r="F2547" s="1">
        <v>10</v>
      </c>
      <c r="G2547">
        <v>1980</v>
      </c>
      <c r="H2547">
        <f>AVERAGEIFS(Table1[value],Table1[IndicatorCode],Table1[[#This Row],[IndicatorCode]])</f>
        <v>7.6894248608534319</v>
      </c>
      <c r="I2547" cm="1">
        <f t="array" ref="I2547">_xlfn.STDEV.P(IF(Table1[IndicatorCode]=Table1[[#This Row],[IndicatorCode]],Table1[value]))</f>
        <v>5.2319501044600996</v>
      </c>
      <c r="J2547">
        <f>(Table1[[#This Row],[value]] - Table1[[#This Row],[mean]]) / Table1[[#This Row],[std_dev]]</f>
        <v>0.44162790030754762</v>
      </c>
      <c r="K2547">
        <f>AVERAGEIF(Table1[CountryCode],Table1[[#This Row],[CountryCode]],Table1[z-score])</f>
        <v>0.4680674202807556</v>
      </c>
      <c r="L2547" t="e">
        <f>VLOOKUP(Table1[[#This Row],[CountryCode]],[1]!Table1[#Data],4,FALSE)</f>
        <v>#REF!</v>
      </c>
    </row>
    <row r="2548" spans="1:12" hidden="1" x14ac:dyDescent="0.3">
      <c r="A2548" t="s">
        <v>37</v>
      </c>
      <c r="B2548" t="s">
        <v>38</v>
      </c>
      <c r="C2548" t="s">
        <v>125</v>
      </c>
      <c r="D2548" t="s">
        <v>126</v>
      </c>
      <c r="E2548">
        <v>1984</v>
      </c>
      <c r="F2548" s="1">
        <v>11</v>
      </c>
      <c r="G2548">
        <v>1980</v>
      </c>
      <c r="H2548">
        <f>AVERAGEIFS(Table1[value],Table1[IndicatorCode],Table1[[#This Row],[IndicatorCode]])</f>
        <v>7.6894248608534319</v>
      </c>
      <c r="I2548" cm="1">
        <f t="array" ref="I2548">_xlfn.STDEV.P(IF(Table1[IndicatorCode]=Table1[[#This Row],[IndicatorCode]],Table1[value]))</f>
        <v>5.2319501044600996</v>
      </c>
      <c r="J2548">
        <f>(Table1[[#This Row],[value]] - Table1[[#This Row],[mean]]) / Table1[[#This Row],[std_dev]]</f>
        <v>0.63276122154230596</v>
      </c>
      <c r="K2548">
        <f>AVERAGEIF(Table1[CountryCode],Table1[[#This Row],[CountryCode]],Table1[z-score])</f>
        <v>0.4680674202807556</v>
      </c>
      <c r="L2548" t="e">
        <f>VLOOKUP(Table1[[#This Row],[CountryCode]],[1]!Table1[#Data],4,FALSE)</f>
        <v>#REF!</v>
      </c>
    </row>
    <row r="2549" spans="1:12" hidden="1" x14ac:dyDescent="0.3">
      <c r="A2549" t="s">
        <v>37</v>
      </c>
      <c r="B2549" t="s">
        <v>38</v>
      </c>
      <c r="C2549" t="s">
        <v>125</v>
      </c>
      <c r="D2549" t="s">
        <v>126</v>
      </c>
      <c r="E2549">
        <v>1985</v>
      </c>
      <c r="F2549" s="1">
        <v>12</v>
      </c>
      <c r="G2549">
        <v>1980</v>
      </c>
      <c r="H2549">
        <f>AVERAGEIFS(Table1[value],Table1[IndicatorCode],Table1[[#This Row],[IndicatorCode]])</f>
        <v>7.6894248608534319</v>
      </c>
      <c r="I2549" cm="1">
        <f t="array" ref="I2549">_xlfn.STDEV.P(IF(Table1[IndicatorCode]=Table1[[#This Row],[IndicatorCode]],Table1[value]))</f>
        <v>5.2319501044600996</v>
      </c>
      <c r="J2549">
        <f>(Table1[[#This Row],[value]] - Table1[[#This Row],[mean]]) / Table1[[#This Row],[std_dev]]</f>
        <v>0.82389454277706442</v>
      </c>
      <c r="K2549">
        <f>AVERAGEIF(Table1[CountryCode],Table1[[#This Row],[CountryCode]],Table1[z-score])</f>
        <v>0.4680674202807556</v>
      </c>
      <c r="L2549" t="e">
        <f>VLOOKUP(Table1[[#This Row],[CountryCode]],[1]!Table1[#Data],4,FALSE)</f>
        <v>#REF!</v>
      </c>
    </row>
    <row r="2550" spans="1:12" hidden="1" x14ac:dyDescent="0.3">
      <c r="A2550" t="s">
        <v>37</v>
      </c>
      <c r="B2550" t="s">
        <v>38</v>
      </c>
      <c r="C2550" t="s">
        <v>125</v>
      </c>
      <c r="D2550" t="s">
        <v>126</v>
      </c>
      <c r="E2550">
        <v>1986</v>
      </c>
      <c r="F2550" s="1">
        <v>12</v>
      </c>
      <c r="G2550">
        <v>1980</v>
      </c>
      <c r="H2550">
        <f>AVERAGEIFS(Table1[value],Table1[IndicatorCode],Table1[[#This Row],[IndicatorCode]])</f>
        <v>7.6894248608534319</v>
      </c>
      <c r="I2550" cm="1">
        <f t="array" ref="I2550">_xlfn.STDEV.P(IF(Table1[IndicatorCode]=Table1[[#This Row],[IndicatorCode]],Table1[value]))</f>
        <v>5.2319501044600996</v>
      </c>
      <c r="J2550">
        <f>(Table1[[#This Row],[value]] - Table1[[#This Row],[mean]]) / Table1[[#This Row],[std_dev]]</f>
        <v>0.82389454277706442</v>
      </c>
      <c r="K2550">
        <f>AVERAGEIF(Table1[CountryCode],Table1[[#This Row],[CountryCode]],Table1[z-score])</f>
        <v>0.4680674202807556</v>
      </c>
      <c r="L2550" t="e">
        <f>VLOOKUP(Table1[[#This Row],[CountryCode]],[1]!Table1[#Data],4,FALSE)</f>
        <v>#REF!</v>
      </c>
    </row>
    <row r="2551" spans="1:12" hidden="1" x14ac:dyDescent="0.3">
      <c r="A2551" t="s">
        <v>37</v>
      </c>
      <c r="B2551" t="s">
        <v>38</v>
      </c>
      <c r="C2551" t="s">
        <v>125</v>
      </c>
      <c r="D2551" t="s">
        <v>126</v>
      </c>
      <c r="E2551">
        <v>1987</v>
      </c>
      <c r="F2551" s="1">
        <v>12</v>
      </c>
      <c r="G2551">
        <v>1990</v>
      </c>
      <c r="H2551">
        <f>AVERAGEIFS(Table1[value],Table1[IndicatorCode],Table1[[#This Row],[IndicatorCode]])</f>
        <v>7.6894248608534319</v>
      </c>
      <c r="I2551" cm="1">
        <f t="array" ref="I2551">_xlfn.STDEV.P(IF(Table1[IndicatorCode]=Table1[[#This Row],[IndicatorCode]],Table1[value]))</f>
        <v>5.2319501044600996</v>
      </c>
      <c r="J2551">
        <f>(Table1[[#This Row],[value]] - Table1[[#This Row],[mean]]) / Table1[[#This Row],[std_dev]]</f>
        <v>0.82389454277706442</v>
      </c>
      <c r="K2551">
        <f>AVERAGEIF(Table1[CountryCode],Table1[[#This Row],[CountryCode]],Table1[z-score])</f>
        <v>0.4680674202807556</v>
      </c>
      <c r="L2551" t="e">
        <f>VLOOKUP(Table1[[#This Row],[CountryCode]],[1]!Table1[#Data],4,FALSE)</f>
        <v>#REF!</v>
      </c>
    </row>
    <row r="2552" spans="1:12" hidden="1" x14ac:dyDescent="0.3">
      <c r="A2552" t="s">
        <v>37</v>
      </c>
      <c r="B2552" t="s">
        <v>38</v>
      </c>
      <c r="C2552" t="s">
        <v>125</v>
      </c>
      <c r="D2552" t="s">
        <v>126</v>
      </c>
      <c r="E2552">
        <v>1988</v>
      </c>
      <c r="F2552" s="1">
        <v>11</v>
      </c>
      <c r="G2552">
        <v>1990</v>
      </c>
      <c r="H2552">
        <f>AVERAGEIFS(Table1[value],Table1[IndicatorCode],Table1[[#This Row],[IndicatorCode]])</f>
        <v>7.6894248608534319</v>
      </c>
      <c r="I2552" cm="1">
        <f t="array" ref="I2552">_xlfn.STDEV.P(IF(Table1[IndicatorCode]=Table1[[#This Row],[IndicatorCode]],Table1[value]))</f>
        <v>5.2319501044600996</v>
      </c>
      <c r="J2552">
        <f>(Table1[[#This Row],[value]] - Table1[[#This Row],[mean]]) / Table1[[#This Row],[std_dev]]</f>
        <v>0.63276122154230596</v>
      </c>
      <c r="K2552">
        <f>AVERAGEIF(Table1[CountryCode],Table1[[#This Row],[CountryCode]],Table1[z-score])</f>
        <v>0.4680674202807556</v>
      </c>
      <c r="L2552" t="e">
        <f>VLOOKUP(Table1[[#This Row],[CountryCode]],[1]!Table1[#Data],4,FALSE)</f>
        <v>#REF!</v>
      </c>
    </row>
    <row r="2553" spans="1:12" hidden="1" x14ac:dyDescent="0.3">
      <c r="A2553" t="s">
        <v>37</v>
      </c>
      <c r="B2553" t="s">
        <v>38</v>
      </c>
      <c r="C2553" t="s">
        <v>125</v>
      </c>
      <c r="D2553" t="s">
        <v>126</v>
      </c>
      <c r="E2553">
        <v>1989</v>
      </c>
      <c r="F2553" s="1">
        <v>10</v>
      </c>
      <c r="G2553">
        <v>1990</v>
      </c>
      <c r="H2553">
        <f>AVERAGEIFS(Table1[value],Table1[IndicatorCode],Table1[[#This Row],[IndicatorCode]])</f>
        <v>7.6894248608534319</v>
      </c>
      <c r="I2553" cm="1">
        <f t="array" ref="I2553">_xlfn.STDEV.P(IF(Table1[IndicatorCode]=Table1[[#This Row],[IndicatorCode]],Table1[value]))</f>
        <v>5.2319501044600996</v>
      </c>
      <c r="J2553">
        <f>(Table1[[#This Row],[value]] - Table1[[#This Row],[mean]]) / Table1[[#This Row],[std_dev]]</f>
        <v>0.44162790030754762</v>
      </c>
      <c r="K2553">
        <f>AVERAGEIF(Table1[CountryCode],Table1[[#This Row],[CountryCode]],Table1[z-score])</f>
        <v>0.4680674202807556</v>
      </c>
      <c r="L2553" t="e">
        <f>VLOOKUP(Table1[[#This Row],[CountryCode]],[1]!Table1[#Data],4,FALSE)</f>
        <v>#REF!</v>
      </c>
    </row>
    <row r="2554" spans="1:12" hidden="1" x14ac:dyDescent="0.3">
      <c r="A2554" t="s">
        <v>37</v>
      </c>
      <c r="B2554" t="s">
        <v>38</v>
      </c>
      <c r="C2554" t="s">
        <v>125</v>
      </c>
      <c r="D2554" t="s">
        <v>126</v>
      </c>
      <c r="E2554">
        <v>1990</v>
      </c>
      <c r="F2554" s="1">
        <v>10</v>
      </c>
      <c r="G2554">
        <v>1990</v>
      </c>
      <c r="H2554">
        <f>AVERAGEIFS(Table1[value],Table1[IndicatorCode],Table1[[#This Row],[IndicatorCode]])</f>
        <v>7.6894248608534319</v>
      </c>
      <c r="I2554" cm="1">
        <f t="array" ref="I2554">_xlfn.STDEV.P(IF(Table1[IndicatorCode]=Table1[[#This Row],[IndicatorCode]],Table1[value]))</f>
        <v>5.2319501044600996</v>
      </c>
      <c r="J2554">
        <f>(Table1[[#This Row],[value]] - Table1[[#This Row],[mean]]) / Table1[[#This Row],[std_dev]]</f>
        <v>0.44162790030754762</v>
      </c>
      <c r="K2554">
        <f>AVERAGEIF(Table1[CountryCode],Table1[[#This Row],[CountryCode]],Table1[z-score])</f>
        <v>0.4680674202807556</v>
      </c>
      <c r="L2554" t="e">
        <f>VLOOKUP(Table1[[#This Row],[CountryCode]],[1]!Table1[#Data],4,FALSE)</f>
        <v>#REF!</v>
      </c>
    </row>
    <row r="2555" spans="1:12" hidden="1" x14ac:dyDescent="0.3">
      <c r="A2555" t="s">
        <v>37</v>
      </c>
      <c r="B2555" t="s">
        <v>38</v>
      </c>
      <c r="C2555" t="s">
        <v>125</v>
      </c>
      <c r="D2555" t="s">
        <v>126</v>
      </c>
      <c r="E2555">
        <v>1991</v>
      </c>
      <c r="F2555" s="1">
        <v>12</v>
      </c>
      <c r="G2555">
        <v>1990</v>
      </c>
      <c r="H2555">
        <f>AVERAGEIFS(Table1[value],Table1[IndicatorCode],Table1[[#This Row],[IndicatorCode]])</f>
        <v>7.6894248608534319</v>
      </c>
      <c r="I2555" cm="1">
        <f t="array" ref="I2555">_xlfn.STDEV.P(IF(Table1[IndicatorCode]=Table1[[#This Row],[IndicatorCode]],Table1[value]))</f>
        <v>5.2319501044600996</v>
      </c>
      <c r="J2555">
        <f>(Table1[[#This Row],[value]] - Table1[[#This Row],[mean]]) / Table1[[#This Row],[std_dev]]</f>
        <v>0.82389454277706442</v>
      </c>
      <c r="K2555">
        <f>AVERAGEIF(Table1[CountryCode],Table1[[#This Row],[CountryCode]],Table1[z-score])</f>
        <v>0.4680674202807556</v>
      </c>
      <c r="L2555" t="e">
        <f>VLOOKUP(Table1[[#This Row],[CountryCode]],[1]!Table1[#Data],4,FALSE)</f>
        <v>#REF!</v>
      </c>
    </row>
    <row r="2556" spans="1:12" hidden="1" x14ac:dyDescent="0.3">
      <c r="A2556" t="s">
        <v>37</v>
      </c>
      <c r="B2556" t="s">
        <v>38</v>
      </c>
      <c r="C2556" t="s">
        <v>125</v>
      </c>
      <c r="D2556" t="s">
        <v>126</v>
      </c>
      <c r="E2556">
        <v>1992</v>
      </c>
      <c r="F2556" s="1">
        <v>11</v>
      </c>
      <c r="G2556">
        <v>1990</v>
      </c>
      <c r="H2556">
        <f>AVERAGEIFS(Table1[value],Table1[IndicatorCode],Table1[[#This Row],[IndicatorCode]])</f>
        <v>7.6894248608534319</v>
      </c>
      <c r="I2556" cm="1">
        <f t="array" ref="I2556">_xlfn.STDEV.P(IF(Table1[IndicatorCode]=Table1[[#This Row],[IndicatorCode]],Table1[value]))</f>
        <v>5.2319501044600996</v>
      </c>
      <c r="J2556">
        <f>(Table1[[#This Row],[value]] - Table1[[#This Row],[mean]]) / Table1[[#This Row],[std_dev]]</f>
        <v>0.63276122154230596</v>
      </c>
      <c r="K2556">
        <f>AVERAGEIF(Table1[CountryCode],Table1[[#This Row],[CountryCode]],Table1[z-score])</f>
        <v>0.4680674202807556</v>
      </c>
      <c r="L2556" t="e">
        <f>VLOOKUP(Table1[[#This Row],[CountryCode]],[1]!Table1[#Data],4,FALSE)</f>
        <v>#REF!</v>
      </c>
    </row>
    <row r="2557" spans="1:12" hidden="1" x14ac:dyDescent="0.3">
      <c r="A2557" t="s">
        <v>37</v>
      </c>
      <c r="B2557" t="s">
        <v>38</v>
      </c>
      <c r="C2557" t="s">
        <v>125</v>
      </c>
      <c r="D2557" t="s">
        <v>126</v>
      </c>
      <c r="E2557">
        <v>1993</v>
      </c>
      <c r="F2557" s="1">
        <v>12</v>
      </c>
      <c r="G2557">
        <v>1990</v>
      </c>
      <c r="H2557">
        <f>AVERAGEIFS(Table1[value],Table1[IndicatorCode],Table1[[#This Row],[IndicatorCode]])</f>
        <v>7.6894248608534319</v>
      </c>
      <c r="I2557" cm="1">
        <f t="array" ref="I2557">_xlfn.STDEV.P(IF(Table1[IndicatorCode]=Table1[[#This Row],[IndicatorCode]],Table1[value]))</f>
        <v>5.2319501044600996</v>
      </c>
      <c r="J2557">
        <f>(Table1[[#This Row],[value]] - Table1[[#This Row],[mean]]) / Table1[[#This Row],[std_dev]]</f>
        <v>0.82389454277706442</v>
      </c>
      <c r="K2557">
        <f>AVERAGEIF(Table1[CountryCode],Table1[[#This Row],[CountryCode]],Table1[z-score])</f>
        <v>0.4680674202807556</v>
      </c>
      <c r="L2557" t="e">
        <f>VLOOKUP(Table1[[#This Row],[CountryCode]],[1]!Table1[#Data],4,FALSE)</f>
        <v>#REF!</v>
      </c>
    </row>
    <row r="2558" spans="1:12" hidden="1" x14ac:dyDescent="0.3">
      <c r="A2558" t="s">
        <v>37</v>
      </c>
      <c r="B2558" t="s">
        <v>38</v>
      </c>
      <c r="C2558" t="s">
        <v>125</v>
      </c>
      <c r="D2558" t="s">
        <v>126</v>
      </c>
      <c r="E2558">
        <v>1994</v>
      </c>
      <c r="F2558" s="1">
        <v>12</v>
      </c>
      <c r="G2558">
        <v>1990</v>
      </c>
      <c r="H2558">
        <f>AVERAGEIFS(Table1[value],Table1[IndicatorCode],Table1[[#This Row],[IndicatorCode]])</f>
        <v>7.6894248608534319</v>
      </c>
      <c r="I2558" cm="1">
        <f t="array" ref="I2558">_xlfn.STDEV.P(IF(Table1[IndicatorCode]=Table1[[#This Row],[IndicatorCode]],Table1[value]))</f>
        <v>5.2319501044600996</v>
      </c>
      <c r="J2558">
        <f>(Table1[[#This Row],[value]] - Table1[[#This Row],[mean]]) / Table1[[#This Row],[std_dev]]</f>
        <v>0.82389454277706442</v>
      </c>
      <c r="K2558">
        <f>AVERAGEIF(Table1[CountryCode],Table1[[#This Row],[CountryCode]],Table1[z-score])</f>
        <v>0.4680674202807556</v>
      </c>
      <c r="L2558" t="e">
        <f>VLOOKUP(Table1[[#This Row],[CountryCode]],[1]!Table1[#Data],4,FALSE)</f>
        <v>#REF!</v>
      </c>
    </row>
    <row r="2559" spans="1:12" hidden="1" x14ac:dyDescent="0.3">
      <c r="A2559" t="s">
        <v>37</v>
      </c>
      <c r="B2559" t="s">
        <v>38</v>
      </c>
      <c r="C2559" t="s">
        <v>125</v>
      </c>
      <c r="D2559" t="s">
        <v>126</v>
      </c>
      <c r="E2559">
        <v>1995</v>
      </c>
      <c r="F2559" s="1">
        <v>12</v>
      </c>
      <c r="G2559">
        <v>1990</v>
      </c>
      <c r="H2559">
        <f>AVERAGEIFS(Table1[value],Table1[IndicatorCode],Table1[[#This Row],[IndicatorCode]])</f>
        <v>7.6894248608534319</v>
      </c>
      <c r="I2559" cm="1">
        <f t="array" ref="I2559">_xlfn.STDEV.P(IF(Table1[IndicatorCode]=Table1[[#This Row],[IndicatorCode]],Table1[value]))</f>
        <v>5.2319501044600996</v>
      </c>
      <c r="J2559">
        <f>(Table1[[#This Row],[value]] - Table1[[#This Row],[mean]]) / Table1[[#This Row],[std_dev]]</f>
        <v>0.82389454277706442</v>
      </c>
      <c r="K2559">
        <f>AVERAGEIF(Table1[CountryCode],Table1[[#This Row],[CountryCode]],Table1[z-score])</f>
        <v>0.4680674202807556</v>
      </c>
      <c r="L2559" t="e">
        <f>VLOOKUP(Table1[[#This Row],[CountryCode]],[1]!Table1[#Data],4,FALSE)</f>
        <v>#REF!</v>
      </c>
    </row>
    <row r="2560" spans="1:12" hidden="1" x14ac:dyDescent="0.3">
      <c r="A2560" t="s">
        <v>37</v>
      </c>
      <c r="B2560" t="s">
        <v>38</v>
      </c>
      <c r="C2560" t="s">
        <v>125</v>
      </c>
      <c r="D2560" t="s">
        <v>126</v>
      </c>
      <c r="E2560">
        <v>1996</v>
      </c>
      <c r="F2560" s="1">
        <v>14</v>
      </c>
      <c r="G2560">
        <v>1990</v>
      </c>
      <c r="H2560">
        <f>AVERAGEIFS(Table1[value],Table1[IndicatorCode],Table1[[#This Row],[IndicatorCode]])</f>
        <v>7.6894248608534319</v>
      </c>
      <c r="I2560" cm="1">
        <f t="array" ref="I2560">_xlfn.STDEV.P(IF(Table1[IndicatorCode]=Table1[[#This Row],[IndicatorCode]],Table1[value]))</f>
        <v>5.2319501044600996</v>
      </c>
      <c r="J2560">
        <f>(Table1[[#This Row],[value]] - Table1[[#This Row],[mean]]) / Table1[[#This Row],[std_dev]]</f>
        <v>1.2061611852465812</v>
      </c>
      <c r="K2560">
        <f>AVERAGEIF(Table1[CountryCode],Table1[[#This Row],[CountryCode]],Table1[z-score])</f>
        <v>0.4680674202807556</v>
      </c>
      <c r="L2560" t="e">
        <f>VLOOKUP(Table1[[#This Row],[CountryCode]],[1]!Table1[#Data],4,FALSE)</f>
        <v>#REF!</v>
      </c>
    </row>
    <row r="2561" spans="1:12" hidden="1" x14ac:dyDescent="0.3">
      <c r="A2561" t="s">
        <v>37</v>
      </c>
      <c r="B2561" t="s">
        <v>38</v>
      </c>
      <c r="C2561" t="s">
        <v>125</v>
      </c>
      <c r="D2561" t="s">
        <v>126</v>
      </c>
      <c r="E2561">
        <v>1997</v>
      </c>
      <c r="F2561" s="1">
        <v>12</v>
      </c>
      <c r="G2561">
        <v>2000</v>
      </c>
      <c r="H2561">
        <f>AVERAGEIFS(Table1[value],Table1[IndicatorCode],Table1[[#This Row],[IndicatorCode]])</f>
        <v>7.6894248608534319</v>
      </c>
      <c r="I2561" cm="1">
        <f t="array" ref="I2561">_xlfn.STDEV.P(IF(Table1[IndicatorCode]=Table1[[#This Row],[IndicatorCode]],Table1[value]))</f>
        <v>5.2319501044600996</v>
      </c>
      <c r="J2561">
        <f>(Table1[[#This Row],[value]] - Table1[[#This Row],[mean]]) / Table1[[#This Row],[std_dev]]</f>
        <v>0.82389454277706442</v>
      </c>
      <c r="K2561">
        <f>AVERAGEIF(Table1[CountryCode],Table1[[#This Row],[CountryCode]],Table1[z-score])</f>
        <v>0.4680674202807556</v>
      </c>
      <c r="L2561" t="e">
        <f>VLOOKUP(Table1[[#This Row],[CountryCode]],[1]!Table1[#Data],4,FALSE)</f>
        <v>#REF!</v>
      </c>
    </row>
    <row r="2562" spans="1:12" hidden="1" x14ac:dyDescent="0.3">
      <c r="A2562" t="s">
        <v>37</v>
      </c>
      <c r="B2562" t="s">
        <v>38</v>
      </c>
      <c r="C2562" t="s">
        <v>125</v>
      </c>
      <c r="D2562" t="s">
        <v>126</v>
      </c>
      <c r="E2562">
        <v>1998</v>
      </c>
      <c r="F2562" s="1">
        <v>11</v>
      </c>
      <c r="G2562">
        <v>2000</v>
      </c>
      <c r="H2562">
        <f>AVERAGEIFS(Table1[value],Table1[IndicatorCode],Table1[[#This Row],[IndicatorCode]])</f>
        <v>7.6894248608534319</v>
      </c>
      <c r="I2562" cm="1">
        <f t="array" ref="I2562">_xlfn.STDEV.P(IF(Table1[IndicatorCode]=Table1[[#This Row],[IndicatorCode]],Table1[value]))</f>
        <v>5.2319501044600996</v>
      </c>
      <c r="J2562">
        <f>(Table1[[#This Row],[value]] - Table1[[#This Row],[mean]]) / Table1[[#This Row],[std_dev]]</f>
        <v>0.63276122154230596</v>
      </c>
      <c r="K2562">
        <f>AVERAGEIF(Table1[CountryCode],Table1[[#This Row],[CountryCode]],Table1[z-score])</f>
        <v>0.4680674202807556</v>
      </c>
      <c r="L2562" t="e">
        <f>VLOOKUP(Table1[[#This Row],[CountryCode]],[1]!Table1[#Data],4,FALSE)</f>
        <v>#REF!</v>
      </c>
    </row>
    <row r="2563" spans="1:12" hidden="1" x14ac:dyDescent="0.3">
      <c r="A2563" t="s">
        <v>37</v>
      </c>
      <c r="B2563" t="s">
        <v>38</v>
      </c>
      <c r="C2563" t="s">
        <v>125</v>
      </c>
      <c r="D2563" t="s">
        <v>126</v>
      </c>
      <c r="E2563">
        <v>1999</v>
      </c>
      <c r="F2563" s="1">
        <v>11</v>
      </c>
      <c r="G2563">
        <v>2000</v>
      </c>
      <c r="H2563">
        <f>AVERAGEIFS(Table1[value],Table1[IndicatorCode],Table1[[#This Row],[IndicatorCode]])</f>
        <v>7.6894248608534319</v>
      </c>
      <c r="I2563" cm="1">
        <f t="array" ref="I2563">_xlfn.STDEV.P(IF(Table1[IndicatorCode]=Table1[[#This Row],[IndicatorCode]],Table1[value]))</f>
        <v>5.2319501044600996</v>
      </c>
      <c r="J2563">
        <f>(Table1[[#This Row],[value]] - Table1[[#This Row],[mean]]) / Table1[[#This Row],[std_dev]]</f>
        <v>0.63276122154230596</v>
      </c>
      <c r="K2563">
        <f>AVERAGEIF(Table1[CountryCode],Table1[[#This Row],[CountryCode]],Table1[z-score])</f>
        <v>0.4680674202807556</v>
      </c>
      <c r="L2563" t="e">
        <f>VLOOKUP(Table1[[#This Row],[CountryCode]],[1]!Table1[#Data],4,FALSE)</f>
        <v>#REF!</v>
      </c>
    </row>
    <row r="2564" spans="1:12" hidden="1" x14ac:dyDescent="0.3">
      <c r="A2564" t="s">
        <v>37</v>
      </c>
      <c r="B2564" t="s">
        <v>38</v>
      </c>
      <c r="C2564" t="s">
        <v>125</v>
      </c>
      <c r="D2564" t="s">
        <v>126</v>
      </c>
      <c r="E2564">
        <v>2000</v>
      </c>
      <c r="F2564" s="1">
        <v>10</v>
      </c>
      <c r="G2564">
        <v>2000</v>
      </c>
      <c r="H2564">
        <f>AVERAGEIFS(Table1[value],Table1[IndicatorCode],Table1[[#This Row],[IndicatorCode]])</f>
        <v>7.6894248608534319</v>
      </c>
      <c r="I2564" cm="1">
        <f t="array" ref="I2564">_xlfn.STDEV.P(IF(Table1[IndicatorCode]=Table1[[#This Row],[IndicatorCode]],Table1[value]))</f>
        <v>5.2319501044600996</v>
      </c>
      <c r="J2564">
        <f>(Table1[[#This Row],[value]] - Table1[[#This Row],[mean]]) / Table1[[#This Row],[std_dev]]</f>
        <v>0.44162790030754762</v>
      </c>
      <c r="K2564">
        <f>AVERAGEIF(Table1[CountryCode],Table1[[#This Row],[CountryCode]],Table1[z-score])</f>
        <v>0.4680674202807556</v>
      </c>
      <c r="L2564" t="e">
        <f>VLOOKUP(Table1[[#This Row],[CountryCode]],[1]!Table1[#Data],4,FALSE)</f>
        <v>#REF!</v>
      </c>
    </row>
    <row r="2565" spans="1:12" hidden="1" x14ac:dyDescent="0.3">
      <c r="A2565" t="s">
        <v>37</v>
      </c>
      <c r="B2565" t="s">
        <v>38</v>
      </c>
      <c r="C2565" t="s">
        <v>125</v>
      </c>
      <c r="D2565" t="s">
        <v>126</v>
      </c>
      <c r="E2565">
        <v>2001</v>
      </c>
      <c r="F2565" s="1">
        <v>10</v>
      </c>
      <c r="G2565">
        <v>2000</v>
      </c>
      <c r="H2565">
        <f>AVERAGEIFS(Table1[value],Table1[IndicatorCode],Table1[[#This Row],[IndicatorCode]])</f>
        <v>7.6894248608534319</v>
      </c>
      <c r="I2565" cm="1">
        <f t="array" ref="I2565">_xlfn.STDEV.P(IF(Table1[IndicatorCode]=Table1[[#This Row],[IndicatorCode]],Table1[value]))</f>
        <v>5.2319501044600996</v>
      </c>
      <c r="J2565">
        <f>(Table1[[#This Row],[value]] - Table1[[#This Row],[mean]]) / Table1[[#This Row],[std_dev]]</f>
        <v>0.44162790030754762</v>
      </c>
      <c r="K2565">
        <f>AVERAGEIF(Table1[CountryCode],Table1[[#This Row],[CountryCode]],Table1[z-score])</f>
        <v>0.4680674202807556</v>
      </c>
      <c r="L2565" t="e">
        <f>VLOOKUP(Table1[[#This Row],[CountryCode]],[1]!Table1[#Data],4,FALSE)</f>
        <v>#REF!</v>
      </c>
    </row>
    <row r="2566" spans="1:12" hidden="1" x14ac:dyDescent="0.3">
      <c r="A2566" t="s">
        <v>37</v>
      </c>
      <c r="B2566" t="s">
        <v>38</v>
      </c>
      <c r="C2566" t="s">
        <v>125</v>
      </c>
      <c r="D2566" t="s">
        <v>126</v>
      </c>
      <c r="E2566">
        <v>2002</v>
      </c>
      <c r="F2566" s="1">
        <v>10</v>
      </c>
      <c r="G2566">
        <v>2000</v>
      </c>
      <c r="H2566">
        <f>AVERAGEIFS(Table1[value],Table1[IndicatorCode],Table1[[#This Row],[IndicatorCode]])</f>
        <v>7.6894248608534319</v>
      </c>
      <c r="I2566" cm="1">
        <f t="array" ref="I2566">_xlfn.STDEV.P(IF(Table1[IndicatorCode]=Table1[[#This Row],[IndicatorCode]],Table1[value]))</f>
        <v>5.2319501044600996</v>
      </c>
      <c r="J2566">
        <f>(Table1[[#This Row],[value]] - Table1[[#This Row],[mean]]) / Table1[[#This Row],[std_dev]]</f>
        <v>0.44162790030754762</v>
      </c>
      <c r="K2566">
        <f>AVERAGEIF(Table1[CountryCode],Table1[[#This Row],[CountryCode]],Table1[z-score])</f>
        <v>0.4680674202807556</v>
      </c>
      <c r="L2566" t="e">
        <f>VLOOKUP(Table1[[#This Row],[CountryCode]],[1]!Table1[#Data],4,FALSE)</f>
        <v>#REF!</v>
      </c>
    </row>
    <row r="2567" spans="1:12" hidden="1" x14ac:dyDescent="0.3">
      <c r="A2567" t="s">
        <v>37</v>
      </c>
      <c r="B2567" t="s">
        <v>38</v>
      </c>
      <c r="C2567" t="s">
        <v>125</v>
      </c>
      <c r="D2567" t="s">
        <v>126</v>
      </c>
      <c r="E2567">
        <v>2003</v>
      </c>
      <c r="F2567" s="1">
        <v>11</v>
      </c>
      <c r="G2567">
        <v>2000</v>
      </c>
      <c r="H2567">
        <f>AVERAGEIFS(Table1[value],Table1[IndicatorCode],Table1[[#This Row],[IndicatorCode]])</f>
        <v>7.6894248608534319</v>
      </c>
      <c r="I2567" cm="1">
        <f t="array" ref="I2567">_xlfn.STDEV.P(IF(Table1[IndicatorCode]=Table1[[#This Row],[IndicatorCode]],Table1[value]))</f>
        <v>5.2319501044600996</v>
      </c>
      <c r="J2567">
        <f>(Table1[[#This Row],[value]] - Table1[[#This Row],[mean]]) / Table1[[#This Row],[std_dev]]</f>
        <v>0.63276122154230596</v>
      </c>
      <c r="K2567">
        <f>AVERAGEIF(Table1[CountryCode],Table1[[#This Row],[CountryCode]],Table1[z-score])</f>
        <v>0.4680674202807556</v>
      </c>
      <c r="L2567" t="e">
        <f>VLOOKUP(Table1[[#This Row],[CountryCode]],[1]!Table1[#Data],4,FALSE)</f>
        <v>#REF!</v>
      </c>
    </row>
    <row r="2568" spans="1:12" hidden="1" x14ac:dyDescent="0.3">
      <c r="A2568" t="s">
        <v>37</v>
      </c>
      <c r="B2568" t="s">
        <v>38</v>
      </c>
      <c r="C2568" t="s">
        <v>125</v>
      </c>
      <c r="D2568" t="s">
        <v>126</v>
      </c>
      <c r="E2568">
        <v>2004</v>
      </c>
      <c r="F2568" s="1">
        <v>10</v>
      </c>
      <c r="G2568">
        <v>2000</v>
      </c>
      <c r="H2568">
        <f>AVERAGEIFS(Table1[value],Table1[IndicatorCode],Table1[[#This Row],[IndicatorCode]])</f>
        <v>7.6894248608534319</v>
      </c>
      <c r="I2568" cm="1">
        <f t="array" ref="I2568">_xlfn.STDEV.P(IF(Table1[IndicatorCode]=Table1[[#This Row],[IndicatorCode]],Table1[value]))</f>
        <v>5.2319501044600996</v>
      </c>
      <c r="J2568">
        <f>(Table1[[#This Row],[value]] - Table1[[#This Row],[mean]]) / Table1[[#This Row],[std_dev]]</f>
        <v>0.44162790030754762</v>
      </c>
      <c r="K2568">
        <f>AVERAGEIF(Table1[CountryCode],Table1[[#This Row],[CountryCode]],Table1[z-score])</f>
        <v>0.4680674202807556</v>
      </c>
      <c r="L2568" t="e">
        <f>VLOOKUP(Table1[[#This Row],[CountryCode]],[1]!Table1[#Data],4,FALSE)</f>
        <v>#REF!</v>
      </c>
    </row>
    <row r="2569" spans="1:12" hidden="1" x14ac:dyDescent="0.3">
      <c r="A2569" t="s">
        <v>37</v>
      </c>
      <c r="B2569" t="s">
        <v>38</v>
      </c>
      <c r="C2569" t="s">
        <v>125</v>
      </c>
      <c r="D2569" t="s">
        <v>126</v>
      </c>
      <c r="E2569">
        <v>2005</v>
      </c>
      <c r="F2569" s="1">
        <v>9</v>
      </c>
      <c r="G2569">
        <v>2000</v>
      </c>
      <c r="H2569">
        <f>AVERAGEIFS(Table1[value],Table1[IndicatorCode],Table1[[#This Row],[IndicatorCode]])</f>
        <v>7.6894248608534319</v>
      </c>
      <c r="I2569" cm="1">
        <f t="array" ref="I2569">_xlfn.STDEV.P(IF(Table1[IndicatorCode]=Table1[[#This Row],[IndicatorCode]],Table1[value]))</f>
        <v>5.2319501044600996</v>
      </c>
      <c r="J2569">
        <f>(Table1[[#This Row],[value]] - Table1[[#This Row],[mean]]) / Table1[[#This Row],[std_dev]]</f>
        <v>0.25049457907278921</v>
      </c>
      <c r="K2569">
        <f>AVERAGEIF(Table1[CountryCode],Table1[[#This Row],[CountryCode]],Table1[z-score])</f>
        <v>0.4680674202807556</v>
      </c>
      <c r="L2569" t="e">
        <f>VLOOKUP(Table1[[#This Row],[CountryCode]],[1]!Table1[#Data],4,FALSE)</f>
        <v>#REF!</v>
      </c>
    </row>
    <row r="2570" spans="1:12" hidden="1" x14ac:dyDescent="0.3">
      <c r="A2570" t="s">
        <v>37</v>
      </c>
      <c r="B2570" t="s">
        <v>38</v>
      </c>
      <c r="C2570" t="s">
        <v>125</v>
      </c>
      <c r="D2570" t="s">
        <v>126</v>
      </c>
      <c r="E2570">
        <v>2006</v>
      </c>
      <c r="F2570" s="1">
        <v>11</v>
      </c>
      <c r="G2570">
        <v>2000</v>
      </c>
      <c r="H2570">
        <f>AVERAGEIFS(Table1[value],Table1[IndicatorCode],Table1[[#This Row],[IndicatorCode]])</f>
        <v>7.6894248608534319</v>
      </c>
      <c r="I2570" cm="1">
        <f t="array" ref="I2570">_xlfn.STDEV.P(IF(Table1[IndicatorCode]=Table1[[#This Row],[IndicatorCode]],Table1[value]))</f>
        <v>5.2319501044600996</v>
      </c>
      <c r="J2570">
        <f>(Table1[[#This Row],[value]] - Table1[[#This Row],[mean]]) / Table1[[#This Row],[std_dev]]</f>
        <v>0.63276122154230596</v>
      </c>
      <c r="K2570">
        <f>AVERAGEIF(Table1[CountryCode],Table1[[#This Row],[CountryCode]],Table1[z-score])</f>
        <v>0.4680674202807556</v>
      </c>
      <c r="L2570" t="e">
        <f>VLOOKUP(Table1[[#This Row],[CountryCode]],[1]!Table1[#Data],4,FALSE)</f>
        <v>#REF!</v>
      </c>
    </row>
    <row r="2571" spans="1:12" hidden="1" x14ac:dyDescent="0.3">
      <c r="A2571" t="s">
        <v>37</v>
      </c>
      <c r="B2571" t="s">
        <v>38</v>
      </c>
      <c r="C2571" t="s">
        <v>125</v>
      </c>
      <c r="D2571" t="s">
        <v>126</v>
      </c>
      <c r="E2571">
        <v>2007</v>
      </c>
      <c r="F2571" s="1">
        <v>10</v>
      </c>
      <c r="G2571">
        <v>2010</v>
      </c>
      <c r="H2571">
        <f>AVERAGEIFS(Table1[value],Table1[IndicatorCode],Table1[[#This Row],[IndicatorCode]])</f>
        <v>7.6894248608534319</v>
      </c>
      <c r="I2571" cm="1">
        <f t="array" ref="I2571">_xlfn.STDEV.P(IF(Table1[IndicatorCode]=Table1[[#This Row],[IndicatorCode]],Table1[value]))</f>
        <v>5.2319501044600996</v>
      </c>
      <c r="J2571">
        <f>(Table1[[#This Row],[value]] - Table1[[#This Row],[mean]]) / Table1[[#This Row],[std_dev]]</f>
        <v>0.44162790030754762</v>
      </c>
      <c r="K2571">
        <f>AVERAGEIF(Table1[CountryCode],Table1[[#This Row],[CountryCode]],Table1[z-score])</f>
        <v>0.4680674202807556</v>
      </c>
      <c r="L2571" t="e">
        <f>VLOOKUP(Table1[[#This Row],[CountryCode]],[1]!Table1[#Data],4,FALSE)</f>
        <v>#REF!</v>
      </c>
    </row>
    <row r="2572" spans="1:12" hidden="1" x14ac:dyDescent="0.3">
      <c r="A2572" t="s">
        <v>37</v>
      </c>
      <c r="B2572" t="s">
        <v>38</v>
      </c>
      <c r="C2572" t="s">
        <v>125</v>
      </c>
      <c r="D2572" t="s">
        <v>126</v>
      </c>
      <c r="E2572">
        <v>2008</v>
      </c>
      <c r="F2572" s="1">
        <v>9</v>
      </c>
      <c r="G2572">
        <v>2010</v>
      </c>
      <c r="H2572">
        <f>AVERAGEIFS(Table1[value],Table1[IndicatorCode],Table1[[#This Row],[IndicatorCode]])</f>
        <v>7.6894248608534319</v>
      </c>
      <c r="I2572" cm="1">
        <f t="array" ref="I2572">_xlfn.STDEV.P(IF(Table1[IndicatorCode]=Table1[[#This Row],[IndicatorCode]],Table1[value]))</f>
        <v>5.2319501044600996</v>
      </c>
      <c r="J2572">
        <f>(Table1[[#This Row],[value]] - Table1[[#This Row],[mean]]) / Table1[[#This Row],[std_dev]]</f>
        <v>0.25049457907278921</v>
      </c>
      <c r="K2572">
        <f>AVERAGEIF(Table1[CountryCode],Table1[[#This Row],[CountryCode]],Table1[z-score])</f>
        <v>0.4680674202807556</v>
      </c>
      <c r="L2572" t="e">
        <f>VLOOKUP(Table1[[#This Row],[CountryCode]],[1]!Table1[#Data],4,FALSE)</f>
        <v>#REF!</v>
      </c>
    </row>
    <row r="2573" spans="1:12" hidden="1" x14ac:dyDescent="0.3">
      <c r="A2573" t="s">
        <v>37</v>
      </c>
      <c r="B2573" t="s">
        <v>38</v>
      </c>
      <c r="C2573" t="s">
        <v>125</v>
      </c>
      <c r="D2573" t="s">
        <v>126</v>
      </c>
      <c r="E2573">
        <v>2009</v>
      </c>
      <c r="F2573" s="1">
        <v>9</v>
      </c>
      <c r="G2573">
        <v>2010</v>
      </c>
      <c r="H2573">
        <f>AVERAGEIFS(Table1[value],Table1[IndicatorCode],Table1[[#This Row],[IndicatorCode]])</f>
        <v>7.6894248608534319</v>
      </c>
      <c r="I2573" cm="1">
        <f t="array" ref="I2573">_xlfn.STDEV.P(IF(Table1[IndicatorCode]=Table1[[#This Row],[IndicatorCode]],Table1[value]))</f>
        <v>5.2319501044600996</v>
      </c>
      <c r="J2573">
        <f>(Table1[[#This Row],[value]] - Table1[[#This Row],[mean]]) / Table1[[#This Row],[std_dev]]</f>
        <v>0.25049457907278921</v>
      </c>
      <c r="K2573">
        <f>AVERAGEIF(Table1[CountryCode],Table1[[#This Row],[CountryCode]],Table1[z-score])</f>
        <v>0.4680674202807556</v>
      </c>
      <c r="L2573" t="e">
        <f>VLOOKUP(Table1[[#This Row],[CountryCode]],[1]!Table1[#Data],4,FALSE)</f>
        <v>#REF!</v>
      </c>
    </row>
    <row r="2574" spans="1:12" hidden="1" x14ac:dyDescent="0.3">
      <c r="A2574" t="s">
        <v>37</v>
      </c>
      <c r="B2574" t="s">
        <v>38</v>
      </c>
      <c r="C2574" t="s">
        <v>125</v>
      </c>
      <c r="D2574" t="s">
        <v>126</v>
      </c>
      <c r="E2574">
        <v>2010</v>
      </c>
      <c r="F2574" s="1">
        <v>9</v>
      </c>
      <c r="G2574">
        <v>2010</v>
      </c>
      <c r="H2574">
        <f>AVERAGEIFS(Table1[value],Table1[IndicatorCode],Table1[[#This Row],[IndicatorCode]])</f>
        <v>7.6894248608534319</v>
      </c>
      <c r="I2574" cm="1">
        <f t="array" ref="I2574">_xlfn.STDEV.P(IF(Table1[IndicatorCode]=Table1[[#This Row],[IndicatorCode]],Table1[value]))</f>
        <v>5.2319501044600996</v>
      </c>
      <c r="J2574">
        <f>(Table1[[#This Row],[value]] - Table1[[#This Row],[mean]]) / Table1[[#This Row],[std_dev]]</f>
        <v>0.25049457907278921</v>
      </c>
      <c r="K2574">
        <f>AVERAGEIF(Table1[CountryCode],Table1[[#This Row],[CountryCode]],Table1[z-score])</f>
        <v>0.4680674202807556</v>
      </c>
      <c r="L2574" t="e">
        <f>VLOOKUP(Table1[[#This Row],[CountryCode]],[1]!Table1[#Data],4,FALSE)</f>
        <v>#REF!</v>
      </c>
    </row>
    <row r="2575" spans="1:12" hidden="1" x14ac:dyDescent="0.3">
      <c r="A2575" t="s">
        <v>37</v>
      </c>
      <c r="B2575" t="s">
        <v>38</v>
      </c>
      <c r="C2575" t="s">
        <v>125</v>
      </c>
      <c r="D2575" t="s">
        <v>126</v>
      </c>
      <c r="E2575">
        <v>2011</v>
      </c>
      <c r="F2575" s="1">
        <v>8</v>
      </c>
      <c r="G2575">
        <v>2010</v>
      </c>
      <c r="H2575">
        <f>AVERAGEIFS(Table1[value],Table1[IndicatorCode],Table1[[#This Row],[IndicatorCode]])</f>
        <v>7.6894248608534319</v>
      </c>
      <c r="I2575" cm="1">
        <f t="array" ref="I2575">_xlfn.STDEV.P(IF(Table1[IndicatorCode]=Table1[[#This Row],[IndicatorCode]],Table1[value]))</f>
        <v>5.2319501044600996</v>
      </c>
      <c r="J2575">
        <f>(Table1[[#This Row],[value]] - Table1[[#This Row],[mean]]) / Table1[[#This Row],[std_dev]]</f>
        <v>5.9361257838030791E-2</v>
      </c>
      <c r="K2575">
        <f>AVERAGEIF(Table1[CountryCode],Table1[[#This Row],[CountryCode]],Table1[z-score])</f>
        <v>0.4680674202807556</v>
      </c>
      <c r="L2575" t="e">
        <f>VLOOKUP(Table1[[#This Row],[CountryCode]],[1]!Table1[#Data],4,FALSE)</f>
        <v>#REF!</v>
      </c>
    </row>
    <row r="2576" spans="1:12" hidden="1" x14ac:dyDescent="0.3">
      <c r="A2576" t="s">
        <v>37</v>
      </c>
      <c r="B2576" t="s">
        <v>38</v>
      </c>
      <c r="C2576" t="s">
        <v>125</v>
      </c>
      <c r="D2576" t="s">
        <v>126</v>
      </c>
      <c r="E2576">
        <v>2012</v>
      </c>
      <c r="F2576" s="1">
        <v>7</v>
      </c>
      <c r="G2576">
        <v>2010</v>
      </c>
      <c r="H2576">
        <f>AVERAGEIFS(Table1[value],Table1[IndicatorCode],Table1[[#This Row],[IndicatorCode]])</f>
        <v>7.6894248608534319</v>
      </c>
      <c r="I2576" cm="1">
        <f t="array" ref="I2576">_xlfn.STDEV.P(IF(Table1[IndicatorCode]=Table1[[#This Row],[IndicatorCode]],Table1[value]))</f>
        <v>5.2319501044600996</v>
      </c>
      <c r="J2576">
        <f>(Table1[[#This Row],[value]] - Table1[[#This Row],[mean]]) / Table1[[#This Row],[std_dev]]</f>
        <v>-0.13177206339672762</v>
      </c>
      <c r="K2576">
        <f>AVERAGEIF(Table1[CountryCode],Table1[[#This Row],[CountryCode]],Table1[z-score])</f>
        <v>0.4680674202807556</v>
      </c>
      <c r="L2576" t="e">
        <f>VLOOKUP(Table1[[#This Row],[CountryCode]],[1]!Table1[#Data],4,FALSE)</f>
        <v>#REF!</v>
      </c>
    </row>
    <row r="2577" spans="1:12" hidden="1" x14ac:dyDescent="0.3">
      <c r="A2577" t="s">
        <v>37</v>
      </c>
      <c r="B2577" t="s">
        <v>38</v>
      </c>
      <c r="C2577" t="s">
        <v>125</v>
      </c>
      <c r="D2577" t="s">
        <v>126</v>
      </c>
      <c r="E2577">
        <v>2013</v>
      </c>
      <c r="F2577" s="1">
        <v>7</v>
      </c>
      <c r="G2577">
        <v>2010</v>
      </c>
      <c r="H2577">
        <f>AVERAGEIFS(Table1[value],Table1[IndicatorCode],Table1[[#This Row],[IndicatorCode]])</f>
        <v>7.6894248608534319</v>
      </c>
      <c r="I2577" cm="1">
        <f t="array" ref="I2577">_xlfn.STDEV.P(IF(Table1[IndicatorCode]=Table1[[#This Row],[IndicatorCode]],Table1[value]))</f>
        <v>5.2319501044600996</v>
      </c>
      <c r="J2577">
        <f>(Table1[[#This Row],[value]] - Table1[[#This Row],[mean]]) / Table1[[#This Row],[std_dev]]</f>
        <v>-0.13177206339672762</v>
      </c>
      <c r="K2577">
        <f>AVERAGEIF(Table1[CountryCode],Table1[[#This Row],[CountryCode]],Table1[z-score])</f>
        <v>0.4680674202807556</v>
      </c>
      <c r="L2577" t="e">
        <f>VLOOKUP(Table1[[#This Row],[CountryCode]],[1]!Table1[#Data],4,FALSE)</f>
        <v>#REF!</v>
      </c>
    </row>
    <row r="2578" spans="1:12" hidden="1" x14ac:dyDescent="0.3">
      <c r="A2578" t="s">
        <v>37</v>
      </c>
      <c r="B2578" t="s">
        <v>38</v>
      </c>
      <c r="C2578" t="s">
        <v>125</v>
      </c>
      <c r="D2578" t="s">
        <v>126</v>
      </c>
      <c r="E2578">
        <v>2014</v>
      </c>
      <c r="F2578" s="1">
        <v>6</v>
      </c>
      <c r="G2578">
        <v>2010</v>
      </c>
      <c r="H2578">
        <f>AVERAGEIFS(Table1[value],Table1[IndicatorCode],Table1[[#This Row],[IndicatorCode]])</f>
        <v>7.6894248608534319</v>
      </c>
      <c r="I2578" cm="1">
        <f t="array" ref="I2578">_xlfn.STDEV.P(IF(Table1[IndicatorCode]=Table1[[#This Row],[IndicatorCode]],Table1[value]))</f>
        <v>5.2319501044600996</v>
      </c>
      <c r="J2578">
        <f>(Table1[[#This Row],[value]] - Table1[[#This Row],[mean]]) / Table1[[#This Row],[std_dev]]</f>
        <v>-0.32290538463148605</v>
      </c>
      <c r="K2578">
        <f>AVERAGEIF(Table1[CountryCode],Table1[[#This Row],[CountryCode]],Table1[z-score])</f>
        <v>0.4680674202807556</v>
      </c>
      <c r="L2578" t="e">
        <f>VLOOKUP(Table1[[#This Row],[CountryCode]],[1]!Table1[#Data],4,FALSE)</f>
        <v>#REF!</v>
      </c>
    </row>
    <row r="2579" spans="1:12" hidden="1" x14ac:dyDescent="0.3">
      <c r="A2579" t="s">
        <v>37</v>
      </c>
      <c r="B2579" t="s">
        <v>38</v>
      </c>
      <c r="C2579" t="s">
        <v>125</v>
      </c>
      <c r="D2579" t="s">
        <v>126</v>
      </c>
      <c r="E2579">
        <v>2015</v>
      </c>
      <c r="F2579" s="1">
        <v>6</v>
      </c>
      <c r="G2579">
        <v>2010</v>
      </c>
      <c r="H2579">
        <f>AVERAGEIFS(Table1[value],Table1[IndicatorCode],Table1[[#This Row],[IndicatorCode]])</f>
        <v>7.6894248608534319</v>
      </c>
      <c r="I2579" cm="1">
        <f t="array" ref="I2579">_xlfn.STDEV.P(IF(Table1[IndicatorCode]=Table1[[#This Row],[IndicatorCode]],Table1[value]))</f>
        <v>5.2319501044600996</v>
      </c>
      <c r="J2579">
        <f>(Table1[[#This Row],[value]] - Table1[[#This Row],[mean]]) / Table1[[#This Row],[std_dev]]</f>
        <v>-0.32290538463148605</v>
      </c>
      <c r="K2579">
        <f>AVERAGEIF(Table1[CountryCode],Table1[[#This Row],[CountryCode]],Table1[z-score])</f>
        <v>0.4680674202807556</v>
      </c>
      <c r="L2579" t="e">
        <f>VLOOKUP(Table1[[#This Row],[CountryCode]],[1]!Table1[#Data],4,FALSE)</f>
        <v>#REF!</v>
      </c>
    </row>
    <row r="2580" spans="1:12" hidden="1" x14ac:dyDescent="0.3">
      <c r="A2580" t="s">
        <v>37</v>
      </c>
      <c r="B2580" t="s">
        <v>38</v>
      </c>
      <c r="C2580" t="s">
        <v>125</v>
      </c>
      <c r="D2580" t="s">
        <v>126</v>
      </c>
      <c r="E2580">
        <v>2016</v>
      </c>
      <c r="F2580" s="1">
        <v>6</v>
      </c>
      <c r="G2580">
        <v>2010</v>
      </c>
      <c r="H2580">
        <f>AVERAGEIFS(Table1[value],Table1[IndicatorCode],Table1[[#This Row],[IndicatorCode]])</f>
        <v>7.6894248608534319</v>
      </c>
      <c r="I2580" cm="1">
        <f t="array" ref="I2580">_xlfn.STDEV.P(IF(Table1[IndicatorCode]=Table1[[#This Row],[IndicatorCode]],Table1[value]))</f>
        <v>5.2319501044600996</v>
      </c>
      <c r="J2580">
        <f>(Table1[[#This Row],[value]] - Table1[[#This Row],[mean]]) / Table1[[#This Row],[std_dev]]</f>
        <v>-0.32290538463148605</v>
      </c>
      <c r="K2580">
        <f>AVERAGEIF(Table1[CountryCode],Table1[[#This Row],[CountryCode]],Table1[z-score])</f>
        <v>0.4680674202807556</v>
      </c>
      <c r="L2580" t="e">
        <f>VLOOKUP(Table1[[#This Row],[CountryCode]],[1]!Table1[#Data],4,FALSE)</f>
        <v>#REF!</v>
      </c>
    </row>
    <row r="2581" spans="1:12" hidden="1" x14ac:dyDescent="0.3">
      <c r="A2581" t="s">
        <v>37</v>
      </c>
      <c r="B2581" t="s">
        <v>38</v>
      </c>
      <c r="C2581" t="s">
        <v>125</v>
      </c>
      <c r="D2581" t="s">
        <v>126</v>
      </c>
      <c r="E2581">
        <v>2017</v>
      </c>
      <c r="F2581" s="1">
        <v>6</v>
      </c>
      <c r="G2581">
        <v>2020</v>
      </c>
      <c r="H2581">
        <f>AVERAGEIFS(Table1[value],Table1[IndicatorCode],Table1[[#This Row],[IndicatorCode]])</f>
        <v>7.6894248608534319</v>
      </c>
      <c r="I2581" cm="1">
        <f t="array" ref="I2581">_xlfn.STDEV.P(IF(Table1[IndicatorCode]=Table1[[#This Row],[IndicatorCode]],Table1[value]))</f>
        <v>5.2319501044600996</v>
      </c>
      <c r="J2581">
        <f>(Table1[[#This Row],[value]] - Table1[[#This Row],[mean]]) / Table1[[#This Row],[std_dev]]</f>
        <v>-0.32290538463148605</v>
      </c>
      <c r="K2581">
        <f>AVERAGEIF(Table1[CountryCode],Table1[[#This Row],[CountryCode]],Table1[z-score])</f>
        <v>0.4680674202807556</v>
      </c>
      <c r="L2581" t="e">
        <f>VLOOKUP(Table1[[#This Row],[CountryCode]],[1]!Table1[#Data],4,FALSE)</f>
        <v>#REF!</v>
      </c>
    </row>
    <row r="2582" spans="1:12" hidden="1" x14ac:dyDescent="0.3">
      <c r="A2582" t="s">
        <v>37</v>
      </c>
      <c r="B2582" t="s">
        <v>38</v>
      </c>
      <c r="C2582" t="s">
        <v>125</v>
      </c>
      <c r="D2582" t="s">
        <v>126</v>
      </c>
      <c r="E2582">
        <v>2018</v>
      </c>
      <c r="F2582" s="1">
        <v>6</v>
      </c>
      <c r="G2582">
        <v>2020</v>
      </c>
      <c r="H2582">
        <f>AVERAGEIFS(Table1[value],Table1[IndicatorCode],Table1[[#This Row],[IndicatorCode]])</f>
        <v>7.6894248608534319</v>
      </c>
      <c r="I2582" cm="1">
        <f t="array" ref="I2582">_xlfn.STDEV.P(IF(Table1[IndicatorCode]=Table1[[#This Row],[IndicatorCode]],Table1[value]))</f>
        <v>5.2319501044600996</v>
      </c>
      <c r="J2582">
        <f>(Table1[[#This Row],[value]] - Table1[[#This Row],[mean]]) / Table1[[#This Row],[std_dev]]</f>
        <v>-0.32290538463148605</v>
      </c>
      <c r="K2582">
        <f>AVERAGEIF(Table1[CountryCode],Table1[[#This Row],[CountryCode]],Table1[z-score])</f>
        <v>0.4680674202807556</v>
      </c>
      <c r="L2582" t="e">
        <f>VLOOKUP(Table1[[#This Row],[CountryCode]],[1]!Table1[#Data],4,FALSE)</f>
        <v>#REF!</v>
      </c>
    </row>
    <row r="2583" spans="1:12" hidden="1" x14ac:dyDescent="0.3">
      <c r="A2583" t="s">
        <v>37</v>
      </c>
      <c r="B2583" t="s">
        <v>38</v>
      </c>
      <c r="C2583" t="s">
        <v>125</v>
      </c>
      <c r="D2583" t="s">
        <v>126</v>
      </c>
      <c r="E2583">
        <v>2019</v>
      </c>
      <c r="F2583" s="1">
        <v>5</v>
      </c>
      <c r="G2583">
        <v>2020</v>
      </c>
      <c r="H2583">
        <f>AVERAGEIFS(Table1[value],Table1[IndicatorCode],Table1[[#This Row],[IndicatorCode]])</f>
        <v>7.6894248608534319</v>
      </c>
      <c r="I2583" cm="1">
        <f t="array" ref="I2583">_xlfn.STDEV.P(IF(Table1[IndicatorCode]=Table1[[#This Row],[IndicatorCode]],Table1[value]))</f>
        <v>5.2319501044600996</v>
      </c>
      <c r="J2583">
        <f>(Table1[[#This Row],[value]] - Table1[[#This Row],[mean]]) / Table1[[#This Row],[std_dev]]</f>
        <v>-0.51403870586624445</v>
      </c>
      <c r="K2583">
        <f>AVERAGEIF(Table1[CountryCode],Table1[[#This Row],[CountryCode]],Table1[z-score])</f>
        <v>0.4680674202807556</v>
      </c>
      <c r="L2583" t="e">
        <f>VLOOKUP(Table1[[#This Row],[CountryCode]],[1]!Table1[#Data],4,FALSE)</f>
        <v>#REF!</v>
      </c>
    </row>
    <row r="2584" spans="1:12" x14ac:dyDescent="0.3">
      <c r="A2584" t="s">
        <v>37</v>
      </c>
      <c r="B2584" t="s">
        <v>38</v>
      </c>
      <c r="C2584" t="s">
        <v>125</v>
      </c>
      <c r="D2584" t="s">
        <v>126</v>
      </c>
      <c r="E2584">
        <v>2020</v>
      </c>
      <c r="F2584" s="1">
        <v>5</v>
      </c>
      <c r="G2584">
        <v>2020</v>
      </c>
      <c r="H2584">
        <f>AVERAGEIFS(Table1[value],Table1[IndicatorCode],Table1[[#This Row],[IndicatorCode]])</f>
        <v>7.6894248608534319</v>
      </c>
      <c r="I2584" cm="1">
        <f t="array" ref="I2584">_xlfn.STDEV.P(IF(Table1[IndicatorCode]=Table1[[#This Row],[IndicatorCode]],Table1[value]))</f>
        <v>5.2319501044600996</v>
      </c>
      <c r="J2584">
        <f>(Table1[[#This Row],[value]] - Table1[[#This Row],[mean]]) / Table1[[#This Row],[std_dev]]</f>
        <v>-0.51403870586624445</v>
      </c>
      <c r="K2584">
        <f>AVERAGEIF(Table1[CountryCode],Table1[[#This Row],[CountryCode]],Table1[z-score])</f>
        <v>0.4680674202807556</v>
      </c>
    </row>
    <row r="2585" spans="1:12" hidden="1" x14ac:dyDescent="0.3">
      <c r="A2585" t="s">
        <v>37</v>
      </c>
      <c r="B2585" t="s">
        <v>38</v>
      </c>
      <c r="C2585" t="s">
        <v>125</v>
      </c>
      <c r="D2585" t="s">
        <v>126</v>
      </c>
      <c r="E2585">
        <v>2021</v>
      </c>
      <c r="F2585" s="1">
        <v>5</v>
      </c>
      <c r="G2585">
        <v>2020</v>
      </c>
      <c r="H2585">
        <f>AVERAGEIFS(Table1[value],Table1[IndicatorCode],Table1[[#This Row],[IndicatorCode]])</f>
        <v>7.6894248608534319</v>
      </c>
      <c r="I2585" cm="1">
        <f t="array" ref="I2585">_xlfn.STDEV.P(IF(Table1[IndicatorCode]=Table1[[#This Row],[IndicatorCode]],Table1[value]))</f>
        <v>5.2319501044600996</v>
      </c>
      <c r="J2585">
        <f>(Table1[[#This Row],[value]] - Table1[[#This Row],[mean]]) / Table1[[#This Row],[std_dev]]</f>
        <v>-0.51403870586624445</v>
      </c>
      <c r="K2585">
        <f>AVERAGEIF(Table1[CountryCode],Table1[[#This Row],[CountryCode]],Table1[z-score])</f>
        <v>0.4680674202807556</v>
      </c>
      <c r="L2585" t="e">
        <f>VLOOKUP(Table1[[#This Row],[CountryCode]],[1]!Table1[#Data],4,FALSE)</f>
        <v>#REF!</v>
      </c>
    </row>
    <row r="2586" spans="1:12" hidden="1" x14ac:dyDescent="0.3">
      <c r="A2586" t="s">
        <v>37</v>
      </c>
      <c r="B2586" t="s">
        <v>38</v>
      </c>
      <c r="C2586" t="s">
        <v>125</v>
      </c>
      <c r="D2586" t="s">
        <v>126</v>
      </c>
      <c r="E2586">
        <v>2022</v>
      </c>
      <c r="F2586" s="1">
        <v>5</v>
      </c>
      <c r="G2586">
        <v>1970</v>
      </c>
      <c r="H2586">
        <f>AVERAGEIFS(Table1[value],Table1[IndicatorCode],Table1[[#This Row],[IndicatorCode]])</f>
        <v>7.6894248608534319</v>
      </c>
      <c r="I2586" cm="1">
        <f t="array" ref="I2586">_xlfn.STDEV.P(IF(Table1[IndicatorCode]=Table1[[#This Row],[IndicatorCode]],Table1[value]))</f>
        <v>5.2319501044600996</v>
      </c>
      <c r="J2586">
        <f>(Table1[[#This Row],[value]] - Table1[[#This Row],[mean]]) / Table1[[#This Row],[std_dev]]</f>
        <v>-0.51403870586624445</v>
      </c>
      <c r="K2586">
        <f>AVERAGEIF(Table1[CountryCode],Table1[[#This Row],[CountryCode]],Table1[z-score])</f>
        <v>0.4680674202807556</v>
      </c>
      <c r="L2586" t="e">
        <f>VLOOKUP(Table1[[#This Row],[CountryCode]],[1]!Table1[#Data],4,FALSE)</f>
        <v>#REF!</v>
      </c>
    </row>
    <row r="2587" spans="1:12" hidden="1" x14ac:dyDescent="0.3">
      <c r="A2587" t="s">
        <v>37</v>
      </c>
      <c r="B2587" t="s">
        <v>38</v>
      </c>
      <c r="C2587" t="s">
        <v>125</v>
      </c>
      <c r="D2587" t="s">
        <v>126</v>
      </c>
      <c r="E2587">
        <v>2023</v>
      </c>
      <c r="F2587" s="1">
        <v>4</v>
      </c>
      <c r="G2587">
        <v>1970</v>
      </c>
      <c r="H2587">
        <f>AVERAGEIFS(Table1[value],Table1[IndicatorCode],Table1[[#This Row],[IndicatorCode]])</f>
        <v>7.6894248608534319</v>
      </c>
      <c r="I2587" cm="1">
        <f t="array" ref="I2587">_xlfn.STDEV.P(IF(Table1[IndicatorCode]=Table1[[#This Row],[IndicatorCode]],Table1[value]))</f>
        <v>5.2319501044600996</v>
      </c>
      <c r="J2587">
        <f>(Table1[[#This Row],[value]] - Table1[[#This Row],[mean]]) / Table1[[#This Row],[std_dev]]</f>
        <v>-0.7051720271010028</v>
      </c>
      <c r="K2587">
        <f>AVERAGEIF(Table1[CountryCode],Table1[[#This Row],[CountryCode]],Table1[z-score])</f>
        <v>0.4680674202807556</v>
      </c>
      <c r="L2587" t="e">
        <f>VLOOKUP(Table1[[#This Row],[CountryCode]],[1]!Table1[#Data],4,FALSE)</f>
        <v>#REF!</v>
      </c>
    </row>
    <row r="2588" spans="1:12" hidden="1" x14ac:dyDescent="0.3">
      <c r="A2588" t="s">
        <v>37</v>
      </c>
      <c r="B2588" t="s">
        <v>38</v>
      </c>
      <c r="C2588" t="s">
        <v>125</v>
      </c>
      <c r="D2588" t="s">
        <v>126</v>
      </c>
      <c r="E2588">
        <v>2024</v>
      </c>
      <c r="F2588" s="1">
        <v>4</v>
      </c>
      <c r="G2588">
        <v>1970</v>
      </c>
      <c r="H2588">
        <f>AVERAGEIFS(Table1[value],Table1[IndicatorCode],Table1[[#This Row],[IndicatorCode]])</f>
        <v>7.6894248608534319</v>
      </c>
      <c r="I2588" cm="1">
        <f t="array" ref="I2588">_xlfn.STDEV.P(IF(Table1[IndicatorCode]=Table1[[#This Row],[IndicatorCode]],Table1[value]))</f>
        <v>5.2319501044600996</v>
      </c>
      <c r="J2588">
        <f>(Table1[[#This Row],[value]] - Table1[[#This Row],[mean]]) / Table1[[#This Row],[std_dev]]</f>
        <v>-0.7051720271010028</v>
      </c>
      <c r="K2588">
        <f>AVERAGEIF(Table1[CountryCode],Table1[[#This Row],[CountryCode]],Table1[z-score])</f>
        <v>0.4680674202807556</v>
      </c>
      <c r="L2588" t="e">
        <f>VLOOKUP(Table1[[#This Row],[CountryCode]],[1]!Table1[#Data],4,FALSE)</f>
        <v>#REF!</v>
      </c>
    </row>
    <row r="2589" spans="1:12" hidden="1" x14ac:dyDescent="0.3">
      <c r="A2589" t="s">
        <v>39</v>
      </c>
      <c r="B2589" t="s">
        <v>40</v>
      </c>
      <c r="C2589" t="s">
        <v>125</v>
      </c>
      <c r="D2589" t="s">
        <v>126</v>
      </c>
      <c r="E2589">
        <v>1970</v>
      </c>
      <c r="F2589" s="1">
        <v>4</v>
      </c>
      <c r="G2589">
        <v>1970</v>
      </c>
      <c r="H2589">
        <f>AVERAGEIFS(Table1[value],Table1[IndicatorCode],Table1[[#This Row],[IndicatorCode]])</f>
        <v>7.6894248608534319</v>
      </c>
      <c r="I2589" cm="1">
        <f t="array" ref="I2589">_xlfn.STDEV.P(IF(Table1[IndicatorCode]=Table1[[#This Row],[IndicatorCode]],Table1[value]))</f>
        <v>5.2319501044600996</v>
      </c>
      <c r="J2589">
        <f>(Table1[[#This Row],[value]] - Table1[[#This Row],[mean]]) / Table1[[#This Row],[std_dev]]</f>
        <v>-0.7051720271010028</v>
      </c>
      <c r="K2589">
        <f>AVERAGEIF(Table1[CountryCode],Table1[[#This Row],[CountryCode]],Table1[z-score])</f>
        <v>9.5615861938696506E-2</v>
      </c>
      <c r="L2589" t="e">
        <f>VLOOKUP(Table1[[#This Row],[CountryCode]],[1]!Table1[#Data],4,FALSE)</f>
        <v>#REF!</v>
      </c>
    </row>
    <row r="2590" spans="1:12" hidden="1" x14ac:dyDescent="0.3">
      <c r="A2590" t="s">
        <v>39</v>
      </c>
      <c r="B2590" t="s">
        <v>40</v>
      </c>
      <c r="C2590" t="s">
        <v>125</v>
      </c>
      <c r="D2590" t="s">
        <v>126</v>
      </c>
      <c r="E2590">
        <v>1971</v>
      </c>
      <c r="F2590" s="1">
        <v>4</v>
      </c>
      <c r="G2590">
        <v>1970</v>
      </c>
      <c r="H2590">
        <f>AVERAGEIFS(Table1[value],Table1[IndicatorCode],Table1[[#This Row],[IndicatorCode]])</f>
        <v>7.6894248608534319</v>
      </c>
      <c r="I2590" cm="1">
        <f t="array" ref="I2590">_xlfn.STDEV.P(IF(Table1[IndicatorCode]=Table1[[#This Row],[IndicatorCode]],Table1[value]))</f>
        <v>5.2319501044600996</v>
      </c>
      <c r="J2590">
        <f>(Table1[[#This Row],[value]] - Table1[[#This Row],[mean]]) / Table1[[#This Row],[std_dev]]</f>
        <v>-0.7051720271010028</v>
      </c>
      <c r="K2590">
        <f>AVERAGEIF(Table1[CountryCode],Table1[[#This Row],[CountryCode]],Table1[z-score])</f>
        <v>9.5615861938696506E-2</v>
      </c>
      <c r="L2590" t="e">
        <f>VLOOKUP(Table1[[#This Row],[CountryCode]],[1]!Table1[#Data],4,FALSE)</f>
        <v>#REF!</v>
      </c>
    </row>
    <row r="2591" spans="1:12" hidden="1" x14ac:dyDescent="0.3">
      <c r="A2591" t="s">
        <v>39</v>
      </c>
      <c r="B2591" t="s">
        <v>40</v>
      </c>
      <c r="C2591" t="s">
        <v>125</v>
      </c>
      <c r="D2591" t="s">
        <v>126</v>
      </c>
      <c r="E2591">
        <v>1972</v>
      </c>
      <c r="F2591" s="1">
        <v>4</v>
      </c>
      <c r="G2591">
        <v>1970</v>
      </c>
      <c r="H2591">
        <f>AVERAGEIFS(Table1[value],Table1[IndicatorCode],Table1[[#This Row],[IndicatorCode]])</f>
        <v>7.6894248608534319</v>
      </c>
      <c r="I2591" cm="1">
        <f t="array" ref="I2591">_xlfn.STDEV.P(IF(Table1[IndicatorCode]=Table1[[#This Row],[IndicatorCode]],Table1[value]))</f>
        <v>5.2319501044600996</v>
      </c>
      <c r="J2591">
        <f>(Table1[[#This Row],[value]] - Table1[[#This Row],[mean]]) / Table1[[#This Row],[std_dev]]</f>
        <v>-0.7051720271010028</v>
      </c>
      <c r="K2591">
        <f>AVERAGEIF(Table1[CountryCode],Table1[[#This Row],[CountryCode]],Table1[z-score])</f>
        <v>9.5615861938696506E-2</v>
      </c>
      <c r="L2591" t="e">
        <f>VLOOKUP(Table1[[#This Row],[CountryCode]],[1]!Table1[#Data],4,FALSE)</f>
        <v>#REF!</v>
      </c>
    </row>
    <row r="2592" spans="1:12" hidden="1" x14ac:dyDescent="0.3">
      <c r="A2592" t="s">
        <v>39</v>
      </c>
      <c r="B2592" t="s">
        <v>40</v>
      </c>
      <c r="C2592" t="s">
        <v>125</v>
      </c>
      <c r="D2592" t="s">
        <v>126</v>
      </c>
      <c r="E2592">
        <v>1973</v>
      </c>
      <c r="F2592" s="1">
        <v>5</v>
      </c>
      <c r="G2592">
        <v>1970</v>
      </c>
      <c r="H2592">
        <f>AVERAGEIFS(Table1[value],Table1[IndicatorCode],Table1[[#This Row],[IndicatorCode]])</f>
        <v>7.6894248608534319</v>
      </c>
      <c r="I2592" cm="1">
        <f t="array" ref="I2592">_xlfn.STDEV.P(IF(Table1[IndicatorCode]=Table1[[#This Row],[IndicatorCode]],Table1[value]))</f>
        <v>5.2319501044600996</v>
      </c>
      <c r="J2592">
        <f>(Table1[[#This Row],[value]] - Table1[[#This Row],[mean]]) / Table1[[#This Row],[std_dev]]</f>
        <v>-0.51403870586624445</v>
      </c>
      <c r="K2592">
        <f>AVERAGEIF(Table1[CountryCode],Table1[[#This Row],[CountryCode]],Table1[z-score])</f>
        <v>9.5615861938696506E-2</v>
      </c>
      <c r="L2592" t="e">
        <f>VLOOKUP(Table1[[#This Row],[CountryCode]],[1]!Table1[#Data],4,FALSE)</f>
        <v>#REF!</v>
      </c>
    </row>
    <row r="2593" spans="1:12" hidden="1" x14ac:dyDescent="0.3">
      <c r="A2593" t="s">
        <v>39</v>
      </c>
      <c r="B2593" t="s">
        <v>40</v>
      </c>
      <c r="C2593" t="s">
        <v>125</v>
      </c>
      <c r="D2593" t="s">
        <v>126</v>
      </c>
      <c r="E2593">
        <v>1974</v>
      </c>
      <c r="F2593" s="1">
        <v>5</v>
      </c>
      <c r="G2593">
        <v>1970</v>
      </c>
      <c r="H2593">
        <f>AVERAGEIFS(Table1[value],Table1[IndicatorCode],Table1[[#This Row],[IndicatorCode]])</f>
        <v>7.6894248608534319</v>
      </c>
      <c r="I2593" cm="1">
        <f t="array" ref="I2593">_xlfn.STDEV.P(IF(Table1[IndicatorCode]=Table1[[#This Row],[IndicatorCode]],Table1[value]))</f>
        <v>5.2319501044600996</v>
      </c>
      <c r="J2593">
        <f>(Table1[[#This Row],[value]] - Table1[[#This Row],[mean]]) / Table1[[#This Row],[std_dev]]</f>
        <v>-0.51403870586624445</v>
      </c>
      <c r="K2593">
        <f>AVERAGEIF(Table1[CountryCode],Table1[[#This Row],[CountryCode]],Table1[z-score])</f>
        <v>9.5615861938696506E-2</v>
      </c>
      <c r="L2593" t="e">
        <f>VLOOKUP(Table1[[#This Row],[CountryCode]],[1]!Table1[#Data],4,FALSE)</f>
        <v>#REF!</v>
      </c>
    </row>
    <row r="2594" spans="1:12" hidden="1" x14ac:dyDescent="0.3">
      <c r="A2594" t="s">
        <v>39</v>
      </c>
      <c r="B2594" t="s">
        <v>40</v>
      </c>
      <c r="C2594" t="s">
        <v>125</v>
      </c>
      <c r="D2594" t="s">
        <v>126</v>
      </c>
      <c r="E2594">
        <v>1975</v>
      </c>
      <c r="F2594" s="1">
        <v>5</v>
      </c>
      <c r="G2594">
        <v>1970</v>
      </c>
      <c r="H2594">
        <f>AVERAGEIFS(Table1[value],Table1[IndicatorCode],Table1[[#This Row],[IndicatorCode]])</f>
        <v>7.6894248608534319</v>
      </c>
      <c r="I2594" cm="1">
        <f t="array" ref="I2594">_xlfn.STDEV.P(IF(Table1[IndicatorCode]=Table1[[#This Row],[IndicatorCode]],Table1[value]))</f>
        <v>5.2319501044600996</v>
      </c>
      <c r="J2594">
        <f>(Table1[[#This Row],[value]] - Table1[[#This Row],[mean]]) / Table1[[#This Row],[std_dev]]</f>
        <v>-0.51403870586624445</v>
      </c>
      <c r="K2594">
        <f>AVERAGEIF(Table1[CountryCode],Table1[[#This Row],[CountryCode]],Table1[z-score])</f>
        <v>9.5615861938696506E-2</v>
      </c>
      <c r="L2594" t="e">
        <f>VLOOKUP(Table1[[#This Row],[CountryCode]],[1]!Table1[#Data],4,FALSE)</f>
        <v>#REF!</v>
      </c>
    </row>
    <row r="2595" spans="1:12" hidden="1" x14ac:dyDescent="0.3">
      <c r="A2595" t="s">
        <v>39</v>
      </c>
      <c r="B2595" t="s">
        <v>40</v>
      </c>
      <c r="C2595" t="s">
        <v>125</v>
      </c>
      <c r="D2595" t="s">
        <v>126</v>
      </c>
      <c r="E2595">
        <v>1976</v>
      </c>
      <c r="F2595" s="1">
        <v>6</v>
      </c>
      <c r="G2595">
        <v>1970</v>
      </c>
      <c r="H2595">
        <f>AVERAGEIFS(Table1[value],Table1[IndicatorCode],Table1[[#This Row],[IndicatorCode]])</f>
        <v>7.6894248608534319</v>
      </c>
      <c r="I2595" cm="1">
        <f t="array" ref="I2595">_xlfn.STDEV.P(IF(Table1[IndicatorCode]=Table1[[#This Row],[IndicatorCode]],Table1[value]))</f>
        <v>5.2319501044600996</v>
      </c>
      <c r="J2595">
        <f>(Table1[[#This Row],[value]] - Table1[[#This Row],[mean]]) / Table1[[#This Row],[std_dev]]</f>
        <v>-0.32290538463148605</v>
      </c>
      <c r="K2595">
        <f>AVERAGEIF(Table1[CountryCode],Table1[[#This Row],[CountryCode]],Table1[z-score])</f>
        <v>9.5615861938696506E-2</v>
      </c>
      <c r="L2595" t="e">
        <f>VLOOKUP(Table1[[#This Row],[CountryCode]],[1]!Table1[#Data],4,FALSE)</f>
        <v>#REF!</v>
      </c>
    </row>
    <row r="2596" spans="1:12" hidden="1" x14ac:dyDescent="0.3">
      <c r="A2596" t="s">
        <v>39</v>
      </c>
      <c r="B2596" t="s">
        <v>40</v>
      </c>
      <c r="C2596" t="s">
        <v>125</v>
      </c>
      <c r="D2596" t="s">
        <v>126</v>
      </c>
      <c r="E2596">
        <v>1977</v>
      </c>
      <c r="F2596" s="1">
        <v>5</v>
      </c>
      <c r="G2596">
        <v>1980</v>
      </c>
      <c r="H2596">
        <f>AVERAGEIFS(Table1[value],Table1[IndicatorCode],Table1[[#This Row],[IndicatorCode]])</f>
        <v>7.6894248608534319</v>
      </c>
      <c r="I2596" cm="1">
        <f t="array" ref="I2596">_xlfn.STDEV.P(IF(Table1[IndicatorCode]=Table1[[#This Row],[IndicatorCode]],Table1[value]))</f>
        <v>5.2319501044600996</v>
      </c>
      <c r="J2596">
        <f>(Table1[[#This Row],[value]] - Table1[[#This Row],[mean]]) / Table1[[#This Row],[std_dev]]</f>
        <v>-0.51403870586624445</v>
      </c>
      <c r="K2596">
        <f>AVERAGEIF(Table1[CountryCode],Table1[[#This Row],[CountryCode]],Table1[z-score])</f>
        <v>9.5615861938696506E-2</v>
      </c>
      <c r="L2596" t="e">
        <f>VLOOKUP(Table1[[#This Row],[CountryCode]],[1]!Table1[#Data],4,FALSE)</f>
        <v>#REF!</v>
      </c>
    </row>
    <row r="2597" spans="1:12" hidden="1" x14ac:dyDescent="0.3">
      <c r="A2597" t="s">
        <v>39</v>
      </c>
      <c r="B2597" t="s">
        <v>40</v>
      </c>
      <c r="C2597" t="s">
        <v>125</v>
      </c>
      <c r="D2597" t="s">
        <v>126</v>
      </c>
      <c r="E2597">
        <v>1978</v>
      </c>
      <c r="F2597" s="1">
        <v>5</v>
      </c>
      <c r="G2597">
        <v>1980</v>
      </c>
      <c r="H2597">
        <f>AVERAGEIFS(Table1[value],Table1[IndicatorCode],Table1[[#This Row],[IndicatorCode]])</f>
        <v>7.6894248608534319</v>
      </c>
      <c r="I2597" cm="1">
        <f t="array" ref="I2597">_xlfn.STDEV.P(IF(Table1[IndicatorCode]=Table1[[#This Row],[IndicatorCode]],Table1[value]))</f>
        <v>5.2319501044600996</v>
      </c>
      <c r="J2597">
        <f>(Table1[[#This Row],[value]] - Table1[[#This Row],[mean]]) / Table1[[#This Row],[std_dev]]</f>
        <v>-0.51403870586624445</v>
      </c>
      <c r="K2597">
        <f>AVERAGEIF(Table1[CountryCode],Table1[[#This Row],[CountryCode]],Table1[z-score])</f>
        <v>9.5615861938696506E-2</v>
      </c>
      <c r="L2597" t="e">
        <f>VLOOKUP(Table1[[#This Row],[CountryCode]],[1]!Table1[#Data],4,FALSE)</f>
        <v>#REF!</v>
      </c>
    </row>
    <row r="2598" spans="1:12" hidden="1" x14ac:dyDescent="0.3">
      <c r="A2598" t="s">
        <v>39</v>
      </c>
      <c r="B2598" t="s">
        <v>40</v>
      </c>
      <c r="C2598" t="s">
        <v>125</v>
      </c>
      <c r="D2598" t="s">
        <v>126</v>
      </c>
      <c r="E2598">
        <v>1979</v>
      </c>
      <c r="F2598" s="1">
        <v>5</v>
      </c>
      <c r="G2598">
        <v>1980</v>
      </c>
      <c r="H2598">
        <f>AVERAGEIFS(Table1[value],Table1[IndicatorCode],Table1[[#This Row],[IndicatorCode]])</f>
        <v>7.6894248608534319</v>
      </c>
      <c r="I2598" cm="1">
        <f t="array" ref="I2598">_xlfn.STDEV.P(IF(Table1[IndicatorCode]=Table1[[#This Row],[IndicatorCode]],Table1[value]))</f>
        <v>5.2319501044600996</v>
      </c>
      <c r="J2598">
        <f>(Table1[[#This Row],[value]] - Table1[[#This Row],[mean]]) / Table1[[#This Row],[std_dev]]</f>
        <v>-0.51403870586624445</v>
      </c>
      <c r="K2598">
        <f>AVERAGEIF(Table1[CountryCode],Table1[[#This Row],[CountryCode]],Table1[z-score])</f>
        <v>9.5615861938696506E-2</v>
      </c>
      <c r="L2598" t="e">
        <f>VLOOKUP(Table1[[#This Row],[CountryCode]],[1]!Table1[#Data],4,FALSE)</f>
        <v>#REF!</v>
      </c>
    </row>
    <row r="2599" spans="1:12" hidden="1" x14ac:dyDescent="0.3">
      <c r="A2599" t="s">
        <v>39</v>
      </c>
      <c r="B2599" t="s">
        <v>40</v>
      </c>
      <c r="C2599" t="s">
        <v>125</v>
      </c>
      <c r="D2599" t="s">
        <v>126</v>
      </c>
      <c r="E2599">
        <v>1980</v>
      </c>
      <c r="F2599" s="1">
        <v>6</v>
      </c>
      <c r="G2599">
        <v>1980</v>
      </c>
      <c r="H2599">
        <f>AVERAGEIFS(Table1[value],Table1[IndicatorCode],Table1[[#This Row],[IndicatorCode]])</f>
        <v>7.6894248608534319</v>
      </c>
      <c r="I2599" cm="1">
        <f t="array" ref="I2599">_xlfn.STDEV.P(IF(Table1[IndicatorCode]=Table1[[#This Row],[IndicatorCode]],Table1[value]))</f>
        <v>5.2319501044600996</v>
      </c>
      <c r="J2599">
        <f>(Table1[[#This Row],[value]] - Table1[[#This Row],[mean]]) / Table1[[#This Row],[std_dev]]</f>
        <v>-0.32290538463148605</v>
      </c>
      <c r="K2599">
        <f>AVERAGEIF(Table1[CountryCode],Table1[[#This Row],[CountryCode]],Table1[z-score])</f>
        <v>9.5615861938696506E-2</v>
      </c>
      <c r="L2599" t="e">
        <f>VLOOKUP(Table1[[#This Row],[CountryCode]],[1]!Table1[#Data],4,FALSE)</f>
        <v>#REF!</v>
      </c>
    </row>
    <row r="2600" spans="1:12" hidden="1" x14ac:dyDescent="0.3">
      <c r="A2600" t="s">
        <v>39</v>
      </c>
      <c r="B2600" t="s">
        <v>40</v>
      </c>
      <c r="C2600" t="s">
        <v>125</v>
      </c>
      <c r="D2600" t="s">
        <v>126</v>
      </c>
      <c r="E2600">
        <v>1981</v>
      </c>
      <c r="F2600" s="1">
        <v>6</v>
      </c>
      <c r="G2600">
        <v>1980</v>
      </c>
      <c r="H2600">
        <f>AVERAGEIFS(Table1[value],Table1[IndicatorCode],Table1[[#This Row],[IndicatorCode]])</f>
        <v>7.6894248608534319</v>
      </c>
      <c r="I2600" cm="1">
        <f t="array" ref="I2600">_xlfn.STDEV.P(IF(Table1[IndicatorCode]=Table1[[#This Row],[IndicatorCode]],Table1[value]))</f>
        <v>5.2319501044600996</v>
      </c>
      <c r="J2600">
        <f>(Table1[[#This Row],[value]] - Table1[[#This Row],[mean]]) / Table1[[#This Row],[std_dev]]</f>
        <v>-0.32290538463148605</v>
      </c>
      <c r="K2600">
        <f>AVERAGEIF(Table1[CountryCode],Table1[[#This Row],[CountryCode]],Table1[z-score])</f>
        <v>9.5615861938696506E-2</v>
      </c>
      <c r="L2600" t="e">
        <f>VLOOKUP(Table1[[#This Row],[CountryCode]],[1]!Table1[#Data],4,FALSE)</f>
        <v>#REF!</v>
      </c>
    </row>
    <row r="2601" spans="1:12" hidden="1" x14ac:dyDescent="0.3">
      <c r="A2601" t="s">
        <v>39</v>
      </c>
      <c r="B2601" t="s">
        <v>40</v>
      </c>
      <c r="C2601" t="s">
        <v>125</v>
      </c>
      <c r="D2601" t="s">
        <v>126</v>
      </c>
      <c r="E2601">
        <v>1982</v>
      </c>
      <c r="F2601" s="1">
        <v>6</v>
      </c>
      <c r="G2601">
        <v>1980</v>
      </c>
      <c r="H2601">
        <f>AVERAGEIFS(Table1[value],Table1[IndicatorCode],Table1[[#This Row],[IndicatorCode]])</f>
        <v>7.6894248608534319</v>
      </c>
      <c r="I2601" cm="1">
        <f t="array" ref="I2601">_xlfn.STDEV.P(IF(Table1[IndicatorCode]=Table1[[#This Row],[IndicatorCode]],Table1[value]))</f>
        <v>5.2319501044600996</v>
      </c>
      <c r="J2601">
        <f>(Table1[[#This Row],[value]] - Table1[[#This Row],[mean]]) / Table1[[#This Row],[std_dev]]</f>
        <v>-0.32290538463148605</v>
      </c>
      <c r="K2601">
        <f>AVERAGEIF(Table1[CountryCode],Table1[[#This Row],[CountryCode]],Table1[z-score])</f>
        <v>9.5615861938696506E-2</v>
      </c>
      <c r="L2601" t="e">
        <f>VLOOKUP(Table1[[#This Row],[CountryCode]],[1]!Table1[#Data],4,FALSE)</f>
        <v>#REF!</v>
      </c>
    </row>
    <row r="2602" spans="1:12" hidden="1" x14ac:dyDescent="0.3">
      <c r="A2602" t="s">
        <v>39</v>
      </c>
      <c r="B2602" t="s">
        <v>40</v>
      </c>
      <c r="C2602" t="s">
        <v>125</v>
      </c>
      <c r="D2602" t="s">
        <v>126</v>
      </c>
      <c r="E2602">
        <v>1983</v>
      </c>
      <c r="F2602" s="1">
        <v>6</v>
      </c>
      <c r="G2602">
        <v>1980</v>
      </c>
      <c r="H2602">
        <f>AVERAGEIFS(Table1[value],Table1[IndicatorCode],Table1[[#This Row],[IndicatorCode]])</f>
        <v>7.6894248608534319</v>
      </c>
      <c r="I2602" cm="1">
        <f t="array" ref="I2602">_xlfn.STDEV.P(IF(Table1[IndicatorCode]=Table1[[#This Row],[IndicatorCode]],Table1[value]))</f>
        <v>5.2319501044600996</v>
      </c>
      <c r="J2602">
        <f>(Table1[[#This Row],[value]] - Table1[[#This Row],[mean]]) / Table1[[#This Row],[std_dev]]</f>
        <v>-0.32290538463148605</v>
      </c>
      <c r="K2602">
        <f>AVERAGEIF(Table1[CountryCode],Table1[[#This Row],[CountryCode]],Table1[z-score])</f>
        <v>9.5615861938696506E-2</v>
      </c>
      <c r="L2602" t="e">
        <f>VLOOKUP(Table1[[#This Row],[CountryCode]],[1]!Table1[#Data],4,FALSE)</f>
        <v>#REF!</v>
      </c>
    </row>
    <row r="2603" spans="1:12" hidden="1" x14ac:dyDescent="0.3">
      <c r="A2603" t="s">
        <v>39</v>
      </c>
      <c r="B2603" t="s">
        <v>40</v>
      </c>
      <c r="C2603" t="s">
        <v>125</v>
      </c>
      <c r="D2603" t="s">
        <v>126</v>
      </c>
      <c r="E2603">
        <v>1984</v>
      </c>
      <c r="F2603" s="1">
        <v>5</v>
      </c>
      <c r="G2603">
        <v>1980</v>
      </c>
      <c r="H2603">
        <f>AVERAGEIFS(Table1[value],Table1[IndicatorCode],Table1[[#This Row],[IndicatorCode]])</f>
        <v>7.6894248608534319</v>
      </c>
      <c r="I2603" cm="1">
        <f t="array" ref="I2603">_xlfn.STDEV.P(IF(Table1[IndicatorCode]=Table1[[#This Row],[IndicatorCode]],Table1[value]))</f>
        <v>5.2319501044600996</v>
      </c>
      <c r="J2603">
        <f>(Table1[[#This Row],[value]] - Table1[[#This Row],[mean]]) / Table1[[#This Row],[std_dev]]</f>
        <v>-0.51403870586624445</v>
      </c>
      <c r="K2603">
        <f>AVERAGEIF(Table1[CountryCode],Table1[[#This Row],[CountryCode]],Table1[z-score])</f>
        <v>9.5615861938696506E-2</v>
      </c>
      <c r="L2603" t="e">
        <f>VLOOKUP(Table1[[#This Row],[CountryCode]],[1]!Table1[#Data],4,FALSE)</f>
        <v>#REF!</v>
      </c>
    </row>
    <row r="2604" spans="1:12" hidden="1" x14ac:dyDescent="0.3">
      <c r="A2604" t="s">
        <v>39</v>
      </c>
      <c r="B2604" t="s">
        <v>40</v>
      </c>
      <c r="C2604" t="s">
        <v>125</v>
      </c>
      <c r="D2604" t="s">
        <v>126</v>
      </c>
      <c r="E2604">
        <v>1985</v>
      </c>
      <c r="F2604" s="1">
        <v>5</v>
      </c>
      <c r="G2604">
        <v>1980</v>
      </c>
      <c r="H2604">
        <f>AVERAGEIFS(Table1[value],Table1[IndicatorCode],Table1[[#This Row],[IndicatorCode]])</f>
        <v>7.6894248608534319</v>
      </c>
      <c r="I2604" cm="1">
        <f t="array" ref="I2604">_xlfn.STDEV.P(IF(Table1[IndicatorCode]=Table1[[#This Row],[IndicatorCode]],Table1[value]))</f>
        <v>5.2319501044600996</v>
      </c>
      <c r="J2604">
        <f>(Table1[[#This Row],[value]] - Table1[[#This Row],[mean]]) / Table1[[#This Row],[std_dev]]</f>
        <v>-0.51403870586624445</v>
      </c>
      <c r="K2604">
        <f>AVERAGEIF(Table1[CountryCode],Table1[[#This Row],[CountryCode]],Table1[z-score])</f>
        <v>9.5615861938696506E-2</v>
      </c>
      <c r="L2604" t="e">
        <f>VLOOKUP(Table1[[#This Row],[CountryCode]],[1]!Table1[#Data],4,FALSE)</f>
        <v>#REF!</v>
      </c>
    </row>
    <row r="2605" spans="1:12" hidden="1" x14ac:dyDescent="0.3">
      <c r="A2605" t="s">
        <v>39</v>
      </c>
      <c r="B2605" t="s">
        <v>40</v>
      </c>
      <c r="C2605" t="s">
        <v>125</v>
      </c>
      <c r="D2605" t="s">
        <v>126</v>
      </c>
      <c r="E2605">
        <v>1986</v>
      </c>
      <c r="F2605" s="1">
        <v>5</v>
      </c>
      <c r="G2605">
        <v>1980</v>
      </c>
      <c r="H2605">
        <f>AVERAGEIFS(Table1[value],Table1[IndicatorCode],Table1[[#This Row],[IndicatorCode]])</f>
        <v>7.6894248608534319</v>
      </c>
      <c r="I2605" cm="1">
        <f t="array" ref="I2605">_xlfn.STDEV.P(IF(Table1[IndicatorCode]=Table1[[#This Row],[IndicatorCode]],Table1[value]))</f>
        <v>5.2319501044600996</v>
      </c>
      <c r="J2605">
        <f>(Table1[[#This Row],[value]] - Table1[[#This Row],[mean]]) / Table1[[#This Row],[std_dev]]</f>
        <v>-0.51403870586624445</v>
      </c>
      <c r="K2605">
        <f>AVERAGEIF(Table1[CountryCode],Table1[[#This Row],[CountryCode]],Table1[z-score])</f>
        <v>9.5615861938696506E-2</v>
      </c>
      <c r="L2605" t="e">
        <f>VLOOKUP(Table1[[#This Row],[CountryCode]],[1]!Table1[#Data],4,FALSE)</f>
        <v>#REF!</v>
      </c>
    </row>
    <row r="2606" spans="1:12" hidden="1" x14ac:dyDescent="0.3">
      <c r="A2606" t="s">
        <v>39</v>
      </c>
      <c r="B2606" t="s">
        <v>40</v>
      </c>
      <c r="C2606" t="s">
        <v>125</v>
      </c>
      <c r="D2606" t="s">
        <v>126</v>
      </c>
      <c r="E2606">
        <v>1987</v>
      </c>
      <c r="F2606" s="1">
        <v>5</v>
      </c>
      <c r="G2606">
        <v>1990</v>
      </c>
      <c r="H2606">
        <f>AVERAGEIFS(Table1[value],Table1[IndicatorCode],Table1[[#This Row],[IndicatorCode]])</f>
        <v>7.6894248608534319</v>
      </c>
      <c r="I2606" cm="1">
        <f t="array" ref="I2606">_xlfn.STDEV.P(IF(Table1[IndicatorCode]=Table1[[#This Row],[IndicatorCode]],Table1[value]))</f>
        <v>5.2319501044600996</v>
      </c>
      <c r="J2606">
        <f>(Table1[[#This Row],[value]] - Table1[[#This Row],[mean]]) / Table1[[#This Row],[std_dev]]</f>
        <v>-0.51403870586624445</v>
      </c>
      <c r="K2606">
        <f>AVERAGEIF(Table1[CountryCode],Table1[[#This Row],[CountryCode]],Table1[z-score])</f>
        <v>9.5615861938696506E-2</v>
      </c>
      <c r="L2606" t="e">
        <f>VLOOKUP(Table1[[#This Row],[CountryCode]],[1]!Table1[#Data],4,FALSE)</f>
        <v>#REF!</v>
      </c>
    </row>
    <row r="2607" spans="1:12" hidden="1" x14ac:dyDescent="0.3">
      <c r="A2607" t="s">
        <v>39</v>
      </c>
      <c r="B2607" t="s">
        <v>40</v>
      </c>
      <c r="C2607" t="s">
        <v>125</v>
      </c>
      <c r="D2607" t="s">
        <v>126</v>
      </c>
      <c r="E2607">
        <v>1988</v>
      </c>
      <c r="F2607" s="1">
        <v>5</v>
      </c>
      <c r="G2607">
        <v>1990</v>
      </c>
      <c r="H2607">
        <f>AVERAGEIFS(Table1[value],Table1[IndicatorCode],Table1[[#This Row],[IndicatorCode]])</f>
        <v>7.6894248608534319</v>
      </c>
      <c r="I2607" cm="1">
        <f t="array" ref="I2607">_xlfn.STDEV.P(IF(Table1[IndicatorCode]=Table1[[#This Row],[IndicatorCode]],Table1[value]))</f>
        <v>5.2319501044600996</v>
      </c>
      <c r="J2607">
        <f>(Table1[[#This Row],[value]] - Table1[[#This Row],[mean]]) / Table1[[#This Row],[std_dev]]</f>
        <v>-0.51403870586624445</v>
      </c>
      <c r="K2607">
        <f>AVERAGEIF(Table1[CountryCode],Table1[[#This Row],[CountryCode]],Table1[z-score])</f>
        <v>9.5615861938696506E-2</v>
      </c>
      <c r="L2607" t="e">
        <f>VLOOKUP(Table1[[#This Row],[CountryCode]],[1]!Table1[#Data],4,FALSE)</f>
        <v>#REF!</v>
      </c>
    </row>
    <row r="2608" spans="1:12" hidden="1" x14ac:dyDescent="0.3">
      <c r="A2608" t="s">
        <v>39</v>
      </c>
      <c r="B2608" t="s">
        <v>40</v>
      </c>
      <c r="C2608" t="s">
        <v>125</v>
      </c>
      <c r="D2608" t="s">
        <v>126</v>
      </c>
      <c r="E2608">
        <v>1989</v>
      </c>
      <c r="F2608" s="1">
        <v>6</v>
      </c>
      <c r="G2608">
        <v>1990</v>
      </c>
      <c r="H2608">
        <f>AVERAGEIFS(Table1[value],Table1[IndicatorCode],Table1[[#This Row],[IndicatorCode]])</f>
        <v>7.6894248608534319</v>
      </c>
      <c r="I2608" cm="1">
        <f t="array" ref="I2608">_xlfn.STDEV.P(IF(Table1[IndicatorCode]=Table1[[#This Row],[IndicatorCode]],Table1[value]))</f>
        <v>5.2319501044600996</v>
      </c>
      <c r="J2608">
        <f>(Table1[[#This Row],[value]] - Table1[[#This Row],[mean]]) / Table1[[#This Row],[std_dev]]</f>
        <v>-0.32290538463148605</v>
      </c>
      <c r="K2608">
        <f>AVERAGEIF(Table1[CountryCode],Table1[[#This Row],[CountryCode]],Table1[z-score])</f>
        <v>9.5615861938696506E-2</v>
      </c>
      <c r="L2608" t="e">
        <f>VLOOKUP(Table1[[#This Row],[CountryCode]],[1]!Table1[#Data],4,FALSE)</f>
        <v>#REF!</v>
      </c>
    </row>
    <row r="2609" spans="1:12" hidden="1" x14ac:dyDescent="0.3">
      <c r="A2609" t="s">
        <v>39</v>
      </c>
      <c r="B2609" t="s">
        <v>40</v>
      </c>
      <c r="C2609" t="s">
        <v>125</v>
      </c>
      <c r="D2609" t="s">
        <v>126</v>
      </c>
      <c r="E2609">
        <v>1990</v>
      </c>
      <c r="F2609" s="1">
        <v>6</v>
      </c>
      <c r="G2609">
        <v>1990</v>
      </c>
      <c r="H2609">
        <f>AVERAGEIFS(Table1[value],Table1[IndicatorCode],Table1[[#This Row],[IndicatorCode]])</f>
        <v>7.6894248608534319</v>
      </c>
      <c r="I2609" cm="1">
        <f t="array" ref="I2609">_xlfn.STDEV.P(IF(Table1[IndicatorCode]=Table1[[#This Row],[IndicatorCode]],Table1[value]))</f>
        <v>5.2319501044600996</v>
      </c>
      <c r="J2609">
        <f>(Table1[[#This Row],[value]] - Table1[[#This Row],[mean]]) / Table1[[#This Row],[std_dev]]</f>
        <v>-0.32290538463148605</v>
      </c>
      <c r="K2609">
        <f>AVERAGEIF(Table1[CountryCode],Table1[[#This Row],[CountryCode]],Table1[z-score])</f>
        <v>9.5615861938696506E-2</v>
      </c>
      <c r="L2609" t="e">
        <f>VLOOKUP(Table1[[#This Row],[CountryCode]],[1]!Table1[#Data],4,FALSE)</f>
        <v>#REF!</v>
      </c>
    </row>
    <row r="2610" spans="1:12" hidden="1" x14ac:dyDescent="0.3">
      <c r="A2610" t="s">
        <v>39</v>
      </c>
      <c r="B2610" t="s">
        <v>40</v>
      </c>
      <c r="C2610" t="s">
        <v>125</v>
      </c>
      <c r="D2610" t="s">
        <v>126</v>
      </c>
      <c r="E2610">
        <v>1991</v>
      </c>
      <c r="F2610" s="1">
        <v>6</v>
      </c>
      <c r="G2610">
        <v>1990</v>
      </c>
      <c r="H2610">
        <f>AVERAGEIFS(Table1[value],Table1[IndicatorCode],Table1[[#This Row],[IndicatorCode]])</f>
        <v>7.6894248608534319</v>
      </c>
      <c r="I2610" cm="1">
        <f t="array" ref="I2610">_xlfn.STDEV.P(IF(Table1[IndicatorCode]=Table1[[#This Row],[IndicatorCode]],Table1[value]))</f>
        <v>5.2319501044600996</v>
      </c>
      <c r="J2610">
        <f>(Table1[[#This Row],[value]] - Table1[[#This Row],[mean]]) / Table1[[#This Row],[std_dev]]</f>
        <v>-0.32290538463148605</v>
      </c>
      <c r="K2610">
        <f>AVERAGEIF(Table1[CountryCode],Table1[[#This Row],[CountryCode]],Table1[z-score])</f>
        <v>9.5615861938696506E-2</v>
      </c>
      <c r="L2610" t="e">
        <f>VLOOKUP(Table1[[#This Row],[CountryCode]],[1]!Table1[#Data],4,FALSE)</f>
        <v>#REF!</v>
      </c>
    </row>
    <row r="2611" spans="1:12" hidden="1" x14ac:dyDescent="0.3">
      <c r="A2611" t="s">
        <v>39</v>
      </c>
      <c r="B2611" t="s">
        <v>40</v>
      </c>
      <c r="C2611" t="s">
        <v>125</v>
      </c>
      <c r="D2611" t="s">
        <v>126</v>
      </c>
      <c r="E2611">
        <v>1992</v>
      </c>
      <c r="F2611" s="1">
        <v>6</v>
      </c>
      <c r="G2611">
        <v>1990</v>
      </c>
      <c r="H2611">
        <f>AVERAGEIFS(Table1[value],Table1[IndicatorCode],Table1[[#This Row],[IndicatorCode]])</f>
        <v>7.6894248608534319</v>
      </c>
      <c r="I2611" cm="1">
        <f t="array" ref="I2611">_xlfn.STDEV.P(IF(Table1[IndicatorCode]=Table1[[#This Row],[IndicatorCode]],Table1[value]))</f>
        <v>5.2319501044600996</v>
      </c>
      <c r="J2611">
        <f>(Table1[[#This Row],[value]] - Table1[[#This Row],[mean]]) / Table1[[#This Row],[std_dev]]</f>
        <v>-0.32290538463148605</v>
      </c>
      <c r="K2611">
        <f>AVERAGEIF(Table1[CountryCode],Table1[[#This Row],[CountryCode]],Table1[z-score])</f>
        <v>9.5615861938696506E-2</v>
      </c>
      <c r="L2611" t="e">
        <f>VLOOKUP(Table1[[#This Row],[CountryCode]],[1]!Table1[#Data],4,FALSE)</f>
        <v>#REF!</v>
      </c>
    </row>
    <row r="2612" spans="1:12" hidden="1" x14ac:dyDescent="0.3">
      <c r="A2612" t="s">
        <v>39</v>
      </c>
      <c r="B2612" t="s">
        <v>40</v>
      </c>
      <c r="C2612" t="s">
        <v>125</v>
      </c>
      <c r="D2612" t="s">
        <v>126</v>
      </c>
      <c r="E2612">
        <v>1993</v>
      </c>
      <c r="F2612" s="1">
        <v>6</v>
      </c>
      <c r="G2612">
        <v>1990</v>
      </c>
      <c r="H2612">
        <f>AVERAGEIFS(Table1[value],Table1[IndicatorCode],Table1[[#This Row],[IndicatorCode]])</f>
        <v>7.6894248608534319</v>
      </c>
      <c r="I2612" cm="1">
        <f t="array" ref="I2612">_xlfn.STDEV.P(IF(Table1[IndicatorCode]=Table1[[#This Row],[IndicatorCode]],Table1[value]))</f>
        <v>5.2319501044600996</v>
      </c>
      <c r="J2612">
        <f>(Table1[[#This Row],[value]] - Table1[[#This Row],[mean]]) / Table1[[#This Row],[std_dev]]</f>
        <v>-0.32290538463148605</v>
      </c>
      <c r="K2612">
        <f>AVERAGEIF(Table1[CountryCode],Table1[[#This Row],[CountryCode]],Table1[z-score])</f>
        <v>9.5615861938696506E-2</v>
      </c>
      <c r="L2612" t="e">
        <f>VLOOKUP(Table1[[#This Row],[CountryCode]],[1]!Table1[#Data],4,FALSE)</f>
        <v>#REF!</v>
      </c>
    </row>
    <row r="2613" spans="1:12" hidden="1" x14ac:dyDescent="0.3">
      <c r="A2613" t="s">
        <v>39</v>
      </c>
      <c r="B2613" t="s">
        <v>40</v>
      </c>
      <c r="C2613" t="s">
        <v>125</v>
      </c>
      <c r="D2613" t="s">
        <v>126</v>
      </c>
      <c r="E2613">
        <v>1994</v>
      </c>
      <c r="F2613" s="1">
        <v>6</v>
      </c>
      <c r="G2613">
        <v>1990</v>
      </c>
      <c r="H2613">
        <f>AVERAGEIFS(Table1[value],Table1[IndicatorCode],Table1[[#This Row],[IndicatorCode]])</f>
        <v>7.6894248608534319</v>
      </c>
      <c r="I2613" cm="1">
        <f t="array" ref="I2613">_xlfn.STDEV.P(IF(Table1[IndicatorCode]=Table1[[#This Row],[IndicatorCode]],Table1[value]))</f>
        <v>5.2319501044600996</v>
      </c>
      <c r="J2613">
        <f>(Table1[[#This Row],[value]] - Table1[[#This Row],[mean]]) / Table1[[#This Row],[std_dev]]</f>
        <v>-0.32290538463148605</v>
      </c>
      <c r="K2613">
        <f>AVERAGEIF(Table1[CountryCode],Table1[[#This Row],[CountryCode]],Table1[z-score])</f>
        <v>9.5615861938696506E-2</v>
      </c>
      <c r="L2613" t="e">
        <f>VLOOKUP(Table1[[#This Row],[CountryCode]],[1]!Table1[#Data],4,FALSE)</f>
        <v>#REF!</v>
      </c>
    </row>
    <row r="2614" spans="1:12" hidden="1" x14ac:dyDescent="0.3">
      <c r="A2614" t="s">
        <v>39</v>
      </c>
      <c r="B2614" t="s">
        <v>40</v>
      </c>
      <c r="C2614" t="s">
        <v>125</v>
      </c>
      <c r="D2614" t="s">
        <v>126</v>
      </c>
      <c r="E2614">
        <v>1995</v>
      </c>
      <c r="F2614" s="1">
        <v>6</v>
      </c>
      <c r="G2614">
        <v>1990</v>
      </c>
      <c r="H2614">
        <f>AVERAGEIFS(Table1[value],Table1[IndicatorCode],Table1[[#This Row],[IndicatorCode]])</f>
        <v>7.6894248608534319</v>
      </c>
      <c r="I2614" cm="1">
        <f t="array" ref="I2614">_xlfn.STDEV.P(IF(Table1[IndicatorCode]=Table1[[#This Row],[IndicatorCode]],Table1[value]))</f>
        <v>5.2319501044600996</v>
      </c>
      <c r="J2614">
        <f>(Table1[[#This Row],[value]] - Table1[[#This Row],[mean]]) / Table1[[#This Row],[std_dev]]</f>
        <v>-0.32290538463148605</v>
      </c>
      <c r="K2614">
        <f>AVERAGEIF(Table1[CountryCode],Table1[[#This Row],[CountryCode]],Table1[z-score])</f>
        <v>9.5615861938696506E-2</v>
      </c>
      <c r="L2614" t="e">
        <f>VLOOKUP(Table1[[#This Row],[CountryCode]],[1]!Table1[#Data],4,FALSE)</f>
        <v>#REF!</v>
      </c>
    </row>
    <row r="2615" spans="1:12" hidden="1" x14ac:dyDescent="0.3">
      <c r="A2615" t="s">
        <v>39</v>
      </c>
      <c r="B2615" t="s">
        <v>40</v>
      </c>
      <c r="C2615" t="s">
        <v>125</v>
      </c>
      <c r="D2615" t="s">
        <v>126</v>
      </c>
      <c r="E2615">
        <v>1996</v>
      </c>
      <c r="F2615" s="1">
        <v>6</v>
      </c>
      <c r="G2615">
        <v>1990</v>
      </c>
      <c r="H2615">
        <f>AVERAGEIFS(Table1[value],Table1[IndicatorCode],Table1[[#This Row],[IndicatorCode]])</f>
        <v>7.6894248608534319</v>
      </c>
      <c r="I2615" cm="1">
        <f t="array" ref="I2615">_xlfn.STDEV.P(IF(Table1[IndicatorCode]=Table1[[#This Row],[IndicatorCode]],Table1[value]))</f>
        <v>5.2319501044600996</v>
      </c>
      <c r="J2615">
        <f>(Table1[[#This Row],[value]] - Table1[[#This Row],[mean]]) / Table1[[#This Row],[std_dev]]</f>
        <v>-0.32290538463148605</v>
      </c>
      <c r="K2615">
        <f>AVERAGEIF(Table1[CountryCode],Table1[[#This Row],[CountryCode]],Table1[z-score])</f>
        <v>9.5615861938696506E-2</v>
      </c>
      <c r="L2615" t="e">
        <f>VLOOKUP(Table1[[#This Row],[CountryCode]],[1]!Table1[#Data],4,FALSE)</f>
        <v>#REF!</v>
      </c>
    </row>
    <row r="2616" spans="1:12" hidden="1" x14ac:dyDescent="0.3">
      <c r="A2616" t="s">
        <v>39</v>
      </c>
      <c r="B2616" t="s">
        <v>40</v>
      </c>
      <c r="C2616" t="s">
        <v>125</v>
      </c>
      <c r="D2616" t="s">
        <v>126</v>
      </c>
      <c r="E2616">
        <v>1997</v>
      </c>
      <c r="F2616" s="1">
        <v>7</v>
      </c>
      <c r="G2616">
        <v>2000</v>
      </c>
      <c r="H2616">
        <f>AVERAGEIFS(Table1[value],Table1[IndicatorCode],Table1[[#This Row],[IndicatorCode]])</f>
        <v>7.6894248608534319</v>
      </c>
      <c r="I2616" cm="1">
        <f t="array" ref="I2616">_xlfn.STDEV.P(IF(Table1[IndicatorCode]=Table1[[#This Row],[IndicatorCode]],Table1[value]))</f>
        <v>5.2319501044600996</v>
      </c>
      <c r="J2616">
        <f>(Table1[[#This Row],[value]] - Table1[[#This Row],[mean]]) / Table1[[#This Row],[std_dev]]</f>
        <v>-0.13177206339672762</v>
      </c>
      <c r="K2616">
        <f>AVERAGEIF(Table1[CountryCode],Table1[[#This Row],[CountryCode]],Table1[z-score])</f>
        <v>9.5615861938696506E-2</v>
      </c>
      <c r="L2616" t="e">
        <f>VLOOKUP(Table1[[#This Row],[CountryCode]],[1]!Table1[#Data],4,FALSE)</f>
        <v>#REF!</v>
      </c>
    </row>
    <row r="2617" spans="1:12" hidden="1" x14ac:dyDescent="0.3">
      <c r="A2617" t="s">
        <v>39</v>
      </c>
      <c r="B2617" t="s">
        <v>40</v>
      </c>
      <c r="C2617" t="s">
        <v>125</v>
      </c>
      <c r="D2617" t="s">
        <v>126</v>
      </c>
      <c r="E2617">
        <v>1998</v>
      </c>
      <c r="F2617" s="1">
        <v>7</v>
      </c>
      <c r="G2617">
        <v>2000</v>
      </c>
      <c r="H2617">
        <f>AVERAGEIFS(Table1[value],Table1[IndicatorCode],Table1[[#This Row],[IndicatorCode]])</f>
        <v>7.6894248608534319</v>
      </c>
      <c r="I2617" cm="1">
        <f t="array" ref="I2617">_xlfn.STDEV.P(IF(Table1[IndicatorCode]=Table1[[#This Row],[IndicatorCode]],Table1[value]))</f>
        <v>5.2319501044600996</v>
      </c>
      <c r="J2617">
        <f>(Table1[[#This Row],[value]] - Table1[[#This Row],[mean]]) / Table1[[#This Row],[std_dev]]</f>
        <v>-0.13177206339672762</v>
      </c>
      <c r="K2617">
        <f>AVERAGEIF(Table1[CountryCode],Table1[[#This Row],[CountryCode]],Table1[z-score])</f>
        <v>9.5615861938696506E-2</v>
      </c>
      <c r="L2617" t="e">
        <f>VLOOKUP(Table1[[#This Row],[CountryCode]],[1]!Table1[#Data],4,FALSE)</f>
        <v>#REF!</v>
      </c>
    </row>
    <row r="2618" spans="1:12" hidden="1" x14ac:dyDescent="0.3">
      <c r="A2618" t="s">
        <v>39</v>
      </c>
      <c r="B2618" t="s">
        <v>40</v>
      </c>
      <c r="C2618" t="s">
        <v>125</v>
      </c>
      <c r="D2618" t="s">
        <v>126</v>
      </c>
      <c r="E2618">
        <v>1999</v>
      </c>
      <c r="F2618" s="1">
        <v>7</v>
      </c>
      <c r="G2618">
        <v>2000</v>
      </c>
      <c r="H2618">
        <f>AVERAGEIFS(Table1[value],Table1[IndicatorCode],Table1[[#This Row],[IndicatorCode]])</f>
        <v>7.6894248608534319</v>
      </c>
      <c r="I2618" cm="1">
        <f t="array" ref="I2618">_xlfn.STDEV.P(IF(Table1[IndicatorCode]=Table1[[#This Row],[IndicatorCode]],Table1[value]))</f>
        <v>5.2319501044600996</v>
      </c>
      <c r="J2618">
        <f>(Table1[[#This Row],[value]] - Table1[[#This Row],[mean]]) / Table1[[#This Row],[std_dev]]</f>
        <v>-0.13177206339672762</v>
      </c>
      <c r="K2618">
        <f>AVERAGEIF(Table1[CountryCode],Table1[[#This Row],[CountryCode]],Table1[z-score])</f>
        <v>9.5615861938696506E-2</v>
      </c>
      <c r="L2618" t="e">
        <f>VLOOKUP(Table1[[#This Row],[CountryCode]],[1]!Table1[#Data],4,FALSE)</f>
        <v>#REF!</v>
      </c>
    </row>
    <row r="2619" spans="1:12" hidden="1" x14ac:dyDescent="0.3">
      <c r="A2619" t="s">
        <v>39</v>
      </c>
      <c r="B2619" t="s">
        <v>40</v>
      </c>
      <c r="C2619" t="s">
        <v>125</v>
      </c>
      <c r="D2619" t="s">
        <v>126</v>
      </c>
      <c r="E2619">
        <v>2000</v>
      </c>
      <c r="F2619" s="1">
        <v>8</v>
      </c>
      <c r="G2619">
        <v>2000</v>
      </c>
      <c r="H2619">
        <f>AVERAGEIFS(Table1[value],Table1[IndicatorCode],Table1[[#This Row],[IndicatorCode]])</f>
        <v>7.6894248608534319</v>
      </c>
      <c r="I2619" cm="1">
        <f t="array" ref="I2619">_xlfn.STDEV.P(IF(Table1[IndicatorCode]=Table1[[#This Row],[IndicatorCode]],Table1[value]))</f>
        <v>5.2319501044600996</v>
      </c>
      <c r="J2619">
        <f>(Table1[[#This Row],[value]] - Table1[[#This Row],[mean]]) / Table1[[#This Row],[std_dev]]</f>
        <v>5.9361257838030791E-2</v>
      </c>
      <c r="K2619">
        <f>AVERAGEIF(Table1[CountryCode],Table1[[#This Row],[CountryCode]],Table1[z-score])</f>
        <v>9.5615861938696506E-2</v>
      </c>
      <c r="L2619" t="e">
        <f>VLOOKUP(Table1[[#This Row],[CountryCode]],[1]!Table1[#Data],4,FALSE)</f>
        <v>#REF!</v>
      </c>
    </row>
    <row r="2620" spans="1:12" hidden="1" x14ac:dyDescent="0.3">
      <c r="A2620" t="s">
        <v>39</v>
      </c>
      <c r="B2620" t="s">
        <v>40</v>
      </c>
      <c r="C2620" t="s">
        <v>125</v>
      </c>
      <c r="D2620" t="s">
        <v>126</v>
      </c>
      <c r="E2620">
        <v>2001</v>
      </c>
      <c r="F2620" s="1">
        <v>8</v>
      </c>
      <c r="G2620">
        <v>2000</v>
      </c>
      <c r="H2620">
        <f>AVERAGEIFS(Table1[value],Table1[IndicatorCode],Table1[[#This Row],[IndicatorCode]])</f>
        <v>7.6894248608534319</v>
      </c>
      <c r="I2620" cm="1">
        <f t="array" ref="I2620">_xlfn.STDEV.P(IF(Table1[IndicatorCode]=Table1[[#This Row],[IndicatorCode]],Table1[value]))</f>
        <v>5.2319501044600996</v>
      </c>
      <c r="J2620">
        <f>(Table1[[#This Row],[value]] - Table1[[#This Row],[mean]]) / Table1[[#This Row],[std_dev]]</f>
        <v>5.9361257838030791E-2</v>
      </c>
      <c r="K2620">
        <f>AVERAGEIF(Table1[CountryCode],Table1[[#This Row],[CountryCode]],Table1[z-score])</f>
        <v>9.5615861938696506E-2</v>
      </c>
      <c r="L2620" t="e">
        <f>VLOOKUP(Table1[[#This Row],[CountryCode]],[1]!Table1[#Data],4,FALSE)</f>
        <v>#REF!</v>
      </c>
    </row>
    <row r="2621" spans="1:12" hidden="1" x14ac:dyDescent="0.3">
      <c r="A2621" t="s">
        <v>39</v>
      </c>
      <c r="B2621" t="s">
        <v>40</v>
      </c>
      <c r="C2621" t="s">
        <v>125</v>
      </c>
      <c r="D2621" t="s">
        <v>126</v>
      </c>
      <c r="E2621">
        <v>2002</v>
      </c>
      <c r="F2621" s="1">
        <v>8</v>
      </c>
      <c r="G2621">
        <v>2000</v>
      </c>
      <c r="H2621">
        <f>AVERAGEIFS(Table1[value],Table1[IndicatorCode],Table1[[#This Row],[IndicatorCode]])</f>
        <v>7.6894248608534319</v>
      </c>
      <c r="I2621" cm="1">
        <f t="array" ref="I2621">_xlfn.STDEV.P(IF(Table1[IndicatorCode]=Table1[[#This Row],[IndicatorCode]],Table1[value]))</f>
        <v>5.2319501044600996</v>
      </c>
      <c r="J2621">
        <f>(Table1[[#This Row],[value]] - Table1[[#This Row],[mean]]) / Table1[[#This Row],[std_dev]]</f>
        <v>5.9361257838030791E-2</v>
      </c>
      <c r="K2621">
        <f>AVERAGEIF(Table1[CountryCode],Table1[[#This Row],[CountryCode]],Table1[z-score])</f>
        <v>9.5615861938696506E-2</v>
      </c>
      <c r="L2621" t="e">
        <f>VLOOKUP(Table1[[#This Row],[CountryCode]],[1]!Table1[#Data],4,FALSE)</f>
        <v>#REF!</v>
      </c>
    </row>
    <row r="2622" spans="1:12" hidden="1" x14ac:dyDescent="0.3">
      <c r="A2622" t="s">
        <v>39</v>
      </c>
      <c r="B2622" t="s">
        <v>40</v>
      </c>
      <c r="C2622" t="s">
        <v>125</v>
      </c>
      <c r="D2622" t="s">
        <v>126</v>
      </c>
      <c r="E2622">
        <v>2003</v>
      </c>
      <c r="F2622" s="1">
        <v>8</v>
      </c>
      <c r="G2622">
        <v>2000</v>
      </c>
      <c r="H2622">
        <f>AVERAGEIFS(Table1[value],Table1[IndicatorCode],Table1[[#This Row],[IndicatorCode]])</f>
        <v>7.6894248608534319</v>
      </c>
      <c r="I2622" cm="1">
        <f t="array" ref="I2622">_xlfn.STDEV.P(IF(Table1[IndicatorCode]=Table1[[#This Row],[IndicatorCode]],Table1[value]))</f>
        <v>5.2319501044600996</v>
      </c>
      <c r="J2622">
        <f>(Table1[[#This Row],[value]] - Table1[[#This Row],[mean]]) / Table1[[#This Row],[std_dev]]</f>
        <v>5.9361257838030791E-2</v>
      </c>
      <c r="K2622">
        <f>AVERAGEIF(Table1[CountryCode],Table1[[#This Row],[CountryCode]],Table1[z-score])</f>
        <v>9.5615861938696506E-2</v>
      </c>
      <c r="L2622" t="e">
        <f>VLOOKUP(Table1[[#This Row],[CountryCode]],[1]!Table1[#Data],4,FALSE)</f>
        <v>#REF!</v>
      </c>
    </row>
    <row r="2623" spans="1:12" hidden="1" x14ac:dyDescent="0.3">
      <c r="A2623" t="s">
        <v>39</v>
      </c>
      <c r="B2623" t="s">
        <v>40</v>
      </c>
      <c r="C2623" t="s">
        <v>125</v>
      </c>
      <c r="D2623" t="s">
        <v>126</v>
      </c>
      <c r="E2623">
        <v>2004</v>
      </c>
      <c r="F2623" s="1">
        <v>8</v>
      </c>
      <c r="G2623">
        <v>2000</v>
      </c>
      <c r="H2623">
        <f>AVERAGEIFS(Table1[value],Table1[IndicatorCode],Table1[[#This Row],[IndicatorCode]])</f>
        <v>7.6894248608534319</v>
      </c>
      <c r="I2623" cm="1">
        <f t="array" ref="I2623">_xlfn.STDEV.P(IF(Table1[IndicatorCode]=Table1[[#This Row],[IndicatorCode]],Table1[value]))</f>
        <v>5.2319501044600996</v>
      </c>
      <c r="J2623">
        <f>(Table1[[#This Row],[value]] - Table1[[#This Row],[mean]]) / Table1[[#This Row],[std_dev]]</f>
        <v>5.9361257838030791E-2</v>
      </c>
      <c r="K2623">
        <f>AVERAGEIF(Table1[CountryCode],Table1[[#This Row],[CountryCode]],Table1[z-score])</f>
        <v>9.5615861938696506E-2</v>
      </c>
      <c r="L2623" t="e">
        <f>VLOOKUP(Table1[[#This Row],[CountryCode]],[1]!Table1[#Data],4,FALSE)</f>
        <v>#REF!</v>
      </c>
    </row>
    <row r="2624" spans="1:12" hidden="1" x14ac:dyDescent="0.3">
      <c r="A2624" t="s">
        <v>39</v>
      </c>
      <c r="B2624" t="s">
        <v>40</v>
      </c>
      <c r="C2624" t="s">
        <v>125</v>
      </c>
      <c r="D2624" t="s">
        <v>126</v>
      </c>
      <c r="E2624">
        <v>2005</v>
      </c>
      <c r="F2624" s="1">
        <v>8</v>
      </c>
      <c r="G2624">
        <v>2000</v>
      </c>
      <c r="H2624">
        <f>AVERAGEIFS(Table1[value],Table1[IndicatorCode],Table1[[#This Row],[IndicatorCode]])</f>
        <v>7.6894248608534319</v>
      </c>
      <c r="I2624" cm="1">
        <f t="array" ref="I2624">_xlfn.STDEV.P(IF(Table1[IndicatorCode]=Table1[[#This Row],[IndicatorCode]],Table1[value]))</f>
        <v>5.2319501044600996</v>
      </c>
      <c r="J2624">
        <f>(Table1[[#This Row],[value]] - Table1[[#This Row],[mean]]) / Table1[[#This Row],[std_dev]]</f>
        <v>5.9361257838030791E-2</v>
      </c>
      <c r="K2624">
        <f>AVERAGEIF(Table1[CountryCode],Table1[[#This Row],[CountryCode]],Table1[z-score])</f>
        <v>9.5615861938696506E-2</v>
      </c>
      <c r="L2624" t="e">
        <f>VLOOKUP(Table1[[#This Row],[CountryCode]],[1]!Table1[#Data],4,FALSE)</f>
        <v>#REF!</v>
      </c>
    </row>
    <row r="2625" spans="1:12" hidden="1" x14ac:dyDescent="0.3">
      <c r="A2625" t="s">
        <v>39</v>
      </c>
      <c r="B2625" t="s">
        <v>40</v>
      </c>
      <c r="C2625" t="s">
        <v>125</v>
      </c>
      <c r="D2625" t="s">
        <v>126</v>
      </c>
      <c r="E2625">
        <v>2006</v>
      </c>
      <c r="F2625" s="1">
        <v>8</v>
      </c>
      <c r="G2625">
        <v>2000</v>
      </c>
      <c r="H2625">
        <f>AVERAGEIFS(Table1[value],Table1[IndicatorCode],Table1[[#This Row],[IndicatorCode]])</f>
        <v>7.6894248608534319</v>
      </c>
      <c r="I2625" cm="1">
        <f t="array" ref="I2625">_xlfn.STDEV.P(IF(Table1[IndicatorCode]=Table1[[#This Row],[IndicatorCode]],Table1[value]))</f>
        <v>5.2319501044600996</v>
      </c>
      <c r="J2625">
        <f>(Table1[[#This Row],[value]] - Table1[[#This Row],[mean]]) / Table1[[#This Row],[std_dev]]</f>
        <v>5.9361257838030791E-2</v>
      </c>
      <c r="K2625">
        <f>AVERAGEIF(Table1[CountryCode],Table1[[#This Row],[CountryCode]],Table1[z-score])</f>
        <v>9.5615861938696506E-2</v>
      </c>
      <c r="L2625" t="e">
        <f>VLOOKUP(Table1[[#This Row],[CountryCode]],[1]!Table1[#Data],4,FALSE)</f>
        <v>#REF!</v>
      </c>
    </row>
    <row r="2626" spans="1:12" hidden="1" x14ac:dyDescent="0.3">
      <c r="A2626" t="s">
        <v>39</v>
      </c>
      <c r="B2626" t="s">
        <v>40</v>
      </c>
      <c r="C2626" t="s">
        <v>125</v>
      </c>
      <c r="D2626" t="s">
        <v>126</v>
      </c>
      <c r="E2626">
        <v>2007</v>
      </c>
      <c r="F2626" s="1">
        <v>8</v>
      </c>
      <c r="G2626">
        <v>2010</v>
      </c>
      <c r="H2626">
        <f>AVERAGEIFS(Table1[value],Table1[IndicatorCode],Table1[[#This Row],[IndicatorCode]])</f>
        <v>7.6894248608534319</v>
      </c>
      <c r="I2626" cm="1">
        <f t="array" ref="I2626">_xlfn.STDEV.P(IF(Table1[IndicatorCode]=Table1[[#This Row],[IndicatorCode]],Table1[value]))</f>
        <v>5.2319501044600996</v>
      </c>
      <c r="J2626">
        <f>(Table1[[#This Row],[value]] - Table1[[#This Row],[mean]]) / Table1[[#This Row],[std_dev]]</f>
        <v>5.9361257838030791E-2</v>
      </c>
      <c r="K2626">
        <f>AVERAGEIF(Table1[CountryCode],Table1[[#This Row],[CountryCode]],Table1[z-score])</f>
        <v>9.5615861938696506E-2</v>
      </c>
      <c r="L2626" t="e">
        <f>VLOOKUP(Table1[[#This Row],[CountryCode]],[1]!Table1[#Data],4,FALSE)</f>
        <v>#REF!</v>
      </c>
    </row>
    <row r="2627" spans="1:12" hidden="1" x14ac:dyDescent="0.3">
      <c r="A2627" t="s">
        <v>39</v>
      </c>
      <c r="B2627" t="s">
        <v>40</v>
      </c>
      <c r="C2627" t="s">
        <v>125</v>
      </c>
      <c r="D2627" t="s">
        <v>126</v>
      </c>
      <c r="E2627">
        <v>2008</v>
      </c>
      <c r="F2627" s="1">
        <v>7</v>
      </c>
      <c r="G2627">
        <v>2010</v>
      </c>
      <c r="H2627">
        <f>AVERAGEIFS(Table1[value],Table1[IndicatorCode],Table1[[#This Row],[IndicatorCode]])</f>
        <v>7.6894248608534319</v>
      </c>
      <c r="I2627" cm="1">
        <f t="array" ref="I2627">_xlfn.STDEV.P(IF(Table1[IndicatorCode]=Table1[[#This Row],[IndicatorCode]],Table1[value]))</f>
        <v>5.2319501044600996</v>
      </c>
      <c r="J2627">
        <f>(Table1[[#This Row],[value]] - Table1[[#This Row],[mean]]) / Table1[[#This Row],[std_dev]]</f>
        <v>-0.13177206339672762</v>
      </c>
      <c r="K2627">
        <f>AVERAGEIF(Table1[CountryCode],Table1[[#This Row],[CountryCode]],Table1[z-score])</f>
        <v>9.5615861938696506E-2</v>
      </c>
      <c r="L2627" t="e">
        <f>VLOOKUP(Table1[[#This Row],[CountryCode]],[1]!Table1[#Data],4,FALSE)</f>
        <v>#REF!</v>
      </c>
    </row>
    <row r="2628" spans="1:12" hidden="1" x14ac:dyDescent="0.3">
      <c r="A2628" t="s">
        <v>39</v>
      </c>
      <c r="B2628" t="s">
        <v>40</v>
      </c>
      <c r="C2628" t="s">
        <v>125</v>
      </c>
      <c r="D2628" t="s">
        <v>126</v>
      </c>
      <c r="E2628">
        <v>2009</v>
      </c>
      <c r="F2628" s="1">
        <v>6</v>
      </c>
      <c r="G2628">
        <v>2010</v>
      </c>
      <c r="H2628">
        <f>AVERAGEIFS(Table1[value],Table1[IndicatorCode],Table1[[#This Row],[IndicatorCode]])</f>
        <v>7.6894248608534319</v>
      </c>
      <c r="I2628" cm="1">
        <f t="array" ref="I2628">_xlfn.STDEV.P(IF(Table1[IndicatorCode]=Table1[[#This Row],[IndicatorCode]],Table1[value]))</f>
        <v>5.2319501044600996</v>
      </c>
      <c r="J2628">
        <f>(Table1[[#This Row],[value]] - Table1[[#This Row],[mean]]) / Table1[[#This Row],[std_dev]]</f>
        <v>-0.32290538463148605</v>
      </c>
      <c r="K2628">
        <f>AVERAGEIF(Table1[CountryCode],Table1[[#This Row],[CountryCode]],Table1[z-score])</f>
        <v>9.5615861938696506E-2</v>
      </c>
      <c r="L2628" t="e">
        <f>VLOOKUP(Table1[[#This Row],[CountryCode]],[1]!Table1[#Data],4,FALSE)</f>
        <v>#REF!</v>
      </c>
    </row>
    <row r="2629" spans="1:12" hidden="1" x14ac:dyDescent="0.3">
      <c r="A2629" t="s">
        <v>39</v>
      </c>
      <c r="B2629" t="s">
        <v>40</v>
      </c>
      <c r="C2629" t="s">
        <v>125</v>
      </c>
      <c r="D2629" t="s">
        <v>126</v>
      </c>
      <c r="E2629">
        <v>2010</v>
      </c>
      <c r="F2629" s="1">
        <v>6</v>
      </c>
      <c r="G2629">
        <v>2010</v>
      </c>
      <c r="H2629">
        <f>AVERAGEIFS(Table1[value],Table1[IndicatorCode],Table1[[#This Row],[IndicatorCode]])</f>
        <v>7.6894248608534319</v>
      </c>
      <c r="I2629" cm="1">
        <f t="array" ref="I2629">_xlfn.STDEV.P(IF(Table1[IndicatorCode]=Table1[[#This Row],[IndicatorCode]],Table1[value]))</f>
        <v>5.2319501044600996</v>
      </c>
      <c r="J2629">
        <f>(Table1[[#This Row],[value]] - Table1[[#This Row],[mean]]) / Table1[[#This Row],[std_dev]]</f>
        <v>-0.32290538463148605</v>
      </c>
      <c r="K2629">
        <f>AVERAGEIF(Table1[CountryCode],Table1[[#This Row],[CountryCode]],Table1[z-score])</f>
        <v>9.5615861938696506E-2</v>
      </c>
      <c r="L2629" t="e">
        <f>VLOOKUP(Table1[[#This Row],[CountryCode]],[1]!Table1[#Data],4,FALSE)</f>
        <v>#REF!</v>
      </c>
    </row>
    <row r="2630" spans="1:12" hidden="1" x14ac:dyDescent="0.3">
      <c r="A2630" t="s">
        <v>39</v>
      </c>
      <c r="B2630" t="s">
        <v>40</v>
      </c>
      <c r="C2630" t="s">
        <v>125</v>
      </c>
      <c r="D2630" t="s">
        <v>126</v>
      </c>
      <c r="E2630">
        <v>2011</v>
      </c>
      <c r="F2630" s="1">
        <v>6</v>
      </c>
      <c r="G2630">
        <v>2010</v>
      </c>
      <c r="H2630">
        <f>AVERAGEIFS(Table1[value],Table1[IndicatorCode],Table1[[#This Row],[IndicatorCode]])</f>
        <v>7.6894248608534319</v>
      </c>
      <c r="I2630" cm="1">
        <f t="array" ref="I2630">_xlfn.STDEV.P(IF(Table1[IndicatorCode]=Table1[[#This Row],[IndicatorCode]],Table1[value]))</f>
        <v>5.2319501044600996</v>
      </c>
      <c r="J2630">
        <f>(Table1[[#This Row],[value]] - Table1[[#This Row],[mean]]) / Table1[[#This Row],[std_dev]]</f>
        <v>-0.32290538463148605</v>
      </c>
      <c r="K2630">
        <f>AVERAGEIF(Table1[CountryCode],Table1[[#This Row],[CountryCode]],Table1[z-score])</f>
        <v>9.5615861938696506E-2</v>
      </c>
      <c r="L2630" t="e">
        <f>VLOOKUP(Table1[[#This Row],[CountryCode]],[1]!Table1[#Data],4,FALSE)</f>
        <v>#REF!</v>
      </c>
    </row>
    <row r="2631" spans="1:12" hidden="1" x14ac:dyDescent="0.3">
      <c r="A2631" t="s">
        <v>39</v>
      </c>
      <c r="B2631" t="s">
        <v>40</v>
      </c>
      <c r="C2631" t="s">
        <v>125</v>
      </c>
      <c r="D2631" t="s">
        <v>126</v>
      </c>
      <c r="E2631">
        <v>2012</v>
      </c>
      <c r="F2631" s="1">
        <v>6</v>
      </c>
      <c r="G2631">
        <v>2010</v>
      </c>
      <c r="H2631">
        <f>AVERAGEIFS(Table1[value],Table1[IndicatorCode],Table1[[#This Row],[IndicatorCode]])</f>
        <v>7.6894248608534319</v>
      </c>
      <c r="I2631" cm="1">
        <f t="array" ref="I2631">_xlfn.STDEV.P(IF(Table1[IndicatorCode]=Table1[[#This Row],[IndicatorCode]],Table1[value]))</f>
        <v>5.2319501044600996</v>
      </c>
      <c r="J2631">
        <f>(Table1[[#This Row],[value]] - Table1[[#This Row],[mean]]) / Table1[[#This Row],[std_dev]]</f>
        <v>-0.32290538463148605</v>
      </c>
      <c r="K2631">
        <f>AVERAGEIF(Table1[CountryCode],Table1[[#This Row],[CountryCode]],Table1[z-score])</f>
        <v>9.5615861938696506E-2</v>
      </c>
      <c r="L2631" t="e">
        <f>VLOOKUP(Table1[[#This Row],[CountryCode]],[1]!Table1[#Data],4,FALSE)</f>
        <v>#REF!</v>
      </c>
    </row>
    <row r="2632" spans="1:12" hidden="1" x14ac:dyDescent="0.3">
      <c r="A2632" t="s">
        <v>39</v>
      </c>
      <c r="B2632" t="s">
        <v>40</v>
      </c>
      <c r="C2632" t="s">
        <v>125</v>
      </c>
      <c r="D2632" t="s">
        <v>126</v>
      </c>
      <c r="E2632">
        <v>2013</v>
      </c>
      <c r="F2632" s="1">
        <v>6</v>
      </c>
      <c r="G2632">
        <v>2010</v>
      </c>
      <c r="H2632">
        <f>AVERAGEIFS(Table1[value],Table1[IndicatorCode],Table1[[#This Row],[IndicatorCode]])</f>
        <v>7.6894248608534319</v>
      </c>
      <c r="I2632" cm="1">
        <f t="array" ref="I2632">_xlfn.STDEV.P(IF(Table1[IndicatorCode]=Table1[[#This Row],[IndicatorCode]],Table1[value]))</f>
        <v>5.2319501044600996</v>
      </c>
      <c r="J2632">
        <f>(Table1[[#This Row],[value]] - Table1[[#This Row],[mean]]) / Table1[[#This Row],[std_dev]]</f>
        <v>-0.32290538463148605</v>
      </c>
      <c r="K2632">
        <f>AVERAGEIF(Table1[CountryCode],Table1[[#This Row],[CountryCode]],Table1[z-score])</f>
        <v>9.5615861938696506E-2</v>
      </c>
      <c r="L2632" t="e">
        <f>VLOOKUP(Table1[[#This Row],[CountryCode]],[1]!Table1[#Data],4,FALSE)</f>
        <v>#REF!</v>
      </c>
    </row>
    <row r="2633" spans="1:12" hidden="1" x14ac:dyDescent="0.3">
      <c r="A2633" t="s">
        <v>39</v>
      </c>
      <c r="B2633" t="s">
        <v>40</v>
      </c>
      <c r="C2633" t="s">
        <v>125</v>
      </c>
      <c r="D2633" t="s">
        <v>126</v>
      </c>
      <c r="E2633">
        <v>2014</v>
      </c>
      <c r="F2633" s="1">
        <v>5</v>
      </c>
      <c r="G2633">
        <v>2010</v>
      </c>
      <c r="H2633">
        <f>AVERAGEIFS(Table1[value],Table1[IndicatorCode],Table1[[#This Row],[IndicatorCode]])</f>
        <v>7.6894248608534319</v>
      </c>
      <c r="I2633" cm="1">
        <f t="array" ref="I2633">_xlfn.STDEV.P(IF(Table1[IndicatorCode]=Table1[[#This Row],[IndicatorCode]],Table1[value]))</f>
        <v>5.2319501044600996</v>
      </c>
      <c r="J2633">
        <f>(Table1[[#This Row],[value]] - Table1[[#This Row],[mean]]) / Table1[[#This Row],[std_dev]]</f>
        <v>-0.51403870586624445</v>
      </c>
      <c r="K2633">
        <f>AVERAGEIF(Table1[CountryCode],Table1[[#This Row],[CountryCode]],Table1[z-score])</f>
        <v>9.5615861938696506E-2</v>
      </c>
      <c r="L2633" t="e">
        <f>VLOOKUP(Table1[[#This Row],[CountryCode]],[1]!Table1[#Data],4,FALSE)</f>
        <v>#REF!</v>
      </c>
    </row>
    <row r="2634" spans="1:12" hidden="1" x14ac:dyDescent="0.3">
      <c r="A2634" t="s">
        <v>39</v>
      </c>
      <c r="B2634" t="s">
        <v>40</v>
      </c>
      <c r="C2634" t="s">
        <v>125</v>
      </c>
      <c r="D2634" t="s">
        <v>126</v>
      </c>
      <c r="E2634">
        <v>2015</v>
      </c>
      <c r="F2634" s="1">
        <v>6</v>
      </c>
      <c r="G2634">
        <v>2010</v>
      </c>
      <c r="H2634">
        <f>AVERAGEIFS(Table1[value],Table1[IndicatorCode],Table1[[#This Row],[IndicatorCode]])</f>
        <v>7.6894248608534319</v>
      </c>
      <c r="I2634" cm="1">
        <f t="array" ref="I2634">_xlfn.STDEV.P(IF(Table1[IndicatorCode]=Table1[[#This Row],[IndicatorCode]],Table1[value]))</f>
        <v>5.2319501044600996</v>
      </c>
      <c r="J2634">
        <f>(Table1[[#This Row],[value]] - Table1[[#This Row],[mean]]) / Table1[[#This Row],[std_dev]]</f>
        <v>-0.32290538463148605</v>
      </c>
      <c r="K2634">
        <f>AVERAGEIF(Table1[CountryCode],Table1[[#This Row],[CountryCode]],Table1[z-score])</f>
        <v>9.5615861938696506E-2</v>
      </c>
      <c r="L2634" t="e">
        <f>VLOOKUP(Table1[[#This Row],[CountryCode]],[1]!Table1[#Data],4,FALSE)</f>
        <v>#REF!</v>
      </c>
    </row>
    <row r="2635" spans="1:12" hidden="1" x14ac:dyDescent="0.3">
      <c r="A2635" t="s">
        <v>39</v>
      </c>
      <c r="B2635" t="s">
        <v>40</v>
      </c>
      <c r="C2635" t="s">
        <v>125</v>
      </c>
      <c r="D2635" t="s">
        <v>126</v>
      </c>
      <c r="E2635">
        <v>2016</v>
      </c>
      <c r="F2635" s="1">
        <v>6</v>
      </c>
      <c r="G2635">
        <v>2010</v>
      </c>
      <c r="H2635">
        <f>AVERAGEIFS(Table1[value],Table1[IndicatorCode],Table1[[#This Row],[IndicatorCode]])</f>
        <v>7.6894248608534319</v>
      </c>
      <c r="I2635" cm="1">
        <f t="array" ref="I2635">_xlfn.STDEV.P(IF(Table1[IndicatorCode]=Table1[[#This Row],[IndicatorCode]],Table1[value]))</f>
        <v>5.2319501044600996</v>
      </c>
      <c r="J2635">
        <f>(Table1[[#This Row],[value]] - Table1[[#This Row],[mean]]) / Table1[[#This Row],[std_dev]]</f>
        <v>-0.32290538463148605</v>
      </c>
      <c r="K2635">
        <f>AVERAGEIF(Table1[CountryCode],Table1[[#This Row],[CountryCode]],Table1[z-score])</f>
        <v>9.5615861938696506E-2</v>
      </c>
      <c r="L2635" t="e">
        <f>VLOOKUP(Table1[[#This Row],[CountryCode]],[1]!Table1[#Data],4,FALSE)</f>
        <v>#REF!</v>
      </c>
    </row>
    <row r="2636" spans="1:12" hidden="1" x14ac:dyDescent="0.3">
      <c r="A2636" t="s">
        <v>39</v>
      </c>
      <c r="B2636" t="s">
        <v>40</v>
      </c>
      <c r="C2636" t="s">
        <v>125</v>
      </c>
      <c r="D2636" t="s">
        <v>126</v>
      </c>
      <c r="E2636">
        <v>2017</v>
      </c>
      <c r="F2636" s="1">
        <v>6</v>
      </c>
      <c r="G2636">
        <v>2020</v>
      </c>
      <c r="H2636">
        <f>AVERAGEIFS(Table1[value],Table1[IndicatorCode],Table1[[#This Row],[IndicatorCode]])</f>
        <v>7.6894248608534319</v>
      </c>
      <c r="I2636" cm="1">
        <f t="array" ref="I2636">_xlfn.STDEV.P(IF(Table1[IndicatorCode]=Table1[[#This Row],[IndicatorCode]],Table1[value]))</f>
        <v>5.2319501044600996</v>
      </c>
      <c r="J2636">
        <f>(Table1[[#This Row],[value]] - Table1[[#This Row],[mean]]) / Table1[[#This Row],[std_dev]]</f>
        <v>-0.32290538463148605</v>
      </c>
      <c r="K2636">
        <f>AVERAGEIF(Table1[CountryCode],Table1[[#This Row],[CountryCode]],Table1[z-score])</f>
        <v>9.5615861938696506E-2</v>
      </c>
      <c r="L2636" t="e">
        <f>VLOOKUP(Table1[[#This Row],[CountryCode]],[1]!Table1[#Data],4,FALSE)</f>
        <v>#REF!</v>
      </c>
    </row>
    <row r="2637" spans="1:12" hidden="1" x14ac:dyDescent="0.3">
      <c r="A2637" t="s">
        <v>39</v>
      </c>
      <c r="B2637" t="s">
        <v>40</v>
      </c>
      <c r="C2637" t="s">
        <v>125</v>
      </c>
      <c r="D2637" t="s">
        <v>126</v>
      </c>
      <c r="E2637">
        <v>2018</v>
      </c>
      <c r="F2637" s="1">
        <v>6</v>
      </c>
      <c r="G2637">
        <v>2020</v>
      </c>
      <c r="H2637">
        <f>AVERAGEIFS(Table1[value],Table1[IndicatorCode],Table1[[#This Row],[IndicatorCode]])</f>
        <v>7.6894248608534319</v>
      </c>
      <c r="I2637" cm="1">
        <f t="array" ref="I2637">_xlfn.STDEV.P(IF(Table1[IndicatorCode]=Table1[[#This Row],[IndicatorCode]],Table1[value]))</f>
        <v>5.2319501044600996</v>
      </c>
      <c r="J2637">
        <f>(Table1[[#This Row],[value]] - Table1[[#This Row],[mean]]) / Table1[[#This Row],[std_dev]]</f>
        <v>-0.32290538463148605</v>
      </c>
      <c r="K2637">
        <f>AVERAGEIF(Table1[CountryCode],Table1[[#This Row],[CountryCode]],Table1[z-score])</f>
        <v>9.5615861938696506E-2</v>
      </c>
      <c r="L2637" t="e">
        <f>VLOOKUP(Table1[[#This Row],[CountryCode]],[1]!Table1[#Data],4,FALSE)</f>
        <v>#REF!</v>
      </c>
    </row>
    <row r="2638" spans="1:12" hidden="1" x14ac:dyDescent="0.3">
      <c r="A2638" t="s">
        <v>39</v>
      </c>
      <c r="B2638" t="s">
        <v>40</v>
      </c>
      <c r="C2638" t="s">
        <v>125</v>
      </c>
      <c r="D2638" t="s">
        <v>126</v>
      </c>
      <c r="E2638">
        <v>2019</v>
      </c>
      <c r="F2638" s="1">
        <v>5</v>
      </c>
      <c r="G2638">
        <v>2020</v>
      </c>
      <c r="H2638">
        <f>AVERAGEIFS(Table1[value],Table1[IndicatorCode],Table1[[#This Row],[IndicatorCode]])</f>
        <v>7.6894248608534319</v>
      </c>
      <c r="I2638" cm="1">
        <f t="array" ref="I2638">_xlfn.STDEV.P(IF(Table1[IndicatorCode]=Table1[[#This Row],[IndicatorCode]],Table1[value]))</f>
        <v>5.2319501044600996</v>
      </c>
      <c r="J2638">
        <f>(Table1[[#This Row],[value]] - Table1[[#This Row],[mean]]) / Table1[[#This Row],[std_dev]]</f>
        <v>-0.51403870586624445</v>
      </c>
      <c r="K2638">
        <f>AVERAGEIF(Table1[CountryCode],Table1[[#This Row],[CountryCode]],Table1[z-score])</f>
        <v>9.5615861938696506E-2</v>
      </c>
      <c r="L2638" t="e">
        <f>VLOOKUP(Table1[[#This Row],[CountryCode]],[1]!Table1[#Data],4,FALSE)</f>
        <v>#REF!</v>
      </c>
    </row>
    <row r="2639" spans="1:12" x14ac:dyDescent="0.3">
      <c r="A2639" t="s">
        <v>39</v>
      </c>
      <c r="B2639" t="s">
        <v>40</v>
      </c>
      <c r="C2639" t="s">
        <v>125</v>
      </c>
      <c r="D2639" t="s">
        <v>126</v>
      </c>
      <c r="E2639">
        <v>2020</v>
      </c>
      <c r="F2639" s="1">
        <v>5</v>
      </c>
      <c r="G2639">
        <v>2020</v>
      </c>
      <c r="H2639">
        <f>AVERAGEIFS(Table1[value],Table1[IndicatorCode],Table1[[#This Row],[IndicatorCode]])</f>
        <v>7.6894248608534319</v>
      </c>
      <c r="I2639" cm="1">
        <f t="array" ref="I2639">_xlfn.STDEV.P(IF(Table1[IndicatorCode]=Table1[[#This Row],[IndicatorCode]],Table1[value]))</f>
        <v>5.2319501044600996</v>
      </c>
      <c r="J2639">
        <f>(Table1[[#This Row],[value]] - Table1[[#This Row],[mean]]) / Table1[[#This Row],[std_dev]]</f>
        <v>-0.51403870586624445</v>
      </c>
      <c r="K2639">
        <f>AVERAGEIF(Table1[CountryCode],Table1[[#This Row],[CountryCode]],Table1[z-score])</f>
        <v>9.5615861938696506E-2</v>
      </c>
    </row>
    <row r="2640" spans="1:12" hidden="1" x14ac:dyDescent="0.3">
      <c r="A2640" t="s">
        <v>39</v>
      </c>
      <c r="B2640" t="s">
        <v>40</v>
      </c>
      <c r="C2640" t="s">
        <v>125</v>
      </c>
      <c r="D2640" t="s">
        <v>126</v>
      </c>
      <c r="E2640">
        <v>2021</v>
      </c>
      <c r="F2640" s="1">
        <v>5</v>
      </c>
      <c r="G2640">
        <v>2020</v>
      </c>
      <c r="H2640">
        <f>AVERAGEIFS(Table1[value],Table1[IndicatorCode],Table1[[#This Row],[IndicatorCode]])</f>
        <v>7.6894248608534319</v>
      </c>
      <c r="I2640" cm="1">
        <f t="array" ref="I2640">_xlfn.STDEV.P(IF(Table1[IndicatorCode]=Table1[[#This Row],[IndicatorCode]],Table1[value]))</f>
        <v>5.2319501044600996</v>
      </c>
      <c r="J2640">
        <f>(Table1[[#This Row],[value]] - Table1[[#This Row],[mean]]) / Table1[[#This Row],[std_dev]]</f>
        <v>-0.51403870586624445</v>
      </c>
      <c r="K2640">
        <f>AVERAGEIF(Table1[CountryCode],Table1[[#This Row],[CountryCode]],Table1[z-score])</f>
        <v>9.5615861938696506E-2</v>
      </c>
      <c r="L2640" t="e">
        <f>VLOOKUP(Table1[[#This Row],[CountryCode]],[1]!Table1[#Data],4,FALSE)</f>
        <v>#REF!</v>
      </c>
    </row>
    <row r="2641" spans="1:12" hidden="1" x14ac:dyDescent="0.3">
      <c r="A2641" t="s">
        <v>39</v>
      </c>
      <c r="B2641" t="s">
        <v>40</v>
      </c>
      <c r="C2641" t="s">
        <v>125</v>
      </c>
      <c r="D2641" t="s">
        <v>126</v>
      </c>
      <c r="E2641">
        <v>2022</v>
      </c>
      <c r="F2641" s="1">
        <v>5</v>
      </c>
      <c r="G2641">
        <v>1970</v>
      </c>
      <c r="H2641">
        <f>AVERAGEIFS(Table1[value],Table1[IndicatorCode],Table1[[#This Row],[IndicatorCode]])</f>
        <v>7.6894248608534319</v>
      </c>
      <c r="I2641" cm="1">
        <f t="array" ref="I2641">_xlfn.STDEV.P(IF(Table1[IndicatorCode]=Table1[[#This Row],[IndicatorCode]],Table1[value]))</f>
        <v>5.2319501044600996</v>
      </c>
      <c r="J2641">
        <f>(Table1[[#This Row],[value]] - Table1[[#This Row],[mean]]) / Table1[[#This Row],[std_dev]]</f>
        <v>-0.51403870586624445</v>
      </c>
      <c r="K2641">
        <f>AVERAGEIF(Table1[CountryCode],Table1[[#This Row],[CountryCode]],Table1[z-score])</f>
        <v>9.5615861938696506E-2</v>
      </c>
      <c r="L2641" t="e">
        <f>VLOOKUP(Table1[[#This Row],[CountryCode]],[1]!Table1[#Data],4,FALSE)</f>
        <v>#REF!</v>
      </c>
    </row>
    <row r="2642" spans="1:12" hidden="1" x14ac:dyDescent="0.3">
      <c r="A2642" t="s">
        <v>39</v>
      </c>
      <c r="B2642" t="s">
        <v>40</v>
      </c>
      <c r="C2642" t="s">
        <v>125</v>
      </c>
      <c r="D2642" t="s">
        <v>126</v>
      </c>
      <c r="E2642">
        <v>2023</v>
      </c>
      <c r="F2642" s="1">
        <v>5</v>
      </c>
      <c r="G2642">
        <v>1970</v>
      </c>
      <c r="H2642">
        <f>AVERAGEIFS(Table1[value],Table1[IndicatorCode],Table1[[#This Row],[IndicatorCode]])</f>
        <v>7.6894248608534319</v>
      </c>
      <c r="I2642" cm="1">
        <f t="array" ref="I2642">_xlfn.STDEV.P(IF(Table1[IndicatorCode]=Table1[[#This Row],[IndicatorCode]],Table1[value]))</f>
        <v>5.2319501044600996</v>
      </c>
      <c r="J2642">
        <f>(Table1[[#This Row],[value]] - Table1[[#This Row],[mean]]) / Table1[[#This Row],[std_dev]]</f>
        <v>-0.51403870586624445</v>
      </c>
      <c r="K2642">
        <f>AVERAGEIF(Table1[CountryCode],Table1[[#This Row],[CountryCode]],Table1[z-score])</f>
        <v>9.5615861938696506E-2</v>
      </c>
      <c r="L2642" t="e">
        <f>VLOOKUP(Table1[[#This Row],[CountryCode]],[1]!Table1[#Data],4,FALSE)</f>
        <v>#REF!</v>
      </c>
    </row>
    <row r="2643" spans="1:12" hidden="1" x14ac:dyDescent="0.3">
      <c r="A2643" t="s">
        <v>39</v>
      </c>
      <c r="B2643" t="s">
        <v>40</v>
      </c>
      <c r="C2643" t="s">
        <v>125</v>
      </c>
      <c r="D2643" t="s">
        <v>126</v>
      </c>
      <c r="E2643">
        <v>2024</v>
      </c>
      <c r="F2643" s="1">
        <v>5</v>
      </c>
      <c r="G2643">
        <v>1970</v>
      </c>
      <c r="H2643">
        <f>AVERAGEIFS(Table1[value],Table1[IndicatorCode],Table1[[#This Row],[IndicatorCode]])</f>
        <v>7.6894248608534319</v>
      </c>
      <c r="I2643" cm="1">
        <f t="array" ref="I2643">_xlfn.STDEV.P(IF(Table1[IndicatorCode]=Table1[[#This Row],[IndicatorCode]],Table1[value]))</f>
        <v>5.2319501044600996</v>
      </c>
      <c r="J2643">
        <f>(Table1[[#This Row],[value]] - Table1[[#This Row],[mean]]) / Table1[[#This Row],[std_dev]]</f>
        <v>-0.51403870586624445</v>
      </c>
      <c r="K2643">
        <f>AVERAGEIF(Table1[CountryCode],Table1[[#This Row],[CountryCode]],Table1[z-score])</f>
        <v>9.5615861938696506E-2</v>
      </c>
      <c r="L2643" t="e">
        <f>VLOOKUP(Table1[[#This Row],[CountryCode]],[1]!Table1[#Data],4,FALSE)</f>
        <v>#REF!</v>
      </c>
    </row>
    <row r="2644" spans="1:12" hidden="1" x14ac:dyDescent="0.3">
      <c r="A2644" t="s">
        <v>41</v>
      </c>
      <c r="B2644" t="s">
        <v>42</v>
      </c>
      <c r="C2644" t="s">
        <v>125</v>
      </c>
      <c r="D2644" t="s">
        <v>126</v>
      </c>
      <c r="E2644">
        <v>1970</v>
      </c>
      <c r="F2644" s="1">
        <v>16</v>
      </c>
      <c r="G2644">
        <v>1970</v>
      </c>
      <c r="H2644">
        <f>AVERAGEIFS(Table1[value],Table1[IndicatorCode],Table1[[#This Row],[IndicatorCode]])</f>
        <v>7.6894248608534319</v>
      </c>
      <c r="I2644" cm="1">
        <f t="array" ref="I2644">_xlfn.STDEV.P(IF(Table1[IndicatorCode]=Table1[[#This Row],[IndicatorCode]],Table1[value]))</f>
        <v>5.2319501044600996</v>
      </c>
      <c r="J2644">
        <f>(Table1[[#This Row],[value]] - Table1[[#This Row],[mean]]) / Table1[[#This Row],[std_dev]]</f>
        <v>1.5884278277160979</v>
      </c>
      <c r="K2644">
        <f>AVERAGEIF(Table1[CountryCode],Table1[[#This Row],[CountryCode]],Table1[z-score])</f>
        <v>0.48103769638692301</v>
      </c>
      <c r="L2644" t="e">
        <f>VLOOKUP(Table1[[#This Row],[CountryCode]],[1]!Table1[#Data],4,FALSE)</f>
        <v>#REF!</v>
      </c>
    </row>
    <row r="2645" spans="1:12" hidden="1" x14ac:dyDescent="0.3">
      <c r="A2645" t="s">
        <v>41</v>
      </c>
      <c r="B2645" t="s">
        <v>42</v>
      </c>
      <c r="C2645" t="s">
        <v>125</v>
      </c>
      <c r="D2645" t="s">
        <v>126</v>
      </c>
      <c r="E2645">
        <v>1971</v>
      </c>
      <c r="F2645" s="1">
        <v>16</v>
      </c>
      <c r="G2645">
        <v>1970</v>
      </c>
      <c r="H2645">
        <f>AVERAGEIFS(Table1[value],Table1[IndicatorCode],Table1[[#This Row],[IndicatorCode]])</f>
        <v>7.6894248608534319</v>
      </c>
      <c r="I2645" cm="1">
        <f t="array" ref="I2645">_xlfn.STDEV.P(IF(Table1[IndicatorCode]=Table1[[#This Row],[IndicatorCode]],Table1[value]))</f>
        <v>5.2319501044600996</v>
      </c>
      <c r="J2645">
        <f>(Table1[[#This Row],[value]] - Table1[[#This Row],[mean]]) / Table1[[#This Row],[std_dev]]</f>
        <v>1.5884278277160979</v>
      </c>
      <c r="K2645">
        <f>AVERAGEIF(Table1[CountryCode],Table1[[#This Row],[CountryCode]],Table1[z-score])</f>
        <v>0.48103769638692301</v>
      </c>
      <c r="L2645" t="e">
        <f>VLOOKUP(Table1[[#This Row],[CountryCode]],[1]!Table1[#Data],4,FALSE)</f>
        <v>#REF!</v>
      </c>
    </row>
    <row r="2646" spans="1:12" hidden="1" x14ac:dyDescent="0.3">
      <c r="A2646" t="s">
        <v>41</v>
      </c>
      <c r="B2646" t="s">
        <v>42</v>
      </c>
      <c r="C2646" t="s">
        <v>125</v>
      </c>
      <c r="D2646" t="s">
        <v>126</v>
      </c>
      <c r="E2646">
        <v>1972</v>
      </c>
      <c r="F2646" s="1">
        <v>17</v>
      </c>
      <c r="G2646">
        <v>1970</v>
      </c>
      <c r="H2646">
        <f>AVERAGEIFS(Table1[value],Table1[IndicatorCode],Table1[[#This Row],[IndicatorCode]])</f>
        <v>7.6894248608534319</v>
      </c>
      <c r="I2646" cm="1">
        <f t="array" ref="I2646">_xlfn.STDEV.P(IF(Table1[IndicatorCode]=Table1[[#This Row],[IndicatorCode]],Table1[value]))</f>
        <v>5.2319501044600996</v>
      </c>
      <c r="J2646">
        <f>(Table1[[#This Row],[value]] - Table1[[#This Row],[mean]]) / Table1[[#This Row],[std_dev]]</f>
        <v>1.7795611489508565</v>
      </c>
      <c r="K2646">
        <f>AVERAGEIF(Table1[CountryCode],Table1[[#This Row],[CountryCode]],Table1[z-score])</f>
        <v>0.48103769638692301</v>
      </c>
      <c r="L2646" t="e">
        <f>VLOOKUP(Table1[[#This Row],[CountryCode]],[1]!Table1[#Data],4,FALSE)</f>
        <v>#REF!</v>
      </c>
    </row>
    <row r="2647" spans="1:12" hidden="1" x14ac:dyDescent="0.3">
      <c r="A2647" t="s">
        <v>41</v>
      </c>
      <c r="B2647" t="s">
        <v>42</v>
      </c>
      <c r="C2647" t="s">
        <v>125</v>
      </c>
      <c r="D2647" t="s">
        <v>126</v>
      </c>
      <c r="E2647">
        <v>1973</v>
      </c>
      <c r="F2647" s="1">
        <v>19</v>
      </c>
      <c r="G2647">
        <v>1970</v>
      </c>
      <c r="H2647">
        <f>AVERAGEIFS(Table1[value],Table1[IndicatorCode],Table1[[#This Row],[IndicatorCode]])</f>
        <v>7.6894248608534319</v>
      </c>
      <c r="I2647" cm="1">
        <f t="array" ref="I2647">_xlfn.STDEV.P(IF(Table1[IndicatorCode]=Table1[[#This Row],[IndicatorCode]],Table1[value]))</f>
        <v>5.2319501044600996</v>
      </c>
      <c r="J2647">
        <f>(Table1[[#This Row],[value]] - Table1[[#This Row],[mean]]) / Table1[[#This Row],[std_dev]]</f>
        <v>2.1618277914203734</v>
      </c>
      <c r="K2647">
        <f>AVERAGEIF(Table1[CountryCode],Table1[[#This Row],[CountryCode]],Table1[z-score])</f>
        <v>0.48103769638692301</v>
      </c>
      <c r="L2647" t="e">
        <f>VLOOKUP(Table1[[#This Row],[CountryCode]],[1]!Table1[#Data],4,FALSE)</f>
        <v>#REF!</v>
      </c>
    </row>
    <row r="2648" spans="1:12" hidden="1" x14ac:dyDescent="0.3">
      <c r="A2648" t="s">
        <v>41</v>
      </c>
      <c r="B2648" t="s">
        <v>42</v>
      </c>
      <c r="C2648" t="s">
        <v>125</v>
      </c>
      <c r="D2648" t="s">
        <v>126</v>
      </c>
      <c r="E2648">
        <v>1974</v>
      </c>
      <c r="F2648" s="1">
        <v>21</v>
      </c>
      <c r="G2648">
        <v>1970</v>
      </c>
      <c r="H2648">
        <f>AVERAGEIFS(Table1[value],Table1[IndicatorCode],Table1[[#This Row],[IndicatorCode]])</f>
        <v>7.6894248608534319</v>
      </c>
      <c r="I2648" cm="1">
        <f t="array" ref="I2648">_xlfn.STDEV.P(IF(Table1[IndicatorCode]=Table1[[#This Row],[IndicatorCode]],Table1[value]))</f>
        <v>5.2319501044600996</v>
      </c>
      <c r="J2648">
        <f>(Table1[[#This Row],[value]] - Table1[[#This Row],[mean]]) / Table1[[#This Row],[std_dev]]</f>
        <v>2.5440944338898901</v>
      </c>
      <c r="K2648">
        <f>AVERAGEIF(Table1[CountryCode],Table1[[#This Row],[CountryCode]],Table1[z-score])</f>
        <v>0.48103769638692301</v>
      </c>
      <c r="L2648" t="e">
        <f>VLOOKUP(Table1[[#This Row],[CountryCode]],[1]!Table1[#Data],4,FALSE)</f>
        <v>#REF!</v>
      </c>
    </row>
    <row r="2649" spans="1:12" hidden="1" x14ac:dyDescent="0.3">
      <c r="A2649" t="s">
        <v>41</v>
      </c>
      <c r="B2649" t="s">
        <v>42</v>
      </c>
      <c r="C2649" t="s">
        <v>125</v>
      </c>
      <c r="D2649" t="s">
        <v>126</v>
      </c>
      <c r="E2649">
        <v>1975</v>
      </c>
      <c r="F2649" s="1">
        <v>22</v>
      </c>
      <c r="G2649">
        <v>1970</v>
      </c>
      <c r="H2649">
        <f>AVERAGEIFS(Table1[value],Table1[IndicatorCode],Table1[[#This Row],[IndicatorCode]])</f>
        <v>7.6894248608534319</v>
      </c>
      <c r="I2649" cm="1">
        <f t="array" ref="I2649">_xlfn.STDEV.P(IF(Table1[IndicatorCode]=Table1[[#This Row],[IndicatorCode]],Table1[value]))</f>
        <v>5.2319501044600996</v>
      </c>
      <c r="J2649">
        <f>(Table1[[#This Row],[value]] - Table1[[#This Row],[mean]]) / Table1[[#This Row],[std_dev]]</f>
        <v>2.7352277551246487</v>
      </c>
      <c r="K2649">
        <f>AVERAGEIF(Table1[CountryCode],Table1[[#This Row],[CountryCode]],Table1[z-score])</f>
        <v>0.48103769638692301</v>
      </c>
      <c r="L2649" t="e">
        <f>VLOOKUP(Table1[[#This Row],[CountryCode]],[1]!Table1[#Data],4,FALSE)</f>
        <v>#REF!</v>
      </c>
    </row>
    <row r="2650" spans="1:12" hidden="1" x14ac:dyDescent="0.3">
      <c r="A2650" t="s">
        <v>41</v>
      </c>
      <c r="B2650" t="s">
        <v>42</v>
      </c>
      <c r="C2650" t="s">
        <v>125</v>
      </c>
      <c r="D2650" t="s">
        <v>126</v>
      </c>
      <c r="E2650">
        <v>1976</v>
      </c>
      <c r="F2650" s="1">
        <v>23</v>
      </c>
      <c r="G2650">
        <v>1970</v>
      </c>
      <c r="H2650">
        <f>AVERAGEIFS(Table1[value],Table1[IndicatorCode],Table1[[#This Row],[IndicatorCode]])</f>
        <v>7.6894248608534319</v>
      </c>
      <c r="I2650" cm="1">
        <f t="array" ref="I2650">_xlfn.STDEV.P(IF(Table1[IndicatorCode]=Table1[[#This Row],[IndicatorCode]],Table1[value]))</f>
        <v>5.2319501044600996</v>
      </c>
      <c r="J2650">
        <f>(Table1[[#This Row],[value]] - Table1[[#This Row],[mean]]) / Table1[[#This Row],[std_dev]]</f>
        <v>2.9263610763594068</v>
      </c>
      <c r="K2650">
        <f>AVERAGEIF(Table1[CountryCode],Table1[[#This Row],[CountryCode]],Table1[z-score])</f>
        <v>0.48103769638692301</v>
      </c>
      <c r="L2650" t="e">
        <f>VLOOKUP(Table1[[#This Row],[CountryCode]],[1]!Table1[#Data],4,FALSE)</f>
        <v>#REF!</v>
      </c>
    </row>
    <row r="2651" spans="1:12" hidden="1" x14ac:dyDescent="0.3">
      <c r="A2651" t="s">
        <v>41</v>
      </c>
      <c r="B2651" t="s">
        <v>42</v>
      </c>
      <c r="C2651" t="s">
        <v>125</v>
      </c>
      <c r="D2651" t="s">
        <v>126</v>
      </c>
      <c r="E2651">
        <v>1977</v>
      </c>
      <c r="F2651" s="1">
        <v>24</v>
      </c>
      <c r="G2651">
        <v>1980</v>
      </c>
      <c r="H2651">
        <f>AVERAGEIFS(Table1[value],Table1[IndicatorCode],Table1[[#This Row],[IndicatorCode]])</f>
        <v>7.6894248608534319</v>
      </c>
      <c r="I2651" cm="1">
        <f t="array" ref="I2651">_xlfn.STDEV.P(IF(Table1[IndicatorCode]=Table1[[#This Row],[IndicatorCode]],Table1[value]))</f>
        <v>5.2319501044600996</v>
      </c>
      <c r="J2651">
        <f>(Table1[[#This Row],[value]] - Table1[[#This Row],[mean]]) / Table1[[#This Row],[std_dev]]</f>
        <v>3.1174943975941654</v>
      </c>
      <c r="K2651">
        <f>AVERAGEIF(Table1[CountryCode],Table1[[#This Row],[CountryCode]],Table1[z-score])</f>
        <v>0.48103769638692301</v>
      </c>
      <c r="L2651" t="e">
        <f>VLOOKUP(Table1[[#This Row],[CountryCode]],[1]!Table1[#Data],4,FALSE)</f>
        <v>#REF!</v>
      </c>
    </row>
    <row r="2652" spans="1:12" hidden="1" x14ac:dyDescent="0.3">
      <c r="A2652" t="s">
        <v>41</v>
      </c>
      <c r="B2652" t="s">
        <v>42</v>
      </c>
      <c r="C2652" t="s">
        <v>125</v>
      </c>
      <c r="D2652" t="s">
        <v>126</v>
      </c>
      <c r="E2652">
        <v>1978</v>
      </c>
      <c r="F2652" s="1">
        <v>26</v>
      </c>
      <c r="G2652">
        <v>1980</v>
      </c>
      <c r="H2652">
        <f>AVERAGEIFS(Table1[value],Table1[IndicatorCode],Table1[[#This Row],[IndicatorCode]])</f>
        <v>7.6894248608534319</v>
      </c>
      <c r="I2652" cm="1">
        <f t="array" ref="I2652">_xlfn.STDEV.P(IF(Table1[IndicatorCode]=Table1[[#This Row],[IndicatorCode]],Table1[value]))</f>
        <v>5.2319501044600996</v>
      </c>
      <c r="J2652">
        <f>(Table1[[#This Row],[value]] - Table1[[#This Row],[mean]]) / Table1[[#This Row],[std_dev]]</f>
        <v>3.499761040063682</v>
      </c>
      <c r="K2652">
        <f>AVERAGEIF(Table1[CountryCode],Table1[[#This Row],[CountryCode]],Table1[z-score])</f>
        <v>0.48103769638692301</v>
      </c>
      <c r="L2652" t="e">
        <f>VLOOKUP(Table1[[#This Row],[CountryCode]],[1]!Table1[#Data],4,FALSE)</f>
        <v>#REF!</v>
      </c>
    </row>
    <row r="2653" spans="1:12" hidden="1" x14ac:dyDescent="0.3">
      <c r="A2653" t="s">
        <v>41</v>
      </c>
      <c r="B2653" t="s">
        <v>42</v>
      </c>
      <c r="C2653" t="s">
        <v>125</v>
      </c>
      <c r="D2653" t="s">
        <v>126</v>
      </c>
      <c r="E2653">
        <v>1979</v>
      </c>
      <c r="F2653" s="1">
        <v>27</v>
      </c>
      <c r="G2653">
        <v>1980</v>
      </c>
      <c r="H2653">
        <f>AVERAGEIFS(Table1[value],Table1[IndicatorCode],Table1[[#This Row],[IndicatorCode]])</f>
        <v>7.6894248608534319</v>
      </c>
      <c r="I2653" cm="1">
        <f t="array" ref="I2653">_xlfn.STDEV.P(IF(Table1[IndicatorCode]=Table1[[#This Row],[IndicatorCode]],Table1[value]))</f>
        <v>5.2319501044600996</v>
      </c>
      <c r="J2653">
        <f>(Table1[[#This Row],[value]] - Table1[[#This Row],[mean]]) / Table1[[#This Row],[std_dev]]</f>
        <v>3.6908943612984406</v>
      </c>
      <c r="K2653">
        <f>AVERAGEIF(Table1[CountryCode],Table1[[#This Row],[CountryCode]],Table1[z-score])</f>
        <v>0.48103769638692301</v>
      </c>
      <c r="L2653" t="e">
        <f>VLOOKUP(Table1[[#This Row],[CountryCode]],[1]!Table1[#Data],4,FALSE)</f>
        <v>#REF!</v>
      </c>
    </row>
    <row r="2654" spans="1:12" hidden="1" x14ac:dyDescent="0.3">
      <c r="A2654" t="s">
        <v>41</v>
      </c>
      <c r="B2654" t="s">
        <v>42</v>
      </c>
      <c r="C2654" t="s">
        <v>125</v>
      </c>
      <c r="D2654" t="s">
        <v>126</v>
      </c>
      <c r="E2654">
        <v>1980</v>
      </c>
      <c r="F2654" s="1">
        <v>27</v>
      </c>
      <c r="G2654">
        <v>1980</v>
      </c>
      <c r="H2654">
        <f>AVERAGEIFS(Table1[value],Table1[IndicatorCode],Table1[[#This Row],[IndicatorCode]])</f>
        <v>7.6894248608534319</v>
      </c>
      <c r="I2654" cm="1">
        <f t="array" ref="I2654">_xlfn.STDEV.P(IF(Table1[IndicatorCode]=Table1[[#This Row],[IndicatorCode]],Table1[value]))</f>
        <v>5.2319501044600996</v>
      </c>
      <c r="J2654">
        <f>(Table1[[#This Row],[value]] - Table1[[#This Row],[mean]]) / Table1[[#This Row],[std_dev]]</f>
        <v>3.6908943612984406</v>
      </c>
      <c r="K2654">
        <f>AVERAGEIF(Table1[CountryCode],Table1[[#This Row],[CountryCode]],Table1[z-score])</f>
        <v>0.48103769638692301</v>
      </c>
      <c r="L2654" t="e">
        <f>VLOOKUP(Table1[[#This Row],[CountryCode]],[1]!Table1[#Data],4,FALSE)</f>
        <v>#REF!</v>
      </c>
    </row>
    <row r="2655" spans="1:12" hidden="1" x14ac:dyDescent="0.3">
      <c r="A2655" t="s">
        <v>41</v>
      </c>
      <c r="B2655" t="s">
        <v>42</v>
      </c>
      <c r="C2655" t="s">
        <v>125</v>
      </c>
      <c r="D2655" t="s">
        <v>126</v>
      </c>
      <c r="E2655">
        <v>1981</v>
      </c>
      <c r="F2655" s="1">
        <v>28</v>
      </c>
      <c r="G2655">
        <v>1980</v>
      </c>
      <c r="H2655">
        <f>AVERAGEIFS(Table1[value],Table1[IndicatorCode],Table1[[#This Row],[IndicatorCode]])</f>
        <v>7.6894248608534319</v>
      </c>
      <c r="I2655" cm="1">
        <f t="array" ref="I2655">_xlfn.STDEV.P(IF(Table1[IndicatorCode]=Table1[[#This Row],[IndicatorCode]],Table1[value]))</f>
        <v>5.2319501044600996</v>
      </c>
      <c r="J2655">
        <f>(Table1[[#This Row],[value]] - Table1[[#This Row],[mean]]) / Table1[[#This Row],[std_dev]]</f>
        <v>3.8820276825331987</v>
      </c>
      <c r="K2655">
        <f>AVERAGEIF(Table1[CountryCode],Table1[[#This Row],[CountryCode]],Table1[z-score])</f>
        <v>0.48103769638692301</v>
      </c>
      <c r="L2655" t="e">
        <f>VLOOKUP(Table1[[#This Row],[CountryCode]],[1]!Table1[#Data],4,FALSE)</f>
        <v>#REF!</v>
      </c>
    </row>
    <row r="2656" spans="1:12" hidden="1" x14ac:dyDescent="0.3">
      <c r="A2656" t="s">
        <v>41</v>
      </c>
      <c r="B2656" t="s">
        <v>42</v>
      </c>
      <c r="C2656" t="s">
        <v>125</v>
      </c>
      <c r="D2656" t="s">
        <v>126</v>
      </c>
      <c r="E2656">
        <v>1982</v>
      </c>
      <c r="F2656" s="1">
        <v>28</v>
      </c>
      <c r="G2656">
        <v>1980</v>
      </c>
      <c r="H2656">
        <f>AVERAGEIFS(Table1[value],Table1[IndicatorCode],Table1[[#This Row],[IndicatorCode]])</f>
        <v>7.6894248608534319</v>
      </c>
      <c r="I2656" cm="1">
        <f t="array" ref="I2656">_xlfn.STDEV.P(IF(Table1[IndicatorCode]=Table1[[#This Row],[IndicatorCode]],Table1[value]))</f>
        <v>5.2319501044600996</v>
      </c>
      <c r="J2656">
        <f>(Table1[[#This Row],[value]] - Table1[[#This Row],[mean]]) / Table1[[#This Row],[std_dev]]</f>
        <v>3.8820276825331987</v>
      </c>
      <c r="K2656">
        <f>AVERAGEIF(Table1[CountryCode],Table1[[#This Row],[CountryCode]],Table1[z-score])</f>
        <v>0.48103769638692301</v>
      </c>
      <c r="L2656" t="e">
        <f>VLOOKUP(Table1[[#This Row],[CountryCode]],[1]!Table1[#Data],4,FALSE)</f>
        <v>#REF!</v>
      </c>
    </row>
    <row r="2657" spans="1:12" hidden="1" x14ac:dyDescent="0.3">
      <c r="A2657" t="s">
        <v>41</v>
      </c>
      <c r="B2657" t="s">
        <v>42</v>
      </c>
      <c r="C2657" t="s">
        <v>125</v>
      </c>
      <c r="D2657" t="s">
        <v>126</v>
      </c>
      <c r="E2657">
        <v>1983</v>
      </c>
      <c r="F2657" s="1">
        <v>27</v>
      </c>
      <c r="G2657">
        <v>1980</v>
      </c>
      <c r="H2657">
        <f>AVERAGEIFS(Table1[value],Table1[IndicatorCode],Table1[[#This Row],[IndicatorCode]])</f>
        <v>7.6894248608534319</v>
      </c>
      <c r="I2657" cm="1">
        <f t="array" ref="I2657">_xlfn.STDEV.P(IF(Table1[IndicatorCode]=Table1[[#This Row],[IndicatorCode]],Table1[value]))</f>
        <v>5.2319501044600996</v>
      </c>
      <c r="J2657">
        <f>(Table1[[#This Row],[value]] - Table1[[#This Row],[mean]]) / Table1[[#This Row],[std_dev]]</f>
        <v>3.6908943612984406</v>
      </c>
      <c r="K2657">
        <f>AVERAGEIF(Table1[CountryCode],Table1[[#This Row],[CountryCode]],Table1[z-score])</f>
        <v>0.48103769638692301</v>
      </c>
      <c r="L2657" t="e">
        <f>VLOOKUP(Table1[[#This Row],[CountryCode]],[1]!Table1[#Data],4,FALSE)</f>
        <v>#REF!</v>
      </c>
    </row>
    <row r="2658" spans="1:12" hidden="1" x14ac:dyDescent="0.3">
      <c r="A2658" t="s">
        <v>41</v>
      </c>
      <c r="B2658" t="s">
        <v>42</v>
      </c>
      <c r="C2658" t="s">
        <v>125</v>
      </c>
      <c r="D2658" t="s">
        <v>126</v>
      </c>
      <c r="E2658">
        <v>1984</v>
      </c>
      <c r="F2658" s="1">
        <v>27</v>
      </c>
      <c r="G2658">
        <v>1980</v>
      </c>
      <c r="H2658">
        <f>AVERAGEIFS(Table1[value],Table1[IndicatorCode],Table1[[#This Row],[IndicatorCode]])</f>
        <v>7.6894248608534319</v>
      </c>
      <c r="I2658" cm="1">
        <f t="array" ref="I2658">_xlfn.STDEV.P(IF(Table1[IndicatorCode]=Table1[[#This Row],[IndicatorCode]],Table1[value]))</f>
        <v>5.2319501044600996</v>
      </c>
      <c r="J2658">
        <f>(Table1[[#This Row],[value]] - Table1[[#This Row],[mean]]) / Table1[[#This Row],[std_dev]]</f>
        <v>3.6908943612984406</v>
      </c>
      <c r="K2658">
        <f>AVERAGEIF(Table1[CountryCode],Table1[[#This Row],[CountryCode]],Table1[z-score])</f>
        <v>0.48103769638692301</v>
      </c>
      <c r="L2658" t="e">
        <f>VLOOKUP(Table1[[#This Row],[CountryCode]],[1]!Table1[#Data],4,FALSE)</f>
        <v>#REF!</v>
      </c>
    </row>
    <row r="2659" spans="1:12" hidden="1" x14ac:dyDescent="0.3">
      <c r="A2659" t="s">
        <v>41</v>
      </c>
      <c r="B2659" t="s">
        <v>42</v>
      </c>
      <c r="C2659" t="s">
        <v>125</v>
      </c>
      <c r="D2659" t="s">
        <v>126</v>
      </c>
      <c r="E2659">
        <v>1985</v>
      </c>
      <c r="F2659" s="1">
        <v>26</v>
      </c>
      <c r="G2659">
        <v>1980</v>
      </c>
      <c r="H2659">
        <f>AVERAGEIFS(Table1[value],Table1[IndicatorCode],Table1[[#This Row],[IndicatorCode]])</f>
        <v>7.6894248608534319</v>
      </c>
      <c r="I2659" cm="1">
        <f t="array" ref="I2659">_xlfn.STDEV.P(IF(Table1[IndicatorCode]=Table1[[#This Row],[IndicatorCode]],Table1[value]))</f>
        <v>5.2319501044600996</v>
      </c>
      <c r="J2659">
        <f>(Table1[[#This Row],[value]] - Table1[[#This Row],[mean]]) / Table1[[#This Row],[std_dev]]</f>
        <v>3.499761040063682</v>
      </c>
      <c r="K2659">
        <f>AVERAGEIF(Table1[CountryCode],Table1[[#This Row],[CountryCode]],Table1[z-score])</f>
        <v>0.48103769638692301</v>
      </c>
      <c r="L2659" t="e">
        <f>VLOOKUP(Table1[[#This Row],[CountryCode]],[1]!Table1[#Data],4,FALSE)</f>
        <v>#REF!</v>
      </c>
    </row>
    <row r="2660" spans="1:12" hidden="1" x14ac:dyDescent="0.3">
      <c r="A2660" t="s">
        <v>41</v>
      </c>
      <c r="B2660" t="s">
        <v>42</v>
      </c>
      <c r="C2660" t="s">
        <v>125</v>
      </c>
      <c r="D2660" t="s">
        <v>126</v>
      </c>
      <c r="E2660">
        <v>1986</v>
      </c>
      <c r="F2660" s="1">
        <v>25</v>
      </c>
      <c r="G2660">
        <v>1980</v>
      </c>
      <c r="H2660">
        <f>AVERAGEIFS(Table1[value],Table1[IndicatorCode],Table1[[#This Row],[IndicatorCode]])</f>
        <v>7.6894248608534319</v>
      </c>
      <c r="I2660" cm="1">
        <f t="array" ref="I2660">_xlfn.STDEV.P(IF(Table1[IndicatorCode]=Table1[[#This Row],[IndicatorCode]],Table1[value]))</f>
        <v>5.2319501044600996</v>
      </c>
      <c r="J2660">
        <f>(Table1[[#This Row],[value]] - Table1[[#This Row],[mean]]) / Table1[[#This Row],[std_dev]]</f>
        <v>3.3086277188289235</v>
      </c>
      <c r="K2660">
        <f>AVERAGEIF(Table1[CountryCode],Table1[[#This Row],[CountryCode]],Table1[z-score])</f>
        <v>0.48103769638692301</v>
      </c>
      <c r="L2660" t="e">
        <f>VLOOKUP(Table1[[#This Row],[CountryCode]],[1]!Table1[#Data],4,FALSE)</f>
        <v>#REF!</v>
      </c>
    </row>
    <row r="2661" spans="1:12" hidden="1" x14ac:dyDescent="0.3">
      <c r="A2661" t="s">
        <v>41</v>
      </c>
      <c r="B2661" t="s">
        <v>42</v>
      </c>
      <c r="C2661" t="s">
        <v>125</v>
      </c>
      <c r="D2661" t="s">
        <v>126</v>
      </c>
      <c r="E2661">
        <v>1987</v>
      </c>
      <c r="F2661" s="1">
        <v>24</v>
      </c>
      <c r="G2661">
        <v>1990</v>
      </c>
      <c r="H2661">
        <f>AVERAGEIFS(Table1[value],Table1[IndicatorCode],Table1[[#This Row],[IndicatorCode]])</f>
        <v>7.6894248608534319</v>
      </c>
      <c r="I2661" cm="1">
        <f t="array" ref="I2661">_xlfn.STDEV.P(IF(Table1[IndicatorCode]=Table1[[#This Row],[IndicatorCode]],Table1[value]))</f>
        <v>5.2319501044600996</v>
      </c>
      <c r="J2661">
        <f>(Table1[[#This Row],[value]] - Table1[[#This Row],[mean]]) / Table1[[#This Row],[std_dev]]</f>
        <v>3.1174943975941654</v>
      </c>
      <c r="K2661">
        <f>AVERAGEIF(Table1[CountryCode],Table1[[#This Row],[CountryCode]],Table1[z-score])</f>
        <v>0.48103769638692301</v>
      </c>
      <c r="L2661" t="e">
        <f>VLOOKUP(Table1[[#This Row],[CountryCode]],[1]!Table1[#Data],4,FALSE)</f>
        <v>#REF!</v>
      </c>
    </row>
    <row r="2662" spans="1:12" hidden="1" x14ac:dyDescent="0.3">
      <c r="A2662" t="s">
        <v>41</v>
      </c>
      <c r="B2662" t="s">
        <v>42</v>
      </c>
      <c r="C2662" t="s">
        <v>125</v>
      </c>
      <c r="D2662" t="s">
        <v>126</v>
      </c>
      <c r="E2662">
        <v>1988</v>
      </c>
      <c r="F2662" s="1">
        <v>23</v>
      </c>
      <c r="G2662">
        <v>1990</v>
      </c>
      <c r="H2662">
        <f>AVERAGEIFS(Table1[value],Table1[IndicatorCode],Table1[[#This Row],[IndicatorCode]])</f>
        <v>7.6894248608534319</v>
      </c>
      <c r="I2662" cm="1">
        <f t="array" ref="I2662">_xlfn.STDEV.P(IF(Table1[IndicatorCode]=Table1[[#This Row],[IndicatorCode]],Table1[value]))</f>
        <v>5.2319501044600996</v>
      </c>
      <c r="J2662">
        <f>(Table1[[#This Row],[value]] - Table1[[#This Row],[mean]]) / Table1[[#This Row],[std_dev]]</f>
        <v>2.9263610763594068</v>
      </c>
      <c r="K2662">
        <f>AVERAGEIF(Table1[CountryCode],Table1[[#This Row],[CountryCode]],Table1[z-score])</f>
        <v>0.48103769638692301</v>
      </c>
      <c r="L2662" t="e">
        <f>VLOOKUP(Table1[[#This Row],[CountryCode]],[1]!Table1[#Data],4,FALSE)</f>
        <v>#REF!</v>
      </c>
    </row>
    <row r="2663" spans="1:12" hidden="1" x14ac:dyDescent="0.3">
      <c r="A2663" t="s">
        <v>41</v>
      </c>
      <c r="B2663" t="s">
        <v>42</v>
      </c>
      <c r="C2663" t="s">
        <v>125</v>
      </c>
      <c r="D2663" t="s">
        <v>126</v>
      </c>
      <c r="E2663">
        <v>1989</v>
      </c>
      <c r="F2663" s="1">
        <v>21</v>
      </c>
      <c r="G2663">
        <v>1990</v>
      </c>
      <c r="H2663">
        <f>AVERAGEIFS(Table1[value],Table1[IndicatorCode],Table1[[#This Row],[IndicatorCode]])</f>
        <v>7.6894248608534319</v>
      </c>
      <c r="I2663" cm="1">
        <f t="array" ref="I2663">_xlfn.STDEV.P(IF(Table1[IndicatorCode]=Table1[[#This Row],[IndicatorCode]],Table1[value]))</f>
        <v>5.2319501044600996</v>
      </c>
      <c r="J2663">
        <f>(Table1[[#This Row],[value]] - Table1[[#This Row],[mean]]) / Table1[[#This Row],[std_dev]]</f>
        <v>2.5440944338898901</v>
      </c>
      <c r="K2663">
        <f>AVERAGEIF(Table1[CountryCode],Table1[[#This Row],[CountryCode]],Table1[z-score])</f>
        <v>0.48103769638692301</v>
      </c>
      <c r="L2663" t="e">
        <f>VLOOKUP(Table1[[#This Row],[CountryCode]],[1]!Table1[#Data],4,FALSE)</f>
        <v>#REF!</v>
      </c>
    </row>
    <row r="2664" spans="1:12" hidden="1" x14ac:dyDescent="0.3">
      <c r="A2664" t="s">
        <v>41</v>
      </c>
      <c r="B2664" t="s">
        <v>42</v>
      </c>
      <c r="C2664" t="s">
        <v>125</v>
      </c>
      <c r="D2664" t="s">
        <v>126</v>
      </c>
      <c r="E2664">
        <v>1990</v>
      </c>
      <c r="F2664" s="1">
        <v>26</v>
      </c>
      <c r="G2664">
        <v>1990</v>
      </c>
      <c r="H2664">
        <f>AVERAGEIFS(Table1[value],Table1[IndicatorCode],Table1[[#This Row],[IndicatorCode]])</f>
        <v>7.6894248608534319</v>
      </c>
      <c r="I2664" cm="1">
        <f t="array" ref="I2664">_xlfn.STDEV.P(IF(Table1[IndicatorCode]=Table1[[#This Row],[IndicatorCode]],Table1[value]))</f>
        <v>5.2319501044600996</v>
      </c>
      <c r="J2664">
        <f>(Table1[[#This Row],[value]] - Table1[[#This Row],[mean]]) / Table1[[#This Row],[std_dev]]</f>
        <v>3.499761040063682</v>
      </c>
      <c r="K2664">
        <f>AVERAGEIF(Table1[CountryCode],Table1[[#This Row],[CountryCode]],Table1[z-score])</f>
        <v>0.48103769638692301</v>
      </c>
      <c r="L2664" t="e">
        <f>VLOOKUP(Table1[[#This Row],[CountryCode]],[1]!Table1[#Data],4,FALSE)</f>
        <v>#REF!</v>
      </c>
    </row>
    <row r="2665" spans="1:12" hidden="1" x14ac:dyDescent="0.3">
      <c r="A2665" t="s">
        <v>41</v>
      </c>
      <c r="B2665" t="s">
        <v>42</v>
      </c>
      <c r="C2665" t="s">
        <v>125</v>
      </c>
      <c r="D2665" t="s">
        <v>126</v>
      </c>
      <c r="E2665">
        <v>1991</v>
      </c>
      <c r="F2665" s="1">
        <v>23</v>
      </c>
      <c r="G2665">
        <v>1990</v>
      </c>
      <c r="H2665">
        <f>AVERAGEIFS(Table1[value],Table1[IndicatorCode],Table1[[#This Row],[IndicatorCode]])</f>
        <v>7.6894248608534319</v>
      </c>
      <c r="I2665" cm="1">
        <f t="array" ref="I2665">_xlfn.STDEV.P(IF(Table1[IndicatorCode]=Table1[[#This Row],[IndicatorCode]],Table1[value]))</f>
        <v>5.2319501044600996</v>
      </c>
      <c r="J2665">
        <f>(Table1[[#This Row],[value]] - Table1[[#This Row],[mean]]) / Table1[[#This Row],[std_dev]]</f>
        <v>2.9263610763594068</v>
      </c>
      <c r="K2665">
        <f>AVERAGEIF(Table1[CountryCode],Table1[[#This Row],[CountryCode]],Table1[z-score])</f>
        <v>0.48103769638692301</v>
      </c>
      <c r="L2665" t="e">
        <f>VLOOKUP(Table1[[#This Row],[CountryCode]],[1]!Table1[#Data],4,FALSE)</f>
        <v>#REF!</v>
      </c>
    </row>
    <row r="2666" spans="1:12" hidden="1" x14ac:dyDescent="0.3">
      <c r="A2666" t="s">
        <v>41</v>
      </c>
      <c r="B2666" t="s">
        <v>42</v>
      </c>
      <c r="C2666" t="s">
        <v>125</v>
      </c>
      <c r="D2666" t="s">
        <v>126</v>
      </c>
      <c r="E2666">
        <v>1992</v>
      </c>
      <c r="F2666" s="1">
        <v>17</v>
      </c>
      <c r="G2666">
        <v>1990</v>
      </c>
      <c r="H2666">
        <f>AVERAGEIFS(Table1[value],Table1[IndicatorCode],Table1[[#This Row],[IndicatorCode]])</f>
        <v>7.6894248608534319</v>
      </c>
      <c r="I2666" cm="1">
        <f t="array" ref="I2666">_xlfn.STDEV.P(IF(Table1[IndicatorCode]=Table1[[#This Row],[IndicatorCode]],Table1[value]))</f>
        <v>5.2319501044600996</v>
      </c>
      <c r="J2666">
        <f>(Table1[[#This Row],[value]] - Table1[[#This Row],[mean]]) / Table1[[#This Row],[std_dev]]</f>
        <v>1.7795611489508565</v>
      </c>
      <c r="K2666">
        <f>AVERAGEIF(Table1[CountryCode],Table1[[#This Row],[CountryCode]],Table1[z-score])</f>
        <v>0.48103769638692301</v>
      </c>
      <c r="L2666" t="e">
        <f>VLOOKUP(Table1[[#This Row],[CountryCode]],[1]!Table1[#Data],4,FALSE)</f>
        <v>#REF!</v>
      </c>
    </row>
    <row r="2667" spans="1:12" hidden="1" x14ac:dyDescent="0.3">
      <c r="A2667" t="s">
        <v>41</v>
      </c>
      <c r="B2667" t="s">
        <v>42</v>
      </c>
      <c r="C2667" t="s">
        <v>125</v>
      </c>
      <c r="D2667" t="s">
        <v>126</v>
      </c>
      <c r="E2667">
        <v>1993</v>
      </c>
      <c r="F2667" s="1">
        <v>15</v>
      </c>
      <c r="G2667">
        <v>1990</v>
      </c>
      <c r="H2667">
        <f>AVERAGEIFS(Table1[value],Table1[IndicatorCode],Table1[[#This Row],[IndicatorCode]])</f>
        <v>7.6894248608534319</v>
      </c>
      <c r="I2667" cm="1">
        <f t="array" ref="I2667">_xlfn.STDEV.P(IF(Table1[IndicatorCode]=Table1[[#This Row],[IndicatorCode]],Table1[value]))</f>
        <v>5.2319501044600996</v>
      </c>
      <c r="J2667">
        <f>(Table1[[#This Row],[value]] - Table1[[#This Row],[mean]]) / Table1[[#This Row],[std_dev]]</f>
        <v>1.3972945064813396</v>
      </c>
      <c r="K2667">
        <f>AVERAGEIF(Table1[CountryCode],Table1[[#This Row],[CountryCode]],Table1[z-score])</f>
        <v>0.48103769638692301</v>
      </c>
      <c r="L2667" t="e">
        <f>VLOOKUP(Table1[[#This Row],[CountryCode]],[1]!Table1[#Data],4,FALSE)</f>
        <v>#REF!</v>
      </c>
    </row>
    <row r="2668" spans="1:12" hidden="1" x14ac:dyDescent="0.3">
      <c r="A2668" t="s">
        <v>41</v>
      </c>
      <c r="B2668" t="s">
        <v>42</v>
      </c>
      <c r="C2668" t="s">
        <v>125</v>
      </c>
      <c r="D2668" t="s">
        <v>126</v>
      </c>
      <c r="E2668">
        <v>1994</v>
      </c>
      <c r="F2668" s="1">
        <v>15</v>
      </c>
      <c r="G2668">
        <v>1990</v>
      </c>
      <c r="H2668">
        <f>AVERAGEIFS(Table1[value],Table1[IndicatorCode],Table1[[#This Row],[IndicatorCode]])</f>
        <v>7.6894248608534319</v>
      </c>
      <c r="I2668" cm="1">
        <f t="array" ref="I2668">_xlfn.STDEV.P(IF(Table1[IndicatorCode]=Table1[[#This Row],[IndicatorCode]],Table1[value]))</f>
        <v>5.2319501044600996</v>
      </c>
      <c r="J2668">
        <f>(Table1[[#This Row],[value]] - Table1[[#This Row],[mean]]) / Table1[[#This Row],[std_dev]]</f>
        <v>1.3972945064813396</v>
      </c>
      <c r="K2668">
        <f>AVERAGEIF(Table1[CountryCode],Table1[[#This Row],[CountryCode]],Table1[z-score])</f>
        <v>0.48103769638692301</v>
      </c>
      <c r="L2668" t="e">
        <f>VLOOKUP(Table1[[#This Row],[CountryCode]],[1]!Table1[#Data],4,FALSE)</f>
        <v>#REF!</v>
      </c>
    </row>
    <row r="2669" spans="1:12" hidden="1" x14ac:dyDescent="0.3">
      <c r="A2669" t="s">
        <v>41</v>
      </c>
      <c r="B2669" t="s">
        <v>42</v>
      </c>
      <c r="C2669" t="s">
        <v>125</v>
      </c>
      <c r="D2669" t="s">
        <v>126</v>
      </c>
      <c r="E2669">
        <v>1995</v>
      </c>
      <c r="F2669" s="1">
        <v>14</v>
      </c>
      <c r="G2669">
        <v>1990</v>
      </c>
      <c r="H2669">
        <f>AVERAGEIFS(Table1[value],Table1[IndicatorCode],Table1[[#This Row],[IndicatorCode]])</f>
        <v>7.6894248608534319</v>
      </c>
      <c r="I2669" cm="1">
        <f t="array" ref="I2669">_xlfn.STDEV.P(IF(Table1[IndicatorCode]=Table1[[#This Row],[IndicatorCode]],Table1[value]))</f>
        <v>5.2319501044600996</v>
      </c>
      <c r="J2669">
        <f>(Table1[[#This Row],[value]] - Table1[[#This Row],[mean]]) / Table1[[#This Row],[std_dev]]</f>
        <v>1.2061611852465812</v>
      </c>
      <c r="K2669">
        <f>AVERAGEIF(Table1[CountryCode],Table1[[#This Row],[CountryCode]],Table1[z-score])</f>
        <v>0.48103769638692301</v>
      </c>
      <c r="L2669" t="e">
        <f>VLOOKUP(Table1[[#This Row],[CountryCode]],[1]!Table1[#Data],4,FALSE)</f>
        <v>#REF!</v>
      </c>
    </row>
    <row r="2670" spans="1:12" hidden="1" x14ac:dyDescent="0.3">
      <c r="A2670" t="s">
        <v>41</v>
      </c>
      <c r="B2670" t="s">
        <v>42</v>
      </c>
      <c r="C2670" t="s">
        <v>125</v>
      </c>
      <c r="D2670" t="s">
        <v>126</v>
      </c>
      <c r="E2670">
        <v>1996</v>
      </c>
      <c r="F2670" s="1">
        <v>15</v>
      </c>
      <c r="G2670">
        <v>1990</v>
      </c>
      <c r="H2670">
        <f>AVERAGEIFS(Table1[value],Table1[IndicatorCode],Table1[[#This Row],[IndicatorCode]])</f>
        <v>7.6894248608534319</v>
      </c>
      <c r="I2670" cm="1">
        <f t="array" ref="I2670">_xlfn.STDEV.P(IF(Table1[IndicatorCode]=Table1[[#This Row],[IndicatorCode]],Table1[value]))</f>
        <v>5.2319501044600996</v>
      </c>
      <c r="J2670">
        <f>(Table1[[#This Row],[value]] - Table1[[#This Row],[mean]]) / Table1[[#This Row],[std_dev]]</f>
        <v>1.3972945064813396</v>
      </c>
      <c r="K2670">
        <f>AVERAGEIF(Table1[CountryCode],Table1[[#This Row],[CountryCode]],Table1[z-score])</f>
        <v>0.48103769638692301</v>
      </c>
      <c r="L2670" t="e">
        <f>VLOOKUP(Table1[[#This Row],[CountryCode]],[1]!Table1[#Data],4,FALSE)</f>
        <v>#REF!</v>
      </c>
    </row>
    <row r="2671" spans="1:12" hidden="1" x14ac:dyDescent="0.3">
      <c r="A2671" t="s">
        <v>41</v>
      </c>
      <c r="B2671" t="s">
        <v>42</v>
      </c>
      <c r="C2671" t="s">
        <v>125</v>
      </c>
      <c r="D2671" t="s">
        <v>126</v>
      </c>
      <c r="E2671">
        <v>1997</v>
      </c>
      <c r="F2671" s="1">
        <v>15</v>
      </c>
      <c r="G2671">
        <v>2000</v>
      </c>
      <c r="H2671">
        <f>AVERAGEIFS(Table1[value],Table1[IndicatorCode],Table1[[#This Row],[IndicatorCode]])</f>
        <v>7.6894248608534319</v>
      </c>
      <c r="I2671" cm="1">
        <f t="array" ref="I2671">_xlfn.STDEV.P(IF(Table1[IndicatorCode]=Table1[[#This Row],[IndicatorCode]],Table1[value]))</f>
        <v>5.2319501044600996</v>
      </c>
      <c r="J2671">
        <f>(Table1[[#This Row],[value]] - Table1[[#This Row],[mean]]) / Table1[[#This Row],[std_dev]]</f>
        <v>1.3972945064813396</v>
      </c>
      <c r="K2671">
        <f>AVERAGEIF(Table1[CountryCode],Table1[[#This Row],[CountryCode]],Table1[z-score])</f>
        <v>0.48103769638692301</v>
      </c>
      <c r="L2671" t="e">
        <f>VLOOKUP(Table1[[#This Row],[CountryCode]],[1]!Table1[#Data],4,FALSE)</f>
        <v>#REF!</v>
      </c>
    </row>
    <row r="2672" spans="1:12" hidden="1" x14ac:dyDescent="0.3">
      <c r="A2672" t="s">
        <v>41</v>
      </c>
      <c r="B2672" t="s">
        <v>42</v>
      </c>
      <c r="C2672" t="s">
        <v>125</v>
      </c>
      <c r="D2672" t="s">
        <v>126</v>
      </c>
      <c r="E2672">
        <v>1998</v>
      </c>
      <c r="F2672" s="1">
        <v>14</v>
      </c>
      <c r="G2672">
        <v>2000</v>
      </c>
      <c r="H2672">
        <f>AVERAGEIFS(Table1[value],Table1[IndicatorCode],Table1[[#This Row],[IndicatorCode]])</f>
        <v>7.6894248608534319</v>
      </c>
      <c r="I2672" cm="1">
        <f t="array" ref="I2672">_xlfn.STDEV.P(IF(Table1[IndicatorCode]=Table1[[#This Row],[IndicatorCode]],Table1[value]))</f>
        <v>5.2319501044600996</v>
      </c>
      <c r="J2672">
        <f>(Table1[[#This Row],[value]] - Table1[[#This Row],[mean]]) / Table1[[#This Row],[std_dev]]</f>
        <v>1.2061611852465812</v>
      </c>
      <c r="K2672">
        <f>AVERAGEIF(Table1[CountryCode],Table1[[#This Row],[CountryCode]],Table1[z-score])</f>
        <v>0.48103769638692301</v>
      </c>
      <c r="L2672" t="e">
        <f>VLOOKUP(Table1[[#This Row],[CountryCode]],[1]!Table1[#Data],4,FALSE)</f>
        <v>#REF!</v>
      </c>
    </row>
    <row r="2673" spans="1:12" hidden="1" x14ac:dyDescent="0.3">
      <c r="A2673" t="s">
        <v>41</v>
      </c>
      <c r="B2673" t="s">
        <v>42</v>
      </c>
      <c r="C2673" t="s">
        <v>125</v>
      </c>
      <c r="D2673" t="s">
        <v>126</v>
      </c>
      <c r="E2673">
        <v>1999</v>
      </c>
      <c r="F2673" s="1">
        <v>13</v>
      </c>
      <c r="G2673">
        <v>2000</v>
      </c>
      <c r="H2673">
        <f>AVERAGEIFS(Table1[value],Table1[IndicatorCode],Table1[[#This Row],[IndicatorCode]])</f>
        <v>7.6894248608534319</v>
      </c>
      <c r="I2673" cm="1">
        <f t="array" ref="I2673">_xlfn.STDEV.P(IF(Table1[IndicatorCode]=Table1[[#This Row],[IndicatorCode]],Table1[value]))</f>
        <v>5.2319501044600996</v>
      </c>
      <c r="J2673">
        <f>(Table1[[#This Row],[value]] - Table1[[#This Row],[mean]]) / Table1[[#This Row],[std_dev]]</f>
        <v>1.0150278640118229</v>
      </c>
      <c r="K2673">
        <f>AVERAGEIF(Table1[CountryCode],Table1[[#This Row],[CountryCode]],Table1[z-score])</f>
        <v>0.48103769638692301</v>
      </c>
      <c r="L2673" t="e">
        <f>VLOOKUP(Table1[[#This Row],[CountryCode]],[1]!Table1[#Data],4,FALSE)</f>
        <v>#REF!</v>
      </c>
    </row>
    <row r="2674" spans="1:12" hidden="1" x14ac:dyDescent="0.3">
      <c r="A2674" t="s">
        <v>41</v>
      </c>
      <c r="B2674" t="s">
        <v>42</v>
      </c>
      <c r="C2674" t="s">
        <v>125</v>
      </c>
      <c r="D2674" t="s">
        <v>126</v>
      </c>
      <c r="E2674">
        <v>2000</v>
      </c>
      <c r="F2674" s="1">
        <v>13</v>
      </c>
      <c r="G2674">
        <v>2000</v>
      </c>
      <c r="H2674">
        <f>AVERAGEIFS(Table1[value],Table1[IndicatorCode],Table1[[#This Row],[IndicatorCode]])</f>
        <v>7.6894248608534319</v>
      </c>
      <c r="I2674" cm="1">
        <f t="array" ref="I2674">_xlfn.STDEV.P(IF(Table1[IndicatorCode]=Table1[[#This Row],[IndicatorCode]],Table1[value]))</f>
        <v>5.2319501044600996</v>
      </c>
      <c r="J2674">
        <f>(Table1[[#This Row],[value]] - Table1[[#This Row],[mean]]) / Table1[[#This Row],[std_dev]]</f>
        <v>1.0150278640118229</v>
      </c>
      <c r="K2674">
        <f>AVERAGEIF(Table1[CountryCode],Table1[[#This Row],[CountryCode]],Table1[z-score])</f>
        <v>0.48103769638692301</v>
      </c>
      <c r="L2674" t="e">
        <f>VLOOKUP(Table1[[#This Row],[CountryCode]],[1]!Table1[#Data],4,FALSE)</f>
        <v>#REF!</v>
      </c>
    </row>
    <row r="2675" spans="1:12" hidden="1" x14ac:dyDescent="0.3">
      <c r="A2675" t="s">
        <v>41</v>
      </c>
      <c r="B2675" t="s">
        <v>42</v>
      </c>
      <c r="C2675" t="s">
        <v>125</v>
      </c>
      <c r="D2675" t="s">
        <v>126</v>
      </c>
      <c r="E2675">
        <v>2001</v>
      </c>
      <c r="F2675" s="1">
        <v>13</v>
      </c>
      <c r="G2675">
        <v>2000</v>
      </c>
      <c r="H2675">
        <f>AVERAGEIFS(Table1[value],Table1[IndicatorCode],Table1[[#This Row],[IndicatorCode]])</f>
        <v>7.6894248608534319</v>
      </c>
      <c r="I2675" cm="1">
        <f t="array" ref="I2675">_xlfn.STDEV.P(IF(Table1[IndicatorCode]=Table1[[#This Row],[IndicatorCode]],Table1[value]))</f>
        <v>5.2319501044600996</v>
      </c>
      <c r="J2675">
        <f>(Table1[[#This Row],[value]] - Table1[[#This Row],[mean]]) / Table1[[#This Row],[std_dev]]</f>
        <v>1.0150278640118229</v>
      </c>
      <c r="K2675">
        <f>AVERAGEIF(Table1[CountryCode],Table1[[#This Row],[CountryCode]],Table1[z-score])</f>
        <v>0.48103769638692301</v>
      </c>
      <c r="L2675" t="e">
        <f>VLOOKUP(Table1[[#This Row],[CountryCode]],[1]!Table1[#Data],4,FALSE)</f>
        <v>#REF!</v>
      </c>
    </row>
    <row r="2676" spans="1:12" hidden="1" x14ac:dyDescent="0.3">
      <c r="A2676" t="s">
        <v>41</v>
      </c>
      <c r="B2676" t="s">
        <v>42</v>
      </c>
      <c r="C2676" t="s">
        <v>125</v>
      </c>
      <c r="D2676" t="s">
        <v>126</v>
      </c>
      <c r="E2676">
        <v>2002</v>
      </c>
      <c r="F2676" s="1">
        <v>13</v>
      </c>
      <c r="G2676">
        <v>2000</v>
      </c>
      <c r="H2676">
        <f>AVERAGEIFS(Table1[value],Table1[IndicatorCode],Table1[[#This Row],[IndicatorCode]])</f>
        <v>7.6894248608534319</v>
      </c>
      <c r="I2676" cm="1">
        <f t="array" ref="I2676">_xlfn.STDEV.P(IF(Table1[IndicatorCode]=Table1[[#This Row],[IndicatorCode]],Table1[value]))</f>
        <v>5.2319501044600996</v>
      </c>
      <c r="J2676">
        <f>(Table1[[#This Row],[value]] - Table1[[#This Row],[mean]]) / Table1[[#This Row],[std_dev]]</f>
        <v>1.0150278640118229</v>
      </c>
      <c r="K2676">
        <f>AVERAGEIF(Table1[CountryCode],Table1[[#This Row],[CountryCode]],Table1[z-score])</f>
        <v>0.48103769638692301</v>
      </c>
      <c r="L2676" t="e">
        <f>VLOOKUP(Table1[[#This Row],[CountryCode]],[1]!Table1[#Data],4,FALSE)</f>
        <v>#REF!</v>
      </c>
    </row>
    <row r="2677" spans="1:12" hidden="1" x14ac:dyDescent="0.3">
      <c r="A2677" t="s">
        <v>41</v>
      </c>
      <c r="B2677" t="s">
        <v>42</v>
      </c>
      <c r="C2677" t="s">
        <v>125</v>
      </c>
      <c r="D2677" t="s">
        <v>126</v>
      </c>
      <c r="E2677">
        <v>2003</v>
      </c>
      <c r="F2677" s="1">
        <v>14</v>
      </c>
      <c r="G2677">
        <v>2000</v>
      </c>
      <c r="H2677">
        <f>AVERAGEIFS(Table1[value],Table1[IndicatorCode],Table1[[#This Row],[IndicatorCode]])</f>
        <v>7.6894248608534319</v>
      </c>
      <c r="I2677" cm="1">
        <f t="array" ref="I2677">_xlfn.STDEV.P(IF(Table1[IndicatorCode]=Table1[[#This Row],[IndicatorCode]],Table1[value]))</f>
        <v>5.2319501044600996</v>
      </c>
      <c r="J2677">
        <f>(Table1[[#This Row],[value]] - Table1[[#This Row],[mean]]) / Table1[[#This Row],[std_dev]]</f>
        <v>1.2061611852465812</v>
      </c>
      <c r="K2677">
        <f>AVERAGEIF(Table1[CountryCode],Table1[[#This Row],[CountryCode]],Table1[z-score])</f>
        <v>0.48103769638692301</v>
      </c>
      <c r="L2677" t="e">
        <f>VLOOKUP(Table1[[#This Row],[CountryCode]],[1]!Table1[#Data],4,FALSE)</f>
        <v>#REF!</v>
      </c>
    </row>
    <row r="2678" spans="1:12" hidden="1" x14ac:dyDescent="0.3">
      <c r="A2678" t="s">
        <v>41</v>
      </c>
      <c r="B2678" t="s">
        <v>42</v>
      </c>
      <c r="C2678" t="s">
        <v>125</v>
      </c>
      <c r="D2678" t="s">
        <v>126</v>
      </c>
      <c r="E2678">
        <v>2004</v>
      </c>
      <c r="F2678" s="1">
        <v>15</v>
      </c>
      <c r="G2678">
        <v>2000</v>
      </c>
      <c r="H2678">
        <f>AVERAGEIFS(Table1[value],Table1[IndicatorCode],Table1[[#This Row],[IndicatorCode]])</f>
        <v>7.6894248608534319</v>
      </c>
      <c r="I2678" cm="1">
        <f t="array" ref="I2678">_xlfn.STDEV.P(IF(Table1[IndicatorCode]=Table1[[#This Row],[IndicatorCode]],Table1[value]))</f>
        <v>5.2319501044600996</v>
      </c>
      <c r="J2678">
        <f>(Table1[[#This Row],[value]] - Table1[[#This Row],[mean]]) / Table1[[#This Row],[std_dev]]</f>
        <v>1.3972945064813396</v>
      </c>
      <c r="K2678">
        <f>AVERAGEIF(Table1[CountryCode],Table1[[#This Row],[CountryCode]],Table1[z-score])</f>
        <v>0.48103769638692301</v>
      </c>
      <c r="L2678" t="e">
        <f>VLOOKUP(Table1[[#This Row],[CountryCode]],[1]!Table1[#Data],4,FALSE)</f>
        <v>#REF!</v>
      </c>
    </row>
    <row r="2679" spans="1:12" hidden="1" x14ac:dyDescent="0.3">
      <c r="A2679" t="s">
        <v>41</v>
      </c>
      <c r="B2679" t="s">
        <v>42</v>
      </c>
      <c r="C2679" t="s">
        <v>125</v>
      </c>
      <c r="D2679" t="s">
        <v>126</v>
      </c>
      <c r="E2679">
        <v>2005</v>
      </c>
      <c r="F2679" s="1">
        <v>15</v>
      </c>
      <c r="G2679">
        <v>2000</v>
      </c>
      <c r="H2679">
        <f>AVERAGEIFS(Table1[value],Table1[IndicatorCode],Table1[[#This Row],[IndicatorCode]])</f>
        <v>7.6894248608534319</v>
      </c>
      <c r="I2679" cm="1">
        <f t="array" ref="I2679">_xlfn.STDEV.P(IF(Table1[IndicatorCode]=Table1[[#This Row],[IndicatorCode]],Table1[value]))</f>
        <v>5.2319501044600996</v>
      </c>
      <c r="J2679">
        <f>(Table1[[#This Row],[value]] - Table1[[#This Row],[mean]]) / Table1[[#This Row],[std_dev]]</f>
        <v>1.3972945064813396</v>
      </c>
      <c r="K2679">
        <f>AVERAGEIF(Table1[CountryCode],Table1[[#This Row],[CountryCode]],Table1[z-score])</f>
        <v>0.48103769638692301</v>
      </c>
      <c r="L2679" t="e">
        <f>VLOOKUP(Table1[[#This Row],[CountryCode]],[1]!Table1[#Data],4,FALSE)</f>
        <v>#REF!</v>
      </c>
    </row>
    <row r="2680" spans="1:12" hidden="1" x14ac:dyDescent="0.3">
      <c r="A2680" t="s">
        <v>41</v>
      </c>
      <c r="B2680" t="s">
        <v>42</v>
      </c>
      <c r="C2680" t="s">
        <v>125</v>
      </c>
      <c r="D2680" t="s">
        <v>126</v>
      </c>
      <c r="E2680">
        <v>2006</v>
      </c>
      <c r="F2680" s="1">
        <v>14</v>
      </c>
      <c r="G2680">
        <v>2000</v>
      </c>
      <c r="H2680">
        <f>AVERAGEIFS(Table1[value],Table1[IndicatorCode],Table1[[#This Row],[IndicatorCode]])</f>
        <v>7.6894248608534319</v>
      </c>
      <c r="I2680" cm="1">
        <f t="array" ref="I2680">_xlfn.STDEV.P(IF(Table1[IndicatorCode]=Table1[[#This Row],[IndicatorCode]],Table1[value]))</f>
        <v>5.2319501044600996</v>
      </c>
      <c r="J2680">
        <f>(Table1[[#This Row],[value]] - Table1[[#This Row],[mean]]) / Table1[[#This Row],[std_dev]]</f>
        <v>1.2061611852465812</v>
      </c>
      <c r="K2680">
        <f>AVERAGEIF(Table1[CountryCode],Table1[[#This Row],[CountryCode]],Table1[z-score])</f>
        <v>0.48103769638692301</v>
      </c>
      <c r="L2680" t="e">
        <f>VLOOKUP(Table1[[#This Row],[CountryCode]],[1]!Table1[#Data],4,FALSE)</f>
        <v>#REF!</v>
      </c>
    </row>
    <row r="2681" spans="1:12" hidden="1" x14ac:dyDescent="0.3">
      <c r="A2681" t="s">
        <v>41</v>
      </c>
      <c r="B2681" t="s">
        <v>42</v>
      </c>
      <c r="C2681" t="s">
        <v>125</v>
      </c>
      <c r="D2681" t="s">
        <v>126</v>
      </c>
      <c r="E2681">
        <v>2007</v>
      </c>
      <c r="F2681" s="1">
        <v>17</v>
      </c>
      <c r="G2681">
        <v>2010</v>
      </c>
      <c r="H2681">
        <f>AVERAGEIFS(Table1[value],Table1[IndicatorCode],Table1[[#This Row],[IndicatorCode]])</f>
        <v>7.6894248608534319</v>
      </c>
      <c r="I2681" cm="1">
        <f t="array" ref="I2681">_xlfn.STDEV.P(IF(Table1[IndicatorCode]=Table1[[#This Row],[IndicatorCode]],Table1[value]))</f>
        <v>5.2319501044600996</v>
      </c>
      <c r="J2681">
        <f>(Table1[[#This Row],[value]] - Table1[[#This Row],[mean]]) / Table1[[#This Row],[std_dev]]</f>
        <v>1.7795611489508565</v>
      </c>
      <c r="K2681">
        <f>AVERAGEIF(Table1[CountryCode],Table1[[#This Row],[CountryCode]],Table1[z-score])</f>
        <v>0.48103769638692301</v>
      </c>
      <c r="L2681" t="e">
        <f>VLOOKUP(Table1[[#This Row],[CountryCode]],[1]!Table1[#Data],4,FALSE)</f>
        <v>#REF!</v>
      </c>
    </row>
    <row r="2682" spans="1:12" hidden="1" x14ac:dyDescent="0.3">
      <c r="A2682" t="s">
        <v>41</v>
      </c>
      <c r="B2682" t="s">
        <v>42</v>
      </c>
      <c r="C2682" t="s">
        <v>125</v>
      </c>
      <c r="D2682" t="s">
        <v>126</v>
      </c>
      <c r="E2682">
        <v>2008</v>
      </c>
      <c r="F2682" s="1">
        <v>16</v>
      </c>
      <c r="G2682">
        <v>2010</v>
      </c>
      <c r="H2682">
        <f>AVERAGEIFS(Table1[value],Table1[IndicatorCode],Table1[[#This Row],[IndicatorCode]])</f>
        <v>7.6894248608534319</v>
      </c>
      <c r="I2682" cm="1">
        <f t="array" ref="I2682">_xlfn.STDEV.P(IF(Table1[IndicatorCode]=Table1[[#This Row],[IndicatorCode]],Table1[value]))</f>
        <v>5.2319501044600996</v>
      </c>
      <c r="J2682">
        <f>(Table1[[#This Row],[value]] - Table1[[#This Row],[mean]]) / Table1[[#This Row],[std_dev]]</f>
        <v>1.5884278277160979</v>
      </c>
      <c r="K2682">
        <f>AVERAGEIF(Table1[CountryCode],Table1[[#This Row],[CountryCode]],Table1[z-score])</f>
        <v>0.48103769638692301</v>
      </c>
      <c r="L2682" t="e">
        <f>VLOOKUP(Table1[[#This Row],[CountryCode]],[1]!Table1[#Data],4,FALSE)</f>
        <v>#REF!</v>
      </c>
    </row>
    <row r="2683" spans="1:12" hidden="1" x14ac:dyDescent="0.3">
      <c r="A2683" t="s">
        <v>41</v>
      </c>
      <c r="B2683" t="s">
        <v>42</v>
      </c>
      <c r="C2683" t="s">
        <v>125</v>
      </c>
      <c r="D2683" t="s">
        <v>126</v>
      </c>
      <c r="E2683">
        <v>2009</v>
      </c>
      <c r="F2683" s="1">
        <v>13</v>
      </c>
      <c r="G2683">
        <v>2010</v>
      </c>
      <c r="H2683">
        <f>AVERAGEIFS(Table1[value],Table1[IndicatorCode],Table1[[#This Row],[IndicatorCode]])</f>
        <v>7.6894248608534319</v>
      </c>
      <c r="I2683" cm="1">
        <f t="array" ref="I2683">_xlfn.STDEV.P(IF(Table1[IndicatorCode]=Table1[[#This Row],[IndicatorCode]],Table1[value]))</f>
        <v>5.2319501044600996</v>
      </c>
      <c r="J2683">
        <f>(Table1[[#This Row],[value]] - Table1[[#This Row],[mean]]) / Table1[[#This Row],[std_dev]]</f>
        <v>1.0150278640118229</v>
      </c>
      <c r="K2683">
        <f>AVERAGEIF(Table1[CountryCode],Table1[[#This Row],[CountryCode]],Table1[z-score])</f>
        <v>0.48103769638692301</v>
      </c>
      <c r="L2683" t="e">
        <f>VLOOKUP(Table1[[#This Row],[CountryCode]],[1]!Table1[#Data],4,FALSE)</f>
        <v>#REF!</v>
      </c>
    </row>
    <row r="2684" spans="1:12" hidden="1" x14ac:dyDescent="0.3">
      <c r="A2684" t="s">
        <v>41</v>
      </c>
      <c r="B2684" t="s">
        <v>42</v>
      </c>
      <c r="C2684" t="s">
        <v>125</v>
      </c>
      <c r="D2684" t="s">
        <v>126</v>
      </c>
      <c r="E2684">
        <v>2010</v>
      </c>
      <c r="F2684" s="1">
        <v>17</v>
      </c>
      <c r="G2684">
        <v>2010</v>
      </c>
      <c r="H2684">
        <f>AVERAGEIFS(Table1[value],Table1[IndicatorCode],Table1[[#This Row],[IndicatorCode]])</f>
        <v>7.6894248608534319</v>
      </c>
      <c r="I2684" cm="1">
        <f t="array" ref="I2684">_xlfn.STDEV.P(IF(Table1[IndicatorCode]=Table1[[#This Row],[IndicatorCode]],Table1[value]))</f>
        <v>5.2319501044600996</v>
      </c>
      <c r="J2684">
        <f>(Table1[[#This Row],[value]] - Table1[[#This Row],[mean]]) / Table1[[#This Row],[std_dev]]</f>
        <v>1.7795611489508565</v>
      </c>
      <c r="K2684">
        <f>AVERAGEIF(Table1[CountryCode],Table1[[#This Row],[CountryCode]],Table1[z-score])</f>
        <v>0.48103769638692301</v>
      </c>
      <c r="L2684" t="e">
        <f>VLOOKUP(Table1[[#This Row],[CountryCode]],[1]!Table1[#Data],4,FALSE)</f>
        <v>#REF!</v>
      </c>
    </row>
    <row r="2685" spans="1:12" hidden="1" x14ac:dyDescent="0.3">
      <c r="A2685" t="s">
        <v>41</v>
      </c>
      <c r="B2685" t="s">
        <v>42</v>
      </c>
      <c r="C2685" t="s">
        <v>125</v>
      </c>
      <c r="D2685" t="s">
        <v>126</v>
      </c>
      <c r="E2685">
        <v>2011</v>
      </c>
      <c r="F2685" s="1">
        <v>17</v>
      </c>
      <c r="G2685">
        <v>2010</v>
      </c>
      <c r="H2685">
        <f>AVERAGEIFS(Table1[value],Table1[IndicatorCode],Table1[[#This Row],[IndicatorCode]])</f>
        <v>7.6894248608534319</v>
      </c>
      <c r="I2685" cm="1">
        <f t="array" ref="I2685">_xlfn.STDEV.P(IF(Table1[IndicatorCode]=Table1[[#This Row],[IndicatorCode]],Table1[value]))</f>
        <v>5.2319501044600996</v>
      </c>
      <c r="J2685">
        <f>(Table1[[#This Row],[value]] - Table1[[#This Row],[mean]]) / Table1[[#This Row],[std_dev]]</f>
        <v>1.7795611489508565</v>
      </c>
      <c r="K2685">
        <f>AVERAGEIF(Table1[CountryCode],Table1[[#This Row],[CountryCode]],Table1[z-score])</f>
        <v>0.48103769638692301</v>
      </c>
      <c r="L2685" t="e">
        <f>VLOOKUP(Table1[[#This Row],[CountryCode]],[1]!Table1[#Data],4,FALSE)</f>
        <v>#REF!</v>
      </c>
    </row>
    <row r="2686" spans="1:12" hidden="1" x14ac:dyDescent="0.3">
      <c r="A2686" t="s">
        <v>41</v>
      </c>
      <c r="B2686" t="s">
        <v>42</v>
      </c>
      <c r="C2686" t="s">
        <v>125</v>
      </c>
      <c r="D2686" t="s">
        <v>126</v>
      </c>
      <c r="E2686">
        <v>2012</v>
      </c>
      <c r="F2686" s="1">
        <v>16</v>
      </c>
      <c r="G2686">
        <v>2010</v>
      </c>
      <c r="H2686">
        <f>AVERAGEIFS(Table1[value],Table1[IndicatorCode],Table1[[#This Row],[IndicatorCode]])</f>
        <v>7.6894248608534319</v>
      </c>
      <c r="I2686" cm="1">
        <f t="array" ref="I2686">_xlfn.STDEV.P(IF(Table1[IndicatorCode]=Table1[[#This Row],[IndicatorCode]],Table1[value]))</f>
        <v>5.2319501044600996</v>
      </c>
      <c r="J2686">
        <f>(Table1[[#This Row],[value]] - Table1[[#This Row],[mean]]) / Table1[[#This Row],[std_dev]]</f>
        <v>1.5884278277160979</v>
      </c>
      <c r="K2686">
        <f>AVERAGEIF(Table1[CountryCode],Table1[[#This Row],[CountryCode]],Table1[z-score])</f>
        <v>0.48103769638692301</v>
      </c>
      <c r="L2686" t="e">
        <f>VLOOKUP(Table1[[#This Row],[CountryCode]],[1]!Table1[#Data],4,FALSE)</f>
        <v>#REF!</v>
      </c>
    </row>
    <row r="2687" spans="1:12" hidden="1" x14ac:dyDescent="0.3">
      <c r="A2687" t="s">
        <v>41</v>
      </c>
      <c r="B2687" t="s">
        <v>42</v>
      </c>
      <c r="C2687" t="s">
        <v>125</v>
      </c>
      <c r="D2687" t="s">
        <v>126</v>
      </c>
      <c r="E2687">
        <v>2013</v>
      </c>
      <c r="F2687" s="1">
        <v>18</v>
      </c>
      <c r="G2687">
        <v>2010</v>
      </c>
      <c r="H2687">
        <f>AVERAGEIFS(Table1[value],Table1[IndicatorCode],Table1[[#This Row],[IndicatorCode]])</f>
        <v>7.6894248608534319</v>
      </c>
      <c r="I2687" cm="1">
        <f t="array" ref="I2687">_xlfn.STDEV.P(IF(Table1[IndicatorCode]=Table1[[#This Row],[IndicatorCode]],Table1[value]))</f>
        <v>5.2319501044600996</v>
      </c>
      <c r="J2687">
        <f>(Table1[[#This Row],[value]] - Table1[[#This Row],[mean]]) / Table1[[#This Row],[std_dev]]</f>
        <v>1.9706944701856148</v>
      </c>
      <c r="K2687">
        <f>AVERAGEIF(Table1[CountryCode],Table1[[#This Row],[CountryCode]],Table1[z-score])</f>
        <v>0.48103769638692301</v>
      </c>
      <c r="L2687" t="e">
        <f>VLOOKUP(Table1[[#This Row],[CountryCode]],[1]!Table1[#Data],4,FALSE)</f>
        <v>#REF!</v>
      </c>
    </row>
    <row r="2688" spans="1:12" hidden="1" x14ac:dyDescent="0.3">
      <c r="A2688" t="s">
        <v>41</v>
      </c>
      <c r="B2688" t="s">
        <v>42</v>
      </c>
      <c r="C2688" t="s">
        <v>125</v>
      </c>
      <c r="D2688" t="s">
        <v>126</v>
      </c>
      <c r="E2688">
        <v>2014</v>
      </c>
      <c r="F2688" s="1">
        <v>17</v>
      </c>
      <c r="G2688">
        <v>2010</v>
      </c>
      <c r="H2688">
        <f>AVERAGEIFS(Table1[value],Table1[IndicatorCode],Table1[[#This Row],[IndicatorCode]])</f>
        <v>7.6894248608534319</v>
      </c>
      <c r="I2688" cm="1">
        <f t="array" ref="I2688">_xlfn.STDEV.P(IF(Table1[IndicatorCode]=Table1[[#This Row],[IndicatorCode]],Table1[value]))</f>
        <v>5.2319501044600996</v>
      </c>
      <c r="J2688">
        <f>(Table1[[#This Row],[value]] - Table1[[#This Row],[mean]]) / Table1[[#This Row],[std_dev]]</f>
        <v>1.7795611489508565</v>
      </c>
      <c r="K2688">
        <f>AVERAGEIF(Table1[CountryCode],Table1[[#This Row],[CountryCode]],Table1[z-score])</f>
        <v>0.48103769638692301</v>
      </c>
      <c r="L2688" t="e">
        <f>VLOOKUP(Table1[[#This Row],[CountryCode]],[1]!Table1[#Data],4,FALSE)</f>
        <v>#REF!</v>
      </c>
    </row>
    <row r="2689" spans="1:12" hidden="1" x14ac:dyDescent="0.3">
      <c r="A2689" t="s">
        <v>41</v>
      </c>
      <c r="B2689" t="s">
        <v>42</v>
      </c>
      <c r="C2689" t="s">
        <v>125</v>
      </c>
      <c r="D2689" t="s">
        <v>126</v>
      </c>
      <c r="E2689">
        <v>2015</v>
      </c>
      <c r="F2689" s="1">
        <v>16</v>
      </c>
      <c r="G2689">
        <v>2010</v>
      </c>
      <c r="H2689">
        <f>AVERAGEIFS(Table1[value],Table1[IndicatorCode],Table1[[#This Row],[IndicatorCode]])</f>
        <v>7.6894248608534319</v>
      </c>
      <c r="I2689" cm="1">
        <f t="array" ref="I2689">_xlfn.STDEV.P(IF(Table1[IndicatorCode]=Table1[[#This Row],[IndicatorCode]],Table1[value]))</f>
        <v>5.2319501044600996</v>
      </c>
      <c r="J2689">
        <f>(Table1[[#This Row],[value]] - Table1[[#This Row],[mean]]) / Table1[[#This Row],[std_dev]]</f>
        <v>1.5884278277160979</v>
      </c>
      <c r="K2689">
        <f>AVERAGEIF(Table1[CountryCode],Table1[[#This Row],[CountryCode]],Table1[z-score])</f>
        <v>0.48103769638692301</v>
      </c>
      <c r="L2689" t="e">
        <f>VLOOKUP(Table1[[#This Row],[CountryCode]],[1]!Table1[#Data],4,FALSE)</f>
        <v>#REF!</v>
      </c>
    </row>
    <row r="2690" spans="1:12" hidden="1" x14ac:dyDescent="0.3">
      <c r="A2690" t="s">
        <v>41</v>
      </c>
      <c r="B2690" t="s">
        <v>42</v>
      </c>
      <c r="C2690" t="s">
        <v>125</v>
      </c>
      <c r="D2690" t="s">
        <v>126</v>
      </c>
      <c r="E2690">
        <v>2016</v>
      </c>
      <c r="F2690" s="1">
        <v>16</v>
      </c>
      <c r="G2690">
        <v>2010</v>
      </c>
      <c r="H2690">
        <f>AVERAGEIFS(Table1[value],Table1[IndicatorCode],Table1[[#This Row],[IndicatorCode]])</f>
        <v>7.6894248608534319</v>
      </c>
      <c r="I2690" cm="1">
        <f t="array" ref="I2690">_xlfn.STDEV.P(IF(Table1[IndicatorCode]=Table1[[#This Row],[IndicatorCode]],Table1[value]))</f>
        <v>5.2319501044600996</v>
      </c>
      <c r="J2690">
        <f>(Table1[[#This Row],[value]] - Table1[[#This Row],[mean]]) / Table1[[#This Row],[std_dev]]</f>
        <v>1.5884278277160979</v>
      </c>
      <c r="K2690">
        <f>AVERAGEIF(Table1[CountryCode],Table1[[#This Row],[CountryCode]],Table1[z-score])</f>
        <v>0.48103769638692301</v>
      </c>
      <c r="L2690" t="e">
        <f>VLOOKUP(Table1[[#This Row],[CountryCode]],[1]!Table1[#Data],4,FALSE)</f>
        <v>#REF!</v>
      </c>
    </row>
    <row r="2691" spans="1:12" hidden="1" x14ac:dyDescent="0.3">
      <c r="A2691" t="s">
        <v>41</v>
      </c>
      <c r="B2691" t="s">
        <v>42</v>
      </c>
      <c r="C2691" t="s">
        <v>125</v>
      </c>
      <c r="D2691" t="s">
        <v>126</v>
      </c>
      <c r="E2691">
        <v>2017</v>
      </c>
      <c r="F2691" s="1">
        <v>17</v>
      </c>
      <c r="G2691">
        <v>2020</v>
      </c>
      <c r="H2691">
        <f>AVERAGEIFS(Table1[value],Table1[IndicatorCode],Table1[[#This Row],[IndicatorCode]])</f>
        <v>7.6894248608534319</v>
      </c>
      <c r="I2691" cm="1">
        <f t="array" ref="I2691">_xlfn.STDEV.P(IF(Table1[IndicatorCode]=Table1[[#This Row],[IndicatorCode]],Table1[value]))</f>
        <v>5.2319501044600996</v>
      </c>
      <c r="J2691">
        <f>(Table1[[#This Row],[value]] - Table1[[#This Row],[mean]]) / Table1[[#This Row],[std_dev]]</f>
        <v>1.7795611489508565</v>
      </c>
      <c r="K2691">
        <f>AVERAGEIF(Table1[CountryCode],Table1[[#This Row],[CountryCode]],Table1[z-score])</f>
        <v>0.48103769638692301</v>
      </c>
      <c r="L2691" t="e">
        <f>VLOOKUP(Table1[[#This Row],[CountryCode]],[1]!Table1[#Data],4,FALSE)</f>
        <v>#REF!</v>
      </c>
    </row>
    <row r="2692" spans="1:12" hidden="1" x14ac:dyDescent="0.3">
      <c r="A2692" t="s">
        <v>41</v>
      </c>
      <c r="B2692" t="s">
        <v>42</v>
      </c>
      <c r="C2692" t="s">
        <v>125</v>
      </c>
      <c r="D2692" t="s">
        <v>126</v>
      </c>
      <c r="E2692">
        <v>2018</v>
      </c>
      <c r="F2692" s="1">
        <v>18</v>
      </c>
      <c r="G2692">
        <v>2020</v>
      </c>
      <c r="H2692">
        <f>AVERAGEIFS(Table1[value],Table1[IndicatorCode],Table1[[#This Row],[IndicatorCode]])</f>
        <v>7.6894248608534319</v>
      </c>
      <c r="I2692" cm="1">
        <f t="array" ref="I2692">_xlfn.STDEV.P(IF(Table1[IndicatorCode]=Table1[[#This Row],[IndicatorCode]],Table1[value]))</f>
        <v>5.2319501044600996</v>
      </c>
      <c r="J2692">
        <f>(Table1[[#This Row],[value]] - Table1[[#This Row],[mean]]) / Table1[[#This Row],[std_dev]]</f>
        <v>1.9706944701856148</v>
      </c>
      <c r="K2692">
        <f>AVERAGEIF(Table1[CountryCode],Table1[[#This Row],[CountryCode]],Table1[z-score])</f>
        <v>0.48103769638692301</v>
      </c>
      <c r="L2692" t="e">
        <f>VLOOKUP(Table1[[#This Row],[CountryCode]],[1]!Table1[#Data],4,FALSE)</f>
        <v>#REF!</v>
      </c>
    </row>
    <row r="2693" spans="1:12" hidden="1" x14ac:dyDescent="0.3">
      <c r="A2693" t="s">
        <v>41</v>
      </c>
      <c r="B2693" t="s">
        <v>42</v>
      </c>
      <c r="C2693" t="s">
        <v>125</v>
      </c>
      <c r="D2693" t="s">
        <v>126</v>
      </c>
      <c r="E2693">
        <v>2019</v>
      </c>
      <c r="F2693" s="1">
        <v>12</v>
      </c>
      <c r="G2693">
        <v>2020</v>
      </c>
      <c r="H2693">
        <f>AVERAGEIFS(Table1[value],Table1[IndicatorCode],Table1[[#This Row],[IndicatorCode]])</f>
        <v>7.6894248608534319</v>
      </c>
      <c r="I2693" cm="1">
        <f t="array" ref="I2693">_xlfn.STDEV.P(IF(Table1[IndicatorCode]=Table1[[#This Row],[IndicatorCode]],Table1[value]))</f>
        <v>5.2319501044600996</v>
      </c>
      <c r="J2693">
        <f>(Table1[[#This Row],[value]] - Table1[[#This Row],[mean]]) / Table1[[#This Row],[std_dev]]</f>
        <v>0.82389454277706442</v>
      </c>
      <c r="K2693">
        <f>AVERAGEIF(Table1[CountryCode],Table1[[#This Row],[CountryCode]],Table1[z-score])</f>
        <v>0.48103769638692301</v>
      </c>
      <c r="L2693" t="e">
        <f>VLOOKUP(Table1[[#This Row],[CountryCode]],[1]!Table1[#Data],4,FALSE)</f>
        <v>#REF!</v>
      </c>
    </row>
    <row r="2694" spans="1:12" x14ac:dyDescent="0.3">
      <c r="A2694" t="s">
        <v>41</v>
      </c>
      <c r="B2694" t="s">
        <v>42</v>
      </c>
      <c r="C2694" t="s">
        <v>125</v>
      </c>
      <c r="D2694" t="s">
        <v>126</v>
      </c>
      <c r="E2694">
        <v>2020</v>
      </c>
      <c r="F2694" s="1">
        <v>9</v>
      </c>
      <c r="G2694">
        <v>2020</v>
      </c>
      <c r="H2694">
        <f>AVERAGEIFS(Table1[value],Table1[IndicatorCode],Table1[[#This Row],[IndicatorCode]])</f>
        <v>7.6894248608534319</v>
      </c>
      <c r="I2694" cm="1">
        <f t="array" ref="I2694">_xlfn.STDEV.P(IF(Table1[IndicatorCode]=Table1[[#This Row],[IndicatorCode]],Table1[value]))</f>
        <v>5.2319501044600996</v>
      </c>
      <c r="J2694">
        <f>(Table1[[#This Row],[value]] - Table1[[#This Row],[mean]]) / Table1[[#This Row],[std_dev]]</f>
        <v>0.25049457907278921</v>
      </c>
      <c r="K2694">
        <f>AVERAGEIF(Table1[CountryCode],Table1[[#This Row],[CountryCode]],Table1[z-score])</f>
        <v>0.48103769638692301</v>
      </c>
    </row>
    <row r="2695" spans="1:12" hidden="1" x14ac:dyDescent="0.3">
      <c r="A2695" t="s">
        <v>41</v>
      </c>
      <c r="B2695" t="s">
        <v>42</v>
      </c>
      <c r="C2695" t="s">
        <v>125</v>
      </c>
      <c r="D2695" t="s">
        <v>126</v>
      </c>
      <c r="E2695">
        <v>2021</v>
      </c>
      <c r="F2695" s="1">
        <v>10</v>
      </c>
      <c r="G2695">
        <v>2020</v>
      </c>
      <c r="H2695">
        <f>AVERAGEIFS(Table1[value],Table1[IndicatorCode],Table1[[#This Row],[IndicatorCode]])</f>
        <v>7.6894248608534319</v>
      </c>
      <c r="I2695" cm="1">
        <f t="array" ref="I2695">_xlfn.STDEV.P(IF(Table1[IndicatorCode]=Table1[[#This Row],[IndicatorCode]],Table1[value]))</f>
        <v>5.2319501044600996</v>
      </c>
      <c r="J2695">
        <f>(Table1[[#This Row],[value]] - Table1[[#This Row],[mean]]) / Table1[[#This Row],[std_dev]]</f>
        <v>0.44162790030754762</v>
      </c>
      <c r="K2695">
        <f>AVERAGEIF(Table1[CountryCode],Table1[[#This Row],[CountryCode]],Table1[z-score])</f>
        <v>0.48103769638692301</v>
      </c>
      <c r="L2695" t="e">
        <f>VLOOKUP(Table1[[#This Row],[CountryCode]],[1]!Table1[#Data],4,FALSE)</f>
        <v>#REF!</v>
      </c>
    </row>
    <row r="2696" spans="1:12" hidden="1" x14ac:dyDescent="0.3">
      <c r="A2696" t="s">
        <v>41</v>
      </c>
      <c r="B2696" t="s">
        <v>42</v>
      </c>
      <c r="C2696" t="s">
        <v>125</v>
      </c>
      <c r="D2696" t="s">
        <v>126</v>
      </c>
      <c r="E2696">
        <v>2022</v>
      </c>
      <c r="F2696" s="1">
        <v>11</v>
      </c>
      <c r="G2696">
        <v>1970</v>
      </c>
      <c r="H2696">
        <f>AVERAGEIFS(Table1[value],Table1[IndicatorCode],Table1[[#This Row],[IndicatorCode]])</f>
        <v>7.6894248608534319</v>
      </c>
      <c r="I2696" cm="1">
        <f t="array" ref="I2696">_xlfn.STDEV.P(IF(Table1[IndicatorCode]=Table1[[#This Row],[IndicatorCode]],Table1[value]))</f>
        <v>5.2319501044600996</v>
      </c>
      <c r="J2696">
        <f>(Table1[[#This Row],[value]] - Table1[[#This Row],[mean]]) / Table1[[#This Row],[std_dev]]</f>
        <v>0.63276122154230596</v>
      </c>
      <c r="K2696">
        <f>AVERAGEIF(Table1[CountryCode],Table1[[#This Row],[CountryCode]],Table1[z-score])</f>
        <v>0.48103769638692301</v>
      </c>
      <c r="L2696" t="e">
        <f>VLOOKUP(Table1[[#This Row],[CountryCode]],[1]!Table1[#Data],4,FALSE)</f>
        <v>#REF!</v>
      </c>
    </row>
    <row r="2697" spans="1:12" hidden="1" x14ac:dyDescent="0.3">
      <c r="A2697" t="s">
        <v>41</v>
      </c>
      <c r="B2697" t="s">
        <v>42</v>
      </c>
      <c r="C2697" t="s">
        <v>125</v>
      </c>
      <c r="D2697" t="s">
        <v>126</v>
      </c>
      <c r="E2697">
        <v>2023</v>
      </c>
      <c r="F2697" s="1">
        <v>8</v>
      </c>
      <c r="G2697">
        <v>1970</v>
      </c>
      <c r="H2697">
        <f>AVERAGEIFS(Table1[value],Table1[IndicatorCode],Table1[[#This Row],[IndicatorCode]])</f>
        <v>7.6894248608534319</v>
      </c>
      <c r="I2697" cm="1">
        <f t="array" ref="I2697">_xlfn.STDEV.P(IF(Table1[IndicatorCode]=Table1[[#This Row],[IndicatorCode]],Table1[value]))</f>
        <v>5.2319501044600996</v>
      </c>
      <c r="J2697">
        <f>(Table1[[#This Row],[value]] - Table1[[#This Row],[mean]]) / Table1[[#This Row],[std_dev]]</f>
        <v>5.9361257838030791E-2</v>
      </c>
      <c r="K2697">
        <f>AVERAGEIF(Table1[CountryCode],Table1[[#This Row],[CountryCode]],Table1[z-score])</f>
        <v>0.48103769638692301</v>
      </c>
      <c r="L2697" t="e">
        <f>VLOOKUP(Table1[[#This Row],[CountryCode]],[1]!Table1[#Data],4,FALSE)</f>
        <v>#REF!</v>
      </c>
    </row>
    <row r="2698" spans="1:12" hidden="1" x14ac:dyDescent="0.3">
      <c r="A2698" t="s">
        <v>41</v>
      </c>
      <c r="B2698" t="s">
        <v>42</v>
      </c>
      <c r="C2698" t="s">
        <v>125</v>
      </c>
      <c r="D2698" t="s">
        <v>126</v>
      </c>
      <c r="E2698">
        <v>2024</v>
      </c>
      <c r="F2698" s="1">
        <v>8</v>
      </c>
      <c r="G2698">
        <v>1970</v>
      </c>
      <c r="H2698">
        <f>AVERAGEIFS(Table1[value],Table1[IndicatorCode],Table1[[#This Row],[IndicatorCode]])</f>
        <v>7.6894248608534319</v>
      </c>
      <c r="I2698" cm="1">
        <f t="array" ref="I2698">_xlfn.STDEV.P(IF(Table1[IndicatorCode]=Table1[[#This Row],[IndicatorCode]],Table1[value]))</f>
        <v>5.2319501044600996</v>
      </c>
      <c r="J2698">
        <f>(Table1[[#This Row],[value]] - Table1[[#This Row],[mean]]) / Table1[[#This Row],[std_dev]]</f>
        <v>5.9361257838030791E-2</v>
      </c>
      <c r="K2698">
        <f>AVERAGEIF(Table1[CountryCode],Table1[[#This Row],[CountryCode]],Table1[z-score])</f>
        <v>0.48103769638692301</v>
      </c>
      <c r="L2698" t="e">
        <f>VLOOKUP(Table1[[#This Row],[CountryCode]],[1]!Table1[#Data],4,FALSE)</f>
        <v>#REF!</v>
      </c>
    </row>
    <row r="2699" spans="1:12" hidden="1" x14ac:dyDescent="0.3">
      <c r="A2699" t="s">
        <v>43</v>
      </c>
      <c r="B2699" t="s">
        <v>44</v>
      </c>
      <c r="C2699" t="s">
        <v>125</v>
      </c>
      <c r="D2699" t="s">
        <v>126</v>
      </c>
      <c r="E2699">
        <v>1970</v>
      </c>
      <c r="F2699" s="1">
        <v>9</v>
      </c>
      <c r="G2699">
        <v>1970</v>
      </c>
      <c r="H2699">
        <f>AVERAGEIFS(Table1[value],Table1[IndicatorCode],Table1[[#This Row],[IndicatorCode]])</f>
        <v>7.6894248608534319</v>
      </c>
      <c r="I2699" cm="1">
        <f t="array" ref="I2699">_xlfn.STDEV.P(IF(Table1[IndicatorCode]=Table1[[#This Row],[IndicatorCode]],Table1[value]))</f>
        <v>5.2319501044600996</v>
      </c>
      <c r="J2699">
        <f>(Table1[[#This Row],[value]] - Table1[[#This Row],[mean]]) / Table1[[#This Row],[std_dev]]</f>
        <v>0.25049457907278921</v>
      </c>
      <c r="K2699">
        <f>AVERAGEIF(Table1[CountryCode],Table1[[#This Row],[CountryCode]],Table1[z-score])</f>
        <v>0.36646997985615637</v>
      </c>
      <c r="L2699" t="e">
        <f>VLOOKUP(Table1[[#This Row],[CountryCode]],[1]!Table1[#Data],4,FALSE)</f>
        <v>#REF!</v>
      </c>
    </row>
    <row r="2700" spans="1:12" hidden="1" x14ac:dyDescent="0.3">
      <c r="A2700" t="s">
        <v>43</v>
      </c>
      <c r="B2700" t="s">
        <v>44</v>
      </c>
      <c r="C2700" t="s">
        <v>125</v>
      </c>
      <c r="D2700" t="s">
        <v>126</v>
      </c>
      <c r="E2700">
        <v>1971</v>
      </c>
      <c r="F2700" s="1">
        <v>9</v>
      </c>
      <c r="G2700">
        <v>1970</v>
      </c>
      <c r="H2700">
        <f>AVERAGEIFS(Table1[value],Table1[IndicatorCode],Table1[[#This Row],[IndicatorCode]])</f>
        <v>7.6894248608534319</v>
      </c>
      <c r="I2700" cm="1">
        <f t="array" ref="I2700">_xlfn.STDEV.P(IF(Table1[IndicatorCode]=Table1[[#This Row],[IndicatorCode]],Table1[value]))</f>
        <v>5.2319501044600996</v>
      </c>
      <c r="J2700">
        <f>(Table1[[#This Row],[value]] - Table1[[#This Row],[mean]]) / Table1[[#This Row],[std_dev]]</f>
        <v>0.25049457907278921</v>
      </c>
      <c r="K2700">
        <f>AVERAGEIF(Table1[CountryCode],Table1[[#This Row],[CountryCode]],Table1[z-score])</f>
        <v>0.36646997985615637</v>
      </c>
      <c r="L2700" t="e">
        <f>VLOOKUP(Table1[[#This Row],[CountryCode]],[1]!Table1[#Data],4,FALSE)</f>
        <v>#REF!</v>
      </c>
    </row>
    <row r="2701" spans="1:12" hidden="1" x14ac:dyDescent="0.3">
      <c r="A2701" t="s">
        <v>43</v>
      </c>
      <c r="B2701" t="s">
        <v>44</v>
      </c>
      <c r="C2701" t="s">
        <v>125</v>
      </c>
      <c r="D2701" t="s">
        <v>126</v>
      </c>
      <c r="E2701">
        <v>1972</v>
      </c>
      <c r="F2701" s="1">
        <v>10</v>
      </c>
      <c r="G2701">
        <v>1970</v>
      </c>
      <c r="H2701">
        <f>AVERAGEIFS(Table1[value],Table1[IndicatorCode],Table1[[#This Row],[IndicatorCode]])</f>
        <v>7.6894248608534319</v>
      </c>
      <c r="I2701" cm="1">
        <f t="array" ref="I2701">_xlfn.STDEV.P(IF(Table1[IndicatorCode]=Table1[[#This Row],[IndicatorCode]],Table1[value]))</f>
        <v>5.2319501044600996</v>
      </c>
      <c r="J2701">
        <f>(Table1[[#This Row],[value]] - Table1[[#This Row],[mean]]) / Table1[[#This Row],[std_dev]]</f>
        <v>0.44162790030754762</v>
      </c>
      <c r="K2701">
        <f>AVERAGEIF(Table1[CountryCode],Table1[[#This Row],[CountryCode]],Table1[z-score])</f>
        <v>0.36646997985615637</v>
      </c>
      <c r="L2701" t="e">
        <f>VLOOKUP(Table1[[#This Row],[CountryCode]],[1]!Table1[#Data],4,FALSE)</f>
        <v>#REF!</v>
      </c>
    </row>
    <row r="2702" spans="1:12" hidden="1" x14ac:dyDescent="0.3">
      <c r="A2702" t="s">
        <v>43</v>
      </c>
      <c r="B2702" t="s">
        <v>44</v>
      </c>
      <c r="C2702" t="s">
        <v>125</v>
      </c>
      <c r="D2702" t="s">
        <v>126</v>
      </c>
      <c r="E2702">
        <v>1973</v>
      </c>
      <c r="F2702" s="1">
        <v>10</v>
      </c>
      <c r="G2702">
        <v>1970</v>
      </c>
      <c r="H2702">
        <f>AVERAGEIFS(Table1[value],Table1[IndicatorCode],Table1[[#This Row],[IndicatorCode]])</f>
        <v>7.6894248608534319</v>
      </c>
      <c r="I2702" cm="1">
        <f t="array" ref="I2702">_xlfn.STDEV.P(IF(Table1[IndicatorCode]=Table1[[#This Row],[IndicatorCode]],Table1[value]))</f>
        <v>5.2319501044600996</v>
      </c>
      <c r="J2702">
        <f>(Table1[[#This Row],[value]] - Table1[[#This Row],[mean]]) / Table1[[#This Row],[std_dev]]</f>
        <v>0.44162790030754762</v>
      </c>
      <c r="K2702">
        <f>AVERAGEIF(Table1[CountryCode],Table1[[#This Row],[CountryCode]],Table1[z-score])</f>
        <v>0.36646997985615637</v>
      </c>
      <c r="L2702" t="e">
        <f>VLOOKUP(Table1[[#This Row],[CountryCode]],[1]!Table1[#Data],4,FALSE)</f>
        <v>#REF!</v>
      </c>
    </row>
    <row r="2703" spans="1:12" hidden="1" x14ac:dyDescent="0.3">
      <c r="A2703" t="s">
        <v>43</v>
      </c>
      <c r="B2703" t="s">
        <v>44</v>
      </c>
      <c r="C2703" t="s">
        <v>125</v>
      </c>
      <c r="D2703" t="s">
        <v>126</v>
      </c>
      <c r="E2703">
        <v>1974</v>
      </c>
      <c r="F2703" s="1">
        <v>10</v>
      </c>
      <c r="G2703">
        <v>1970</v>
      </c>
      <c r="H2703">
        <f>AVERAGEIFS(Table1[value],Table1[IndicatorCode],Table1[[#This Row],[IndicatorCode]])</f>
        <v>7.6894248608534319</v>
      </c>
      <c r="I2703" cm="1">
        <f t="array" ref="I2703">_xlfn.STDEV.P(IF(Table1[IndicatorCode]=Table1[[#This Row],[IndicatorCode]],Table1[value]))</f>
        <v>5.2319501044600996</v>
      </c>
      <c r="J2703">
        <f>(Table1[[#This Row],[value]] - Table1[[#This Row],[mean]]) / Table1[[#This Row],[std_dev]]</f>
        <v>0.44162790030754762</v>
      </c>
      <c r="K2703">
        <f>AVERAGEIF(Table1[CountryCode],Table1[[#This Row],[CountryCode]],Table1[z-score])</f>
        <v>0.36646997985615637</v>
      </c>
      <c r="L2703" t="e">
        <f>VLOOKUP(Table1[[#This Row],[CountryCode]],[1]!Table1[#Data],4,FALSE)</f>
        <v>#REF!</v>
      </c>
    </row>
    <row r="2704" spans="1:12" hidden="1" x14ac:dyDescent="0.3">
      <c r="A2704" t="s">
        <v>43</v>
      </c>
      <c r="B2704" t="s">
        <v>44</v>
      </c>
      <c r="C2704" t="s">
        <v>125</v>
      </c>
      <c r="D2704" t="s">
        <v>126</v>
      </c>
      <c r="E2704">
        <v>1975</v>
      </c>
      <c r="F2704" s="1">
        <v>10</v>
      </c>
      <c r="G2704">
        <v>1970</v>
      </c>
      <c r="H2704">
        <f>AVERAGEIFS(Table1[value],Table1[IndicatorCode],Table1[[#This Row],[IndicatorCode]])</f>
        <v>7.6894248608534319</v>
      </c>
      <c r="I2704" cm="1">
        <f t="array" ref="I2704">_xlfn.STDEV.P(IF(Table1[IndicatorCode]=Table1[[#This Row],[IndicatorCode]],Table1[value]))</f>
        <v>5.2319501044600996</v>
      </c>
      <c r="J2704">
        <f>(Table1[[#This Row],[value]] - Table1[[#This Row],[mean]]) / Table1[[#This Row],[std_dev]]</f>
        <v>0.44162790030754762</v>
      </c>
      <c r="K2704">
        <f>AVERAGEIF(Table1[CountryCode],Table1[[#This Row],[CountryCode]],Table1[z-score])</f>
        <v>0.36646997985615637</v>
      </c>
      <c r="L2704" t="e">
        <f>VLOOKUP(Table1[[#This Row],[CountryCode]],[1]!Table1[#Data],4,FALSE)</f>
        <v>#REF!</v>
      </c>
    </row>
    <row r="2705" spans="1:12" hidden="1" x14ac:dyDescent="0.3">
      <c r="A2705" t="s">
        <v>43</v>
      </c>
      <c r="B2705" t="s">
        <v>44</v>
      </c>
      <c r="C2705" t="s">
        <v>125</v>
      </c>
      <c r="D2705" t="s">
        <v>126</v>
      </c>
      <c r="E2705">
        <v>1976</v>
      </c>
      <c r="F2705" s="1">
        <v>11</v>
      </c>
      <c r="G2705">
        <v>1970</v>
      </c>
      <c r="H2705">
        <f>AVERAGEIFS(Table1[value],Table1[IndicatorCode],Table1[[#This Row],[IndicatorCode]])</f>
        <v>7.6894248608534319</v>
      </c>
      <c r="I2705" cm="1">
        <f t="array" ref="I2705">_xlfn.STDEV.P(IF(Table1[IndicatorCode]=Table1[[#This Row],[IndicatorCode]],Table1[value]))</f>
        <v>5.2319501044600996</v>
      </c>
      <c r="J2705">
        <f>(Table1[[#This Row],[value]] - Table1[[#This Row],[mean]]) / Table1[[#This Row],[std_dev]]</f>
        <v>0.63276122154230596</v>
      </c>
      <c r="K2705">
        <f>AVERAGEIF(Table1[CountryCode],Table1[[#This Row],[CountryCode]],Table1[z-score])</f>
        <v>0.36646997985615637</v>
      </c>
      <c r="L2705" t="e">
        <f>VLOOKUP(Table1[[#This Row],[CountryCode]],[1]!Table1[#Data],4,FALSE)</f>
        <v>#REF!</v>
      </c>
    </row>
    <row r="2706" spans="1:12" hidden="1" x14ac:dyDescent="0.3">
      <c r="A2706" t="s">
        <v>43</v>
      </c>
      <c r="B2706" t="s">
        <v>44</v>
      </c>
      <c r="C2706" t="s">
        <v>125</v>
      </c>
      <c r="D2706" t="s">
        <v>126</v>
      </c>
      <c r="E2706">
        <v>1977</v>
      </c>
      <c r="F2706" s="1">
        <v>11</v>
      </c>
      <c r="G2706">
        <v>1980</v>
      </c>
      <c r="H2706">
        <f>AVERAGEIFS(Table1[value],Table1[IndicatorCode],Table1[[#This Row],[IndicatorCode]])</f>
        <v>7.6894248608534319</v>
      </c>
      <c r="I2706" cm="1">
        <f t="array" ref="I2706">_xlfn.STDEV.P(IF(Table1[IndicatorCode]=Table1[[#This Row],[IndicatorCode]],Table1[value]))</f>
        <v>5.2319501044600996</v>
      </c>
      <c r="J2706">
        <f>(Table1[[#This Row],[value]] - Table1[[#This Row],[mean]]) / Table1[[#This Row],[std_dev]]</f>
        <v>0.63276122154230596</v>
      </c>
      <c r="K2706">
        <f>AVERAGEIF(Table1[CountryCode],Table1[[#This Row],[CountryCode]],Table1[z-score])</f>
        <v>0.36646997985615637</v>
      </c>
      <c r="L2706" t="e">
        <f>VLOOKUP(Table1[[#This Row],[CountryCode]],[1]!Table1[#Data],4,FALSE)</f>
        <v>#REF!</v>
      </c>
    </row>
    <row r="2707" spans="1:12" hidden="1" x14ac:dyDescent="0.3">
      <c r="A2707" t="s">
        <v>43</v>
      </c>
      <c r="B2707" t="s">
        <v>44</v>
      </c>
      <c r="C2707" t="s">
        <v>125</v>
      </c>
      <c r="D2707" t="s">
        <v>126</v>
      </c>
      <c r="E2707">
        <v>1978</v>
      </c>
      <c r="F2707" s="1">
        <v>12</v>
      </c>
      <c r="G2707">
        <v>1980</v>
      </c>
      <c r="H2707">
        <f>AVERAGEIFS(Table1[value],Table1[IndicatorCode],Table1[[#This Row],[IndicatorCode]])</f>
        <v>7.6894248608534319</v>
      </c>
      <c r="I2707" cm="1">
        <f t="array" ref="I2707">_xlfn.STDEV.P(IF(Table1[IndicatorCode]=Table1[[#This Row],[IndicatorCode]],Table1[value]))</f>
        <v>5.2319501044600996</v>
      </c>
      <c r="J2707">
        <f>(Table1[[#This Row],[value]] - Table1[[#This Row],[mean]]) / Table1[[#This Row],[std_dev]]</f>
        <v>0.82389454277706442</v>
      </c>
      <c r="K2707">
        <f>AVERAGEIF(Table1[CountryCode],Table1[[#This Row],[CountryCode]],Table1[z-score])</f>
        <v>0.36646997985615637</v>
      </c>
      <c r="L2707" t="e">
        <f>VLOOKUP(Table1[[#This Row],[CountryCode]],[1]!Table1[#Data],4,FALSE)</f>
        <v>#REF!</v>
      </c>
    </row>
    <row r="2708" spans="1:12" hidden="1" x14ac:dyDescent="0.3">
      <c r="A2708" t="s">
        <v>43</v>
      </c>
      <c r="B2708" t="s">
        <v>44</v>
      </c>
      <c r="C2708" t="s">
        <v>125</v>
      </c>
      <c r="D2708" t="s">
        <v>126</v>
      </c>
      <c r="E2708">
        <v>1979</v>
      </c>
      <c r="F2708" s="1">
        <v>12</v>
      </c>
      <c r="G2708">
        <v>1980</v>
      </c>
      <c r="H2708">
        <f>AVERAGEIFS(Table1[value],Table1[IndicatorCode],Table1[[#This Row],[IndicatorCode]])</f>
        <v>7.6894248608534319</v>
      </c>
      <c r="I2708" cm="1">
        <f t="array" ref="I2708">_xlfn.STDEV.P(IF(Table1[IndicatorCode]=Table1[[#This Row],[IndicatorCode]],Table1[value]))</f>
        <v>5.2319501044600996</v>
      </c>
      <c r="J2708">
        <f>(Table1[[#This Row],[value]] - Table1[[#This Row],[mean]]) / Table1[[#This Row],[std_dev]]</f>
        <v>0.82389454277706442</v>
      </c>
      <c r="K2708">
        <f>AVERAGEIF(Table1[CountryCode],Table1[[#This Row],[CountryCode]],Table1[z-score])</f>
        <v>0.36646997985615637</v>
      </c>
      <c r="L2708" t="e">
        <f>VLOOKUP(Table1[[#This Row],[CountryCode]],[1]!Table1[#Data],4,FALSE)</f>
        <v>#REF!</v>
      </c>
    </row>
    <row r="2709" spans="1:12" hidden="1" x14ac:dyDescent="0.3">
      <c r="A2709" t="s">
        <v>43</v>
      </c>
      <c r="B2709" t="s">
        <v>44</v>
      </c>
      <c r="C2709" t="s">
        <v>125</v>
      </c>
      <c r="D2709" t="s">
        <v>126</v>
      </c>
      <c r="E2709">
        <v>1980</v>
      </c>
      <c r="F2709" s="1">
        <v>12</v>
      </c>
      <c r="G2709">
        <v>1980</v>
      </c>
      <c r="H2709">
        <f>AVERAGEIFS(Table1[value],Table1[IndicatorCode],Table1[[#This Row],[IndicatorCode]])</f>
        <v>7.6894248608534319</v>
      </c>
      <c r="I2709" cm="1">
        <f t="array" ref="I2709">_xlfn.STDEV.P(IF(Table1[IndicatorCode]=Table1[[#This Row],[IndicatorCode]],Table1[value]))</f>
        <v>5.2319501044600996</v>
      </c>
      <c r="J2709">
        <f>(Table1[[#This Row],[value]] - Table1[[#This Row],[mean]]) / Table1[[#This Row],[std_dev]]</f>
        <v>0.82389454277706442</v>
      </c>
      <c r="K2709">
        <f>AVERAGEIF(Table1[CountryCode],Table1[[#This Row],[CountryCode]],Table1[z-score])</f>
        <v>0.36646997985615637</v>
      </c>
      <c r="L2709" t="e">
        <f>VLOOKUP(Table1[[#This Row],[CountryCode]],[1]!Table1[#Data],4,FALSE)</f>
        <v>#REF!</v>
      </c>
    </row>
    <row r="2710" spans="1:12" hidden="1" x14ac:dyDescent="0.3">
      <c r="A2710" t="s">
        <v>43</v>
      </c>
      <c r="B2710" t="s">
        <v>44</v>
      </c>
      <c r="C2710" t="s">
        <v>125</v>
      </c>
      <c r="D2710" t="s">
        <v>126</v>
      </c>
      <c r="E2710">
        <v>1981</v>
      </c>
      <c r="F2710" s="1">
        <v>10</v>
      </c>
      <c r="G2710">
        <v>1980</v>
      </c>
      <c r="H2710">
        <f>AVERAGEIFS(Table1[value],Table1[IndicatorCode],Table1[[#This Row],[IndicatorCode]])</f>
        <v>7.6894248608534319</v>
      </c>
      <c r="I2710" cm="1">
        <f t="array" ref="I2710">_xlfn.STDEV.P(IF(Table1[IndicatorCode]=Table1[[#This Row],[IndicatorCode]],Table1[value]))</f>
        <v>5.2319501044600996</v>
      </c>
      <c r="J2710">
        <f>(Table1[[#This Row],[value]] - Table1[[#This Row],[mean]]) / Table1[[#This Row],[std_dev]]</f>
        <v>0.44162790030754762</v>
      </c>
      <c r="K2710">
        <f>AVERAGEIF(Table1[CountryCode],Table1[[#This Row],[CountryCode]],Table1[z-score])</f>
        <v>0.36646997985615637</v>
      </c>
      <c r="L2710" t="e">
        <f>VLOOKUP(Table1[[#This Row],[CountryCode]],[1]!Table1[#Data],4,FALSE)</f>
        <v>#REF!</v>
      </c>
    </row>
    <row r="2711" spans="1:12" hidden="1" x14ac:dyDescent="0.3">
      <c r="A2711" t="s">
        <v>43</v>
      </c>
      <c r="B2711" t="s">
        <v>44</v>
      </c>
      <c r="C2711" t="s">
        <v>125</v>
      </c>
      <c r="D2711" t="s">
        <v>126</v>
      </c>
      <c r="E2711">
        <v>1982</v>
      </c>
      <c r="F2711" s="1">
        <v>10</v>
      </c>
      <c r="G2711">
        <v>1980</v>
      </c>
      <c r="H2711">
        <f>AVERAGEIFS(Table1[value],Table1[IndicatorCode],Table1[[#This Row],[IndicatorCode]])</f>
        <v>7.6894248608534319</v>
      </c>
      <c r="I2711" cm="1">
        <f t="array" ref="I2711">_xlfn.STDEV.P(IF(Table1[IndicatorCode]=Table1[[#This Row],[IndicatorCode]],Table1[value]))</f>
        <v>5.2319501044600996</v>
      </c>
      <c r="J2711">
        <f>(Table1[[#This Row],[value]] - Table1[[#This Row],[mean]]) / Table1[[#This Row],[std_dev]]</f>
        <v>0.44162790030754762</v>
      </c>
      <c r="K2711">
        <f>AVERAGEIF(Table1[CountryCode],Table1[[#This Row],[CountryCode]],Table1[z-score])</f>
        <v>0.36646997985615637</v>
      </c>
      <c r="L2711" t="e">
        <f>VLOOKUP(Table1[[#This Row],[CountryCode]],[1]!Table1[#Data],4,FALSE)</f>
        <v>#REF!</v>
      </c>
    </row>
    <row r="2712" spans="1:12" hidden="1" x14ac:dyDescent="0.3">
      <c r="A2712" t="s">
        <v>43</v>
      </c>
      <c r="B2712" t="s">
        <v>44</v>
      </c>
      <c r="C2712" t="s">
        <v>125</v>
      </c>
      <c r="D2712" t="s">
        <v>126</v>
      </c>
      <c r="E2712">
        <v>1983</v>
      </c>
      <c r="F2712" s="1">
        <v>9</v>
      </c>
      <c r="G2712">
        <v>1980</v>
      </c>
      <c r="H2712">
        <f>AVERAGEIFS(Table1[value],Table1[IndicatorCode],Table1[[#This Row],[IndicatorCode]])</f>
        <v>7.6894248608534319</v>
      </c>
      <c r="I2712" cm="1">
        <f t="array" ref="I2712">_xlfn.STDEV.P(IF(Table1[IndicatorCode]=Table1[[#This Row],[IndicatorCode]],Table1[value]))</f>
        <v>5.2319501044600996</v>
      </c>
      <c r="J2712">
        <f>(Table1[[#This Row],[value]] - Table1[[#This Row],[mean]]) / Table1[[#This Row],[std_dev]]</f>
        <v>0.25049457907278921</v>
      </c>
      <c r="K2712">
        <f>AVERAGEIF(Table1[CountryCode],Table1[[#This Row],[CountryCode]],Table1[z-score])</f>
        <v>0.36646997985615637</v>
      </c>
      <c r="L2712" t="e">
        <f>VLOOKUP(Table1[[#This Row],[CountryCode]],[1]!Table1[#Data],4,FALSE)</f>
        <v>#REF!</v>
      </c>
    </row>
    <row r="2713" spans="1:12" hidden="1" x14ac:dyDescent="0.3">
      <c r="A2713" t="s">
        <v>43</v>
      </c>
      <c r="B2713" t="s">
        <v>44</v>
      </c>
      <c r="C2713" t="s">
        <v>125</v>
      </c>
      <c r="D2713" t="s">
        <v>126</v>
      </c>
      <c r="E2713">
        <v>1984</v>
      </c>
      <c r="F2713" s="1">
        <v>9</v>
      </c>
      <c r="G2713">
        <v>1980</v>
      </c>
      <c r="H2713">
        <f>AVERAGEIFS(Table1[value],Table1[IndicatorCode],Table1[[#This Row],[IndicatorCode]])</f>
        <v>7.6894248608534319</v>
      </c>
      <c r="I2713" cm="1">
        <f t="array" ref="I2713">_xlfn.STDEV.P(IF(Table1[IndicatorCode]=Table1[[#This Row],[IndicatorCode]],Table1[value]))</f>
        <v>5.2319501044600996</v>
      </c>
      <c r="J2713">
        <f>(Table1[[#This Row],[value]] - Table1[[#This Row],[mean]]) / Table1[[#This Row],[std_dev]]</f>
        <v>0.25049457907278921</v>
      </c>
      <c r="K2713">
        <f>AVERAGEIF(Table1[CountryCode],Table1[[#This Row],[CountryCode]],Table1[z-score])</f>
        <v>0.36646997985615637</v>
      </c>
      <c r="L2713" t="e">
        <f>VLOOKUP(Table1[[#This Row],[CountryCode]],[1]!Table1[#Data],4,FALSE)</f>
        <v>#REF!</v>
      </c>
    </row>
    <row r="2714" spans="1:12" hidden="1" x14ac:dyDescent="0.3">
      <c r="A2714" t="s">
        <v>43</v>
      </c>
      <c r="B2714" t="s">
        <v>44</v>
      </c>
      <c r="C2714" t="s">
        <v>125</v>
      </c>
      <c r="D2714" t="s">
        <v>126</v>
      </c>
      <c r="E2714">
        <v>1985</v>
      </c>
      <c r="F2714" s="1">
        <v>10</v>
      </c>
      <c r="G2714">
        <v>1980</v>
      </c>
      <c r="H2714">
        <f>AVERAGEIFS(Table1[value],Table1[IndicatorCode],Table1[[#This Row],[IndicatorCode]])</f>
        <v>7.6894248608534319</v>
      </c>
      <c r="I2714" cm="1">
        <f t="array" ref="I2714">_xlfn.STDEV.P(IF(Table1[IndicatorCode]=Table1[[#This Row],[IndicatorCode]],Table1[value]))</f>
        <v>5.2319501044600996</v>
      </c>
      <c r="J2714">
        <f>(Table1[[#This Row],[value]] - Table1[[#This Row],[mean]]) / Table1[[#This Row],[std_dev]]</f>
        <v>0.44162790030754762</v>
      </c>
      <c r="K2714">
        <f>AVERAGEIF(Table1[CountryCode],Table1[[#This Row],[CountryCode]],Table1[z-score])</f>
        <v>0.36646997985615637</v>
      </c>
      <c r="L2714" t="e">
        <f>VLOOKUP(Table1[[#This Row],[CountryCode]],[1]!Table1[#Data],4,FALSE)</f>
        <v>#REF!</v>
      </c>
    </row>
    <row r="2715" spans="1:12" hidden="1" x14ac:dyDescent="0.3">
      <c r="A2715" t="s">
        <v>43</v>
      </c>
      <c r="B2715" t="s">
        <v>44</v>
      </c>
      <c r="C2715" t="s">
        <v>125</v>
      </c>
      <c r="D2715" t="s">
        <v>126</v>
      </c>
      <c r="E2715">
        <v>1986</v>
      </c>
      <c r="F2715" s="1">
        <v>10</v>
      </c>
      <c r="G2715">
        <v>1980</v>
      </c>
      <c r="H2715">
        <f>AVERAGEIFS(Table1[value],Table1[IndicatorCode],Table1[[#This Row],[IndicatorCode]])</f>
        <v>7.6894248608534319</v>
      </c>
      <c r="I2715" cm="1">
        <f t="array" ref="I2715">_xlfn.STDEV.P(IF(Table1[IndicatorCode]=Table1[[#This Row],[IndicatorCode]],Table1[value]))</f>
        <v>5.2319501044600996</v>
      </c>
      <c r="J2715">
        <f>(Table1[[#This Row],[value]] - Table1[[#This Row],[mean]]) / Table1[[#This Row],[std_dev]]</f>
        <v>0.44162790030754762</v>
      </c>
      <c r="K2715">
        <f>AVERAGEIF(Table1[CountryCode],Table1[[#This Row],[CountryCode]],Table1[z-score])</f>
        <v>0.36646997985615637</v>
      </c>
      <c r="L2715" t="e">
        <f>VLOOKUP(Table1[[#This Row],[CountryCode]],[1]!Table1[#Data],4,FALSE)</f>
        <v>#REF!</v>
      </c>
    </row>
    <row r="2716" spans="1:12" hidden="1" x14ac:dyDescent="0.3">
      <c r="A2716" t="s">
        <v>43</v>
      </c>
      <c r="B2716" t="s">
        <v>44</v>
      </c>
      <c r="C2716" t="s">
        <v>125</v>
      </c>
      <c r="D2716" t="s">
        <v>126</v>
      </c>
      <c r="E2716">
        <v>1987</v>
      </c>
      <c r="F2716" s="1">
        <v>11</v>
      </c>
      <c r="G2716">
        <v>1990</v>
      </c>
      <c r="H2716">
        <f>AVERAGEIFS(Table1[value],Table1[IndicatorCode],Table1[[#This Row],[IndicatorCode]])</f>
        <v>7.6894248608534319</v>
      </c>
      <c r="I2716" cm="1">
        <f t="array" ref="I2716">_xlfn.STDEV.P(IF(Table1[IndicatorCode]=Table1[[#This Row],[IndicatorCode]],Table1[value]))</f>
        <v>5.2319501044600996</v>
      </c>
      <c r="J2716">
        <f>(Table1[[#This Row],[value]] - Table1[[#This Row],[mean]]) / Table1[[#This Row],[std_dev]]</f>
        <v>0.63276122154230596</v>
      </c>
      <c r="K2716">
        <f>AVERAGEIF(Table1[CountryCode],Table1[[#This Row],[CountryCode]],Table1[z-score])</f>
        <v>0.36646997985615637</v>
      </c>
      <c r="L2716" t="e">
        <f>VLOOKUP(Table1[[#This Row],[CountryCode]],[1]!Table1[#Data],4,FALSE)</f>
        <v>#REF!</v>
      </c>
    </row>
    <row r="2717" spans="1:12" hidden="1" x14ac:dyDescent="0.3">
      <c r="A2717" t="s">
        <v>43</v>
      </c>
      <c r="B2717" t="s">
        <v>44</v>
      </c>
      <c r="C2717" t="s">
        <v>125</v>
      </c>
      <c r="D2717" t="s">
        <v>126</v>
      </c>
      <c r="E2717">
        <v>1988</v>
      </c>
      <c r="F2717" s="1">
        <v>11</v>
      </c>
      <c r="G2717">
        <v>1990</v>
      </c>
      <c r="H2717">
        <f>AVERAGEIFS(Table1[value],Table1[IndicatorCode],Table1[[#This Row],[IndicatorCode]])</f>
        <v>7.6894248608534319</v>
      </c>
      <c r="I2717" cm="1">
        <f t="array" ref="I2717">_xlfn.STDEV.P(IF(Table1[IndicatorCode]=Table1[[#This Row],[IndicatorCode]],Table1[value]))</f>
        <v>5.2319501044600996</v>
      </c>
      <c r="J2717">
        <f>(Table1[[#This Row],[value]] - Table1[[#This Row],[mean]]) / Table1[[#This Row],[std_dev]]</f>
        <v>0.63276122154230596</v>
      </c>
      <c r="K2717">
        <f>AVERAGEIF(Table1[CountryCode],Table1[[#This Row],[CountryCode]],Table1[z-score])</f>
        <v>0.36646997985615637</v>
      </c>
      <c r="L2717" t="e">
        <f>VLOOKUP(Table1[[#This Row],[CountryCode]],[1]!Table1[#Data],4,FALSE)</f>
        <v>#REF!</v>
      </c>
    </row>
    <row r="2718" spans="1:12" hidden="1" x14ac:dyDescent="0.3">
      <c r="A2718" t="s">
        <v>43</v>
      </c>
      <c r="B2718" t="s">
        <v>44</v>
      </c>
      <c r="C2718" t="s">
        <v>125</v>
      </c>
      <c r="D2718" t="s">
        <v>126</v>
      </c>
      <c r="E2718">
        <v>1989</v>
      </c>
      <c r="F2718" s="1">
        <v>11</v>
      </c>
      <c r="G2718">
        <v>1990</v>
      </c>
      <c r="H2718">
        <f>AVERAGEIFS(Table1[value],Table1[IndicatorCode],Table1[[#This Row],[IndicatorCode]])</f>
        <v>7.6894248608534319</v>
      </c>
      <c r="I2718" cm="1">
        <f t="array" ref="I2718">_xlfn.STDEV.P(IF(Table1[IndicatorCode]=Table1[[#This Row],[IndicatorCode]],Table1[value]))</f>
        <v>5.2319501044600996</v>
      </c>
      <c r="J2718">
        <f>(Table1[[#This Row],[value]] - Table1[[#This Row],[mean]]) / Table1[[#This Row],[std_dev]]</f>
        <v>0.63276122154230596</v>
      </c>
      <c r="K2718">
        <f>AVERAGEIF(Table1[CountryCode],Table1[[#This Row],[CountryCode]],Table1[z-score])</f>
        <v>0.36646997985615637</v>
      </c>
      <c r="L2718" t="e">
        <f>VLOOKUP(Table1[[#This Row],[CountryCode]],[1]!Table1[#Data],4,FALSE)</f>
        <v>#REF!</v>
      </c>
    </row>
    <row r="2719" spans="1:12" hidden="1" x14ac:dyDescent="0.3">
      <c r="A2719" t="s">
        <v>43</v>
      </c>
      <c r="B2719" t="s">
        <v>44</v>
      </c>
      <c r="C2719" t="s">
        <v>125</v>
      </c>
      <c r="D2719" t="s">
        <v>126</v>
      </c>
      <c r="E2719">
        <v>1990</v>
      </c>
      <c r="F2719" s="1">
        <v>11</v>
      </c>
      <c r="G2719">
        <v>1990</v>
      </c>
      <c r="H2719">
        <f>AVERAGEIFS(Table1[value],Table1[IndicatorCode],Table1[[#This Row],[IndicatorCode]])</f>
        <v>7.6894248608534319</v>
      </c>
      <c r="I2719" cm="1">
        <f t="array" ref="I2719">_xlfn.STDEV.P(IF(Table1[IndicatorCode]=Table1[[#This Row],[IndicatorCode]],Table1[value]))</f>
        <v>5.2319501044600996</v>
      </c>
      <c r="J2719">
        <f>(Table1[[#This Row],[value]] - Table1[[#This Row],[mean]]) / Table1[[#This Row],[std_dev]]</f>
        <v>0.63276122154230596</v>
      </c>
      <c r="K2719">
        <f>AVERAGEIF(Table1[CountryCode],Table1[[#This Row],[CountryCode]],Table1[z-score])</f>
        <v>0.36646997985615637</v>
      </c>
      <c r="L2719" t="e">
        <f>VLOOKUP(Table1[[#This Row],[CountryCode]],[1]!Table1[#Data],4,FALSE)</f>
        <v>#REF!</v>
      </c>
    </row>
    <row r="2720" spans="1:12" hidden="1" x14ac:dyDescent="0.3">
      <c r="A2720" t="s">
        <v>43</v>
      </c>
      <c r="B2720" t="s">
        <v>44</v>
      </c>
      <c r="C2720" t="s">
        <v>125</v>
      </c>
      <c r="D2720" t="s">
        <v>126</v>
      </c>
      <c r="E2720">
        <v>1991</v>
      </c>
      <c r="F2720" s="1">
        <v>11</v>
      </c>
      <c r="G2720">
        <v>1990</v>
      </c>
      <c r="H2720">
        <f>AVERAGEIFS(Table1[value],Table1[IndicatorCode],Table1[[#This Row],[IndicatorCode]])</f>
        <v>7.6894248608534319</v>
      </c>
      <c r="I2720" cm="1">
        <f t="array" ref="I2720">_xlfn.STDEV.P(IF(Table1[IndicatorCode]=Table1[[#This Row],[IndicatorCode]],Table1[value]))</f>
        <v>5.2319501044600996</v>
      </c>
      <c r="J2720">
        <f>(Table1[[#This Row],[value]] - Table1[[#This Row],[mean]]) / Table1[[#This Row],[std_dev]]</f>
        <v>0.63276122154230596</v>
      </c>
      <c r="K2720">
        <f>AVERAGEIF(Table1[CountryCode],Table1[[#This Row],[CountryCode]],Table1[z-score])</f>
        <v>0.36646997985615637</v>
      </c>
      <c r="L2720" t="e">
        <f>VLOOKUP(Table1[[#This Row],[CountryCode]],[1]!Table1[#Data],4,FALSE)</f>
        <v>#REF!</v>
      </c>
    </row>
    <row r="2721" spans="1:12" hidden="1" x14ac:dyDescent="0.3">
      <c r="A2721" t="s">
        <v>43</v>
      </c>
      <c r="B2721" t="s">
        <v>44</v>
      </c>
      <c r="C2721" t="s">
        <v>125</v>
      </c>
      <c r="D2721" t="s">
        <v>126</v>
      </c>
      <c r="E2721">
        <v>1992</v>
      </c>
      <c r="F2721" s="1">
        <v>11</v>
      </c>
      <c r="G2721">
        <v>1990</v>
      </c>
      <c r="H2721">
        <f>AVERAGEIFS(Table1[value],Table1[IndicatorCode],Table1[[#This Row],[IndicatorCode]])</f>
        <v>7.6894248608534319</v>
      </c>
      <c r="I2721" cm="1">
        <f t="array" ref="I2721">_xlfn.STDEV.P(IF(Table1[IndicatorCode]=Table1[[#This Row],[IndicatorCode]],Table1[value]))</f>
        <v>5.2319501044600996</v>
      </c>
      <c r="J2721">
        <f>(Table1[[#This Row],[value]] - Table1[[#This Row],[mean]]) / Table1[[#This Row],[std_dev]]</f>
        <v>0.63276122154230596</v>
      </c>
      <c r="K2721">
        <f>AVERAGEIF(Table1[CountryCode],Table1[[#This Row],[CountryCode]],Table1[z-score])</f>
        <v>0.36646997985615637</v>
      </c>
      <c r="L2721" t="e">
        <f>VLOOKUP(Table1[[#This Row],[CountryCode]],[1]!Table1[#Data],4,FALSE)</f>
        <v>#REF!</v>
      </c>
    </row>
    <row r="2722" spans="1:12" hidden="1" x14ac:dyDescent="0.3">
      <c r="A2722" t="s">
        <v>43</v>
      </c>
      <c r="B2722" t="s">
        <v>44</v>
      </c>
      <c r="C2722" t="s">
        <v>125</v>
      </c>
      <c r="D2722" t="s">
        <v>126</v>
      </c>
      <c r="E2722">
        <v>1993</v>
      </c>
      <c r="F2722" s="1">
        <v>11</v>
      </c>
      <c r="G2722">
        <v>1990</v>
      </c>
      <c r="H2722">
        <f>AVERAGEIFS(Table1[value],Table1[IndicatorCode],Table1[[#This Row],[IndicatorCode]])</f>
        <v>7.6894248608534319</v>
      </c>
      <c r="I2722" cm="1">
        <f t="array" ref="I2722">_xlfn.STDEV.P(IF(Table1[IndicatorCode]=Table1[[#This Row],[IndicatorCode]],Table1[value]))</f>
        <v>5.2319501044600996</v>
      </c>
      <c r="J2722">
        <f>(Table1[[#This Row],[value]] - Table1[[#This Row],[mean]]) / Table1[[#This Row],[std_dev]]</f>
        <v>0.63276122154230596</v>
      </c>
      <c r="K2722">
        <f>AVERAGEIF(Table1[CountryCode],Table1[[#This Row],[CountryCode]],Table1[z-score])</f>
        <v>0.36646997985615637</v>
      </c>
      <c r="L2722" t="e">
        <f>VLOOKUP(Table1[[#This Row],[CountryCode]],[1]!Table1[#Data],4,FALSE)</f>
        <v>#REF!</v>
      </c>
    </row>
    <row r="2723" spans="1:12" hidden="1" x14ac:dyDescent="0.3">
      <c r="A2723" t="s">
        <v>43</v>
      </c>
      <c r="B2723" t="s">
        <v>44</v>
      </c>
      <c r="C2723" t="s">
        <v>125</v>
      </c>
      <c r="D2723" t="s">
        <v>126</v>
      </c>
      <c r="E2723">
        <v>1994</v>
      </c>
      <c r="F2723" s="1">
        <v>12</v>
      </c>
      <c r="G2723">
        <v>1990</v>
      </c>
      <c r="H2723">
        <f>AVERAGEIFS(Table1[value],Table1[IndicatorCode],Table1[[#This Row],[IndicatorCode]])</f>
        <v>7.6894248608534319</v>
      </c>
      <c r="I2723" cm="1">
        <f t="array" ref="I2723">_xlfn.STDEV.P(IF(Table1[IndicatorCode]=Table1[[#This Row],[IndicatorCode]],Table1[value]))</f>
        <v>5.2319501044600996</v>
      </c>
      <c r="J2723">
        <f>(Table1[[#This Row],[value]] - Table1[[#This Row],[mean]]) / Table1[[#This Row],[std_dev]]</f>
        <v>0.82389454277706442</v>
      </c>
      <c r="K2723">
        <f>AVERAGEIF(Table1[CountryCode],Table1[[#This Row],[CountryCode]],Table1[z-score])</f>
        <v>0.36646997985615637</v>
      </c>
      <c r="L2723" t="e">
        <f>VLOOKUP(Table1[[#This Row],[CountryCode]],[1]!Table1[#Data],4,FALSE)</f>
        <v>#REF!</v>
      </c>
    </row>
    <row r="2724" spans="1:12" hidden="1" x14ac:dyDescent="0.3">
      <c r="A2724" t="s">
        <v>43</v>
      </c>
      <c r="B2724" t="s">
        <v>44</v>
      </c>
      <c r="C2724" t="s">
        <v>125</v>
      </c>
      <c r="D2724" t="s">
        <v>126</v>
      </c>
      <c r="E2724">
        <v>1995</v>
      </c>
      <c r="F2724" s="1">
        <v>12</v>
      </c>
      <c r="G2724">
        <v>1990</v>
      </c>
      <c r="H2724">
        <f>AVERAGEIFS(Table1[value],Table1[IndicatorCode],Table1[[#This Row],[IndicatorCode]])</f>
        <v>7.6894248608534319</v>
      </c>
      <c r="I2724" cm="1">
        <f t="array" ref="I2724">_xlfn.STDEV.P(IF(Table1[IndicatorCode]=Table1[[#This Row],[IndicatorCode]],Table1[value]))</f>
        <v>5.2319501044600996</v>
      </c>
      <c r="J2724">
        <f>(Table1[[#This Row],[value]] - Table1[[#This Row],[mean]]) / Table1[[#This Row],[std_dev]]</f>
        <v>0.82389454277706442</v>
      </c>
      <c r="K2724">
        <f>AVERAGEIF(Table1[CountryCode],Table1[[#This Row],[CountryCode]],Table1[z-score])</f>
        <v>0.36646997985615637</v>
      </c>
      <c r="L2724" t="e">
        <f>VLOOKUP(Table1[[#This Row],[CountryCode]],[1]!Table1[#Data],4,FALSE)</f>
        <v>#REF!</v>
      </c>
    </row>
    <row r="2725" spans="1:12" hidden="1" x14ac:dyDescent="0.3">
      <c r="A2725" t="s">
        <v>43</v>
      </c>
      <c r="B2725" t="s">
        <v>44</v>
      </c>
      <c r="C2725" t="s">
        <v>125</v>
      </c>
      <c r="D2725" t="s">
        <v>126</v>
      </c>
      <c r="E2725">
        <v>1996</v>
      </c>
      <c r="F2725" s="1">
        <v>13</v>
      </c>
      <c r="G2725">
        <v>1990</v>
      </c>
      <c r="H2725">
        <f>AVERAGEIFS(Table1[value],Table1[IndicatorCode],Table1[[#This Row],[IndicatorCode]])</f>
        <v>7.6894248608534319</v>
      </c>
      <c r="I2725" cm="1">
        <f t="array" ref="I2725">_xlfn.STDEV.P(IF(Table1[IndicatorCode]=Table1[[#This Row],[IndicatorCode]],Table1[value]))</f>
        <v>5.2319501044600996</v>
      </c>
      <c r="J2725">
        <f>(Table1[[#This Row],[value]] - Table1[[#This Row],[mean]]) / Table1[[#This Row],[std_dev]]</f>
        <v>1.0150278640118229</v>
      </c>
      <c r="K2725">
        <f>AVERAGEIF(Table1[CountryCode],Table1[[#This Row],[CountryCode]],Table1[z-score])</f>
        <v>0.36646997985615637</v>
      </c>
      <c r="L2725" t="e">
        <f>VLOOKUP(Table1[[#This Row],[CountryCode]],[1]!Table1[#Data],4,FALSE)</f>
        <v>#REF!</v>
      </c>
    </row>
    <row r="2726" spans="1:12" hidden="1" x14ac:dyDescent="0.3">
      <c r="A2726" t="s">
        <v>43</v>
      </c>
      <c r="B2726" t="s">
        <v>44</v>
      </c>
      <c r="C2726" t="s">
        <v>125</v>
      </c>
      <c r="D2726" t="s">
        <v>126</v>
      </c>
      <c r="E2726">
        <v>1997</v>
      </c>
      <c r="F2726" s="1">
        <v>12</v>
      </c>
      <c r="G2726">
        <v>2000</v>
      </c>
      <c r="H2726">
        <f>AVERAGEIFS(Table1[value],Table1[IndicatorCode],Table1[[#This Row],[IndicatorCode]])</f>
        <v>7.6894248608534319</v>
      </c>
      <c r="I2726" cm="1">
        <f t="array" ref="I2726">_xlfn.STDEV.P(IF(Table1[IndicatorCode]=Table1[[#This Row],[IndicatorCode]],Table1[value]))</f>
        <v>5.2319501044600996</v>
      </c>
      <c r="J2726">
        <f>(Table1[[#This Row],[value]] - Table1[[#This Row],[mean]]) / Table1[[#This Row],[std_dev]]</f>
        <v>0.82389454277706442</v>
      </c>
      <c r="K2726">
        <f>AVERAGEIF(Table1[CountryCode],Table1[[#This Row],[CountryCode]],Table1[z-score])</f>
        <v>0.36646997985615637</v>
      </c>
      <c r="L2726" t="e">
        <f>VLOOKUP(Table1[[#This Row],[CountryCode]],[1]!Table1[#Data],4,FALSE)</f>
        <v>#REF!</v>
      </c>
    </row>
    <row r="2727" spans="1:12" hidden="1" x14ac:dyDescent="0.3">
      <c r="A2727" t="s">
        <v>43</v>
      </c>
      <c r="B2727" t="s">
        <v>44</v>
      </c>
      <c r="C2727" t="s">
        <v>125</v>
      </c>
      <c r="D2727" t="s">
        <v>126</v>
      </c>
      <c r="E2727">
        <v>1998</v>
      </c>
      <c r="F2727" s="1">
        <v>12</v>
      </c>
      <c r="G2727">
        <v>2000</v>
      </c>
      <c r="H2727">
        <f>AVERAGEIFS(Table1[value],Table1[IndicatorCode],Table1[[#This Row],[IndicatorCode]])</f>
        <v>7.6894248608534319</v>
      </c>
      <c r="I2727" cm="1">
        <f t="array" ref="I2727">_xlfn.STDEV.P(IF(Table1[IndicatorCode]=Table1[[#This Row],[IndicatorCode]],Table1[value]))</f>
        <v>5.2319501044600996</v>
      </c>
      <c r="J2727">
        <f>(Table1[[#This Row],[value]] - Table1[[#This Row],[mean]]) / Table1[[#This Row],[std_dev]]</f>
        <v>0.82389454277706442</v>
      </c>
      <c r="K2727">
        <f>AVERAGEIF(Table1[CountryCode],Table1[[#This Row],[CountryCode]],Table1[z-score])</f>
        <v>0.36646997985615637</v>
      </c>
      <c r="L2727" t="e">
        <f>VLOOKUP(Table1[[#This Row],[CountryCode]],[1]!Table1[#Data],4,FALSE)</f>
        <v>#REF!</v>
      </c>
    </row>
    <row r="2728" spans="1:12" hidden="1" x14ac:dyDescent="0.3">
      <c r="A2728" t="s">
        <v>43</v>
      </c>
      <c r="B2728" t="s">
        <v>44</v>
      </c>
      <c r="C2728" t="s">
        <v>125</v>
      </c>
      <c r="D2728" t="s">
        <v>126</v>
      </c>
      <c r="E2728">
        <v>1999</v>
      </c>
      <c r="F2728" s="1">
        <v>11</v>
      </c>
      <c r="G2728">
        <v>2000</v>
      </c>
      <c r="H2728">
        <f>AVERAGEIFS(Table1[value],Table1[IndicatorCode],Table1[[#This Row],[IndicatorCode]])</f>
        <v>7.6894248608534319</v>
      </c>
      <c r="I2728" cm="1">
        <f t="array" ref="I2728">_xlfn.STDEV.P(IF(Table1[IndicatorCode]=Table1[[#This Row],[IndicatorCode]],Table1[value]))</f>
        <v>5.2319501044600996</v>
      </c>
      <c r="J2728">
        <f>(Table1[[#This Row],[value]] - Table1[[#This Row],[mean]]) / Table1[[#This Row],[std_dev]]</f>
        <v>0.63276122154230596</v>
      </c>
      <c r="K2728">
        <f>AVERAGEIF(Table1[CountryCode],Table1[[#This Row],[CountryCode]],Table1[z-score])</f>
        <v>0.36646997985615637</v>
      </c>
      <c r="L2728" t="e">
        <f>VLOOKUP(Table1[[#This Row],[CountryCode]],[1]!Table1[#Data],4,FALSE)</f>
        <v>#REF!</v>
      </c>
    </row>
    <row r="2729" spans="1:12" hidden="1" x14ac:dyDescent="0.3">
      <c r="A2729" t="s">
        <v>43</v>
      </c>
      <c r="B2729" t="s">
        <v>44</v>
      </c>
      <c r="C2729" t="s">
        <v>125</v>
      </c>
      <c r="D2729" t="s">
        <v>126</v>
      </c>
      <c r="E2729">
        <v>2000</v>
      </c>
      <c r="F2729" s="1">
        <v>11</v>
      </c>
      <c r="G2729">
        <v>2000</v>
      </c>
      <c r="H2729">
        <f>AVERAGEIFS(Table1[value],Table1[IndicatorCode],Table1[[#This Row],[IndicatorCode]])</f>
        <v>7.6894248608534319</v>
      </c>
      <c r="I2729" cm="1">
        <f t="array" ref="I2729">_xlfn.STDEV.P(IF(Table1[IndicatorCode]=Table1[[#This Row],[IndicatorCode]],Table1[value]))</f>
        <v>5.2319501044600996</v>
      </c>
      <c r="J2729">
        <f>(Table1[[#This Row],[value]] - Table1[[#This Row],[mean]]) / Table1[[#This Row],[std_dev]]</f>
        <v>0.63276122154230596</v>
      </c>
      <c r="K2729">
        <f>AVERAGEIF(Table1[CountryCode],Table1[[#This Row],[CountryCode]],Table1[z-score])</f>
        <v>0.36646997985615637</v>
      </c>
      <c r="L2729" t="e">
        <f>VLOOKUP(Table1[[#This Row],[CountryCode]],[1]!Table1[#Data],4,FALSE)</f>
        <v>#REF!</v>
      </c>
    </row>
    <row r="2730" spans="1:12" hidden="1" x14ac:dyDescent="0.3">
      <c r="A2730" t="s">
        <v>43</v>
      </c>
      <c r="B2730" t="s">
        <v>44</v>
      </c>
      <c r="C2730" t="s">
        <v>125</v>
      </c>
      <c r="D2730" t="s">
        <v>126</v>
      </c>
      <c r="E2730">
        <v>2001</v>
      </c>
      <c r="F2730" s="1">
        <v>12</v>
      </c>
      <c r="G2730">
        <v>2000</v>
      </c>
      <c r="H2730">
        <f>AVERAGEIFS(Table1[value],Table1[IndicatorCode],Table1[[#This Row],[IndicatorCode]])</f>
        <v>7.6894248608534319</v>
      </c>
      <c r="I2730" cm="1">
        <f t="array" ref="I2730">_xlfn.STDEV.P(IF(Table1[IndicatorCode]=Table1[[#This Row],[IndicatorCode]],Table1[value]))</f>
        <v>5.2319501044600996</v>
      </c>
      <c r="J2730">
        <f>(Table1[[#This Row],[value]] - Table1[[#This Row],[mean]]) / Table1[[#This Row],[std_dev]]</f>
        <v>0.82389454277706442</v>
      </c>
      <c r="K2730">
        <f>AVERAGEIF(Table1[CountryCode],Table1[[#This Row],[CountryCode]],Table1[z-score])</f>
        <v>0.36646997985615637</v>
      </c>
      <c r="L2730" t="e">
        <f>VLOOKUP(Table1[[#This Row],[CountryCode]],[1]!Table1[#Data],4,FALSE)</f>
        <v>#REF!</v>
      </c>
    </row>
    <row r="2731" spans="1:12" hidden="1" x14ac:dyDescent="0.3">
      <c r="A2731" t="s">
        <v>43</v>
      </c>
      <c r="B2731" t="s">
        <v>44</v>
      </c>
      <c r="C2731" t="s">
        <v>125</v>
      </c>
      <c r="D2731" t="s">
        <v>126</v>
      </c>
      <c r="E2731">
        <v>2002</v>
      </c>
      <c r="F2731" s="1">
        <v>13</v>
      </c>
      <c r="G2731">
        <v>2000</v>
      </c>
      <c r="H2731">
        <f>AVERAGEIFS(Table1[value],Table1[IndicatorCode],Table1[[#This Row],[IndicatorCode]])</f>
        <v>7.6894248608534319</v>
      </c>
      <c r="I2731" cm="1">
        <f t="array" ref="I2731">_xlfn.STDEV.P(IF(Table1[IndicatorCode]=Table1[[#This Row],[IndicatorCode]],Table1[value]))</f>
        <v>5.2319501044600996</v>
      </c>
      <c r="J2731">
        <f>(Table1[[#This Row],[value]] - Table1[[#This Row],[mean]]) / Table1[[#This Row],[std_dev]]</f>
        <v>1.0150278640118229</v>
      </c>
      <c r="K2731">
        <f>AVERAGEIF(Table1[CountryCode],Table1[[#This Row],[CountryCode]],Table1[z-score])</f>
        <v>0.36646997985615637</v>
      </c>
      <c r="L2731" t="e">
        <f>VLOOKUP(Table1[[#This Row],[CountryCode]],[1]!Table1[#Data],4,FALSE)</f>
        <v>#REF!</v>
      </c>
    </row>
    <row r="2732" spans="1:12" hidden="1" x14ac:dyDescent="0.3">
      <c r="A2732" t="s">
        <v>43</v>
      </c>
      <c r="B2732" t="s">
        <v>44</v>
      </c>
      <c r="C2732" t="s">
        <v>125</v>
      </c>
      <c r="D2732" t="s">
        <v>126</v>
      </c>
      <c r="E2732">
        <v>2003</v>
      </c>
      <c r="F2732" s="1">
        <v>14</v>
      </c>
      <c r="G2732">
        <v>2000</v>
      </c>
      <c r="H2732">
        <f>AVERAGEIFS(Table1[value],Table1[IndicatorCode],Table1[[#This Row],[IndicatorCode]])</f>
        <v>7.6894248608534319</v>
      </c>
      <c r="I2732" cm="1">
        <f t="array" ref="I2732">_xlfn.STDEV.P(IF(Table1[IndicatorCode]=Table1[[#This Row],[IndicatorCode]],Table1[value]))</f>
        <v>5.2319501044600996</v>
      </c>
      <c r="J2732">
        <f>(Table1[[#This Row],[value]] - Table1[[#This Row],[mean]]) / Table1[[#This Row],[std_dev]]</f>
        <v>1.2061611852465812</v>
      </c>
      <c r="K2732">
        <f>AVERAGEIF(Table1[CountryCode],Table1[[#This Row],[CountryCode]],Table1[z-score])</f>
        <v>0.36646997985615637</v>
      </c>
      <c r="L2732" t="e">
        <f>VLOOKUP(Table1[[#This Row],[CountryCode]],[1]!Table1[#Data],4,FALSE)</f>
        <v>#REF!</v>
      </c>
    </row>
    <row r="2733" spans="1:12" hidden="1" x14ac:dyDescent="0.3">
      <c r="A2733" t="s">
        <v>43</v>
      </c>
      <c r="B2733" t="s">
        <v>44</v>
      </c>
      <c r="C2733" t="s">
        <v>125</v>
      </c>
      <c r="D2733" t="s">
        <v>126</v>
      </c>
      <c r="E2733">
        <v>2004</v>
      </c>
      <c r="F2733" s="1">
        <v>13</v>
      </c>
      <c r="G2733">
        <v>2000</v>
      </c>
      <c r="H2733">
        <f>AVERAGEIFS(Table1[value],Table1[IndicatorCode],Table1[[#This Row],[IndicatorCode]])</f>
        <v>7.6894248608534319</v>
      </c>
      <c r="I2733" cm="1">
        <f t="array" ref="I2733">_xlfn.STDEV.P(IF(Table1[IndicatorCode]=Table1[[#This Row],[IndicatorCode]],Table1[value]))</f>
        <v>5.2319501044600996</v>
      </c>
      <c r="J2733">
        <f>(Table1[[#This Row],[value]] - Table1[[#This Row],[mean]]) / Table1[[#This Row],[std_dev]]</f>
        <v>1.0150278640118229</v>
      </c>
      <c r="K2733">
        <f>AVERAGEIF(Table1[CountryCode],Table1[[#This Row],[CountryCode]],Table1[z-score])</f>
        <v>0.36646997985615637</v>
      </c>
      <c r="L2733" t="e">
        <f>VLOOKUP(Table1[[#This Row],[CountryCode]],[1]!Table1[#Data],4,FALSE)</f>
        <v>#REF!</v>
      </c>
    </row>
    <row r="2734" spans="1:12" hidden="1" x14ac:dyDescent="0.3">
      <c r="A2734" t="s">
        <v>43</v>
      </c>
      <c r="B2734" t="s">
        <v>44</v>
      </c>
      <c r="C2734" t="s">
        <v>125</v>
      </c>
      <c r="D2734" t="s">
        <v>126</v>
      </c>
      <c r="E2734">
        <v>2005</v>
      </c>
      <c r="F2734" s="1">
        <v>11</v>
      </c>
      <c r="G2734">
        <v>2000</v>
      </c>
      <c r="H2734">
        <f>AVERAGEIFS(Table1[value],Table1[IndicatorCode],Table1[[#This Row],[IndicatorCode]])</f>
        <v>7.6894248608534319</v>
      </c>
      <c r="I2734" cm="1">
        <f t="array" ref="I2734">_xlfn.STDEV.P(IF(Table1[IndicatorCode]=Table1[[#This Row],[IndicatorCode]],Table1[value]))</f>
        <v>5.2319501044600996</v>
      </c>
      <c r="J2734">
        <f>(Table1[[#This Row],[value]] - Table1[[#This Row],[mean]]) / Table1[[#This Row],[std_dev]]</f>
        <v>0.63276122154230596</v>
      </c>
      <c r="K2734">
        <f>AVERAGEIF(Table1[CountryCode],Table1[[#This Row],[CountryCode]],Table1[z-score])</f>
        <v>0.36646997985615637</v>
      </c>
      <c r="L2734" t="e">
        <f>VLOOKUP(Table1[[#This Row],[CountryCode]],[1]!Table1[#Data],4,FALSE)</f>
        <v>#REF!</v>
      </c>
    </row>
    <row r="2735" spans="1:12" hidden="1" x14ac:dyDescent="0.3">
      <c r="A2735" t="s">
        <v>43</v>
      </c>
      <c r="B2735" t="s">
        <v>44</v>
      </c>
      <c r="C2735" t="s">
        <v>125</v>
      </c>
      <c r="D2735" t="s">
        <v>126</v>
      </c>
      <c r="E2735">
        <v>2006</v>
      </c>
      <c r="F2735" s="1">
        <v>13</v>
      </c>
      <c r="G2735">
        <v>2000</v>
      </c>
      <c r="H2735">
        <f>AVERAGEIFS(Table1[value],Table1[IndicatorCode],Table1[[#This Row],[IndicatorCode]])</f>
        <v>7.6894248608534319</v>
      </c>
      <c r="I2735" cm="1">
        <f t="array" ref="I2735">_xlfn.STDEV.P(IF(Table1[IndicatorCode]=Table1[[#This Row],[IndicatorCode]],Table1[value]))</f>
        <v>5.2319501044600996</v>
      </c>
      <c r="J2735">
        <f>(Table1[[#This Row],[value]] - Table1[[#This Row],[mean]]) / Table1[[#This Row],[std_dev]]</f>
        <v>1.0150278640118229</v>
      </c>
      <c r="K2735">
        <f>AVERAGEIF(Table1[CountryCode],Table1[[#This Row],[CountryCode]],Table1[z-score])</f>
        <v>0.36646997985615637</v>
      </c>
      <c r="L2735" t="e">
        <f>VLOOKUP(Table1[[#This Row],[CountryCode]],[1]!Table1[#Data],4,FALSE)</f>
        <v>#REF!</v>
      </c>
    </row>
    <row r="2736" spans="1:12" hidden="1" x14ac:dyDescent="0.3">
      <c r="A2736" t="s">
        <v>43</v>
      </c>
      <c r="B2736" t="s">
        <v>44</v>
      </c>
      <c r="C2736" t="s">
        <v>125</v>
      </c>
      <c r="D2736" t="s">
        <v>126</v>
      </c>
      <c r="E2736">
        <v>2007</v>
      </c>
      <c r="F2736" s="1">
        <v>13</v>
      </c>
      <c r="G2736">
        <v>2010</v>
      </c>
      <c r="H2736">
        <f>AVERAGEIFS(Table1[value],Table1[IndicatorCode],Table1[[#This Row],[IndicatorCode]])</f>
        <v>7.6894248608534319</v>
      </c>
      <c r="I2736" cm="1">
        <f t="array" ref="I2736">_xlfn.STDEV.P(IF(Table1[IndicatorCode]=Table1[[#This Row],[IndicatorCode]],Table1[value]))</f>
        <v>5.2319501044600996</v>
      </c>
      <c r="J2736">
        <f>(Table1[[#This Row],[value]] - Table1[[#This Row],[mean]]) / Table1[[#This Row],[std_dev]]</f>
        <v>1.0150278640118229</v>
      </c>
      <c r="K2736">
        <f>AVERAGEIF(Table1[CountryCode],Table1[[#This Row],[CountryCode]],Table1[z-score])</f>
        <v>0.36646997985615637</v>
      </c>
      <c r="L2736" t="e">
        <f>VLOOKUP(Table1[[#This Row],[CountryCode]],[1]!Table1[#Data],4,FALSE)</f>
        <v>#REF!</v>
      </c>
    </row>
    <row r="2737" spans="1:12" hidden="1" x14ac:dyDescent="0.3">
      <c r="A2737" t="s">
        <v>43</v>
      </c>
      <c r="B2737" t="s">
        <v>44</v>
      </c>
      <c r="C2737" t="s">
        <v>125</v>
      </c>
      <c r="D2737" t="s">
        <v>126</v>
      </c>
      <c r="E2737">
        <v>2008</v>
      </c>
      <c r="F2737" s="1">
        <v>11</v>
      </c>
      <c r="G2737">
        <v>2010</v>
      </c>
      <c r="H2737">
        <f>AVERAGEIFS(Table1[value],Table1[IndicatorCode],Table1[[#This Row],[IndicatorCode]])</f>
        <v>7.6894248608534319</v>
      </c>
      <c r="I2737" cm="1">
        <f t="array" ref="I2737">_xlfn.STDEV.P(IF(Table1[IndicatorCode]=Table1[[#This Row],[IndicatorCode]],Table1[value]))</f>
        <v>5.2319501044600996</v>
      </c>
      <c r="J2737">
        <f>(Table1[[#This Row],[value]] - Table1[[#This Row],[mean]]) / Table1[[#This Row],[std_dev]]</f>
        <v>0.63276122154230596</v>
      </c>
      <c r="K2737">
        <f>AVERAGEIF(Table1[CountryCode],Table1[[#This Row],[CountryCode]],Table1[z-score])</f>
        <v>0.36646997985615637</v>
      </c>
      <c r="L2737" t="e">
        <f>VLOOKUP(Table1[[#This Row],[CountryCode]],[1]!Table1[#Data],4,FALSE)</f>
        <v>#REF!</v>
      </c>
    </row>
    <row r="2738" spans="1:12" hidden="1" x14ac:dyDescent="0.3">
      <c r="A2738" t="s">
        <v>43</v>
      </c>
      <c r="B2738" t="s">
        <v>44</v>
      </c>
      <c r="C2738" t="s">
        <v>125</v>
      </c>
      <c r="D2738" t="s">
        <v>126</v>
      </c>
      <c r="E2738">
        <v>2009</v>
      </c>
      <c r="F2738" s="1">
        <v>11</v>
      </c>
      <c r="G2738">
        <v>2010</v>
      </c>
      <c r="H2738">
        <f>AVERAGEIFS(Table1[value],Table1[IndicatorCode],Table1[[#This Row],[IndicatorCode]])</f>
        <v>7.6894248608534319</v>
      </c>
      <c r="I2738" cm="1">
        <f t="array" ref="I2738">_xlfn.STDEV.P(IF(Table1[IndicatorCode]=Table1[[#This Row],[IndicatorCode]],Table1[value]))</f>
        <v>5.2319501044600996</v>
      </c>
      <c r="J2738">
        <f>(Table1[[#This Row],[value]] - Table1[[#This Row],[mean]]) / Table1[[#This Row],[std_dev]]</f>
        <v>0.63276122154230596</v>
      </c>
      <c r="K2738">
        <f>AVERAGEIF(Table1[CountryCode],Table1[[#This Row],[CountryCode]],Table1[z-score])</f>
        <v>0.36646997985615637</v>
      </c>
      <c r="L2738" t="e">
        <f>VLOOKUP(Table1[[#This Row],[CountryCode]],[1]!Table1[#Data],4,FALSE)</f>
        <v>#REF!</v>
      </c>
    </row>
    <row r="2739" spans="1:12" hidden="1" x14ac:dyDescent="0.3">
      <c r="A2739" t="s">
        <v>43</v>
      </c>
      <c r="B2739" t="s">
        <v>44</v>
      </c>
      <c r="C2739" t="s">
        <v>125</v>
      </c>
      <c r="D2739" t="s">
        <v>126</v>
      </c>
      <c r="E2739">
        <v>2010</v>
      </c>
      <c r="F2739" s="1">
        <v>12</v>
      </c>
      <c r="G2739">
        <v>2010</v>
      </c>
      <c r="H2739">
        <f>AVERAGEIFS(Table1[value],Table1[IndicatorCode],Table1[[#This Row],[IndicatorCode]])</f>
        <v>7.6894248608534319</v>
      </c>
      <c r="I2739" cm="1">
        <f t="array" ref="I2739">_xlfn.STDEV.P(IF(Table1[IndicatorCode]=Table1[[#This Row],[IndicatorCode]],Table1[value]))</f>
        <v>5.2319501044600996</v>
      </c>
      <c r="J2739">
        <f>(Table1[[#This Row],[value]] - Table1[[#This Row],[mean]]) / Table1[[#This Row],[std_dev]]</f>
        <v>0.82389454277706442</v>
      </c>
      <c r="K2739">
        <f>AVERAGEIF(Table1[CountryCode],Table1[[#This Row],[CountryCode]],Table1[z-score])</f>
        <v>0.36646997985615637</v>
      </c>
      <c r="L2739" t="e">
        <f>VLOOKUP(Table1[[#This Row],[CountryCode]],[1]!Table1[#Data],4,FALSE)</f>
        <v>#REF!</v>
      </c>
    </row>
    <row r="2740" spans="1:12" hidden="1" x14ac:dyDescent="0.3">
      <c r="A2740" t="s">
        <v>43</v>
      </c>
      <c r="B2740" t="s">
        <v>44</v>
      </c>
      <c r="C2740" t="s">
        <v>125</v>
      </c>
      <c r="D2740" t="s">
        <v>126</v>
      </c>
      <c r="E2740">
        <v>2011</v>
      </c>
      <c r="F2740" s="1">
        <v>11</v>
      </c>
      <c r="G2740">
        <v>2010</v>
      </c>
      <c r="H2740">
        <f>AVERAGEIFS(Table1[value],Table1[IndicatorCode],Table1[[#This Row],[IndicatorCode]])</f>
        <v>7.6894248608534319</v>
      </c>
      <c r="I2740" cm="1">
        <f t="array" ref="I2740">_xlfn.STDEV.P(IF(Table1[IndicatorCode]=Table1[[#This Row],[IndicatorCode]],Table1[value]))</f>
        <v>5.2319501044600996</v>
      </c>
      <c r="J2740">
        <f>(Table1[[#This Row],[value]] - Table1[[#This Row],[mean]]) / Table1[[#This Row],[std_dev]]</f>
        <v>0.63276122154230596</v>
      </c>
      <c r="K2740">
        <f>AVERAGEIF(Table1[CountryCode],Table1[[#This Row],[CountryCode]],Table1[z-score])</f>
        <v>0.36646997985615637</v>
      </c>
      <c r="L2740" t="e">
        <f>VLOOKUP(Table1[[#This Row],[CountryCode]],[1]!Table1[#Data],4,FALSE)</f>
        <v>#REF!</v>
      </c>
    </row>
    <row r="2741" spans="1:12" hidden="1" x14ac:dyDescent="0.3">
      <c r="A2741" t="s">
        <v>43</v>
      </c>
      <c r="B2741" t="s">
        <v>44</v>
      </c>
      <c r="C2741" t="s">
        <v>125</v>
      </c>
      <c r="D2741" t="s">
        <v>126</v>
      </c>
      <c r="E2741">
        <v>2012</v>
      </c>
      <c r="F2741" s="1">
        <v>10</v>
      </c>
      <c r="G2741">
        <v>2010</v>
      </c>
      <c r="H2741">
        <f>AVERAGEIFS(Table1[value],Table1[IndicatorCode],Table1[[#This Row],[IndicatorCode]])</f>
        <v>7.6894248608534319</v>
      </c>
      <c r="I2741" cm="1">
        <f t="array" ref="I2741">_xlfn.STDEV.P(IF(Table1[IndicatorCode]=Table1[[#This Row],[IndicatorCode]],Table1[value]))</f>
        <v>5.2319501044600996</v>
      </c>
      <c r="J2741">
        <f>(Table1[[#This Row],[value]] - Table1[[#This Row],[mean]]) / Table1[[#This Row],[std_dev]]</f>
        <v>0.44162790030754762</v>
      </c>
      <c r="K2741">
        <f>AVERAGEIF(Table1[CountryCode],Table1[[#This Row],[CountryCode]],Table1[z-score])</f>
        <v>0.36646997985615637</v>
      </c>
      <c r="L2741" t="e">
        <f>VLOOKUP(Table1[[#This Row],[CountryCode]],[1]!Table1[#Data],4,FALSE)</f>
        <v>#REF!</v>
      </c>
    </row>
    <row r="2742" spans="1:12" hidden="1" x14ac:dyDescent="0.3">
      <c r="A2742" t="s">
        <v>43</v>
      </c>
      <c r="B2742" t="s">
        <v>44</v>
      </c>
      <c r="C2742" t="s">
        <v>125</v>
      </c>
      <c r="D2742" t="s">
        <v>126</v>
      </c>
      <c r="E2742">
        <v>2013</v>
      </c>
      <c r="F2742" s="1">
        <v>10</v>
      </c>
      <c r="G2742">
        <v>2010</v>
      </c>
      <c r="H2742">
        <f>AVERAGEIFS(Table1[value],Table1[IndicatorCode],Table1[[#This Row],[IndicatorCode]])</f>
        <v>7.6894248608534319</v>
      </c>
      <c r="I2742" cm="1">
        <f t="array" ref="I2742">_xlfn.STDEV.P(IF(Table1[IndicatorCode]=Table1[[#This Row],[IndicatorCode]],Table1[value]))</f>
        <v>5.2319501044600996</v>
      </c>
      <c r="J2742">
        <f>(Table1[[#This Row],[value]] - Table1[[#This Row],[mean]]) / Table1[[#This Row],[std_dev]]</f>
        <v>0.44162790030754762</v>
      </c>
      <c r="K2742">
        <f>AVERAGEIF(Table1[CountryCode],Table1[[#This Row],[CountryCode]],Table1[z-score])</f>
        <v>0.36646997985615637</v>
      </c>
      <c r="L2742" t="e">
        <f>VLOOKUP(Table1[[#This Row],[CountryCode]],[1]!Table1[#Data],4,FALSE)</f>
        <v>#REF!</v>
      </c>
    </row>
    <row r="2743" spans="1:12" hidden="1" x14ac:dyDescent="0.3">
      <c r="A2743" t="s">
        <v>43</v>
      </c>
      <c r="B2743" t="s">
        <v>44</v>
      </c>
      <c r="C2743" t="s">
        <v>125</v>
      </c>
      <c r="D2743" t="s">
        <v>126</v>
      </c>
      <c r="E2743">
        <v>2014</v>
      </c>
      <c r="F2743" s="1">
        <v>9</v>
      </c>
      <c r="G2743">
        <v>2010</v>
      </c>
      <c r="H2743">
        <f>AVERAGEIFS(Table1[value],Table1[IndicatorCode],Table1[[#This Row],[IndicatorCode]])</f>
        <v>7.6894248608534319</v>
      </c>
      <c r="I2743" cm="1">
        <f t="array" ref="I2743">_xlfn.STDEV.P(IF(Table1[IndicatorCode]=Table1[[#This Row],[IndicatorCode]],Table1[value]))</f>
        <v>5.2319501044600996</v>
      </c>
      <c r="J2743">
        <f>(Table1[[#This Row],[value]] - Table1[[#This Row],[mean]]) / Table1[[#This Row],[std_dev]]</f>
        <v>0.25049457907278921</v>
      </c>
      <c r="K2743">
        <f>AVERAGEIF(Table1[CountryCode],Table1[[#This Row],[CountryCode]],Table1[z-score])</f>
        <v>0.36646997985615637</v>
      </c>
      <c r="L2743" t="e">
        <f>VLOOKUP(Table1[[#This Row],[CountryCode]],[1]!Table1[#Data],4,FALSE)</f>
        <v>#REF!</v>
      </c>
    </row>
    <row r="2744" spans="1:12" hidden="1" x14ac:dyDescent="0.3">
      <c r="A2744" t="s">
        <v>43</v>
      </c>
      <c r="B2744" t="s">
        <v>44</v>
      </c>
      <c r="C2744" t="s">
        <v>125</v>
      </c>
      <c r="D2744" t="s">
        <v>126</v>
      </c>
      <c r="E2744">
        <v>2015</v>
      </c>
      <c r="F2744" s="1">
        <v>8</v>
      </c>
      <c r="G2744">
        <v>2010</v>
      </c>
      <c r="H2744">
        <f>AVERAGEIFS(Table1[value],Table1[IndicatorCode],Table1[[#This Row],[IndicatorCode]])</f>
        <v>7.6894248608534319</v>
      </c>
      <c r="I2744" cm="1">
        <f t="array" ref="I2744">_xlfn.STDEV.P(IF(Table1[IndicatorCode]=Table1[[#This Row],[IndicatorCode]],Table1[value]))</f>
        <v>5.2319501044600996</v>
      </c>
      <c r="J2744">
        <f>(Table1[[#This Row],[value]] - Table1[[#This Row],[mean]]) / Table1[[#This Row],[std_dev]]</f>
        <v>5.9361257838030791E-2</v>
      </c>
      <c r="K2744">
        <f>AVERAGEIF(Table1[CountryCode],Table1[[#This Row],[CountryCode]],Table1[z-score])</f>
        <v>0.36646997985615637</v>
      </c>
      <c r="L2744" t="e">
        <f>VLOOKUP(Table1[[#This Row],[CountryCode]],[1]!Table1[#Data],4,FALSE)</f>
        <v>#REF!</v>
      </c>
    </row>
    <row r="2745" spans="1:12" hidden="1" x14ac:dyDescent="0.3">
      <c r="A2745" t="s">
        <v>43</v>
      </c>
      <c r="B2745" t="s">
        <v>44</v>
      </c>
      <c r="C2745" t="s">
        <v>125</v>
      </c>
      <c r="D2745" t="s">
        <v>126</v>
      </c>
      <c r="E2745">
        <v>2016</v>
      </c>
      <c r="F2745" s="1">
        <v>9</v>
      </c>
      <c r="G2745">
        <v>2010</v>
      </c>
      <c r="H2745">
        <f>AVERAGEIFS(Table1[value],Table1[IndicatorCode],Table1[[#This Row],[IndicatorCode]])</f>
        <v>7.6894248608534319</v>
      </c>
      <c r="I2745" cm="1">
        <f t="array" ref="I2745">_xlfn.STDEV.P(IF(Table1[IndicatorCode]=Table1[[#This Row],[IndicatorCode]],Table1[value]))</f>
        <v>5.2319501044600996</v>
      </c>
      <c r="J2745">
        <f>(Table1[[#This Row],[value]] - Table1[[#This Row],[mean]]) / Table1[[#This Row],[std_dev]]</f>
        <v>0.25049457907278921</v>
      </c>
      <c r="K2745">
        <f>AVERAGEIF(Table1[CountryCode],Table1[[#This Row],[CountryCode]],Table1[z-score])</f>
        <v>0.36646997985615637</v>
      </c>
      <c r="L2745" t="e">
        <f>VLOOKUP(Table1[[#This Row],[CountryCode]],[1]!Table1[#Data],4,FALSE)</f>
        <v>#REF!</v>
      </c>
    </row>
    <row r="2746" spans="1:12" hidden="1" x14ac:dyDescent="0.3">
      <c r="A2746" t="s">
        <v>43</v>
      </c>
      <c r="B2746" t="s">
        <v>44</v>
      </c>
      <c r="C2746" t="s">
        <v>125</v>
      </c>
      <c r="D2746" t="s">
        <v>126</v>
      </c>
      <c r="E2746">
        <v>2017</v>
      </c>
      <c r="F2746" s="1">
        <v>8</v>
      </c>
      <c r="G2746">
        <v>2020</v>
      </c>
      <c r="H2746">
        <f>AVERAGEIFS(Table1[value],Table1[IndicatorCode],Table1[[#This Row],[IndicatorCode]])</f>
        <v>7.6894248608534319</v>
      </c>
      <c r="I2746" cm="1">
        <f t="array" ref="I2746">_xlfn.STDEV.P(IF(Table1[IndicatorCode]=Table1[[#This Row],[IndicatorCode]],Table1[value]))</f>
        <v>5.2319501044600996</v>
      </c>
      <c r="J2746">
        <f>(Table1[[#This Row],[value]] - Table1[[#This Row],[mean]]) / Table1[[#This Row],[std_dev]]</f>
        <v>5.9361257838030791E-2</v>
      </c>
      <c r="K2746">
        <f>AVERAGEIF(Table1[CountryCode],Table1[[#This Row],[CountryCode]],Table1[z-score])</f>
        <v>0.36646997985615637</v>
      </c>
      <c r="L2746" t="e">
        <f>VLOOKUP(Table1[[#This Row],[CountryCode]],[1]!Table1[#Data],4,FALSE)</f>
        <v>#REF!</v>
      </c>
    </row>
    <row r="2747" spans="1:12" hidden="1" x14ac:dyDescent="0.3">
      <c r="A2747" t="s">
        <v>43</v>
      </c>
      <c r="B2747" t="s">
        <v>44</v>
      </c>
      <c r="C2747" t="s">
        <v>125</v>
      </c>
      <c r="D2747" t="s">
        <v>126</v>
      </c>
      <c r="E2747">
        <v>2018</v>
      </c>
      <c r="F2747" s="1">
        <v>9</v>
      </c>
      <c r="G2747">
        <v>2020</v>
      </c>
      <c r="H2747">
        <f>AVERAGEIFS(Table1[value],Table1[IndicatorCode],Table1[[#This Row],[IndicatorCode]])</f>
        <v>7.6894248608534319</v>
      </c>
      <c r="I2747" cm="1">
        <f t="array" ref="I2747">_xlfn.STDEV.P(IF(Table1[IndicatorCode]=Table1[[#This Row],[IndicatorCode]],Table1[value]))</f>
        <v>5.2319501044600996</v>
      </c>
      <c r="J2747">
        <f>(Table1[[#This Row],[value]] - Table1[[#This Row],[mean]]) / Table1[[#This Row],[std_dev]]</f>
        <v>0.25049457907278921</v>
      </c>
      <c r="K2747">
        <f>AVERAGEIF(Table1[CountryCode],Table1[[#This Row],[CountryCode]],Table1[z-score])</f>
        <v>0.36646997985615637</v>
      </c>
      <c r="L2747" t="e">
        <f>VLOOKUP(Table1[[#This Row],[CountryCode]],[1]!Table1[#Data],4,FALSE)</f>
        <v>#REF!</v>
      </c>
    </row>
    <row r="2748" spans="1:12" hidden="1" x14ac:dyDescent="0.3">
      <c r="A2748" t="s">
        <v>43</v>
      </c>
      <c r="B2748" t="s">
        <v>44</v>
      </c>
      <c r="C2748" t="s">
        <v>125</v>
      </c>
      <c r="D2748" t="s">
        <v>126</v>
      </c>
      <c r="E2748">
        <v>2019</v>
      </c>
      <c r="F2748" s="1">
        <v>8</v>
      </c>
      <c r="G2748">
        <v>2020</v>
      </c>
      <c r="H2748">
        <f>AVERAGEIFS(Table1[value],Table1[IndicatorCode],Table1[[#This Row],[IndicatorCode]])</f>
        <v>7.6894248608534319</v>
      </c>
      <c r="I2748" cm="1">
        <f t="array" ref="I2748">_xlfn.STDEV.P(IF(Table1[IndicatorCode]=Table1[[#This Row],[IndicatorCode]],Table1[value]))</f>
        <v>5.2319501044600996</v>
      </c>
      <c r="J2748">
        <f>(Table1[[#This Row],[value]] - Table1[[#This Row],[mean]]) / Table1[[#This Row],[std_dev]]</f>
        <v>5.9361257838030791E-2</v>
      </c>
      <c r="K2748">
        <f>AVERAGEIF(Table1[CountryCode],Table1[[#This Row],[CountryCode]],Table1[z-score])</f>
        <v>0.36646997985615637</v>
      </c>
      <c r="L2748" t="e">
        <f>VLOOKUP(Table1[[#This Row],[CountryCode]],[1]!Table1[#Data],4,FALSE)</f>
        <v>#REF!</v>
      </c>
    </row>
    <row r="2749" spans="1:12" x14ac:dyDescent="0.3">
      <c r="A2749" t="s">
        <v>43</v>
      </c>
      <c r="B2749" t="s">
        <v>44</v>
      </c>
      <c r="C2749" t="s">
        <v>125</v>
      </c>
      <c r="D2749" t="s">
        <v>126</v>
      </c>
      <c r="E2749">
        <v>2020</v>
      </c>
      <c r="F2749" s="1">
        <v>7</v>
      </c>
      <c r="G2749">
        <v>2020</v>
      </c>
      <c r="H2749">
        <f>AVERAGEIFS(Table1[value],Table1[IndicatorCode],Table1[[#This Row],[IndicatorCode]])</f>
        <v>7.6894248608534319</v>
      </c>
      <c r="I2749" cm="1">
        <f t="array" ref="I2749">_xlfn.STDEV.P(IF(Table1[IndicatorCode]=Table1[[#This Row],[IndicatorCode]],Table1[value]))</f>
        <v>5.2319501044600996</v>
      </c>
      <c r="J2749">
        <f>(Table1[[#This Row],[value]] - Table1[[#This Row],[mean]]) / Table1[[#This Row],[std_dev]]</f>
        <v>-0.13177206339672762</v>
      </c>
      <c r="K2749">
        <f>AVERAGEIF(Table1[CountryCode],Table1[[#This Row],[CountryCode]],Table1[z-score])</f>
        <v>0.36646997985615637</v>
      </c>
    </row>
    <row r="2750" spans="1:12" hidden="1" x14ac:dyDescent="0.3">
      <c r="A2750" t="s">
        <v>43</v>
      </c>
      <c r="B2750" t="s">
        <v>44</v>
      </c>
      <c r="C2750" t="s">
        <v>125</v>
      </c>
      <c r="D2750" t="s">
        <v>126</v>
      </c>
      <c r="E2750">
        <v>2021</v>
      </c>
      <c r="F2750" s="1">
        <v>7</v>
      </c>
      <c r="G2750">
        <v>2020</v>
      </c>
      <c r="H2750">
        <f>AVERAGEIFS(Table1[value],Table1[IndicatorCode],Table1[[#This Row],[IndicatorCode]])</f>
        <v>7.6894248608534319</v>
      </c>
      <c r="I2750" cm="1">
        <f t="array" ref="I2750">_xlfn.STDEV.P(IF(Table1[IndicatorCode]=Table1[[#This Row],[IndicatorCode]],Table1[value]))</f>
        <v>5.2319501044600996</v>
      </c>
      <c r="J2750">
        <f>(Table1[[#This Row],[value]] - Table1[[#This Row],[mean]]) / Table1[[#This Row],[std_dev]]</f>
        <v>-0.13177206339672762</v>
      </c>
      <c r="K2750">
        <f>AVERAGEIF(Table1[CountryCode],Table1[[#This Row],[CountryCode]],Table1[z-score])</f>
        <v>0.36646997985615637</v>
      </c>
      <c r="L2750" t="e">
        <f>VLOOKUP(Table1[[#This Row],[CountryCode]],[1]!Table1[#Data],4,FALSE)</f>
        <v>#REF!</v>
      </c>
    </row>
    <row r="2751" spans="1:12" hidden="1" x14ac:dyDescent="0.3">
      <c r="A2751" t="s">
        <v>43</v>
      </c>
      <c r="B2751" t="s">
        <v>44</v>
      </c>
      <c r="C2751" t="s">
        <v>125</v>
      </c>
      <c r="D2751" t="s">
        <v>126</v>
      </c>
      <c r="E2751">
        <v>2022</v>
      </c>
      <c r="F2751" s="1">
        <v>7</v>
      </c>
      <c r="G2751">
        <v>1970</v>
      </c>
      <c r="H2751">
        <f>AVERAGEIFS(Table1[value],Table1[IndicatorCode],Table1[[#This Row],[IndicatorCode]])</f>
        <v>7.6894248608534319</v>
      </c>
      <c r="I2751" cm="1">
        <f t="array" ref="I2751">_xlfn.STDEV.P(IF(Table1[IndicatorCode]=Table1[[#This Row],[IndicatorCode]],Table1[value]))</f>
        <v>5.2319501044600996</v>
      </c>
      <c r="J2751">
        <f>(Table1[[#This Row],[value]] - Table1[[#This Row],[mean]]) / Table1[[#This Row],[std_dev]]</f>
        <v>-0.13177206339672762</v>
      </c>
      <c r="K2751">
        <f>AVERAGEIF(Table1[CountryCode],Table1[[#This Row],[CountryCode]],Table1[z-score])</f>
        <v>0.36646997985615637</v>
      </c>
      <c r="L2751" t="e">
        <f>VLOOKUP(Table1[[#This Row],[CountryCode]],[1]!Table1[#Data],4,FALSE)</f>
        <v>#REF!</v>
      </c>
    </row>
    <row r="2752" spans="1:12" hidden="1" x14ac:dyDescent="0.3">
      <c r="A2752" t="s">
        <v>43</v>
      </c>
      <c r="B2752" t="s">
        <v>44</v>
      </c>
      <c r="C2752" t="s">
        <v>125</v>
      </c>
      <c r="D2752" t="s">
        <v>126</v>
      </c>
      <c r="E2752">
        <v>2023</v>
      </c>
      <c r="F2752" s="1">
        <v>6</v>
      </c>
      <c r="G2752">
        <v>1970</v>
      </c>
      <c r="H2752">
        <f>AVERAGEIFS(Table1[value],Table1[IndicatorCode],Table1[[#This Row],[IndicatorCode]])</f>
        <v>7.6894248608534319</v>
      </c>
      <c r="I2752" cm="1">
        <f t="array" ref="I2752">_xlfn.STDEV.P(IF(Table1[IndicatorCode]=Table1[[#This Row],[IndicatorCode]],Table1[value]))</f>
        <v>5.2319501044600996</v>
      </c>
      <c r="J2752">
        <f>(Table1[[#This Row],[value]] - Table1[[#This Row],[mean]]) / Table1[[#This Row],[std_dev]]</f>
        <v>-0.32290538463148605</v>
      </c>
      <c r="K2752">
        <f>AVERAGEIF(Table1[CountryCode],Table1[[#This Row],[CountryCode]],Table1[z-score])</f>
        <v>0.36646997985615637</v>
      </c>
      <c r="L2752" t="e">
        <f>VLOOKUP(Table1[[#This Row],[CountryCode]],[1]!Table1[#Data],4,FALSE)</f>
        <v>#REF!</v>
      </c>
    </row>
    <row r="2753" spans="1:12" hidden="1" x14ac:dyDescent="0.3">
      <c r="A2753" t="s">
        <v>43</v>
      </c>
      <c r="B2753" t="s">
        <v>44</v>
      </c>
      <c r="C2753" t="s">
        <v>125</v>
      </c>
      <c r="D2753" t="s">
        <v>126</v>
      </c>
      <c r="E2753">
        <v>2024</v>
      </c>
      <c r="F2753" s="1">
        <v>6</v>
      </c>
      <c r="G2753">
        <v>1970</v>
      </c>
      <c r="H2753">
        <f>AVERAGEIFS(Table1[value],Table1[IndicatorCode],Table1[[#This Row],[IndicatorCode]])</f>
        <v>7.6894248608534319</v>
      </c>
      <c r="I2753" cm="1">
        <f t="array" ref="I2753">_xlfn.STDEV.P(IF(Table1[IndicatorCode]=Table1[[#This Row],[IndicatorCode]],Table1[value]))</f>
        <v>5.2319501044600996</v>
      </c>
      <c r="J2753">
        <f>(Table1[[#This Row],[value]] - Table1[[#This Row],[mean]]) / Table1[[#This Row],[std_dev]]</f>
        <v>-0.32290538463148605</v>
      </c>
      <c r="K2753">
        <f>AVERAGEIF(Table1[CountryCode],Table1[[#This Row],[CountryCode]],Table1[z-score])</f>
        <v>0.36646997985615637</v>
      </c>
      <c r="L2753" t="e">
        <f>VLOOKUP(Table1[[#This Row],[CountryCode]],[1]!Table1[#Data],4,FALSE)</f>
        <v>#REF!</v>
      </c>
    </row>
    <row r="2754" spans="1:12" hidden="1" x14ac:dyDescent="0.3">
      <c r="A2754" t="s">
        <v>45</v>
      </c>
      <c r="B2754" t="s">
        <v>46</v>
      </c>
      <c r="C2754" t="s">
        <v>125</v>
      </c>
      <c r="D2754" t="s">
        <v>126</v>
      </c>
      <c r="E2754">
        <v>1970</v>
      </c>
      <c r="F2754" s="1">
        <v>9</v>
      </c>
      <c r="G2754">
        <v>1970</v>
      </c>
      <c r="H2754">
        <f>AVERAGEIFS(Table1[value],Table1[IndicatorCode],Table1[[#This Row],[IndicatorCode]])</f>
        <v>7.6894248608534319</v>
      </c>
      <c r="I2754" cm="1">
        <f t="array" ref="I2754">_xlfn.STDEV.P(IF(Table1[IndicatorCode]=Table1[[#This Row],[IndicatorCode]],Table1[value]))</f>
        <v>5.2319501044600996</v>
      </c>
      <c r="J2754">
        <f>(Table1[[#This Row],[value]] - Table1[[#This Row],[mean]]) / Table1[[#This Row],[std_dev]]</f>
        <v>0.25049457907278921</v>
      </c>
      <c r="K2754">
        <f>AVERAGEIF(Table1[CountryCode],Table1[[#This Row],[CountryCode]],Table1[z-score])</f>
        <v>0.21233679132661218</v>
      </c>
      <c r="L2754" t="e">
        <f>VLOOKUP(Table1[[#This Row],[CountryCode]],[1]!Table1[#Data],4,FALSE)</f>
        <v>#REF!</v>
      </c>
    </row>
    <row r="2755" spans="1:12" hidden="1" x14ac:dyDescent="0.3">
      <c r="A2755" t="s">
        <v>45</v>
      </c>
      <c r="B2755" t="s">
        <v>46</v>
      </c>
      <c r="C2755" t="s">
        <v>125</v>
      </c>
      <c r="D2755" t="s">
        <v>126</v>
      </c>
      <c r="E2755">
        <v>1971</v>
      </c>
      <c r="F2755" s="1">
        <v>9</v>
      </c>
      <c r="G2755">
        <v>1970</v>
      </c>
      <c r="H2755">
        <f>AVERAGEIFS(Table1[value],Table1[IndicatorCode],Table1[[#This Row],[IndicatorCode]])</f>
        <v>7.6894248608534319</v>
      </c>
      <c r="I2755" cm="1">
        <f t="array" ref="I2755">_xlfn.STDEV.P(IF(Table1[IndicatorCode]=Table1[[#This Row],[IndicatorCode]],Table1[value]))</f>
        <v>5.2319501044600996</v>
      </c>
      <c r="J2755">
        <f>(Table1[[#This Row],[value]] - Table1[[#This Row],[mean]]) / Table1[[#This Row],[std_dev]]</f>
        <v>0.25049457907278921</v>
      </c>
      <c r="K2755">
        <f>AVERAGEIF(Table1[CountryCode],Table1[[#This Row],[CountryCode]],Table1[z-score])</f>
        <v>0.21233679132661218</v>
      </c>
      <c r="L2755" t="e">
        <f>VLOOKUP(Table1[[#This Row],[CountryCode]],[1]!Table1[#Data],4,FALSE)</f>
        <v>#REF!</v>
      </c>
    </row>
    <row r="2756" spans="1:12" hidden="1" x14ac:dyDescent="0.3">
      <c r="A2756" t="s">
        <v>45</v>
      </c>
      <c r="B2756" t="s">
        <v>46</v>
      </c>
      <c r="C2756" t="s">
        <v>125</v>
      </c>
      <c r="D2756" t="s">
        <v>126</v>
      </c>
      <c r="E2756">
        <v>1972</v>
      </c>
      <c r="F2756" s="1">
        <v>9</v>
      </c>
      <c r="G2756">
        <v>1970</v>
      </c>
      <c r="H2756">
        <f>AVERAGEIFS(Table1[value],Table1[IndicatorCode],Table1[[#This Row],[IndicatorCode]])</f>
        <v>7.6894248608534319</v>
      </c>
      <c r="I2756" cm="1">
        <f t="array" ref="I2756">_xlfn.STDEV.P(IF(Table1[IndicatorCode]=Table1[[#This Row],[IndicatorCode]],Table1[value]))</f>
        <v>5.2319501044600996</v>
      </c>
      <c r="J2756">
        <f>(Table1[[#This Row],[value]] - Table1[[#This Row],[mean]]) / Table1[[#This Row],[std_dev]]</f>
        <v>0.25049457907278921</v>
      </c>
      <c r="K2756">
        <f>AVERAGEIF(Table1[CountryCode],Table1[[#This Row],[CountryCode]],Table1[z-score])</f>
        <v>0.21233679132661218</v>
      </c>
      <c r="L2756" t="e">
        <f>VLOOKUP(Table1[[#This Row],[CountryCode]],[1]!Table1[#Data],4,FALSE)</f>
        <v>#REF!</v>
      </c>
    </row>
    <row r="2757" spans="1:12" hidden="1" x14ac:dyDescent="0.3">
      <c r="A2757" t="s">
        <v>45</v>
      </c>
      <c r="B2757" t="s">
        <v>46</v>
      </c>
      <c r="C2757" t="s">
        <v>125</v>
      </c>
      <c r="D2757" t="s">
        <v>126</v>
      </c>
      <c r="E2757">
        <v>1973</v>
      </c>
      <c r="F2757" s="1">
        <v>10</v>
      </c>
      <c r="G2757">
        <v>1970</v>
      </c>
      <c r="H2757">
        <f>AVERAGEIFS(Table1[value],Table1[IndicatorCode],Table1[[#This Row],[IndicatorCode]])</f>
        <v>7.6894248608534319</v>
      </c>
      <c r="I2757" cm="1">
        <f t="array" ref="I2757">_xlfn.STDEV.P(IF(Table1[IndicatorCode]=Table1[[#This Row],[IndicatorCode]],Table1[value]))</f>
        <v>5.2319501044600996</v>
      </c>
      <c r="J2757">
        <f>(Table1[[#This Row],[value]] - Table1[[#This Row],[mean]]) / Table1[[#This Row],[std_dev]]</f>
        <v>0.44162790030754762</v>
      </c>
      <c r="K2757">
        <f>AVERAGEIF(Table1[CountryCode],Table1[[#This Row],[CountryCode]],Table1[z-score])</f>
        <v>0.21233679132661218</v>
      </c>
      <c r="L2757" t="e">
        <f>VLOOKUP(Table1[[#This Row],[CountryCode]],[1]!Table1[#Data],4,FALSE)</f>
        <v>#REF!</v>
      </c>
    </row>
    <row r="2758" spans="1:12" hidden="1" x14ac:dyDescent="0.3">
      <c r="A2758" t="s">
        <v>45</v>
      </c>
      <c r="B2758" t="s">
        <v>46</v>
      </c>
      <c r="C2758" t="s">
        <v>125</v>
      </c>
      <c r="D2758" t="s">
        <v>126</v>
      </c>
      <c r="E2758">
        <v>1974</v>
      </c>
      <c r="F2758" s="1">
        <v>10</v>
      </c>
      <c r="G2758">
        <v>1970</v>
      </c>
      <c r="H2758">
        <f>AVERAGEIFS(Table1[value],Table1[IndicatorCode],Table1[[#This Row],[IndicatorCode]])</f>
        <v>7.6894248608534319</v>
      </c>
      <c r="I2758" cm="1">
        <f t="array" ref="I2758">_xlfn.STDEV.P(IF(Table1[IndicatorCode]=Table1[[#This Row],[IndicatorCode]],Table1[value]))</f>
        <v>5.2319501044600996</v>
      </c>
      <c r="J2758">
        <f>(Table1[[#This Row],[value]] - Table1[[#This Row],[mean]]) / Table1[[#This Row],[std_dev]]</f>
        <v>0.44162790030754762</v>
      </c>
      <c r="K2758">
        <f>AVERAGEIF(Table1[CountryCode],Table1[[#This Row],[CountryCode]],Table1[z-score])</f>
        <v>0.21233679132661218</v>
      </c>
      <c r="L2758" t="e">
        <f>VLOOKUP(Table1[[#This Row],[CountryCode]],[1]!Table1[#Data],4,FALSE)</f>
        <v>#REF!</v>
      </c>
    </row>
    <row r="2759" spans="1:12" hidden="1" x14ac:dyDescent="0.3">
      <c r="A2759" t="s">
        <v>45</v>
      </c>
      <c r="B2759" t="s">
        <v>46</v>
      </c>
      <c r="C2759" t="s">
        <v>125</v>
      </c>
      <c r="D2759" t="s">
        <v>126</v>
      </c>
      <c r="E2759">
        <v>1975</v>
      </c>
      <c r="F2759" s="1">
        <v>9</v>
      </c>
      <c r="G2759">
        <v>1970</v>
      </c>
      <c r="H2759">
        <f>AVERAGEIFS(Table1[value],Table1[IndicatorCode],Table1[[#This Row],[IndicatorCode]])</f>
        <v>7.6894248608534319</v>
      </c>
      <c r="I2759" cm="1">
        <f t="array" ref="I2759">_xlfn.STDEV.P(IF(Table1[IndicatorCode]=Table1[[#This Row],[IndicatorCode]],Table1[value]))</f>
        <v>5.2319501044600996</v>
      </c>
      <c r="J2759">
        <f>(Table1[[#This Row],[value]] - Table1[[#This Row],[mean]]) / Table1[[#This Row],[std_dev]]</f>
        <v>0.25049457907278921</v>
      </c>
      <c r="K2759">
        <f>AVERAGEIF(Table1[CountryCode],Table1[[#This Row],[CountryCode]],Table1[z-score])</f>
        <v>0.21233679132661218</v>
      </c>
      <c r="L2759" t="e">
        <f>VLOOKUP(Table1[[#This Row],[CountryCode]],[1]!Table1[#Data],4,FALSE)</f>
        <v>#REF!</v>
      </c>
    </row>
    <row r="2760" spans="1:12" hidden="1" x14ac:dyDescent="0.3">
      <c r="A2760" t="s">
        <v>45</v>
      </c>
      <c r="B2760" t="s">
        <v>46</v>
      </c>
      <c r="C2760" t="s">
        <v>125</v>
      </c>
      <c r="D2760" t="s">
        <v>126</v>
      </c>
      <c r="E2760">
        <v>1976</v>
      </c>
      <c r="F2760" s="1">
        <v>10</v>
      </c>
      <c r="G2760">
        <v>1970</v>
      </c>
      <c r="H2760">
        <f>AVERAGEIFS(Table1[value],Table1[IndicatorCode],Table1[[#This Row],[IndicatorCode]])</f>
        <v>7.6894248608534319</v>
      </c>
      <c r="I2760" cm="1">
        <f t="array" ref="I2760">_xlfn.STDEV.P(IF(Table1[IndicatorCode]=Table1[[#This Row],[IndicatorCode]],Table1[value]))</f>
        <v>5.2319501044600996</v>
      </c>
      <c r="J2760">
        <f>(Table1[[#This Row],[value]] - Table1[[#This Row],[mean]]) / Table1[[#This Row],[std_dev]]</f>
        <v>0.44162790030754762</v>
      </c>
      <c r="K2760">
        <f>AVERAGEIF(Table1[CountryCode],Table1[[#This Row],[CountryCode]],Table1[z-score])</f>
        <v>0.21233679132661218</v>
      </c>
      <c r="L2760" t="e">
        <f>VLOOKUP(Table1[[#This Row],[CountryCode]],[1]!Table1[#Data],4,FALSE)</f>
        <v>#REF!</v>
      </c>
    </row>
    <row r="2761" spans="1:12" hidden="1" x14ac:dyDescent="0.3">
      <c r="A2761" t="s">
        <v>45</v>
      </c>
      <c r="B2761" t="s">
        <v>46</v>
      </c>
      <c r="C2761" t="s">
        <v>125</v>
      </c>
      <c r="D2761" t="s">
        <v>126</v>
      </c>
      <c r="E2761">
        <v>1977</v>
      </c>
      <c r="F2761" s="1">
        <v>9</v>
      </c>
      <c r="G2761">
        <v>1980</v>
      </c>
      <c r="H2761">
        <f>AVERAGEIFS(Table1[value],Table1[IndicatorCode],Table1[[#This Row],[IndicatorCode]])</f>
        <v>7.6894248608534319</v>
      </c>
      <c r="I2761" cm="1">
        <f t="array" ref="I2761">_xlfn.STDEV.P(IF(Table1[IndicatorCode]=Table1[[#This Row],[IndicatorCode]],Table1[value]))</f>
        <v>5.2319501044600996</v>
      </c>
      <c r="J2761">
        <f>(Table1[[#This Row],[value]] - Table1[[#This Row],[mean]]) / Table1[[#This Row],[std_dev]]</f>
        <v>0.25049457907278921</v>
      </c>
      <c r="K2761">
        <f>AVERAGEIF(Table1[CountryCode],Table1[[#This Row],[CountryCode]],Table1[z-score])</f>
        <v>0.21233679132661218</v>
      </c>
      <c r="L2761" t="e">
        <f>VLOOKUP(Table1[[#This Row],[CountryCode]],[1]!Table1[#Data],4,FALSE)</f>
        <v>#REF!</v>
      </c>
    </row>
    <row r="2762" spans="1:12" hidden="1" x14ac:dyDescent="0.3">
      <c r="A2762" t="s">
        <v>45</v>
      </c>
      <c r="B2762" t="s">
        <v>46</v>
      </c>
      <c r="C2762" t="s">
        <v>125</v>
      </c>
      <c r="D2762" t="s">
        <v>126</v>
      </c>
      <c r="E2762">
        <v>1978</v>
      </c>
      <c r="F2762" s="1">
        <v>10</v>
      </c>
      <c r="G2762">
        <v>1980</v>
      </c>
      <c r="H2762">
        <f>AVERAGEIFS(Table1[value],Table1[IndicatorCode],Table1[[#This Row],[IndicatorCode]])</f>
        <v>7.6894248608534319</v>
      </c>
      <c r="I2762" cm="1">
        <f t="array" ref="I2762">_xlfn.STDEV.P(IF(Table1[IndicatorCode]=Table1[[#This Row],[IndicatorCode]],Table1[value]))</f>
        <v>5.2319501044600996</v>
      </c>
      <c r="J2762">
        <f>(Table1[[#This Row],[value]] - Table1[[#This Row],[mean]]) / Table1[[#This Row],[std_dev]]</f>
        <v>0.44162790030754762</v>
      </c>
      <c r="K2762">
        <f>AVERAGEIF(Table1[CountryCode],Table1[[#This Row],[CountryCode]],Table1[z-score])</f>
        <v>0.21233679132661218</v>
      </c>
      <c r="L2762" t="e">
        <f>VLOOKUP(Table1[[#This Row],[CountryCode]],[1]!Table1[#Data],4,FALSE)</f>
        <v>#REF!</v>
      </c>
    </row>
    <row r="2763" spans="1:12" hidden="1" x14ac:dyDescent="0.3">
      <c r="A2763" t="s">
        <v>45</v>
      </c>
      <c r="B2763" t="s">
        <v>46</v>
      </c>
      <c r="C2763" t="s">
        <v>125</v>
      </c>
      <c r="D2763" t="s">
        <v>126</v>
      </c>
      <c r="E2763">
        <v>1979</v>
      </c>
      <c r="F2763" s="1">
        <v>10</v>
      </c>
      <c r="G2763">
        <v>1980</v>
      </c>
      <c r="H2763">
        <f>AVERAGEIFS(Table1[value],Table1[IndicatorCode],Table1[[#This Row],[IndicatorCode]])</f>
        <v>7.6894248608534319</v>
      </c>
      <c r="I2763" cm="1">
        <f t="array" ref="I2763">_xlfn.STDEV.P(IF(Table1[IndicatorCode]=Table1[[#This Row],[IndicatorCode]],Table1[value]))</f>
        <v>5.2319501044600996</v>
      </c>
      <c r="J2763">
        <f>(Table1[[#This Row],[value]] - Table1[[#This Row],[mean]]) / Table1[[#This Row],[std_dev]]</f>
        <v>0.44162790030754762</v>
      </c>
      <c r="K2763">
        <f>AVERAGEIF(Table1[CountryCode],Table1[[#This Row],[CountryCode]],Table1[z-score])</f>
        <v>0.21233679132661218</v>
      </c>
      <c r="L2763" t="e">
        <f>VLOOKUP(Table1[[#This Row],[CountryCode]],[1]!Table1[#Data],4,FALSE)</f>
        <v>#REF!</v>
      </c>
    </row>
    <row r="2764" spans="1:12" hidden="1" x14ac:dyDescent="0.3">
      <c r="A2764" t="s">
        <v>45</v>
      </c>
      <c r="B2764" t="s">
        <v>46</v>
      </c>
      <c r="C2764" t="s">
        <v>125</v>
      </c>
      <c r="D2764" t="s">
        <v>126</v>
      </c>
      <c r="E2764">
        <v>1980</v>
      </c>
      <c r="F2764" s="1">
        <v>9</v>
      </c>
      <c r="G2764">
        <v>1980</v>
      </c>
      <c r="H2764">
        <f>AVERAGEIFS(Table1[value],Table1[IndicatorCode],Table1[[#This Row],[IndicatorCode]])</f>
        <v>7.6894248608534319</v>
      </c>
      <c r="I2764" cm="1">
        <f t="array" ref="I2764">_xlfn.STDEV.P(IF(Table1[IndicatorCode]=Table1[[#This Row],[IndicatorCode]],Table1[value]))</f>
        <v>5.2319501044600996</v>
      </c>
      <c r="J2764">
        <f>(Table1[[#This Row],[value]] - Table1[[#This Row],[mean]]) / Table1[[#This Row],[std_dev]]</f>
        <v>0.25049457907278921</v>
      </c>
      <c r="K2764">
        <f>AVERAGEIF(Table1[CountryCode],Table1[[#This Row],[CountryCode]],Table1[z-score])</f>
        <v>0.21233679132661218</v>
      </c>
      <c r="L2764" t="e">
        <f>VLOOKUP(Table1[[#This Row],[CountryCode]],[1]!Table1[#Data],4,FALSE)</f>
        <v>#REF!</v>
      </c>
    </row>
    <row r="2765" spans="1:12" hidden="1" x14ac:dyDescent="0.3">
      <c r="A2765" t="s">
        <v>45</v>
      </c>
      <c r="B2765" t="s">
        <v>46</v>
      </c>
      <c r="C2765" t="s">
        <v>125</v>
      </c>
      <c r="D2765" t="s">
        <v>126</v>
      </c>
      <c r="E2765">
        <v>1981</v>
      </c>
      <c r="F2765" s="1">
        <v>8</v>
      </c>
      <c r="G2765">
        <v>1980</v>
      </c>
      <c r="H2765">
        <f>AVERAGEIFS(Table1[value],Table1[IndicatorCode],Table1[[#This Row],[IndicatorCode]])</f>
        <v>7.6894248608534319</v>
      </c>
      <c r="I2765" cm="1">
        <f t="array" ref="I2765">_xlfn.STDEV.P(IF(Table1[IndicatorCode]=Table1[[#This Row],[IndicatorCode]],Table1[value]))</f>
        <v>5.2319501044600996</v>
      </c>
      <c r="J2765">
        <f>(Table1[[#This Row],[value]] - Table1[[#This Row],[mean]]) / Table1[[#This Row],[std_dev]]</f>
        <v>5.9361257838030791E-2</v>
      </c>
      <c r="K2765">
        <f>AVERAGEIF(Table1[CountryCode],Table1[[#This Row],[CountryCode]],Table1[z-score])</f>
        <v>0.21233679132661218</v>
      </c>
      <c r="L2765" t="e">
        <f>VLOOKUP(Table1[[#This Row],[CountryCode]],[1]!Table1[#Data],4,FALSE)</f>
        <v>#REF!</v>
      </c>
    </row>
    <row r="2766" spans="1:12" hidden="1" x14ac:dyDescent="0.3">
      <c r="A2766" t="s">
        <v>45</v>
      </c>
      <c r="B2766" t="s">
        <v>46</v>
      </c>
      <c r="C2766" t="s">
        <v>125</v>
      </c>
      <c r="D2766" t="s">
        <v>126</v>
      </c>
      <c r="E2766">
        <v>1982</v>
      </c>
      <c r="F2766" s="1">
        <v>8</v>
      </c>
      <c r="G2766">
        <v>1980</v>
      </c>
      <c r="H2766">
        <f>AVERAGEIFS(Table1[value],Table1[IndicatorCode],Table1[[#This Row],[IndicatorCode]])</f>
        <v>7.6894248608534319</v>
      </c>
      <c r="I2766" cm="1">
        <f t="array" ref="I2766">_xlfn.STDEV.P(IF(Table1[IndicatorCode]=Table1[[#This Row],[IndicatorCode]],Table1[value]))</f>
        <v>5.2319501044600996</v>
      </c>
      <c r="J2766">
        <f>(Table1[[#This Row],[value]] - Table1[[#This Row],[mean]]) / Table1[[#This Row],[std_dev]]</f>
        <v>5.9361257838030791E-2</v>
      </c>
      <c r="K2766">
        <f>AVERAGEIF(Table1[CountryCode],Table1[[#This Row],[CountryCode]],Table1[z-score])</f>
        <v>0.21233679132661218</v>
      </c>
      <c r="L2766" t="e">
        <f>VLOOKUP(Table1[[#This Row],[CountryCode]],[1]!Table1[#Data],4,FALSE)</f>
        <v>#REF!</v>
      </c>
    </row>
    <row r="2767" spans="1:12" hidden="1" x14ac:dyDescent="0.3">
      <c r="A2767" t="s">
        <v>45</v>
      </c>
      <c r="B2767" t="s">
        <v>46</v>
      </c>
      <c r="C2767" t="s">
        <v>125</v>
      </c>
      <c r="D2767" t="s">
        <v>126</v>
      </c>
      <c r="E2767">
        <v>1983</v>
      </c>
      <c r="F2767" s="1">
        <v>7</v>
      </c>
      <c r="G2767">
        <v>1980</v>
      </c>
      <c r="H2767">
        <f>AVERAGEIFS(Table1[value],Table1[IndicatorCode],Table1[[#This Row],[IndicatorCode]])</f>
        <v>7.6894248608534319</v>
      </c>
      <c r="I2767" cm="1">
        <f t="array" ref="I2767">_xlfn.STDEV.P(IF(Table1[IndicatorCode]=Table1[[#This Row],[IndicatorCode]],Table1[value]))</f>
        <v>5.2319501044600996</v>
      </c>
      <c r="J2767">
        <f>(Table1[[#This Row],[value]] - Table1[[#This Row],[mean]]) / Table1[[#This Row],[std_dev]]</f>
        <v>-0.13177206339672762</v>
      </c>
      <c r="K2767">
        <f>AVERAGEIF(Table1[CountryCode],Table1[[#This Row],[CountryCode]],Table1[z-score])</f>
        <v>0.21233679132661218</v>
      </c>
      <c r="L2767" t="e">
        <f>VLOOKUP(Table1[[#This Row],[CountryCode]],[1]!Table1[#Data],4,FALSE)</f>
        <v>#REF!</v>
      </c>
    </row>
    <row r="2768" spans="1:12" hidden="1" x14ac:dyDescent="0.3">
      <c r="A2768" t="s">
        <v>45</v>
      </c>
      <c r="B2768" t="s">
        <v>46</v>
      </c>
      <c r="C2768" t="s">
        <v>125</v>
      </c>
      <c r="D2768" t="s">
        <v>126</v>
      </c>
      <c r="E2768">
        <v>1984</v>
      </c>
      <c r="F2768" s="1">
        <v>7</v>
      </c>
      <c r="G2768">
        <v>1980</v>
      </c>
      <c r="H2768">
        <f>AVERAGEIFS(Table1[value],Table1[IndicatorCode],Table1[[#This Row],[IndicatorCode]])</f>
        <v>7.6894248608534319</v>
      </c>
      <c r="I2768" cm="1">
        <f t="array" ref="I2768">_xlfn.STDEV.P(IF(Table1[IndicatorCode]=Table1[[#This Row],[IndicatorCode]],Table1[value]))</f>
        <v>5.2319501044600996</v>
      </c>
      <c r="J2768">
        <f>(Table1[[#This Row],[value]] - Table1[[#This Row],[mean]]) / Table1[[#This Row],[std_dev]]</f>
        <v>-0.13177206339672762</v>
      </c>
      <c r="K2768">
        <f>AVERAGEIF(Table1[CountryCode],Table1[[#This Row],[CountryCode]],Table1[z-score])</f>
        <v>0.21233679132661218</v>
      </c>
      <c r="L2768" t="e">
        <f>VLOOKUP(Table1[[#This Row],[CountryCode]],[1]!Table1[#Data],4,FALSE)</f>
        <v>#REF!</v>
      </c>
    </row>
    <row r="2769" spans="1:12" hidden="1" x14ac:dyDescent="0.3">
      <c r="A2769" t="s">
        <v>45</v>
      </c>
      <c r="B2769" t="s">
        <v>46</v>
      </c>
      <c r="C2769" t="s">
        <v>125</v>
      </c>
      <c r="D2769" t="s">
        <v>126</v>
      </c>
      <c r="E2769">
        <v>1985</v>
      </c>
      <c r="F2769" s="1">
        <v>7</v>
      </c>
      <c r="G2769">
        <v>1980</v>
      </c>
      <c r="H2769">
        <f>AVERAGEIFS(Table1[value],Table1[IndicatorCode],Table1[[#This Row],[IndicatorCode]])</f>
        <v>7.6894248608534319</v>
      </c>
      <c r="I2769" cm="1">
        <f t="array" ref="I2769">_xlfn.STDEV.P(IF(Table1[IndicatorCode]=Table1[[#This Row],[IndicatorCode]],Table1[value]))</f>
        <v>5.2319501044600996</v>
      </c>
      <c r="J2769">
        <f>(Table1[[#This Row],[value]] - Table1[[#This Row],[mean]]) / Table1[[#This Row],[std_dev]]</f>
        <v>-0.13177206339672762</v>
      </c>
      <c r="K2769">
        <f>AVERAGEIF(Table1[CountryCode],Table1[[#This Row],[CountryCode]],Table1[z-score])</f>
        <v>0.21233679132661218</v>
      </c>
      <c r="L2769" t="e">
        <f>VLOOKUP(Table1[[#This Row],[CountryCode]],[1]!Table1[#Data],4,FALSE)</f>
        <v>#REF!</v>
      </c>
    </row>
    <row r="2770" spans="1:12" hidden="1" x14ac:dyDescent="0.3">
      <c r="A2770" t="s">
        <v>45</v>
      </c>
      <c r="B2770" t="s">
        <v>46</v>
      </c>
      <c r="C2770" t="s">
        <v>125</v>
      </c>
      <c r="D2770" t="s">
        <v>126</v>
      </c>
      <c r="E2770">
        <v>1986</v>
      </c>
      <c r="F2770" s="1">
        <v>7</v>
      </c>
      <c r="G2770">
        <v>1980</v>
      </c>
      <c r="H2770">
        <f>AVERAGEIFS(Table1[value],Table1[IndicatorCode],Table1[[#This Row],[IndicatorCode]])</f>
        <v>7.6894248608534319</v>
      </c>
      <c r="I2770" cm="1">
        <f t="array" ref="I2770">_xlfn.STDEV.P(IF(Table1[IndicatorCode]=Table1[[#This Row],[IndicatorCode]],Table1[value]))</f>
        <v>5.2319501044600996</v>
      </c>
      <c r="J2770">
        <f>(Table1[[#This Row],[value]] - Table1[[#This Row],[mean]]) / Table1[[#This Row],[std_dev]]</f>
        <v>-0.13177206339672762</v>
      </c>
      <c r="K2770">
        <f>AVERAGEIF(Table1[CountryCode],Table1[[#This Row],[CountryCode]],Table1[z-score])</f>
        <v>0.21233679132661218</v>
      </c>
      <c r="L2770" t="e">
        <f>VLOOKUP(Table1[[#This Row],[CountryCode]],[1]!Table1[#Data],4,FALSE)</f>
        <v>#REF!</v>
      </c>
    </row>
    <row r="2771" spans="1:12" hidden="1" x14ac:dyDescent="0.3">
      <c r="A2771" t="s">
        <v>45</v>
      </c>
      <c r="B2771" t="s">
        <v>46</v>
      </c>
      <c r="C2771" t="s">
        <v>125</v>
      </c>
      <c r="D2771" t="s">
        <v>126</v>
      </c>
      <c r="E2771">
        <v>1987</v>
      </c>
      <c r="F2771" s="1">
        <v>7</v>
      </c>
      <c r="G2771">
        <v>1990</v>
      </c>
      <c r="H2771">
        <f>AVERAGEIFS(Table1[value],Table1[IndicatorCode],Table1[[#This Row],[IndicatorCode]])</f>
        <v>7.6894248608534319</v>
      </c>
      <c r="I2771" cm="1">
        <f t="array" ref="I2771">_xlfn.STDEV.P(IF(Table1[IndicatorCode]=Table1[[#This Row],[IndicatorCode]],Table1[value]))</f>
        <v>5.2319501044600996</v>
      </c>
      <c r="J2771">
        <f>(Table1[[#This Row],[value]] - Table1[[#This Row],[mean]]) / Table1[[#This Row],[std_dev]]</f>
        <v>-0.13177206339672762</v>
      </c>
      <c r="K2771">
        <f>AVERAGEIF(Table1[CountryCode],Table1[[#This Row],[CountryCode]],Table1[z-score])</f>
        <v>0.21233679132661218</v>
      </c>
      <c r="L2771" t="e">
        <f>VLOOKUP(Table1[[#This Row],[CountryCode]],[1]!Table1[#Data],4,FALSE)</f>
        <v>#REF!</v>
      </c>
    </row>
    <row r="2772" spans="1:12" hidden="1" x14ac:dyDescent="0.3">
      <c r="A2772" t="s">
        <v>45</v>
      </c>
      <c r="B2772" t="s">
        <v>46</v>
      </c>
      <c r="C2772" t="s">
        <v>125</v>
      </c>
      <c r="D2772" t="s">
        <v>126</v>
      </c>
      <c r="E2772">
        <v>1988</v>
      </c>
      <c r="F2772" s="1">
        <v>7</v>
      </c>
      <c r="G2772">
        <v>1990</v>
      </c>
      <c r="H2772">
        <f>AVERAGEIFS(Table1[value],Table1[IndicatorCode],Table1[[#This Row],[IndicatorCode]])</f>
        <v>7.6894248608534319</v>
      </c>
      <c r="I2772" cm="1">
        <f t="array" ref="I2772">_xlfn.STDEV.P(IF(Table1[IndicatorCode]=Table1[[#This Row],[IndicatorCode]],Table1[value]))</f>
        <v>5.2319501044600996</v>
      </c>
      <c r="J2772">
        <f>(Table1[[#This Row],[value]] - Table1[[#This Row],[mean]]) / Table1[[#This Row],[std_dev]]</f>
        <v>-0.13177206339672762</v>
      </c>
      <c r="K2772">
        <f>AVERAGEIF(Table1[CountryCode],Table1[[#This Row],[CountryCode]],Table1[z-score])</f>
        <v>0.21233679132661218</v>
      </c>
      <c r="L2772" t="e">
        <f>VLOOKUP(Table1[[#This Row],[CountryCode]],[1]!Table1[#Data],4,FALSE)</f>
        <v>#REF!</v>
      </c>
    </row>
    <row r="2773" spans="1:12" hidden="1" x14ac:dyDescent="0.3">
      <c r="A2773" t="s">
        <v>45</v>
      </c>
      <c r="B2773" t="s">
        <v>46</v>
      </c>
      <c r="C2773" t="s">
        <v>125</v>
      </c>
      <c r="D2773" t="s">
        <v>126</v>
      </c>
      <c r="E2773">
        <v>1989</v>
      </c>
      <c r="F2773" s="1">
        <v>7</v>
      </c>
      <c r="G2773">
        <v>1990</v>
      </c>
      <c r="H2773">
        <f>AVERAGEIFS(Table1[value],Table1[IndicatorCode],Table1[[#This Row],[IndicatorCode]])</f>
        <v>7.6894248608534319</v>
      </c>
      <c r="I2773" cm="1">
        <f t="array" ref="I2773">_xlfn.STDEV.P(IF(Table1[IndicatorCode]=Table1[[#This Row],[IndicatorCode]],Table1[value]))</f>
        <v>5.2319501044600996</v>
      </c>
      <c r="J2773">
        <f>(Table1[[#This Row],[value]] - Table1[[#This Row],[mean]]) / Table1[[#This Row],[std_dev]]</f>
        <v>-0.13177206339672762</v>
      </c>
      <c r="K2773">
        <f>AVERAGEIF(Table1[CountryCode],Table1[[#This Row],[CountryCode]],Table1[z-score])</f>
        <v>0.21233679132661218</v>
      </c>
      <c r="L2773" t="e">
        <f>VLOOKUP(Table1[[#This Row],[CountryCode]],[1]!Table1[#Data],4,FALSE)</f>
        <v>#REF!</v>
      </c>
    </row>
    <row r="2774" spans="1:12" hidden="1" x14ac:dyDescent="0.3">
      <c r="A2774" t="s">
        <v>45</v>
      </c>
      <c r="B2774" t="s">
        <v>46</v>
      </c>
      <c r="C2774" t="s">
        <v>125</v>
      </c>
      <c r="D2774" t="s">
        <v>126</v>
      </c>
      <c r="E2774">
        <v>1990</v>
      </c>
      <c r="F2774" s="1">
        <v>7</v>
      </c>
      <c r="G2774">
        <v>1990</v>
      </c>
      <c r="H2774">
        <f>AVERAGEIFS(Table1[value],Table1[IndicatorCode],Table1[[#This Row],[IndicatorCode]])</f>
        <v>7.6894248608534319</v>
      </c>
      <c r="I2774" cm="1">
        <f t="array" ref="I2774">_xlfn.STDEV.P(IF(Table1[IndicatorCode]=Table1[[#This Row],[IndicatorCode]],Table1[value]))</f>
        <v>5.2319501044600996</v>
      </c>
      <c r="J2774">
        <f>(Table1[[#This Row],[value]] - Table1[[#This Row],[mean]]) / Table1[[#This Row],[std_dev]]</f>
        <v>-0.13177206339672762</v>
      </c>
      <c r="K2774">
        <f>AVERAGEIF(Table1[CountryCode],Table1[[#This Row],[CountryCode]],Table1[z-score])</f>
        <v>0.21233679132661218</v>
      </c>
      <c r="L2774" t="e">
        <f>VLOOKUP(Table1[[#This Row],[CountryCode]],[1]!Table1[#Data],4,FALSE)</f>
        <v>#REF!</v>
      </c>
    </row>
    <row r="2775" spans="1:12" hidden="1" x14ac:dyDescent="0.3">
      <c r="A2775" t="s">
        <v>45</v>
      </c>
      <c r="B2775" t="s">
        <v>46</v>
      </c>
      <c r="C2775" t="s">
        <v>125</v>
      </c>
      <c r="D2775" t="s">
        <v>126</v>
      </c>
      <c r="E2775">
        <v>1991</v>
      </c>
      <c r="F2775" s="1">
        <v>7</v>
      </c>
      <c r="G2775">
        <v>1990</v>
      </c>
      <c r="H2775">
        <f>AVERAGEIFS(Table1[value],Table1[IndicatorCode],Table1[[#This Row],[IndicatorCode]])</f>
        <v>7.6894248608534319</v>
      </c>
      <c r="I2775" cm="1">
        <f t="array" ref="I2775">_xlfn.STDEV.P(IF(Table1[IndicatorCode]=Table1[[#This Row],[IndicatorCode]],Table1[value]))</f>
        <v>5.2319501044600996</v>
      </c>
      <c r="J2775">
        <f>(Table1[[#This Row],[value]] - Table1[[#This Row],[mean]]) / Table1[[#This Row],[std_dev]]</f>
        <v>-0.13177206339672762</v>
      </c>
      <c r="K2775">
        <f>AVERAGEIF(Table1[CountryCode],Table1[[#This Row],[CountryCode]],Table1[z-score])</f>
        <v>0.21233679132661218</v>
      </c>
      <c r="L2775" t="e">
        <f>VLOOKUP(Table1[[#This Row],[CountryCode]],[1]!Table1[#Data],4,FALSE)</f>
        <v>#REF!</v>
      </c>
    </row>
    <row r="2776" spans="1:12" hidden="1" x14ac:dyDescent="0.3">
      <c r="A2776" t="s">
        <v>45</v>
      </c>
      <c r="B2776" t="s">
        <v>46</v>
      </c>
      <c r="C2776" t="s">
        <v>125</v>
      </c>
      <c r="D2776" t="s">
        <v>126</v>
      </c>
      <c r="E2776">
        <v>1992</v>
      </c>
      <c r="F2776" s="1">
        <v>7</v>
      </c>
      <c r="G2776">
        <v>1990</v>
      </c>
      <c r="H2776">
        <f>AVERAGEIFS(Table1[value],Table1[IndicatorCode],Table1[[#This Row],[IndicatorCode]])</f>
        <v>7.6894248608534319</v>
      </c>
      <c r="I2776" cm="1">
        <f t="array" ref="I2776">_xlfn.STDEV.P(IF(Table1[IndicatorCode]=Table1[[#This Row],[IndicatorCode]],Table1[value]))</f>
        <v>5.2319501044600996</v>
      </c>
      <c r="J2776">
        <f>(Table1[[#This Row],[value]] - Table1[[#This Row],[mean]]) / Table1[[#This Row],[std_dev]]</f>
        <v>-0.13177206339672762</v>
      </c>
      <c r="K2776">
        <f>AVERAGEIF(Table1[CountryCode],Table1[[#This Row],[CountryCode]],Table1[z-score])</f>
        <v>0.21233679132661218</v>
      </c>
      <c r="L2776" t="e">
        <f>VLOOKUP(Table1[[#This Row],[CountryCode]],[1]!Table1[#Data],4,FALSE)</f>
        <v>#REF!</v>
      </c>
    </row>
    <row r="2777" spans="1:12" hidden="1" x14ac:dyDescent="0.3">
      <c r="A2777" t="s">
        <v>45</v>
      </c>
      <c r="B2777" t="s">
        <v>46</v>
      </c>
      <c r="C2777" t="s">
        <v>125</v>
      </c>
      <c r="D2777" t="s">
        <v>126</v>
      </c>
      <c r="E2777">
        <v>1993</v>
      </c>
      <c r="F2777" s="1">
        <v>6</v>
      </c>
      <c r="G2777">
        <v>1990</v>
      </c>
      <c r="H2777">
        <f>AVERAGEIFS(Table1[value],Table1[IndicatorCode],Table1[[#This Row],[IndicatorCode]])</f>
        <v>7.6894248608534319</v>
      </c>
      <c r="I2777" cm="1">
        <f t="array" ref="I2777">_xlfn.STDEV.P(IF(Table1[IndicatorCode]=Table1[[#This Row],[IndicatorCode]],Table1[value]))</f>
        <v>5.2319501044600996</v>
      </c>
      <c r="J2777">
        <f>(Table1[[#This Row],[value]] - Table1[[#This Row],[mean]]) / Table1[[#This Row],[std_dev]]</f>
        <v>-0.32290538463148605</v>
      </c>
      <c r="K2777">
        <f>AVERAGEIF(Table1[CountryCode],Table1[[#This Row],[CountryCode]],Table1[z-score])</f>
        <v>0.21233679132661218</v>
      </c>
      <c r="L2777" t="e">
        <f>VLOOKUP(Table1[[#This Row],[CountryCode]],[1]!Table1[#Data],4,FALSE)</f>
        <v>#REF!</v>
      </c>
    </row>
    <row r="2778" spans="1:12" hidden="1" x14ac:dyDescent="0.3">
      <c r="A2778" t="s">
        <v>45</v>
      </c>
      <c r="B2778" t="s">
        <v>46</v>
      </c>
      <c r="C2778" t="s">
        <v>125</v>
      </c>
      <c r="D2778" t="s">
        <v>126</v>
      </c>
      <c r="E2778">
        <v>1994</v>
      </c>
      <c r="F2778" s="1">
        <v>6</v>
      </c>
      <c r="G2778">
        <v>1990</v>
      </c>
      <c r="H2778">
        <f>AVERAGEIFS(Table1[value],Table1[IndicatorCode],Table1[[#This Row],[IndicatorCode]])</f>
        <v>7.6894248608534319</v>
      </c>
      <c r="I2778" cm="1">
        <f t="array" ref="I2778">_xlfn.STDEV.P(IF(Table1[IndicatorCode]=Table1[[#This Row],[IndicatorCode]],Table1[value]))</f>
        <v>5.2319501044600996</v>
      </c>
      <c r="J2778">
        <f>(Table1[[#This Row],[value]] - Table1[[#This Row],[mean]]) / Table1[[#This Row],[std_dev]]</f>
        <v>-0.32290538463148605</v>
      </c>
      <c r="K2778">
        <f>AVERAGEIF(Table1[CountryCode],Table1[[#This Row],[CountryCode]],Table1[z-score])</f>
        <v>0.21233679132661218</v>
      </c>
      <c r="L2778" t="e">
        <f>VLOOKUP(Table1[[#This Row],[CountryCode]],[1]!Table1[#Data],4,FALSE)</f>
        <v>#REF!</v>
      </c>
    </row>
    <row r="2779" spans="1:12" hidden="1" x14ac:dyDescent="0.3">
      <c r="A2779" t="s">
        <v>45</v>
      </c>
      <c r="B2779" t="s">
        <v>46</v>
      </c>
      <c r="C2779" t="s">
        <v>125</v>
      </c>
      <c r="D2779" t="s">
        <v>126</v>
      </c>
      <c r="E2779">
        <v>1995</v>
      </c>
      <c r="F2779" s="1">
        <v>6</v>
      </c>
      <c r="G2779">
        <v>1990</v>
      </c>
      <c r="H2779">
        <f>AVERAGEIFS(Table1[value],Table1[IndicatorCode],Table1[[#This Row],[IndicatorCode]])</f>
        <v>7.6894248608534319</v>
      </c>
      <c r="I2779" cm="1">
        <f t="array" ref="I2779">_xlfn.STDEV.P(IF(Table1[IndicatorCode]=Table1[[#This Row],[IndicatorCode]],Table1[value]))</f>
        <v>5.2319501044600996</v>
      </c>
      <c r="J2779">
        <f>(Table1[[#This Row],[value]] - Table1[[#This Row],[mean]]) / Table1[[#This Row],[std_dev]]</f>
        <v>-0.32290538463148605</v>
      </c>
      <c r="K2779">
        <f>AVERAGEIF(Table1[CountryCode],Table1[[#This Row],[CountryCode]],Table1[z-score])</f>
        <v>0.21233679132661218</v>
      </c>
      <c r="L2779" t="e">
        <f>VLOOKUP(Table1[[#This Row],[CountryCode]],[1]!Table1[#Data],4,FALSE)</f>
        <v>#REF!</v>
      </c>
    </row>
    <row r="2780" spans="1:12" hidden="1" x14ac:dyDescent="0.3">
      <c r="A2780" t="s">
        <v>45</v>
      </c>
      <c r="B2780" t="s">
        <v>46</v>
      </c>
      <c r="C2780" t="s">
        <v>125</v>
      </c>
      <c r="D2780" t="s">
        <v>126</v>
      </c>
      <c r="E2780">
        <v>1996</v>
      </c>
      <c r="F2780" s="1">
        <v>7</v>
      </c>
      <c r="G2780">
        <v>1990</v>
      </c>
      <c r="H2780">
        <f>AVERAGEIFS(Table1[value],Table1[IndicatorCode],Table1[[#This Row],[IndicatorCode]])</f>
        <v>7.6894248608534319</v>
      </c>
      <c r="I2780" cm="1">
        <f t="array" ref="I2780">_xlfn.STDEV.P(IF(Table1[IndicatorCode]=Table1[[#This Row],[IndicatorCode]],Table1[value]))</f>
        <v>5.2319501044600996</v>
      </c>
      <c r="J2780">
        <f>(Table1[[#This Row],[value]] - Table1[[#This Row],[mean]]) / Table1[[#This Row],[std_dev]]</f>
        <v>-0.13177206339672762</v>
      </c>
      <c r="K2780">
        <f>AVERAGEIF(Table1[CountryCode],Table1[[#This Row],[CountryCode]],Table1[z-score])</f>
        <v>0.21233679132661218</v>
      </c>
      <c r="L2780" t="e">
        <f>VLOOKUP(Table1[[#This Row],[CountryCode]],[1]!Table1[#Data],4,FALSE)</f>
        <v>#REF!</v>
      </c>
    </row>
    <row r="2781" spans="1:12" hidden="1" x14ac:dyDescent="0.3">
      <c r="A2781" t="s">
        <v>45</v>
      </c>
      <c r="B2781" t="s">
        <v>46</v>
      </c>
      <c r="C2781" t="s">
        <v>125</v>
      </c>
      <c r="D2781" t="s">
        <v>126</v>
      </c>
      <c r="E2781">
        <v>1997</v>
      </c>
      <c r="F2781" s="1">
        <v>6</v>
      </c>
      <c r="G2781">
        <v>2000</v>
      </c>
      <c r="H2781">
        <f>AVERAGEIFS(Table1[value],Table1[IndicatorCode],Table1[[#This Row],[IndicatorCode]])</f>
        <v>7.6894248608534319</v>
      </c>
      <c r="I2781" cm="1">
        <f t="array" ref="I2781">_xlfn.STDEV.P(IF(Table1[IndicatorCode]=Table1[[#This Row],[IndicatorCode]],Table1[value]))</f>
        <v>5.2319501044600996</v>
      </c>
      <c r="J2781">
        <f>(Table1[[#This Row],[value]] - Table1[[#This Row],[mean]]) / Table1[[#This Row],[std_dev]]</f>
        <v>-0.32290538463148605</v>
      </c>
      <c r="K2781">
        <f>AVERAGEIF(Table1[CountryCode],Table1[[#This Row],[CountryCode]],Table1[z-score])</f>
        <v>0.21233679132661218</v>
      </c>
      <c r="L2781" t="e">
        <f>VLOOKUP(Table1[[#This Row],[CountryCode]],[1]!Table1[#Data],4,FALSE)</f>
        <v>#REF!</v>
      </c>
    </row>
    <row r="2782" spans="1:12" hidden="1" x14ac:dyDescent="0.3">
      <c r="A2782" t="s">
        <v>45</v>
      </c>
      <c r="B2782" t="s">
        <v>46</v>
      </c>
      <c r="C2782" t="s">
        <v>125</v>
      </c>
      <c r="D2782" t="s">
        <v>126</v>
      </c>
      <c r="E2782">
        <v>1998</v>
      </c>
      <c r="F2782" s="1">
        <v>7</v>
      </c>
      <c r="G2782">
        <v>2000</v>
      </c>
      <c r="H2782">
        <f>AVERAGEIFS(Table1[value],Table1[IndicatorCode],Table1[[#This Row],[IndicatorCode]])</f>
        <v>7.6894248608534319</v>
      </c>
      <c r="I2782" cm="1">
        <f t="array" ref="I2782">_xlfn.STDEV.P(IF(Table1[IndicatorCode]=Table1[[#This Row],[IndicatorCode]],Table1[value]))</f>
        <v>5.2319501044600996</v>
      </c>
      <c r="J2782">
        <f>(Table1[[#This Row],[value]] - Table1[[#This Row],[mean]]) / Table1[[#This Row],[std_dev]]</f>
        <v>-0.13177206339672762</v>
      </c>
      <c r="K2782">
        <f>AVERAGEIF(Table1[CountryCode],Table1[[#This Row],[CountryCode]],Table1[z-score])</f>
        <v>0.21233679132661218</v>
      </c>
      <c r="L2782" t="e">
        <f>VLOOKUP(Table1[[#This Row],[CountryCode]],[1]!Table1[#Data],4,FALSE)</f>
        <v>#REF!</v>
      </c>
    </row>
    <row r="2783" spans="1:12" hidden="1" x14ac:dyDescent="0.3">
      <c r="A2783" t="s">
        <v>45</v>
      </c>
      <c r="B2783" t="s">
        <v>46</v>
      </c>
      <c r="C2783" t="s">
        <v>125</v>
      </c>
      <c r="D2783" t="s">
        <v>126</v>
      </c>
      <c r="E2783">
        <v>1999</v>
      </c>
      <c r="F2783" s="1">
        <v>7</v>
      </c>
      <c r="G2783">
        <v>2000</v>
      </c>
      <c r="H2783">
        <f>AVERAGEIFS(Table1[value],Table1[IndicatorCode],Table1[[#This Row],[IndicatorCode]])</f>
        <v>7.6894248608534319</v>
      </c>
      <c r="I2783" cm="1">
        <f t="array" ref="I2783">_xlfn.STDEV.P(IF(Table1[IndicatorCode]=Table1[[#This Row],[IndicatorCode]],Table1[value]))</f>
        <v>5.2319501044600996</v>
      </c>
      <c r="J2783">
        <f>(Table1[[#This Row],[value]] - Table1[[#This Row],[mean]]) / Table1[[#This Row],[std_dev]]</f>
        <v>-0.13177206339672762</v>
      </c>
      <c r="K2783">
        <f>AVERAGEIF(Table1[CountryCode],Table1[[#This Row],[CountryCode]],Table1[z-score])</f>
        <v>0.21233679132661218</v>
      </c>
      <c r="L2783" t="e">
        <f>VLOOKUP(Table1[[#This Row],[CountryCode]],[1]!Table1[#Data],4,FALSE)</f>
        <v>#REF!</v>
      </c>
    </row>
    <row r="2784" spans="1:12" hidden="1" x14ac:dyDescent="0.3">
      <c r="A2784" t="s">
        <v>45</v>
      </c>
      <c r="B2784" t="s">
        <v>46</v>
      </c>
      <c r="C2784" t="s">
        <v>125</v>
      </c>
      <c r="D2784" t="s">
        <v>126</v>
      </c>
      <c r="E2784">
        <v>2000</v>
      </c>
      <c r="F2784" s="1">
        <v>7</v>
      </c>
      <c r="G2784">
        <v>2000</v>
      </c>
      <c r="H2784">
        <f>AVERAGEIFS(Table1[value],Table1[IndicatorCode],Table1[[#This Row],[IndicatorCode]])</f>
        <v>7.6894248608534319</v>
      </c>
      <c r="I2784" cm="1">
        <f t="array" ref="I2784">_xlfn.STDEV.P(IF(Table1[IndicatorCode]=Table1[[#This Row],[IndicatorCode]],Table1[value]))</f>
        <v>5.2319501044600996</v>
      </c>
      <c r="J2784">
        <f>(Table1[[#This Row],[value]] - Table1[[#This Row],[mean]]) / Table1[[#This Row],[std_dev]]</f>
        <v>-0.13177206339672762</v>
      </c>
      <c r="K2784">
        <f>AVERAGEIF(Table1[CountryCode],Table1[[#This Row],[CountryCode]],Table1[z-score])</f>
        <v>0.21233679132661218</v>
      </c>
      <c r="L2784" t="e">
        <f>VLOOKUP(Table1[[#This Row],[CountryCode]],[1]!Table1[#Data],4,FALSE)</f>
        <v>#REF!</v>
      </c>
    </row>
    <row r="2785" spans="1:12" hidden="1" x14ac:dyDescent="0.3">
      <c r="A2785" t="s">
        <v>45</v>
      </c>
      <c r="B2785" t="s">
        <v>46</v>
      </c>
      <c r="C2785" t="s">
        <v>125</v>
      </c>
      <c r="D2785" t="s">
        <v>126</v>
      </c>
      <c r="E2785">
        <v>2001</v>
      </c>
      <c r="F2785" s="1">
        <v>7</v>
      </c>
      <c r="G2785">
        <v>2000</v>
      </c>
      <c r="H2785">
        <f>AVERAGEIFS(Table1[value],Table1[IndicatorCode],Table1[[#This Row],[IndicatorCode]])</f>
        <v>7.6894248608534319</v>
      </c>
      <c r="I2785" cm="1">
        <f t="array" ref="I2785">_xlfn.STDEV.P(IF(Table1[IndicatorCode]=Table1[[#This Row],[IndicatorCode]],Table1[value]))</f>
        <v>5.2319501044600996</v>
      </c>
      <c r="J2785">
        <f>(Table1[[#This Row],[value]] - Table1[[#This Row],[mean]]) / Table1[[#This Row],[std_dev]]</f>
        <v>-0.13177206339672762</v>
      </c>
      <c r="K2785">
        <f>AVERAGEIF(Table1[CountryCode],Table1[[#This Row],[CountryCode]],Table1[z-score])</f>
        <v>0.21233679132661218</v>
      </c>
      <c r="L2785" t="e">
        <f>VLOOKUP(Table1[[#This Row],[CountryCode]],[1]!Table1[#Data],4,FALSE)</f>
        <v>#REF!</v>
      </c>
    </row>
    <row r="2786" spans="1:12" hidden="1" x14ac:dyDescent="0.3">
      <c r="A2786" t="s">
        <v>45</v>
      </c>
      <c r="B2786" t="s">
        <v>46</v>
      </c>
      <c r="C2786" t="s">
        <v>125</v>
      </c>
      <c r="D2786" t="s">
        <v>126</v>
      </c>
      <c r="E2786">
        <v>2002</v>
      </c>
      <c r="F2786" s="1">
        <v>6</v>
      </c>
      <c r="G2786">
        <v>2000</v>
      </c>
      <c r="H2786">
        <f>AVERAGEIFS(Table1[value],Table1[IndicatorCode],Table1[[#This Row],[IndicatorCode]])</f>
        <v>7.6894248608534319</v>
      </c>
      <c r="I2786" cm="1">
        <f t="array" ref="I2786">_xlfn.STDEV.P(IF(Table1[IndicatorCode]=Table1[[#This Row],[IndicatorCode]],Table1[value]))</f>
        <v>5.2319501044600996</v>
      </c>
      <c r="J2786">
        <f>(Table1[[#This Row],[value]] - Table1[[#This Row],[mean]]) / Table1[[#This Row],[std_dev]]</f>
        <v>-0.32290538463148605</v>
      </c>
      <c r="K2786">
        <f>AVERAGEIF(Table1[CountryCode],Table1[[#This Row],[CountryCode]],Table1[z-score])</f>
        <v>0.21233679132661218</v>
      </c>
      <c r="L2786" t="e">
        <f>VLOOKUP(Table1[[#This Row],[CountryCode]],[1]!Table1[#Data],4,FALSE)</f>
        <v>#REF!</v>
      </c>
    </row>
    <row r="2787" spans="1:12" hidden="1" x14ac:dyDescent="0.3">
      <c r="A2787" t="s">
        <v>45</v>
      </c>
      <c r="B2787" t="s">
        <v>46</v>
      </c>
      <c r="C2787" t="s">
        <v>125</v>
      </c>
      <c r="D2787" t="s">
        <v>126</v>
      </c>
      <c r="E2787">
        <v>2003</v>
      </c>
      <c r="F2787" s="1">
        <v>6</v>
      </c>
      <c r="G2787">
        <v>2000</v>
      </c>
      <c r="H2787">
        <f>AVERAGEIFS(Table1[value],Table1[IndicatorCode],Table1[[#This Row],[IndicatorCode]])</f>
        <v>7.6894248608534319</v>
      </c>
      <c r="I2787" cm="1">
        <f t="array" ref="I2787">_xlfn.STDEV.P(IF(Table1[IndicatorCode]=Table1[[#This Row],[IndicatorCode]],Table1[value]))</f>
        <v>5.2319501044600996</v>
      </c>
      <c r="J2787">
        <f>(Table1[[#This Row],[value]] - Table1[[#This Row],[mean]]) / Table1[[#This Row],[std_dev]]</f>
        <v>-0.32290538463148605</v>
      </c>
      <c r="K2787">
        <f>AVERAGEIF(Table1[CountryCode],Table1[[#This Row],[CountryCode]],Table1[z-score])</f>
        <v>0.21233679132661218</v>
      </c>
      <c r="L2787" t="e">
        <f>VLOOKUP(Table1[[#This Row],[CountryCode]],[1]!Table1[#Data],4,FALSE)</f>
        <v>#REF!</v>
      </c>
    </row>
    <row r="2788" spans="1:12" hidden="1" x14ac:dyDescent="0.3">
      <c r="A2788" t="s">
        <v>45</v>
      </c>
      <c r="B2788" t="s">
        <v>46</v>
      </c>
      <c r="C2788" t="s">
        <v>125</v>
      </c>
      <c r="D2788" t="s">
        <v>126</v>
      </c>
      <c r="E2788">
        <v>2004</v>
      </c>
      <c r="F2788" s="1">
        <v>6</v>
      </c>
      <c r="G2788">
        <v>2000</v>
      </c>
      <c r="H2788">
        <f>AVERAGEIFS(Table1[value],Table1[IndicatorCode],Table1[[#This Row],[IndicatorCode]])</f>
        <v>7.6894248608534319</v>
      </c>
      <c r="I2788" cm="1">
        <f t="array" ref="I2788">_xlfn.STDEV.P(IF(Table1[IndicatorCode]=Table1[[#This Row],[IndicatorCode]],Table1[value]))</f>
        <v>5.2319501044600996</v>
      </c>
      <c r="J2788">
        <f>(Table1[[#This Row],[value]] - Table1[[#This Row],[mean]]) / Table1[[#This Row],[std_dev]]</f>
        <v>-0.32290538463148605</v>
      </c>
      <c r="K2788">
        <f>AVERAGEIF(Table1[CountryCode],Table1[[#This Row],[CountryCode]],Table1[z-score])</f>
        <v>0.21233679132661218</v>
      </c>
      <c r="L2788" t="e">
        <f>VLOOKUP(Table1[[#This Row],[CountryCode]],[1]!Table1[#Data],4,FALSE)</f>
        <v>#REF!</v>
      </c>
    </row>
    <row r="2789" spans="1:12" hidden="1" x14ac:dyDescent="0.3">
      <c r="A2789" t="s">
        <v>45</v>
      </c>
      <c r="B2789" t="s">
        <v>46</v>
      </c>
      <c r="C2789" t="s">
        <v>125</v>
      </c>
      <c r="D2789" t="s">
        <v>126</v>
      </c>
      <c r="E2789">
        <v>2005</v>
      </c>
      <c r="F2789" s="1">
        <v>6</v>
      </c>
      <c r="G2789">
        <v>2000</v>
      </c>
      <c r="H2789">
        <f>AVERAGEIFS(Table1[value],Table1[IndicatorCode],Table1[[#This Row],[IndicatorCode]])</f>
        <v>7.6894248608534319</v>
      </c>
      <c r="I2789" cm="1">
        <f t="array" ref="I2789">_xlfn.STDEV.P(IF(Table1[IndicatorCode]=Table1[[#This Row],[IndicatorCode]],Table1[value]))</f>
        <v>5.2319501044600996</v>
      </c>
      <c r="J2789">
        <f>(Table1[[#This Row],[value]] - Table1[[#This Row],[mean]]) / Table1[[#This Row],[std_dev]]</f>
        <v>-0.32290538463148605</v>
      </c>
      <c r="K2789">
        <f>AVERAGEIF(Table1[CountryCode],Table1[[#This Row],[CountryCode]],Table1[z-score])</f>
        <v>0.21233679132661218</v>
      </c>
      <c r="L2789" t="e">
        <f>VLOOKUP(Table1[[#This Row],[CountryCode]],[1]!Table1[#Data],4,FALSE)</f>
        <v>#REF!</v>
      </c>
    </row>
    <row r="2790" spans="1:12" hidden="1" x14ac:dyDescent="0.3">
      <c r="A2790" t="s">
        <v>45</v>
      </c>
      <c r="B2790" t="s">
        <v>46</v>
      </c>
      <c r="C2790" t="s">
        <v>125</v>
      </c>
      <c r="D2790" t="s">
        <v>126</v>
      </c>
      <c r="E2790">
        <v>2006</v>
      </c>
      <c r="F2790" s="1">
        <v>6</v>
      </c>
      <c r="G2790">
        <v>2000</v>
      </c>
      <c r="H2790">
        <f>AVERAGEIFS(Table1[value],Table1[IndicatorCode],Table1[[#This Row],[IndicatorCode]])</f>
        <v>7.6894248608534319</v>
      </c>
      <c r="I2790" cm="1">
        <f t="array" ref="I2790">_xlfn.STDEV.P(IF(Table1[IndicatorCode]=Table1[[#This Row],[IndicatorCode]],Table1[value]))</f>
        <v>5.2319501044600996</v>
      </c>
      <c r="J2790">
        <f>(Table1[[#This Row],[value]] - Table1[[#This Row],[mean]]) / Table1[[#This Row],[std_dev]]</f>
        <v>-0.32290538463148605</v>
      </c>
      <c r="K2790">
        <f>AVERAGEIF(Table1[CountryCode],Table1[[#This Row],[CountryCode]],Table1[z-score])</f>
        <v>0.21233679132661218</v>
      </c>
      <c r="L2790" t="e">
        <f>VLOOKUP(Table1[[#This Row],[CountryCode]],[1]!Table1[#Data],4,FALSE)</f>
        <v>#REF!</v>
      </c>
    </row>
    <row r="2791" spans="1:12" hidden="1" x14ac:dyDescent="0.3">
      <c r="A2791" t="s">
        <v>45</v>
      </c>
      <c r="B2791" t="s">
        <v>46</v>
      </c>
      <c r="C2791" t="s">
        <v>125</v>
      </c>
      <c r="D2791" t="s">
        <v>126</v>
      </c>
      <c r="E2791">
        <v>2007</v>
      </c>
      <c r="F2791" s="1">
        <v>6</v>
      </c>
      <c r="G2791">
        <v>2010</v>
      </c>
      <c r="H2791">
        <f>AVERAGEIFS(Table1[value],Table1[IndicatorCode],Table1[[#This Row],[IndicatorCode]])</f>
        <v>7.6894248608534319</v>
      </c>
      <c r="I2791" cm="1">
        <f t="array" ref="I2791">_xlfn.STDEV.P(IF(Table1[IndicatorCode]=Table1[[#This Row],[IndicatorCode]],Table1[value]))</f>
        <v>5.2319501044600996</v>
      </c>
      <c r="J2791">
        <f>(Table1[[#This Row],[value]] - Table1[[#This Row],[mean]]) / Table1[[#This Row],[std_dev]]</f>
        <v>-0.32290538463148605</v>
      </c>
      <c r="K2791">
        <f>AVERAGEIF(Table1[CountryCode],Table1[[#This Row],[CountryCode]],Table1[z-score])</f>
        <v>0.21233679132661218</v>
      </c>
      <c r="L2791" t="e">
        <f>VLOOKUP(Table1[[#This Row],[CountryCode]],[1]!Table1[#Data],4,FALSE)</f>
        <v>#REF!</v>
      </c>
    </row>
    <row r="2792" spans="1:12" hidden="1" x14ac:dyDescent="0.3">
      <c r="A2792" t="s">
        <v>45</v>
      </c>
      <c r="B2792" t="s">
        <v>46</v>
      </c>
      <c r="C2792" t="s">
        <v>125</v>
      </c>
      <c r="D2792" t="s">
        <v>126</v>
      </c>
      <c r="E2792">
        <v>2008</v>
      </c>
      <c r="F2792" s="1">
        <v>6</v>
      </c>
      <c r="G2792">
        <v>2010</v>
      </c>
      <c r="H2792">
        <f>AVERAGEIFS(Table1[value],Table1[IndicatorCode],Table1[[#This Row],[IndicatorCode]])</f>
        <v>7.6894248608534319</v>
      </c>
      <c r="I2792" cm="1">
        <f t="array" ref="I2792">_xlfn.STDEV.P(IF(Table1[IndicatorCode]=Table1[[#This Row],[IndicatorCode]],Table1[value]))</f>
        <v>5.2319501044600996</v>
      </c>
      <c r="J2792">
        <f>(Table1[[#This Row],[value]] - Table1[[#This Row],[mean]]) / Table1[[#This Row],[std_dev]]</f>
        <v>-0.32290538463148605</v>
      </c>
      <c r="K2792">
        <f>AVERAGEIF(Table1[CountryCode],Table1[[#This Row],[CountryCode]],Table1[z-score])</f>
        <v>0.21233679132661218</v>
      </c>
      <c r="L2792" t="e">
        <f>VLOOKUP(Table1[[#This Row],[CountryCode]],[1]!Table1[#Data],4,FALSE)</f>
        <v>#REF!</v>
      </c>
    </row>
    <row r="2793" spans="1:12" hidden="1" x14ac:dyDescent="0.3">
      <c r="A2793" t="s">
        <v>45</v>
      </c>
      <c r="B2793" t="s">
        <v>46</v>
      </c>
      <c r="C2793" t="s">
        <v>125</v>
      </c>
      <c r="D2793" t="s">
        <v>126</v>
      </c>
      <c r="E2793">
        <v>2009</v>
      </c>
      <c r="F2793" s="1">
        <v>6</v>
      </c>
      <c r="G2793">
        <v>2010</v>
      </c>
      <c r="H2793">
        <f>AVERAGEIFS(Table1[value],Table1[IndicatorCode],Table1[[#This Row],[IndicatorCode]])</f>
        <v>7.6894248608534319</v>
      </c>
      <c r="I2793" cm="1">
        <f t="array" ref="I2793">_xlfn.STDEV.P(IF(Table1[IndicatorCode]=Table1[[#This Row],[IndicatorCode]],Table1[value]))</f>
        <v>5.2319501044600996</v>
      </c>
      <c r="J2793">
        <f>(Table1[[#This Row],[value]] - Table1[[#This Row],[mean]]) / Table1[[#This Row],[std_dev]]</f>
        <v>-0.32290538463148605</v>
      </c>
      <c r="K2793">
        <f>AVERAGEIF(Table1[CountryCode],Table1[[#This Row],[CountryCode]],Table1[z-score])</f>
        <v>0.21233679132661218</v>
      </c>
      <c r="L2793" t="e">
        <f>VLOOKUP(Table1[[#This Row],[CountryCode]],[1]!Table1[#Data],4,FALSE)</f>
        <v>#REF!</v>
      </c>
    </row>
    <row r="2794" spans="1:12" hidden="1" x14ac:dyDescent="0.3">
      <c r="A2794" t="s">
        <v>45</v>
      </c>
      <c r="B2794" t="s">
        <v>46</v>
      </c>
      <c r="C2794" t="s">
        <v>125</v>
      </c>
      <c r="D2794" t="s">
        <v>126</v>
      </c>
      <c r="E2794">
        <v>2010</v>
      </c>
      <c r="F2794" s="1">
        <v>6</v>
      </c>
      <c r="G2794">
        <v>2010</v>
      </c>
      <c r="H2794">
        <f>AVERAGEIFS(Table1[value],Table1[IndicatorCode],Table1[[#This Row],[IndicatorCode]])</f>
        <v>7.6894248608534319</v>
      </c>
      <c r="I2794" cm="1">
        <f t="array" ref="I2794">_xlfn.STDEV.P(IF(Table1[IndicatorCode]=Table1[[#This Row],[IndicatorCode]],Table1[value]))</f>
        <v>5.2319501044600996</v>
      </c>
      <c r="J2794">
        <f>(Table1[[#This Row],[value]] - Table1[[#This Row],[mean]]) / Table1[[#This Row],[std_dev]]</f>
        <v>-0.32290538463148605</v>
      </c>
      <c r="K2794">
        <f>AVERAGEIF(Table1[CountryCode],Table1[[#This Row],[CountryCode]],Table1[z-score])</f>
        <v>0.21233679132661218</v>
      </c>
      <c r="L2794" t="e">
        <f>VLOOKUP(Table1[[#This Row],[CountryCode]],[1]!Table1[#Data],4,FALSE)</f>
        <v>#REF!</v>
      </c>
    </row>
    <row r="2795" spans="1:12" hidden="1" x14ac:dyDescent="0.3">
      <c r="A2795" t="s">
        <v>45</v>
      </c>
      <c r="B2795" t="s">
        <v>46</v>
      </c>
      <c r="C2795" t="s">
        <v>125</v>
      </c>
      <c r="D2795" t="s">
        <v>126</v>
      </c>
      <c r="E2795">
        <v>2011</v>
      </c>
      <c r="F2795" s="1">
        <v>6</v>
      </c>
      <c r="G2795">
        <v>2010</v>
      </c>
      <c r="H2795">
        <f>AVERAGEIFS(Table1[value],Table1[IndicatorCode],Table1[[#This Row],[IndicatorCode]])</f>
        <v>7.6894248608534319</v>
      </c>
      <c r="I2795" cm="1">
        <f t="array" ref="I2795">_xlfn.STDEV.P(IF(Table1[IndicatorCode]=Table1[[#This Row],[IndicatorCode]],Table1[value]))</f>
        <v>5.2319501044600996</v>
      </c>
      <c r="J2795">
        <f>(Table1[[#This Row],[value]] - Table1[[#This Row],[mean]]) / Table1[[#This Row],[std_dev]]</f>
        <v>-0.32290538463148605</v>
      </c>
      <c r="K2795">
        <f>AVERAGEIF(Table1[CountryCode],Table1[[#This Row],[CountryCode]],Table1[z-score])</f>
        <v>0.21233679132661218</v>
      </c>
      <c r="L2795" t="e">
        <f>VLOOKUP(Table1[[#This Row],[CountryCode]],[1]!Table1[#Data],4,FALSE)</f>
        <v>#REF!</v>
      </c>
    </row>
    <row r="2796" spans="1:12" hidden="1" x14ac:dyDescent="0.3">
      <c r="A2796" t="s">
        <v>45</v>
      </c>
      <c r="B2796" t="s">
        <v>46</v>
      </c>
      <c r="C2796" t="s">
        <v>125</v>
      </c>
      <c r="D2796" t="s">
        <v>126</v>
      </c>
      <c r="E2796">
        <v>2012</v>
      </c>
      <c r="F2796" s="1">
        <v>6</v>
      </c>
      <c r="G2796">
        <v>2010</v>
      </c>
      <c r="H2796">
        <f>AVERAGEIFS(Table1[value],Table1[IndicatorCode],Table1[[#This Row],[IndicatorCode]])</f>
        <v>7.6894248608534319</v>
      </c>
      <c r="I2796" cm="1">
        <f t="array" ref="I2796">_xlfn.STDEV.P(IF(Table1[IndicatorCode]=Table1[[#This Row],[IndicatorCode]],Table1[value]))</f>
        <v>5.2319501044600996</v>
      </c>
      <c r="J2796">
        <f>(Table1[[#This Row],[value]] - Table1[[#This Row],[mean]]) / Table1[[#This Row],[std_dev]]</f>
        <v>-0.32290538463148605</v>
      </c>
      <c r="K2796">
        <f>AVERAGEIF(Table1[CountryCode],Table1[[#This Row],[CountryCode]],Table1[z-score])</f>
        <v>0.21233679132661218</v>
      </c>
      <c r="L2796" t="e">
        <f>VLOOKUP(Table1[[#This Row],[CountryCode]],[1]!Table1[#Data],4,FALSE)</f>
        <v>#REF!</v>
      </c>
    </row>
    <row r="2797" spans="1:12" hidden="1" x14ac:dyDescent="0.3">
      <c r="A2797" t="s">
        <v>45</v>
      </c>
      <c r="B2797" t="s">
        <v>46</v>
      </c>
      <c r="C2797" t="s">
        <v>125</v>
      </c>
      <c r="D2797" t="s">
        <v>126</v>
      </c>
      <c r="E2797">
        <v>2013</v>
      </c>
      <c r="F2797" s="1">
        <v>5</v>
      </c>
      <c r="G2797">
        <v>2010</v>
      </c>
      <c r="H2797">
        <f>AVERAGEIFS(Table1[value],Table1[IndicatorCode],Table1[[#This Row],[IndicatorCode]])</f>
        <v>7.6894248608534319</v>
      </c>
      <c r="I2797" cm="1">
        <f t="array" ref="I2797">_xlfn.STDEV.P(IF(Table1[IndicatorCode]=Table1[[#This Row],[IndicatorCode]],Table1[value]))</f>
        <v>5.2319501044600996</v>
      </c>
      <c r="J2797">
        <f>(Table1[[#This Row],[value]] - Table1[[#This Row],[mean]]) / Table1[[#This Row],[std_dev]]</f>
        <v>-0.51403870586624445</v>
      </c>
      <c r="K2797">
        <f>AVERAGEIF(Table1[CountryCode],Table1[[#This Row],[CountryCode]],Table1[z-score])</f>
        <v>0.21233679132661218</v>
      </c>
      <c r="L2797" t="e">
        <f>VLOOKUP(Table1[[#This Row],[CountryCode]],[1]!Table1[#Data],4,FALSE)</f>
        <v>#REF!</v>
      </c>
    </row>
    <row r="2798" spans="1:12" hidden="1" x14ac:dyDescent="0.3">
      <c r="A2798" t="s">
        <v>45</v>
      </c>
      <c r="B2798" t="s">
        <v>46</v>
      </c>
      <c r="C2798" t="s">
        <v>125</v>
      </c>
      <c r="D2798" t="s">
        <v>126</v>
      </c>
      <c r="E2798">
        <v>2014</v>
      </c>
      <c r="F2798" s="1">
        <v>5</v>
      </c>
      <c r="G2798">
        <v>2010</v>
      </c>
      <c r="H2798">
        <f>AVERAGEIFS(Table1[value],Table1[IndicatorCode],Table1[[#This Row],[IndicatorCode]])</f>
        <v>7.6894248608534319</v>
      </c>
      <c r="I2798" cm="1">
        <f t="array" ref="I2798">_xlfn.STDEV.P(IF(Table1[IndicatorCode]=Table1[[#This Row],[IndicatorCode]],Table1[value]))</f>
        <v>5.2319501044600996</v>
      </c>
      <c r="J2798">
        <f>(Table1[[#This Row],[value]] - Table1[[#This Row],[mean]]) / Table1[[#This Row],[std_dev]]</f>
        <v>-0.51403870586624445</v>
      </c>
      <c r="K2798">
        <f>AVERAGEIF(Table1[CountryCode],Table1[[#This Row],[CountryCode]],Table1[z-score])</f>
        <v>0.21233679132661218</v>
      </c>
      <c r="L2798" t="e">
        <f>VLOOKUP(Table1[[#This Row],[CountryCode]],[1]!Table1[#Data],4,FALSE)</f>
        <v>#REF!</v>
      </c>
    </row>
    <row r="2799" spans="1:12" hidden="1" x14ac:dyDescent="0.3">
      <c r="A2799" t="s">
        <v>45</v>
      </c>
      <c r="B2799" t="s">
        <v>46</v>
      </c>
      <c r="C2799" t="s">
        <v>125</v>
      </c>
      <c r="D2799" t="s">
        <v>126</v>
      </c>
      <c r="E2799">
        <v>2015</v>
      </c>
      <c r="F2799" s="1">
        <v>5</v>
      </c>
      <c r="G2799">
        <v>2010</v>
      </c>
      <c r="H2799">
        <f>AVERAGEIFS(Table1[value],Table1[IndicatorCode],Table1[[#This Row],[IndicatorCode]])</f>
        <v>7.6894248608534319</v>
      </c>
      <c r="I2799" cm="1">
        <f t="array" ref="I2799">_xlfn.STDEV.P(IF(Table1[IndicatorCode]=Table1[[#This Row],[IndicatorCode]],Table1[value]))</f>
        <v>5.2319501044600996</v>
      </c>
      <c r="J2799">
        <f>(Table1[[#This Row],[value]] - Table1[[#This Row],[mean]]) / Table1[[#This Row],[std_dev]]</f>
        <v>-0.51403870586624445</v>
      </c>
      <c r="K2799">
        <f>AVERAGEIF(Table1[CountryCode],Table1[[#This Row],[CountryCode]],Table1[z-score])</f>
        <v>0.21233679132661218</v>
      </c>
      <c r="L2799" t="e">
        <f>VLOOKUP(Table1[[#This Row],[CountryCode]],[1]!Table1[#Data],4,FALSE)</f>
        <v>#REF!</v>
      </c>
    </row>
    <row r="2800" spans="1:12" hidden="1" x14ac:dyDescent="0.3">
      <c r="A2800" t="s">
        <v>45</v>
      </c>
      <c r="B2800" t="s">
        <v>46</v>
      </c>
      <c r="C2800" t="s">
        <v>125</v>
      </c>
      <c r="D2800" t="s">
        <v>126</v>
      </c>
      <c r="E2800">
        <v>2016</v>
      </c>
      <c r="F2800" s="1">
        <v>5</v>
      </c>
      <c r="G2800">
        <v>2010</v>
      </c>
      <c r="H2800">
        <f>AVERAGEIFS(Table1[value],Table1[IndicatorCode],Table1[[#This Row],[IndicatorCode]])</f>
        <v>7.6894248608534319</v>
      </c>
      <c r="I2800" cm="1">
        <f t="array" ref="I2800">_xlfn.STDEV.P(IF(Table1[IndicatorCode]=Table1[[#This Row],[IndicatorCode]],Table1[value]))</f>
        <v>5.2319501044600996</v>
      </c>
      <c r="J2800">
        <f>(Table1[[#This Row],[value]] - Table1[[#This Row],[mean]]) / Table1[[#This Row],[std_dev]]</f>
        <v>-0.51403870586624445</v>
      </c>
      <c r="K2800">
        <f>AVERAGEIF(Table1[CountryCode],Table1[[#This Row],[CountryCode]],Table1[z-score])</f>
        <v>0.21233679132661218</v>
      </c>
      <c r="L2800" t="e">
        <f>VLOOKUP(Table1[[#This Row],[CountryCode]],[1]!Table1[#Data],4,FALSE)</f>
        <v>#REF!</v>
      </c>
    </row>
    <row r="2801" spans="1:12" hidden="1" x14ac:dyDescent="0.3">
      <c r="A2801" t="s">
        <v>45</v>
      </c>
      <c r="B2801" t="s">
        <v>46</v>
      </c>
      <c r="C2801" t="s">
        <v>125</v>
      </c>
      <c r="D2801" t="s">
        <v>126</v>
      </c>
      <c r="E2801">
        <v>2017</v>
      </c>
      <c r="F2801" s="1">
        <v>5</v>
      </c>
      <c r="G2801">
        <v>2020</v>
      </c>
      <c r="H2801">
        <f>AVERAGEIFS(Table1[value],Table1[IndicatorCode],Table1[[#This Row],[IndicatorCode]])</f>
        <v>7.6894248608534319</v>
      </c>
      <c r="I2801" cm="1">
        <f t="array" ref="I2801">_xlfn.STDEV.P(IF(Table1[IndicatorCode]=Table1[[#This Row],[IndicatorCode]],Table1[value]))</f>
        <v>5.2319501044600996</v>
      </c>
      <c r="J2801">
        <f>(Table1[[#This Row],[value]] - Table1[[#This Row],[mean]]) / Table1[[#This Row],[std_dev]]</f>
        <v>-0.51403870586624445</v>
      </c>
      <c r="K2801">
        <f>AVERAGEIF(Table1[CountryCode],Table1[[#This Row],[CountryCode]],Table1[z-score])</f>
        <v>0.21233679132661218</v>
      </c>
      <c r="L2801" t="e">
        <f>VLOOKUP(Table1[[#This Row],[CountryCode]],[1]!Table1[#Data],4,FALSE)</f>
        <v>#REF!</v>
      </c>
    </row>
    <row r="2802" spans="1:12" hidden="1" x14ac:dyDescent="0.3">
      <c r="A2802" t="s">
        <v>45</v>
      </c>
      <c r="B2802" t="s">
        <v>46</v>
      </c>
      <c r="C2802" t="s">
        <v>125</v>
      </c>
      <c r="D2802" t="s">
        <v>126</v>
      </c>
      <c r="E2802">
        <v>2018</v>
      </c>
      <c r="F2802" s="1">
        <v>5</v>
      </c>
      <c r="G2802">
        <v>2020</v>
      </c>
      <c r="H2802">
        <f>AVERAGEIFS(Table1[value],Table1[IndicatorCode],Table1[[#This Row],[IndicatorCode]])</f>
        <v>7.6894248608534319</v>
      </c>
      <c r="I2802" cm="1">
        <f t="array" ref="I2802">_xlfn.STDEV.P(IF(Table1[IndicatorCode]=Table1[[#This Row],[IndicatorCode]],Table1[value]))</f>
        <v>5.2319501044600996</v>
      </c>
      <c r="J2802">
        <f>(Table1[[#This Row],[value]] - Table1[[#This Row],[mean]]) / Table1[[#This Row],[std_dev]]</f>
        <v>-0.51403870586624445</v>
      </c>
      <c r="K2802">
        <f>AVERAGEIF(Table1[CountryCode],Table1[[#This Row],[CountryCode]],Table1[z-score])</f>
        <v>0.21233679132661218</v>
      </c>
      <c r="L2802" t="e">
        <f>VLOOKUP(Table1[[#This Row],[CountryCode]],[1]!Table1[#Data],4,FALSE)</f>
        <v>#REF!</v>
      </c>
    </row>
    <row r="2803" spans="1:12" hidden="1" x14ac:dyDescent="0.3">
      <c r="A2803" t="s">
        <v>45</v>
      </c>
      <c r="B2803" t="s">
        <v>46</v>
      </c>
      <c r="C2803" t="s">
        <v>125</v>
      </c>
      <c r="D2803" t="s">
        <v>126</v>
      </c>
      <c r="E2803">
        <v>2019</v>
      </c>
      <c r="F2803" s="1">
        <v>5</v>
      </c>
      <c r="G2803">
        <v>2020</v>
      </c>
      <c r="H2803">
        <f>AVERAGEIFS(Table1[value],Table1[IndicatorCode],Table1[[#This Row],[IndicatorCode]])</f>
        <v>7.6894248608534319</v>
      </c>
      <c r="I2803" cm="1">
        <f t="array" ref="I2803">_xlfn.STDEV.P(IF(Table1[IndicatorCode]=Table1[[#This Row],[IndicatorCode]],Table1[value]))</f>
        <v>5.2319501044600996</v>
      </c>
      <c r="J2803">
        <f>(Table1[[#This Row],[value]] - Table1[[#This Row],[mean]]) / Table1[[#This Row],[std_dev]]</f>
        <v>-0.51403870586624445</v>
      </c>
      <c r="K2803">
        <f>AVERAGEIF(Table1[CountryCode],Table1[[#This Row],[CountryCode]],Table1[z-score])</f>
        <v>0.21233679132661218</v>
      </c>
      <c r="L2803" t="e">
        <f>VLOOKUP(Table1[[#This Row],[CountryCode]],[1]!Table1[#Data],4,FALSE)</f>
        <v>#REF!</v>
      </c>
    </row>
    <row r="2804" spans="1:12" x14ac:dyDescent="0.3">
      <c r="A2804" t="s">
        <v>45</v>
      </c>
      <c r="B2804" t="s">
        <v>46</v>
      </c>
      <c r="C2804" t="s">
        <v>125</v>
      </c>
      <c r="D2804" t="s">
        <v>126</v>
      </c>
      <c r="E2804">
        <v>2020</v>
      </c>
      <c r="F2804" s="1">
        <v>4</v>
      </c>
      <c r="G2804">
        <v>2020</v>
      </c>
      <c r="H2804">
        <f>AVERAGEIFS(Table1[value],Table1[IndicatorCode],Table1[[#This Row],[IndicatorCode]])</f>
        <v>7.6894248608534319</v>
      </c>
      <c r="I2804" cm="1">
        <f t="array" ref="I2804">_xlfn.STDEV.P(IF(Table1[IndicatorCode]=Table1[[#This Row],[IndicatorCode]],Table1[value]))</f>
        <v>5.2319501044600996</v>
      </c>
      <c r="J2804">
        <f>(Table1[[#This Row],[value]] - Table1[[#This Row],[mean]]) / Table1[[#This Row],[std_dev]]</f>
        <v>-0.7051720271010028</v>
      </c>
      <c r="K2804">
        <f>AVERAGEIF(Table1[CountryCode],Table1[[#This Row],[CountryCode]],Table1[z-score])</f>
        <v>0.21233679132661218</v>
      </c>
    </row>
    <row r="2805" spans="1:12" hidden="1" x14ac:dyDescent="0.3">
      <c r="A2805" t="s">
        <v>45</v>
      </c>
      <c r="B2805" t="s">
        <v>46</v>
      </c>
      <c r="C2805" t="s">
        <v>125</v>
      </c>
      <c r="D2805" t="s">
        <v>126</v>
      </c>
      <c r="E2805">
        <v>2021</v>
      </c>
      <c r="F2805" s="1">
        <v>5</v>
      </c>
      <c r="G2805">
        <v>2020</v>
      </c>
      <c r="H2805">
        <f>AVERAGEIFS(Table1[value],Table1[IndicatorCode],Table1[[#This Row],[IndicatorCode]])</f>
        <v>7.6894248608534319</v>
      </c>
      <c r="I2805" cm="1">
        <f t="array" ref="I2805">_xlfn.STDEV.P(IF(Table1[IndicatorCode]=Table1[[#This Row],[IndicatorCode]],Table1[value]))</f>
        <v>5.2319501044600996</v>
      </c>
      <c r="J2805">
        <f>(Table1[[#This Row],[value]] - Table1[[#This Row],[mean]]) / Table1[[#This Row],[std_dev]]</f>
        <v>-0.51403870586624445</v>
      </c>
      <c r="K2805">
        <f>AVERAGEIF(Table1[CountryCode],Table1[[#This Row],[CountryCode]],Table1[z-score])</f>
        <v>0.21233679132661218</v>
      </c>
      <c r="L2805" t="e">
        <f>VLOOKUP(Table1[[#This Row],[CountryCode]],[1]!Table1[#Data],4,FALSE)</f>
        <v>#REF!</v>
      </c>
    </row>
    <row r="2806" spans="1:12" hidden="1" x14ac:dyDescent="0.3">
      <c r="A2806" t="s">
        <v>45</v>
      </c>
      <c r="B2806" t="s">
        <v>46</v>
      </c>
      <c r="C2806" t="s">
        <v>125</v>
      </c>
      <c r="D2806" t="s">
        <v>126</v>
      </c>
      <c r="E2806">
        <v>2022</v>
      </c>
      <c r="F2806" s="1">
        <v>5</v>
      </c>
      <c r="G2806">
        <v>1970</v>
      </c>
      <c r="H2806">
        <f>AVERAGEIFS(Table1[value],Table1[IndicatorCode],Table1[[#This Row],[IndicatorCode]])</f>
        <v>7.6894248608534319</v>
      </c>
      <c r="I2806" cm="1">
        <f t="array" ref="I2806">_xlfn.STDEV.P(IF(Table1[IndicatorCode]=Table1[[#This Row],[IndicatorCode]],Table1[value]))</f>
        <v>5.2319501044600996</v>
      </c>
      <c r="J2806">
        <f>(Table1[[#This Row],[value]] - Table1[[#This Row],[mean]]) / Table1[[#This Row],[std_dev]]</f>
        <v>-0.51403870586624445</v>
      </c>
      <c r="K2806">
        <f>AVERAGEIF(Table1[CountryCode],Table1[[#This Row],[CountryCode]],Table1[z-score])</f>
        <v>0.21233679132661218</v>
      </c>
      <c r="L2806" t="e">
        <f>VLOOKUP(Table1[[#This Row],[CountryCode]],[1]!Table1[#Data],4,FALSE)</f>
        <v>#REF!</v>
      </c>
    </row>
    <row r="2807" spans="1:12" hidden="1" x14ac:dyDescent="0.3">
      <c r="A2807" t="s">
        <v>45</v>
      </c>
      <c r="B2807" t="s">
        <v>46</v>
      </c>
      <c r="C2807" t="s">
        <v>125</v>
      </c>
      <c r="D2807" t="s">
        <v>126</v>
      </c>
      <c r="E2807">
        <v>2023</v>
      </c>
      <c r="F2807" s="1">
        <v>4</v>
      </c>
      <c r="G2807">
        <v>1970</v>
      </c>
      <c r="H2807">
        <f>AVERAGEIFS(Table1[value],Table1[IndicatorCode],Table1[[#This Row],[IndicatorCode]])</f>
        <v>7.6894248608534319</v>
      </c>
      <c r="I2807" cm="1">
        <f t="array" ref="I2807">_xlfn.STDEV.P(IF(Table1[IndicatorCode]=Table1[[#This Row],[IndicatorCode]],Table1[value]))</f>
        <v>5.2319501044600996</v>
      </c>
      <c r="J2807">
        <f>(Table1[[#This Row],[value]] - Table1[[#This Row],[mean]]) / Table1[[#This Row],[std_dev]]</f>
        <v>-0.7051720271010028</v>
      </c>
      <c r="K2807">
        <f>AVERAGEIF(Table1[CountryCode],Table1[[#This Row],[CountryCode]],Table1[z-score])</f>
        <v>0.21233679132661218</v>
      </c>
      <c r="L2807" t="e">
        <f>VLOOKUP(Table1[[#This Row],[CountryCode]],[1]!Table1[#Data],4,FALSE)</f>
        <v>#REF!</v>
      </c>
    </row>
    <row r="2808" spans="1:12" hidden="1" x14ac:dyDescent="0.3">
      <c r="A2808" t="s">
        <v>45</v>
      </c>
      <c r="B2808" t="s">
        <v>46</v>
      </c>
      <c r="C2808" t="s">
        <v>125</v>
      </c>
      <c r="D2808" t="s">
        <v>126</v>
      </c>
      <c r="E2808">
        <v>2024</v>
      </c>
      <c r="F2808" s="1">
        <v>4</v>
      </c>
      <c r="G2808">
        <v>1970</v>
      </c>
      <c r="H2808">
        <f>AVERAGEIFS(Table1[value],Table1[IndicatorCode],Table1[[#This Row],[IndicatorCode]])</f>
        <v>7.6894248608534319</v>
      </c>
      <c r="I2808" cm="1">
        <f t="array" ref="I2808">_xlfn.STDEV.P(IF(Table1[IndicatorCode]=Table1[[#This Row],[IndicatorCode]],Table1[value]))</f>
        <v>5.2319501044600996</v>
      </c>
      <c r="J2808">
        <f>(Table1[[#This Row],[value]] - Table1[[#This Row],[mean]]) / Table1[[#This Row],[std_dev]]</f>
        <v>-0.7051720271010028</v>
      </c>
      <c r="K2808">
        <f>AVERAGEIF(Table1[CountryCode],Table1[[#This Row],[CountryCode]],Table1[z-score])</f>
        <v>0.21233679132661218</v>
      </c>
      <c r="L2808" t="e">
        <f>VLOOKUP(Table1[[#This Row],[CountryCode]],[1]!Table1[#Data],4,FALSE)</f>
        <v>#REF!</v>
      </c>
    </row>
    <row r="2809" spans="1:12" hidden="1" x14ac:dyDescent="0.3">
      <c r="A2809" t="s">
        <v>47</v>
      </c>
      <c r="B2809" t="s">
        <v>48</v>
      </c>
      <c r="C2809" t="s">
        <v>125</v>
      </c>
      <c r="D2809" t="s">
        <v>126</v>
      </c>
      <c r="E2809">
        <v>1970</v>
      </c>
      <c r="F2809" s="1">
        <v>0</v>
      </c>
      <c r="G2809">
        <v>1970</v>
      </c>
      <c r="H2809">
        <f>AVERAGEIFS(Table1[value],Table1[IndicatorCode],Table1[[#This Row],[IndicatorCode]])</f>
        <v>7.6894248608534319</v>
      </c>
      <c r="I2809" cm="1">
        <f t="array" ref="I2809">_xlfn.STDEV.P(IF(Table1[IndicatorCode]=Table1[[#This Row],[IndicatorCode]],Table1[value]))</f>
        <v>5.2319501044600996</v>
      </c>
      <c r="J2809">
        <f>(Table1[[#This Row],[value]] - Table1[[#This Row],[mean]]) / Table1[[#This Row],[std_dev]]</f>
        <v>-1.4697053120400365</v>
      </c>
      <c r="K2809">
        <f>AVERAGEIF(Table1[CountryCode],Table1[[#This Row],[CountryCode]],Table1[z-score])</f>
        <v>-3.9589438634764836E-2</v>
      </c>
      <c r="L2809" t="e">
        <f>VLOOKUP(Table1[[#This Row],[CountryCode]],[1]!Table1[#Data],4,FALSE)</f>
        <v>#REF!</v>
      </c>
    </row>
    <row r="2810" spans="1:12" hidden="1" x14ac:dyDescent="0.3">
      <c r="A2810" t="s">
        <v>47</v>
      </c>
      <c r="B2810" t="s">
        <v>48</v>
      </c>
      <c r="C2810" t="s">
        <v>125</v>
      </c>
      <c r="D2810" t="s">
        <v>126</v>
      </c>
      <c r="E2810">
        <v>1971</v>
      </c>
      <c r="F2810" s="1">
        <v>0</v>
      </c>
      <c r="G2810">
        <v>1970</v>
      </c>
      <c r="H2810">
        <f>AVERAGEIFS(Table1[value],Table1[IndicatorCode],Table1[[#This Row],[IndicatorCode]])</f>
        <v>7.6894248608534319</v>
      </c>
      <c r="I2810" cm="1">
        <f t="array" ref="I2810">_xlfn.STDEV.P(IF(Table1[IndicatorCode]=Table1[[#This Row],[IndicatorCode]],Table1[value]))</f>
        <v>5.2319501044600996</v>
      </c>
      <c r="J2810">
        <f>(Table1[[#This Row],[value]] - Table1[[#This Row],[mean]]) / Table1[[#This Row],[std_dev]]</f>
        <v>-1.4697053120400365</v>
      </c>
      <c r="K2810">
        <f>AVERAGEIF(Table1[CountryCode],Table1[[#This Row],[CountryCode]],Table1[z-score])</f>
        <v>-3.9589438634764836E-2</v>
      </c>
      <c r="L2810" t="e">
        <f>VLOOKUP(Table1[[#This Row],[CountryCode]],[1]!Table1[#Data],4,FALSE)</f>
        <v>#REF!</v>
      </c>
    </row>
    <row r="2811" spans="1:12" hidden="1" x14ac:dyDescent="0.3">
      <c r="A2811" t="s">
        <v>47</v>
      </c>
      <c r="B2811" t="s">
        <v>48</v>
      </c>
      <c r="C2811" t="s">
        <v>125</v>
      </c>
      <c r="D2811" t="s">
        <v>126</v>
      </c>
      <c r="E2811">
        <v>1972</v>
      </c>
      <c r="F2811" s="1">
        <v>0</v>
      </c>
      <c r="G2811">
        <v>1970</v>
      </c>
      <c r="H2811">
        <f>AVERAGEIFS(Table1[value],Table1[IndicatorCode],Table1[[#This Row],[IndicatorCode]])</f>
        <v>7.6894248608534319</v>
      </c>
      <c r="I2811" cm="1">
        <f t="array" ref="I2811">_xlfn.STDEV.P(IF(Table1[IndicatorCode]=Table1[[#This Row],[IndicatorCode]],Table1[value]))</f>
        <v>5.2319501044600996</v>
      </c>
      <c r="J2811">
        <f>(Table1[[#This Row],[value]] - Table1[[#This Row],[mean]]) / Table1[[#This Row],[std_dev]]</f>
        <v>-1.4697053120400365</v>
      </c>
      <c r="K2811">
        <f>AVERAGEIF(Table1[CountryCode],Table1[[#This Row],[CountryCode]],Table1[z-score])</f>
        <v>-3.9589438634764836E-2</v>
      </c>
      <c r="L2811" t="e">
        <f>VLOOKUP(Table1[[#This Row],[CountryCode]],[1]!Table1[#Data],4,FALSE)</f>
        <v>#REF!</v>
      </c>
    </row>
    <row r="2812" spans="1:12" hidden="1" x14ac:dyDescent="0.3">
      <c r="A2812" t="s">
        <v>47</v>
      </c>
      <c r="B2812" t="s">
        <v>48</v>
      </c>
      <c r="C2812" t="s">
        <v>125</v>
      </c>
      <c r="D2812" t="s">
        <v>126</v>
      </c>
      <c r="E2812">
        <v>1973</v>
      </c>
      <c r="F2812" s="1">
        <v>0</v>
      </c>
      <c r="G2812">
        <v>1970</v>
      </c>
      <c r="H2812">
        <f>AVERAGEIFS(Table1[value],Table1[IndicatorCode],Table1[[#This Row],[IndicatorCode]])</f>
        <v>7.6894248608534319</v>
      </c>
      <c r="I2812" cm="1">
        <f t="array" ref="I2812">_xlfn.STDEV.P(IF(Table1[IndicatorCode]=Table1[[#This Row],[IndicatorCode]],Table1[value]))</f>
        <v>5.2319501044600996</v>
      </c>
      <c r="J2812">
        <f>(Table1[[#This Row],[value]] - Table1[[#This Row],[mean]]) / Table1[[#This Row],[std_dev]]</f>
        <v>-1.4697053120400365</v>
      </c>
      <c r="K2812">
        <f>AVERAGEIF(Table1[CountryCode],Table1[[#This Row],[CountryCode]],Table1[z-score])</f>
        <v>-3.9589438634764836E-2</v>
      </c>
      <c r="L2812" t="e">
        <f>VLOOKUP(Table1[[#This Row],[CountryCode]],[1]!Table1[#Data],4,FALSE)</f>
        <v>#REF!</v>
      </c>
    </row>
    <row r="2813" spans="1:12" hidden="1" x14ac:dyDescent="0.3">
      <c r="A2813" t="s">
        <v>47</v>
      </c>
      <c r="B2813" t="s">
        <v>48</v>
      </c>
      <c r="C2813" t="s">
        <v>125</v>
      </c>
      <c r="D2813" t="s">
        <v>126</v>
      </c>
      <c r="E2813">
        <v>1974</v>
      </c>
      <c r="F2813" s="1">
        <v>0</v>
      </c>
      <c r="G2813">
        <v>1970</v>
      </c>
      <c r="H2813">
        <f>AVERAGEIFS(Table1[value],Table1[IndicatorCode],Table1[[#This Row],[IndicatorCode]])</f>
        <v>7.6894248608534319</v>
      </c>
      <c r="I2813" cm="1">
        <f t="array" ref="I2813">_xlfn.STDEV.P(IF(Table1[IndicatorCode]=Table1[[#This Row],[IndicatorCode]],Table1[value]))</f>
        <v>5.2319501044600996</v>
      </c>
      <c r="J2813">
        <f>(Table1[[#This Row],[value]] - Table1[[#This Row],[mean]]) / Table1[[#This Row],[std_dev]]</f>
        <v>-1.4697053120400365</v>
      </c>
      <c r="K2813">
        <f>AVERAGEIF(Table1[CountryCode],Table1[[#This Row],[CountryCode]],Table1[z-score])</f>
        <v>-3.9589438634764836E-2</v>
      </c>
      <c r="L2813" t="e">
        <f>VLOOKUP(Table1[[#This Row],[CountryCode]],[1]!Table1[#Data],4,FALSE)</f>
        <v>#REF!</v>
      </c>
    </row>
    <row r="2814" spans="1:12" hidden="1" x14ac:dyDescent="0.3">
      <c r="A2814" t="s">
        <v>47</v>
      </c>
      <c r="B2814" t="s">
        <v>48</v>
      </c>
      <c r="C2814" t="s">
        <v>125</v>
      </c>
      <c r="D2814" t="s">
        <v>126</v>
      </c>
      <c r="E2814">
        <v>1975</v>
      </c>
      <c r="F2814" s="1">
        <v>0</v>
      </c>
      <c r="G2814">
        <v>1970</v>
      </c>
      <c r="H2814">
        <f>AVERAGEIFS(Table1[value],Table1[IndicatorCode],Table1[[#This Row],[IndicatorCode]])</f>
        <v>7.6894248608534319</v>
      </c>
      <c r="I2814" cm="1">
        <f t="array" ref="I2814">_xlfn.STDEV.P(IF(Table1[IndicatorCode]=Table1[[#This Row],[IndicatorCode]],Table1[value]))</f>
        <v>5.2319501044600996</v>
      </c>
      <c r="J2814">
        <f>(Table1[[#This Row],[value]] - Table1[[#This Row],[mean]]) / Table1[[#This Row],[std_dev]]</f>
        <v>-1.4697053120400365</v>
      </c>
      <c r="K2814">
        <f>AVERAGEIF(Table1[CountryCode],Table1[[#This Row],[CountryCode]],Table1[z-score])</f>
        <v>-3.9589438634764836E-2</v>
      </c>
      <c r="L2814" t="e">
        <f>VLOOKUP(Table1[[#This Row],[CountryCode]],[1]!Table1[#Data],4,FALSE)</f>
        <v>#REF!</v>
      </c>
    </row>
    <row r="2815" spans="1:12" hidden="1" x14ac:dyDescent="0.3">
      <c r="A2815" t="s">
        <v>47</v>
      </c>
      <c r="B2815" t="s">
        <v>48</v>
      </c>
      <c r="C2815" t="s">
        <v>125</v>
      </c>
      <c r="D2815" t="s">
        <v>126</v>
      </c>
      <c r="E2815">
        <v>1976</v>
      </c>
      <c r="F2815" s="1">
        <v>0</v>
      </c>
      <c r="G2815">
        <v>1970</v>
      </c>
      <c r="H2815">
        <f>AVERAGEIFS(Table1[value],Table1[IndicatorCode],Table1[[#This Row],[IndicatorCode]])</f>
        <v>7.6894248608534319</v>
      </c>
      <c r="I2815" cm="1">
        <f t="array" ref="I2815">_xlfn.STDEV.P(IF(Table1[IndicatorCode]=Table1[[#This Row],[IndicatorCode]],Table1[value]))</f>
        <v>5.2319501044600996</v>
      </c>
      <c r="J2815">
        <f>(Table1[[#This Row],[value]] - Table1[[#This Row],[mean]]) / Table1[[#This Row],[std_dev]]</f>
        <v>-1.4697053120400365</v>
      </c>
      <c r="K2815">
        <f>AVERAGEIF(Table1[CountryCode],Table1[[#This Row],[CountryCode]],Table1[z-score])</f>
        <v>-3.9589438634764836E-2</v>
      </c>
      <c r="L2815" t="e">
        <f>VLOOKUP(Table1[[#This Row],[CountryCode]],[1]!Table1[#Data],4,FALSE)</f>
        <v>#REF!</v>
      </c>
    </row>
    <row r="2816" spans="1:12" hidden="1" x14ac:dyDescent="0.3">
      <c r="A2816" t="s">
        <v>47</v>
      </c>
      <c r="B2816" t="s">
        <v>48</v>
      </c>
      <c r="C2816" t="s">
        <v>125</v>
      </c>
      <c r="D2816" t="s">
        <v>126</v>
      </c>
      <c r="E2816">
        <v>1977</v>
      </c>
      <c r="F2816" s="1">
        <v>0</v>
      </c>
      <c r="G2816">
        <v>1980</v>
      </c>
      <c r="H2816">
        <f>AVERAGEIFS(Table1[value],Table1[IndicatorCode],Table1[[#This Row],[IndicatorCode]])</f>
        <v>7.6894248608534319</v>
      </c>
      <c r="I2816" cm="1">
        <f t="array" ref="I2816">_xlfn.STDEV.P(IF(Table1[IndicatorCode]=Table1[[#This Row],[IndicatorCode]],Table1[value]))</f>
        <v>5.2319501044600996</v>
      </c>
      <c r="J2816">
        <f>(Table1[[#This Row],[value]] - Table1[[#This Row],[mean]]) / Table1[[#This Row],[std_dev]]</f>
        <v>-1.4697053120400365</v>
      </c>
      <c r="K2816">
        <f>AVERAGEIF(Table1[CountryCode],Table1[[#This Row],[CountryCode]],Table1[z-score])</f>
        <v>-3.9589438634764836E-2</v>
      </c>
      <c r="L2816" t="e">
        <f>VLOOKUP(Table1[[#This Row],[CountryCode]],[1]!Table1[#Data],4,FALSE)</f>
        <v>#REF!</v>
      </c>
    </row>
    <row r="2817" spans="1:12" hidden="1" x14ac:dyDescent="0.3">
      <c r="A2817" t="s">
        <v>47</v>
      </c>
      <c r="B2817" t="s">
        <v>48</v>
      </c>
      <c r="C2817" t="s">
        <v>125</v>
      </c>
      <c r="D2817" t="s">
        <v>126</v>
      </c>
      <c r="E2817">
        <v>1978</v>
      </c>
      <c r="F2817" s="1">
        <v>0</v>
      </c>
      <c r="G2817">
        <v>1980</v>
      </c>
      <c r="H2817">
        <f>AVERAGEIFS(Table1[value],Table1[IndicatorCode],Table1[[#This Row],[IndicatorCode]])</f>
        <v>7.6894248608534319</v>
      </c>
      <c r="I2817" cm="1">
        <f t="array" ref="I2817">_xlfn.STDEV.P(IF(Table1[IndicatorCode]=Table1[[#This Row],[IndicatorCode]],Table1[value]))</f>
        <v>5.2319501044600996</v>
      </c>
      <c r="J2817">
        <f>(Table1[[#This Row],[value]] - Table1[[#This Row],[mean]]) / Table1[[#This Row],[std_dev]]</f>
        <v>-1.4697053120400365</v>
      </c>
      <c r="K2817">
        <f>AVERAGEIF(Table1[CountryCode],Table1[[#This Row],[CountryCode]],Table1[z-score])</f>
        <v>-3.9589438634764836E-2</v>
      </c>
      <c r="L2817" t="e">
        <f>VLOOKUP(Table1[[#This Row],[CountryCode]],[1]!Table1[#Data],4,FALSE)</f>
        <v>#REF!</v>
      </c>
    </row>
    <row r="2818" spans="1:12" hidden="1" x14ac:dyDescent="0.3">
      <c r="A2818" t="s">
        <v>47</v>
      </c>
      <c r="B2818" t="s">
        <v>48</v>
      </c>
      <c r="C2818" t="s">
        <v>125</v>
      </c>
      <c r="D2818" t="s">
        <v>126</v>
      </c>
      <c r="E2818">
        <v>1979</v>
      </c>
      <c r="F2818" s="1">
        <v>0</v>
      </c>
      <c r="G2818">
        <v>1980</v>
      </c>
      <c r="H2818">
        <f>AVERAGEIFS(Table1[value],Table1[IndicatorCode],Table1[[#This Row],[IndicatorCode]])</f>
        <v>7.6894248608534319</v>
      </c>
      <c r="I2818" cm="1">
        <f t="array" ref="I2818">_xlfn.STDEV.P(IF(Table1[IndicatorCode]=Table1[[#This Row],[IndicatorCode]],Table1[value]))</f>
        <v>5.2319501044600996</v>
      </c>
      <c r="J2818">
        <f>(Table1[[#This Row],[value]] - Table1[[#This Row],[mean]]) / Table1[[#This Row],[std_dev]]</f>
        <v>-1.4697053120400365</v>
      </c>
      <c r="K2818">
        <f>AVERAGEIF(Table1[CountryCode],Table1[[#This Row],[CountryCode]],Table1[z-score])</f>
        <v>-3.9589438634764836E-2</v>
      </c>
      <c r="L2818" t="e">
        <f>VLOOKUP(Table1[[#This Row],[CountryCode]],[1]!Table1[#Data],4,FALSE)</f>
        <v>#REF!</v>
      </c>
    </row>
    <row r="2819" spans="1:12" hidden="1" x14ac:dyDescent="0.3">
      <c r="A2819" t="s">
        <v>47</v>
      </c>
      <c r="B2819" t="s">
        <v>48</v>
      </c>
      <c r="C2819" t="s">
        <v>125</v>
      </c>
      <c r="D2819" t="s">
        <v>126</v>
      </c>
      <c r="E2819">
        <v>1980</v>
      </c>
      <c r="F2819" s="1">
        <v>0</v>
      </c>
      <c r="G2819">
        <v>1980</v>
      </c>
      <c r="H2819">
        <f>AVERAGEIFS(Table1[value],Table1[IndicatorCode],Table1[[#This Row],[IndicatorCode]])</f>
        <v>7.6894248608534319</v>
      </c>
      <c r="I2819" cm="1">
        <f t="array" ref="I2819">_xlfn.STDEV.P(IF(Table1[IndicatorCode]=Table1[[#This Row],[IndicatorCode]],Table1[value]))</f>
        <v>5.2319501044600996</v>
      </c>
      <c r="J2819">
        <f>(Table1[[#This Row],[value]] - Table1[[#This Row],[mean]]) / Table1[[#This Row],[std_dev]]</f>
        <v>-1.4697053120400365</v>
      </c>
      <c r="K2819">
        <f>AVERAGEIF(Table1[CountryCode],Table1[[#This Row],[CountryCode]],Table1[z-score])</f>
        <v>-3.9589438634764836E-2</v>
      </c>
      <c r="L2819" t="e">
        <f>VLOOKUP(Table1[[#This Row],[CountryCode]],[1]!Table1[#Data],4,FALSE)</f>
        <v>#REF!</v>
      </c>
    </row>
    <row r="2820" spans="1:12" hidden="1" x14ac:dyDescent="0.3">
      <c r="A2820" t="s">
        <v>47</v>
      </c>
      <c r="B2820" t="s">
        <v>48</v>
      </c>
      <c r="C2820" t="s">
        <v>125</v>
      </c>
      <c r="D2820" t="s">
        <v>126</v>
      </c>
      <c r="E2820">
        <v>1981</v>
      </c>
      <c r="F2820" s="1">
        <v>0</v>
      </c>
      <c r="G2820">
        <v>1980</v>
      </c>
      <c r="H2820">
        <f>AVERAGEIFS(Table1[value],Table1[IndicatorCode],Table1[[#This Row],[IndicatorCode]])</f>
        <v>7.6894248608534319</v>
      </c>
      <c r="I2820" cm="1">
        <f t="array" ref="I2820">_xlfn.STDEV.P(IF(Table1[IndicatorCode]=Table1[[#This Row],[IndicatorCode]],Table1[value]))</f>
        <v>5.2319501044600996</v>
      </c>
      <c r="J2820">
        <f>(Table1[[#This Row],[value]] - Table1[[#This Row],[mean]]) / Table1[[#This Row],[std_dev]]</f>
        <v>-1.4697053120400365</v>
      </c>
      <c r="K2820">
        <f>AVERAGEIF(Table1[CountryCode],Table1[[#This Row],[CountryCode]],Table1[z-score])</f>
        <v>-3.9589438634764836E-2</v>
      </c>
      <c r="L2820" t="e">
        <f>VLOOKUP(Table1[[#This Row],[CountryCode]],[1]!Table1[#Data],4,FALSE)</f>
        <v>#REF!</v>
      </c>
    </row>
    <row r="2821" spans="1:12" hidden="1" x14ac:dyDescent="0.3">
      <c r="A2821" t="s">
        <v>47</v>
      </c>
      <c r="B2821" t="s">
        <v>48</v>
      </c>
      <c r="C2821" t="s">
        <v>125</v>
      </c>
      <c r="D2821" t="s">
        <v>126</v>
      </c>
      <c r="E2821">
        <v>1982</v>
      </c>
      <c r="F2821" s="1">
        <v>0</v>
      </c>
      <c r="G2821">
        <v>1980</v>
      </c>
      <c r="H2821">
        <f>AVERAGEIFS(Table1[value],Table1[IndicatorCode],Table1[[#This Row],[IndicatorCode]])</f>
        <v>7.6894248608534319</v>
      </c>
      <c r="I2821" cm="1">
        <f t="array" ref="I2821">_xlfn.STDEV.P(IF(Table1[IndicatorCode]=Table1[[#This Row],[IndicatorCode]],Table1[value]))</f>
        <v>5.2319501044600996</v>
      </c>
      <c r="J2821">
        <f>(Table1[[#This Row],[value]] - Table1[[#This Row],[mean]]) / Table1[[#This Row],[std_dev]]</f>
        <v>-1.4697053120400365</v>
      </c>
      <c r="K2821">
        <f>AVERAGEIF(Table1[CountryCode],Table1[[#This Row],[CountryCode]],Table1[z-score])</f>
        <v>-3.9589438634764836E-2</v>
      </c>
      <c r="L2821" t="e">
        <f>VLOOKUP(Table1[[#This Row],[CountryCode]],[1]!Table1[#Data],4,FALSE)</f>
        <v>#REF!</v>
      </c>
    </row>
    <row r="2822" spans="1:12" hidden="1" x14ac:dyDescent="0.3">
      <c r="A2822" t="s">
        <v>47</v>
      </c>
      <c r="B2822" t="s">
        <v>48</v>
      </c>
      <c r="C2822" t="s">
        <v>125</v>
      </c>
      <c r="D2822" t="s">
        <v>126</v>
      </c>
      <c r="E2822">
        <v>1983</v>
      </c>
      <c r="F2822" s="1">
        <v>0</v>
      </c>
      <c r="G2822">
        <v>1980</v>
      </c>
      <c r="H2822">
        <f>AVERAGEIFS(Table1[value],Table1[IndicatorCode],Table1[[#This Row],[IndicatorCode]])</f>
        <v>7.6894248608534319</v>
      </c>
      <c r="I2822" cm="1">
        <f t="array" ref="I2822">_xlfn.STDEV.P(IF(Table1[IndicatorCode]=Table1[[#This Row],[IndicatorCode]],Table1[value]))</f>
        <v>5.2319501044600996</v>
      </c>
      <c r="J2822">
        <f>(Table1[[#This Row],[value]] - Table1[[#This Row],[mean]]) / Table1[[#This Row],[std_dev]]</f>
        <v>-1.4697053120400365</v>
      </c>
      <c r="K2822">
        <f>AVERAGEIF(Table1[CountryCode],Table1[[#This Row],[CountryCode]],Table1[z-score])</f>
        <v>-3.9589438634764836E-2</v>
      </c>
      <c r="L2822" t="e">
        <f>VLOOKUP(Table1[[#This Row],[CountryCode]],[1]!Table1[#Data],4,FALSE)</f>
        <v>#REF!</v>
      </c>
    </row>
    <row r="2823" spans="1:12" hidden="1" x14ac:dyDescent="0.3">
      <c r="A2823" t="s">
        <v>47</v>
      </c>
      <c r="B2823" t="s">
        <v>48</v>
      </c>
      <c r="C2823" t="s">
        <v>125</v>
      </c>
      <c r="D2823" t="s">
        <v>126</v>
      </c>
      <c r="E2823">
        <v>1984</v>
      </c>
      <c r="F2823" s="1">
        <v>0</v>
      </c>
      <c r="G2823">
        <v>1980</v>
      </c>
      <c r="H2823">
        <f>AVERAGEIFS(Table1[value],Table1[IndicatorCode],Table1[[#This Row],[IndicatorCode]])</f>
        <v>7.6894248608534319</v>
      </c>
      <c r="I2823" cm="1">
        <f t="array" ref="I2823">_xlfn.STDEV.P(IF(Table1[IndicatorCode]=Table1[[#This Row],[IndicatorCode]],Table1[value]))</f>
        <v>5.2319501044600996</v>
      </c>
      <c r="J2823">
        <f>(Table1[[#This Row],[value]] - Table1[[#This Row],[mean]]) / Table1[[#This Row],[std_dev]]</f>
        <v>-1.4697053120400365</v>
      </c>
      <c r="K2823">
        <f>AVERAGEIF(Table1[CountryCode],Table1[[#This Row],[CountryCode]],Table1[z-score])</f>
        <v>-3.9589438634764836E-2</v>
      </c>
      <c r="L2823" t="e">
        <f>VLOOKUP(Table1[[#This Row],[CountryCode]],[1]!Table1[#Data],4,FALSE)</f>
        <v>#REF!</v>
      </c>
    </row>
    <row r="2824" spans="1:12" hidden="1" x14ac:dyDescent="0.3">
      <c r="A2824" t="s">
        <v>47</v>
      </c>
      <c r="B2824" t="s">
        <v>48</v>
      </c>
      <c r="C2824" t="s">
        <v>125</v>
      </c>
      <c r="D2824" t="s">
        <v>126</v>
      </c>
      <c r="E2824">
        <v>1985</v>
      </c>
      <c r="F2824" s="1">
        <v>0</v>
      </c>
      <c r="G2824">
        <v>1980</v>
      </c>
      <c r="H2824">
        <f>AVERAGEIFS(Table1[value],Table1[IndicatorCode],Table1[[#This Row],[IndicatorCode]])</f>
        <v>7.6894248608534319</v>
      </c>
      <c r="I2824" cm="1">
        <f t="array" ref="I2824">_xlfn.STDEV.P(IF(Table1[IndicatorCode]=Table1[[#This Row],[IndicatorCode]],Table1[value]))</f>
        <v>5.2319501044600996</v>
      </c>
      <c r="J2824">
        <f>(Table1[[#This Row],[value]] - Table1[[#This Row],[mean]]) / Table1[[#This Row],[std_dev]]</f>
        <v>-1.4697053120400365</v>
      </c>
      <c r="K2824">
        <f>AVERAGEIF(Table1[CountryCode],Table1[[#This Row],[CountryCode]],Table1[z-score])</f>
        <v>-3.9589438634764836E-2</v>
      </c>
      <c r="L2824" t="e">
        <f>VLOOKUP(Table1[[#This Row],[CountryCode]],[1]!Table1[#Data],4,FALSE)</f>
        <v>#REF!</v>
      </c>
    </row>
    <row r="2825" spans="1:12" hidden="1" x14ac:dyDescent="0.3">
      <c r="A2825" t="s">
        <v>47</v>
      </c>
      <c r="B2825" t="s">
        <v>48</v>
      </c>
      <c r="C2825" t="s">
        <v>125</v>
      </c>
      <c r="D2825" t="s">
        <v>126</v>
      </c>
      <c r="E2825">
        <v>1986</v>
      </c>
      <c r="F2825" s="1">
        <v>0</v>
      </c>
      <c r="G2825">
        <v>1980</v>
      </c>
      <c r="H2825">
        <f>AVERAGEIFS(Table1[value],Table1[IndicatorCode],Table1[[#This Row],[IndicatorCode]])</f>
        <v>7.6894248608534319</v>
      </c>
      <c r="I2825" cm="1">
        <f t="array" ref="I2825">_xlfn.STDEV.P(IF(Table1[IndicatorCode]=Table1[[#This Row],[IndicatorCode]],Table1[value]))</f>
        <v>5.2319501044600996</v>
      </c>
      <c r="J2825">
        <f>(Table1[[#This Row],[value]] - Table1[[#This Row],[mean]]) / Table1[[#This Row],[std_dev]]</f>
        <v>-1.4697053120400365</v>
      </c>
      <c r="K2825">
        <f>AVERAGEIF(Table1[CountryCode],Table1[[#This Row],[CountryCode]],Table1[z-score])</f>
        <v>-3.9589438634764836E-2</v>
      </c>
      <c r="L2825" t="e">
        <f>VLOOKUP(Table1[[#This Row],[CountryCode]],[1]!Table1[#Data],4,FALSE)</f>
        <v>#REF!</v>
      </c>
    </row>
    <row r="2826" spans="1:12" hidden="1" x14ac:dyDescent="0.3">
      <c r="A2826" t="s">
        <v>47</v>
      </c>
      <c r="B2826" t="s">
        <v>48</v>
      </c>
      <c r="C2826" t="s">
        <v>125</v>
      </c>
      <c r="D2826" t="s">
        <v>126</v>
      </c>
      <c r="E2826">
        <v>1987</v>
      </c>
      <c r="F2826" s="1">
        <v>0</v>
      </c>
      <c r="G2826">
        <v>1990</v>
      </c>
      <c r="H2826">
        <f>AVERAGEIFS(Table1[value],Table1[IndicatorCode],Table1[[#This Row],[IndicatorCode]])</f>
        <v>7.6894248608534319</v>
      </c>
      <c r="I2826" cm="1">
        <f t="array" ref="I2826">_xlfn.STDEV.P(IF(Table1[IndicatorCode]=Table1[[#This Row],[IndicatorCode]],Table1[value]))</f>
        <v>5.2319501044600996</v>
      </c>
      <c r="J2826">
        <f>(Table1[[#This Row],[value]] - Table1[[#This Row],[mean]]) / Table1[[#This Row],[std_dev]]</f>
        <v>-1.4697053120400365</v>
      </c>
      <c r="K2826">
        <f>AVERAGEIF(Table1[CountryCode],Table1[[#This Row],[CountryCode]],Table1[z-score])</f>
        <v>-3.9589438634764836E-2</v>
      </c>
      <c r="L2826" t="e">
        <f>VLOOKUP(Table1[[#This Row],[CountryCode]],[1]!Table1[#Data],4,FALSE)</f>
        <v>#REF!</v>
      </c>
    </row>
    <row r="2827" spans="1:12" hidden="1" x14ac:dyDescent="0.3">
      <c r="A2827" t="s">
        <v>47</v>
      </c>
      <c r="B2827" t="s">
        <v>48</v>
      </c>
      <c r="C2827" t="s">
        <v>125</v>
      </c>
      <c r="D2827" t="s">
        <v>126</v>
      </c>
      <c r="E2827">
        <v>1988</v>
      </c>
      <c r="F2827" s="1">
        <v>0</v>
      </c>
      <c r="G2827">
        <v>1990</v>
      </c>
      <c r="H2827">
        <f>AVERAGEIFS(Table1[value],Table1[IndicatorCode],Table1[[#This Row],[IndicatorCode]])</f>
        <v>7.6894248608534319</v>
      </c>
      <c r="I2827" cm="1">
        <f t="array" ref="I2827">_xlfn.STDEV.P(IF(Table1[IndicatorCode]=Table1[[#This Row],[IndicatorCode]],Table1[value]))</f>
        <v>5.2319501044600996</v>
      </c>
      <c r="J2827">
        <f>(Table1[[#This Row],[value]] - Table1[[#This Row],[mean]]) / Table1[[#This Row],[std_dev]]</f>
        <v>-1.4697053120400365</v>
      </c>
      <c r="K2827">
        <f>AVERAGEIF(Table1[CountryCode],Table1[[#This Row],[CountryCode]],Table1[z-score])</f>
        <v>-3.9589438634764836E-2</v>
      </c>
      <c r="L2827" t="e">
        <f>VLOOKUP(Table1[[#This Row],[CountryCode]],[1]!Table1[#Data],4,FALSE)</f>
        <v>#REF!</v>
      </c>
    </row>
    <row r="2828" spans="1:12" hidden="1" x14ac:dyDescent="0.3">
      <c r="A2828" t="s">
        <v>47</v>
      </c>
      <c r="B2828" t="s">
        <v>48</v>
      </c>
      <c r="C2828" t="s">
        <v>125</v>
      </c>
      <c r="D2828" t="s">
        <v>126</v>
      </c>
      <c r="E2828">
        <v>1989</v>
      </c>
      <c r="F2828" s="1">
        <v>0</v>
      </c>
      <c r="G2828">
        <v>1990</v>
      </c>
      <c r="H2828">
        <f>AVERAGEIFS(Table1[value],Table1[IndicatorCode],Table1[[#This Row],[IndicatorCode]])</f>
        <v>7.6894248608534319</v>
      </c>
      <c r="I2828" cm="1">
        <f t="array" ref="I2828">_xlfn.STDEV.P(IF(Table1[IndicatorCode]=Table1[[#This Row],[IndicatorCode]],Table1[value]))</f>
        <v>5.2319501044600996</v>
      </c>
      <c r="J2828">
        <f>(Table1[[#This Row],[value]] - Table1[[#This Row],[mean]]) / Table1[[#This Row],[std_dev]]</f>
        <v>-1.4697053120400365</v>
      </c>
      <c r="K2828">
        <f>AVERAGEIF(Table1[CountryCode],Table1[[#This Row],[CountryCode]],Table1[z-score])</f>
        <v>-3.9589438634764836E-2</v>
      </c>
      <c r="L2828" t="e">
        <f>VLOOKUP(Table1[[#This Row],[CountryCode]],[1]!Table1[#Data],4,FALSE)</f>
        <v>#REF!</v>
      </c>
    </row>
    <row r="2829" spans="1:12" hidden="1" x14ac:dyDescent="0.3">
      <c r="A2829" t="s">
        <v>47</v>
      </c>
      <c r="B2829" t="s">
        <v>48</v>
      </c>
      <c r="C2829" t="s">
        <v>125</v>
      </c>
      <c r="D2829" t="s">
        <v>126</v>
      </c>
      <c r="E2829">
        <v>1990</v>
      </c>
      <c r="F2829" s="1">
        <v>0</v>
      </c>
      <c r="G2829">
        <v>1990</v>
      </c>
      <c r="H2829">
        <f>AVERAGEIFS(Table1[value],Table1[IndicatorCode],Table1[[#This Row],[IndicatorCode]])</f>
        <v>7.6894248608534319</v>
      </c>
      <c r="I2829" cm="1">
        <f t="array" ref="I2829">_xlfn.STDEV.P(IF(Table1[IndicatorCode]=Table1[[#This Row],[IndicatorCode]],Table1[value]))</f>
        <v>5.2319501044600996</v>
      </c>
      <c r="J2829">
        <f>(Table1[[#This Row],[value]] - Table1[[#This Row],[mean]]) / Table1[[#This Row],[std_dev]]</f>
        <v>-1.4697053120400365</v>
      </c>
      <c r="K2829">
        <f>AVERAGEIF(Table1[CountryCode],Table1[[#This Row],[CountryCode]],Table1[z-score])</f>
        <v>-3.9589438634764836E-2</v>
      </c>
      <c r="L2829" t="e">
        <f>VLOOKUP(Table1[[#This Row],[CountryCode]],[1]!Table1[#Data],4,FALSE)</f>
        <v>#REF!</v>
      </c>
    </row>
    <row r="2830" spans="1:12" hidden="1" x14ac:dyDescent="0.3">
      <c r="A2830" t="s">
        <v>47</v>
      </c>
      <c r="B2830" t="s">
        <v>48</v>
      </c>
      <c r="C2830" t="s">
        <v>125</v>
      </c>
      <c r="D2830" t="s">
        <v>126</v>
      </c>
      <c r="E2830">
        <v>1991</v>
      </c>
      <c r="F2830" s="1">
        <v>0</v>
      </c>
      <c r="G2830">
        <v>1990</v>
      </c>
      <c r="H2830">
        <f>AVERAGEIFS(Table1[value],Table1[IndicatorCode],Table1[[#This Row],[IndicatorCode]])</f>
        <v>7.6894248608534319</v>
      </c>
      <c r="I2830" cm="1">
        <f t="array" ref="I2830">_xlfn.STDEV.P(IF(Table1[IndicatorCode]=Table1[[#This Row],[IndicatorCode]],Table1[value]))</f>
        <v>5.2319501044600996</v>
      </c>
      <c r="J2830">
        <f>(Table1[[#This Row],[value]] - Table1[[#This Row],[mean]]) / Table1[[#This Row],[std_dev]]</f>
        <v>-1.4697053120400365</v>
      </c>
      <c r="K2830">
        <f>AVERAGEIF(Table1[CountryCode],Table1[[#This Row],[CountryCode]],Table1[z-score])</f>
        <v>-3.9589438634764836E-2</v>
      </c>
      <c r="L2830" t="e">
        <f>VLOOKUP(Table1[[#This Row],[CountryCode]],[1]!Table1[#Data],4,FALSE)</f>
        <v>#REF!</v>
      </c>
    </row>
    <row r="2831" spans="1:12" hidden="1" x14ac:dyDescent="0.3">
      <c r="A2831" t="s">
        <v>47</v>
      </c>
      <c r="B2831" t="s">
        <v>48</v>
      </c>
      <c r="C2831" t="s">
        <v>125</v>
      </c>
      <c r="D2831" t="s">
        <v>126</v>
      </c>
      <c r="E2831">
        <v>1992</v>
      </c>
      <c r="F2831" s="1">
        <v>0</v>
      </c>
      <c r="G2831">
        <v>1990</v>
      </c>
      <c r="H2831">
        <f>AVERAGEIFS(Table1[value],Table1[IndicatorCode],Table1[[#This Row],[IndicatorCode]])</f>
        <v>7.6894248608534319</v>
      </c>
      <c r="I2831" cm="1">
        <f t="array" ref="I2831">_xlfn.STDEV.P(IF(Table1[IndicatorCode]=Table1[[#This Row],[IndicatorCode]],Table1[value]))</f>
        <v>5.2319501044600996</v>
      </c>
      <c r="J2831">
        <f>(Table1[[#This Row],[value]] - Table1[[#This Row],[mean]]) / Table1[[#This Row],[std_dev]]</f>
        <v>-1.4697053120400365</v>
      </c>
      <c r="K2831">
        <f>AVERAGEIF(Table1[CountryCode],Table1[[#This Row],[CountryCode]],Table1[z-score])</f>
        <v>-3.9589438634764836E-2</v>
      </c>
      <c r="L2831" t="e">
        <f>VLOOKUP(Table1[[#This Row],[CountryCode]],[1]!Table1[#Data],4,FALSE)</f>
        <v>#REF!</v>
      </c>
    </row>
    <row r="2832" spans="1:12" hidden="1" x14ac:dyDescent="0.3">
      <c r="A2832" t="s">
        <v>47</v>
      </c>
      <c r="B2832" t="s">
        <v>48</v>
      </c>
      <c r="C2832" t="s">
        <v>125</v>
      </c>
      <c r="D2832" t="s">
        <v>126</v>
      </c>
      <c r="E2832">
        <v>1993</v>
      </c>
      <c r="F2832" s="1">
        <v>0</v>
      </c>
      <c r="G2832">
        <v>1990</v>
      </c>
      <c r="H2832">
        <f>AVERAGEIFS(Table1[value],Table1[IndicatorCode],Table1[[#This Row],[IndicatorCode]])</f>
        <v>7.6894248608534319</v>
      </c>
      <c r="I2832" cm="1">
        <f t="array" ref="I2832">_xlfn.STDEV.P(IF(Table1[IndicatorCode]=Table1[[#This Row],[IndicatorCode]],Table1[value]))</f>
        <v>5.2319501044600996</v>
      </c>
      <c r="J2832">
        <f>(Table1[[#This Row],[value]] - Table1[[#This Row],[mean]]) / Table1[[#This Row],[std_dev]]</f>
        <v>-1.4697053120400365</v>
      </c>
      <c r="K2832">
        <f>AVERAGEIF(Table1[CountryCode],Table1[[#This Row],[CountryCode]],Table1[z-score])</f>
        <v>-3.9589438634764836E-2</v>
      </c>
      <c r="L2832" t="e">
        <f>VLOOKUP(Table1[[#This Row],[CountryCode]],[1]!Table1[#Data],4,FALSE)</f>
        <v>#REF!</v>
      </c>
    </row>
    <row r="2833" spans="1:12" hidden="1" x14ac:dyDescent="0.3">
      <c r="A2833" t="s">
        <v>47</v>
      </c>
      <c r="B2833" t="s">
        <v>48</v>
      </c>
      <c r="C2833" t="s">
        <v>125</v>
      </c>
      <c r="D2833" t="s">
        <v>126</v>
      </c>
      <c r="E2833">
        <v>1994</v>
      </c>
      <c r="F2833" s="1">
        <v>0</v>
      </c>
      <c r="G2833">
        <v>1990</v>
      </c>
      <c r="H2833">
        <f>AVERAGEIFS(Table1[value],Table1[IndicatorCode],Table1[[#This Row],[IndicatorCode]])</f>
        <v>7.6894248608534319</v>
      </c>
      <c r="I2833" cm="1">
        <f t="array" ref="I2833">_xlfn.STDEV.P(IF(Table1[IndicatorCode]=Table1[[#This Row],[IndicatorCode]],Table1[value]))</f>
        <v>5.2319501044600996</v>
      </c>
      <c r="J2833">
        <f>(Table1[[#This Row],[value]] - Table1[[#This Row],[mean]]) / Table1[[#This Row],[std_dev]]</f>
        <v>-1.4697053120400365</v>
      </c>
      <c r="K2833">
        <f>AVERAGEIF(Table1[CountryCode],Table1[[#This Row],[CountryCode]],Table1[z-score])</f>
        <v>-3.9589438634764836E-2</v>
      </c>
      <c r="L2833" t="e">
        <f>VLOOKUP(Table1[[#This Row],[CountryCode]],[1]!Table1[#Data],4,FALSE)</f>
        <v>#REF!</v>
      </c>
    </row>
    <row r="2834" spans="1:12" hidden="1" x14ac:dyDescent="0.3">
      <c r="A2834" t="s">
        <v>47</v>
      </c>
      <c r="B2834" t="s">
        <v>48</v>
      </c>
      <c r="C2834" t="s">
        <v>125</v>
      </c>
      <c r="D2834" t="s">
        <v>126</v>
      </c>
      <c r="E2834">
        <v>1995</v>
      </c>
      <c r="F2834" s="1">
        <v>0</v>
      </c>
      <c r="G2834">
        <v>1990</v>
      </c>
      <c r="H2834">
        <f>AVERAGEIFS(Table1[value],Table1[IndicatorCode],Table1[[#This Row],[IndicatorCode]])</f>
        <v>7.6894248608534319</v>
      </c>
      <c r="I2834" cm="1">
        <f t="array" ref="I2834">_xlfn.STDEV.P(IF(Table1[IndicatorCode]=Table1[[#This Row],[IndicatorCode]],Table1[value]))</f>
        <v>5.2319501044600996</v>
      </c>
      <c r="J2834">
        <f>(Table1[[#This Row],[value]] - Table1[[#This Row],[mean]]) / Table1[[#This Row],[std_dev]]</f>
        <v>-1.4697053120400365</v>
      </c>
      <c r="K2834">
        <f>AVERAGEIF(Table1[CountryCode],Table1[[#This Row],[CountryCode]],Table1[z-score])</f>
        <v>-3.9589438634764836E-2</v>
      </c>
      <c r="L2834" t="e">
        <f>VLOOKUP(Table1[[#This Row],[CountryCode]],[1]!Table1[#Data],4,FALSE)</f>
        <v>#REF!</v>
      </c>
    </row>
    <row r="2835" spans="1:12" hidden="1" x14ac:dyDescent="0.3">
      <c r="A2835" t="s">
        <v>47</v>
      </c>
      <c r="B2835" t="s">
        <v>48</v>
      </c>
      <c r="C2835" t="s">
        <v>125</v>
      </c>
      <c r="D2835" t="s">
        <v>126</v>
      </c>
      <c r="E2835">
        <v>1996</v>
      </c>
      <c r="F2835" s="1">
        <v>0</v>
      </c>
      <c r="G2835">
        <v>1990</v>
      </c>
      <c r="H2835">
        <f>AVERAGEIFS(Table1[value],Table1[IndicatorCode],Table1[[#This Row],[IndicatorCode]])</f>
        <v>7.6894248608534319</v>
      </c>
      <c r="I2835" cm="1">
        <f t="array" ref="I2835">_xlfn.STDEV.P(IF(Table1[IndicatorCode]=Table1[[#This Row],[IndicatorCode]],Table1[value]))</f>
        <v>5.2319501044600996</v>
      </c>
      <c r="J2835">
        <f>(Table1[[#This Row],[value]] - Table1[[#This Row],[mean]]) / Table1[[#This Row],[std_dev]]</f>
        <v>-1.4697053120400365</v>
      </c>
      <c r="K2835">
        <f>AVERAGEIF(Table1[CountryCode],Table1[[#This Row],[CountryCode]],Table1[z-score])</f>
        <v>-3.9589438634764836E-2</v>
      </c>
      <c r="L2835" t="e">
        <f>VLOOKUP(Table1[[#This Row],[CountryCode]],[1]!Table1[#Data],4,FALSE)</f>
        <v>#REF!</v>
      </c>
    </row>
    <row r="2836" spans="1:12" hidden="1" x14ac:dyDescent="0.3">
      <c r="A2836" t="s">
        <v>47</v>
      </c>
      <c r="B2836" t="s">
        <v>48</v>
      </c>
      <c r="C2836" t="s">
        <v>125</v>
      </c>
      <c r="D2836" t="s">
        <v>126</v>
      </c>
      <c r="E2836">
        <v>1997</v>
      </c>
      <c r="F2836" s="1">
        <v>0</v>
      </c>
      <c r="G2836">
        <v>2000</v>
      </c>
      <c r="H2836">
        <f>AVERAGEIFS(Table1[value],Table1[IndicatorCode],Table1[[#This Row],[IndicatorCode]])</f>
        <v>7.6894248608534319</v>
      </c>
      <c r="I2836" cm="1">
        <f t="array" ref="I2836">_xlfn.STDEV.P(IF(Table1[IndicatorCode]=Table1[[#This Row],[IndicatorCode]],Table1[value]))</f>
        <v>5.2319501044600996</v>
      </c>
      <c r="J2836">
        <f>(Table1[[#This Row],[value]] - Table1[[#This Row],[mean]]) / Table1[[#This Row],[std_dev]]</f>
        <v>-1.4697053120400365</v>
      </c>
      <c r="K2836">
        <f>AVERAGEIF(Table1[CountryCode],Table1[[#This Row],[CountryCode]],Table1[z-score])</f>
        <v>-3.9589438634764836E-2</v>
      </c>
      <c r="L2836" t="e">
        <f>VLOOKUP(Table1[[#This Row],[CountryCode]],[1]!Table1[#Data],4,FALSE)</f>
        <v>#REF!</v>
      </c>
    </row>
    <row r="2837" spans="1:12" hidden="1" x14ac:dyDescent="0.3">
      <c r="A2837" t="s">
        <v>47</v>
      </c>
      <c r="B2837" t="s">
        <v>48</v>
      </c>
      <c r="C2837" t="s">
        <v>125</v>
      </c>
      <c r="D2837" t="s">
        <v>126</v>
      </c>
      <c r="E2837">
        <v>1998</v>
      </c>
      <c r="F2837" s="1">
        <v>0</v>
      </c>
      <c r="G2837">
        <v>2000</v>
      </c>
      <c r="H2837">
        <f>AVERAGEIFS(Table1[value],Table1[IndicatorCode],Table1[[#This Row],[IndicatorCode]])</f>
        <v>7.6894248608534319</v>
      </c>
      <c r="I2837" cm="1">
        <f t="array" ref="I2837">_xlfn.STDEV.P(IF(Table1[IndicatorCode]=Table1[[#This Row],[IndicatorCode]],Table1[value]))</f>
        <v>5.2319501044600996</v>
      </c>
      <c r="J2837">
        <f>(Table1[[#This Row],[value]] - Table1[[#This Row],[mean]]) / Table1[[#This Row],[std_dev]]</f>
        <v>-1.4697053120400365</v>
      </c>
      <c r="K2837">
        <f>AVERAGEIF(Table1[CountryCode],Table1[[#This Row],[CountryCode]],Table1[z-score])</f>
        <v>-3.9589438634764836E-2</v>
      </c>
      <c r="L2837" t="e">
        <f>VLOOKUP(Table1[[#This Row],[CountryCode]],[1]!Table1[#Data],4,FALSE)</f>
        <v>#REF!</v>
      </c>
    </row>
    <row r="2838" spans="1:12" hidden="1" x14ac:dyDescent="0.3">
      <c r="A2838" t="s">
        <v>47</v>
      </c>
      <c r="B2838" t="s">
        <v>48</v>
      </c>
      <c r="C2838" t="s">
        <v>125</v>
      </c>
      <c r="D2838" t="s">
        <v>126</v>
      </c>
      <c r="E2838">
        <v>1999</v>
      </c>
      <c r="F2838" s="1">
        <v>0</v>
      </c>
      <c r="G2838">
        <v>2000</v>
      </c>
      <c r="H2838">
        <f>AVERAGEIFS(Table1[value],Table1[IndicatorCode],Table1[[#This Row],[IndicatorCode]])</f>
        <v>7.6894248608534319</v>
      </c>
      <c r="I2838" cm="1">
        <f t="array" ref="I2838">_xlfn.STDEV.P(IF(Table1[IndicatorCode]=Table1[[#This Row],[IndicatorCode]],Table1[value]))</f>
        <v>5.2319501044600996</v>
      </c>
      <c r="J2838">
        <f>(Table1[[#This Row],[value]] - Table1[[#This Row],[mean]]) / Table1[[#This Row],[std_dev]]</f>
        <v>-1.4697053120400365</v>
      </c>
      <c r="K2838">
        <f>AVERAGEIF(Table1[CountryCode],Table1[[#This Row],[CountryCode]],Table1[z-score])</f>
        <v>-3.9589438634764836E-2</v>
      </c>
      <c r="L2838" t="e">
        <f>VLOOKUP(Table1[[#This Row],[CountryCode]],[1]!Table1[#Data],4,FALSE)</f>
        <v>#REF!</v>
      </c>
    </row>
    <row r="2839" spans="1:12" hidden="1" x14ac:dyDescent="0.3">
      <c r="A2839" t="s">
        <v>47</v>
      </c>
      <c r="B2839" t="s">
        <v>48</v>
      </c>
      <c r="C2839" t="s">
        <v>125</v>
      </c>
      <c r="D2839" t="s">
        <v>126</v>
      </c>
      <c r="E2839">
        <v>2000</v>
      </c>
      <c r="F2839" s="1">
        <v>0</v>
      </c>
      <c r="G2839">
        <v>2000</v>
      </c>
      <c r="H2839">
        <f>AVERAGEIFS(Table1[value],Table1[IndicatorCode],Table1[[#This Row],[IndicatorCode]])</f>
        <v>7.6894248608534319</v>
      </c>
      <c r="I2839" cm="1">
        <f t="array" ref="I2839">_xlfn.STDEV.P(IF(Table1[IndicatorCode]=Table1[[#This Row],[IndicatorCode]],Table1[value]))</f>
        <v>5.2319501044600996</v>
      </c>
      <c r="J2839">
        <f>(Table1[[#This Row],[value]] - Table1[[#This Row],[mean]]) / Table1[[#This Row],[std_dev]]</f>
        <v>-1.4697053120400365</v>
      </c>
      <c r="K2839">
        <f>AVERAGEIF(Table1[CountryCode],Table1[[#This Row],[CountryCode]],Table1[z-score])</f>
        <v>-3.9589438634764836E-2</v>
      </c>
      <c r="L2839" t="e">
        <f>VLOOKUP(Table1[[#This Row],[CountryCode]],[1]!Table1[#Data],4,FALSE)</f>
        <v>#REF!</v>
      </c>
    </row>
    <row r="2840" spans="1:12" hidden="1" x14ac:dyDescent="0.3">
      <c r="A2840" t="s">
        <v>47</v>
      </c>
      <c r="B2840" t="s">
        <v>48</v>
      </c>
      <c r="C2840" t="s">
        <v>125</v>
      </c>
      <c r="D2840" t="s">
        <v>126</v>
      </c>
      <c r="E2840">
        <v>2001</v>
      </c>
      <c r="F2840" s="1">
        <v>0</v>
      </c>
      <c r="G2840">
        <v>2000</v>
      </c>
      <c r="H2840">
        <f>AVERAGEIFS(Table1[value],Table1[IndicatorCode],Table1[[#This Row],[IndicatorCode]])</f>
        <v>7.6894248608534319</v>
      </c>
      <c r="I2840" cm="1">
        <f t="array" ref="I2840">_xlfn.STDEV.P(IF(Table1[IndicatorCode]=Table1[[#This Row],[IndicatorCode]],Table1[value]))</f>
        <v>5.2319501044600996</v>
      </c>
      <c r="J2840">
        <f>(Table1[[#This Row],[value]] - Table1[[#This Row],[mean]]) / Table1[[#This Row],[std_dev]]</f>
        <v>-1.4697053120400365</v>
      </c>
      <c r="K2840">
        <f>AVERAGEIF(Table1[CountryCode],Table1[[#This Row],[CountryCode]],Table1[z-score])</f>
        <v>-3.9589438634764836E-2</v>
      </c>
      <c r="L2840" t="e">
        <f>VLOOKUP(Table1[[#This Row],[CountryCode]],[1]!Table1[#Data],4,FALSE)</f>
        <v>#REF!</v>
      </c>
    </row>
    <row r="2841" spans="1:12" hidden="1" x14ac:dyDescent="0.3">
      <c r="A2841" t="s">
        <v>47</v>
      </c>
      <c r="B2841" t="s">
        <v>48</v>
      </c>
      <c r="C2841" t="s">
        <v>125</v>
      </c>
      <c r="D2841" t="s">
        <v>126</v>
      </c>
      <c r="E2841">
        <v>2002</v>
      </c>
      <c r="F2841" s="1">
        <v>0</v>
      </c>
      <c r="G2841">
        <v>2000</v>
      </c>
      <c r="H2841">
        <f>AVERAGEIFS(Table1[value],Table1[IndicatorCode],Table1[[#This Row],[IndicatorCode]])</f>
        <v>7.6894248608534319</v>
      </c>
      <c r="I2841" cm="1">
        <f t="array" ref="I2841">_xlfn.STDEV.P(IF(Table1[IndicatorCode]=Table1[[#This Row],[IndicatorCode]],Table1[value]))</f>
        <v>5.2319501044600996</v>
      </c>
      <c r="J2841">
        <f>(Table1[[#This Row],[value]] - Table1[[#This Row],[mean]]) / Table1[[#This Row],[std_dev]]</f>
        <v>-1.4697053120400365</v>
      </c>
      <c r="K2841">
        <f>AVERAGEIF(Table1[CountryCode],Table1[[#This Row],[CountryCode]],Table1[z-score])</f>
        <v>-3.9589438634764836E-2</v>
      </c>
      <c r="L2841" t="e">
        <f>VLOOKUP(Table1[[#This Row],[CountryCode]],[1]!Table1[#Data],4,FALSE)</f>
        <v>#REF!</v>
      </c>
    </row>
    <row r="2842" spans="1:12" hidden="1" x14ac:dyDescent="0.3">
      <c r="A2842" t="s">
        <v>47</v>
      </c>
      <c r="B2842" t="s">
        <v>48</v>
      </c>
      <c r="C2842" t="s">
        <v>125</v>
      </c>
      <c r="D2842" t="s">
        <v>126</v>
      </c>
      <c r="E2842">
        <v>2003</v>
      </c>
      <c r="F2842" s="1">
        <v>0</v>
      </c>
      <c r="G2842">
        <v>2000</v>
      </c>
      <c r="H2842">
        <f>AVERAGEIFS(Table1[value],Table1[IndicatorCode],Table1[[#This Row],[IndicatorCode]])</f>
        <v>7.6894248608534319</v>
      </c>
      <c r="I2842" cm="1">
        <f t="array" ref="I2842">_xlfn.STDEV.P(IF(Table1[IndicatorCode]=Table1[[#This Row],[IndicatorCode]],Table1[value]))</f>
        <v>5.2319501044600996</v>
      </c>
      <c r="J2842">
        <f>(Table1[[#This Row],[value]] - Table1[[#This Row],[mean]]) / Table1[[#This Row],[std_dev]]</f>
        <v>-1.4697053120400365</v>
      </c>
      <c r="K2842">
        <f>AVERAGEIF(Table1[CountryCode],Table1[[#This Row],[CountryCode]],Table1[z-score])</f>
        <v>-3.9589438634764836E-2</v>
      </c>
      <c r="L2842" t="e">
        <f>VLOOKUP(Table1[[#This Row],[CountryCode]],[1]!Table1[#Data],4,FALSE)</f>
        <v>#REF!</v>
      </c>
    </row>
    <row r="2843" spans="1:12" hidden="1" x14ac:dyDescent="0.3">
      <c r="A2843" t="s">
        <v>47</v>
      </c>
      <c r="B2843" t="s">
        <v>48</v>
      </c>
      <c r="C2843" t="s">
        <v>125</v>
      </c>
      <c r="D2843" t="s">
        <v>126</v>
      </c>
      <c r="E2843">
        <v>2004</v>
      </c>
      <c r="F2843" s="1">
        <v>0</v>
      </c>
      <c r="G2843">
        <v>2000</v>
      </c>
      <c r="H2843">
        <f>AVERAGEIFS(Table1[value],Table1[IndicatorCode],Table1[[#This Row],[IndicatorCode]])</f>
        <v>7.6894248608534319</v>
      </c>
      <c r="I2843" cm="1">
        <f t="array" ref="I2843">_xlfn.STDEV.P(IF(Table1[IndicatorCode]=Table1[[#This Row],[IndicatorCode]],Table1[value]))</f>
        <v>5.2319501044600996</v>
      </c>
      <c r="J2843">
        <f>(Table1[[#This Row],[value]] - Table1[[#This Row],[mean]]) / Table1[[#This Row],[std_dev]]</f>
        <v>-1.4697053120400365</v>
      </c>
      <c r="K2843">
        <f>AVERAGEIF(Table1[CountryCode],Table1[[#This Row],[CountryCode]],Table1[z-score])</f>
        <v>-3.9589438634764836E-2</v>
      </c>
      <c r="L2843" t="e">
        <f>VLOOKUP(Table1[[#This Row],[CountryCode]],[1]!Table1[#Data],4,FALSE)</f>
        <v>#REF!</v>
      </c>
    </row>
    <row r="2844" spans="1:12" hidden="1" x14ac:dyDescent="0.3">
      <c r="A2844" t="s">
        <v>47</v>
      </c>
      <c r="B2844" t="s">
        <v>48</v>
      </c>
      <c r="C2844" t="s">
        <v>125</v>
      </c>
      <c r="D2844" t="s">
        <v>126</v>
      </c>
      <c r="E2844">
        <v>2005</v>
      </c>
      <c r="F2844" s="1">
        <v>0</v>
      </c>
      <c r="G2844">
        <v>2000</v>
      </c>
      <c r="H2844">
        <f>AVERAGEIFS(Table1[value],Table1[IndicatorCode],Table1[[#This Row],[IndicatorCode]])</f>
        <v>7.6894248608534319</v>
      </c>
      <c r="I2844" cm="1">
        <f t="array" ref="I2844">_xlfn.STDEV.P(IF(Table1[IndicatorCode]=Table1[[#This Row],[IndicatorCode]],Table1[value]))</f>
        <v>5.2319501044600996</v>
      </c>
      <c r="J2844">
        <f>(Table1[[#This Row],[value]] - Table1[[#This Row],[mean]]) / Table1[[#This Row],[std_dev]]</f>
        <v>-1.4697053120400365</v>
      </c>
      <c r="K2844">
        <f>AVERAGEIF(Table1[CountryCode],Table1[[#This Row],[CountryCode]],Table1[z-score])</f>
        <v>-3.9589438634764836E-2</v>
      </c>
      <c r="L2844" t="e">
        <f>VLOOKUP(Table1[[#This Row],[CountryCode]],[1]!Table1[#Data],4,FALSE)</f>
        <v>#REF!</v>
      </c>
    </row>
    <row r="2845" spans="1:12" hidden="1" x14ac:dyDescent="0.3">
      <c r="A2845" t="s">
        <v>47</v>
      </c>
      <c r="B2845" t="s">
        <v>48</v>
      </c>
      <c r="C2845" t="s">
        <v>125</v>
      </c>
      <c r="D2845" t="s">
        <v>126</v>
      </c>
      <c r="E2845">
        <v>2006</v>
      </c>
      <c r="F2845" s="1">
        <v>0</v>
      </c>
      <c r="G2845">
        <v>2000</v>
      </c>
      <c r="H2845">
        <f>AVERAGEIFS(Table1[value],Table1[IndicatorCode],Table1[[#This Row],[IndicatorCode]])</f>
        <v>7.6894248608534319</v>
      </c>
      <c r="I2845" cm="1">
        <f t="array" ref="I2845">_xlfn.STDEV.P(IF(Table1[IndicatorCode]=Table1[[#This Row],[IndicatorCode]],Table1[value]))</f>
        <v>5.2319501044600996</v>
      </c>
      <c r="J2845">
        <f>(Table1[[#This Row],[value]] - Table1[[#This Row],[mean]]) / Table1[[#This Row],[std_dev]]</f>
        <v>-1.4697053120400365</v>
      </c>
      <c r="K2845">
        <f>AVERAGEIF(Table1[CountryCode],Table1[[#This Row],[CountryCode]],Table1[z-score])</f>
        <v>-3.9589438634764836E-2</v>
      </c>
      <c r="L2845" t="e">
        <f>VLOOKUP(Table1[[#This Row],[CountryCode]],[1]!Table1[#Data],4,FALSE)</f>
        <v>#REF!</v>
      </c>
    </row>
    <row r="2846" spans="1:12" hidden="1" x14ac:dyDescent="0.3">
      <c r="A2846" t="s">
        <v>47</v>
      </c>
      <c r="B2846" t="s">
        <v>48</v>
      </c>
      <c r="C2846" t="s">
        <v>125</v>
      </c>
      <c r="D2846" t="s">
        <v>126</v>
      </c>
      <c r="E2846">
        <v>2007</v>
      </c>
      <c r="F2846" s="1">
        <v>0</v>
      </c>
      <c r="G2846">
        <v>2010</v>
      </c>
      <c r="H2846">
        <f>AVERAGEIFS(Table1[value],Table1[IndicatorCode],Table1[[#This Row],[IndicatorCode]])</f>
        <v>7.6894248608534319</v>
      </c>
      <c r="I2846" cm="1">
        <f t="array" ref="I2846">_xlfn.STDEV.P(IF(Table1[IndicatorCode]=Table1[[#This Row],[IndicatorCode]],Table1[value]))</f>
        <v>5.2319501044600996</v>
      </c>
      <c r="J2846">
        <f>(Table1[[#This Row],[value]] - Table1[[#This Row],[mean]]) / Table1[[#This Row],[std_dev]]</f>
        <v>-1.4697053120400365</v>
      </c>
      <c r="K2846">
        <f>AVERAGEIF(Table1[CountryCode],Table1[[#This Row],[CountryCode]],Table1[z-score])</f>
        <v>-3.9589438634764836E-2</v>
      </c>
      <c r="L2846" t="e">
        <f>VLOOKUP(Table1[[#This Row],[CountryCode]],[1]!Table1[#Data],4,FALSE)</f>
        <v>#REF!</v>
      </c>
    </row>
    <row r="2847" spans="1:12" hidden="1" x14ac:dyDescent="0.3">
      <c r="A2847" t="s">
        <v>47</v>
      </c>
      <c r="B2847" t="s">
        <v>48</v>
      </c>
      <c r="C2847" t="s">
        <v>125</v>
      </c>
      <c r="D2847" t="s">
        <v>126</v>
      </c>
      <c r="E2847">
        <v>2008</v>
      </c>
      <c r="F2847" s="1">
        <v>0</v>
      </c>
      <c r="G2847">
        <v>2010</v>
      </c>
      <c r="H2847">
        <f>AVERAGEIFS(Table1[value],Table1[IndicatorCode],Table1[[#This Row],[IndicatorCode]])</f>
        <v>7.6894248608534319</v>
      </c>
      <c r="I2847" cm="1">
        <f t="array" ref="I2847">_xlfn.STDEV.P(IF(Table1[IndicatorCode]=Table1[[#This Row],[IndicatorCode]],Table1[value]))</f>
        <v>5.2319501044600996</v>
      </c>
      <c r="J2847">
        <f>(Table1[[#This Row],[value]] - Table1[[#This Row],[mean]]) / Table1[[#This Row],[std_dev]]</f>
        <v>-1.4697053120400365</v>
      </c>
      <c r="K2847">
        <f>AVERAGEIF(Table1[CountryCode],Table1[[#This Row],[CountryCode]],Table1[z-score])</f>
        <v>-3.9589438634764836E-2</v>
      </c>
      <c r="L2847" t="e">
        <f>VLOOKUP(Table1[[#This Row],[CountryCode]],[1]!Table1[#Data],4,FALSE)</f>
        <v>#REF!</v>
      </c>
    </row>
    <row r="2848" spans="1:12" hidden="1" x14ac:dyDescent="0.3">
      <c r="A2848" t="s">
        <v>47</v>
      </c>
      <c r="B2848" t="s">
        <v>48</v>
      </c>
      <c r="C2848" t="s">
        <v>125</v>
      </c>
      <c r="D2848" t="s">
        <v>126</v>
      </c>
      <c r="E2848">
        <v>2009</v>
      </c>
      <c r="F2848" s="1">
        <v>0</v>
      </c>
      <c r="G2848">
        <v>2010</v>
      </c>
      <c r="H2848">
        <f>AVERAGEIFS(Table1[value],Table1[IndicatorCode],Table1[[#This Row],[IndicatorCode]])</f>
        <v>7.6894248608534319</v>
      </c>
      <c r="I2848" cm="1">
        <f t="array" ref="I2848">_xlfn.STDEV.P(IF(Table1[IndicatorCode]=Table1[[#This Row],[IndicatorCode]],Table1[value]))</f>
        <v>5.2319501044600996</v>
      </c>
      <c r="J2848">
        <f>(Table1[[#This Row],[value]] - Table1[[#This Row],[mean]]) / Table1[[#This Row],[std_dev]]</f>
        <v>-1.4697053120400365</v>
      </c>
      <c r="K2848">
        <f>AVERAGEIF(Table1[CountryCode],Table1[[#This Row],[CountryCode]],Table1[z-score])</f>
        <v>-3.9589438634764836E-2</v>
      </c>
      <c r="L2848" t="e">
        <f>VLOOKUP(Table1[[#This Row],[CountryCode]],[1]!Table1[#Data],4,FALSE)</f>
        <v>#REF!</v>
      </c>
    </row>
    <row r="2849" spans="1:12" hidden="1" x14ac:dyDescent="0.3">
      <c r="A2849" t="s">
        <v>47</v>
      </c>
      <c r="B2849" t="s">
        <v>48</v>
      </c>
      <c r="C2849" t="s">
        <v>125</v>
      </c>
      <c r="D2849" t="s">
        <v>126</v>
      </c>
      <c r="E2849">
        <v>2010</v>
      </c>
      <c r="F2849" s="1">
        <v>0</v>
      </c>
      <c r="G2849">
        <v>2010</v>
      </c>
      <c r="H2849">
        <f>AVERAGEIFS(Table1[value],Table1[IndicatorCode],Table1[[#This Row],[IndicatorCode]])</f>
        <v>7.6894248608534319</v>
      </c>
      <c r="I2849" cm="1">
        <f t="array" ref="I2849">_xlfn.STDEV.P(IF(Table1[IndicatorCode]=Table1[[#This Row],[IndicatorCode]],Table1[value]))</f>
        <v>5.2319501044600996</v>
      </c>
      <c r="J2849">
        <f>(Table1[[#This Row],[value]] - Table1[[#This Row],[mean]]) / Table1[[#This Row],[std_dev]]</f>
        <v>-1.4697053120400365</v>
      </c>
      <c r="K2849">
        <f>AVERAGEIF(Table1[CountryCode],Table1[[#This Row],[CountryCode]],Table1[z-score])</f>
        <v>-3.9589438634764836E-2</v>
      </c>
      <c r="L2849" t="e">
        <f>VLOOKUP(Table1[[#This Row],[CountryCode]],[1]!Table1[#Data],4,FALSE)</f>
        <v>#REF!</v>
      </c>
    </row>
    <row r="2850" spans="1:12" hidden="1" x14ac:dyDescent="0.3">
      <c r="A2850" t="s">
        <v>47</v>
      </c>
      <c r="B2850" t="s">
        <v>48</v>
      </c>
      <c r="C2850" t="s">
        <v>125</v>
      </c>
      <c r="D2850" t="s">
        <v>126</v>
      </c>
      <c r="E2850">
        <v>2011</v>
      </c>
      <c r="F2850" s="1">
        <v>0</v>
      </c>
      <c r="G2850">
        <v>2010</v>
      </c>
      <c r="H2850">
        <f>AVERAGEIFS(Table1[value],Table1[IndicatorCode],Table1[[#This Row],[IndicatorCode]])</f>
        <v>7.6894248608534319</v>
      </c>
      <c r="I2850" cm="1">
        <f t="array" ref="I2850">_xlfn.STDEV.P(IF(Table1[IndicatorCode]=Table1[[#This Row],[IndicatorCode]],Table1[value]))</f>
        <v>5.2319501044600996</v>
      </c>
      <c r="J2850">
        <f>(Table1[[#This Row],[value]] - Table1[[#This Row],[mean]]) / Table1[[#This Row],[std_dev]]</f>
        <v>-1.4697053120400365</v>
      </c>
      <c r="K2850">
        <f>AVERAGEIF(Table1[CountryCode],Table1[[#This Row],[CountryCode]],Table1[z-score])</f>
        <v>-3.9589438634764836E-2</v>
      </c>
      <c r="L2850" t="e">
        <f>VLOOKUP(Table1[[#This Row],[CountryCode]],[1]!Table1[#Data],4,FALSE)</f>
        <v>#REF!</v>
      </c>
    </row>
    <row r="2851" spans="1:12" hidden="1" x14ac:dyDescent="0.3">
      <c r="A2851" t="s">
        <v>47</v>
      </c>
      <c r="B2851" t="s">
        <v>48</v>
      </c>
      <c r="C2851" t="s">
        <v>125</v>
      </c>
      <c r="D2851" t="s">
        <v>126</v>
      </c>
      <c r="E2851">
        <v>2012</v>
      </c>
      <c r="F2851" s="1">
        <v>0</v>
      </c>
      <c r="G2851">
        <v>2010</v>
      </c>
      <c r="H2851">
        <f>AVERAGEIFS(Table1[value],Table1[IndicatorCode],Table1[[#This Row],[IndicatorCode]])</f>
        <v>7.6894248608534319</v>
      </c>
      <c r="I2851" cm="1">
        <f t="array" ref="I2851">_xlfn.STDEV.P(IF(Table1[IndicatorCode]=Table1[[#This Row],[IndicatorCode]],Table1[value]))</f>
        <v>5.2319501044600996</v>
      </c>
      <c r="J2851">
        <f>(Table1[[#This Row],[value]] - Table1[[#This Row],[mean]]) / Table1[[#This Row],[std_dev]]</f>
        <v>-1.4697053120400365</v>
      </c>
      <c r="K2851">
        <f>AVERAGEIF(Table1[CountryCode],Table1[[#This Row],[CountryCode]],Table1[z-score])</f>
        <v>-3.9589438634764836E-2</v>
      </c>
      <c r="L2851" t="e">
        <f>VLOOKUP(Table1[[#This Row],[CountryCode]],[1]!Table1[#Data],4,FALSE)</f>
        <v>#REF!</v>
      </c>
    </row>
    <row r="2852" spans="1:12" hidden="1" x14ac:dyDescent="0.3">
      <c r="A2852" t="s">
        <v>47</v>
      </c>
      <c r="B2852" t="s">
        <v>48</v>
      </c>
      <c r="C2852" t="s">
        <v>125</v>
      </c>
      <c r="D2852" t="s">
        <v>126</v>
      </c>
      <c r="E2852">
        <v>2013</v>
      </c>
      <c r="F2852" s="1">
        <v>0</v>
      </c>
      <c r="G2852">
        <v>2010</v>
      </c>
      <c r="H2852">
        <f>AVERAGEIFS(Table1[value],Table1[IndicatorCode],Table1[[#This Row],[IndicatorCode]])</f>
        <v>7.6894248608534319</v>
      </c>
      <c r="I2852" cm="1">
        <f t="array" ref="I2852">_xlfn.STDEV.P(IF(Table1[IndicatorCode]=Table1[[#This Row],[IndicatorCode]],Table1[value]))</f>
        <v>5.2319501044600996</v>
      </c>
      <c r="J2852">
        <f>(Table1[[#This Row],[value]] - Table1[[#This Row],[mean]]) / Table1[[#This Row],[std_dev]]</f>
        <v>-1.4697053120400365</v>
      </c>
      <c r="K2852">
        <f>AVERAGEIF(Table1[CountryCode],Table1[[#This Row],[CountryCode]],Table1[z-score])</f>
        <v>-3.9589438634764836E-2</v>
      </c>
      <c r="L2852" t="e">
        <f>VLOOKUP(Table1[[#This Row],[CountryCode]],[1]!Table1[#Data],4,FALSE)</f>
        <v>#REF!</v>
      </c>
    </row>
    <row r="2853" spans="1:12" hidden="1" x14ac:dyDescent="0.3">
      <c r="A2853" t="s">
        <v>47</v>
      </c>
      <c r="B2853" t="s">
        <v>48</v>
      </c>
      <c r="C2853" t="s">
        <v>125</v>
      </c>
      <c r="D2853" t="s">
        <v>126</v>
      </c>
      <c r="E2853">
        <v>2014</v>
      </c>
      <c r="F2853" s="1">
        <v>0</v>
      </c>
      <c r="G2853">
        <v>2010</v>
      </c>
      <c r="H2853">
        <f>AVERAGEIFS(Table1[value],Table1[IndicatorCode],Table1[[#This Row],[IndicatorCode]])</f>
        <v>7.6894248608534319</v>
      </c>
      <c r="I2853" cm="1">
        <f t="array" ref="I2853">_xlfn.STDEV.P(IF(Table1[IndicatorCode]=Table1[[#This Row],[IndicatorCode]],Table1[value]))</f>
        <v>5.2319501044600996</v>
      </c>
      <c r="J2853">
        <f>(Table1[[#This Row],[value]] - Table1[[#This Row],[mean]]) / Table1[[#This Row],[std_dev]]</f>
        <v>-1.4697053120400365</v>
      </c>
      <c r="K2853">
        <f>AVERAGEIF(Table1[CountryCode],Table1[[#This Row],[CountryCode]],Table1[z-score])</f>
        <v>-3.9589438634764836E-2</v>
      </c>
      <c r="L2853" t="e">
        <f>VLOOKUP(Table1[[#This Row],[CountryCode]],[1]!Table1[#Data],4,FALSE)</f>
        <v>#REF!</v>
      </c>
    </row>
    <row r="2854" spans="1:12" hidden="1" x14ac:dyDescent="0.3">
      <c r="A2854" t="s">
        <v>47</v>
      </c>
      <c r="B2854" t="s">
        <v>48</v>
      </c>
      <c r="C2854" t="s">
        <v>125</v>
      </c>
      <c r="D2854" t="s">
        <v>126</v>
      </c>
      <c r="E2854">
        <v>2015</v>
      </c>
      <c r="F2854" s="1">
        <v>0</v>
      </c>
      <c r="G2854">
        <v>2010</v>
      </c>
      <c r="H2854">
        <f>AVERAGEIFS(Table1[value],Table1[IndicatorCode],Table1[[#This Row],[IndicatorCode]])</f>
        <v>7.6894248608534319</v>
      </c>
      <c r="I2854" cm="1">
        <f t="array" ref="I2854">_xlfn.STDEV.P(IF(Table1[IndicatorCode]=Table1[[#This Row],[IndicatorCode]],Table1[value]))</f>
        <v>5.2319501044600996</v>
      </c>
      <c r="J2854">
        <f>(Table1[[#This Row],[value]] - Table1[[#This Row],[mean]]) / Table1[[#This Row],[std_dev]]</f>
        <v>-1.4697053120400365</v>
      </c>
      <c r="K2854">
        <f>AVERAGEIF(Table1[CountryCode],Table1[[#This Row],[CountryCode]],Table1[z-score])</f>
        <v>-3.9589438634764836E-2</v>
      </c>
      <c r="L2854" t="e">
        <f>VLOOKUP(Table1[[#This Row],[CountryCode]],[1]!Table1[#Data],4,FALSE)</f>
        <v>#REF!</v>
      </c>
    </row>
    <row r="2855" spans="1:12" hidden="1" x14ac:dyDescent="0.3">
      <c r="A2855" t="s">
        <v>47</v>
      </c>
      <c r="B2855" t="s">
        <v>48</v>
      </c>
      <c r="C2855" t="s">
        <v>125</v>
      </c>
      <c r="D2855" t="s">
        <v>126</v>
      </c>
      <c r="E2855">
        <v>2016</v>
      </c>
      <c r="F2855" s="1">
        <v>0</v>
      </c>
      <c r="G2855">
        <v>2010</v>
      </c>
      <c r="H2855">
        <f>AVERAGEIFS(Table1[value],Table1[IndicatorCode],Table1[[#This Row],[IndicatorCode]])</f>
        <v>7.6894248608534319</v>
      </c>
      <c r="I2855" cm="1">
        <f t="array" ref="I2855">_xlfn.STDEV.P(IF(Table1[IndicatorCode]=Table1[[#This Row],[IndicatorCode]],Table1[value]))</f>
        <v>5.2319501044600996</v>
      </c>
      <c r="J2855">
        <f>(Table1[[#This Row],[value]] - Table1[[#This Row],[mean]]) / Table1[[#This Row],[std_dev]]</f>
        <v>-1.4697053120400365</v>
      </c>
      <c r="K2855">
        <f>AVERAGEIF(Table1[CountryCode],Table1[[#This Row],[CountryCode]],Table1[z-score])</f>
        <v>-3.9589438634764836E-2</v>
      </c>
      <c r="L2855" t="e">
        <f>VLOOKUP(Table1[[#This Row],[CountryCode]],[1]!Table1[#Data],4,FALSE)</f>
        <v>#REF!</v>
      </c>
    </row>
    <row r="2856" spans="1:12" hidden="1" x14ac:dyDescent="0.3">
      <c r="A2856" t="s">
        <v>47</v>
      </c>
      <c r="B2856" t="s">
        <v>48</v>
      </c>
      <c r="C2856" t="s">
        <v>125</v>
      </c>
      <c r="D2856" t="s">
        <v>126</v>
      </c>
      <c r="E2856">
        <v>2017</v>
      </c>
      <c r="F2856" s="1">
        <v>0</v>
      </c>
      <c r="G2856">
        <v>2020</v>
      </c>
      <c r="H2856">
        <f>AVERAGEIFS(Table1[value],Table1[IndicatorCode],Table1[[#This Row],[IndicatorCode]])</f>
        <v>7.6894248608534319</v>
      </c>
      <c r="I2856" cm="1">
        <f t="array" ref="I2856">_xlfn.STDEV.P(IF(Table1[IndicatorCode]=Table1[[#This Row],[IndicatorCode]],Table1[value]))</f>
        <v>5.2319501044600996</v>
      </c>
      <c r="J2856">
        <f>(Table1[[#This Row],[value]] - Table1[[#This Row],[mean]]) / Table1[[#This Row],[std_dev]]</f>
        <v>-1.4697053120400365</v>
      </c>
      <c r="K2856">
        <f>AVERAGEIF(Table1[CountryCode],Table1[[#This Row],[CountryCode]],Table1[z-score])</f>
        <v>-3.9589438634764836E-2</v>
      </c>
      <c r="L2856" t="e">
        <f>VLOOKUP(Table1[[#This Row],[CountryCode]],[1]!Table1[#Data],4,FALSE)</f>
        <v>#REF!</v>
      </c>
    </row>
    <row r="2857" spans="1:12" hidden="1" x14ac:dyDescent="0.3">
      <c r="A2857" t="s">
        <v>47</v>
      </c>
      <c r="B2857" t="s">
        <v>48</v>
      </c>
      <c r="C2857" t="s">
        <v>125</v>
      </c>
      <c r="D2857" t="s">
        <v>126</v>
      </c>
      <c r="E2857">
        <v>2018</v>
      </c>
      <c r="F2857" s="1">
        <v>0</v>
      </c>
      <c r="G2857">
        <v>2020</v>
      </c>
      <c r="H2857">
        <f>AVERAGEIFS(Table1[value],Table1[IndicatorCode],Table1[[#This Row],[IndicatorCode]])</f>
        <v>7.6894248608534319</v>
      </c>
      <c r="I2857" cm="1">
        <f t="array" ref="I2857">_xlfn.STDEV.P(IF(Table1[IndicatorCode]=Table1[[#This Row],[IndicatorCode]],Table1[value]))</f>
        <v>5.2319501044600996</v>
      </c>
      <c r="J2857">
        <f>(Table1[[#This Row],[value]] - Table1[[#This Row],[mean]]) / Table1[[#This Row],[std_dev]]</f>
        <v>-1.4697053120400365</v>
      </c>
      <c r="K2857">
        <f>AVERAGEIF(Table1[CountryCode],Table1[[#This Row],[CountryCode]],Table1[z-score])</f>
        <v>-3.9589438634764836E-2</v>
      </c>
      <c r="L2857" t="e">
        <f>VLOOKUP(Table1[[#This Row],[CountryCode]],[1]!Table1[#Data],4,FALSE)</f>
        <v>#REF!</v>
      </c>
    </row>
    <row r="2858" spans="1:12" hidden="1" x14ac:dyDescent="0.3">
      <c r="A2858" t="s">
        <v>47</v>
      </c>
      <c r="B2858" t="s">
        <v>48</v>
      </c>
      <c r="C2858" t="s">
        <v>125</v>
      </c>
      <c r="D2858" t="s">
        <v>126</v>
      </c>
      <c r="E2858">
        <v>2019</v>
      </c>
      <c r="F2858" s="1">
        <v>0</v>
      </c>
      <c r="G2858">
        <v>2020</v>
      </c>
      <c r="H2858">
        <f>AVERAGEIFS(Table1[value],Table1[IndicatorCode],Table1[[#This Row],[IndicatorCode]])</f>
        <v>7.6894248608534319</v>
      </c>
      <c r="I2858" cm="1">
        <f t="array" ref="I2858">_xlfn.STDEV.P(IF(Table1[IndicatorCode]=Table1[[#This Row],[IndicatorCode]],Table1[value]))</f>
        <v>5.2319501044600996</v>
      </c>
      <c r="J2858">
        <f>(Table1[[#This Row],[value]] - Table1[[#This Row],[mean]]) / Table1[[#This Row],[std_dev]]</f>
        <v>-1.4697053120400365</v>
      </c>
      <c r="K2858">
        <f>AVERAGEIF(Table1[CountryCode],Table1[[#This Row],[CountryCode]],Table1[z-score])</f>
        <v>-3.9589438634764836E-2</v>
      </c>
      <c r="L2858" t="e">
        <f>VLOOKUP(Table1[[#This Row],[CountryCode]],[1]!Table1[#Data],4,FALSE)</f>
        <v>#REF!</v>
      </c>
    </row>
    <row r="2859" spans="1:12" x14ac:dyDescent="0.3">
      <c r="A2859" t="s">
        <v>47</v>
      </c>
      <c r="B2859" t="s">
        <v>48</v>
      </c>
      <c r="C2859" t="s">
        <v>125</v>
      </c>
      <c r="D2859" t="s">
        <v>126</v>
      </c>
      <c r="E2859">
        <v>2020</v>
      </c>
      <c r="F2859" s="1">
        <v>0</v>
      </c>
      <c r="G2859">
        <v>2020</v>
      </c>
      <c r="H2859">
        <f>AVERAGEIFS(Table1[value],Table1[IndicatorCode],Table1[[#This Row],[IndicatorCode]])</f>
        <v>7.6894248608534319</v>
      </c>
      <c r="I2859" cm="1">
        <f t="array" ref="I2859">_xlfn.STDEV.P(IF(Table1[IndicatorCode]=Table1[[#This Row],[IndicatorCode]],Table1[value]))</f>
        <v>5.2319501044600996</v>
      </c>
      <c r="J2859">
        <f>(Table1[[#This Row],[value]] - Table1[[#This Row],[mean]]) / Table1[[#This Row],[std_dev]]</f>
        <v>-1.4697053120400365</v>
      </c>
      <c r="K2859">
        <f>AVERAGEIF(Table1[CountryCode],Table1[[#This Row],[CountryCode]],Table1[z-score])</f>
        <v>-3.9589438634764836E-2</v>
      </c>
    </row>
    <row r="2860" spans="1:12" hidden="1" x14ac:dyDescent="0.3">
      <c r="A2860" t="s">
        <v>47</v>
      </c>
      <c r="B2860" t="s">
        <v>48</v>
      </c>
      <c r="C2860" t="s">
        <v>125</v>
      </c>
      <c r="D2860" t="s">
        <v>126</v>
      </c>
      <c r="E2860">
        <v>2021</v>
      </c>
      <c r="F2860" s="1">
        <v>0</v>
      </c>
      <c r="G2860">
        <v>2020</v>
      </c>
      <c r="H2860">
        <f>AVERAGEIFS(Table1[value],Table1[IndicatorCode],Table1[[#This Row],[IndicatorCode]])</f>
        <v>7.6894248608534319</v>
      </c>
      <c r="I2860" cm="1">
        <f t="array" ref="I2860">_xlfn.STDEV.P(IF(Table1[IndicatorCode]=Table1[[#This Row],[IndicatorCode]],Table1[value]))</f>
        <v>5.2319501044600996</v>
      </c>
      <c r="J2860">
        <f>(Table1[[#This Row],[value]] - Table1[[#This Row],[mean]]) / Table1[[#This Row],[std_dev]]</f>
        <v>-1.4697053120400365</v>
      </c>
      <c r="K2860">
        <f>AVERAGEIF(Table1[CountryCode],Table1[[#This Row],[CountryCode]],Table1[z-score])</f>
        <v>-3.9589438634764836E-2</v>
      </c>
      <c r="L2860" t="e">
        <f>VLOOKUP(Table1[[#This Row],[CountryCode]],[1]!Table1[#Data],4,FALSE)</f>
        <v>#REF!</v>
      </c>
    </row>
    <row r="2861" spans="1:12" hidden="1" x14ac:dyDescent="0.3">
      <c r="A2861" t="s">
        <v>47</v>
      </c>
      <c r="B2861" t="s">
        <v>48</v>
      </c>
      <c r="C2861" t="s">
        <v>125</v>
      </c>
      <c r="D2861" t="s">
        <v>126</v>
      </c>
      <c r="E2861">
        <v>2022</v>
      </c>
      <c r="F2861" s="1">
        <v>0</v>
      </c>
      <c r="G2861">
        <v>1970</v>
      </c>
      <c r="H2861">
        <f>AVERAGEIFS(Table1[value],Table1[IndicatorCode],Table1[[#This Row],[IndicatorCode]])</f>
        <v>7.6894248608534319</v>
      </c>
      <c r="I2861" cm="1">
        <f t="array" ref="I2861">_xlfn.STDEV.P(IF(Table1[IndicatorCode]=Table1[[#This Row],[IndicatorCode]],Table1[value]))</f>
        <v>5.2319501044600996</v>
      </c>
      <c r="J2861">
        <f>(Table1[[#This Row],[value]] - Table1[[#This Row],[mean]]) / Table1[[#This Row],[std_dev]]</f>
        <v>-1.4697053120400365</v>
      </c>
      <c r="K2861">
        <f>AVERAGEIF(Table1[CountryCode],Table1[[#This Row],[CountryCode]],Table1[z-score])</f>
        <v>-3.9589438634764836E-2</v>
      </c>
      <c r="L2861" t="e">
        <f>VLOOKUP(Table1[[#This Row],[CountryCode]],[1]!Table1[#Data],4,FALSE)</f>
        <v>#REF!</v>
      </c>
    </row>
    <row r="2862" spans="1:12" hidden="1" x14ac:dyDescent="0.3">
      <c r="A2862" t="s">
        <v>47</v>
      </c>
      <c r="B2862" t="s">
        <v>48</v>
      </c>
      <c r="C2862" t="s">
        <v>125</v>
      </c>
      <c r="D2862" t="s">
        <v>126</v>
      </c>
      <c r="E2862">
        <v>2023</v>
      </c>
      <c r="F2862" s="1">
        <v>0</v>
      </c>
      <c r="G2862">
        <v>1970</v>
      </c>
      <c r="H2862">
        <f>AVERAGEIFS(Table1[value],Table1[IndicatorCode],Table1[[#This Row],[IndicatorCode]])</f>
        <v>7.6894248608534319</v>
      </c>
      <c r="I2862" cm="1">
        <f t="array" ref="I2862">_xlfn.STDEV.P(IF(Table1[IndicatorCode]=Table1[[#This Row],[IndicatorCode]],Table1[value]))</f>
        <v>5.2319501044600996</v>
      </c>
      <c r="J2862">
        <f>(Table1[[#This Row],[value]] - Table1[[#This Row],[mean]]) / Table1[[#This Row],[std_dev]]</f>
        <v>-1.4697053120400365</v>
      </c>
      <c r="K2862">
        <f>AVERAGEIF(Table1[CountryCode],Table1[[#This Row],[CountryCode]],Table1[z-score])</f>
        <v>-3.9589438634764836E-2</v>
      </c>
      <c r="L2862" t="e">
        <f>VLOOKUP(Table1[[#This Row],[CountryCode]],[1]!Table1[#Data],4,FALSE)</f>
        <v>#REF!</v>
      </c>
    </row>
    <row r="2863" spans="1:12" hidden="1" x14ac:dyDescent="0.3">
      <c r="A2863" t="s">
        <v>47</v>
      </c>
      <c r="B2863" t="s">
        <v>48</v>
      </c>
      <c r="C2863" t="s">
        <v>125</v>
      </c>
      <c r="D2863" t="s">
        <v>126</v>
      </c>
      <c r="E2863">
        <v>2024</v>
      </c>
      <c r="F2863" s="1">
        <v>0</v>
      </c>
      <c r="G2863">
        <v>1970</v>
      </c>
      <c r="H2863">
        <f>AVERAGEIFS(Table1[value],Table1[IndicatorCode],Table1[[#This Row],[IndicatorCode]])</f>
        <v>7.6894248608534319</v>
      </c>
      <c r="I2863" cm="1">
        <f t="array" ref="I2863">_xlfn.STDEV.P(IF(Table1[IndicatorCode]=Table1[[#This Row],[IndicatorCode]],Table1[value]))</f>
        <v>5.2319501044600996</v>
      </c>
      <c r="J2863">
        <f>(Table1[[#This Row],[value]] - Table1[[#This Row],[mean]]) / Table1[[#This Row],[std_dev]]</f>
        <v>-1.4697053120400365</v>
      </c>
      <c r="K2863">
        <f>AVERAGEIF(Table1[CountryCode],Table1[[#This Row],[CountryCode]],Table1[z-score])</f>
        <v>-3.9589438634764836E-2</v>
      </c>
      <c r="L2863" t="e">
        <f>VLOOKUP(Table1[[#This Row],[CountryCode]],[1]!Table1[#Data],4,FALSE)</f>
        <v>#REF!</v>
      </c>
    </row>
    <row r="2864" spans="1:12" hidden="1" x14ac:dyDescent="0.3">
      <c r="A2864" t="s">
        <v>49</v>
      </c>
      <c r="B2864" t="s">
        <v>50</v>
      </c>
      <c r="C2864" t="s">
        <v>125</v>
      </c>
      <c r="D2864" t="s">
        <v>126</v>
      </c>
      <c r="E2864">
        <v>1970</v>
      </c>
      <c r="F2864" s="1">
        <v>12</v>
      </c>
      <c r="G2864">
        <v>1970</v>
      </c>
      <c r="H2864">
        <f>AVERAGEIFS(Table1[value],Table1[IndicatorCode],Table1[[#This Row],[IndicatorCode]])</f>
        <v>7.6894248608534319</v>
      </c>
      <c r="I2864" cm="1">
        <f t="array" ref="I2864">_xlfn.STDEV.P(IF(Table1[IndicatorCode]=Table1[[#This Row],[IndicatorCode]],Table1[value]))</f>
        <v>5.2319501044600996</v>
      </c>
      <c r="J2864">
        <f>(Table1[[#This Row],[value]] - Table1[[#This Row],[mean]]) / Table1[[#This Row],[std_dev]]</f>
        <v>0.82389454277706442</v>
      </c>
      <c r="K2864">
        <f>AVERAGEIF(Table1[CountryCode],Table1[[#This Row],[CountryCode]],Table1[z-score])</f>
        <v>0.3375502618800939</v>
      </c>
      <c r="L2864" t="e">
        <f>VLOOKUP(Table1[[#This Row],[CountryCode]],[1]!Table1[#Data],4,FALSE)</f>
        <v>#REF!</v>
      </c>
    </row>
    <row r="2865" spans="1:12" hidden="1" x14ac:dyDescent="0.3">
      <c r="A2865" t="s">
        <v>49</v>
      </c>
      <c r="B2865" t="s">
        <v>50</v>
      </c>
      <c r="C2865" t="s">
        <v>125</v>
      </c>
      <c r="D2865" t="s">
        <v>126</v>
      </c>
      <c r="E2865">
        <v>1971</v>
      </c>
      <c r="F2865" s="1">
        <v>12</v>
      </c>
      <c r="G2865">
        <v>1970</v>
      </c>
      <c r="H2865">
        <f>AVERAGEIFS(Table1[value],Table1[IndicatorCode],Table1[[#This Row],[IndicatorCode]])</f>
        <v>7.6894248608534319</v>
      </c>
      <c r="I2865" cm="1">
        <f t="array" ref="I2865">_xlfn.STDEV.P(IF(Table1[IndicatorCode]=Table1[[#This Row],[IndicatorCode]],Table1[value]))</f>
        <v>5.2319501044600996</v>
      </c>
      <c r="J2865">
        <f>(Table1[[#This Row],[value]] - Table1[[#This Row],[mean]]) / Table1[[#This Row],[std_dev]]</f>
        <v>0.82389454277706442</v>
      </c>
      <c r="K2865">
        <f>AVERAGEIF(Table1[CountryCode],Table1[[#This Row],[CountryCode]],Table1[z-score])</f>
        <v>0.3375502618800939</v>
      </c>
      <c r="L2865" t="e">
        <f>VLOOKUP(Table1[[#This Row],[CountryCode]],[1]!Table1[#Data],4,FALSE)</f>
        <v>#REF!</v>
      </c>
    </row>
    <row r="2866" spans="1:12" hidden="1" x14ac:dyDescent="0.3">
      <c r="A2866" t="s">
        <v>49</v>
      </c>
      <c r="B2866" t="s">
        <v>50</v>
      </c>
      <c r="C2866" t="s">
        <v>125</v>
      </c>
      <c r="D2866" t="s">
        <v>126</v>
      </c>
      <c r="E2866">
        <v>1972</v>
      </c>
      <c r="F2866" s="1">
        <v>12</v>
      </c>
      <c r="G2866">
        <v>1970</v>
      </c>
      <c r="H2866">
        <f>AVERAGEIFS(Table1[value],Table1[IndicatorCode],Table1[[#This Row],[IndicatorCode]])</f>
        <v>7.6894248608534319</v>
      </c>
      <c r="I2866" cm="1">
        <f t="array" ref="I2866">_xlfn.STDEV.P(IF(Table1[IndicatorCode]=Table1[[#This Row],[IndicatorCode]],Table1[value]))</f>
        <v>5.2319501044600996</v>
      </c>
      <c r="J2866">
        <f>(Table1[[#This Row],[value]] - Table1[[#This Row],[mean]]) / Table1[[#This Row],[std_dev]]</f>
        <v>0.82389454277706442</v>
      </c>
      <c r="K2866">
        <f>AVERAGEIF(Table1[CountryCode],Table1[[#This Row],[CountryCode]],Table1[z-score])</f>
        <v>0.3375502618800939</v>
      </c>
      <c r="L2866" t="e">
        <f>VLOOKUP(Table1[[#This Row],[CountryCode]],[1]!Table1[#Data],4,FALSE)</f>
        <v>#REF!</v>
      </c>
    </row>
    <row r="2867" spans="1:12" hidden="1" x14ac:dyDescent="0.3">
      <c r="A2867" t="s">
        <v>49</v>
      </c>
      <c r="B2867" t="s">
        <v>50</v>
      </c>
      <c r="C2867" t="s">
        <v>125</v>
      </c>
      <c r="D2867" t="s">
        <v>126</v>
      </c>
      <c r="E2867">
        <v>1973</v>
      </c>
      <c r="F2867" s="1">
        <v>12</v>
      </c>
      <c r="G2867">
        <v>1970</v>
      </c>
      <c r="H2867">
        <f>AVERAGEIFS(Table1[value],Table1[IndicatorCode],Table1[[#This Row],[IndicatorCode]])</f>
        <v>7.6894248608534319</v>
      </c>
      <c r="I2867" cm="1">
        <f t="array" ref="I2867">_xlfn.STDEV.P(IF(Table1[IndicatorCode]=Table1[[#This Row],[IndicatorCode]],Table1[value]))</f>
        <v>5.2319501044600996</v>
      </c>
      <c r="J2867">
        <f>(Table1[[#This Row],[value]] - Table1[[#This Row],[mean]]) / Table1[[#This Row],[std_dev]]</f>
        <v>0.82389454277706442</v>
      </c>
      <c r="K2867">
        <f>AVERAGEIF(Table1[CountryCode],Table1[[#This Row],[CountryCode]],Table1[z-score])</f>
        <v>0.3375502618800939</v>
      </c>
      <c r="L2867" t="e">
        <f>VLOOKUP(Table1[[#This Row],[CountryCode]],[1]!Table1[#Data],4,FALSE)</f>
        <v>#REF!</v>
      </c>
    </row>
    <row r="2868" spans="1:12" hidden="1" x14ac:dyDescent="0.3">
      <c r="A2868" t="s">
        <v>49</v>
      </c>
      <c r="B2868" t="s">
        <v>50</v>
      </c>
      <c r="C2868" t="s">
        <v>125</v>
      </c>
      <c r="D2868" t="s">
        <v>126</v>
      </c>
      <c r="E2868">
        <v>1974</v>
      </c>
      <c r="F2868" s="1">
        <v>11</v>
      </c>
      <c r="G2868">
        <v>1970</v>
      </c>
      <c r="H2868">
        <f>AVERAGEIFS(Table1[value],Table1[IndicatorCode],Table1[[#This Row],[IndicatorCode]])</f>
        <v>7.6894248608534319</v>
      </c>
      <c r="I2868" cm="1">
        <f t="array" ref="I2868">_xlfn.STDEV.P(IF(Table1[IndicatorCode]=Table1[[#This Row],[IndicatorCode]],Table1[value]))</f>
        <v>5.2319501044600996</v>
      </c>
      <c r="J2868">
        <f>(Table1[[#This Row],[value]] - Table1[[#This Row],[mean]]) / Table1[[#This Row],[std_dev]]</f>
        <v>0.63276122154230596</v>
      </c>
      <c r="K2868">
        <f>AVERAGEIF(Table1[CountryCode],Table1[[#This Row],[CountryCode]],Table1[z-score])</f>
        <v>0.3375502618800939</v>
      </c>
      <c r="L2868" t="e">
        <f>VLOOKUP(Table1[[#This Row],[CountryCode]],[1]!Table1[#Data],4,FALSE)</f>
        <v>#REF!</v>
      </c>
    </row>
    <row r="2869" spans="1:12" hidden="1" x14ac:dyDescent="0.3">
      <c r="A2869" t="s">
        <v>49</v>
      </c>
      <c r="B2869" t="s">
        <v>50</v>
      </c>
      <c r="C2869" t="s">
        <v>125</v>
      </c>
      <c r="D2869" t="s">
        <v>126</v>
      </c>
      <c r="E2869">
        <v>1975</v>
      </c>
      <c r="F2869" s="1">
        <v>11</v>
      </c>
      <c r="G2869">
        <v>1970</v>
      </c>
      <c r="H2869">
        <f>AVERAGEIFS(Table1[value],Table1[IndicatorCode],Table1[[#This Row],[IndicatorCode]])</f>
        <v>7.6894248608534319</v>
      </c>
      <c r="I2869" cm="1">
        <f t="array" ref="I2869">_xlfn.STDEV.P(IF(Table1[IndicatorCode]=Table1[[#This Row],[IndicatorCode]],Table1[value]))</f>
        <v>5.2319501044600996</v>
      </c>
      <c r="J2869">
        <f>(Table1[[#This Row],[value]] - Table1[[#This Row],[mean]]) / Table1[[#This Row],[std_dev]]</f>
        <v>0.63276122154230596</v>
      </c>
      <c r="K2869">
        <f>AVERAGEIF(Table1[CountryCode],Table1[[#This Row],[CountryCode]],Table1[z-score])</f>
        <v>0.3375502618800939</v>
      </c>
      <c r="L2869" t="e">
        <f>VLOOKUP(Table1[[#This Row],[CountryCode]],[1]!Table1[#Data],4,FALSE)</f>
        <v>#REF!</v>
      </c>
    </row>
    <row r="2870" spans="1:12" hidden="1" x14ac:dyDescent="0.3">
      <c r="A2870" t="s">
        <v>49</v>
      </c>
      <c r="B2870" t="s">
        <v>50</v>
      </c>
      <c r="C2870" t="s">
        <v>125</v>
      </c>
      <c r="D2870" t="s">
        <v>126</v>
      </c>
      <c r="E2870">
        <v>1976</v>
      </c>
      <c r="F2870" s="1">
        <v>11</v>
      </c>
      <c r="G2870">
        <v>1970</v>
      </c>
      <c r="H2870">
        <f>AVERAGEIFS(Table1[value],Table1[IndicatorCode],Table1[[#This Row],[IndicatorCode]])</f>
        <v>7.6894248608534319</v>
      </c>
      <c r="I2870" cm="1">
        <f t="array" ref="I2870">_xlfn.STDEV.P(IF(Table1[IndicatorCode]=Table1[[#This Row],[IndicatorCode]],Table1[value]))</f>
        <v>5.2319501044600996</v>
      </c>
      <c r="J2870">
        <f>(Table1[[#This Row],[value]] - Table1[[#This Row],[mean]]) / Table1[[#This Row],[std_dev]]</f>
        <v>0.63276122154230596</v>
      </c>
      <c r="K2870">
        <f>AVERAGEIF(Table1[CountryCode],Table1[[#This Row],[CountryCode]],Table1[z-score])</f>
        <v>0.3375502618800939</v>
      </c>
      <c r="L2870" t="e">
        <f>VLOOKUP(Table1[[#This Row],[CountryCode]],[1]!Table1[#Data],4,FALSE)</f>
        <v>#REF!</v>
      </c>
    </row>
    <row r="2871" spans="1:12" hidden="1" x14ac:dyDescent="0.3">
      <c r="A2871" t="s">
        <v>49</v>
      </c>
      <c r="B2871" t="s">
        <v>50</v>
      </c>
      <c r="C2871" t="s">
        <v>125</v>
      </c>
      <c r="D2871" t="s">
        <v>126</v>
      </c>
      <c r="E2871">
        <v>1977</v>
      </c>
      <c r="F2871" s="1">
        <v>11</v>
      </c>
      <c r="G2871">
        <v>1980</v>
      </c>
      <c r="H2871">
        <f>AVERAGEIFS(Table1[value],Table1[IndicatorCode],Table1[[#This Row],[IndicatorCode]])</f>
        <v>7.6894248608534319</v>
      </c>
      <c r="I2871" cm="1">
        <f t="array" ref="I2871">_xlfn.STDEV.P(IF(Table1[IndicatorCode]=Table1[[#This Row],[IndicatorCode]],Table1[value]))</f>
        <v>5.2319501044600996</v>
      </c>
      <c r="J2871">
        <f>(Table1[[#This Row],[value]] - Table1[[#This Row],[mean]]) / Table1[[#This Row],[std_dev]]</f>
        <v>0.63276122154230596</v>
      </c>
      <c r="K2871">
        <f>AVERAGEIF(Table1[CountryCode],Table1[[#This Row],[CountryCode]],Table1[z-score])</f>
        <v>0.3375502618800939</v>
      </c>
      <c r="L2871" t="e">
        <f>VLOOKUP(Table1[[#This Row],[CountryCode]],[1]!Table1[#Data],4,FALSE)</f>
        <v>#REF!</v>
      </c>
    </row>
    <row r="2872" spans="1:12" hidden="1" x14ac:dyDescent="0.3">
      <c r="A2872" t="s">
        <v>49</v>
      </c>
      <c r="B2872" t="s">
        <v>50</v>
      </c>
      <c r="C2872" t="s">
        <v>125</v>
      </c>
      <c r="D2872" t="s">
        <v>126</v>
      </c>
      <c r="E2872">
        <v>1978</v>
      </c>
      <c r="F2872" s="1">
        <v>11</v>
      </c>
      <c r="G2872">
        <v>1980</v>
      </c>
      <c r="H2872">
        <f>AVERAGEIFS(Table1[value],Table1[IndicatorCode],Table1[[#This Row],[IndicatorCode]])</f>
        <v>7.6894248608534319</v>
      </c>
      <c r="I2872" cm="1">
        <f t="array" ref="I2872">_xlfn.STDEV.P(IF(Table1[IndicatorCode]=Table1[[#This Row],[IndicatorCode]],Table1[value]))</f>
        <v>5.2319501044600996</v>
      </c>
      <c r="J2872">
        <f>(Table1[[#This Row],[value]] - Table1[[#This Row],[mean]]) / Table1[[#This Row],[std_dev]]</f>
        <v>0.63276122154230596</v>
      </c>
      <c r="K2872">
        <f>AVERAGEIF(Table1[CountryCode],Table1[[#This Row],[CountryCode]],Table1[z-score])</f>
        <v>0.3375502618800939</v>
      </c>
      <c r="L2872" t="e">
        <f>VLOOKUP(Table1[[#This Row],[CountryCode]],[1]!Table1[#Data],4,FALSE)</f>
        <v>#REF!</v>
      </c>
    </row>
    <row r="2873" spans="1:12" hidden="1" x14ac:dyDescent="0.3">
      <c r="A2873" t="s">
        <v>49</v>
      </c>
      <c r="B2873" t="s">
        <v>50</v>
      </c>
      <c r="C2873" t="s">
        <v>125</v>
      </c>
      <c r="D2873" t="s">
        <v>126</v>
      </c>
      <c r="E2873">
        <v>1979</v>
      </c>
      <c r="F2873" s="1">
        <v>12</v>
      </c>
      <c r="G2873">
        <v>1980</v>
      </c>
      <c r="H2873">
        <f>AVERAGEIFS(Table1[value],Table1[IndicatorCode],Table1[[#This Row],[IndicatorCode]])</f>
        <v>7.6894248608534319</v>
      </c>
      <c r="I2873" cm="1">
        <f t="array" ref="I2873">_xlfn.STDEV.P(IF(Table1[IndicatorCode]=Table1[[#This Row],[IndicatorCode]],Table1[value]))</f>
        <v>5.2319501044600996</v>
      </c>
      <c r="J2873">
        <f>(Table1[[#This Row],[value]] - Table1[[#This Row],[mean]]) / Table1[[#This Row],[std_dev]]</f>
        <v>0.82389454277706442</v>
      </c>
      <c r="K2873">
        <f>AVERAGEIF(Table1[CountryCode],Table1[[#This Row],[CountryCode]],Table1[z-score])</f>
        <v>0.3375502618800939</v>
      </c>
      <c r="L2873" t="e">
        <f>VLOOKUP(Table1[[#This Row],[CountryCode]],[1]!Table1[#Data],4,FALSE)</f>
        <v>#REF!</v>
      </c>
    </row>
    <row r="2874" spans="1:12" hidden="1" x14ac:dyDescent="0.3">
      <c r="A2874" t="s">
        <v>49</v>
      </c>
      <c r="B2874" t="s">
        <v>50</v>
      </c>
      <c r="C2874" t="s">
        <v>125</v>
      </c>
      <c r="D2874" t="s">
        <v>126</v>
      </c>
      <c r="E2874">
        <v>1980</v>
      </c>
      <c r="F2874" s="1">
        <v>11</v>
      </c>
      <c r="G2874">
        <v>1980</v>
      </c>
      <c r="H2874">
        <f>AVERAGEIFS(Table1[value],Table1[IndicatorCode],Table1[[#This Row],[IndicatorCode]])</f>
        <v>7.6894248608534319</v>
      </c>
      <c r="I2874" cm="1">
        <f t="array" ref="I2874">_xlfn.STDEV.P(IF(Table1[IndicatorCode]=Table1[[#This Row],[IndicatorCode]],Table1[value]))</f>
        <v>5.2319501044600996</v>
      </c>
      <c r="J2874">
        <f>(Table1[[#This Row],[value]] - Table1[[#This Row],[mean]]) / Table1[[#This Row],[std_dev]]</f>
        <v>0.63276122154230596</v>
      </c>
      <c r="K2874">
        <f>AVERAGEIF(Table1[CountryCode],Table1[[#This Row],[CountryCode]],Table1[z-score])</f>
        <v>0.3375502618800939</v>
      </c>
      <c r="L2874" t="e">
        <f>VLOOKUP(Table1[[#This Row],[CountryCode]],[1]!Table1[#Data],4,FALSE)</f>
        <v>#REF!</v>
      </c>
    </row>
    <row r="2875" spans="1:12" hidden="1" x14ac:dyDescent="0.3">
      <c r="A2875" t="s">
        <v>49</v>
      </c>
      <c r="B2875" t="s">
        <v>50</v>
      </c>
      <c r="C2875" t="s">
        <v>125</v>
      </c>
      <c r="D2875" t="s">
        <v>126</v>
      </c>
      <c r="E2875">
        <v>1981</v>
      </c>
      <c r="F2875" s="1">
        <v>10</v>
      </c>
      <c r="G2875">
        <v>1980</v>
      </c>
      <c r="H2875">
        <f>AVERAGEIFS(Table1[value],Table1[IndicatorCode],Table1[[#This Row],[IndicatorCode]])</f>
        <v>7.6894248608534319</v>
      </c>
      <c r="I2875" cm="1">
        <f t="array" ref="I2875">_xlfn.STDEV.P(IF(Table1[IndicatorCode]=Table1[[#This Row],[IndicatorCode]],Table1[value]))</f>
        <v>5.2319501044600996</v>
      </c>
      <c r="J2875">
        <f>(Table1[[#This Row],[value]] - Table1[[#This Row],[mean]]) / Table1[[#This Row],[std_dev]]</f>
        <v>0.44162790030754762</v>
      </c>
      <c r="K2875">
        <f>AVERAGEIF(Table1[CountryCode],Table1[[#This Row],[CountryCode]],Table1[z-score])</f>
        <v>0.3375502618800939</v>
      </c>
      <c r="L2875" t="e">
        <f>VLOOKUP(Table1[[#This Row],[CountryCode]],[1]!Table1[#Data],4,FALSE)</f>
        <v>#REF!</v>
      </c>
    </row>
    <row r="2876" spans="1:12" hidden="1" x14ac:dyDescent="0.3">
      <c r="A2876" t="s">
        <v>49</v>
      </c>
      <c r="B2876" t="s">
        <v>50</v>
      </c>
      <c r="C2876" t="s">
        <v>125</v>
      </c>
      <c r="D2876" t="s">
        <v>126</v>
      </c>
      <c r="E2876">
        <v>1982</v>
      </c>
      <c r="F2876" s="1">
        <v>10</v>
      </c>
      <c r="G2876">
        <v>1980</v>
      </c>
      <c r="H2876">
        <f>AVERAGEIFS(Table1[value],Table1[IndicatorCode],Table1[[#This Row],[IndicatorCode]])</f>
        <v>7.6894248608534319</v>
      </c>
      <c r="I2876" cm="1">
        <f t="array" ref="I2876">_xlfn.STDEV.P(IF(Table1[IndicatorCode]=Table1[[#This Row],[IndicatorCode]],Table1[value]))</f>
        <v>5.2319501044600996</v>
      </c>
      <c r="J2876">
        <f>(Table1[[#This Row],[value]] - Table1[[#This Row],[mean]]) / Table1[[#This Row],[std_dev]]</f>
        <v>0.44162790030754762</v>
      </c>
      <c r="K2876">
        <f>AVERAGEIF(Table1[CountryCode],Table1[[#This Row],[CountryCode]],Table1[z-score])</f>
        <v>0.3375502618800939</v>
      </c>
      <c r="L2876" t="e">
        <f>VLOOKUP(Table1[[#This Row],[CountryCode]],[1]!Table1[#Data],4,FALSE)</f>
        <v>#REF!</v>
      </c>
    </row>
    <row r="2877" spans="1:12" hidden="1" x14ac:dyDescent="0.3">
      <c r="A2877" t="s">
        <v>49</v>
      </c>
      <c r="B2877" t="s">
        <v>50</v>
      </c>
      <c r="C2877" t="s">
        <v>125</v>
      </c>
      <c r="D2877" t="s">
        <v>126</v>
      </c>
      <c r="E2877">
        <v>1983</v>
      </c>
      <c r="F2877" s="1">
        <v>10</v>
      </c>
      <c r="G2877">
        <v>1980</v>
      </c>
      <c r="H2877">
        <f>AVERAGEIFS(Table1[value],Table1[IndicatorCode],Table1[[#This Row],[IndicatorCode]])</f>
        <v>7.6894248608534319</v>
      </c>
      <c r="I2877" cm="1">
        <f t="array" ref="I2877">_xlfn.STDEV.P(IF(Table1[IndicatorCode]=Table1[[#This Row],[IndicatorCode]],Table1[value]))</f>
        <v>5.2319501044600996</v>
      </c>
      <c r="J2877">
        <f>(Table1[[#This Row],[value]] - Table1[[#This Row],[mean]]) / Table1[[#This Row],[std_dev]]</f>
        <v>0.44162790030754762</v>
      </c>
      <c r="K2877">
        <f>AVERAGEIF(Table1[CountryCode],Table1[[#This Row],[CountryCode]],Table1[z-score])</f>
        <v>0.3375502618800939</v>
      </c>
      <c r="L2877" t="e">
        <f>VLOOKUP(Table1[[#This Row],[CountryCode]],[1]!Table1[#Data],4,FALSE)</f>
        <v>#REF!</v>
      </c>
    </row>
    <row r="2878" spans="1:12" hidden="1" x14ac:dyDescent="0.3">
      <c r="A2878" t="s">
        <v>49</v>
      </c>
      <c r="B2878" t="s">
        <v>50</v>
      </c>
      <c r="C2878" t="s">
        <v>125</v>
      </c>
      <c r="D2878" t="s">
        <v>126</v>
      </c>
      <c r="E2878">
        <v>1984</v>
      </c>
      <c r="F2878" s="1">
        <v>10</v>
      </c>
      <c r="G2878">
        <v>1980</v>
      </c>
      <c r="H2878">
        <f>AVERAGEIFS(Table1[value],Table1[IndicatorCode],Table1[[#This Row],[IndicatorCode]])</f>
        <v>7.6894248608534319</v>
      </c>
      <c r="I2878" cm="1">
        <f t="array" ref="I2878">_xlfn.STDEV.P(IF(Table1[IndicatorCode]=Table1[[#This Row],[IndicatorCode]],Table1[value]))</f>
        <v>5.2319501044600996</v>
      </c>
      <c r="J2878">
        <f>(Table1[[#This Row],[value]] - Table1[[#This Row],[mean]]) / Table1[[#This Row],[std_dev]]</f>
        <v>0.44162790030754762</v>
      </c>
      <c r="K2878">
        <f>AVERAGEIF(Table1[CountryCode],Table1[[#This Row],[CountryCode]],Table1[z-score])</f>
        <v>0.3375502618800939</v>
      </c>
      <c r="L2878" t="e">
        <f>VLOOKUP(Table1[[#This Row],[CountryCode]],[1]!Table1[#Data],4,FALSE)</f>
        <v>#REF!</v>
      </c>
    </row>
    <row r="2879" spans="1:12" hidden="1" x14ac:dyDescent="0.3">
      <c r="A2879" t="s">
        <v>49</v>
      </c>
      <c r="B2879" t="s">
        <v>50</v>
      </c>
      <c r="C2879" t="s">
        <v>125</v>
      </c>
      <c r="D2879" t="s">
        <v>126</v>
      </c>
      <c r="E2879">
        <v>1985</v>
      </c>
      <c r="F2879" s="1">
        <v>10</v>
      </c>
      <c r="G2879">
        <v>1980</v>
      </c>
      <c r="H2879">
        <f>AVERAGEIFS(Table1[value],Table1[IndicatorCode],Table1[[#This Row],[IndicatorCode]])</f>
        <v>7.6894248608534319</v>
      </c>
      <c r="I2879" cm="1">
        <f t="array" ref="I2879">_xlfn.STDEV.P(IF(Table1[IndicatorCode]=Table1[[#This Row],[IndicatorCode]],Table1[value]))</f>
        <v>5.2319501044600996</v>
      </c>
      <c r="J2879">
        <f>(Table1[[#This Row],[value]] - Table1[[#This Row],[mean]]) / Table1[[#This Row],[std_dev]]</f>
        <v>0.44162790030754762</v>
      </c>
      <c r="K2879">
        <f>AVERAGEIF(Table1[CountryCode],Table1[[#This Row],[CountryCode]],Table1[z-score])</f>
        <v>0.3375502618800939</v>
      </c>
      <c r="L2879" t="e">
        <f>VLOOKUP(Table1[[#This Row],[CountryCode]],[1]!Table1[#Data],4,FALSE)</f>
        <v>#REF!</v>
      </c>
    </row>
    <row r="2880" spans="1:12" hidden="1" x14ac:dyDescent="0.3">
      <c r="A2880" t="s">
        <v>49</v>
      </c>
      <c r="B2880" t="s">
        <v>50</v>
      </c>
      <c r="C2880" t="s">
        <v>125</v>
      </c>
      <c r="D2880" t="s">
        <v>126</v>
      </c>
      <c r="E2880">
        <v>1986</v>
      </c>
      <c r="F2880" s="1">
        <v>10</v>
      </c>
      <c r="G2880">
        <v>1980</v>
      </c>
      <c r="H2880">
        <f>AVERAGEIFS(Table1[value],Table1[IndicatorCode],Table1[[#This Row],[IndicatorCode]])</f>
        <v>7.6894248608534319</v>
      </c>
      <c r="I2880" cm="1">
        <f t="array" ref="I2880">_xlfn.STDEV.P(IF(Table1[IndicatorCode]=Table1[[#This Row],[IndicatorCode]],Table1[value]))</f>
        <v>5.2319501044600996</v>
      </c>
      <c r="J2880">
        <f>(Table1[[#This Row],[value]] - Table1[[#This Row],[mean]]) / Table1[[#This Row],[std_dev]]</f>
        <v>0.44162790030754762</v>
      </c>
      <c r="K2880">
        <f>AVERAGEIF(Table1[CountryCode],Table1[[#This Row],[CountryCode]],Table1[z-score])</f>
        <v>0.3375502618800939</v>
      </c>
      <c r="L2880" t="e">
        <f>VLOOKUP(Table1[[#This Row],[CountryCode]],[1]!Table1[#Data],4,FALSE)</f>
        <v>#REF!</v>
      </c>
    </row>
    <row r="2881" spans="1:12" hidden="1" x14ac:dyDescent="0.3">
      <c r="A2881" t="s">
        <v>49</v>
      </c>
      <c r="B2881" t="s">
        <v>50</v>
      </c>
      <c r="C2881" t="s">
        <v>125</v>
      </c>
      <c r="D2881" t="s">
        <v>126</v>
      </c>
      <c r="E2881">
        <v>1987</v>
      </c>
      <c r="F2881" s="1">
        <v>10</v>
      </c>
      <c r="G2881">
        <v>1990</v>
      </c>
      <c r="H2881">
        <f>AVERAGEIFS(Table1[value],Table1[IndicatorCode],Table1[[#This Row],[IndicatorCode]])</f>
        <v>7.6894248608534319</v>
      </c>
      <c r="I2881" cm="1">
        <f t="array" ref="I2881">_xlfn.STDEV.P(IF(Table1[IndicatorCode]=Table1[[#This Row],[IndicatorCode]],Table1[value]))</f>
        <v>5.2319501044600996</v>
      </c>
      <c r="J2881">
        <f>(Table1[[#This Row],[value]] - Table1[[#This Row],[mean]]) / Table1[[#This Row],[std_dev]]</f>
        <v>0.44162790030754762</v>
      </c>
      <c r="K2881">
        <f>AVERAGEIF(Table1[CountryCode],Table1[[#This Row],[CountryCode]],Table1[z-score])</f>
        <v>0.3375502618800939</v>
      </c>
      <c r="L2881" t="e">
        <f>VLOOKUP(Table1[[#This Row],[CountryCode]],[1]!Table1[#Data],4,FALSE)</f>
        <v>#REF!</v>
      </c>
    </row>
    <row r="2882" spans="1:12" hidden="1" x14ac:dyDescent="0.3">
      <c r="A2882" t="s">
        <v>49</v>
      </c>
      <c r="B2882" t="s">
        <v>50</v>
      </c>
      <c r="C2882" t="s">
        <v>125</v>
      </c>
      <c r="D2882" t="s">
        <v>126</v>
      </c>
      <c r="E2882">
        <v>1988</v>
      </c>
      <c r="F2882" s="1">
        <v>10</v>
      </c>
      <c r="G2882">
        <v>1990</v>
      </c>
      <c r="H2882">
        <f>AVERAGEIFS(Table1[value],Table1[IndicatorCode],Table1[[#This Row],[IndicatorCode]])</f>
        <v>7.6894248608534319</v>
      </c>
      <c r="I2882" cm="1">
        <f t="array" ref="I2882">_xlfn.STDEV.P(IF(Table1[IndicatorCode]=Table1[[#This Row],[IndicatorCode]],Table1[value]))</f>
        <v>5.2319501044600996</v>
      </c>
      <c r="J2882">
        <f>(Table1[[#This Row],[value]] - Table1[[#This Row],[mean]]) / Table1[[#This Row],[std_dev]]</f>
        <v>0.44162790030754762</v>
      </c>
      <c r="K2882">
        <f>AVERAGEIF(Table1[CountryCode],Table1[[#This Row],[CountryCode]],Table1[z-score])</f>
        <v>0.3375502618800939</v>
      </c>
      <c r="L2882" t="e">
        <f>VLOOKUP(Table1[[#This Row],[CountryCode]],[1]!Table1[#Data],4,FALSE)</f>
        <v>#REF!</v>
      </c>
    </row>
    <row r="2883" spans="1:12" hidden="1" x14ac:dyDescent="0.3">
      <c r="A2883" t="s">
        <v>49</v>
      </c>
      <c r="B2883" t="s">
        <v>50</v>
      </c>
      <c r="C2883" t="s">
        <v>125</v>
      </c>
      <c r="D2883" t="s">
        <v>126</v>
      </c>
      <c r="E2883">
        <v>1989</v>
      </c>
      <c r="F2883" s="1">
        <v>10</v>
      </c>
      <c r="G2883">
        <v>1990</v>
      </c>
      <c r="H2883">
        <f>AVERAGEIFS(Table1[value],Table1[IndicatorCode],Table1[[#This Row],[IndicatorCode]])</f>
        <v>7.6894248608534319</v>
      </c>
      <c r="I2883" cm="1">
        <f t="array" ref="I2883">_xlfn.STDEV.P(IF(Table1[IndicatorCode]=Table1[[#This Row],[IndicatorCode]],Table1[value]))</f>
        <v>5.2319501044600996</v>
      </c>
      <c r="J2883">
        <f>(Table1[[#This Row],[value]] - Table1[[#This Row],[mean]]) / Table1[[#This Row],[std_dev]]</f>
        <v>0.44162790030754762</v>
      </c>
      <c r="K2883">
        <f>AVERAGEIF(Table1[CountryCode],Table1[[#This Row],[CountryCode]],Table1[z-score])</f>
        <v>0.3375502618800939</v>
      </c>
      <c r="L2883" t="e">
        <f>VLOOKUP(Table1[[#This Row],[CountryCode]],[1]!Table1[#Data],4,FALSE)</f>
        <v>#REF!</v>
      </c>
    </row>
    <row r="2884" spans="1:12" hidden="1" x14ac:dyDescent="0.3">
      <c r="A2884" t="s">
        <v>49</v>
      </c>
      <c r="B2884" t="s">
        <v>50</v>
      </c>
      <c r="C2884" t="s">
        <v>125</v>
      </c>
      <c r="D2884" t="s">
        <v>126</v>
      </c>
      <c r="E2884">
        <v>1990</v>
      </c>
      <c r="F2884" s="1">
        <v>10</v>
      </c>
      <c r="G2884">
        <v>1990</v>
      </c>
      <c r="H2884">
        <f>AVERAGEIFS(Table1[value],Table1[IndicatorCode],Table1[[#This Row],[IndicatorCode]])</f>
        <v>7.6894248608534319</v>
      </c>
      <c r="I2884" cm="1">
        <f t="array" ref="I2884">_xlfn.STDEV.P(IF(Table1[IndicatorCode]=Table1[[#This Row],[IndicatorCode]],Table1[value]))</f>
        <v>5.2319501044600996</v>
      </c>
      <c r="J2884">
        <f>(Table1[[#This Row],[value]] - Table1[[#This Row],[mean]]) / Table1[[#This Row],[std_dev]]</f>
        <v>0.44162790030754762</v>
      </c>
      <c r="K2884">
        <f>AVERAGEIF(Table1[CountryCode],Table1[[#This Row],[CountryCode]],Table1[z-score])</f>
        <v>0.3375502618800939</v>
      </c>
      <c r="L2884" t="e">
        <f>VLOOKUP(Table1[[#This Row],[CountryCode]],[1]!Table1[#Data],4,FALSE)</f>
        <v>#REF!</v>
      </c>
    </row>
    <row r="2885" spans="1:12" hidden="1" x14ac:dyDescent="0.3">
      <c r="A2885" t="s">
        <v>49</v>
      </c>
      <c r="B2885" t="s">
        <v>50</v>
      </c>
      <c r="C2885" t="s">
        <v>125</v>
      </c>
      <c r="D2885" t="s">
        <v>126</v>
      </c>
      <c r="E2885">
        <v>1991</v>
      </c>
      <c r="F2885" s="1">
        <v>10</v>
      </c>
      <c r="G2885">
        <v>1990</v>
      </c>
      <c r="H2885">
        <f>AVERAGEIFS(Table1[value],Table1[IndicatorCode],Table1[[#This Row],[IndicatorCode]])</f>
        <v>7.6894248608534319</v>
      </c>
      <c r="I2885" cm="1">
        <f t="array" ref="I2885">_xlfn.STDEV.P(IF(Table1[IndicatorCode]=Table1[[#This Row],[IndicatorCode]],Table1[value]))</f>
        <v>5.2319501044600996</v>
      </c>
      <c r="J2885">
        <f>(Table1[[#This Row],[value]] - Table1[[#This Row],[mean]]) / Table1[[#This Row],[std_dev]]</f>
        <v>0.44162790030754762</v>
      </c>
      <c r="K2885">
        <f>AVERAGEIF(Table1[CountryCode],Table1[[#This Row],[CountryCode]],Table1[z-score])</f>
        <v>0.3375502618800939</v>
      </c>
      <c r="L2885" t="e">
        <f>VLOOKUP(Table1[[#This Row],[CountryCode]],[1]!Table1[#Data],4,FALSE)</f>
        <v>#REF!</v>
      </c>
    </row>
    <row r="2886" spans="1:12" hidden="1" x14ac:dyDescent="0.3">
      <c r="A2886" t="s">
        <v>49</v>
      </c>
      <c r="B2886" t="s">
        <v>50</v>
      </c>
      <c r="C2886" t="s">
        <v>125</v>
      </c>
      <c r="D2886" t="s">
        <v>126</v>
      </c>
      <c r="E2886">
        <v>1992</v>
      </c>
      <c r="F2886" s="1">
        <v>10</v>
      </c>
      <c r="G2886">
        <v>1990</v>
      </c>
      <c r="H2886">
        <f>AVERAGEIFS(Table1[value],Table1[IndicatorCode],Table1[[#This Row],[IndicatorCode]])</f>
        <v>7.6894248608534319</v>
      </c>
      <c r="I2886" cm="1">
        <f t="array" ref="I2886">_xlfn.STDEV.P(IF(Table1[IndicatorCode]=Table1[[#This Row],[IndicatorCode]],Table1[value]))</f>
        <v>5.2319501044600996</v>
      </c>
      <c r="J2886">
        <f>(Table1[[#This Row],[value]] - Table1[[#This Row],[mean]]) / Table1[[#This Row],[std_dev]]</f>
        <v>0.44162790030754762</v>
      </c>
      <c r="K2886">
        <f>AVERAGEIF(Table1[CountryCode],Table1[[#This Row],[CountryCode]],Table1[z-score])</f>
        <v>0.3375502618800939</v>
      </c>
      <c r="L2886" t="e">
        <f>VLOOKUP(Table1[[#This Row],[CountryCode]],[1]!Table1[#Data],4,FALSE)</f>
        <v>#REF!</v>
      </c>
    </row>
    <row r="2887" spans="1:12" hidden="1" x14ac:dyDescent="0.3">
      <c r="A2887" t="s">
        <v>49</v>
      </c>
      <c r="B2887" t="s">
        <v>50</v>
      </c>
      <c r="C2887" t="s">
        <v>125</v>
      </c>
      <c r="D2887" t="s">
        <v>126</v>
      </c>
      <c r="E2887">
        <v>1993</v>
      </c>
      <c r="F2887" s="1">
        <v>10</v>
      </c>
      <c r="G2887">
        <v>1990</v>
      </c>
      <c r="H2887">
        <f>AVERAGEIFS(Table1[value],Table1[IndicatorCode],Table1[[#This Row],[IndicatorCode]])</f>
        <v>7.6894248608534319</v>
      </c>
      <c r="I2887" cm="1">
        <f t="array" ref="I2887">_xlfn.STDEV.P(IF(Table1[IndicatorCode]=Table1[[#This Row],[IndicatorCode]],Table1[value]))</f>
        <v>5.2319501044600996</v>
      </c>
      <c r="J2887">
        <f>(Table1[[#This Row],[value]] - Table1[[#This Row],[mean]]) / Table1[[#This Row],[std_dev]]</f>
        <v>0.44162790030754762</v>
      </c>
      <c r="K2887">
        <f>AVERAGEIF(Table1[CountryCode],Table1[[#This Row],[CountryCode]],Table1[z-score])</f>
        <v>0.3375502618800939</v>
      </c>
      <c r="L2887" t="e">
        <f>VLOOKUP(Table1[[#This Row],[CountryCode]],[1]!Table1[#Data],4,FALSE)</f>
        <v>#REF!</v>
      </c>
    </row>
    <row r="2888" spans="1:12" hidden="1" x14ac:dyDescent="0.3">
      <c r="A2888" t="s">
        <v>49</v>
      </c>
      <c r="B2888" t="s">
        <v>50</v>
      </c>
      <c r="C2888" t="s">
        <v>125</v>
      </c>
      <c r="D2888" t="s">
        <v>126</v>
      </c>
      <c r="E2888">
        <v>1994</v>
      </c>
      <c r="F2888" s="1">
        <v>10</v>
      </c>
      <c r="G2888">
        <v>1990</v>
      </c>
      <c r="H2888">
        <f>AVERAGEIFS(Table1[value],Table1[IndicatorCode],Table1[[#This Row],[IndicatorCode]])</f>
        <v>7.6894248608534319</v>
      </c>
      <c r="I2888" cm="1">
        <f t="array" ref="I2888">_xlfn.STDEV.P(IF(Table1[IndicatorCode]=Table1[[#This Row],[IndicatorCode]],Table1[value]))</f>
        <v>5.2319501044600996</v>
      </c>
      <c r="J2888">
        <f>(Table1[[#This Row],[value]] - Table1[[#This Row],[mean]]) / Table1[[#This Row],[std_dev]]</f>
        <v>0.44162790030754762</v>
      </c>
      <c r="K2888">
        <f>AVERAGEIF(Table1[CountryCode],Table1[[#This Row],[CountryCode]],Table1[z-score])</f>
        <v>0.3375502618800939</v>
      </c>
      <c r="L2888" t="e">
        <f>VLOOKUP(Table1[[#This Row],[CountryCode]],[1]!Table1[#Data],4,FALSE)</f>
        <v>#REF!</v>
      </c>
    </row>
    <row r="2889" spans="1:12" hidden="1" x14ac:dyDescent="0.3">
      <c r="A2889" t="s">
        <v>49</v>
      </c>
      <c r="B2889" t="s">
        <v>50</v>
      </c>
      <c r="C2889" t="s">
        <v>125</v>
      </c>
      <c r="D2889" t="s">
        <v>126</v>
      </c>
      <c r="E2889">
        <v>1995</v>
      </c>
      <c r="F2889" s="1">
        <v>9</v>
      </c>
      <c r="G2889">
        <v>1990</v>
      </c>
      <c r="H2889">
        <f>AVERAGEIFS(Table1[value],Table1[IndicatorCode],Table1[[#This Row],[IndicatorCode]])</f>
        <v>7.6894248608534319</v>
      </c>
      <c r="I2889" cm="1">
        <f t="array" ref="I2889">_xlfn.STDEV.P(IF(Table1[IndicatorCode]=Table1[[#This Row],[IndicatorCode]],Table1[value]))</f>
        <v>5.2319501044600996</v>
      </c>
      <c r="J2889">
        <f>(Table1[[#This Row],[value]] - Table1[[#This Row],[mean]]) / Table1[[#This Row],[std_dev]]</f>
        <v>0.25049457907278921</v>
      </c>
      <c r="K2889">
        <f>AVERAGEIF(Table1[CountryCode],Table1[[#This Row],[CountryCode]],Table1[z-score])</f>
        <v>0.3375502618800939</v>
      </c>
      <c r="L2889" t="e">
        <f>VLOOKUP(Table1[[#This Row],[CountryCode]],[1]!Table1[#Data],4,FALSE)</f>
        <v>#REF!</v>
      </c>
    </row>
    <row r="2890" spans="1:12" hidden="1" x14ac:dyDescent="0.3">
      <c r="A2890" t="s">
        <v>49</v>
      </c>
      <c r="B2890" t="s">
        <v>50</v>
      </c>
      <c r="C2890" t="s">
        <v>125</v>
      </c>
      <c r="D2890" t="s">
        <v>126</v>
      </c>
      <c r="E2890">
        <v>1996</v>
      </c>
      <c r="F2890" s="1">
        <v>10</v>
      </c>
      <c r="G2890">
        <v>1990</v>
      </c>
      <c r="H2890">
        <f>AVERAGEIFS(Table1[value],Table1[IndicatorCode],Table1[[#This Row],[IndicatorCode]])</f>
        <v>7.6894248608534319</v>
      </c>
      <c r="I2890" cm="1">
        <f t="array" ref="I2890">_xlfn.STDEV.P(IF(Table1[IndicatorCode]=Table1[[#This Row],[IndicatorCode]],Table1[value]))</f>
        <v>5.2319501044600996</v>
      </c>
      <c r="J2890">
        <f>(Table1[[#This Row],[value]] - Table1[[#This Row],[mean]]) / Table1[[#This Row],[std_dev]]</f>
        <v>0.44162790030754762</v>
      </c>
      <c r="K2890">
        <f>AVERAGEIF(Table1[CountryCode],Table1[[#This Row],[CountryCode]],Table1[z-score])</f>
        <v>0.3375502618800939</v>
      </c>
      <c r="L2890" t="e">
        <f>VLOOKUP(Table1[[#This Row],[CountryCode]],[1]!Table1[#Data],4,FALSE)</f>
        <v>#REF!</v>
      </c>
    </row>
    <row r="2891" spans="1:12" hidden="1" x14ac:dyDescent="0.3">
      <c r="A2891" t="s">
        <v>49</v>
      </c>
      <c r="B2891" t="s">
        <v>50</v>
      </c>
      <c r="C2891" t="s">
        <v>125</v>
      </c>
      <c r="D2891" t="s">
        <v>126</v>
      </c>
      <c r="E2891">
        <v>1997</v>
      </c>
      <c r="F2891" s="1">
        <v>9</v>
      </c>
      <c r="G2891">
        <v>2000</v>
      </c>
      <c r="H2891">
        <f>AVERAGEIFS(Table1[value],Table1[IndicatorCode],Table1[[#This Row],[IndicatorCode]])</f>
        <v>7.6894248608534319</v>
      </c>
      <c r="I2891" cm="1">
        <f t="array" ref="I2891">_xlfn.STDEV.P(IF(Table1[IndicatorCode]=Table1[[#This Row],[IndicatorCode]],Table1[value]))</f>
        <v>5.2319501044600996</v>
      </c>
      <c r="J2891">
        <f>(Table1[[#This Row],[value]] - Table1[[#This Row],[mean]]) / Table1[[#This Row],[std_dev]]</f>
        <v>0.25049457907278921</v>
      </c>
      <c r="K2891">
        <f>AVERAGEIF(Table1[CountryCode],Table1[[#This Row],[CountryCode]],Table1[z-score])</f>
        <v>0.3375502618800939</v>
      </c>
      <c r="L2891" t="e">
        <f>VLOOKUP(Table1[[#This Row],[CountryCode]],[1]!Table1[#Data],4,FALSE)</f>
        <v>#REF!</v>
      </c>
    </row>
    <row r="2892" spans="1:12" hidden="1" x14ac:dyDescent="0.3">
      <c r="A2892" t="s">
        <v>49</v>
      </c>
      <c r="B2892" t="s">
        <v>50</v>
      </c>
      <c r="C2892" t="s">
        <v>125</v>
      </c>
      <c r="D2892" t="s">
        <v>126</v>
      </c>
      <c r="E2892">
        <v>1998</v>
      </c>
      <c r="F2892" s="1">
        <v>9</v>
      </c>
      <c r="G2892">
        <v>2000</v>
      </c>
      <c r="H2892">
        <f>AVERAGEIFS(Table1[value],Table1[IndicatorCode],Table1[[#This Row],[IndicatorCode]])</f>
        <v>7.6894248608534319</v>
      </c>
      <c r="I2892" cm="1">
        <f t="array" ref="I2892">_xlfn.STDEV.P(IF(Table1[IndicatorCode]=Table1[[#This Row],[IndicatorCode]],Table1[value]))</f>
        <v>5.2319501044600996</v>
      </c>
      <c r="J2892">
        <f>(Table1[[#This Row],[value]] - Table1[[#This Row],[mean]]) / Table1[[#This Row],[std_dev]]</f>
        <v>0.25049457907278921</v>
      </c>
      <c r="K2892">
        <f>AVERAGEIF(Table1[CountryCode],Table1[[#This Row],[CountryCode]],Table1[z-score])</f>
        <v>0.3375502618800939</v>
      </c>
      <c r="L2892" t="e">
        <f>VLOOKUP(Table1[[#This Row],[CountryCode]],[1]!Table1[#Data],4,FALSE)</f>
        <v>#REF!</v>
      </c>
    </row>
    <row r="2893" spans="1:12" hidden="1" x14ac:dyDescent="0.3">
      <c r="A2893" t="s">
        <v>49</v>
      </c>
      <c r="B2893" t="s">
        <v>50</v>
      </c>
      <c r="C2893" t="s">
        <v>125</v>
      </c>
      <c r="D2893" t="s">
        <v>126</v>
      </c>
      <c r="E2893">
        <v>1999</v>
      </c>
      <c r="F2893" s="1">
        <v>9</v>
      </c>
      <c r="G2893">
        <v>2000</v>
      </c>
      <c r="H2893">
        <f>AVERAGEIFS(Table1[value],Table1[IndicatorCode],Table1[[#This Row],[IndicatorCode]])</f>
        <v>7.6894248608534319</v>
      </c>
      <c r="I2893" cm="1">
        <f t="array" ref="I2893">_xlfn.STDEV.P(IF(Table1[IndicatorCode]=Table1[[#This Row],[IndicatorCode]],Table1[value]))</f>
        <v>5.2319501044600996</v>
      </c>
      <c r="J2893">
        <f>(Table1[[#This Row],[value]] - Table1[[#This Row],[mean]]) / Table1[[#This Row],[std_dev]]</f>
        <v>0.25049457907278921</v>
      </c>
      <c r="K2893">
        <f>AVERAGEIF(Table1[CountryCode],Table1[[#This Row],[CountryCode]],Table1[z-score])</f>
        <v>0.3375502618800939</v>
      </c>
      <c r="L2893" t="e">
        <f>VLOOKUP(Table1[[#This Row],[CountryCode]],[1]!Table1[#Data],4,FALSE)</f>
        <v>#REF!</v>
      </c>
    </row>
    <row r="2894" spans="1:12" hidden="1" x14ac:dyDescent="0.3">
      <c r="A2894" t="s">
        <v>49</v>
      </c>
      <c r="B2894" t="s">
        <v>50</v>
      </c>
      <c r="C2894" t="s">
        <v>125</v>
      </c>
      <c r="D2894" t="s">
        <v>126</v>
      </c>
      <c r="E2894">
        <v>2000</v>
      </c>
      <c r="F2894" s="1">
        <v>9</v>
      </c>
      <c r="G2894">
        <v>2000</v>
      </c>
      <c r="H2894">
        <f>AVERAGEIFS(Table1[value],Table1[IndicatorCode],Table1[[#This Row],[IndicatorCode]])</f>
        <v>7.6894248608534319</v>
      </c>
      <c r="I2894" cm="1">
        <f t="array" ref="I2894">_xlfn.STDEV.P(IF(Table1[IndicatorCode]=Table1[[#This Row],[IndicatorCode]],Table1[value]))</f>
        <v>5.2319501044600996</v>
      </c>
      <c r="J2894">
        <f>(Table1[[#This Row],[value]] - Table1[[#This Row],[mean]]) / Table1[[#This Row],[std_dev]]</f>
        <v>0.25049457907278921</v>
      </c>
      <c r="K2894">
        <f>AVERAGEIF(Table1[CountryCode],Table1[[#This Row],[CountryCode]],Table1[z-score])</f>
        <v>0.3375502618800939</v>
      </c>
      <c r="L2894" t="e">
        <f>VLOOKUP(Table1[[#This Row],[CountryCode]],[1]!Table1[#Data],4,FALSE)</f>
        <v>#REF!</v>
      </c>
    </row>
    <row r="2895" spans="1:12" hidden="1" x14ac:dyDescent="0.3">
      <c r="A2895" t="s">
        <v>49</v>
      </c>
      <c r="B2895" t="s">
        <v>50</v>
      </c>
      <c r="C2895" t="s">
        <v>125</v>
      </c>
      <c r="D2895" t="s">
        <v>126</v>
      </c>
      <c r="E2895">
        <v>2001</v>
      </c>
      <c r="F2895" s="1">
        <v>10</v>
      </c>
      <c r="G2895">
        <v>2000</v>
      </c>
      <c r="H2895">
        <f>AVERAGEIFS(Table1[value],Table1[IndicatorCode],Table1[[#This Row],[IndicatorCode]])</f>
        <v>7.6894248608534319</v>
      </c>
      <c r="I2895" cm="1">
        <f t="array" ref="I2895">_xlfn.STDEV.P(IF(Table1[IndicatorCode]=Table1[[#This Row],[IndicatorCode]],Table1[value]))</f>
        <v>5.2319501044600996</v>
      </c>
      <c r="J2895">
        <f>(Table1[[#This Row],[value]] - Table1[[#This Row],[mean]]) / Table1[[#This Row],[std_dev]]</f>
        <v>0.44162790030754762</v>
      </c>
      <c r="K2895">
        <f>AVERAGEIF(Table1[CountryCode],Table1[[#This Row],[CountryCode]],Table1[z-score])</f>
        <v>0.3375502618800939</v>
      </c>
      <c r="L2895" t="e">
        <f>VLOOKUP(Table1[[#This Row],[CountryCode]],[1]!Table1[#Data],4,FALSE)</f>
        <v>#REF!</v>
      </c>
    </row>
    <row r="2896" spans="1:12" hidden="1" x14ac:dyDescent="0.3">
      <c r="A2896" t="s">
        <v>49</v>
      </c>
      <c r="B2896" t="s">
        <v>50</v>
      </c>
      <c r="C2896" t="s">
        <v>125</v>
      </c>
      <c r="D2896" t="s">
        <v>126</v>
      </c>
      <c r="E2896">
        <v>2002</v>
      </c>
      <c r="F2896" s="1">
        <v>9</v>
      </c>
      <c r="G2896">
        <v>2000</v>
      </c>
      <c r="H2896">
        <f>AVERAGEIFS(Table1[value],Table1[IndicatorCode],Table1[[#This Row],[IndicatorCode]])</f>
        <v>7.6894248608534319</v>
      </c>
      <c r="I2896" cm="1">
        <f t="array" ref="I2896">_xlfn.STDEV.P(IF(Table1[IndicatorCode]=Table1[[#This Row],[IndicatorCode]],Table1[value]))</f>
        <v>5.2319501044600996</v>
      </c>
      <c r="J2896">
        <f>(Table1[[#This Row],[value]] - Table1[[#This Row],[mean]]) / Table1[[#This Row],[std_dev]]</f>
        <v>0.25049457907278921</v>
      </c>
      <c r="K2896">
        <f>AVERAGEIF(Table1[CountryCode],Table1[[#This Row],[CountryCode]],Table1[z-score])</f>
        <v>0.3375502618800939</v>
      </c>
      <c r="L2896" t="e">
        <f>VLOOKUP(Table1[[#This Row],[CountryCode]],[1]!Table1[#Data],4,FALSE)</f>
        <v>#REF!</v>
      </c>
    </row>
    <row r="2897" spans="1:12" hidden="1" x14ac:dyDescent="0.3">
      <c r="A2897" t="s">
        <v>49</v>
      </c>
      <c r="B2897" t="s">
        <v>50</v>
      </c>
      <c r="C2897" t="s">
        <v>125</v>
      </c>
      <c r="D2897" t="s">
        <v>126</v>
      </c>
      <c r="E2897">
        <v>2003</v>
      </c>
      <c r="F2897" s="1">
        <v>9</v>
      </c>
      <c r="G2897">
        <v>2000</v>
      </c>
      <c r="H2897">
        <f>AVERAGEIFS(Table1[value],Table1[IndicatorCode],Table1[[#This Row],[IndicatorCode]])</f>
        <v>7.6894248608534319</v>
      </c>
      <c r="I2897" cm="1">
        <f t="array" ref="I2897">_xlfn.STDEV.P(IF(Table1[IndicatorCode]=Table1[[#This Row],[IndicatorCode]],Table1[value]))</f>
        <v>5.2319501044600996</v>
      </c>
      <c r="J2897">
        <f>(Table1[[#This Row],[value]] - Table1[[#This Row],[mean]]) / Table1[[#This Row],[std_dev]]</f>
        <v>0.25049457907278921</v>
      </c>
      <c r="K2897">
        <f>AVERAGEIF(Table1[CountryCode],Table1[[#This Row],[CountryCode]],Table1[z-score])</f>
        <v>0.3375502618800939</v>
      </c>
      <c r="L2897" t="e">
        <f>VLOOKUP(Table1[[#This Row],[CountryCode]],[1]!Table1[#Data],4,FALSE)</f>
        <v>#REF!</v>
      </c>
    </row>
    <row r="2898" spans="1:12" hidden="1" x14ac:dyDescent="0.3">
      <c r="A2898" t="s">
        <v>49</v>
      </c>
      <c r="B2898" t="s">
        <v>50</v>
      </c>
      <c r="C2898" t="s">
        <v>125</v>
      </c>
      <c r="D2898" t="s">
        <v>126</v>
      </c>
      <c r="E2898">
        <v>2004</v>
      </c>
      <c r="F2898" s="1">
        <v>9</v>
      </c>
      <c r="G2898">
        <v>2000</v>
      </c>
      <c r="H2898">
        <f>AVERAGEIFS(Table1[value],Table1[IndicatorCode],Table1[[#This Row],[IndicatorCode]])</f>
        <v>7.6894248608534319</v>
      </c>
      <c r="I2898" cm="1">
        <f t="array" ref="I2898">_xlfn.STDEV.P(IF(Table1[IndicatorCode]=Table1[[#This Row],[IndicatorCode]],Table1[value]))</f>
        <v>5.2319501044600996</v>
      </c>
      <c r="J2898">
        <f>(Table1[[#This Row],[value]] - Table1[[#This Row],[mean]]) / Table1[[#This Row],[std_dev]]</f>
        <v>0.25049457907278921</v>
      </c>
      <c r="K2898">
        <f>AVERAGEIF(Table1[CountryCode],Table1[[#This Row],[CountryCode]],Table1[z-score])</f>
        <v>0.3375502618800939</v>
      </c>
      <c r="L2898" t="e">
        <f>VLOOKUP(Table1[[#This Row],[CountryCode]],[1]!Table1[#Data],4,FALSE)</f>
        <v>#REF!</v>
      </c>
    </row>
    <row r="2899" spans="1:12" hidden="1" x14ac:dyDescent="0.3">
      <c r="A2899" t="s">
        <v>49</v>
      </c>
      <c r="B2899" t="s">
        <v>50</v>
      </c>
      <c r="C2899" t="s">
        <v>125</v>
      </c>
      <c r="D2899" t="s">
        <v>126</v>
      </c>
      <c r="E2899">
        <v>2005</v>
      </c>
      <c r="F2899" s="1">
        <v>9</v>
      </c>
      <c r="G2899">
        <v>2000</v>
      </c>
      <c r="H2899">
        <f>AVERAGEIFS(Table1[value],Table1[IndicatorCode],Table1[[#This Row],[IndicatorCode]])</f>
        <v>7.6894248608534319</v>
      </c>
      <c r="I2899" cm="1">
        <f t="array" ref="I2899">_xlfn.STDEV.P(IF(Table1[IndicatorCode]=Table1[[#This Row],[IndicatorCode]],Table1[value]))</f>
        <v>5.2319501044600996</v>
      </c>
      <c r="J2899">
        <f>(Table1[[#This Row],[value]] - Table1[[#This Row],[mean]]) / Table1[[#This Row],[std_dev]]</f>
        <v>0.25049457907278921</v>
      </c>
      <c r="K2899">
        <f>AVERAGEIF(Table1[CountryCode],Table1[[#This Row],[CountryCode]],Table1[z-score])</f>
        <v>0.3375502618800939</v>
      </c>
      <c r="L2899" t="e">
        <f>VLOOKUP(Table1[[#This Row],[CountryCode]],[1]!Table1[#Data],4,FALSE)</f>
        <v>#REF!</v>
      </c>
    </row>
    <row r="2900" spans="1:12" hidden="1" x14ac:dyDescent="0.3">
      <c r="A2900" t="s">
        <v>49</v>
      </c>
      <c r="B2900" t="s">
        <v>50</v>
      </c>
      <c r="C2900" t="s">
        <v>125</v>
      </c>
      <c r="D2900" t="s">
        <v>126</v>
      </c>
      <c r="E2900">
        <v>2006</v>
      </c>
      <c r="F2900" s="1">
        <v>9</v>
      </c>
      <c r="G2900">
        <v>2000</v>
      </c>
      <c r="H2900">
        <f>AVERAGEIFS(Table1[value],Table1[IndicatorCode],Table1[[#This Row],[IndicatorCode]])</f>
        <v>7.6894248608534319</v>
      </c>
      <c r="I2900" cm="1">
        <f t="array" ref="I2900">_xlfn.STDEV.P(IF(Table1[IndicatorCode]=Table1[[#This Row],[IndicatorCode]],Table1[value]))</f>
        <v>5.2319501044600996</v>
      </c>
      <c r="J2900">
        <f>(Table1[[#This Row],[value]] - Table1[[#This Row],[mean]]) / Table1[[#This Row],[std_dev]]</f>
        <v>0.25049457907278921</v>
      </c>
      <c r="K2900">
        <f>AVERAGEIF(Table1[CountryCode],Table1[[#This Row],[CountryCode]],Table1[z-score])</f>
        <v>0.3375502618800939</v>
      </c>
      <c r="L2900" t="e">
        <f>VLOOKUP(Table1[[#This Row],[CountryCode]],[1]!Table1[#Data],4,FALSE)</f>
        <v>#REF!</v>
      </c>
    </row>
    <row r="2901" spans="1:12" hidden="1" x14ac:dyDescent="0.3">
      <c r="A2901" t="s">
        <v>49</v>
      </c>
      <c r="B2901" t="s">
        <v>50</v>
      </c>
      <c r="C2901" t="s">
        <v>125</v>
      </c>
      <c r="D2901" t="s">
        <v>126</v>
      </c>
      <c r="E2901">
        <v>2007</v>
      </c>
      <c r="F2901" s="1">
        <v>9</v>
      </c>
      <c r="G2901">
        <v>2010</v>
      </c>
      <c r="H2901">
        <f>AVERAGEIFS(Table1[value],Table1[IndicatorCode],Table1[[#This Row],[IndicatorCode]])</f>
        <v>7.6894248608534319</v>
      </c>
      <c r="I2901" cm="1">
        <f t="array" ref="I2901">_xlfn.STDEV.P(IF(Table1[IndicatorCode]=Table1[[#This Row],[IndicatorCode]],Table1[value]))</f>
        <v>5.2319501044600996</v>
      </c>
      <c r="J2901">
        <f>(Table1[[#This Row],[value]] - Table1[[#This Row],[mean]]) / Table1[[#This Row],[std_dev]]</f>
        <v>0.25049457907278921</v>
      </c>
      <c r="K2901">
        <f>AVERAGEIF(Table1[CountryCode],Table1[[#This Row],[CountryCode]],Table1[z-score])</f>
        <v>0.3375502618800939</v>
      </c>
      <c r="L2901" t="e">
        <f>VLOOKUP(Table1[[#This Row],[CountryCode]],[1]!Table1[#Data],4,FALSE)</f>
        <v>#REF!</v>
      </c>
    </row>
    <row r="2902" spans="1:12" hidden="1" x14ac:dyDescent="0.3">
      <c r="A2902" t="s">
        <v>49</v>
      </c>
      <c r="B2902" t="s">
        <v>50</v>
      </c>
      <c r="C2902" t="s">
        <v>125</v>
      </c>
      <c r="D2902" t="s">
        <v>126</v>
      </c>
      <c r="E2902">
        <v>2008</v>
      </c>
      <c r="F2902" s="1">
        <v>9</v>
      </c>
      <c r="G2902">
        <v>2010</v>
      </c>
      <c r="H2902">
        <f>AVERAGEIFS(Table1[value],Table1[IndicatorCode],Table1[[#This Row],[IndicatorCode]])</f>
        <v>7.6894248608534319</v>
      </c>
      <c r="I2902" cm="1">
        <f t="array" ref="I2902">_xlfn.STDEV.P(IF(Table1[IndicatorCode]=Table1[[#This Row],[IndicatorCode]],Table1[value]))</f>
        <v>5.2319501044600996</v>
      </c>
      <c r="J2902">
        <f>(Table1[[#This Row],[value]] - Table1[[#This Row],[mean]]) / Table1[[#This Row],[std_dev]]</f>
        <v>0.25049457907278921</v>
      </c>
      <c r="K2902">
        <f>AVERAGEIF(Table1[CountryCode],Table1[[#This Row],[CountryCode]],Table1[z-score])</f>
        <v>0.3375502618800939</v>
      </c>
      <c r="L2902" t="e">
        <f>VLOOKUP(Table1[[#This Row],[CountryCode]],[1]!Table1[#Data],4,FALSE)</f>
        <v>#REF!</v>
      </c>
    </row>
    <row r="2903" spans="1:12" hidden="1" x14ac:dyDescent="0.3">
      <c r="A2903" t="s">
        <v>49</v>
      </c>
      <c r="B2903" t="s">
        <v>50</v>
      </c>
      <c r="C2903" t="s">
        <v>125</v>
      </c>
      <c r="D2903" t="s">
        <v>126</v>
      </c>
      <c r="E2903">
        <v>2009</v>
      </c>
      <c r="F2903" s="1">
        <v>8</v>
      </c>
      <c r="G2903">
        <v>2010</v>
      </c>
      <c r="H2903">
        <f>AVERAGEIFS(Table1[value],Table1[IndicatorCode],Table1[[#This Row],[IndicatorCode]])</f>
        <v>7.6894248608534319</v>
      </c>
      <c r="I2903" cm="1">
        <f t="array" ref="I2903">_xlfn.STDEV.P(IF(Table1[IndicatorCode]=Table1[[#This Row],[IndicatorCode]],Table1[value]))</f>
        <v>5.2319501044600996</v>
      </c>
      <c r="J2903">
        <f>(Table1[[#This Row],[value]] - Table1[[#This Row],[mean]]) / Table1[[#This Row],[std_dev]]</f>
        <v>5.9361257838030791E-2</v>
      </c>
      <c r="K2903">
        <f>AVERAGEIF(Table1[CountryCode],Table1[[#This Row],[CountryCode]],Table1[z-score])</f>
        <v>0.3375502618800939</v>
      </c>
      <c r="L2903" t="e">
        <f>VLOOKUP(Table1[[#This Row],[CountryCode]],[1]!Table1[#Data],4,FALSE)</f>
        <v>#REF!</v>
      </c>
    </row>
    <row r="2904" spans="1:12" hidden="1" x14ac:dyDescent="0.3">
      <c r="A2904" t="s">
        <v>49</v>
      </c>
      <c r="B2904" t="s">
        <v>50</v>
      </c>
      <c r="C2904" t="s">
        <v>125</v>
      </c>
      <c r="D2904" t="s">
        <v>126</v>
      </c>
      <c r="E2904">
        <v>2010</v>
      </c>
      <c r="F2904" s="1">
        <v>8</v>
      </c>
      <c r="G2904">
        <v>2010</v>
      </c>
      <c r="H2904">
        <f>AVERAGEIFS(Table1[value],Table1[IndicatorCode],Table1[[#This Row],[IndicatorCode]])</f>
        <v>7.6894248608534319</v>
      </c>
      <c r="I2904" cm="1">
        <f t="array" ref="I2904">_xlfn.STDEV.P(IF(Table1[IndicatorCode]=Table1[[#This Row],[IndicatorCode]],Table1[value]))</f>
        <v>5.2319501044600996</v>
      </c>
      <c r="J2904">
        <f>(Table1[[#This Row],[value]] - Table1[[#This Row],[mean]]) / Table1[[#This Row],[std_dev]]</f>
        <v>5.9361257838030791E-2</v>
      </c>
      <c r="K2904">
        <f>AVERAGEIF(Table1[CountryCode],Table1[[#This Row],[CountryCode]],Table1[z-score])</f>
        <v>0.3375502618800939</v>
      </c>
      <c r="L2904" t="e">
        <f>VLOOKUP(Table1[[#This Row],[CountryCode]],[1]!Table1[#Data],4,FALSE)</f>
        <v>#REF!</v>
      </c>
    </row>
    <row r="2905" spans="1:12" hidden="1" x14ac:dyDescent="0.3">
      <c r="A2905" t="s">
        <v>49</v>
      </c>
      <c r="B2905" t="s">
        <v>50</v>
      </c>
      <c r="C2905" t="s">
        <v>125</v>
      </c>
      <c r="D2905" t="s">
        <v>126</v>
      </c>
      <c r="E2905">
        <v>2011</v>
      </c>
      <c r="F2905" s="1">
        <v>7</v>
      </c>
      <c r="G2905">
        <v>2010</v>
      </c>
      <c r="H2905">
        <f>AVERAGEIFS(Table1[value],Table1[IndicatorCode],Table1[[#This Row],[IndicatorCode]])</f>
        <v>7.6894248608534319</v>
      </c>
      <c r="I2905" cm="1">
        <f t="array" ref="I2905">_xlfn.STDEV.P(IF(Table1[IndicatorCode]=Table1[[#This Row],[IndicatorCode]],Table1[value]))</f>
        <v>5.2319501044600996</v>
      </c>
      <c r="J2905">
        <f>(Table1[[#This Row],[value]] - Table1[[#This Row],[mean]]) / Table1[[#This Row],[std_dev]]</f>
        <v>-0.13177206339672762</v>
      </c>
      <c r="K2905">
        <f>AVERAGEIF(Table1[CountryCode],Table1[[#This Row],[CountryCode]],Table1[z-score])</f>
        <v>0.3375502618800939</v>
      </c>
      <c r="L2905" t="e">
        <f>VLOOKUP(Table1[[#This Row],[CountryCode]],[1]!Table1[#Data],4,FALSE)</f>
        <v>#REF!</v>
      </c>
    </row>
    <row r="2906" spans="1:12" hidden="1" x14ac:dyDescent="0.3">
      <c r="A2906" t="s">
        <v>49</v>
      </c>
      <c r="B2906" t="s">
        <v>50</v>
      </c>
      <c r="C2906" t="s">
        <v>125</v>
      </c>
      <c r="D2906" t="s">
        <v>126</v>
      </c>
      <c r="E2906">
        <v>2012</v>
      </c>
      <c r="F2906" s="1">
        <v>8</v>
      </c>
      <c r="G2906">
        <v>2010</v>
      </c>
      <c r="H2906">
        <f>AVERAGEIFS(Table1[value],Table1[IndicatorCode],Table1[[#This Row],[IndicatorCode]])</f>
        <v>7.6894248608534319</v>
      </c>
      <c r="I2906" cm="1">
        <f t="array" ref="I2906">_xlfn.STDEV.P(IF(Table1[IndicatorCode]=Table1[[#This Row],[IndicatorCode]],Table1[value]))</f>
        <v>5.2319501044600996</v>
      </c>
      <c r="J2906">
        <f>(Table1[[#This Row],[value]] - Table1[[#This Row],[mean]]) / Table1[[#This Row],[std_dev]]</f>
        <v>5.9361257838030791E-2</v>
      </c>
      <c r="K2906">
        <f>AVERAGEIF(Table1[CountryCode],Table1[[#This Row],[CountryCode]],Table1[z-score])</f>
        <v>0.3375502618800939</v>
      </c>
      <c r="L2906" t="e">
        <f>VLOOKUP(Table1[[#This Row],[CountryCode]],[1]!Table1[#Data],4,FALSE)</f>
        <v>#REF!</v>
      </c>
    </row>
    <row r="2907" spans="1:12" hidden="1" x14ac:dyDescent="0.3">
      <c r="A2907" t="s">
        <v>49</v>
      </c>
      <c r="B2907" t="s">
        <v>50</v>
      </c>
      <c r="C2907" t="s">
        <v>125</v>
      </c>
      <c r="D2907" t="s">
        <v>126</v>
      </c>
      <c r="E2907">
        <v>2013</v>
      </c>
      <c r="F2907" s="1">
        <v>7</v>
      </c>
      <c r="G2907">
        <v>2010</v>
      </c>
      <c r="H2907">
        <f>AVERAGEIFS(Table1[value],Table1[IndicatorCode],Table1[[#This Row],[IndicatorCode]])</f>
        <v>7.6894248608534319</v>
      </c>
      <c r="I2907" cm="1">
        <f t="array" ref="I2907">_xlfn.STDEV.P(IF(Table1[IndicatorCode]=Table1[[#This Row],[IndicatorCode]],Table1[value]))</f>
        <v>5.2319501044600996</v>
      </c>
      <c r="J2907">
        <f>(Table1[[#This Row],[value]] - Table1[[#This Row],[mean]]) / Table1[[#This Row],[std_dev]]</f>
        <v>-0.13177206339672762</v>
      </c>
      <c r="K2907">
        <f>AVERAGEIF(Table1[CountryCode],Table1[[#This Row],[CountryCode]],Table1[z-score])</f>
        <v>0.3375502618800939</v>
      </c>
      <c r="L2907" t="e">
        <f>VLOOKUP(Table1[[#This Row],[CountryCode]],[1]!Table1[#Data],4,FALSE)</f>
        <v>#REF!</v>
      </c>
    </row>
    <row r="2908" spans="1:12" hidden="1" x14ac:dyDescent="0.3">
      <c r="A2908" t="s">
        <v>49</v>
      </c>
      <c r="B2908" t="s">
        <v>50</v>
      </c>
      <c r="C2908" t="s">
        <v>125</v>
      </c>
      <c r="D2908" t="s">
        <v>126</v>
      </c>
      <c r="E2908">
        <v>2014</v>
      </c>
      <c r="F2908" s="1">
        <v>7</v>
      </c>
      <c r="G2908">
        <v>2010</v>
      </c>
      <c r="H2908">
        <f>AVERAGEIFS(Table1[value],Table1[IndicatorCode],Table1[[#This Row],[IndicatorCode]])</f>
        <v>7.6894248608534319</v>
      </c>
      <c r="I2908" cm="1">
        <f t="array" ref="I2908">_xlfn.STDEV.P(IF(Table1[IndicatorCode]=Table1[[#This Row],[IndicatorCode]],Table1[value]))</f>
        <v>5.2319501044600996</v>
      </c>
      <c r="J2908">
        <f>(Table1[[#This Row],[value]] - Table1[[#This Row],[mean]]) / Table1[[#This Row],[std_dev]]</f>
        <v>-0.13177206339672762</v>
      </c>
      <c r="K2908">
        <f>AVERAGEIF(Table1[CountryCode],Table1[[#This Row],[CountryCode]],Table1[z-score])</f>
        <v>0.3375502618800939</v>
      </c>
      <c r="L2908" t="e">
        <f>VLOOKUP(Table1[[#This Row],[CountryCode]],[1]!Table1[#Data],4,FALSE)</f>
        <v>#REF!</v>
      </c>
    </row>
    <row r="2909" spans="1:12" hidden="1" x14ac:dyDescent="0.3">
      <c r="A2909" t="s">
        <v>49</v>
      </c>
      <c r="B2909" t="s">
        <v>50</v>
      </c>
      <c r="C2909" t="s">
        <v>125</v>
      </c>
      <c r="D2909" t="s">
        <v>126</v>
      </c>
      <c r="E2909">
        <v>2015</v>
      </c>
      <c r="F2909" s="1">
        <v>6</v>
      </c>
      <c r="G2909">
        <v>2010</v>
      </c>
      <c r="H2909">
        <f>AVERAGEIFS(Table1[value],Table1[IndicatorCode],Table1[[#This Row],[IndicatorCode]])</f>
        <v>7.6894248608534319</v>
      </c>
      <c r="I2909" cm="1">
        <f t="array" ref="I2909">_xlfn.STDEV.P(IF(Table1[IndicatorCode]=Table1[[#This Row],[IndicatorCode]],Table1[value]))</f>
        <v>5.2319501044600996</v>
      </c>
      <c r="J2909">
        <f>(Table1[[#This Row],[value]] - Table1[[#This Row],[mean]]) / Table1[[#This Row],[std_dev]]</f>
        <v>-0.32290538463148605</v>
      </c>
      <c r="K2909">
        <f>AVERAGEIF(Table1[CountryCode],Table1[[#This Row],[CountryCode]],Table1[z-score])</f>
        <v>0.3375502618800939</v>
      </c>
      <c r="L2909" t="e">
        <f>VLOOKUP(Table1[[#This Row],[CountryCode]],[1]!Table1[#Data],4,FALSE)</f>
        <v>#REF!</v>
      </c>
    </row>
    <row r="2910" spans="1:12" hidden="1" x14ac:dyDescent="0.3">
      <c r="A2910" t="s">
        <v>49</v>
      </c>
      <c r="B2910" t="s">
        <v>50</v>
      </c>
      <c r="C2910" t="s">
        <v>125</v>
      </c>
      <c r="D2910" t="s">
        <v>126</v>
      </c>
      <c r="E2910">
        <v>2016</v>
      </c>
      <c r="F2910" s="1">
        <v>6</v>
      </c>
      <c r="G2910">
        <v>2010</v>
      </c>
      <c r="H2910">
        <f>AVERAGEIFS(Table1[value],Table1[IndicatorCode],Table1[[#This Row],[IndicatorCode]])</f>
        <v>7.6894248608534319</v>
      </c>
      <c r="I2910" cm="1">
        <f t="array" ref="I2910">_xlfn.STDEV.P(IF(Table1[IndicatorCode]=Table1[[#This Row],[IndicatorCode]],Table1[value]))</f>
        <v>5.2319501044600996</v>
      </c>
      <c r="J2910">
        <f>(Table1[[#This Row],[value]] - Table1[[#This Row],[mean]]) / Table1[[#This Row],[std_dev]]</f>
        <v>-0.32290538463148605</v>
      </c>
      <c r="K2910">
        <f>AVERAGEIF(Table1[CountryCode],Table1[[#This Row],[CountryCode]],Table1[z-score])</f>
        <v>0.3375502618800939</v>
      </c>
      <c r="L2910" t="e">
        <f>VLOOKUP(Table1[[#This Row],[CountryCode]],[1]!Table1[#Data],4,FALSE)</f>
        <v>#REF!</v>
      </c>
    </row>
    <row r="2911" spans="1:12" hidden="1" x14ac:dyDescent="0.3">
      <c r="A2911" t="s">
        <v>49</v>
      </c>
      <c r="B2911" t="s">
        <v>50</v>
      </c>
      <c r="C2911" t="s">
        <v>125</v>
      </c>
      <c r="D2911" t="s">
        <v>126</v>
      </c>
      <c r="E2911">
        <v>2017</v>
      </c>
      <c r="F2911" s="1">
        <v>6</v>
      </c>
      <c r="G2911">
        <v>2020</v>
      </c>
      <c r="H2911">
        <f>AVERAGEIFS(Table1[value],Table1[IndicatorCode],Table1[[#This Row],[IndicatorCode]])</f>
        <v>7.6894248608534319</v>
      </c>
      <c r="I2911" cm="1">
        <f t="array" ref="I2911">_xlfn.STDEV.P(IF(Table1[IndicatorCode]=Table1[[#This Row],[IndicatorCode]],Table1[value]))</f>
        <v>5.2319501044600996</v>
      </c>
      <c r="J2911">
        <f>(Table1[[#This Row],[value]] - Table1[[#This Row],[mean]]) / Table1[[#This Row],[std_dev]]</f>
        <v>-0.32290538463148605</v>
      </c>
      <c r="K2911">
        <f>AVERAGEIF(Table1[CountryCode],Table1[[#This Row],[CountryCode]],Table1[z-score])</f>
        <v>0.3375502618800939</v>
      </c>
      <c r="L2911" t="e">
        <f>VLOOKUP(Table1[[#This Row],[CountryCode]],[1]!Table1[#Data],4,FALSE)</f>
        <v>#REF!</v>
      </c>
    </row>
    <row r="2912" spans="1:12" hidden="1" x14ac:dyDescent="0.3">
      <c r="A2912" t="s">
        <v>49</v>
      </c>
      <c r="B2912" t="s">
        <v>50</v>
      </c>
      <c r="C2912" t="s">
        <v>125</v>
      </c>
      <c r="D2912" t="s">
        <v>126</v>
      </c>
      <c r="E2912">
        <v>2018</v>
      </c>
      <c r="F2912" s="1">
        <v>6</v>
      </c>
      <c r="G2912">
        <v>2020</v>
      </c>
      <c r="H2912">
        <f>AVERAGEIFS(Table1[value],Table1[IndicatorCode],Table1[[#This Row],[IndicatorCode]])</f>
        <v>7.6894248608534319</v>
      </c>
      <c r="I2912" cm="1">
        <f t="array" ref="I2912">_xlfn.STDEV.P(IF(Table1[IndicatorCode]=Table1[[#This Row],[IndicatorCode]],Table1[value]))</f>
        <v>5.2319501044600996</v>
      </c>
      <c r="J2912">
        <f>(Table1[[#This Row],[value]] - Table1[[#This Row],[mean]]) / Table1[[#This Row],[std_dev]]</f>
        <v>-0.32290538463148605</v>
      </c>
      <c r="K2912">
        <f>AVERAGEIF(Table1[CountryCode],Table1[[#This Row],[CountryCode]],Table1[z-score])</f>
        <v>0.3375502618800939</v>
      </c>
      <c r="L2912" t="e">
        <f>VLOOKUP(Table1[[#This Row],[CountryCode]],[1]!Table1[#Data],4,FALSE)</f>
        <v>#REF!</v>
      </c>
    </row>
    <row r="2913" spans="1:12" hidden="1" x14ac:dyDescent="0.3">
      <c r="A2913" t="s">
        <v>49</v>
      </c>
      <c r="B2913" t="s">
        <v>50</v>
      </c>
      <c r="C2913" t="s">
        <v>125</v>
      </c>
      <c r="D2913" t="s">
        <v>126</v>
      </c>
      <c r="E2913">
        <v>2019</v>
      </c>
      <c r="F2913" s="1">
        <v>5</v>
      </c>
      <c r="G2913">
        <v>2020</v>
      </c>
      <c r="H2913">
        <f>AVERAGEIFS(Table1[value],Table1[IndicatorCode],Table1[[#This Row],[IndicatorCode]])</f>
        <v>7.6894248608534319</v>
      </c>
      <c r="I2913" cm="1">
        <f t="array" ref="I2913">_xlfn.STDEV.P(IF(Table1[IndicatorCode]=Table1[[#This Row],[IndicatorCode]],Table1[value]))</f>
        <v>5.2319501044600996</v>
      </c>
      <c r="J2913">
        <f>(Table1[[#This Row],[value]] - Table1[[#This Row],[mean]]) / Table1[[#This Row],[std_dev]]</f>
        <v>-0.51403870586624445</v>
      </c>
      <c r="K2913">
        <f>AVERAGEIF(Table1[CountryCode],Table1[[#This Row],[CountryCode]],Table1[z-score])</f>
        <v>0.3375502618800939</v>
      </c>
      <c r="L2913" t="e">
        <f>VLOOKUP(Table1[[#This Row],[CountryCode]],[1]!Table1[#Data],4,FALSE)</f>
        <v>#REF!</v>
      </c>
    </row>
    <row r="2914" spans="1:12" x14ac:dyDescent="0.3">
      <c r="A2914" t="s">
        <v>49</v>
      </c>
      <c r="B2914" t="s">
        <v>50</v>
      </c>
      <c r="C2914" t="s">
        <v>125</v>
      </c>
      <c r="D2914" t="s">
        <v>126</v>
      </c>
      <c r="E2914">
        <v>2020</v>
      </c>
      <c r="F2914" s="1">
        <v>5</v>
      </c>
      <c r="G2914">
        <v>2020</v>
      </c>
      <c r="H2914">
        <f>AVERAGEIFS(Table1[value],Table1[IndicatorCode],Table1[[#This Row],[IndicatorCode]])</f>
        <v>7.6894248608534319</v>
      </c>
      <c r="I2914" cm="1">
        <f t="array" ref="I2914">_xlfn.STDEV.P(IF(Table1[IndicatorCode]=Table1[[#This Row],[IndicatorCode]],Table1[value]))</f>
        <v>5.2319501044600996</v>
      </c>
      <c r="J2914">
        <f>(Table1[[#This Row],[value]] - Table1[[#This Row],[mean]]) / Table1[[#This Row],[std_dev]]</f>
        <v>-0.51403870586624445</v>
      </c>
      <c r="K2914">
        <f>AVERAGEIF(Table1[CountryCode],Table1[[#This Row],[CountryCode]],Table1[z-score])</f>
        <v>0.3375502618800939</v>
      </c>
    </row>
    <row r="2915" spans="1:12" hidden="1" x14ac:dyDescent="0.3">
      <c r="A2915" t="s">
        <v>49</v>
      </c>
      <c r="B2915" t="s">
        <v>50</v>
      </c>
      <c r="C2915" t="s">
        <v>125</v>
      </c>
      <c r="D2915" t="s">
        <v>126</v>
      </c>
      <c r="E2915">
        <v>2021</v>
      </c>
      <c r="F2915" s="1">
        <v>5</v>
      </c>
      <c r="G2915">
        <v>2020</v>
      </c>
      <c r="H2915">
        <f>AVERAGEIFS(Table1[value],Table1[IndicatorCode],Table1[[#This Row],[IndicatorCode]])</f>
        <v>7.6894248608534319</v>
      </c>
      <c r="I2915" cm="1">
        <f t="array" ref="I2915">_xlfn.STDEV.P(IF(Table1[IndicatorCode]=Table1[[#This Row],[IndicatorCode]],Table1[value]))</f>
        <v>5.2319501044600996</v>
      </c>
      <c r="J2915">
        <f>(Table1[[#This Row],[value]] - Table1[[#This Row],[mean]]) / Table1[[#This Row],[std_dev]]</f>
        <v>-0.51403870586624445</v>
      </c>
      <c r="K2915">
        <f>AVERAGEIF(Table1[CountryCode],Table1[[#This Row],[CountryCode]],Table1[z-score])</f>
        <v>0.3375502618800939</v>
      </c>
      <c r="L2915" t="e">
        <f>VLOOKUP(Table1[[#This Row],[CountryCode]],[1]!Table1[#Data],4,FALSE)</f>
        <v>#REF!</v>
      </c>
    </row>
    <row r="2916" spans="1:12" hidden="1" x14ac:dyDescent="0.3">
      <c r="A2916" t="s">
        <v>49</v>
      </c>
      <c r="B2916" t="s">
        <v>50</v>
      </c>
      <c r="C2916" t="s">
        <v>125</v>
      </c>
      <c r="D2916" t="s">
        <v>126</v>
      </c>
      <c r="E2916">
        <v>2022</v>
      </c>
      <c r="F2916" s="1">
        <v>5</v>
      </c>
      <c r="G2916">
        <v>1970</v>
      </c>
      <c r="H2916">
        <f>AVERAGEIFS(Table1[value],Table1[IndicatorCode],Table1[[#This Row],[IndicatorCode]])</f>
        <v>7.6894248608534319</v>
      </c>
      <c r="I2916" cm="1">
        <f t="array" ref="I2916">_xlfn.STDEV.P(IF(Table1[IndicatorCode]=Table1[[#This Row],[IndicatorCode]],Table1[value]))</f>
        <v>5.2319501044600996</v>
      </c>
      <c r="J2916">
        <f>(Table1[[#This Row],[value]] - Table1[[#This Row],[mean]]) / Table1[[#This Row],[std_dev]]</f>
        <v>-0.51403870586624445</v>
      </c>
      <c r="K2916">
        <f>AVERAGEIF(Table1[CountryCode],Table1[[#This Row],[CountryCode]],Table1[z-score])</f>
        <v>0.3375502618800939</v>
      </c>
      <c r="L2916" t="e">
        <f>VLOOKUP(Table1[[#This Row],[CountryCode]],[1]!Table1[#Data],4,FALSE)</f>
        <v>#REF!</v>
      </c>
    </row>
    <row r="2917" spans="1:12" hidden="1" x14ac:dyDescent="0.3">
      <c r="A2917" t="s">
        <v>49</v>
      </c>
      <c r="B2917" t="s">
        <v>50</v>
      </c>
      <c r="C2917" t="s">
        <v>125</v>
      </c>
      <c r="D2917" t="s">
        <v>126</v>
      </c>
      <c r="E2917">
        <v>2023</v>
      </c>
      <c r="F2917" s="1">
        <v>4</v>
      </c>
      <c r="G2917">
        <v>1970</v>
      </c>
      <c r="H2917">
        <f>AVERAGEIFS(Table1[value],Table1[IndicatorCode],Table1[[#This Row],[IndicatorCode]])</f>
        <v>7.6894248608534319</v>
      </c>
      <c r="I2917" cm="1">
        <f t="array" ref="I2917">_xlfn.STDEV.P(IF(Table1[IndicatorCode]=Table1[[#This Row],[IndicatorCode]],Table1[value]))</f>
        <v>5.2319501044600996</v>
      </c>
      <c r="J2917">
        <f>(Table1[[#This Row],[value]] - Table1[[#This Row],[mean]]) / Table1[[#This Row],[std_dev]]</f>
        <v>-0.7051720271010028</v>
      </c>
      <c r="K2917">
        <f>AVERAGEIF(Table1[CountryCode],Table1[[#This Row],[CountryCode]],Table1[z-score])</f>
        <v>0.3375502618800939</v>
      </c>
      <c r="L2917" t="e">
        <f>VLOOKUP(Table1[[#This Row],[CountryCode]],[1]!Table1[#Data],4,FALSE)</f>
        <v>#REF!</v>
      </c>
    </row>
    <row r="2918" spans="1:12" hidden="1" x14ac:dyDescent="0.3">
      <c r="A2918" t="s">
        <v>49</v>
      </c>
      <c r="B2918" t="s">
        <v>50</v>
      </c>
      <c r="C2918" t="s">
        <v>125</v>
      </c>
      <c r="D2918" t="s">
        <v>126</v>
      </c>
      <c r="E2918">
        <v>2024</v>
      </c>
      <c r="F2918" s="1">
        <v>4</v>
      </c>
      <c r="G2918">
        <v>1970</v>
      </c>
      <c r="H2918">
        <f>AVERAGEIFS(Table1[value],Table1[IndicatorCode],Table1[[#This Row],[IndicatorCode]])</f>
        <v>7.6894248608534319</v>
      </c>
      <c r="I2918" cm="1">
        <f t="array" ref="I2918">_xlfn.STDEV.P(IF(Table1[IndicatorCode]=Table1[[#This Row],[IndicatorCode]],Table1[value]))</f>
        <v>5.2319501044600996</v>
      </c>
      <c r="J2918">
        <f>(Table1[[#This Row],[value]] - Table1[[#This Row],[mean]]) / Table1[[#This Row],[std_dev]]</f>
        <v>-0.7051720271010028</v>
      </c>
      <c r="K2918">
        <f>AVERAGEIF(Table1[CountryCode],Table1[[#This Row],[CountryCode]],Table1[z-score])</f>
        <v>0.3375502618800939</v>
      </c>
      <c r="L2918" t="e">
        <f>VLOOKUP(Table1[[#This Row],[CountryCode]],[1]!Table1[#Data],4,FALSE)</f>
        <v>#REF!</v>
      </c>
    </row>
    <row r="2919" spans="1:12" hidden="1" x14ac:dyDescent="0.3">
      <c r="A2919" t="s">
        <v>51</v>
      </c>
      <c r="B2919" t="s">
        <v>52</v>
      </c>
      <c r="C2919" t="s">
        <v>125</v>
      </c>
      <c r="D2919" t="s">
        <v>126</v>
      </c>
      <c r="E2919">
        <v>1970</v>
      </c>
      <c r="F2919" s="1">
        <v>6</v>
      </c>
      <c r="G2919">
        <v>1970</v>
      </c>
      <c r="H2919">
        <f>AVERAGEIFS(Table1[value],Table1[IndicatorCode],Table1[[#This Row],[IndicatorCode]])</f>
        <v>7.6894248608534319</v>
      </c>
      <c r="I2919" cm="1">
        <f t="array" ref="I2919">_xlfn.STDEV.P(IF(Table1[IndicatorCode]=Table1[[#This Row],[IndicatorCode]],Table1[value]))</f>
        <v>5.2319501044600996</v>
      </c>
      <c r="J2919">
        <f>(Table1[[#This Row],[value]] - Table1[[#This Row],[mean]]) / Table1[[#This Row],[std_dev]]</f>
        <v>-0.32290538463148605</v>
      </c>
      <c r="K2919">
        <f>AVERAGEIF(Table1[CountryCode],Table1[[#This Row],[CountryCode]],Table1[z-score])</f>
        <v>-0.61446545916413864</v>
      </c>
      <c r="L2919" t="e">
        <f>VLOOKUP(Table1[[#This Row],[CountryCode]],[1]!Table1[#Data],4,FALSE)</f>
        <v>#REF!</v>
      </c>
    </row>
    <row r="2920" spans="1:12" hidden="1" x14ac:dyDescent="0.3">
      <c r="A2920" t="s">
        <v>51</v>
      </c>
      <c r="B2920" t="s">
        <v>52</v>
      </c>
      <c r="C2920" t="s">
        <v>125</v>
      </c>
      <c r="D2920" t="s">
        <v>126</v>
      </c>
      <c r="E2920">
        <v>1971</v>
      </c>
      <c r="F2920" s="1">
        <v>6</v>
      </c>
      <c r="G2920">
        <v>1970</v>
      </c>
      <c r="H2920">
        <f>AVERAGEIFS(Table1[value],Table1[IndicatorCode],Table1[[#This Row],[IndicatorCode]])</f>
        <v>7.6894248608534319</v>
      </c>
      <c r="I2920" cm="1">
        <f t="array" ref="I2920">_xlfn.STDEV.P(IF(Table1[IndicatorCode]=Table1[[#This Row],[IndicatorCode]],Table1[value]))</f>
        <v>5.2319501044600996</v>
      </c>
      <c r="J2920">
        <f>(Table1[[#This Row],[value]] - Table1[[#This Row],[mean]]) / Table1[[#This Row],[std_dev]]</f>
        <v>-0.32290538463148605</v>
      </c>
      <c r="K2920">
        <f>AVERAGEIF(Table1[CountryCode],Table1[[#This Row],[CountryCode]],Table1[z-score])</f>
        <v>-0.61446545916413864</v>
      </c>
      <c r="L2920" t="e">
        <f>VLOOKUP(Table1[[#This Row],[CountryCode]],[1]!Table1[#Data],4,FALSE)</f>
        <v>#REF!</v>
      </c>
    </row>
    <row r="2921" spans="1:12" hidden="1" x14ac:dyDescent="0.3">
      <c r="A2921" t="s">
        <v>51</v>
      </c>
      <c r="B2921" t="s">
        <v>52</v>
      </c>
      <c r="C2921" t="s">
        <v>125</v>
      </c>
      <c r="D2921" t="s">
        <v>126</v>
      </c>
      <c r="E2921">
        <v>1972</v>
      </c>
      <c r="F2921" s="1">
        <v>6</v>
      </c>
      <c r="G2921">
        <v>1970</v>
      </c>
      <c r="H2921">
        <f>AVERAGEIFS(Table1[value],Table1[IndicatorCode],Table1[[#This Row],[IndicatorCode]])</f>
        <v>7.6894248608534319</v>
      </c>
      <c r="I2921" cm="1">
        <f t="array" ref="I2921">_xlfn.STDEV.P(IF(Table1[IndicatorCode]=Table1[[#This Row],[IndicatorCode]],Table1[value]))</f>
        <v>5.2319501044600996</v>
      </c>
      <c r="J2921">
        <f>(Table1[[#This Row],[value]] - Table1[[#This Row],[mean]]) / Table1[[#This Row],[std_dev]]</f>
        <v>-0.32290538463148605</v>
      </c>
      <c r="K2921">
        <f>AVERAGEIF(Table1[CountryCode],Table1[[#This Row],[CountryCode]],Table1[z-score])</f>
        <v>-0.61446545916413864</v>
      </c>
      <c r="L2921" t="e">
        <f>VLOOKUP(Table1[[#This Row],[CountryCode]],[1]!Table1[#Data],4,FALSE)</f>
        <v>#REF!</v>
      </c>
    </row>
    <row r="2922" spans="1:12" hidden="1" x14ac:dyDescent="0.3">
      <c r="A2922" t="s">
        <v>51</v>
      </c>
      <c r="B2922" t="s">
        <v>52</v>
      </c>
      <c r="C2922" t="s">
        <v>125</v>
      </c>
      <c r="D2922" t="s">
        <v>126</v>
      </c>
      <c r="E2922">
        <v>1973</v>
      </c>
      <c r="F2922" s="1">
        <v>6</v>
      </c>
      <c r="G2922">
        <v>1970</v>
      </c>
      <c r="H2922">
        <f>AVERAGEIFS(Table1[value],Table1[IndicatorCode],Table1[[#This Row],[IndicatorCode]])</f>
        <v>7.6894248608534319</v>
      </c>
      <c r="I2922" cm="1">
        <f t="array" ref="I2922">_xlfn.STDEV.P(IF(Table1[IndicatorCode]=Table1[[#This Row],[IndicatorCode]],Table1[value]))</f>
        <v>5.2319501044600996</v>
      </c>
      <c r="J2922">
        <f>(Table1[[#This Row],[value]] - Table1[[#This Row],[mean]]) / Table1[[#This Row],[std_dev]]</f>
        <v>-0.32290538463148605</v>
      </c>
      <c r="K2922">
        <f>AVERAGEIF(Table1[CountryCode],Table1[[#This Row],[CountryCode]],Table1[z-score])</f>
        <v>-0.61446545916413864</v>
      </c>
      <c r="L2922" t="e">
        <f>VLOOKUP(Table1[[#This Row],[CountryCode]],[1]!Table1[#Data],4,FALSE)</f>
        <v>#REF!</v>
      </c>
    </row>
    <row r="2923" spans="1:12" hidden="1" x14ac:dyDescent="0.3">
      <c r="A2923" t="s">
        <v>51</v>
      </c>
      <c r="B2923" t="s">
        <v>52</v>
      </c>
      <c r="C2923" t="s">
        <v>125</v>
      </c>
      <c r="D2923" t="s">
        <v>126</v>
      </c>
      <c r="E2923">
        <v>1974</v>
      </c>
      <c r="F2923" s="1">
        <v>7</v>
      </c>
      <c r="G2923">
        <v>1970</v>
      </c>
      <c r="H2923">
        <f>AVERAGEIFS(Table1[value],Table1[IndicatorCode],Table1[[#This Row],[IndicatorCode]])</f>
        <v>7.6894248608534319</v>
      </c>
      <c r="I2923" cm="1">
        <f t="array" ref="I2923">_xlfn.STDEV.P(IF(Table1[IndicatorCode]=Table1[[#This Row],[IndicatorCode]],Table1[value]))</f>
        <v>5.2319501044600996</v>
      </c>
      <c r="J2923">
        <f>(Table1[[#This Row],[value]] - Table1[[#This Row],[mean]]) / Table1[[#This Row],[std_dev]]</f>
        <v>-0.13177206339672762</v>
      </c>
      <c r="K2923">
        <f>AVERAGEIF(Table1[CountryCode],Table1[[#This Row],[CountryCode]],Table1[z-score])</f>
        <v>-0.61446545916413864</v>
      </c>
      <c r="L2923" t="e">
        <f>VLOOKUP(Table1[[#This Row],[CountryCode]],[1]!Table1[#Data],4,FALSE)</f>
        <v>#REF!</v>
      </c>
    </row>
    <row r="2924" spans="1:12" hidden="1" x14ac:dyDescent="0.3">
      <c r="A2924" t="s">
        <v>51</v>
      </c>
      <c r="B2924" t="s">
        <v>52</v>
      </c>
      <c r="C2924" t="s">
        <v>125</v>
      </c>
      <c r="D2924" t="s">
        <v>126</v>
      </c>
      <c r="E2924">
        <v>1975</v>
      </c>
      <c r="F2924" s="1">
        <v>7</v>
      </c>
      <c r="G2924">
        <v>1970</v>
      </c>
      <c r="H2924">
        <f>AVERAGEIFS(Table1[value],Table1[IndicatorCode],Table1[[#This Row],[IndicatorCode]])</f>
        <v>7.6894248608534319</v>
      </c>
      <c r="I2924" cm="1">
        <f t="array" ref="I2924">_xlfn.STDEV.P(IF(Table1[IndicatorCode]=Table1[[#This Row],[IndicatorCode]],Table1[value]))</f>
        <v>5.2319501044600996</v>
      </c>
      <c r="J2924">
        <f>(Table1[[#This Row],[value]] - Table1[[#This Row],[mean]]) / Table1[[#This Row],[std_dev]]</f>
        <v>-0.13177206339672762</v>
      </c>
      <c r="K2924">
        <f>AVERAGEIF(Table1[CountryCode],Table1[[#This Row],[CountryCode]],Table1[z-score])</f>
        <v>-0.61446545916413864</v>
      </c>
      <c r="L2924" t="e">
        <f>VLOOKUP(Table1[[#This Row],[CountryCode]],[1]!Table1[#Data],4,FALSE)</f>
        <v>#REF!</v>
      </c>
    </row>
    <row r="2925" spans="1:12" hidden="1" x14ac:dyDescent="0.3">
      <c r="A2925" t="s">
        <v>51</v>
      </c>
      <c r="B2925" t="s">
        <v>52</v>
      </c>
      <c r="C2925" t="s">
        <v>125</v>
      </c>
      <c r="D2925" t="s">
        <v>126</v>
      </c>
      <c r="E2925">
        <v>1976</v>
      </c>
      <c r="F2925" s="1">
        <v>7</v>
      </c>
      <c r="G2925">
        <v>1970</v>
      </c>
      <c r="H2925">
        <f>AVERAGEIFS(Table1[value],Table1[IndicatorCode],Table1[[#This Row],[IndicatorCode]])</f>
        <v>7.6894248608534319</v>
      </c>
      <c r="I2925" cm="1">
        <f t="array" ref="I2925">_xlfn.STDEV.P(IF(Table1[IndicatorCode]=Table1[[#This Row],[IndicatorCode]],Table1[value]))</f>
        <v>5.2319501044600996</v>
      </c>
      <c r="J2925">
        <f>(Table1[[#This Row],[value]] - Table1[[#This Row],[mean]]) / Table1[[#This Row],[std_dev]]</f>
        <v>-0.13177206339672762</v>
      </c>
      <c r="K2925">
        <f>AVERAGEIF(Table1[CountryCode],Table1[[#This Row],[CountryCode]],Table1[z-score])</f>
        <v>-0.61446545916413864</v>
      </c>
      <c r="L2925" t="e">
        <f>VLOOKUP(Table1[[#This Row],[CountryCode]],[1]!Table1[#Data],4,FALSE)</f>
        <v>#REF!</v>
      </c>
    </row>
    <row r="2926" spans="1:12" hidden="1" x14ac:dyDescent="0.3">
      <c r="A2926" t="s">
        <v>51</v>
      </c>
      <c r="B2926" t="s">
        <v>52</v>
      </c>
      <c r="C2926" t="s">
        <v>125</v>
      </c>
      <c r="D2926" t="s">
        <v>126</v>
      </c>
      <c r="E2926">
        <v>1977</v>
      </c>
      <c r="F2926" s="1">
        <v>7</v>
      </c>
      <c r="G2926">
        <v>1980</v>
      </c>
      <c r="H2926">
        <f>AVERAGEIFS(Table1[value],Table1[IndicatorCode],Table1[[#This Row],[IndicatorCode]])</f>
        <v>7.6894248608534319</v>
      </c>
      <c r="I2926" cm="1">
        <f t="array" ref="I2926">_xlfn.STDEV.P(IF(Table1[IndicatorCode]=Table1[[#This Row],[IndicatorCode]],Table1[value]))</f>
        <v>5.2319501044600996</v>
      </c>
      <c r="J2926">
        <f>(Table1[[#This Row],[value]] - Table1[[#This Row],[mean]]) / Table1[[#This Row],[std_dev]]</f>
        <v>-0.13177206339672762</v>
      </c>
      <c r="K2926">
        <f>AVERAGEIF(Table1[CountryCode],Table1[[#This Row],[CountryCode]],Table1[z-score])</f>
        <v>-0.61446545916413864</v>
      </c>
      <c r="L2926" t="e">
        <f>VLOOKUP(Table1[[#This Row],[CountryCode]],[1]!Table1[#Data],4,FALSE)</f>
        <v>#REF!</v>
      </c>
    </row>
    <row r="2927" spans="1:12" hidden="1" x14ac:dyDescent="0.3">
      <c r="A2927" t="s">
        <v>51</v>
      </c>
      <c r="B2927" t="s">
        <v>52</v>
      </c>
      <c r="C2927" t="s">
        <v>125</v>
      </c>
      <c r="D2927" t="s">
        <v>126</v>
      </c>
      <c r="E2927">
        <v>1978</v>
      </c>
      <c r="F2927" s="1">
        <v>7</v>
      </c>
      <c r="G2927">
        <v>1980</v>
      </c>
      <c r="H2927">
        <f>AVERAGEIFS(Table1[value],Table1[IndicatorCode],Table1[[#This Row],[IndicatorCode]])</f>
        <v>7.6894248608534319</v>
      </c>
      <c r="I2927" cm="1">
        <f t="array" ref="I2927">_xlfn.STDEV.P(IF(Table1[IndicatorCode]=Table1[[#This Row],[IndicatorCode]],Table1[value]))</f>
        <v>5.2319501044600996</v>
      </c>
      <c r="J2927">
        <f>(Table1[[#This Row],[value]] - Table1[[#This Row],[mean]]) / Table1[[#This Row],[std_dev]]</f>
        <v>-0.13177206339672762</v>
      </c>
      <c r="K2927">
        <f>AVERAGEIF(Table1[CountryCode],Table1[[#This Row],[CountryCode]],Table1[z-score])</f>
        <v>-0.61446545916413864</v>
      </c>
      <c r="L2927" t="e">
        <f>VLOOKUP(Table1[[#This Row],[CountryCode]],[1]!Table1[#Data],4,FALSE)</f>
        <v>#REF!</v>
      </c>
    </row>
    <row r="2928" spans="1:12" hidden="1" x14ac:dyDescent="0.3">
      <c r="A2928" t="s">
        <v>51</v>
      </c>
      <c r="B2928" t="s">
        <v>52</v>
      </c>
      <c r="C2928" t="s">
        <v>125</v>
      </c>
      <c r="D2928" t="s">
        <v>126</v>
      </c>
      <c r="E2928">
        <v>1979</v>
      </c>
      <c r="F2928" s="1">
        <v>7</v>
      </c>
      <c r="G2928">
        <v>1980</v>
      </c>
      <c r="H2928">
        <f>AVERAGEIFS(Table1[value],Table1[IndicatorCode],Table1[[#This Row],[IndicatorCode]])</f>
        <v>7.6894248608534319</v>
      </c>
      <c r="I2928" cm="1">
        <f t="array" ref="I2928">_xlfn.STDEV.P(IF(Table1[IndicatorCode]=Table1[[#This Row],[IndicatorCode]],Table1[value]))</f>
        <v>5.2319501044600996</v>
      </c>
      <c r="J2928">
        <f>(Table1[[#This Row],[value]] - Table1[[#This Row],[mean]]) / Table1[[#This Row],[std_dev]]</f>
        <v>-0.13177206339672762</v>
      </c>
      <c r="K2928">
        <f>AVERAGEIF(Table1[CountryCode],Table1[[#This Row],[CountryCode]],Table1[z-score])</f>
        <v>-0.61446545916413864</v>
      </c>
      <c r="L2928" t="e">
        <f>VLOOKUP(Table1[[#This Row],[CountryCode]],[1]!Table1[#Data],4,FALSE)</f>
        <v>#REF!</v>
      </c>
    </row>
    <row r="2929" spans="1:12" hidden="1" x14ac:dyDescent="0.3">
      <c r="A2929" t="s">
        <v>51</v>
      </c>
      <c r="B2929" t="s">
        <v>52</v>
      </c>
      <c r="C2929" t="s">
        <v>125</v>
      </c>
      <c r="D2929" t="s">
        <v>126</v>
      </c>
      <c r="E2929">
        <v>1980</v>
      </c>
      <c r="F2929" s="1">
        <v>7</v>
      </c>
      <c r="G2929">
        <v>1980</v>
      </c>
      <c r="H2929">
        <f>AVERAGEIFS(Table1[value],Table1[IndicatorCode],Table1[[#This Row],[IndicatorCode]])</f>
        <v>7.6894248608534319</v>
      </c>
      <c r="I2929" cm="1">
        <f t="array" ref="I2929">_xlfn.STDEV.P(IF(Table1[IndicatorCode]=Table1[[#This Row],[IndicatorCode]],Table1[value]))</f>
        <v>5.2319501044600996</v>
      </c>
      <c r="J2929">
        <f>(Table1[[#This Row],[value]] - Table1[[#This Row],[mean]]) / Table1[[#This Row],[std_dev]]</f>
        <v>-0.13177206339672762</v>
      </c>
      <c r="K2929">
        <f>AVERAGEIF(Table1[CountryCode],Table1[[#This Row],[CountryCode]],Table1[z-score])</f>
        <v>-0.61446545916413864</v>
      </c>
      <c r="L2929" t="e">
        <f>VLOOKUP(Table1[[#This Row],[CountryCode]],[1]!Table1[#Data],4,FALSE)</f>
        <v>#REF!</v>
      </c>
    </row>
    <row r="2930" spans="1:12" hidden="1" x14ac:dyDescent="0.3">
      <c r="A2930" t="s">
        <v>51</v>
      </c>
      <c r="B2930" t="s">
        <v>52</v>
      </c>
      <c r="C2930" t="s">
        <v>125</v>
      </c>
      <c r="D2930" t="s">
        <v>126</v>
      </c>
      <c r="E2930">
        <v>1981</v>
      </c>
      <c r="F2930" s="1">
        <v>8</v>
      </c>
      <c r="G2930">
        <v>1980</v>
      </c>
      <c r="H2930">
        <f>AVERAGEIFS(Table1[value],Table1[IndicatorCode],Table1[[#This Row],[IndicatorCode]])</f>
        <v>7.6894248608534319</v>
      </c>
      <c r="I2930" cm="1">
        <f t="array" ref="I2930">_xlfn.STDEV.P(IF(Table1[IndicatorCode]=Table1[[#This Row],[IndicatorCode]],Table1[value]))</f>
        <v>5.2319501044600996</v>
      </c>
      <c r="J2930">
        <f>(Table1[[#This Row],[value]] - Table1[[#This Row],[mean]]) / Table1[[#This Row],[std_dev]]</f>
        <v>5.9361257838030791E-2</v>
      </c>
      <c r="K2930">
        <f>AVERAGEIF(Table1[CountryCode],Table1[[#This Row],[CountryCode]],Table1[z-score])</f>
        <v>-0.61446545916413864</v>
      </c>
      <c r="L2930" t="e">
        <f>VLOOKUP(Table1[[#This Row],[CountryCode]],[1]!Table1[#Data],4,FALSE)</f>
        <v>#REF!</v>
      </c>
    </row>
    <row r="2931" spans="1:12" hidden="1" x14ac:dyDescent="0.3">
      <c r="A2931" t="s">
        <v>51</v>
      </c>
      <c r="B2931" t="s">
        <v>52</v>
      </c>
      <c r="C2931" t="s">
        <v>125</v>
      </c>
      <c r="D2931" t="s">
        <v>126</v>
      </c>
      <c r="E2931">
        <v>1982</v>
      </c>
      <c r="F2931" s="1">
        <v>7</v>
      </c>
      <c r="G2931">
        <v>1980</v>
      </c>
      <c r="H2931">
        <f>AVERAGEIFS(Table1[value],Table1[IndicatorCode],Table1[[#This Row],[IndicatorCode]])</f>
        <v>7.6894248608534319</v>
      </c>
      <c r="I2931" cm="1">
        <f t="array" ref="I2931">_xlfn.STDEV.P(IF(Table1[IndicatorCode]=Table1[[#This Row],[IndicatorCode]],Table1[value]))</f>
        <v>5.2319501044600996</v>
      </c>
      <c r="J2931">
        <f>(Table1[[#This Row],[value]] - Table1[[#This Row],[mean]]) / Table1[[#This Row],[std_dev]]</f>
        <v>-0.13177206339672762</v>
      </c>
      <c r="K2931">
        <f>AVERAGEIF(Table1[CountryCode],Table1[[#This Row],[CountryCode]],Table1[z-score])</f>
        <v>-0.61446545916413864</v>
      </c>
      <c r="L2931" t="e">
        <f>VLOOKUP(Table1[[#This Row],[CountryCode]],[1]!Table1[#Data],4,FALSE)</f>
        <v>#REF!</v>
      </c>
    </row>
    <row r="2932" spans="1:12" hidden="1" x14ac:dyDescent="0.3">
      <c r="A2932" t="s">
        <v>51</v>
      </c>
      <c r="B2932" t="s">
        <v>52</v>
      </c>
      <c r="C2932" t="s">
        <v>125</v>
      </c>
      <c r="D2932" t="s">
        <v>126</v>
      </c>
      <c r="E2932">
        <v>1983</v>
      </c>
      <c r="F2932" s="1">
        <v>7</v>
      </c>
      <c r="G2932">
        <v>1980</v>
      </c>
      <c r="H2932">
        <f>AVERAGEIFS(Table1[value],Table1[IndicatorCode],Table1[[#This Row],[IndicatorCode]])</f>
        <v>7.6894248608534319</v>
      </c>
      <c r="I2932" cm="1">
        <f t="array" ref="I2932">_xlfn.STDEV.P(IF(Table1[IndicatorCode]=Table1[[#This Row],[IndicatorCode]],Table1[value]))</f>
        <v>5.2319501044600996</v>
      </c>
      <c r="J2932">
        <f>(Table1[[#This Row],[value]] - Table1[[#This Row],[mean]]) / Table1[[#This Row],[std_dev]]</f>
        <v>-0.13177206339672762</v>
      </c>
      <c r="K2932">
        <f>AVERAGEIF(Table1[CountryCode],Table1[[#This Row],[CountryCode]],Table1[z-score])</f>
        <v>-0.61446545916413864</v>
      </c>
      <c r="L2932" t="e">
        <f>VLOOKUP(Table1[[#This Row],[CountryCode]],[1]!Table1[#Data],4,FALSE)</f>
        <v>#REF!</v>
      </c>
    </row>
    <row r="2933" spans="1:12" hidden="1" x14ac:dyDescent="0.3">
      <c r="A2933" t="s">
        <v>51</v>
      </c>
      <c r="B2933" t="s">
        <v>52</v>
      </c>
      <c r="C2933" t="s">
        <v>125</v>
      </c>
      <c r="D2933" t="s">
        <v>126</v>
      </c>
      <c r="E2933">
        <v>1984</v>
      </c>
      <c r="F2933" s="1">
        <v>7</v>
      </c>
      <c r="G2933">
        <v>1980</v>
      </c>
      <c r="H2933">
        <f>AVERAGEIFS(Table1[value],Table1[IndicatorCode],Table1[[#This Row],[IndicatorCode]])</f>
        <v>7.6894248608534319</v>
      </c>
      <c r="I2933" cm="1">
        <f t="array" ref="I2933">_xlfn.STDEV.P(IF(Table1[IndicatorCode]=Table1[[#This Row],[IndicatorCode]],Table1[value]))</f>
        <v>5.2319501044600996</v>
      </c>
      <c r="J2933">
        <f>(Table1[[#This Row],[value]] - Table1[[#This Row],[mean]]) / Table1[[#This Row],[std_dev]]</f>
        <v>-0.13177206339672762</v>
      </c>
      <c r="K2933">
        <f>AVERAGEIF(Table1[CountryCode],Table1[[#This Row],[CountryCode]],Table1[z-score])</f>
        <v>-0.61446545916413864</v>
      </c>
      <c r="L2933" t="e">
        <f>VLOOKUP(Table1[[#This Row],[CountryCode]],[1]!Table1[#Data],4,FALSE)</f>
        <v>#REF!</v>
      </c>
    </row>
    <row r="2934" spans="1:12" hidden="1" x14ac:dyDescent="0.3">
      <c r="A2934" t="s">
        <v>51</v>
      </c>
      <c r="B2934" t="s">
        <v>52</v>
      </c>
      <c r="C2934" t="s">
        <v>125</v>
      </c>
      <c r="D2934" t="s">
        <v>126</v>
      </c>
      <c r="E2934">
        <v>1985</v>
      </c>
      <c r="F2934" s="1">
        <v>7</v>
      </c>
      <c r="G2934">
        <v>1980</v>
      </c>
      <c r="H2934">
        <f>AVERAGEIFS(Table1[value],Table1[IndicatorCode],Table1[[#This Row],[IndicatorCode]])</f>
        <v>7.6894248608534319</v>
      </c>
      <c r="I2934" cm="1">
        <f t="array" ref="I2934">_xlfn.STDEV.P(IF(Table1[IndicatorCode]=Table1[[#This Row],[IndicatorCode]],Table1[value]))</f>
        <v>5.2319501044600996</v>
      </c>
      <c r="J2934">
        <f>(Table1[[#This Row],[value]] - Table1[[#This Row],[mean]]) / Table1[[#This Row],[std_dev]]</f>
        <v>-0.13177206339672762</v>
      </c>
      <c r="K2934">
        <f>AVERAGEIF(Table1[CountryCode],Table1[[#This Row],[CountryCode]],Table1[z-score])</f>
        <v>-0.61446545916413864</v>
      </c>
      <c r="L2934" t="e">
        <f>VLOOKUP(Table1[[#This Row],[CountryCode]],[1]!Table1[#Data],4,FALSE)</f>
        <v>#REF!</v>
      </c>
    </row>
    <row r="2935" spans="1:12" hidden="1" x14ac:dyDescent="0.3">
      <c r="A2935" t="s">
        <v>51</v>
      </c>
      <c r="B2935" t="s">
        <v>52</v>
      </c>
      <c r="C2935" t="s">
        <v>125</v>
      </c>
      <c r="D2935" t="s">
        <v>126</v>
      </c>
      <c r="E2935">
        <v>1986</v>
      </c>
      <c r="F2935" s="1">
        <v>7</v>
      </c>
      <c r="G2935">
        <v>1980</v>
      </c>
      <c r="H2935">
        <f>AVERAGEIFS(Table1[value],Table1[IndicatorCode],Table1[[#This Row],[IndicatorCode]])</f>
        <v>7.6894248608534319</v>
      </c>
      <c r="I2935" cm="1">
        <f t="array" ref="I2935">_xlfn.STDEV.P(IF(Table1[IndicatorCode]=Table1[[#This Row],[IndicatorCode]],Table1[value]))</f>
        <v>5.2319501044600996</v>
      </c>
      <c r="J2935">
        <f>(Table1[[#This Row],[value]] - Table1[[#This Row],[mean]]) / Table1[[#This Row],[std_dev]]</f>
        <v>-0.13177206339672762</v>
      </c>
      <c r="K2935">
        <f>AVERAGEIF(Table1[CountryCode],Table1[[#This Row],[CountryCode]],Table1[z-score])</f>
        <v>-0.61446545916413864</v>
      </c>
      <c r="L2935" t="e">
        <f>VLOOKUP(Table1[[#This Row],[CountryCode]],[1]!Table1[#Data],4,FALSE)</f>
        <v>#REF!</v>
      </c>
    </row>
    <row r="2936" spans="1:12" hidden="1" x14ac:dyDescent="0.3">
      <c r="A2936" t="s">
        <v>51</v>
      </c>
      <c r="B2936" t="s">
        <v>52</v>
      </c>
      <c r="C2936" t="s">
        <v>125</v>
      </c>
      <c r="D2936" t="s">
        <v>126</v>
      </c>
      <c r="E2936">
        <v>1987</v>
      </c>
      <c r="F2936" s="1">
        <v>7</v>
      </c>
      <c r="G2936">
        <v>1990</v>
      </c>
      <c r="H2936">
        <f>AVERAGEIFS(Table1[value],Table1[IndicatorCode],Table1[[#This Row],[IndicatorCode]])</f>
        <v>7.6894248608534319</v>
      </c>
      <c r="I2936" cm="1">
        <f t="array" ref="I2936">_xlfn.STDEV.P(IF(Table1[IndicatorCode]=Table1[[#This Row],[IndicatorCode]],Table1[value]))</f>
        <v>5.2319501044600996</v>
      </c>
      <c r="J2936">
        <f>(Table1[[#This Row],[value]] - Table1[[#This Row],[mean]]) / Table1[[#This Row],[std_dev]]</f>
        <v>-0.13177206339672762</v>
      </c>
      <c r="K2936">
        <f>AVERAGEIF(Table1[CountryCode],Table1[[#This Row],[CountryCode]],Table1[z-score])</f>
        <v>-0.61446545916413864</v>
      </c>
      <c r="L2936" t="e">
        <f>VLOOKUP(Table1[[#This Row],[CountryCode]],[1]!Table1[#Data],4,FALSE)</f>
        <v>#REF!</v>
      </c>
    </row>
    <row r="2937" spans="1:12" hidden="1" x14ac:dyDescent="0.3">
      <c r="A2937" t="s">
        <v>51</v>
      </c>
      <c r="B2937" t="s">
        <v>52</v>
      </c>
      <c r="C2937" t="s">
        <v>125</v>
      </c>
      <c r="D2937" t="s">
        <v>126</v>
      </c>
      <c r="E2937">
        <v>1988</v>
      </c>
      <c r="F2937" s="1">
        <v>7</v>
      </c>
      <c r="G2937">
        <v>1990</v>
      </c>
      <c r="H2937">
        <f>AVERAGEIFS(Table1[value],Table1[IndicatorCode],Table1[[#This Row],[IndicatorCode]])</f>
        <v>7.6894248608534319</v>
      </c>
      <c r="I2937" cm="1">
        <f t="array" ref="I2937">_xlfn.STDEV.P(IF(Table1[IndicatorCode]=Table1[[#This Row],[IndicatorCode]],Table1[value]))</f>
        <v>5.2319501044600996</v>
      </c>
      <c r="J2937">
        <f>(Table1[[#This Row],[value]] - Table1[[#This Row],[mean]]) / Table1[[#This Row],[std_dev]]</f>
        <v>-0.13177206339672762</v>
      </c>
      <c r="K2937">
        <f>AVERAGEIF(Table1[CountryCode],Table1[[#This Row],[CountryCode]],Table1[z-score])</f>
        <v>-0.61446545916413864</v>
      </c>
      <c r="L2937" t="e">
        <f>VLOOKUP(Table1[[#This Row],[CountryCode]],[1]!Table1[#Data],4,FALSE)</f>
        <v>#REF!</v>
      </c>
    </row>
    <row r="2938" spans="1:12" hidden="1" x14ac:dyDescent="0.3">
      <c r="A2938" t="s">
        <v>51</v>
      </c>
      <c r="B2938" t="s">
        <v>52</v>
      </c>
      <c r="C2938" t="s">
        <v>125</v>
      </c>
      <c r="D2938" t="s">
        <v>126</v>
      </c>
      <c r="E2938">
        <v>1989</v>
      </c>
      <c r="F2938" s="1">
        <v>6</v>
      </c>
      <c r="G2938">
        <v>1990</v>
      </c>
      <c r="H2938">
        <f>AVERAGEIFS(Table1[value],Table1[IndicatorCode],Table1[[#This Row],[IndicatorCode]])</f>
        <v>7.6894248608534319</v>
      </c>
      <c r="I2938" cm="1">
        <f t="array" ref="I2938">_xlfn.STDEV.P(IF(Table1[IndicatorCode]=Table1[[#This Row],[IndicatorCode]],Table1[value]))</f>
        <v>5.2319501044600996</v>
      </c>
      <c r="J2938">
        <f>(Table1[[#This Row],[value]] - Table1[[#This Row],[mean]]) / Table1[[#This Row],[std_dev]]</f>
        <v>-0.32290538463148605</v>
      </c>
      <c r="K2938">
        <f>AVERAGEIF(Table1[CountryCode],Table1[[#This Row],[CountryCode]],Table1[z-score])</f>
        <v>-0.61446545916413864</v>
      </c>
      <c r="L2938" t="e">
        <f>VLOOKUP(Table1[[#This Row],[CountryCode]],[1]!Table1[#Data],4,FALSE)</f>
        <v>#REF!</v>
      </c>
    </row>
    <row r="2939" spans="1:12" hidden="1" x14ac:dyDescent="0.3">
      <c r="A2939" t="s">
        <v>51</v>
      </c>
      <c r="B2939" t="s">
        <v>52</v>
      </c>
      <c r="C2939" t="s">
        <v>125</v>
      </c>
      <c r="D2939" t="s">
        <v>126</v>
      </c>
      <c r="E2939">
        <v>1990</v>
      </c>
      <c r="F2939" s="1">
        <v>7</v>
      </c>
      <c r="G2939">
        <v>1990</v>
      </c>
      <c r="H2939">
        <f>AVERAGEIFS(Table1[value],Table1[IndicatorCode],Table1[[#This Row],[IndicatorCode]])</f>
        <v>7.6894248608534319</v>
      </c>
      <c r="I2939" cm="1">
        <f t="array" ref="I2939">_xlfn.STDEV.P(IF(Table1[IndicatorCode]=Table1[[#This Row],[IndicatorCode]],Table1[value]))</f>
        <v>5.2319501044600996</v>
      </c>
      <c r="J2939">
        <f>(Table1[[#This Row],[value]] - Table1[[#This Row],[mean]]) / Table1[[#This Row],[std_dev]]</f>
        <v>-0.13177206339672762</v>
      </c>
      <c r="K2939">
        <f>AVERAGEIF(Table1[CountryCode],Table1[[#This Row],[CountryCode]],Table1[z-score])</f>
        <v>-0.61446545916413864</v>
      </c>
      <c r="L2939" t="e">
        <f>VLOOKUP(Table1[[#This Row],[CountryCode]],[1]!Table1[#Data],4,FALSE)</f>
        <v>#REF!</v>
      </c>
    </row>
    <row r="2940" spans="1:12" hidden="1" x14ac:dyDescent="0.3">
      <c r="A2940" t="s">
        <v>51</v>
      </c>
      <c r="B2940" t="s">
        <v>52</v>
      </c>
      <c r="C2940" t="s">
        <v>125</v>
      </c>
      <c r="D2940" t="s">
        <v>126</v>
      </c>
      <c r="E2940">
        <v>1991</v>
      </c>
      <c r="F2940" s="1">
        <v>6</v>
      </c>
      <c r="G2940">
        <v>1990</v>
      </c>
      <c r="H2940">
        <f>AVERAGEIFS(Table1[value],Table1[IndicatorCode],Table1[[#This Row],[IndicatorCode]])</f>
        <v>7.6894248608534319</v>
      </c>
      <c r="I2940" cm="1">
        <f t="array" ref="I2940">_xlfn.STDEV.P(IF(Table1[IndicatorCode]=Table1[[#This Row],[IndicatorCode]],Table1[value]))</f>
        <v>5.2319501044600996</v>
      </c>
      <c r="J2940">
        <f>(Table1[[#This Row],[value]] - Table1[[#This Row],[mean]]) / Table1[[#This Row],[std_dev]]</f>
        <v>-0.32290538463148605</v>
      </c>
      <c r="K2940">
        <f>AVERAGEIF(Table1[CountryCode],Table1[[#This Row],[CountryCode]],Table1[z-score])</f>
        <v>-0.61446545916413864</v>
      </c>
      <c r="L2940" t="e">
        <f>VLOOKUP(Table1[[#This Row],[CountryCode]],[1]!Table1[#Data],4,FALSE)</f>
        <v>#REF!</v>
      </c>
    </row>
    <row r="2941" spans="1:12" hidden="1" x14ac:dyDescent="0.3">
      <c r="A2941" t="s">
        <v>51</v>
      </c>
      <c r="B2941" t="s">
        <v>52</v>
      </c>
      <c r="C2941" t="s">
        <v>125</v>
      </c>
      <c r="D2941" t="s">
        <v>126</v>
      </c>
      <c r="E2941">
        <v>1992</v>
      </c>
      <c r="F2941" s="1">
        <v>4</v>
      </c>
      <c r="G2941">
        <v>1990</v>
      </c>
      <c r="H2941">
        <f>AVERAGEIFS(Table1[value],Table1[IndicatorCode],Table1[[#This Row],[IndicatorCode]])</f>
        <v>7.6894248608534319</v>
      </c>
      <c r="I2941" cm="1">
        <f t="array" ref="I2941">_xlfn.STDEV.P(IF(Table1[IndicatorCode]=Table1[[#This Row],[IndicatorCode]],Table1[value]))</f>
        <v>5.2319501044600996</v>
      </c>
      <c r="J2941">
        <f>(Table1[[#This Row],[value]] - Table1[[#This Row],[mean]]) / Table1[[#This Row],[std_dev]]</f>
        <v>-0.7051720271010028</v>
      </c>
      <c r="K2941">
        <f>AVERAGEIF(Table1[CountryCode],Table1[[#This Row],[CountryCode]],Table1[z-score])</f>
        <v>-0.61446545916413864</v>
      </c>
      <c r="L2941" t="e">
        <f>VLOOKUP(Table1[[#This Row],[CountryCode]],[1]!Table1[#Data],4,FALSE)</f>
        <v>#REF!</v>
      </c>
    </row>
    <row r="2942" spans="1:12" hidden="1" x14ac:dyDescent="0.3">
      <c r="A2942" t="s">
        <v>51</v>
      </c>
      <c r="B2942" t="s">
        <v>52</v>
      </c>
      <c r="C2942" t="s">
        <v>125</v>
      </c>
      <c r="D2942" t="s">
        <v>126</v>
      </c>
      <c r="E2942">
        <v>1993</v>
      </c>
      <c r="F2942" s="1">
        <v>3</v>
      </c>
      <c r="G2942">
        <v>1990</v>
      </c>
      <c r="H2942">
        <f>AVERAGEIFS(Table1[value],Table1[IndicatorCode],Table1[[#This Row],[IndicatorCode]])</f>
        <v>7.6894248608534319</v>
      </c>
      <c r="I2942" cm="1">
        <f t="array" ref="I2942">_xlfn.STDEV.P(IF(Table1[IndicatorCode]=Table1[[#This Row],[IndicatorCode]],Table1[value]))</f>
        <v>5.2319501044600996</v>
      </c>
      <c r="J2942">
        <f>(Table1[[#This Row],[value]] - Table1[[#This Row],[mean]]) / Table1[[#This Row],[std_dev]]</f>
        <v>-0.89630534833576125</v>
      </c>
      <c r="K2942">
        <f>AVERAGEIF(Table1[CountryCode],Table1[[#This Row],[CountryCode]],Table1[z-score])</f>
        <v>-0.61446545916413864</v>
      </c>
      <c r="L2942" t="e">
        <f>VLOOKUP(Table1[[#This Row],[CountryCode]],[1]!Table1[#Data],4,FALSE)</f>
        <v>#REF!</v>
      </c>
    </row>
    <row r="2943" spans="1:12" hidden="1" x14ac:dyDescent="0.3">
      <c r="A2943" t="s">
        <v>51</v>
      </c>
      <c r="B2943" t="s">
        <v>52</v>
      </c>
      <c r="C2943" t="s">
        <v>125</v>
      </c>
      <c r="D2943" t="s">
        <v>126</v>
      </c>
      <c r="E2943">
        <v>1994</v>
      </c>
      <c r="F2943" s="1">
        <v>2</v>
      </c>
      <c r="G2943">
        <v>1990</v>
      </c>
      <c r="H2943">
        <f>AVERAGEIFS(Table1[value],Table1[IndicatorCode],Table1[[#This Row],[IndicatorCode]])</f>
        <v>7.6894248608534319</v>
      </c>
      <c r="I2943" cm="1">
        <f t="array" ref="I2943">_xlfn.STDEV.P(IF(Table1[IndicatorCode]=Table1[[#This Row],[IndicatorCode]],Table1[value]))</f>
        <v>5.2319501044600996</v>
      </c>
      <c r="J2943">
        <f>(Table1[[#This Row],[value]] - Table1[[#This Row],[mean]]) / Table1[[#This Row],[std_dev]]</f>
        <v>-1.0874386695705196</v>
      </c>
      <c r="K2943">
        <f>AVERAGEIF(Table1[CountryCode],Table1[[#This Row],[CountryCode]],Table1[z-score])</f>
        <v>-0.61446545916413864</v>
      </c>
      <c r="L2943" t="e">
        <f>VLOOKUP(Table1[[#This Row],[CountryCode]],[1]!Table1[#Data],4,FALSE)</f>
        <v>#REF!</v>
      </c>
    </row>
    <row r="2944" spans="1:12" hidden="1" x14ac:dyDescent="0.3">
      <c r="A2944" t="s">
        <v>51</v>
      </c>
      <c r="B2944" t="s">
        <v>52</v>
      </c>
      <c r="C2944" t="s">
        <v>125</v>
      </c>
      <c r="D2944" t="s">
        <v>126</v>
      </c>
      <c r="E2944">
        <v>1995</v>
      </c>
      <c r="F2944" s="1">
        <v>2</v>
      </c>
      <c r="G2944">
        <v>1990</v>
      </c>
      <c r="H2944">
        <f>AVERAGEIFS(Table1[value],Table1[IndicatorCode],Table1[[#This Row],[IndicatorCode]])</f>
        <v>7.6894248608534319</v>
      </c>
      <c r="I2944" cm="1">
        <f t="array" ref="I2944">_xlfn.STDEV.P(IF(Table1[IndicatorCode]=Table1[[#This Row],[IndicatorCode]],Table1[value]))</f>
        <v>5.2319501044600996</v>
      </c>
      <c r="J2944">
        <f>(Table1[[#This Row],[value]] - Table1[[#This Row],[mean]]) / Table1[[#This Row],[std_dev]]</f>
        <v>-1.0874386695705196</v>
      </c>
      <c r="K2944">
        <f>AVERAGEIF(Table1[CountryCode],Table1[[#This Row],[CountryCode]],Table1[z-score])</f>
        <v>-0.61446545916413864</v>
      </c>
      <c r="L2944" t="e">
        <f>VLOOKUP(Table1[[#This Row],[CountryCode]],[1]!Table1[#Data],4,FALSE)</f>
        <v>#REF!</v>
      </c>
    </row>
    <row r="2945" spans="1:12" hidden="1" x14ac:dyDescent="0.3">
      <c r="A2945" t="s">
        <v>51</v>
      </c>
      <c r="B2945" t="s">
        <v>52</v>
      </c>
      <c r="C2945" t="s">
        <v>125</v>
      </c>
      <c r="D2945" t="s">
        <v>126</v>
      </c>
      <c r="E2945">
        <v>1996</v>
      </c>
      <c r="F2945" s="1">
        <v>2</v>
      </c>
      <c r="G2945">
        <v>1990</v>
      </c>
      <c r="H2945">
        <f>AVERAGEIFS(Table1[value],Table1[IndicatorCode],Table1[[#This Row],[IndicatorCode]])</f>
        <v>7.6894248608534319</v>
      </c>
      <c r="I2945" cm="1">
        <f t="array" ref="I2945">_xlfn.STDEV.P(IF(Table1[IndicatorCode]=Table1[[#This Row],[IndicatorCode]],Table1[value]))</f>
        <v>5.2319501044600996</v>
      </c>
      <c r="J2945">
        <f>(Table1[[#This Row],[value]] - Table1[[#This Row],[mean]]) / Table1[[#This Row],[std_dev]]</f>
        <v>-1.0874386695705196</v>
      </c>
      <c r="K2945">
        <f>AVERAGEIF(Table1[CountryCode],Table1[[#This Row],[CountryCode]],Table1[z-score])</f>
        <v>-0.61446545916413864</v>
      </c>
      <c r="L2945" t="e">
        <f>VLOOKUP(Table1[[#This Row],[CountryCode]],[1]!Table1[#Data],4,FALSE)</f>
        <v>#REF!</v>
      </c>
    </row>
    <row r="2946" spans="1:12" hidden="1" x14ac:dyDescent="0.3">
      <c r="A2946" t="s">
        <v>51</v>
      </c>
      <c r="B2946" t="s">
        <v>52</v>
      </c>
      <c r="C2946" t="s">
        <v>125</v>
      </c>
      <c r="D2946" t="s">
        <v>126</v>
      </c>
      <c r="E2946">
        <v>1997</v>
      </c>
      <c r="F2946" s="1">
        <v>1</v>
      </c>
      <c r="G2946">
        <v>2000</v>
      </c>
      <c r="H2946">
        <f>AVERAGEIFS(Table1[value],Table1[IndicatorCode],Table1[[#This Row],[IndicatorCode]])</f>
        <v>7.6894248608534319</v>
      </c>
      <c r="I2946" cm="1">
        <f t="array" ref="I2946">_xlfn.STDEV.P(IF(Table1[IndicatorCode]=Table1[[#This Row],[IndicatorCode]],Table1[value]))</f>
        <v>5.2319501044600996</v>
      </c>
      <c r="J2946">
        <f>(Table1[[#This Row],[value]] - Table1[[#This Row],[mean]]) / Table1[[#This Row],[std_dev]]</f>
        <v>-1.2785719908052779</v>
      </c>
      <c r="K2946">
        <f>AVERAGEIF(Table1[CountryCode],Table1[[#This Row],[CountryCode]],Table1[z-score])</f>
        <v>-0.61446545916413864</v>
      </c>
      <c r="L2946" t="e">
        <f>VLOOKUP(Table1[[#This Row],[CountryCode]],[1]!Table1[#Data],4,FALSE)</f>
        <v>#REF!</v>
      </c>
    </row>
    <row r="2947" spans="1:12" hidden="1" x14ac:dyDescent="0.3">
      <c r="A2947" t="s">
        <v>51</v>
      </c>
      <c r="B2947" t="s">
        <v>52</v>
      </c>
      <c r="C2947" t="s">
        <v>125</v>
      </c>
      <c r="D2947" t="s">
        <v>126</v>
      </c>
      <c r="E2947">
        <v>1998</v>
      </c>
      <c r="F2947" s="1">
        <v>1</v>
      </c>
      <c r="G2947">
        <v>2000</v>
      </c>
      <c r="H2947">
        <f>AVERAGEIFS(Table1[value],Table1[IndicatorCode],Table1[[#This Row],[IndicatorCode]])</f>
        <v>7.6894248608534319</v>
      </c>
      <c r="I2947" cm="1">
        <f t="array" ref="I2947">_xlfn.STDEV.P(IF(Table1[IndicatorCode]=Table1[[#This Row],[IndicatorCode]],Table1[value]))</f>
        <v>5.2319501044600996</v>
      </c>
      <c r="J2947">
        <f>(Table1[[#This Row],[value]] - Table1[[#This Row],[mean]]) / Table1[[#This Row],[std_dev]]</f>
        <v>-1.2785719908052779</v>
      </c>
      <c r="K2947">
        <f>AVERAGEIF(Table1[CountryCode],Table1[[#This Row],[CountryCode]],Table1[z-score])</f>
        <v>-0.61446545916413864</v>
      </c>
      <c r="L2947" t="e">
        <f>VLOOKUP(Table1[[#This Row],[CountryCode]],[1]!Table1[#Data],4,FALSE)</f>
        <v>#REF!</v>
      </c>
    </row>
    <row r="2948" spans="1:12" hidden="1" x14ac:dyDescent="0.3">
      <c r="A2948" t="s">
        <v>51</v>
      </c>
      <c r="B2948" t="s">
        <v>52</v>
      </c>
      <c r="C2948" t="s">
        <v>125</v>
      </c>
      <c r="D2948" t="s">
        <v>126</v>
      </c>
      <c r="E2948">
        <v>1999</v>
      </c>
      <c r="F2948" s="1">
        <v>1</v>
      </c>
      <c r="G2948">
        <v>2000</v>
      </c>
      <c r="H2948">
        <f>AVERAGEIFS(Table1[value],Table1[IndicatorCode],Table1[[#This Row],[IndicatorCode]])</f>
        <v>7.6894248608534319</v>
      </c>
      <c r="I2948" cm="1">
        <f t="array" ref="I2948">_xlfn.STDEV.P(IF(Table1[IndicatorCode]=Table1[[#This Row],[IndicatorCode]],Table1[value]))</f>
        <v>5.2319501044600996</v>
      </c>
      <c r="J2948">
        <f>(Table1[[#This Row],[value]] - Table1[[#This Row],[mean]]) / Table1[[#This Row],[std_dev]]</f>
        <v>-1.2785719908052779</v>
      </c>
      <c r="K2948">
        <f>AVERAGEIF(Table1[CountryCode],Table1[[#This Row],[CountryCode]],Table1[z-score])</f>
        <v>-0.61446545916413864</v>
      </c>
      <c r="L2948" t="e">
        <f>VLOOKUP(Table1[[#This Row],[CountryCode]],[1]!Table1[#Data],4,FALSE)</f>
        <v>#REF!</v>
      </c>
    </row>
    <row r="2949" spans="1:12" hidden="1" x14ac:dyDescent="0.3">
      <c r="A2949" t="s">
        <v>51</v>
      </c>
      <c r="B2949" t="s">
        <v>52</v>
      </c>
      <c r="C2949" t="s">
        <v>125</v>
      </c>
      <c r="D2949" t="s">
        <v>126</v>
      </c>
      <c r="E2949">
        <v>2000</v>
      </c>
      <c r="F2949" s="1">
        <v>1</v>
      </c>
      <c r="G2949">
        <v>2000</v>
      </c>
      <c r="H2949">
        <f>AVERAGEIFS(Table1[value],Table1[IndicatorCode],Table1[[#This Row],[IndicatorCode]])</f>
        <v>7.6894248608534319</v>
      </c>
      <c r="I2949" cm="1">
        <f t="array" ref="I2949">_xlfn.STDEV.P(IF(Table1[IndicatorCode]=Table1[[#This Row],[IndicatorCode]],Table1[value]))</f>
        <v>5.2319501044600996</v>
      </c>
      <c r="J2949">
        <f>(Table1[[#This Row],[value]] - Table1[[#This Row],[mean]]) / Table1[[#This Row],[std_dev]]</f>
        <v>-1.2785719908052779</v>
      </c>
      <c r="K2949">
        <f>AVERAGEIF(Table1[CountryCode],Table1[[#This Row],[CountryCode]],Table1[z-score])</f>
        <v>-0.61446545916413864</v>
      </c>
      <c r="L2949" t="e">
        <f>VLOOKUP(Table1[[#This Row],[CountryCode]],[1]!Table1[#Data],4,FALSE)</f>
        <v>#REF!</v>
      </c>
    </row>
    <row r="2950" spans="1:12" hidden="1" x14ac:dyDescent="0.3">
      <c r="A2950" t="s">
        <v>51</v>
      </c>
      <c r="B2950" t="s">
        <v>52</v>
      </c>
      <c r="C2950" t="s">
        <v>125</v>
      </c>
      <c r="D2950" t="s">
        <v>126</v>
      </c>
      <c r="E2950">
        <v>2001</v>
      </c>
      <c r="F2950" s="1">
        <v>1</v>
      </c>
      <c r="G2950">
        <v>2000</v>
      </c>
      <c r="H2950">
        <f>AVERAGEIFS(Table1[value],Table1[IndicatorCode],Table1[[#This Row],[IndicatorCode]])</f>
        <v>7.6894248608534319</v>
      </c>
      <c r="I2950" cm="1">
        <f t="array" ref="I2950">_xlfn.STDEV.P(IF(Table1[IndicatorCode]=Table1[[#This Row],[IndicatorCode]],Table1[value]))</f>
        <v>5.2319501044600996</v>
      </c>
      <c r="J2950">
        <f>(Table1[[#This Row],[value]] - Table1[[#This Row],[mean]]) / Table1[[#This Row],[std_dev]]</f>
        <v>-1.2785719908052779</v>
      </c>
      <c r="K2950">
        <f>AVERAGEIF(Table1[CountryCode],Table1[[#This Row],[CountryCode]],Table1[z-score])</f>
        <v>-0.61446545916413864</v>
      </c>
      <c r="L2950" t="e">
        <f>VLOOKUP(Table1[[#This Row],[CountryCode]],[1]!Table1[#Data],4,FALSE)</f>
        <v>#REF!</v>
      </c>
    </row>
    <row r="2951" spans="1:12" hidden="1" x14ac:dyDescent="0.3">
      <c r="A2951" t="s">
        <v>51</v>
      </c>
      <c r="B2951" t="s">
        <v>52</v>
      </c>
      <c r="C2951" t="s">
        <v>125</v>
      </c>
      <c r="D2951" t="s">
        <v>126</v>
      </c>
      <c r="E2951">
        <v>2002</v>
      </c>
      <c r="F2951" s="1">
        <v>1</v>
      </c>
      <c r="G2951">
        <v>2000</v>
      </c>
      <c r="H2951">
        <f>AVERAGEIFS(Table1[value],Table1[IndicatorCode],Table1[[#This Row],[IndicatorCode]])</f>
        <v>7.6894248608534319</v>
      </c>
      <c r="I2951" cm="1">
        <f t="array" ref="I2951">_xlfn.STDEV.P(IF(Table1[IndicatorCode]=Table1[[#This Row],[IndicatorCode]],Table1[value]))</f>
        <v>5.2319501044600996</v>
      </c>
      <c r="J2951">
        <f>(Table1[[#This Row],[value]] - Table1[[#This Row],[mean]]) / Table1[[#This Row],[std_dev]]</f>
        <v>-1.2785719908052779</v>
      </c>
      <c r="K2951">
        <f>AVERAGEIF(Table1[CountryCode],Table1[[#This Row],[CountryCode]],Table1[z-score])</f>
        <v>-0.61446545916413864</v>
      </c>
      <c r="L2951" t="e">
        <f>VLOOKUP(Table1[[#This Row],[CountryCode]],[1]!Table1[#Data],4,FALSE)</f>
        <v>#REF!</v>
      </c>
    </row>
    <row r="2952" spans="1:12" hidden="1" x14ac:dyDescent="0.3">
      <c r="A2952" t="s">
        <v>51</v>
      </c>
      <c r="B2952" t="s">
        <v>52</v>
      </c>
      <c r="C2952" t="s">
        <v>125</v>
      </c>
      <c r="D2952" t="s">
        <v>126</v>
      </c>
      <c r="E2952">
        <v>2003</v>
      </c>
      <c r="F2952" s="1">
        <v>1</v>
      </c>
      <c r="G2952">
        <v>2000</v>
      </c>
      <c r="H2952">
        <f>AVERAGEIFS(Table1[value],Table1[IndicatorCode],Table1[[#This Row],[IndicatorCode]])</f>
        <v>7.6894248608534319</v>
      </c>
      <c r="I2952" cm="1">
        <f t="array" ref="I2952">_xlfn.STDEV.P(IF(Table1[IndicatorCode]=Table1[[#This Row],[IndicatorCode]],Table1[value]))</f>
        <v>5.2319501044600996</v>
      </c>
      <c r="J2952">
        <f>(Table1[[#This Row],[value]] - Table1[[#This Row],[mean]]) / Table1[[#This Row],[std_dev]]</f>
        <v>-1.2785719908052779</v>
      </c>
      <c r="K2952">
        <f>AVERAGEIF(Table1[CountryCode],Table1[[#This Row],[CountryCode]],Table1[z-score])</f>
        <v>-0.61446545916413864</v>
      </c>
      <c r="L2952" t="e">
        <f>VLOOKUP(Table1[[#This Row],[CountryCode]],[1]!Table1[#Data],4,FALSE)</f>
        <v>#REF!</v>
      </c>
    </row>
    <row r="2953" spans="1:12" hidden="1" x14ac:dyDescent="0.3">
      <c r="A2953" t="s">
        <v>51</v>
      </c>
      <c r="B2953" t="s">
        <v>52</v>
      </c>
      <c r="C2953" t="s">
        <v>125</v>
      </c>
      <c r="D2953" t="s">
        <v>126</v>
      </c>
      <c r="E2953">
        <v>2004</v>
      </c>
      <c r="F2953" s="1">
        <v>1</v>
      </c>
      <c r="G2953">
        <v>2000</v>
      </c>
      <c r="H2953">
        <f>AVERAGEIFS(Table1[value],Table1[IndicatorCode],Table1[[#This Row],[IndicatorCode]])</f>
        <v>7.6894248608534319</v>
      </c>
      <c r="I2953" cm="1">
        <f t="array" ref="I2953">_xlfn.STDEV.P(IF(Table1[IndicatorCode]=Table1[[#This Row],[IndicatorCode]],Table1[value]))</f>
        <v>5.2319501044600996</v>
      </c>
      <c r="J2953">
        <f>(Table1[[#This Row],[value]] - Table1[[#This Row],[mean]]) / Table1[[#This Row],[std_dev]]</f>
        <v>-1.2785719908052779</v>
      </c>
      <c r="K2953">
        <f>AVERAGEIF(Table1[CountryCode],Table1[[#This Row],[CountryCode]],Table1[z-score])</f>
        <v>-0.61446545916413864</v>
      </c>
      <c r="L2953" t="e">
        <f>VLOOKUP(Table1[[#This Row],[CountryCode]],[1]!Table1[#Data],4,FALSE)</f>
        <v>#REF!</v>
      </c>
    </row>
    <row r="2954" spans="1:12" hidden="1" x14ac:dyDescent="0.3">
      <c r="A2954" t="s">
        <v>51</v>
      </c>
      <c r="B2954" t="s">
        <v>52</v>
      </c>
      <c r="C2954" t="s">
        <v>125</v>
      </c>
      <c r="D2954" t="s">
        <v>126</v>
      </c>
      <c r="E2954">
        <v>2005</v>
      </c>
      <c r="F2954" s="1">
        <v>1</v>
      </c>
      <c r="G2954">
        <v>2000</v>
      </c>
      <c r="H2954">
        <f>AVERAGEIFS(Table1[value],Table1[IndicatorCode],Table1[[#This Row],[IndicatorCode]])</f>
        <v>7.6894248608534319</v>
      </c>
      <c r="I2954" cm="1">
        <f t="array" ref="I2954">_xlfn.STDEV.P(IF(Table1[IndicatorCode]=Table1[[#This Row],[IndicatorCode]],Table1[value]))</f>
        <v>5.2319501044600996</v>
      </c>
      <c r="J2954">
        <f>(Table1[[#This Row],[value]] - Table1[[#This Row],[mean]]) / Table1[[#This Row],[std_dev]]</f>
        <v>-1.2785719908052779</v>
      </c>
      <c r="K2954">
        <f>AVERAGEIF(Table1[CountryCode],Table1[[#This Row],[CountryCode]],Table1[z-score])</f>
        <v>-0.61446545916413864</v>
      </c>
      <c r="L2954" t="e">
        <f>VLOOKUP(Table1[[#This Row],[CountryCode]],[1]!Table1[#Data],4,FALSE)</f>
        <v>#REF!</v>
      </c>
    </row>
    <row r="2955" spans="1:12" hidden="1" x14ac:dyDescent="0.3">
      <c r="A2955" t="s">
        <v>51</v>
      </c>
      <c r="B2955" t="s">
        <v>52</v>
      </c>
      <c r="C2955" t="s">
        <v>125</v>
      </c>
      <c r="D2955" t="s">
        <v>126</v>
      </c>
      <c r="E2955">
        <v>2006</v>
      </c>
      <c r="F2955" s="1">
        <v>1</v>
      </c>
      <c r="G2955">
        <v>2000</v>
      </c>
      <c r="H2955">
        <f>AVERAGEIFS(Table1[value],Table1[IndicatorCode],Table1[[#This Row],[IndicatorCode]])</f>
        <v>7.6894248608534319</v>
      </c>
      <c r="I2955" cm="1">
        <f t="array" ref="I2955">_xlfn.STDEV.P(IF(Table1[IndicatorCode]=Table1[[#This Row],[IndicatorCode]],Table1[value]))</f>
        <v>5.2319501044600996</v>
      </c>
      <c r="J2955">
        <f>(Table1[[#This Row],[value]] - Table1[[#This Row],[mean]]) / Table1[[#This Row],[std_dev]]</f>
        <v>-1.2785719908052779</v>
      </c>
      <c r="K2955">
        <f>AVERAGEIF(Table1[CountryCode],Table1[[#This Row],[CountryCode]],Table1[z-score])</f>
        <v>-0.61446545916413864</v>
      </c>
      <c r="L2955" t="e">
        <f>VLOOKUP(Table1[[#This Row],[CountryCode]],[1]!Table1[#Data],4,FALSE)</f>
        <v>#REF!</v>
      </c>
    </row>
    <row r="2956" spans="1:12" hidden="1" x14ac:dyDescent="0.3">
      <c r="A2956" t="s">
        <v>51</v>
      </c>
      <c r="B2956" t="s">
        <v>52</v>
      </c>
      <c r="C2956" t="s">
        <v>125</v>
      </c>
      <c r="D2956" t="s">
        <v>126</v>
      </c>
      <c r="E2956">
        <v>2007</v>
      </c>
      <c r="F2956" s="1">
        <v>2</v>
      </c>
      <c r="G2956">
        <v>2010</v>
      </c>
      <c r="H2956">
        <f>AVERAGEIFS(Table1[value],Table1[IndicatorCode],Table1[[#This Row],[IndicatorCode]])</f>
        <v>7.6894248608534319</v>
      </c>
      <c r="I2956" cm="1">
        <f t="array" ref="I2956">_xlfn.STDEV.P(IF(Table1[IndicatorCode]=Table1[[#This Row],[IndicatorCode]],Table1[value]))</f>
        <v>5.2319501044600996</v>
      </c>
      <c r="J2956">
        <f>(Table1[[#This Row],[value]] - Table1[[#This Row],[mean]]) / Table1[[#This Row],[std_dev]]</f>
        <v>-1.0874386695705196</v>
      </c>
      <c r="K2956">
        <f>AVERAGEIF(Table1[CountryCode],Table1[[#This Row],[CountryCode]],Table1[z-score])</f>
        <v>-0.61446545916413864</v>
      </c>
      <c r="L2956" t="e">
        <f>VLOOKUP(Table1[[#This Row],[CountryCode]],[1]!Table1[#Data],4,FALSE)</f>
        <v>#REF!</v>
      </c>
    </row>
    <row r="2957" spans="1:12" hidden="1" x14ac:dyDescent="0.3">
      <c r="A2957" t="s">
        <v>51</v>
      </c>
      <c r="B2957" t="s">
        <v>52</v>
      </c>
      <c r="C2957" t="s">
        <v>125</v>
      </c>
      <c r="D2957" t="s">
        <v>126</v>
      </c>
      <c r="E2957">
        <v>2008</v>
      </c>
      <c r="F2957" s="1">
        <v>1</v>
      </c>
      <c r="G2957">
        <v>2010</v>
      </c>
      <c r="H2957">
        <f>AVERAGEIFS(Table1[value],Table1[IndicatorCode],Table1[[#This Row],[IndicatorCode]])</f>
        <v>7.6894248608534319</v>
      </c>
      <c r="I2957" cm="1">
        <f t="array" ref="I2957">_xlfn.STDEV.P(IF(Table1[IndicatorCode]=Table1[[#This Row],[IndicatorCode]],Table1[value]))</f>
        <v>5.2319501044600996</v>
      </c>
      <c r="J2957">
        <f>(Table1[[#This Row],[value]] - Table1[[#This Row],[mean]]) / Table1[[#This Row],[std_dev]]</f>
        <v>-1.2785719908052779</v>
      </c>
      <c r="K2957">
        <f>AVERAGEIF(Table1[CountryCode],Table1[[#This Row],[CountryCode]],Table1[z-score])</f>
        <v>-0.61446545916413864</v>
      </c>
      <c r="L2957" t="e">
        <f>VLOOKUP(Table1[[#This Row],[CountryCode]],[1]!Table1[#Data],4,FALSE)</f>
        <v>#REF!</v>
      </c>
    </row>
    <row r="2958" spans="1:12" hidden="1" x14ac:dyDescent="0.3">
      <c r="A2958" t="s">
        <v>51</v>
      </c>
      <c r="B2958" t="s">
        <v>52</v>
      </c>
      <c r="C2958" t="s">
        <v>125</v>
      </c>
      <c r="D2958" t="s">
        <v>126</v>
      </c>
      <c r="E2958">
        <v>2009</v>
      </c>
      <c r="F2958" s="1">
        <v>2</v>
      </c>
      <c r="G2958">
        <v>2010</v>
      </c>
      <c r="H2958">
        <f>AVERAGEIFS(Table1[value],Table1[IndicatorCode],Table1[[#This Row],[IndicatorCode]])</f>
        <v>7.6894248608534319</v>
      </c>
      <c r="I2958" cm="1">
        <f t="array" ref="I2958">_xlfn.STDEV.P(IF(Table1[IndicatorCode]=Table1[[#This Row],[IndicatorCode]],Table1[value]))</f>
        <v>5.2319501044600996</v>
      </c>
      <c r="J2958">
        <f>(Table1[[#This Row],[value]] - Table1[[#This Row],[mean]]) / Table1[[#This Row],[std_dev]]</f>
        <v>-1.0874386695705196</v>
      </c>
      <c r="K2958">
        <f>AVERAGEIF(Table1[CountryCode],Table1[[#This Row],[CountryCode]],Table1[z-score])</f>
        <v>-0.61446545916413864</v>
      </c>
      <c r="L2958" t="e">
        <f>VLOOKUP(Table1[[#This Row],[CountryCode]],[1]!Table1[#Data],4,FALSE)</f>
        <v>#REF!</v>
      </c>
    </row>
    <row r="2959" spans="1:12" hidden="1" x14ac:dyDescent="0.3">
      <c r="A2959" t="s">
        <v>51</v>
      </c>
      <c r="B2959" t="s">
        <v>52</v>
      </c>
      <c r="C2959" t="s">
        <v>125</v>
      </c>
      <c r="D2959" t="s">
        <v>126</v>
      </c>
      <c r="E2959">
        <v>2010</v>
      </c>
      <c r="F2959" s="1">
        <v>2</v>
      </c>
      <c r="G2959">
        <v>2010</v>
      </c>
      <c r="H2959">
        <f>AVERAGEIFS(Table1[value],Table1[IndicatorCode],Table1[[#This Row],[IndicatorCode]])</f>
        <v>7.6894248608534319</v>
      </c>
      <c r="I2959" cm="1">
        <f t="array" ref="I2959">_xlfn.STDEV.P(IF(Table1[IndicatorCode]=Table1[[#This Row],[IndicatorCode]],Table1[value]))</f>
        <v>5.2319501044600996</v>
      </c>
      <c r="J2959">
        <f>(Table1[[#This Row],[value]] - Table1[[#This Row],[mean]]) / Table1[[#This Row],[std_dev]]</f>
        <v>-1.0874386695705196</v>
      </c>
      <c r="K2959">
        <f>AVERAGEIF(Table1[CountryCode],Table1[[#This Row],[CountryCode]],Table1[z-score])</f>
        <v>-0.61446545916413864</v>
      </c>
      <c r="L2959" t="e">
        <f>VLOOKUP(Table1[[#This Row],[CountryCode]],[1]!Table1[#Data],4,FALSE)</f>
        <v>#REF!</v>
      </c>
    </row>
    <row r="2960" spans="1:12" hidden="1" x14ac:dyDescent="0.3">
      <c r="A2960" t="s">
        <v>51</v>
      </c>
      <c r="B2960" t="s">
        <v>52</v>
      </c>
      <c r="C2960" t="s">
        <v>125</v>
      </c>
      <c r="D2960" t="s">
        <v>126</v>
      </c>
      <c r="E2960">
        <v>2011</v>
      </c>
      <c r="F2960" s="1">
        <v>2</v>
      </c>
      <c r="G2960">
        <v>2010</v>
      </c>
      <c r="H2960">
        <f>AVERAGEIFS(Table1[value],Table1[IndicatorCode],Table1[[#This Row],[IndicatorCode]])</f>
        <v>7.6894248608534319</v>
      </c>
      <c r="I2960" cm="1">
        <f t="array" ref="I2960">_xlfn.STDEV.P(IF(Table1[IndicatorCode]=Table1[[#This Row],[IndicatorCode]],Table1[value]))</f>
        <v>5.2319501044600996</v>
      </c>
      <c r="J2960">
        <f>(Table1[[#This Row],[value]] - Table1[[#This Row],[mean]]) / Table1[[#This Row],[std_dev]]</f>
        <v>-1.0874386695705196</v>
      </c>
      <c r="K2960">
        <f>AVERAGEIF(Table1[CountryCode],Table1[[#This Row],[CountryCode]],Table1[z-score])</f>
        <v>-0.61446545916413864</v>
      </c>
      <c r="L2960" t="e">
        <f>VLOOKUP(Table1[[#This Row],[CountryCode]],[1]!Table1[#Data],4,FALSE)</f>
        <v>#REF!</v>
      </c>
    </row>
    <row r="2961" spans="1:12" hidden="1" x14ac:dyDescent="0.3">
      <c r="A2961" t="s">
        <v>51</v>
      </c>
      <c r="B2961" t="s">
        <v>52</v>
      </c>
      <c r="C2961" t="s">
        <v>125</v>
      </c>
      <c r="D2961" t="s">
        <v>126</v>
      </c>
      <c r="E2961">
        <v>2012</v>
      </c>
      <c r="F2961" s="1">
        <v>2</v>
      </c>
      <c r="G2961">
        <v>2010</v>
      </c>
      <c r="H2961">
        <f>AVERAGEIFS(Table1[value],Table1[IndicatorCode],Table1[[#This Row],[IndicatorCode]])</f>
        <v>7.6894248608534319</v>
      </c>
      <c r="I2961" cm="1">
        <f t="array" ref="I2961">_xlfn.STDEV.P(IF(Table1[IndicatorCode]=Table1[[#This Row],[IndicatorCode]],Table1[value]))</f>
        <v>5.2319501044600996</v>
      </c>
      <c r="J2961">
        <f>(Table1[[#This Row],[value]] - Table1[[#This Row],[mean]]) / Table1[[#This Row],[std_dev]]</f>
        <v>-1.0874386695705196</v>
      </c>
      <c r="K2961">
        <f>AVERAGEIF(Table1[CountryCode],Table1[[#This Row],[CountryCode]],Table1[z-score])</f>
        <v>-0.61446545916413864</v>
      </c>
      <c r="L2961" t="e">
        <f>VLOOKUP(Table1[[#This Row],[CountryCode]],[1]!Table1[#Data],4,FALSE)</f>
        <v>#REF!</v>
      </c>
    </row>
    <row r="2962" spans="1:12" hidden="1" x14ac:dyDescent="0.3">
      <c r="A2962" t="s">
        <v>51</v>
      </c>
      <c r="B2962" t="s">
        <v>52</v>
      </c>
      <c r="C2962" t="s">
        <v>125</v>
      </c>
      <c r="D2962" t="s">
        <v>126</v>
      </c>
      <c r="E2962">
        <v>2013</v>
      </c>
      <c r="F2962" s="1">
        <v>2</v>
      </c>
      <c r="G2962">
        <v>2010</v>
      </c>
      <c r="H2962">
        <f>AVERAGEIFS(Table1[value],Table1[IndicatorCode],Table1[[#This Row],[IndicatorCode]])</f>
        <v>7.6894248608534319</v>
      </c>
      <c r="I2962" cm="1">
        <f t="array" ref="I2962">_xlfn.STDEV.P(IF(Table1[IndicatorCode]=Table1[[#This Row],[IndicatorCode]],Table1[value]))</f>
        <v>5.2319501044600996</v>
      </c>
      <c r="J2962">
        <f>(Table1[[#This Row],[value]] - Table1[[#This Row],[mean]]) / Table1[[#This Row],[std_dev]]</f>
        <v>-1.0874386695705196</v>
      </c>
      <c r="K2962">
        <f>AVERAGEIF(Table1[CountryCode],Table1[[#This Row],[CountryCode]],Table1[z-score])</f>
        <v>-0.61446545916413864</v>
      </c>
      <c r="L2962" t="e">
        <f>VLOOKUP(Table1[[#This Row],[CountryCode]],[1]!Table1[#Data],4,FALSE)</f>
        <v>#REF!</v>
      </c>
    </row>
    <row r="2963" spans="1:12" hidden="1" x14ac:dyDescent="0.3">
      <c r="A2963" t="s">
        <v>51</v>
      </c>
      <c r="B2963" t="s">
        <v>52</v>
      </c>
      <c r="C2963" t="s">
        <v>125</v>
      </c>
      <c r="D2963" t="s">
        <v>126</v>
      </c>
      <c r="E2963">
        <v>2014</v>
      </c>
      <c r="F2963" s="1">
        <v>3</v>
      </c>
      <c r="G2963">
        <v>2010</v>
      </c>
      <c r="H2963">
        <f>AVERAGEIFS(Table1[value],Table1[IndicatorCode],Table1[[#This Row],[IndicatorCode]])</f>
        <v>7.6894248608534319</v>
      </c>
      <c r="I2963" cm="1">
        <f t="array" ref="I2963">_xlfn.STDEV.P(IF(Table1[IndicatorCode]=Table1[[#This Row],[IndicatorCode]],Table1[value]))</f>
        <v>5.2319501044600996</v>
      </c>
      <c r="J2963">
        <f>(Table1[[#This Row],[value]] - Table1[[#This Row],[mean]]) / Table1[[#This Row],[std_dev]]</f>
        <v>-0.89630534833576125</v>
      </c>
      <c r="K2963">
        <f>AVERAGEIF(Table1[CountryCode],Table1[[#This Row],[CountryCode]],Table1[z-score])</f>
        <v>-0.61446545916413864</v>
      </c>
      <c r="L2963" t="e">
        <f>VLOOKUP(Table1[[#This Row],[CountryCode]],[1]!Table1[#Data],4,FALSE)</f>
        <v>#REF!</v>
      </c>
    </row>
    <row r="2964" spans="1:12" hidden="1" x14ac:dyDescent="0.3">
      <c r="A2964" t="s">
        <v>51</v>
      </c>
      <c r="B2964" t="s">
        <v>52</v>
      </c>
      <c r="C2964" t="s">
        <v>125</v>
      </c>
      <c r="D2964" t="s">
        <v>126</v>
      </c>
      <c r="E2964">
        <v>2015</v>
      </c>
      <c r="F2964" s="1">
        <v>3</v>
      </c>
      <c r="G2964">
        <v>2010</v>
      </c>
      <c r="H2964">
        <f>AVERAGEIFS(Table1[value],Table1[IndicatorCode],Table1[[#This Row],[IndicatorCode]])</f>
        <v>7.6894248608534319</v>
      </c>
      <c r="I2964" cm="1">
        <f t="array" ref="I2964">_xlfn.STDEV.P(IF(Table1[IndicatorCode]=Table1[[#This Row],[IndicatorCode]],Table1[value]))</f>
        <v>5.2319501044600996</v>
      </c>
      <c r="J2964">
        <f>(Table1[[#This Row],[value]] - Table1[[#This Row],[mean]]) / Table1[[#This Row],[std_dev]]</f>
        <v>-0.89630534833576125</v>
      </c>
      <c r="K2964">
        <f>AVERAGEIF(Table1[CountryCode],Table1[[#This Row],[CountryCode]],Table1[z-score])</f>
        <v>-0.61446545916413864</v>
      </c>
      <c r="L2964" t="e">
        <f>VLOOKUP(Table1[[#This Row],[CountryCode]],[1]!Table1[#Data],4,FALSE)</f>
        <v>#REF!</v>
      </c>
    </row>
    <row r="2965" spans="1:12" hidden="1" x14ac:dyDescent="0.3">
      <c r="A2965" t="s">
        <v>51</v>
      </c>
      <c r="B2965" t="s">
        <v>52</v>
      </c>
      <c r="C2965" t="s">
        <v>125</v>
      </c>
      <c r="D2965" t="s">
        <v>126</v>
      </c>
      <c r="E2965">
        <v>2016</v>
      </c>
      <c r="F2965" s="1">
        <v>3</v>
      </c>
      <c r="G2965">
        <v>2010</v>
      </c>
      <c r="H2965">
        <f>AVERAGEIFS(Table1[value],Table1[IndicatorCode],Table1[[#This Row],[IndicatorCode]])</f>
        <v>7.6894248608534319</v>
      </c>
      <c r="I2965" cm="1">
        <f t="array" ref="I2965">_xlfn.STDEV.P(IF(Table1[IndicatorCode]=Table1[[#This Row],[IndicatorCode]],Table1[value]))</f>
        <v>5.2319501044600996</v>
      </c>
      <c r="J2965">
        <f>(Table1[[#This Row],[value]] - Table1[[#This Row],[mean]]) / Table1[[#This Row],[std_dev]]</f>
        <v>-0.89630534833576125</v>
      </c>
      <c r="K2965">
        <f>AVERAGEIF(Table1[CountryCode],Table1[[#This Row],[CountryCode]],Table1[z-score])</f>
        <v>-0.61446545916413864</v>
      </c>
      <c r="L2965" t="e">
        <f>VLOOKUP(Table1[[#This Row],[CountryCode]],[1]!Table1[#Data],4,FALSE)</f>
        <v>#REF!</v>
      </c>
    </row>
    <row r="2966" spans="1:12" hidden="1" x14ac:dyDescent="0.3">
      <c r="A2966" t="s">
        <v>51</v>
      </c>
      <c r="B2966" t="s">
        <v>52</v>
      </c>
      <c r="C2966" t="s">
        <v>125</v>
      </c>
      <c r="D2966" t="s">
        <v>126</v>
      </c>
      <c r="E2966">
        <v>2017</v>
      </c>
      <c r="F2966" s="1">
        <v>3</v>
      </c>
      <c r="G2966">
        <v>2020</v>
      </c>
      <c r="H2966">
        <f>AVERAGEIFS(Table1[value],Table1[IndicatorCode],Table1[[#This Row],[IndicatorCode]])</f>
        <v>7.6894248608534319</v>
      </c>
      <c r="I2966" cm="1">
        <f t="array" ref="I2966">_xlfn.STDEV.P(IF(Table1[IndicatorCode]=Table1[[#This Row],[IndicatorCode]],Table1[value]))</f>
        <v>5.2319501044600996</v>
      </c>
      <c r="J2966">
        <f>(Table1[[#This Row],[value]] - Table1[[#This Row],[mean]]) / Table1[[#This Row],[std_dev]]</f>
        <v>-0.89630534833576125</v>
      </c>
      <c r="K2966">
        <f>AVERAGEIF(Table1[CountryCode],Table1[[#This Row],[CountryCode]],Table1[z-score])</f>
        <v>-0.61446545916413864</v>
      </c>
      <c r="L2966" t="e">
        <f>VLOOKUP(Table1[[#This Row],[CountryCode]],[1]!Table1[#Data],4,FALSE)</f>
        <v>#REF!</v>
      </c>
    </row>
    <row r="2967" spans="1:12" hidden="1" x14ac:dyDescent="0.3">
      <c r="A2967" t="s">
        <v>51</v>
      </c>
      <c r="B2967" t="s">
        <v>52</v>
      </c>
      <c r="C2967" t="s">
        <v>125</v>
      </c>
      <c r="D2967" t="s">
        <v>126</v>
      </c>
      <c r="E2967">
        <v>2018</v>
      </c>
      <c r="F2967" s="1">
        <v>3</v>
      </c>
      <c r="G2967">
        <v>2020</v>
      </c>
      <c r="H2967">
        <f>AVERAGEIFS(Table1[value],Table1[IndicatorCode],Table1[[#This Row],[IndicatorCode]])</f>
        <v>7.6894248608534319</v>
      </c>
      <c r="I2967" cm="1">
        <f t="array" ref="I2967">_xlfn.STDEV.P(IF(Table1[IndicatorCode]=Table1[[#This Row],[IndicatorCode]],Table1[value]))</f>
        <v>5.2319501044600996</v>
      </c>
      <c r="J2967">
        <f>(Table1[[#This Row],[value]] - Table1[[#This Row],[mean]]) / Table1[[#This Row],[std_dev]]</f>
        <v>-0.89630534833576125</v>
      </c>
      <c r="K2967">
        <f>AVERAGEIF(Table1[CountryCode],Table1[[#This Row],[CountryCode]],Table1[z-score])</f>
        <v>-0.61446545916413864</v>
      </c>
      <c r="L2967" t="e">
        <f>VLOOKUP(Table1[[#This Row],[CountryCode]],[1]!Table1[#Data],4,FALSE)</f>
        <v>#REF!</v>
      </c>
    </row>
    <row r="2968" spans="1:12" hidden="1" x14ac:dyDescent="0.3">
      <c r="A2968" t="s">
        <v>51</v>
      </c>
      <c r="B2968" t="s">
        <v>52</v>
      </c>
      <c r="C2968" t="s">
        <v>125</v>
      </c>
      <c r="D2968" t="s">
        <v>126</v>
      </c>
      <c r="E2968">
        <v>2019</v>
      </c>
      <c r="F2968" s="1">
        <v>3</v>
      </c>
      <c r="G2968">
        <v>2020</v>
      </c>
      <c r="H2968">
        <f>AVERAGEIFS(Table1[value],Table1[IndicatorCode],Table1[[#This Row],[IndicatorCode]])</f>
        <v>7.6894248608534319</v>
      </c>
      <c r="I2968" cm="1">
        <f t="array" ref="I2968">_xlfn.STDEV.P(IF(Table1[IndicatorCode]=Table1[[#This Row],[IndicatorCode]],Table1[value]))</f>
        <v>5.2319501044600996</v>
      </c>
      <c r="J2968">
        <f>(Table1[[#This Row],[value]] - Table1[[#This Row],[mean]]) / Table1[[#This Row],[std_dev]]</f>
        <v>-0.89630534833576125</v>
      </c>
      <c r="K2968">
        <f>AVERAGEIF(Table1[CountryCode],Table1[[#This Row],[CountryCode]],Table1[z-score])</f>
        <v>-0.61446545916413864</v>
      </c>
      <c r="L2968" t="e">
        <f>VLOOKUP(Table1[[#This Row],[CountryCode]],[1]!Table1[#Data],4,FALSE)</f>
        <v>#REF!</v>
      </c>
    </row>
    <row r="2969" spans="1:12" x14ac:dyDescent="0.3">
      <c r="A2969" t="s">
        <v>51</v>
      </c>
      <c r="B2969" t="s">
        <v>52</v>
      </c>
      <c r="C2969" t="s">
        <v>125</v>
      </c>
      <c r="D2969" t="s">
        <v>126</v>
      </c>
      <c r="E2969">
        <v>2020</v>
      </c>
      <c r="F2969" s="1">
        <v>3</v>
      </c>
      <c r="G2969">
        <v>2020</v>
      </c>
      <c r="H2969">
        <f>AVERAGEIFS(Table1[value],Table1[IndicatorCode],Table1[[#This Row],[IndicatorCode]])</f>
        <v>7.6894248608534319</v>
      </c>
      <c r="I2969" cm="1">
        <f t="array" ref="I2969">_xlfn.STDEV.P(IF(Table1[IndicatorCode]=Table1[[#This Row],[IndicatorCode]],Table1[value]))</f>
        <v>5.2319501044600996</v>
      </c>
      <c r="J2969">
        <f>(Table1[[#This Row],[value]] - Table1[[#This Row],[mean]]) / Table1[[#This Row],[std_dev]]</f>
        <v>-0.89630534833576125</v>
      </c>
      <c r="K2969">
        <f>AVERAGEIF(Table1[CountryCode],Table1[[#This Row],[CountryCode]],Table1[z-score])</f>
        <v>-0.61446545916413864</v>
      </c>
    </row>
    <row r="2970" spans="1:12" hidden="1" x14ac:dyDescent="0.3">
      <c r="A2970" t="s">
        <v>51</v>
      </c>
      <c r="B2970" t="s">
        <v>52</v>
      </c>
      <c r="C2970" t="s">
        <v>125</v>
      </c>
      <c r="D2970" t="s">
        <v>126</v>
      </c>
      <c r="E2970">
        <v>2021</v>
      </c>
      <c r="F2970" s="1">
        <v>3</v>
      </c>
      <c r="G2970">
        <v>2020</v>
      </c>
      <c r="H2970">
        <f>AVERAGEIFS(Table1[value],Table1[IndicatorCode],Table1[[#This Row],[IndicatorCode]])</f>
        <v>7.6894248608534319</v>
      </c>
      <c r="I2970" cm="1">
        <f t="array" ref="I2970">_xlfn.STDEV.P(IF(Table1[IndicatorCode]=Table1[[#This Row],[IndicatorCode]],Table1[value]))</f>
        <v>5.2319501044600996</v>
      </c>
      <c r="J2970">
        <f>(Table1[[#This Row],[value]] - Table1[[#This Row],[mean]]) / Table1[[#This Row],[std_dev]]</f>
        <v>-0.89630534833576125</v>
      </c>
      <c r="K2970">
        <f>AVERAGEIF(Table1[CountryCode],Table1[[#This Row],[CountryCode]],Table1[z-score])</f>
        <v>-0.61446545916413864</v>
      </c>
      <c r="L2970" t="e">
        <f>VLOOKUP(Table1[[#This Row],[CountryCode]],[1]!Table1[#Data],4,FALSE)</f>
        <v>#REF!</v>
      </c>
    </row>
    <row r="2971" spans="1:12" hidden="1" x14ac:dyDescent="0.3">
      <c r="A2971" t="s">
        <v>51</v>
      </c>
      <c r="B2971" t="s">
        <v>52</v>
      </c>
      <c r="C2971" t="s">
        <v>125</v>
      </c>
      <c r="D2971" t="s">
        <v>126</v>
      </c>
      <c r="E2971">
        <v>2022</v>
      </c>
      <c r="F2971" s="1">
        <v>4</v>
      </c>
      <c r="G2971">
        <v>1970</v>
      </c>
      <c r="H2971">
        <f>AVERAGEIFS(Table1[value],Table1[IndicatorCode],Table1[[#This Row],[IndicatorCode]])</f>
        <v>7.6894248608534319</v>
      </c>
      <c r="I2971" cm="1">
        <f t="array" ref="I2971">_xlfn.STDEV.P(IF(Table1[IndicatorCode]=Table1[[#This Row],[IndicatorCode]],Table1[value]))</f>
        <v>5.2319501044600996</v>
      </c>
      <c r="J2971">
        <f>(Table1[[#This Row],[value]] - Table1[[#This Row],[mean]]) / Table1[[#This Row],[std_dev]]</f>
        <v>-0.7051720271010028</v>
      </c>
      <c r="K2971">
        <f>AVERAGEIF(Table1[CountryCode],Table1[[#This Row],[CountryCode]],Table1[z-score])</f>
        <v>-0.61446545916413864</v>
      </c>
      <c r="L2971" t="e">
        <f>VLOOKUP(Table1[[#This Row],[CountryCode]],[1]!Table1[#Data],4,FALSE)</f>
        <v>#REF!</v>
      </c>
    </row>
    <row r="2972" spans="1:12" hidden="1" x14ac:dyDescent="0.3">
      <c r="A2972" t="s">
        <v>51</v>
      </c>
      <c r="B2972" t="s">
        <v>52</v>
      </c>
      <c r="C2972" t="s">
        <v>125</v>
      </c>
      <c r="D2972" t="s">
        <v>126</v>
      </c>
      <c r="E2972">
        <v>2023</v>
      </c>
      <c r="F2972" s="1">
        <v>4</v>
      </c>
      <c r="G2972">
        <v>1970</v>
      </c>
      <c r="H2972">
        <f>AVERAGEIFS(Table1[value],Table1[IndicatorCode],Table1[[#This Row],[IndicatorCode]])</f>
        <v>7.6894248608534319</v>
      </c>
      <c r="I2972" cm="1">
        <f t="array" ref="I2972">_xlfn.STDEV.P(IF(Table1[IndicatorCode]=Table1[[#This Row],[IndicatorCode]],Table1[value]))</f>
        <v>5.2319501044600996</v>
      </c>
      <c r="J2972">
        <f>(Table1[[#This Row],[value]] - Table1[[#This Row],[mean]]) / Table1[[#This Row],[std_dev]]</f>
        <v>-0.7051720271010028</v>
      </c>
      <c r="K2972">
        <f>AVERAGEIF(Table1[CountryCode],Table1[[#This Row],[CountryCode]],Table1[z-score])</f>
        <v>-0.61446545916413864</v>
      </c>
      <c r="L2972" t="e">
        <f>VLOOKUP(Table1[[#This Row],[CountryCode]],[1]!Table1[#Data],4,FALSE)</f>
        <v>#REF!</v>
      </c>
    </row>
    <row r="2973" spans="1:12" hidden="1" x14ac:dyDescent="0.3">
      <c r="A2973" t="s">
        <v>51</v>
      </c>
      <c r="B2973" t="s">
        <v>52</v>
      </c>
      <c r="C2973" t="s">
        <v>125</v>
      </c>
      <c r="D2973" t="s">
        <v>126</v>
      </c>
      <c r="E2973">
        <v>2024</v>
      </c>
      <c r="F2973" s="1">
        <v>4</v>
      </c>
      <c r="G2973">
        <v>1970</v>
      </c>
      <c r="H2973">
        <f>AVERAGEIFS(Table1[value],Table1[IndicatorCode],Table1[[#This Row],[IndicatorCode]])</f>
        <v>7.6894248608534319</v>
      </c>
      <c r="I2973" cm="1">
        <f t="array" ref="I2973">_xlfn.STDEV.P(IF(Table1[IndicatorCode]=Table1[[#This Row],[IndicatorCode]],Table1[value]))</f>
        <v>5.2319501044600996</v>
      </c>
      <c r="J2973">
        <f>(Table1[[#This Row],[value]] - Table1[[#This Row],[mean]]) / Table1[[#This Row],[std_dev]]</f>
        <v>-0.7051720271010028</v>
      </c>
      <c r="K2973">
        <f>AVERAGEIF(Table1[CountryCode],Table1[[#This Row],[CountryCode]],Table1[z-score])</f>
        <v>-0.61446545916413864</v>
      </c>
      <c r="L2973" t="e">
        <f>VLOOKUP(Table1[[#This Row],[CountryCode]],[1]!Table1[#Data],4,FALSE)</f>
        <v>#REF!</v>
      </c>
    </row>
    <row r="2974" spans="1:12" hidden="1" x14ac:dyDescent="0.3">
      <c r="A2974" t="s">
        <v>53</v>
      </c>
      <c r="B2974" t="s">
        <v>54</v>
      </c>
      <c r="C2974" t="s">
        <v>125</v>
      </c>
      <c r="D2974" t="s">
        <v>126</v>
      </c>
      <c r="E2974">
        <v>1970</v>
      </c>
      <c r="F2974" s="1">
        <v>3</v>
      </c>
      <c r="G2974">
        <v>1970</v>
      </c>
      <c r="H2974">
        <f>AVERAGEIFS(Table1[value],Table1[IndicatorCode],Table1[[#This Row],[IndicatorCode]])</f>
        <v>7.6894248608534319</v>
      </c>
      <c r="I2974" cm="1">
        <f t="array" ref="I2974">_xlfn.STDEV.P(IF(Table1[IndicatorCode]=Table1[[#This Row],[IndicatorCode]],Table1[value]))</f>
        <v>5.2319501044600996</v>
      </c>
      <c r="J2974">
        <f>(Table1[[#This Row],[value]] - Table1[[#This Row],[mean]]) / Table1[[#This Row],[std_dev]]</f>
        <v>-0.89630534833576125</v>
      </c>
      <c r="K2974">
        <f>AVERAGEIF(Table1[CountryCode],Table1[[#This Row],[CountryCode]],Table1[z-score])</f>
        <v>0.50130467154040237</v>
      </c>
      <c r="L2974" t="e">
        <f>VLOOKUP(Table1[[#This Row],[CountryCode]],[1]!Table1[#Data],4,FALSE)</f>
        <v>#REF!</v>
      </c>
    </row>
    <row r="2975" spans="1:12" hidden="1" x14ac:dyDescent="0.3">
      <c r="A2975" t="s">
        <v>53</v>
      </c>
      <c r="B2975" t="s">
        <v>54</v>
      </c>
      <c r="C2975" t="s">
        <v>125</v>
      </c>
      <c r="D2975" t="s">
        <v>126</v>
      </c>
      <c r="E2975">
        <v>1971</v>
      </c>
      <c r="F2975" s="1">
        <v>3</v>
      </c>
      <c r="G2975">
        <v>1970</v>
      </c>
      <c r="H2975">
        <f>AVERAGEIFS(Table1[value],Table1[IndicatorCode],Table1[[#This Row],[IndicatorCode]])</f>
        <v>7.6894248608534319</v>
      </c>
      <c r="I2975" cm="1">
        <f t="array" ref="I2975">_xlfn.STDEV.P(IF(Table1[IndicatorCode]=Table1[[#This Row],[IndicatorCode]],Table1[value]))</f>
        <v>5.2319501044600996</v>
      </c>
      <c r="J2975">
        <f>(Table1[[#This Row],[value]] - Table1[[#This Row],[mean]]) / Table1[[#This Row],[std_dev]]</f>
        <v>-0.89630534833576125</v>
      </c>
      <c r="K2975">
        <f>AVERAGEIF(Table1[CountryCode],Table1[[#This Row],[CountryCode]],Table1[z-score])</f>
        <v>0.50130467154040237</v>
      </c>
      <c r="L2975" t="e">
        <f>VLOOKUP(Table1[[#This Row],[CountryCode]],[1]!Table1[#Data],4,FALSE)</f>
        <v>#REF!</v>
      </c>
    </row>
    <row r="2976" spans="1:12" hidden="1" x14ac:dyDescent="0.3">
      <c r="A2976" t="s">
        <v>53</v>
      </c>
      <c r="B2976" t="s">
        <v>54</v>
      </c>
      <c r="C2976" t="s">
        <v>125</v>
      </c>
      <c r="D2976" t="s">
        <v>126</v>
      </c>
      <c r="E2976">
        <v>1972</v>
      </c>
      <c r="F2976" s="1">
        <v>2</v>
      </c>
      <c r="G2976">
        <v>1970</v>
      </c>
      <c r="H2976">
        <f>AVERAGEIFS(Table1[value],Table1[IndicatorCode],Table1[[#This Row],[IndicatorCode]])</f>
        <v>7.6894248608534319</v>
      </c>
      <c r="I2976" cm="1">
        <f t="array" ref="I2976">_xlfn.STDEV.P(IF(Table1[IndicatorCode]=Table1[[#This Row],[IndicatorCode]],Table1[value]))</f>
        <v>5.2319501044600996</v>
      </c>
      <c r="J2976">
        <f>(Table1[[#This Row],[value]] - Table1[[#This Row],[mean]]) / Table1[[#This Row],[std_dev]]</f>
        <v>-1.0874386695705196</v>
      </c>
      <c r="K2976">
        <f>AVERAGEIF(Table1[CountryCode],Table1[[#This Row],[CountryCode]],Table1[z-score])</f>
        <v>0.50130467154040237</v>
      </c>
      <c r="L2976" t="e">
        <f>VLOOKUP(Table1[[#This Row],[CountryCode]],[1]!Table1[#Data],4,FALSE)</f>
        <v>#REF!</v>
      </c>
    </row>
    <row r="2977" spans="1:12" hidden="1" x14ac:dyDescent="0.3">
      <c r="A2977" t="s">
        <v>53</v>
      </c>
      <c r="B2977" t="s">
        <v>54</v>
      </c>
      <c r="C2977" t="s">
        <v>125</v>
      </c>
      <c r="D2977" t="s">
        <v>126</v>
      </c>
      <c r="E2977">
        <v>1973</v>
      </c>
      <c r="F2977" s="1">
        <v>2</v>
      </c>
      <c r="G2977">
        <v>1970</v>
      </c>
      <c r="H2977">
        <f>AVERAGEIFS(Table1[value],Table1[IndicatorCode],Table1[[#This Row],[IndicatorCode]])</f>
        <v>7.6894248608534319</v>
      </c>
      <c r="I2977" cm="1">
        <f t="array" ref="I2977">_xlfn.STDEV.P(IF(Table1[IndicatorCode]=Table1[[#This Row],[IndicatorCode]],Table1[value]))</f>
        <v>5.2319501044600996</v>
      </c>
      <c r="J2977">
        <f>(Table1[[#This Row],[value]] - Table1[[#This Row],[mean]]) / Table1[[#This Row],[std_dev]]</f>
        <v>-1.0874386695705196</v>
      </c>
      <c r="K2977">
        <f>AVERAGEIF(Table1[CountryCode],Table1[[#This Row],[CountryCode]],Table1[z-score])</f>
        <v>0.50130467154040237</v>
      </c>
      <c r="L2977" t="e">
        <f>VLOOKUP(Table1[[#This Row],[CountryCode]],[1]!Table1[#Data],4,FALSE)</f>
        <v>#REF!</v>
      </c>
    </row>
    <row r="2978" spans="1:12" hidden="1" x14ac:dyDescent="0.3">
      <c r="A2978" t="s">
        <v>53</v>
      </c>
      <c r="B2978" t="s">
        <v>54</v>
      </c>
      <c r="C2978" t="s">
        <v>125</v>
      </c>
      <c r="D2978" t="s">
        <v>126</v>
      </c>
      <c r="E2978">
        <v>1974</v>
      </c>
      <c r="F2978" s="1">
        <v>2</v>
      </c>
      <c r="G2978">
        <v>1970</v>
      </c>
      <c r="H2978">
        <f>AVERAGEIFS(Table1[value],Table1[IndicatorCode],Table1[[#This Row],[IndicatorCode]])</f>
        <v>7.6894248608534319</v>
      </c>
      <c r="I2978" cm="1">
        <f t="array" ref="I2978">_xlfn.STDEV.P(IF(Table1[IndicatorCode]=Table1[[#This Row],[IndicatorCode]],Table1[value]))</f>
        <v>5.2319501044600996</v>
      </c>
      <c r="J2978">
        <f>(Table1[[#This Row],[value]] - Table1[[#This Row],[mean]]) / Table1[[#This Row],[std_dev]]</f>
        <v>-1.0874386695705196</v>
      </c>
      <c r="K2978">
        <f>AVERAGEIF(Table1[CountryCode],Table1[[#This Row],[CountryCode]],Table1[z-score])</f>
        <v>0.50130467154040237</v>
      </c>
      <c r="L2978" t="e">
        <f>VLOOKUP(Table1[[#This Row],[CountryCode]],[1]!Table1[#Data],4,FALSE)</f>
        <v>#REF!</v>
      </c>
    </row>
    <row r="2979" spans="1:12" hidden="1" x14ac:dyDescent="0.3">
      <c r="A2979" t="s">
        <v>53</v>
      </c>
      <c r="B2979" t="s">
        <v>54</v>
      </c>
      <c r="C2979" t="s">
        <v>125</v>
      </c>
      <c r="D2979" t="s">
        <v>126</v>
      </c>
      <c r="E2979">
        <v>1975</v>
      </c>
      <c r="F2979" s="1">
        <v>2</v>
      </c>
      <c r="G2979">
        <v>1970</v>
      </c>
      <c r="H2979">
        <f>AVERAGEIFS(Table1[value],Table1[IndicatorCode],Table1[[#This Row],[IndicatorCode]])</f>
        <v>7.6894248608534319</v>
      </c>
      <c r="I2979" cm="1">
        <f t="array" ref="I2979">_xlfn.STDEV.P(IF(Table1[IndicatorCode]=Table1[[#This Row],[IndicatorCode]],Table1[value]))</f>
        <v>5.2319501044600996</v>
      </c>
      <c r="J2979">
        <f>(Table1[[#This Row],[value]] - Table1[[#This Row],[mean]]) / Table1[[#This Row],[std_dev]]</f>
        <v>-1.0874386695705196</v>
      </c>
      <c r="K2979">
        <f>AVERAGEIF(Table1[CountryCode],Table1[[#This Row],[CountryCode]],Table1[z-score])</f>
        <v>0.50130467154040237</v>
      </c>
      <c r="L2979" t="e">
        <f>VLOOKUP(Table1[[#This Row],[CountryCode]],[1]!Table1[#Data],4,FALSE)</f>
        <v>#REF!</v>
      </c>
    </row>
    <row r="2980" spans="1:12" hidden="1" x14ac:dyDescent="0.3">
      <c r="A2980" t="s">
        <v>53</v>
      </c>
      <c r="B2980" t="s">
        <v>54</v>
      </c>
      <c r="C2980" t="s">
        <v>125</v>
      </c>
      <c r="D2980" t="s">
        <v>126</v>
      </c>
      <c r="E2980">
        <v>1976</v>
      </c>
      <c r="F2980" s="1">
        <v>2</v>
      </c>
      <c r="G2980">
        <v>1970</v>
      </c>
      <c r="H2980">
        <f>AVERAGEIFS(Table1[value],Table1[IndicatorCode],Table1[[#This Row],[IndicatorCode]])</f>
        <v>7.6894248608534319</v>
      </c>
      <c r="I2980" cm="1">
        <f t="array" ref="I2980">_xlfn.STDEV.P(IF(Table1[IndicatorCode]=Table1[[#This Row],[IndicatorCode]],Table1[value]))</f>
        <v>5.2319501044600996</v>
      </c>
      <c r="J2980">
        <f>(Table1[[#This Row],[value]] - Table1[[#This Row],[mean]]) / Table1[[#This Row],[std_dev]]</f>
        <v>-1.0874386695705196</v>
      </c>
      <c r="K2980">
        <f>AVERAGEIF(Table1[CountryCode],Table1[[#This Row],[CountryCode]],Table1[z-score])</f>
        <v>0.50130467154040237</v>
      </c>
      <c r="L2980" t="e">
        <f>VLOOKUP(Table1[[#This Row],[CountryCode]],[1]!Table1[#Data],4,FALSE)</f>
        <v>#REF!</v>
      </c>
    </row>
    <row r="2981" spans="1:12" hidden="1" x14ac:dyDescent="0.3">
      <c r="A2981" t="s">
        <v>53</v>
      </c>
      <c r="B2981" t="s">
        <v>54</v>
      </c>
      <c r="C2981" t="s">
        <v>125</v>
      </c>
      <c r="D2981" t="s">
        <v>126</v>
      </c>
      <c r="E2981">
        <v>1977</v>
      </c>
      <c r="F2981" s="1">
        <v>2</v>
      </c>
      <c r="G2981">
        <v>1980</v>
      </c>
      <c r="H2981">
        <f>AVERAGEIFS(Table1[value],Table1[IndicatorCode],Table1[[#This Row],[IndicatorCode]])</f>
        <v>7.6894248608534319</v>
      </c>
      <c r="I2981" cm="1">
        <f t="array" ref="I2981">_xlfn.STDEV.P(IF(Table1[IndicatorCode]=Table1[[#This Row],[IndicatorCode]],Table1[value]))</f>
        <v>5.2319501044600996</v>
      </c>
      <c r="J2981">
        <f>(Table1[[#This Row],[value]] - Table1[[#This Row],[mean]]) / Table1[[#This Row],[std_dev]]</f>
        <v>-1.0874386695705196</v>
      </c>
      <c r="K2981">
        <f>AVERAGEIF(Table1[CountryCode],Table1[[#This Row],[CountryCode]],Table1[z-score])</f>
        <v>0.50130467154040237</v>
      </c>
      <c r="L2981" t="e">
        <f>VLOOKUP(Table1[[#This Row],[CountryCode]],[1]!Table1[#Data],4,FALSE)</f>
        <v>#REF!</v>
      </c>
    </row>
    <row r="2982" spans="1:12" hidden="1" x14ac:dyDescent="0.3">
      <c r="A2982" t="s">
        <v>53</v>
      </c>
      <c r="B2982" t="s">
        <v>54</v>
      </c>
      <c r="C2982" t="s">
        <v>125</v>
      </c>
      <c r="D2982" t="s">
        <v>126</v>
      </c>
      <c r="E2982">
        <v>1978</v>
      </c>
      <c r="F2982" s="1">
        <v>2</v>
      </c>
      <c r="G2982">
        <v>1980</v>
      </c>
      <c r="H2982">
        <f>AVERAGEIFS(Table1[value],Table1[IndicatorCode],Table1[[#This Row],[IndicatorCode]])</f>
        <v>7.6894248608534319</v>
      </c>
      <c r="I2982" cm="1">
        <f t="array" ref="I2982">_xlfn.STDEV.P(IF(Table1[IndicatorCode]=Table1[[#This Row],[IndicatorCode]],Table1[value]))</f>
        <v>5.2319501044600996</v>
      </c>
      <c r="J2982">
        <f>(Table1[[#This Row],[value]] - Table1[[#This Row],[mean]]) / Table1[[#This Row],[std_dev]]</f>
        <v>-1.0874386695705196</v>
      </c>
      <c r="K2982">
        <f>AVERAGEIF(Table1[CountryCode],Table1[[#This Row],[CountryCode]],Table1[z-score])</f>
        <v>0.50130467154040237</v>
      </c>
      <c r="L2982" t="e">
        <f>VLOOKUP(Table1[[#This Row],[CountryCode]],[1]!Table1[#Data],4,FALSE)</f>
        <v>#REF!</v>
      </c>
    </row>
    <row r="2983" spans="1:12" hidden="1" x14ac:dyDescent="0.3">
      <c r="A2983" t="s">
        <v>53</v>
      </c>
      <c r="B2983" t="s">
        <v>54</v>
      </c>
      <c r="C2983" t="s">
        <v>125</v>
      </c>
      <c r="D2983" t="s">
        <v>126</v>
      </c>
      <c r="E2983">
        <v>1979</v>
      </c>
      <c r="F2983" s="1">
        <v>3</v>
      </c>
      <c r="G2983">
        <v>1980</v>
      </c>
      <c r="H2983">
        <f>AVERAGEIFS(Table1[value],Table1[IndicatorCode],Table1[[#This Row],[IndicatorCode]])</f>
        <v>7.6894248608534319</v>
      </c>
      <c r="I2983" cm="1">
        <f t="array" ref="I2983">_xlfn.STDEV.P(IF(Table1[IndicatorCode]=Table1[[#This Row],[IndicatorCode]],Table1[value]))</f>
        <v>5.2319501044600996</v>
      </c>
      <c r="J2983">
        <f>(Table1[[#This Row],[value]] - Table1[[#This Row],[mean]]) / Table1[[#This Row],[std_dev]]</f>
        <v>-0.89630534833576125</v>
      </c>
      <c r="K2983">
        <f>AVERAGEIF(Table1[CountryCode],Table1[[#This Row],[CountryCode]],Table1[z-score])</f>
        <v>0.50130467154040237</v>
      </c>
      <c r="L2983" t="e">
        <f>VLOOKUP(Table1[[#This Row],[CountryCode]],[1]!Table1[#Data],4,FALSE)</f>
        <v>#REF!</v>
      </c>
    </row>
    <row r="2984" spans="1:12" hidden="1" x14ac:dyDescent="0.3">
      <c r="A2984" t="s">
        <v>53</v>
      </c>
      <c r="B2984" t="s">
        <v>54</v>
      </c>
      <c r="C2984" t="s">
        <v>125</v>
      </c>
      <c r="D2984" t="s">
        <v>126</v>
      </c>
      <c r="E2984">
        <v>1980</v>
      </c>
      <c r="F2984" s="1">
        <v>3</v>
      </c>
      <c r="G2984">
        <v>1980</v>
      </c>
      <c r="H2984">
        <f>AVERAGEIFS(Table1[value],Table1[IndicatorCode],Table1[[#This Row],[IndicatorCode]])</f>
        <v>7.6894248608534319</v>
      </c>
      <c r="I2984" cm="1">
        <f t="array" ref="I2984">_xlfn.STDEV.P(IF(Table1[IndicatorCode]=Table1[[#This Row],[IndicatorCode]],Table1[value]))</f>
        <v>5.2319501044600996</v>
      </c>
      <c r="J2984">
        <f>(Table1[[#This Row],[value]] - Table1[[#This Row],[mean]]) / Table1[[#This Row],[std_dev]]</f>
        <v>-0.89630534833576125</v>
      </c>
      <c r="K2984">
        <f>AVERAGEIF(Table1[CountryCode],Table1[[#This Row],[CountryCode]],Table1[z-score])</f>
        <v>0.50130467154040237</v>
      </c>
      <c r="L2984" t="e">
        <f>VLOOKUP(Table1[[#This Row],[CountryCode]],[1]!Table1[#Data],4,FALSE)</f>
        <v>#REF!</v>
      </c>
    </row>
    <row r="2985" spans="1:12" hidden="1" x14ac:dyDescent="0.3">
      <c r="A2985" t="s">
        <v>53</v>
      </c>
      <c r="B2985" t="s">
        <v>54</v>
      </c>
      <c r="C2985" t="s">
        <v>125</v>
      </c>
      <c r="D2985" t="s">
        <v>126</v>
      </c>
      <c r="E2985">
        <v>1981</v>
      </c>
      <c r="F2985" s="1">
        <v>3</v>
      </c>
      <c r="G2985">
        <v>1980</v>
      </c>
      <c r="H2985">
        <f>AVERAGEIFS(Table1[value],Table1[IndicatorCode],Table1[[#This Row],[IndicatorCode]])</f>
        <v>7.6894248608534319</v>
      </c>
      <c r="I2985" cm="1">
        <f t="array" ref="I2985">_xlfn.STDEV.P(IF(Table1[IndicatorCode]=Table1[[#This Row],[IndicatorCode]],Table1[value]))</f>
        <v>5.2319501044600996</v>
      </c>
      <c r="J2985">
        <f>(Table1[[#This Row],[value]] - Table1[[#This Row],[mean]]) / Table1[[#This Row],[std_dev]]</f>
        <v>-0.89630534833576125</v>
      </c>
      <c r="K2985">
        <f>AVERAGEIF(Table1[CountryCode],Table1[[#This Row],[CountryCode]],Table1[z-score])</f>
        <v>0.50130467154040237</v>
      </c>
      <c r="L2985" t="e">
        <f>VLOOKUP(Table1[[#This Row],[CountryCode]],[1]!Table1[#Data],4,FALSE)</f>
        <v>#REF!</v>
      </c>
    </row>
    <row r="2986" spans="1:12" hidden="1" x14ac:dyDescent="0.3">
      <c r="A2986" t="s">
        <v>53</v>
      </c>
      <c r="B2986" t="s">
        <v>54</v>
      </c>
      <c r="C2986" t="s">
        <v>125</v>
      </c>
      <c r="D2986" t="s">
        <v>126</v>
      </c>
      <c r="E2986">
        <v>1982</v>
      </c>
      <c r="F2986" s="1">
        <v>3</v>
      </c>
      <c r="G2986">
        <v>1980</v>
      </c>
      <c r="H2986">
        <f>AVERAGEIFS(Table1[value],Table1[IndicatorCode],Table1[[#This Row],[IndicatorCode]])</f>
        <v>7.6894248608534319</v>
      </c>
      <c r="I2986" cm="1">
        <f t="array" ref="I2986">_xlfn.STDEV.P(IF(Table1[IndicatorCode]=Table1[[#This Row],[IndicatorCode]],Table1[value]))</f>
        <v>5.2319501044600996</v>
      </c>
      <c r="J2986">
        <f>(Table1[[#This Row],[value]] - Table1[[#This Row],[mean]]) / Table1[[#This Row],[std_dev]]</f>
        <v>-0.89630534833576125</v>
      </c>
      <c r="K2986">
        <f>AVERAGEIF(Table1[CountryCode],Table1[[#This Row],[CountryCode]],Table1[z-score])</f>
        <v>0.50130467154040237</v>
      </c>
      <c r="L2986" t="e">
        <f>VLOOKUP(Table1[[#This Row],[CountryCode]],[1]!Table1[#Data],4,FALSE)</f>
        <v>#REF!</v>
      </c>
    </row>
    <row r="2987" spans="1:12" hidden="1" x14ac:dyDescent="0.3">
      <c r="A2987" t="s">
        <v>53</v>
      </c>
      <c r="B2987" t="s">
        <v>54</v>
      </c>
      <c r="C2987" t="s">
        <v>125</v>
      </c>
      <c r="D2987" t="s">
        <v>126</v>
      </c>
      <c r="E2987">
        <v>1983</v>
      </c>
      <c r="F2987" s="1">
        <v>3</v>
      </c>
      <c r="G2987">
        <v>1980</v>
      </c>
      <c r="H2987">
        <f>AVERAGEIFS(Table1[value],Table1[IndicatorCode],Table1[[#This Row],[IndicatorCode]])</f>
        <v>7.6894248608534319</v>
      </c>
      <c r="I2987" cm="1">
        <f t="array" ref="I2987">_xlfn.STDEV.P(IF(Table1[IndicatorCode]=Table1[[#This Row],[IndicatorCode]],Table1[value]))</f>
        <v>5.2319501044600996</v>
      </c>
      <c r="J2987">
        <f>(Table1[[#This Row],[value]] - Table1[[#This Row],[mean]]) / Table1[[#This Row],[std_dev]]</f>
        <v>-0.89630534833576125</v>
      </c>
      <c r="K2987">
        <f>AVERAGEIF(Table1[CountryCode],Table1[[#This Row],[CountryCode]],Table1[z-score])</f>
        <v>0.50130467154040237</v>
      </c>
      <c r="L2987" t="e">
        <f>VLOOKUP(Table1[[#This Row],[CountryCode]],[1]!Table1[#Data],4,FALSE)</f>
        <v>#REF!</v>
      </c>
    </row>
    <row r="2988" spans="1:12" hidden="1" x14ac:dyDescent="0.3">
      <c r="A2988" t="s">
        <v>53</v>
      </c>
      <c r="B2988" t="s">
        <v>54</v>
      </c>
      <c r="C2988" t="s">
        <v>125</v>
      </c>
      <c r="D2988" t="s">
        <v>126</v>
      </c>
      <c r="E2988">
        <v>1984</v>
      </c>
      <c r="F2988" s="1">
        <v>3</v>
      </c>
      <c r="G2988">
        <v>1980</v>
      </c>
      <c r="H2988">
        <f>AVERAGEIFS(Table1[value],Table1[IndicatorCode],Table1[[#This Row],[IndicatorCode]])</f>
        <v>7.6894248608534319</v>
      </c>
      <c r="I2988" cm="1">
        <f t="array" ref="I2988">_xlfn.STDEV.P(IF(Table1[IndicatorCode]=Table1[[#This Row],[IndicatorCode]],Table1[value]))</f>
        <v>5.2319501044600996</v>
      </c>
      <c r="J2988">
        <f>(Table1[[#This Row],[value]] - Table1[[#This Row],[mean]]) / Table1[[#This Row],[std_dev]]</f>
        <v>-0.89630534833576125</v>
      </c>
      <c r="K2988">
        <f>AVERAGEIF(Table1[CountryCode],Table1[[#This Row],[CountryCode]],Table1[z-score])</f>
        <v>0.50130467154040237</v>
      </c>
      <c r="L2988" t="e">
        <f>VLOOKUP(Table1[[#This Row],[CountryCode]],[1]!Table1[#Data],4,FALSE)</f>
        <v>#REF!</v>
      </c>
    </row>
    <row r="2989" spans="1:12" hidden="1" x14ac:dyDescent="0.3">
      <c r="A2989" t="s">
        <v>53</v>
      </c>
      <c r="B2989" t="s">
        <v>54</v>
      </c>
      <c r="C2989" t="s">
        <v>125</v>
      </c>
      <c r="D2989" t="s">
        <v>126</v>
      </c>
      <c r="E2989">
        <v>1985</v>
      </c>
      <c r="F2989" s="1">
        <v>3</v>
      </c>
      <c r="G2989">
        <v>1980</v>
      </c>
      <c r="H2989">
        <f>AVERAGEIFS(Table1[value],Table1[IndicatorCode],Table1[[#This Row],[IndicatorCode]])</f>
        <v>7.6894248608534319</v>
      </c>
      <c r="I2989" cm="1">
        <f t="array" ref="I2989">_xlfn.STDEV.P(IF(Table1[IndicatorCode]=Table1[[#This Row],[IndicatorCode]],Table1[value]))</f>
        <v>5.2319501044600996</v>
      </c>
      <c r="J2989">
        <f>(Table1[[#This Row],[value]] - Table1[[#This Row],[mean]]) / Table1[[#This Row],[std_dev]]</f>
        <v>-0.89630534833576125</v>
      </c>
      <c r="K2989">
        <f>AVERAGEIF(Table1[CountryCode],Table1[[#This Row],[CountryCode]],Table1[z-score])</f>
        <v>0.50130467154040237</v>
      </c>
      <c r="L2989" t="e">
        <f>VLOOKUP(Table1[[#This Row],[CountryCode]],[1]!Table1[#Data],4,FALSE)</f>
        <v>#REF!</v>
      </c>
    </row>
    <row r="2990" spans="1:12" hidden="1" x14ac:dyDescent="0.3">
      <c r="A2990" t="s">
        <v>53</v>
      </c>
      <c r="B2990" t="s">
        <v>54</v>
      </c>
      <c r="C2990" t="s">
        <v>125</v>
      </c>
      <c r="D2990" t="s">
        <v>126</v>
      </c>
      <c r="E2990">
        <v>1986</v>
      </c>
      <c r="F2990" s="1">
        <v>4</v>
      </c>
      <c r="G2990">
        <v>1980</v>
      </c>
      <c r="H2990">
        <f>AVERAGEIFS(Table1[value],Table1[IndicatorCode],Table1[[#This Row],[IndicatorCode]])</f>
        <v>7.6894248608534319</v>
      </c>
      <c r="I2990" cm="1">
        <f t="array" ref="I2990">_xlfn.STDEV.P(IF(Table1[IndicatorCode]=Table1[[#This Row],[IndicatorCode]],Table1[value]))</f>
        <v>5.2319501044600996</v>
      </c>
      <c r="J2990">
        <f>(Table1[[#This Row],[value]] - Table1[[#This Row],[mean]]) / Table1[[#This Row],[std_dev]]</f>
        <v>-0.7051720271010028</v>
      </c>
      <c r="K2990">
        <f>AVERAGEIF(Table1[CountryCode],Table1[[#This Row],[CountryCode]],Table1[z-score])</f>
        <v>0.50130467154040237</v>
      </c>
      <c r="L2990" t="e">
        <f>VLOOKUP(Table1[[#This Row],[CountryCode]],[1]!Table1[#Data],4,FALSE)</f>
        <v>#REF!</v>
      </c>
    </row>
    <row r="2991" spans="1:12" hidden="1" x14ac:dyDescent="0.3">
      <c r="A2991" t="s">
        <v>53</v>
      </c>
      <c r="B2991" t="s">
        <v>54</v>
      </c>
      <c r="C2991" t="s">
        <v>125</v>
      </c>
      <c r="D2991" t="s">
        <v>126</v>
      </c>
      <c r="E2991">
        <v>1987</v>
      </c>
      <c r="F2991" s="1">
        <v>5</v>
      </c>
      <c r="G2991">
        <v>1990</v>
      </c>
      <c r="H2991">
        <f>AVERAGEIFS(Table1[value],Table1[IndicatorCode],Table1[[#This Row],[IndicatorCode]])</f>
        <v>7.6894248608534319</v>
      </c>
      <c r="I2991" cm="1">
        <f t="array" ref="I2991">_xlfn.STDEV.P(IF(Table1[IndicatorCode]=Table1[[#This Row],[IndicatorCode]],Table1[value]))</f>
        <v>5.2319501044600996</v>
      </c>
      <c r="J2991">
        <f>(Table1[[#This Row],[value]] - Table1[[#This Row],[mean]]) / Table1[[#This Row],[std_dev]]</f>
        <v>-0.51403870586624445</v>
      </c>
      <c r="K2991">
        <f>AVERAGEIF(Table1[CountryCode],Table1[[#This Row],[CountryCode]],Table1[z-score])</f>
        <v>0.50130467154040237</v>
      </c>
      <c r="L2991" t="e">
        <f>VLOOKUP(Table1[[#This Row],[CountryCode]],[1]!Table1[#Data],4,FALSE)</f>
        <v>#REF!</v>
      </c>
    </row>
    <row r="2992" spans="1:12" hidden="1" x14ac:dyDescent="0.3">
      <c r="A2992" t="s">
        <v>53</v>
      </c>
      <c r="B2992" t="s">
        <v>54</v>
      </c>
      <c r="C2992" t="s">
        <v>125</v>
      </c>
      <c r="D2992" t="s">
        <v>126</v>
      </c>
      <c r="E2992">
        <v>1988</v>
      </c>
      <c r="F2992" s="1">
        <v>5</v>
      </c>
      <c r="G2992">
        <v>1990</v>
      </c>
      <c r="H2992">
        <f>AVERAGEIFS(Table1[value],Table1[IndicatorCode],Table1[[#This Row],[IndicatorCode]])</f>
        <v>7.6894248608534319</v>
      </c>
      <c r="I2992" cm="1">
        <f t="array" ref="I2992">_xlfn.STDEV.P(IF(Table1[IndicatorCode]=Table1[[#This Row],[IndicatorCode]],Table1[value]))</f>
        <v>5.2319501044600996</v>
      </c>
      <c r="J2992">
        <f>(Table1[[#This Row],[value]] - Table1[[#This Row],[mean]]) / Table1[[#This Row],[std_dev]]</f>
        <v>-0.51403870586624445</v>
      </c>
      <c r="K2992">
        <f>AVERAGEIF(Table1[CountryCode],Table1[[#This Row],[CountryCode]],Table1[z-score])</f>
        <v>0.50130467154040237</v>
      </c>
      <c r="L2992" t="e">
        <f>VLOOKUP(Table1[[#This Row],[CountryCode]],[1]!Table1[#Data],4,FALSE)</f>
        <v>#REF!</v>
      </c>
    </row>
    <row r="2993" spans="1:12" hidden="1" x14ac:dyDescent="0.3">
      <c r="A2993" t="s">
        <v>53</v>
      </c>
      <c r="B2993" t="s">
        <v>54</v>
      </c>
      <c r="C2993" t="s">
        <v>125</v>
      </c>
      <c r="D2993" t="s">
        <v>126</v>
      </c>
      <c r="E2993">
        <v>1989</v>
      </c>
      <c r="F2993" s="1">
        <v>5</v>
      </c>
      <c r="G2993">
        <v>1990</v>
      </c>
      <c r="H2993">
        <f>AVERAGEIFS(Table1[value],Table1[IndicatorCode],Table1[[#This Row],[IndicatorCode]])</f>
        <v>7.6894248608534319</v>
      </c>
      <c r="I2993" cm="1">
        <f t="array" ref="I2993">_xlfn.STDEV.P(IF(Table1[IndicatorCode]=Table1[[#This Row],[IndicatorCode]],Table1[value]))</f>
        <v>5.2319501044600996</v>
      </c>
      <c r="J2993">
        <f>(Table1[[#This Row],[value]] - Table1[[#This Row],[mean]]) / Table1[[#This Row],[std_dev]]</f>
        <v>-0.51403870586624445</v>
      </c>
      <c r="K2993">
        <f>AVERAGEIF(Table1[CountryCode],Table1[[#This Row],[CountryCode]],Table1[z-score])</f>
        <v>0.50130467154040237</v>
      </c>
      <c r="L2993" t="e">
        <f>VLOOKUP(Table1[[#This Row],[CountryCode]],[1]!Table1[#Data],4,FALSE)</f>
        <v>#REF!</v>
      </c>
    </row>
    <row r="2994" spans="1:12" hidden="1" x14ac:dyDescent="0.3">
      <c r="A2994" t="s">
        <v>53</v>
      </c>
      <c r="B2994" t="s">
        <v>54</v>
      </c>
      <c r="C2994" t="s">
        <v>125</v>
      </c>
      <c r="D2994" t="s">
        <v>126</v>
      </c>
      <c r="E2994">
        <v>1990</v>
      </c>
      <c r="F2994" s="1">
        <v>5</v>
      </c>
      <c r="G2994">
        <v>1990</v>
      </c>
      <c r="H2994">
        <f>AVERAGEIFS(Table1[value],Table1[IndicatorCode],Table1[[#This Row],[IndicatorCode]])</f>
        <v>7.6894248608534319</v>
      </c>
      <c r="I2994" cm="1">
        <f t="array" ref="I2994">_xlfn.STDEV.P(IF(Table1[IndicatorCode]=Table1[[#This Row],[IndicatorCode]],Table1[value]))</f>
        <v>5.2319501044600996</v>
      </c>
      <c r="J2994">
        <f>(Table1[[#This Row],[value]] - Table1[[#This Row],[mean]]) / Table1[[#This Row],[std_dev]]</f>
        <v>-0.51403870586624445</v>
      </c>
      <c r="K2994">
        <f>AVERAGEIF(Table1[CountryCode],Table1[[#This Row],[CountryCode]],Table1[z-score])</f>
        <v>0.50130467154040237</v>
      </c>
      <c r="L2994" t="e">
        <f>VLOOKUP(Table1[[#This Row],[CountryCode]],[1]!Table1[#Data],4,FALSE)</f>
        <v>#REF!</v>
      </c>
    </row>
    <row r="2995" spans="1:12" hidden="1" x14ac:dyDescent="0.3">
      <c r="A2995" t="s">
        <v>53</v>
      </c>
      <c r="B2995" t="s">
        <v>54</v>
      </c>
      <c r="C2995" t="s">
        <v>125</v>
      </c>
      <c r="D2995" t="s">
        <v>126</v>
      </c>
      <c r="E2995">
        <v>1991</v>
      </c>
      <c r="F2995" s="1">
        <v>8</v>
      </c>
      <c r="G2995">
        <v>1990</v>
      </c>
      <c r="H2995">
        <f>AVERAGEIFS(Table1[value],Table1[IndicatorCode],Table1[[#This Row],[IndicatorCode]])</f>
        <v>7.6894248608534319</v>
      </c>
      <c r="I2995" cm="1">
        <f t="array" ref="I2995">_xlfn.STDEV.P(IF(Table1[IndicatorCode]=Table1[[#This Row],[IndicatorCode]],Table1[value]))</f>
        <v>5.2319501044600996</v>
      </c>
      <c r="J2995">
        <f>(Table1[[#This Row],[value]] - Table1[[#This Row],[mean]]) / Table1[[#This Row],[std_dev]]</f>
        <v>5.9361257838030791E-2</v>
      </c>
      <c r="K2995">
        <f>AVERAGEIF(Table1[CountryCode],Table1[[#This Row],[CountryCode]],Table1[z-score])</f>
        <v>0.50130467154040237</v>
      </c>
      <c r="L2995" t="e">
        <f>VLOOKUP(Table1[[#This Row],[CountryCode]],[1]!Table1[#Data],4,FALSE)</f>
        <v>#REF!</v>
      </c>
    </row>
    <row r="2996" spans="1:12" hidden="1" x14ac:dyDescent="0.3">
      <c r="A2996" t="s">
        <v>53</v>
      </c>
      <c r="B2996" t="s">
        <v>54</v>
      </c>
      <c r="C2996" t="s">
        <v>125</v>
      </c>
      <c r="D2996" t="s">
        <v>126</v>
      </c>
      <c r="E2996">
        <v>1992</v>
      </c>
      <c r="F2996" s="1">
        <v>9</v>
      </c>
      <c r="G2996">
        <v>1990</v>
      </c>
      <c r="H2996">
        <f>AVERAGEIFS(Table1[value],Table1[IndicatorCode],Table1[[#This Row],[IndicatorCode]])</f>
        <v>7.6894248608534319</v>
      </c>
      <c r="I2996" cm="1">
        <f t="array" ref="I2996">_xlfn.STDEV.P(IF(Table1[IndicatorCode]=Table1[[#This Row],[IndicatorCode]],Table1[value]))</f>
        <v>5.2319501044600996</v>
      </c>
      <c r="J2996">
        <f>(Table1[[#This Row],[value]] - Table1[[#This Row],[mean]]) / Table1[[#This Row],[std_dev]]</f>
        <v>0.25049457907278921</v>
      </c>
      <c r="K2996">
        <f>AVERAGEIF(Table1[CountryCode],Table1[[#This Row],[CountryCode]],Table1[z-score])</f>
        <v>0.50130467154040237</v>
      </c>
      <c r="L2996" t="e">
        <f>VLOOKUP(Table1[[#This Row],[CountryCode]],[1]!Table1[#Data],4,FALSE)</f>
        <v>#REF!</v>
      </c>
    </row>
    <row r="2997" spans="1:12" hidden="1" x14ac:dyDescent="0.3">
      <c r="A2997" t="s">
        <v>53</v>
      </c>
      <c r="B2997" t="s">
        <v>54</v>
      </c>
      <c r="C2997" t="s">
        <v>125</v>
      </c>
      <c r="D2997" t="s">
        <v>126</v>
      </c>
      <c r="E2997">
        <v>1993</v>
      </c>
      <c r="F2997" s="1">
        <v>9</v>
      </c>
      <c r="G2997">
        <v>1990</v>
      </c>
      <c r="H2997">
        <f>AVERAGEIFS(Table1[value],Table1[IndicatorCode],Table1[[#This Row],[IndicatorCode]])</f>
        <v>7.6894248608534319</v>
      </c>
      <c r="I2997" cm="1">
        <f t="array" ref="I2997">_xlfn.STDEV.P(IF(Table1[IndicatorCode]=Table1[[#This Row],[IndicatorCode]],Table1[value]))</f>
        <v>5.2319501044600996</v>
      </c>
      <c r="J2997">
        <f>(Table1[[#This Row],[value]] - Table1[[#This Row],[mean]]) / Table1[[#This Row],[std_dev]]</f>
        <v>0.25049457907278921</v>
      </c>
      <c r="K2997">
        <f>AVERAGEIF(Table1[CountryCode],Table1[[#This Row],[CountryCode]],Table1[z-score])</f>
        <v>0.50130467154040237</v>
      </c>
      <c r="L2997" t="e">
        <f>VLOOKUP(Table1[[#This Row],[CountryCode]],[1]!Table1[#Data],4,FALSE)</f>
        <v>#REF!</v>
      </c>
    </row>
    <row r="2998" spans="1:12" hidden="1" x14ac:dyDescent="0.3">
      <c r="A2998" t="s">
        <v>53</v>
      </c>
      <c r="B2998" t="s">
        <v>54</v>
      </c>
      <c r="C2998" t="s">
        <v>125</v>
      </c>
      <c r="D2998" t="s">
        <v>126</v>
      </c>
      <c r="E2998">
        <v>1994</v>
      </c>
      <c r="F2998" s="1">
        <v>11</v>
      </c>
      <c r="G2998">
        <v>1990</v>
      </c>
      <c r="H2998">
        <f>AVERAGEIFS(Table1[value],Table1[IndicatorCode],Table1[[#This Row],[IndicatorCode]])</f>
        <v>7.6894248608534319</v>
      </c>
      <c r="I2998" cm="1">
        <f t="array" ref="I2998">_xlfn.STDEV.P(IF(Table1[IndicatorCode]=Table1[[#This Row],[IndicatorCode]],Table1[value]))</f>
        <v>5.2319501044600996</v>
      </c>
      <c r="J2998">
        <f>(Table1[[#This Row],[value]] - Table1[[#This Row],[mean]]) / Table1[[#This Row],[std_dev]]</f>
        <v>0.63276122154230596</v>
      </c>
      <c r="K2998">
        <f>AVERAGEIF(Table1[CountryCode],Table1[[#This Row],[CountryCode]],Table1[z-score])</f>
        <v>0.50130467154040237</v>
      </c>
      <c r="L2998" t="e">
        <f>VLOOKUP(Table1[[#This Row],[CountryCode]],[1]!Table1[#Data],4,FALSE)</f>
        <v>#REF!</v>
      </c>
    </row>
    <row r="2999" spans="1:12" hidden="1" x14ac:dyDescent="0.3">
      <c r="A2999" t="s">
        <v>53</v>
      </c>
      <c r="B2999" t="s">
        <v>54</v>
      </c>
      <c r="C2999" t="s">
        <v>125</v>
      </c>
      <c r="D2999" t="s">
        <v>126</v>
      </c>
      <c r="E2999">
        <v>1995</v>
      </c>
      <c r="F2999" s="1">
        <v>10</v>
      </c>
      <c r="G2999">
        <v>1990</v>
      </c>
      <c r="H2999">
        <f>AVERAGEIFS(Table1[value],Table1[IndicatorCode],Table1[[#This Row],[IndicatorCode]])</f>
        <v>7.6894248608534319</v>
      </c>
      <c r="I2999" cm="1">
        <f t="array" ref="I2999">_xlfn.STDEV.P(IF(Table1[IndicatorCode]=Table1[[#This Row],[IndicatorCode]],Table1[value]))</f>
        <v>5.2319501044600996</v>
      </c>
      <c r="J2999">
        <f>(Table1[[#This Row],[value]] - Table1[[#This Row],[mean]]) / Table1[[#This Row],[std_dev]]</f>
        <v>0.44162790030754762</v>
      </c>
      <c r="K2999">
        <f>AVERAGEIF(Table1[CountryCode],Table1[[#This Row],[CountryCode]],Table1[z-score])</f>
        <v>0.50130467154040237</v>
      </c>
      <c r="L2999" t="e">
        <f>VLOOKUP(Table1[[#This Row],[CountryCode]],[1]!Table1[#Data],4,FALSE)</f>
        <v>#REF!</v>
      </c>
    </row>
    <row r="3000" spans="1:12" hidden="1" x14ac:dyDescent="0.3">
      <c r="A3000" t="s">
        <v>53</v>
      </c>
      <c r="B3000" t="s">
        <v>54</v>
      </c>
      <c r="C3000" t="s">
        <v>125</v>
      </c>
      <c r="D3000" t="s">
        <v>126</v>
      </c>
      <c r="E3000">
        <v>1996</v>
      </c>
      <c r="F3000" s="1">
        <v>10</v>
      </c>
      <c r="G3000">
        <v>1990</v>
      </c>
      <c r="H3000">
        <f>AVERAGEIFS(Table1[value],Table1[IndicatorCode],Table1[[#This Row],[IndicatorCode]])</f>
        <v>7.6894248608534319</v>
      </c>
      <c r="I3000" cm="1">
        <f t="array" ref="I3000">_xlfn.STDEV.P(IF(Table1[IndicatorCode]=Table1[[#This Row],[IndicatorCode]],Table1[value]))</f>
        <v>5.2319501044600996</v>
      </c>
      <c r="J3000">
        <f>(Table1[[#This Row],[value]] - Table1[[#This Row],[mean]]) / Table1[[#This Row],[std_dev]]</f>
        <v>0.44162790030754762</v>
      </c>
      <c r="K3000">
        <f>AVERAGEIF(Table1[CountryCode],Table1[[#This Row],[CountryCode]],Table1[z-score])</f>
        <v>0.50130467154040237</v>
      </c>
      <c r="L3000" t="e">
        <f>VLOOKUP(Table1[[#This Row],[CountryCode]],[1]!Table1[#Data],4,FALSE)</f>
        <v>#REF!</v>
      </c>
    </row>
    <row r="3001" spans="1:12" hidden="1" x14ac:dyDescent="0.3">
      <c r="A3001" t="s">
        <v>53</v>
      </c>
      <c r="B3001" t="s">
        <v>54</v>
      </c>
      <c r="C3001" t="s">
        <v>125</v>
      </c>
      <c r="D3001" t="s">
        <v>126</v>
      </c>
      <c r="E3001">
        <v>1997</v>
      </c>
      <c r="F3001" s="1">
        <v>11</v>
      </c>
      <c r="G3001">
        <v>2000</v>
      </c>
      <c r="H3001">
        <f>AVERAGEIFS(Table1[value],Table1[IndicatorCode],Table1[[#This Row],[IndicatorCode]])</f>
        <v>7.6894248608534319</v>
      </c>
      <c r="I3001" cm="1">
        <f t="array" ref="I3001">_xlfn.STDEV.P(IF(Table1[IndicatorCode]=Table1[[#This Row],[IndicatorCode]],Table1[value]))</f>
        <v>5.2319501044600996</v>
      </c>
      <c r="J3001">
        <f>(Table1[[#This Row],[value]] - Table1[[#This Row],[mean]]) / Table1[[#This Row],[std_dev]]</f>
        <v>0.63276122154230596</v>
      </c>
      <c r="K3001">
        <f>AVERAGEIF(Table1[CountryCode],Table1[[#This Row],[CountryCode]],Table1[z-score])</f>
        <v>0.50130467154040237</v>
      </c>
      <c r="L3001" t="e">
        <f>VLOOKUP(Table1[[#This Row],[CountryCode]],[1]!Table1[#Data],4,FALSE)</f>
        <v>#REF!</v>
      </c>
    </row>
    <row r="3002" spans="1:12" hidden="1" x14ac:dyDescent="0.3">
      <c r="A3002" t="s">
        <v>53</v>
      </c>
      <c r="B3002" t="s">
        <v>54</v>
      </c>
      <c r="C3002" t="s">
        <v>125</v>
      </c>
      <c r="D3002" t="s">
        <v>126</v>
      </c>
      <c r="E3002">
        <v>1998</v>
      </c>
      <c r="F3002" s="1">
        <v>11</v>
      </c>
      <c r="G3002">
        <v>2000</v>
      </c>
      <c r="H3002">
        <f>AVERAGEIFS(Table1[value],Table1[IndicatorCode],Table1[[#This Row],[IndicatorCode]])</f>
        <v>7.6894248608534319</v>
      </c>
      <c r="I3002" cm="1">
        <f t="array" ref="I3002">_xlfn.STDEV.P(IF(Table1[IndicatorCode]=Table1[[#This Row],[IndicatorCode]],Table1[value]))</f>
        <v>5.2319501044600996</v>
      </c>
      <c r="J3002">
        <f>(Table1[[#This Row],[value]] - Table1[[#This Row],[mean]]) / Table1[[#This Row],[std_dev]]</f>
        <v>0.63276122154230596</v>
      </c>
      <c r="K3002">
        <f>AVERAGEIF(Table1[CountryCode],Table1[[#This Row],[CountryCode]],Table1[z-score])</f>
        <v>0.50130467154040237</v>
      </c>
      <c r="L3002" t="e">
        <f>VLOOKUP(Table1[[#This Row],[CountryCode]],[1]!Table1[#Data],4,FALSE)</f>
        <v>#REF!</v>
      </c>
    </row>
    <row r="3003" spans="1:12" hidden="1" x14ac:dyDescent="0.3">
      <c r="A3003" t="s">
        <v>53</v>
      </c>
      <c r="B3003" t="s">
        <v>54</v>
      </c>
      <c r="C3003" t="s">
        <v>125</v>
      </c>
      <c r="D3003" t="s">
        <v>126</v>
      </c>
      <c r="E3003">
        <v>1999</v>
      </c>
      <c r="F3003" s="1">
        <v>12</v>
      </c>
      <c r="G3003">
        <v>2000</v>
      </c>
      <c r="H3003">
        <f>AVERAGEIFS(Table1[value],Table1[IndicatorCode],Table1[[#This Row],[IndicatorCode]])</f>
        <v>7.6894248608534319</v>
      </c>
      <c r="I3003" cm="1">
        <f t="array" ref="I3003">_xlfn.STDEV.P(IF(Table1[IndicatorCode]=Table1[[#This Row],[IndicatorCode]],Table1[value]))</f>
        <v>5.2319501044600996</v>
      </c>
      <c r="J3003">
        <f>(Table1[[#This Row],[value]] - Table1[[#This Row],[mean]]) / Table1[[#This Row],[std_dev]]</f>
        <v>0.82389454277706442</v>
      </c>
      <c r="K3003">
        <f>AVERAGEIF(Table1[CountryCode],Table1[[#This Row],[CountryCode]],Table1[z-score])</f>
        <v>0.50130467154040237</v>
      </c>
      <c r="L3003" t="e">
        <f>VLOOKUP(Table1[[#This Row],[CountryCode]],[1]!Table1[#Data],4,FALSE)</f>
        <v>#REF!</v>
      </c>
    </row>
    <row r="3004" spans="1:12" hidden="1" x14ac:dyDescent="0.3">
      <c r="A3004" t="s">
        <v>53</v>
      </c>
      <c r="B3004" t="s">
        <v>54</v>
      </c>
      <c r="C3004" t="s">
        <v>125</v>
      </c>
      <c r="D3004" t="s">
        <v>126</v>
      </c>
      <c r="E3004">
        <v>2000</v>
      </c>
      <c r="F3004" s="1">
        <v>12</v>
      </c>
      <c r="G3004">
        <v>2000</v>
      </c>
      <c r="H3004">
        <f>AVERAGEIFS(Table1[value],Table1[IndicatorCode],Table1[[#This Row],[IndicatorCode]])</f>
        <v>7.6894248608534319</v>
      </c>
      <c r="I3004" cm="1">
        <f t="array" ref="I3004">_xlfn.STDEV.P(IF(Table1[IndicatorCode]=Table1[[#This Row],[IndicatorCode]],Table1[value]))</f>
        <v>5.2319501044600996</v>
      </c>
      <c r="J3004">
        <f>(Table1[[#This Row],[value]] - Table1[[#This Row],[mean]]) / Table1[[#This Row],[std_dev]]</f>
        <v>0.82389454277706442</v>
      </c>
      <c r="K3004">
        <f>AVERAGEIF(Table1[CountryCode],Table1[[#This Row],[CountryCode]],Table1[z-score])</f>
        <v>0.50130467154040237</v>
      </c>
      <c r="L3004" t="e">
        <f>VLOOKUP(Table1[[#This Row],[CountryCode]],[1]!Table1[#Data],4,FALSE)</f>
        <v>#REF!</v>
      </c>
    </row>
    <row r="3005" spans="1:12" hidden="1" x14ac:dyDescent="0.3">
      <c r="A3005" t="s">
        <v>53</v>
      </c>
      <c r="B3005" t="s">
        <v>54</v>
      </c>
      <c r="C3005" t="s">
        <v>125</v>
      </c>
      <c r="D3005" t="s">
        <v>126</v>
      </c>
      <c r="E3005">
        <v>2001</v>
      </c>
      <c r="F3005" s="1">
        <v>13</v>
      </c>
      <c r="G3005">
        <v>2000</v>
      </c>
      <c r="H3005">
        <f>AVERAGEIFS(Table1[value],Table1[IndicatorCode],Table1[[#This Row],[IndicatorCode]])</f>
        <v>7.6894248608534319</v>
      </c>
      <c r="I3005" cm="1">
        <f t="array" ref="I3005">_xlfn.STDEV.P(IF(Table1[IndicatorCode]=Table1[[#This Row],[IndicatorCode]],Table1[value]))</f>
        <v>5.2319501044600996</v>
      </c>
      <c r="J3005">
        <f>(Table1[[#This Row],[value]] - Table1[[#This Row],[mean]]) / Table1[[#This Row],[std_dev]]</f>
        <v>1.0150278640118229</v>
      </c>
      <c r="K3005">
        <f>AVERAGEIF(Table1[CountryCode],Table1[[#This Row],[CountryCode]],Table1[z-score])</f>
        <v>0.50130467154040237</v>
      </c>
      <c r="L3005" t="e">
        <f>VLOOKUP(Table1[[#This Row],[CountryCode]],[1]!Table1[#Data],4,FALSE)</f>
        <v>#REF!</v>
      </c>
    </row>
    <row r="3006" spans="1:12" hidden="1" x14ac:dyDescent="0.3">
      <c r="A3006" t="s">
        <v>53</v>
      </c>
      <c r="B3006" t="s">
        <v>54</v>
      </c>
      <c r="C3006" t="s">
        <v>125</v>
      </c>
      <c r="D3006" t="s">
        <v>126</v>
      </c>
      <c r="E3006">
        <v>2002</v>
      </c>
      <c r="F3006" s="1">
        <v>13</v>
      </c>
      <c r="G3006">
        <v>2000</v>
      </c>
      <c r="H3006">
        <f>AVERAGEIFS(Table1[value],Table1[IndicatorCode],Table1[[#This Row],[IndicatorCode]])</f>
        <v>7.6894248608534319</v>
      </c>
      <c r="I3006" cm="1">
        <f t="array" ref="I3006">_xlfn.STDEV.P(IF(Table1[IndicatorCode]=Table1[[#This Row],[IndicatorCode]],Table1[value]))</f>
        <v>5.2319501044600996</v>
      </c>
      <c r="J3006">
        <f>(Table1[[#This Row],[value]] - Table1[[#This Row],[mean]]) / Table1[[#This Row],[std_dev]]</f>
        <v>1.0150278640118229</v>
      </c>
      <c r="K3006">
        <f>AVERAGEIF(Table1[CountryCode],Table1[[#This Row],[CountryCode]],Table1[z-score])</f>
        <v>0.50130467154040237</v>
      </c>
      <c r="L3006" t="e">
        <f>VLOOKUP(Table1[[#This Row],[CountryCode]],[1]!Table1[#Data],4,FALSE)</f>
        <v>#REF!</v>
      </c>
    </row>
    <row r="3007" spans="1:12" hidden="1" x14ac:dyDescent="0.3">
      <c r="A3007" t="s">
        <v>53</v>
      </c>
      <c r="B3007" t="s">
        <v>54</v>
      </c>
      <c r="C3007" t="s">
        <v>125</v>
      </c>
      <c r="D3007" t="s">
        <v>126</v>
      </c>
      <c r="E3007">
        <v>2003</v>
      </c>
      <c r="F3007" s="1">
        <v>13</v>
      </c>
      <c r="G3007">
        <v>2000</v>
      </c>
      <c r="H3007">
        <f>AVERAGEIFS(Table1[value],Table1[IndicatorCode],Table1[[#This Row],[IndicatorCode]])</f>
        <v>7.6894248608534319</v>
      </c>
      <c r="I3007" cm="1">
        <f t="array" ref="I3007">_xlfn.STDEV.P(IF(Table1[IndicatorCode]=Table1[[#This Row],[IndicatorCode]],Table1[value]))</f>
        <v>5.2319501044600996</v>
      </c>
      <c r="J3007">
        <f>(Table1[[#This Row],[value]] - Table1[[#This Row],[mean]]) / Table1[[#This Row],[std_dev]]</f>
        <v>1.0150278640118229</v>
      </c>
      <c r="K3007">
        <f>AVERAGEIF(Table1[CountryCode],Table1[[#This Row],[CountryCode]],Table1[z-score])</f>
        <v>0.50130467154040237</v>
      </c>
      <c r="L3007" t="e">
        <f>VLOOKUP(Table1[[#This Row],[CountryCode]],[1]!Table1[#Data],4,FALSE)</f>
        <v>#REF!</v>
      </c>
    </row>
    <row r="3008" spans="1:12" hidden="1" x14ac:dyDescent="0.3">
      <c r="A3008" t="s">
        <v>53</v>
      </c>
      <c r="B3008" t="s">
        <v>54</v>
      </c>
      <c r="C3008" t="s">
        <v>125</v>
      </c>
      <c r="D3008" t="s">
        <v>126</v>
      </c>
      <c r="E3008">
        <v>2004</v>
      </c>
      <c r="F3008" s="1">
        <v>14</v>
      </c>
      <c r="G3008">
        <v>2000</v>
      </c>
      <c r="H3008">
        <f>AVERAGEIFS(Table1[value],Table1[IndicatorCode],Table1[[#This Row],[IndicatorCode]])</f>
        <v>7.6894248608534319</v>
      </c>
      <c r="I3008" cm="1">
        <f t="array" ref="I3008">_xlfn.STDEV.P(IF(Table1[IndicatorCode]=Table1[[#This Row],[IndicatorCode]],Table1[value]))</f>
        <v>5.2319501044600996</v>
      </c>
      <c r="J3008">
        <f>(Table1[[#This Row],[value]] - Table1[[#This Row],[mean]]) / Table1[[#This Row],[std_dev]]</f>
        <v>1.2061611852465812</v>
      </c>
      <c r="K3008">
        <f>AVERAGEIF(Table1[CountryCode],Table1[[#This Row],[CountryCode]],Table1[z-score])</f>
        <v>0.50130467154040237</v>
      </c>
      <c r="L3008" t="e">
        <f>VLOOKUP(Table1[[#This Row],[CountryCode]],[1]!Table1[#Data],4,FALSE)</f>
        <v>#REF!</v>
      </c>
    </row>
    <row r="3009" spans="1:12" hidden="1" x14ac:dyDescent="0.3">
      <c r="A3009" t="s">
        <v>53</v>
      </c>
      <c r="B3009" t="s">
        <v>54</v>
      </c>
      <c r="C3009" t="s">
        <v>125</v>
      </c>
      <c r="D3009" t="s">
        <v>126</v>
      </c>
      <c r="E3009">
        <v>2005</v>
      </c>
      <c r="F3009" s="1">
        <v>14</v>
      </c>
      <c r="G3009">
        <v>2000</v>
      </c>
      <c r="H3009">
        <f>AVERAGEIFS(Table1[value],Table1[IndicatorCode],Table1[[#This Row],[IndicatorCode]])</f>
        <v>7.6894248608534319</v>
      </c>
      <c r="I3009" cm="1">
        <f t="array" ref="I3009">_xlfn.STDEV.P(IF(Table1[IndicatorCode]=Table1[[#This Row],[IndicatorCode]],Table1[value]))</f>
        <v>5.2319501044600996</v>
      </c>
      <c r="J3009">
        <f>(Table1[[#This Row],[value]] - Table1[[#This Row],[mean]]) / Table1[[#This Row],[std_dev]]</f>
        <v>1.2061611852465812</v>
      </c>
      <c r="K3009">
        <f>AVERAGEIF(Table1[CountryCode],Table1[[#This Row],[CountryCode]],Table1[z-score])</f>
        <v>0.50130467154040237</v>
      </c>
      <c r="L3009" t="e">
        <f>VLOOKUP(Table1[[#This Row],[CountryCode]],[1]!Table1[#Data],4,FALSE)</f>
        <v>#REF!</v>
      </c>
    </row>
    <row r="3010" spans="1:12" hidden="1" x14ac:dyDescent="0.3">
      <c r="A3010" t="s">
        <v>53</v>
      </c>
      <c r="B3010" t="s">
        <v>54</v>
      </c>
      <c r="C3010" t="s">
        <v>125</v>
      </c>
      <c r="D3010" t="s">
        <v>126</v>
      </c>
      <c r="E3010">
        <v>2006</v>
      </c>
      <c r="F3010" s="1">
        <v>14</v>
      </c>
      <c r="G3010">
        <v>2000</v>
      </c>
      <c r="H3010">
        <f>AVERAGEIFS(Table1[value],Table1[IndicatorCode],Table1[[#This Row],[IndicatorCode]])</f>
        <v>7.6894248608534319</v>
      </c>
      <c r="I3010" cm="1">
        <f t="array" ref="I3010">_xlfn.STDEV.P(IF(Table1[IndicatorCode]=Table1[[#This Row],[IndicatorCode]],Table1[value]))</f>
        <v>5.2319501044600996</v>
      </c>
      <c r="J3010">
        <f>(Table1[[#This Row],[value]] - Table1[[#This Row],[mean]]) / Table1[[#This Row],[std_dev]]</f>
        <v>1.2061611852465812</v>
      </c>
      <c r="K3010">
        <f>AVERAGEIF(Table1[CountryCode],Table1[[#This Row],[CountryCode]],Table1[z-score])</f>
        <v>0.50130467154040237</v>
      </c>
      <c r="L3010" t="e">
        <f>VLOOKUP(Table1[[#This Row],[CountryCode]],[1]!Table1[#Data],4,FALSE)</f>
        <v>#REF!</v>
      </c>
    </row>
    <row r="3011" spans="1:12" hidden="1" x14ac:dyDescent="0.3">
      <c r="A3011" t="s">
        <v>53</v>
      </c>
      <c r="B3011" t="s">
        <v>54</v>
      </c>
      <c r="C3011" t="s">
        <v>125</v>
      </c>
      <c r="D3011" t="s">
        <v>126</v>
      </c>
      <c r="E3011">
        <v>2007</v>
      </c>
      <c r="F3011" s="1">
        <v>14</v>
      </c>
      <c r="G3011">
        <v>2010</v>
      </c>
      <c r="H3011">
        <f>AVERAGEIFS(Table1[value],Table1[IndicatorCode],Table1[[#This Row],[IndicatorCode]])</f>
        <v>7.6894248608534319</v>
      </c>
      <c r="I3011" cm="1">
        <f t="array" ref="I3011">_xlfn.STDEV.P(IF(Table1[IndicatorCode]=Table1[[#This Row],[IndicatorCode]],Table1[value]))</f>
        <v>5.2319501044600996</v>
      </c>
      <c r="J3011">
        <f>(Table1[[#This Row],[value]] - Table1[[#This Row],[mean]]) / Table1[[#This Row],[std_dev]]</f>
        <v>1.2061611852465812</v>
      </c>
      <c r="K3011">
        <f>AVERAGEIF(Table1[CountryCode],Table1[[#This Row],[CountryCode]],Table1[z-score])</f>
        <v>0.50130467154040237</v>
      </c>
      <c r="L3011" t="e">
        <f>VLOOKUP(Table1[[#This Row],[CountryCode]],[1]!Table1[#Data],4,FALSE)</f>
        <v>#REF!</v>
      </c>
    </row>
    <row r="3012" spans="1:12" hidden="1" x14ac:dyDescent="0.3">
      <c r="A3012" t="s">
        <v>53</v>
      </c>
      <c r="B3012" t="s">
        <v>54</v>
      </c>
      <c r="C3012" t="s">
        <v>125</v>
      </c>
      <c r="D3012" t="s">
        <v>126</v>
      </c>
      <c r="E3012">
        <v>2008</v>
      </c>
      <c r="F3012" s="1">
        <v>14</v>
      </c>
      <c r="G3012">
        <v>2010</v>
      </c>
      <c r="H3012">
        <f>AVERAGEIFS(Table1[value],Table1[IndicatorCode],Table1[[#This Row],[IndicatorCode]])</f>
        <v>7.6894248608534319</v>
      </c>
      <c r="I3012" cm="1">
        <f t="array" ref="I3012">_xlfn.STDEV.P(IF(Table1[IndicatorCode]=Table1[[#This Row],[IndicatorCode]],Table1[value]))</f>
        <v>5.2319501044600996</v>
      </c>
      <c r="J3012">
        <f>(Table1[[#This Row],[value]] - Table1[[#This Row],[mean]]) / Table1[[#This Row],[std_dev]]</f>
        <v>1.2061611852465812</v>
      </c>
      <c r="K3012">
        <f>AVERAGEIF(Table1[CountryCode],Table1[[#This Row],[CountryCode]],Table1[z-score])</f>
        <v>0.50130467154040237</v>
      </c>
      <c r="L3012" t="e">
        <f>VLOOKUP(Table1[[#This Row],[CountryCode]],[1]!Table1[#Data],4,FALSE)</f>
        <v>#REF!</v>
      </c>
    </row>
    <row r="3013" spans="1:12" hidden="1" x14ac:dyDescent="0.3">
      <c r="A3013" t="s">
        <v>53</v>
      </c>
      <c r="B3013" t="s">
        <v>54</v>
      </c>
      <c r="C3013" t="s">
        <v>125</v>
      </c>
      <c r="D3013" t="s">
        <v>126</v>
      </c>
      <c r="E3013">
        <v>2009</v>
      </c>
      <c r="F3013" s="1">
        <v>15</v>
      </c>
      <c r="G3013">
        <v>2010</v>
      </c>
      <c r="H3013">
        <f>AVERAGEIFS(Table1[value],Table1[IndicatorCode],Table1[[#This Row],[IndicatorCode]])</f>
        <v>7.6894248608534319</v>
      </c>
      <c r="I3013" cm="1">
        <f t="array" ref="I3013">_xlfn.STDEV.P(IF(Table1[IndicatorCode]=Table1[[#This Row],[IndicatorCode]],Table1[value]))</f>
        <v>5.2319501044600996</v>
      </c>
      <c r="J3013">
        <f>(Table1[[#This Row],[value]] - Table1[[#This Row],[mean]]) / Table1[[#This Row],[std_dev]]</f>
        <v>1.3972945064813396</v>
      </c>
      <c r="K3013">
        <f>AVERAGEIF(Table1[CountryCode],Table1[[#This Row],[CountryCode]],Table1[z-score])</f>
        <v>0.50130467154040237</v>
      </c>
      <c r="L3013" t="e">
        <f>VLOOKUP(Table1[[#This Row],[CountryCode]],[1]!Table1[#Data],4,FALSE)</f>
        <v>#REF!</v>
      </c>
    </row>
    <row r="3014" spans="1:12" hidden="1" x14ac:dyDescent="0.3">
      <c r="A3014" t="s">
        <v>53</v>
      </c>
      <c r="B3014" t="s">
        <v>54</v>
      </c>
      <c r="C3014" t="s">
        <v>125</v>
      </c>
      <c r="D3014" t="s">
        <v>126</v>
      </c>
      <c r="E3014">
        <v>2010</v>
      </c>
      <c r="F3014" s="1">
        <v>15</v>
      </c>
      <c r="G3014">
        <v>2010</v>
      </c>
      <c r="H3014">
        <f>AVERAGEIFS(Table1[value],Table1[IndicatorCode],Table1[[#This Row],[IndicatorCode]])</f>
        <v>7.6894248608534319</v>
      </c>
      <c r="I3014" cm="1">
        <f t="array" ref="I3014">_xlfn.STDEV.P(IF(Table1[IndicatorCode]=Table1[[#This Row],[IndicatorCode]],Table1[value]))</f>
        <v>5.2319501044600996</v>
      </c>
      <c r="J3014">
        <f>(Table1[[#This Row],[value]] - Table1[[#This Row],[mean]]) / Table1[[#This Row],[std_dev]]</f>
        <v>1.3972945064813396</v>
      </c>
      <c r="K3014">
        <f>AVERAGEIF(Table1[CountryCode],Table1[[#This Row],[CountryCode]],Table1[z-score])</f>
        <v>0.50130467154040237</v>
      </c>
      <c r="L3014" t="e">
        <f>VLOOKUP(Table1[[#This Row],[CountryCode]],[1]!Table1[#Data],4,FALSE)</f>
        <v>#REF!</v>
      </c>
    </row>
    <row r="3015" spans="1:12" hidden="1" x14ac:dyDescent="0.3">
      <c r="A3015" t="s">
        <v>53</v>
      </c>
      <c r="B3015" t="s">
        <v>54</v>
      </c>
      <c r="C3015" t="s">
        <v>125</v>
      </c>
      <c r="D3015" t="s">
        <v>126</v>
      </c>
      <c r="E3015">
        <v>2011</v>
      </c>
      <c r="F3015" s="1">
        <v>15</v>
      </c>
      <c r="G3015">
        <v>2010</v>
      </c>
      <c r="H3015">
        <f>AVERAGEIFS(Table1[value],Table1[IndicatorCode],Table1[[#This Row],[IndicatorCode]])</f>
        <v>7.6894248608534319</v>
      </c>
      <c r="I3015" cm="1">
        <f t="array" ref="I3015">_xlfn.STDEV.P(IF(Table1[IndicatorCode]=Table1[[#This Row],[IndicatorCode]],Table1[value]))</f>
        <v>5.2319501044600996</v>
      </c>
      <c r="J3015">
        <f>(Table1[[#This Row],[value]] - Table1[[#This Row],[mean]]) / Table1[[#This Row],[std_dev]]</f>
        <v>1.3972945064813396</v>
      </c>
      <c r="K3015">
        <f>AVERAGEIF(Table1[CountryCode],Table1[[#This Row],[CountryCode]],Table1[z-score])</f>
        <v>0.50130467154040237</v>
      </c>
      <c r="L3015" t="e">
        <f>VLOOKUP(Table1[[#This Row],[CountryCode]],[1]!Table1[#Data],4,FALSE)</f>
        <v>#REF!</v>
      </c>
    </row>
    <row r="3016" spans="1:12" hidden="1" x14ac:dyDescent="0.3">
      <c r="A3016" t="s">
        <v>53</v>
      </c>
      <c r="B3016" t="s">
        <v>54</v>
      </c>
      <c r="C3016" t="s">
        <v>125</v>
      </c>
      <c r="D3016" t="s">
        <v>126</v>
      </c>
      <c r="E3016">
        <v>2012</v>
      </c>
      <c r="F3016" s="1">
        <v>15</v>
      </c>
      <c r="G3016">
        <v>2010</v>
      </c>
      <c r="H3016">
        <f>AVERAGEIFS(Table1[value],Table1[IndicatorCode],Table1[[#This Row],[IndicatorCode]])</f>
        <v>7.6894248608534319</v>
      </c>
      <c r="I3016" cm="1">
        <f t="array" ref="I3016">_xlfn.STDEV.P(IF(Table1[IndicatorCode]=Table1[[#This Row],[IndicatorCode]],Table1[value]))</f>
        <v>5.2319501044600996</v>
      </c>
      <c r="J3016">
        <f>(Table1[[#This Row],[value]] - Table1[[#This Row],[mean]]) / Table1[[#This Row],[std_dev]]</f>
        <v>1.3972945064813396</v>
      </c>
      <c r="K3016">
        <f>AVERAGEIF(Table1[CountryCode],Table1[[#This Row],[CountryCode]],Table1[z-score])</f>
        <v>0.50130467154040237</v>
      </c>
      <c r="L3016" t="e">
        <f>VLOOKUP(Table1[[#This Row],[CountryCode]],[1]!Table1[#Data],4,FALSE)</f>
        <v>#REF!</v>
      </c>
    </row>
    <row r="3017" spans="1:12" hidden="1" x14ac:dyDescent="0.3">
      <c r="A3017" t="s">
        <v>53</v>
      </c>
      <c r="B3017" t="s">
        <v>54</v>
      </c>
      <c r="C3017" t="s">
        <v>125</v>
      </c>
      <c r="D3017" t="s">
        <v>126</v>
      </c>
      <c r="E3017">
        <v>2013</v>
      </c>
      <c r="F3017" s="1">
        <v>15</v>
      </c>
      <c r="G3017">
        <v>2010</v>
      </c>
      <c r="H3017">
        <f>AVERAGEIFS(Table1[value],Table1[IndicatorCode],Table1[[#This Row],[IndicatorCode]])</f>
        <v>7.6894248608534319</v>
      </c>
      <c r="I3017" cm="1">
        <f t="array" ref="I3017">_xlfn.STDEV.P(IF(Table1[IndicatorCode]=Table1[[#This Row],[IndicatorCode]],Table1[value]))</f>
        <v>5.2319501044600996</v>
      </c>
      <c r="J3017">
        <f>(Table1[[#This Row],[value]] - Table1[[#This Row],[mean]]) / Table1[[#This Row],[std_dev]]</f>
        <v>1.3972945064813396</v>
      </c>
      <c r="K3017">
        <f>AVERAGEIF(Table1[CountryCode],Table1[[#This Row],[CountryCode]],Table1[z-score])</f>
        <v>0.50130467154040237</v>
      </c>
      <c r="L3017" t="e">
        <f>VLOOKUP(Table1[[#This Row],[CountryCode]],[1]!Table1[#Data],4,FALSE)</f>
        <v>#REF!</v>
      </c>
    </row>
    <row r="3018" spans="1:12" hidden="1" x14ac:dyDescent="0.3">
      <c r="A3018" t="s">
        <v>53</v>
      </c>
      <c r="B3018" t="s">
        <v>54</v>
      </c>
      <c r="C3018" t="s">
        <v>125</v>
      </c>
      <c r="D3018" t="s">
        <v>126</v>
      </c>
      <c r="E3018">
        <v>2014</v>
      </c>
      <c r="F3018" s="1">
        <v>16</v>
      </c>
      <c r="G3018">
        <v>2010</v>
      </c>
      <c r="H3018">
        <f>AVERAGEIFS(Table1[value],Table1[IndicatorCode],Table1[[#This Row],[IndicatorCode]])</f>
        <v>7.6894248608534319</v>
      </c>
      <c r="I3018" cm="1">
        <f t="array" ref="I3018">_xlfn.STDEV.P(IF(Table1[IndicatorCode]=Table1[[#This Row],[IndicatorCode]],Table1[value]))</f>
        <v>5.2319501044600996</v>
      </c>
      <c r="J3018">
        <f>(Table1[[#This Row],[value]] - Table1[[#This Row],[mean]]) / Table1[[#This Row],[std_dev]]</f>
        <v>1.5884278277160979</v>
      </c>
      <c r="K3018">
        <f>AVERAGEIF(Table1[CountryCode],Table1[[#This Row],[CountryCode]],Table1[z-score])</f>
        <v>0.50130467154040237</v>
      </c>
      <c r="L3018" t="e">
        <f>VLOOKUP(Table1[[#This Row],[CountryCode]],[1]!Table1[#Data],4,FALSE)</f>
        <v>#REF!</v>
      </c>
    </row>
    <row r="3019" spans="1:12" hidden="1" x14ac:dyDescent="0.3">
      <c r="A3019" t="s">
        <v>53</v>
      </c>
      <c r="B3019" t="s">
        <v>54</v>
      </c>
      <c r="C3019" t="s">
        <v>125</v>
      </c>
      <c r="D3019" t="s">
        <v>126</v>
      </c>
      <c r="E3019">
        <v>2015</v>
      </c>
      <c r="F3019" s="1">
        <v>18</v>
      </c>
      <c r="G3019">
        <v>2010</v>
      </c>
      <c r="H3019">
        <f>AVERAGEIFS(Table1[value],Table1[IndicatorCode],Table1[[#This Row],[IndicatorCode]])</f>
        <v>7.6894248608534319</v>
      </c>
      <c r="I3019" cm="1">
        <f t="array" ref="I3019">_xlfn.STDEV.P(IF(Table1[IndicatorCode]=Table1[[#This Row],[IndicatorCode]],Table1[value]))</f>
        <v>5.2319501044600996</v>
      </c>
      <c r="J3019">
        <f>(Table1[[#This Row],[value]] - Table1[[#This Row],[mean]]) / Table1[[#This Row],[std_dev]]</f>
        <v>1.9706944701856148</v>
      </c>
      <c r="K3019">
        <f>AVERAGEIF(Table1[CountryCode],Table1[[#This Row],[CountryCode]],Table1[z-score])</f>
        <v>0.50130467154040237</v>
      </c>
      <c r="L3019" t="e">
        <f>VLOOKUP(Table1[[#This Row],[CountryCode]],[1]!Table1[#Data],4,FALSE)</f>
        <v>#REF!</v>
      </c>
    </row>
    <row r="3020" spans="1:12" hidden="1" x14ac:dyDescent="0.3">
      <c r="A3020" t="s">
        <v>53</v>
      </c>
      <c r="B3020" t="s">
        <v>54</v>
      </c>
      <c r="C3020" t="s">
        <v>125</v>
      </c>
      <c r="D3020" t="s">
        <v>126</v>
      </c>
      <c r="E3020">
        <v>2016</v>
      </c>
      <c r="F3020" s="1">
        <v>18</v>
      </c>
      <c r="G3020">
        <v>2010</v>
      </c>
      <c r="H3020">
        <f>AVERAGEIFS(Table1[value],Table1[IndicatorCode],Table1[[#This Row],[IndicatorCode]])</f>
        <v>7.6894248608534319</v>
      </c>
      <c r="I3020" cm="1">
        <f t="array" ref="I3020">_xlfn.STDEV.P(IF(Table1[IndicatorCode]=Table1[[#This Row],[IndicatorCode]],Table1[value]))</f>
        <v>5.2319501044600996</v>
      </c>
      <c r="J3020">
        <f>(Table1[[#This Row],[value]] - Table1[[#This Row],[mean]]) / Table1[[#This Row],[std_dev]]</f>
        <v>1.9706944701856148</v>
      </c>
      <c r="K3020">
        <f>AVERAGEIF(Table1[CountryCode],Table1[[#This Row],[CountryCode]],Table1[z-score])</f>
        <v>0.50130467154040237</v>
      </c>
      <c r="L3020" t="e">
        <f>VLOOKUP(Table1[[#This Row],[CountryCode]],[1]!Table1[#Data],4,FALSE)</f>
        <v>#REF!</v>
      </c>
    </row>
    <row r="3021" spans="1:12" hidden="1" x14ac:dyDescent="0.3">
      <c r="A3021" t="s">
        <v>53</v>
      </c>
      <c r="B3021" t="s">
        <v>54</v>
      </c>
      <c r="C3021" t="s">
        <v>125</v>
      </c>
      <c r="D3021" t="s">
        <v>126</v>
      </c>
      <c r="E3021">
        <v>2017</v>
      </c>
      <c r="F3021" s="1">
        <v>19</v>
      </c>
      <c r="G3021">
        <v>2020</v>
      </c>
      <c r="H3021">
        <f>AVERAGEIFS(Table1[value],Table1[IndicatorCode],Table1[[#This Row],[IndicatorCode]])</f>
        <v>7.6894248608534319</v>
      </c>
      <c r="I3021" cm="1">
        <f t="array" ref="I3021">_xlfn.STDEV.P(IF(Table1[IndicatorCode]=Table1[[#This Row],[IndicatorCode]],Table1[value]))</f>
        <v>5.2319501044600996</v>
      </c>
      <c r="J3021">
        <f>(Table1[[#This Row],[value]] - Table1[[#This Row],[mean]]) / Table1[[#This Row],[std_dev]]</f>
        <v>2.1618277914203734</v>
      </c>
      <c r="K3021">
        <f>AVERAGEIF(Table1[CountryCode],Table1[[#This Row],[CountryCode]],Table1[z-score])</f>
        <v>0.50130467154040237</v>
      </c>
      <c r="L3021" t="e">
        <f>VLOOKUP(Table1[[#This Row],[CountryCode]],[1]!Table1[#Data],4,FALSE)</f>
        <v>#REF!</v>
      </c>
    </row>
    <row r="3022" spans="1:12" hidden="1" x14ac:dyDescent="0.3">
      <c r="A3022" t="s">
        <v>53</v>
      </c>
      <c r="B3022" t="s">
        <v>54</v>
      </c>
      <c r="C3022" t="s">
        <v>125</v>
      </c>
      <c r="D3022" t="s">
        <v>126</v>
      </c>
      <c r="E3022">
        <v>2018</v>
      </c>
      <c r="F3022" s="1">
        <v>20</v>
      </c>
      <c r="G3022">
        <v>2020</v>
      </c>
      <c r="H3022">
        <f>AVERAGEIFS(Table1[value],Table1[IndicatorCode],Table1[[#This Row],[IndicatorCode]])</f>
        <v>7.6894248608534319</v>
      </c>
      <c r="I3022" cm="1">
        <f t="array" ref="I3022">_xlfn.STDEV.P(IF(Table1[IndicatorCode]=Table1[[#This Row],[IndicatorCode]],Table1[value]))</f>
        <v>5.2319501044600996</v>
      </c>
      <c r="J3022">
        <f>(Table1[[#This Row],[value]] - Table1[[#This Row],[mean]]) / Table1[[#This Row],[std_dev]]</f>
        <v>2.3529611126551315</v>
      </c>
      <c r="K3022">
        <f>AVERAGEIF(Table1[CountryCode],Table1[[#This Row],[CountryCode]],Table1[z-score])</f>
        <v>0.50130467154040237</v>
      </c>
      <c r="L3022" t="e">
        <f>VLOOKUP(Table1[[#This Row],[CountryCode]],[1]!Table1[#Data],4,FALSE)</f>
        <v>#REF!</v>
      </c>
    </row>
    <row r="3023" spans="1:12" hidden="1" x14ac:dyDescent="0.3">
      <c r="A3023" t="s">
        <v>53</v>
      </c>
      <c r="B3023" t="s">
        <v>54</v>
      </c>
      <c r="C3023" t="s">
        <v>125</v>
      </c>
      <c r="D3023" t="s">
        <v>126</v>
      </c>
      <c r="E3023">
        <v>2019</v>
      </c>
      <c r="F3023" s="1">
        <v>20</v>
      </c>
      <c r="G3023">
        <v>2020</v>
      </c>
      <c r="H3023">
        <f>AVERAGEIFS(Table1[value],Table1[IndicatorCode],Table1[[#This Row],[IndicatorCode]])</f>
        <v>7.6894248608534319</v>
      </c>
      <c r="I3023" cm="1">
        <f t="array" ref="I3023">_xlfn.STDEV.P(IF(Table1[IndicatorCode]=Table1[[#This Row],[IndicatorCode]],Table1[value]))</f>
        <v>5.2319501044600996</v>
      </c>
      <c r="J3023">
        <f>(Table1[[#This Row],[value]] - Table1[[#This Row],[mean]]) / Table1[[#This Row],[std_dev]]</f>
        <v>2.3529611126551315</v>
      </c>
      <c r="K3023">
        <f>AVERAGEIF(Table1[CountryCode],Table1[[#This Row],[CountryCode]],Table1[z-score])</f>
        <v>0.50130467154040237</v>
      </c>
      <c r="L3023" t="e">
        <f>VLOOKUP(Table1[[#This Row],[CountryCode]],[1]!Table1[#Data],4,FALSE)</f>
        <v>#REF!</v>
      </c>
    </row>
    <row r="3024" spans="1:12" x14ac:dyDescent="0.3">
      <c r="A3024" t="s">
        <v>53</v>
      </c>
      <c r="B3024" t="s">
        <v>54</v>
      </c>
      <c r="C3024" t="s">
        <v>125</v>
      </c>
      <c r="D3024" t="s">
        <v>126</v>
      </c>
      <c r="E3024">
        <v>2020</v>
      </c>
      <c r="F3024" s="1">
        <v>18</v>
      </c>
      <c r="G3024">
        <v>2020</v>
      </c>
      <c r="H3024">
        <f>AVERAGEIFS(Table1[value],Table1[IndicatorCode],Table1[[#This Row],[IndicatorCode]])</f>
        <v>7.6894248608534319</v>
      </c>
      <c r="I3024" cm="1">
        <f t="array" ref="I3024">_xlfn.STDEV.P(IF(Table1[IndicatorCode]=Table1[[#This Row],[IndicatorCode]],Table1[value]))</f>
        <v>5.2319501044600996</v>
      </c>
      <c r="J3024">
        <f>(Table1[[#This Row],[value]] - Table1[[#This Row],[mean]]) / Table1[[#This Row],[std_dev]]</f>
        <v>1.9706944701856148</v>
      </c>
      <c r="K3024">
        <f>AVERAGEIF(Table1[CountryCode],Table1[[#This Row],[CountryCode]],Table1[z-score])</f>
        <v>0.50130467154040237</v>
      </c>
    </row>
    <row r="3025" spans="1:12" hidden="1" x14ac:dyDescent="0.3">
      <c r="A3025" t="s">
        <v>53</v>
      </c>
      <c r="B3025" t="s">
        <v>54</v>
      </c>
      <c r="C3025" t="s">
        <v>125</v>
      </c>
      <c r="D3025" t="s">
        <v>126</v>
      </c>
      <c r="E3025">
        <v>2021</v>
      </c>
      <c r="F3025" s="1">
        <v>17</v>
      </c>
      <c r="G3025">
        <v>2020</v>
      </c>
      <c r="H3025">
        <f>AVERAGEIFS(Table1[value],Table1[IndicatorCode],Table1[[#This Row],[IndicatorCode]])</f>
        <v>7.6894248608534319</v>
      </c>
      <c r="I3025" cm="1">
        <f t="array" ref="I3025">_xlfn.STDEV.P(IF(Table1[IndicatorCode]=Table1[[#This Row],[IndicatorCode]],Table1[value]))</f>
        <v>5.2319501044600996</v>
      </c>
      <c r="J3025">
        <f>(Table1[[#This Row],[value]] - Table1[[#This Row],[mean]]) / Table1[[#This Row],[std_dev]]</f>
        <v>1.7795611489508565</v>
      </c>
      <c r="K3025">
        <f>AVERAGEIF(Table1[CountryCode],Table1[[#This Row],[CountryCode]],Table1[z-score])</f>
        <v>0.50130467154040237</v>
      </c>
      <c r="L3025" t="e">
        <f>VLOOKUP(Table1[[#This Row],[CountryCode]],[1]!Table1[#Data],4,FALSE)</f>
        <v>#REF!</v>
      </c>
    </row>
    <row r="3026" spans="1:12" hidden="1" x14ac:dyDescent="0.3">
      <c r="A3026" t="s">
        <v>53</v>
      </c>
      <c r="B3026" t="s">
        <v>54</v>
      </c>
      <c r="C3026" t="s">
        <v>125</v>
      </c>
      <c r="D3026" t="s">
        <v>126</v>
      </c>
      <c r="E3026">
        <v>2022</v>
      </c>
      <c r="F3026" s="1">
        <v>17</v>
      </c>
      <c r="G3026">
        <v>1970</v>
      </c>
      <c r="H3026">
        <f>AVERAGEIFS(Table1[value],Table1[IndicatorCode],Table1[[#This Row],[IndicatorCode]])</f>
        <v>7.6894248608534319</v>
      </c>
      <c r="I3026" cm="1">
        <f t="array" ref="I3026">_xlfn.STDEV.P(IF(Table1[IndicatorCode]=Table1[[#This Row],[IndicatorCode]],Table1[value]))</f>
        <v>5.2319501044600996</v>
      </c>
      <c r="J3026">
        <f>(Table1[[#This Row],[value]] - Table1[[#This Row],[mean]]) / Table1[[#This Row],[std_dev]]</f>
        <v>1.7795611489508565</v>
      </c>
      <c r="K3026">
        <f>AVERAGEIF(Table1[CountryCode],Table1[[#This Row],[CountryCode]],Table1[z-score])</f>
        <v>0.50130467154040237</v>
      </c>
      <c r="L3026" t="e">
        <f>VLOOKUP(Table1[[#This Row],[CountryCode]],[1]!Table1[#Data],4,FALSE)</f>
        <v>#REF!</v>
      </c>
    </row>
    <row r="3027" spans="1:12" hidden="1" x14ac:dyDescent="0.3">
      <c r="A3027" t="s">
        <v>53</v>
      </c>
      <c r="B3027" t="s">
        <v>54</v>
      </c>
      <c r="C3027" t="s">
        <v>125</v>
      </c>
      <c r="D3027" t="s">
        <v>126</v>
      </c>
      <c r="E3027">
        <v>2023</v>
      </c>
      <c r="F3027" s="1">
        <v>16</v>
      </c>
      <c r="G3027">
        <v>1970</v>
      </c>
      <c r="H3027">
        <f>AVERAGEIFS(Table1[value],Table1[IndicatorCode],Table1[[#This Row],[IndicatorCode]])</f>
        <v>7.6894248608534319</v>
      </c>
      <c r="I3027" cm="1">
        <f t="array" ref="I3027">_xlfn.STDEV.P(IF(Table1[IndicatorCode]=Table1[[#This Row],[IndicatorCode]],Table1[value]))</f>
        <v>5.2319501044600996</v>
      </c>
      <c r="J3027">
        <f>(Table1[[#This Row],[value]] - Table1[[#This Row],[mean]]) / Table1[[#This Row],[std_dev]]</f>
        <v>1.5884278277160979</v>
      </c>
      <c r="K3027">
        <f>AVERAGEIF(Table1[CountryCode],Table1[[#This Row],[CountryCode]],Table1[z-score])</f>
        <v>0.50130467154040237</v>
      </c>
      <c r="L3027" t="e">
        <f>VLOOKUP(Table1[[#This Row],[CountryCode]],[1]!Table1[#Data],4,FALSE)</f>
        <v>#REF!</v>
      </c>
    </row>
    <row r="3028" spans="1:12" hidden="1" x14ac:dyDescent="0.3">
      <c r="A3028" t="s">
        <v>53</v>
      </c>
      <c r="B3028" t="s">
        <v>54</v>
      </c>
      <c r="C3028" t="s">
        <v>125</v>
      </c>
      <c r="D3028" t="s">
        <v>126</v>
      </c>
      <c r="E3028">
        <v>2024</v>
      </c>
      <c r="F3028" s="1">
        <v>16</v>
      </c>
      <c r="G3028">
        <v>1970</v>
      </c>
      <c r="H3028">
        <f>AVERAGEIFS(Table1[value],Table1[IndicatorCode],Table1[[#This Row],[IndicatorCode]])</f>
        <v>7.6894248608534319</v>
      </c>
      <c r="I3028" cm="1">
        <f t="array" ref="I3028">_xlfn.STDEV.P(IF(Table1[IndicatorCode]=Table1[[#This Row],[IndicatorCode]],Table1[value]))</f>
        <v>5.2319501044600996</v>
      </c>
      <c r="J3028">
        <f>(Table1[[#This Row],[value]] - Table1[[#This Row],[mean]]) / Table1[[#This Row],[std_dev]]</f>
        <v>1.5884278277160979</v>
      </c>
      <c r="K3028">
        <f>AVERAGEIF(Table1[CountryCode],Table1[[#This Row],[CountryCode]],Table1[z-score])</f>
        <v>0.50130467154040237</v>
      </c>
      <c r="L3028" t="e">
        <f>VLOOKUP(Table1[[#This Row],[CountryCode]],[1]!Table1[#Data],4,FALSE)</f>
        <v>#REF!</v>
      </c>
    </row>
    <row r="3029" spans="1:12" hidden="1" x14ac:dyDescent="0.3">
      <c r="A3029" t="s">
        <v>55</v>
      </c>
      <c r="B3029" t="s">
        <v>56</v>
      </c>
      <c r="C3029" t="s">
        <v>125</v>
      </c>
      <c r="D3029" t="s">
        <v>126</v>
      </c>
      <c r="E3029">
        <v>1970</v>
      </c>
      <c r="F3029" s="1">
        <v>3</v>
      </c>
      <c r="G3029">
        <v>1970</v>
      </c>
      <c r="H3029">
        <f>AVERAGEIFS(Table1[value],Table1[IndicatorCode],Table1[[#This Row],[IndicatorCode]])</f>
        <v>7.6894248608534319</v>
      </c>
      <c r="I3029" cm="1">
        <f t="array" ref="I3029">_xlfn.STDEV.P(IF(Table1[IndicatorCode]=Table1[[#This Row],[IndicatorCode]],Table1[value]))</f>
        <v>5.2319501044600996</v>
      </c>
      <c r="J3029">
        <f>(Table1[[#This Row],[value]] - Table1[[#This Row],[mean]]) / Table1[[#This Row],[std_dev]]</f>
        <v>-0.89630534833576125</v>
      </c>
      <c r="K3029">
        <f>AVERAGEIF(Table1[CountryCode],Table1[[#This Row],[CountryCode]],Table1[z-score])</f>
        <v>6.3697920427276927E-2</v>
      </c>
      <c r="L3029" t="e">
        <f>VLOOKUP(Table1[[#This Row],[CountryCode]],[1]!Table1[#Data],4,FALSE)</f>
        <v>#REF!</v>
      </c>
    </row>
    <row r="3030" spans="1:12" hidden="1" x14ac:dyDescent="0.3">
      <c r="A3030" t="s">
        <v>55</v>
      </c>
      <c r="B3030" t="s">
        <v>56</v>
      </c>
      <c r="C3030" t="s">
        <v>125</v>
      </c>
      <c r="D3030" t="s">
        <v>126</v>
      </c>
      <c r="E3030">
        <v>1971</v>
      </c>
      <c r="F3030" s="1">
        <v>3</v>
      </c>
      <c r="G3030">
        <v>1970</v>
      </c>
      <c r="H3030">
        <f>AVERAGEIFS(Table1[value],Table1[IndicatorCode],Table1[[#This Row],[IndicatorCode]])</f>
        <v>7.6894248608534319</v>
      </c>
      <c r="I3030" cm="1">
        <f t="array" ref="I3030">_xlfn.STDEV.P(IF(Table1[IndicatorCode]=Table1[[#This Row],[IndicatorCode]],Table1[value]))</f>
        <v>5.2319501044600996</v>
      </c>
      <c r="J3030">
        <f>(Table1[[#This Row],[value]] - Table1[[#This Row],[mean]]) / Table1[[#This Row],[std_dev]]</f>
        <v>-0.89630534833576125</v>
      </c>
      <c r="K3030">
        <f>AVERAGEIF(Table1[CountryCode],Table1[[#This Row],[CountryCode]],Table1[z-score])</f>
        <v>6.3697920427276927E-2</v>
      </c>
      <c r="L3030" t="e">
        <f>VLOOKUP(Table1[[#This Row],[CountryCode]],[1]!Table1[#Data],4,FALSE)</f>
        <v>#REF!</v>
      </c>
    </row>
    <row r="3031" spans="1:12" hidden="1" x14ac:dyDescent="0.3">
      <c r="A3031" t="s">
        <v>55</v>
      </c>
      <c r="B3031" t="s">
        <v>56</v>
      </c>
      <c r="C3031" t="s">
        <v>125</v>
      </c>
      <c r="D3031" t="s">
        <v>126</v>
      </c>
      <c r="E3031">
        <v>1972</v>
      </c>
      <c r="F3031" s="1">
        <v>4</v>
      </c>
      <c r="G3031">
        <v>1970</v>
      </c>
      <c r="H3031">
        <f>AVERAGEIFS(Table1[value],Table1[IndicatorCode],Table1[[#This Row],[IndicatorCode]])</f>
        <v>7.6894248608534319</v>
      </c>
      <c r="I3031" cm="1">
        <f t="array" ref="I3031">_xlfn.STDEV.P(IF(Table1[IndicatorCode]=Table1[[#This Row],[IndicatorCode]],Table1[value]))</f>
        <v>5.2319501044600996</v>
      </c>
      <c r="J3031">
        <f>(Table1[[#This Row],[value]] - Table1[[#This Row],[mean]]) / Table1[[#This Row],[std_dev]]</f>
        <v>-0.7051720271010028</v>
      </c>
      <c r="K3031">
        <f>AVERAGEIF(Table1[CountryCode],Table1[[#This Row],[CountryCode]],Table1[z-score])</f>
        <v>6.3697920427276927E-2</v>
      </c>
      <c r="L3031" t="e">
        <f>VLOOKUP(Table1[[#This Row],[CountryCode]],[1]!Table1[#Data],4,FALSE)</f>
        <v>#REF!</v>
      </c>
    </row>
    <row r="3032" spans="1:12" hidden="1" x14ac:dyDescent="0.3">
      <c r="A3032" t="s">
        <v>55</v>
      </c>
      <c r="B3032" t="s">
        <v>56</v>
      </c>
      <c r="C3032" t="s">
        <v>125</v>
      </c>
      <c r="D3032" t="s">
        <v>126</v>
      </c>
      <c r="E3032">
        <v>1973</v>
      </c>
      <c r="F3032" s="1">
        <v>4</v>
      </c>
      <c r="G3032">
        <v>1970</v>
      </c>
      <c r="H3032">
        <f>AVERAGEIFS(Table1[value],Table1[IndicatorCode],Table1[[#This Row],[IndicatorCode]])</f>
        <v>7.6894248608534319</v>
      </c>
      <c r="I3032" cm="1">
        <f t="array" ref="I3032">_xlfn.STDEV.P(IF(Table1[IndicatorCode]=Table1[[#This Row],[IndicatorCode]],Table1[value]))</f>
        <v>5.2319501044600996</v>
      </c>
      <c r="J3032">
        <f>(Table1[[#This Row],[value]] - Table1[[#This Row],[mean]]) / Table1[[#This Row],[std_dev]]</f>
        <v>-0.7051720271010028</v>
      </c>
      <c r="K3032">
        <f>AVERAGEIF(Table1[CountryCode],Table1[[#This Row],[CountryCode]],Table1[z-score])</f>
        <v>6.3697920427276927E-2</v>
      </c>
      <c r="L3032" t="e">
        <f>VLOOKUP(Table1[[#This Row],[CountryCode]],[1]!Table1[#Data],4,FALSE)</f>
        <v>#REF!</v>
      </c>
    </row>
    <row r="3033" spans="1:12" hidden="1" x14ac:dyDescent="0.3">
      <c r="A3033" t="s">
        <v>55</v>
      </c>
      <c r="B3033" t="s">
        <v>56</v>
      </c>
      <c r="C3033" t="s">
        <v>125</v>
      </c>
      <c r="D3033" t="s">
        <v>126</v>
      </c>
      <c r="E3033">
        <v>1974</v>
      </c>
      <c r="F3033" s="1">
        <v>4</v>
      </c>
      <c r="G3033">
        <v>1970</v>
      </c>
      <c r="H3033">
        <f>AVERAGEIFS(Table1[value],Table1[IndicatorCode],Table1[[#This Row],[IndicatorCode]])</f>
        <v>7.6894248608534319</v>
      </c>
      <c r="I3033" cm="1">
        <f t="array" ref="I3033">_xlfn.STDEV.P(IF(Table1[IndicatorCode]=Table1[[#This Row],[IndicatorCode]],Table1[value]))</f>
        <v>5.2319501044600996</v>
      </c>
      <c r="J3033">
        <f>(Table1[[#This Row],[value]] - Table1[[#This Row],[mean]]) / Table1[[#This Row],[std_dev]]</f>
        <v>-0.7051720271010028</v>
      </c>
      <c r="K3033">
        <f>AVERAGEIF(Table1[CountryCode],Table1[[#This Row],[CountryCode]],Table1[z-score])</f>
        <v>6.3697920427276927E-2</v>
      </c>
      <c r="L3033" t="e">
        <f>VLOOKUP(Table1[[#This Row],[CountryCode]],[1]!Table1[#Data],4,FALSE)</f>
        <v>#REF!</v>
      </c>
    </row>
    <row r="3034" spans="1:12" hidden="1" x14ac:dyDescent="0.3">
      <c r="A3034" t="s">
        <v>55</v>
      </c>
      <c r="B3034" t="s">
        <v>56</v>
      </c>
      <c r="C3034" t="s">
        <v>125</v>
      </c>
      <c r="D3034" t="s">
        <v>126</v>
      </c>
      <c r="E3034">
        <v>1975</v>
      </c>
      <c r="F3034" s="1">
        <v>4</v>
      </c>
      <c r="G3034">
        <v>1970</v>
      </c>
      <c r="H3034">
        <f>AVERAGEIFS(Table1[value],Table1[IndicatorCode],Table1[[#This Row],[IndicatorCode]])</f>
        <v>7.6894248608534319</v>
      </c>
      <c r="I3034" cm="1">
        <f t="array" ref="I3034">_xlfn.STDEV.P(IF(Table1[IndicatorCode]=Table1[[#This Row],[IndicatorCode]],Table1[value]))</f>
        <v>5.2319501044600996</v>
      </c>
      <c r="J3034">
        <f>(Table1[[#This Row],[value]] - Table1[[#This Row],[mean]]) / Table1[[#This Row],[std_dev]]</f>
        <v>-0.7051720271010028</v>
      </c>
      <c r="K3034">
        <f>AVERAGEIF(Table1[CountryCode],Table1[[#This Row],[CountryCode]],Table1[z-score])</f>
        <v>6.3697920427276927E-2</v>
      </c>
      <c r="L3034" t="e">
        <f>VLOOKUP(Table1[[#This Row],[CountryCode]],[1]!Table1[#Data],4,FALSE)</f>
        <v>#REF!</v>
      </c>
    </row>
    <row r="3035" spans="1:12" hidden="1" x14ac:dyDescent="0.3">
      <c r="A3035" t="s">
        <v>55</v>
      </c>
      <c r="B3035" t="s">
        <v>56</v>
      </c>
      <c r="C3035" t="s">
        <v>125</v>
      </c>
      <c r="D3035" t="s">
        <v>126</v>
      </c>
      <c r="E3035">
        <v>1976</v>
      </c>
      <c r="F3035" s="1">
        <v>5</v>
      </c>
      <c r="G3035">
        <v>1970</v>
      </c>
      <c r="H3035">
        <f>AVERAGEIFS(Table1[value],Table1[IndicatorCode],Table1[[#This Row],[IndicatorCode]])</f>
        <v>7.6894248608534319</v>
      </c>
      <c r="I3035" cm="1">
        <f t="array" ref="I3035">_xlfn.STDEV.P(IF(Table1[IndicatorCode]=Table1[[#This Row],[IndicatorCode]],Table1[value]))</f>
        <v>5.2319501044600996</v>
      </c>
      <c r="J3035">
        <f>(Table1[[#This Row],[value]] - Table1[[#This Row],[mean]]) / Table1[[#This Row],[std_dev]]</f>
        <v>-0.51403870586624445</v>
      </c>
      <c r="K3035">
        <f>AVERAGEIF(Table1[CountryCode],Table1[[#This Row],[CountryCode]],Table1[z-score])</f>
        <v>6.3697920427276927E-2</v>
      </c>
      <c r="L3035" t="e">
        <f>VLOOKUP(Table1[[#This Row],[CountryCode]],[1]!Table1[#Data],4,FALSE)</f>
        <v>#REF!</v>
      </c>
    </row>
    <row r="3036" spans="1:12" hidden="1" x14ac:dyDescent="0.3">
      <c r="A3036" t="s">
        <v>55</v>
      </c>
      <c r="B3036" t="s">
        <v>56</v>
      </c>
      <c r="C3036" t="s">
        <v>125</v>
      </c>
      <c r="D3036" t="s">
        <v>126</v>
      </c>
      <c r="E3036">
        <v>1977</v>
      </c>
      <c r="F3036" s="1">
        <v>5</v>
      </c>
      <c r="G3036">
        <v>1980</v>
      </c>
      <c r="H3036">
        <f>AVERAGEIFS(Table1[value],Table1[IndicatorCode],Table1[[#This Row],[IndicatorCode]])</f>
        <v>7.6894248608534319</v>
      </c>
      <c r="I3036" cm="1">
        <f t="array" ref="I3036">_xlfn.STDEV.P(IF(Table1[IndicatorCode]=Table1[[#This Row],[IndicatorCode]],Table1[value]))</f>
        <v>5.2319501044600996</v>
      </c>
      <c r="J3036">
        <f>(Table1[[#This Row],[value]] - Table1[[#This Row],[mean]]) / Table1[[#This Row],[std_dev]]</f>
        <v>-0.51403870586624445</v>
      </c>
      <c r="K3036">
        <f>AVERAGEIF(Table1[CountryCode],Table1[[#This Row],[CountryCode]],Table1[z-score])</f>
        <v>6.3697920427276927E-2</v>
      </c>
      <c r="L3036" t="e">
        <f>VLOOKUP(Table1[[#This Row],[CountryCode]],[1]!Table1[#Data],4,FALSE)</f>
        <v>#REF!</v>
      </c>
    </row>
    <row r="3037" spans="1:12" hidden="1" x14ac:dyDescent="0.3">
      <c r="A3037" t="s">
        <v>55</v>
      </c>
      <c r="B3037" t="s">
        <v>56</v>
      </c>
      <c r="C3037" t="s">
        <v>125</v>
      </c>
      <c r="D3037" t="s">
        <v>126</v>
      </c>
      <c r="E3037">
        <v>1978</v>
      </c>
      <c r="F3037" s="1">
        <v>5</v>
      </c>
      <c r="G3037">
        <v>1980</v>
      </c>
      <c r="H3037">
        <f>AVERAGEIFS(Table1[value],Table1[IndicatorCode],Table1[[#This Row],[IndicatorCode]])</f>
        <v>7.6894248608534319</v>
      </c>
      <c r="I3037" cm="1">
        <f t="array" ref="I3037">_xlfn.STDEV.P(IF(Table1[IndicatorCode]=Table1[[#This Row],[IndicatorCode]],Table1[value]))</f>
        <v>5.2319501044600996</v>
      </c>
      <c r="J3037">
        <f>(Table1[[#This Row],[value]] - Table1[[#This Row],[mean]]) / Table1[[#This Row],[std_dev]]</f>
        <v>-0.51403870586624445</v>
      </c>
      <c r="K3037">
        <f>AVERAGEIF(Table1[CountryCode],Table1[[#This Row],[CountryCode]],Table1[z-score])</f>
        <v>6.3697920427276927E-2</v>
      </c>
      <c r="L3037" t="e">
        <f>VLOOKUP(Table1[[#This Row],[CountryCode]],[1]!Table1[#Data],4,FALSE)</f>
        <v>#REF!</v>
      </c>
    </row>
    <row r="3038" spans="1:12" hidden="1" x14ac:dyDescent="0.3">
      <c r="A3038" t="s">
        <v>55</v>
      </c>
      <c r="B3038" t="s">
        <v>56</v>
      </c>
      <c r="C3038" t="s">
        <v>125</v>
      </c>
      <c r="D3038" t="s">
        <v>126</v>
      </c>
      <c r="E3038">
        <v>1979</v>
      </c>
      <c r="F3038" s="1">
        <v>6</v>
      </c>
      <c r="G3038">
        <v>1980</v>
      </c>
      <c r="H3038">
        <f>AVERAGEIFS(Table1[value],Table1[IndicatorCode],Table1[[#This Row],[IndicatorCode]])</f>
        <v>7.6894248608534319</v>
      </c>
      <c r="I3038" cm="1">
        <f t="array" ref="I3038">_xlfn.STDEV.P(IF(Table1[IndicatorCode]=Table1[[#This Row],[IndicatorCode]],Table1[value]))</f>
        <v>5.2319501044600996</v>
      </c>
      <c r="J3038">
        <f>(Table1[[#This Row],[value]] - Table1[[#This Row],[mean]]) / Table1[[#This Row],[std_dev]]</f>
        <v>-0.32290538463148605</v>
      </c>
      <c r="K3038">
        <f>AVERAGEIF(Table1[CountryCode],Table1[[#This Row],[CountryCode]],Table1[z-score])</f>
        <v>6.3697920427276927E-2</v>
      </c>
      <c r="L3038" t="e">
        <f>VLOOKUP(Table1[[#This Row],[CountryCode]],[1]!Table1[#Data],4,FALSE)</f>
        <v>#REF!</v>
      </c>
    </row>
    <row r="3039" spans="1:12" hidden="1" x14ac:dyDescent="0.3">
      <c r="A3039" t="s">
        <v>55</v>
      </c>
      <c r="B3039" t="s">
        <v>56</v>
      </c>
      <c r="C3039" t="s">
        <v>125</v>
      </c>
      <c r="D3039" t="s">
        <v>126</v>
      </c>
      <c r="E3039">
        <v>1980</v>
      </c>
      <c r="F3039" s="1">
        <v>6</v>
      </c>
      <c r="G3039">
        <v>1980</v>
      </c>
      <c r="H3039">
        <f>AVERAGEIFS(Table1[value],Table1[IndicatorCode],Table1[[#This Row],[IndicatorCode]])</f>
        <v>7.6894248608534319</v>
      </c>
      <c r="I3039" cm="1">
        <f t="array" ref="I3039">_xlfn.STDEV.P(IF(Table1[IndicatorCode]=Table1[[#This Row],[IndicatorCode]],Table1[value]))</f>
        <v>5.2319501044600996</v>
      </c>
      <c r="J3039">
        <f>(Table1[[#This Row],[value]] - Table1[[#This Row],[mean]]) / Table1[[#This Row],[std_dev]]</f>
        <v>-0.32290538463148605</v>
      </c>
      <c r="K3039">
        <f>AVERAGEIF(Table1[CountryCode],Table1[[#This Row],[CountryCode]],Table1[z-score])</f>
        <v>6.3697920427276927E-2</v>
      </c>
      <c r="L3039" t="e">
        <f>VLOOKUP(Table1[[#This Row],[CountryCode]],[1]!Table1[#Data],4,FALSE)</f>
        <v>#REF!</v>
      </c>
    </row>
    <row r="3040" spans="1:12" hidden="1" x14ac:dyDescent="0.3">
      <c r="A3040" t="s">
        <v>55</v>
      </c>
      <c r="B3040" t="s">
        <v>56</v>
      </c>
      <c r="C3040" t="s">
        <v>125</v>
      </c>
      <c r="D3040" t="s">
        <v>126</v>
      </c>
      <c r="E3040">
        <v>1981</v>
      </c>
      <c r="F3040" s="1">
        <v>5</v>
      </c>
      <c r="G3040">
        <v>1980</v>
      </c>
      <c r="H3040">
        <f>AVERAGEIFS(Table1[value],Table1[IndicatorCode],Table1[[#This Row],[IndicatorCode]])</f>
        <v>7.6894248608534319</v>
      </c>
      <c r="I3040" cm="1">
        <f t="array" ref="I3040">_xlfn.STDEV.P(IF(Table1[IndicatorCode]=Table1[[#This Row],[IndicatorCode]],Table1[value]))</f>
        <v>5.2319501044600996</v>
      </c>
      <c r="J3040">
        <f>(Table1[[#This Row],[value]] - Table1[[#This Row],[mean]]) / Table1[[#This Row],[std_dev]]</f>
        <v>-0.51403870586624445</v>
      </c>
      <c r="K3040">
        <f>AVERAGEIF(Table1[CountryCode],Table1[[#This Row],[CountryCode]],Table1[z-score])</f>
        <v>6.3697920427276927E-2</v>
      </c>
      <c r="L3040" t="e">
        <f>VLOOKUP(Table1[[#This Row],[CountryCode]],[1]!Table1[#Data],4,FALSE)</f>
        <v>#REF!</v>
      </c>
    </row>
    <row r="3041" spans="1:12" hidden="1" x14ac:dyDescent="0.3">
      <c r="A3041" t="s">
        <v>55</v>
      </c>
      <c r="B3041" t="s">
        <v>56</v>
      </c>
      <c r="C3041" t="s">
        <v>125</v>
      </c>
      <c r="D3041" t="s">
        <v>126</v>
      </c>
      <c r="E3041">
        <v>1982</v>
      </c>
      <c r="F3041" s="1">
        <v>6</v>
      </c>
      <c r="G3041">
        <v>1980</v>
      </c>
      <c r="H3041">
        <f>AVERAGEIFS(Table1[value],Table1[IndicatorCode],Table1[[#This Row],[IndicatorCode]])</f>
        <v>7.6894248608534319</v>
      </c>
      <c r="I3041" cm="1">
        <f t="array" ref="I3041">_xlfn.STDEV.P(IF(Table1[IndicatorCode]=Table1[[#This Row],[IndicatorCode]],Table1[value]))</f>
        <v>5.2319501044600996</v>
      </c>
      <c r="J3041">
        <f>(Table1[[#This Row],[value]] - Table1[[#This Row],[mean]]) / Table1[[#This Row],[std_dev]]</f>
        <v>-0.32290538463148605</v>
      </c>
      <c r="K3041">
        <f>AVERAGEIF(Table1[CountryCode],Table1[[#This Row],[CountryCode]],Table1[z-score])</f>
        <v>6.3697920427276927E-2</v>
      </c>
      <c r="L3041" t="e">
        <f>VLOOKUP(Table1[[#This Row],[CountryCode]],[1]!Table1[#Data],4,FALSE)</f>
        <v>#REF!</v>
      </c>
    </row>
    <row r="3042" spans="1:12" hidden="1" x14ac:dyDescent="0.3">
      <c r="A3042" t="s">
        <v>55</v>
      </c>
      <c r="B3042" t="s">
        <v>56</v>
      </c>
      <c r="C3042" t="s">
        <v>125</v>
      </c>
      <c r="D3042" t="s">
        <v>126</v>
      </c>
      <c r="E3042">
        <v>1983</v>
      </c>
      <c r="F3042" s="1">
        <v>6</v>
      </c>
      <c r="G3042">
        <v>1980</v>
      </c>
      <c r="H3042">
        <f>AVERAGEIFS(Table1[value],Table1[IndicatorCode],Table1[[#This Row],[IndicatorCode]])</f>
        <v>7.6894248608534319</v>
      </c>
      <c r="I3042" cm="1">
        <f t="array" ref="I3042">_xlfn.STDEV.P(IF(Table1[IndicatorCode]=Table1[[#This Row],[IndicatorCode]],Table1[value]))</f>
        <v>5.2319501044600996</v>
      </c>
      <c r="J3042">
        <f>(Table1[[#This Row],[value]] - Table1[[#This Row],[mean]]) / Table1[[#This Row],[std_dev]]</f>
        <v>-0.32290538463148605</v>
      </c>
      <c r="K3042">
        <f>AVERAGEIF(Table1[CountryCode],Table1[[#This Row],[CountryCode]],Table1[z-score])</f>
        <v>6.3697920427276927E-2</v>
      </c>
      <c r="L3042" t="e">
        <f>VLOOKUP(Table1[[#This Row],[CountryCode]],[1]!Table1[#Data],4,FALSE)</f>
        <v>#REF!</v>
      </c>
    </row>
    <row r="3043" spans="1:12" hidden="1" x14ac:dyDescent="0.3">
      <c r="A3043" t="s">
        <v>55</v>
      </c>
      <c r="B3043" t="s">
        <v>56</v>
      </c>
      <c r="C3043" t="s">
        <v>125</v>
      </c>
      <c r="D3043" t="s">
        <v>126</v>
      </c>
      <c r="E3043">
        <v>1984</v>
      </c>
      <c r="F3043" s="1">
        <v>6</v>
      </c>
      <c r="G3043">
        <v>1980</v>
      </c>
      <c r="H3043">
        <f>AVERAGEIFS(Table1[value],Table1[IndicatorCode],Table1[[#This Row],[IndicatorCode]])</f>
        <v>7.6894248608534319</v>
      </c>
      <c r="I3043" cm="1">
        <f t="array" ref="I3043">_xlfn.STDEV.P(IF(Table1[IndicatorCode]=Table1[[#This Row],[IndicatorCode]],Table1[value]))</f>
        <v>5.2319501044600996</v>
      </c>
      <c r="J3043">
        <f>(Table1[[#This Row],[value]] - Table1[[#This Row],[mean]]) / Table1[[#This Row],[std_dev]]</f>
        <v>-0.32290538463148605</v>
      </c>
      <c r="K3043">
        <f>AVERAGEIF(Table1[CountryCode],Table1[[#This Row],[CountryCode]],Table1[z-score])</f>
        <v>6.3697920427276927E-2</v>
      </c>
      <c r="L3043" t="e">
        <f>VLOOKUP(Table1[[#This Row],[CountryCode]],[1]!Table1[#Data],4,FALSE)</f>
        <v>#REF!</v>
      </c>
    </row>
    <row r="3044" spans="1:12" hidden="1" x14ac:dyDescent="0.3">
      <c r="A3044" t="s">
        <v>55</v>
      </c>
      <c r="B3044" t="s">
        <v>56</v>
      </c>
      <c r="C3044" t="s">
        <v>125</v>
      </c>
      <c r="D3044" t="s">
        <v>126</v>
      </c>
      <c r="E3044">
        <v>1985</v>
      </c>
      <c r="F3044" s="1">
        <v>6</v>
      </c>
      <c r="G3044">
        <v>1980</v>
      </c>
      <c r="H3044">
        <f>AVERAGEIFS(Table1[value],Table1[IndicatorCode],Table1[[#This Row],[IndicatorCode]])</f>
        <v>7.6894248608534319</v>
      </c>
      <c r="I3044" cm="1">
        <f t="array" ref="I3044">_xlfn.STDEV.P(IF(Table1[IndicatorCode]=Table1[[#This Row],[IndicatorCode]],Table1[value]))</f>
        <v>5.2319501044600996</v>
      </c>
      <c r="J3044">
        <f>(Table1[[#This Row],[value]] - Table1[[#This Row],[mean]]) / Table1[[#This Row],[std_dev]]</f>
        <v>-0.32290538463148605</v>
      </c>
      <c r="K3044">
        <f>AVERAGEIF(Table1[CountryCode],Table1[[#This Row],[CountryCode]],Table1[z-score])</f>
        <v>6.3697920427276927E-2</v>
      </c>
      <c r="L3044" t="e">
        <f>VLOOKUP(Table1[[#This Row],[CountryCode]],[1]!Table1[#Data],4,FALSE)</f>
        <v>#REF!</v>
      </c>
    </row>
    <row r="3045" spans="1:12" hidden="1" x14ac:dyDescent="0.3">
      <c r="A3045" t="s">
        <v>55</v>
      </c>
      <c r="B3045" t="s">
        <v>56</v>
      </c>
      <c r="C3045" t="s">
        <v>125</v>
      </c>
      <c r="D3045" t="s">
        <v>126</v>
      </c>
      <c r="E3045">
        <v>1986</v>
      </c>
      <c r="F3045" s="1">
        <v>6</v>
      </c>
      <c r="G3045">
        <v>1980</v>
      </c>
      <c r="H3045">
        <f>AVERAGEIFS(Table1[value],Table1[IndicatorCode],Table1[[#This Row],[IndicatorCode]])</f>
        <v>7.6894248608534319</v>
      </c>
      <c r="I3045" cm="1">
        <f t="array" ref="I3045">_xlfn.STDEV.P(IF(Table1[IndicatorCode]=Table1[[#This Row],[IndicatorCode]],Table1[value]))</f>
        <v>5.2319501044600996</v>
      </c>
      <c r="J3045">
        <f>(Table1[[#This Row],[value]] - Table1[[#This Row],[mean]]) / Table1[[#This Row],[std_dev]]</f>
        <v>-0.32290538463148605</v>
      </c>
      <c r="K3045">
        <f>AVERAGEIF(Table1[CountryCode],Table1[[#This Row],[CountryCode]],Table1[z-score])</f>
        <v>6.3697920427276927E-2</v>
      </c>
      <c r="L3045" t="e">
        <f>VLOOKUP(Table1[[#This Row],[CountryCode]],[1]!Table1[#Data],4,FALSE)</f>
        <v>#REF!</v>
      </c>
    </row>
    <row r="3046" spans="1:12" hidden="1" x14ac:dyDescent="0.3">
      <c r="A3046" t="s">
        <v>55</v>
      </c>
      <c r="B3046" t="s">
        <v>56</v>
      </c>
      <c r="C3046" t="s">
        <v>125</v>
      </c>
      <c r="D3046" t="s">
        <v>126</v>
      </c>
      <c r="E3046">
        <v>1987</v>
      </c>
      <c r="F3046" s="1">
        <v>7</v>
      </c>
      <c r="G3046">
        <v>1990</v>
      </c>
      <c r="H3046">
        <f>AVERAGEIFS(Table1[value],Table1[IndicatorCode],Table1[[#This Row],[IndicatorCode]])</f>
        <v>7.6894248608534319</v>
      </c>
      <c r="I3046" cm="1">
        <f t="array" ref="I3046">_xlfn.STDEV.P(IF(Table1[IndicatorCode]=Table1[[#This Row],[IndicatorCode]],Table1[value]))</f>
        <v>5.2319501044600996</v>
      </c>
      <c r="J3046">
        <f>(Table1[[#This Row],[value]] - Table1[[#This Row],[mean]]) / Table1[[#This Row],[std_dev]]</f>
        <v>-0.13177206339672762</v>
      </c>
      <c r="K3046">
        <f>AVERAGEIF(Table1[CountryCode],Table1[[#This Row],[CountryCode]],Table1[z-score])</f>
        <v>6.3697920427276927E-2</v>
      </c>
      <c r="L3046" t="e">
        <f>VLOOKUP(Table1[[#This Row],[CountryCode]],[1]!Table1[#Data],4,FALSE)</f>
        <v>#REF!</v>
      </c>
    </row>
    <row r="3047" spans="1:12" hidden="1" x14ac:dyDescent="0.3">
      <c r="A3047" t="s">
        <v>55</v>
      </c>
      <c r="B3047" t="s">
        <v>56</v>
      </c>
      <c r="C3047" t="s">
        <v>125</v>
      </c>
      <c r="D3047" t="s">
        <v>126</v>
      </c>
      <c r="E3047">
        <v>1988</v>
      </c>
      <c r="F3047" s="1">
        <v>7</v>
      </c>
      <c r="G3047">
        <v>1990</v>
      </c>
      <c r="H3047">
        <f>AVERAGEIFS(Table1[value],Table1[IndicatorCode],Table1[[#This Row],[IndicatorCode]])</f>
        <v>7.6894248608534319</v>
      </c>
      <c r="I3047" cm="1">
        <f t="array" ref="I3047">_xlfn.STDEV.P(IF(Table1[IndicatorCode]=Table1[[#This Row],[IndicatorCode]],Table1[value]))</f>
        <v>5.2319501044600996</v>
      </c>
      <c r="J3047">
        <f>(Table1[[#This Row],[value]] - Table1[[#This Row],[mean]]) / Table1[[#This Row],[std_dev]]</f>
        <v>-0.13177206339672762</v>
      </c>
      <c r="K3047">
        <f>AVERAGEIF(Table1[CountryCode],Table1[[#This Row],[CountryCode]],Table1[z-score])</f>
        <v>6.3697920427276927E-2</v>
      </c>
      <c r="L3047" t="e">
        <f>VLOOKUP(Table1[[#This Row],[CountryCode]],[1]!Table1[#Data],4,FALSE)</f>
        <v>#REF!</v>
      </c>
    </row>
    <row r="3048" spans="1:12" hidden="1" x14ac:dyDescent="0.3">
      <c r="A3048" t="s">
        <v>55</v>
      </c>
      <c r="B3048" t="s">
        <v>56</v>
      </c>
      <c r="C3048" t="s">
        <v>125</v>
      </c>
      <c r="D3048" t="s">
        <v>126</v>
      </c>
      <c r="E3048">
        <v>1989</v>
      </c>
      <c r="F3048" s="1">
        <v>8</v>
      </c>
      <c r="G3048">
        <v>1990</v>
      </c>
      <c r="H3048">
        <f>AVERAGEIFS(Table1[value],Table1[IndicatorCode],Table1[[#This Row],[IndicatorCode]])</f>
        <v>7.6894248608534319</v>
      </c>
      <c r="I3048" cm="1">
        <f t="array" ref="I3048">_xlfn.STDEV.P(IF(Table1[IndicatorCode]=Table1[[#This Row],[IndicatorCode]],Table1[value]))</f>
        <v>5.2319501044600996</v>
      </c>
      <c r="J3048">
        <f>(Table1[[#This Row],[value]] - Table1[[#This Row],[mean]]) / Table1[[#This Row],[std_dev]]</f>
        <v>5.9361257838030791E-2</v>
      </c>
      <c r="K3048">
        <f>AVERAGEIF(Table1[CountryCode],Table1[[#This Row],[CountryCode]],Table1[z-score])</f>
        <v>6.3697920427276927E-2</v>
      </c>
      <c r="L3048" t="e">
        <f>VLOOKUP(Table1[[#This Row],[CountryCode]],[1]!Table1[#Data],4,FALSE)</f>
        <v>#REF!</v>
      </c>
    </row>
    <row r="3049" spans="1:12" hidden="1" x14ac:dyDescent="0.3">
      <c r="A3049" t="s">
        <v>55</v>
      </c>
      <c r="B3049" t="s">
        <v>56</v>
      </c>
      <c r="C3049" t="s">
        <v>125</v>
      </c>
      <c r="D3049" t="s">
        <v>126</v>
      </c>
      <c r="E3049">
        <v>1990</v>
      </c>
      <c r="F3049" s="1">
        <v>8</v>
      </c>
      <c r="G3049">
        <v>1990</v>
      </c>
      <c r="H3049">
        <f>AVERAGEIFS(Table1[value],Table1[IndicatorCode],Table1[[#This Row],[IndicatorCode]])</f>
        <v>7.6894248608534319</v>
      </c>
      <c r="I3049" cm="1">
        <f t="array" ref="I3049">_xlfn.STDEV.P(IF(Table1[IndicatorCode]=Table1[[#This Row],[IndicatorCode]],Table1[value]))</f>
        <v>5.2319501044600996</v>
      </c>
      <c r="J3049">
        <f>(Table1[[#This Row],[value]] - Table1[[#This Row],[mean]]) / Table1[[#This Row],[std_dev]]</f>
        <v>5.9361257838030791E-2</v>
      </c>
      <c r="K3049">
        <f>AVERAGEIF(Table1[CountryCode],Table1[[#This Row],[CountryCode]],Table1[z-score])</f>
        <v>6.3697920427276927E-2</v>
      </c>
      <c r="L3049" t="e">
        <f>VLOOKUP(Table1[[#This Row],[CountryCode]],[1]!Table1[#Data],4,FALSE)</f>
        <v>#REF!</v>
      </c>
    </row>
    <row r="3050" spans="1:12" hidden="1" x14ac:dyDescent="0.3">
      <c r="A3050" t="s">
        <v>55</v>
      </c>
      <c r="B3050" t="s">
        <v>56</v>
      </c>
      <c r="C3050" t="s">
        <v>125</v>
      </c>
      <c r="D3050" t="s">
        <v>126</v>
      </c>
      <c r="E3050">
        <v>1991</v>
      </c>
      <c r="F3050" s="1">
        <v>8</v>
      </c>
      <c r="G3050">
        <v>1990</v>
      </c>
      <c r="H3050">
        <f>AVERAGEIFS(Table1[value],Table1[IndicatorCode],Table1[[#This Row],[IndicatorCode]])</f>
        <v>7.6894248608534319</v>
      </c>
      <c r="I3050" cm="1">
        <f t="array" ref="I3050">_xlfn.STDEV.P(IF(Table1[IndicatorCode]=Table1[[#This Row],[IndicatorCode]],Table1[value]))</f>
        <v>5.2319501044600996</v>
      </c>
      <c r="J3050">
        <f>(Table1[[#This Row],[value]] - Table1[[#This Row],[mean]]) / Table1[[#This Row],[std_dev]]</f>
        <v>5.9361257838030791E-2</v>
      </c>
      <c r="K3050">
        <f>AVERAGEIF(Table1[CountryCode],Table1[[#This Row],[CountryCode]],Table1[z-score])</f>
        <v>6.3697920427276927E-2</v>
      </c>
      <c r="L3050" t="e">
        <f>VLOOKUP(Table1[[#This Row],[CountryCode]],[1]!Table1[#Data],4,FALSE)</f>
        <v>#REF!</v>
      </c>
    </row>
    <row r="3051" spans="1:12" hidden="1" x14ac:dyDescent="0.3">
      <c r="A3051" t="s">
        <v>55</v>
      </c>
      <c r="B3051" t="s">
        <v>56</v>
      </c>
      <c r="C3051" t="s">
        <v>125</v>
      </c>
      <c r="D3051" t="s">
        <v>126</v>
      </c>
      <c r="E3051">
        <v>1992</v>
      </c>
      <c r="F3051" s="1">
        <v>8</v>
      </c>
      <c r="G3051">
        <v>1990</v>
      </c>
      <c r="H3051">
        <f>AVERAGEIFS(Table1[value],Table1[IndicatorCode],Table1[[#This Row],[IndicatorCode]])</f>
        <v>7.6894248608534319</v>
      </c>
      <c r="I3051" cm="1">
        <f t="array" ref="I3051">_xlfn.STDEV.P(IF(Table1[IndicatorCode]=Table1[[#This Row],[IndicatorCode]],Table1[value]))</f>
        <v>5.2319501044600996</v>
      </c>
      <c r="J3051">
        <f>(Table1[[#This Row],[value]] - Table1[[#This Row],[mean]]) / Table1[[#This Row],[std_dev]]</f>
        <v>5.9361257838030791E-2</v>
      </c>
      <c r="K3051">
        <f>AVERAGEIF(Table1[CountryCode],Table1[[#This Row],[CountryCode]],Table1[z-score])</f>
        <v>6.3697920427276927E-2</v>
      </c>
      <c r="L3051" t="e">
        <f>VLOOKUP(Table1[[#This Row],[CountryCode]],[1]!Table1[#Data],4,FALSE)</f>
        <v>#REF!</v>
      </c>
    </row>
    <row r="3052" spans="1:12" hidden="1" x14ac:dyDescent="0.3">
      <c r="A3052" t="s">
        <v>55</v>
      </c>
      <c r="B3052" t="s">
        <v>56</v>
      </c>
      <c r="C3052" t="s">
        <v>125</v>
      </c>
      <c r="D3052" t="s">
        <v>126</v>
      </c>
      <c r="E3052">
        <v>1993</v>
      </c>
      <c r="F3052" s="1">
        <v>8</v>
      </c>
      <c r="G3052">
        <v>1990</v>
      </c>
      <c r="H3052">
        <f>AVERAGEIFS(Table1[value],Table1[IndicatorCode],Table1[[#This Row],[IndicatorCode]])</f>
        <v>7.6894248608534319</v>
      </c>
      <c r="I3052" cm="1">
        <f t="array" ref="I3052">_xlfn.STDEV.P(IF(Table1[IndicatorCode]=Table1[[#This Row],[IndicatorCode]],Table1[value]))</f>
        <v>5.2319501044600996</v>
      </c>
      <c r="J3052">
        <f>(Table1[[#This Row],[value]] - Table1[[#This Row],[mean]]) / Table1[[#This Row],[std_dev]]</f>
        <v>5.9361257838030791E-2</v>
      </c>
      <c r="K3052">
        <f>AVERAGEIF(Table1[CountryCode],Table1[[#This Row],[CountryCode]],Table1[z-score])</f>
        <v>6.3697920427276927E-2</v>
      </c>
      <c r="L3052" t="e">
        <f>VLOOKUP(Table1[[#This Row],[CountryCode]],[1]!Table1[#Data],4,FALSE)</f>
        <v>#REF!</v>
      </c>
    </row>
    <row r="3053" spans="1:12" hidden="1" x14ac:dyDescent="0.3">
      <c r="A3053" t="s">
        <v>55</v>
      </c>
      <c r="B3053" t="s">
        <v>56</v>
      </c>
      <c r="C3053" t="s">
        <v>125</v>
      </c>
      <c r="D3053" t="s">
        <v>126</v>
      </c>
      <c r="E3053">
        <v>1994</v>
      </c>
      <c r="F3053" s="1">
        <v>8</v>
      </c>
      <c r="G3053">
        <v>1990</v>
      </c>
      <c r="H3053">
        <f>AVERAGEIFS(Table1[value],Table1[IndicatorCode],Table1[[#This Row],[IndicatorCode]])</f>
        <v>7.6894248608534319</v>
      </c>
      <c r="I3053" cm="1">
        <f t="array" ref="I3053">_xlfn.STDEV.P(IF(Table1[IndicatorCode]=Table1[[#This Row],[IndicatorCode]],Table1[value]))</f>
        <v>5.2319501044600996</v>
      </c>
      <c r="J3053">
        <f>(Table1[[#This Row],[value]] - Table1[[#This Row],[mean]]) / Table1[[#This Row],[std_dev]]</f>
        <v>5.9361257838030791E-2</v>
      </c>
      <c r="K3053">
        <f>AVERAGEIF(Table1[CountryCode],Table1[[#This Row],[CountryCode]],Table1[z-score])</f>
        <v>6.3697920427276927E-2</v>
      </c>
      <c r="L3053" t="e">
        <f>VLOOKUP(Table1[[#This Row],[CountryCode]],[1]!Table1[#Data],4,FALSE)</f>
        <v>#REF!</v>
      </c>
    </row>
    <row r="3054" spans="1:12" hidden="1" x14ac:dyDescent="0.3">
      <c r="A3054" t="s">
        <v>55</v>
      </c>
      <c r="B3054" t="s">
        <v>56</v>
      </c>
      <c r="C3054" t="s">
        <v>125</v>
      </c>
      <c r="D3054" t="s">
        <v>126</v>
      </c>
      <c r="E3054">
        <v>1995</v>
      </c>
      <c r="F3054" s="1">
        <v>8</v>
      </c>
      <c r="G3054">
        <v>1990</v>
      </c>
      <c r="H3054">
        <f>AVERAGEIFS(Table1[value],Table1[IndicatorCode],Table1[[#This Row],[IndicatorCode]])</f>
        <v>7.6894248608534319</v>
      </c>
      <c r="I3054" cm="1">
        <f t="array" ref="I3054">_xlfn.STDEV.P(IF(Table1[IndicatorCode]=Table1[[#This Row],[IndicatorCode]],Table1[value]))</f>
        <v>5.2319501044600996</v>
      </c>
      <c r="J3054">
        <f>(Table1[[#This Row],[value]] - Table1[[#This Row],[mean]]) / Table1[[#This Row],[std_dev]]</f>
        <v>5.9361257838030791E-2</v>
      </c>
      <c r="K3054">
        <f>AVERAGEIF(Table1[CountryCode],Table1[[#This Row],[CountryCode]],Table1[z-score])</f>
        <v>6.3697920427276927E-2</v>
      </c>
      <c r="L3054" t="e">
        <f>VLOOKUP(Table1[[#This Row],[CountryCode]],[1]!Table1[#Data],4,FALSE)</f>
        <v>#REF!</v>
      </c>
    </row>
    <row r="3055" spans="1:12" hidden="1" x14ac:dyDescent="0.3">
      <c r="A3055" t="s">
        <v>55</v>
      </c>
      <c r="B3055" t="s">
        <v>56</v>
      </c>
      <c r="C3055" t="s">
        <v>125</v>
      </c>
      <c r="D3055" t="s">
        <v>126</v>
      </c>
      <c r="E3055">
        <v>1996</v>
      </c>
      <c r="F3055" s="1">
        <v>8</v>
      </c>
      <c r="G3055">
        <v>1990</v>
      </c>
      <c r="H3055">
        <f>AVERAGEIFS(Table1[value],Table1[IndicatorCode],Table1[[#This Row],[IndicatorCode]])</f>
        <v>7.6894248608534319</v>
      </c>
      <c r="I3055" cm="1">
        <f t="array" ref="I3055">_xlfn.STDEV.P(IF(Table1[IndicatorCode]=Table1[[#This Row],[IndicatorCode]],Table1[value]))</f>
        <v>5.2319501044600996</v>
      </c>
      <c r="J3055">
        <f>(Table1[[#This Row],[value]] - Table1[[#This Row],[mean]]) / Table1[[#This Row],[std_dev]]</f>
        <v>5.9361257838030791E-2</v>
      </c>
      <c r="K3055">
        <f>AVERAGEIF(Table1[CountryCode],Table1[[#This Row],[CountryCode]],Table1[z-score])</f>
        <v>6.3697920427276927E-2</v>
      </c>
      <c r="L3055" t="e">
        <f>VLOOKUP(Table1[[#This Row],[CountryCode]],[1]!Table1[#Data],4,FALSE)</f>
        <v>#REF!</v>
      </c>
    </row>
    <row r="3056" spans="1:12" hidden="1" x14ac:dyDescent="0.3">
      <c r="A3056" t="s">
        <v>55</v>
      </c>
      <c r="B3056" t="s">
        <v>56</v>
      </c>
      <c r="C3056" t="s">
        <v>125</v>
      </c>
      <c r="D3056" t="s">
        <v>126</v>
      </c>
      <c r="E3056">
        <v>1997</v>
      </c>
      <c r="F3056" s="1">
        <v>8</v>
      </c>
      <c r="G3056">
        <v>2000</v>
      </c>
      <c r="H3056">
        <f>AVERAGEIFS(Table1[value],Table1[IndicatorCode],Table1[[#This Row],[IndicatorCode]])</f>
        <v>7.6894248608534319</v>
      </c>
      <c r="I3056" cm="1">
        <f t="array" ref="I3056">_xlfn.STDEV.P(IF(Table1[IndicatorCode]=Table1[[#This Row],[IndicatorCode]],Table1[value]))</f>
        <v>5.2319501044600996</v>
      </c>
      <c r="J3056">
        <f>(Table1[[#This Row],[value]] - Table1[[#This Row],[mean]]) / Table1[[#This Row],[std_dev]]</f>
        <v>5.9361257838030791E-2</v>
      </c>
      <c r="K3056">
        <f>AVERAGEIF(Table1[CountryCode],Table1[[#This Row],[CountryCode]],Table1[z-score])</f>
        <v>6.3697920427276927E-2</v>
      </c>
      <c r="L3056" t="e">
        <f>VLOOKUP(Table1[[#This Row],[CountryCode]],[1]!Table1[#Data],4,FALSE)</f>
        <v>#REF!</v>
      </c>
    </row>
    <row r="3057" spans="1:12" hidden="1" x14ac:dyDescent="0.3">
      <c r="A3057" t="s">
        <v>55</v>
      </c>
      <c r="B3057" t="s">
        <v>56</v>
      </c>
      <c r="C3057" t="s">
        <v>125</v>
      </c>
      <c r="D3057" t="s">
        <v>126</v>
      </c>
      <c r="E3057">
        <v>1998</v>
      </c>
      <c r="F3057" s="1">
        <v>8</v>
      </c>
      <c r="G3057">
        <v>2000</v>
      </c>
      <c r="H3057">
        <f>AVERAGEIFS(Table1[value],Table1[IndicatorCode],Table1[[#This Row],[IndicatorCode]])</f>
        <v>7.6894248608534319</v>
      </c>
      <c r="I3057" cm="1">
        <f t="array" ref="I3057">_xlfn.STDEV.P(IF(Table1[IndicatorCode]=Table1[[#This Row],[IndicatorCode]],Table1[value]))</f>
        <v>5.2319501044600996</v>
      </c>
      <c r="J3057">
        <f>(Table1[[#This Row],[value]] - Table1[[#This Row],[mean]]) / Table1[[#This Row],[std_dev]]</f>
        <v>5.9361257838030791E-2</v>
      </c>
      <c r="K3057">
        <f>AVERAGEIF(Table1[CountryCode],Table1[[#This Row],[CountryCode]],Table1[z-score])</f>
        <v>6.3697920427276927E-2</v>
      </c>
      <c r="L3057" t="e">
        <f>VLOOKUP(Table1[[#This Row],[CountryCode]],[1]!Table1[#Data],4,FALSE)</f>
        <v>#REF!</v>
      </c>
    </row>
    <row r="3058" spans="1:12" hidden="1" x14ac:dyDescent="0.3">
      <c r="A3058" t="s">
        <v>55</v>
      </c>
      <c r="B3058" t="s">
        <v>56</v>
      </c>
      <c r="C3058" t="s">
        <v>125</v>
      </c>
      <c r="D3058" t="s">
        <v>126</v>
      </c>
      <c r="E3058">
        <v>1999</v>
      </c>
      <c r="F3058" s="1">
        <v>8</v>
      </c>
      <c r="G3058">
        <v>2000</v>
      </c>
      <c r="H3058">
        <f>AVERAGEIFS(Table1[value],Table1[IndicatorCode],Table1[[#This Row],[IndicatorCode]])</f>
        <v>7.6894248608534319</v>
      </c>
      <c r="I3058" cm="1">
        <f t="array" ref="I3058">_xlfn.STDEV.P(IF(Table1[IndicatorCode]=Table1[[#This Row],[IndicatorCode]],Table1[value]))</f>
        <v>5.2319501044600996</v>
      </c>
      <c r="J3058">
        <f>(Table1[[#This Row],[value]] - Table1[[#This Row],[mean]]) / Table1[[#This Row],[std_dev]]</f>
        <v>5.9361257838030791E-2</v>
      </c>
      <c r="K3058">
        <f>AVERAGEIF(Table1[CountryCode],Table1[[#This Row],[CountryCode]],Table1[z-score])</f>
        <v>6.3697920427276927E-2</v>
      </c>
      <c r="L3058" t="e">
        <f>VLOOKUP(Table1[[#This Row],[CountryCode]],[1]!Table1[#Data],4,FALSE)</f>
        <v>#REF!</v>
      </c>
    </row>
    <row r="3059" spans="1:12" hidden="1" x14ac:dyDescent="0.3">
      <c r="A3059" t="s">
        <v>55</v>
      </c>
      <c r="B3059" t="s">
        <v>56</v>
      </c>
      <c r="C3059" t="s">
        <v>125</v>
      </c>
      <c r="D3059" t="s">
        <v>126</v>
      </c>
      <c r="E3059">
        <v>2000</v>
      </c>
      <c r="F3059" s="1">
        <v>9</v>
      </c>
      <c r="G3059">
        <v>2000</v>
      </c>
      <c r="H3059">
        <f>AVERAGEIFS(Table1[value],Table1[IndicatorCode],Table1[[#This Row],[IndicatorCode]])</f>
        <v>7.6894248608534319</v>
      </c>
      <c r="I3059" cm="1">
        <f t="array" ref="I3059">_xlfn.STDEV.P(IF(Table1[IndicatorCode]=Table1[[#This Row],[IndicatorCode]],Table1[value]))</f>
        <v>5.2319501044600996</v>
      </c>
      <c r="J3059">
        <f>(Table1[[#This Row],[value]] - Table1[[#This Row],[mean]]) / Table1[[#This Row],[std_dev]]</f>
        <v>0.25049457907278921</v>
      </c>
      <c r="K3059">
        <f>AVERAGEIF(Table1[CountryCode],Table1[[#This Row],[CountryCode]],Table1[z-score])</f>
        <v>6.3697920427276927E-2</v>
      </c>
      <c r="L3059" t="e">
        <f>VLOOKUP(Table1[[#This Row],[CountryCode]],[1]!Table1[#Data],4,FALSE)</f>
        <v>#REF!</v>
      </c>
    </row>
    <row r="3060" spans="1:12" hidden="1" x14ac:dyDescent="0.3">
      <c r="A3060" t="s">
        <v>55</v>
      </c>
      <c r="B3060" t="s">
        <v>56</v>
      </c>
      <c r="C3060" t="s">
        <v>125</v>
      </c>
      <c r="D3060" t="s">
        <v>126</v>
      </c>
      <c r="E3060">
        <v>2001</v>
      </c>
      <c r="F3060" s="1">
        <v>9</v>
      </c>
      <c r="G3060">
        <v>2000</v>
      </c>
      <c r="H3060">
        <f>AVERAGEIFS(Table1[value],Table1[IndicatorCode],Table1[[#This Row],[IndicatorCode]])</f>
        <v>7.6894248608534319</v>
      </c>
      <c r="I3060" cm="1">
        <f t="array" ref="I3060">_xlfn.STDEV.P(IF(Table1[IndicatorCode]=Table1[[#This Row],[IndicatorCode]],Table1[value]))</f>
        <v>5.2319501044600996</v>
      </c>
      <c r="J3060">
        <f>(Table1[[#This Row],[value]] - Table1[[#This Row],[mean]]) / Table1[[#This Row],[std_dev]]</f>
        <v>0.25049457907278921</v>
      </c>
      <c r="K3060">
        <f>AVERAGEIF(Table1[CountryCode],Table1[[#This Row],[CountryCode]],Table1[z-score])</f>
        <v>6.3697920427276927E-2</v>
      </c>
      <c r="L3060" t="e">
        <f>VLOOKUP(Table1[[#This Row],[CountryCode]],[1]!Table1[#Data],4,FALSE)</f>
        <v>#REF!</v>
      </c>
    </row>
    <row r="3061" spans="1:12" hidden="1" x14ac:dyDescent="0.3">
      <c r="A3061" t="s">
        <v>55</v>
      </c>
      <c r="B3061" t="s">
        <v>56</v>
      </c>
      <c r="C3061" t="s">
        <v>125</v>
      </c>
      <c r="D3061" t="s">
        <v>126</v>
      </c>
      <c r="E3061">
        <v>2002</v>
      </c>
      <c r="F3061" s="1">
        <v>9</v>
      </c>
      <c r="G3061">
        <v>2000</v>
      </c>
      <c r="H3061">
        <f>AVERAGEIFS(Table1[value],Table1[IndicatorCode],Table1[[#This Row],[IndicatorCode]])</f>
        <v>7.6894248608534319</v>
      </c>
      <c r="I3061" cm="1">
        <f t="array" ref="I3061">_xlfn.STDEV.P(IF(Table1[IndicatorCode]=Table1[[#This Row],[IndicatorCode]],Table1[value]))</f>
        <v>5.2319501044600996</v>
      </c>
      <c r="J3061">
        <f>(Table1[[#This Row],[value]] - Table1[[#This Row],[mean]]) / Table1[[#This Row],[std_dev]]</f>
        <v>0.25049457907278921</v>
      </c>
      <c r="K3061">
        <f>AVERAGEIF(Table1[CountryCode],Table1[[#This Row],[CountryCode]],Table1[z-score])</f>
        <v>6.3697920427276927E-2</v>
      </c>
      <c r="L3061" t="e">
        <f>VLOOKUP(Table1[[#This Row],[CountryCode]],[1]!Table1[#Data],4,FALSE)</f>
        <v>#REF!</v>
      </c>
    </row>
    <row r="3062" spans="1:12" hidden="1" x14ac:dyDescent="0.3">
      <c r="A3062" t="s">
        <v>55</v>
      </c>
      <c r="B3062" t="s">
        <v>56</v>
      </c>
      <c r="C3062" t="s">
        <v>125</v>
      </c>
      <c r="D3062" t="s">
        <v>126</v>
      </c>
      <c r="E3062">
        <v>2003</v>
      </c>
      <c r="F3062" s="1">
        <v>9</v>
      </c>
      <c r="G3062">
        <v>2000</v>
      </c>
      <c r="H3062">
        <f>AVERAGEIFS(Table1[value],Table1[IndicatorCode],Table1[[#This Row],[IndicatorCode]])</f>
        <v>7.6894248608534319</v>
      </c>
      <c r="I3062" cm="1">
        <f t="array" ref="I3062">_xlfn.STDEV.P(IF(Table1[IndicatorCode]=Table1[[#This Row],[IndicatorCode]],Table1[value]))</f>
        <v>5.2319501044600996</v>
      </c>
      <c r="J3062">
        <f>(Table1[[#This Row],[value]] - Table1[[#This Row],[mean]]) / Table1[[#This Row],[std_dev]]</f>
        <v>0.25049457907278921</v>
      </c>
      <c r="K3062">
        <f>AVERAGEIF(Table1[CountryCode],Table1[[#This Row],[CountryCode]],Table1[z-score])</f>
        <v>6.3697920427276927E-2</v>
      </c>
      <c r="L3062" t="e">
        <f>VLOOKUP(Table1[[#This Row],[CountryCode]],[1]!Table1[#Data],4,FALSE)</f>
        <v>#REF!</v>
      </c>
    </row>
    <row r="3063" spans="1:12" hidden="1" x14ac:dyDescent="0.3">
      <c r="A3063" t="s">
        <v>55</v>
      </c>
      <c r="B3063" t="s">
        <v>56</v>
      </c>
      <c r="C3063" t="s">
        <v>125</v>
      </c>
      <c r="D3063" t="s">
        <v>126</v>
      </c>
      <c r="E3063">
        <v>2004</v>
      </c>
      <c r="F3063" s="1">
        <v>9</v>
      </c>
      <c r="G3063">
        <v>2000</v>
      </c>
      <c r="H3063">
        <f>AVERAGEIFS(Table1[value],Table1[IndicatorCode],Table1[[#This Row],[IndicatorCode]])</f>
        <v>7.6894248608534319</v>
      </c>
      <c r="I3063" cm="1">
        <f t="array" ref="I3063">_xlfn.STDEV.P(IF(Table1[IndicatorCode]=Table1[[#This Row],[IndicatorCode]],Table1[value]))</f>
        <v>5.2319501044600996</v>
      </c>
      <c r="J3063">
        <f>(Table1[[#This Row],[value]] - Table1[[#This Row],[mean]]) / Table1[[#This Row],[std_dev]]</f>
        <v>0.25049457907278921</v>
      </c>
      <c r="K3063">
        <f>AVERAGEIF(Table1[CountryCode],Table1[[#This Row],[CountryCode]],Table1[z-score])</f>
        <v>6.3697920427276927E-2</v>
      </c>
      <c r="L3063" t="e">
        <f>VLOOKUP(Table1[[#This Row],[CountryCode]],[1]!Table1[#Data],4,FALSE)</f>
        <v>#REF!</v>
      </c>
    </row>
    <row r="3064" spans="1:12" hidden="1" x14ac:dyDescent="0.3">
      <c r="A3064" t="s">
        <v>55</v>
      </c>
      <c r="B3064" t="s">
        <v>56</v>
      </c>
      <c r="C3064" t="s">
        <v>125</v>
      </c>
      <c r="D3064" t="s">
        <v>126</v>
      </c>
      <c r="E3064">
        <v>2005</v>
      </c>
      <c r="F3064" s="1">
        <v>9</v>
      </c>
      <c r="G3064">
        <v>2000</v>
      </c>
      <c r="H3064">
        <f>AVERAGEIFS(Table1[value],Table1[IndicatorCode],Table1[[#This Row],[IndicatorCode]])</f>
        <v>7.6894248608534319</v>
      </c>
      <c r="I3064" cm="1">
        <f t="array" ref="I3064">_xlfn.STDEV.P(IF(Table1[IndicatorCode]=Table1[[#This Row],[IndicatorCode]],Table1[value]))</f>
        <v>5.2319501044600996</v>
      </c>
      <c r="J3064">
        <f>(Table1[[#This Row],[value]] - Table1[[#This Row],[mean]]) / Table1[[#This Row],[std_dev]]</f>
        <v>0.25049457907278921</v>
      </c>
      <c r="K3064">
        <f>AVERAGEIF(Table1[CountryCode],Table1[[#This Row],[CountryCode]],Table1[z-score])</f>
        <v>6.3697920427276927E-2</v>
      </c>
      <c r="L3064" t="e">
        <f>VLOOKUP(Table1[[#This Row],[CountryCode]],[1]!Table1[#Data],4,FALSE)</f>
        <v>#REF!</v>
      </c>
    </row>
    <row r="3065" spans="1:12" hidden="1" x14ac:dyDescent="0.3">
      <c r="A3065" t="s">
        <v>55</v>
      </c>
      <c r="B3065" t="s">
        <v>56</v>
      </c>
      <c r="C3065" t="s">
        <v>125</v>
      </c>
      <c r="D3065" t="s">
        <v>126</v>
      </c>
      <c r="E3065">
        <v>2006</v>
      </c>
      <c r="F3065" s="1">
        <v>9</v>
      </c>
      <c r="G3065">
        <v>2000</v>
      </c>
      <c r="H3065">
        <f>AVERAGEIFS(Table1[value],Table1[IndicatorCode],Table1[[#This Row],[IndicatorCode]])</f>
        <v>7.6894248608534319</v>
      </c>
      <c r="I3065" cm="1">
        <f t="array" ref="I3065">_xlfn.STDEV.P(IF(Table1[IndicatorCode]=Table1[[#This Row],[IndicatorCode]],Table1[value]))</f>
        <v>5.2319501044600996</v>
      </c>
      <c r="J3065">
        <f>(Table1[[#This Row],[value]] - Table1[[#This Row],[mean]]) / Table1[[#This Row],[std_dev]]</f>
        <v>0.25049457907278921</v>
      </c>
      <c r="K3065">
        <f>AVERAGEIF(Table1[CountryCode],Table1[[#This Row],[CountryCode]],Table1[z-score])</f>
        <v>6.3697920427276927E-2</v>
      </c>
      <c r="L3065" t="e">
        <f>VLOOKUP(Table1[[#This Row],[CountryCode]],[1]!Table1[#Data],4,FALSE)</f>
        <v>#REF!</v>
      </c>
    </row>
    <row r="3066" spans="1:12" hidden="1" x14ac:dyDescent="0.3">
      <c r="A3066" t="s">
        <v>55</v>
      </c>
      <c r="B3066" t="s">
        <v>56</v>
      </c>
      <c r="C3066" t="s">
        <v>125</v>
      </c>
      <c r="D3066" t="s">
        <v>126</v>
      </c>
      <c r="E3066">
        <v>2007</v>
      </c>
      <c r="F3066" s="1">
        <v>10</v>
      </c>
      <c r="G3066">
        <v>2010</v>
      </c>
      <c r="H3066">
        <f>AVERAGEIFS(Table1[value],Table1[IndicatorCode],Table1[[#This Row],[IndicatorCode]])</f>
        <v>7.6894248608534319</v>
      </c>
      <c r="I3066" cm="1">
        <f t="array" ref="I3066">_xlfn.STDEV.P(IF(Table1[IndicatorCode]=Table1[[#This Row],[IndicatorCode]],Table1[value]))</f>
        <v>5.2319501044600996</v>
      </c>
      <c r="J3066">
        <f>(Table1[[#This Row],[value]] - Table1[[#This Row],[mean]]) / Table1[[#This Row],[std_dev]]</f>
        <v>0.44162790030754762</v>
      </c>
      <c r="K3066">
        <f>AVERAGEIF(Table1[CountryCode],Table1[[#This Row],[CountryCode]],Table1[z-score])</f>
        <v>6.3697920427276927E-2</v>
      </c>
      <c r="L3066" t="e">
        <f>VLOOKUP(Table1[[#This Row],[CountryCode]],[1]!Table1[#Data],4,FALSE)</f>
        <v>#REF!</v>
      </c>
    </row>
    <row r="3067" spans="1:12" hidden="1" x14ac:dyDescent="0.3">
      <c r="A3067" t="s">
        <v>55</v>
      </c>
      <c r="B3067" t="s">
        <v>56</v>
      </c>
      <c r="C3067" t="s">
        <v>125</v>
      </c>
      <c r="D3067" t="s">
        <v>126</v>
      </c>
      <c r="E3067">
        <v>2008</v>
      </c>
      <c r="F3067" s="1">
        <v>9</v>
      </c>
      <c r="G3067">
        <v>2010</v>
      </c>
      <c r="H3067">
        <f>AVERAGEIFS(Table1[value],Table1[IndicatorCode],Table1[[#This Row],[IndicatorCode]])</f>
        <v>7.6894248608534319</v>
      </c>
      <c r="I3067" cm="1">
        <f t="array" ref="I3067">_xlfn.STDEV.P(IF(Table1[IndicatorCode]=Table1[[#This Row],[IndicatorCode]],Table1[value]))</f>
        <v>5.2319501044600996</v>
      </c>
      <c r="J3067">
        <f>(Table1[[#This Row],[value]] - Table1[[#This Row],[mean]]) / Table1[[#This Row],[std_dev]]</f>
        <v>0.25049457907278921</v>
      </c>
      <c r="K3067">
        <f>AVERAGEIF(Table1[CountryCode],Table1[[#This Row],[CountryCode]],Table1[z-score])</f>
        <v>6.3697920427276927E-2</v>
      </c>
      <c r="L3067" t="e">
        <f>VLOOKUP(Table1[[#This Row],[CountryCode]],[1]!Table1[#Data],4,FALSE)</f>
        <v>#REF!</v>
      </c>
    </row>
    <row r="3068" spans="1:12" hidden="1" x14ac:dyDescent="0.3">
      <c r="A3068" t="s">
        <v>55</v>
      </c>
      <c r="B3068" t="s">
        <v>56</v>
      </c>
      <c r="C3068" t="s">
        <v>125</v>
      </c>
      <c r="D3068" t="s">
        <v>126</v>
      </c>
      <c r="E3068">
        <v>2009</v>
      </c>
      <c r="F3068" s="1">
        <v>9</v>
      </c>
      <c r="G3068">
        <v>2010</v>
      </c>
      <c r="H3068">
        <f>AVERAGEIFS(Table1[value],Table1[IndicatorCode],Table1[[#This Row],[IndicatorCode]])</f>
        <v>7.6894248608534319</v>
      </c>
      <c r="I3068" cm="1">
        <f t="array" ref="I3068">_xlfn.STDEV.P(IF(Table1[IndicatorCode]=Table1[[#This Row],[IndicatorCode]],Table1[value]))</f>
        <v>5.2319501044600996</v>
      </c>
      <c r="J3068">
        <f>(Table1[[#This Row],[value]] - Table1[[#This Row],[mean]]) / Table1[[#This Row],[std_dev]]</f>
        <v>0.25049457907278921</v>
      </c>
      <c r="K3068">
        <f>AVERAGEIF(Table1[CountryCode],Table1[[#This Row],[CountryCode]],Table1[z-score])</f>
        <v>6.3697920427276927E-2</v>
      </c>
      <c r="L3068" t="e">
        <f>VLOOKUP(Table1[[#This Row],[CountryCode]],[1]!Table1[#Data],4,FALSE)</f>
        <v>#REF!</v>
      </c>
    </row>
    <row r="3069" spans="1:12" hidden="1" x14ac:dyDescent="0.3">
      <c r="A3069" t="s">
        <v>55</v>
      </c>
      <c r="B3069" t="s">
        <v>56</v>
      </c>
      <c r="C3069" t="s">
        <v>125</v>
      </c>
      <c r="D3069" t="s">
        <v>126</v>
      </c>
      <c r="E3069">
        <v>2010</v>
      </c>
      <c r="F3069" s="1">
        <v>8</v>
      </c>
      <c r="G3069">
        <v>2010</v>
      </c>
      <c r="H3069">
        <f>AVERAGEIFS(Table1[value],Table1[IndicatorCode],Table1[[#This Row],[IndicatorCode]])</f>
        <v>7.6894248608534319</v>
      </c>
      <c r="I3069" cm="1">
        <f t="array" ref="I3069">_xlfn.STDEV.P(IF(Table1[IndicatorCode]=Table1[[#This Row],[IndicatorCode]],Table1[value]))</f>
        <v>5.2319501044600996</v>
      </c>
      <c r="J3069">
        <f>(Table1[[#This Row],[value]] - Table1[[#This Row],[mean]]) / Table1[[#This Row],[std_dev]]</f>
        <v>5.9361257838030791E-2</v>
      </c>
      <c r="K3069">
        <f>AVERAGEIF(Table1[CountryCode],Table1[[#This Row],[CountryCode]],Table1[z-score])</f>
        <v>6.3697920427276927E-2</v>
      </c>
      <c r="L3069" t="e">
        <f>VLOOKUP(Table1[[#This Row],[CountryCode]],[1]!Table1[#Data],4,FALSE)</f>
        <v>#REF!</v>
      </c>
    </row>
    <row r="3070" spans="1:12" hidden="1" x14ac:dyDescent="0.3">
      <c r="A3070" t="s">
        <v>55</v>
      </c>
      <c r="B3070" t="s">
        <v>56</v>
      </c>
      <c r="C3070" t="s">
        <v>125</v>
      </c>
      <c r="D3070" t="s">
        <v>126</v>
      </c>
      <c r="E3070">
        <v>2011</v>
      </c>
      <c r="F3070" s="1">
        <v>8</v>
      </c>
      <c r="G3070">
        <v>2010</v>
      </c>
      <c r="H3070">
        <f>AVERAGEIFS(Table1[value],Table1[IndicatorCode],Table1[[#This Row],[IndicatorCode]])</f>
        <v>7.6894248608534319</v>
      </c>
      <c r="I3070" cm="1">
        <f t="array" ref="I3070">_xlfn.STDEV.P(IF(Table1[IndicatorCode]=Table1[[#This Row],[IndicatorCode]],Table1[value]))</f>
        <v>5.2319501044600996</v>
      </c>
      <c r="J3070">
        <f>(Table1[[#This Row],[value]] - Table1[[#This Row],[mean]]) / Table1[[#This Row],[std_dev]]</f>
        <v>5.9361257838030791E-2</v>
      </c>
      <c r="K3070">
        <f>AVERAGEIF(Table1[CountryCode],Table1[[#This Row],[CountryCode]],Table1[z-score])</f>
        <v>6.3697920427276927E-2</v>
      </c>
      <c r="L3070" t="e">
        <f>VLOOKUP(Table1[[#This Row],[CountryCode]],[1]!Table1[#Data],4,FALSE)</f>
        <v>#REF!</v>
      </c>
    </row>
    <row r="3071" spans="1:12" hidden="1" x14ac:dyDescent="0.3">
      <c r="A3071" t="s">
        <v>55</v>
      </c>
      <c r="B3071" t="s">
        <v>56</v>
      </c>
      <c r="C3071" t="s">
        <v>125</v>
      </c>
      <c r="D3071" t="s">
        <v>126</v>
      </c>
      <c r="E3071">
        <v>2012</v>
      </c>
      <c r="F3071" s="1">
        <v>7</v>
      </c>
      <c r="G3071">
        <v>2010</v>
      </c>
      <c r="H3071">
        <f>AVERAGEIFS(Table1[value],Table1[IndicatorCode],Table1[[#This Row],[IndicatorCode]])</f>
        <v>7.6894248608534319</v>
      </c>
      <c r="I3071" cm="1">
        <f t="array" ref="I3071">_xlfn.STDEV.P(IF(Table1[IndicatorCode]=Table1[[#This Row],[IndicatorCode]],Table1[value]))</f>
        <v>5.2319501044600996</v>
      </c>
      <c r="J3071">
        <f>(Table1[[#This Row],[value]] - Table1[[#This Row],[mean]]) / Table1[[#This Row],[std_dev]]</f>
        <v>-0.13177206339672762</v>
      </c>
      <c r="K3071">
        <f>AVERAGEIF(Table1[CountryCode],Table1[[#This Row],[CountryCode]],Table1[z-score])</f>
        <v>6.3697920427276927E-2</v>
      </c>
      <c r="L3071" t="e">
        <f>VLOOKUP(Table1[[#This Row],[CountryCode]],[1]!Table1[#Data],4,FALSE)</f>
        <v>#REF!</v>
      </c>
    </row>
    <row r="3072" spans="1:12" hidden="1" x14ac:dyDescent="0.3">
      <c r="A3072" t="s">
        <v>55</v>
      </c>
      <c r="B3072" t="s">
        <v>56</v>
      </c>
      <c r="C3072" t="s">
        <v>125</v>
      </c>
      <c r="D3072" t="s">
        <v>126</v>
      </c>
      <c r="E3072">
        <v>2013</v>
      </c>
      <c r="F3072" s="1">
        <v>7</v>
      </c>
      <c r="G3072">
        <v>2010</v>
      </c>
      <c r="H3072">
        <f>AVERAGEIFS(Table1[value],Table1[IndicatorCode],Table1[[#This Row],[IndicatorCode]])</f>
        <v>7.6894248608534319</v>
      </c>
      <c r="I3072" cm="1">
        <f t="array" ref="I3072">_xlfn.STDEV.P(IF(Table1[IndicatorCode]=Table1[[#This Row],[IndicatorCode]],Table1[value]))</f>
        <v>5.2319501044600996</v>
      </c>
      <c r="J3072">
        <f>(Table1[[#This Row],[value]] - Table1[[#This Row],[mean]]) / Table1[[#This Row],[std_dev]]</f>
        <v>-0.13177206339672762</v>
      </c>
      <c r="K3072">
        <f>AVERAGEIF(Table1[CountryCode],Table1[[#This Row],[CountryCode]],Table1[z-score])</f>
        <v>6.3697920427276927E-2</v>
      </c>
      <c r="L3072" t="e">
        <f>VLOOKUP(Table1[[#This Row],[CountryCode]],[1]!Table1[#Data],4,FALSE)</f>
        <v>#REF!</v>
      </c>
    </row>
    <row r="3073" spans="1:12" hidden="1" x14ac:dyDescent="0.3">
      <c r="A3073" t="s">
        <v>55</v>
      </c>
      <c r="B3073" t="s">
        <v>56</v>
      </c>
      <c r="C3073" t="s">
        <v>125</v>
      </c>
      <c r="D3073" t="s">
        <v>126</v>
      </c>
      <c r="E3073">
        <v>2014</v>
      </c>
      <c r="F3073" s="1">
        <v>7</v>
      </c>
      <c r="G3073">
        <v>2010</v>
      </c>
      <c r="H3073">
        <f>AVERAGEIFS(Table1[value],Table1[IndicatorCode],Table1[[#This Row],[IndicatorCode]])</f>
        <v>7.6894248608534319</v>
      </c>
      <c r="I3073" cm="1">
        <f t="array" ref="I3073">_xlfn.STDEV.P(IF(Table1[IndicatorCode]=Table1[[#This Row],[IndicatorCode]],Table1[value]))</f>
        <v>5.2319501044600996</v>
      </c>
      <c r="J3073">
        <f>(Table1[[#This Row],[value]] - Table1[[#This Row],[mean]]) / Table1[[#This Row],[std_dev]]</f>
        <v>-0.13177206339672762</v>
      </c>
      <c r="K3073">
        <f>AVERAGEIF(Table1[CountryCode],Table1[[#This Row],[CountryCode]],Table1[z-score])</f>
        <v>6.3697920427276927E-2</v>
      </c>
      <c r="L3073" t="e">
        <f>VLOOKUP(Table1[[#This Row],[CountryCode]],[1]!Table1[#Data],4,FALSE)</f>
        <v>#REF!</v>
      </c>
    </row>
    <row r="3074" spans="1:12" hidden="1" x14ac:dyDescent="0.3">
      <c r="A3074" t="s">
        <v>55</v>
      </c>
      <c r="B3074" t="s">
        <v>56</v>
      </c>
      <c r="C3074" t="s">
        <v>125</v>
      </c>
      <c r="D3074" t="s">
        <v>126</v>
      </c>
      <c r="E3074">
        <v>2015</v>
      </c>
      <c r="F3074" s="1">
        <v>6</v>
      </c>
      <c r="G3074">
        <v>2010</v>
      </c>
      <c r="H3074">
        <f>AVERAGEIFS(Table1[value],Table1[IndicatorCode],Table1[[#This Row],[IndicatorCode]])</f>
        <v>7.6894248608534319</v>
      </c>
      <c r="I3074" cm="1">
        <f t="array" ref="I3074">_xlfn.STDEV.P(IF(Table1[IndicatorCode]=Table1[[#This Row],[IndicatorCode]],Table1[value]))</f>
        <v>5.2319501044600996</v>
      </c>
      <c r="J3074">
        <f>(Table1[[#This Row],[value]] - Table1[[#This Row],[mean]]) / Table1[[#This Row],[std_dev]]</f>
        <v>-0.32290538463148605</v>
      </c>
      <c r="K3074">
        <f>AVERAGEIF(Table1[CountryCode],Table1[[#This Row],[CountryCode]],Table1[z-score])</f>
        <v>6.3697920427276927E-2</v>
      </c>
      <c r="L3074" t="e">
        <f>VLOOKUP(Table1[[#This Row],[CountryCode]],[1]!Table1[#Data],4,FALSE)</f>
        <v>#REF!</v>
      </c>
    </row>
    <row r="3075" spans="1:12" hidden="1" x14ac:dyDescent="0.3">
      <c r="A3075" t="s">
        <v>55</v>
      </c>
      <c r="B3075" t="s">
        <v>56</v>
      </c>
      <c r="C3075" t="s">
        <v>125</v>
      </c>
      <c r="D3075" t="s">
        <v>126</v>
      </c>
      <c r="E3075">
        <v>2016</v>
      </c>
      <c r="F3075" s="1">
        <v>6</v>
      </c>
      <c r="G3075">
        <v>2010</v>
      </c>
      <c r="H3075">
        <f>AVERAGEIFS(Table1[value],Table1[IndicatorCode],Table1[[#This Row],[IndicatorCode]])</f>
        <v>7.6894248608534319</v>
      </c>
      <c r="I3075" cm="1">
        <f t="array" ref="I3075">_xlfn.STDEV.P(IF(Table1[IndicatorCode]=Table1[[#This Row],[IndicatorCode]],Table1[value]))</f>
        <v>5.2319501044600996</v>
      </c>
      <c r="J3075">
        <f>(Table1[[#This Row],[value]] - Table1[[#This Row],[mean]]) / Table1[[#This Row],[std_dev]]</f>
        <v>-0.32290538463148605</v>
      </c>
      <c r="K3075">
        <f>AVERAGEIF(Table1[CountryCode],Table1[[#This Row],[CountryCode]],Table1[z-score])</f>
        <v>6.3697920427276927E-2</v>
      </c>
      <c r="L3075" t="e">
        <f>VLOOKUP(Table1[[#This Row],[CountryCode]],[1]!Table1[#Data],4,FALSE)</f>
        <v>#REF!</v>
      </c>
    </row>
    <row r="3076" spans="1:12" hidden="1" x14ac:dyDescent="0.3">
      <c r="A3076" t="s">
        <v>55</v>
      </c>
      <c r="B3076" t="s">
        <v>56</v>
      </c>
      <c r="C3076" t="s">
        <v>125</v>
      </c>
      <c r="D3076" t="s">
        <v>126</v>
      </c>
      <c r="E3076">
        <v>2017</v>
      </c>
      <c r="F3076" s="1">
        <v>6</v>
      </c>
      <c r="G3076">
        <v>2020</v>
      </c>
      <c r="H3076">
        <f>AVERAGEIFS(Table1[value],Table1[IndicatorCode],Table1[[#This Row],[IndicatorCode]])</f>
        <v>7.6894248608534319</v>
      </c>
      <c r="I3076" cm="1">
        <f t="array" ref="I3076">_xlfn.STDEV.P(IF(Table1[IndicatorCode]=Table1[[#This Row],[IndicatorCode]],Table1[value]))</f>
        <v>5.2319501044600996</v>
      </c>
      <c r="J3076">
        <f>(Table1[[#This Row],[value]] - Table1[[#This Row],[mean]]) / Table1[[#This Row],[std_dev]]</f>
        <v>-0.32290538463148605</v>
      </c>
      <c r="K3076">
        <f>AVERAGEIF(Table1[CountryCode],Table1[[#This Row],[CountryCode]],Table1[z-score])</f>
        <v>6.3697920427276927E-2</v>
      </c>
      <c r="L3076" t="e">
        <f>VLOOKUP(Table1[[#This Row],[CountryCode]],[1]!Table1[#Data],4,FALSE)</f>
        <v>#REF!</v>
      </c>
    </row>
    <row r="3077" spans="1:12" hidden="1" x14ac:dyDescent="0.3">
      <c r="A3077" t="s">
        <v>55</v>
      </c>
      <c r="B3077" t="s">
        <v>56</v>
      </c>
      <c r="C3077" t="s">
        <v>125</v>
      </c>
      <c r="D3077" t="s">
        <v>126</v>
      </c>
      <c r="E3077">
        <v>2018</v>
      </c>
      <c r="F3077" s="1">
        <v>6</v>
      </c>
      <c r="G3077">
        <v>2020</v>
      </c>
      <c r="H3077">
        <f>AVERAGEIFS(Table1[value],Table1[IndicatorCode],Table1[[#This Row],[IndicatorCode]])</f>
        <v>7.6894248608534319</v>
      </c>
      <c r="I3077" cm="1">
        <f t="array" ref="I3077">_xlfn.STDEV.P(IF(Table1[IndicatorCode]=Table1[[#This Row],[IndicatorCode]],Table1[value]))</f>
        <v>5.2319501044600996</v>
      </c>
      <c r="J3077">
        <f>(Table1[[#This Row],[value]] - Table1[[#This Row],[mean]]) / Table1[[#This Row],[std_dev]]</f>
        <v>-0.32290538463148605</v>
      </c>
      <c r="K3077">
        <f>AVERAGEIF(Table1[CountryCode],Table1[[#This Row],[CountryCode]],Table1[z-score])</f>
        <v>6.3697920427276927E-2</v>
      </c>
      <c r="L3077" t="e">
        <f>VLOOKUP(Table1[[#This Row],[CountryCode]],[1]!Table1[#Data],4,FALSE)</f>
        <v>#REF!</v>
      </c>
    </row>
    <row r="3078" spans="1:12" hidden="1" x14ac:dyDescent="0.3">
      <c r="A3078" t="s">
        <v>55</v>
      </c>
      <c r="B3078" t="s">
        <v>56</v>
      </c>
      <c r="C3078" t="s">
        <v>125</v>
      </c>
      <c r="D3078" t="s">
        <v>126</v>
      </c>
      <c r="E3078">
        <v>2019</v>
      </c>
      <c r="F3078" s="1">
        <v>6</v>
      </c>
      <c r="G3078">
        <v>2020</v>
      </c>
      <c r="H3078">
        <f>AVERAGEIFS(Table1[value],Table1[IndicatorCode],Table1[[#This Row],[IndicatorCode]])</f>
        <v>7.6894248608534319</v>
      </c>
      <c r="I3078" cm="1">
        <f t="array" ref="I3078">_xlfn.STDEV.P(IF(Table1[IndicatorCode]=Table1[[#This Row],[IndicatorCode]],Table1[value]))</f>
        <v>5.2319501044600996</v>
      </c>
      <c r="J3078">
        <f>(Table1[[#This Row],[value]] - Table1[[#This Row],[mean]]) / Table1[[#This Row],[std_dev]]</f>
        <v>-0.32290538463148605</v>
      </c>
      <c r="K3078">
        <f>AVERAGEIF(Table1[CountryCode],Table1[[#This Row],[CountryCode]],Table1[z-score])</f>
        <v>6.3697920427276927E-2</v>
      </c>
      <c r="L3078" t="e">
        <f>VLOOKUP(Table1[[#This Row],[CountryCode]],[1]!Table1[#Data],4,FALSE)</f>
        <v>#REF!</v>
      </c>
    </row>
    <row r="3079" spans="1:12" x14ac:dyDescent="0.3">
      <c r="A3079" t="s">
        <v>55</v>
      </c>
      <c r="B3079" t="s">
        <v>56</v>
      </c>
      <c r="C3079" t="s">
        <v>125</v>
      </c>
      <c r="D3079" t="s">
        <v>126</v>
      </c>
      <c r="E3079">
        <v>2020</v>
      </c>
      <c r="F3079" s="1">
        <v>5</v>
      </c>
      <c r="G3079">
        <v>2020</v>
      </c>
      <c r="H3079">
        <f>AVERAGEIFS(Table1[value],Table1[IndicatorCode],Table1[[#This Row],[IndicatorCode]])</f>
        <v>7.6894248608534319</v>
      </c>
      <c r="I3079" cm="1">
        <f t="array" ref="I3079">_xlfn.STDEV.P(IF(Table1[IndicatorCode]=Table1[[#This Row],[IndicatorCode]],Table1[value]))</f>
        <v>5.2319501044600996</v>
      </c>
      <c r="J3079">
        <f>(Table1[[#This Row],[value]] - Table1[[#This Row],[mean]]) / Table1[[#This Row],[std_dev]]</f>
        <v>-0.51403870586624445</v>
      </c>
      <c r="K3079">
        <f>AVERAGEIF(Table1[CountryCode],Table1[[#This Row],[CountryCode]],Table1[z-score])</f>
        <v>6.3697920427276927E-2</v>
      </c>
    </row>
    <row r="3080" spans="1:12" hidden="1" x14ac:dyDescent="0.3">
      <c r="A3080" t="s">
        <v>55</v>
      </c>
      <c r="B3080" t="s">
        <v>56</v>
      </c>
      <c r="C3080" t="s">
        <v>125</v>
      </c>
      <c r="D3080" t="s">
        <v>126</v>
      </c>
      <c r="E3080">
        <v>2021</v>
      </c>
      <c r="F3080" s="1">
        <v>5</v>
      </c>
      <c r="G3080">
        <v>2020</v>
      </c>
      <c r="H3080">
        <f>AVERAGEIFS(Table1[value],Table1[IndicatorCode],Table1[[#This Row],[IndicatorCode]])</f>
        <v>7.6894248608534319</v>
      </c>
      <c r="I3080" cm="1">
        <f t="array" ref="I3080">_xlfn.STDEV.P(IF(Table1[IndicatorCode]=Table1[[#This Row],[IndicatorCode]],Table1[value]))</f>
        <v>5.2319501044600996</v>
      </c>
      <c r="J3080">
        <f>(Table1[[#This Row],[value]] - Table1[[#This Row],[mean]]) / Table1[[#This Row],[std_dev]]</f>
        <v>-0.51403870586624445</v>
      </c>
      <c r="K3080">
        <f>AVERAGEIF(Table1[CountryCode],Table1[[#This Row],[CountryCode]],Table1[z-score])</f>
        <v>6.3697920427276927E-2</v>
      </c>
      <c r="L3080" t="e">
        <f>VLOOKUP(Table1[[#This Row],[CountryCode]],[1]!Table1[#Data],4,FALSE)</f>
        <v>#REF!</v>
      </c>
    </row>
    <row r="3081" spans="1:12" hidden="1" x14ac:dyDescent="0.3">
      <c r="A3081" t="s">
        <v>55</v>
      </c>
      <c r="B3081" t="s">
        <v>56</v>
      </c>
      <c r="C3081" t="s">
        <v>125</v>
      </c>
      <c r="D3081" t="s">
        <v>126</v>
      </c>
      <c r="E3081">
        <v>2022</v>
      </c>
      <c r="F3081" s="1">
        <v>5</v>
      </c>
      <c r="G3081">
        <v>1970</v>
      </c>
      <c r="H3081">
        <f>AVERAGEIFS(Table1[value],Table1[IndicatorCode],Table1[[#This Row],[IndicatorCode]])</f>
        <v>7.6894248608534319</v>
      </c>
      <c r="I3081" cm="1">
        <f t="array" ref="I3081">_xlfn.STDEV.P(IF(Table1[IndicatorCode]=Table1[[#This Row],[IndicatorCode]],Table1[value]))</f>
        <v>5.2319501044600996</v>
      </c>
      <c r="J3081">
        <f>(Table1[[#This Row],[value]] - Table1[[#This Row],[mean]]) / Table1[[#This Row],[std_dev]]</f>
        <v>-0.51403870586624445</v>
      </c>
      <c r="K3081">
        <f>AVERAGEIF(Table1[CountryCode],Table1[[#This Row],[CountryCode]],Table1[z-score])</f>
        <v>6.3697920427276927E-2</v>
      </c>
      <c r="L3081" t="e">
        <f>VLOOKUP(Table1[[#This Row],[CountryCode]],[1]!Table1[#Data],4,FALSE)</f>
        <v>#REF!</v>
      </c>
    </row>
    <row r="3082" spans="1:12" hidden="1" x14ac:dyDescent="0.3">
      <c r="A3082" t="s">
        <v>55</v>
      </c>
      <c r="B3082" t="s">
        <v>56</v>
      </c>
      <c r="C3082" t="s">
        <v>125</v>
      </c>
      <c r="D3082" t="s">
        <v>126</v>
      </c>
      <c r="E3082">
        <v>2023</v>
      </c>
      <c r="F3082" s="1">
        <v>5</v>
      </c>
      <c r="G3082">
        <v>1970</v>
      </c>
      <c r="H3082">
        <f>AVERAGEIFS(Table1[value],Table1[IndicatorCode],Table1[[#This Row],[IndicatorCode]])</f>
        <v>7.6894248608534319</v>
      </c>
      <c r="I3082" cm="1">
        <f t="array" ref="I3082">_xlfn.STDEV.P(IF(Table1[IndicatorCode]=Table1[[#This Row],[IndicatorCode]],Table1[value]))</f>
        <v>5.2319501044600996</v>
      </c>
      <c r="J3082">
        <f>(Table1[[#This Row],[value]] - Table1[[#This Row],[mean]]) / Table1[[#This Row],[std_dev]]</f>
        <v>-0.51403870586624445</v>
      </c>
      <c r="K3082">
        <f>AVERAGEIF(Table1[CountryCode],Table1[[#This Row],[CountryCode]],Table1[z-score])</f>
        <v>6.3697920427276927E-2</v>
      </c>
      <c r="L3082" t="e">
        <f>VLOOKUP(Table1[[#This Row],[CountryCode]],[1]!Table1[#Data],4,FALSE)</f>
        <v>#REF!</v>
      </c>
    </row>
    <row r="3083" spans="1:12" hidden="1" x14ac:dyDescent="0.3">
      <c r="A3083" t="s">
        <v>55</v>
      </c>
      <c r="B3083" t="s">
        <v>56</v>
      </c>
      <c r="C3083" t="s">
        <v>125</v>
      </c>
      <c r="D3083" t="s">
        <v>126</v>
      </c>
      <c r="E3083">
        <v>2024</v>
      </c>
      <c r="F3083" s="1">
        <v>5</v>
      </c>
      <c r="G3083">
        <v>1970</v>
      </c>
      <c r="H3083">
        <f>AVERAGEIFS(Table1[value],Table1[IndicatorCode],Table1[[#This Row],[IndicatorCode]])</f>
        <v>7.6894248608534319</v>
      </c>
      <c r="I3083" cm="1">
        <f t="array" ref="I3083">_xlfn.STDEV.P(IF(Table1[IndicatorCode]=Table1[[#This Row],[IndicatorCode]],Table1[value]))</f>
        <v>5.2319501044600996</v>
      </c>
      <c r="J3083">
        <f>(Table1[[#This Row],[value]] - Table1[[#This Row],[mean]]) / Table1[[#This Row],[std_dev]]</f>
        <v>-0.51403870586624445</v>
      </c>
      <c r="K3083">
        <f>AVERAGEIF(Table1[CountryCode],Table1[[#This Row],[CountryCode]],Table1[z-score])</f>
        <v>6.3697920427276927E-2</v>
      </c>
      <c r="L3083" t="e">
        <f>VLOOKUP(Table1[[#This Row],[CountryCode]],[1]!Table1[#Data],4,FALSE)</f>
        <v>#REF!</v>
      </c>
    </row>
    <row r="3084" spans="1:12" hidden="1" x14ac:dyDescent="0.3">
      <c r="A3084" t="s">
        <v>57</v>
      </c>
      <c r="B3084" t="s">
        <v>58</v>
      </c>
      <c r="C3084" t="s">
        <v>125</v>
      </c>
      <c r="D3084" t="s">
        <v>126</v>
      </c>
      <c r="E3084">
        <v>1970</v>
      </c>
      <c r="F3084" s="1">
        <v>0</v>
      </c>
      <c r="G3084">
        <v>1970</v>
      </c>
      <c r="H3084">
        <f>AVERAGEIFS(Table1[value],Table1[IndicatorCode],Table1[[#This Row],[IndicatorCode]])</f>
        <v>7.6894248608534319</v>
      </c>
      <c r="I3084" cm="1">
        <f t="array" ref="I3084">_xlfn.STDEV.P(IF(Table1[IndicatorCode]=Table1[[#This Row],[IndicatorCode]],Table1[value]))</f>
        <v>5.2319501044600996</v>
      </c>
      <c r="J3084">
        <f>(Table1[[#This Row],[value]] - Table1[[#This Row],[mean]]) / Table1[[#This Row],[std_dev]]</f>
        <v>-1.4697053120400365</v>
      </c>
      <c r="K3084">
        <f>AVERAGEIF(Table1[CountryCode],Table1[[#This Row],[CountryCode]],Table1[z-score])</f>
        <v>-0.42188835181926676</v>
      </c>
      <c r="L3084" t="e">
        <f>VLOOKUP(Table1[[#This Row],[CountryCode]],[1]!Table1[#Data],4,FALSE)</f>
        <v>#REF!</v>
      </c>
    </row>
    <row r="3085" spans="1:12" hidden="1" x14ac:dyDescent="0.3">
      <c r="A3085" t="s">
        <v>57</v>
      </c>
      <c r="B3085" t="s">
        <v>58</v>
      </c>
      <c r="C3085" t="s">
        <v>125</v>
      </c>
      <c r="D3085" t="s">
        <v>126</v>
      </c>
      <c r="E3085">
        <v>1971</v>
      </c>
      <c r="F3085" s="1">
        <v>0</v>
      </c>
      <c r="G3085">
        <v>1970</v>
      </c>
      <c r="H3085">
        <f>AVERAGEIFS(Table1[value],Table1[IndicatorCode],Table1[[#This Row],[IndicatorCode]])</f>
        <v>7.6894248608534319</v>
      </c>
      <c r="I3085" cm="1">
        <f t="array" ref="I3085">_xlfn.STDEV.P(IF(Table1[IndicatorCode]=Table1[[#This Row],[IndicatorCode]],Table1[value]))</f>
        <v>5.2319501044600996</v>
      </c>
      <c r="J3085">
        <f>(Table1[[#This Row],[value]] - Table1[[#This Row],[mean]]) / Table1[[#This Row],[std_dev]]</f>
        <v>-1.4697053120400365</v>
      </c>
      <c r="K3085">
        <f>AVERAGEIF(Table1[CountryCode],Table1[[#This Row],[CountryCode]],Table1[z-score])</f>
        <v>-0.42188835181926676</v>
      </c>
      <c r="L3085" t="e">
        <f>VLOOKUP(Table1[[#This Row],[CountryCode]],[1]!Table1[#Data],4,FALSE)</f>
        <v>#REF!</v>
      </c>
    </row>
    <row r="3086" spans="1:12" hidden="1" x14ac:dyDescent="0.3">
      <c r="A3086" t="s">
        <v>57</v>
      </c>
      <c r="B3086" t="s">
        <v>58</v>
      </c>
      <c r="C3086" t="s">
        <v>125</v>
      </c>
      <c r="D3086" t="s">
        <v>126</v>
      </c>
      <c r="E3086">
        <v>1972</v>
      </c>
      <c r="F3086" s="1">
        <v>0</v>
      </c>
      <c r="G3086">
        <v>1970</v>
      </c>
      <c r="H3086">
        <f>AVERAGEIFS(Table1[value],Table1[IndicatorCode],Table1[[#This Row],[IndicatorCode]])</f>
        <v>7.6894248608534319</v>
      </c>
      <c r="I3086" cm="1">
        <f t="array" ref="I3086">_xlfn.STDEV.P(IF(Table1[IndicatorCode]=Table1[[#This Row],[IndicatorCode]],Table1[value]))</f>
        <v>5.2319501044600996</v>
      </c>
      <c r="J3086">
        <f>(Table1[[#This Row],[value]] - Table1[[#This Row],[mean]]) / Table1[[#This Row],[std_dev]]</f>
        <v>-1.4697053120400365</v>
      </c>
      <c r="K3086">
        <f>AVERAGEIF(Table1[CountryCode],Table1[[#This Row],[CountryCode]],Table1[z-score])</f>
        <v>-0.42188835181926676</v>
      </c>
      <c r="L3086" t="e">
        <f>VLOOKUP(Table1[[#This Row],[CountryCode]],[1]!Table1[#Data],4,FALSE)</f>
        <v>#REF!</v>
      </c>
    </row>
    <row r="3087" spans="1:12" hidden="1" x14ac:dyDescent="0.3">
      <c r="A3087" t="s">
        <v>57</v>
      </c>
      <c r="B3087" t="s">
        <v>58</v>
      </c>
      <c r="C3087" t="s">
        <v>125</v>
      </c>
      <c r="D3087" t="s">
        <v>126</v>
      </c>
      <c r="E3087">
        <v>1973</v>
      </c>
      <c r="F3087" s="1">
        <v>0</v>
      </c>
      <c r="G3087">
        <v>1970</v>
      </c>
      <c r="H3087">
        <f>AVERAGEIFS(Table1[value],Table1[IndicatorCode],Table1[[#This Row],[IndicatorCode]])</f>
        <v>7.6894248608534319</v>
      </c>
      <c r="I3087" cm="1">
        <f t="array" ref="I3087">_xlfn.STDEV.P(IF(Table1[IndicatorCode]=Table1[[#This Row],[IndicatorCode]],Table1[value]))</f>
        <v>5.2319501044600996</v>
      </c>
      <c r="J3087">
        <f>(Table1[[#This Row],[value]] - Table1[[#This Row],[mean]]) / Table1[[#This Row],[std_dev]]</f>
        <v>-1.4697053120400365</v>
      </c>
      <c r="K3087">
        <f>AVERAGEIF(Table1[CountryCode],Table1[[#This Row],[CountryCode]],Table1[z-score])</f>
        <v>-0.42188835181926676</v>
      </c>
      <c r="L3087" t="e">
        <f>VLOOKUP(Table1[[#This Row],[CountryCode]],[1]!Table1[#Data],4,FALSE)</f>
        <v>#REF!</v>
      </c>
    </row>
    <row r="3088" spans="1:12" hidden="1" x14ac:dyDescent="0.3">
      <c r="A3088" t="s">
        <v>57</v>
      </c>
      <c r="B3088" t="s">
        <v>58</v>
      </c>
      <c r="C3088" t="s">
        <v>125</v>
      </c>
      <c r="D3088" t="s">
        <v>126</v>
      </c>
      <c r="E3088">
        <v>1974</v>
      </c>
      <c r="F3088" s="1">
        <v>0</v>
      </c>
      <c r="G3088">
        <v>1970</v>
      </c>
      <c r="H3088">
        <f>AVERAGEIFS(Table1[value],Table1[IndicatorCode],Table1[[#This Row],[IndicatorCode]])</f>
        <v>7.6894248608534319</v>
      </c>
      <c r="I3088" cm="1">
        <f t="array" ref="I3088">_xlfn.STDEV.P(IF(Table1[IndicatorCode]=Table1[[#This Row],[IndicatorCode]],Table1[value]))</f>
        <v>5.2319501044600996</v>
      </c>
      <c r="J3088">
        <f>(Table1[[#This Row],[value]] - Table1[[#This Row],[mean]]) / Table1[[#This Row],[std_dev]]</f>
        <v>-1.4697053120400365</v>
      </c>
      <c r="K3088">
        <f>AVERAGEIF(Table1[CountryCode],Table1[[#This Row],[CountryCode]],Table1[z-score])</f>
        <v>-0.42188835181926676</v>
      </c>
      <c r="L3088" t="e">
        <f>VLOOKUP(Table1[[#This Row],[CountryCode]],[1]!Table1[#Data],4,FALSE)</f>
        <v>#REF!</v>
      </c>
    </row>
    <row r="3089" spans="1:12" hidden="1" x14ac:dyDescent="0.3">
      <c r="A3089" t="s">
        <v>57</v>
      </c>
      <c r="B3089" t="s">
        <v>58</v>
      </c>
      <c r="C3089" t="s">
        <v>125</v>
      </c>
      <c r="D3089" t="s">
        <v>126</v>
      </c>
      <c r="E3089">
        <v>1975</v>
      </c>
      <c r="F3089" s="1">
        <v>0</v>
      </c>
      <c r="G3089">
        <v>1970</v>
      </c>
      <c r="H3089">
        <f>AVERAGEIFS(Table1[value],Table1[IndicatorCode],Table1[[#This Row],[IndicatorCode]])</f>
        <v>7.6894248608534319</v>
      </c>
      <c r="I3089" cm="1">
        <f t="array" ref="I3089">_xlfn.STDEV.P(IF(Table1[IndicatorCode]=Table1[[#This Row],[IndicatorCode]],Table1[value]))</f>
        <v>5.2319501044600996</v>
      </c>
      <c r="J3089">
        <f>(Table1[[#This Row],[value]] - Table1[[#This Row],[mean]]) / Table1[[#This Row],[std_dev]]</f>
        <v>-1.4697053120400365</v>
      </c>
      <c r="K3089">
        <f>AVERAGEIF(Table1[CountryCode],Table1[[#This Row],[CountryCode]],Table1[z-score])</f>
        <v>-0.42188835181926676</v>
      </c>
      <c r="L3089" t="e">
        <f>VLOOKUP(Table1[[#This Row],[CountryCode]],[1]!Table1[#Data],4,FALSE)</f>
        <v>#REF!</v>
      </c>
    </row>
    <row r="3090" spans="1:12" hidden="1" x14ac:dyDescent="0.3">
      <c r="A3090" t="s">
        <v>57</v>
      </c>
      <c r="B3090" t="s">
        <v>58</v>
      </c>
      <c r="C3090" t="s">
        <v>125</v>
      </c>
      <c r="D3090" t="s">
        <v>126</v>
      </c>
      <c r="E3090">
        <v>1976</v>
      </c>
      <c r="F3090" s="1">
        <v>0</v>
      </c>
      <c r="G3090">
        <v>1970</v>
      </c>
      <c r="H3090">
        <f>AVERAGEIFS(Table1[value],Table1[IndicatorCode],Table1[[#This Row],[IndicatorCode]])</f>
        <v>7.6894248608534319</v>
      </c>
      <c r="I3090" cm="1">
        <f t="array" ref="I3090">_xlfn.STDEV.P(IF(Table1[IndicatorCode]=Table1[[#This Row],[IndicatorCode]],Table1[value]))</f>
        <v>5.2319501044600996</v>
      </c>
      <c r="J3090">
        <f>(Table1[[#This Row],[value]] - Table1[[#This Row],[mean]]) / Table1[[#This Row],[std_dev]]</f>
        <v>-1.4697053120400365</v>
      </c>
      <c r="K3090">
        <f>AVERAGEIF(Table1[CountryCode],Table1[[#This Row],[CountryCode]],Table1[z-score])</f>
        <v>-0.42188835181926676</v>
      </c>
      <c r="L3090" t="e">
        <f>VLOOKUP(Table1[[#This Row],[CountryCode]],[1]!Table1[#Data],4,FALSE)</f>
        <v>#REF!</v>
      </c>
    </row>
    <row r="3091" spans="1:12" hidden="1" x14ac:dyDescent="0.3">
      <c r="A3091" t="s">
        <v>57</v>
      </c>
      <c r="B3091" t="s">
        <v>58</v>
      </c>
      <c r="C3091" t="s">
        <v>125</v>
      </c>
      <c r="D3091" t="s">
        <v>126</v>
      </c>
      <c r="E3091">
        <v>1977</v>
      </c>
      <c r="F3091" s="1">
        <v>0</v>
      </c>
      <c r="G3091">
        <v>1980</v>
      </c>
      <c r="H3091">
        <f>AVERAGEIFS(Table1[value],Table1[IndicatorCode],Table1[[#This Row],[IndicatorCode]])</f>
        <v>7.6894248608534319</v>
      </c>
      <c r="I3091" cm="1">
        <f t="array" ref="I3091">_xlfn.STDEV.P(IF(Table1[IndicatorCode]=Table1[[#This Row],[IndicatorCode]],Table1[value]))</f>
        <v>5.2319501044600996</v>
      </c>
      <c r="J3091">
        <f>(Table1[[#This Row],[value]] - Table1[[#This Row],[mean]]) / Table1[[#This Row],[std_dev]]</f>
        <v>-1.4697053120400365</v>
      </c>
      <c r="K3091">
        <f>AVERAGEIF(Table1[CountryCode],Table1[[#This Row],[CountryCode]],Table1[z-score])</f>
        <v>-0.42188835181926676</v>
      </c>
      <c r="L3091" t="e">
        <f>VLOOKUP(Table1[[#This Row],[CountryCode]],[1]!Table1[#Data],4,FALSE)</f>
        <v>#REF!</v>
      </c>
    </row>
    <row r="3092" spans="1:12" hidden="1" x14ac:dyDescent="0.3">
      <c r="A3092" t="s">
        <v>57</v>
      </c>
      <c r="B3092" t="s">
        <v>58</v>
      </c>
      <c r="C3092" t="s">
        <v>125</v>
      </c>
      <c r="D3092" t="s">
        <v>126</v>
      </c>
      <c r="E3092">
        <v>1978</v>
      </c>
      <c r="F3092" s="1">
        <v>0</v>
      </c>
      <c r="G3092">
        <v>1980</v>
      </c>
      <c r="H3092">
        <f>AVERAGEIFS(Table1[value],Table1[IndicatorCode],Table1[[#This Row],[IndicatorCode]])</f>
        <v>7.6894248608534319</v>
      </c>
      <c r="I3092" cm="1">
        <f t="array" ref="I3092">_xlfn.STDEV.P(IF(Table1[IndicatorCode]=Table1[[#This Row],[IndicatorCode]],Table1[value]))</f>
        <v>5.2319501044600996</v>
      </c>
      <c r="J3092">
        <f>(Table1[[#This Row],[value]] - Table1[[#This Row],[mean]]) / Table1[[#This Row],[std_dev]]</f>
        <v>-1.4697053120400365</v>
      </c>
      <c r="K3092">
        <f>AVERAGEIF(Table1[CountryCode],Table1[[#This Row],[CountryCode]],Table1[z-score])</f>
        <v>-0.42188835181926676</v>
      </c>
      <c r="L3092" t="e">
        <f>VLOOKUP(Table1[[#This Row],[CountryCode]],[1]!Table1[#Data],4,FALSE)</f>
        <v>#REF!</v>
      </c>
    </row>
    <row r="3093" spans="1:12" hidden="1" x14ac:dyDescent="0.3">
      <c r="A3093" t="s">
        <v>57</v>
      </c>
      <c r="B3093" t="s">
        <v>58</v>
      </c>
      <c r="C3093" t="s">
        <v>125</v>
      </c>
      <c r="D3093" t="s">
        <v>126</v>
      </c>
      <c r="E3093">
        <v>1979</v>
      </c>
      <c r="F3093" s="1">
        <v>0</v>
      </c>
      <c r="G3093">
        <v>1980</v>
      </c>
      <c r="H3093">
        <f>AVERAGEIFS(Table1[value],Table1[IndicatorCode],Table1[[#This Row],[IndicatorCode]])</f>
        <v>7.6894248608534319</v>
      </c>
      <c r="I3093" cm="1">
        <f t="array" ref="I3093">_xlfn.STDEV.P(IF(Table1[IndicatorCode]=Table1[[#This Row],[IndicatorCode]],Table1[value]))</f>
        <v>5.2319501044600996</v>
      </c>
      <c r="J3093">
        <f>(Table1[[#This Row],[value]] - Table1[[#This Row],[mean]]) / Table1[[#This Row],[std_dev]]</f>
        <v>-1.4697053120400365</v>
      </c>
      <c r="K3093">
        <f>AVERAGEIF(Table1[CountryCode],Table1[[#This Row],[CountryCode]],Table1[z-score])</f>
        <v>-0.42188835181926676</v>
      </c>
      <c r="L3093" t="e">
        <f>VLOOKUP(Table1[[#This Row],[CountryCode]],[1]!Table1[#Data],4,FALSE)</f>
        <v>#REF!</v>
      </c>
    </row>
    <row r="3094" spans="1:12" hidden="1" x14ac:dyDescent="0.3">
      <c r="A3094" t="s">
        <v>57</v>
      </c>
      <c r="B3094" t="s">
        <v>58</v>
      </c>
      <c r="C3094" t="s">
        <v>125</v>
      </c>
      <c r="D3094" t="s">
        <v>126</v>
      </c>
      <c r="E3094">
        <v>1980</v>
      </c>
      <c r="F3094" s="1">
        <v>0</v>
      </c>
      <c r="G3094">
        <v>1980</v>
      </c>
      <c r="H3094">
        <f>AVERAGEIFS(Table1[value],Table1[IndicatorCode],Table1[[#This Row],[IndicatorCode]])</f>
        <v>7.6894248608534319</v>
      </c>
      <c r="I3094" cm="1">
        <f t="array" ref="I3094">_xlfn.STDEV.P(IF(Table1[IndicatorCode]=Table1[[#This Row],[IndicatorCode]],Table1[value]))</f>
        <v>5.2319501044600996</v>
      </c>
      <c r="J3094">
        <f>(Table1[[#This Row],[value]] - Table1[[#This Row],[mean]]) / Table1[[#This Row],[std_dev]]</f>
        <v>-1.4697053120400365</v>
      </c>
      <c r="K3094">
        <f>AVERAGEIF(Table1[CountryCode],Table1[[#This Row],[CountryCode]],Table1[z-score])</f>
        <v>-0.42188835181926676</v>
      </c>
      <c r="L3094" t="e">
        <f>VLOOKUP(Table1[[#This Row],[CountryCode]],[1]!Table1[#Data],4,FALSE)</f>
        <v>#REF!</v>
      </c>
    </row>
    <row r="3095" spans="1:12" hidden="1" x14ac:dyDescent="0.3">
      <c r="A3095" t="s">
        <v>57</v>
      </c>
      <c r="B3095" t="s">
        <v>58</v>
      </c>
      <c r="C3095" t="s">
        <v>125</v>
      </c>
      <c r="D3095" t="s">
        <v>126</v>
      </c>
      <c r="E3095">
        <v>1981</v>
      </c>
      <c r="F3095" s="1">
        <v>0</v>
      </c>
      <c r="G3095">
        <v>1980</v>
      </c>
      <c r="H3095">
        <f>AVERAGEIFS(Table1[value],Table1[IndicatorCode],Table1[[#This Row],[IndicatorCode]])</f>
        <v>7.6894248608534319</v>
      </c>
      <c r="I3095" cm="1">
        <f t="array" ref="I3095">_xlfn.STDEV.P(IF(Table1[IndicatorCode]=Table1[[#This Row],[IndicatorCode]],Table1[value]))</f>
        <v>5.2319501044600996</v>
      </c>
      <c r="J3095">
        <f>(Table1[[#This Row],[value]] - Table1[[#This Row],[mean]]) / Table1[[#This Row],[std_dev]]</f>
        <v>-1.4697053120400365</v>
      </c>
      <c r="K3095">
        <f>AVERAGEIF(Table1[CountryCode],Table1[[#This Row],[CountryCode]],Table1[z-score])</f>
        <v>-0.42188835181926676</v>
      </c>
      <c r="L3095" t="e">
        <f>VLOOKUP(Table1[[#This Row],[CountryCode]],[1]!Table1[#Data],4,FALSE)</f>
        <v>#REF!</v>
      </c>
    </row>
    <row r="3096" spans="1:12" hidden="1" x14ac:dyDescent="0.3">
      <c r="A3096" t="s">
        <v>57</v>
      </c>
      <c r="B3096" t="s">
        <v>58</v>
      </c>
      <c r="C3096" t="s">
        <v>125</v>
      </c>
      <c r="D3096" t="s">
        <v>126</v>
      </c>
      <c r="E3096">
        <v>1982</v>
      </c>
      <c r="F3096" s="1">
        <v>0</v>
      </c>
      <c r="G3096">
        <v>1980</v>
      </c>
      <c r="H3096">
        <f>AVERAGEIFS(Table1[value],Table1[IndicatorCode],Table1[[#This Row],[IndicatorCode]])</f>
        <v>7.6894248608534319</v>
      </c>
      <c r="I3096" cm="1">
        <f t="array" ref="I3096">_xlfn.STDEV.P(IF(Table1[IndicatorCode]=Table1[[#This Row],[IndicatorCode]],Table1[value]))</f>
        <v>5.2319501044600996</v>
      </c>
      <c r="J3096">
        <f>(Table1[[#This Row],[value]] - Table1[[#This Row],[mean]]) / Table1[[#This Row],[std_dev]]</f>
        <v>-1.4697053120400365</v>
      </c>
      <c r="K3096">
        <f>AVERAGEIF(Table1[CountryCode],Table1[[#This Row],[CountryCode]],Table1[z-score])</f>
        <v>-0.42188835181926676</v>
      </c>
      <c r="L3096" t="e">
        <f>VLOOKUP(Table1[[#This Row],[CountryCode]],[1]!Table1[#Data],4,FALSE)</f>
        <v>#REF!</v>
      </c>
    </row>
    <row r="3097" spans="1:12" hidden="1" x14ac:dyDescent="0.3">
      <c r="A3097" t="s">
        <v>57</v>
      </c>
      <c r="B3097" t="s">
        <v>58</v>
      </c>
      <c r="C3097" t="s">
        <v>125</v>
      </c>
      <c r="D3097" t="s">
        <v>126</v>
      </c>
      <c r="E3097">
        <v>1983</v>
      </c>
      <c r="F3097" s="1">
        <v>0</v>
      </c>
      <c r="G3097">
        <v>1980</v>
      </c>
      <c r="H3097">
        <f>AVERAGEIFS(Table1[value],Table1[IndicatorCode],Table1[[#This Row],[IndicatorCode]])</f>
        <v>7.6894248608534319</v>
      </c>
      <c r="I3097" cm="1">
        <f t="array" ref="I3097">_xlfn.STDEV.P(IF(Table1[IndicatorCode]=Table1[[#This Row],[IndicatorCode]],Table1[value]))</f>
        <v>5.2319501044600996</v>
      </c>
      <c r="J3097">
        <f>(Table1[[#This Row],[value]] - Table1[[#This Row],[mean]]) / Table1[[#This Row],[std_dev]]</f>
        <v>-1.4697053120400365</v>
      </c>
      <c r="K3097">
        <f>AVERAGEIF(Table1[CountryCode],Table1[[#This Row],[CountryCode]],Table1[z-score])</f>
        <v>-0.42188835181926676</v>
      </c>
      <c r="L3097" t="e">
        <f>VLOOKUP(Table1[[#This Row],[CountryCode]],[1]!Table1[#Data],4,FALSE)</f>
        <v>#REF!</v>
      </c>
    </row>
    <row r="3098" spans="1:12" hidden="1" x14ac:dyDescent="0.3">
      <c r="A3098" t="s">
        <v>57</v>
      </c>
      <c r="B3098" t="s">
        <v>58</v>
      </c>
      <c r="C3098" t="s">
        <v>125</v>
      </c>
      <c r="D3098" t="s">
        <v>126</v>
      </c>
      <c r="E3098">
        <v>1984</v>
      </c>
      <c r="F3098" s="1">
        <v>0</v>
      </c>
      <c r="G3098">
        <v>1980</v>
      </c>
      <c r="H3098">
        <f>AVERAGEIFS(Table1[value],Table1[IndicatorCode],Table1[[#This Row],[IndicatorCode]])</f>
        <v>7.6894248608534319</v>
      </c>
      <c r="I3098" cm="1">
        <f t="array" ref="I3098">_xlfn.STDEV.P(IF(Table1[IndicatorCode]=Table1[[#This Row],[IndicatorCode]],Table1[value]))</f>
        <v>5.2319501044600996</v>
      </c>
      <c r="J3098">
        <f>(Table1[[#This Row],[value]] - Table1[[#This Row],[mean]]) / Table1[[#This Row],[std_dev]]</f>
        <v>-1.4697053120400365</v>
      </c>
      <c r="K3098">
        <f>AVERAGEIF(Table1[CountryCode],Table1[[#This Row],[CountryCode]],Table1[z-score])</f>
        <v>-0.42188835181926676</v>
      </c>
      <c r="L3098" t="e">
        <f>VLOOKUP(Table1[[#This Row],[CountryCode]],[1]!Table1[#Data],4,FALSE)</f>
        <v>#REF!</v>
      </c>
    </row>
    <row r="3099" spans="1:12" hidden="1" x14ac:dyDescent="0.3">
      <c r="A3099" t="s">
        <v>57</v>
      </c>
      <c r="B3099" t="s">
        <v>58</v>
      </c>
      <c r="C3099" t="s">
        <v>125</v>
      </c>
      <c r="D3099" t="s">
        <v>126</v>
      </c>
      <c r="E3099">
        <v>1985</v>
      </c>
      <c r="F3099" s="1">
        <v>0</v>
      </c>
      <c r="G3099">
        <v>1980</v>
      </c>
      <c r="H3099">
        <f>AVERAGEIFS(Table1[value],Table1[IndicatorCode],Table1[[#This Row],[IndicatorCode]])</f>
        <v>7.6894248608534319</v>
      </c>
      <c r="I3099" cm="1">
        <f t="array" ref="I3099">_xlfn.STDEV.P(IF(Table1[IndicatorCode]=Table1[[#This Row],[IndicatorCode]],Table1[value]))</f>
        <v>5.2319501044600996</v>
      </c>
      <c r="J3099">
        <f>(Table1[[#This Row],[value]] - Table1[[#This Row],[mean]]) / Table1[[#This Row],[std_dev]]</f>
        <v>-1.4697053120400365</v>
      </c>
      <c r="K3099">
        <f>AVERAGEIF(Table1[CountryCode],Table1[[#This Row],[CountryCode]],Table1[z-score])</f>
        <v>-0.42188835181926676</v>
      </c>
      <c r="L3099" t="e">
        <f>VLOOKUP(Table1[[#This Row],[CountryCode]],[1]!Table1[#Data],4,FALSE)</f>
        <v>#REF!</v>
      </c>
    </row>
    <row r="3100" spans="1:12" hidden="1" x14ac:dyDescent="0.3">
      <c r="A3100" t="s">
        <v>57</v>
      </c>
      <c r="B3100" t="s">
        <v>58</v>
      </c>
      <c r="C3100" t="s">
        <v>125</v>
      </c>
      <c r="D3100" t="s">
        <v>126</v>
      </c>
      <c r="E3100">
        <v>1986</v>
      </c>
      <c r="F3100" s="1">
        <v>0</v>
      </c>
      <c r="G3100">
        <v>1980</v>
      </c>
      <c r="H3100">
        <f>AVERAGEIFS(Table1[value],Table1[IndicatorCode],Table1[[#This Row],[IndicatorCode]])</f>
        <v>7.6894248608534319</v>
      </c>
      <c r="I3100" cm="1">
        <f t="array" ref="I3100">_xlfn.STDEV.P(IF(Table1[IndicatorCode]=Table1[[#This Row],[IndicatorCode]],Table1[value]))</f>
        <v>5.2319501044600996</v>
      </c>
      <c r="J3100">
        <f>(Table1[[#This Row],[value]] - Table1[[#This Row],[mean]]) / Table1[[#This Row],[std_dev]]</f>
        <v>-1.4697053120400365</v>
      </c>
      <c r="K3100">
        <f>AVERAGEIF(Table1[CountryCode],Table1[[#This Row],[CountryCode]],Table1[z-score])</f>
        <v>-0.42188835181926676</v>
      </c>
      <c r="L3100" t="e">
        <f>VLOOKUP(Table1[[#This Row],[CountryCode]],[1]!Table1[#Data],4,FALSE)</f>
        <v>#REF!</v>
      </c>
    </row>
    <row r="3101" spans="1:12" hidden="1" x14ac:dyDescent="0.3">
      <c r="A3101" t="s">
        <v>57</v>
      </c>
      <c r="B3101" t="s">
        <v>58</v>
      </c>
      <c r="C3101" t="s">
        <v>125</v>
      </c>
      <c r="D3101" t="s">
        <v>126</v>
      </c>
      <c r="E3101">
        <v>1987</v>
      </c>
      <c r="F3101" s="1">
        <v>0</v>
      </c>
      <c r="G3101">
        <v>1990</v>
      </c>
      <c r="H3101">
        <f>AVERAGEIFS(Table1[value],Table1[IndicatorCode],Table1[[#This Row],[IndicatorCode]])</f>
        <v>7.6894248608534319</v>
      </c>
      <c r="I3101" cm="1">
        <f t="array" ref="I3101">_xlfn.STDEV.P(IF(Table1[IndicatorCode]=Table1[[#This Row],[IndicatorCode]],Table1[value]))</f>
        <v>5.2319501044600996</v>
      </c>
      <c r="J3101">
        <f>(Table1[[#This Row],[value]] - Table1[[#This Row],[mean]]) / Table1[[#This Row],[std_dev]]</f>
        <v>-1.4697053120400365</v>
      </c>
      <c r="K3101">
        <f>AVERAGEIF(Table1[CountryCode],Table1[[#This Row],[CountryCode]],Table1[z-score])</f>
        <v>-0.42188835181926676</v>
      </c>
      <c r="L3101" t="e">
        <f>VLOOKUP(Table1[[#This Row],[CountryCode]],[1]!Table1[#Data],4,FALSE)</f>
        <v>#REF!</v>
      </c>
    </row>
    <row r="3102" spans="1:12" hidden="1" x14ac:dyDescent="0.3">
      <c r="A3102" t="s">
        <v>57</v>
      </c>
      <c r="B3102" t="s">
        <v>58</v>
      </c>
      <c r="C3102" t="s">
        <v>125</v>
      </c>
      <c r="D3102" t="s">
        <v>126</v>
      </c>
      <c r="E3102">
        <v>1988</v>
      </c>
      <c r="F3102" s="1">
        <v>0</v>
      </c>
      <c r="G3102">
        <v>1990</v>
      </c>
      <c r="H3102">
        <f>AVERAGEIFS(Table1[value],Table1[IndicatorCode],Table1[[#This Row],[IndicatorCode]])</f>
        <v>7.6894248608534319</v>
      </c>
      <c r="I3102" cm="1">
        <f t="array" ref="I3102">_xlfn.STDEV.P(IF(Table1[IndicatorCode]=Table1[[#This Row],[IndicatorCode]],Table1[value]))</f>
        <v>5.2319501044600996</v>
      </c>
      <c r="J3102">
        <f>(Table1[[#This Row],[value]] - Table1[[#This Row],[mean]]) / Table1[[#This Row],[std_dev]]</f>
        <v>-1.4697053120400365</v>
      </c>
      <c r="K3102">
        <f>AVERAGEIF(Table1[CountryCode],Table1[[#This Row],[CountryCode]],Table1[z-score])</f>
        <v>-0.42188835181926676</v>
      </c>
      <c r="L3102" t="e">
        <f>VLOOKUP(Table1[[#This Row],[CountryCode]],[1]!Table1[#Data],4,FALSE)</f>
        <v>#REF!</v>
      </c>
    </row>
    <row r="3103" spans="1:12" hidden="1" x14ac:dyDescent="0.3">
      <c r="A3103" t="s">
        <v>57</v>
      </c>
      <c r="B3103" t="s">
        <v>58</v>
      </c>
      <c r="C3103" t="s">
        <v>125</v>
      </c>
      <c r="D3103" t="s">
        <v>126</v>
      </c>
      <c r="E3103">
        <v>1989</v>
      </c>
      <c r="F3103" s="1">
        <v>0</v>
      </c>
      <c r="G3103">
        <v>1990</v>
      </c>
      <c r="H3103">
        <f>AVERAGEIFS(Table1[value],Table1[IndicatorCode],Table1[[#This Row],[IndicatorCode]])</f>
        <v>7.6894248608534319</v>
      </c>
      <c r="I3103" cm="1">
        <f t="array" ref="I3103">_xlfn.STDEV.P(IF(Table1[IndicatorCode]=Table1[[#This Row],[IndicatorCode]],Table1[value]))</f>
        <v>5.2319501044600996</v>
      </c>
      <c r="J3103">
        <f>(Table1[[#This Row],[value]] - Table1[[#This Row],[mean]]) / Table1[[#This Row],[std_dev]]</f>
        <v>-1.4697053120400365</v>
      </c>
      <c r="K3103">
        <f>AVERAGEIF(Table1[CountryCode],Table1[[#This Row],[CountryCode]],Table1[z-score])</f>
        <v>-0.42188835181926676</v>
      </c>
      <c r="L3103" t="e">
        <f>VLOOKUP(Table1[[#This Row],[CountryCode]],[1]!Table1[#Data],4,FALSE)</f>
        <v>#REF!</v>
      </c>
    </row>
    <row r="3104" spans="1:12" hidden="1" x14ac:dyDescent="0.3">
      <c r="A3104" t="s">
        <v>57</v>
      </c>
      <c r="B3104" t="s">
        <v>58</v>
      </c>
      <c r="C3104" t="s">
        <v>125</v>
      </c>
      <c r="D3104" t="s">
        <v>126</v>
      </c>
      <c r="E3104">
        <v>1990</v>
      </c>
      <c r="F3104" s="1">
        <v>0</v>
      </c>
      <c r="G3104">
        <v>1990</v>
      </c>
      <c r="H3104">
        <f>AVERAGEIFS(Table1[value],Table1[IndicatorCode],Table1[[#This Row],[IndicatorCode]])</f>
        <v>7.6894248608534319</v>
      </c>
      <c r="I3104" cm="1">
        <f t="array" ref="I3104">_xlfn.STDEV.P(IF(Table1[IndicatorCode]=Table1[[#This Row],[IndicatorCode]],Table1[value]))</f>
        <v>5.2319501044600996</v>
      </c>
      <c r="J3104">
        <f>(Table1[[#This Row],[value]] - Table1[[#This Row],[mean]]) / Table1[[#This Row],[std_dev]]</f>
        <v>-1.4697053120400365</v>
      </c>
      <c r="K3104">
        <f>AVERAGEIF(Table1[CountryCode],Table1[[#This Row],[CountryCode]],Table1[z-score])</f>
        <v>-0.42188835181926676</v>
      </c>
      <c r="L3104" t="e">
        <f>VLOOKUP(Table1[[#This Row],[CountryCode]],[1]!Table1[#Data],4,FALSE)</f>
        <v>#REF!</v>
      </c>
    </row>
    <row r="3105" spans="1:12" hidden="1" x14ac:dyDescent="0.3">
      <c r="A3105" t="s">
        <v>57</v>
      </c>
      <c r="B3105" t="s">
        <v>58</v>
      </c>
      <c r="C3105" t="s">
        <v>125</v>
      </c>
      <c r="D3105" t="s">
        <v>126</v>
      </c>
      <c r="E3105">
        <v>1991</v>
      </c>
      <c r="F3105" s="1">
        <v>0</v>
      </c>
      <c r="G3105">
        <v>1990</v>
      </c>
      <c r="H3105">
        <f>AVERAGEIFS(Table1[value],Table1[IndicatorCode],Table1[[#This Row],[IndicatorCode]])</f>
        <v>7.6894248608534319</v>
      </c>
      <c r="I3105" cm="1">
        <f t="array" ref="I3105">_xlfn.STDEV.P(IF(Table1[IndicatorCode]=Table1[[#This Row],[IndicatorCode]],Table1[value]))</f>
        <v>5.2319501044600996</v>
      </c>
      <c r="J3105">
        <f>(Table1[[#This Row],[value]] - Table1[[#This Row],[mean]]) / Table1[[#This Row],[std_dev]]</f>
        <v>-1.4697053120400365</v>
      </c>
      <c r="K3105">
        <f>AVERAGEIF(Table1[CountryCode],Table1[[#This Row],[CountryCode]],Table1[z-score])</f>
        <v>-0.42188835181926676</v>
      </c>
      <c r="L3105" t="e">
        <f>VLOOKUP(Table1[[#This Row],[CountryCode]],[1]!Table1[#Data],4,FALSE)</f>
        <v>#REF!</v>
      </c>
    </row>
    <row r="3106" spans="1:12" hidden="1" x14ac:dyDescent="0.3">
      <c r="A3106" t="s">
        <v>57</v>
      </c>
      <c r="B3106" t="s">
        <v>58</v>
      </c>
      <c r="C3106" t="s">
        <v>125</v>
      </c>
      <c r="D3106" t="s">
        <v>126</v>
      </c>
      <c r="E3106">
        <v>1992</v>
      </c>
      <c r="F3106" s="1">
        <v>0</v>
      </c>
      <c r="G3106">
        <v>1990</v>
      </c>
      <c r="H3106">
        <f>AVERAGEIFS(Table1[value],Table1[IndicatorCode],Table1[[#This Row],[IndicatorCode]])</f>
        <v>7.6894248608534319</v>
      </c>
      <c r="I3106" cm="1">
        <f t="array" ref="I3106">_xlfn.STDEV.P(IF(Table1[IndicatorCode]=Table1[[#This Row],[IndicatorCode]],Table1[value]))</f>
        <v>5.2319501044600996</v>
      </c>
      <c r="J3106">
        <f>(Table1[[#This Row],[value]] - Table1[[#This Row],[mean]]) / Table1[[#This Row],[std_dev]]</f>
        <v>-1.4697053120400365</v>
      </c>
      <c r="K3106">
        <f>AVERAGEIF(Table1[CountryCode],Table1[[#This Row],[CountryCode]],Table1[z-score])</f>
        <v>-0.42188835181926676</v>
      </c>
      <c r="L3106" t="e">
        <f>VLOOKUP(Table1[[#This Row],[CountryCode]],[1]!Table1[#Data],4,FALSE)</f>
        <v>#REF!</v>
      </c>
    </row>
    <row r="3107" spans="1:12" hidden="1" x14ac:dyDescent="0.3">
      <c r="A3107" t="s">
        <v>57</v>
      </c>
      <c r="B3107" t="s">
        <v>58</v>
      </c>
      <c r="C3107" t="s">
        <v>125</v>
      </c>
      <c r="D3107" t="s">
        <v>126</v>
      </c>
      <c r="E3107">
        <v>1993</v>
      </c>
      <c r="F3107" s="1">
        <v>0</v>
      </c>
      <c r="G3107">
        <v>1990</v>
      </c>
      <c r="H3107">
        <f>AVERAGEIFS(Table1[value],Table1[IndicatorCode],Table1[[#This Row],[IndicatorCode]])</f>
        <v>7.6894248608534319</v>
      </c>
      <c r="I3107" cm="1">
        <f t="array" ref="I3107">_xlfn.STDEV.P(IF(Table1[IndicatorCode]=Table1[[#This Row],[IndicatorCode]],Table1[value]))</f>
        <v>5.2319501044600996</v>
      </c>
      <c r="J3107">
        <f>(Table1[[#This Row],[value]] - Table1[[#This Row],[mean]]) / Table1[[#This Row],[std_dev]]</f>
        <v>-1.4697053120400365</v>
      </c>
      <c r="K3107">
        <f>AVERAGEIF(Table1[CountryCode],Table1[[#This Row],[CountryCode]],Table1[z-score])</f>
        <v>-0.42188835181926676</v>
      </c>
      <c r="L3107" t="e">
        <f>VLOOKUP(Table1[[#This Row],[CountryCode]],[1]!Table1[#Data],4,FALSE)</f>
        <v>#REF!</v>
      </c>
    </row>
    <row r="3108" spans="1:12" hidden="1" x14ac:dyDescent="0.3">
      <c r="A3108" t="s">
        <v>57</v>
      </c>
      <c r="B3108" t="s">
        <v>58</v>
      </c>
      <c r="C3108" t="s">
        <v>125</v>
      </c>
      <c r="D3108" t="s">
        <v>126</v>
      </c>
      <c r="E3108">
        <v>1994</v>
      </c>
      <c r="F3108" s="1">
        <v>0</v>
      </c>
      <c r="G3108">
        <v>1990</v>
      </c>
      <c r="H3108">
        <f>AVERAGEIFS(Table1[value],Table1[IndicatorCode],Table1[[#This Row],[IndicatorCode]])</f>
        <v>7.6894248608534319</v>
      </c>
      <c r="I3108" cm="1">
        <f t="array" ref="I3108">_xlfn.STDEV.P(IF(Table1[IndicatorCode]=Table1[[#This Row],[IndicatorCode]],Table1[value]))</f>
        <v>5.2319501044600996</v>
      </c>
      <c r="J3108">
        <f>(Table1[[#This Row],[value]] - Table1[[#This Row],[mean]]) / Table1[[#This Row],[std_dev]]</f>
        <v>-1.4697053120400365</v>
      </c>
      <c r="K3108">
        <f>AVERAGEIF(Table1[CountryCode],Table1[[#This Row],[CountryCode]],Table1[z-score])</f>
        <v>-0.42188835181926676</v>
      </c>
      <c r="L3108" t="e">
        <f>VLOOKUP(Table1[[#This Row],[CountryCode]],[1]!Table1[#Data],4,FALSE)</f>
        <v>#REF!</v>
      </c>
    </row>
    <row r="3109" spans="1:12" hidden="1" x14ac:dyDescent="0.3">
      <c r="A3109" t="s">
        <v>57</v>
      </c>
      <c r="B3109" t="s">
        <v>58</v>
      </c>
      <c r="C3109" t="s">
        <v>125</v>
      </c>
      <c r="D3109" t="s">
        <v>126</v>
      </c>
      <c r="E3109">
        <v>1995</v>
      </c>
      <c r="F3109" s="1">
        <v>0</v>
      </c>
      <c r="G3109">
        <v>1990</v>
      </c>
      <c r="H3109">
        <f>AVERAGEIFS(Table1[value],Table1[IndicatorCode],Table1[[#This Row],[IndicatorCode]])</f>
        <v>7.6894248608534319</v>
      </c>
      <c r="I3109" cm="1">
        <f t="array" ref="I3109">_xlfn.STDEV.P(IF(Table1[IndicatorCode]=Table1[[#This Row],[IndicatorCode]],Table1[value]))</f>
        <v>5.2319501044600996</v>
      </c>
      <c r="J3109">
        <f>(Table1[[#This Row],[value]] - Table1[[#This Row],[mean]]) / Table1[[#This Row],[std_dev]]</f>
        <v>-1.4697053120400365</v>
      </c>
      <c r="K3109">
        <f>AVERAGEIF(Table1[CountryCode],Table1[[#This Row],[CountryCode]],Table1[z-score])</f>
        <v>-0.42188835181926676</v>
      </c>
      <c r="L3109" t="e">
        <f>VLOOKUP(Table1[[#This Row],[CountryCode]],[1]!Table1[#Data],4,FALSE)</f>
        <v>#REF!</v>
      </c>
    </row>
    <row r="3110" spans="1:12" hidden="1" x14ac:dyDescent="0.3">
      <c r="A3110" t="s">
        <v>57</v>
      </c>
      <c r="B3110" t="s">
        <v>58</v>
      </c>
      <c r="C3110" t="s">
        <v>125</v>
      </c>
      <c r="D3110" t="s">
        <v>126</v>
      </c>
      <c r="E3110">
        <v>1996</v>
      </c>
      <c r="F3110" s="1">
        <v>0</v>
      </c>
      <c r="G3110">
        <v>1990</v>
      </c>
      <c r="H3110">
        <f>AVERAGEIFS(Table1[value],Table1[IndicatorCode],Table1[[#This Row],[IndicatorCode]])</f>
        <v>7.6894248608534319</v>
      </c>
      <c r="I3110" cm="1">
        <f t="array" ref="I3110">_xlfn.STDEV.P(IF(Table1[IndicatorCode]=Table1[[#This Row],[IndicatorCode]],Table1[value]))</f>
        <v>5.2319501044600996</v>
      </c>
      <c r="J3110">
        <f>(Table1[[#This Row],[value]] - Table1[[#This Row],[mean]]) / Table1[[#This Row],[std_dev]]</f>
        <v>-1.4697053120400365</v>
      </c>
      <c r="K3110">
        <f>AVERAGEIF(Table1[CountryCode],Table1[[#This Row],[CountryCode]],Table1[z-score])</f>
        <v>-0.42188835181926676</v>
      </c>
      <c r="L3110" t="e">
        <f>VLOOKUP(Table1[[#This Row],[CountryCode]],[1]!Table1[#Data],4,FALSE)</f>
        <v>#REF!</v>
      </c>
    </row>
    <row r="3111" spans="1:12" hidden="1" x14ac:dyDescent="0.3">
      <c r="A3111" t="s">
        <v>57</v>
      </c>
      <c r="B3111" t="s">
        <v>58</v>
      </c>
      <c r="C3111" t="s">
        <v>125</v>
      </c>
      <c r="D3111" t="s">
        <v>126</v>
      </c>
      <c r="E3111">
        <v>1997</v>
      </c>
      <c r="F3111" s="1">
        <v>0</v>
      </c>
      <c r="G3111">
        <v>2000</v>
      </c>
      <c r="H3111">
        <f>AVERAGEIFS(Table1[value],Table1[IndicatorCode],Table1[[#This Row],[IndicatorCode]])</f>
        <v>7.6894248608534319</v>
      </c>
      <c r="I3111" cm="1">
        <f t="array" ref="I3111">_xlfn.STDEV.P(IF(Table1[IndicatorCode]=Table1[[#This Row],[IndicatorCode]],Table1[value]))</f>
        <v>5.2319501044600996</v>
      </c>
      <c r="J3111">
        <f>(Table1[[#This Row],[value]] - Table1[[#This Row],[mean]]) / Table1[[#This Row],[std_dev]]</f>
        <v>-1.4697053120400365</v>
      </c>
      <c r="K3111">
        <f>AVERAGEIF(Table1[CountryCode],Table1[[#This Row],[CountryCode]],Table1[z-score])</f>
        <v>-0.42188835181926676</v>
      </c>
      <c r="L3111" t="e">
        <f>VLOOKUP(Table1[[#This Row],[CountryCode]],[1]!Table1[#Data],4,FALSE)</f>
        <v>#REF!</v>
      </c>
    </row>
    <row r="3112" spans="1:12" hidden="1" x14ac:dyDescent="0.3">
      <c r="A3112" t="s">
        <v>57</v>
      </c>
      <c r="B3112" t="s">
        <v>58</v>
      </c>
      <c r="C3112" t="s">
        <v>125</v>
      </c>
      <c r="D3112" t="s">
        <v>126</v>
      </c>
      <c r="E3112">
        <v>1998</v>
      </c>
      <c r="F3112" s="1">
        <v>0</v>
      </c>
      <c r="G3112">
        <v>2000</v>
      </c>
      <c r="H3112">
        <f>AVERAGEIFS(Table1[value],Table1[IndicatorCode],Table1[[#This Row],[IndicatorCode]])</f>
        <v>7.6894248608534319</v>
      </c>
      <c r="I3112" cm="1">
        <f t="array" ref="I3112">_xlfn.STDEV.P(IF(Table1[IndicatorCode]=Table1[[#This Row],[IndicatorCode]],Table1[value]))</f>
        <v>5.2319501044600996</v>
      </c>
      <c r="J3112">
        <f>(Table1[[#This Row],[value]] - Table1[[#This Row],[mean]]) / Table1[[#This Row],[std_dev]]</f>
        <v>-1.4697053120400365</v>
      </c>
      <c r="K3112">
        <f>AVERAGEIF(Table1[CountryCode],Table1[[#This Row],[CountryCode]],Table1[z-score])</f>
        <v>-0.42188835181926676</v>
      </c>
      <c r="L3112" t="e">
        <f>VLOOKUP(Table1[[#This Row],[CountryCode]],[1]!Table1[#Data],4,FALSE)</f>
        <v>#REF!</v>
      </c>
    </row>
    <row r="3113" spans="1:12" hidden="1" x14ac:dyDescent="0.3">
      <c r="A3113" t="s">
        <v>57</v>
      </c>
      <c r="B3113" t="s">
        <v>58</v>
      </c>
      <c r="C3113" t="s">
        <v>125</v>
      </c>
      <c r="D3113" t="s">
        <v>126</v>
      </c>
      <c r="E3113">
        <v>1999</v>
      </c>
      <c r="F3113" s="1">
        <v>0</v>
      </c>
      <c r="G3113">
        <v>2000</v>
      </c>
      <c r="H3113">
        <f>AVERAGEIFS(Table1[value],Table1[IndicatorCode],Table1[[#This Row],[IndicatorCode]])</f>
        <v>7.6894248608534319</v>
      </c>
      <c r="I3113" cm="1">
        <f t="array" ref="I3113">_xlfn.STDEV.P(IF(Table1[IndicatorCode]=Table1[[#This Row],[IndicatorCode]],Table1[value]))</f>
        <v>5.2319501044600996</v>
      </c>
      <c r="J3113">
        <f>(Table1[[#This Row],[value]] - Table1[[#This Row],[mean]]) / Table1[[#This Row],[std_dev]]</f>
        <v>-1.4697053120400365</v>
      </c>
      <c r="K3113">
        <f>AVERAGEIF(Table1[CountryCode],Table1[[#This Row],[CountryCode]],Table1[z-score])</f>
        <v>-0.42188835181926676</v>
      </c>
      <c r="L3113" t="e">
        <f>VLOOKUP(Table1[[#This Row],[CountryCode]],[1]!Table1[#Data],4,FALSE)</f>
        <v>#REF!</v>
      </c>
    </row>
    <row r="3114" spans="1:12" hidden="1" x14ac:dyDescent="0.3">
      <c r="A3114" t="s">
        <v>57</v>
      </c>
      <c r="B3114" t="s">
        <v>58</v>
      </c>
      <c r="C3114" t="s">
        <v>125</v>
      </c>
      <c r="D3114" t="s">
        <v>126</v>
      </c>
      <c r="E3114">
        <v>2000</v>
      </c>
      <c r="F3114" s="1">
        <v>0</v>
      </c>
      <c r="G3114">
        <v>2000</v>
      </c>
      <c r="H3114">
        <f>AVERAGEIFS(Table1[value],Table1[IndicatorCode],Table1[[#This Row],[IndicatorCode]])</f>
        <v>7.6894248608534319</v>
      </c>
      <c r="I3114" cm="1">
        <f t="array" ref="I3114">_xlfn.STDEV.P(IF(Table1[IndicatorCode]=Table1[[#This Row],[IndicatorCode]],Table1[value]))</f>
        <v>5.2319501044600996</v>
      </c>
      <c r="J3114">
        <f>(Table1[[#This Row],[value]] - Table1[[#This Row],[mean]]) / Table1[[#This Row],[std_dev]]</f>
        <v>-1.4697053120400365</v>
      </c>
      <c r="K3114">
        <f>AVERAGEIF(Table1[CountryCode],Table1[[#This Row],[CountryCode]],Table1[z-score])</f>
        <v>-0.42188835181926676</v>
      </c>
      <c r="L3114" t="e">
        <f>VLOOKUP(Table1[[#This Row],[CountryCode]],[1]!Table1[#Data],4,FALSE)</f>
        <v>#REF!</v>
      </c>
    </row>
    <row r="3115" spans="1:12" hidden="1" x14ac:dyDescent="0.3">
      <c r="A3115" t="s">
        <v>57</v>
      </c>
      <c r="B3115" t="s">
        <v>58</v>
      </c>
      <c r="C3115" t="s">
        <v>125</v>
      </c>
      <c r="D3115" t="s">
        <v>126</v>
      </c>
      <c r="E3115">
        <v>2001</v>
      </c>
      <c r="F3115" s="1">
        <v>0</v>
      </c>
      <c r="G3115">
        <v>2000</v>
      </c>
      <c r="H3115">
        <f>AVERAGEIFS(Table1[value],Table1[IndicatorCode],Table1[[#This Row],[IndicatorCode]])</f>
        <v>7.6894248608534319</v>
      </c>
      <c r="I3115" cm="1">
        <f t="array" ref="I3115">_xlfn.STDEV.P(IF(Table1[IndicatorCode]=Table1[[#This Row],[IndicatorCode]],Table1[value]))</f>
        <v>5.2319501044600996</v>
      </c>
      <c r="J3115">
        <f>(Table1[[#This Row],[value]] - Table1[[#This Row],[mean]]) / Table1[[#This Row],[std_dev]]</f>
        <v>-1.4697053120400365</v>
      </c>
      <c r="K3115">
        <f>AVERAGEIF(Table1[CountryCode],Table1[[#This Row],[CountryCode]],Table1[z-score])</f>
        <v>-0.42188835181926676</v>
      </c>
      <c r="L3115" t="e">
        <f>VLOOKUP(Table1[[#This Row],[CountryCode]],[1]!Table1[#Data],4,FALSE)</f>
        <v>#REF!</v>
      </c>
    </row>
    <row r="3116" spans="1:12" hidden="1" x14ac:dyDescent="0.3">
      <c r="A3116" t="s">
        <v>57</v>
      </c>
      <c r="B3116" t="s">
        <v>58</v>
      </c>
      <c r="C3116" t="s">
        <v>125</v>
      </c>
      <c r="D3116" t="s">
        <v>126</v>
      </c>
      <c r="E3116">
        <v>2002</v>
      </c>
      <c r="F3116" s="1">
        <v>0</v>
      </c>
      <c r="G3116">
        <v>2000</v>
      </c>
      <c r="H3116">
        <f>AVERAGEIFS(Table1[value],Table1[IndicatorCode],Table1[[#This Row],[IndicatorCode]])</f>
        <v>7.6894248608534319</v>
      </c>
      <c r="I3116" cm="1">
        <f t="array" ref="I3116">_xlfn.STDEV.P(IF(Table1[IndicatorCode]=Table1[[#This Row],[IndicatorCode]],Table1[value]))</f>
        <v>5.2319501044600996</v>
      </c>
      <c r="J3116">
        <f>(Table1[[#This Row],[value]] - Table1[[#This Row],[mean]]) / Table1[[#This Row],[std_dev]]</f>
        <v>-1.4697053120400365</v>
      </c>
      <c r="K3116">
        <f>AVERAGEIF(Table1[CountryCode],Table1[[#This Row],[CountryCode]],Table1[z-score])</f>
        <v>-0.42188835181926676</v>
      </c>
      <c r="L3116" t="e">
        <f>VLOOKUP(Table1[[#This Row],[CountryCode]],[1]!Table1[#Data],4,FALSE)</f>
        <v>#REF!</v>
      </c>
    </row>
    <row r="3117" spans="1:12" hidden="1" x14ac:dyDescent="0.3">
      <c r="A3117" t="s">
        <v>57</v>
      </c>
      <c r="B3117" t="s">
        <v>58</v>
      </c>
      <c r="C3117" t="s">
        <v>125</v>
      </c>
      <c r="D3117" t="s">
        <v>126</v>
      </c>
      <c r="E3117">
        <v>2003</v>
      </c>
      <c r="F3117" s="1">
        <v>0</v>
      </c>
      <c r="G3117">
        <v>2000</v>
      </c>
      <c r="H3117">
        <f>AVERAGEIFS(Table1[value],Table1[IndicatorCode],Table1[[#This Row],[IndicatorCode]])</f>
        <v>7.6894248608534319</v>
      </c>
      <c r="I3117" cm="1">
        <f t="array" ref="I3117">_xlfn.STDEV.P(IF(Table1[IndicatorCode]=Table1[[#This Row],[IndicatorCode]],Table1[value]))</f>
        <v>5.2319501044600996</v>
      </c>
      <c r="J3117">
        <f>(Table1[[#This Row],[value]] - Table1[[#This Row],[mean]]) / Table1[[#This Row],[std_dev]]</f>
        <v>-1.4697053120400365</v>
      </c>
      <c r="K3117">
        <f>AVERAGEIF(Table1[CountryCode],Table1[[#This Row],[CountryCode]],Table1[z-score])</f>
        <v>-0.42188835181926676</v>
      </c>
      <c r="L3117" t="e">
        <f>VLOOKUP(Table1[[#This Row],[CountryCode]],[1]!Table1[#Data],4,FALSE)</f>
        <v>#REF!</v>
      </c>
    </row>
    <row r="3118" spans="1:12" hidden="1" x14ac:dyDescent="0.3">
      <c r="A3118" t="s">
        <v>57</v>
      </c>
      <c r="B3118" t="s">
        <v>58</v>
      </c>
      <c r="C3118" t="s">
        <v>125</v>
      </c>
      <c r="D3118" t="s">
        <v>126</v>
      </c>
      <c r="E3118">
        <v>2004</v>
      </c>
      <c r="F3118" s="1">
        <v>11</v>
      </c>
      <c r="G3118">
        <v>2000</v>
      </c>
      <c r="H3118">
        <f>AVERAGEIFS(Table1[value],Table1[IndicatorCode],Table1[[#This Row],[IndicatorCode]])</f>
        <v>7.6894248608534319</v>
      </c>
      <c r="I3118" cm="1">
        <f t="array" ref="I3118">_xlfn.STDEV.P(IF(Table1[IndicatorCode]=Table1[[#This Row],[IndicatorCode]],Table1[value]))</f>
        <v>5.2319501044600996</v>
      </c>
      <c r="J3118">
        <f>(Table1[[#This Row],[value]] - Table1[[#This Row],[mean]]) / Table1[[#This Row],[std_dev]]</f>
        <v>0.63276122154230596</v>
      </c>
      <c r="K3118">
        <f>AVERAGEIF(Table1[CountryCode],Table1[[#This Row],[CountryCode]],Table1[z-score])</f>
        <v>-0.42188835181926676</v>
      </c>
      <c r="L3118" t="e">
        <f>VLOOKUP(Table1[[#This Row],[CountryCode]],[1]!Table1[#Data],4,FALSE)</f>
        <v>#REF!</v>
      </c>
    </row>
    <row r="3119" spans="1:12" hidden="1" x14ac:dyDescent="0.3">
      <c r="A3119" t="s">
        <v>57</v>
      </c>
      <c r="B3119" t="s">
        <v>58</v>
      </c>
      <c r="C3119" t="s">
        <v>125</v>
      </c>
      <c r="D3119" t="s">
        <v>126</v>
      </c>
      <c r="E3119">
        <v>2005</v>
      </c>
      <c r="F3119" s="1">
        <v>11</v>
      </c>
      <c r="G3119">
        <v>2000</v>
      </c>
      <c r="H3119">
        <f>AVERAGEIFS(Table1[value],Table1[IndicatorCode],Table1[[#This Row],[IndicatorCode]])</f>
        <v>7.6894248608534319</v>
      </c>
      <c r="I3119" cm="1">
        <f t="array" ref="I3119">_xlfn.STDEV.P(IF(Table1[IndicatorCode]=Table1[[#This Row],[IndicatorCode]],Table1[value]))</f>
        <v>5.2319501044600996</v>
      </c>
      <c r="J3119">
        <f>(Table1[[#This Row],[value]] - Table1[[#This Row],[mean]]) / Table1[[#This Row],[std_dev]]</f>
        <v>0.63276122154230596</v>
      </c>
      <c r="K3119">
        <f>AVERAGEIF(Table1[CountryCode],Table1[[#This Row],[CountryCode]],Table1[z-score])</f>
        <v>-0.42188835181926676</v>
      </c>
      <c r="L3119" t="e">
        <f>VLOOKUP(Table1[[#This Row],[CountryCode]],[1]!Table1[#Data],4,FALSE)</f>
        <v>#REF!</v>
      </c>
    </row>
    <row r="3120" spans="1:12" hidden="1" x14ac:dyDescent="0.3">
      <c r="A3120" t="s">
        <v>57</v>
      </c>
      <c r="B3120" t="s">
        <v>58</v>
      </c>
      <c r="C3120" t="s">
        <v>125</v>
      </c>
      <c r="D3120" t="s">
        <v>126</v>
      </c>
      <c r="E3120">
        <v>2006</v>
      </c>
      <c r="F3120" s="1">
        <v>11</v>
      </c>
      <c r="G3120">
        <v>2000</v>
      </c>
      <c r="H3120">
        <f>AVERAGEIFS(Table1[value],Table1[IndicatorCode],Table1[[#This Row],[IndicatorCode]])</f>
        <v>7.6894248608534319</v>
      </c>
      <c r="I3120" cm="1">
        <f t="array" ref="I3120">_xlfn.STDEV.P(IF(Table1[IndicatorCode]=Table1[[#This Row],[IndicatorCode]],Table1[value]))</f>
        <v>5.2319501044600996</v>
      </c>
      <c r="J3120">
        <f>(Table1[[#This Row],[value]] - Table1[[#This Row],[mean]]) / Table1[[#This Row],[std_dev]]</f>
        <v>0.63276122154230596</v>
      </c>
      <c r="K3120">
        <f>AVERAGEIF(Table1[CountryCode],Table1[[#This Row],[CountryCode]],Table1[z-score])</f>
        <v>-0.42188835181926676</v>
      </c>
      <c r="L3120" t="e">
        <f>VLOOKUP(Table1[[#This Row],[CountryCode]],[1]!Table1[#Data],4,FALSE)</f>
        <v>#REF!</v>
      </c>
    </row>
    <row r="3121" spans="1:12" hidden="1" x14ac:dyDescent="0.3">
      <c r="A3121" t="s">
        <v>57</v>
      </c>
      <c r="B3121" t="s">
        <v>58</v>
      </c>
      <c r="C3121" t="s">
        <v>125</v>
      </c>
      <c r="D3121" t="s">
        <v>126</v>
      </c>
      <c r="E3121">
        <v>2007</v>
      </c>
      <c r="F3121" s="1">
        <v>11</v>
      </c>
      <c r="G3121">
        <v>2010</v>
      </c>
      <c r="H3121">
        <f>AVERAGEIFS(Table1[value],Table1[IndicatorCode],Table1[[#This Row],[IndicatorCode]])</f>
        <v>7.6894248608534319</v>
      </c>
      <c r="I3121" cm="1">
        <f t="array" ref="I3121">_xlfn.STDEV.P(IF(Table1[IndicatorCode]=Table1[[#This Row],[IndicatorCode]],Table1[value]))</f>
        <v>5.2319501044600996</v>
      </c>
      <c r="J3121">
        <f>(Table1[[#This Row],[value]] - Table1[[#This Row],[mean]]) / Table1[[#This Row],[std_dev]]</f>
        <v>0.63276122154230596</v>
      </c>
      <c r="K3121">
        <f>AVERAGEIF(Table1[CountryCode],Table1[[#This Row],[CountryCode]],Table1[z-score])</f>
        <v>-0.42188835181926676</v>
      </c>
      <c r="L3121" t="e">
        <f>VLOOKUP(Table1[[#This Row],[CountryCode]],[1]!Table1[#Data],4,FALSE)</f>
        <v>#REF!</v>
      </c>
    </row>
    <row r="3122" spans="1:12" hidden="1" x14ac:dyDescent="0.3">
      <c r="A3122" t="s">
        <v>57</v>
      </c>
      <c r="B3122" t="s">
        <v>58</v>
      </c>
      <c r="C3122" t="s">
        <v>125</v>
      </c>
      <c r="D3122" t="s">
        <v>126</v>
      </c>
      <c r="E3122">
        <v>2008</v>
      </c>
      <c r="F3122" s="1">
        <v>11</v>
      </c>
      <c r="G3122">
        <v>2010</v>
      </c>
      <c r="H3122">
        <f>AVERAGEIFS(Table1[value],Table1[IndicatorCode],Table1[[#This Row],[IndicatorCode]])</f>
        <v>7.6894248608534319</v>
      </c>
      <c r="I3122" cm="1">
        <f t="array" ref="I3122">_xlfn.STDEV.P(IF(Table1[IndicatorCode]=Table1[[#This Row],[IndicatorCode]],Table1[value]))</f>
        <v>5.2319501044600996</v>
      </c>
      <c r="J3122">
        <f>(Table1[[#This Row],[value]] - Table1[[#This Row],[mean]]) / Table1[[#This Row],[std_dev]]</f>
        <v>0.63276122154230596</v>
      </c>
      <c r="K3122">
        <f>AVERAGEIF(Table1[CountryCode],Table1[[#This Row],[CountryCode]],Table1[z-score])</f>
        <v>-0.42188835181926676</v>
      </c>
      <c r="L3122" t="e">
        <f>VLOOKUP(Table1[[#This Row],[CountryCode]],[1]!Table1[#Data],4,FALSE)</f>
        <v>#REF!</v>
      </c>
    </row>
    <row r="3123" spans="1:12" hidden="1" x14ac:dyDescent="0.3">
      <c r="A3123" t="s">
        <v>57</v>
      </c>
      <c r="B3123" t="s">
        <v>58</v>
      </c>
      <c r="C3123" t="s">
        <v>125</v>
      </c>
      <c r="D3123" t="s">
        <v>126</v>
      </c>
      <c r="E3123">
        <v>2009</v>
      </c>
      <c r="F3123" s="1">
        <v>10</v>
      </c>
      <c r="G3123">
        <v>2010</v>
      </c>
      <c r="H3123">
        <f>AVERAGEIFS(Table1[value],Table1[IndicatorCode],Table1[[#This Row],[IndicatorCode]])</f>
        <v>7.6894248608534319</v>
      </c>
      <c r="I3123" cm="1">
        <f t="array" ref="I3123">_xlfn.STDEV.P(IF(Table1[IndicatorCode]=Table1[[#This Row],[IndicatorCode]],Table1[value]))</f>
        <v>5.2319501044600996</v>
      </c>
      <c r="J3123">
        <f>(Table1[[#This Row],[value]] - Table1[[#This Row],[mean]]) / Table1[[#This Row],[std_dev]]</f>
        <v>0.44162790030754762</v>
      </c>
      <c r="K3123">
        <f>AVERAGEIF(Table1[CountryCode],Table1[[#This Row],[CountryCode]],Table1[z-score])</f>
        <v>-0.42188835181926676</v>
      </c>
      <c r="L3123" t="e">
        <f>VLOOKUP(Table1[[#This Row],[CountryCode]],[1]!Table1[#Data],4,FALSE)</f>
        <v>#REF!</v>
      </c>
    </row>
    <row r="3124" spans="1:12" hidden="1" x14ac:dyDescent="0.3">
      <c r="A3124" t="s">
        <v>57</v>
      </c>
      <c r="B3124" t="s">
        <v>58</v>
      </c>
      <c r="C3124" t="s">
        <v>125</v>
      </c>
      <c r="D3124" t="s">
        <v>126</v>
      </c>
      <c r="E3124">
        <v>2010</v>
      </c>
      <c r="F3124" s="1">
        <v>11</v>
      </c>
      <c r="G3124">
        <v>2010</v>
      </c>
      <c r="H3124">
        <f>AVERAGEIFS(Table1[value],Table1[IndicatorCode],Table1[[#This Row],[IndicatorCode]])</f>
        <v>7.6894248608534319</v>
      </c>
      <c r="I3124" cm="1">
        <f t="array" ref="I3124">_xlfn.STDEV.P(IF(Table1[IndicatorCode]=Table1[[#This Row],[IndicatorCode]],Table1[value]))</f>
        <v>5.2319501044600996</v>
      </c>
      <c r="J3124">
        <f>(Table1[[#This Row],[value]] - Table1[[#This Row],[mean]]) / Table1[[#This Row],[std_dev]]</f>
        <v>0.63276122154230596</v>
      </c>
      <c r="K3124">
        <f>AVERAGEIF(Table1[CountryCode],Table1[[#This Row],[CountryCode]],Table1[z-score])</f>
        <v>-0.42188835181926676</v>
      </c>
      <c r="L3124" t="e">
        <f>VLOOKUP(Table1[[#This Row],[CountryCode]],[1]!Table1[#Data],4,FALSE)</f>
        <v>#REF!</v>
      </c>
    </row>
    <row r="3125" spans="1:12" hidden="1" x14ac:dyDescent="0.3">
      <c r="A3125" t="s">
        <v>57</v>
      </c>
      <c r="B3125" t="s">
        <v>58</v>
      </c>
      <c r="C3125" t="s">
        <v>125</v>
      </c>
      <c r="D3125" t="s">
        <v>126</v>
      </c>
      <c r="E3125">
        <v>2011</v>
      </c>
      <c r="F3125" s="1">
        <v>12</v>
      </c>
      <c r="G3125">
        <v>2010</v>
      </c>
      <c r="H3125">
        <f>AVERAGEIFS(Table1[value],Table1[IndicatorCode],Table1[[#This Row],[IndicatorCode]])</f>
        <v>7.6894248608534319</v>
      </c>
      <c r="I3125" cm="1">
        <f t="array" ref="I3125">_xlfn.STDEV.P(IF(Table1[IndicatorCode]=Table1[[#This Row],[IndicatorCode]],Table1[value]))</f>
        <v>5.2319501044600996</v>
      </c>
      <c r="J3125">
        <f>(Table1[[#This Row],[value]] - Table1[[#This Row],[mean]]) / Table1[[#This Row],[std_dev]]</f>
        <v>0.82389454277706442</v>
      </c>
      <c r="K3125">
        <f>AVERAGEIF(Table1[CountryCode],Table1[[#This Row],[CountryCode]],Table1[z-score])</f>
        <v>-0.42188835181926676</v>
      </c>
      <c r="L3125" t="e">
        <f>VLOOKUP(Table1[[#This Row],[CountryCode]],[1]!Table1[#Data],4,FALSE)</f>
        <v>#REF!</v>
      </c>
    </row>
    <row r="3126" spans="1:12" hidden="1" x14ac:dyDescent="0.3">
      <c r="A3126" t="s">
        <v>57</v>
      </c>
      <c r="B3126" t="s">
        <v>58</v>
      </c>
      <c r="C3126" t="s">
        <v>125</v>
      </c>
      <c r="D3126" t="s">
        <v>126</v>
      </c>
      <c r="E3126">
        <v>2012</v>
      </c>
      <c r="F3126" s="1">
        <v>9</v>
      </c>
      <c r="G3126">
        <v>2010</v>
      </c>
      <c r="H3126">
        <f>AVERAGEIFS(Table1[value],Table1[IndicatorCode],Table1[[#This Row],[IndicatorCode]])</f>
        <v>7.6894248608534319</v>
      </c>
      <c r="I3126" cm="1">
        <f t="array" ref="I3126">_xlfn.STDEV.P(IF(Table1[IndicatorCode]=Table1[[#This Row],[IndicatorCode]],Table1[value]))</f>
        <v>5.2319501044600996</v>
      </c>
      <c r="J3126">
        <f>(Table1[[#This Row],[value]] - Table1[[#This Row],[mean]]) / Table1[[#This Row],[std_dev]]</f>
        <v>0.25049457907278921</v>
      </c>
      <c r="K3126">
        <f>AVERAGEIF(Table1[CountryCode],Table1[[#This Row],[CountryCode]],Table1[z-score])</f>
        <v>-0.42188835181926676</v>
      </c>
      <c r="L3126" t="e">
        <f>VLOOKUP(Table1[[#This Row],[CountryCode]],[1]!Table1[#Data],4,FALSE)</f>
        <v>#REF!</v>
      </c>
    </row>
    <row r="3127" spans="1:12" hidden="1" x14ac:dyDescent="0.3">
      <c r="A3127" t="s">
        <v>57</v>
      </c>
      <c r="B3127" t="s">
        <v>58</v>
      </c>
      <c r="C3127" t="s">
        <v>125</v>
      </c>
      <c r="D3127" t="s">
        <v>126</v>
      </c>
      <c r="E3127">
        <v>2013</v>
      </c>
      <c r="F3127" s="1">
        <v>10</v>
      </c>
      <c r="G3127">
        <v>2010</v>
      </c>
      <c r="H3127">
        <f>AVERAGEIFS(Table1[value],Table1[IndicatorCode],Table1[[#This Row],[IndicatorCode]])</f>
        <v>7.6894248608534319</v>
      </c>
      <c r="I3127" cm="1">
        <f t="array" ref="I3127">_xlfn.STDEV.P(IF(Table1[IndicatorCode]=Table1[[#This Row],[IndicatorCode]],Table1[value]))</f>
        <v>5.2319501044600996</v>
      </c>
      <c r="J3127">
        <f>(Table1[[#This Row],[value]] - Table1[[#This Row],[mean]]) / Table1[[#This Row],[std_dev]]</f>
        <v>0.44162790030754762</v>
      </c>
      <c r="K3127">
        <f>AVERAGEIF(Table1[CountryCode],Table1[[#This Row],[CountryCode]],Table1[z-score])</f>
        <v>-0.42188835181926676</v>
      </c>
      <c r="L3127" t="e">
        <f>VLOOKUP(Table1[[#This Row],[CountryCode]],[1]!Table1[#Data],4,FALSE)</f>
        <v>#REF!</v>
      </c>
    </row>
    <row r="3128" spans="1:12" hidden="1" x14ac:dyDescent="0.3">
      <c r="A3128" t="s">
        <v>57</v>
      </c>
      <c r="B3128" t="s">
        <v>58</v>
      </c>
      <c r="C3128" t="s">
        <v>125</v>
      </c>
      <c r="D3128" t="s">
        <v>126</v>
      </c>
      <c r="E3128">
        <v>2014</v>
      </c>
      <c r="F3128" s="1">
        <v>9</v>
      </c>
      <c r="G3128">
        <v>2010</v>
      </c>
      <c r="H3128">
        <f>AVERAGEIFS(Table1[value],Table1[IndicatorCode],Table1[[#This Row],[IndicatorCode]])</f>
        <v>7.6894248608534319</v>
      </c>
      <c r="I3128" cm="1">
        <f t="array" ref="I3128">_xlfn.STDEV.P(IF(Table1[IndicatorCode]=Table1[[#This Row],[IndicatorCode]],Table1[value]))</f>
        <v>5.2319501044600996</v>
      </c>
      <c r="J3128">
        <f>(Table1[[#This Row],[value]] - Table1[[#This Row],[mean]]) / Table1[[#This Row],[std_dev]]</f>
        <v>0.25049457907278921</v>
      </c>
      <c r="K3128">
        <f>AVERAGEIF(Table1[CountryCode],Table1[[#This Row],[CountryCode]],Table1[z-score])</f>
        <v>-0.42188835181926676</v>
      </c>
      <c r="L3128" t="e">
        <f>VLOOKUP(Table1[[#This Row],[CountryCode]],[1]!Table1[#Data],4,FALSE)</f>
        <v>#REF!</v>
      </c>
    </row>
    <row r="3129" spans="1:12" hidden="1" x14ac:dyDescent="0.3">
      <c r="A3129" t="s">
        <v>57</v>
      </c>
      <c r="B3129" t="s">
        <v>58</v>
      </c>
      <c r="C3129" t="s">
        <v>125</v>
      </c>
      <c r="D3129" t="s">
        <v>126</v>
      </c>
      <c r="E3129">
        <v>2015</v>
      </c>
      <c r="F3129" s="1">
        <v>9</v>
      </c>
      <c r="G3129">
        <v>2010</v>
      </c>
      <c r="H3129">
        <f>AVERAGEIFS(Table1[value],Table1[IndicatorCode],Table1[[#This Row],[IndicatorCode]])</f>
        <v>7.6894248608534319</v>
      </c>
      <c r="I3129" cm="1">
        <f t="array" ref="I3129">_xlfn.STDEV.P(IF(Table1[IndicatorCode]=Table1[[#This Row],[IndicatorCode]],Table1[value]))</f>
        <v>5.2319501044600996</v>
      </c>
      <c r="J3129">
        <f>(Table1[[#This Row],[value]] - Table1[[#This Row],[mean]]) / Table1[[#This Row],[std_dev]]</f>
        <v>0.25049457907278921</v>
      </c>
      <c r="K3129">
        <f>AVERAGEIF(Table1[CountryCode],Table1[[#This Row],[CountryCode]],Table1[z-score])</f>
        <v>-0.42188835181926676</v>
      </c>
      <c r="L3129" t="e">
        <f>VLOOKUP(Table1[[#This Row],[CountryCode]],[1]!Table1[#Data],4,FALSE)</f>
        <v>#REF!</v>
      </c>
    </row>
    <row r="3130" spans="1:12" hidden="1" x14ac:dyDescent="0.3">
      <c r="A3130" t="s">
        <v>57</v>
      </c>
      <c r="B3130" t="s">
        <v>58</v>
      </c>
      <c r="C3130" t="s">
        <v>125</v>
      </c>
      <c r="D3130" t="s">
        <v>126</v>
      </c>
      <c r="E3130">
        <v>2016</v>
      </c>
      <c r="F3130" s="1">
        <v>9</v>
      </c>
      <c r="G3130">
        <v>2010</v>
      </c>
      <c r="H3130">
        <f>AVERAGEIFS(Table1[value],Table1[IndicatorCode],Table1[[#This Row],[IndicatorCode]])</f>
        <v>7.6894248608534319</v>
      </c>
      <c r="I3130" cm="1">
        <f t="array" ref="I3130">_xlfn.STDEV.P(IF(Table1[IndicatorCode]=Table1[[#This Row],[IndicatorCode]],Table1[value]))</f>
        <v>5.2319501044600996</v>
      </c>
      <c r="J3130">
        <f>(Table1[[#This Row],[value]] - Table1[[#This Row],[mean]]) / Table1[[#This Row],[std_dev]]</f>
        <v>0.25049457907278921</v>
      </c>
      <c r="K3130">
        <f>AVERAGEIF(Table1[CountryCode],Table1[[#This Row],[CountryCode]],Table1[z-score])</f>
        <v>-0.42188835181926676</v>
      </c>
      <c r="L3130" t="e">
        <f>VLOOKUP(Table1[[#This Row],[CountryCode]],[1]!Table1[#Data],4,FALSE)</f>
        <v>#REF!</v>
      </c>
    </row>
    <row r="3131" spans="1:12" hidden="1" x14ac:dyDescent="0.3">
      <c r="A3131" t="s">
        <v>57</v>
      </c>
      <c r="B3131" t="s">
        <v>58</v>
      </c>
      <c r="C3131" t="s">
        <v>125</v>
      </c>
      <c r="D3131" t="s">
        <v>126</v>
      </c>
      <c r="E3131">
        <v>2017</v>
      </c>
      <c r="F3131" s="1">
        <v>9</v>
      </c>
      <c r="G3131">
        <v>2020</v>
      </c>
      <c r="H3131">
        <f>AVERAGEIFS(Table1[value],Table1[IndicatorCode],Table1[[#This Row],[IndicatorCode]])</f>
        <v>7.6894248608534319</v>
      </c>
      <c r="I3131" cm="1">
        <f t="array" ref="I3131">_xlfn.STDEV.P(IF(Table1[IndicatorCode]=Table1[[#This Row],[IndicatorCode]],Table1[value]))</f>
        <v>5.2319501044600996</v>
      </c>
      <c r="J3131">
        <f>(Table1[[#This Row],[value]] - Table1[[#This Row],[mean]]) / Table1[[#This Row],[std_dev]]</f>
        <v>0.25049457907278921</v>
      </c>
      <c r="K3131">
        <f>AVERAGEIF(Table1[CountryCode],Table1[[#This Row],[CountryCode]],Table1[z-score])</f>
        <v>-0.42188835181926676</v>
      </c>
      <c r="L3131" t="e">
        <f>VLOOKUP(Table1[[#This Row],[CountryCode]],[1]!Table1[#Data],4,FALSE)</f>
        <v>#REF!</v>
      </c>
    </row>
    <row r="3132" spans="1:12" hidden="1" x14ac:dyDescent="0.3">
      <c r="A3132" t="s">
        <v>57</v>
      </c>
      <c r="B3132" t="s">
        <v>58</v>
      </c>
      <c r="C3132" t="s">
        <v>125</v>
      </c>
      <c r="D3132" t="s">
        <v>126</v>
      </c>
      <c r="E3132">
        <v>2018</v>
      </c>
      <c r="F3132" s="1">
        <v>9</v>
      </c>
      <c r="G3132">
        <v>2020</v>
      </c>
      <c r="H3132">
        <f>AVERAGEIFS(Table1[value],Table1[IndicatorCode],Table1[[#This Row],[IndicatorCode]])</f>
        <v>7.6894248608534319</v>
      </c>
      <c r="I3132" cm="1">
        <f t="array" ref="I3132">_xlfn.STDEV.P(IF(Table1[IndicatorCode]=Table1[[#This Row],[IndicatorCode]],Table1[value]))</f>
        <v>5.2319501044600996</v>
      </c>
      <c r="J3132">
        <f>(Table1[[#This Row],[value]] - Table1[[#This Row],[mean]]) / Table1[[#This Row],[std_dev]]</f>
        <v>0.25049457907278921</v>
      </c>
      <c r="K3132">
        <f>AVERAGEIF(Table1[CountryCode],Table1[[#This Row],[CountryCode]],Table1[z-score])</f>
        <v>-0.42188835181926676</v>
      </c>
      <c r="L3132" t="e">
        <f>VLOOKUP(Table1[[#This Row],[CountryCode]],[1]!Table1[#Data],4,FALSE)</f>
        <v>#REF!</v>
      </c>
    </row>
    <row r="3133" spans="1:12" hidden="1" x14ac:dyDescent="0.3">
      <c r="A3133" t="s">
        <v>57</v>
      </c>
      <c r="B3133" t="s">
        <v>58</v>
      </c>
      <c r="C3133" t="s">
        <v>125</v>
      </c>
      <c r="D3133" t="s">
        <v>126</v>
      </c>
      <c r="E3133">
        <v>2019</v>
      </c>
      <c r="F3133" s="1">
        <v>9</v>
      </c>
      <c r="G3133">
        <v>2020</v>
      </c>
      <c r="H3133">
        <f>AVERAGEIFS(Table1[value],Table1[IndicatorCode],Table1[[#This Row],[IndicatorCode]])</f>
        <v>7.6894248608534319</v>
      </c>
      <c r="I3133" cm="1">
        <f t="array" ref="I3133">_xlfn.STDEV.P(IF(Table1[IndicatorCode]=Table1[[#This Row],[IndicatorCode]],Table1[value]))</f>
        <v>5.2319501044600996</v>
      </c>
      <c r="J3133">
        <f>(Table1[[#This Row],[value]] - Table1[[#This Row],[mean]]) / Table1[[#This Row],[std_dev]]</f>
        <v>0.25049457907278921</v>
      </c>
      <c r="K3133">
        <f>AVERAGEIF(Table1[CountryCode],Table1[[#This Row],[CountryCode]],Table1[z-score])</f>
        <v>-0.42188835181926676</v>
      </c>
      <c r="L3133" t="e">
        <f>VLOOKUP(Table1[[#This Row],[CountryCode]],[1]!Table1[#Data],4,FALSE)</f>
        <v>#REF!</v>
      </c>
    </row>
    <row r="3134" spans="1:12" x14ac:dyDescent="0.3">
      <c r="A3134" t="s">
        <v>57</v>
      </c>
      <c r="B3134" t="s">
        <v>58</v>
      </c>
      <c r="C3134" t="s">
        <v>125</v>
      </c>
      <c r="D3134" t="s">
        <v>126</v>
      </c>
      <c r="E3134">
        <v>2020</v>
      </c>
      <c r="F3134" s="1">
        <v>9</v>
      </c>
      <c r="G3134">
        <v>2020</v>
      </c>
      <c r="H3134">
        <f>AVERAGEIFS(Table1[value],Table1[IndicatorCode],Table1[[#This Row],[IndicatorCode]])</f>
        <v>7.6894248608534319</v>
      </c>
      <c r="I3134" cm="1">
        <f t="array" ref="I3134">_xlfn.STDEV.P(IF(Table1[IndicatorCode]=Table1[[#This Row],[IndicatorCode]],Table1[value]))</f>
        <v>5.2319501044600996</v>
      </c>
      <c r="J3134">
        <f>(Table1[[#This Row],[value]] - Table1[[#This Row],[mean]]) / Table1[[#This Row],[std_dev]]</f>
        <v>0.25049457907278921</v>
      </c>
      <c r="K3134">
        <f>AVERAGEIF(Table1[CountryCode],Table1[[#This Row],[CountryCode]],Table1[z-score])</f>
        <v>-0.42188835181926676</v>
      </c>
    </row>
    <row r="3135" spans="1:12" hidden="1" x14ac:dyDescent="0.3">
      <c r="A3135" t="s">
        <v>57</v>
      </c>
      <c r="B3135" t="s">
        <v>58</v>
      </c>
      <c r="C3135" t="s">
        <v>125</v>
      </c>
      <c r="D3135" t="s">
        <v>126</v>
      </c>
      <c r="E3135">
        <v>2021</v>
      </c>
      <c r="F3135" s="1">
        <v>10</v>
      </c>
      <c r="G3135">
        <v>2020</v>
      </c>
      <c r="H3135">
        <f>AVERAGEIFS(Table1[value],Table1[IndicatorCode],Table1[[#This Row],[IndicatorCode]])</f>
        <v>7.6894248608534319</v>
      </c>
      <c r="I3135" cm="1">
        <f t="array" ref="I3135">_xlfn.STDEV.P(IF(Table1[IndicatorCode]=Table1[[#This Row],[IndicatorCode]],Table1[value]))</f>
        <v>5.2319501044600996</v>
      </c>
      <c r="J3135">
        <f>(Table1[[#This Row],[value]] - Table1[[#This Row],[mean]]) / Table1[[#This Row],[std_dev]]</f>
        <v>0.44162790030754762</v>
      </c>
      <c r="K3135">
        <f>AVERAGEIF(Table1[CountryCode],Table1[[#This Row],[CountryCode]],Table1[z-score])</f>
        <v>-0.42188835181926676</v>
      </c>
      <c r="L3135" t="e">
        <f>VLOOKUP(Table1[[#This Row],[CountryCode]],[1]!Table1[#Data],4,FALSE)</f>
        <v>#REF!</v>
      </c>
    </row>
    <row r="3136" spans="1:12" hidden="1" x14ac:dyDescent="0.3">
      <c r="A3136" t="s">
        <v>57</v>
      </c>
      <c r="B3136" t="s">
        <v>58</v>
      </c>
      <c r="C3136" t="s">
        <v>125</v>
      </c>
      <c r="D3136" t="s">
        <v>126</v>
      </c>
      <c r="E3136">
        <v>2022</v>
      </c>
      <c r="F3136" s="1">
        <v>10</v>
      </c>
      <c r="G3136">
        <v>1970</v>
      </c>
      <c r="H3136">
        <f>AVERAGEIFS(Table1[value],Table1[IndicatorCode],Table1[[#This Row],[IndicatorCode]])</f>
        <v>7.6894248608534319</v>
      </c>
      <c r="I3136" cm="1">
        <f t="array" ref="I3136">_xlfn.STDEV.P(IF(Table1[IndicatorCode]=Table1[[#This Row],[IndicatorCode]],Table1[value]))</f>
        <v>5.2319501044600996</v>
      </c>
      <c r="J3136">
        <f>(Table1[[#This Row],[value]] - Table1[[#This Row],[mean]]) / Table1[[#This Row],[std_dev]]</f>
        <v>0.44162790030754762</v>
      </c>
      <c r="K3136">
        <f>AVERAGEIF(Table1[CountryCode],Table1[[#This Row],[CountryCode]],Table1[z-score])</f>
        <v>-0.42188835181926676</v>
      </c>
      <c r="L3136" t="e">
        <f>VLOOKUP(Table1[[#This Row],[CountryCode]],[1]!Table1[#Data],4,FALSE)</f>
        <v>#REF!</v>
      </c>
    </row>
    <row r="3137" spans="1:12" hidden="1" x14ac:dyDescent="0.3">
      <c r="A3137" t="s">
        <v>57</v>
      </c>
      <c r="B3137" t="s">
        <v>58</v>
      </c>
      <c r="C3137" t="s">
        <v>125</v>
      </c>
      <c r="D3137" t="s">
        <v>126</v>
      </c>
      <c r="E3137">
        <v>2023</v>
      </c>
      <c r="F3137" s="1">
        <v>10</v>
      </c>
      <c r="G3137">
        <v>1970</v>
      </c>
      <c r="H3137">
        <f>AVERAGEIFS(Table1[value],Table1[IndicatorCode],Table1[[#This Row],[IndicatorCode]])</f>
        <v>7.6894248608534319</v>
      </c>
      <c r="I3137" cm="1">
        <f t="array" ref="I3137">_xlfn.STDEV.P(IF(Table1[IndicatorCode]=Table1[[#This Row],[IndicatorCode]],Table1[value]))</f>
        <v>5.2319501044600996</v>
      </c>
      <c r="J3137">
        <f>(Table1[[#This Row],[value]] - Table1[[#This Row],[mean]]) / Table1[[#This Row],[std_dev]]</f>
        <v>0.44162790030754762</v>
      </c>
      <c r="K3137">
        <f>AVERAGEIF(Table1[CountryCode],Table1[[#This Row],[CountryCode]],Table1[z-score])</f>
        <v>-0.42188835181926676</v>
      </c>
      <c r="L3137" t="e">
        <f>VLOOKUP(Table1[[#This Row],[CountryCode]],[1]!Table1[#Data],4,FALSE)</f>
        <v>#REF!</v>
      </c>
    </row>
    <row r="3138" spans="1:12" hidden="1" x14ac:dyDescent="0.3">
      <c r="A3138" t="s">
        <v>57</v>
      </c>
      <c r="B3138" t="s">
        <v>58</v>
      </c>
      <c r="C3138" t="s">
        <v>125</v>
      </c>
      <c r="D3138" t="s">
        <v>126</v>
      </c>
      <c r="E3138">
        <v>2024</v>
      </c>
      <c r="F3138" s="1">
        <v>10</v>
      </c>
      <c r="G3138">
        <v>1970</v>
      </c>
      <c r="H3138">
        <f>AVERAGEIFS(Table1[value],Table1[IndicatorCode],Table1[[#This Row],[IndicatorCode]])</f>
        <v>7.6894248608534319</v>
      </c>
      <c r="I3138" cm="1">
        <f t="array" ref="I3138">_xlfn.STDEV.P(IF(Table1[IndicatorCode]=Table1[[#This Row],[IndicatorCode]],Table1[value]))</f>
        <v>5.2319501044600996</v>
      </c>
      <c r="J3138">
        <f>(Table1[[#This Row],[value]] - Table1[[#This Row],[mean]]) / Table1[[#This Row],[std_dev]]</f>
        <v>0.44162790030754762</v>
      </c>
      <c r="K3138">
        <f>AVERAGEIF(Table1[CountryCode],Table1[[#This Row],[CountryCode]],Table1[z-score])</f>
        <v>-0.42188835181926676</v>
      </c>
      <c r="L3138" t="e">
        <f>VLOOKUP(Table1[[#This Row],[CountryCode]],[1]!Table1[#Data],4,FALSE)</f>
        <v>#REF!</v>
      </c>
    </row>
    <row r="3139" spans="1:12" hidden="1" x14ac:dyDescent="0.3">
      <c r="A3139" t="s">
        <v>59</v>
      </c>
      <c r="B3139" t="s">
        <v>60</v>
      </c>
      <c r="C3139" t="s">
        <v>125</v>
      </c>
      <c r="D3139" t="s">
        <v>126</v>
      </c>
      <c r="E3139">
        <v>1970</v>
      </c>
      <c r="F3139" s="1">
        <v>4</v>
      </c>
      <c r="G3139">
        <v>1970</v>
      </c>
      <c r="H3139">
        <f>AVERAGEIFS(Table1[value],Table1[IndicatorCode],Table1[[#This Row],[IndicatorCode]])</f>
        <v>7.6894248608534319</v>
      </c>
      <c r="I3139" cm="1">
        <f t="array" ref="I3139">_xlfn.STDEV.P(IF(Table1[IndicatorCode]=Table1[[#This Row],[IndicatorCode]],Table1[value]))</f>
        <v>5.2319501044600996</v>
      </c>
      <c r="J3139">
        <f>(Table1[[#This Row],[value]] - Table1[[#This Row],[mean]]) / Table1[[#This Row],[std_dev]]</f>
        <v>-0.7051720271010028</v>
      </c>
      <c r="K3139">
        <f>AVERAGEIF(Table1[CountryCode],Table1[[#This Row],[CountryCode]],Table1[z-score])</f>
        <v>-0.22872454493605915</v>
      </c>
      <c r="L3139" t="e">
        <f>VLOOKUP(Table1[[#This Row],[CountryCode]],[1]!Table1[#Data],4,FALSE)</f>
        <v>#REF!</v>
      </c>
    </row>
    <row r="3140" spans="1:12" hidden="1" x14ac:dyDescent="0.3">
      <c r="A3140" t="s">
        <v>59</v>
      </c>
      <c r="B3140" t="s">
        <v>60</v>
      </c>
      <c r="C3140" t="s">
        <v>125</v>
      </c>
      <c r="D3140" t="s">
        <v>126</v>
      </c>
      <c r="E3140">
        <v>1971</v>
      </c>
      <c r="F3140" s="1">
        <v>4</v>
      </c>
      <c r="G3140">
        <v>1970</v>
      </c>
      <c r="H3140">
        <f>AVERAGEIFS(Table1[value],Table1[IndicatorCode],Table1[[#This Row],[IndicatorCode]])</f>
        <v>7.6894248608534319</v>
      </c>
      <c r="I3140" cm="1">
        <f t="array" ref="I3140">_xlfn.STDEV.P(IF(Table1[IndicatorCode]=Table1[[#This Row],[IndicatorCode]],Table1[value]))</f>
        <v>5.2319501044600996</v>
      </c>
      <c r="J3140">
        <f>(Table1[[#This Row],[value]] - Table1[[#This Row],[mean]]) / Table1[[#This Row],[std_dev]]</f>
        <v>-0.7051720271010028</v>
      </c>
      <c r="K3140">
        <f>AVERAGEIF(Table1[CountryCode],Table1[[#This Row],[CountryCode]],Table1[z-score])</f>
        <v>-0.22872454493605915</v>
      </c>
      <c r="L3140" t="e">
        <f>VLOOKUP(Table1[[#This Row],[CountryCode]],[1]!Table1[#Data],4,FALSE)</f>
        <v>#REF!</v>
      </c>
    </row>
    <row r="3141" spans="1:12" hidden="1" x14ac:dyDescent="0.3">
      <c r="A3141" t="s">
        <v>59</v>
      </c>
      <c r="B3141" t="s">
        <v>60</v>
      </c>
      <c r="C3141" t="s">
        <v>125</v>
      </c>
      <c r="D3141" t="s">
        <v>126</v>
      </c>
      <c r="E3141">
        <v>1972</v>
      </c>
      <c r="F3141" s="1">
        <v>4</v>
      </c>
      <c r="G3141">
        <v>1970</v>
      </c>
      <c r="H3141">
        <f>AVERAGEIFS(Table1[value],Table1[IndicatorCode],Table1[[#This Row],[IndicatorCode]])</f>
        <v>7.6894248608534319</v>
      </c>
      <c r="I3141" cm="1">
        <f t="array" ref="I3141">_xlfn.STDEV.P(IF(Table1[IndicatorCode]=Table1[[#This Row],[IndicatorCode]],Table1[value]))</f>
        <v>5.2319501044600996</v>
      </c>
      <c r="J3141">
        <f>(Table1[[#This Row],[value]] - Table1[[#This Row],[mean]]) / Table1[[#This Row],[std_dev]]</f>
        <v>-0.7051720271010028</v>
      </c>
      <c r="K3141">
        <f>AVERAGEIF(Table1[CountryCode],Table1[[#This Row],[CountryCode]],Table1[z-score])</f>
        <v>-0.22872454493605915</v>
      </c>
      <c r="L3141" t="e">
        <f>VLOOKUP(Table1[[#This Row],[CountryCode]],[1]!Table1[#Data],4,FALSE)</f>
        <v>#REF!</v>
      </c>
    </row>
    <row r="3142" spans="1:12" hidden="1" x14ac:dyDescent="0.3">
      <c r="A3142" t="s">
        <v>59</v>
      </c>
      <c r="B3142" t="s">
        <v>60</v>
      </c>
      <c r="C3142" t="s">
        <v>125</v>
      </c>
      <c r="D3142" t="s">
        <v>126</v>
      </c>
      <c r="E3142">
        <v>1973</v>
      </c>
      <c r="F3142" s="1">
        <v>4</v>
      </c>
      <c r="G3142">
        <v>1970</v>
      </c>
      <c r="H3142">
        <f>AVERAGEIFS(Table1[value],Table1[IndicatorCode],Table1[[#This Row],[IndicatorCode]])</f>
        <v>7.6894248608534319</v>
      </c>
      <c r="I3142" cm="1">
        <f t="array" ref="I3142">_xlfn.STDEV.P(IF(Table1[IndicatorCode]=Table1[[#This Row],[IndicatorCode]],Table1[value]))</f>
        <v>5.2319501044600996</v>
      </c>
      <c r="J3142">
        <f>(Table1[[#This Row],[value]] - Table1[[#This Row],[mean]]) / Table1[[#This Row],[std_dev]]</f>
        <v>-0.7051720271010028</v>
      </c>
      <c r="K3142">
        <f>AVERAGEIF(Table1[CountryCode],Table1[[#This Row],[CountryCode]],Table1[z-score])</f>
        <v>-0.22872454493605915</v>
      </c>
      <c r="L3142" t="e">
        <f>VLOOKUP(Table1[[#This Row],[CountryCode]],[1]!Table1[#Data],4,FALSE)</f>
        <v>#REF!</v>
      </c>
    </row>
    <row r="3143" spans="1:12" hidden="1" x14ac:dyDescent="0.3">
      <c r="A3143" t="s">
        <v>59</v>
      </c>
      <c r="B3143" t="s">
        <v>60</v>
      </c>
      <c r="C3143" t="s">
        <v>125</v>
      </c>
      <c r="D3143" t="s">
        <v>126</v>
      </c>
      <c r="E3143">
        <v>1974</v>
      </c>
      <c r="F3143" s="1">
        <v>4</v>
      </c>
      <c r="G3143">
        <v>1970</v>
      </c>
      <c r="H3143">
        <f>AVERAGEIFS(Table1[value],Table1[IndicatorCode],Table1[[#This Row],[IndicatorCode]])</f>
        <v>7.6894248608534319</v>
      </c>
      <c r="I3143" cm="1">
        <f t="array" ref="I3143">_xlfn.STDEV.P(IF(Table1[IndicatorCode]=Table1[[#This Row],[IndicatorCode]],Table1[value]))</f>
        <v>5.2319501044600996</v>
      </c>
      <c r="J3143">
        <f>(Table1[[#This Row],[value]] - Table1[[#This Row],[mean]]) / Table1[[#This Row],[std_dev]]</f>
        <v>-0.7051720271010028</v>
      </c>
      <c r="K3143">
        <f>AVERAGEIF(Table1[CountryCode],Table1[[#This Row],[CountryCode]],Table1[z-score])</f>
        <v>-0.22872454493605915</v>
      </c>
      <c r="L3143" t="e">
        <f>VLOOKUP(Table1[[#This Row],[CountryCode]],[1]!Table1[#Data],4,FALSE)</f>
        <v>#REF!</v>
      </c>
    </row>
    <row r="3144" spans="1:12" hidden="1" x14ac:dyDescent="0.3">
      <c r="A3144" t="s">
        <v>59</v>
      </c>
      <c r="B3144" t="s">
        <v>60</v>
      </c>
      <c r="C3144" t="s">
        <v>125</v>
      </c>
      <c r="D3144" t="s">
        <v>126</v>
      </c>
      <c r="E3144">
        <v>1975</v>
      </c>
      <c r="F3144" s="1">
        <v>4</v>
      </c>
      <c r="G3144">
        <v>1970</v>
      </c>
      <c r="H3144">
        <f>AVERAGEIFS(Table1[value],Table1[IndicatorCode],Table1[[#This Row],[IndicatorCode]])</f>
        <v>7.6894248608534319</v>
      </c>
      <c r="I3144" cm="1">
        <f t="array" ref="I3144">_xlfn.STDEV.P(IF(Table1[IndicatorCode]=Table1[[#This Row],[IndicatorCode]],Table1[value]))</f>
        <v>5.2319501044600996</v>
      </c>
      <c r="J3144">
        <f>(Table1[[#This Row],[value]] - Table1[[#This Row],[mean]]) / Table1[[#This Row],[std_dev]]</f>
        <v>-0.7051720271010028</v>
      </c>
      <c r="K3144">
        <f>AVERAGEIF(Table1[CountryCode],Table1[[#This Row],[CountryCode]],Table1[z-score])</f>
        <v>-0.22872454493605915</v>
      </c>
      <c r="L3144" t="e">
        <f>VLOOKUP(Table1[[#This Row],[CountryCode]],[1]!Table1[#Data],4,FALSE)</f>
        <v>#REF!</v>
      </c>
    </row>
    <row r="3145" spans="1:12" hidden="1" x14ac:dyDescent="0.3">
      <c r="A3145" t="s">
        <v>59</v>
      </c>
      <c r="B3145" t="s">
        <v>60</v>
      </c>
      <c r="C3145" t="s">
        <v>125</v>
      </c>
      <c r="D3145" t="s">
        <v>126</v>
      </c>
      <c r="E3145">
        <v>1976</v>
      </c>
      <c r="F3145" s="1">
        <v>4</v>
      </c>
      <c r="G3145">
        <v>1970</v>
      </c>
      <c r="H3145">
        <f>AVERAGEIFS(Table1[value],Table1[IndicatorCode],Table1[[#This Row],[IndicatorCode]])</f>
        <v>7.6894248608534319</v>
      </c>
      <c r="I3145" cm="1">
        <f t="array" ref="I3145">_xlfn.STDEV.P(IF(Table1[IndicatorCode]=Table1[[#This Row],[IndicatorCode]],Table1[value]))</f>
        <v>5.2319501044600996</v>
      </c>
      <c r="J3145">
        <f>(Table1[[#This Row],[value]] - Table1[[#This Row],[mean]]) / Table1[[#This Row],[std_dev]]</f>
        <v>-0.7051720271010028</v>
      </c>
      <c r="K3145">
        <f>AVERAGEIF(Table1[CountryCode],Table1[[#This Row],[CountryCode]],Table1[z-score])</f>
        <v>-0.22872454493605915</v>
      </c>
      <c r="L3145" t="e">
        <f>VLOOKUP(Table1[[#This Row],[CountryCode]],[1]!Table1[#Data],4,FALSE)</f>
        <v>#REF!</v>
      </c>
    </row>
    <row r="3146" spans="1:12" hidden="1" x14ac:dyDescent="0.3">
      <c r="A3146" t="s">
        <v>59</v>
      </c>
      <c r="B3146" t="s">
        <v>60</v>
      </c>
      <c r="C3146" t="s">
        <v>125</v>
      </c>
      <c r="D3146" t="s">
        <v>126</v>
      </c>
      <c r="E3146">
        <v>1977</v>
      </c>
      <c r="F3146" s="1">
        <v>4</v>
      </c>
      <c r="G3146">
        <v>1980</v>
      </c>
      <c r="H3146">
        <f>AVERAGEIFS(Table1[value],Table1[IndicatorCode],Table1[[#This Row],[IndicatorCode]])</f>
        <v>7.6894248608534319</v>
      </c>
      <c r="I3146" cm="1">
        <f t="array" ref="I3146">_xlfn.STDEV.P(IF(Table1[IndicatorCode]=Table1[[#This Row],[IndicatorCode]],Table1[value]))</f>
        <v>5.2319501044600996</v>
      </c>
      <c r="J3146">
        <f>(Table1[[#This Row],[value]] - Table1[[#This Row],[mean]]) / Table1[[#This Row],[std_dev]]</f>
        <v>-0.7051720271010028</v>
      </c>
      <c r="K3146">
        <f>AVERAGEIF(Table1[CountryCode],Table1[[#This Row],[CountryCode]],Table1[z-score])</f>
        <v>-0.22872454493605915</v>
      </c>
      <c r="L3146" t="e">
        <f>VLOOKUP(Table1[[#This Row],[CountryCode]],[1]!Table1[#Data],4,FALSE)</f>
        <v>#REF!</v>
      </c>
    </row>
    <row r="3147" spans="1:12" hidden="1" x14ac:dyDescent="0.3">
      <c r="A3147" t="s">
        <v>59</v>
      </c>
      <c r="B3147" t="s">
        <v>60</v>
      </c>
      <c r="C3147" t="s">
        <v>125</v>
      </c>
      <c r="D3147" t="s">
        <v>126</v>
      </c>
      <c r="E3147">
        <v>1978</v>
      </c>
      <c r="F3147" s="1">
        <v>5</v>
      </c>
      <c r="G3147">
        <v>1980</v>
      </c>
      <c r="H3147">
        <f>AVERAGEIFS(Table1[value],Table1[IndicatorCode],Table1[[#This Row],[IndicatorCode]])</f>
        <v>7.6894248608534319</v>
      </c>
      <c r="I3147" cm="1">
        <f t="array" ref="I3147">_xlfn.STDEV.P(IF(Table1[IndicatorCode]=Table1[[#This Row],[IndicatorCode]],Table1[value]))</f>
        <v>5.2319501044600996</v>
      </c>
      <c r="J3147">
        <f>(Table1[[#This Row],[value]] - Table1[[#This Row],[mean]]) / Table1[[#This Row],[std_dev]]</f>
        <v>-0.51403870586624445</v>
      </c>
      <c r="K3147">
        <f>AVERAGEIF(Table1[CountryCode],Table1[[#This Row],[CountryCode]],Table1[z-score])</f>
        <v>-0.22872454493605915</v>
      </c>
      <c r="L3147" t="e">
        <f>VLOOKUP(Table1[[#This Row],[CountryCode]],[1]!Table1[#Data],4,FALSE)</f>
        <v>#REF!</v>
      </c>
    </row>
    <row r="3148" spans="1:12" hidden="1" x14ac:dyDescent="0.3">
      <c r="A3148" t="s">
        <v>59</v>
      </c>
      <c r="B3148" t="s">
        <v>60</v>
      </c>
      <c r="C3148" t="s">
        <v>125</v>
      </c>
      <c r="D3148" t="s">
        <v>126</v>
      </c>
      <c r="E3148">
        <v>1979</v>
      </c>
      <c r="F3148" s="1">
        <v>5</v>
      </c>
      <c r="G3148">
        <v>1980</v>
      </c>
      <c r="H3148">
        <f>AVERAGEIFS(Table1[value],Table1[IndicatorCode],Table1[[#This Row],[IndicatorCode]])</f>
        <v>7.6894248608534319</v>
      </c>
      <c r="I3148" cm="1">
        <f t="array" ref="I3148">_xlfn.STDEV.P(IF(Table1[IndicatorCode]=Table1[[#This Row],[IndicatorCode]],Table1[value]))</f>
        <v>5.2319501044600996</v>
      </c>
      <c r="J3148">
        <f>(Table1[[#This Row],[value]] - Table1[[#This Row],[mean]]) / Table1[[#This Row],[std_dev]]</f>
        <v>-0.51403870586624445</v>
      </c>
      <c r="K3148">
        <f>AVERAGEIF(Table1[CountryCode],Table1[[#This Row],[CountryCode]],Table1[z-score])</f>
        <v>-0.22872454493605915</v>
      </c>
      <c r="L3148" t="e">
        <f>VLOOKUP(Table1[[#This Row],[CountryCode]],[1]!Table1[#Data],4,FALSE)</f>
        <v>#REF!</v>
      </c>
    </row>
    <row r="3149" spans="1:12" hidden="1" x14ac:dyDescent="0.3">
      <c r="A3149" t="s">
        <v>59</v>
      </c>
      <c r="B3149" t="s">
        <v>60</v>
      </c>
      <c r="C3149" t="s">
        <v>125</v>
      </c>
      <c r="D3149" t="s">
        <v>126</v>
      </c>
      <c r="E3149">
        <v>1980</v>
      </c>
      <c r="F3149" s="1">
        <v>5</v>
      </c>
      <c r="G3149">
        <v>1980</v>
      </c>
      <c r="H3149">
        <f>AVERAGEIFS(Table1[value],Table1[IndicatorCode],Table1[[#This Row],[IndicatorCode]])</f>
        <v>7.6894248608534319</v>
      </c>
      <c r="I3149" cm="1">
        <f t="array" ref="I3149">_xlfn.STDEV.P(IF(Table1[IndicatorCode]=Table1[[#This Row],[IndicatorCode]],Table1[value]))</f>
        <v>5.2319501044600996</v>
      </c>
      <c r="J3149">
        <f>(Table1[[#This Row],[value]] - Table1[[#This Row],[mean]]) / Table1[[#This Row],[std_dev]]</f>
        <v>-0.51403870586624445</v>
      </c>
      <c r="K3149">
        <f>AVERAGEIF(Table1[CountryCode],Table1[[#This Row],[CountryCode]],Table1[z-score])</f>
        <v>-0.22872454493605915</v>
      </c>
      <c r="L3149" t="e">
        <f>VLOOKUP(Table1[[#This Row],[CountryCode]],[1]!Table1[#Data],4,FALSE)</f>
        <v>#REF!</v>
      </c>
    </row>
    <row r="3150" spans="1:12" hidden="1" x14ac:dyDescent="0.3">
      <c r="A3150" t="s">
        <v>59</v>
      </c>
      <c r="B3150" t="s">
        <v>60</v>
      </c>
      <c r="C3150" t="s">
        <v>125</v>
      </c>
      <c r="D3150" t="s">
        <v>126</v>
      </c>
      <c r="E3150">
        <v>1981</v>
      </c>
      <c r="F3150" s="1">
        <v>5</v>
      </c>
      <c r="G3150">
        <v>1980</v>
      </c>
      <c r="H3150">
        <f>AVERAGEIFS(Table1[value],Table1[IndicatorCode],Table1[[#This Row],[IndicatorCode]])</f>
        <v>7.6894248608534319</v>
      </c>
      <c r="I3150" cm="1">
        <f t="array" ref="I3150">_xlfn.STDEV.P(IF(Table1[IndicatorCode]=Table1[[#This Row],[IndicatorCode]],Table1[value]))</f>
        <v>5.2319501044600996</v>
      </c>
      <c r="J3150">
        <f>(Table1[[#This Row],[value]] - Table1[[#This Row],[mean]]) / Table1[[#This Row],[std_dev]]</f>
        <v>-0.51403870586624445</v>
      </c>
      <c r="K3150">
        <f>AVERAGEIF(Table1[CountryCode],Table1[[#This Row],[CountryCode]],Table1[z-score])</f>
        <v>-0.22872454493605915</v>
      </c>
      <c r="L3150" t="e">
        <f>VLOOKUP(Table1[[#This Row],[CountryCode]],[1]!Table1[#Data],4,FALSE)</f>
        <v>#REF!</v>
      </c>
    </row>
    <row r="3151" spans="1:12" hidden="1" x14ac:dyDescent="0.3">
      <c r="A3151" t="s">
        <v>59</v>
      </c>
      <c r="B3151" t="s">
        <v>60</v>
      </c>
      <c r="C3151" t="s">
        <v>125</v>
      </c>
      <c r="D3151" t="s">
        <v>126</v>
      </c>
      <c r="E3151">
        <v>1982</v>
      </c>
      <c r="F3151" s="1">
        <v>5</v>
      </c>
      <c r="G3151">
        <v>1980</v>
      </c>
      <c r="H3151">
        <f>AVERAGEIFS(Table1[value],Table1[IndicatorCode],Table1[[#This Row],[IndicatorCode]])</f>
        <v>7.6894248608534319</v>
      </c>
      <c r="I3151" cm="1">
        <f t="array" ref="I3151">_xlfn.STDEV.P(IF(Table1[IndicatorCode]=Table1[[#This Row],[IndicatorCode]],Table1[value]))</f>
        <v>5.2319501044600996</v>
      </c>
      <c r="J3151">
        <f>(Table1[[#This Row],[value]] - Table1[[#This Row],[mean]]) / Table1[[#This Row],[std_dev]]</f>
        <v>-0.51403870586624445</v>
      </c>
      <c r="K3151">
        <f>AVERAGEIF(Table1[CountryCode],Table1[[#This Row],[CountryCode]],Table1[z-score])</f>
        <v>-0.22872454493605915</v>
      </c>
      <c r="L3151" t="e">
        <f>VLOOKUP(Table1[[#This Row],[CountryCode]],[1]!Table1[#Data],4,FALSE)</f>
        <v>#REF!</v>
      </c>
    </row>
    <row r="3152" spans="1:12" hidden="1" x14ac:dyDescent="0.3">
      <c r="A3152" t="s">
        <v>59</v>
      </c>
      <c r="B3152" t="s">
        <v>60</v>
      </c>
      <c r="C3152" t="s">
        <v>125</v>
      </c>
      <c r="D3152" t="s">
        <v>126</v>
      </c>
      <c r="E3152">
        <v>1983</v>
      </c>
      <c r="F3152" s="1">
        <v>6</v>
      </c>
      <c r="G3152">
        <v>1980</v>
      </c>
      <c r="H3152">
        <f>AVERAGEIFS(Table1[value],Table1[IndicatorCode],Table1[[#This Row],[IndicatorCode]])</f>
        <v>7.6894248608534319</v>
      </c>
      <c r="I3152" cm="1">
        <f t="array" ref="I3152">_xlfn.STDEV.P(IF(Table1[IndicatorCode]=Table1[[#This Row],[IndicatorCode]],Table1[value]))</f>
        <v>5.2319501044600996</v>
      </c>
      <c r="J3152">
        <f>(Table1[[#This Row],[value]] - Table1[[#This Row],[mean]]) / Table1[[#This Row],[std_dev]]</f>
        <v>-0.32290538463148605</v>
      </c>
      <c r="K3152">
        <f>AVERAGEIF(Table1[CountryCode],Table1[[#This Row],[CountryCode]],Table1[z-score])</f>
        <v>-0.22872454493605915</v>
      </c>
      <c r="L3152" t="e">
        <f>VLOOKUP(Table1[[#This Row],[CountryCode]],[1]!Table1[#Data],4,FALSE)</f>
        <v>#REF!</v>
      </c>
    </row>
    <row r="3153" spans="1:12" hidden="1" x14ac:dyDescent="0.3">
      <c r="A3153" t="s">
        <v>59</v>
      </c>
      <c r="B3153" t="s">
        <v>60</v>
      </c>
      <c r="C3153" t="s">
        <v>125</v>
      </c>
      <c r="D3153" t="s">
        <v>126</v>
      </c>
      <c r="E3153">
        <v>1984</v>
      </c>
      <c r="F3153" s="1">
        <v>6</v>
      </c>
      <c r="G3153">
        <v>1980</v>
      </c>
      <c r="H3153">
        <f>AVERAGEIFS(Table1[value],Table1[IndicatorCode],Table1[[#This Row],[IndicatorCode]])</f>
        <v>7.6894248608534319</v>
      </c>
      <c r="I3153" cm="1">
        <f t="array" ref="I3153">_xlfn.STDEV.P(IF(Table1[IndicatorCode]=Table1[[#This Row],[IndicatorCode]],Table1[value]))</f>
        <v>5.2319501044600996</v>
      </c>
      <c r="J3153">
        <f>(Table1[[#This Row],[value]] - Table1[[#This Row],[mean]]) / Table1[[#This Row],[std_dev]]</f>
        <v>-0.32290538463148605</v>
      </c>
      <c r="K3153">
        <f>AVERAGEIF(Table1[CountryCode],Table1[[#This Row],[CountryCode]],Table1[z-score])</f>
        <v>-0.22872454493605915</v>
      </c>
      <c r="L3153" t="e">
        <f>VLOOKUP(Table1[[#This Row],[CountryCode]],[1]!Table1[#Data],4,FALSE)</f>
        <v>#REF!</v>
      </c>
    </row>
    <row r="3154" spans="1:12" hidden="1" x14ac:dyDescent="0.3">
      <c r="A3154" t="s">
        <v>59</v>
      </c>
      <c r="B3154" t="s">
        <v>60</v>
      </c>
      <c r="C3154" t="s">
        <v>125</v>
      </c>
      <c r="D3154" t="s">
        <v>126</v>
      </c>
      <c r="E3154">
        <v>1985</v>
      </c>
      <c r="F3154" s="1">
        <v>6</v>
      </c>
      <c r="G3154">
        <v>1980</v>
      </c>
      <c r="H3154">
        <f>AVERAGEIFS(Table1[value],Table1[IndicatorCode],Table1[[#This Row],[IndicatorCode]])</f>
        <v>7.6894248608534319</v>
      </c>
      <c r="I3154" cm="1">
        <f t="array" ref="I3154">_xlfn.STDEV.P(IF(Table1[IndicatorCode]=Table1[[#This Row],[IndicatorCode]],Table1[value]))</f>
        <v>5.2319501044600996</v>
      </c>
      <c r="J3154">
        <f>(Table1[[#This Row],[value]] - Table1[[#This Row],[mean]]) / Table1[[#This Row],[std_dev]]</f>
        <v>-0.32290538463148605</v>
      </c>
      <c r="K3154">
        <f>AVERAGEIF(Table1[CountryCode],Table1[[#This Row],[CountryCode]],Table1[z-score])</f>
        <v>-0.22872454493605915</v>
      </c>
      <c r="L3154" t="e">
        <f>VLOOKUP(Table1[[#This Row],[CountryCode]],[1]!Table1[#Data],4,FALSE)</f>
        <v>#REF!</v>
      </c>
    </row>
    <row r="3155" spans="1:12" hidden="1" x14ac:dyDescent="0.3">
      <c r="A3155" t="s">
        <v>59</v>
      </c>
      <c r="B3155" t="s">
        <v>60</v>
      </c>
      <c r="C3155" t="s">
        <v>125</v>
      </c>
      <c r="D3155" t="s">
        <v>126</v>
      </c>
      <c r="E3155">
        <v>1986</v>
      </c>
      <c r="F3155" s="1">
        <v>7</v>
      </c>
      <c r="G3155">
        <v>1980</v>
      </c>
      <c r="H3155">
        <f>AVERAGEIFS(Table1[value],Table1[IndicatorCode],Table1[[#This Row],[IndicatorCode]])</f>
        <v>7.6894248608534319</v>
      </c>
      <c r="I3155" cm="1">
        <f t="array" ref="I3155">_xlfn.STDEV.P(IF(Table1[IndicatorCode]=Table1[[#This Row],[IndicatorCode]],Table1[value]))</f>
        <v>5.2319501044600996</v>
      </c>
      <c r="J3155">
        <f>(Table1[[#This Row],[value]] - Table1[[#This Row],[mean]]) / Table1[[#This Row],[std_dev]]</f>
        <v>-0.13177206339672762</v>
      </c>
      <c r="K3155">
        <f>AVERAGEIF(Table1[CountryCode],Table1[[#This Row],[CountryCode]],Table1[z-score])</f>
        <v>-0.22872454493605915</v>
      </c>
      <c r="L3155" t="e">
        <f>VLOOKUP(Table1[[#This Row],[CountryCode]],[1]!Table1[#Data],4,FALSE)</f>
        <v>#REF!</v>
      </c>
    </row>
    <row r="3156" spans="1:12" hidden="1" x14ac:dyDescent="0.3">
      <c r="A3156" t="s">
        <v>59</v>
      </c>
      <c r="B3156" t="s">
        <v>60</v>
      </c>
      <c r="C3156" t="s">
        <v>125</v>
      </c>
      <c r="D3156" t="s">
        <v>126</v>
      </c>
      <c r="E3156">
        <v>1987</v>
      </c>
      <c r="F3156" s="1">
        <v>6</v>
      </c>
      <c r="G3156">
        <v>1990</v>
      </c>
      <c r="H3156">
        <f>AVERAGEIFS(Table1[value],Table1[IndicatorCode],Table1[[#This Row],[IndicatorCode]])</f>
        <v>7.6894248608534319</v>
      </c>
      <c r="I3156" cm="1">
        <f t="array" ref="I3156">_xlfn.STDEV.P(IF(Table1[IndicatorCode]=Table1[[#This Row],[IndicatorCode]],Table1[value]))</f>
        <v>5.2319501044600996</v>
      </c>
      <c r="J3156">
        <f>(Table1[[#This Row],[value]] - Table1[[#This Row],[mean]]) / Table1[[#This Row],[std_dev]]</f>
        <v>-0.32290538463148605</v>
      </c>
      <c r="K3156">
        <f>AVERAGEIF(Table1[CountryCode],Table1[[#This Row],[CountryCode]],Table1[z-score])</f>
        <v>-0.22872454493605915</v>
      </c>
      <c r="L3156" t="e">
        <f>VLOOKUP(Table1[[#This Row],[CountryCode]],[1]!Table1[#Data],4,FALSE)</f>
        <v>#REF!</v>
      </c>
    </row>
    <row r="3157" spans="1:12" hidden="1" x14ac:dyDescent="0.3">
      <c r="A3157" t="s">
        <v>59</v>
      </c>
      <c r="B3157" t="s">
        <v>60</v>
      </c>
      <c r="C3157" t="s">
        <v>125</v>
      </c>
      <c r="D3157" t="s">
        <v>126</v>
      </c>
      <c r="E3157">
        <v>1988</v>
      </c>
      <c r="F3157" s="1">
        <v>7</v>
      </c>
      <c r="G3157">
        <v>1990</v>
      </c>
      <c r="H3157">
        <f>AVERAGEIFS(Table1[value],Table1[IndicatorCode],Table1[[#This Row],[IndicatorCode]])</f>
        <v>7.6894248608534319</v>
      </c>
      <c r="I3157" cm="1">
        <f t="array" ref="I3157">_xlfn.STDEV.P(IF(Table1[IndicatorCode]=Table1[[#This Row],[IndicatorCode]],Table1[value]))</f>
        <v>5.2319501044600996</v>
      </c>
      <c r="J3157">
        <f>(Table1[[#This Row],[value]] - Table1[[#This Row],[mean]]) / Table1[[#This Row],[std_dev]]</f>
        <v>-0.13177206339672762</v>
      </c>
      <c r="K3157">
        <f>AVERAGEIF(Table1[CountryCode],Table1[[#This Row],[CountryCode]],Table1[z-score])</f>
        <v>-0.22872454493605915</v>
      </c>
      <c r="L3157" t="e">
        <f>VLOOKUP(Table1[[#This Row],[CountryCode]],[1]!Table1[#Data],4,FALSE)</f>
        <v>#REF!</v>
      </c>
    </row>
    <row r="3158" spans="1:12" hidden="1" x14ac:dyDescent="0.3">
      <c r="A3158" t="s">
        <v>59</v>
      </c>
      <c r="B3158" t="s">
        <v>60</v>
      </c>
      <c r="C3158" t="s">
        <v>125</v>
      </c>
      <c r="D3158" t="s">
        <v>126</v>
      </c>
      <c r="E3158">
        <v>1989</v>
      </c>
      <c r="F3158" s="1">
        <v>7</v>
      </c>
      <c r="G3158">
        <v>1990</v>
      </c>
      <c r="H3158">
        <f>AVERAGEIFS(Table1[value],Table1[IndicatorCode],Table1[[#This Row],[IndicatorCode]])</f>
        <v>7.6894248608534319</v>
      </c>
      <c r="I3158" cm="1">
        <f t="array" ref="I3158">_xlfn.STDEV.P(IF(Table1[IndicatorCode]=Table1[[#This Row],[IndicatorCode]],Table1[value]))</f>
        <v>5.2319501044600996</v>
      </c>
      <c r="J3158">
        <f>(Table1[[#This Row],[value]] - Table1[[#This Row],[mean]]) / Table1[[#This Row],[std_dev]]</f>
        <v>-0.13177206339672762</v>
      </c>
      <c r="K3158">
        <f>AVERAGEIF(Table1[CountryCode],Table1[[#This Row],[CountryCode]],Table1[z-score])</f>
        <v>-0.22872454493605915</v>
      </c>
      <c r="L3158" t="e">
        <f>VLOOKUP(Table1[[#This Row],[CountryCode]],[1]!Table1[#Data],4,FALSE)</f>
        <v>#REF!</v>
      </c>
    </row>
    <row r="3159" spans="1:12" hidden="1" x14ac:dyDescent="0.3">
      <c r="A3159" t="s">
        <v>59</v>
      </c>
      <c r="B3159" t="s">
        <v>60</v>
      </c>
      <c r="C3159" t="s">
        <v>125</v>
      </c>
      <c r="D3159" t="s">
        <v>126</v>
      </c>
      <c r="E3159">
        <v>1990</v>
      </c>
      <c r="F3159" s="1">
        <v>5</v>
      </c>
      <c r="G3159">
        <v>1990</v>
      </c>
      <c r="H3159">
        <f>AVERAGEIFS(Table1[value],Table1[IndicatorCode],Table1[[#This Row],[IndicatorCode]])</f>
        <v>7.6894248608534319</v>
      </c>
      <c r="I3159" cm="1">
        <f t="array" ref="I3159">_xlfn.STDEV.P(IF(Table1[IndicatorCode]=Table1[[#This Row],[IndicatorCode]],Table1[value]))</f>
        <v>5.2319501044600996</v>
      </c>
      <c r="J3159">
        <f>(Table1[[#This Row],[value]] - Table1[[#This Row],[mean]]) / Table1[[#This Row],[std_dev]]</f>
        <v>-0.51403870586624445</v>
      </c>
      <c r="K3159">
        <f>AVERAGEIF(Table1[CountryCode],Table1[[#This Row],[CountryCode]],Table1[z-score])</f>
        <v>-0.22872454493605915</v>
      </c>
      <c r="L3159" t="e">
        <f>VLOOKUP(Table1[[#This Row],[CountryCode]],[1]!Table1[#Data],4,FALSE)</f>
        <v>#REF!</v>
      </c>
    </row>
    <row r="3160" spans="1:12" hidden="1" x14ac:dyDescent="0.3">
      <c r="A3160" t="s">
        <v>59</v>
      </c>
      <c r="B3160" t="s">
        <v>60</v>
      </c>
      <c r="C3160" t="s">
        <v>125</v>
      </c>
      <c r="D3160" t="s">
        <v>126</v>
      </c>
      <c r="E3160">
        <v>1991</v>
      </c>
      <c r="F3160" s="1">
        <v>4</v>
      </c>
      <c r="G3160">
        <v>1990</v>
      </c>
      <c r="H3160">
        <f>AVERAGEIFS(Table1[value],Table1[IndicatorCode],Table1[[#This Row],[IndicatorCode]])</f>
        <v>7.6894248608534319</v>
      </c>
      <c r="I3160" cm="1">
        <f t="array" ref="I3160">_xlfn.STDEV.P(IF(Table1[IndicatorCode]=Table1[[#This Row],[IndicatorCode]],Table1[value]))</f>
        <v>5.2319501044600996</v>
      </c>
      <c r="J3160">
        <f>(Table1[[#This Row],[value]] - Table1[[#This Row],[mean]]) / Table1[[#This Row],[std_dev]]</f>
        <v>-0.7051720271010028</v>
      </c>
      <c r="K3160">
        <f>AVERAGEIF(Table1[CountryCode],Table1[[#This Row],[CountryCode]],Table1[z-score])</f>
        <v>-0.22872454493605915</v>
      </c>
      <c r="L3160" t="e">
        <f>VLOOKUP(Table1[[#This Row],[CountryCode]],[1]!Table1[#Data],4,FALSE)</f>
        <v>#REF!</v>
      </c>
    </row>
    <row r="3161" spans="1:12" hidden="1" x14ac:dyDescent="0.3">
      <c r="A3161" t="s">
        <v>59</v>
      </c>
      <c r="B3161" t="s">
        <v>60</v>
      </c>
      <c r="C3161" t="s">
        <v>125</v>
      </c>
      <c r="D3161" t="s">
        <v>126</v>
      </c>
      <c r="E3161">
        <v>1992</v>
      </c>
      <c r="F3161" s="1">
        <v>4</v>
      </c>
      <c r="G3161">
        <v>1990</v>
      </c>
      <c r="H3161">
        <f>AVERAGEIFS(Table1[value],Table1[IndicatorCode],Table1[[#This Row],[IndicatorCode]])</f>
        <v>7.6894248608534319</v>
      </c>
      <c r="I3161" cm="1">
        <f t="array" ref="I3161">_xlfn.STDEV.P(IF(Table1[IndicatorCode]=Table1[[#This Row],[IndicatorCode]],Table1[value]))</f>
        <v>5.2319501044600996</v>
      </c>
      <c r="J3161">
        <f>(Table1[[#This Row],[value]] - Table1[[#This Row],[mean]]) / Table1[[#This Row],[std_dev]]</f>
        <v>-0.7051720271010028</v>
      </c>
      <c r="K3161">
        <f>AVERAGEIF(Table1[CountryCode],Table1[[#This Row],[CountryCode]],Table1[z-score])</f>
        <v>-0.22872454493605915</v>
      </c>
      <c r="L3161" t="e">
        <f>VLOOKUP(Table1[[#This Row],[CountryCode]],[1]!Table1[#Data],4,FALSE)</f>
        <v>#REF!</v>
      </c>
    </row>
    <row r="3162" spans="1:12" hidden="1" x14ac:dyDescent="0.3">
      <c r="A3162" t="s">
        <v>59</v>
      </c>
      <c r="B3162" t="s">
        <v>60</v>
      </c>
      <c r="C3162" t="s">
        <v>125</v>
      </c>
      <c r="D3162" t="s">
        <v>126</v>
      </c>
      <c r="E3162">
        <v>1993</v>
      </c>
      <c r="F3162" s="1">
        <v>4</v>
      </c>
      <c r="G3162">
        <v>1990</v>
      </c>
      <c r="H3162">
        <f>AVERAGEIFS(Table1[value],Table1[IndicatorCode],Table1[[#This Row],[IndicatorCode]])</f>
        <v>7.6894248608534319</v>
      </c>
      <c r="I3162" cm="1">
        <f t="array" ref="I3162">_xlfn.STDEV.P(IF(Table1[IndicatorCode]=Table1[[#This Row],[IndicatorCode]],Table1[value]))</f>
        <v>5.2319501044600996</v>
      </c>
      <c r="J3162">
        <f>(Table1[[#This Row],[value]] - Table1[[#This Row],[mean]]) / Table1[[#This Row],[std_dev]]</f>
        <v>-0.7051720271010028</v>
      </c>
      <c r="K3162">
        <f>AVERAGEIF(Table1[CountryCode],Table1[[#This Row],[CountryCode]],Table1[z-score])</f>
        <v>-0.22872454493605915</v>
      </c>
      <c r="L3162" t="e">
        <f>VLOOKUP(Table1[[#This Row],[CountryCode]],[1]!Table1[#Data],4,FALSE)</f>
        <v>#REF!</v>
      </c>
    </row>
    <row r="3163" spans="1:12" hidden="1" x14ac:dyDescent="0.3">
      <c r="A3163" t="s">
        <v>59</v>
      </c>
      <c r="B3163" t="s">
        <v>60</v>
      </c>
      <c r="C3163" t="s">
        <v>125</v>
      </c>
      <c r="D3163" t="s">
        <v>126</v>
      </c>
      <c r="E3163">
        <v>1994</v>
      </c>
      <c r="F3163" s="1">
        <v>3</v>
      </c>
      <c r="G3163">
        <v>1990</v>
      </c>
      <c r="H3163">
        <f>AVERAGEIFS(Table1[value],Table1[IndicatorCode],Table1[[#This Row],[IndicatorCode]])</f>
        <v>7.6894248608534319</v>
      </c>
      <c r="I3163" cm="1">
        <f t="array" ref="I3163">_xlfn.STDEV.P(IF(Table1[IndicatorCode]=Table1[[#This Row],[IndicatorCode]],Table1[value]))</f>
        <v>5.2319501044600996</v>
      </c>
      <c r="J3163">
        <f>(Table1[[#This Row],[value]] - Table1[[#This Row],[mean]]) / Table1[[#This Row],[std_dev]]</f>
        <v>-0.89630534833576125</v>
      </c>
      <c r="K3163">
        <f>AVERAGEIF(Table1[CountryCode],Table1[[#This Row],[CountryCode]],Table1[z-score])</f>
        <v>-0.22872454493605915</v>
      </c>
      <c r="L3163" t="e">
        <f>VLOOKUP(Table1[[#This Row],[CountryCode]],[1]!Table1[#Data],4,FALSE)</f>
        <v>#REF!</v>
      </c>
    </row>
    <row r="3164" spans="1:12" hidden="1" x14ac:dyDescent="0.3">
      <c r="A3164" t="s">
        <v>59</v>
      </c>
      <c r="B3164" t="s">
        <v>60</v>
      </c>
      <c r="C3164" t="s">
        <v>125</v>
      </c>
      <c r="D3164" t="s">
        <v>126</v>
      </c>
      <c r="E3164">
        <v>1995</v>
      </c>
      <c r="F3164" s="1">
        <v>4</v>
      </c>
      <c r="G3164">
        <v>1990</v>
      </c>
      <c r="H3164">
        <f>AVERAGEIFS(Table1[value],Table1[IndicatorCode],Table1[[#This Row],[IndicatorCode]])</f>
        <v>7.6894248608534319</v>
      </c>
      <c r="I3164" cm="1">
        <f t="array" ref="I3164">_xlfn.STDEV.P(IF(Table1[IndicatorCode]=Table1[[#This Row],[IndicatorCode]],Table1[value]))</f>
        <v>5.2319501044600996</v>
      </c>
      <c r="J3164">
        <f>(Table1[[#This Row],[value]] - Table1[[#This Row],[mean]]) / Table1[[#This Row],[std_dev]]</f>
        <v>-0.7051720271010028</v>
      </c>
      <c r="K3164">
        <f>AVERAGEIF(Table1[CountryCode],Table1[[#This Row],[CountryCode]],Table1[z-score])</f>
        <v>-0.22872454493605915</v>
      </c>
      <c r="L3164" t="e">
        <f>VLOOKUP(Table1[[#This Row],[CountryCode]],[1]!Table1[#Data],4,FALSE)</f>
        <v>#REF!</v>
      </c>
    </row>
    <row r="3165" spans="1:12" hidden="1" x14ac:dyDescent="0.3">
      <c r="A3165" t="s">
        <v>59</v>
      </c>
      <c r="B3165" t="s">
        <v>60</v>
      </c>
      <c r="C3165" t="s">
        <v>125</v>
      </c>
      <c r="D3165" t="s">
        <v>126</v>
      </c>
      <c r="E3165">
        <v>1996</v>
      </c>
      <c r="F3165" s="1">
        <v>4</v>
      </c>
      <c r="G3165">
        <v>1990</v>
      </c>
      <c r="H3165">
        <f>AVERAGEIFS(Table1[value],Table1[IndicatorCode],Table1[[#This Row],[IndicatorCode]])</f>
        <v>7.6894248608534319</v>
      </c>
      <c r="I3165" cm="1">
        <f t="array" ref="I3165">_xlfn.STDEV.P(IF(Table1[IndicatorCode]=Table1[[#This Row],[IndicatorCode]],Table1[value]))</f>
        <v>5.2319501044600996</v>
      </c>
      <c r="J3165">
        <f>(Table1[[#This Row],[value]] - Table1[[#This Row],[mean]]) / Table1[[#This Row],[std_dev]]</f>
        <v>-0.7051720271010028</v>
      </c>
      <c r="K3165">
        <f>AVERAGEIF(Table1[CountryCode],Table1[[#This Row],[CountryCode]],Table1[z-score])</f>
        <v>-0.22872454493605915</v>
      </c>
      <c r="L3165" t="e">
        <f>VLOOKUP(Table1[[#This Row],[CountryCode]],[1]!Table1[#Data],4,FALSE)</f>
        <v>#REF!</v>
      </c>
    </row>
    <row r="3166" spans="1:12" hidden="1" x14ac:dyDescent="0.3">
      <c r="A3166" t="s">
        <v>59</v>
      </c>
      <c r="B3166" t="s">
        <v>60</v>
      </c>
      <c r="C3166" t="s">
        <v>125</v>
      </c>
      <c r="D3166" t="s">
        <v>126</v>
      </c>
      <c r="E3166">
        <v>1997</v>
      </c>
      <c r="F3166" s="1">
        <v>4</v>
      </c>
      <c r="G3166">
        <v>2000</v>
      </c>
      <c r="H3166">
        <f>AVERAGEIFS(Table1[value],Table1[IndicatorCode],Table1[[#This Row],[IndicatorCode]])</f>
        <v>7.6894248608534319</v>
      </c>
      <c r="I3166" cm="1">
        <f t="array" ref="I3166">_xlfn.STDEV.P(IF(Table1[IndicatorCode]=Table1[[#This Row],[IndicatorCode]],Table1[value]))</f>
        <v>5.2319501044600996</v>
      </c>
      <c r="J3166">
        <f>(Table1[[#This Row],[value]] - Table1[[#This Row],[mean]]) / Table1[[#This Row],[std_dev]]</f>
        <v>-0.7051720271010028</v>
      </c>
      <c r="K3166">
        <f>AVERAGEIF(Table1[CountryCode],Table1[[#This Row],[CountryCode]],Table1[z-score])</f>
        <v>-0.22872454493605915</v>
      </c>
      <c r="L3166" t="e">
        <f>VLOOKUP(Table1[[#This Row],[CountryCode]],[1]!Table1[#Data],4,FALSE)</f>
        <v>#REF!</v>
      </c>
    </row>
    <row r="3167" spans="1:12" hidden="1" x14ac:dyDescent="0.3">
      <c r="A3167" t="s">
        <v>59</v>
      </c>
      <c r="B3167" t="s">
        <v>60</v>
      </c>
      <c r="C3167" t="s">
        <v>125</v>
      </c>
      <c r="D3167" t="s">
        <v>126</v>
      </c>
      <c r="E3167">
        <v>1998</v>
      </c>
      <c r="F3167" s="1">
        <v>4</v>
      </c>
      <c r="G3167">
        <v>2000</v>
      </c>
      <c r="H3167">
        <f>AVERAGEIFS(Table1[value],Table1[IndicatorCode],Table1[[#This Row],[IndicatorCode]])</f>
        <v>7.6894248608534319</v>
      </c>
      <c r="I3167" cm="1">
        <f t="array" ref="I3167">_xlfn.STDEV.P(IF(Table1[IndicatorCode]=Table1[[#This Row],[IndicatorCode]],Table1[value]))</f>
        <v>5.2319501044600996</v>
      </c>
      <c r="J3167">
        <f>(Table1[[#This Row],[value]] - Table1[[#This Row],[mean]]) / Table1[[#This Row],[std_dev]]</f>
        <v>-0.7051720271010028</v>
      </c>
      <c r="K3167">
        <f>AVERAGEIF(Table1[CountryCode],Table1[[#This Row],[CountryCode]],Table1[z-score])</f>
        <v>-0.22872454493605915</v>
      </c>
      <c r="L3167" t="e">
        <f>VLOOKUP(Table1[[#This Row],[CountryCode]],[1]!Table1[#Data],4,FALSE)</f>
        <v>#REF!</v>
      </c>
    </row>
    <row r="3168" spans="1:12" hidden="1" x14ac:dyDescent="0.3">
      <c r="A3168" t="s">
        <v>59</v>
      </c>
      <c r="B3168" t="s">
        <v>60</v>
      </c>
      <c r="C3168" t="s">
        <v>125</v>
      </c>
      <c r="D3168" t="s">
        <v>126</v>
      </c>
      <c r="E3168">
        <v>1999</v>
      </c>
      <c r="F3168" s="1">
        <v>4</v>
      </c>
      <c r="G3168">
        <v>2000</v>
      </c>
      <c r="H3168">
        <f>AVERAGEIFS(Table1[value],Table1[IndicatorCode],Table1[[#This Row],[IndicatorCode]])</f>
        <v>7.6894248608534319</v>
      </c>
      <c r="I3168" cm="1">
        <f t="array" ref="I3168">_xlfn.STDEV.P(IF(Table1[IndicatorCode]=Table1[[#This Row],[IndicatorCode]],Table1[value]))</f>
        <v>5.2319501044600996</v>
      </c>
      <c r="J3168">
        <f>(Table1[[#This Row],[value]] - Table1[[#This Row],[mean]]) / Table1[[#This Row],[std_dev]]</f>
        <v>-0.7051720271010028</v>
      </c>
      <c r="K3168">
        <f>AVERAGEIF(Table1[CountryCode],Table1[[#This Row],[CountryCode]],Table1[z-score])</f>
        <v>-0.22872454493605915</v>
      </c>
      <c r="L3168" t="e">
        <f>VLOOKUP(Table1[[#This Row],[CountryCode]],[1]!Table1[#Data],4,FALSE)</f>
        <v>#REF!</v>
      </c>
    </row>
    <row r="3169" spans="1:12" hidden="1" x14ac:dyDescent="0.3">
      <c r="A3169" t="s">
        <v>59</v>
      </c>
      <c r="B3169" t="s">
        <v>60</v>
      </c>
      <c r="C3169" t="s">
        <v>125</v>
      </c>
      <c r="D3169" t="s">
        <v>126</v>
      </c>
      <c r="E3169">
        <v>2000</v>
      </c>
      <c r="F3169" s="1">
        <v>4</v>
      </c>
      <c r="G3169">
        <v>2000</v>
      </c>
      <c r="H3169">
        <f>AVERAGEIFS(Table1[value],Table1[IndicatorCode],Table1[[#This Row],[IndicatorCode]])</f>
        <v>7.6894248608534319</v>
      </c>
      <c r="I3169" cm="1">
        <f t="array" ref="I3169">_xlfn.STDEV.P(IF(Table1[IndicatorCode]=Table1[[#This Row],[IndicatorCode]],Table1[value]))</f>
        <v>5.2319501044600996</v>
      </c>
      <c r="J3169">
        <f>(Table1[[#This Row],[value]] - Table1[[#This Row],[mean]]) / Table1[[#This Row],[std_dev]]</f>
        <v>-0.7051720271010028</v>
      </c>
      <c r="K3169">
        <f>AVERAGEIF(Table1[CountryCode],Table1[[#This Row],[CountryCode]],Table1[z-score])</f>
        <v>-0.22872454493605915</v>
      </c>
      <c r="L3169" t="e">
        <f>VLOOKUP(Table1[[#This Row],[CountryCode]],[1]!Table1[#Data],4,FALSE)</f>
        <v>#REF!</v>
      </c>
    </row>
    <row r="3170" spans="1:12" hidden="1" x14ac:dyDescent="0.3">
      <c r="A3170" t="s">
        <v>59</v>
      </c>
      <c r="B3170" t="s">
        <v>60</v>
      </c>
      <c r="C3170" t="s">
        <v>125</v>
      </c>
      <c r="D3170" t="s">
        <v>126</v>
      </c>
      <c r="E3170">
        <v>2001</v>
      </c>
      <c r="F3170" s="1">
        <v>5</v>
      </c>
      <c r="G3170">
        <v>2000</v>
      </c>
      <c r="H3170">
        <f>AVERAGEIFS(Table1[value],Table1[IndicatorCode],Table1[[#This Row],[IndicatorCode]])</f>
        <v>7.6894248608534319</v>
      </c>
      <c r="I3170" cm="1">
        <f t="array" ref="I3170">_xlfn.STDEV.P(IF(Table1[IndicatorCode]=Table1[[#This Row],[IndicatorCode]],Table1[value]))</f>
        <v>5.2319501044600996</v>
      </c>
      <c r="J3170">
        <f>(Table1[[#This Row],[value]] - Table1[[#This Row],[mean]]) / Table1[[#This Row],[std_dev]]</f>
        <v>-0.51403870586624445</v>
      </c>
      <c r="K3170">
        <f>AVERAGEIF(Table1[CountryCode],Table1[[#This Row],[CountryCode]],Table1[z-score])</f>
        <v>-0.22872454493605915</v>
      </c>
      <c r="L3170" t="e">
        <f>VLOOKUP(Table1[[#This Row],[CountryCode]],[1]!Table1[#Data],4,FALSE)</f>
        <v>#REF!</v>
      </c>
    </row>
    <row r="3171" spans="1:12" hidden="1" x14ac:dyDescent="0.3">
      <c r="A3171" t="s">
        <v>59</v>
      </c>
      <c r="B3171" t="s">
        <v>60</v>
      </c>
      <c r="C3171" t="s">
        <v>125</v>
      </c>
      <c r="D3171" t="s">
        <v>126</v>
      </c>
      <c r="E3171">
        <v>2002</v>
      </c>
      <c r="F3171" s="1">
        <v>5</v>
      </c>
      <c r="G3171">
        <v>2000</v>
      </c>
      <c r="H3171">
        <f>AVERAGEIFS(Table1[value],Table1[IndicatorCode],Table1[[#This Row],[IndicatorCode]])</f>
        <v>7.6894248608534319</v>
      </c>
      <c r="I3171" cm="1">
        <f t="array" ref="I3171">_xlfn.STDEV.P(IF(Table1[IndicatorCode]=Table1[[#This Row],[IndicatorCode]],Table1[value]))</f>
        <v>5.2319501044600996</v>
      </c>
      <c r="J3171">
        <f>(Table1[[#This Row],[value]] - Table1[[#This Row],[mean]]) / Table1[[#This Row],[std_dev]]</f>
        <v>-0.51403870586624445</v>
      </c>
      <c r="K3171">
        <f>AVERAGEIF(Table1[CountryCode],Table1[[#This Row],[CountryCode]],Table1[z-score])</f>
        <v>-0.22872454493605915</v>
      </c>
      <c r="L3171" t="e">
        <f>VLOOKUP(Table1[[#This Row],[CountryCode]],[1]!Table1[#Data],4,FALSE)</f>
        <v>#REF!</v>
      </c>
    </row>
    <row r="3172" spans="1:12" hidden="1" x14ac:dyDescent="0.3">
      <c r="A3172" t="s">
        <v>59</v>
      </c>
      <c r="B3172" t="s">
        <v>60</v>
      </c>
      <c r="C3172" t="s">
        <v>125</v>
      </c>
      <c r="D3172" t="s">
        <v>126</v>
      </c>
      <c r="E3172">
        <v>2003</v>
      </c>
      <c r="F3172" s="1">
        <v>5</v>
      </c>
      <c r="G3172">
        <v>2000</v>
      </c>
      <c r="H3172">
        <f>AVERAGEIFS(Table1[value],Table1[IndicatorCode],Table1[[#This Row],[IndicatorCode]])</f>
        <v>7.6894248608534319</v>
      </c>
      <c r="I3172" cm="1">
        <f t="array" ref="I3172">_xlfn.STDEV.P(IF(Table1[IndicatorCode]=Table1[[#This Row],[IndicatorCode]],Table1[value]))</f>
        <v>5.2319501044600996</v>
      </c>
      <c r="J3172">
        <f>(Table1[[#This Row],[value]] - Table1[[#This Row],[mean]]) / Table1[[#This Row],[std_dev]]</f>
        <v>-0.51403870586624445</v>
      </c>
      <c r="K3172">
        <f>AVERAGEIF(Table1[CountryCode],Table1[[#This Row],[CountryCode]],Table1[z-score])</f>
        <v>-0.22872454493605915</v>
      </c>
      <c r="L3172" t="e">
        <f>VLOOKUP(Table1[[#This Row],[CountryCode]],[1]!Table1[#Data],4,FALSE)</f>
        <v>#REF!</v>
      </c>
    </row>
    <row r="3173" spans="1:12" hidden="1" x14ac:dyDescent="0.3">
      <c r="A3173" t="s">
        <v>59</v>
      </c>
      <c r="B3173" t="s">
        <v>60</v>
      </c>
      <c r="C3173" t="s">
        <v>125</v>
      </c>
      <c r="D3173" t="s">
        <v>126</v>
      </c>
      <c r="E3173">
        <v>2004</v>
      </c>
      <c r="F3173" s="1">
        <v>5</v>
      </c>
      <c r="G3173">
        <v>2000</v>
      </c>
      <c r="H3173">
        <f>AVERAGEIFS(Table1[value],Table1[IndicatorCode],Table1[[#This Row],[IndicatorCode]])</f>
        <v>7.6894248608534319</v>
      </c>
      <c r="I3173" cm="1">
        <f t="array" ref="I3173">_xlfn.STDEV.P(IF(Table1[IndicatorCode]=Table1[[#This Row],[IndicatorCode]],Table1[value]))</f>
        <v>5.2319501044600996</v>
      </c>
      <c r="J3173">
        <f>(Table1[[#This Row],[value]] - Table1[[#This Row],[mean]]) / Table1[[#This Row],[std_dev]]</f>
        <v>-0.51403870586624445</v>
      </c>
      <c r="K3173">
        <f>AVERAGEIF(Table1[CountryCode],Table1[[#This Row],[CountryCode]],Table1[z-score])</f>
        <v>-0.22872454493605915</v>
      </c>
      <c r="L3173" t="e">
        <f>VLOOKUP(Table1[[#This Row],[CountryCode]],[1]!Table1[#Data],4,FALSE)</f>
        <v>#REF!</v>
      </c>
    </row>
    <row r="3174" spans="1:12" hidden="1" x14ac:dyDescent="0.3">
      <c r="A3174" t="s">
        <v>59</v>
      </c>
      <c r="B3174" t="s">
        <v>60</v>
      </c>
      <c r="C3174" t="s">
        <v>125</v>
      </c>
      <c r="D3174" t="s">
        <v>126</v>
      </c>
      <c r="E3174">
        <v>2005</v>
      </c>
      <c r="F3174" s="1">
        <v>5</v>
      </c>
      <c r="G3174">
        <v>2000</v>
      </c>
      <c r="H3174">
        <f>AVERAGEIFS(Table1[value],Table1[IndicatorCode],Table1[[#This Row],[IndicatorCode]])</f>
        <v>7.6894248608534319</v>
      </c>
      <c r="I3174" cm="1">
        <f t="array" ref="I3174">_xlfn.STDEV.P(IF(Table1[IndicatorCode]=Table1[[#This Row],[IndicatorCode]],Table1[value]))</f>
        <v>5.2319501044600996</v>
      </c>
      <c r="J3174">
        <f>(Table1[[#This Row],[value]] - Table1[[#This Row],[mean]]) / Table1[[#This Row],[std_dev]]</f>
        <v>-0.51403870586624445</v>
      </c>
      <c r="K3174">
        <f>AVERAGEIF(Table1[CountryCode],Table1[[#This Row],[CountryCode]],Table1[z-score])</f>
        <v>-0.22872454493605915</v>
      </c>
      <c r="L3174" t="e">
        <f>VLOOKUP(Table1[[#This Row],[CountryCode]],[1]!Table1[#Data],4,FALSE)</f>
        <v>#REF!</v>
      </c>
    </row>
    <row r="3175" spans="1:12" hidden="1" x14ac:dyDescent="0.3">
      <c r="A3175" t="s">
        <v>59</v>
      </c>
      <c r="B3175" t="s">
        <v>60</v>
      </c>
      <c r="C3175" t="s">
        <v>125</v>
      </c>
      <c r="D3175" t="s">
        <v>126</v>
      </c>
      <c r="E3175">
        <v>2006</v>
      </c>
      <c r="F3175" s="1">
        <v>5</v>
      </c>
      <c r="G3175">
        <v>2000</v>
      </c>
      <c r="H3175">
        <f>AVERAGEIFS(Table1[value],Table1[IndicatorCode],Table1[[#This Row],[IndicatorCode]])</f>
        <v>7.6894248608534319</v>
      </c>
      <c r="I3175" cm="1">
        <f t="array" ref="I3175">_xlfn.STDEV.P(IF(Table1[IndicatorCode]=Table1[[#This Row],[IndicatorCode]],Table1[value]))</f>
        <v>5.2319501044600996</v>
      </c>
      <c r="J3175">
        <f>(Table1[[#This Row],[value]] - Table1[[#This Row],[mean]]) / Table1[[#This Row],[std_dev]]</f>
        <v>-0.51403870586624445</v>
      </c>
      <c r="K3175">
        <f>AVERAGEIF(Table1[CountryCode],Table1[[#This Row],[CountryCode]],Table1[z-score])</f>
        <v>-0.22872454493605915</v>
      </c>
      <c r="L3175" t="e">
        <f>VLOOKUP(Table1[[#This Row],[CountryCode]],[1]!Table1[#Data],4,FALSE)</f>
        <v>#REF!</v>
      </c>
    </row>
    <row r="3176" spans="1:12" hidden="1" x14ac:dyDescent="0.3">
      <c r="A3176" t="s">
        <v>59</v>
      </c>
      <c r="B3176" t="s">
        <v>60</v>
      </c>
      <c r="C3176" t="s">
        <v>125</v>
      </c>
      <c r="D3176" t="s">
        <v>126</v>
      </c>
      <c r="E3176">
        <v>2007</v>
      </c>
      <c r="F3176" s="1">
        <v>6</v>
      </c>
      <c r="G3176">
        <v>2010</v>
      </c>
      <c r="H3176">
        <f>AVERAGEIFS(Table1[value],Table1[IndicatorCode],Table1[[#This Row],[IndicatorCode]])</f>
        <v>7.6894248608534319</v>
      </c>
      <c r="I3176" cm="1">
        <f t="array" ref="I3176">_xlfn.STDEV.P(IF(Table1[IndicatorCode]=Table1[[#This Row],[IndicatorCode]],Table1[value]))</f>
        <v>5.2319501044600996</v>
      </c>
      <c r="J3176">
        <f>(Table1[[#This Row],[value]] - Table1[[#This Row],[mean]]) / Table1[[#This Row],[std_dev]]</f>
        <v>-0.32290538463148605</v>
      </c>
      <c r="K3176">
        <f>AVERAGEIF(Table1[CountryCode],Table1[[#This Row],[CountryCode]],Table1[z-score])</f>
        <v>-0.22872454493605915</v>
      </c>
      <c r="L3176" t="e">
        <f>VLOOKUP(Table1[[#This Row],[CountryCode]],[1]!Table1[#Data],4,FALSE)</f>
        <v>#REF!</v>
      </c>
    </row>
    <row r="3177" spans="1:12" hidden="1" x14ac:dyDescent="0.3">
      <c r="A3177" t="s">
        <v>59</v>
      </c>
      <c r="B3177" t="s">
        <v>60</v>
      </c>
      <c r="C3177" t="s">
        <v>125</v>
      </c>
      <c r="D3177" t="s">
        <v>126</v>
      </c>
      <c r="E3177">
        <v>2008</v>
      </c>
      <c r="F3177" s="1">
        <v>5</v>
      </c>
      <c r="G3177">
        <v>2010</v>
      </c>
      <c r="H3177">
        <f>AVERAGEIFS(Table1[value],Table1[IndicatorCode],Table1[[#This Row],[IndicatorCode]])</f>
        <v>7.6894248608534319</v>
      </c>
      <c r="I3177" cm="1">
        <f t="array" ref="I3177">_xlfn.STDEV.P(IF(Table1[IndicatorCode]=Table1[[#This Row],[IndicatorCode]],Table1[value]))</f>
        <v>5.2319501044600996</v>
      </c>
      <c r="J3177">
        <f>(Table1[[#This Row],[value]] - Table1[[#This Row],[mean]]) / Table1[[#This Row],[std_dev]]</f>
        <v>-0.51403870586624445</v>
      </c>
      <c r="K3177">
        <f>AVERAGEIF(Table1[CountryCode],Table1[[#This Row],[CountryCode]],Table1[z-score])</f>
        <v>-0.22872454493605915</v>
      </c>
      <c r="L3177" t="e">
        <f>VLOOKUP(Table1[[#This Row],[CountryCode]],[1]!Table1[#Data],4,FALSE)</f>
        <v>#REF!</v>
      </c>
    </row>
    <row r="3178" spans="1:12" hidden="1" x14ac:dyDescent="0.3">
      <c r="A3178" t="s">
        <v>59</v>
      </c>
      <c r="B3178" t="s">
        <v>60</v>
      </c>
      <c r="C3178" t="s">
        <v>125</v>
      </c>
      <c r="D3178" t="s">
        <v>126</v>
      </c>
      <c r="E3178">
        <v>2009</v>
      </c>
      <c r="F3178" s="1">
        <v>5</v>
      </c>
      <c r="G3178">
        <v>2010</v>
      </c>
      <c r="H3178">
        <f>AVERAGEIFS(Table1[value],Table1[IndicatorCode],Table1[[#This Row],[IndicatorCode]])</f>
        <v>7.6894248608534319</v>
      </c>
      <c r="I3178" cm="1">
        <f t="array" ref="I3178">_xlfn.STDEV.P(IF(Table1[IndicatorCode]=Table1[[#This Row],[IndicatorCode]],Table1[value]))</f>
        <v>5.2319501044600996</v>
      </c>
      <c r="J3178">
        <f>(Table1[[#This Row],[value]] - Table1[[#This Row],[mean]]) / Table1[[#This Row],[std_dev]]</f>
        <v>-0.51403870586624445</v>
      </c>
      <c r="K3178">
        <f>AVERAGEIF(Table1[CountryCode],Table1[[#This Row],[CountryCode]],Table1[z-score])</f>
        <v>-0.22872454493605915</v>
      </c>
      <c r="L3178" t="e">
        <f>VLOOKUP(Table1[[#This Row],[CountryCode]],[1]!Table1[#Data],4,FALSE)</f>
        <v>#REF!</v>
      </c>
    </row>
    <row r="3179" spans="1:12" hidden="1" x14ac:dyDescent="0.3">
      <c r="A3179" t="s">
        <v>59</v>
      </c>
      <c r="B3179" t="s">
        <v>60</v>
      </c>
      <c r="C3179" t="s">
        <v>125</v>
      </c>
      <c r="D3179" t="s">
        <v>126</v>
      </c>
      <c r="E3179">
        <v>2010</v>
      </c>
      <c r="F3179" s="1">
        <v>5</v>
      </c>
      <c r="G3179">
        <v>2010</v>
      </c>
      <c r="H3179">
        <f>AVERAGEIFS(Table1[value],Table1[IndicatorCode],Table1[[#This Row],[IndicatorCode]])</f>
        <v>7.6894248608534319</v>
      </c>
      <c r="I3179" cm="1">
        <f t="array" ref="I3179">_xlfn.STDEV.P(IF(Table1[IndicatorCode]=Table1[[#This Row],[IndicatorCode]],Table1[value]))</f>
        <v>5.2319501044600996</v>
      </c>
      <c r="J3179">
        <f>(Table1[[#This Row],[value]] - Table1[[#This Row],[mean]]) / Table1[[#This Row],[std_dev]]</f>
        <v>-0.51403870586624445</v>
      </c>
      <c r="K3179">
        <f>AVERAGEIF(Table1[CountryCode],Table1[[#This Row],[CountryCode]],Table1[z-score])</f>
        <v>-0.22872454493605915</v>
      </c>
      <c r="L3179" t="e">
        <f>VLOOKUP(Table1[[#This Row],[CountryCode]],[1]!Table1[#Data],4,FALSE)</f>
        <v>#REF!</v>
      </c>
    </row>
    <row r="3180" spans="1:12" hidden="1" x14ac:dyDescent="0.3">
      <c r="A3180" t="s">
        <v>59</v>
      </c>
      <c r="B3180" t="s">
        <v>60</v>
      </c>
      <c r="C3180" t="s">
        <v>125</v>
      </c>
      <c r="D3180" t="s">
        <v>126</v>
      </c>
      <c r="E3180">
        <v>2011</v>
      </c>
      <c r="F3180" s="1">
        <v>5</v>
      </c>
      <c r="G3180">
        <v>2010</v>
      </c>
      <c r="H3180">
        <f>AVERAGEIFS(Table1[value],Table1[IndicatorCode],Table1[[#This Row],[IndicatorCode]])</f>
        <v>7.6894248608534319</v>
      </c>
      <c r="I3180" cm="1">
        <f t="array" ref="I3180">_xlfn.STDEV.P(IF(Table1[IndicatorCode]=Table1[[#This Row],[IndicatorCode]],Table1[value]))</f>
        <v>5.2319501044600996</v>
      </c>
      <c r="J3180">
        <f>(Table1[[#This Row],[value]] - Table1[[#This Row],[mean]]) / Table1[[#This Row],[std_dev]]</f>
        <v>-0.51403870586624445</v>
      </c>
      <c r="K3180">
        <f>AVERAGEIF(Table1[CountryCode],Table1[[#This Row],[CountryCode]],Table1[z-score])</f>
        <v>-0.22872454493605915</v>
      </c>
      <c r="L3180" t="e">
        <f>VLOOKUP(Table1[[#This Row],[CountryCode]],[1]!Table1[#Data],4,FALSE)</f>
        <v>#REF!</v>
      </c>
    </row>
    <row r="3181" spans="1:12" hidden="1" x14ac:dyDescent="0.3">
      <c r="A3181" t="s">
        <v>59</v>
      </c>
      <c r="B3181" t="s">
        <v>60</v>
      </c>
      <c r="C3181" t="s">
        <v>125</v>
      </c>
      <c r="D3181" t="s">
        <v>126</v>
      </c>
      <c r="E3181">
        <v>2012</v>
      </c>
      <c r="F3181" s="1">
        <v>4</v>
      </c>
      <c r="G3181">
        <v>2010</v>
      </c>
      <c r="H3181">
        <f>AVERAGEIFS(Table1[value],Table1[IndicatorCode],Table1[[#This Row],[IndicatorCode]])</f>
        <v>7.6894248608534319</v>
      </c>
      <c r="I3181" cm="1">
        <f t="array" ref="I3181">_xlfn.STDEV.P(IF(Table1[IndicatorCode]=Table1[[#This Row],[IndicatorCode]],Table1[value]))</f>
        <v>5.2319501044600996</v>
      </c>
      <c r="J3181">
        <f>(Table1[[#This Row],[value]] - Table1[[#This Row],[mean]]) / Table1[[#This Row],[std_dev]]</f>
        <v>-0.7051720271010028</v>
      </c>
      <c r="K3181">
        <f>AVERAGEIF(Table1[CountryCode],Table1[[#This Row],[CountryCode]],Table1[z-score])</f>
        <v>-0.22872454493605915</v>
      </c>
      <c r="L3181" t="e">
        <f>VLOOKUP(Table1[[#This Row],[CountryCode]],[1]!Table1[#Data],4,FALSE)</f>
        <v>#REF!</v>
      </c>
    </row>
    <row r="3182" spans="1:12" hidden="1" x14ac:dyDescent="0.3">
      <c r="A3182" t="s">
        <v>59</v>
      </c>
      <c r="B3182" t="s">
        <v>60</v>
      </c>
      <c r="C3182" t="s">
        <v>125</v>
      </c>
      <c r="D3182" t="s">
        <v>126</v>
      </c>
      <c r="E3182">
        <v>2013</v>
      </c>
      <c r="F3182" s="1">
        <v>4</v>
      </c>
      <c r="G3182">
        <v>2010</v>
      </c>
      <c r="H3182">
        <f>AVERAGEIFS(Table1[value],Table1[IndicatorCode],Table1[[#This Row],[IndicatorCode]])</f>
        <v>7.6894248608534319</v>
      </c>
      <c r="I3182" cm="1">
        <f t="array" ref="I3182">_xlfn.STDEV.P(IF(Table1[IndicatorCode]=Table1[[#This Row],[IndicatorCode]],Table1[value]))</f>
        <v>5.2319501044600996</v>
      </c>
      <c r="J3182">
        <f>(Table1[[#This Row],[value]] - Table1[[#This Row],[mean]]) / Table1[[#This Row],[std_dev]]</f>
        <v>-0.7051720271010028</v>
      </c>
      <c r="K3182">
        <f>AVERAGEIF(Table1[CountryCode],Table1[[#This Row],[CountryCode]],Table1[z-score])</f>
        <v>-0.22872454493605915</v>
      </c>
      <c r="L3182" t="e">
        <f>VLOOKUP(Table1[[#This Row],[CountryCode]],[1]!Table1[#Data],4,FALSE)</f>
        <v>#REF!</v>
      </c>
    </row>
    <row r="3183" spans="1:12" hidden="1" x14ac:dyDescent="0.3">
      <c r="A3183" t="s">
        <v>59</v>
      </c>
      <c r="B3183" t="s">
        <v>60</v>
      </c>
      <c r="C3183" t="s">
        <v>125</v>
      </c>
      <c r="D3183" t="s">
        <v>126</v>
      </c>
      <c r="E3183">
        <v>2014</v>
      </c>
      <c r="F3183" s="1">
        <v>4</v>
      </c>
      <c r="G3183">
        <v>2010</v>
      </c>
      <c r="H3183">
        <f>AVERAGEIFS(Table1[value],Table1[IndicatorCode],Table1[[#This Row],[IndicatorCode]])</f>
        <v>7.6894248608534319</v>
      </c>
      <c r="I3183" cm="1">
        <f t="array" ref="I3183">_xlfn.STDEV.P(IF(Table1[IndicatorCode]=Table1[[#This Row],[IndicatorCode]],Table1[value]))</f>
        <v>5.2319501044600996</v>
      </c>
      <c r="J3183">
        <f>(Table1[[#This Row],[value]] - Table1[[#This Row],[mean]]) / Table1[[#This Row],[std_dev]]</f>
        <v>-0.7051720271010028</v>
      </c>
      <c r="K3183">
        <f>AVERAGEIF(Table1[CountryCode],Table1[[#This Row],[CountryCode]],Table1[z-score])</f>
        <v>-0.22872454493605915</v>
      </c>
      <c r="L3183" t="e">
        <f>VLOOKUP(Table1[[#This Row],[CountryCode]],[1]!Table1[#Data],4,FALSE)</f>
        <v>#REF!</v>
      </c>
    </row>
    <row r="3184" spans="1:12" hidden="1" x14ac:dyDescent="0.3">
      <c r="A3184" t="s">
        <v>59</v>
      </c>
      <c r="B3184" t="s">
        <v>60</v>
      </c>
      <c r="C3184" t="s">
        <v>125</v>
      </c>
      <c r="D3184" t="s">
        <v>126</v>
      </c>
      <c r="E3184">
        <v>2015</v>
      </c>
      <c r="F3184" s="1">
        <v>4</v>
      </c>
      <c r="G3184">
        <v>2010</v>
      </c>
      <c r="H3184">
        <f>AVERAGEIFS(Table1[value],Table1[IndicatorCode],Table1[[#This Row],[IndicatorCode]])</f>
        <v>7.6894248608534319</v>
      </c>
      <c r="I3184" cm="1">
        <f t="array" ref="I3184">_xlfn.STDEV.P(IF(Table1[IndicatorCode]=Table1[[#This Row],[IndicatorCode]],Table1[value]))</f>
        <v>5.2319501044600996</v>
      </c>
      <c r="J3184">
        <f>(Table1[[#This Row],[value]] - Table1[[#This Row],[mean]]) / Table1[[#This Row],[std_dev]]</f>
        <v>-0.7051720271010028</v>
      </c>
      <c r="K3184">
        <f>AVERAGEIF(Table1[CountryCode],Table1[[#This Row],[CountryCode]],Table1[z-score])</f>
        <v>-0.22872454493605915</v>
      </c>
      <c r="L3184" t="e">
        <f>VLOOKUP(Table1[[#This Row],[CountryCode]],[1]!Table1[#Data],4,FALSE)</f>
        <v>#REF!</v>
      </c>
    </row>
    <row r="3185" spans="1:12" hidden="1" x14ac:dyDescent="0.3">
      <c r="A3185" t="s">
        <v>59</v>
      </c>
      <c r="B3185" t="s">
        <v>60</v>
      </c>
      <c r="C3185" t="s">
        <v>125</v>
      </c>
      <c r="D3185" t="s">
        <v>126</v>
      </c>
      <c r="E3185">
        <v>2016</v>
      </c>
      <c r="F3185" s="1">
        <v>4</v>
      </c>
      <c r="G3185">
        <v>2010</v>
      </c>
      <c r="H3185">
        <f>AVERAGEIFS(Table1[value],Table1[IndicatorCode],Table1[[#This Row],[IndicatorCode]])</f>
        <v>7.6894248608534319</v>
      </c>
      <c r="I3185" cm="1">
        <f t="array" ref="I3185">_xlfn.STDEV.P(IF(Table1[IndicatorCode]=Table1[[#This Row],[IndicatorCode]],Table1[value]))</f>
        <v>5.2319501044600996</v>
      </c>
      <c r="J3185">
        <f>(Table1[[#This Row],[value]] - Table1[[#This Row],[mean]]) / Table1[[#This Row],[std_dev]]</f>
        <v>-0.7051720271010028</v>
      </c>
      <c r="K3185">
        <f>AVERAGEIF(Table1[CountryCode],Table1[[#This Row],[CountryCode]],Table1[z-score])</f>
        <v>-0.22872454493605915</v>
      </c>
      <c r="L3185" t="e">
        <f>VLOOKUP(Table1[[#This Row],[CountryCode]],[1]!Table1[#Data],4,FALSE)</f>
        <v>#REF!</v>
      </c>
    </row>
    <row r="3186" spans="1:12" hidden="1" x14ac:dyDescent="0.3">
      <c r="A3186" t="s">
        <v>59</v>
      </c>
      <c r="B3186" t="s">
        <v>60</v>
      </c>
      <c r="C3186" t="s">
        <v>125</v>
      </c>
      <c r="D3186" t="s">
        <v>126</v>
      </c>
      <c r="E3186">
        <v>2017</v>
      </c>
      <c r="F3186" s="1">
        <v>5</v>
      </c>
      <c r="G3186">
        <v>2020</v>
      </c>
      <c r="H3186">
        <f>AVERAGEIFS(Table1[value],Table1[IndicatorCode],Table1[[#This Row],[IndicatorCode]])</f>
        <v>7.6894248608534319</v>
      </c>
      <c r="I3186" cm="1">
        <f t="array" ref="I3186">_xlfn.STDEV.P(IF(Table1[IndicatorCode]=Table1[[#This Row],[IndicatorCode]],Table1[value]))</f>
        <v>5.2319501044600996</v>
      </c>
      <c r="J3186">
        <f>(Table1[[#This Row],[value]] - Table1[[#This Row],[mean]]) / Table1[[#This Row],[std_dev]]</f>
        <v>-0.51403870586624445</v>
      </c>
      <c r="K3186">
        <f>AVERAGEIF(Table1[CountryCode],Table1[[#This Row],[CountryCode]],Table1[z-score])</f>
        <v>-0.22872454493605915</v>
      </c>
      <c r="L3186" t="e">
        <f>VLOOKUP(Table1[[#This Row],[CountryCode]],[1]!Table1[#Data],4,FALSE)</f>
        <v>#REF!</v>
      </c>
    </row>
    <row r="3187" spans="1:12" hidden="1" x14ac:dyDescent="0.3">
      <c r="A3187" t="s">
        <v>59</v>
      </c>
      <c r="B3187" t="s">
        <v>60</v>
      </c>
      <c r="C3187" t="s">
        <v>125</v>
      </c>
      <c r="D3187" t="s">
        <v>126</v>
      </c>
      <c r="E3187">
        <v>2018</v>
      </c>
      <c r="F3187" s="1">
        <v>4</v>
      </c>
      <c r="G3187">
        <v>2020</v>
      </c>
      <c r="H3187">
        <f>AVERAGEIFS(Table1[value],Table1[IndicatorCode],Table1[[#This Row],[IndicatorCode]])</f>
        <v>7.6894248608534319</v>
      </c>
      <c r="I3187" cm="1">
        <f t="array" ref="I3187">_xlfn.STDEV.P(IF(Table1[IndicatorCode]=Table1[[#This Row],[IndicatorCode]],Table1[value]))</f>
        <v>5.2319501044600996</v>
      </c>
      <c r="J3187">
        <f>(Table1[[#This Row],[value]] - Table1[[#This Row],[mean]]) / Table1[[#This Row],[std_dev]]</f>
        <v>-0.7051720271010028</v>
      </c>
      <c r="K3187">
        <f>AVERAGEIF(Table1[CountryCode],Table1[[#This Row],[CountryCode]],Table1[z-score])</f>
        <v>-0.22872454493605915</v>
      </c>
      <c r="L3187" t="e">
        <f>VLOOKUP(Table1[[#This Row],[CountryCode]],[1]!Table1[#Data],4,FALSE)</f>
        <v>#REF!</v>
      </c>
    </row>
    <row r="3188" spans="1:12" hidden="1" x14ac:dyDescent="0.3">
      <c r="A3188" t="s">
        <v>59</v>
      </c>
      <c r="B3188" t="s">
        <v>60</v>
      </c>
      <c r="C3188" t="s">
        <v>125</v>
      </c>
      <c r="D3188" t="s">
        <v>126</v>
      </c>
      <c r="E3188">
        <v>2019</v>
      </c>
      <c r="F3188" s="1">
        <v>5</v>
      </c>
      <c r="G3188">
        <v>2020</v>
      </c>
      <c r="H3188">
        <f>AVERAGEIFS(Table1[value],Table1[IndicatorCode],Table1[[#This Row],[IndicatorCode]])</f>
        <v>7.6894248608534319</v>
      </c>
      <c r="I3188" cm="1">
        <f t="array" ref="I3188">_xlfn.STDEV.P(IF(Table1[IndicatorCode]=Table1[[#This Row],[IndicatorCode]],Table1[value]))</f>
        <v>5.2319501044600996</v>
      </c>
      <c r="J3188">
        <f>(Table1[[#This Row],[value]] - Table1[[#This Row],[mean]]) / Table1[[#This Row],[std_dev]]</f>
        <v>-0.51403870586624445</v>
      </c>
      <c r="K3188">
        <f>AVERAGEIF(Table1[CountryCode],Table1[[#This Row],[CountryCode]],Table1[z-score])</f>
        <v>-0.22872454493605915</v>
      </c>
      <c r="L3188" t="e">
        <f>VLOOKUP(Table1[[#This Row],[CountryCode]],[1]!Table1[#Data],4,FALSE)</f>
        <v>#REF!</v>
      </c>
    </row>
    <row r="3189" spans="1:12" x14ac:dyDescent="0.3">
      <c r="A3189" t="s">
        <v>59</v>
      </c>
      <c r="B3189" t="s">
        <v>60</v>
      </c>
      <c r="C3189" t="s">
        <v>125</v>
      </c>
      <c r="D3189" t="s">
        <v>126</v>
      </c>
      <c r="E3189">
        <v>2020</v>
      </c>
      <c r="F3189" s="1">
        <v>4</v>
      </c>
      <c r="G3189">
        <v>2020</v>
      </c>
      <c r="H3189">
        <f>AVERAGEIFS(Table1[value],Table1[IndicatorCode],Table1[[#This Row],[IndicatorCode]])</f>
        <v>7.6894248608534319</v>
      </c>
      <c r="I3189" cm="1">
        <f t="array" ref="I3189">_xlfn.STDEV.P(IF(Table1[IndicatorCode]=Table1[[#This Row],[IndicatorCode]],Table1[value]))</f>
        <v>5.2319501044600996</v>
      </c>
      <c r="J3189">
        <f>(Table1[[#This Row],[value]] - Table1[[#This Row],[mean]]) / Table1[[#This Row],[std_dev]]</f>
        <v>-0.7051720271010028</v>
      </c>
      <c r="K3189">
        <f>AVERAGEIF(Table1[CountryCode],Table1[[#This Row],[CountryCode]],Table1[z-score])</f>
        <v>-0.22872454493605915</v>
      </c>
    </row>
    <row r="3190" spans="1:12" hidden="1" x14ac:dyDescent="0.3">
      <c r="A3190" t="s">
        <v>59</v>
      </c>
      <c r="B3190" t="s">
        <v>60</v>
      </c>
      <c r="C3190" t="s">
        <v>125</v>
      </c>
      <c r="D3190" t="s">
        <v>126</v>
      </c>
      <c r="E3190">
        <v>2021</v>
      </c>
      <c r="F3190" s="1">
        <v>5</v>
      </c>
      <c r="G3190">
        <v>2020</v>
      </c>
      <c r="H3190">
        <f>AVERAGEIFS(Table1[value],Table1[IndicatorCode],Table1[[#This Row],[IndicatorCode]])</f>
        <v>7.6894248608534319</v>
      </c>
      <c r="I3190" cm="1">
        <f t="array" ref="I3190">_xlfn.STDEV.P(IF(Table1[IndicatorCode]=Table1[[#This Row],[IndicatorCode]],Table1[value]))</f>
        <v>5.2319501044600996</v>
      </c>
      <c r="J3190">
        <f>(Table1[[#This Row],[value]] - Table1[[#This Row],[mean]]) / Table1[[#This Row],[std_dev]]</f>
        <v>-0.51403870586624445</v>
      </c>
      <c r="K3190">
        <f>AVERAGEIF(Table1[CountryCode],Table1[[#This Row],[CountryCode]],Table1[z-score])</f>
        <v>-0.22872454493605915</v>
      </c>
      <c r="L3190" t="e">
        <f>VLOOKUP(Table1[[#This Row],[CountryCode]],[1]!Table1[#Data],4,FALSE)</f>
        <v>#REF!</v>
      </c>
    </row>
    <row r="3191" spans="1:12" hidden="1" x14ac:dyDescent="0.3">
      <c r="A3191" t="s">
        <v>59</v>
      </c>
      <c r="B3191" t="s">
        <v>60</v>
      </c>
      <c r="C3191" t="s">
        <v>125</v>
      </c>
      <c r="D3191" t="s">
        <v>126</v>
      </c>
      <c r="E3191">
        <v>2022</v>
      </c>
      <c r="F3191" s="1">
        <v>5</v>
      </c>
      <c r="G3191">
        <v>1970</v>
      </c>
      <c r="H3191">
        <f>AVERAGEIFS(Table1[value],Table1[IndicatorCode],Table1[[#This Row],[IndicatorCode]])</f>
        <v>7.6894248608534319</v>
      </c>
      <c r="I3191" cm="1">
        <f t="array" ref="I3191">_xlfn.STDEV.P(IF(Table1[IndicatorCode]=Table1[[#This Row],[IndicatorCode]],Table1[value]))</f>
        <v>5.2319501044600996</v>
      </c>
      <c r="J3191">
        <f>(Table1[[#This Row],[value]] - Table1[[#This Row],[mean]]) / Table1[[#This Row],[std_dev]]</f>
        <v>-0.51403870586624445</v>
      </c>
      <c r="K3191">
        <f>AVERAGEIF(Table1[CountryCode],Table1[[#This Row],[CountryCode]],Table1[z-score])</f>
        <v>-0.22872454493605915</v>
      </c>
      <c r="L3191" t="e">
        <f>VLOOKUP(Table1[[#This Row],[CountryCode]],[1]!Table1[#Data],4,FALSE)</f>
        <v>#REF!</v>
      </c>
    </row>
    <row r="3192" spans="1:12" hidden="1" x14ac:dyDescent="0.3">
      <c r="A3192" t="s">
        <v>59</v>
      </c>
      <c r="B3192" t="s">
        <v>60</v>
      </c>
      <c r="C3192" t="s">
        <v>125</v>
      </c>
      <c r="D3192" t="s">
        <v>126</v>
      </c>
      <c r="E3192">
        <v>2023</v>
      </c>
      <c r="F3192" s="1">
        <v>5</v>
      </c>
      <c r="G3192">
        <v>1970</v>
      </c>
      <c r="H3192">
        <f>AVERAGEIFS(Table1[value],Table1[IndicatorCode],Table1[[#This Row],[IndicatorCode]])</f>
        <v>7.6894248608534319</v>
      </c>
      <c r="I3192" cm="1">
        <f t="array" ref="I3192">_xlfn.STDEV.P(IF(Table1[IndicatorCode]=Table1[[#This Row],[IndicatorCode]],Table1[value]))</f>
        <v>5.2319501044600996</v>
      </c>
      <c r="J3192">
        <f>(Table1[[#This Row],[value]] - Table1[[#This Row],[mean]]) / Table1[[#This Row],[std_dev]]</f>
        <v>-0.51403870586624445</v>
      </c>
      <c r="K3192">
        <f>AVERAGEIF(Table1[CountryCode],Table1[[#This Row],[CountryCode]],Table1[z-score])</f>
        <v>-0.22872454493605915</v>
      </c>
      <c r="L3192" t="e">
        <f>VLOOKUP(Table1[[#This Row],[CountryCode]],[1]!Table1[#Data],4,FALSE)</f>
        <v>#REF!</v>
      </c>
    </row>
    <row r="3193" spans="1:12" hidden="1" x14ac:dyDescent="0.3">
      <c r="A3193" t="s">
        <v>59</v>
      </c>
      <c r="B3193" t="s">
        <v>60</v>
      </c>
      <c r="C3193" t="s">
        <v>125</v>
      </c>
      <c r="D3193" t="s">
        <v>126</v>
      </c>
      <c r="E3193">
        <v>2024</v>
      </c>
      <c r="F3193" s="1">
        <v>5</v>
      </c>
      <c r="G3193">
        <v>1970</v>
      </c>
      <c r="H3193">
        <f>AVERAGEIFS(Table1[value],Table1[IndicatorCode],Table1[[#This Row],[IndicatorCode]])</f>
        <v>7.6894248608534319</v>
      </c>
      <c r="I3193" cm="1">
        <f t="array" ref="I3193">_xlfn.STDEV.P(IF(Table1[IndicatorCode]=Table1[[#This Row],[IndicatorCode]],Table1[value]))</f>
        <v>5.2319501044600996</v>
      </c>
      <c r="J3193">
        <f>(Table1[[#This Row],[value]] - Table1[[#This Row],[mean]]) / Table1[[#This Row],[std_dev]]</f>
        <v>-0.51403870586624445</v>
      </c>
      <c r="K3193">
        <f>AVERAGEIF(Table1[CountryCode],Table1[[#This Row],[CountryCode]],Table1[z-score])</f>
        <v>-0.22872454493605915</v>
      </c>
      <c r="L3193" t="e">
        <f>VLOOKUP(Table1[[#This Row],[CountryCode]],[1]!Table1[#Data],4,FALSE)</f>
        <v>#REF!</v>
      </c>
    </row>
    <row r="3194" spans="1:12" hidden="1" x14ac:dyDescent="0.3">
      <c r="A3194" t="s">
        <v>61</v>
      </c>
      <c r="B3194" t="s">
        <v>62</v>
      </c>
      <c r="C3194" t="s">
        <v>125</v>
      </c>
      <c r="D3194" t="s">
        <v>126</v>
      </c>
      <c r="E3194">
        <v>1970</v>
      </c>
      <c r="F3194" s="1">
        <v>6</v>
      </c>
      <c r="G3194">
        <v>1970</v>
      </c>
      <c r="H3194">
        <f>AVERAGEIFS(Table1[value],Table1[IndicatorCode],Table1[[#This Row],[IndicatorCode]])</f>
        <v>7.6894248608534319</v>
      </c>
      <c r="I3194" cm="1">
        <f t="array" ref="I3194">_xlfn.STDEV.P(IF(Table1[IndicatorCode]=Table1[[#This Row],[IndicatorCode]],Table1[value]))</f>
        <v>5.2319501044600996</v>
      </c>
      <c r="J3194">
        <f>(Table1[[#This Row],[value]] - Table1[[#This Row],[mean]]) / Table1[[#This Row],[std_dev]]</f>
        <v>-0.32290538463148605</v>
      </c>
      <c r="K3194">
        <f>AVERAGEIF(Table1[CountryCode],Table1[[#This Row],[CountryCode]],Table1[z-score])</f>
        <v>-0.27867415315004246</v>
      </c>
      <c r="L3194" t="e">
        <f>VLOOKUP(Table1[[#This Row],[CountryCode]],[1]!Table1[#Data],4,FALSE)</f>
        <v>#REF!</v>
      </c>
    </row>
    <row r="3195" spans="1:12" hidden="1" x14ac:dyDescent="0.3">
      <c r="A3195" t="s">
        <v>61</v>
      </c>
      <c r="B3195" t="s">
        <v>62</v>
      </c>
      <c r="C3195" t="s">
        <v>125</v>
      </c>
      <c r="D3195" t="s">
        <v>126</v>
      </c>
      <c r="E3195">
        <v>1971</v>
      </c>
      <c r="F3195" s="1">
        <v>7</v>
      </c>
      <c r="G3195">
        <v>1970</v>
      </c>
      <c r="H3195">
        <f>AVERAGEIFS(Table1[value],Table1[IndicatorCode],Table1[[#This Row],[IndicatorCode]])</f>
        <v>7.6894248608534319</v>
      </c>
      <c r="I3195" cm="1">
        <f t="array" ref="I3195">_xlfn.STDEV.P(IF(Table1[IndicatorCode]=Table1[[#This Row],[IndicatorCode]],Table1[value]))</f>
        <v>5.2319501044600996</v>
      </c>
      <c r="J3195">
        <f>(Table1[[#This Row],[value]] - Table1[[#This Row],[mean]]) / Table1[[#This Row],[std_dev]]</f>
        <v>-0.13177206339672762</v>
      </c>
      <c r="K3195">
        <f>AVERAGEIF(Table1[CountryCode],Table1[[#This Row],[CountryCode]],Table1[z-score])</f>
        <v>-0.27867415315004246</v>
      </c>
      <c r="L3195" t="e">
        <f>VLOOKUP(Table1[[#This Row],[CountryCode]],[1]!Table1[#Data],4,FALSE)</f>
        <v>#REF!</v>
      </c>
    </row>
    <row r="3196" spans="1:12" hidden="1" x14ac:dyDescent="0.3">
      <c r="A3196" t="s">
        <v>61</v>
      </c>
      <c r="B3196" t="s">
        <v>62</v>
      </c>
      <c r="C3196" t="s">
        <v>125</v>
      </c>
      <c r="D3196" t="s">
        <v>126</v>
      </c>
      <c r="E3196">
        <v>1972</v>
      </c>
      <c r="F3196" s="1">
        <v>7</v>
      </c>
      <c r="G3196">
        <v>1970</v>
      </c>
      <c r="H3196">
        <f>AVERAGEIFS(Table1[value],Table1[IndicatorCode],Table1[[#This Row],[IndicatorCode]])</f>
        <v>7.6894248608534319</v>
      </c>
      <c r="I3196" cm="1">
        <f t="array" ref="I3196">_xlfn.STDEV.P(IF(Table1[IndicatorCode]=Table1[[#This Row],[IndicatorCode]],Table1[value]))</f>
        <v>5.2319501044600996</v>
      </c>
      <c r="J3196">
        <f>(Table1[[#This Row],[value]] - Table1[[#This Row],[mean]]) / Table1[[#This Row],[std_dev]]</f>
        <v>-0.13177206339672762</v>
      </c>
      <c r="K3196">
        <f>AVERAGEIF(Table1[CountryCode],Table1[[#This Row],[CountryCode]],Table1[z-score])</f>
        <v>-0.27867415315004246</v>
      </c>
      <c r="L3196" t="e">
        <f>VLOOKUP(Table1[[#This Row],[CountryCode]],[1]!Table1[#Data],4,FALSE)</f>
        <v>#REF!</v>
      </c>
    </row>
    <row r="3197" spans="1:12" hidden="1" x14ac:dyDescent="0.3">
      <c r="A3197" t="s">
        <v>61</v>
      </c>
      <c r="B3197" t="s">
        <v>62</v>
      </c>
      <c r="C3197" t="s">
        <v>125</v>
      </c>
      <c r="D3197" t="s">
        <v>126</v>
      </c>
      <c r="E3197">
        <v>1973</v>
      </c>
      <c r="F3197" s="1">
        <v>7</v>
      </c>
      <c r="G3197">
        <v>1970</v>
      </c>
      <c r="H3197">
        <f>AVERAGEIFS(Table1[value],Table1[IndicatorCode],Table1[[#This Row],[IndicatorCode]])</f>
        <v>7.6894248608534319</v>
      </c>
      <c r="I3197" cm="1">
        <f t="array" ref="I3197">_xlfn.STDEV.P(IF(Table1[IndicatorCode]=Table1[[#This Row],[IndicatorCode]],Table1[value]))</f>
        <v>5.2319501044600996</v>
      </c>
      <c r="J3197">
        <f>(Table1[[#This Row],[value]] - Table1[[#This Row],[mean]]) / Table1[[#This Row],[std_dev]]</f>
        <v>-0.13177206339672762</v>
      </c>
      <c r="K3197">
        <f>AVERAGEIF(Table1[CountryCode],Table1[[#This Row],[CountryCode]],Table1[z-score])</f>
        <v>-0.27867415315004246</v>
      </c>
      <c r="L3197" t="e">
        <f>VLOOKUP(Table1[[#This Row],[CountryCode]],[1]!Table1[#Data],4,FALSE)</f>
        <v>#REF!</v>
      </c>
    </row>
    <row r="3198" spans="1:12" hidden="1" x14ac:dyDescent="0.3">
      <c r="A3198" t="s">
        <v>61</v>
      </c>
      <c r="B3198" t="s">
        <v>62</v>
      </c>
      <c r="C3198" t="s">
        <v>125</v>
      </c>
      <c r="D3198" t="s">
        <v>126</v>
      </c>
      <c r="E3198">
        <v>1974</v>
      </c>
      <c r="F3198" s="1">
        <v>7</v>
      </c>
      <c r="G3198">
        <v>1970</v>
      </c>
      <c r="H3198">
        <f>AVERAGEIFS(Table1[value],Table1[IndicatorCode],Table1[[#This Row],[IndicatorCode]])</f>
        <v>7.6894248608534319</v>
      </c>
      <c r="I3198" cm="1">
        <f t="array" ref="I3198">_xlfn.STDEV.P(IF(Table1[IndicatorCode]=Table1[[#This Row],[IndicatorCode]],Table1[value]))</f>
        <v>5.2319501044600996</v>
      </c>
      <c r="J3198">
        <f>(Table1[[#This Row],[value]] - Table1[[#This Row],[mean]]) / Table1[[#This Row],[std_dev]]</f>
        <v>-0.13177206339672762</v>
      </c>
      <c r="K3198">
        <f>AVERAGEIF(Table1[CountryCode],Table1[[#This Row],[CountryCode]],Table1[z-score])</f>
        <v>-0.27867415315004246</v>
      </c>
      <c r="L3198" t="e">
        <f>VLOOKUP(Table1[[#This Row],[CountryCode]],[1]!Table1[#Data],4,FALSE)</f>
        <v>#REF!</v>
      </c>
    </row>
    <row r="3199" spans="1:12" hidden="1" x14ac:dyDescent="0.3">
      <c r="A3199" t="s">
        <v>61</v>
      </c>
      <c r="B3199" t="s">
        <v>62</v>
      </c>
      <c r="C3199" t="s">
        <v>125</v>
      </c>
      <c r="D3199" t="s">
        <v>126</v>
      </c>
      <c r="E3199">
        <v>1975</v>
      </c>
      <c r="F3199" s="1">
        <v>7</v>
      </c>
      <c r="G3199">
        <v>1970</v>
      </c>
      <c r="H3199">
        <f>AVERAGEIFS(Table1[value],Table1[IndicatorCode],Table1[[#This Row],[IndicatorCode]])</f>
        <v>7.6894248608534319</v>
      </c>
      <c r="I3199" cm="1">
        <f t="array" ref="I3199">_xlfn.STDEV.P(IF(Table1[IndicatorCode]=Table1[[#This Row],[IndicatorCode]],Table1[value]))</f>
        <v>5.2319501044600996</v>
      </c>
      <c r="J3199">
        <f>(Table1[[#This Row],[value]] - Table1[[#This Row],[mean]]) / Table1[[#This Row],[std_dev]]</f>
        <v>-0.13177206339672762</v>
      </c>
      <c r="K3199">
        <f>AVERAGEIF(Table1[CountryCode],Table1[[#This Row],[CountryCode]],Table1[z-score])</f>
        <v>-0.27867415315004246</v>
      </c>
      <c r="L3199" t="e">
        <f>VLOOKUP(Table1[[#This Row],[CountryCode]],[1]!Table1[#Data],4,FALSE)</f>
        <v>#REF!</v>
      </c>
    </row>
    <row r="3200" spans="1:12" hidden="1" x14ac:dyDescent="0.3">
      <c r="A3200" t="s">
        <v>61</v>
      </c>
      <c r="B3200" t="s">
        <v>62</v>
      </c>
      <c r="C3200" t="s">
        <v>125</v>
      </c>
      <c r="D3200" t="s">
        <v>126</v>
      </c>
      <c r="E3200">
        <v>1976</v>
      </c>
      <c r="F3200" s="1">
        <v>8</v>
      </c>
      <c r="G3200">
        <v>1970</v>
      </c>
      <c r="H3200">
        <f>AVERAGEIFS(Table1[value],Table1[IndicatorCode],Table1[[#This Row],[IndicatorCode]])</f>
        <v>7.6894248608534319</v>
      </c>
      <c r="I3200" cm="1">
        <f t="array" ref="I3200">_xlfn.STDEV.P(IF(Table1[IndicatorCode]=Table1[[#This Row],[IndicatorCode]],Table1[value]))</f>
        <v>5.2319501044600996</v>
      </c>
      <c r="J3200">
        <f>(Table1[[#This Row],[value]] - Table1[[#This Row],[mean]]) / Table1[[#This Row],[std_dev]]</f>
        <v>5.9361257838030791E-2</v>
      </c>
      <c r="K3200">
        <f>AVERAGEIF(Table1[CountryCode],Table1[[#This Row],[CountryCode]],Table1[z-score])</f>
        <v>-0.27867415315004246</v>
      </c>
      <c r="L3200" t="e">
        <f>VLOOKUP(Table1[[#This Row],[CountryCode]],[1]!Table1[#Data],4,FALSE)</f>
        <v>#REF!</v>
      </c>
    </row>
    <row r="3201" spans="1:12" hidden="1" x14ac:dyDescent="0.3">
      <c r="A3201" t="s">
        <v>61</v>
      </c>
      <c r="B3201" t="s">
        <v>62</v>
      </c>
      <c r="C3201" t="s">
        <v>125</v>
      </c>
      <c r="D3201" t="s">
        <v>126</v>
      </c>
      <c r="E3201">
        <v>1977</v>
      </c>
      <c r="F3201" s="1">
        <v>8</v>
      </c>
      <c r="G3201">
        <v>1980</v>
      </c>
      <c r="H3201">
        <f>AVERAGEIFS(Table1[value],Table1[IndicatorCode],Table1[[#This Row],[IndicatorCode]])</f>
        <v>7.6894248608534319</v>
      </c>
      <c r="I3201" cm="1">
        <f t="array" ref="I3201">_xlfn.STDEV.P(IF(Table1[IndicatorCode]=Table1[[#This Row],[IndicatorCode]],Table1[value]))</f>
        <v>5.2319501044600996</v>
      </c>
      <c r="J3201">
        <f>(Table1[[#This Row],[value]] - Table1[[#This Row],[mean]]) / Table1[[#This Row],[std_dev]]</f>
        <v>5.9361257838030791E-2</v>
      </c>
      <c r="K3201">
        <f>AVERAGEIF(Table1[CountryCode],Table1[[#This Row],[CountryCode]],Table1[z-score])</f>
        <v>-0.27867415315004246</v>
      </c>
      <c r="L3201" t="e">
        <f>VLOOKUP(Table1[[#This Row],[CountryCode]],[1]!Table1[#Data],4,FALSE)</f>
        <v>#REF!</v>
      </c>
    </row>
    <row r="3202" spans="1:12" hidden="1" x14ac:dyDescent="0.3">
      <c r="A3202" t="s">
        <v>61</v>
      </c>
      <c r="B3202" t="s">
        <v>62</v>
      </c>
      <c r="C3202" t="s">
        <v>125</v>
      </c>
      <c r="D3202" t="s">
        <v>126</v>
      </c>
      <c r="E3202">
        <v>1978</v>
      </c>
      <c r="F3202" s="1">
        <v>9</v>
      </c>
      <c r="G3202">
        <v>1980</v>
      </c>
      <c r="H3202">
        <f>AVERAGEIFS(Table1[value],Table1[IndicatorCode],Table1[[#This Row],[IndicatorCode]])</f>
        <v>7.6894248608534319</v>
      </c>
      <c r="I3202" cm="1">
        <f t="array" ref="I3202">_xlfn.STDEV.P(IF(Table1[IndicatorCode]=Table1[[#This Row],[IndicatorCode]],Table1[value]))</f>
        <v>5.2319501044600996</v>
      </c>
      <c r="J3202">
        <f>(Table1[[#This Row],[value]] - Table1[[#This Row],[mean]]) / Table1[[#This Row],[std_dev]]</f>
        <v>0.25049457907278921</v>
      </c>
      <c r="K3202">
        <f>AVERAGEIF(Table1[CountryCode],Table1[[#This Row],[CountryCode]],Table1[z-score])</f>
        <v>-0.27867415315004246</v>
      </c>
      <c r="L3202" t="e">
        <f>VLOOKUP(Table1[[#This Row],[CountryCode]],[1]!Table1[#Data],4,FALSE)</f>
        <v>#REF!</v>
      </c>
    </row>
    <row r="3203" spans="1:12" hidden="1" x14ac:dyDescent="0.3">
      <c r="A3203" t="s">
        <v>61</v>
      </c>
      <c r="B3203" t="s">
        <v>62</v>
      </c>
      <c r="C3203" t="s">
        <v>125</v>
      </c>
      <c r="D3203" t="s">
        <v>126</v>
      </c>
      <c r="E3203">
        <v>1979</v>
      </c>
      <c r="F3203" s="1">
        <v>9</v>
      </c>
      <c r="G3203">
        <v>1980</v>
      </c>
      <c r="H3203">
        <f>AVERAGEIFS(Table1[value],Table1[IndicatorCode],Table1[[#This Row],[IndicatorCode]])</f>
        <v>7.6894248608534319</v>
      </c>
      <c r="I3203" cm="1">
        <f t="array" ref="I3203">_xlfn.STDEV.P(IF(Table1[IndicatorCode]=Table1[[#This Row],[IndicatorCode]],Table1[value]))</f>
        <v>5.2319501044600996</v>
      </c>
      <c r="J3203">
        <f>(Table1[[#This Row],[value]] - Table1[[#This Row],[mean]]) / Table1[[#This Row],[std_dev]]</f>
        <v>0.25049457907278921</v>
      </c>
      <c r="K3203">
        <f>AVERAGEIF(Table1[CountryCode],Table1[[#This Row],[CountryCode]],Table1[z-score])</f>
        <v>-0.27867415315004246</v>
      </c>
      <c r="L3203" t="e">
        <f>VLOOKUP(Table1[[#This Row],[CountryCode]],[1]!Table1[#Data],4,FALSE)</f>
        <v>#REF!</v>
      </c>
    </row>
    <row r="3204" spans="1:12" hidden="1" x14ac:dyDescent="0.3">
      <c r="A3204" t="s">
        <v>61</v>
      </c>
      <c r="B3204" t="s">
        <v>62</v>
      </c>
      <c r="C3204" t="s">
        <v>125</v>
      </c>
      <c r="D3204" t="s">
        <v>126</v>
      </c>
      <c r="E3204">
        <v>1980</v>
      </c>
      <c r="F3204" s="1">
        <v>9</v>
      </c>
      <c r="G3204">
        <v>1980</v>
      </c>
      <c r="H3204">
        <f>AVERAGEIFS(Table1[value],Table1[IndicatorCode],Table1[[#This Row],[IndicatorCode]])</f>
        <v>7.6894248608534319</v>
      </c>
      <c r="I3204" cm="1">
        <f t="array" ref="I3204">_xlfn.STDEV.P(IF(Table1[IndicatorCode]=Table1[[#This Row],[IndicatorCode]],Table1[value]))</f>
        <v>5.2319501044600996</v>
      </c>
      <c r="J3204">
        <f>(Table1[[#This Row],[value]] - Table1[[#This Row],[mean]]) / Table1[[#This Row],[std_dev]]</f>
        <v>0.25049457907278921</v>
      </c>
      <c r="K3204">
        <f>AVERAGEIF(Table1[CountryCode],Table1[[#This Row],[CountryCode]],Table1[z-score])</f>
        <v>-0.27867415315004246</v>
      </c>
      <c r="L3204" t="e">
        <f>VLOOKUP(Table1[[#This Row],[CountryCode]],[1]!Table1[#Data],4,FALSE)</f>
        <v>#REF!</v>
      </c>
    </row>
    <row r="3205" spans="1:12" hidden="1" x14ac:dyDescent="0.3">
      <c r="A3205" t="s">
        <v>61</v>
      </c>
      <c r="B3205" t="s">
        <v>62</v>
      </c>
      <c r="C3205" t="s">
        <v>125</v>
      </c>
      <c r="D3205" t="s">
        <v>126</v>
      </c>
      <c r="E3205">
        <v>1981</v>
      </c>
      <c r="F3205" s="1">
        <v>8</v>
      </c>
      <c r="G3205">
        <v>1980</v>
      </c>
      <c r="H3205">
        <f>AVERAGEIFS(Table1[value],Table1[IndicatorCode],Table1[[#This Row],[IndicatorCode]])</f>
        <v>7.6894248608534319</v>
      </c>
      <c r="I3205" cm="1">
        <f t="array" ref="I3205">_xlfn.STDEV.P(IF(Table1[IndicatorCode]=Table1[[#This Row],[IndicatorCode]],Table1[value]))</f>
        <v>5.2319501044600996</v>
      </c>
      <c r="J3205">
        <f>(Table1[[#This Row],[value]] - Table1[[#This Row],[mean]]) / Table1[[#This Row],[std_dev]]</f>
        <v>5.9361257838030791E-2</v>
      </c>
      <c r="K3205">
        <f>AVERAGEIF(Table1[CountryCode],Table1[[#This Row],[CountryCode]],Table1[z-score])</f>
        <v>-0.27867415315004246</v>
      </c>
      <c r="L3205" t="e">
        <f>VLOOKUP(Table1[[#This Row],[CountryCode]],[1]!Table1[#Data],4,FALSE)</f>
        <v>#REF!</v>
      </c>
    </row>
    <row r="3206" spans="1:12" hidden="1" x14ac:dyDescent="0.3">
      <c r="A3206" t="s">
        <v>61</v>
      </c>
      <c r="B3206" t="s">
        <v>62</v>
      </c>
      <c r="C3206" t="s">
        <v>125</v>
      </c>
      <c r="D3206" t="s">
        <v>126</v>
      </c>
      <c r="E3206">
        <v>1982</v>
      </c>
      <c r="F3206" s="1">
        <v>8</v>
      </c>
      <c r="G3206">
        <v>1980</v>
      </c>
      <c r="H3206">
        <f>AVERAGEIFS(Table1[value],Table1[IndicatorCode],Table1[[#This Row],[IndicatorCode]])</f>
        <v>7.6894248608534319</v>
      </c>
      <c r="I3206" cm="1">
        <f t="array" ref="I3206">_xlfn.STDEV.P(IF(Table1[IndicatorCode]=Table1[[#This Row],[IndicatorCode]],Table1[value]))</f>
        <v>5.2319501044600996</v>
      </c>
      <c r="J3206">
        <f>(Table1[[#This Row],[value]] - Table1[[#This Row],[mean]]) / Table1[[#This Row],[std_dev]]</f>
        <v>5.9361257838030791E-2</v>
      </c>
      <c r="K3206">
        <f>AVERAGEIF(Table1[CountryCode],Table1[[#This Row],[CountryCode]],Table1[z-score])</f>
        <v>-0.27867415315004246</v>
      </c>
      <c r="L3206" t="e">
        <f>VLOOKUP(Table1[[#This Row],[CountryCode]],[1]!Table1[#Data],4,FALSE)</f>
        <v>#REF!</v>
      </c>
    </row>
    <row r="3207" spans="1:12" hidden="1" x14ac:dyDescent="0.3">
      <c r="A3207" t="s">
        <v>61</v>
      </c>
      <c r="B3207" t="s">
        <v>62</v>
      </c>
      <c r="C3207" t="s">
        <v>125</v>
      </c>
      <c r="D3207" t="s">
        <v>126</v>
      </c>
      <c r="E3207">
        <v>1983</v>
      </c>
      <c r="F3207" s="1">
        <v>8</v>
      </c>
      <c r="G3207">
        <v>1980</v>
      </c>
      <c r="H3207">
        <f>AVERAGEIFS(Table1[value],Table1[IndicatorCode],Table1[[#This Row],[IndicatorCode]])</f>
        <v>7.6894248608534319</v>
      </c>
      <c r="I3207" cm="1">
        <f t="array" ref="I3207">_xlfn.STDEV.P(IF(Table1[IndicatorCode]=Table1[[#This Row],[IndicatorCode]],Table1[value]))</f>
        <v>5.2319501044600996</v>
      </c>
      <c r="J3207">
        <f>(Table1[[#This Row],[value]] - Table1[[#This Row],[mean]]) / Table1[[#This Row],[std_dev]]</f>
        <v>5.9361257838030791E-2</v>
      </c>
      <c r="K3207">
        <f>AVERAGEIF(Table1[CountryCode],Table1[[#This Row],[CountryCode]],Table1[z-score])</f>
        <v>-0.27867415315004246</v>
      </c>
      <c r="L3207" t="e">
        <f>VLOOKUP(Table1[[#This Row],[CountryCode]],[1]!Table1[#Data],4,FALSE)</f>
        <v>#REF!</v>
      </c>
    </row>
    <row r="3208" spans="1:12" hidden="1" x14ac:dyDescent="0.3">
      <c r="A3208" t="s">
        <v>61</v>
      </c>
      <c r="B3208" t="s">
        <v>62</v>
      </c>
      <c r="C3208" t="s">
        <v>125</v>
      </c>
      <c r="D3208" t="s">
        <v>126</v>
      </c>
      <c r="E3208">
        <v>1984</v>
      </c>
      <c r="F3208" s="1">
        <v>8</v>
      </c>
      <c r="G3208">
        <v>1980</v>
      </c>
      <c r="H3208">
        <f>AVERAGEIFS(Table1[value],Table1[IndicatorCode],Table1[[#This Row],[IndicatorCode]])</f>
        <v>7.6894248608534319</v>
      </c>
      <c r="I3208" cm="1">
        <f t="array" ref="I3208">_xlfn.STDEV.P(IF(Table1[IndicatorCode]=Table1[[#This Row],[IndicatorCode]],Table1[value]))</f>
        <v>5.2319501044600996</v>
      </c>
      <c r="J3208">
        <f>(Table1[[#This Row],[value]] - Table1[[#This Row],[mean]]) / Table1[[#This Row],[std_dev]]</f>
        <v>5.9361257838030791E-2</v>
      </c>
      <c r="K3208">
        <f>AVERAGEIF(Table1[CountryCode],Table1[[#This Row],[CountryCode]],Table1[z-score])</f>
        <v>-0.27867415315004246</v>
      </c>
      <c r="L3208" t="e">
        <f>VLOOKUP(Table1[[#This Row],[CountryCode]],[1]!Table1[#Data],4,FALSE)</f>
        <v>#REF!</v>
      </c>
    </row>
    <row r="3209" spans="1:12" hidden="1" x14ac:dyDescent="0.3">
      <c r="A3209" t="s">
        <v>61</v>
      </c>
      <c r="B3209" t="s">
        <v>62</v>
      </c>
      <c r="C3209" t="s">
        <v>125</v>
      </c>
      <c r="D3209" t="s">
        <v>126</v>
      </c>
      <c r="E3209">
        <v>1985</v>
      </c>
      <c r="F3209" s="1">
        <v>8</v>
      </c>
      <c r="G3209">
        <v>1980</v>
      </c>
      <c r="H3209">
        <f>AVERAGEIFS(Table1[value],Table1[IndicatorCode],Table1[[#This Row],[IndicatorCode]])</f>
        <v>7.6894248608534319</v>
      </c>
      <c r="I3209" cm="1">
        <f t="array" ref="I3209">_xlfn.STDEV.P(IF(Table1[IndicatorCode]=Table1[[#This Row],[IndicatorCode]],Table1[value]))</f>
        <v>5.2319501044600996</v>
      </c>
      <c r="J3209">
        <f>(Table1[[#This Row],[value]] - Table1[[#This Row],[mean]]) / Table1[[#This Row],[std_dev]]</f>
        <v>5.9361257838030791E-2</v>
      </c>
      <c r="K3209">
        <f>AVERAGEIF(Table1[CountryCode],Table1[[#This Row],[CountryCode]],Table1[z-score])</f>
        <v>-0.27867415315004246</v>
      </c>
      <c r="L3209" t="e">
        <f>VLOOKUP(Table1[[#This Row],[CountryCode]],[1]!Table1[#Data],4,FALSE)</f>
        <v>#REF!</v>
      </c>
    </row>
    <row r="3210" spans="1:12" hidden="1" x14ac:dyDescent="0.3">
      <c r="A3210" t="s">
        <v>61</v>
      </c>
      <c r="B3210" t="s">
        <v>62</v>
      </c>
      <c r="C3210" t="s">
        <v>125</v>
      </c>
      <c r="D3210" t="s">
        <v>126</v>
      </c>
      <c r="E3210">
        <v>1986</v>
      </c>
      <c r="F3210" s="1">
        <v>8</v>
      </c>
      <c r="G3210">
        <v>1980</v>
      </c>
      <c r="H3210">
        <f>AVERAGEIFS(Table1[value],Table1[IndicatorCode],Table1[[#This Row],[IndicatorCode]])</f>
        <v>7.6894248608534319</v>
      </c>
      <c r="I3210" cm="1">
        <f t="array" ref="I3210">_xlfn.STDEV.P(IF(Table1[IndicatorCode]=Table1[[#This Row],[IndicatorCode]],Table1[value]))</f>
        <v>5.2319501044600996</v>
      </c>
      <c r="J3210">
        <f>(Table1[[#This Row],[value]] - Table1[[#This Row],[mean]]) / Table1[[#This Row],[std_dev]]</f>
        <v>5.9361257838030791E-2</v>
      </c>
      <c r="K3210">
        <f>AVERAGEIF(Table1[CountryCode],Table1[[#This Row],[CountryCode]],Table1[z-score])</f>
        <v>-0.27867415315004246</v>
      </c>
      <c r="L3210" t="e">
        <f>VLOOKUP(Table1[[#This Row],[CountryCode]],[1]!Table1[#Data],4,FALSE)</f>
        <v>#REF!</v>
      </c>
    </row>
    <row r="3211" spans="1:12" hidden="1" x14ac:dyDescent="0.3">
      <c r="A3211" t="s">
        <v>61</v>
      </c>
      <c r="B3211" t="s">
        <v>62</v>
      </c>
      <c r="C3211" t="s">
        <v>125</v>
      </c>
      <c r="D3211" t="s">
        <v>126</v>
      </c>
      <c r="E3211">
        <v>1987</v>
      </c>
      <c r="F3211" s="1">
        <v>8</v>
      </c>
      <c r="G3211">
        <v>1990</v>
      </c>
      <c r="H3211">
        <f>AVERAGEIFS(Table1[value],Table1[IndicatorCode],Table1[[#This Row],[IndicatorCode]])</f>
        <v>7.6894248608534319</v>
      </c>
      <c r="I3211" cm="1">
        <f t="array" ref="I3211">_xlfn.STDEV.P(IF(Table1[IndicatorCode]=Table1[[#This Row],[IndicatorCode]],Table1[value]))</f>
        <v>5.2319501044600996</v>
      </c>
      <c r="J3211">
        <f>(Table1[[#This Row],[value]] - Table1[[#This Row],[mean]]) / Table1[[#This Row],[std_dev]]</f>
        <v>5.9361257838030791E-2</v>
      </c>
      <c r="K3211">
        <f>AVERAGEIF(Table1[CountryCode],Table1[[#This Row],[CountryCode]],Table1[z-score])</f>
        <v>-0.27867415315004246</v>
      </c>
      <c r="L3211" t="e">
        <f>VLOOKUP(Table1[[#This Row],[CountryCode]],[1]!Table1[#Data],4,FALSE)</f>
        <v>#REF!</v>
      </c>
    </row>
    <row r="3212" spans="1:12" hidden="1" x14ac:dyDescent="0.3">
      <c r="A3212" t="s">
        <v>61</v>
      </c>
      <c r="B3212" t="s">
        <v>62</v>
      </c>
      <c r="C3212" t="s">
        <v>125</v>
      </c>
      <c r="D3212" t="s">
        <v>126</v>
      </c>
      <c r="E3212">
        <v>1988</v>
      </c>
      <c r="F3212" s="1">
        <v>8</v>
      </c>
      <c r="G3212">
        <v>1990</v>
      </c>
      <c r="H3212">
        <f>AVERAGEIFS(Table1[value],Table1[IndicatorCode],Table1[[#This Row],[IndicatorCode]])</f>
        <v>7.6894248608534319</v>
      </c>
      <c r="I3212" cm="1">
        <f t="array" ref="I3212">_xlfn.STDEV.P(IF(Table1[IndicatorCode]=Table1[[#This Row],[IndicatorCode]],Table1[value]))</f>
        <v>5.2319501044600996</v>
      </c>
      <c r="J3212">
        <f>(Table1[[#This Row],[value]] - Table1[[#This Row],[mean]]) / Table1[[#This Row],[std_dev]]</f>
        <v>5.9361257838030791E-2</v>
      </c>
      <c r="K3212">
        <f>AVERAGEIF(Table1[CountryCode],Table1[[#This Row],[CountryCode]],Table1[z-score])</f>
        <v>-0.27867415315004246</v>
      </c>
      <c r="L3212" t="e">
        <f>VLOOKUP(Table1[[#This Row],[CountryCode]],[1]!Table1[#Data],4,FALSE)</f>
        <v>#REF!</v>
      </c>
    </row>
    <row r="3213" spans="1:12" hidden="1" x14ac:dyDescent="0.3">
      <c r="A3213" t="s">
        <v>61</v>
      </c>
      <c r="B3213" t="s">
        <v>62</v>
      </c>
      <c r="C3213" t="s">
        <v>125</v>
      </c>
      <c r="D3213" t="s">
        <v>126</v>
      </c>
      <c r="E3213">
        <v>1989</v>
      </c>
      <c r="F3213" s="1">
        <v>8</v>
      </c>
      <c r="G3213">
        <v>1990</v>
      </c>
      <c r="H3213">
        <f>AVERAGEIFS(Table1[value],Table1[IndicatorCode],Table1[[#This Row],[IndicatorCode]])</f>
        <v>7.6894248608534319</v>
      </c>
      <c r="I3213" cm="1">
        <f t="array" ref="I3213">_xlfn.STDEV.P(IF(Table1[IndicatorCode]=Table1[[#This Row],[IndicatorCode]],Table1[value]))</f>
        <v>5.2319501044600996</v>
      </c>
      <c r="J3213">
        <f>(Table1[[#This Row],[value]] - Table1[[#This Row],[mean]]) / Table1[[#This Row],[std_dev]]</f>
        <v>5.9361257838030791E-2</v>
      </c>
      <c r="K3213">
        <f>AVERAGEIF(Table1[CountryCode],Table1[[#This Row],[CountryCode]],Table1[z-score])</f>
        <v>-0.27867415315004246</v>
      </c>
      <c r="L3213" t="e">
        <f>VLOOKUP(Table1[[#This Row],[CountryCode]],[1]!Table1[#Data],4,FALSE)</f>
        <v>#REF!</v>
      </c>
    </row>
    <row r="3214" spans="1:12" hidden="1" x14ac:dyDescent="0.3">
      <c r="A3214" t="s">
        <v>61</v>
      </c>
      <c r="B3214" t="s">
        <v>62</v>
      </c>
      <c r="C3214" t="s">
        <v>125</v>
      </c>
      <c r="D3214" t="s">
        <v>126</v>
      </c>
      <c r="E3214">
        <v>1990</v>
      </c>
      <c r="F3214" s="1">
        <v>7</v>
      </c>
      <c r="G3214">
        <v>1990</v>
      </c>
      <c r="H3214">
        <f>AVERAGEIFS(Table1[value],Table1[IndicatorCode],Table1[[#This Row],[IndicatorCode]])</f>
        <v>7.6894248608534319</v>
      </c>
      <c r="I3214" cm="1">
        <f t="array" ref="I3214">_xlfn.STDEV.P(IF(Table1[IndicatorCode]=Table1[[#This Row],[IndicatorCode]],Table1[value]))</f>
        <v>5.2319501044600996</v>
      </c>
      <c r="J3214">
        <f>(Table1[[#This Row],[value]] - Table1[[#This Row],[mean]]) / Table1[[#This Row],[std_dev]]</f>
        <v>-0.13177206339672762</v>
      </c>
      <c r="K3214">
        <f>AVERAGEIF(Table1[CountryCode],Table1[[#This Row],[CountryCode]],Table1[z-score])</f>
        <v>-0.27867415315004246</v>
      </c>
      <c r="L3214" t="e">
        <f>VLOOKUP(Table1[[#This Row],[CountryCode]],[1]!Table1[#Data],4,FALSE)</f>
        <v>#REF!</v>
      </c>
    </row>
    <row r="3215" spans="1:12" hidden="1" x14ac:dyDescent="0.3">
      <c r="A3215" t="s">
        <v>61</v>
      </c>
      <c r="B3215" t="s">
        <v>62</v>
      </c>
      <c r="C3215" t="s">
        <v>125</v>
      </c>
      <c r="D3215" t="s">
        <v>126</v>
      </c>
      <c r="E3215">
        <v>1991</v>
      </c>
      <c r="F3215" s="1">
        <v>7</v>
      </c>
      <c r="G3215">
        <v>1990</v>
      </c>
      <c r="H3215">
        <f>AVERAGEIFS(Table1[value],Table1[IndicatorCode],Table1[[#This Row],[IndicatorCode]])</f>
        <v>7.6894248608534319</v>
      </c>
      <c r="I3215" cm="1">
        <f t="array" ref="I3215">_xlfn.STDEV.P(IF(Table1[IndicatorCode]=Table1[[#This Row],[IndicatorCode]],Table1[value]))</f>
        <v>5.2319501044600996</v>
      </c>
      <c r="J3215">
        <f>(Table1[[#This Row],[value]] - Table1[[#This Row],[mean]]) / Table1[[#This Row],[std_dev]]</f>
        <v>-0.13177206339672762</v>
      </c>
      <c r="K3215">
        <f>AVERAGEIF(Table1[CountryCode],Table1[[#This Row],[CountryCode]],Table1[z-score])</f>
        <v>-0.27867415315004246</v>
      </c>
      <c r="L3215" t="e">
        <f>VLOOKUP(Table1[[#This Row],[CountryCode]],[1]!Table1[#Data],4,FALSE)</f>
        <v>#REF!</v>
      </c>
    </row>
    <row r="3216" spans="1:12" hidden="1" x14ac:dyDescent="0.3">
      <c r="A3216" t="s">
        <v>61</v>
      </c>
      <c r="B3216" t="s">
        <v>62</v>
      </c>
      <c r="C3216" t="s">
        <v>125</v>
      </c>
      <c r="D3216" t="s">
        <v>126</v>
      </c>
      <c r="E3216">
        <v>1992</v>
      </c>
      <c r="F3216" s="1">
        <v>6</v>
      </c>
      <c r="G3216">
        <v>1990</v>
      </c>
      <c r="H3216">
        <f>AVERAGEIFS(Table1[value],Table1[IndicatorCode],Table1[[#This Row],[IndicatorCode]])</f>
        <v>7.6894248608534319</v>
      </c>
      <c r="I3216" cm="1">
        <f t="array" ref="I3216">_xlfn.STDEV.P(IF(Table1[IndicatorCode]=Table1[[#This Row],[IndicatorCode]],Table1[value]))</f>
        <v>5.2319501044600996</v>
      </c>
      <c r="J3216">
        <f>(Table1[[#This Row],[value]] - Table1[[#This Row],[mean]]) / Table1[[#This Row],[std_dev]]</f>
        <v>-0.32290538463148605</v>
      </c>
      <c r="K3216">
        <f>AVERAGEIF(Table1[CountryCode],Table1[[#This Row],[CountryCode]],Table1[z-score])</f>
        <v>-0.27867415315004246</v>
      </c>
      <c r="L3216" t="e">
        <f>VLOOKUP(Table1[[#This Row],[CountryCode]],[1]!Table1[#Data],4,FALSE)</f>
        <v>#REF!</v>
      </c>
    </row>
    <row r="3217" spans="1:12" hidden="1" x14ac:dyDescent="0.3">
      <c r="A3217" t="s">
        <v>61</v>
      </c>
      <c r="B3217" t="s">
        <v>62</v>
      </c>
      <c r="C3217" t="s">
        <v>125</v>
      </c>
      <c r="D3217" t="s">
        <v>126</v>
      </c>
      <c r="E3217">
        <v>1993</v>
      </c>
      <c r="F3217" s="1">
        <v>6</v>
      </c>
      <c r="G3217">
        <v>1990</v>
      </c>
      <c r="H3217">
        <f>AVERAGEIFS(Table1[value],Table1[IndicatorCode],Table1[[#This Row],[IndicatorCode]])</f>
        <v>7.6894248608534319</v>
      </c>
      <c r="I3217" cm="1">
        <f t="array" ref="I3217">_xlfn.STDEV.P(IF(Table1[IndicatorCode]=Table1[[#This Row],[IndicatorCode]],Table1[value]))</f>
        <v>5.2319501044600996</v>
      </c>
      <c r="J3217">
        <f>(Table1[[#This Row],[value]] - Table1[[#This Row],[mean]]) / Table1[[#This Row],[std_dev]]</f>
        <v>-0.32290538463148605</v>
      </c>
      <c r="K3217">
        <f>AVERAGEIF(Table1[CountryCode],Table1[[#This Row],[CountryCode]],Table1[z-score])</f>
        <v>-0.27867415315004246</v>
      </c>
      <c r="L3217" t="e">
        <f>VLOOKUP(Table1[[#This Row],[CountryCode]],[1]!Table1[#Data],4,FALSE)</f>
        <v>#REF!</v>
      </c>
    </row>
    <row r="3218" spans="1:12" hidden="1" x14ac:dyDescent="0.3">
      <c r="A3218" t="s">
        <v>61</v>
      </c>
      <c r="B3218" t="s">
        <v>62</v>
      </c>
      <c r="C3218" t="s">
        <v>125</v>
      </c>
      <c r="D3218" t="s">
        <v>126</v>
      </c>
      <c r="E3218">
        <v>1994</v>
      </c>
      <c r="F3218" s="1">
        <v>6</v>
      </c>
      <c r="G3218">
        <v>1990</v>
      </c>
      <c r="H3218">
        <f>AVERAGEIFS(Table1[value],Table1[IndicatorCode],Table1[[#This Row],[IndicatorCode]])</f>
        <v>7.6894248608534319</v>
      </c>
      <c r="I3218" cm="1">
        <f t="array" ref="I3218">_xlfn.STDEV.P(IF(Table1[IndicatorCode]=Table1[[#This Row],[IndicatorCode]],Table1[value]))</f>
        <v>5.2319501044600996</v>
      </c>
      <c r="J3218">
        <f>(Table1[[#This Row],[value]] - Table1[[#This Row],[mean]]) / Table1[[#This Row],[std_dev]]</f>
        <v>-0.32290538463148605</v>
      </c>
      <c r="K3218">
        <f>AVERAGEIF(Table1[CountryCode],Table1[[#This Row],[CountryCode]],Table1[z-score])</f>
        <v>-0.27867415315004246</v>
      </c>
      <c r="L3218" t="e">
        <f>VLOOKUP(Table1[[#This Row],[CountryCode]],[1]!Table1[#Data],4,FALSE)</f>
        <v>#REF!</v>
      </c>
    </row>
    <row r="3219" spans="1:12" hidden="1" x14ac:dyDescent="0.3">
      <c r="A3219" t="s">
        <v>61</v>
      </c>
      <c r="B3219" t="s">
        <v>62</v>
      </c>
      <c r="C3219" t="s">
        <v>125</v>
      </c>
      <c r="D3219" t="s">
        <v>126</v>
      </c>
      <c r="E3219">
        <v>1995</v>
      </c>
      <c r="F3219" s="1">
        <v>6</v>
      </c>
      <c r="G3219">
        <v>1990</v>
      </c>
      <c r="H3219">
        <f>AVERAGEIFS(Table1[value],Table1[IndicatorCode],Table1[[#This Row],[IndicatorCode]])</f>
        <v>7.6894248608534319</v>
      </c>
      <c r="I3219" cm="1">
        <f t="array" ref="I3219">_xlfn.STDEV.P(IF(Table1[IndicatorCode]=Table1[[#This Row],[IndicatorCode]],Table1[value]))</f>
        <v>5.2319501044600996</v>
      </c>
      <c r="J3219">
        <f>(Table1[[#This Row],[value]] - Table1[[#This Row],[mean]]) / Table1[[#This Row],[std_dev]]</f>
        <v>-0.32290538463148605</v>
      </c>
      <c r="K3219">
        <f>AVERAGEIF(Table1[CountryCode],Table1[[#This Row],[CountryCode]],Table1[z-score])</f>
        <v>-0.27867415315004246</v>
      </c>
      <c r="L3219" t="e">
        <f>VLOOKUP(Table1[[#This Row],[CountryCode]],[1]!Table1[#Data],4,FALSE)</f>
        <v>#REF!</v>
      </c>
    </row>
    <row r="3220" spans="1:12" hidden="1" x14ac:dyDescent="0.3">
      <c r="A3220" t="s">
        <v>61</v>
      </c>
      <c r="B3220" t="s">
        <v>62</v>
      </c>
      <c r="C3220" t="s">
        <v>125</v>
      </c>
      <c r="D3220" t="s">
        <v>126</v>
      </c>
      <c r="E3220">
        <v>1996</v>
      </c>
      <c r="F3220" s="1">
        <v>6</v>
      </c>
      <c r="G3220">
        <v>1990</v>
      </c>
      <c r="H3220">
        <f>AVERAGEIFS(Table1[value],Table1[IndicatorCode],Table1[[#This Row],[IndicatorCode]])</f>
        <v>7.6894248608534319</v>
      </c>
      <c r="I3220" cm="1">
        <f t="array" ref="I3220">_xlfn.STDEV.P(IF(Table1[IndicatorCode]=Table1[[#This Row],[IndicatorCode]],Table1[value]))</f>
        <v>5.2319501044600996</v>
      </c>
      <c r="J3220">
        <f>(Table1[[#This Row],[value]] - Table1[[#This Row],[mean]]) / Table1[[#This Row],[std_dev]]</f>
        <v>-0.32290538463148605</v>
      </c>
      <c r="K3220">
        <f>AVERAGEIF(Table1[CountryCode],Table1[[#This Row],[CountryCode]],Table1[z-score])</f>
        <v>-0.27867415315004246</v>
      </c>
      <c r="L3220" t="e">
        <f>VLOOKUP(Table1[[#This Row],[CountryCode]],[1]!Table1[#Data],4,FALSE)</f>
        <v>#REF!</v>
      </c>
    </row>
    <row r="3221" spans="1:12" hidden="1" x14ac:dyDescent="0.3">
      <c r="A3221" t="s">
        <v>61</v>
      </c>
      <c r="B3221" t="s">
        <v>62</v>
      </c>
      <c r="C3221" t="s">
        <v>125</v>
      </c>
      <c r="D3221" t="s">
        <v>126</v>
      </c>
      <c r="E3221">
        <v>1997</v>
      </c>
      <c r="F3221" s="1">
        <v>6</v>
      </c>
      <c r="G3221">
        <v>2000</v>
      </c>
      <c r="H3221">
        <f>AVERAGEIFS(Table1[value],Table1[IndicatorCode],Table1[[#This Row],[IndicatorCode]])</f>
        <v>7.6894248608534319</v>
      </c>
      <c r="I3221" cm="1">
        <f t="array" ref="I3221">_xlfn.STDEV.P(IF(Table1[IndicatorCode]=Table1[[#This Row],[IndicatorCode]],Table1[value]))</f>
        <v>5.2319501044600996</v>
      </c>
      <c r="J3221">
        <f>(Table1[[#This Row],[value]] - Table1[[#This Row],[mean]]) / Table1[[#This Row],[std_dev]]</f>
        <v>-0.32290538463148605</v>
      </c>
      <c r="K3221">
        <f>AVERAGEIF(Table1[CountryCode],Table1[[#This Row],[CountryCode]],Table1[z-score])</f>
        <v>-0.27867415315004246</v>
      </c>
      <c r="L3221" t="e">
        <f>VLOOKUP(Table1[[#This Row],[CountryCode]],[1]!Table1[#Data],4,FALSE)</f>
        <v>#REF!</v>
      </c>
    </row>
    <row r="3222" spans="1:12" hidden="1" x14ac:dyDescent="0.3">
      <c r="A3222" t="s">
        <v>61</v>
      </c>
      <c r="B3222" t="s">
        <v>62</v>
      </c>
      <c r="C3222" t="s">
        <v>125</v>
      </c>
      <c r="D3222" t="s">
        <v>126</v>
      </c>
      <c r="E3222">
        <v>1998</v>
      </c>
      <c r="F3222" s="1">
        <v>6</v>
      </c>
      <c r="G3222">
        <v>2000</v>
      </c>
      <c r="H3222">
        <f>AVERAGEIFS(Table1[value],Table1[IndicatorCode],Table1[[#This Row],[IndicatorCode]])</f>
        <v>7.6894248608534319</v>
      </c>
      <c r="I3222" cm="1">
        <f t="array" ref="I3222">_xlfn.STDEV.P(IF(Table1[IndicatorCode]=Table1[[#This Row],[IndicatorCode]],Table1[value]))</f>
        <v>5.2319501044600996</v>
      </c>
      <c r="J3222">
        <f>(Table1[[#This Row],[value]] - Table1[[#This Row],[mean]]) / Table1[[#This Row],[std_dev]]</f>
        <v>-0.32290538463148605</v>
      </c>
      <c r="K3222">
        <f>AVERAGEIF(Table1[CountryCode],Table1[[#This Row],[CountryCode]],Table1[z-score])</f>
        <v>-0.27867415315004246</v>
      </c>
      <c r="L3222" t="e">
        <f>VLOOKUP(Table1[[#This Row],[CountryCode]],[1]!Table1[#Data],4,FALSE)</f>
        <v>#REF!</v>
      </c>
    </row>
    <row r="3223" spans="1:12" hidden="1" x14ac:dyDescent="0.3">
      <c r="A3223" t="s">
        <v>61</v>
      </c>
      <c r="B3223" t="s">
        <v>62</v>
      </c>
      <c r="C3223" t="s">
        <v>125</v>
      </c>
      <c r="D3223" t="s">
        <v>126</v>
      </c>
      <c r="E3223">
        <v>1999</v>
      </c>
      <c r="F3223" s="1">
        <v>6</v>
      </c>
      <c r="G3223">
        <v>2000</v>
      </c>
      <c r="H3223">
        <f>AVERAGEIFS(Table1[value],Table1[IndicatorCode],Table1[[#This Row],[IndicatorCode]])</f>
        <v>7.6894248608534319</v>
      </c>
      <c r="I3223" cm="1">
        <f t="array" ref="I3223">_xlfn.STDEV.P(IF(Table1[IndicatorCode]=Table1[[#This Row],[IndicatorCode]],Table1[value]))</f>
        <v>5.2319501044600996</v>
      </c>
      <c r="J3223">
        <f>(Table1[[#This Row],[value]] - Table1[[#This Row],[mean]]) / Table1[[#This Row],[std_dev]]</f>
        <v>-0.32290538463148605</v>
      </c>
      <c r="K3223">
        <f>AVERAGEIF(Table1[CountryCode],Table1[[#This Row],[CountryCode]],Table1[z-score])</f>
        <v>-0.27867415315004246</v>
      </c>
      <c r="L3223" t="e">
        <f>VLOOKUP(Table1[[#This Row],[CountryCode]],[1]!Table1[#Data],4,FALSE)</f>
        <v>#REF!</v>
      </c>
    </row>
    <row r="3224" spans="1:12" hidden="1" x14ac:dyDescent="0.3">
      <c r="A3224" t="s">
        <v>61</v>
      </c>
      <c r="B3224" t="s">
        <v>62</v>
      </c>
      <c r="C3224" t="s">
        <v>125</v>
      </c>
      <c r="D3224" t="s">
        <v>126</v>
      </c>
      <c r="E3224">
        <v>2000</v>
      </c>
      <c r="F3224" s="1">
        <v>6</v>
      </c>
      <c r="G3224">
        <v>2000</v>
      </c>
      <c r="H3224">
        <f>AVERAGEIFS(Table1[value],Table1[IndicatorCode],Table1[[#This Row],[IndicatorCode]])</f>
        <v>7.6894248608534319</v>
      </c>
      <c r="I3224" cm="1">
        <f t="array" ref="I3224">_xlfn.STDEV.P(IF(Table1[IndicatorCode]=Table1[[#This Row],[IndicatorCode]],Table1[value]))</f>
        <v>5.2319501044600996</v>
      </c>
      <c r="J3224">
        <f>(Table1[[#This Row],[value]] - Table1[[#This Row],[mean]]) / Table1[[#This Row],[std_dev]]</f>
        <v>-0.32290538463148605</v>
      </c>
      <c r="K3224">
        <f>AVERAGEIF(Table1[CountryCode],Table1[[#This Row],[CountryCode]],Table1[z-score])</f>
        <v>-0.27867415315004246</v>
      </c>
      <c r="L3224" t="e">
        <f>VLOOKUP(Table1[[#This Row],[CountryCode]],[1]!Table1[#Data],4,FALSE)</f>
        <v>#REF!</v>
      </c>
    </row>
    <row r="3225" spans="1:12" hidden="1" x14ac:dyDescent="0.3">
      <c r="A3225" t="s">
        <v>61</v>
      </c>
      <c r="B3225" t="s">
        <v>62</v>
      </c>
      <c r="C3225" t="s">
        <v>125</v>
      </c>
      <c r="D3225" t="s">
        <v>126</v>
      </c>
      <c r="E3225">
        <v>2001</v>
      </c>
      <c r="F3225" s="1">
        <v>6</v>
      </c>
      <c r="G3225">
        <v>2000</v>
      </c>
      <c r="H3225">
        <f>AVERAGEIFS(Table1[value],Table1[IndicatorCode],Table1[[#This Row],[IndicatorCode]])</f>
        <v>7.6894248608534319</v>
      </c>
      <c r="I3225" cm="1">
        <f t="array" ref="I3225">_xlfn.STDEV.P(IF(Table1[IndicatorCode]=Table1[[#This Row],[IndicatorCode]],Table1[value]))</f>
        <v>5.2319501044600996</v>
      </c>
      <c r="J3225">
        <f>(Table1[[#This Row],[value]] - Table1[[#This Row],[mean]]) / Table1[[#This Row],[std_dev]]</f>
        <v>-0.32290538463148605</v>
      </c>
      <c r="K3225">
        <f>AVERAGEIF(Table1[CountryCode],Table1[[#This Row],[CountryCode]],Table1[z-score])</f>
        <v>-0.27867415315004246</v>
      </c>
      <c r="L3225" t="e">
        <f>VLOOKUP(Table1[[#This Row],[CountryCode]],[1]!Table1[#Data],4,FALSE)</f>
        <v>#REF!</v>
      </c>
    </row>
    <row r="3226" spans="1:12" hidden="1" x14ac:dyDescent="0.3">
      <c r="A3226" t="s">
        <v>61</v>
      </c>
      <c r="B3226" t="s">
        <v>62</v>
      </c>
      <c r="C3226" t="s">
        <v>125</v>
      </c>
      <c r="D3226" t="s">
        <v>126</v>
      </c>
      <c r="E3226">
        <v>2002</v>
      </c>
      <c r="F3226" s="1">
        <v>6</v>
      </c>
      <c r="G3226">
        <v>2000</v>
      </c>
      <c r="H3226">
        <f>AVERAGEIFS(Table1[value],Table1[IndicatorCode],Table1[[#This Row],[IndicatorCode]])</f>
        <v>7.6894248608534319</v>
      </c>
      <c r="I3226" cm="1">
        <f t="array" ref="I3226">_xlfn.STDEV.P(IF(Table1[IndicatorCode]=Table1[[#This Row],[IndicatorCode]],Table1[value]))</f>
        <v>5.2319501044600996</v>
      </c>
      <c r="J3226">
        <f>(Table1[[#This Row],[value]] - Table1[[#This Row],[mean]]) / Table1[[#This Row],[std_dev]]</f>
        <v>-0.32290538463148605</v>
      </c>
      <c r="K3226">
        <f>AVERAGEIF(Table1[CountryCode],Table1[[#This Row],[CountryCode]],Table1[z-score])</f>
        <v>-0.27867415315004246</v>
      </c>
      <c r="L3226" t="e">
        <f>VLOOKUP(Table1[[#This Row],[CountryCode]],[1]!Table1[#Data],4,FALSE)</f>
        <v>#REF!</v>
      </c>
    </row>
    <row r="3227" spans="1:12" hidden="1" x14ac:dyDescent="0.3">
      <c r="A3227" t="s">
        <v>61</v>
      </c>
      <c r="B3227" t="s">
        <v>62</v>
      </c>
      <c r="C3227" t="s">
        <v>125</v>
      </c>
      <c r="D3227" t="s">
        <v>126</v>
      </c>
      <c r="E3227">
        <v>2003</v>
      </c>
      <c r="F3227" s="1">
        <v>6</v>
      </c>
      <c r="G3227">
        <v>2000</v>
      </c>
      <c r="H3227">
        <f>AVERAGEIFS(Table1[value],Table1[IndicatorCode],Table1[[#This Row],[IndicatorCode]])</f>
        <v>7.6894248608534319</v>
      </c>
      <c r="I3227" cm="1">
        <f t="array" ref="I3227">_xlfn.STDEV.P(IF(Table1[IndicatorCode]=Table1[[#This Row],[IndicatorCode]],Table1[value]))</f>
        <v>5.2319501044600996</v>
      </c>
      <c r="J3227">
        <f>(Table1[[#This Row],[value]] - Table1[[#This Row],[mean]]) / Table1[[#This Row],[std_dev]]</f>
        <v>-0.32290538463148605</v>
      </c>
      <c r="K3227">
        <f>AVERAGEIF(Table1[CountryCode],Table1[[#This Row],[CountryCode]],Table1[z-score])</f>
        <v>-0.27867415315004246</v>
      </c>
      <c r="L3227" t="e">
        <f>VLOOKUP(Table1[[#This Row],[CountryCode]],[1]!Table1[#Data],4,FALSE)</f>
        <v>#REF!</v>
      </c>
    </row>
    <row r="3228" spans="1:12" hidden="1" x14ac:dyDescent="0.3">
      <c r="A3228" t="s">
        <v>61</v>
      </c>
      <c r="B3228" t="s">
        <v>62</v>
      </c>
      <c r="C3228" t="s">
        <v>125</v>
      </c>
      <c r="D3228" t="s">
        <v>126</v>
      </c>
      <c r="E3228">
        <v>2004</v>
      </c>
      <c r="F3228" s="1">
        <v>6</v>
      </c>
      <c r="G3228">
        <v>2000</v>
      </c>
      <c r="H3228">
        <f>AVERAGEIFS(Table1[value],Table1[IndicatorCode],Table1[[#This Row],[IndicatorCode]])</f>
        <v>7.6894248608534319</v>
      </c>
      <c r="I3228" cm="1">
        <f t="array" ref="I3228">_xlfn.STDEV.P(IF(Table1[IndicatorCode]=Table1[[#This Row],[IndicatorCode]],Table1[value]))</f>
        <v>5.2319501044600996</v>
      </c>
      <c r="J3228">
        <f>(Table1[[#This Row],[value]] - Table1[[#This Row],[mean]]) / Table1[[#This Row],[std_dev]]</f>
        <v>-0.32290538463148605</v>
      </c>
      <c r="K3228">
        <f>AVERAGEIF(Table1[CountryCode],Table1[[#This Row],[CountryCode]],Table1[z-score])</f>
        <v>-0.27867415315004246</v>
      </c>
      <c r="L3228" t="e">
        <f>VLOOKUP(Table1[[#This Row],[CountryCode]],[1]!Table1[#Data],4,FALSE)</f>
        <v>#REF!</v>
      </c>
    </row>
    <row r="3229" spans="1:12" hidden="1" x14ac:dyDescent="0.3">
      <c r="A3229" t="s">
        <v>61</v>
      </c>
      <c r="B3229" t="s">
        <v>62</v>
      </c>
      <c r="C3229" t="s">
        <v>125</v>
      </c>
      <c r="D3229" t="s">
        <v>126</v>
      </c>
      <c r="E3229">
        <v>2005</v>
      </c>
      <c r="F3229" s="1">
        <v>6</v>
      </c>
      <c r="G3229">
        <v>2000</v>
      </c>
      <c r="H3229">
        <f>AVERAGEIFS(Table1[value],Table1[IndicatorCode],Table1[[#This Row],[IndicatorCode]])</f>
        <v>7.6894248608534319</v>
      </c>
      <c r="I3229" cm="1">
        <f t="array" ref="I3229">_xlfn.STDEV.P(IF(Table1[IndicatorCode]=Table1[[#This Row],[IndicatorCode]],Table1[value]))</f>
        <v>5.2319501044600996</v>
      </c>
      <c r="J3229">
        <f>(Table1[[#This Row],[value]] - Table1[[#This Row],[mean]]) / Table1[[#This Row],[std_dev]]</f>
        <v>-0.32290538463148605</v>
      </c>
      <c r="K3229">
        <f>AVERAGEIF(Table1[CountryCode],Table1[[#This Row],[CountryCode]],Table1[z-score])</f>
        <v>-0.27867415315004246</v>
      </c>
      <c r="L3229" t="e">
        <f>VLOOKUP(Table1[[#This Row],[CountryCode]],[1]!Table1[#Data],4,FALSE)</f>
        <v>#REF!</v>
      </c>
    </row>
    <row r="3230" spans="1:12" hidden="1" x14ac:dyDescent="0.3">
      <c r="A3230" t="s">
        <v>61</v>
      </c>
      <c r="B3230" t="s">
        <v>62</v>
      </c>
      <c r="C3230" t="s">
        <v>125</v>
      </c>
      <c r="D3230" t="s">
        <v>126</v>
      </c>
      <c r="E3230">
        <v>2006</v>
      </c>
      <c r="F3230" s="1">
        <v>6</v>
      </c>
      <c r="G3230">
        <v>2000</v>
      </c>
      <c r="H3230">
        <f>AVERAGEIFS(Table1[value],Table1[IndicatorCode],Table1[[#This Row],[IndicatorCode]])</f>
        <v>7.6894248608534319</v>
      </c>
      <c r="I3230" cm="1">
        <f t="array" ref="I3230">_xlfn.STDEV.P(IF(Table1[IndicatorCode]=Table1[[#This Row],[IndicatorCode]],Table1[value]))</f>
        <v>5.2319501044600996</v>
      </c>
      <c r="J3230">
        <f>(Table1[[#This Row],[value]] - Table1[[#This Row],[mean]]) / Table1[[#This Row],[std_dev]]</f>
        <v>-0.32290538463148605</v>
      </c>
      <c r="K3230">
        <f>AVERAGEIF(Table1[CountryCode],Table1[[#This Row],[CountryCode]],Table1[z-score])</f>
        <v>-0.27867415315004246</v>
      </c>
      <c r="L3230" t="e">
        <f>VLOOKUP(Table1[[#This Row],[CountryCode]],[1]!Table1[#Data],4,FALSE)</f>
        <v>#REF!</v>
      </c>
    </row>
    <row r="3231" spans="1:12" hidden="1" x14ac:dyDescent="0.3">
      <c r="A3231" t="s">
        <v>61</v>
      </c>
      <c r="B3231" t="s">
        <v>62</v>
      </c>
      <c r="C3231" t="s">
        <v>125</v>
      </c>
      <c r="D3231" t="s">
        <v>126</v>
      </c>
      <c r="E3231">
        <v>2007</v>
      </c>
      <c r="F3231" s="1">
        <v>6</v>
      </c>
      <c r="G3231">
        <v>2010</v>
      </c>
      <c r="H3231">
        <f>AVERAGEIFS(Table1[value],Table1[IndicatorCode],Table1[[#This Row],[IndicatorCode]])</f>
        <v>7.6894248608534319</v>
      </c>
      <c r="I3231" cm="1">
        <f t="array" ref="I3231">_xlfn.STDEV.P(IF(Table1[IndicatorCode]=Table1[[#This Row],[IndicatorCode]],Table1[value]))</f>
        <v>5.2319501044600996</v>
      </c>
      <c r="J3231">
        <f>(Table1[[#This Row],[value]] - Table1[[#This Row],[mean]]) / Table1[[#This Row],[std_dev]]</f>
        <v>-0.32290538463148605</v>
      </c>
      <c r="K3231">
        <f>AVERAGEIF(Table1[CountryCode],Table1[[#This Row],[CountryCode]],Table1[z-score])</f>
        <v>-0.27867415315004246</v>
      </c>
      <c r="L3231" t="e">
        <f>VLOOKUP(Table1[[#This Row],[CountryCode]],[1]!Table1[#Data],4,FALSE)</f>
        <v>#REF!</v>
      </c>
    </row>
    <row r="3232" spans="1:12" hidden="1" x14ac:dyDescent="0.3">
      <c r="A3232" t="s">
        <v>61</v>
      </c>
      <c r="B3232" t="s">
        <v>62</v>
      </c>
      <c r="C3232" t="s">
        <v>125</v>
      </c>
      <c r="D3232" t="s">
        <v>126</v>
      </c>
      <c r="E3232">
        <v>2008</v>
      </c>
      <c r="F3232" s="1">
        <v>6</v>
      </c>
      <c r="G3232">
        <v>2010</v>
      </c>
      <c r="H3232">
        <f>AVERAGEIFS(Table1[value],Table1[IndicatorCode],Table1[[#This Row],[IndicatorCode]])</f>
        <v>7.6894248608534319</v>
      </c>
      <c r="I3232" cm="1">
        <f t="array" ref="I3232">_xlfn.STDEV.P(IF(Table1[IndicatorCode]=Table1[[#This Row],[IndicatorCode]],Table1[value]))</f>
        <v>5.2319501044600996</v>
      </c>
      <c r="J3232">
        <f>(Table1[[#This Row],[value]] - Table1[[#This Row],[mean]]) / Table1[[#This Row],[std_dev]]</f>
        <v>-0.32290538463148605</v>
      </c>
      <c r="K3232">
        <f>AVERAGEIF(Table1[CountryCode],Table1[[#This Row],[CountryCode]],Table1[z-score])</f>
        <v>-0.27867415315004246</v>
      </c>
      <c r="L3232" t="e">
        <f>VLOOKUP(Table1[[#This Row],[CountryCode]],[1]!Table1[#Data],4,FALSE)</f>
        <v>#REF!</v>
      </c>
    </row>
    <row r="3233" spans="1:12" hidden="1" x14ac:dyDescent="0.3">
      <c r="A3233" t="s">
        <v>61</v>
      </c>
      <c r="B3233" t="s">
        <v>62</v>
      </c>
      <c r="C3233" t="s">
        <v>125</v>
      </c>
      <c r="D3233" t="s">
        <v>126</v>
      </c>
      <c r="E3233">
        <v>2009</v>
      </c>
      <c r="F3233" s="1">
        <v>5</v>
      </c>
      <c r="G3233">
        <v>2010</v>
      </c>
      <c r="H3233">
        <f>AVERAGEIFS(Table1[value],Table1[IndicatorCode],Table1[[#This Row],[IndicatorCode]])</f>
        <v>7.6894248608534319</v>
      </c>
      <c r="I3233" cm="1">
        <f t="array" ref="I3233">_xlfn.STDEV.P(IF(Table1[IndicatorCode]=Table1[[#This Row],[IndicatorCode]],Table1[value]))</f>
        <v>5.2319501044600996</v>
      </c>
      <c r="J3233">
        <f>(Table1[[#This Row],[value]] - Table1[[#This Row],[mean]]) / Table1[[#This Row],[std_dev]]</f>
        <v>-0.51403870586624445</v>
      </c>
      <c r="K3233">
        <f>AVERAGEIF(Table1[CountryCode],Table1[[#This Row],[CountryCode]],Table1[z-score])</f>
        <v>-0.27867415315004246</v>
      </c>
      <c r="L3233" t="e">
        <f>VLOOKUP(Table1[[#This Row],[CountryCode]],[1]!Table1[#Data],4,FALSE)</f>
        <v>#REF!</v>
      </c>
    </row>
    <row r="3234" spans="1:12" hidden="1" x14ac:dyDescent="0.3">
      <c r="A3234" t="s">
        <v>61</v>
      </c>
      <c r="B3234" t="s">
        <v>62</v>
      </c>
      <c r="C3234" t="s">
        <v>125</v>
      </c>
      <c r="D3234" t="s">
        <v>126</v>
      </c>
      <c r="E3234">
        <v>2010</v>
      </c>
      <c r="F3234" s="1">
        <v>5</v>
      </c>
      <c r="G3234">
        <v>2010</v>
      </c>
      <c r="H3234">
        <f>AVERAGEIFS(Table1[value],Table1[IndicatorCode],Table1[[#This Row],[IndicatorCode]])</f>
        <v>7.6894248608534319</v>
      </c>
      <c r="I3234" cm="1">
        <f t="array" ref="I3234">_xlfn.STDEV.P(IF(Table1[IndicatorCode]=Table1[[#This Row],[IndicatorCode]],Table1[value]))</f>
        <v>5.2319501044600996</v>
      </c>
      <c r="J3234">
        <f>(Table1[[#This Row],[value]] - Table1[[#This Row],[mean]]) / Table1[[#This Row],[std_dev]]</f>
        <v>-0.51403870586624445</v>
      </c>
      <c r="K3234">
        <f>AVERAGEIF(Table1[CountryCode],Table1[[#This Row],[CountryCode]],Table1[z-score])</f>
        <v>-0.27867415315004246</v>
      </c>
      <c r="L3234" t="e">
        <f>VLOOKUP(Table1[[#This Row],[CountryCode]],[1]!Table1[#Data],4,FALSE)</f>
        <v>#REF!</v>
      </c>
    </row>
    <row r="3235" spans="1:12" hidden="1" x14ac:dyDescent="0.3">
      <c r="A3235" t="s">
        <v>61</v>
      </c>
      <c r="B3235" t="s">
        <v>62</v>
      </c>
      <c r="C3235" t="s">
        <v>125</v>
      </c>
      <c r="D3235" t="s">
        <v>126</v>
      </c>
      <c r="E3235">
        <v>2011</v>
      </c>
      <c r="F3235" s="1">
        <v>5</v>
      </c>
      <c r="G3235">
        <v>2010</v>
      </c>
      <c r="H3235">
        <f>AVERAGEIFS(Table1[value],Table1[IndicatorCode],Table1[[#This Row],[IndicatorCode]])</f>
        <v>7.6894248608534319</v>
      </c>
      <c r="I3235" cm="1">
        <f t="array" ref="I3235">_xlfn.STDEV.P(IF(Table1[IndicatorCode]=Table1[[#This Row],[IndicatorCode]],Table1[value]))</f>
        <v>5.2319501044600996</v>
      </c>
      <c r="J3235">
        <f>(Table1[[#This Row],[value]] - Table1[[#This Row],[mean]]) / Table1[[#This Row],[std_dev]]</f>
        <v>-0.51403870586624445</v>
      </c>
      <c r="K3235">
        <f>AVERAGEIF(Table1[CountryCode],Table1[[#This Row],[CountryCode]],Table1[z-score])</f>
        <v>-0.27867415315004246</v>
      </c>
      <c r="L3235" t="e">
        <f>VLOOKUP(Table1[[#This Row],[CountryCode]],[1]!Table1[#Data],4,FALSE)</f>
        <v>#REF!</v>
      </c>
    </row>
    <row r="3236" spans="1:12" hidden="1" x14ac:dyDescent="0.3">
      <c r="A3236" t="s">
        <v>61</v>
      </c>
      <c r="B3236" t="s">
        <v>62</v>
      </c>
      <c r="C3236" t="s">
        <v>125</v>
      </c>
      <c r="D3236" t="s">
        <v>126</v>
      </c>
      <c r="E3236">
        <v>2012</v>
      </c>
      <c r="F3236" s="1">
        <v>5</v>
      </c>
      <c r="G3236">
        <v>2010</v>
      </c>
      <c r="H3236">
        <f>AVERAGEIFS(Table1[value],Table1[IndicatorCode],Table1[[#This Row],[IndicatorCode]])</f>
        <v>7.6894248608534319</v>
      </c>
      <c r="I3236" cm="1">
        <f t="array" ref="I3236">_xlfn.STDEV.P(IF(Table1[IndicatorCode]=Table1[[#This Row],[IndicatorCode]],Table1[value]))</f>
        <v>5.2319501044600996</v>
      </c>
      <c r="J3236">
        <f>(Table1[[#This Row],[value]] - Table1[[#This Row],[mean]]) / Table1[[#This Row],[std_dev]]</f>
        <v>-0.51403870586624445</v>
      </c>
      <c r="K3236">
        <f>AVERAGEIF(Table1[CountryCode],Table1[[#This Row],[CountryCode]],Table1[z-score])</f>
        <v>-0.27867415315004246</v>
      </c>
      <c r="L3236" t="e">
        <f>VLOOKUP(Table1[[#This Row],[CountryCode]],[1]!Table1[#Data],4,FALSE)</f>
        <v>#REF!</v>
      </c>
    </row>
    <row r="3237" spans="1:12" hidden="1" x14ac:dyDescent="0.3">
      <c r="A3237" t="s">
        <v>61</v>
      </c>
      <c r="B3237" t="s">
        <v>62</v>
      </c>
      <c r="C3237" t="s">
        <v>125</v>
      </c>
      <c r="D3237" t="s">
        <v>126</v>
      </c>
      <c r="E3237">
        <v>2013</v>
      </c>
      <c r="F3237" s="1">
        <v>5</v>
      </c>
      <c r="G3237">
        <v>2010</v>
      </c>
      <c r="H3237">
        <f>AVERAGEIFS(Table1[value],Table1[IndicatorCode],Table1[[#This Row],[IndicatorCode]])</f>
        <v>7.6894248608534319</v>
      </c>
      <c r="I3237" cm="1">
        <f t="array" ref="I3237">_xlfn.STDEV.P(IF(Table1[IndicatorCode]=Table1[[#This Row],[IndicatorCode]],Table1[value]))</f>
        <v>5.2319501044600996</v>
      </c>
      <c r="J3237">
        <f>(Table1[[#This Row],[value]] - Table1[[#This Row],[mean]]) / Table1[[#This Row],[std_dev]]</f>
        <v>-0.51403870586624445</v>
      </c>
      <c r="K3237">
        <f>AVERAGEIF(Table1[CountryCode],Table1[[#This Row],[CountryCode]],Table1[z-score])</f>
        <v>-0.27867415315004246</v>
      </c>
      <c r="L3237" t="e">
        <f>VLOOKUP(Table1[[#This Row],[CountryCode]],[1]!Table1[#Data],4,FALSE)</f>
        <v>#REF!</v>
      </c>
    </row>
    <row r="3238" spans="1:12" hidden="1" x14ac:dyDescent="0.3">
      <c r="A3238" t="s">
        <v>61</v>
      </c>
      <c r="B3238" t="s">
        <v>62</v>
      </c>
      <c r="C3238" t="s">
        <v>125</v>
      </c>
      <c r="D3238" t="s">
        <v>126</v>
      </c>
      <c r="E3238">
        <v>2014</v>
      </c>
      <c r="F3238" s="1">
        <v>5</v>
      </c>
      <c r="G3238">
        <v>2010</v>
      </c>
      <c r="H3238">
        <f>AVERAGEIFS(Table1[value],Table1[IndicatorCode],Table1[[#This Row],[IndicatorCode]])</f>
        <v>7.6894248608534319</v>
      </c>
      <c r="I3238" cm="1">
        <f t="array" ref="I3238">_xlfn.STDEV.P(IF(Table1[IndicatorCode]=Table1[[#This Row],[IndicatorCode]],Table1[value]))</f>
        <v>5.2319501044600996</v>
      </c>
      <c r="J3238">
        <f>(Table1[[#This Row],[value]] - Table1[[#This Row],[mean]]) / Table1[[#This Row],[std_dev]]</f>
        <v>-0.51403870586624445</v>
      </c>
      <c r="K3238">
        <f>AVERAGEIF(Table1[CountryCode],Table1[[#This Row],[CountryCode]],Table1[z-score])</f>
        <v>-0.27867415315004246</v>
      </c>
      <c r="L3238" t="e">
        <f>VLOOKUP(Table1[[#This Row],[CountryCode]],[1]!Table1[#Data],4,FALSE)</f>
        <v>#REF!</v>
      </c>
    </row>
    <row r="3239" spans="1:12" hidden="1" x14ac:dyDescent="0.3">
      <c r="A3239" t="s">
        <v>61</v>
      </c>
      <c r="B3239" t="s">
        <v>62</v>
      </c>
      <c r="C3239" t="s">
        <v>125</v>
      </c>
      <c r="D3239" t="s">
        <v>126</v>
      </c>
      <c r="E3239">
        <v>2015</v>
      </c>
      <c r="F3239" s="1">
        <v>5</v>
      </c>
      <c r="G3239">
        <v>2010</v>
      </c>
      <c r="H3239">
        <f>AVERAGEIFS(Table1[value],Table1[IndicatorCode],Table1[[#This Row],[IndicatorCode]])</f>
        <v>7.6894248608534319</v>
      </c>
      <c r="I3239" cm="1">
        <f t="array" ref="I3239">_xlfn.STDEV.P(IF(Table1[IndicatorCode]=Table1[[#This Row],[IndicatorCode]],Table1[value]))</f>
        <v>5.2319501044600996</v>
      </c>
      <c r="J3239">
        <f>(Table1[[#This Row],[value]] - Table1[[#This Row],[mean]]) / Table1[[#This Row],[std_dev]]</f>
        <v>-0.51403870586624445</v>
      </c>
      <c r="K3239">
        <f>AVERAGEIF(Table1[CountryCode],Table1[[#This Row],[CountryCode]],Table1[z-score])</f>
        <v>-0.27867415315004246</v>
      </c>
      <c r="L3239" t="e">
        <f>VLOOKUP(Table1[[#This Row],[CountryCode]],[1]!Table1[#Data],4,FALSE)</f>
        <v>#REF!</v>
      </c>
    </row>
    <row r="3240" spans="1:12" hidden="1" x14ac:dyDescent="0.3">
      <c r="A3240" t="s">
        <v>61</v>
      </c>
      <c r="B3240" t="s">
        <v>62</v>
      </c>
      <c r="C3240" t="s">
        <v>125</v>
      </c>
      <c r="D3240" t="s">
        <v>126</v>
      </c>
      <c r="E3240">
        <v>2016</v>
      </c>
      <c r="F3240" s="1">
        <v>5</v>
      </c>
      <c r="G3240">
        <v>2010</v>
      </c>
      <c r="H3240">
        <f>AVERAGEIFS(Table1[value],Table1[IndicatorCode],Table1[[#This Row],[IndicatorCode]])</f>
        <v>7.6894248608534319</v>
      </c>
      <c r="I3240" cm="1">
        <f t="array" ref="I3240">_xlfn.STDEV.P(IF(Table1[IndicatorCode]=Table1[[#This Row],[IndicatorCode]],Table1[value]))</f>
        <v>5.2319501044600996</v>
      </c>
      <c r="J3240">
        <f>(Table1[[#This Row],[value]] - Table1[[#This Row],[mean]]) / Table1[[#This Row],[std_dev]]</f>
        <v>-0.51403870586624445</v>
      </c>
      <c r="K3240">
        <f>AVERAGEIF(Table1[CountryCode],Table1[[#This Row],[CountryCode]],Table1[z-score])</f>
        <v>-0.27867415315004246</v>
      </c>
      <c r="L3240" t="e">
        <f>VLOOKUP(Table1[[#This Row],[CountryCode]],[1]!Table1[#Data],4,FALSE)</f>
        <v>#REF!</v>
      </c>
    </row>
    <row r="3241" spans="1:12" hidden="1" x14ac:dyDescent="0.3">
      <c r="A3241" t="s">
        <v>61</v>
      </c>
      <c r="B3241" t="s">
        <v>62</v>
      </c>
      <c r="C3241" t="s">
        <v>125</v>
      </c>
      <c r="D3241" t="s">
        <v>126</v>
      </c>
      <c r="E3241">
        <v>2017</v>
      </c>
      <c r="F3241" s="1">
        <v>5</v>
      </c>
      <c r="G3241">
        <v>2020</v>
      </c>
      <c r="H3241">
        <f>AVERAGEIFS(Table1[value],Table1[IndicatorCode],Table1[[#This Row],[IndicatorCode]])</f>
        <v>7.6894248608534319</v>
      </c>
      <c r="I3241" cm="1">
        <f t="array" ref="I3241">_xlfn.STDEV.P(IF(Table1[IndicatorCode]=Table1[[#This Row],[IndicatorCode]],Table1[value]))</f>
        <v>5.2319501044600996</v>
      </c>
      <c r="J3241">
        <f>(Table1[[#This Row],[value]] - Table1[[#This Row],[mean]]) / Table1[[#This Row],[std_dev]]</f>
        <v>-0.51403870586624445</v>
      </c>
      <c r="K3241">
        <f>AVERAGEIF(Table1[CountryCode],Table1[[#This Row],[CountryCode]],Table1[z-score])</f>
        <v>-0.27867415315004246</v>
      </c>
      <c r="L3241" t="e">
        <f>VLOOKUP(Table1[[#This Row],[CountryCode]],[1]!Table1[#Data],4,FALSE)</f>
        <v>#REF!</v>
      </c>
    </row>
    <row r="3242" spans="1:12" hidden="1" x14ac:dyDescent="0.3">
      <c r="A3242" t="s">
        <v>61</v>
      </c>
      <c r="B3242" t="s">
        <v>62</v>
      </c>
      <c r="C3242" t="s">
        <v>125</v>
      </c>
      <c r="D3242" t="s">
        <v>126</v>
      </c>
      <c r="E3242">
        <v>2018</v>
      </c>
      <c r="F3242" s="1">
        <v>5</v>
      </c>
      <c r="G3242">
        <v>2020</v>
      </c>
      <c r="H3242">
        <f>AVERAGEIFS(Table1[value],Table1[IndicatorCode],Table1[[#This Row],[IndicatorCode]])</f>
        <v>7.6894248608534319</v>
      </c>
      <c r="I3242" cm="1">
        <f t="array" ref="I3242">_xlfn.STDEV.P(IF(Table1[IndicatorCode]=Table1[[#This Row],[IndicatorCode]],Table1[value]))</f>
        <v>5.2319501044600996</v>
      </c>
      <c r="J3242">
        <f>(Table1[[#This Row],[value]] - Table1[[#This Row],[mean]]) / Table1[[#This Row],[std_dev]]</f>
        <v>-0.51403870586624445</v>
      </c>
      <c r="K3242">
        <f>AVERAGEIF(Table1[CountryCode],Table1[[#This Row],[CountryCode]],Table1[z-score])</f>
        <v>-0.27867415315004246</v>
      </c>
      <c r="L3242" t="e">
        <f>VLOOKUP(Table1[[#This Row],[CountryCode]],[1]!Table1[#Data],4,FALSE)</f>
        <v>#REF!</v>
      </c>
    </row>
    <row r="3243" spans="1:12" hidden="1" x14ac:dyDescent="0.3">
      <c r="A3243" t="s">
        <v>61</v>
      </c>
      <c r="B3243" t="s">
        <v>62</v>
      </c>
      <c r="C3243" t="s">
        <v>125</v>
      </c>
      <c r="D3243" t="s">
        <v>126</v>
      </c>
      <c r="E3243">
        <v>2019</v>
      </c>
      <c r="F3243" s="1">
        <v>5</v>
      </c>
      <c r="G3243">
        <v>2020</v>
      </c>
      <c r="H3243">
        <f>AVERAGEIFS(Table1[value],Table1[IndicatorCode],Table1[[#This Row],[IndicatorCode]])</f>
        <v>7.6894248608534319</v>
      </c>
      <c r="I3243" cm="1">
        <f t="array" ref="I3243">_xlfn.STDEV.P(IF(Table1[IndicatorCode]=Table1[[#This Row],[IndicatorCode]],Table1[value]))</f>
        <v>5.2319501044600996</v>
      </c>
      <c r="J3243">
        <f>(Table1[[#This Row],[value]] - Table1[[#This Row],[mean]]) / Table1[[#This Row],[std_dev]]</f>
        <v>-0.51403870586624445</v>
      </c>
      <c r="K3243">
        <f>AVERAGEIF(Table1[CountryCode],Table1[[#This Row],[CountryCode]],Table1[z-score])</f>
        <v>-0.27867415315004246</v>
      </c>
      <c r="L3243" t="e">
        <f>VLOOKUP(Table1[[#This Row],[CountryCode]],[1]!Table1[#Data],4,FALSE)</f>
        <v>#REF!</v>
      </c>
    </row>
    <row r="3244" spans="1:12" x14ac:dyDescent="0.3">
      <c r="A3244" t="s">
        <v>61</v>
      </c>
      <c r="B3244" t="s">
        <v>62</v>
      </c>
      <c r="C3244" t="s">
        <v>125</v>
      </c>
      <c r="D3244" t="s">
        <v>126</v>
      </c>
      <c r="E3244">
        <v>2020</v>
      </c>
      <c r="F3244" s="1">
        <v>5</v>
      </c>
      <c r="G3244">
        <v>2020</v>
      </c>
      <c r="H3244">
        <f>AVERAGEIFS(Table1[value],Table1[IndicatorCode],Table1[[#This Row],[IndicatorCode]])</f>
        <v>7.6894248608534319</v>
      </c>
      <c r="I3244" cm="1">
        <f t="array" ref="I3244">_xlfn.STDEV.P(IF(Table1[IndicatorCode]=Table1[[#This Row],[IndicatorCode]],Table1[value]))</f>
        <v>5.2319501044600996</v>
      </c>
      <c r="J3244">
        <f>(Table1[[#This Row],[value]] - Table1[[#This Row],[mean]]) / Table1[[#This Row],[std_dev]]</f>
        <v>-0.51403870586624445</v>
      </c>
      <c r="K3244">
        <f>AVERAGEIF(Table1[CountryCode],Table1[[#This Row],[CountryCode]],Table1[z-score])</f>
        <v>-0.27867415315004246</v>
      </c>
    </row>
    <row r="3245" spans="1:12" hidden="1" x14ac:dyDescent="0.3">
      <c r="A3245" t="s">
        <v>61</v>
      </c>
      <c r="B3245" t="s">
        <v>62</v>
      </c>
      <c r="C3245" t="s">
        <v>125</v>
      </c>
      <c r="D3245" t="s">
        <v>126</v>
      </c>
      <c r="E3245">
        <v>2021</v>
      </c>
      <c r="F3245" s="1">
        <v>5</v>
      </c>
      <c r="G3245">
        <v>2020</v>
      </c>
      <c r="H3245">
        <f>AVERAGEIFS(Table1[value],Table1[IndicatorCode],Table1[[#This Row],[IndicatorCode]])</f>
        <v>7.6894248608534319</v>
      </c>
      <c r="I3245" cm="1">
        <f t="array" ref="I3245">_xlfn.STDEV.P(IF(Table1[IndicatorCode]=Table1[[#This Row],[IndicatorCode]],Table1[value]))</f>
        <v>5.2319501044600996</v>
      </c>
      <c r="J3245">
        <f>(Table1[[#This Row],[value]] - Table1[[#This Row],[mean]]) / Table1[[#This Row],[std_dev]]</f>
        <v>-0.51403870586624445</v>
      </c>
      <c r="K3245">
        <f>AVERAGEIF(Table1[CountryCode],Table1[[#This Row],[CountryCode]],Table1[z-score])</f>
        <v>-0.27867415315004246</v>
      </c>
      <c r="L3245" t="e">
        <f>VLOOKUP(Table1[[#This Row],[CountryCode]],[1]!Table1[#Data],4,FALSE)</f>
        <v>#REF!</v>
      </c>
    </row>
    <row r="3246" spans="1:12" hidden="1" x14ac:dyDescent="0.3">
      <c r="A3246" t="s">
        <v>61</v>
      </c>
      <c r="B3246" t="s">
        <v>62</v>
      </c>
      <c r="C3246" t="s">
        <v>125</v>
      </c>
      <c r="D3246" t="s">
        <v>126</v>
      </c>
      <c r="E3246">
        <v>2022</v>
      </c>
      <c r="F3246" s="1">
        <v>5</v>
      </c>
      <c r="G3246">
        <v>1970</v>
      </c>
      <c r="H3246">
        <f>AVERAGEIFS(Table1[value],Table1[IndicatorCode],Table1[[#This Row],[IndicatorCode]])</f>
        <v>7.6894248608534319</v>
      </c>
      <c r="I3246" cm="1">
        <f t="array" ref="I3246">_xlfn.STDEV.P(IF(Table1[IndicatorCode]=Table1[[#This Row],[IndicatorCode]],Table1[value]))</f>
        <v>5.2319501044600996</v>
      </c>
      <c r="J3246">
        <f>(Table1[[#This Row],[value]] - Table1[[#This Row],[mean]]) / Table1[[#This Row],[std_dev]]</f>
        <v>-0.51403870586624445</v>
      </c>
      <c r="K3246">
        <f>AVERAGEIF(Table1[CountryCode],Table1[[#This Row],[CountryCode]],Table1[z-score])</f>
        <v>-0.27867415315004246</v>
      </c>
      <c r="L3246" t="e">
        <f>VLOOKUP(Table1[[#This Row],[CountryCode]],[1]!Table1[#Data],4,FALSE)</f>
        <v>#REF!</v>
      </c>
    </row>
    <row r="3247" spans="1:12" hidden="1" x14ac:dyDescent="0.3">
      <c r="A3247" t="s">
        <v>61</v>
      </c>
      <c r="B3247" t="s">
        <v>62</v>
      </c>
      <c r="C3247" t="s">
        <v>125</v>
      </c>
      <c r="D3247" t="s">
        <v>126</v>
      </c>
      <c r="E3247">
        <v>2023</v>
      </c>
      <c r="F3247" s="1">
        <v>4</v>
      </c>
      <c r="G3247">
        <v>1970</v>
      </c>
      <c r="H3247">
        <f>AVERAGEIFS(Table1[value],Table1[IndicatorCode],Table1[[#This Row],[IndicatorCode]])</f>
        <v>7.6894248608534319</v>
      </c>
      <c r="I3247" cm="1">
        <f t="array" ref="I3247">_xlfn.STDEV.P(IF(Table1[IndicatorCode]=Table1[[#This Row],[IndicatorCode]],Table1[value]))</f>
        <v>5.2319501044600996</v>
      </c>
      <c r="J3247">
        <f>(Table1[[#This Row],[value]] - Table1[[#This Row],[mean]]) / Table1[[#This Row],[std_dev]]</f>
        <v>-0.7051720271010028</v>
      </c>
      <c r="K3247">
        <f>AVERAGEIF(Table1[CountryCode],Table1[[#This Row],[CountryCode]],Table1[z-score])</f>
        <v>-0.27867415315004246</v>
      </c>
      <c r="L3247" t="e">
        <f>VLOOKUP(Table1[[#This Row],[CountryCode]],[1]!Table1[#Data],4,FALSE)</f>
        <v>#REF!</v>
      </c>
    </row>
    <row r="3248" spans="1:12" hidden="1" x14ac:dyDescent="0.3">
      <c r="A3248" t="s">
        <v>61</v>
      </c>
      <c r="B3248" t="s">
        <v>62</v>
      </c>
      <c r="C3248" t="s">
        <v>125</v>
      </c>
      <c r="D3248" t="s">
        <v>126</v>
      </c>
      <c r="E3248">
        <v>2024</v>
      </c>
      <c r="F3248" s="1">
        <v>4</v>
      </c>
      <c r="G3248">
        <v>1970</v>
      </c>
      <c r="H3248">
        <f>AVERAGEIFS(Table1[value],Table1[IndicatorCode],Table1[[#This Row],[IndicatorCode]])</f>
        <v>7.6894248608534319</v>
      </c>
      <c r="I3248" cm="1">
        <f t="array" ref="I3248">_xlfn.STDEV.P(IF(Table1[IndicatorCode]=Table1[[#This Row],[IndicatorCode]],Table1[value]))</f>
        <v>5.2319501044600996</v>
      </c>
      <c r="J3248">
        <f>(Table1[[#This Row],[value]] - Table1[[#This Row],[mean]]) / Table1[[#This Row],[std_dev]]</f>
        <v>-0.7051720271010028</v>
      </c>
      <c r="K3248">
        <f>AVERAGEIF(Table1[CountryCode],Table1[[#This Row],[CountryCode]],Table1[z-score])</f>
        <v>-0.27867415315004246</v>
      </c>
      <c r="L3248" t="e">
        <f>VLOOKUP(Table1[[#This Row],[CountryCode]],[1]!Table1[#Data],4,FALSE)</f>
        <v>#REF!</v>
      </c>
    </row>
    <row r="3249" spans="1:12" hidden="1" x14ac:dyDescent="0.3">
      <c r="A3249" t="s">
        <v>65</v>
      </c>
      <c r="B3249" t="s">
        <v>66</v>
      </c>
      <c r="C3249" t="s">
        <v>125</v>
      </c>
      <c r="D3249" t="s">
        <v>126</v>
      </c>
      <c r="E3249">
        <v>1970</v>
      </c>
      <c r="F3249" s="1">
        <v>7</v>
      </c>
      <c r="G3249">
        <v>1970</v>
      </c>
      <c r="H3249">
        <f>AVERAGEIFS(Table1[value],Table1[IndicatorCode],Table1[[#This Row],[IndicatorCode]])</f>
        <v>7.6894248608534319</v>
      </c>
      <c r="I3249" cm="1">
        <f t="array" ref="I3249">_xlfn.STDEV.P(IF(Table1[IndicatorCode]=Table1[[#This Row],[IndicatorCode]],Table1[value]))</f>
        <v>5.2319501044600996</v>
      </c>
      <c r="J3249">
        <f>(Table1[[#This Row],[value]] - Table1[[#This Row],[mean]]) / Table1[[#This Row],[std_dev]]</f>
        <v>-0.13177206339672762</v>
      </c>
      <c r="K3249">
        <f>AVERAGEIF(Table1[CountryCode],Table1[[#This Row],[CountryCode]],Table1[z-score])</f>
        <v>0.33171547334985529</v>
      </c>
      <c r="L3249" t="e">
        <f>VLOOKUP(Table1[[#This Row],[CountryCode]],[1]!Table1[#Data],4,FALSE)</f>
        <v>#REF!</v>
      </c>
    </row>
    <row r="3250" spans="1:12" hidden="1" x14ac:dyDescent="0.3">
      <c r="A3250" t="s">
        <v>65</v>
      </c>
      <c r="B3250" t="s">
        <v>66</v>
      </c>
      <c r="C3250" t="s">
        <v>125</v>
      </c>
      <c r="D3250" t="s">
        <v>126</v>
      </c>
      <c r="E3250">
        <v>1971</v>
      </c>
      <c r="F3250" s="1">
        <v>8</v>
      </c>
      <c r="G3250">
        <v>1970</v>
      </c>
      <c r="H3250">
        <f>AVERAGEIFS(Table1[value],Table1[IndicatorCode],Table1[[#This Row],[IndicatorCode]])</f>
        <v>7.6894248608534319</v>
      </c>
      <c r="I3250" cm="1">
        <f t="array" ref="I3250">_xlfn.STDEV.P(IF(Table1[IndicatorCode]=Table1[[#This Row],[IndicatorCode]],Table1[value]))</f>
        <v>5.2319501044600996</v>
      </c>
      <c r="J3250">
        <f>(Table1[[#This Row],[value]] - Table1[[#This Row],[mean]]) / Table1[[#This Row],[std_dev]]</f>
        <v>5.9361257838030791E-2</v>
      </c>
      <c r="K3250">
        <f>AVERAGEIF(Table1[CountryCode],Table1[[#This Row],[CountryCode]],Table1[z-score])</f>
        <v>0.33171547334985529</v>
      </c>
      <c r="L3250" t="e">
        <f>VLOOKUP(Table1[[#This Row],[CountryCode]],[1]!Table1[#Data],4,FALSE)</f>
        <v>#REF!</v>
      </c>
    </row>
    <row r="3251" spans="1:12" hidden="1" x14ac:dyDescent="0.3">
      <c r="A3251" t="s">
        <v>65</v>
      </c>
      <c r="B3251" t="s">
        <v>66</v>
      </c>
      <c r="C3251" t="s">
        <v>125</v>
      </c>
      <c r="D3251" t="s">
        <v>126</v>
      </c>
      <c r="E3251">
        <v>1972</v>
      </c>
      <c r="F3251" s="1">
        <v>7</v>
      </c>
      <c r="G3251">
        <v>1970</v>
      </c>
      <c r="H3251">
        <f>AVERAGEIFS(Table1[value],Table1[IndicatorCode],Table1[[#This Row],[IndicatorCode]])</f>
        <v>7.6894248608534319</v>
      </c>
      <c r="I3251" cm="1">
        <f t="array" ref="I3251">_xlfn.STDEV.P(IF(Table1[IndicatorCode]=Table1[[#This Row],[IndicatorCode]],Table1[value]))</f>
        <v>5.2319501044600996</v>
      </c>
      <c r="J3251">
        <f>(Table1[[#This Row],[value]] - Table1[[#This Row],[mean]]) / Table1[[#This Row],[std_dev]]</f>
        <v>-0.13177206339672762</v>
      </c>
      <c r="K3251">
        <f>AVERAGEIF(Table1[CountryCode],Table1[[#This Row],[CountryCode]],Table1[z-score])</f>
        <v>0.33171547334985529</v>
      </c>
      <c r="L3251" t="e">
        <f>VLOOKUP(Table1[[#This Row],[CountryCode]],[1]!Table1[#Data],4,FALSE)</f>
        <v>#REF!</v>
      </c>
    </row>
    <row r="3252" spans="1:12" hidden="1" x14ac:dyDescent="0.3">
      <c r="A3252" t="s">
        <v>65</v>
      </c>
      <c r="B3252" t="s">
        <v>66</v>
      </c>
      <c r="C3252" t="s">
        <v>125</v>
      </c>
      <c r="D3252" t="s">
        <v>126</v>
      </c>
      <c r="E3252">
        <v>1973</v>
      </c>
      <c r="F3252" s="1">
        <v>7</v>
      </c>
      <c r="G3252">
        <v>1970</v>
      </c>
      <c r="H3252">
        <f>AVERAGEIFS(Table1[value],Table1[IndicatorCode],Table1[[#This Row],[IndicatorCode]])</f>
        <v>7.6894248608534319</v>
      </c>
      <c r="I3252" cm="1">
        <f t="array" ref="I3252">_xlfn.STDEV.P(IF(Table1[IndicatorCode]=Table1[[#This Row],[IndicatorCode]],Table1[value]))</f>
        <v>5.2319501044600996</v>
      </c>
      <c r="J3252">
        <f>(Table1[[#This Row],[value]] - Table1[[#This Row],[mean]]) / Table1[[#This Row],[std_dev]]</f>
        <v>-0.13177206339672762</v>
      </c>
      <c r="K3252">
        <f>AVERAGEIF(Table1[CountryCode],Table1[[#This Row],[CountryCode]],Table1[z-score])</f>
        <v>0.33171547334985529</v>
      </c>
      <c r="L3252" t="e">
        <f>VLOOKUP(Table1[[#This Row],[CountryCode]],[1]!Table1[#Data],4,FALSE)</f>
        <v>#REF!</v>
      </c>
    </row>
    <row r="3253" spans="1:12" hidden="1" x14ac:dyDescent="0.3">
      <c r="A3253" t="s">
        <v>65</v>
      </c>
      <c r="B3253" t="s">
        <v>66</v>
      </c>
      <c r="C3253" t="s">
        <v>125</v>
      </c>
      <c r="D3253" t="s">
        <v>126</v>
      </c>
      <c r="E3253">
        <v>1974</v>
      </c>
      <c r="F3253" s="1">
        <v>8</v>
      </c>
      <c r="G3253">
        <v>1970</v>
      </c>
      <c r="H3253">
        <f>AVERAGEIFS(Table1[value],Table1[IndicatorCode],Table1[[#This Row],[IndicatorCode]])</f>
        <v>7.6894248608534319</v>
      </c>
      <c r="I3253" cm="1">
        <f t="array" ref="I3253">_xlfn.STDEV.P(IF(Table1[IndicatorCode]=Table1[[#This Row],[IndicatorCode]],Table1[value]))</f>
        <v>5.2319501044600996</v>
      </c>
      <c r="J3253">
        <f>(Table1[[#This Row],[value]] - Table1[[#This Row],[mean]]) / Table1[[#This Row],[std_dev]]</f>
        <v>5.9361257838030791E-2</v>
      </c>
      <c r="K3253">
        <f>AVERAGEIF(Table1[CountryCode],Table1[[#This Row],[CountryCode]],Table1[z-score])</f>
        <v>0.33171547334985529</v>
      </c>
      <c r="L3253" t="e">
        <f>VLOOKUP(Table1[[#This Row],[CountryCode]],[1]!Table1[#Data],4,FALSE)</f>
        <v>#REF!</v>
      </c>
    </row>
    <row r="3254" spans="1:12" hidden="1" x14ac:dyDescent="0.3">
      <c r="A3254" t="s">
        <v>65</v>
      </c>
      <c r="B3254" t="s">
        <v>66</v>
      </c>
      <c r="C3254" t="s">
        <v>125</v>
      </c>
      <c r="D3254" t="s">
        <v>126</v>
      </c>
      <c r="E3254">
        <v>1975</v>
      </c>
      <c r="F3254" s="1">
        <v>7</v>
      </c>
      <c r="G3254">
        <v>1970</v>
      </c>
      <c r="H3254">
        <f>AVERAGEIFS(Table1[value],Table1[IndicatorCode],Table1[[#This Row],[IndicatorCode]])</f>
        <v>7.6894248608534319</v>
      </c>
      <c r="I3254" cm="1">
        <f t="array" ref="I3254">_xlfn.STDEV.P(IF(Table1[IndicatorCode]=Table1[[#This Row],[IndicatorCode]],Table1[value]))</f>
        <v>5.2319501044600996</v>
      </c>
      <c r="J3254">
        <f>(Table1[[#This Row],[value]] - Table1[[#This Row],[mean]]) / Table1[[#This Row],[std_dev]]</f>
        <v>-0.13177206339672762</v>
      </c>
      <c r="K3254">
        <f>AVERAGEIF(Table1[CountryCode],Table1[[#This Row],[CountryCode]],Table1[z-score])</f>
        <v>0.33171547334985529</v>
      </c>
      <c r="L3254" t="e">
        <f>VLOOKUP(Table1[[#This Row],[CountryCode]],[1]!Table1[#Data],4,FALSE)</f>
        <v>#REF!</v>
      </c>
    </row>
    <row r="3255" spans="1:12" hidden="1" x14ac:dyDescent="0.3">
      <c r="A3255" t="s">
        <v>65</v>
      </c>
      <c r="B3255" t="s">
        <v>66</v>
      </c>
      <c r="C3255" t="s">
        <v>125</v>
      </c>
      <c r="D3255" t="s">
        <v>126</v>
      </c>
      <c r="E3255">
        <v>1976</v>
      </c>
      <c r="F3255" s="1">
        <v>7</v>
      </c>
      <c r="G3255">
        <v>1970</v>
      </c>
      <c r="H3255">
        <f>AVERAGEIFS(Table1[value],Table1[IndicatorCode],Table1[[#This Row],[IndicatorCode]])</f>
        <v>7.6894248608534319</v>
      </c>
      <c r="I3255" cm="1">
        <f t="array" ref="I3255">_xlfn.STDEV.P(IF(Table1[IndicatorCode]=Table1[[#This Row],[IndicatorCode]],Table1[value]))</f>
        <v>5.2319501044600996</v>
      </c>
      <c r="J3255">
        <f>(Table1[[#This Row],[value]] - Table1[[#This Row],[mean]]) / Table1[[#This Row],[std_dev]]</f>
        <v>-0.13177206339672762</v>
      </c>
      <c r="K3255">
        <f>AVERAGEIF(Table1[CountryCode],Table1[[#This Row],[CountryCode]],Table1[z-score])</f>
        <v>0.33171547334985529</v>
      </c>
      <c r="L3255" t="e">
        <f>VLOOKUP(Table1[[#This Row],[CountryCode]],[1]!Table1[#Data],4,FALSE)</f>
        <v>#REF!</v>
      </c>
    </row>
    <row r="3256" spans="1:12" hidden="1" x14ac:dyDescent="0.3">
      <c r="A3256" t="s">
        <v>65</v>
      </c>
      <c r="B3256" t="s">
        <v>66</v>
      </c>
      <c r="C3256" t="s">
        <v>125</v>
      </c>
      <c r="D3256" t="s">
        <v>126</v>
      </c>
      <c r="E3256">
        <v>1977</v>
      </c>
      <c r="F3256" s="1">
        <v>8</v>
      </c>
      <c r="G3256">
        <v>1980</v>
      </c>
      <c r="H3256">
        <f>AVERAGEIFS(Table1[value],Table1[IndicatorCode],Table1[[#This Row],[IndicatorCode]])</f>
        <v>7.6894248608534319</v>
      </c>
      <c r="I3256" cm="1">
        <f t="array" ref="I3256">_xlfn.STDEV.P(IF(Table1[IndicatorCode]=Table1[[#This Row],[IndicatorCode]],Table1[value]))</f>
        <v>5.2319501044600996</v>
      </c>
      <c r="J3256">
        <f>(Table1[[#This Row],[value]] - Table1[[#This Row],[mean]]) / Table1[[#This Row],[std_dev]]</f>
        <v>5.9361257838030791E-2</v>
      </c>
      <c r="K3256">
        <f>AVERAGEIF(Table1[CountryCode],Table1[[#This Row],[CountryCode]],Table1[z-score])</f>
        <v>0.33171547334985529</v>
      </c>
      <c r="L3256" t="e">
        <f>VLOOKUP(Table1[[#This Row],[CountryCode]],[1]!Table1[#Data],4,FALSE)</f>
        <v>#REF!</v>
      </c>
    </row>
    <row r="3257" spans="1:12" hidden="1" x14ac:dyDescent="0.3">
      <c r="A3257" t="s">
        <v>65</v>
      </c>
      <c r="B3257" t="s">
        <v>66</v>
      </c>
      <c r="C3257" t="s">
        <v>125</v>
      </c>
      <c r="D3257" t="s">
        <v>126</v>
      </c>
      <c r="E3257">
        <v>1978</v>
      </c>
      <c r="F3257" s="1">
        <v>7</v>
      </c>
      <c r="G3257">
        <v>1980</v>
      </c>
      <c r="H3257">
        <f>AVERAGEIFS(Table1[value],Table1[IndicatorCode],Table1[[#This Row],[IndicatorCode]])</f>
        <v>7.6894248608534319</v>
      </c>
      <c r="I3257" cm="1">
        <f t="array" ref="I3257">_xlfn.STDEV.P(IF(Table1[IndicatorCode]=Table1[[#This Row],[IndicatorCode]],Table1[value]))</f>
        <v>5.2319501044600996</v>
      </c>
      <c r="J3257">
        <f>(Table1[[#This Row],[value]] - Table1[[#This Row],[mean]]) / Table1[[#This Row],[std_dev]]</f>
        <v>-0.13177206339672762</v>
      </c>
      <c r="K3257">
        <f>AVERAGEIF(Table1[CountryCode],Table1[[#This Row],[CountryCode]],Table1[z-score])</f>
        <v>0.33171547334985529</v>
      </c>
      <c r="L3257" t="e">
        <f>VLOOKUP(Table1[[#This Row],[CountryCode]],[1]!Table1[#Data],4,FALSE)</f>
        <v>#REF!</v>
      </c>
    </row>
    <row r="3258" spans="1:12" hidden="1" x14ac:dyDescent="0.3">
      <c r="A3258" t="s">
        <v>65</v>
      </c>
      <c r="B3258" t="s">
        <v>66</v>
      </c>
      <c r="C3258" t="s">
        <v>125</v>
      </c>
      <c r="D3258" t="s">
        <v>126</v>
      </c>
      <c r="E3258">
        <v>1979</v>
      </c>
      <c r="F3258" s="1">
        <v>9</v>
      </c>
      <c r="G3258">
        <v>1980</v>
      </c>
      <c r="H3258">
        <f>AVERAGEIFS(Table1[value],Table1[IndicatorCode],Table1[[#This Row],[IndicatorCode]])</f>
        <v>7.6894248608534319</v>
      </c>
      <c r="I3258" cm="1">
        <f t="array" ref="I3258">_xlfn.STDEV.P(IF(Table1[IndicatorCode]=Table1[[#This Row],[IndicatorCode]],Table1[value]))</f>
        <v>5.2319501044600996</v>
      </c>
      <c r="J3258">
        <f>(Table1[[#This Row],[value]] - Table1[[#This Row],[mean]]) / Table1[[#This Row],[std_dev]]</f>
        <v>0.25049457907278921</v>
      </c>
      <c r="K3258">
        <f>AVERAGEIF(Table1[CountryCode],Table1[[#This Row],[CountryCode]],Table1[z-score])</f>
        <v>0.33171547334985529</v>
      </c>
      <c r="L3258" t="e">
        <f>VLOOKUP(Table1[[#This Row],[CountryCode]],[1]!Table1[#Data],4,FALSE)</f>
        <v>#REF!</v>
      </c>
    </row>
    <row r="3259" spans="1:12" hidden="1" x14ac:dyDescent="0.3">
      <c r="A3259" t="s">
        <v>65</v>
      </c>
      <c r="B3259" t="s">
        <v>66</v>
      </c>
      <c r="C3259" t="s">
        <v>125</v>
      </c>
      <c r="D3259" t="s">
        <v>126</v>
      </c>
      <c r="E3259">
        <v>1980</v>
      </c>
      <c r="F3259" s="1">
        <v>8</v>
      </c>
      <c r="G3259">
        <v>1980</v>
      </c>
      <c r="H3259">
        <f>AVERAGEIFS(Table1[value],Table1[IndicatorCode],Table1[[#This Row],[IndicatorCode]])</f>
        <v>7.6894248608534319</v>
      </c>
      <c r="I3259" cm="1">
        <f t="array" ref="I3259">_xlfn.STDEV.P(IF(Table1[IndicatorCode]=Table1[[#This Row],[IndicatorCode]],Table1[value]))</f>
        <v>5.2319501044600996</v>
      </c>
      <c r="J3259">
        <f>(Table1[[#This Row],[value]] - Table1[[#This Row],[mean]]) / Table1[[#This Row],[std_dev]]</f>
        <v>5.9361257838030791E-2</v>
      </c>
      <c r="K3259">
        <f>AVERAGEIF(Table1[CountryCode],Table1[[#This Row],[CountryCode]],Table1[z-score])</f>
        <v>0.33171547334985529</v>
      </c>
      <c r="L3259" t="e">
        <f>VLOOKUP(Table1[[#This Row],[CountryCode]],[1]!Table1[#Data],4,FALSE)</f>
        <v>#REF!</v>
      </c>
    </row>
    <row r="3260" spans="1:12" hidden="1" x14ac:dyDescent="0.3">
      <c r="A3260" t="s">
        <v>65</v>
      </c>
      <c r="B3260" t="s">
        <v>66</v>
      </c>
      <c r="C3260" t="s">
        <v>125</v>
      </c>
      <c r="D3260" t="s">
        <v>126</v>
      </c>
      <c r="E3260">
        <v>1981</v>
      </c>
      <c r="F3260" s="1">
        <v>8</v>
      </c>
      <c r="G3260">
        <v>1980</v>
      </c>
      <c r="H3260">
        <f>AVERAGEIFS(Table1[value],Table1[IndicatorCode],Table1[[#This Row],[IndicatorCode]])</f>
        <v>7.6894248608534319</v>
      </c>
      <c r="I3260" cm="1">
        <f t="array" ref="I3260">_xlfn.STDEV.P(IF(Table1[IndicatorCode]=Table1[[#This Row],[IndicatorCode]],Table1[value]))</f>
        <v>5.2319501044600996</v>
      </c>
      <c r="J3260">
        <f>(Table1[[#This Row],[value]] - Table1[[#This Row],[mean]]) / Table1[[#This Row],[std_dev]]</f>
        <v>5.9361257838030791E-2</v>
      </c>
      <c r="K3260">
        <f>AVERAGEIF(Table1[CountryCode],Table1[[#This Row],[CountryCode]],Table1[z-score])</f>
        <v>0.33171547334985529</v>
      </c>
      <c r="L3260" t="e">
        <f>VLOOKUP(Table1[[#This Row],[CountryCode]],[1]!Table1[#Data],4,FALSE)</f>
        <v>#REF!</v>
      </c>
    </row>
    <row r="3261" spans="1:12" hidden="1" x14ac:dyDescent="0.3">
      <c r="A3261" t="s">
        <v>65</v>
      </c>
      <c r="B3261" t="s">
        <v>66</v>
      </c>
      <c r="C3261" t="s">
        <v>125</v>
      </c>
      <c r="D3261" t="s">
        <v>126</v>
      </c>
      <c r="E3261">
        <v>1982</v>
      </c>
      <c r="F3261" s="1">
        <v>8</v>
      </c>
      <c r="G3261">
        <v>1980</v>
      </c>
      <c r="H3261">
        <f>AVERAGEIFS(Table1[value],Table1[IndicatorCode],Table1[[#This Row],[IndicatorCode]])</f>
        <v>7.6894248608534319</v>
      </c>
      <c r="I3261" cm="1">
        <f t="array" ref="I3261">_xlfn.STDEV.P(IF(Table1[IndicatorCode]=Table1[[#This Row],[IndicatorCode]],Table1[value]))</f>
        <v>5.2319501044600996</v>
      </c>
      <c r="J3261">
        <f>(Table1[[#This Row],[value]] - Table1[[#This Row],[mean]]) / Table1[[#This Row],[std_dev]]</f>
        <v>5.9361257838030791E-2</v>
      </c>
      <c r="K3261">
        <f>AVERAGEIF(Table1[CountryCode],Table1[[#This Row],[CountryCode]],Table1[z-score])</f>
        <v>0.33171547334985529</v>
      </c>
      <c r="L3261" t="e">
        <f>VLOOKUP(Table1[[#This Row],[CountryCode]],[1]!Table1[#Data],4,FALSE)</f>
        <v>#REF!</v>
      </c>
    </row>
    <row r="3262" spans="1:12" hidden="1" x14ac:dyDescent="0.3">
      <c r="A3262" t="s">
        <v>65</v>
      </c>
      <c r="B3262" t="s">
        <v>66</v>
      </c>
      <c r="C3262" t="s">
        <v>125</v>
      </c>
      <c r="D3262" t="s">
        <v>126</v>
      </c>
      <c r="E3262">
        <v>1983</v>
      </c>
      <c r="F3262" s="1">
        <v>8</v>
      </c>
      <c r="G3262">
        <v>1980</v>
      </c>
      <c r="H3262">
        <f>AVERAGEIFS(Table1[value],Table1[IndicatorCode],Table1[[#This Row],[IndicatorCode]])</f>
        <v>7.6894248608534319</v>
      </c>
      <c r="I3262" cm="1">
        <f t="array" ref="I3262">_xlfn.STDEV.P(IF(Table1[IndicatorCode]=Table1[[#This Row],[IndicatorCode]],Table1[value]))</f>
        <v>5.2319501044600996</v>
      </c>
      <c r="J3262">
        <f>(Table1[[#This Row],[value]] - Table1[[#This Row],[mean]]) / Table1[[#This Row],[std_dev]]</f>
        <v>5.9361257838030791E-2</v>
      </c>
      <c r="K3262">
        <f>AVERAGEIF(Table1[CountryCode],Table1[[#This Row],[CountryCode]],Table1[z-score])</f>
        <v>0.33171547334985529</v>
      </c>
      <c r="L3262" t="e">
        <f>VLOOKUP(Table1[[#This Row],[CountryCode]],[1]!Table1[#Data],4,FALSE)</f>
        <v>#REF!</v>
      </c>
    </row>
    <row r="3263" spans="1:12" hidden="1" x14ac:dyDescent="0.3">
      <c r="A3263" t="s">
        <v>65</v>
      </c>
      <c r="B3263" t="s">
        <v>66</v>
      </c>
      <c r="C3263" t="s">
        <v>125</v>
      </c>
      <c r="D3263" t="s">
        <v>126</v>
      </c>
      <c r="E3263">
        <v>1984</v>
      </c>
      <c r="F3263" s="1">
        <v>8</v>
      </c>
      <c r="G3263">
        <v>1980</v>
      </c>
      <c r="H3263">
        <f>AVERAGEIFS(Table1[value],Table1[IndicatorCode],Table1[[#This Row],[IndicatorCode]])</f>
        <v>7.6894248608534319</v>
      </c>
      <c r="I3263" cm="1">
        <f t="array" ref="I3263">_xlfn.STDEV.P(IF(Table1[IndicatorCode]=Table1[[#This Row],[IndicatorCode]],Table1[value]))</f>
        <v>5.2319501044600996</v>
      </c>
      <c r="J3263">
        <f>(Table1[[#This Row],[value]] - Table1[[#This Row],[mean]]) / Table1[[#This Row],[std_dev]]</f>
        <v>5.9361257838030791E-2</v>
      </c>
      <c r="K3263">
        <f>AVERAGEIF(Table1[CountryCode],Table1[[#This Row],[CountryCode]],Table1[z-score])</f>
        <v>0.33171547334985529</v>
      </c>
      <c r="L3263" t="e">
        <f>VLOOKUP(Table1[[#This Row],[CountryCode]],[1]!Table1[#Data],4,FALSE)</f>
        <v>#REF!</v>
      </c>
    </row>
    <row r="3264" spans="1:12" hidden="1" x14ac:dyDescent="0.3">
      <c r="A3264" t="s">
        <v>65</v>
      </c>
      <c r="B3264" t="s">
        <v>66</v>
      </c>
      <c r="C3264" t="s">
        <v>125</v>
      </c>
      <c r="D3264" t="s">
        <v>126</v>
      </c>
      <c r="E3264">
        <v>1985</v>
      </c>
      <c r="F3264" s="1">
        <v>8</v>
      </c>
      <c r="G3264">
        <v>1980</v>
      </c>
      <c r="H3264">
        <f>AVERAGEIFS(Table1[value],Table1[IndicatorCode],Table1[[#This Row],[IndicatorCode]])</f>
        <v>7.6894248608534319</v>
      </c>
      <c r="I3264" cm="1">
        <f t="array" ref="I3264">_xlfn.STDEV.P(IF(Table1[IndicatorCode]=Table1[[#This Row],[IndicatorCode]],Table1[value]))</f>
        <v>5.2319501044600996</v>
      </c>
      <c r="J3264">
        <f>(Table1[[#This Row],[value]] - Table1[[#This Row],[mean]]) / Table1[[#This Row],[std_dev]]</f>
        <v>5.9361257838030791E-2</v>
      </c>
      <c r="K3264">
        <f>AVERAGEIF(Table1[CountryCode],Table1[[#This Row],[CountryCode]],Table1[z-score])</f>
        <v>0.33171547334985529</v>
      </c>
      <c r="L3264" t="e">
        <f>VLOOKUP(Table1[[#This Row],[CountryCode]],[1]!Table1[#Data],4,FALSE)</f>
        <v>#REF!</v>
      </c>
    </row>
    <row r="3265" spans="1:12" hidden="1" x14ac:dyDescent="0.3">
      <c r="A3265" t="s">
        <v>65</v>
      </c>
      <c r="B3265" t="s">
        <v>66</v>
      </c>
      <c r="C3265" t="s">
        <v>125</v>
      </c>
      <c r="D3265" t="s">
        <v>126</v>
      </c>
      <c r="E3265">
        <v>1986</v>
      </c>
      <c r="F3265" s="1">
        <v>8</v>
      </c>
      <c r="G3265">
        <v>1980</v>
      </c>
      <c r="H3265">
        <f>AVERAGEIFS(Table1[value],Table1[IndicatorCode],Table1[[#This Row],[IndicatorCode]])</f>
        <v>7.6894248608534319</v>
      </c>
      <c r="I3265" cm="1">
        <f t="array" ref="I3265">_xlfn.STDEV.P(IF(Table1[IndicatorCode]=Table1[[#This Row],[IndicatorCode]],Table1[value]))</f>
        <v>5.2319501044600996</v>
      </c>
      <c r="J3265">
        <f>(Table1[[#This Row],[value]] - Table1[[#This Row],[mean]]) / Table1[[#This Row],[std_dev]]</f>
        <v>5.9361257838030791E-2</v>
      </c>
      <c r="K3265">
        <f>AVERAGEIF(Table1[CountryCode],Table1[[#This Row],[CountryCode]],Table1[z-score])</f>
        <v>0.33171547334985529</v>
      </c>
      <c r="L3265" t="e">
        <f>VLOOKUP(Table1[[#This Row],[CountryCode]],[1]!Table1[#Data],4,FALSE)</f>
        <v>#REF!</v>
      </c>
    </row>
    <row r="3266" spans="1:12" hidden="1" x14ac:dyDescent="0.3">
      <c r="A3266" t="s">
        <v>65</v>
      </c>
      <c r="B3266" t="s">
        <v>66</v>
      </c>
      <c r="C3266" t="s">
        <v>125</v>
      </c>
      <c r="D3266" t="s">
        <v>126</v>
      </c>
      <c r="E3266">
        <v>1987</v>
      </c>
      <c r="F3266" s="1">
        <v>9</v>
      </c>
      <c r="G3266">
        <v>1990</v>
      </c>
      <c r="H3266">
        <f>AVERAGEIFS(Table1[value],Table1[IndicatorCode],Table1[[#This Row],[IndicatorCode]])</f>
        <v>7.6894248608534319</v>
      </c>
      <c r="I3266" cm="1">
        <f t="array" ref="I3266">_xlfn.STDEV.P(IF(Table1[IndicatorCode]=Table1[[#This Row],[IndicatorCode]],Table1[value]))</f>
        <v>5.2319501044600996</v>
      </c>
      <c r="J3266">
        <f>(Table1[[#This Row],[value]] - Table1[[#This Row],[mean]]) / Table1[[#This Row],[std_dev]]</f>
        <v>0.25049457907278921</v>
      </c>
      <c r="K3266">
        <f>AVERAGEIF(Table1[CountryCode],Table1[[#This Row],[CountryCode]],Table1[z-score])</f>
        <v>0.33171547334985529</v>
      </c>
      <c r="L3266" t="e">
        <f>VLOOKUP(Table1[[#This Row],[CountryCode]],[1]!Table1[#Data],4,FALSE)</f>
        <v>#REF!</v>
      </c>
    </row>
    <row r="3267" spans="1:12" hidden="1" x14ac:dyDescent="0.3">
      <c r="A3267" t="s">
        <v>65</v>
      </c>
      <c r="B3267" t="s">
        <v>66</v>
      </c>
      <c r="C3267" t="s">
        <v>125</v>
      </c>
      <c r="D3267" t="s">
        <v>126</v>
      </c>
      <c r="E3267">
        <v>1988</v>
      </c>
      <c r="F3267" s="1">
        <v>9</v>
      </c>
      <c r="G3267">
        <v>1990</v>
      </c>
      <c r="H3267">
        <f>AVERAGEIFS(Table1[value],Table1[IndicatorCode],Table1[[#This Row],[IndicatorCode]])</f>
        <v>7.6894248608534319</v>
      </c>
      <c r="I3267" cm="1">
        <f t="array" ref="I3267">_xlfn.STDEV.P(IF(Table1[IndicatorCode]=Table1[[#This Row],[IndicatorCode]],Table1[value]))</f>
        <v>5.2319501044600996</v>
      </c>
      <c r="J3267">
        <f>(Table1[[#This Row],[value]] - Table1[[#This Row],[mean]]) / Table1[[#This Row],[std_dev]]</f>
        <v>0.25049457907278921</v>
      </c>
      <c r="K3267">
        <f>AVERAGEIF(Table1[CountryCode],Table1[[#This Row],[CountryCode]],Table1[z-score])</f>
        <v>0.33171547334985529</v>
      </c>
      <c r="L3267" t="e">
        <f>VLOOKUP(Table1[[#This Row],[CountryCode]],[1]!Table1[#Data],4,FALSE)</f>
        <v>#REF!</v>
      </c>
    </row>
    <row r="3268" spans="1:12" hidden="1" x14ac:dyDescent="0.3">
      <c r="A3268" t="s">
        <v>65</v>
      </c>
      <c r="B3268" t="s">
        <v>66</v>
      </c>
      <c r="C3268" t="s">
        <v>125</v>
      </c>
      <c r="D3268" t="s">
        <v>126</v>
      </c>
      <c r="E3268">
        <v>1989</v>
      </c>
      <c r="F3268" s="1">
        <v>9</v>
      </c>
      <c r="G3268">
        <v>1990</v>
      </c>
      <c r="H3268">
        <f>AVERAGEIFS(Table1[value],Table1[IndicatorCode],Table1[[#This Row],[IndicatorCode]])</f>
        <v>7.6894248608534319</v>
      </c>
      <c r="I3268" cm="1">
        <f t="array" ref="I3268">_xlfn.STDEV.P(IF(Table1[IndicatorCode]=Table1[[#This Row],[IndicatorCode]],Table1[value]))</f>
        <v>5.2319501044600996</v>
      </c>
      <c r="J3268">
        <f>(Table1[[#This Row],[value]] - Table1[[#This Row],[mean]]) / Table1[[#This Row],[std_dev]]</f>
        <v>0.25049457907278921</v>
      </c>
      <c r="K3268">
        <f>AVERAGEIF(Table1[CountryCode],Table1[[#This Row],[CountryCode]],Table1[z-score])</f>
        <v>0.33171547334985529</v>
      </c>
      <c r="L3268" t="e">
        <f>VLOOKUP(Table1[[#This Row],[CountryCode]],[1]!Table1[#Data],4,FALSE)</f>
        <v>#REF!</v>
      </c>
    </row>
    <row r="3269" spans="1:12" hidden="1" x14ac:dyDescent="0.3">
      <c r="A3269" t="s">
        <v>65</v>
      </c>
      <c r="B3269" t="s">
        <v>66</v>
      </c>
      <c r="C3269" t="s">
        <v>125</v>
      </c>
      <c r="D3269" t="s">
        <v>126</v>
      </c>
      <c r="E3269">
        <v>1990</v>
      </c>
      <c r="F3269" s="1">
        <v>9</v>
      </c>
      <c r="G3269">
        <v>1990</v>
      </c>
      <c r="H3269">
        <f>AVERAGEIFS(Table1[value],Table1[IndicatorCode],Table1[[#This Row],[IndicatorCode]])</f>
        <v>7.6894248608534319</v>
      </c>
      <c r="I3269" cm="1">
        <f t="array" ref="I3269">_xlfn.STDEV.P(IF(Table1[IndicatorCode]=Table1[[#This Row],[IndicatorCode]],Table1[value]))</f>
        <v>5.2319501044600996</v>
      </c>
      <c r="J3269">
        <f>(Table1[[#This Row],[value]] - Table1[[#This Row],[mean]]) / Table1[[#This Row],[std_dev]]</f>
        <v>0.25049457907278921</v>
      </c>
      <c r="K3269">
        <f>AVERAGEIF(Table1[CountryCode],Table1[[#This Row],[CountryCode]],Table1[z-score])</f>
        <v>0.33171547334985529</v>
      </c>
      <c r="L3269" t="e">
        <f>VLOOKUP(Table1[[#This Row],[CountryCode]],[1]!Table1[#Data],4,FALSE)</f>
        <v>#REF!</v>
      </c>
    </row>
    <row r="3270" spans="1:12" hidden="1" x14ac:dyDescent="0.3">
      <c r="A3270" t="s">
        <v>65</v>
      </c>
      <c r="B3270" t="s">
        <v>66</v>
      </c>
      <c r="C3270" t="s">
        <v>125</v>
      </c>
      <c r="D3270" t="s">
        <v>126</v>
      </c>
      <c r="E3270">
        <v>1991</v>
      </c>
      <c r="F3270" s="1">
        <v>9</v>
      </c>
      <c r="G3270">
        <v>1990</v>
      </c>
      <c r="H3270">
        <f>AVERAGEIFS(Table1[value],Table1[IndicatorCode],Table1[[#This Row],[IndicatorCode]])</f>
        <v>7.6894248608534319</v>
      </c>
      <c r="I3270" cm="1">
        <f t="array" ref="I3270">_xlfn.STDEV.P(IF(Table1[IndicatorCode]=Table1[[#This Row],[IndicatorCode]],Table1[value]))</f>
        <v>5.2319501044600996</v>
      </c>
      <c r="J3270">
        <f>(Table1[[#This Row],[value]] - Table1[[#This Row],[mean]]) / Table1[[#This Row],[std_dev]]</f>
        <v>0.25049457907278921</v>
      </c>
      <c r="K3270">
        <f>AVERAGEIF(Table1[CountryCode],Table1[[#This Row],[CountryCode]],Table1[z-score])</f>
        <v>0.33171547334985529</v>
      </c>
      <c r="L3270" t="e">
        <f>VLOOKUP(Table1[[#This Row],[CountryCode]],[1]!Table1[#Data],4,FALSE)</f>
        <v>#REF!</v>
      </c>
    </row>
    <row r="3271" spans="1:12" hidden="1" x14ac:dyDescent="0.3">
      <c r="A3271" t="s">
        <v>65</v>
      </c>
      <c r="B3271" t="s">
        <v>66</v>
      </c>
      <c r="C3271" t="s">
        <v>125</v>
      </c>
      <c r="D3271" t="s">
        <v>126</v>
      </c>
      <c r="E3271">
        <v>1992</v>
      </c>
      <c r="F3271" s="1">
        <v>9</v>
      </c>
      <c r="G3271">
        <v>1990</v>
      </c>
      <c r="H3271">
        <f>AVERAGEIFS(Table1[value],Table1[IndicatorCode],Table1[[#This Row],[IndicatorCode]])</f>
        <v>7.6894248608534319</v>
      </c>
      <c r="I3271" cm="1">
        <f t="array" ref="I3271">_xlfn.STDEV.P(IF(Table1[IndicatorCode]=Table1[[#This Row],[IndicatorCode]],Table1[value]))</f>
        <v>5.2319501044600996</v>
      </c>
      <c r="J3271">
        <f>(Table1[[#This Row],[value]] - Table1[[#This Row],[mean]]) / Table1[[#This Row],[std_dev]]</f>
        <v>0.25049457907278921</v>
      </c>
      <c r="K3271">
        <f>AVERAGEIF(Table1[CountryCode],Table1[[#This Row],[CountryCode]],Table1[z-score])</f>
        <v>0.33171547334985529</v>
      </c>
      <c r="L3271" t="e">
        <f>VLOOKUP(Table1[[#This Row],[CountryCode]],[1]!Table1[#Data],4,FALSE)</f>
        <v>#REF!</v>
      </c>
    </row>
    <row r="3272" spans="1:12" hidden="1" x14ac:dyDescent="0.3">
      <c r="A3272" t="s">
        <v>65</v>
      </c>
      <c r="B3272" t="s">
        <v>66</v>
      </c>
      <c r="C3272" t="s">
        <v>125</v>
      </c>
      <c r="D3272" t="s">
        <v>126</v>
      </c>
      <c r="E3272">
        <v>1993</v>
      </c>
      <c r="F3272" s="1">
        <v>9</v>
      </c>
      <c r="G3272">
        <v>1990</v>
      </c>
      <c r="H3272">
        <f>AVERAGEIFS(Table1[value],Table1[IndicatorCode],Table1[[#This Row],[IndicatorCode]])</f>
        <v>7.6894248608534319</v>
      </c>
      <c r="I3272" cm="1">
        <f t="array" ref="I3272">_xlfn.STDEV.P(IF(Table1[IndicatorCode]=Table1[[#This Row],[IndicatorCode]],Table1[value]))</f>
        <v>5.2319501044600996</v>
      </c>
      <c r="J3272">
        <f>(Table1[[#This Row],[value]] - Table1[[#This Row],[mean]]) / Table1[[#This Row],[std_dev]]</f>
        <v>0.25049457907278921</v>
      </c>
      <c r="K3272">
        <f>AVERAGEIF(Table1[CountryCode],Table1[[#This Row],[CountryCode]],Table1[z-score])</f>
        <v>0.33171547334985529</v>
      </c>
      <c r="L3272" t="e">
        <f>VLOOKUP(Table1[[#This Row],[CountryCode]],[1]!Table1[#Data],4,FALSE)</f>
        <v>#REF!</v>
      </c>
    </row>
    <row r="3273" spans="1:12" hidden="1" x14ac:dyDescent="0.3">
      <c r="A3273" t="s">
        <v>65</v>
      </c>
      <c r="B3273" t="s">
        <v>66</v>
      </c>
      <c r="C3273" t="s">
        <v>125</v>
      </c>
      <c r="D3273" t="s">
        <v>126</v>
      </c>
      <c r="E3273">
        <v>1994</v>
      </c>
      <c r="F3273" s="1">
        <v>10</v>
      </c>
      <c r="G3273">
        <v>1990</v>
      </c>
      <c r="H3273">
        <f>AVERAGEIFS(Table1[value],Table1[IndicatorCode],Table1[[#This Row],[IndicatorCode]])</f>
        <v>7.6894248608534319</v>
      </c>
      <c r="I3273" cm="1">
        <f t="array" ref="I3273">_xlfn.STDEV.P(IF(Table1[IndicatorCode]=Table1[[#This Row],[IndicatorCode]],Table1[value]))</f>
        <v>5.2319501044600996</v>
      </c>
      <c r="J3273">
        <f>(Table1[[#This Row],[value]] - Table1[[#This Row],[mean]]) / Table1[[#This Row],[std_dev]]</f>
        <v>0.44162790030754762</v>
      </c>
      <c r="K3273">
        <f>AVERAGEIF(Table1[CountryCode],Table1[[#This Row],[CountryCode]],Table1[z-score])</f>
        <v>0.33171547334985529</v>
      </c>
      <c r="L3273" t="e">
        <f>VLOOKUP(Table1[[#This Row],[CountryCode]],[1]!Table1[#Data],4,FALSE)</f>
        <v>#REF!</v>
      </c>
    </row>
    <row r="3274" spans="1:12" hidden="1" x14ac:dyDescent="0.3">
      <c r="A3274" t="s">
        <v>65</v>
      </c>
      <c r="B3274" t="s">
        <v>66</v>
      </c>
      <c r="C3274" t="s">
        <v>125</v>
      </c>
      <c r="D3274" t="s">
        <v>126</v>
      </c>
      <c r="E3274">
        <v>1995</v>
      </c>
      <c r="F3274" s="1">
        <v>10</v>
      </c>
      <c r="G3274">
        <v>1990</v>
      </c>
      <c r="H3274">
        <f>AVERAGEIFS(Table1[value],Table1[IndicatorCode],Table1[[#This Row],[IndicatorCode]])</f>
        <v>7.6894248608534319</v>
      </c>
      <c r="I3274" cm="1">
        <f t="array" ref="I3274">_xlfn.STDEV.P(IF(Table1[IndicatorCode]=Table1[[#This Row],[IndicatorCode]],Table1[value]))</f>
        <v>5.2319501044600996</v>
      </c>
      <c r="J3274">
        <f>(Table1[[#This Row],[value]] - Table1[[#This Row],[mean]]) / Table1[[#This Row],[std_dev]]</f>
        <v>0.44162790030754762</v>
      </c>
      <c r="K3274">
        <f>AVERAGEIF(Table1[CountryCode],Table1[[#This Row],[CountryCode]],Table1[z-score])</f>
        <v>0.33171547334985529</v>
      </c>
      <c r="L3274" t="e">
        <f>VLOOKUP(Table1[[#This Row],[CountryCode]],[1]!Table1[#Data],4,FALSE)</f>
        <v>#REF!</v>
      </c>
    </row>
    <row r="3275" spans="1:12" hidden="1" x14ac:dyDescent="0.3">
      <c r="A3275" t="s">
        <v>65</v>
      </c>
      <c r="B3275" t="s">
        <v>66</v>
      </c>
      <c r="C3275" t="s">
        <v>125</v>
      </c>
      <c r="D3275" t="s">
        <v>126</v>
      </c>
      <c r="E3275">
        <v>1996</v>
      </c>
      <c r="F3275" s="1">
        <v>10</v>
      </c>
      <c r="G3275">
        <v>1990</v>
      </c>
      <c r="H3275">
        <f>AVERAGEIFS(Table1[value],Table1[IndicatorCode],Table1[[#This Row],[IndicatorCode]])</f>
        <v>7.6894248608534319</v>
      </c>
      <c r="I3275" cm="1">
        <f t="array" ref="I3275">_xlfn.STDEV.P(IF(Table1[IndicatorCode]=Table1[[#This Row],[IndicatorCode]],Table1[value]))</f>
        <v>5.2319501044600996</v>
      </c>
      <c r="J3275">
        <f>(Table1[[#This Row],[value]] - Table1[[#This Row],[mean]]) / Table1[[#This Row],[std_dev]]</f>
        <v>0.44162790030754762</v>
      </c>
      <c r="K3275">
        <f>AVERAGEIF(Table1[CountryCode],Table1[[#This Row],[CountryCode]],Table1[z-score])</f>
        <v>0.33171547334985529</v>
      </c>
      <c r="L3275" t="e">
        <f>VLOOKUP(Table1[[#This Row],[CountryCode]],[1]!Table1[#Data],4,FALSE)</f>
        <v>#REF!</v>
      </c>
    </row>
    <row r="3276" spans="1:12" hidden="1" x14ac:dyDescent="0.3">
      <c r="A3276" t="s">
        <v>65</v>
      </c>
      <c r="B3276" t="s">
        <v>66</v>
      </c>
      <c r="C3276" t="s">
        <v>125</v>
      </c>
      <c r="D3276" t="s">
        <v>126</v>
      </c>
      <c r="E3276">
        <v>1997</v>
      </c>
      <c r="F3276" s="1">
        <v>10</v>
      </c>
      <c r="G3276">
        <v>2000</v>
      </c>
      <c r="H3276">
        <f>AVERAGEIFS(Table1[value],Table1[IndicatorCode],Table1[[#This Row],[IndicatorCode]])</f>
        <v>7.6894248608534319</v>
      </c>
      <c r="I3276" cm="1">
        <f t="array" ref="I3276">_xlfn.STDEV.P(IF(Table1[IndicatorCode]=Table1[[#This Row],[IndicatorCode]],Table1[value]))</f>
        <v>5.2319501044600996</v>
      </c>
      <c r="J3276">
        <f>(Table1[[#This Row],[value]] - Table1[[#This Row],[mean]]) / Table1[[#This Row],[std_dev]]</f>
        <v>0.44162790030754762</v>
      </c>
      <c r="K3276">
        <f>AVERAGEIF(Table1[CountryCode],Table1[[#This Row],[CountryCode]],Table1[z-score])</f>
        <v>0.33171547334985529</v>
      </c>
      <c r="L3276" t="e">
        <f>VLOOKUP(Table1[[#This Row],[CountryCode]],[1]!Table1[#Data],4,FALSE)</f>
        <v>#REF!</v>
      </c>
    </row>
    <row r="3277" spans="1:12" hidden="1" x14ac:dyDescent="0.3">
      <c r="A3277" t="s">
        <v>65</v>
      </c>
      <c r="B3277" t="s">
        <v>66</v>
      </c>
      <c r="C3277" t="s">
        <v>125</v>
      </c>
      <c r="D3277" t="s">
        <v>126</v>
      </c>
      <c r="E3277">
        <v>1998</v>
      </c>
      <c r="F3277" s="1">
        <v>11</v>
      </c>
      <c r="G3277">
        <v>2000</v>
      </c>
      <c r="H3277">
        <f>AVERAGEIFS(Table1[value],Table1[IndicatorCode],Table1[[#This Row],[IndicatorCode]])</f>
        <v>7.6894248608534319</v>
      </c>
      <c r="I3277" cm="1">
        <f t="array" ref="I3277">_xlfn.STDEV.P(IF(Table1[IndicatorCode]=Table1[[#This Row],[IndicatorCode]],Table1[value]))</f>
        <v>5.2319501044600996</v>
      </c>
      <c r="J3277">
        <f>(Table1[[#This Row],[value]] - Table1[[#This Row],[mean]]) / Table1[[#This Row],[std_dev]]</f>
        <v>0.63276122154230596</v>
      </c>
      <c r="K3277">
        <f>AVERAGEIF(Table1[CountryCode],Table1[[#This Row],[CountryCode]],Table1[z-score])</f>
        <v>0.33171547334985529</v>
      </c>
      <c r="L3277" t="e">
        <f>VLOOKUP(Table1[[#This Row],[CountryCode]],[1]!Table1[#Data],4,FALSE)</f>
        <v>#REF!</v>
      </c>
    </row>
    <row r="3278" spans="1:12" hidden="1" x14ac:dyDescent="0.3">
      <c r="A3278" t="s">
        <v>65</v>
      </c>
      <c r="B3278" t="s">
        <v>66</v>
      </c>
      <c r="C3278" t="s">
        <v>125</v>
      </c>
      <c r="D3278" t="s">
        <v>126</v>
      </c>
      <c r="E3278">
        <v>1999</v>
      </c>
      <c r="F3278" s="1">
        <v>11</v>
      </c>
      <c r="G3278">
        <v>2000</v>
      </c>
      <c r="H3278">
        <f>AVERAGEIFS(Table1[value],Table1[IndicatorCode],Table1[[#This Row],[IndicatorCode]])</f>
        <v>7.6894248608534319</v>
      </c>
      <c r="I3278" cm="1">
        <f t="array" ref="I3278">_xlfn.STDEV.P(IF(Table1[IndicatorCode]=Table1[[#This Row],[IndicatorCode]],Table1[value]))</f>
        <v>5.2319501044600996</v>
      </c>
      <c r="J3278">
        <f>(Table1[[#This Row],[value]] - Table1[[#This Row],[mean]]) / Table1[[#This Row],[std_dev]]</f>
        <v>0.63276122154230596</v>
      </c>
      <c r="K3278">
        <f>AVERAGEIF(Table1[CountryCode],Table1[[#This Row],[CountryCode]],Table1[z-score])</f>
        <v>0.33171547334985529</v>
      </c>
      <c r="L3278" t="e">
        <f>VLOOKUP(Table1[[#This Row],[CountryCode]],[1]!Table1[#Data],4,FALSE)</f>
        <v>#REF!</v>
      </c>
    </row>
    <row r="3279" spans="1:12" hidden="1" x14ac:dyDescent="0.3">
      <c r="A3279" t="s">
        <v>65</v>
      </c>
      <c r="B3279" t="s">
        <v>66</v>
      </c>
      <c r="C3279" t="s">
        <v>125</v>
      </c>
      <c r="D3279" t="s">
        <v>126</v>
      </c>
      <c r="E3279">
        <v>2000</v>
      </c>
      <c r="F3279" s="1">
        <v>12</v>
      </c>
      <c r="G3279">
        <v>2000</v>
      </c>
      <c r="H3279">
        <f>AVERAGEIFS(Table1[value],Table1[IndicatorCode],Table1[[#This Row],[IndicatorCode]])</f>
        <v>7.6894248608534319</v>
      </c>
      <c r="I3279" cm="1">
        <f t="array" ref="I3279">_xlfn.STDEV.P(IF(Table1[IndicatorCode]=Table1[[#This Row],[IndicatorCode]],Table1[value]))</f>
        <v>5.2319501044600996</v>
      </c>
      <c r="J3279">
        <f>(Table1[[#This Row],[value]] - Table1[[#This Row],[mean]]) / Table1[[#This Row],[std_dev]]</f>
        <v>0.82389454277706442</v>
      </c>
      <c r="K3279">
        <f>AVERAGEIF(Table1[CountryCode],Table1[[#This Row],[CountryCode]],Table1[z-score])</f>
        <v>0.33171547334985529</v>
      </c>
      <c r="L3279" t="e">
        <f>VLOOKUP(Table1[[#This Row],[CountryCode]],[1]!Table1[#Data],4,FALSE)</f>
        <v>#REF!</v>
      </c>
    </row>
    <row r="3280" spans="1:12" hidden="1" x14ac:dyDescent="0.3">
      <c r="A3280" t="s">
        <v>65</v>
      </c>
      <c r="B3280" t="s">
        <v>66</v>
      </c>
      <c r="C3280" t="s">
        <v>125</v>
      </c>
      <c r="D3280" t="s">
        <v>126</v>
      </c>
      <c r="E3280">
        <v>2001</v>
      </c>
      <c r="F3280" s="1">
        <v>12</v>
      </c>
      <c r="G3280">
        <v>2000</v>
      </c>
      <c r="H3280">
        <f>AVERAGEIFS(Table1[value],Table1[IndicatorCode],Table1[[#This Row],[IndicatorCode]])</f>
        <v>7.6894248608534319</v>
      </c>
      <c r="I3280" cm="1">
        <f t="array" ref="I3280">_xlfn.STDEV.P(IF(Table1[IndicatorCode]=Table1[[#This Row],[IndicatorCode]],Table1[value]))</f>
        <v>5.2319501044600996</v>
      </c>
      <c r="J3280">
        <f>(Table1[[#This Row],[value]] - Table1[[#This Row],[mean]]) / Table1[[#This Row],[std_dev]]</f>
        <v>0.82389454277706442</v>
      </c>
      <c r="K3280">
        <f>AVERAGEIF(Table1[CountryCode],Table1[[#This Row],[CountryCode]],Table1[z-score])</f>
        <v>0.33171547334985529</v>
      </c>
      <c r="L3280" t="e">
        <f>VLOOKUP(Table1[[#This Row],[CountryCode]],[1]!Table1[#Data],4,FALSE)</f>
        <v>#REF!</v>
      </c>
    </row>
    <row r="3281" spans="1:12" hidden="1" x14ac:dyDescent="0.3">
      <c r="A3281" t="s">
        <v>65</v>
      </c>
      <c r="B3281" t="s">
        <v>66</v>
      </c>
      <c r="C3281" t="s">
        <v>125</v>
      </c>
      <c r="D3281" t="s">
        <v>126</v>
      </c>
      <c r="E3281">
        <v>2002</v>
      </c>
      <c r="F3281" s="1">
        <v>11</v>
      </c>
      <c r="G3281">
        <v>2000</v>
      </c>
      <c r="H3281">
        <f>AVERAGEIFS(Table1[value],Table1[IndicatorCode],Table1[[#This Row],[IndicatorCode]])</f>
        <v>7.6894248608534319</v>
      </c>
      <c r="I3281" cm="1">
        <f t="array" ref="I3281">_xlfn.STDEV.P(IF(Table1[IndicatorCode]=Table1[[#This Row],[IndicatorCode]],Table1[value]))</f>
        <v>5.2319501044600996</v>
      </c>
      <c r="J3281">
        <f>(Table1[[#This Row],[value]] - Table1[[#This Row],[mean]]) / Table1[[#This Row],[std_dev]]</f>
        <v>0.63276122154230596</v>
      </c>
      <c r="K3281">
        <f>AVERAGEIF(Table1[CountryCode],Table1[[#This Row],[CountryCode]],Table1[z-score])</f>
        <v>0.33171547334985529</v>
      </c>
      <c r="L3281" t="e">
        <f>VLOOKUP(Table1[[#This Row],[CountryCode]],[1]!Table1[#Data],4,FALSE)</f>
        <v>#REF!</v>
      </c>
    </row>
    <row r="3282" spans="1:12" hidden="1" x14ac:dyDescent="0.3">
      <c r="A3282" t="s">
        <v>65</v>
      </c>
      <c r="B3282" t="s">
        <v>66</v>
      </c>
      <c r="C3282" t="s">
        <v>125</v>
      </c>
      <c r="D3282" t="s">
        <v>126</v>
      </c>
      <c r="E3282">
        <v>2003</v>
      </c>
      <c r="F3282" s="1">
        <v>11</v>
      </c>
      <c r="G3282">
        <v>2000</v>
      </c>
      <c r="H3282">
        <f>AVERAGEIFS(Table1[value],Table1[IndicatorCode],Table1[[#This Row],[IndicatorCode]])</f>
        <v>7.6894248608534319</v>
      </c>
      <c r="I3282" cm="1">
        <f t="array" ref="I3282">_xlfn.STDEV.P(IF(Table1[IndicatorCode]=Table1[[#This Row],[IndicatorCode]],Table1[value]))</f>
        <v>5.2319501044600996</v>
      </c>
      <c r="J3282">
        <f>(Table1[[#This Row],[value]] - Table1[[#This Row],[mean]]) / Table1[[#This Row],[std_dev]]</f>
        <v>0.63276122154230596</v>
      </c>
      <c r="K3282">
        <f>AVERAGEIF(Table1[CountryCode],Table1[[#This Row],[CountryCode]],Table1[z-score])</f>
        <v>0.33171547334985529</v>
      </c>
      <c r="L3282" t="e">
        <f>VLOOKUP(Table1[[#This Row],[CountryCode]],[1]!Table1[#Data],4,FALSE)</f>
        <v>#REF!</v>
      </c>
    </row>
    <row r="3283" spans="1:12" hidden="1" x14ac:dyDescent="0.3">
      <c r="A3283" t="s">
        <v>65</v>
      </c>
      <c r="B3283" t="s">
        <v>66</v>
      </c>
      <c r="C3283" t="s">
        <v>125</v>
      </c>
      <c r="D3283" t="s">
        <v>126</v>
      </c>
      <c r="E3283">
        <v>2004</v>
      </c>
      <c r="F3283" s="1">
        <v>11</v>
      </c>
      <c r="G3283">
        <v>2000</v>
      </c>
      <c r="H3283">
        <f>AVERAGEIFS(Table1[value],Table1[IndicatorCode],Table1[[#This Row],[IndicatorCode]])</f>
        <v>7.6894248608534319</v>
      </c>
      <c r="I3283" cm="1">
        <f t="array" ref="I3283">_xlfn.STDEV.P(IF(Table1[IndicatorCode]=Table1[[#This Row],[IndicatorCode]],Table1[value]))</f>
        <v>5.2319501044600996</v>
      </c>
      <c r="J3283">
        <f>(Table1[[#This Row],[value]] - Table1[[#This Row],[mean]]) / Table1[[#This Row],[std_dev]]</f>
        <v>0.63276122154230596</v>
      </c>
      <c r="K3283">
        <f>AVERAGEIF(Table1[CountryCode],Table1[[#This Row],[CountryCode]],Table1[z-score])</f>
        <v>0.33171547334985529</v>
      </c>
      <c r="L3283" t="e">
        <f>VLOOKUP(Table1[[#This Row],[CountryCode]],[1]!Table1[#Data],4,FALSE)</f>
        <v>#REF!</v>
      </c>
    </row>
    <row r="3284" spans="1:12" hidden="1" x14ac:dyDescent="0.3">
      <c r="A3284" t="s">
        <v>65</v>
      </c>
      <c r="B3284" t="s">
        <v>66</v>
      </c>
      <c r="C3284" t="s">
        <v>125</v>
      </c>
      <c r="D3284" t="s">
        <v>126</v>
      </c>
      <c r="E3284">
        <v>2005</v>
      </c>
      <c r="F3284" s="1">
        <v>11</v>
      </c>
      <c r="G3284">
        <v>2000</v>
      </c>
      <c r="H3284">
        <f>AVERAGEIFS(Table1[value],Table1[IndicatorCode],Table1[[#This Row],[IndicatorCode]])</f>
        <v>7.6894248608534319</v>
      </c>
      <c r="I3284" cm="1">
        <f t="array" ref="I3284">_xlfn.STDEV.P(IF(Table1[IndicatorCode]=Table1[[#This Row],[IndicatorCode]],Table1[value]))</f>
        <v>5.2319501044600996</v>
      </c>
      <c r="J3284">
        <f>(Table1[[#This Row],[value]] - Table1[[#This Row],[mean]]) / Table1[[#This Row],[std_dev]]</f>
        <v>0.63276122154230596</v>
      </c>
      <c r="K3284">
        <f>AVERAGEIF(Table1[CountryCode],Table1[[#This Row],[CountryCode]],Table1[z-score])</f>
        <v>0.33171547334985529</v>
      </c>
      <c r="L3284" t="e">
        <f>VLOOKUP(Table1[[#This Row],[CountryCode]],[1]!Table1[#Data],4,FALSE)</f>
        <v>#REF!</v>
      </c>
    </row>
    <row r="3285" spans="1:12" hidden="1" x14ac:dyDescent="0.3">
      <c r="A3285" t="s">
        <v>65</v>
      </c>
      <c r="B3285" t="s">
        <v>66</v>
      </c>
      <c r="C3285" t="s">
        <v>125</v>
      </c>
      <c r="D3285" t="s">
        <v>126</v>
      </c>
      <c r="E3285">
        <v>2006</v>
      </c>
      <c r="F3285" s="1">
        <v>11</v>
      </c>
      <c r="G3285">
        <v>2000</v>
      </c>
      <c r="H3285">
        <f>AVERAGEIFS(Table1[value],Table1[IndicatorCode],Table1[[#This Row],[IndicatorCode]])</f>
        <v>7.6894248608534319</v>
      </c>
      <c r="I3285" cm="1">
        <f t="array" ref="I3285">_xlfn.STDEV.P(IF(Table1[IndicatorCode]=Table1[[#This Row],[IndicatorCode]],Table1[value]))</f>
        <v>5.2319501044600996</v>
      </c>
      <c r="J3285">
        <f>(Table1[[#This Row],[value]] - Table1[[#This Row],[mean]]) / Table1[[#This Row],[std_dev]]</f>
        <v>0.63276122154230596</v>
      </c>
      <c r="K3285">
        <f>AVERAGEIF(Table1[CountryCode],Table1[[#This Row],[CountryCode]],Table1[z-score])</f>
        <v>0.33171547334985529</v>
      </c>
      <c r="L3285" t="e">
        <f>VLOOKUP(Table1[[#This Row],[CountryCode]],[1]!Table1[#Data],4,FALSE)</f>
        <v>#REF!</v>
      </c>
    </row>
    <row r="3286" spans="1:12" hidden="1" x14ac:dyDescent="0.3">
      <c r="A3286" t="s">
        <v>65</v>
      </c>
      <c r="B3286" t="s">
        <v>66</v>
      </c>
      <c r="C3286" t="s">
        <v>125</v>
      </c>
      <c r="D3286" t="s">
        <v>126</v>
      </c>
      <c r="E3286">
        <v>2007</v>
      </c>
      <c r="F3286" s="1">
        <v>11</v>
      </c>
      <c r="G3286">
        <v>2010</v>
      </c>
      <c r="H3286">
        <f>AVERAGEIFS(Table1[value],Table1[IndicatorCode],Table1[[#This Row],[IndicatorCode]])</f>
        <v>7.6894248608534319</v>
      </c>
      <c r="I3286" cm="1">
        <f t="array" ref="I3286">_xlfn.STDEV.P(IF(Table1[IndicatorCode]=Table1[[#This Row],[IndicatorCode]],Table1[value]))</f>
        <v>5.2319501044600996</v>
      </c>
      <c r="J3286">
        <f>(Table1[[#This Row],[value]] - Table1[[#This Row],[mean]]) / Table1[[#This Row],[std_dev]]</f>
        <v>0.63276122154230596</v>
      </c>
      <c r="K3286">
        <f>AVERAGEIF(Table1[CountryCode],Table1[[#This Row],[CountryCode]],Table1[z-score])</f>
        <v>0.33171547334985529</v>
      </c>
      <c r="L3286" t="e">
        <f>VLOOKUP(Table1[[#This Row],[CountryCode]],[1]!Table1[#Data],4,FALSE)</f>
        <v>#REF!</v>
      </c>
    </row>
    <row r="3287" spans="1:12" hidden="1" x14ac:dyDescent="0.3">
      <c r="A3287" t="s">
        <v>65</v>
      </c>
      <c r="B3287" t="s">
        <v>66</v>
      </c>
      <c r="C3287" t="s">
        <v>125</v>
      </c>
      <c r="D3287" t="s">
        <v>126</v>
      </c>
      <c r="E3287">
        <v>2008</v>
      </c>
      <c r="F3287" s="1">
        <v>10</v>
      </c>
      <c r="G3287">
        <v>2010</v>
      </c>
      <c r="H3287">
        <f>AVERAGEIFS(Table1[value],Table1[IndicatorCode],Table1[[#This Row],[IndicatorCode]])</f>
        <v>7.6894248608534319</v>
      </c>
      <c r="I3287" cm="1">
        <f t="array" ref="I3287">_xlfn.STDEV.P(IF(Table1[IndicatorCode]=Table1[[#This Row],[IndicatorCode]],Table1[value]))</f>
        <v>5.2319501044600996</v>
      </c>
      <c r="J3287">
        <f>(Table1[[#This Row],[value]] - Table1[[#This Row],[mean]]) / Table1[[#This Row],[std_dev]]</f>
        <v>0.44162790030754762</v>
      </c>
      <c r="K3287">
        <f>AVERAGEIF(Table1[CountryCode],Table1[[#This Row],[CountryCode]],Table1[z-score])</f>
        <v>0.33171547334985529</v>
      </c>
      <c r="L3287" t="e">
        <f>VLOOKUP(Table1[[#This Row],[CountryCode]],[1]!Table1[#Data],4,FALSE)</f>
        <v>#REF!</v>
      </c>
    </row>
    <row r="3288" spans="1:12" hidden="1" x14ac:dyDescent="0.3">
      <c r="A3288" t="s">
        <v>65</v>
      </c>
      <c r="B3288" t="s">
        <v>66</v>
      </c>
      <c r="C3288" t="s">
        <v>125</v>
      </c>
      <c r="D3288" t="s">
        <v>126</v>
      </c>
      <c r="E3288">
        <v>2009</v>
      </c>
      <c r="F3288" s="1">
        <v>9</v>
      </c>
      <c r="G3288">
        <v>2010</v>
      </c>
      <c r="H3288">
        <f>AVERAGEIFS(Table1[value],Table1[IndicatorCode],Table1[[#This Row],[IndicatorCode]])</f>
        <v>7.6894248608534319</v>
      </c>
      <c r="I3288" cm="1">
        <f t="array" ref="I3288">_xlfn.STDEV.P(IF(Table1[IndicatorCode]=Table1[[#This Row],[IndicatorCode]],Table1[value]))</f>
        <v>5.2319501044600996</v>
      </c>
      <c r="J3288">
        <f>(Table1[[#This Row],[value]] - Table1[[#This Row],[mean]]) / Table1[[#This Row],[std_dev]]</f>
        <v>0.25049457907278921</v>
      </c>
      <c r="K3288">
        <f>AVERAGEIF(Table1[CountryCode],Table1[[#This Row],[CountryCode]],Table1[z-score])</f>
        <v>0.33171547334985529</v>
      </c>
      <c r="L3288" t="e">
        <f>VLOOKUP(Table1[[#This Row],[CountryCode]],[1]!Table1[#Data],4,FALSE)</f>
        <v>#REF!</v>
      </c>
    </row>
    <row r="3289" spans="1:12" hidden="1" x14ac:dyDescent="0.3">
      <c r="A3289" t="s">
        <v>65</v>
      </c>
      <c r="B3289" t="s">
        <v>66</v>
      </c>
      <c r="C3289" t="s">
        <v>125</v>
      </c>
      <c r="D3289" t="s">
        <v>126</v>
      </c>
      <c r="E3289">
        <v>2010</v>
      </c>
      <c r="F3289" s="1">
        <v>9</v>
      </c>
      <c r="G3289">
        <v>2010</v>
      </c>
      <c r="H3289">
        <f>AVERAGEIFS(Table1[value],Table1[IndicatorCode],Table1[[#This Row],[IndicatorCode]])</f>
        <v>7.6894248608534319</v>
      </c>
      <c r="I3289" cm="1">
        <f t="array" ref="I3289">_xlfn.STDEV.P(IF(Table1[IndicatorCode]=Table1[[#This Row],[IndicatorCode]],Table1[value]))</f>
        <v>5.2319501044600996</v>
      </c>
      <c r="J3289">
        <f>(Table1[[#This Row],[value]] - Table1[[#This Row],[mean]]) / Table1[[#This Row],[std_dev]]</f>
        <v>0.25049457907278921</v>
      </c>
      <c r="K3289">
        <f>AVERAGEIF(Table1[CountryCode],Table1[[#This Row],[CountryCode]],Table1[z-score])</f>
        <v>0.33171547334985529</v>
      </c>
      <c r="L3289" t="e">
        <f>VLOOKUP(Table1[[#This Row],[CountryCode]],[1]!Table1[#Data],4,FALSE)</f>
        <v>#REF!</v>
      </c>
    </row>
    <row r="3290" spans="1:12" hidden="1" x14ac:dyDescent="0.3">
      <c r="A3290" t="s">
        <v>65</v>
      </c>
      <c r="B3290" t="s">
        <v>66</v>
      </c>
      <c r="C3290" t="s">
        <v>125</v>
      </c>
      <c r="D3290" t="s">
        <v>126</v>
      </c>
      <c r="E3290">
        <v>2011</v>
      </c>
      <c r="F3290" s="1">
        <v>8</v>
      </c>
      <c r="G3290">
        <v>2010</v>
      </c>
      <c r="H3290">
        <f>AVERAGEIFS(Table1[value],Table1[IndicatorCode],Table1[[#This Row],[IndicatorCode]])</f>
        <v>7.6894248608534319</v>
      </c>
      <c r="I3290" cm="1">
        <f t="array" ref="I3290">_xlfn.STDEV.P(IF(Table1[IndicatorCode]=Table1[[#This Row],[IndicatorCode]],Table1[value]))</f>
        <v>5.2319501044600996</v>
      </c>
      <c r="J3290">
        <f>(Table1[[#This Row],[value]] - Table1[[#This Row],[mean]]) / Table1[[#This Row],[std_dev]]</f>
        <v>5.9361257838030791E-2</v>
      </c>
      <c r="K3290">
        <f>AVERAGEIF(Table1[CountryCode],Table1[[#This Row],[CountryCode]],Table1[z-score])</f>
        <v>0.33171547334985529</v>
      </c>
      <c r="L3290" t="e">
        <f>VLOOKUP(Table1[[#This Row],[CountryCode]],[1]!Table1[#Data],4,FALSE)</f>
        <v>#REF!</v>
      </c>
    </row>
    <row r="3291" spans="1:12" hidden="1" x14ac:dyDescent="0.3">
      <c r="A3291" t="s">
        <v>65</v>
      </c>
      <c r="B3291" t="s">
        <v>66</v>
      </c>
      <c r="C3291" t="s">
        <v>125</v>
      </c>
      <c r="D3291" t="s">
        <v>126</v>
      </c>
      <c r="E3291">
        <v>2012</v>
      </c>
      <c r="F3291" s="1">
        <v>8</v>
      </c>
      <c r="G3291">
        <v>2010</v>
      </c>
      <c r="H3291">
        <f>AVERAGEIFS(Table1[value],Table1[IndicatorCode],Table1[[#This Row],[IndicatorCode]])</f>
        <v>7.6894248608534319</v>
      </c>
      <c r="I3291" cm="1">
        <f t="array" ref="I3291">_xlfn.STDEV.P(IF(Table1[IndicatorCode]=Table1[[#This Row],[IndicatorCode]],Table1[value]))</f>
        <v>5.2319501044600996</v>
      </c>
      <c r="J3291">
        <f>(Table1[[#This Row],[value]] - Table1[[#This Row],[mean]]) / Table1[[#This Row],[std_dev]]</f>
        <v>5.9361257838030791E-2</v>
      </c>
      <c r="K3291">
        <f>AVERAGEIF(Table1[CountryCode],Table1[[#This Row],[CountryCode]],Table1[z-score])</f>
        <v>0.33171547334985529</v>
      </c>
      <c r="L3291" t="e">
        <f>VLOOKUP(Table1[[#This Row],[CountryCode]],[1]!Table1[#Data],4,FALSE)</f>
        <v>#REF!</v>
      </c>
    </row>
    <row r="3292" spans="1:12" hidden="1" x14ac:dyDescent="0.3">
      <c r="A3292" t="s">
        <v>65</v>
      </c>
      <c r="B3292" t="s">
        <v>66</v>
      </c>
      <c r="C3292" t="s">
        <v>125</v>
      </c>
      <c r="D3292" t="s">
        <v>126</v>
      </c>
      <c r="E3292">
        <v>2013</v>
      </c>
      <c r="F3292" s="1">
        <v>8</v>
      </c>
      <c r="G3292">
        <v>2010</v>
      </c>
      <c r="H3292">
        <f>AVERAGEIFS(Table1[value],Table1[IndicatorCode],Table1[[#This Row],[IndicatorCode]])</f>
        <v>7.6894248608534319</v>
      </c>
      <c r="I3292" cm="1">
        <f t="array" ref="I3292">_xlfn.STDEV.P(IF(Table1[IndicatorCode]=Table1[[#This Row],[IndicatorCode]],Table1[value]))</f>
        <v>5.2319501044600996</v>
      </c>
      <c r="J3292">
        <f>(Table1[[#This Row],[value]] - Table1[[#This Row],[mean]]) / Table1[[#This Row],[std_dev]]</f>
        <v>5.9361257838030791E-2</v>
      </c>
      <c r="K3292">
        <f>AVERAGEIF(Table1[CountryCode],Table1[[#This Row],[CountryCode]],Table1[z-score])</f>
        <v>0.33171547334985529</v>
      </c>
      <c r="L3292" t="e">
        <f>VLOOKUP(Table1[[#This Row],[CountryCode]],[1]!Table1[#Data],4,FALSE)</f>
        <v>#REF!</v>
      </c>
    </row>
    <row r="3293" spans="1:12" hidden="1" x14ac:dyDescent="0.3">
      <c r="A3293" t="s">
        <v>65</v>
      </c>
      <c r="B3293" t="s">
        <v>66</v>
      </c>
      <c r="C3293" t="s">
        <v>125</v>
      </c>
      <c r="D3293" t="s">
        <v>126</v>
      </c>
      <c r="E3293">
        <v>2014</v>
      </c>
      <c r="F3293" s="1">
        <v>8</v>
      </c>
      <c r="G3293">
        <v>2010</v>
      </c>
      <c r="H3293">
        <f>AVERAGEIFS(Table1[value],Table1[IndicatorCode],Table1[[#This Row],[IndicatorCode]])</f>
        <v>7.6894248608534319</v>
      </c>
      <c r="I3293" cm="1">
        <f t="array" ref="I3293">_xlfn.STDEV.P(IF(Table1[IndicatorCode]=Table1[[#This Row],[IndicatorCode]],Table1[value]))</f>
        <v>5.2319501044600996</v>
      </c>
      <c r="J3293">
        <f>(Table1[[#This Row],[value]] - Table1[[#This Row],[mean]]) / Table1[[#This Row],[std_dev]]</f>
        <v>5.9361257838030791E-2</v>
      </c>
      <c r="K3293">
        <f>AVERAGEIF(Table1[CountryCode],Table1[[#This Row],[CountryCode]],Table1[z-score])</f>
        <v>0.33171547334985529</v>
      </c>
      <c r="L3293" t="e">
        <f>VLOOKUP(Table1[[#This Row],[CountryCode]],[1]!Table1[#Data],4,FALSE)</f>
        <v>#REF!</v>
      </c>
    </row>
    <row r="3294" spans="1:12" hidden="1" x14ac:dyDescent="0.3">
      <c r="A3294" t="s">
        <v>65</v>
      </c>
      <c r="B3294" t="s">
        <v>66</v>
      </c>
      <c r="C3294" t="s">
        <v>125</v>
      </c>
      <c r="D3294" t="s">
        <v>126</v>
      </c>
      <c r="E3294">
        <v>2015</v>
      </c>
      <c r="F3294" s="1">
        <v>8</v>
      </c>
      <c r="G3294">
        <v>2010</v>
      </c>
      <c r="H3294">
        <f>AVERAGEIFS(Table1[value],Table1[IndicatorCode],Table1[[#This Row],[IndicatorCode]])</f>
        <v>7.6894248608534319</v>
      </c>
      <c r="I3294" cm="1">
        <f t="array" ref="I3294">_xlfn.STDEV.P(IF(Table1[IndicatorCode]=Table1[[#This Row],[IndicatorCode]],Table1[value]))</f>
        <v>5.2319501044600996</v>
      </c>
      <c r="J3294">
        <f>(Table1[[#This Row],[value]] - Table1[[#This Row],[mean]]) / Table1[[#This Row],[std_dev]]</f>
        <v>5.9361257838030791E-2</v>
      </c>
      <c r="K3294">
        <f>AVERAGEIF(Table1[CountryCode],Table1[[#This Row],[CountryCode]],Table1[z-score])</f>
        <v>0.33171547334985529</v>
      </c>
      <c r="L3294" t="e">
        <f>VLOOKUP(Table1[[#This Row],[CountryCode]],[1]!Table1[#Data],4,FALSE)</f>
        <v>#REF!</v>
      </c>
    </row>
    <row r="3295" spans="1:12" hidden="1" x14ac:dyDescent="0.3">
      <c r="A3295" t="s">
        <v>65</v>
      </c>
      <c r="B3295" t="s">
        <v>66</v>
      </c>
      <c r="C3295" t="s">
        <v>125</v>
      </c>
      <c r="D3295" t="s">
        <v>126</v>
      </c>
      <c r="E3295">
        <v>2016</v>
      </c>
      <c r="F3295" s="1">
        <v>8</v>
      </c>
      <c r="G3295">
        <v>2010</v>
      </c>
      <c r="H3295">
        <f>AVERAGEIFS(Table1[value],Table1[IndicatorCode],Table1[[#This Row],[IndicatorCode]])</f>
        <v>7.6894248608534319</v>
      </c>
      <c r="I3295" cm="1">
        <f t="array" ref="I3295">_xlfn.STDEV.P(IF(Table1[IndicatorCode]=Table1[[#This Row],[IndicatorCode]],Table1[value]))</f>
        <v>5.2319501044600996</v>
      </c>
      <c r="J3295">
        <f>(Table1[[#This Row],[value]] - Table1[[#This Row],[mean]]) / Table1[[#This Row],[std_dev]]</f>
        <v>5.9361257838030791E-2</v>
      </c>
      <c r="K3295">
        <f>AVERAGEIF(Table1[CountryCode],Table1[[#This Row],[CountryCode]],Table1[z-score])</f>
        <v>0.33171547334985529</v>
      </c>
      <c r="L3295" t="e">
        <f>VLOOKUP(Table1[[#This Row],[CountryCode]],[1]!Table1[#Data],4,FALSE)</f>
        <v>#REF!</v>
      </c>
    </row>
    <row r="3296" spans="1:12" hidden="1" x14ac:dyDescent="0.3">
      <c r="A3296" t="s">
        <v>65</v>
      </c>
      <c r="B3296" t="s">
        <v>66</v>
      </c>
      <c r="C3296" t="s">
        <v>125</v>
      </c>
      <c r="D3296" t="s">
        <v>126</v>
      </c>
      <c r="E3296">
        <v>2017</v>
      </c>
      <c r="F3296" s="1">
        <v>8</v>
      </c>
      <c r="G3296">
        <v>2020</v>
      </c>
      <c r="H3296">
        <f>AVERAGEIFS(Table1[value],Table1[IndicatorCode],Table1[[#This Row],[IndicatorCode]])</f>
        <v>7.6894248608534319</v>
      </c>
      <c r="I3296" cm="1">
        <f t="array" ref="I3296">_xlfn.STDEV.P(IF(Table1[IndicatorCode]=Table1[[#This Row],[IndicatorCode]],Table1[value]))</f>
        <v>5.2319501044600996</v>
      </c>
      <c r="J3296">
        <f>(Table1[[#This Row],[value]] - Table1[[#This Row],[mean]]) / Table1[[#This Row],[std_dev]]</f>
        <v>5.9361257838030791E-2</v>
      </c>
      <c r="K3296">
        <f>AVERAGEIF(Table1[CountryCode],Table1[[#This Row],[CountryCode]],Table1[z-score])</f>
        <v>0.33171547334985529</v>
      </c>
      <c r="L3296" t="e">
        <f>VLOOKUP(Table1[[#This Row],[CountryCode]],[1]!Table1[#Data],4,FALSE)</f>
        <v>#REF!</v>
      </c>
    </row>
    <row r="3297" spans="1:12" hidden="1" x14ac:dyDescent="0.3">
      <c r="A3297" t="s">
        <v>65</v>
      </c>
      <c r="B3297" t="s">
        <v>66</v>
      </c>
      <c r="C3297" t="s">
        <v>125</v>
      </c>
      <c r="D3297" t="s">
        <v>126</v>
      </c>
      <c r="E3297">
        <v>2018</v>
      </c>
      <c r="F3297" s="1">
        <v>8</v>
      </c>
      <c r="G3297">
        <v>2020</v>
      </c>
      <c r="H3297">
        <f>AVERAGEIFS(Table1[value],Table1[IndicatorCode],Table1[[#This Row],[IndicatorCode]])</f>
        <v>7.6894248608534319</v>
      </c>
      <c r="I3297" cm="1">
        <f t="array" ref="I3297">_xlfn.STDEV.P(IF(Table1[IndicatorCode]=Table1[[#This Row],[IndicatorCode]],Table1[value]))</f>
        <v>5.2319501044600996</v>
      </c>
      <c r="J3297">
        <f>(Table1[[#This Row],[value]] - Table1[[#This Row],[mean]]) / Table1[[#This Row],[std_dev]]</f>
        <v>5.9361257838030791E-2</v>
      </c>
      <c r="K3297">
        <f>AVERAGEIF(Table1[CountryCode],Table1[[#This Row],[CountryCode]],Table1[z-score])</f>
        <v>0.33171547334985529</v>
      </c>
      <c r="L3297" t="e">
        <f>VLOOKUP(Table1[[#This Row],[CountryCode]],[1]!Table1[#Data],4,FALSE)</f>
        <v>#REF!</v>
      </c>
    </row>
    <row r="3298" spans="1:12" hidden="1" x14ac:dyDescent="0.3">
      <c r="A3298" t="s">
        <v>65</v>
      </c>
      <c r="B3298" t="s">
        <v>66</v>
      </c>
      <c r="C3298" t="s">
        <v>125</v>
      </c>
      <c r="D3298" t="s">
        <v>126</v>
      </c>
      <c r="E3298">
        <v>2019</v>
      </c>
      <c r="F3298" s="1">
        <v>7</v>
      </c>
      <c r="G3298">
        <v>2020</v>
      </c>
      <c r="H3298">
        <f>AVERAGEIFS(Table1[value],Table1[IndicatorCode],Table1[[#This Row],[IndicatorCode]])</f>
        <v>7.6894248608534319</v>
      </c>
      <c r="I3298" cm="1">
        <f t="array" ref="I3298">_xlfn.STDEV.P(IF(Table1[IndicatorCode]=Table1[[#This Row],[IndicatorCode]],Table1[value]))</f>
        <v>5.2319501044600996</v>
      </c>
      <c r="J3298">
        <f>(Table1[[#This Row],[value]] - Table1[[#This Row],[mean]]) / Table1[[#This Row],[std_dev]]</f>
        <v>-0.13177206339672762</v>
      </c>
      <c r="K3298">
        <f>AVERAGEIF(Table1[CountryCode],Table1[[#This Row],[CountryCode]],Table1[z-score])</f>
        <v>0.33171547334985529</v>
      </c>
      <c r="L3298" t="e">
        <f>VLOOKUP(Table1[[#This Row],[CountryCode]],[1]!Table1[#Data],4,FALSE)</f>
        <v>#REF!</v>
      </c>
    </row>
    <row r="3299" spans="1:12" x14ac:dyDescent="0.3">
      <c r="A3299" t="s">
        <v>65</v>
      </c>
      <c r="B3299" t="s">
        <v>66</v>
      </c>
      <c r="C3299" t="s">
        <v>125</v>
      </c>
      <c r="D3299" t="s">
        <v>126</v>
      </c>
      <c r="E3299">
        <v>2020</v>
      </c>
      <c r="F3299" s="1">
        <v>7</v>
      </c>
      <c r="G3299">
        <v>2020</v>
      </c>
      <c r="H3299">
        <f>AVERAGEIFS(Table1[value],Table1[IndicatorCode],Table1[[#This Row],[IndicatorCode]])</f>
        <v>7.6894248608534319</v>
      </c>
      <c r="I3299" cm="1">
        <f t="array" ref="I3299">_xlfn.STDEV.P(IF(Table1[IndicatorCode]=Table1[[#This Row],[IndicatorCode]],Table1[value]))</f>
        <v>5.2319501044600996</v>
      </c>
      <c r="J3299">
        <f>(Table1[[#This Row],[value]] - Table1[[#This Row],[mean]]) / Table1[[#This Row],[std_dev]]</f>
        <v>-0.13177206339672762</v>
      </c>
      <c r="K3299">
        <f>AVERAGEIF(Table1[CountryCode],Table1[[#This Row],[CountryCode]],Table1[z-score])</f>
        <v>0.33171547334985529</v>
      </c>
    </row>
    <row r="3300" spans="1:12" hidden="1" x14ac:dyDescent="0.3">
      <c r="A3300" t="s">
        <v>65</v>
      </c>
      <c r="B3300" t="s">
        <v>66</v>
      </c>
      <c r="C3300" t="s">
        <v>125</v>
      </c>
      <c r="D3300" t="s">
        <v>126</v>
      </c>
      <c r="E3300">
        <v>2021</v>
      </c>
      <c r="F3300" s="1">
        <v>7</v>
      </c>
      <c r="G3300">
        <v>2020</v>
      </c>
      <c r="H3300">
        <f>AVERAGEIFS(Table1[value],Table1[IndicatorCode],Table1[[#This Row],[IndicatorCode]])</f>
        <v>7.6894248608534319</v>
      </c>
      <c r="I3300" cm="1">
        <f t="array" ref="I3300">_xlfn.STDEV.P(IF(Table1[IndicatorCode]=Table1[[#This Row],[IndicatorCode]],Table1[value]))</f>
        <v>5.2319501044600996</v>
      </c>
      <c r="J3300">
        <f>(Table1[[#This Row],[value]] - Table1[[#This Row],[mean]]) / Table1[[#This Row],[std_dev]]</f>
        <v>-0.13177206339672762</v>
      </c>
      <c r="K3300">
        <f>AVERAGEIF(Table1[CountryCode],Table1[[#This Row],[CountryCode]],Table1[z-score])</f>
        <v>0.33171547334985529</v>
      </c>
      <c r="L3300" t="e">
        <f>VLOOKUP(Table1[[#This Row],[CountryCode]],[1]!Table1[#Data],4,FALSE)</f>
        <v>#REF!</v>
      </c>
    </row>
    <row r="3301" spans="1:12" hidden="1" x14ac:dyDescent="0.3">
      <c r="A3301" t="s">
        <v>65</v>
      </c>
      <c r="B3301" t="s">
        <v>66</v>
      </c>
      <c r="C3301" t="s">
        <v>125</v>
      </c>
      <c r="D3301" t="s">
        <v>126</v>
      </c>
      <c r="E3301">
        <v>2022</v>
      </c>
      <c r="F3301" s="1">
        <v>7</v>
      </c>
      <c r="G3301">
        <v>1970</v>
      </c>
      <c r="H3301">
        <f>AVERAGEIFS(Table1[value],Table1[IndicatorCode],Table1[[#This Row],[IndicatorCode]])</f>
        <v>7.6894248608534319</v>
      </c>
      <c r="I3301" cm="1">
        <f t="array" ref="I3301">_xlfn.STDEV.P(IF(Table1[IndicatorCode]=Table1[[#This Row],[IndicatorCode]],Table1[value]))</f>
        <v>5.2319501044600996</v>
      </c>
      <c r="J3301">
        <f>(Table1[[#This Row],[value]] - Table1[[#This Row],[mean]]) / Table1[[#This Row],[std_dev]]</f>
        <v>-0.13177206339672762</v>
      </c>
      <c r="K3301">
        <f>AVERAGEIF(Table1[CountryCode],Table1[[#This Row],[CountryCode]],Table1[z-score])</f>
        <v>0.33171547334985529</v>
      </c>
      <c r="L3301" t="e">
        <f>VLOOKUP(Table1[[#This Row],[CountryCode]],[1]!Table1[#Data],4,FALSE)</f>
        <v>#REF!</v>
      </c>
    </row>
    <row r="3302" spans="1:12" hidden="1" x14ac:dyDescent="0.3">
      <c r="A3302" t="s">
        <v>65</v>
      </c>
      <c r="B3302" t="s">
        <v>66</v>
      </c>
      <c r="C3302" t="s">
        <v>125</v>
      </c>
      <c r="D3302" t="s">
        <v>126</v>
      </c>
      <c r="E3302">
        <v>2023</v>
      </c>
      <c r="F3302" s="1">
        <v>6</v>
      </c>
      <c r="G3302">
        <v>1970</v>
      </c>
      <c r="H3302">
        <f>AVERAGEIFS(Table1[value],Table1[IndicatorCode],Table1[[#This Row],[IndicatorCode]])</f>
        <v>7.6894248608534319</v>
      </c>
      <c r="I3302" cm="1">
        <f t="array" ref="I3302">_xlfn.STDEV.P(IF(Table1[IndicatorCode]=Table1[[#This Row],[IndicatorCode]],Table1[value]))</f>
        <v>5.2319501044600996</v>
      </c>
      <c r="J3302">
        <f>(Table1[[#This Row],[value]] - Table1[[#This Row],[mean]]) / Table1[[#This Row],[std_dev]]</f>
        <v>-0.32290538463148605</v>
      </c>
      <c r="K3302">
        <f>AVERAGEIF(Table1[CountryCode],Table1[[#This Row],[CountryCode]],Table1[z-score])</f>
        <v>0.33171547334985529</v>
      </c>
      <c r="L3302" t="e">
        <f>VLOOKUP(Table1[[#This Row],[CountryCode]],[1]!Table1[#Data],4,FALSE)</f>
        <v>#REF!</v>
      </c>
    </row>
    <row r="3303" spans="1:12" hidden="1" x14ac:dyDescent="0.3">
      <c r="A3303" t="s">
        <v>65</v>
      </c>
      <c r="B3303" t="s">
        <v>66</v>
      </c>
      <c r="C3303" t="s">
        <v>125</v>
      </c>
      <c r="D3303" t="s">
        <v>126</v>
      </c>
      <c r="E3303">
        <v>2024</v>
      </c>
      <c r="F3303" s="1">
        <v>6</v>
      </c>
      <c r="G3303">
        <v>1970</v>
      </c>
      <c r="H3303">
        <f>AVERAGEIFS(Table1[value],Table1[IndicatorCode],Table1[[#This Row],[IndicatorCode]])</f>
        <v>7.6894248608534319</v>
      </c>
      <c r="I3303" cm="1">
        <f t="array" ref="I3303">_xlfn.STDEV.P(IF(Table1[IndicatorCode]=Table1[[#This Row],[IndicatorCode]],Table1[value]))</f>
        <v>5.2319501044600996</v>
      </c>
      <c r="J3303">
        <f>(Table1[[#This Row],[value]] - Table1[[#This Row],[mean]]) / Table1[[#This Row],[std_dev]]</f>
        <v>-0.32290538463148605</v>
      </c>
      <c r="K3303">
        <f>AVERAGEIF(Table1[CountryCode],Table1[[#This Row],[CountryCode]],Table1[z-score])</f>
        <v>0.33171547334985529</v>
      </c>
      <c r="L3303" t="e">
        <f>VLOOKUP(Table1[[#This Row],[CountryCode]],[1]!Table1[#Data],4,FALSE)</f>
        <v>#REF!</v>
      </c>
    </row>
    <row r="3304" spans="1:12" hidden="1" x14ac:dyDescent="0.3">
      <c r="A3304" t="s">
        <v>67</v>
      </c>
      <c r="B3304" t="s">
        <v>68</v>
      </c>
      <c r="C3304" t="s">
        <v>125</v>
      </c>
      <c r="D3304" t="s">
        <v>126</v>
      </c>
      <c r="E3304">
        <v>1970</v>
      </c>
      <c r="F3304" s="1">
        <v>9</v>
      </c>
      <c r="G3304">
        <v>1970</v>
      </c>
      <c r="H3304">
        <f>AVERAGEIFS(Table1[value],Table1[IndicatorCode],Table1[[#This Row],[IndicatorCode]])</f>
        <v>7.6894248608534319</v>
      </c>
      <c r="I3304" cm="1">
        <f t="array" ref="I3304">_xlfn.STDEV.P(IF(Table1[IndicatorCode]=Table1[[#This Row],[IndicatorCode]],Table1[value]))</f>
        <v>5.2319501044600996</v>
      </c>
      <c r="J3304">
        <f>(Table1[[#This Row],[value]] - Table1[[#This Row],[mean]]) / Table1[[#This Row],[std_dev]]</f>
        <v>0.25049457907278921</v>
      </c>
      <c r="K3304">
        <f>AVERAGEIF(Table1[CountryCode],Table1[[#This Row],[CountryCode]],Table1[z-score])</f>
        <v>0.55967304374969629</v>
      </c>
      <c r="L3304" t="e">
        <f>VLOOKUP(Table1[[#This Row],[CountryCode]],[1]!Table1[#Data],4,FALSE)</f>
        <v>#REF!</v>
      </c>
    </row>
    <row r="3305" spans="1:12" hidden="1" x14ac:dyDescent="0.3">
      <c r="A3305" t="s">
        <v>67</v>
      </c>
      <c r="B3305" t="s">
        <v>68</v>
      </c>
      <c r="C3305" t="s">
        <v>125</v>
      </c>
      <c r="D3305" t="s">
        <v>126</v>
      </c>
      <c r="E3305">
        <v>1971</v>
      </c>
      <c r="F3305" s="1">
        <v>10</v>
      </c>
      <c r="G3305">
        <v>1970</v>
      </c>
      <c r="H3305">
        <f>AVERAGEIFS(Table1[value],Table1[IndicatorCode],Table1[[#This Row],[IndicatorCode]])</f>
        <v>7.6894248608534319</v>
      </c>
      <c r="I3305" cm="1">
        <f t="array" ref="I3305">_xlfn.STDEV.P(IF(Table1[IndicatorCode]=Table1[[#This Row],[IndicatorCode]],Table1[value]))</f>
        <v>5.2319501044600996</v>
      </c>
      <c r="J3305">
        <f>(Table1[[#This Row],[value]] - Table1[[#This Row],[mean]]) / Table1[[#This Row],[std_dev]]</f>
        <v>0.44162790030754762</v>
      </c>
      <c r="K3305">
        <f>AVERAGEIF(Table1[CountryCode],Table1[[#This Row],[CountryCode]],Table1[z-score])</f>
        <v>0.55967304374969629</v>
      </c>
      <c r="L3305" t="e">
        <f>VLOOKUP(Table1[[#This Row],[CountryCode]],[1]!Table1[#Data],4,FALSE)</f>
        <v>#REF!</v>
      </c>
    </row>
    <row r="3306" spans="1:12" hidden="1" x14ac:dyDescent="0.3">
      <c r="A3306" t="s">
        <v>67</v>
      </c>
      <c r="B3306" t="s">
        <v>68</v>
      </c>
      <c r="C3306" t="s">
        <v>125</v>
      </c>
      <c r="D3306" t="s">
        <v>126</v>
      </c>
      <c r="E3306">
        <v>1972</v>
      </c>
      <c r="F3306" s="1">
        <v>11</v>
      </c>
      <c r="G3306">
        <v>1970</v>
      </c>
      <c r="H3306">
        <f>AVERAGEIFS(Table1[value],Table1[IndicatorCode],Table1[[#This Row],[IndicatorCode]])</f>
        <v>7.6894248608534319</v>
      </c>
      <c r="I3306" cm="1">
        <f t="array" ref="I3306">_xlfn.STDEV.P(IF(Table1[IndicatorCode]=Table1[[#This Row],[IndicatorCode]],Table1[value]))</f>
        <v>5.2319501044600996</v>
      </c>
      <c r="J3306">
        <f>(Table1[[#This Row],[value]] - Table1[[#This Row],[mean]]) / Table1[[#This Row],[std_dev]]</f>
        <v>0.63276122154230596</v>
      </c>
      <c r="K3306">
        <f>AVERAGEIF(Table1[CountryCode],Table1[[#This Row],[CountryCode]],Table1[z-score])</f>
        <v>0.55967304374969629</v>
      </c>
      <c r="L3306" t="e">
        <f>VLOOKUP(Table1[[#This Row],[CountryCode]],[1]!Table1[#Data],4,FALSE)</f>
        <v>#REF!</v>
      </c>
    </row>
    <row r="3307" spans="1:12" hidden="1" x14ac:dyDescent="0.3">
      <c r="A3307" t="s">
        <v>67</v>
      </c>
      <c r="B3307" t="s">
        <v>68</v>
      </c>
      <c r="C3307" t="s">
        <v>125</v>
      </c>
      <c r="D3307" t="s">
        <v>126</v>
      </c>
      <c r="E3307">
        <v>1973</v>
      </c>
      <c r="F3307" s="1">
        <v>12</v>
      </c>
      <c r="G3307">
        <v>1970</v>
      </c>
      <c r="H3307">
        <f>AVERAGEIFS(Table1[value],Table1[IndicatorCode],Table1[[#This Row],[IndicatorCode]])</f>
        <v>7.6894248608534319</v>
      </c>
      <c r="I3307" cm="1">
        <f t="array" ref="I3307">_xlfn.STDEV.P(IF(Table1[IndicatorCode]=Table1[[#This Row],[IndicatorCode]],Table1[value]))</f>
        <v>5.2319501044600996</v>
      </c>
      <c r="J3307">
        <f>(Table1[[#This Row],[value]] - Table1[[#This Row],[mean]]) / Table1[[#This Row],[std_dev]]</f>
        <v>0.82389454277706442</v>
      </c>
      <c r="K3307">
        <f>AVERAGEIF(Table1[CountryCode],Table1[[#This Row],[CountryCode]],Table1[z-score])</f>
        <v>0.55967304374969629</v>
      </c>
      <c r="L3307" t="e">
        <f>VLOOKUP(Table1[[#This Row],[CountryCode]],[1]!Table1[#Data],4,FALSE)</f>
        <v>#REF!</v>
      </c>
    </row>
    <row r="3308" spans="1:12" hidden="1" x14ac:dyDescent="0.3">
      <c r="A3308" t="s">
        <v>67</v>
      </c>
      <c r="B3308" t="s">
        <v>68</v>
      </c>
      <c r="C3308" t="s">
        <v>125</v>
      </c>
      <c r="D3308" t="s">
        <v>126</v>
      </c>
      <c r="E3308">
        <v>1974</v>
      </c>
      <c r="F3308" s="1">
        <v>12</v>
      </c>
      <c r="G3308">
        <v>1970</v>
      </c>
      <c r="H3308">
        <f>AVERAGEIFS(Table1[value],Table1[IndicatorCode],Table1[[#This Row],[IndicatorCode]])</f>
        <v>7.6894248608534319</v>
      </c>
      <c r="I3308" cm="1">
        <f t="array" ref="I3308">_xlfn.STDEV.P(IF(Table1[IndicatorCode]=Table1[[#This Row],[IndicatorCode]],Table1[value]))</f>
        <v>5.2319501044600996</v>
      </c>
      <c r="J3308">
        <f>(Table1[[#This Row],[value]] - Table1[[#This Row],[mean]]) / Table1[[#This Row],[std_dev]]</f>
        <v>0.82389454277706442</v>
      </c>
      <c r="K3308">
        <f>AVERAGEIF(Table1[CountryCode],Table1[[#This Row],[CountryCode]],Table1[z-score])</f>
        <v>0.55967304374969629</v>
      </c>
      <c r="L3308" t="e">
        <f>VLOOKUP(Table1[[#This Row],[CountryCode]],[1]!Table1[#Data],4,FALSE)</f>
        <v>#REF!</v>
      </c>
    </row>
    <row r="3309" spans="1:12" hidden="1" x14ac:dyDescent="0.3">
      <c r="A3309" t="s">
        <v>67</v>
      </c>
      <c r="B3309" t="s">
        <v>68</v>
      </c>
      <c r="C3309" t="s">
        <v>125</v>
      </c>
      <c r="D3309" t="s">
        <v>126</v>
      </c>
      <c r="E3309">
        <v>1975</v>
      </c>
      <c r="F3309" s="1">
        <v>11</v>
      </c>
      <c r="G3309">
        <v>1970</v>
      </c>
      <c r="H3309">
        <f>AVERAGEIFS(Table1[value],Table1[IndicatorCode],Table1[[#This Row],[IndicatorCode]])</f>
        <v>7.6894248608534319</v>
      </c>
      <c r="I3309" cm="1">
        <f t="array" ref="I3309">_xlfn.STDEV.P(IF(Table1[IndicatorCode]=Table1[[#This Row],[IndicatorCode]],Table1[value]))</f>
        <v>5.2319501044600996</v>
      </c>
      <c r="J3309">
        <f>(Table1[[#This Row],[value]] - Table1[[#This Row],[mean]]) / Table1[[#This Row],[std_dev]]</f>
        <v>0.63276122154230596</v>
      </c>
      <c r="K3309">
        <f>AVERAGEIF(Table1[CountryCode],Table1[[#This Row],[CountryCode]],Table1[z-score])</f>
        <v>0.55967304374969629</v>
      </c>
      <c r="L3309" t="e">
        <f>VLOOKUP(Table1[[#This Row],[CountryCode]],[1]!Table1[#Data],4,FALSE)</f>
        <v>#REF!</v>
      </c>
    </row>
    <row r="3310" spans="1:12" hidden="1" x14ac:dyDescent="0.3">
      <c r="A3310" t="s">
        <v>67</v>
      </c>
      <c r="B3310" t="s">
        <v>68</v>
      </c>
      <c r="C3310" t="s">
        <v>125</v>
      </c>
      <c r="D3310" t="s">
        <v>126</v>
      </c>
      <c r="E3310">
        <v>1976</v>
      </c>
      <c r="F3310" s="1">
        <v>11</v>
      </c>
      <c r="G3310">
        <v>1970</v>
      </c>
      <c r="H3310">
        <f>AVERAGEIFS(Table1[value],Table1[IndicatorCode],Table1[[#This Row],[IndicatorCode]])</f>
        <v>7.6894248608534319</v>
      </c>
      <c r="I3310" cm="1">
        <f t="array" ref="I3310">_xlfn.STDEV.P(IF(Table1[IndicatorCode]=Table1[[#This Row],[IndicatorCode]],Table1[value]))</f>
        <v>5.2319501044600996</v>
      </c>
      <c r="J3310">
        <f>(Table1[[#This Row],[value]] - Table1[[#This Row],[mean]]) / Table1[[#This Row],[std_dev]]</f>
        <v>0.63276122154230596</v>
      </c>
      <c r="K3310">
        <f>AVERAGEIF(Table1[CountryCode],Table1[[#This Row],[CountryCode]],Table1[z-score])</f>
        <v>0.55967304374969629</v>
      </c>
      <c r="L3310" t="e">
        <f>VLOOKUP(Table1[[#This Row],[CountryCode]],[1]!Table1[#Data],4,FALSE)</f>
        <v>#REF!</v>
      </c>
    </row>
    <row r="3311" spans="1:12" hidden="1" x14ac:dyDescent="0.3">
      <c r="A3311" t="s">
        <v>67</v>
      </c>
      <c r="B3311" t="s">
        <v>68</v>
      </c>
      <c r="C3311" t="s">
        <v>125</v>
      </c>
      <c r="D3311" t="s">
        <v>126</v>
      </c>
      <c r="E3311">
        <v>1977</v>
      </c>
      <c r="F3311" s="1">
        <v>11</v>
      </c>
      <c r="G3311">
        <v>1980</v>
      </c>
      <c r="H3311">
        <f>AVERAGEIFS(Table1[value],Table1[IndicatorCode],Table1[[#This Row],[IndicatorCode]])</f>
        <v>7.6894248608534319</v>
      </c>
      <c r="I3311" cm="1">
        <f t="array" ref="I3311">_xlfn.STDEV.P(IF(Table1[IndicatorCode]=Table1[[#This Row],[IndicatorCode]],Table1[value]))</f>
        <v>5.2319501044600996</v>
      </c>
      <c r="J3311">
        <f>(Table1[[#This Row],[value]] - Table1[[#This Row],[mean]]) / Table1[[#This Row],[std_dev]]</f>
        <v>0.63276122154230596</v>
      </c>
      <c r="K3311">
        <f>AVERAGEIF(Table1[CountryCode],Table1[[#This Row],[CountryCode]],Table1[z-score])</f>
        <v>0.55967304374969629</v>
      </c>
      <c r="L3311" t="e">
        <f>VLOOKUP(Table1[[#This Row],[CountryCode]],[1]!Table1[#Data],4,FALSE)</f>
        <v>#REF!</v>
      </c>
    </row>
    <row r="3312" spans="1:12" hidden="1" x14ac:dyDescent="0.3">
      <c r="A3312" t="s">
        <v>67</v>
      </c>
      <c r="B3312" t="s">
        <v>68</v>
      </c>
      <c r="C3312" t="s">
        <v>125</v>
      </c>
      <c r="D3312" t="s">
        <v>126</v>
      </c>
      <c r="E3312">
        <v>1978</v>
      </c>
      <c r="F3312" s="1">
        <v>11</v>
      </c>
      <c r="G3312">
        <v>1980</v>
      </c>
      <c r="H3312">
        <f>AVERAGEIFS(Table1[value],Table1[IndicatorCode],Table1[[#This Row],[IndicatorCode]])</f>
        <v>7.6894248608534319</v>
      </c>
      <c r="I3312" cm="1">
        <f t="array" ref="I3312">_xlfn.STDEV.P(IF(Table1[IndicatorCode]=Table1[[#This Row],[IndicatorCode]],Table1[value]))</f>
        <v>5.2319501044600996</v>
      </c>
      <c r="J3312">
        <f>(Table1[[#This Row],[value]] - Table1[[#This Row],[mean]]) / Table1[[#This Row],[std_dev]]</f>
        <v>0.63276122154230596</v>
      </c>
      <c r="K3312">
        <f>AVERAGEIF(Table1[CountryCode],Table1[[#This Row],[CountryCode]],Table1[z-score])</f>
        <v>0.55967304374969629</v>
      </c>
      <c r="L3312" t="e">
        <f>VLOOKUP(Table1[[#This Row],[CountryCode]],[1]!Table1[#Data],4,FALSE)</f>
        <v>#REF!</v>
      </c>
    </row>
    <row r="3313" spans="1:12" hidden="1" x14ac:dyDescent="0.3">
      <c r="A3313" t="s">
        <v>67</v>
      </c>
      <c r="B3313" t="s">
        <v>68</v>
      </c>
      <c r="C3313" t="s">
        <v>125</v>
      </c>
      <c r="D3313" t="s">
        <v>126</v>
      </c>
      <c r="E3313">
        <v>1979</v>
      </c>
      <c r="F3313" s="1">
        <v>12</v>
      </c>
      <c r="G3313">
        <v>1980</v>
      </c>
      <c r="H3313">
        <f>AVERAGEIFS(Table1[value],Table1[IndicatorCode],Table1[[#This Row],[IndicatorCode]])</f>
        <v>7.6894248608534319</v>
      </c>
      <c r="I3313" cm="1">
        <f t="array" ref="I3313">_xlfn.STDEV.P(IF(Table1[IndicatorCode]=Table1[[#This Row],[IndicatorCode]],Table1[value]))</f>
        <v>5.2319501044600996</v>
      </c>
      <c r="J3313">
        <f>(Table1[[#This Row],[value]] - Table1[[#This Row],[mean]]) / Table1[[#This Row],[std_dev]]</f>
        <v>0.82389454277706442</v>
      </c>
      <c r="K3313">
        <f>AVERAGEIF(Table1[CountryCode],Table1[[#This Row],[CountryCode]],Table1[z-score])</f>
        <v>0.55967304374969629</v>
      </c>
      <c r="L3313" t="e">
        <f>VLOOKUP(Table1[[#This Row],[CountryCode]],[1]!Table1[#Data],4,FALSE)</f>
        <v>#REF!</v>
      </c>
    </row>
    <row r="3314" spans="1:12" hidden="1" x14ac:dyDescent="0.3">
      <c r="A3314" t="s">
        <v>67</v>
      </c>
      <c r="B3314" t="s">
        <v>68</v>
      </c>
      <c r="C3314" t="s">
        <v>125</v>
      </c>
      <c r="D3314" t="s">
        <v>126</v>
      </c>
      <c r="E3314">
        <v>1980</v>
      </c>
      <c r="F3314" s="1">
        <v>11</v>
      </c>
      <c r="G3314">
        <v>1980</v>
      </c>
      <c r="H3314">
        <f>AVERAGEIFS(Table1[value],Table1[IndicatorCode],Table1[[#This Row],[IndicatorCode]])</f>
        <v>7.6894248608534319</v>
      </c>
      <c r="I3314" cm="1">
        <f t="array" ref="I3314">_xlfn.STDEV.P(IF(Table1[IndicatorCode]=Table1[[#This Row],[IndicatorCode]],Table1[value]))</f>
        <v>5.2319501044600996</v>
      </c>
      <c r="J3314">
        <f>(Table1[[#This Row],[value]] - Table1[[#This Row],[mean]]) / Table1[[#This Row],[std_dev]]</f>
        <v>0.63276122154230596</v>
      </c>
      <c r="K3314">
        <f>AVERAGEIF(Table1[CountryCode],Table1[[#This Row],[CountryCode]],Table1[z-score])</f>
        <v>0.55967304374969629</v>
      </c>
      <c r="L3314" t="e">
        <f>VLOOKUP(Table1[[#This Row],[CountryCode]],[1]!Table1[#Data],4,FALSE)</f>
        <v>#REF!</v>
      </c>
    </row>
    <row r="3315" spans="1:12" hidden="1" x14ac:dyDescent="0.3">
      <c r="A3315" t="s">
        <v>67</v>
      </c>
      <c r="B3315" t="s">
        <v>68</v>
      </c>
      <c r="C3315" t="s">
        <v>125</v>
      </c>
      <c r="D3315" t="s">
        <v>126</v>
      </c>
      <c r="E3315">
        <v>1981</v>
      </c>
      <c r="F3315" s="1">
        <v>10</v>
      </c>
      <c r="G3315">
        <v>1980</v>
      </c>
      <c r="H3315">
        <f>AVERAGEIFS(Table1[value],Table1[IndicatorCode],Table1[[#This Row],[IndicatorCode]])</f>
        <v>7.6894248608534319</v>
      </c>
      <c r="I3315" cm="1">
        <f t="array" ref="I3315">_xlfn.STDEV.P(IF(Table1[IndicatorCode]=Table1[[#This Row],[IndicatorCode]],Table1[value]))</f>
        <v>5.2319501044600996</v>
      </c>
      <c r="J3315">
        <f>(Table1[[#This Row],[value]] - Table1[[#This Row],[mean]]) / Table1[[#This Row],[std_dev]]</f>
        <v>0.44162790030754762</v>
      </c>
      <c r="K3315">
        <f>AVERAGEIF(Table1[CountryCode],Table1[[#This Row],[CountryCode]],Table1[z-score])</f>
        <v>0.55967304374969629</v>
      </c>
      <c r="L3315" t="e">
        <f>VLOOKUP(Table1[[#This Row],[CountryCode]],[1]!Table1[#Data],4,FALSE)</f>
        <v>#REF!</v>
      </c>
    </row>
    <row r="3316" spans="1:12" hidden="1" x14ac:dyDescent="0.3">
      <c r="A3316" t="s">
        <v>67</v>
      </c>
      <c r="B3316" t="s">
        <v>68</v>
      </c>
      <c r="C3316" t="s">
        <v>125</v>
      </c>
      <c r="D3316" t="s">
        <v>126</v>
      </c>
      <c r="E3316">
        <v>1982</v>
      </c>
      <c r="F3316" s="1">
        <v>8</v>
      </c>
      <c r="G3316">
        <v>1980</v>
      </c>
      <c r="H3316">
        <f>AVERAGEIFS(Table1[value],Table1[IndicatorCode],Table1[[#This Row],[IndicatorCode]])</f>
        <v>7.6894248608534319</v>
      </c>
      <c r="I3316" cm="1">
        <f t="array" ref="I3316">_xlfn.STDEV.P(IF(Table1[IndicatorCode]=Table1[[#This Row],[IndicatorCode]],Table1[value]))</f>
        <v>5.2319501044600996</v>
      </c>
      <c r="J3316">
        <f>(Table1[[#This Row],[value]] - Table1[[#This Row],[mean]]) / Table1[[#This Row],[std_dev]]</f>
        <v>5.9361257838030791E-2</v>
      </c>
      <c r="K3316">
        <f>AVERAGEIF(Table1[CountryCode],Table1[[#This Row],[CountryCode]],Table1[z-score])</f>
        <v>0.55967304374969629</v>
      </c>
      <c r="L3316" t="e">
        <f>VLOOKUP(Table1[[#This Row],[CountryCode]],[1]!Table1[#Data],4,FALSE)</f>
        <v>#REF!</v>
      </c>
    </row>
    <row r="3317" spans="1:12" hidden="1" x14ac:dyDescent="0.3">
      <c r="A3317" t="s">
        <v>67</v>
      </c>
      <c r="B3317" t="s">
        <v>68</v>
      </c>
      <c r="C3317" t="s">
        <v>125</v>
      </c>
      <c r="D3317" t="s">
        <v>126</v>
      </c>
      <c r="E3317">
        <v>1983</v>
      </c>
      <c r="F3317" s="1">
        <v>9</v>
      </c>
      <c r="G3317">
        <v>1980</v>
      </c>
      <c r="H3317">
        <f>AVERAGEIFS(Table1[value],Table1[IndicatorCode],Table1[[#This Row],[IndicatorCode]])</f>
        <v>7.6894248608534319</v>
      </c>
      <c r="I3317" cm="1">
        <f t="array" ref="I3317">_xlfn.STDEV.P(IF(Table1[IndicatorCode]=Table1[[#This Row],[IndicatorCode]],Table1[value]))</f>
        <v>5.2319501044600996</v>
      </c>
      <c r="J3317">
        <f>(Table1[[#This Row],[value]] - Table1[[#This Row],[mean]]) / Table1[[#This Row],[std_dev]]</f>
        <v>0.25049457907278921</v>
      </c>
      <c r="K3317">
        <f>AVERAGEIF(Table1[CountryCode],Table1[[#This Row],[CountryCode]],Table1[z-score])</f>
        <v>0.55967304374969629</v>
      </c>
      <c r="L3317" t="e">
        <f>VLOOKUP(Table1[[#This Row],[CountryCode]],[1]!Table1[#Data],4,FALSE)</f>
        <v>#REF!</v>
      </c>
    </row>
    <row r="3318" spans="1:12" hidden="1" x14ac:dyDescent="0.3">
      <c r="A3318" t="s">
        <v>67</v>
      </c>
      <c r="B3318" t="s">
        <v>68</v>
      </c>
      <c r="C3318" t="s">
        <v>125</v>
      </c>
      <c r="D3318" t="s">
        <v>126</v>
      </c>
      <c r="E3318">
        <v>1984</v>
      </c>
      <c r="F3318" s="1">
        <v>9</v>
      </c>
      <c r="G3318">
        <v>1980</v>
      </c>
      <c r="H3318">
        <f>AVERAGEIFS(Table1[value],Table1[IndicatorCode],Table1[[#This Row],[IndicatorCode]])</f>
        <v>7.6894248608534319</v>
      </c>
      <c r="I3318" cm="1">
        <f t="array" ref="I3318">_xlfn.STDEV.P(IF(Table1[IndicatorCode]=Table1[[#This Row],[IndicatorCode]],Table1[value]))</f>
        <v>5.2319501044600996</v>
      </c>
      <c r="J3318">
        <f>(Table1[[#This Row],[value]] - Table1[[#This Row],[mean]]) / Table1[[#This Row],[std_dev]]</f>
        <v>0.25049457907278921</v>
      </c>
      <c r="K3318">
        <f>AVERAGEIF(Table1[CountryCode],Table1[[#This Row],[CountryCode]],Table1[z-score])</f>
        <v>0.55967304374969629</v>
      </c>
      <c r="L3318" t="e">
        <f>VLOOKUP(Table1[[#This Row],[CountryCode]],[1]!Table1[#Data],4,FALSE)</f>
        <v>#REF!</v>
      </c>
    </row>
    <row r="3319" spans="1:12" hidden="1" x14ac:dyDescent="0.3">
      <c r="A3319" t="s">
        <v>67</v>
      </c>
      <c r="B3319" t="s">
        <v>68</v>
      </c>
      <c r="C3319" t="s">
        <v>125</v>
      </c>
      <c r="D3319" t="s">
        <v>126</v>
      </c>
      <c r="E3319">
        <v>1985</v>
      </c>
      <c r="F3319" s="1">
        <v>9</v>
      </c>
      <c r="G3319">
        <v>1980</v>
      </c>
      <c r="H3319">
        <f>AVERAGEIFS(Table1[value],Table1[IndicatorCode],Table1[[#This Row],[IndicatorCode]])</f>
        <v>7.6894248608534319</v>
      </c>
      <c r="I3319" cm="1">
        <f t="array" ref="I3319">_xlfn.STDEV.P(IF(Table1[IndicatorCode]=Table1[[#This Row],[IndicatorCode]],Table1[value]))</f>
        <v>5.2319501044600996</v>
      </c>
      <c r="J3319">
        <f>(Table1[[#This Row],[value]] - Table1[[#This Row],[mean]]) / Table1[[#This Row],[std_dev]]</f>
        <v>0.25049457907278921</v>
      </c>
      <c r="K3319">
        <f>AVERAGEIF(Table1[CountryCode],Table1[[#This Row],[CountryCode]],Table1[z-score])</f>
        <v>0.55967304374969629</v>
      </c>
      <c r="L3319" t="e">
        <f>VLOOKUP(Table1[[#This Row],[CountryCode]],[1]!Table1[#Data],4,FALSE)</f>
        <v>#REF!</v>
      </c>
    </row>
    <row r="3320" spans="1:12" hidden="1" x14ac:dyDescent="0.3">
      <c r="A3320" t="s">
        <v>67</v>
      </c>
      <c r="B3320" t="s">
        <v>68</v>
      </c>
      <c r="C3320" t="s">
        <v>125</v>
      </c>
      <c r="D3320" t="s">
        <v>126</v>
      </c>
      <c r="E3320">
        <v>1986</v>
      </c>
      <c r="F3320" s="1">
        <v>9</v>
      </c>
      <c r="G3320">
        <v>1980</v>
      </c>
      <c r="H3320">
        <f>AVERAGEIFS(Table1[value],Table1[IndicatorCode],Table1[[#This Row],[IndicatorCode]])</f>
        <v>7.6894248608534319</v>
      </c>
      <c r="I3320" cm="1">
        <f t="array" ref="I3320">_xlfn.STDEV.P(IF(Table1[IndicatorCode]=Table1[[#This Row],[IndicatorCode]],Table1[value]))</f>
        <v>5.2319501044600996</v>
      </c>
      <c r="J3320">
        <f>(Table1[[#This Row],[value]] - Table1[[#This Row],[mean]]) / Table1[[#This Row],[std_dev]]</f>
        <v>0.25049457907278921</v>
      </c>
      <c r="K3320">
        <f>AVERAGEIF(Table1[CountryCode],Table1[[#This Row],[CountryCode]],Table1[z-score])</f>
        <v>0.55967304374969629</v>
      </c>
      <c r="L3320" t="e">
        <f>VLOOKUP(Table1[[#This Row],[CountryCode]],[1]!Table1[#Data],4,FALSE)</f>
        <v>#REF!</v>
      </c>
    </row>
    <row r="3321" spans="1:12" hidden="1" x14ac:dyDescent="0.3">
      <c r="A3321" t="s">
        <v>67</v>
      </c>
      <c r="B3321" t="s">
        <v>68</v>
      </c>
      <c r="C3321" t="s">
        <v>125</v>
      </c>
      <c r="D3321" t="s">
        <v>126</v>
      </c>
      <c r="E3321">
        <v>1987</v>
      </c>
      <c r="F3321" s="1">
        <v>9</v>
      </c>
      <c r="G3321">
        <v>1990</v>
      </c>
      <c r="H3321">
        <f>AVERAGEIFS(Table1[value],Table1[IndicatorCode],Table1[[#This Row],[IndicatorCode]])</f>
        <v>7.6894248608534319</v>
      </c>
      <c r="I3321" cm="1">
        <f t="array" ref="I3321">_xlfn.STDEV.P(IF(Table1[IndicatorCode]=Table1[[#This Row],[IndicatorCode]],Table1[value]))</f>
        <v>5.2319501044600996</v>
      </c>
      <c r="J3321">
        <f>(Table1[[#This Row],[value]] - Table1[[#This Row],[mean]]) / Table1[[#This Row],[std_dev]]</f>
        <v>0.25049457907278921</v>
      </c>
      <c r="K3321">
        <f>AVERAGEIF(Table1[CountryCode],Table1[[#This Row],[CountryCode]],Table1[z-score])</f>
        <v>0.55967304374969629</v>
      </c>
      <c r="L3321" t="e">
        <f>VLOOKUP(Table1[[#This Row],[CountryCode]],[1]!Table1[#Data],4,FALSE)</f>
        <v>#REF!</v>
      </c>
    </row>
    <row r="3322" spans="1:12" hidden="1" x14ac:dyDescent="0.3">
      <c r="A3322" t="s">
        <v>67</v>
      </c>
      <c r="B3322" t="s">
        <v>68</v>
      </c>
      <c r="C3322" t="s">
        <v>125</v>
      </c>
      <c r="D3322" t="s">
        <v>126</v>
      </c>
      <c r="E3322">
        <v>1988</v>
      </c>
      <c r="F3322" s="1">
        <v>9</v>
      </c>
      <c r="G3322">
        <v>1990</v>
      </c>
      <c r="H3322">
        <f>AVERAGEIFS(Table1[value],Table1[IndicatorCode],Table1[[#This Row],[IndicatorCode]])</f>
        <v>7.6894248608534319</v>
      </c>
      <c r="I3322" cm="1">
        <f t="array" ref="I3322">_xlfn.STDEV.P(IF(Table1[IndicatorCode]=Table1[[#This Row],[IndicatorCode]],Table1[value]))</f>
        <v>5.2319501044600996</v>
      </c>
      <c r="J3322">
        <f>(Table1[[#This Row],[value]] - Table1[[#This Row],[mean]]) / Table1[[#This Row],[std_dev]]</f>
        <v>0.25049457907278921</v>
      </c>
      <c r="K3322">
        <f>AVERAGEIF(Table1[CountryCode],Table1[[#This Row],[CountryCode]],Table1[z-score])</f>
        <v>0.55967304374969629</v>
      </c>
      <c r="L3322" t="e">
        <f>VLOOKUP(Table1[[#This Row],[CountryCode]],[1]!Table1[#Data],4,FALSE)</f>
        <v>#REF!</v>
      </c>
    </row>
    <row r="3323" spans="1:12" hidden="1" x14ac:dyDescent="0.3">
      <c r="A3323" t="s">
        <v>67</v>
      </c>
      <c r="B3323" t="s">
        <v>68</v>
      </c>
      <c r="C3323" t="s">
        <v>125</v>
      </c>
      <c r="D3323" t="s">
        <v>126</v>
      </c>
      <c r="E3323">
        <v>1989</v>
      </c>
      <c r="F3323" s="1">
        <v>9</v>
      </c>
      <c r="G3323">
        <v>1990</v>
      </c>
      <c r="H3323">
        <f>AVERAGEIFS(Table1[value],Table1[IndicatorCode],Table1[[#This Row],[IndicatorCode]])</f>
        <v>7.6894248608534319</v>
      </c>
      <c r="I3323" cm="1">
        <f t="array" ref="I3323">_xlfn.STDEV.P(IF(Table1[IndicatorCode]=Table1[[#This Row],[IndicatorCode]],Table1[value]))</f>
        <v>5.2319501044600996</v>
      </c>
      <c r="J3323">
        <f>(Table1[[#This Row],[value]] - Table1[[#This Row],[mean]]) / Table1[[#This Row],[std_dev]]</f>
        <v>0.25049457907278921</v>
      </c>
      <c r="K3323">
        <f>AVERAGEIF(Table1[CountryCode],Table1[[#This Row],[CountryCode]],Table1[z-score])</f>
        <v>0.55967304374969629</v>
      </c>
      <c r="L3323" t="e">
        <f>VLOOKUP(Table1[[#This Row],[CountryCode]],[1]!Table1[#Data],4,FALSE)</f>
        <v>#REF!</v>
      </c>
    </row>
    <row r="3324" spans="1:12" hidden="1" x14ac:dyDescent="0.3">
      <c r="A3324" t="s">
        <v>67</v>
      </c>
      <c r="B3324" t="s">
        <v>68</v>
      </c>
      <c r="C3324" t="s">
        <v>125</v>
      </c>
      <c r="D3324" t="s">
        <v>126</v>
      </c>
      <c r="E3324">
        <v>1990</v>
      </c>
      <c r="F3324" s="1">
        <v>9</v>
      </c>
      <c r="G3324">
        <v>1990</v>
      </c>
      <c r="H3324">
        <f>AVERAGEIFS(Table1[value],Table1[IndicatorCode],Table1[[#This Row],[IndicatorCode]])</f>
        <v>7.6894248608534319</v>
      </c>
      <c r="I3324" cm="1">
        <f t="array" ref="I3324">_xlfn.STDEV.P(IF(Table1[IndicatorCode]=Table1[[#This Row],[IndicatorCode]],Table1[value]))</f>
        <v>5.2319501044600996</v>
      </c>
      <c r="J3324">
        <f>(Table1[[#This Row],[value]] - Table1[[#This Row],[mean]]) / Table1[[#This Row],[std_dev]]</f>
        <v>0.25049457907278921</v>
      </c>
      <c r="K3324">
        <f>AVERAGEIF(Table1[CountryCode],Table1[[#This Row],[CountryCode]],Table1[z-score])</f>
        <v>0.55967304374969629</v>
      </c>
      <c r="L3324" t="e">
        <f>VLOOKUP(Table1[[#This Row],[CountryCode]],[1]!Table1[#Data],4,FALSE)</f>
        <v>#REF!</v>
      </c>
    </row>
    <row r="3325" spans="1:12" hidden="1" x14ac:dyDescent="0.3">
      <c r="A3325" t="s">
        <v>67</v>
      </c>
      <c r="B3325" t="s">
        <v>68</v>
      </c>
      <c r="C3325" t="s">
        <v>125</v>
      </c>
      <c r="D3325" t="s">
        <v>126</v>
      </c>
      <c r="E3325">
        <v>1991</v>
      </c>
      <c r="F3325" s="1">
        <v>9</v>
      </c>
      <c r="G3325">
        <v>1990</v>
      </c>
      <c r="H3325">
        <f>AVERAGEIFS(Table1[value],Table1[IndicatorCode],Table1[[#This Row],[IndicatorCode]])</f>
        <v>7.6894248608534319</v>
      </c>
      <c r="I3325" cm="1">
        <f t="array" ref="I3325">_xlfn.STDEV.P(IF(Table1[IndicatorCode]=Table1[[#This Row],[IndicatorCode]],Table1[value]))</f>
        <v>5.2319501044600996</v>
      </c>
      <c r="J3325">
        <f>(Table1[[#This Row],[value]] - Table1[[#This Row],[mean]]) / Table1[[#This Row],[std_dev]]</f>
        <v>0.25049457907278921</v>
      </c>
      <c r="K3325">
        <f>AVERAGEIF(Table1[CountryCode],Table1[[#This Row],[CountryCode]],Table1[z-score])</f>
        <v>0.55967304374969629</v>
      </c>
      <c r="L3325" t="e">
        <f>VLOOKUP(Table1[[#This Row],[CountryCode]],[1]!Table1[#Data],4,FALSE)</f>
        <v>#REF!</v>
      </c>
    </row>
    <row r="3326" spans="1:12" hidden="1" x14ac:dyDescent="0.3">
      <c r="A3326" t="s">
        <v>67</v>
      </c>
      <c r="B3326" t="s">
        <v>68</v>
      </c>
      <c r="C3326" t="s">
        <v>125</v>
      </c>
      <c r="D3326" t="s">
        <v>126</v>
      </c>
      <c r="E3326">
        <v>1992</v>
      </c>
      <c r="F3326" s="1">
        <v>9</v>
      </c>
      <c r="G3326">
        <v>1990</v>
      </c>
      <c r="H3326">
        <f>AVERAGEIFS(Table1[value],Table1[IndicatorCode],Table1[[#This Row],[IndicatorCode]])</f>
        <v>7.6894248608534319</v>
      </c>
      <c r="I3326" cm="1">
        <f t="array" ref="I3326">_xlfn.STDEV.P(IF(Table1[IndicatorCode]=Table1[[#This Row],[IndicatorCode]],Table1[value]))</f>
        <v>5.2319501044600996</v>
      </c>
      <c r="J3326">
        <f>(Table1[[#This Row],[value]] - Table1[[#This Row],[mean]]) / Table1[[#This Row],[std_dev]]</f>
        <v>0.25049457907278921</v>
      </c>
      <c r="K3326">
        <f>AVERAGEIF(Table1[CountryCode],Table1[[#This Row],[CountryCode]],Table1[z-score])</f>
        <v>0.55967304374969629</v>
      </c>
      <c r="L3326" t="e">
        <f>VLOOKUP(Table1[[#This Row],[CountryCode]],[1]!Table1[#Data],4,FALSE)</f>
        <v>#REF!</v>
      </c>
    </row>
    <row r="3327" spans="1:12" hidden="1" x14ac:dyDescent="0.3">
      <c r="A3327" t="s">
        <v>67</v>
      </c>
      <c r="B3327" t="s">
        <v>68</v>
      </c>
      <c r="C3327" t="s">
        <v>125</v>
      </c>
      <c r="D3327" t="s">
        <v>126</v>
      </c>
      <c r="E3327">
        <v>1993</v>
      </c>
      <c r="F3327" s="1">
        <v>9</v>
      </c>
      <c r="G3327">
        <v>1990</v>
      </c>
      <c r="H3327">
        <f>AVERAGEIFS(Table1[value],Table1[IndicatorCode],Table1[[#This Row],[IndicatorCode]])</f>
        <v>7.6894248608534319</v>
      </c>
      <c r="I3327" cm="1">
        <f t="array" ref="I3327">_xlfn.STDEV.P(IF(Table1[IndicatorCode]=Table1[[#This Row],[IndicatorCode]],Table1[value]))</f>
        <v>5.2319501044600996</v>
      </c>
      <c r="J3327">
        <f>(Table1[[#This Row],[value]] - Table1[[#This Row],[mean]]) / Table1[[#This Row],[std_dev]]</f>
        <v>0.25049457907278921</v>
      </c>
      <c r="K3327">
        <f>AVERAGEIF(Table1[CountryCode],Table1[[#This Row],[CountryCode]],Table1[z-score])</f>
        <v>0.55967304374969629</v>
      </c>
      <c r="L3327" t="e">
        <f>VLOOKUP(Table1[[#This Row],[CountryCode]],[1]!Table1[#Data],4,FALSE)</f>
        <v>#REF!</v>
      </c>
    </row>
    <row r="3328" spans="1:12" hidden="1" x14ac:dyDescent="0.3">
      <c r="A3328" t="s">
        <v>67</v>
      </c>
      <c r="B3328" t="s">
        <v>68</v>
      </c>
      <c r="C3328" t="s">
        <v>125</v>
      </c>
      <c r="D3328" t="s">
        <v>126</v>
      </c>
      <c r="E3328">
        <v>1994</v>
      </c>
      <c r="F3328" s="1">
        <v>9</v>
      </c>
      <c r="G3328">
        <v>1990</v>
      </c>
      <c r="H3328">
        <f>AVERAGEIFS(Table1[value],Table1[IndicatorCode],Table1[[#This Row],[IndicatorCode]])</f>
        <v>7.6894248608534319</v>
      </c>
      <c r="I3328" cm="1">
        <f t="array" ref="I3328">_xlfn.STDEV.P(IF(Table1[IndicatorCode]=Table1[[#This Row],[IndicatorCode]],Table1[value]))</f>
        <v>5.2319501044600996</v>
      </c>
      <c r="J3328">
        <f>(Table1[[#This Row],[value]] - Table1[[#This Row],[mean]]) / Table1[[#This Row],[std_dev]]</f>
        <v>0.25049457907278921</v>
      </c>
      <c r="K3328">
        <f>AVERAGEIF(Table1[CountryCode],Table1[[#This Row],[CountryCode]],Table1[z-score])</f>
        <v>0.55967304374969629</v>
      </c>
      <c r="L3328" t="e">
        <f>VLOOKUP(Table1[[#This Row],[CountryCode]],[1]!Table1[#Data],4,FALSE)</f>
        <v>#REF!</v>
      </c>
    </row>
    <row r="3329" spans="1:12" hidden="1" x14ac:dyDescent="0.3">
      <c r="A3329" t="s">
        <v>67</v>
      </c>
      <c r="B3329" t="s">
        <v>68</v>
      </c>
      <c r="C3329" t="s">
        <v>125</v>
      </c>
      <c r="D3329" t="s">
        <v>126</v>
      </c>
      <c r="E3329">
        <v>1995</v>
      </c>
      <c r="F3329" s="1">
        <v>9</v>
      </c>
      <c r="G3329">
        <v>1990</v>
      </c>
      <c r="H3329">
        <f>AVERAGEIFS(Table1[value],Table1[IndicatorCode],Table1[[#This Row],[IndicatorCode]])</f>
        <v>7.6894248608534319</v>
      </c>
      <c r="I3329" cm="1">
        <f t="array" ref="I3329">_xlfn.STDEV.P(IF(Table1[IndicatorCode]=Table1[[#This Row],[IndicatorCode]],Table1[value]))</f>
        <v>5.2319501044600996</v>
      </c>
      <c r="J3329">
        <f>(Table1[[#This Row],[value]] - Table1[[#This Row],[mean]]) / Table1[[#This Row],[std_dev]]</f>
        <v>0.25049457907278921</v>
      </c>
      <c r="K3329">
        <f>AVERAGEIF(Table1[CountryCode],Table1[[#This Row],[CountryCode]],Table1[z-score])</f>
        <v>0.55967304374969629</v>
      </c>
      <c r="L3329" t="e">
        <f>VLOOKUP(Table1[[#This Row],[CountryCode]],[1]!Table1[#Data],4,FALSE)</f>
        <v>#REF!</v>
      </c>
    </row>
    <row r="3330" spans="1:12" hidden="1" x14ac:dyDescent="0.3">
      <c r="A3330" t="s">
        <v>67</v>
      </c>
      <c r="B3330" t="s">
        <v>68</v>
      </c>
      <c r="C3330" t="s">
        <v>125</v>
      </c>
      <c r="D3330" t="s">
        <v>126</v>
      </c>
      <c r="E3330">
        <v>1996</v>
      </c>
      <c r="F3330" s="1">
        <v>10</v>
      </c>
      <c r="G3330">
        <v>1990</v>
      </c>
      <c r="H3330">
        <f>AVERAGEIFS(Table1[value],Table1[IndicatorCode],Table1[[#This Row],[IndicatorCode]])</f>
        <v>7.6894248608534319</v>
      </c>
      <c r="I3330" cm="1">
        <f t="array" ref="I3330">_xlfn.STDEV.P(IF(Table1[IndicatorCode]=Table1[[#This Row],[IndicatorCode]],Table1[value]))</f>
        <v>5.2319501044600996</v>
      </c>
      <c r="J3330">
        <f>(Table1[[#This Row],[value]] - Table1[[#This Row],[mean]]) / Table1[[#This Row],[std_dev]]</f>
        <v>0.44162790030754762</v>
      </c>
      <c r="K3330">
        <f>AVERAGEIF(Table1[CountryCode],Table1[[#This Row],[CountryCode]],Table1[z-score])</f>
        <v>0.55967304374969629</v>
      </c>
      <c r="L3330" t="e">
        <f>VLOOKUP(Table1[[#This Row],[CountryCode]],[1]!Table1[#Data],4,FALSE)</f>
        <v>#REF!</v>
      </c>
    </row>
    <row r="3331" spans="1:12" hidden="1" x14ac:dyDescent="0.3">
      <c r="A3331" t="s">
        <v>67</v>
      </c>
      <c r="B3331" t="s">
        <v>68</v>
      </c>
      <c r="C3331" t="s">
        <v>125</v>
      </c>
      <c r="D3331" t="s">
        <v>126</v>
      </c>
      <c r="E3331">
        <v>1997</v>
      </c>
      <c r="F3331" s="1">
        <v>10</v>
      </c>
      <c r="G3331">
        <v>2000</v>
      </c>
      <c r="H3331">
        <f>AVERAGEIFS(Table1[value],Table1[IndicatorCode],Table1[[#This Row],[IndicatorCode]])</f>
        <v>7.6894248608534319</v>
      </c>
      <c r="I3331" cm="1">
        <f t="array" ref="I3331">_xlfn.STDEV.P(IF(Table1[IndicatorCode]=Table1[[#This Row],[IndicatorCode]],Table1[value]))</f>
        <v>5.2319501044600996</v>
      </c>
      <c r="J3331">
        <f>(Table1[[#This Row],[value]] - Table1[[#This Row],[mean]]) / Table1[[#This Row],[std_dev]]</f>
        <v>0.44162790030754762</v>
      </c>
      <c r="K3331">
        <f>AVERAGEIF(Table1[CountryCode],Table1[[#This Row],[CountryCode]],Table1[z-score])</f>
        <v>0.55967304374969629</v>
      </c>
      <c r="L3331" t="e">
        <f>VLOOKUP(Table1[[#This Row],[CountryCode]],[1]!Table1[#Data],4,FALSE)</f>
        <v>#REF!</v>
      </c>
    </row>
    <row r="3332" spans="1:12" hidden="1" x14ac:dyDescent="0.3">
      <c r="A3332" t="s">
        <v>67</v>
      </c>
      <c r="B3332" t="s">
        <v>68</v>
      </c>
      <c r="C3332" t="s">
        <v>125</v>
      </c>
      <c r="D3332" t="s">
        <v>126</v>
      </c>
      <c r="E3332">
        <v>1998</v>
      </c>
      <c r="F3332" s="1">
        <v>10</v>
      </c>
      <c r="G3332">
        <v>2000</v>
      </c>
      <c r="H3332">
        <f>AVERAGEIFS(Table1[value],Table1[IndicatorCode],Table1[[#This Row],[IndicatorCode]])</f>
        <v>7.6894248608534319</v>
      </c>
      <c r="I3332" cm="1">
        <f t="array" ref="I3332">_xlfn.STDEV.P(IF(Table1[IndicatorCode]=Table1[[#This Row],[IndicatorCode]],Table1[value]))</f>
        <v>5.2319501044600996</v>
      </c>
      <c r="J3332">
        <f>(Table1[[#This Row],[value]] - Table1[[#This Row],[mean]]) / Table1[[#This Row],[std_dev]]</f>
        <v>0.44162790030754762</v>
      </c>
      <c r="K3332">
        <f>AVERAGEIF(Table1[CountryCode],Table1[[#This Row],[CountryCode]],Table1[z-score])</f>
        <v>0.55967304374969629</v>
      </c>
      <c r="L3332" t="e">
        <f>VLOOKUP(Table1[[#This Row],[CountryCode]],[1]!Table1[#Data],4,FALSE)</f>
        <v>#REF!</v>
      </c>
    </row>
    <row r="3333" spans="1:12" hidden="1" x14ac:dyDescent="0.3">
      <c r="A3333" t="s">
        <v>67</v>
      </c>
      <c r="B3333" t="s">
        <v>68</v>
      </c>
      <c r="C3333" t="s">
        <v>125</v>
      </c>
      <c r="D3333" t="s">
        <v>126</v>
      </c>
      <c r="E3333">
        <v>1999</v>
      </c>
      <c r="F3333" s="1">
        <v>10</v>
      </c>
      <c r="G3333">
        <v>2000</v>
      </c>
      <c r="H3333">
        <f>AVERAGEIFS(Table1[value],Table1[IndicatorCode],Table1[[#This Row],[IndicatorCode]])</f>
        <v>7.6894248608534319</v>
      </c>
      <c r="I3333" cm="1">
        <f t="array" ref="I3333">_xlfn.STDEV.P(IF(Table1[IndicatorCode]=Table1[[#This Row],[IndicatorCode]],Table1[value]))</f>
        <v>5.2319501044600996</v>
      </c>
      <c r="J3333">
        <f>(Table1[[#This Row],[value]] - Table1[[#This Row],[mean]]) / Table1[[#This Row],[std_dev]]</f>
        <v>0.44162790030754762</v>
      </c>
      <c r="K3333">
        <f>AVERAGEIF(Table1[CountryCode],Table1[[#This Row],[CountryCode]],Table1[z-score])</f>
        <v>0.55967304374969629</v>
      </c>
      <c r="L3333" t="e">
        <f>VLOOKUP(Table1[[#This Row],[CountryCode]],[1]!Table1[#Data],4,FALSE)</f>
        <v>#REF!</v>
      </c>
    </row>
    <row r="3334" spans="1:12" hidden="1" x14ac:dyDescent="0.3">
      <c r="A3334" t="s">
        <v>67</v>
      </c>
      <c r="B3334" t="s">
        <v>68</v>
      </c>
      <c r="C3334" t="s">
        <v>125</v>
      </c>
      <c r="D3334" t="s">
        <v>126</v>
      </c>
      <c r="E3334">
        <v>2000</v>
      </c>
      <c r="F3334" s="1">
        <v>10</v>
      </c>
      <c r="G3334">
        <v>2000</v>
      </c>
      <c r="H3334">
        <f>AVERAGEIFS(Table1[value],Table1[IndicatorCode],Table1[[#This Row],[IndicatorCode]])</f>
        <v>7.6894248608534319</v>
      </c>
      <c r="I3334" cm="1">
        <f t="array" ref="I3334">_xlfn.STDEV.P(IF(Table1[IndicatorCode]=Table1[[#This Row],[IndicatorCode]],Table1[value]))</f>
        <v>5.2319501044600996</v>
      </c>
      <c r="J3334">
        <f>(Table1[[#This Row],[value]] - Table1[[#This Row],[mean]]) / Table1[[#This Row],[std_dev]]</f>
        <v>0.44162790030754762</v>
      </c>
      <c r="K3334">
        <f>AVERAGEIF(Table1[CountryCode],Table1[[#This Row],[CountryCode]],Table1[z-score])</f>
        <v>0.55967304374969629</v>
      </c>
      <c r="L3334" t="e">
        <f>VLOOKUP(Table1[[#This Row],[CountryCode]],[1]!Table1[#Data],4,FALSE)</f>
        <v>#REF!</v>
      </c>
    </row>
    <row r="3335" spans="1:12" hidden="1" x14ac:dyDescent="0.3">
      <c r="A3335" t="s">
        <v>67</v>
      </c>
      <c r="B3335" t="s">
        <v>68</v>
      </c>
      <c r="C3335" t="s">
        <v>125</v>
      </c>
      <c r="D3335" t="s">
        <v>126</v>
      </c>
      <c r="E3335">
        <v>2001</v>
      </c>
      <c r="F3335" s="1">
        <v>10</v>
      </c>
      <c r="G3335">
        <v>2000</v>
      </c>
      <c r="H3335">
        <f>AVERAGEIFS(Table1[value],Table1[IndicatorCode],Table1[[#This Row],[IndicatorCode]])</f>
        <v>7.6894248608534319</v>
      </c>
      <c r="I3335" cm="1">
        <f t="array" ref="I3335">_xlfn.STDEV.P(IF(Table1[IndicatorCode]=Table1[[#This Row],[IndicatorCode]],Table1[value]))</f>
        <v>5.2319501044600996</v>
      </c>
      <c r="J3335">
        <f>(Table1[[#This Row],[value]] - Table1[[#This Row],[mean]]) / Table1[[#This Row],[std_dev]]</f>
        <v>0.44162790030754762</v>
      </c>
      <c r="K3335">
        <f>AVERAGEIF(Table1[CountryCode],Table1[[#This Row],[CountryCode]],Table1[z-score])</f>
        <v>0.55967304374969629</v>
      </c>
      <c r="L3335" t="e">
        <f>VLOOKUP(Table1[[#This Row],[CountryCode]],[1]!Table1[#Data],4,FALSE)</f>
        <v>#REF!</v>
      </c>
    </row>
    <row r="3336" spans="1:12" hidden="1" x14ac:dyDescent="0.3">
      <c r="A3336" t="s">
        <v>67</v>
      </c>
      <c r="B3336" t="s">
        <v>68</v>
      </c>
      <c r="C3336" t="s">
        <v>125</v>
      </c>
      <c r="D3336" t="s">
        <v>126</v>
      </c>
      <c r="E3336">
        <v>2002</v>
      </c>
      <c r="F3336" s="1">
        <v>11</v>
      </c>
      <c r="G3336">
        <v>2000</v>
      </c>
      <c r="H3336">
        <f>AVERAGEIFS(Table1[value],Table1[IndicatorCode],Table1[[#This Row],[IndicatorCode]])</f>
        <v>7.6894248608534319</v>
      </c>
      <c r="I3336" cm="1">
        <f t="array" ref="I3336">_xlfn.STDEV.P(IF(Table1[IndicatorCode]=Table1[[#This Row],[IndicatorCode]],Table1[value]))</f>
        <v>5.2319501044600996</v>
      </c>
      <c r="J3336">
        <f>(Table1[[#This Row],[value]] - Table1[[#This Row],[mean]]) / Table1[[#This Row],[std_dev]]</f>
        <v>0.63276122154230596</v>
      </c>
      <c r="K3336">
        <f>AVERAGEIF(Table1[CountryCode],Table1[[#This Row],[CountryCode]],Table1[z-score])</f>
        <v>0.55967304374969629</v>
      </c>
      <c r="L3336" t="e">
        <f>VLOOKUP(Table1[[#This Row],[CountryCode]],[1]!Table1[#Data],4,FALSE)</f>
        <v>#REF!</v>
      </c>
    </row>
    <row r="3337" spans="1:12" hidden="1" x14ac:dyDescent="0.3">
      <c r="A3337" t="s">
        <v>67</v>
      </c>
      <c r="B3337" t="s">
        <v>68</v>
      </c>
      <c r="C3337" t="s">
        <v>125</v>
      </c>
      <c r="D3337" t="s">
        <v>126</v>
      </c>
      <c r="E3337">
        <v>2003</v>
      </c>
      <c r="F3337" s="1">
        <v>11</v>
      </c>
      <c r="G3337">
        <v>2000</v>
      </c>
      <c r="H3337">
        <f>AVERAGEIFS(Table1[value],Table1[IndicatorCode],Table1[[#This Row],[IndicatorCode]])</f>
        <v>7.6894248608534319</v>
      </c>
      <c r="I3337" cm="1">
        <f t="array" ref="I3337">_xlfn.STDEV.P(IF(Table1[IndicatorCode]=Table1[[#This Row],[IndicatorCode]],Table1[value]))</f>
        <v>5.2319501044600996</v>
      </c>
      <c r="J3337">
        <f>(Table1[[#This Row],[value]] - Table1[[#This Row],[mean]]) / Table1[[#This Row],[std_dev]]</f>
        <v>0.63276122154230596</v>
      </c>
      <c r="K3337">
        <f>AVERAGEIF(Table1[CountryCode],Table1[[#This Row],[CountryCode]],Table1[z-score])</f>
        <v>0.55967304374969629</v>
      </c>
      <c r="L3337" t="e">
        <f>VLOOKUP(Table1[[#This Row],[CountryCode]],[1]!Table1[#Data],4,FALSE)</f>
        <v>#REF!</v>
      </c>
    </row>
    <row r="3338" spans="1:12" hidden="1" x14ac:dyDescent="0.3">
      <c r="A3338" t="s">
        <v>67</v>
      </c>
      <c r="B3338" t="s">
        <v>68</v>
      </c>
      <c r="C3338" t="s">
        <v>125</v>
      </c>
      <c r="D3338" t="s">
        <v>126</v>
      </c>
      <c r="E3338">
        <v>2004</v>
      </c>
      <c r="F3338" s="1">
        <v>11</v>
      </c>
      <c r="G3338">
        <v>2000</v>
      </c>
      <c r="H3338">
        <f>AVERAGEIFS(Table1[value],Table1[IndicatorCode],Table1[[#This Row],[IndicatorCode]])</f>
        <v>7.6894248608534319</v>
      </c>
      <c r="I3338" cm="1">
        <f t="array" ref="I3338">_xlfn.STDEV.P(IF(Table1[IndicatorCode]=Table1[[#This Row],[IndicatorCode]],Table1[value]))</f>
        <v>5.2319501044600996</v>
      </c>
      <c r="J3338">
        <f>(Table1[[#This Row],[value]] - Table1[[#This Row],[mean]]) / Table1[[#This Row],[std_dev]]</f>
        <v>0.63276122154230596</v>
      </c>
      <c r="K3338">
        <f>AVERAGEIF(Table1[CountryCode],Table1[[#This Row],[CountryCode]],Table1[z-score])</f>
        <v>0.55967304374969629</v>
      </c>
      <c r="L3338" t="e">
        <f>VLOOKUP(Table1[[#This Row],[CountryCode]],[1]!Table1[#Data],4,FALSE)</f>
        <v>#REF!</v>
      </c>
    </row>
    <row r="3339" spans="1:12" hidden="1" x14ac:dyDescent="0.3">
      <c r="A3339" t="s">
        <v>67</v>
      </c>
      <c r="B3339" t="s">
        <v>68</v>
      </c>
      <c r="C3339" t="s">
        <v>125</v>
      </c>
      <c r="D3339" t="s">
        <v>126</v>
      </c>
      <c r="E3339">
        <v>2005</v>
      </c>
      <c r="F3339" s="1">
        <v>11</v>
      </c>
      <c r="G3339">
        <v>2000</v>
      </c>
      <c r="H3339">
        <f>AVERAGEIFS(Table1[value],Table1[IndicatorCode],Table1[[#This Row],[IndicatorCode]])</f>
        <v>7.6894248608534319</v>
      </c>
      <c r="I3339" cm="1">
        <f t="array" ref="I3339">_xlfn.STDEV.P(IF(Table1[IndicatorCode]=Table1[[#This Row],[IndicatorCode]],Table1[value]))</f>
        <v>5.2319501044600996</v>
      </c>
      <c r="J3339">
        <f>(Table1[[#This Row],[value]] - Table1[[#This Row],[mean]]) / Table1[[#This Row],[std_dev]]</f>
        <v>0.63276122154230596</v>
      </c>
      <c r="K3339">
        <f>AVERAGEIF(Table1[CountryCode],Table1[[#This Row],[CountryCode]],Table1[z-score])</f>
        <v>0.55967304374969629</v>
      </c>
      <c r="L3339" t="e">
        <f>VLOOKUP(Table1[[#This Row],[CountryCode]],[1]!Table1[#Data],4,FALSE)</f>
        <v>#REF!</v>
      </c>
    </row>
    <row r="3340" spans="1:12" hidden="1" x14ac:dyDescent="0.3">
      <c r="A3340" t="s">
        <v>67</v>
      </c>
      <c r="B3340" t="s">
        <v>68</v>
      </c>
      <c r="C3340" t="s">
        <v>125</v>
      </c>
      <c r="D3340" t="s">
        <v>126</v>
      </c>
      <c r="E3340">
        <v>2006</v>
      </c>
      <c r="F3340" s="1">
        <v>11</v>
      </c>
      <c r="G3340">
        <v>2000</v>
      </c>
      <c r="H3340">
        <f>AVERAGEIFS(Table1[value],Table1[IndicatorCode],Table1[[#This Row],[IndicatorCode]])</f>
        <v>7.6894248608534319</v>
      </c>
      <c r="I3340" cm="1">
        <f t="array" ref="I3340">_xlfn.STDEV.P(IF(Table1[IndicatorCode]=Table1[[#This Row],[IndicatorCode]],Table1[value]))</f>
        <v>5.2319501044600996</v>
      </c>
      <c r="J3340">
        <f>(Table1[[#This Row],[value]] - Table1[[#This Row],[mean]]) / Table1[[#This Row],[std_dev]]</f>
        <v>0.63276122154230596</v>
      </c>
      <c r="K3340">
        <f>AVERAGEIF(Table1[CountryCode],Table1[[#This Row],[CountryCode]],Table1[z-score])</f>
        <v>0.55967304374969629</v>
      </c>
      <c r="L3340" t="e">
        <f>VLOOKUP(Table1[[#This Row],[CountryCode]],[1]!Table1[#Data],4,FALSE)</f>
        <v>#REF!</v>
      </c>
    </row>
    <row r="3341" spans="1:12" hidden="1" x14ac:dyDescent="0.3">
      <c r="A3341" t="s">
        <v>67</v>
      </c>
      <c r="B3341" t="s">
        <v>68</v>
      </c>
      <c r="C3341" t="s">
        <v>125</v>
      </c>
      <c r="D3341" t="s">
        <v>126</v>
      </c>
      <c r="E3341">
        <v>2007</v>
      </c>
      <c r="F3341" s="1">
        <v>11</v>
      </c>
      <c r="G3341">
        <v>2010</v>
      </c>
      <c r="H3341">
        <f>AVERAGEIFS(Table1[value],Table1[IndicatorCode],Table1[[#This Row],[IndicatorCode]])</f>
        <v>7.6894248608534319</v>
      </c>
      <c r="I3341" cm="1">
        <f t="array" ref="I3341">_xlfn.STDEV.P(IF(Table1[IndicatorCode]=Table1[[#This Row],[IndicatorCode]],Table1[value]))</f>
        <v>5.2319501044600996</v>
      </c>
      <c r="J3341">
        <f>(Table1[[#This Row],[value]] - Table1[[#This Row],[mean]]) / Table1[[#This Row],[std_dev]]</f>
        <v>0.63276122154230596</v>
      </c>
      <c r="K3341">
        <f>AVERAGEIF(Table1[CountryCode],Table1[[#This Row],[CountryCode]],Table1[z-score])</f>
        <v>0.55967304374969629</v>
      </c>
      <c r="L3341" t="e">
        <f>VLOOKUP(Table1[[#This Row],[CountryCode]],[1]!Table1[#Data],4,FALSE)</f>
        <v>#REF!</v>
      </c>
    </row>
    <row r="3342" spans="1:12" hidden="1" x14ac:dyDescent="0.3">
      <c r="A3342" t="s">
        <v>67</v>
      </c>
      <c r="B3342" t="s">
        <v>68</v>
      </c>
      <c r="C3342" t="s">
        <v>125</v>
      </c>
      <c r="D3342" t="s">
        <v>126</v>
      </c>
      <c r="E3342">
        <v>2008</v>
      </c>
      <c r="F3342" s="1">
        <v>12</v>
      </c>
      <c r="G3342">
        <v>2010</v>
      </c>
      <c r="H3342">
        <f>AVERAGEIFS(Table1[value],Table1[IndicatorCode],Table1[[#This Row],[IndicatorCode]])</f>
        <v>7.6894248608534319</v>
      </c>
      <c r="I3342" cm="1">
        <f t="array" ref="I3342">_xlfn.STDEV.P(IF(Table1[IndicatorCode]=Table1[[#This Row],[IndicatorCode]],Table1[value]))</f>
        <v>5.2319501044600996</v>
      </c>
      <c r="J3342">
        <f>(Table1[[#This Row],[value]] - Table1[[#This Row],[mean]]) / Table1[[#This Row],[std_dev]]</f>
        <v>0.82389454277706442</v>
      </c>
      <c r="K3342">
        <f>AVERAGEIF(Table1[CountryCode],Table1[[#This Row],[CountryCode]],Table1[z-score])</f>
        <v>0.55967304374969629</v>
      </c>
      <c r="L3342" t="e">
        <f>VLOOKUP(Table1[[#This Row],[CountryCode]],[1]!Table1[#Data],4,FALSE)</f>
        <v>#REF!</v>
      </c>
    </row>
    <row r="3343" spans="1:12" hidden="1" x14ac:dyDescent="0.3">
      <c r="A3343" t="s">
        <v>67</v>
      </c>
      <c r="B3343" t="s">
        <v>68</v>
      </c>
      <c r="C3343" t="s">
        <v>125</v>
      </c>
      <c r="D3343" t="s">
        <v>126</v>
      </c>
      <c r="E3343">
        <v>2009</v>
      </c>
      <c r="F3343" s="1">
        <v>12</v>
      </c>
      <c r="G3343">
        <v>2010</v>
      </c>
      <c r="H3343">
        <f>AVERAGEIFS(Table1[value],Table1[IndicatorCode],Table1[[#This Row],[IndicatorCode]])</f>
        <v>7.6894248608534319</v>
      </c>
      <c r="I3343" cm="1">
        <f t="array" ref="I3343">_xlfn.STDEV.P(IF(Table1[IndicatorCode]=Table1[[#This Row],[IndicatorCode]],Table1[value]))</f>
        <v>5.2319501044600996</v>
      </c>
      <c r="J3343">
        <f>(Table1[[#This Row],[value]] - Table1[[#This Row],[mean]]) / Table1[[#This Row],[std_dev]]</f>
        <v>0.82389454277706442</v>
      </c>
      <c r="K3343">
        <f>AVERAGEIF(Table1[CountryCode],Table1[[#This Row],[CountryCode]],Table1[z-score])</f>
        <v>0.55967304374969629</v>
      </c>
      <c r="L3343" t="e">
        <f>VLOOKUP(Table1[[#This Row],[CountryCode]],[1]!Table1[#Data],4,FALSE)</f>
        <v>#REF!</v>
      </c>
    </row>
    <row r="3344" spans="1:12" hidden="1" x14ac:dyDescent="0.3">
      <c r="A3344" t="s">
        <v>67</v>
      </c>
      <c r="B3344" t="s">
        <v>68</v>
      </c>
      <c r="C3344" t="s">
        <v>125</v>
      </c>
      <c r="D3344" t="s">
        <v>126</v>
      </c>
      <c r="E3344">
        <v>2010</v>
      </c>
      <c r="F3344" s="1">
        <v>12</v>
      </c>
      <c r="G3344">
        <v>2010</v>
      </c>
      <c r="H3344">
        <f>AVERAGEIFS(Table1[value],Table1[IndicatorCode],Table1[[#This Row],[IndicatorCode]])</f>
        <v>7.6894248608534319</v>
      </c>
      <c r="I3344" cm="1">
        <f t="array" ref="I3344">_xlfn.STDEV.P(IF(Table1[IndicatorCode]=Table1[[#This Row],[IndicatorCode]],Table1[value]))</f>
        <v>5.2319501044600996</v>
      </c>
      <c r="J3344">
        <f>(Table1[[#This Row],[value]] - Table1[[#This Row],[mean]]) / Table1[[#This Row],[std_dev]]</f>
        <v>0.82389454277706442</v>
      </c>
      <c r="K3344">
        <f>AVERAGEIF(Table1[CountryCode],Table1[[#This Row],[CountryCode]],Table1[z-score])</f>
        <v>0.55967304374969629</v>
      </c>
      <c r="L3344" t="e">
        <f>VLOOKUP(Table1[[#This Row],[CountryCode]],[1]!Table1[#Data],4,FALSE)</f>
        <v>#REF!</v>
      </c>
    </row>
    <row r="3345" spans="1:12" hidden="1" x14ac:dyDescent="0.3">
      <c r="A3345" t="s">
        <v>67</v>
      </c>
      <c r="B3345" t="s">
        <v>68</v>
      </c>
      <c r="C3345" t="s">
        <v>125</v>
      </c>
      <c r="D3345" t="s">
        <v>126</v>
      </c>
      <c r="E3345">
        <v>2011</v>
      </c>
      <c r="F3345" s="1">
        <v>11</v>
      </c>
      <c r="G3345">
        <v>2010</v>
      </c>
      <c r="H3345">
        <f>AVERAGEIFS(Table1[value],Table1[IndicatorCode],Table1[[#This Row],[IndicatorCode]])</f>
        <v>7.6894248608534319</v>
      </c>
      <c r="I3345" cm="1">
        <f t="array" ref="I3345">_xlfn.STDEV.P(IF(Table1[IndicatorCode]=Table1[[#This Row],[IndicatorCode]],Table1[value]))</f>
        <v>5.2319501044600996</v>
      </c>
      <c r="J3345">
        <f>(Table1[[#This Row],[value]] - Table1[[#This Row],[mean]]) / Table1[[#This Row],[std_dev]]</f>
        <v>0.63276122154230596</v>
      </c>
      <c r="K3345">
        <f>AVERAGEIF(Table1[CountryCode],Table1[[#This Row],[CountryCode]],Table1[z-score])</f>
        <v>0.55967304374969629</v>
      </c>
      <c r="L3345" t="e">
        <f>VLOOKUP(Table1[[#This Row],[CountryCode]],[1]!Table1[#Data],4,FALSE)</f>
        <v>#REF!</v>
      </c>
    </row>
    <row r="3346" spans="1:12" hidden="1" x14ac:dyDescent="0.3">
      <c r="A3346" t="s">
        <v>67</v>
      </c>
      <c r="B3346" t="s">
        <v>68</v>
      </c>
      <c r="C3346" t="s">
        <v>125</v>
      </c>
      <c r="D3346" t="s">
        <v>126</v>
      </c>
      <c r="E3346">
        <v>2012</v>
      </c>
      <c r="F3346" s="1">
        <v>11</v>
      </c>
      <c r="G3346">
        <v>2010</v>
      </c>
      <c r="H3346">
        <f>AVERAGEIFS(Table1[value],Table1[IndicatorCode],Table1[[#This Row],[IndicatorCode]])</f>
        <v>7.6894248608534319</v>
      </c>
      <c r="I3346" cm="1">
        <f t="array" ref="I3346">_xlfn.STDEV.P(IF(Table1[IndicatorCode]=Table1[[#This Row],[IndicatorCode]],Table1[value]))</f>
        <v>5.2319501044600996</v>
      </c>
      <c r="J3346">
        <f>(Table1[[#This Row],[value]] - Table1[[#This Row],[mean]]) / Table1[[#This Row],[std_dev]]</f>
        <v>0.63276122154230596</v>
      </c>
      <c r="K3346">
        <f>AVERAGEIF(Table1[CountryCode],Table1[[#This Row],[CountryCode]],Table1[z-score])</f>
        <v>0.55967304374969629</v>
      </c>
      <c r="L3346" t="e">
        <f>VLOOKUP(Table1[[#This Row],[CountryCode]],[1]!Table1[#Data],4,FALSE)</f>
        <v>#REF!</v>
      </c>
    </row>
    <row r="3347" spans="1:12" hidden="1" x14ac:dyDescent="0.3">
      <c r="A3347" t="s">
        <v>67</v>
      </c>
      <c r="B3347" t="s">
        <v>68</v>
      </c>
      <c r="C3347" t="s">
        <v>125</v>
      </c>
      <c r="D3347" t="s">
        <v>126</v>
      </c>
      <c r="E3347">
        <v>2013</v>
      </c>
      <c r="F3347" s="1">
        <v>11</v>
      </c>
      <c r="G3347">
        <v>2010</v>
      </c>
      <c r="H3347">
        <f>AVERAGEIFS(Table1[value],Table1[IndicatorCode],Table1[[#This Row],[IndicatorCode]])</f>
        <v>7.6894248608534319</v>
      </c>
      <c r="I3347" cm="1">
        <f t="array" ref="I3347">_xlfn.STDEV.P(IF(Table1[IndicatorCode]=Table1[[#This Row],[IndicatorCode]],Table1[value]))</f>
        <v>5.2319501044600996</v>
      </c>
      <c r="J3347">
        <f>(Table1[[#This Row],[value]] - Table1[[#This Row],[mean]]) / Table1[[#This Row],[std_dev]]</f>
        <v>0.63276122154230596</v>
      </c>
      <c r="K3347">
        <f>AVERAGEIF(Table1[CountryCode],Table1[[#This Row],[CountryCode]],Table1[z-score])</f>
        <v>0.55967304374969629</v>
      </c>
      <c r="L3347" t="e">
        <f>VLOOKUP(Table1[[#This Row],[CountryCode]],[1]!Table1[#Data],4,FALSE)</f>
        <v>#REF!</v>
      </c>
    </row>
    <row r="3348" spans="1:12" hidden="1" x14ac:dyDescent="0.3">
      <c r="A3348" t="s">
        <v>67</v>
      </c>
      <c r="B3348" t="s">
        <v>68</v>
      </c>
      <c r="C3348" t="s">
        <v>125</v>
      </c>
      <c r="D3348" t="s">
        <v>126</v>
      </c>
      <c r="E3348">
        <v>2014</v>
      </c>
      <c r="F3348" s="1">
        <v>11</v>
      </c>
      <c r="G3348">
        <v>2010</v>
      </c>
      <c r="H3348">
        <f>AVERAGEIFS(Table1[value],Table1[IndicatorCode],Table1[[#This Row],[IndicatorCode]])</f>
        <v>7.6894248608534319</v>
      </c>
      <c r="I3348" cm="1">
        <f t="array" ref="I3348">_xlfn.STDEV.P(IF(Table1[IndicatorCode]=Table1[[#This Row],[IndicatorCode]],Table1[value]))</f>
        <v>5.2319501044600996</v>
      </c>
      <c r="J3348">
        <f>(Table1[[#This Row],[value]] - Table1[[#This Row],[mean]]) / Table1[[#This Row],[std_dev]]</f>
        <v>0.63276122154230596</v>
      </c>
      <c r="K3348">
        <f>AVERAGEIF(Table1[CountryCode],Table1[[#This Row],[CountryCode]],Table1[z-score])</f>
        <v>0.55967304374969629</v>
      </c>
      <c r="L3348" t="e">
        <f>VLOOKUP(Table1[[#This Row],[CountryCode]],[1]!Table1[#Data],4,FALSE)</f>
        <v>#REF!</v>
      </c>
    </row>
    <row r="3349" spans="1:12" hidden="1" x14ac:dyDescent="0.3">
      <c r="A3349" t="s">
        <v>67</v>
      </c>
      <c r="B3349" t="s">
        <v>68</v>
      </c>
      <c r="C3349" t="s">
        <v>125</v>
      </c>
      <c r="D3349" t="s">
        <v>126</v>
      </c>
      <c r="E3349">
        <v>2015</v>
      </c>
      <c r="F3349" s="1">
        <v>11</v>
      </c>
      <c r="G3349">
        <v>2010</v>
      </c>
      <c r="H3349">
        <f>AVERAGEIFS(Table1[value],Table1[IndicatorCode],Table1[[#This Row],[IndicatorCode]])</f>
        <v>7.6894248608534319</v>
      </c>
      <c r="I3349" cm="1">
        <f t="array" ref="I3349">_xlfn.STDEV.P(IF(Table1[IndicatorCode]=Table1[[#This Row],[IndicatorCode]],Table1[value]))</f>
        <v>5.2319501044600996</v>
      </c>
      <c r="J3349">
        <f>(Table1[[#This Row],[value]] - Table1[[#This Row],[mean]]) / Table1[[#This Row],[std_dev]]</f>
        <v>0.63276122154230596</v>
      </c>
      <c r="K3349">
        <f>AVERAGEIF(Table1[CountryCode],Table1[[#This Row],[CountryCode]],Table1[z-score])</f>
        <v>0.55967304374969629</v>
      </c>
      <c r="L3349" t="e">
        <f>VLOOKUP(Table1[[#This Row],[CountryCode]],[1]!Table1[#Data],4,FALSE)</f>
        <v>#REF!</v>
      </c>
    </row>
    <row r="3350" spans="1:12" hidden="1" x14ac:dyDescent="0.3">
      <c r="A3350" t="s">
        <v>67</v>
      </c>
      <c r="B3350" t="s">
        <v>68</v>
      </c>
      <c r="C3350" t="s">
        <v>125</v>
      </c>
      <c r="D3350" t="s">
        <v>126</v>
      </c>
      <c r="E3350">
        <v>2016</v>
      </c>
      <c r="F3350" s="1">
        <v>9</v>
      </c>
      <c r="G3350">
        <v>2010</v>
      </c>
      <c r="H3350">
        <f>AVERAGEIFS(Table1[value],Table1[IndicatorCode],Table1[[#This Row],[IndicatorCode]])</f>
        <v>7.6894248608534319</v>
      </c>
      <c r="I3350" cm="1">
        <f t="array" ref="I3350">_xlfn.STDEV.P(IF(Table1[IndicatorCode]=Table1[[#This Row],[IndicatorCode]],Table1[value]))</f>
        <v>5.2319501044600996</v>
      </c>
      <c r="J3350">
        <f>(Table1[[#This Row],[value]] - Table1[[#This Row],[mean]]) / Table1[[#This Row],[std_dev]]</f>
        <v>0.25049457907278921</v>
      </c>
      <c r="K3350">
        <f>AVERAGEIF(Table1[CountryCode],Table1[[#This Row],[CountryCode]],Table1[z-score])</f>
        <v>0.55967304374969629</v>
      </c>
      <c r="L3350" t="e">
        <f>VLOOKUP(Table1[[#This Row],[CountryCode]],[1]!Table1[#Data],4,FALSE)</f>
        <v>#REF!</v>
      </c>
    </row>
    <row r="3351" spans="1:12" hidden="1" x14ac:dyDescent="0.3">
      <c r="A3351" t="s">
        <v>67</v>
      </c>
      <c r="B3351" t="s">
        <v>68</v>
      </c>
      <c r="C3351" t="s">
        <v>125</v>
      </c>
      <c r="D3351" t="s">
        <v>126</v>
      </c>
      <c r="E3351">
        <v>2017</v>
      </c>
      <c r="F3351" s="1">
        <v>10</v>
      </c>
      <c r="G3351">
        <v>2020</v>
      </c>
      <c r="H3351">
        <f>AVERAGEIFS(Table1[value],Table1[IndicatorCode],Table1[[#This Row],[IndicatorCode]])</f>
        <v>7.6894248608534319</v>
      </c>
      <c r="I3351" cm="1">
        <f t="array" ref="I3351">_xlfn.STDEV.P(IF(Table1[IndicatorCode]=Table1[[#This Row],[IndicatorCode]],Table1[value]))</f>
        <v>5.2319501044600996</v>
      </c>
      <c r="J3351">
        <f>(Table1[[#This Row],[value]] - Table1[[#This Row],[mean]]) / Table1[[#This Row],[std_dev]]</f>
        <v>0.44162790030754762</v>
      </c>
      <c r="K3351">
        <f>AVERAGEIF(Table1[CountryCode],Table1[[#This Row],[CountryCode]],Table1[z-score])</f>
        <v>0.55967304374969629</v>
      </c>
      <c r="L3351" t="e">
        <f>VLOOKUP(Table1[[#This Row],[CountryCode]],[1]!Table1[#Data],4,FALSE)</f>
        <v>#REF!</v>
      </c>
    </row>
    <row r="3352" spans="1:12" hidden="1" x14ac:dyDescent="0.3">
      <c r="A3352" t="s">
        <v>67</v>
      </c>
      <c r="B3352" t="s">
        <v>68</v>
      </c>
      <c r="C3352" t="s">
        <v>125</v>
      </c>
      <c r="D3352" t="s">
        <v>126</v>
      </c>
      <c r="E3352">
        <v>2018</v>
      </c>
      <c r="F3352" s="1">
        <v>9</v>
      </c>
      <c r="G3352">
        <v>2020</v>
      </c>
      <c r="H3352">
        <f>AVERAGEIFS(Table1[value],Table1[IndicatorCode],Table1[[#This Row],[IndicatorCode]])</f>
        <v>7.6894248608534319</v>
      </c>
      <c r="I3352" cm="1">
        <f t="array" ref="I3352">_xlfn.STDEV.P(IF(Table1[IndicatorCode]=Table1[[#This Row],[IndicatorCode]],Table1[value]))</f>
        <v>5.2319501044600996</v>
      </c>
      <c r="J3352">
        <f>(Table1[[#This Row],[value]] - Table1[[#This Row],[mean]]) / Table1[[#This Row],[std_dev]]</f>
        <v>0.25049457907278921</v>
      </c>
      <c r="K3352">
        <f>AVERAGEIF(Table1[CountryCode],Table1[[#This Row],[CountryCode]],Table1[z-score])</f>
        <v>0.55967304374969629</v>
      </c>
      <c r="L3352" t="e">
        <f>VLOOKUP(Table1[[#This Row],[CountryCode]],[1]!Table1[#Data],4,FALSE)</f>
        <v>#REF!</v>
      </c>
    </row>
    <row r="3353" spans="1:12" hidden="1" x14ac:dyDescent="0.3">
      <c r="A3353" t="s">
        <v>67</v>
      </c>
      <c r="B3353" t="s">
        <v>68</v>
      </c>
      <c r="C3353" t="s">
        <v>125</v>
      </c>
      <c r="D3353" t="s">
        <v>126</v>
      </c>
      <c r="E3353">
        <v>2019</v>
      </c>
      <c r="F3353" s="1">
        <v>9</v>
      </c>
      <c r="G3353">
        <v>2020</v>
      </c>
      <c r="H3353">
        <f>AVERAGEIFS(Table1[value],Table1[IndicatorCode],Table1[[#This Row],[IndicatorCode]])</f>
        <v>7.6894248608534319</v>
      </c>
      <c r="I3353" cm="1">
        <f t="array" ref="I3353">_xlfn.STDEV.P(IF(Table1[IndicatorCode]=Table1[[#This Row],[IndicatorCode]],Table1[value]))</f>
        <v>5.2319501044600996</v>
      </c>
      <c r="J3353">
        <f>(Table1[[#This Row],[value]] - Table1[[#This Row],[mean]]) / Table1[[#This Row],[std_dev]]</f>
        <v>0.25049457907278921</v>
      </c>
      <c r="K3353">
        <f>AVERAGEIF(Table1[CountryCode],Table1[[#This Row],[CountryCode]],Table1[z-score])</f>
        <v>0.55967304374969629</v>
      </c>
      <c r="L3353" t="e">
        <f>VLOOKUP(Table1[[#This Row],[CountryCode]],[1]!Table1[#Data],4,FALSE)</f>
        <v>#REF!</v>
      </c>
    </row>
    <row r="3354" spans="1:12" x14ac:dyDescent="0.3">
      <c r="A3354" t="s">
        <v>67</v>
      </c>
      <c r="B3354" t="s">
        <v>68</v>
      </c>
      <c r="C3354" t="s">
        <v>125</v>
      </c>
      <c r="D3354" t="s">
        <v>126</v>
      </c>
      <c r="E3354">
        <v>2020</v>
      </c>
      <c r="F3354" s="1">
        <v>8</v>
      </c>
      <c r="G3354">
        <v>2020</v>
      </c>
      <c r="H3354">
        <f>AVERAGEIFS(Table1[value],Table1[IndicatorCode],Table1[[#This Row],[IndicatorCode]])</f>
        <v>7.6894248608534319</v>
      </c>
      <c r="I3354" cm="1">
        <f t="array" ref="I3354">_xlfn.STDEV.P(IF(Table1[IndicatorCode]=Table1[[#This Row],[IndicatorCode]],Table1[value]))</f>
        <v>5.2319501044600996</v>
      </c>
      <c r="J3354">
        <f>(Table1[[#This Row],[value]] - Table1[[#This Row],[mean]]) / Table1[[#This Row],[std_dev]]</f>
        <v>5.9361257838030791E-2</v>
      </c>
      <c r="K3354">
        <f>AVERAGEIF(Table1[CountryCode],Table1[[#This Row],[CountryCode]],Table1[z-score])</f>
        <v>0.55967304374969629</v>
      </c>
    </row>
    <row r="3355" spans="1:12" hidden="1" x14ac:dyDescent="0.3">
      <c r="A3355" t="s">
        <v>67</v>
      </c>
      <c r="B3355" t="s">
        <v>68</v>
      </c>
      <c r="C3355" t="s">
        <v>125</v>
      </c>
      <c r="D3355" t="s">
        <v>126</v>
      </c>
      <c r="E3355">
        <v>2021</v>
      </c>
      <c r="F3355" s="1">
        <v>8</v>
      </c>
      <c r="G3355">
        <v>2020</v>
      </c>
      <c r="H3355">
        <f>AVERAGEIFS(Table1[value],Table1[IndicatorCode],Table1[[#This Row],[IndicatorCode]])</f>
        <v>7.6894248608534319</v>
      </c>
      <c r="I3355" cm="1">
        <f t="array" ref="I3355">_xlfn.STDEV.P(IF(Table1[IndicatorCode]=Table1[[#This Row],[IndicatorCode]],Table1[value]))</f>
        <v>5.2319501044600996</v>
      </c>
      <c r="J3355">
        <f>(Table1[[#This Row],[value]] - Table1[[#This Row],[mean]]) / Table1[[#This Row],[std_dev]]</f>
        <v>5.9361257838030791E-2</v>
      </c>
      <c r="K3355">
        <f>AVERAGEIF(Table1[CountryCode],Table1[[#This Row],[CountryCode]],Table1[z-score])</f>
        <v>0.55967304374969629</v>
      </c>
      <c r="L3355" t="e">
        <f>VLOOKUP(Table1[[#This Row],[CountryCode]],[1]!Table1[#Data],4,FALSE)</f>
        <v>#REF!</v>
      </c>
    </row>
    <row r="3356" spans="1:12" hidden="1" x14ac:dyDescent="0.3">
      <c r="A3356" t="s">
        <v>67</v>
      </c>
      <c r="B3356" t="s">
        <v>68</v>
      </c>
      <c r="C3356" t="s">
        <v>125</v>
      </c>
      <c r="D3356" t="s">
        <v>126</v>
      </c>
      <c r="E3356">
        <v>2022</v>
      </c>
      <c r="F3356" s="1">
        <v>8</v>
      </c>
      <c r="G3356">
        <v>1970</v>
      </c>
      <c r="H3356">
        <f>AVERAGEIFS(Table1[value],Table1[IndicatorCode],Table1[[#This Row],[IndicatorCode]])</f>
        <v>7.6894248608534319</v>
      </c>
      <c r="I3356" cm="1">
        <f t="array" ref="I3356">_xlfn.STDEV.P(IF(Table1[IndicatorCode]=Table1[[#This Row],[IndicatorCode]],Table1[value]))</f>
        <v>5.2319501044600996</v>
      </c>
      <c r="J3356">
        <f>(Table1[[#This Row],[value]] - Table1[[#This Row],[mean]]) / Table1[[#This Row],[std_dev]]</f>
        <v>5.9361257838030791E-2</v>
      </c>
      <c r="K3356">
        <f>AVERAGEIF(Table1[CountryCode],Table1[[#This Row],[CountryCode]],Table1[z-score])</f>
        <v>0.55967304374969629</v>
      </c>
      <c r="L3356" t="e">
        <f>VLOOKUP(Table1[[#This Row],[CountryCode]],[1]!Table1[#Data],4,FALSE)</f>
        <v>#REF!</v>
      </c>
    </row>
    <row r="3357" spans="1:12" hidden="1" x14ac:dyDescent="0.3">
      <c r="A3357" t="s">
        <v>67</v>
      </c>
      <c r="B3357" t="s">
        <v>68</v>
      </c>
      <c r="C3357" t="s">
        <v>125</v>
      </c>
      <c r="D3357" t="s">
        <v>126</v>
      </c>
      <c r="E3357">
        <v>2023</v>
      </c>
      <c r="F3357" s="1">
        <v>8</v>
      </c>
      <c r="G3357">
        <v>1970</v>
      </c>
      <c r="H3357">
        <f>AVERAGEIFS(Table1[value],Table1[IndicatorCode],Table1[[#This Row],[IndicatorCode]])</f>
        <v>7.6894248608534319</v>
      </c>
      <c r="I3357" cm="1">
        <f t="array" ref="I3357">_xlfn.STDEV.P(IF(Table1[IndicatorCode]=Table1[[#This Row],[IndicatorCode]],Table1[value]))</f>
        <v>5.2319501044600996</v>
      </c>
      <c r="J3357">
        <f>(Table1[[#This Row],[value]] - Table1[[#This Row],[mean]]) / Table1[[#This Row],[std_dev]]</f>
        <v>5.9361257838030791E-2</v>
      </c>
      <c r="K3357">
        <f>AVERAGEIF(Table1[CountryCode],Table1[[#This Row],[CountryCode]],Table1[z-score])</f>
        <v>0.55967304374969629</v>
      </c>
      <c r="L3357" t="e">
        <f>VLOOKUP(Table1[[#This Row],[CountryCode]],[1]!Table1[#Data],4,FALSE)</f>
        <v>#REF!</v>
      </c>
    </row>
    <row r="3358" spans="1:12" hidden="1" x14ac:dyDescent="0.3">
      <c r="A3358" t="s">
        <v>67</v>
      </c>
      <c r="B3358" t="s">
        <v>68</v>
      </c>
      <c r="C3358" t="s">
        <v>125</v>
      </c>
      <c r="D3358" t="s">
        <v>126</v>
      </c>
      <c r="E3358">
        <v>2024</v>
      </c>
      <c r="F3358" s="1">
        <v>9</v>
      </c>
      <c r="G3358">
        <v>1970</v>
      </c>
      <c r="H3358">
        <f>AVERAGEIFS(Table1[value],Table1[IndicatorCode],Table1[[#This Row],[IndicatorCode]])</f>
        <v>7.6894248608534319</v>
      </c>
      <c r="I3358" cm="1">
        <f t="array" ref="I3358">_xlfn.STDEV.P(IF(Table1[IndicatorCode]=Table1[[#This Row],[IndicatorCode]],Table1[value]))</f>
        <v>5.2319501044600996</v>
      </c>
      <c r="J3358">
        <f>(Table1[[#This Row],[value]] - Table1[[#This Row],[mean]]) / Table1[[#This Row],[std_dev]]</f>
        <v>0.25049457907278921</v>
      </c>
      <c r="K3358">
        <f>AVERAGEIF(Table1[CountryCode],Table1[[#This Row],[CountryCode]],Table1[z-score])</f>
        <v>0.55967304374969629</v>
      </c>
      <c r="L3358" t="e">
        <f>VLOOKUP(Table1[[#This Row],[CountryCode]],[1]!Table1[#Data],4,FALSE)</f>
        <v>#REF!</v>
      </c>
    </row>
    <row r="3359" spans="1:12" hidden="1" x14ac:dyDescent="0.3">
      <c r="A3359" t="s">
        <v>69</v>
      </c>
      <c r="B3359" t="s">
        <v>70</v>
      </c>
      <c r="C3359" t="s">
        <v>125</v>
      </c>
      <c r="D3359" t="s">
        <v>126</v>
      </c>
      <c r="E3359">
        <v>1970</v>
      </c>
      <c r="F3359" s="1">
        <v>6</v>
      </c>
      <c r="G3359">
        <v>1970</v>
      </c>
      <c r="H3359">
        <f>AVERAGEIFS(Table1[value],Table1[IndicatorCode],Table1[[#This Row],[IndicatorCode]])</f>
        <v>7.6894248608534319</v>
      </c>
      <c r="I3359" cm="1">
        <f t="array" ref="I3359">_xlfn.STDEV.P(IF(Table1[IndicatorCode]=Table1[[#This Row],[IndicatorCode]],Table1[value]))</f>
        <v>5.2319501044600996</v>
      </c>
      <c r="J3359">
        <f>(Table1[[#This Row],[value]] - Table1[[#This Row],[mean]]) / Table1[[#This Row],[std_dev]]</f>
        <v>-0.32290538463148605</v>
      </c>
      <c r="K3359">
        <f>AVERAGEIF(Table1[CountryCode],Table1[[#This Row],[CountryCode]],Table1[z-score])</f>
        <v>0.20445029067007053</v>
      </c>
      <c r="L3359" t="e">
        <f>VLOOKUP(Table1[[#This Row],[CountryCode]],[1]!Table1[#Data],4,FALSE)</f>
        <v>#REF!</v>
      </c>
    </row>
    <row r="3360" spans="1:12" hidden="1" x14ac:dyDescent="0.3">
      <c r="A3360" t="s">
        <v>69</v>
      </c>
      <c r="B3360" t="s">
        <v>70</v>
      </c>
      <c r="C3360" t="s">
        <v>125</v>
      </c>
      <c r="D3360" t="s">
        <v>126</v>
      </c>
      <c r="E3360">
        <v>1971</v>
      </c>
      <c r="F3360" s="1">
        <v>6</v>
      </c>
      <c r="G3360">
        <v>1970</v>
      </c>
      <c r="H3360">
        <f>AVERAGEIFS(Table1[value],Table1[IndicatorCode],Table1[[#This Row],[IndicatorCode]])</f>
        <v>7.6894248608534319</v>
      </c>
      <c r="I3360" cm="1">
        <f t="array" ref="I3360">_xlfn.STDEV.P(IF(Table1[IndicatorCode]=Table1[[#This Row],[IndicatorCode]],Table1[value]))</f>
        <v>5.2319501044600996</v>
      </c>
      <c r="J3360">
        <f>(Table1[[#This Row],[value]] - Table1[[#This Row],[mean]]) / Table1[[#This Row],[std_dev]]</f>
        <v>-0.32290538463148605</v>
      </c>
      <c r="K3360">
        <f>AVERAGEIF(Table1[CountryCode],Table1[[#This Row],[CountryCode]],Table1[z-score])</f>
        <v>0.20445029067007053</v>
      </c>
      <c r="L3360" t="e">
        <f>VLOOKUP(Table1[[#This Row],[CountryCode]],[1]!Table1[#Data],4,FALSE)</f>
        <v>#REF!</v>
      </c>
    </row>
    <row r="3361" spans="1:12" hidden="1" x14ac:dyDescent="0.3">
      <c r="A3361" t="s">
        <v>69</v>
      </c>
      <c r="B3361" t="s">
        <v>70</v>
      </c>
      <c r="C3361" t="s">
        <v>125</v>
      </c>
      <c r="D3361" t="s">
        <v>126</v>
      </c>
      <c r="E3361">
        <v>1972</v>
      </c>
      <c r="F3361" s="1">
        <v>6</v>
      </c>
      <c r="G3361">
        <v>1970</v>
      </c>
      <c r="H3361">
        <f>AVERAGEIFS(Table1[value],Table1[IndicatorCode],Table1[[#This Row],[IndicatorCode]])</f>
        <v>7.6894248608534319</v>
      </c>
      <c r="I3361" cm="1">
        <f t="array" ref="I3361">_xlfn.STDEV.P(IF(Table1[IndicatorCode]=Table1[[#This Row],[IndicatorCode]],Table1[value]))</f>
        <v>5.2319501044600996</v>
      </c>
      <c r="J3361">
        <f>(Table1[[#This Row],[value]] - Table1[[#This Row],[mean]]) / Table1[[#This Row],[std_dev]]</f>
        <v>-0.32290538463148605</v>
      </c>
      <c r="K3361">
        <f>AVERAGEIF(Table1[CountryCode],Table1[[#This Row],[CountryCode]],Table1[z-score])</f>
        <v>0.20445029067007053</v>
      </c>
      <c r="L3361" t="e">
        <f>VLOOKUP(Table1[[#This Row],[CountryCode]],[1]!Table1[#Data],4,FALSE)</f>
        <v>#REF!</v>
      </c>
    </row>
    <row r="3362" spans="1:12" hidden="1" x14ac:dyDescent="0.3">
      <c r="A3362" t="s">
        <v>69</v>
      </c>
      <c r="B3362" t="s">
        <v>70</v>
      </c>
      <c r="C3362" t="s">
        <v>125</v>
      </c>
      <c r="D3362" t="s">
        <v>126</v>
      </c>
      <c r="E3362">
        <v>1973</v>
      </c>
      <c r="F3362" s="1">
        <v>7</v>
      </c>
      <c r="G3362">
        <v>1970</v>
      </c>
      <c r="H3362">
        <f>AVERAGEIFS(Table1[value],Table1[IndicatorCode],Table1[[#This Row],[IndicatorCode]])</f>
        <v>7.6894248608534319</v>
      </c>
      <c r="I3362" cm="1">
        <f t="array" ref="I3362">_xlfn.STDEV.P(IF(Table1[IndicatorCode]=Table1[[#This Row],[IndicatorCode]],Table1[value]))</f>
        <v>5.2319501044600996</v>
      </c>
      <c r="J3362">
        <f>(Table1[[#This Row],[value]] - Table1[[#This Row],[mean]]) / Table1[[#This Row],[std_dev]]</f>
        <v>-0.13177206339672762</v>
      </c>
      <c r="K3362">
        <f>AVERAGEIF(Table1[CountryCode],Table1[[#This Row],[CountryCode]],Table1[z-score])</f>
        <v>0.20445029067007053</v>
      </c>
      <c r="L3362" t="e">
        <f>VLOOKUP(Table1[[#This Row],[CountryCode]],[1]!Table1[#Data],4,FALSE)</f>
        <v>#REF!</v>
      </c>
    </row>
    <row r="3363" spans="1:12" hidden="1" x14ac:dyDescent="0.3">
      <c r="A3363" t="s">
        <v>69</v>
      </c>
      <c r="B3363" t="s">
        <v>70</v>
      </c>
      <c r="C3363" t="s">
        <v>125</v>
      </c>
      <c r="D3363" t="s">
        <v>126</v>
      </c>
      <c r="E3363">
        <v>1974</v>
      </c>
      <c r="F3363" s="1">
        <v>7</v>
      </c>
      <c r="G3363">
        <v>1970</v>
      </c>
      <c r="H3363">
        <f>AVERAGEIFS(Table1[value],Table1[IndicatorCode],Table1[[#This Row],[IndicatorCode]])</f>
        <v>7.6894248608534319</v>
      </c>
      <c r="I3363" cm="1">
        <f t="array" ref="I3363">_xlfn.STDEV.P(IF(Table1[IndicatorCode]=Table1[[#This Row],[IndicatorCode]],Table1[value]))</f>
        <v>5.2319501044600996</v>
      </c>
      <c r="J3363">
        <f>(Table1[[#This Row],[value]] - Table1[[#This Row],[mean]]) / Table1[[#This Row],[std_dev]]</f>
        <v>-0.13177206339672762</v>
      </c>
      <c r="K3363">
        <f>AVERAGEIF(Table1[CountryCode],Table1[[#This Row],[CountryCode]],Table1[z-score])</f>
        <v>0.20445029067007053</v>
      </c>
      <c r="L3363" t="e">
        <f>VLOOKUP(Table1[[#This Row],[CountryCode]],[1]!Table1[#Data],4,FALSE)</f>
        <v>#REF!</v>
      </c>
    </row>
    <row r="3364" spans="1:12" hidden="1" x14ac:dyDescent="0.3">
      <c r="A3364" t="s">
        <v>69</v>
      </c>
      <c r="B3364" t="s">
        <v>70</v>
      </c>
      <c r="C3364" t="s">
        <v>125</v>
      </c>
      <c r="D3364" t="s">
        <v>126</v>
      </c>
      <c r="E3364">
        <v>1975</v>
      </c>
      <c r="F3364" s="1">
        <v>6</v>
      </c>
      <c r="G3364">
        <v>1970</v>
      </c>
      <c r="H3364">
        <f>AVERAGEIFS(Table1[value],Table1[IndicatorCode],Table1[[#This Row],[IndicatorCode]])</f>
        <v>7.6894248608534319</v>
      </c>
      <c r="I3364" cm="1">
        <f t="array" ref="I3364">_xlfn.STDEV.P(IF(Table1[IndicatorCode]=Table1[[#This Row],[IndicatorCode]],Table1[value]))</f>
        <v>5.2319501044600996</v>
      </c>
      <c r="J3364">
        <f>(Table1[[#This Row],[value]] - Table1[[#This Row],[mean]]) / Table1[[#This Row],[std_dev]]</f>
        <v>-0.32290538463148605</v>
      </c>
      <c r="K3364">
        <f>AVERAGEIF(Table1[CountryCode],Table1[[#This Row],[CountryCode]],Table1[z-score])</f>
        <v>0.20445029067007053</v>
      </c>
      <c r="L3364" t="e">
        <f>VLOOKUP(Table1[[#This Row],[CountryCode]],[1]!Table1[#Data],4,FALSE)</f>
        <v>#REF!</v>
      </c>
    </row>
    <row r="3365" spans="1:12" hidden="1" x14ac:dyDescent="0.3">
      <c r="A3365" t="s">
        <v>69</v>
      </c>
      <c r="B3365" t="s">
        <v>70</v>
      </c>
      <c r="C3365" t="s">
        <v>125</v>
      </c>
      <c r="D3365" t="s">
        <v>126</v>
      </c>
      <c r="E3365">
        <v>1976</v>
      </c>
      <c r="F3365" s="1">
        <v>7</v>
      </c>
      <c r="G3365">
        <v>1970</v>
      </c>
      <c r="H3365">
        <f>AVERAGEIFS(Table1[value],Table1[IndicatorCode],Table1[[#This Row],[IndicatorCode]])</f>
        <v>7.6894248608534319</v>
      </c>
      <c r="I3365" cm="1">
        <f t="array" ref="I3365">_xlfn.STDEV.P(IF(Table1[IndicatorCode]=Table1[[#This Row],[IndicatorCode]],Table1[value]))</f>
        <v>5.2319501044600996</v>
      </c>
      <c r="J3365">
        <f>(Table1[[#This Row],[value]] - Table1[[#This Row],[mean]]) / Table1[[#This Row],[std_dev]]</f>
        <v>-0.13177206339672762</v>
      </c>
      <c r="K3365">
        <f>AVERAGEIF(Table1[CountryCode],Table1[[#This Row],[CountryCode]],Table1[z-score])</f>
        <v>0.20445029067007053</v>
      </c>
      <c r="L3365" t="e">
        <f>VLOOKUP(Table1[[#This Row],[CountryCode]],[1]!Table1[#Data],4,FALSE)</f>
        <v>#REF!</v>
      </c>
    </row>
    <row r="3366" spans="1:12" hidden="1" x14ac:dyDescent="0.3">
      <c r="A3366" t="s">
        <v>69</v>
      </c>
      <c r="B3366" t="s">
        <v>70</v>
      </c>
      <c r="C3366" t="s">
        <v>125</v>
      </c>
      <c r="D3366" t="s">
        <v>126</v>
      </c>
      <c r="E3366">
        <v>1977</v>
      </c>
      <c r="F3366" s="1">
        <v>7</v>
      </c>
      <c r="G3366">
        <v>1980</v>
      </c>
      <c r="H3366">
        <f>AVERAGEIFS(Table1[value],Table1[IndicatorCode],Table1[[#This Row],[IndicatorCode]])</f>
        <v>7.6894248608534319</v>
      </c>
      <c r="I3366" cm="1">
        <f t="array" ref="I3366">_xlfn.STDEV.P(IF(Table1[IndicatorCode]=Table1[[#This Row],[IndicatorCode]],Table1[value]))</f>
        <v>5.2319501044600996</v>
      </c>
      <c r="J3366">
        <f>(Table1[[#This Row],[value]] - Table1[[#This Row],[mean]]) / Table1[[#This Row],[std_dev]]</f>
        <v>-0.13177206339672762</v>
      </c>
      <c r="K3366">
        <f>AVERAGEIF(Table1[CountryCode],Table1[[#This Row],[CountryCode]],Table1[z-score])</f>
        <v>0.20445029067007053</v>
      </c>
      <c r="L3366" t="e">
        <f>VLOOKUP(Table1[[#This Row],[CountryCode]],[1]!Table1[#Data],4,FALSE)</f>
        <v>#REF!</v>
      </c>
    </row>
    <row r="3367" spans="1:12" hidden="1" x14ac:dyDescent="0.3">
      <c r="A3367" t="s">
        <v>69</v>
      </c>
      <c r="B3367" t="s">
        <v>70</v>
      </c>
      <c r="C3367" t="s">
        <v>125</v>
      </c>
      <c r="D3367" t="s">
        <v>126</v>
      </c>
      <c r="E3367">
        <v>1978</v>
      </c>
      <c r="F3367" s="1">
        <v>7</v>
      </c>
      <c r="G3367">
        <v>1980</v>
      </c>
      <c r="H3367">
        <f>AVERAGEIFS(Table1[value],Table1[IndicatorCode],Table1[[#This Row],[IndicatorCode]])</f>
        <v>7.6894248608534319</v>
      </c>
      <c r="I3367" cm="1">
        <f t="array" ref="I3367">_xlfn.STDEV.P(IF(Table1[IndicatorCode]=Table1[[#This Row],[IndicatorCode]],Table1[value]))</f>
        <v>5.2319501044600996</v>
      </c>
      <c r="J3367">
        <f>(Table1[[#This Row],[value]] - Table1[[#This Row],[mean]]) / Table1[[#This Row],[std_dev]]</f>
        <v>-0.13177206339672762</v>
      </c>
      <c r="K3367">
        <f>AVERAGEIF(Table1[CountryCode],Table1[[#This Row],[CountryCode]],Table1[z-score])</f>
        <v>0.20445029067007053</v>
      </c>
      <c r="L3367" t="e">
        <f>VLOOKUP(Table1[[#This Row],[CountryCode]],[1]!Table1[#Data],4,FALSE)</f>
        <v>#REF!</v>
      </c>
    </row>
    <row r="3368" spans="1:12" hidden="1" x14ac:dyDescent="0.3">
      <c r="A3368" t="s">
        <v>69</v>
      </c>
      <c r="B3368" t="s">
        <v>70</v>
      </c>
      <c r="C3368" t="s">
        <v>125</v>
      </c>
      <c r="D3368" t="s">
        <v>126</v>
      </c>
      <c r="E3368">
        <v>1979</v>
      </c>
      <c r="F3368" s="1">
        <v>7</v>
      </c>
      <c r="G3368">
        <v>1980</v>
      </c>
      <c r="H3368">
        <f>AVERAGEIFS(Table1[value],Table1[IndicatorCode],Table1[[#This Row],[IndicatorCode]])</f>
        <v>7.6894248608534319</v>
      </c>
      <c r="I3368" cm="1">
        <f t="array" ref="I3368">_xlfn.STDEV.P(IF(Table1[IndicatorCode]=Table1[[#This Row],[IndicatorCode]],Table1[value]))</f>
        <v>5.2319501044600996</v>
      </c>
      <c r="J3368">
        <f>(Table1[[#This Row],[value]] - Table1[[#This Row],[mean]]) / Table1[[#This Row],[std_dev]]</f>
        <v>-0.13177206339672762</v>
      </c>
      <c r="K3368">
        <f>AVERAGEIF(Table1[CountryCode],Table1[[#This Row],[CountryCode]],Table1[z-score])</f>
        <v>0.20445029067007053</v>
      </c>
      <c r="L3368" t="e">
        <f>VLOOKUP(Table1[[#This Row],[CountryCode]],[1]!Table1[#Data],4,FALSE)</f>
        <v>#REF!</v>
      </c>
    </row>
    <row r="3369" spans="1:12" hidden="1" x14ac:dyDescent="0.3">
      <c r="A3369" t="s">
        <v>69</v>
      </c>
      <c r="B3369" t="s">
        <v>70</v>
      </c>
      <c r="C3369" t="s">
        <v>125</v>
      </c>
      <c r="D3369" t="s">
        <v>126</v>
      </c>
      <c r="E3369">
        <v>1980</v>
      </c>
      <c r="F3369" s="1">
        <v>7</v>
      </c>
      <c r="G3369">
        <v>1980</v>
      </c>
      <c r="H3369">
        <f>AVERAGEIFS(Table1[value],Table1[IndicatorCode],Table1[[#This Row],[IndicatorCode]])</f>
        <v>7.6894248608534319</v>
      </c>
      <c r="I3369" cm="1">
        <f t="array" ref="I3369">_xlfn.STDEV.P(IF(Table1[IndicatorCode]=Table1[[#This Row],[IndicatorCode]],Table1[value]))</f>
        <v>5.2319501044600996</v>
      </c>
      <c r="J3369">
        <f>(Table1[[#This Row],[value]] - Table1[[#This Row],[mean]]) / Table1[[#This Row],[std_dev]]</f>
        <v>-0.13177206339672762</v>
      </c>
      <c r="K3369">
        <f>AVERAGEIF(Table1[CountryCode],Table1[[#This Row],[CountryCode]],Table1[z-score])</f>
        <v>0.20445029067007053</v>
      </c>
      <c r="L3369" t="e">
        <f>VLOOKUP(Table1[[#This Row],[CountryCode]],[1]!Table1[#Data],4,FALSE)</f>
        <v>#REF!</v>
      </c>
    </row>
    <row r="3370" spans="1:12" hidden="1" x14ac:dyDescent="0.3">
      <c r="A3370" t="s">
        <v>69</v>
      </c>
      <c r="B3370" t="s">
        <v>70</v>
      </c>
      <c r="C3370" t="s">
        <v>125</v>
      </c>
      <c r="D3370" t="s">
        <v>126</v>
      </c>
      <c r="E3370">
        <v>1981</v>
      </c>
      <c r="F3370" s="1">
        <v>7</v>
      </c>
      <c r="G3370">
        <v>1980</v>
      </c>
      <c r="H3370">
        <f>AVERAGEIFS(Table1[value],Table1[IndicatorCode],Table1[[#This Row],[IndicatorCode]])</f>
        <v>7.6894248608534319</v>
      </c>
      <c r="I3370" cm="1">
        <f t="array" ref="I3370">_xlfn.STDEV.P(IF(Table1[IndicatorCode]=Table1[[#This Row],[IndicatorCode]],Table1[value]))</f>
        <v>5.2319501044600996</v>
      </c>
      <c r="J3370">
        <f>(Table1[[#This Row],[value]] - Table1[[#This Row],[mean]]) / Table1[[#This Row],[std_dev]]</f>
        <v>-0.13177206339672762</v>
      </c>
      <c r="K3370">
        <f>AVERAGEIF(Table1[CountryCode],Table1[[#This Row],[CountryCode]],Table1[z-score])</f>
        <v>0.20445029067007053</v>
      </c>
      <c r="L3370" t="e">
        <f>VLOOKUP(Table1[[#This Row],[CountryCode]],[1]!Table1[#Data],4,FALSE)</f>
        <v>#REF!</v>
      </c>
    </row>
    <row r="3371" spans="1:12" hidden="1" x14ac:dyDescent="0.3">
      <c r="A3371" t="s">
        <v>69</v>
      </c>
      <c r="B3371" t="s">
        <v>70</v>
      </c>
      <c r="C3371" t="s">
        <v>125</v>
      </c>
      <c r="D3371" t="s">
        <v>126</v>
      </c>
      <c r="E3371">
        <v>1982</v>
      </c>
      <c r="F3371" s="1">
        <v>7</v>
      </c>
      <c r="G3371">
        <v>1980</v>
      </c>
      <c r="H3371">
        <f>AVERAGEIFS(Table1[value],Table1[IndicatorCode],Table1[[#This Row],[IndicatorCode]])</f>
        <v>7.6894248608534319</v>
      </c>
      <c r="I3371" cm="1">
        <f t="array" ref="I3371">_xlfn.STDEV.P(IF(Table1[IndicatorCode]=Table1[[#This Row],[IndicatorCode]],Table1[value]))</f>
        <v>5.2319501044600996</v>
      </c>
      <c r="J3371">
        <f>(Table1[[#This Row],[value]] - Table1[[#This Row],[mean]]) / Table1[[#This Row],[std_dev]]</f>
        <v>-0.13177206339672762</v>
      </c>
      <c r="K3371">
        <f>AVERAGEIF(Table1[CountryCode],Table1[[#This Row],[CountryCode]],Table1[z-score])</f>
        <v>0.20445029067007053</v>
      </c>
      <c r="L3371" t="e">
        <f>VLOOKUP(Table1[[#This Row],[CountryCode]],[1]!Table1[#Data],4,FALSE)</f>
        <v>#REF!</v>
      </c>
    </row>
    <row r="3372" spans="1:12" hidden="1" x14ac:dyDescent="0.3">
      <c r="A3372" t="s">
        <v>69</v>
      </c>
      <c r="B3372" t="s">
        <v>70</v>
      </c>
      <c r="C3372" t="s">
        <v>125</v>
      </c>
      <c r="D3372" t="s">
        <v>126</v>
      </c>
      <c r="E3372">
        <v>1983</v>
      </c>
      <c r="F3372" s="1">
        <v>7</v>
      </c>
      <c r="G3372">
        <v>1980</v>
      </c>
      <c r="H3372">
        <f>AVERAGEIFS(Table1[value],Table1[IndicatorCode],Table1[[#This Row],[IndicatorCode]])</f>
        <v>7.6894248608534319</v>
      </c>
      <c r="I3372" cm="1">
        <f t="array" ref="I3372">_xlfn.STDEV.P(IF(Table1[IndicatorCode]=Table1[[#This Row],[IndicatorCode]],Table1[value]))</f>
        <v>5.2319501044600996</v>
      </c>
      <c r="J3372">
        <f>(Table1[[#This Row],[value]] - Table1[[#This Row],[mean]]) / Table1[[#This Row],[std_dev]]</f>
        <v>-0.13177206339672762</v>
      </c>
      <c r="K3372">
        <f>AVERAGEIF(Table1[CountryCode],Table1[[#This Row],[CountryCode]],Table1[z-score])</f>
        <v>0.20445029067007053</v>
      </c>
      <c r="L3372" t="e">
        <f>VLOOKUP(Table1[[#This Row],[CountryCode]],[1]!Table1[#Data],4,FALSE)</f>
        <v>#REF!</v>
      </c>
    </row>
    <row r="3373" spans="1:12" hidden="1" x14ac:dyDescent="0.3">
      <c r="A3373" t="s">
        <v>69</v>
      </c>
      <c r="B3373" t="s">
        <v>70</v>
      </c>
      <c r="C3373" t="s">
        <v>125</v>
      </c>
      <c r="D3373" t="s">
        <v>126</v>
      </c>
      <c r="E3373">
        <v>1984</v>
      </c>
      <c r="F3373" s="1">
        <v>7</v>
      </c>
      <c r="G3373">
        <v>1980</v>
      </c>
      <c r="H3373">
        <f>AVERAGEIFS(Table1[value],Table1[IndicatorCode],Table1[[#This Row],[IndicatorCode]])</f>
        <v>7.6894248608534319</v>
      </c>
      <c r="I3373" cm="1">
        <f t="array" ref="I3373">_xlfn.STDEV.P(IF(Table1[IndicatorCode]=Table1[[#This Row],[IndicatorCode]],Table1[value]))</f>
        <v>5.2319501044600996</v>
      </c>
      <c r="J3373">
        <f>(Table1[[#This Row],[value]] - Table1[[#This Row],[mean]]) / Table1[[#This Row],[std_dev]]</f>
        <v>-0.13177206339672762</v>
      </c>
      <c r="K3373">
        <f>AVERAGEIF(Table1[CountryCode],Table1[[#This Row],[CountryCode]],Table1[z-score])</f>
        <v>0.20445029067007053</v>
      </c>
      <c r="L3373" t="e">
        <f>VLOOKUP(Table1[[#This Row],[CountryCode]],[1]!Table1[#Data],4,FALSE)</f>
        <v>#REF!</v>
      </c>
    </row>
    <row r="3374" spans="1:12" hidden="1" x14ac:dyDescent="0.3">
      <c r="A3374" t="s">
        <v>69</v>
      </c>
      <c r="B3374" t="s">
        <v>70</v>
      </c>
      <c r="C3374" t="s">
        <v>125</v>
      </c>
      <c r="D3374" t="s">
        <v>126</v>
      </c>
      <c r="E3374">
        <v>1985</v>
      </c>
      <c r="F3374" s="1">
        <v>7</v>
      </c>
      <c r="G3374">
        <v>1980</v>
      </c>
      <c r="H3374">
        <f>AVERAGEIFS(Table1[value],Table1[IndicatorCode],Table1[[#This Row],[IndicatorCode]])</f>
        <v>7.6894248608534319</v>
      </c>
      <c r="I3374" cm="1">
        <f t="array" ref="I3374">_xlfn.STDEV.P(IF(Table1[IndicatorCode]=Table1[[#This Row],[IndicatorCode]],Table1[value]))</f>
        <v>5.2319501044600996</v>
      </c>
      <c r="J3374">
        <f>(Table1[[#This Row],[value]] - Table1[[#This Row],[mean]]) / Table1[[#This Row],[std_dev]]</f>
        <v>-0.13177206339672762</v>
      </c>
      <c r="K3374">
        <f>AVERAGEIF(Table1[CountryCode],Table1[[#This Row],[CountryCode]],Table1[z-score])</f>
        <v>0.20445029067007053</v>
      </c>
      <c r="L3374" t="e">
        <f>VLOOKUP(Table1[[#This Row],[CountryCode]],[1]!Table1[#Data],4,FALSE)</f>
        <v>#REF!</v>
      </c>
    </row>
    <row r="3375" spans="1:12" hidden="1" x14ac:dyDescent="0.3">
      <c r="A3375" t="s">
        <v>69</v>
      </c>
      <c r="B3375" t="s">
        <v>70</v>
      </c>
      <c r="C3375" t="s">
        <v>125</v>
      </c>
      <c r="D3375" t="s">
        <v>126</v>
      </c>
      <c r="E3375">
        <v>1986</v>
      </c>
      <c r="F3375" s="1">
        <v>7</v>
      </c>
      <c r="G3375">
        <v>1980</v>
      </c>
      <c r="H3375">
        <f>AVERAGEIFS(Table1[value],Table1[IndicatorCode],Table1[[#This Row],[IndicatorCode]])</f>
        <v>7.6894248608534319</v>
      </c>
      <c r="I3375" cm="1">
        <f t="array" ref="I3375">_xlfn.STDEV.P(IF(Table1[IndicatorCode]=Table1[[#This Row],[IndicatorCode]],Table1[value]))</f>
        <v>5.2319501044600996</v>
      </c>
      <c r="J3375">
        <f>(Table1[[#This Row],[value]] - Table1[[#This Row],[mean]]) / Table1[[#This Row],[std_dev]]</f>
        <v>-0.13177206339672762</v>
      </c>
      <c r="K3375">
        <f>AVERAGEIF(Table1[CountryCode],Table1[[#This Row],[CountryCode]],Table1[z-score])</f>
        <v>0.20445029067007053</v>
      </c>
      <c r="L3375" t="e">
        <f>VLOOKUP(Table1[[#This Row],[CountryCode]],[1]!Table1[#Data],4,FALSE)</f>
        <v>#REF!</v>
      </c>
    </row>
    <row r="3376" spans="1:12" hidden="1" x14ac:dyDescent="0.3">
      <c r="A3376" t="s">
        <v>69</v>
      </c>
      <c r="B3376" t="s">
        <v>70</v>
      </c>
      <c r="C3376" t="s">
        <v>125</v>
      </c>
      <c r="D3376" t="s">
        <v>126</v>
      </c>
      <c r="E3376">
        <v>1987</v>
      </c>
      <c r="F3376" s="1">
        <v>7</v>
      </c>
      <c r="G3376">
        <v>1990</v>
      </c>
      <c r="H3376">
        <f>AVERAGEIFS(Table1[value],Table1[IndicatorCode],Table1[[#This Row],[IndicatorCode]])</f>
        <v>7.6894248608534319</v>
      </c>
      <c r="I3376" cm="1">
        <f t="array" ref="I3376">_xlfn.STDEV.P(IF(Table1[IndicatorCode]=Table1[[#This Row],[IndicatorCode]],Table1[value]))</f>
        <v>5.2319501044600996</v>
      </c>
      <c r="J3376">
        <f>(Table1[[#This Row],[value]] - Table1[[#This Row],[mean]]) / Table1[[#This Row],[std_dev]]</f>
        <v>-0.13177206339672762</v>
      </c>
      <c r="K3376">
        <f>AVERAGEIF(Table1[CountryCode],Table1[[#This Row],[CountryCode]],Table1[z-score])</f>
        <v>0.20445029067007053</v>
      </c>
      <c r="L3376" t="e">
        <f>VLOOKUP(Table1[[#This Row],[CountryCode]],[1]!Table1[#Data],4,FALSE)</f>
        <v>#REF!</v>
      </c>
    </row>
    <row r="3377" spans="1:12" hidden="1" x14ac:dyDescent="0.3">
      <c r="A3377" t="s">
        <v>69</v>
      </c>
      <c r="B3377" t="s">
        <v>70</v>
      </c>
      <c r="C3377" t="s">
        <v>125</v>
      </c>
      <c r="D3377" t="s">
        <v>126</v>
      </c>
      <c r="E3377">
        <v>1988</v>
      </c>
      <c r="F3377" s="1">
        <v>7</v>
      </c>
      <c r="G3377">
        <v>1990</v>
      </c>
      <c r="H3377">
        <f>AVERAGEIFS(Table1[value],Table1[IndicatorCode],Table1[[#This Row],[IndicatorCode]])</f>
        <v>7.6894248608534319</v>
      </c>
      <c r="I3377" cm="1">
        <f t="array" ref="I3377">_xlfn.STDEV.P(IF(Table1[IndicatorCode]=Table1[[#This Row],[IndicatorCode]],Table1[value]))</f>
        <v>5.2319501044600996</v>
      </c>
      <c r="J3377">
        <f>(Table1[[#This Row],[value]] - Table1[[#This Row],[mean]]) / Table1[[#This Row],[std_dev]]</f>
        <v>-0.13177206339672762</v>
      </c>
      <c r="K3377">
        <f>AVERAGEIF(Table1[CountryCode],Table1[[#This Row],[CountryCode]],Table1[z-score])</f>
        <v>0.20445029067007053</v>
      </c>
      <c r="L3377" t="e">
        <f>VLOOKUP(Table1[[#This Row],[CountryCode]],[1]!Table1[#Data],4,FALSE)</f>
        <v>#REF!</v>
      </c>
    </row>
    <row r="3378" spans="1:12" hidden="1" x14ac:dyDescent="0.3">
      <c r="A3378" t="s">
        <v>69</v>
      </c>
      <c r="B3378" t="s">
        <v>70</v>
      </c>
      <c r="C3378" t="s">
        <v>125</v>
      </c>
      <c r="D3378" t="s">
        <v>126</v>
      </c>
      <c r="E3378">
        <v>1989</v>
      </c>
      <c r="F3378" s="1">
        <v>7</v>
      </c>
      <c r="G3378">
        <v>1990</v>
      </c>
      <c r="H3378">
        <f>AVERAGEIFS(Table1[value],Table1[IndicatorCode],Table1[[#This Row],[IndicatorCode]])</f>
        <v>7.6894248608534319</v>
      </c>
      <c r="I3378" cm="1">
        <f t="array" ref="I3378">_xlfn.STDEV.P(IF(Table1[IndicatorCode]=Table1[[#This Row],[IndicatorCode]],Table1[value]))</f>
        <v>5.2319501044600996</v>
      </c>
      <c r="J3378">
        <f>(Table1[[#This Row],[value]] - Table1[[#This Row],[mean]]) / Table1[[#This Row],[std_dev]]</f>
        <v>-0.13177206339672762</v>
      </c>
      <c r="K3378">
        <f>AVERAGEIF(Table1[CountryCode],Table1[[#This Row],[CountryCode]],Table1[z-score])</f>
        <v>0.20445029067007053</v>
      </c>
      <c r="L3378" t="e">
        <f>VLOOKUP(Table1[[#This Row],[CountryCode]],[1]!Table1[#Data],4,FALSE)</f>
        <v>#REF!</v>
      </c>
    </row>
    <row r="3379" spans="1:12" hidden="1" x14ac:dyDescent="0.3">
      <c r="A3379" t="s">
        <v>69</v>
      </c>
      <c r="B3379" t="s">
        <v>70</v>
      </c>
      <c r="C3379" t="s">
        <v>125</v>
      </c>
      <c r="D3379" t="s">
        <v>126</v>
      </c>
      <c r="E3379">
        <v>1990</v>
      </c>
      <c r="F3379" s="1">
        <v>8</v>
      </c>
      <c r="G3379">
        <v>1990</v>
      </c>
      <c r="H3379">
        <f>AVERAGEIFS(Table1[value],Table1[IndicatorCode],Table1[[#This Row],[IndicatorCode]])</f>
        <v>7.6894248608534319</v>
      </c>
      <c r="I3379" cm="1">
        <f t="array" ref="I3379">_xlfn.STDEV.P(IF(Table1[IndicatorCode]=Table1[[#This Row],[IndicatorCode]],Table1[value]))</f>
        <v>5.2319501044600996</v>
      </c>
      <c r="J3379">
        <f>(Table1[[#This Row],[value]] - Table1[[#This Row],[mean]]) / Table1[[#This Row],[std_dev]]</f>
        <v>5.9361257838030791E-2</v>
      </c>
      <c r="K3379">
        <f>AVERAGEIF(Table1[CountryCode],Table1[[#This Row],[CountryCode]],Table1[z-score])</f>
        <v>0.20445029067007053</v>
      </c>
      <c r="L3379" t="e">
        <f>VLOOKUP(Table1[[#This Row],[CountryCode]],[1]!Table1[#Data],4,FALSE)</f>
        <v>#REF!</v>
      </c>
    </row>
    <row r="3380" spans="1:12" hidden="1" x14ac:dyDescent="0.3">
      <c r="A3380" t="s">
        <v>69</v>
      </c>
      <c r="B3380" t="s">
        <v>70</v>
      </c>
      <c r="C3380" t="s">
        <v>125</v>
      </c>
      <c r="D3380" t="s">
        <v>126</v>
      </c>
      <c r="E3380">
        <v>1991</v>
      </c>
      <c r="F3380" s="1">
        <v>7</v>
      </c>
      <c r="G3380">
        <v>1990</v>
      </c>
      <c r="H3380">
        <f>AVERAGEIFS(Table1[value],Table1[IndicatorCode],Table1[[#This Row],[IndicatorCode]])</f>
        <v>7.6894248608534319</v>
      </c>
      <c r="I3380" cm="1">
        <f t="array" ref="I3380">_xlfn.STDEV.P(IF(Table1[IndicatorCode]=Table1[[#This Row],[IndicatorCode]],Table1[value]))</f>
        <v>5.2319501044600996</v>
      </c>
      <c r="J3380">
        <f>(Table1[[#This Row],[value]] - Table1[[#This Row],[mean]]) / Table1[[#This Row],[std_dev]]</f>
        <v>-0.13177206339672762</v>
      </c>
      <c r="K3380">
        <f>AVERAGEIF(Table1[CountryCode],Table1[[#This Row],[CountryCode]],Table1[z-score])</f>
        <v>0.20445029067007053</v>
      </c>
      <c r="L3380" t="e">
        <f>VLOOKUP(Table1[[#This Row],[CountryCode]],[1]!Table1[#Data],4,FALSE)</f>
        <v>#REF!</v>
      </c>
    </row>
    <row r="3381" spans="1:12" hidden="1" x14ac:dyDescent="0.3">
      <c r="A3381" t="s">
        <v>69</v>
      </c>
      <c r="B3381" t="s">
        <v>70</v>
      </c>
      <c r="C3381" t="s">
        <v>125</v>
      </c>
      <c r="D3381" t="s">
        <v>126</v>
      </c>
      <c r="E3381">
        <v>1992</v>
      </c>
      <c r="F3381" s="1">
        <v>7</v>
      </c>
      <c r="G3381">
        <v>1990</v>
      </c>
      <c r="H3381">
        <f>AVERAGEIFS(Table1[value],Table1[IndicatorCode],Table1[[#This Row],[IndicatorCode]])</f>
        <v>7.6894248608534319</v>
      </c>
      <c r="I3381" cm="1">
        <f t="array" ref="I3381">_xlfn.STDEV.P(IF(Table1[IndicatorCode]=Table1[[#This Row],[IndicatorCode]],Table1[value]))</f>
        <v>5.2319501044600996</v>
      </c>
      <c r="J3381">
        <f>(Table1[[#This Row],[value]] - Table1[[#This Row],[mean]]) / Table1[[#This Row],[std_dev]]</f>
        <v>-0.13177206339672762</v>
      </c>
      <c r="K3381">
        <f>AVERAGEIF(Table1[CountryCode],Table1[[#This Row],[CountryCode]],Table1[z-score])</f>
        <v>0.20445029067007053</v>
      </c>
      <c r="L3381" t="e">
        <f>VLOOKUP(Table1[[#This Row],[CountryCode]],[1]!Table1[#Data],4,FALSE)</f>
        <v>#REF!</v>
      </c>
    </row>
    <row r="3382" spans="1:12" hidden="1" x14ac:dyDescent="0.3">
      <c r="A3382" t="s">
        <v>69</v>
      </c>
      <c r="B3382" t="s">
        <v>70</v>
      </c>
      <c r="C3382" t="s">
        <v>125</v>
      </c>
      <c r="D3382" t="s">
        <v>126</v>
      </c>
      <c r="E3382">
        <v>1993</v>
      </c>
      <c r="F3382" s="1">
        <v>7</v>
      </c>
      <c r="G3382">
        <v>1990</v>
      </c>
      <c r="H3382">
        <f>AVERAGEIFS(Table1[value],Table1[IndicatorCode],Table1[[#This Row],[IndicatorCode]])</f>
        <v>7.6894248608534319</v>
      </c>
      <c r="I3382" cm="1">
        <f t="array" ref="I3382">_xlfn.STDEV.P(IF(Table1[IndicatorCode]=Table1[[#This Row],[IndicatorCode]],Table1[value]))</f>
        <v>5.2319501044600996</v>
      </c>
      <c r="J3382">
        <f>(Table1[[#This Row],[value]] - Table1[[#This Row],[mean]]) / Table1[[#This Row],[std_dev]]</f>
        <v>-0.13177206339672762</v>
      </c>
      <c r="K3382">
        <f>AVERAGEIF(Table1[CountryCode],Table1[[#This Row],[CountryCode]],Table1[z-score])</f>
        <v>0.20445029067007053</v>
      </c>
      <c r="L3382" t="e">
        <f>VLOOKUP(Table1[[#This Row],[CountryCode]],[1]!Table1[#Data],4,FALSE)</f>
        <v>#REF!</v>
      </c>
    </row>
    <row r="3383" spans="1:12" hidden="1" x14ac:dyDescent="0.3">
      <c r="A3383" t="s">
        <v>69</v>
      </c>
      <c r="B3383" t="s">
        <v>70</v>
      </c>
      <c r="C3383" t="s">
        <v>125</v>
      </c>
      <c r="D3383" t="s">
        <v>126</v>
      </c>
      <c r="E3383">
        <v>1994</v>
      </c>
      <c r="F3383" s="1">
        <v>7</v>
      </c>
      <c r="G3383">
        <v>1990</v>
      </c>
      <c r="H3383">
        <f>AVERAGEIFS(Table1[value],Table1[IndicatorCode],Table1[[#This Row],[IndicatorCode]])</f>
        <v>7.6894248608534319</v>
      </c>
      <c r="I3383" cm="1">
        <f t="array" ref="I3383">_xlfn.STDEV.P(IF(Table1[IndicatorCode]=Table1[[#This Row],[IndicatorCode]],Table1[value]))</f>
        <v>5.2319501044600996</v>
      </c>
      <c r="J3383">
        <f>(Table1[[#This Row],[value]] - Table1[[#This Row],[mean]]) / Table1[[#This Row],[std_dev]]</f>
        <v>-0.13177206339672762</v>
      </c>
      <c r="K3383">
        <f>AVERAGEIF(Table1[CountryCode],Table1[[#This Row],[CountryCode]],Table1[z-score])</f>
        <v>0.20445029067007053</v>
      </c>
      <c r="L3383" t="e">
        <f>VLOOKUP(Table1[[#This Row],[CountryCode]],[1]!Table1[#Data],4,FALSE)</f>
        <v>#REF!</v>
      </c>
    </row>
    <row r="3384" spans="1:12" hidden="1" x14ac:dyDescent="0.3">
      <c r="A3384" t="s">
        <v>69</v>
      </c>
      <c r="B3384" t="s">
        <v>70</v>
      </c>
      <c r="C3384" t="s">
        <v>125</v>
      </c>
      <c r="D3384" t="s">
        <v>126</v>
      </c>
      <c r="E3384">
        <v>1995</v>
      </c>
      <c r="F3384" s="1">
        <v>8</v>
      </c>
      <c r="G3384">
        <v>1990</v>
      </c>
      <c r="H3384">
        <f>AVERAGEIFS(Table1[value],Table1[IndicatorCode],Table1[[#This Row],[IndicatorCode]])</f>
        <v>7.6894248608534319</v>
      </c>
      <c r="I3384" cm="1">
        <f t="array" ref="I3384">_xlfn.STDEV.P(IF(Table1[IndicatorCode]=Table1[[#This Row],[IndicatorCode]],Table1[value]))</f>
        <v>5.2319501044600996</v>
      </c>
      <c r="J3384">
        <f>(Table1[[#This Row],[value]] - Table1[[#This Row],[mean]]) / Table1[[#This Row],[std_dev]]</f>
        <v>5.9361257838030791E-2</v>
      </c>
      <c r="K3384">
        <f>AVERAGEIF(Table1[CountryCode],Table1[[#This Row],[CountryCode]],Table1[z-score])</f>
        <v>0.20445029067007053</v>
      </c>
      <c r="L3384" t="e">
        <f>VLOOKUP(Table1[[#This Row],[CountryCode]],[1]!Table1[#Data],4,FALSE)</f>
        <v>#REF!</v>
      </c>
    </row>
    <row r="3385" spans="1:12" hidden="1" x14ac:dyDescent="0.3">
      <c r="A3385" t="s">
        <v>69</v>
      </c>
      <c r="B3385" t="s">
        <v>70</v>
      </c>
      <c r="C3385" t="s">
        <v>125</v>
      </c>
      <c r="D3385" t="s">
        <v>126</v>
      </c>
      <c r="E3385">
        <v>1996</v>
      </c>
      <c r="F3385" s="1">
        <v>8</v>
      </c>
      <c r="G3385">
        <v>1990</v>
      </c>
      <c r="H3385">
        <f>AVERAGEIFS(Table1[value],Table1[IndicatorCode],Table1[[#This Row],[IndicatorCode]])</f>
        <v>7.6894248608534319</v>
      </c>
      <c r="I3385" cm="1">
        <f t="array" ref="I3385">_xlfn.STDEV.P(IF(Table1[IndicatorCode]=Table1[[#This Row],[IndicatorCode]],Table1[value]))</f>
        <v>5.2319501044600996</v>
      </c>
      <c r="J3385">
        <f>(Table1[[#This Row],[value]] - Table1[[#This Row],[mean]]) / Table1[[#This Row],[std_dev]]</f>
        <v>5.9361257838030791E-2</v>
      </c>
      <c r="K3385">
        <f>AVERAGEIF(Table1[CountryCode],Table1[[#This Row],[CountryCode]],Table1[z-score])</f>
        <v>0.20445029067007053</v>
      </c>
      <c r="L3385" t="e">
        <f>VLOOKUP(Table1[[#This Row],[CountryCode]],[1]!Table1[#Data],4,FALSE)</f>
        <v>#REF!</v>
      </c>
    </row>
    <row r="3386" spans="1:12" hidden="1" x14ac:dyDescent="0.3">
      <c r="A3386" t="s">
        <v>69</v>
      </c>
      <c r="B3386" t="s">
        <v>70</v>
      </c>
      <c r="C3386" t="s">
        <v>125</v>
      </c>
      <c r="D3386" t="s">
        <v>126</v>
      </c>
      <c r="E3386">
        <v>1997</v>
      </c>
      <c r="F3386" s="1">
        <v>8</v>
      </c>
      <c r="G3386">
        <v>2000</v>
      </c>
      <c r="H3386">
        <f>AVERAGEIFS(Table1[value],Table1[IndicatorCode],Table1[[#This Row],[IndicatorCode]])</f>
        <v>7.6894248608534319</v>
      </c>
      <c r="I3386" cm="1">
        <f t="array" ref="I3386">_xlfn.STDEV.P(IF(Table1[IndicatorCode]=Table1[[#This Row],[IndicatorCode]],Table1[value]))</f>
        <v>5.2319501044600996</v>
      </c>
      <c r="J3386">
        <f>(Table1[[#This Row],[value]] - Table1[[#This Row],[mean]]) / Table1[[#This Row],[std_dev]]</f>
        <v>5.9361257838030791E-2</v>
      </c>
      <c r="K3386">
        <f>AVERAGEIF(Table1[CountryCode],Table1[[#This Row],[CountryCode]],Table1[z-score])</f>
        <v>0.20445029067007053</v>
      </c>
      <c r="L3386" t="e">
        <f>VLOOKUP(Table1[[#This Row],[CountryCode]],[1]!Table1[#Data],4,FALSE)</f>
        <v>#REF!</v>
      </c>
    </row>
    <row r="3387" spans="1:12" hidden="1" x14ac:dyDescent="0.3">
      <c r="A3387" t="s">
        <v>69</v>
      </c>
      <c r="B3387" t="s">
        <v>70</v>
      </c>
      <c r="C3387" t="s">
        <v>125</v>
      </c>
      <c r="D3387" t="s">
        <v>126</v>
      </c>
      <c r="E3387">
        <v>1998</v>
      </c>
      <c r="F3387" s="1">
        <v>8</v>
      </c>
      <c r="G3387">
        <v>2000</v>
      </c>
      <c r="H3387">
        <f>AVERAGEIFS(Table1[value],Table1[IndicatorCode],Table1[[#This Row],[IndicatorCode]])</f>
        <v>7.6894248608534319</v>
      </c>
      <c r="I3387" cm="1">
        <f t="array" ref="I3387">_xlfn.STDEV.P(IF(Table1[IndicatorCode]=Table1[[#This Row],[IndicatorCode]],Table1[value]))</f>
        <v>5.2319501044600996</v>
      </c>
      <c r="J3387">
        <f>(Table1[[#This Row],[value]] - Table1[[#This Row],[mean]]) / Table1[[#This Row],[std_dev]]</f>
        <v>5.9361257838030791E-2</v>
      </c>
      <c r="K3387">
        <f>AVERAGEIF(Table1[CountryCode],Table1[[#This Row],[CountryCode]],Table1[z-score])</f>
        <v>0.20445029067007053</v>
      </c>
      <c r="L3387" t="e">
        <f>VLOOKUP(Table1[[#This Row],[CountryCode]],[1]!Table1[#Data],4,FALSE)</f>
        <v>#REF!</v>
      </c>
    </row>
    <row r="3388" spans="1:12" hidden="1" x14ac:dyDescent="0.3">
      <c r="A3388" t="s">
        <v>69</v>
      </c>
      <c r="B3388" t="s">
        <v>70</v>
      </c>
      <c r="C3388" t="s">
        <v>125</v>
      </c>
      <c r="D3388" t="s">
        <v>126</v>
      </c>
      <c r="E3388">
        <v>1999</v>
      </c>
      <c r="F3388" s="1">
        <v>8</v>
      </c>
      <c r="G3388">
        <v>2000</v>
      </c>
      <c r="H3388">
        <f>AVERAGEIFS(Table1[value],Table1[IndicatorCode],Table1[[#This Row],[IndicatorCode]])</f>
        <v>7.6894248608534319</v>
      </c>
      <c r="I3388" cm="1">
        <f t="array" ref="I3388">_xlfn.STDEV.P(IF(Table1[IndicatorCode]=Table1[[#This Row],[IndicatorCode]],Table1[value]))</f>
        <v>5.2319501044600996</v>
      </c>
      <c r="J3388">
        <f>(Table1[[#This Row],[value]] - Table1[[#This Row],[mean]]) / Table1[[#This Row],[std_dev]]</f>
        <v>5.9361257838030791E-2</v>
      </c>
      <c r="K3388">
        <f>AVERAGEIF(Table1[CountryCode],Table1[[#This Row],[CountryCode]],Table1[z-score])</f>
        <v>0.20445029067007053</v>
      </c>
      <c r="L3388" t="e">
        <f>VLOOKUP(Table1[[#This Row],[CountryCode]],[1]!Table1[#Data],4,FALSE)</f>
        <v>#REF!</v>
      </c>
    </row>
    <row r="3389" spans="1:12" hidden="1" x14ac:dyDescent="0.3">
      <c r="A3389" t="s">
        <v>69</v>
      </c>
      <c r="B3389" t="s">
        <v>70</v>
      </c>
      <c r="C3389" t="s">
        <v>125</v>
      </c>
      <c r="D3389" t="s">
        <v>126</v>
      </c>
      <c r="E3389">
        <v>2000</v>
      </c>
      <c r="F3389" s="1">
        <v>8</v>
      </c>
      <c r="G3389">
        <v>2000</v>
      </c>
      <c r="H3389">
        <f>AVERAGEIFS(Table1[value],Table1[IndicatorCode],Table1[[#This Row],[IndicatorCode]])</f>
        <v>7.6894248608534319</v>
      </c>
      <c r="I3389" cm="1">
        <f t="array" ref="I3389">_xlfn.STDEV.P(IF(Table1[IndicatorCode]=Table1[[#This Row],[IndicatorCode]],Table1[value]))</f>
        <v>5.2319501044600996</v>
      </c>
      <c r="J3389">
        <f>(Table1[[#This Row],[value]] - Table1[[#This Row],[mean]]) / Table1[[#This Row],[std_dev]]</f>
        <v>5.9361257838030791E-2</v>
      </c>
      <c r="K3389">
        <f>AVERAGEIF(Table1[CountryCode],Table1[[#This Row],[CountryCode]],Table1[z-score])</f>
        <v>0.20445029067007053</v>
      </c>
      <c r="L3389" t="e">
        <f>VLOOKUP(Table1[[#This Row],[CountryCode]],[1]!Table1[#Data],4,FALSE)</f>
        <v>#REF!</v>
      </c>
    </row>
    <row r="3390" spans="1:12" hidden="1" x14ac:dyDescent="0.3">
      <c r="A3390" t="s">
        <v>69</v>
      </c>
      <c r="B3390" t="s">
        <v>70</v>
      </c>
      <c r="C3390" t="s">
        <v>125</v>
      </c>
      <c r="D3390" t="s">
        <v>126</v>
      </c>
      <c r="E3390">
        <v>2001</v>
      </c>
      <c r="F3390" s="1">
        <v>8</v>
      </c>
      <c r="G3390">
        <v>2000</v>
      </c>
      <c r="H3390">
        <f>AVERAGEIFS(Table1[value],Table1[IndicatorCode],Table1[[#This Row],[IndicatorCode]])</f>
        <v>7.6894248608534319</v>
      </c>
      <c r="I3390" cm="1">
        <f t="array" ref="I3390">_xlfn.STDEV.P(IF(Table1[IndicatorCode]=Table1[[#This Row],[IndicatorCode]],Table1[value]))</f>
        <v>5.2319501044600996</v>
      </c>
      <c r="J3390">
        <f>(Table1[[#This Row],[value]] - Table1[[#This Row],[mean]]) / Table1[[#This Row],[std_dev]]</f>
        <v>5.9361257838030791E-2</v>
      </c>
      <c r="K3390">
        <f>AVERAGEIF(Table1[CountryCode],Table1[[#This Row],[CountryCode]],Table1[z-score])</f>
        <v>0.20445029067007053</v>
      </c>
      <c r="L3390" t="e">
        <f>VLOOKUP(Table1[[#This Row],[CountryCode]],[1]!Table1[#Data],4,FALSE)</f>
        <v>#REF!</v>
      </c>
    </row>
    <row r="3391" spans="1:12" hidden="1" x14ac:dyDescent="0.3">
      <c r="A3391" t="s">
        <v>69</v>
      </c>
      <c r="B3391" t="s">
        <v>70</v>
      </c>
      <c r="C3391" t="s">
        <v>125</v>
      </c>
      <c r="D3391" t="s">
        <v>126</v>
      </c>
      <c r="E3391">
        <v>2002</v>
      </c>
      <c r="F3391" s="1">
        <v>8</v>
      </c>
      <c r="G3391">
        <v>2000</v>
      </c>
      <c r="H3391">
        <f>AVERAGEIFS(Table1[value],Table1[IndicatorCode],Table1[[#This Row],[IndicatorCode]])</f>
        <v>7.6894248608534319</v>
      </c>
      <c r="I3391" cm="1">
        <f t="array" ref="I3391">_xlfn.STDEV.P(IF(Table1[IndicatorCode]=Table1[[#This Row],[IndicatorCode]],Table1[value]))</f>
        <v>5.2319501044600996</v>
      </c>
      <c r="J3391">
        <f>(Table1[[#This Row],[value]] - Table1[[#This Row],[mean]]) / Table1[[#This Row],[std_dev]]</f>
        <v>5.9361257838030791E-2</v>
      </c>
      <c r="K3391">
        <f>AVERAGEIF(Table1[CountryCode],Table1[[#This Row],[CountryCode]],Table1[z-score])</f>
        <v>0.20445029067007053</v>
      </c>
      <c r="L3391" t="e">
        <f>VLOOKUP(Table1[[#This Row],[CountryCode]],[1]!Table1[#Data],4,FALSE)</f>
        <v>#REF!</v>
      </c>
    </row>
    <row r="3392" spans="1:12" hidden="1" x14ac:dyDescent="0.3">
      <c r="A3392" t="s">
        <v>69</v>
      </c>
      <c r="B3392" t="s">
        <v>70</v>
      </c>
      <c r="C3392" t="s">
        <v>125</v>
      </c>
      <c r="D3392" t="s">
        <v>126</v>
      </c>
      <c r="E3392">
        <v>2003</v>
      </c>
      <c r="F3392" s="1">
        <v>8</v>
      </c>
      <c r="G3392">
        <v>2000</v>
      </c>
      <c r="H3392">
        <f>AVERAGEIFS(Table1[value],Table1[IndicatorCode],Table1[[#This Row],[IndicatorCode]])</f>
        <v>7.6894248608534319</v>
      </c>
      <c r="I3392" cm="1">
        <f t="array" ref="I3392">_xlfn.STDEV.P(IF(Table1[IndicatorCode]=Table1[[#This Row],[IndicatorCode]],Table1[value]))</f>
        <v>5.2319501044600996</v>
      </c>
      <c r="J3392">
        <f>(Table1[[#This Row],[value]] - Table1[[#This Row],[mean]]) / Table1[[#This Row],[std_dev]]</f>
        <v>5.9361257838030791E-2</v>
      </c>
      <c r="K3392">
        <f>AVERAGEIF(Table1[CountryCode],Table1[[#This Row],[CountryCode]],Table1[z-score])</f>
        <v>0.20445029067007053</v>
      </c>
      <c r="L3392" t="e">
        <f>VLOOKUP(Table1[[#This Row],[CountryCode]],[1]!Table1[#Data],4,FALSE)</f>
        <v>#REF!</v>
      </c>
    </row>
    <row r="3393" spans="1:12" hidden="1" x14ac:dyDescent="0.3">
      <c r="A3393" t="s">
        <v>69</v>
      </c>
      <c r="B3393" t="s">
        <v>70</v>
      </c>
      <c r="C3393" t="s">
        <v>125</v>
      </c>
      <c r="D3393" t="s">
        <v>126</v>
      </c>
      <c r="E3393">
        <v>2004</v>
      </c>
      <c r="F3393" s="1">
        <v>9</v>
      </c>
      <c r="G3393">
        <v>2000</v>
      </c>
      <c r="H3393">
        <f>AVERAGEIFS(Table1[value],Table1[IndicatorCode],Table1[[#This Row],[IndicatorCode]])</f>
        <v>7.6894248608534319</v>
      </c>
      <c r="I3393" cm="1">
        <f t="array" ref="I3393">_xlfn.STDEV.P(IF(Table1[IndicatorCode]=Table1[[#This Row],[IndicatorCode]],Table1[value]))</f>
        <v>5.2319501044600996</v>
      </c>
      <c r="J3393">
        <f>(Table1[[#This Row],[value]] - Table1[[#This Row],[mean]]) / Table1[[#This Row],[std_dev]]</f>
        <v>0.25049457907278921</v>
      </c>
      <c r="K3393">
        <f>AVERAGEIF(Table1[CountryCode],Table1[[#This Row],[CountryCode]],Table1[z-score])</f>
        <v>0.20445029067007053</v>
      </c>
      <c r="L3393" t="e">
        <f>VLOOKUP(Table1[[#This Row],[CountryCode]],[1]!Table1[#Data],4,FALSE)</f>
        <v>#REF!</v>
      </c>
    </row>
    <row r="3394" spans="1:12" hidden="1" x14ac:dyDescent="0.3">
      <c r="A3394" t="s">
        <v>69</v>
      </c>
      <c r="B3394" t="s">
        <v>70</v>
      </c>
      <c r="C3394" t="s">
        <v>125</v>
      </c>
      <c r="D3394" t="s">
        <v>126</v>
      </c>
      <c r="E3394">
        <v>2005</v>
      </c>
      <c r="F3394" s="1">
        <v>8</v>
      </c>
      <c r="G3394">
        <v>2000</v>
      </c>
      <c r="H3394">
        <f>AVERAGEIFS(Table1[value],Table1[IndicatorCode],Table1[[#This Row],[IndicatorCode]])</f>
        <v>7.6894248608534319</v>
      </c>
      <c r="I3394" cm="1">
        <f t="array" ref="I3394">_xlfn.STDEV.P(IF(Table1[IndicatorCode]=Table1[[#This Row],[IndicatorCode]],Table1[value]))</f>
        <v>5.2319501044600996</v>
      </c>
      <c r="J3394">
        <f>(Table1[[#This Row],[value]] - Table1[[#This Row],[mean]]) / Table1[[#This Row],[std_dev]]</f>
        <v>5.9361257838030791E-2</v>
      </c>
      <c r="K3394">
        <f>AVERAGEIF(Table1[CountryCode],Table1[[#This Row],[CountryCode]],Table1[z-score])</f>
        <v>0.20445029067007053</v>
      </c>
      <c r="L3394" t="e">
        <f>VLOOKUP(Table1[[#This Row],[CountryCode]],[1]!Table1[#Data],4,FALSE)</f>
        <v>#REF!</v>
      </c>
    </row>
    <row r="3395" spans="1:12" hidden="1" x14ac:dyDescent="0.3">
      <c r="A3395" t="s">
        <v>69</v>
      </c>
      <c r="B3395" t="s">
        <v>70</v>
      </c>
      <c r="C3395" t="s">
        <v>125</v>
      </c>
      <c r="D3395" t="s">
        <v>126</v>
      </c>
      <c r="E3395">
        <v>2006</v>
      </c>
      <c r="F3395" s="1">
        <v>8</v>
      </c>
      <c r="G3395">
        <v>2000</v>
      </c>
      <c r="H3395">
        <f>AVERAGEIFS(Table1[value],Table1[IndicatorCode],Table1[[#This Row],[IndicatorCode]])</f>
        <v>7.6894248608534319</v>
      </c>
      <c r="I3395" cm="1">
        <f t="array" ref="I3395">_xlfn.STDEV.P(IF(Table1[IndicatorCode]=Table1[[#This Row],[IndicatorCode]],Table1[value]))</f>
        <v>5.2319501044600996</v>
      </c>
      <c r="J3395">
        <f>(Table1[[#This Row],[value]] - Table1[[#This Row],[mean]]) / Table1[[#This Row],[std_dev]]</f>
        <v>5.9361257838030791E-2</v>
      </c>
      <c r="K3395">
        <f>AVERAGEIF(Table1[CountryCode],Table1[[#This Row],[CountryCode]],Table1[z-score])</f>
        <v>0.20445029067007053</v>
      </c>
      <c r="L3395" t="e">
        <f>VLOOKUP(Table1[[#This Row],[CountryCode]],[1]!Table1[#Data],4,FALSE)</f>
        <v>#REF!</v>
      </c>
    </row>
    <row r="3396" spans="1:12" hidden="1" x14ac:dyDescent="0.3">
      <c r="A3396" t="s">
        <v>69</v>
      </c>
      <c r="B3396" t="s">
        <v>70</v>
      </c>
      <c r="C3396" t="s">
        <v>125</v>
      </c>
      <c r="D3396" t="s">
        <v>126</v>
      </c>
      <c r="E3396">
        <v>2007</v>
      </c>
      <c r="F3396" s="1">
        <v>8</v>
      </c>
      <c r="G3396">
        <v>2010</v>
      </c>
      <c r="H3396">
        <f>AVERAGEIFS(Table1[value],Table1[IndicatorCode],Table1[[#This Row],[IndicatorCode]])</f>
        <v>7.6894248608534319</v>
      </c>
      <c r="I3396" cm="1">
        <f t="array" ref="I3396">_xlfn.STDEV.P(IF(Table1[IndicatorCode]=Table1[[#This Row],[IndicatorCode]],Table1[value]))</f>
        <v>5.2319501044600996</v>
      </c>
      <c r="J3396">
        <f>(Table1[[#This Row],[value]] - Table1[[#This Row],[mean]]) / Table1[[#This Row],[std_dev]]</f>
        <v>5.9361257838030791E-2</v>
      </c>
      <c r="K3396">
        <f>AVERAGEIF(Table1[CountryCode],Table1[[#This Row],[CountryCode]],Table1[z-score])</f>
        <v>0.20445029067007053</v>
      </c>
      <c r="L3396" t="e">
        <f>VLOOKUP(Table1[[#This Row],[CountryCode]],[1]!Table1[#Data],4,FALSE)</f>
        <v>#REF!</v>
      </c>
    </row>
    <row r="3397" spans="1:12" hidden="1" x14ac:dyDescent="0.3">
      <c r="A3397" t="s">
        <v>69</v>
      </c>
      <c r="B3397" t="s">
        <v>70</v>
      </c>
      <c r="C3397" t="s">
        <v>125</v>
      </c>
      <c r="D3397" t="s">
        <v>126</v>
      </c>
      <c r="E3397">
        <v>2008</v>
      </c>
      <c r="F3397" s="1">
        <v>8</v>
      </c>
      <c r="G3397">
        <v>2010</v>
      </c>
      <c r="H3397">
        <f>AVERAGEIFS(Table1[value],Table1[IndicatorCode],Table1[[#This Row],[IndicatorCode]])</f>
        <v>7.6894248608534319</v>
      </c>
      <c r="I3397" cm="1">
        <f t="array" ref="I3397">_xlfn.STDEV.P(IF(Table1[IndicatorCode]=Table1[[#This Row],[IndicatorCode]],Table1[value]))</f>
        <v>5.2319501044600996</v>
      </c>
      <c r="J3397">
        <f>(Table1[[#This Row],[value]] - Table1[[#This Row],[mean]]) / Table1[[#This Row],[std_dev]]</f>
        <v>5.9361257838030791E-2</v>
      </c>
      <c r="K3397">
        <f>AVERAGEIF(Table1[CountryCode],Table1[[#This Row],[CountryCode]],Table1[z-score])</f>
        <v>0.20445029067007053</v>
      </c>
      <c r="L3397" t="e">
        <f>VLOOKUP(Table1[[#This Row],[CountryCode]],[1]!Table1[#Data],4,FALSE)</f>
        <v>#REF!</v>
      </c>
    </row>
    <row r="3398" spans="1:12" hidden="1" x14ac:dyDescent="0.3">
      <c r="A3398" t="s">
        <v>69</v>
      </c>
      <c r="B3398" t="s">
        <v>70</v>
      </c>
      <c r="C3398" t="s">
        <v>125</v>
      </c>
      <c r="D3398" t="s">
        <v>126</v>
      </c>
      <c r="E3398">
        <v>2009</v>
      </c>
      <c r="F3398" s="1">
        <v>7</v>
      </c>
      <c r="G3398">
        <v>2010</v>
      </c>
      <c r="H3398">
        <f>AVERAGEIFS(Table1[value],Table1[IndicatorCode],Table1[[#This Row],[IndicatorCode]])</f>
        <v>7.6894248608534319</v>
      </c>
      <c r="I3398" cm="1">
        <f t="array" ref="I3398">_xlfn.STDEV.P(IF(Table1[IndicatorCode]=Table1[[#This Row],[IndicatorCode]],Table1[value]))</f>
        <v>5.2319501044600996</v>
      </c>
      <c r="J3398">
        <f>(Table1[[#This Row],[value]] - Table1[[#This Row],[mean]]) / Table1[[#This Row],[std_dev]]</f>
        <v>-0.13177206339672762</v>
      </c>
      <c r="K3398">
        <f>AVERAGEIF(Table1[CountryCode],Table1[[#This Row],[CountryCode]],Table1[z-score])</f>
        <v>0.20445029067007053</v>
      </c>
      <c r="L3398" t="e">
        <f>VLOOKUP(Table1[[#This Row],[CountryCode]],[1]!Table1[#Data],4,FALSE)</f>
        <v>#REF!</v>
      </c>
    </row>
    <row r="3399" spans="1:12" hidden="1" x14ac:dyDescent="0.3">
      <c r="A3399" t="s">
        <v>69</v>
      </c>
      <c r="B3399" t="s">
        <v>70</v>
      </c>
      <c r="C3399" t="s">
        <v>125</v>
      </c>
      <c r="D3399" t="s">
        <v>126</v>
      </c>
      <c r="E3399">
        <v>2010</v>
      </c>
      <c r="F3399" s="1">
        <v>7</v>
      </c>
      <c r="G3399">
        <v>2010</v>
      </c>
      <c r="H3399">
        <f>AVERAGEIFS(Table1[value],Table1[IndicatorCode],Table1[[#This Row],[IndicatorCode]])</f>
        <v>7.6894248608534319</v>
      </c>
      <c r="I3399" cm="1">
        <f t="array" ref="I3399">_xlfn.STDEV.P(IF(Table1[IndicatorCode]=Table1[[#This Row],[IndicatorCode]],Table1[value]))</f>
        <v>5.2319501044600996</v>
      </c>
      <c r="J3399">
        <f>(Table1[[#This Row],[value]] - Table1[[#This Row],[mean]]) / Table1[[#This Row],[std_dev]]</f>
        <v>-0.13177206339672762</v>
      </c>
      <c r="K3399">
        <f>AVERAGEIF(Table1[CountryCode],Table1[[#This Row],[CountryCode]],Table1[z-score])</f>
        <v>0.20445029067007053</v>
      </c>
      <c r="L3399" t="e">
        <f>VLOOKUP(Table1[[#This Row],[CountryCode]],[1]!Table1[#Data],4,FALSE)</f>
        <v>#REF!</v>
      </c>
    </row>
    <row r="3400" spans="1:12" hidden="1" x14ac:dyDescent="0.3">
      <c r="A3400" t="s">
        <v>69</v>
      </c>
      <c r="B3400" t="s">
        <v>70</v>
      </c>
      <c r="C3400" t="s">
        <v>125</v>
      </c>
      <c r="D3400" t="s">
        <v>126</v>
      </c>
      <c r="E3400">
        <v>2011</v>
      </c>
      <c r="F3400" s="1">
        <v>7</v>
      </c>
      <c r="G3400">
        <v>2010</v>
      </c>
      <c r="H3400">
        <f>AVERAGEIFS(Table1[value],Table1[IndicatorCode],Table1[[#This Row],[IndicatorCode]])</f>
        <v>7.6894248608534319</v>
      </c>
      <c r="I3400" cm="1">
        <f t="array" ref="I3400">_xlfn.STDEV.P(IF(Table1[IndicatorCode]=Table1[[#This Row],[IndicatorCode]],Table1[value]))</f>
        <v>5.2319501044600996</v>
      </c>
      <c r="J3400">
        <f>(Table1[[#This Row],[value]] - Table1[[#This Row],[mean]]) / Table1[[#This Row],[std_dev]]</f>
        <v>-0.13177206339672762</v>
      </c>
      <c r="K3400">
        <f>AVERAGEIF(Table1[CountryCode],Table1[[#This Row],[CountryCode]],Table1[z-score])</f>
        <v>0.20445029067007053</v>
      </c>
      <c r="L3400" t="e">
        <f>VLOOKUP(Table1[[#This Row],[CountryCode]],[1]!Table1[#Data],4,FALSE)</f>
        <v>#REF!</v>
      </c>
    </row>
    <row r="3401" spans="1:12" hidden="1" x14ac:dyDescent="0.3">
      <c r="A3401" t="s">
        <v>69</v>
      </c>
      <c r="B3401" t="s">
        <v>70</v>
      </c>
      <c r="C3401" t="s">
        <v>125</v>
      </c>
      <c r="D3401" t="s">
        <v>126</v>
      </c>
      <c r="E3401">
        <v>2012</v>
      </c>
      <c r="F3401" s="1">
        <v>7</v>
      </c>
      <c r="G3401">
        <v>2010</v>
      </c>
      <c r="H3401">
        <f>AVERAGEIFS(Table1[value],Table1[IndicatorCode],Table1[[#This Row],[IndicatorCode]])</f>
        <v>7.6894248608534319</v>
      </c>
      <c r="I3401" cm="1">
        <f t="array" ref="I3401">_xlfn.STDEV.P(IF(Table1[IndicatorCode]=Table1[[#This Row],[IndicatorCode]],Table1[value]))</f>
        <v>5.2319501044600996</v>
      </c>
      <c r="J3401">
        <f>(Table1[[#This Row],[value]] - Table1[[#This Row],[mean]]) / Table1[[#This Row],[std_dev]]</f>
        <v>-0.13177206339672762</v>
      </c>
      <c r="K3401">
        <f>AVERAGEIF(Table1[CountryCode],Table1[[#This Row],[CountryCode]],Table1[z-score])</f>
        <v>0.20445029067007053</v>
      </c>
      <c r="L3401" t="e">
        <f>VLOOKUP(Table1[[#This Row],[CountryCode]],[1]!Table1[#Data],4,FALSE)</f>
        <v>#REF!</v>
      </c>
    </row>
    <row r="3402" spans="1:12" hidden="1" x14ac:dyDescent="0.3">
      <c r="A3402" t="s">
        <v>69</v>
      </c>
      <c r="B3402" t="s">
        <v>70</v>
      </c>
      <c r="C3402" t="s">
        <v>125</v>
      </c>
      <c r="D3402" t="s">
        <v>126</v>
      </c>
      <c r="E3402">
        <v>2013</v>
      </c>
      <c r="F3402" s="1">
        <v>6</v>
      </c>
      <c r="G3402">
        <v>2010</v>
      </c>
      <c r="H3402">
        <f>AVERAGEIFS(Table1[value],Table1[IndicatorCode],Table1[[#This Row],[IndicatorCode]])</f>
        <v>7.6894248608534319</v>
      </c>
      <c r="I3402" cm="1">
        <f t="array" ref="I3402">_xlfn.STDEV.P(IF(Table1[IndicatorCode]=Table1[[#This Row],[IndicatorCode]],Table1[value]))</f>
        <v>5.2319501044600996</v>
      </c>
      <c r="J3402">
        <f>(Table1[[#This Row],[value]] - Table1[[#This Row],[mean]]) / Table1[[#This Row],[std_dev]]</f>
        <v>-0.32290538463148605</v>
      </c>
      <c r="K3402">
        <f>AVERAGEIF(Table1[CountryCode],Table1[[#This Row],[CountryCode]],Table1[z-score])</f>
        <v>0.20445029067007053</v>
      </c>
      <c r="L3402" t="e">
        <f>VLOOKUP(Table1[[#This Row],[CountryCode]],[1]!Table1[#Data],4,FALSE)</f>
        <v>#REF!</v>
      </c>
    </row>
    <row r="3403" spans="1:12" hidden="1" x14ac:dyDescent="0.3">
      <c r="A3403" t="s">
        <v>69</v>
      </c>
      <c r="B3403" t="s">
        <v>70</v>
      </c>
      <c r="C3403" t="s">
        <v>125</v>
      </c>
      <c r="D3403" t="s">
        <v>126</v>
      </c>
      <c r="E3403">
        <v>2014</v>
      </c>
      <c r="F3403" s="1">
        <v>6</v>
      </c>
      <c r="G3403">
        <v>2010</v>
      </c>
      <c r="H3403">
        <f>AVERAGEIFS(Table1[value],Table1[IndicatorCode],Table1[[#This Row],[IndicatorCode]])</f>
        <v>7.6894248608534319</v>
      </c>
      <c r="I3403" cm="1">
        <f t="array" ref="I3403">_xlfn.STDEV.P(IF(Table1[IndicatorCode]=Table1[[#This Row],[IndicatorCode]],Table1[value]))</f>
        <v>5.2319501044600996</v>
      </c>
      <c r="J3403">
        <f>(Table1[[#This Row],[value]] - Table1[[#This Row],[mean]]) / Table1[[#This Row],[std_dev]]</f>
        <v>-0.32290538463148605</v>
      </c>
      <c r="K3403">
        <f>AVERAGEIF(Table1[CountryCode],Table1[[#This Row],[CountryCode]],Table1[z-score])</f>
        <v>0.20445029067007053</v>
      </c>
      <c r="L3403" t="e">
        <f>VLOOKUP(Table1[[#This Row],[CountryCode]],[1]!Table1[#Data],4,FALSE)</f>
        <v>#REF!</v>
      </c>
    </row>
    <row r="3404" spans="1:12" hidden="1" x14ac:dyDescent="0.3">
      <c r="A3404" t="s">
        <v>69</v>
      </c>
      <c r="B3404" t="s">
        <v>70</v>
      </c>
      <c r="C3404" t="s">
        <v>125</v>
      </c>
      <c r="D3404" t="s">
        <v>126</v>
      </c>
      <c r="E3404">
        <v>2015</v>
      </c>
      <c r="F3404" s="1">
        <v>6</v>
      </c>
      <c r="G3404">
        <v>2010</v>
      </c>
      <c r="H3404">
        <f>AVERAGEIFS(Table1[value],Table1[IndicatorCode],Table1[[#This Row],[IndicatorCode]])</f>
        <v>7.6894248608534319</v>
      </c>
      <c r="I3404" cm="1">
        <f t="array" ref="I3404">_xlfn.STDEV.P(IF(Table1[IndicatorCode]=Table1[[#This Row],[IndicatorCode]],Table1[value]))</f>
        <v>5.2319501044600996</v>
      </c>
      <c r="J3404">
        <f>(Table1[[#This Row],[value]] - Table1[[#This Row],[mean]]) / Table1[[#This Row],[std_dev]]</f>
        <v>-0.32290538463148605</v>
      </c>
      <c r="K3404">
        <f>AVERAGEIF(Table1[CountryCode],Table1[[#This Row],[CountryCode]],Table1[z-score])</f>
        <v>0.20445029067007053</v>
      </c>
      <c r="L3404" t="e">
        <f>VLOOKUP(Table1[[#This Row],[CountryCode]],[1]!Table1[#Data],4,FALSE)</f>
        <v>#REF!</v>
      </c>
    </row>
    <row r="3405" spans="1:12" hidden="1" x14ac:dyDescent="0.3">
      <c r="A3405" t="s">
        <v>69</v>
      </c>
      <c r="B3405" t="s">
        <v>70</v>
      </c>
      <c r="C3405" t="s">
        <v>125</v>
      </c>
      <c r="D3405" t="s">
        <v>126</v>
      </c>
      <c r="E3405">
        <v>2016</v>
      </c>
      <c r="F3405" s="1">
        <v>6</v>
      </c>
      <c r="G3405">
        <v>2010</v>
      </c>
      <c r="H3405">
        <f>AVERAGEIFS(Table1[value],Table1[IndicatorCode],Table1[[#This Row],[IndicatorCode]])</f>
        <v>7.6894248608534319</v>
      </c>
      <c r="I3405" cm="1">
        <f t="array" ref="I3405">_xlfn.STDEV.P(IF(Table1[IndicatorCode]=Table1[[#This Row],[IndicatorCode]],Table1[value]))</f>
        <v>5.2319501044600996</v>
      </c>
      <c r="J3405">
        <f>(Table1[[#This Row],[value]] - Table1[[#This Row],[mean]]) / Table1[[#This Row],[std_dev]]</f>
        <v>-0.32290538463148605</v>
      </c>
      <c r="K3405">
        <f>AVERAGEIF(Table1[CountryCode],Table1[[#This Row],[CountryCode]],Table1[z-score])</f>
        <v>0.20445029067007053</v>
      </c>
      <c r="L3405" t="e">
        <f>VLOOKUP(Table1[[#This Row],[CountryCode]],[1]!Table1[#Data],4,FALSE)</f>
        <v>#REF!</v>
      </c>
    </row>
    <row r="3406" spans="1:12" hidden="1" x14ac:dyDescent="0.3">
      <c r="A3406" t="s">
        <v>69</v>
      </c>
      <c r="B3406" t="s">
        <v>70</v>
      </c>
      <c r="C3406" t="s">
        <v>125</v>
      </c>
      <c r="D3406" t="s">
        <v>126</v>
      </c>
      <c r="E3406">
        <v>2017</v>
      </c>
      <c r="F3406" s="1">
        <v>6</v>
      </c>
      <c r="G3406">
        <v>2020</v>
      </c>
      <c r="H3406">
        <f>AVERAGEIFS(Table1[value],Table1[IndicatorCode],Table1[[#This Row],[IndicatorCode]])</f>
        <v>7.6894248608534319</v>
      </c>
      <c r="I3406" cm="1">
        <f t="array" ref="I3406">_xlfn.STDEV.P(IF(Table1[IndicatorCode]=Table1[[#This Row],[IndicatorCode]],Table1[value]))</f>
        <v>5.2319501044600996</v>
      </c>
      <c r="J3406">
        <f>(Table1[[#This Row],[value]] - Table1[[#This Row],[mean]]) / Table1[[#This Row],[std_dev]]</f>
        <v>-0.32290538463148605</v>
      </c>
      <c r="K3406">
        <f>AVERAGEIF(Table1[CountryCode],Table1[[#This Row],[CountryCode]],Table1[z-score])</f>
        <v>0.20445029067007053</v>
      </c>
      <c r="L3406" t="e">
        <f>VLOOKUP(Table1[[#This Row],[CountryCode]],[1]!Table1[#Data],4,FALSE)</f>
        <v>#REF!</v>
      </c>
    </row>
    <row r="3407" spans="1:12" hidden="1" x14ac:dyDescent="0.3">
      <c r="A3407" t="s">
        <v>69</v>
      </c>
      <c r="B3407" t="s">
        <v>70</v>
      </c>
      <c r="C3407" t="s">
        <v>125</v>
      </c>
      <c r="D3407" t="s">
        <v>126</v>
      </c>
      <c r="E3407">
        <v>2018</v>
      </c>
      <c r="F3407" s="1">
        <v>6</v>
      </c>
      <c r="G3407">
        <v>2020</v>
      </c>
      <c r="H3407">
        <f>AVERAGEIFS(Table1[value],Table1[IndicatorCode],Table1[[#This Row],[IndicatorCode]])</f>
        <v>7.6894248608534319</v>
      </c>
      <c r="I3407" cm="1">
        <f t="array" ref="I3407">_xlfn.STDEV.P(IF(Table1[IndicatorCode]=Table1[[#This Row],[IndicatorCode]],Table1[value]))</f>
        <v>5.2319501044600996</v>
      </c>
      <c r="J3407">
        <f>(Table1[[#This Row],[value]] - Table1[[#This Row],[mean]]) / Table1[[#This Row],[std_dev]]</f>
        <v>-0.32290538463148605</v>
      </c>
      <c r="K3407">
        <f>AVERAGEIF(Table1[CountryCode],Table1[[#This Row],[CountryCode]],Table1[z-score])</f>
        <v>0.20445029067007053</v>
      </c>
      <c r="L3407" t="e">
        <f>VLOOKUP(Table1[[#This Row],[CountryCode]],[1]!Table1[#Data],4,FALSE)</f>
        <v>#REF!</v>
      </c>
    </row>
    <row r="3408" spans="1:12" hidden="1" x14ac:dyDescent="0.3">
      <c r="A3408" t="s">
        <v>69</v>
      </c>
      <c r="B3408" t="s">
        <v>70</v>
      </c>
      <c r="C3408" t="s">
        <v>125</v>
      </c>
      <c r="D3408" t="s">
        <v>126</v>
      </c>
      <c r="E3408">
        <v>2019</v>
      </c>
      <c r="F3408" s="1">
        <v>6</v>
      </c>
      <c r="G3408">
        <v>2020</v>
      </c>
      <c r="H3408">
        <f>AVERAGEIFS(Table1[value],Table1[IndicatorCode],Table1[[#This Row],[IndicatorCode]])</f>
        <v>7.6894248608534319</v>
      </c>
      <c r="I3408" cm="1">
        <f t="array" ref="I3408">_xlfn.STDEV.P(IF(Table1[IndicatorCode]=Table1[[#This Row],[IndicatorCode]],Table1[value]))</f>
        <v>5.2319501044600996</v>
      </c>
      <c r="J3408">
        <f>(Table1[[#This Row],[value]] - Table1[[#This Row],[mean]]) / Table1[[#This Row],[std_dev]]</f>
        <v>-0.32290538463148605</v>
      </c>
      <c r="K3408">
        <f>AVERAGEIF(Table1[CountryCode],Table1[[#This Row],[CountryCode]],Table1[z-score])</f>
        <v>0.20445029067007053</v>
      </c>
      <c r="L3408" t="e">
        <f>VLOOKUP(Table1[[#This Row],[CountryCode]],[1]!Table1[#Data],4,FALSE)</f>
        <v>#REF!</v>
      </c>
    </row>
    <row r="3409" spans="1:12" x14ac:dyDescent="0.3">
      <c r="A3409" t="s">
        <v>69</v>
      </c>
      <c r="B3409" t="s">
        <v>70</v>
      </c>
      <c r="C3409" t="s">
        <v>125</v>
      </c>
      <c r="D3409" t="s">
        <v>126</v>
      </c>
      <c r="E3409">
        <v>2020</v>
      </c>
      <c r="F3409" s="1">
        <v>5</v>
      </c>
      <c r="G3409">
        <v>2020</v>
      </c>
      <c r="H3409">
        <f>AVERAGEIFS(Table1[value],Table1[IndicatorCode],Table1[[#This Row],[IndicatorCode]])</f>
        <v>7.6894248608534319</v>
      </c>
      <c r="I3409" cm="1">
        <f t="array" ref="I3409">_xlfn.STDEV.P(IF(Table1[IndicatorCode]=Table1[[#This Row],[IndicatorCode]],Table1[value]))</f>
        <v>5.2319501044600996</v>
      </c>
      <c r="J3409">
        <f>(Table1[[#This Row],[value]] - Table1[[#This Row],[mean]]) / Table1[[#This Row],[std_dev]]</f>
        <v>-0.51403870586624445</v>
      </c>
      <c r="K3409">
        <f>AVERAGEIF(Table1[CountryCode],Table1[[#This Row],[CountryCode]],Table1[z-score])</f>
        <v>0.20445029067007053</v>
      </c>
    </row>
    <row r="3410" spans="1:12" hidden="1" x14ac:dyDescent="0.3">
      <c r="A3410" t="s">
        <v>69</v>
      </c>
      <c r="B3410" t="s">
        <v>70</v>
      </c>
      <c r="C3410" t="s">
        <v>125</v>
      </c>
      <c r="D3410" t="s">
        <v>126</v>
      </c>
      <c r="E3410">
        <v>2021</v>
      </c>
      <c r="F3410" s="1">
        <v>6</v>
      </c>
      <c r="G3410">
        <v>2020</v>
      </c>
      <c r="H3410">
        <f>AVERAGEIFS(Table1[value],Table1[IndicatorCode],Table1[[#This Row],[IndicatorCode]])</f>
        <v>7.6894248608534319</v>
      </c>
      <c r="I3410" cm="1">
        <f t="array" ref="I3410">_xlfn.STDEV.P(IF(Table1[IndicatorCode]=Table1[[#This Row],[IndicatorCode]],Table1[value]))</f>
        <v>5.2319501044600996</v>
      </c>
      <c r="J3410">
        <f>(Table1[[#This Row],[value]] - Table1[[#This Row],[mean]]) / Table1[[#This Row],[std_dev]]</f>
        <v>-0.32290538463148605</v>
      </c>
      <c r="K3410">
        <f>AVERAGEIF(Table1[CountryCode],Table1[[#This Row],[CountryCode]],Table1[z-score])</f>
        <v>0.20445029067007053</v>
      </c>
      <c r="L3410" t="e">
        <f>VLOOKUP(Table1[[#This Row],[CountryCode]],[1]!Table1[#Data],4,FALSE)</f>
        <v>#REF!</v>
      </c>
    </row>
    <row r="3411" spans="1:12" hidden="1" x14ac:dyDescent="0.3">
      <c r="A3411" t="s">
        <v>69</v>
      </c>
      <c r="B3411" t="s">
        <v>70</v>
      </c>
      <c r="C3411" t="s">
        <v>125</v>
      </c>
      <c r="D3411" t="s">
        <v>126</v>
      </c>
      <c r="E3411">
        <v>2022</v>
      </c>
      <c r="F3411" s="1">
        <v>6</v>
      </c>
      <c r="G3411">
        <v>1970</v>
      </c>
      <c r="H3411">
        <f>AVERAGEIFS(Table1[value],Table1[IndicatorCode],Table1[[#This Row],[IndicatorCode]])</f>
        <v>7.6894248608534319</v>
      </c>
      <c r="I3411" cm="1">
        <f t="array" ref="I3411">_xlfn.STDEV.P(IF(Table1[IndicatorCode]=Table1[[#This Row],[IndicatorCode]],Table1[value]))</f>
        <v>5.2319501044600996</v>
      </c>
      <c r="J3411">
        <f>(Table1[[#This Row],[value]] - Table1[[#This Row],[mean]]) / Table1[[#This Row],[std_dev]]</f>
        <v>-0.32290538463148605</v>
      </c>
      <c r="K3411">
        <f>AVERAGEIF(Table1[CountryCode],Table1[[#This Row],[CountryCode]],Table1[z-score])</f>
        <v>0.20445029067007053</v>
      </c>
      <c r="L3411" t="e">
        <f>VLOOKUP(Table1[[#This Row],[CountryCode]],[1]!Table1[#Data],4,FALSE)</f>
        <v>#REF!</v>
      </c>
    </row>
    <row r="3412" spans="1:12" hidden="1" x14ac:dyDescent="0.3">
      <c r="A3412" t="s">
        <v>69</v>
      </c>
      <c r="B3412" t="s">
        <v>70</v>
      </c>
      <c r="C3412" t="s">
        <v>125</v>
      </c>
      <c r="D3412" t="s">
        <v>126</v>
      </c>
      <c r="E3412">
        <v>2023</v>
      </c>
      <c r="F3412" s="1">
        <v>5</v>
      </c>
      <c r="G3412">
        <v>1970</v>
      </c>
      <c r="H3412">
        <f>AVERAGEIFS(Table1[value],Table1[IndicatorCode],Table1[[#This Row],[IndicatorCode]])</f>
        <v>7.6894248608534319</v>
      </c>
      <c r="I3412" cm="1">
        <f t="array" ref="I3412">_xlfn.STDEV.P(IF(Table1[IndicatorCode]=Table1[[#This Row],[IndicatorCode]],Table1[value]))</f>
        <v>5.2319501044600996</v>
      </c>
      <c r="J3412">
        <f>(Table1[[#This Row],[value]] - Table1[[#This Row],[mean]]) / Table1[[#This Row],[std_dev]]</f>
        <v>-0.51403870586624445</v>
      </c>
      <c r="K3412">
        <f>AVERAGEIF(Table1[CountryCode],Table1[[#This Row],[CountryCode]],Table1[z-score])</f>
        <v>0.20445029067007053</v>
      </c>
      <c r="L3412" t="e">
        <f>VLOOKUP(Table1[[#This Row],[CountryCode]],[1]!Table1[#Data],4,FALSE)</f>
        <v>#REF!</v>
      </c>
    </row>
    <row r="3413" spans="1:12" hidden="1" x14ac:dyDescent="0.3">
      <c r="A3413" t="s">
        <v>69</v>
      </c>
      <c r="B3413" t="s">
        <v>70</v>
      </c>
      <c r="C3413" t="s">
        <v>125</v>
      </c>
      <c r="D3413" t="s">
        <v>126</v>
      </c>
      <c r="E3413">
        <v>2024</v>
      </c>
      <c r="F3413" s="1">
        <v>5</v>
      </c>
      <c r="G3413">
        <v>1970</v>
      </c>
      <c r="H3413">
        <f>AVERAGEIFS(Table1[value],Table1[IndicatorCode],Table1[[#This Row],[IndicatorCode]])</f>
        <v>7.6894248608534319</v>
      </c>
      <c r="I3413" cm="1">
        <f t="array" ref="I3413">_xlfn.STDEV.P(IF(Table1[IndicatorCode]=Table1[[#This Row],[IndicatorCode]],Table1[value]))</f>
        <v>5.2319501044600996</v>
      </c>
      <c r="J3413">
        <f>(Table1[[#This Row],[value]] - Table1[[#This Row],[mean]]) / Table1[[#This Row],[std_dev]]</f>
        <v>-0.51403870586624445</v>
      </c>
      <c r="K3413">
        <f>AVERAGEIF(Table1[CountryCode],Table1[[#This Row],[CountryCode]],Table1[z-score])</f>
        <v>0.20445029067007053</v>
      </c>
      <c r="L3413" t="e">
        <f>VLOOKUP(Table1[[#This Row],[CountryCode]],[1]!Table1[#Data],4,FALSE)</f>
        <v>#REF!</v>
      </c>
    </row>
    <row r="3414" spans="1:12" hidden="1" x14ac:dyDescent="0.3">
      <c r="A3414" t="s">
        <v>71</v>
      </c>
      <c r="B3414" t="s">
        <v>72</v>
      </c>
      <c r="C3414" t="s">
        <v>125</v>
      </c>
      <c r="D3414" t="s">
        <v>126</v>
      </c>
      <c r="E3414">
        <v>1970</v>
      </c>
      <c r="F3414" s="1">
        <v>15</v>
      </c>
      <c r="G3414">
        <v>1970</v>
      </c>
      <c r="H3414">
        <f>AVERAGEIFS(Table1[value],Table1[IndicatorCode],Table1[[#This Row],[IndicatorCode]])</f>
        <v>7.6894248608534319</v>
      </c>
      <c r="I3414" cm="1">
        <f t="array" ref="I3414">_xlfn.STDEV.P(IF(Table1[IndicatorCode]=Table1[[#This Row],[IndicatorCode]],Table1[value]))</f>
        <v>5.2319501044600996</v>
      </c>
      <c r="J3414">
        <f>(Table1[[#This Row],[value]] - Table1[[#This Row],[mean]]) / Table1[[#This Row],[std_dev]]</f>
        <v>1.3972945064813396</v>
      </c>
      <c r="K3414">
        <f>AVERAGEIF(Table1[CountryCode],Table1[[#This Row],[CountryCode]],Table1[z-score])</f>
        <v>-0.23196726817462951</v>
      </c>
      <c r="L3414" t="e">
        <f>VLOOKUP(Table1[[#This Row],[CountryCode]],[1]!Table1[#Data],4,FALSE)</f>
        <v>#REF!</v>
      </c>
    </row>
    <row r="3415" spans="1:12" hidden="1" x14ac:dyDescent="0.3">
      <c r="A3415" t="s">
        <v>71</v>
      </c>
      <c r="B3415" t="s">
        <v>72</v>
      </c>
      <c r="C3415" t="s">
        <v>125</v>
      </c>
      <c r="D3415" t="s">
        <v>126</v>
      </c>
      <c r="E3415">
        <v>1971</v>
      </c>
      <c r="F3415" s="1">
        <v>15</v>
      </c>
      <c r="G3415">
        <v>1970</v>
      </c>
      <c r="H3415">
        <f>AVERAGEIFS(Table1[value],Table1[IndicatorCode],Table1[[#This Row],[IndicatorCode]])</f>
        <v>7.6894248608534319</v>
      </c>
      <c r="I3415" cm="1">
        <f t="array" ref="I3415">_xlfn.STDEV.P(IF(Table1[IndicatorCode]=Table1[[#This Row],[IndicatorCode]],Table1[value]))</f>
        <v>5.2319501044600996</v>
      </c>
      <c r="J3415">
        <f>(Table1[[#This Row],[value]] - Table1[[#This Row],[mean]]) / Table1[[#This Row],[std_dev]]</f>
        <v>1.3972945064813396</v>
      </c>
      <c r="K3415">
        <f>AVERAGEIF(Table1[CountryCode],Table1[[#This Row],[CountryCode]],Table1[z-score])</f>
        <v>-0.23196726817462951</v>
      </c>
      <c r="L3415" t="e">
        <f>VLOOKUP(Table1[[#This Row],[CountryCode]],[1]!Table1[#Data],4,FALSE)</f>
        <v>#REF!</v>
      </c>
    </row>
    <row r="3416" spans="1:12" hidden="1" x14ac:dyDescent="0.3">
      <c r="A3416" t="s">
        <v>71</v>
      </c>
      <c r="B3416" t="s">
        <v>72</v>
      </c>
      <c r="C3416" t="s">
        <v>125</v>
      </c>
      <c r="D3416" t="s">
        <v>126</v>
      </c>
      <c r="E3416">
        <v>1972</v>
      </c>
      <c r="F3416" s="1">
        <v>15</v>
      </c>
      <c r="G3416">
        <v>1970</v>
      </c>
      <c r="H3416">
        <f>AVERAGEIFS(Table1[value],Table1[IndicatorCode],Table1[[#This Row],[IndicatorCode]])</f>
        <v>7.6894248608534319</v>
      </c>
      <c r="I3416" cm="1">
        <f t="array" ref="I3416">_xlfn.STDEV.P(IF(Table1[IndicatorCode]=Table1[[#This Row],[IndicatorCode]],Table1[value]))</f>
        <v>5.2319501044600996</v>
      </c>
      <c r="J3416">
        <f>(Table1[[#This Row],[value]] - Table1[[#This Row],[mean]]) / Table1[[#This Row],[std_dev]]</f>
        <v>1.3972945064813396</v>
      </c>
      <c r="K3416">
        <f>AVERAGEIF(Table1[CountryCode],Table1[[#This Row],[CountryCode]],Table1[z-score])</f>
        <v>-0.23196726817462951</v>
      </c>
      <c r="L3416" t="e">
        <f>VLOOKUP(Table1[[#This Row],[CountryCode]],[1]!Table1[#Data],4,FALSE)</f>
        <v>#REF!</v>
      </c>
    </row>
    <row r="3417" spans="1:12" hidden="1" x14ac:dyDescent="0.3">
      <c r="A3417" t="s">
        <v>71</v>
      </c>
      <c r="B3417" t="s">
        <v>72</v>
      </c>
      <c r="C3417" t="s">
        <v>125</v>
      </c>
      <c r="D3417" t="s">
        <v>126</v>
      </c>
      <c r="E3417">
        <v>1973</v>
      </c>
      <c r="F3417" s="1">
        <v>16</v>
      </c>
      <c r="G3417">
        <v>1970</v>
      </c>
      <c r="H3417">
        <f>AVERAGEIFS(Table1[value],Table1[IndicatorCode],Table1[[#This Row],[IndicatorCode]])</f>
        <v>7.6894248608534319</v>
      </c>
      <c r="I3417" cm="1">
        <f t="array" ref="I3417">_xlfn.STDEV.P(IF(Table1[IndicatorCode]=Table1[[#This Row],[IndicatorCode]],Table1[value]))</f>
        <v>5.2319501044600996</v>
      </c>
      <c r="J3417">
        <f>(Table1[[#This Row],[value]] - Table1[[#This Row],[mean]]) / Table1[[#This Row],[std_dev]]</f>
        <v>1.5884278277160979</v>
      </c>
      <c r="K3417">
        <f>AVERAGEIF(Table1[CountryCode],Table1[[#This Row],[CountryCode]],Table1[z-score])</f>
        <v>-0.23196726817462951</v>
      </c>
      <c r="L3417" t="e">
        <f>VLOOKUP(Table1[[#This Row],[CountryCode]],[1]!Table1[#Data],4,FALSE)</f>
        <v>#REF!</v>
      </c>
    </row>
    <row r="3418" spans="1:12" hidden="1" x14ac:dyDescent="0.3">
      <c r="A3418" t="s">
        <v>71</v>
      </c>
      <c r="B3418" t="s">
        <v>72</v>
      </c>
      <c r="C3418" t="s">
        <v>125</v>
      </c>
      <c r="D3418" t="s">
        <v>126</v>
      </c>
      <c r="E3418">
        <v>1974</v>
      </c>
      <c r="F3418" s="1">
        <v>16</v>
      </c>
      <c r="G3418">
        <v>1970</v>
      </c>
      <c r="H3418">
        <f>AVERAGEIFS(Table1[value],Table1[IndicatorCode],Table1[[#This Row],[IndicatorCode]])</f>
        <v>7.6894248608534319</v>
      </c>
      <c r="I3418" cm="1">
        <f t="array" ref="I3418">_xlfn.STDEV.P(IF(Table1[IndicatorCode]=Table1[[#This Row],[IndicatorCode]],Table1[value]))</f>
        <v>5.2319501044600996</v>
      </c>
      <c r="J3418">
        <f>(Table1[[#This Row],[value]] - Table1[[#This Row],[mean]]) / Table1[[#This Row],[std_dev]]</f>
        <v>1.5884278277160979</v>
      </c>
      <c r="K3418">
        <f>AVERAGEIF(Table1[CountryCode],Table1[[#This Row],[CountryCode]],Table1[z-score])</f>
        <v>-0.23196726817462951</v>
      </c>
      <c r="L3418" t="e">
        <f>VLOOKUP(Table1[[#This Row],[CountryCode]],[1]!Table1[#Data],4,FALSE)</f>
        <v>#REF!</v>
      </c>
    </row>
    <row r="3419" spans="1:12" hidden="1" x14ac:dyDescent="0.3">
      <c r="A3419" t="s">
        <v>71</v>
      </c>
      <c r="B3419" t="s">
        <v>72</v>
      </c>
      <c r="C3419" t="s">
        <v>125</v>
      </c>
      <c r="D3419" t="s">
        <v>126</v>
      </c>
      <c r="E3419">
        <v>1975</v>
      </c>
      <c r="F3419" s="1">
        <v>17</v>
      </c>
      <c r="G3419">
        <v>1970</v>
      </c>
      <c r="H3419">
        <f>AVERAGEIFS(Table1[value],Table1[IndicatorCode],Table1[[#This Row],[IndicatorCode]])</f>
        <v>7.6894248608534319</v>
      </c>
      <c r="I3419" cm="1">
        <f t="array" ref="I3419">_xlfn.STDEV.P(IF(Table1[IndicatorCode]=Table1[[#This Row],[IndicatorCode]],Table1[value]))</f>
        <v>5.2319501044600996</v>
      </c>
      <c r="J3419">
        <f>(Table1[[#This Row],[value]] - Table1[[#This Row],[mean]]) / Table1[[#This Row],[std_dev]]</f>
        <v>1.7795611489508565</v>
      </c>
      <c r="K3419">
        <f>AVERAGEIF(Table1[CountryCode],Table1[[#This Row],[CountryCode]],Table1[z-score])</f>
        <v>-0.23196726817462951</v>
      </c>
      <c r="L3419" t="e">
        <f>VLOOKUP(Table1[[#This Row],[CountryCode]],[1]!Table1[#Data],4,FALSE)</f>
        <v>#REF!</v>
      </c>
    </row>
    <row r="3420" spans="1:12" hidden="1" x14ac:dyDescent="0.3">
      <c r="A3420" t="s">
        <v>71</v>
      </c>
      <c r="B3420" t="s">
        <v>72</v>
      </c>
      <c r="C3420" t="s">
        <v>125</v>
      </c>
      <c r="D3420" t="s">
        <v>126</v>
      </c>
      <c r="E3420">
        <v>1976</v>
      </c>
      <c r="F3420" s="1">
        <v>17</v>
      </c>
      <c r="G3420">
        <v>1970</v>
      </c>
      <c r="H3420">
        <f>AVERAGEIFS(Table1[value],Table1[IndicatorCode],Table1[[#This Row],[IndicatorCode]])</f>
        <v>7.6894248608534319</v>
      </c>
      <c r="I3420" cm="1">
        <f t="array" ref="I3420">_xlfn.STDEV.P(IF(Table1[IndicatorCode]=Table1[[#This Row],[IndicatorCode]],Table1[value]))</f>
        <v>5.2319501044600996</v>
      </c>
      <c r="J3420">
        <f>(Table1[[#This Row],[value]] - Table1[[#This Row],[mean]]) / Table1[[#This Row],[std_dev]]</f>
        <v>1.7795611489508565</v>
      </c>
      <c r="K3420">
        <f>AVERAGEIF(Table1[CountryCode],Table1[[#This Row],[CountryCode]],Table1[z-score])</f>
        <v>-0.23196726817462951</v>
      </c>
      <c r="L3420" t="e">
        <f>VLOOKUP(Table1[[#This Row],[CountryCode]],[1]!Table1[#Data],4,FALSE)</f>
        <v>#REF!</v>
      </c>
    </row>
    <row r="3421" spans="1:12" hidden="1" x14ac:dyDescent="0.3">
      <c r="A3421" t="s">
        <v>71</v>
      </c>
      <c r="B3421" t="s">
        <v>72</v>
      </c>
      <c r="C3421" t="s">
        <v>125</v>
      </c>
      <c r="D3421" t="s">
        <v>126</v>
      </c>
      <c r="E3421">
        <v>1977</v>
      </c>
      <c r="F3421" s="1">
        <v>17</v>
      </c>
      <c r="G3421">
        <v>1980</v>
      </c>
      <c r="H3421">
        <f>AVERAGEIFS(Table1[value],Table1[IndicatorCode],Table1[[#This Row],[IndicatorCode]])</f>
        <v>7.6894248608534319</v>
      </c>
      <c r="I3421" cm="1">
        <f t="array" ref="I3421">_xlfn.STDEV.P(IF(Table1[IndicatorCode]=Table1[[#This Row],[IndicatorCode]],Table1[value]))</f>
        <v>5.2319501044600996</v>
      </c>
      <c r="J3421">
        <f>(Table1[[#This Row],[value]] - Table1[[#This Row],[mean]]) / Table1[[#This Row],[std_dev]]</f>
        <v>1.7795611489508565</v>
      </c>
      <c r="K3421">
        <f>AVERAGEIF(Table1[CountryCode],Table1[[#This Row],[CountryCode]],Table1[z-score])</f>
        <v>-0.23196726817462951</v>
      </c>
      <c r="L3421" t="e">
        <f>VLOOKUP(Table1[[#This Row],[CountryCode]],[1]!Table1[#Data],4,FALSE)</f>
        <v>#REF!</v>
      </c>
    </row>
    <row r="3422" spans="1:12" hidden="1" x14ac:dyDescent="0.3">
      <c r="A3422" t="s">
        <v>71</v>
      </c>
      <c r="B3422" t="s">
        <v>72</v>
      </c>
      <c r="C3422" t="s">
        <v>125</v>
      </c>
      <c r="D3422" t="s">
        <v>126</v>
      </c>
      <c r="E3422">
        <v>1978</v>
      </c>
      <c r="F3422" s="1">
        <v>17</v>
      </c>
      <c r="G3422">
        <v>1980</v>
      </c>
      <c r="H3422">
        <f>AVERAGEIFS(Table1[value],Table1[IndicatorCode],Table1[[#This Row],[IndicatorCode]])</f>
        <v>7.6894248608534319</v>
      </c>
      <c r="I3422" cm="1">
        <f t="array" ref="I3422">_xlfn.STDEV.P(IF(Table1[IndicatorCode]=Table1[[#This Row],[IndicatorCode]],Table1[value]))</f>
        <v>5.2319501044600996</v>
      </c>
      <c r="J3422">
        <f>(Table1[[#This Row],[value]] - Table1[[#This Row],[mean]]) / Table1[[#This Row],[std_dev]]</f>
        <v>1.7795611489508565</v>
      </c>
      <c r="K3422">
        <f>AVERAGEIF(Table1[CountryCode],Table1[[#This Row],[CountryCode]],Table1[z-score])</f>
        <v>-0.23196726817462951</v>
      </c>
      <c r="L3422" t="e">
        <f>VLOOKUP(Table1[[#This Row],[CountryCode]],[1]!Table1[#Data],4,FALSE)</f>
        <v>#REF!</v>
      </c>
    </row>
    <row r="3423" spans="1:12" hidden="1" x14ac:dyDescent="0.3">
      <c r="A3423" t="s">
        <v>71</v>
      </c>
      <c r="B3423" t="s">
        <v>72</v>
      </c>
      <c r="C3423" t="s">
        <v>125</v>
      </c>
      <c r="D3423" t="s">
        <v>126</v>
      </c>
      <c r="E3423">
        <v>1979</v>
      </c>
      <c r="F3423" s="1">
        <v>17</v>
      </c>
      <c r="G3423">
        <v>1980</v>
      </c>
      <c r="H3423">
        <f>AVERAGEIFS(Table1[value],Table1[IndicatorCode],Table1[[#This Row],[IndicatorCode]])</f>
        <v>7.6894248608534319</v>
      </c>
      <c r="I3423" cm="1">
        <f t="array" ref="I3423">_xlfn.STDEV.P(IF(Table1[IndicatorCode]=Table1[[#This Row],[IndicatorCode]],Table1[value]))</f>
        <v>5.2319501044600996</v>
      </c>
      <c r="J3423">
        <f>(Table1[[#This Row],[value]] - Table1[[#This Row],[mean]]) / Table1[[#This Row],[std_dev]]</f>
        <v>1.7795611489508565</v>
      </c>
      <c r="K3423">
        <f>AVERAGEIF(Table1[CountryCode],Table1[[#This Row],[CountryCode]],Table1[z-score])</f>
        <v>-0.23196726817462951</v>
      </c>
      <c r="L3423" t="e">
        <f>VLOOKUP(Table1[[#This Row],[CountryCode]],[1]!Table1[#Data],4,FALSE)</f>
        <v>#REF!</v>
      </c>
    </row>
    <row r="3424" spans="1:12" hidden="1" x14ac:dyDescent="0.3">
      <c r="A3424" t="s">
        <v>71</v>
      </c>
      <c r="B3424" t="s">
        <v>72</v>
      </c>
      <c r="C3424" t="s">
        <v>125</v>
      </c>
      <c r="D3424" t="s">
        <v>126</v>
      </c>
      <c r="E3424">
        <v>1980</v>
      </c>
      <c r="F3424" s="1">
        <v>17</v>
      </c>
      <c r="G3424">
        <v>1980</v>
      </c>
      <c r="H3424">
        <f>AVERAGEIFS(Table1[value],Table1[IndicatorCode],Table1[[#This Row],[IndicatorCode]])</f>
        <v>7.6894248608534319</v>
      </c>
      <c r="I3424" cm="1">
        <f t="array" ref="I3424">_xlfn.STDEV.P(IF(Table1[IndicatorCode]=Table1[[#This Row],[IndicatorCode]],Table1[value]))</f>
        <v>5.2319501044600996</v>
      </c>
      <c r="J3424">
        <f>(Table1[[#This Row],[value]] - Table1[[#This Row],[mean]]) / Table1[[#This Row],[std_dev]]</f>
        <v>1.7795611489508565</v>
      </c>
      <c r="K3424">
        <f>AVERAGEIF(Table1[CountryCode],Table1[[#This Row],[CountryCode]],Table1[z-score])</f>
        <v>-0.23196726817462951</v>
      </c>
      <c r="L3424" t="e">
        <f>VLOOKUP(Table1[[#This Row],[CountryCode]],[1]!Table1[#Data],4,FALSE)</f>
        <v>#REF!</v>
      </c>
    </row>
    <row r="3425" spans="1:12" hidden="1" x14ac:dyDescent="0.3">
      <c r="A3425" t="s">
        <v>71</v>
      </c>
      <c r="B3425" t="s">
        <v>72</v>
      </c>
      <c r="C3425" t="s">
        <v>125</v>
      </c>
      <c r="D3425" t="s">
        <v>126</v>
      </c>
      <c r="E3425">
        <v>1981</v>
      </c>
      <c r="F3425" s="1">
        <v>16</v>
      </c>
      <c r="G3425">
        <v>1980</v>
      </c>
      <c r="H3425">
        <f>AVERAGEIFS(Table1[value],Table1[IndicatorCode],Table1[[#This Row],[IndicatorCode]])</f>
        <v>7.6894248608534319</v>
      </c>
      <c r="I3425" cm="1">
        <f t="array" ref="I3425">_xlfn.STDEV.P(IF(Table1[IndicatorCode]=Table1[[#This Row],[IndicatorCode]],Table1[value]))</f>
        <v>5.2319501044600996</v>
      </c>
      <c r="J3425">
        <f>(Table1[[#This Row],[value]] - Table1[[#This Row],[mean]]) / Table1[[#This Row],[std_dev]]</f>
        <v>1.5884278277160979</v>
      </c>
      <c r="K3425">
        <f>AVERAGEIF(Table1[CountryCode],Table1[[#This Row],[CountryCode]],Table1[z-score])</f>
        <v>-0.23196726817462951</v>
      </c>
      <c r="L3425" t="e">
        <f>VLOOKUP(Table1[[#This Row],[CountryCode]],[1]!Table1[#Data],4,FALSE)</f>
        <v>#REF!</v>
      </c>
    </row>
    <row r="3426" spans="1:12" hidden="1" x14ac:dyDescent="0.3">
      <c r="A3426" t="s">
        <v>71</v>
      </c>
      <c r="B3426" t="s">
        <v>72</v>
      </c>
      <c r="C3426" t="s">
        <v>125</v>
      </c>
      <c r="D3426" t="s">
        <v>126</v>
      </c>
      <c r="E3426">
        <v>1982</v>
      </c>
      <c r="F3426" s="1">
        <v>15</v>
      </c>
      <c r="G3426">
        <v>1980</v>
      </c>
      <c r="H3426">
        <f>AVERAGEIFS(Table1[value],Table1[IndicatorCode],Table1[[#This Row],[IndicatorCode]])</f>
        <v>7.6894248608534319</v>
      </c>
      <c r="I3426" cm="1">
        <f t="array" ref="I3426">_xlfn.STDEV.P(IF(Table1[IndicatorCode]=Table1[[#This Row],[IndicatorCode]],Table1[value]))</f>
        <v>5.2319501044600996</v>
      </c>
      <c r="J3426">
        <f>(Table1[[#This Row],[value]] - Table1[[#This Row],[mean]]) / Table1[[#This Row],[std_dev]]</f>
        <v>1.3972945064813396</v>
      </c>
      <c r="K3426">
        <f>AVERAGEIF(Table1[CountryCode],Table1[[#This Row],[CountryCode]],Table1[z-score])</f>
        <v>-0.23196726817462951</v>
      </c>
      <c r="L3426" t="e">
        <f>VLOOKUP(Table1[[#This Row],[CountryCode]],[1]!Table1[#Data],4,FALSE)</f>
        <v>#REF!</v>
      </c>
    </row>
    <row r="3427" spans="1:12" hidden="1" x14ac:dyDescent="0.3">
      <c r="A3427" t="s">
        <v>71</v>
      </c>
      <c r="B3427" t="s">
        <v>72</v>
      </c>
      <c r="C3427" t="s">
        <v>125</v>
      </c>
      <c r="D3427" t="s">
        <v>126</v>
      </c>
      <c r="E3427">
        <v>1983</v>
      </c>
      <c r="F3427" s="1">
        <v>15</v>
      </c>
      <c r="G3427">
        <v>1980</v>
      </c>
      <c r="H3427">
        <f>AVERAGEIFS(Table1[value],Table1[IndicatorCode],Table1[[#This Row],[IndicatorCode]])</f>
        <v>7.6894248608534319</v>
      </c>
      <c r="I3427" cm="1">
        <f t="array" ref="I3427">_xlfn.STDEV.P(IF(Table1[IndicatorCode]=Table1[[#This Row],[IndicatorCode]],Table1[value]))</f>
        <v>5.2319501044600996</v>
      </c>
      <c r="J3427">
        <f>(Table1[[#This Row],[value]] - Table1[[#This Row],[mean]]) / Table1[[#This Row],[std_dev]]</f>
        <v>1.3972945064813396</v>
      </c>
      <c r="K3427">
        <f>AVERAGEIF(Table1[CountryCode],Table1[[#This Row],[CountryCode]],Table1[z-score])</f>
        <v>-0.23196726817462951</v>
      </c>
      <c r="L3427" t="e">
        <f>VLOOKUP(Table1[[#This Row],[CountryCode]],[1]!Table1[#Data],4,FALSE)</f>
        <v>#REF!</v>
      </c>
    </row>
    <row r="3428" spans="1:12" hidden="1" x14ac:dyDescent="0.3">
      <c r="A3428" t="s">
        <v>71</v>
      </c>
      <c r="B3428" t="s">
        <v>72</v>
      </c>
      <c r="C3428" t="s">
        <v>125</v>
      </c>
      <c r="D3428" t="s">
        <v>126</v>
      </c>
      <c r="E3428">
        <v>1984</v>
      </c>
      <c r="F3428" s="1">
        <v>14</v>
      </c>
      <c r="G3428">
        <v>1980</v>
      </c>
      <c r="H3428">
        <f>AVERAGEIFS(Table1[value],Table1[IndicatorCode],Table1[[#This Row],[IndicatorCode]])</f>
        <v>7.6894248608534319</v>
      </c>
      <c r="I3428" cm="1">
        <f t="array" ref="I3428">_xlfn.STDEV.P(IF(Table1[IndicatorCode]=Table1[[#This Row],[IndicatorCode]],Table1[value]))</f>
        <v>5.2319501044600996</v>
      </c>
      <c r="J3428">
        <f>(Table1[[#This Row],[value]] - Table1[[#This Row],[mean]]) / Table1[[#This Row],[std_dev]]</f>
        <v>1.2061611852465812</v>
      </c>
      <c r="K3428">
        <f>AVERAGEIF(Table1[CountryCode],Table1[[#This Row],[CountryCode]],Table1[z-score])</f>
        <v>-0.23196726817462951</v>
      </c>
      <c r="L3428" t="e">
        <f>VLOOKUP(Table1[[#This Row],[CountryCode]],[1]!Table1[#Data],4,FALSE)</f>
        <v>#REF!</v>
      </c>
    </row>
    <row r="3429" spans="1:12" hidden="1" x14ac:dyDescent="0.3">
      <c r="A3429" t="s">
        <v>71</v>
      </c>
      <c r="B3429" t="s">
        <v>72</v>
      </c>
      <c r="C3429" t="s">
        <v>125</v>
      </c>
      <c r="D3429" t="s">
        <v>126</v>
      </c>
      <c r="E3429">
        <v>1985</v>
      </c>
      <c r="F3429" s="1">
        <v>14</v>
      </c>
      <c r="G3429">
        <v>1980</v>
      </c>
      <c r="H3429">
        <f>AVERAGEIFS(Table1[value],Table1[IndicatorCode],Table1[[#This Row],[IndicatorCode]])</f>
        <v>7.6894248608534319</v>
      </c>
      <c r="I3429" cm="1">
        <f t="array" ref="I3429">_xlfn.STDEV.P(IF(Table1[IndicatorCode]=Table1[[#This Row],[IndicatorCode]],Table1[value]))</f>
        <v>5.2319501044600996</v>
      </c>
      <c r="J3429">
        <f>(Table1[[#This Row],[value]] - Table1[[#This Row],[mean]]) / Table1[[#This Row],[std_dev]]</f>
        <v>1.2061611852465812</v>
      </c>
      <c r="K3429">
        <f>AVERAGEIF(Table1[CountryCode],Table1[[#This Row],[CountryCode]],Table1[z-score])</f>
        <v>-0.23196726817462951</v>
      </c>
      <c r="L3429" t="e">
        <f>VLOOKUP(Table1[[#This Row],[CountryCode]],[1]!Table1[#Data],4,FALSE)</f>
        <v>#REF!</v>
      </c>
    </row>
    <row r="3430" spans="1:12" hidden="1" x14ac:dyDescent="0.3">
      <c r="A3430" t="s">
        <v>71</v>
      </c>
      <c r="B3430" t="s">
        <v>72</v>
      </c>
      <c r="C3430" t="s">
        <v>125</v>
      </c>
      <c r="D3430" t="s">
        <v>126</v>
      </c>
      <c r="E3430">
        <v>1986</v>
      </c>
      <c r="F3430" s="1">
        <v>14</v>
      </c>
      <c r="G3430">
        <v>1980</v>
      </c>
      <c r="H3430">
        <f>AVERAGEIFS(Table1[value],Table1[IndicatorCode],Table1[[#This Row],[IndicatorCode]])</f>
        <v>7.6894248608534319</v>
      </c>
      <c r="I3430" cm="1">
        <f t="array" ref="I3430">_xlfn.STDEV.P(IF(Table1[IndicatorCode]=Table1[[#This Row],[IndicatorCode]],Table1[value]))</f>
        <v>5.2319501044600996</v>
      </c>
      <c r="J3430">
        <f>(Table1[[#This Row],[value]] - Table1[[#This Row],[mean]]) / Table1[[#This Row],[std_dev]]</f>
        <v>1.2061611852465812</v>
      </c>
      <c r="K3430">
        <f>AVERAGEIF(Table1[CountryCode],Table1[[#This Row],[CountryCode]],Table1[z-score])</f>
        <v>-0.23196726817462951</v>
      </c>
      <c r="L3430" t="e">
        <f>VLOOKUP(Table1[[#This Row],[CountryCode]],[1]!Table1[#Data],4,FALSE)</f>
        <v>#REF!</v>
      </c>
    </row>
    <row r="3431" spans="1:12" hidden="1" x14ac:dyDescent="0.3">
      <c r="A3431" t="s">
        <v>71</v>
      </c>
      <c r="B3431" t="s">
        <v>72</v>
      </c>
      <c r="C3431" t="s">
        <v>125</v>
      </c>
      <c r="D3431" t="s">
        <v>126</v>
      </c>
      <c r="E3431">
        <v>1987</v>
      </c>
      <c r="F3431" s="1">
        <v>14</v>
      </c>
      <c r="G3431">
        <v>1990</v>
      </c>
      <c r="H3431">
        <f>AVERAGEIFS(Table1[value],Table1[IndicatorCode],Table1[[#This Row],[IndicatorCode]])</f>
        <v>7.6894248608534319</v>
      </c>
      <c r="I3431" cm="1">
        <f t="array" ref="I3431">_xlfn.STDEV.P(IF(Table1[IndicatorCode]=Table1[[#This Row],[IndicatorCode]],Table1[value]))</f>
        <v>5.2319501044600996</v>
      </c>
      <c r="J3431">
        <f>(Table1[[#This Row],[value]] - Table1[[#This Row],[mean]]) / Table1[[#This Row],[std_dev]]</f>
        <v>1.2061611852465812</v>
      </c>
      <c r="K3431">
        <f>AVERAGEIF(Table1[CountryCode],Table1[[#This Row],[CountryCode]],Table1[z-score])</f>
        <v>-0.23196726817462951</v>
      </c>
      <c r="L3431" t="e">
        <f>VLOOKUP(Table1[[#This Row],[CountryCode]],[1]!Table1[#Data],4,FALSE)</f>
        <v>#REF!</v>
      </c>
    </row>
    <row r="3432" spans="1:12" hidden="1" x14ac:dyDescent="0.3">
      <c r="A3432" t="s">
        <v>71</v>
      </c>
      <c r="B3432" t="s">
        <v>72</v>
      </c>
      <c r="C3432" t="s">
        <v>125</v>
      </c>
      <c r="D3432" t="s">
        <v>126</v>
      </c>
      <c r="E3432">
        <v>1988</v>
      </c>
      <c r="F3432" s="1">
        <v>15</v>
      </c>
      <c r="G3432">
        <v>1990</v>
      </c>
      <c r="H3432">
        <f>AVERAGEIFS(Table1[value],Table1[IndicatorCode],Table1[[#This Row],[IndicatorCode]])</f>
        <v>7.6894248608534319</v>
      </c>
      <c r="I3432" cm="1">
        <f t="array" ref="I3432">_xlfn.STDEV.P(IF(Table1[IndicatorCode]=Table1[[#This Row],[IndicatorCode]],Table1[value]))</f>
        <v>5.2319501044600996</v>
      </c>
      <c r="J3432">
        <f>(Table1[[#This Row],[value]] - Table1[[#This Row],[mean]]) / Table1[[#This Row],[std_dev]]</f>
        <v>1.3972945064813396</v>
      </c>
      <c r="K3432">
        <f>AVERAGEIF(Table1[CountryCode],Table1[[#This Row],[CountryCode]],Table1[z-score])</f>
        <v>-0.23196726817462951</v>
      </c>
      <c r="L3432" t="e">
        <f>VLOOKUP(Table1[[#This Row],[CountryCode]],[1]!Table1[#Data],4,FALSE)</f>
        <v>#REF!</v>
      </c>
    </row>
    <row r="3433" spans="1:12" hidden="1" x14ac:dyDescent="0.3">
      <c r="A3433" t="s">
        <v>71</v>
      </c>
      <c r="B3433" t="s">
        <v>72</v>
      </c>
      <c r="C3433" t="s">
        <v>125</v>
      </c>
      <c r="D3433" t="s">
        <v>126</v>
      </c>
      <c r="E3433">
        <v>1989</v>
      </c>
      <c r="F3433" s="1">
        <v>14</v>
      </c>
      <c r="G3433">
        <v>1990</v>
      </c>
      <c r="H3433">
        <f>AVERAGEIFS(Table1[value],Table1[IndicatorCode],Table1[[#This Row],[IndicatorCode]])</f>
        <v>7.6894248608534319</v>
      </c>
      <c r="I3433" cm="1">
        <f t="array" ref="I3433">_xlfn.STDEV.P(IF(Table1[IndicatorCode]=Table1[[#This Row],[IndicatorCode]],Table1[value]))</f>
        <v>5.2319501044600996</v>
      </c>
      <c r="J3433">
        <f>(Table1[[#This Row],[value]] - Table1[[#This Row],[mean]]) / Table1[[#This Row],[std_dev]]</f>
        <v>1.2061611852465812</v>
      </c>
      <c r="K3433">
        <f>AVERAGEIF(Table1[CountryCode],Table1[[#This Row],[CountryCode]],Table1[z-score])</f>
        <v>-0.23196726817462951</v>
      </c>
      <c r="L3433" t="e">
        <f>VLOOKUP(Table1[[#This Row],[CountryCode]],[1]!Table1[#Data],4,FALSE)</f>
        <v>#REF!</v>
      </c>
    </row>
    <row r="3434" spans="1:12" hidden="1" x14ac:dyDescent="0.3">
      <c r="A3434" t="s">
        <v>71</v>
      </c>
      <c r="B3434" t="s">
        <v>72</v>
      </c>
      <c r="C3434" t="s">
        <v>125</v>
      </c>
      <c r="D3434" t="s">
        <v>126</v>
      </c>
      <c r="E3434">
        <v>1990</v>
      </c>
      <c r="F3434" s="1">
        <v>14</v>
      </c>
      <c r="G3434">
        <v>1990</v>
      </c>
      <c r="H3434">
        <f>AVERAGEIFS(Table1[value],Table1[IndicatorCode],Table1[[#This Row],[IndicatorCode]])</f>
        <v>7.6894248608534319</v>
      </c>
      <c r="I3434" cm="1">
        <f t="array" ref="I3434">_xlfn.STDEV.P(IF(Table1[IndicatorCode]=Table1[[#This Row],[IndicatorCode]],Table1[value]))</f>
        <v>5.2319501044600996</v>
      </c>
      <c r="J3434">
        <f>(Table1[[#This Row],[value]] - Table1[[#This Row],[mean]]) / Table1[[#This Row],[std_dev]]</f>
        <v>1.2061611852465812</v>
      </c>
      <c r="K3434">
        <f>AVERAGEIF(Table1[CountryCode],Table1[[#This Row],[CountryCode]],Table1[z-score])</f>
        <v>-0.23196726817462951</v>
      </c>
      <c r="L3434" t="e">
        <f>VLOOKUP(Table1[[#This Row],[CountryCode]],[1]!Table1[#Data],4,FALSE)</f>
        <v>#REF!</v>
      </c>
    </row>
    <row r="3435" spans="1:12" hidden="1" x14ac:dyDescent="0.3">
      <c r="A3435" t="s">
        <v>71</v>
      </c>
      <c r="B3435" t="s">
        <v>72</v>
      </c>
      <c r="C3435" t="s">
        <v>125</v>
      </c>
      <c r="D3435" t="s">
        <v>126</v>
      </c>
      <c r="E3435">
        <v>1991</v>
      </c>
      <c r="F3435" s="1">
        <v>15</v>
      </c>
      <c r="G3435">
        <v>1990</v>
      </c>
      <c r="H3435">
        <f>AVERAGEIFS(Table1[value],Table1[IndicatorCode],Table1[[#This Row],[IndicatorCode]])</f>
        <v>7.6894248608534319</v>
      </c>
      <c r="I3435" cm="1">
        <f t="array" ref="I3435">_xlfn.STDEV.P(IF(Table1[IndicatorCode]=Table1[[#This Row],[IndicatorCode]],Table1[value]))</f>
        <v>5.2319501044600996</v>
      </c>
      <c r="J3435">
        <f>(Table1[[#This Row],[value]] - Table1[[#This Row],[mean]]) / Table1[[#This Row],[std_dev]]</f>
        <v>1.3972945064813396</v>
      </c>
      <c r="K3435">
        <f>AVERAGEIF(Table1[CountryCode],Table1[[#This Row],[CountryCode]],Table1[z-score])</f>
        <v>-0.23196726817462951</v>
      </c>
      <c r="L3435" t="e">
        <f>VLOOKUP(Table1[[#This Row],[CountryCode]],[1]!Table1[#Data],4,FALSE)</f>
        <v>#REF!</v>
      </c>
    </row>
    <row r="3436" spans="1:12" hidden="1" x14ac:dyDescent="0.3">
      <c r="A3436" t="s">
        <v>71</v>
      </c>
      <c r="B3436" t="s">
        <v>72</v>
      </c>
      <c r="C3436" t="s">
        <v>125</v>
      </c>
      <c r="D3436" t="s">
        <v>126</v>
      </c>
      <c r="E3436">
        <v>1992</v>
      </c>
      <c r="F3436" s="1">
        <v>15</v>
      </c>
      <c r="G3436">
        <v>1990</v>
      </c>
      <c r="H3436">
        <f>AVERAGEIFS(Table1[value],Table1[IndicatorCode],Table1[[#This Row],[IndicatorCode]])</f>
        <v>7.6894248608534319</v>
      </c>
      <c r="I3436" cm="1">
        <f t="array" ref="I3436">_xlfn.STDEV.P(IF(Table1[IndicatorCode]=Table1[[#This Row],[IndicatorCode]],Table1[value]))</f>
        <v>5.2319501044600996</v>
      </c>
      <c r="J3436">
        <f>(Table1[[#This Row],[value]] - Table1[[#This Row],[mean]]) / Table1[[#This Row],[std_dev]]</f>
        <v>1.3972945064813396</v>
      </c>
      <c r="K3436">
        <f>AVERAGEIF(Table1[CountryCode],Table1[[#This Row],[CountryCode]],Table1[z-score])</f>
        <v>-0.23196726817462951</v>
      </c>
      <c r="L3436" t="e">
        <f>VLOOKUP(Table1[[#This Row],[CountryCode]],[1]!Table1[#Data],4,FALSE)</f>
        <v>#REF!</v>
      </c>
    </row>
    <row r="3437" spans="1:12" hidden="1" x14ac:dyDescent="0.3">
      <c r="A3437" t="s">
        <v>71</v>
      </c>
      <c r="B3437" t="s">
        <v>72</v>
      </c>
      <c r="C3437" t="s">
        <v>125</v>
      </c>
      <c r="D3437" t="s">
        <v>126</v>
      </c>
      <c r="E3437">
        <v>1993</v>
      </c>
      <c r="F3437" s="1">
        <v>13</v>
      </c>
      <c r="G3437">
        <v>1990</v>
      </c>
      <c r="H3437">
        <f>AVERAGEIFS(Table1[value],Table1[IndicatorCode],Table1[[#This Row],[IndicatorCode]])</f>
        <v>7.6894248608534319</v>
      </c>
      <c r="I3437" cm="1">
        <f t="array" ref="I3437">_xlfn.STDEV.P(IF(Table1[IndicatorCode]=Table1[[#This Row],[IndicatorCode]],Table1[value]))</f>
        <v>5.2319501044600996</v>
      </c>
      <c r="J3437">
        <f>(Table1[[#This Row],[value]] - Table1[[#This Row],[mean]]) / Table1[[#This Row],[std_dev]]</f>
        <v>1.0150278640118229</v>
      </c>
      <c r="K3437">
        <f>AVERAGEIF(Table1[CountryCode],Table1[[#This Row],[CountryCode]],Table1[z-score])</f>
        <v>-0.23196726817462951</v>
      </c>
      <c r="L3437" t="e">
        <f>VLOOKUP(Table1[[#This Row],[CountryCode]],[1]!Table1[#Data],4,FALSE)</f>
        <v>#REF!</v>
      </c>
    </row>
    <row r="3438" spans="1:12" hidden="1" x14ac:dyDescent="0.3">
      <c r="A3438" t="s">
        <v>71</v>
      </c>
      <c r="B3438" t="s">
        <v>72</v>
      </c>
      <c r="C3438" t="s">
        <v>125</v>
      </c>
      <c r="D3438" t="s">
        <v>126</v>
      </c>
      <c r="E3438">
        <v>1994</v>
      </c>
      <c r="F3438" s="1">
        <v>12</v>
      </c>
      <c r="G3438">
        <v>1990</v>
      </c>
      <c r="H3438">
        <f>AVERAGEIFS(Table1[value],Table1[IndicatorCode],Table1[[#This Row],[IndicatorCode]])</f>
        <v>7.6894248608534319</v>
      </c>
      <c r="I3438" cm="1">
        <f t="array" ref="I3438">_xlfn.STDEV.P(IF(Table1[IndicatorCode]=Table1[[#This Row],[IndicatorCode]],Table1[value]))</f>
        <v>5.2319501044600996</v>
      </c>
      <c r="J3438">
        <f>(Table1[[#This Row],[value]] - Table1[[#This Row],[mean]]) / Table1[[#This Row],[std_dev]]</f>
        <v>0.82389454277706442</v>
      </c>
      <c r="K3438">
        <f>AVERAGEIF(Table1[CountryCode],Table1[[#This Row],[CountryCode]],Table1[z-score])</f>
        <v>-0.23196726817462951</v>
      </c>
      <c r="L3438" t="e">
        <f>VLOOKUP(Table1[[#This Row],[CountryCode]],[1]!Table1[#Data],4,FALSE)</f>
        <v>#REF!</v>
      </c>
    </row>
    <row r="3439" spans="1:12" hidden="1" x14ac:dyDescent="0.3">
      <c r="A3439" t="s">
        <v>71</v>
      </c>
      <c r="B3439" t="s">
        <v>72</v>
      </c>
      <c r="C3439" t="s">
        <v>125</v>
      </c>
      <c r="D3439" t="s">
        <v>126</v>
      </c>
      <c r="E3439">
        <v>1995</v>
      </c>
      <c r="F3439" s="1">
        <v>11</v>
      </c>
      <c r="G3439">
        <v>1990</v>
      </c>
      <c r="H3439">
        <f>AVERAGEIFS(Table1[value],Table1[IndicatorCode],Table1[[#This Row],[IndicatorCode]])</f>
        <v>7.6894248608534319</v>
      </c>
      <c r="I3439" cm="1">
        <f t="array" ref="I3439">_xlfn.STDEV.P(IF(Table1[IndicatorCode]=Table1[[#This Row],[IndicatorCode]],Table1[value]))</f>
        <v>5.2319501044600996</v>
      </c>
      <c r="J3439">
        <f>(Table1[[#This Row],[value]] - Table1[[#This Row],[mean]]) / Table1[[#This Row],[std_dev]]</f>
        <v>0.63276122154230596</v>
      </c>
      <c r="K3439">
        <f>AVERAGEIF(Table1[CountryCode],Table1[[#This Row],[CountryCode]],Table1[z-score])</f>
        <v>-0.23196726817462951</v>
      </c>
      <c r="L3439" t="e">
        <f>VLOOKUP(Table1[[#This Row],[CountryCode]],[1]!Table1[#Data],4,FALSE)</f>
        <v>#REF!</v>
      </c>
    </row>
    <row r="3440" spans="1:12" hidden="1" x14ac:dyDescent="0.3">
      <c r="A3440" t="s">
        <v>71</v>
      </c>
      <c r="B3440" t="s">
        <v>72</v>
      </c>
      <c r="C3440" t="s">
        <v>125</v>
      </c>
      <c r="D3440" t="s">
        <v>126</v>
      </c>
      <c r="E3440">
        <v>1996</v>
      </c>
      <c r="F3440" s="1">
        <v>10</v>
      </c>
      <c r="G3440">
        <v>1990</v>
      </c>
      <c r="H3440">
        <f>AVERAGEIFS(Table1[value],Table1[IndicatorCode],Table1[[#This Row],[IndicatorCode]])</f>
        <v>7.6894248608534319</v>
      </c>
      <c r="I3440" cm="1">
        <f t="array" ref="I3440">_xlfn.STDEV.P(IF(Table1[IndicatorCode]=Table1[[#This Row],[IndicatorCode]],Table1[value]))</f>
        <v>5.2319501044600996</v>
      </c>
      <c r="J3440">
        <f>(Table1[[#This Row],[value]] - Table1[[#This Row],[mean]]) / Table1[[#This Row],[std_dev]]</f>
        <v>0.44162790030754762</v>
      </c>
      <c r="K3440">
        <f>AVERAGEIF(Table1[CountryCode],Table1[[#This Row],[CountryCode]],Table1[z-score])</f>
        <v>-0.23196726817462951</v>
      </c>
      <c r="L3440" t="e">
        <f>VLOOKUP(Table1[[#This Row],[CountryCode]],[1]!Table1[#Data],4,FALSE)</f>
        <v>#REF!</v>
      </c>
    </row>
    <row r="3441" spans="1:12" hidden="1" x14ac:dyDescent="0.3">
      <c r="A3441" t="s">
        <v>71</v>
      </c>
      <c r="B3441" t="s">
        <v>72</v>
      </c>
      <c r="C3441" t="s">
        <v>125</v>
      </c>
      <c r="D3441" t="s">
        <v>126</v>
      </c>
      <c r="E3441">
        <v>1997</v>
      </c>
      <c r="F3441" s="1">
        <v>9</v>
      </c>
      <c r="G3441">
        <v>2000</v>
      </c>
      <c r="H3441">
        <f>AVERAGEIFS(Table1[value],Table1[IndicatorCode],Table1[[#This Row],[IndicatorCode]])</f>
        <v>7.6894248608534319</v>
      </c>
      <c r="I3441" cm="1">
        <f t="array" ref="I3441">_xlfn.STDEV.P(IF(Table1[IndicatorCode]=Table1[[#This Row],[IndicatorCode]],Table1[value]))</f>
        <v>5.2319501044600996</v>
      </c>
      <c r="J3441">
        <f>(Table1[[#This Row],[value]] - Table1[[#This Row],[mean]]) / Table1[[#This Row],[std_dev]]</f>
        <v>0.25049457907278921</v>
      </c>
      <c r="K3441">
        <f>AVERAGEIF(Table1[CountryCode],Table1[[#This Row],[CountryCode]],Table1[z-score])</f>
        <v>-0.23196726817462951</v>
      </c>
      <c r="L3441" t="e">
        <f>VLOOKUP(Table1[[#This Row],[CountryCode]],[1]!Table1[#Data],4,FALSE)</f>
        <v>#REF!</v>
      </c>
    </row>
    <row r="3442" spans="1:12" hidden="1" x14ac:dyDescent="0.3">
      <c r="A3442" t="s">
        <v>71</v>
      </c>
      <c r="B3442" t="s">
        <v>72</v>
      </c>
      <c r="C3442" t="s">
        <v>125</v>
      </c>
      <c r="D3442" t="s">
        <v>126</v>
      </c>
      <c r="E3442">
        <v>1998</v>
      </c>
      <c r="F3442" s="1">
        <v>9</v>
      </c>
      <c r="G3442">
        <v>2000</v>
      </c>
      <c r="H3442">
        <f>AVERAGEIFS(Table1[value],Table1[IndicatorCode],Table1[[#This Row],[IndicatorCode]])</f>
        <v>7.6894248608534319</v>
      </c>
      <c r="I3442" cm="1">
        <f t="array" ref="I3442">_xlfn.STDEV.P(IF(Table1[IndicatorCode]=Table1[[#This Row],[IndicatorCode]],Table1[value]))</f>
        <v>5.2319501044600996</v>
      </c>
      <c r="J3442">
        <f>(Table1[[#This Row],[value]] - Table1[[#This Row],[mean]]) / Table1[[#This Row],[std_dev]]</f>
        <v>0.25049457907278921</v>
      </c>
      <c r="K3442">
        <f>AVERAGEIF(Table1[CountryCode],Table1[[#This Row],[CountryCode]],Table1[z-score])</f>
        <v>-0.23196726817462951</v>
      </c>
      <c r="L3442" t="e">
        <f>VLOOKUP(Table1[[#This Row],[CountryCode]],[1]!Table1[#Data],4,FALSE)</f>
        <v>#REF!</v>
      </c>
    </row>
    <row r="3443" spans="1:12" hidden="1" x14ac:dyDescent="0.3">
      <c r="A3443" t="s">
        <v>71</v>
      </c>
      <c r="B3443" t="s">
        <v>72</v>
      </c>
      <c r="C3443" t="s">
        <v>125</v>
      </c>
      <c r="D3443" t="s">
        <v>126</v>
      </c>
      <c r="E3443">
        <v>1999</v>
      </c>
      <c r="F3443" s="1">
        <v>8</v>
      </c>
      <c r="G3443">
        <v>2000</v>
      </c>
      <c r="H3443">
        <f>AVERAGEIFS(Table1[value],Table1[IndicatorCode],Table1[[#This Row],[IndicatorCode]])</f>
        <v>7.6894248608534319</v>
      </c>
      <c r="I3443" cm="1">
        <f t="array" ref="I3443">_xlfn.STDEV.P(IF(Table1[IndicatorCode]=Table1[[#This Row],[IndicatorCode]],Table1[value]))</f>
        <v>5.2319501044600996</v>
      </c>
      <c r="J3443">
        <f>(Table1[[#This Row],[value]] - Table1[[#This Row],[mean]]) / Table1[[#This Row],[std_dev]]</f>
        <v>5.9361257838030791E-2</v>
      </c>
      <c r="K3443">
        <f>AVERAGEIF(Table1[CountryCode],Table1[[#This Row],[CountryCode]],Table1[z-score])</f>
        <v>-0.23196726817462951</v>
      </c>
      <c r="L3443" t="e">
        <f>VLOOKUP(Table1[[#This Row],[CountryCode]],[1]!Table1[#Data],4,FALSE)</f>
        <v>#REF!</v>
      </c>
    </row>
    <row r="3444" spans="1:12" hidden="1" x14ac:dyDescent="0.3">
      <c r="A3444" t="s">
        <v>71</v>
      </c>
      <c r="B3444" t="s">
        <v>72</v>
      </c>
      <c r="C3444" t="s">
        <v>125</v>
      </c>
      <c r="D3444" t="s">
        <v>126</v>
      </c>
      <c r="E3444">
        <v>2000</v>
      </c>
      <c r="F3444" s="1">
        <v>9</v>
      </c>
      <c r="G3444">
        <v>2000</v>
      </c>
      <c r="H3444">
        <f>AVERAGEIFS(Table1[value],Table1[IndicatorCode],Table1[[#This Row],[IndicatorCode]])</f>
        <v>7.6894248608534319</v>
      </c>
      <c r="I3444" cm="1">
        <f t="array" ref="I3444">_xlfn.STDEV.P(IF(Table1[IndicatorCode]=Table1[[#This Row],[IndicatorCode]],Table1[value]))</f>
        <v>5.2319501044600996</v>
      </c>
      <c r="J3444">
        <f>(Table1[[#This Row],[value]] - Table1[[#This Row],[mean]]) / Table1[[#This Row],[std_dev]]</f>
        <v>0.25049457907278921</v>
      </c>
      <c r="K3444">
        <f>AVERAGEIF(Table1[CountryCode],Table1[[#This Row],[CountryCode]],Table1[z-score])</f>
        <v>-0.23196726817462951</v>
      </c>
      <c r="L3444" t="e">
        <f>VLOOKUP(Table1[[#This Row],[CountryCode]],[1]!Table1[#Data],4,FALSE)</f>
        <v>#REF!</v>
      </c>
    </row>
    <row r="3445" spans="1:12" hidden="1" x14ac:dyDescent="0.3">
      <c r="A3445" t="s">
        <v>71</v>
      </c>
      <c r="B3445" t="s">
        <v>72</v>
      </c>
      <c r="C3445" t="s">
        <v>125</v>
      </c>
      <c r="D3445" t="s">
        <v>126</v>
      </c>
      <c r="E3445">
        <v>2001</v>
      </c>
      <c r="F3445" s="1">
        <v>8</v>
      </c>
      <c r="G3445">
        <v>2000</v>
      </c>
      <c r="H3445">
        <f>AVERAGEIFS(Table1[value],Table1[IndicatorCode],Table1[[#This Row],[IndicatorCode]])</f>
        <v>7.6894248608534319</v>
      </c>
      <c r="I3445" cm="1">
        <f t="array" ref="I3445">_xlfn.STDEV.P(IF(Table1[IndicatorCode]=Table1[[#This Row],[IndicatorCode]],Table1[value]))</f>
        <v>5.2319501044600996</v>
      </c>
      <c r="J3445">
        <f>(Table1[[#This Row],[value]] - Table1[[#This Row],[mean]]) / Table1[[#This Row],[std_dev]]</f>
        <v>5.9361257838030791E-2</v>
      </c>
      <c r="K3445">
        <f>AVERAGEIF(Table1[CountryCode],Table1[[#This Row],[CountryCode]],Table1[z-score])</f>
        <v>-0.23196726817462951</v>
      </c>
      <c r="L3445" t="e">
        <f>VLOOKUP(Table1[[#This Row],[CountryCode]],[1]!Table1[#Data],4,FALSE)</f>
        <v>#REF!</v>
      </c>
    </row>
    <row r="3446" spans="1:12" hidden="1" x14ac:dyDescent="0.3">
      <c r="A3446" t="s">
        <v>71</v>
      </c>
      <c r="B3446" t="s">
        <v>72</v>
      </c>
      <c r="C3446" t="s">
        <v>125</v>
      </c>
      <c r="D3446" t="s">
        <v>126</v>
      </c>
      <c r="E3446">
        <v>2002</v>
      </c>
      <c r="F3446" s="1">
        <v>9</v>
      </c>
      <c r="G3446">
        <v>2000</v>
      </c>
      <c r="H3446">
        <f>AVERAGEIFS(Table1[value],Table1[IndicatorCode],Table1[[#This Row],[IndicatorCode]])</f>
        <v>7.6894248608534319</v>
      </c>
      <c r="I3446" cm="1">
        <f t="array" ref="I3446">_xlfn.STDEV.P(IF(Table1[IndicatorCode]=Table1[[#This Row],[IndicatorCode]],Table1[value]))</f>
        <v>5.2319501044600996</v>
      </c>
      <c r="J3446">
        <f>(Table1[[#This Row],[value]] - Table1[[#This Row],[mean]]) / Table1[[#This Row],[std_dev]]</f>
        <v>0.25049457907278921</v>
      </c>
      <c r="K3446">
        <f>AVERAGEIF(Table1[CountryCode],Table1[[#This Row],[CountryCode]],Table1[z-score])</f>
        <v>-0.23196726817462951</v>
      </c>
      <c r="L3446" t="e">
        <f>VLOOKUP(Table1[[#This Row],[CountryCode]],[1]!Table1[#Data],4,FALSE)</f>
        <v>#REF!</v>
      </c>
    </row>
    <row r="3447" spans="1:12" hidden="1" x14ac:dyDescent="0.3">
      <c r="A3447" t="s">
        <v>71</v>
      </c>
      <c r="B3447" t="s">
        <v>72</v>
      </c>
      <c r="C3447" t="s">
        <v>125</v>
      </c>
      <c r="D3447" t="s">
        <v>126</v>
      </c>
      <c r="E3447">
        <v>2003</v>
      </c>
      <c r="F3447" s="1">
        <v>10</v>
      </c>
      <c r="G3447">
        <v>2000</v>
      </c>
      <c r="H3447">
        <f>AVERAGEIFS(Table1[value],Table1[IndicatorCode],Table1[[#This Row],[IndicatorCode]])</f>
        <v>7.6894248608534319</v>
      </c>
      <c r="I3447" cm="1">
        <f t="array" ref="I3447">_xlfn.STDEV.P(IF(Table1[IndicatorCode]=Table1[[#This Row],[IndicatorCode]],Table1[value]))</f>
        <v>5.2319501044600996</v>
      </c>
      <c r="J3447">
        <f>(Table1[[#This Row],[value]] - Table1[[#This Row],[mean]]) / Table1[[#This Row],[std_dev]]</f>
        <v>0.44162790030754762</v>
      </c>
      <c r="K3447">
        <f>AVERAGEIF(Table1[CountryCode],Table1[[#This Row],[CountryCode]],Table1[z-score])</f>
        <v>-0.23196726817462951</v>
      </c>
      <c r="L3447" t="e">
        <f>VLOOKUP(Table1[[#This Row],[CountryCode]],[1]!Table1[#Data],4,FALSE)</f>
        <v>#REF!</v>
      </c>
    </row>
    <row r="3448" spans="1:12" hidden="1" x14ac:dyDescent="0.3">
      <c r="A3448" t="s">
        <v>71</v>
      </c>
      <c r="B3448" t="s">
        <v>72</v>
      </c>
      <c r="C3448" t="s">
        <v>125</v>
      </c>
      <c r="D3448" t="s">
        <v>126</v>
      </c>
      <c r="E3448">
        <v>2004</v>
      </c>
      <c r="F3448" s="1">
        <v>11</v>
      </c>
      <c r="G3448">
        <v>2000</v>
      </c>
      <c r="H3448">
        <f>AVERAGEIFS(Table1[value],Table1[IndicatorCode],Table1[[#This Row],[IndicatorCode]])</f>
        <v>7.6894248608534319</v>
      </c>
      <c r="I3448" cm="1">
        <f t="array" ref="I3448">_xlfn.STDEV.P(IF(Table1[IndicatorCode]=Table1[[#This Row],[IndicatorCode]],Table1[value]))</f>
        <v>5.2319501044600996</v>
      </c>
      <c r="J3448">
        <f>(Table1[[#This Row],[value]] - Table1[[#This Row],[mean]]) / Table1[[#This Row],[std_dev]]</f>
        <v>0.63276122154230596</v>
      </c>
      <c r="K3448">
        <f>AVERAGEIF(Table1[CountryCode],Table1[[#This Row],[CountryCode]],Table1[z-score])</f>
        <v>-0.23196726817462951</v>
      </c>
      <c r="L3448" t="e">
        <f>VLOOKUP(Table1[[#This Row],[CountryCode]],[1]!Table1[#Data],4,FALSE)</f>
        <v>#REF!</v>
      </c>
    </row>
    <row r="3449" spans="1:12" hidden="1" x14ac:dyDescent="0.3">
      <c r="A3449" t="s">
        <v>71</v>
      </c>
      <c r="B3449" t="s">
        <v>72</v>
      </c>
      <c r="C3449" t="s">
        <v>125</v>
      </c>
      <c r="D3449" t="s">
        <v>126</v>
      </c>
      <c r="E3449">
        <v>2005</v>
      </c>
      <c r="F3449" s="1">
        <v>12</v>
      </c>
      <c r="G3449">
        <v>2000</v>
      </c>
      <c r="H3449">
        <f>AVERAGEIFS(Table1[value],Table1[IndicatorCode],Table1[[#This Row],[IndicatorCode]])</f>
        <v>7.6894248608534319</v>
      </c>
      <c r="I3449" cm="1">
        <f t="array" ref="I3449">_xlfn.STDEV.P(IF(Table1[IndicatorCode]=Table1[[#This Row],[IndicatorCode]],Table1[value]))</f>
        <v>5.2319501044600996</v>
      </c>
      <c r="J3449">
        <f>(Table1[[#This Row],[value]] - Table1[[#This Row],[mean]]) / Table1[[#This Row],[std_dev]]</f>
        <v>0.82389454277706442</v>
      </c>
      <c r="K3449">
        <f>AVERAGEIF(Table1[CountryCode],Table1[[#This Row],[CountryCode]],Table1[z-score])</f>
        <v>-0.23196726817462951</v>
      </c>
      <c r="L3449" t="e">
        <f>VLOOKUP(Table1[[#This Row],[CountryCode]],[1]!Table1[#Data],4,FALSE)</f>
        <v>#REF!</v>
      </c>
    </row>
    <row r="3450" spans="1:12" hidden="1" x14ac:dyDescent="0.3">
      <c r="A3450" t="s">
        <v>71</v>
      </c>
      <c r="B3450" t="s">
        <v>72</v>
      </c>
      <c r="C3450" t="s">
        <v>125</v>
      </c>
      <c r="D3450" t="s">
        <v>126</v>
      </c>
      <c r="E3450">
        <v>2006</v>
      </c>
      <c r="F3450" s="1">
        <v>13</v>
      </c>
      <c r="G3450">
        <v>2000</v>
      </c>
      <c r="H3450">
        <f>AVERAGEIFS(Table1[value],Table1[IndicatorCode],Table1[[#This Row],[IndicatorCode]])</f>
        <v>7.6894248608534319</v>
      </c>
      <c r="I3450" cm="1">
        <f t="array" ref="I3450">_xlfn.STDEV.P(IF(Table1[IndicatorCode]=Table1[[#This Row],[IndicatorCode]],Table1[value]))</f>
        <v>5.2319501044600996</v>
      </c>
      <c r="J3450">
        <f>(Table1[[#This Row],[value]] - Table1[[#This Row],[mean]]) / Table1[[#This Row],[std_dev]]</f>
        <v>1.0150278640118229</v>
      </c>
      <c r="K3450">
        <f>AVERAGEIF(Table1[CountryCode],Table1[[#This Row],[CountryCode]],Table1[z-score])</f>
        <v>-0.23196726817462951</v>
      </c>
      <c r="L3450" t="e">
        <f>VLOOKUP(Table1[[#This Row],[CountryCode]],[1]!Table1[#Data],4,FALSE)</f>
        <v>#REF!</v>
      </c>
    </row>
    <row r="3451" spans="1:12" hidden="1" x14ac:dyDescent="0.3">
      <c r="A3451" t="s">
        <v>71</v>
      </c>
      <c r="B3451" t="s">
        <v>72</v>
      </c>
      <c r="C3451" t="s">
        <v>125</v>
      </c>
      <c r="D3451" t="s">
        <v>126</v>
      </c>
      <c r="E3451">
        <v>2007</v>
      </c>
      <c r="F3451" s="1">
        <v>14</v>
      </c>
      <c r="G3451">
        <v>2010</v>
      </c>
      <c r="H3451">
        <f>AVERAGEIFS(Table1[value],Table1[IndicatorCode],Table1[[#This Row],[IndicatorCode]])</f>
        <v>7.6894248608534319</v>
      </c>
      <c r="I3451" cm="1">
        <f t="array" ref="I3451">_xlfn.STDEV.P(IF(Table1[IndicatorCode]=Table1[[#This Row],[IndicatorCode]],Table1[value]))</f>
        <v>5.2319501044600996</v>
      </c>
      <c r="J3451">
        <f>(Table1[[#This Row],[value]] - Table1[[#This Row],[mean]]) / Table1[[#This Row],[std_dev]]</f>
        <v>1.2061611852465812</v>
      </c>
      <c r="K3451">
        <f>AVERAGEIF(Table1[CountryCode],Table1[[#This Row],[CountryCode]],Table1[z-score])</f>
        <v>-0.23196726817462951</v>
      </c>
      <c r="L3451" t="e">
        <f>VLOOKUP(Table1[[#This Row],[CountryCode]],[1]!Table1[#Data],4,FALSE)</f>
        <v>#REF!</v>
      </c>
    </row>
    <row r="3452" spans="1:12" hidden="1" x14ac:dyDescent="0.3">
      <c r="A3452" t="s">
        <v>71</v>
      </c>
      <c r="B3452" t="s">
        <v>72</v>
      </c>
      <c r="C3452" t="s">
        <v>125</v>
      </c>
      <c r="D3452" t="s">
        <v>126</v>
      </c>
      <c r="E3452">
        <v>2008</v>
      </c>
      <c r="F3452" s="1">
        <v>15</v>
      </c>
      <c r="G3452">
        <v>2010</v>
      </c>
      <c r="H3452">
        <f>AVERAGEIFS(Table1[value],Table1[IndicatorCode],Table1[[#This Row],[IndicatorCode]])</f>
        <v>7.6894248608534319</v>
      </c>
      <c r="I3452" cm="1">
        <f t="array" ref="I3452">_xlfn.STDEV.P(IF(Table1[IndicatorCode]=Table1[[#This Row],[IndicatorCode]],Table1[value]))</f>
        <v>5.2319501044600996</v>
      </c>
      <c r="J3452">
        <f>(Table1[[#This Row],[value]] - Table1[[#This Row],[mean]]) / Table1[[#This Row],[std_dev]]</f>
        <v>1.3972945064813396</v>
      </c>
      <c r="K3452">
        <f>AVERAGEIF(Table1[CountryCode],Table1[[#This Row],[CountryCode]],Table1[z-score])</f>
        <v>-0.23196726817462951</v>
      </c>
      <c r="L3452" t="e">
        <f>VLOOKUP(Table1[[#This Row],[CountryCode]],[1]!Table1[#Data],4,FALSE)</f>
        <v>#REF!</v>
      </c>
    </row>
    <row r="3453" spans="1:12" hidden="1" x14ac:dyDescent="0.3">
      <c r="A3453" t="s">
        <v>71</v>
      </c>
      <c r="B3453" t="s">
        <v>72</v>
      </c>
      <c r="C3453" t="s">
        <v>125</v>
      </c>
      <c r="D3453" t="s">
        <v>126</v>
      </c>
      <c r="E3453">
        <v>2009</v>
      </c>
      <c r="F3453" s="1">
        <v>14</v>
      </c>
      <c r="G3453">
        <v>2010</v>
      </c>
      <c r="H3453">
        <f>AVERAGEIFS(Table1[value],Table1[IndicatorCode],Table1[[#This Row],[IndicatorCode]])</f>
        <v>7.6894248608534319</v>
      </c>
      <c r="I3453" cm="1">
        <f t="array" ref="I3453">_xlfn.STDEV.P(IF(Table1[IndicatorCode]=Table1[[#This Row],[IndicatorCode]],Table1[value]))</f>
        <v>5.2319501044600996</v>
      </c>
      <c r="J3453">
        <f>(Table1[[#This Row],[value]] - Table1[[#This Row],[mean]]) / Table1[[#This Row],[std_dev]]</f>
        <v>1.2061611852465812</v>
      </c>
      <c r="K3453">
        <f>AVERAGEIF(Table1[CountryCode],Table1[[#This Row],[CountryCode]],Table1[z-score])</f>
        <v>-0.23196726817462951</v>
      </c>
      <c r="L3453" t="e">
        <f>VLOOKUP(Table1[[#This Row],[CountryCode]],[1]!Table1[#Data],4,FALSE)</f>
        <v>#REF!</v>
      </c>
    </row>
    <row r="3454" spans="1:12" hidden="1" x14ac:dyDescent="0.3">
      <c r="A3454" t="s">
        <v>71</v>
      </c>
      <c r="B3454" t="s">
        <v>72</v>
      </c>
      <c r="C3454" t="s">
        <v>125</v>
      </c>
      <c r="D3454" t="s">
        <v>126</v>
      </c>
      <c r="E3454">
        <v>2010</v>
      </c>
      <c r="F3454" s="1">
        <v>14</v>
      </c>
      <c r="G3454">
        <v>2010</v>
      </c>
      <c r="H3454">
        <f>AVERAGEIFS(Table1[value],Table1[IndicatorCode],Table1[[#This Row],[IndicatorCode]])</f>
        <v>7.6894248608534319</v>
      </c>
      <c r="I3454" cm="1">
        <f t="array" ref="I3454">_xlfn.STDEV.P(IF(Table1[IndicatorCode]=Table1[[#This Row],[IndicatorCode]],Table1[value]))</f>
        <v>5.2319501044600996</v>
      </c>
      <c r="J3454">
        <f>(Table1[[#This Row],[value]] - Table1[[#This Row],[mean]]) / Table1[[#This Row],[std_dev]]</f>
        <v>1.2061611852465812</v>
      </c>
      <c r="K3454">
        <f>AVERAGEIF(Table1[CountryCode],Table1[[#This Row],[CountryCode]],Table1[z-score])</f>
        <v>-0.23196726817462951</v>
      </c>
      <c r="L3454" t="e">
        <f>VLOOKUP(Table1[[#This Row],[CountryCode]],[1]!Table1[#Data],4,FALSE)</f>
        <v>#REF!</v>
      </c>
    </row>
    <row r="3455" spans="1:12" hidden="1" x14ac:dyDescent="0.3">
      <c r="A3455" t="s">
        <v>71</v>
      </c>
      <c r="B3455" t="s">
        <v>72</v>
      </c>
      <c r="C3455" t="s">
        <v>125</v>
      </c>
      <c r="D3455" t="s">
        <v>126</v>
      </c>
      <c r="E3455">
        <v>2011</v>
      </c>
      <c r="F3455" s="1">
        <v>15</v>
      </c>
      <c r="G3455">
        <v>2010</v>
      </c>
      <c r="H3455">
        <f>AVERAGEIFS(Table1[value],Table1[IndicatorCode],Table1[[#This Row],[IndicatorCode]])</f>
        <v>7.6894248608534319</v>
      </c>
      <c r="I3455" cm="1">
        <f t="array" ref="I3455">_xlfn.STDEV.P(IF(Table1[IndicatorCode]=Table1[[#This Row],[IndicatorCode]],Table1[value]))</f>
        <v>5.2319501044600996</v>
      </c>
      <c r="J3455">
        <f>(Table1[[#This Row],[value]] - Table1[[#This Row],[mean]]) / Table1[[#This Row],[std_dev]]</f>
        <v>1.3972945064813396</v>
      </c>
      <c r="K3455">
        <f>AVERAGEIF(Table1[CountryCode],Table1[[#This Row],[CountryCode]],Table1[z-score])</f>
        <v>-0.23196726817462951</v>
      </c>
      <c r="L3455" t="e">
        <f>VLOOKUP(Table1[[#This Row],[CountryCode]],[1]!Table1[#Data],4,FALSE)</f>
        <v>#REF!</v>
      </c>
    </row>
    <row r="3456" spans="1:12" hidden="1" x14ac:dyDescent="0.3">
      <c r="A3456" t="s">
        <v>71</v>
      </c>
      <c r="B3456" t="s">
        <v>72</v>
      </c>
      <c r="C3456" t="s">
        <v>125</v>
      </c>
      <c r="D3456" t="s">
        <v>126</v>
      </c>
      <c r="E3456">
        <v>2012</v>
      </c>
      <c r="F3456" s="1">
        <v>15</v>
      </c>
      <c r="G3456">
        <v>2010</v>
      </c>
      <c r="H3456">
        <f>AVERAGEIFS(Table1[value],Table1[IndicatorCode],Table1[[#This Row],[IndicatorCode]])</f>
        <v>7.6894248608534319</v>
      </c>
      <c r="I3456" cm="1">
        <f t="array" ref="I3456">_xlfn.STDEV.P(IF(Table1[IndicatorCode]=Table1[[#This Row],[IndicatorCode]],Table1[value]))</f>
        <v>5.2319501044600996</v>
      </c>
      <c r="J3456">
        <f>(Table1[[#This Row],[value]] - Table1[[#This Row],[mean]]) / Table1[[#This Row],[std_dev]]</f>
        <v>1.3972945064813396</v>
      </c>
      <c r="K3456">
        <f>AVERAGEIF(Table1[CountryCode],Table1[[#This Row],[CountryCode]],Table1[z-score])</f>
        <v>-0.23196726817462951</v>
      </c>
      <c r="L3456" t="e">
        <f>VLOOKUP(Table1[[#This Row],[CountryCode]],[1]!Table1[#Data],4,FALSE)</f>
        <v>#REF!</v>
      </c>
    </row>
    <row r="3457" spans="1:12" hidden="1" x14ac:dyDescent="0.3">
      <c r="A3457" t="s">
        <v>71</v>
      </c>
      <c r="B3457" t="s">
        <v>72</v>
      </c>
      <c r="C3457" t="s">
        <v>125</v>
      </c>
      <c r="D3457" t="s">
        <v>126</v>
      </c>
      <c r="E3457">
        <v>2013</v>
      </c>
      <c r="F3457" s="1">
        <v>16</v>
      </c>
      <c r="G3457">
        <v>2010</v>
      </c>
      <c r="H3457">
        <f>AVERAGEIFS(Table1[value],Table1[IndicatorCode],Table1[[#This Row],[IndicatorCode]])</f>
        <v>7.6894248608534319</v>
      </c>
      <c r="I3457" cm="1">
        <f t="array" ref="I3457">_xlfn.STDEV.P(IF(Table1[IndicatorCode]=Table1[[#This Row],[IndicatorCode]],Table1[value]))</f>
        <v>5.2319501044600996</v>
      </c>
      <c r="J3457">
        <f>(Table1[[#This Row],[value]] - Table1[[#This Row],[mean]]) / Table1[[#This Row],[std_dev]]</f>
        <v>1.5884278277160979</v>
      </c>
      <c r="K3457">
        <f>AVERAGEIF(Table1[CountryCode],Table1[[#This Row],[CountryCode]],Table1[z-score])</f>
        <v>-0.23196726817462951</v>
      </c>
      <c r="L3457" t="e">
        <f>VLOOKUP(Table1[[#This Row],[CountryCode]],[1]!Table1[#Data],4,FALSE)</f>
        <v>#REF!</v>
      </c>
    </row>
    <row r="3458" spans="1:12" hidden="1" x14ac:dyDescent="0.3">
      <c r="A3458" t="s">
        <v>71</v>
      </c>
      <c r="B3458" t="s">
        <v>72</v>
      </c>
      <c r="C3458" t="s">
        <v>125</v>
      </c>
      <c r="D3458" t="s">
        <v>126</v>
      </c>
      <c r="E3458">
        <v>2014</v>
      </c>
      <c r="F3458" s="1">
        <v>13</v>
      </c>
      <c r="G3458">
        <v>2010</v>
      </c>
      <c r="H3458">
        <f>AVERAGEIFS(Table1[value],Table1[IndicatorCode],Table1[[#This Row],[IndicatorCode]])</f>
        <v>7.6894248608534319</v>
      </c>
      <c r="I3458" cm="1">
        <f t="array" ref="I3458">_xlfn.STDEV.P(IF(Table1[IndicatorCode]=Table1[[#This Row],[IndicatorCode]],Table1[value]))</f>
        <v>5.2319501044600996</v>
      </c>
      <c r="J3458">
        <f>(Table1[[#This Row],[value]] - Table1[[#This Row],[mean]]) / Table1[[#This Row],[std_dev]]</f>
        <v>1.0150278640118229</v>
      </c>
      <c r="K3458">
        <f>AVERAGEIF(Table1[CountryCode],Table1[[#This Row],[CountryCode]],Table1[z-score])</f>
        <v>-0.23196726817462951</v>
      </c>
      <c r="L3458" t="e">
        <f>VLOOKUP(Table1[[#This Row],[CountryCode]],[1]!Table1[#Data],4,FALSE)</f>
        <v>#REF!</v>
      </c>
    </row>
    <row r="3459" spans="1:12" hidden="1" x14ac:dyDescent="0.3">
      <c r="A3459" t="s">
        <v>71</v>
      </c>
      <c r="B3459" t="s">
        <v>72</v>
      </c>
      <c r="C3459" t="s">
        <v>125</v>
      </c>
      <c r="D3459" t="s">
        <v>126</v>
      </c>
      <c r="E3459">
        <v>2015</v>
      </c>
      <c r="F3459" s="1">
        <v>11</v>
      </c>
      <c r="G3459">
        <v>2010</v>
      </c>
      <c r="H3459">
        <f>AVERAGEIFS(Table1[value],Table1[IndicatorCode],Table1[[#This Row],[IndicatorCode]])</f>
        <v>7.6894248608534319</v>
      </c>
      <c r="I3459" cm="1">
        <f t="array" ref="I3459">_xlfn.STDEV.P(IF(Table1[IndicatorCode]=Table1[[#This Row],[IndicatorCode]],Table1[value]))</f>
        <v>5.2319501044600996</v>
      </c>
      <c r="J3459">
        <f>(Table1[[#This Row],[value]] - Table1[[#This Row],[mean]]) / Table1[[#This Row],[std_dev]]</f>
        <v>0.63276122154230596</v>
      </c>
      <c r="K3459">
        <f>AVERAGEIF(Table1[CountryCode],Table1[[#This Row],[CountryCode]],Table1[z-score])</f>
        <v>-0.23196726817462951</v>
      </c>
      <c r="L3459" t="e">
        <f>VLOOKUP(Table1[[#This Row],[CountryCode]],[1]!Table1[#Data],4,FALSE)</f>
        <v>#REF!</v>
      </c>
    </row>
    <row r="3460" spans="1:12" hidden="1" x14ac:dyDescent="0.3">
      <c r="A3460" t="s">
        <v>71</v>
      </c>
      <c r="B3460" t="s">
        <v>72</v>
      </c>
      <c r="C3460" t="s">
        <v>125</v>
      </c>
      <c r="D3460" t="s">
        <v>126</v>
      </c>
      <c r="E3460">
        <v>2016</v>
      </c>
      <c r="F3460" s="1">
        <v>12</v>
      </c>
      <c r="G3460">
        <v>2010</v>
      </c>
      <c r="H3460">
        <f>AVERAGEIFS(Table1[value],Table1[IndicatorCode],Table1[[#This Row],[IndicatorCode]])</f>
        <v>7.6894248608534319</v>
      </c>
      <c r="I3460" cm="1">
        <f t="array" ref="I3460">_xlfn.STDEV.P(IF(Table1[IndicatorCode]=Table1[[#This Row],[IndicatorCode]],Table1[value]))</f>
        <v>5.2319501044600996</v>
      </c>
      <c r="J3460">
        <f>(Table1[[#This Row],[value]] - Table1[[#This Row],[mean]]) / Table1[[#This Row],[std_dev]]</f>
        <v>0.82389454277706442</v>
      </c>
      <c r="K3460">
        <f>AVERAGEIF(Table1[CountryCode],Table1[[#This Row],[CountryCode]],Table1[z-score])</f>
        <v>-0.23196726817462951</v>
      </c>
      <c r="L3460" t="e">
        <f>VLOOKUP(Table1[[#This Row],[CountryCode]],[1]!Table1[#Data],4,FALSE)</f>
        <v>#REF!</v>
      </c>
    </row>
    <row r="3461" spans="1:12" hidden="1" x14ac:dyDescent="0.3">
      <c r="A3461" t="s">
        <v>71</v>
      </c>
      <c r="B3461" t="s">
        <v>72</v>
      </c>
      <c r="C3461" t="s">
        <v>125</v>
      </c>
      <c r="D3461" t="s">
        <v>126</v>
      </c>
      <c r="E3461">
        <v>2017</v>
      </c>
      <c r="F3461" s="1">
        <v>12</v>
      </c>
      <c r="G3461">
        <v>2020</v>
      </c>
      <c r="H3461">
        <f>AVERAGEIFS(Table1[value],Table1[IndicatorCode],Table1[[#This Row],[IndicatorCode]])</f>
        <v>7.6894248608534319</v>
      </c>
      <c r="I3461" cm="1">
        <f t="array" ref="I3461">_xlfn.STDEV.P(IF(Table1[IndicatorCode]=Table1[[#This Row],[IndicatorCode]],Table1[value]))</f>
        <v>5.2319501044600996</v>
      </c>
      <c r="J3461">
        <f>(Table1[[#This Row],[value]] - Table1[[#This Row],[mean]]) / Table1[[#This Row],[std_dev]]</f>
        <v>0.82389454277706442</v>
      </c>
      <c r="K3461">
        <f>AVERAGEIF(Table1[CountryCode],Table1[[#This Row],[CountryCode]],Table1[z-score])</f>
        <v>-0.23196726817462951</v>
      </c>
      <c r="L3461" t="e">
        <f>VLOOKUP(Table1[[#This Row],[CountryCode]],[1]!Table1[#Data],4,FALSE)</f>
        <v>#REF!</v>
      </c>
    </row>
    <row r="3462" spans="1:12" hidden="1" x14ac:dyDescent="0.3">
      <c r="A3462" t="s">
        <v>71</v>
      </c>
      <c r="B3462" t="s">
        <v>72</v>
      </c>
      <c r="C3462" t="s">
        <v>125</v>
      </c>
      <c r="D3462" t="s">
        <v>126</v>
      </c>
      <c r="E3462">
        <v>2018</v>
      </c>
      <c r="F3462" s="1">
        <v>12</v>
      </c>
      <c r="G3462">
        <v>2020</v>
      </c>
      <c r="H3462">
        <f>AVERAGEIFS(Table1[value],Table1[IndicatorCode],Table1[[#This Row],[IndicatorCode]])</f>
        <v>7.6894248608534319</v>
      </c>
      <c r="I3462" cm="1">
        <f t="array" ref="I3462">_xlfn.STDEV.P(IF(Table1[IndicatorCode]=Table1[[#This Row],[IndicatorCode]],Table1[value]))</f>
        <v>5.2319501044600996</v>
      </c>
      <c r="J3462">
        <f>(Table1[[#This Row],[value]] - Table1[[#This Row],[mean]]) / Table1[[#This Row],[std_dev]]</f>
        <v>0.82389454277706442</v>
      </c>
      <c r="K3462">
        <f>AVERAGEIF(Table1[CountryCode],Table1[[#This Row],[CountryCode]],Table1[z-score])</f>
        <v>-0.23196726817462951</v>
      </c>
      <c r="L3462" t="e">
        <f>VLOOKUP(Table1[[#This Row],[CountryCode]],[1]!Table1[#Data],4,FALSE)</f>
        <v>#REF!</v>
      </c>
    </row>
    <row r="3463" spans="1:12" hidden="1" x14ac:dyDescent="0.3">
      <c r="A3463" t="s">
        <v>71</v>
      </c>
      <c r="B3463" t="s">
        <v>72</v>
      </c>
      <c r="C3463" t="s">
        <v>125</v>
      </c>
      <c r="D3463" t="s">
        <v>126</v>
      </c>
      <c r="E3463">
        <v>2019</v>
      </c>
      <c r="F3463" s="1">
        <v>11</v>
      </c>
      <c r="G3463">
        <v>2020</v>
      </c>
      <c r="H3463">
        <f>AVERAGEIFS(Table1[value],Table1[IndicatorCode],Table1[[#This Row],[IndicatorCode]])</f>
        <v>7.6894248608534319</v>
      </c>
      <c r="I3463" cm="1">
        <f t="array" ref="I3463">_xlfn.STDEV.P(IF(Table1[IndicatorCode]=Table1[[#This Row],[IndicatorCode]],Table1[value]))</f>
        <v>5.2319501044600996</v>
      </c>
      <c r="J3463">
        <f>(Table1[[#This Row],[value]] - Table1[[#This Row],[mean]]) / Table1[[#This Row],[std_dev]]</f>
        <v>0.63276122154230596</v>
      </c>
      <c r="K3463">
        <f>AVERAGEIF(Table1[CountryCode],Table1[[#This Row],[CountryCode]],Table1[z-score])</f>
        <v>-0.23196726817462951</v>
      </c>
      <c r="L3463" t="e">
        <f>VLOOKUP(Table1[[#This Row],[CountryCode]],[1]!Table1[#Data],4,FALSE)</f>
        <v>#REF!</v>
      </c>
    </row>
    <row r="3464" spans="1:12" x14ac:dyDescent="0.3">
      <c r="A3464" t="s">
        <v>71</v>
      </c>
      <c r="B3464" t="s">
        <v>72</v>
      </c>
      <c r="C3464" t="s">
        <v>125</v>
      </c>
      <c r="D3464" t="s">
        <v>126</v>
      </c>
      <c r="E3464">
        <v>2020</v>
      </c>
      <c r="F3464" s="1">
        <v>12</v>
      </c>
      <c r="G3464">
        <v>2020</v>
      </c>
      <c r="H3464">
        <f>AVERAGEIFS(Table1[value],Table1[IndicatorCode],Table1[[#This Row],[IndicatorCode]])</f>
        <v>7.6894248608534319</v>
      </c>
      <c r="I3464" cm="1">
        <f t="array" ref="I3464">_xlfn.STDEV.P(IF(Table1[IndicatorCode]=Table1[[#This Row],[IndicatorCode]],Table1[value]))</f>
        <v>5.2319501044600996</v>
      </c>
      <c r="J3464">
        <f>(Table1[[#This Row],[value]] - Table1[[#This Row],[mean]]) / Table1[[#This Row],[std_dev]]</f>
        <v>0.82389454277706442</v>
      </c>
      <c r="K3464">
        <f>AVERAGEIF(Table1[CountryCode],Table1[[#This Row],[CountryCode]],Table1[z-score])</f>
        <v>-0.23196726817462951</v>
      </c>
    </row>
    <row r="3465" spans="1:12" hidden="1" x14ac:dyDescent="0.3">
      <c r="A3465" t="s">
        <v>71</v>
      </c>
      <c r="B3465" t="s">
        <v>72</v>
      </c>
      <c r="C3465" t="s">
        <v>125</v>
      </c>
      <c r="D3465" t="s">
        <v>126</v>
      </c>
      <c r="E3465">
        <v>2021</v>
      </c>
      <c r="F3465" s="1">
        <v>12</v>
      </c>
      <c r="G3465">
        <v>2020</v>
      </c>
      <c r="H3465">
        <f>AVERAGEIFS(Table1[value],Table1[IndicatorCode],Table1[[#This Row],[IndicatorCode]])</f>
        <v>7.6894248608534319</v>
      </c>
      <c r="I3465" cm="1">
        <f t="array" ref="I3465">_xlfn.STDEV.P(IF(Table1[IndicatorCode]=Table1[[#This Row],[IndicatorCode]],Table1[value]))</f>
        <v>5.2319501044600996</v>
      </c>
      <c r="J3465">
        <f>(Table1[[#This Row],[value]] - Table1[[#This Row],[mean]]) / Table1[[#This Row],[std_dev]]</f>
        <v>0.82389454277706442</v>
      </c>
      <c r="K3465">
        <f>AVERAGEIF(Table1[CountryCode],Table1[[#This Row],[CountryCode]],Table1[z-score])</f>
        <v>-0.23196726817462951</v>
      </c>
      <c r="L3465" t="e">
        <f>VLOOKUP(Table1[[#This Row],[CountryCode]],[1]!Table1[#Data],4,FALSE)</f>
        <v>#REF!</v>
      </c>
    </row>
    <row r="3466" spans="1:12" hidden="1" x14ac:dyDescent="0.3">
      <c r="A3466" t="s">
        <v>71</v>
      </c>
      <c r="B3466" t="s">
        <v>72</v>
      </c>
      <c r="C3466" t="s">
        <v>125</v>
      </c>
      <c r="D3466" t="s">
        <v>126</v>
      </c>
      <c r="E3466">
        <v>2022</v>
      </c>
      <c r="F3466" s="1">
        <v>12</v>
      </c>
      <c r="G3466">
        <v>1970</v>
      </c>
      <c r="H3466">
        <f>AVERAGEIFS(Table1[value],Table1[IndicatorCode],Table1[[#This Row],[IndicatorCode]])</f>
        <v>7.6894248608534319</v>
      </c>
      <c r="I3466" cm="1">
        <f t="array" ref="I3466">_xlfn.STDEV.P(IF(Table1[IndicatorCode]=Table1[[#This Row],[IndicatorCode]],Table1[value]))</f>
        <v>5.2319501044600996</v>
      </c>
      <c r="J3466">
        <f>(Table1[[#This Row],[value]] - Table1[[#This Row],[mean]]) / Table1[[#This Row],[std_dev]]</f>
        <v>0.82389454277706442</v>
      </c>
      <c r="K3466">
        <f>AVERAGEIF(Table1[CountryCode],Table1[[#This Row],[CountryCode]],Table1[z-score])</f>
        <v>-0.23196726817462951</v>
      </c>
      <c r="L3466" t="e">
        <f>VLOOKUP(Table1[[#This Row],[CountryCode]],[1]!Table1[#Data],4,FALSE)</f>
        <v>#REF!</v>
      </c>
    </row>
    <row r="3467" spans="1:12" hidden="1" x14ac:dyDescent="0.3">
      <c r="A3467" t="s">
        <v>71</v>
      </c>
      <c r="B3467" t="s">
        <v>72</v>
      </c>
      <c r="C3467" t="s">
        <v>125</v>
      </c>
      <c r="D3467" t="s">
        <v>126</v>
      </c>
      <c r="E3467">
        <v>2023</v>
      </c>
      <c r="F3467" s="1">
        <v>13</v>
      </c>
      <c r="G3467">
        <v>1970</v>
      </c>
      <c r="H3467">
        <f>AVERAGEIFS(Table1[value],Table1[IndicatorCode],Table1[[#This Row],[IndicatorCode]])</f>
        <v>7.6894248608534319</v>
      </c>
      <c r="I3467" cm="1">
        <f t="array" ref="I3467">_xlfn.STDEV.P(IF(Table1[IndicatorCode]=Table1[[#This Row],[IndicatorCode]],Table1[value]))</f>
        <v>5.2319501044600996</v>
      </c>
      <c r="J3467">
        <f>(Table1[[#This Row],[value]] - Table1[[#This Row],[mean]]) / Table1[[#This Row],[std_dev]]</f>
        <v>1.0150278640118229</v>
      </c>
      <c r="K3467">
        <f>AVERAGEIF(Table1[CountryCode],Table1[[#This Row],[CountryCode]],Table1[z-score])</f>
        <v>-0.23196726817462951</v>
      </c>
      <c r="L3467" t="e">
        <f>VLOOKUP(Table1[[#This Row],[CountryCode]],[1]!Table1[#Data],4,FALSE)</f>
        <v>#REF!</v>
      </c>
    </row>
    <row r="3468" spans="1:12" hidden="1" x14ac:dyDescent="0.3">
      <c r="A3468" t="s">
        <v>71</v>
      </c>
      <c r="B3468" t="s">
        <v>72</v>
      </c>
      <c r="C3468" t="s">
        <v>125</v>
      </c>
      <c r="D3468" t="s">
        <v>126</v>
      </c>
      <c r="E3468">
        <v>2024</v>
      </c>
      <c r="F3468" s="1">
        <v>13</v>
      </c>
      <c r="G3468">
        <v>1970</v>
      </c>
      <c r="H3468">
        <f>AVERAGEIFS(Table1[value],Table1[IndicatorCode],Table1[[#This Row],[IndicatorCode]])</f>
        <v>7.6894248608534319</v>
      </c>
      <c r="I3468" cm="1">
        <f t="array" ref="I3468">_xlfn.STDEV.P(IF(Table1[IndicatorCode]=Table1[[#This Row],[IndicatorCode]],Table1[value]))</f>
        <v>5.2319501044600996</v>
      </c>
      <c r="J3468">
        <f>(Table1[[#This Row],[value]] - Table1[[#This Row],[mean]]) / Table1[[#This Row],[std_dev]]</f>
        <v>1.0150278640118229</v>
      </c>
      <c r="K3468">
        <f>AVERAGEIF(Table1[CountryCode],Table1[[#This Row],[CountryCode]],Table1[z-score])</f>
        <v>-0.23196726817462951</v>
      </c>
      <c r="L3468" t="e">
        <f>VLOOKUP(Table1[[#This Row],[CountryCode]],[1]!Table1[#Data],4,FALSE)</f>
        <v>#REF!</v>
      </c>
    </row>
    <row r="3469" spans="1:12" hidden="1" x14ac:dyDescent="0.3">
      <c r="A3469" t="s">
        <v>73</v>
      </c>
      <c r="B3469" t="s">
        <v>74</v>
      </c>
      <c r="C3469" t="s">
        <v>125</v>
      </c>
      <c r="D3469" t="s">
        <v>126</v>
      </c>
      <c r="E3469">
        <v>1970</v>
      </c>
      <c r="F3469" s="1">
        <v>5</v>
      </c>
      <c r="G3469">
        <v>1970</v>
      </c>
      <c r="H3469">
        <f>AVERAGEIFS(Table1[value],Table1[IndicatorCode],Table1[[#This Row],[IndicatorCode]])</f>
        <v>7.6894248608534319</v>
      </c>
      <c r="I3469" cm="1">
        <f t="array" ref="I3469">_xlfn.STDEV.P(IF(Table1[IndicatorCode]=Table1[[#This Row],[IndicatorCode]],Table1[value]))</f>
        <v>5.2319501044600996</v>
      </c>
      <c r="J3469">
        <f>(Table1[[#This Row],[value]] - Table1[[#This Row],[mean]]) / Table1[[#This Row],[std_dev]]</f>
        <v>-0.51403870586624445</v>
      </c>
      <c r="K3469">
        <f>AVERAGEIF(Table1[CountryCode],Table1[[#This Row],[CountryCode]],Table1[z-score])</f>
        <v>-0.90374566436467785</v>
      </c>
      <c r="L3469" t="e">
        <f>VLOOKUP(Table1[[#This Row],[CountryCode]],[1]!Table1[#Data],4,FALSE)</f>
        <v>#REF!</v>
      </c>
    </row>
    <row r="3470" spans="1:12" hidden="1" x14ac:dyDescent="0.3">
      <c r="A3470" t="s">
        <v>73</v>
      </c>
      <c r="B3470" t="s">
        <v>74</v>
      </c>
      <c r="C3470" t="s">
        <v>125</v>
      </c>
      <c r="D3470" t="s">
        <v>126</v>
      </c>
      <c r="E3470">
        <v>1971</v>
      </c>
      <c r="F3470" s="1">
        <v>5</v>
      </c>
      <c r="G3470">
        <v>1970</v>
      </c>
      <c r="H3470">
        <f>AVERAGEIFS(Table1[value],Table1[IndicatorCode],Table1[[#This Row],[IndicatorCode]])</f>
        <v>7.6894248608534319</v>
      </c>
      <c r="I3470" cm="1">
        <f t="array" ref="I3470">_xlfn.STDEV.P(IF(Table1[IndicatorCode]=Table1[[#This Row],[IndicatorCode]],Table1[value]))</f>
        <v>5.2319501044600996</v>
      </c>
      <c r="J3470">
        <f>(Table1[[#This Row],[value]] - Table1[[#This Row],[mean]]) / Table1[[#This Row],[std_dev]]</f>
        <v>-0.51403870586624445</v>
      </c>
      <c r="K3470">
        <f>AVERAGEIF(Table1[CountryCode],Table1[[#This Row],[CountryCode]],Table1[z-score])</f>
        <v>-0.90374566436467785</v>
      </c>
      <c r="L3470" t="e">
        <f>VLOOKUP(Table1[[#This Row],[CountryCode]],[1]!Table1[#Data],4,FALSE)</f>
        <v>#REF!</v>
      </c>
    </row>
    <row r="3471" spans="1:12" hidden="1" x14ac:dyDescent="0.3">
      <c r="A3471" t="s">
        <v>73</v>
      </c>
      <c r="B3471" t="s">
        <v>74</v>
      </c>
      <c r="C3471" t="s">
        <v>125</v>
      </c>
      <c r="D3471" t="s">
        <v>126</v>
      </c>
      <c r="E3471">
        <v>1972</v>
      </c>
      <c r="F3471" s="1">
        <v>5</v>
      </c>
      <c r="G3471">
        <v>1970</v>
      </c>
      <c r="H3471">
        <f>AVERAGEIFS(Table1[value],Table1[IndicatorCode],Table1[[#This Row],[IndicatorCode]])</f>
        <v>7.6894248608534319</v>
      </c>
      <c r="I3471" cm="1">
        <f t="array" ref="I3471">_xlfn.STDEV.P(IF(Table1[IndicatorCode]=Table1[[#This Row],[IndicatorCode]],Table1[value]))</f>
        <v>5.2319501044600996</v>
      </c>
      <c r="J3471">
        <f>(Table1[[#This Row],[value]] - Table1[[#This Row],[mean]]) / Table1[[#This Row],[std_dev]]</f>
        <v>-0.51403870586624445</v>
      </c>
      <c r="K3471">
        <f>AVERAGEIF(Table1[CountryCode],Table1[[#This Row],[CountryCode]],Table1[z-score])</f>
        <v>-0.90374566436467785</v>
      </c>
      <c r="L3471" t="e">
        <f>VLOOKUP(Table1[[#This Row],[CountryCode]],[1]!Table1[#Data],4,FALSE)</f>
        <v>#REF!</v>
      </c>
    </row>
    <row r="3472" spans="1:12" hidden="1" x14ac:dyDescent="0.3">
      <c r="A3472" t="s">
        <v>73</v>
      </c>
      <c r="B3472" t="s">
        <v>74</v>
      </c>
      <c r="C3472" t="s">
        <v>125</v>
      </c>
      <c r="D3472" t="s">
        <v>126</v>
      </c>
      <c r="E3472">
        <v>1973</v>
      </c>
      <c r="F3472" s="1">
        <v>5</v>
      </c>
      <c r="G3472">
        <v>1970</v>
      </c>
      <c r="H3472">
        <f>AVERAGEIFS(Table1[value],Table1[IndicatorCode],Table1[[#This Row],[IndicatorCode]])</f>
        <v>7.6894248608534319</v>
      </c>
      <c r="I3472" cm="1">
        <f t="array" ref="I3472">_xlfn.STDEV.P(IF(Table1[IndicatorCode]=Table1[[#This Row],[IndicatorCode]],Table1[value]))</f>
        <v>5.2319501044600996</v>
      </c>
      <c r="J3472">
        <f>(Table1[[#This Row],[value]] - Table1[[#This Row],[mean]]) / Table1[[#This Row],[std_dev]]</f>
        <v>-0.51403870586624445</v>
      </c>
      <c r="K3472">
        <f>AVERAGEIF(Table1[CountryCode],Table1[[#This Row],[CountryCode]],Table1[z-score])</f>
        <v>-0.90374566436467785</v>
      </c>
      <c r="L3472" t="e">
        <f>VLOOKUP(Table1[[#This Row],[CountryCode]],[1]!Table1[#Data],4,FALSE)</f>
        <v>#REF!</v>
      </c>
    </row>
    <row r="3473" spans="1:12" hidden="1" x14ac:dyDescent="0.3">
      <c r="A3473" t="s">
        <v>73</v>
      </c>
      <c r="B3473" t="s">
        <v>74</v>
      </c>
      <c r="C3473" t="s">
        <v>125</v>
      </c>
      <c r="D3473" t="s">
        <v>126</v>
      </c>
      <c r="E3473">
        <v>1974</v>
      </c>
      <c r="F3473" s="1">
        <v>6</v>
      </c>
      <c r="G3473">
        <v>1970</v>
      </c>
      <c r="H3473">
        <f>AVERAGEIFS(Table1[value],Table1[IndicatorCode],Table1[[#This Row],[IndicatorCode]])</f>
        <v>7.6894248608534319</v>
      </c>
      <c r="I3473" cm="1">
        <f t="array" ref="I3473">_xlfn.STDEV.P(IF(Table1[IndicatorCode]=Table1[[#This Row],[IndicatorCode]],Table1[value]))</f>
        <v>5.2319501044600996</v>
      </c>
      <c r="J3473">
        <f>(Table1[[#This Row],[value]] - Table1[[#This Row],[mean]]) / Table1[[#This Row],[std_dev]]</f>
        <v>-0.32290538463148605</v>
      </c>
      <c r="K3473">
        <f>AVERAGEIF(Table1[CountryCode],Table1[[#This Row],[CountryCode]],Table1[z-score])</f>
        <v>-0.90374566436467785</v>
      </c>
      <c r="L3473" t="e">
        <f>VLOOKUP(Table1[[#This Row],[CountryCode]],[1]!Table1[#Data],4,FALSE)</f>
        <v>#REF!</v>
      </c>
    </row>
    <row r="3474" spans="1:12" hidden="1" x14ac:dyDescent="0.3">
      <c r="A3474" t="s">
        <v>73</v>
      </c>
      <c r="B3474" t="s">
        <v>74</v>
      </c>
      <c r="C3474" t="s">
        <v>125</v>
      </c>
      <c r="D3474" t="s">
        <v>126</v>
      </c>
      <c r="E3474">
        <v>1975</v>
      </c>
      <c r="F3474" s="1">
        <v>6</v>
      </c>
      <c r="G3474">
        <v>1970</v>
      </c>
      <c r="H3474">
        <f>AVERAGEIFS(Table1[value],Table1[IndicatorCode],Table1[[#This Row],[IndicatorCode]])</f>
        <v>7.6894248608534319</v>
      </c>
      <c r="I3474" cm="1">
        <f t="array" ref="I3474">_xlfn.STDEV.P(IF(Table1[IndicatorCode]=Table1[[#This Row],[IndicatorCode]],Table1[value]))</f>
        <v>5.2319501044600996</v>
      </c>
      <c r="J3474">
        <f>(Table1[[#This Row],[value]] - Table1[[#This Row],[mean]]) / Table1[[#This Row],[std_dev]]</f>
        <v>-0.32290538463148605</v>
      </c>
      <c r="K3474">
        <f>AVERAGEIF(Table1[CountryCode],Table1[[#This Row],[CountryCode]],Table1[z-score])</f>
        <v>-0.90374566436467785</v>
      </c>
      <c r="L3474" t="e">
        <f>VLOOKUP(Table1[[#This Row],[CountryCode]],[1]!Table1[#Data],4,FALSE)</f>
        <v>#REF!</v>
      </c>
    </row>
    <row r="3475" spans="1:12" hidden="1" x14ac:dyDescent="0.3">
      <c r="A3475" t="s">
        <v>73</v>
      </c>
      <c r="B3475" t="s">
        <v>74</v>
      </c>
      <c r="C3475" t="s">
        <v>125</v>
      </c>
      <c r="D3475" t="s">
        <v>126</v>
      </c>
      <c r="E3475">
        <v>1976</v>
      </c>
      <c r="F3475" s="1">
        <v>6</v>
      </c>
      <c r="G3475">
        <v>1970</v>
      </c>
      <c r="H3475">
        <f>AVERAGEIFS(Table1[value],Table1[IndicatorCode],Table1[[#This Row],[IndicatorCode]])</f>
        <v>7.6894248608534319</v>
      </c>
      <c r="I3475" cm="1">
        <f t="array" ref="I3475">_xlfn.STDEV.P(IF(Table1[IndicatorCode]=Table1[[#This Row],[IndicatorCode]],Table1[value]))</f>
        <v>5.2319501044600996</v>
      </c>
      <c r="J3475">
        <f>(Table1[[#This Row],[value]] - Table1[[#This Row],[mean]]) / Table1[[#This Row],[std_dev]]</f>
        <v>-0.32290538463148605</v>
      </c>
      <c r="K3475">
        <f>AVERAGEIF(Table1[CountryCode],Table1[[#This Row],[CountryCode]],Table1[z-score])</f>
        <v>-0.90374566436467785</v>
      </c>
      <c r="L3475" t="e">
        <f>VLOOKUP(Table1[[#This Row],[CountryCode]],[1]!Table1[#Data],4,FALSE)</f>
        <v>#REF!</v>
      </c>
    </row>
    <row r="3476" spans="1:12" hidden="1" x14ac:dyDescent="0.3">
      <c r="A3476" t="s">
        <v>73</v>
      </c>
      <c r="B3476" t="s">
        <v>74</v>
      </c>
      <c r="C3476" t="s">
        <v>125</v>
      </c>
      <c r="D3476" t="s">
        <v>126</v>
      </c>
      <c r="E3476">
        <v>1977</v>
      </c>
      <c r="F3476" s="1">
        <v>6</v>
      </c>
      <c r="G3476">
        <v>1980</v>
      </c>
      <c r="H3476">
        <f>AVERAGEIFS(Table1[value],Table1[IndicatorCode],Table1[[#This Row],[IndicatorCode]])</f>
        <v>7.6894248608534319</v>
      </c>
      <c r="I3476" cm="1">
        <f t="array" ref="I3476">_xlfn.STDEV.P(IF(Table1[IndicatorCode]=Table1[[#This Row],[IndicatorCode]],Table1[value]))</f>
        <v>5.2319501044600996</v>
      </c>
      <c r="J3476">
        <f>(Table1[[#This Row],[value]] - Table1[[#This Row],[mean]]) / Table1[[#This Row],[std_dev]]</f>
        <v>-0.32290538463148605</v>
      </c>
      <c r="K3476">
        <f>AVERAGEIF(Table1[CountryCode],Table1[[#This Row],[CountryCode]],Table1[z-score])</f>
        <v>-0.90374566436467785</v>
      </c>
      <c r="L3476" t="e">
        <f>VLOOKUP(Table1[[#This Row],[CountryCode]],[1]!Table1[#Data],4,FALSE)</f>
        <v>#REF!</v>
      </c>
    </row>
    <row r="3477" spans="1:12" hidden="1" x14ac:dyDescent="0.3">
      <c r="A3477" t="s">
        <v>73</v>
      </c>
      <c r="B3477" t="s">
        <v>74</v>
      </c>
      <c r="C3477" t="s">
        <v>125</v>
      </c>
      <c r="D3477" t="s">
        <v>126</v>
      </c>
      <c r="E3477">
        <v>1978</v>
      </c>
      <c r="F3477" s="1">
        <v>6</v>
      </c>
      <c r="G3477">
        <v>1980</v>
      </c>
      <c r="H3477">
        <f>AVERAGEIFS(Table1[value],Table1[IndicatorCode],Table1[[#This Row],[IndicatorCode]])</f>
        <v>7.6894248608534319</v>
      </c>
      <c r="I3477" cm="1">
        <f t="array" ref="I3477">_xlfn.STDEV.P(IF(Table1[IndicatorCode]=Table1[[#This Row],[IndicatorCode]],Table1[value]))</f>
        <v>5.2319501044600996</v>
      </c>
      <c r="J3477">
        <f>(Table1[[#This Row],[value]] - Table1[[#This Row],[mean]]) / Table1[[#This Row],[std_dev]]</f>
        <v>-0.32290538463148605</v>
      </c>
      <c r="K3477">
        <f>AVERAGEIF(Table1[CountryCode],Table1[[#This Row],[CountryCode]],Table1[z-score])</f>
        <v>-0.90374566436467785</v>
      </c>
      <c r="L3477" t="e">
        <f>VLOOKUP(Table1[[#This Row],[CountryCode]],[1]!Table1[#Data],4,FALSE)</f>
        <v>#REF!</v>
      </c>
    </row>
    <row r="3478" spans="1:12" hidden="1" x14ac:dyDescent="0.3">
      <c r="A3478" t="s">
        <v>73</v>
      </c>
      <c r="B3478" t="s">
        <v>74</v>
      </c>
      <c r="C3478" t="s">
        <v>125</v>
      </c>
      <c r="D3478" t="s">
        <v>126</v>
      </c>
      <c r="E3478">
        <v>1979</v>
      </c>
      <c r="F3478" s="1">
        <v>6</v>
      </c>
      <c r="G3478">
        <v>1980</v>
      </c>
      <c r="H3478">
        <f>AVERAGEIFS(Table1[value],Table1[IndicatorCode],Table1[[#This Row],[IndicatorCode]])</f>
        <v>7.6894248608534319</v>
      </c>
      <c r="I3478" cm="1">
        <f t="array" ref="I3478">_xlfn.STDEV.P(IF(Table1[IndicatorCode]=Table1[[#This Row],[IndicatorCode]],Table1[value]))</f>
        <v>5.2319501044600996</v>
      </c>
      <c r="J3478">
        <f>(Table1[[#This Row],[value]] - Table1[[#This Row],[mean]]) / Table1[[#This Row],[std_dev]]</f>
        <v>-0.32290538463148605</v>
      </c>
      <c r="K3478">
        <f>AVERAGEIF(Table1[CountryCode],Table1[[#This Row],[CountryCode]],Table1[z-score])</f>
        <v>-0.90374566436467785</v>
      </c>
      <c r="L3478" t="e">
        <f>VLOOKUP(Table1[[#This Row],[CountryCode]],[1]!Table1[#Data],4,FALSE)</f>
        <v>#REF!</v>
      </c>
    </row>
    <row r="3479" spans="1:12" hidden="1" x14ac:dyDescent="0.3">
      <c r="A3479" t="s">
        <v>73</v>
      </c>
      <c r="B3479" t="s">
        <v>74</v>
      </c>
      <c r="C3479" t="s">
        <v>125</v>
      </c>
      <c r="D3479" t="s">
        <v>126</v>
      </c>
      <c r="E3479">
        <v>1980</v>
      </c>
      <c r="F3479" s="1">
        <v>6</v>
      </c>
      <c r="G3479">
        <v>1980</v>
      </c>
      <c r="H3479">
        <f>AVERAGEIFS(Table1[value],Table1[IndicatorCode],Table1[[#This Row],[IndicatorCode]])</f>
        <v>7.6894248608534319</v>
      </c>
      <c r="I3479" cm="1">
        <f t="array" ref="I3479">_xlfn.STDEV.P(IF(Table1[IndicatorCode]=Table1[[#This Row],[IndicatorCode]],Table1[value]))</f>
        <v>5.2319501044600996</v>
      </c>
      <c r="J3479">
        <f>(Table1[[#This Row],[value]] - Table1[[#This Row],[mean]]) / Table1[[#This Row],[std_dev]]</f>
        <v>-0.32290538463148605</v>
      </c>
      <c r="K3479">
        <f>AVERAGEIF(Table1[CountryCode],Table1[[#This Row],[CountryCode]],Table1[z-score])</f>
        <v>-0.90374566436467785</v>
      </c>
      <c r="L3479" t="e">
        <f>VLOOKUP(Table1[[#This Row],[CountryCode]],[1]!Table1[#Data],4,FALSE)</f>
        <v>#REF!</v>
      </c>
    </row>
    <row r="3480" spans="1:12" hidden="1" x14ac:dyDescent="0.3">
      <c r="A3480" t="s">
        <v>73</v>
      </c>
      <c r="B3480" t="s">
        <v>74</v>
      </c>
      <c r="C3480" t="s">
        <v>125</v>
      </c>
      <c r="D3480" t="s">
        <v>126</v>
      </c>
      <c r="E3480">
        <v>1981</v>
      </c>
      <c r="F3480" s="1">
        <v>6</v>
      </c>
      <c r="G3480">
        <v>1980</v>
      </c>
      <c r="H3480">
        <f>AVERAGEIFS(Table1[value],Table1[IndicatorCode],Table1[[#This Row],[IndicatorCode]])</f>
        <v>7.6894248608534319</v>
      </c>
      <c r="I3480" cm="1">
        <f t="array" ref="I3480">_xlfn.STDEV.P(IF(Table1[IndicatorCode]=Table1[[#This Row],[IndicatorCode]],Table1[value]))</f>
        <v>5.2319501044600996</v>
      </c>
      <c r="J3480">
        <f>(Table1[[#This Row],[value]] - Table1[[#This Row],[mean]]) / Table1[[#This Row],[std_dev]]</f>
        <v>-0.32290538463148605</v>
      </c>
      <c r="K3480">
        <f>AVERAGEIF(Table1[CountryCode],Table1[[#This Row],[CountryCode]],Table1[z-score])</f>
        <v>-0.90374566436467785</v>
      </c>
      <c r="L3480" t="e">
        <f>VLOOKUP(Table1[[#This Row],[CountryCode]],[1]!Table1[#Data],4,FALSE)</f>
        <v>#REF!</v>
      </c>
    </row>
    <row r="3481" spans="1:12" hidden="1" x14ac:dyDescent="0.3">
      <c r="A3481" t="s">
        <v>73</v>
      </c>
      <c r="B3481" t="s">
        <v>74</v>
      </c>
      <c r="C3481" t="s">
        <v>125</v>
      </c>
      <c r="D3481" t="s">
        <v>126</v>
      </c>
      <c r="E3481">
        <v>1982</v>
      </c>
      <c r="F3481" s="1">
        <v>6</v>
      </c>
      <c r="G3481">
        <v>1980</v>
      </c>
      <c r="H3481">
        <f>AVERAGEIFS(Table1[value],Table1[IndicatorCode],Table1[[#This Row],[IndicatorCode]])</f>
        <v>7.6894248608534319</v>
      </c>
      <c r="I3481" cm="1">
        <f t="array" ref="I3481">_xlfn.STDEV.P(IF(Table1[IndicatorCode]=Table1[[#This Row],[IndicatorCode]],Table1[value]))</f>
        <v>5.2319501044600996</v>
      </c>
      <c r="J3481">
        <f>(Table1[[#This Row],[value]] - Table1[[#This Row],[mean]]) / Table1[[#This Row],[std_dev]]</f>
        <v>-0.32290538463148605</v>
      </c>
      <c r="K3481">
        <f>AVERAGEIF(Table1[CountryCode],Table1[[#This Row],[CountryCode]],Table1[z-score])</f>
        <v>-0.90374566436467785</v>
      </c>
      <c r="L3481" t="e">
        <f>VLOOKUP(Table1[[#This Row],[CountryCode]],[1]!Table1[#Data],4,FALSE)</f>
        <v>#REF!</v>
      </c>
    </row>
    <row r="3482" spans="1:12" hidden="1" x14ac:dyDescent="0.3">
      <c r="A3482" t="s">
        <v>73</v>
      </c>
      <c r="B3482" t="s">
        <v>74</v>
      </c>
      <c r="C3482" t="s">
        <v>125</v>
      </c>
      <c r="D3482" t="s">
        <v>126</v>
      </c>
      <c r="E3482">
        <v>1983</v>
      </c>
      <c r="F3482" s="1">
        <v>5</v>
      </c>
      <c r="G3482">
        <v>1980</v>
      </c>
      <c r="H3482">
        <f>AVERAGEIFS(Table1[value],Table1[IndicatorCode],Table1[[#This Row],[IndicatorCode]])</f>
        <v>7.6894248608534319</v>
      </c>
      <c r="I3482" cm="1">
        <f t="array" ref="I3482">_xlfn.STDEV.P(IF(Table1[IndicatorCode]=Table1[[#This Row],[IndicatorCode]],Table1[value]))</f>
        <v>5.2319501044600996</v>
      </c>
      <c r="J3482">
        <f>(Table1[[#This Row],[value]] - Table1[[#This Row],[mean]]) / Table1[[#This Row],[std_dev]]</f>
        <v>-0.51403870586624445</v>
      </c>
      <c r="K3482">
        <f>AVERAGEIF(Table1[CountryCode],Table1[[#This Row],[CountryCode]],Table1[z-score])</f>
        <v>-0.90374566436467785</v>
      </c>
      <c r="L3482" t="e">
        <f>VLOOKUP(Table1[[#This Row],[CountryCode]],[1]!Table1[#Data],4,FALSE)</f>
        <v>#REF!</v>
      </c>
    </row>
    <row r="3483" spans="1:12" hidden="1" x14ac:dyDescent="0.3">
      <c r="A3483" t="s">
        <v>73</v>
      </c>
      <c r="B3483" t="s">
        <v>74</v>
      </c>
      <c r="C3483" t="s">
        <v>125</v>
      </c>
      <c r="D3483" t="s">
        <v>126</v>
      </c>
      <c r="E3483">
        <v>1984</v>
      </c>
      <c r="F3483" s="1">
        <v>5</v>
      </c>
      <c r="G3483">
        <v>1980</v>
      </c>
      <c r="H3483">
        <f>AVERAGEIFS(Table1[value],Table1[IndicatorCode],Table1[[#This Row],[IndicatorCode]])</f>
        <v>7.6894248608534319</v>
      </c>
      <c r="I3483" cm="1">
        <f t="array" ref="I3483">_xlfn.STDEV.P(IF(Table1[IndicatorCode]=Table1[[#This Row],[IndicatorCode]],Table1[value]))</f>
        <v>5.2319501044600996</v>
      </c>
      <c r="J3483">
        <f>(Table1[[#This Row],[value]] - Table1[[#This Row],[mean]]) / Table1[[#This Row],[std_dev]]</f>
        <v>-0.51403870586624445</v>
      </c>
      <c r="K3483">
        <f>AVERAGEIF(Table1[CountryCode],Table1[[#This Row],[CountryCode]],Table1[z-score])</f>
        <v>-0.90374566436467785</v>
      </c>
      <c r="L3483" t="e">
        <f>VLOOKUP(Table1[[#This Row],[CountryCode]],[1]!Table1[#Data],4,FALSE)</f>
        <v>#REF!</v>
      </c>
    </row>
    <row r="3484" spans="1:12" hidden="1" x14ac:dyDescent="0.3">
      <c r="A3484" t="s">
        <v>73</v>
      </c>
      <c r="B3484" t="s">
        <v>74</v>
      </c>
      <c r="C3484" t="s">
        <v>125</v>
      </c>
      <c r="D3484" t="s">
        <v>126</v>
      </c>
      <c r="E3484">
        <v>1985</v>
      </c>
      <c r="F3484" s="1">
        <v>5</v>
      </c>
      <c r="G3484">
        <v>1980</v>
      </c>
      <c r="H3484">
        <f>AVERAGEIFS(Table1[value],Table1[IndicatorCode],Table1[[#This Row],[IndicatorCode]])</f>
        <v>7.6894248608534319</v>
      </c>
      <c r="I3484" cm="1">
        <f t="array" ref="I3484">_xlfn.STDEV.P(IF(Table1[IndicatorCode]=Table1[[#This Row],[IndicatorCode]],Table1[value]))</f>
        <v>5.2319501044600996</v>
      </c>
      <c r="J3484">
        <f>(Table1[[#This Row],[value]] - Table1[[#This Row],[mean]]) / Table1[[#This Row],[std_dev]]</f>
        <v>-0.51403870586624445</v>
      </c>
      <c r="K3484">
        <f>AVERAGEIF(Table1[CountryCode],Table1[[#This Row],[CountryCode]],Table1[z-score])</f>
        <v>-0.90374566436467785</v>
      </c>
      <c r="L3484" t="e">
        <f>VLOOKUP(Table1[[#This Row],[CountryCode]],[1]!Table1[#Data],4,FALSE)</f>
        <v>#REF!</v>
      </c>
    </row>
    <row r="3485" spans="1:12" hidden="1" x14ac:dyDescent="0.3">
      <c r="A3485" t="s">
        <v>73</v>
      </c>
      <c r="B3485" t="s">
        <v>74</v>
      </c>
      <c r="C3485" t="s">
        <v>125</v>
      </c>
      <c r="D3485" t="s">
        <v>126</v>
      </c>
      <c r="E3485">
        <v>1986</v>
      </c>
      <c r="F3485" s="1">
        <v>4</v>
      </c>
      <c r="G3485">
        <v>1980</v>
      </c>
      <c r="H3485">
        <f>AVERAGEIFS(Table1[value],Table1[IndicatorCode],Table1[[#This Row],[IndicatorCode]])</f>
        <v>7.6894248608534319</v>
      </c>
      <c r="I3485" cm="1">
        <f t="array" ref="I3485">_xlfn.STDEV.P(IF(Table1[IndicatorCode]=Table1[[#This Row],[IndicatorCode]],Table1[value]))</f>
        <v>5.2319501044600996</v>
      </c>
      <c r="J3485">
        <f>(Table1[[#This Row],[value]] - Table1[[#This Row],[mean]]) / Table1[[#This Row],[std_dev]]</f>
        <v>-0.7051720271010028</v>
      </c>
      <c r="K3485">
        <f>AVERAGEIF(Table1[CountryCode],Table1[[#This Row],[CountryCode]],Table1[z-score])</f>
        <v>-0.90374566436467785</v>
      </c>
      <c r="L3485" t="e">
        <f>VLOOKUP(Table1[[#This Row],[CountryCode]],[1]!Table1[#Data],4,FALSE)</f>
        <v>#REF!</v>
      </c>
    </row>
    <row r="3486" spans="1:12" hidden="1" x14ac:dyDescent="0.3">
      <c r="A3486" t="s">
        <v>73</v>
      </c>
      <c r="B3486" t="s">
        <v>74</v>
      </c>
      <c r="C3486" t="s">
        <v>125</v>
      </c>
      <c r="D3486" t="s">
        <v>126</v>
      </c>
      <c r="E3486">
        <v>1987</v>
      </c>
      <c r="F3486" s="1">
        <v>5</v>
      </c>
      <c r="G3486">
        <v>1990</v>
      </c>
      <c r="H3486">
        <f>AVERAGEIFS(Table1[value],Table1[IndicatorCode],Table1[[#This Row],[IndicatorCode]])</f>
        <v>7.6894248608534319</v>
      </c>
      <c r="I3486" cm="1">
        <f t="array" ref="I3486">_xlfn.STDEV.P(IF(Table1[IndicatorCode]=Table1[[#This Row],[IndicatorCode]],Table1[value]))</f>
        <v>5.2319501044600996</v>
      </c>
      <c r="J3486">
        <f>(Table1[[#This Row],[value]] - Table1[[#This Row],[mean]]) / Table1[[#This Row],[std_dev]]</f>
        <v>-0.51403870586624445</v>
      </c>
      <c r="K3486">
        <f>AVERAGEIF(Table1[CountryCode],Table1[[#This Row],[CountryCode]],Table1[z-score])</f>
        <v>-0.90374566436467785</v>
      </c>
      <c r="L3486" t="e">
        <f>VLOOKUP(Table1[[#This Row],[CountryCode]],[1]!Table1[#Data],4,FALSE)</f>
        <v>#REF!</v>
      </c>
    </row>
    <row r="3487" spans="1:12" hidden="1" x14ac:dyDescent="0.3">
      <c r="A3487" t="s">
        <v>73</v>
      </c>
      <c r="B3487" t="s">
        <v>74</v>
      </c>
      <c r="C3487" t="s">
        <v>125</v>
      </c>
      <c r="D3487" t="s">
        <v>126</v>
      </c>
      <c r="E3487">
        <v>1988</v>
      </c>
      <c r="F3487" s="1">
        <v>5</v>
      </c>
      <c r="G3487">
        <v>1990</v>
      </c>
      <c r="H3487">
        <f>AVERAGEIFS(Table1[value],Table1[IndicatorCode],Table1[[#This Row],[IndicatorCode]])</f>
        <v>7.6894248608534319</v>
      </c>
      <c r="I3487" cm="1">
        <f t="array" ref="I3487">_xlfn.STDEV.P(IF(Table1[IndicatorCode]=Table1[[#This Row],[IndicatorCode]],Table1[value]))</f>
        <v>5.2319501044600996</v>
      </c>
      <c r="J3487">
        <f>(Table1[[#This Row],[value]] - Table1[[#This Row],[mean]]) / Table1[[#This Row],[std_dev]]</f>
        <v>-0.51403870586624445</v>
      </c>
      <c r="K3487">
        <f>AVERAGEIF(Table1[CountryCode],Table1[[#This Row],[CountryCode]],Table1[z-score])</f>
        <v>-0.90374566436467785</v>
      </c>
      <c r="L3487" t="e">
        <f>VLOOKUP(Table1[[#This Row],[CountryCode]],[1]!Table1[#Data],4,FALSE)</f>
        <v>#REF!</v>
      </c>
    </row>
    <row r="3488" spans="1:12" hidden="1" x14ac:dyDescent="0.3">
      <c r="A3488" t="s">
        <v>73</v>
      </c>
      <c r="B3488" t="s">
        <v>74</v>
      </c>
      <c r="C3488" t="s">
        <v>125</v>
      </c>
      <c r="D3488" t="s">
        <v>126</v>
      </c>
      <c r="E3488">
        <v>1989</v>
      </c>
      <c r="F3488" s="1">
        <v>5</v>
      </c>
      <c r="G3488">
        <v>1990</v>
      </c>
      <c r="H3488">
        <f>AVERAGEIFS(Table1[value],Table1[IndicatorCode],Table1[[#This Row],[IndicatorCode]])</f>
        <v>7.6894248608534319</v>
      </c>
      <c r="I3488" cm="1">
        <f t="array" ref="I3488">_xlfn.STDEV.P(IF(Table1[IndicatorCode]=Table1[[#This Row],[IndicatorCode]],Table1[value]))</f>
        <v>5.2319501044600996</v>
      </c>
      <c r="J3488">
        <f>(Table1[[#This Row],[value]] - Table1[[#This Row],[mean]]) / Table1[[#This Row],[std_dev]]</f>
        <v>-0.51403870586624445</v>
      </c>
      <c r="K3488">
        <f>AVERAGEIF(Table1[CountryCode],Table1[[#This Row],[CountryCode]],Table1[z-score])</f>
        <v>-0.90374566436467785</v>
      </c>
      <c r="L3488" t="e">
        <f>VLOOKUP(Table1[[#This Row],[CountryCode]],[1]!Table1[#Data],4,FALSE)</f>
        <v>#REF!</v>
      </c>
    </row>
    <row r="3489" spans="1:12" hidden="1" x14ac:dyDescent="0.3">
      <c r="A3489" t="s">
        <v>73</v>
      </c>
      <c r="B3489" t="s">
        <v>74</v>
      </c>
      <c r="C3489" t="s">
        <v>125</v>
      </c>
      <c r="D3489" t="s">
        <v>126</v>
      </c>
      <c r="E3489">
        <v>1990</v>
      </c>
      <c r="F3489" s="1">
        <v>5</v>
      </c>
      <c r="G3489">
        <v>1990</v>
      </c>
      <c r="H3489">
        <f>AVERAGEIFS(Table1[value],Table1[IndicatorCode],Table1[[#This Row],[IndicatorCode]])</f>
        <v>7.6894248608534319</v>
      </c>
      <c r="I3489" cm="1">
        <f t="array" ref="I3489">_xlfn.STDEV.P(IF(Table1[IndicatorCode]=Table1[[#This Row],[IndicatorCode]],Table1[value]))</f>
        <v>5.2319501044600996</v>
      </c>
      <c r="J3489">
        <f>(Table1[[#This Row],[value]] - Table1[[#This Row],[mean]]) / Table1[[#This Row],[std_dev]]</f>
        <v>-0.51403870586624445</v>
      </c>
      <c r="K3489">
        <f>AVERAGEIF(Table1[CountryCode],Table1[[#This Row],[CountryCode]],Table1[z-score])</f>
        <v>-0.90374566436467785</v>
      </c>
      <c r="L3489" t="e">
        <f>VLOOKUP(Table1[[#This Row],[CountryCode]],[1]!Table1[#Data],4,FALSE)</f>
        <v>#REF!</v>
      </c>
    </row>
    <row r="3490" spans="1:12" hidden="1" x14ac:dyDescent="0.3">
      <c r="A3490" t="s">
        <v>73</v>
      </c>
      <c r="B3490" t="s">
        <v>74</v>
      </c>
      <c r="C3490" t="s">
        <v>125</v>
      </c>
      <c r="D3490" t="s">
        <v>126</v>
      </c>
      <c r="E3490">
        <v>1991</v>
      </c>
      <c r="F3490" s="1">
        <v>5</v>
      </c>
      <c r="G3490">
        <v>1990</v>
      </c>
      <c r="H3490">
        <f>AVERAGEIFS(Table1[value],Table1[IndicatorCode],Table1[[#This Row],[IndicatorCode]])</f>
        <v>7.6894248608534319</v>
      </c>
      <c r="I3490" cm="1">
        <f t="array" ref="I3490">_xlfn.STDEV.P(IF(Table1[IndicatorCode]=Table1[[#This Row],[IndicatorCode]],Table1[value]))</f>
        <v>5.2319501044600996</v>
      </c>
      <c r="J3490">
        <f>(Table1[[#This Row],[value]] - Table1[[#This Row],[mean]]) / Table1[[#This Row],[std_dev]]</f>
        <v>-0.51403870586624445</v>
      </c>
      <c r="K3490">
        <f>AVERAGEIF(Table1[CountryCode],Table1[[#This Row],[CountryCode]],Table1[z-score])</f>
        <v>-0.90374566436467785</v>
      </c>
      <c r="L3490" t="e">
        <f>VLOOKUP(Table1[[#This Row],[CountryCode]],[1]!Table1[#Data],4,FALSE)</f>
        <v>#REF!</v>
      </c>
    </row>
    <row r="3491" spans="1:12" hidden="1" x14ac:dyDescent="0.3">
      <c r="A3491" t="s">
        <v>73</v>
      </c>
      <c r="B3491" t="s">
        <v>74</v>
      </c>
      <c r="C3491" t="s">
        <v>125</v>
      </c>
      <c r="D3491" t="s">
        <v>126</v>
      </c>
      <c r="E3491">
        <v>1992</v>
      </c>
      <c r="F3491" s="1">
        <v>3</v>
      </c>
      <c r="G3491">
        <v>1990</v>
      </c>
      <c r="H3491">
        <f>AVERAGEIFS(Table1[value],Table1[IndicatorCode],Table1[[#This Row],[IndicatorCode]])</f>
        <v>7.6894248608534319</v>
      </c>
      <c r="I3491" cm="1">
        <f t="array" ref="I3491">_xlfn.STDEV.P(IF(Table1[IndicatorCode]=Table1[[#This Row],[IndicatorCode]],Table1[value]))</f>
        <v>5.2319501044600996</v>
      </c>
      <c r="J3491">
        <f>(Table1[[#This Row],[value]] - Table1[[#This Row],[mean]]) / Table1[[#This Row],[std_dev]]</f>
        <v>-0.89630534833576125</v>
      </c>
      <c r="K3491">
        <f>AVERAGEIF(Table1[CountryCode],Table1[[#This Row],[CountryCode]],Table1[z-score])</f>
        <v>-0.90374566436467785</v>
      </c>
      <c r="L3491" t="e">
        <f>VLOOKUP(Table1[[#This Row],[CountryCode]],[1]!Table1[#Data],4,FALSE)</f>
        <v>#REF!</v>
      </c>
    </row>
    <row r="3492" spans="1:12" hidden="1" x14ac:dyDescent="0.3">
      <c r="A3492" t="s">
        <v>73</v>
      </c>
      <c r="B3492" t="s">
        <v>74</v>
      </c>
      <c r="C3492" t="s">
        <v>125</v>
      </c>
      <c r="D3492" t="s">
        <v>126</v>
      </c>
      <c r="E3492">
        <v>1993</v>
      </c>
      <c r="F3492" s="1">
        <v>2</v>
      </c>
      <c r="G3492">
        <v>1990</v>
      </c>
      <c r="H3492">
        <f>AVERAGEIFS(Table1[value],Table1[IndicatorCode],Table1[[#This Row],[IndicatorCode]])</f>
        <v>7.6894248608534319</v>
      </c>
      <c r="I3492" cm="1">
        <f t="array" ref="I3492">_xlfn.STDEV.P(IF(Table1[IndicatorCode]=Table1[[#This Row],[IndicatorCode]],Table1[value]))</f>
        <v>5.2319501044600996</v>
      </c>
      <c r="J3492">
        <f>(Table1[[#This Row],[value]] - Table1[[#This Row],[mean]]) / Table1[[#This Row],[std_dev]]</f>
        <v>-1.0874386695705196</v>
      </c>
      <c r="K3492">
        <f>AVERAGEIF(Table1[CountryCode],Table1[[#This Row],[CountryCode]],Table1[z-score])</f>
        <v>-0.90374566436467785</v>
      </c>
      <c r="L3492" t="e">
        <f>VLOOKUP(Table1[[#This Row],[CountryCode]],[1]!Table1[#Data],4,FALSE)</f>
        <v>#REF!</v>
      </c>
    </row>
    <row r="3493" spans="1:12" hidden="1" x14ac:dyDescent="0.3">
      <c r="A3493" t="s">
        <v>73</v>
      </c>
      <c r="B3493" t="s">
        <v>74</v>
      </c>
      <c r="C3493" t="s">
        <v>125</v>
      </c>
      <c r="D3493" t="s">
        <v>126</v>
      </c>
      <c r="E3493">
        <v>1994</v>
      </c>
      <c r="F3493" s="1">
        <v>1</v>
      </c>
      <c r="G3493">
        <v>1990</v>
      </c>
      <c r="H3493">
        <f>AVERAGEIFS(Table1[value],Table1[IndicatorCode],Table1[[#This Row],[IndicatorCode]])</f>
        <v>7.6894248608534319</v>
      </c>
      <c r="I3493" cm="1">
        <f t="array" ref="I3493">_xlfn.STDEV.P(IF(Table1[IndicatorCode]=Table1[[#This Row],[IndicatorCode]],Table1[value]))</f>
        <v>5.2319501044600996</v>
      </c>
      <c r="J3493">
        <f>(Table1[[#This Row],[value]] - Table1[[#This Row],[mean]]) / Table1[[#This Row],[std_dev]]</f>
        <v>-1.2785719908052779</v>
      </c>
      <c r="K3493">
        <f>AVERAGEIF(Table1[CountryCode],Table1[[#This Row],[CountryCode]],Table1[z-score])</f>
        <v>-0.90374566436467785</v>
      </c>
      <c r="L3493" t="e">
        <f>VLOOKUP(Table1[[#This Row],[CountryCode]],[1]!Table1[#Data],4,FALSE)</f>
        <v>#REF!</v>
      </c>
    </row>
    <row r="3494" spans="1:12" hidden="1" x14ac:dyDescent="0.3">
      <c r="A3494" t="s">
        <v>73</v>
      </c>
      <c r="B3494" t="s">
        <v>74</v>
      </c>
      <c r="C3494" t="s">
        <v>125</v>
      </c>
      <c r="D3494" t="s">
        <v>126</v>
      </c>
      <c r="E3494">
        <v>1995</v>
      </c>
      <c r="F3494" s="1">
        <v>1</v>
      </c>
      <c r="G3494">
        <v>1990</v>
      </c>
      <c r="H3494">
        <f>AVERAGEIFS(Table1[value],Table1[IndicatorCode],Table1[[#This Row],[IndicatorCode]])</f>
        <v>7.6894248608534319</v>
      </c>
      <c r="I3494" cm="1">
        <f t="array" ref="I3494">_xlfn.STDEV.P(IF(Table1[IndicatorCode]=Table1[[#This Row],[IndicatorCode]],Table1[value]))</f>
        <v>5.2319501044600996</v>
      </c>
      <c r="J3494">
        <f>(Table1[[#This Row],[value]] - Table1[[#This Row],[mean]]) / Table1[[#This Row],[std_dev]]</f>
        <v>-1.2785719908052779</v>
      </c>
      <c r="K3494">
        <f>AVERAGEIF(Table1[CountryCode],Table1[[#This Row],[CountryCode]],Table1[z-score])</f>
        <v>-0.90374566436467785</v>
      </c>
      <c r="L3494" t="e">
        <f>VLOOKUP(Table1[[#This Row],[CountryCode]],[1]!Table1[#Data],4,FALSE)</f>
        <v>#REF!</v>
      </c>
    </row>
    <row r="3495" spans="1:12" hidden="1" x14ac:dyDescent="0.3">
      <c r="A3495" t="s">
        <v>73</v>
      </c>
      <c r="B3495" t="s">
        <v>74</v>
      </c>
      <c r="C3495" t="s">
        <v>125</v>
      </c>
      <c r="D3495" t="s">
        <v>126</v>
      </c>
      <c r="E3495">
        <v>1996</v>
      </c>
      <c r="F3495" s="1">
        <v>1</v>
      </c>
      <c r="G3495">
        <v>1990</v>
      </c>
      <c r="H3495">
        <f>AVERAGEIFS(Table1[value],Table1[IndicatorCode],Table1[[#This Row],[IndicatorCode]])</f>
        <v>7.6894248608534319</v>
      </c>
      <c r="I3495" cm="1">
        <f t="array" ref="I3495">_xlfn.STDEV.P(IF(Table1[IndicatorCode]=Table1[[#This Row],[IndicatorCode]],Table1[value]))</f>
        <v>5.2319501044600996</v>
      </c>
      <c r="J3495">
        <f>(Table1[[#This Row],[value]] - Table1[[#This Row],[mean]]) / Table1[[#This Row],[std_dev]]</f>
        <v>-1.2785719908052779</v>
      </c>
      <c r="K3495">
        <f>AVERAGEIF(Table1[CountryCode],Table1[[#This Row],[CountryCode]],Table1[z-score])</f>
        <v>-0.90374566436467785</v>
      </c>
      <c r="L3495" t="e">
        <f>VLOOKUP(Table1[[#This Row],[CountryCode]],[1]!Table1[#Data],4,FALSE)</f>
        <v>#REF!</v>
      </c>
    </row>
    <row r="3496" spans="1:12" hidden="1" x14ac:dyDescent="0.3">
      <c r="A3496" t="s">
        <v>73</v>
      </c>
      <c r="B3496" t="s">
        <v>74</v>
      </c>
      <c r="C3496" t="s">
        <v>125</v>
      </c>
      <c r="D3496" t="s">
        <v>126</v>
      </c>
      <c r="E3496">
        <v>1997</v>
      </c>
      <c r="F3496" s="1">
        <v>1</v>
      </c>
      <c r="G3496">
        <v>2000</v>
      </c>
      <c r="H3496">
        <f>AVERAGEIFS(Table1[value],Table1[IndicatorCode],Table1[[#This Row],[IndicatorCode]])</f>
        <v>7.6894248608534319</v>
      </c>
      <c r="I3496" cm="1">
        <f t="array" ref="I3496">_xlfn.STDEV.P(IF(Table1[IndicatorCode]=Table1[[#This Row],[IndicatorCode]],Table1[value]))</f>
        <v>5.2319501044600996</v>
      </c>
      <c r="J3496">
        <f>(Table1[[#This Row],[value]] - Table1[[#This Row],[mean]]) / Table1[[#This Row],[std_dev]]</f>
        <v>-1.2785719908052779</v>
      </c>
      <c r="K3496">
        <f>AVERAGEIF(Table1[CountryCode],Table1[[#This Row],[CountryCode]],Table1[z-score])</f>
        <v>-0.90374566436467785</v>
      </c>
      <c r="L3496" t="e">
        <f>VLOOKUP(Table1[[#This Row],[CountryCode]],[1]!Table1[#Data],4,FALSE)</f>
        <v>#REF!</v>
      </c>
    </row>
    <row r="3497" spans="1:12" hidden="1" x14ac:dyDescent="0.3">
      <c r="A3497" t="s">
        <v>73</v>
      </c>
      <c r="B3497" t="s">
        <v>74</v>
      </c>
      <c r="C3497" t="s">
        <v>125</v>
      </c>
      <c r="D3497" t="s">
        <v>126</v>
      </c>
      <c r="E3497">
        <v>1998</v>
      </c>
      <c r="F3497" s="1">
        <v>1</v>
      </c>
      <c r="G3497">
        <v>2000</v>
      </c>
      <c r="H3497">
        <f>AVERAGEIFS(Table1[value],Table1[IndicatorCode],Table1[[#This Row],[IndicatorCode]])</f>
        <v>7.6894248608534319</v>
      </c>
      <c r="I3497" cm="1">
        <f t="array" ref="I3497">_xlfn.STDEV.P(IF(Table1[IndicatorCode]=Table1[[#This Row],[IndicatorCode]],Table1[value]))</f>
        <v>5.2319501044600996</v>
      </c>
      <c r="J3497">
        <f>(Table1[[#This Row],[value]] - Table1[[#This Row],[mean]]) / Table1[[#This Row],[std_dev]]</f>
        <v>-1.2785719908052779</v>
      </c>
      <c r="K3497">
        <f>AVERAGEIF(Table1[CountryCode],Table1[[#This Row],[CountryCode]],Table1[z-score])</f>
        <v>-0.90374566436467785</v>
      </c>
      <c r="L3497" t="e">
        <f>VLOOKUP(Table1[[#This Row],[CountryCode]],[1]!Table1[#Data],4,FALSE)</f>
        <v>#REF!</v>
      </c>
    </row>
    <row r="3498" spans="1:12" hidden="1" x14ac:dyDescent="0.3">
      <c r="A3498" t="s">
        <v>73</v>
      </c>
      <c r="B3498" t="s">
        <v>74</v>
      </c>
      <c r="C3498" t="s">
        <v>125</v>
      </c>
      <c r="D3498" t="s">
        <v>126</v>
      </c>
      <c r="E3498">
        <v>1999</v>
      </c>
      <c r="F3498" s="1">
        <v>1</v>
      </c>
      <c r="G3498">
        <v>2000</v>
      </c>
      <c r="H3498">
        <f>AVERAGEIFS(Table1[value],Table1[IndicatorCode],Table1[[#This Row],[IndicatorCode]])</f>
        <v>7.6894248608534319</v>
      </c>
      <c r="I3498" cm="1">
        <f t="array" ref="I3498">_xlfn.STDEV.P(IF(Table1[IndicatorCode]=Table1[[#This Row],[IndicatorCode]],Table1[value]))</f>
        <v>5.2319501044600996</v>
      </c>
      <c r="J3498">
        <f>(Table1[[#This Row],[value]] - Table1[[#This Row],[mean]]) / Table1[[#This Row],[std_dev]]</f>
        <v>-1.2785719908052779</v>
      </c>
      <c r="K3498">
        <f>AVERAGEIF(Table1[CountryCode],Table1[[#This Row],[CountryCode]],Table1[z-score])</f>
        <v>-0.90374566436467785</v>
      </c>
      <c r="L3498" t="e">
        <f>VLOOKUP(Table1[[#This Row],[CountryCode]],[1]!Table1[#Data],4,FALSE)</f>
        <v>#REF!</v>
      </c>
    </row>
    <row r="3499" spans="1:12" hidden="1" x14ac:dyDescent="0.3">
      <c r="A3499" t="s">
        <v>73</v>
      </c>
      <c r="B3499" t="s">
        <v>74</v>
      </c>
      <c r="C3499" t="s">
        <v>125</v>
      </c>
      <c r="D3499" t="s">
        <v>126</v>
      </c>
      <c r="E3499">
        <v>2000</v>
      </c>
      <c r="F3499" s="1">
        <v>1</v>
      </c>
      <c r="G3499">
        <v>2000</v>
      </c>
      <c r="H3499">
        <f>AVERAGEIFS(Table1[value],Table1[IndicatorCode],Table1[[#This Row],[IndicatorCode]])</f>
        <v>7.6894248608534319</v>
      </c>
      <c r="I3499" cm="1">
        <f t="array" ref="I3499">_xlfn.STDEV.P(IF(Table1[IndicatorCode]=Table1[[#This Row],[IndicatorCode]],Table1[value]))</f>
        <v>5.2319501044600996</v>
      </c>
      <c r="J3499">
        <f>(Table1[[#This Row],[value]] - Table1[[#This Row],[mean]]) / Table1[[#This Row],[std_dev]]</f>
        <v>-1.2785719908052779</v>
      </c>
      <c r="K3499">
        <f>AVERAGEIF(Table1[CountryCode],Table1[[#This Row],[CountryCode]],Table1[z-score])</f>
        <v>-0.90374566436467785</v>
      </c>
      <c r="L3499" t="e">
        <f>VLOOKUP(Table1[[#This Row],[CountryCode]],[1]!Table1[#Data],4,FALSE)</f>
        <v>#REF!</v>
      </c>
    </row>
    <row r="3500" spans="1:12" hidden="1" x14ac:dyDescent="0.3">
      <c r="A3500" t="s">
        <v>73</v>
      </c>
      <c r="B3500" t="s">
        <v>74</v>
      </c>
      <c r="C3500" t="s">
        <v>125</v>
      </c>
      <c r="D3500" t="s">
        <v>126</v>
      </c>
      <c r="E3500">
        <v>2001</v>
      </c>
      <c r="F3500" s="1">
        <v>1</v>
      </c>
      <c r="G3500">
        <v>2000</v>
      </c>
      <c r="H3500">
        <f>AVERAGEIFS(Table1[value],Table1[IndicatorCode],Table1[[#This Row],[IndicatorCode]])</f>
        <v>7.6894248608534319</v>
      </c>
      <c r="I3500" cm="1">
        <f t="array" ref="I3500">_xlfn.STDEV.P(IF(Table1[IndicatorCode]=Table1[[#This Row],[IndicatorCode]],Table1[value]))</f>
        <v>5.2319501044600996</v>
      </c>
      <c r="J3500">
        <f>(Table1[[#This Row],[value]] - Table1[[#This Row],[mean]]) / Table1[[#This Row],[std_dev]]</f>
        <v>-1.2785719908052779</v>
      </c>
      <c r="K3500">
        <f>AVERAGEIF(Table1[CountryCode],Table1[[#This Row],[CountryCode]],Table1[z-score])</f>
        <v>-0.90374566436467785</v>
      </c>
      <c r="L3500" t="e">
        <f>VLOOKUP(Table1[[#This Row],[CountryCode]],[1]!Table1[#Data],4,FALSE)</f>
        <v>#REF!</v>
      </c>
    </row>
    <row r="3501" spans="1:12" hidden="1" x14ac:dyDescent="0.3">
      <c r="A3501" t="s">
        <v>73</v>
      </c>
      <c r="B3501" t="s">
        <v>74</v>
      </c>
      <c r="C3501" t="s">
        <v>125</v>
      </c>
      <c r="D3501" t="s">
        <v>126</v>
      </c>
      <c r="E3501">
        <v>2002</v>
      </c>
      <c r="F3501" s="1">
        <v>1</v>
      </c>
      <c r="G3501">
        <v>2000</v>
      </c>
      <c r="H3501">
        <f>AVERAGEIFS(Table1[value],Table1[IndicatorCode],Table1[[#This Row],[IndicatorCode]])</f>
        <v>7.6894248608534319</v>
      </c>
      <c r="I3501" cm="1">
        <f t="array" ref="I3501">_xlfn.STDEV.P(IF(Table1[IndicatorCode]=Table1[[#This Row],[IndicatorCode]],Table1[value]))</f>
        <v>5.2319501044600996</v>
      </c>
      <c r="J3501">
        <f>(Table1[[#This Row],[value]] - Table1[[#This Row],[mean]]) / Table1[[#This Row],[std_dev]]</f>
        <v>-1.2785719908052779</v>
      </c>
      <c r="K3501">
        <f>AVERAGEIF(Table1[CountryCode],Table1[[#This Row],[CountryCode]],Table1[z-score])</f>
        <v>-0.90374566436467785</v>
      </c>
      <c r="L3501" t="e">
        <f>VLOOKUP(Table1[[#This Row],[CountryCode]],[1]!Table1[#Data],4,FALSE)</f>
        <v>#REF!</v>
      </c>
    </row>
    <row r="3502" spans="1:12" hidden="1" x14ac:dyDescent="0.3">
      <c r="A3502" t="s">
        <v>73</v>
      </c>
      <c r="B3502" t="s">
        <v>74</v>
      </c>
      <c r="C3502" t="s">
        <v>125</v>
      </c>
      <c r="D3502" t="s">
        <v>126</v>
      </c>
      <c r="E3502">
        <v>2003</v>
      </c>
      <c r="F3502" s="1">
        <v>1</v>
      </c>
      <c r="G3502">
        <v>2000</v>
      </c>
      <c r="H3502">
        <f>AVERAGEIFS(Table1[value],Table1[IndicatorCode],Table1[[#This Row],[IndicatorCode]])</f>
        <v>7.6894248608534319</v>
      </c>
      <c r="I3502" cm="1">
        <f t="array" ref="I3502">_xlfn.STDEV.P(IF(Table1[IndicatorCode]=Table1[[#This Row],[IndicatorCode]],Table1[value]))</f>
        <v>5.2319501044600996</v>
      </c>
      <c r="J3502">
        <f>(Table1[[#This Row],[value]] - Table1[[#This Row],[mean]]) / Table1[[#This Row],[std_dev]]</f>
        <v>-1.2785719908052779</v>
      </c>
      <c r="K3502">
        <f>AVERAGEIF(Table1[CountryCode],Table1[[#This Row],[CountryCode]],Table1[z-score])</f>
        <v>-0.90374566436467785</v>
      </c>
      <c r="L3502" t="e">
        <f>VLOOKUP(Table1[[#This Row],[CountryCode]],[1]!Table1[#Data],4,FALSE)</f>
        <v>#REF!</v>
      </c>
    </row>
    <row r="3503" spans="1:12" hidden="1" x14ac:dyDescent="0.3">
      <c r="A3503" t="s">
        <v>73</v>
      </c>
      <c r="B3503" t="s">
        <v>74</v>
      </c>
      <c r="C3503" t="s">
        <v>125</v>
      </c>
      <c r="D3503" t="s">
        <v>126</v>
      </c>
      <c r="E3503">
        <v>2004</v>
      </c>
      <c r="F3503" s="1">
        <v>1</v>
      </c>
      <c r="G3503">
        <v>2000</v>
      </c>
      <c r="H3503">
        <f>AVERAGEIFS(Table1[value],Table1[IndicatorCode],Table1[[#This Row],[IndicatorCode]])</f>
        <v>7.6894248608534319</v>
      </c>
      <c r="I3503" cm="1">
        <f t="array" ref="I3503">_xlfn.STDEV.P(IF(Table1[IndicatorCode]=Table1[[#This Row],[IndicatorCode]],Table1[value]))</f>
        <v>5.2319501044600996</v>
      </c>
      <c r="J3503">
        <f>(Table1[[#This Row],[value]] - Table1[[#This Row],[mean]]) / Table1[[#This Row],[std_dev]]</f>
        <v>-1.2785719908052779</v>
      </c>
      <c r="K3503">
        <f>AVERAGEIF(Table1[CountryCode],Table1[[#This Row],[CountryCode]],Table1[z-score])</f>
        <v>-0.90374566436467785</v>
      </c>
      <c r="L3503" t="e">
        <f>VLOOKUP(Table1[[#This Row],[CountryCode]],[1]!Table1[#Data],4,FALSE)</f>
        <v>#REF!</v>
      </c>
    </row>
    <row r="3504" spans="1:12" hidden="1" x14ac:dyDescent="0.3">
      <c r="A3504" t="s">
        <v>73</v>
      </c>
      <c r="B3504" t="s">
        <v>74</v>
      </c>
      <c r="C3504" t="s">
        <v>125</v>
      </c>
      <c r="D3504" t="s">
        <v>126</v>
      </c>
      <c r="E3504">
        <v>2005</v>
      </c>
      <c r="F3504" s="1">
        <v>1</v>
      </c>
      <c r="G3504">
        <v>2000</v>
      </c>
      <c r="H3504">
        <f>AVERAGEIFS(Table1[value],Table1[IndicatorCode],Table1[[#This Row],[IndicatorCode]])</f>
        <v>7.6894248608534319</v>
      </c>
      <c r="I3504" cm="1">
        <f t="array" ref="I3504">_xlfn.STDEV.P(IF(Table1[IndicatorCode]=Table1[[#This Row],[IndicatorCode]],Table1[value]))</f>
        <v>5.2319501044600996</v>
      </c>
      <c r="J3504">
        <f>(Table1[[#This Row],[value]] - Table1[[#This Row],[mean]]) / Table1[[#This Row],[std_dev]]</f>
        <v>-1.2785719908052779</v>
      </c>
      <c r="K3504">
        <f>AVERAGEIF(Table1[CountryCode],Table1[[#This Row],[CountryCode]],Table1[z-score])</f>
        <v>-0.90374566436467785</v>
      </c>
      <c r="L3504" t="e">
        <f>VLOOKUP(Table1[[#This Row],[CountryCode]],[1]!Table1[#Data],4,FALSE)</f>
        <v>#REF!</v>
      </c>
    </row>
    <row r="3505" spans="1:12" hidden="1" x14ac:dyDescent="0.3">
      <c r="A3505" t="s">
        <v>73</v>
      </c>
      <c r="B3505" t="s">
        <v>74</v>
      </c>
      <c r="C3505" t="s">
        <v>125</v>
      </c>
      <c r="D3505" t="s">
        <v>126</v>
      </c>
      <c r="E3505">
        <v>2006</v>
      </c>
      <c r="F3505" s="1">
        <v>1</v>
      </c>
      <c r="G3505">
        <v>2000</v>
      </c>
      <c r="H3505">
        <f>AVERAGEIFS(Table1[value],Table1[IndicatorCode],Table1[[#This Row],[IndicatorCode]])</f>
        <v>7.6894248608534319</v>
      </c>
      <c r="I3505" cm="1">
        <f t="array" ref="I3505">_xlfn.STDEV.P(IF(Table1[IndicatorCode]=Table1[[#This Row],[IndicatorCode]],Table1[value]))</f>
        <v>5.2319501044600996</v>
      </c>
      <c r="J3505">
        <f>(Table1[[#This Row],[value]] - Table1[[#This Row],[mean]]) / Table1[[#This Row],[std_dev]]</f>
        <v>-1.2785719908052779</v>
      </c>
      <c r="K3505">
        <f>AVERAGEIF(Table1[CountryCode],Table1[[#This Row],[CountryCode]],Table1[z-score])</f>
        <v>-0.90374566436467785</v>
      </c>
      <c r="L3505" t="e">
        <f>VLOOKUP(Table1[[#This Row],[CountryCode]],[1]!Table1[#Data],4,FALSE)</f>
        <v>#REF!</v>
      </c>
    </row>
    <row r="3506" spans="1:12" hidden="1" x14ac:dyDescent="0.3">
      <c r="A3506" t="s">
        <v>73</v>
      </c>
      <c r="B3506" t="s">
        <v>74</v>
      </c>
      <c r="C3506" t="s">
        <v>125</v>
      </c>
      <c r="D3506" t="s">
        <v>126</v>
      </c>
      <c r="E3506">
        <v>2007</v>
      </c>
      <c r="F3506" s="1">
        <v>1</v>
      </c>
      <c r="G3506">
        <v>2010</v>
      </c>
      <c r="H3506">
        <f>AVERAGEIFS(Table1[value],Table1[IndicatorCode],Table1[[#This Row],[IndicatorCode]])</f>
        <v>7.6894248608534319</v>
      </c>
      <c r="I3506" cm="1">
        <f t="array" ref="I3506">_xlfn.STDEV.P(IF(Table1[IndicatorCode]=Table1[[#This Row],[IndicatorCode]],Table1[value]))</f>
        <v>5.2319501044600996</v>
      </c>
      <c r="J3506">
        <f>(Table1[[#This Row],[value]] - Table1[[#This Row],[mean]]) / Table1[[#This Row],[std_dev]]</f>
        <v>-1.2785719908052779</v>
      </c>
      <c r="K3506">
        <f>AVERAGEIF(Table1[CountryCode],Table1[[#This Row],[CountryCode]],Table1[z-score])</f>
        <v>-0.90374566436467785</v>
      </c>
      <c r="L3506" t="e">
        <f>VLOOKUP(Table1[[#This Row],[CountryCode]],[1]!Table1[#Data],4,FALSE)</f>
        <v>#REF!</v>
      </c>
    </row>
    <row r="3507" spans="1:12" hidden="1" x14ac:dyDescent="0.3">
      <c r="A3507" t="s">
        <v>73</v>
      </c>
      <c r="B3507" t="s">
        <v>74</v>
      </c>
      <c r="C3507" t="s">
        <v>125</v>
      </c>
      <c r="D3507" t="s">
        <v>126</v>
      </c>
      <c r="E3507">
        <v>2008</v>
      </c>
      <c r="F3507" s="1">
        <v>1</v>
      </c>
      <c r="G3507">
        <v>2010</v>
      </c>
      <c r="H3507">
        <f>AVERAGEIFS(Table1[value],Table1[IndicatorCode],Table1[[#This Row],[IndicatorCode]])</f>
        <v>7.6894248608534319</v>
      </c>
      <c r="I3507" cm="1">
        <f t="array" ref="I3507">_xlfn.STDEV.P(IF(Table1[IndicatorCode]=Table1[[#This Row],[IndicatorCode]],Table1[value]))</f>
        <v>5.2319501044600996</v>
      </c>
      <c r="J3507">
        <f>(Table1[[#This Row],[value]] - Table1[[#This Row],[mean]]) / Table1[[#This Row],[std_dev]]</f>
        <v>-1.2785719908052779</v>
      </c>
      <c r="K3507">
        <f>AVERAGEIF(Table1[CountryCode],Table1[[#This Row],[CountryCode]],Table1[z-score])</f>
        <v>-0.90374566436467785</v>
      </c>
      <c r="L3507" t="e">
        <f>VLOOKUP(Table1[[#This Row],[CountryCode]],[1]!Table1[#Data],4,FALSE)</f>
        <v>#REF!</v>
      </c>
    </row>
    <row r="3508" spans="1:12" hidden="1" x14ac:dyDescent="0.3">
      <c r="A3508" t="s">
        <v>73</v>
      </c>
      <c r="B3508" t="s">
        <v>74</v>
      </c>
      <c r="C3508" t="s">
        <v>125</v>
      </c>
      <c r="D3508" t="s">
        <v>126</v>
      </c>
      <c r="E3508">
        <v>2009</v>
      </c>
      <c r="F3508" s="1">
        <v>1</v>
      </c>
      <c r="G3508">
        <v>2010</v>
      </c>
      <c r="H3508">
        <f>AVERAGEIFS(Table1[value],Table1[IndicatorCode],Table1[[#This Row],[IndicatorCode]])</f>
        <v>7.6894248608534319</v>
      </c>
      <c r="I3508" cm="1">
        <f t="array" ref="I3508">_xlfn.STDEV.P(IF(Table1[IndicatorCode]=Table1[[#This Row],[IndicatorCode]],Table1[value]))</f>
        <v>5.2319501044600996</v>
      </c>
      <c r="J3508">
        <f>(Table1[[#This Row],[value]] - Table1[[#This Row],[mean]]) / Table1[[#This Row],[std_dev]]</f>
        <v>-1.2785719908052779</v>
      </c>
      <c r="K3508">
        <f>AVERAGEIF(Table1[CountryCode],Table1[[#This Row],[CountryCode]],Table1[z-score])</f>
        <v>-0.90374566436467785</v>
      </c>
      <c r="L3508" t="e">
        <f>VLOOKUP(Table1[[#This Row],[CountryCode]],[1]!Table1[#Data],4,FALSE)</f>
        <v>#REF!</v>
      </c>
    </row>
    <row r="3509" spans="1:12" hidden="1" x14ac:dyDescent="0.3">
      <c r="A3509" t="s">
        <v>73</v>
      </c>
      <c r="B3509" t="s">
        <v>74</v>
      </c>
      <c r="C3509" t="s">
        <v>125</v>
      </c>
      <c r="D3509" t="s">
        <v>126</v>
      </c>
      <c r="E3509">
        <v>2010</v>
      </c>
      <c r="F3509" s="1">
        <v>1</v>
      </c>
      <c r="G3509">
        <v>2010</v>
      </c>
      <c r="H3509">
        <f>AVERAGEIFS(Table1[value],Table1[IndicatorCode],Table1[[#This Row],[IndicatorCode]])</f>
        <v>7.6894248608534319</v>
      </c>
      <c r="I3509" cm="1">
        <f t="array" ref="I3509">_xlfn.STDEV.P(IF(Table1[IndicatorCode]=Table1[[#This Row],[IndicatorCode]],Table1[value]))</f>
        <v>5.2319501044600996</v>
      </c>
      <c r="J3509">
        <f>(Table1[[#This Row],[value]] - Table1[[#This Row],[mean]]) / Table1[[#This Row],[std_dev]]</f>
        <v>-1.2785719908052779</v>
      </c>
      <c r="K3509">
        <f>AVERAGEIF(Table1[CountryCode],Table1[[#This Row],[CountryCode]],Table1[z-score])</f>
        <v>-0.90374566436467785</v>
      </c>
      <c r="L3509" t="e">
        <f>VLOOKUP(Table1[[#This Row],[CountryCode]],[1]!Table1[#Data],4,FALSE)</f>
        <v>#REF!</v>
      </c>
    </row>
    <row r="3510" spans="1:12" hidden="1" x14ac:dyDescent="0.3">
      <c r="A3510" t="s">
        <v>73</v>
      </c>
      <c r="B3510" t="s">
        <v>74</v>
      </c>
      <c r="C3510" t="s">
        <v>125</v>
      </c>
      <c r="D3510" t="s">
        <v>126</v>
      </c>
      <c r="E3510">
        <v>2011</v>
      </c>
      <c r="F3510" s="1">
        <v>1</v>
      </c>
      <c r="G3510">
        <v>2010</v>
      </c>
      <c r="H3510">
        <f>AVERAGEIFS(Table1[value],Table1[IndicatorCode],Table1[[#This Row],[IndicatorCode]])</f>
        <v>7.6894248608534319</v>
      </c>
      <c r="I3510" cm="1">
        <f t="array" ref="I3510">_xlfn.STDEV.P(IF(Table1[IndicatorCode]=Table1[[#This Row],[IndicatorCode]],Table1[value]))</f>
        <v>5.2319501044600996</v>
      </c>
      <c r="J3510">
        <f>(Table1[[#This Row],[value]] - Table1[[#This Row],[mean]]) / Table1[[#This Row],[std_dev]]</f>
        <v>-1.2785719908052779</v>
      </c>
      <c r="K3510">
        <f>AVERAGEIF(Table1[CountryCode],Table1[[#This Row],[CountryCode]],Table1[z-score])</f>
        <v>-0.90374566436467785</v>
      </c>
      <c r="L3510" t="e">
        <f>VLOOKUP(Table1[[#This Row],[CountryCode]],[1]!Table1[#Data],4,FALSE)</f>
        <v>#REF!</v>
      </c>
    </row>
    <row r="3511" spans="1:12" hidden="1" x14ac:dyDescent="0.3">
      <c r="A3511" t="s">
        <v>73</v>
      </c>
      <c r="B3511" t="s">
        <v>74</v>
      </c>
      <c r="C3511" t="s">
        <v>125</v>
      </c>
      <c r="D3511" t="s">
        <v>126</v>
      </c>
      <c r="E3511">
        <v>2012</v>
      </c>
      <c r="F3511" s="1">
        <v>2</v>
      </c>
      <c r="G3511">
        <v>2010</v>
      </c>
      <c r="H3511">
        <f>AVERAGEIFS(Table1[value],Table1[IndicatorCode],Table1[[#This Row],[IndicatorCode]])</f>
        <v>7.6894248608534319</v>
      </c>
      <c r="I3511" cm="1">
        <f t="array" ref="I3511">_xlfn.STDEV.P(IF(Table1[IndicatorCode]=Table1[[#This Row],[IndicatorCode]],Table1[value]))</f>
        <v>5.2319501044600996</v>
      </c>
      <c r="J3511">
        <f>(Table1[[#This Row],[value]] - Table1[[#This Row],[mean]]) / Table1[[#This Row],[std_dev]]</f>
        <v>-1.0874386695705196</v>
      </c>
      <c r="K3511">
        <f>AVERAGEIF(Table1[CountryCode],Table1[[#This Row],[CountryCode]],Table1[z-score])</f>
        <v>-0.90374566436467785</v>
      </c>
      <c r="L3511" t="e">
        <f>VLOOKUP(Table1[[#This Row],[CountryCode]],[1]!Table1[#Data],4,FALSE)</f>
        <v>#REF!</v>
      </c>
    </row>
    <row r="3512" spans="1:12" hidden="1" x14ac:dyDescent="0.3">
      <c r="A3512" t="s">
        <v>73</v>
      </c>
      <c r="B3512" t="s">
        <v>74</v>
      </c>
      <c r="C3512" t="s">
        <v>125</v>
      </c>
      <c r="D3512" t="s">
        <v>126</v>
      </c>
      <c r="E3512">
        <v>2013</v>
      </c>
      <c r="F3512" s="1">
        <v>2</v>
      </c>
      <c r="G3512">
        <v>2010</v>
      </c>
      <c r="H3512">
        <f>AVERAGEIFS(Table1[value],Table1[IndicatorCode],Table1[[#This Row],[IndicatorCode]])</f>
        <v>7.6894248608534319</v>
      </c>
      <c r="I3512" cm="1">
        <f t="array" ref="I3512">_xlfn.STDEV.P(IF(Table1[IndicatorCode]=Table1[[#This Row],[IndicatorCode]],Table1[value]))</f>
        <v>5.2319501044600996</v>
      </c>
      <c r="J3512">
        <f>(Table1[[#This Row],[value]] - Table1[[#This Row],[mean]]) / Table1[[#This Row],[std_dev]]</f>
        <v>-1.0874386695705196</v>
      </c>
      <c r="K3512">
        <f>AVERAGEIF(Table1[CountryCode],Table1[[#This Row],[CountryCode]],Table1[z-score])</f>
        <v>-0.90374566436467785</v>
      </c>
      <c r="L3512" t="e">
        <f>VLOOKUP(Table1[[#This Row],[CountryCode]],[1]!Table1[#Data],4,FALSE)</f>
        <v>#REF!</v>
      </c>
    </row>
    <row r="3513" spans="1:12" hidden="1" x14ac:dyDescent="0.3">
      <c r="A3513" t="s">
        <v>73</v>
      </c>
      <c r="B3513" t="s">
        <v>74</v>
      </c>
      <c r="C3513" t="s">
        <v>125</v>
      </c>
      <c r="D3513" t="s">
        <v>126</v>
      </c>
      <c r="E3513">
        <v>2014</v>
      </c>
      <c r="F3513" s="1">
        <v>2</v>
      </c>
      <c r="G3513">
        <v>2010</v>
      </c>
      <c r="H3513">
        <f>AVERAGEIFS(Table1[value],Table1[IndicatorCode],Table1[[#This Row],[IndicatorCode]])</f>
        <v>7.6894248608534319</v>
      </c>
      <c r="I3513" cm="1">
        <f t="array" ref="I3513">_xlfn.STDEV.P(IF(Table1[IndicatorCode]=Table1[[#This Row],[IndicatorCode]],Table1[value]))</f>
        <v>5.2319501044600996</v>
      </c>
      <c r="J3513">
        <f>(Table1[[#This Row],[value]] - Table1[[#This Row],[mean]]) / Table1[[#This Row],[std_dev]]</f>
        <v>-1.0874386695705196</v>
      </c>
      <c r="K3513">
        <f>AVERAGEIF(Table1[CountryCode],Table1[[#This Row],[CountryCode]],Table1[z-score])</f>
        <v>-0.90374566436467785</v>
      </c>
      <c r="L3513" t="e">
        <f>VLOOKUP(Table1[[#This Row],[CountryCode]],[1]!Table1[#Data],4,FALSE)</f>
        <v>#REF!</v>
      </c>
    </row>
    <row r="3514" spans="1:12" hidden="1" x14ac:dyDescent="0.3">
      <c r="A3514" t="s">
        <v>73</v>
      </c>
      <c r="B3514" t="s">
        <v>74</v>
      </c>
      <c r="C3514" t="s">
        <v>125</v>
      </c>
      <c r="D3514" t="s">
        <v>126</v>
      </c>
      <c r="E3514">
        <v>2015</v>
      </c>
      <c r="F3514" s="1">
        <v>2</v>
      </c>
      <c r="G3514">
        <v>2010</v>
      </c>
      <c r="H3514">
        <f>AVERAGEIFS(Table1[value],Table1[IndicatorCode],Table1[[#This Row],[IndicatorCode]])</f>
        <v>7.6894248608534319</v>
      </c>
      <c r="I3514" cm="1">
        <f t="array" ref="I3514">_xlfn.STDEV.P(IF(Table1[IndicatorCode]=Table1[[#This Row],[IndicatorCode]],Table1[value]))</f>
        <v>5.2319501044600996</v>
      </c>
      <c r="J3514">
        <f>(Table1[[#This Row],[value]] - Table1[[#This Row],[mean]]) / Table1[[#This Row],[std_dev]]</f>
        <v>-1.0874386695705196</v>
      </c>
      <c r="K3514">
        <f>AVERAGEIF(Table1[CountryCode],Table1[[#This Row],[CountryCode]],Table1[z-score])</f>
        <v>-0.90374566436467785</v>
      </c>
      <c r="L3514" t="e">
        <f>VLOOKUP(Table1[[#This Row],[CountryCode]],[1]!Table1[#Data],4,FALSE)</f>
        <v>#REF!</v>
      </c>
    </row>
    <row r="3515" spans="1:12" hidden="1" x14ac:dyDescent="0.3">
      <c r="A3515" t="s">
        <v>73</v>
      </c>
      <c r="B3515" t="s">
        <v>74</v>
      </c>
      <c r="C3515" t="s">
        <v>125</v>
      </c>
      <c r="D3515" t="s">
        <v>126</v>
      </c>
      <c r="E3515">
        <v>2016</v>
      </c>
      <c r="F3515" s="1">
        <v>2</v>
      </c>
      <c r="G3515">
        <v>2010</v>
      </c>
      <c r="H3515">
        <f>AVERAGEIFS(Table1[value],Table1[IndicatorCode],Table1[[#This Row],[IndicatorCode]])</f>
        <v>7.6894248608534319</v>
      </c>
      <c r="I3515" cm="1">
        <f t="array" ref="I3515">_xlfn.STDEV.P(IF(Table1[IndicatorCode]=Table1[[#This Row],[IndicatorCode]],Table1[value]))</f>
        <v>5.2319501044600996</v>
      </c>
      <c r="J3515">
        <f>(Table1[[#This Row],[value]] - Table1[[#This Row],[mean]]) / Table1[[#This Row],[std_dev]]</f>
        <v>-1.0874386695705196</v>
      </c>
      <c r="K3515">
        <f>AVERAGEIF(Table1[CountryCode],Table1[[#This Row],[CountryCode]],Table1[z-score])</f>
        <v>-0.90374566436467785</v>
      </c>
      <c r="L3515" t="e">
        <f>VLOOKUP(Table1[[#This Row],[CountryCode]],[1]!Table1[#Data],4,FALSE)</f>
        <v>#REF!</v>
      </c>
    </row>
    <row r="3516" spans="1:12" hidden="1" x14ac:dyDescent="0.3">
      <c r="A3516" t="s">
        <v>73</v>
      </c>
      <c r="B3516" t="s">
        <v>74</v>
      </c>
      <c r="C3516" t="s">
        <v>125</v>
      </c>
      <c r="D3516" t="s">
        <v>126</v>
      </c>
      <c r="E3516">
        <v>2017</v>
      </c>
      <c r="F3516" s="1">
        <v>2</v>
      </c>
      <c r="G3516">
        <v>2020</v>
      </c>
      <c r="H3516">
        <f>AVERAGEIFS(Table1[value],Table1[IndicatorCode],Table1[[#This Row],[IndicatorCode]])</f>
        <v>7.6894248608534319</v>
      </c>
      <c r="I3516" cm="1">
        <f t="array" ref="I3516">_xlfn.STDEV.P(IF(Table1[IndicatorCode]=Table1[[#This Row],[IndicatorCode]],Table1[value]))</f>
        <v>5.2319501044600996</v>
      </c>
      <c r="J3516">
        <f>(Table1[[#This Row],[value]] - Table1[[#This Row],[mean]]) / Table1[[#This Row],[std_dev]]</f>
        <v>-1.0874386695705196</v>
      </c>
      <c r="K3516">
        <f>AVERAGEIF(Table1[CountryCode],Table1[[#This Row],[CountryCode]],Table1[z-score])</f>
        <v>-0.90374566436467785</v>
      </c>
      <c r="L3516" t="e">
        <f>VLOOKUP(Table1[[#This Row],[CountryCode]],[1]!Table1[#Data],4,FALSE)</f>
        <v>#REF!</v>
      </c>
    </row>
    <row r="3517" spans="1:12" hidden="1" x14ac:dyDescent="0.3">
      <c r="A3517" t="s">
        <v>73</v>
      </c>
      <c r="B3517" t="s">
        <v>74</v>
      </c>
      <c r="C3517" t="s">
        <v>125</v>
      </c>
      <c r="D3517" t="s">
        <v>126</v>
      </c>
      <c r="E3517">
        <v>2018</v>
      </c>
      <c r="F3517" s="1">
        <v>2</v>
      </c>
      <c r="G3517">
        <v>2020</v>
      </c>
      <c r="H3517">
        <f>AVERAGEIFS(Table1[value],Table1[IndicatorCode],Table1[[#This Row],[IndicatorCode]])</f>
        <v>7.6894248608534319</v>
      </c>
      <c r="I3517" cm="1">
        <f t="array" ref="I3517">_xlfn.STDEV.P(IF(Table1[IndicatorCode]=Table1[[#This Row],[IndicatorCode]],Table1[value]))</f>
        <v>5.2319501044600996</v>
      </c>
      <c r="J3517">
        <f>(Table1[[#This Row],[value]] - Table1[[#This Row],[mean]]) / Table1[[#This Row],[std_dev]]</f>
        <v>-1.0874386695705196</v>
      </c>
      <c r="K3517">
        <f>AVERAGEIF(Table1[CountryCode],Table1[[#This Row],[CountryCode]],Table1[z-score])</f>
        <v>-0.90374566436467785</v>
      </c>
      <c r="L3517" t="e">
        <f>VLOOKUP(Table1[[#This Row],[CountryCode]],[1]!Table1[#Data],4,FALSE)</f>
        <v>#REF!</v>
      </c>
    </row>
    <row r="3518" spans="1:12" hidden="1" x14ac:dyDescent="0.3">
      <c r="A3518" t="s">
        <v>73</v>
      </c>
      <c r="B3518" t="s">
        <v>74</v>
      </c>
      <c r="C3518" t="s">
        <v>125</v>
      </c>
      <c r="D3518" t="s">
        <v>126</v>
      </c>
      <c r="E3518">
        <v>2019</v>
      </c>
      <c r="F3518" s="1">
        <v>2</v>
      </c>
      <c r="G3518">
        <v>2020</v>
      </c>
      <c r="H3518">
        <f>AVERAGEIFS(Table1[value],Table1[IndicatorCode],Table1[[#This Row],[IndicatorCode]])</f>
        <v>7.6894248608534319</v>
      </c>
      <c r="I3518" cm="1">
        <f t="array" ref="I3518">_xlfn.STDEV.P(IF(Table1[IndicatorCode]=Table1[[#This Row],[IndicatorCode]],Table1[value]))</f>
        <v>5.2319501044600996</v>
      </c>
      <c r="J3518">
        <f>(Table1[[#This Row],[value]] - Table1[[#This Row],[mean]]) / Table1[[#This Row],[std_dev]]</f>
        <v>-1.0874386695705196</v>
      </c>
      <c r="K3518">
        <f>AVERAGEIF(Table1[CountryCode],Table1[[#This Row],[CountryCode]],Table1[z-score])</f>
        <v>-0.90374566436467785</v>
      </c>
      <c r="L3518" t="e">
        <f>VLOOKUP(Table1[[#This Row],[CountryCode]],[1]!Table1[#Data],4,FALSE)</f>
        <v>#REF!</v>
      </c>
    </row>
    <row r="3519" spans="1:12" x14ac:dyDescent="0.3">
      <c r="A3519" t="s">
        <v>73</v>
      </c>
      <c r="B3519" t="s">
        <v>74</v>
      </c>
      <c r="C3519" t="s">
        <v>125</v>
      </c>
      <c r="D3519" t="s">
        <v>126</v>
      </c>
      <c r="E3519">
        <v>2020</v>
      </c>
      <c r="F3519" s="1">
        <v>1</v>
      </c>
      <c r="G3519">
        <v>2020</v>
      </c>
      <c r="H3519">
        <f>AVERAGEIFS(Table1[value],Table1[IndicatorCode],Table1[[#This Row],[IndicatorCode]])</f>
        <v>7.6894248608534319</v>
      </c>
      <c r="I3519" cm="1">
        <f t="array" ref="I3519">_xlfn.STDEV.P(IF(Table1[IndicatorCode]=Table1[[#This Row],[IndicatorCode]],Table1[value]))</f>
        <v>5.2319501044600996</v>
      </c>
      <c r="J3519">
        <f>(Table1[[#This Row],[value]] - Table1[[#This Row],[mean]]) / Table1[[#This Row],[std_dev]]</f>
        <v>-1.2785719908052779</v>
      </c>
      <c r="K3519">
        <f>AVERAGEIF(Table1[CountryCode],Table1[[#This Row],[CountryCode]],Table1[z-score])</f>
        <v>-0.90374566436467785</v>
      </c>
    </row>
    <row r="3520" spans="1:12" hidden="1" x14ac:dyDescent="0.3">
      <c r="A3520" t="s">
        <v>73</v>
      </c>
      <c r="B3520" t="s">
        <v>74</v>
      </c>
      <c r="C3520" t="s">
        <v>125</v>
      </c>
      <c r="D3520" t="s">
        <v>126</v>
      </c>
      <c r="E3520">
        <v>2021</v>
      </c>
      <c r="F3520" s="1">
        <v>2</v>
      </c>
      <c r="G3520">
        <v>2020</v>
      </c>
      <c r="H3520">
        <f>AVERAGEIFS(Table1[value],Table1[IndicatorCode],Table1[[#This Row],[IndicatorCode]])</f>
        <v>7.6894248608534319</v>
      </c>
      <c r="I3520" cm="1">
        <f t="array" ref="I3520">_xlfn.STDEV.P(IF(Table1[IndicatorCode]=Table1[[#This Row],[IndicatorCode]],Table1[value]))</f>
        <v>5.2319501044600996</v>
      </c>
      <c r="J3520">
        <f>(Table1[[#This Row],[value]] - Table1[[#This Row],[mean]]) / Table1[[#This Row],[std_dev]]</f>
        <v>-1.0874386695705196</v>
      </c>
      <c r="K3520">
        <f>AVERAGEIF(Table1[CountryCode],Table1[[#This Row],[CountryCode]],Table1[z-score])</f>
        <v>-0.90374566436467785</v>
      </c>
      <c r="L3520" t="e">
        <f>VLOOKUP(Table1[[#This Row],[CountryCode]],[1]!Table1[#Data],4,FALSE)</f>
        <v>#REF!</v>
      </c>
    </row>
    <row r="3521" spans="1:12" hidden="1" x14ac:dyDescent="0.3">
      <c r="A3521" t="s">
        <v>73</v>
      </c>
      <c r="B3521" t="s">
        <v>74</v>
      </c>
      <c r="C3521" t="s">
        <v>125</v>
      </c>
      <c r="D3521" t="s">
        <v>126</v>
      </c>
      <c r="E3521">
        <v>2022</v>
      </c>
      <c r="F3521" s="1">
        <v>2</v>
      </c>
      <c r="G3521">
        <v>1970</v>
      </c>
      <c r="H3521">
        <f>AVERAGEIFS(Table1[value],Table1[IndicatorCode],Table1[[#This Row],[IndicatorCode]])</f>
        <v>7.6894248608534319</v>
      </c>
      <c r="I3521" cm="1">
        <f t="array" ref="I3521">_xlfn.STDEV.P(IF(Table1[IndicatorCode]=Table1[[#This Row],[IndicatorCode]],Table1[value]))</f>
        <v>5.2319501044600996</v>
      </c>
      <c r="J3521">
        <f>(Table1[[#This Row],[value]] - Table1[[#This Row],[mean]]) / Table1[[#This Row],[std_dev]]</f>
        <v>-1.0874386695705196</v>
      </c>
      <c r="K3521">
        <f>AVERAGEIF(Table1[CountryCode],Table1[[#This Row],[CountryCode]],Table1[z-score])</f>
        <v>-0.90374566436467785</v>
      </c>
      <c r="L3521" t="e">
        <f>VLOOKUP(Table1[[#This Row],[CountryCode]],[1]!Table1[#Data],4,FALSE)</f>
        <v>#REF!</v>
      </c>
    </row>
    <row r="3522" spans="1:12" hidden="1" x14ac:dyDescent="0.3">
      <c r="A3522" t="s">
        <v>73</v>
      </c>
      <c r="B3522" t="s">
        <v>74</v>
      </c>
      <c r="C3522" t="s">
        <v>125</v>
      </c>
      <c r="D3522" t="s">
        <v>126</v>
      </c>
      <c r="E3522">
        <v>2023</v>
      </c>
      <c r="F3522" s="1">
        <v>1</v>
      </c>
      <c r="G3522">
        <v>1970</v>
      </c>
      <c r="H3522">
        <f>AVERAGEIFS(Table1[value],Table1[IndicatorCode],Table1[[#This Row],[IndicatorCode]])</f>
        <v>7.6894248608534319</v>
      </c>
      <c r="I3522" cm="1">
        <f t="array" ref="I3522">_xlfn.STDEV.P(IF(Table1[IndicatorCode]=Table1[[#This Row],[IndicatorCode]],Table1[value]))</f>
        <v>5.2319501044600996</v>
      </c>
      <c r="J3522">
        <f>(Table1[[#This Row],[value]] - Table1[[#This Row],[mean]]) / Table1[[#This Row],[std_dev]]</f>
        <v>-1.2785719908052779</v>
      </c>
      <c r="K3522">
        <f>AVERAGEIF(Table1[CountryCode],Table1[[#This Row],[CountryCode]],Table1[z-score])</f>
        <v>-0.90374566436467785</v>
      </c>
      <c r="L3522" t="e">
        <f>VLOOKUP(Table1[[#This Row],[CountryCode]],[1]!Table1[#Data],4,FALSE)</f>
        <v>#REF!</v>
      </c>
    </row>
    <row r="3523" spans="1:12" hidden="1" x14ac:dyDescent="0.3">
      <c r="A3523" t="s">
        <v>73</v>
      </c>
      <c r="B3523" t="s">
        <v>74</v>
      </c>
      <c r="C3523" t="s">
        <v>125</v>
      </c>
      <c r="D3523" t="s">
        <v>126</v>
      </c>
      <c r="E3523">
        <v>2024</v>
      </c>
      <c r="F3523" s="1">
        <v>1</v>
      </c>
      <c r="G3523">
        <v>1970</v>
      </c>
      <c r="H3523">
        <f>AVERAGEIFS(Table1[value],Table1[IndicatorCode],Table1[[#This Row],[IndicatorCode]])</f>
        <v>7.6894248608534319</v>
      </c>
      <c r="I3523" cm="1">
        <f t="array" ref="I3523">_xlfn.STDEV.P(IF(Table1[IndicatorCode]=Table1[[#This Row],[IndicatorCode]],Table1[value]))</f>
        <v>5.2319501044600996</v>
      </c>
      <c r="J3523">
        <f>(Table1[[#This Row],[value]] - Table1[[#This Row],[mean]]) / Table1[[#This Row],[std_dev]]</f>
        <v>-1.2785719908052779</v>
      </c>
      <c r="K3523">
        <f>AVERAGEIF(Table1[CountryCode],Table1[[#This Row],[CountryCode]],Table1[z-score])</f>
        <v>-0.90374566436467785</v>
      </c>
      <c r="L3523" t="e">
        <f>VLOOKUP(Table1[[#This Row],[CountryCode]],[1]!Table1[#Data],4,FALSE)</f>
        <v>#REF!</v>
      </c>
    </row>
    <row r="3524" spans="1:12" hidden="1" x14ac:dyDescent="0.3">
      <c r="A3524" t="s">
        <v>77</v>
      </c>
      <c r="B3524" t="s">
        <v>78</v>
      </c>
      <c r="C3524" t="s">
        <v>125</v>
      </c>
      <c r="D3524" t="s">
        <v>126</v>
      </c>
      <c r="E3524">
        <v>1970</v>
      </c>
      <c r="F3524" s="1">
        <v>6</v>
      </c>
      <c r="G3524">
        <v>1970</v>
      </c>
      <c r="H3524">
        <f>AVERAGEIFS(Table1[value],Table1[IndicatorCode],Table1[[#This Row],[IndicatorCode]])</f>
        <v>7.6894248608534319</v>
      </c>
      <c r="I3524" cm="1">
        <f t="array" ref="I3524">_xlfn.STDEV.P(IF(Table1[IndicatorCode]=Table1[[#This Row],[IndicatorCode]],Table1[value]))</f>
        <v>5.2319501044600996</v>
      </c>
      <c r="J3524">
        <f>(Table1[[#This Row],[value]] - Table1[[#This Row],[mean]]) / Table1[[#This Row],[std_dev]]</f>
        <v>-0.32290538463148605</v>
      </c>
      <c r="K3524">
        <f>AVERAGEIF(Table1[CountryCode],Table1[[#This Row],[CountryCode]],Table1[z-score])</f>
        <v>-0.22998905081420598</v>
      </c>
      <c r="L3524" t="e">
        <f>VLOOKUP(Table1[[#This Row],[CountryCode]],[1]!Table1[#Data],4,FALSE)</f>
        <v>#REF!</v>
      </c>
    </row>
    <row r="3525" spans="1:12" hidden="1" x14ac:dyDescent="0.3">
      <c r="A3525" t="s">
        <v>77</v>
      </c>
      <c r="B3525" t="s">
        <v>78</v>
      </c>
      <c r="C3525" t="s">
        <v>125</v>
      </c>
      <c r="D3525" t="s">
        <v>126</v>
      </c>
      <c r="E3525">
        <v>1971</v>
      </c>
      <c r="F3525" s="1">
        <v>6</v>
      </c>
      <c r="G3525">
        <v>1970</v>
      </c>
      <c r="H3525">
        <f>AVERAGEIFS(Table1[value],Table1[IndicatorCode],Table1[[#This Row],[IndicatorCode]])</f>
        <v>7.6894248608534319</v>
      </c>
      <c r="I3525" cm="1">
        <f t="array" ref="I3525">_xlfn.STDEV.P(IF(Table1[IndicatorCode]=Table1[[#This Row],[IndicatorCode]],Table1[value]))</f>
        <v>5.2319501044600996</v>
      </c>
      <c r="J3525">
        <f>(Table1[[#This Row],[value]] - Table1[[#This Row],[mean]]) / Table1[[#This Row],[std_dev]]</f>
        <v>-0.32290538463148605</v>
      </c>
      <c r="K3525">
        <f>AVERAGEIF(Table1[CountryCode],Table1[[#This Row],[CountryCode]],Table1[z-score])</f>
        <v>-0.22998905081420598</v>
      </c>
      <c r="L3525" t="e">
        <f>VLOOKUP(Table1[[#This Row],[CountryCode]],[1]!Table1[#Data],4,FALSE)</f>
        <v>#REF!</v>
      </c>
    </row>
    <row r="3526" spans="1:12" hidden="1" x14ac:dyDescent="0.3">
      <c r="A3526" t="s">
        <v>77</v>
      </c>
      <c r="B3526" t="s">
        <v>78</v>
      </c>
      <c r="C3526" t="s">
        <v>125</v>
      </c>
      <c r="D3526" t="s">
        <v>126</v>
      </c>
      <c r="E3526">
        <v>1972</v>
      </c>
      <c r="F3526" s="1">
        <v>7</v>
      </c>
      <c r="G3526">
        <v>1970</v>
      </c>
      <c r="H3526">
        <f>AVERAGEIFS(Table1[value],Table1[IndicatorCode],Table1[[#This Row],[IndicatorCode]])</f>
        <v>7.6894248608534319</v>
      </c>
      <c r="I3526" cm="1">
        <f t="array" ref="I3526">_xlfn.STDEV.P(IF(Table1[IndicatorCode]=Table1[[#This Row],[IndicatorCode]],Table1[value]))</f>
        <v>5.2319501044600996</v>
      </c>
      <c r="J3526">
        <f>(Table1[[#This Row],[value]] - Table1[[#This Row],[mean]]) / Table1[[#This Row],[std_dev]]</f>
        <v>-0.13177206339672762</v>
      </c>
      <c r="K3526">
        <f>AVERAGEIF(Table1[CountryCode],Table1[[#This Row],[CountryCode]],Table1[z-score])</f>
        <v>-0.22998905081420598</v>
      </c>
      <c r="L3526" t="e">
        <f>VLOOKUP(Table1[[#This Row],[CountryCode]],[1]!Table1[#Data],4,FALSE)</f>
        <v>#REF!</v>
      </c>
    </row>
    <row r="3527" spans="1:12" hidden="1" x14ac:dyDescent="0.3">
      <c r="A3527" t="s">
        <v>77</v>
      </c>
      <c r="B3527" t="s">
        <v>78</v>
      </c>
      <c r="C3527" t="s">
        <v>125</v>
      </c>
      <c r="D3527" t="s">
        <v>126</v>
      </c>
      <c r="E3527">
        <v>1973</v>
      </c>
      <c r="F3527" s="1">
        <v>7</v>
      </c>
      <c r="G3527">
        <v>1970</v>
      </c>
      <c r="H3527">
        <f>AVERAGEIFS(Table1[value],Table1[IndicatorCode],Table1[[#This Row],[IndicatorCode]])</f>
        <v>7.6894248608534319</v>
      </c>
      <c r="I3527" cm="1">
        <f t="array" ref="I3527">_xlfn.STDEV.P(IF(Table1[IndicatorCode]=Table1[[#This Row],[IndicatorCode]],Table1[value]))</f>
        <v>5.2319501044600996</v>
      </c>
      <c r="J3527">
        <f>(Table1[[#This Row],[value]] - Table1[[#This Row],[mean]]) / Table1[[#This Row],[std_dev]]</f>
        <v>-0.13177206339672762</v>
      </c>
      <c r="K3527">
        <f>AVERAGEIF(Table1[CountryCode],Table1[[#This Row],[CountryCode]],Table1[z-score])</f>
        <v>-0.22998905081420598</v>
      </c>
      <c r="L3527" t="e">
        <f>VLOOKUP(Table1[[#This Row],[CountryCode]],[1]!Table1[#Data],4,FALSE)</f>
        <v>#REF!</v>
      </c>
    </row>
    <row r="3528" spans="1:12" hidden="1" x14ac:dyDescent="0.3">
      <c r="A3528" t="s">
        <v>77</v>
      </c>
      <c r="B3528" t="s">
        <v>78</v>
      </c>
      <c r="C3528" t="s">
        <v>125</v>
      </c>
      <c r="D3528" t="s">
        <v>126</v>
      </c>
      <c r="E3528">
        <v>1974</v>
      </c>
      <c r="F3528" s="1">
        <v>7</v>
      </c>
      <c r="G3528">
        <v>1970</v>
      </c>
      <c r="H3528">
        <f>AVERAGEIFS(Table1[value],Table1[IndicatorCode],Table1[[#This Row],[IndicatorCode]])</f>
        <v>7.6894248608534319</v>
      </c>
      <c r="I3528" cm="1">
        <f t="array" ref="I3528">_xlfn.STDEV.P(IF(Table1[IndicatorCode]=Table1[[#This Row],[IndicatorCode]],Table1[value]))</f>
        <v>5.2319501044600996</v>
      </c>
      <c r="J3528">
        <f>(Table1[[#This Row],[value]] - Table1[[#This Row],[mean]]) / Table1[[#This Row],[std_dev]]</f>
        <v>-0.13177206339672762</v>
      </c>
      <c r="K3528">
        <f>AVERAGEIF(Table1[CountryCode],Table1[[#This Row],[CountryCode]],Table1[z-score])</f>
        <v>-0.22998905081420598</v>
      </c>
      <c r="L3528" t="e">
        <f>VLOOKUP(Table1[[#This Row],[CountryCode]],[1]!Table1[#Data],4,FALSE)</f>
        <v>#REF!</v>
      </c>
    </row>
    <row r="3529" spans="1:12" hidden="1" x14ac:dyDescent="0.3">
      <c r="A3529" t="s">
        <v>77</v>
      </c>
      <c r="B3529" t="s">
        <v>78</v>
      </c>
      <c r="C3529" t="s">
        <v>125</v>
      </c>
      <c r="D3529" t="s">
        <v>126</v>
      </c>
      <c r="E3529">
        <v>1975</v>
      </c>
      <c r="F3529" s="1">
        <v>8</v>
      </c>
      <c r="G3529">
        <v>1970</v>
      </c>
      <c r="H3529">
        <f>AVERAGEIFS(Table1[value],Table1[IndicatorCode],Table1[[#This Row],[IndicatorCode]])</f>
        <v>7.6894248608534319</v>
      </c>
      <c r="I3529" cm="1">
        <f t="array" ref="I3529">_xlfn.STDEV.P(IF(Table1[IndicatorCode]=Table1[[#This Row],[IndicatorCode]],Table1[value]))</f>
        <v>5.2319501044600996</v>
      </c>
      <c r="J3529">
        <f>(Table1[[#This Row],[value]] - Table1[[#This Row],[mean]]) / Table1[[#This Row],[std_dev]]</f>
        <v>5.9361257838030791E-2</v>
      </c>
      <c r="K3529">
        <f>AVERAGEIF(Table1[CountryCode],Table1[[#This Row],[CountryCode]],Table1[z-score])</f>
        <v>-0.22998905081420598</v>
      </c>
      <c r="L3529" t="e">
        <f>VLOOKUP(Table1[[#This Row],[CountryCode]],[1]!Table1[#Data],4,FALSE)</f>
        <v>#REF!</v>
      </c>
    </row>
    <row r="3530" spans="1:12" hidden="1" x14ac:dyDescent="0.3">
      <c r="A3530" t="s">
        <v>77</v>
      </c>
      <c r="B3530" t="s">
        <v>78</v>
      </c>
      <c r="C3530" t="s">
        <v>125</v>
      </c>
      <c r="D3530" t="s">
        <v>126</v>
      </c>
      <c r="E3530">
        <v>1976</v>
      </c>
      <c r="F3530" s="1">
        <v>8</v>
      </c>
      <c r="G3530">
        <v>1970</v>
      </c>
      <c r="H3530">
        <f>AVERAGEIFS(Table1[value],Table1[IndicatorCode],Table1[[#This Row],[IndicatorCode]])</f>
        <v>7.6894248608534319</v>
      </c>
      <c r="I3530" cm="1">
        <f t="array" ref="I3530">_xlfn.STDEV.P(IF(Table1[IndicatorCode]=Table1[[#This Row],[IndicatorCode]],Table1[value]))</f>
        <v>5.2319501044600996</v>
      </c>
      <c r="J3530">
        <f>(Table1[[#This Row],[value]] - Table1[[#This Row],[mean]]) / Table1[[#This Row],[std_dev]]</f>
        <v>5.9361257838030791E-2</v>
      </c>
      <c r="K3530">
        <f>AVERAGEIF(Table1[CountryCode],Table1[[#This Row],[CountryCode]],Table1[z-score])</f>
        <v>-0.22998905081420598</v>
      </c>
      <c r="L3530" t="e">
        <f>VLOOKUP(Table1[[#This Row],[CountryCode]],[1]!Table1[#Data],4,FALSE)</f>
        <v>#REF!</v>
      </c>
    </row>
    <row r="3531" spans="1:12" hidden="1" x14ac:dyDescent="0.3">
      <c r="A3531" t="s">
        <v>77</v>
      </c>
      <c r="B3531" t="s">
        <v>78</v>
      </c>
      <c r="C3531" t="s">
        <v>125</v>
      </c>
      <c r="D3531" t="s">
        <v>126</v>
      </c>
      <c r="E3531">
        <v>1977</v>
      </c>
      <c r="F3531" s="1">
        <v>8</v>
      </c>
      <c r="G3531">
        <v>1980</v>
      </c>
      <c r="H3531">
        <f>AVERAGEIFS(Table1[value],Table1[IndicatorCode],Table1[[#This Row],[IndicatorCode]])</f>
        <v>7.6894248608534319</v>
      </c>
      <c r="I3531" cm="1">
        <f t="array" ref="I3531">_xlfn.STDEV.P(IF(Table1[IndicatorCode]=Table1[[#This Row],[IndicatorCode]],Table1[value]))</f>
        <v>5.2319501044600996</v>
      </c>
      <c r="J3531">
        <f>(Table1[[#This Row],[value]] - Table1[[#This Row],[mean]]) / Table1[[#This Row],[std_dev]]</f>
        <v>5.9361257838030791E-2</v>
      </c>
      <c r="K3531">
        <f>AVERAGEIF(Table1[CountryCode],Table1[[#This Row],[CountryCode]],Table1[z-score])</f>
        <v>-0.22998905081420598</v>
      </c>
      <c r="L3531" t="e">
        <f>VLOOKUP(Table1[[#This Row],[CountryCode]],[1]!Table1[#Data],4,FALSE)</f>
        <v>#REF!</v>
      </c>
    </row>
    <row r="3532" spans="1:12" hidden="1" x14ac:dyDescent="0.3">
      <c r="A3532" t="s">
        <v>77</v>
      </c>
      <c r="B3532" t="s">
        <v>78</v>
      </c>
      <c r="C3532" t="s">
        <v>125</v>
      </c>
      <c r="D3532" t="s">
        <v>126</v>
      </c>
      <c r="E3532">
        <v>1978</v>
      </c>
      <c r="F3532" s="1">
        <v>9</v>
      </c>
      <c r="G3532">
        <v>1980</v>
      </c>
      <c r="H3532">
        <f>AVERAGEIFS(Table1[value],Table1[IndicatorCode],Table1[[#This Row],[IndicatorCode]])</f>
        <v>7.6894248608534319</v>
      </c>
      <c r="I3532" cm="1">
        <f t="array" ref="I3532">_xlfn.STDEV.P(IF(Table1[IndicatorCode]=Table1[[#This Row],[IndicatorCode]],Table1[value]))</f>
        <v>5.2319501044600996</v>
      </c>
      <c r="J3532">
        <f>(Table1[[#This Row],[value]] - Table1[[#This Row],[mean]]) / Table1[[#This Row],[std_dev]]</f>
        <v>0.25049457907278921</v>
      </c>
      <c r="K3532">
        <f>AVERAGEIF(Table1[CountryCode],Table1[[#This Row],[CountryCode]],Table1[z-score])</f>
        <v>-0.22998905081420598</v>
      </c>
      <c r="L3532" t="e">
        <f>VLOOKUP(Table1[[#This Row],[CountryCode]],[1]!Table1[#Data],4,FALSE)</f>
        <v>#REF!</v>
      </c>
    </row>
    <row r="3533" spans="1:12" hidden="1" x14ac:dyDescent="0.3">
      <c r="A3533" t="s">
        <v>77</v>
      </c>
      <c r="B3533" t="s">
        <v>78</v>
      </c>
      <c r="C3533" t="s">
        <v>125</v>
      </c>
      <c r="D3533" t="s">
        <v>126</v>
      </c>
      <c r="E3533">
        <v>1979</v>
      </c>
      <c r="F3533" s="1">
        <v>9</v>
      </c>
      <c r="G3533">
        <v>1980</v>
      </c>
      <c r="H3533">
        <f>AVERAGEIFS(Table1[value],Table1[IndicatorCode],Table1[[#This Row],[IndicatorCode]])</f>
        <v>7.6894248608534319</v>
      </c>
      <c r="I3533" cm="1">
        <f t="array" ref="I3533">_xlfn.STDEV.P(IF(Table1[IndicatorCode]=Table1[[#This Row],[IndicatorCode]],Table1[value]))</f>
        <v>5.2319501044600996</v>
      </c>
      <c r="J3533">
        <f>(Table1[[#This Row],[value]] - Table1[[#This Row],[mean]]) / Table1[[#This Row],[std_dev]]</f>
        <v>0.25049457907278921</v>
      </c>
      <c r="K3533">
        <f>AVERAGEIF(Table1[CountryCode],Table1[[#This Row],[CountryCode]],Table1[z-score])</f>
        <v>-0.22998905081420598</v>
      </c>
      <c r="L3533" t="e">
        <f>VLOOKUP(Table1[[#This Row],[CountryCode]],[1]!Table1[#Data],4,FALSE)</f>
        <v>#REF!</v>
      </c>
    </row>
    <row r="3534" spans="1:12" hidden="1" x14ac:dyDescent="0.3">
      <c r="A3534" t="s">
        <v>77</v>
      </c>
      <c r="B3534" t="s">
        <v>78</v>
      </c>
      <c r="C3534" t="s">
        <v>125</v>
      </c>
      <c r="D3534" t="s">
        <v>126</v>
      </c>
      <c r="E3534">
        <v>1980</v>
      </c>
      <c r="F3534" s="1">
        <v>9</v>
      </c>
      <c r="G3534">
        <v>1980</v>
      </c>
      <c r="H3534">
        <f>AVERAGEIFS(Table1[value],Table1[IndicatorCode],Table1[[#This Row],[IndicatorCode]])</f>
        <v>7.6894248608534319</v>
      </c>
      <c r="I3534" cm="1">
        <f t="array" ref="I3534">_xlfn.STDEV.P(IF(Table1[IndicatorCode]=Table1[[#This Row],[IndicatorCode]],Table1[value]))</f>
        <v>5.2319501044600996</v>
      </c>
      <c r="J3534">
        <f>(Table1[[#This Row],[value]] - Table1[[#This Row],[mean]]) / Table1[[#This Row],[std_dev]]</f>
        <v>0.25049457907278921</v>
      </c>
      <c r="K3534">
        <f>AVERAGEIF(Table1[CountryCode],Table1[[#This Row],[CountryCode]],Table1[z-score])</f>
        <v>-0.22998905081420598</v>
      </c>
      <c r="L3534" t="e">
        <f>VLOOKUP(Table1[[#This Row],[CountryCode]],[1]!Table1[#Data],4,FALSE)</f>
        <v>#REF!</v>
      </c>
    </row>
    <row r="3535" spans="1:12" hidden="1" x14ac:dyDescent="0.3">
      <c r="A3535" t="s">
        <v>77</v>
      </c>
      <c r="B3535" t="s">
        <v>78</v>
      </c>
      <c r="C3535" t="s">
        <v>125</v>
      </c>
      <c r="D3535" t="s">
        <v>126</v>
      </c>
      <c r="E3535">
        <v>1981</v>
      </c>
      <c r="F3535" s="1">
        <v>9</v>
      </c>
      <c r="G3535">
        <v>1980</v>
      </c>
      <c r="H3535">
        <f>AVERAGEIFS(Table1[value],Table1[IndicatorCode],Table1[[#This Row],[IndicatorCode]])</f>
        <v>7.6894248608534319</v>
      </c>
      <c r="I3535" cm="1">
        <f t="array" ref="I3535">_xlfn.STDEV.P(IF(Table1[IndicatorCode]=Table1[[#This Row],[IndicatorCode]],Table1[value]))</f>
        <v>5.2319501044600996</v>
      </c>
      <c r="J3535">
        <f>(Table1[[#This Row],[value]] - Table1[[#This Row],[mean]]) / Table1[[#This Row],[std_dev]]</f>
        <v>0.25049457907278921</v>
      </c>
      <c r="K3535">
        <f>AVERAGEIF(Table1[CountryCode],Table1[[#This Row],[CountryCode]],Table1[z-score])</f>
        <v>-0.22998905081420598</v>
      </c>
      <c r="L3535" t="e">
        <f>VLOOKUP(Table1[[#This Row],[CountryCode]],[1]!Table1[#Data],4,FALSE)</f>
        <v>#REF!</v>
      </c>
    </row>
    <row r="3536" spans="1:12" hidden="1" x14ac:dyDescent="0.3">
      <c r="A3536" t="s">
        <v>77</v>
      </c>
      <c r="B3536" t="s">
        <v>78</v>
      </c>
      <c r="C3536" t="s">
        <v>125</v>
      </c>
      <c r="D3536" t="s">
        <v>126</v>
      </c>
      <c r="E3536">
        <v>1982</v>
      </c>
      <c r="F3536" s="1">
        <v>9</v>
      </c>
      <c r="G3536">
        <v>1980</v>
      </c>
      <c r="H3536">
        <f>AVERAGEIFS(Table1[value],Table1[IndicatorCode],Table1[[#This Row],[IndicatorCode]])</f>
        <v>7.6894248608534319</v>
      </c>
      <c r="I3536" cm="1">
        <f t="array" ref="I3536">_xlfn.STDEV.P(IF(Table1[IndicatorCode]=Table1[[#This Row],[IndicatorCode]],Table1[value]))</f>
        <v>5.2319501044600996</v>
      </c>
      <c r="J3536">
        <f>(Table1[[#This Row],[value]] - Table1[[#This Row],[mean]]) / Table1[[#This Row],[std_dev]]</f>
        <v>0.25049457907278921</v>
      </c>
      <c r="K3536">
        <f>AVERAGEIF(Table1[CountryCode],Table1[[#This Row],[CountryCode]],Table1[z-score])</f>
        <v>-0.22998905081420598</v>
      </c>
      <c r="L3536" t="e">
        <f>VLOOKUP(Table1[[#This Row],[CountryCode]],[1]!Table1[#Data],4,FALSE)</f>
        <v>#REF!</v>
      </c>
    </row>
    <row r="3537" spans="1:12" hidden="1" x14ac:dyDescent="0.3">
      <c r="A3537" t="s">
        <v>77</v>
      </c>
      <c r="B3537" t="s">
        <v>78</v>
      </c>
      <c r="C3537" t="s">
        <v>125</v>
      </c>
      <c r="D3537" t="s">
        <v>126</v>
      </c>
      <c r="E3537">
        <v>1983</v>
      </c>
      <c r="F3537" s="1">
        <v>9</v>
      </c>
      <c r="G3537">
        <v>1980</v>
      </c>
      <c r="H3537">
        <f>AVERAGEIFS(Table1[value],Table1[IndicatorCode],Table1[[#This Row],[IndicatorCode]])</f>
        <v>7.6894248608534319</v>
      </c>
      <c r="I3537" cm="1">
        <f t="array" ref="I3537">_xlfn.STDEV.P(IF(Table1[IndicatorCode]=Table1[[#This Row],[IndicatorCode]],Table1[value]))</f>
        <v>5.2319501044600996</v>
      </c>
      <c r="J3537">
        <f>(Table1[[#This Row],[value]] - Table1[[#This Row],[mean]]) / Table1[[#This Row],[std_dev]]</f>
        <v>0.25049457907278921</v>
      </c>
      <c r="K3537">
        <f>AVERAGEIF(Table1[CountryCode],Table1[[#This Row],[CountryCode]],Table1[z-score])</f>
        <v>-0.22998905081420598</v>
      </c>
      <c r="L3537" t="e">
        <f>VLOOKUP(Table1[[#This Row],[CountryCode]],[1]!Table1[#Data],4,FALSE)</f>
        <v>#REF!</v>
      </c>
    </row>
    <row r="3538" spans="1:12" hidden="1" x14ac:dyDescent="0.3">
      <c r="A3538" t="s">
        <v>77</v>
      </c>
      <c r="B3538" t="s">
        <v>78</v>
      </c>
      <c r="C3538" t="s">
        <v>125</v>
      </c>
      <c r="D3538" t="s">
        <v>126</v>
      </c>
      <c r="E3538">
        <v>1984</v>
      </c>
      <c r="F3538" s="1">
        <v>9</v>
      </c>
      <c r="G3538">
        <v>1980</v>
      </c>
      <c r="H3538">
        <f>AVERAGEIFS(Table1[value],Table1[IndicatorCode],Table1[[#This Row],[IndicatorCode]])</f>
        <v>7.6894248608534319</v>
      </c>
      <c r="I3538" cm="1">
        <f t="array" ref="I3538">_xlfn.STDEV.P(IF(Table1[IndicatorCode]=Table1[[#This Row],[IndicatorCode]],Table1[value]))</f>
        <v>5.2319501044600996</v>
      </c>
      <c r="J3538">
        <f>(Table1[[#This Row],[value]] - Table1[[#This Row],[mean]]) / Table1[[#This Row],[std_dev]]</f>
        <v>0.25049457907278921</v>
      </c>
      <c r="K3538">
        <f>AVERAGEIF(Table1[CountryCode],Table1[[#This Row],[CountryCode]],Table1[z-score])</f>
        <v>-0.22998905081420598</v>
      </c>
      <c r="L3538" t="e">
        <f>VLOOKUP(Table1[[#This Row],[CountryCode]],[1]!Table1[#Data],4,FALSE)</f>
        <v>#REF!</v>
      </c>
    </row>
    <row r="3539" spans="1:12" hidden="1" x14ac:dyDescent="0.3">
      <c r="A3539" t="s">
        <v>77</v>
      </c>
      <c r="B3539" t="s">
        <v>78</v>
      </c>
      <c r="C3539" t="s">
        <v>125</v>
      </c>
      <c r="D3539" t="s">
        <v>126</v>
      </c>
      <c r="E3539">
        <v>1985</v>
      </c>
      <c r="F3539" s="1">
        <v>9</v>
      </c>
      <c r="G3539">
        <v>1980</v>
      </c>
      <c r="H3539">
        <f>AVERAGEIFS(Table1[value],Table1[IndicatorCode],Table1[[#This Row],[IndicatorCode]])</f>
        <v>7.6894248608534319</v>
      </c>
      <c r="I3539" cm="1">
        <f t="array" ref="I3539">_xlfn.STDEV.P(IF(Table1[IndicatorCode]=Table1[[#This Row],[IndicatorCode]],Table1[value]))</f>
        <v>5.2319501044600996</v>
      </c>
      <c r="J3539">
        <f>(Table1[[#This Row],[value]] - Table1[[#This Row],[mean]]) / Table1[[#This Row],[std_dev]]</f>
        <v>0.25049457907278921</v>
      </c>
      <c r="K3539">
        <f>AVERAGEIF(Table1[CountryCode],Table1[[#This Row],[CountryCode]],Table1[z-score])</f>
        <v>-0.22998905081420598</v>
      </c>
      <c r="L3539" t="e">
        <f>VLOOKUP(Table1[[#This Row],[CountryCode]],[1]!Table1[#Data],4,FALSE)</f>
        <v>#REF!</v>
      </c>
    </row>
    <row r="3540" spans="1:12" hidden="1" x14ac:dyDescent="0.3">
      <c r="A3540" t="s">
        <v>77</v>
      </c>
      <c r="B3540" t="s">
        <v>78</v>
      </c>
      <c r="C3540" t="s">
        <v>125</v>
      </c>
      <c r="D3540" t="s">
        <v>126</v>
      </c>
      <c r="E3540">
        <v>1986</v>
      </c>
      <c r="F3540" s="1">
        <v>9</v>
      </c>
      <c r="G3540">
        <v>1980</v>
      </c>
      <c r="H3540">
        <f>AVERAGEIFS(Table1[value],Table1[IndicatorCode],Table1[[#This Row],[IndicatorCode]])</f>
        <v>7.6894248608534319</v>
      </c>
      <c r="I3540" cm="1">
        <f t="array" ref="I3540">_xlfn.STDEV.P(IF(Table1[IndicatorCode]=Table1[[#This Row],[IndicatorCode]],Table1[value]))</f>
        <v>5.2319501044600996</v>
      </c>
      <c r="J3540">
        <f>(Table1[[#This Row],[value]] - Table1[[#This Row],[mean]]) / Table1[[#This Row],[std_dev]]</f>
        <v>0.25049457907278921</v>
      </c>
      <c r="K3540">
        <f>AVERAGEIF(Table1[CountryCode],Table1[[#This Row],[CountryCode]],Table1[z-score])</f>
        <v>-0.22998905081420598</v>
      </c>
      <c r="L3540" t="e">
        <f>VLOOKUP(Table1[[#This Row],[CountryCode]],[1]!Table1[#Data],4,FALSE)</f>
        <v>#REF!</v>
      </c>
    </row>
    <row r="3541" spans="1:12" hidden="1" x14ac:dyDescent="0.3">
      <c r="A3541" t="s">
        <v>77</v>
      </c>
      <c r="B3541" t="s">
        <v>78</v>
      </c>
      <c r="C3541" t="s">
        <v>125</v>
      </c>
      <c r="D3541" t="s">
        <v>126</v>
      </c>
      <c r="E3541">
        <v>1987</v>
      </c>
      <c r="F3541" s="1">
        <v>9</v>
      </c>
      <c r="G3541">
        <v>1990</v>
      </c>
      <c r="H3541">
        <f>AVERAGEIFS(Table1[value],Table1[IndicatorCode],Table1[[#This Row],[IndicatorCode]])</f>
        <v>7.6894248608534319</v>
      </c>
      <c r="I3541" cm="1">
        <f t="array" ref="I3541">_xlfn.STDEV.P(IF(Table1[IndicatorCode]=Table1[[#This Row],[IndicatorCode]],Table1[value]))</f>
        <v>5.2319501044600996</v>
      </c>
      <c r="J3541">
        <f>(Table1[[#This Row],[value]] - Table1[[#This Row],[mean]]) / Table1[[#This Row],[std_dev]]</f>
        <v>0.25049457907278921</v>
      </c>
      <c r="K3541">
        <f>AVERAGEIF(Table1[CountryCode],Table1[[#This Row],[CountryCode]],Table1[z-score])</f>
        <v>-0.22998905081420598</v>
      </c>
      <c r="L3541" t="e">
        <f>VLOOKUP(Table1[[#This Row],[CountryCode]],[1]!Table1[#Data],4,FALSE)</f>
        <v>#REF!</v>
      </c>
    </row>
    <row r="3542" spans="1:12" hidden="1" x14ac:dyDescent="0.3">
      <c r="A3542" t="s">
        <v>77</v>
      </c>
      <c r="B3542" t="s">
        <v>78</v>
      </c>
      <c r="C3542" t="s">
        <v>125</v>
      </c>
      <c r="D3542" t="s">
        <v>126</v>
      </c>
      <c r="E3542">
        <v>1988</v>
      </c>
      <c r="F3542" s="1">
        <v>9</v>
      </c>
      <c r="G3542">
        <v>1990</v>
      </c>
      <c r="H3542">
        <f>AVERAGEIFS(Table1[value],Table1[IndicatorCode],Table1[[#This Row],[IndicatorCode]])</f>
        <v>7.6894248608534319</v>
      </c>
      <c r="I3542" cm="1">
        <f t="array" ref="I3542">_xlfn.STDEV.P(IF(Table1[IndicatorCode]=Table1[[#This Row],[IndicatorCode]],Table1[value]))</f>
        <v>5.2319501044600996</v>
      </c>
      <c r="J3542">
        <f>(Table1[[#This Row],[value]] - Table1[[#This Row],[mean]]) / Table1[[#This Row],[std_dev]]</f>
        <v>0.25049457907278921</v>
      </c>
      <c r="K3542">
        <f>AVERAGEIF(Table1[CountryCode],Table1[[#This Row],[CountryCode]],Table1[z-score])</f>
        <v>-0.22998905081420598</v>
      </c>
      <c r="L3542" t="e">
        <f>VLOOKUP(Table1[[#This Row],[CountryCode]],[1]!Table1[#Data],4,FALSE)</f>
        <v>#REF!</v>
      </c>
    </row>
    <row r="3543" spans="1:12" hidden="1" x14ac:dyDescent="0.3">
      <c r="A3543" t="s">
        <v>77</v>
      </c>
      <c r="B3543" t="s">
        <v>78</v>
      </c>
      <c r="C3543" t="s">
        <v>125</v>
      </c>
      <c r="D3543" t="s">
        <v>126</v>
      </c>
      <c r="E3543">
        <v>1989</v>
      </c>
      <c r="F3543" s="1">
        <v>9</v>
      </c>
      <c r="G3543">
        <v>1990</v>
      </c>
      <c r="H3543">
        <f>AVERAGEIFS(Table1[value],Table1[IndicatorCode],Table1[[#This Row],[IndicatorCode]])</f>
        <v>7.6894248608534319</v>
      </c>
      <c r="I3543" cm="1">
        <f t="array" ref="I3543">_xlfn.STDEV.P(IF(Table1[IndicatorCode]=Table1[[#This Row],[IndicatorCode]],Table1[value]))</f>
        <v>5.2319501044600996</v>
      </c>
      <c r="J3543">
        <f>(Table1[[#This Row],[value]] - Table1[[#This Row],[mean]]) / Table1[[#This Row],[std_dev]]</f>
        <v>0.25049457907278921</v>
      </c>
      <c r="K3543">
        <f>AVERAGEIF(Table1[CountryCode],Table1[[#This Row],[CountryCode]],Table1[z-score])</f>
        <v>-0.22998905081420598</v>
      </c>
      <c r="L3543" t="e">
        <f>VLOOKUP(Table1[[#This Row],[CountryCode]],[1]!Table1[#Data],4,FALSE)</f>
        <v>#REF!</v>
      </c>
    </row>
    <row r="3544" spans="1:12" hidden="1" x14ac:dyDescent="0.3">
      <c r="A3544" t="s">
        <v>77</v>
      </c>
      <c r="B3544" t="s">
        <v>78</v>
      </c>
      <c r="C3544" t="s">
        <v>125</v>
      </c>
      <c r="D3544" t="s">
        <v>126</v>
      </c>
      <c r="E3544">
        <v>1990</v>
      </c>
      <c r="F3544" s="1">
        <v>9</v>
      </c>
      <c r="G3544">
        <v>1990</v>
      </c>
      <c r="H3544">
        <f>AVERAGEIFS(Table1[value],Table1[IndicatorCode],Table1[[#This Row],[IndicatorCode]])</f>
        <v>7.6894248608534319</v>
      </c>
      <c r="I3544" cm="1">
        <f t="array" ref="I3544">_xlfn.STDEV.P(IF(Table1[IndicatorCode]=Table1[[#This Row],[IndicatorCode]],Table1[value]))</f>
        <v>5.2319501044600996</v>
      </c>
      <c r="J3544">
        <f>(Table1[[#This Row],[value]] - Table1[[#This Row],[mean]]) / Table1[[#This Row],[std_dev]]</f>
        <v>0.25049457907278921</v>
      </c>
      <c r="K3544">
        <f>AVERAGEIF(Table1[CountryCode],Table1[[#This Row],[CountryCode]],Table1[z-score])</f>
        <v>-0.22998905081420598</v>
      </c>
      <c r="L3544" t="e">
        <f>VLOOKUP(Table1[[#This Row],[CountryCode]],[1]!Table1[#Data],4,FALSE)</f>
        <v>#REF!</v>
      </c>
    </row>
    <row r="3545" spans="1:12" hidden="1" x14ac:dyDescent="0.3">
      <c r="A3545" t="s">
        <v>77</v>
      </c>
      <c r="B3545" t="s">
        <v>78</v>
      </c>
      <c r="C3545" t="s">
        <v>125</v>
      </c>
      <c r="D3545" t="s">
        <v>126</v>
      </c>
      <c r="E3545">
        <v>1991</v>
      </c>
      <c r="F3545" s="1">
        <v>10</v>
      </c>
      <c r="G3545">
        <v>1990</v>
      </c>
      <c r="H3545">
        <f>AVERAGEIFS(Table1[value],Table1[IndicatorCode],Table1[[#This Row],[IndicatorCode]])</f>
        <v>7.6894248608534319</v>
      </c>
      <c r="I3545" cm="1">
        <f t="array" ref="I3545">_xlfn.STDEV.P(IF(Table1[IndicatorCode]=Table1[[#This Row],[IndicatorCode]],Table1[value]))</f>
        <v>5.2319501044600996</v>
      </c>
      <c r="J3545">
        <f>(Table1[[#This Row],[value]] - Table1[[#This Row],[mean]]) / Table1[[#This Row],[std_dev]]</f>
        <v>0.44162790030754762</v>
      </c>
      <c r="K3545">
        <f>AVERAGEIF(Table1[CountryCode],Table1[[#This Row],[CountryCode]],Table1[z-score])</f>
        <v>-0.22998905081420598</v>
      </c>
      <c r="L3545" t="e">
        <f>VLOOKUP(Table1[[#This Row],[CountryCode]],[1]!Table1[#Data],4,FALSE)</f>
        <v>#REF!</v>
      </c>
    </row>
    <row r="3546" spans="1:12" hidden="1" x14ac:dyDescent="0.3">
      <c r="A3546" t="s">
        <v>77</v>
      </c>
      <c r="B3546" t="s">
        <v>78</v>
      </c>
      <c r="C3546" t="s">
        <v>125</v>
      </c>
      <c r="D3546" t="s">
        <v>126</v>
      </c>
      <c r="E3546">
        <v>1992</v>
      </c>
      <c r="F3546" s="1">
        <v>6</v>
      </c>
      <c r="G3546">
        <v>1990</v>
      </c>
      <c r="H3546">
        <f>AVERAGEIFS(Table1[value],Table1[IndicatorCode],Table1[[#This Row],[IndicatorCode]])</f>
        <v>7.6894248608534319</v>
      </c>
      <c r="I3546" cm="1">
        <f t="array" ref="I3546">_xlfn.STDEV.P(IF(Table1[IndicatorCode]=Table1[[#This Row],[IndicatorCode]],Table1[value]))</f>
        <v>5.2319501044600996</v>
      </c>
      <c r="J3546">
        <f>(Table1[[#This Row],[value]] - Table1[[#This Row],[mean]]) / Table1[[#This Row],[std_dev]]</f>
        <v>-0.32290538463148605</v>
      </c>
      <c r="K3546">
        <f>AVERAGEIF(Table1[CountryCode],Table1[[#This Row],[CountryCode]],Table1[z-score])</f>
        <v>-0.22998905081420598</v>
      </c>
      <c r="L3546" t="e">
        <f>VLOOKUP(Table1[[#This Row],[CountryCode]],[1]!Table1[#Data],4,FALSE)</f>
        <v>#REF!</v>
      </c>
    </row>
    <row r="3547" spans="1:12" hidden="1" x14ac:dyDescent="0.3">
      <c r="A3547" t="s">
        <v>77</v>
      </c>
      <c r="B3547" t="s">
        <v>78</v>
      </c>
      <c r="C3547" t="s">
        <v>125</v>
      </c>
      <c r="D3547" t="s">
        <v>126</v>
      </c>
      <c r="E3547">
        <v>1993</v>
      </c>
      <c r="F3547" s="1">
        <v>4</v>
      </c>
      <c r="G3547">
        <v>1990</v>
      </c>
      <c r="H3547">
        <f>AVERAGEIFS(Table1[value],Table1[IndicatorCode],Table1[[#This Row],[IndicatorCode]])</f>
        <v>7.6894248608534319</v>
      </c>
      <c r="I3547" cm="1">
        <f t="array" ref="I3547">_xlfn.STDEV.P(IF(Table1[IndicatorCode]=Table1[[#This Row],[IndicatorCode]],Table1[value]))</f>
        <v>5.2319501044600996</v>
      </c>
      <c r="J3547">
        <f>(Table1[[#This Row],[value]] - Table1[[#This Row],[mean]]) / Table1[[#This Row],[std_dev]]</f>
        <v>-0.7051720271010028</v>
      </c>
      <c r="K3547">
        <f>AVERAGEIF(Table1[CountryCode],Table1[[#This Row],[CountryCode]],Table1[z-score])</f>
        <v>-0.22998905081420598</v>
      </c>
      <c r="L3547" t="e">
        <f>VLOOKUP(Table1[[#This Row],[CountryCode]],[1]!Table1[#Data],4,FALSE)</f>
        <v>#REF!</v>
      </c>
    </row>
    <row r="3548" spans="1:12" hidden="1" x14ac:dyDescent="0.3">
      <c r="A3548" t="s">
        <v>77</v>
      </c>
      <c r="B3548" t="s">
        <v>78</v>
      </c>
      <c r="C3548" t="s">
        <v>125</v>
      </c>
      <c r="D3548" t="s">
        <v>126</v>
      </c>
      <c r="E3548">
        <v>1994</v>
      </c>
      <c r="F3548" s="1">
        <v>4</v>
      </c>
      <c r="G3548">
        <v>1990</v>
      </c>
      <c r="H3548">
        <f>AVERAGEIFS(Table1[value],Table1[IndicatorCode],Table1[[#This Row],[IndicatorCode]])</f>
        <v>7.6894248608534319</v>
      </c>
      <c r="I3548" cm="1">
        <f t="array" ref="I3548">_xlfn.STDEV.P(IF(Table1[IndicatorCode]=Table1[[#This Row],[IndicatorCode]],Table1[value]))</f>
        <v>5.2319501044600996</v>
      </c>
      <c r="J3548">
        <f>(Table1[[#This Row],[value]] - Table1[[#This Row],[mean]]) / Table1[[#This Row],[std_dev]]</f>
        <v>-0.7051720271010028</v>
      </c>
      <c r="K3548">
        <f>AVERAGEIF(Table1[CountryCode],Table1[[#This Row],[CountryCode]],Table1[z-score])</f>
        <v>-0.22998905081420598</v>
      </c>
      <c r="L3548" t="e">
        <f>VLOOKUP(Table1[[#This Row],[CountryCode]],[1]!Table1[#Data],4,FALSE)</f>
        <v>#REF!</v>
      </c>
    </row>
    <row r="3549" spans="1:12" hidden="1" x14ac:dyDescent="0.3">
      <c r="A3549" t="s">
        <v>77</v>
      </c>
      <c r="B3549" t="s">
        <v>78</v>
      </c>
      <c r="C3549" t="s">
        <v>125</v>
      </c>
      <c r="D3549" t="s">
        <v>126</v>
      </c>
      <c r="E3549">
        <v>1995</v>
      </c>
      <c r="F3549" s="1">
        <v>4</v>
      </c>
      <c r="G3549">
        <v>1990</v>
      </c>
      <c r="H3549">
        <f>AVERAGEIFS(Table1[value],Table1[IndicatorCode],Table1[[#This Row],[IndicatorCode]])</f>
        <v>7.6894248608534319</v>
      </c>
      <c r="I3549" cm="1">
        <f t="array" ref="I3549">_xlfn.STDEV.P(IF(Table1[IndicatorCode]=Table1[[#This Row],[IndicatorCode]],Table1[value]))</f>
        <v>5.2319501044600996</v>
      </c>
      <c r="J3549">
        <f>(Table1[[#This Row],[value]] - Table1[[#This Row],[mean]]) / Table1[[#This Row],[std_dev]]</f>
        <v>-0.7051720271010028</v>
      </c>
      <c r="K3549">
        <f>AVERAGEIF(Table1[CountryCode],Table1[[#This Row],[CountryCode]],Table1[z-score])</f>
        <v>-0.22998905081420598</v>
      </c>
      <c r="L3549" t="e">
        <f>VLOOKUP(Table1[[#This Row],[CountryCode]],[1]!Table1[#Data],4,FALSE)</f>
        <v>#REF!</v>
      </c>
    </row>
    <row r="3550" spans="1:12" hidden="1" x14ac:dyDescent="0.3">
      <c r="A3550" t="s">
        <v>77</v>
      </c>
      <c r="B3550" t="s">
        <v>78</v>
      </c>
      <c r="C3550" t="s">
        <v>125</v>
      </c>
      <c r="D3550" t="s">
        <v>126</v>
      </c>
      <c r="E3550">
        <v>1996</v>
      </c>
      <c r="F3550" s="1">
        <v>4</v>
      </c>
      <c r="G3550">
        <v>1990</v>
      </c>
      <c r="H3550">
        <f>AVERAGEIFS(Table1[value],Table1[IndicatorCode],Table1[[#This Row],[IndicatorCode]])</f>
        <v>7.6894248608534319</v>
      </c>
      <c r="I3550" cm="1">
        <f t="array" ref="I3550">_xlfn.STDEV.P(IF(Table1[IndicatorCode]=Table1[[#This Row],[IndicatorCode]],Table1[value]))</f>
        <v>5.2319501044600996</v>
      </c>
      <c r="J3550">
        <f>(Table1[[#This Row],[value]] - Table1[[#This Row],[mean]]) / Table1[[#This Row],[std_dev]]</f>
        <v>-0.7051720271010028</v>
      </c>
      <c r="K3550">
        <f>AVERAGEIF(Table1[CountryCode],Table1[[#This Row],[CountryCode]],Table1[z-score])</f>
        <v>-0.22998905081420598</v>
      </c>
      <c r="L3550" t="e">
        <f>VLOOKUP(Table1[[#This Row],[CountryCode]],[1]!Table1[#Data],4,FALSE)</f>
        <v>#REF!</v>
      </c>
    </row>
    <row r="3551" spans="1:12" hidden="1" x14ac:dyDescent="0.3">
      <c r="A3551" t="s">
        <v>77</v>
      </c>
      <c r="B3551" t="s">
        <v>78</v>
      </c>
      <c r="C3551" t="s">
        <v>125</v>
      </c>
      <c r="D3551" t="s">
        <v>126</v>
      </c>
      <c r="E3551">
        <v>1997</v>
      </c>
      <c r="F3551" s="1">
        <v>4</v>
      </c>
      <c r="G3551">
        <v>2000</v>
      </c>
      <c r="H3551">
        <f>AVERAGEIFS(Table1[value],Table1[IndicatorCode],Table1[[#This Row],[IndicatorCode]])</f>
        <v>7.6894248608534319</v>
      </c>
      <c r="I3551" cm="1">
        <f t="array" ref="I3551">_xlfn.STDEV.P(IF(Table1[IndicatorCode]=Table1[[#This Row],[IndicatorCode]],Table1[value]))</f>
        <v>5.2319501044600996</v>
      </c>
      <c r="J3551">
        <f>(Table1[[#This Row],[value]] - Table1[[#This Row],[mean]]) / Table1[[#This Row],[std_dev]]</f>
        <v>-0.7051720271010028</v>
      </c>
      <c r="K3551">
        <f>AVERAGEIF(Table1[CountryCode],Table1[[#This Row],[CountryCode]],Table1[z-score])</f>
        <v>-0.22998905081420598</v>
      </c>
      <c r="L3551" t="e">
        <f>VLOOKUP(Table1[[#This Row],[CountryCode]],[1]!Table1[#Data],4,FALSE)</f>
        <v>#REF!</v>
      </c>
    </row>
    <row r="3552" spans="1:12" hidden="1" x14ac:dyDescent="0.3">
      <c r="A3552" t="s">
        <v>77</v>
      </c>
      <c r="B3552" t="s">
        <v>78</v>
      </c>
      <c r="C3552" t="s">
        <v>125</v>
      </c>
      <c r="D3552" t="s">
        <v>126</v>
      </c>
      <c r="E3552">
        <v>1998</v>
      </c>
      <c r="F3552" s="1">
        <v>4</v>
      </c>
      <c r="G3552">
        <v>2000</v>
      </c>
      <c r="H3552">
        <f>AVERAGEIFS(Table1[value],Table1[IndicatorCode],Table1[[#This Row],[IndicatorCode]])</f>
        <v>7.6894248608534319</v>
      </c>
      <c r="I3552" cm="1">
        <f t="array" ref="I3552">_xlfn.STDEV.P(IF(Table1[IndicatorCode]=Table1[[#This Row],[IndicatorCode]],Table1[value]))</f>
        <v>5.2319501044600996</v>
      </c>
      <c r="J3552">
        <f>(Table1[[#This Row],[value]] - Table1[[#This Row],[mean]]) / Table1[[#This Row],[std_dev]]</f>
        <v>-0.7051720271010028</v>
      </c>
      <c r="K3552">
        <f>AVERAGEIF(Table1[CountryCode],Table1[[#This Row],[CountryCode]],Table1[z-score])</f>
        <v>-0.22998905081420598</v>
      </c>
      <c r="L3552" t="e">
        <f>VLOOKUP(Table1[[#This Row],[CountryCode]],[1]!Table1[#Data],4,FALSE)</f>
        <v>#REF!</v>
      </c>
    </row>
    <row r="3553" spans="1:12" hidden="1" x14ac:dyDescent="0.3">
      <c r="A3553" t="s">
        <v>77</v>
      </c>
      <c r="B3553" t="s">
        <v>78</v>
      </c>
      <c r="C3553" t="s">
        <v>125</v>
      </c>
      <c r="D3553" t="s">
        <v>126</v>
      </c>
      <c r="E3553">
        <v>1999</v>
      </c>
      <c r="F3553" s="1">
        <v>4</v>
      </c>
      <c r="G3553">
        <v>2000</v>
      </c>
      <c r="H3553">
        <f>AVERAGEIFS(Table1[value],Table1[IndicatorCode],Table1[[#This Row],[IndicatorCode]])</f>
        <v>7.6894248608534319</v>
      </c>
      <c r="I3553" cm="1">
        <f t="array" ref="I3553">_xlfn.STDEV.P(IF(Table1[IndicatorCode]=Table1[[#This Row],[IndicatorCode]],Table1[value]))</f>
        <v>5.2319501044600996</v>
      </c>
      <c r="J3553">
        <f>(Table1[[#This Row],[value]] - Table1[[#This Row],[mean]]) / Table1[[#This Row],[std_dev]]</f>
        <v>-0.7051720271010028</v>
      </c>
      <c r="K3553">
        <f>AVERAGEIF(Table1[CountryCode],Table1[[#This Row],[CountryCode]],Table1[z-score])</f>
        <v>-0.22998905081420598</v>
      </c>
      <c r="L3553" t="e">
        <f>VLOOKUP(Table1[[#This Row],[CountryCode]],[1]!Table1[#Data],4,FALSE)</f>
        <v>#REF!</v>
      </c>
    </row>
    <row r="3554" spans="1:12" hidden="1" x14ac:dyDescent="0.3">
      <c r="A3554" t="s">
        <v>77</v>
      </c>
      <c r="B3554" t="s">
        <v>78</v>
      </c>
      <c r="C3554" t="s">
        <v>125</v>
      </c>
      <c r="D3554" t="s">
        <v>126</v>
      </c>
      <c r="E3554">
        <v>2000</v>
      </c>
      <c r="F3554" s="1">
        <v>3</v>
      </c>
      <c r="G3554">
        <v>2000</v>
      </c>
      <c r="H3554">
        <f>AVERAGEIFS(Table1[value],Table1[IndicatorCode],Table1[[#This Row],[IndicatorCode]])</f>
        <v>7.6894248608534319</v>
      </c>
      <c r="I3554" cm="1">
        <f t="array" ref="I3554">_xlfn.STDEV.P(IF(Table1[IndicatorCode]=Table1[[#This Row],[IndicatorCode]],Table1[value]))</f>
        <v>5.2319501044600996</v>
      </c>
      <c r="J3554">
        <f>(Table1[[#This Row],[value]] - Table1[[#This Row],[mean]]) / Table1[[#This Row],[std_dev]]</f>
        <v>-0.89630534833576125</v>
      </c>
      <c r="K3554">
        <f>AVERAGEIF(Table1[CountryCode],Table1[[#This Row],[CountryCode]],Table1[z-score])</f>
        <v>-0.22998905081420598</v>
      </c>
      <c r="L3554" t="e">
        <f>VLOOKUP(Table1[[#This Row],[CountryCode]],[1]!Table1[#Data],4,FALSE)</f>
        <v>#REF!</v>
      </c>
    </row>
    <row r="3555" spans="1:12" hidden="1" x14ac:dyDescent="0.3">
      <c r="A3555" t="s">
        <v>77</v>
      </c>
      <c r="B3555" t="s">
        <v>78</v>
      </c>
      <c r="C3555" t="s">
        <v>125</v>
      </c>
      <c r="D3555" t="s">
        <v>126</v>
      </c>
      <c r="E3555">
        <v>2001</v>
      </c>
      <c r="F3555" s="1">
        <v>4</v>
      </c>
      <c r="G3555">
        <v>2000</v>
      </c>
      <c r="H3555">
        <f>AVERAGEIFS(Table1[value],Table1[IndicatorCode],Table1[[#This Row],[IndicatorCode]])</f>
        <v>7.6894248608534319</v>
      </c>
      <c r="I3555" cm="1">
        <f t="array" ref="I3555">_xlfn.STDEV.P(IF(Table1[IndicatorCode]=Table1[[#This Row],[IndicatorCode]],Table1[value]))</f>
        <v>5.2319501044600996</v>
      </c>
      <c r="J3555">
        <f>(Table1[[#This Row],[value]] - Table1[[#This Row],[mean]]) / Table1[[#This Row],[std_dev]]</f>
        <v>-0.7051720271010028</v>
      </c>
      <c r="K3555">
        <f>AVERAGEIF(Table1[CountryCode],Table1[[#This Row],[CountryCode]],Table1[z-score])</f>
        <v>-0.22998905081420598</v>
      </c>
      <c r="L3555" t="e">
        <f>VLOOKUP(Table1[[#This Row],[CountryCode]],[1]!Table1[#Data],4,FALSE)</f>
        <v>#REF!</v>
      </c>
    </row>
    <row r="3556" spans="1:12" hidden="1" x14ac:dyDescent="0.3">
      <c r="A3556" t="s">
        <v>77</v>
      </c>
      <c r="B3556" t="s">
        <v>78</v>
      </c>
      <c r="C3556" t="s">
        <v>125</v>
      </c>
      <c r="D3556" t="s">
        <v>126</v>
      </c>
      <c r="E3556">
        <v>2002</v>
      </c>
      <c r="F3556" s="1">
        <v>4</v>
      </c>
      <c r="G3556">
        <v>2000</v>
      </c>
      <c r="H3556">
        <f>AVERAGEIFS(Table1[value],Table1[IndicatorCode],Table1[[#This Row],[IndicatorCode]])</f>
        <v>7.6894248608534319</v>
      </c>
      <c r="I3556" cm="1">
        <f t="array" ref="I3556">_xlfn.STDEV.P(IF(Table1[IndicatorCode]=Table1[[#This Row],[IndicatorCode]],Table1[value]))</f>
        <v>5.2319501044600996</v>
      </c>
      <c r="J3556">
        <f>(Table1[[#This Row],[value]] - Table1[[#This Row],[mean]]) / Table1[[#This Row],[std_dev]]</f>
        <v>-0.7051720271010028</v>
      </c>
      <c r="K3556">
        <f>AVERAGEIF(Table1[CountryCode],Table1[[#This Row],[CountryCode]],Table1[z-score])</f>
        <v>-0.22998905081420598</v>
      </c>
      <c r="L3556" t="e">
        <f>VLOOKUP(Table1[[#This Row],[CountryCode]],[1]!Table1[#Data],4,FALSE)</f>
        <v>#REF!</v>
      </c>
    </row>
    <row r="3557" spans="1:12" hidden="1" x14ac:dyDescent="0.3">
      <c r="A3557" t="s">
        <v>77</v>
      </c>
      <c r="B3557" t="s">
        <v>78</v>
      </c>
      <c r="C3557" t="s">
        <v>125</v>
      </c>
      <c r="D3557" t="s">
        <v>126</v>
      </c>
      <c r="E3557">
        <v>2003</v>
      </c>
      <c r="F3557" s="1">
        <v>4</v>
      </c>
      <c r="G3557">
        <v>2000</v>
      </c>
      <c r="H3557">
        <f>AVERAGEIFS(Table1[value],Table1[IndicatorCode],Table1[[#This Row],[IndicatorCode]])</f>
        <v>7.6894248608534319</v>
      </c>
      <c r="I3557" cm="1">
        <f t="array" ref="I3557">_xlfn.STDEV.P(IF(Table1[IndicatorCode]=Table1[[#This Row],[IndicatorCode]],Table1[value]))</f>
        <v>5.2319501044600996</v>
      </c>
      <c r="J3557">
        <f>(Table1[[#This Row],[value]] - Table1[[#This Row],[mean]]) / Table1[[#This Row],[std_dev]]</f>
        <v>-0.7051720271010028</v>
      </c>
      <c r="K3557">
        <f>AVERAGEIF(Table1[CountryCode],Table1[[#This Row],[CountryCode]],Table1[z-score])</f>
        <v>-0.22998905081420598</v>
      </c>
      <c r="L3557" t="e">
        <f>VLOOKUP(Table1[[#This Row],[CountryCode]],[1]!Table1[#Data],4,FALSE)</f>
        <v>#REF!</v>
      </c>
    </row>
    <row r="3558" spans="1:12" hidden="1" x14ac:dyDescent="0.3">
      <c r="A3558" t="s">
        <v>77</v>
      </c>
      <c r="B3558" t="s">
        <v>78</v>
      </c>
      <c r="C3558" t="s">
        <v>125</v>
      </c>
      <c r="D3558" t="s">
        <v>126</v>
      </c>
      <c r="E3558">
        <v>2004</v>
      </c>
      <c r="F3558" s="1">
        <v>4</v>
      </c>
      <c r="G3558">
        <v>2000</v>
      </c>
      <c r="H3558">
        <f>AVERAGEIFS(Table1[value],Table1[IndicatorCode],Table1[[#This Row],[IndicatorCode]])</f>
        <v>7.6894248608534319</v>
      </c>
      <c r="I3558" cm="1">
        <f t="array" ref="I3558">_xlfn.STDEV.P(IF(Table1[IndicatorCode]=Table1[[#This Row],[IndicatorCode]],Table1[value]))</f>
        <v>5.2319501044600996</v>
      </c>
      <c r="J3558">
        <f>(Table1[[#This Row],[value]] - Table1[[#This Row],[mean]]) / Table1[[#This Row],[std_dev]]</f>
        <v>-0.7051720271010028</v>
      </c>
      <c r="K3558">
        <f>AVERAGEIF(Table1[CountryCode],Table1[[#This Row],[CountryCode]],Table1[z-score])</f>
        <v>-0.22998905081420598</v>
      </c>
      <c r="L3558" t="e">
        <f>VLOOKUP(Table1[[#This Row],[CountryCode]],[1]!Table1[#Data],4,FALSE)</f>
        <v>#REF!</v>
      </c>
    </row>
    <row r="3559" spans="1:12" hidden="1" x14ac:dyDescent="0.3">
      <c r="A3559" t="s">
        <v>77</v>
      </c>
      <c r="B3559" t="s">
        <v>78</v>
      </c>
      <c r="C3559" t="s">
        <v>125</v>
      </c>
      <c r="D3559" t="s">
        <v>126</v>
      </c>
      <c r="E3559">
        <v>2005</v>
      </c>
      <c r="F3559" s="1">
        <v>4</v>
      </c>
      <c r="G3559">
        <v>2000</v>
      </c>
      <c r="H3559">
        <f>AVERAGEIFS(Table1[value],Table1[IndicatorCode],Table1[[#This Row],[IndicatorCode]])</f>
        <v>7.6894248608534319</v>
      </c>
      <c r="I3559" cm="1">
        <f t="array" ref="I3559">_xlfn.STDEV.P(IF(Table1[IndicatorCode]=Table1[[#This Row],[IndicatorCode]],Table1[value]))</f>
        <v>5.2319501044600996</v>
      </c>
      <c r="J3559">
        <f>(Table1[[#This Row],[value]] - Table1[[#This Row],[mean]]) / Table1[[#This Row],[std_dev]]</f>
        <v>-0.7051720271010028</v>
      </c>
      <c r="K3559">
        <f>AVERAGEIF(Table1[CountryCode],Table1[[#This Row],[CountryCode]],Table1[z-score])</f>
        <v>-0.22998905081420598</v>
      </c>
      <c r="L3559" t="e">
        <f>VLOOKUP(Table1[[#This Row],[CountryCode]],[1]!Table1[#Data],4,FALSE)</f>
        <v>#REF!</v>
      </c>
    </row>
    <row r="3560" spans="1:12" hidden="1" x14ac:dyDescent="0.3">
      <c r="A3560" t="s">
        <v>77</v>
      </c>
      <c r="B3560" t="s">
        <v>78</v>
      </c>
      <c r="C3560" t="s">
        <v>125</v>
      </c>
      <c r="D3560" t="s">
        <v>126</v>
      </c>
      <c r="E3560">
        <v>2006</v>
      </c>
      <c r="F3560" s="1">
        <v>4</v>
      </c>
      <c r="G3560">
        <v>2000</v>
      </c>
      <c r="H3560">
        <f>AVERAGEIFS(Table1[value],Table1[IndicatorCode],Table1[[#This Row],[IndicatorCode]])</f>
        <v>7.6894248608534319</v>
      </c>
      <c r="I3560" cm="1">
        <f t="array" ref="I3560">_xlfn.STDEV.P(IF(Table1[IndicatorCode]=Table1[[#This Row],[IndicatorCode]],Table1[value]))</f>
        <v>5.2319501044600996</v>
      </c>
      <c r="J3560">
        <f>(Table1[[#This Row],[value]] - Table1[[#This Row],[mean]]) / Table1[[#This Row],[std_dev]]</f>
        <v>-0.7051720271010028</v>
      </c>
      <c r="K3560">
        <f>AVERAGEIF(Table1[CountryCode],Table1[[#This Row],[CountryCode]],Table1[z-score])</f>
        <v>-0.22998905081420598</v>
      </c>
      <c r="L3560" t="e">
        <f>VLOOKUP(Table1[[#This Row],[CountryCode]],[1]!Table1[#Data],4,FALSE)</f>
        <v>#REF!</v>
      </c>
    </row>
    <row r="3561" spans="1:12" hidden="1" x14ac:dyDescent="0.3">
      <c r="A3561" t="s">
        <v>77</v>
      </c>
      <c r="B3561" t="s">
        <v>78</v>
      </c>
      <c r="C3561" t="s">
        <v>125</v>
      </c>
      <c r="D3561" t="s">
        <v>126</v>
      </c>
      <c r="E3561">
        <v>2007</v>
      </c>
      <c r="F3561" s="1">
        <v>5</v>
      </c>
      <c r="G3561">
        <v>2010</v>
      </c>
      <c r="H3561">
        <f>AVERAGEIFS(Table1[value],Table1[IndicatorCode],Table1[[#This Row],[IndicatorCode]])</f>
        <v>7.6894248608534319</v>
      </c>
      <c r="I3561" cm="1">
        <f t="array" ref="I3561">_xlfn.STDEV.P(IF(Table1[IndicatorCode]=Table1[[#This Row],[IndicatorCode]],Table1[value]))</f>
        <v>5.2319501044600996</v>
      </c>
      <c r="J3561">
        <f>(Table1[[#This Row],[value]] - Table1[[#This Row],[mean]]) / Table1[[#This Row],[std_dev]]</f>
        <v>-0.51403870586624445</v>
      </c>
      <c r="K3561">
        <f>AVERAGEIF(Table1[CountryCode],Table1[[#This Row],[CountryCode]],Table1[z-score])</f>
        <v>-0.22998905081420598</v>
      </c>
      <c r="L3561" t="e">
        <f>VLOOKUP(Table1[[#This Row],[CountryCode]],[1]!Table1[#Data],4,FALSE)</f>
        <v>#REF!</v>
      </c>
    </row>
    <row r="3562" spans="1:12" hidden="1" x14ac:dyDescent="0.3">
      <c r="A3562" t="s">
        <v>77</v>
      </c>
      <c r="B3562" t="s">
        <v>78</v>
      </c>
      <c r="C3562" t="s">
        <v>125</v>
      </c>
      <c r="D3562" t="s">
        <v>126</v>
      </c>
      <c r="E3562">
        <v>2008</v>
      </c>
      <c r="F3562" s="1">
        <v>5</v>
      </c>
      <c r="G3562">
        <v>2010</v>
      </c>
      <c r="H3562">
        <f>AVERAGEIFS(Table1[value],Table1[IndicatorCode],Table1[[#This Row],[IndicatorCode]])</f>
        <v>7.6894248608534319</v>
      </c>
      <c r="I3562" cm="1">
        <f t="array" ref="I3562">_xlfn.STDEV.P(IF(Table1[IndicatorCode]=Table1[[#This Row],[IndicatorCode]],Table1[value]))</f>
        <v>5.2319501044600996</v>
      </c>
      <c r="J3562">
        <f>(Table1[[#This Row],[value]] - Table1[[#This Row],[mean]]) / Table1[[#This Row],[std_dev]]</f>
        <v>-0.51403870586624445</v>
      </c>
      <c r="K3562">
        <f>AVERAGEIF(Table1[CountryCode],Table1[[#This Row],[CountryCode]],Table1[z-score])</f>
        <v>-0.22998905081420598</v>
      </c>
      <c r="L3562" t="e">
        <f>VLOOKUP(Table1[[#This Row],[CountryCode]],[1]!Table1[#Data],4,FALSE)</f>
        <v>#REF!</v>
      </c>
    </row>
    <row r="3563" spans="1:12" hidden="1" x14ac:dyDescent="0.3">
      <c r="A3563" t="s">
        <v>77</v>
      </c>
      <c r="B3563" t="s">
        <v>78</v>
      </c>
      <c r="C3563" t="s">
        <v>125</v>
      </c>
      <c r="D3563" t="s">
        <v>126</v>
      </c>
      <c r="E3563">
        <v>2009</v>
      </c>
      <c r="F3563" s="1">
        <v>4</v>
      </c>
      <c r="G3563">
        <v>2010</v>
      </c>
      <c r="H3563">
        <f>AVERAGEIFS(Table1[value],Table1[IndicatorCode],Table1[[#This Row],[IndicatorCode]])</f>
        <v>7.6894248608534319</v>
      </c>
      <c r="I3563" cm="1">
        <f t="array" ref="I3563">_xlfn.STDEV.P(IF(Table1[IndicatorCode]=Table1[[#This Row],[IndicatorCode]],Table1[value]))</f>
        <v>5.2319501044600996</v>
      </c>
      <c r="J3563">
        <f>(Table1[[#This Row],[value]] - Table1[[#This Row],[mean]]) / Table1[[#This Row],[std_dev]]</f>
        <v>-0.7051720271010028</v>
      </c>
      <c r="K3563">
        <f>AVERAGEIF(Table1[CountryCode],Table1[[#This Row],[CountryCode]],Table1[z-score])</f>
        <v>-0.22998905081420598</v>
      </c>
      <c r="L3563" t="e">
        <f>VLOOKUP(Table1[[#This Row],[CountryCode]],[1]!Table1[#Data],4,FALSE)</f>
        <v>#REF!</v>
      </c>
    </row>
    <row r="3564" spans="1:12" hidden="1" x14ac:dyDescent="0.3">
      <c r="A3564" t="s">
        <v>77</v>
      </c>
      <c r="B3564" t="s">
        <v>78</v>
      </c>
      <c r="C3564" t="s">
        <v>125</v>
      </c>
      <c r="D3564" t="s">
        <v>126</v>
      </c>
      <c r="E3564">
        <v>2010</v>
      </c>
      <c r="F3564" s="1">
        <v>5</v>
      </c>
      <c r="G3564">
        <v>2010</v>
      </c>
      <c r="H3564">
        <f>AVERAGEIFS(Table1[value],Table1[IndicatorCode],Table1[[#This Row],[IndicatorCode]])</f>
        <v>7.6894248608534319</v>
      </c>
      <c r="I3564" cm="1">
        <f t="array" ref="I3564">_xlfn.STDEV.P(IF(Table1[IndicatorCode]=Table1[[#This Row],[IndicatorCode]],Table1[value]))</f>
        <v>5.2319501044600996</v>
      </c>
      <c r="J3564">
        <f>(Table1[[#This Row],[value]] - Table1[[#This Row],[mean]]) / Table1[[#This Row],[std_dev]]</f>
        <v>-0.51403870586624445</v>
      </c>
      <c r="K3564">
        <f>AVERAGEIF(Table1[CountryCode],Table1[[#This Row],[CountryCode]],Table1[z-score])</f>
        <v>-0.22998905081420598</v>
      </c>
      <c r="L3564" t="e">
        <f>VLOOKUP(Table1[[#This Row],[CountryCode]],[1]!Table1[#Data],4,FALSE)</f>
        <v>#REF!</v>
      </c>
    </row>
    <row r="3565" spans="1:12" hidden="1" x14ac:dyDescent="0.3">
      <c r="A3565" t="s">
        <v>77</v>
      </c>
      <c r="B3565" t="s">
        <v>78</v>
      </c>
      <c r="C3565" t="s">
        <v>125</v>
      </c>
      <c r="D3565" t="s">
        <v>126</v>
      </c>
      <c r="E3565">
        <v>2011</v>
      </c>
      <c r="F3565" s="1">
        <v>5</v>
      </c>
      <c r="G3565">
        <v>2010</v>
      </c>
      <c r="H3565">
        <f>AVERAGEIFS(Table1[value],Table1[IndicatorCode],Table1[[#This Row],[IndicatorCode]])</f>
        <v>7.6894248608534319</v>
      </c>
      <c r="I3565" cm="1">
        <f t="array" ref="I3565">_xlfn.STDEV.P(IF(Table1[IndicatorCode]=Table1[[#This Row],[IndicatorCode]],Table1[value]))</f>
        <v>5.2319501044600996</v>
      </c>
      <c r="J3565">
        <f>(Table1[[#This Row],[value]] - Table1[[#This Row],[mean]]) / Table1[[#This Row],[std_dev]]</f>
        <v>-0.51403870586624445</v>
      </c>
      <c r="K3565">
        <f>AVERAGEIF(Table1[CountryCode],Table1[[#This Row],[CountryCode]],Table1[z-score])</f>
        <v>-0.22998905081420598</v>
      </c>
      <c r="L3565" t="e">
        <f>VLOOKUP(Table1[[#This Row],[CountryCode]],[1]!Table1[#Data],4,FALSE)</f>
        <v>#REF!</v>
      </c>
    </row>
    <row r="3566" spans="1:12" hidden="1" x14ac:dyDescent="0.3">
      <c r="A3566" t="s">
        <v>77</v>
      </c>
      <c r="B3566" t="s">
        <v>78</v>
      </c>
      <c r="C3566" t="s">
        <v>125</v>
      </c>
      <c r="D3566" t="s">
        <v>126</v>
      </c>
      <c r="E3566">
        <v>2012</v>
      </c>
      <c r="F3566" s="1">
        <v>5</v>
      </c>
      <c r="G3566">
        <v>2010</v>
      </c>
      <c r="H3566">
        <f>AVERAGEIFS(Table1[value],Table1[IndicatorCode],Table1[[#This Row],[IndicatorCode]])</f>
        <v>7.6894248608534319</v>
      </c>
      <c r="I3566" cm="1">
        <f t="array" ref="I3566">_xlfn.STDEV.P(IF(Table1[IndicatorCode]=Table1[[#This Row],[IndicatorCode]],Table1[value]))</f>
        <v>5.2319501044600996</v>
      </c>
      <c r="J3566">
        <f>(Table1[[#This Row],[value]] - Table1[[#This Row],[mean]]) / Table1[[#This Row],[std_dev]]</f>
        <v>-0.51403870586624445</v>
      </c>
      <c r="K3566">
        <f>AVERAGEIF(Table1[CountryCode],Table1[[#This Row],[CountryCode]],Table1[z-score])</f>
        <v>-0.22998905081420598</v>
      </c>
      <c r="L3566" t="e">
        <f>VLOOKUP(Table1[[#This Row],[CountryCode]],[1]!Table1[#Data],4,FALSE)</f>
        <v>#REF!</v>
      </c>
    </row>
    <row r="3567" spans="1:12" hidden="1" x14ac:dyDescent="0.3">
      <c r="A3567" t="s">
        <v>77</v>
      </c>
      <c r="B3567" t="s">
        <v>78</v>
      </c>
      <c r="C3567" t="s">
        <v>125</v>
      </c>
      <c r="D3567" t="s">
        <v>126</v>
      </c>
      <c r="E3567">
        <v>2013</v>
      </c>
      <c r="F3567" s="1">
        <v>5</v>
      </c>
      <c r="G3567">
        <v>2010</v>
      </c>
      <c r="H3567">
        <f>AVERAGEIFS(Table1[value],Table1[IndicatorCode],Table1[[#This Row],[IndicatorCode]])</f>
        <v>7.6894248608534319</v>
      </c>
      <c r="I3567" cm="1">
        <f t="array" ref="I3567">_xlfn.STDEV.P(IF(Table1[IndicatorCode]=Table1[[#This Row],[IndicatorCode]],Table1[value]))</f>
        <v>5.2319501044600996</v>
      </c>
      <c r="J3567">
        <f>(Table1[[#This Row],[value]] - Table1[[#This Row],[mean]]) / Table1[[#This Row],[std_dev]]</f>
        <v>-0.51403870586624445</v>
      </c>
      <c r="K3567">
        <f>AVERAGEIF(Table1[CountryCode],Table1[[#This Row],[CountryCode]],Table1[z-score])</f>
        <v>-0.22998905081420598</v>
      </c>
      <c r="L3567" t="e">
        <f>VLOOKUP(Table1[[#This Row],[CountryCode]],[1]!Table1[#Data],4,FALSE)</f>
        <v>#REF!</v>
      </c>
    </row>
    <row r="3568" spans="1:12" hidden="1" x14ac:dyDescent="0.3">
      <c r="A3568" t="s">
        <v>77</v>
      </c>
      <c r="B3568" t="s">
        <v>78</v>
      </c>
      <c r="C3568" t="s">
        <v>125</v>
      </c>
      <c r="D3568" t="s">
        <v>126</v>
      </c>
      <c r="E3568">
        <v>2014</v>
      </c>
      <c r="F3568" s="1">
        <v>4</v>
      </c>
      <c r="G3568">
        <v>2010</v>
      </c>
      <c r="H3568">
        <f>AVERAGEIFS(Table1[value],Table1[IndicatorCode],Table1[[#This Row],[IndicatorCode]])</f>
        <v>7.6894248608534319</v>
      </c>
      <c r="I3568" cm="1">
        <f t="array" ref="I3568">_xlfn.STDEV.P(IF(Table1[IndicatorCode]=Table1[[#This Row],[IndicatorCode]],Table1[value]))</f>
        <v>5.2319501044600996</v>
      </c>
      <c r="J3568">
        <f>(Table1[[#This Row],[value]] - Table1[[#This Row],[mean]]) / Table1[[#This Row],[std_dev]]</f>
        <v>-0.7051720271010028</v>
      </c>
      <c r="K3568">
        <f>AVERAGEIF(Table1[CountryCode],Table1[[#This Row],[CountryCode]],Table1[z-score])</f>
        <v>-0.22998905081420598</v>
      </c>
      <c r="L3568" t="e">
        <f>VLOOKUP(Table1[[#This Row],[CountryCode]],[1]!Table1[#Data],4,FALSE)</f>
        <v>#REF!</v>
      </c>
    </row>
    <row r="3569" spans="1:12" hidden="1" x14ac:dyDescent="0.3">
      <c r="A3569" t="s">
        <v>77</v>
      </c>
      <c r="B3569" t="s">
        <v>78</v>
      </c>
      <c r="C3569" t="s">
        <v>125</v>
      </c>
      <c r="D3569" t="s">
        <v>126</v>
      </c>
      <c r="E3569">
        <v>2015</v>
      </c>
      <c r="F3569" s="1">
        <v>5</v>
      </c>
      <c r="G3569">
        <v>2010</v>
      </c>
      <c r="H3569">
        <f>AVERAGEIFS(Table1[value],Table1[IndicatorCode],Table1[[#This Row],[IndicatorCode]])</f>
        <v>7.6894248608534319</v>
      </c>
      <c r="I3569" cm="1">
        <f t="array" ref="I3569">_xlfn.STDEV.P(IF(Table1[IndicatorCode]=Table1[[#This Row],[IndicatorCode]],Table1[value]))</f>
        <v>5.2319501044600996</v>
      </c>
      <c r="J3569">
        <f>(Table1[[#This Row],[value]] - Table1[[#This Row],[mean]]) / Table1[[#This Row],[std_dev]]</f>
        <v>-0.51403870586624445</v>
      </c>
      <c r="K3569">
        <f>AVERAGEIF(Table1[CountryCode],Table1[[#This Row],[CountryCode]],Table1[z-score])</f>
        <v>-0.22998905081420598</v>
      </c>
      <c r="L3569" t="e">
        <f>VLOOKUP(Table1[[#This Row],[CountryCode]],[1]!Table1[#Data],4,FALSE)</f>
        <v>#REF!</v>
      </c>
    </row>
    <row r="3570" spans="1:12" hidden="1" x14ac:dyDescent="0.3">
      <c r="A3570" t="s">
        <v>77</v>
      </c>
      <c r="B3570" t="s">
        <v>78</v>
      </c>
      <c r="C3570" t="s">
        <v>125</v>
      </c>
      <c r="D3570" t="s">
        <v>126</v>
      </c>
      <c r="E3570">
        <v>2016</v>
      </c>
      <c r="F3570" s="1">
        <v>5</v>
      </c>
      <c r="G3570">
        <v>2010</v>
      </c>
      <c r="H3570">
        <f>AVERAGEIFS(Table1[value],Table1[IndicatorCode],Table1[[#This Row],[IndicatorCode]])</f>
        <v>7.6894248608534319</v>
      </c>
      <c r="I3570" cm="1">
        <f t="array" ref="I3570">_xlfn.STDEV.P(IF(Table1[IndicatorCode]=Table1[[#This Row],[IndicatorCode]],Table1[value]))</f>
        <v>5.2319501044600996</v>
      </c>
      <c r="J3570">
        <f>(Table1[[#This Row],[value]] - Table1[[#This Row],[mean]]) / Table1[[#This Row],[std_dev]]</f>
        <v>-0.51403870586624445</v>
      </c>
      <c r="K3570">
        <f>AVERAGEIF(Table1[CountryCode],Table1[[#This Row],[CountryCode]],Table1[z-score])</f>
        <v>-0.22998905081420598</v>
      </c>
      <c r="L3570" t="e">
        <f>VLOOKUP(Table1[[#This Row],[CountryCode]],[1]!Table1[#Data],4,FALSE)</f>
        <v>#REF!</v>
      </c>
    </row>
    <row r="3571" spans="1:12" hidden="1" x14ac:dyDescent="0.3">
      <c r="A3571" t="s">
        <v>77</v>
      </c>
      <c r="B3571" t="s">
        <v>78</v>
      </c>
      <c r="C3571" t="s">
        <v>125</v>
      </c>
      <c r="D3571" t="s">
        <v>126</v>
      </c>
      <c r="E3571">
        <v>2017</v>
      </c>
      <c r="F3571" s="1">
        <v>5</v>
      </c>
      <c r="G3571">
        <v>2020</v>
      </c>
      <c r="H3571">
        <f>AVERAGEIFS(Table1[value],Table1[IndicatorCode],Table1[[#This Row],[IndicatorCode]])</f>
        <v>7.6894248608534319</v>
      </c>
      <c r="I3571" cm="1">
        <f t="array" ref="I3571">_xlfn.STDEV.P(IF(Table1[IndicatorCode]=Table1[[#This Row],[IndicatorCode]],Table1[value]))</f>
        <v>5.2319501044600996</v>
      </c>
      <c r="J3571">
        <f>(Table1[[#This Row],[value]] - Table1[[#This Row],[mean]]) / Table1[[#This Row],[std_dev]]</f>
        <v>-0.51403870586624445</v>
      </c>
      <c r="K3571">
        <f>AVERAGEIF(Table1[CountryCode],Table1[[#This Row],[CountryCode]],Table1[z-score])</f>
        <v>-0.22998905081420598</v>
      </c>
      <c r="L3571" t="e">
        <f>VLOOKUP(Table1[[#This Row],[CountryCode]],[1]!Table1[#Data],4,FALSE)</f>
        <v>#REF!</v>
      </c>
    </row>
    <row r="3572" spans="1:12" hidden="1" x14ac:dyDescent="0.3">
      <c r="A3572" t="s">
        <v>77</v>
      </c>
      <c r="B3572" t="s">
        <v>78</v>
      </c>
      <c r="C3572" t="s">
        <v>125</v>
      </c>
      <c r="D3572" t="s">
        <v>126</v>
      </c>
      <c r="E3572">
        <v>2018</v>
      </c>
      <c r="F3572" s="1">
        <v>5</v>
      </c>
      <c r="G3572">
        <v>2020</v>
      </c>
      <c r="H3572">
        <f>AVERAGEIFS(Table1[value],Table1[IndicatorCode],Table1[[#This Row],[IndicatorCode]])</f>
        <v>7.6894248608534319</v>
      </c>
      <c r="I3572" cm="1">
        <f t="array" ref="I3572">_xlfn.STDEV.P(IF(Table1[IndicatorCode]=Table1[[#This Row],[IndicatorCode]],Table1[value]))</f>
        <v>5.2319501044600996</v>
      </c>
      <c r="J3572">
        <f>(Table1[[#This Row],[value]] - Table1[[#This Row],[mean]]) / Table1[[#This Row],[std_dev]]</f>
        <v>-0.51403870586624445</v>
      </c>
      <c r="K3572">
        <f>AVERAGEIF(Table1[CountryCode],Table1[[#This Row],[CountryCode]],Table1[z-score])</f>
        <v>-0.22998905081420598</v>
      </c>
      <c r="L3572" t="e">
        <f>VLOOKUP(Table1[[#This Row],[CountryCode]],[1]!Table1[#Data],4,FALSE)</f>
        <v>#REF!</v>
      </c>
    </row>
    <row r="3573" spans="1:12" hidden="1" x14ac:dyDescent="0.3">
      <c r="A3573" t="s">
        <v>77</v>
      </c>
      <c r="B3573" t="s">
        <v>78</v>
      </c>
      <c r="C3573" t="s">
        <v>125</v>
      </c>
      <c r="D3573" t="s">
        <v>126</v>
      </c>
      <c r="E3573">
        <v>2019</v>
      </c>
      <c r="F3573" s="1">
        <v>5</v>
      </c>
      <c r="G3573">
        <v>2020</v>
      </c>
      <c r="H3573">
        <f>AVERAGEIFS(Table1[value],Table1[IndicatorCode],Table1[[#This Row],[IndicatorCode]])</f>
        <v>7.6894248608534319</v>
      </c>
      <c r="I3573" cm="1">
        <f t="array" ref="I3573">_xlfn.STDEV.P(IF(Table1[IndicatorCode]=Table1[[#This Row],[IndicatorCode]],Table1[value]))</f>
        <v>5.2319501044600996</v>
      </c>
      <c r="J3573">
        <f>(Table1[[#This Row],[value]] - Table1[[#This Row],[mean]]) / Table1[[#This Row],[std_dev]]</f>
        <v>-0.51403870586624445</v>
      </c>
      <c r="K3573">
        <f>AVERAGEIF(Table1[CountryCode],Table1[[#This Row],[CountryCode]],Table1[z-score])</f>
        <v>-0.22998905081420598</v>
      </c>
      <c r="L3573" t="e">
        <f>VLOOKUP(Table1[[#This Row],[CountryCode]],[1]!Table1[#Data],4,FALSE)</f>
        <v>#REF!</v>
      </c>
    </row>
    <row r="3574" spans="1:12" x14ac:dyDescent="0.3">
      <c r="A3574" t="s">
        <v>77</v>
      </c>
      <c r="B3574" t="s">
        <v>78</v>
      </c>
      <c r="C3574" t="s">
        <v>125</v>
      </c>
      <c r="D3574" t="s">
        <v>126</v>
      </c>
      <c r="E3574">
        <v>2020</v>
      </c>
      <c r="F3574" s="1">
        <v>5</v>
      </c>
      <c r="G3574">
        <v>2020</v>
      </c>
      <c r="H3574">
        <f>AVERAGEIFS(Table1[value],Table1[IndicatorCode],Table1[[#This Row],[IndicatorCode]])</f>
        <v>7.6894248608534319</v>
      </c>
      <c r="I3574" cm="1">
        <f t="array" ref="I3574">_xlfn.STDEV.P(IF(Table1[IndicatorCode]=Table1[[#This Row],[IndicatorCode]],Table1[value]))</f>
        <v>5.2319501044600996</v>
      </c>
      <c r="J3574">
        <f>(Table1[[#This Row],[value]] - Table1[[#This Row],[mean]]) / Table1[[#This Row],[std_dev]]</f>
        <v>-0.51403870586624445</v>
      </c>
      <c r="K3574">
        <f>AVERAGEIF(Table1[CountryCode],Table1[[#This Row],[CountryCode]],Table1[z-score])</f>
        <v>-0.22998905081420598</v>
      </c>
    </row>
    <row r="3575" spans="1:12" hidden="1" x14ac:dyDescent="0.3">
      <c r="A3575" t="s">
        <v>77</v>
      </c>
      <c r="B3575" t="s">
        <v>78</v>
      </c>
      <c r="C3575" t="s">
        <v>125</v>
      </c>
      <c r="D3575" t="s">
        <v>126</v>
      </c>
      <c r="E3575">
        <v>2021</v>
      </c>
      <c r="F3575" s="1">
        <v>5</v>
      </c>
      <c r="G3575">
        <v>2020</v>
      </c>
      <c r="H3575">
        <f>AVERAGEIFS(Table1[value],Table1[IndicatorCode],Table1[[#This Row],[IndicatorCode]])</f>
        <v>7.6894248608534319</v>
      </c>
      <c r="I3575" cm="1">
        <f t="array" ref="I3575">_xlfn.STDEV.P(IF(Table1[IndicatorCode]=Table1[[#This Row],[IndicatorCode]],Table1[value]))</f>
        <v>5.2319501044600996</v>
      </c>
      <c r="J3575">
        <f>(Table1[[#This Row],[value]] - Table1[[#This Row],[mean]]) / Table1[[#This Row],[std_dev]]</f>
        <v>-0.51403870586624445</v>
      </c>
      <c r="K3575">
        <f>AVERAGEIF(Table1[CountryCode],Table1[[#This Row],[CountryCode]],Table1[z-score])</f>
        <v>-0.22998905081420598</v>
      </c>
      <c r="L3575" t="e">
        <f>VLOOKUP(Table1[[#This Row],[CountryCode]],[1]!Table1[#Data],4,FALSE)</f>
        <v>#REF!</v>
      </c>
    </row>
    <row r="3576" spans="1:12" hidden="1" x14ac:dyDescent="0.3">
      <c r="A3576" t="s">
        <v>77</v>
      </c>
      <c r="B3576" t="s">
        <v>78</v>
      </c>
      <c r="C3576" t="s">
        <v>125</v>
      </c>
      <c r="D3576" t="s">
        <v>126</v>
      </c>
      <c r="E3576">
        <v>2022</v>
      </c>
      <c r="F3576" s="1">
        <v>5</v>
      </c>
      <c r="G3576">
        <v>1970</v>
      </c>
      <c r="H3576">
        <f>AVERAGEIFS(Table1[value],Table1[IndicatorCode],Table1[[#This Row],[IndicatorCode]])</f>
        <v>7.6894248608534319</v>
      </c>
      <c r="I3576" cm="1">
        <f t="array" ref="I3576">_xlfn.STDEV.P(IF(Table1[IndicatorCode]=Table1[[#This Row],[IndicatorCode]],Table1[value]))</f>
        <v>5.2319501044600996</v>
      </c>
      <c r="J3576">
        <f>(Table1[[#This Row],[value]] - Table1[[#This Row],[mean]]) / Table1[[#This Row],[std_dev]]</f>
        <v>-0.51403870586624445</v>
      </c>
      <c r="K3576">
        <f>AVERAGEIF(Table1[CountryCode],Table1[[#This Row],[CountryCode]],Table1[z-score])</f>
        <v>-0.22998905081420598</v>
      </c>
      <c r="L3576" t="e">
        <f>VLOOKUP(Table1[[#This Row],[CountryCode]],[1]!Table1[#Data],4,FALSE)</f>
        <v>#REF!</v>
      </c>
    </row>
    <row r="3577" spans="1:12" hidden="1" x14ac:dyDescent="0.3">
      <c r="A3577" t="s">
        <v>77</v>
      </c>
      <c r="B3577" t="s">
        <v>78</v>
      </c>
      <c r="C3577" t="s">
        <v>125</v>
      </c>
      <c r="D3577" t="s">
        <v>126</v>
      </c>
      <c r="E3577">
        <v>2023</v>
      </c>
      <c r="F3577" s="1">
        <v>5</v>
      </c>
      <c r="G3577">
        <v>1970</v>
      </c>
      <c r="H3577">
        <f>AVERAGEIFS(Table1[value],Table1[IndicatorCode],Table1[[#This Row],[IndicatorCode]])</f>
        <v>7.6894248608534319</v>
      </c>
      <c r="I3577" cm="1">
        <f t="array" ref="I3577">_xlfn.STDEV.P(IF(Table1[IndicatorCode]=Table1[[#This Row],[IndicatorCode]],Table1[value]))</f>
        <v>5.2319501044600996</v>
      </c>
      <c r="J3577">
        <f>(Table1[[#This Row],[value]] - Table1[[#This Row],[mean]]) / Table1[[#This Row],[std_dev]]</f>
        <v>-0.51403870586624445</v>
      </c>
      <c r="K3577">
        <f>AVERAGEIF(Table1[CountryCode],Table1[[#This Row],[CountryCode]],Table1[z-score])</f>
        <v>-0.22998905081420598</v>
      </c>
      <c r="L3577" t="e">
        <f>VLOOKUP(Table1[[#This Row],[CountryCode]],[1]!Table1[#Data],4,FALSE)</f>
        <v>#REF!</v>
      </c>
    </row>
    <row r="3578" spans="1:12" hidden="1" x14ac:dyDescent="0.3">
      <c r="A3578" t="s">
        <v>77</v>
      </c>
      <c r="B3578" t="s">
        <v>78</v>
      </c>
      <c r="C3578" t="s">
        <v>125</v>
      </c>
      <c r="D3578" t="s">
        <v>126</v>
      </c>
      <c r="E3578">
        <v>2024</v>
      </c>
      <c r="F3578" s="1">
        <v>4</v>
      </c>
      <c r="G3578">
        <v>1970</v>
      </c>
      <c r="H3578">
        <f>AVERAGEIFS(Table1[value],Table1[IndicatorCode],Table1[[#This Row],[IndicatorCode]])</f>
        <v>7.6894248608534319</v>
      </c>
      <c r="I3578" cm="1">
        <f t="array" ref="I3578">_xlfn.STDEV.P(IF(Table1[IndicatorCode]=Table1[[#This Row],[IndicatorCode]],Table1[value]))</f>
        <v>5.2319501044600996</v>
      </c>
      <c r="J3578">
        <f>(Table1[[#This Row],[value]] - Table1[[#This Row],[mean]]) / Table1[[#This Row],[std_dev]]</f>
        <v>-0.7051720271010028</v>
      </c>
      <c r="K3578">
        <f>AVERAGEIF(Table1[CountryCode],Table1[[#This Row],[CountryCode]],Table1[z-score])</f>
        <v>-0.22998905081420598</v>
      </c>
      <c r="L3578" t="e">
        <f>VLOOKUP(Table1[[#This Row],[CountryCode]],[1]!Table1[#Data],4,FALSE)</f>
        <v>#REF!</v>
      </c>
    </row>
    <row r="3579" spans="1:12" hidden="1" x14ac:dyDescent="0.3">
      <c r="A3579" t="s">
        <v>79</v>
      </c>
      <c r="B3579" t="s">
        <v>80</v>
      </c>
      <c r="C3579" t="s">
        <v>125</v>
      </c>
      <c r="D3579" t="s">
        <v>126</v>
      </c>
      <c r="E3579">
        <v>1970</v>
      </c>
      <c r="F3579" s="1">
        <v>58</v>
      </c>
      <c r="G3579">
        <v>1970</v>
      </c>
      <c r="H3579">
        <f>AVERAGEIFS(Table1[value],Table1[IndicatorCode],Table1[[#This Row],[IndicatorCode]])</f>
        <v>7.6894248608534319</v>
      </c>
      <c r="I3579" cm="1">
        <f t="array" ref="I3579">_xlfn.STDEV.P(IF(Table1[IndicatorCode]=Table1[[#This Row],[IndicatorCode]],Table1[value]))</f>
        <v>5.2319501044600996</v>
      </c>
      <c r="J3579">
        <f>(Table1[[#This Row],[value]] - Table1[[#This Row],[mean]]) / Table1[[#This Row],[std_dev]]</f>
        <v>9.6160273195759505</v>
      </c>
      <c r="K3579">
        <f>AVERAGEIF(Table1[CountryCode],Table1[[#This Row],[CountryCode]],Table1[z-score])</f>
        <v>1.6213099703277349</v>
      </c>
      <c r="L3579" t="e">
        <f>VLOOKUP(Table1[[#This Row],[CountryCode]],[1]!Table1[#Data],4,FALSE)</f>
        <v>#REF!</v>
      </c>
    </row>
    <row r="3580" spans="1:12" hidden="1" x14ac:dyDescent="0.3">
      <c r="A3580" t="s">
        <v>79</v>
      </c>
      <c r="B3580" t="s">
        <v>80</v>
      </c>
      <c r="C3580" t="s">
        <v>125</v>
      </c>
      <c r="D3580" t="s">
        <v>126</v>
      </c>
      <c r="E3580">
        <v>1971</v>
      </c>
      <c r="F3580" s="1">
        <v>53</v>
      </c>
      <c r="G3580">
        <v>1970</v>
      </c>
      <c r="H3580">
        <f>AVERAGEIFS(Table1[value],Table1[IndicatorCode],Table1[[#This Row],[IndicatorCode]])</f>
        <v>7.6894248608534319</v>
      </c>
      <c r="I3580" cm="1">
        <f t="array" ref="I3580">_xlfn.STDEV.P(IF(Table1[IndicatorCode]=Table1[[#This Row],[IndicatorCode]],Table1[value]))</f>
        <v>5.2319501044600996</v>
      </c>
      <c r="J3580">
        <f>(Table1[[#This Row],[value]] - Table1[[#This Row],[mean]]) / Table1[[#This Row],[std_dev]]</f>
        <v>8.6603607134021576</v>
      </c>
      <c r="K3580">
        <f>AVERAGEIF(Table1[CountryCode],Table1[[#This Row],[CountryCode]],Table1[z-score])</f>
        <v>1.6213099703277349</v>
      </c>
      <c r="L3580" t="e">
        <f>VLOOKUP(Table1[[#This Row],[CountryCode]],[1]!Table1[#Data],4,FALSE)</f>
        <v>#REF!</v>
      </c>
    </row>
    <row r="3581" spans="1:12" hidden="1" x14ac:dyDescent="0.3">
      <c r="A3581" t="s">
        <v>79</v>
      </c>
      <c r="B3581" t="s">
        <v>80</v>
      </c>
      <c r="C3581" t="s">
        <v>125</v>
      </c>
      <c r="D3581" t="s">
        <v>126</v>
      </c>
      <c r="E3581">
        <v>1972</v>
      </c>
      <c r="F3581" s="1">
        <v>52</v>
      </c>
      <c r="G3581">
        <v>1970</v>
      </c>
      <c r="H3581">
        <f>AVERAGEIFS(Table1[value],Table1[IndicatorCode],Table1[[#This Row],[IndicatorCode]])</f>
        <v>7.6894248608534319</v>
      </c>
      <c r="I3581" cm="1">
        <f t="array" ref="I3581">_xlfn.STDEV.P(IF(Table1[IndicatorCode]=Table1[[#This Row],[IndicatorCode]],Table1[value]))</f>
        <v>5.2319501044600996</v>
      </c>
      <c r="J3581">
        <f>(Table1[[#This Row],[value]] - Table1[[#This Row],[mean]]) / Table1[[#This Row],[std_dev]]</f>
        <v>8.4692273921673991</v>
      </c>
      <c r="K3581">
        <f>AVERAGEIF(Table1[CountryCode],Table1[[#This Row],[CountryCode]],Table1[z-score])</f>
        <v>1.6213099703277349</v>
      </c>
      <c r="L3581" t="e">
        <f>VLOOKUP(Table1[[#This Row],[CountryCode]],[1]!Table1[#Data],4,FALSE)</f>
        <v>#REF!</v>
      </c>
    </row>
    <row r="3582" spans="1:12" hidden="1" x14ac:dyDescent="0.3">
      <c r="A3582" t="s">
        <v>79</v>
      </c>
      <c r="B3582" t="s">
        <v>80</v>
      </c>
      <c r="C3582" t="s">
        <v>125</v>
      </c>
      <c r="D3582" t="s">
        <v>126</v>
      </c>
      <c r="E3582">
        <v>1973</v>
      </c>
      <c r="F3582" s="1">
        <v>55</v>
      </c>
      <c r="G3582">
        <v>1970</v>
      </c>
      <c r="H3582">
        <f>AVERAGEIFS(Table1[value],Table1[IndicatorCode],Table1[[#This Row],[IndicatorCode]])</f>
        <v>7.6894248608534319</v>
      </c>
      <c r="I3582" cm="1">
        <f t="array" ref="I3582">_xlfn.STDEV.P(IF(Table1[IndicatorCode]=Table1[[#This Row],[IndicatorCode]],Table1[value]))</f>
        <v>5.2319501044600996</v>
      </c>
      <c r="J3582">
        <f>(Table1[[#This Row],[value]] - Table1[[#This Row],[mean]]) / Table1[[#This Row],[std_dev]]</f>
        <v>9.0426273558716748</v>
      </c>
      <c r="K3582">
        <f>AVERAGEIF(Table1[CountryCode],Table1[[#This Row],[CountryCode]],Table1[z-score])</f>
        <v>1.6213099703277349</v>
      </c>
      <c r="L3582" t="e">
        <f>VLOOKUP(Table1[[#This Row],[CountryCode]],[1]!Table1[#Data],4,FALSE)</f>
        <v>#REF!</v>
      </c>
    </row>
    <row r="3583" spans="1:12" hidden="1" x14ac:dyDescent="0.3">
      <c r="A3583" t="s">
        <v>79</v>
      </c>
      <c r="B3583" t="s">
        <v>80</v>
      </c>
      <c r="C3583" t="s">
        <v>125</v>
      </c>
      <c r="D3583" t="s">
        <v>126</v>
      </c>
      <c r="E3583">
        <v>1974</v>
      </c>
      <c r="F3583" s="1">
        <v>50</v>
      </c>
      <c r="G3583">
        <v>1970</v>
      </c>
      <c r="H3583">
        <f>AVERAGEIFS(Table1[value],Table1[IndicatorCode],Table1[[#This Row],[IndicatorCode]])</f>
        <v>7.6894248608534319</v>
      </c>
      <c r="I3583" cm="1">
        <f t="array" ref="I3583">_xlfn.STDEV.P(IF(Table1[IndicatorCode]=Table1[[#This Row],[IndicatorCode]],Table1[value]))</f>
        <v>5.2319501044600996</v>
      </c>
      <c r="J3583">
        <f>(Table1[[#This Row],[value]] - Table1[[#This Row],[mean]]) / Table1[[#This Row],[std_dev]]</f>
        <v>8.0869607496978837</v>
      </c>
      <c r="K3583">
        <f>AVERAGEIF(Table1[CountryCode],Table1[[#This Row],[CountryCode]],Table1[z-score])</f>
        <v>1.6213099703277349</v>
      </c>
      <c r="L3583" t="e">
        <f>VLOOKUP(Table1[[#This Row],[CountryCode]],[1]!Table1[#Data],4,FALSE)</f>
        <v>#REF!</v>
      </c>
    </row>
    <row r="3584" spans="1:12" hidden="1" x14ac:dyDescent="0.3">
      <c r="A3584" t="s">
        <v>79</v>
      </c>
      <c r="B3584" t="s">
        <v>80</v>
      </c>
      <c r="C3584" t="s">
        <v>125</v>
      </c>
      <c r="D3584" t="s">
        <v>126</v>
      </c>
      <c r="E3584">
        <v>1975</v>
      </c>
      <c r="F3584" s="1">
        <v>39</v>
      </c>
      <c r="G3584">
        <v>1970</v>
      </c>
      <c r="H3584">
        <f>AVERAGEIFS(Table1[value],Table1[IndicatorCode],Table1[[#This Row],[IndicatorCode]])</f>
        <v>7.6894248608534319</v>
      </c>
      <c r="I3584" cm="1">
        <f t="array" ref="I3584">_xlfn.STDEV.P(IF(Table1[IndicatorCode]=Table1[[#This Row],[IndicatorCode]],Table1[value]))</f>
        <v>5.2319501044600996</v>
      </c>
      <c r="J3584">
        <f>(Table1[[#This Row],[value]] - Table1[[#This Row],[mean]]) / Table1[[#This Row],[std_dev]]</f>
        <v>5.9844942161155412</v>
      </c>
      <c r="K3584">
        <f>AVERAGEIF(Table1[CountryCode],Table1[[#This Row],[CountryCode]],Table1[z-score])</f>
        <v>1.6213099703277349</v>
      </c>
      <c r="L3584" t="e">
        <f>VLOOKUP(Table1[[#This Row],[CountryCode]],[1]!Table1[#Data],4,FALSE)</f>
        <v>#REF!</v>
      </c>
    </row>
    <row r="3585" spans="1:12" hidden="1" x14ac:dyDescent="0.3">
      <c r="A3585" t="s">
        <v>79</v>
      </c>
      <c r="B3585" t="s">
        <v>80</v>
      </c>
      <c r="C3585" t="s">
        <v>125</v>
      </c>
      <c r="D3585" t="s">
        <v>126</v>
      </c>
      <c r="E3585">
        <v>1976</v>
      </c>
      <c r="F3585" s="1">
        <v>42</v>
      </c>
      <c r="G3585">
        <v>1970</v>
      </c>
      <c r="H3585">
        <f>AVERAGEIFS(Table1[value],Table1[IndicatorCode],Table1[[#This Row],[IndicatorCode]])</f>
        <v>7.6894248608534319</v>
      </c>
      <c r="I3585" cm="1">
        <f t="array" ref="I3585">_xlfn.STDEV.P(IF(Table1[IndicatorCode]=Table1[[#This Row],[IndicatorCode]],Table1[value]))</f>
        <v>5.2319501044600996</v>
      </c>
      <c r="J3585">
        <f>(Table1[[#This Row],[value]] - Table1[[#This Row],[mean]]) / Table1[[#This Row],[std_dev]]</f>
        <v>6.557894179819816</v>
      </c>
      <c r="K3585">
        <f>AVERAGEIF(Table1[CountryCode],Table1[[#This Row],[CountryCode]],Table1[z-score])</f>
        <v>1.6213099703277349</v>
      </c>
      <c r="L3585" t="e">
        <f>VLOOKUP(Table1[[#This Row],[CountryCode]],[1]!Table1[#Data],4,FALSE)</f>
        <v>#REF!</v>
      </c>
    </row>
    <row r="3586" spans="1:12" hidden="1" x14ac:dyDescent="0.3">
      <c r="A3586" t="s">
        <v>79</v>
      </c>
      <c r="B3586" t="s">
        <v>80</v>
      </c>
      <c r="C3586" t="s">
        <v>125</v>
      </c>
      <c r="D3586" t="s">
        <v>126</v>
      </c>
      <c r="E3586">
        <v>1977</v>
      </c>
      <c r="F3586" s="1">
        <v>40</v>
      </c>
      <c r="G3586">
        <v>1980</v>
      </c>
      <c r="H3586">
        <f>AVERAGEIFS(Table1[value],Table1[IndicatorCode],Table1[[#This Row],[IndicatorCode]])</f>
        <v>7.6894248608534319</v>
      </c>
      <c r="I3586" cm="1">
        <f t="array" ref="I3586">_xlfn.STDEV.P(IF(Table1[IndicatorCode]=Table1[[#This Row],[IndicatorCode]],Table1[value]))</f>
        <v>5.2319501044600996</v>
      </c>
      <c r="J3586">
        <f>(Table1[[#This Row],[value]] - Table1[[#This Row],[mean]]) / Table1[[#This Row],[std_dev]]</f>
        <v>6.1756275373502989</v>
      </c>
      <c r="K3586">
        <f>AVERAGEIF(Table1[CountryCode],Table1[[#This Row],[CountryCode]],Table1[z-score])</f>
        <v>1.6213099703277349</v>
      </c>
      <c r="L3586" t="e">
        <f>VLOOKUP(Table1[[#This Row],[CountryCode]],[1]!Table1[#Data],4,FALSE)</f>
        <v>#REF!</v>
      </c>
    </row>
    <row r="3587" spans="1:12" hidden="1" x14ac:dyDescent="0.3">
      <c r="A3587" t="s">
        <v>79</v>
      </c>
      <c r="B3587" t="s">
        <v>80</v>
      </c>
      <c r="C3587" t="s">
        <v>125</v>
      </c>
      <c r="D3587" t="s">
        <v>126</v>
      </c>
      <c r="E3587">
        <v>1978</v>
      </c>
      <c r="F3587" s="1">
        <v>43</v>
      </c>
      <c r="G3587">
        <v>1980</v>
      </c>
      <c r="H3587">
        <f>AVERAGEIFS(Table1[value],Table1[IndicatorCode],Table1[[#This Row],[IndicatorCode]])</f>
        <v>7.6894248608534319</v>
      </c>
      <c r="I3587" cm="1">
        <f t="array" ref="I3587">_xlfn.STDEV.P(IF(Table1[IndicatorCode]=Table1[[#This Row],[IndicatorCode]],Table1[value]))</f>
        <v>5.2319501044600996</v>
      </c>
      <c r="J3587">
        <f>(Table1[[#This Row],[value]] - Table1[[#This Row],[mean]]) / Table1[[#This Row],[std_dev]]</f>
        <v>6.7490275010545746</v>
      </c>
      <c r="K3587">
        <f>AVERAGEIF(Table1[CountryCode],Table1[[#This Row],[CountryCode]],Table1[z-score])</f>
        <v>1.6213099703277349</v>
      </c>
      <c r="L3587" t="e">
        <f>VLOOKUP(Table1[[#This Row],[CountryCode]],[1]!Table1[#Data],4,FALSE)</f>
        <v>#REF!</v>
      </c>
    </row>
    <row r="3588" spans="1:12" hidden="1" x14ac:dyDescent="0.3">
      <c r="A3588" t="s">
        <v>79</v>
      </c>
      <c r="B3588" t="s">
        <v>80</v>
      </c>
      <c r="C3588" t="s">
        <v>125</v>
      </c>
      <c r="D3588" t="s">
        <v>126</v>
      </c>
      <c r="E3588">
        <v>1979</v>
      </c>
      <c r="F3588" s="1">
        <v>40</v>
      </c>
      <c r="G3588">
        <v>1980</v>
      </c>
      <c r="H3588">
        <f>AVERAGEIFS(Table1[value],Table1[IndicatorCode],Table1[[#This Row],[IndicatorCode]])</f>
        <v>7.6894248608534319</v>
      </c>
      <c r="I3588" cm="1">
        <f t="array" ref="I3588">_xlfn.STDEV.P(IF(Table1[IndicatorCode]=Table1[[#This Row],[IndicatorCode]],Table1[value]))</f>
        <v>5.2319501044600996</v>
      </c>
      <c r="J3588">
        <f>(Table1[[#This Row],[value]] - Table1[[#This Row],[mean]]) / Table1[[#This Row],[std_dev]]</f>
        <v>6.1756275373502989</v>
      </c>
      <c r="K3588">
        <f>AVERAGEIF(Table1[CountryCode],Table1[[#This Row],[CountryCode]],Table1[z-score])</f>
        <v>1.6213099703277349</v>
      </c>
      <c r="L3588" t="e">
        <f>VLOOKUP(Table1[[#This Row],[CountryCode]],[1]!Table1[#Data],4,FALSE)</f>
        <v>#REF!</v>
      </c>
    </row>
    <row r="3589" spans="1:12" hidden="1" x14ac:dyDescent="0.3">
      <c r="A3589" t="s">
        <v>79</v>
      </c>
      <c r="B3589" t="s">
        <v>80</v>
      </c>
      <c r="C3589" t="s">
        <v>125</v>
      </c>
      <c r="D3589" t="s">
        <v>126</v>
      </c>
      <c r="E3589">
        <v>1980</v>
      </c>
      <c r="F3589" s="1">
        <v>38</v>
      </c>
      <c r="G3589">
        <v>1980</v>
      </c>
      <c r="H3589">
        <f>AVERAGEIFS(Table1[value],Table1[IndicatorCode],Table1[[#This Row],[IndicatorCode]])</f>
        <v>7.6894248608534319</v>
      </c>
      <c r="I3589" cm="1">
        <f t="array" ref="I3589">_xlfn.STDEV.P(IF(Table1[IndicatorCode]=Table1[[#This Row],[IndicatorCode]],Table1[value]))</f>
        <v>5.2319501044600996</v>
      </c>
      <c r="J3589">
        <f>(Table1[[#This Row],[value]] - Table1[[#This Row],[mean]]) / Table1[[#This Row],[std_dev]]</f>
        <v>5.7933608948807827</v>
      </c>
      <c r="K3589">
        <f>AVERAGEIF(Table1[CountryCode],Table1[[#This Row],[CountryCode]],Table1[z-score])</f>
        <v>1.6213099703277349</v>
      </c>
      <c r="L3589" t="e">
        <f>VLOOKUP(Table1[[#This Row],[CountryCode]],[1]!Table1[#Data],4,FALSE)</f>
        <v>#REF!</v>
      </c>
    </row>
    <row r="3590" spans="1:12" hidden="1" x14ac:dyDescent="0.3">
      <c r="A3590" t="s">
        <v>79</v>
      </c>
      <c r="B3590" t="s">
        <v>80</v>
      </c>
      <c r="C3590" t="s">
        <v>125</v>
      </c>
      <c r="D3590" t="s">
        <v>126</v>
      </c>
      <c r="E3590">
        <v>1981</v>
      </c>
      <c r="F3590" s="1">
        <v>32</v>
      </c>
      <c r="G3590">
        <v>1980</v>
      </c>
      <c r="H3590">
        <f>AVERAGEIFS(Table1[value],Table1[IndicatorCode],Table1[[#This Row],[IndicatorCode]])</f>
        <v>7.6894248608534319</v>
      </c>
      <c r="I3590" cm="1">
        <f t="array" ref="I3590">_xlfn.STDEV.P(IF(Table1[IndicatorCode]=Table1[[#This Row],[IndicatorCode]],Table1[value]))</f>
        <v>5.2319501044600996</v>
      </c>
      <c r="J3590">
        <f>(Table1[[#This Row],[value]] - Table1[[#This Row],[mean]]) / Table1[[#This Row],[std_dev]]</f>
        <v>4.6465609674722321</v>
      </c>
      <c r="K3590">
        <f>AVERAGEIF(Table1[CountryCode],Table1[[#This Row],[CountryCode]],Table1[z-score])</f>
        <v>1.6213099703277349</v>
      </c>
      <c r="L3590" t="e">
        <f>VLOOKUP(Table1[[#This Row],[CountryCode]],[1]!Table1[#Data],4,FALSE)</f>
        <v>#REF!</v>
      </c>
    </row>
    <row r="3591" spans="1:12" hidden="1" x14ac:dyDescent="0.3">
      <c r="A3591" t="s">
        <v>79</v>
      </c>
      <c r="B3591" t="s">
        <v>80</v>
      </c>
      <c r="C3591" t="s">
        <v>125</v>
      </c>
      <c r="D3591" t="s">
        <v>126</v>
      </c>
      <c r="E3591">
        <v>1982</v>
      </c>
      <c r="F3591" s="1">
        <v>30</v>
      </c>
      <c r="G3591">
        <v>1980</v>
      </c>
      <c r="H3591">
        <f>AVERAGEIFS(Table1[value],Table1[IndicatorCode],Table1[[#This Row],[IndicatorCode]])</f>
        <v>7.6894248608534319</v>
      </c>
      <c r="I3591" cm="1">
        <f t="array" ref="I3591">_xlfn.STDEV.P(IF(Table1[IndicatorCode]=Table1[[#This Row],[IndicatorCode]],Table1[value]))</f>
        <v>5.2319501044600996</v>
      </c>
      <c r="J3591">
        <f>(Table1[[#This Row],[value]] - Table1[[#This Row],[mean]]) / Table1[[#This Row],[std_dev]]</f>
        <v>4.2642943250027159</v>
      </c>
      <c r="K3591">
        <f>AVERAGEIF(Table1[CountryCode],Table1[[#This Row],[CountryCode]],Table1[z-score])</f>
        <v>1.6213099703277349</v>
      </c>
      <c r="L3591" t="e">
        <f>VLOOKUP(Table1[[#This Row],[CountryCode]],[1]!Table1[#Data],4,FALSE)</f>
        <v>#REF!</v>
      </c>
    </row>
    <row r="3592" spans="1:12" hidden="1" x14ac:dyDescent="0.3">
      <c r="A3592" t="s">
        <v>79</v>
      </c>
      <c r="B3592" t="s">
        <v>80</v>
      </c>
      <c r="C3592" t="s">
        <v>125</v>
      </c>
      <c r="D3592" t="s">
        <v>126</v>
      </c>
      <c r="E3592">
        <v>1983</v>
      </c>
      <c r="F3592" s="1">
        <v>28</v>
      </c>
      <c r="G3592">
        <v>1980</v>
      </c>
      <c r="H3592">
        <f>AVERAGEIFS(Table1[value],Table1[IndicatorCode],Table1[[#This Row],[IndicatorCode]])</f>
        <v>7.6894248608534319</v>
      </c>
      <c r="I3592" cm="1">
        <f t="array" ref="I3592">_xlfn.STDEV.P(IF(Table1[IndicatorCode]=Table1[[#This Row],[IndicatorCode]],Table1[value]))</f>
        <v>5.2319501044600996</v>
      </c>
      <c r="J3592">
        <f>(Table1[[#This Row],[value]] - Table1[[#This Row],[mean]]) / Table1[[#This Row],[std_dev]]</f>
        <v>3.8820276825331987</v>
      </c>
      <c r="K3592">
        <f>AVERAGEIF(Table1[CountryCode],Table1[[#This Row],[CountryCode]],Table1[z-score])</f>
        <v>1.6213099703277349</v>
      </c>
      <c r="L3592" t="e">
        <f>VLOOKUP(Table1[[#This Row],[CountryCode]],[1]!Table1[#Data],4,FALSE)</f>
        <v>#REF!</v>
      </c>
    </row>
    <row r="3593" spans="1:12" hidden="1" x14ac:dyDescent="0.3">
      <c r="A3593" t="s">
        <v>79</v>
      </c>
      <c r="B3593" t="s">
        <v>80</v>
      </c>
      <c r="C3593" t="s">
        <v>125</v>
      </c>
      <c r="D3593" t="s">
        <v>126</v>
      </c>
      <c r="E3593">
        <v>1984</v>
      </c>
      <c r="F3593" s="1">
        <v>31</v>
      </c>
      <c r="G3593">
        <v>1980</v>
      </c>
      <c r="H3593">
        <f>AVERAGEIFS(Table1[value],Table1[IndicatorCode],Table1[[#This Row],[IndicatorCode]])</f>
        <v>7.6894248608534319</v>
      </c>
      <c r="I3593" cm="1">
        <f t="array" ref="I3593">_xlfn.STDEV.P(IF(Table1[IndicatorCode]=Table1[[#This Row],[IndicatorCode]],Table1[value]))</f>
        <v>5.2319501044600996</v>
      </c>
      <c r="J3593">
        <f>(Table1[[#This Row],[value]] - Table1[[#This Row],[mean]]) / Table1[[#This Row],[std_dev]]</f>
        <v>4.4554276462374744</v>
      </c>
      <c r="K3593">
        <f>AVERAGEIF(Table1[CountryCode],Table1[[#This Row],[CountryCode]],Table1[z-score])</f>
        <v>1.6213099703277349</v>
      </c>
      <c r="L3593" t="e">
        <f>VLOOKUP(Table1[[#This Row],[CountryCode]],[1]!Table1[#Data],4,FALSE)</f>
        <v>#REF!</v>
      </c>
    </row>
    <row r="3594" spans="1:12" hidden="1" x14ac:dyDescent="0.3">
      <c r="A3594" t="s">
        <v>79</v>
      </c>
      <c r="B3594" t="s">
        <v>80</v>
      </c>
      <c r="C3594" t="s">
        <v>125</v>
      </c>
      <c r="D3594" t="s">
        <v>126</v>
      </c>
      <c r="E3594">
        <v>1985</v>
      </c>
      <c r="F3594" s="1">
        <v>31</v>
      </c>
      <c r="G3594">
        <v>1980</v>
      </c>
      <c r="H3594">
        <f>AVERAGEIFS(Table1[value],Table1[IndicatorCode],Table1[[#This Row],[IndicatorCode]])</f>
        <v>7.6894248608534319</v>
      </c>
      <c r="I3594" cm="1">
        <f t="array" ref="I3594">_xlfn.STDEV.P(IF(Table1[IndicatorCode]=Table1[[#This Row],[IndicatorCode]],Table1[value]))</f>
        <v>5.2319501044600996</v>
      </c>
      <c r="J3594">
        <f>(Table1[[#This Row],[value]] - Table1[[#This Row],[mean]]) / Table1[[#This Row],[std_dev]]</f>
        <v>4.4554276462374744</v>
      </c>
      <c r="K3594">
        <f>AVERAGEIF(Table1[CountryCode],Table1[[#This Row],[CountryCode]],Table1[z-score])</f>
        <v>1.6213099703277349</v>
      </c>
      <c r="L3594" t="e">
        <f>VLOOKUP(Table1[[#This Row],[CountryCode]],[1]!Table1[#Data],4,FALSE)</f>
        <v>#REF!</v>
      </c>
    </row>
    <row r="3595" spans="1:12" hidden="1" x14ac:dyDescent="0.3">
      <c r="A3595" t="s">
        <v>79</v>
      </c>
      <c r="B3595" t="s">
        <v>80</v>
      </c>
      <c r="C3595" t="s">
        <v>125</v>
      </c>
      <c r="D3595" t="s">
        <v>126</v>
      </c>
      <c r="E3595">
        <v>1986</v>
      </c>
      <c r="F3595" s="1">
        <v>30</v>
      </c>
      <c r="G3595">
        <v>1980</v>
      </c>
      <c r="H3595">
        <f>AVERAGEIFS(Table1[value],Table1[IndicatorCode],Table1[[#This Row],[IndicatorCode]])</f>
        <v>7.6894248608534319</v>
      </c>
      <c r="I3595" cm="1">
        <f t="array" ref="I3595">_xlfn.STDEV.P(IF(Table1[IndicatorCode]=Table1[[#This Row],[IndicatorCode]],Table1[value]))</f>
        <v>5.2319501044600996</v>
      </c>
      <c r="J3595">
        <f>(Table1[[#This Row],[value]] - Table1[[#This Row],[mean]]) / Table1[[#This Row],[std_dev]]</f>
        <v>4.2642943250027159</v>
      </c>
      <c r="K3595">
        <f>AVERAGEIF(Table1[CountryCode],Table1[[#This Row],[CountryCode]],Table1[z-score])</f>
        <v>1.6213099703277349</v>
      </c>
      <c r="L3595" t="e">
        <f>VLOOKUP(Table1[[#This Row],[CountryCode]],[1]!Table1[#Data],4,FALSE)</f>
        <v>#REF!</v>
      </c>
    </row>
    <row r="3596" spans="1:12" hidden="1" x14ac:dyDescent="0.3">
      <c r="A3596" t="s">
        <v>79</v>
      </c>
      <c r="B3596" t="s">
        <v>80</v>
      </c>
      <c r="C3596" t="s">
        <v>125</v>
      </c>
      <c r="D3596" t="s">
        <v>126</v>
      </c>
      <c r="E3596">
        <v>1987</v>
      </c>
      <c r="F3596" s="1">
        <v>28</v>
      </c>
      <c r="G3596">
        <v>1990</v>
      </c>
      <c r="H3596">
        <f>AVERAGEIFS(Table1[value],Table1[IndicatorCode],Table1[[#This Row],[IndicatorCode]])</f>
        <v>7.6894248608534319</v>
      </c>
      <c r="I3596" cm="1">
        <f t="array" ref="I3596">_xlfn.STDEV.P(IF(Table1[IndicatorCode]=Table1[[#This Row],[IndicatorCode]],Table1[value]))</f>
        <v>5.2319501044600996</v>
      </c>
      <c r="J3596">
        <f>(Table1[[#This Row],[value]] - Table1[[#This Row],[mean]]) / Table1[[#This Row],[std_dev]]</f>
        <v>3.8820276825331987</v>
      </c>
      <c r="K3596">
        <f>AVERAGEIF(Table1[CountryCode],Table1[[#This Row],[CountryCode]],Table1[z-score])</f>
        <v>1.6213099703277349</v>
      </c>
      <c r="L3596" t="e">
        <f>VLOOKUP(Table1[[#This Row],[CountryCode]],[1]!Table1[#Data],4,FALSE)</f>
        <v>#REF!</v>
      </c>
    </row>
    <row r="3597" spans="1:12" hidden="1" x14ac:dyDescent="0.3">
      <c r="A3597" t="s">
        <v>79</v>
      </c>
      <c r="B3597" t="s">
        <v>80</v>
      </c>
      <c r="C3597" t="s">
        <v>125</v>
      </c>
      <c r="D3597" t="s">
        <v>126</v>
      </c>
      <c r="E3597">
        <v>1988</v>
      </c>
      <c r="F3597" s="1">
        <v>29</v>
      </c>
      <c r="G3597">
        <v>1990</v>
      </c>
      <c r="H3597">
        <f>AVERAGEIFS(Table1[value],Table1[IndicatorCode],Table1[[#This Row],[IndicatorCode]])</f>
        <v>7.6894248608534319</v>
      </c>
      <c r="I3597" cm="1">
        <f t="array" ref="I3597">_xlfn.STDEV.P(IF(Table1[IndicatorCode]=Table1[[#This Row],[IndicatorCode]],Table1[value]))</f>
        <v>5.2319501044600996</v>
      </c>
      <c r="J3597">
        <f>(Table1[[#This Row],[value]] - Table1[[#This Row],[mean]]) / Table1[[#This Row],[std_dev]]</f>
        <v>4.0731610037679573</v>
      </c>
      <c r="K3597">
        <f>AVERAGEIF(Table1[CountryCode],Table1[[#This Row],[CountryCode]],Table1[z-score])</f>
        <v>1.6213099703277349</v>
      </c>
      <c r="L3597" t="e">
        <f>VLOOKUP(Table1[[#This Row],[CountryCode]],[1]!Table1[#Data],4,FALSE)</f>
        <v>#REF!</v>
      </c>
    </row>
    <row r="3598" spans="1:12" hidden="1" x14ac:dyDescent="0.3">
      <c r="A3598" t="s">
        <v>79</v>
      </c>
      <c r="B3598" t="s">
        <v>80</v>
      </c>
      <c r="C3598" t="s">
        <v>125</v>
      </c>
      <c r="D3598" t="s">
        <v>126</v>
      </c>
      <c r="E3598">
        <v>1989</v>
      </c>
      <c r="F3598" s="1">
        <v>31</v>
      </c>
      <c r="G3598">
        <v>1990</v>
      </c>
      <c r="H3598">
        <f>AVERAGEIFS(Table1[value],Table1[IndicatorCode],Table1[[#This Row],[IndicatorCode]])</f>
        <v>7.6894248608534319</v>
      </c>
      <c r="I3598" cm="1">
        <f t="array" ref="I3598">_xlfn.STDEV.P(IF(Table1[IndicatorCode]=Table1[[#This Row],[IndicatorCode]],Table1[value]))</f>
        <v>5.2319501044600996</v>
      </c>
      <c r="J3598">
        <f>(Table1[[#This Row],[value]] - Table1[[#This Row],[mean]]) / Table1[[#This Row],[std_dev]]</f>
        <v>4.4554276462374744</v>
      </c>
      <c r="K3598">
        <f>AVERAGEIF(Table1[CountryCode],Table1[[#This Row],[CountryCode]],Table1[z-score])</f>
        <v>1.6213099703277349</v>
      </c>
      <c r="L3598" t="e">
        <f>VLOOKUP(Table1[[#This Row],[CountryCode]],[1]!Table1[#Data],4,FALSE)</f>
        <v>#REF!</v>
      </c>
    </row>
    <row r="3599" spans="1:12" hidden="1" x14ac:dyDescent="0.3">
      <c r="A3599" t="s">
        <v>79</v>
      </c>
      <c r="B3599" t="s">
        <v>80</v>
      </c>
      <c r="C3599" t="s">
        <v>125</v>
      </c>
      <c r="D3599" t="s">
        <v>126</v>
      </c>
      <c r="E3599">
        <v>1990</v>
      </c>
      <c r="F3599" s="1">
        <v>31</v>
      </c>
      <c r="G3599">
        <v>1990</v>
      </c>
      <c r="H3599">
        <f>AVERAGEIFS(Table1[value],Table1[IndicatorCode],Table1[[#This Row],[IndicatorCode]])</f>
        <v>7.6894248608534319</v>
      </c>
      <c r="I3599" cm="1">
        <f t="array" ref="I3599">_xlfn.STDEV.P(IF(Table1[IndicatorCode]=Table1[[#This Row],[IndicatorCode]],Table1[value]))</f>
        <v>5.2319501044600996</v>
      </c>
      <c r="J3599">
        <f>(Table1[[#This Row],[value]] - Table1[[#This Row],[mean]]) / Table1[[#This Row],[std_dev]]</f>
        <v>4.4554276462374744</v>
      </c>
      <c r="K3599">
        <f>AVERAGEIF(Table1[CountryCode],Table1[[#This Row],[CountryCode]],Table1[z-score])</f>
        <v>1.6213099703277349</v>
      </c>
      <c r="L3599" t="e">
        <f>VLOOKUP(Table1[[#This Row],[CountryCode]],[1]!Table1[#Data],4,FALSE)</f>
        <v>#REF!</v>
      </c>
    </row>
    <row r="3600" spans="1:12" hidden="1" x14ac:dyDescent="0.3">
      <c r="A3600" t="s">
        <v>79</v>
      </c>
      <c r="B3600" t="s">
        <v>80</v>
      </c>
      <c r="C3600" t="s">
        <v>125</v>
      </c>
      <c r="D3600" t="s">
        <v>126</v>
      </c>
      <c r="E3600">
        <v>1991</v>
      </c>
      <c r="F3600" s="1">
        <v>32</v>
      </c>
      <c r="G3600">
        <v>1990</v>
      </c>
      <c r="H3600">
        <f>AVERAGEIFS(Table1[value],Table1[IndicatorCode],Table1[[#This Row],[IndicatorCode]])</f>
        <v>7.6894248608534319</v>
      </c>
      <c r="I3600" cm="1">
        <f t="array" ref="I3600">_xlfn.STDEV.P(IF(Table1[IndicatorCode]=Table1[[#This Row],[IndicatorCode]],Table1[value]))</f>
        <v>5.2319501044600996</v>
      </c>
      <c r="J3600">
        <f>(Table1[[#This Row],[value]] - Table1[[#This Row],[mean]]) / Table1[[#This Row],[std_dev]]</f>
        <v>4.6465609674722321</v>
      </c>
      <c r="K3600">
        <f>AVERAGEIF(Table1[CountryCode],Table1[[#This Row],[CountryCode]],Table1[z-score])</f>
        <v>1.6213099703277349</v>
      </c>
      <c r="L3600" t="e">
        <f>VLOOKUP(Table1[[#This Row],[CountryCode]],[1]!Table1[#Data],4,FALSE)</f>
        <v>#REF!</v>
      </c>
    </row>
    <row r="3601" spans="1:12" hidden="1" x14ac:dyDescent="0.3">
      <c r="A3601" t="s">
        <v>79</v>
      </c>
      <c r="B3601" t="s">
        <v>80</v>
      </c>
      <c r="C3601" t="s">
        <v>125</v>
      </c>
      <c r="D3601" t="s">
        <v>126</v>
      </c>
      <c r="E3601">
        <v>1992</v>
      </c>
      <c r="F3601" s="1">
        <v>31</v>
      </c>
      <c r="G3601">
        <v>1990</v>
      </c>
      <c r="H3601">
        <f>AVERAGEIFS(Table1[value],Table1[IndicatorCode],Table1[[#This Row],[IndicatorCode]])</f>
        <v>7.6894248608534319</v>
      </c>
      <c r="I3601" cm="1">
        <f t="array" ref="I3601">_xlfn.STDEV.P(IF(Table1[IndicatorCode]=Table1[[#This Row],[IndicatorCode]],Table1[value]))</f>
        <v>5.2319501044600996</v>
      </c>
      <c r="J3601">
        <f>(Table1[[#This Row],[value]] - Table1[[#This Row],[mean]]) / Table1[[#This Row],[std_dev]]</f>
        <v>4.4554276462374744</v>
      </c>
      <c r="K3601">
        <f>AVERAGEIF(Table1[CountryCode],Table1[[#This Row],[CountryCode]],Table1[z-score])</f>
        <v>1.6213099703277349</v>
      </c>
      <c r="L3601" t="e">
        <f>VLOOKUP(Table1[[#This Row],[CountryCode]],[1]!Table1[#Data],4,FALSE)</f>
        <v>#REF!</v>
      </c>
    </row>
    <row r="3602" spans="1:12" hidden="1" x14ac:dyDescent="0.3">
      <c r="A3602" t="s">
        <v>79</v>
      </c>
      <c r="B3602" t="s">
        <v>80</v>
      </c>
      <c r="C3602" t="s">
        <v>125</v>
      </c>
      <c r="D3602" t="s">
        <v>126</v>
      </c>
      <c r="E3602">
        <v>1993</v>
      </c>
      <c r="F3602" s="1">
        <v>31</v>
      </c>
      <c r="G3602">
        <v>1990</v>
      </c>
      <c r="H3602">
        <f>AVERAGEIFS(Table1[value],Table1[IndicatorCode],Table1[[#This Row],[IndicatorCode]])</f>
        <v>7.6894248608534319</v>
      </c>
      <c r="I3602" cm="1">
        <f t="array" ref="I3602">_xlfn.STDEV.P(IF(Table1[IndicatorCode]=Table1[[#This Row],[IndicatorCode]],Table1[value]))</f>
        <v>5.2319501044600996</v>
      </c>
      <c r="J3602">
        <f>(Table1[[#This Row],[value]] - Table1[[#This Row],[mean]]) / Table1[[#This Row],[std_dev]]</f>
        <v>4.4554276462374744</v>
      </c>
      <c r="K3602">
        <f>AVERAGEIF(Table1[CountryCode],Table1[[#This Row],[CountryCode]],Table1[z-score])</f>
        <v>1.6213099703277349</v>
      </c>
      <c r="L3602" t="e">
        <f>VLOOKUP(Table1[[#This Row],[CountryCode]],[1]!Table1[#Data],4,FALSE)</f>
        <v>#REF!</v>
      </c>
    </row>
    <row r="3603" spans="1:12" hidden="1" x14ac:dyDescent="0.3">
      <c r="A3603" t="s">
        <v>79</v>
      </c>
      <c r="B3603" t="s">
        <v>80</v>
      </c>
      <c r="C3603" t="s">
        <v>125</v>
      </c>
      <c r="D3603" t="s">
        <v>126</v>
      </c>
      <c r="E3603">
        <v>1994</v>
      </c>
      <c r="F3603" s="1">
        <v>28</v>
      </c>
      <c r="G3603">
        <v>1990</v>
      </c>
      <c r="H3603">
        <f>AVERAGEIFS(Table1[value],Table1[IndicatorCode],Table1[[#This Row],[IndicatorCode]])</f>
        <v>7.6894248608534319</v>
      </c>
      <c r="I3603" cm="1">
        <f t="array" ref="I3603">_xlfn.STDEV.P(IF(Table1[IndicatorCode]=Table1[[#This Row],[IndicatorCode]],Table1[value]))</f>
        <v>5.2319501044600996</v>
      </c>
      <c r="J3603">
        <f>(Table1[[#This Row],[value]] - Table1[[#This Row],[mean]]) / Table1[[#This Row],[std_dev]]</f>
        <v>3.8820276825331987</v>
      </c>
      <c r="K3603">
        <f>AVERAGEIF(Table1[CountryCode],Table1[[#This Row],[CountryCode]],Table1[z-score])</f>
        <v>1.6213099703277349</v>
      </c>
      <c r="L3603" t="e">
        <f>VLOOKUP(Table1[[#This Row],[CountryCode]],[1]!Table1[#Data],4,FALSE)</f>
        <v>#REF!</v>
      </c>
    </row>
    <row r="3604" spans="1:12" hidden="1" x14ac:dyDescent="0.3">
      <c r="A3604" t="s">
        <v>79</v>
      </c>
      <c r="B3604" t="s">
        <v>80</v>
      </c>
      <c r="C3604" t="s">
        <v>125</v>
      </c>
      <c r="D3604" t="s">
        <v>126</v>
      </c>
      <c r="E3604">
        <v>1995</v>
      </c>
      <c r="F3604" s="1">
        <v>22</v>
      </c>
      <c r="G3604">
        <v>1990</v>
      </c>
      <c r="H3604">
        <f>AVERAGEIFS(Table1[value],Table1[IndicatorCode],Table1[[#This Row],[IndicatorCode]])</f>
        <v>7.6894248608534319</v>
      </c>
      <c r="I3604" cm="1">
        <f t="array" ref="I3604">_xlfn.STDEV.P(IF(Table1[IndicatorCode]=Table1[[#This Row],[IndicatorCode]],Table1[value]))</f>
        <v>5.2319501044600996</v>
      </c>
      <c r="J3604">
        <f>(Table1[[#This Row],[value]] - Table1[[#This Row],[mean]]) / Table1[[#This Row],[std_dev]]</f>
        <v>2.7352277551246487</v>
      </c>
      <c r="K3604">
        <f>AVERAGEIF(Table1[CountryCode],Table1[[#This Row],[CountryCode]],Table1[z-score])</f>
        <v>1.6213099703277349</v>
      </c>
      <c r="L3604" t="e">
        <f>VLOOKUP(Table1[[#This Row],[CountryCode]],[1]!Table1[#Data],4,FALSE)</f>
        <v>#REF!</v>
      </c>
    </row>
    <row r="3605" spans="1:12" hidden="1" x14ac:dyDescent="0.3">
      <c r="A3605" t="s">
        <v>79</v>
      </c>
      <c r="B3605" t="s">
        <v>80</v>
      </c>
      <c r="C3605" t="s">
        <v>125</v>
      </c>
      <c r="D3605" t="s">
        <v>126</v>
      </c>
      <c r="E3605">
        <v>1996</v>
      </c>
      <c r="F3605" s="1">
        <v>22</v>
      </c>
      <c r="G3605">
        <v>1990</v>
      </c>
      <c r="H3605">
        <f>AVERAGEIFS(Table1[value],Table1[IndicatorCode],Table1[[#This Row],[IndicatorCode]])</f>
        <v>7.6894248608534319</v>
      </c>
      <c r="I3605" cm="1">
        <f t="array" ref="I3605">_xlfn.STDEV.P(IF(Table1[IndicatorCode]=Table1[[#This Row],[IndicatorCode]],Table1[value]))</f>
        <v>5.2319501044600996</v>
      </c>
      <c r="J3605">
        <f>(Table1[[#This Row],[value]] - Table1[[#This Row],[mean]]) / Table1[[#This Row],[std_dev]]</f>
        <v>2.7352277551246487</v>
      </c>
      <c r="K3605">
        <f>AVERAGEIF(Table1[CountryCode],Table1[[#This Row],[CountryCode]],Table1[z-score])</f>
        <v>1.6213099703277349</v>
      </c>
      <c r="L3605" t="e">
        <f>VLOOKUP(Table1[[#This Row],[CountryCode]],[1]!Table1[#Data],4,FALSE)</f>
        <v>#REF!</v>
      </c>
    </row>
    <row r="3606" spans="1:12" hidden="1" x14ac:dyDescent="0.3">
      <c r="A3606" t="s">
        <v>79</v>
      </c>
      <c r="B3606" t="s">
        <v>80</v>
      </c>
      <c r="C3606" t="s">
        <v>125</v>
      </c>
      <c r="D3606" t="s">
        <v>126</v>
      </c>
      <c r="E3606">
        <v>1997</v>
      </c>
      <c r="F3606" s="1">
        <v>20</v>
      </c>
      <c r="G3606">
        <v>2000</v>
      </c>
      <c r="H3606">
        <f>AVERAGEIFS(Table1[value],Table1[IndicatorCode],Table1[[#This Row],[IndicatorCode]])</f>
        <v>7.6894248608534319</v>
      </c>
      <c r="I3606" cm="1">
        <f t="array" ref="I3606">_xlfn.STDEV.P(IF(Table1[IndicatorCode]=Table1[[#This Row],[IndicatorCode]],Table1[value]))</f>
        <v>5.2319501044600996</v>
      </c>
      <c r="J3606">
        <f>(Table1[[#This Row],[value]] - Table1[[#This Row],[mean]]) / Table1[[#This Row],[std_dev]]</f>
        <v>2.3529611126551315</v>
      </c>
      <c r="K3606">
        <f>AVERAGEIF(Table1[CountryCode],Table1[[#This Row],[CountryCode]],Table1[z-score])</f>
        <v>1.6213099703277349</v>
      </c>
      <c r="L3606" t="e">
        <f>VLOOKUP(Table1[[#This Row],[CountryCode]],[1]!Table1[#Data],4,FALSE)</f>
        <v>#REF!</v>
      </c>
    </row>
    <row r="3607" spans="1:12" hidden="1" x14ac:dyDescent="0.3">
      <c r="A3607" t="s">
        <v>79</v>
      </c>
      <c r="B3607" t="s">
        <v>80</v>
      </c>
      <c r="C3607" t="s">
        <v>125</v>
      </c>
      <c r="D3607" t="s">
        <v>126</v>
      </c>
      <c r="E3607">
        <v>1998</v>
      </c>
      <c r="F3607" s="1">
        <v>18</v>
      </c>
      <c r="G3607">
        <v>2000</v>
      </c>
      <c r="H3607">
        <f>AVERAGEIFS(Table1[value],Table1[IndicatorCode],Table1[[#This Row],[IndicatorCode]])</f>
        <v>7.6894248608534319</v>
      </c>
      <c r="I3607" cm="1">
        <f t="array" ref="I3607">_xlfn.STDEV.P(IF(Table1[IndicatorCode]=Table1[[#This Row],[IndicatorCode]],Table1[value]))</f>
        <v>5.2319501044600996</v>
      </c>
      <c r="J3607">
        <f>(Table1[[#This Row],[value]] - Table1[[#This Row],[mean]]) / Table1[[#This Row],[std_dev]]</f>
        <v>1.9706944701856148</v>
      </c>
      <c r="K3607">
        <f>AVERAGEIF(Table1[CountryCode],Table1[[#This Row],[CountryCode]],Table1[z-score])</f>
        <v>1.6213099703277349</v>
      </c>
      <c r="L3607" t="e">
        <f>VLOOKUP(Table1[[#This Row],[CountryCode]],[1]!Table1[#Data],4,FALSE)</f>
        <v>#REF!</v>
      </c>
    </row>
    <row r="3608" spans="1:12" hidden="1" x14ac:dyDescent="0.3">
      <c r="A3608" t="s">
        <v>79</v>
      </c>
      <c r="B3608" t="s">
        <v>80</v>
      </c>
      <c r="C3608" t="s">
        <v>125</v>
      </c>
      <c r="D3608" t="s">
        <v>126</v>
      </c>
      <c r="E3608">
        <v>1999</v>
      </c>
      <c r="F3608" s="1">
        <v>19</v>
      </c>
      <c r="G3608">
        <v>2000</v>
      </c>
      <c r="H3608">
        <f>AVERAGEIFS(Table1[value],Table1[IndicatorCode],Table1[[#This Row],[IndicatorCode]])</f>
        <v>7.6894248608534319</v>
      </c>
      <c r="I3608" cm="1">
        <f t="array" ref="I3608">_xlfn.STDEV.P(IF(Table1[IndicatorCode]=Table1[[#This Row],[IndicatorCode]],Table1[value]))</f>
        <v>5.2319501044600996</v>
      </c>
      <c r="J3608">
        <f>(Table1[[#This Row],[value]] - Table1[[#This Row],[mean]]) / Table1[[#This Row],[std_dev]]</f>
        <v>2.1618277914203734</v>
      </c>
      <c r="K3608">
        <f>AVERAGEIF(Table1[CountryCode],Table1[[#This Row],[CountryCode]],Table1[z-score])</f>
        <v>1.6213099703277349</v>
      </c>
      <c r="L3608" t="e">
        <f>VLOOKUP(Table1[[#This Row],[CountryCode]],[1]!Table1[#Data],4,FALSE)</f>
        <v>#REF!</v>
      </c>
    </row>
    <row r="3609" spans="1:12" hidden="1" x14ac:dyDescent="0.3">
      <c r="A3609" t="s">
        <v>79</v>
      </c>
      <c r="B3609" t="s">
        <v>80</v>
      </c>
      <c r="C3609" t="s">
        <v>125</v>
      </c>
      <c r="D3609" t="s">
        <v>126</v>
      </c>
      <c r="E3609">
        <v>2000</v>
      </c>
      <c r="F3609" s="1">
        <v>20</v>
      </c>
      <c r="G3609">
        <v>2000</v>
      </c>
      <c r="H3609">
        <f>AVERAGEIFS(Table1[value],Table1[IndicatorCode],Table1[[#This Row],[IndicatorCode]])</f>
        <v>7.6894248608534319</v>
      </c>
      <c r="I3609" cm="1">
        <f t="array" ref="I3609">_xlfn.STDEV.P(IF(Table1[IndicatorCode]=Table1[[#This Row],[IndicatorCode]],Table1[value]))</f>
        <v>5.2319501044600996</v>
      </c>
      <c r="J3609">
        <f>(Table1[[#This Row],[value]] - Table1[[#This Row],[mean]]) / Table1[[#This Row],[std_dev]]</f>
        <v>2.3529611126551315</v>
      </c>
      <c r="K3609">
        <f>AVERAGEIF(Table1[CountryCode],Table1[[#This Row],[CountryCode]],Table1[z-score])</f>
        <v>1.6213099703277349</v>
      </c>
      <c r="L3609" t="e">
        <f>VLOOKUP(Table1[[#This Row],[CountryCode]],[1]!Table1[#Data],4,FALSE)</f>
        <v>#REF!</v>
      </c>
    </row>
    <row r="3610" spans="1:12" hidden="1" x14ac:dyDescent="0.3">
      <c r="A3610" t="s">
        <v>79</v>
      </c>
      <c r="B3610" t="s">
        <v>80</v>
      </c>
      <c r="C3610" t="s">
        <v>125</v>
      </c>
      <c r="D3610" t="s">
        <v>126</v>
      </c>
      <c r="E3610">
        <v>2001</v>
      </c>
      <c r="F3610" s="1">
        <v>21</v>
      </c>
      <c r="G3610">
        <v>2000</v>
      </c>
      <c r="H3610">
        <f>AVERAGEIFS(Table1[value],Table1[IndicatorCode],Table1[[#This Row],[IndicatorCode]])</f>
        <v>7.6894248608534319</v>
      </c>
      <c r="I3610" cm="1">
        <f t="array" ref="I3610">_xlfn.STDEV.P(IF(Table1[IndicatorCode]=Table1[[#This Row],[IndicatorCode]],Table1[value]))</f>
        <v>5.2319501044600996</v>
      </c>
      <c r="J3610">
        <f>(Table1[[#This Row],[value]] - Table1[[#This Row],[mean]]) / Table1[[#This Row],[std_dev]]</f>
        <v>2.5440944338898901</v>
      </c>
      <c r="K3610">
        <f>AVERAGEIF(Table1[CountryCode],Table1[[#This Row],[CountryCode]],Table1[z-score])</f>
        <v>1.6213099703277349</v>
      </c>
      <c r="L3610" t="e">
        <f>VLOOKUP(Table1[[#This Row],[CountryCode]],[1]!Table1[#Data],4,FALSE)</f>
        <v>#REF!</v>
      </c>
    </row>
    <row r="3611" spans="1:12" hidden="1" x14ac:dyDescent="0.3">
      <c r="A3611" t="s">
        <v>79</v>
      </c>
      <c r="B3611" t="s">
        <v>80</v>
      </c>
      <c r="C3611" t="s">
        <v>125</v>
      </c>
      <c r="D3611" t="s">
        <v>126</v>
      </c>
      <c r="E3611">
        <v>2002</v>
      </c>
      <c r="F3611" s="1">
        <v>22</v>
      </c>
      <c r="G3611">
        <v>2000</v>
      </c>
      <c r="H3611">
        <f>AVERAGEIFS(Table1[value],Table1[IndicatorCode],Table1[[#This Row],[IndicatorCode]])</f>
        <v>7.6894248608534319</v>
      </c>
      <c r="I3611" cm="1">
        <f t="array" ref="I3611">_xlfn.STDEV.P(IF(Table1[IndicatorCode]=Table1[[#This Row],[IndicatorCode]],Table1[value]))</f>
        <v>5.2319501044600996</v>
      </c>
      <c r="J3611">
        <f>(Table1[[#This Row],[value]] - Table1[[#This Row],[mean]]) / Table1[[#This Row],[std_dev]]</f>
        <v>2.7352277551246487</v>
      </c>
      <c r="K3611">
        <f>AVERAGEIF(Table1[CountryCode],Table1[[#This Row],[CountryCode]],Table1[z-score])</f>
        <v>1.6213099703277349</v>
      </c>
      <c r="L3611" t="e">
        <f>VLOOKUP(Table1[[#This Row],[CountryCode]],[1]!Table1[#Data],4,FALSE)</f>
        <v>#REF!</v>
      </c>
    </row>
    <row r="3612" spans="1:12" hidden="1" x14ac:dyDescent="0.3">
      <c r="A3612" t="s">
        <v>79</v>
      </c>
      <c r="B3612" t="s">
        <v>80</v>
      </c>
      <c r="C3612" t="s">
        <v>125</v>
      </c>
      <c r="D3612" t="s">
        <v>126</v>
      </c>
      <c r="E3612">
        <v>2003</v>
      </c>
      <c r="F3612" s="1">
        <v>23</v>
      </c>
      <c r="G3612">
        <v>2000</v>
      </c>
      <c r="H3612">
        <f>AVERAGEIFS(Table1[value],Table1[IndicatorCode],Table1[[#This Row],[IndicatorCode]])</f>
        <v>7.6894248608534319</v>
      </c>
      <c r="I3612" cm="1">
        <f t="array" ref="I3612">_xlfn.STDEV.P(IF(Table1[IndicatorCode]=Table1[[#This Row],[IndicatorCode]],Table1[value]))</f>
        <v>5.2319501044600996</v>
      </c>
      <c r="J3612">
        <f>(Table1[[#This Row],[value]] - Table1[[#This Row],[mean]]) / Table1[[#This Row],[std_dev]]</f>
        <v>2.9263610763594068</v>
      </c>
      <c r="K3612">
        <f>AVERAGEIF(Table1[CountryCode],Table1[[#This Row],[CountryCode]],Table1[z-score])</f>
        <v>1.6213099703277349</v>
      </c>
      <c r="L3612" t="e">
        <f>VLOOKUP(Table1[[#This Row],[CountryCode]],[1]!Table1[#Data],4,FALSE)</f>
        <v>#REF!</v>
      </c>
    </row>
    <row r="3613" spans="1:12" hidden="1" x14ac:dyDescent="0.3">
      <c r="A3613" t="s">
        <v>79</v>
      </c>
      <c r="B3613" t="s">
        <v>80</v>
      </c>
      <c r="C3613" t="s">
        <v>125</v>
      </c>
      <c r="D3613" t="s">
        <v>126</v>
      </c>
      <c r="E3613">
        <v>2004</v>
      </c>
      <c r="F3613" s="1">
        <v>26</v>
      </c>
      <c r="G3613">
        <v>2000</v>
      </c>
      <c r="H3613">
        <f>AVERAGEIFS(Table1[value],Table1[IndicatorCode],Table1[[#This Row],[IndicatorCode]])</f>
        <v>7.6894248608534319</v>
      </c>
      <c r="I3613" cm="1">
        <f t="array" ref="I3613">_xlfn.STDEV.P(IF(Table1[IndicatorCode]=Table1[[#This Row],[IndicatorCode]],Table1[value]))</f>
        <v>5.2319501044600996</v>
      </c>
      <c r="J3613">
        <f>(Table1[[#This Row],[value]] - Table1[[#This Row],[mean]]) / Table1[[#This Row],[std_dev]]</f>
        <v>3.499761040063682</v>
      </c>
      <c r="K3613">
        <f>AVERAGEIF(Table1[CountryCode],Table1[[#This Row],[CountryCode]],Table1[z-score])</f>
        <v>1.6213099703277349</v>
      </c>
      <c r="L3613" t="e">
        <f>VLOOKUP(Table1[[#This Row],[CountryCode]],[1]!Table1[#Data],4,FALSE)</f>
        <v>#REF!</v>
      </c>
    </row>
    <row r="3614" spans="1:12" hidden="1" x14ac:dyDescent="0.3">
      <c r="A3614" t="s">
        <v>79</v>
      </c>
      <c r="B3614" t="s">
        <v>80</v>
      </c>
      <c r="C3614" t="s">
        <v>125</v>
      </c>
      <c r="D3614" t="s">
        <v>126</v>
      </c>
      <c r="E3614">
        <v>2005</v>
      </c>
      <c r="F3614" s="1">
        <v>26</v>
      </c>
      <c r="G3614">
        <v>2000</v>
      </c>
      <c r="H3614">
        <f>AVERAGEIFS(Table1[value],Table1[IndicatorCode],Table1[[#This Row],[IndicatorCode]])</f>
        <v>7.6894248608534319</v>
      </c>
      <c r="I3614" cm="1">
        <f t="array" ref="I3614">_xlfn.STDEV.P(IF(Table1[IndicatorCode]=Table1[[#This Row],[IndicatorCode]],Table1[value]))</f>
        <v>5.2319501044600996</v>
      </c>
      <c r="J3614">
        <f>(Table1[[#This Row],[value]] - Table1[[#This Row],[mean]]) / Table1[[#This Row],[std_dev]]</f>
        <v>3.499761040063682</v>
      </c>
      <c r="K3614">
        <f>AVERAGEIF(Table1[CountryCode],Table1[[#This Row],[CountryCode]],Table1[z-score])</f>
        <v>1.6213099703277349</v>
      </c>
      <c r="L3614" t="e">
        <f>VLOOKUP(Table1[[#This Row],[CountryCode]],[1]!Table1[#Data],4,FALSE)</f>
        <v>#REF!</v>
      </c>
    </row>
    <row r="3615" spans="1:12" hidden="1" x14ac:dyDescent="0.3">
      <c r="A3615" t="s">
        <v>79</v>
      </c>
      <c r="B3615" t="s">
        <v>80</v>
      </c>
      <c r="C3615" t="s">
        <v>125</v>
      </c>
      <c r="D3615" t="s">
        <v>126</v>
      </c>
      <c r="E3615">
        <v>2006</v>
      </c>
      <c r="F3615" s="1">
        <v>25</v>
      </c>
      <c r="G3615">
        <v>2000</v>
      </c>
      <c r="H3615">
        <f>AVERAGEIFS(Table1[value],Table1[IndicatorCode],Table1[[#This Row],[IndicatorCode]])</f>
        <v>7.6894248608534319</v>
      </c>
      <c r="I3615" cm="1">
        <f t="array" ref="I3615">_xlfn.STDEV.P(IF(Table1[IndicatorCode]=Table1[[#This Row],[IndicatorCode]],Table1[value]))</f>
        <v>5.2319501044600996</v>
      </c>
      <c r="J3615">
        <f>(Table1[[#This Row],[value]] - Table1[[#This Row],[mean]]) / Table1[[#This Row],[std_dev]]</f>
        <v>3.3086277188289235</v>
      </c>
      <c r="K3615">
        <f>AVERAGEIF(Table1[CountryCode],Table1[[#This Row],[CountryCode]],Table1[z-score])</f>
        <v>1.6213099703277349</v>
      </c>
      <c r="L3615" t="e">
        <f>VLOOKUP(Table1[[#This Row],[CountryCode]],[1]!Table1[#Data],4,FALSE)</f>
        <v>#REF!</v>
      </c>
    </row>
    <row r="3616" spans="1:12" hidden="1" x14ac:dyDescent="0.3">
      <c r="A3616" t="s">
        <v>79</v>
      </c>
      <c r="B3616" t="s">
        <v>80</v>
      </c>
      <c r="C3616" t="s">
        <v>125</v>
      </c>
      <c r="D3616" t="s">
        <v>126</v>
      </c>
      <c r="E3616">
        <v>2007</v>
      </c>
      <c r="F3616" s="1">
        <v>24</v>
      </c>
      <c r="G3616">
        <v>2010</v>
      </c>
      <c r="H3616">
        <f>AVERAGEIFS(Table1[value],Table1[IndicatorCode],Table1[[#This Row],[IndicatorCode]])</f>
        <v>7.6894248608534319</v>
      </c>
      <c r="I3616" cm="1">
        <f t="array" ref="I3616">_xlfn.STDEV.P(IF(Table1[IndicatorCode]=Table1[[#This Row],[IndicatorCode]],Table1[value]))</f>
        <v>5.2319501044600996</v>
      </c>
      <c r="J3616">
        <f>(Table1[[#This Row],[value]] - Table1[[#This Row],[mean]]) / Table1[[#This Row],[std_dev]]</f>
        <v>3.1174943975941654</v>
      </c>
      <c r="K3616">
        <f>AVERAGEIF(Table1[CountryCode],Table1[[#This Row],[CountryCode]],Table1[z-score])</f>
        <v>1.6213099703277349</v>
      </c>
      <c r="L3616" t="e">
        <f>VLOOKUP(Table1[[#This Row],[CountryCode]],[1]!Table1[#Data],4,FALSE)</f>
        <v>#REF!</v>
      </c>
    </row>
    <row r="3617" spans="1:12" hidden="1" x14ac:dyDescent="0.3">
      <c r="A3617" t="s">
        <v>79</v>
      </c>
      <c r="B3617" t="s">
        <v>80</v>
      </c>
      <c r="C3617" t="s">
        <v>125</v>
      </c>
      <c r="D3617" t="s">
        <v>126</v>
      </c>
      <c r="E3617">
        <v>2008</v>
      </c>
      <c r="F3617" s="1">
        <v>23</v>
      </c>
      <c r="G3617">
        <v>2010</v>
      </c>
      <c r="H3617">
        <f>AVERAGEIFS(Table1[value],Table1[IndicatorCode],Table1[[#This Row],[IndicatorCode]])</f>
        <v>7.6894248608534319</v>
      </c>
      <c r="I3617" cm="1">
        <f t="array" ref="I3617">_xlfn.STDEV.P(IF(Table1[IndicatorCode]=Table1[[#This Row],[IndicatorCode]],Table1[value]))</f>
        <v>5.2319501044600996</v>
      </c>
      <c r="J3617">
        <f>(Table1[[#This Row],[value]] - Table1[[#This Row],[mean]]) / Table1[[#This Row],[std_dev]]</f>
        <v>2.9263610763594068</v>
      </c>
      <c r="K3617">
        <f>AVERAGEIF(Table1[CountryCode],Table1[[#This Row],[CountryCode]],Table1[z-score])</f>
        <v>1.6213099703277349</v>
      </c>
      <c r="L3617" t="e">
        <f>VLOOKUP(Table1[[#This Row],[CountryCode]],[1]!Table1[#Data],4,FALSE)</f>
        <v>#REF!</v>
      </c>
    </row>
    <row r="3618" spans="1:12" hidden="1" x14ac:dyDescent="0.3">
      <c r="A3618" t="s">
        <v>79</v>
      </c>
      <c r="B3618" t="s">
        <v>80</v>
      </c>
      <c r="C3618" t="s">
        <v>125</v>
      </c>
      <c r="D3618" t="s">
        <v>126</v>
      </c>
      <c r="E3618">
        <v>2009</v>
      </c>
      <c r="F3618" s="1">
        <v>21</v>
      </c>
      <c r="G3618">
        <v>2010</v>
      </c>
      <c r="H3618">
        <f>AVERAGEIFS(Table1[value],Table1[IndicatorCode],Table1[[#This Row],[IndicatorCode]])</f>
        <v>7.6894248608534319</v>
      </c>
      <c r="I3618" cm="1">
        <f t="array" ref="I3618">_xlfn.STDEV.P(IF(Table1[IndicatorCode]=Table1[[#This Row],[IndicatorCode]],Table1[value]))</f>
        <v>5.2319501044600996</v>
      </c>
      <c r="J3618">
        <f>(Table1[[#This Row],[value]] - Table1[[#This Row],[mean]]) / Table1[[#This Row],[std_dev]]</f>
        <v>2.5440944338898901</v>
      </c>
      <c r="K3618">
        <f>AVERAGEIF(Table1[CountryCode],Table1[[#This Row],[CountryCode]],Table1[z-score])</f>
        <v>1.6213099703277349</v>
      </c>
      <c r="L3618" t="e">
        <f>VLOOKUP(Table1[[#This Row],[CountryCode]],[1]!Table1[#Data],4,FALSE)</f>
        <v>#REF!</v>
      </c>
    </row>
    <row r="3619" spans="1:12" hidden="1" x14ac:dyDescent="0.3">
      <c r="A3619" t="s">
        <v>79</v>
      </c>
      <c r="B3619" t="s">
        <v>80</v>
      </c>
      <c r="C3619" t="s">
        <v>125</v>
      </c>
      <c r="D3619" t="s">
        <v>126</v>
      </c>
      <c r="E3619">
        <v>2010</v>
      </c>
      <c r="F3619" s="1">
        <v>22</v>
      </c>
      <c r="G3619">
        <v>2010</v>
      </c>
      <c r="H3619">
        <f>AVERAGEIFS(Table1[value],Table1[IndicatorCode],Table1[[#This Row],[IndicatorCode]])</f>
        <v>7.6894248608534319</v>
      </c>
      <c r="I3619" cm="1">
        <f t="array" ref="I3619">_xlfn.STDEV.P(IF(Table1[IndicatorCode]=Table1[[#This Row],[IndicatorCode]],Table1[value]))</f>
        <v>5.2319501044600996</v>
      </c>
      <c r="J3619">
        <f>(Table1[[#This Row],[value]] - Table1[[#This Row],[mean]]) / Table1[[#This Row],[std_dev]]</f>
        <v>2.7352277551246487</v>
      </c>
      <c r="K3619">
        <f>AVERAGEIF(Table1[CountryCode],Table1[[#This Row],[CountryCode]],Table1[z-score])</f>
        <v>1.6213099703277349</v>
      </c>
      <c r="L3619" t="e">
        <f>VLOOKUP(Table1[[#This Row],[CountryCode]],[1]!Table1[#Data],4,FALSE)</f>
        <v>#REF!</v>
      </c>
    </row>
    <row r="3620" spans="1:12" hidden="1" x14ac:dyDescent="0.3">
      <c r="A3620" t="s">
        <v>79</v>
      </c>
      <c r="B3620" t="s">
        <v>80</v>
      </c>
      <c r="C3620" t="s">
        <v>125</v>
      </c>
      <c r="D3620" t="s">
        <v>126</v>
      </c>
      <c r="E3620">
        <v>2011</v>
      </c>
      <c r="F3620" s="1">
        <v>21</v>
      </c>
      <c r="G3620">
        <v>2010</v>
      </c>
      <c r="H3620">
        <f>AVERAGEIFS(Table1[value],Table1[IndicatorCode],Table1[[#This Row],[IndicatorCode]])</f>
        <v>7.6894248608534319</v>
      </c>
      <c r="I3620" cm="1">
        <f t="array" ref="I3620">_xlfn.STDEV.P(IF(Table1[IndicatorCode]=Table1[[#This Row],[IndicatorCode]],Table1[value]))</f>
        <v>5.2319501044600996</v>
      </c>
      <c r="J3620">
        <f>(Table1[[#This Row],[value]] - Table1[[#This Row],[mean]]) / Table1[[#This Row],[std_dev]]</f>
        <v>2.5440944338898901</v>
      </c>
      <c r="K3620">
        <f>AVERAGEIF(Table1[CountryCode],Table1[[#This Row],[CountryCode]],Table1[z-score])</f>
        <v>1.6213099703277349</v>
      </c>
      <c r="L3620" t="e">
        <f>VLOOKUP(Table1[[#This Row],[CountryCode]],[1]!Table1[#Data],4,FALSE)</f>
        <v>#REF!</v>
      </c>
    </row>
    <row r="3621" spans="1:12" hidden="1" x14ac:dyDescent="0.3">
      <c r="A3621" t="s">
        <v>79</v>
      </c>
      <c r="B3621" t="s">
        <v>80</v>
      </c>
      <c r="C3621" t="s">
        <v>125</v>
      </c>
      <c r="D3621" t="s">
        <v>126</v>
      </c>
      <c r="E3621">
        <v>2012</v>
      </c>
      <c r="F3621" s="1">
        <v>20</v>
      </c>
      <c r="G3621">
        <v>2010</v>
      </c>
      <c r="H3621">
        <f>AVERAGEIFS(Table1[value],Table1[IndicatorCode],Table1[[#This Row],[IndicatorCode]])</f>
        <v>7.6894248608534319</v>
      </c>
      <c r="I3621" cm="1">
        <f t="array" ref="I3621">_xlfn.STDEV.P(IF(Table1[IndicatorCode]=Table1[[#This Row],[IndicatorCode]],Table1[value]))</f>
        <v>5.2319501044600996</v>
      </c>
      <c r="J3621">
        <f>(Table1[[#This Row],[value]] - Table1[[#This Row],[mean]]) / Table1[[#This Row],[std_dev]]</f>
        <v>2.3529611126551315</v>
      </c>
      <c r="K3621">
        <f>AVERAGEIF(Table1[CountryCode],Table1[[#This Row],[CountryCode]],Table1[z-score])</f>
        <v>1.6213099703277349</v>
      </c>
      <c r="L3621" t="e">
        <f>VLOOKUP(Table1[[#This Row],[CountryCode]],[1]!Table1[#Data],4,FALSE)</f>
        <v>#REF!</v>
      </c>
    </row>
    <row r="3622" spans="1:12" hidden="1" x14ac:dyDescent="0.3">
      <c r="A3622" t="s">
        <v>79</v>
      </c>
      <c r="B3622" t="s">
        <v>80</v>
      </c>
      <c r="C3622" t="s">
        <v>125</v>
      </c>
      <c r="D3622" t="s">
        <v>126</v>
      </c>
      <c r="E3622">
        <v>2013</v>
      </c>
      <c r="F3622" s="1">
        <v>19</v>
      </c>
      <c r="G3622">
        <v>2010</v>
      </c>
      <c r="H3622">
        <f>AVERAGEIFS(Table1[value],Table1[IndicatorCode],Table1[[#This Row],[IndicatorCode]])</f>
        <v>7.6894248608534319</v>
      </c>
      <c r="I3622" cm="1">
        <f t="array" ref="I3622">_xlfn.STDEV.P(IF(Table1[IndicatorCode]=Table1[[#This Row],[IndicatorCode]],Table1[value]))</f>
        <v>5.2319501044600996</v>
      </c>
      <c r="J3622">
        <f>(Table1[[#This Row],[value]] - Table1[[#This Row],[mean]]) / Table1[[#This Row],[std_dev]]</f>
        <v>2.1618277914203734</v>
      </c>
      <c r="K3622">
        <f>AVERAGEIF(Table1[CountryCode],Table1[[#This Row],[CountryCode]],Table1[z-score])</f>
        <v>1.6213099703277349</v>
      </c>
      <c r="L3622" t="e">
        <f>VLOOKUP(Table1[[#This Row],[CountryCode]],[1]!Table1[#Data],4,FALSE)</f>
        <v>#REF!</v>
      </c>
    </row>
    <row r="3623" spans="1:12" hidden="1" x14ac:dyDescent="0.3">
      <c r="A3623" t="s">
        <v>79</v>
      </c>
      <c r="B3623" t="s">
        <v>80</v>
      </c>
      <c r="C3623" t="s">
        <v>125</v>
      </c>
      <c r="D3623" t="s">
        <v>126</v>
      </c>
      <c r="E3623">
        <v>2014</v>
      </c>
      <c r="F3623" s="1">
        <v>18</v>
      </c>
      <c r="G3623">
        <v>2010</v>
      </c>
      <c r="H3623">
        <f>AVERAGEIFS(Table1[value],Table1[IndicatorCode],Table1[[#This Row],[IndicatorCode]])</f>
        <v>7.6894248608534319</v>
      </c>
      <c r="I3623" cm="1">
        <f t="array" ref="I3623">_xlfn.STDEV.P(IF(Table1[IndicatorCode]=Table1[[#This Row],[IndicatorCode]],Table1[value]))</f>
        <v>5.2319501044600996</v>
      </c>
      <c r="J3623">
        <f>(Table1[[#This Row],[value]] - Table1[[#This Row],[mean]]) / Table1[[#This Row],[std_dev]]</f>
        <v>1.9706944701856148</v>
      </c>
      <c r="K3623">
        <f>AVERAGEIF(Table1[CountryCode],Table1[[#This Row],[CountryCode]],Table1[z-score])</f>
        <v>1.6213099703277349</v>
      </c>
      <c r="L3623" t="e">
        <f>VLOOKUP(Table1[[#This Row],[CountryCode]],[1]!Table1[#Data],4,FALSE)</f>
        <v>#REF!</v>
      </c>
    </row>
    <row r="3624" spans="1:12" hidden="1" x14ac:dyDescent="0.3">
      <c r="A3624" t="s">
        <v>79</v>
      </c>
      <c r="B3624" t="s">
        <v>80</v>
      </c>
      <c r="C3624" t="s">
        <v>125</v>
      </c>
      <c r="D3624" t="s">
        <v>126</v>
      </c>
      <c r="E3624">
        <v>2015</v>
      </c>
      <c r="F3624" s="1">
        <v>16</v>
      </c>
      <c r="G3624">
        <v>2010</v>
      </c>
      <c r="H3624">
        <f>AVERAGEIFS(Table1[value],Table1[IndicatorCode],Table1[[#This Row],[IndicatorCode]])</f>
        <v>7.6894248608534319</v>
      </c>
      <c r="I3624" cm="1">
        <f t="array" ref="I3624">_xlfn.STDEV.P(IF(Table1[IndicatorCode]=Table1[[#This Row],[IndicatorCode]],Table1[value]))</f>
        <v>5.2319501044600996</v>
      </c>
      <c r="J3624">
        <f>(Table1[[#This Row],[value]] - Table1[[#This Row],[mean]]) / Table1[[#This Row],[std_dev]]</f>
        <v>1.5884278277160979</v>
      </c>
      <c r="K3624">
        <f>AVERAGEIF(Table1[CountryCode],Table1[[#This Row],[CountryCode]],Table1[z-score])</f>
        <v>1.6213099703277349</v>
      </c>
      <c r="L3624" t="e">
        <f>VLOOKUP(Table1[[#This Row],[CountryCode]],[1]!Table1[#Data],4,FALSE)</f>
        <v>#REF!</v>
      </c>
    </row>
    <row r="3625" spans="1:12" hidden="1" x14ac:dyDescent="0.3">
      <c r="A3625" t="s">
        <v>79</v>
      </c>
      <c r="B3625" t="s">
        <v>80</v>
      </c>
      <c r="C3625" t="s">
        <v>125</v>
      </c>
      <c r="D3625" t="s">
        <v>126</v>
      </c>
      <c r="E3625">
        <v>2016</v>
      </c>
      <c r="F3625" s="1">
        <v>16</v>
      </c>
      <c r="G3625">
        <v>2010</v>
      </c>
      <c r="H3625">
        <f>AVERAGEIFS(Table1[value],Table1[IndicatorCode],Table1[[#This Row],[IndicatorCode]])</f>
        <v>7.6894248608534319</v>
      </c>
      <c r="I3625" cm="1">
        <f t="array" ref="I3625">_xlfn.STDEV.P(IF(Table1[IndicatorCode]=Table1[[#This Row],[IndicatorCode]],Table1[value]))</f>
        <v>5.2319501044600996</v>
      </c>
      <c r="J3625">
        <f>(Table1[[#This Row],[value]] - Table1[[#This Row],[mean]]) / Table1[[#This Row],[std_dev]]</f>
        <v>1.5884278277160979</v>
      </c>
      <c r="K3625">
        <f>AVERAGEIF(Table1[CountryCode],Table1[[#This Row],[CountryCode]],Table1[z-score])</f>
        <v>1.6213099703277349</v>
      </c>
      <c r="L3625" t="e">
        <f>VLOOKUP(Table1[[#This Row],[CountryCode]],[1]!Table1[#Data],4,FALSE)</f>
        <v>#REF!</v>
      </c>
    </row>
    <row r="3626" spans="1:12" hidden="1" x14ac:dyDescent="0.3">
      <c r="A3626" t="s">
        <v>79</v>
      </c>
      <c r="B3626" t="s">
        <v>80</v>
      </c>
      <c r="C3626" t="s">
        <v>125</v>
      </c>
      <c r="D3626" t="s">
        <v>126</v>
      </c>
      <c r="E3626">
        <v>2017</v>
      </c>
      <c r="F3626" s="1">
        <v>15</v>
      </c>
      <c r="G3626">
        <v>2020</v>
      </c>
      <c r="H3626">
        <f>AVERAGEIFS(Table1[value],Table1[IndicatorCode],Table1[[#This Row],[IndicatorCode]])</f>
        <v>7.6894248608534319</v>
      </c>
      <c r="I3626" cm="1">
        <f t="array" ref="I3626">_xlfn.STDEV.P(IF(Table1[IndicatorCode]=Table1[[#This Row],[IndicatorCode]],Table1[value]))</f>
        <v>5.2319501044600996</v>
      </c>
      <c r="J3626">
        <f>(Table1[[#This Row],[value]] - Table1[[#This Row],[mean]]) / Table1[[#This Row],[std_dev]]</f>
        <v>1.3972945064813396</v>
      </c>
      <c r="K3626">
        <f>AVERAGEIF(Table1[CountryCode],Table1[[#This Row],[CountryCode]],Table1[z-score])</f>
        <v>1.6213099703277349</v>
      </c>
      <c r="L3626" t="e">
        <f>VLOOKUP(Table1[[#This Row],[CountryCode]],[1]!Table1[#Data],4,FALSE)</f>
        <v>#REF!</v>
      </c>
    </row>
    <row r="3627" spans="1:12" hidden="1" x14ac:dyDescent="0.3">
      <c r="A3627" t="s">
        <v>79</v>
      </c>
      <c r="B3627" t="s">
        <v>80</v>
      </c>
      <c r="C3627" t="s">
        <v>125</v>
      </c>
      <c r="D3627" t="s">
        <v>126</v>
      </c>
      <c r="E3627">
        <v>2018</v>
      </c>
      <c r="F3627" s="1">
        <v>16</v>
      </c>
      <c r="G3627">
        <v>2020</v>
      </c>
      <c r="H3627">
        <f>AVERAGEIFS(Table1[value],Table1[IndicatorCode],Table1[[#This Row],[IndicatorCode]])</f>
        <v>7.6894248608534319</v>
      </c>
      <c r="I3627" cm="1">
        <f t="array" ref="I3627">_xlfn.STDEV.P(IF(Table1[IndicatorCode]=Table1[[#This Row],[IndicatorCode]],Table1[value]))</f>
        <v>5.2319501044600996</v>
      </c>
      <c r="J3627">
        <f>(Table1[[#This Row],[value]] - Table1[[#This Row],[mean]]) / Table1[[#This Row],[std_dev]]</f>
        <v>1.5884278277160979</v>
      </c>
      <c r="K3627">
        <f>AVERAGEIF(Table1[CountryCode],Table1[[#This Row],[CountryCode]],Table1[z-score])</f>
        <v>1.6213099703277349</v>
      </c>
      <c r="L3627" t="e">
        <f>VLOOKUP(Table1[[#This Row],[CountryCode]],[1]!Table1[#Data],4,FALSE)</f>
        <v>#REF!</v>
      </c>
    </row>
    <row r="3628" spans="1:12" hidden="1" x14ac:dyDescent="0.3">
      <c r="A3628" t="s">
        <v>79</v>
      </c>
      <c r="B3628" t="s">
        <v>80</v>
      </c>
      <c r="C3628" t="s">
        <v>125</v>
      </c>
      <c r="D3628" t="s">
        <v>126</v>
      </c>
      <c r="E3628">
        <v>2019</v>
      </c>
      <c r="F3628" s="1">
        <v>16</v>
      </c>
      <c r="G3628">
        <v>2020</v>
      </c>
      <c r="H3628">
        <f>AVERAGEIFS(Table1[value],Table1[IndicatorCode],Table1[[#This Row],[IndicatorCode]])</f>
        <v>7.6894248608534319</v>
      </c>
      <c r="I3628" cm="1">
        <f t="array" ref="I3628">_xlfn.STDEV.P(IF(Table1[IndicatorCode]=Table1[[#This Row],[IndicatorCode]],Table1[value]))</f>
        <v>5.2319501044600996</v>
      </c>
      <c r="J3628">
        <f>(Table1[[#This Row],[value]] - Table1[[#This Row],[mean]]) / Table1[[#This Row],[std_dev]]</f>
        <v>1.5884278277160979</v>
      </c>
      <c r="K3628">
        <f>AVERAGEIF(Table1[CountryCode],Table1[[#This Row],[CountryCode]],Table1[z-score])</f>
        <v>1.6213099703277349</v>
      </c>
      <c r="L3628" t="e">
        <f>VLOOKUP(Table1[[#This Row],[CountryCode]],[1]!Table1[#Data],4,FALSE)</f>
        <v>#REF!</v>
      </c>
    </row>
    <row r="3629" spans="1:12" x14ac:dyDescent="0.3">
      <c r="A3629" t="s">
        <v>79</v>
      </c>
      <c r="B3629" t="s">
        <v>80</v>
      </c>
      <c r="C3629" t="s">
        <v>125</v>
      </c>
      <c r="D3629" t="s">
        <v>126</v>
      </c>
      <c r="E3629">
        <v>2020</v>
      </c>
      <c r="F3629" s="1">
        <v>13</v>
      </c>
      <c r="G3629">
        <v>2020</v>
      </c>
      <c r="H3629">
        <f>AVERAGEIFS(Table1[value],Table1[IndicatorCode],Table1[[#This Row],[IndicatorCode]])</f>
        <v>7.6894248608534319</v>
      </c>
      <c r="I3629" cm="1">
        <f t="array" ref="I3629">_xlfn.STDEV.P(IF(Table1[IndicatorCode]=Table1[[#This Row],[IndicatorCode]],Table1[value]))</f>
        <v>5.2319501044600996</v>
      </c>
      <c r="J3629">
        <f>(Table1[[#This Row],[value]] - Table1[[#This Row],[mean]]) / Table1[[#This Row],[std_dev]]</f>
        <v>1.0150278640118229</v>
      </c>
      <c r="K3629">
        <f>AVERAGEIF(Table1[CountryCode],Table1[[#This Row],[CountryCode]],Table1[z-score])</f>
        <v>1.6213099703277349</v>
      </c>
    </row>
    <row r="3630" spans="1:12" hidden="1" x14ac:dyDescent="0.3">
      <c r="A3630" t="s">
        <v>79</v>
      </c>
      <c r="B3630" t="s">
        <v>80</v>
      </c>
      <c r="C3630" t="s">
        <v>125</v>
      </c>
      <c r="D3630" t="s">
        <v>126</v>
      </c>
      <c r="E3630">
        <v>2021</v>
      </c>
      <c r="F3630" s="1">
        <v>13</v>
      </c>
      <c r="G3630">
        <v>2020</v>
      </c>
      <c r="H3630">
        <f>AVERAGEIFS(Table1[value],Table1[IndicatorCode],Table1[[#This Row],[IndicatorCode]])</f>
        <v>7.6894248608534319</v>
      </c>
      <c r="I3630" cm="1">
        <f t="array" ref="I3630">_xlfn.STDEV.P(IF(Table1[IndicatorCode]=Table1[[#This Row],[IndicatorCode]],Table1[value]))</f>
        <v>5.2319501044600996</v>
      </c>
      <c r="J3630">
        <f>(Table1[[#This Row],[value]] - Table1[[#This Row],[mean]]) / Table1[[#This Row],[std_dev]]</f>
        <v>1.0150278640118229</v>
      </c>
      <c r="K3630">
        <f>AVERAGEIF(Table1[CountryCode],Table1[[#This Row],[CountryCode]],Table1[z-score])</f>
        <v>1.6213099703277349</v>
      </c>
      <c r="L3630" t="e">
        <f>VLOOKUP(Table1[[#This Row],[CountryCode]],[1]!Table1[#Data],4,FALSE)</f>
        <v>#REF!</v>
      </c>
    </row>
    <row r="3631" spans="1:12" hidden="1" x14ac:dyDescent="0.3">
      <c r="A3631" t="s">
        <v>79</v>
      </c>
      <c r="B3631" t="s">
        <v>80</v>
      </c>
      <c r="C3631" t="s">
        <v>125</v>
      </c>
      <c r="D3631" t="s">
        <v>126</v>
      </c>
      <c r="E3631">
        <v>2022</v>
      </c>
      <c r="F3631" s="1">
        <v>11</v>
      </c>
      <c r="G3631">
        <v>1970</v>
      </c>
      <c r="H3631">
        <f>AVERAGEIFS(Table1[value],Table1[IndicatorCode],Table1[[#This Row],[IndicatorCode]])</f>
        <v>7.6894248608534319</v>
      </c>
      <c r="I3631" cm="1">
        <f t="array" ref="I3631">_xlfn.STDEV.P(IF(Table1[IndicatorCode]=Table1[[#This Row],[IndicatorCode]],Table1[value]))</f>
        <v>5.2319501044600996</v>
      </c>
      <c r="J3631">
        <f>(Table1[[#This Row],[value]] - Table1[[#This Row],[mean]]) / Table1[[#This Row],[std_dev]]</f>
        <v>0.63276122154230596</v>
      </c>
      <c r="K3631">
        <f>AVERAGEIF(Table1[CountryCode],Table1[[#This Row],[CountryCode]],Table1[z-score])</f>
        <v>1.6213099703277349</v>
      </c>
      <c r="L3631" t="e">
        <f>VLOOKUP(Table1[[#This Row],[CountryCode]],[1]!Table1[#Data],4,FALSE)</f>
        <v>#REF!</v>
      </c>
    </row>
    <row r="3632" spans="1:12" hidden="1" x14ac:dyDescent="0.3">
      <c r="A3632" t="s">
        <v>79</v>
      </c>
      <c r="B3632" t="s">
        <v>80</v>
      </c>
      <c r="C3632" t="s">
        <v>125</v>
      </c>
      <c r="D3632" t="s">
        <v>126</v>
      </c>
      <c r="E3632">
        <v>2023</v>
      </c>
      <c r="F3632" s="1">
        <v>10</v>
      </c>
      <c r="G3632">
        <v>1970</v>
      </c>
      <c r="H3632">
        <f>AVERAGEIFS(Table1[value],Table1[IndicatorCode],Table1[[#This Row],[IndicatorCode]])</f>
        <v>7.6894248608534319</v>
      </c>
      <c r="I3632" cm="1">
        <f t="array" ref="I3632">_xlfn.STDEV.P(IF(Table1[IndicatorCode]=Table1[[#This Row],[IndicatorCode]],Table1[value]))</f>
        <v>5.2319501044600996</v>
      </c>
      <c r="J3632">
        <f>(Table1[[#This Row],[value]] - Table1[[#This Row],[mean]]) / Table1[[#This Row],[std_dev]]</f>
        <v>0.44162790030754762</v>
      </c>
      <c r="K3632">
        <f>AVERAGEIF(Table1[CountryCode],Table1[[#This Row],[CountryCode]],Table1[z-score])</f>
        <v>1.6213099703277349</v>
      </c>
      <c r="L3632" t="e">
        <f>VLOOKUP(Table1[[#This Row],[CountryCode]],[1]!Table1[#Data],4,FALSE)</f>
        <v>#REF!</v>
      </c>
    </row>
    <row r="3633" spans="1:12" hidden="1" x14ac:dyDescent="0.3">
      <c r="A3633" t="s">
        <v>79</v>
      </c>
      <c r="B3633" t="s">
        <v>80</v>
      </c>
      <c r="C3633" t="s">
        <v>125</v>
      </c>
      <c r="D3633" t="s">
        <v>126</v>
      </c>
      <c r="E3633">
        <v>2024</v>
      </c>
      <c r="F3633" s="1">
        <v>11</v>
      </c>
      <c r="G3633">
        <v>1970</v>
      </c>
      <c r="H3633">
        <f>AVERAGEIFS(Table1[value],Table1[IndicatorCode],Table1[[#This Row],[IndicatorCode]])</f>
        <v>7.6894248608534319</v>
      </c>
      <c r="I3633" cm="1">
        <f t="array" ref="I3633">_xlfn.STDEV.P(IF(Table1[IndicatorCode]=Table1[[#This Row],[IndicatorCode]],Table1[value]))</f>
        <v>5.2319501044600996</v>
      </c>
      <c r="J3633">
        <f>(Table1[[#This Row],[value]] - Table1[[#This Row],[mean]]) / Table1[[#This Row],[std_dev]]</f>
        <v>0.63276122154230596</v>
      </c>
      <c r="K3633">
        <f>AVERAGEIF(Table1[CountryCode],Table1[[#This Row],[CountryCode]],Table1[z-score])</f>
        <v>1.6213099703277349</v>
      </c>
      <c r="L3633" t="e">
        <f>VLOOKUP(Table1[[#This Row],[CountryCode]],[1]!Table1[#Data],4,FALSE)</f>
        <v>#REF!</v>
      </c>
    </row>
    <row r="3634" spans="1:12" hidden="1" x14ac:dyDescent="0.3">
      <c r="A3634" t="s">
        <v>81</v>
      </c>
      <c r="B3634" t="s">
        <v>82</v>
      </c>
      <c r="C3634" t="s">
        <v>125</v>
      </c>
      <c r="D3634" t="s">
        <v>126</v>
      </c>
      <c r="E3634">
        <v>1970</v>
      </c>
      <c r="F3634" s="1">
        <v>5</v>
      </c>
      <c r="G3634">
        <v>1970</v>
      </c>
      <c r="H3634">
        <f>AVERAGEIFS(Table1[value],Table1[IndicatorCode],Table1[[#This Row],[IndicatorCode]])</f>
        <v>7.6894248608534319</v>
      </c>
      <c r="I3634" cm="1">
        <f t="array" ref="I3634">_xlfn.STDEV.P(IF(Table1[IndicatorCode]=Table1[[#This Row],[IndicatorCode]],Table1[value]))</f>
        <v>5.2319501044600996</v>
      </c>
      <c r="J3634">
        <f>(Table1[[#This Row],[value]] - Table1[[#This Row],[mean]]) / Table1[[#This Row],[std_dev]]</f>
        <v>-0.51403870586624445</v>
      </c>
      <c r="K3634">
        <f>AVERAGEIF(Table1[CountryCode],Table1[[#This Row],[CountryCode]],Table1[z-score])</f>
        <v>-0.32088063876347467</v>
      </c>
      <c r="L3634" t="e">
        <f>VLOOKUP(Table1[[#This Row],[CountryCode]],[1]!Table1[#Data],4,FALSE)</f>
        <v>#REF!</v>
      </c>
    </row>
    <row r="3635" spans="1:12" hidden="1" x14ac:dyDescent="0.3">
      <c r="A3635" t="s">
        <v>81</v>
      </c>
      <c r="B3635" t="s">
        <v>82</v>
      </c>
      <c r="C3635" t="s">
        <v>125</v>
      </c>
      <c r="D3635" t="s">
        <v>126</v>
      </c>
      <c r="E3635">
        <v>1971</v>
      </c>
      <c r="F3635" s="1">
        <v>5</v>
      </c>
      <c r="G3635">
        <v>1970</v>
      </c>
      <c r="H3635">
        <f>AVERAGEIFS(Table1[value],Table1[IndicatorCode],Table1[[#This Row],[IndicatorCode]])</f>
        <v>7.6894248608534319</v>
      </c>
      <c r="I3635" cm="1">
        <f t="array" ref="I3635">_xlfn.STDEV.P(IF(Table1[IndicatorCode]=Table1[[#This Row],[IndicatorCode]],Table1[value]))</f>
        <v>5.2319501044600996</v>
      </c>
      <c r="J3635">
        <f>(Table1[[#This Row],[value]] - Table1[[#This Row],[mean]]) / Table1[[#This Row],[std_dev]]</f>
        <v>-0.51403870586624445</v>
      </c>
      <c r="K3635">
        <f>AVERAGEIF(Table1[CountryCode],Table1[[#This Row],[CountryCode]],Table1[z-score])</f>
        <v>-0.32088063876347467</v>
      </c>
      <c r="L3635" t="e">
        <f>VLOOKUP(Table1[[#This Row],[CountryCode]],[1]!Table1[#Data],4,FALSE)</f>
        <v>#REF!</v>
      </c>
    </row>
    <row r="3636" spans="1:12" hidden="1" x14ac:dyDescent="0.3">
      <c r="A3636" t="s">
        <v>81</v>
      </c>
      <c r="B3636" t="s">
        <v>82</v>
      </c>
      <c r="C3636" t="s">
        <v>125</v>
      </c>
      <c r="D3636" t="s">
        <v>126</v>
      </c>
      <c r="E3636">
        <v>1972</v>
      </c>
      <c r="F3636" s="1">
        <v>5</v>
      </c>
      <c r="G3636">
        <v>1970</v>
      </c>
      <c r="H3636">
        <f>AVERAGEIFS(Table1[value],Table1[IndicatorCode],Table1[[#This Row],[IndicatorCode]])</f>
        <v>7.6894248608534319</v>
      </c>
      <c r="I3636" cm="1">
        <f t="array" ref="I3636">_xlfn.STDEV.P(IF(Table1[IndicatorCode]=Table1[[#This Row],[IndicatorCode]],Table1[value]))</f>
        <v>5.2319501044600996</v>
      </c>
      <c r="J3636">
        <f>(Table1[[#This Row],[value]] - Table1[[#This Row],[mean]]) / Table1[[#This Row],[std_dev]]</f>
        <v>-0.51403870586624445</v>
      </c>
      <c r="K3636">
        <f>AVERAGEIF(Table1[CountryCode],Table1[[#This Row],[CountryCode]],Table1[z-score])</f>
        <v>-0.32088063876347467</v>
      </c>
      <c r="L3636" t="e">
        <f>VLOOKUP(Table1[[#This Row],[CountryCode]],[1]!Table1[#Data],4,FALSE)</f>
        <v>#REF!</v>
      </c>
    </row>
    <row r="3637" spans="1:12" hidden="1" x14ac:dyDescent="0.3">
      <c r="A3637" t="s">
        <v>81</v>
      </c>
      <c r="B3637" t="s">
        <v>82</v>
      </c>
      <c r="C3637" t="s">
        <v>125</v>
      </c>
      <c r="D3637" t="s">
        <v>126</v>
      </c>
      <c r="E3637">
        <v>1973</v>
      </c>
      <c r="F3637" s="1">
        <v>5</v>
      </c>
      <c r="G3637">
        <v>1970</v>
      </c>
      <c r="H3637">
        <f>AVERAGEIFS(Table1[value],Table1[IndicatorCode],Table1[[#This Row],[IndicatorCode]])</f>
        <v>7.6894248608534319</v>
      </c>
      <c r="I3637" cm="1">
        <f t="array" ref="I3637">_xlfn.STDEV.P(IF(Table1[IndicatorCode]=Table1[[#This Row],[IndicatorCode]],Table1[value]))</f>
        <v>5.2319501044600996</v>
      </c>
      <c r="J3637">
        <f>(Table1[[#This Row],[value]] - Table1[[#This Row],[mean]]) / Table1[[#This Row],[std_dev]]</f>
        <v>-0.51403870586624445</v>
      </c>
      <c r="K3637">
        <f>AVERAGEIF(Table1[CountryCode],Table1[[#This Row],[CountryCode]],Table1[z-score])</f>
        <v>-0.32088063876347467</v>
      </c>
      <c r="L3637" t="e">
        <f>VLOOKUP(Table1[[#This Row],[CountryCode]],[1]!Table1[#Data],4,FALSE)</f>
        <v>#REF!</v>
      </c>
    </row>
    <row r="3638" spans="1:12" hidden="1" x14ac:dyDescent="0.3">
      <c r="A3638" t="s">
        <v>81</v>
      </c>
      <c r="B3638" t="s">
        <v>82</v>
      </c>
      <c r="C3638" t="s">
        <v>125</v>
      </c>
      <c r="D3638" t="s">
        <v>126</v>
      </c>
      <c r="E3638">
        <v>1974</v>
      </c>
      <c r="F3638" s="1">
        <v>6</v>
      </c>
      <c r="G3638">
        <v>1970</v>
      </c>
      <c r="H3638">
        <f>AVERAGEIFS(Table1[value],Table1[IndicatorCode],Table1[[#This Row],[IndicatorCode]])</f>
        <v>7.6894248608534319</v>
      </c>
      <c r="I3638" cm="1">
        <f t="array" ref="I3638">_xlfn.STDEV.P(IF(Table1[IndicatorCode]=Table1[[#This Row],[IndicatorCode]],Table1[value]))</f>
        <v>5.2319501044600996</v>
      </c>
      <c r="J3638">
        <f>(Table1[[#This Row],[value]] - Table1[[#This Row],[mean]]) / Table1[[#This Row],[std_dev]]</f>
        <v>-0.32290538463148605</v>
      </c>
      <c r="K3638">
        <f>AVERAGEIF(Table1[CountryCode],Table1[[#This Row],[CountryCode]],Table1[z-score])</f>
        <v>-0.32088063876347467</v>
      </c>
      <c r="L3638" t="e">
        <f>VLOOKUP(Table1[[#This Row],[CountryCode]],[1]!Table1[#Data],4,FALSE)</f>
        <v>#REF!</v>
      </c>
    </row>
    <row r="3639" spans="1:12" hidden="1" x14ac:dyDescent="0.3">
      <c r="A3639" t="s">
        <v>81</v>
      </c>
      <c r="B3639" t="s">
        <v>82</v>
      </c>
      <c r="C3639" t="s">
        <v>125</v>
      </c>
      <c r="D3639" t="s">
        <v>126</v>
      </c>
      <c r="E3639">
        <v>1975</v>
      </c>
      <c r="F3639" s="1">
        <v>6</v>
      </c>
      <c r="G3639">
        <v>1970</v>
      </c>
      <c r="H3639">
        <f>AVERAGEIFS(Table1[value],Table1[IndicatorCode],Table1[[#This Row],[IndicatorCode]])</f>
        <v>7.6894248608534319</v>
      </c>
      <c r="I3639" cm="1">
        <f t="array" ref="I3639">_xlfn.STDEV.P(IF(Table1[IndicatorCode]=Table1[[#This Row],[IndicatorCode]],Table1[value]))</f>
        <v>5.2319501044600996</v>
      </c>
      <c r="J3639">
        <f>(Table1[[#This Row],[value]] - Table1[[#This Row],[mean]]) / Table1[[#This Row],[std_dev]]</f>
        <v>-0.32290538463148605</v>
      </c>
      <c r="K3639">
        <f>AVERAGEIF(Table1[CountryCode],Table1[[#This Row],[CountryCode]],Table1[z-score])</f>
        <v>-0.32088063876347467</v>
      </c>
      <c r="L3639" t="e">
        <f>VLOOKUP(Table1[[#This Row],[CountryCode]],[1]!Table1[#Data],4,FALSE)</f>
        <v>#REF!</v>
      </c>
    </row>
    <row r="3640" spans="1:12" hidden="1" x14ac:dyDescent="0.3">
      <c r="A3640" t="s">
        <v>81</v>
      </c>
      <c r="B3640" t="s">
        <v>82</v>
      </c>
      <c r="C3640" t="s">
        <v>125</v>
      </c>
      <c r="D3640" t="s">
        <v>126</v>
      </c>
      <c r="E3640">
        <v>1976</v>
      </c>
      <c r="F3640" s="1">
        <v>6</v>
      </c>
      <c r="G3640">
        <v>1970</v>
      </c>
      <c r="H3640">
        <f>AVERAGEIFS(Table1[value],Table1[IndicatorCode],Table1[[#This Row],[IndicatorCode]])</f>
        <v>7.6894248608534319</v>
      </c>
      <c r="I3640" cm="1">
        <f t="array" ref="I3640">_xlfn.STDEV.P(IF(Table1[IndicatorCode]=Table1[[#This Row],[IndicatorCode]],Table1[value]))</f>
        <v>5.2319501044600996</v>
      </c>
      <c r="J3640">
        <f>(Table1[[#This Row],[value]] - Table1[[#This Row],[mean]]) / Table1[[#This Row],[std_dev]]</f>
        <v>-0.32290538463148605</v>
      </c>
      <c r="K3640">
        <f>AVERAGEIF(Table1[CountryCode],Table1[[#This Row],[CountryCode]],Table1[z-score])</f>
        <v>-0.32088063876347467</v>
      </c>
      <c r="L3640" t="e">
        <f>VLOOKUP(Table1[[#This Row],[CountryCode]],[1]!Table1[#Data],4,FALSE)</f>
        <v>#REF!</v>
      </c>
    </row>
    <row r="3641" spans="1:12" hidden="1" x14ac:dyDescent="0.3">
      <c r="A3641" t="s">
        <v>81</v>
      </c>
      <c r="B3641" t="s">
        <v>82</v>
      </c>
      <c r="C3641" t="s">
        <v>125</v>
      </c>
      <c r="D3641" t="s">
        <v>126</v>
      </c>
      <c r="E3641">
        <v>1977</v>
      </c>
      <c r="F3641" s="1">
        <v>6</v>
      </c>
      <c r="G3641">
        <v>1980</v>
      </c>
      <c r="H3641">
        <f>AVERAGEIFS(Table1[value],Table1[IndicatorCode],Table1[[#This Row],[IndicatorCode]])</f>
        <v>7.6894248608534319</v>
      </c>
      <c r="I3641" cm="1">
        <f t="array" ref="I3641">_xlfn.STDEV.P(IF(Table1[IndicatorCode]=Table1[[#This Row],[IndicatorCode]],Table1[value]))</f>
        <v>5.2319501044600996</v>
      </c>
      <c r="J3641">
        <f>(Table1[[#This Row],[value]] - Table1[[#This Row],[mean]]) / Table1[[#This Row],[std_dev]]</f>
        <v>-0.32290538463148605</v>
      </c>
      <c r="K3641">
        <f>AVERAGEIF(Table1[CountryCode],Table1[[#This Row],[CountryCode]],Table1[z-score])</f>
        <v>-0.32088063876347467</v>
      </c>
      <c r="L3641" t="e">
        <f>VLOOKUP(Table1[[#This Row],[CountryCode]],[1]!Table1[#Data],4,FALSE)</f>
        <v>#REF!</v>
      </c>
    </row>
    <row r="3642" spans="1:12" hidden="1" x14ac:dyDescent="0.3">
      <c r="A3642" t="s">
        <v>81</v>
      </c>
      <c r="B3642" t="s">
        <v>82</v>
      </c>
      <c r="C3642" t="s">
        <v>125</v>
      </c>
      <c r="D3642" t="s">
        <v>126</v>
      </c>
      <c r="E3642">
        <v>1978</v>
      </c>
      <c r="F3642" s="1">
        <v>7</v>
      </c>
      <c r="G3642">
        <v>1980</v>
      </c>
      <c r="H3642">
        <f>AVERAGEIFS(Table1[value],Table1[IndicatorCode],Table1[[#This Row],[IndicatorCode]])</f>
        <v>7.6894248608534319</v>
      </c>
      <c r="I3642" cm="1">
        <f t="array" ref="I3642">_xlfn.STDEV.P(IF(Table1[IndicatorCode]=Table1[[#This Row],[IndicatorCode]],Table1[value]))</f>
        <v>5.2319501044600996</v>
      </c>
      <c r="J3642">
        <f>(Table1[[#This Row],[value]] - Table1[[#This Row],[mean]]) / Table1[[#This Row],[std_dev]]</f>
        <v>-0.13177206339672762</v>
      </c>
      <c r="K3642">
        <f>AVERAGEIF(Table1[CountryCode],Table1[[#This Row],[CountryCode]],Table1[z-score])</f>
        <v>-0.32088063876347467</v>
      </c>
      <c r="L3642" t="e">
        <f>VLOOKUP(Table1[[#This Row],[CountryCode]],[1]!Table1[#Data],4,FALSE)</f>
        <v>#REF!</v>
      </c>
    </row>
    <row r="3643" spans="1:12" hidden="1" x14ac:dyDescent="0.3">
      <c r="A3643" t="s">
        <v>81</v>
      </c>
      <c r="B3643" t="s">
        <v>82</v>
      </c>
      <c r="C3643" t="s">
        <v>125</v>
      </c>
      <c r="D3643" t="s">
        <v>126</v>
      </c>
      <c r="E3643">
        <v>1979</v>
      </c>
      <c r="F3643" s="1">
        <v>7</v>
      </c>
      <c r="G3643">
        <v>1980</v>
      </c>
      <c r="H3643">
        <f>AVERAGEIFS(Table1[value],Table1[IndicatorCode],Table1[[#This Row],[IndicatorCode]])</f>
        <v>7.6894248608534319</v>
      </c>
      <c r="I3643" cm="1">
        <f t="array" ref="I3643">_xlfn.STDEV.P(IF(Table1[IndicatorCode]=Table1[[#This Row],[IndicatorCode]],Table1[value]))</f>
        <v>5.2319501044600996</v>
      </c>
      <c r="J3643">
        <f>(Table1[[#This Row],[value]] - Table1[[#This Row],[mean]]) / Table1[[#This Row],[std_dev]]</f>
        <v>-0.13177206339672762</v>
      </c>
      <c r="K3643">
        <f>AVERAGEIF(Table1[CountryCode],Table1[[#This Row],[CountryCode]],Table1[z-score])</f>
        <v>-0.32088063876347467</v>
      </c>
      <c r="L3643" t="e">
        <f>VLOOKUP(Table1[[#This Row],[CountryCode]],[1]!Table1[#Data],4,FALSE)</f>
        <v>#REF!</v>
      </c>
    </row>
    <row r="3644" spans="1:12" hidden="1" x14ac:dyDescent="0.3">
      <c r="A3644" t="s">
        <v>81</v>
      </c>
      <c r="B3644" t="s">
        <v>82</v>
      </c>
      <c r="C3644" t="s">
        <v>125</v>
      </c>
      <c r="D3644" t="s">
        <v>126</v>
      </c>
      <c r="E3644">
        <v>1980</v>
      </c>
      <c r="F3644" s="1">
        <v>7</v>
      </c>
      <c r="G3644">
        <v>1980</v>
      </c>
      <c r="H3644">
        <f>AVERAGEIFS(Table1[value],Table1[IndicatorCode],Table1[[#This Row],[IndicatorCode]])</f>
        <v>7.6894248608534319</v>
      </c>
      <c r="I3644" cm="1">
        <f t="array" ref="I3644">_xlfn.STDEV.P(IF(Table1[IndicatorCode]=Table1[[#This Row],[IndicatorCode]],Table1[value]))</f>
        <v>5.2319501044600996</v>
      </c>
      <c r="J3644">
        <f>(Table1[[#This Row],[value]] - Table1[[#This Row],[mean]]) / Table1[[#This Row],[std_dev]]</f>
        <v>-0.13177206339672762</v>
      </c>
      <c r="K3644">
        <f>AVERAGEIF(Table1[CountryCode],Table1[[#This Row],[CountryCode]],Table1[z-score])</f>
        <v>-0.32088063876347467</v>
      </c>
      <c r="L3644" t="e">
        <f>VLOOKUP(Table1[[#This Row],[CountryCode]],[1]!Table1[#Data],4,FALSE)</f>
        <v>#REF!</v>
      </c>
    </row>
    <row r="3645" spans="1:12" hidden="1" x14ac:dyDescent="0.3">
      <c r="A3645" t="s">
        <v>81</v>
      </c>
      <c r="B3645" t="s">
        <v>82</v>
      </c>
      <c r="C3645" t="s">
        <v>125</v>
      </c>
      <c r="D3645" t="s">
        <v>126</v>
      </c>
      <c r="E3645">
        <v>1981</v>
      </c>
      <c r="F3645" s="1">
        <v>7</v>
      </c>
      <c r="G3645">
        <v>1980</v>
      </c>
      <c r="H3645">
        <f>AVERAGEIFS(Table1[value],Table1[IndicatorCode],Table1[[#This Row],[IndicatorCode]])</f>
        <v>7.6894248608534319</v>
      </c>
      <c r="I3645" cm="1">
        <f t="array" ref="I3645">_xlfn.STDEV.P(IF(Table1[IndicatorCode]=Table1[[#This Row],[IndicatorCode]],Table1[value]))</f>
        <v>5.2319501044600996</v>
      </c>
      <c r="J3645">
        <f>(Table1[[#This Row],[value]] - Table1[[#This Row],[mean]]) / Table1[[#This Row],[std_dev]]</f>
        <v>-0.13177206339672762</v>
      </c>
      <c r="K3645">
        <f>AVERAGEIF(Table1[CountryCode],Table1[[#This Row],[CountryCode]],Table1[z-score])</f>
        <v>-0.32088063876347467</v>
      </c>
      <c r="L3645" t="e">
        <f>VLOOKUP(Table1[[#This Row],[CountryCode]],[1]!Table1[#Data],4,FALSE)</f>
        <v>#REF!</v>
      </c>
    </row>
    <row r="3646" spans="1:12" hidden="1" x14ac:dyDescent="0.3">
      <c r="A3646" t="s">
        <v>81</v>
      </c>
      <c r="B3646" t="s">
        <v>82</v>
      </c>
      <c r="C3646" t="s">
        <v>125</v>
      </c>
      <c r="D3646" t="s">
        <v>126</v>
      </c>
      <c r="E3646">
        <v>1982</v>
      </c>
      <c r="F3646" s="1">
        <v>7</v>
      </c>
      <c r="G3646">
        <v>1980</v>
      </c>
      <c r="H3646">
        <f>AVERAGEIFS(Table1[value],Table1[IndicatorCode],Table1[[#This Row],[IndicatorCode]])</f>
        <v>7.6894248608534319</v>
      </c>
      <c r="I3646" cm="1">
        <f t="array" ref="I3646">_xlfn.STDEV.P(IF(Table1[IndicatorCode]=Table1[[#This Row],[IndicatorCode]],Table1[value]))</f>
        <v>5.2319501044600996</v>
      </c>
      <c r="J3646">
        <f>(Table1[[#This Row],[value]] - Table1[[#This Row],[mean]]) / Table1[[#This Row],[std_dev]]</f>
        <v>-0.13177206339672762</v>
      </c>
      <c r="K3646">
        <f>AVERAGEIF(Table1[CountryCode],Table1[[#This Row],[CountryCode]],Table1[z-score])</f>
        <v>-0.32088063876347467</v>
      </c>
      <c r="L3646" t="e">
        <f>VLOOKUP(Table1[[#This Row],[CountryCode]],[1]!Table1[#Data],4,FALSE)</f>
        <v>#REF!</v>
      </c>
    </row>
    <row r="3647" spans="1:12" hidden="1" x14ac:dyDescent="0.3">
      <c r="A3647" t="s">
        <v>81</v>
      </c>
      <c r="B3647" t="s">
        <v>82</v>
      </c>
      <c r="C3647" t="s">
        <v>125</v>
      </c>
      <c r="D3647" t="s">
        <v>126</v>
      </c>
      <c r="E3647">
        <v>1983</v>
      </c>
      <c r="F3647" s="1">
        <v>7</v>
      </c>
      <c r="G3647">
        <v>1980</v>
      </c>
      <c r="H3647">
        <f>AVERAGEIFS(Table1[value],Table1[IndicatorCode],Table1[[#This Row],[IndicatorCode]])</f>
        <v>7.6894248608534319</v>
      </c>
      <c r="I3647" cm="1">
        <f t="array" ref="I3647">_xlfn.STDEV.P(IF(Table1[IndicatorCode]=Table1[[#This Row],[IndicatorCode]],Table1[value]))</f>
        <v>5.2319501044600996</v>
      </c>
      <c r="J3647">
        <f>(Table1[[#This Row],[value]] - Table1[[#This Row],[mean]]) / Table1[[#This Row],[std_dev]]</f>
        <v>-0.13177206339672762</v>
      </c>
      <c r="K3647">
        <f>AVERAGEIF(Table1[CountryCode],Table1[[#This Row],[CountryCode]],Table1[z-score])</f>
        <v>-0.32088063876347467</v>
      </c>
      <c r="L3647" t="e">
        <f>VLOOKUP(Table1[[#This Row],[CountryCode]],[1]!Table1[#Data],4,FALSE)</f>
        <v>#REF!</v>
      </c>
    </row>
    <row r="3648" spans="1:12" hidden="1" x14ac:dyDescent="0.3">
      <c r="A3648" t="s">
        <v>81</v>
      </c>
      <c r="B3648" t="s">
        <v>82</v>
      </c>
      <c r="C3648" t="s">
        <v>125</v>
      </c>
      <c r="D3648" t="s">
        <v>126</v>
      </c>
      <c r="E3648">
        <v>1984</v>
      </c>
      <c r="F3648" s="1">
        <v>7</v>
      </c>
      <c r="G3648">
        <v>1980</v>
      </c>
      <c r="H3648">
        <f>AVERAGEIFS(Table1[value],Table1[IndicatorCode],Table1[[#This Row],[IndicatorCode]])</f>
        <v>7.6894248608534319</v>
      </c>
      <c r="I3648" cm="1">
        <f t="array" ref="I3648">_xlfn.STDEV.P(IF(Table1[IndicatorCode]=Table1[[#This Row],[IndicatorCode]],Table1[value]))</f>
        <v>5.2319501044600996</v>
      </c>
      <c r="J3648">
        <f>(Table1[[#This Row],[value]] - Table1[[#This Row],[mean]]) / Table1[[#This Row],[std_dev]]</f>
        <v>-0.13177206339672762</v>
      </c>
      <c r="K3648">
        <f>AVERAGEIF(Table1[CountryCode],Table1[[#This Row],[CountryCode]],Table1[z-score])</f>
        <v>-0.32088063876347467</v>
      </c>
      <c r="L3648" t="e">
        <f>VLOOKUP(Table1[[#This Row],[CountryCode]],[1]!Table1[#Data],4,FALSE)</f>
        <v>#REF!</v>
      </c>
    </row>
    <row r="3649" spans="1:12" hidden="1" x14ac:dyDescent="0.3">
      <c r="A3649" t="s">
        <v>81</v>
      </c>
      <c r="B3649" t="s">
        <v>82</v>
      </c>
      <c r="C3649" t="s">
        <v>125</v>
      </c>
      <c r="D3649" t="s">
        <v>126</v>
      </c>
      <c r="E3649">
        <v>1985</v>
      </c>
      <c r="F3649" s="1">
        <v>7</v>
      </c>
      <c r="G3649">
        <v>1980</v>
      </c>
      <c r="H3649">
        <f>AVERAGEIFS(Table1[value],Table1[IndicatorCode],Table1[[#This Row],[IndicatorCode]])</f>
        <v>7.6894248608534319</v>
      </c>
      <c r="I3649" cm="1">
        <f t="array" ref="I3649">_xlfn.STDEV.P(IF(Table1[IndicatorCode]=Table1[[#This Row],[IndicatorCode]],Table1[value]))</f>
        <v>5.2319501044600996</v>
      </c>
      <c r="J3649">
        <f>(Table1[[#This Row],[value]] - Table1[[#This Row],[mean]]) / Table1[[#This Row],[std_dev]]</f>
        <v>-0.13177206339672762</v>
      </c>
      <c r="K3649">
        <f>AVERAGEIF(Table1[CountryCode],Table1[[#This Row],[CountryCode]],Table1[z-score])</f>
        <v>-0.32088063876347467</v>
      </c>
      <c r="L3649" t="e">
        <f>VLOOKUP(Table1[[#This Row],[CountryCode]],[1]!Table1[#Data],4,FALSE)</f>
        <v>#REF!</v>
      </c>
    </row>
    <row r="3650" spans="1:12" hidden="1" x14ac:dyDescent="0.3">
      <c r="A3650" t="s">
        <v>81</v>
      </c>
      <c r="B3650" t="s">
        <v>82</v>
      </c>
      <c r="C3650" t="s">
        <v>125</v>
      </c>
      <c r="D3650" t="s">
        <v>126</v>
      </c>
      <c r="E3650">
        <v>1986</v>
      </c>
      <c r="F3650" s="1">
        <v>7</v>
      </c>
      <c r="G3650">
        <v>1980</v>
      </c>
      <c r="H3650">
        <f>AVERAGEIFS(Table1[value],Table1[IndicatorCode],Table1[[#This Row],[IndicatorCode]])</f>
        <v>7.6894248608534319</v>
      </c>
      <c r="I3650" cm="1">
        <f t="array" ref="I3650">_xlfn.STDEV.P(IF(Table1[IndicatorCode]=Table1[[#This Row],[IndicatorCode]],Table1[value]))</f>
        <v>5.2319501044600996</v>
      </c>
      <c r="J3650">
        <f>(Table1[[#This Row],[value]] - Table1[[#This Row],[mean]]) / Table1[[#This Row],[std_dev]]</f>
        <v>-0.13177206339672762</v>
      </c>
      <c r="K3650">
        <f>AVERAGEIF(Table1[CountryCode],Table1[[#This Row],[CountryCode]],Table1[z-score])</f>
        <v>-0.32088063876347467</v>
      </c>
      <c r="L3650" t="e">
        <f>VLOOKUP(Table1[[#This Row],[CountryCode]],[1]!Table1[#Data],4,FALSE)</f>
        <v>#REF!</v>
      </c>
    </row>
    <row r="3651" spans="1:12" hidden="1" x14ac:dyDescent="0.3">
      <c r="A3651" t="s">
        <v>81</v>
      </c>
      <c r="B3651" t="s">
        <v>82</v>
      </c>
      <c r="C3651" t="s">
        <v>125</v>
      </c>
      <c r="D3651" t="s">
        <v>126</v>
      </c>
      <c r="E3651">
        <v>1987</v>
      </c>
      <c r="F3651" s="1">
        <v>7</v>
      </c>
      <c r="G3651">
        <v>1990</v>
      </c>
      <c r="H3651">
        <f>AVERAGEIFS(Table1[value],Table1[IndicatorCode],Table1[[#This Row],[IndicatorCode]])</f>
        <v>7.6894248608534319</v>
      </c>
      <c r="I3651" cm="1">
        <f t="array" ref="I3651">_xlfn.STDEV.P(IF(Table1[IndicatorCode]=Table1[[#This Row],[IndicatorCode]],Table1[value]))</f>
        <v>5.2319501044600996</v>
      </c>
      <c r="J3651">
        <f>(Table1[[#This Row],[value]] - Table1[[#This Row],[mean]]) / Table1[[#This Row],[std_dev]]</f>
        <v>-0.13177206339672762</v>
      </c>
      <c r="K3651">
        <f>AVERAGEIF(Table1[CountryCode],Table1[[#This Row],[CountryCode]],Table1[z-score])</f>
        <v>-0.32088063876347467</v>
      </c>
      <c r="L3651" t="e">
        <f>VLOOKUP(Table1[[#This Row],[CountryCode]],[1]!Table1[#Data],4,FALSE)</f>
        <v>#REF!</v>
      </c>
    </row>
    <row r="3652" spans="1:12" hidden="1" x14ac:dyDescent="0.3">
      <c r="A3652" t="s">
        <v>81</v>
      </c>
      <c r="B3652" t="s">
        <v>82</v>
      </c>
      <c r="C3652" t="s">
        <v>125</v>
      </c>
      <c r="D3652" t="s">
        <v>126</v>
      </c>
      <c r="E3652">
        <v>1988</v>
      </c>
      <c r="F3652" s="1">
        <v>7</v>
      </c>
      <c r="G3652">
        <v>1990</v>
      </c>
      <c r="H3652">
        <f>AVERAGEIFS(Table1[value],Table1[IndicatorCode],Table1[[#This Row],[IndicatorCode]])</f>
        <v>7.6894248608534319</v>
      </c>
      <c r="I3652" cm="1">
        <f t="array" ref="I3652">_xlfn.STDEV.P(IF(Table1[IndicatorCode]=Table1[[#This Row],[IndicatorCode]],Table1[value]))</f>
        <v>5.2319501044600996</v>
      </c>
      <c r="J3652">
        <f>(Table1[[#This Row],[value]] - Table1[[#This Row],[mean]]) / Table1[[#This Row],[std_dev]]</f>
        <v>-0.13177206339672762</v>
      </c>
      <c r="K3652">
        <f>AVERAGEIF(Table1[CountryCode],Table1[[#This Row],[CountryCode]],Table1[z-score])</f>
        <v>-0.32088063876347467</v>
      </c>
      <c r="L3652" t="e">
        <f>VLOOKUP(Table1[[#This Row],[CountryCode]],[1]!Table1[#Data],4,FALSE)</f>
        <v>#REF!</v>
      </c>
    </row>
    <row r="3653" spans="1:12" hidden="1" x14ac:dyDescent="0.3">
      <c r="A3653" t="s">
        <v>81</v>
      </c>
      <c r="B3653" t="s">
        <v>82</v>
      </c>
      <c r="C3653" t="s">
        <v>125</v>
      </c>
      <c r="D3653" t="s">
        <v>126</v>
      </c>
      <c r="E3653">
        <v>1989</v>
      </c>
      <c r="F3653" s="1">
        <v>7</v>
      </c>
      <c r="G3653">
        <v>1990</v>
      </c>
      <c r="H3653">
        <f>AVERAGEIFS(Table1[value],Table1[IndicatorCode],Table1[[#This Row],[IndicatorCode]])</f>
        <v>7.6894248608534319</v>
      </c>
      <c r="I3653" cm="1">
        <f t="array" ref="I3653">_xlfn.STDEV.P(IF(Table1[IndicatorCode]=Table1[[#This Row],[IndicatorCode]],Table1[value]))</f>
        <v>5.2319501044600996</v>
      </c>
      <c r="J3653">
        <f>(Table1[[#This Row],[value]] - Table1[[#This Row],[mean]]) / Table1[[#This Row],[std_dev]]</f>
        <v>-0.13177206339672762</v>
      </c>
      <c r="K3653">
        <f>AVERAGEIF(Table1[CountryCode],Table1[[#This Row],[CountryCode]],Table1[z-score])</f>
        <v>-0.32088063876347467</v>
      </c>
      <c r="L3653" t="e">
        <f>VLOOKUP(Table1[[#This Row],[CountryCode]],[1]!Table1[#Data],4,FALSE)</f>
        <v>#REF!</v>
      </c>
    </row>
    <row r="3654" spans="1:12" hidden="1" x14ac:dyDescent="0.3">
      <c r="A3654" t="s">
        <v>81</v>
      </c>
      <c r="B3654" t="s">
        <v>82</v>
      </c>
      <c r="C3654" t="s">
        <v>125</v>
      </c>
      <c r="D3654" t="s">
        <v>126</v>
      </c>
      <c r="E3654">
        <v>1990</v>
      </c>
      <c r="F3654" s="1">
        <v>7</v>
      </c>
      <c r="G3654">
        <v>1990</v>
      </c>
      <c r="H3654">
        <f>AVERAGEIFS(Table1[value],Table1[IndicatorCode],Table1[[#This Row],[IndicatorCode]])</f>
        <v>7.6894248608534319</v>
      </c>
      <c r="I3654" cm="1">
        <f t="array" ref="I3654">_xlfn.STDEV.P(IF(Table1[IndicatorCode]=Table1[[#This Row],[IndicatorCode]],Table1[value]))</f>
        <v>5.2319501044600996</v>
      </c>
      <c r="J3654">
        <f>(Table1[[#This Row],[value]] - Table1[[#This Row],[mean]]) / Table1[[#This Row],[std_dev]]</f>
        <v>-0.13177206339672762</v>
      </c>
      <c r="K3654">
        <f>AVERAGEIF(Table1[CountryCode],Table1[[#This Row],[CountryCode]],Table1[z-score])</f>
        <v>-0.32088063876347467</v>
      </c>
      <c r="L3654" t="e">
        <f>VLOOKUP(Table1[[#This Row],[CountryCode]],[1]!Table1[#Data],4,FALSE)</f>
        <v>#REF!</v>
      </c>
    </row>
    <row r="3655" spans="1:12" hidden="1" x14ac:dyDescent="0.3">
      <c r="A3655" t="s">
        <v>81</v>
      </c>
      <c r="B3655" t="s">
        <v>82</v>
      </c>
      <c r="C3655" t="s">
        <v>125</v>
      </c>
      <c r="D3655" t="s">
        <v>126</v>
      </c>
      <c r="E3655">
        <v>1991</v>
      </c>
      <c r="F3655" s="1">
        <v>7</v>
      </c>
      <c r="G3655">
        <v>1990</v>
      </c>
      <c r="H3655">
        <f>AVERAGEIFS(Table1[value],Table1[IndicatorCode],Table1[[#This Row],[IndicatorCode]])</f>
        <v>7.6894248608534319</v>
      </c>
      <c r="I3655" cm="1">
        <f t="array" ref="I3655">_xlfn.STDEV.P(IF(Table1[IndicatorCode]=Table1[[#This Row],[IndicatorCode]],Table1[value]))</f>
        <v>5.2319501044600996</v>
      </c>
      <c r="J3655">
        <f>(Table1[[#This Row],[value]] - Table1[[#This Row],[mean]]) / Table1[[#This Row],[std_dev]]</f>
        <v>-0.13177206339672762</v>
      </c>
      <c r="K3655">
        <f>AVERAGEIF(Table1[CountryCode],Table1[[#This Row],[CountryCode]],Table1[z-score])</f>
        <v>-0.32088063876347467</v>
      </c>
      <c r="L3655" t="e">
        <f>VLOOKUP(Table1[[#This Row],[CountryCode]],[1]!Table1[#Data],4,FALSE)</f>
        <v>#REF!</v>
      </c>
    </row>
    <row r="3656" spans="1:12" hidden="1" x14ac:dyDescent="0.3">
      <c r="A3656" t="s">
        <v>81</v>
      </c>
      <c r="B3656" t="s">
        <v>82</v>
      </c>
      <c r="C3656" t="s">
        <v>125</v>
      </c>
      <c r="D3656" t="s">
        <v>126</v>
      </c>
      <c r="E3656">
        <v>1992</v>
      </c>
      <c r="F3656" s="1">
        <v>5</v>
      </c>
      <c r="G3656">
        <v>1990</v>
      </c>
      <c r="H3656">
        <f>AVERAGEIFS(Table1[value],Table1[IndicatorCode],Table1[[#This Row],[IndicatorCode]])</f>
        <v>7.6894248608534319</v>
      </c>
      <c r="I3656" cm="1">
        <f t="array" ref="I3656">_xlfn.STDEV.P(IF(Table1[IndicatorCode]=Table1[[#This Row],[IndicatorCode]],Table1[value]))</f>
        <v>5.2319501044600996</v>
      </c>
      <c r="J3656">
        <f>(Table1[[#This Row],[value]] - Table1[[#This Row],[mean]]) / Table1[[#This Row],[std_dev]]</f>
        <v>-0.51403870586624445</v>
      </c>
      <c r="K3656">
        <f>AVERAGEIF(Table1[CountryCode],Table1[[#This Row],[CountryCode]],Table1[z-score])</f>
        <v>-0.32088063876347467</v>
      </c>
      <c r="L3656" t="e">
        <f>VLOOKUP(Table1[[#This Row],[CountryCode]],[1]!Table1[#Data],4,FALSE)</f>
        <v>#REF!</v>
      </c>
    </row>
    <row r="3657" spans="1:12" hidden="1" x14ac:dyDescent="0.3">
      <c r="A3657" t="s">
        <v>81</v>
      </c>
      <c r="B3657" t="s">
        <v>82</v>
      </c>
      <c r="C3657" t="s">
        <v>125</v>
      </c>
      <c r="D3657" t="s">
        <v>126</v>
      </c>
      <c r="E3657">
        <v>1993</v>
      </c>
      <c r="F3657" s="1">
        <v>5</v>
      </c>
      <c r="G3657">
        <v>1990</v>
      </c>
      <c r="H3657">
        <f>AVERAGEIFS(Table1[value],Table1[IndicatorCode],Table1[[#This Row],[IndicatorCode]])</f>
        <v>7.6894248608534319</v>
      </c>
      <c r="I3657" cm="1">
        <f t="array" ref="I3657">_xlfn.STDEV.P(IF(Table1[IndicatorCode]=Table1[[#This Row],[IndicatorCode]],Table1[value]))</f>
        <v>5.2319501044600996</v>
      </c>
      <c r="J3657">
        <f>(Table1[[#This Row],[value]] - Table1[[#This Row],[mean]]) / Table1[[#This Row],[std_dev]]</f>
        <v>-0.51403870586624445</v>
      </c>
      <c r="K3657">
        <f>AVERAGEIF(Table1[CountryCode],Table1[[#This Row],[CountryCode]],Table1[z-score])</f>
        <v>-0.32088063876347467</v>
      </c>
      <c r="L3657" t="e">
        <f>VLOOKUP(Table1[[#This Row],[CountryCode]],[1]!Table1[#Data],4,FALSE)</f>
        <v>#REF!</v>
      </c>
    </row>
    <row r="3658" spans="1:12" hidden="1" x14ac:dyDescent="0.3">
      <c r="A3658" t="s">
        <v>81</v>
      </c>
      <c r="B3658" t="s">
        <v>82</v>
      </c>
      <c r="C3658" t="s">
        <v>125</v>
      </c>
      <c r="D3658" t="s">
        <v>126</v>
      </c>
      <c r="E3658">
        <v>1994</v>
      </c>
      <c r="F3658" s="1">
        <v>4</v>
      </c>
      <c r="G3658">
        <v>1990</v>
      </c>
      <c r="H3658">
        <f>AVERAGEIFS(Table1[value],Table1[IndicatorCode],Table1[[#This Row],[IndicatorCode]])</f>
        <v>7.6894248608534319</v>
      </c>
      <c r="I3658" cm="1">
        <f t="array" ref="I3658">_xlfn.STDEV.P(IF(Table1[IndicatorCode]=Table1[[#This Row],[IndicatorCode]],Table1[value]))</f>
        <v>5.2319501044600996</v>
      </c>
      <c r="J3658">
        <f>(Table1[[#This Row],[value]] - Table1[[#This Row],[mean]]) / Table1[[#This Row],[std_dev]]</f>
        <v>-0.7051720271010028</v>
      </c>
      <c r="K3658">
        <f>AVERAGEIF(Table1[CountryCode],Table1[[#This Row],[CountryCode]],Table1[z-score])</f>
        <v>-0.32088063876347467</v>
      </c>
      <c r="L3658" t="e">
        <f>VLOOKUP(Table1[[#This Row],[CountryCode]],[1]!Table1[#Data],4,FALSE)</f>
        <v>#REF!</v>
      </c>
    </row>
    <row r="3659" spans="1:12" hidden="1" x14ac:dyDescent="0.3">
      <c r="A3659" t="s">
        <v>81</v>
      </c>
      <c r="B3659" t="s">
        <v>82</v>
      </c>
      <c r="C3659" t="s">
        <v>125</v>
      </c>
      <c r="D3659" t="s">
        <v>126</v>
      </c>
      <c r="E3659">
        <v>1995</v>
      </c>
      <c r="F3659" s="1">
        <v>4</v>
      </c>
      <c r="G3659">
        <v>1990</v>
      </c>
      <c r="H3659">
        <f>AVERAGEIFS(Table1[value],Table1[IndicatorCode],Table1[[#This Row],[IndicatorCode]])</f>
        <v>7.6894248608534319</v>
      </c>
      <c r="I3659" cm="1">
        <f t="array" ref="I3659">_xlfn.STDEV.P(IF(Table1[IndicatorCode]=Table1[[#This Row],[IndicatorCode]],Table1[value]))</f>
        <v>5.2319501044600996</v>
      </c>
      <c r="J3659">
        <f>(Table1[[#This Row],[value]] - Table1[[#This Row],[mean]]) / Table1[[#This Row],[std_dev]]</f>
        <v>-0.7051720271010028</v>
      </c>
      <c r="K3659">
        <f>AVERAGEIF(Table1[CountryCode],Table1[[#This Row],[CountryCode]],Table1[z-score])</f>
        <v>-0.32088063876347467</v>
      </c>
      <c r="L3659" t="e">
        <f>VLOOKUP(Table1[[#This Row],[CountryCode]],[1]!Table1[#Data],4,FALSE)</f>
        <v>#REF!</v>
      </c>
    </row>
    <row r="3660" spans="1:12" hidden="1" x14ac:dyDescent="0.3">
      <c r="A3660" t="s">
        <v>81</v>
      </c>
      <c r="B3660" t="s">
        <v>82</v>
      </c>
      <c r="C3660" t="s">
        <v>125</v>
      </c>
      <c r="D3660" t="s">
        <v>126</v>
      </c>
      <c r="E3660">
        <v>1996</v>
      </c>
      <c r="F3660" s="1">
        <v>4</v>
      </c>
      <c r="G3660">
        <v>1990</v>
      </c>
      <c r="H3660">
        <f>AVERAGEIFS(Table1[value],Table1[IndicatorCode],Table1[[#This Row],[IndicatorCode]])</f>
        <v>7.6894248608534319</v>
      </c>
      <c r="I3660" cm="1">
        <f t="array" ref="I3660">_xlfn.STDEV.P(IF(Table1[IndicatorCode]=Table1[[#This Row],[IndicatorCode]],Table1[value]))</f>
        <v>5.2319501044600996</v>
      </c>
      <c r="J3660">
        <f>(Table1[[#This Row],[value]] - Table1[[#This Row],[mean]]) / Table1[[#This Row],[std_dev]]</f>
        <v>-0.7051720271010028</v>
      </c>
      <c r="K3660">
        <f>AVERAGEIF(Table1[CountryCode],Table1[[#This Row],[CountryCode]],Table1[z-score])</f>
        <v>-0.32088063876347467</v>
      </c>
      <c r="L3660" t="e">
        <f>VLOOKUP(Table1[[#This Row],[CountryCode]],[1]!Table1[#Data],4,FALSE)</f>
        <v>#REF!</v>
      </c>
    </row>
    <row r="3661" spans="1:12" hidden="1" x14ac:dyDescent="0.3">
      <c r="A3661" t="s">
        <v>81</v>
      </c>
      <c r="B3661" t="s">
        <v>82</v>
      </c>
      <c r="C3661" t="s">
        <v>125</v>
      </c>
      <c r="D3661" t="s">
        <v>126</v>
      </c>
      <c r="E3661">
        <v>1997</v>
      </c>
      <c r="F3661" s="1">
        <v>4</v>
      </c>
      <c r="G3661">
        <v>2000</v>
      </c>
      <c r="H3661">
        <f>AVERAGEIFS(Table1[value],Table1[IndicatorCode],Table1[[#This Row],[IndicatorCode]])</f>
        <v>7.6894248608534319</v>
      </c>
      <c r="I3661" cm="1">
        <f t="array" ref="I3661">_xlfn.STDEV.P(IF(Table1[IndicatorCode]=Table1[[#This Row],[IndicatorCode]],Table1[value]))</f>
        <v>5.2319501044600996</v>
      </c>
      <c r="J3661">
        <f>(Table1[[#This Row],[value]] - Table1[[#This Row],[mean]]) / Table1[[#This Row],[std_dev]]</f>
        <v>-0.7051720271010028</v>
      </c>
      <c r="K3661">
        <f>AVERAGEIF(Table1[CountryCode],Table1[[#This Row],[CountryCode]],Table1[z-score])</f>
        <v>-0.32088063876347467</v>
      </c>
      <c r="L3661" t="e">
        <f>VLOOKUP(Table1[[#This Row],[CountryCode]],[1]!Table1[#Data],4,FALSE)</f>
        <v>#REF!</v>
      </c>
    </row>
    <row r="3662" spans="1:12" hidden="1" x14ac:dyDescent="0.3">
      <c r="A3662" t="s">
        <v>81</v>
      </c>
      <c r="B3662" t="s">
        <v>82</v>
      </c>
      <c r="C3662" t="s">
        <v>125</v>
      </c>
      <c r="D3662" t="s">
        <v>126</v>
      </c>
      <c r="E3662">
        <v>1998</v>
      </c>
      <c r="F3662" s="1">
        <v>3</v>
      </c>
      <c r="G3662">
        <v>2000</v>
      </c>
      <c r="H3662">
        <f>AVERAGEIFS(Table1[value],Table1[IndicatorCode],Table1[[#This Row],[IndicatorCode]])</f>
        <v>7.6894248608534319</v>
      </c>
      <c r="I3662" cm="1">
        <f t="array" ref="I3662">_xlfn.STDEV.P(IF(Table1[IndicatorCode]=Table1[[#This Row],[IndicatorCode]],Table1[value]))</f>
        <v>5.2319501044600996</v>
      </c>
      <c r="J3662">
        <f>(Table1[[#This Row],[value]] - Table1[[#This Row],[mean]]) / Table1[[#This Row],[std_dev]]</f>
        <v>-0.89630534833576125</v>
      </c>
      <c r="K3662">
        <f>AVERAGEIF(Table1[CountryCode],Table1[[#This Row],[CountryCode]],Table1[z-score])</f>
        <v>-0.32088063876347467</v>
      </c>
      <c r="L3662" t="e">
        <f>VLOOKUP(Table1[[#This Row],[CountryCode]],[1]!Table1[#Data],4,FALSE)</f>
        <v>#REF!</v>
      </c>
    </row>
    <row r="3663" spans="1:12" hidden="1" x14ac:dyDescent="0.3">
      <c r="A3663" t="s">
        <v>81</v>
      </c>
      <c r="B3663" t="s">
        <v>82</v>
      </c>
      <c r="C3663" t="s">
        <v>125</v>
      </c>
      <c r="D3663" t="s">
        <v>126</v>
      </c>
      <c r="E3663">
        <v>1999</v>
      </c>
      <c r="F3663" s="1">
        <v>3</v>
      </c>
      <c r="G3663">
        <v>2000</v>
      </c>
      <c r="H3663">
        <f>AVERAGEIFS(Table1[value],Table1[IndicatorCode],Table1[[#This Row],[IndicatorCode]])</f>
        <v>7.6894248608534319</v>
      </c>
      <c r="I3663" cm="1">
        <f t="array" ref="I3663">_xlfn.STDEV.P(IF(Table1[IndicatorCode]=Table1[[#This Row],[IndicatorCode]],Table1[value]))</f>
        <v>5.2319501044600996</v>
      </c>
      <c r="J3663">
        <f>(Table1[[#This Row],[value]] - Table1[[#This Row],[mean]]) / Table1[[#This Row],[std_dev]]</f>
        <v>-0.89630534833576125</v>
      </c>
      <c r="K3663">
        <f>AVERAGEIF(Table1[CountryCode],Table1[[#This Row],[CountryCode]],Table1[z-score])</f>
        <v>-0.32088063876347467</v>
      </c>
      <c r="L3663" t="e">
        <f>VLOOKUP(Table1[[#This Row],[CountryCode]],[1]!Table1[#Data],4,FALSE)</f>
        <v>#REF!</v>
      </c>
    </row>
    <row r="3664" spans="1:12" hidden="1" x14ac:dyDescent="0.3">
      <c r="A3664" t="s">
        <v>81</v>
      </c>
      <c r="B3664" t="s">
        <v>82</v>
      </c>
      <c r="C3664" t="s">
        <v>125</v>
      </c>
      <c r="D3664" t="s">
        <v>126</v>
      </c>
      <c r="E3664">
        <v>2000</v>
      </c>
      <c r="F3664" s="1">
        <v>3</v>
      </c>
      <c r="G3664">
        <v>2000</v>
      </c>
      <c r="H3664">
        <f>AVERAGEIFS(Table1[value],Table1[IndicatorCode],Table1[[#This Row],[IndicatorCode]])</f>
        <v>7.6894248608534319</v>
      </c>
      <c r="I3664" cm="1">
        <f t="array" ref="I3664">_xlfn.STDEV.P(IF(Table1[IndicatorCode]=Table1[[#This Row],[IndicatorCode]],Table1[value]))</f>
        <v>5.2319501044600996</v>
      </c>
      <c r="J3664">
        <f>(Table1[[#This Row],[value]] - Table1[[#This Row],[mean]]) / Table1[[#This Row],[std_dev]]</f>
        <v>-0.89630534833576125</v>
      </c>
      <c r="K3664">
        <f>AVERAGEIF(Table1[CountryCode],Table1[[#This Row],[CountryCode]],Table1[z-score])</f>
        <v>-0.32088063876347467</v>
      </c>
      <c r="L3664" t="e">
        <f>VLOOKUP(Table1[[#This Row],[CountryCode]],[1]!Table1[#Data],4,FALSE)</f>
        <v>#REF!</v>
      </c>
    </row>
    <row r="3665" spans="1:12" hidden="1" x14ac:dyDescent="0.3">
      <c r="A3665" t="s">
        <v>81</v>
      </c>
      <c r="B3665" t="s">
        <v>82</v>
      </c>
      <c r="C3665" t="s">
        <v>125</v>
      </c>
      <c r="D3665" t="s">
        <v>126</v>
      </c>
      <c r="E3665">
        <v>2001</v>
      </c>
      <c r="F3665" s="1">
        <v>3</v>
      </c>
      <c r="G3665">
        <v>2000</v>
      </c>
      <c r="H3665">
        <f>AVERAGEIFS(Table1[value],Table1[IndicatorCode],Table1[[#This Row],[IndicatorCode]])</f>
        <v>7.6894248608534319</v>
      </c>
      <c r="I3665" cm="1">
        <f t="array" ref="I3665">_xlfn.STDEV.P(IF(Table1[IndicatorCode]=Table1[[#This Row],[IndicatorCode]],Table1[value]))</f>
        <v>5.2319501044600996</v>
      </c>
      <c r="J3665">
        <f>(Table1[[#This Row],[value]] - Table1[[#This Row],[mean]]) / Table1[[#This Row],[std_dev]]</f>
        <v>-0.89630534833576125</v>
      </c>
      <c r="K3665">
        <f>AVERAGEIF(Table1[CountryCode],Table1[[#This Row],[CountryCode]],Table1[z-score])</f>
        <v>-0.32088063876347467</v>
      </c>
      <c r="L3665" t="e">
        <f>VLOOKUP(Table1[[#This Row],[CountryCode]],[1]!Table1[#Data],4,FALSE)</f>
        <v>#REF!</v>
      </c>
    </row>
    <row r="3666" spans="1:12" hidden="1" x14ac:dyDescent="0.3">
      <c r="A3666" t="s">
        <v>81</v>
      </c>
      <c r="B3666" t="s">
        <v>82</v>
      </c>
      <c r="C3666" t="s">
        <v>125</v>
      </c>
      <c r="D3666" t="s">
        <v>126</v>
      </c>
      <c r="E3666">
        <v>2002</v>
      </c>
      <c r="F3666" s="1">
        <v>3</v>
      </c>
      <c r="G3666">
        <v>2000</v>
      </c>
      <c r="H3666">
        <f>AVERAGEIFS(Table1[value],Table1[IndicatorCode],Table1[[#This Row],[IndicatorCode]])</f>
        <v>7.6894248608534319</v>
      </c>
      <c r="I3666" cm="1">
        <f t="array" ref="I3666">_xlfn.STDEV.P(IF(Table1[IndicatorCode]=Table1[[#This Row],[IndicatorCode]],Table1[value]))</f>
        <v>5.2319501044600996</v>
      </c>
      <c r="J3666">
        <f>(Table1[[#This Row],[value]] - Table1[[#This Row],[mean]]) / Table1[[#This Row],[std_dev]]</f>
        <v>-0.89630534833576125</v>
      </c>
      <c r="K3666">
        <f>AVERAGEIF(Table1[CountryCode],Table1[[#This Row],[CountryCode]],Table1[z-score])</f>
        <v>-0.32088063876347467</v>
      </c>
      <c r="L3666" t="e">
        <f>VLOOKUP(Table1[[#This Row],[CountryCode]],[1]!Table1[#Data],4,FALSE)</f>
        <v>#REF!</v>
      </c>
    </row>
    <row r="3667" spans="1:12" hidden="1" x14ac:dyDescent="0.3">
      <c r="A3667" t="s">
        <v>81</v>
      </c>
      <c r="B3667" t="s">
        <v>82</v>
      </c>
      <c r="C3667" t="s">
        <v>125</v>
      </c>
      <c r="D3667" t="s">
        <v>126</v>
      </c>
      <c r="E3667">
        <v>2003</v>
      </c>
      <c r="F3667" s="1">
        <v>3</v>
      </c>
      <c r="G3667">
        <v>2000</v>
      </c>
      <c r="H3667">
        <f>AVERAGEIFS(Table1[value],Table1[IndicatorCode],Table1[[#This Row],[IndicatorCode]])</f>
        <v>7.6894248608534319</v>
      </c>
      <c r="I3667" cm="1">
        <f t="array" ref="I3667">_xlfn.STDEV.P(IF(Table1[IndicatorCode]=Table1[[#This Row],[IndicatorCode]],Table1[value]))</f>
        <v>5.2319501044600996</v>
      </c>
      <c r="J3667">
        <f>(Table1[[#This Row],[value]] - Table1[[#This Row],[mean]]) / Table1[[#This Row],[std_dev]]</f>
        <v>-0.89630534833576125</v>
      </c>
      <c r="K3667">
        <f>AVERAGEIF(Table1[CountryCode],Table1[[#This Row],[CountryCode]],Table1[z-score])</f>
        <v>-0.32088063876347467</v>
      </c>
      <c r="L3667" t="e">
        <f>VLOOKUP(Table1[[#This Row],[CountryCode]],[1]!Table1[#Data],4,FALSE)</f>
        <v>#REF!</v>
      </c>
    </row>
    <row r="3668" spans="1:12" hidden="1" x14ac:dyDescent="0.3">
      <c r="A3668" t="s">
        <v>81</v>
      </c>
      <c r="B3668" t="s">
        <v>82</v>
      </c>
      <c r="C3668" t="s">
        <v>125</v>
      </c>
      <c r="D3668" t="s">
        <v>126</v>
      </c>
      <c r="E3668">
        <v>2004</v>
      </c>
      <c r="F3668" s="1">
        <v>4</v>
      </c>
      <c r="G3668">
        <v>2000</v>
      </c>
      <c r="H3668">
        <f>AVERAGEIFS(Table1[value],Table1[IndicatorCode],Table1[[#This Row],[IndicatorCode]])</f>
        <v>7.6894248608534319</v>
      </c>
      <c r="I3668" cm="1">
        <f t="array" ref="I3668">_xlfn.STDEV.P(IF(Table1[IndicatorCode]=Table1[[#This Row],[IndicatorCode]],Table1[value]))</f>
        <v>5.2319501044600996</v>
      </c>
      <c r="J3668">
        <f>(Table1[[#This Row],[value]] - Table1[[#This Row],[mean]]) / Table1[[#This Row],[std_dev]]</f>
        <v>-0.7051720271010028</v>
      </c>
      <c r="K3668">
        <f>AVERAGEIF(Table1[CountryCode],Table1[[#This Row],[CountryCode]],Table1[z-score])</f>
        <v>-0.32088063876347467</v>
      </c>
      <c r="L3668" t="e">
        <f>VLOOKUP(Table1[[#This Row],[CountryCode]],[1]!Table1[#Data],4,FALSE)</f>
        <v>#REF!</v>
      </c>
    </row>
    <row r="3669" spans="1:12" hidden="1" x14ac:dyDescent="0.3">
      <c r="A3669" t="s">
        <v>81</v>
      </c>
      <c r="B3669" t="s">
        <v>82</v>
      </c>
      <c r="C3669" t="s">
        <v>125</v>
      </c>
      <c r="D3669" t="s">
        <v>126</v>
      </c>
      <c r="E3669">
        <v>2005</v>
      </c>
      <c r="F3669" s="1">
        <v>4</v>
      </c>
      <c r="G3669">
        <v>2000</v>
      </c>
      <c r="H3669">
        <f>AVERAGEIFS(Table1[value],Table1[IndicatorCode],Table1[[#This Row],[IndicatorCode]])</f>
        <v>7.6894248608534319</v>
      </c>
      <c r="I3669" cm="1">
        <f t="array" ref="I3669">_xlfn.STDEV.P(IF(Table1[IndicatorCode]=Table1[[#This Row],[IndicatorCode]],Table1[value]))</f>
        <v>5.2319501044600996</v>
      </c>
      <c r="J3669">
        <f>(Table1[[#This Row],[value]] - Table1[[#This Row],[mean]]) / Table1[[#This Row],[std_dev]]</f>
        <v>-0.7051720271010028</v>
      </c>
      <c r="K3669">
        <f>AVERAGEIF(Table1[CountryCode],Table1[[#This Row],[CountryCode]],Table1[z-score])</f>
        <v>-0.32088063876347467</v>
      </c>
      <c r="L3669" t="e">
        <f>VLOOKUP(Table1[[#This Row],[CountryCode]],[1]!Table1[#Data],4,FALSE)</f>
        <v>#REF!</v>
      </c>
    </row>
    <row r="3670" spans="1:12" hidden="1" x14ac:dyDescent="0.3">
      <c r="A3670" t="s">
        <v>81</v>
      </c>
      <c r="B3670" t="s">
        <v>82</v>
      </c>
      <c r="C3670" t="s">
        <v>125</v>
      </c>
      <c r="D3670" t="s">
        <v>126</v>
      </c>
      <c r="E3670">
        <v>2006</v>
      </c>
      <c r="F3670" s="1">
        <v>4</v>
      </c>
      <c r="G3670">
        <v>2000</v>
      </c>
      <c r="H3670">
        <f>AVERAGEIFS(Table1[value],Table1[IndicatorCode],Table1[[#This Row],[IndicatorCode]])</f>
        <v>7.6894248608534319</v>
      </c>
      <c r="I3670" cm="1">
        <f t="array" ref="I3670">_xlfn.STDEV.P(IF(Table1[IndicatorCode]=Table1[[#This Row],[IndicatorCode]],Table1[value]))</f>
        <v>5.2319501044600996</v>
      </c>
      <c r="J3670">
        <f>(Table1[[#This Row],[value]] - Table1[[#This Row],[mean]]) / Table1[[#This Row],[std_dev]]</f>
        <v>-0.7051720271010028</v>
      </c>
      <c r="K3670">
        <f>AVERAGEIF(Table1[CountryCode],Table1[[#This Row],[CountryCode]],Table1[z-score])</f>
        <v>-0.32088063876347467</v>
      </c>
      <c r="L3670" t="e">
        <f>VLOOKUP(Table1[[#This Row],[CountryCode]],[1]!Table1[#Data],4,FALSE)</f>
        <v>#REF!</v>
      </c>
    </row>
    <row r="3671" spans="1:12" hidden="1" x14ac:dyDescent="0.3">
      <c r="A3671" t="s">
        <v>81</v>
      </c>
      <c r="B3671" t="s">
        <v>82</v>
      </c>
      <c r="C3671" t="s">
        <v>125</v>
      </c>
      <c r="D3671" t="s">
        <v>126</v>
      </c>
      <c r="E3671">
        <v>2007</v>
      </c>
      <c r="F3671" s="1">
        <v>4</v>
      </c>
      <c r="G3671">
        <v>2010</v>
      </c>
      <c r="H3671">
        <f>AVERAGEIFS(Table1[value],Table1[IndicatorCode],Table1[[#This Row],[IndicatorCode]])</f>
        <v>7.6894248608534319</v>
      </c>
      <c r="I3671" cm="1">
        <f t="array" ref="I3671">_xlfn.STDEV.P(IF(Table1[IndicatorCode]=Table1[[#This Row],[IndicatorCode]],Table1[value]))</f>
        <v>5.2319501044600996</v>
      </c>
      <c r="J3671">
        <f>(Table1[[#This Row],[value]] - Table1[[#This Row],[mean]]) / Table1[[#This Row],[std_dev]]</f>
        <v>-0.7051720271010028</v>
      </c>
      <c r="K3671">
        <f>AVERAGEIF(Table1[CountryCode],Table1[[#This Row],[CountryCode]],Table1[z-score])</f>
        <v>-0.32088063876347467</v>
      </c>
      <c r="L3671" t="e">
        <f>VLOOKUP(Table1[[#This Row],[CountryCode]],[1]!Table1[#Data],4,FALSE)</f>
        <v>#REF!</v>
      </c>
    </row>
    <row r="3672" spans="1:12" hidden="1" x14ac:dyDescent="0.3">
      <c r="A3672" t="s">
        <v>81</v>
      </c>
      <c r="B3672" t="s">
        <v>82</v>
      </c>
      <c r="C3672" t="s">
        <v>125</v>
      </c>
      <c r="D3672" t="s">
        <v>126</v>
      </c>
      <c r="E3672">
        <v>2008</v>
      </c>
      <c r="F3672" s="1">
        <v>4</v>
      </c>
      <c r="G3672">
        <v>2010</v>
      </c>
      <c r="H3672">
        <f>AVERAGEIFS(Table1[value],Table1[IndicatorCode],Table1[[#This Row],[IndicatorCode]])</f>
        <v>7.6894248608534319</v>
      </c>
      <c r="I3672" cm="1">
        <f t="array" ref="I3672">_xlfn.STDEV.P(IF(Table1[IndicatorCode]=Table1[[#This Row],[IndicatorCode]],Table1[value]))</f>
        <v>5.2319501044600996</v>
      </c>
      <c r="J3672">
        <f>(Table1[[#This Row],[value]] - Table1[[#This Row],[mean]]) / Table1[[#This Row],[std_dev]]</f>
        <v>-0.7051720271010028</v>
      </c>
      <c r="K3672">
        <f>AVERAGEIF(Table1[CountryCode],Table1[[#This Row],[CountryCode]],Table1[z-score])</f>
        <v>-0.32088063876347467</v>
      </c>
      <c r="L3672" t="e">
        <f>VLOOKUP(Table1[[#This Row],[CountryCode]],[1]!Table1[#Data],4,FALSE)</f>
        <v>#REF!</v>
      </c>
    </row>
    <row r="3673" spans="1:12" hidden="1" x14ac:dyDescent="0.3">
      <c r="A3673" t="s">
        <v>81</v>
      </c>
      <c r="B3673" t="s">
        <v>82</v>
      </c>
      <c r="C3673" t="s">
        <v>125</v>
      </c>
      <c r="D3673" t="s">
        <v>126</v>
      </c>
      <c r="E3673">
        <v>2009</v>
      </c>
      <c r="F3673" s="1">
        <v>4</v>
      </c>
      <c r="G3673">
        <v>2010</v>
      </c>
      <c r="H3673">
        <f>AVERAGEIFS(Table1[value],Table1[IndicatorCode],Table1[[#This Row],[IndicatorCode]])</f>
        <v>7.6894248608534319</v>
      </c>
      <c r="I3673" cm="1">
        <f t="array" ref="I3673">_xlfn.STDEV.P(IF(Table1[IndicatorCode]=Table1[[#This Row],[IndicatorCode]],Table1[value]))</f>
        <v>5.2319501044600996</v>
      </c>
      <c r="J3673">
        <f>(Table1[[#This Row],[value]] - Table1[[#This Row],[mean]]) / Table1[[#This Row],[std_dev]]</f>
        <v>-0.7051720271010028</v>
      </c>
      <c r="K3673">
        <f>AVERAGEIF(Table1[CountryCode],Table1[[#This Row],[CountryCode]],Table1[z-score])</f>
        <v>-0.32088063876347467</v>
      </c>
      <c r="L3673" t="e">
        <f>VLOOKUP(Table1[[#This Row],[CountryCode]],[1]!Table1[#Data],4,FALSE)</f>
        <v>#REF!</v>
      </c>
    </row>
    <row r="3674" spans="1:12" hidden="1" x14ac:dyDescent="0.3">
      <c r="A3674" t="s">
        <v>81</v>
      </c>
      <c r="B3674" t="s">
        <v>82</v>
      </c>
      <c r="C3674" t="s">
        <v>125</v>
      </c>
      <c r="D3674" t="s">
        <v>126</v>
      </c>
      <c r="E3674">
        <v>2010</v>
      </c>
      <c r="F3674" s="1">
        <v>4</v>
      </c>
      <c r="G3674">
        <v>2010</v>
      </c>
      <c r="H3674">
        <f>AVERAGEIFS(Table1[value],Table1[IndicatorCode],Table1[[#This Row],[IndicatorCode]])</f>
        <v>7.6894248608534319</v>
      </c>
      <c r="I3674" cm="1">
        <f t="array" ref="I3674">_xlfn.STDEV.P(IF(Table1[IndicatorCode]=Table1[[#This Row],[IndicatorCode]],Table1[value]))</f>
        <v>5.2319501044600996</v>
      </c>
      <c r="J3674">
        <f>(Table1[[#This Row],[value]] - Table1[[#This Row],[mean]]) / Table1[[#This Row],[std_dev]]</f>
        <v>-0.7051720271010028</v>
      </c>
      <c r="K3674">
        <f>AVERAGEIF(Table1[CountryCode],Table1[[#This Row],[CountryCode]],Table1[z-score])</f>
        <v>-0.32088063876347467</v>
      </c>
      <c r="L3674" t="e">
        <f>VLOOKUP(Table1[[#This Row],[CountryCode]],[1]!Table1[#Data],4,FALSE)</f>
        <v>#REF!</v>
      </c>
    </row>
    <row r="3675" spans="1:12" hidden="1" x14ac:dyDescent="0.3">
      <c r="A3675" t="s">
        <v>81</v>
      </c>
      <c r="B3675" t="s">
        <v>82</v>
      </c>
      <c r="C3675" t="s">
        <v>125</v>
      </c>
      <c r="D3675" t="s">
        <v>126</v>
      </c>
      <c r="E3675">
        <v>2011</v>
      </c>
      <c r="F3675" s="1">
        <v>4</v>
      </c>
      <c r="G3675">
        <v>2010</v>
      </c>
      <c r="H3675">
        <f>AVERAGEIFS(Table1[value],Table1[IndicatorCode],Table1[[#This Row],[IndicatorCode]])</f>
        <v>7.6894248608534319</v>
      </c>
      <c r="I3675" cm="1">
        <f t="array" ref="I3675">_xlfn.STDEV.P(IF(Table1[IndicatorCode]=Table1[[#This Row],[IndicatorCode]],Table1[value]))</f>
        <v>5.2319501044600996</v>
      </c>
      <c r="J3675">
        <f>(Table1[[#This Row],[value]] - Table1[[#This Row],[mean]]) / Table1[[#This Row],[std_dev]]</f>
        <v>-0.7051720271010028</v>
      </c>
      <c r="K3675">
        <f>AVERAGEIF(Table1[CountryCode],Table1[[#This Row],[CountryCode]],Table1[z-score])</f>
        <v>-0.32088063876347467</v>
      </c>
      <c r="L3675" t="e">
        <f>VLOOKUP(Table1[[#This Row],[CountryCode]],[1]!Table1[#Data],4,FALSE)</f>
        <v>#REF!</v>
      </c>
    </row>
    <row r="3676" spans="1:12" hidden="1" x14ac:dyDescent="0.3">
      <c r="A3676" t="s">
        <v>81</v>
      </c>
      <c r="B3676" t="s">
        <v>82</v>
      </c>
      <c r="C3676" t="s">
        <v>125</v>
      </c>
      <c r="D3676" t="s">
        <v>126</v>
      </c>
      <c r="E3676">
        <v>2012</v>
      </c>
      <c r="F3676" s="1">
        <v>4</v>
      </c>
      <c r="G3676">
        <v>2010</v>
      </c>
      <c r="H3676">
        <f>AVERAGEIFS(Table1[value],Table1[IndicatorCode],Table1[[#This Row],[IndicatorCode]])</f>
        <v>7.6894248608534319</v>
      </c>
      <c r="I3676" cm="1">
        <f t="array" ref="I3676">_xlfn.STDEV.P(IF(Table1[IndicatorCode]=Table1[[#This Row],[IndicatorCode]],Table1[value]))</f>
        <v>5.2319501044600996</v>
      </c>
      <c r="J3676">
        <f>(Table1[[#This Row],[value]] - Table1[[#This Row],[mean]]) / Table1[[#This Row],[std_dev]]</f>
        <v>-0.7051720271010028</v>
      </c>
      <c r="K3676">
        <f>AVERAGEIF(Table1[CountryCode],Table1[[#This Row],[CountryCode]],Table1[z-score])</f>
        <v>-0.32088063876347467</v>
      </c>
      <c r="L3676" t="e">
        <f>VLOOKUP(Table1[[#This Row],[CountryCode]],[1]!Table1[#Data],4,FALSE)</f>
        <v>#REF!</v>
      </c>
    </row>
    <row r="3677" spans="1:12" hidden="1" x14ac:dyDescent="0.3">
      <c r="A3677" t="s">
        <v>81</v>
      </c>
      <c r="B3677" t="s">
        <v>82</v>
      </c>
      <c r="C3677" t="s">
        <v>125</v>
      </c>
      <c r="D3677" t="s">
        <v>126</v>
      </c>
      <c r="E3677">
        <v>2013</v>
      </c>
      <c r="F3677" s="1">
        <v>4</v>
      </c>
      <c r="G3677">
        <v>2010</v>
      </c>
      <c r="H3677">
        <f>AVERAGEIFS(Table1[value],Table1[IndicatorCode],Table1[[#This Row],[IndicatorCode]])</f>
        <v>7.6894248608534319</v>
      </c>
      <c r="I3677" cm="1">
        <f t="array" ref="I3677">_xlfn.STDEV.P(IF(Table1[IndicatorCode]=Table1[[#This Row],[IndicatorCode]],Table1[value]))</f>
        <v>5.2319501044600996</v>
      </c>
      <c r="J3677">
        <f>(Table1[[#This Row],[value]] - Table1[[#This Row],[mean]]) / Table1[[#This Row],[std_dev]]</f>
        <v>-0.7051720271010028</v>
      </c>
      <c r="K3677">
        <f>AVERAGEIF(Table1[CountryCode],Table1[[#This Row],[CountryCode]],Table1[z-score])</f>
        <v>-0.32088063876347467</v>
      </c>
      <c r="L3677" t="e">
        <f>VLOOKUP(Table1[[#This Row],[CountryCode]],[1]!Table1[#Data],4,FALSE)</f>
        <v>#REF!</v>
      </c>
    </row>
    <row r="3678" spans="1:12" hidden="1" x14ac:dyDescent="0.3">
      <c r="A3678" t="s">
        <v>81</v>
      </c>
      <c r="B3678" t="s">
        <v>82</v>
      </c>
      <c r="C3678" t="s">
        <v>125</v>
      </c>
      <c r="D3678" t="s">
        <v>126</v>
      </c>
      <c r="E3678">
        <v>2014</v>
      </c>
      <c r="F3678" s="1">
        <v>4</v>
      </c>
      <c r="G3678">
        <v>2010</v>
      </c>
      <c r="H3678">
        <f>AVERAGEIFS(Table1[value],Table1[IndicatorCode],Table1[[#This Row],[IndicatorCode]])</f>
        <v>7.6894248608534319</v>
      </c>
      <c r="I3678" cm="1">
        <f t="array" ref="I3678">_xlfn.STDEV.P(IF(Table1[IndicatorCode]=Table1[[#This Row],[IndicatorCode]],Table1[value]))</f>
        <v>5.2319501044600996</v>
      </c>
      <c r="J3678">
        <f>(Table1[[#This Row],[value]] - Table1[[#This Row],[mean]]) / Table1[[#This Row],[std_dev]]</f>
        <v>-0.7051720271010028</v>
      </c>
      <c r="K3678">
        <f>AVERAGEIF(Table1[CountryCode],Table1[[#This Row],[CountryCode]],Table1[z-score])</f>
        <v>-0.32088063876347467</v>
      </c>
      <c r="L3678" t="e">
        <f>VLOOKUP(Table1[[#This Row],[CountryCode]],[1]!Table1[#Data],4,FALSE)</f>
        <v>#REF!</v>
      </c>
    </row>
    <row r="3679" spans="1:12" hidden="1" x14ac:dyDescent="0.3">
      <c r="A3679" t="s">
        <v>81</v>
      </c>
      <c r="B3679" t="s">
        <v>82</v>
      </c>
      <c r="C3679" t="s">
        <v>125</v>
      </c>
      <c r="D3679" t="s">
        <v>126</v>
      </c>
      <c r="E3679">
        <v>2015</v>
      </c>
      <c r="F3679" s="1">
        <v>4</v>
      </c>
      <c r="G3679">
        <v>2010</v>
      </c>
      <c r="H3679">
        <f>AVERAGEIFS(Table1[value],Table1[IndicatorCode],Table1[[#This Row],[IndicatorCode]])</f>
        <v>7.6894248608534319</v>
      </c>
      <c r="I3679" cm="1">
        <f t="array" ref="I3679">_xlfn.STDEV.P(IF(Table1[IndicatorCode]=Table1[[#This Row],[IndicatorCode]],Table1[value]))</f>
        <v>5.2319501044600996</v>
      </c>
      <c r="J3679">
        <f>(Table1[[#This Row],[value]] - Table1[[#This Row],[mean]]) / Table1[[#This Row],[std_dev]]</f>
        <v>-0.7051720271010028</v>
      </c>
      <c r="K3679">
        <f>AVERAGEIF(Table1[CountryCode],Table1[[#This Row],[CountryCode]],Table1[z-score])</f>
        <v>-0.32088063876347467</v>
      </c>
      <c r="L3679" t="e">
        <f>VLOOKUP(Table1[[#This Row],[CountryCode]],[1]!Table1[#Data],4,FALSE)</f>
        <v>#REF!</v>
      </c>
    </row>
    <row r="3680" spans="1:12" hidden="1" x14ac:dyDescent="0.3">
      <c r="A3680" t="s">
        <v>81</v>
      </c>
      <c r="B3680" t="s">
        <v>82</v>
      </c>
      <c r="C3680" t="s">
        <v>125</v>
      </c>
      <c r="D3680" t="s">
        <v>126</v>
      </c>
      <c r="E3680">
        <v>2016</v>
      </c>
      <c r="F3680" s="1">
        <v>4</v>
      </c>
      <c r="G3680">
        <v>2010</v>
      </c>
      <c r="H3680">
        <f>AVERAGEIFS(Table1[value],Table1[IndicatorCode],Table1[[#This Row],[IndicatorCode]])</f>
        <v>7.6894248608534319</v>
      </c>
      <c r="I3680" cm="1">
        <f t="array" ref="I3680">_xlfn.STDEV.P(IF(Table1[IndicatorCode]=Table1[[#This Row],[IndicatorCode]],Table1[value]))</f>
        <v>5.2319501044600996</v>
      </c>
      <c r="J3680">
        <f>(Table1[[#This Row],[value]] - Table1[[#This Row],[mean]]) / Table1[[#This Row],[std_dev]]</f>
        <v>-0.7051720271010028</v>
      </c>
      <c r="K3680">
        <f>AVERAGEIF(Table1[CountryCode],Table1[[#This Row],[CountryCode]],Table1[z-score])</f>
        <v>-0.32088063876347467</v>
      </c>
      <c r="L3680" t="e">
        <f>VLOOKUP(Table1[[#This Row],[CountryCode]],[1]!Table1[#Data],4,FALSE)</f>
        <v>#REF!</v>
      </c>
    </row>
    <row r="3681" spans="1:12" hidden="1" x14ac:dyDescent="0.3">
      <c r="A3681" t="s">
        <v>81</v>
      </c>
      <c r="B3681" t="s">
        <v>82</v>
      </c>
      <c r="C3681" t="s">
        <v>125</v>
      </c>
      <c r="D3681" t="s">
        <v>126</v>
      </c>
      <c r="E3681">
        <v>2017</v>
      </c>
      <c r="F3681" s="1">
        <v>4</v>
      </c>
      <c r="G3681">
        <v>2020</v>
      </c>
      <c r="H3681">
        <f>AVERAGEIFS(Table1[value],Table1[IndicatorCode],Table1[[#This Row],[IndicatorCode]])</f>
        <v>7.6894248608534319</v>
      </c>
      <c r="I3681" cm="1">
        <f t="array" ref="I3681">_xlfn.STDEV.P(IF(Table1[IndicatorCode]=Table1[[#This Row],[IndicatorCode]],Table1[value]))</f>
        <v>5.2319501044600996</v>
      </c>
      <c r="J3681">
        <f>(Table1[[#This Row],[value]] - Table1[[#This Row],[mean]]) / Table1[[#This Row],[std_dev]]</f>
        <v>-0.7051720271010028</v>
      </c>
      <c r="K3681">
        <f>AVERAGEIF(Table1[CountryCode],Table1[[#This Row],[CountryCode]],Table1[z-score])</f>
        <v>-0.32088063876347467</v>
      </c>
      <c r="L3681" t="e">
        <f>VLOOKUP(Table1[[#This Row],[CountryCode]],[1]!Table1[#Data],4,FALSE)</f>
        <v>#REF!</v>
      </c>
    </row>
    <row r="3682" spans="1:12" hidden="1" x14ac:dyDescent="0.3">
      <c r="A3682" t="s">
        <v>81</v>
      </c>
      <c r="B3682" t="s">
        <v>82</v>
      </c>
      <c r="C3682" t="s">
        <v>125</v>
      </c>
      <c r="D3682" t="s">
        <v>126</v>
      </c>
      <c r="E3682">
        <v>2018</v>
      </c>
      <c r="F3682" s="1">
        <v>4</v>
      </c>
      <c r="G3682">
        <v>2020</v>
      </c>
      <c r="H3682">
        <f>AVERAGEIFS(Table1[value],Table1[IndicatorCode],Table1[[#This Row],[IndicatorCode]])</f>
        <v>7.6894248608534319</v>
      </c>
      <c r="I3682" cm="1">
        <f t="array" ref="I3682">_xlfn.STDEV.P(IF(Table1[IndicatorCode]=Table1[[#This Row],[IndicatorCode]],Table1[value]))</f>
        <v>5.2319501044600996</v>
      </c>
      <c r="J3682">
        <f>(Table1[[#This Row],[value]] - Table1[[#This Row],[mean]]) / Table1[[#This Row],[std_dev]]</f>
        <v>-0.7051720271010028</v>
      </c>
      <c r="K3682">
        <f>AVERAGEIF(Table1[CountryCode],Table1[[#This Row],[CountryCode]],Table1[z-score])</f>
        <v>-0.32088063876347467</v>
      </c>
      <c r="L3682" t="e">
        <f>VLOOKUP(Table1[[#This Row],[CountryCode]],[1]!Table1[#Data],4,FALSE)</f>
        <v>#REF!</v>
      </c>
    </row>
    <row r="3683" spans="1:12" hidden="1" x14ac:dyDescent="0.3">
      <c r="A3683" t="s">
        <v>81</v>
      </c>
      <c r="B3683" t="s">
        <v>82</v>
      </c>
      <c r="C3683" t="s">
        <v>125</v>
      </c>
      <c r="D3683" t="s">
        <v>126</v>
      </c>
      <c r="E3683">
        <v>2019</v>
      </c>
      <c r="F3683" s="1">
        <v>4</v>
      </c>
      <c r="G3683">
        <v>2020</v>
      </c>
      <c r="H3683">
        <f>AVERAGEIFS(Table1[value],Table1[IndicatorCode],Table1[[#This Row],[IndicatorCode]])</f>
        <v>7.6894248608534319</v>
      </c>
      <c r="I3683" cm="1">
        <f t="array" ref="I3683">_xlfn.STDEV.P(IF(Table1[IndicatorCode]=Table1[[#This Row],[IndicatorCode]],Table1[value]))</f>
        <v>5.2319501044600996</v>
      </c>
      <c r="J3683">
        <f>(Table1[[#This Row],[value]] - Table1[[#This Row],[mean]]) / Table1[[#This Row],[std_dev]]</f>
        <v>-0.7051720271010028</v>
      </c>
      <c r="K3683">
        <f>AVERAGEIF(Table1[CountryCode],Table1[[#This Row],[CountryCode]],Table1[z-score])</f>
        <v>-0.32088063876347467</v>
      </c>
      <c r="L3683" t="e">
        <f>VLOOKUP(Table1[[#This Row],[CountryCode]],[1]!Table1[#Data],4,FALSE)</f>
        <v>#REF!</v>
      </c>
    </row>
    <row r="3684" spans="1:12" x14ac:dyDescent="0.3">
      <c r="A3684" t="s">
        <v>81</v>
      </c>
      <c r="B3684" t="s">
        <v>82</v>
      </c>
      <c r="C3684" t="s">
        <v>125</v>
      </c>
      <c r="D3684" t="s">
        <v>126</v>
      </c>
      <c r="E3684">
        <v>2020</v>
      </c>
      <c r="F3684" s="1">
        <v>4</v>
      </c>
      <c r="G3684">
        <v>2020</v>
      </c>
      <c r="H3684">
        <f>AVERAGEIFS(Table1[value],Table1[IndicatorCode],Table1[[#This Row],[IndicatorCode]])</f>
        <v>7.6894248608534319</v>
      </c>
      <c r="I3684" cm="1">
        <f t="array" ref="I3684">_xlfn.STDEV.P(IF(Table1[IndicatorCode]=Table1[[#This Row],[IndicatorCode]],Table1[value]))</f>
        <v>5.2319501044600996</v>
      </c>
      <c r="J3684">
        <f>(Table1[[#This Row],[value]] - Table1[[#This Row],[mean]]) / Table1[[#This Row],[std_dev]]</f>
        <v>-0.7051720271010028</v>
      </c>
      <c r="K3684">
        <f>AVERAGEIF(Table1[CountryCode],Table1[[#This Row],[CountryCode]],Table1[z-score])</f>
        <v>-0.32088063876347467</v>
      </c>
    </row>
    <row r="3685" spans="1:12" hidden="1" x14ac:dyDescent="0.3">
      <c r="A3685" t="s">
        <v>81</v>
      </c>
      <c r="B3685" t="s">
        <v>82</v>
      </c>
      <c r="C3685" t="s">
        <v>125</v>
      </c>
      <c r="D3685" t="s">
        <v>126</v>
      </c>
      <c r="E3685">
        <v>2021</v>
      </c>
      <c r="F3685" s="1">
        <v>4</v>
      </c>
      <c r="G3685">
        <v>2020</v>
      </c>
      <c r="H3685">
        <f>AVERAGEIFS(Table1[value],Table1[IndicatorCode],Table1[[#This Row],[IndicatorCode]])</f>
        <v>7.6894248608534319</v>
      </c>
      <c r="I3685" cm="1">
        <f t="array" ref="I3685">_xlfn.STDEV.P(IF(Table1[IndicatorCode]=Table1[[#This Row],[IndicatorCode]],Table1[value]))</f>
        <v>5.2319501044600996</v>
      </c>
      <c r="J3685">
        <f>(Table1[[#This Row],[value]] - Table1[[#This Row],[mean]]) / Table1[[#This Row],[std_dev]]</f>
        <v>-0.7051720271010028</v>
      </c>
      <c r="K3685">
        <f>AVERAGEIF(Table1[CountryCode],Table1[[#This Row],[CountryCode]],Table1[z-score])</f>
        <v>-0.32088063876347467</v>
      </c>
      <c r="L3685" t="e">
        <f>VLOOKUP(Table1[[#This Row],[CountryCode]],[1]!Table1[#Data],4,FALSE)</f>
        <v>#REF!</v>
      </c>
    </row>
    <row r="3686" spans="1:12" hidden="1" x14ac:dyDescent="0.3">
      <c r="A3686" t="s">
        <v>81</v>
      </c>
      <c r="B3686" t="s">
        <v>82</v>
      </c>
      <c r="C3686" t="s">
        <v>125</v>
      </c>
      <c r="D3686" t="s">
        <v>126</v>
      </c>
      <c r="E3686">
        <v>2022</v>
      </c>
      <c r="F3686" s="1">
        <v>4</v>
      </c>
      <c r="G3686">
        <v>1970</v>
      </c>
      <c r="H3686">
        <f>AVERAGEIFS(Table1[value],Table1[IndicatorCode],Table1[[#This Row],[IndicatorCode]])</f>
        <v>7.6894248608534319</v>
      </c>
      <c r="I3686" cm="1">
        <f t="array" ref="I3686">_xlfn.STDEV.P(IF(Table1[IndicatorCode]=Table1[[#This Row],[IndicatorCode]],Table1[value]))</f>
        <v>5.2319501044600996</v>
      </c>
      <c r="J3686">
        <f>(Table1[[#This Row],[value]] - Table1[[#This Row],[mean]]) / Table1[[#This Row],[std_dev]]</f>
        <v>-0.7051720271010028</v>
      </c>
      <c r="K3686">
        <f>AVERAGEIF(Table1[CountryCode],Table1[[#This Row],[CountryCode]],Table1[z-score])</f>
        <v>-0.32088063876347467</v>
      </c>
      <c r="L3686" t="e">
        <f>VLOOKUP(Table1[[#This Row],[CountryCode]],[1]!Table1[#Data],4,FALSE)</f>
        <v>#REF!</v>
      </c>
    </row>
    <row r="3687" spans="1:12" hidden="1" x14ac:dyDescent="0.3">
      <c r="A3687" t="s">
        <v>81</v>
      </c>
      <c r="B3687" t="s">
        <v>82</v>
      </c>
      <c r="C3687" t="s">
        <v>125</v>
      </c>
      <c r="D3687" t="s">
        <v>126</v>
      </c>
      <c r="E3687">
        <v>2023</v>
      </c>
      <c r="F3687" s="1">
        <v>4</v>
      </c>
      <c r="G3687">
        <v>1970</v>
      </c>
      <c r="H3687">
        <f>AVERAGEIFS(Table1[value],Table1[IndicatorCode],Table1[[#This Row],[IndicatorCode]])</f>
        <v>7.6894248608534319</v>
      </c>
      <c r="I3687" cm="1">
        <f t="array" ref="I3687">_xlfn.STDEV.P(IF(Table1[IndicatorCode]=Table1[[#This Row],[IndicatorCode]],Table1[value]))</f>
        <v>5.2319501044600996</v>
      </c>
      <c r="J3687">
        <f>(Table1[[#This Row],[value]] - Table1[[#This Row],[mean]]) / Table1[[#This Row],[std_dev]]</f>
        <v>-0.7051720271010028</v>
      </c>
      <c r="K3687">
        <f>AVERAGEIF(Table1[CountryCode],Table1[[#This Row],[CountryCode]],Table1[z-score])</f>
        <v>-0.32088063876347467</v>
      </c>
      <c r="L3687" t="e">
        <f>VLOOKUP(Table1[[#This Row],[CountryCode]],[1]!Table1[#Data],4,FALSE)</f>
        <v>#REF!</v>
      </c>
    </row>
    <row r="3688" spans="1:12" hidden="1" x14ac:dyDescent="0.3">
      <c r="A3688" t="s">
        <v>81</v>
      </c>
      <c r="B3688" t="s">
        <v>82</v>
      </c>
      <c r="C3688" t="s">
        <v>125</v>
      </c>
      <c r="D3688" t="s">
        <v>126</v>
      </c>
      <c r="E3688">
        <v>2024</v>
      </c>
      <c r="F3688" s="1">
        <v>4</v>
      </c>
      <c r="G3688">
        <v>1970</v>
      </c>
      <c r="H3688">
        <f>AVERAGEIFS(Table1[value],Table1[IndicatorCode],Table1[[#This Row],[IndicatorCode]])</f>
        <v>7.6894248608534319</v>
      </c>
      <c r="I3688" cm="1">
        <f t="array" ref="I3688">_xlfn.STDEV.P(IF(Table1[IndicatorCode]=Table1[[#This Row],[IndicatorCode]],Table1[value]))</f>
        <v>5.2319501044600996</v>
      </c>
      <c r="J3688">
        <f>(Table1[[#This Row],[value]] - Table1[[#This Row],[mean]]) / Table1[[#This Row],[std_dev]]</f>
        <v>-0.7051720271010028</v>
      </c>
      <c r="K3688">
        <f>AVERAGEIF(Table1[CountryCode],Table1[[#This Row],[CountryCode]],Table1[z-score])</f>
        <v>-0.32088063876347467</v>
      </c>
      <c r="L3688" t="e">
        <f>VLOOKUP(Table1[[#This Row],[CountryCode]],[1]!Table1[#Data],4,FALSE)</f>
        <v>#REF!</v>
      </c>
    </row>
    <row r="3689" spans="1:12" hidden="1" x14ac:dyDescent="0.3">
      <c r="A3689" t="s">
        <v>85</v>
      </c>
      <c r="B3689" t="s">
        <v>86</v>
      </c>
      <c r="C3689" t="s">
        <v>125</v>
      </c>
      <c r="D3689" t="s">
        <v>126</v>
      </c>
      <c r="E3689">
        <v>1970</v>
      </c>
      <c r="F3689" s="1">
        <v>8</v>
      </c>
      <c r="G3689">
        <v>1970</v>
      </c>
      <c r="H3689">
        <f>AVERAGEIFS(Table1[value],Table1[IndicatorCode],Table1[[#This Row],[IndicatorCode]])</f>
        <v>7.6894248608534319</v>
      </c>
      <c r="I3689" cm="1">
        <f t="array" ref="I3689">_xlfn.STDEV.P(IF(Table1[IndicatorCode]=Table1[[#This Row],[IndicatorCode]],Table1[value]))</f>
        <v>5.2319501044600996</v>
      </c>
      <c r="J3689">
        <f>(Table1[[#This Row],[value]] - Table1[[#This Row],[mean]]) / Table1[[#This Row],[std_dev]]</f>
        <v>5.9361257838030791E-2</v>
      </c>
      <c r="K3689">
        <f>AVERAGEIF(Table1[CountryCode],Table1[[#This Row],[CountryCode]],Table1[z-score])</f>
        <v>-0.61357720348444234</v>
      </c>
      <c r="L3689" t="e">
        <f>VLOOKUP(Table1[[#This Row],[CountryCode]],[1]!Table1[#Data],4,FALSE)</f>
        <v>#REF!</v>
      </c>
    </row>
    <row r="3690" spans="1:12" hidden="1" x14ac:dyDescent="0.3">
      <c r="A3690" t="s">
        <v>85</v>
      </c>
      <c r="B3690" t="s">
        <v>86</v>
      </c>
      <c r="C3690" t="s">
        <v>125</v>
      </c>
      <c r="D3690" t="s">
        <v>126</v>
      </c>
      <c r="E3690">
        <v>1971</v>
      </c>
      <c r="F3690" s="1">
        <v>8</v>
      </c>
      <c r="G3690">
        <v>1970</v>
      </c>
      <c r="H3690">
        <f>AVERAGEIFS(Table1[value],Table1[IndicatorCode],Table1[[#This Row],[IndicatorCode]])</f>
        <v>7.6894248608534319</v>
      </c>
      <c r="I3690" cm="1">
        <f t="array" ref="I3690">_xlfn.STDEV.P(IF(Table1[IndicatorCode]=Table1[[#This Row],[IndicatorCode]],Table1[value]))</f>
        <v>5.2319501044600996</v>
      </c>
      <c r="J3690">
        <f>(Table1[[#This Row],[value]] - Table1[[#This Row],[mean]]) / Table1[[#This Row],[std_dev]]</f>
        <v>5.9361257838030791E-2</v>
      </c>
      <c r="K3690">
        <f>AVERAGEIF(Table1[CountryCode],Table1[[#This Row],[CountryCode]],Table1[z-score])</f>
        <v>-0.61357720348444234</v>
      </c>
      <c r="L3690" t="e">
        <f>VLOOKUP(Table1[[#This Row],[CountryCode]],[1]!Table1[#Data],4,FALSE)</f>
        <v>#REF!</v>
      </c>
    </row>
    <row r="3691" spans="1:12" hidden="1" x14ac:dyDescent="0.3">
      <c r="A3691" t="s">
        <v>85</v>
      </c>
      <c r="B3691" t="s">
        <v>86</v>
      </c>
      <c r="C3691" t="s">
        <v>125</v>
      </c>
      <c r="D3691" t="s">
        <v>126</v>
      </c>
      <c r="E3691">
        <v>1972</v>
      </c>
      <c r="F3691" s="1">
        <v>8</v>
      </c>
      <c r="G3691">
        <v>1970</v>
      </c>
      <c r="H3691">
        <f>AVERAGEIFS(Table1[value],Table1[IndicatorCode],Table1[[#This Row],[IndicatorCode]])</f>
        <v>7.6894248608534319</v>
      </c>
      <c r="I3691" cm="1">
        <f t="array" ref="I3691">_xlfn.STDEV.P(IF(Table1[IndicatorCode]=Table1[[#This Row],[IndicatorCode]],Table1[value]))</f>
        <v>5.2319501044600996</v>
      </c>
      <c r="J3691">
        <f>(Table1[[#This Row],[value]] - Table1[[#This Row],[mean]]) / Table1[[#This Row],[std_dev]]</f>
        <v>5.9361257838030791E-2</v>
      </c>
      <c r="K3691">
        <f>AVERAGEIF(Table1[CountryCode],Table1[[#This Row],[CountryCode]],Table1[z-score])</f>
        <v>-0.61357720348444234</v>
      </c>
      <c r="L3691" t="e">
        <f>VLOOKUP(Table1[[#This Row],[CountryCode]],[1]!Table1[#Data],4,FALSE)</f>
        <v>#REF!</v>
      </c>
    </row>
    <row r="3692" spans="1:12" hidden="1" x14ac:dyDescent="0.3">
      <c r="A3692" t="s">
        <v>85</v>
      </c>
      <c r="B3692" t="s">
        <v>86</v>
      </c>
      <c r="C3692" t="s">
        <v>125</v>
      </c>
      <c r="D3692" t="s">
        <v>126</v>
      </c>
      <c r="E3692">
        <v>1973</v>
      </c>
      <c r="F3692" s="1">
        <v>9</v>
      </c>
      <c r="G3692">
        <v>1970</v>
      </c>
      <c r="H3692">
        <f>AVERAGEIFS(Table1[value],Table1[IndicatorCode],Table1[[#This Row],[IndicatorCode]])</f>
        <v>7.6894248608534319</v>
      </c>
      <c r="I3692" cm="1">
        <f t="array" ref="I3692">_xlfn.STDEV.P(IF(Table1[IndicatorCode]=Table1[[#This Row],[IndicatorCode]],Table1[value]))</f>
        <v>5.2319501044600996</v>
      </c>
      <c r="J3692">
        <f>(Table1[[#This Row],[value]] - Table1[[#This Row],[mean]]) / Table1[[#This Row],[std_dev]]</f>
        <v>0.25049457907278921</v>
      </c>
      <c r="K3692">
        <f>AVERAGEIF(Table1[CountryCode],Table1[[#This Row],[CountryCode]],Table1[z-score])</f>
        <v>-0.61357720348444234</v>
      </c>
      <c r="L3692" t="e">
        <f>VLOOKUP(Table1[[#This Row],[CountryCode]],[1]!Table1[#Data],4,FALSE)</f>
        <v>#REF!</v>
      </c>
    </row>
    <row r="3693" spans="1:12" hidden="1" x14ac:dyDescent="0.3">
      <c r="A3693" t="s">
        <v>85</v>
      </c>
      <c r="B3693" t="s">
        <v>86</v>
      </c>
      <c r="C3693" t="s">
        <v>125</v>
      </c>
      <c r="D3693" t="s">
        <v>126</v>
      </c>
      <c r="E3693">
        <v>1974</v>
      </c>
      <c r="F3693" s="1">
        <v>9</v>
      </c>
      <c r="G3693">
        <v>1970</v>
      </c>
      <c r="H3693">
        <f>AVERAGEIFS(Table1[value],Table1[IndicatorCode],Table1[[#This Row],[IndicatorCode]])</f>
        <v>7.6894248608534319</v>
      </c>
      <c r="I3693" cm="1">
        <f t="array" ref="I3693">_xlfn.STDEV.P(IF(Table1[IndicatorCode]=Table1[[#This Row],[IndicatorCode]],Table1[value]))</f>
        <v>5.2319501044600996</v>
      </c>
      <c r="J3693">
        <f>(Table1[[#This Row],[value]] - Table1[[#This Row],[mean]]) / Table1[[#This Row],[std_dev]]</f>
        <v>0.25049457907278921</v>
      </c>
      <c r="K3693">
        <f>AVERAGEIF(Table1[CountryCode],Table1[[#This Row],[CountryCode]],Table1[z-score])</f>
        <v>-0.61357720348444234</v>
      </c>
      <c r="L3693" t="e">
        <f>VLOOKUP(Table1[[#This Row],[CountryCode]],[1]!Table1[#Data],4,FALSE)</f>
        <v>#REF!</v>
      </c>
    </row>
    <row r="3694" spans="1:12" hidden="1" x14ac:dyDescent="0.3">
      <c r="A3694" t="s">
        <v>85</v>
      </c>
      <c r="B3694" t="s">
        <v>86</v>
      </c>
      <c r="C3694" t="s">
        <v>125</v>
      </c>
      <c r="D3694" t="s">
        <v>126</v>
      </c>
      <c r="E3694">
        <v>1975</v>
      </c>
      <c r="F3694" s="1">
        <v>10</v>
      </c>
      <c r="G3694">
        <v>1970</v>
      </c>
      <c r="H3694">
        <f>AVERAGEIFS(Table1[value],Table1[IndicatorCode],Table1[[#This Row],[IndicatorCode]])</f>
        <v>7.6894248608534319</v>
      </c>
      <c r="I3694" cm="1">
        <f t="array" ref="I3694">_xlfn.STDEV.P(IF(Table1[IndicatorCode]=Table1[[#This Row],[IndicatorCode]],Table1[value]))</f>
        <v>5.2319501044600996</v>
      </c>
      <c r="J3694">
        <f>(Table1[[#This Row],[value]] - Table1[[#This Row],[mean]]) / Table1[[#This Row],[std_dev]]</f>
        <v>0.44162790030754762</v>
      </c>
      <c r="K3694">
        <f>AVERAGEIF(Table1[CountryCode],Table1[[#This Row],[CountryCode]],Table1[z-score])</f>
        <v>-0.61357720348444234</v>
      </c>
      <c r="L3694" t="e">
        <f>VLOOKUP(Table1[[#This Row],[CountryCode]],[1]!Table1[#Data],4,FALSE)</f>
        <v>#REF!</v>
      </c>
    </row>
    <row r="3695" spans="1:12" hidden="1" x14ac:dyDescent="0.3">
      <c r="A3695" t="s">
        <v>85</v>
      </c>
      <c r="B3695" t="s">
        <v>86</v>
      </c>
      <c r="C3695" t="s">
        <v>125</v>
      </c>
      <c r="D3695" t="s">
        <v>126</v>
      </c>
      <c r="E3695">
        <v>1976</v>
      </c>
      <c r="F3695" s="1">
        <v>10</v>
      </c>
      <c r="G3695">
        <v>1970</v>
      </c>
      <c r="H3695">
        <f>AVERAGEIFS(Table1[value],Table1[IndicatorCode],Table1[[#This Row],[IndicatorCode]])</f>
        <v>7.6894248608534319</v>
      </c>
      <c r="I3695" cm="1">
        <f t="array" ref="I3695">_xlfn.STDEV.P(IF(Table1[IndicatorCode]=Table1[[#This Row],[IndicatorCode]],Table1[value]))</f>
        <v>5.2319501044600996</v>
      </c>
      <c r="J3695">
        <f>(Table1[[#This Row],[value]] - Table1[[#This Row],[mean]]) / Table1[[#This Row],[std_dev]]</f>
        <v>0.44162790030754762</v>
      </c>
      <c r="K3695">
        <f>AVERAGEIF(Table1[CountryCode],Table1[[#This Row],[CountryCode]],Table1[z-score])</f>
        <v>-0.61357720348444234</v>
      </c>
      <c r="L3695" t="e">
        <f>VLOOKUP(Table1[[#This Row],[CountryCode]],[1]!Table1[#Data],4,FALSE)</f>
        <v>#REF!</v>
      </c>
    </row>
    <row r="3696" spans="1:12" hidden="1" x14ac:dyDescent="0.3">
      <c r="A3696" t="s">
        <v>85</v>
      </c>
      <c r="B3696" t="s">
        <v>86</v>
      </c>
      <c r="C3696" t="s">
        <v>125</v>
      </c>
      <c r="D3696" t="s">
        <v>126</v>
      </c>
      <c r="E3696">
        <v>1977</v>
      </c>
      <c r="F3696" s="1">
        <v>10</v>
      </c>
      <c r="G3696">
        <v>1980</v>
      </c>
      <c r="H3696">
        <f>AVERAGEIFS(Table1[value],Table1[IndicatorCode],Table1[[#This Row],[IndicatorCode]])</f>
        <v>7.6894248608534319</v>
      </c>
      <c r="I3696" cm="1">
        <f t="array" ref="I3696">_xlfn.STDEV.P(IF(Table1[IndicatorCode]=Table1[[#This Row],[IndicatorCode]],Table1[value]))</f>
        <v>5.2319501044600996</v>
      </c>
      <c r="J3696">
        <f>(Table1[[#This Row],[value]] - Table1[[#This Row],[mean]]) / Table1[[#This Row],[std_dev]]</f>
        <v>0.44162790030754762</v>
      </c>
      <c r="K3696">
        <f>AVERAGEIF(Table1[CountryCode],Table1[[#This Row],[CountryCode]],Table1[z-score])</f>
        <v>-0.61357720348444234</v>
      </c>
      <c r="L3696" t="e">
        <f>VLOOKUP(Table1[[#This Row],[CountryCode]],[1]!Table1[#Data],4,FALSE)</f>
        <v>#REF!</v>
      </c>
    </row>
    <row r="3697" spans="1:12" hidden="1" x14ac:dyDescent="0.3">
      <c r="A3697" t="s">
        <v>85</v>
      </c>
      <c r="B3697" t="s">
        <v>86</v>
      </c>
      <c r="C3697" t="s">
        <v>125</v>
      </c>
      <c r="D3697" t="s">
        <v>126</v>
      </c>
      <c r="E3697">
        <v>1978</v>
      </c>
      <c r="F3697" s="1">
        <v>10</v>
      </c>
      <c r="G3697">
        <v>1980</v>
      </c>
      <c r="H3697">
        <f>AVERAGEIFS(Table1[value],Table1[IndicatorCode],Table1[[#This Row],[IndicatorCode]])</f>
        <v>7.6894248608534319</v>
      </c>
      <c r="I3697" cm="1">
        <f t="array" ref="I3697">_xlfn.STDEV.P(IF(Table1[IndicatorCode]=Table1[[#This Row],[IndicatorCode]],Table1[value]))</f>
        <v>5.2319501044600996</v>
      </c>
      <c r="J3697">
        <f>(Table1[[#This Row],[value]] - Table1[[#This Row],[mean]]) / Table1[[#This Row],[std_dev]]</f>
        <v>0.44162790030754762</v>
      </c>
      <c r="K3697">
        <f>AVERAGEIF(Table1[CountryCode],Table1[[#This Row],[CountryCode]],Table1[z-score])</f>
        <v>-0.61357720348444234</v>
      </c>
      <c r="L3697" t="e">
        <f>VLOOKUP(Table1[[#This Row],[CountryCode]],[1]!Table1[#Data],4,FALSE)</f>
        <v>#REF!</v>
      </c>
    </row>
    <row r="3698" spans="1:12" hidden="1" x14ac:dyDescent="0.3">
      <c r="A3698" t="s">
        <v>85</v>
      </c>
      <c r="B3698" t="s">
        <v>86</v>
      </c>
      <c r="C3698" t="s">
        <v>125</v>
      </c>
      <c r="D3698" t="s">
        <v>126</v>
      </c>
      <c r="E3698">
        <v>1979</v>
      </c>
      <c r="F3698" s="1">
        <v>10</v>
      </c>
      <c r="G3698">
        <v>1980</v>
      </c>
      <c r="H3698">
        <f>AVERAGEIFS(Table1[value],Table1[IndicatorCode],Table1[[#This Row],[IndicatorCode]])</f>
        <v>7.6894248608534319</v>
      </c>
      <c r="I3698" cm="1">
        <f t="array" ref="I3698">_xlfn.STDEV.P(IF(Table1[IndicatorCode]=Table1[[#This Row],[IndicatorCode]],Table1[value]))</f>
        <v>5.2319501044600996</v>
      </c>
      <c r="J3698">
        <f>(Table1[[#This Row],[value]] - Table1[[#This Row],[mean]]) / Table1[[#This Row],[std_dev]]</f>
        <v>0.44162790030754762</v>
      </c>
      <c r="K3698">
        <f>AVERAGEIF(Table1[CountryCode],Table1[[#This Row],[CountryCode]],Table1[z-score])</f>
        <v>-0.61357720348444234</v>
      </c>
      <c r="L3698" t="e">
        <f>VLOOKUP(Table1[[#This Row],[CountryCode]],[1]!Table1[#Data],4,FALSE)</f>
        <v>#REF!</v>
      </c>
    </row>
    <row r="3699" spans="1:12" hidden="1" x14ac:dyDescent="0.3">
      <c r="A3699" t="s">
        <v>85</v>
      </c>
      <c r="B3699" t="s">
        <v>86</v>
      </c>
      <c r="C3699" t="s">
        <v>125</v>
      </c>
      <c r="D3699" t="s">
        <v>126</v>
      </c>
      <c r="E3699">
        <v>1980</v>
      </c>
      <c r="F3699" s="1">
        <v>11</v>
      </c>
      <c r="G3699">
        <v>1980</v>
      </c>
      <c r="H3699">
        <f>AVERAGEIFS(Table1[value],Table1[IndicatorCode],Table1[[#This Row],[IndicatorCode]])</f>
        <v>7.6894248608534319</v>
      </c>
      <c r="I3699" cm="1">
        <f t="array" ref="I3699">_xlfn.STDEV.P(IF(Table1[IndicatorCode]=Table1[[#This Row],[IndicatorCode]],Table1[value]))</f>
        <v>5.2319501044600996</v>
      </c>
      <c r="J3699">
        <f>(Table1[[#This Row],[value]] - Table1[[#This Row],[mean]]) / Table1[[#This Row],[std_dev]]</f>
        <v>0.63276122154230596</v>
      </c>
      <c r="K3699">
        <f>AVERAGEIF(Table1[CountryCode],Table1[[#This Row],[CountryCode]],Table1[z-score])</f>
        <v>-0.61357720348444234</v>
      </c>
      <c r="L3699" t="e">
        <f>VLOOKUP(Table1[[#This Row],[CountryCode]],[1]!Table1[#Data],4,FALSE)</f>
        <v>#REF!</v>
      </c>
    </row>
    <row r="3700" spans="1:12" hidden="1" x14ac:dyDescent="0.3">
      <c r="A3700" t="s">
        <v>85</v>
      </c>
      <c r="B3700" t="s">
        <v>86</v>
      </c>
      <c r="C3700" t="s">
        <v>125</v>
      </c>
      <c r="D3700" t="s">
        <v>126</v>
      </c>
      <c r="E3700">
        <v>1981</v>
      </c>
      <c r="F3700" s="1">
        <v>11</v>
      </c>
      <c r="G3700">
        <v>1980</v>
      </c>
      <c r="H3700">
        <f>AVERAGEIFS(Table1[value],Table1[IndicatorCode],Table1[[#This Row],[IndicatorCode]])</f>
        <v>7.6894248608534319</v>
      </c>
      <c r="I3700" cm="1">
        <f t="array" ref="I3700">_xlfn.STDEV.P(IF(Table1[IndicatorCode]=Table1[[#This Row],[IndicatorCode]],Table1[value]))</f>
        <v>5.2319501044600996</v>
      </c>
      <c r="J3700">
        <f>(Table1[[#This Row],[value]] - Table1[[#This Row],[mean]]) / Table1[[#This Row],[std_dev]]</f>
        <v>0.63276122154230596</v>
      </c>
      <c r="K3700">
        <f>AVERAGEIF(Table1[CountryCode],Table1[[#This Row],[CountryCode]],Table1[z-score])</f>
        <v>-0.61357720348444234</v>
      </c>
      <c r="L3700" t="e">
        <f>VLOOKUP(Table1[[#This Row],[CountryCode]],[1]!Table1[#Data],4,FALSE)</f>
        <v>#REF!</v>
      </c>
    </row>
    <row r="3701" spans="1:12" hidden="1" x14ac:dyDescent="0.3">
      <c r="A3701" t="s">
        <v>85</v>
      </c>
      <c r="B3701" t="s">
        <v>86</v>
      </c>
      <c r="C3701" t="s">
        <v>125</v>
      </c>
      <c r="D3701" t="s">
        <v>126</v>
      </c>
      <c r="E3701">
        <v>1982</v>
      </c>
      <c r="F3701" s="1">
        <v>11</v>
      </c>
      <c r="G3701">
        <v>1980</v>
      </c>
      <c r="H3701">
        <f>AVERAGEIFS(Table1[value],Table1[IndicatorCode],Table1[[#This Row],[IndicatorCode]])</f>
        <v>7.6894248608534319</v>
      </c>
      <c r="I3701" cm="1">
        <f t="array" ref="I3701">_xlfn.STDEV.P(IF(Table1[IndicatorCode]=Table1[[#This Row],[IndicatorCode]],Table1[value]))</f>
        <v>5.2319501044600996</v>
      </c>
      <c r="J3701">
        <f>(Table1[[#This Row],[value]] - Table1[[#This Row],[mean]]) / Table1[[#This Row],[std_dev]]</f>
        <v>0.63276122154230596</v>
      </c>
      <c r="K3701">
        <f>AVERAGEIF(Table1[CountryCode],Table1[[#This Row],[CountryCode]],Table1[z-score])</f>
        <v>-0.61357720348444234</v>
      </c>
      <c r="L3701" t="e">
        <f>VLOOKUP(Table1[[#This Row],[CountryCode]],[1]!Table1[#Data],4,FALSE)</f>
        <v>#REF!</v>
      </c>
    </row>
    <row r="3702" spans="1:12" hidden="1" x14ac:dyDescent="0.3">
      <c r="A3702" t="s">
        <v>85</v>
      </c>
      <c r="B3702" t="s">
        <v>86</v>
      </c>
      <c r="C3702" t="s">
        <v>125</v>
      </c>
      <c r="D3702" t="s">
        <v>126</v>
      </c>
      <c r="E3702">
        <v>1983</v>
      </c>
      <c r="F3702" s="1">
        <v>11</v>
      </c>
      <c r="G3702">
        <v>1980</v>
      </c>
      <c r="H3702">
        <f>AVERAGEIFS(Table1[value],Table1[IndicatorCode],Table1[[#This Row],[IndicatorCode]])</f>
        <v>7.6894248608534319</v>
      </c>
      <c r="I3702" cm="1">
        <f t="array" ref="I3702">_xlfn.STDEV.P(IF(Table1[IndicatorCode]=Table1[[#This Row],[IndicatorCode]],Table1[value]))</f>
        <v>5.2319501044600996</v>
      </c>
      <c r="J3702">
        <f>(Table1[[#This Row],[value]] - Table1[[#This Row],[mean]]) / Table1[[#This Row],[std_dev]]</f>
        <v>0.63276122154230596</v>
      </c>
      <c r="K3702">
        <f>AVERAGEIF(Table1[CountryCode],Table1[[#This Row],[CountryCode]],Table1[z-score])</f>
        <v>-0.61357720348444234</v>
      </c>
      <c r="L3702" t="e">
        <f>VLOOKUP(Table1[[#This Row],[CountryCode]],[1]!Table1[#Data],4,FALSE)</f>
        <v>#REF!</v>
      </c>
    </row>
    <row r="3703" spans="1:12" hidden="1" x14ac:dyDescent="0.3">
      <c r="A3703" t="s">
        <v>85</v>
      </c>
      <c r="B3703" t="s">
        <v>86</v>
      </c>
      <c r="C3703" t="s">
        <v>125</v>
      </c>
      <c r="D3703" t="s">
        <v>126</v>
      </c>
      <c r="E3703">
        <v>1984</v>
      </c>
      <c r="F3703" s="1">
        <v>10</v>
      </c>
      <c r="G3703">
        <v>1980</v>
      </c>
      <c r="H3703">
        <f>AVERAGEIFS(Table1[value],Table1[IndicatorCode],Table1[[#This Row],[IndicatorCode]])</f>
        <v>7.6894248608534319</v>
      </c>
      <c r="I3703" cm="1">
        <f t="array" ref="I3703">_xlfn.STDEV.P(IF(Table1[IndicatorCode]=Table1[[#This Row],[IndicatorCode]],Table1[value]))</f>
        <v>5.2319501044600996</v>
      </c>
      <c r="J3703">
        <f>(Table1[[#This Row],[value]] - Table1[[#This Row],[mean]]) / Table1[[#This Row],[std_dev]]</f>
        <v>0.44162790030754762</v>
      </c>
      <c r="K3703">
        <f>AVERAGEIF(Table1[CountryCode],Table1[[#This Row],[CountryCode]],Table1[z-score])</f>
        <v>-0.61357720348444234</v>
      </c>
      <c r="L3703" t="e">
        <f>VLOOKUP(Table1[[#This Row],[CountryCode]],[1]!Table1[#Data],4,FALSE)</f>
        <v>#REF!</v>
      </c>
    </row>
    <row r="3704" spans="1:12" hidden="1" x14ac:dyDescent="0.3">
      <c r="A3704" t="s">
        <v>85</v>
      </c>
      <c r="B3704" t="s">
        <v>86</v>
      </c>
      <c r="C3704" t="s">
        <v>125</v>
      </c>
      <c r="D3704" t="s">
        <v>126</v>
      </c>
      <c r="E3704">
        <v>1985</v>
      </c>
      <c r="F3704" s="1">
        <v>10</v>
      </c>
      <c r="G3704">
        <v>1980</v>
      </c>
      <c r="H3704">
        <f>AVERAGEIFS(Table1[value],Table1[IndicatorCode],Table1[[#This Row],[IndicatorCode]])</f>
        <v>7.6894248608534319</v>
      </c>
      <c r="I3704" cm="1">
        <f t="array" ref="I3704">_xlfn.STDEV.P(IF(Table1[IndicatorCode]=Table1[[#This Row],[IndicatorCode]],Table1[value]))</f>
        <v>5.2319501044600996</v>
      </c>
      <c r="J3704">
        <f>(Table1[[#This Row],[value]] - Table1[[#This Row],[mean]]) / Table1[[#This Row],[std_dev]]</f>
        <v>0.44162790030754762</v>
      </c>
      <c r="K3704">
        <f>AVERAGEIF(Table1[CountryCode],Table1[[#This Row],[CountryCode]],Table1[z-score])</f>
        <v>-0.61357720348444234</v>
      </c>
      <c r="L3704" t="e">
        <f>VLOOKUP(Table1[[#This Row],[CountryCode]],[1]!Table1[#Data],4,FALSE)</f>
        <v>#REF!</v>
      </c>
    </row>
    <row r="3705" spans="1:12" hidden="1" x14ac:dyDescent="0.3">
      <c r="A3705" t="s">
        <v>85</v>
      </c>
      <c r="B3705" t="s">
        <v>86</v>
      </c>
      <c r="C3705" t="s">
        <v>125</v>
      </c>
      <c r="D3705" t="s">
        <v>126</v>
      </c>
      <c r="E3705">
        <v>1986</v>
      </c>
      <c r="F3705" s="1">
        <v>11</v>
      </c>
      <c r="G3705">
        <v>1980</v>
      </c>
      <c r="H3705">
        <f>AVERAGEIFS(Table1[value],Table1[IndicatorCode],Table1[[#This Row],[IndicatorCode]])</f>
        <v>7.6894248608534319</v>
      </c>
      <c r="I3705" cm="1">
        <f t="array" ref="I3705">_xlfn.STDEV.P(IF(Table1[IndicatorCode]=Table1[[#This Row],[IndicatorCode]],Table1[value]))</f>
        <v>5.2319501044600996</v>
      </c>
      <c r="J3705">
        <f>(Table1[[#This Row],[value]] - Table1[[#This Row],[mean]]) / Table1[[#This Row],[std_dev]]</f>
        <v>0.63276122154230596</v>
      </c>
      <c r="K3705">
        <f>AVERAGEIF(Table1[CountryCode],Table1[[#This Row],[CountryCode]],Table1[z-score])</f>
        <v>-0.61357720348444234</v>
      </c>
      <c r="L3705" t="e">
        <f>VLOOKUP(Table1[[#This Row],[CountryCode]],[1]!Table1[#Data],4,FALSE)</f>
        <v>#REF!</v>
      </c>
    </row>
    <row r="3706" spans="1:12" hidden="1" x14ac:dyDescent="0.3">
      <c r="A3706" t="s">
        <v>85</v>
      </c>
      <c r="B3706" t="s">
        <v>86</v>
      </c>
      <c r="C3706" t="s">
        <v>125</v>
      </c>
      <c r="D3706" t="s">
        <v>126</v>
      </c>
      <c r="E3706">
        <v>1987</v>
      </c>
      <c r="F3706" s="1">
        <v>11</v>
      </c>
      <c r="G3706">
        <v>1990</v>
      </c>
      <c r="H3706">
        <f>AVERAGEIFS(Table1[value],Table1[IndicatorCode],Table1[[#This Row],[IndicatorCode]])</f>
        <v>7.6894248608534319</v>
      </c>
      <c r="I3706" cm="1">
        <f t="array" ref="I3706">_xlfn.STDEV.P(IF(Table1[IndicatorCode]=Table1[[#This Row],[IndicatorCode]],Table1[value]))</f>
        <v>5.2319501044600996</v>
      </c>
      <c r="J3706">
        <f>(Table1[[#This Row],[value]] - Table1[[#This Row],[mean]]) / Table1[[#This Row],[std_dev]]</f>
        <v>0.63276122154230596</v>
      </c>
      <c r="K3706">
        <f>AVERAGEIF(Table1[CountryCode],Table1[[#This Row],[CountryCode]],Table1[z-score])</f>
        <v>-0.61357720348444234</v>
      </c>
      <c r="L3706" t="e">
        <f>VLOOKUP(Table1[[#This Row],[CountryCode]],[1]!Table1[#Data],4,FALSE)</f>
        <v>#REF!</v>
      </c>
    </row>
    <row r="3707" spans="1:12" hidden="1" x14ac:dyDescent="0.3">
      <c r="A3707" t="s">
        <v>85</v>
      </c>
      <c r="B3707" t="s">
        <v>86</v>
      </c>
      <c r="C3707" t="s">
        <v>125</v>
      </c>
      <c r="D3707" t="s">
        <v>126</v>
      </c>
      <c r="E3707">
        <v>1988</v>
      </c>
      <c r="F3707" s="1">
        <v>11</v>
      </c>
      <c r="G3707">
        <v>1990</v>
      </c>
      <c r="H3707">
        <f>AVERAGEIFS(Table1[value],Table1[IndicatorCode],Table1[[#This Row],[IndicatorCode]])</f>
        <v>7.6894248608534319</v>
      </c>
      <c r="I3707" cm="1">
        <f t="array" ref="I3707">_xlfn.STDEV.P(IF(Table1[IndicatorCode]=Table1[[#This Row],[IndicatorCode]],Table1[value]))</f>
        <v>5.2319501044600996</v>
      </c>
      <c r="J3707">
        <f>(Table1[[#This Row],[value]] - Table1[[#This Row],[mean]]) / Table1[[#This Row],[std_dev]]</f>
        <v>0.63276122154230596</v>
      </c>
      <c r="K3707">
        <f>AVERAGEIF(Table1[CountryCode],Table1[[#This Row],[CountryCode]],Table1[z-score])</f>
        <v>-0.61357720348444234</v>
      </c>
      <c r="L3707" t="e">
        <f>VLOOKUP(Table1[[#This Row],[CountryCode]],[1]!Table1[#Data],4,FALSE)</f>
        <v>#REF!</v>
      </c>
    </row>
    <row r="3708" spans="1:12" hidden="1" x14ac:dyDescent="0.3">
      <c r="A3708" t="s">
        <v>85</v>
      </c>
      <c r="B3708" t="s">
        <v>86</v>
      </c>
      <c r="C3708" t="s">
        <v>125</v>
      </c>
      <c r="D3708" t="s">
        <v>126</v>
      </c>
      <c r="E3708">
        <v>1989</v>
      </c>
      <c r="F3708" s="1">
        <v>11</v>
      </c>
      <c r="G3708">
        <v>1990</v>
      </c>
      <c r="H3708">
        <f>AVERAGEIFS(Table1[value],Table1[IndicatorCode],Table1[[#This Row],[IndicatorCode]])</f>
        <v>7.6894248608534319</v>
      </c>
      <c r="I3708" cm="1">
        <f t="array" ref="I3708">_xlfn.STDEV.P(IF(Table1[IndicatorCode]=Table1[[#This Row],[IndicatorCode]],Table1[value]))</f>
        <v>5.2319501044600996</v>
      </c>
      <c r="J3708">
        <f>(Table1[[#This Row],[value]] - Table1[[#This Row],[mean]]) / Table1[[#This Row],[std_dev]]</f>
        <v>0.63276122154230596</v>
      </c>
      <c r="K3708">
        <f>AVERAGEIF(Table1[CountryCode],Table1[[#This Row],[CountryCode]],Table1[z-score])</f>
        <v>-0.61357720348444234</v>
      </c>
      <c r="L3708" t="e">
        <f>VLOOKUP(Table1[[#This Row],[CountryCode]],[1]!Table1[#Data],4,FALSE)</f>
        <v>#REF!</v>
      </c>
    </row>
    <row r="3709" spans="1:12" hidden="1" x14ac:dyDescent="0.3">
      <c r="A3709" t="s">
        <v>85</v>
      </c>
      <c r="B3709" t="s">
        <v>86</v>
      </c>
      <c r="C3709" t="s">
        <v>125</v>
      </c>
      <c r="D3709" t="s">
        <v>126</v>
      </c>
      <c r="E3709">
        <v>1990</v>
      </c>
      <c r="F3709" s="1">
        <v>11</v>
      </c>
      <c r="G3709">
        <v>1990</v>
      </c>
      <c r="H3709">
        <f>AVERAGEIFS(Table1[value],Table1[IndicatorCode],Table1[[#This Row],[IndicatorCode]])</f>
        <v>7.6894248608534319</v>
      </c>
      <c r="I3709" cm="1">
        <f t="array" ref="I3709">_xlfn.STDEV.P(IF(Table1[IndicatorCode]=Table1[[#This Row],[IndicatorCode]],Table1[value]))</f>
        <v>5.2319501044600996</v>
      </c>
      <c r="J3709">
        <f>(Table1[[#This Row],[value]] - Table1[[#This Row],[mean]]) / Table1[[#This Row],[std_dev]]</f>
        <v>0.63276122154230596</v>
      </c>
      <c r="K3709">
        <f>AVERAGEIF(Table1[CountryCode],Table1[[#This Row],[CountryCode]],Table1[z-score])</f>
        <v>-0.61357720348444234</v>
      </c>
      <c r="L3709" t="e">
        <f>VLOOKUP(Table1[[#This Row],[CountryCode]],[1]!Table1[#Data],4,FALSE)</f>
        <v>#REF!</v>
      </c>
    </row>
    <row r="3710" spans="1:12" hidden="1" x14ac:dyDescent="0.3">
      <c r="A3710" t="s">
        <v>85</v>
      </c>
      <c r="B3710" t="s">
        <v>86</v>
      </c>
      <c r="C3710" t="s">
        <v>125</v>
      </c>
      <c r="D3710" t="s">
        <v>126</v>
      </c>
      <c r="E3710">
        <v>1991</v>
      </c>
      <c r="F3710" s="1">
        <v>9</v>
      </c>
      <c r="G3710">
        <v>1990</v>
      </c>
      <c r="H3710">
        <f>AVERAGEIFS(Table1[value],Table1[IndicatorCode],Table1[[#This Row],[IndicatorCode]])</f>
        <v>7.6894248608534319</v>
      </c>
      <c r="I3710" cm="1">
        <f t="array" ref="I3710">_xlfn.STDEV.P(IF(Table1[IndicatorCode]=Table1[[#This Row],[IndicatorCode]],Table1[value]))</f>
        <v>5.2319501044600996</v>
      </c>
      <c r="J3710">
        <f>(Table1[[#This Row],[value]] - Table1[[#This Row],[mean]]) / Table1[[#This Row],[std_dev]]</f>
        <v>0.25049457907278921</v>
      </c>
      <c r="K3710">
        <f>AVERAGEIF(Table1[CountryCode],Table1[[#This Row],[CountryCode]],Table1[z-score])</f>
        <v>-0.61357720348444234</v>
      </c>
      <c r="L3710" t="e">
        <f>VLOOKUP(Table1[[#This Row],[CountryCode]],[1]!Table1[#Data],4,FALSE)</f>
        <v>#REF!</v>
      </c>
    </row>
    <row r="3711" spans="1:12" hidden="1" x14ac:dyDescent="0.3">
      <c r="A3711" t="s">
        <v>85</v>
      </c>
      <c r="B3711" t="s">
        <v>86</v>
      </c>
      <c r="C3711" t="s">
        <v>125</v>
      </c>
      <c r="D3711" t="s">
        <v>126</v>
      </c>
      <c r="E3711">
        <v>1992</v>
      </c>
      <c r="F3711" s="1">
        <v>7</v>
      </c>
      <c r="G3711">
        <v>1990</v>
      </c>
      <c r="H3711">
        <f>AVERAGEIFS(Table1[value],Table1[IndicatorCode],Table1[[#This Row],[IndicatorCode]])</f>
        <v>7.6894248608534319</v>
      </c>
      <c r="I3711" cm="1">
        <f t="array" ref="I3711">_xlfn.STDEV.P(IF(Table1[IndicatorCode]=Table1[[#This Row],[IndicatorCode]],Table1[value]))</f>
        <v>5.2319501044600996</v>
      </c>
      <c r="J3711">
        <f>(Table1[[#This Row],[value]] - Table1[[#This Row],[mean]]) / Table1[[#This Row],[std_dev]]</f>
        <v>-0.13177206339672762</v>
      </c>
      <c r="K3711">
        <f>AVERAGEIF(Table1[CountryCode],Table1[[#This Row],[CountryCode]],Table1[z-score])</f>
        <v>-0.61357720348444234</v>
      </c>
      <c r="L3711" t="e">
        <f>VLOOKUP(Table1[[#This Row],[CountryCode]],[1]!Table1[#Data],4,FALSE)</f>
        <v>#REF!</v>
      </c>
    </row>
    <row r="3712" spans="1:12" hidden="1" x14ac:dyDescent="0.3">
      <c r="A3712" t="s">
        <v>85</v>
      </c>
      <c r="B3712" t="s">
        <v>86</v>
      </c>
      <c r="C3712" t="s">
        <v>125</v>
      </c>
      <c r="D3712" t="s">
        <v>126</v>
      </c>
      <c r="E3712">
        <v>1993</v>
      </c>
      <c r="F3712" s="1">
        <v>6</v>
      </c>
      <c r="G3712">
        <v>1990</v>
      </c>
      <c r="H3712">
        <f>AVERAGEIFS(Table1[value],Table1[IndicatorCode],Table1[[#This Row],[IndicatorCode]])</f>
        <v>7.6894248608534319</v>
      </c>
      <c r="I3712" cm="1">
        <f t="array" ref="I3712">_xlfn.STDEV.P(IF(Table1[IndicatorCode]=Table1[[#This Row],[IndicatorCode]],Table1[value]))</f>
        <v>5.2319501044600996</v>
      </c>
      <c r="J3712">
        <f>(Table1[[#This Row],[value]] - Table1[[#This Row],[mean]]) / Table1[[#This Row],[std_dev]]</f>
        <v>-0.32290538463148605</v>
      </c>
      <c r="K3712">
        <f>AVERAGEIF(Table1[CountryCode],Table1[[#This Row],[CountryCode]],Table1[z-score])</f>
        <v>-0.61357720348444234</v>
      </c>
      <c r="L3712" t="e">
        <f>VLOOKUP(Table1[[#This Row],[CountryCode]],[1]!Table1[#Data],4,FALSE)</f>
        <v>#REF!</v>
      </c>
    </row>
    <row r="3713" spans="1:12" hidden="1" x14ac:dyDescent="0.3">
      <c r="A3713" t="s">
        <v>85</v>
      </c>
      <c r="B3713" t="s">
        <v>86</v>
      </c>
      <c r="C3713" t="s">
        <v>125</v>
      </c>
      <c r="D3713" t="s">
        <v>126</v>
      </c>
      <c r="E3713">
        <v>1994</v>
      </c>
      <c r="F3713" s="1">
        <v>5</v>
      </c>
      <c r="G3713">
        <v>1990</v>
      </c>
      <c r="H3713">
        <f>AVERAGEIFS(Table1[value],Table1[IndicatorCode],Table1[[#This Row],[IndicatorCode]])</f>
        <v>7.6894248608534319</v>
      </c>
      <c r="I3713" cm="1">
        <f t="array" ref="I3713">_xlfn.STDEV.P(IF(Table1[IndicatorCode]=Table1[[#This Row],[IndicatorCode]],Table1[value]))</f>
        <v>5.2319501044600996</v>
      </c>
      <c r="J3713">
        <f>(Table1[[#This Row],[value]] - Table1[[#This Row],[mean]]) / Table1[[#This Row],[std_dev]]</f>
        <v>-0.51403870586624445</v>
      </c>
      <c r="K3713">
        <f>AVERAGEIF(Table1[CountryCode],Table1[[#This Row],[CountryCode]],Table1[z-score])</f>
        <v>-0.61357720348444234</v>
      </c>
      <c r="L3713" t="e">
        <f>VLOOKUP(Table1[[#This Row],[CountryCode]],[1]!Table1[#Data],4,FALSE)</f>
        <v>#REF!</v>
      </c>
    </row>
    <row r="3714" spans="1:12" hidden="1" x14ac:dyDescent="0.3">
      <c r="A3714" t="s">
        <v>85</v>
      </c>
      <c r="B3714" t="s">
        <v>86</v>
      </c>
      <c r="C3714" t="s">
        <v>125</v>
      </c>
      <c r="D3714" t="s">
        <v>126</v>
      </c>
      <c r="E3714">
        <v>1995</v>
      </c>
      <c r="F3714" s="1">
        <v>4</v>
      </c>
      <c r="G3714">
        <v>1990</v>
      </c>
      <c r="H3714">
        <f>AVERAGEIFS(Table1[value],Table1[IndicatorCode],Table1[[#This Row],[IndicatorCode]])</f>
        <v>7.6894248608534319</v>
      </c>
      <c r="I3714" cm="1">
        <f t="array" ref="I3714">_xlfn.STDEV.P(IF(Table1[IndicatorCode]=Table1[[#This Row],[IndicatorCode]],Table1[value]))</f>
        <v>5.2319501044600996</v>
      </c>
      <c r="J3714">
        <f>(Table1[[#This Row],[value]] - Table1[[#This Row],[mean]]) / Table1[[#This Row],[std_dev]]</f>
        <v>-0.7051720271010028</v>
      </c>
      <c r="K3714">
        <f>AVERAGEIF(Table1[CountryCode],Table1[[#This Row],[CountryCode]],Table1[z-score])</f>
        <v>-0.61357720348444234</v>
      </c>
      <c r="L3714" t="e">
        <f>VLOOKUP(Table1[[#This Row],[CountryCode]],[1]!Table1[#Data],4,FALSE)</f>
        <v>#REF!</v>
      </c>
    </row>
    <row r="3715" spans="1:12" hidden="1" x14ac:dyDescent="0.3">
      <c r="A3715" t="s">
        <v>85</v>
      </c>
      <c r="B3715" t="s">
        <v>86</v>
      </c>
      <c r="C3715" t="s">
        <v>125</v>
      </c>
      <c r="D3715" t="s">
        <v>126</v>
      </c>
      <c r="E3715">
        <v>1996</v>
      </c>
      <c r="F3715" s="1">
        <v>4</v>
      </c>
      <c r="G3715">
        <v>1990</v>
      </c>
      <c r="H3715">
        <f>AVERAGEIFS(Table1[value],Table1[IndicatorCode],Table1[[#This Row],[IndicatorCode]])</f>
        <v>7.6894248608534319</v>
      </c>
      <c r="I3715" cm="1">
        <f t="array" ref="I3715">_xlfn.STDEV.P(IF(Table1[IndicatorCode]=Table1[[#This Row],[IndicatorCode]],Table1[value]))</f>
        <v>5.2319501044600996</v>
      </c>
      <c r="J3715">
        <f>(Table1[[#This Row],[value]] - Table1[[#This Row],[mean]]) / Table1[[#This Row],[std_dev]]</f>
        <v>-0.7051720271010028</v>
      </c>
      <c r="K3715">
        <f>AVERAGEIF(Table1[CountryCode],Table1[[#This Row],[CountryCode]],Table1[z-score])</f>
        <v>-0.61357720348444234</v>
      </c>
      <c r="L3715" t="e">
        <f>VLOOKUP(Table1[[#This Row],[CountryCode]],[1]!Table1[#Data],4,FALSE)</f>
        <v>#REF!</v>
      </c>
    </row>
    <row r="3716" spans="1:12" hidden="1" x14ac:dyDescent="0.3">
      <c r="A3716" t="s">
        <v>85</v>
      </c>
      <c r="B3716" t="s">
        <v>86</v>
      </c>
      <c r="C3716" t="s">
        <v>125</v>
      </c>
      <c r="D3716" t="s">
        <v>126</v>
      </c>
      <c r="E3716">
        <v>1997</v>
      </c>
      <c r="F3716" s="1">
        <v>3</v>
      </c>
      <c r="G3716">
        <v>2000</v>
      </c>
      <c r="H3716">
        <f>AVERAGEIFS(Table1[value],Table1[IndicatorCode],Table1[[#This Row],[IndicatorCode]])</f>
        <v>7.6894248608534319</v>
      </c>
      <c r="I3716" cm="1">
        <f t="array" ref="I3716">_xlfn.STDEV.P(IF(Table1[IndicatorCode]=Table1[[#This Row],[IndicatorCode]],Table1[value]))</f>
        <v>5.2319501044600996</v>
      </c>
      <c r="J3716">
        <f>(Table1[[#This Row],[value]] - Table1[[#This Row],[mean]]) / Table1[[#This Row],[std_dev]]</f>
        <v>-0.89630534833576125</v>
      </c>
      <c r="K3716">
        <f>AVERAGEIF(Table1[CountryCode],Table1[[#This Row],[CountryCode]],Table1[z-score])</f>
        <v>-0.61357720348444234</v>
      </c>
      <c r="L3716" t="e">
        <f>VLOOKUP(Table1[[#This Row],[CountryCode]],[1]!Table1[#Data],4,FALSE)</f>
        <v>#REF!</v>
      </c>
    </row>
    <row r="3717" spans="1:12" hidden="1" x14ac:dyDescent="0.3">
      <c r="A3717" t="s">
        <v>85</v>
      </c>
      <c r="B3717" t="s">
        <v>86</v>
      </c>
      <c r="C3717" t="s">
        <v>125</v>
      </c>
      <c r="D3717" t="s">
        <v>126</v>
      </c>
      <c r="E3717">
        <v>1998</v>
      </c>
      <c r="F3717" s="1">
        <v>3</v>
      </c>
      <c r="G3717">
        <v>2000</v>
      </c>
      <c r="H3717">
        <f>AVERAGEIFS(Table1[value],Table1[IndicatorCode],Table1[[#This Row],[IndicatorCode]])</f>
        <v>7.6894248608534319</v>
      </c>
      <c r="I3717" cm="1">
        <f t="array" ref="I3717">_xlfn.STDEV.P(IF(Table1[IndicatorCode]=Table1[[#This Row],[IndicatorCode]],Table1[value]))</f>
        <v>5.2319501044600996</v>
      </c>
      <c r="J3717">
        <f>(Table1[[#This Row],[value]] - Table1[[#This Row],[mean]]) / Table1[[#This Row],[std_dev]]</f>
        <v>-0.89630534833576125</v>
      </c>
      <c r="K3717">
        <f>AVERAGEIF(Table1[CountryCode],Table1[[#This Row],[CountryCode]],Table1[z-score])</f>
        <v>-0.61357720348444234</v>
      </c>
      <c r="L3717" t="e">
        <f>VLOOKUP(Table1[[#This Row],[CountryCode]],[1]!Table1[#Data],4,FALSE)</f>
        <v>#REF!</v>
      </c>
    </row>
    <row r="3718" spans="1:12" hidden="1" x14ac:dyDescent="0.3">
      <c r="A3718" t="s">
        <v>85</v>
      </c>
      <c r="B3718" t="s">
        <v>86</v>
      </c>
      <c r="C3718" t="s">
        <v>125</v>
      </c>
      <c r="D3718" t="s">
        <v>126</v>
      </c>
      <c r="E3718">
        <v>1999</v>
      </c>
      <c r="F3718" s="1">
        <v>3</v>
      </c>
      <c r="G3718">
        <v>2000</v>
      </c>
      <c r="H3718">
        <f>AVERAGEIFS(Table1[value],Table1[IndicatorCode],Table1[[#This Row],[IndicatorCode]])</f>
        <v>7.6894248608534319</v>
      </c>
      <c r="I3718" cm="1">
        <f t="array" ref="I3718">_xlfn.STDEV.P(IF(Table1[IndicatorCode]=Table1[[#This Row],[IndicatorCode]],Table1[value]))</f>
        <v>5.2319501044600996</v>
      </c>
      <c r="J3718">
        <f>(Table1[[#This Row],[value]] - Table1[[#This Row],[mean]]) / Table1[[#This Row],[std_dev]]</f>
        <v>-0.89630534833576125</v>
      </c>
      <c r="K3718">
        <f>AVERAGEIF(Table1[CountryCode],Table1[[#This Row],[CountryCode]],Table1[z-score])</f>
        <v>-0.61357720348444234</v>
      </c>
      <c r="L3718" t="e">
        <f>VLOOKUP(Table1[[#This Row],[CountryCode]],[1]!Table1[#Data],4,FALSE)</f>
        <v>#REF!</v>
      </c>
    </row>
    <row r="3719" spans="1:12" hidden="1" x14ac:dyDescent="0.3">
      <c r="A3719" t="s">
        <v>85</v>
      </c>
      <c r="B3719" t="s">
        <v>86</v>
      </c>
      <c r="C3719" t="s">
        <v>125</v>
      </c>
      <c r="D3719" t="s">
        <v>126</v>
      </c>
      <c r="E3719">
        <v>2000</v>
      </c>
      <c r="F3719" s="1">
        <v>2</v>
      </c>
      <c r="G3719">
        <v>2000</v>
      </c>
      <c r="H3719">
        <f>AVERAGEIFS(Table1[value],Table1[IndicatorCode],Table1[[#This Row],[IndicatorCode]])</f>
        <v>7.6894248608534319</v>
      </c>
      <c r="I3719" cm="1">
        <f t="array" ref="I3719">_xlfn.STDEV.P(IF(Table1[IndicatorCode]=Table1[[#This Row],[IndicatorCode]],Table1[value]))</f>
        <v>5.2319501044600996</v>
      </c>
      <c r="J3719">
        <f>(Table1[[#This Row],[value]] - Table1[[#This Row],[mean]]) / Table1[[#This Row],[std_dev]]</f>
        <v>-1.0874386695705196</v>
      </c>
      <c r="K3719">
        <f>AVERAGEIF(Table1[CountryCode],Table1[[#This Row],[CountryCode]],Table1[z-score])</f>
        <v>-0.61357720348444234</v>
      </c>
      <c r="L3719" t="e">
        <f>VLOOKUP(Table1[[#This Row],[CountryCode]],[1]!Table1[#Data],4,FALSE)</f>
        <v>#REF!</v>
      </c>
    </row>
    <row r="3720" spans="1:12" hidden="1" x14ac:dyDescent="0.3">
      <c r="A3720" t="s">
        <v>85</v>
      </c>
      <c r="B3720" t="s">
        <v>86</v>
      </c>
      <c r="C3720" t="s">
        <v>125</v>
      </c>
      <c r="D3720" t="s">
        <v>126</v>
      </c>
      <c r="E3720">
        <v>2001</v>
      </c>
      <c r="F3720" s="1">
        <v>2</v>
      </c>
      <c r="G3720">
        <v>2000</v>
      </c>
      <c r="H3720">
        <f>AVERAGEIFS(Table1[value],Table1[IndicatorCode],Table1[[#This Row],[IndicatorCode]])</f>
        <v>7.6894248608534319</v>
      </c>
      <c r="I3720" cm="1">
        <f t="array" ref="I3720">_xlfn.STDEV.P(IF(Table1[IndicatorCode]=Table1[[#This Row],[IndicatorCode]],Table1[value]))</f>
        <v>5.2319501044600996</v>
      </c>
      <c r="J3720">
        <f>(Table1[[#This Row],[value]] - Table1[[#This Row],[mean]]) / Table1[[#This Row],[std_dev]]</f>
        <v>-1.0874386695705196</v>
      </c>
      <c r="K3720">
        <f>AVERAGEIF(Table1[CountryCode],Table1[[#This Row],[CountryCode]],Table1[z-score])</f>
        <v>-0.61357720348444234</v>
      </c>
      <c r="L3720" t="e">
        <f>VLOOKUP(Table1[[#This Row],[CountryCode]],[1]!Table1[#Data],4,FALSE)</f>
        <v>#REF!</v>
      </c>
    </row>
    <row r="3721" spans="1:12" hidden="1" x14ac:dyDescent="0.3">
      <c r="A3721" t="s">
        <v>85</v>
      </c>
      <c r="B3721" t="s">
        <v>86</v>
      </c>
      <c r="C3721" t="s">
        <v>125</v>
      </c>
      <c r="D3721" t="s">
        <v>126</v>
      </c>
      <c r="E3721">
        <v>2002</v>
      </c>
      <c r="F3721" s="1">
        <v>3</v>
      </c>
      <c r="G3721">
        <v>2000</v>
      </c>
      <c r="H3721">
        <f>AVERAGEIFS(Table1[value],Table1[IndicatorCode],Table1[[#This Row],[IndicatorCode]])</f>
        <v>7.6894248608534319</v>
      </c>
      <c r="I3721" cm="1">
        <f t="array" ref="I3721">_xlfn.STDEV.P(IF(Table1[IndicatorCode]=Table1[[#This Row],[IndicatorCode]],Table1[value]))</f>
        <v>5.2319501044600996</v>
      </c>
      <c r="J3721">
        <f>(Table1[[#This Row],[value]] - Table1[[#This Row],[mean]]) / Table1[[#This Row],[std_dev]]</f>
        <v>-0.89630534833576125</v>
      </c>
      <c r="K3721">
        <f>AVERAGEIF(Table1[CountryCode],Table1[[#This Row],[CountryCode]],Table1[z-score])</f>
        <v>-0.61357720348444234</v>
      </c>
      <c r="L3721" t="e">
        <f>VLOOKUP(Table1[[#This Row],[CountryCode]],[1]!Table1[#Data],4,FALSE)</f>
        <v>#REF!</v>
      </c>
    </row>
    <row r="3722" spans="1:12" hidden="1" x14ac:dyDescent="0.3">
      <c r="A3722" t="s">
        <v>85</v>
      </c>
      <c r="B3722" t="s">
        <v>86</v>
      </c>
      <c r="C3722" t="s">
        <v>125</v>
      </c>
      <c r="D3722" t="s">
        <v>126</v>
      </c>
      <c r="E3722">
        <v>2003</v>
      </c>
      <c r="F3722" s="1">
        <v>3</v>
      </c>
      <c r="G3722">
        <v>2000</v>
      </c>
      <c r="H3722">
        <f>AVERAGEIFS(Table1[value],Table1[IndicatorCode],Table1[[#This Row],[IndicatorCode]])</f>
        <v>7.6894248608534319</v>
      </c>
      <c r="I3722" cm="1">
        <f t="array" ref="I3722">_xlfn.STDEV.P(IF(Table1[IndicatorCode]=Table1[[#This Row],[IndicatorCode]],Table1[value]))</f>
        <v>5.2319501044600996</v>
      </c>
      <c r="J3722">
        <f>(Table1[[#This Row],[value]] - Table1[[#This Row],[mean]]) / Table1[[#This Row],[std_dev]]</f>
        <v>-0.89630534833576125</v>
      </c>
      <c r="K3722">
        <f>AVERAGEIF(Table1[CountryCode],Table1[[#This Row],[CountryCode]],Table1[z-score])</f>
        <v>-0.61357720348444234</v>
      </c>
      <c r="L3722" t="e">
        <f>VLOOKUP(Table1[[#This Row],[CountryCode]],[1]!Table1[#Data],4,FALSE)</f>
        <v>#REF!</v>
      </c>
    </row>
    <row r="3723" spans="1:12" hidden="1" x14ac:dyDescent="0.3">
      <c r="A3723" t="s">
        <v>85</v>
      </c>
      <c r="B3723" t="s">
        <v>86</v>
      </c>
      <c r="C3723" t="s">
        <v>125</v>
      </c>
      <c r="D3723" t="s">
        <v>126</v>
      </c>
      <c r="E3723">
        <v>2004</v>
      </c>
      <c r="F3723" s="1">
        <v>3</v>
      </c>
      <c r="G3723">
        <v>2000</v>
      </c>
      <c r="H3723">
        <f>AVERAGEIFS(Table1[value],Table1[IndicatorCode],Table1[[#This Row],[IndicatorCode]])</f>
        <v>7.6894248608534319</v>
      </c>
      <c r="I3723" cm="1">
        <f t="array" ref="I3723">_xlfn.STDEV.P(IF(Table1[IndicatorCode]=Table1[[#This Row],[IndicatorCode]],Table1[value]))</f>
        <v>5.2319501044600996</v>
      </c>
      <c r="J3723">
        <f>(Table1[[#This Row],[value]] - Table1[[#This Row],[mean]]) / Table1[[#This Row],[std_dev]]</f>
        <v>-0.89630534833576125</v>
      </c>
      <c r="K3723">
        <f>AVERAGEIF(Table1[CountryCode],Table1[[#This Row],[CountryCode]],Table1[z-score])</f>
        <v>-0.61357720348444234</v>
      </c>
      <c r="L3723" t="e">
        <f>VLOOKUP(Table1[[#This Row],[CountryCode]],[1]!Table1[#Data],4,FALSE)</f>
        <v>#REF!</v>
      </c>
    </row>
    <row r="3724" spans="1:12" hidden="1" x14ac:dyDescent="0.3">
      <c r="A3724" t="s">
        <v>85</v>
      </c>
      <c r="B3724" t="s">
        <v>86</v>
      </c>
      <c r="C3724" t="s">
        <v>125</v>
      </c>
      <c r="D3724" t="s">
        <v>126</v>
      </c>
      <c r="E3724">
        <v>2005</v>
      </c>
      <c r="F3724" s="1">
        <v>3</v>
      </c>
      <c r="G3724">
        <v>2000</v>
      </c>
      <c r="H3724">
        <f>AVERAGEIFS(Table1[value],Table1[IndicatorCode],Table1[[#This Row],[IndicatorCode]])</f>
        <v>7.6894248608534319</v>
      </c>
      <c r="I3724" cm="1">
        <f t="array" ref="I3724">_xlfn.STDEV.P(IF(Table1[IndicatorCode]=Table1[[#This Row],[IndicatorCode]],Table1[value]))</f>
        <v>5.2319501044600996</v>
      </c>
      <c r="J3724">
        <f>(Table1[[#This Row],[value]] - Table1[[#This Row],[mean]]) / Table1[[#This Row],[std_dev]]</f>
        <v>-0.89630534833576125</v>
      </c>
      <c r="K3724">
        <f>AVERAGEIF(Table1[CountryCode],Table1[[#This Row],[CountryCode]],Table1[z-score])</f>
        <v>-0.61357720348444234</v>
      </c>
      <c r="L3724" t="e">
        <f>VLOOKUP(Table1[[#This Row],[CountryCode]],[1]!Table1[#Data],4,FALSE)</f>
        <v>#REF!</v>
      </c>
    </row>
    <row r="3725" spans="1:12" hidden="1" x14ac:dyDescent="0.3">
      <c r="A3725" t="s">
        <v>85</v>
      </c>
      <c r="B3725" t="s">
        <v>86</v>
      </c>
      <c r="C3725" t="s">
        <v>125</v>
      </c>
      <c r="D3725" t="s">
        <v>126</v>
      </c>
      <c r="E3725">
        <v>2006</v>
      </c>
      <c r="F3725" s="1">
        <v>3</v>
      </c>
      <c r="G3725">
        <v>2000</v>
      </c>
      <c r="H3725">
        <f>AVERAGEIFS(Table1[value],Table1[IndicatorCode],Table1[[#This Row],[IndicatorCode]])</f>
        <v>7.6894248608534319</v>
      </c>
      <c r="I3725" cm="1">
        <f t="array" ref="I3725">_xlfn.STDEV.P(IF(Table1[IndicatorCode]=Table1[[#This Row],[IndicatorCode]],Table1[value]))</f>
        <v>5.2319501044600996</v>
      </c>
      <c r="J3725">
        <f>(Table1[[#This Row],[value]] - Table1[[#This Row],[mean]]) / Table1[[#This Row],[std_dev]]</f>
        <v>-0.89630534833576125</v>
      </c>
      <c r="K3725">
        <f>AVERAGEIF(Table1[CountryCode],Table1[[#This Row],[CountryCode]],Table1[z-score])</f>
        <v>-0.61357720348444234</v>
      </c>
      <c r="L3725" t="e">
        <f>VLOOKUP(Table1[[#This Row],[CountryCode]],[1]!Table1[#Data],4,FALSE)</f>
        <v>#REF!</v>
      </c>
    </row>
    <row r="3726" spans="1:12" hidden="1" x14ac:dyDescent="0.3">
      <c r="A3726" t="s">
        <v>85</v>
      </c>
      <c r="B3726" t="s">
        <v>86</v>
      </c>
      <c r="C3726" t="s">
        <v>125</v>
      </c>
      <c r="D3726" t="s">
        <v>126</v>
      </c>
      <c r="E3726">
        <v>2007</v>
      </c>
      <c r="F3726" s="1">
        <v>3</v>
      </c>
      <c r="G3726">
        <v>2010</v>
      </c>
      <c r="H3726">
        <f>AVERAGEIFS(Table1[value],Table1[IndicatorCode],Table1[[#This Row],[IndicatorCode]])</f>
        <v>7.6894248608534319</v>
      </c>
      <c r="I3726" cm="1">
        <f t="array" ref="I3726">_xlfn.STDEV.P(IF(Table1[IndicatorCode]=Table1[[#This Row],[IndicatorCode]],Table1[value]))</f>
        <v>5.2319501044600996</v>
      </c>
      <c r="J3726">
        <f>(Table1[[#This Row],[value]] - Table1[[#This Row],[mean]]) / Table1[[#This Row],[std_dev]]</f>
        <v>-0.89630534833576125</v>
      </c>
      <c r="K3726">
        <f>AVERAGEIF(Table1[CountryCode],Table1[[#This Row],[CountryCode]],Table1[z-score])</f>
        <v>-0.61357720348444234</v>
      </c>
      <c r="L3726" t="e">
        <f>VLOOKUP(Table1[[#This Row],[CountryCode]],[1]!Table1[#Data],4,FALSE)</f>
        <v>#REF!</v>
      </c>
    </row>
    <row r="3727" spans="1:12" hidden="1" x14ac:dyDescent="0.3">
      <c r="A3727" t="s">
        <v>85</v>
      </c>
      <c r="B3727" t="s">
        <v>86</v>
      </c>
      <c r="C3727" t="s">
        <v>125</v>
      </c>
      <c r="D3727" t="s">
        <v>126</v>
      </c>
      <c r="E3727">
        <v>2008</v>
      </c>
      <c r="F3727" s="1">
        <v>3</v>
      </c>
      <c r="G3727">
        <v>2010</v>
      </c>
      <c r="H3727">
        <f>AVERAGEIFS(Table1[value],Table1[IndicatorCode],Table1[[#This Row],[IndicatorCode]])</f>
        <v>7.6894248608534319</v>
      </c>
      <c r="I3727" cm="1">
        <f t="array" ref="I3727">_xlfn.STDEV.P(IF(Table1[IndicatorCode]=Table1[[#This Row],[IndicatorCode]],Table1[value]))</f>
        <v>5.2319501044600996</v>
      </c>
      <c r="J3727">
        <f>(Table1[[#This Row],[value]] - Table1[[#This Row],[mean]]) / Table1[[#This Row],[std_dev]]</f>
        <v>-0.89630534833576125</v>
      </c>
      <c r="K3727">
        <f>AVERAGEIF(Table1[CountryCode],Table1[[#This Row],[CountryCode]],Table1[z-score])</f>
        <v>-0.61357720348444234</v>
      </c>
      <c r="L3727" t="e">
        <f>VLOOKUP(Table1[[#This Row],[CountryCode]],[1]!Table1[#Data],4,FALSE)</f>
        <v>#REF!</v>
      </c>
    </row>
    <row r="3728" spans="1:12" hidden="1" x14ac:dyDescent="0.3">
      <c r="A3728" t="s">
        <v>85</v>
      </c>
      <c r="B3728" t="s">
        <v>86</v>
      </c>
      <c r="C3728" t="s">
        <v>125</v>
      </c>
      <c r="D3728" t="s">
        <v>126</v>
      </c>
      <c r="E3728">
        <v>2009</v>
      </c>
      <c r="F3728" s="1">
        <v>3</v>
      </c>
      <c r="G3728">
        <v>2010</v>
      </c>
      <c r="H3728">
        <f>AVERAGEIFS(Table1[value],Table1[IndicatorCode],Table1[[#This Row],[IndicatorCode]])</f>
        <v>7.6894248608534319</v>
      </c>
      <c r="I3728" cm="1">
        <f t="array" ref="I3728">_xlfn.STDEV.P(IF(Table1[IndicatorCode]=Table1[[#This Row],[IndicatorCode]],Table1[value]))</f>
        <v>5.2319501044600996</v>
      </c>
      <c r="J3728">
        <f>(Table1[[#This Row],[value]] - Table1[[#This Row],[mean]]) / Table1[[#This Row],[std_dev]]</f>
        <v>-0.89630534833576125</v>
      </c>
      <c r="K3728">
        <f>AVERAGEIF(Table1[CountryCode],Table1[[#This Row],[CountryCode]],Table1[z-score])</f>
        <v>-0.61357720348444234</v>
      </c>
      <c r="L3728" t="e">
        <f>VLOOKUP(Table1[[#This Row],[CountryCode]],[1]!Table1[#Data],4,FALSE)</f>
        <v>#REF!</v>
      </c>
    </row>
    <row r="3729" spans="1:12" hidden="1" x14ac:dyDescent="0.3">
      <c r="A3729" t="s">
        <v>85</v>
      </c>
      <c r="B3729" t="s">
        <v>86</v>
      </c>
      <c r="C3729" t="s">
        <v>125</v>
      </c>
      <c r="D3729" t="s">
        <v>126</v>
      </c>
      <c r="E3729">
        <v>2010</v>
      </c>
      <c r="F3729" s="1">
        <v>3</v>
      </c>
      <c r="G3729">
        <v>2010</v>
      </c>
      <c r="H3729">
        <f>AVERAGEIFS(Table1[value],Table1[IndicatorCode],Table1[[#This Row],[IndicatorCode]])</f>
        <v>7.6894248608534319</v>
      </c>
      <c r="I3729" cm="1">
        <f t="array" ref="I3729">_xlfn.STDEV.P(IF(Table1[IndicatorCode]=Table1[[#This Row],[IndicatorCode]],Table1[value]))</f>
        <v>5.2319501044600996</v>
      </c>
      <c r="J3729">
        <f>(Table1[[#This Row],[value]] - Table1[[#This Row],[mean]]) / Table1[[#This Row],[std_dev]]</f>
        <v>-0.89630534833576125</v>
      </c>
      <c r="K3729">
        <f>AVERAGEIF(Table1[CountryCode],Table1[[#This Row],[CountryCode]],Table1[z-score])</f>
        <v>-0.61357720348444234</v>
      </c>
      <c r="L3729" t="e">
        <f>VLOOKUP(Table1[[#This Row],[CountryCode]],[1]!Table1[#Data],4,FALSE)</f>
        <v>#REF!</v>
      </c>
    </row>
    <row r="3730" spans="1:12" hidden="1" x14ac:dyDescent="0.3">
      <c r="A3730" t="s">
        <v>85</v>
      </c>
      <c r="B3730" t="s">
        <v>86</v>
      </c>
      <c r="C3730" t="s">
        <v>125</v>
      </c>
      <c r="D3730" t="s">
        <v>126</v>
      </c>
      <c r="E3730">
        <v>2011</v>
      </c>
      <c r="F3730" s="1">
        <v>3</v>
      </c>
      <c r="G3730">
        <v>2010</v>
      </c>
      <c r="H3730">
        <f>AVERAGEIFS(Table1[value],Table1[IndicatorCode],Table1[[#This Row],[IndicatorCode]])</f>
        <v>7.6894248608534319</v>
      </c>
      <c r="I3730" cm="1">
        <f t="array" ref="I3730">_xlfn.STDEV.P(IF(Table1[IndicatorCode]=Table1[[#This Row],[IndicatorCode]],Table1[value]))</f>
        <v>5.2319501044600996</v>
      </c>
      <c r="J3730">
        <f>(Table1[[#This Row],[value]] - Table1[[#This Row],[mean]]) / Table1[[#This Row],[std_dev]]</f>
        <v>-0.89630534833576125</v>
      </c>
      <c r="K3730">
        <f>AVERAGEIF(Table1[CountryCode],Table1[[#This Row],[CountryCode]],Table1[z-score])</f>
        <v>-0.61357720348444234</v>
      </c>
      <c r="L3730" t="e">
        <f>VLOOKUP(Table1[[#This Row],[CountryCode]],[1]!Table1[#Data],4,FALSE)</f>
        <v>#REF!</v>
      </c>
    </row>
    <row r="3731" spans="1:12" hidden="1" x14ac:dyDescent="0.3">
      <c r="A3731" t="s">
        <v>85</v>
      </c>
      <c r="B3731" t="s">
        <v>86</v>
      </c>
      <c r="C3731" t="s">
        <v>125</v>
      </c>
      <c r="D3731" t="s">
        <v>126</v>
      </c>
      <c r="E3731">
        <v>2012</v>
      </c>
      <c r="F3731" s="1">
        <v>3</v>
      </c>
      <c r="G3731">
        <v>2010</v>
      </c>
      <c r="H3731">
        <f>AVERAGEIFS(Table1[value],Table1[IndicatorCode],Table1[[#This Row],[IndicatorCode]])</f>
        <v>7.6894248608534319</v>
      </c>
      <c r="I3731" cm="1">
        <f t="array" ref="I3731">_xlfn.STDEV.P(IF(Table1[IndicatorCode]=Table1[[#This Row],[IndicatorCode]],Table1[value]))</f>
        <v>5.2319501044600996</v>
      </c>
      <c r="J3731">
        <f>(Table1[[#This Row],[value]] - Table1[[#This Row],[mean]]) / Table1[[#This Row],[std_dev]]</f>
        <v>-0.89630534833576125</v>
      </c>
      <c r="K3731">
        <f>AVERAGEIF(Table1[CountryCode],Table1[[#This Row],[CountryCode]],Table1[z-score])</f>
        <v>-0.61357720348444234</v>
      </c>
      <c r="L3731" t="e">
        <f>VLOOKUP(Table1[[#This Row],[CountryCode]],[1]!Table1[#Data],4,FALSE)</f>
        <v>#REF!</v>
      </c>
    </row>
    <row r="3732" spans="1:12" hidden="1" x14ac:dyDescent="0.3">
      <c r="A3732" t="s">
        <v>85</v>
      </c>
      <c r="B3732" t="s">
        <v>86</v>
      </c>
      <c r="C3732" t="s">
        <v>125</v>
      </c>
      <c r="D3732" t="s">
        <v>126</v>
      </c>
      <c r="E3732">
        <v>2013</v>
      </c>
      <c r="F3732" s="1">
        <v>3</v>
      </c>
      <c r="G3732">
        <v>2010</v>
      </c>
      <c r="H3732">
        <f>AVERAGEIFS(Table1[value],Table1[IndicatorCode],Table1[[#This Row],[IndicatorCode]])</f>
        <v>7.6894248608534319</v>
      </c>
      <c r="I3732" cm="1">
        <f t="array" ref="I3732">_xlfn.STDEV.P(IF(Table1[IndicatorCode]=Table1[[#This Row],[IndicatorCode]],Table1[value]))</f>
        <v>5.2319501044600996</v>
      </c>
      <c r="J3732">
        <f>(Table1[[#This Row],[value]] - Table1[[#This Row],[mean]]) / Table1[[#This Row],[std_dev]]</f>
        <v>-0.89630534833576125</v>
      </c>
      <c r="K3732">
        <f>AVERAGEIF(Table1[CountryCode],Table1[[#This Row],[CountryCode]],Table1[z-score])</f>
        <v>-0.61357720348444234</v>
      </c>
      <c r="L3732" t="e">
        <f>VLOOKUP(Table1[[#This Row],[CountryCode]],[1]!Table1[#Data],4,FALSE)</f>
        <v>#REF!</v>
      </c>
    </row>
    <row r="3733" spans="1:12" hidden="1" x14ac:dyDescent="0.3">
      <c r="A3733" t="s">
        <v>85</v>
      </c>
      <c r="B3733" t="s">
        <v>86</v>
      </c>
      <c r="C3733" t="s">
        <v>125</v>
      </c>
      <c r="D3733" t="s">
        <v>126</v>
      </c>
      <c r="E3733">
        <v>2014</v>
      </c>
      <c r="F3733" s="1">
        <v>3</v>
      </c>
      <c r="G3733">
        <v>2010</v>
      </c>
      <c r="H3733">
        <f>AVERAGEIFS(Table1[value],Table1[IndicatorCode],Table1[[#This Row],[IndicatorCode]])</f>
        <v>7.6894248608534319</v>
      </c>
      <c r="I3733" cm="1">
        <f t="array" ref="I3733">_xlfn.STDEV.P(IF(Table1[IndicatorCode]=Table1[[#This Row],[IndicatorCode]],Table1[value]))</f>
        <v>5.2319501044600996</v>
      </c>
      <c r="J3733">
        <f>(Table1[[#This Row],[value]] - Table1[[#This Row],[mean]]) / Table1[[#This Row],[std_dev]]</f>
        <v>-0.89630534833576125</v>
      </c>
      <c r="K3733">
        <f>AVERAGEIF(Table1[CountryCode],Table1[[#This Row],[CountryCode]],Table1[z-score])</f>
        <v>-0.61357720348444234</v>
      </c>
      <c r="L3733" t="e">
        <f>VLOOKUP(Table1[[#This Row],[CountryCode]],[1]!Table1[#Data],4,FALSE)</f>
        <v>#REF!</v>
      </c>
    </row>
    <row r="3734" spans="1:12" hidden="1" x14ac:dyDescent="0.3">
      <c r="A3734" t="s">
        <v>85</v>
      </c>
      <c r="B3734" t="s">
        <v>86</v>
      </c>
      <c r="C3734" t="s">
        <v>125</v>
      </c>
      <c r="D3734" t="s">
        <v>126</v>
      </c>
      <c r="E3734">
        <v>2015</v>
      </c>
      <c r="F3734" s="1">
        <v>3</v>
      </c>
      <c r="G3734">
        <v>2010</v>
      </c>
      <c r="H3734">
        <f>AVERAGEIFS(Table1[value],Table1[IndicatorCode],Table1[[#This Row],[IndicatorCode]])</f>
        <v>7.6894248608534319</v>
      </c>
      <c r="I3734" cm="1">
        <f t="array" ref="I3734">_xlfn.STDEV.P(IF(Table1[IndicatorCode]=Table1[[#This Row],[IndicatorCode]],Table1[value]))</f>
        <v>5.2319501044600996</v>
      </c>
      <c r="J3734">
        <f>(Table1[[#This Row],[value]] - Table1[[#This Row],[mean]]) / Table1[[#This Row],[std_dev]]</f>
        <v>-0.89630534833576125</v>
      </c>
      <c r="K3734">
        <f>AVERAGEIF(Table1[CountryCode],Table1[[#This Row],[CountryCode]],Table1[z-score])</f>
        <v>-0.61357720348444234</v>
      </c>
      <c r="L3734" t="e">
        <f>VLOOKUP(Table1[[#This Row],[CountryCode]],[1]!Table1[#Data],4,FALSE)</f>
        <v>#REF!</v>
      </c>
    </row>
    <row r="3735" spans="1:12" hidden="1" x14ac:dyDescent="0.3">
      <c r="A3735" t="s">
        <v>85</v>
      </c>
      <c r="B3735" t="s">
        <v>86</v>
      </c>
      <c r="C3735" t="s">
        <v>125</v>
      </c>
      <c r="D3735" t="s">
        <v>126</v>
      </c>
      <c r="E3735">
        <v>2016</v>
      </c>
      <c r="F3735" s="1">
        <v>3</v>
      </c>
      <c r="G3735">
        <v>2010</v>
      </c>
      <c r="H3735">
        <f>AVERAGEIFS(Table1[value],Table1[IndicatorCode],Table1[[#This Row],[IndicatorCode]])</f>
        <v>7.6894248608534319</v>
      </c>
      <c r="I3735" cm="1">
        <f t="array" ref="I3735">_xlfn.STDEV.P(IF(Table1[IndicatorCode]=Table1[[#This Row],[IndicatorCode]],Table1[value]))</f>
        <v>5.2319501044600996</v>
      </c>
      <c r="J3735">
        <f>(Table1[[#This Row],[value]] - Table1[[#This Row],[mean]]) / Table1[[#This Row],[std_dev]]</f>
        <v>-0.89630534833576125</v>
      </c>
      <c r="K3735">
        <f>AVERAGEIF(Table1[CountryCode],Table1[[#This Row],[CountryCode]],Table1[z-score])</f>
        <v>-0.61357720348444234</v>
      </c>
      <c r="L3735" t="e">
        <f>VLOOKUP(Table1[[#This Row],[CountryCode]],[1]!Table1[#Data],4,FALSE)</f>
        <v>#REF!</v>
      </c>
    </row>
    <row r="3736" spans="1:12" hidden="1" x14ac:dyDescent="0.3">
      <c r="A3736" t="s">
        <v>85</v>
      </c>
      <c r="B3736" t="s">
        <v>86</v>
      </c>
      <c r="C3736" t="s">
        <v>125</v>
      </c>
      <c r="D3736" t="s">
        <v>126</v>
      </c>
      <c r="E3736">
        <v>2017</v>
      </c>
      <c r="F3736" s="1">
        <v>3</v>
      </c>
      <c r="G3736">
        <v>2020</v>
      </c>
      <c r="H3736">
        <f>AVERAGEIFS(Table1[value],Table1[IndicatorCode],Table1[[#This Row],[IndicatorCode]])</f>
        <v>7.6894248608534319</v>
      </c>
      <c r="I3736" cm="1">
        <f t="array" ref="I3736">_xlfn.STDEV.P(IF(Table1[IndicatorCode]=Table1[[#This Row],[IndicatorCode]],Table1[value]))</f>
        <v>5.2319501044600996</v>
      </c>
      <c r="J3736">
        <f>(Table1[[#This Row],[value]] - Table1[[#This Row],[mean]]) / Table1[[#This Row],[std_dev]]</f>
        <v>-0.89630534833576125</v>
      </c>
      <c r="K3736">
        <f>AVERAGEIF(Table1[CountryCode],Table1[[#This Row],[CountryCode]],Table1[z-score])</f>
        <v>-0.61357720348444234</v>
      </c>
      <c r="L3736" t="e">
        <f>VLOOKUP(Table1[[#This Row],[CountryCode]],[1]!Table1[#Data],4,FALSE)</f>
        <v>#REF!</v>
      </c>
    </row>
    <row r="3737" spans="1:12" hidden="1" x14ac:dyDescent="0.3">
      <c r="A3737" t="s">
        <v>85</v>
      </c>
      <c r="B3737" t="s">
        <v>86</v>
      </c>
      <c r="C3737" t="s">
        <v>125</v>
      </c>
      <c r="D3737" t="s">
        <v>126</v>
      </c>
      <c r="E3737">
        <v>2018</v>
      </c>
      <c r="F3737" s="1">
        <v>3</v>
      </c>
      <c r="G3737">
        <v>2020</v>
      </c>
      <c r="H3737">
        <f>AVERAGEIFS(Table1[value],Table1[IndicatorCode],Table1[[#This Row],[IndicatorCode]])</f>
        <v>7.6894248608534319</v>
      </c>
      <c r="I3737" cm="1">
        <f t="array" ref="I3737">_xlfn.STDEV.P(IF(Table1[IndicatorCode]=Table1[[#This Row],[IndicatorCode]],Table1[value]))</f>
        <v>5.2319501044600996</v>
      </c>
      <c r="J3737">
        <f>(Table1[[#This Row],[value]] - Table1[[#This Row],[mean]]) / Table1[[#This Row],[std_dev]]</f>
        <v>-0.89630534833576125</v>
      </c>
      <c r="K3737">
        <f>AVERAGEIF(Table1[CountryCode],Table1[[#This Row],[CountryCode]],Table1[z-score])</f>
        <v>-0.61357720348444234</v>
      </c>
      <c r="L3737" t="e">
        <f>VLOOKUP(Table1[[#This Row],[CountryCode]],[1]!Table1[#Data],4,FALSE)</f>
        <v>#REF!</v>
      </c>
    </row>
    <row r="3738" spans="1:12" hidden="1" x14ac:dyDescent="0.3">
      <c r="A3738" t="s">
        <v>85</v>
      </c>
      <c r="B3738" t="s">
        <v>86</v>
      </c>
      <c r="C3738" t="s">
        <v>125</v>
      </c>
      <c r="D3738" t="s">
        <v>126</v>
      </c>
      <c r="E3738">
        <v>2019</v>
      </c>
      <c r="F3738" s="1">
        <v>3</v>
      </c>
      <c r="G3738">
        <v>2020</v>
      </c>
      <c r="H3738">
        <f>AVERAGEIFS(Table1[value],Table1[IndicatorCode],Table1[[#This Row],[IndicatorCode]])</f>
        <v>7.6894248608534319</v>
      </c>
      <c r="I3738" cm="1">
        <f t="array" ref="I3738">_xlfn.STDEV.P(IF(Table1[IndicatorCode]=Table1[[#This Row],[IndicatorCode]],Table1[value]))</f>
        <v>5.2319501044600996</v>
      </c>
      <c r="J3738">
        <f>(Table1[[#This Row],[value]] - Table1[[#This Row],[mean]]) / Table1[[#This Row],[std_dev]]</f>
        <v>-0.89630534833576125</v>
      </c>
      <c r="K3738">
        <f>AVERAGEIF(Table1[CountryCode],Table1[[#This Row],[CountryCode]],Table1[z-score])</f>
        <v>-0.61357720348444234</v>
      </c>
      <c r="L3738" t="e">
        <f>VLOOKUP(Table1[[#This Row],[CountryCode]],[1]!Table1[#Data],4,FALSE)</f>
        <v>#REF!</v>
      </c>
    </row>
    <row r="3739" spans="1:12" x14ac:dyDescent="0.3">
      <c r="A3739" t="s">
        <v>85</v>
      </c>
      <c r="B3739" t="s">
        <v>86</v>
      </c>
      <c r="C3739" t="s">
        <v>125</v>
      </c>
      <c r="D3739" t="s">
        <v>126</v>
      </c>
      <c r="E3739">
        <v>2020</v>
      </c>
      <c r="F3739" s="1">
        <v>3</v>
      </c>
      <c r="G3739">
        <v>2020</v>
      </c>
      <c r="H3739">
        <f>AVERAGEIFS(Table1[value],Table1[IndicatorCode],Table1[[#This Row],[IndicatorCode]])</f>
        <v>7.6894248608534319</v>
      </c>
      <c r="I3739" cm="1">
        <f t="array" ref="I3739">_xlfn.STDEV.P(IF(Table1[IndicatorCode]=Table1[[#This Row],[IndicatorCode]],Table1[value]))</f>
        <v>5.2319501044600996</v>
      </c>
      <c r="J3739">
        <f>(Table1[[#This Row],[value]] - Table1[[#This Row],[mean]]) / Table1[[#This Row],[std_dev]]</f>
        <v>-0.89630534833576125</v>
      </c>
      <c r="K3739">
        <f>AVERAGEIF(Table1[CountryCode],Table1[[#This Row],[CountryCode]],Table1[z-score])</f>
        <v>-0.61357720348444234</v>
      </c>
    </row>
    <row r="3740" spans="1:12" hidden="1" x14ac:dyDescent="0.3">
      <c r="A3740" t="s">
        <v>85</v>
      </c>
      <c r="B3740" t="s">
        <v>86</v>
      </c>
      <c r="C3740" t="s">
        <v>125</v>
      </c>
      <c r="D3740" t="s">
        <v>126</v>
      </c>
      <c r="E3740">
        <v>2021</v>
      </c>
      <c r="F3740" s="1">
        <v>4</v>
      </c>
      <c r="G3740">
        <v>2020</v>
      </c>
      <c r="H3740">
        <f>AVERAGEIFS(Table1[value],Table1[IndicatorCode],Table1[[#This Row],[IndicatorCode]])</f>
        <v>7.6894248608534319</v>
      </c>
      <c r="I3740" cm="1">
        <f t="array" ref="I3740">_xlfn.STDEV.P(IF(Table1[IndicatorCode]=Table1[[#This Row],[IndicatorCode]],Table1[value]))</f>
        <v>5.2319501044600996</v>
      </c>
      <c r="J3740">
        <f>(Table1[[#This Row],[value]] - Table1[[#This Row],[mean]]) / Table1[[#This Row],[std_dev]]</f>
        <v>-0.7051720271010028</v>
      </c>
      <c r="K3740">
        <f>AVERAGEIF(Table1[CountryCode],Table1[[#This Row],[CountryCode]],Table1[z-score])</f>
        <v>-0.61357720348444234</v>
      </c>
      <c r="L3740" t="e">
        <f>VLOOKUP(Table1[[#This Row],[CountryCode]],[1]!Table1[#Data],4,FALSE)</f>
        <v>#REF!</v>
      </c>
    </row>
    <row r="3741" spans="1:12" hidden="1" x14ac:dyDescent="0.3">
      <c r="A3741" t="s">
        <v>85</v>
      </c>
      <c r="B3741" t="s">
        <v>86</v>
      </c>
      <c r="C3741" t="s">
        <v>125</v>
      </c>
      <c r="D3741" t="s">
        <v>126</v>
      </c>
      <c r="E3741">
        <v>2022</v>
      </c>
      <c r="F3741" s="1">
        <v>3</v>
      </c>
      <c r="G3741">
        <v>1970</v>
      </c>
      <c r="H3741">
        <f>AVERAGEIFS(Table1[value],Table1[IndicatorCode],Table1[[#This Row],[IndicatorCode]])</f>
        <v>7.6894248608534319</v>
      </c>
      <c r="I3741" cm="1">
        <f t="array" ref="I3741">_xlfn.STDEV.P(IF(Table1[IndicatorCode]=Table1[[#This Row],[IndicatorCode]],Table1[value]))</f>
        <v>5.2319501044600996</v>
      </c>
      <c r="J3741">
        <f>(Table1[[#This Row],[value]] - Table1[[#This Row],[mean]]) / Table1[[#This Row],[std_dev]]</f>
        <v>-0.89630534833576125</v>
      </c>
      <c r="K3741">
        <f>AVERAGEIF(Table1[CountryCode],Table1[[#This Row],[CountryCode]],Table1[z-score])</f>
        <v>-0.61357720348444234</v>
      </c>
      <c r="L3741" t="e">
        <f>VLOOKUP(Table1[[#This Row],[CountryCode]],[1]!Table1[#Data],4,FALSE)</f>
        <v>#REF!</v>
      </c>
    </row>
    <row r="3742" spans="1:12" hidden="1" x14ac:dyDescent="0.3">
      <c r="A3742" t="s">
        <v>85</v>
      </c>
      <c r="B3742" t="s">
        <v>86</v>
      </c>
      <c r="C3742" t="s">
        <v>125</v>
      </c>
      <c r="D3742" t="s">
        <v>126</v>
      </c>
      <c r="E3742">
        <v>2023</v>
      </c>
      <c r="F3742" s="1">
        <v>3</v>
      </c>
      <c r="G3742">
        <v>1970</v>
      </c>
      <c r="H3742">
        <f>AVERAGEIFS(Table1[value],Table1[IndicatorCode],Table1[[#This Row],[IndicatorCode]])</f>
        <v>7.6894248608534319</v>
      </c>
      <c r="I3742" cm="1">
        <f t="array" ref="I3742">_xlfn.STDEV.P(IF(Table1[IndicatorCode]=Table1[[#This Row],[IndicatorCode]],Table1[value]))</f>
        <v>5.2319501044600996</v>
      </c>
      <c r="J3742">
        <f>(Table1[[#This Row],[value]] - Table1[[#This Row],[mean]]) / Table1[[#This Row],[std_dev]]</f>
        <v>-0.89630534833576125</v>
      </c>
      <c r="K3742">
        <f>AVERAGEIF(Table1[CountryCode],Table1[[#This Row],[CountryCode]],Table1[z-score])</f>
        <v>-0.61357720348444234</v>
      </c>
      <c r="L3742" t="e">
        <f>VLOOKUP(Table1[[#This Row],[CountryCode]],[1]!Table1[#Data],4,FALSE)</f>
        <v>#REF!</v>
      </c>
    </row>
    <row r="3743" spans="1:12" hidden="1" x14ac:dyDescent="0.3">
      <c r="A3743" t="s">
        <v>85</v>
      </c>
      <c r="B3743" t="s">
        <v>86</v>
      </c>
      <c r="C3743" t="s">
        <v>125</v>
      </c>
      <c r="D3743" t="s">
        <v>126</v>
      </c>
      <c r="E3743">
        <v>2024</v>
      </c>
      <c r="F3743" s="1">
        <v>3</v>
      </c>
      <c r="G3743">
        <v>1970</v>
      </c>
      <c r="H3743">
        <f>AVERAGEIFS(Table1[value],Table1[IndicatorCode],Table1[[#This Row],[IndicatorCode]])</f>
        <v>7.6894248608534319</v>
      </c>
      <c r="I3743" cm="1">
        <f t="array" ref="I3743">_xlfn.STDEV.P(IF(Table1[IndicatorCode]=Table1[[#This Row],[IndicatorCode]],Table1[value]))</f>
        <v>5.2319501044600996</v>
      </c>
      <c r="J3743">
        <f>(Table1[[#This Row],[value]] - Table1[[#This Row],[mean]]) / Table1[[#This Row],[std_dev]]</f>
        <v>-0.89630534833576125</v>
      </c>
      <c r="K3743">
        <f>AVERAGEIF(Table1[CountryCode],Table1[[#This Row],[CountryCode]],Table1[z-score])</f>
        <v>-0.61357720348444234</v>
      </c>
      <c r="L3743" t="e">
        <f>VLOOKUP(Table1[[#This Row],[CountryCode]],[1]!Table1[#Data],4,FALSE)</f>
        <v>#REF!</v>
      </c>
    </row>
    <row r="3744" spans="1:12" hidden="1" x14ac:dyDescent="0.3">
      <c r="A3744" t="s">
        <v>87</v>
      </c>
      <c r="B3744" t="s">
        <v>88</v>
      </c>
      <c r="C3744" t="s">
        <v>125</v>
      </c>
      <c r="D3744" t="s">
        <v>126</v>
      </c>
      <c r="E3744">
        <v>1970</v>
      </c>
      <c r="F3744" s="1">
        <v>6</v>
      </c>
      <c r="G3744">
        <v>1970</v>
      </c>
      <c r="H3744">
        <f>AVERAGEIFS(Table1[value],Table1[IndicatorCode],Table1[[#This Row],[IndicatorCode]])</f>
        <v>7.6894248608534319</v>
      </c>
      <c r="I3744" cm="1">
        <f t="array" ref="I3744">_xlfn.STDEV.P(IF(Table1[IndicatorCode]=Table1[[#This Row],[IndicatorCode]],Table1[value]))</f>
        <v>5.2319501044600996</v>
      </c>
      <c r="J3744">
        <f>(Table1[[#This Row],[value]] - Table1[[#This Row],[mean]]) / Table1[[#This Row],[std_dev]]</f>
        <v>-0.32290538463148605</v>
      </c>
      <c r="K3744">
        <f>AVERAGEIF(Table1[CountryCode],Table1[[#This Row],[CountryCode]],Table1[z-score])</f>
        <v>-0.44487406992812789</v>
      </c>
      <c r="L3744" t="e">
        <f>VLOOKUP(Table1[[#This Row],[CountryCode]],[1]!Table1[#Data],4,FALSE)</f>
        <v>#REF!</v>
      </c>
    </row>
    <row r="3745" spans="1:12" hidden="1" x14ac:dyDescent="0.3">
      <c r="A3745" t="s">
        <v>87</v>
      </c>
      <c r="B3745" t="s">
        <v>88</v>
      </c>
      <c r="C3745" t="s">
        <v>125</v>
      </c>
      <c r="D3745" t="s">
        <v>126</v>
      </c>
      <c r="E3745">
        <v>1971</v>
      </c>
      <c r="F3745" s="1">
        <v>5</v>
      </c>
      <c r="G3745">
        <v>1970</v>
      </c>
      <c r="H3745">
        <f>AVERAGEIFS(Table1[value],Table1[IndicatorCode],Table1[[#This Row],[IndicatorCode]])</f>
        <v>7.6894248608534319</v>
      </c>
      <c r="I3745" cm="1">
        <f t="array" ref="I3745">_xlfn.STDEV.P(IF(Table1[IndicatorCode]=Table1[[#This Row],[IndicatorCode]],Table1[value]))</f>
        <v>5.2319501044600996</v>
      </c>
      <c r="J3745">
        <f>(Table1[[#This Row],[value]] - Table1[[#This Row],[mean]]) / Table1[[#This Row],[std_dev]]</f>
        <v>-0.51403870586624445</v>
      </c>
      <c r="K3745">
        <f>AVERAGEIF(Table1[CountryCode],Table1[[#This Row],[CountryCode]],Table1[z-score])</f>
        <v>-0.44487406992812789</v>
      </c>
      <c r="L3745" t="e">
        <f>VLOOKUP(Table1[[#This Row],[CountryCode]],[1]!Table1[#Data],4,FALSE)</f>
        <v>#REF!</v>
      </c>
    </row>
    <row r="3746" spans="1:12" hidden="1" x14ac:dyDescent="0.3">
      <c r="A3746" t="s">
        <v>87</v>
      </c>
      <c r="B3746" t="s">
        <v>88</v>
      </c>
      <c r="C3746" t="s">
        <v>125</v>
      </c>
      <c r="D3746" t="s">
        <v>126</v>
      </c>
      <c r="E3746">
        <v>1972</v>
      </c>
      <c r="F3746" s="1">
        <v>5</v>
      </c>
      <c r="G3746">
        <v>1970</v>
      </c>
      <c r="H3746">
        <f>AVERAGEIFS(Table1[value],Table1[IndicatorCode],Table1[[#This Row],[IndicatorCode]])</f>
        <v>7.6894248608534319</v>
      </c>
      <c r="I3746" cm="1">
        <f t="array" ref="I3746">_xlfn.STDEV.P(IF(Table1[IndicatorCode]=Table1[[#This Row],[IndicatorCode]],Table1[value]))</f>
        <v>5.2319501044600996</v>
      </c>
      <c r="J3746">
        <f>(Table1[[#This Row],[value]] - Table1[[#This Row],[mean]]) / Table1[[#This Row],[std_dev]]</f>
        <v>-0.51403870586624445</v>
      </c>
      <c r="K3746">
        <f>AVERAGEIF(Table1[CountryCode],Table1[[#This Row],[CountryCode]],Table1[z-score])</f>
        <v>-0.44487406992812789</v>
      </c>
      <c r="L3746" t="e">
        <f>VLOOKUP(Table1[[#This Row],[CountryCode]],[1]!Table1[#Data],4,FALSE)</f>
        <v>#REF!</v>
      </c>
    </row>
    <row r="3747" spans="1:12" hidden="1" x14ac:dyDescent="0.3">
      <c r="A3747" t="s">
        <v>87</v>
      </c>
      <c r="B3747" t="s">
        <v>88</v>
      </c>
      <c r="C3747" t="s">
        <v>125</v>
      </c>
      <c r="D3747" t="s">
        <v>126</v>
      </c>
      <c r="E3747">
        <v>1973</v>
      </c>
      <c r="F3747" s="1">
        <v>6</v>
      </c>
      <c r="G3747">
        <v>1970</v>
      </c>
      <c r="H3747">
        <f>AVERAGEIFS(Table1[value],Table1[IndicatorCode],Table1[[#This Row],[IndicatorCode]])</f>
        <v>7.6894248608534319</v>
      </c>
      <c r="I3747" cm="1">
        <f t="array" ref="I3747">_xlfn.STDEV.P(IF(Table1[IndicatorCode]=Table1[[#This Row],[IndicatorCode]],Table1[value]))</f>
        <v>5.2319501044600996</v>
      </c>
      <c r="J3747">
        <f>(Table1[[#This Row],[value]] - Table1[[#This Row],[mean]]) / Table1[[#This Row],[std_dev]]</f>
        <v>-0.32290538463148605</v>
      </c>
      <c r="K3747">
        <f>AVERAGEIF(Table1[CountryCode],Table1[[#This Row],[CountryCode]],Table1[z-score])</f>
        <v>-0.44487406992812789</v>
      </c>
      <c r="L3747" t="e">
        <f>VLOOKUP(Table1[[#This Row],[CountryCode]],[1]!Table1[#Data],4,FALSE)</f>
        <v>#REF!</v>
      </c>
    </row>
    <row r="3748" spans="1:12" hidden="1" x14ac:dyDescent="0.3">
      <c r="A3748" t="s">
        <v>87</v>
      </c>
      <c r="B3748" t="s">
        <v>88</v>
      </c>
      <c r="C3748" t="s">
        <v>125</v>
      </c>
      <c r="D3748" t="s">
        <v>126</v>
      </c>
      <c r="E3748">
        <v>1974</v>
      </c>
      <c r="F3748" s="1">
        <v>6</v>
      </c>
      <c r="G3748">
        <v>1970</v>
      </c>
      <c r="H3748">
        <f>AVERAGEIFS(Table1[value],Table1[IndicatorCode],Table1[[#This Row],[IndicatorCode]])</f>
        <v>7.6894248608534319</v>
      </c>
      <c r="I3748" cm="1">
        <f t="array" ref="I3748">_xlfn.STDEV.P(IF(Table1[IndicatorCode]=Table1[[#This Row],[IndicatorCode]],Table1[value]))</f>
        <v>5.2319501044600996</v>
      </c>
      <c r="J3748">
        <f>(Table1[[#This Row],[value]] - Table1[[#This Row],[mean]]) / Table1[[#This Row],[std_dev]]</f>
        <v>-0.32290538463148605</v>
      </c>
      <c r="K3748">
        <f>AVERAGEIF(Table1[CountryCode],Table1[[#This Row],[CountryCode]],Table1[z-score])</f>
        <v>-0.44487406992812789</v>
      </c>
      <c r="L3748" t="e">
        <f>VLOOKUP(Table1[[#This Row],[CountryCode]],[1]!Table1[#Data],4,FALSE)</f>
        <v>#REF!</v>
      </c>
    </row>
    <row r="3749" spans="1:12" hidden="1" x14ac:dyDescent="0.3">
      <c r="A3749" t="s">
        <v>87</v>
      </c>
      <c r="B3749" t="s">
        <v>88</v>
      </c>
      <c r="C3749" t="s">
        <v>125</v>
      </c>
      <c r="D3749" t="s">
        <v>126</v>
      </c>
      <c r="E3749">
        <v>1975</v>
      </c>
      <c r="F3749" s="1">
        <v>5</v>
      </c>
      <c r="G3749">
        <v>1970</v>
      </c>
      <c r="H3749">
        <f>AVERAGEIFS(Table1[value],Table1[IndicatorCode],Table1[[#This Row],[IndicatorCode]])</f>
        <v>7.6894248608534319</v>
      </c>
      <c r="I3749" cm="1">
        <f t="array" ref="I3749">_xlfn.STDEV.P(IF(Table1[IndicatorCode]=Table1[[#This Row],[IndicatorCode]],Table1[value]))</f>
        <v>5.2319501044600996</v>
      </c>
      <c r="J3749">
        <f>(Table1[[#This Row],[value]] - Table1[[#This Row],[mean]]) / Table1[[#This Row],[std_dev]]</f>
        <v>-0.51403870586624445</v>
      </c>
      <c r="K3749">
        <f>AVERAGEIF(Table1[CountryCode],Table1[[#This Row],[CountryCode]],Table1[z-score])</f>
        <v>-0.44487406992812789</v>
      </c>
      <c r="L3749" t="e">
        <f>VLOOKUP(Table1[[#This Row],[CountryCode]],[1]!Table1[#Data],4,FALSE)</f>
        <v>#REF!</v>
      </c>
    </row>
    <row r="3750" spans="1:12" hidden="1" x14ac:dyDescent="0.3">
      <c r="A3750" t="s">
        <v>87</v>
      </c>
      <c r="B3750" t="s">
        <v>88</v>
      </c>
      <c r="C3750" t="s">
        <v>125</v>
      </c>
      <c r="D3750" t="s">
        <v>126</v>
      </c>
      <c r="E3750">
        <v>1976</v>
      </c>
      <c r="F3750" s="1">
        <v>5</v>
      </c>
      <c r="G3750">
        <v>1970</v>
      </c>
      <c r="H3750">
        <f>AVERAGEIFS(Table1[value],Table1[IndicatorCode],Table1[[#This Row],[IndicatorCode]])</f>
        <v>7.6894248608534319</v>
      </c>
      <c r="I3750" cm="1">
        <f t="array" ref="I3750">_xlfn.STDEV.P(IF(Table1[IndicatorCode]=Table1[[#This Row],[IndicatorCode]],Table1[value]))</f>
        <v>5.2319501044600996</v>
      </c>
      <c r="J3750">
        <f>(Table1[[#This Row],[value]] - Table1[[#This Row],[mean]]) / Table1[[#This Row],[std_dev]]</f>
        <v>-0.51403870586624445</v>
      </c>
      <c r="K3750">
        <f>AVERAGEIF(Table1[CountryCode],Table1[[#This Row],[CountryCode]],Table1[z-score])</f>
        <v>-0.44487406992812789</v>
      </c>
      <c r="L3750" t="e">
        <f>VLOOKUP(Table1[[#This Row],[CountryCode]],[1]!Table1[#Data],4,FALSE)</f>
        <v>#REF!</v>
      </c>
    </row>
    <row r="3751" spans="1:12" hidden="1" x14ac:dyDescent="0.3">
      <c r="A3751" t="s">
        <v>87</v>
      </c>
      <c r="B3751" t="s">
        <v>88</v>
      </c>
      <c r="C3751" t="s">
        <v>125</v>
      </c>
      <c r="D3751" t="s">
        <v>126</v>
      </c>
      <c r="E3751">
        <v>1977</v>
      </c>
      <c r="F3751" s="1">
        <v>5</v>
      </c>
      <c r="G3751">
        <v>1980</v>
      </c>
      <c r="H3751">
        <f>AVERAGEIFS(Table1[value],Table1[IndicatorCode],Table1[[#This Row],[IndicatorCode]])</f>
        <v>7.6894248608534319</v>
      </c>
      <c r="I3751" cm="1">
        <f t="array" ref="I3751">_xlfn.STDEV.P(IF(Table1[IndicatorCode]=Table1[[#This Row],[IndicatorCode]],Table1[value]))</f>
        <v>5.2319501044600996</v>
      </c>
      <c r="J3751">
        <f>(Table1[[#This Row],[value]] - Table1[[#This Row],[mean]]) / Table1[[#This Row],[std_dev]]</f>
        <v>-0.51403870586624445</v>
      </c>
      <c r="K3751">
        <f>AVERAGEIF(Table1[CountryCode],Table1[[#This Row],[CountryCode]],Table1[z-score])</f>
        <v>-0.44487406992812789</v>
      </c>
      <c r="L3751" t="e">
        <f>VLOOKUP(Table1[[#This Row],[CountryCode]],[1]!Table1[#Data],4,FALSE)</f>
        <v>#REF!</v>
      </c>
    </row>
    <row r="3752" spans="1:12" hidden="1" x14ac:dyDescent="0.3">
      <c r="A3752" t="s">
        <v>87</v>
      </c>
      <c r="B3752" t="s">
        <v>88</v>
      </c>
      <c r="C3752" t="s">
        <v>125</v>
      </c>
      <c r="D3752" t="s">
        <v>126</v>
      </c>
      <c r="E3752">
        <v>1978</v>
      </c>
      <c r="F3752" s="1">
        <v>5</v>
      </c>
      <c r="G3752">
        <v>1980</v>
      </c>
      <c r="H3752">
        <f>AVERAGEIFS(Table1[value],Table1[IndicatorCode],Table1[[#This Row],[IndicatorCode]])</f>
        <v>7.6894248608534319</v>
      </c>
      <c r="I3752" cm="1">
        <f t="array" ref="I3752">_xlfn.STDEV.P(IF(Table1[IndicatorCode]=Table1[[#This Row],[IndicatorCode]],Table1[value]))</f>
        <v>5.2319501044600996</v>
      </c>
      <c r="J3752">
        <f>(Table1[[#This Row],[value]] - Table1[[#This Row],[mean]]) / Table1[[#This Row],[std_dev]]</f>
        <v>-0.51403870586624445</v>
      </c>
      <c r="K3752">
        <f>AVERAGEIF(Table1[CountryCode],Table1[[#This Row],[CountryCode]],Table1[z-score])</f>
        <v>-0.44487406992812789</v>
      </c>
      <c r="L3752" t="e">
        <f>VLOOKUP(Table1[[#This Row],[CountryCode]],[1]!Table1[#Data],4,FALSE)</f>
        <v>#REF!</v>
      </c>
    </row>
    <row r="3753" spans="1:12" hidden="1" x14ac:dyDescent="0.3">
      <c r="A3753" t="s">
        <v>87</v>
      </c>
      <c r="B3753" t="s">
        <v>88</v>
      </c>
      <c r="C3753" t="s">
        <v>125</v>
      </c>
      <c r="D3753" t="s">
        <v>126</v>
      </c>
      <c r="E3753">
        <v>1979</v>
      </c>
      <c r="F3753" s="1">
        <v>5</v>
      </c>
      <c r="G3753">
        <v>1980</v>
      </c>
      <c r="H3753">
        <f>AVERAGEIFS(Table1[value],Table1[IndicatorCode],Table1[[#This Row],[IndicatorCode]])</f>
        <v>7.6894248608534319</v>
      </c>
      <c r="I3753" cm="1">
        <f t="array" ref="I3753">_xlfn.STDEV.P(IF(Table1[IndicatorCode]=Table1[[#This Row],[IndicatorCode]],Table1[value]))</f>
        <v>5.2319501044600996</v>
      </c>
      <c r="J3753">
        <f>(Table1[[#This Row],[value]] - Table1[[#This Row],[mean]]) / Table1[[#This Row],[std_dev]]</f>
        <v>-0.51403870586624445</v>
      </c>
      <c r="K3753">
        <f>AVERAGEIF(Table1[CountryCode],Table1[[#This Row],[CountryCode]],Table1[z-score])</f>
        <v>-0.44487406992812789</v>
      </c>
      <c r="L3753" t="e">
        <f>VLOOKUP(Table1[[#This Row],[CountryCode]],[1]!Table1[#Data],4,FALSE)</f>
        <v>#REF!</v>
      </c>
    </row>
    <row r="3754" spans="1:12" hidden="1" x14ac:dyDescent="0.3">
      <c r="A3754" t="s">
        <v>87</v>
      </c>
      <c r="B3754" t="s">
        <v>88</v>
      </c>
      <c r="C3754" t="s">
        <v>125</v>
      </c>
      <c r="D3754" t="s">
        <v>126</v>
      </c>
      <c r="E3754">
        <v>1980</v>
      </c>
      <c r="F3754" s="1">
        <v>5</v>
      </c>
      <c r="G3754">
        <v>1980</v>
      </c>
      <c r="H3754">
        <f>AVERAGEIFS(Table1[value],Table1[IndicatorCode],Table1[[#This Row],[IndicatorCode]])</f>
        <v>7.6894248608534319</v>
      </c>
      <c r="I3754" cm="1">
        <f t="array" ref="I3754">_xlfn.STDEV.P(IF(Table1[IndicatorCode]=Table1[[#This Row],[IndicatorCode]],Table1[value]))</f>
        <v>5.2319501044600996</v>
      </c>
      <c r="J3754">
        <f>(Table1[[#This Row],[value]] - Table1[[#This Row],[mean]]) / Table1[[#This Row],[std_dev]]</f>
        <v>-0.51403870586624445</v>
      </c>
      <c r="K3754">
        <f>AVERAGEIF(Table1[CountryCode],Table1[[#This Row],[CountryCode]],Table1[z-score])</f>
        <v>-0.44487406992812789</v>
      </c>
      <c r="L3754" t="e">
        <f>VLOOKUP(Table1[[#This Row],[CountryCode]],[1]!Table1[#Data],4,FALSE)</f>
        <v>#REF!</v>
      </c>
    </row>
    <row r="3755" spans="1:12" hidden="1" x14ac:dyDescent="0.3">
      <c r="A3755" t="s">
        <v>87</v>
      </c>
      <c r="B3755" t="s">
        <v>88</v>
      </c>
      <c r="C3755" t="s">
        <v>125</v>
      </c>
      <c r="D3755" t="s">
        <v>126</v>
      </c>
      <c r="E3755">
        <v>1981</v>
      </c>
      <c r="F3755" s="1">
        <v>5</v>
      </c>
      <c r="G3755">
        <v>1980</v>
      </c>
      <c r="H3755">
        <f>AVERAGEIFS(Table1[value],Table1[IndicatorCode],Table1[[#This Row],[IndicatorCode]])</f>
        <v>7.6894248608534319</v>
      </c>
      <c r="I3755" cm="1">
        <f t="array" ref="I3755">_xlfn.STDEV.P(IF(Table1[IndicatorCode]=Table1[[#This Row],[IndicatorCode]],Table1[value]))</f>
        <v>5.2319501044600996</v>
      </c>
      <c r="J3755">
        <f>(Table1[[#This Row],[value]] - Table1[[#This Row],[mean]]) / Table1[[#This Row],[std_dev]]</f>
        <v>-0.51403870586624445</v>
      </c>
      <c r="K3755">
        <f>AVERAGEIF(Table1[CountryCode],Table1[[#This Row],[CountryCode]],Table1[z-score])</f>
        <v>-0.44487406992812789</v>
      </c>
      <c r="L3755" t="e">
        <f>VLOOKUP(Table1[[#This Row],[CountryCode]],[1]!Table1[#Data],4,FALSE)</f>
        <v>#REF!</v>
      </c>
    </row>
    <row r="3756" spans="1:12" hidden="1" x14ac:dyDescent="0.3">
      <c r="A3756" t="s">
        <v>87</v>
      </c>
      <c r="B3756" t="s">
        <v>88</v>
      </c>
      <c r="C3756" t="s">
        <v>125</v>
      </c>
      <c r="D3756" t="s">
        <v>126</v>
      </c>
      <c r="E3756">
        <v>1982</v>
      </c>
      <c r="F3756" s="1">
        <v>4</v>
      </c>
      <c r="G3756">
        <v>1980</v>
      </c>
      <c r="H3756">
        <f>AVERAGEIFS(Table1[value],Table1[IndicatorCode],Table1[[#This Row],[IndicatorCode]])</f>
        <v>7.6894248608534319</v>
      </c>
      <c r="I3756" cm="1">
        <f t="array" ref="I3756">_xlfn.STDEV.P(IF(Table1[IndicatorCode]=Table1[[#This Row],[IndicatorCode]],Table1[value]))</f>
        <v>5.2319501044600996</v>
      </c>
      <c r="J3756">
        <f>(Table1[[#This Row],[value]] - Table1[[#This Row],[mean]]) / Table1[[#This Row],[std_dev]]</f>
        <v>-0.7051720271010028</v>
      </c>
      <c r="K3756">
        <f>AVERAGEIF(Table1[CountryCode],Table1[[#This Row],[CountryCode]],Table1[z-score])</f>
        <v>-0.44487406992812789</v>
      </c>
      <c r="L3756" t="e">
        <f>VLOOKUP(Table1[[#This Row],[CountryCode]],[1]!Table1[#Data],4,FALSE)</f>
        <v>#REF!</v>
      </c>
    </row>
    <row r="3757" spans="1:12" hidden="1" x14ac:dyDescent="0.3">
      <c r="A3757" t="s">
        <v>87</v>
      </c>
      <c r="B3757" t="s">
        <v>88</v>
      </c>
      <c r="C3757" t="s">
        <v>125</v>
      </c>
      <c r="D3757" t="s">
        <v>126</v>
      </c>
      <c r="E3757">
        <v>1983</v>
      </c>
      <c r="F3757" s="1">
        <v>4</v>
      </c>
      <c r="G3757">
        <v>1980</v>
      </c>
      <c r="H3757">
        <f>AVERAGEIFS(Table1[value],Table1[IndicatorCode],Table1[[#This Row],[IndicatorCode]])</f>
        <v>7.6894248608534319</v>
      </c>
      <c r="I3757" cm="1">
        <f t="array" ref="I3757">_xlfn.STDEV.P(IF(Table1[IndicatorCode]=Table1[[#This Row],[IndicatorCode]],Table1[value]))</f>
        <v>5.2319501044600996</v>
      </c>
      <c r="J3757">
        <f>(Table1[[#This Row],[value]] - Table1[[#This Row],[mean]]) / Table1[[#This Row],[std_dev]]</f>
        <v>-0.7051720271010028</v>
      </c>
      <c r="K3757">
        <f>AVERAGEIF(Table1[CountryCode],Table1[[#This Row],[CountryCode]],Table1[z-score])</f>
        <v>-0.44487406992812789</v>
      </c>
      <c r="L3757" t="e">
        <f>VLOOKUP(Table1[[#This Row],[CountryCode]],[1]!Table1[#Data],4,FALSE)</f>
        <v>#REF!</v>
      </c>
    </row>
    <row r="3758" spans="1:12" hidden="1" x14ac:dyDescent="0.3">
      <c r="A3758" t="s">
        <v>87</v>
      </c>
      <c r="B3758" t="s">
        <v>88</v>
      </c>
      <c r="C3758" t="s">
        <v>125</v>
      </c>
      <c r="D3758" t="s">
        <v>126</v>
      </c>
      <c r="E3758">
        <v>1984</v>
      </c>
      <c r="F3758" s="1">
        <v>5</v>
      </c>
      <c r="G3758">
        <v>1980</v>
      </c>
      <c r="H3758">
        <f>AVERAGEIFS(Table1[value],Table1[IndicatorCode],Table1[[#This Row],[IndicatorCode]])</f>
        <v>7.6894248608534319</v>
      </c>
      <c r="I3758" cm="1">
        <f t="array" ref="I3758">_xlfn.STDEV.P(IF(Table1[IndicatorCode]=Table1[[#This Row],[IndicatorCode]],Table1[value]))</f>
        <v>5.2319501044600996</v>
      </c>
      <c r="J3758">
        <f>(Table1[[#This Row],[value]] - Table1[[#This Row],[mean]]) / Table1[[#This Row],[std_dev]]</f>
        <v>-0.51403870586624445</v>
      </c>
      <c r="K3758">
        <f>AVERAGEIF(Table1[CountryCode],Table1[[#This Row],[CountryCode]],Table1[z-score])</f>
        <v>-0.44487406992812789</v>
      </c>
      <c r="L3758" t="e">
        <f>VLOOKUP(Table1[[#This Row],[CountryCode]],[1]!Table1[#Data],4,FALSE)</f>
        <v>#REF!</v>
      </c>
    </row>
    <row r="3759" spans="1:12" hidden="1" x14ac:dyDescent="0.3">
      <c r="A3759" t="s">
        <v>87</v>
      </c>
      <c r="B3759" t="s">
        <v>88</v>
      </c>
      <c r="C3759" t="s">
        <v>125</v>
      </c>
      <c r="D3759" t="s">
        <v>126</v>
      </c>
      <c r="E3759">
        <v>1985</v>
      </c>
      <c r="F3759" s="1">
        <v>5</v>
      </c>
      <c r="G3759">
        <v>1980</v>
      </c>
      <c r="H3759">
        <f>AVERAGEIFS(Table1[value],Table1[IndicatorCode],Table1[[#This Row],[IndicatorCode]])</f>
        <v>7.6894248608534319</v>
      </c>
      <c r="I3759" cm="1">
        <f t="array" ref="I3759">_xlfn.STDEV.P(IF(Table1[IndicatorCode]=Table1[[#This Row],[IndicatorCode]],Table1[value]))</f>
        <v>5.2319501044600996</v>
      </c>
      <c r="J3759">
        <f>(Table1[[#This Row],[value]] - Table1[[#This Row],[mean]]) / Table1[[#This Row],[std_dev]]</f>
        <v>-0.51403870586624445</v>
      </c>
      <c r="K3759">
        <f>AVERAGEIF(Table1[CountryCode],Table1[[#This Row],[CountryCode]],Table1[z-score])</f>
        <v>-0.44487406992812789</v>
      </c>
      <c r="L3759" t="e">
        <f>VLOOKUP(Table1[[#This Row],[CountryCode]],[1]!Table1[#Data],4,FALSE)</f>
        <v>#REF!</v>
      </c>
    </row>
    <row r="3760" spans="1:12" hidden="1" x14ac:dyDescent="0.3">
      <c r="A3760" t="s">
        <v>87</v>
      </c>
      <c r="B3760" t="s">
        <v>88</v>
      </c>
      <c r="C3760" t="s">
        <v>125</v>
      </c>
      <c r="D3760" t="s">
        <v>126</v>
      </c>
      <c r="E3760">
        <v>1986</v>
      </c>
      <c r="F3760" s="1">
        <v>5</v>
      </c>
      <c r="G3760">
        <v>1980</v>
      </c>
      <c r="H3760">
        <f>AVERAGEIFS(Table1[value],Table1[IndicatorCode],Table1[[#This Row],[IndicatorCode]])</f>
        <v>7.6894248608534319</v>
      </c>
      <c r="I3760" cm="1">
        <f t="array" ref="I3760">_xlfn.STDEV.P(IF(Table1[IndicatorCode]=Table1[[#This Row],[IndicatorCode]],Table1[value]))</f>
        <v>5.2319501044600996</v>
      </c>
      <c r="J3760">
        <f>(Table1[[#This Row],[value]] - Table1[[#This Row],[mean]]) / Table1[[#This Row],[std_dev]]</f>
        <v>-0.51403870586624445</v>
      </c>
      <c r="K3760">
        <f>AVERAGEIF(Table1[CountryCode],Table1[[#This Row],[CountryCode]],Table1[z-score])</f>
        <v>-0.44487406992812789</v>
      </c>
      <c r="L3760" t="e">
        <f>VLOOKUP(Table1[[#This Row],[CountryCode]],[1]!Table1[#Data],4,FALSE)</f>
        <v>#REF!</v>
      </c>
    </row>
    <row r="3761" spans="1:12" hidden="1" x14ac:dyDescent="0.3">
      <c r="A3761" t="s">
        <v>87</v>
      </c>
      <c r="B3761" t="s">
        <v>88</v>
      </c>
      <c r="C3761" t="s">
        <v>125</v>
      </c>
      <c r="D3761" t="s">
        <v>126</v>
      </c>
      <c r="E3761">
        <v>1987</v>
      </c>
      <c r="F3761" s="1">
        <v>5</v>
      </c>
      <c r="G3761">
        <v>1990</v>
      </c>
      <c r="H3761">
        <f>AVERAGEIFS(Table1[value],Table1[IndicatorCode],Table1[[#This Row],[IndicatorCode]])</f>
        <v>7.6894248608534319</v>
      </c>
      <c r="I3761" cm="1">
        <f t="array" ref="I3761">_xlfn.STDEV.P(IF(Table1[IndicatorCode]=Table1[[#This Row],[IndicatorCode]],Table1[value]))</f>
        <v>5.2319501044600996</v>
      </c>
      <c r="J3761">
        <f>(Table1[[#This Row],[value]] - Table1[[#This Row],[mean]]) / Table1[[#This Row],[std_dev]]</f>
        <v>-0.51403870586624445</v>
      </c>
      <c r="K3761">
        <f>AVERAGEIF(Table1[CountryCode],Table1[[#This Row],[CountryCode]],Table1[z-score])</f>
        <v>-0.44487406992812789</v>
      </c>
      <c r="L3761" t="e">
        <f>VLOOKUP(Table1[[#This Row],[CountryCode]],[1]!Table1[#Data],4,FALSE)</f>
        <v>#REF!</v>
      </c>
    </row>
    <row r="3762" spans="1:12" hidden="1" x14ac:dyDescent="0.3">
      <c r="A3762" t="s">
        <v>87</v>
      </c>
      <c r="B3762" t="s">
        <v>88</v>
      </c>
      <c r="C3762" t="s">
        <v>125</v>
      </c>
      <c r="D3762" t="s">
        <v>126</v>
      </c>
      <c r="E3762">
        <v>1988</v>
      </c>
      <c r="F3762" s="1">
        <v>5</v>
      </c>
      <c r="G3762">
        <v>1990</v>
      </c>
      <c r="H3762">
        <f>AVERAGEIFS(Table1[value],Table1[IndicatorCode],Table1[[#This Row],[IndicatorCode]])</f>
        <v>7.6894248608534319</v>
      </c>
      <c r="I3762" cm="1">
        <f t="array" ref="I3762">_xlfn.STDEV.P(IF(Table1[IndicatorCode]=Table1[[#This Row],[IndicatorCode]],Table1[value]))</f>
        <v>5.2319501044600996</v>
      </c>
      <c r="J3762">
        <f>(Table1[[#This Row],[value]] - Table1[[#This Row],[mean]]) / Table1[[#This Row],[std_dev]]</f>
        <v>-0.51403870586624445</v>
      </c>
      <c r="K3762">
        <f>AVERAGEIF(Table1[CountryCode],Table1[[#This Row],[CountryCode]],Table1[z-score])</f>
        <v>-0.44487406992812789</v>
      </c>
      <c r="L3762" t="e">
        <f>VLOOKUP(Table1[[#This Row],[CountryCode]],[1]!Table1[#Data],4,FALSE)</f>
        <v>#REF!</v>
      </c>
    </row>
    <row r="3763" spans="1:12" hidden="1" x14ac:dyDescent="0.3">
      <c r="A3763" t="s">
        <v>87</v>
      </c>
      <c r="B3763" t="s">
        <v>88</v>
      </c>
      <c r="C3763" t="s">
        <v>125</v>
      </c>
      <c r="D3763" t="s">
        <v>126</v>
      </c>
      <c r="E3763">
        <v>1989</v>
      </c>
      <c r="F3763" s="1">
        <v>5</v>
      </c>
      <c r="G3763">
        <v>1990</v>
      </c>
      <c r="H3763">
        <f>AVERAGEIFS(Table1[value],Table1[IndicatorCode],Table1[[#This Row],[IndicatorCode]])</f>
        <v>7.6894248608534319</v>
      </c>
      <c r="I3763" cm="1">
        <f t="array" ref="I3763">_xlfn.STDEV.P(IF(Table1[IndicatorCode]=Table1[[#This Row],[IndicatorCode]],Table1[value]))</f>
        <v>5.2319501044600996</v>
      </c>
      <c r="J3763">
        <f>(Table1[[#This Row],[value]] - Table1[[#This Row],[mean]]) / Table1[[#This Row],[std_dev]]</f>
        <v>-0.51403870586624445</v>
      </c>
      <c r="K3763">
        <f>AVERAGEIF(Table1[CountryCode],Table1[[#This Row],[CountryCode]],Table1[z-score])</f>
        <v>-0.44487406992812789</v>
      </c>
      <c r="L3763" t="e">
        <f>VLOOKUP(Table1[[#This Row],[CountryCode]],[1]!Table1[#Data],4,FALSE)</f>
        <v>#REF!</v>
      </c>
    </row>
    <row r="3764" spans="1:12" hidden="1" x14ac:dyDescent="0.3">
      <c r="A3764" t="s">
        <v>87</v>
      </c>
      <c r="B3764" t="s">
        <v>88</v>
      </c>
      <c r="C3764" t="s">
        <v>125</v>
      </c>
      <c r="D3764" t="s">
        <v>126</v>
      </c>
      <c r="E3764">
        <v>1990</v>
      </c>
      <c r="F3764" s="1">
        <v>5</v>
      </c>
      <c r="G3764">
        <v>1990</v>
      </c>
      <c r="H3764">
        <f>AVERAGEIFS(Table1[value],Table1[IndicatorCode],Table1[[#This Row],[IndicatorCode]])</f>
        <v>7.6894248608534319</v>
      </c>
      <c r="I3764" cm="1">
        <f t="array" ref="I3764">_xlfn.STDEV.P(IF(Table1[IndicatorCode]=Table1[[#This Row],[IndicatorCode]],Table1[value]))</f>
        <v>5.2319501044600996</v>
      </c>
      <c r="J3764">
        <f>(Table1[[#This Row],[value]] - Table1[[#This Row],[mean]]) / Table1[[#This Row],[std_dev]]</f>
        <v>-0.51403870586624445</v>
      </c>
      <c r="K3764">
        <f>AVERAGEIF(Table1[CountryCode],Table1[[#This Row],[CountryCode]],Table1[z-score])</f>
        <v>-0.44487406992812789</v>
      </c>
      <c r="L3764" t="e">
        <f>VLOOKUP(Table1[[#This Row],[CountryCode]],[1]!Table1[#Data],4,FALSE)</f>
        <v>#REF!</v>
      </c>
    </row>
    <row r="3765" spans="1:12" hidden="1" x14ac:dyDescent="0.3">
      <c r="A3765" t="s">
        <v>87</v>
      </c>
      <c r="B3765" t="s">
        <v>88</v>
      </c>
      <c r="C3765" t="s">
        <v>125</v>
      </c>
      <c r="D3765" t="s">
        <v>126</v>
      </c>
      <c r="E3765">
        <v>1991</v>
      </c>
      <c r="F3765" s="1">
        <v>5</v>
      </c>
      <c r="G3765">
        <v>1990</v>
      </c>
      <c r="H3765">
        <f>AVERAGEIFS(Table1[value],Table1[IndicatorCode],Table1[[#This Row],[IndicatorCode]])</f>
        <v>7.6894248608534319</v>
      </c>
      <c r="I3765" cm="1">
        <f t="array" ref="I3765">_xlfn.STDEV.P(IF(Table1[IndicatorCode]=Table1[[#This Row],[IndicatorCode]],Table1[value]))</f>
        <v>5.2319501044600996</v>
      </c>
      <c r="J3765">
        <f>(Table1[[#This Row],[value]] - Table1[[#This Row],[mean]]) / Table1[[#This Row],[std_dev]]</f>
        <v>-0.51403870586624445</v>
      </c>
      <c r="K3765">
        <f>AVERAGEIF(Table1[CountryCode],Table1[[#This Row],[CountryCode]],Table1[z-score])</f>
        <v>-0.44487406992812789</v>
      </c>
      <c r="L3765" t="e">
        <f>VLOOKUP(Table1[[#This Row],[CountryCode]],[1]!Table1[#Data],4,FALSE)</f>
        <v>#REF!</v>
      </c>
    </row>
    <row r="3766" spans="1:12" hidden="1" x14ac:dyDescent="0.3">
      <c r="A3766" t="s">
        <v>87</v>
      </c>
      <c r="B3766" t="s">
        <v>88</v>
      </c>
      <c r="C3766" t="s">
        <v>125</v>
      </c>
      <c r="D3766" t="s">
        <v>126</v>
      </c>
      <c r="E3766">
        <v>1992</v>
      </c>
      <c r="F3766" s="1">
        <v>4</v>
      </c>
      <c r="G3766">
        <v>1990</v>
      </c>
      <c r="H3766">
        <f>AVERAGEIFS(Table1[value],Table1[IndicatorCode],Table1[[#This Row],[IndicatorCode]])</f>
        <v>7.6894248608534319</v>
      </c>
      <c r="I3766" cm="1">
        <f t="array" ref="I3766">_xlfn.STDEV.P(IF(Table1[IndicatorCode]=Table1[[#This Row],[IndicatorCode]],Table1[value]))</f>
        <v>5.2319501044600996</v>
      </c>
      <c r="J3766">
        <f>(Table1[[#This Row],[value]] - Table1[[#This Row],[mean]]) / Table1[[#This Row],[std_dev]]</f>
        <v>-0.7051720271010028</v>
      </c>
      <c r="K3766">
        <f>AVERAGEIF(Table1[CountryCode],Table1[[#This Row],[CountryCode]],Table1[z-score])</f>
        <v>-0.44487406992812789</v>
      </c>
      <c r="L3766" t="e">
        <f>VLOOKUP(Table1[[#This Row],[CountryCode]],[1]!Table1[#Data],4,FALSE)</f>
        <v>#REF!</v>
      </c>
    </row>
    <row r="3767" spans="1:12" hidden="1" x14ac:dyDescent="0.3">
      <c r="A3767" t="s">
        <v>87</v>
      </c>
      <c r="B3767" t="s">
        <v>88</v>
      </c>
      <c r="C3767" t="s">
        <v>125</v>
      </c>
      <c r="D3767" t="s">
        <v>126</v>
      </c>
      <c r="E3767">
        <v>1993</v>
      </c>
      <c r="F3767" s="1">
        <v>5</v>
      </c>
      <c r="G3767">
        <v>1990</v>
      </c>
      <c r="H3767">
        <f>AVERAGEIFS(Table1[value],Table1[IndicatorCode],Table1[[#This Row],[IndicatorCode]])</f>
        <v>7.6894248608534319</v>
      </c>
      <c r="I3767" cm="1">
        <f t="array" ref="I3767">_xlfn.STDEV.P(IF(Table1[IndicatorCode]=Table1[[#This Row],[IndicatorCode]],Table1[value]))</f>
        <v>5.2319501044600996</v>
      </c>
      <c r="J3767">
        <f>(Table1[[#This Row],[value]] - Table1[[#This Row],[mean]]) / Table1[[#This Row],[std_dev]]</f>
        <v>-0.51403870586624445</v>
      </c>
      <c r="K3767">
        <f>AVERAGEIF(Table1[CountryCode],Table1[[#This Row],[CountryCode]],Table1[z-score])</f>
        <v>-0.44487406992812789</v>
      </c>
      <c r="L3767" t="e">
        <f>VLOOKUP(Table1[[#This Row],[CountryCode]],[1]!Table1[#Data],4,FALSE)</f>
        <v>#REF!</v>
      </c>
    </row>
    <row r="3768" spans="1:12" hidden="1" x14ac:dyDescent="0.3">
      <c r="A3768" t="s">
        <v>87</v>
      </c>
      <c r="B3768" t="s">
        <v>88</v>
      </c>
      <c r="C3768" t="s">
        <v>125</v>
      </c>
      <c r="D3768" t="s">
        <v>126</v>
      </c>
      <c r="E3768">
        <v>1994</v>
      </c>
      <c r="F3768" s="1">
        <v>4</v>
      </c>
      <c r="G3768">
        <v>1990</v>
      </c>
      <c r="H3768">
        <f>AVERAGEIFS(Table1[value],Table1[IndicatorCode],Table1[[#This Row],[IndicatorCode]])</f>
        <v>7.6894248608534319</v>
      </c>
      <c r="I3768" cm="1">
        <f t="array" ref="I3768">_xlfn.STDEV.P(IF(Table1[IndicatorCode]=Table1[[#This Row],[IndicatorCode]],Table1[value]))</f>
        <v>5.2319501044600996</v>
      </c>
      <c r="J3768">
        <f>(Table1[[#This Row],[value]] - Table1[[#This Row],[mean]]) / Table1[[#This Row],[std_dev]]</f>
        <v>-0.7051720271010028</v>
      </c>
      <c r="K3768">
        <f>AVERAGEIF(Table1[CountryCode],Table1[[#This Row],[CountryCode]],Table1[z-score])</f>
        <v>-0.44487406992812789</v>
      </c>
      <c r="L3768" t="e">
        <f>VLOOKUP(Table1[[#This Row],[CountryCode]],[1]!Table1[#Data],4,FALSE)</f>
        <v>#REF!</v>
      </c>
    </row>
    <row r="3769" spans="1:12" hidden="1" x14ac:dyDescent="0.3">
      <c r="A3769" t="s">
        <v>87</v>
      </c>
      <c r="B3769" t="s">
        <v>88</v>
      </c>
      <c r="C3769" t="s">
        <v>125</v>
      </c>
      <c r="D3769" t="s">
        <v>126</v>
      </c>
      <c r="E3769">
        <v>1995</v>
      </c>
      <c r="F3769" s="1">
        <v>4</v>
      </c>
      <c r="G3769">
        <v>1990</v>
      </c>
      <c r="H3769">
        <f>AVERAGEIFS(Table1[value],Table1[IndicatorCode],Table1[[#This Row],[IndicatorCode]])</f>
        <v>7.6894248608534319</v>
      </c>
      <c r="I3769" cm="1">
        <f t="array" ref="I3769">_xlfn.STDEV.P(IF(Table1[IndicatorCode]=Table1[[#This Row],[IndicatorCode]],Table1[value]))</f>
        <v>5.2319501044600996</v>
      </c>
      <c r="J3769">
        <f>(Table1[[#This Row],[value]] - Table1[[#This Row],[mean]]) / Table1[[#This Row],[std_dev]]</f>
        <v>-0.7051720271010028</v>
      </c>
      <c r="K3769">
        <f>AVERAGEIF(Table1[CountryCode],Table1[[#This Row],[CountryCode]],Table1[z-score])</f>
        <v>-0.44487406992812789</v>
      </c>
      <c r="L3769" t="e">
        <f>VLOOKUP(Table1[[#This Row],[CountryCode]],[1]!Table1[#Data],4,FALSE)</f>
        <v>#REF!</v>
      </c>
    </row>
    <row r="3770" spans="1:12" hidden="1" x14ac:dyDescent="0.3">
      <c r="A3770" t="s">
        <v>87</v>
      </c>
      <c r="B3770" t="s">
        <v>88</v>
      </c>
      <c r="C3770" t="s">
        <v>125</v>
      </c>
      <c r="D3770" t="s">
        <v>126</v>
      </c>
      <c r="E3770">
        <v>1996</v>
      </c>
      <c r="F3770" s="1">
        <v>5</v>
      </c>
      <c r="G3770">
        <v>1990</v>
      </c>
      <c r="H3770">
        <f>AVERAGEIFS(Table1[value],Table1[IndicatorCode],Table1[[#This Row],[IndicatorCode]])</f>
        <v>7.6894248608534319</v>
      </c>
      <c r="I3770" cm="1">
        <f t="array" ref="I3770">_xlfn.STDEV.P(IF(Table1[IndicatorCode]=Table1[[#This Row],[IndicatorCode]],Table1[value]))</f>
        <v>5.2319501044600996</v>
      </c>
      <c r="J3770">
        <f>(Table1[[#This Row],[value]] - Table1[[#This Row],[mean]]) / Table1[[#This Row],[std_dev]]</f>
        <v>-0.51403870586624445</v>
      </c>
      <c r="K3770">
        <f>AVERAGEIF(Table1[CountryCode],Table1[[#This Row],[CountryCode]],Table1[z-score])</f>
        <v>-0.44487406992812789</v>
      </c>
      <c r="L3770" t="e">
        <f>VLOOKUP(Table1[[#This Row],[CountryCode]],[1]!Table1[#Data],4,FALSE)</f>
        <v>#REF!</v>
      </c>
    </row>
    <row r="3771" spans="1:12" hidden="1" x14ac:dyDescent="0.3">
      <c r="A3771" t="s">
        <v>87</v>
      </c>
      <c r="B3771" t="s">
        <v>88</v>
      </c>
      <c r="C3771" t="s">
        <v>125</v>
      </c>
      <c r="D3771" t="s">
        <v>126</v>
      </c>
      <c r="E3771">
        <v>1997</v>
      </c>
      <c r="F3771" s="1">
        <v>5</v>
      </c>
      <c r="G3771">
        <v>2000</v>
      </c>
      <c r="H3771">
        <f>AVERAGEIFS(Table1[value],Table1[IndicatorCode],Table1[[#This Row],[IndicatorCode]])</f>
        <v>7.6894248608534319</v>
      </c>
      <c r="I3771" cm="1">
        <f t="array" ref="I3771">_xlfn.STDEV.P(IF(Table1[IndicatorCode]=Table1[[#This Row],[IndicatorCode]],Table1[value]))</f>
        <v>5.2319501044600996</v>
      </c>
      <c r="J3771">
        <f>(Table1[[#This Row],[value]] - Table1[[#This Row],[mean]]) / Table1[[#This Row],[std_dev]]</f>
        <v>-0.51403870586624445</v>
      </c>
      <c r="K3771">
        <f>AVERAGEIF(Table1[CountryCode],Table1[[#This Row],[CountryCode]],Table1[z-score])</f>
        <v>-0.44487406992812789</v>
      </c>
      <c r="L3771" t="e">
        <f>VLOOKUP(Table1[[#This Row],[CountryCode]],[1]!Table1[#Data],4,FALSE)</f>
        <v>#REF!</v>
      </c>
    </row>
    <row r="3772" spans="1:12" hidden="1" x14ac:dyDescent="0.3">
      <c r="A3772" t="s">
        <v>87</v>
      </c>
      <c r="B3772" t="s">
        <v>88</v>
      </c>
      <c r="C3772" t="s">
        <v>125</v>
      </c>
      <c r="D3772" t="s">
        <v>126</v>
      </c>
      <c r="E3772">
        <v>1998</v>
      </c>
      <c r="F3772" s="1">
        <v>5</v>
      </c>
      <c r="G3772">
        <v>2000</v>
      </c>
      <c r="H3772">
        <f>AVERAGEIFS(Table1[value],Table1[IndicatorCode],Table1[[#This Row],[IndicatorCode]])</f>
        <v>7.6894248608534319</v>
      </c>
      <c r="I3772" cm="1">
        <f t="array" ref="I3772">_xlfn.STDEV.P(IF(Table1[IndicatorCode]=Table1[[#This Row],[IndicatorCode]],Table1[value]))</f>
        <v>5.2319501044600996</v>
      </c>
      <c r="J3772">
        <f>(Table1[[#This Row],[value]] - Table1[[#This Row],[mean]]) / Table1[[#This Row],[std_dev]]</f>
        <v>-0.51403870586624445</v>
      </c>
      <c r="K3772">
        <f>AVERAGEIF(Table1[CountryCode],Table1[[#This Row],[CountryCode]],Table1[z-score])</f>
        <v>-0.44487406992812789</v>
      </c>
      <c r="L3772" t="e">
        <f>VLOOKUP(Table1[[#This Row],[CountryCode]],[1]!Table1[#Data],4,FALSE)</f>
        <v>#REF!</v>
      </c>
    </row>
    <row r="3773" spans="1:12" hidden="1" x14ac:dyDescent="0.3">
      <c r="A3773" t="s">
        <v>87</v>
      </c>
      <c r="B3773" t="s">
        <v>88</v>
      </c>
      <c r="C3773" t="s">
        <v>125</v>
      </c>
      <c r="D3773" t="s">
        <v>126</v>
      </c>
      <c r="E3773">
        <v>1999</v>
      </c>
      <c r="F3773" s="1">
        <v>5</v>
      </c>
      <c r="G3773">
        <v>2000</v>
      </c>
      <c r="H3773">
        <f>AVERAGEIFS(Table1[value],Table1[IndicatorCode],Table1[[#This Row],[IndicatorCode]])</f>
        <v>7.6894248608534319</v>
      </c>
      <c r="I3773" cm="1">
        <f t="array" ref="I3773">_xlfn.STDEV.P(IF(Table1[IndicatorCode]=Table1[[#This Row],[IndicatorCode]],Table1[value]))</f>
        <v>5.2319501044600996</v>
      </c>
      <c r="J3773">
        <f>(Table1[[#This Row],[value]] - Table1[[#This Row],[mean]]) / Table1[[#This Row],[std_dev]]</f>
        <v>-0.51403870586624445</v>
      </c>
      <c r="K3773">
        <f>AVERAGEIF(Table1[CountryCode],Table1[[#This Row],[CountryCode]],Table1[z-score])</f>
        <v>-0.44487406992812789</v>
      </c>
      <c r="L3773" t="e">
        <f>VLOOKUP(Table1[[#This Row],[CountryCode]],[1]!Table1[#Data],4,FALSE)</f>
        <v>#REF!</v>
      </c>
    </row>
    <row r="3774" spans="1:12" hidden="1" x14ac:dyDescent="0.3">
      <c r="A3774" t="s">
        <v>87</v>
      </c>
      <c r="B3774" t="s">
        <v>88</v>
      </c>
      <c r="C3774" t="s">
        <v>125</v>
      </c>
      <c r="D3774" t="s">
        <v>126</v>
      </c>
      <c r="E3774">
        <v>2000</v>
      </c>
      <c r="F3774" s="1">
        <v>4</v>
      </c>
      <c r="G3774">
        <v>2000</v>
      </c>
      <c r="H3774">
        <f>AVERAGEIFS(Table1[value],Table1[IndicatorCode],Table1[[#This Row],[IndicatorCode]])</f>
        <v>7.6894248608534319</v>
      </c>
      <c r="I3774" cm="1">
        <f t="array" ref="I3774">_xlfn.STDEV.P(IF(Table1[IndicatorCode]=Table1[[#This Row],[IndicatorCode]],Table1[value]))</f>
        <v>5.2319501044600996</v>
      </c>
      <c r="J3774">
        <f>(Table1[[#This Row],[value]] - Table1[[#This Row],[mean]]) / Table1[[#This Row],[std_dev]]</f>
        <v>-0.7051720271010028</v>
      </c>
      <c r="K3774">
        <f>AVERAGEIF(Table1[CountryCode],Table1[[#This Row],[CountryCode]],Table1[z-score])</f>
        <v>-0.44487406992812789</v>
      </c>
      <c r="L3774" t="e">
        <f>VLOOKUP(Table1[[#This Row],[CountryCode]],[1]!Table1[#Data],4,FALSE)</f>
        <v>#REF!</v>
      </c>
    </row>
    <row r="3775" spans="1:12" hidden="1" x14ac:dyDescent="0.3">
      <c r="A3775" t="s">
        <v>87</v>
      </c>
      <c r="B3775" t="s">
        <v>88</v>
      </c>
      <c r="C3775" t="s">
        <v>125</v>
      </c>
      <c r="D3775" t="s">
        <v>126</v>
      </c>
      <c r="E3775">
        <v>2001</v>
      </c>
      <c r="F3775" s="1">
        <v>5</v>
      </c>
      <c r="G3775">
        <v>2000</v>
      </c>
      <c r="H3775">
        <f>AVERAGEIFS(Table1[value],Table1[IndicatorCode],Table1[[#This Row],[IndicatorCode]])</f>
        <v>7.6894248608534319</v>
      </c>
      <c r="I3775" cm="1">
        <f t="array" ref="I3775">_xlfn.STDEV.P(IF(Table1[IndicatorCode]=Table1[[#This Row],[IndicatorCode]],Table1[value]))</f>
        <v>5.2319501044600996</v>
      </c>
      <c r="J3775">
        <f>(Table1[[#This Row],[value]] - Table1[[#This Row],[mean]]) / Table1[[#This Row],[std_dev]]</f>
        <v>-0.51403870586624445</v>
      </c>
      <c r="K3775">
        <f>AVERAGEIF(Table1[CountryCode],Table1[[#This Row],[CountryCode]],Table1[z-score])</f>
        <v>-0.44487406992812789</v>
      </c>
      <c r="L3775" t="e">
        <f>VLOOKUP(Table1[[#This Row],[CountryCode]],[1]!Table1[#Data],4,FALSE)</f>
        <v>#REF!</v>
      </c>
    </row>
    <row r="3776" spans="1:12" hidden="1" x14ac:dyDescent="0.3">
      <c r="A3776" t="s">
        <v>87</v>
      </c>
      <c r="B3776" t="s">
        <v>88</v>
      </c>
      <c r="C3776" t="s">
        <v>125</v>
      </c>
      <c r="D3776" t="s">
        <v>126</v>
      </c>
      <c r="E3776">
        <v>2002</v>
      </c>
      <c r="F3776" s="1">
        <v>4</v>
      </c>
      <c r="G3776">
        <v>2000</v>
      </c>
      <c r="H3776">
        <f>AVERAGEIFS(Table1[value],Table1[IndicatorCode],Table1[[#This Row],[IndicatorCode]])</f>
        <v>7.6894248608534319</v>
      </c>
      <c r="I3776" cm="1">
        <f t="array" ref="I3776">_xlfn.STDEV.P(IF(Table1[IndicatorCode]=Table1[[#This Row],[IndicatorCode]],Table1[value]))</f>
        <v>5.2319501044600996</v>
      </c>
      <c r="J3776">
        <f>(Table1[[#This Row],[value]] - Table1[[#This Row],[mean]]) / Table1[[#This Row],[std_dev]]</f>
        <v>-0.7051720271010028</v>
      </c>
      <c r="K3776">
        <f>AVERAGEIF(Table1[CountryCode],Table1[[#This Row],[CountryCode]],Table1[z-score])</f>
        <v>-0.44487406992812789</v>
      </c>
      <c r="L3776" t="e">
        <f>VLOOKUP(Table1[[#This Row],[CountryCode]],[1]!Table1[#Data],4,FALSE)</f>
        <v>#REF!</v>
      </c>
    </row>
    <row r="3777" spans="1:12" hidden="1" x14ac:dyDescent="0.3">
      <c r="A3777" t="s">
        <v>87</v>
      </c>
      <c r="B3777" t="s">
        <v>88</v>
      </c>
      <c r="C3777" t="s">
        <v>125</v>
      </c>
      <c r="D3777" t="s">
        <v>126</v>
      </c>
      <c r="E3777">
        <v>2003</v>
      </c>
      <c r="F3777" s="1">
        <v>5</v>
      </c>
      <c r="G3777">
        <v>2000</v>
      </c>
      <c r="H3777">
        <f>AVERAGEIFS(Table1[value],Table1[IndicatorCode],Table1[[#This Row],[IndicatorCode]])</f>
        <v>7.6894248608534319</v>
      </c>
      <c r="I3777" cm="1">
        <f t="array" ref="I3777">_xlfn.STDEV.P(IF(Table1[IndicatorCode]=Table1[[#This Row],[IndicatorCode]],Table1[value]))</f>
        <v>5.2319501044600996</v>
      </c>
      <c r="J3777">
        <f>(Table1[[#This Row],[value]] - Table1[[#This Row],[mean]]) / Table1[[#This Row],[std_dev]]</f>
        <v>-0.51403870586624445</v>
      </c>
      <c r="K3777">
        <f>AVERAGEIF(Table1[CountryCode],Table1[[#This Row],[CountryCode]],Table1[z-score])</f>
        <v>-0.44487406992812789</v>
      </c>
      <c r="L3777" t="e">
        <f>VLOOKUP(Table1[[#This Row],[CountryCode]],[1]!Table1[#Data],4,FALSE)</f>
        <v>#REF!</v>
      </c>
    </row>
    <row r="3778" spans="1:12" hidden="1" x14ac:dyDescent="0.3">
      <c r="A3778" t="s">
        <v>87</v>
      </c>
      <c r="B3778" t="s">
        <v>88</v>
      </c>
      <c r="C3778" t="s">
        <v>125</v>
      </c>
      <c r="D3778" t="s">
        <v>126</v>
      </c>
      <c r="E3778">
        <v>2004</v>
      </c>
      <c r="F3778" s="1">
        <v>5</v>
      </c>
      <c r="G3778">
        <v>2000</v>
      </c>
      <c r="H3778">
        <f>AVERAGEIFS(Table1[value],Table1[IndicatorCode],Table1[[#This Row],[IndicatorCode]])</f>
        <v>7.6894248608534319</v>
      </c>
      <c r="I3778" cm="1">
        <f t="array" ref="I3778">_xlfn.STDEV.P(IF(Table1[IndicatorCode]=Table1[[#This Row],[IndicatorCode]],Table1[value]))</f>
        <v>5.2319501044600996</v>
      </c>
      <c r="J3778">
        <f>(Table1[[#This Row],[value]] - Table1[[#This Row],[mean]]) / Table1[[#This Row],[std_dev]]</f>
        <v>-0.51403870586624445</v>
      </c>
      <c r="K3778">
        <f>AVERAGEIF(Table1[CountryCode],Table1[[#This Row],[CountryCode]],Table1[z-score])</f>
        <v>-0.44487406992812789</v>
      </c>
      <c r="L3778" t="e">
        <f>VLOOKUP(Table1[[#This Row],[CountryCode]],[1]!Table1[#Data],4,FALSE)</f>
        <v>#REF!</v>
      </c>
    </row>
    <row r="3779" spans="1:12" hidden="1" x14ac:dyDescent="0.3">
      <c r="A3779" t="s">
        <v>87</v>
      </c>
      <c r="B3779" t="s">
        <v>88</v>
      </c>
      <c r="C3779" t="s">
        <v>125</v>
      </c>
      <c r="D3779" t="s">
        <v>126</v>
      </c>
      <c r="E3779">
        <v>2005</v>
      </c>
      <c r="F3779" s="1">
        <v>5</v>
      </c>
      <c r="G3779">
        <v>2000</v>
      </c>
      <c r="H3779">
        <f>AVERAGEIFS(Table1[value],Table1[IndicatorCode],Table1[[#This Row],[IndicatorCode]])</f>
        <v>7.6894248608534319</v>
      </c>
      <c r="I3779" cm="1">
        <f t="array" ref="I3779">_xlfn.STDEV.P(IF(Table1[IndicatorCode]=Table1[[#This Row],[IndicatorCode]],Table1[value]))</f>
        <v>5.2319501044600996</v>
      </c>
      <c r="J3779">
        <f>(Table1[[#This Row],[value]] - Table1[[#This Row],[mean]]) / Table1[[#This Row],[std_dev]]</f>
        <v>-0.51403870586624445</v>
      </c>
      <c r="K3779">
        <f>AVERAGEIF(Table1[CountryCode],Table1[[#This Row],[CountryCode]],Table1[z-score])</f>
        <v>-0.44487406992812789</v>
      </c>
      <c r="L3779" t="e">
        <f>VLOOKUP(Table1[[#This Row],[CountryCode]],[1]!Table1[#Data],4,FALSE)</f>
        <v>#REF!</v>
      </c>
    </row>
    <row r="3780" spans="1:12" hidden="1" x14ac:dyDescent="0.3">
      <c r="A3780" t="s">
        <v>87</v>
      </c>
      <c r="B3780" t="s">
        <v>88</v>
      </c>
      <c r="C3780" t="s">
        <v>125</v>
      </c>
      <c r="D3780" t="s">
        <v>126</v>
      </c>
      <c r="E3780">
        <v>2006</v>
      </c>
      <c r="F3780" s="1">
        <v>5</v>
      </c>
      <c r="G3780">
        <v>2000</v>
      </c>
      <c r="H3780">
        <f>AVERAGEIFS(Table1[value],Table1[IndicatorCode],Table1[[#This Row],[IndicatorCode]])</f>
        <v>7.6894248608534319</v>
      </c>
      <c r="I3780" cm="1">
        <f t="array" ref="I3780">_xlfn.STDEV.P(IF(Table1[IndicatorCode]=Table1[[#This Row],[IndicatorCode]],Table1[value]))</f>
        <v>5.2319501044600996</v>
      </c>
      <c r="J3780">
        <f>(Table1[[#This Row],[value]] - Table1[[#This Row],[mean]]) / Table1[[#This Row],[std_dev]]</f>
        <v>-0.51403870586624445</v>
      </c>
      <c r="K3780">
        <f>AVERAGEIF(Table1[CountryCode],Table1[[#This Row],[CountryCode]],Table1[z-score])</f>
        <v>-0.44487406992812789</v>
      </c>
      <c r="L3780" t="e">
        <f>VLOOKUP(Table1[[#This Row],[CountryCode]],[1]!Table1[#Data],4,FALSE)</f>
        <v>#REF!</v>
      </c>
    </row>
    <row r="3781" spans="1:12" hidden="1" x14ac:dyDescent="0.3">
      <c r="A3781" t="s">
        <v>87</v>
      </c>
      <c r="B3781" t="s">
        <v>88</v>
      </c>
      <c r="C3781" t="s">
        <v>125</v>
      </c>
      <c r="D3781" t="s">
        <v>126</v>
      </c>
      <c r="E3781">
        <v>2007</v>
      </c>
      <c r="F3781" s="1">
        <v>5</v>
      </c>
      <c r="G3781">
        <v>2010</v>
      </c>
      <c r="H3781">
        <f>AVERAGEIFS(Table1[value],Table1[IndicatorCode],Table1[[#This Row],[IndicatorCode]])</f>
        <v>7.6894248608534319</v>
      </c>
      <c r="I3781" cm="1">
        <f t="array" ref="I3781">_xlfn.STDEV.P(IF(Table1[IndicatorCode]=Table1[[#This Row],[IndicatorCode]],Table1[value]))</f>
        <v>5.2319501044600996</v>
      </c>
      <c r="J3781">
        <f>(Table1[[#This Row],[value]] - Table1[[#This Row],[mean]]) / Table1[[#This Row],[std_dev]]</f>
        <v>-0.51403870586624445</v>
      </c>
      <c r="K3781">
        <f>AVERAGEIF(Table1[CountryCode],Table1[[#This Row],[CountryCode]],Table1[z-score])</f>
        <v>-0.44487406992812789</v>
      </c>
      <c r="L3781" t="e">
        <f>VLOOKUP(Table1[[#This Row],[CountryCode]],[1]!Table1[#Data],4,FALSE)</f>
        <v>#REF!</v>
      </c>
    </row>
    <row r="3782" spans="1:12" hidden="1" x14ac:dyDescent="0.3">
      <c r="A3782" t="s">
        <v>87</v>
      </c>
      <c r="B3782" t="s">
        <v>88</v>
      </c>
      <c r="C3782" t="s">
        <v>125</v>
      </c>
      <c r="D3782" t="s">
        <v>126</v>
      </c>
      <c r="E3782">
        <v>2008</v>
      </c>
      <c r="F3782" s="1">
        <v>5</v>
      </c>
      <c r="G3782">
        <v>2010</v>
      </c>
      <c r="H3782">
        <f>AVERAGEIFS(Table1[value],Table1[IndicatorCode],Table1[[#This Row],[IndicatorCode]])</f>
        <v>7.6894248608534319</v>
      </c>
      <c r="I3782" cm="1">
        <f t="array" ref="I3782">_xlfn.STDEV.P(IF(Table1[IndicatorCode]=Table1[[#This Row],[IndicatorCode]],Table1[value]))</f>
        <v>5.2319501044600996</v>
      </c>
      <c r="J3782">
        <f>(Table1[[#This Row],[value]] - Table1[[#This Row],[mean]]) / Table1[[#This Row],[std_dev]]</f>
        <v>-0.51403870586624445</v>
      </c>
      <c r="K3782">
        <f>AVERAGEIF(Table1[CountryCode],Table1[[#This Row],[CountryCode]],Table1[z-score])</f>
        <v>-0.44487406992812789</v>
      </c>
      <c r="L3782" t="e">
        <f>VLOOKUP(Table1[[#This Row],[CountryCode]],[1]!Table1[#Data],4,FALSE)</f>
        <v>#REF!</v>
      </c>
    </row>
    <row r="3783" spans="1:12" hidden="1" x14ac:dyDescent="0.3">
      <c r="A3783" t="s">
        <v>87</v>
      </c>
      <c r="B3783" t="s">
        <v>88</v>
      </c>
      <c r="C3783" t="s">
        <v>125</v>
      </c>
      <c r="D3783" t="s">
        <v>126</v>
      </c>
      <c r="E3783">
        <v>2009</v>
      </c>
      <c r="F3783" s="1">
        <v>5</v>
      </c>
      <c r="G3783">
        <v>2010</v>
      </c>
      <c r="H3783">
        <f>AVERAGEIFS(Table1[value],Table1[IndicatorCode],Table1[[#This Row],[IndicatorCode]])</f>
        <v>7.6894248608534319</v>
      </c>
      <c r="I3783" cm="1">
        <f t="array" ref="I3783">_xlfn.STDEV.P(IF(Table1[IndicatorCode]=Table1[[#This Row],[IndicatorCode]],Table1[value]))</f>
        <v>5.2319501044600996</v>
      </c>
      <c r="J3783">
        <f>(Table1[[#This Row],[value]] - Table1[[#This Row],[mean]]) / Table1[[#This Row],[std_dev]]</f>
        <v>-0.51403870586624445</v>
      </c>
      <c r="K3783">
        <f>AVERAGEIF(Table1[CountryCode],Table1[[#This Row],[CountryCode]],Table1[z-score])</f>
        <v>-0.44487406992812789</v>
      </c>
      <c r="L3783" t="e">
        <f>VLOOKUP(Table1[[#This Row],[CountryCode]],[1]!Table1[#Data],4,FALSE)</f>
        <v>#REF!</v>
      </c>
    </row>
    <row r="3784" spans="1:12" hidden="1" x14ac:dyDescent="0.3">
      <c r="A3784" t="s">
        <v>87</v>
      </c>
      <c r="B3784" t="s">
        <v>88</v>
      </c>
      <c r="C3784" t="s">
        <v>125</v>
      </c>
      <c r="D3784" t="s">
        <v>126</v>
      </c>
      <c r="E3784">
        <v>2010</v>
      </c>
      <c r="F3784" s="1">
        <v>5</v>
      </c>
      <c r="G3784">
        <v>2010</v>
      </c>
      <c r="H3784">
        <f>AVERAGEIFS(Table1[value],Table1[IndicatorCode],Table1[[#This Row],[IndicatorCode]])</f>
        <v>7.6894248608534319</v>
      </c>
      <c r="I3784" cm="1">
        <f t="array" ref="I3784">_xlfn.STDEV.P(IF(Table1[IndicatorCode]=Table1[[#This Row],[IndicatorCode]],Table1[value]))</f>
        <v>5.2319501044600996</v>
      </c>
      <c r="J3784">
        <f>(Table1[[#This Row],[value]] - Table1[[#This Row],[mean]]) / Table1[[#This Row],[std_dev]]</f>
        <v>-0.51403870586624445</v>
      </c>
      <c r="K3784">
        <f>AVERAGEIF(Table1[CountryCode],Table1[[#This Row],[CountryCode]],Table1[z-score])</f>
        <v>-0.44487406992812789</v>
      </c>
      <c r="L3784" t="e">
        <f>VLOOKUP(Table1[[#This Row],[CountryCode]],[1]!Table1[#Data],4,FALSE)</f>
        <v>#REF!</v>
      </c>
    </row>
    <row r="3785" spans="1:12" hidden="1" x14ac:dyDescent="0.3">
      <c r="A3785" t="s">
        <v>87</v>
      </c>
      <c r="B3785" t="s">
        <v>88</v>
      </c>
      <c r="C3785" t="s">
        <v>125</v>
      </c>
      <c r="D3785" t="s">
        <v>126</v>
      </c>
      <c r="E3785">
        <v>2011</v>
      </c>
      <c r="F3785" s="1">
        <v>5</v>
      </c>
      <c r="G3785">
        <v>2010</v>
      </c>
      <c r="H3785">
        <f>AVERAGEIFS(Table1[value],Table1[IndicatorCode],Table1[[#This Row],[IndicatorCode]])</f>
        <v>7.6894248608534319</v>
      </c>
      <c r="I3785" cm="1">
        <f t="array" ref="I3785">_xlfn.STDEV.P(IF(Table1[IndicatorCode]=Table1[[#This Row],[IndicatorCode]],Table1[value]))</f>
        <v>5.2319501044600996</v>
      </c>
      <c r="J3785">
        <f>(Table1[[#This Row],[value]] - Table1[[#This Row],[mean]]) / Table1[[#This Row],[std_dev]]</f>
        <v>-0.51403870586624445</v>
      </c>
      <c r="K3785">
        <f>AVERAGEIF(Table1[CountryCode],Table1[[#This Row],[CountryCode]],Table1[z-score])</f>
        <v>-0.44487406992812789</v>
      </c>
      <c r="L3785" t="e">
        <f>VLOOKUP(Table1[[#This Row],[CountryCode]],[1]!Table1[#Data],4,FALSE)</f>
        <v>#REF!</v>
      </c>
    </row>
    <row r="3786" spans="1:12" hidden="1" x14ac:dyDescent="0.3">
      <c r="A3786" t="s">
        <v>87</v>
      </c>
      <c r="B3786" t="s">
        <v>88</v>
      </c>
      <c r="C3786" t="s">
        <v>125</v>
      </c>
      <c r="D3786" t="s">
        <v>126</v>
      </c>
      <c r="E3786">
        <v>2012</v>
      </c>
      <c r="F3786" s="1">
        <v>5</v>
      </c>
      <c r="G3786">
        <v>2010</v>
      </c>
      <c r="H3786">
        <f>AVERAGEIFS(Table1[value],Table1[IndicatorCode],Table1[[#This Row],[IndicatorCode]])</f>
        <v>7.6894248608534319</v>
      </c>
      <c r="I3786" cm="1">
        <f t="array" ref="I3786">_xlfn.STDEV.P(IF(Table1[IndicatorCode]=Table1[[#This Row],[IndicatorCode]],Table1[value]))</f>
        <v>5.2319501044600996</v>
      </c>
      <c r="J3786">
        <f>(Table1[[#This Row],[value]] - Table1[[#This Row],[mean]]) / Table1[[#This Row],[std_dev]]</f>
        <v>-0.51403870586624445</v>
      </c>
      <c r="K3786">
        <f>AVERAGEIF(Table1[CountryCode],Table1[[#This Row],[CountryCode]],Table1[z-score])</f>
        <v>-0.44487406992812789</v>
      </c>
      <c r="L3786" t="e">
        <f>VLOOKUP(Table1[[#This Row],[CountryCode]],[1]!Table1[#Data],4,FALSE)</f>
        <v>#REF!</v>
      </c>
    </row>
    <row r="3787" spans="1:12" hidden="1" x14ac:dyDescent="0.3">
      <c r="A3787" t="s">
        <v>87</v>
      </c>
      <c r="B3787" t="s">
        <v>88</v>
      </c>
      <c r="C3787" t="s">
        <v>125</v>
      </c>
      <c r="D3787" t="s">
        <v>126</v>
      </c>
      <c r="E3787">
        <v>2013</v>
      </c>
      <c r="F3787" s="1">
        <v>5</v>
      </c>
      <c r="G3787">
        <v>2010</v>
      </c>
      <c r="H3787">
        <f>AVERAGEIFS(Table1[value],Table1[IndicatorCode],Table1[[#This Row],[IndicatorCode]])</f>
        <v>7.6894248608534319</v>
      </c>
      <c r="I3787" cm="1">
        <f t="array" ref="I3787">_xlfn.STDEV.P(IF(Table1[IndicatorCode]=Table1[[#This Row],[IndicatorCode]],Table1[value]))</f>
        <v>5.2319501044600996</v>
      </c>
      <c r="J3787">
        <f>(Table1[[#This Row],[value]] - Table1[[#This Row],[mean]]) / Table1[[#This Row],[std_dev]]</f>
        <v>-0.51403870586624445</v>
      </c>
      <c r="K3787">
        <f>AVERAGEIF(Table1[CountryCode],Table1[[#This Row],[CountryCode]],Table1[z-score])</f>
        <v>-0.44487406992812789</v>
      </c>
      <c r="L3787" t="e">
        <f>VLOOKUP(Table1[[#This Row],[CountryCode]],[1]!Table1[#Data],4,FALSE)</f>
        <v>#REF!</v>
      </c>
    </row>
    <row r="3788" spans="1:12" hidden="1" x14ac:dyDescent="0.3">
      <c r="A3788" t="s">
        <v>87</v>
      </c>
      <c r="B3788" t="s">
        <v>88</v>
      </c>
      <c r="C3788" t="s">
        <v>125</v>
      </c>
      <c r="D3788" t="s">
        <v>126</v>
      </c>
      <c r="E3788">
        <v>2014</v>
      </c>
      <c r="F3788" s="1">
        <v>4</v>
      </c>
      <c r="G3788">
        <v>2010</v>
      </c>
      <c r="H3788">
        <f>AVERAGEIFS(Table1[value],Table1[IndicatorCode],Table1[[#This Row],[IndicatorCode]])</f>
        <v>7.6894248608534319</v>
      </c>
      <c r="I3788" cm="1">
        <f t="array" ref="I3788">_xlfn.STDEV.P(IF(Table1[IndicatorCode]=Table1[[#This Row],[IndicatorCode]],Table1[value]))</f>
        <v>5.2319501044600996</v>
      </c>
      <c r="J3788">
        <f>(Table1[[#This Row],[value]] - Table1[[#This Row],[mean]]) / Table1[[#This Row],[std_dev]]</f>
        <v>-0.7051720271010028</v>
      </c>
      <c r="K3788">
        <f>AVERAGEIF(Table1[CountryCode],Table1[[#This Row],[CountryCode]],Table1[z-score])</f>
        <v>-0.44487406992812789</v>
      </c>
      <c r="L3788" t="e">
        <f>VLOOKUP(Table1[[#This Row],[CountryCode]],[1]!Table1[#Data],4,FALSE)</f>
        <v>#REF!</v>
      </c>
    </row>
    <row r="3789" spans="1:12" hidden="1" x14ac:dyDescent="0.3">
      <c r="A3789" t="s">
        <v>87</v>
      </c>
      <c r="B3789" t="s">
        <v>88</v>
      </c>
      <c r="C3789" t="s">
        <v>125</v>
      </c>
      <c r="D3789" t="s">
        <v>126</v>
      </c>
      <c r="E3789">
        <v>2015</v>
      </c>
      <c r="F3789" s="1">
        <v>4</v>
      </c>
      <c r="G3789">
        <v>2010</v>
      </c>
      <c r="H3789">
        <f>AVERAGEIFS(Table1[value],Table1[IndicatorCode],Table1[[#This Row],[IndicatorCode]])</f>
        <v>7.6894248608534319</v>
      </c>
      <c r="I3789" cm="1">
        <f t="array" ref="I3789">_xlfn.STDEV.P(IF(Table1[IndicatorCode]=Table1[[#This Row],[IndicatorCode]],Table1[value]))</f>
        <v>5.2319501044600996</v>
      </c>
      <c r="J3789">
        <f>(Table1[[#This Row],[value]] - Table1[[#This Row],[mean]]) / Table1[[#This Row],[std_dev]]</f>
        <v>-0.7051720271010028</v>
      </c>
      <c r="K3789">
        <f>AVERAGEIF(Table1[CountryCode],Table1[[#This Row],[CountryCode]],Table1[z-score])</f>
        <v>-0.44487406992812789</v>
      </c>
      <c r="L3789" t="e">
        <f>VLOOKUP(Table1[[#This Row],[CountryCode]],[1]!Table1[#Data],4,FALSE)</f>
        <v>#REF!</v>
      </c>
    </row>
    <row r="3790" spans="1:12" hidden="1" x14ac:dyDescent="0.3">
      <c r="A3790" t="s">
        <v>87</v>
      </c>
      <c r="B3790" t="s">
        <v>88</v>
      </c>
      <c r="C3790" t="s">
        <v>125</v>
      </c>
      <c r="D3790" t="s">
        <v>126</v>
      </c>
      <c r="E3790">
        <v>2016</v>
      </c>
      <c r="F3790" s="1">
        <v>4</v>
      </c>
      <c r="G3790">
        <v>2010</v>
      </c>
      <c r="H3790">
        <f>AVERAGEIFS(Table1[value],Table1[IndicatorCode],Table1[[#This Row],[IndicatorCode]])</f>
        <v>7.6894248608534319</v>
      </c>
      <c r="I3790" cm="1">
        <f t="array" ref="I3790">_xlfn.STDEV.P(IF(Table1[IndicatorCode]=Table1[[#This Row],[IndicatorCode]],Table1[value]))</f>
        <v>5.2319501044600996</v>
      </c>
      <c r="J3790">
        <f>(Table1[[#This Row],[value]] - Table1[[#This Row],[mean]]) / Table1[[#This Row],[std_dev]]</f>
        <v>-0.7051720271010028</v>
      </c>
      <c r="K3790">
        <f>AVERAGEIF(Table1[CountryCode],Table1[[#This Row],[CountryCode]],Table1[z-score])</f>
        <v>-0.44487406992812789</v>
      </c>
      <c r="L3790" t="e">
        <f>VLOOKUP(Table1[[#This Row],[CountryCode]],[1]!Table1[#Data],4,FALSE)</f>
        <v>#REF!</v>
      </c>
    </row>
    <row r="3791" spans="1:12" hidden="1" x14ac:dyDescent="0.3">
      <c r="A3791" t="s">
        <v>87</v>
      </c>
      <c r="B3791" t="s">
        <v>88</v>
      </c>
      <c r="C3791" t="s">
        <v>125</v>
      </c>
      <c r="D3791" t="s">
        <v>126</v>
      </c>
      <c r="E3791">
        <v>2017</v>
      </c>
      <c r="F3791" s="1">
        <v>4</v>
      </c>
      <c r="G3791">
        <v>2020</v>
      </c>
      <c r="H3791">
        <f>AVERAGEIFS(Table1[value],Table1[IndicatorCode],Table1[[#This Row],[IndicatorCode]])</f>
        <v>7.6894248608534319</v>
      </c>
      <c r="I3791" cm="1">
        <f t="array" ref="I3791">_xlfn.STDEV.P(IF(Table1[IndicatorCode]=Table1[[#This Row],[IndicatorCode]],Table1[value]))</f>
        <v>5.2319501044600996</v>
      </c>
      <c r="J3791">
        <f>(Table1[[#This Row],[value]] - Table1[[#This Row],[mean]]) / Table1[[#This Row],[std_dev]]</f>
        <v>-0.7051720271010028</v>
      </c>
      <c r="K3791">
        <f>AVERAGEIF(Table1[CountryCode],Table1[[#This Row],[CountryCode]],Table1[z-score])</f>
        <v>-0.44487406992812789</v>
      </c>
      <c r="L3791" t="e">
        <f>VLOOKUP(Table1[[#This Row],[CountryCode]],[1]!Table1[#Data],4,FALSE)</f>
        <v>#REF!</v>
      </c>
    </row>
    <row r="3792" spans="1:12" hidden="1" x14ac:dyDescent="0.3">
      <c r="A3792" t="s">
        <v>87</v>
      </c>
      <c r="B3792" t="s">
        <v>88</v>
      </c>
      <c r="C3792" t="s">
        <v>125</v>
      </c>
      <c r="D3792" t="s">
        <v>126</v>
      </c>
      <c r="E3792">
        <v>2018</v>
      </c>
      <c r="F3792" s="1">
        <v>4</v>
      </c>
      <c r="G3792">
        <v>2020</v>
      </c>
      <c r="H3792">
        <f>AVERAGEIFS(Table1[value],Table1[IndicatorCode],Table1[[#This Row],[IndicatorCode]])</f>
        <v>7.6894248608534319</v>
      </c>
      <c r="I3792" cm="1">
        <f t="array" ref="I3792">_xlfn.STDEV.P(IF(Table1[IndicatorCode]=Table1[[#This Row],[IndicatorCode]],Table1[value]))</f>
        <v>5.2319501044600996</v>
      </c>
      <c r="J3792">
        <f>(Table1[[#This Row],[value]] - Table1[[#This Row],[mean]]) / Table1[[#This Row],[std_dev]]</f>
        <v>-0.7051720271010028</v>
      </c>
      <c r="K3792">
        <f>AVERAGEIF(Table1[CountryCode],Table1[[#This Row],[CountryCode]],Table1[z-score])</f>
        <v>-0.44487406992812789</v>
      </c>
      <c r="L3792" t="e">
        <f>VLOOKUP(Table1[[#This Row],[CountryCode]],[1]!Table1[#Data],4,FALSE)</f>
        <v>#REF!</v>
      </c>
    </row>
    <row r="3793" spans="1:12" hidden="1" x14ac:dyDescent="0.3">
      <c r="A3793" t="s">
        <v>87</v>
      </c>
      <c r="B3793" t="s">
        <v>88</v>
      </c>
      <c r="C3793" t="s">
        <v>125</v>
      </c>
      <c r="D3793" t="s">
        <v>126</v>
      </c>
      <c r="E3793">
        <v>2019</v>
      </c>
      <c r="F3793" s="1">
        <v>5</v>
      </c>
      <c r="G3793">
        <v>2020</v>
      </c>
      <c r="H3793">
        <f>AVERAGEIFS(Table1[value],Table1[IndicatorCode],Table1[[#This Row],[IndicatorCode]])</f>
        <v>7.6894248608534319</v>
      </c>
      <c r="I3793" cm="1">
        <f t="array" ref="I3793">_xlfn.STDEV.P(IF(Table1[IndicatorCode]=Table1[[#This Row],[IndicatorCode]],Table1[value]))</f>
        <v>5.2319501044600996</v>
      </c>
      <c r="J3793">
        <f>(Table1[[#This Row],[value]] - Table1[[#This Row],[mean]]) / Table1[[#This Row],[std_dev]]</f>
        <v>-0.51403870586624445</v>
      </c>
      <c r="K3793">
        <f>AVERAGEIF(Table1[CountryCode],Table1[[#This Row],[CountryCode]],Table1[z-score])</f>
        <v>-0.44487406992812789</v>
      </c>
      <c r="L3793" t="e">
        <f>VLOOKUP(Table1[[#This Row],[CountryCode]],[1]!Table1[#Data],4,FALSE)</f>
        <v>#REF!</v>
      </c>
    </row>
    <row r="3794" spans="1:12" x14ac:dyDescent="0.3">
      <c r="A3794" t="s">
        <v>87</v>
      </c>
      <c r="B3794" t="s">
        <v>88</v>
      </c>
      <c r="C3794" t="s">
        <v>125</v>
      </c>
      <c r="D3794" t="s">
        <v>126</v>
      </c>
      <c r="E3794">
        <v>2020</v>
      </c>
      <c r="F3794" s="1">
        <v>4</v>
      </c>
      <c r="G3794">
        <v>2020</v>
      </c>
      <c r="H3794">
        <f>AVERAGEIFS(Table1[value],Table1[IndicatorCode],Table1[[#This Row],[IndicatorCode]])</f>
        <v>7.6894248608534319</v>
      </c>
      <c r="I3794" cm="1">
        <f t="array" ref="I3794">_xlfn.STDEV.P(IF(Table1[IndicatorCode]=Table1[[#This Row],[IndicatorCode]],Table1[value]))</f>
        <v>5.2319501044600996</v>
      </c>
      <c r="J3794">
        <f>(Table1[[#This Row],[value]] - Table1[[#This Row],[mean]]) / Table1[[#This Row],[std_dev]]</f>
        <v>-0.7051720271010028</v>
      </c>
      <c r="K3794">
        <f>AVERAGEIF(Table1[CountryCode],Table1[[#This Row],[CountryCode]],Table1[z-score])</f>
        <v>-0.44487406992812789</v>
      </c>
    </row>
    <row r="3795" spans="1:12" hidden="1" x14ac:dyDescent="0.3">
      <c r="A3795" t="s">
        <v>87</v>
      </c>
      <c r="B3795" t="s">
        <v>88</v>
      </c>
      <c r="C3795" t="s">
        <v>125</v>
      </c>
      <c r="D3795" t="s">
        <v>126</v>
      </c>
      <c r="E3795">
        <v>2021</v>
      </c>
      <c r="F3795" s="1">
        <v>4</v>
      </c>
      <c r="G3795">
        <v>2020</v>
      </c>
      <c r="H3795">
        <f>AVERAGEIFS(Table1[value],Table1[IndicatorCode],Table1[[#This Row],[IndicatorCode]])</f>
        <v>7.6894248608534319</v>
      </c>
      <c r="I3795" cm="1">
        <f t="array" ref="I3795">_xlfn.STDEV.P(IF(Table1[IndicatorCode]=Table1[[#This Row],[IndicatorCode]],Table1[value]))</f>
        <v>5.2319501044600996</v>
      </c>
      <c r="J3795">
        <f>(Table1[[#This Row],[value]] - Table1[[#This Row],[mean]]) / Table1[[#This Row],[std_dev]]</f>
        <v>-0.7051720271010028</v>
      </c>
      <c r="K3795">
        <f>AVERAGEIF(Table1[CountryCode],Table1[[#This Row],[CountryCode]],Table1[z-score])</f>
        <v>-0.44487406992812789</v>
      </c>
      <c r="L3795" t="e">
        <f>VLOOKUP(Table1[[#This Row],[CountryCode]],[1]!Table1[#Data],4,FALSE)</f>
        <v>#REF!</v>
      </c>
    </row>
    <row r="3796" spans="1:12" hidden="1" x14ac:dyDescent="0.3">
      <c r="A3796" t="s">
        <v>87</v>
      </c>
      <c r="B3796" t="s">
        <v>88</v>
      </c>
      <c r="C3796" t="s">
        <v>125</v>
      </c>
      <c r="D3796" t="s">
        <v>126</v>
      </c>
      <c r="E3796">
        <v>2022</v>
      </c>
      <c r="F3796" s="1">
        <v>4</v>
      </c>
      <c r="G3796">
        <v>1970</v>
      </c>
      <c r="H3796">
        <f>AVERAGEIFS(Table1[value],Table1[IndicatorCode],Table1[[#This Row],[IndicatorCode]])</f>
        <v>7.6894248608534319</v>
      </c>
      <c r="I3796" cm="1">
        <f t="array" ref="I3796">_xlfn.STDEV.P(IF(Table1[IndicatorCode]=Table1[[#This Row],[IndicatorCode]],Table1[value]))</f>
        <v>5.2319501044600996</v>
      </c>
      <c r="J3796">
        <f>(Table1[[#This Row],[value]] - Table1[[#This Row],[mean]]) / Table1[[#This Row],[std_dev]]</f>
        <v>-0.7051720271010028</v>
      </c>
      <c r="K3796">
        <f>AVERAGEIF(Table1[CountryCode],Table1[[#This Row],[CountryCode]],Table1[z-score])</f>
        <v>-0.44487406992812789</v>
      </c>
      <c r="L3796" t="e">
        <f>VLOOKUP(Table1[[#This Row],[CountryCode]],[1]!Table1[#Data],4,FALSE)</f>
        <v>#REF!</v>
      </c>
    </row>
    <row r="3797" spans="1:12" hidden="1" x14ac:dyDescent="0.3">
      <c r="A3797" t="s">
        <v>87</v>
      </c>
      <c r="B3797" t="s">
        <v>88</v>
      </c>
      <c r="C3797" t="s">
        <v>125</v>
      </c>
      <c r="D3797" t="s">
        <v>126</v>
      </c>
      <c r="E3797">
        <v>2023</v>
      </c>
      <c r="F3797" s="1">
        <v>4</v>
      </c>
      <c r="G3797">
        <v>1970</v>
      </c>
      <c r="H3797">
        <f>AVERAGEIFS(Table1[value],Table1[IndicatorCode],Table1[[#This Row],[IndicatorCode]])</f>
        <v>7.6894248608534319</v>
      </c>
      <c r="I3797" cm="1">
        <f t="array" ref="I3797">_xlfn.STDEV.P(IF(Table1[IndicatorCode]=Table1[[#This Row],[IndicatorCode]],Table1[value]))</f>
        <v>5.2319501044600996</v>
      </c>
      <c r="J3797">
        <f>(Table1[[#This Row],[value]] - Table1[[#This Row],[mean]]) / Table1[[#This Row],[std_dev]]</f>
        <v>-0.7051720271010028</v>
      </c>
      <c r="K3797">
        <f>AVERAGEIF(Table1[CountryCode],Table1[[#This Row],[CountryCode]],Table1[z-score])</f>
        <v>-0.44487406992812789</v>
      </c>
      <c r="L3797" t="e">
        <f>VLOOKUP(Table1[[#This Row],[CountryCode]],[1]!Table1[#Data],4,FALSE)</f>
        <v>#REF!</v>
      </c>
    </row>
    <row r="3798" spans="1:12" hidden="1" x14ac:dyDescent="0.3">
      <c r="A3798" t="s">
        <v>87</v>
      </c>
      <c r="B3798" t="s">
        <v>88</v>
      </c>
      <c r="C3798" t="s">
        <v>125</v>
      </c>
      <c r="D3798" t="s">
        <v>126</v>
      </c>
      <c r="E3798">
        <v>2024</v>
      </c>
      <c r="F3798" s="1">
        <v>4</v>
      </c>
      <c r="G3798">
        <v>1970</v>
      </c>
      <c r="H3798">
        <f>AVERAGEIFS(Table1[value],Table1[IndicatorCode],Table1[[#This Row],[IndicatorCode]])</f>
        <v>7.6894248608534319</v>
      </c>
      <c r="I3798" cm="1">
        <f t="array" ref="I3798">_xlfn.STDEV.P(IF(Table1[IndicatorCode]=Table1[[#This Row],[IndicatorCode]],Table1[value]))</f>
        <v>5.2319501044600996</v>
      </c>
      <c r="J3798">
        <f>(Table1[[#This Row],[value]] - Table1[[#This Row],[mean]]) / Table1[[#This Row],[std_dev]]</f>
        <v>-0.7051720271010028</v>
      </c>
      <c r="K3798">
        <f>AVERAGEIF(Table1[CountryCode],Table1[[#This Row],[CountryCode]],Table1[z-score])</f>
        <v>-0.44487406992812789</v>
      </c>
      <c r="L3798" t="e">
        <f>VLOOKUP(Table1[[#This Row],[CountryCode]],[1]!Table1[#Data],4,FALSE)</f>
        <v>#REF!</v>
      </c>
    </row>
    <row r="3799" spans="1:12" hidden="1" x14ac:dyDescent="0.3">
      <c r="A3799" t="s">
        <v>91</v>
      </c>
      <c r="B3799" t="s">
        <v>92</v>
      </c>
      <c r="C3799" t="s">
        <v>125</v>
      </c>
      <c r="D3799" t="s">
        <v>126</v>
      </c>
      <c r="E3799">
        <v>1970</v>
      </c>
      <c r="F3799" s="1">
        <v>10</v>
      </c>
      <c r="G3799">
        <v>1970</v>
      </c>
      <c r="H3799">
        <f>AVERAGEIFS(Table1[value],Table1[IndicatorCode],Table1[[#This Row],[IndicatorCode]])</f>
        <v>7.6894248608534319</v>
      </c>
      <c r="I3799" cm="1">
        <f t="array" ref="I3799">_xlfn.STDEV.P(IF(Table1[IndicatorCode]=Table1[[#This Row],[IndicatorCode]],Table1[value]))</f>
        <v>5.2319501044600996</v>
      </c>
      <c r="J3799">
        <f>(Table1[[#This Row],[value]] - Table1[[#This Row],[mean]]) / Table1[[#This Row],[std_dev]]</f>
        <v>0.44162790030754762</v>
      </c>
      <c r="K3799">
        <f>AVERAGEIF(Table1[CountryCode],Table1[[#This Row],[CountryCode]],Table1[z-score])</f>
        <v>0.48073633366786628</v>
      </c>
      <c r="L3799" t="e">
        <f>VLOOKUP(Table1[[#This Row],[CountryCode]],[1]!Table1[#Data],4,FALSE)</f>
        <v>#REF!</v>
      </c>
    </row>
    <row r="3800" spans="1:12" hidden="1" x14ac:dyDescent="0.3">
      <c r="A3800" t="s">
        <v>91</v>
      </c>
      <c r="B3800" t="s">
        <v>92</v>
      </c>
      <c r="C3800" t="s">
        <v>125</v>
      </c>
      <c r="D3800" t="s">
        <v>126</v>
      </c>
      <c r="E3800">
        <v>1971</v>
      </c>
      <c r="F3800" s="1">
        <v>10</v>
      </c>
      <c r="G3800">
        <v>1970</v>
      </c>
      <c r="H3800">
        <f>AVERAGEIFS(Table1[value],Table1[IndicatorCode],Table1[[#This Row],[IndicatorCode]])</f>
        <v>7.6894248608534319</v>
      </c>
      <c r="I3800" cm="1">
        <f t="array" ref="I3800">_xlfn.STDEV.P(IF(Table1[IndicatorCode]=Table1[[#This Row],[IndicatorCode]],Table1[value]))</f>
        <v>5.2319501044600996</v>
      </c>
      <c r="J3800">
        <f>(Table1[[#This Row],[value]] - Table1[[#This Row],[mean]]) / Table1[[#This Row],[std_dev]]</f>
        <v>0.44162790030754762</v>
      </c>
      <c r="K3800">
        <f>AVERAGEIF(Table1[CountryCode],Table1[[#This Row],[CountryCode]],Table1[z-score])</f>
        <v>0.48073633366786628</v>
      </c>
      <c r="L3800" t="e">
        <f>VLOOKUP(Table1[[#This Row],[CountryCode]],[1]!Table1[#Data],4,FALSE)</f>
        <v>#REF!</v>
      </c>
    </row>
    <row r="3801" spans="1:12" hidden="1" x14ac:dyDescent="0.3">
      <c r="A3801" t="s">
        <v>91</v>
      </c>
      <c r="B3801" t="s">
        <v>92</v>
      </c>
      <c r="C3801" t="s">
        <v>125</v>
      </c>
      <c r="D3801" t="s">
        <v>126</v>
      </c>
      <c r="E3801">
        <v>1972</v>
      </c>
      <c r="F3801" s="1">
        <v>11</v>
      </c>
      <c r="G3801">
        <v>1970</v>
      </c>
      <c r="H3801">
        <f>AVERAGEIFS(Table1[value],Table1[IndicatorCode],Table1[[#This Row],[IndicatorCode]])</f>
        <v>7.6894248608534319</v>
      </c>
      <c r="I3801" cm="1">
        <f t="array" ref="I3801">_xlfn.STDEV.P(IF(Table1[IndicatorCode]=Table1[[#This Row],[IndicatorCode]],Table1[value]))</f>
        <v>5.2319501044600996</v>
      </c>
      <c r="J3801">
        <f>(Table1[[#This Row],[value]] - Table1[[#This Row],[mean]]) / Table1[[#This Row],[std_dev]]</f>
        <v>0.63276122154230596</v>
      </c>
      <c r="K3801">
        <f>AVERAGEIF(Table1[CountryCode],Table1[[#This Row],[CountryCode]],Table1[z-score])</f>
        <v>0.48073633366786628</v>
      </c>
      <c r="L3801" t="e">
        <f>VLOOKUP(Table1[[#This Row],[CountryCode]],[1]!Table1[#Data],4,FALSE)</f>
        <v>#REF!</v>
      </c>
    </row>
    <row r="3802" spans="1:12" hidden="1" x14ac:dyDescent="0.3">
      <c r="A3802" t="s">
        <v>91</v>
      </c>
      <c r="B3802" t="s">
        <v>92</v>
      </c>
      <c r="C3802" t="s">
        <v>125</v>
      </c>
      <c r="D3802" t="s">
        <v>126</v>
      </c>
      <c r="E3802">
        <v>1973</v>
      </c>
      <c r="F3802" s="1">
        <v>12</v>
      </c>
      <c r="G3802">
        <v>1970</v>
      </c>
      <c r="H3802">
        <f>AVERAGEIFS(Table1[value],Table1[IndicatorCode],Table1[[#This Row],[IndicatorCode]])</f>
        <v>7.6894248608534319</v>
      </c>
      <c r="I3802" cm="1">
        <f t="array" ref="I3802">_xlfn.STDEV.P(IF(Table1[IndicatorCode]=Table1[[#This Row],[IndicatorCode]],Table1[value]))</f>
        <v>5.2319501044600996</v>
      </c>
      <c r="J3802">
        <f>(Table1[[#This Row],[value]] - Table1[[#This Row],[mean]]) / Table1[[#This Row],[std_dev]]</f>
        <v>0.82389454277706442</v>
      </c>
      <c r="K3802">
        <f>AVERAGEIF(Table1[CountryCode],Table1[[#This Row],[CountryCode]],Table1[z-score])</f>
        <v>0.48073633366786628</v>
      </c>
      <c r="L3802" t="e">
        <f>VLOOKUP(Table1[[#This Row],[CountryCode]],[1]!Table1[#Data],4,FALSE)</f>
        <v>#REF!</v>
      </c>
    </row>
    <row r="3803" spans="1:12" hidden="1" x14ac:dyDescent="0.3">
      <c r="A3803" t="s">
        <v>91</v>
      </c>
      <c r="B3803" t="s">
        <v>92</v>
      </c>
      <c r="C3803" t="s">
        <v>125</v>
      </c>
      <c r="D3803" t="s">
        <v>126</v>
      </c>
      <c r="E3803">
        <v>1974</v>
      </c>
      <c r="F3803" s="1">
        <v>11</v>
      </c>
      <c r="G3803">
        <v>1970</v>
      </c>
      <c r="H3803">
        <f>AVERAGEIFS(Table1[value],Table1[IndicatorCode],Table1[[#This Row],[IndicatorCode]])</f>
        <v>7.6894248608534319</v>
      </c>
      <c r="I3803" cm="1">
        <f t="array" ref="I3803">_xlfn.STDEV.P(IF(Table1[IndicatorCode]=Table1[[#This Row],[IndicatorCode]],Table1[value]))</f>
        <v>5.2319501044600996</v>
      </c>
      <c r="J3803">
        <f>(Table1[[#This Row],[value]] - Table1[[#This Row],[mean]]) / Table1[[#This Row],[std_dev]]</f>
        <v>0.63276122154230596</v>
      </c>
      <c r="K3803">
        <f>AVERAGEIF(Table1[CountryCode],Table1[[#This Row],[CountryCode]],Table1[z-score])</f>
        <v>0.48073633366786628</v>
      </c>
      <c r="L3803" t="e">
        <f>VLOOKUP(Table1[[#This Row],[CountryCode]],[1]!Table1[#Data],4,FALSE)</f>
        <v>#REF!</v>
      </c>
    </row>
    <row r="3804" spans="1:12" hidden="1" x14ac:dyDescent="0.3">
      <c r="A3804" t="s">
        <v>91</v>
      </c>
      <c r="B3804" t="s">
        <v>92</v>
      </c>
      <c r="C3804" t="s">
        <v>125</v>
      </c>
      <c r="D3804" t="s">
        <v>126</v>
      </c>
      <c r="E3804">
        <v>1975</v>
      </c>
      <c r="F3804" s="1">
        <v>10</v>
      </c>
      <c r="G3804">
        <v>1970</v>
      </c>
      <c r="H3804">
        <f>AVERAGEIFS(Table1[value],Table1[IndicatorCode],Table1[[#This Row],[IndicatorCode]])</f>
        <v>7.6894248608534319</v>
      </c>
      <c r="I3804" cm="1">
        <f t="array" ref="I3804">_xlfn.STDEV.P(IF(Table1[IndicatorCode]=Table1[[#This Row],[IndicatorCode]],Table1[value]))</f>
        <v>5.2319501044600996</v>
      </c>
      <c r="J3804">
        <f>(Table1[[#This Row],[value]] - Table1[[#This Row],[mean]]) / Table1[[#This Row],[std_dev]]</f>
        <v>0.44162790030754762</v>
      </c>
      <c r="K3804">
        <f>AVERAGEIF(Table1[CountryCode],Table1[[#This Row],[CountryCode]],Table1[z-score])</f>
        <v>0.48073633366786628</v>
      </c>
      <c r="L3804" t="e">
        <f>VLOOKUP(Table1[[#This Row],[CountryCode]],[1]!Table1[#Data],4,FALSE)</f>
        <v>#REF!</v>
      </c>
    </row>
    <row r="3805" spans="1:12" hidden="1" x14ac:dyDescent="0.3">
      <c r="A3805" t="s">
        <v>91</v>
      </c>
      <c r="B3805" t="s">
        <v>92</v>
      </c>
      <c r="C3805" t="s">
        <v>125</v>
      </c>
      <c r="D3805" t="s">
        <v>126</v>
      </c>
      <c r="E3805">
        <v>1976</v>
      </c>
      <c r="F3805" s="1">
        <v>11</v>
      </c>
      <c r="G3805">
        <v>1970</v>
      </c>
      <c r="H3805">
        <f>AVERAGEIFS(Table1[value],Table1[IndicatorCode],Table1[[#This Row],[IndicatorCode]])</f>
        <v>7.6894248608534319</v>
      </c>
      <c r="I3805" cm="1">
        <f t="array" ref="I3805">_xlfn.STDEV.P(IF(Table1[IndicatorCode]=Table1[[#This Row],[IndicatorCode]],Table1[value]))</f>
        <v>5.2319501044600996</v>
      </c>
      <c r="J3805">
        <f>(Table1[[#This Row],[value]] - Table1[[#This Row],[mean]]) / Table1[[#This Row],[std_dev]]</f>
        <v>0.63276122154230596</v>
      </c>
      <c r="K3805">
        <f>AVERAGEIF(Table1[CountryCode],Table1[[#This Row],[CountryCode]],Table1[z-score])</f>
        <v>0.48073633366786628</v>
      </c>
      <c r="L3805" t="e">
        <f>VLOOKUP(Table1[[#This Row],[CountryCode]],[1]!Table1[#Data],4,FALSE)</f>
        <v>#REF!</v>
      </c>
    </row>
    <row r="3806" spans="1:12" hidden="1" x14ac:dyDescent="0.3">
      <c r="A3806" t="s">
        <v>91</v>
      </c>
      <c r="B3806" t="s">
        <v>92</v>
      </c>
      <c r="C3806" t="s">
        <v>125</v>
      </c>
      <c r="D3806" t="s">
        <v>126</v>
      </c>
      <c r="E3806">
        <v>1977</v>
      </c>
      <c r="F3806" s="1">
        <v>11</v>
      </c>
      <c r="G3806">
        <v>1980</v>
      </c>
      <c r="H3806">
        <f>AVERAGEIFS(Table1[value],Table1[IndicatorCode],Table1[[#This Row],[IndicatorCode]])</f>
        <v>7.6894248608534319</v>
      </c>
      <c r="I3806" cm="1">
        <f t="array" ref="I3806">_xlfn.STDEV.P(IF(Table1[IndicatorCode]=Table1[[#This Row],[IndicatorCode]],Table1[value]))</f>
        <v>5.2319501044600996</v>
      </c>
      <c r="J3806">
        <f>(Table1[[#This Row],[value]] - Table1[[#This Row],[mean]]) / Table1[[#This Row],[std_dev]]</f>
        <v>0.63276122154230596</v>
      </c>
      <c r="K3806">
        <f>AVERAGEIF(Table1[CountryCode],Table1[[#This Row],[CountryCode]],Table1[z-score])</f>
        <v>0.48073633366786628</v>
      </c>
      <c r="L3806" t="e">
        <f>VLOOKUP(Table1[[#This Row],[CountryCode]],[1]!Table1[#Data],4,FALSE)</f>
        <v>#REF!</v>
      </c>
    </row>
    <row r="3807" spans="1:12" hidden="1" x14ac:dyDescent="0.3">
      <c r="A3807" t="s">
        <v>91</v>
      </c>
      <c r="B3807" t="s">
        <v>92</v>
      </c>
      <c r="C3807" t="s">
        <v>125</v>
      </c>
      <c r="D3807" t="s">
        <v>126</v>
      </c>
      <c r="E3807">
        <v>1978</v>
      </c>
      <c r="F3807" s="1">
        <v>11</v>
      </c>
      <c r="G3807">
        <v>1980</v>
      </c>
      <c r="H3807">
        <f>AVERAGEIFS(Table1[value],Table1[IndicatorCode],Table1[[#This Row],[IndicatorCode]])</f>
        <v>7.6894248608534319</v>
      </c>
      <c r="I3807" cm="1">
        <f t="array" ref="I3807">_xlfn.STDEV.P(IF(Table1[IndicatorCode]=Table1[[#This Row],[IndicatorCode]],Table1[value]))</f>
        <v>5.2319501044600996</v>
      </c>
      <c r="J3807">
        <f>(Table1[[#This Row],[value]] - Table1[[#This Row],[mean]]) / Table1[[#This Row],[std_dev]]</f>
        <v>0.63276122154230596</v>
      </c>
      <c r="K3807">
        <f>AVERAGEIF(Table1[CountryCode],Table1[[#This Row],[CountryCode]],Table1[z-score])</f>
        <v>0.48073633366786628</v>
      </c>
      <c r="L3807" t="e">
        <f>VLOOKUP(Table1[[#This Row],[CountryCode]],[1]!Table1[#Data],4,FALSE)</f>
        <v>#REF!</v>
      </c>
    </row>
    <row r="3808" spans="1:12" hidden="1" x14ac:dyDescent="0.3">
      <c r="A3808" t="s">
        <v>91</v>
      </c>
      <c r="B3808" t="s">
        <v>92</v>
      </c>
      <c r="C3808" t="s">
        <v>125</v>
      </c>
      <c r="D3808" t="s">
        <v>126</v>
      </c>
      <c r="E3808">
        <v>1979</v>
      </c>
      <c r="F3808" s="1">
        <v>12</v>
      </c>
      <c r="G3808">
        <v>1980</v>
      </c>
      <c r="H3808">
        <f>AVERAGEIFS(Table1[value],Table1[IndicatorCode],Table1[[#This Row],[IndicatorCode]])</f>
        <v>7.6894248608534319</v>
      </c>
      <c r="I3808" cm="1">
        <f t="array" ref="I3808">_xlfn.STDEV.P(IF(Table1[IndicatorCode]=Table1[[#This Row],[IndicatorCode]],Table1[value]))</f>
        <v>5.2319501044600996</v>
      </c>
      <c r="J3808">
        <f>(Table1[[#This Row],[value]] - Table1[[#This Row],[mean]]) / Table1[[#This Row],[std_dev]]</f>
        <v>0.82389454277706442</v>
      </c>
      <c r="K3808">
        <f>AVERAGEIF(Table1[CountryCode],Table1[[#This Row],[CountryCode]],Table1[z-score])</f>
        <v>0.48073633366786628</v>
      </c>
      <c r="L3808" t="e">
        <f>VLOOKUP(Table1[[#This Row],[CountryCode]],[1]!Table1[#Data],4,FALSE)</f>
        <v>#REF!</v>
      </c>
    </row>
    <row r="3809" spans="1:12" hidden="1" x14ac:dyDescent="0.3">
      <c r="A3809" t="s">
        <v>91</v>
      </c>
      <c r="B3809" t="s">
        <v>92</v>
      </c>
      <c r="C3809" t="s">
        <v>125</v>
      </c>
      <c r="D3809" t="s">
        <v>126</v>
      </c>
      <c r="E3809">
        <v>1980</v>
      </c>
      <c r="F3809" s="1">
        <v>11</v>
      </c>
      <c r="G3809">
        <v>1980</v>
      </c>
      <c r="H3809">
        <f>AVERAGEIFS(Table1[value],Table1[IndicatorCode],Table1[[#This Row],[IndicatorCode]])</f>
        <v>7.6894248608534319</v>
      </c>
      <c r="I3809" cm="1">
        <f t="array" ref="I3809">_xlfn.STDEV.P(IF(Table1[IndicatorCode]=Table1[[#This Row],[IndicatorCode]],Table1[value]))</f>
        <v>5.2319501044600996</v>
      </c>
      <c r="J3809">
        <f>(Table1[[#This Row],[value]] - Table1[[#This Row],[mean]]) / Table1[[#This Row],[std_dev]]</f>
        <v>0.63276122154230596</v>
      </c>
      <c r="K3809">
        <f>AVERAGEIF(Table1[CountryCode],Table1[[#This Row],[CountryCode]],Table1[z-score])</f>
        <v>0.48073633366786628</v>
      </c>
      <c r="L3809" t="e">
        <f>VLOOKUP(Table1[[#This Row],[CountryCode]],[1]!Table1[#Data],4,FALSE)</f>
        <v>#REF!</v>
      </c>
    </row>
    <row r="3810" spans="1:12" hidden="1" x14ac:dyDescent="0.3">
      <c r="A3810" t="s">
        <v>91</v>
      </c>
      <c r="B3810" t="s">
        <v>92</v>
      </c>
      <c r="C3810" t="s">
        <v>125</v>
      </c>
      <c r="D3810" t="s">
        <v>126</v>
      </c>
      <c r="E3810">
        <v>1981</v>
      </c>
      <c r="F3810" s="1">
        <v>11</v>
      </c>
      <c r="G3810">
        <v>1980</v>
      </c>
      <c r="H3810">
        <f>AVERAGEIFS(Table1[value],Table1[IndicatorCode],Table1[[#This Row],[IndicatorCode]])</f>
        <v>7.6894248608534319</v>
      </c>
      <c r="I3810" cm="1">
        <f t="array" ref="I3810">_xlfn.STDEV.P(IF(Table1[IndicatorCode]=Table1[[#This Row],[IndicatorCode]],Table1[value]))</f>
        <v>5.2319501044600996</v>
      </c>
      <c r="J3810">
        <f>(Table1[[#This Row],[value]] - Table1[[#This Row],[mean]]) / Table1[[#This Row],[std_dev]]</f>
        <v>0.63276122154230596</v>
      </c>
      <c r="K3810">
        <f>AVERAGEIF(Table1[CountryCode],Table1[[#This Row],[CountryCode]],Table1[z-score])</f>
        <v>0.48073633366786628</v>
      </c>
      <c r="L3810" t="e">
        <f>VLOOKUP(Table1[[#This Row],[CountryCode]],[1]!Table1[#Data],4,FALSE)</f>
        <v>#REF!</v>
      </c>
    </row>
    <row r="3811" spans="1:12" hidden="1" x14ac:dyDescent="0.3">
      <c r="A3811" t="s">
        <v>91</v>
      </c>
      <c r="B3811" t="s">
        <v>92</v>
      </c>
      <c r="C3811" t="s">
        <v>125</v>
      </c>
      <c r="D3811" t="s">
        <v>126</v>
      </c>
      <c r="E3811">
        <v>1982</v>
      </c>
      <c r="F3811" s="1">
        <v>10</v>
      </c>
      <c r="G3811">
        <v>1980</v>
      </c>
      <c r="H3811">
        <f>AVERAGEIFS(Table1[value],Table1[IndicatorCode],Table1[[#This Row],[IndicatorCode]])</f>
        <v>7.6894248608534319</v>
      </c>
      <c r="I3811" cm="1">
        <f t="array" ref="I3811">_xlfn.STDEV.P(IF(Table1[IndicatorCode]=Table1[[#This Row],[IndicatorCode]],Table1[value]))</f>
        <v>5.2319501044600996</v>
      </c>
      <c r="J3811">
        <f>(Table1[[#This Row],[value]] - Table1[[#This Row],[mean]]) / Table1[[#This Row],[std_dev]]</f>
        <v>0.44162790030754762</v>
      </c>
      <c r="K3811">
        <f>AVERAGEIF(Table1[CountryCode],Table1[[#This Row],[CountryCode]],Table1[z-score])</f>
        <v>0.48073633366786628</v>
      </c>
      <c r="L3811" t="e">
        <f>VLOOKUP(Table1[[#This Row],[CountryCode]],[1]!Table1[#Data],4,FALSE)</f>
        <v>#REF!</v>
      </c>
    </row>
    <row r="3812" spans="1:12" hidden="1" x14ac:dyDescent="0.3">
      <c r="A3812" t="s">
        <v>91</v>
      </c>
      <c r="B3812" t="s">
        <v>92</v>
      </c>
      <c r="C3812" t="s">
        <v>125</v>
      </c>
      <c r="D3812" t="s">
        <v>126</v>
      </c>
      <c r="E3812">
        <v>1983</v>
      </c>
      <c r="F3812" s="1">
        <v>10</v>
      </c>
      <c r="G3812">
        <v>1980</v>
      </c>
      <c r="H3812">
        <f>AVERAGEIFS(Table1[value],Table1[IndicatorCode],Table1[[#This Row],[IndicatorCode]])</f>
        <v>7.6894248608534319</v>
      </c>
      <c r="I3812" cm="1">
        <f t="array" ref="I3812">_xlfn.STDEV.P(IF(Table1[IndicatorCode]=Table1[[#This Row],[IndicatorCode]],Table1[value]))</f>
        <v>5.2319501044600996</v>
      </c>
      <c r="J3812">
        <f>(Table1[[#This Row],[value]] - Table1[[#This Row],[mean]]) / Table1[[#This Row],[std_dev]]</f>
        <v>0.44162790030754762</v>
      </c>
      <c r="K3812">
        <f>AVERAGEIF(Table1[CountryCode],Table1[[#This Row],[CountryCode]],Table1[z-score])</f>
        <v>0.48073633366786628</v>
      </c>
      <c r="L3812" t="e">
        <f>VLOOKUP(Table1[[#This Row],[CountryCode]],[1]!Table1[#Data],4,FALSE)</f>
        <v>#REF!</v>
      </c>
    </row>
    <row r="3813" spans="1:12" hidden="1" x14ac:dyDescent="0.3">
      <c r="A3813" t="s">
        <v>91</v>
      </c>
      <c r="B3813" t="s">
        <v>92</v>
      </c>
      <c r="C3813" t="s">
        <v>125</v>
      </c>
      <c r="D3813" t="s">
        <v>126</v>
      </c>
      <c r="E3813">
        <v>1984</v>
      </c>
      <c r="F3813" s="1">
        <v>10</v>
      </c>
      <c r="G3813">
        <v>1980</v>
      </c>
      <c r="H3813">
        <f>AVERAGEIFS(Table1[value],Table1[IndicatorCode],Table1[[#This Row],[IndicatorCode]])</f>
        <v>7.6894248608534319</v>
      </c>
      <c r="I3813" cm="1">
        <f t="array" ref="I3813">_xlfn.STDEV.P(IF(Table1[IndicatorCode]=Table1[[#This Row],[IndicatorCode]],Table1[value]))</f>
        <v>5.2319501044600996</v>
      </c>
      <c r="J3813">
        <f>(Table1[[#This Row],[value]] - Table1[[#This Row],[mean]]) / Table1[[#This Row],[std_dev]]</f>
        <v>0.44162790030754762</v>
      </c>
      <c r="K3813">
        <f>AVERAGEIF(Table1[CountryCode],Table1[[#This Row],[CountryCode]],Table1[z-score])</f>
        <v>0.48073633366786628</v>
      </c>
      <c r="L3813" t="e">
        <f>VLOOKUP(Table1[[#This Row],[CountryCode]],[1]!Table1[#Data],4,FALSE)</f>
        <v>#REF!</v>
      </c>
    </row>
    <row r="3814" spans="1:12" hidden="1" x14ac:dyDescent="0.3">
      <c r="A3814" t="s">
        <v>91</v>
      </c>
      <c r="B3814" t="s">
        <v>92</v>
      </c>
      <c r="C3814" t="s">
        <v>125</v>
      </c>
      <c r="D3814" t="s">
        <v>126</v>
      </c>
      <c r="E3814">
        <v>1985</v>
      </c>
      <c r="F3814" s="1">
        <v>10</v>
      </c>
      <c r="G3814">
        <v>1980</v>
      </c>
      <c r="H3814">
        <f>AVERAGEIFS(Table1[value],Table1[IndicatorCode],Table1[[#This Row],[IndicatorCode]])</f>
        <v>7.6894248608534319</v>
      </c>
      <c r="I3814" cm="1">
        <f t="array" ref="I3814">_xlfn.STDEV.P(IF(Table1[IndicatorCode]=Table1[[#This Row],[IndicatorCode]],Table1[value]))</f>
        <v>5.2319501044600996</v>
      </c>
      <c r="J3814">
        <f>(Table1[[#This Row],[value]] - Table1[[#This Row],[mean]]) / Table1[[#This Row],[std_dev]]</f>
        <v>0.44162790030754762</v>
      </c>
      <c r="K3814">
        <f>AVERAGEIF(Table1[CountryCode],Table1[[#This Row],[CountryCode]],Table1[z-score])</f>
        <v>0.48073633366786628</v>
      </c>
      <c r="L3814" t="e">
        <f>VLOOKUP(Table1[[#This Row],[CountryCode]],[1]!Table1[#Data],4,FALSE)</f>
        <v>#REF!</v>
      </c>
    </row>
    <row r="3815" spans="1:12" hidden="1" x14ac:dyDescent="0.3">
      <c r="A3815" t="s">
        <v>91</v>
      </c>
      <c r="B3815" t="s">
        <v>92</v>
      </c>
      <c r="C3815" t="s">
        <v>125</v>
      </c>
      <c r="D3815" t="s">
        <v>126</v>
      </c>
      <c r="E3815">
        <v>1986</v>
      </c>
      <c r="F3815" s="1">
        <v>10</v>
      </c>
      <c r="G3815">
        <v>1980</v>
      </c>
      <c r="H3815">
        <f>AVERAGEIFS(Table1[value],Table1[IndicatorCode],Table1[[#This Row],[IndicatorCode]])</f>
        <v>7.6894248608534319</v>
      </c>
      <c r="I3815" cm="1">
        <f t="array" ref="I3815">_xlfn.STDEV.P(IF(Table1[IndicatorCode]=Table1[[#This Row],[IndicatorCode]],Table1[value]))</f>
        <v>5.2319501044600996</v>
      </c>
      <c r="J3815">
        <f>(Table1[[#This Row],[value]] - Table1[[#This Row],[mean]]) / Table1[[#This Row],[std_dev]]</f>
        <v>0.44162790030754762</v>
      </c>
      <c r="K3815">
        <f>AVERAGEIF(Table1[CountryCode],Table1[[#This Row],[CountryCode]],Table1[z-score])</f>
        <v>0.48073633366786628</v>
      </c>
      <c r="L3815" t="e">
        <f>VLOOKUP(Table1[[#This Row],[CountryCode]],[1]!Table1[#Data],4,FALSE)</f>
        <v>#REF!</v>
      </c>
    </row>
    <row r="3816" spans="1:12" hidden="1" x14ac:dyDescent="0.3">
      <c r="A3816" t="s">
        <v>91</v>
      </c>
      <c r="B3816" t="s">
        <v>92</v>
      </c>
      <c r="C3816" t="s">
        <v>125</v>
      </c>
      <c r="D3816" t="s">
        <v>126</v>
      </c>
      <c r="E3816">
        <v>1987</v>
      </c>
      <c r="F3816" s="1">
        <v>11</v>
      </c>
      <c r="G3816">
        <v>1990</v>
      </c>
      <c r="H3816">
        <f>AVERAGEIFS(Table1[value],Table1[IndicatorCode],Table1[[#This Row],[IndicatorCode]])</f>
        <v>7.6894248608534319</v>
      </c>
      <c r="I3816" cm="1">
        <f t="array" ref="I3816">_xlfn.STDEV.P(IF(Table1[IndicatorCode]=Table1[[#This Row],[IndicatorCode]],Table1[value]))</f>
        <v>5.2319501044600996</v>
      </c>
      <c r="J3816">
        <f>(Table1[[#This Row],[value]] - Table1[[#This Row],[mean]]) / Table1[[#This Row],[std_dev]]</f>
        <v>0.63276122154230596</v>
      </c>
      <c r="K3816">
        <f>AVERAGEIF(Table1[CountryCode],Table1[[#This Row],[CountryCode]],Table1[z-score])</f>
        <v>0.48073633366786628</v>
      </c>
      <c r="L3816" t="e">
        <f>VLOOKUP(Table1[[#This Row],[CountryCode]],[1]!Table1[#Data],4,FALSE)</f>
        <v>#REF!</v>
      </c>
    </row>
    <row r="3817" spans="1:12" hidden="1" x14ac:dyDescent="0.3">
      <c r="A3817" t="s">
        <v>91</v>
      </c>
      <c r="B3817" t="s">
        <v>92</v>
      </c>
      <c r="C3817" t="s">
        <v>125</v>
      </c>
      <c r="D3817" t="s">
        <v>126</v>
      </c>
      <c r="E3817">
        <v>1988</v>
      </c>
      <c r="F3817" s="1">
        <v>11</v>
      </c>
      <c r="G3817">
        <v>1990</v>
      </c>
      <c r="H3817">
        <f>AVERAGEIFS(Table1[value],Table1[IndicatorCode],Table1[[#This Row],[IndicatorCode]])</f>
        <v>7.6894248608534319</v>
      </c>
      <c r="I3817" cm="1">
        <f t="array" ref="I3817">_xlfn.STDEV.P(IF(Table1[IndicatorCode]=Table1[[#This Row],[IndicatorCode]],Table1[value]))</f>
        <v>5.2319501044600996</v>
      </c>
      <c r="J3817">
        <f>(Table1[[#This Row],[value]] - Table1[[#This Row],[mean]]) / Table1[[#This Row],[std_dev]]</f>
        <v>0.63276122154230596</v>
      </c>
      <c r="K3817">
        <f>AVERAGEIF(Table1[CountryCode],Table1[[#This Row],[CountryCode]],Table1[z-score])</f>
        <v>0.48073633366786628</v>
      </c>
      <c r="L3817" t="e">
        <f>VLOOKUP(Table1[[#This Row],[CountryCode]],[1]!Table1[#Data],4,FALSE)</f>
        <v>#REF!</v>
      </c>
    </row>
    <row r="3818" spans="1:12" hidden="1" x14ac:dyDescent="0.3">
      <c r="A3818" t="s">
        <v>91</v>
      </c>
      <c r="B3818" t="s">
        <v>92</v>
      </c>
      <c r="C3818" t="s">
        <v>125</v>
      </c>
      <c r="D3818" t="s">
        <v>126</v>
      </c>
      <c r="E3818">
        <v>1989</v>
      </c>
      <c r="F3818" s="1">
        <v>11</v>
      </c>
      <c r="G3818">
        <v>1990</v>
      </c>
      <c r="H3818">
        <f>AVERAGEIFS(Table1[value],Table1[IndicatorCode],Table1[[#This Row],[IndicatorCode]])</f>
        <v>7.6894248608534319</v>
      </c>
      <c r="I3818" cm="1">
        <f t="array" ref="I3818">_xlfn.STDEV.P(IF(Table1[IndicatorCode]=Table1[[#This Row],[IndicatorCode]],Table1[value]))</f>
        <v>5.2319501044600996</v>
      </c>
      <c r="J3818">
        <f>(Table1[[#This Row],[value]] - Table1[[#This Row],[mean]]) / Table1[[#This Row],[std_dev]]</f>
        <v>0.63276122154230596</v>
      </c>
      <c r="K3818">
        <f>AVERAGEIF(Table1[CountryCode],Table1[[#This Row],[CountryCode]],Table1[z-score])</f>
        <v>0.48073633366786628</v>
      </c>
      <c r="L3818" t="e">
        <f>VLOOKUP(Table1[[#This Row],[CountryCode]],[1]!Table1[#Data],4,FALSE)</f>
        <v>#REF!</v>
      </c>
    </row>
    <row r="3819" spans="1:12" hidden="1" x14ac:dyDescent="0.3">
      <c r="A3819" t="s">
        <v>91</v>
      </c>
      <c r="B3819" t="s">
        <v>92</v>
      </c>
      <c r="C3819" t="s">
        <v>125</v>
      </c>
      <c r="D3819" t="s">
        <v>126</v>
      </c>
      <c r="E3819">
        <v>1990</v>
      </c>
      <c r="F3819" s="1">
        <v>11</v>
      </c>
      <c r="G3819">
        <v>1990</v>
      </c>
      <c r="H3819">
        <f>AVERAGEIFS(Table1[value],Table1[IndicatorCode],Table1[[#This Row],[IndicatorCode]])</f>
        <v>7.6894248608534319</v>
      </c>
      <c r="I3819" cm="1">
        <f t="array" ref="I3819">_xlfn.STDEV.P(IF(Table1[IndicatorCode]=Table1[[#This Row],[IndicatorCode]],Table1[value]))</f>
        <v>5.2319501044600996</v>
      </c>
      <c r="J3819">
        <f>(Table1[[#This Row],[value]] - Table1[[#This Row],[mean]]) / Table1[[#This Row],[std_dev]]</f>
        <v>0.63276122154230596</v>
      </c>
      <c r="K3819">
        <f>AVERAGEIF(Table1[CountryCode],Table1[[#This Row],[CountryCode]],Table1[z-score])</f>
        <v>0.48073633366786628</v>
      </c>
      <c r="L3819" t="e">
        <f>VLOOKUP(Table1[[#This Row],[CountryCode]],[1]!Table1[#Data],4,FALSE)</f>
        <v>#REF!</v>
      </c>
    </row>
    <row r="3820" spans="1:12" hidden="1" x14ac:dyDescent="0.3">
      <c r="A3820" t="s">
        <v>91</v>
      </c>
      <c r="B3820" t="s">
        <v>92</v>
      </c>
      <c r="C3820" t="s">
        <v>125</v>
      </c>
      <c r="D3820" t="s">
        <v>126</v>
      </c>
      <c r="E3820">
        <v>1991</v>
      </c>
      <c r="F3820" s="1">
        <v>11</v>
      </c>
      <c r="G3820">
        <v>1990</v>
      </c>
      <c r="H3820">
        <f>AVERAGEIFS(Table1[value],Table1[IndicatorCode],Table1[[#This Row],[IndicatorCode]])</f>
        <v>7.6894248608534319</v>
      </c>
      <c r="I3820" cm="1">
        <f t="array" ref="I3820">_xlfn.STDEV.P(IF(Table1[IndicatorCode]=Table1[[#This Row],[IndicatorCode]],Table1[value]))</f>
        <v>5.2319501044600996</v>
      </c>
      <c r="J3820">
        <f>(Table1[[#This Row],[value]] - Table1[[#This Row],[mean]]) / Table1[[#This Row],[std_dev]]</f>
        <v>0.63276122154230596</v>
      </c>
      <c r="K3820">
        <f>AVERAGEIF(Table1[CountryCode],Table1[[#This Row],[CountryCode]],Table1[z-score])</f>
        <v>0.48073633366786628</v>
      </c>
      <c r="L3820" t="e">
        <f>VLOOKUP(Table1[[#This Row],[CountryCode]],[1]!Table1[#Data],4,FALSE)</f>
        <v>#REF!</v>
      </c>
    </row>
    <row r="3821" spans="1:12" hidden="1" x14ac:dyDescent="0.3">
      <c r="A3821" t="s">
        <v>91</v>
      </c>
      <c r="B3821" t="s">
        <v>92</v>
      </c>
      <c r="C3821" t="s">
        <v>125</v>
      </c>
      <c r="D3821" t="s">
        <v>126</v>
      </c>
      <c r="E3821">
        <v>1992</v>
      </c>
      <c r="F3821" s="1">
        <v>11</v>
      </c>
      <c r="G3821">
        <v>1990</v>
      </c>
      <c r="H3821">
        <f>AVERAGEIFS(Table1[value],Table1[IndicatorCode],Table1[[#This Row],[IndicatorCode]])</f>
        <v>7.6894248608534319</v>
      </c>
      <c r="I3821" cm="1">
        <f t="array" ref="I3821">_xlfn.STDEV.P(IF(Table1[IndicatorCode]=Table1[[#This Row],[IndicatorCode]],Table1[value]))</f>
        <v>5.2319501044600996</v>
      </c>
      <c r="J3821">
        <f>(Table1[[#This Row],[value]] - Table1[[#This Row],[mean]]) / Table1[[#This Row],[std_dev]]</f>
        <v>0.63276122154230596</v>
      </c>
      <c r="K3821">
        <f>AVERAGEIF(Table1[CountryCode],Table1[[#This Row],[CountryCode]],Table1[z-score])</f>
        <v>0.48073633366786628</v>
      </c>
      <c r="L3821" t="e">
        <f>VLOOKUP(Table1[[#This Row],[CountryCode]],[1]!Table1[#Data],4,FALSE)</f>
        <v>#REF!</v>
      </c>
    </row>
    <row r="3822" spans="1:12" hidden="1" x14ac:dyDescent="0.3">
      <c r="A3822" t="s">
        <v>91</v>
      </c>
      <c r="B3822" t="s">
        <v>92</v>
      </c>
      <c r="C3822" t="s">
        <v>125</v>
      </c>
      <c r="D3822" t="s">
        <v>126</v>
      </c>
      <c r="E3822">
        <v>1993</v>
      </c>
      <c r="F3822" s="1">
        <v>11</v>
      </c>
      <c r="G3822">
        <v>1990</v>
      </c>
      <c r="H3822">
        <f>AVERAGEIFS(Table1[value],Table1[IndicatorCode],Table1[[#This Row],[IndicatorCode]])</f>
        <v>7.6894248608534319</v>
      </c>
      <c r="I3822" cm="1">
        <f t="array" ref="I3822">_xlfn.STDEV.P(IF(Table1[IndicatorCode]=Table1[[#This Row],[IndicatorCode]],Table1[value]))</f>
        <v>5.2319501044600996</v>
      </c>
      <c r="J3822">
        <f>(Table1[[#This Row],[value]] - Table1[[#This Row],[mean]]) / Table1[[#This Row],[std_dev]]</f>
        <v>0.63276122154230596</v>
      </c>
      <c r="K3822">
        <f>AVERAGEIF(Table1[CountryCode],Table1[[#This Row],[CountryCode]],Table1[z-score])</f>
        <v>0.48073633366786628</v>
      </c>
      <c r="L3822" t="e">
        <f>VLOOKUP(Table1[[#This Row],[CountryCode]],[1]!Table1[#Data],4,FALSE)</f>
        <v>#REF!</v>
      </c>
    </row>
    <row r="3823" spans="1:12" hidden="1" x14ac:dyDescent="0.3">
      <c r="A3823" t="s">
        <v>91</v>
      </c>
      <c r="B3823" t="s">
        <v>92</v>
      </c>
      <c r="C3823" t="s">
        <v>125</v>
      </c>
      <c r="D3823" t="s">
        <v>126</v>
      </c>
      <c r="E3823">
        <v>1994</v>
      </c>
      <c r="F3823" s="1">
        <v>11</v>
      </c>
      <c r="G3823">
        <v>1990</v>
      </c>
      <c r="H3823">
        <f>AVERAGEIFS(Table1[value],Table1[IndicatorCode],Table1[[#This Row],[IndicatorCode]])</f>
        <v>7.6894248608534319</v>
      </c>
      <c r="I3823" cm="1">
        <f t="array" ref="I3823">_xlfn.STDEV.P(IF(Table1[IndicatorCode]=Table1[[#This Row],[IndicatorCode]],Table1[value]))</f>
        <v>5.2319501044600996</v>
      </c>
      <c r="J3823">
        <f>(Table1[[#This Row],[value]] - Table1[[#This Row],[mean]]) / Table1[[#This Row],[std_dev]]</f>
        <v>0.63276122154230596</v>
      </c>
      <c r="K3823">
        <f>AVERAGEIF(Table1[CountryCode],Table1[[#This Row],[CountryCode]],Table1[z-score])</f>
        <v>0.48073633366786628</v>
      </c>
      <c r="L3823" t="e">
        <f>VLOOKUP(Table1[[#This Row],[CountryCode]],[1]!Table1[#Data],4,FALSE)</f>
        <v>#REF!</v>
      </c>
    </row>
    <row r="3824" spans="1:12" hidden="1" x14ac:dyDescent="0.3">
      <c r="A3824" t="s">
        <v>91</v>
      </c>
      <c r="B3824" t="s">
        <v>92</v>
      </c>
      <c r="C3824" t="s">
        <v>125</v>
      </c>
      <c r="D3824" t="s">
        <v>126</v>
      </c>
      <c r="E3824">
        <v>1995</v>
      </c>
      <c r="F3824" s="1">
        <v>11</v>
      </c>
      <c r="G3824">
        <v>1990</v>
      </c>
      <c r="H3824">
        <f>AVERAGEIFS(Table1[value],Table1[IndicatorCode],Table1[[#This Row],[IndicatorCode]])</f>
        <v>7.6894248608534319</v>
      </c>
      <c r="I3824" cm="1">
        <f t="array" ref="I3824">_xlfn.STDEV.P(IF(Table1[IndicatorCode]=Table1[[#This Row],[IndicatorCode]],Table1[value]))</f>
        <v>5.2319501044600996</v>
      </c>
      <c r="J3824">
        <f>(Table1[[#This Row],[value]] - Table1[[#This Row],[mean]]) / Table1[[#This Row],[std_dev]]</f>
        <v>0.63276122154230596</v>
      </c>
      <c r="K3824">
        <f>AVERAGEIF(Table1[CountryCode],Table1[[#This Row],[CountryCode]],Table1[z-score])</f>
        <v>0.48073633366786628</v>
      </c>
      <c r="L3824" t="e">
        <f>VLOOKUP(Table1[[#This Row],[CountryCode]],[1]!Table1[#Data],4,FALSE)</f>
        <v>#REF!</v>
      </c>
    </row>
    <row r="3825" spans="1:12" hidden="1" x14ac:dyDescent="0.3">
      <c r="A3825" t="s">
        <v>91</v>
      </c>
      <c r="B3825" t="s">
        <v>92</v>
      </c>
      <c r="C3825" t="s">
        <v>125</v>
      </c>
      <c r="D3825" t="s">
        <v>126</v>
      </c>
      <c r="E3825">
        <v>1996</v>
      </c>
      <c r="F3825" s="1">
        <v>12</v>
      </c>
      <c r="G3825">
        <v>1990</v>
      </c>
      <c r="H3825">
        <f>AVERAGEIFS(Table1[value],Table1[IndicatorCode],Table1[[#This Row],[IndicatorCode]])</f>
        <v>7.6894248608534319</v>
      </c>
      <c r="I3825" cm="1">
        <f t="array" ref="I3825">_xlfn.STDEV.P(IF(Table1[IndicatorCode]=Table1[[#This Row],[IndicatorCode]],Table1[value]))</f>
        <v>5.2319501044600996</v>
      </c>
      <c r="J3825">
        <f>(Table1[[#This Row],[value]] - Table1[[#This Row],[mean]]) / Table1[[#This Row],[std_dev]]</f>
        <v>0.82389454277706442</v>
      </c>
      <c r="K3825">
        <f>AVERAGEIF(Table1[CountryCode],Table1[[#This Row],[CountryCode]],Table1[z-score])</f>
        <v>0.48073633366786628</v>
      </c>
      <c r="L3825" t="e">
        <f>VLOOKUP(Table1[[#This Row],[CountryCode]],[1]!Table1[#Data],4,FALSE)</f>
        <v>#REF!</v>
      </c>
    </row>
    <row r="3826" spans="1:12" hidden="1" x14ac:dyDescent="0.3">
      <c r="A3826" t="s">
        <v>91</v>
      </c>
      <c r="B3826" t="s">
        <v>92</v>
      </c>
      <c r="C3826" t="s">
        <v>125</v>
      </c>
      <c r="D3826" t="s">
        <v>126</v>
      </c>
      <c r="E3826">
        <v>1997</v>
      </c>
      <c r="F3826" s="1">
        <v>12</v>
      </c>
      <c r="G3826">
        <v>2000</v>
      </c>
      <c r="H3826">
        <f>AVERAGEIFS(Table1[value],Table1[IndicatorCode],Table1[[#This Row],[IndicatorCode]])</f>
        <v>7.6894248608534319</v>
      </c>
      <c r="I3826" cm="1">
        <f t="array" ref="I3826">_xlfn.STDEV.P(IF(Table1[IndicatorCode]=Table1[[#This Row],[IndicatorCode]],Table1[value]))</f>
        <v>5.2319501044600996</v>
      </c>
      <c r="J3826">
        <f>(Table1[[#This Row],[value]] - Table1[[#This Row],[mean]]) / Table1[[#This Row],[std_dev]]</f>
        <v>0.82389454277706442</v>
      </c>
      <c r="K3826">
        <f>AVERAGEIF(Table1[CountryCode],Table1[[#This Row],[CountryCode]],Table1[z-score])</f>
        <v>0.48073633366786628</v>
      </c>
      <c r="L3826" t="e">
        <f>VLOOKUP(Table1[[#This Row],[CountryCode]],[1]!Table1[#Data],4,FALSE)</f>
        <v>#REF!</v>
      </c>
    </row>
    <row r="3827" spans="1:12" hidden="1" x14ac:dyDescent="0.3">
      <c r="A3827" t="s">
        <v>91</v>
      </c>
      <c r="B3827" t="s">
        <v>92</v>
      </c>
      <c r="C3827" t="s">
        <v>125</v>
      </c>
      <c r="D3827" t="s">
        <v>126</v>
      </c>
      <c r="E3827">
        <v>1998</v>
      </c>
      <c r="F3827" s="1">
        <v>12</v>
      </c>
      <c r="G3827">
        <v>2000</v>
      </c>
      <c r="H3827">
        <f>AVERAGEIFS(Table1[value],Table1[IndicatorCode],Table1[[#This Row],[IndicatorCode]])</f>
        <v>7.6894248608534319</v>
      </c>
      <c r="I3827" cm="1">
        <f t="array" ref="I3827">_xlfn.STDEV.P(IF(Table1[IndicatorCode]=Table1[[#This Row],[IndicatorCode]],Table1[value]))</f>
        <v>5.2319501044600996</v>
      </c>
      <c r="J3827">
        <f>(Table1[[#This Row],[value]] - Table1[[#This Row],[mean]]) / Table1[[#This Row],[std_dev]]</f>
        <v>0.82389454277706442</v>
      </c>
      <c r="K3827">
        <f>AVERAGEIF(Table1[CountryCode],Table1[[#This Row],[CountryCode]],Table1[z-score])</f>
        <v>0.48073633366786628</v>
      </c>
      <c r="L3827" t="e">
        <f>VLOOKUP(Table1[[#This Row],[CountryCode]],[1]!Table1[#Data],4,FALSE)</f>
        <v>#REF!</v>
      </c>
    </row>
    <row r="3828" spans="1:12" hidden="1" x14ac:dyDescent="0.3">
      <c r="A3828" t="s">
        <v>91</v>
      </c>
      <c r="B3828" t="s">
        <v>92</v>
      </c>
      <c r="C3828" t="s">
        <v>125</v>
      </c>
      <c r="D3828" t="s">
        <v>126</v>
      </c>
      <c r="E3828">
        <v>1999</v>
      </c>
      <c r="F3828" s="1">
        <v>11</v>
      </c>
      <c r="G3828">
        <v>2000</v>
      </c>
      <c r="H3828">
        <f>AVERAGEIFS(Table1[value],Table1[IndicatorCode],Table1[[#This Row],[IndicatorCode]])</f>
        <v>7.6894248608534319</v>
      </c>
      <c r="I3828" cm="1">
        <f t="array" ref="I3828">_xlfn.STDEV.P(IF(Table1[IndicatorCode]=Table1[[#This Row],[IndicatorCode]],Table1[value]))</f>
        <v>5.2319501044600996</v>
      </c>
      <c r="J3828">
        <f>(Table1[[#This Row],[value]] - Table1[[#This Row],[mean]]) / Table1[[#This Row],[std_dev]]</f>
        <v>0.63276122154230596</v>
      </c>
      <c r="K3828">
        <f>AVERAGEIF(Table1[CountryCode],Table1[[#This Row],[CountryCode]],Table1[z-score])</f>
        <v>0.48073633366786628</v>
      </c>
      <c r="L3828" t="e">
        <f>VLOOKUP(Table1[[#This Row],[CountryCode]],[1]!Table1[#Data],4,FALSE)</f>
        <v>#REF!</v>
      </c>
    </row>
    <row r="3829" spans="1:12" hidden="1" x14ac:dyDescent="0.3">
      <c r="A3829" t="s">
        <v>91</v>
      </c>
      <c r="B3829" t="s">
        <v>92</v>
      </c>
      <c r="C3829" t="s">
        <v>125</v>
      </c>
      <c r="D3829" t="s">
        <v>126</v>
      </c>
      <c r="E3829">
        <v>2000</v>
      </c>
      <c r="F3829" s="1">
        <v>11</v>
      </c>
      <c r="G3829">
        <v>2000</v>
      </c>
      <c r="H3829">
        <f>AVERAGEIFS(Table1[value],Table1[IndicatorCode],Table1[[#This Row],[IndicatorCode]])</f>
        <v>7.6894248608534319</v>
      </c>
      <c r="I3829" cm="1">
        <f t="array" ref="I3829">_xlfn.STDEV.P(IF(Table1[IndicatorCode]=Table1[[#This Row],[IndicatorCode]],Table1[value]))</f>
        <v>5.2319501044600996</v>
      </c>
      <c r="J3829">
        <f>(Table1[[#This Row],[value]] - Table1[[#This Row],[mean]]) / Table1[[#This Row],[std_dev]]</f>
        <v>0.63276122154230596</v>
      </c>
      <c r="K3829">
        <f>AVERAGEIF(Table1[CountryCode],Table1[[#This Row],[CountryCode]],Table1[z-score])</f>
        <v>0.48073633366786628</v>
      </c>
      <c r="L3829" t="e">
        <f>VLOOKUP(Table1[[#This Row],[CountryCode]],[1]!Table1[#Data],4,FALSE)</f>
        <v>#REF!</v>
      </c>
    </row>
    <row r="3830" spans="1:12" hidden="1" x14ac:dyDescent="0.3">
      <c r="A3830" t="s">
        <v>91</v>
      </c>
      <c r="B3830" t="s">
        <v>92</v>
      </c>
      <c r="C3830" t="s">
        <v>125</v>
      </c>
      <c r="D3830" t="s">
        <v>126</v>
      </c>
      <c r="E3830">
        <v>2001</v>
      </c>
      <c r="F3830" s="1">
        <v>11</v>
      </c>
      <c r="G3830">
        <v>2000</v>
      </c>
      <c r="H3830">
        <f>AVERAGEIFS(Table1[value],Table1[IndicatorCode],Table1[[#This Row],[IndicatorCode]])</f>
        <v>7.6894248608534319</v>
      </c>
      <c r="I3830" cm="1">
        <f t="array" ref="I3830">_xlfn.STDEV.P(IF(Table1[IndicatorCode]=Table1[[#This Row],[IndicatorCode]],Table1[value]))</f>
        <v>5.2319501044600996</v>
      </c>
      <c r="J3830">
        <f>(Table1[[#This Row],[value]] - Table1[[#This Row],[mean]]) / Table1[[#This Row],[std_dev]]</f>
        <v>0.63276122154230596</v>
      </c>
      <c r="K3830">
        <f>AVERAGEIF(Table1[CountryCode],Table1[[#This Row],[CountryCode]],Table1[z-score])</f>
        <v>0.48073633366786628</v>
      </c>
      <c r="L3830" t="e">
        <f>VLOOKUP(Table1[[#This Row],[CountryCode]],[1]!Table1[#Data],4,FALSE)</f>
        <v>#REF!</v>
      </c>
    </row>
    <row r="3831" spans="1:12" hidden="1" x14ac:dyDescent="0.3">
      <c r="A3831" t="s">
        <v>91</v>
      </c>
      <c r="B3831" t="s">
        <v>92</v>
      </c>
      <c r="C3831" t="s">
        <v>125</v>
      </c>
      <c r="D3831" t="s">
        <v>126</v>
      </c>
      <c r="E3831">
        <v>2002</v>
      </c>
      <c r="F3831" s="1">
        <v>11</v>
      </c>
      <c r="G3831">
        <v>2000</v>
      </c>
      <c r="H3831">
        <f>AVERAGEIFS(Table1[value],Table1[IndicatorCode],Table1[[#This Row],[IndicatorCode]])</f>
        <v>7.6894248608534319</v>
      </c>
      <c r="I3831" cm="1">
        <f t="array" ref="I3831">_xlfn.STDEV.P(IF(Table1[IndicatorCode]=Table1[[#This Row],[IndicatorCode]],Table1[value]))</f>
        <v>5.2319501044600996</v>
      </c>
      <c r="J3831">
        <f>(Table1[[#This Row],[value]] - Table1[[#This Row],[mean]]) / Table1[[#This Row],[std_dev]]</f>
        <v>0.63276122154230596</v>
      </c>
      <c r="K3831">
        <f>AVERAGEIF(Table1[CountryCode],Table1[[#This Row],[CountryCode]],Table1[z-score])</f>
        <v>0.48073633366786628</v>
      </c>
      <c r="L3831" t="e">
        <f>VLOOKUP(Table1[[#This Row],[CountryCode]],[1]!Table1[#Data],4,FALSE)</f>
        <v>#REF!</v>
      </c>
    </row>
    <row r="3832" spans="1:12" hidden="1" x14ac:dyDescent="0.3">
      <c r="A3832" t="s">
        <v>91</v>
      </c>
      <c r="B3832" t="s">
        <v>92</v>
      </c>
      <c r="C3832" t="s">
        <v>125</v>
      </c>
      <c r="D3832" t="s">
        <v>126</v>
      </c>
      <c r="E3832">
        <v>2003</v>
      </c>
      <c r="F3832" s="1">
        <v>11</v>
      </c>
      <c r="G3832">
        <v>2000</v>
      </c>
      <c r="H3832">
        <f>AVERAGEIFS(Table1[value],Table1[IndicatorCode],Table1[[#This Row],[IndicatorCode]])</f>
        <v>7.6894248608534319</v>
      </c>
      <c r="I3832" cm="1">
        <f t="array" ref="I3832">_xlfn.STDEV.P(IF(Table1[IndicatorCode]=Table1[[#This Row],[IndicatorCode]],Table1[value]))</f>
        <v>5.2319501044600996</v>
      </c>
      <c r="J3832">
        <f>(Table1[[#This Row],[value]] - Table1[[#This Row],[mean]]) / Table1[[#This Row],[std_dev]]</f>
        <v>0.63276122154230596</v>
      </c>
      <c r="K3832">
        <f>AVERAGEIF(Table1[CountryCode],Table1[[#This Row],[CountryCode]],Table1[z-score])</f>
        <v>0.48073633366786628</v>
      </c>
      <c r="L3832" t="e">
        <f>VLOOKUP(Table1[[#This Row],[CountryCode]],[1]!Table1[#Data],4,FALSE)</f>
        <v>#REF!</v>
      </c>
    </row>
    <row r="3833" spans="1:12" hidden="1" x14ac:dyDescent="0.3">
      <c r="A3833" t="s">
        <v>91</v>
      </c>
      <c r="B3833" t="s">
        <v>92</v>
      </c>
      <c r="C3833" t="s">
        <v>125</v>
      </c>
      <c r="D3833" t="s">
        <v>126</v>
      </c>
      <c r="E3833">
        <v>2004</v>
      </c>
      <c r="F3833" s="1">
        <v>11</v>
      </c>
      <c r="G3833">
        <v>2000</v>
      </c>
      <c r="H3833">
        <f>AVERAGEIFS(Table1[value],Table1[IndicatorCode],Table1[[#This Row],[IndicatorCode]])</f>
        <v>7.6894248608534319</v>
      </c>
      <c r="I3833" cm="1">
        <f t="array" ref="I3833">_xlfn.STDEV.P(IF(Table1[IndicatorCode]=Table1[[#This Row],[IndicatorCode]],Table1[value]))</f>
        <v>5.2319501044600996</v>
      </c>
      <c r="J3833">
        <f>(Table1[[#This Row],[value]] - Table1[[#This Row],[mean]]) / Table1[[#This Row],[std_dev]]</f>
        <v>0.63276122154230596</v>
      </c>
      <c r="K3833">
        <f>AVERAGEIF(Table1[CountryCode],Table1[[#This Row],[CountryCode]],Table1[z-score])</f>
        <v>0.48073633366786628</v>
      </c>
      <c r="L3833" t="e">
        <f>VLOOKUP(Table1[[#This Row],[CountryCode]],[1]!Table1[#Data],4,FALSE)</f>
        <v>#REF!</v>
      </c>
    </row>
    <row r="3834" spans="1:12" hidden="1" x14ac:dyDescent="0.3">
      <c r="A3834" t="s">
        <v>91</v>
      </c>
      <c r="B3834" t="s">
        <v>92</v>
      </c>
      <c r="C3834" t="s">
        <v>125</v>
      </c>
      <c r="D3834" t="s">
        <v>126</v>
      </c>
      <c r="E3834">
        <v>2005</v>
      </c>
      <c r="F3834" s="1">
        <v>11</v>
      </c>
      <c r="G3834">
        <v>2000</v>
      </c>
      <c r="H3834">
        <f>AVERAGEIFS(Table1[value],Table1[IndicatorCode],Table1[[#This Row],[IndicatorCode]])</f>
        <v>7.6894248608534319</v>
      </c>
      <c r="I3834" cm="1">
        <f t="array" ref="I3834">_xlfn.STDEV.P(IF(Table1[IndicatorCode]=Table1[[#This Row],[IndicatorCode]],Table1[value]))</f>
        <v>5.2319501044600996</v>
      </c>
      <c r="J3834">
        <f>(Table1[[#This Row],[value]] - Table1[[#This Row],[mean]]) / Table1[[#This Row],[std_dev]]</f>
        <v>0.63276122154230596</v>
      </c>
      <c r="K3834">
        <f>AVERAGEIF(Table1[CountryCode],Table1[[#This Row],[CountryCode]],Table1[z-score])</f>
        <v>0.48073633366786628</v>
      </c>
      <c r="L3834" t="e">
        <f>VLOOKUP(Table1[[#This Row],[CountryCode]],[1]!Table1[#Data],4,FALSE)</f>
        <v>#REF!</v>
      </c>
    </row>
    <row r="3835" spans="1:12" hidden="1" x14ac:dyDescent="0.3">
      <c r="A3835" t="s">
        <v>91</v>
      </c>
      <c r="B3835" t="s">
        <v>92</v>
      </c>
      <c r="C3835" t="s">
        <v>125</v>
      </c>
      <c r="D3835" t="s">
        <v>126</v>
      </c>
      <c r="E3835">
        <v>2006</v>
      </c>
      <c r="F3835" s="1">
        <v>11</v>
      </c>
      <c r="G3835">
        <v>2000</v>
      </c>
      <c r="H3835">
        <f>AVERAGEIFS(Table1[value],Table1[IndicatorCode],Table1[[#This Row],[IndicatorCode]])</f>
        <v>7.6894248608534319</v>
      </c>
      <c r="I3835" cm="1">
        <f t="array" ref="I3835">_xlfn.STDEV.P(IF(Table1[IndicatorCode]=Table1[[#This Row],[IndicatorCode]],Table1[value]))</f>
        <v>5.2319501044600996</v>
      </c>
      <c r="J3835">
        <f>(Table1[[#This Row],[value]] - Table1[[#This Row],[mean]]) / Table1[[#This Row],[std_dev]]</f>
        <v>0.63276122154230596</v>
      </c>
      <c r="K3835">
        <f>AVERAGEIF(Table1[CountryCode],Table1[[#This Row],[CountryCode]],Table1[z-score])</f>
        <v>0.48073633366786628</v>
      </c>
      <c r="L3835" t="e">
        <f>VLOOKUP(Table1[[#This Row],[CountryCode]],[1]!Table1[#Data],4,FALSE)</f>
        <v>#REF!</v>
      </c>
    </row>
    <row r="3836" spans="1:12" hidden="1" x14ac:dyDescent="0.3">
      <c r="A3836" t="s">
        <v>91</v>
      </c>
      <c r="B3836" t="s">
        <v>92</v>
      </c>
      <c r="C3836" t="s">
        <v>125</v>
      </c>
      <c r="D3836" t="s">
        <v>126</v>
      </c>
      <c r="E3836">
        <v>2007</v>
      </c>
      <c r="F3836" s="1">
        <v>11</v>
      </c>
      <c r="G3836">
        <v>2010</v>
      </c>
      <c r="H3836">
        <f>AVERAGEIFS(Table1[value],Table1[IndicatorCode],Table1[[#This Row],[IndicatorCode]])</f>
        <v>7.6894248608534319</v>
      </c>
      <c r="I3836" cm="1">
        <f t="array" ref="I3836">_xlfn.STDEV.P(IF(Table1[IndicatorCode]=Table1[[#This Row],[IndicatorCode]],Table1[value]))</f>
        <v>5.2319501044600996</v>
      </c>
      <c r="J3836">
        <f>(Table1[[#This Row],[value]] - Table1[[#This Row],[mean]]) / Table1[[#This Row],[std_dev]]</f>
        <v>0.63276122154230596</v>
      </c>
      <c r="K3836">
        <f>AVERAGEIF(Table1[CountryCode],Table1[[#This Row],[CountryCode]],Table1[z-score])</f>
        <v>0.48073633366786628</v>
      </c>
      <c r="L3836" t="e">
        <f>VLOOKUP(Table1[[#This Row],[CountryCode]],[1]!Table1[#Data],4,FALSE)</f>
        <v>#REF!</v>
      </c>
    </row>
    <row r="3837" spans="1:12" hidden="1" x14ac:dyDescent="0.3">
      <c r="A3837" t="s">
        <v>91</v>
      </c>
      <c r="B3837" t="s">
        <v>92</v>
      </c>
      <c r="C3837" t="s">
        <v>125</v>
      </c>
      <c r="D3837" t="s">
        <v>126</v>
      </c>
      <c r="E3837">
        <v>2008</v>
      </c>
      <c r="F3837" s="1">
        <v>11</v>
      </c>
      <c r="G3837">
        <v>2010</v>
      </c>
      <c r="H3837">
        <f>AVERAGEIFS(Table1[value],Table1[IndicatorCode],Table1[[#This Row],[IndicatorCode]])</f>
        <v>7.6894248608534319</v>
      </c>
      <c r="I3837" cm="1">
        <f t="array" ref="I3837">_xlfn.STDEV.P(IF(Table1[IndicatorCode]=Table1[[#This Row],[IndicatorCode]],Table1[value]))</f>
        <v>5.2319501044600996</v>
      </c>
      <c r="J3837">
        <f>(Table1[[#This Row],[value]] - Table1[[#This Row],[mean]]) / Table1[[#This Row],[std_dev]]</f>
        <v>0.63276122154230596</v>
      </c>
      <c r="K3837">
        <f>AVERAGEIF(Table1[CountryCode],Table1[[#This Row],[CountryCode]],Table1[z-score])</f>
        <v>0.48073633366786628</v>
      </c>
      <c r="L3837" t="e">
        <f>VLOOKUP(Table1[[#This Row],[CountryCode]],[1]!Table1[#Data],4,FALSE)</f>
        <v>#REF!</v>
      </c>
    </row>
    <row r="3838" spans="1:12" hidden="1" x14ac:dyDescent="0.3">
      <c r="A3838" t="s">
        <v>91</v>
      </c>
      <c r="B3838" t="s">
        <v>92</v>
      </c>
      <c r="C3838" t="s">
        <v>125</v>
      </c>
      <c r="D3838" t="s">
        <v>126</v>
      </c>
      <c r="E3838">
        <v>2009</v>
      </c>
      <c r="F3838" s="1">
        <v>11</v>
      </c>
      <c r="G3838">
        <v>2010</v>
      </c>
      <c r="H3838">
        <f>AVERAGEIFS(Table1[value],Table1[IndicatorCode],Table1[[#This Row],[IndicatorCode]])</f>
        <v>7.6894248608534319</v>
      </c>
      <c r="I3838" cm="1">
        <f t="array" ref="I3838">_xlfn.STDEV.P(IF(Table1[IndicatorCode]=Table1[[#This Row],[IndicatorCode]],Table1[value]))</f>
        <v>5.2319501044600996</v>
      </c>
      <c r="J3838">
        <f>(Table1[[#This Row],[value]] - Table1[[#This Row],[mean]]) / Table1[[#This Row],[std_dev]]</f>
        <v>0.63276122154230596</v>
      </c>
      <c r="K3838">
        <f>AVERAGEIF(Table1[CountryCode],Table1[[#This Row],[CountryCode]],Table1[z-score])</f>
        <v>0.48073633366786628</v>
      </c>
      <c r="L3838" t="e">
        <f>VLOOKUP(Table1[[#This Row],[CountryCode]],[1]!Table1[#Data],4,FALSE)</f>
        <v>#REF!</v>
      </c>
    </row>
    <row r="3839" spans="1:12" hidden="1" x14ac:dyDescent="0.3">
      <c r="A3839" t="s">
        <v>91</v>
      </c>
      <c r="B3839" t="s">
        <v>92</v>
      </c>
      <c r="C3839" t="s">
        <v>125</v>
      </c>
      <c r="D3839" t="s">
        <v>126</v>
      </c>
      <c r="E3839">
        <v>2010</v>
      </c>
      <c r="F3839" s="1">
        <v>11</v>
      </c>
      <c r="G3839">
        <v>2010</v>
      </c>
      <c r="H3839">
        <f>AVERAGEIFS(Table1[value],Table1[IndicatorCode],Table1[[#This Row],[IndicatorCode]])</f>
        <v>7.6894248608534319</v>
      </c>
      <c r="I3839" cm="1">
        <f t="array" ref="I3839">_xlfn.STDEV.P(IF(Table1[IndicatorCode]=Table1[[#This Row],[IndicatorCode]],Table1[value]))</f>
        <v>5.2319501044600996</v>
      </c>
      <c r="J3839">
        <f>(Table1[[#This Row],[value]] - Table1[[#This Row],[mean]]) / Table1[[#This Row],[std_dev]]</f>
        <v>0.63276122154230596</v>
      </c>
      <c r="K3839">
        <f>AVERAGEIF(Table1[CountryCode],Table1[[#This Row],[CountryCode]],Table1[z-score])</f>
        <v>0.48073633366786628</v>
      </c>
      <c r="L3839" t="e">
        <f>VLOOKUP(Table1[[#This Row],[CountryCode]],[1]!Table1[#Data],4,FALSE)</f>
        <v>#REF!</v>
      </c>
    </row>
    <row r="3840" spans="1:12" hidden="1" x14ac:dyDescent="0.3">
      <c r="A3840" t="s">
        <v>91</v>
      </c>
      <c r="B3840" t="s">
        <v>92</v>
      </c>
      <c r="C3840" t="s">
        <v>125</v>
      </c>
      <c r="D3840" t="s">
        <v>126</v>
      </c>
      <c r="E3840">
        <v>2011</v>
      </c>
      <c r="F3840" s="1">
        <v>10</v>
      </c>
      <c r="G3840">
        <v>2010</v>
      </c>
      <c r="H3840">
        <f>AVERAGEIFS(Table1[value],Table1[IndicatorCode],Table1[[#This Row],[IndicatorCode]])</f>
        <v>7.6894248608534319</v>
      </c>
      <c r="I3840" cm="1">
        <f t="array" ref="I3840">_xlfn.STDEV.P(IF(Table1[IndicatorCode]=Table1[[#This Row],[IndicatorCode]],Table1[value]))</f>
        <v>5.2319501044600996</v>
      </c>
      <c r="J3840">
        <f>(Table1[[#This Row],[value]] - Table1[[#This Row],[mean]]) / Table1[[#This Row],[std_dev]]</f>
        <v>0.44162790030754762</v>
      </c>
      <c r="K3840">
        <f>AVERAGEIF(Table1[CountryCode],Table1[[#This Row],[CountryCode]],Table1[z-score])</f>
        <v>0.48073633366786628</v>
      </c>
      <c r="L3840" t="e">
        <f>VLOOKUP(Table1[[#This Row],[CountryCode]],[1]!Table1[#Data],4,FALSE)</f>
        <v>#REF!</v>
      </c>
    </row>
    <row r="3841" spans="1:12" hidden="1" x14ac:dyDescent="0.3">
      <c r="A3841" t="s">
        <v>91</v>
      </c>
      <c r="B3841" t="s">
        <v>92</v>
      </c>
      <c r="C3841" t="s">
        <v>125</v>
      </c>
      <c r="D3841" t="s">
        <v>126</v>
      </c>
      <c r="E3841">
        <v>2012</v>
      </c>
      <c r="F3841" s="1">
        <v>10</v>
      </c>
      <c r="G3841">
        <v>2010</v>
      </c>
      <c r="H3841">
        <f>AVERAGEIFS(Table1[value],Table1[IndicatorCode],Table1[[#This Row],[IndicatorCode]])</f>
        <v>7.6894248608534319</v>
      </c>
      <c r="I3841" cm="1">
        <f t="array" ref="I3841">_xlfn.STDEV.P(IF(Table1[IndicatorCode]=Table1[[#This Row],[IndicatorCode]],Table1[value]))</f>
        <v>5.2319501044600996</v>
      </c>
      <c r="J3841">
        <f>(Table1[[#This Row],[value]] - Table1[[#This Row],[mean]]) / Table1[[#This Row],[std_dev]]</f>
        <v>0.44162790030754762</v>
      </c>
      <c r="K3841">
        <f>AVERAGEIF(Table1[CountryCode],Table1[[#This Row],[CountryCode]],Table1[z-score])</f>
        <v>0.48073633366786628</v>
      </c>
      <c r="L3841" t="e">
        <f>VLOOKUP(Table1[[#This Row],[CountryCode]],[1]!Table1[#Data],4,FALSE)</f>
        <v>#REF!</v>
      </c>
    </row>
    <row r="3842" spans="1:12" hidden="1" x14ac:dyDescent="0.3">
      <c r="A3842" t="s">
        <v>91</v>
      </c>
      <c r="B3842" t="s">
        <v>92</v>
      </c>
      <c r="C3842" t="s">
        <v>125</v>
      </c>
      <c r="D3842" t="s">
        <v>126</v>
      </c>
      <c r="E3842">
        <v>2013</v>
      </c>
      <c r="F3842" s="1">
        <v>10</v>
      </c>
      <c r="G3842">
        <v>2010</v>
      </c>
      <c r="H3842">
        <f>AVERAGEIFS(Table1[value],Table1[IndicatorCode],Table1[[#This Row],[IndicatorCode]])</f>
        <v>7.6894248608534319</v>
      </c>
      <c r="I3842" cm="1">
        <f t="array" ref="I3842">_xlfn.STDEV.P(IF(Table1[IndicatorCode]=Table1[[#This Row],[IndicatorCode]],Table1[value]))</f>
        <v>5.2319501044600996</v>
      </c>
      <c r="J3842">
        <f>(Table1[[#This Row],[value]] - Table1[[#This Row],[mean]]) / Table1[[#This Row],[std_dev]]</f>
        <v>0.44162790030754762</v>
      </c>
      <c r="K3842">
        <f>AVERAGEIF(Table1[CountryCode],Table1[[#This Row],[CountryCode]],Table1[z-score])</f>
        <v>0.48073633366786628</v>
      </c>
      <c r="L3842" t="e">
        <f>VLOOKUP(Table1[[#This Row],[CountryCode]],[1]!Table1[#Data],4,FALSE)</f>
        <v>#REF!</v>
      </c>
    </row>
    <row r="3843" spans="1:12" hidden="1" x14ac:dyDescent="0.3">
      <c r="A3843" t="s">
        <v>91</v>
      </c>
      <c r="B3843" t="s">
        <v>92</v>
      </c>
      <c r="C3843" t="s">
        <v>125</v>
      </c>
      <c r="D3843" t="s">
        <v>126</v>
      </c>
      <c r="E3843">
        <v>2014</v>
      </c>
      <c r="F3843" s="1">
        <v>10</v>
      </c>
      <c r="G3843">
        <v>2010</v>
      </c>
      <c r="H3843">
        <f>AVERAGEIFS(Table1[value],Table1[IndicatorCode],Table1[[#This Row],[IndicatorCode]])</f>
        <v>7.6894248608534319</v>
      </c>
      <c r="I3843" cm="1">
        <f t="array" ref="I3843">_xlfn.STDEV.P(IF(Table1[IndicatorCode]=Table1[[#This Row],[IndicatorCode]],Table1[value]))</f>
        <v>5.2319501044600996</v>
      </c>
      <c r="J3843">
        <f>(Table1[[#This Row],[value]] - Table1[[#This Row],[mean]]) / Table1[[#This Row],[std_dev]]</f>
        <v>0.44162790030754762</v>
      </c>
      <c r="K3843">
        <f>AVERAGEIF(Table1[CountryCode],Table1[[#This Row],[CountryCode]],Table1[z-score])</f>
        <v>0.48073633366786628</v>
      </c>
      <c r="L3843" t="e">
        <f>VLOOKUP(Table1[[#This Row],[CountryCode]],[1]!Table1[#Data],4,FALSE)</f>
        <v>#REF!</v>
      </c>
    </row>
    <row r="3844" spans="1:12" hidden="1" x14ac:dyDescent="0.3">
      <c r="A3844" t="s">
        <v>91</v>
      </c>
      <c r="B3844" t="s">
        <v>92</v>
      </c>
      <c r="C3844" t="s">
        <v>125</v>
      </c>
      <c r="D3844" t="s">
        <v>126</v>
      </c>
      <c r="E3844">
        <v>2015</v>
      </c>
      <c r="F3844" s="1">
        <v>10</v>
      </c>
      <c r="G3844">
        <v>2010</v>
      </c>
      <c r="H3844">
        <f>AVERAGEIFS(Table1[value],Table1[IndicatorCode],Table1[[#This Row],[IndicatorCode]])</f>
        <v>7.6894248608534319</v>
      </c>
      <c r="I3844" cm="1">
        <f t="array" ref="I3844">_xlfn.STDEV.P(IF(Table1[IndicatorCode]=Table1[[#This Row],[IndicatorCode]],Table1[value]))</f>
        <v>5.2319501044600996</v>
      </c>
      <c r="J3844">
        <f>(Table1[[#This Row],[value]] - Table1[[#This Row],[mean]]) / Table1[[#This Row],[std_dev]]</f>
        <v>0.44162790030754762</v>
      </c>
      <c r="K3844">
        <f>AVERAGEIF(Table1[CountryCode],Table1[[#This Row],[CountryCode]],Table1[z-score])</f>
        <v>0.48073633366786628</v>
      </c>
      <c r="L3844" t="e">
        <f>VLOOKUP(Table1[[#This Row],[CountryCode]],[1]!Table1[#Data],4,FALSE)</f>
        <v>#REF!</v>
      </c>
    </row>
    <row r="3845" spans="1:12" hidden="1" x14ac:dyDescent="0.3">
      <c r="A3845" t="s">
        <v>91</v>
      </c>
      <c r="B3845" t="s">
        <v>92</v>
      </c>
      <c r="C3845" t="s">
        <v>125</v>
      </c>
      <c r="D3845" t="s">
        <v>126</v>
      </c>
      <c r="E3845">
        <v>2016</v>
      </c>
      <c r="F3845" s="1">
        <v>10</v>
      </c>
      <c r="G3845">
        <v>2010</v>
      </c>
      <c r="H3845">
        <f>AVERAGEIFS(Table1[value],Table1[IndicatorCode],Table1[[#This Row],[IndicatorCode]])</f>
        <v>7.6894248608534319</v>
      </c>
      <c r="I3845" cm="1">
        <f t="array" ref="I3845">_xlfn.STDEV.P(IF(Table1[IndicatorCode]=Table1[[#This Row],[IndicatorCode]],Table1[value]))</f>
        <v>5.2319501044600996</v>
      </c>
      <c r="J3845">
        <f>(Table1[[#This Row],[value]] - Table1[[#This Row],[mean]]) / Table1[[#This Row],[std_dev]]</f>
        <v>0.44162790030754762</v>
      </c>
      <c r="K3845">
        <f>AVERAGEIF(Table1[CountryCode],Table1[[#This Row],[CountryCode]],Table1[z-score])</f>
        <v>0.48073633366786628</v>
      </c>
      <c r="L3845" t="e">
        <f>VLOOKUP(Table1[[#This Row],[CountryCode]],[1]!Table1[#Data],4,FALSE)</f>
        <v>#REF!</v>
      </c>
    </row>
    <row r="3846" spans="1:12" hidden="1" x14ac:dyDescent="0.3">
      <c r="A3846" t="s">
        <v>91</v>
      </c>
      <c r="B3846" t="s">
        <v>92</v>
      </c>
      <c r="C3846" t="s">
        <v>125</v>
      </c>
      <c r="D3846" t="s">
        <v>126</v>
      </c>
      <c r="E3846">
        <v>2017</v>
      </c>
      <c r="F3846" s="1">
        <v>10</v>
      </c>
      <c r="G3846">
        <v>2020</v>
      </c>
      <c r="H3846">
        <f>AVERAGEIFS(Table1[value],Table1[IndicatorCode],Table1[[#This Row],[IndicatorCode]])</f>
        <v>7.6894248608534319</v>
      </c>
      <c r="I3846" cm="1">
        <f t="array" ref="I3846">_xlfn.STDEV.P(IF(Table1[IndicatorCode]=Table1[[#This Row],[IndicatorCode]],Table1[value]))</f>
        <v>5.2319501044600996</v>
      </c>
      <c r="J3846">
        <f>(Table1[[#This Row],[value]] - Table1[[#This Row],[mean]]) / Table1[[#This Row],[std_dev]]</f>
        <v>0.44162790030754762</v>
      </c>
      <c r="K3846">
        <f>AVERAGEIF(Table1[CountryCode],Table1[[#This Row],[CountryCode]],Table1[z-score])</f>
        <v>0.48073633366786628</v>
      </c>
      <c r="L3846" t="e">
        <f>VLOOKUP(Table1[[#This Row],[CountryCode]],[1]!Table1[#Data],4,FALSE)</f>
        <v>#REF!</v>
      </c>
    </row>
    <row r="3847" spans="1:12" hidden="1" x14ac:dyDescent="0.3">
      <c r="A3847" t="s">
        <v>91</v>
      </c>
      <c r="B3847" t="s">
        <v>92</v>
      </c>
      <c r="C3847" t="s">
        <v>125</v>
      </c>
      <c r="D3847" t="s">
        <v>126</v>
      </c>
      <c r="E3847">
        <v>2018</v>
      </c>
      <c r="F3847" s="1">
        <v>9</v>
      </c>
      <c r="G3847">
        <v>2020</v>
      </c>
      <c r="H3847">
        <f>AVERAGEIFS(Table1[value],Table1[IndicatorCode],Table1[[#This Row],[IndicatorCode]])</f>
        <v>7.6894248608534319</v>
      </c>
      <c r="I3847" cm="1">
        <f t="array" ref="I3847">_xlfn.STDEV.P(IF(Table1[IndicatorCode]=Table1[[#This Row],[IndicatorCode]],Table1[value]))</f>
        <v>5.2319501044600996</v>
      </c>
      <c r="J3847">
        <f>(Table1[[#This Row],[value]] - Table1[[#This Row],[mean]]) / Table1[[#This Row],[std_dev]]</f>
        <v>0.25049457907278921</v>
      </c>
      <c r="K3847">
        <f>AVERAGEIF(Table1[CountryCode],Table1[[#This Row],[CountryCode]],Table1[z-score])</f>
        <v>0.48073633366786628</v>
      </c>
      <c r="L3847" t="e">
        <f>VLOOKUP(Table1[[#This Row],[CountryCode]],[1]!Table1[#Data],4,FALSE)</f>
        <v>#REF!</v>
      </c>
    </row>
    <row r="3848" spans="1:12" hidden="1" x14ac:dyDescent="0.3">
      <c r="A3848" t="s">
        <v>91</v>
      </c>
      <c r="B3848" t="s">
        <v>92</v>
      </c>
      <c r="C3848" t="s">
        <v>125</v>
      </c>
      <c r="D3848" t="s">
        <v>126</v>
      </c>
      <c r="E3848">
        <v>2019</v>
      </c>
      <c r="F3848" s="1">
        <v>9</v>
      </c>
      <c r="G3848">
        <v>2020</v>
      </c>
      <c r="H3848">
        <f>AVERAGEIFS(Table1[value],Table1[IndicatorCode],Table1[[#This Row],[IndicatorCode]])</f>
        <v>7.6894248608534319</v>
      </c>
      <c r="I3848" cm="1">
        <f t="array" ref="I3848">_xlfn.STDEV.P(IF(Table1[IndicatorCode]=Table1[[#This Row],[IndicatorCode]],Table1[value]))</f>
        <v>5.2319501044600996</v>
      </c>
      <c r="J3848">
        <f>(Table1[[#This Row],[value]] - Table1[[#This Row],[mean]]) / Table1[[#This Row],[std_dev]]</f>
        <v>0.25049457907278921</v>
      </c>
      <c r="K3848">
        <f>AVERAGEIF(Table1[CountryCode],Table1[[#This Row],[CountryCode]],Table1[z-score])</f>
        <v>0.48073633366786628</v>
      </c>
      <c r="L3848" t="e">
        <f>VLOOKUP(Table1[[#This Row],[CountryCode]],[1]!Table1[#Data],4,FALSE)</f>
        <v>#REF!</v>
      </c>
    </row>
    <row r="3849" spans="1:12" x14ac:dyDescent="0.3">
      <c r="A3849" t="s">
        <v>91</v>
      </c>
      <c r="B3849" t="s">
        <v>92</v>
      </c>
      <c r="C3849" t="s">
        <v>125</v>
      </c>
      <c r="D3849" t="s">
        <v>126</v>
      </c>
      <c r="E3849">
        <v>2020</v>
      </c>
      <c r="F3849" s="1">
        <v>8</v>
      </c>
      <c r="G3849">
        <v>2020</v>
      </c>
      <c r="H3849">
        <f>AVERAGEIFS(Table1[value],Table1[IndicatorCode],Table1[[#This Row],[IndicatorCode]])</f>
        <v>7.6894248608534319</v>
      </c>
      <c r="I3849" cm="1">
        <f t="array" ref="I3849">_xlfn.STDEV.P(IF(Table1[IndicatorCode]=Table1[[#This Row],[IndicatorCode]],Table1[value]))</f>
        <v>5.2319501044600996</v>
      </c>
      <c r="J3849">
        <f>(Table1[[#This Row],[value]] - Table1[[#This Row],[mean]]) / Table1[[#This Row],[std_dev]]</f>
        <v>5.9361257838030791E-2</v>
      </c>
      <c r="K3849">
        <f>AVERAGEIF(Table1[CountryCode],Table1[[#This Row],[CountryCode]],Table1[z-score])</f>
        <v>0.48073633366786628</v>
      </c>
    </row>
    <row r="3850" spans="1:12" hidden="1" x14ac:dyDescent="0.3">
      <c r="A3850" t="s">
        <v>91</v>
      </c>
      <c r="B3850" t="s">
        <v>92</v>
      </c>
      <c r="C3850" t="s">
        <v>125</v>
      </c>
      <c r="D3850" t="s">
        <v>126</v>
      </c>
      <c r="E3850">
        <v>2021</v>
      </c>
      <c r="F3850" s="1">
        <v>8</v>
      </c>
      <c r="G3850">
        <v>2020</v>
      </c>
      <c r="H3850">
        <f>AVERAGEIFS(Table1[value],Table1[IndicatorCode],Table1[[#This Row],[IndicatorCode]])</f>
        <v>7.6894248608534319</v>
      </c>
      <c r="I3850" cm="1">
        <f t="array" ref="I3850">_xlfn.STDEV.P(IF(Table1[IndicatorCode]=Table1[[#This Row],[IndicatorCode]],Table1[value]))</f>
        <v>5.2319501044600996</v>
      </c>
      <c r="J3850">
        <f>(Table1[[#This Row],[value]] - Table1[[#This Row],[mean]]) / Table1[[#This Row],[std_dev]]</f>
        <v>5.9361257838030791E-2</v>
      </c>
      <c r="K3850">
        <f>AVERAGEIF(Table1[CountryCode],Table1[[#This Row],[CountryCode]],Table1[z-score])</f>
        <v>0.48073633366786628</v>
      </c>
      <c r="L3850" t="e">
        <f>VLOOKUP(Table1[[#This Row],[CountryCode]],[1]!Table1[#Data],4,FALSE)</f>
        <v>#REF!</v>
      </c>
    </row>
    <row r="3851" spans="1:12" hidden="1" x14ac:dyDescent="0.3">
      <c r="A3851" t="s">
        <v>91</v>
      </c>
      <c r="B3851" t="s">
        <v>92</v>
      </c>
      <c r="C3851" t="s">
        <v>125</v>
      </c>
      <c r="D3851" t="s">
        <v>126</v>
      </c>
      <c r="E3851">
        <v>2022</v>
      </c>
      <c r="F3851" s="1">
        <v>8</v>
      </c>
      <c r="G3851">
        <v>1970</v>
      </c>
      <c r="H3851">
        <f>AVERAGEIFS(Table1[value],Table1[IndicatorCode],Table1[[#This Row],[IndicatorCode]])</f>
        <v>7.6894248608534319</v>
      </c>
      <c r="I3851" cm="1">
        <f t="array" ref="I3851">_xlfn.STDEV.P(IF(Table1[IndicatorCode]=Table1[[#This Row],[IndicatorCode]],Table1[value]))</f>
        <v>5.2319501044600996</v>
      </c>
      <c r="J3851">
        <f>(Table1[[#This Row],[value]] - Table1[[#This Row],[mean]]) / Table1[[#This Row],[std_dev]]</f>
        <v>5.9361257838030791E-2</v>
      </c>
      <c r="K3851">
        <f>AVERAGEIF(Table1[CountryCode],Table1[[#This Row],[CountryCode]],Table1[z-score])</f>
        <v>0.48073633366786628</v>
      </c>
      <c r="L3851" t="e">
        <f>VLOOKUP(Table1[[#This Row],[CountryCode]],[1]!Table1[#Data],4,FALSE)</f>
        <v>#REF!</v>
      </c>
    </row>
    <row r="3852" spans="1:12" hidden="1" x14ac:dyDescent="0.3">
      <c r="A3852" t="s">
        <v>91</v>
      </c>
      <c r="B3852" t="s">
        <v>92</v>
      </c>
      <c r="C3852" t="s">
        <v>125</v>
      </c>
      <c r="D3852" t="s">
        <v>126</v>
      </c>
      <c r="E3852">
        <v>2023</v>
      </c>
      <c r="F3852" s="1">
        <v>7</v>
      </c>
      <c r="G3852">
        <v>1970</v>
      </c>
      <c r="H3852">
        <f>AVERAGEIFS(Table1[value],Table1[IndicatorCode],Table1[[#This Row],[IndicatorCode]])</f>
        <v>7.6894248608534319</v>
      </c>
      <c r="I3852" cm="1">
        <f t="array" ref="I3852">_xlfn.STDEV.P(IF(Table1[IndicatorCode]=Table1[[#This Row],[IndicatorCode]],Table1[value]))</f>
        <v>5.2319501044600996</v>
      </c>
      <c r="J3852">
        <f>(Table1[[#This Row],[value]] - Table1[[#This Row],[mean]]) / Table1[[#This Row],[std_dev]]</f>
        <v>-0.13177206339672762</v>
      </c>
      <c r="K3852">
        <f>AVERAGEIF(Table1[CountryCode],Table1[[#This Row],[CountryCode]],Table1[z-score])</f>
        <v>0.48073633366786628</v>
      </c>
      <c r="L3852" t="e">
        <f>VLOOKUP(Table1[[#This Row],[CountryCode]],[1]!Table1[#Data],4,FALSE)</f>
        <v>#REF!</v>
      </c>
    </row>
    <row r="3853" spans="1:12" hidden="1" x14ac:dyDescent="0.3">
      <c r="A3853" t="s">
        <v>91</v>
      </c>
      <c r="B3853" t="s">
        <v>92</v>
      </c>
      <c r="C3853" t="s">
        <v>125</v>
      </c>
      <c r="D3853" t="s">
        <v>126</v>
      </c>
      <c r="E3853">
        <v>2024</v>
      </c>
      <c r="F3853" s="1">
        <v>7</v>
      </c>
      <c r="G3853">
        <v>1970</v>
      </c>
      <c r="H3853">
        <f>AVERAGEIFS(Table1[value],Table1[IndicatorCode],Table1[[#This Row],[IndicatorCode]])</f>
        <v>7.6894248608534319</v>
      </c>
      <c r="I3853" cm="1">
        <f t="array" ref="I3853">_xlfn.STDEV.P(IF(Table1[IndicatorCode]=Table1[[#This Row],[IndicatorCode]],Table1[value]))</f>
        <v>5.2319501044600996</v>
      </c>
      <c r="J3853">
        <f>(Table1[[#This Row],[value]] - Table1[[#This Row],[mean]]) / Table1[[#This Row],[std_dev]]</f>
        <v>-0.13177206339672762</v>
      </c>
      <c r="K3853">
        <f>AVERAGEIF(Table1[CountryCode],Table1[[#This Row],[CountryCode]],Table1[z-score])</f>
        <v>0.48073633366786628</v>
      </c>
      <c r="L3853" t="e">
        <f>VLOOKUP(Table1[[#This Row],[CountryCode]],[1]!Table1[#Data],4,FALSE)</f>
        <v>#REF!</v>
      </c>
    </row>
    <row r="3854" spans="1:12" hidden="1" x14ac:dyDescent="0.3">
      <c r="A3854" t="s">
        <v>93</v>
      </c>
      <c r="B3854" t="s">
        <v>94</v>
      </c>
      <c r="C3854" t="s">
        <v>125</v>
      </c>
      <c r="D3854" t="s">
        <v>126</v>
      </c>
      <c r="E3854">
        <v>1970</v>
      </c>
      <c r="F3854" s="1">
        <v>9</v>
      </c>
      <c r="G3854">
        <v>1970</v>
      </c>
      <c r="H3854">
        <f>AVERAGEIFS(Table1[value],Table1[IndicatorCode],Table1[[#This Row],[IndicatorCode]])</f>
        <v>7.6894248608534319</v>
      </c>
      <c r="I3854" cm="1">
        <f t="array" ref="I3854">_xlfn.STDEV.P(IF(Table1[IndicatorCode]=Table1[[#This Row],[IndicatorCode]],Table1[value]))</f>
        <v>5.2319501044600996</v>
      </c>
      <c r="J3854">
        <f>(Table1[[#This Row],[value]] - Table1[[#This Row],[mean]]) / Table1[[#This Row],[std_dev]]</f>
        <v>0.25049457907278921</v>
      </c>
      <c r="K3854">
        <f>AVERAGEIF(Table1[CountryCode],Table1[[#This Row],[CountryCode]],Table1[z-score])</f>
        <v>0.64774457538517582</v>
      </c>
      <c r="L3854" t="e">
        <f>VLOOKUP(Table1[[#This Row],[CountryCode]],[1]!Table1[#Data],4,FALSE)</f>
        <v>#REF!</v>
      </c>
    </row>
    <row r="3855" spans="1:12" hidden="1" x14ac:dyDescent="0.3">
      <c r="A3855" t="s">
        <v>93</v>
      </c>
      <c r="B3855" t="s">
        <v>94</v>
      </c>
      <c r="C3855" t="s">
        <v>125</v>
      </c>
      <c r="D3855" t="s">
        <v>126</v>
      </c>
      <c r="E3855">
        <v>1971</v>
      </c>
      <c r="F3855" s="1">
        <v>9</v>
      </c>
      <c r="G3855">
        <v>1970</v>
      </c>
      <c r="H3855">
        <f>AVERAGEIFS(Table1[value],Table1[IndicatorCode],Table1[[#This Row],[IndicatorCode]])</f>
        <v>7.6894248608534319</v>
      </c>
      <c r="I3855" cm="1">
        <f t="array" ref="I3855">_xlfn.STDEV.P(IF(Table1[IndicatorCode]=Table1[[#This Row],[IndicatorCode]],Table1[value]))</f>
        <v>5.2319501044600996</v>
      </c>
      <c r="J3855">
        <f>(Table1[[#This Row],[value]] - Table1[[#This Row],[mean]]) / Table1[[#This Row],[std_dev]]</f>
        <v>0.25049457907278921</v>
      </c>
      <c r="K3855">
        <f>AVERAGEIF(Table1[CountryCode],Table1[[#This Row],[CountryCode]],Table1[z-score])</f>
        <v>0.64774457538517582</v>
      </c>
      <c r="L3855" t="e">
        <f>VLOOKUP(Table1[[#This Row],[CountryCode]],[1]!Table1[#Data],4,FALSE)</f>
        <v>#REF!</v>
      </c>
    </row>
    <row r="3856" spans="1:12" hidden="1" x14ac:dyDescent="0.3">
      <c r="A3856" t="s">
        <v>93</v>
      </c>
      <c r="B3856" t="s">
        <v>94</v>
      </c>
      <c r="C3856" t="s">
        <v>125</v>
      </c>
      <c r="D3856" t="s">
        <v>126</v>
      </c>
      <c r="E3856">
        <v>1972</v>
      </c>
      <c r="F3856" s="1">
        <v>10</v>
      </c>
      <c r="G3856">
        <v>1970</v>
      </c>
      <c r="H3856">
        <f>AVERAGEIFS(Table1[value],Table1[IndicatorCode],Table1[[#This Row],[IndicatorCode]])</f>
        <v>7.6894248608534319</v>
      </c>
      <c r="I3856" cm="1">
        <f t="array" ref="I3856">_xlfn.STDEV.P(IF(Table1[IndicatorCode]=Table1[[#This Row],[IndicatorCode]],Table1[value]))</f>
        <v>5.2319501044600996</v>
      </c>
      <c r="J3856">
        <f>(Table1[[#This Row],[value]] - Table1[[#This Row],[mean]]) / Table1[[#This Row],[std_dev]]</f>
        <v>0.44162790030754762</v>
      </c>
      <c r="K3856">
        <f>AVERAGEIF(Table1[CountryCode],Table1[[#This Row],[CountryCode]],Table1[z-score])</f>
        <v>0.64774457538517582</v>
      </c>
      <c r="L3856" t="e">
        <f>VLOOKUP(Table1[[#This Row],[CountryCode]],[1]!Table1[#Data],4,FALSE)</f>
        <v>#REF!</v>
      </c>
    </row>
    <row r="3857" spans="1:12" hidden="1" x14ac:dyDescent="0.3">
      <c r="A3857" t="s">
        <v>93</v>
      </c>
      <c r="B3857" t="s">
        <v>94</v>
      </c>
      <c r="C3857" t="s">
        <v>125</v>
      </c>
      <c r="D3857" t="s">
        <v>126</v>
      </c>
      <c r="E3857">
        <v>1973</v>
      </c>
      <c r="F3857" s="1">
        <v>10</v>
      </c>
      <c r="G3857">
        <v>1970</v>
      </c>
      <c r="H3857">
        <f>AVERAGEIFS(Table1[value],Table1[IndicatorCode],Table1[[#This Row],[IndicatorCode]])</f>
        <v>7.6894248608534319</v>
      </c>
      <c r="I3857" cm="1">
        <f t="array" ref="I3857">_xlfn.STDEV.P(IF(Table1[IndicatorCode]=Table1[[#This Row],[IndicatorCode]],Table1[value]))</f>
        <v>5.2319501044600996</v>
      </c>
      <c r="J3857">
        <f>(Table1[[#This Row],[value]] - Table1[[#This Row],[mean]]) / Table1[[#This Row],[std_dev]]</f>
        <v>0.44162790030754762</v>
      </c>
      <c r="K3857">
        <f>AVERAGEIF(Table1[CountryCode],Table1[[#This Row],[CountryCode]],Table1[z-score])</f>
        <v>0.64774457538517582</v>
      </c>
      <c r="L3857" t="e">
        <f>VLOOKUP(Table1[[#This Row],[CountryCode]],[1]!Table1[#Data],4,FALSE)</f>
        <v>#REF!</v>
      </c>
    </row>
    <row r="3858" spans="1:12" hidden="1" x14ac:dyDescent="0.3">
      <c r="A3858" t="s">
        <v>93</v>
      </c>
      <c r="B3858" t="s">
        <v>94</v>
      </c>
      <c r="C3858" t="s">
        <v>125</v>
      </c>
      <c r="D3858" t="s">
        <v>126</v>
      </c>
      <c r="E3858">
        <v>1974</v>
      </c>
      <c r="F3858" s="1">
        <v>9</v>
      </c>
      <c r="G3858">
        <v>1970</v>
      </c>
      <c r="H3858">
        <f>AVERAGEIFS(Table1[value],Table1[IndicatorCode],Table1[[#This Row],[IndicatorCode]])</f>
        <v>7.6894248608534319</v>
      </c>
      <c r="I3858" cm="1">
        <f t="array" ref="I3858">_xlfn.STDEV.P(IF(Table1[IndicatorCode]=Table1[[#This Row],[IndicatorCode]],Table1[value]))</f>
        <v>5.2319501044600996</v>
      </c>
      <c r="J3858">
        <f>(Table1[[#This Row],[value]] - Table1[[#This Row],[mean]]) / Table1[[#This Row],[std_dev]]</f>
        <v>0.25049457907278921</v>
      </c>
      <c r="K3858">
        <f>AVERAGEIF(Table1[CountryCode],Table1[[#This Row],[CountryCode]],Table1[z-score])</f>
        <v>0.64774457538517582</v>
      </c>
      <c r="L3858" t="e">
        <f>VLOOKUP(Table1[[#This Row],[CountryCode]],[1]!Table1[#Data],4,FALSE)</f>
        <v>#REF!</v>
      </c>
    </row>
    <row r="3859" spans="1:12" hidden="1" x14ac:dyDescent="0.3">
      <c r="A3859" t="s">
        <v>93</v>
      </c>
      <c r="B3859" t="s">
        <v>94</v>
      </c>
      <c r="C3859" t="s">
        <v>125</v>
      </c>
      <c r="D3859" t="s">
        <v>126</v>
      </c>
      <c r="E3859">
        <v>1975</v>
      </c>
      <c r="F3859" s="1">
        <v>9</v>
      </c>
      <c r="G3859">
        <v>1970</v>
      </c>
      <c r="H3859">
        <f>AVERAGEIFS(Table1[value],Table1[IndicatorCode],Table1[[#This Row],[IndicatorCode]])</f>
        <v>7.6894248608534319</v>
      </c>
      <c r="I3859" cm="1">
        <f t="array" ref="I3859">_xlfn.STDEV.P(IF(Table1[IndicatorCode]=Table1[[#This Row],[IndicatorCode]],Table1[value]))</f>
        <v>5.2319501044600996</v>
      </c>
      <c r="J3859">
        <f>(Table1[[#This Row],[value]] - Table1[[#This Row],[mean]]) / Table1[[#This Row],[std_dev]]</f>
        <v>0.25049457907278921</v>
      </c>
      <c r="K3859">
        <f>AVERAGEIF(Table1[CountryCode],Table1[[#This Row],[CountryCode]],Table1[z-score])</f>
        <v>0.64774457538517582</v>
      </c>
      <c r="L3859" t="e">
        <f>VLOOKUP(Table1[[#This Row],[CountryCode]],[1]!Table1[#Data],4,FALSE)</f>
        <v>#REF!</v>
      </c>
    </row>
    <row r="3860" spans="1:12" hidden="1" x14ac:dyDescent="0.3">
      <c r="A3860" t="s">
        <v>93</v>
      </c>
      <c r="B3860" t="s">
        <v>94</v>
      </c>
      <c r="C3860" t="s">
        <v>125</v>
      </c>
      <c r="D3860" t="s">
        <v>126</v>
      </c>
      <c r="E3860">
        <v>1976</v>
      </c>
      <c r="F3860" s="1">
        <v>10</v>
      </c>
      <c r="G3860">
        <v>1970</v>
      </c>
      <c r="H3860">
        <f>AVERAGEIFS(Table1[value],Table1[IndicatorCode],Table1[[#This Row],[IndicatorCode]])</f>
        <v>7.6894248608534319</v>
      </c>
      <c r="I3860" cm="1">
        <f t="array" ref="I3860">_xlfn.STDEV.P(IF(Table1[IndicatorCode]=Table1[[#This Row],[IndicatorCode]],Table1[value]))</f>
        <v>5.2319501044600996</v>
      </c>
      <c r="J3860">
        <f>(Table1[[#This Row],[value]] - Table1[[#This Row],[mean]]) / Table1[[#This Row],[std_dev]]</f>
        <v>0.44162790030754762</v>
      </c>
      <c r="K3860">
        <f>AVERAGEIF(Table1[CountryCode],Table1[[#This Row],[CountryCode]],Table1[z-score])</f>
        <v>0.64774457538517582</v>
      </c>
      <c r="L3860" t="e">
        <f>VLOOKUP(Table1[[#This Row],[CountryCode]],[1]!Table1[#Data],4,FALSE)</f>
        <v>#REF!</v>
      </c>
    </row>
    <row r="3861" spans="1:12" hidden="1" x14ac:dyDescent="0.3">
      <c r="A3861" t="s">
        <v>93</v>
      </c>
      <c r="B3861" t="s">
        <v>94</v>
      </c>
      <c r="C3861" t="s">
        <v>125</v>
      </c>
      <c r="D3861" t="s">
        <v>126</v>
      </c>
      <c r="E3861">
        <v>1977</v>
      </c>
      <c r="F3861" s="1">
        <v>10</v>
      </c>
      <c r="G3861">
        <v>1980</v>
      </c>
      <c r="H3861">
        <f>AVERAGEIFS(Table1[value],Table1[IndicatorCode],Table1[[#This Row],[IndicatorCode]])</f>
        <v>7.6894248608534319</v>
      </c>
      <c r="I3861" cm="1">
        <f t="array" ref="I3861">_xlfn.STDEV.P(IF(Table1[IndicatorCode]=Table1[[#This Row],[IndicatorCode]],Table1[value]))</f>
        <v>5.2319501044600996</v>
      </c>
      <c r="J3861">
        <f>(Table1[[#This Row],[value]] - Table1[[#This Row],[mean]]) / Table1[[#This Row],[std_dev]]</f>
        <v>0.44162790030754762</v>
      </c>
      <c r="K3861">
        <f>AVERAGEIF(Table1[CountryCode],Table1[[#This Row],[CountryCode]],Table1[z-score])</f>
        <v>0.64774457538517582</v>
      </c>
      <c r="L3861" t="e">
        <f>VLOOKUP(Table1[[#This Row],[CountryCode]],[1]!Table1[#Data],4,FALSE)</f>
        <v>#REF!</v>
      </c>
    </row>
    <row r="3862" spans="1:12" hidden="1" x14ac:dyDescent="0.3">
      <c r="A3862" t="s">
        <v>93</v>
      </c>
      <c r="B3862" t="s">
        <v>94</v>
      </c>
      <c r="C3862" t="s">
        <v>125</v>
      </c>
      <c r="D3862" t="s">
        <v>126</v>
      </c>
      <c r="E3862">
        <v>1978</v>
      </c>
      <c r="F3862" s="1">
        <v>9</v>
      </c>
      <c r="G3862">
        <v>1980</v>
      </c>
      <c r="H3862">
        <f>AVERAGEIFS(Table1[value],Table1[IndicatorCode],Table1[[#This Row],[IndicatorCode]])</f>
        <v>7.6894248608534319</v>
      </c>
      <c r="I3862" cm="1">
        <f t="array" ref="I3862">_xlfn.STDEV.P(IF(Table1[IndicatorCode]=Table1[[#This Row],[IndicatorCode]],Table1[value]))</f>
        <v>5.2319501044600996</v>
      </c>
      <c r="J3862">
        <f>(Table1[[#This Row],[value]] - Table1[[#This Row],[mean]]) / Table1[[#This Row],[std_dev]]</f>
        <v>0.25049457907278921</v>
      </c>
      <c r="K3862">
        <f>AVERAGEIF(Table1[CountryCode],Table1[[#This Row],[CountryCode]],Table1[z-score])</f>
        <v>0.64774457538517582</v>
      </c>
      <c r="L3862" t="e">
        <f>VLOOKUP(Table1[[#This Row],[CountryCode]],[1]!Table1[#Data],4,FALSE)</f>
        <v>#REF!</v>
      </c>
    </row>
    <row r="3863" spans="1:12" hidden="1" x14ac:dyDescent="0.3">
      <c r="A3863" t="s">
        <v>93</v>
      </c>
      <c r="B3863" t="s">
        <v>94</v>
      </c>
      <c r="C3863" t="s">
        <v>125</v>
      </c>
      <c r="D3863" t="s">
        <v>126</v>
      </c>
      <c r="E3863">
        <v>1979</v>
      </c>
      <c r="F3863" s="1">
        <v>10</v>
      </c>
      <c r="G3863">
        <v>1980</v>
      </c>
      <c r="H3863">
        <f>AVERAGEIFS(Table1[value],Table1[IndicatorCode],Table1[[#This Row],[IndicatorCode]])</f>
        <v>7.6894248608534319</v>
      </c>
      <c r="I3863" cm="1">
        <f t="array" ref="I3863">_xlfn.STDEV.P(IF(Table1[IndicatorCode]=Table1[[#This Row],[IndicatorCode]],Table1[value]))</f>
        <v>5.2319501044600996</v>
      </c>
      <c r="J3863">
        <f>(Table1[[#This Row],[value]] - Table1[[#This Row],[mean]]) / Table1[[#This Row],[std_dev]]</f>
        <v>0.44162790030754762</v>
      </c>
      <c r="K3863">
        <f>AVERAGEIF(Table1[CountryCode],Table1[[#This Row],[CountryCode]],Table1[z-score])</f>
        <v>0.64774457538517582</v>
      </c>
      <c r="L3863" t="e">
        <f>VLOOKUP(Table1[[#This Row],[CountryCode]],[1]!Table1[#Data],4,FALSE)</f>
        <v>#REF!</v>
      </c>
    </row>
    <row r="3864" spans="1:12" hidden="1" x14ac:dyDescent="0.3">
      <c r="A3864" t="s">
        <v>93</v>
      </c>
      <c r="B3864" t="s">
        <v>94</v>
      </c>
      <c r="C3864" t="s">
        <v>125</v>
      </c>
      <c r="D3864" t="s">
        <v>126</v>
      </c>
      <c r="E3864">
        <v>1980</v>
      </c>
      <c r="F3864" s="1">
        <v>10</v>
      </c>
      <c r="G3864">
        <v>1980</v>
      </c>
      <c r="H3864">
        <f>AVERAGEIFS(Table1[value],Table1[IndicatorCode],Table1[[#This Row],[IndicatorCode]])</f>
        <v>7.6894248608534319</v>
      </c>
      <c r="I3864" cm="1">
        <f t="array" ref="I3864">_xlfn.STDEV.P(IF(Table1[IndicatorCode]=Table1[[#This Row],[IndicatorCode]],Table1[value]))</f>
        <v>5.2319501044600996</v>
      </c>
      <c r="J3864">
        <f>(Table1[[#This Row],[value]] - Table1[[#This Row],[mean]]) / Table1[[#This Row],[std_dev]]</f>
        <v>0.44162790030754762</v>
      </c>
      <c r="K3864">
        <f>AVERAGEIF(Table1[CountryCode],Table1[[#This Row],[CountryCode]],Table1[z-score])</f>
        <v>0.64774457538517582</v>
      </c>
      <c r="L3864" t="e">
        <f>VLOOKUP(Table1[[#This Row],[CountryCode]],[1]!Table1[#Data],4,FALSE)</f>
        <v>#REF!</v>
      </c>
    </row>
    <row r="3865" spans="1:12" hidden="1" x14ac:dyDescent="0.3">
      <c r="A3865" t="s">
        <v>93</v>
      </c>
      <c r="B3865" t="s">
        <v>94</v>
      </c>
      <c r="C3865" t="s">
        <v>125</v>
      </c>
      <c r="D3865" t="s">
        <v>126</v>
      </c>
      <c r="E3865">
        <v>1981</v>
      </c>
      <c r="F3865" s="1">
        <v>9</v>
      </c>
      <c r="G3865">
        <v>1980</v>
      </c>
      <c r="H3865">
        <f>AVERAGEIFS(Table1[value],Table1[IndicatorCode],Table1[[#This Row],[IndicatorCode]])</f>
        <v>7.6894248608534319</v>
      </c>
      <c r="I3865" cm="1">
        <f t="array" ref="I3865">_xlfn.STDEV.P(IF(Table1[IndicatorCode]=Table1[[#This Row],[IndicatorCode]],Table1[value]))</f>
        <v>5.2319501044600996</v>
      </c>
      <c r="J3865">
        <f>(Table1[[#This Row],[value]] - Table1[[#This Row],[mean]]) / Table1[[#This Row],[std_dev]]</f>
        <v>0.25049457907278921</v>
      </c>
      <c r="K3865">
        <f>AVERAGEIF(Table1[CountryCode],Table1[[#This Row],[CountryCode]],Table1[z-score])</f>
        <v>0.64774457538517582</v>
      </c>
      <c r="L3865" t="e">
        <f>VLOOKUP(Table1[[#This Row],[CountryCode]],[1]!Table1[#Data],4,FALSE)</f>
        <v>#REF!</v>
      </c>
    </row>
    <row r="3866" spans="1:12" hidden="1" x14ac:dyDescent="0.3">
      <c r="A3866" t="s">
        <v>93</v>
      </c>
      <c r="B3866" t="s">
        <v>94</v>
      </c>
      <c r="C3866" t="s">
        <v>125</v>
      </c>
      <c r="D3866" t="s">
        <v>126</v>
      </c>
      <c r="E3866">
        <v>1982</v>
      </c>
      <c r="F3866" s="1">
        <v>8</v>
      </c>
      <c r="G3866">
        <v>1980</v>
      </c>
      <c r="H3866">
        <f>AVERAGEIFS(Table1[value],Table1[IndicatorCode],Table1[[#This Row],[IndicatorCode]])</f>
        <v>7.6894248608534319</v>
      </c>
      <c r="I3866" cm="1">
        <f t="array" ref="I3866">_xlfn.STDEV.P(IF(Table1[IndicatorCode]=Table1[[#This Row],[IndicatorCode]],Table1[value]))</f>
        <v>5.2319501044600996</v>
      </c>
      <c r="J3866">
        <f>(Table1[[#This Row],[value]] - Table1[[#This Row],[mean]]) / Table1[[#This Row],[std_dev]]</f>
        <v>5.9361257838030791E-2</v>
      </c>
      <c r="K3866">
        <f>AVERAGEIF(Table1[CountryCode],Table1[[#This Row],[CountryCode]],Table1[z-score])</f>
        <v>0.64774457538517582</v>
      </c>
      <c r="L3866" t="e">
        <f>VLOOKUP(Table1[[#This Row],[CountryCode]],[1]!Table1[#Data],4,FALSE)</f>
        <v>#REF!</v>
      </c>
    </row>
    <row r="3867" spans="1:12" hidden="1" x14ac:dyDescent="0.3">
      <c r="A3867" t="s">
        <v>93</v>
      </c>
      <c r="B3867" t="s">
        <v>94</v>
      </c>
      <c r="C3867" t="s">
        <v>125</v>
      </c>
      <c r="D3867" t="s">
        <v>126</v>
      </c>
      <c r="E3867">
        <v>1983</v>
      </c>
      <c r="F3867" s="1">
        <v>8</v>
      </c>
      <c r="G3867">
        <v>1980</v>
      </c>
      <c r="H3867">
        <f>AVERAGEIFS(Table1[value],Table1[IndicatorCode],Table1[[#This Row],[IndicatorCode]])</f>
        <v>7.6894248608534319</v>
      </c>
      <c r="I3867" cm="1">
        <f t="array" ref="I3867">_xlfn.STDEV.P(IF(Table1[IndicatorCode]=Table1[[#This Row],[IndicatorCode]],Table1[value]))</f>
        <v>5.2319501044600996</v>
      </c>
      <c r="J3867">
        <f>(Table1[[#This Row],[value]] - Table1[[#This Row],[mean]]) / Table1[[#This Row],[std_dev]]</f>
        <v>5.9361257838030791E-2</v>
      </c>
      <c r="K3867">
        <f>AVERAGEIF(Table1[CountryCode],Table1[[#This Row],[CountryCode]],Table1[z-score])</f>
        <v>0.64774457538517582</v>
      </c>
      <c r="L3867" t="e">
        <f>VLOOKUP(Table1[[#This Row],[CountryCode]],[1]!Table1[#Data],4,FALSE)</f>
        <v>#REF!</v>
      </c>
    </row>
    <row r="3868" spans="1:12" hidden="1" x14ac:dyDescent="0.3">
      <c r="A3868" t="s">
        <v>93</v>
      </c>
      <c r="B3868" t="s">
        <v>94</v>
      </c>
      <c r="C3868" t="s">
        <v>125</v>
      </c>
      <c r="D3868" t="s">
        <v>126</v>
      </c>
      <c r="E3868">
        <v>1984</v>
      </c>
      <c r="F3868" s="1">
        <v>8</v>
      </c>
      <c r="G3868">
        <v>1980</v>
      </c>
      <c r="H3868">
        <f>AVERAGEIFS(Table1[value],Table1[IndicatorCode],Table1[[#This Row],[IndicatorCode]])</f>
        <v>7.6894248608534319</v>
      </c>
      <c r="I3868" cm="1">
        <f t="array" ref="I3868">_xlfn.STDEV.P(IF(Table1[IndicatorCode]=Table1[[#This Row],[IndicatorCode]],Table1[value]))</f>
        <v>5.2319501044600996</v>
      </c>
      <c r="J3868">
        <f>(Table1[[#This Row],[value]] - Table1[[#This Row],[mean]]) / Table1[[#This Row],[std_dev]]</f>
        <v>5.9361257838030791E-2</v>
      </c>
      <c r="K3868">
        <f>AVERAGEIF(Table1[CountryCode],Table1[[#This Row],[CountryCode]],Table1[z-score])</f>
        <v>0.64774457538517582</v>
      </c>
      <c r="L3868" t="e">
        <f>VLOOKUP(Table1[[#This Row],[CountryCode]],[1]!Table1[#Data],4,FALSE)</f>
        <v>#REF!</v>
      </c>
    </row>
    <row r="3869" spans="1:12" hidden="1" x14ac:dyDescent="0.3">
      <c r="A3869" t="s">
        <v>93</v>
      </c>
      <c r="B3869" t="s">
        <v>94</v>
      </c>
      <c r="C3869" t="s">
        <v>125</v>
      </c>
      <c r="D3869" t="s">
        <v>126</v>
      </c>
      <c r="E3869">
        <v>1985</v>
      </c>
      <c r="F3869" s="1">
        <v>8</v>
      </c>
      <c r="G3869">
        <v>1980</v>
      </c>
      <c r="H3869">
        <f>AVERAGEIFS(Table1[value],Table1[IndicatorCode],Table1[[#This Row],[IndicatorCode]])</f>
        <v>7.6894248608534319</v>
      </c>
      <c r="I3869" cm="1">
        <f t="array" ref="I3869">_xlfn.STDEV.P(IF(Table1[IndicatorCode]=Table1[[#This Row],[IndicatorCode]],Table1[value]))</f>
        <v>5.2319501044600996</v>
      </c>
      <c r="J3869">
        <f>(Table1[[#This Row],[value]] - Table1[[#This Row],[mean]]) / Table1[[#This Row],[std_dev]]</f>
        <v>5.9361257838030791E-2</v>
      </c>
      <c r="K3869">
        <f>AVERAGEIF(Table1[CountryCode],Table1[[#This Row],[CountryCode]],Table1[z-score])</f>
        <v>0.64774457538517582</v>
      </c>
      <c r="L3869" t="e">
        <f>VLOOKUP(Table1[[#This Row],[CountryCode]],[1]!Table1[#Data],4,FALSE)</f>
        <v>#REF!</v>
      </c>
    </row>
    <row r="3870" spans="1:12" hidden="1" x14ac:dyDescent="0.3">
      <c r="A3870" t="s">
        <v>93</v>
      </c>
      <c r="B3870" t="s">
        <v>94</v>
      </c>
      <c r="C3870" t="s">
        <v>125</v>
      </c>
      <c r="D3870" t="s">
        <v>126</v>
      </c>
      <c r="E3870">
        <v>1986</v>
      </c>
      <c r="F3870" s="1">
        <v>9</v>
      </c>
      <c r="G3870">
        <v>1980</v>
      </c>
      <c r="H3870">
        <f>AVERAGEIFS(Table1[value],Table1[IndicatorCode],Table1[[#This Row],[IndicatorCode]])</f>
        <v>7.6894248608534319</v>
      </c>
      <c r="I3870" cm="1">
        <f t="array" ref="I3870">_xlfn.STDEV.P(IF(Table1[IndicatorCode]=Table1[[#This Row],[IndicatorCode]],Table1[value]))</f>
        <v>5.2319501044600996</v>
      </c>
      <c r="J3870">
        <f>(Table1[[#This Row],[value]] - Table1[[#This Row],[mean]]) / Table1[[#This Row],[std_dev]]</f>
        <v>0.25049457907278921</v>
      </c>
      <c r="K3870">
        <f>AVERAGEIF(Table1[CountryCode],Table1[[#This Row],[CountryCode]],Table1[z-score])</f>
        <v>0.64774457538517582</v>
      </c>
      <c r="L3870" t="e">
        <f>VLOOKUP(Table1[[#This Row],[CountryCode]],[1]!Table1[#Data],4,FALSE)</f>
        <v>#REF!</v>
      </c>
    </row>
    <row r="3871" spans="1:12" hidden="1" x14ac:dyDescent="0.3">
      <c r="A3871" t="s">
        <v>93</v>
      </c>
      <c r="B3871" t="s">
        <v>94</v>
      </c>
      <c r="C3871" t="s">
        <v>125</v>
      </c>
      <c r="D3871" t="s">
        <v>126</v>
      </c>
      <c r="E3871">
        <v>1987</v>
      </c>
      <c r="F3871" s="1">
        <v>9</v>
      </c>
      <c r="G3871">
        <v>1990</v>
      </c>
      <c r="H3871">
        <f>AVERAGEIFS(Table1[value],Table1[IndicatorCode],Table1[[#This Row],[IndicatorCode]])</f>
        <v>7.6894248608534319</v>
      </c>
      <c r="I3871" cm="1">
        <f t="array" ref="I3871">_xlfn.STDEV.P(IF(Table1[IndicatorCode]=Table1[[#This Row],[IndicatorCode]],Table1[value]))</f>
        <v>5.2319501044600996</v>
      </c>
      <c r="J3871">
        <f>(Table1[[#This Row],[value]] - Table1[[#This Row],[mean]]) / Table1[[#This Row],[std_dev]]</f>
        <v>0.25049457907278921</v>
      </c>
      <c r="K3871">
        <f>AVERAGEIF(Table1[CountryCode],Table1[[#This Row],[CountryCode]],Table1[z-score])</f>
        <v>0.64774457538517582</v>
      </c>
      <c r="L3871" t="e">
        <f>VLOOKUP(Table1[[#This Row],[CountryCode]],[1]!Table1[#Data],4,FALSE)</f>
        <v>#REF!</v>
      </c>
    </row>
    <row r="3872" spans="1:12" hidden="1" x14ac:dyDescent="0.3">
      <c r="A3872" t="s">
        <v>93</v>
      </c>
      <c r="B3872" t="s">
        <v>94</v>
      </c>
      <c r="C3872" t="s">
        <v>125</v>
      </c>
      <c r="D3872" t="s">
        <v>126</v>
      </c>
      <c r="E3872">
        <v>1988</v>
      </c>
      <c r="F3872" s="1">
        <v>9</v>
      </c>
      <c r="G3872">
        <v>1990</v>
      </c>
      <c r="H3872">
        <f>AVERAGEIFS(Table1[value],Table1[IndicatorCode],Table1[[#This Row],[IndicatorCode]])</f>
        <v>7.6894248608534319</v>
      </c>
      <c r="I3872" cm="1">
        <f t="array" ref="I3872">_xlfn.STDEV.P(IF(Table1[IndicatorCode]=Table1[[#This Row],[IndicatorCode]],Table1[value]))</f>
        <v>5.2319501044600996</v>
      </c>
      <c r="J3872">
        <f>(Table1[[#This Row],[value]] - Table1[[#This Row],[mean]]) / Table1[[#This Row],[std_dev]]</f>
        <v>0.25049457907278921</v>
      </c>
      <c r="K3872">
        <f>AVERAGEIF(Table1[CountryCode],Table1[[#This Row],[CountryCode]],Table1[z-score])</f>
        <v>0.64774457538517582</v>
      </c>
      <c r="L3872" t="e">
        <f>VLOOKUP(Table1[[#This Row],[CountryCode]],[1]!Table1[#Data],4,FALSE)</f>
        <v>#REF!</v>
      </c>
    </row>
    <row r="3873" spans="1:12" hidden="1" x14ac:dyDescent="0.3">
      <c r="A3873" t="s">
        <v>93</v>
      </c>
      <c r="B3873" t="s">
        <v>94</v>
      </c>
      <c r="C3873" t="s">
        <v>125</v>
      </c>
      <c r="D3873" t="s">
        <v>126</v>
      </c>
      <c r="E3873">
        <v>1989</v>
      </c>
      <c r="F3873" s="1">
        <v>9</v>
      </c>
      <c r="G3873">
        <v>1990</v>
      </c>
      <c r="H3873">
        <f>AVERAGEIFS(Table1[value],Table1[IndicatorCode],Table1[[#This Row],[IndicatorCode]])</f>
        <v>7.6894248608534319</v>
      </c>
      <c r="I3873" cm="1">
        <f t="array" ref="I3873">_xlfn.STDEV.P(IF(Table1[IndicatorCode]=Table1[[#This Row],[IndicatorCode]],Table1[value]))</f>
        <v>5.2319501044600996</v>
      </c>
      <c r="J3873">
        <f>(Table1[[#This Row],[value]] - Table1[[#This Row],[mean]]) / Table1[[#This Row],[std_dev]]</f>
        <v>0.25049457907278921</v>
      </c>
      <c r="K3873">
        <f>AVERAGEIF(Table1[CountryCode],Table1[[#This Row],[CountryCode]],Table1[z-score])</f>
        <v>0.64774457538517582</v>
      </c>
      <c r="L3873" t="e">
        <f>VLOOKUP(Table1[[#This Row],[CountryCode]],[1]!Table1[#Data],4,FALSE)</f>
        <v>#REF!</v>
      </c>
    </row>
    <row r="3874" spans="1:12" hidden="1" x14ac:dyDescent="0.3">
      <c r="A3874" t="s">
        <v>93</v>
      </c>
      <c r="B3874" t="s">
        <v>94</v>
      </c>
      <c r="C3874" t="s">
        <v>125</v>
      </c>
      <c r="D3874" t="s">
        <v>126</v>
      </c>
      <c r="E3874">
        <v>1990</v>
      </c>
      <c r="F3874" s="1">
        <v>9</v>
      </c>
      <c r="G3874">
        <v>1990</v>
      </c>
      <c r="H3874">
        <f>AVERAGEIFS(Table1[value],Table1[IndicatorCode],Table1[[#This Row],[IndicatorCode]])</f>
        <v>7.6894248608534319</v>
      </c>
      <c r="I3874" cm="1">
        <f t="array" ref="I3874">_xlfn.STDEV.P(IF(Table1[IndicatorCode]=Table1[[#This Row],[IndicatorCode]],Table1[value]))</f>
        <v>5.2319501044600996</v>
      </c>
      <c r="J3874">
        <f>(Table1[[#This Row],[value]] - Table1[[#This Row],[mean]]) / Table1[[#This Row],[std_dev]]</f>
        <v>0.25049457907278921</v>
      </c>
      <c r="K3874">
        <f>AVERAGEIF(Table1[CountryCode],Table1[[#This Row],[CountryCode]],Table1[z-score])</f>
        <v>0.64774457538517582</v>
      </c>
      <c r="L3874" t="e">
        <f>VLOOKUP(Table1[[#This Row],[CountryCode]],[1]!Table1[#Data],4,FALSE)</f>
        <v>#REF!</v>
      </c>
    </row>
    <row r="3875" spans="1:12" hidden="1" x14ac:dyDescent="0.3">
      <c r="A3875" t="s">
        <v>93</v>
      </c>
      <c r="B3875" t="s">
        <v>94</v>
      </c>
      <c r="C3875" t="s">
        <v>125</v>
      </c>
      <c r="D3875" t="s">
        <v>126</v>
      </c>
      <c r="E3875">
        <v>1991</v>
      </c>
      <c r="F3875" s="1">
        <v>8</v>
      </c>
      <c r="G3875">
        <v>1990</v>
      </c>
      <c r="H3875">
        <f>AVERAGEIFS(Table1[value],Table1[IndicatorCode],Table1[[#This Row],[IndicatorCode]])</f>
        <v>7.6894248608534319</v>
      </c>
      <c r="I3875" cm="1">
        <f t="array" ref="I3875">_xlfn.STDEV.P(IF(Table1[IndicatorCode]=Table1[[#This Row],[IndicatorCode]],Table1[value]))</f>
        <v>5.2319501044600996</v>
      </c>
      <c r="J3875">
        <f>(Table1[[#This Row],[value]] - Table1[[#This Row],[mean]]) / Table1[[#This Row],[std_dev]]</f>
        <v>5.9361257838030791E-2</v>
      </c>
      <c r="K3875">
        <f>AVERAGEIF(Table1[CountryCode],Table1[[#This Row],[CountryCode]],Table1[z-score])</f>
        <v>0.64774457538517582</v>
      </c>
      <c r="L3875" t="e">
        <f>VLOOKUP(Table1[[#This Row],[CountryCode]],[1]!Table1[#Data],4,FALSE)</f>
        <v>#REF!</v>
      </c>
    </row>
    <row r="3876" spans="1:12" hidden="1" x14ac:dyDescent="0.3">
      <c r="A3876" t="s">
        <v>93</v>
      </c>
      <c r="B3876" t="s">
        <v>94</v>
      </c>
      <c r="C3876" t="s">
        <v>125</v>
      </c>
      <c r="D3876" t="s">
        <v>126</v>
      </c>
      <c r="E3876">
        <v>1992</v>
      </c>
      <c r="F3876" s="1">
        <v>8</v>
      </c>
      <c r="G3876">
        <v>1990</v>
      </c>
      <c r="H3876">
        <f>AVERAGEIFS(Table1[value],Table1[IndicatorCode],Table1[[#This Row],[IndicatorCode]])</f>
        <v>7.6894248608534319</v>
      </c>
      <c r="I3876" cm="1">
        <f t="array" ref="I3876">_xlfn.STDEV.P(IF(Table1[IndicatorCode]=Table1[[#This Row],[IndicatorCode]],Table1[value]))</f>
        <v>5.2319501044600996</v>
      </c>
      <c r="J3876">
        <f>(Table1[[#This Row],[value]] - Table1[[#This Row],[mean]]) / Table1[[#This Row],[std_dev]]</f>
        <v>5.9361257838030791E-2</v>
      </c>
      <c r="K3876">
        <f>AVERAGEIF(Table1[CountryCode],Table1[[#This Row],[CountryCode]],Table1[z-score])</f>
        <v>0.64774457538517582</v>
      </c>
      <c r="L3876" t="e">
        <f>VLOOKUP(Table1[[#This Row],[CountryCode]],[1]!Table1[#Data],4,FALSE)</f>
        <v>#REF!</v>
      </c>
    </row>
    <row r="3877" spans="1:12" hidden="1" x14ac:dyDescent="0.3">
      <c r="A3877" t="s">
        <v>93</v>
      </c>
      <c r="B3877" t="s">
        <v>94</v>
      </c>
      <c r="C3877" t="s">
        <v>125</v>
      </c>
      <c r="D3877" t="s">
        <v>126</v>
      </c>
      <c r="E3877">
        <v>1993</v>
      </c>
      <c r="F3877" s="1">
        <v>9</v>
      </c>
      <c r="G3877">
        <v>1990</v>
      </c>
      <c r="H3877">
        <f>AVERAGEIFS(Table1[value],Table1[IndicatorCode],Table1[[#This Row],[IndicatorCode]])</f>
        <v>7.6894248608534319</v>
      </c>
      <c r="I3877" cm="1">
        <f t="array" ref="I3877">_xlfn.STDEV.P(IF(Table1[IndicatorCode]=Table1[[#This Row],[IndicatorCode]],Table1[value]))</f>
        <v>5.2319501044600996</v>
      </c>
      <c r="J3877">
        <f>(Table1[[#This Row],[value]] - Table1[[#This Row],[mean]]) / Table1[[#This Row],[std_dev]]</f>
        <v>0.25049457907278921</v>
      </c>
      <c r="K3877">
        <f>AVERAGEIF(Table1[CountryCode],Table1[[#This Row],[CountryCode]],Table1[z-score])</f>
        <v>0.64774457538517582</v>
      </c>
      <c r="L3877" t="e">
        <f>VLOOKUP(Table1[[#This Row],[CountryCode]],[1]!Table1[#Data],4,FALSE)</f>
        <v>#REF!</v>
      </c>
    </row>
    <row r="3878" spans="1:12" hidden="1" x14ac:dyDescent="0.3">
      <c r="A3878" t="s">
        <v>93</v>
      </c>
      <c r="B3878" t="s">
        <v>94</v>
      </c>
      <c r="C3878" t="s">
        <v>125</v>
      </c>
      <c r="D3878" t="s">
        <v>126</v>
      </c>
      <c r="E3878">
        <v>1994</v>
      </c>
      <c r="F3878" s="1">
        <v>9</v>
      </c>
      <c r="G3878">
        <v>1990</v>
      </c>
      <c r="H3878">
        <f>AVERAGEIFS(Table1[value],Table1[IndicatorCode],Table1[[#This Row],[IndicatorCode]])</f>
        <v>7.6894248608534319</v>
      </c>
      <c r="I3878" cm="1">
        <f t="array" ref="I3878">_xlfn.STDEV.P(IF(Table1[IndicatorCode]=Table1[[#This Row],[IndicatorCode]],Table1[value]))</f>
        <v>5.2319501044600996</v>
      </c>
      <c r="J3878">
        <f>(Table1[[#This Row],[value]] - Table1[[#This Row],[mean]]) / Table1[[#This Row],[std_dev]]</f>
        <v>0.25049457907278921</v>
      </c>
      <c r="K3878">
        <f>AVERAGEIF(Table1[CountryCode],Table1[[#This Row],[CountryCode]],Table1[z-score])</f>
        <v>0.64774457538517582</v>
      </c>
      <c r="L3878" t="e">
        <f>VLOOKUP(Table1[[#This Row],[CountryCode]],[1]!Table1[#Data],4,FALSE)</f>
        <v>#REF!</v>
      </c>
    </row>
    <row r="3879" spans="1:12" hidden="1" x14ac:dyDescent="0.3">
      <c r="A3879" t="s">
        <v>93</v>
      </c>
      <c r="B3879" t="s">
        <v>94</v>
      </c>
      <c r="C3879" t="s">
        <v>125</v>
      </c>
      <c r="D3879" t="s">
        <v>126</v>
      </c>
      <c r="E3879">
        <v>1995</v>
      </c>
      <c r="F3879" s="1">
        <v>9</v>
      </c>
      <c r="G3879">
        <v>1990</v>
      </c>
      <c r="H3879">
        <f>AVERAGEIFS(Table1[value],Table1[IndicatorCode],Table1[[#This Row],[IndicatorCode]])</f>
        <v>7.6894248608534319</v>
      </c>
      <c r="I3879" cm="1">
        <f t="array" ref="I3879">_xlfn.STDEV.P(IF(Table1[IndicatorCode]=Table1[[#This Row],[IndicatorCode]],Table1[value]))</f>
        <v>5.2319501044600996</v>
      </c>
      <c r="J3879">
        <f>(Table1[[#This Row],[value]] - Table1[[#This Row],[mean]]) / Table1[[#This Row],[std_dev]]</f>
        <v>0.25049457907278921</v>
      </c>
      <c r="K3879">
        <f>AVERAGEIF(Table1[CountryCode],Table1[[#This Row],[CountryCode]],Table1[z-score])</f>
        <v>0.64774457538517582</v>
      </c>
      <c r="L3879" t="e">
        <f>VLOOKUP(Table1[[#This Row],[CountryCode]],[1]!Table1[#Data],4,FALSE)</f>
        <v>#REF!</v>
      </c>
    </row>
    <row r="3880" spans="1:12" hidden="1" x14ac:dyDescent="0.3">
      <c r="A3880" t="s">
        <v>93</v>
      </c>
      <c r="B3880" t="s">
        <v>94</v>
      </c>
      <c r="C3880" t="s">
        <v>125</v>
      </c>
      <c r="D3880" t="s">
        <v>126</v>
      </c>
      <c r="E3880">
        <v>1996</v>
      </c>
      <c r="F3880" s="1">
        <v>9</v>
      </c>
      <c r="G3880">
        <v>1990</v>
      </c>
      <c r="H3880">
        <f>AVERAGEIFS(Table1[value],Table1[IndicatorCode],Table1[[#This Row],[IndicatorCode]])</f>
        <v>7.6894248608534319</v>
      </c>
      <c r="I3880" cm="1">
        <f t="array" ref="I3880">_xlfn.STDEV.P(IF(Table1[IndicatorCode]=Table1[[#This Row],[IndicatorCode]],Table1[value]))</f>
        <v>5.2319501044600996</v>
      </c>
      <c r="J3880">
        <f>(Table1[[#This Row],[value]] - Table1[[#This Row],[mean]]) / Table1[[#This Row],[std_dev]]</f>
        <v>0.25049457907278921</v>
      </c>
      <c r="K3880">
        <f>AVERAGEIF(Table1[CountryCode],Table1[[#This Row],[CountryCode]],Table1[z-score])</f>
        <v>0.64774457538517582</v>
      </c>
      <c r="L3880" t="e">
        <f>VLOOKUP(Table1[[#This Row],[CountryCode]],[1]!Table1[#Data],4,FALSE)</f>
        <v>#REF!</v>
      </c>
    </row>
    <row r="3881" spans="1:12" hidden="1" x14ac:dyDescent="0.3">
      <c r="A3881" t="s">
        <v>93</v>
      </c>
      <c r="B3881" t="s">
        <v>94</v>
      </c>
      <c r="C3881" t="s">
        <v>125</v>
      </c>
      <c r="D3881" t="s">
        <v>126</v>
      </c>
      <c r="E3881">
        <v>1997</v>
      </c>
      <c r="F3881" s="1">
        <v>10</v>
      </c>
      <c r="G3881">
        <v>2000</v>
      </c>
      <c r="H3881">
        <f>AVERAGEIFS(Table1[value],Table1[IndicatorCode],Table1[[#This Row],[IndicatorCode]])</f>
        <v>7.6894248608534319</v>
      </c>
      <c r="I3881" cm="1">
        <f t="array" ref="I3881">_xlfn.STDEV.P(IF(Table1[IndicatorCode]=Table1[[#This Row],[IndicatorCode]],Table1[value]))</f>
        <v>5.2319501044600996</v>
      </c>
      <c r="J3881">
        <f>(Table1[[#This Row],[value]] - Table1[[#This Row],[mean]]) / Table1[[#This Row],[std_dev]]</f>
        <v>0.44162790030754762</v>
      </c>
      <c r="K3881">
        <f>AVERAGEIF(Table1[CountryCode],Table1[[#This Row],[CountryCode]],Table1[z-score])</f>
        <v>0.64774457538517582</v>
      </c>
      <c r="L3881" t="e">
        <f>VLOOKUP(Table1[[#This Row],[CountryCode]],[1]!Table1[#Data],4,FALSE)</f>
        <v>#REF!</v>
      </c>
    </row>
    <row r="3882" spans="1:12" hidden="1" x14ac:dyDescent="0.3">
      <c r="A3882" t="s">
        <v>93</v>
      </c>
      <c r="B3882" t="s">
        <v>94</v>
      </c>
      <c r="C3882" t="s">
        <v>125</v>
      </c>
      <c r="D3882" t="s">
        <v>126</v>
      </c>
      <c r="E3882">
        <v>1998</v>
      </c>
      <c r="F3882" s="1">
        <v>10</v>
      </c>
      <c r="G3882">
        <v>2000</v>
      </c>
      <c r="H3882">
        <f>AVERAGEIFS(Table1[value],Table1[IndicatorCode],Table1[[#This Row],[IndicatorCode]])</f>
        <v>7.6894248608534319</v>
      </c>
      <c r="I3882" cm="1">
        <f t="array" ref="I3882">_xlfn.STDEV.P(IF(Table1[IndicatorCode]=Table1[[#This Row],[IndicatorCode]],Table1[value]))</f>
        <v>5.2319501044600996</v>
      </c>
      <c r="J3882">
        <f>(Table1[[#This Row],[value]] - Table1[[#This Row],[mean]]) / Table1[[#This Row],[std_dev]]</f>
        <v>0.44162790030754762</v>
      </c>
      <c r="K3882">
        <f>AVERAGEIF(Table1[CountryCode],Table1[[#This Row],[CountryCode]],Table1[z-score])</f>
        <v>0.64774457538517582</v>
      </c>
      <c r="L3882" t="e">
        <f>VLOOKUP(Table1[[#This Row],[CountryCode]],[1]!Table1[#Data],4,FALSE)</f>
        <v>#REF!</v>
      </c>
    </row>
    <row r="3883" spans="1:12" hidden="1" x14ac:dyDescent="0.3">
      <c r="A3883" t="s">
        <v>93</v>
      </c>
      <c r="B3883" t="s">
        <v>94</v>
      </c>
      <c r="C3883" t="s">
        <v>125</v>
      </c>
      <c r="D3883" t="s">
        <v>126</v>
      </c>
      <c r="E3883">
        <v>1999</v>
      </c>
      <c r="F3883" s="1">
        <v>10</v>
      </c>
      <c r="G3883">
        <v>2000</v>
      </c>
      <c r="H3883">
        <f>AVERAGEIFS(Table1[value],Table1[IndicatorCode],Table1[[#This Row],[IndicatorCode]])</f>
        <v>7.6894248608534319</v>
      </c>
      <c r="I3883" cm="1">
        <f t="array" ref="I3883">_xlfn.STDEV.P(IF(Table1[IndicatorCode]=Table1[[#This Row],[IndicatorCode]],Table1[value]))</f>
        <v>5.2319501044600996</v>
      </c>
      <c r="J3883">
        <f>(Table1[[#This Row],[value]] - Table1[[#This Row],[mean]]) / Table1[[#This Row],[std_dev]]</f>
        <v>0.44162790030754762</v>
      </c>
      <c r="K3883">
        <f>AVERAGEIF(Table1[CountryCode],Table1[[#This Row],[CountryCode]],Table1[z-score])</f>
        <v>0.64774457538517582</v>
      </c>
      <c r="L3883" t="e">
        <f>VLOOKUP(Table1[[#This Row],[CountryCode]],[1]!Table1[#Data],4,FALSE)</f>
        <v>#REF!</v>
      </c>
    </row>
    <row r="3884" spans="1:12" hidden="1" x14ac:dyDescent="0.3">
      <c r="A3884" t="s">
        <v>93</v>
      </c>
      <c r="B3884" t="s">
        <v>94</v>
      </c>
      <c r="C3884" t="s">
        <v>125</v>
      </c>
      <c r="D3884" t="s">
        <v>126</v>
      </c>
      <c r="E3884">
        <v>2000</v>
      </c>
      <c r="F3884" s="1">
        <v>9</v>
      </c>
      <c r="G3884">
        <v>2000</v>
      </c>
      <c r="H3884">
        <f>AVERAGEIFS(Table1[value],Table1[IndicatorCode],Table1[[#This Row],[IndicatorCode]])</f>
        <v>7.6894248608534319</v>
      </c>
      <c r="I3884" cm="1">
        <f t="array" ref="I3884">_xlfn.STDEV.P(IF(Table1[IndicatorCode]=Table1[[#This Row],[IndicatorCode]],Table1[value]))</f>
        <v>5.2319501044600996</v>
      </c>
      <c r="J3884">
        <f>(Table1[[#This Row],[value]] - Table1[[#This Row],[mean]]) / Table1[[#This Row],[std_dev]]</f>
        <v>0.25049457907278921</v>
      </c>
      <c r="K3884">
        <f>AVERAGEIF(Table1[CountryCode],Table1[[#This Row],[CountryCode]],Table1[z-score])</f>
        <v>0.64774457538517582</v>
      </c>
      <c r="L3884" t="e">
        <f>VLOOKUP(Table1[[#This Row],[CountryCode]],[1]!Table1[#Data],4,FALSE)</f>
        <v>#REF!</v>
      </c>
    </row>
    <row r="3885" spans="1:12" hidden="1" x14ac:dyDescent="0.3">
      <c r="A3885" t="s">
        <v>93</v>
      </c>
      <c r="B3885" t="s">
        <v>94</v>
      </c>
      <c r="C3885" t="s">
        <v>125</v>
      </c>
      <c r="D3885" t="s">
        <v>126</v>
      </c>
      <c r="E3885">
        <v>2001</v>
      </c>
      <c r="F3885" s="1">
        <v>9</v>
      </c>
      <c r="G3885">
        <v>2000</v>
      </c>
      <c r="H3885">
        <f>AVERAGEIFS(Table1[value],Table1[IndicatorCode],Table1[[#This Row],[IndicatorCode]])</f>
        <v>7.6894248608534319</v>
      </c>
      <c r="I3885" cm="1">
        <f t="array" ref="I3885">_xlfn.STDEV.P(IF(Table1[IndicatorCode]=Table1[[#This Row],[IndicatorCode]],Table1[value]))</f>
        <v>5.2319501044600996</v>
      </c>
      <c r="J3885">
        <f>(Table1[[#This Row],[value]] - Table1[[#This Row],[mean]]) / Table1[[#This Row],[std_dev]]</f>
        <v>0.25049457907278921</v>
      </c>
      <c r="K3885">
        <f>AVERAGEIF(Table1[CountryCode],Table1[[#This Row],[CountryCode]],Table1[z-score])</f>
        <v>0.64774457538517582</v>
      </c>
      <c r="L3885" t="e">
        <f>VLOOKUP(Table1[[#This Row],[CountryCode]],[1]!Table1[#Data],4,FALSE)</f>
        <v>#REF!</v>
      </c>
    </row>
    <row r="3886" spans="1:12" hidden="1" x14ac:dyDescent="0.3">
      <c r="A3886" t="s">
        <v>93</v>
      </c>
      <c r="B3886" t="s">
        <v>94</v>
      </c>
      <c r="C3886" t="s">
        <v>125</v>
      </c>
      <c r="D3886" t="s">
        <v>126</v>
      </c>
      <c r="E3886">
        <v>2002</v>
      </c>
      <c r="F3886" s="1">
        <v>9</v>
      </c>
      <c r="G3886">
        <v>2000</v>
      </c>
      <c r="H3886">
        <f>AVERAGEIFS(Table1[value],Table1[IndicatorCode],Table1[[#This Row],[IndicatorCode]])</f>
        <v>7.6894248608534319</v>
      </c>
      <c r="I3886" cm="1">
        <f t="array" ref="I3886">_xlfn.STDEV.P(IF(Table1[IndicatorCode]=Table1[[#This Row],[IndicatorCode]],Table1[value]))</f>
        <v>5.2319501044600996</v>
      </c>
      <c r="J3886">
        <f>(Table1[[#This Row],[value]] - Table1[[#This Row],[mean]]) / Table1[[#This Row],[std_dev]]</f>
        <v>0.25049457907278921</v>
      </c>
      <c r="K3886">
        <f>AVERAGEIF(Table1[CountryCode],Table1[[#This Row],[CountryCode]],Table1[z-score])</f>
        <v>0.64774457538517582</v>
      </c>
      <c r="L3886" t="e">
        <f>VLOOKUP(Table1[[#This Row],[CountryCode]],[1]!Table1[#Data],4,FALSE)</f>
        <v>#REF!</v>
      </c>
    </row>
    <row r="3887" spans="1:12" hidden="1" x14ac:dyDescent="0.3">
      <c r="A3887" t="s">
        <v>93</v>
      </c>
      <c r="B3887" t="s">
        <v>94</v>
      </c>
      <c r="C3887" t="s">
        <v>125</v>
      </c>
      <c r="D3887" t="s">
        <v>126</v>
      </c>
      <c r="E3887">
        <v>2003</v>
      </c>
      <c r="F3887" s="1">
        <v>10</v>
      </c>
      <c r="G3887">
        <v>2000</v>
      </c>
      <c r="H3887">
        <f>AVERAGEIFS(Table1[value],Table1[IndicatorCode],Table1[[#This Row],[IndicatorCode]])</f>
        <v>7.6894248608534319</v>
      </c>
      <c r="I3887" cm="1">
        <f t="array" ref="I3887">_xlfn.STDEV.P(IF(Table1[IndicatorCode]=Table1[[#This Row],[IndicatorCode]],Table1[value]))</f>
        <v>5.2319501044600996</v>
      </c>
      <c r="J3887">
        <f>(Table1[[#This Row],[value]] - Table1[[#This Row],[mean]]) / Table1[[#This Row],[std_dev]]</f>
        <v>0.44162790030754762</v>
      </c>
      <c r="K3887">
        <f>AVERAGEIF(Table1[CountryCode],Table1[[#This Row],[CountryCode]],Table1[z-score])</f>
        <v>0.64774457538517582</v>
      </c>
      <c r="L3887" t="e">
        <f>VLOOKUP(Table1[[#This Row],[CountryCode]],[1]!Table1[#Data],4,FALSE)</f>
        <v>#REF!</v>
      </c>
    </row>
    <row r="3888" spans="1:12" hidden="1" x14ac:dyDescent="0.3">
      <c r="A3888" t="s">
        <v>93</v>
      </c>
      <c r="B3888" t="s">
        <v>94</v>
      </c>
      <c r="C3888" t="s">
        <v>125</v>
      </c>
      <c r="D3888" t="s">
        <v>126</v>
      </c>
      <c r="E3888">
        <v>2004</v>
      </c>
      <c r="F3888" s="1">
        <v>10</v>
      </c>
      <c r="G3888">
        <v>2000</v>
      </c>
      <c r="H3888">
        <f>AVERAGEIFS(Table1[value],Table1[IndicatorCode],Table1[[#This Row],[IndicatorCode]])</f>
        <v>7.6894248608534319</v>
      </c>
      <c r="I3888" cm="1">
        <f t="array" ref="I3888">_xlfn.STDEV.P(IF(Table1[IndicatorCode]=Table1[[#This Row],[IndicatorCode]],Table1[value]))</f>
        <v>5.2319501044600996</v>
      </c>
      <c r="J3888">
        <f>(Table1[[#This Row],[value]] - Table1[[#This Row],[mean]]) / Table1[[#This Row],[std_dev]]</f>
        <v>0.44162790030754762</v>
      </c>
      <c r="K3888">
        <f>AVERAGEIF(Table1[CountryCode],Table1[[#This Row],[CountryCode]],Table1[z-score])</f>
        <v>0.64774457538517582</v>
      </c>
      <c r="L3888" t="e">
        <f>VLOOKUP(Table1[[#This Row],[CountryCode]],[1]!Table1[#Data],4,FALSE)</f>
        <v>#REF!</v>
      </c>
    </row>
    <row r="3889" spans="1:12" hidden="1" x14ac:dyDescent="0.3">
      <c r="A3889" t="s">
        <v>93</v>
      </c>
      <c r="B3889" t="s">
        <v>94</v>
      </c>
      <c r="C3889" t="s">
        <v>125</v>
      </c>
      <c r="D3889" t="s">
        <v>126</v>
      </c>
      <c r="E3889">
        <v>2005</v>
      </c>
      <c r="F3889" s="1">
        <v>9</v>
      </c>
      <c r="G3889">
        <v>2000</v>
      </c>
      <c r="H3889">
        <f>AVERAGEIFS(Table1[value],Table1[IndicatorCode],Table1[[#This Row],[IndicatorCode]])</f>
        <v>7.6894248608534319</v>
      </c>
      <c r="I3889" cm="1">
        <f t="array" ref="I3889">_xlfn.STDEV.P(IF(Table1[IndicatorCode]=Table1[[#This Row],[IndicatorCode]],Table1[value]))</f>
        <v>5.2319501044600996</v>
      </c>
      <c r="J3889">
        <f>(Table1[[#This Row],[value]] - Table1[[#This Row],[mean]]) / Table1[[#This Row],[std_dev]]</f>
        <v>0.25049457907278921</v>
      </c>
      <c r="K3889">
        <f>AVERAGEIF(Table1[CountryCode],Table1[[#This Row],[CountryCode]],Table1[z-score])</f>
        <v>0.64774457538517582</v>
      </c>
      <c r="L3889" t="e">
        <f>VLOOKUP(Table1[[#This Row],[CountryCode]],[1]!Table1[#Data],4,FALSE)</f>
        <v>#REF!</v>
      </c>
    </row>
    <row r="3890" spans="1:12" hidden="1" x14ac:dyDescent="0.3">
      <c r="A3890" t="s">
        <v>93</v>
      </c>
      <c r="B3890" t="s">
        <v>94</v>
      </c>
      <c r="C3890" t="s">
        <v>125</v>
      </c>
      <c r="D3890" t="s">
        <v>126</v>
      </c>
      <c r="E3890">
        <v>2006</v>
      </c>
      <c r="F3890" s="1">
        <v>9</v>
      </c>
      <c r="G3890">
        <v>2000</v>
      </c>
      <c r="H3890">
        <f>AVERAGEIFS(Table1[value],Table1[IndicatorCode],Table1[[#This Row],[IndicatorCode]])</f>
        <v>7.6894248608534319</v>
      </c>
      <c r="I3890" cm="1">
        <f t="array" ref="I3890">_xlfn.STDEV.P(IF(Table1[IndicatorCode]=Table1[[#This Row],[IndicatorCode]],Table1[value]))</f>
        <v>5.2319501044600996</v>
      </c>
      <c r="J3890">
        <f>(Table1[[#This Row],[value]] - Table1[[#This Row],[mean]]) / Table1[[#This Row],[std_dev]]</f>
        <v>0.25049457907278921</v>
      </c>
      <c r="K3890">
        <f>AVERAGEIF(Table1[CountryCode],Table1[[#This Row],[CountryCode]],Table1[z-score])</f>
        <v>0.64774457538517582</v>
      </c>
      <c r="L3890" t="e">
        <f>VLOOKUP(Table1[[#This Row],[CountryCode]],[1]!Table1[#Data],4,FALSE)</f>
        <v>#REF!</v>
      </c>
    </row>
    <row r="3891" spans="1:12" hidden="1" x14ac:dyDescent="0.3">
      <c r="A3891" t="s">
        <v>93</v>
      </c>
      <c r="B3891" t="s">
        <v>94</v>
      </c>
      <c r="C3891" t="s">
        <v>125</v>
      </c>
      <c r="D3891" t="s">
        <v>126</v>
      </c>
      <c r="E3891">
        <v>2007</v>
      </c>
      <c r="F3891" s="1">
        <v>10</v>
      </c>
      <c r="G3891">
        <v>2010</v>
      </c>
      <c r="H3891">
        <f>AVERAGEIFS(Table1[value],Table1[IndicatorCode],Table1[[#This Row],[IndicatorCode]])</f>
        <v>7.6894248608534319</v>
      </c>
      <c r="I3891" cm="1">
        <f t="array" ref="I3891">_xlfn.STDEV.P(IF(Table1[IndicatorCode]=Table1[[#This Row],[IndicatorCode]],Table1[value]))</f>
        <v>5.2319501044600996</v>
      </c>
      <c r="J3891">
        <f>(Table1[[#This Row],[value]] - Table1[[#This Row],[mean]]) / Table1[[#This Row],[std_dev]]</f>
        <v>0.44162790030754762</v>
      </c>
      <c r="K3891">
        <f>AVERAGEIF(Table1[CountryCode],Table1[[#This Row],[CountryCode]],Table1[z-score])</f>
        <v>0.64774457538517582</v>
      </c>
      <c r="L3891" t="e">
        <f>VLOOKUP(Table1[[#This Row],[CountryCode]],[1]!Table1[#Data],4,FALSE)</f>
        <v>#REF!</v>
      </c>
    </row>
    <row r="3892" spans="1:12" hidden="1" x14ac:dyDescent="0.3">
      <c r="A3892" t="s">
        <v>93</v>
      </c>
      <c r="B3892" t="s">
        <v>94</v>
      </c>
      <c r="C3892" t="s">
        <v>125</v>
      </c>
      <c r="D3892" t="s">
        <v>126</v>
      </c>
      <c r="E3892">
        <v>2008</v>
      </c>
      <c r="F3892" s="1">
        <v>10</v>
      </c>
      <c r="G3892">
        <v>2010</v>
      </c>
      <c r="H3892">
        <f>AVERAGEIFS(Table1[value],Table1[IndicatorCode],Table1[[#This Row],[IndicatorCode]])</f>
        <v>7.6894248608534319</v>
      </c>
      <c r="I3892" cm="1">
        <f t="array" ref="I3892">_xlfn.STDEV.P(IF(Table1[IndicatorCode]=Table1[[#This Row],[IndicatorCode]],Table1[value]))</f>
        <v>5.2319501044600996</v>
      </c>
      <c r="J3892">
        <f>(Table1[[#This Row],[value]] - Table1[[#This Row],[mean]]) / Table1[[#This Row],[std_dev]]</f>
        <v>0.44162790030754762</v>
      </c>
      <c r="K3892">
        <f>AVERAGEIF(Table1[CountryCode],Table1[[#This Row],[CountryCode]],Table1[z-score])</f>
        <v>0.64774457538517582</v>
      </c>
      <c r="L3892" t="e">
        <f>VLOOKUP(Table1[[#This Row],[CountryCode]],[1]!Table1[#Data],4,FALSE)</f>
        <v>#REF!</v>
      </c>
    </row>
    <row r="3893" spans="1:12" hidden="1" x14ac:dyDescent="0.3">
      <c r="A3893" t="s">
        <v>93</v>
      </c>
      <c r="B3893" t="s">
        <v>94</v>
      </c>
      <c r="C3893" t="s">
        <v>125</v>
      </c>
      <c r="D3893" t="s">
        <v>126</v>
      </c>
      <c r="E3893">
        <v>2009</v>
      </c>
      <c r="F3893" s="1">
        <v>9</v>
      </c>
      <c r="G3893">
        <v>2010</v>
      </c>
      <c r="H3893">
        <f>AVERAGEIFS(Table1[value],Table1[IndicatorCode],Table1[[#This Row],[IndicatorCode]])</f>
        <v>7.6894248608534319</v>
      </c>
      <c r="I3893" cm="1">
        <f t="array" ref="I3893">_xlfn.STDEV.P(IF(Table1[IndicatorCode]=Table1[[#This Row],[IndicatorCode]],Table1[value]))</f>
        <v>5.2319501044600996</v>
      </c>
      <c r="J3893">
        <f>(Table1[[#This Row],[value]] - Table1[[#This Row],[mean]]) / Table1[[#This Row],[std_dev]]</f>
        <v>0.25049457907278921</v>
      </c>
      <c r="K3893">
        <f>AVERAGEIF(Table1[CountryCode],Table1[[#This Row],[CountryCode]],Table1[z-score])</f>
        <v>0.64774457538517582</v>
      </c>
      <c r="L3893" t="e">
        <f>VLOOKUP(Table1[[#This Row],[CountryCode]],[1]!Table1[#Data],4,FALSE)</f>
        <v>#REF!</v>
      </c>
    </row>
    <row r="3894" spans="1:12" hidden="1" x14ac:dyDescent="0.3">
      <c r="A3894" t="s">
        <v>93</v>
      </c>
      <c r="B3894" t="s">
        <v>94</v>
      </c>
      <c r="C3894" t="s">
        <v>125</v>
      </c>
      <c r="D3894" t="s">
        <v>126</v>
      </c>
      <c r="E3894">
        <v>2010</v>
      </c>
      <c r="F3894" s="1">
        <v>10</v>
      </c>
      <c r="G3894">
        <v>2010</v>
      </c>
      <c r="H3894">
        <f>AVERAGEIFS(Table1[value],Table1[IndicatorCode],Table1[[#This Row],[IndicatorCode]])</f>
        <v>7.6894248608534319</v>
      </c>
      <c r="I3894" cm="1">
        <f t="array" ref="I3894">_xlfn.STDEV.P(IF(Table1[IndicatorCode]=Table1[[#This Row],[IndicatorCode]],Table1[value]))</f>
        <v>5.2319501044600996</v>
      </c>
      <c r="J3894">
        <f>(Table1[[#This Row],[value]] - Table1[[#This Row],[mean]]) / Table1[[#This Row],[std_dev]]</f>
        <v>0.44162790030754762</v>
      </c>
      <c r="K3894">
        <f>AVERAGEIF(Table1[CountryCode],Table1[[#This Row],[CountryCode]],Table1[z-score])</f>
        <v>0.64774457538517582</v>
      </c>
      <c r="L3894" t="e">
        <f>VLOOKUP(Table1[[#This Row],[CountryCode]],[1]!Table1[#Data],4,FALSE)</f>
        <v>#REF!</v>
      </c>
    </row>
    <row r="3895" spans="1:12" hidden="1" x14ac:dyDescent="0.3">
      <c r="A3895" t="s">
        <v>93</v>
      </c>
      <c r="B3895" t="s">
        <v>94</v>
      </c>
      <c r="C3895" t="s">
        <v>125</v>
      </c>
      <c r="D3895" t="s">
        <v>126</v>
      </c>
      <c r="E3895">
        <v>2011</v>
      </c>
      <c r="F3895" s="1">
        <v>9</v>
      </c>
      <c r="G3895">
        <v>2010</v>
      </c>
      <c r="H3895">
        <f>AVERAGEIFS(Table1[value],Table1[IndicatorCode],Table1[[#This Row],[IndicatorCode]])</f>
        <v>7.6894248608534319</v>
      </c>
      <c r="I3895" cm="1">
        <f t="array" ref="I3895">_xlfn.STDEV.P(IF(Table1[IndicatorCode]=Table1[[#This Row],[IndicatorCode]],Table1[value]))</f>
        <v>5.2319501044600996</v>
      </c>
      <c r="J3895">
        <f>(Table1[[#This Row],[value]] - Table1[[#This Row],[mean]]) / Table1[[#This Row],[std_dev]]</f>
        <v>0.25049457907278921</v>
      </c>
      <c r="K3895">
        <f>AVERAGEIF(Table1[CountryCode],Table1[[#This Row],[CountryCode]],Table1[z-score])</f>
        <v>0.64774457538517582</v>
      </c>
      <c r="L3895" t="e">
        <f>VLOOKUP(Table1[[#This Row],[CountryCode]],[1]!Table1[#Data],4,FALSE)</f>
        <v>#REF!</v>
      </c>
    </row>
    <row r="3896" spans="1:12" hidden="1" x14ac:dyDescent="0.3">
      <c r="A3896" t="s">
        <v>93</v>
      </c>
      <c r="B3896" t="s">
        <v>94</v>
      </c>
      <c r="C3896" t="s">
        <v>125</v>
      </c>
      <c r="D3896" t="s">
        <v>126</v>
      </c>
      <c r="E3896">
        <v>2012</v>
      </c>
      <c r="F3896" s="1">
        <v>9</v>
      </c>
      <c r="G3896">
        <v>2010</v>
      </c>
      <c r="H3896">
        <f>AVERAGEIFS(Table1[value],Table1[IndicatorCode],Table1[[#This Row],[IndicatorCode]])</f>
        <v>7.6894248608534319</v>
      </c>
      <c r="I3896" cm="1">
        <f t="array" ref="I3896">_xlfn.STDEV.P(IF(Table1[IndicatorCode]=Table1[[#This Row],[IndicatorCode]],Table1[value]))</f>
        <v>5.2319501044600996</v>
      </c>
      <c r="J3896">
        <f>(Table1[[#This Row],[value]] - Table1[[#This Row],[mean]]) / Table1[[#This Row],[std_dev]]</f>
        <v>0.25049457907278921</v>
      </c>
      <c r="K3896">
        <f>AVERAGEIF(Table1[CountryCode],Table1[[#This Row],[CountryCode]],Table1[z-score])</f>
        <v>0.64774457538517582</v>
      </c>
      <c r="L3896" t="e">
        <f>VLOOKUP(Table1[[#This Row],[CountryCode]],[1]!Table1[#Data],4,FALSE)</f>
        <v>#REF!</v>
      </c>
    </row>
    <row r="3897" spans="1:12" hidden="1" x14ac:dyDescent="0.3">
      <c r="A3897" t="s">
        <v>93</v>
      </c>
      <c r="B3897" t="s">
        <v>94</v>
      </c>
      <c r="C3897" t="s">
        <v>125</v>
      </c>
      <c r="D3897" t="s">
        <v>126</v>
      </c>
      <c r="E3897">
        <v>2013</v>
      </c>
      <c r="F3897" s="1">
        <v>9</v>
      </c>
      <c r="G3897">
        <v>2010</v>
      </c>
      <c r="H3897">
        <f>AVERAGEIFS(Table1[value],Table1[IndicatorCode],Table1[[#This Row],[IndicatorCode]])</f>
        <v>7.6894248608534319</v>
      </c>
      <c r="I3897" cm="1">
        <f t="array" ref="I3897">_xlfn.STDEV.P(IF(Table1[IndicatorCode]=Table1[[#This Row],[IndicatorCode]],Table1[value]))</f>
        <v>5.2319501044600996</v>
      </c>
      <c r="J3897">
        <f>(Table1[[#This Row],[value]] - Table1[[#This Row],[mean]]) / Table1[[#This Row],[std_dev]]</f>
        <v>0.25049457907278921</v>
      </c>
      <c r="K3897">
        <f>AVERAGEIF(Table1[CountryCode],Table1[[#This Row],[CountryCode]],Table1[z-score])</f>
        <v>0.64774457538517582</v>
      </c>
      <c r="L3897" t="e">
        <f>VLOOKUP(Table1[[#This Row],[CountryCode]],[1]!Table1[#Data],4,FALSE)</f>
        <v>#REF!</v>
      </c>
    </row>
    <row r="3898" spans="1:12" hidden="1" x14ac:dyDescent="0.3">
      <c r="A3898" t="s">
        <v>93</v>
      </c>
      <c r="B3898" t="s">
        <v>94</v>
      </c>
      <c r="C3898" t="s">
        <v>125</v>
      </c>
      <c r="D3898" t="s">
        <v>126</v>
      </c>
      <c r="E3898">
        <v>2014</v>
      </c>
      <c r="F3898" s="1">
        <v>9</v>
      </c>
      <c r="G3898">
        <v>2010</v>
      </c>
      <c r="H3898">
        <f>AVERAGEIFS(Table1[value],Table1[IndicatorCode],Table1[[#This Row],[IndicatorCode]])</f>
        <v>7.6894248608534319</v>
      </c>
      <c r="I3898" cm="1">
        <f t="array" ref="I3898">_xlfn.STDEV.P(IF(Table1[IndicatorCode]=Table1[[#This Row],[IndicatorCode]],Table1[value]))</f>
        <v>5.2319501044600996</v>
      </c>
      <c r="J3898">
        <f>(Table1[[#This Row],[value]] - Table1[[#This Row],[mean]]) / Table1[[#This Row],[std_dev]]</f>
        <v>0.25049457907278921</v>
      </c>
      <c r="K3898">
        <f>AVERAGEIF(Table1[CountryCode],Table1[[#This Row],[CountryCode]],Table1[z-score])</f>
        <v>0.64774457538517582</v>
      </c>
      <c r="L3898" t="e">
        <f>VLOOKUP(Table1[[#This Row],[CountryCode]],[1]!Table1[#Data],4,FALSE)</f>
        <v>#REF!</v>
      </c>
    </row>
    <row r="3899" spans="1:12" hidden="1" x14ac:dyDescent="0.3">
      <c r="A3899" t="s">
        <v>93</v>
      </c>
      <c r="B3899" t="s">
        <v>94</v>
      </c>
      <c r="C3899" t="s">
        <v>125</v>
      </c>
      <c r="D3899" t="s">
        <v>126</v>
      </c>
      <c r="E3899">
        <v>2015</v>
      </c>
      <c r="F3899" s="1">
        <v>9</v>
      </c>
      <c r="G3899">
        <v>2010</v>
      </c>
      <c r="H3899">
        <f>AVERAGEIFS(Table1[value],Table1[IndicatorCode],Table1[[#This Row],[IndicatorCode]])</f>
        <v>7.6894248608534319</v>
      </c>
      <c r="I3899" cm="1">
        <f t="array" ref="I3899">_xlfn.STDEV.P(IF(Table1[IndicatorCode]=Table1[[#This Row],[IndicatorCode]],Table1[value]))</f>
        <v>5.2319501044600996</v>
      </c>
      <c r="J3899">
        <f>(Table1[[#This Row],[value]] - Table1[[#This Row],[mean]]) / Table1[[#This Row],[std_dev]]</f>
        <v>0.25049457907278921</v>
      </c>
      <c r="K3899">
        <f>AVERAGEIF(Table1[CountryCode],Table1[[#This Row],[CountryCode]],Table1[z-score])</f>
        <v>0.64774457538517582</v>
      </c>
      <c r="L3899" t="e">
        <f>VLOOKUP(Table1[[#This Row],[CountryCode]],[1]!Table1[#Data],4,FALSE)</f>
        <v>#REF!</v>
      </c>
    </row>
    <row r="3900" spans="1:12" hidden="1" x14ac:dyDescent="0.3">
      <c r="A3900" t="s">
        <v>93</v>
      </c>
      <c r="B3900" t="s">
        <v>94</v>
      </c>
      <c r="C3900" t="s">
        <v>125</v>
      </c>
      <c r="D3900" t="s">
        <v>126</v>
      </c>
      <c r="E3900">
        <v>2016</v>
      </c>
      <c r="F3900" s="1">
        <v>9</v>
      </c>
      <c r="G3900">
        <v>2010</v>
      </c>
      <c r="H3900">
        <f>AVERAGEIFS(Table1[value],Table1[IndicatorCode],Table1[[#This Row],[IndicatorCode]])</f>
        <v>7.6894248608534319</v>
      </c>
      <c r="I3900" cm="1">
        <f t="array" ref="I3900">_xlfn.STDEV.P(IF(Table1[IndicatorCode]=Table1[[#This Row],[IndicatorCode]],Table1[value]))</f>
        <v>5.2319501044600996</v>
      </c>
      <c r="J3900">
        <f>(Table1[[#This Row],[value]] - Table1[[#This Row],[mean]]) / Table1[[#This Row],[std_dev]]</f>
        <v>0.25049457907278921</v>
      </c>
      <c r="K3900">
        <f>AVERAGEIF(Table1[CountryCode],Table1[[#This Row],[CountryCode]],Table1[z-score])</f>
        <v>0.64774457538517582</v>
      </c>
      <c r="L3900" t="e">
        <f>VLOOKUP(Table1[[#This Row],[CountryCode]],[1]!Table1[#Data],4,FALSE)</f>
        <v>#REF!</v>
      </c>
    </row>
    <row r="3901" spans="1:12" hidden="1" x14ac:dyDescent="0.3">
      <c r="A3901" t="s">
        <v>93</v>
      </c>
      <c r="B3901" t="s">
        <v>94</v>
      </c>
      <c r="C3901" t="s">
        <v>125</v>
      </c>
      <c r="D3901" t="s">
        <v>126</v>
      </c>
      <c r="E3901">
        <v>2017</v>
      </c>
      <c r="F3901" s="1">
        <v>9</v>
      </c>
      <c r="G3901">
        <v>2020</v>
      </c>
      <c r="H3901">
        <f>AVERAGEIFS(Table1[value],Table1[IndicatorCode],Table1[[#This Row],[IndicatorCode]])</f>
        <v>7.6894248608534319</v>
      </c>
      <c r="I3901" cm="1">
        <f t="array" ref="I3901">_xlfn.STDEV.P(IF(Table1[IndicatorCode]=Table1[[#This Row],[IndicatorCode]],Table1[value]))</f>
        <v>5.2319501044600996</v>
      </c>
      <c r="J3901">
        <f>(Table1[[#This Row],[value]] - Table1[[#This Row],[mean]]) / Table1[[#This Row],[std_dev]]</f>
        <v>0.25049457907278921</v>
      </c>
      <c r="K3901">
        <f>AVERAGEIF(Table1[CountryCode],Table1[[#This Row],[CountryCode]],Table1[z-score])</f>
        <v>0.64774457538517582</v>
      </c>
      <c r="L3901" t="e">
        <f>VLOOKUP(Table1[[#This Row],[CountryCode]],[1]!Table1[#Data],4,FALSE)</f>
        <v>#REF!</v>
      </c>
    </row>
    <row r="3902" spans="1:12" hidden="1" x14ac:dyDescent="0.3">
      <c r="A3902" t="s">
        <v>93</v>
      </c>
      <c r="B3902" t="s">
        <v>94</v>
      </c>
      <c r="C3902" t="s">
        <v>125</v>
      </c>
      <c r="D3902" t="s">
        <v>126</v>
      </c>
      <c r="E3902">
        <v>2018</v>
      </c>
      <c r="F3902" s="1">
        <v>9</v>
      </c>
      <c r="G3902">
        <v>2020</v>
      </c>
      <c r="H3902">
        <f>AVERAGEIFS(Table1[value],Table1[IndicatorCode],Table1[[#This Row],[IndicatorCode]])</f>
        <v>7.6894248608534319</v>
      </c>
      <c r="I3902" cm="1">
        <f t="array" ref="I3902">_xlfn.STDEV.P(IF(Table1[IndicatorCode]=Table1[[#This Row],[IndicatorCode]],Table1[value]))</f>
        <v>5.2319501044600996</v>
      </c>
      <c r="J3902">
        <f>(Table1[[#This Row],[value]] - Table1[[#This Row],[mean]]) / Table1[[#This Row],[std_dev]]</f>
        <v>0.25049457907278921</v>
      </c>
      <c r="K3902">
        <f>AVERAGEIF(Table1[CountryCode],Table1[[#This Row],[CountryCode]],Table1[z-score])</f>
        <v>0.64774457538517582</v>
      </c>
      <c r="L3902" t="e">
        <f>VLOOKUP(Table1[[#This Row],[CountryCode]],[1]!Table1[#Data],4,FALSE)</f>
        <v>#REF!</v>
      </c>
    </row>
    <row r="3903" spans="1:12" hidden="1" x14ac:dyDescent="0.3">
      <c r="A3903" t="s">
        <v>93</v>
      </c>
      <c r="B3903" t="s">
        <v>94</v>
      </c>
      <c r="C3903" t="s">
        <v>125</v>
      </c>
      <c r="D3903" t="s">
        <v>126</v>
      </c>
      <c r="E3903">
        <v>2019</v>
      </c>
      <c r="F3903" s="1">
        <v>8</v>
      </c>
      <c r="G3903">
        <v>2020</v>
      </c>
      <c r="H3903">
        <f>AVERAGEIFS(Table1[value],Table1[IndicatorCode],Table1[[#This Row],[IndicatorCode]])</f>
        <v>7.6894248608534319</v>
      </c>
      <c r="I3903" cm="1">
        <f t="array" ref="I3903">_xlfn.STDEV.P(IF(Table1[IndicatorCode]=Table1[[#This Row],[IndicatorCode]],Table1[value]))</f>
        <v>5.2319501044600996</v>
      </c>
      <c r="J3903">
        <f>(Table1[[#This Row],[value]] - Table1[[#This Row],[mean]]) / Table1[[#This Row],[std_dev]]</f>
        <v>5.9361257838030791E-2</v>
      </c>
      <c r="K3903">
        <f>AVERAGEIF(Table1[CountryCode],Table1[[#This Row],[CountryCode]],Table1[z-score])</f>
        <v>0.64774457538517582</v>
      </c>
      <c r="L3903" t="e">
        <f>VLOOKUP(Table1[[#This Row],[CountryCode]],[1]!Table1[#Data],4,FALSE)</f>
        <v>#REF!</v>
      </c>
    </row>
    <row r="3904" spans="1:12" x14ac:dyDescent="0.3">
      <c r="A3904" t="s">
        <v>93</v>
      </c>
      <c r="B3904" t="s">
        <v>94</v>
      </c>
      <c r="C3904" t="s">
        <v>125</v>
      </c>
      <c r="D3904" t="s">
        <v>126</v>
      </c>
      <c r="E3904">
        <v>2020</v>
      </c>
      <c r="F3904" s="1">
        <v>8</v>
      </c>
      <c r="G3904">
        <v>2020</v>
      </c>
      <c r="H3904">
        <f>AVERAGEIFS(Table1[value],Table1[IndicatorCode],Table1[[#This Row],[IndicatorCode]])</f>
        <v>7.6894248608534319</v>
      </c>
      <c r="I3904" cm="1">
        <f t="array" ref="I3904">_xlfn.STDEV.P(IF(Table1[IndicatorCode]=Table1[[#This Row],[IndicatorCode]],Table1[value]))</f>
        <v>5.2319501044600996</v>
      </c>
      <c r="J3904">
        <f>(Table1[[#This Row],[value]] - Table1[[#This Row],[mean]]) / Table1[[#This Row],[std_dev]]</f>
        <v>5.9361257838030791E-2</v>
      </c>
      <c r="K3904">
        <f>AVERAGEIF(Table1[CountryCode],Table1[[#This Row],[CountryCode]],Table1[z-score])</f>
        <v>0.64774457538517582</v>
      </c>
    </row>
    <row r="3905" spans="1:12" hidden="1" x14ac:dyDescent="0.3">
      <c r="A3905" t="s">
        <v>93</v>
      </c>
      <c r="B3905" t="s">
        <v>94</v>
      </c>
      <c r="C3905" t="s">
        <v>125</v>
      </c>
      <c r="D3905" t="s">
        <v>126</v>
      </c>
      <c r="E3905">
        <v>2021</v>
      </c>
      <c r="F3905" s="1">
        <v>8</v>
      </c>
      <c r="G3905">
        <v>2020</v>
      </c>
      <c r="H3905">
        <f>AVERAGEIFS(Table1[value],Table1[IndicatorCode],Table1[[#This Row],[IndicatorCode]])</f>
        <v>7.6894248608534319</v>
      </c>
      <c r="I3905" cm="1">
        <f t="array" ref="I3905">_xlfn.STDEV.P(IF(Table1[IndicatorCode]=Table1[[#This Row],[IndicatorCode]],Table1[value]))</f>
        <v>5.2319501044600996</v>
      </c>
      <c r="J3905">
        <f>(Table1[[#This Row],[value]] - Table1[[#This Row],[mean]]) / Table1[[#This Row],[std_dev]]</f>
        <v>5.9361257838030791E-2</v>
      </c>
      <c r="K3905">
        <f>AVERAGEIF(Table1[CountryCode],Table1[[#This Row],[CountryCode]],Table1[z-score])</f>
        <v>0.64774457538517582</v>
      </c>
      <c r="L3905" t="e">
        <f>VLOOKUP(Table1[[#This Row],[CountryCode]],[1]!Table1[#Data],4,FALSE)</f>
        <v>#REF!</v>
      </c>
    </row>
    <row r="3906" spans="1:12" hidden="1" x14ac:dyDescent="0.3">
      <c r="A3906" t="s">
        <v>93</v>
      </c>
      <c r="B3906" t="s">
        <v>94</v>
      </c>
      <c r="C3906" t="s">
        <v>125</v>
      </c>
      <c r="D3906" t="s">
        <v>126</v>
      </c>
      <c r="E3906">
        <v>2022</v>
      </c>
      <c r="F3906" s="1">
        <v>8</v>
      </c>
      <c r="G3906">
        <v>1970</v>
      </c>
      <c r="H3906">
        <f>AVERAGEIFS(Table1[value],Table1[IndicatorCode],Table1[[#This Row],[IndicatorCode]])</f>
        <v>7.6894248608534319</v>
      </c>
      <c r="I3906" cm="1">
        <f t="array" ref="I3906">_xlfn.STDEV.P(IF(Table1[IndicatorCode]=Table1[[#This Row],[IndicatorCode]],Table1[value]))</f>
        <v>5.2319501044600996</v>
      </c>
      <c r="J3906">
        <f>(Table1[[#This Row],[value]] - Table1[[#This Row],[mean]]) / Table1[[#This Row],[std_dev]]</f>
        <v>5.9361257838030791E-2</v>
      </c>
      <c r="K3906">
        <f>AVERAGEIF(Table1[CountryCode],Table1[[#This Row],[CountryCode]],Table1[z-score])</f>
        <v>0.64774457538517582</v>
      </c>
      <c r="L3906" t="e">
        <f>VLOOKUP(Table1[[#This Row],[CountryCode]],[1]!Table1[#Data],4,FALSE)</f>
        <v>#REF!</v>
      </c>
    </row>
    <row r="3907" spans="1:12" hidden="1" x14ac:dyDescent="0.3">
      <c r="A3907" t="s">
        <v>93</v>
      </c>
      <c r="B3907" t="s">
        <v>94</v>
      </c>
      <c r="C3907" t="s">
        <v>125</v>
      </c>
      <c r="D3907" t="s">
        <v>126</v>
      </c>
      <c r="E3907">
        <v>2023</v>
      </c>
      <c r="F3907" s="1">
        <v>8</v>
      </c>
      <c r="G3907">
        <v>1970</v>
      </c>
      <c r="H3907">
        <f>AVERAGEIFS(Table1[value],Table1[IndicatorCode],Table1[[#This Row],[IndicatorCode]])</f>
        <v>7.6894248608534319</v>
      </c>
      <c r="I3907" cm="1">
        <f t="array" ref="I3907">_xlfn.STDEV.P(IF(Table1[IndicatorCode]=Table1[[#This Row],[IndicatorCode]],Table1[value]))</f>
        <v>5.2319501044600996</v>
      </c>
      <c r="J3907">
        <f>(Table1[[#This Row],[value]] - Table1[[#This Row],[mean]]) / Table1[[#This Row],[std_dev]]</f>
        <v>5.9361257838030791E-2</v>
      </c>
      <c r="K3907">
        <f>AVERAGEIF(Table1[CountryCode],Table1[[#This Row],[CountryCode]],Table1[z-score])</f>
        <v>0.64774457538517582</v>
      </c>
      <c r="L3907" t="e">
        <f>VLOOKUP(Table1[[#This Row],[CountryCode]],[1]!Table1[#Data],4,FALSE)</f>
        <v>#REF!</v>
      </c>
    </row>
    <row r="3908" spans="1:12" hidden="1" x14ac:dyDescent="0.3">
      <c r="A3908" t="s">
        <v>93</v>
      </c>
      <c r="B3908" t="s">
        <v>94</v>
      </c>
      <c r="C3908" t="s">
        <v>125</v>
      </c>
      <c r="D3908" t="s">
        <v>126</v>
      </c>
      <c r="E3908">
        <v>2024</v>
      </c>
      <c r="F3908" s="1">
        <v>7</v>
      </c>
      <c r="G3908">
        <v>1970</v>
      </c>
      <c r="H3908">
        <f>AVERAGEIFS(Table1[value],Table1[IndicatorCode],Table1[[#This Row],[IndicatorCode]])</f>
        <v>7.6894248608534319</v>
      </c>
      <c r="I3908" cm="1">
        <f t="array" ref="I3908">_xlfn.STDEV.P(IF(Table1[IndicatorCode]=Table1[[#This Row],[IndicatorCode]],Table1[value]))</f>
        <v>5.2319501044600996</v>
      </c>
      <c r="J3908">
        <f>(Table1[[#This Row],[value]] - Table1[[#This Row],[mean]]) / Table1[[#This Row],[std_dev]]</f>
        <v>-0.13177206339672762</v>
      </c>
      <c r="K3908">
        <f>AVERAGEIF(Table1[CountryCode],Table1[[#This Row],[CountryCode]],Table1[z-score])</f>
        <v>0.64774457538517582</v>
      </c>
      <c r="L3908" t="e">
        <f>VLOOKUP(Table1[[#This Row],[CountryCode]],[1]!Table1[#Data],4,FALSE)</f>
        <v>#REF!</v>
      </c>
    </row>
    <row r="3909" spans="1:12" hidden="1" x14ac:dyDescent="0.3">
      <c r="A3909" t="s">
        <v>95</v>
      </c>
      <c r="B3909" t="s">
        <v>96</v>
      </c>
      <c r="C3909" t="s">
        <v>125</v>
      </c>
      <c r="D3909" t="s">
        <v>126</v>
      </c>
      <c r="E3909">
        <v>1970</v>
      </c>
      <c r="F3909" s="1">
        <v>9</v>
      </c>
      <c r="G3909">
        <v>1970</v>
      </c>
      <c r="H3909">
        <f>AVERAGEIFS(Table1[value],Table1[IndicatorCode],Table1[[#This Row],[IndicatorCode]])</f>
        <v>7.6894248608534319</v>
      </c>
      <c r="I3909" cm="1">
        <f t="array" ref="I3909">_xlfn.STDEV.P(IF(Table1[IndicatorCode]=Table1[[#This Row],[IndicatorCode]],Table1[value]))</f>
        <v>5.2319501044600996</v>
      </c>
      <c r="J3909">
        <f>(Table1[[#This Row],[value]] - Table1[[#This Row],[mean]]) / Table1[[#This Row],[std_dev]]</f>
        <v>0.25049457907278921</v>
      </c>
      <c r="K3909">
        <f>AVERAGEIF(Table1[CountryCode],Table1[[#This Row],[CountryCode]],Table1[z-score])</f>
        <v>4.9319686102583721E-2</v>
      </c>
      <c r="L3909" t="e">
        <f>VLOOKUP(Table1[[#This Row],[CountryCode]],[1]!Table1[#Data],4,FALSE)</f>
        <v>#REF!</v>
      </c>
    </row>
    <row r="3910" spans="1:12" hidden="1" x14ac:dyDescent="0.3">
      <c r="A3910" t="s">
        <v>95</v>
      </c>
      <c r="B3910" t="s">
        <v>96</v>
      </c>
      <c r="C3910" t="s">
        <v>125</v>
      </c>
      <c r="D3910" t="s">
        <v>126</v>
      </c>
      <c r="E3910">
        <v>1971</v>
      </c>
      <c r="F3910" s="1">
        <v>10</v>
      </c>
      <c r="G3910">
        <v>1970</v>
      </c>
      <c r="H3910">
        <f>AVERAGEIFS(Table1[value],Table1[IndicatorCode],Table1[[#This Row],[IndicatorCode]])</f>
        <v>7.6894248608534319</v>
      </c>
      <c r="I3910" cm="1">
        <f t="array" ref="I3910">_xlfn.STDEV.P(IF(Table1[IndicatorCode]=Table1[[#This Row],[IndicatorCode]],Table1[value]))</f>
        <v>5.2319501044600996</v>
      </c>
      <c r="J3910">
        <f>(Table1[[#This Row],[value]] - Table1[[#This Row],[mean]]) / Table1[[#This Row],[std_dev]]</f>
        <v>0.44162790030754762</v>
      </c>
      <c r="K3910">
        <f>AVERAGEIF(Table1[CountryCode],Table1[[#This Row],[CountryCode]],Table1[z-score])</f>
        <v>4.9319686102583721E-2</v>
      </c>
      <c r="L3910" t="e">
        <f>VLOOKUP(Table1[[#This Row],[CountryCode]],[1]!Table1[#Data],4,FALSE)</f>
        <v>#REF!</v>
      </c>
    </row>
    <row r="3911" spans="1:12" hidden="1" x14ac:dyDescent="0.3">
      <c r="A3911" t="s">
        <v>95</v>
      </c>
      <c r="B3911" t="s">
        <v>96</v>
      </c>
      <c r="C3911" t="s">
        <v>125</v>
      </c>
      <c r="D3911" t="s">
        <v>126</v>
      </c>
      <c r="E3911">
        <v>1972</v>
      </c>
      <c r="F3911" s="1">
        <v>10</v>
      </c>
      <c r="G3911">
        <v>1970</v>
      </c>
      <c r="H3911">
        <f>AVERAGEIFS(Table1[value],Table1[IndicatorCode],Table1[[#This Row],[IndicatorCode]])</f>
        <v>7.6894248608534319</v>
      </c>
      <c r="I3911" cm="1">
        <f t="array" ref="I3911">_xlfn.STDEV.P(IF(Table1[IndicatorCode]=Table1[[#This Row],[IndicatorCode]],Table1[value]))</f>
        <v>5.2319501044600996</v>
      </c>
      <c r="J3911">
        <f>(Table1[[#This Row],[value]] - Table1[[#This Row],[mean]]) / Table1[[#This Row],[std_dev]]</f>
        <v>0.44162790030754762</v>
      </c>
      <c r="K3911">
        <f>AVERAGEIF(Table1[CountryCode],Table1[[#This Row],[CountryCode]],Table1[z-score])</f>
        <v>4.9319686102583721E-2</v>
      </c>
      <c r="L3911" t="e">
        <f>VLOOKUP(Table1[[#This Row],[CountryCode]],[1]!Table1[#Data],4,FALSE)</f>
        <v>#REF!</v>
      </c>
    </row>
    <row r="3912" spans="1:12" hidden="1" x14ac:dyDescent="0.3">
      <c r="A3912" t="s">
        <v>95</v>
      </c>
      <c r="B3912" t="s">
        <v>96</v>
      </c>
      <c r="C3912" t="s">
        <v>125</v>
      </c>
      <c r="D3912" t="s">
        <v>126</v>
      </c>
      <c r="E3912">
        <v>1973</v>
      </c>
      <c r="F3912" s="1">
        <v>10</v>
      </c>
      <c r="G3912">
        <v>1970</v>
      </c>
      <c r="H3912">
        <f>AVERAGEIFS(Table1[value],Table1[IndicatorCode],Table1[[#This Row],[IndicatorCode]])</f>
        <v>7.6894248608534319</v>
      </c>
      <c r="I3912" cm="1">
        <f t="array" ref="I3912">_xlfn.STDEV.P(IF(Table1[IndicatorCode]=Table1[[#This Row],[IndicatorCode]],Table1[value]))</f>
        <v>5.2319501044600996</v>
      </c>
      <c r="J3912">
        <f>(Table1[[#This Row],[value]] - Table1[[#This Row],[mean]]) / Table1[[#This Row],[std_dev]]</f>
        <v>0.44162790030754762</v>
      </c>
      <c r="K3912">
        <f>AVERAGEIF(Table1[CountryCode],Table1[[#This Row],[CountryCode]],Table1[z-score])</f>
        <v>4.9319686102583721E-2</v>
      </c>
      <c r="L3912" t="e">
        <f>VLOOKUP(Table1[[#This Row],[CountryCode]],[1]!Table1[#Data],4,FALSE)</f>
        <v>#REF!</v>
      </c>
    </row>
    <row r="3913" spans="1:12" hidden="1" x14ac:dyDescent="0.3">
      <c r="A3913" t="s">
        <v>95</v>
      </c>
      <c r="B3913" t="s">
        <v>96</v>
      </c>
      <c r="C3913" t="s">
        <v>125</v>
      </c>
      <c r="D3913" t="s">
        <v>126</v>
      </c>
      <c r="E3913">
        <v>1974</v>
      </c>
      <c r="F3913" s="1">
        <v>11</v>
      </c>
      <c r="G3913">
        <v>1970</v>
      </c>
      <c r="H3913">
        <f>AVERAGEIFS(Table1[value],Table1[IndicatorCode],Table1[[#This Row],[IndicatorCode]])</f>
        <v>7.6894248608534319</v>
      </c>
      <c r="I3913" cm="1">
        <f t="array" ref="I3913">_xlfn.STDEV.P(IF(Table1[IndicatorCode]=Table1[[#This Row],[IndicatorCode]],Table1[value]))</f>
        <v>5.2319501044600996</v>
      </c>
      <c r="J3913">
        <f>(Table1[[#This Row],[value]] - Table1[[#This Row],[mean]]) / Table1[[#This Row],[std_dev]]</f>
        <v>0.63276122154230596</v>
      </c>
      <c r="K3913">
        <f>AVERAGEIF(Table1[CountryCode],Table1[[#This Row],[CountryCode]],Table1[z-score])</f>
        <v>4.9319686102583721E-2</v>
      </c>
      <c r="L3913" t="e">
        <f>VLOOKUP(Table1[[#This Row],[CountryCode]],[1]!Table1[#Data],4,FALSE)</f>
        <v>#REF!</v>
      </c>
    </row>
    <row r="3914" spans="1:12" hidden="1" x14ac:dyDescent="0.3">
      <c r="A3914" t="s">
        <v>95</v>
      </c>
      <c r="B3914" t="s">
        <v>96</v>
      </c>
      <c r="C3914" t="s">
        <v>125</v>
      </c>
      <c r="D3914" t="s">
        <v>126</v>
      </c>
      <c r="E3914">
        <v>1975</v>
      </c>
      <c r="F3914" s="1">
        <v>11</v>
      </c>
      <c r="G3914">
        <v>1970</v>
      </c>
      <c r="H3914">
        <f>AVERAGEIFS(Table1[value],Table1[IndicatorCode],Table1[[#This Row],[IndicatorCode]])</f>
        <v>7.6894248608534319</v>
      </c>
      <c r="I3914" cm="1">
        <f t="array" ref="I3914">_xlfn.STDEV.P(IF(Table1[IndicatorCode]=Table1[[#This Row],[IndicatorCode]],Table1[value]))</f>
        <v>5.2319501044600996</v>
      </c>
      <c r="J3914">
        <f>(Table1[[#This Row],[value]] - Table1[[#This Row],[mean]]) / Table1[[#This Row],[std_dev]]</f>
        <v>0.63276122154230596</v>
      </c>
      <c r="K3914">
        <f>AVERAGEIF(Table1[CountryCode],Table1[[#This Row],[CountryCode]],Table1[z-score])</f>
        <v>4.9319686102583721E-2</v>
      </c>
      <c r="L3914" t="e">
        <f>VLOOKUP(Table1[[#This Row],[CountryCode]],[1]!Table1[#Data],4,FALSE)</f>
        <v>#REF!</v>
      </c>
    </row>
    <row r="3915" spans="1:12" hidden="1" x14ac:dyDescent="0.3">
      <c r="A3915" t="s">
        <v>95</v>
      </c>
      <c r="B3915" t="s">
        <v>96</v>
      </c>
      <c r="C3915" t="s">
        <v>125</v>
      </c>
      <c r="D3915" t="s">
        <v>126</v>
      </c>
      <c r="E3915">
        <v>1976</v>
      </c>
      <c r="F3915" s="1">
        <v>12</v>
      </c>
      <c r="G3915">
        <v>1970</v>
      </c>
      <c r="H3915">
        <f>AVERAGEIFS(Table1[value],Table1[IndicatorCode],Table1[[#This Row],[IndicatorCode]])</f>
        <v>7.6894248608534319</v>
      </c>
      <c r="I3915" cm="1">
        <f t="array" ref="I3915">_xlfn.STDEV.P(IF(Table1[IndicatorCode]=Table1[[#This Row],[IndicatorCode]],Table1[value]))</f>
        <v>5.2319501044600996</v>
      </c>
      <c r="J3915">
        <f>(Table1[[#This Row],[value]] - Table1[[#This Row],[mean]]) / Table1[[#This Row],[std_dev]]</f>
        <v>0.82389454277706442</v>
      </c>
      <c r="K3915">
        <f>AVERAGEIF(Table1[CountryCode],Table1[[#This Row],[CountryCode]],Table1[z-score])</f>
        <v>4.9319686102583721E-2</v>
      </c>
      <c r="L3915" t="e">
        <f>VLOOKUP(Table1[[#This Row],[CountryCode]],[1]!Table1[#Data],4,FALSE)</f>
        <v>#REF!</v>
      </c>
    </row>
    <row r="3916" spans="1:12" hidden="1" x14ac:dyDescent="0.3">
      <c r="A3916" t="s">
        <v>95</v>
      </c>
      <c r="B3916" t="s">
        <v>96</v>
      </c>
      <c r="C3916" t="s">
        <v>125</v>
      </c>
      <c r="D3916" t="s">
        <v>126</v>
      </c>
      <c r="E3916">
        <v>1977</v>
      </c>
      <c r="F3916" s="1">
        <v>12</v>
      </c>
      <c r="G3916">
        <v>1980</v>
      </c>
      <c r="H3916">
        <f>AVERAGEIFS(Table1[value],Table1[IndicatorCode],Table1[[#This Row],[IndicatorCode]])</f>
        <v>7.6894248608534319</v>
      </c>
      <c r="I3916" cm="1">
        <f t="array" ref="I3916">_xlfn.STDEV.P(IF(Table1[IndicatorCode]=Table1[[#This Row],[IndicatorCode]],Table1[value]))</f>
        <v>5.2319501044600996</v>
      </c>
      <c r="J3916">
        <f>(Table1[[#This Row],[value]] - Table1[[#This Row],[mean]]) / Table1[[#This Row],[std_dev]]</f>
        <v>0.82389454277706442</v>
      </c>
      <c r="K3916">
        <f>AVERAGEIF(Table1[CountryCode],Table1[[#This Row],[CountryCode]],Table1[z-score])</f>
        <v>4.9319686102583721E-2</v>
      </c>
      <c r="L3916" t="e">
        <f>VLOOKUP(Table1[[#This Row],[CountryCode]],[1]!Table1[#Data],4,FALSE)</f>
        <v>#REF!</v>
      </c>
    </row>
    <row r="3917" spans="1:12" hidden="1" x14ac:dyDescent="0.3">
      <c r="A3917" t="s">
        <v>95</v>
      </c>
      <c r="B3917" t="s">
        <v>96</v>
      </c>
      <c r="C3917" t="s">
        <v>125</v>
      </c>
      <c r="D3917" t="s">
        <v>126</v>
      </c>
      <c r="E3917">
        <v>1978</v>
      </c>
      <c r="F3917" s="1">
        <v>13</v>
      </c>
      <c r="G3917">
        <v>1980</v>
      </c>
      <c r="H3917">
        <f>AVERAGEIFS(Table1[value],Table1[IndicatorCode],Table1[[#This Row],[IndicatorCode]])</f>
        <v>7.6894248608534319</v>
      </c>
      <c r="I3917" cm="1">
        <f t="array" ref="I3917">_xlfn.STDEV.P(IF(Table1[IndicatorCode]=Table1[[#This Row],[IndicatorCode]],Table1[value]))</f>
        <v>5.2319501044600996</v>
      </c>
      <c r="J3917">
        <f>(Table1[[#This Row],[value]] - Table1[[#This Row],[mean]]) / Table1[[#This Row],[std_dev]]</f>
        <v>1.0150278640118229</v>
      </c>
      <c r="K3917">
        <f>AVERAGEIF(Table1[CountryCode],Table1[[#This Row],[CountryCode]],Table1[z-score])</f>
        <v>4.9319686102583721E-2</v>
      </c>
      <c r="L3917" t="e">
        <f>VLOOKUP(Table1[[#This Row],[CountryCode]],[1]!Table1[#Data],4,FALSE)</f>
        <v>#REF!</v>
      </c>
    </row>
    <row r="3918" spans="1:12" hidden="1" x14ac:dyDescent="0.3">
      <c r="A3918" t="s">
        <v>95</v>
      </c>
      <c r="B3918" t="s">
        <v>96</v>
      </c>
      <c r="C3918" t="s">
        <v>125</v>
      </c>
      <c r="D3918" t="s">
        <v>126</v>
      </c>
      <c r="E3918">
        <v>1979</v>
      </c>
      <c r="F3918" s="1">
        <v>13</v>
      </c>
      <c r="G3918">
        <v>1980</v>
      </c>
      <c r="H3918">
        <f>AVERAGEIFS(Table1[value],Table1[IndicatorCode],Table1[[#This Row],[IndicatorCode]])</f>
        <v>7.6894248608534319</v>
      </c>
      <c r="I3918" cm="1">
        <f t="array" ref="I3918">_xlfn.STDEV.P(IF(Table1[IndicatorCode]=Table1[[#This Row],[IndicatorCode]],Table1[value]))</f>
        <v>5.2319501044600996</v>
      </c>
      <c r="J3918">
        <f>(Table1[[#This Row],[value]] - Table1[[#This Row],[mean]]) / Table1[[#This Row],[std_dev]]</f>
        <v>1.0150278640118229</v>
      </c>
      <c r="K3918">
        <f>AVERAGEIF(Table1[CountryCode],Table1[[#This Row],[CountryCode]],Table1[z-score])</f>
        <v>4.9319686102583721E-2</v>
      </c>
      <c r="L3918" t="e">
        <f>VLOOKUP(Table1[[#This Row],[CountryCode]],[1]!Table1[#Data],4,FALSE)</f>
        <v>#REF!</v>
      </c>
    </row>
    <row r="3919" spans="1:12" hidden="1" x14ac:dyDescent="0.3">
      <c r="A3919" t="s">
        <v>95</v>
      </c>
      <c r="B3919" t="s">
        <v>96</v>
      </c>
      <c r="C3919" t="s">
        <v>125</v>
      </c>
      <c r="D3919" t="s">
        <v>126</v>
      </c>
      <c r="E3919">
        <v>1980</v>
      </c>
      <c r="F3919" s="1">
        <v>13</v>
      </c>
      <c r="G3919">
        <v>1980</v>
      </c>
      <c r="H3919">
        <f>AVERAGEIFS(Table1[value],Table1[IndicatorCode],Table1[[#This Row],[IndicatorCode]])</f>
        <v>7.6894248608534319</v>
      </c>
      <c r="I3919" cm="1">
        <f t="array" ref="I3919">_xlfn.STDEV.P(IF(Table1[IndicatorCode]=Table1[[#This Row],[IndicatorCode]],Table1[value]))</f>
        <v>5.2319501044600996</v>
      </c>
      <c r="J3919">
        <f>(Table1[[#This Row],[value]] - Table1[[#This Row],[mean]]) / Table1[[#This Row],[std_dev]]</f>
        <v>1.0150278640118229</v>
      </c>
      <c r="K3919">
        <f>AVERAGEIF(Table1[CountryCode],Table1[[#This Row],[CountryCode]],Table1[z-score])</f>
        <v>4.9319686102583721E-2</v>
      </c>
      <c r="L3919" t="e">
        <f>VLOOKUP(Table1[[#This Row],[CountryCode]],[1]!Table1[#Data],4,FALSE)</f>
        <v>#REF!</v>
      </c>
    </row>
    <row r="3920" spans="1:12" hidden="1" x14ac:dyDescent="0.3">
      <c r="A3920" t="s">
        <v>95</v>
      </c>
      <c r="B3920" t="s">
        <v>96</v>
      </c>
      <c r="C3920" t="s">
        <v>125</v>
      </c>
      <c r="D3920" t="s">
        <v>126</v>
      </c>
      <c r="E3920">
        <v>1981</v>
      </c>
      <c r="F3920" s="1">
        <v>12</v>
      </c>
      <c r="G3920">
        <v>1980</v>
      </c>
      <c r="H3920">
        <f>AVERAGEIFS(Table1[value],Table1[IndicatorCode],Table1[[#This Row],[IndicatorCode]])</f>
        <v>7.6894248608534319</v>
      </c>
      <c r="I3920" cm="1">
        <f t="array" ref="I3920">_xlfn.STDEV.P(IF(Table1[IndicatorCode]=Table1[[#This Row],[IndicatorCode]],Table1[value]))</f>
        <v>5.2319501044600996</v>
      </c>
      <c r="J3920">
        <f>(Table1[[#This Row],[value]] - Table1[[#This Row],[mean]]) / Table1[[#This Row],[std_dev]]</f>
        <v>0.82389454277706442</v>
      </c>
      <c r="K3920">
        <f>AVERAGEIF(Table1[CountryCode],Table1[[#This Row],[CountryCode]],Table1[z-score])</f>
        <v>4.9319686102583721E-2</v>
      </c>
      <c r="L3920" t="e">
        <f>VLOOKUP(Table1[[#This Row],[CountryCode]],[1]!Table1[#Data],4,FALSE)</f>
        <v>#REF!</v>
      </c>
    </row>
    <row r="3921" spans="1:12" hidden="1" x14ac:dyDescent="0.3">
      <c r="A3921" t="s">
        <v>95</v>
      </c>
      <c r="B3921" t="s">
        <v>96</v>
      </c>
      <c r="C3921" t="s">
        <v>125</v>
      </c>
      <c r="D3921" t="s">
        <v>126</v>
      </c>
      <c r="E3921">
        <v>1982</v>
      </c>
      <c r="F3921" s="1">
        <v>12</v>
      </c>
      <c r="G3921">
        <v>1980</v>
      </c>
      <c r="H3921">
        <f>AVERAGEIFS(Table1[value],Table1[IndicatorCode],Table1[[#This Row],[IndicatorCode]])</f>
        <v>7.6894248608534319</v>
      </c>
      <c r="I3921" cm="1">
        <f t="array" ref="I3921">_xlfn.STDEV.P(IF(Table1[IndicatorCode]=Table1[[#This Row],[IndicatorCode]],Table1[value]))</f>
        <v>5.2319501044600996</v>
      </c>
      <c r="J3921">
        <f>(Table1[[#This Row],[value]] - Table1[[#This Row],[mean]]) / Table1[[#This Row],[std_dev]]</f>
        <v>0.82389454277706442</v>
      </c>
      <c r="K3921">
        <f>AVERAGEIF(Table1[CountryCode],Table1[[#This Row],[CountryCode]],Table1[z-score])</f>
        <v>4.9319686102583721E-2</v>
      </c>
      <c r="L3921" t="e">
        <f>VLOOKUP(Table1[[#This Row],[CountryCode]],[1]!Table1[#Data],4,FALSE)</f>
        <v>#REF!</v>
      </c>
    </row>
    <row r="3922" spans="1:12" hidden="1" x14ac:dyDescent="0.3">
      <c r="A3922" t="s">
        <v>95</v>
      </c>
      <c r="B3922" t="s">
        <v>96</v>
      </c>
      <c r="C3922" t="s">
        <v>125</v>
      </c>
      <c r="D3922" t="s">
        <v>126</v>
      </c>
      <c r="E3922">
        <v>1983</v>
      </c>
      <c r="F3922" s="1">
        <v>12</v>
      </c>
      <c r="G3922">
        <v>1980</v>
      </c>
      <c r="H3922">
        <f>AVERAGEIFS(Table1[value],Table1[IndicatorCode],Table1[[#This Row],[IndicatorCode]])</f>
        <v>7.6894248608534319</v>
      </c>
      <c r="I3922" cm="1">
        <f t="array" ref="I3922">_xlfn.STDEV.P(IF(Table1[IndicatorCode]=Table1[[#This Row],[IndicatorCode]],Table1[value]))</f>
        <v>5.2319501044600996</v>
      </c>
      <c r="J3922">
        <f>(Table1[[#This Row],[value]] - Table1[[#This Row],[mean]]) / Table1[[#This Row],[std_dev]]</f>
        <v>0.82389454277706442</v>
      </c>
      <c r="K3922">
        <f>AVERAGEIF(Table1[CountryCode],Table1[[#This Row],[CountryCode]],Table1[z-score])</f>
        <v>4.9319686102583721E-2</v>
      </c>
      <c r="L3922" t="e">
        <f>VLOOKUP(Table1[[#This Row],[CountryCode]],[1]!Table1[#Data],4,FALSE)</f>
        <v>#REF!</v>
      </c>
    </row>
    <row r="3923" spans="1:12" hidden="1" x14ac:dyDescent="0.3">
      <c r="A3923" t="s">
        <v>95</v>
      </c>
      <c r="B3923" t="s">
        <v>96</v>
      </c>
      <c r="C3923" t="s">
        <v>125</v>
      </c>
      <c r="D3923" t="s">
        <v>126</v>
      </c>
      <c r="E3923">
        <v>1984</v>
      </c>
      <c r="F3923" s="1">
        <v>12</v>
      </c>
      <c r="G3923">
        <v>1980</v>
      </c>
      <c r="H3923">
        <f>AVERAGEIFS(Table1[value],Table1[IndicatorCode],Table1[[#This Row],[IndicatorCode]])</f>
        <v>7.6894248608534319</v>
      </c>
      <c r="I3923" cm="1">
        <f t="array" ref="I3923">_xlfn.STDEV.P(IF(Table1[IndicatorCode]=Table1[[#This Row],[IndicatorCode]],Table1[value]))</f>
        <v>5.2319501044600996</v>
      </c>
      <c r="J3923">
        <f>(Table1[[#This Row],[value]] - Table1[[#This Row],[mean]]) / Table1[[#This Row],[std_dev]]</f>
        <v>0.82389454277706442</v>
      </c>
      <c r="K3923">
        <f>AVERAGEIF(Table1[CountryCode],Table1[[#This Row],[CountryCode]],Table1[z-score])</f>
        <v>4.9319686102583721E-2</v>
      </c>
      <c r="L3923" t="e">
        <f>VLOOKUP(Table1[[#This Row],[CountryCode]],[1]!Table1[#Data],4,FALSE)</f>
        <v>#REF!</v>
      </c>
    </row>
    <row r="3924" spans="1:12" hidden="1" x14ac:dyDescent="0.3">
      <c r="A3924" t="s">
        <v>95</v>
      </c>
      <c r="B3924" t="s">
        <v>96</v>
      </c>
      <c r="C3924" t="s">
        <v>125</v>
      </c>
      <c r="D3924" t="s">
        <v>126</v>
      </c>
      <c r="E3924">
        <v>1985</v>
      </c>
      <c r="F3924" s="1">
        <v>12</v>
      </c>
      <c r="G3924">
        <v>1980</v>
      </c>
      <c r="H3924">
        <f>AVERAGEIFS(Table1[value],Table1[IndicatorCode],Table1[[#This Row],[IndicatorCode]])</f>
        <v>7.6894248608534319</v>
      </c>
      <c r="I3924" cm="1">
        <f t="array" ref="I3924">_xlfn.STDEV.P(IF(Table1[IndicatorCode]=Table1[[#This Row],[IndicatorCode]],Table1[value]))</f>
        <v>5.2319501044600996</v>
      </c>
      <c r="J3924">
        <f>(Table1[[#This Row],[value]] - Table1[[#This Row],[mean]]) / Table1[[#This Row],[std_dev]]</f>
        <v>0.82389454277706442</v>
      </c>
      <c r="K3924">
        <f>AVERAGEIF(Table1[CountryCode],Table1[[#This Row],[CountryCode]],Table1[z-score])</f>
        <v>4.9319686102583721E-2</v>
      </c>
      <c r="L3924" t="e">
        <f>VLOOKUP(Table1[[#This Row],[CountryCode]],[1]!Table1[#Data],4,FALSE)</f>
        <v>#REF!</v>
      </c>
    </row>
    <row r="3925" spans="1:12" hidden="1" x14ac:dyDescent="0.3">
      <c r="A3925" t="s">
        <v>95</v>
      </c>
      <c r="B3925" t="s">
        <v>96</v>
      </c>
      <c r="C3925" t="s">
        <v>125</v>
      </c>
      <c r="D3925" t="s">
        <v>126</v>
      </c>
      <c r="E3925">
        <v>1986</v>
      </c>
      <c r="F3925" s="1">
        <v>12</v>
      </c>
      <c r="G3925">
        <v>1980</v>
      </c>
      <c r="H3925">
        <f>AVERAGEIFS(Table1[value],Table1[IndicatorCode],Table1[[#This Row],[IndicatorCode]])</f>
        <v>7.6894248608534319</v>
      </c>
      <c r="I3925" cm="1">
        <f t="array" ref="I3925">_xlfn.STDEV.P(IF(Table1[IndicatorCode]=Table1[[#This Row],[IndicatorCode]],Table1[value]))</f>
        <v>5.2319501044600996</v>
      </c>
      <c r="J3925">
        <f>(Table1[[#This Row],[value]] - Table1[[#This Row],[mean]]) / Table1[[#This Row],[std_dev]]</f>
        <v>0.82389454277706442</v>
      </c>
      <c r="K3925">
        <f>AVERAGEIF(Table1[CountryCode],Table1[[#This Row],[CountryCode]],Table1[z-score])</f>
        <v>4.9319686102583721E-2</v>
      </c>
      <c r="L3925" t="e">
        <f>VLOOKUP(Table1[[#This Row],[CountryCode]],[1]!Table1[#Data],4,FALSE)</f>
        <v>#REF!</v>
      </c>
    </row>
    <row r="3926" spans="1:12" hidden="1" x14ac:dyDescent="0.3">
      <c r="A3926" t="s">
        <v>95</v>
      </c>
      <c r="B3926" t="s">
        <v>96</v>
      </c>
      <c r="C3926" t="s">
        <v>125</v>
      </c>
      <c r="D3926" t="s">
        <v>126</v>
      </c>
      <c r="E3926">
        <v>1987</v>
      </c>
      <c r="F3926" s="1">
        <v>13</v>
      </c>
      <c r="G3926">
        <v>1990</v>
      </c>
      <c r="H3926">
        <f>AVERAGEIFS(Table1[value],Table1[IndicatorCode],Table1[[#This Row],[IndicatorCode]])</f>
        <v>7.6894248608534319</v>
      </c>
      <c r="I3926" cm="1">
        <f t="array" ref="I3926">_xlfn.STDEV.P(IF(Table1[IndicatorCode]=Table1[[#This Row],[IndicatorCode]],Table1[value]))</f>
        <v>5.2319501044600996</v>
      </c>
      <c r="J3926">
        <f>(Table1[[#This Row],[value]] - Table1[[#This Row],[mean]]) / Table1[[#This Row],[std_dev]]</f>
        <v>1.0150278640118229</v>
      </c>
      <c r="K3926">
        <f>AVERAGEIF(Table1[CountryCode],Table1[[#This Row],[CountryCode]],Table1[z-score])</f>
        <v>4.9319686102583721E-2</v>
      </c>
      <c r="L3926" t="e">
        <f>VLOOKUP(Table1[[#This Row],[CountryCode]],[1]!Table1[#Data],4,FALSE)</f>
        <v>#REF!</v>
      </c>
    </row>
    <row r="3927" spans="1:12" hidden="1" x14ac:dyDescent="0.3">
      <c r="A3927" t="s">
        <v>95</v>
      </c>
      <c r="B3927" t="s">
        <v>96</v>
      </c>
      <c r="C3927" t="s">
        <v>125</v>
      </c>
      <c r="D3927" t="s">
        <v>126</v>
      </c>
      <c r="E3927">
        <v>1988</v>
      </c>
      <c r="F3927" s="1">
        <v>12</v>
      </c>
      <c r="G3927">
        <v>1990</v>
      </c>
      <c r="H3927">
        <f>AVERAGEIFS(Table1[value],Table1[IndicatorCode],Table1[[#This Row],[IndicatorCode]])</f>
        <v>7.6894248608534319</v>
      </c>
      <c r="I3927" cm="1">
        <f t="array" ref="I3927">_xlfn.STDEV.P(IF(Table1[IndicatorCode]=Table1[[#This Row],[IndicatorCode]],Table1[value]))</f>
        <v>5.2319501044600996</v>
      </c>
      <c r="J3927">
        <f>(Table1[[#This Row],[value]] - Table1[[#This Row],[mean]]) / Table1[[#This Row],[std_dev]]</f>
        <v>0.82389454277706442</v>
      </c>
      <c r="K3927">
        <f>AVERAGEIF(Table1[CountryCode],Table1[[#This Row],[CountryCode]],Table1[z-score])</f>
        <v>4.9319686102583721E-2</v>
      </c>
      <c r="L3927" t="e">
        <f>VLOOKUP(Table1[[#This Row],[CountryCode]],[1]!Table1[#Data],4,FALSE)</f>
        <v>#REF!</v>
      </c>
    </row>
    <row r="3928" spans="1:12" hidden="1" x14ac:dyDescent="0.3">
      <c r="A3928" t="s">
        <v>95</v>
      </c>
      <c r="B3928" t="s">
        <v>96</v>
      </c>
      <c r="C3928" t="s">
        <v>125</v>
      </c>
      <c r="D3928" t="s">
        <v>126</v>
      </c>
      <c r="E3928">
        <v>1989</v>
      </c>
      <c r="F3928" s="1">
        <v>12</v>
      </c>
      <c r="G3928">
        <v>1990</v>
      </c>
      <c r="H3928">
        <f>AVERAGEIFS(Table1[value],Table1[IndicatorCode],Table1[[#This Row],[IndicatorCode]])</f>
        <v>7.6894248608534319</v>
      </c>
      <c r="I3928" cm="1">
        <f t="array" ref="I3928">_xlfn.STDEV.P(IF(Table1[IndicatorCode]=Table1[[#This Row],[IndicatorCode]],Table1[value]))</f>
        <v>5.2319501044600996</v>
      </c>
      <c r="J3928">
        <f>(Table1[[#This Row],[value]] - Table1[[#This Row],[mean]]) / Table1[[#This Row],[std_dev]]</f>
        <v>0.82389454277706442</v>
      </c>
      <c r="K3928">
        <f>AVERAGEIF(Table1[CountryCode],Table1[[#This Row],[CountryCode]],Table1[z-score])</f>
        <v>4.9319686102583721E-2</v>
      </c>
      <c r="L3928" t="e">
        <f>VLOOKUP(Table1[[#This Row],[CountryCode]],[1]!Table1[#Data],4,FALSE)</f>
        <v>#REF!</v>
      </c>
    </row>
    <row r="3929" spans="1:12" hidden="1" x14ac:dyDescent="0.3">
      <c r="A3929" t="s">
        <v>95</v>
      </c>
      <c r="B3929" t="s">
        <v>96</v>
      </c>
      <c r="C3929" t="s">
        <v>125</v>
      </c>
      <c r="D3929" t="s">
        <v>126</v>
      </c>
      <c r="E3929">
        <v>1990</v>
      </c>
      <c r="F3929" s="1">
        <v>10</v>
      </c>
      <c r="G3929">
        <v>1990</v>
      </c>
      <c r="H3929">
        <f>AVERAGEIFS(Table1[value],Table1[IndicatorCode],Table1[[#This Row],[IndicatorCode]])</f>
        <v>7.6894248608534319</v>
      </c>
      <c r="I3929" cm="1">
        <f t="array" ref="I3929">_xlfn.STDEV.P(IF(Table1[IndicatorCode]=Table1[[#This Row],[IndicatorCode]],Table1[value]))</f>
        <v>5.2319501044600996</v>
      </c>
      <c r="J3929">
        <f>(Table1[[#This Row],[value]] - Table1[[#This Row],[mean]]) / Table1[[#This Row],[std_dev]]</f>
        <v>0.44162790030754762</v>
      </c>
      <c r="K3929">
        <f>AVERAGEIF(Table1[CountryCode],Table1[[#This Row],[CountryCode]],Table1[z-score])</f>
        <v>4.9319686102583721E-2</v>
      </c>
      <c r="L3929" t="e">
        <f>VLOOKUP(Table1[[#This Row],[CountryCode]],[1]!Table1[#Data],4,FALSE)</f>
        <v>#REF!</v>
      </c>
    </row>
    <row r="3930" spans="1:12" hidden="1" x14ac:dyDescent="0.3">
      <c r="A3930" t="s">
        <v>95</v>
      </c>
      <c r="B3930" t="s">
        <v>96</v>
      </c>
      <c r="C3930" t="s">
        <v>125</v>
      </c>
      <c r="D3930" t="s">
        <v>126</v>
      </c>
      <c r="E3930">
        <v>1991</v>
      </c>
      <c r="F3930" s="1">
        <v>10</v>
      </c>
      <c r="G3930">
        <v>1990</v>
      </c>
      <c r="H3930">
        <f>AVERAGEIFS(Table1[value],Table1[IndicatorCode],Table1[[#This Row],[IndicatorCode]])</f>
        <v>7.6894248608534319</v>
      </c>
      <c r="I3930" cm="1">
        <f t="array" ref="I3930">_xlfn.STDEV.P(IF(Table1[IndicatorCode]=Table1[[#This Row],[IndicatorCode]],Table1[value]))</f>
        <v>5.2319501044600996</v>
      </c>
      <c r="J3930">
        <f>(Table1[[#This Row],[value]] - Table1[[#This Row],[mean]]) / Table1[[#This Row],[std_dev]]</f>
        <v>0.44162790030754762</v>
      </c>
      <c r="K3930">
        <f>AVERAGEIF(Table1[CountryCode],Table1[[#This Row],[CountryCode]],Table1[z-score])</f>
        <v>4.9319686102583721E-2</v>
      </c>
      <c r="L3930" t="e">
        <f>VLOOKUP(Table1[[#This Row],[CountryCode]],[1]!Table1[#Data],4,FALSE)</f>
        <v>#REF!</v>
      </c>
    </row>
    <row r="3931" spans="1:12" hidden="1" x14ac:dyDescent="0.3">
      <c r="A3931" t="s">
        <v>95</v>
      </c>
      <c r="B3931" t="s">
        <v>96</v>
      </c>
      <c r="C3931" t="s">
        <v>125</v>
      </c>
      <c r="D3931" t="s">
        <v>126</v>
      </c>
      <c r="E3931">
        <v>1992</v>
      </c>
      <c r="F3931" s="1">
        <v>9</v>
      </c>
      <c r="G3931">
        <v>1990</v>
      </c>
      <c r="H3931">
        <f>AVERAGEIFS(Table1[value],Table1[IndicatorCode],Table1[[#This Row],[IndicatorCode]])</f>
        <v>7.6894248608534319</v>
      </c>
      <c r="I3931" cm="1">
        <f t="array" ref="I3931">_xlfn.STDEV.P(IF(Table1[IndicatorCode]=Table1[[#This Row],[IndicatorCode]],Table1[value]))</f>
        <v>5.2319501044600996</v>
      </c>
      <c r="J3931">
        <f>(Table1[[#This Row],[value]] - Table1[[#This Row],[mean]]) / Table1[[#This Row],[std_dev]]</f>
        <v>0.25049457907278921</v>
      </c>
      <c r="K3931">
        <f>AVERAGEIF(Table1[CountryCode],Table1[[#This Row],[CountryCode]],Table1[z-score])</f>
        <v>4.9319686102583721E-2</v>
      </c>
      <c r="L3931" t="e">
        <f>VLOOKUP(Table1[[#This Row],[CountryCode]],[1]!Table1[#Data],4,FALSE)</f>
        <v>#REF!</v>
      </c>
    </row>
    <row r="3932" spans="1:12" hidden="1" x14ac:dyDescent="0.3">
      <c r="A3932" t="s">
        <v>95</v>
      </c>
      <c r="B3932" t="s">
        <v>96</v>
      </c>
      <c r="C3932" t="s">
        <v>125</v>
      </c>
      <c r="D3932" t="s">
        <v>126</v>
      </c>
      <c r="E3932">
        <v>1993</v>
      </c>
      <c r="F3932" s="1">
        <v>9</v>
      </c>
      <c r="G3932">
        <v>1990</v>
      </c>
      <c r="H3932">
        <f>AVERAGEIFS(Table1[value],Table1[IndicatorCode],Table1[[#This Row],[IndicatorCode]])</f>
        <v>7.6894248608534319</v>
      </c>
      <c r="I3932" cm="1">
        <f t="array" ref="I3932">_xlfn.STDEV.P(IF(Table1[IndicatorCode]=Table1[[#This Row],[IndicatorCode]],Table1[value]))</f>
        <v>5.2319501044600996</v>
      </c>
      <c r="J3932">
        <f>(Table1[[#This Row],[value]] - Table1[[#This Row],[mean]]) / Table1[[#This Row],[std_dev]]</f>
        <v>0.25049457907278921</v>
      </c>
      <c r="K3932">
        <f>AVERAGEIF(Table1[CountryCode],Table1[[#This Row],[CountryCode]],Table1[z-score])</f>
        <v>4.9319686102583721E-2</v>
      </c>
      <c r="L3932" t="e">
        <f>VLOOKUP(Table1[[#This Row],[CountryCode]],[1]!Table1[#Data],4,FALSE)</f>
        <v>#REF!</v>
      </c>
    </row>
    <row r="3933" spans="1:12" hidden="1" x14ac:dyDescent="0.3">
      <c r="A3933" t="s">
        <v>95</v>
      </c>
      <c r="B3933" t="s">
        <v>96</v>
      </c>
      <c r="C3933" t="s">
        <v>125</v>
      </c>
      <c r="D3933" t="s">
        <v>126</v>
      </c>
      <c r="E3933">
        <v>1994</v>
      </c>
      <c r="F3933" s="1">
        <v>9</v>
      </c>
      <c r="G3933">
        <v>1990</v>
      </c>
      <c r="H3933">
        <f>AVERAGEIFS(Table1[value],Table1[IndicatorCode],Table1[[#This Row],[IndicatorCode]])</f>
        <v>7.6894248608534319</v>
      </c>
      <c r="I3933" cm="1">
        <f t="array" ref="I3933">_xlfn.STDEV.P(IF(Table1[IndicatorCode]=Table1[[#This Row],[IndicatorCode]],Table1[value]))</f>
        <v>5.2319501044600996</v>
      </c>
      <c r="J3933">
        <f>(Table1[[#This Row],[value]] - Table1[[#This Row],[mean]]) / Table1[[#This Row],[std_dev]]</f>
        <v>0.25049457907278921</v>
      </c>
      <c r="K3933">
        <f>AVERAGEIF(Table1[CountryCode],Table1[[#This Row],[CountryCode]],Table1[z-score])</f>
        <v>4.9319686102583721E-2</v>
      </c>
      <c r="L3933" t="e">
        <f>VLOOKUP(Table1[[#This Row],[CountryCode]],[1]!Table1[#Data],4,FALSE)</f>
        <v>#REF!</v>
      </c>
    </row>
    <row r="3934" spans="1:12" hidden="1" x14ac:dyDescent="0.3">
      <c r="A3934" t="s">
        <v>95</v>
      </c>
      <c r="B3934" t="s">
        <v>96</v>
      </c>
      <c r="C3934" t="s">
        <v>125</v>
      </c>
      <c r="D3934" t="s">
        <v>126</v>
      </c>
      <c r="E3934">
        <v>1995</v>
      </c>
      <c r="F3934" s="1">
        <v>9</v>
      </c>
      <c r="G3934">
        <v>1990</v>
      </c>
      <c r="H3934">
        <f>AVERAGEIFS(Table1[value],Table1[IndicatorCode],Table1[[#This Row],[IndicatorCode]])</f>
        <v>7.6894248608534319</v>
      </c>
      <c r="I3934" cm="1">
        <f t="array" ref="I3934">_xlfn.STDEV.P(IF(Table1[IndicatorCode]=Table1[[#This Row],[IndicatorCode]],Table1[value]))</f>
        <v>5.2319501044600996</v>
      </c>
      <c r="J3934">
        <f>(Table1[[#This Row],[value]] - Table1[[#This Row],[mean]]) / Table1[[#This Row],[std_dev]]</f>
        <v>0.25049457907278921</v>
      </c>
      <c r="K3934">
        <f>AVERAGEIF(Table1[CountryCode],Table1[[#This Row],[CountryCode]],Table1[z-score])</f>
        <v>4.9319686102583721E-2</v>
      </c>
      <c r="L3934" t="e">
        <f>VLOOKUP(Table1[[#This Row],[CountryCode]],[1]!Table1[#Data],4,FALSE)</f>
        <v>#REF!</v>
      </c>
    </row>
    <row r="3935" spans="1:12" hidden="1" x14ac:dyDescent="0.3">
      <c r="A3935" t="s">
        <v>95</v>
      </c>
      <c r="B3935" t="s">
        <v>96</v>
      </c>
      <c r="C3935" t="s">
        <v>125</v>
      </c>
      <c r="D3935" t="s">
        <v>126</v>
      </c>
      <c r="E3935">
        <v>1996</v>
      </c>
      <c r="F3935" s="1">
        <v>10</v>
      </c>
      <c r="G3935">
        <v>1990</v>
      </c>
      <c r="H3935">
        <f>AVERAGEIFS(Table1[value],Table1[IndicatorCode],Table1[[#This Row],[IndicatorCode]])</f>
        <v>7.6894248608534319</v>
      </c>
      <c r="I3935" cm="1">
        <f t="array" ref="I3935">_xlfn.STDEV.P(IF(Table1[IndicatorCode]=Table1[[#This Row],[IndicatorCode]],Table1[value]))</f>
        <v>5.2319501044600996</v>
      </c>
      <c r="J3935">
        <f>(Table1[[#This Row],[value]] - Table1[[#This Row],[mean]]) / Table1[[#This Row],[std_dev]]</f>
        <v>0.44162790030754762</v>
      </c>
      <c r="K3935">
        <f>AVERAGEIF(Table1[CountryCode],Table1[[#This Row],[CountryCode]],Table1[z-score])</f>
        <v>4.9319686102583721E-2</v>
      </c>
      <c r="L3935" t="e">
        <f>VLOOKUP(Table1[[#This Row],[CountryCode]],[1]!Table1[#Data],4,FALSE)</f>
        <v>#REF!</v>
      </c>
    </row>
    <row r="3936" spans="1:12" hidden="1" x14ac:dyDescent="0.3">
      <c r="A3936" t="s">
        <v>95</v>
      </c>
      <c r="B3936" t="s">
        <v>96</v>
      </c>
      <c r="C3936" t="s">
        <v>125</v>
      </c>
      <c r="D3936" t="s">
        <v>126</v>
      </c>
      <c r="E3936">
        <v>1997</v>
      </c>
      <c r="F3936" s="1">
        <v>9</v>
      </c>
      <c r="G3936">
        <v>2000</v>
      </c>
      <c r="H3936">
        <f>AVERAGEIFS(Table1[value],Table1[IndicatorCode],Table1[[#This Row],[IndicatorCode]])</f>
        <v>7.6894248608534319</v>
      </c>
      <c r="I3936" cm="1">
        <f t="array" ref="I3936">_xlfn.STDEV.P(IF(Table1[IndicatorCode]=Table1[[#This Row],[IndicatorCode]],Table1[value]))</f>
        <v>5.2319501044600996</v>
      </c>
      <c r="J3936">
        <f>(Table1[[#This Row],[value]] - Table1[[#This Row],[mean]]) / Table1[[#This Row],[std_dev]]</f>
        <v>0.25049457907278921</v>
      </c>
      <c r="K3936">
        <f>AVERAGEIF(Table1[CountryCode],Table1[[#This Row],[CountryCode]],Table1[z-score])</f>
        <v>4.9319686102583721E-2</v>
      </c>
      <c r="L3936" t="e">
        <f>VLOOKUP(Table1[[#This Row],[CountryCode]],[1]!Table1[#Data],4,FALSE)</f>
        <v>#REF!</v>
      </c>
    </row>
    <row r="3937" spans="1:12" hidden="1" x14ac:dyDescent="0.3">
      <c r="A3937" t="s">
        <v>95</v>
      </c>
      <c r="B3937" t="s">
        <v>96</v>
      </c>
      <c r="C3937" t="s">
        <v>125</v>
      </c>
      <c r="D3937" t="s">
        <v>126</v>
      </c>
      <c r="E3937">
        <v>1998</v>
      </c>
      <c r="F3937" s="1">
        <v>9</v>
      </c>
      <c r="G3937">
        <v>2000</v>
      </c>
      <c r="H3937">
        <f>AVERAGEIFS(Table1[value],Table1[IndicatorCode],Table1[[#This Row],[IndicatorCode]])</f>
        <v>7.6894248608534319</v>
      </c>
      <c r="I3937" cm="1">
        <f t="array" ref="I3937">_xlfn.STDEV.P(IF(Table1[IndicatorCode]=Table1[[#This Row],[IndicatorCode]],Table1[value]))</f>
        <v>5.2319501044600996</v>
      </c>
      <c r="J3937">
        <f>(Table1[[#This Row],[value]] - Table1[[#This Row],[mean]]) / Table1[[#This Row],[std_dev]]</f>
        <v>0.25049457907278921</v>
      </c>
      <c r="K3937">
        <f>AVERAGEIF(Table1[CountryCode],Table1[[#This Row],[CountryCode]],Table1[z-score])</f>
        <v>4.9319686102583721E-2</v>
      </c>
      <c r="L3937" t="e">
        <f>VLOOKUP(Table1[[#This Row],[CountryCode]],[1]!Table1[#Data],4,FALSE)</f>
        <v>#REF!</v>
      </c>
    </row>
    <row r="3938" spans="1:12" hidden="1" x14ac:dyDescent="0.3">
      <c r="A3938" t="s">
        <v>95</v>
      </c>
      <c r="B3938" t="s">
        <v>96</v>
      </c>
      <c r="C3938" t="s">
        <v>125</v>
      </c>
      <c r="D3938" t="s">
        <v>126</v>
      </c>
      <c r="E3938">
        <v>1999</v>
      </c>
      <c r="F3938" s="1">
        <v>8</v>
      </c>
      <c r="G3938">
        <v>2000</v>
      </c>
      <c r="H3938">
        <f>AVERAGEIFS(Table1[value],Table1[IndicatorCode],Table1[[#This Row],[IndicatorCode]])</f>
        <v>7.6894248608534319</v>
      </c>
      <c r="I3938" cm="1">
        <f t="array" ref="I3938">_xlfn.STDEV.P(IF(Table1[IndicatorCode]=Table1[[#This Row],[IndicatorCode]],Table1[value]))</f>
        <v>5.2319501044600996</v>
      </c>
      <c r="J3938">
        <f>(Table1[[#This Row],[value]] - Table1[[#This Row],[mean]]) / Table1[[#This Row],[std_dev]]</f>
        <v>5.9361257838030791E-2</v>
      </c>
      <c r="K3938">
        <f>AVERAGEIF(Table1[CountryCode],Table1[[#This Row],[CountryCode]],Table1[z-score])</f>
        <v>4.9319686102583721E-2</v>
      </c>
      <c r="L3938" t="e">
        <f>VLOOKUP(Table1[[#This Row],[CountryCode]],[1]!Table1[#Data],4,FALSE)</f>
        <v>#REF!</v>
      </c>
    </row>
    <row r="3939" spans="1:12" hidden="1" x14ac:dyDescent="0.3">
      <c r="A3939" t="s">
        <v>95</v>
      </c>
      <c r="B3939" t="s">
        <v>96</v>
      </c>
      <c r="C3939" t="s">
        <v>125</v>
      </c>
      <c r="D3939" t="s">
        <v>126</v>
      </c>
      <c r="E3939">
        <v>2000</v>
      </c>
      <c r="F3939" s="1">
        <v>8</v>
      </c>
      <c r="G3939">
        <v>2000</v>
      </c>
      <c r="H3939">
        <f>AVERAGEIFS(Table1[value],Table1[IndicatorCode],Table1[[#This Row],[IndicatorCode]])</f>
        <v>7.6894248608534319</v>
      </c>
      <c r="I3939" cm="1">
        <f t="array" ref="I3939">_xlfn.STDEV.P(IF(Table1[IndicatorCode]=Table1[[#This Row],[IndicatorCode]],Table1[value]))</f>
        <v>5.2319501044600996</v>
      </c>
      <c r="J3939">
        <f>(Table1[[#This Row],[value]] - Table1[[#This Row],[mean]]) / Table1[[#This Row],[std_dev]]</f>
        <v>5.9361257838030791E-2</v>
      </c>
      <c r="K3939">
        <f>AVERAGEIF(Table1[CountryCode],Table1[[#This Row],[CountryCode]],Table1[z-score])</f>
        <v>4.9319686102583721E-2</v>
      </c>
      <c r="L3939" t="e">
        <f>VLOOKUP(Table1[[#This Row],[CountryCode]],[1]!Table1[#Data],4,FALSE)</f>
        <v>#REF!</v>
      </c>
    </row>
    <row r="3940" spans="1:12" hidden="1" x14ac:dyDescent="0.3">
      <c r="A3940" t="s">
        <v>95</v>
      </c>
      <c r="B3940" t="s">
        <v>96</v>
      </c>
      <c r="C3940" t="s">
        <v>125</v>
      </c>
      <c r="D3940" t="s">
        <v>126</v>
      </c>
      <c r="E3940">
        <v>2001</v>
      </c>
      <c r="F3940" s="1">
        <v>8</v>
      </c>
      <c r="G3940">
        <v>2000</v>
      </c>
      <c r="H3940">
        <f>AVERAGEIFS(Table1[value],Table1[IndicatorCode],Table1[[#This Row],[IndicatorCode]])</f>
        <v>7.6894248608534319</v>
      </c>
      <c r="I3940" cm="1">
        <f t="array" ref="I3940">_xlfn.STDEV.P(IF(Table1[IndicatorCode]=Table1[[#This Row],[IndicatorCode]],Table1[value]))</f>
        <v>5.2319501044600996</v>
      </c>
      <c r="J3940">
        <f>(Table1[[#This Row],[value]] - Table1[[#This Row],[mean]]) / Table1[[#This Row],[std_dev]]</f>
        <v>5.9361257838030791E-2</v>
      </c>
      <c r="K3940">
        <f>AVERAGEIF(Table1[CountryCode],Table1[[#This Row],[CountryCode]],Table1[z-score])</f>
        <v>4.9319686102583721E-2</v>
      </c>
      <c r="L3940" t="e">
        <f>VLOOKUP(Table1[[#This Row],[CountryCode]],[1]!Table1[#Data],4,FALSE)</f>
        <v>#REF!</v>
      </c>
    </row>
    <row r="3941" spans="1:12" hidden="1" x14ac:dyDescent="0.3">
      <c r="A3941" t="s">
        <v>95</v>
      </c>
      <c r="B3941" t="s">
        <v>96</v>
      </c>
      <c r="C3941" t="s">
        <v>125</v>
      </c>
      <c r="D3941" t="s">
        <v>126</v>
      </c>
      <c r="E3941">
        <v>2002</v>
      </c>
      <c r="F3941" s="1">
        <v>8</v>
      </c>
      <c r="G3941">
        <v>2000</v>
      </c>
      <c r="H3941">
        <f>AVERAGEIFS(Table1[value],Table1[IndicatorCode],Table1[[#This Row],[IndicatorCode]])</f>
        <v>7.6894248608534319</v>
      </c>
      <c r="I3941" cm="1">
        <f t="array" ref="I3941">_xlfn.STDEV.P(IF(Table1[IndicatorCode]=Table1[[#This Row],[IndicatorCode]],Table1[value]))</f>
        <v>5.2319501044600996</v>
      </c>
      <c r="J3941">
        <f>(Table1[[#This Row],[value]] - Table1[[#This Row],[mean]]) / Table1[[#This Row],[std_dev]]</f>
        <v>5.9361257838030791E-2</v>
      </c>
      <c r="K3941">
        <f>AVERAGEIF(Table1[CountryCode],Table1[[#This Row],[CountryCode]],Table1[z-score])</f>
        <v>4.9319686102583721E-2</v>
      </c>
      <c r="L3941" t="e">
        <f>VLOOKUP(Table1[[#This Row],[CountryCode]],[1]!Table1[#Data],4,FALSE)</f>
        <v>#REF!</v>
      </c>
    </row>
    <row r="3942" spans="1:12" hidden="1" x14ac:dyDescent="0.3">
      <c r="A3942" t="s">
        <v>95</v>
      </c>
      <c r="B3942" t="s">
        <v>96</v>
      </c>
      <c r="C3942" t="s">
        <v>125</v>
      </c>
      <c r="D3942" t="s">
        <v>126</v>
      </c>
      <c r="E3942">
        <v>2003</v>
      </c>
      <c r="F3942" s="1">
        <v>8</v>
      </c>
      <c r="G3942">
        <v>2000</v>
      </c>
      <c r="H3942">
        <f>AVERAGEIFS(Table1[value],Table1[IndicatorCode],Table1[[#This Row],[IndicatorCode]])</f>
        <v>7.6894248608534319</v>
      </c>
      <c r="I3942" cm="1">
        <f t="array" ref="I3942">_xlfn.STDEV.P(IF(Table1[IndicatorCode]=Table1[[#This Row],[IndicatorCode]],Table1[value]))</f>
        <v>5.2319501044600996</v>
      </c>
      <c r="J3942">
        <f>(Table1[[#This Row],[value]] - Table1[[#This Row],[mean]]) / Table1[[#This Row],[std_dev]]</f>
        <v>5.9361257838030791E-2</v>
      </c>
      <c r="K3942">
        <f>AVERAGEIF(Table1[CountryCode],Table1[[#This Row],[CountryCode]],Table1[z-score])</f>
        <v>4.9319686102583721E-2</v>
      </c>
      <c r="L3942" t="e">
        <f>VLOOKUP(Table1[[#This Row],[CountryCode]],[1]!Table1[#Data],4,FALSE)</f>
        <v>#REF!</v>
      </c>
    </row>
    <row r="3943" spans="1:12" hidden="1" x14ac:dyDescent="0.3">
      <c r="A3943" t="s">
        <v>95</v>
      </c>
      <c r="B3943" t="s">
        <v>96</v>
      </c>
      <c r="C3943" t="s">
        <v>125</v>
      </c>
      <c r="D3943" t="s">
        <v>126</v>
      </c>
      <c r="E3943">
        <v>2004</v>
      </c>
      <c r="F3943" s="1">
        <v>8</v>
      </c>
      <c r="G3943">
        <v>2000</v>
      </c>
      <c r="H3943">
        <f>AVERAGEIFS(Table1[value],Table1[IndicatorCode],Table1[[#This Row],[IndicatorCode]])</f>
        <v>7.6894248608534319</v>
      </c>
      <c r="I3943" cm="1">
        <f t="array" ref="I3943">_xlfn.STDEV.P(IF(Table1[IndicatorCode]=Table1[[#This Row],[IndicatorCode]],Table1[value]))</f>
        <v>5.2319501044600996</v>
      </c>
      <c r="J3943">
        <f>(Table1[[#This Row],[value]] - Table1[[#This Row],[mean]]) / Table1[[#This Row],[std_dev]]</f>
        <v>5.9361257838030791E-2</v>
      </c>
      <c r="K3943">
        <f>AVERAGEIF(Table1[CountryCode],Table1[[#This Row],[CountryCode]],Table1[z-score])</f>
        <v>4.9319686102583721E-2</v>
      </c>
      <c r="L3943" t="e">
        <f>VLOOKUP(Table1[[#This Row],[CountryCode]],[1]!Table1[#Data],4,FALSE)</f>
        <v>#REF!</v>
      </c>
    </row>
    <row r="3944" spans="1:12" hidden="1" x14ac:dyDescent="0.3">
      <c r="A3944" t="s">
        <v>95</v>
      </c>
      <c r="B3944" t="s">
        <v>96</v>
      </c>
      <c r="C3944" t="s">
        <v>125</v>
      </c>
      <c r="D3944" t="s">
        <v>126</v>
      </c>
      <c r="E3944">
        <v>2005</v>
      </c>
      <c r="F3944" s="1">
        <v>8</v>
      </c>
      <c r="G3944">
        <v>2000</v>
      </c>
      <c r="H3944">
        <f>AVERAGEIFS(Table1[value],Table1[IndicatorCode],Table1[[#This Row],[IndicatorCode]])</f>
        <v>7.6894248608534319</v>
      </c>
      <c r="I3944" cm="1">
        <f t="array" ref="I3944">_xlfn.STDEV.P(IF(Table1[IndicatorCode]=Table1[[#This Row],[IndicatorCode]],Table1[value]))</f>
        <v>5.2319501044600996</v>
      </c>
      <c r="J3944">
        <f>(Table1[[#This Row],[value]] - Table1[[#This Row],[mean]]) / Table1[[#This Row],[std_dev]]</f>
        <v>5.9361257838030791E-2</v>
      </c>
      <c r="K3944">
        <f>AVERAGEIF(Table1[CountryCode],Table1[[#This Row],[CountryCode]],Table1[z-score])</f>
        <v>4.9319686102583721E-2</v>
      </c>
      <c r="L3944" t="e">
        <f>VLOOKUP(Table1[[#This Row],[CountryCode]],[1]!Table1[#Data],4,FALSE)</f>
        <v>#REF!</v>
      </c>
    </row>
    <row r="3945" spans="1:12" hidden="1" x14ac:dyDescent="0.3">
      <c r="A3945" t="s">
        <v>95</v>
      </c>
      <c r="B3945" t="s">
        <v>96</v>
      </c>
      <c r="C3945" t="s">
        <v>125</v>
      </c>
      <c r="D3945" t="s">
        <v>126</v>
      </c>
      <c r="E3945">
        <v>2006</v>
      </c>
      <c r="F3945" s="1">
        <v>9</v>
      </c>
      <c r="G3945">
        <v>2000</v>
      </c>
      <c r="H3945">
        <f>AVERAGEIFS(Table1[value],Table1[IndicatorCode],Table1[[#This Row],[IndicatorCode]])</f>
        <v>7.6894248608534319</v>
      </c>
      <c r="I3945" cm="1">
        <f t="array" ref="I3945">_xlfn.STDEV.P(IF(Table1[IndicatorCode]=Table1[[#This Row],[IndicatorCode]],Table1[value]))</f>
        <v>5.2319501044600996</v>
      </c>
      <c r="J3945">
        <f>(Table1[[#This Row],[value]] - Table1[[#This Row],[mean]]) / Table1[[#This Row],[std_dev]]</f>
        <v>0.25049457907278921</v>
      </c>
      <c r="K3945">
        <f>AVERAGEIF(Table1[CountryCode],Table1[[#This Row],[CountryCode]],Table1[z-score])</f>
        <v>4.9319686102583721E-2</v>
      </c>
      <c r="L3945" t="e">
        <f>VLOOKUP(Table1[[#This Row],[CountryCode]],[1]!Table1[#Data],4,FALSE)</f>
        <v>#REF!</v>
      </c>
    </row>
    <row r="3946" spans="1:12" hidden="1" x14ac:dyDescent="0.3">
      <c r="A3946" t="s">
        <v>95</v>
      </c>
      <c r="B3946" t="s">
        <v>96</v>
      </c>
      <c r="C3946" t="s">
        <v>125</v>
      </c>
      <c r="D3946" t="s">
        <v>126</v>
      </c>
      <c r="E3946">
        <v>2007</v>
      </c>
      <c r="F3946" s="1">
        <v>9</v>
      </c>
      <c r="G3946">
        <v>2010</v>
      </c>
      <c r="H3946">
        <f>AVERAGEIFS(Table1[value],Table1[IndicatorCode],Table1[[#This Row],[IndicatorCode]])</f>
        <v>7.6894248608534319</v>
      </c>
      <c r="I3946" cm="1">
        <f t="array" ref="I3946">_xlfn.STDEV.P(IF(Table1[IndicatorCode]=Table1[[#This Row],[IndicatorCode]],Table1[value]))</f>
        <v>5.2319501044600996</v>
      </c>
      <c r="J3946">
        <f>(Table1[[#This Row],[value]] - Table1[[#This Row],[mean]]) / Table1[[#This Row],[std_dev]]</f>
        <v>0.25049457907278921</v>
      </c>
      <c r="K3946">
        <f>AVERAGEIF(Table1[CountryCode],Table1[[#This Row],[CountryCode]],Table1[z-score])</f>
        <v>4.9319686102583721E-2</v>
      </c>
      <c r="L3946" t="e">
        <f>VLOOKUP(Table1[[#This Row],[CountryCode]],[1]!Table1[#Data],4,FALSE)</f>
        <v>#REF!</v>
      </c>
    </row>
    <row r="3947" spans="1:12" hidden="1" x14ac:dyDescent="0.3">
      <c r="A3947" t="s">
        <v>95</v>
      </c>
      <c r="B3947" t="s">
        <v>96</v>
      </c>
      <c r="C3947" t="s">
        <v>125</v>
      </c>
      <c r="D3947" t="s">
        <v>126</v>
      </c>
      <c r="E3947">
        <v>2008</v>
      </c>
      <c r="F3947" s="1">
        <v>9</v>
      </c>
      <c r="G3947">
        <v>2010</v>
      </c>
      <c r="H3947">
        <f>AVERAGEIFS(Table1[value],Table1[IndicatorCode],Table1[[#This Row],[IndicatorCode]])</f>
        <v>7.6894248608534319</v>
      </c>
      <c r="I3947" cm="1">
        <f t="array" ref="I3947">_xlfn.STDEV.P(IF(Table1[IndicatorCode]=Table1[[#This Row],[IndicatorCode]],Table1[value]))</f>
        <v>5.2319501044600996</v>
      </c>
      <c r="J3947">
        <f>(Table1[[#This Row],[value]] - Table1[[#This Row],[mean]]) / Table1[[#This Row],[std_dev]]</f>
        <v>0.25049457907278921</v>
      </c>
      <c r="K3947">
        <f>AVERAGEIF(Table1[CountryCode],Table1[[#This Row],[CountryCode]],Table1[z-score])</f>
        <v>4.9319686102583721E-2</v>
      </c>
      <c r="L3947" t="e">
        <f>VLOOKUP(Table1[[#This Row],[CountryCode]],[1]!Table1[#Data],4,FALSE)</f>
        <v>#REF!</v>
      </c>
    </row>
    <row r="3948" spans="1:12" hidden="1" x14ac:dyDescent="0.3">
      <c r="A3948" t="s">
        <v>95</v>
      </c>
      <c r="B3948" t="s">
        <v>96</v>
      </c>
      <c r="C3948" t="s">
        <v>125</v>
      </c>
      <c r="D3948" t="s">
        <v>126</v>
      </c>
      <c r="E3948">
        <v>2009</v>
      </c>
      <c r="F3948" s="1">
        <v>8</v>
      </c>
      <c r="G3948">
        <v>2010</v>
      </c>
      <c r="H3948">
        <f>AVERAGEIFS(Table1[value],Table1[IndicatorCode],Table1[[#This Row],[IndicatorCode]])</f>
        <v>7.6894248608534319</v>
      </c>
      <c r="I3948" cm="1">
        <f t="array" ref="I3948">_xlfn.STDEV.P(IF(Table1[IndicatorCode]=Table1[[#This Row],[IndicatorCode]],Table1[value]))</f>
        <v>5.2319501044600996</v>
      </c>
      <c r="J3948">
        <f>(Table1[[#This Row],[value]] - Table1[[#This Row],[mean]]) / Table1[[#This Row],[std_dev]]</f>
        <v>5.9361257838030791E-2</v>
      </c>
      <c r="K3948">
        <f>AVERAGEIF(Table1[CountryCode],Table1[[#This Row],[CountryCode]],Table1[z-score])</f>
        <v>4.9319686102583721E-2</v>
      </c>
      <c r="L3948" t="e">
        <f>VLOOKUP(Table1[[#This Row],[CountryCode]],[1]!Table1[#Data],4,FALSE)</f>
        <v>#REF!</v>
      </c>
    </row>
    <row r="3949" spans="1:12" hidden="1" x14ac:dyDescent="0.3">
      <c r="A3949" t="s">
        <v>95</v>
      </c>
      <c r="B3949" t="s">
        <v>96</v>
      </c>
      <c r="C3949" t="s">
        <v>125</v>
      </c>
      <c r="D3949" t="s">
        <v>126</v>
      </c>
      <c r="E3949">
        <v>2010</v>
      </c>
      <c r="F3949" s="1">
        <v>9</v>
      </c>
      <c r="G3949">
        <v>2010</v>
      </c>
      <c r="H3949">
        <f>AVERAGEIFS(Table1[value],Table1[IndicatorCode],Table1[[#This Row],[IndicatorCode]])</f>
        <v>7.6894248608534319</v>
      </c>
      <c r="I3949" cm="1">
        <f t="array" ref="I3949">_xlfn.STDEV.P(IF(Table1[IndicatorCode]=Table1[[#This Row],[IndicatorCode]],Table1[value]))</f>
        <v>5.2319501044600996</v>
      </c>
      <c r="J3949">
        <f>(Table1[[#This Row],[value]] - Table1[[#This Row],[mean]]) / Table1[[#This Row],[std_dev]]</f>
        <v>0.25049457907278921</v>
      </c>
      <c r="K3949">
        <f>AVERAGEIF(Table1[CountryCode],Table1[[#This Row],[CountryCode]],Table1[z-score])</f>
        <v>4.9319686102583721E-2</v>
      </c>
      <c r="L3949" t="e">
        <f>VLOOKUP(Table1[[#This Row],[CountryCode]],[1]!Table1[#Data],4,FALSE)</f>
        <v>#REF!</v>
      </c>
    </row>
    <row r="3950" spans="1:12" hidden="1" x14ac:dyDescent="0.3">
      <c r="A3950" t="s">
        <v>95</v>
      </c>
      <c r="B3950" t="s">
        <v>96</v>
      </c>
      <c r="C3950" t="s">
        <v>125</v>
      </c>
      <c r="D3950" t="s">
        <v>126</v>
      </c>
      <c r="E3950">
        <v>2011</v>
      </c>
      <c r="F3950" s="1">
        <v>9</v>
      </c>
      <c r="G3950">
        <v>2010</v>
      </c>
      <c r="H3950">
        <f>AVERAGEIFS(Table1[value],Table1[IndicatorCode],Table1[[#This Row],[IndicatorCode]])</f>
        <v>7.6894248608534319</v>
      </c>
      <c r="I3950" cm="1">
        <f t="array" ref="I3950">_xlfn.STDEV.P(IF(Table1[IndicatorCode]=Table1[[#This Row],[IndicatorCode]],Table1[value]))</f>
        <v>5.2319501044600996</v>
      </c>
      <c r="J3950">
        <f>(Table1[[#This Row],[value]] - Table1[[#This Row],[mean]]) / Table1[[#This Row],[std_dev]]</f>
        <v>0.25049457907278921</v>
      </c>
      <c r="K3950">
        <f>AVERAGEIF(Table1[CountryCode],Table1[[#This Row],[CountryCode]],Table1[z-score])</f>
        <v>4.9319686102583721E-2</v>
      </c>
      <c r="L3950" t="e">
        <f>VLOOKUP(Table1[[#This Row],[CountryCode]],[1]!Table1[#Data],4,FALSE)</f>
        <v>#REF!</v>
      </c>
    </row>
    <row r="3951" spans="1:12" hidden="1" x14ac:dyDescent="0.3">
      <c r="A3951" t="s">
        <v>95</v>
      </c>
      <c r="B3951" t="s">
        <v>96</v>
      </c>
      <c r="C3951" t="s">
        <v>125</v>
      </c>
      <c r="D3951" t="s">
        <v>126</v>
      </c>
      <c r="E3951">
        <v>2012</v>
      </c>
      <c r="F3951" s="1">
        <v>8</v>
      </c>
      <c r="G3951">
        <v>2010</v>
      </c>
      <c r="H3951">
        <f>AVERAGEIFS(Table1[value],Table1[IndicatorCode],Table1[[#This Row],[IndicatorCode]])</f>
        <v>7.6894248608534319</v>
      </c>
      <c r="I3951" cm="1">
        <f t="array" ref="I3951">_xlfn.STDEV.P(IF(Table1[IndicatorCode]=Table1[[#This Row],[IndicatorCode]],Table1[value]))</f>
        <v>5.2319501044600996</v>
      </c>
      <c r="J3951">
        <f>(Table1[[#This Row],[value]] - Table1[[#This Row],[mean]]) / Table1[[#This Row],[std_dev]]</f>
        <v>5.9361257838030791E-2</v>
      </c>
      <c r="K3951">
        <f>AVERAGEIF(Table1[CountryCode],Table1[[#This Row],[CountryCode]],Table1[z-score])</f>
        <v>4.9319686102583721E-2</v>
      </c>
      <c r="L3951" t="e">
        <f>VLOOKUP(Table1[[#This Row],[CountryCode]],[1]!Table1[#Data],4,FALSE)</f>
        <v>#REF!</v>
      </c>
    </row>
    <row r="3952" spans="1:12" hidden="1" x14ac:dyDescent="0.3">
      <c r="A3952" t="s">
        <v>95</v>
      </c>
      <c r="B3952" t="s">
        <v>96</v>
      </c>
      <c r="C3952" t="s">
        <v>125</v>
      </c>
      <c r="D3952" t="s">
        <v>126</v>
      </c>
      <c r="E3952">
        <v>2013</v>
      </c>
      <c r="F3952" s="1">
        <v>8</v>
      </c>
      <c r="G3952">
        <v>2010</v>
      </c>
      <c r="H3952">
        <f>AVERAGEIFS(Table1[value],Table1[IndicatorCode],Table1[[#This Row],[IndicatorCode]])</f>
        <v>7.6894248608534319</v>
      </c>
      <c r="I3952" cm="1">
        <f t="array" ref="I3952">_xlfn.STDEV.P(IF(Table1[IndicatorCode]=Table1[[#This Row],[IndicatorCode]],Table1[value]))</f>
        <v>5.2319501044600996</v>
      </c>
      <c r="J3952">
        <f>(Table1[[#This Row],[value]] - Table1[[#This Row],[mean]]) / Table1[[#This Row],[std_dev]]</f>
        <v>5.9361257838030791E-2</v>
      </c>
      <c r="K3952">
        <f>AVERAGEIF(Table1[CountryCode],Table1[[#This Row],[CountryCode]],Table1[z-score])</f>
        <v>4.9319686102583721E-2</v>
      </c>
      <c r="L3952" t="e">
        <f>VLOOKUP(Table1[[#This Row],[CountryCode]],[1]!Table1[#Data],4,FALSE)</f>
        <v>#REF!</v>
      </c>
    </row>
    <row r="3953" spans="1:12" hidden="1" x14ac:dyDescent="0.3">
      <c r="A3953" t="s">
        <v>95</v>
      </c>
      <c r="B3953" t="s">
        <v>96</v>
      </c>
      <c r="C3953" t="s">
        <v>125</v>
      </c>
      <c r="D3953" t="s">
        <v>126</v>
      </c>
      <c r="E3953">
        <v>2014</v>
      </c>
      <c r="F3953" s="1">
        <v>8</v>
      </c>
      <c r="G3953">
        <v>2010</v>
      </c>
      <c r="H3953">
        <f>AVERAGEIFS(Table1[value],Table1[IndicatorCode],Table1[[#This Row],[IndicatorCode]])</f>
        <v>7.6894248608534319</v>
      </c>
      <c r="I3953" cm="1">
        <f t="array" ref="I3953">_xlfn.STDEV.P(IF(Table1[IndicatorCode]=Table1[[#This Row],[IndicatorCode]],Table1[value]))</f>
        <v>5.2319501044600996</v>
      </c>
      <c r="J3953">
        <f>(Table1[[#This Row],[value]] - Table1[[#This Row],[mean]]) / Table1[[#This Row],[std_dev]]</f>
        <v>5.9361257838030791E-2</v>
      </c>
      <c r="K3953">
        <f>AVERAGEIF(Table1[CountryCode],Table1[[#This Row],[CountryCode]],Table1[z-score])</f>
        <v>4.9319686102583721E-2</v>
      </c>
      <c r="L3953" t="e">
        <f>VLOOKUP(Table1[[#This Row],[CountryCode]],[1]!Table1[#Data],4,FALSE)</f>
        <v>#REF!</v>
      </c>
    </row>
    <row r="3954" spans="1:12" hidden="1" x14ac:dyDescent="0.3">
      <c r="A3954" t="s">
        <v>95</v>
      </c>
      <c r="B3954" t="s">
        <v>96</v>
      </c>
      <c r="C3954" t="s">
        <v>125</v>
      </c>
      <c r="D3954" t="s">
        <v>126</v>
      </c>
      <c r="E3954">
        <v>2015</v>
      </c>
      <c r="F3954" s="1">
        <v>8</v>
      </c>
      <c r="G3954">
        <v>2010</v>
      </c>
      <c r="H3954">
        <f>AVERAGEIFS(Table1[value],Table1[IndicatorCode],Table1[[#This Row],[IndicatorCode]])</f>
        <v>7.6894248608534319</v>
      </c>
      <c r="I3954" cm="1">
        <f t="array" ref="I3954">_xlfn.STDEV.P(IF(Table1[IndicatorCode]=Table1[[#This Row],[IndicatorCode]],Table1[value]))</f>
        <v>5.2319501044600996</v>
      </c>
      <c r="J3954">
        <f>(Table1[[#This Row],[value]] - Table1[[#This Row],[mean]]) / Table1[[#This Row],[std_dev]]</f>
        <v>5.9361257838030791E-2</v>
      </c>
      <c r="K3954">
        <f>AVERAGEIF(Table1[CountryCode],Table1[[#This Row],[CountryCode]],Table1[z-score])</f>
        <v>4.9319686102583721E-2</v>
      </c>
      <c r="L3954" t="e">
        <f>VLOOKUP(Table1[[#This Row],[CountryCode]],[1]!Table1[#Data],4,FALSE)</f>
        <v>#REF!</v>
      </c>
    </row>
    <row r="3955" spans="1:12" hidden="1" x14ac:dyDescent="0.3">
      <c r="A3955" t="s">
        <v>95</v>
      </c>
      <c r="B3955" t="s">
        <v>96</v>
      </c>
      <c r="C3955" t="s">
        <v>125</v>
      </c>
      <c r="D3955" t="s">
        <v>126</v>
      </c>
      <c r="E3955">
        <v>2016</v>
      </c>
      <c r="F3955" s="1">
        <v>8</v>
      </c>
      <c r="G3955">
        <v>2010</v>
      </c>
      <c r="H3955">
        <f>AVERAGEIFS(Table1[value],Table1[IndicatorCode],Table1[[#This Row],[IndicatorCode]])</f>
        <v>7.6894248608534319</v>
      </c>
      <c r="I3955" cm="1">
        <f t="array" ref="I3955">_xlfn.STDEV.P(IF(Table1[IndicatorCode]=Table1[[#This Row],[IndicatorCode]],Table1[value]))</f>
        <v>5.2319501044600996</v>
      </c>
      <c r="J3955">
        <f>(Table1[[#This Row],[value]] - Table1[[#This Row],[mean]]) / Table1[[#This Row],[std_dev]]</f>
        <v>5.9361257838030791E-2</v>
      </c>
      <c r="K3955">
        <f>AVERAGEIF(Table1[CountryCode],Table1[[#This Row],[CountryCode]],Table1[z-score])</f>
        <v>4.9319686102583721E-2</v>
      </c>
      <c r="L3955" t="e">
        <f>VLOOKUP(Table1[[#This Row],[CountryCode]],[1]!Table1[#Data],4,FALSE)</f>
        <v>#REF!</v>
      </c>
    </row>
    <row r="3956" spans="1:12" hidden="1" x14ac:dyDescent="0.3">
      <c r="A3956" t="s">
        <v>95</v>
      </c>
      <c r="B3956" t="s">
        <v>96</v>
      </c>
      <c r="C3956" t="s">
        <v>125</v>
      </c>
      <c r="D3956" t="s">
        <v>126</v>
      </c>
      <c r="E3956">
        <v>2017</v>
      </c>
      <c r="F3956" s="1">
        <v>9</v>
      </c>
      <c r="G3956">
        <v>2020</v>
      </c>
      <c r="H3956">
        <f>AVERAGEIFS(Table1[value],Table1[IndicatorCode],Table1[[#This Row],[IndicatorCode]])</f>
        <v>7.6894248608534319</v>
      </c>
      <c r="I3956" cm="1">
        <f t="array" ref="I3956">_xlfn.STDEV.P(IF(Table1[IndicatorCode]=Table1[[#This Row],[IndicatorCode]],Table1[value]))</f>
        <v>5.2319501044600996</v>
      </c>
      <c r="J3956">
        <f>(Table1[[#This Row],[value]] - Table1[[#This Row],[mean]]) / Table1[[#This Row],[std_dev]]</f>
        <v>0.25049457907278921</v>
      </c>
      <c r="K3956">
        <f>AVERAGEIF(Table1[CountryCode],Table1[[#This Row],[CountryCode]],Table1[z-score])</f>
        <v>4.9319686102583721E-2</v>
      </c>
      <c r="L3956" t="e">
        <f>VLOOKUP(Table1[[#This Row],[CountryCode]],[1]!Table1[#Data],4,FALSE)</f>
        <v>#REF!</v>
      </c>
    </row>
    <row r="3957" spans="1:12" hidden="1" x14ac:dyDescent="0.3">
      <c r="A3957" t="s">
        <v>95</v>
      </c>
      <c r="B3957" t="s">
        <v>96</v>
      </c>
      <c r="C3957" t="s">
        <v>125</v>
      </c>
      <c r="D3957" t="s">
        <v>126</v>
      </c>
      <c r="E3957">
        <v>2018</v>
      </c>
      <c r="F3957" s="1">
        <v>9</v>
      </c>
      <c r="G3957">
        <v>2020</v>
      </c>
      <c r="H3957">
        <f>AVERAGEIFS(Table1[value],Table1[IndicatorCode],Table1[[#This Row],[IndicatorCode]])</f>
        <v>7.6894248608534319</v>
      </c>
      <c r="I3957" cm="1">
        <f t="array" ref="I3957">_xlfn.STDEV.P(IF(Table1[IndicatorCode]=Table1[[#This Row],[IndicatorCode]],Table1[value]))</f>
        <v>5.2319501044600996</v>
      </c>
      <c r="J3957">
        <f>(Table1[[#This Row],[value]] - Table1[[#This Row],[mean]]) / Table1[[#This Row],[std_dev]]</f>
        <v>0.25049457907278921</v>
      </c>
      <c r="K3957">
        <f>AVERAGEIF(Table1[CountryCode],Table1[[#This Row],[CountryCode]],Table1[z-score])</f>
        <v>4.9319686102583721E-2</v>
      </c>
      <c r="L3957" t="e">
        <f>VLOOKUP(Table1[[#This Row],[CountryCode]],[1]!Table1[#Data],4,FALSE)</f>
        <v>#REF!</v>
      </c>
    </row>
    <row r="3958" spans="1:12" hidden="1" x14ac:dyDescent="0.3">
      <c r="A3958" t="s">
        <v>95</v>
      </c>
      <c r="B3958" t="s">
        <v>96</v>
      </c>
      <c r="C3958" t="s">
        <v>125</v>
      </c>
      <c r="D3958" t="s">
        <v>126</v>
      </c>
      <c r="E3958">
        <v>2019</v>
      </c>
      <c r="F3958" s="1">
        <v>8</v>
      </c>
      <c r="G3958">
        <v>2020</v>
      </c>
      <c r="H3958">
        <f>AVERAGEIFS(Table1[value],Table1[IndicatorCode],Table1[[#This Row],[IndicatorCode]])</f>
        <v>7.6894248608534319</v>
      </c>
      <c r="I3958" cm="1">
        <f t="array" ref="I3958">_xlfn.STDEV.P(IF(Table1[IndicatorCode]=Table1[[#This Row],[IndicatorCode]],Table1[value]))</f>
        <v>5.2319501044600996</v>
      </c>
      <c r="J3958">
        <f>(Table1[[#This Row],[value]] - Table1[[#This Row],[mean]]) / Table1[[#This Row],[std_dev]]</f>
        <v>5.9361257838030791E-2</v>
      </c>
      <c r="K3958">
        <f>AVERAGEIF(Table1[CountryCode],Table1[[#This Row],[CountryCode]],Table1[z-score])</f>
        <v>4.9319686102583721E-2</v>
      </c>
      <c r="L3958" t="e">
        <f>VLOOKUP(Table1[[#This Row],[CountryCode]],[1]!Table1[#Data],4,FALSE)</f>
        <v>#REF!</v>
      </c>
    </row>
    <row r="3959" spans="1:12" x14ac:dyDescent="0.3">
      <c r="A3959" t="s">
        <v>95</v>
      </c>
      <c r="B3959" t="s">
        <v>96</v>
      </c>
      <c r="C3959" t="s">
        <v>125</v>
      </c>
      <c r="D3959" t="s">
        <v>126</v>
      </c>
      <c r="E3959">
        <v>2020</v>
      </c>
      <c r="F3959" s="1">
        <v>8</v>
      </c>
      <c r="G3959">
        <v>2020</v>
      </c>
      <c r="H3959">
        <f>AVERAGEIFS(Table1[value],Table1[IndicatorCode],Table1[[#This Row],[IndicatorCode]])</f>
        <v>7.6894248608534319</v>
      </c>
      <c r="I3959" cm="1">
        <f t="array" ref="I3959">_xlfn.STDEV.P(IF(Table1[IndicatorCode]=Table1[[#This Row],[IndicatorCode]],Table1[value]))</f>
        <v>5.2319501044600996</v>
      </c>
      <c r="J3959">
        <f>(Table1[[#This Row],[value]] - Table1[[#This Row],[mean]]) / Table1[[#This Row],[std_dev]]</f>
        <v>5.9361257838030791E-2</v>
      </c>
      <c r="K3959">
        <f>AVERAGEIF(Table1[CountryCode],Table1[[#This Row],[CountryCode]],Table1[z-score])</f>
        <v>4.9319686102583721E-2</v>
      </c>
    </row>
    <row r="3960" spans="1:12" hidden="1" x14ac:dyDescent="0.3">
      <c r="A3960" t="s">
        <v>95</v>
      </c>
      <c r="B3960" t="s">
        <v>96</v>
      </c>
      <c r="C3960" t="s">
        <v>125</v>
      </c>
      <c r="D3960" t="s">
        <v>126</v>
      </c>
      <c r="E3960">
        <v>2021</v>
      </c>
      <c r="F3960" s="1">
        <v>9</v>
      </c>
      <c r="G3960">
        <v>2020</v>
      </c>
      <c r="H3960">
        <f>AVERAGEIFS(Table1[value],Table1[IndicatorCode],Table1[[#This Row],[IndicatorCode]])</f>
        <v>7.6894248608534319</v>
      </c>
      <c r="I3960" cm="1">
        <f t="array" ref="I3960">_xlfn.STDEV.P(IF(Table1[IndicatorCode]=Table1[[#This Row],[IndicatorCode]],Table1[value]))</f>
        <v>5.2319501044600996</v>
      </c>
      <c r="J3960">
        <f>(Table1[[#This Row],[value]] - Table1[[#This Row],[mean]]) / Table1[[#This Row],[std_dev]]</f>
        <v>0.25049457907278921</v>
      </c>
      <c r="K3960">
        <f>AVERAGEIF(Table1[CountryCode],Table1[[#This Row],[CountryCode]],Table1[z-score])</f>
        <v>4.9319686102583721E-2</v>
      </c>
      <c r="L3960" t="e">
        <f>VLOOKUP(Table1[[#This Row],[CountryCode]],[1]!Table1[#Data],4,FALSE)</f>
        <v>#REF!</v>
      </c>
    </row>
    <row r="3961" spans="1:12" hidden="1" x14ac:dyDescent="0.3">
      <c r="A3961" t="s">
        <v>95</v>
      </c>
      <c r="B3961" t="s">
        <v>96</v>
      </c>
      <c r="C3961" t="s">
        <v>125</v>
      </c>
      <c r="D3961" t="s">
        <v>126</v>
      </c>
      <c r="E3961">
        <v>2022</v>
      </c>
      <c r="F3961" s="1">
        <v>8</v>
      </c>
      <c r="G3961">
        <v>1970</v>
      </c>
      <c r="H3961">
        <f>AVERAGEIFS(Table1[value],Table1[IndicatorCode],Table1[[#This Row],[IndicatorCode]])</f>
        <v>7.6894248608534319</v>
      </c>
      <c r="I3961" cm="1">
        <f t="array" ref="I3961">_xlfn.STDEV.P(IF(Table1[IndicatorCode]=Table1[[#This Row],[IndicatorCode]],Table1[value]))</f>
        <v>5.2319501044600996</v>
      </c>
      <c r="J3961">
        <f>(Table1[[#This Row],[value]] - Table1[[#This Row],[mean]]) / Table1[[#This Row],[std_dev]]</f>
        <v>5.9361257838030791E-2</v>
      </c>
      <c r="K3961">
        <f>AVERAGEIF(Table1[CountryCode],Table1[[#This Row],[CountryCode]],Table1[z-score])</f>
        <v>4.9319686102583721E-2</v>
      </c>
      <c r="L3961" t="e">
        <f>VLOOKUP(Table1[[#This Row],[CountryCode]],[1]!Table1[#Data],4,FALSE)</f>
        <v>#REF!</v>
      </c>
    </row>
    <row r="3962" spans="1:12" hidden="1" x14ac:dyDescent="0.3">
      <c r="A3962" t="s">
        <v>95</v>
      </c>
      <c r="B3962" t="s">
        <v>96</v>
      </c>
      <c r="C3962" t="s">
        <v>125</v>
      </c>
      <c r="D3962" t="s">
        <v>126</v>
      </c>
      <c r="E3962">
        <v>2023</v>
      </c>
      <c r="F3962" s="1">
        <v>8</v>
      </c>
      <c r="G3962">
        <v>1970</v>
      </c>
      <c r="H3962">
        <f>AVERAGEIFS(Table1[value],Table1[IndicatorCode],Table1[[#This Row],[IndicatorCode]])</f>
        <v>7.6894248608534319</v>
      </c>
      <c r="I3962" cm="1">
        <f t="array" ref="I3962">_xlfn.STDEV.P(IF(Table1[IndicatorCode]=Table1[[#This Row],[IndicatorCode]],Table1[value]))</f>
        <v>5.2319501044600996</v>
      </c>
      <c r="J3962">
        <f>(Table1[[#This Row],[value]] - Table1[[#This Row],[mean]]) / Table1[[#This Row],[std_dev]]</f>
        <v>5.9361257838030791E-2</v>
      </c>
      <c r="K3962">
        <f>AVERAGEIF(Table1[CountryCode],Table1[[#This Row],[CountryCode]],Table1[z-score])</f>
        <v>4.9319686102583721E-2</v>
      </c>
      <c r="L3962" t="e">
        <f>VLOOKUP(Table1[[#This Row],[CountryCode]],[1]!Table1[#Data],4,FALSE)</f>
        <v>#REF!</v>
      </c>
    </row>
    <row r="3963" spans="1:12" hidden="1" x14ac:dyDescent="0.3">
      <c r="A3963" t="s">
        <v>95</v>
      </c>
      <c r="B3963" t="s">
        <v>96</v>
      </c>
      <c r="C3963" t="s">
        <v>125</v>
      </c>
      <c r="D3963" t="s">
        <v>126</v>
      </c>
      <c r="E3963">
        <v>2024</v>
      </c>
      <c r="F3963" s="1">
        <v>8</v>
      </c>
      <c r="G3963">
        <v>1970</v>
      </c>
      <c r="H3963">
        <f>AVERAGEIFS(Table1[value],Table1[IndicatorCode],Table1[[#This Row],[IndicatorCode]])</f>
        <v>7.6894248608534319</v>
      </c>
      <c r="I3963" cm="1">
        <f t="array" ref="I3963">_xlfn.STDEV.P(IF(Table1[IndicatorCode]=Table1[[#This Row],[IndicatorCode]],Table1[value]))</f>
        <v>5.2319501044600996</v>
      </c>
      <c r="J3963">
        <f>(Table1[[#This Row],[value]] - Table1[[#This Row],[mean]]) / Table1[[#This Row],[std_dev]]</f>
        <v>5.9361257838030791E-2</v>
      </c>
      <c r="K3963">
        <f>AVERAGEIF(Table1[CountryCode],Table1[[#This Row],[CountryCode]],Table1[z-score])</f>
        <v>4.9319686102583721E-2</v>
      </c>
      <c r="L3963" t="e">
        <f>VLOOKUP(Table1[[#This Row],[CountryCode]],[1]!Table1[#Data],4,FALSE)</f>
        <v>#REF!</v>
      </c>
    </row>
    <row r="3964" spans="1:12" hidden="1" x14ac:dyDescent="0.3">
      <c r="A3964" t="s">
        <v>97</v>
      </c>
      <c r="B3964" t="s">
        <v>98</v>
      </c>
      <c r="C3964" t="s">
        <v>125</v>
      </c>
      <c r="D3964" t="s">
        <v>126</v>
      </c>
      <c r="E3964">
        <v>1970</v>
      </c>
      <c r="F3964" s="1">
        <v>2</v>
      </c>
      <c r="G3964">
        <v>1970</v>
      </c>
      <c r="H3964">
        <f>AVERAGEIFS(Table1[value],Table1[IndicatorCode],Table1[[#This Row],[IndicatorCode]])</f>
        <v>7.6894248608534319</v>
      </c>
      <c r="I3964" cm="1">
        <f t="array" ref="I3964">_xlfn.STDEV.P(IF(Table1[IndicatorCode]=Table1[[#This Row],[IndicatorCode]],Table1[value]))</f>
        <v>5.2319501044600996</v>
      </c>
      <c r="J3964">
        <f>(Table1[[#This Row],[value]] - Table1[[#This Row],[mean]]) / Table1[[#This Row],[std_dev]]</f>
        <v>-1.0874386695705196</v>
      </c>
      <c r="K3964">
        <f>AVERAGEIF(Table1[CountryCode],Table1[[#This Row],[CountryCode]],Table1[z-score])</f>
        <v>-0.19691915896687051</v>
      </c>
      <c r="L3964" t="e">
        <f>VLOOKUP(Table1[[#This Row],[CountryCode]],[1]!Table1[#Data],4,FALSE)</f>
        <v>#REF!</v>
      </c>
    </row>
    <row r="3965" spans="1:12" hidden="1" x14ac:dyDescent="0.3">
      <c r="A3965" t="s">
        <v>97</v>
      </c>
      <c r="B3965" t="s">
        <v>98</v>
      </c>
      <c r="C3965" t="s">
        <v>125</v>
      </c>
      <c r="D3965" t="s">
        <v>126</v>
      </c>
      <c r="E3965">
        <v>1971</v>
      </c>
      <c r="F3965" s="1">
        <v>2</v>
      </c>
      <c r="G3965">
        <v>1970</v>
      </c>
      <c r="H3965">
        <f>AVERAGEIFS(Table1[value],Table1[IndicatorCode],Table1[[#This Row],[IndicatorCode]])</f>
        <v>7.6894248608534319</v>
      </c>
      <c r="I3965" cm="1">
        <f t="array" ref="I3965">_xlfn.STDEV.P(IF(Table1[IndicatorCode]=Table1[[#This Row],[IndicatorCode]],Table1[value]))</f>
        <v>5.2319501044600996</v>
      </c>
      <c r="J3965">
        <f>(Table1[[#This Row],[value]] - Table1[[#This Row],[mean]]) / Table1[[#This Row],[std_dev]]</f>
        <v>-1.0874386695705196</v>
      </c>
      <c r="K3965">
        <f>AVERAGEIF(Table1[CountryCode],Table1[[#This Row],[CountryCode]],Table1[z-score])</f>
        <v>-0.19691915896687051</v>
      </c>
      <c r="L3965" t="e">
        <f>VLOOKUP(Table1[[#This Row],[CountryCode]],[1]!Table1[#Data],4,FALSE)</f>
        <v>#REF!</v>
      </c>
    </row>
    <row r="3966" spans="1:12" hidden="1" x14ac:dyDescent="0.3">
      <c r="A3966" t="s">
        <v>97</v>
      </c>
      <c r="B3966" t="s">
        <v>98</v>
      </c>
      <c r="C3966" t="s">
        <v>125</v>
      </c>
      <c r="D3966" t="s">
        <v>126</v>
      </c>
      <c r="E3966">
        <v>1972</v>
      </c>
      <c r="F3966" s="1">
        <v>2</v>
      </c>
      <c r="G3966">
        <v>1970</v>
      </c>
      <c r="H3966">
        <f>AVERAGEIFS(Table1[value],Table1[IndicatorCode],Table1[[#This Row],[IndicatorCode]])</f>
        <v>7.6894248608534319</v>
      </c>
      <c r="I3966" cm="1">
        <f t="array" ref="I3966">_xlfn.STDEV.P(IF(Table1[IndicatorCode]=Table1[[#This Row],[IndicatorCode]],Table1[value]))</f>
        <v>5.2319501044600996</v>
      </c>
      <c r="J3966">
        <f>(Table1[[#This Row],[value]] - Table1[[#This Row],[mean]]) / Table1[[#This Row],[std_dev]]</f>
        <v>-1.0874386695705196</v>
      </c>
      <c r="K3966">
        <f>AVERAGEIF(Table1[CountryCode],Table1[[#This Row],[CountryCode]],Table1[z-score])</f>
        <v>-0.19691915896687051</v>
      </c>
      <c r="L3966" t="e">
        <f>VLOOKUP(Table1[[#This Row],[CountryCode]],[1]!Table1[#Data],4,FALSE)</f>
        <v>#REF!</v>
      </c>
    </row>
    <row r="3967" spans="1:12" hidden="1" x14ac:dyDescent="0.3">
      <c r="A3967" t="s">
        <v>97</v>
      </c>
      <c r="B3967" t="s">
        <v>98</v>
      </c>
      <c r="C3967" t="s">
        <v>125</v>
      </c>
      <c r="D3967" t="s">
        <v>126</v>
      </c>
      <c r="E3967">
        <v>1973</v>
      </c>
      <c r="F3967" s="1">
        <v>2</v>
      </c>
      <c r="G3967">
        <v>1970</v>
      </c>
      <c r="H3967">
        <f>AVERAGEIFS(Table1[value],Table1[IndicatorCode],Table1[[#This Row],[IndicatorCode]])</f>
        <v>7.6894248608534319</v>
      </c>
      <c r="I3967" cm="1">
        <f t="array" ref="I3967">_xlfn.STDEV.P(IF(Table1[IndicatorCode]=Table1[[#This Row],[IndicatorCode]],Table1[value]))</f>
        <v>5.2319501044600996</v>
      </c>
      <c r="J3967">
        <f>(Table1[[#This Row],[value]] - Table1[[#This Row],[mean]]) / Table1[[#This Row],[std_dev]]</f>
        <v>-1.0874386695705196</v>
      </c>
      <c r="K3967">
        <f>AVERAGEIF(Table1[CountryCode],Table1[[#This Row],[CountryCode]],Table1[z-score])</f>
        <v>-0.19691915896687051</v>
      </c>
      <c r="L3967" t="e">
        <f>VLOOKUP(Table1[[#This Row],[CountryCode]],[1]!Table1[#Data],4,FALSE)</f>
        <v>#REF!</v>
      </c>
    </row>
    <row r="3968" spans="1:12" hidden="1" x14ac:dyDescent="0.3">
      <c r="A3968" t="s">
        <v>97</v>
      </c>
      <c r="B3968" t="s">
        <v>98</v>
      </c>
      <c r="C3968" t="s">
        <v>125</v>
      </c>
      <c r="D3968" t="s">
        <v>126</v>
      </c>
      <c r="E3968">
        <v>1974</v>
      </c>
      <c r="F3968" s="1">
        <v>2</v>
      </c>
      <c r="G3968">
        <v>1970</v>
      </c>
      <c r="H3968">
        <f>AVERAGEIFS(Table1[value],Table1[IndicatorCode],Table1[[#This Row],[IndicatorCode]])</f>
        <v>7.6894248608534319</v>
      </c>
      <c r="I3968" cm="1">
        <f t="array" ref="I3968">_xlfn.STDEV.P(IF(Table1[IndicatorCode]=Table1[[#This Row],[IndicatorCode]],Table1[value]))</f>
        <v>5.2319501044600996</v>
      </c>
      <c r="J3968">
        <f>(Table1[[#This Row],[value]] - Table1[[#This Row],[mean]]) / Table1[[#This Row],[std_dev]]</f>
        <v>-1.0874386695705196</v>
      </c>
      <c r="K3968">
        <f>AVERAGEIF(Table1[CountryCode],Table1[[#This Row],[CountryCode]],Table1[z-score])</f>
        <v>-0.19691915896687051</v>
      </c>
      <c r="L3968" t="e">
        <f>VLOOKUP(Table1[[#This Row],[CountryCode]],[1]!Table1[#Data],4,FALSE)</f>
        <v>#REF!</v>
      </c>
    </row>
    <row r="3969" spans="1:12" hidden="1" x14ac:dyDescent="0.3">
      <c r="A3969" t="s">
        <v>97</v>
      </c>
      <c r="B3969" t="s">
        <v>98</v>
      </c>
      <c r="C3969" t="s">
        <v>125</v>
      </c>
      <c r="D3969" t="s">
        <v>126</v>
      </c>
      <c r="E3969">
        <v>1975</v>
      </c>
      <c r="F3969" s="1">
        <v>3</v>
      </c>
      <c r="G3969">
        <v>1970</v>
      </c>
      <c r="H3969">
        <f>AVERAGEIFS(Table1[value],Table1[IndicatorCode],Table1[[#This Row],[IndicatorCode]])</f>
        <v>7.6894248608534319</v>
      </c>
      <c r="I3969" cm="1">
        <f t="array" ref="I3969">_xlfn.STDEV.P(IF(Table1[IndicatorCode]=Table1[[#This Row],[IndicatorCode]],Table1[value]))</f>
        <v>5.2319501044600996</v>
      </c>
      <c r="J3969">
        <f>(Table1[[#This Row],[value]] - Table1[[#This Row],[mean]]) / Table1[[#This Row],[std_dev]]</f>
        <v>-0.89630534833576125</v>
      </c>
      <c r="K3969">
        <f>AVERAGEIF(Table1[CountryCode],Table1[[#This Row],[CountryCode]],Table1[z-score])</f>
        <v>-0.19691915896687051</v>
      </c>
      <c r="L3969" t="e">
        <f>VLOOKUP(Table1[[#This Row],[CountryCode]],[1]!Table1[#Data],4,FALSE)</f>
        <v>#REF!</v>
      </c>
    </row>
    <row r="3970" spans="1:12" hidden="1" x14ac:dyDescent="0.3">
      <c r="A3970" t="s">
        <v>97</v>
      </c>
      <c r="B3970" t="s">
        <v>98</v>
      </c>
      <c r="C3970" t="s">
        <v>125</v>
      </c>
      <c r="D3970" t="s">
        <v>126</v>
      </c>
      <c r="E3970">
        <v>1976</v>
      </c>
      <c r="F3970" s="1">
        <v>3</v>
      </c>
      <c r="G3970">
        <v>1970</v>
      </c>
      <c r="H3970">
        <f>AVERAGEIFS(Table1[value],Table1[IndicatorCode],Table1[[#This Row],[IndicatorCode]])</f>
        <v>7.6894248608534319</v>
      </c>
      <c r="I3970" cm="1">
        <f t="array" ref="I3970">_xlfn.STDEV.P(IF(Table1[IndicatorCode]=Table1[[#This Row],[IndicatorCode]],Table1[value]))</f>
        <v>5.2319501044600996</v>
      </c>
      <c r="J3970">
        <f>(Table1[[#This Row],[value]] - Table1[[#This Row],[mean]]) / Table1[[#This Row],[std_dev]]</f>
        <v>-0.89630534833576125</v>
      </c>
      <c r="K3970">
        <f>AVERAGEIF(Table1[CountryCode],Table1[[#This Row],[CountryCode]],Table1[z-score])</f>
        <v>-0.19691915896687051</v>
      </c>
      <c r="L3970" t="e">
        <f>VLOOKUP(Table1[[#This Row],[CountryCode]],[1]!Table1[#Data],4,FALSE)</f>
        <v>#REF!</v>
      </c>
    </row>
    <row r="3971" spans="1:12" hidden="1" x14ac:dyDescent="0.3">
      <c r="A3971" t="s">
        <v>97</v>
      </c>
      <c r="B3971" t="s">
        <v>98</v>
      </c>
      <c r="C3971" t="s">
        <v>125</v>
      </c>
      <c r="D3971" t="s">
        <v>126</v>
      </c>
      <c r="E3971">
        <v>1977</v>
      </c>
      <c r="F3971" s="1">
        <v>3</v>
      </c>
      <c r="G3971">
        <v>1980</v>
      </c>
      <c r="H3971">
        <f>AVERAGEIFS(Table1[value],Table1[IndicatorCode],Table1[[#This Row],[IndicatorCode]])</f>
        <v>7.6894248608534319</v>
      </c>
      <c r="I3971" cm="1">
        <f t="array" ref="I3971">_xlfn.STDEV.P(IF(Table1[IndicatorCode]=Table1[[#This Row],[IndicatorCode]],Table1[value]))</f>
        <v>5.2319501044600996</v>
      </c>
      <c r="J3971">
        <f>(Table1[[#This Row],[value]] - Table1[[#This Row],[mean]]) / Table1[[#This Row],[std_dev]]</f>
        <v>-0.89630534833576125</v>
      </c>
      <c r="K3971">
        <f>AVERAGEIF(Table1[CountryCode],Table1[[#This Row],[CountryCode]],Table1[z-score])</f>
        <v>-0.19691915896687051</v>
      </c>
      <c r="L3971" t="e">
        <f>VLOOKUP(Table1[[#This Row],[CountryCode]],[1]!Table1[#Data],4,FALSE)</f>
        <v>#REF!</v>
      </c>
    </row>
    <row r="3972" spans="1:12" hidden="1" x14ac:dyDescent="0.3">
      <c r="A3972" t="s">
        <v>97</v>
      </c>
      <c r="B3972" t="s">
        <v>98</v>
      </c>
      <c r="C3972" t="s">
        <v>125</v>
      </c>
      <c r="D3972" t="s">
        <v>126</v>
      </c>
      <c r="E3972">
        <v>1978</v>
      </c>
      <c r="F3972" s="1">
        <v>3</v>
      </c>
      <c r="G3972">
        <v>1980</v>
      </c>
      <c r="H3972">
        <f>AVERAGEIFS(Table1[value],Table1[IndicatorCode],Table1[[#This Row],[IndicatorCode]])</f>
        <v>7.6894248608534319</v>
      </c>
      <c r="I3972" cm="1">
        <f t="array" ref="I3972">_xlfn.STDEV.P(IF(Table1[IndicatorCode]=Table1[[#This Row],[IndicatorCode]],Table1[value]))</f>
        <v>5.2319501044600996</v>
      </c>
      <c r="J3972">
        <f>(Table1[[#This Row],[value]] - Table1[[#This Row],[mean]]) / Table1[[#This Row],[std_dev]]</f>
        <v>-0.89630534833576125</v>
      </c>
      <c r="K3972">
        <f>AVERAGEIF(Table1[CountryCode],Table1[[#This Row],[CountryCode]],Table1[z-score])</f>
        <v>-0.19691915896687051</v>
      </c>
      <c r="L3972" t="e">
        <f>VLOOKUP(Table1[[#This Row],[CountryCode]],[1]!Table1[#Data],4,FALSE)</f>
        <v>#REF!</v>
      </c>
    </row>
    <row r="3973" spans="1:12" hidden="1" x14ac:dyDescent="0.3">
      <c r="A3973" t="s">
        <v>97</v>
      </c>
      <c r="B3973" t="s">
        <v>98</v>
      </c>
      <c r="C3973" t="s">
        <v>125</v>
      </c>
      <c r="D3973" t="s">
        <v>126</v>
      </c>
      <c r="E3973">
        <v>1979</v>
      </c>
      <c r="F3973" s="1">
        <v>3</v>
      </c>
      <c r="G3973">
        <v>1980</v>
      </c>
      <c r="H3973">
        <f>AVERAGEIFS(Table1[value],Table1[IndicatorCode],Table1[[#This Row],[IndicatorCode]])</f>
        <v>7.6894248608534319</v>
      </c>
      <c r="I3973" cm="1">
        <f t="array" ref="I3973">_xlfn.STDEV.P(IF(Table1[IndicatorCode]=Table1[[#This Row],[IndicatorCode]],Table1[value]))</f>
        <v>5.2319501044600996</v>
      </c>
      <c r="J3973">
        <f>(Table1[[#This Row],[value]] - Table1[[#This Row],[mean]]) / Table1[[#This Row],[std_dev]]</f>
        <v>-0.89630534833576125</v>
      </c>
      <c r="K3973">
        <f>AVERAGEIF(Table1[CountryCode],Table1[[#This Row],[CountryCode]],Table1[z-score])</f>
        <v>-0.19691915896687051</v>
      </c>
      <c r="L3973" t="e">
        <f>VLOOKUP(Table1[[#This Row],[CountryCode]],[1]!Table1[#Data],4,FALSE)</f>
        <v>#REF!</v>
      </c>
    </row>
    <row r="3974" spans="1:12" hidden="1" x14ac:dyDescent="0.3">
      <c r="A3974" t="s">
        <v>97</v>
      </c>
      <c r="B3974" t="s">
        <v>98</v>
      </c>
      <c r="C3974" t="s">
        <v>125</v>
      </c>
      <c r="D3974" t="s">
        <v>126</v>
      </c>
      <c r="E3974">
        <v>1980</v>
      </c>
      <c r="F3974" s="1">
        <v>3</v>
      </c>
      <c r="G3974">
        <v>1980</v>
      </c>
      <c r="H3974">
        <f>AVERAGEIFS(Table1[value],Table1[IndicatorCode],Table1[[#This Row],[IndicatorCode]])</f>
        <v>7.6894248608534319</v>
      </c>
      <c r="I3974" cm="1">
        <f t="array" ref="I3974">_xlfn.STDEV.P(IF(Table1[IndicatorCode]=Table1[[#This Row],[IndicatorCode]],Table1[value]))</f>
        <v>5.2319501044600996</v>
      </c>
      <c r="J3974">
        <f>(Table1[[#This Row],[value]] - Table1[[#This Row],[mean]]) / Table1[[#This Row],[std_dev]]</f>
        <v>-0.89630534833576125</v>
      </c>
      <c r="K3974">
        <f>AVERAGEIF(Table1[CountryCode],Table1[[#This Row],[CountryCode]],Table1[z-score])</f>
        <v>-0.19691915896687051</v>
      </c>
      <c r="L3974" t="e">
        <f>VLOOKUP(Table1[[#This Row],[CountryCode]],[1]!Table1[#Data],4,FALSE)</f>
        <v>#REF!</v>
      </c>
    </row>
    <row r="3975" spans="1:12" hidden="1" x14ac:dyDescent="0.3">
      <c r="A3975" t="s">
        <v>97</v>
      </c>
      <c r="B3975" t="s">
        <v>98</v>
      </c>
      <c r="C3975" t="s">
        <v>125</v>
      </c>
      <c r="D3975" t="s">
        <v>126</v>
      </c>
      <c r="E3975">
        <v>1981</v>
      </c>
      <c r="F3975" s="1">
        <v>3</v>
      </c>
      <c r="G3975">
        <v>1980</v>
      </c>
      <c r="H3975">
        <f>AVERAGEIFS(Table1[value],Table1[IndicatorCode],Table1[[#This Row],[IndicatorCode]])</f>
        <v>7.6894248608534319</v>
      </c>
      <c r="I3975" cm="1">
        <f t="array" ref="I3975">_xlfn.STDEV.P(IF(Table1[IndicatorCode]=Table1[[#This Row],[IndicatorCode]],Table1[value]))</f>
        <v>5.2319501044600996</v>
      </c>
      <c r="J3975">
        <f>(Table1[[#This Row],[value]] - Table1[[#This Row],[mean]]) / Table1[[#This Row],[std_dev]]</f>
        <v>-0.89630534833576125</v>
      </c>
      <c r="K3975">
        <f>AVERAGEIF(Table1[CountryCode],Table1[[#This Row],[CountryCode]],Table1[z-score])</f>
        <v>-0.19691915896687051</v>
      </c>
      <c r="L3975" t="e">
        <f>VLOOKUP(Table1[[#This Row],[CountryCode]],[1]!Table1[#Data],4,FALSE)</f>
        <v>#REF!</v>
      </c>
    </row>
    <row r="3976" spans="1:12" hidden="1" x14ac:dyDescent="0.3">
      <c r="A3976" t="s">
        <v>97</v>
      </c>
      <c r="B3976" t="s">
        <v>98</v>
      </c>
      <c r="C3976" t="s">
        <v>125</v>
      </c>
      <c r="D3976" t="s">
        <v>126</v>
      </c>
      <c r="E3976">
        <v>1982</v>
      </c>
      <c r="F3976" s="1">
        <v>3</v>
      </c>
      <c r="G3976">
        <v>1980</v>
      </c>
      <c r="H3976">
        <f>AVERAGEIFS(Table1[value],Table1[IndicatorCode],Table1[[#This Row],[IndicatorCode]])</f>
        <v>7.6894248608534319</v>
      </c>
      <c r="I3976" cm="1">
        <f t="array" ref="I3976">_xlfn.STDEV.P(IF(Table1[IndicatorCode]=Table1[[#This Row],[IndicatorCode]],Table1[value]))</f>
        <v>5.2319501044600996</v>
      </c>
      <c r="J3976">
        <f>(Table1[[#This Row],[value]] - Table1[[#This Row],[mean]]) / Table1[[#This Row],[std_dev]]</f>
        <v>-0.89630534833576125</v>
      </c>
      <c r="K3976">
        <f>AVERAGEIF(Table1[CountryCode],Table1[[#This Row],[CountryCode]],Table1[z-score])</f>
        <v>-0.19691915896687051</v>
      </c>
      <c r="L3976" t="e">
        <f>VLOOKUP(Table1[[#This Row],[CountryCode]],[1]!Table1[#Data],4,FALSE)</f>
        <v>#REF!</v>
      </c>
    </row>
    <row r="3977" spans="1:12" hidden="1" x14ac:dyDescent="0.3">
      <c r="A3977" t="s">
        <v>97</v>
      </c>
      <c r="B3977" t="s">
        <v>98</v>
      </c>
      <c r="C3977" t="s">
        <v>125</v>
      </c>
      <c r="D3977" t="s">
        <v>126</v>
      </c>
      <c r="E3977">
        <v>1983</v>
      </c>
      <c r="F3977" s="1">
        <v>3</v>
      </c>
      <c r="G3977">
        <v>1980</v>
      </c>
      <c r="H3977">
        <f>AVERAGEIFS(Table1[value],Table1[IndicatorCode],Table1[[#This Row],[IndicatorCode]])</f>
        <v>7.6894248608534319</v>
      </c>
      <c r="I3977" cm="1">
        <f t="array" ref="I3977">_xlfn.STDEV.P(IF(Table1[IndicatorCode]=Table1[[#This Row],[IndicatorCode]],Table1[value]))</f>
        <v>5.2319501044600996</v>
      </c>
      <c r="J3977">
        <f>(Table1[[#This Row],[value]] - Table1[[#This Row],[mean]]) / Table1[[#This Row],[std_dev]]</f>
        <v>-0.89630534833576125</v>
      </c>
      <c r="K3977">
        <f>AVERAGEIF(Table1[CountryCode],Table1[[#This Row],[CountryCode]],Table1[z-score])</f>
        <v>-0.19691915896687051</v>
      </c>
      <c r="L3977" t="e">
        <f>VLOOKUP(Table1[[#This Row],[CountryCode]],[1]!Table1[#Data],4,FALSE)</f>
        <v>#REF!</v>
      </c>
    </row>
    <row r="3978" spans="1:12" hidden="1" x14ac:dyDescent="0.3">
      <c r="A3978" t="s">
        <v>97</v>
      </c>
      <c r="B3978" t="s">
        <v>98</v>
      </c>
      <c r="C3978" t="s">
        <v>125</v>
      </c>
      <c r="D3978" t="s">
        <v>126</v>
      </c>
      <c r="E3978">
        <v>1984</v>
      </c>
      <c r="F3978" s="1">
        <v>3</v>
      </c>
      <c r="G3978">
        <v>1980</v>
      </c>
      <c r="H3978">
        <f>AVERAGEIFS(Table1[value],Table1[IndicatorCode],Table1[[#This Row],[IndicatorCode]])</f>
        <v>7.6894248608534319</v>
      </c>
      <c r="I3978" cm="1">
        <f t="array" ref="I3978">_xlfn.STDEV.P(IF(Table1[IndicatorCode]=Table1[[#This Row],[IndicatorCode]],Table1[value]))</f>
        <v>5.2319501044600996</v>
      </c>
      <c r="J3978">
        <f>(Table1[[#This Row],[value]] - Table1[[#This Row],[mean]]) / Table1[[#This Row],[std_dev]]</f>
        <v>-0.89630534833576125</v>
      </c>
      <c r="K3978">
        <f>AVERAGEIF(Table1[CountryCode],Table1[[#This Row],[CountryCode]],Table1[z-score])</f>
        <v>-0.19691915896687051</v>
      </c>
      <c r="L3978" t="e">
        <f>VLOOKUP(Table1[[#This Row],[CountryCode]],[1]!Table1[#Data],4,FALSE)</f>
        <v>#REF!</v>
      </c>
    </row>
    <row r="3979" spans="1:12" hidden="1" x14ac:dyDescent="0.3">
      <c r="A3979" t="s">
        <v>97</v>
      </c>
      <c r="B3979" t="s">
        <v>98</v>
      </c>
      <c r="C3979" t="s">
        <v>125</v>
      </c>
      <c r="D3979" t="s">
        <v>126</v>
      </c>
      <c r="E3979">
        <v>1985</v>
      </c>
      <c r="F3979" s="1">
        <v>3</v>
      </c>
      <c r="G3979">
        <v>1980</v>
      </c>
      <c r="H3979">
        <f>AVERAGEIFS(Table1[value],Table1[IndicatorCode],Table1[[#This Row],[IndicatorCode]])</f>
        <v>7.6894248608534319</v>
      </c>
      <c r="I3979" cm="1">
        <f t="array" ref="I3979">_xlfn.STDEV.P(IF(Table1[IndicatorCode]=Table1[[#This Row],[IndicatorCode]],Table1[value]))</f>
        <v>5.2319501044600996</v>
      </c>
      <c r="J3979">
        <f>(Table1[[#This Row],[value]] - Table1[[#This Row],[mean]]) / Table1[[#This Row],[std_dev]]</f>
        <v>-0.89630534833576125</v>
      </c>
      <c r="K3979">
        <f>AVERAGEIF(Table1[CountryCode],Table1[[#This Row],[CountryCode]],Table1[z-score])</f>
        <v>-0.19691915896687051</v>
      </c>
      <c r="L3979" t="e">
        <f>VLOOKUP(Table1[[#This Row],[CountryCode]],[1]!Table1[#Data],4,FALSE)</f>
        <v>#REF!</v>
      </c>
    </row>
    <row r="3980" spans="1:12" hidden="1" x14ac:dyDescent="0.3">
      <c r="A3980" t="s">
        <v>97</v>
      </c>
      <c r="B3980" t="s">
        <v>98</v>
      </c>
      <c r="C3980" t="s">
        <v>125</v>
      </c>
      <c r="D3980" t="s">
        <v>126</v>
      </c>
      <c r="E3980">
        <v>1986</v>
      </c>
      <c r="F3980" s="1">
        <v>3</v>
      </c>
      <c r="G3980">
        <v>1980</v>
      </c>
      <c r="H3980">
        <f>AVERAGEIFS(Table1[value],Table1[IndicatorCode],Table1[[#This Row],[IndicatorCode]])</f>
        <v>7.6894248608534319</v>
      </c>
      <c r="I3980" cm="1">
        <f t="array" ref="I3980">_xlfn.STDEV.P(IF(Table1[IndicatorCode]=Table1[[#This Row],[IndicatorCode]],Table1[value]))</f>
        <v>5.2319501044600996</v>
      </c>
      <c r="J3980">
        <f>(Table1[[#This Row],[value]] - Table1[[#This Row],[mean]]) / Table1[[#This Row],[std_dev]]</f>
        <v>-0.89630534833576125</v>
      </c>
      <c r="K3980">
        <f>AVERAGEIF(Table1[CountryCode],Table1[[#This Row],[CountryCode]],Table1[z-score])</f>
        <v>-0.19691915896687051</v>
      </c>
      <c r="L3980" t="e">
        <f>VLOOKUP(Table1[[#This Row],[CountryCode]],[1]!Table1[#Data],4,FALSE)</f>
        <v>#REF!</v>
      </c>
    </row>
    <row r="3981" spans="1:12" hidden="1" x14ac:dyDescent="0.3">
      <c r="A3981" t="s">
        <v>97</v>
      </c>
      <c r="B3981" t="s">
        <v>98</v>
      </c>
      <c r="C3981" t="s">
        <v>125</v>
      </c>
      <c r="D3981" t="s">
        <v>126</v>
      </c>
      <c r="E3981">
        <v>1987</v>
      </c>
      <c r="F3981" s="1">
        <v>3</v>
      </c>
      <c r="G3981">
        <v>1990</v>
      </c>
      <c r="H3981">
        <f>AVERAGEIFS(Table1[value],Table1[IndicatorCode],Table1[[#This Row],[IndicatorCode]])</f>
        <v>7.6894248608534319</v>
      </c>
      <c r="I3981" cm="1">
        <f t="array" ref="I3981">_xlfn.STDEV.P(IF(Table1[IndicatorCode]=Table1[[#This Row],[IndicatorCode]],Table1[value]))</f>
        <v>5.2319501044600996</v>
      </c>
      <c r="J3981">
        <f>(Table1[[#This Row],[value]] - Table1[[#This Row],[mean]]) / Table1[[#This Row],[std_dev]]</f>
        <v>-0.89630534833576125</v>
      </c>
      <c r="K3981">
        <f>AVERAGEIF(Table1[CountryCode],Table1[[#This Row],[CountryCode]],Table1[z-score])</f>
        <v>-0.19691915896687051</v>
      </c>
      <c r="L3981" t="e">
        <f>VLOOKUP(Table1[[#This Row],[CountryCode]],[1]!Table1[#Data],4,FALSE)</f>
        <v>#REF!</v>
      </c>
    </row>
    <row r="3982" spans="1:12" hidden="1" x14ac:dyDescent="0.3">
      <c r="A3982" t="s">
        <v>97</v>
      </c>
      <c r="B3982" t="s">
        <v>98</v>
      </c>
      <c r="C3982" t="s">
        <v>125</v>
      </c>
      <c r="D3982" t="s">
        <v>126</v>
      </c>
      <c r="E3982">
        <v>1988</v>
      </c>
      <c r="F3982" s="1">
        <v>3</v>
      </c>
      <c r="G3982">
        <v>1990</v>
      </c>
      <c r="H3982">
        <f>AVERAGEIFS(Table1[value],Table1[IndicatorCode],Table1[[#This Row],[IndicatorCode]])</f>
        <v>7.6894248608534319</v>
      </c>
      <c r="I3982" cm="1">
        <f t="array" ref="I3982">_xlfn.STDEV.P(IF(Table1[IndicatorCode]=Table1[[#This Row],[IndicatorCode]],Table1[value]))</f>
        <v>5.2319501044600996</v>
      </c>
      <c r="J3982">
        <f>(Table1[[#This Row],[value]] - Table1[[#This Row],[mean]]) / Table1[[#This Row],[std_dev]]</f>
        <v>-0.89630534833576125</v>
      </c>
      <c r="K3982">
        <f>AVERAGEIF(Table1[CountryCode],Table1[[#This Row],[CountryCode]],Table1[z-score])</f>
        <v>-0.19691915896687051</v>
      </c>
      <c r="L3982" t="e">
        <f>VLOOKUP(Table1[[#This Row],[CountryCode]],[1]!Table1[#Data],4,FALSE)</f>
        <v>#REF!</v>
      </c>
    </row>
    <row r="3983" spans="1:12" hidden="1" x14ac:dyDescent="0.3">
      <c r="A3983" t="s">
        <v>97</v>
      </c>
      <c r="B3983" t="s">
        <v>98</v>
      </c>
      <c r="C3983" t="s">
        <v>125</v>
      </c>
      <c r="D3983" t="s">
        <v>126</v>
      </c>
      <c r="E3983">
        <v>1989</v>
      </c>
      <c r="F3983" s="1">
        <v>4</v>
      </c>
      <c r="G3983">
        <v>1990</v>
      </c>
      <c r="H3983">
        <f>AVERAGEIFS(Table1[value],Table1[IndicatorCode],Table1[[#This Row],[IndicatorCode]])</f>
        <v>7.6894248608534319</v>
      </c>
      <c r="I3983" cm="1">
        <f t="array" ref="I3983">_xlfn.STDEV.P(IF(Table1[IndicatorCode]=Table1[[#This Row],[IndicatorCode]],Table1[value]))</f>
        <v>5.2319501044600996</v>
      </c>
      <c r="J3983">
        <f>(Table1[[#This Row],[value]] - Table1[[#This Row],[mean]]) / Table1[[#This Row],[std_dev]]</f>
        <v>-0.7051720271010028</v>
      </c>
      <c r="K3983">
        <f>AVERAGEIF(Table1[CountryCode],Table1[[#This Row],[CountryCode]],Table1[z-score])</f>
        <v>-0.19691915896687051</v>
      </c>
      <c r="L3983" t="e">
        <f>VLOOKUP(Table1[[#This Row],[CountryCode]],[1]!Table1[#Data],4,FALSE)</f>
        <v>#REF!</v>
      </c>
    </row>
    <row r="3984" spans="1:12" hidden="1" x14ac:dyDescent="0.3">
      <c r="A3984" t="s">
        <v>97</v>
      </c>
      <c r="B3984" t="s">
        <v>98</v>
      </c>
      <c r="C3984" t="s">
        <v>125</v>
      </c>
      <c r="D3984" t="s">
        <v>126</v>
      </c>
      <c r="E3984">
        <v>1990</v>
      </c>
      <c r="F3984" s="1">
        <v>4</v>
      </c>
      <c r="G3984">
        <v>1990</v>
      </c>
      <c r="H3984">
        <f>AVERAGEIFS(Table1[value],Table1[IndicatorCode],Table1[[#This Row],[IndicatorCode]])</f>
        <v>7.6894248608534319</v>
      </c>
      <c r="I3984" cm="1">
        <f t="array" ref="I3984">_xlfn.STDEV.P(IF(Table1[IndicatorCode]=Table1[[#This Row],[IndicatorCode]],Table1[value]))</f>
        <v>5.2319501044600996</v>
      </c>
      <c r="J3984">
        <f>(Table1[[#This Row],[value]] - Table1[[#This Row],[mean]]) / Table1[[#This Row],[std_dev]]</f>
        <v>-0.7051720271010028</v>
      </c>
      <c r="K3984">
        <f>AVERAGEIF(Table1[CountryCode],Table1[[#This Row],[CountryCode]],Table1[z-score])</f>
        <v>-0.19691915896687051</v>
      </c>
      <c r="L3984" t="e">
        <f>VLOOKUP(Table1[[#This Row],[CountryCode]],[1]!Table1[#Data],4,FALSE)</f>
        <v>#REF!</v>
      </c>
    </row>
    <row r="3985" spans="1:12" hidden="1" x14ac:dyDescent="0.3">
      <c r="A3985" t="s">
        <v>97</v>
      </c>
      <c r="B3985" t="s">
        <v>98</v>
      </c>
      <c r="C3985" t="s">
        <v>125</v>
      </c>
      <c r="D3985" t="s">
        <v>126</v>
      </c>
      <c r="E3985">
        <v>1991</v>
      </c>
      <c r="F3985" s="1">
        <v>5</v>
      </c>
      <c r="G3985">
        <v>1990</v>
      </c>
      <c r="H3985">
        <f>AVERAGEIFS(Table1[value],Table1[IndicatorCode],Table1[[#This Row],[IndicatorCode]])</f>
        <v>7.6894248608534319</v>
      </c>
      <c r="I3985" cm="1">
        <f t="array" ref="I3985">_xlfn.STDEV.P(IF(Table1[IndicatorCode]=Table1[[#This Row],[IndicatorCode]],Table1[value]))</f>
        <v>5.2319501044600996</v>
      </c>
      <c r="J3985">
        <f>(Table1[[#This Row],[value]] - Table1[[#This Row],[mean]]) / Table1[[#This Row],[std_dev]]</f>
        <v>-0.51403870586624445</v>
      </c>
      <c r="K3985">
        <f>AVERAGEIF(Table1[CountryCode],Table1[[#This Row],[CountryCode]],Table1[z-score])</f>
        <v>-0.19691915896687051</v>
      </c>
      <c r="L3985" t="e">
        <f>VLOOKUP(Table1[[#This Row],[CountryCode]],[1]!Table1[#Data],4,FALSE)</f>
        <v>#REF!</v>
      </c>
    </row>
    <row r="3986" spans="1:12" hidden="1" x14ac:dyDescent="0.3">
      <c r="A3986" t="s">
        <v>97</v>
      </c>
      <c r="B3986" t="s">
        <v>98</v>
      </c>
      <c r="C3986" t="s">
        <v>125</v>
      </c>
      <c r="D3986" t="s">
        <v>126</v>
      </c>
      <c r="E3986">
        <v>1992</v>
      </c>
      <c r="F3986" s="1">
        <v>5</v>
      </c>
      <c r="G3986">
        <v>1990</v>
      </c>
      <c r="H3986">
        <f>AVERAGEIFS(Table1[value],Table1[IndicatorCode],Table1[[#This Row],[IndicatorCode]])</f>
        <v>7.6894248608534319</v>
      </c>
      <c r="I3986" cm="1">
        <f t="array" ref="I3986">_xlfn.STDEV.P(IF(Table1[IndicatorCode]=Table1[[#This Row],[IndicatorCode]],Table1[value]))</f>
        <v>5.2319501044600996</v>
      </c>
      <c r="J3986">
        <f>(Table1[[#This Row],[value]] - Table1[[#This Row],[mean]]) / Table1[[#This Row],[std_dev]]</f>
        <v>-0.51403870586624445</v>
      </c>
      <c r="K3986">
        <f>AVERAGEIF(Table1[CountryCode],Table1[[#This Row],[CountryCode]],Table1[z-score])</f>
        <v>-0.19691915896687051</v>
      </c>
      <c r="L3986" t="e">
        <f>VLOOKUP(Table1[[#This Row],[CountryCode]],[1]!Table1[#Data],4,FALSE)</f>
        <v>#REF!</v>
      </c>
    </row>
    <row r="3987" spans="1:12" hidden="1" x14ac:dyDescent="0.3">
      <c r="A3987" t="s">
        <v>97</v>
      </c>
      <c r="B3987" t="s">
        <v>98</v>
      </c>
      <c r="C3987" t="s">
        <v>125</v>
      </c>
      <c r="D3987" t="s">
        <v>126</v>
      </c>
      <c r="E3987">
        <v>1993</v>
      </c>
      <c r="F3987" s="1">
        <v>5</v>
      </c>
      <c r="G3987">
        <v>1990</v>
      </c>
      <c r="H3987">
        <f>AVERAGEIFS(Table1[value],Table1[IndicatorCode],Table1[[#This Row],[IndicatorCode]])</f>
        <v>7.6894248608534319</v>
      </c>
      <c r="I3987" cm="1">
        <f t="array" ref="I3987">_xlfn.STDEV.P(IF(Table1[IndicatorCode]=Table1[[#This Row],[IndicatorCode]],Table1[value]))</f>
        <v>5.2319501044600996</v>
      </c>
      <c r="J3987">
        <f>(Table1[[#This Row],[value]] - Table1[[#This Row],[mean]]) / Table1[[#This Row],[std_dev]]</f>
        <v>-0.51403870586624445</v>
      </c>
      <c r="K3987">
        <f>AVERAGEIF(Table1[CountryCode],Table1[[#This Row],[CountryCode]],Table1[z-score])</f>
        <v>-0.19691915896687051</v>
      </c>
      <c r="L3987" t="e">
        <f>VLOOKUP(Table1[[#This Row],[CountryCode]],[1]!Table1[#Data],4,FALSE)</f>
        <v>#REF!</v>
      </c>
    </row>
    <row r="3988" spans="1:12" hidden="1" x14ac:dyDescent="0.3">
      <c r="A3988" t="s">
        <v>97</v>
      </c>
      <c r="B3988" t="s">
        <v>98</v>
      </c>
      <c r="C3988" t="s">
        <v>125</v>
      </c>
      <c r="D3988" t="s">
        <v>126</v>
      </c>
      <c r="E3988">
        <v>1994</v>
      </c>
      <c r="F3988" s="1">
        <v>5</v>
      </c>
      <c r="G3988">
        <v>1990</v>
      </c>
      <c r="H3988">
        <f>AVERAGEIFS(Table1[value],Table1[IndicatorCode],Table1[[#This Row],[IndicatorCode]])</f>
        <v>7.6894248608534319</v>
      </c>
      <c r="I3988" cm="1">
        <f t="array" ref="I3988">_xlfn.STDEV.P(IF(Table1[IndicatorCode]=Table1[[#This Row],[IndicatorCode]],Table1[value]))</f>
        <v>5.2319501044600996</v>
      </c>
      <c r="J3988">
        <f>(Table1[[#This Row],[value]] - Table1[[#This Row],[mean]]) / Table1[[#This Row],[std_dev]]</f>
        <v>-0.51403870586624445</v>
      </c>
      <c r="K3988">
        <f>AVERAGEIF(Table1[CountryCode],Table1[[#This Row],[CountryCode]],Table1[z-score])</f>
        <v>-0.19691915896687051</v>
      </c>
      <c r="L3988" t="e">
        <f>VLOOKUP(Table1[[#This Row],[CountryCode]],[1]!Table1[#Data],4,FALSE)</f>
        <v>#REF!</v>
      </c>
    </row>
    <row r="3989" spans="1:12" hidden="1" x14ac:dyDescent="0.3">
      <c r="A3989" t="s">
        <v>97</v>
      </c>
      <c r="B3989" t="s">
        <v>98</v>
      </c>
      <c r="C3989" t="s">
        <v>125</v>
      </c>
      <c r="D3989" t="s">
        <v>126</v>
      </c>
      <c r="E3989">
        <v>1995</v>
      </c>
      <c r="F3989" s="1">
        <v>5</v>
      </c>
      <c r="G3989">
        <v>1990</v>
      </c>
      <c r="H3989">
        <f>AVERAGEIFS(Table1[value],Table1[IndicatorCode],Table1[[#This Row],[IndicatorCode]])</f>
        <v>7.6894248608534319</v>
      </c>
      <c r="I3989" cm="1">
        <f t="array" ref="I3989">_xlfn.STDEV.P(IF(Table1[IndicatorCode]=Table1[[#This Row],[IndicatorCode]],Table1[value]))</f>
        <v>5.2319501044600996</v>
      </c>
      <c r="J3989">
        <f>(Table1[[#This Row],[value]] - Table1[[#This Row],[mean]]) / Table1[[#This Row],[std_dev]]</f>
        <v>-0.51403870586624445</v>
      </c>
      <c r="K3989">
        <f>AVERAGEIF(Table1[CountryCode],Table1[[#This Row],[CountryCode]],Table1[z-score])</f>
        <v>-0.19691915896687051</v>
      </c>
      <c r="L3989" t="e">
        <f>VLOOKUP(Table1[[#This Row],[CountryCode]],[1]!Table1[#Data],4,FALSE)</f>
        <v>#REF!</v>
      </c>
    </row>
    <row r="3990" spans="1:12" hidden="1" x14ac:dyDescent="0.3">
      <c r="A3990" t="s">
        <v>97</v>
      </c>
      <c r="B3990" t="s">
        <v>98</v>
      </c>
      <c r="C3990" t="s">
        <v>125</v>
      </c>
      <c r="D3990" t="s">
        <v>126</v>
      </c>
      <c r="E3990">
        <v>1996</v>
      </c>
      <c r="F3990" s="1">
        <v>5</v>
      </c>
      <c r="G3990">
        <v>1990</v>
      </c>
      <c r="H3990">
        <f>AVERAGEIFS(Table1[value],Table1[IndicatorCode],Table1[[#This Row],[IndicatorCode]])</f>
        <v>7.6894248608534319</v>
      </c>
      <c r="I3990" cm="1">
        <f t="array" ref="I3990">_xlfn.STDEV.P(IF(Table1[IndicatorCode]=Table1[[#This Row],[IndicatorCode]],Table1[value]))</f>
        <v>5.2319501044600996</v>
      </c>
      <c r="J3990">
        <f>(Table1[[#This Row],[value]] - Table1[[#This Row],[mean]]) / Table1[[#This Row],[std_dev]]</f>
        <v>-0.51403870586624445</v>
      </c>
      <c r="K3990">
        <f>AVERAGEIF(Table1[CountryCode],Table1[[#This Row],[CountryCode]],Table1[z-score])</f>
        <v>-0.19691915896687051</v>
      </c>
      <c r="L3990" t="e">
        <f>VLOOKUP(Table1[[#This Row],[CountryCode]],[1]!Table1[#Data],4,FALSE)</f>
        <v>#REF!</v>
      </c>
    </row>
    <row r="3991" spans="1:12" hidden="1" x14ac:dyDescent="0.3">
      <c r="A3991" t="s">
        <v>97</v>
      </c>
      <c r="B3991" t="s">
        <v>98</v>
      </c>
      <c r="C3991" t="s">
        <v>125</v>
      </c>
      <c r="D3991" t="s">
        <v>126</v>
      </c>
      <c r="E3991">
        <v>1997</v>
      </c>
      <c r="F3991" s="1">
        <v>5</v>
      </c>
      <c r="G3991">
        <v>2000</v>
      </c>
      <c r="H3991">
        <f>AVERAGEIFS(Table1[value],Table1[IndicatorCode],Table1[[#This Row],[IndicatorCode]])</f>
        <v>7.6894248608534319</v>
      </c>
      <c r="I3991" cm="1">
        <f t="array" ref="I3991">_xlfn.STDEV.P(IF(Table1[IndicatorCode]=Table1[[#This Row],[IndicatorCode]],Table1[value]))</f>
        <v>5.2319501044600996</v>
      </c>
      <c r="J3991">
        <f>(Table1[[#This Row],[value]] - Table1[[#This Row],[mean]]) / Table1[[#This Row],[std_dev]]</f>
        <v>-0.51403870586624445</v>
      </c>
      <c r="K3991">
        <f>AVERAGEIF(Table1[CountryCode],Table1[[#This Row],[CountryCode]],Table1[z-score])</f>
        <v>-0.19691915896687051</v>
      </c>
      <c r="L3991" t="e">
        <f>VLOOKUP(Table1[[#This Row],[CountryCode]],[1]!Table1[#Data],4,FALSE)</f>
        <v>#REF!</v>
      </c>
    </row>
    <row r="3992" spans="1:12" hidden="1" x14ac:dyDescent="0.3">
      <c r="A3992" t="s">
        <v>97</v>
      </c>
      <c r="B3992" t="s">
        <v>98</v>
      </c>
      <c r="C3992" t="s">
        <v>125</v>
      </c>
      <c r="D3992" t="s">
        <v>126</v>
      </c>
      <c r="E3992">
        <v>1998</v>
      </c>
      <c r="F3992" s="1">
        <v>6</v>
      </c>
      <c r="G3992">
        <v>2000</v>
      </c>
      <c r="H3992">
        <f>AVERAGEIFS(Table1[value],Table1[IndicatorCode],Table1[[#This Row],[IndicatorCode]])</f>
        <v>7.6894248608534319</v>
      </c>
      <c r="I3992" cm="1">
        <f t="array" ref="I3992">_xlfn.STDEV.P(IF(Table1[IndicatorCode]=Table1[[#This Row],[IndicatorCode]],Table1[value]))</f>
        <v>5.2319501044600996</v>
      </c>
      <c r="J3992">
        <f>(Table1[[#This Row],[value]] - Table1[[#This Row],[mean]]) / Table1[[#This Row],[std_dev]]</f>
        <v>-0.32290538463148605</v>
      </c>
      <c r="K3992">
        <f>AVERAGEIF(Table1[CountryCode],Table1[[#This Row],[CountryCode]],Table1[z-score])</f>
        <v>-0.19691915896687051</v>
      </c>
      <c r="L3992" t="e">
        <f>VLOOKUP(Table1[[#This Row],[CountryCode]],[1]!Table1[#Data],4,FALSE)</f>
        <v>#REF!</v>
      </c>
    </row>
    <row r="3993" spans="1:12" hidden="1" x14ac:dyDescent="0.3">
      <c r="A3993" t="s">
        <v>97</v>
      </c>
      <c r="B3993" t="s">
        <v>98</v>
      </c>
      <c r="C3993" t="s">
        <v>125</v>
      </c>
      <c r="D3993" t="s">
        <v>126</v>
      </c>
      <c r="E3993">
        <v>1999</v>
      </c>
      <c r="F3993" s="1">
        <v>6</v>
      </c>
      <c r="G3993">
        <v>2000</v>
      </c>
      <c r="H3993">
        <f>AVERAGEIFS(Table1[value],Table1[IndicatorCode],Table1[[#This Row],[IndicatorCode]])</f>
        <v>7.6894248608534319</v>
      </c>
      <c r="I3993" cm="1">
        <f t="array" ref="I3993">_xlfn.STDEV.P(IF(Table1[IndicatorCode]=Table1[[#This Row],[IndicatorCode]],Table1[value]))</f>
        <v>5.2319501044600996</v>
      </c>
      <c r="J3993">
        <f>(Table1[[#This Row],[value]] - Table1[[#This Row],[mean]]) / Table1[[#This Row],[std_dev]]</f>
        <v>-0.32290538463148605</v>
      </c>
      <c r="K3993">
        <f>AVERAGEIF(Table1[CountryCode],Table1[[#This Row],[CountryCode]],Table1[z-score])</f>
        <v>-0.19691915896687051</v>
      </c>
      <c r="L3993" t="e">
        <f>VLOOKUP(Table1[[#This Row],[CountryCode]],[1]!Table1[#Data],4,FALSE)</f>
        <v>#REF!</v>
      </c>
    </row>
    <row r="3994" spans="1:12" hidden="1" x14ac:dyDescent="0.3">
      <c r="A3994" t="s">
        <v>97</v>
      </c>
      <c r="B3994" t="s">
        <v>98</v>
      </c>
      <c r="C3994" t="s">
        <v>125</v>
      </c>
      <c r="D3994" t="s">
        <v>126</v>
      </c>
      <c r="E3994">
        <v>2000</v>
      </c>
      <c r="F3994" s="1">
        <v>6</v>
      </c>
      <c r="G3994">
        <v>2000</v>
      </c>
      <c r="H3994">
        <f>AVERAGEIFS(Table1[value],Table1[IndicatorCode],Table1[[#This Row],[IndicatorCode]])</f>
        <v>7.6894248608534319</v>
      </c>
      <c r="I3994" cm="1">
        <f t="array" ref="I3994">_xlfn.STDEV.P(IF(Table1[IndicatorCode]=Table1[[#This Row],[IndicatorCode]],Table1[value]))</f>
        <v>5.2319501044600996</v>
      </c>
      <c r="J3994">
        <f>(Table1[[#This Row],[value]] - Table1[[#This Row],[mean]]) / Table1[[#This Row],[std_dev]]</f>
        <v>-0.32290538463148605</v>
      </c>
      <c r="K3994">
        <f>AVERAGEIF(Table1[CountryCode],Table1[[#This Row],[CountryCode]],Table1[z-score])</f>
        <v>-0.19691915896687051</v>
      </c>
      <c r="L3994" t="e">
        <f>VLOOKUP(Table1[[#This Row],[CountryCode]],[1]!Table1[#Data],4,FALSE)</f>
        <v>#REF!</v>
      </c>
    </row>
    <row r="3995" spans="1:12" hidden="1" x14ac:dyDescent="0.3">
      <c r="A3995" t="s">
        <v>97</v>
      </c>
      <c r="B3995" t="s">
        <v>98</v>
      </c>
      <c r="C3995" t="s">
        <v>125</v>
      </c>
      <c r="D3995" t="s">
        <v>126</v>
      </c>
      <c r="E3995">
        <v>2001</v>
      </c>
      <c r="F3995" s="1">
        <v>6</v>
      </c>
      <c r="G3995">
        <v>2000</v>
      </c>
      <c r="H3995">
        <f>AVERAGEIFS(Table1[value],Table1[IndicatorCode],Table1[[#This Row],[IndicatorCode]])</f>
        <v>7.6894248608534319</v>
      </c>
      <c r="I3995" cm="1">
        <f t="array" ref="I3995">_xlfn.STDEV.P(IF(Table1[IndicatorCode]=Table1[[#This Row],[IndicatorCode]],Table1[value]))</f>
        <v>5.2319501044600996</v>
      </c>
      <c r="J3995">
        <f>(Table1[[#This Row],[value]] - Table1[[#This Row],[mean]]) / Table1[[#This Row],[std_dev]]</f>
        <v>-0.32290538463148605</v>
      </c>
      <c r="K3995">
        <f>AVERAGEIF(Table1[CountryCode],Table1[[#This Row],[CountryCode]],Table1[z-score])</f>
        <v>-0.19691915896687051</v>
      </c>
      <c r="L3995" t="e">
        <f>VLOOKUP(Table1[[#This Row],[CountryCode]],[1]!Table1[#Data],4,FALSE)</f>
        <v>#REF!</v>
      </c>
    </row>
    <row r="3996" spans="1:12" hidden="1" x14ac:dyDescent="0.3">
      <c r="A3996" t="s">
        <v>97</v>
      </c>
      <c r="B3996" t="s">
        <v>98</v>
      </c>
      <c r="C3996" t="s">
        <v>125</v>
      </c>
      <c r="D3996" t="s">
        <v>126</v>
      </c>
      <c r="E3996">
        <v>2002</v>
      </c>
      <c r="F3996" s="1">
        <v>7</v>
      </c>
      <c r="G3996">
        <v>2000</v>
      </c>
      <c r="H3996">
        <f>AVERAGEIFS(Table1[value],Table1[IndicatorCode],Table1[[#This Row],[IndicatorCode]])</f>
        <v>7.6894248608534319</v>
      </c>
      <c r="I3996" cm="1">
        <f t="array" ref="I3996">_xlfn.STDEV.P(IF(Table1[IndicatorCode]=Table1[[#This Row],[IndicatorCode]],Table1[value]))</f>
        <v>5.2319501044600996</v>
      </c>
      <c r="J3996">
        <f>(Table1[[#This Row],[value]] - Table1[[#This Row],[mean]]) / Table1[[#This Row],[std_dev]]</f>
        <v>-0.13177206339672762</v>
      </c>
      <c r="K3996">
        <f>AVERAGEIF(Table1[CountryCode],Table1[[#This Row],[CountryCode]],Table1[z-score])</f>
        <v>-0.19691915896687051</v>
      </c>
      <c r="L3996" t="e">
        <f>VLOOKUP(Table1[[#This Row],[CountryCode]],[1]!Table1[#Data],4,FALSE)</f>
        <v>#REF!</v>
      </c>
    </row>
    <row r="3997" spans="1:12" hidden="1" x14ac:dyDescent="0.3">
      <c r="A3997" t="s">
        <v>97</v>
      </c>
      <c r="B3997" t="s">
        <v>98</v>
      </c>
      <c r="C3997" t="s">
        <v>125</v>
      </c>
      <c r="D3997" t="s">
        <v>126</v>
      </c>
      <c r="E3997">
        <v>2003</v>
      </c>
      <c r="F3997" s="1">
        <v>6</v>
      </c>
      <c r="G3997">
        <v>2000</v>
      </c>
      <c r="H3997">
        <f>AVERAGEIFS(Table1[value],Table1[IndicatorCode],Table1[[#This Row],[IndicatorCode]])</f>
        <v>7.6894248608534319</v>
      </c>
      <c r="I3997" cm="1">
        <f t="array" ref="I3997">_xlfn.STDEV.P(IF(Table1[IndicatorCode]=Table1[[#This Row],[IndicatorCode]],Table1[value]))</f>
        <v>5.2319501044600996</v>
      </c>
      <c r="J3997">
        <f>(Table1[[#This Row],[value]] - Table1[[#This Row],[mean]]) / Table1[[#This Row],[std_dev]]</f>
        <v>-0.32290538463148605</v>
      </c>
      <c r="K3997">
        <f>AVERAGEIF(Table1[CountryCode],Table1[[#This Row],[CountryCode]],Table1[z-score])</f>
        <v>-0.19691915896687051</v>
      </c>
      <c r="L3997" t="e">
        <f>VLOOKUP(Table1[[#This Row],[CountryCode]],[1]!Table1[#Data],4,FALSE)</f>
        <v>#REF!</v>
      </c>
    </row>
    <row r="3998" spans="1:12" hidden="1" x14ac:dyDescent="0.3">
      <c r="A3998" t="s">
        <v>97</v>
      </c>
      <c r="B3998" t="s">
        <v>98</v>
      </c>
      <c r="C3998" t="s">
        <v>125</v>
      </c>
      <c r="D3998" t="s">
        <v>126</v>
      </c>
      <c r="E3998">
        <v>2004</v>
      </c>
      <c r="F3998" s="1">
        <v>6</v>
      </c>
      <c r="G3998">
        <v>2000</v>
      </c>
      <c r="H3998">
        <f>AVERAGEIFS(Table1[value],Table1[IndicatorCode],Table1[[#This Row],[IndicatorCode]])</f>
        <v>7.6894248608534319</v>
      </c>
      <c r="I3998" cm="1">
        <f t="array" ref="I3998">_xlfn.STDEV.P(IF(Table1[IndicatorCode]=Table1[[#This Row],[IndicatorCode]],Table1[value]))</f>
        <v>5.2319501044600996</v>
      </c>
      <c r="J3998">
        <f>(Table1[[#This Row],[value]] - Table1[[#This Row],[mean]]) / Table1[[#This Row],[std_dev]]</f>
        <v>-0.32290538463148605</v>
      </c>
      <c r="K3998">
        <f>AVERAGEIF(Table1[CountryCode],Table1[[#This Row],[CountryCode]],Table1[z-score])</f>
        <v>-0.19691915896687051</v>
      </c>
      <c r="L3998" t="e">
        <f>VLOOKUP(Table1[[#This Row],[CountryCode]],[1]!Table1[#Data],4,FALSE)</f>
        <v>#REF!</v>
      </c>
    </row>
    <row r="3999" spans="1:12" hidden="1" x14ac:dyDescent="0.3">
      <c r="A3999" t="s">
        <v>97</v>
      </c>
      <c r="B3999" t="s">
        <v>98</v>
      </c>
      <c r="C3999" t="s">
        <v>125</v>
      </c>
      <c r="D3999" t="s">
        <v>126</v>
      </c>
      <c r="E3999">
        <v>2005</v>
      </c>
      <c r="F3999" s="1">
        <v>6</v>
      </c>
      <c r="G3999">
        <v>2000</v>
      </c>
      <c r="H3999">
        <f>AVERAGEIFS(Table1[value],Table1[IndicatorCode],Table1[[#This Row],[IndicatorCode]])</f>
        <v>7.6894248608534319</v>
      </c>
      <c r="I3999" cm="1">
        <f t="array" ref="I3999">_xlfn.STDEV.P(IF(Table1[IndicatorCode]=Table1[[#This Row],[IndicatorCode]],Table1[value]))</f>
        <v>5.2319501044600996</v>
      </c>
      <c r="J3999">
        <f>(Table1[[#This Row],[value]] - Table1[[#This Row],[mean]]) / Table1[[#This Row],[std_dev]]</f>
        <v>-0.32290538463148605</v>
      </c>
      <c r="K3999">
        <f>AVERAGEIF(Table1[CountryCode],Table1[[#This Row],[CountryCode]],Table1[z-score])</f>
        <v>-0.19691915896687051</v>
      </c>
      <c r="L3999" t="e">
        <f>VLOOKUP(Table1[[#This Row],[CountryCode]],[1]!Table1[#Data],4,FALSE)</f>
        <v>#REF!</v>
      </c>
    </row>
    <row r="4000" spans="1:12" hidden="1" x14ac:dyDescent="0.3">
      <c r="A4000" t="s">
        <v>97</v>
      </c>
      <c r="B4000" t="s">
        <v>98</v>
      </c>
      <c r="C4000" t="s">
        <v>125</v>
      </c>
      <c r="D4000" t="s">
        <v>126</v>
      </c>
      <c r="E4000">
        <v>2006</v>
      </c>
      <c r="F4000" s="1">
        <v>6</v>
      </c>
      <c r="G4000">
        <v>2000</v>
      </c>
      <c r="H4000">
        <f>AVERAGEIFS(Table1[value],Table1[IndicatorCode],Table1[[#This Row],[IndicatorCode]])</f>
        <v>7.6894248608534319</v>
      </c>
      <c r="I4000" cm="1">
        <f t="array" ref="I4000">_xlfn.STDEV.P(IF(Table1[IndicatorCode]=Table1[[#This Row],[IndicatorCode]],Table1[value]))</f>
        <v>5.2319501044600996</v>
      </c>
      <c r="J4000">
        <f>(Table1[[#This Row],[value]] - Table1[[#This Row],[mean]]) / Table1[[#This Row],[std_dev]]</f>
        <v>-0.32290538463148605</v>
      </c>
      <c r="K4000">
        <f>AVERAGEIF(Table1[CountryCode],Table1[[#This Row],[CountryCode]],Table1[z-score])</f>
        <v>-0.19691915896687051</v>
      </c>
      <c r="L4000" t="e">
        <f>VLOOKUP(Table1[[#This Row],[CountryCode]],[1]!Table1[#Data],4,FALSE)</f>
        <v>#REF!</v>
      </c>
    </row>
    <row r="4001" spans="1:12" hidden="1" x14ac:dyDescent="0.3">
      <c r="A4001" t="s">
        <v>97</v>
      </c>
      <c r="B4001" t="s">
        <v>98</v>
      </c>
      <c r="C4001" t="s">
        <v>125</v>
      </c>
      <c r="D4001" t="s">
        <v>126</v>
      </c>
      <c r="E4001">
        <v>2007</v>
      </c>
      <c r="F4001" s="1">
        <v>6</v>
      </c>
      <c r="G4001">
        <v>2010</v>
      </c>
      <c r="H4001">
        <f>AVERAGEIFS(Table1[value],Table1[IndicatorCode],Table1[[#This Row],[IndicatorCode]])</f>
        <v>7.6894248608534319</v>
      </c>
      <c r="I4001" cm="1">
        <f t="array" ref="I4001">_xlfn.STDEV.P(IF(Table1[IndicatorCode]=Table1[[#This Row],[IndicatorCode]],Table1[value]))</f>
        <v>5.2319501044600996</v>
      </c>
      <c r="J4001">
        <f>(Table1[[#This Row],[value]] - Table1[[#This Row],[mean]]) / Table1[[#This Row],[std_dev]]</f>
        <v>-0.32290538463148605</v>
      </c>
      <c r="K4001">
        <f>AVERAGEIF(Table1[CountryCode],Table1[[#This Row],[CountryCode]],Table1[z-score])</f>
        <v>-0.19691915896687051</v>
      </c>
      <c r="L4001" t="e">
        <f>VLOOKUP(Table1[[#This Row],[CountryCode]],[1]!Table1[#Data],4,FALSE)</f>
        <v>#REF!</v>
      </c>
    </row>
    <row r="4002" spans="1:12" hidden="1" x14ac:dyDescent="0.3">
      <c r="A4002" t="s">
        <v>97</v>
      </c>
      <c r="B4002" t="s">
        <v>98</v>
      </c>
      <c r="C4002" t="s">
        <v>125</v>
      </c>
      <c r="D4002" t="s">
        <v>126</v>
      </c>
      <c r="E4002">
        <v>2008</v>
      </c>
      <c r="F4002" s="1">
        <v>6</v>
      </c>
      <c r="G4002">
        <v>2010</v>
      </c>
      <c r="H4002">
        <f>AVERAGEIFS(Table1[value],Table1[IndicatorCode],Table1[[#This Row],[IndicatorCode]])</f>
        <v>7.6894248608534319</v>
      </c>
      <c r="I4002" cm="1">
        <f t="array" ref="I4002">_xlfn.STDEV.P(IF(Table1[IndicatorCode]=Table1[[#This Row],[IndicatorCode]],Table1[value]))</f>
        <v>5.2319501044600996</v>
      </c>
      <c r="J4002">
        <f>(Table1[[#This Row],[value]] - Table1[[#This Row],[mean]]) / Table1[[#This Row],[std_dev]]</f>
        <v>-0.32290538463148605</v>
      </c>
      <c r="K4002">
        <f>AVERAGEIF(Table1[CountryCode],Table1[[#This Row],[CountryCode]],Table1[z-score])</f>
        <v>-0.19691915896687051</v>
      </c>
      <c r="L4002" t="e">
        <f>VLOOKUP(Table1[[#This Row],[CountryCode]],[1]!Table1[#Data],4,FALSE)</f>
        <v>#REF!</v>
      </c>
    </row>
    <row r="4003" spans="1:12" hidden="1" x14ac:dyDescent="0.3">
      <c r="A4003" t="s">
        <v>97</v>
      </c>
      <c r="B4003" t="s">
        <v>98</v>
      </c>
      <c r="C4003" t="s">
        <v>125</v>
      </c>
      <c r="D4003" t="s">
        <v>126</v>
      </c>
      <c r="E4003">
        <v>2009</v>
      </c>
      <c r="F4003" s="1">
        <v>6</v>
      </c>
      <c r="G4003">
        <v>2010</v>
      </c>
      <c r="H4003">
        <f>AVERAGEIFS(Table1[value],Table1[IndicatorCode],Table1[[#This Row],[IndicatorCode]])</f>
        <v>7.6894248608534319</v>
      </c>
      <c r="I4003" cm="1">
        <f t="array" ref="I4003">_xlfn.STDEV.P(IF(Table1[IndicatorCode]=Table1[[#This Row],[IndicatorCode]],Table1[value]))</f>
        <v>5.2319501044600996</v>
      </c>
      <c r="J4003">
        <f>(Table1[[#This Row],[value]] - Table1[[#This Row],[mean]]) / Table1[[#This Row],[std_dev]]</f>
        <v>-0.32290538463148605</v>
      </c>
      <c r="K4003">
        <f>AVERAGEIF(Table1[CountryCode],Table1[[#This Row],[CountryCode]],Table1[z-score])</f>
        <v>-0.19691915896687051</v>
      </c>
      <c r="L4003" t="e">
        <f>VLOOKUP(Table1[[#This Row],[CountryCode]],[1]!Table1[#Data],4,FALSE)</f>
        <v>#REF!</v>
      </c>
    </row>
    <row r="4004" spans="1:12" hidden="1" x14ac:dyDescent="0.3">
      <c r="A4004" t="s">
        <v>97</v>
      </c>
      <c r="B4004" t="s">
        <v>98</v>
      </c>
      <c r="C4004" t="s">
        <v>125</v>
      </c>
      <c r="D4004" t="s">
        <v>126</v>
      </c>
      <c r="E4004">
        <v>2010</v>
      </c>
      <c r="F4004" s="1">
        <v>5</v>
      </c>
      <c r="G4004">
        <v>2010</v>
      </c>
      <c r="H4004">
        <f>AVERAGEIFS(Table1[value],Table1[IndicatorCode],Table1[[#This Row],[IndicatorCode]])</f>
        <v>7.6894248608534319</v>
      </c>
      <c r="I4004" cm="1">
        <f t="array" ref="I4004">_xlfn.STDEV.P(IF(Table1[IndicatorCode]=Table1[[#This Row],[IndicatorCode]],Table1[value]))</f>
        <v>5.2319501044600996</v>
      </c>
      <c r="J4004">
        <f>(Table1[[#This Row],[value]] - Table1[[#This Row],[mean]]) / Table1[[#This Row],[std_dev]]</f>
        <v>-0.51403870586624445</v>
      </c>
      <c r="K4004">
        <f>AVERAGEIF(Table1[CountryCode],Table1[[#This Row],[CountryCode]],Table1[z-score])</f>
        <v>-0.19691915896687051</v>
      </c>
      <c r="L4004" t="e">
        <f>VLOOKUP(Table1[[#This Row],[CountryCode]],[1]!Table1[#Data],4,FALSE)</f>
        <v>#REF!</v>
      </c>
    </row>
    <row r="4005" spans="1:12" hidden="1" x14ac:dyDescent="0.3">
      <c r="A4005" t="s">
        <v>97</v>
      </c>
      <c r="B4005" t="s">
        <v>98</v>
      </c>
      <c r="C4005" t="s">
        <v>125</v>
      </c>
      <c r="D4005" t="s">
        <v>126</v>
      </c>
      <c r="E4005">
        <v>2011</v>
      </c>
      <c r="F4005" s="1">
        <v>5</v>
      </c>
      <c r="G4005">
        <v>2010</v>
      </c>
      <c r="H4005">
        <f>AVERAGEIFS(Table1[value],Table1[IndicatorCode],Table1[[#This Row],[IndicatorCode]])</f>
        <v>7.6894248608534319</v>
      </c>
      <c r="I4005" cm="1">
        <f t="array" ref="I4005">_xlfn.STDEV.P(IF(Table1[IndicatorCode]=Table1[[#This Row],[IndicatorCode]],Table1[value]))</f>
        <v>5.2319501044600996</v>
      </c>
      <c r="J4005">
        <f>(Table1[[#This Row],[value]] - Table1[[#This Row],[mean]]) / Table1[[#This Row],[std_dev]]</f>
        <v>-0.51403870586624445</v>
      </c>
      <c r="K4005">
        <f>AVERAGEIF(Table1[CountryCode],Table1[[#This Row],[CountryCode]],Table1[z-score])</f>
        <v>-0.19691915896687051</v>
      </c>
      <c r="L4005" t="e">
        <f>VLOOKUP(Table1[[#This Row],[CountryCode]],[1]!Table1[#Data],4,FALSE)</f>
        <v>#REF!</v>
      </c>
    </row>
    <row r="4006" spans="1:12" hidden="1" x14ac:dyDescent="0.3">
      <c r="A4006" t="s">
        <v>97</v>
      </c>
      <c r="B4006" t="s">
        <v>98</v>
      </c>
      <c r="C4006" t="s">
        <v>125</v>
      </c>
      <c r="D4006" t="s">
        <v>126</v>
      </c>
      <c r="E4006">
        <v>2012</v>
      </c>
      <c r="F4006" s="1">
        <v>5</v>
      </c>
      <c r="G4006">
        <v>2010</v>
      </c>
      <c r="H4006">
        <f>AVERAGEIFS(Table1[value],Table1[IndicatorCode],Table1[[#This Row],[IndicatorCode]])</f>
        <v>7.6894248608534319</v>
      </c>
      <c r="I4006" cm="1">
        <f t="array" ref="I4006">_xlfn.STDEV.P(IF(Table1[IndicatorCode]=Table1[[#This Row],[IndicatorCode]],Table1[value]))</f>
        <v>5.2319501044600996</v>
      </c>
      <c r="J4006">
        <f>(Table1[[#This Row],[value]] - Table1[[#This Row],[mean]]) / Table1[[#This Row],[std_dev]]</f>
        <v>-0.51403870586624445</v>
      </c>
      <c r="K4006">
        <f>AVERAGEIF(Table1[CountryCode],Table1[[#This Row],[CountryCode]],Table1[z-score])</f>
        <v>-0.19691915896687051</v>
      </c>
      <c r="L4006" t="e">
        <f>VLOOKUP(Table1[[#This Row],[CountryCode]],[1]!Table1[#Data],4,FALSE)</f>
        <v>#REF!</v>
      </c>
    </row>
    <row r="4007" spans="1:12" hidden="1" x14ac:dyDescent="0.3">
      <c r="A4007" t="s">
        <v>97</v>
      </c>
      <c r="B4007" t="s">
        <v>98</v>
      </c>
      <c r="C4007" t="s">
        <v>125</v>
      </c>
      <c r="D4007" t="s">
        <v>126</v>
      </c>
      <c r="E4007">
        <v>2013</v>
      </c>
      <c r="F4007" s="1">
        <v>5</v>
      </c>
      <c r="G4007">
        <v>2010</v>
      </c>
      <c r="H4007">
        <f>AVERAGEIFS(Table1[value],Table1[IndicatorCode],Table1[[#This Row],[IndicatorCode]])</f>
        <v>7.6894248608534319</v>
      </c>
      <c r="I4007" cm="1">
        <f t="array" ref="I4007">_xlfn.STDEV.P(IF(Table1[IndicatorCode]=Table1[[#This Row],[IndicatorCode]],Table1[value]))</f>
        <v>5.2319501044600996</v>
      </c>
      <c r="J4007">
        <f>(Table1[[#This Row],[value]] - Table1[[#This Row],[mean]]) / Table1[[#This Row],[std_dev]]</f>
        <v>-0.51403870586624445</v>
      </c>
      <c r="K4007">
        <f>AVERAGEIF(Table1[CountryCode],Table1[[#This Row],[CountryCode]],Table1[z-score])</f>
        <v>-0.19691915896687051</v>
      </c>
      <c r="L4007" t="e">
        <f>VLOOKUP(Table1[[#This Row],[CountryCode]],[1]!Table1[#Data],4,FALSE)</f>
        <v>#REF!</v>
      </c>
    </row>
    <row r="4008" spans="1:12" hidden="1" x14ac:dyDescent="0.3">
      <c r="A4008" t="s">
        <v>97</v>
      </c>
      <c r="B4008" t="s">
        <v>98</v>
      </c>
      <c r="C4008" t="s">
        <v>125</v>
      </c>
      <c r="D4008" t="s">
        <v>126</v>
      </c>
      <c r="E4008">
        <v>2014</v>
      </c>
      <c r="F4008" s="1">
        <v>5</v>
      </c>
      <c r="G4008">
        <v>2010</v>
      </c>
      <c r="H4008">
        <f>AVERAGEIFS(Table1[value],Table1[IndicatorCode],Table1[[#This Row],[IndicatorCode]])</f>
        <v>7.6894248608534319</v>
      </c>
      <c r="I4008" cm="1">
        <f t="array" ref="I4008">_xlfn.STDEV.P(IF(Table1[IndicatorCode]=Table1[[#This Row],[IndicatorCode]],Table1[value]))</f>
        <v>5.2319501044600996</v>
      </c>
      <c r="J4008">
        <f>(Table1[[#This Row],[value]] - Table1[[#This Row],[mean]]) / Table1[[#This Row],[std_dev]]</f>
        <v>-0.51403870586624445</v>
      </c>
      <c r="K4008">
        <f>AVERAGEIF(Table1[CountryCode],Table1[[#This Row],[CountryCode]],Table1[z-score])</f>
        <v>-0.19691915896687051</v>
      </c>
      <c r="L4008" t="e">
        <f>VLOOKUP(Table1[[#This Row],[CountryCode]],[1]!Table1[#Data],4,FALSE)</f>
        <v>#REF!</v>
      </c>
    </row>
    <row r="4009" spans="1:12" hidden="1" x14ac:dyDescent="0.3">
      <c r="A4009" t="s">
        <v>97</v>
      </c>
      <c r="B4009" t="s">
        <v>98</v>
      </c>
      <c r="C4009" t="s">
        <v>125</v>
      </c>
      <c r="D4009" t="s">
        <v>126</v>
      </c>
      <c r="E4009">
        <v>2015</v>
      </c>
      <c r="F4009" s="1">
        <v>5</v>
      </c>
      <c r="G4009">
        <v>2010</v>
      </c>
      <c r="H4009">
        <f>AVERAGEIFS(Table1[value],Table1[IndicatorCode],Table1[[#This Row],[IndicatorCode]])</f>
        <v>7.6894248608534319</v>
      </c>
      <c r="I4009" cm="1">
        <f t="array" ref="I4009">_xlfn.STDEV.P(IF(Table1[IndicatorCode]=Table1[[#This Row],[IndicatorCode]],Table1[value]))</f>
        <v>5.2319501044600996</v>
      </c>
      <c r="J4009">
        <f>(Table1[[#This Row],[value]] - Table1[[#This Row],[mean]]) / Table1[[#This Row],[std_dev]]</f>
        <v>-0.51403870586624445</v>
      </c>
      <c r="K4009">
        <f>AVERAGEIF(Table1[CountryCode],Table1[[#This Row],[CountryCode]],Table1[z-score])</f>
        <v>-0.19691915896687051</v>
      </c>
      <c r="L4009" t="e">
        <f>VLOOKUP(Table1[[#This Row],[CountryCode]],[1]!Table1[#Data],4,FALSE)</f>
        <v>#REF!</v>
      </c>
    </row>
    <row r="4010" spans="1:12" hidden="1" x14ac:dyDescent="0.3">
      <c r="A4010" t="s">
        <v>97</v>
      </c>
      <c r="B4010" t="s">
        <v>98</v>
      </c>
      <c r="C4010" t="s">
        <v>125</v>
      </c>
      <c r="D4010" t="s">
        <v>126</v>
      </c>
      <c r="E4010">
        <v>2016</v>
      </c>
      <c r="F4010" s="1">
        <v>5</v>
      </c>
      <c r="G4010">
        <v>2010</v>
      </c>
      <c r="H4010">
        <f>AVERAGEIFS(Table1[value],Table1[IndicatorCode],Table1[[#This Row],[IndicatorCode]])</f>
        <v>7.6894248608534319</v>
      </c>
      <c r="I4010" cm="1">
        <f t="array" ref="I4010">_xlfn.STDEV.P(IF(Table1[IndicatorCode]=Table1[[#This Row],[IndicatorCode]],Table1[value]))</f>
        <v>5.2319501044600996</v>
      </c>
      <c r="J4010">
        <f>(Table1[[#This Row],[value]] - Table1[[#This Row],[mean]]) / Table1[[#This Row],[std_dev]]</f>
        <v>-0.51403870586624445</v>
      </c>
      <c r="K4010">
        <f>AVERAGEIF(Table1[CountryCode],Table1[[#This Row],[CountryCode]],Table1[z-score])</f>
        <v>-0.19691915896687051</v>
      </c>
      <c r="L4010" t="e">
        <f>VLOOKUP(Table1[[#This Row],[CountryCode]],[1]!Table1[#Data],4,FALSE)</f>
        <v>#REF!</v>
      </c>
    </row>
    <row r="4011" spans="1:12" hidden="1" x14ac:dyDescent="0.3">
      <c r="A4011" t="s">
        <v>97</v>
      </c>
      <c r="B4011" t="s">
        <v>98</v>
      </c>
      <c r="C4011" t="s">
        <v>125</v>
      </c>
      <c r="D4011" t="s">
        <v>126</v>
      </c>
      <c r="E4011">
        <v>2017</v>
      </c>
      <c r="F4011" s="1">
        <v>5</v>
      </c>
      <c r="G4011">
        <v>2020</v>
      </c>
      <c r="H4011">
        <f>AVERAGEIFS(Table1[value],Table1[IndicatorCode],Table1[[#This Row],[IndicatorCode]])</f>
        <v>7.6894248608534319</v>
      </c>
      <c r="I4011" cm="1">
        <f t="array" ref="I4011">_xlfn.STDEV.P(IF(Table1[IndicatorCode]=Table1[[#This Row],[IndicatorCode]],Table1[value]))</f>
        <v>5.2319501044600996</v>
      </c>
      <c r="J4011">
        <f>(Table1[[#This Row],[value]] - Table1[[#This Row],[mean]]) / Table1[[#This Row],[std_dev]]</f>
        <v>-0.51403870586624445</v>
      </c>
      <c r="K4011">
        <f>AVERAGEIF(Table1[CountryCode],Table1[[#This Row],[CountryCode]],Table1[z-score])</f>
        <v>-0.19691915896687051</v>
      </c>
      <c r="L4011" t="e">
        <f>VLOOKUP(Table1[[#This Row],[CountryCode]],[1]!Table1[#Data],4,FALSE)</f>
        <v>#REF!</v>
      </c>
    </row>
    <row r="4012" spans="1:12" hidden="1" x14ac:dyDescent="0.3">
      <c r="A4012" t="s">
        <v>97</v>
      </c>
      <c r="B4012" t="s">
        <v>98</v>
      </c>
      <c r="C4012" t="s">
        <v>125</v>
      </c>
      <c r="D4012" t="s">
        <v>126</v>
      </c>
      <c r="E4012">
        <v>2018</v>
      </c>
      <c r="F4012" s="1">
        <v>5</v>
      </c>
      <c r="G4012">
        <v>2020</v>
      </c>
      <c r="H4012">
        <f>AVERAGEIFS(Table1[value],Table1[IndicatorCode],Table1[[#This Row],[IndicatorCode]])</f>
        <v>7.6894248608534319</v>
      </c>
      <c r="I4012" cm="1">
        <f t="array" ref="I4012">_xlfn.STDEV.P(IF(Table1[IndicatorCode]=Table1[[#This Row],[IndicatorCode]],Table1[value]))</f>
        <v>5.2319501044600996</v>
      </c>
      <c r="J4012">
        <f>(Table1[[#This Row],[value]] - Table1[[#This Row],[mean]]) / Table1[[#This Row],[std_dev]]</f>
        <v>-0.51403870586624445</v>
      </c>
      <c r="K4012">
        <f>AVERAGEIF(Table1[CountryCode],Table1[[#This Row],[CountryCode]],Table1[z-score])</f>
        <v>-0.19691915896687051</v>
      </c>
      <c r="L4012" t="e">
        <f>VLOOKUP(Table1[[#This Row],[CountryCode]],[1]!Table1[#Data],4,FALSE)</f>
        <v>#REF!</v>
      </c>
    </row>
    <row r="4013" spans="1:12" hidden="1" x14ac:dyDescent="0.3">
      <c r="A4013" t="s">
        <v>97</v>
      </c>
      <c r="B4013" t="s">
        <v>98</v>
      </c>
      <c r="C4013" t="s">
        <v>125</v>
      </c>
      <c r="D4013" t="s">
        <v>126</v>
      </c>
      <c r="E4013">
        <v>2019</v>
      </c>
      <c r="F4013" s="1">
        <v>5</v>
      </c>
      <c r="G4013">
        <v>2020</v>
      </c>
      <c r="H4013">
        <f>AVERAGEIFS(Table1[value],Table1[IndicatorCode],Table1[[#This Row],[IndicatorCode]])</f>
        <v>7.6894248608534319</v>
      </c>
      <c r="I4013" cm="1">
        <f t="array" ref="I4013">_xlfn.STDEV.P(IF(Table1[IndicatorCode]=Table1[[#This Row],[IndicatorCode]],Table1[value]))</f>
        <v>5.2319501044600996</v>
      </c>
      <c r="J4013">
        <f>(Table1[[#This Row],[value]] - Table1[[#This Row],[mean]]) / Table1[[#This Row],[std_dev]]</f>
        <v>-0.51403870586624445</v>
      </c>
      <c r="K4013">
        <f>AVERAGEIF(Table1[CountryCode],Table1[[#This Row],[CountryCode]],Table1[z-score])</f>
        <v>-0.19691915896687051</v>
      </c>
      <c r="L4013" t="e">
        <f>VLOOKUP(Table1[[#This Row],[CountryCode]],[1]!Table1[#Data],4,FALSE)</f>
        <v>#REF!</v>
      </c>
    </row>
    <row r="4014" spans="1:12" x14ac:dyDescent="0.3">
      <c r="A4014" t="s">
        <v>97</v>
      </c>
      <c r="B4014" t="s">
        <v>98</v>
      </c>
      <c r="C4014" t="s">
        <v>125</v>
      </c>
      <c r="D4014" t="s">
        <v>126</v>
      </c>
      <c r="E4014">
        <v>2020</v>
      </c>
      <c r="F4014" s="1">
        <v>4</v>
      </c>
      <c r="G4014">
        <v>2020</v>
      </c>
      <c r="H4014">
        <f>AVERAGEIFS(Table1[value],Table1[IndicatorCode],Table1[[#This Row],[IndicatorCode]])</f>
        <v>7.6894248608534319</v>
      </c>
      <c r="I4014" cm="1">
        <f t="array" ref="I4014">_xlfn.STDEV.P(IF(Table1[IndicatorCode]=Table1[[#This Row],[IndicatorCode]],Table1[value]))</f>
        <v>5.2319501044600996</v>
      </c>
      <c r="J4014">
        <f>(Table1[[#This Row],[value]] - Table1[[#This Row],[mean]]) / Table1[[#This Row],[std_dev]]</f>
        <v>-0.7051720271010028</v>
      </c>
      <c r="K4014">
        <f>AVERAGEIF(Table1[CountryCode],Table1[[#This Row],[CountryCode]],Table1[z-score])</f>
        <v>-0.19691915896687051</v>
      </c>
    </row>
    <row r="4015" spans="1:12" hidden="1" x14ac:dyDescent="0.3">
      <c r="A4015" t="s">
        <v>97</v>
      </c>
      <c r="B4015" t="s">
        <v>98</v>
      </c>
      <c r="C4015" t="s">
        <v>125</v>
      </c>
      <c r="D4015" t="s">
        <v>126</v>
      </c>
      <c r="E4015">
        <v>2021</v>
      </c>
      <c r="F4015" s="1">
        <v>4</v>
      </c>
      <c r="G4015">
        <v>2020</v>
      </c>
      <c r="H4015">
        <f>AVERAGEIFS(Table1[value],Table1[IndicatorCode],Table1[[#This Row],[IndicatorCode]])</f>
        <v>7.6894248608534319</v>
      </c>
      <c r="I4015" cm="1">
        <f t="array" ref="I4015">_xlfn.STDEV.P(IF(Table1[IndicatorCode]=Table1[[#This Row],[IndicatorCode]],Table1[value]))</f>
        <v>5.2319501044600996</v>
      </c>
      <c r="J4015">
        <f>(Table1[[#This Row],[value]] - Table1[[#This Row],[mean]]) / Table1[[#This Row],[std_dev]]</f>
        <v>-0.7051720271010028</v>
      </c>
      <c r="K4015">
        <f>AVERAGEIF(Table1[CountryCode],Table1[[#This Row],[CountryCode]],Table1[z-score])</f>
        <v>-0.19691915896687051</v>
      </c>
      <c r="L4015" t="e">
        <f>VLOOKUP(Table1[[#This Row],[CountryCode]],[1]!Table1[#Data],4,FALSE)</f>
        <v>#REF!</v>
      </c>
    </row>
    <row r="4016" spans="1:12" hidden="1" x14ac:dyDescent="0.3">
      <c r="A4016" t="s">
        <v>97</v>
      </c>
      <c r="B4016" t="s">
        <v>98</v>
      </c>
      <c r="C4016" t="s">
        <v>125</v>
      </c>
      <c r="D4016" t="s">
        <v>126</v>
      </c>
      <c r="E4016">
        <v>2022</v>
      </c>
      <c r="F4016" s="1">
        <v>4</v>
      </c>
      <c r="G4016">
        <v>1970</v>
      </c>
      <c r="H4016">
        <f>AVERAGEIFS(Table1[value],Table1[IndicatorCode],Table1[[#This Row],[IndicatorCode]])</f>
        <v>7.6894248608534319</v>
      </c>
      <c r="I4016" cm="1">
        <f t="array" ref="I4016">_xlfn.STDEV.P(IF(Table1[IndicatorCode]=Table1[[#This Row],[IndicatorCode]],Table1[value]))</f>
        <v>5.2319501044600996</v>
      </c>
      <c r="J4016">
        <f>(Table1[[#This Row],[value]] - Table1[[#This Row],[mean]]) / Table1[[#This Row],[std_dev]]</f>
        <v>-0.7051720271010028</v>
      </c>
      <c r="K4016">
        <f>AVERAGEIF(Table1[CountryCode],Table1[[#This Row],[CountryCode]],Table1[z-score])</f>
        <v>-0.19691915896687051</v>
      </c>
      <c r="L4016" t="e">
        <f>VLOOKUP(Table1[[#This Row],[CountryCode]],[1]!Table1[#Data],4,FALSE)</f>
        <v>#REF!</v>
      </c>
    </row>
    <row r="4017" spans="1:12" hidden="1" x14ac:dyDescent="0.3">
      <c r="A4017" t="s">
        <v>97</v>
      </c>
      <c r="B4017" t="s">
        <v>98</v>
      </c>
      <c r="C4017" t="s">
        <v>125</v>
      </c>
      <c r="D4017" t="s">
        <v>126</v>
      </c>
      <c r="E4017">
        <v>2023</v>
      </c>
      <c r="F4017" s="1">
        <v>4</v>
      </c>
      <c r="G4017">
        <v>1970</v>
      </c>
      <c r="H4017">
        <f>AVERAGEIFS(Table1[value],Table1[IndicatorCode],Table1[[#This Row],[IndicatorCode]])</f>
        <v>7.6894248608534319</v>
      </c>
      <c r="I4017" cm="1">
        <f t="array" ref="I4017">_xlfn.STDEV.P(IF(Table1[IndicatorCode]=Table1[[#This Row],[IndicatorCode]],Table1[value]))</f>
        <v>5.2319501044600996</v>
      </c>
      <c r="J4017">
        <f>(Table1[[#This Row],[value]] - Table1[[#This Row],[mean]]) / Table1[[#This Row],[std_dev]]</f>
        <v>-0.7051720271010028</v>
      </c>
      <c r="K4017">
        <f>AVERAGEIF(Table1[CountryCode],Table1[[#This Row],[CountryCode]],Table1[z-score])</f>
        <v>-0.19691915896687051</v>
      </c>
      <c r="L4017" t="e">
        <f>VLOOKUP(Table1[[#This Row],[CountryCode]],[1]!Table1[#Data],4,FALSE)</f>
        <v>#REF!</v>
      </c>
    </row>
    <row r="4018" spans="1:12" hidden="1" x14ac:dyDescent="0.3">
      <c r="A4018" t="s">
        <v>97</v>
      </c>
      <c r="B4018" t="s">
        <v>98</v>
      </c>
      <c r="C4018" t="s">
        <v>125</v>
      </c>
      <c r="D4018" t="s">
        <v>126</v>
      </c>
      <c r="E4018">
        <v>2024</v>
      </c>
      <c r="F4018" s="1">
        <v>3</v>
      </c>
      <c r="G4018">
        <v>1970</v>
      </c>
      <c r="H4018">
        <f>AVERAGEIFS(Table1[value],Table1[IndicatorCode],Table1[[#This Row],[IndicatorCode]])</f>
        <v>7.6894248608534319</v>
      </c>
      <c r="I4018" cm="1">
        <f t="array" ref="I4018">_xlfn.STDEV.P(IF(Table1[IndicatorCode]=Table1[[#This Row],[IndicatorCode]],Table1[value]))</f>
        <v>5.2319501044600996</v>
      </c>
      <c r="J4018">
        <f>(Table1[[#This Row],[value]] - Table1[[#This Row],[mean]]) / Table1[[#This Row],[std_dev]]</f>
        <v>-0.89630534833576125</v>
      </c>
      <c r="K4018">
        <f>AVERAGEIF(Table1[CountryCode],Table1[[#This Row],[CountryCode]],Table1[z-score])</f>
        <v>-0.19691915896687051</v>
      </c>
      <c r="L4018" t="e">
        <f>VLOOKUP(Table1[[#This Row],[CountryCode]],[1]!Table1[#Data],4,FALSE)</f>
        <v>#REF!</v>
      </c>
    </row>
    <row r="4019" spans="1:12" hidden="1" x14ac:dyDescent="0.3">
      <c r="A4019" t="s">
        <v>99</v>
      </c>
      <c r="B4019" t="s">
        <v>100</v>
      </c>
      <c r="C4019" t="s">
        <v>125</v>
      </c>
      <c r="D4019" t="s">
        <v>126</v>
      </c>
      <c r="E4019">
        <v>1970</v>
      </c>
      <c r="F4019" s="1">
        <v>6</v>
      </c>
      <c r="G4019">
        <v>1970</v>
      </c>
      <c r="H4019">
        <f>AVERAGEIFS(Table1[value],Table1[IndicatorCode],Table1[[#This Row],[IndicatorCode]])</f>
        <v>7.6894248608534319</v>
      </c>
      <c r="I4019" cm="1">
        <f t="array" ref="I4019">_xlfn.STDEV.P(IF(Table1[IndicatorCode]=Table1[[#This Row],[IndicatorCode]],Table1[value]))</f>
        <v>5.2319501044600996</v>
      </c>
      <c r="J4019">
        <f>(Table1[[#This Row],[value]] - Table1[[#This Row],[mean]]) / Table1[[#This Row],[std_dev]]</f>
        <v>-0.32290538463148605</v>
      </c>
      <c r="K4019">
        <f>AVERAGEIF(Table1[CountryCode],Table1[[#This Row],[CountryCode]],Table1[z-score])</f>
        <v>-0.56629310735046812</v>
      </c>
      <c r="L4019" t="e">
        <f>VLOOKUP(Table1[[#This Row],[CountryCode]],[1]!Table1[#Data],4,FALSE)</f>
        <v>#REF!</v>
      </c>
    </row>
    <row r="4020" spans="1:12" hidden="1" x14ac:dyDescent="0.3">
      <c r="A4020" t="s">
        <v>99</v>
      </c>
      <c r="B4020" t="s">
        <v>100</v>
      </c>
      <c r="C4020" t="s">
        <v>125</v>
      </c>
      <c r="D4020" t="s">
        <v>126</v>
      </c>
      <c r="E4020">
        <v>1971</v>
      </c>
      <c r="F4020" s="1">
        <v>6</v>
      </c>
      <c r="G4020">
        <v>1970</v>
      </c>
      <c r="H4020">
        <f>AVERAGEIFS(Table1[value],Table1[IndicatorCode],Table1[[#This Row],[IndicatorCode]])</f>
        <v>7.6894248608534319</v>
      </c>
      <c r="I4020" cm="1">
        <f t="array" ref="I4020">_xlfn.STDEV.P(IF(Table1[IndicatorCode]=Table1[[#This Row],[IndicatorCode]],Table1[value]))</f>
        <v>5.2319501044600996</v>
      </c>
      <c r="J4020">
        <f>(Table1[[#This Row],[value]] - Table1[[#This Row],[mean]]) / Table1[[#This Row],[std_dev]]</f>
        <v>-0.32290538463148605</v>
      </c>
      <c r="K4020">
        <f>AVERAGEIF(Table1[CountryCode],Table1[[#This Row],[CountryCode]],Table1[z-score])</f>
        <v>-0.56629310735046812</v>
      </c>
      <c r="L4020" t="e">
        <f>VLOOKUP(Table1[[#This Row],[CountryCode]],[1]!Table1[#Data],4,FALSE)</f>
        <v>#REF!</v>
      </c>
    </row>
    <row r="4021" spans="1:12" hidden="1" x14ac:dyDescent="0.3">
      <c r="A4021" t="s">
        <v>99</v>
      </c>
      <c r="B4021" t="s">
        <v>100</v>
      </c>
      <c r="C4021" t="s">
        <v>125</v>
      </c>
      <c r="D4021" t="s">
        <v>126</v>
      </c>
      <c r="E4021">
        <v>1972</v>
      </c>
      <c r="F4021" s="1">
        <v>6</v>
      </c>
      <c r="G4021">
        <v>1970</v>
      </c>
      <c r="H4021">
        <f>AVERAGEIFS(Table1[value],Table1[IndicatorCode],Table1[[#This Row],[IndicatorCode]])</f>
        <v>7.6894248608534319</v>
      </c>
      <c r="I4021" cm="1">
        <f t="array" ref="I4021">_xlfn.STDEV.P(IF(Table1[IndicatorCode]=Table1[[#This Row],[IndicatorCode]],Table1[value]))</f>
        <v>5.2319501044600996</v>
      </c>
      <c r="J4021">
        <f>(Table1[[#This Row],[value]] - Table1[[#This Row],[mean]]) / Table1[[#This Row],[std_dev]]</f>
        <v>-0.32290538463148605</v>
      </c>
      <c r="K4021">
        <f>AVERAGEIF(Table1[CountryCode],Table1[[#This Row],[CountryCode]],Table1[z-score])</f>
        <v>-0.56629310735046812</v>
      </c>
      <c r="L4021" t="e">
        <f>VLOOKUP(Table1[[#This Row],[CountryCode]],[1]!Table1[#Data],4,FALSE)</f>
        <v>#REF!</v>
      </c>
    </row>
    <row r="4022" spans="1:12" hidden="1" x14ac:dyDescent="0.3">
      <c r="A4022" t="s">
        <v>99</v>
      </c>
      <c r="B4022" t="s">
        <v>100</v>
      </c>
      <c r="C4022" t="s">
        <v>125</v>
      </c>
      <c r="D4022" t="s">
        <v>126</v>
      </c>
      <c r="E4022">
        <v>1973</v>
      </c>
      <c r="F4022" s="1">
        <v>7</v>
      </c>
      <c r="G4022">
        <v>1970</v>
      </c>
      <c r="H4022">
        <f>AVERAGEIFS(Table1[value],Table1[IndicatorCode],Table1[[#This Row],[IndicatorCode]])</f>
        <v>7.6894248608534319</v>
      </c>
      <c r="I4022" cm="1">
        <f t="array" ref="I4022">_xlfn.STDEV.P(IF(Table1[IndicatorCode]=Table1[[#This Row],[IndicatorCode]],Table1[value]))</f>
        <v>5.2319501044600996</v>
      </c>
      <c r="J4022">
        <f>(Table1[[#This Row],[value]] - Table1[[#This Row],[mean]]) / Table1[[#This Row],[std_dev]]</f>
        <v>-0.13177206339672762</v>
      </c>
      <c r="K4022">
        <f>AVERAGEIF(Table1[CountryCode],Table1[[#This Row],[CountryCode]],Table1[z-score])</f>
        <v>-0.56629310735046812</v>
      </c>
      <c r="L4022" t="e">
        <f>VLOOKUP(Table1[[#This Row],[CountryCode]],[1]!Table1[#Data],4,FALSE)</f>
        <v>#REF!</v>
      </c>
    </row>
    <row r="4023" spans="1:12" hidden="1" x14ac:dyDescent="0.3">
      <c r="A4023" t="s">
        <v>99</v>
      </c>
      <c r="B4023" t="s">
        <v>100</v>
      </c>
      <c r="C4023" t="s">
        <v>125</v>
      </c>
      <c r="D4023" t="s">
        <v>126</v>
      </c>
      <c r="E4023">
        <v>1974</v>
      </c>
      <c r="F4023" s="1">
        <v>7</v>
      </c>
      <c r="G4023">
        <v>1970</v>
      </c>
      <c r="H4023">
        <f>AVERAGEIFS(Table1[value],Table1[IndicatorCode],Table1[[#This Row],[IndicatorCode]])</f>
        <v>7.6894248608534319</v>
      </c>
      <c r="I4023" cm="1">
        <f t="array" ref="I4023">_xlfn.STDEV.P(IF(Table1[IndicatorCode]=Table1[[#This Row],[IndicatorCode]],Table1[value]))</f>
        <v>5.2319501044600996</v>
      </c>
      <c r="J4023">
        <f>(Table1[[#This Row],[value]] - Table1[[#This Row],[mean]]) / Table1[[#This Row],[std_dev]]</f>
        <v>-0.13177206339672762</v>
      </c>
      <c r="K4023">
        <f>AVERAGEIF(Table1[CountryCode],Table1[[#This Row],[CountryCode]],Table1[z-score])</f>
        <v>-0.56629310735046812</v>
      </c>
      <c r="L4023" t="e">
        <f>VLOOKUP(Table1[[#This Row],[CountryCode]],[1]!Table1[#Data],4,FALSE)</f>
        <v>#REF!</v>
      </c>
    </row>
    <row r="4024" spans="1:12" hidden="1" x14ac:dyDescent="0.3">
      <c r="A4024" t="s">
        <v>99</v>
      </c>
      <c r="B4024" t="s">
        <v>100</v>
      </c>
      <c r="C4024" t="s">
        <v>125</v>
      </c>
      <c r="D4024" t="s">
        <v>126</v>
      </c>
      <c r="E4024">
        <v>1975</v>
      </c>
      <c r="F4024" s="1">
        <v>7</v>
      </c>
      <c r="G4024">
        <v>1970</v>
      </c>
      <c r="H4024">
        <f>AVERAGEIFS(Table1[value],Table1[IndicatorCode],Table1[[#This Row],[IndicatorCode]])</f>
        <v>7.6894248608534319</v>
      </c>
      <c r="I4024" cm="1">
        <f t="array" ref="I4024">_xlfn.STDEV.P(IF(Table1[IndicatorCode]=Table1[[#This Row],[IndicatorCode]],Table1[value]))</f>
        <v>5.2319501044600996</v>
      </c>
      <c r="J4024">
        <f>(Table1[[#This Row],[value]] - Table1[[#This Row],[mean]]) / Table1[[#This Row],[std_dev]]</f>
        <v>-0.13177206339672762</v>
      </c>
      <c r="K4024">
        <f>AVERAGEIF(Table1[CountryCode],Table1[[#This Row],[CountryCode]],Table1[z-score])</f>
        <v>-0.56629310735046812</v>
      </c>
      <c r="L4024" t="e">
        <f>VLOOKUP(Table1[[#This Row],[CountryCode]],[1]!Table1[#Data],4,FALSE)</f>
        <v>#REF!</v>
      </c>
    </row>
    <row r="4025" spans="1:12" hidden="1" x14ac:dyDescent="0.3">
      <c r="A4025" t="s">
        <v>99</v>
      </c>
      <c r="B4025" t="s">
        <v>100</v>
      </c>
      <c r="C4025" t="s">
        <v>125</v>
      </c>
      <c r="D4025" t="s">
        <v>126</v>
      </c>
      <c r="E4025">
        <v>1976</v>
      </c>
      <c r="F4025" s="1">
        <v>8</v>
      </c>
      <c r="G4025">
        <v>1970</v>
      </c>
      <c r="H4025">
        <f>AVERAGEIFS(Table1[value],Table1[IndicatorCode],Table1[[#This Row],[IndicatorCode]])</f>
        <v>7.6894248608534319</v>
      </c>
      <c r="I4025" cm="1">
        <f t="array" ref="I4025">_xlfn.STDEV.P(IF(Table1[IndicatorCode]=Table1[[#This Row],[IndicatorCode]],Table1[value]))</f>
        <v>5.2319501044600996</v>
      </c>
      <c r="J4025">
        <f>(Table1[[#This Row],[value]] - Table1[[#This Row],[mean]]) / Table1[[#This Row],[std_dev]]</f>
        <v>5.9361257838030791E-2</v>
      </c>
      <c r="K4025">
        <f>AVERAGEIF(Table1[CountryCode],Table1[[#This Row],[CountryCode]],Table1[z-score])</f>
        <v>-0.56629310735046812</v>
      </c>
      <c r="L4025" t="e">
        <f>VLOOKUP(Table1[[#This Row],[CountryCode]],[1]!Table1[#Data],4,FALSE)</f>
        <v>#REF!</v>
      </c>
    </row>
    <row r="4026" spans="1:12" hidden="1" x14ac:dyDescent="0.3">
      <c r="A4026" t="s">
        <v>99</v>
      </c>
      <c r="B4026" t="s">
        <v>100</v>
      </c>
      <c r="C4026" t="s">
        <v>125</v>
      </c>
      <c r="D4026" t="s">
        <v>126</v>
      </c>
      <c r="E4026">
        <v>1977</v>
      </c>
      <c r="F4026" s="1">
        <v>8</v>
      </c>
      <c r="G4026">
        <v>1980</v>
      </c>
      <c r="H4026">
        <f>AVERAGEIFS(Table1[value],Table1[IndicatorCode],Table1[[#This Row],[IndicatorCode]])</f>
        <v>7.6894248608534319</v>
      </c>
      <c r="I4026" cm="1">
        <f t="array" ref="I4026">_xlfn.STDEV.P(IF(Table1[IndicatorCode]=Table1[[#This Row],[IndicatorCode]],Table1[value]))</f>
        <v>5.2319501044600996</v>
      </c>
      <c r="J4026">
        <f>(Table1[[#This Row],[value]] - Table1[[#This Row],[mean]]) / Table1[[#This Row],[std_dev]]</f>
        <v>5.9361257838030791E-2</v>
      </c>
      <c r="K4026">
        <f>AVERAGEIF(Table1[CountryCode],Table1[[#This Row],[CountryCode]],Table1[z-score])</f>
        <v>-0.56629310735046812</v>
      </c>
      <c r="L4026" t="e">
        <f>VLOOKUP(Table1[[#This Row],[CountryCode]],[1]!Table1[#Data],4,FALSE)</f>
        <v>#REF!</v>
      </c>
    </row>
    <row r="4027" spans="1:12" hidden="1" x14ac:dyDescent="0.3">
      <c r="A4027" t="s">
        <v>99</v>
      </c>
      <c r="B4027" t="s">
        <v>100</v>
      </c>
      <c r="C4027" t="s">
        <v>125</v>
      </c>
      <c r="D4027" t="s">
        <v>126</v>
      </c>
      <c r="E4027">
        <v>1978</v>
      </c>
      <c r="F4027" s="1">
        <v>9</v>
      </c>
      <c r="G4027">
        <v>1980</v>
      </c>
      <c r="H4027">
        <f>AVERAGEIFS(Table1[value],Table1[IndicatorCode],Table1[[#This Row],[IndicatorCode]])</f>
        <v>7.6894248608534319</v>
      </c>
      <c r="I4027" cm="1">
        <f t="array" ref="I4027">_xlfn.STDEV.P(IF(Table1[IndicatorCode]=Table1[[#This Row],[IndicatorCode]],Table1[value]))</f>
        <v>5.2319501044600996</v>
      </c>
      <c r="J4027">
        <f>(Table1[[#This Row],[value]] - Table1[[#This Row],[mean]]) / Table1[[#This Row],[std_dev]]</f>
        <v>0.25049457907278921</v>
      </c>
      <c r="K4027">
        <f>AVERAGEIF(Table1[CountryCode],Table1[[#This Row],[CountryCode]],Table1[z-score])</f>
        <v>-0.56629310735046812</v>
      </c>
      <c r="L4027" t="e">
        <f>VLOOKUP(Table1[[#This Row],[CountryCode]],[1]!Table1[#Data],4,FALSE)</f>
        <v>#REF!</v>
      </c>
    </row>
    <row r="4028" spans="1:12" hidden="1" x14ac:dyDescent="0.3">
      <c r="A4028" t="s">
        <v>99</v>
      </c>
      <c r="B4028" t="s">
        <v>100</v>
      </c>
      <c r="C4028" t="s">
        <v>125</v>
      </c>
      <c r="D4028" t="s">
        <v>126</v>
      </c>
      <c r="E4028">
        <v>1979</v>
      </c>
      <c r="F4028" s="1">
        <v>9</v>
      </c>
      <c r="G4028">
        <v>1980</v>
      </c>
      <c r="H4028">
        <f>AVERAGEIFS(Table1[value],Table1[IndicatorCode],Table1[[#This Row],[IndicatorCode]])</f>
        <v>7.6894248608534319</v>
      </c>
      <c r="I4028" cm="1">
        <f t="array" ref="I4028">_xlfn.STDEV.P(IF(Table1[IndicatorCode]=Table1[[#This Row],[IndicatorCode]],Table1[value]))</f>
        <v>5.2319501044600996</v>
      </c>
      <c r="J4028">
        <f>(Table1[[#This Row],[value]] - Table1[[#This Row],[mean]]) / Table1[[#This Row],[std_dev]]</f>
        <v>0.25049457907278921</v>
      </c>
      <c r="K4028">
        <f>AVERAGEIF(Table1[CountryCode],Table1[[#This Row],[CountryCode]],Table1[z-score])</f>
        <v>-0.56629310735046812</v>
      </c>
      <c r="L4028" t="e">
        <f>VLOOKUP(Table1[[#This Row],[CountryCode]],[1]!Table1[#Data],4,FALSE)</f>
        <v>#REF!</v>
      </c>
    </row>
    <row r="4029" spans="1:12" hidden="1" x14ac:dyDescent="0.3">
      <c r="A4029" t="s">
        <v>99</v>
      </c>
      <c r="B4029" t="s">
        <v>100</v>
      </c>
      <c r="C4029" t="s">
        <v>125</v>
      </c>
      <c r="D4029" t="s">
        <v>126</v>
      </c>
      <c r="E4029">
        <v>1980</v>
      </c>
      <c r="F4029" s="1">
        <v>9</v>
      </c>
      <c r="G4029">
        <v>1980</v>
      </c>
      <c r="H4029">
        <f>AVERAGEIFS(Table1[value],Table1[IndicatorCode],Table1[[#This Row],[IndicatorCode]])</f>
        <v>7.6894248608534319</v>
      </c>
      <c r="I4029" cm="1">
        <f t="array" ref="I4029">_xlfn.STDEV.P(IF(Table1[IndicatorCode]=Table1[[#This Row],[IndicatorCode]],Table1[value]))</f>
        <v>5.2319501044600996</v>
      </c>
      <c r="J4029">
        <f>(Table1[[#This Row],[value]] - Table1[[#This Row],[mean]]) / Table1[[#This Row],[std_dev]]</f>
        <v>0.25049457907278921</v>
      </c>
      <c r="K4029">
        <f>AVERAGEIF(Table1[CountryCode],Table1[[#This Row],[CountryCode]],Table1[z-score])</f>
        <v>-0.56629310735046812</v>
      </c>
      <c r="L4029" t="e">
        <f>VLOOKUP(Table1[[#This Row],[CountryCode]],[1]!Table1[#Data],4,FALSE)</f>
        <v>#REF!</v>
      </c>
    </row>
    <row r="4030" spans="1:12" hidden="1" x14ac:dyDescent="0.3">
      <c r="A4030" t="s">
        <v>99</v>
      </c>
      <c r="B4030" t="s">
        <v>100</v>
      </c>
      <c r="C4030" t="s">
        <v>125</v>
      </c>
      <c r="D4030" t="s">
        <v>126</v>
      </c>
      <c r="E4030">
        <v>1981</v>
      </c>
      <c r="F4030" s="1">
        <v>9</v>
      </c>
      <c r="G4030">
        <v>1980</v>
      </c>
      <c r="H4030">
        <f>AVERAGEIFS(Table1[value],Table1[IndicatorCode],Table1[[#This Row],[IndicatorCode]])</f>
        <v>7.6894248608534319</v>
      </c>
      <c r="I4030" cm="1">
        <f t="array" ref="I4030">_xlfn.STDEV.P(IF(Table1[IndicatorCode]=Table1[[#This Row],[IndicatorCode]],Table1[value]))</f>
        <v>5.2319501044600996</v>
      </c>
      <c r="J4030">
        <f>(Table1[[#This Row],[value]] - Table1[[#This Row],[mean]]) / Table1[[#This Row],[std_dev]]</f>
        <v>0.25049457907278921</v>
      </c>
      <c r="K4030">
        <f>AVERAGEIF(Table1[CountryCode],Table1[[#This Row],[CountryCode]],Table1[z-score])</f>
        <v>-0.56629310735046812</v>
      </c>
      <c r="L4030" t="e">
        <f>VLOOKUP(Table1[[#This Row],[CountryCode]],[1]!Table1[#Data],4,FALSE)</f>
        <v>#REF!</v>
      </c>
    </row>
    <row r="4031" spans="1:12" hidden="1" x14ac:dyDescent="0.3">
      <c r="A4031" t="s">
        <v>99</v>
      </c>
      <c r="B4031" t="s">
        <v>100</v>
      </c>
      <c r="C4031" t="s">
        <v>125</v>
      </c>
      <c r="D4031" t="s">
        <v>126</v>
      </c>
      <c r="E4031">
        <v>1982</v>
      </c>
      <c r="F4031" s="1">
        <v>9</v>
      </c>
      <c r="G4031">
        <v>1980</v>
      </c>
      <c r="H4031">
        <f>AVERAGEIFS(Table1[value],Table1[IndicatorCode],Table1[[#This Row],[IndicatorCode]])</f>
        <v>7.6894248608534319</v>
      </c>
      <c r="I4031" cm="1">
        <f t="array" ref="I4031">_xlfn.STDEV.P(IF(Table1[IndicatorCode]=Table1[[#This Row],[IndicatorCode]],Table1[value]))</f>
        <v>5.2319501044600996</v>
      </c>
      <c r="J4031">
        <f>(Table1[[#This Row],[value]] - Table1[[#This Row],[mean]]) / Table1[[#This Row],[std_dev]]</f>
        <v>0.25049457907278921</v>
      </c>
      <c r="K4031">
        <f>AVERAGEIF(Table1[CountryCode],Table1[[#This Row],[CountryCode]],Table1[z-score])</f>
        <v>-0.56629310735046812</v>
      </c>
      <c r="L4031" t="e">
        <f>VLOOKUP(Table1[[#This Row],[CountryCode]],[1]!Table1[#Data],4,FALSE)</f>
        <v>#REF!</v>
      </c>
    </row>
    <row r="4032" spans="1:12" hidden="1" x14ac:dyDescent="0.3">
      <c r="A4032" t="s">
        <v>99</v>
      </c>
      <c r="B4032" t="s">
        <v>100</v>
      </c>
      <c r="C4032" t="s">
        <v>125</v>
      </c>
      <c r="D4032" t="s">
        <v>126</v>
      </c>
      <c r="E4032">
        <v>1983</v>
      </c>
      <c r="F4032" s="1">
        <v>9</v>
      </c>
      <c r="G4032">
        <v>1980</v>
      </c>
      <c r="H4032">
        <f>AVERAGEIFS(Table1[value],Table1[IndicatorCode],Table1[[#This Row],[IndicatorCode]])</f>
        <v>7.6894248608534319</v>
      </c>
      <c r="I4032" cm="1">
        <f t="array" ref="I4032">_xlfn.STDEV.P(IF(Table1[IndicatorCode]=Table1[[#This Row],[IndicatorCode]],Table1[value]))</f>
        <v>5.2319501044600996</v>
      </c>
      <c r="J4032">
        <f>(Table1[[#This Row],[value]] - Table1[[#This Row],[mean]]) / Table1[[#This Row],[std_dev]]</f>
        <v>0.25049457907278921</v>
      </c>
      <c r="K4032">
        <f>AVERAGEIF(Table1[CountryCode],Table1[[#This Row],[CountryCode]],Table1[z-score])</f>
        <v>-0.56629310735046812</v>
      </c>
      <c r="L4032" t="e">
        <f>VLOOKUP(Table1[[#This Row],[CountryCode]],[1]!Table1[#Data],4,FALSE)</f>
        <v>#REF!</v>
      </c>
    </row>
    <row r="4033" spans="1:12" hidden="1" x14ac:dyDescent="0.3">
      <c r="A4033" t="s">
        <v>99</v>
      </c>
      <c r="B4033" t="s">
        <v>100</v>
      </c>
      <c r="C4033" t="s">
        <v>125</v>
      </c>
      <c r="D4033" t="s">
        <v>126</v>
      </c>
      <c r="E4033">
        <v>1984</v>
      </c>
      <c r="F4033" s="1">
        <v>9</v>
      </c>
      <c r="G4033">
        <v>1980</v>
      </c>
      <c r="H4033">
        <f>AVERAGEIFS(Table1[value],Table1[IndicatorCode],Table1[[#This Row],[IndicatorCode]])</f>
        <v>7.6894248608534319</v>
      </c>
      <c r="I4033" cm="1">
        <f t="array" ref="I4033">_xlfn.STDEV.P(IF(Table1[IndicatorCode]=Table1[[#This Row],[IndicatorCode]],Table1[value]))</f>
        <v>5.2319501044600996</v>
      </c>
      <c r="J4033">
        <f>(Table1[[#This Row],[value]] - Table1[[#This Row],[mean]]) / Table1[[#This Row],[std_dev]]</f>
        <v>0.25049457907278921</v>
      </c>
      <c r="K4033">
        <f>AVERAGEIF(Table1[CountryCode],Table1[[#This Row],[CountryCode]],Table1[z-score])</f>
        <v>-0.56629310735046812</v>
      </c>
      <c r="L4033" t="e">
        <f>VLOOKUP(Table1[[#This Row],[CountryCode]],[1]!Table1[#Data],4,FALSE)</f>
        <v>#REF!</v>
      </c>
    </row>
    <row r="4034" spans="1:12" hidden="1" x14ac:dyDescent="0.3">
      <c r="A4034" t="s">
        <v>99</v>
      </c>
      <c r="B4034" t="s">
        <v>100</v>
      </c>
      <c r="C4034" t="s">
        <v>125</v>
      </c>
      <c r="D4034" t="s">
        <v>126</v>
      </c>
      <c r="E4034">
        <v>1985</v>
      </c>
      <c r="F4034" s="1">
        <v>9</v>
      </c>
      <c r="G4034">
        <v>1980</v>
      </c>
      <c r="H4034">
        <f>AVERAGEIFS(Table1[value],Table1[IndicatorCode],Table1[[#This Row],[IndicatorCode]])</f>
        <v>7.6894248608534319</v>
      </c>
      <c r="I4034" cm="1">
        <f t="array" ref="I4034">_xlfn.STDEV.P(IF(Table1[IndicatorCode]=Table1[[#This Row],[IndicatorCode]],Table1[value]))</f>
        <v>5.2319501044600996</v>
      </c>
      <c r="J4034">
        <f>(Table1[[#This Row],[value]] - Table1[[#This Row],[mean]]) / Table1[[#This Row],[std_dev]]</f>
        <v>0.25049457907278921</v>
      </c>
      <c r="K4034">
        <f>AVERAGEIF(Table1[CountryCode],Table1[[#This Row],[CountryCode]],Table1[z-score])</f>
        <v>-0.56629310735046812</v>
      </c>
      <c r="L4034" t="e">
        <f>VLOOKUP(Table1[[#This Row],[CountryCode]],[1]!Table1[#Data],4,FALSE)</f>
        <v>#REF!</v>
      </c>
    </row>
    <row r="4035" spans="1:12" hidden="1" x14ac:dyDescent="0.3">
      <c r="A4035" t="s">
        <v>99</v>
      </c>
      <c r="B4035" t="s">
        <v>100</v>
      </c>
      <c r="C4035" t="s">
        <v>125</v>
      </c>
      <c r="D4035" t="s">
        <v>126</v>
      </c>
      <c r="E4035">
        <v>1986</v>
      </c>
      <c r="F4035" s="1">
        <v>9</v>
      </c>
      <c r="G4035">
        <v>1980</v>
      </c>
      <c r="H4035">
        <f>AVERAGEIFS(Table1[value],Table1[IndicatorCode],Table1[[#This Row],[IndicatorCode]])</f>
        <v>7.6894248608534319</v>
      </c>
      <c r="I4035" cm="1">
        <f t="array" ref="I4035">_xlfn.STDEV.P(IF(Table1[IndicatorCode]=Table1[[#This Row],[IndicatorCode]],Table1[value]))</f>
        <v>5.2319501044600996</v>
      </c>
      <c r="J4035">
        <f>(Table1[[#This Row],[value]] - Table1[[#This Row],[mean]]) / Table1[[#This Row],[std_dev]]</f>
        <v>0.25049457907278921</v>
      </c>
      <c r="K4035">
        <f>AVERAGEIF(Table1[CountryCode],Table1[[#This Row],[CountryCode]],Table1[z-score])</f>
        <v>-0.56629310735046812</v>
      </c>
      <c r="L4035" t="e">
        <f>VLOOKUP(Table1[[#This Row],[CountryCode]],[1]!Table1[#Data],4,FALSE)</f>
        <v>#REF!</v>
      </c>
    </row>
    <row r="4036" spans="1:12" hidden="1" x14ac:dyDescent="0.3">
      <c r="A4036" t="s">
        <v>99</v>
      </c>
      <c r="B4036" t="s">
        <v>100</v>
      </c>
      <c r="C4036" t="s">
        <v>125</v>
      </c>
      <c r="D4036" t="s">
        <v>126</v>
      </c>
      <c r="E4036">
        <v>1987</v>
      </c>
      <c r="F4036" s="1">
        <v>9</v>
      </c>
      <c r="G4036">
        <v>1990</v>
      </c>
      <c r="H4036">
        <f>AVERAGEIFS(Table1[value],Table1[IndicatorCode],Table1[[#This Row],[IndicatorCode]])</f>
        <v>7.6894248608534319</v>
      </c>
      <c r="I4036" cm="1">
        <f t="array" ref="I4036">_xlfn.STDEV.P(IF(Table1[IndicatorCode]=Table1[[#This Row],[IndicatorCode]],Table1[value]))</f>
        <v>5.2319501044600996</v>
      </c>
      <c r="J4036">
        <f>(Table1[[#This Row],[value]] - Table1[[#This Row],[mean]]) / Table1[[#This Row],[std_dev]]</f>
        <v>0.25049457907278921</v>
      </c>
      <c r="K4036">
        <f>AVERAGEIF(Table1[CountryCode],Table1[[#This Row],[CountryCode]],Table1[z-score])</f>
        <v>-0.56629310735046812</v>
      </c>
      <c r="L4036" t="e">
        <f>VLOOKUP(Table1[[#This Row],[CountryCode]],[1]!Table1[#Data],4,FALSE)</f>
        <v>#REF!</v>
      </c>
    </row>
    <row r="4037" spans="1:12" hidden="1" x14ac:dyDescent="0.3">
      <c r="A4037" t="s">
        <v>99</v>
      </c>
      <c r="B4037" t="s">
        <v>100</v>
      </c>
      <c r="C4037" t="s">
        <v>125</v>
      </c>
      <c r="D4037" t="s">
        <v>126</v>
      </c>
      <c r="E4037">
        <v>1988</v>
      </c>
      <c r="F4037" s="1">
        <v>9</v>
      </c>
      <c r="G4037">
        <v>1990</v>
      </c>
      <c r="H4037">
        <f>AVERAGEIFS(Table1[value],Table1[IndicatorCode],Table1[[#This Row],[IndicatorCode]])</f>
        <v>7.6894248608534319</v>
      </c>
      <c r="I4037" cm="1">
        <f t="array" ref="I4037">_xlfn.STDEV.P(IF(Table1[IndicatorCode]=Table1[[#This Row],[IndicatorCode]],Table1[value]))</f>
        <v>5.2319501044600996</v>
      </c>
      <c r="J4037">
        <f>(Table1[[#This Row],[value]] - Table1[[#This Row],[mean]]) / Table1[[#This Row],[std_dev]]</f>
        <v>0.25049457907278921</v>
      </c>
      <c r="K4037">
        <f>AVERAGEIF(Table1[CountryCode],Table1[[#This Row],[CountryCode]],Table1[z-score])</f>
        <v>-0.56629310735046812</v>
      </c>
      <c r="L4037" t="e">
        <f>VLOOKUP(Table1[[#This Row],[CountryCode]],[1]!Table1[#Data],4,FALSE)</f>
        <v>#REF!</v>
      </c>
    </row>
    <row r="4038" spans="1:12" hidden="1" x14ac:dyDescent="0.3">
      <c r="A4038" t="s">
        <v>99</v>
      </c>
      <c r="B4038" t="s">
        <v>100</v>
      </c>
      <c r="C4038" t="s">
        <v>125</v>
      </c>
      <c r="D4038" t="s">
        <v>126</v>
      </c>
      <c r="E4038">
        <v>1989</v>
      </c>
      <c r="F4038" s="1">
        <v>9</v>
      </c>
      <c r="G4038">
        <v>1990</v>
      </c>
      <c r="H4038">
        <f>AVERAGEIFS(Table1[value],Table1[IndicatorCode],Table1[[#This Row],[IndicatorCode]])</f>
        <v>7.6894248608534319</v>
      </c>
      <c r="I4038" cm="1">
        <f t="array" ref="I4038">_xlfn.STDEV.P(IF(Table1[IndicatorCode]=Table1[[#This Row],[IndicatorCode]],Table1[value]))</f>
        <v>5.2319501044600996</v>
      </c>
      <c r="J4038">
        <f>(Table1[[#This Row],[value]] - Table1[[#This Row],[mean]]) / Table1[[#This Row],[std_dev]]</f>
        <v>0.25049457907278921</v>
      </c>
      <c r="K4038">
        <f>AVERAGEIF(Table1[CountryCode],Table1[[#This Row],[CountryCode]],Table1[z-score])</f>
        <v>-0.56629310735046812</v>
      </c>
      <c r="L4038" t="e">
        <f>VLOOKUP(Table1[[#This Row],[CountryCode]],[1]!Table1[#Data],4,FALSE)</f>
        <v>#REF!</v>
      </c>
    </row>
    <row r="4039" spans="1:12" hidden="1" x14ac:dyDescent="0.3">
      <c r="A4039" t="s">
        <v>99</v>
      </c>
      <c r="B4039" t="s">
        <v>100</v>
      </c>
      <c r="C4039" t="s">
        <v>125</v>
      </c>
      <c r="D4039" t="s">
        <v>126</v>
      </c>
      <c r="E4039">
        <v>1990</v>
      </c>
      <c r="F4039" s="1">
        <v>8</v>
      </c>
      <c r="G4039">
        <v>1990</v>
      </c>
      <c r="H4039">
        <f>AVERAGEIFS(Table1[value],Table1[IndicatorCode],Table1[[#This Row],[IndicatorCode]])</f>
        <v>7.6894248608534319</v>
      </c>
      <c r="I4039" cm="1">
        <f t="array" ref="I4039">_xlfn.STDEV.P(IF(Table1[IndicatorCode]=Table1[[#This Row],[IndicatorCode]],Table1[value]))</f>
        <v>5.2319501044600996</v>
      </c>
      <c r="J4039">
        <f>(Table1[[#This Row],[value]] - Table1[[#This Row],[mean]]) / Table1[[#This Row],[std_dev]]</f>
        <v>5.9361257838030791E-2</v>
      </c>
      <c r="K4039">
        <f>AVERAGEIF(Table1[CountryCode],Table1[[#This Row],[CountryCode]],Table1[z-score])</f>
        <v>-0.56629310735046812</v>
      </c>
      <c r="L4039" t="e">
        <f>VLOOKUP(Table1[[#This Row],[CountryCode]],[1]!Table1[#Data],4,FALSE)</f>
        <v>#REF!</v>
      </c>
    </row>
    <row r="4040" spans="1:12" hidden="1" x14ac:dyDescent="0.3">
      <c r="A4040" t="s">
        <v>99</v>
      </c>
      <c r="B4040" t="s">
        <v>100</v>
      </c>
      <c r="C4040" t="s">
        <v>125</v>
      </c>
      <c r="D4040" t="s">
        <v>126</v>
      </c>
      <c r="E4040">
        <v>1991</v>
      </c>
      <c r="F4040" s="1">
        <v>7</v>
      </c>
      <c r="G4040">
        <v>1990</v>
      </c>
      <c r="H4040">
        <f>AVERAGEIFS(Table1[value],Table1[IndicatorCode],Table1[[#This Row],[IndicatorCode]])</f>
        <v>7.6894248608534319</v>
      </c>
      <c r="I4040" cm="1">
        <f t="array" ref="I4040">_xlfn.STDEV.P(IF(Table1[IndicatorCode]=Table1[[#This Row],[IndicatorCode]],Table1[value]))</f>
        <v>5.2319501044600996</v>
      </c>
      <c r="J4040">
        <f>(Table1[[#This Row],[value]] - Table1[[#This Row],[mean]]) / Table1[[#This Row],[std_dev]]</f>
        <v>-0.13177206339672762</v>
      </c>
      <c r="K4040">
        <f>AVERAGEIF(Table1[CountryCode],Table1[[#This Row],[CountryCode]],Table1[z-score])</f>
        <v>-0.56629310735046812</v>
      </c>
      <c r="L4040" t="e">
        <f>VLOOKUP(Table1[[#This Row],[CountryCode]],[1]!Table1[#Data],4,FALSE)</f>
        <v>#REF!</v>
      </c>
    </row>
    <row r="4041" spans="1:12" hidden="1" x14ac:dyDescent="0.3">
      <c r="A4041" t="s">
        <v>99</v>
      </c>
      <c r="B4041" t="s">
        <v>100</v>
      </c>
      <c r="C4041" t="s">
        <v>125</v>
      </c>
      <c r="D4041" t="s">
        <v>126</v>
      </c>
      <c r="E4041">
        <v>1992</v>
      </c>
      <c r="F4041" s="1">
        <v>6</v>
      </c>
      <c r="G4041">
        <v>1990</v>
      </c>
      <c r="H4041">
        <f>AVERAGEIFS(Table1[value],Table1[IndicatorCode],Table1[[#This Row],[IndicatorCode]])</f>
        <v>7.6894248608534319</v>
      </c>
      <c r="I4041" cm="1">
        <f t="array" ref="I4041">_xlfn.STDEV.P(IF(Table1[IndicatorCode]=Table1[[#This Row],[IndicatorCode]],Table1[value]))</f>
        <v>5.2319501044600996</v>
      </c>
      <c r="J4041">
        <f>(Table1[[#This Row],[value]] - Table1[[#This Row],[mean]]) / Table1[[#This Row],[std_dev]]</f>
        <v>-0.32290538463148605</v>
      </c>
      <c r="K4041">
        <f>AVERAGEIF(Table1[CountryCode],Table1[[#This Row],[CountryCode]],Table1[z-score])</f>
        <v>-0.56629310735046812</v>
      </c>
      <c r="L4041" t="e">
        <f>VLOOKUP(Table1[[#This Row],[CountryCode]],[1]!Table1[#Data],4,FALSE)</f>
        <v>#REF!</v>
      </c>
    </row>
    <row r="4042" spans="1:12" hidden="1" x14ac:dyDescent="0.3">
      <c r="A4042" t="s">
        <v>99</v>
      </c>
      <c r="B4042" t="s">
        <v>100</v>
      </c>
      <c r="C4042" t="s">
        <v>125</v>
      </c>
      <c r="D4042" t="s">
        <v>126</v>
      </c>
      <c r="E4042">
        <v>1993</v>
      </c>
      <c r="F4042" s="1">
        <v>6</v>
      </c>
      <c r="G4042">
        <v>1990</v>
      </c>
      <c r="H4042">
        <f>AVERAGEIFS(Table1[value],Table1[IndicatorCode],Table1[[#This Row],[IndicatorCode]])</f>
        <v>7.6894248608534319</v>
      </c>
      <c r="I4042" cm="1">
        <f t="array" ref="I4042">_xlfn.STDEV.P(IF(Table1[IndicatorCode]=Table1[[#This Row],[IndicatorCode]],Table1[value]))</f>
        <v>5.2319501044600996</v>
      </c>
      <c r="J4042">
        <f>(Table1[[#This Row],[value]] - Table1[[#This Row],[mean]]) / Table1[[#This Row],[std_dev]]</f>
        <v>-0.32290538463148605</v>
      </c>
      <c r="K4042">
        <f>AVERAGEIF(Table1[CountryCode],Table1[[#This Row],[CountryCode]],Table1[z-score])</f>
        <v>-0.56629310735046812</v>
      </c>
      <c r="L4042" t="e">
        <f>VLOOKUP(Table1[[#This Row],[CountryCode]],[1]!Table1[#Data],4,FALSE)</f>
        <v>#REF!</v>
      </c>
    </row>
    <row r="4043" spans="1:12" hidden="1" x14ac:dyDescent="0.3">
      <c r="A4043" t="s">
        <v>99</v>
      </c>
      <c r="B4043" t="s">
        <v>100</v>
      </c>
      <c r="C4043" t="s">
        <v>125</v>
      </c>
      <c r="D4043" t="s">
        <v>126</v>
      </c>
      <c r="E4043">
        <v>1994</v>
      </c>
      <c r="F4043" s="1">
        <v>6</v>
      </c>
      <c r="G4043">
        <v>1990</v>
      </c>
      <c r="H4043">
        <f>AVERAGEIFS(Table1[value],Table1[IndicatorCode],Table1[[#This Row],[IndicatorCode]])</f>
        <v>7.6894248608534319</v>
      </c>
      <c r="I4043" cm="1">
        <f t="array" ref="I4043">_xlfn.STDEV.P(IF(Table1[IndicatorCode]=Table1[[#This Row],[IndicatorCode]],Table1[value]))</f>
        <v>5.2319501044600996</v>
      </c>
      <c r="J4043">
        <f>(Table1[[#This Row],[value]] - Table1[[#This Row],[mean]]) / Table1[[#This Row],[std_dev]]</f>
        <v>-0.32290538463148605</v>
      </c>
      <c r="K4043">
        <f>AVERAGEIF(Table1[CountryCode],Table1[[#This Row],[CountryCode]],Table1[z-score])</f>
        <v>-0.56629310735046812</v>
      </c>
      <c r="L4043" t="e">
        <f>VLOOKUP(Table1[[#This Row],[CountryCode]],[1]!Table1[#Data],4,FALSE)</f>
        <v>#REF!</v>
      </c>
    </row>
    <row r="4044" spans="1:12" hidden="1" x14ac:dyDescent="0.3">
      <c r="A4044" t="s">
        <v>99</v>
      </c>
      <c r="B4044" t="s">
        <v>100</v>
      </c>
      <c r="C4044" t="s">
        <v>125</v>
      </c>
      <c r="D4044" t="s">
        <v>126</v>
      </c>
      <c r="E4044">
        <v>1995</v>
      </c>
      <c r="F4044" s="1">
        <v>6</v>
      </c>
      <c r="G4044">
        <v>1990</v>
      </c>
      <c r="H4044">
        <f>AVERAGEIFS(Table1[value],Table1[IndicatorCode],Table1[[#This Row],[IndicatorCode]])</f>
        <v>7.6894248608534319</v>
      </c>
      <c r="I4044" cm="1">
        <f t="array" ref="I4044">_xlfn.STDEV.P(IF(Table1[IndicatorCode]=Table1[[#This Row],[IndicatorCode]],Table1[value]))</f>
        <v>5.2319501044600996</v>
      </c>
      <c r="J4044">
        <f>(Table1[[#This Row],[value]] - Table1[[#This Row],[mean]]) / Table1[[#This Row],[std_dev]]</f>
        <v>-0.32290538463148605</v>
      </c>
      <c r="K4044">
        <f>AVERAGEIF(Table1[CountryCode],Table1[[#This Row],[CountryCode]],Table1[z-score])</f>
        <v>-0.56629310735046812</v>
      </c>
      <c r="L4044" t="e">
        <f>VLOOKUP(Table1[[#This Row],[CountryCode]],[1]!Table1[#Data],4,FALSE)</f>
        <v>#REF!</v>
      </c>
    </row>
    <row r="4045" spans="1:12" hidden="1" x14ac:dyDescent="0.3">
      <c r="A4045" t="s">
        <v>99</v>
      </c>
      <c r="B4045" t="s">
        <v>100</v>
      </c>
      <c r="C4045" t="s">
        <v>125</v>
      </c>
      <c r="D4045" t="s">
        <v>126</v>
      </c>
      <c r="E4045">
        <v>1996</v>
      </c>
      <c r="F4045" s="1">
        <v>6</v>
      </c>
      <c r="G4045">
        <v>1990</v>
      </c>
      <c r="H4045">
        <f>AVERAGEIFS(Table1[value],Table1[IndicatorCode],Table1[[#This Row],[IndicatorCode]])</f>
        <v>7.6894248608534319</v>
      </c>
      <c r="I4045" cm="1">
        <f t="array" ref="I4045">_xlfn.STDEV.P(IF(Table1[IndicatorCode]=Table1[[#This Row],[IndicatorCode]],Table1[value]))</f>
        <v>5.2319501044600996</v>
      </c>
      <c r="J4045">
        <f>(Table1[[#This Row],[value]] - Table1[[#This Row],[mean]]) / Table1[[#This Row],[std_dev]]</f>
        <v>-0.32290538463148605</v>
      </c>
      <c r="K4045">
        <f>AVERAGEIF(Table1[CountryCode],Table1[[#This Row],[CountryCode]],Table1[z-score])</f>
        <v>-0.56629310735046812</v>
      </c>
      <c r="L4045" t="e">
        <f>VLOOKUP(Table1[[#This Row],[CountryCode]],[1]!Table1[#Data],4,FALSE)</f>
        <v>#REF!</v>
      </c>
    </row>
    <row r="4046" spans="1:12" hidden="1" x14ac:dyDescent="0.3">
      <c r="A4046" t="s">
        <v>99</v>
      </c>
      <c r="B4046" t="s">
        <v>100</v>
      </c>
      <c r="C4046" t="s">
        <v>125</v>
      </c>
      <c r="D4046" t="s">
        <v>126</v>
      </c>
      <c r="E4046">
        <v>1997</v>
      </c>
      <c r="F4046" s="1">
        <v>6</v>
      </c>
      <c r="G4046">
        <v>2000</v>
      </c>
      <c r="H4046">
        <f>AVERAGEIFS(Table1[value],Table1[IndicatorCode],Table1[[#This Row],[IndicatorCode]])</f>
        <v>7.6894248608534319</v>
      </c>
      <c r="I4046" cm="1">
        <f t="array" ref="I4046">_xlfn.STDEV.P(IF(Table1[IndicatorCode]=Table1[[#This Row],[IndicatorCode]],Table1[value]))</f>
        <v>5.2319501044600996</v>
      </c>
      <c r="J4046">
        <f>(Table1[[#This Row],[value]] - Table1[[#This Row],[mean]]) / Table1[[#This Row],[std_dev]]</f>
        <v>-0.32290538463148605</v>
      </c>
      <c r="K4046">
        <f>AVERAGEIF(Table1[CountryCode],Table1[[#This Row],[CountryCode]],Table1[z-score])</f>
        <v>-0.56629310735046812</v>
      </c>
      <c r="L4046" t="e">
        <f>VLOOKUP(Table1[[#This Row],[CountryCode]],[1]!Table1[#Data],4,FALSE)</f>
        <v>#REF!</v>
      </c>
    </row>
    <row r="4047" spans="1:12" hidden="1" x14ac:dyDescent="0.3">
      <c r="A4047" t="s">
        <v>99</v>
      </c>
      <c r="B4047" t="s">
        <v>100</v>
      </c>
      <c r="C4047" t="s">
        <v>125</v>
      </c>
      <c r="D4047" t="s">
        <v>126</v>
      </c>
      <c r="E4047">
        <v>1998</v>
      </c>
      <c r="F4047" s="1">
        <v>5</v>
      </c>
      <c r="G4047">
        <v>2000</v>
      </c>
      <c r="H4047">
        <f>AVERAGEIFS(Table1[value],Table1[IndicatorCode],Table1[[#This Row],[IndicatorCode]])</f>
        <v>7.6894248608534319</v>
      </c>
      <c r="I4047" cm="1">
        <f t="array" ref="I4047">_xlfn.STDEV.P(IF(Table1[IndicatorCode]=Table1[[#This Row],[IndicatorCode]],Table1[value]))</f>
        <v>5.2319501044600996</v>
      </c>
      <c r="J4047">
        <f>(Table1[[#This Row],[value]] - Table1[[#This Row],[mean]]) / Table1[[#This Row],[std_dev]]</f>
        <v>-0.51403870586624445</v>
      </c>
      <c r="K4047">
        <f>AVERAGEIF(Table1[CountryCode],Table1[[#This Row],[CountryCode]],Table1[z-score])</f>
        <v>-0.56629310735046812</v>
      </c>
      <c r="L4047" t="e">
        <f>VLOOKUP(Table1[[#This Row],[CountryCode]],[1]!Table1[#Data],4,FALSE)</f>
        <v>#REF!</v>
      </c>
    </row>
    <row r="4048" spans="1:12" hidden="1" x14ac:dyDescent="0.3">
      <c r="A4048" t="s">
        <v>99</v>
      </c>
      <c r="B4048" t="s">
        <v>100</v>
      </c>
      <c r="C4048" t="s">
        <v>125</v>
      </c>
      <c r="D4048" t="s">
        <v>126</v>
      </c>
      <c r="E4048">
        <v>1999</v>
      </c>
      <c r="F4048" s="1">
        <v>4</v>
      </c>
      <c r="G4048">
        <v>2000</v>
      </c>
      <c r="H4048">
        <f>AVERAGEIFS(Table1[value],Table1[IndicatorCode],Table1[[#This Row],[IndicatorCode]])</f>
        <v>7.6894248608534319</v>
      </c>
      <c r="I4048" cm="1">
        <f t="array" ref="I4048">_xlfn.STDEV.P(IF(Table1[IndicatorCode]=Table1[[#This Row],[IndicatorCode]],Table1[value]))</f>
        <v>5.2319501044600996</v>
      </c>
      <c r="J4048">
        <f>(Table1[[#This Row],[value]] - Table1[[#This Row],[mean]]) / Table1[[#This Row],[std_dev]]</f>
        <v>-0.7051720271010028</v>
      </c>
      <c r="K4048">
        <f>AVERAGEIF(Table1[CountryCode],Table1[[#This Row],[CountryCode]],Table1[z-score])</f>
        <v>-0.56629310735046812</v>
      </c>
      <c r="L4048" t="e">
        <f>VLOOKUP(Table1[[#This Row],[CountryCode]],[1]!Table1[#Data],4,FALSE)</f>
        <v>#REF!</v>
      </c>
    </row>
    <row r="4049" spans="1:12" hidden="1" x14ac:dyDescent="0.3">
      <c r="A4049" t="s">
        <v>99</v>
      </c>
      <c r="B4049" t="s">
        <v>100</v>
      </c>
      <c r="C4049" t="s">
        <v>125</v>
      </c>
      <c r="D4049" t="s">
        <v>126</v>
      </c>
      <c r="E4049">
        <v>2000</v>
      </c>
      <c r="F4049" s="1">
        <v>4</v>
      </c>
      <c r="G4049">
        <v>2000</v>
      </c>
      <c r="H4049">
        <f>AVERAGEIFS(Table1[value],Table1[IndicatorCode],Table1[[#This Row],[IndicatorCode]])</f>
        <v>7.6894248608534319</v>
      </c>
      <c r="I4049" cm="1">
        <f t="array" ref="I4049">_xlfn.STDEV.P(IF(Table1[IndicatorCode]=Table1[[#This Row],[IndicatorCode]],Table1[value]))</f>
        <v>5.2319501044600996</v>
      </c>
      <c r="J4049">
        <f>(Table1[[#This Row],[value]] - Table1[[#This Row],[mean]]) / Table1[[#This Row],[std_dev]]</f>
        <v>-0.7051720271010028</v>
      </c>
      <c r="K4049">
        <f>AVERAGEIF(Table1[CountryCode],Table1[[#This Row],[CountryCode]],Table1[z-score])</f>
        <v>-0.56629310735046812</v>
      </c>
      <c r="L4049" t="e">
        <f>VLOOKUP(Table1[[#This Row],[CountryCode]],[1]!Table1[#Data],4,FALSE)</f>
        <v>#REF!</v>
      </c>
    </row>
    <row r="4050" spans="1:12" hidden="1" x14ac:dyDescent="0.3">
      <c r="A4050" t="s">
        <v>99</v>
      </c>
      <c r="B4050" t="s">
        <v>100</v>
      </c>
      <c r="C4050" t="s">
        <v>125</v>
      </c>
      <c r="D4050" t="s">
        <v>126</v>
      </c>
      <c r="E4050">
        <v>2001</v>
      </c>
      <c r="F4050" s="1">
        <v>5</v>
      </c>
      <c r="G4050">
        <v>2000</v>
      </c>
      <c r="H4050">
        <f>AVERAGEIFS(Table1[value],Table1[IndicatorCode],Table1[[#This Row],[IndicatorCode]])</f>
        <v>7.6894248608534319</v>
      </c>
      <c r="I4050" cm="1">
        <f t="array" ref="I4050">_xlfn.STDEV.P(IF(Table1[IndicatorCode]=Table1[[#This Row],[IndicatorCode]],Table1[value]))</f>
        <v>5.2319501044600996</v>
      </c>
      <c r="J4050">
        <f>(Table1[[#This Row],[value]] - Table1[[#This Row],[mean]]) / Table1[[#This Row],[std_dev]]</f>
        <v>-0.51403870586624445</v>
      </c>
      <c r="K4050">
        <f>AVERAGEIF(Table1[CountryCode],Table1[[#This Row],[CountryCode]],Table1[z-score])</f>
        <v>-0.56629310735046812</v>
      </c>
      <c r="L4050" t="e">
        <f>VLOOKUP(Table1[[#This Row],[CountryCode]],[1]!Table1[#Data],4,FALSE)</f>
        <v>#REF!</v>
      </c>
    </row>
    <row r="4051" spans="1:12" hidden="1" x14ac:dyDescent="0.3">
      <c r="A4051" t="s">
        <v>99</v>
      </c>
      <c r="B4051" t="s">
        <v>100</v>
      </c>
      <c r="C4051" t="s">
        <v>125</v>
      </c>
      <c r="D4051" t="s">
        <v>126</v>
      </c>
      <c r="E4051">
        <v>2002</v>
      </c>
      <c r="F4051" s="1">
        <v>5</v>
      </c>
      <c r="G4051">
        <v>2000</v>
      </c>
      <c r="H4051">
        <f>AVERAGEIFS(Table1[value],Table1[IndicatorCode],Table1[[#This Row],[IndicatorCode]])</f>
        <v>7.6894248608534319</v>
      </c>
      <c r="I4051" cm="1">
        <f t="array" ref="I4051">_xlfn.STDEV.P(IF(Table1[IndicatorCode]=Table1[[#This Row],[IndicatorCode]],Table1[value]))</f>
        <v>5.2319501044600996</v>
      </c>
      <c r="J4051">
        <f>(Table1[[#This Row],[value]] - Table1[[#This Row],[mean]]) / Table1[[#This Row],[std_dev]]</f>
        <v>-0.51403870586624445</v>
      </c>
      <c r="K4051">
        <f>AVERAGEIF(Table1[CountryCode],Table1[[#This Row],[CountryCode]],Table1[z-score])</f>
        <v>-0.56629310735046812</v>
      </c>
      <c r="L4051" t="e">
        <f>VLOOKUP(Table1[[#This Row],[CountryCode]],[1]!Table1[#Data],4,FALSE)</f>
        <v>#REF!</v>
      </c>
    </row>
    <row r="4052" spans="1:12" hidden="1" x14ac:dyDescent="0.3">
      <c r="A4052" t="s">
        <v>99</v>
      </c>
      <c r="B4052" t="s">
        <v>100</v>
      </c>
      <c r="C4052" t="s">
        <v>125</v>
      </c>
      <c r="D4052" t="s">
        <v>126</v>
      </c>
      <c r="E4052">
        <v>2003</v>
      </c>
      <c r="F4052" s="1">
        <v>5</v>
      </c>
      <c r="G4052">
        <v>2000</v>
      </c>
      <c r="H4052">
        <f>AVERAGEIFS(Table1[value],Table1[IndicatorCode],Table1[[#This Row],[IndicatorCode]])</f>
        <v>7.6894248608534319</v>
      </c>
      <c r="I4052" cm="1">
        <f t="array" ref="I4052">_xlfn.STDEV.P(IF(Table1[IndicatorCode]=Table1[[#This Row],[IndicatorCode]],Table1[value]))</f>
        <v>5.2319501044600996</v>
      </c>
      <c r="J4052">
        <f>(Table1[[#This Row],[value]] - Table1[[#This Row],[mean]]) / Table1[[#This Row],[std_dev]]</f>
        <v>-0.51403870586624445</v>
      </c>
      <c r="K4052">
        <f>AVERAGEIF(Table1[CountryCode],Table1[[#This Row],[CountryCode]],Table1[z-score])</f>
        <v>-0.56629310735046812</v>
      </c>
      <c r="L4052" t="e">
        <f>VLOOKUP(Table1[[#This Row],[CountryCode]],[1]!Table1[#Data],4,FALSE)</f>
        <v>#REF!</v>
      </c>
    </row>
    <row r="4053" spans="1:12" hidden="1" x14ac:dyDescent="0.3">
      <c r="A4053" t="s">
        <v>99</v>
      </c>
      <c r="B4053" t="s">
        <v>100</v>
      </c>
      <c r="C4053" t="s">
        <v>125</v>
      </c>
      <c r="D4053" t="s">
        <v>126</v>
      </c>
      <c r="E4053">
        <v>2004</v>
      </c>
      <c r="F4053" s="1">
        <v>5</v>
      </c>
      <c r="G4053">
        <v>2000</v>
      </c>
      <c r="H4053">
        <f>AVERAGEIFS(Table1[value],Table1[IndicatorCode],Table1[[#This Row],[IndicatorCode]])</f>
        <v>7.6894248608534319</v>
      </c>
      <c r="I4053" cm="1">
        <f t="array" ref="I4053">_xlfn.STDEV.P(IF(Table1[IndicatorCode]=Table1[[#This Row],[IndicatorCode]],Table1[value]))</f>
        <v>5.2319501044600996</v>
      </c>
      <c r="J4053">
        <f>(Table1[[#This Row],[value]] - Table1[[#This Row],[mean]]) / Table1[[#This Row],[std_dev]]</f>
        <v>-0.51403870586624445</v>
      </c>
      <c r="K4053">
        <f>AVERAGEIF(Table1[CountryCode],Table1[[#This Row],[CountryCode]],Table1[z-score])</f>
        <v>-0.56629310735046812</v>
      </c>
      <c r="L4053" t="e">
        <f>VLOOKUP(Table1[[#This Row],[CountryCode]],[1]!Table1[#Data],4,FALSE)</f>
        <v>#REF!</v>
      </c>
    </row>
    <row r="4054" spans="1:12" hidden="1" x14ac:dyDescent="0.3">
      <c r="A4054" t="s">
        <v>99</v>
      </c>
      <c r="B4054" t="s">
        <v>100</v>
      </c>
      <c r="C4054" t="s">
        <v>125</v>
      </c>
      <c r="D4054" t="s">
        <v>126</v>
      </c>
      <c r="E4054">
        <v>2005</v>
      </c>
      <c r="F4054" s="1">
        <v>5</v>
      </c>
      <c r="G4054">
        <v>2000</v>
      </c>
      <c r="H4054">
        <f>AVERAGEIFS(Table1[value],Table1[IndicatorCode],Table1[[#This Row],[IndicatorCode]])</f>
        <v>7.6894248608534319</v>
      </c>
      <c r="I4054" cm="1">
        <f t="array" ref="I4054">_xlfn.STDEV.P(IF(Table1[IndicatorCode]=Table1[[#This Row],[IndicatorCode]],Table1[value]))</f>
        <v>5.2319501044600996</v>
      </c>
      <c r="J4054">
        <f>(Table1[[#This Row],[value]] - Table1[[#This Row],[mean]]) / Table1[[#This Row],[std_dev]]</f>
        <v>-0.51403870586624445</v>
      </c>
      <c r="K4054">
        <f>AVERAGEIF(Table1[CountryCode],Table1[[#This Row],[CountryCode]],Table1[z-score])</f>
        <v>-0.56629310735046812</v>
      </c>
      <c r="L4054" t="e">
        <f>VLOOKUP(Table1[[#This Row],[CountryCode]],[1]!Table1[#Data],4,FALSE)</f>
        <v>#REF!</v>
      </c>
    </row>
    <row r="4055" spans="1:12" hidden="1" x14ac:dyDescent="0.3">
      <c r="A4055" t="s">
        <v>99</v>
      </c>
      <c r="B4055" t="s">
        <v>100</v>
      </c>
      <c r="C4055" t="s">
        <v>125</v>
      </c>
      <c r="D4055" t="s">
        <v>126</v>
      </c>
      <c r="E4055">
        <v>2006</v>
      </c>
      <c r="F4055" s="1">
        <v>5</v>
      </c>
      <c r="G4055">
        <v>2000</v>
      </c>
      <c r="H4055">
        <f>AVERAGEIFS(Table1[value],Table1[IndicatorCode],Table1[[#This Row],[IndicatorCode]])</f>
        <v>7.6894248608534319</v>
      </c>
      <c r="I4055" cm="1">
        <f t="array" ref="I4055">_xlfn.STDEV.P(IF(Table1[IndicatorCode]=Table1[[#This Row],[IndicatorCode]],Table1[value]))</f>
        <v>5.2319501044600996</v>
      </c>
      <c r="J4055">
        <f>(Table1[[#This Row],[value]] - Table1[[#This Row],[mean]]) / Table1[[#This Row],[std_dev]]</f>
        <v>-0.51403870586624445</v>
      </c>
      <c r="K4055">
        <f>AVERAGEIF(Table1[CountryCode],Table1[[#This Row],[CountryCode]],Table1[z-score])</f>
        <v>-0.56629310735046812</v>
      </c>
      <c r="L4055" t="e">
        <f>VLOOKUP(Table1[[#This Row],[CountryCode]],[1]!Table1[#Data],4,FALSE)</f>
        <v>#REF!</v>
      </c>
    </row>
    <row r="4056" spans="1:12" hidden="1" x14ac:dyDescent="0.3">
      <c r="A4056" t="s">
        <v>99</v>
      </c>
      <c r="B4056" t="s">
        <v>100</v>
      </c>
      <c r="C4056" t="s">
        <v>125</v>
      </c>
      <c r="D4056" t="s">
        <v>126</v>
      </c>
      <c r="E4056">
        <v>2007</v>
      </c>
      <c r="F4056" s="1">
        <v>5</v>
      </c>
      <c r="G4056">
        <v>2010</v>
      </c>
      <c r="H4056">
        <f>AVERAGEIFS(Table1[value],Table1[IndicatorCode],Table1[[#This Row],[IndicatorCode]])</f>
        <v>7.6894248608534319</v>
      </c>
      <c r="I4056" cm="1">
        <f t="array" ref="I4056">_xlfn.STDEV.P(IF(Table1[IndicatorCode]=Table1[[#This Row],[IndicatorCode]],Table1[value]))</f>
        <v>5.2319501044600996</v>
      </c>
      <c r="J4056">
        <f>(Table1[[#This Row],[value]] - Table1[[#This Row],[mean]]) / Table1[[#This Row],[std_dev]]</f>
        <v>-0.51403870586624445</v>
      </c>
      <c r="K4056">
        <f>AVERAGEIF(Table1[CountryCode],Table1[[#This Row],[CountryCode]],Table1[z-score])</f>
        <v>-0.56629310735046812</v>
      </c>
      <c r="L4056" t="e">
        <f>VLOOKUP(Table1[[#This Row],[CountryCode]],[1]!Table1[#Data],4,FALSE)</f>
        <v>#REF!</v>
      </c>
    </row>
    <row r="4057" spans="1:12" hidden="1" x14ac:dyDescent="0.3">
      <c r="A4057" t="s">
        <v>99</v>
      </c>
      <c r="B4057" t="s">
        <v>100</v>
      </c>
      <c r="C4057" t="s">
        <v>125</v>
      </c>
      <c r="D4057" t="s">
        <v>126</v>
      </c>
      <c r="E4057">
        <v>2008</v>
      </c>
      <c r="F4057" s="1">
        <v>5</v>
      </c>
      <c r="G4057">
        <v>2010</v>
      </c>
      <c r="H4057">
        <f>AVERAGEIFS(Table1[value],Table1[IndicatorCode],Table1[[#This Row],[IndicatorCode]])</f>
        <v>7.6894248608534319</v>
      </c>
      <c r="I4057" cm="1">
        <f t="array" ref="I4057">_xlfn.STDEV.P(IF(Table1[IndicatorCode]=Table1[[#This Row],[IndicatorCode]],Table1[value]))</f>
        <v>5.2319501044600996</v>
      </c>
      <c r="J4057">
        <f>(Table1[[#This Row],[value]] - Table1[[#This Row],[mean]]) / Table1[[#This Row],[std_dev]]</f>
        <v>-0.51403870586624445</v>
      </c>
      <c r="K4057">
        <f>AVERAGEIF(Table1[CountryCode],Table1[[#This Row],[CountryCode]],Table1[z-score])</f>
        <v>-0.56629310735046812</v>
      </c>
      <c r="L4057" t="e">
        <f>VLOOKUP(Table1[[#This Row],[CountryCode]],[1]!Table1[#Data],4,FALSE)</f>
        <v>#REF!</v>
      </c>
    </row>
    <row r="4058" spans="1:12" hidden="1" x14ac:dyDescent="0.3">
      <c r="A4058" t="s">
        <v>99</v>
      </c>
      <c r="B4058" t="s">
        <v>100</v>
      </c>
      <c r="C4058" t="s">
        <v>125</v>
      </c>
      <c r="D4058" t="s">
        <v>126</v>
      </c>
      <c r="E4058">
        <v>2009</v>
      </c>
      <c r="F4058" s="1">
        <v>4</v>
      </c>
      <c r="G4058">
        <v>2010</v>
      </c>
      <c r="H4058">
        <f>AVERAGEIFS(Table1[value],Table1[IndicatorCode],Table1[[#This Row],[IndicatorCode]])</f>
        <v>7.6894248608534319</v>
      </c>
      <c r="I4058" cm="1">
        <f t="array" ref="I4058">_xlfn.STDEV.P(IF(Table1[IndicatorCode]=Table1[[#This Row],[IndicatorCode]],Table1[value]))</f>
        <v>5.2319501044600996</v>
      </c>
      <c r="J4058">
        <f>(Table1[[#This Row],[value]] - Table1[[#This Row],[mean]]) / Table1[[#This Row],[std_dev]]</f>
        <v>-0.7051720271010028</v>
      </c>
      <c r="K4058">
        <f>AVERAGEIF(Table1[CountryCode],Table1[[#This Row],[CountryCode]],Table1[z-score])</f>
        <v>-0.56629310735046812</v>
      </c>
      <c r="L4058" t="e">
        <f>VLOOKUP(Table1[[#This Row],[CountryCode]],[1]!Table1[#Data],4,FALSE)</f>
        <v>#REF!</v>
      </c>
    </row>
    <row r="4059" spans="1:12" hidden="1" x14ac:dyDescent="0.3">
      <c r="A4059" t="s">
        <v>99</v>
      </c>
      <c r="B4059" t="s">
        <v>100</v>
      </c>
      <c r="C4059" t="s">
        <v>125</v>
      </c>
      <c r="D4059" t="s">
        <v>126</v>
      </c>
      <c r="E4059">
        <v>2010</v>
      </c>
      <c r="F4059" s="1">
        <v>4</v>
      </c>
      <c r="G4059">
        <v>2010</v>
      </c>
      <c r="H4059">
        <f>AVERAGEIFS(Table1[value],Table1[IndicatorCode],Table1[[#This Row],[IndicatorCode]])</f>
        <v>7.6894248608534319</v>
      </c>
      <c r="I4059" cm="1">
        <f t="array" ref="I4059">_xlfn.STDEV.P(IF(Table1[IndicatorCode]=Table1[[#This Row],[IndicatorCode]],Table1[value]))</f>
        <v>5.2319501044600996</v>
      </c>
      <c r="J4059">
        <f>(Table1[[#This Row],[value]] - Table1[[#This Row],[mean]]) / Table1[[#This Row],[std_dev]]</f>
        <v>-0.7051720271010028</v>
      </c>
      <c r="K4059">
        <f>AVERAGEIF(Table1[CountryCode],Table1[[#This Row],[CountryCode]],Table1[z-score])</f>
        <v>-0.56629310735046812</v>
      </c>
      <c r="L4059" t="e">
        <f>VLOOKUP(Table1[[#This Row],[CountryCode]],[1]!Table1[#Data],4,FALSE)</f>
        <v>#REF!</v>
      </c>
    </row>
    <row r="4060" spans="1:12" hidden="1" x14ac:dyDescent="0.3">
      <c r="A4060" t="s">
        <v>99</v>
      </c>
      <c r="B4060" t="s">
        <v>100</v>
      </c>
      <c r="C4060" t="s">
        <v>125</v>
      </c>
      <c r="D4060" t="s">
        <v>126</v>
      </c>
      <c r="E4060">
        <v>2011</v>
      </c>
      <c r="F4060" s="1">
        <v>4</v>
      </c>
      <c r="G4060">
        <v>2010</v>
      </c>
      <c r="H4060">
        <f>AVERAGEIFS(Table1[value],Table1[IndicatorCode],Table1[[#This Row],[IndicatorCode]])</f>
        <v>7.6894248608534319</v>
      </c>
      <c r="I4060" cm="1">
        <f t="array" ref="I4060">_xlfn.STDEV.P(IF(Table1[IndicatorCode]=Table1[[#This Row],[IndicatorCode]],Table1[value]))</f>
        <v>5.2319501044600996</v>
      </c>
      <c r="J4060">
        <f>(Table1[[#This Row],[value]] - Table1[[#This Row],[mean]]) / Table1[[#This Row],[std_dev]]</f>
        <v>-0.7051720271010028</v>
      </c>
      <c r="K4060">
        <f>AVERAGEIF(Table1[CountryCode],Table1[[#This Row],[CountryCode]],Table1[z-score])</f>
        <v>-0.56629310735046812</v>
      </c>
      <c r="L4060" t="e">
        <f>VLOOKUP(Table1[[#This Row],[CountryCode]],[1]!Table1[#Data],4,FALSE)</f>
        <v>#REF!</v>
      </c>
    </row>
    <row r="4061" spans="1:12" hidden="1" x14ac:dyDescent="0.3">
      <c r="A4061" t="s">
        <v>99</v>
      </c>
      <c r="B4061" t="s">
        <v>100</v>
      </c>
      <c r="C4061" t="s">
        <v>125</v>
      </c>
      <c r="D4061" t="s">
        <v>126</v>
      </c>
      <c r="E4061">
        <v>2012</v>
      </c>
      <c r="F4061" s="1">
        <v>4</v>
      </c>
      <c r="G4061">
        <v>2010</v>
      </c>
      <c r="H4061">
        <f>AVERAGEIFS(Table1[value],Table1[IndicatorCode],Table1[[#This Row],[IndicatorCode]])</f>
        <v>7.6894248608534319</v>
      </c>
      <c r="I4061" cm="1">
        <f t="array" ref="I4061">_xlfn.STDEV.P(IF(Table1[IndicatorCode]=Table1[[#This Row],[IndicatorCode]],Table1[value]))</f>
        <v>5.2319501044600996</v>
      </c>
      <c r="J4061">
        <f>(Table1[[#This Row],[value]] - Table1[[#This Row],[mean]]) / Table1[[#This Row],[std_dev]]</f>
        <v>-0.7051720271010028</v>
      </c>
      <c r="K4061">
        <f>AVERAGEIF(Table1[CountryCode],Table1[[#This Row],[CountryCode]],Table1[z-score])</f>
        <v>-0.56629310735046812</v>
      </c>
      <c r="L4061" t="e">
        <f>VLOOKUP(Table1[[#This Row],[CountryCode]],[1]!Table1[#Data],4,FALSE)</f>
        <v>#REF!</v>
      </c>
    </row>
    <row r="4062" spans="1:12" hidden="1" x14ac:dyDescent="0.3">
      <c r="A4062" t="s">
        <v>99</v>
      </c>
      <c r="B4062" t="s">
        <v>100</v>
      </c>
      <c r="C4062" t="s">
        <v>125</v>
      </c>
      <c r="D4062" t="s">
        <v>126</v>
      </c>
      <c r="E4062">
        <v>2013</v>
      </c>
      <c r="F4062" s="1">
        <v>4</v>
      </c>
      <c r="G4062">
        <v>2010</v>
      </c>
      <c r="H4062">
        <f>AVERAGEIFS(Table1[value],Table1[IndicatorCode],Table1[[#This Row],[IndicatorCode]])</f>
        <v>7.6894248608534319</v>
      </c>
      <c r="I4062" cm="1">
        <f t="array" ref="I4062">_xlfn.STDEV.P(IF(Table1[IndicatorCode]=Table1[[#This Row],[IndicatorCode]],Table1[value]))</f>
        <v>5.2319501044600996</v>
      </c>
      <c r="J4062">
        <f>(Table1[[#This Row],[value]] - Table1[[#This Row],[mean]]) / Table1[[#This Row],[std_dev]]</f>
        <v>-0.7051720271010028</v>
      </c>
      <c r="K4062">
        <f>AVERAGEIF(Table1[CountryCode],Table1[[#This Row],[CountryCode]],Table1[z-score])</f>
        <v>-0.56629310735046812</v>
      </c>
      <c r="L4062" t="e">
        <f>VLOOKUP(Table1[[#This Row],[CountryCode]],[1]!Table1[#Data],4,FALSE)</f>
        <v>#REF!</v>
      </c>
    </row>
    <row r="4063" spans="1:12" hidden="1" x14ac:dyDescent="0.3">
      <c r="A4063" t="s">
        <v>99</v>
      </c>
      <c r="B4063" t="s">
        <v>100</v>
      </c>
      <c r="C4063" t="s">
        <v>125</v>
      </c>
      <c r="D4063" t="s">
        <v>126</v>
      </c>
      <c r="E4063">
        <v>2014</v>
      </c>
      <c r="F4063" s="1">
        <v>4</v>
      </c>
      <c r="G4063">
        <v>2010</v>
      </c>
      <c r="H4063">
        <f>AVERAGEIFS(Table1[value],Table1[IndicatorCode],Table1[[#This Row],[IndicatorCode]])</f>
        <v>7.6894248608534319</v>
      </c>
      <c r="I4063" cm="1">
        <f t="array" ref="I4063">_xlfn.STDEV.P(IF(Table1[IndicatorCode]=Table1[[#This Row],[IndicatorCode]],Table1[value]))</f>
        <v>5.2319501044600996</v>
      </c>
      <c r="J4063">
        <f>(Table1[[#This Row],[value]] - Table1[[#This Row],[mean]]) / Table1[[#This Row],[std_dev]]</f>
        <v>-0.7051720271010028</v>
      </c>
      <c r="K4063">
        <f>AVERAGEIF(Table1[CountryCode],Table1[[#This Row],[CountryCode]],Table1[z-score])</f>
        <v>-0.56629310735046812</v>
      </c>
      <c r="L4063" t="e">
        <f>VLOOKUP(Table1[[#This Row],[CountryCode]],[1]!Table1[#Data],4,FALSE)</f>
        <v>#REF!</v>
      </c>
    </row>
    <row r="4064" spans="1:12" hidden="1" x14ac:dyDescent="0.3">
      <c r="A4064" t="s">
        <v>99</v>
      </c>
      <c r="B4064" t="s">
        <v>100</v>
      </c>
      <c r="C4064" t="s">
        <v>125</v>
      </c>
      <c r="D4064" t="s">
        <v>126</v>
      </c>
      <c r="E4064">
        <v>2015</v>
      </c>
      <c r="F4064" s="1">
        <v>4</v>
      </c>
      <c r="G4064">
        <v>2010</v>
      </c>
      <c r="H4064">
        <f>AVERAGEIFS(Table1[value],Table1[IndicatorCode],Table1[[#This Row],[IndicatorCode]])</f>
        <v>7.6894248608534319</v>
      </c>
      <c r="I4064" cm="1">
        <f t="array" ref="I4064">_xlfn.STDEV.P(IF(Table1[IndicatorCode]=Table1[[#This Row],[IndicatorCode]],Table1[value]))</f>
        <v>5.2319501044600996</v>
      </c>
      <c r="J4064">
        <f>(Table1[[#This Row],[value]] - Table1[[#This Row],[mean]]) / Table1[[#This Row],[std_dev]]</f>
        <v>-0.7051720271010028</v>
      </c>
      <c r="K4064">
        <f>AVERAGEIF(Table1[CountryCode],Table1[[#This Row],[CountryCode]],Table1[z-score])</f>
        <v>-0.56629310735046812</v>
      </c>
      <c r="L4064" t="e">
        <f>VLOOKUP(Table1[[#This Row],[CountryCode]],[1]!Table1[#Data],4,FALSE)</f>
        <v>#REF!</v>
      </c>
    </row>
    <row r="4065" spans="1:12" hidden="1" x14ac:dyDescent="0.3">
      <c r="A4065" t="s">
        <v>99</v>
      </c>
      <c r="B4065" t="s">
        <v>100</v>
      </c>
      <c r="C4065" t="s">
        <v>125</v>
      </c>
      <c r="D4065" t="s">
        <v>126</v>
      </c>
      <c r="E4065">
        <v>2016</v>
      </c>
      <c r="F4065" s="1">
        <v>4</v>
      </c>
      <c r="G4065">
        <v>2010</v>
      </c>
      <c r="H4065">
        <f>AVERAGEIFS(Table1[value],Table1[IndicatorCode],Table1[[#This Row],[IndicatorCode]])</f>
        <v>7.6894248608534319</v>
      </c>
      <c r="I4065" cm="1">
        <f t="array" ref="I4065">_xlfn.STDEV.P(IF(Table1[IndicatorCode]=Table1[[#This Row],[IndicatorCode]],Table1[value]))</f>
        <v>5.2319501044600996</v>
      </c>
      <c r="J4065">
        <f>(Table1[[#This Row],[value]] - Table1[[#This Row],[mean]]) / Table1[[#This Row],[std_dev]]</f>
        <v>-0.7051720271010028</v>
      </c>
      <c r="K4065">
        <f>AVERAGEIF(Table1[CountryCode],Table1[[#This Row],[CountryCode]],Table1[z-score])</f>
        <v>-0.56629310735046812</v>
      </c>
      <c r="L4065" t="e">
        <f>VLOOKUP(Table1[[#This Row],[CountryCode]],[1]!Table1[#Data],4,FALSE)</f>
        <v>#REF!</v>
      </c>
    </row>
    <row r="4066" spans="1:12" hidden="1" x14ac:dyDescent="0.3">
      <c r="A4066" t="s">
        <v>99</v>
      </c>
      <c r="B4066" t="s">
        <v>100</v>
      </c>
      <c r="C4066" t="s">
        <v>125</v>
      </c>
      <c r="D4066" t="s">
        <v>126</v>
      </c>
      <c r="E4066">
        <v>2017</v>
      </c>
      <c r="F4066" s="1">
        <v>4</v>
      </c>
      <c r="G4066">
        <v>2020</v>
      </c>
      <c r="H4066">
        <f>AVERAGEIFS(Table1[value],Table1[IndicatorCode],Table1[[#This Row],[IndicatorCode]])</f>
        <v>7.6894248608534319</v>
      </c>
      <c r="I4066" cm="1">
        <f t="array" ref="I4066">_xlfn.STDEV.P(IF(Table1[IndicatorCode]=Table1[[#This Row],[IndicatorCode]],Table1[value]))</f>
        <v>5.2319501044600996</v>
      </c>
      <c r="J4066">
        <f>(Table1[[#This Row],[value]] - Table1[[#This Row],[mean]]) / Table1[[#This Row],[std_dev]]</f>
        <v>-0.7051720271010028</v>
      </c>
      <c r="K4066">
        <f>AVERAGEIF(Table1[CountryCode],Table1[[#This Row],[CountryCode]],Table1[z-score])</f>
        <v>-0.56629310735046812</v>
      </c>
      <c r="L4066" t="e">
        <f>VLOOKUP(Table1[[#This Row],[CountryCode]],[1]!Table1[#Data],4,FALSE)</f>
        <v>#REF!</v>
      </c>
    </row>
    <row r="4067" spans="1:12" hidden="1" x14ac:dyDescent="0.3">
      <c r="A4067" t="s">
        <v>99</v>
      </c>
      <c r="B4067" t="s">
        <v>100</v>
      </c>
      <c r="C4067" t="s">
        <v>125</v>
      </c>
      <c r="D4067" t="s">
        <v>126</v>
      </c>
      <c r="E4067">
        <v>2018</v>
      </c>
      <c r="F4067" s="1">
        <v>4</v>
      </c>
      <c r="G4067">
        <v>2020</v>
      </c>
      <c r="H4067">
        <f>AVERAGEIFS(Table1[value],Table1[IndicatorCode],Table1[[#This Row],[IndicatorCode]])</f>
        <v>7.6894248608534319</v>
      </c>
      <c r="I4067" cm="1">
        <f t="array" ref="I4067">_xlfn.STDEV.P(IF(Table1[IndicatorCode]=Table1[[#This Row],[IndicatorCode]],Table1[value]))</f>
        <v>5.2319501044600996</v>
      </c>
      <c r="J4067">
        <f>(Table1[[#This Row],[value]] - Table1[[#This Row],[mean]]) / Table1[[#This Row],[std_dev]]</f>
        <v>-0.7051720271010028</v>
      </c>
      <c r="K4067">
        <f>AVERAGEIF(Table1[CountryCode],Table1[[#This Row],[CountryCode]],Table1[z-score])</f>
        <v>-0.56629310735046812</v>
      </c>
      <c r="L4067" t="e">
        <f>VLOOKUP(Table1[[#This Row],[CountryCode]],[1]!Table1[#Data],4,FALSE)</f>
        <v>#REF!</v>
      </c>
    </row>
    <row r="4068" spans="1:12" hidden="1" x14ac:dyDescent="0.3">
      <c r="A4068" t="s">
        <v>99</v>
      </c>
      <c r="B4068" t="s">
        <v>100</v>
      </c>
      <c r="C4068" t="s">
        <v>125</v>
      </c>
      <c r="D4068" t="s">
        <v>126</v>
      </c>
      <c r="E4068">
        <v>2019</v>
      </c>
      <c r="F4068" s="1">
        <v>4</v>
      </c>
      <c r="G4068">
        <v>2020</v>
      </c>
      <c r="H4068">
        <f>AVERAGEIFS(Table1[value],Table1[IndicatorCode],Table1[[#This Row],[IndicatorCode]])</f>
        <v>7.6894248608534319</v>
      </c>
      <c r="I4068" cm="1">
        <f t="array" ref="I4068">_xlfn.STDEV.P(IF(Table1[IndicatorCode]=Table1[[#This Row],[IndicatorCode]],Table1[value]))</f>
        <v>5.2319501044600996</v>
      </c>
      <c r="J4068">
        <f>(Table1[[#This Row],[value]] - Table1[[#This Row],[mean]]) / Table1[[#This Row],[std_dev]]</f>
        <v>-0.7051720271010028</v>
      </c>
      <c r="K4068">
        <f>AVERAGEIF(Table1[CountryCode],Table1[[#This Row],[CountryCode]],Table1[z-score])</f>
        <v>-0.56629310735046812</v>
      </c>
      <c r="L4068" t="e">
        <f>VLOOKUP(Table1[[#This Row],[CountryCode]],[1]!Table1[#Data],4,FALSE)</f>
        <v>#REF!</v>
      </c>
    </row>
    <row r="4069" spans="1:12" x14ac:dyDescent="0.3">
      <c r="A4069" t="s">
        <v>99</v>
      </c>
      <c r="B4069" t="s">
        <v>100</v>
      </c>
      <c r="C4069" t="s">
        <v>125</v>
      </c>
      <c r="D4069" t="s">
        <v>126</v>
      </c>
      <c r="E4069">
        <v>2020</v>
      </c>
      <c r="F4069" s="1">
        <v>4</v>
      </c>
      <c r="G4069">
        <v>2020</v>
      </c>
      <c r="H4069">
        <f>AVERAGEIFS(Table1[value],Table1[IndicatorCode],Table1[[#This Row],[IndicatorCode]])</f>
        <v>7.6894248608534319</v>
      </c>
      <c r="I4069" cm="1">
        <f t="array" ref="I4069">_xlfn.STDEV.P(IF(Table1[IndicatorCode]=Table1[[#This Row],[IndicatorCode]],Table1[value]))</f>
        <v>5.2319501044600996</v>
      </c>
      <c r="J4069">
        <f>(Table1[[#This Row],[value]] - Table1[[#This Row],[mean]]) / Table1[[#This Row],[std_dev]]</f>
        <v>-0.7051720271010028</v>
      </c>
      <c r="K4069">
        <f>AVERAGEIF(Table1[CountryCode],Table1[[#This Row],[CountryCode]],Table1[z-score])</f>
        <v>-0.56629310735046812</v>
      </c>
    </row>
    <row r="4070" spans="1:12" hidden="1" x14ac:dyDescent="0.3">
      <c r="A4070" t="s">
        <v>99</v>
      </c>
      <c r="B4070" t="s">
        <v>100</v>
      </c>
      <c r="C4070" t="s">
        <v>125</v>
      </c>
      <c r="D4070" t="s">
        <v>126</v>
      </c>
      <c r="E4070">
        <v>2021</v>
      </c>
      <c r="F4070" s="1">
        <v>4</v>
      </c>
      <c r="G4070">
        <v>2020</v>
      </c>
      <c r="H4070">
        <f>AVERAGEIFS(Table1[value],Table1[IndicatorCode],Table1[[#This Row],[IndicatorCode]])</f>
        <v>7.6894248608534319</v>
      </c>
      <c r="I4070" cm="1">
        <f t="array" ref="I4070">_xlfn.STDEV.P(IF(Table1[IndicatorCode]=Table1[[#This Row],[IndicatorCode]],Table1[value]))</f>
        <v>5.2319501044600996</v>
      </c>
      <c r="J4070">
        <f>(Table1[[#This Row],[value]] - Table1[[#This Row],[mean]]) / Table1[[#This Row],[std_dev]]</f>
        <v>-0.7051720271010028</v>
      </c>
      <c r="K4070">
        <f>AVERAGEIF(Table1[CountryCode],Table1[[#This Row],[CountryCode]],Table1[z-score])</f>
        <v>-0.56629310735046812</v>
      </c>
      <c r="L4070" t="e">
        <f>VLOOKUP(Table1[[#This Row],[CountryCode]],[1]!Table1[#Data],4,FALSE)</f>
        <v>#REF!</v>
      </c>
    </row>
    <row r="4071" spans="1:12" hidden="1" x14ac:dyDescent="0.3">
      <c r="A4071" t="s">
        <v>99</v>
      </c>
      <c r="B4071" t="s">
        <v>100</v>
      </c>
      <c r="C4071" t="s">
        <v>125</v>
      </c>
      <c r="D4071" t="s">
        <v>126</v>
      </c>
      <c r="E4071">
        <v>2022</v>
      </c>
      <c r="F4071" s="1">
        <v>4</v>
      </c>
      <c r="G4071">
        <v>1970</v>
      </c>
      <c r="H4071">
        <f>AVERAGEIFS(Table1[value],Table1[IndicatorCode],Table1[[#This Row],[IndicatorCode]])</f>
        <v>7.6894248608534319</v>
      </c>
      <c r="I4071" cm="1">
        <f t="array" ref="I4071">_xlfn.STDEV.P(IF(Table1[IndicatorCode]=Table1[[#This Row],[IndicatorCode]],Table1[value]))</f>
        <v>5.2319501044600996</v>
      </c>
      <c r="J4071">
        <f>(Table1[[#This Row],[value]] - Table1[[#This Row],[mean]]) / Table1[[#This Row],[std_dev]]</f>
        <v>-0.7051720271010028</v>
      </c>
      <c r="K4071">
        <f>AVERAGEIF(Table1[CountryCode],Table1[[#This Row],[CountryCode]],Table1[z-score])</f>
        <v>-0.56629310735046812</v>
      </c>
      <c r="L4071" t="e">
        <f>VLOOKUP(Table1[[#This Row],[CountryCode]],[1]!Table1[#Data],4,FALSE)</f>
        <v>#REF!</v>
      </c>
    </row>
    <row r="4072" spans="1:12" hidden="1" x14ac:dyDescent="0.3">
      <c r="A4072" t="s">
        <v>99</v>
      </c>
      <c r="B4072" t="s">
        <v>100</v>
      </c>
      <c r="C4072" t="s">
        <v>125</v>
      </c>
      <c r="D4072" t="s">
        <v>126</v>
      </c>
      <c r="E4072">
        <v>2023</v>
      </c>
      <c r="F4072" s="1">
        <v>4</v>
      </c>
      <c r="G4072">
        <v>1970</v>
      </c>
      <c r="H4072">
        <f>AVERAGEIFS(Table1[value],Table1[IndicatorCode],Table1[[#This Row],[IndicatorCode]])</f>
        <v>7.6894248608534319</v>
      </c>
      <c r="I4072" cm="1">
        <f t="array" ref="I4072">_xlfn.STDEV.P(IF(Table1[IndicatorCode]=Table1[[#This Row],[IndicatorCode]],Table1[value]))</f>
        <v>5.2319501044600996</v>
      </c>
      <c r="J4072">
        <f>(Table1[[#This Row],[value]] - Table1[[#This Row],[mean]]) / Table1[[#This Row],[std_dev]]</f>
        <v>-0.7051720271010028</v>
      </c>
      <c r="K4072">
        <f>AVERAGEIF(Table1[CountryCode],Table1[[#This Row],[CountryCode]],Table1[z-score])</f>
        <v>-0.56629310735046812</v>
      </c>
      <c r="L4072" t="e">
        <f>VLOOKUP(Table1[[#This Row],[CountryCode]],[1]!Table1[#Data],4,FALSE)</f>
        <v>#REF!</v>
      </c>
    </row>
    <row r="4073" spans="1:12" hidden="1" x14ac:dyDescent="0.3">
      <c r="A4073" t="s">
        <v>99</v>
      </c>
      <c r="B4073" t="s">
        <v>100</v>
      </c>
      <c r="C4073" t="s">
        <v>125</v>
      </c>
      <c r="D4073" t="s">
        <v>126</v>
      </c>
      <c r="E4073">
        <v>2024</v>
      </c>
      <c r="F4073" s="1">
        <v>4</v>
      </c>
      <c r="G4073">
        <v>1970</v>
      </c>
      <c r="H4073">
        <f>AVERAGEIFS(Table1[value],Table1[IndicatorCode],Table1[[#This Row],[IndicatorCode]])</f>
        <v>7.6894248608534319</v>
      </c>
      <c r="I4073" cm="1">
        <f t="array" ref="I4073">_xlfn.STDEV.P(IF(Table1[IndicatorCode]=Table1[[#This Row],[IndicatorCode]],Table1[value]))</f>
        <v>5.2319501044600996</v>
      </c>
      <c r="J4073">
        <f>(Table1[[#This Row],[value]] - Table1[[#This Row],[mean]]) / Table1[[#This Row],[std_dev]]</f>
        <v>-0.7051720271010028</v>
      </c>
      <c r="K4073">
        <f>AVERAGEIF(Table1[CountryCode],Table1[[#This Row],[CountryCode]],Table1[z-score])</f>
        <v>-0.56629310735046812</v>
      </c>
      <c r="L4073" t="e">
        <f>VLOOKUP(Table1[[#This Row],[CountryCode]],[1]!Table1[#Data],4,FALSE)</f>
        <v>#REF!</v>
      </c>
    </row>
    <row r="4074" spans="1:12" hidden="1" x14ac:dyDescent="0.3">
      <c r="A4074" t="s">
        <v>101</v>
      </c>
      <c r="B4074" t="s">
        <v>102</v>
      </c>
      <c r="C4074" t="s">
        <v>125</v>
      </c>
      <c r="D4074" t="s">
        <v>126</v>
      </c>
      <c r="E4074">
        <v>1970</v>
      </c>
      <c r="F4074" s="1">
        <v>10</v>
      </c>
      <c r="G4074">
        <v>1970</v>
      </c>
      <c r="H4074">
        <f>AVERAGEIFS(Table1[value],Table1[IndicatorCode],Table1[[#This Row],[IndicatorCode]])</f>
        <v>7.6894248608534319</v>
      </c>
      <c r="I4074" cm="1">
        <f t="array" ref="I4074">_xlfn.STDEV.P(IF(Table1[IndicatorCode]=Table1[[#This Row],[IndicatorCode]],Table1[value]))</f>
        <v>5.2319501044600996</v>
      </c>
      <c r="J4074">
        <f>(Table1[[#This Row],[value]] - Table1[[#This Row],[mean]]) / Table1[[#This Row],[std_dev]]</f>
        <v>0.44162790030754762</v>
      </c>
      <c r="K4074">
        <f>AVERAGEIF(Table1[CountryCode],Table1[[#This Row],[CountryCode]],Table1[z-score])</f>
        <v>-0.17256201820971051</v>
      </c>
      <c r="L4074" t="e">
        <f>VLOOKUP(Table1[[#This Row],[CountryCode]],[1]!Table1[#Data],4,FALSE)</f>
        <v>#REF!</v>
      </c>
    </row>
    <row r="4075" spans="1:12" hidden="1" x14ac:dyDescent="0.3">
      <c r="A4075" t="s">
        <v>101</v>
      </c>
      <c r="B4075" t="s">
        <v>102</v>
      </c>
      <c r="C4075" t="s">
        <v>125</v>
      </c>
      <c r="D4075" t="s">
        <v>126</v>
      </c>
      <c r="E4075">
        <v>1971</v>
      </c>
      <c r="F4075" s="1">
        <v>10</v>
      </c>
      <c r="G4075">
        <v>1970</v>
      </c>
      <c r="H4075">
        <f>AVERAGEIFS(Table1[value],Table1[IndicatorCode],Table1[[#This Row],[IndicatorCode]])</f>
        <v>7.6894248608534319</v>
      </c>
      <c r="I4075" cm="1">
        <f t="array" ref="I4075">_xlfn.STDEV.P(IF(Table1[IndicatorCode]=Table1[[#This Row],[IndicatorCode]],Table1[value]))</f>
        <v>5.2319501044600996</v>
      </c>
      <c r="J4075">
        <f>(Table1[[#This Row],[value]] - Table1[[#This Row],[mean]]) / Table1[[#This Row],[std_dev]]</f>
        <v>0.44162790030754762</v>
      </c>
      <c r="K4075">
        <f>AVERAGEIF(Table1[CountryCode],Table1[[#This Row],[CountryCode]],Table1[z-score])</f>
        <v>-0.17256201820971051</v>
      </c>
      <c r="L4075" t="e">
        <f>VLOOKUP(Table1[[#This Row],[CountryCode]],[1]!Table1[#Data],4,FALSE)</f>
        <v>#REF!</v>
      </c>
    </row>
    <row r="4076" spans="1:12" hidden="1" x14ac:dyDescent="0.3">
      <c r="A4076" t="s">
        <v>101</v>
      </c>
      <c r="B4076" t="s">
        <v>102</v>
      </c>
      <c r="C4076" t="s">
        <v>125</v>
      </c>
      <c r="D4076" t="s">
        <v>126</v>
      </c>
      <c r="E4076">
        <v>1972</v>
      </c>
      <c r="F4076" s="1">
        <v>10</v>
      </c>
      <c r="G4076">
        <v>1970</v>
      </c>
      <c r="H4076">
        <f>AVERAGEIFS(Table1[value],Table1[IndicatorCode],Table1[[#This Row],[IndicatorCode]])</f>
        <v>7.6894248608534319</v>
      </c>
      <c r="I4076" cm="1">
        <f t="array" ref="I4076">_xlfn.STDEV.P(IF(Table1[IndicatorCode]=Table1[[#This Row],[IndicatorCode]],Table1[value]))</f>
        <v>5.2319501044600996</v>
      </c>
      <c r="J4076">
        <f>(Table1[[#This Row],[value]] - Table1[[#This Row],[mean]]) / Table1[[#This Row],[std_dev]]</f>
        <v>0.44162790030754762</v>
      </c>
      <c r="K4076">
        <f>AVERAGEIF(Table1[CountryCode],Table1[[#This Row],[CountryCode]],Table1[z-score])</f>
        <v>-0.17256201820971051</v>
      </c>
      <c r="L4076" t="e">
        <f>VLOOKUP(Table1[[#This Row],[CountryCode]],[1]!Table1[#Data],4,FALSE)</f>
        <v>#REF!</v>
      </c>
    </row>
    <row r="4077" spans="1:12" hidden="1" x14ac:dyDescent="0.3">
      <c r="A4077" t="s">
        <v>101</v>
      </c>
      <c r="B4077" t="s">
        <v>102</v>
      </c>
      <c r="C4077" t="s">
        <v>125</v>
      </c>
      <c r="D4077" t="s">
        <v>126</v>
      </c>
      <c r="E4077">
        <v>1973</v>
      </c>
      <c r="F4077" s="1">
        <v>11</v>
      </c>
      <c r="G4077">
        <v>1970</v>
      </c>
      <c r="H4077">
        <f>AVERAGEIFS(Table1[value],Table1[IndicatorCode],Table1[[#This Row],[IndicatorCode]])</f>
        <v>7.6894248608534319</v>
      </c>
      <c r="I4077" cm="1">
        <f t="array" ref="I4077">_xlfn.STDEV.P(IF(Table1[IndicatorCode]=Table1[[#This Row],[IndicatorCode]],Table1[value]))</f>
        <v>5.2319501044600996</v>
      </c>
      <c r="J4077">
        <f>(Table1[[#This Row],[value]] - Table1[[#This Row],[mean]]) / Table1[[#This Row],[std_dev]]</f>
        <v>0.63276122154230596</v>
      </c>
      <c r="K4077">
        <f>AVERAGEIF(Table1[CountryCode],Table1[[#This Row],[CountryCode]],Table1[z-score])</f>
        <v>-0.17256201820971051</v>
      </c>
      <c r="L4077" t="e">
        <f>VLOOKUP(Table1[[#This Row],[CountryCode]],[1]!Table1[#Data],4,FALSE)</f>
        <v>#REF!</v>
      </c>
    </row>
    <row r="4078" spans="1:12" hidden="1" x14ac:dyDescent="0.3">
      <c r="A4078" t="s">
        <v>101</v>
      </c>
      <c r="B4078" t="s">
        <v>102</v>
      </c>
      <c r="C4078" t="s">
        <v>125</v>
      </c>
      <c r="D4078" t="s">
        <v>126</v>
      </c>
      <c r="E4078">
        <v>1974</v>
      </c>
      <c r="F4078" s="1">
        <v>11</v>
      </c>
      <c r="G4078">
        <v>1970</v>
      </c>
      <c r="H4078">
        <f>AVERAGEIFS(Table1[value],Table1[IndicatorCode],Table1[[#This Row],[IndicatorCode]])</f>
        <v>7.6894248608534319</v>
      </c>
      <c r="I4078" cm="1">
        <f t="array" ref="I4078">_xlfn.STDEV.P(IF(Table1[IndicatorCode]=Table1[[#This Row],[IndicatorCode]],Table1[value]))</f>
        <v>5.2319501044600996</v>
      </c>
      <c r="J4078">
        <f>(Table1[[#This Row],[value]] - Table1[[#This Row],[mean]]) / Table1[[#This Row],[std_dev]]</f>
        <v>0.63276122154230596</v>
      </c>
      <c r="K4078">
        <f>AVERAGEIF(Table1[CountryCode],Table1[[#This Row],[CountryCode]],Table1[z-score])</f>
        <v>-0.17256201820971051</v>
      </c>
      <c r="L4078" t="e">
        <f>VLOOKUP(Table1[[#This Row],[CountryCode]],[1]!Table1[#Data],4,FALSE)</f>
        <v>#REF!</v>
      </c>
    </row>
    <row r="4079" spans="1:12" hidden="1" x14ac:dyDescent="0.3">
      <c r="A4079" t="s">
        <v>101</v>
      </c>
      <c r="B4079" t="s">
        <v>102</v>
      </c>
      <c r="C4079" t="s">
        <v>125</v>
      </c>
      <c r="D4079" t="s">
        <v>126</v>
      </c>
      <c r="E4079">
        <v>1975</v>
      </c>
      <c r="F4079" s="1">
        <v>12</v>
      </c>
      <c r="G4079">
        <v>1970</v>
      </c>
      <c r="H4079">
        <f>AVERAGEIFS(Table1[value],Table1[IndicatorCode],Table1[[#This Row],[IndicatorCode]])</f>
        <v>7.6894248608534319</v>
      </c>
      <c r="I4079" cm="1">
        <f t="array" ref="I4079">_xlfn.STDEV.P(IF(Table1[IndicatorCode]=Table1[[#This Row],[IndicatorCode]],Table1[value]))</f>
        <v>5.2319501044600996</v>
      </c>
      <c r="J4079">
        <f>(Table1[[#This Row],[value]] - Table1[[#This Row],[mean]]) / Table1[[#This Row],[std_dev]]</f>
        <v>0.82389454277706442</v>
      </c>
      <c r="K4079">
        <f>AVERAGEIF(Table1[CountryCode],Table1[[#This Row],[CountryCode]],Table1[z-score])</f>
        <v>-0.17256201820971051</v>
      </c>
      <c r="L4079" t="e">
        <f>VLOOKUP(Table1[[#This Row],[CountryCode]],[1]!Table1[#Data],4,FALSE)</f>
        <v>#REF!</v>
      </c>
    </row>
    <row r="4080" spans="1:12" hidden="1" x14ac:dyDescent="0.3">
      <c r="A4080" t="s">
        <v>101</v>
      </c>
      <c r="B4080" t="s">
        <v>102</v>
      </c>
      <c r="C4080" t="s">
        <v>125</v>
      </c>
      <c r="D4080" t="s">
        <v>126</v>
      </c>
      <c r="E4080">
        <v>1976</v>
      </c>
      <c r="F4080" s="1">
        <v>12</v>
      </c>
      <c r="G4080">
        <v>1970</v>
      </c>
      <c r="H4080">
        <f>AVERAGEIFS(Table1[value],Table1[IndicatorCode],Table1[[#This Row],[IndicatorCode]])</f>
        <v>7.6894248608534319</v>
      </c>
      <c r="I4080" cm="1">
        <f t="array" ref="I4080">_xlfn.STDEV.P(IF(Table1[IndicatorCode]=Table1[[#This Row],[IndicatorCode]],Table1[value]))</f>
        <v>5.2319501044600996</v>
      </c>
      <c r="J4080">
        <f>(Table1[[#This Row],[value]] - Table1[[#This Row],[mean]]) / Table1[[#This Row],[std_dev]]</f>
        <v>0.82389454277706442</v>
      </c>
      <c r="K4080">
        <f>AVERAGEIF(Table1[CountryCode],Table1[[#This Row],[CountryCode]],Table1[z-score])</f>
        <v>-0.17256201820971051</v>
      </c>
      <c r="L4080" t="e">
        <f>VLOOKUP(Table1[[#This Row],[CountryCode]],[1]!Table1[#Data],4,FALSE)</f>
        <v>#REF!</v>
      </c>
    </row>
    <row r="4081" spans="1:12" hidden="1" x14ac:dyDescent="0.3">
      <c r="A4081" t="s">
        <v>101</v>
      </c>
      <c r="B4081" t="s">
        <v>102</v>
      </c>
      <c r="C4081" t="s">
        <v>125</v>
      </c>
      <c r="D4081" t="s">
        <v>126</v>
      </c>
      <c r="E4081">
        <v>1977</v>
      </c>
      <c r="F4081" s="1">
        <v>13</v>
      </c>
      <c r="G4081">
        <v>1980</v>
      </c>
      <c r="H4081">
        <f>AVERAGEIFS(Table1[value],Table1[IndicatorCode],Table1[[#This Row],[IndicatorCode]])</f>
        <v>7.6894248608534319</v>
      </c>
      <c r="I4081" cm="1">
        <f t="array" ref="I4081">_xlfn.STDEV.P(IF(Table1[IndicatorCode]=Table1[[#This Row],[IndicatorCode]],Table1[value]))</f>
        <v>5.2319501044600996</v>
      </c>
      <c r="J4081">
        <f>(Table1[[#This Row],[value]] - Table1[[#This Row],[mean]]) / Table1[[#This Row],[std_dev]]</f>
        <v>1.0150278640118229</v>
      </c>
      <c r="K4081">
        <f>AVERAGEIF(Table1[CountryCode],Table1[[#This Row],[CountryCode]],Table1[z-score])</f>
        <v>-0.17256201820971051</v>
      </c>
      <c r="L4081" t="e">
        <f>VLOOKUP(Table1[[#This Row],[CountryCode]],[1]!Table1[#Data],4,FALSE)</f>
        <v>#REF!</v>
      </c>
    </row>
    <row r="4082" spans="1:12" hidden="1" x14ac:dyDescent="0.3">
      <c r="A4082" t="s">
        <v>101</v>
      </c>
      <c r="B4082" t="s">
        <v>102</v>
      </c>
      <c r="C4082" t="s">
        <v>125</v>
      </c>
      <c r="D4082" t="s">
        <v>126</v>
      </c>
      <c r="E4082">
        <v>1978</v>
      </c>
      <c r="F4082" s="1">
        <v>13</v>
      </c>
      <c r="G4082">
        <v>1980</v>
      </c>
      <c r="H4082">
        <f>AVERAGEIFS(Table1[value],Table1[IndicatorCode],Table1[[#This Row],[IndicatorCode]])</f>
        <v>7.6894248608534319</v>
      </c>
      <c r="I4082" cm="1">
        <f t="array" ref="I4082">_xlfn.STDEV.P(IF(Table1[IndicatorCode]=Table1[[#This Row],[IndicatorCode]],Table1[value]))</f>
        <v>5.2319501044600996</v>
      </c>
      <c r="J4082">
        <f>(Table1[[#This Row],[value]] - Table1[[#This Row],[mean]]) / Table1[[#This Row],[std_dev]]</f>
        <v>1.0150278640118229</v>
      </c>
      <c r="K4082">
        <f>AVERAGEIF(Table1[CountryCode],Table1[[#This Row],[CountryCode]],Table1[z-score])</f>
        <v>-0.17256201820971051</v>
      </c>
      <c r="L4082" t="e">
        <f>VLOOKUP(Table1[[#This Row],[CountryCode]],[1]!Table1[#Data],4,FALSE)</f>
        <v>#REF!</v>
      </c>
    </row>
    <row r="4083" spans="1:12" hidden="1" x14ac:dyDescent="0.3">
      <c r="A4083" t="s">
        <v>101</v>
      </c>
      <c r="B4083" t="s">
        <v>102</v>
      </c>
      <c r="C4083" t="s">
        <v>125</v>
      </c>
      <c r="D4083" t="s">
        <v>126</v>
      </c>
      <c r="E4083">
        <v>1979</v>
      </c>
      <c r="F4083" s="1">
        <v>13</v>
      </c>
      <c r="G4083">
        <v>1980</v>
      </c>
      <c r="H4083">
        <f>AVERAGEIFS(Table1[value],Table1[IndicatorCode],Table1[[#This Row],[IndicatorCode]])</f>
        <v>7.6894248608534319</v>
      </c>
      <c r="I4083" cm="1">
        <f t="array" ref="I4083">_xlfn.STDEV.P(IF(Table1[IndicatorCode]=Table1[[#This Row],[IndicatorCode]],Table1[value]))</f>
        <v>5.2319501044600996</v>
      </c>
      <c r="J4083">
        <f>(Table1[[#This Row],[value]] - Table1[[#This Row],[mean]]) / Table1[[#This Row],[std_dev]]</f>
        <v>1.0150278640118229</v>
      </c>
      <c r="K4083">
        <f>AVERAGEIF(Table1[CountryCode],Table1[[#This Row],[CountryCode]],Table1[z-score])</f>
        <v>-0.17256201820971051</v>
      </c>
      <c r="L4083" t="e">
        <f>VLOOKUP(Table1[[#This Row],[CountryCode]],[1]!Table1[#Data],4,FALSE)</f>
        <v>#REF!</v>
      </c>
    </row>
    <row r="4084" spans="1:12" hidden="1" x14ac:dyDescent="0.3">
      <c r="A4084" t="s">
        <v>101</v>
      </c>
      <c r="B4084" t="s">
        <v>102</v>
      </c>
      <c r="C4084" t="s">
        <v>125</v>
      </c>
      <c r="D4084" t="s">
        <v>126</v>
      </c>
      <c r="E4084">
        <v>1980</v>
      </c>
      <c r="F4084" s="1">
        <v>14</v>
      </c>
      <c r="G4084">
        <v>1980</v>
      </c>
      <c r="H4084">
        <f>AVERAGEIFS(Table1[value],Table1[IndicatorCode],Table1[[#This Row],[IndicatorCode]])</f>
        <v>7.6894248608534319</v>
      </c>
      <c r="I4084" cm="1">
        <f t="array" ref="I4084">_xlfn.STDEV.P(IF(Table1[IndicatorCode]=Table1[[#This Row],[IndicatorCode]],Table1[value]))</f>
        <v>5.2319501044600996</v>
      </c>
      <c r="J4084">
        <f>(Table1[[#This Row],[value]] - Table1[[#This Row],[mean]]) / Table1[[#This Row],[std_dev]]</f>
        <v>1.2061611852465812</v>
      </c>
      <c r="K4084">
        <f>AVERAGEIF(Table1[CountryCode],Table1[[#This Row],[CountryCode]],Table1[z-score])</f>
        <v>-0.17256201820971051</v>
      </c>
      <c r="L4084" t="e">
        <f>VLOOKUP(Table1[[#This Row],[CountryCode]],[1]!Table1[#Data],4,FALSE)</f>
        <v>#REF!</v>
      </c>
    </row>
    <row r="4085" spans="1:12" hidden="1" x14ac:dyDescent="0.3">
      <c r="A4085" t="s">
        <v>101</v>
      </c>
      <c r="B4085" t="s">
        <v>102</v>
      </c>
      <c r="C4085" t="s">
        <v>125</v>
      </c>
      <c r="D4085" t="s">
        <v>126</v>
      </c>
      <c r="E4085">
        <v>1981</v>
      </c>
      <c r="F4085" s="1">
        <v>14</v>
      </c>
      <c r="G4085">
        <v>1980</v>
      </c>
      <c r="H4085">
        <f>AVERAGEIFS(Table1[value],Table1[IndicatorCode],Table1[[#This Row],[IndicatorCode]])</f>
        <v>7.6894248608534319</v>
      </c>
      <c r="I4085" cm="1">
        <f t="array" ref="I4085">_xlfn.STDEV.P(IF(Table1[IndicatorCode]=Table1[[#This Row],[IndicatorCode]],Table1[value]))</f>
        <v>5.2319501044600996</v>
      </c>
      <c r="J4085">
        <f>(Table1[[#This Row],[value]] - Table1[[#This Row],[mean]]) / Table1[[#This Row],[std_dev]]</f>
        <v>1.2061611852465812</v>
      </c>
      <c r="K4085">
        <f>AVERAGEIF(Table1[CountryCode],Table1[[#This Row],[CountryCode]],Table1[z-score])</f>
        <v>-0.17256201820971051</v>
      </c>
      <c r="L4085" t="e">
        <f>VLOOKUP(Table1[[#This Row],[CountryCode]],[1]!Table1[#Data],4,FALSE)</f>
        <v>#REF!</v>
      </c>
    </row>
    <row r="4086" spans="1:12" hidden="1" x14ac:dyDescent="0.3">
      <c r="A4086" t="s">
        <v>101</v>
      </c>
      <c r="B4086" t="s">
        <v>102</v>
      </c>
      <c r="C4086" t="s">
        <v>125</v>
      </c>
      <c r="D4086" t="s">
        <v>126</v>
      </c>
      <c r="E4086">
        <v>1982</v>
      </c>
      <c r="F4086" s="1">
        <v>14</v>
      </c>
      <c r="G4086">
        <v>1980</v>
      </c>
      <c r="H4086">
        <f>AVERAGEIFS(Table1[value],Table1[IndicatorCode],Table1[[#This Row],[IndicatorCode]])</f>
        <v>7.6894248608534319</v>
      </c>
      <c r="I4086" cm="1">
        <f t="array" ref="I4086">_xlfn.STDEV.P(IF(Table1[IndicatorCode]=Table1[[#This Row],[IndicatorCode]],Table1[value]))</f>
        <v>5.2319501044600996</v>
      </c>
      <c r="J4086">
        <f>(Table1[[#This Row],[value]] - Table1[[#This Row],[mean]]) / Table1[[#This Row],[std_dev]]</f>
        <v>1.2061611852465812</v>
      </c>
      <c r="K4086">
        <f>AVERAGEIF(Table1[CountryCode],Table1[[#This Row],[CountryCode]],Table1[z-score])</f>
        <v>-0.17256201820971051</v>
      </c>
      <c r="L4086" t="e">
        <f>VLOOKUP(Table1[[#This Row],[CountryCode]],[1]!Table1[#Data],4,FALSE)</f>
        <v>#REF!</v>
      </c>
    </row>
    <row r="4087" spans="1:12" hidden="1" x14ac:dyDescent="0.3">
      <c r="A4087" t="s">
        <v>101</v>
      </c>
      <c r="B4087" t="s">
        <v>102</v>
      </c>
      <c r="C4087" t="s">
        <v>125</v>
      </c>
      <c r="D4087" t="s">
        <v>126</v>
      </c>
      <c r="E4087">
        <v>1983</v>
      </c>
      <c r="F4087" s="1">
        <v>14</v>
      </c>
      <c r="G4087">
        <v>1980</v>
      </c>
      <c r="H4087">
        <f>AVERAGEIFS(Table1[value],Table1[IndicatorCode],Table1[[#This Row],[IndicatorCode]])</f>
        <v>7.6894248608534319</v>
      </c>
      <c r="I4087" cm="1">
        <f t="array" ref="I4087">_xlfn.STDEV.P(IF(Table1[IndicatorCode]=Table1[[#This Row],[IndicatorCode]],Table1[value]))</f>
        <v>5.2319501044600996</v>
      </c>
      <c r="J4087">
        <f>(Table1[[#This Row],[value]] - Table1[[#This Row],[mean]]) / Table1[[#This Row],[std_dev]]</f>
        <v>1.2061611852465812</v>
      </c>
      <c r="K4087">
        <f>AVERAGEIF(Table1[CountryCode],Table1[[#This Row],[CountryCode]],Table1[z-score])</f>
        <v>-0.17256201820971051</v>
      </c>
      <c r="L4087" t="e">
        <f>VLOOKUP(Table1[[#This Row],[CountryCode]],[1]!Table1[#Data],4,FALSE)</f>
        <v>#REF!</v>
      </c>
    </row>
    <row r="4088" spans="1:12" hidden="1" x14ac:dyDescent="0.3">
      <c r="A4088" t="s">
        <v>101</v>
      </c>
      <c r="B4088" t="s">
        <v>102</v>
      </c>
      <c r="C4088" t="s">
        <v>125</v>
      </c>
      <c r="D4088" t="s">
        <v>126</v>
      </c>
      <c r="E4088">
        <v>1984</v>
      </c>
      <c r="F4088" s="1">
        <v>14</v>
      </c>
      <c r="G4088">
        <v>1980</v>
      </c>
      <c r="H4088">
        <f>AVERAGEIFS(Table1[value],Table1[IndicatorCode],Table1[[#This Row],[IndicatorCode]])</f>
        <v>7.6894248608534319</v>
      </c>
      <c r="I4088" cm="1">
        <f t="array" ref="I4088">_xlfn.STDEV.P(IF(Table1[IndicatorCode]=Table1[[#This Row],[IndicatorCode]],Table1[value]))</f>
        <v>5.2319501044600996</v>
      </c>
      <c r="J4088">
        <f>(Table1[[#This Row],[value]] - Table1[[#This Row],[mean]]) / Table1[[#This Row],[std_dev]]</f>
        <v>1.2061611852465812</v>
      </c>
      <c r="K4088">
        <f>AVERAGEIF(Table1[CountryCode],Table1[[#This Row],[CountryCode]],Table1[z-score])</f>
        <v>-0.17256201820971051</v>
      </c>
      <c r="L4088" t="e">
        <f>VLOOKUP(Table1[[#This Row],[CountryCode]],[1]!Table1[#Data],4,FALSE)</f>
        <v>#REF!</v>
      </c>
    </row>
    <row r="4089" spans="1:12" hidden="1" x14ac:dyDescent="0.3">
      <c r="A4089" t="s">
        <v>101</v>
      </c>
      <c r="B4089" t="s">
        <v>102</v>
      </c>
      <c r="C4089" t="s">
        <v>125</v>
      </c>
      <c r="D4089" t="s">
        <v>126</v>
      </c>
      <c r="E4089">
        <v>1985</v>
      </c>
      <c r="F4089" s="1">
        <v>14</v>
      </c>
      <c r="G4089">
        <v>1980</v>
      </c>
      <c r="H4089">
        <f>AVERAGEIFS(Table1[value],Table1[IndicatorCode],Table1[[#This Row],[IndicatorCode]])</f>
        <v>7.6894248608534319</v>
      </c>
      <c r="I4089" cm="1">
        <f t="array" ref="I4089">_xlfn.STDEV.P(IF(Table1[IndicatorCode]=Table1[[#This Row],[IndicatorCode]],Table1[value]))</f>
        <v>5.2319501044600996</v>
      </c>
      <c r="J4089">
        <f>(Table1[[#This Row],[value]] - Table1[[#This Row],[mean]]) / Table1[[#This Row],[std_dev]]</f>
        <v>1.2061611852465812</v>
      </c>
      <c r="K4089">
        <f>AVERAGEIF(Table1[CountryCode],Table1[[#This Row],[CountryCode]],Table1[z-score])</f>
        <v>-0.17256201820971051</v>
      </c>
      <c r="L4089" t="e">
        <f>VLOOKUP(Table1[[#This Row],[CountryCode]],[1]!Table1[#Data],4,FALSE)</f>
        <v>#REF!</v>
      </c>
    </row>
    <row r="4090" spans="1:12" hidden="1" x14ac:dyDescent="0.3">
      <c r="A4090" t="s">
        <v>101</v>
      </c>
      <c r="B4090" t="s">
        <v>102</v>
      </c>
      <c r="C4090" t="s">
        <v>125</v>
      </c>
      <c r="D4090" t="s">
        <v>126</v>
      </c>
      <c r="E4090">
        <v>1986</v>
      </c>
      <c r="F4090" s="1">
        <v>15</v>
      </c>
      <c r="G4090">
        <v>1980</v>
      </c>
      <c r="H4090">
        <f>AVERAGEIFS(Table1[value],Table1[IndicatorCode],Table1[[#This Row],[IndicatorCode]])</f>
        <v>7.6894248608534319</v>
      </c>
      <c r="I4090" cm="1">
        <f t="array" ref="I4090">_xlfn.STDEV.P(IF(Table1[IndicatorCode]=Table1[[#This Row],[IndicatorCode]],Table1[value]))</f>
        <v>5.2319501044600996</v>
      </c>
      <c r="J4090">
        <f>(Table1[[#This Row],[value]] - Table1[[#This Row],[mean]]) / Table1[[#This Row],[std_dev]]</f>
        <v>1.3972945064813396</v>
      </c>
      <c r="K4090">
        <f>AVERAGEIF(Table1[CountryCode],Table1[[#This Row],[CountryCode]],Table1[z-score])</f>
        <v>-0.17256201820971051</v>
      </c>
      <c r="L4090" t="e">
        <f>VLOOKUP(Table1[[#This Row],[CountryCode]],[1]!Table1[#Data],4,FALSE)</f>
        <v>#REF!</v>
      </c>
    </row>
    <row r="4091" spans="1:12" hidden="1" x14ac:dyDescent="0.3">
      <c r="A4091" t="s">
        <v>101</v>
      </c>
      <c r="B4091" t="s">
        <v>102</v>
      </c>
      <c r="C4091" t="s">
        <v>125</v>
      </c>
      <c r="D4091" t="s">
        <v>126</v>
      </c>
      <c r="E4091">
        <v>1987</v>
      </c>
      <c r="F4091" s="1">
        <v>15</v>
      </c>
      <c r="G4091">
        <v>1990</v>
      </c>
      <c r="H4091">
        <f>AVERAGEIFS(Table1[value],Table1[IndicatorCode],Table1[[#This Row],[IndicatorCode]])</f>
        <v>7.6894248608534319</v>
      </c>
      <c r="I4091" cm="1">
        <f t="array" ref="I4091">_xlfn.STDEV.P(IF(Table1[IndicatorCode]=Table1[[#This Row],[IndicatorCode]],Table1[value]))</f>
        <v>5.2319501044600996</v>
      </c>
      <c r="J4091">
        <f>(Table1[[#This Row],[value]] - Table1[[#This Row],[mean]]) / Table1[[#This Row],[std_dev]]</f>
        <v>1.3972945064813396</v>
      </c>
      <c r="K4091">
        <f>AVERAGEIF(Table1[CountryCode],Table1[[#This Row],[CountryCode]],Table1[z-score])</f>
        <v>-0.17256201820971051</v>
      </c>
      <c r="L4091" t="e">
        <f>VLOOKUP(Table1[[#This Row],[CountryCode]],[1]!Table1[#Data],4,FALSE)</f>
        <v>#REF!</v>
      </c>
    </row>
    <row r="4092" spans="1:12" hidden="1" x14ac:dyDescent="0.3">
      <c r="A4092" t="s">
        <v>101</v>
      </c>
      <c r="B4092" t="s">
        <v>102</v>
      </c>
      <c r="C4092" t="s">
        <v>125</v>
      </c>
      <c r="D4092" t="s">
        <v>126</v>
      </c>
      <c r="E4092">
        <v>1988</v>
      </c>
      <c r="F4092" s="1">
        <v>15</v>
      </c>
      <c r="G4092">
        <v>1990</v>
      </c>
      <c r="H4092">
        <f>AVERAGEIFS(Table1[value],Table1[IndicatorCode],Table1[[#This Row],[IndicatorCode]])</f>
        <v>7.6894248608534319</v>
      </c>
      <c r="I4092" cm="1">
        <f t="array" ref="I4092">_xlfn.STDEV.P(IF(Table1[IndicatorCode]=Table1[[#This Row],[IndicatorCode]],Table1[value]))</f>
        <v>5.2319501044600996</v>
      </c>
      <c r="J4092">
        <f>(Table1[[#This Row],[value]] - Table1[[#This Row],[mean]]) / Table1[[#This Row],[std_dev]]</f>
        <v>1.3972945064813396</v>
      </c>
      <c r="K4092">
        <f>AVERAGEIF(Table1[CountryCode],Table1[[#This Row],[CountryCode]],Table1[z-score])</f>
        <v>-0.17256201820971051</v>
      </c>
      <c r="L4092" t="e">
        <f>VLOOKUP(Table1[[#This Row],[CountryCode]],[1]!Table1[#Data],4,FALSE)</f>
        <v>#REF!</v>
      </c>
    </row>
    <row r="4093" spans="1:12" hidden="1" x14ac:dyDescent="0.3">
      <c r="A4093" t="s">
        <v>101</v>
      </c>
      <c r="B4093" t="s">
        <v>102</v>
      </c>
      <c r="C4093" t="s">
        <v>125</v>
      </c>
      <c r="D4093" t="s">
        <v>126</v>
      </c>
      <c r="E4093">
        <v>1989</v>
      </c>
      <c r="F4093" s="1">
        <v>15</v>
      </c>
      <c r="G4093">
        <v>1990</v>
      </c>
      <c r="H4093">
        <f>AVERAGEIFS(Table1[value],Table1[IndicatorCode],Table1[[#This Row],[IndicatorCode]])</f>
        <v>7.6894248608534319</v>
      </c>
      <c r="I4093" cm="1">
        <f t="array" ref="I4093">_xlfn.STDEV.P(IF(Table1[IndicatorCode]=Table1[[#This Row],[IndicatorCode]],Table1[value]))</f>
        <v>5.2319501044600996</v>
      </c>
      <c r="J4093">
        <f>(Table1[[#This Row],[value]] - Table1[[#This Row],[mean]]) / Table1[[#This Row],[std_dev]]</f>
        <v>1.3972945064813396</v>
      </c>
      <c r="K4093">
        <f>AVERAGEIF(Table1[CountryCode],Table1[[#This Row],[CountryCode]],Table1[z-score])</f>
        <v>-0.17256201820971051</v>
      </c>
      <c r="L4093" t="e">
        <f>VLOOKUP(Table1[[#This Row],[CountryCode]],[1]!Table1[#Data],4,FALSE)</f>
        <v>#REF!</v>
      </c>
    </row>
    <row r="4094" spans="1:12" hidden="1" x14ac:dyDescent="0.3">
      <c r="A4094" t="s">
        <v>101</v>
      </c>
      <c r="B4094" t="s">
        <v>102</v>
      </c>
      <c r="C4094" t="s">
        <v>125</v>
      </c>
      <c r="D4094" t="s">
        <v>126</v>
      </c>
      <c r="E4094">
        <v>1990</v>
      </c>
      <c r="F4094" s="1">
        <v>16</v>
      </c>
      <c r="G4094">
        <v>1990</v>
      </c>
      <c r="H4094">
        <f>AVERAGEIFS(Table1[value],Table1[IndicatorCode],Table1[[#This Row],[IndicatorCode]])</f>
        <v>7.6894248608534319</v>
      </c>
      <c r="I4094" cm="1">
        <f t="array" ref="I4094">_xlfn.STDEV.P(IF(Table1[IndicatorCode]=Table1[[#This Row],[IndicatorCode]],Table1[value]))</f>
        <v>5.2319501044600996</v>
      </c>
      <c r="J4094">
        <f>(Table1[[#This Row],[value]] - Table1[[#This Row],[mean]]) / Table1[[#This Row],[std_dev]]</f>
        <v>1.5884278277160979</v>
      </c>
      <c r="K4094">
        <f>AVERAGEIF(Table1[CountryCode],Table1[[#This Row],[CountryCode]],Table1[z-score])</f>
        <v>-0.17256201820971051</v>
      </c>
      <c r="L4094" t="e">
        <f>VLOOKUP(Table1[[#This Row],[CountryCode]],[1]!Table1[#Data],4,FALSE)</f>
        <v>#REF!</v>
      </c>
    </row>
    <row r="4095" spans="1:12" hidden="1" x14ac:dyDescent="0.3">
      <c r="A4095" t="s">
        <v>101</v>
      </c>
      <c r="B4095" t="s">
        <v>102</v>
      </c>
      <c r="C4095" t="s">
        <v>125</v>
      </c>
      <c r="D4095" t="s">
        <v>126</v>
      </c>
      <c r="E4095">
        <v>1991</v>
      </c>
      <c r="F4095" s="1">
        <v>16</v>
      </c>
      <c r="G4095">
        <v>1990</v>
      </c>
      <c r="H4095">
        <f>AVERAGEIFS(Table1[value],Table1[IndicatorCode],Table1[[#This Row],[IndicatorCode]])</f>
        <v>7.6894248608534319</v>
      </c>
      <c r="I4095" cm="1">
        <f t="array" ref="I4095">_xlfn.STDEV.P(IF(Table1[IndicatorCode]=Table1[[#This Row],[IndicatorCode]],Table1[value]))</f>
        <v>5.2319501044600996</v>
      </c>
      <c r="J4095">
        <f>(Table1[[#This Row],[value]] - Table1[[#This Row],[mean]]) / Table1[[#This Row],[std_dev]]</f>
        <v>1.5884278277160979</v>
      </c>
      <c r="K4095">
        <f>AVERAGEIF(Table1[CountryCode],Table1[[#This Row],[CountryCode]],Table1[z-score])</f>
        <v>-0.17256201820971051</v>
      </c>
      <c r="L4095" t="e">
        <f>VLOOKUP(Table1[[#This Row],[CountryCode]],[1]!Table1[#Data],4,FALSE)</f>
        <v>#REF!</v>
      </c>
    </row>
    <row r="4096" spans="1:12" hidden="1" x14ac:dyDescent="0.3">
      <c r="A4096" t="s">
        <v>101</v>
      </c>
      <c r="B4096" t="s">
        <v>102</v>
      </c>
      <c r="C4096" t="s">
        <v>125</v>
      </c>
      <c r="D4096" t="s">
        <v>126</v>
      </c>
      <c r="E4096">
        <v>1992</v>
      </c>
      <c r="F4096" s="1">
        <v>15</v>
      </c>
      <c r="G4096">
        <v>1990</v>
      </c>
      <c r="H4096">
        <f>AVERAGEIFS(Table1[value],Table1[IndicatorCode],Table1[[#This Row],[IndicatorCode]])</f>
        <v>7.6894248608534319</v>
      </c>
      <c r="I4096" cm="1">
        <f t="array" ref="I4096">_xlfn.STDEV.P(IF(Table1[IndicatorCode]=Table1[[#This Row],[IndicatorCode]],Table1[value]))</f>
        <v>5.2319501044600996</v>
      </c>
      <c r="J4096">
        <f>(Table1[[#This Row],[value]] - Table1[[#This Row],[mean]]) / Table1[[#This Row],[std_dev]]</f>
        <v>1.3972945064813396</v>
      </c>
      <c r="K4096">
        <f>AVERAGEIF(Table1[CountryCode],Table1[[#This Row],[CountryCode]],Table1[z-score])</f>
        <v>-0.17256201820971051</v>
      </c>
      <c r="L4096" t="e">
        <f>VLOOKUP(Table1[[#This Row],[CountryCode]],[1]!Table1[#Data],4,FALSE)</f>
        <v>#REF!</v>
      </c>
    </row>
    <row r="4097" spans="1:12" hidden="1" x14ac:dyDescent="0.3">
      <c r="A4097" t="s">
        <v>101</v>
      </c>
      <c r="B4097" t="s">
        <v>102</v>
      </c>
      <c r="C4097" t="s">
        <v>125</v>
      </c>
      <c r="D4097" t="s">
        <v>126</v>
      </c>
      <c r="E4097">
        <v>1993</v>
      </c>
      <c r="F4097" s="1">
        <v>14</v>
      </c>
      <c r="G4097">
        <v>1990</v>
      </c>
      <c r="H4097">
        <f>AVERAGEIFS(Table1[value],Table1[IndicatorCode],Table1[[#This Row],[IndicatorCode]])</f>
        <v>7.6894248608534319</v>
      </c>
      <c r="I4097" cm="1">
        <f t="array" ref="I4097">_xlfn.STDEV.P(IF(Table1[IndicatorCode]=Table1[[#This Row],[IndicatorCode]],Table1[value]))</f>
        <v>5.2319501044600996</v>
      </c>
      <c r="J4097">
        <f>(Table1[[#This Row],[value]] - Table1[[#This Row],[mean]]) / Table1[[#This Row],[std_dev]]</f>
        <v>1.2061611852465812</v>
      </c>
      <c r="K4097">
        <f>AVERAGEIF(Table1[CountryCode],Table1[[#This Row],[CountryCode]],Table1[z-score])</f>
        <v>-0.17256201820971051</v>
      </c>
      <c r="L4097" t="e">
        <f>VLOOKUP(Table1[[#This Row],[CountryCode]],[1]!Table1[#Data],4,FALSE)</f>
        <v>#REF!</v>
      </c>
    </row>
    <row r="4098" spans="1:12" hidden="1" x14ac:dyDescent="0.3">
      <c r="A4098" t="s">
        <v>101</v>
      </c>
      <c r="B4098" t="s">
        <v>102</v>
      </c>
      <c r="C4098" t="s">
        <v>125</v>
      </c>
      <c r="D4098" t="s">
        <v>126</v>
      </c>
      <c r="E4098">
        <v>1994</v>
      </c>
      <c r="F4098" s="1">
        <v>12</v>
      </c>
      <c r="G4098">
        <v>1990</v>
      </c>
      <c r="H4098">
        <f>AVERAGEIFS(Table1[value],Table1[IndicatorCode],Table1[[#This Row],[IndicatorCode]])</f>
        <v>7.6894248608534319</v>
      </c>
      <c r="I4098" cm="1">
        <f t="array" ref="I4098">_xlfn.STDEV.P(IF(Table1[IndicatorCode]=Table1[[#This Row],[IndicatorCode]],Table1[value]))</f>
        <v>5.2319501044600996</v>
      </c>
      <c r="J4098">
        <f>(Table1[[#This Row],[value]] - Table1[[#This Row],[mean]]) / Table1[[#This Row],[std_dev]]</f>
        <v>0.82389454277706442</v>
      </c>
      <c r="K4098">
        <f>AVERAGEIF(Table1[CountryCode],Table1[[#This Row],[CountryCode]],Table1[z-score])</f>
        <v>-0.17256201820971051</v>
      </c>
      <c r="L4098" t="e">
        <f>VLOOKUP(Table1[[#This Row],[CountryCode]],[1]!Table1[#Data],4,FALSE)</f>
        <v>#REF!</v>
      </c>
    </row>
    <row r="4099" spans="1:12" hidden="1" x14ac:dyDescent="0.3">
      <c r="A4099" t="s">
        <v>101</v>
      </c>
      <c r="B4099" t="s">
        <v>102</v>
      </c>
      <c r="C4099" t="s">
        <v>125</v>
      </c>
      <c r="D4099" t="s">
        <v>126</v>
      </c>
      <c r="E4099">
        <v>1995</v>
      </c>
      <c r="F4099" s="1">
        <v>12</v>
      </c>
      <c r="G4099">
        <v>1990</v>
      </c>
      <c r="H4099">
        <f>AVERAGEIFS(Table1[value],Table1[IndicatorCode],Table1[[#This Row],[IndicatorCode]])</f>
        <v>7.6894248608534319</v>
      </c>
      <c r="I4099" cm="1">
        <f t="array" ref="I4099">_xlfn.STDEV.P(IF(Table1[IndicatorCode]=Table1[[#This Row],[IndicatorCode]],Table1[value]))</f>
        <v>5.2319501044600996</v>
      </c>
      <c r="J4099">
        <f>(Table1[[#This Row],[value]] - Table1[[#This Row],[mean]]) / Table1[[#This Row],[std_dev]]</f>
        <v>0.82389454277706442</v>
      </c>
      <c r="K4099">
        <f>AVERAGEIF(Table1[CountryCode],Table1[[#This Row],[CountryCode]],Table1[z-score])</f>
        <v>-0.17256201820971051</v>
      </c>
      <c r="L4099" t="e">
        <f>VLOOKUP(Table1[[#This Row],[CountryCode]],[1]!Table1[#Data],4,FALSE)</f>
        <v>#REF!</v>
      </c>
    </row>
    <row r="4100" spans="1:12" hidden="1" x14ac:dyDescent="0.3">
      <c r="A4100" t="s">
        <v>101</v>
      </c>
      <c r="B4100" t="s">
        <v>102</v>
      </c>
      <c r="C4100" t="s">
        <v>125</v>
      </c>
      <c r="D4100" t="s">
        <v>126</v>
      </c>
      <c r="E4100">
        <v>1996</v>
      </c>
      <c r="F4100" s="1">
        <v>12</v>
      </c>
      <c r="G4100">
        <v>1990</v>
      </c>
      <c r="H4100">
        <f>AVERAGEIFS(Table1[value],Table1[IndicatorCode],Table1[[#This Row],[IndicatorCode]])</f>
        <v>7.6894248608534319</v>
      </c>
      <c r="I4100" cm="1">
        <f t="array" ref="I4100">_xlfn.STDEV.P(IF(Table1[IndicatorCode]=Table1[[#This Row],[IndicatorCode]],Table1[value]))</f>
        <v>5.2319501044600996</v>
      </c>
      <c r="J4100">
        <f>(Table1[[#This Row],[value]] - Table1[[#This Row],[mean]]) / Table1[[#This Row],[std_dev]]</f>
        <v>0.82389454277706442</v>
      </c>
      <c r="K4100">
        <f>AVERAGEIF(Table1[CountryCode],Table1[[#This Row],[CountryCode]],Table1[z-score])</f>
        <v>-0.17256201820971051</v>
      </c>
      <c r="L4100" t="e">
        <f>VLOOKUP(Table1[[#This Row],[CountryCode]],[1]!Table1[#Data],4,FALSE)</f>
        <v>#REF!</v>
      </c>
    </row>
    <row r="4101" spans="1:12" hidden="1" x14ac:dyDescent="0.3">
      <c r="A4101" t="s">
        <v>101</v>
      </c>
      <c r="B4101" t="s">
        <v>102</v>
      </c>
      <c r="C4101" t="s">
        <v>125</v>
      </c>
      <c r="D4101" t="s">
        <v>126</v>
      </c>
      <c r="E4101">
        <v>1997</v>
      </c>
      <c r="F4101" s="1">
        <v>11</v>
      </c>
      <c r="G4101">
        <v>2000</v>
      </c>
      <c r="H4101">
        <f>AVERAGEIFS(Table1[value],Table1[IndicatorCode],Table1[[#This Row],[IndicatorCode]])</f>
        <v>7.6894248608534319</v>
      </c>
      <c r="I4101" cm="1">
        <f t="array" ref="I4101">_xlfn.STDEV.P(IF(Table1[IndicatorCode]=Table1[[#This Row],[IndicatorCode]],Table1[value]))</f>
        <v>5.2319501044600996</v>
      </c>
      <c r="J4101">
        <f>(Table1[[#This Row],[value]] - Table1[[#This Row],[mean]]) / Table1[[#This Row],[std_dev]]</f>
        <v>0.63276122154230596</v>
      </c>
      <c r="K4101">
        <f>AVERAGEIF(Table1[CountryCode],Table1[[#This Row],[CountryCode]],Table1[z-score])</f>
        <v>-0.17256201820971051</v>
      </c>
      <c r="L4101" t="e">
        <f>VLOOKUP(Table1[[#This Row],[CountryCode]],[1]!Table1[#Data],4,FALSE)</f>
        <v>#REF!</v>
      </c>
    </row>
    <row r="4102" spans="1:12" hidden="1" x14ac:dyDescent="0.3">
      <c r="A4102" t="s">
        <v>101</v>
      </c>
      <c r="B4102" t="s">
        <v>102</v>
      </c>
      <c r="C4102" t="s">
        <v>125</v>
      </c>
      <c r="D4102" t="s">
        <v>126</v>
      </c>
      <c r="E4102">
        <v>1998</v>
      </c>
      <c r="F4102" s="1">
        <v>11</v>
      </c>
      <c r="G4102">
        <v>2000</v>
      </c>
      <c r="H4102">
        <f>AVERAGEIFS(Table1[value],Table1[IndicatorCode],Table1[[#This Row],[IndicatorCode]])</f>
        <v>7.6894248608534319</v>
      </c>
      <c r="I4102" cm="1">
        <f t="array" ref="I4102">_xlfn.STDEV.P(IF(Table1[IndicatorCode]=Table1[[#This Row],[IndicatorCode]],Table1[value]))</f>
        <v>5.2319501044600996</v>
      </c>
      <c r="J4102">
        <f>(Table1[[#This Row],[value]] - Table1[[#This Row],[mean]]) / Table1[[#This Row],[std_dev]]</f>
        <v>0.63276122154230596</v>
      </c>
      <c r="K4102">
        <f>AVERAGEIF(Table1[CountryCode],Table1[[#This Row],[CountryCode]],Table1[z-score])</f>
        <v>-0.17256201820971051</v>
      </c>
      <c r="L4102" t="e">
        <f>VLOOKUP(Table1[[#This Row],[CountryCode]],[1]!Table1[#Data],4,FALSE)</f>
        <v>#REF!</v>
      </c>
    </row>
    <row r="4103" spans="1:12" hidden="1" x14ac:dyDescent="0.3">
      <c r="A4103" t="s">
        <v>101</v>
      </c>
      <c r="B4103" t="s">
        <v>102</v>
      </c>
      <c r="C4103" t="s">
        <v>125</v>
      </c>
      <c r="D4103" t="s">
        <v>126</v>
      </c>
      <c r="E4103">
        <v>1999</v>
      </c>
      <c r="F4103" s="1">
        <v>11</v>
      </c>
      <c r="G4103">
        <v>2000</v>
      </c>
      <c r="H4103">
        <f>AVERAGEIFS(Table1[value],Table1[IndicatorCode],Table1[[#This Row],[IndicatorCode]])</f>
        <v>7.6894248608534319</v>
      </c>
      <c r="I4103" cm="1">
        <f t="array" ref="I4103">_xlfn.STDEV.P(IF(Table1[IndicatorCode]=Table1[[#This Row],[IndicatorCode]],Table1[value]))</f>
        <v>5.2319501044600996</v>
      </c>
      <c r="J4103">
        <f>(Table1[[#This Row],[value]] - Table1[[#This Row],[mean]]) / Table1[[#This Row],[std_dev]]</f>
        <v>0.63276122154230596</v>
      </c>
      <c r="K4103">
        <f>AVERAGEIF(Table1[CountryCode],Table1[[#This Row],[CountryCode]],Table1[z-score])</f>
        <v>-0.17256201820971051</v>
      </c>
      <c r="L4103" t="e">
        <f>VLOOKUP(Table1[[#This Row],[CountryCode]],[1]!Table1[#Data],4,FALSE)</f>
        <v>#REF!</v>
      </c>
    </row>
    <row r="4104" spans="1:12" hidden="1" x14ac:dyDescent="0.3">
      <c r="A4104" t="s">
        <v>101</v>
      </c>
      <c r="B4104" t="s">
        <v>102</v>
      </c>
      <c r="C4104" t="s">
        <v>125</v>
      </c>
      <c r="D4104" t="s">
        <v>126</v>
      </c>
      <c r="E4104">
        <v>2000</v>
      </c>
      <c r="F4104" s="1">
        <v>11</v>
      </c>
      <c r="G4104">
        <v>2000</v>
      </c>
      <c r="H4104">
        <f>AVERAGEIFS(Table1[value],Table1[IndicatorCode],Table1[[#This Row],[IndicatorCode]])</f>
        <v>7.6894248608534319</v>
      </c>
      <c r="I4104" cm="1">
        <f t="array" ref="I4104">_xlfn.STDEV.P(IF(Table1[IndicatorCode]=Table1[[#This Row],[IndicatorCode]],Table1[value]))</f>
        <v>5.2319501044600996</v>
      </c>
      <c r="J4104">
        <f>(Table1[[#This Row],[value]] - Table1[[#This Row],[mean]]) / Table1[[#This Row],[std_dev]]</f>
        <v>0.63276122154230596</v>
      </c>
      <c r="K4104">
        <f>AVERAGEIF(Table1[CountryCode],Table1[[#This Row],[CountryCode]],Table1[z-score])</f>
        <v>-0.17256201820971051</v>
      </c>
      <c r="L4104" t="e">
        <f>VLOOKUP(Table1[[#This Row],[CountryCode]],[1]!Table1[#Data],4,FALSE)</f>
        <v>#REF!</v>
      </c>
    </row>
    <row r="4105" spans="1:12" hidden="1" x14ac:dyDescent="0.3">
      <c r="A4105" t="s">
        <v>101</v>
      </c>
      <c r="B4105" t="s">
        <v>102</v>
      </c>
      <c r="C4105" t="s">
        <v>125</v>
      </c>
      <c r="D4105" t="s">
        <v>126</v>
      </c>
      <c r="E4105">
        <v>2001</v>
      </c>
      <c r="F4105" s="1">
        <v>12</v>
      </c>
      <c r="G4105">
        <v>2000</v>
      </c>
      <c r="H4105">
        <f>AVERAGEIFS(Table1[value],Table1[IndicatorCode],Table1[[#This Row],[IndicatorCode]])</f>
        <v>7.6894248608534319</v>
      </c>
      <c r="I4105" cm="1">
        <f t="array" ref="I4105">_xlfn.STDEV.P(IF(Table1[IndicatorCode]=Table1[[#This Row],[IndicatorCode]],Table1[value]))</f>
        <v>5.2319501044600996</v>
      </c>
      <c r="J4105">
        <f>(Table1[[#This Row],[value]] - Table1[[#This Row],[mean]]) / Table1[[#This Row],[std_dev]]</f>
        <v>0.82389454277706442</v>
      </c>
      <c r="K4105">
        <f>AVERAGEIF(Table1[CountryCode],Table1[[#This Row],[CountryCode]],Table1[z-score])</f>
        <v>-0.17256201820971051</v>
      </c>
      <c r="L4105" t="e">
        <f>VLOOKUP(Table1[[#This Row],[CountryCode]],[1]!Table1[#Data],4,FALSE)</f>
        <v>#REF!</v>
      </c>
    </row>
    <row r="4106" spans="1:12" hidden="1" x14ac:dyDescent="0.3">
      <c r="A4106" t="s">
        <v>101</v>
      </c>
      <c r="B4106" t="s">
        <v>102</v>
      </c>
      <c r="C4106" t="s">
        <v>125</v>
      </c>
      <c r="D4106" t="s">
        <v>126</v>
      </c>
      <c r="E4106">
        <v>2002</v>
      </c>
      <c r="F4106" s="1">
        <v>12</v>
      </c>
      <c r="G4106">
        <v>2000</v>
      </c>
      <c r="H4106">
        <f>AVERAGEIFS(Table1[value],Table1[IndicatorCode],Table1[[#This Row],[IndicatorCode]])</f>
        <v>7.6894248608534319</v>
      </c>
      <c r="I4106" cm="1">
        <f t="array" ref="I4106">_xlfn.STDEV.P(IF(Table1[IndicatorCode]=Table1[[#This Row],[IndicatorCode]],Table1[value]))</f>
        <v>5.2319501044600996</v>
      </c>
      <c r="J4106">
        <f>(Table1[[#This Row],[value]] - Table1[[#This Row],[mean]]) / Table1[[#This Row],[std_dev]]</f>
        <v>0.82389454277706442</v>
      </c>
      <c r="K4106">
        <f>AVERAGEIF(Table1[CountryCode],Table1[[#This Row],[CountryCode]],Table1[z-score])</f>
        <v>-0.17256201820971051</v>
      </c>
      <c r="L4106" t="e">
        <f>VLOOKUP(Table1[[#This Row],[CountryCode]],[1]!Table1[#Data],4,FALSE)</f>
        <v>#REF!</v>
      </c>
    </row>
    <row r="4107" spans="1:12" hidden="1" x14ac:dyDescent="0.3">
      <c r="A4107" t="s">
        <v>101</v>
      </c>
      <c r="B4107" t="s">
        <v>102</v>
      </c>
      <c r="C4107" t="s">
        <v>125</v>
      </c>
      <c r="D4107" t="s">
        <v>126</v>
      </c>
      <c r="E4107">
        <v>2003</v>
      </c>
      <c r="F4107" s="1">
        <v>12</v>
      </c>
      <c r="G4107">
        <v>2000</v>
      </c>
      <c r="H4107">
        <f>AVERAGEIFS(Table1[value],Table1[IndicatorCode],Table1[[#This Row],[IndicatorCode]])</f>
        <v>7.6894248608534319</v>
      </c>
      <c r="I4107" cm="1">
        <f t="array" ref="I4107">_xlfn.STDEV.P(IF(Table1[IndicatorCode]=Table1[[#This Row],[IndicatorCode]],Table1[value]))</f>
        <v>5.2319501044600996</v>
      </c>
      <c r="J4107">
        <f>(Table1[[#This Row],[value]] - Table1[[#This Row],[mean]]) / Table1[[#This Row],[std_dev]]</f>
        <v>0.82389454277706442</v>
      </c>
      <c r="K4107">
        <f>AVERAGEIF(Table1[CountryCode],Table1[[#This Row],[CountryCode]],Table1[z-score])</f>
        <v>-0.17256201820971051</v>
      </c>
      <c r="L4107" t="e">
        <f>VLOOKUP(Table1[[#This Row],[CountryCode]],[1]!Table1[#Data],4,FALSE)</f>
        <v>#REF!</v>
      </c>
    </row>
    <row r="4108" spans="1:12" hidden="1" x14ac:dyDescent="0.3">
      <c r="A4108" t="s">
        <v>101</v>
      </c>
      <c r="B4108" t="s">
        <v>102</v>
      </c>
      <c r="C4108" t="s">
        <v>125</v>
      </c>
      <c r="D4108" t="s">
        <v>126</v>
      </c>
      <c r="E4108">
        <v>2004</v>
      </c>
      <c r="F4108" s="1">
        <v>12</v>
      </c>
      <c r="G4108">
        <v>2000</v>
      </c>
      <c r="H4108">
        <f>AVERAGEIFS(Table1[value],Table1[IndicatorCode],Table1[[#This Row],[IndicatorCode]])</f>
        <v>7.6894248608534319</v>
      </c>
      <c r="I4108" cm="1">
        <f t="array" ref="I4108">_xlfn.STDEV.P(IF(Table1[IndicatorCode]=Table1[[#This Row],[IndicatorCode]],Table1[value]))</f>
        <v>5.2319501044600996</v>
      </c>
      <c r="J4108">
        <f>(Table1[[#This Row],[value]] - Table1[[#This Row],[mean]]) / Table1[[#This Row],[std_dev]]</f>
        <v>0.82389454277706442</v>
      </c>
      <c r="K4108">
        <f>AVERAGEIF(Table1[CountryCode],Table1[[#This Row],[CountryCode]],Table1[z-score])</f>
        <v>-0.17256201820971051</v>
      </c>
      <c r="L4108" t="e">
        <f>VLOOKUP(Table1[[#This Row],[CountryCode]],[1]!Table1[#Data],4,FALSE)</f>
        <v>#REF!</v>
      </c>
    </row>
    <row r="4109" spans="1:12" hidden="1" x14ac:dyDescent="0.3">
      <c r="A4109" t="s">
        <v>101</v>
      </c>
      <c r="B4109" t="s">
        <v>102</v>
      </c>
      <c r="C4109" t="s">
        <v>125</v>
      </c>
      <c r="D4109" t="s">
        <v>126</v>
      </c>
      <c r="E4109">
        <v>2005</v>
      </c>
      <c r="F4109" s="1">
        <v>12</v>
      </c>
      <c r="G4109">
        <v>2000</v>
      </c>
      <c r="H4109">
        <f>AVERAGEIFS(Table1[value],Table1[IndicatorCode],Table1[[#This Row],[IndicatorCode]])</f>
        <v>7.6894248608534319</v>
      </c>
      <c r="I4109" cm="1">
        <f t="array" ref="I4109">_xlfn.STDEV.P(IF(Table1[IndicatorCode]=Table1[[#This Row],[IndicatorCode]],Table1[value]))</f>
        <v>5.2319501044600996</v>
      </c>
      <c r="J4109">
        <f>(Table1[[#This Row],[value]] - Table1[[#This Row],[mean]]) / Table1[[#This Row],[std_dev]]</f>
        <v>0.82389454277706442</v>
      </c>
      <c r="K4109">
        <f>AVERAGEIF(Table1[CountryCode],Table1[[#This Row],[CountryCode]],Table1[z-score])</f>
        <v>-0.17256201820971051</v>
      </c>
      <c r="L4109" t="e">
        <f>VLOOKUP(Table1[[#This Row],[CountryCode]],[1]!Table1[#Data],4,FALSE)</f>
        <v>#REF!</v>
      </c>
    </row>
    <row r="4110" spans="1:12" hidden="1" x14ac:dyDescent="0.3">
      <c r="A4110" t="s">
        <v>101</v>
      </c>
      <c r="B4110" t="s">
        <v>102</v>
      </c>
      <c r="C4110" t="s">
        <v>125</v>
      </c>
      <c r="D4110" t="s">
        <v>126</v>
      </c>
      <c r="E4110">
        <v>2006</v>
      </c>
      <c r="F4110" s="1">
        <v>12</v>
      </c>
      <c r="G4110">
        <v>2000</v>
      </c>
      <c r="H4110">
        <f>AVERAGEIFS(Table1[value],Table1[IndicatorCode],Table1[[#This Row],[IndicatorCode]])</f>
        <v>7.6894248608534319</v>
      </c>
      <c r="I4110" cm="1">
        <f t="array" ref="I4110">_xlfn.STDEV.P(IF(Table1[IndicatorCode]=Table1[[#This Row],[IndicatorCode]],Table1[value]))</f>
        <v>5.2319501044600996</v>
      </c>
      <c r="J4110">
        <f>(Table1[[#This Row],[value]] - Table1[[#This Row],[mean]]) / Table1[[#This Row],[std_dev]]</f>
        <v>0.82389454277706442</v>
      </c>
      <c r="K4110">
        <f>AVERAGEIF(Table1[CountryCode],Table1[[#This Row],[CountryCode]],Table1[z-score])</f>
        <v>-0.17256201820971051</v>
      </c>
      <c r="L4110" t="e">
        <f>VLOOKUP(Table1[[#This Row],[CountryCode]],[1]!Table1[#Data],4,FALSE)</f>
        <v>#REF!</v>
      </c>
    </row>
    <row r="4111" spans="1:12" hidden="1" x14ac:dyDescent="0.3">
      <c r="A4111" t="s">
        <v>101</v>
      </c>
      <c r="B4111" t="s">
        <v>102</v>
      </c>
      <c r="C4111" t="s">
        <v>125</v>
      </c>
      <c r="D4111" t="s">
        <v>126</v>
      </c>
      <c r="E4111">
        <v>2007</v>
      </c>
      <c r="F4111" s="1">
        <v>12</v>
      </c>
      <c r="G4111">
        <v>2010</v>
      </c>
      <c r="H4111">
        <f>AVERAGEIFS(Table1[value],Table1[IndicatorCode],Table1[[#This Row],[IndicatorCode]])</f>
        <v>7.6894248608534319</v>
      </c>
      <c r="I4111" cm="1">
        <f t="array" ref="I4111">_xlfn.STDEV.P(IF(Table1[IndicatorCode]=Table1[[#This Row],[IndicatorCode]],Table1[value]))</f>
        <v>5.2319501044600996</v>
      </c>
      <c r="J4111">
        <f>(Table1[[#This Row],[value]] - Table1[[#This Row],[mean]]) / Table1[[#This Row],[std_dev]]</f>
        <v>0.82389454277706442</v>
      </c>
      <c r="K4111">
        <f>AVERAGEIF(Table1[CountryCode],Table1[[#This Row],[CountryCode]],Table1[z-score])</f>
        <v>-0.17256201820971051</v>
      </c>
      <c r="L4111" t="e">
        <f>VLOOKUP(Table1[[#This Row],[CountryCode]],[1]!Table1[#Data],4,FALSE)</f>
        <v>#REF!</v>
      </c>
    </row>
    <row r="4112" spans="1:12" hidden="1" x14ac:dyDescent="0.3">
      <c r="A4112" t="s">
        <v>101</v>
      </c>
      <c r="B4112" t="s">
        <v>102</v>
      </c>
      <c r="C4112" t="s">
        <v>125</v>
      </c>
      <c r="D4112" t="s">
        <v>126</v>
      </c>
      <c r="E4112">
        <v>2008</v>
      </c>
      <c r="F4112" s="1">
        <v>12</v>
      </c>
      <c r="G4112">
        <v>2010</v>
      </c>
      <c r="H4112">
        <f>AVERAGEIFS(Table1[value],Table1[IndicatorCode],Table1[[#This Row],[IndicatorCode]])</f>
        <v>7.6894248608534319</v>
      </c>
      <c r="I4112" cm="1">
        <f t="array" ref="I4112">_xlfn.STDEV.P(IF(Table1[IndicatorCode]=Table1[[#This Row],[IndicatorCode]],Table1[value]))</f>
        <v>5.2319501044600996</v>
      </c>
      <c r="J4112">
        <f>(Table1[[#This Row],[value]] - Table1[[#This Row],[mean]]) / Table1[[#This Row],[std_dev]]</f>
        <v>0.82389454277706442</v>
      </c>
      <c r="K4112">
        <f>AVERAGEIF(Table1[CountryCode],Table1[[#This Row],[CountryCode]],Table1[z-score])</f>
        <v>-0.17256201820971051</v>
      </c>
      <c r="L4112" t="e">
        <f>VLOOKUP(Table1[[#This Row],[CountryCode]],[1]!Table1[#Data],4,FALSE)</f>
        <v>#REF!</v>
      </c>
    </row>
    <row r="4113" spans="1:12" hidden="1" x14ac:dyDescent="0.3">
      <c r="A4113" t="s">
        <v>101</v>
      </c>
      <c r="B4113" t="s">
        <v>102</v>
      </c>
      <c r="C4113" t="s">
        <v>125</v>
      </c>
      <c r="D4113" t="s">
        <v>126</v>
      </c>
      <c r="E4113">
        <v>2009</v>
      </c>
      <c r="F4113" s="1">
        <v>12</v>
      </c>
      <c r="G4113">
        <v>2010</v>
      </c>
      <c r="H4113">
        <f>AVERAGEIFS(Table1[value],Table1[IndicatorCode],Table1[[#This Row],[IndicatorCode]])</f>
        <v>7.6894248608534319</v>
      </c>
      <c r="I4113" cm="1">
        <f t="array" ref="I4113">_xlfn.STDEV.P(IF(Table1[IndicatorCode]=Table1[[#This Row],[IndicatorCode]],Table1[value]))</f>
        <v>5.2319501044600996</v>
      </c>
      <c r="J4113">
        <f>(Table1[[#This Row],[value]] - Table1[[#This Row],[mean]]) / Table1[[#This Row],[std_dev]]</f>
        <v>0.82389454277706442</v>
      </c>
      <c r="K4113">
        <f>AVERAGEIF(Table1[CountryCode],Table1[[#This Row],[CountryCode]],Table1[z-score])</f>
        <v>-0.17256201820971051</v>
      </c>
      <c r="L4113" t="e">
        <f>VLOOKUP(Table1[[#This Row],[CountryCode]],[1]!Table1[#Data],4,FALSE)</f>
        <v>#REF!</v>
      </c>
    </row>
    <row r="4114" spans="1:12" hidden="1" x14ac:dyDescent="0.3">
      <c r="A4114" t="s">
        <v>101</v>
      </c>
      <c r="B4114" t="s">
        <v>102</v>
      </c>
      <c r="C4114" t="s">
        <v>125</v>
      </c>
      <c r="D4114" t="s">
        <v>126</v>
      </c>
      <c r="E4114">
        <v>2010</v>
      </c>
      <c r="F4114" s="1">
        <v>12</v>
      </c>
      <c r="G4114">
        <v>2010</v>
      </c>
      <c r="H4114">
        <f>AVERAGEIFS(Table1[value],Table1[IndicatorCode],Table1[[#This Row],[IndicatorCode]])</f>
        <v>7.6894248608534319</v>
      </c>
      <c r="I4114" cm="1">
        <f t="array" ref="I4114">_xlfn.STDEV.P(IF(Table1[IndicatorCode]=Table1[[#This Row],[IndicatorCode]],Table1[value]))</f>
        <v>5.2319501044600996</v>
      </c>
      <c r="J4114">
        <f>(Table1[[#This Row],[value]] - Table1[[#This Row],[mean]]) / Table1[[#This Row],[std_dev]]</f>
        <v>0.82389454277706442</v>
      </c>
      <c r="K4114">
        <f>AVERAGEIF(Table1[CountryCode],Table1[[#This Row],[CountryCode]],Table1[z-score])</f>
        <v>-0.17256201820971051</v>
      </c>
      <c r="L4114" t="e">
        <f>VLOOKUP(Table1[[#This Row],[CountryCode]],[1]!Table1[#Data],4,FALSE)</f>
        <v>#REF!</v>
      </c>
    </row>
    <row r="4115" spans="1:12" hidden="1" x14ac:dyDescent="0.3">
      <c r="A4115" t="s">
        <v>101</v>
      </c>
      <c r="B4115" t="s">
        <v>102</v>
      </c>
      <c r="C4115" t="s">
        <v>125</v>
      </c>
      <c r="D4115" t="s">
        <v>126</v>
      </c>
      <c r="E4115">
        <v>2011</v>
      </c>
      <c r="F4115" s="1">
        <v>13</v>
      </c>
      <c r="G4115">
        <v>2010</v>
      </c>
      <c r="H4115">
        <f>AVERAGEIFS(Table1[value],Table1[IndicatorCode],Table1[[#This Row],[IndicatorCode]])</f>
        <v>7.6894248608534319</v>
      </c>
      <c r="I4115" cm="1">
        <f t="array" ref="I4115">_xlfn.STDEV.P(IF(Table1[IndicatorCode]=Table1[[#This Row],[IndicatorCode]],Table1[value]))</f>
        <v>5.2319501044600996</v>
      </c>
      <c r="J4115">
        <f>(Table1[[#This Row],[value]] - Table1[[#This Row],[mean]]) / Table1[[#This Row],[std_dev]]</f>
        <v>1.0150278640118229</v>
      </c>
      <c r="K4115">
        <f>AVERAGEIF(Table1[CountryCode],Table1[[#This Row],[CountryCode]],Table1[z-score])</f>
        <v>-0.17256201820971051</v>
      </c>
      <c r="L4115" t="e">
        <f>VLOOKUP(Table1[[#This Row],[CountryCode]],[1]!Table1[#Data],4,FALSE)</f>
        <v>#REF!</v>
      </c>
    </row>
    <row r="4116" spans="1:12" hidden="1" x14ac:dyDescent="0.3">
      <c r="A4116" t="s">
        <v>101</v>
      </c>
      <c r="B4116" t="s">
        <v>102</v>
      </c>
      <c r="C4116" t="s">
        <v>125</v>
      </c>
      <c r="D4116" t="s">
        <v>126</v>
      </c>
      <c r="E4116">
        <v>2012</v>
      </c>
      <c r="F4116" s="1">
        <v>13</v>
      </c>
      <c r="G4116">
        <v>2010</v>
      </c>
      <c r="H4116">
        <f>AVERAGEIFS(Table1[value],Table1[IndicatorCode],Table1[[#This Row],[IndicatorCode]])</f>
        <v>7.6894248608534319</v>
      </c>
      <c r="I4116" cm="1">
        <f t="array" ref="I4116">_xlfn.STDEV.P(IF(Table1[IndicatorCode]=Table1[[#This Row],[IndicatorCode]],Table1[value]))</f>
        <v>5.2319501044600996</v>
      </c>
      <c r="J4116">
        <f>(Table1[[#This Row],[value]] - Table1[[#This Row],[mean]]) / Table1[[#This Row],[std_dev]]</f>
        <v>1.0150278640118229</v>
      </c>
      <c r="K4116">
        <f>AVERAGEIF(Table1[CountryCode],Table1[[#This Row],[CountryCode]],Table1[z-score])</f>
        <v>-0.17256201820971051</v>
      </c>
      <c r="L4116" t="e">
        <f>VLOOKUP(Table1[[#This Row],[CountryCode]],[1]!Table1[#Data],4,FALSE)</f>
        <v>#REF!</v>
      </c>
    </row>
    <row r="4117" spans="1:12" hidden="1" x14ac:dyDescent="0.3">
      <c r="A4117" t="s">
        <v>101</v>
      </c>
      <c r="B4117" t="s">
        <v>102</v>
      </c>
      <c r="C4117" t="s">
        <v>125</v>
      </c>
      <c r="D4117" t="s">
        <v>126</v>
      </c>
      <c r="E4117">
        <v>2013</v>
      </c>
      <c r="F4117" s="1">
        <v>12</v>
      </c>
      <c r="G4117">
        <v>2010</v>
      </c>
      <c r="H4117">
        <f>AVERAGEIFS(Table1[value],Table1[IndicatorCode],Table1[[#This Row],[IndicatorCode]])</f>
        <v>7.6894248608534319</v>
      </c>
      <c r="I4117" cm="1">
        <f t="array" ref="I4117">_xlfn.STDEV.P(IF(Table1[IndicatorCode]=Table1[[#This Row],[IndicatorCode]],Table1[value]))</f>
        <v>5.2319501044600996</v>
      </c>
      <c r="J4117">
        <f>(Table1[[#This Row],[value]] - Table1[[#This Row],[mean]]) / Table1[[#This Row],[std_dev]]</f>
        <v>0.82389454277706442</v>
      </c>
      <c r="K4117">
        <f>AVERAGEIF(Table1[CountryCode],Table1[[#This Row],[CountryCode]],Table1[z-score])</f>
        <v>-0.17256201820971051</v>
      </c>
      <c r="L4117" t="e">
        <f>VLOOKUP(Table1[[#This Row],[CountryCode]],[1]!Table1[#Data],4,FALSE)</f>
        <v>#REF!</v>
      </c>
    </row>
    <row r="4118" spans="1:12" hidden="1" x14ac:dyDescent="0.3">
      <c r="A4118" t="s">
        <v>101</v>
      </c>
      <c r="B4118" t="s">
        <v>102</v>
      </c>
      <c r="C4118" t="s">
        <v>125</v>
      </c>
      <c r="D4118" t="s">
        <v>126</v>
      </c>
      <c r="E4118">
        <v>2014</v>
      </c>
      <c r="F4118" s="1">
        <v>12</v>
      </c>
      <c r="G4118">
        <v>2010</v>
      </c>
      <c r="H4118">
        <f>AVERAGEIFS(Table1[value],Table1[IndicatorCode],Table1[[#This Row],[IndicatorCode]])</f>
        <v>7.6894248608534319</v>
      </c>
      <c r="I4118" cm="1">
        <f t="array" ref="I4118">_xlfn.STDEV.P(IF(Table1[IndicatorCode]=Table1[[#This Row],[IndicatorCode]],Table1[value]))</f>
        <v>5.2319501044600996</v>
      </c>
      <c r="J4118">
        <f>(Table1[[#This Row],[value]] - Table1[[#This Row],[mean]]) / Table1[[#This Row],[std_dev]]</f>
        <v>0.82389454277706442</v>
      </c>
      <c r="K4118">
        <f>AVERAGEIF(Table1[CountryCode],Table1[[#This Row],[CountryCode]],Table1[z-score])</f>
        <v>-0.17256201820971051</v>
      </c>
      <c r="L4118" t="e">
        <f>VLOOKUP(Table1[[#This Row],[CountryCode]],[1]!Table1[#Data],4,FALSE)</f>
        <v>#REF!</v>
      </c>
    </row>
    <row r="4119" spans="1:12" hidden="1" x14ac:dyDescent="0.3">
      <c r="A4119" t="s">
        <v>101</v>
      </c>
      <c r="B4119" t="s">
        <v>102</v>
      </c>
      <c r="C4119" t="s">
        <v>125</v>
      </c>
      <c r="D4119" t="s">
        <v>126</v>
      </c>
      <c r="E4119">
        <v>2015</v>
      </c>
      <c r="F4119" s="1">
        <v>12</v>
      </c>
      <c r="G4119">
        <v>2010</v>
      </c>
      <c r="H4119">
        <f>AVERAGEIFS(Table1[value],Table1[IndicatorCode],Table1[[#This Row],[IndicatorCode]])</f>
        <v>7.6894248608534319</v>
      </c>
      <c r="I4119" cm="1">
        <f t="array" ref="I4119">_xlfn.STDEV.P(IF(Table1[IndicatorCode]=Table1[[#This Row],[IndicatorCode]],Table1[value]))</f>
        <v>5.2319501044600996</v>
      </c>
      <c r="J4119">
        <f>(Table1[[#This Row],[value]] - Table1[[#This Row],[mean]]) / Table1[[#This Row],[std_dev]]</f>
        <v>0.82389454277706442</v>
      </c>
      <c r="K4119">
        <f>AVERAGEIF(Table1[CountryCode],Table1[[#This Row],[CountryCode]],Table1[z-score])</f>
        <v>-0.17256201820971051</v>
      </c>
      <c r="L4119" t="e">
        <f>VLOOKUP(Table1[[#This Row],[CountryCode]],[1]!Table1[#Data],4,FALSE)</f>
        <v>#REF!</v>
      </c>
    </row>
    <row r="4120" spans="1:12" hidden="1" x14ac:dyDescent="0.3">
      <c r="A4120" t="s">
        <v>101</v>
      </c>
      <c r="B4120" t="s">
        <v>102</v>
      </c>
      <c r="C4120" t="s">
        <v>125</v>
      </c>
      <c r="D4120" t="s">
        <v>126</v>
      </c>
      <c r="E4120">
        <v>2016</v>
      </c>
      <c r="F4120" s="1">
        <v>12</v>
      </c>
      <c r="G4120">
        <v>2010</v>
      </c>
      <c r="H4120">
        <f>AVERAGEIFS(Table1[value],Table1[IndicatorCode],Table1[[#This Row],[IndicatorCode]])</f>
        <v>7.6894248608534319</v>
      </c>
      <c r="I4120" cm="1">
        <f t="array" ref="I4120">_xlfn.STDEV.P(IF(Table1[IndicatorCode]=Table1[[#This Row],[IndicatorCode]],Table1[value]))</f>
        <v>5.2319501044600996</v>
      </c>
      <c r="J4120">
        <f>(Table1[[#This Row],[value]] - Table1[[#This Row],[mean]]) / Table1[[#This Row],[std_dev]]</f>
        <v>0.82389454277706442</v>
      </c>
      <c r="K4120">
        <f>AVERAGEIF(Table1[CountryCode],Table1[[#This Row],[CountryCode]],Table1[z-score])</f>
        <v>-0.17256201820971051</v>
      </c>
      <c r="L4120" t="e">
        <f>VLOOKUP(Table1[[#This Row],[CountryCode]],[1]!Table1[#Data],4,FALSE)</f>
        <v>#REF!</v>
      </c>
    </row>
    <row r="4121" spans="1:12" hidden="1" x14ac:dyDescent="0.3">
      <c r="A4121" t="s">
        <v>101</v>
      </c>
      <c r="B4121" t="s">
        <v>102</v>
      </c>
      <c r="C4121" t="s">
        <v>125</v>
      </c>
      <c r="D4121" t="s">
        <v>126</v>
      </c>
      <c r="E4121">
        <v>2017</v>
      </c>
      <c r="F4121" s="1">
        <v>12</v>
      </c>
      <c r="G4121">
        <v>2020</v>
      </c>
      <c r="H4121">
        <f>AVERAGEIFS(Table1[value],Table1[IndicatorCode],Table1[[#This Row],[IndicatorCode]])</f>
        <v>7.6894248608534319</v>
      </c>
      <c r="I4121" cm="1">
        <f t="array" ref="I4121">_xlfn.STDEV.P(IF(Table1[IndicatorCode]=Table1[[#This Row],[IndicatorCode]],Table1[value]))</f>
        <v>5.2319501044600996</v>
      </c>
      <c r="J4121">
        <f>(Table1[[#This Row],[value]] - Table1[[#This Row],[mean]]) / Table1[[#This Row],[std_dev]]</f>
        <v>0.82389454277706442</v>
      </c>
      <c r="K4121">
        <f>AVERAGEIF(Table1[CountryCode],Table1[[#This Row],[CountryCode]],Table1[z-score])</f>
        <v>-0.17256201820971051</v>
      </c>
      <c r="L4121" t="e">
        <f>VLOOKUP(Table1[[#This Row],[CountryCode]],[1]!Table1[#Data],4,FALSE)</f>
        <v>#REF!</v>
      </c>
    </row>
    <row r="4122" spans="1:12" hidden="1" x14ac:dyDescent="0.3">
      <c r="A4122" t="s">
        <v>101</v>
      </c>
      <c r="B4122" t="s">
        <v>102</v>
      </c>
      <c r="C4122" t="s">
        <v>125</v>
      </c>
      <c r="D4122" t="s">
        <v>126</v>
      </c>
      <c r="E4122">
        <v>2018</v>
      </c>
      <c r="F4122" s="1">
        <v>13</v>
      </c>
      <c r="G4122">
        <v>2020</v>
      </c>
      <c r="H4122">
        <f>AVERAGEIFS(Table1[value],Table1[IndicatorCode],Table1[[#This Row],[IndicatorCode]])</f>
        <v>7.6894248608534319</v>
      </c>
      <c r="I4122" cm="1">
        <f t="array" ref="I4122">_xlfn.STDEV.P(IF(Table1[IndicatorCode]=Table1[[#This Row],[IndicatorCode]],Table1[value]))</f>
        <v>5.2319501044600996</v>
      </c>
      <c r="J4122">
        <f>(Table1[[#This Row],[value]] - Table1[[#This Row],[mean]]) / Table1[[#This Row],[std_dev]]</f>
        <v>1.0150278640118229</v>
      </c>
      <c r="K4122">
        <f>AVERAGEIF(Table1[CountryCode],Table1[[#This Row],[CountryCode]],Table1[z-score])</f>
        <v>-0.17256201820971051</v>
      </c>
      <c r="L4122" t="e">
        <f>VLOOKUP(Table1[[#This Row],[CountryCode]],[1]!Table1[#Data],4,FALSE)</f>
        <v>#REF!</v>
      </c>
    </row>
    <row r="4123" spans="1:12" hidden="1" x14ac:dyDescent="0.3">
      <c r="A4123" t="s">
        <v>101</v>
      </c>
      <c r="B4123" t="s">
        <v>102</v>
      </c>
      <c r="C4123" t="s">
        <v>125</v>
      </c>
      <c r="D4123" t="s">
        <v>126</v>
      </c>
      <c r="E4123">
        <v>2019</v>
      </c>
      <c r="F4123" s="1">
        <v>13</v>
      </c>
      <c r="G4123">
        <v>2020</v>
      </c>
      <c r="H4123">
        <f>AVERAGEIFS(Table1[value],Table1[IndicatorCode],Table1[[#This Row],[IndicatorCode]])</f>
        <v>7.6894248608534319</v>
      </c>
      <c r="I4123" cm="1">
        <f t="array" ref="I4123">_xlfn.STDEV.P(IF(Table1[IndicatorCode]=Table1[[#This Row],[IndicatorCode]],Table1[value]))</f>
        <v>5.2319501044600996</v>
      </c>
      <c r="J4123">
        <f>(Table1[[#This Row],[value]] - Table1[[#This Row],[mean]]) / Table1[[#This Row],[std_dev]]</f>
        <v>1.0150278640118229</v>
      </c>
      <c r="K4123">
        <f>AVERAGEIF(Table1[CountryCode],Table1[[#This Row],[CountryCode]],Table1[z-score])</f>
        <v>-0.17256201820971051</v>
      </c>
      <c r="L4123" t="e">
        <f>VLOOKUP(Table1[[#This Row],[CountryCode]],[1]!Table1[#Data],4,FALSE)</f>
        <v>#REF!</v>
      </c>
    </row>
    <row r="4124" spans="1:12" x14ac:dyDescent="0.3">
      <c r="A4124" t="s">
        <v>101</v>
      </c>
      <c r="B4124" t="s">
        <v>102</v>
      </c>
      <c r="C4124" t="s">
        <v>125</v>
      </c>
      <c r="D4124" t="s">
        <v>126</v>
      </c>
      <c r="E4124">
        <v>2020</v>
      </c>
      <c r="F4124" s="1">
        <v>12</v>
      </c>
      <c r="G4124">
        <v>2020</v>
      </c>
      <c r="H4124">
        <f>AVERAGEIFS(Table1[value],Table1[IndicatorCode],Table1[[#This Row],[IndicatorCode]])</f>
        <v>7.6894248608534319</v>
      </c>
      <c r="I4124" cm="1">
        <f t="array" ref="I4124">_xlfn.STDEV.P(IF(Table1[IndicatorCode]=Table1[[#This Row],[IndicatorCode]],Table1[value]))</f>
        <v>5.2319501044600996</v>
      </c>
      <c r="J4124">
        <f>(Table1[[#This Row],[value]] - Table1[[#This Row],[mean]]) / Table1[[#This Row],[std_dev]]</f>
        <v>0.82389454277706442</v>
      </c>
      <c r="K4124">
        <f>AVERAGEIF(Table1[CountryCode],Table1[[#This Row],[CountryCode]],Table1[z-score])</f>
        <v>-0.17256201820971051</v>
      </c>
    </row>
    <row r="4125" spans="1:12" hidden="1" x14ac:dyDescent="0.3">
      <c r="A4125" t="s">
        <v>101</v>
      </c>
      <c r="B4125" t="s">
        <v>102</v>
      </c>
      <c r="C4125" t="s">
        <v>125</v>
      </c>
      <c r="D4125" t="s">
        <v>126</v>
      </c>
      <c r="E4125">
        <v>2021</v>
      </c>
      <c r="F4125" s="1">
        <v>13</v>
      </c>
      <c r="G4125">
        <v>2020</v>
      </c>
      <c r="H4125">
        <f>AVERAGEIFS(Table1[value],Table1[IndicatorCode],Table1[[#This Row],[IndicatorCode]])</f>
        <v>7.6894248608534319</v>
      </c>
      <c r="I4125" cm="1">
        <f t="array" ref="I4125">_xlfn.STDEV.P(IF(Table1[IndicatorCode]=Table1[[#This Row],[IndicatorCode]],Table1[value]))</f>
        <v>5.2319501044600996</v>
      </c>
      <c r="J4125">
        <f>(Table1[[#This Row],[value]] - Table1[[#This Row],[mean]]) / Table1[[#This Row],[std_dev]]</f>
        <v>1.0150278640118229</v>
      </c>
      <c r="K4125">
        <f>AVERAGEIF(Table1[CountryCode],Table1[[#This Row],[CountryCode]],Table1[z-score])</f>
        <v>-0.17256201820971051</v>
      </c>
      <c r="L4125" t="e">
        <f>VLOOKUP(Table1[[#This Row],[CountryCode]],[1]!Table1[#Data],4,FALSE)</f>
        <v>#REF!</v>
      </c>
    </row>
    <row r="4126" spans="1:12" hidden="1" x14ac:dyDescent="0.3">
      <c r="A4126" t="s">
        <v>101</v>
      </c>
      <c r="B4126" t="s">
        <v>102</v>
      </c>
      <c r="C4126" t="s">
        <v>125</v>
      </c>
      <c r="D4126" t="s">
        <v>126</v>
      </c>
      <c r="E4126">
        <v>2022</v>
      </c>
      <c r="F4126" s="1">
        <v>13</v>
      </c>
      <c r="G4126">
        <v>1970</v>
      </c>
      <c r="H4126">
        <f>AVERAGEIFS(Table1[value],Table1[IndicatorCode],Table1[[#This Row],[IndicatorCode]])</f>
        <v>7.6894248608534319</v>
      </c>
      <c r="I4126" cm="1">
        <f t="array" ref="I4126">_xlfn.STDEV.P(IF(Table1[IndicatorCode]=Table1[[#This Row],[IndicatorCode]],Table1[value]))</f>
        <v>5.2319501044600996</v>
      </c>
      <c r="J4126">
        <f>(Table1[[#This Row],[value]] - Table1[[#This Row],[mean]]) / Table1[[#This Row],[std_dev]]</f>
        <v>1.0150278640118229</v>
      </c>
      <c r="K4126">
        <f>AVERAGEIF(Table1[CountryCode],Table1[[#This Row],[CountryCode]],Table1[z-score])</f>
        <v>-0.17256201820971051</v>
      </c>
      <c r="L4126" t="e">
        <f>VLOOKUP(Table1[[#This Row],[CountryCode]],[1]!Table1[#Data],4,FALSE)</f>
        <v>#REF!</v>
      </c>
    </row>
    <row r="4127" spans="1:12" hidden="1" x14ac:dyDescent="0.3">
      <c r="A4127" t="s">
        <v>101</v>
      </c>
      <c r="B4127" t="s">
        <v>102</v>
      </c>
      <c r="C4127" t="s">
        <v>125</v>
      </c>
      <c r="D4127" t="s">
        <v>126</v>
      </c>
      <c r="E4127">
        <v>2023</v>
      </c>
      <c r="F4127" s="1">
        <v>14</v>
      </c>
      <c r="G4127">
        <v>1970</v>
      </c>
      <c r="H4127">
        <f>AVERAGEIFS(Table1[value],Table1[IndicatorCode],Table1[[#This Row],[IndicatorCode]])</f>
        <v>7.6894248608534319</v>
      </c>
      <c r="I4127" cm="1">
        <f t="array" ref="I4127">_xlfn.STDEV.P(IF(Table1[IndicatorCode]=Table1[[#This Row],[IndicatorCode]],Table1[value]))</f>
        <v>5.2319501044600996</v>
      </c>
      <c r="J4127">
        <f>(Table1[[#This Row],[value]] - Table1[[#This Row],[mean]]) / Table1[[#This Row],[std_dev]]</f>
        <v>1.2061611852465812</v>
      </c>
      <c r="K4127">
        <f>AVERAGEIF(Table1[CountryCode],Table1[[#This Row],[CountryCode]],Table1[z-score])</f>
        <v>-0.17256201820971051</v>
      </c>
      <c r="L4127" t="e">
        <f>VLOOKUP(Table1[[#This Row],[CountryCode]],[1]!Table1[#Data],4,FALSE)</f>
        <v>#REF!</v>
      </c>
    </row>
    <row r="4128" spans="1:12" hidden="1" x14ac:dyDescent="0.3">
      <c r="A4128" t="s">
        <v>101</v>
      </c>
      <c r="B4128" t="s">
        <v>102</v>
      </c>
      <c r="C4128" t="s">
        <v>125</v>
      </c>
      <c r="D4128" t="s">
        <v>126</v>
      </c>
      <c r="E4128">
        <v>2024</v>
      </c>
      <c r="F4128" s="1">
        <v>14</v>
      </c>
      <c r="G4128">
        <v>1970</v>
      </c>
      <c r="H4128">
        <f>AVERAGEIFS(Table1[value],Table1[IndicatorCode],Table1[[#This Row],[IndicatorCode]])</f>
        <v>7.6894248608534319</v>
      </c>
      <c r="I4128" cm="1">
        <f t="array" ref="I4128">_xlfn.STDEV.P(IF(Table1[IndicatorCode]=Table1[[#This Row],[IndicatorCode]],Table1[value]))</f>
        <v>5.2319501044600996</v>
      </c>
      <c r="J4128">
        <f>(Table1[[#This Row],[value]] - Table1[[#This Row],[mean]]) / Table1[[#This Row],[std_dev]]</f>
        <v>1.2061611852465812</v>
      </c>
      <c r="K4128">
        <f>AVERAGEIF(Table1[CountryCode],Table1[[#This Row],[CountryCode]],Table1[z-score])</f>
        <v>-0.17256201820971051</v>
      </c>
      <c r="L4128" t="e">
        <f>VLOOKUP(Table1[[#This Row],[CountryCode]],[1]!Table1[#Data],4,FALSE)</f>
        <v>#REF!</v>
      </c>
    </row>
    <row r="4129" spans="1:12" hidden="1" x14ac:dyDescent="0.3">
      <c r="A4129" t="s">
        <v>107</v>
      </c>
      <c r="B4129" t="s">
        <v>108</v>
      </c>
      <c r="C4129" t="s">
        <v>125</v>
      </c>
      <c r="D4129" t="s">
        <v>126</v>
      </c>
      <c r="E4129">
        <v>1970</v>
      </c>
      <c r="F4129" s="1">
        <v>10</v>
      </c>
      <c r="G4129">
        <v>1970</v>
      </c>
      <c r="H4129">
        <f>AVERAGEIFS(Table1[value],Table1[IndicatorCode],Table1[[#This Row],[IndicatorCode]])</f>
        <v>7.6894248608534319</v>
      </c>
      <c r="I4129" cm="1">
        <f t="array" ref="I4129">_xlfn.STDEV.P(IF(Table1[IndicatorCode]=Table1[[#This Row],[IndicatorCode]],Table1[value]))</f>
        <v>5.2319501044600996</v>
      </c>
      <c r="J4129">
        <f>(Table1[[#This Row],[value]] - Table1[[#This Row],[mean]]) / Table1[[#This Row],[std_dev]]</f>
        <v>0.44162790030754762</v>
      </c>
      <c r="K4129">
        <f>AVERAGEIF(Table1[CountryCode],Table1[[#This Row],[CountryCode]],Table1[z-score])</f>
        <v>1.9919220601134553E-2</v>
      </c>
      <c r="L4129" t="e">
        <f>VLOOKUP(Table1[[#This Row],[CountryCode]],[1]!Table1[#Data],4,FALSE)</f>
        <v>#REF!</v>
      </c>
    </row>
    <row r="4130" spans="1:12" hidden="1" x14ac:dyDescent="0.3">
      <c r="A4130" t="s">
        <v>107</v>
      </c>
      <c r="B4130" t="s">
        <v>108</v>
      </c>
      <c r="C4130" t="s">
        <v>125</v>
      </c>
      <c r="D4130" t="s">
        <v>126</v>
      </c>
      <c r="E4130">
        <v>1971</v>
      </c>
      <c r="F4130" s="1">
        <v>10</v>
      </c>
      <c r="G4130">
        <v>1970</v>
      </c>
      <c r="H4130">
        <f>AVERAGEIFS(Table1[value],Table1[IndicatorCode],Table1[[#This Row],[IndicatorCode]])</f>
        <v>7.6894248608534319</v>
      </c>
      <c r="I4130" cm="1">
        <f t="array" ref="I4130">_xlfn.STDEV.P(IF(Table1[IndicatorCode]=Table1[[#This Row],[IndicatorCode]],Table1[value]))</f>
        <v>5.2319501044600996</v>
      </c>
      <c r="J4130">
        <f>(Table1[[#This Row],[value]] - Table1[[#This Row],[mean]]) / Table1[[#This Row],[std_dev]]</f>
        <v>0.44162790030754762</v>
      </c>
      <c r="K4130">
        <f>AVERAGEIF(Table1[CountryCode],Table1[[#This Row],[CountryCode]],Table1[z-score])</f>
        <v>1.9919220601134553E-2</v>
      </c>
      <c r="L4130" t="e">
        <f>VLOOKUP(Table1[[#This Row],[CountryCode]],[1]!Table1[#Data],4,FALSE)</f>
        <v>#REF!</v>
      </c>
    </row>
    <row r="4131" spans="1:12" hidden="1" x14ac:dyDescent="0.3">
      <c r="A4131" t="s">
        <v>107</v>
      </c>
      <c r="B4131" t="s">
        <v>108</v>
      </c>
      <c r="C4131" t="s">
        <v>125</v>
      </c>
      <c r="D4131" t="s">
        <v>126</v>
      </c>
      <c r="E4131">
        <v>1972</v>
      </c>
      <c r="F4131" s="1">
        <v>10</v>
      </c>
      <c r="G4131">
        <v>1970</v>
      </c>
      <c r="H4131">
        <f>AVERAGEIFS(Table1[value],Table1[IndicatorCode],Table1[[#This Row],[IndicatorCode]])</f>
        <v>7.6894248608534319</v>
      </c>
      <c r="I4131" cm="1">
        <f t="array" ref="I4131">_xlfn.STDEV.P(IF(Table1[IndicatorCode]=Table1[[#This Row],[IndicatorCode]],Table1[value]))</f>
        <v>5.2319501044600996</v>
      </c>
      <c r="J4131">
        <f>(Table1[[#This Row],[value]] - Table1[[#This Row],[mean]]) / Table1[[#This Row],[std_dev]]</f>
        <v>0.44162790030754762</v>
      </c>
      <c r="K4131">
        <f>AVERAGEIF(Table1[CountryCode],Table1[[#This Row],[CountryCode]],Table1[z-score])</f>
        <v>1.9919220601134553E-2</v>
      </c>
      <c r="L4131" t="e">
        <f>VLOOKUP(Table1[[#This Row],[CountryCode]],[1]!Table1[#Data],4,FALSE)</f>
        <v>#REF!</v>
      </c>
    </row>
    <row r="4132" spans="1:12" hidden="1" x14ac:dyDescent="0.3">
      <c r="A4132" t="s">
        <v>107</v>
      </c>
      <c r="B4132" t="s">
        <v>108</v>
      </c>
      <c r="C4132" t="s">
        <v>125</v>
      </c>
      <c r="D4132" t="s">
        <v>126</v>
      </c>
      <c r="E4132">
        <v>1973</v>
      </c>
      <c r="F4132" s="1">
        <v>10</v>
      </c>
      <c r="G4132">
        <v>1970</v>
      </c>
      <c r="H4132">
        <f>AVERAGEIFS(Table1[value],Table1[IndicatorCode],Table1[[#This Row],[IndicatorCode]])</f>
        <v>7.6894248608534319</v>
      </c>
      <c r="I4132" cm="1">
        <f t="array" ref="I4132">_xlfn.STDEV.P(IF(Table1[IndicatorCode]=Table1[[#This Row],[IndicatorCode]],Table1[value]))</f>
        <v>5.2319501044600996</v>
      </c>
      <c r="J4132">
        <f>(Table1[[#This Row],[value]] - Table1[[#This Row],[mean]]) / Table1[[#This Row],[std_dev]]</f>
        <v>0.44162790030754762</v>
      </c>
      <c r="K4132">
        <f>AVERAGEIF(Table1[CountryCode],Table1[[#This Row],[CountryCode]],Table1[z-score])</f>
        <v>1.9919220601134553E-2</v>
      </c>
      <c r="L4132" t="e">
        <f>VLOOKUP(Table1[[#This Row],[CountryCode]],[1]!Table1[#Data],4,FALSE)</f>
        <v>#REF!</v>
      </c>
    </row>
    <row r="4133" spans="1:12" hidden="1" x14ac:dyDescent="0.3">
      <c r="A4133" t="s">
        <v>107</v>
      </c>
      <c r="B4133" t="s">
        <v>108</v>
      </c>
      <c r="C4133" t="s">
        <v>125</v>
      </c>
      <c r="D4133" t="s">
        <v>126</v>
      </c>
      <c r="E4133">
        <v>1974</v>
      </c>
      <c r="F4133" s="1">
        <v>10</v>
      </c>
      <c r="G4133">
        <v>1970</v>
      </c>
      <c r="H4133">
        <f>AVERAGEIFS(Table1[value],Table1[IndicatorCode],Table1[[#This Row],[IndicatorCode]])</f>
        <v>7.6894248608534319</v>
      </c>
      <c r="I4133" cm="1">
        <f t="array" ref="I4133">_xlfn.STDEV.P(IF(Table1[IndicatorCode]=Table1[[#This Row],[IndicatorCode]],Table1[value]))</f>
        <v>5.2319501044600996</v>
      </c>
      <c r="J4133">
        <f>(Table1[[#This Row],[value]] - Table1[[#This Row],[mean]]) / Table1[[#This Row],[std_dev]]</f>
        <v>0.44162790030754762</v>
      </c>
      <c r="K4133">
        <f>AVERAGEIF(Table1[CountryCode],Table1[[#This Row],[CountryCode]],Table1[z-score])</f>
        <v>1.9919220601134553E-2</v>
      </c>
      <c r="L4133" t="e">
        <f>VLOOKUP(Table1[[#This Row],[CountryCode]],[1]!Table1[#Data],4,FALSE)</f>
        <v>#REF!</v>
      </c>
    </row>
    <row r="4134" spans="1:12" hidden="1" x14ac:dyDescent="0.3">
      <c r="A4134" t="s">
        <v>107</v>
      </c>
      <c r="B4134" t="s">
        <v>108</v>
      </c>
      <c r="C4134" t="s">
        <v>125</v>
      </c>
      <c r="D4134" t="s">
        <v>126</v>
      </c>
      <c r="E4134">
        <v>1975</v>
      </c>
      <c r="F4134" s="1">
        <v>10</v>
      </c>
      <c r="G4134">
        <v>1970</v>
      </c>
      <c r="H4134">
        <f>AVERAGEIFS(Table1[value],Table1[IndicatorCode],Table1[[#This Row],[IndicatorCode]])</f>
        <v>7.6894248608534319</v>
      </c>
      <c r="I4134" cm="1">
        <f t="array" ref="I4134">_xlfn.STDEV.P(IF(Table1[IndicatorCode]=Table1[[#This Row],[IndicatorCode]],Table1[value]))</f>
        <v>5.2319501044600996</v>
      </c>
      <c r="J4134">
        <f>(Table1[[#This Row],[value]] - Table1[[#This Row],[mean]]) / Table1[[#This Row],[std_dev]]</f>
        <v>0.44162790030754762</v>
      </c>
      <c r="K4134">
        <f>AVERAGEIF(Table1[CountryCode],Table1[[#This Row],[CountryCode]],Table1[z-score])</f>
        <v>1.9919220601134553E-2</v>
      </c>
      <c r="L4134" t="e">
        <f>VLOOKUP(Table1[[#This Row],[CountryCode]],[1]!Table1[#Data],4,FALSE)</f>
        <v>#REF!</v>
      </c>
    </row>
    <row r="4135" spans="1:12" hidden="1" x14ac:dyDescent="0.3">
      <c r="A4135" t="s">
        <v>107</v>
      </c>
      <c r="B4135" t="s">
        <v>108</v>
      </c>
      <c r="C4135" t="s">
        <v>125</v>
      </c>
      <c r="D4135" t="s">
        <v>126</v>
      </c>
      <c r="E4135">
        <v>1976</v>
      </c>
      <c r="F4135" s="1">
        <v>10</v>
      </c>
      <c r="G4135">
        <v>1970</v>
      </c>
      <c r="H4135">
        <f>AVERAGEIFS(Table1[value],Table1[IndicatorCode],Table1[[#This Row],[IndicatorCode]])</f>
        <v>7.6894248608534319</v>
      </c>
      <c r="I4135" cm="1">
        <f t="array" ref="I4135">_xlfn.STDEV.P(IF(Table1[IndicatorCode]=Table1[[#This Row],[IndicatorCode]],Table1[value]))</f>
        <v>5.2319501044600996</v>
      </c>
      <c r="J4135">
        <f>(Table1[[#This Row],[value]] - Table1[[#This Row],[mean]]) / Table1[[#This Row],[std_dev]]</f>
        <v>0.44162790030754762</v>
      </c>
      <c r="K4135">
        <f>AVERAGEIF(Table1[CountryCode],Table1[[#This Row],[CountryCode]],Table1[z-score])</f>
        <v>1.9919220601134553E-2</v>
      </c>
      <c r="L4135" t="e">
        <f>VLOOKUP(Table1[[#This Row],[CountryCode]],[1]!Table1[#Data],4,FALSE)</f>
        <v>#REF!</v>
      </c>
    </row>
    <row r="4136" spans="1:12" hidden="1" x14ac:dyDescent="0.3">
      <c r="A4136" t="s">
        <v>107</v>
      </c>
      <c r="B4136" t="s">
        <v>108</v>
      </c>
      <c r="C4136" t="s">
        <v>125</v>
      </c>
      <c r="D4136" t="s">
        <v>126</v>
      </c>
      <c r="E4136">
        <v>1977</v>
      </c>
      <c r="F4136" s="1">
        <v>11</v>
      </c>
      <c r="G4136">
        <v>1980</v>
      </c>
      <c r="H4136">
        <f>AVERAGEIFS(Table1[value],Table1[IndicatorCode],Table1[[#This Row],[IndicatorCode]])</f>
        <v>7.6894248608534319</v>
      </c>
      <c r="I4136" cm="1">
        <f t="array" ref="I4136">_xlfn.STDEV.P(IF(Table1[IndicatorCode]=Table1[[#This Row],[IndicatorCode]],Table1[value]))</f>
        <v>5.2319501044600996</v>
      </c>
      <c r="J4136">
        <f>(Table1[[#This Row],[value]] - Table1[[#This Row],[mean]]) / Table1[[#This Row],[std_dev]]</f>
        <v>0.63276122154230596</v>
      </c>
      <c r="K4136">
        <f>AVERAGEIF(Table1[CountryCode],Table1[[#This Row],[CountryCode]],Table1[z-score])</f>
        <v>1.9919220601134553E-2</v>
      </c>
      <c r="L4136" t="e">
        <f>VLOOKUP(Table1[[#This Row],[CountryCode]],[1]!Table1[#Data],4,FALSE)</f>
        <v>#REF!</v>
      </c>
    </row>
    <row r="4137" spans="1:12" hidden="1" x14ac:dyDescent="0.3">
      <c r="A4137" t="s">
        <v>107</v>
      </c>
      <c r="B4137" t="s">
        <v>108</v>
      </c>
      <c r="C4137" t="s">
        <v>125</v>
      </c>
      <c r="D4137" t="s">
        <v>126</v>
      </c>
      <c r="E4137">
        <v>1978</v>
      </c>
      <c r="F4137" s="1">
        <v>12</v>
      </c>
      <c r="G4137">
        <v>1980</v>
      </c>
      <c r="H4137">
        <f>AVERAGEIFS(Table1[value],Table1[IndicatorCode],Table1[[#This Row],[IndicatorCode]])</f>
        <v>7.6894248608534319</v>
      </c>
      <c r="I4137" cm="1">
        <f t="array" ref="I4137">_xlfn.STDEV.P(IF(Table1[IndicatorCode]=Table1[[#This Row],[IndicatorCode]],Table1[value]))</f>
        <v>5.2319501044600996</v>
      </c>
      <c r="J4137">
        <f>(Table1[[#This Row],[value]] - Table1[[#This Row],[mean]]) / Table1[[#This Row],[std_dev]]</f>
        <v>0.82389454277706442</v>
      </c>
      <c r="K4137">
        <f>AVERAGEIF(Table1[CountryCode],Table1[[#This Row],[CountryCode]],Table1[z-score])</f>
        <v>1.9919220601134553E-2</v>
      </c>
      <c r="L4137" t="e">
        <f>VLOOKUP(Table1[[#This Row],[CountryCode]],[1]!Table1[#Data],4,FALSE)</f>
        <v>#REF!</v>
      </c>
    </row>
    <row r="4138" spans="1:12" hidden="1" x14ac:dyDescent="0.3">
      <c r="A4138" t="s">
        <v>107</v>
      </c>
      <c r="B4138" t="s">
        <v>108</v>
      </c>
      <c r="C4138" t="s">
        <v>125</v>
      </c>
      <c r="D4138" t="s">
        <v>126</v>
      </c>
      <c r="E4138">
        <v>1979</v>
      </c>
      <c r="F4138" s="1">
        <v>12</v>
      </c>
      <c r="G4138">
        <v>1980</v>
      </c>
      <c r="H4138">
        <f>AVERAGEIFS(Table1[value],Table1[IndicatorCode],Table1[[#This Row],[IndicatorCode]])</f>
        <v>7.6894248608534319</v>
      </c>
      <c r="I4138" cm="1">
        <f t="array" ref="I4138">_xlfn.STDEV.P(IF(Table1[IndicatorCode]=Table1[[#This Row],[IndicatorCode]],Table1[value]))</f>
        <v>5.2319501044600996</v>
      </c>
      <c r="J4138">
        <f>(Table1[[#This Row],[value]] - Table1[[#This Row],[mean]]) / Table1[[#This Row],[std_dev]]</f>
        <v>0.82389454277706442</v>
      </c>
      <c r="K4138">
        <f>AVERAGEIF(Table1[CountryCode],Table1[[#This Row],[CountryCode]],Table1[z-score])</f>
        <v>1.9919220601134553E-2</v>
      </c>
      <c r="L4138" t="e">
        <f>VLOOKUP(Table1[[#This Row],[CountryCode]],[1]!Table1[#Data],4,FALSE)</f>
        <v>#REF!</v>
      </c>
    </row>
    <row r="4139" spans="1:12" hidden="1" x14ac:dyDescent="0.3">
      <c r="A4139" t="s">
        <v>107</v>
      </c>
      <c r="B4139" t="s">
        <v>108</v>
      </c>
      <c r="C4139" t="s">
        <v>125</v>
      </c>
      <c r="D4139" t="s">
        <v>126</v>
      </c>
      <c r="E4139">
        <v>1980</v>
      </c>
      <c r="F4139" s="1">
        <v>13</v>
      </c>
      <c r="G4139">
        <v>1980</v>
      </c>
      <c r="H4139">
        <f>AVERAGEIFS(Table1[value],Table1[IndicatorCode],Table1[[#This Row],[IndicatorCode]])</f>
        <v>7.6894248608534319</v>
      </c>
      <c r="I4139" cm="1">
        <f t="array" ref="I4139">_xlfn.STDEV.P(IF(Table1[IndicatorCode]=Table1[[#This Row],[IndicatorCode]],Table1[value]))</f>
        <v>5.2319501044600996</v>
      </c>
      <c r="J4139">
        <f>(Table1[[#This Row],[value]] - Table1[[#This Row],[mean]]) / Table1[[#This Row],[std_dev]]</f>
        <v>1.0150278640118229</v>
      </c>
      <c r="K4139">
        <f>AVERAGEIF(Table1[CountryCode],Table1[[#This Row],[CountryCode]],Table1[z-score])</f>
        <v>1.9919220601134553E-2</v>
      </c>
      <c r="L4139" t="e">
        <f>VLOOKUP(Table1[[#This Row],[CountryCode]],[1]!Table1[#Data],4,FALSE)</f>
        <v>#REF!</v>
      </c>
    </row>
    <row r="4140" spans="1:12" hidden="1" x14ac:dyDescent="0.3">
      <c r="A4140" t="s">
        <v>107</v>
      </c>
      <c r="B4140" t="s">
        <v>108</v>
      </c>
      <c r="C4140" t="s">
        <v>125</v>
      </c>
      <c r="D4140" t="s">
        <v>126</v>
      </c>
      <c r="E4140">
        <v>1981</v>
      </c>
      <c r="F4140" s="1">
        <v>12</v>
      </c>
      <c r="G4140">
        <v>1980</v>
      </c>
      <c r="H4140">
        <f>AVERAGEIFS(Table1[value],Table1[IndicatorCode],Table1[[#This Row],[IndicatorCode]])</f>
        <v>7.6894248608534319</v>
      </c>
      <c r="I4140" cm="1">
        <f t="array" ref="I4140">_xlfn.STDEV.P(IF(Table1[IndicatorCode]=Table1[[#This Row],[IndicatorCode]],Table1[value]))</f>
        <v>5.2319501044600996</v>
      </c>
      <c r="J4140">
        <f>(Table1[[#This Row],[value]] - Table1[[#This Row],[mean]]) / Table1[[#This Row],[std_dev]]</f>
        <v>0.82389454277706442</v>
      </c>
      <c r="K4140">
        <f>AVERAGEIF(Table1[CountryCode],Table1[[#This Row],[CountryCode]],Table1[z-score])</f>
        <v>1.9919220601134553E-2</v>
      </c>
      <c r="L4140" t="e">
        <f>VLOOKUP(Table1[[#This Row],[CountryCode]],[1]!Table1[#Data],4,FALSE)</f>
        <v>#REF!</v>
      </c>
    </row>
    <row r="4141" spans="1:12" hidden="1" x14ac:dyDescent="0.3">
      <c r="A4141" t="s">
        <v>107</v>
      </c>
      <c r="B4141" t="s">
        <v>108</v>
      </c>
      <c r="C4141" t="s">
        <v>125</v>
      </c>
      <c r="D4141" t="s">
        <v>126</v>
      </c>
      <c r="E4141">
        <v>1982</v>
      </c>
      <c r="F4141" s="1">
        <v>12</v>
      </c>
      <c r="G4141">
        <v>1980</v>
      </c>
      <c r="H4141">
        <f>AVERAGEIFS(Table1[value],Table1[IndicatorCode],Table1[[#This Row],[IndicatorCode]])</f>
        <v>7.6894248608534319</v>
      </c>
      <c r="I4141" cm="1">
        <f t="array" ref="I4141">_xlfn.STDEV.P(IF(Table1[IndicatorCode]=Table1[[#This Row],[IndicatorCode]],Table1[value]))</f>
        <v>5.2319501044600996</v>
      </c>
      <c r="J4141">
        <f>(Table1[[#This Row],[value]] - Table1[[#This Row],[mean]]) / Table1[[#This Row],[std_dev]]</f>
        <v>0.82389454277706442</v>
      </c>
      <c r="K4141">
        <f>AVERAGEIF(Table1[CountryCode],Table1[[#This Row],[CountryCode]],Table1[z-score])</f>
        <v>1.9919220601134553E-2</v>
      </c>
      <c r="L4141" t="e">
        <f>VLOOKUP(Table1[[#This Row],[CountryCode]],[1]!Table1[#Data],4,FALSE)</f>
        <v>#REF!</v>
      </c>
    </row>
    <row r="4142" spans="1:12" hidden="1" x14ac:dyDescent="0.3">
      <c r="A4142" t="s">
        <v>107</v>
      </c>
      <c r="B4142" t="s">
        <v>108</v>
      </c>
      <c r="C4142" t="s">
        <v>125</v>
      </c>
      <c r="D4142" t="s">
        <v>126</v>
      </c>
      <c r="E4142">
        <v>1983</v>
      </c>
      <c r="F4142" s="1">
        <v>12</v>
      </c>
      <c r="G4142">
        <v>1980</v>
      </c>
      <c r="H4142">
        <f>AVERAGEIFS(Table1[value],Table1[IndicatorCode],Table1[[#This Row],[IndicatorCode]])</f>
        <v>7.6894248608534319</v>
      </c>
      <c r="I4142" cm="1">
        <f t="array" ref="I4142">_xlfn.STDEV.P(IF(Table1[IndicatorCode]=Table1[[#This Row],[IndicatorCode]],Table1[value]))</f>
        <v>5.2319501044600996</v>
      </c>
      <c r="J4142">
        <f>(Table1[[#This Row],[value]] - Table1[[#This Row],[mean]]) / Table1[[#This Row],[std_dev]]</f>
        <v>0.82389454277706442</v>
      </c>
      <c r="K4142">
        <f>AVERAGEIF(Table1[CountryCode],Table1[[#This Row],[CountryCode]],Table1[z-score])</f>
        <v>1.9919220601134553E-2</v>
      </c>
      <c r="L4142" t="e">
        <f>VLOOKUP(Table1[[#This Row],[CountryCode]],[1]!Table1[#Data],4,FALSE)</f>
        <v>#REF!</v>
      </c>
    </row>
    <row r="4143" spans="1:12" hidden="1" x14ac:dyDescent="0.3">
      <c r="A4143" t="s">
        <v>107</v>
      </c>
      <c r="B4143" t="s">
        <v>108</v>
      </c>
      <c r="C4143" t="s">
        <v>125</v>
      </c>
      <c r="D4143" t="s">
        <v>126</v>
      </c>
      <c r="E4143">
        <v>1984</v>
      </c>
      <c r="F4143" s="1">
        <v>12</v>
      </c>
      <c r="G4143">
        <v>1980</v>
      </c>
      <c r="H4143">
        <f>AVERAGEIFS(Table1[value],Table1[IndicatorCode],Table1[[#This Row],[IndicatorCode]])</f>
        <v>7.6894248608534319</v>
      </c>
      <c r="I4143" cm="1">
        <f t="array" ref="I4143">_xlfn.STDEV.P(IF(Table1[IndicatorCode]=Table1[[#This Row],[IndicatorCode]],Table1[value]))</f>
        <v>5.2319501044600996</v>
      </c>
      <c r="J4143">
        <f>(Table1[[#This Row],[value]] - Table1[[#This Row],[mean]]) / Table1[[#This Row],[std_dev]]</f>
        <v>0.82389454277706442</v>
      </c>
      <c r="K4143">
        <f>AVERAGEIF(Table1[CountryCode],Table1[[#This Row],[CountryCode]],Table1[z-score])</f>
        <v>1.9919220601134553E-2</v>
      </c>
      <c r="L4143" t="e">
        <f>VLOOKUP(Table1[[#This Row],[CountryCode]],[1]!Table1[#Data],4,FALSE)</f>
        <v>#REF!</v>
      </c>
    </row>
    <row r="4144" spans="1:12" hidden="1" x14ac:dyDescent="0.3">
      <c r="A4144" t="s">
        <v>107</v>
      </c>
      <c r="B4144" t="s">
        <v>108</v>
      </c>
      <c r="C4144" t="s">
        <v>125</v>
      </c>
      <c r="D4144" t="s">
        <v>126</v>
      </c>
      <c r="E4144">
        <v>1985</v>
      </c>
      <c r="F4144" s="1">
        <v>12</v>
      </c>
      <c r="G4144">
        <v>1980</v>
      </c>
      <c r="H4144">
        <f>AVERAGEIFS(Table1[value],Table1[IndicatorCode],Table1[[#This Row],[IndicatorCode]])</f>
        <v>7.6894248608534319</v>
      </c>
      <c r="I4144" cm="1">
        <f t="array" ref="I4144">_xlfn.STDEV.P(IF(Table1[IndicatorCode]=Table1[[#This Row],[IndicatorCode]],Table1[value]))</f>
        <v>5.2319501044600996</v>
      </c>
      <c r="J4144">
        <f>(Table1[[#This Row],[value]] - Table1[[#This Row],[mean]]) / Table1[[#This Row],[std_dev]]</f>
        <v>0.82389454277706442</v>
      </c>
      <c r="K4144">
        <f>AVERAGEIF(Table1[CountryCode],Table1[[#This Row],[CountryCode]],Table1[z-score])</f>
        <v>1.9919220601134553E-2</v>
      </c>
      <c r="L4144" t="e">
        <f>VLOOKUP(Table1[[#This Row],[CountryCode]],[1]!Table1[#Data],4,FALSE)</f>
        <v>#REF!</v>
      </c>
    </row>
    <row r="4145" spans="1:12" hidden="1" x14ac:dyDescent="0.3">
      <c r="A4145" t="s">
        <v>107</v>
      </c>
      <c r="B4145" t="s">
        <v>108</v>
      </c>
      <c r="C4145" t="s">
        <v>125</v>
      </c>
      <c r="D4145" t="s">
        <v>126</v>
      </c>
      <c r="E4145">
        <v>1986</v>
      </c>
      <c r="F4145" s="1">
        <v>11</v>
      </c>
      <c r="G4145">
        <v>1980</v>
      </c>
      <c r="H4145">
        <f>AVERAGEIFS(Table1[value],Table1[IndicatorCode],Table1[[#This Row],[IndicatorCode]])</f>
        <v>7.6894248608534319</v>
      </c>
      <c r="I4145" cm="1">
        <f t="array" ref="I4145">_xlfn.STDEV.P(IF(Table1[IndicatorCode]=Table1[[#This Row],[IndicatorCode]],Table1[value]))</f>
        <v>5.2319501044600996</v>
      </c>
      <c r="J4145">
        <f>(Table1[[#This Row],[value]] - Table1[[#This Row],[mean]]) / Table1[[#This Row],[std_dev]]</f>
        <v>0.63276122154230596</v>
      </c>
      <c r="K4145">
        <f>AVERAGEIF(Table1[CountryCode],Table1[[#This Row],[CountryCode]],Table1[z-score])</f>
        <v>1.9919220601134553E-2</v>
      </c>
      <c r="L4145" t="e">
        <f>VLOOKUP(Table1[[#This Row],[CountryCode]],[1]!Table1[#Data],4,FALSE)</f>
        <v>#REF!</v>
      </c>
    </row>
    <row r="4146" spans="1:12" hidden="1" x14ac:dyDescent="0.3">
      <c r="A4146" t="s">
        <v>107</v>
      </c>
      <c r="B4146" t="s">
        <v>108</v>
      </c>
      <c r="C4146" t="s">
        <v>125</v>
      </c>
      <c r="D4146" t="s">
        <v>126</v>
      </c>
      <c r="E4146">
        <v>1987</v>
      </c>
      <c r="F4146" s="1">
        <v>11</v>
      </c>
      <c r="G4146">
        <v>1990</v>
      </c>
      <c r="H4146">
        <f>AVERAGEIFS(Table1[value],Table1[IndicatorCode],Table1[[#This Row],[IndicatorCode]])</f>
        <v>7.6894248608534319</v>
      </c>
      <c r="I4146" cm="1">
        <f t="array" ref="I4146">_xlfn.STDEV.P(IF(Table1[IndicatorCode]=Table1[[#This Row],[IndicatorCode]],Table1[value]))</f>
        <v>5.2319501044600996</v>
      </c>
      <c r="J4146">
        <f>(Table1[[#This Row],[value]] - Table1[[#This Row],[mean]]) / Table1[[#This Row],[std_dev]]</f>
        <v>0.63276122154230596</v>
      </c>
      <c r="K4146">
        <f>AVERAGEIF(Table1[CountryCode],Table1[[#This Row],[CountryCode]],Table1[z-score])</f>
        <v>1.9919220601134553E-2</v>
      </c>
      <c r="L4146" t="e">
        <f>VLOOKUP(Table1[[#This Row],[CountryCode]],[1]!Table1[#Data],4,FALSE)</f>
        <v>#REF!</v>
      </c>
    </row>
    <row r="4147" spans="1:12" hidden="1" x14ac:dyDescent="0.3">
      <c r="A4147" t="s">
        <v>107</v>
      </c>
      <c r="B4147" t="s">
        <v>108</v>
      </c>
      <c r="C4147" t="s">
        <v>125</v>
      </c>
      <c r="D4147" t="s">
        <v>126</v>
      </c>
      <c r="E4147">
        <v>1988</v>
      </c>
      <c r="F4147" s="1">
        <v>12</v>
      </c>
      <c r="G4147">
        <v>1990</v>
      </c>
      <c r="H4147">
        <f>AVERAGEIFS(Table1[value],Table1[IndicatorCode],Table1[[#This Row],[IndicatorCode]])</f>
        <v>7.6894248608534319</v>
      </c>
      <c r="I4147" cm="1">
        <f t="array" ref="I4147">_xlfn.STDEV.P(IF(Table1[IndicatorCode]=Table1[[#This Row],[IndicatorCode]],Table1[value]))</f>
        <v>5.2319501044600996</v>
      </c>
      <c r="J4147">
        <f>(Table1[[#This Row],[value]] - Table1[[#This Row],[mean]]) / Table1[[#This Row],[std_dev]]</f>
        <v>0.82389454277706442</v>
      </c>
      <c r="K4147">
        <f>AVERAGEIF(Table1[CountryCode],Table1[[#This Row],[CountryCode]],Table1[z-score])</f>
        <v>1.9919220601134553E-2</v>
      </c>
      <c r="L4147" t="e">
        <f>VLOOKUP(Table1[[#This Row],[CountryCode]],[1]!Table1[#Data],4,FALSE)</f>
        <v>#REF!</v>
      </c>
    </row>
    <row r="4148" spans="1:12" hidden="1" x14ac:dyDescent="0.3">
      <c r="A4148" t="s">
        <v>107</v>
      </c>
      <c r="B4148" t="s">
        <v>108</v>
      </c>
      <c r="C4148" t="s">
        <v>125</v>
      </c>
      <c r="D4148" t="s">
        <v>126</v>
      </c>
      <c r="E4148">
        <v>1989</v>
      </c>
      <c r="F4148" s="1">
        <v>11</v>
      </c>
      <c r="G4148">
        <v>1990</v>
      </c>
      <c r="H4148">
        <f>AVERAGEIFS(Table1[value],Table1[IndicatorCode],Table1[[#This Row],[IndicatorCode]])</f>
        <v>7.6894248608534319</v>
      </c>
      <c r="I4148" cm="1">
        <f t="array" ref="I4148">_xlfn.STDEV.P(IF(Table1[IndicatorCode]=Table1[[#This Row],[IndicatorCode]],Table1[value]))</f>
        <v>5.2319501044600996</v>
      </c>
      <c r="J4148">
        <f>(Table1[[#This Row],[value]] - Table1[[#This Row],[mean]]) / Table1[[#This Row],[std_dev]]</f>
        <v>0.63276122154230596</v>
      </c>
      <c r="K4148">
        <f>AVERAGEIF(Table1[CountryCode],Table1[[#This Row],[CountryCode]],Table1[z-score])</f>
        <v>1.9919220601134553E-2</v>
      </c>
      <c r="L4148" t="e">
        <f>VLOOKUP(Table1[[#This Row],[CountryCode]],[1]!Table1[#Data],4,FALSE)</f>
        <v>#REF!</v>
      </c>
    </row>
    <row r="4149" spans="1:12" hidden="1" x14ac:dyDescent="0.3">
      <c r="A4149" t="s">
        <v>107</v>
      </c>
      <c r="B4149" t="s">
        <v>108</v>
      </c>
      <c r="C4149" t="s">
        <v>125</v>
      </c>
      <c r="D4149" t="s">
        <v>126</v>
      </c>
      <c r="E4149">
        <v>1990</v>
      </c>
      <c r="F4149" s="1">
        <v>11</v>
      </c>
      <c r="G4149">
        <v>1990</v>
      </c>
      <c r="H4149">
        <f>AVERAGEIFS(Table1[value],Table1[IndicatorCode],Table1[[#This Row],[IndicatorCode]])</f>
        <v>7.6894248608534319</v>
      </c>
      <c r="I4149" cm="1">
        <f t="array" ref="I4149">_xlfn.STDEV.P(IF(Table1[IndicatorCode]=Table1[[#This Row],[IndicatorCode]],Table1[value]))</f>
        <v>5.2319501044600996</v>
      </c>
      <c r="J4149">
        <f>(Table1[[#This Row],[value]] - Table1[[#This Row],[mean]]) / Table1[[#This Row],[std_dev]]</f>
        <v>0.63276122154230596</v>
      </c>
      <c r="K4149">
        <f>AVERAGEIF(Table1[CountryCode],Table1[[#This Row],[CountryCode]],Table1[z-score])</f>
        <v>1.9919220601134553E-2</v>
      </c>
      <c r="L4149" t="e">
        <f>VLOOKUP(Table1[[#This Row],[CountryCode]],[1]!Table1[#Data],4,FALSE)</f>
        <v>#REF!</v>
      </c>
    </row>
    <row r="4150" spans="1:12" hidden="1" x14ac:dyDescent="0.3">
      <c r="A4150" t="s">
        <v>107</v>
      </c>
      <c r="B4150" t="s">
        <v>108</v>
      </c>
      <c r="C4150" t="s">
        <v>125</v>
      </c>
      <c r="D4150" t="s">
        <v>126</v>
      </c>
      <c r="E4150">
        <v>1991</v>
      </c>
      <c r="F4150" s="1">
        <v>10</v>
      </c>
      <c r="G4150">
        <v>1990</v>
      </c>
      <c r="H4150">
        <f>AVERAGEIFS(Table1[value],Table1[IndicatorCode],Table1[[#This Row],[IndicatorCode]])</f>
        <v>7.6894248608534319</v>
      </c>
      <c r="I4150" cm="1">
        <f t="array" ref="I4150">_xlfn.STDEV.P(IF(Table1[IndicatorCode]=Table1[[#This Row],[IndicatorCode]],Table1[value]))</f>
        <v>5.2319501044600996</v>
      </c>
      <c r="J4150">
        <f>(Table1[[#This Row],[value]] - Table1[[#This Row],[mean]]) / Table1[[#This Row],[std_dev]]</f>
        <v>0.44162790030754762</v>
      </c>
      <c r="K4150">
        <f>AVERAGEIF(Table1[CountryCode],Table1[[#This Row],[CountryCode]],Table1[z-score])</f>
        <v>1.9919220601134553E-2</v>
      </c>
      <c r="L4150" t="e">
        <f>VLOOKUP(Table1[[#This Row],[CountryCode]],[1]!Table1[#Data],4,FALSE)</f>
        <v>#REF!</v>
      </c>
    </row>
    <row r="4151" spans="1:12" hidden="1" x14ac:dyDescent="0.3">
      <c r="A4151" t="s">
        <v>107</v>
      </c>
      <c r="B4151" t="s">
        <v>108</v>
      </c>
      <c r="C4151" t="s">
        <v>125</v>
      </c>
      <c r="D4151" t="s">
        <v>126</v>
      </c>
      <c r="E4151">
        <v>1992</v>
      </c>
      <c r="F4151" s="1">
        <v>9</v>
      </c>
      <c r="G4151">
        <v>1990</v>
      </c>
      <c r="H4151">
        <f>AVERAGEIFS(Table1[value],Table1[IndicatorCode],Table1[[#This Row],[IndicatorCode]])</f>
        <v>7.6894248608534319</v>
      </c>
      <c r="I4151" cm="1">
        <f t="array" ref="I4151">_xlfn.STDEV.P(IF(Table1[IndicatorCode]=Table1[[#This Row],[IndicatorCode]],Table1[value]))</f>
        <v>5.2319501044600996</v>
      </c>
      <c r="J4151">
        <f>(Table1[[#This Row],[value]] - Table1[[#This Row],[mean]]) / Table1[[#This Row],[std_dev]]</f>
        <v>0.25049457907278921</v>
      </c>
      <c r="K4151">
        <f>AVERAGEIF(Table1[CountryCode],Table1[[#This Row],[CountryCode]],Table1[z-score])</f>
        <v>1.9919220601134553E-2</v>
      </c>
      <c r="L4151" t="e">
        <f>VLOOKUP(Table1[[#This Row],[CountryCode]],[1]!Table1[#Data],4,FALSE)</f>
        <v>#REF!</v>
      </c>
    </row>
    <row r="4152" spans="1:12" hidden="1" x14ac:dyDescent="0.3">
      <c r="A4152" t="s">
        <v>107</v>
      </c>
      <c r="B4152" t="s">
        <v>108</v>
      </c>
      <c r="C4152" t="s">
        <v>125</v>
      </c>
      <c r="D4152" t="s">
        <v>126</v>
      </c>
      <c r="E4152">
        <v>1993</v>
      </c>
      <c r="F4152" s="1">
        <v>9</v>
      </c>
      <c r="G4152">
        <v>1990</v>
      </c>
      <c r="H4152">
        <f>AVERAGEIFS(Table1[value],Table1[IndicatorCode],Table1[[#This Row],[IndicatorCode]])</f>
        <v>7.6894248608534319</v>
      </c>
      <c r="I4152" cm="1">
        <f t="array" ref="I4152">_xlfn.STDEV.P(IF(Table1[IndicatorCode]=Table1[[#This Row],[IndicatorCode]],Table1[value]))</f>
        <v>5.2319501044600996</v>
      </c>
      <c r="J4152">
        <f>(Table1[[#This Row],[value]] - Table1[[#This Row],[mean]]) / Table1[[#This Row],[std_dev]]</f>
        <v>0.25049457907278921</v>
      </c>
      <c r="K4152">
        <f>AVERAGEIF(Table1[CountryCode],Table1[[#This Row],[CountryCode]],Table1[z-score])</f>
        <v>1.9919220601134553E-2</v>
      </c>
      <c r="L4152" t="e">
        <f>VLOOKUP(Table1[[#This Row],[CountryCode]],[1]!Table1[#Data],4,FALSE)</f>
        <v>#REF!</v>
      </c>
    </row>
    <row r="4153" spans="1:12" hidden="1" x14ac:dyDescent="0.3">
      <c r="A4153" t="s">
        <v>107</v>
      </c>
      <c r="B4153" t="s">
        <v>108</v>
      </c>
      <c r="C4153" t="s">
        <v>125</v>
      </c>
      <c r="D4153" t="s">
        <v>126</v>
      </c>
      <c r="E4153">
        <v>1994</v>
      </c>
      <c r="F4153" s="1">
        <v>8</v>
      </c>
      <c r="G4153">
        <v>1990</v>
      </c>
      <c r="H4153">
        <f>AVERAGEIFS(Table1[value],Table1[IndicatorCode],Table1[[#This Row],[IndicatorCode]])</f>
        <v>7.6894248608534319</v>
      </c>
      <c r="I4153" cm="1">
        <f t="array" ref="I4153">_xlfn.STDEV.P(IF(Table1[IndicatorCode]=Table1[[#This Row],[IndicatorCode]],Table1[value]))</f>
        <v>5.2319501044600996</v>
      </c>
      <c r="J4153">
        <f>(Table1[[#This Row],[value]] - Table1[[#This Row],[mean]]) / Table1[[#This Row],[std_dev]]</f>
        <v>5.9361257838030791E-2</v>
      </c>
      <c r="K4153">
        <f>AVERAGEIF(Table1[CountryCode],Table1[[#This Row],[CountryCode]],Table1[z-score])</f>
        <v>1.9919220601134553E-2</v>
      </c>
      <c r="L4153" t="e">
        <f>VLOOKUP(Table1[[#This Row],[CountryCode]],[1]!Table1[#Data],4,FALSE)</f>
        <v>#REF!</v>
      </c>
    </row>
    <row r="4154" spans="1:12" hidden="1" x14ac:dyDescent="0.3">
      <c r="A4154" t="s">
        <v>107</v>
      </c>
      <c r="B4154" t="s">
        <v>108</v>
      </c>
      <c r="C4154" t="s">
        <v>125</v>
      </c>
      <c r="D4154" t="s">
        <v>126</v>
      </c>
      <c r="E4154">
        <v>1995</v>
      </c>
      <c r="F4154" s="1">
        <v>9</v>
      </c>
      <c r="G4154">
        <v>1990</v>
      </c>
      <c r="H4154">
        <f>AVERAGEIFS(Table1[value],Table1[IndicatorCode],Table1[[#This Row],[IndicatorCode]])</f>
        <v>7.6894248608534319</v>
      </c>
      <c r="I4154" cm="1">
        <f t="array" ref="I4154">_xlfn.STDEV.P(IF(Table1[IndicatorCode]=Table1[[#This Row],[IndicatorCode]],Table1[value]))</f>
        <v>5.2319501044600996</v>
      </c>
      <c r="J4154">
        <f>(Table1[[#This Row],[value]] - Table1[[#This Row],[mean]]) / Table1[[#This Row],[std_dev]]</f>
        <v>0.25049457907278921</v>
      </c>
      <c r="K4154">
        <f>AVERAGEIF(Table1[CountryCode],Table1[[#This Row],[CountryCode]],Table1[z-score])</f>
        <v>1.9919220601134553E-2</v>
      </c>
      <c r="L4154" t="e">
        <f>VLOOKUP(Table1[[#This Row],[CountryCode]],[1]!Table1[#Data],4,FALSE)</f>
        <v>#REF!</v>
      </c>
    </row>
    <row r="4155" spans="1:12" hidden="1" x14ac:dyDescent="0.3">
      <c r="A4155" t="s">
        <v>107</v>
      </c>
      <c r="B4155" t="s">
        <v>108</v>
      </c>
      <c r="C4155" t="s">
        <v>125</v>
      </c>
      <c r="D4155" t="s">
        <v>126</v>
      </c>
      <c r="E4155">
        <v>1996</v>
      </c>
      <c r="F4155" s="1">
        <v>9</v>
      </c>
      <c r="G4155">
        <v>1990</v>
      </c>
      <c r="H4155">
        <f>AVERAGEIFS(Table1[value],Table1[IndicatorCode],Table1[[#This Row],[IndicatorCode]])</f>
        <v>7.6894248608534319</v>
      </c>
      <c r="I4155" cm="1">
        <f t="array" ref="I4155">_xlfn.STDEV.P(IF(Table1[IndicatorCode]=Table1[[#This Row],[IndicatorCode]],Table1[value]))</f>
        <v>5.2319501044600996</v>
      </c>
      <c r="J4155">
        <f>(Table1[[#This Row],[value]] - Table1[[#This Row],[mean]]) / Table1[[#This Row],[std_dev]]</f>
        <v>0.25049457907278921</v>
      </c>
      <c r="K4155">
        <f>AVERAGEIF(Table1[CountryCode],Table1[[#This Row],[CountryCode]],Table1[z-score])</f>
        <v>1.9919220601134553E-2</v>
      </c>
      <c r="L4155" t="e">
        <f>VLOOKUP(Table1[[#This Row],[CountryCode]],[1]!Table1[#Data],4,FALSE)</f>
        <v>#REF!</v>
      </c>
    </row>
    <row r="4156" spans="1:12" hidden="1" x14ac:dyDescent="0.3">
      <c r="A4156" t="s">
        <v>107</v>
      </c>
      <c r="B4156" t="s">
        <v>108</v>
      </c>
      <c r="C4156" t="s">
        <v>125</v>
      </c>
      <c r="D4156" t="s">
        <v>126</v>
      </c>
      <c r="E4156">
        <v>1997</v>
      </c>
      <c r="F4156" s="1">
        <v>8</v>
      </c>
      <c r="G4156">
        <v>2000</v>
      </c>
      <c r="H4156">
        <f>AVERAGEIFS(Table1[value],Table1[IndicatorCode],Table1[[#This Row],[IndicatorCode]])</f>
        <v>7.6894248608534319</v>
      </c>
      <c r="I4156" cm="1">
        <f t="array" ref="I4156">_xlfn.STDEV.P(IF(Table1[IndicatorCode]=Table1[[#This Row],[IndicatorCode]],Table1[value]))</f>
        <v>5.2319501044600996</v>
      </c>
      <c r="J4156">
        <f>(Table1[[#This Row],[value]] - Table1[[#This Row],[mean]]) / Table1[[#This Row],[std_dev]]</f>
        <v>5.9361257838030791E-2</v>
      </c>
      <c r="K4156">
        <f>AVERAGEIF(Table1[CountryCode],Table1[[#This Row],[CountryCode]],Table1[z-score])</f>
        <v>1.9919220601134553E-2</v>
      </c>
      <c r="L4156" t="e">
        <f>VLOOKUP(Table1[[#This Row],[CountryCode]],[1]!Table1[#Data],4,FALSE)</f>
        <v>#REF!</v>
      </c>
    </row>
    <row r="4157" spans="1:12" hidden="1" x14ac:dyDescent="0.3">
      <c r="A4157" t="s">
        <v>107</v>
      </c>
      <c r="B4157" t="s">
        <v>108</v>
      </c>
      <c r="C4157" t="s">
        <v>125</v>
      </c>
      <c r="D4157" t="s">
        <v>126</v>
      </c>
      <c r="E4157">
        <v>1998</v>
      </c>
      <c r="F4157" s="1">
        <v>8</v>
      </c>
      <c r="G4157">
        <v>2000</v>
      </c>
      <c r="H4157">
        <f>AVERAGEIFS(Table1[value],Table1[IndicatorCode],Table1[[#This Row],[IndicatorCode]])</f>
        <v>7.6894248608534319</v>
      </c>
      <c r="I4157" cm="1">
        <f t="array" ref="I4157">_xlfn.STDEV.P(IF(Table1[IndicatorCode]=Table1[[#This Row],[IndicatorCode]],Table1[value]))</f>
        <v>5.2319501044600996</v>
      </c>
      <c r="J4157">
        <f>(Table1[[#This Row],[value]] - Table1[[#This Row],[mean]]) / Table1[[#This Row],[std_dev]]</f>
        <v>5.9361257838030791E-2</v>
      </c>
      <c r="K4157">
        <f>AVERAGEIF(Table1[CountryCode],Table1[[#This Row],[CountryCode]],Table1[z-score])</f>
        <v>1.9919220601134553E-2</v>
      </c>
      <c r="L4157" t="e">
        <f>VLOOKUP(Table1[[#This Row],[CountryCode]],[1]!Table1[#Data],4,FALSE)</f>
        <v>#REF!</v>
      </c>
    </row>
    <row r="4158" spans="1:12" hidden="1" x14ac:dyDescent="0.3">
      <c r="A4158" t="s">
        <v>107</v>
      </c>
      <c r="B4158" t="s">
        <v>108</v>
      </c>
      <c r="C4158" t="s">
        <v>125</v>
      </c>
      <c r="D4158" t="s">
        <v>126</v>
      </c>
      <c r="E4158">
        <v>1999</v>
      </c>
      <c r="F4158" s="1">
        <v>8</v>
      </c>
      <c r="G4158">
        <v>2000</v>
      </c>
      <c r="H4158">
        <f>AVERAGEIFS(Table1[value],Table1[IndicatorCode],Table1[[#This Row],[IndicatorCode]])</f>
        <v>7.6894248608534319</v>
      </c>
      <c r="I4158" cm="1">
        <f t="array" ref="I4158">_xlfn.STDEV.P(IF(Table1[IndicatorCode]=Table1[[#This Row],[IndicatorCode]],Table1[value]))</f>
        <v>5.2319501044600996</v>
      </c>
      <c r="J4158">
        <f>(Table1[[#This Row],[value]] - Table1[[#This Row],[mean]]) / Table1[[#This Row],[std_dev]]</f>
        <v>5.9361257838030791E-2</v>
      </c>
      <c r="K4158">
        <f>AVERAGEIF(Table1[CountryCode],Table1[[#This Row],[CountryCode]],Table1[z-score])</f>
        <v>1.9919220601134553E-2</v>
      </c>
      <c r="L4158" t="e">
        <f>VLOOKUP(Table1[[#This Row],[CountryCode]],[1]!Table1[#Data],4,FALSE)</f>
        <v>#REF!</v>
      </c>
    </row>
    <row r="4159" spans="1:12" hidden="1" x14ac:dyDescent="0.3">
      <c r="A4159" t="s">
        <v>107</v>
      </c>
      <c r="B4159" t="s">
        <v>108</v>
      </c>
      <c r="C4159" t="s">
        <v>125</v>
      </c>
      <c r="D4159" t="s">
        <v>126</v>
      </c>
      <c r="E4159">
        <v>2000</v>
      </c>
      <c r="F4159" s="1">
        <v>8</v>
      </c>
      <c r="G4159">
        <v>2000</v>
      </c>
      <c r="H4159">
        <f>AVERAGEIFS(Table1[value],Table1[IndicatorCode],Table1[[#This Row],[IndicatorCode]])</f>
        <v>7.6894248608534319</v>
      </c>
      <c r="I4159" cm="1">
        <f t="array" ref="I4159">_xlfn.STDEV.P(IF(Table1[IndicatorCode]=Table1[[#This Row],[IndicatorCode]],Table1[value]))</f>
        <v>5.2319501044600996</v>
      </c>
      <c r="J4159">
        <f>(Table1[[#This Row],[value]] - Table1[[#This Row],[mean]]) / Table1[[#This Row],[std_dev]]</f>
        <v>5.9361257838030791E-2</v>
      </c>
      <c r="K4159">
        <f>AVERAGEIF(Table1[CountryCode],Table1[[#This Row],[CountryCode]],Table1[z-score])</f>
        <v>1.9919220601134553E-2</v>
      </c>
      <c r="L4159" t="e">
        <f>VLOOKUP(Table1[[#This Row],[CountryCode]],[1]!Table1[#Data],4,FALSE)</f>
        <v>#REF!</v>
      </c>
    </row>
    <row r="4160" spans="1:12" hidden="1" x14ac:dyDescent="0.3">
      <c r="A4160" t="s">
        <v>107</v>
      </c>
      <c r="B4160" t="s">
        <v>108</v>
      </c>
      <c r="C4160" t="s">
        <v>125</v>
      </c>
      <c r="D4160" t="s">
        <v>126</v>
      </c>
      <c r="E4160">
        <v>2001</v>
      </c>
      <c r="F4160" s="1">
        <v>8</v>
      </c>
      <c r="G4160">
        <v>2000</v>
      </c>
      <c r="H4160">
        <f>AVERAGEIFS(Table1[value],Table1[IndicatorCode],Table1[[#This Row],[IndicatorCode]])</f>
        <v>7.6894248608534319</v>
      </c>
      <c r="I4160" cm="1">
        <f t="array" ref="I4160">_xlfn.STDEV.P(IF(Table1[IndicatorCode]=Table1[[#This Row],[IndicatorCode]],Table1[value]))</f>
        <v>5.2319501044600996</v>
      </c>
      <c r="J4160">
        <f>(Table1[[#This Row],[value]] - Table1[[#This Row],[mean]]) / Table1[[#This Row],[std_dev]]</f>
        <v>5.9361257838030791E-2</v>
      </c>
      <c r="K4160">
        <f>AVERAGEIF(Table1[CountryCode],Table1[[#This Row],[CountryCode]],Table1[z-score])</f>
        <v>1.9919220601134553E-2</v>
      </c>
      <c r="L4160" t="e">
        <f>VLOOKUP(Table1[[#This Row],[CountryCode]],[1]!Table1[#Data],4,FALSE)</f>
        <v>#REF!</v>
      </c>
    </row>
    <row r="4161" spans="1:12" hidden="1" x14ac:dyDescent="0.3">
      <c r="A4161" t="s">
        <v>107</v>
      </c>
      <c r="B4161" t="s">
        <v>108</v>
      </c>
      <c r="C4161" t="s">
        <v>125</v>
      </c>
      <c r="D4161" t="s">
        <v>126</v>
      </c>
      <c r="E4161">
        <v>2002</v>
      </c>
      <c r="F4161" s="1">
        <v>8</v>
      </c>
      <c r="G4161">
        <v>2000</v>
      </c>
      <c r="H4161">
        <f>AVERAGEIFS(Table1[value],Table1[IndicatorCode],Table1[[#This Row],[IndicatorCode]])</f>
        <v>7.6894248608534319</v>
      </c>
      <c r="I4161" cm="1">
        <f t="array" ref="I4161">_xlfn.STDEV.P(IF(Table1[IndicatorCode]=Table1[[#This Row],[IndicatorCode]],Table1[value]))</f>
        <v>5.2319501044600996</v>
      </c>
      <c r="J4161">
        <f>(Table1[[#This Row],[value]] - Table1[[#This Row],[mean]]) / Table1[[#This Row],[std_dev]]</f>
        <v>5.9361257838030791E-2</v>
      </c>
      <c r="K4161">
        <f>AVERAGEIF(Table1[CountryCode],Table1[[#This Row],[CountryCode]],Table1[z-score])</f>
        <v>1.9919220601134553E-2</v>
      </c>
      <c r="L4161" t="e">
        <f>VLOOKUP(Table1[[#This Row],[CountryCode]],[1]!Table1[#Data],4,FALSE)</f>
        <v>#REF!</v>
      </c>
    </row>
    <row r="4162" spans="1:12" hidden="1" x14ac:dyDescent="0.3">
      <c r="A4162" t="s">
        <v>107</v>
      </c>
      <c r="B4162" t="s">
        <v>108</v>
      </c>
      <c r="C4162" t="s">
        <v>125</v>
      </c>
      <c r="D4162" t="s">
        <v>126</v>
      </c>
      <c r="E4162">
        <v>2003</v>
      </c>
      <c r="F4162" s="1">
        <v>8</v>
      </c>
      <c r="G4162">
        <v>2000</v>
      </c>
      <c r="H4162">
        <f>AVERAGEIFS(Table1[value],Table1[IndicatorCode],Table1[[#This Row],[IndicatorCode]])</f>
        <v>7.6894248608534319</v>
      </c>
      <c r="I4162" cm="1">
        <f t="array" ref="I4162">_xlfn.STDEV.P(IF(Table1[IndicatorCode]=Table1[[#This Row],[IndicatorCode]],Table1[value]))</f>
        <v>5.2319501044600996</v>
      </c>
      <c r="J4162">
        <f>(Table1[[#This Row],[value]] - Table1[[#This Row],[mean]]) / Table1[[#This Row],[std_dev]]</f>
        <v>5.9361257838030791E-2</v>
      </c>
      <c r="K4162">
        <f>AVERAGEIF(Table1[CountryCode],Table1[[#This Row],[CountryCode]],Table1[z-score])</f>
        <v>1.9919220601134553E-2</v>
      </c>
      <c r="L4162" t="e">
        <f>VLOOKUP(Table1[[#This Row],[CountryCode]],[1]!Table1[#Data],4,FALSE)</f>
        <v>#REF!</v>
      </c>
    </row>
    <row r="4163" spans="1:12" hidden="1" x14ac:dyDescent="0.3">
      <c r="A4163" t="s">
        <v>107</v>
      </c>
      <c r="B4163" t="s">
        <v>108</v>
      </c>
      <c r="C4163" t="s">
        <v>125</v>
      </c>
      <c r="D4163" t="s">
        <v>126</v>
      </c>
      <c r="E4163">
        <v>2004</v>
      </c>
      <c r="F4163" s="1">
        <v>8</v>
      </c>
      <c r="G4163">
        <v>2000</v>
      </c>
      <c r="H4163">
        <f>AVERAGEIFS(Table1[value],Table1[IndicatorCode],Table1[[#This Row],[IndicatorCode]])</f>
        <v>7.6894248608534319</v>
      </c>
      <c r="I4163" cm="1">
        <f t="array" ref="I4163">_xlfn.STDEV.P(IF(Table1[IndicatorCode]=Table1[[#This Row],[IndicatorCode]],Table1[value]))</f>
        <v>5.2319501044600996</v>
      </c>
      <c r="J4163">
        <f>(Table1[[#This Row],[value]] - Table1[[#This Row],[mean]]) / Table1[[#This Row],[std_dev]]</f>
        <v>5.9361257838030791E-2</v>
      </c>
      <c r="K4163">
        <f>AVERAGEIF(Table1[CountryCode],Table1[[#This Row],[CountryCode]],Table1[z-score])</f>
        <v>1.9919220601134553E-2</v>
      </c>
      <c r="L4163" t="e">
        <f>VLOOKUP(Table1[[#This Row],[CountryCode]],[1]!Table1[#Data],4,FALSE)</f>
        <v>#REF!</v>
      </c>
    </row>
    <row r="4164" spans="1:12" hidden="1" x14ac:dyDescent="0.3">
      <c r="A4164" t="s">
        <v>107</v>
      </c>
      <c r="B4164" t="s">
        <v>108</v>
      </c>
      <c r="C4164" t="s">
        <v>125</v>
      </c>
      <c r="D4164" t="s">
        <v>126</v>
      </c>
      <c r="E4164">
        <v>2005</v>
      </c>
      <c r="F4164" s="1">
        <v>8</v>
      </c>
      <c r="G4164">
        <v>2000</v>
      </c>
      <c r="H4164">
        <f>AVERAGEIFS(Table1[value],Table1[IndicatorCode],Table1[[#This Row],[IndicatorCode]])</f>
        <v>7.6894248608534319</v>
      </c>
      <c r="I4164" cm="1">
        <f t="array" ref="I4164">_xlfn.STDEV.P(IF(Table1[IndicatorCode]=Table1[[#This Row],[IndicatorCode]],Table1[value]))</f>
        <v>5.2319501044600996</v>
      </c>
      <c r="J4164">
        <f>(Table1[[#This Row],[value]] - Table1[[#This Row],[mean]]) / Table1[[#This Row],[std_dev]]</f>
        <v>5.9361257838030791E-2</v>
      </c>
      <c r="K4164">
        <f>AVERAGEIF(Table1[CountryCode],Table1[[#This Row],[CountryCode]],Table1[z-score])</f>
        <v>1.9919220601134553E-2</v>
      </c>
      <c r="L4164" t="e">
        <f>VLOOKUP(Table1[[#This Row],[CountryCode]],[1]!Table1[#Data],4,FALSE)</f>
        <v>#REF!</v>
      </c>
    </row>
    <row r="4165" spans="1:12" hidden="1" x14ac:dyDescent="0.3">
      <c r="A4165" t="s">
        <v>107</v>
      </c>
      <c r="B4165" t="s">
        <v>108</v>
      </c>
      <c r="C4165" t="s">
        <v>125</v>
      </c>
      <c r="D4165" t="s">
        <v>126</v>
      </c>
      <c r="E4165">
        <v>2006</v>
      </c>
      <c r="F4165" s="1">
        <v>8</v>
      </c>
      <c r="G4165">
        <v>2000</v>
      </c>
      <c r="H4165">
        <f>AVERAGEIFS(Table1[value],Table1[IndicatorCode],Table1[[#This Row],[IndicatorCode]])</f>
        <v>7.6894248608534319</v>
      </c>
      <c r="I4165" cm="1">
        <f t="array" ref="I4165">_xlfn.STDEV.P(IF(Table1[IndicatorCode]=Table1[[#This Row],[IndicatorCode]],Table1[value]))</f>
        <v>5.2319501044600996</v>
      </c>
      <c r="J4165">
        <f>(Table1[[#This Row],[value]] - Table1[[#This Row],[mean]]) / Table1[[#This Row],[std_dev]]</f>
        <v>5.9361257838030791E-2</v>
      </c>
      <c r="K4165">
        <f>AVERAGEIF(Table1[CountryCode],Table1[[#This Row],[CountryCode]],Table1[z-score])</f>
        <v>1.9919220601134553E-2</v>
      </c>
      <c r="L4165" t="e">
        <f>VLOOKUP(Table1[[#This Row],[CountryCode]],[1]!Table1[#Data],4,FALSE)</f>
        <v>#REF!</v>
      </c>
    </row>
    <row r="4166" spans="1:12" hidden="1" x14ac:dyDescent="0.3">
      <c r="A4166" t="s">
        <v>107</v>
      </c>
      <c r="B4166" t="s">
        <v>108</v>
      </c>
      <c r="C4166" t="s">
        <v>125</v>
      </c>
      <c r="D4166" t="s">
        <v>126</v>
      </c>
      <c r="E4166">
        <v>2007</v>
      </c>
      <c r="F4166" s="1">
        <v>8</v>
      </c>
      <c r="G4166">
        <v>2010</v>
      </c>
      <c r="H4166">
        <f>AVERAGEIFS(Table1[value],Table1[IndicatorCode],Table1[[#This Row],[IndicatorCode]])</f>
        <v>7.6894248608534319</v>
      </c>
      <c r="I4166" cm="1">
        <f t="array" ref="I4166">_xlfn.STDEV.P(IF(Table1[IndicatorCode]=Table1[[#This Row],[IndicatorCode]],Table1[value]))</f>
        <v>5.2319501044600996</v>
      </c>
      <c r="J4166">
        <f>(Table1[[#This Row],[value]] - Table1[[#This Row],[mean]]) / Table1[[#This Row],[std_dev]]</f>
        <v>5.9361257838030791E-2</v>
      </c>
      <c r="K4166">
        <f>AVERAGEIF(Table1[CountryCode],Table1[[#This Row],[CountryCode]],Table1[z-score])</f>
        <v>1.9919220601134553E-2</v>
      </c>
      <c r="L4166" t="e">
        <f>VLOOKUP(Table1[[#This Row],[CountryCode]],[1]!Table1[#Data],4,FALSE)</f>
        <v>#REF!</v>
      </c>
    </row>
    <row r="4167" spans="1:12" hidden="1" x14ac:dyDescent="0.3">
      <c r="A4167" t="s">
        <v>107</v>
      </c>
      <c r="B4167" t="s">
        <v>108</v>
      </c>
      <c r="C4167" t="s">
        <v>125</v>
      </c>
      <c r="D4167" t="s">
        <v>126</v>
      </c>
      <c r="E4167">
        <v>2008</v>
      </c>
      <c r="F4167" s="1">
        <v>8</v>
      </c>
      <c r="G4167">
        <v>2010</v>
      </c>
      <c r="H4167">
        <f>AVERAGEIFS(Table1[value],Table1[IndicatorCode],Table1[[#This Row],[IndicatorCode]])</f>
        <v>7.6894248608534319</v>
      </c>
      <c r="I4167" cm="1">
        <f t="array" ref="I4167">_xlfn.STDEV.P(IF(Table1[IndicatorCode]=Table1[[#This Row],[IndicatorCode]],Table1[value]))</f>
        <v>5.2319501044600996</v>
      </c>
      <c r="J4167">
        <f>(Table1[[#This Row],[value]] - Table1[[#This Row],[mean]]) / Table1[[#This Row],[std_dev]]</f>
        <v>5.9361257838030791E-2</v>
      </c>
      <c r="K4167">
        <f>AVERAGEIF(Table1[CountryCode],Table1[[#This Row],[CountryCode]],Table1[z-score])</f>
        <v>1.9919220601134553E-2</v>
      </c>
      <c r="L4167" t="e">
        <f>VLOOKUP(Table1[[#This Row],[CountryCode]],[1]!Table1[#Data],4,FALSE)</f>
        <v>#REF!</v>
      </c>
    </row>
    <row r="4168" spans="1:12" hidden="1" x14ac:dyDescent="0.3">
      <c r="A4168" t="s">
        <v>107</v>
      </c>
      <c r="B4168" t="s">
        <v>108</v>
      </c>
      <c r="C4168" t="s">
        <v>125</v>
      </c>
      <c r="D4168" t="s">
        <v>126</v>
      </c>
      <c r="E4168">
        <v>2009</v>
      </c>
      <c r="F4168" s="1">
        <v>7</v>
      </c>
      <c r="G4168">
        <v>2010</v>
      </c>
      <c r="H4168">
        <f>AVERAGEIFS(Table1[value],Table1[IndicatorCode],Table1[[#This Row],[IndicatorCode]])</f>
        <v>7.6894248608534319</v>
      </c>
      <c r="I4168" cm="1">
        <f t="array" ref="I4168">_xlfn.STDEV.P(IF(Table1[IndicatorCode]=Table1[[#This Row],[IndicatorCode]],Table1[value]))</f>
        <v>5.2319501044600996</v>
      </c>
      <c r="J4168">
        <f>(Table1[[#This Row],[value]] - Table1[[#This Row],[mean]]) / Table1[[#This Row],[std_dev]]</f>
        <v>-0.13177206339672762</v>
      </c>
      <c r="K4168">
        <f>AVERAGEIF(Table1[CountryCode],Table1[[#This Row],[CountryCode]],Table1[z-score])</f>
        <v>1.9919220601134553E-2</v>
      </c>
      <c r="L4168" t="e">
        <f>VLOOKUP(Table1[[#This Row],[CountryCode]],[1]!Table1[#Data],4,FALSE)</f>
        <v>#REF!</v>
      </c>
    </row>
    <row r="4169" spans="1:12" hidden="1" x14ac:dyDescent="0.3">
      <c r="A4169" t="s">
        <v>107</v>
      </c>
      <c r="B4169" t="s">
        <v>108</v>
      </c>
      <c r="C4169" t="s">
        <v>125</v>
      </c>
      <c r="D4169" t="s">
        <v>126</v>
      </c>
      <c r="E4169">
        <v>2010</v>
      </c>
      <c r="F4169" s="1">
        <v>7</v>
      </c>
      <c r="G4169">
        <v>2010</v>
      </c>
      <c r="H4169">
        <f>AVERAGEIFS(Table1[value],Table1[IndicatorCode],Table1[[#This Row],[IndicatorCode]])</f>
        <v>7.6894248608534319</v>
      </c>
      <c r="I4169" cm="1">
        <f t="array" ref="I4169">_xlfn.STDEV.P(IF(Table1[IndicatorCode]=Table1[[#This Row],[IndicatorCode]],Table1[value]))</f>
        <v>5.2319501044600996</v>
      </c>
      <c r="J4169">
        <f>(Table1[[#This Row],[value]] - Table1[[#This Row],[mean]]) / Table1[[#This Row],[std_dev]]</f>
        <v>-0.13177206339672762</v>
      </c>
      <c r="K4169">
        <f>AVERAGEIF(Table1[CountryCode],Table1[[#This Row],[CountryCode]],Table1[z-score])</f>
        <v>1.9919220601134553E-2</v>
      </c>
      <c r="L4169" t="e">
        <f>VLOOKUP(Table1[[#This Row],[CountryCode]],[1]!Table1[#Data],4,FALSE)</f>
        <v>#REF!</v>
      </c>
    </row>
    <row r="4170" spans="1:12" hidden="1" x14ac:dyDescent="0.3">
      <c r="A4170" t="s">
        <v>107</v>
      </c>
      <c r="B4170" t="s">
        <v>108</v>
      </c>
      <c r="C4170" t="s">
        <v>125</v>
      </c>
      <c r="D4170" t="s">
        <v>126</v>
      </c>
      <c r="E4170">
        <v>2011</v>
      </c>
      <c r="F4170" s="1">
        <v>7</v>
      </c>
      <c r="G4170">
        <v>2010</v>
      </c>
      <c r="H4170">
        <f>AVERAGEIFS(Table1[value],Table1[IndicatorCode],Table1[[#This Row],[IndicatorCode]])</f>
        <v>7.6894248608534319</v>
      </c>
      <c r="I4170" cm="1">
        <f t="array" ref="I4170">_xlfn.STDEV.P(IF(Table1[IndicatorCode]=Table1[[#This Row],[IndicatorCode]],Table1[value]))</f>
        <v>5.2319501044600996</v>
      </c>
      <c r="J4170">
        <f>(Table1[[#This Row],[value]] - Table1[[#This Row],[mean]]) / Table1[[#This Row],[std_dev]]</f>
        <v>-0.13177206339672762</v>
      </c>
      <c r="K4170">
        <f>AVERAGEIF(Table1[CountryCode],Table1[[#This Row],[CountryCode]],Table1[z-score])</f>
        <v>1.9919220601134553E-2</v>
      </c>
      <c r="L4170" t="e">
        <f>VLOOKUP(Table1[[#This Row],[CountryCode]],[1]!Table1[#Data],4,FALSE)</f>
        <v>#REF!</v>
      </c>
    </row>
    <row r="4171" spans="1:12" hidden="1" x14ac:dyDescent="0.3">
      <c r="A4171" t="s">
        <v>107</v>
      </c>
      <c r="B4171" t="s">
        <v>108</v>
      </c>
      <c r="C4171" t="s">
        <v>125</v>
      </c>
      <c r="D4171" t="s">
        <v>126</v>
      </c>
      <c r="E4171">
        <v>2012</v>
      </c>
      <c r="F4171" s="1">
        <v>7</v>
      </c>
      <c r="G4171">
        <v>2010</v>
      </c>
      <c r="H4171">
        <f>AVERAGEIFS(Table1[value],Table1[IndicatorCode],Table1[[#This Row],[IndicatorCode]])</f>
        <v>7.6894248608534319</v>
      </c>
      <c r="I4171" cm="1">
        <f t="array" ref="I4171">_xlfn.STDEV.P(IF(Table1[IndicatorCode]=Table1[[#This Row],[IndicatorCode]],Table1[value]))</f>
        <v>5.2319501044600996</v>
      </c>
      <c r="J4171">
        <f>(Table1[[#This Row],[value]] - Table1[[#This Row],[mean]]) / Table1[[#This Row],[std_dev]]</f>
        <v>-0.13177206339672762</v>
      </c>
      <c r="K4171">
        <f>AVERAGEIF(Table1[CountryCode],Table1[[#This Row],[CountryCode]],Table1[z-score])</f>
        <v>1.9919220601134553E-2</v>
      </c>
      <c r="L4171" t="e">
        <f>VLOOKUP(Table1[[#This Row],[CountryCode]],[1]!Table1[#Data],4,FALSE)</f>
        <v>#REF!</v>
      </c>
    </row>
    <row r="4172" spans="1:12" hidden="1" x14ac:dyDescent="0.3">
      <c r="A4172" t="s">
        <v>107</v>
      </c>
      <c r="B4172" t="s">
        <v>108</v>
      </c>
      <c r="C4172" t="s">
        <v>125</v>
      </c>
      <c r="D4172" t="s">
        <v>126</v>
      </c>
      <c r="E4172">
        <v>2013</v>
      </c>
      <c r="F4172" s="1">
        <v>7</v>
      </c>
      <c r="G4172">
        <v>2010</v>
      </c>
      <c r="H4172">
        <f>AVERAGEIFS(Table1[value],Table1[IndicatorCode],Table1[[#This Row],[IndicatorCode]])</f>
        <v>7.6894248608534319</v>
      </c>
      <c r="I4172" cm="1">
        <f t="array" ref="I4172">_xlfn.STDEV.P(IF(Table1[IndicatorCode]=Table1[[#This Row],[IndicatorCode]],Table1[value]))</f>
        <v>5.2319501044600996</v>
      </c>
      <c r="J4172">
        <f>(Table1[[#This Row],[value]] - Table1[[#This Row],[mean]]) / Table1[[#This Row],[std_dev]]</f>
        <v>-0.13177206339672762</v>
      </c>
      <c r="K4172">
        <f>AVERAGEIF(Table1[CountryCode],Table1[[#This Row],[CountryCode]],Table1[z-score])</f>
        <v>1.9919220601134553E-2</v>
      </c>
      <c r="L4172" t="e">
        <f>VLOOKUP(Table1[[#This Row],[CountryCode]],[1]!Table1[#Data],4,FALSE)</f>
        <v>#REF!</v>
      </c>
    </row>
    <row r="4173" spans="1:12" hidden="1" x14ac:dyDescent="0.3">
      <c r="A4173" t="s">
        <v>107</v>
      </c>
      <c r="B4173" t="s">
        <v>108</v>
      </c>
      <c r="C4173" t="s">
        <v>125</v>
      </c>
      <c r="D4173" t="s">
        <v>126</v>
      </c>
      <c r="E4173">
        <v>2014</v>
      </c>
      <c r="F4173" s="1">
        <v>6</v>
      </c>
      <c r="G4173">
        <v>2010</v>
      </c>
      <c r="H4173">
        <f>AVERAGEIFS(Table1[value],Table1[IndicatorCode],Table1[[#This Row],[IndicatorCode]])</f>
        <v>7.6894248608534319</v>
      </c>
      <c r="I4173" cm="1">
        <f t="array" ref="I4173">_xlfn.STDEV.P(IF(Table1[IndicatorCode]=Table1[[#This Row],[IndicatorCode]],Table1[value]))</f>
        <v>5.2319501044600996</v>
      </c>
      <c r="J4173">
        <f>(Table1[[#This Row],[value]] - Table1[[#This Row],[mean]]) / Table1[[#This Row],[std_dev]]</f>
        <v>-0.32290538463148605</v>
      </c>
      <c r="K4173">
        <f>AVERAGEIF(Table1[CountryCode],Table1[[#This Row],[CountryCode]],Table1[z-score])</f>
        <v>1.9919220601134553E-2</v>
      </c>
      <c r="L4173" t="e">
        <f>VLOOKUP(Table1[[#This Row],[CountryCode]],[1]!Table1[#Data],4,FALSE)</f>
        <v>#REF!</v>
      </c>
    </row>
    <row r="4174" spans="1:12" hidden="1" x14ac:dyDescent="0.3">
      <c r="A4174" t="s">
        <v>107</v>
      </c>
      <c r="B4174" t="s">
        <v>108</v>
      </c>
      <c r="C4174" t="s">
        <v>125</v>
      </c>
      <c r="D4174" t="s">
        <v>126</v>
      </c>
      <c r="E4174">
        <v>2015</v>
      </c>
      <c r="F4174" s="1">
        <v>6</v>
      </c>
      <c r="G4174">
        <v>2010</v>
      </c>
      <c r="H4174">
        <f>AVERAGEIFS(Table1[value],Table1[IndicatorCode],Table1[[#This Row],[IndicatorCode]])</f>
        <v>7.6894248608534319</v>
      </c>
      <c r="I4174" cm="1">
        <f t="array" ref="I4174">_xlfn.STDEV.P(IF(Table1[IndicatorCode]=Table1[[#This Row],[IndicatorCode]],Table1[value]))</f>
        <v>5.2319501044600996</v>
      </c>
      <c r="J4174">
        <f>(Table1[[#This Row],[value]] - Table1[[#This Row],[mean]]) / Table1[[#This Row],[std_dev]]</f>
        <v>-0.32290538463148605</v>
      </c>
      <c r="K4174">
        <f>AVERAGEIF(Table1[CountryCode],Table1[[#This Row],[CountryCode]],Table1[z-score])</f>
        <v>1.9919220601134553E-2</v>
      </c>
      <c r="L4174" t="e">
        <f>VLOOKUP(Table1[[#This Row],[CountryCode]],[1]!Table1[#Data],4,FALSE)</f>
        <v>#REF!</v>
      </c>
    </row>
    <row r="4175" spans="1:12" hidden="1" x14ac:dyDescent="0.3">
      <c r="A4175" t="s">
        <v>107</v>
      </c>
      <c r="B4175" t="s">
        <v>108</v>
      </c>
      <c r="C4175" t="s">
        <v>125</v>
      </c>
      <c r="D4175" t="s">
        <v>126</v>
      </c>
      <c r="E4175">
        <v>2016</v>
      </c>
      <c r="F4175" s="1">
        <v>7</v>
      </c>
      <c r="G4175">
        <v>2010</v>
      </c>
      <c r="H4175">
        <f>AVERAGEIFS(Table1[value],Table1[IndicatorCode],Table1[[#This Row],[IndicatorCode]])</f>
        <v>7.6894248608534319</v>
      </c>
      <c r="I4175" cm="1">
        <f t="array" ref="I4175">_xlfn.STDEV.P(IF(Table1[IndicatorCode]=Table1[[#This Row],[IndicatorCode]],Table1[value]))</f>
        <v>5.2319501044600996</v>
      </c>
      <c r="J4175">
        <f>(Table1[[#This Row],[value]] - Table1[[#This Row],[mean]]) / Table1[[#This Row],[std_dev]]</f>
        <v>-0.13177206339672762</v>
      </c>
      <c r="K4175">
        <f>AVERAGEIF(Table1[CountryCode],Table1[[#This Row],[CountryCode]],Table1[z-score])</f>
        <v>1.9919220601134553E-2</v>
      </c>
      <c r="L4175" t="e">
        <f>VLOOKUP(Table1[[#This Row],[CountryCode]],[1]!Table1[#Data],4,FALSE)</f>
        <v>#REF!</v>
      </c>
    </row>
    <row r="4176" spans="1:12" hidden="1" x14ac:dyDescent="0.3">
      <c r="A4176" t="s">
        <v>107</v>
      </c>
      <c r="B4176" t="s">
        <v>108</v>
      </c>
      <c r="C4176" t="s">
        <v>125</v>
      </c>
      <c r="D4176" t="s">
        <v>126</v>
      </c>
      <c r="E4176">
        <v>2017</v>
      </c>
      <c r="F4176" s="1">
        <v>7</v>
      </c>
      <c r="G4176">
        <v>2020</v>
      </c>
      <c r="H4176">
        <f>AVERAGEIFS(Table1[value],Table1[IndicatorCode],Table1[[#This Row],[IndicatorCode]])</f>
        <v>7.6894248608534319</v>
      </c>
      <c r="I4176" cm="1">
        <f t="array" ref="I4176">_xlfn.STDEV.P(IF(Table1[IndicatorCode]=Table1[[#This Row],[IndicatorCode]],Table1[value]))</f>
        <v>5.2319501044600996</v>
      </c>
      <c r="J4176">
        <f>(Table1[[#This Row],[value]] - Table1[[#This Row],[mean]]) / Table1[[#This Row],[std_dev]]</f>
        <v>-0.13177206339672762</v>
      </c>
      <c r="K4176">
        <f>AVERAGEIF(Table1[CountryCode],Table1[[#This Row],[CountryCode]],Table1[z-score])</f>
        <v>1.9919220601134553E-2</v>
      </c>
      <c r="L4176" t="e">
        <f>VLOOKUP(Table1[[#This Row],[CountryCode]],[1]!Table1[#Data],4,FALSE)</f>
        <v>#REF!</v>
      </c>
    </row>
    <row r="4177" spans="1:12" hidden="1" x14ac:dyDescent="0.3">
      <c r="A4177" t="s">
        <v>107</v>
      </c>
      <c r="B4177" t="s">
        <v>108</v>
      </c>
      <c r="C4177" t="s">
        <v>125</v>
      </c>
      <c r="D4177" t="s">
        <v>126</v>
      </c>
      <c r="E4177">
        <v>2018</v>
      </c>
      <c r="F4177" s="1">
        <v>7</v>
      </c>
      <c r="G4177">
        <v>2020</v>
      </c>
      <c r="H4177">
        <f>AVERAGEIFS(Table1[value],Table1[IndicatorCode],Table1[[#This Row],[IndicatorCode]])</f>
        <v>7.6894248608534319</v>
      </c>
      <c r="I4177" cm="1">
        <f t="array" ref="I4177">_xlfn.STDEV.P(IF(Table1[IndicatorCode]=Table1[[#This Row],[IndicatorCode]],Table1[value]))</f>
        <v>5.2319501044600996</v>
      </c>
      <c r="J4177">
        <f>(Table1[[#This Row],[value]] - Table1[[#This Row],[mean]]) / Table1[[#This Row],[std_dev]]</f>
        <v>-0.13177206339672762</v>
      </c>
      <c r="K4177">
        <f>AVERAGEIF(Table1[CountryCode],Table1[[#This Row],[CountryCode]],Table1[z-score])</f>
        <v>1.9919220601134553E-2</v>
      </c>
      <c r="L4177" t="e">
        <f>VLOOKUP(Table1[[#This Row],[CountryCode]],[1]!Table1[#Data],4,FALSE)</f>
        <v>#REF!</v>
      </c>
    </row>
    <row r="4178" spans="1:12" hidden="1" x14ac:dyDescent="0.3">
      <c r="A4178" t="s">
        <v>107</v>
      </c>
      <c r="B4178" t="s">
        <v>108</v>
      </c>
      <c r="C4178" t="s">
        <v>125</v>
      </c>
      <c r="D4178" t="s">
        <v>126</v>
      </c>
      <c r="E4178">
        <v>2019</v>
      </c>
      <c r="F4178" s="1">
        <v>6</v>
      </c>
      <c r="G4178">
        <v>2020</v>
      </c>
      <c r="H4178">
        <f>AVERAGEIFS(Table1[value],Table1[IndicatorCode],Table1[[#This Row],[IndicatorCode]])</f>
        <v>7.6894248608534319</v>
      </c>
      <c r="I4178" cm="1">
        <f t="array" ref="I4178">_xlfn.STDEV.P(IF(Table1[IndicatorCode]=Table1[[#This Row],[IndicatorCode]],Table1[value]))</f>
        <v>5.2319501044600996</v>
      </c>
      <c r="J4178">
        <f>(Table1[[#This Row],[value]] - Table1[[#This Row],[mean]]) / Table1[[#This Row],[std_dev]]</f>
        <v>-0.32290538463148605</v>
      </c>
      <c r="K4178">
        <f>AVERAGEIF(Table1[CountryCode],Table1[[#This Row],[CountryCode]],Table1[z-score])</f>
        <v>1.9919220601134553E-2</v>
      </c>
      <c r="L4178" t="e">
        <f>VLOOKUP(Table1[[#This Row],[CountryCode]],[1]!Table1[#Data],4,FALSE)</f>
        <v>#REF!</v>
      </c>
    </row>
    <row r="4179" spans="1:12" x14ac:dyDescent="0.3">
      <c r="A4179" t="s">
        <v>107</v>
      </c>
      <c r="B4179" t="s">
        <v>108</v>
      </c>
      <c r="C4179" t="s">
        <v>125</v>
      </c>
      <c r="D4179" t="s">
        <v>126</v>
      </c>
      <c r="E4179">
        <v>2020</v>
      </c>
      <c r="F4179" s="1">
        <v>6</v>
      </c>
      <c r="G4179">
        <v>2020</v>
      </c>
      <c r="H4179">
        <f>AVERAGEIFS(Table1[value],Table1[IndicatorCode],Table1[[#This Row],[IndicatorCode]])</f>
        <v>7.6894248608534319</v>
      </c>
      <c r="I4179" cm="1">
        <f t="array" ref="I4179">_xlfn.STDEV.P(IF(Table1[IndicatorCode]=Table1[[#This Row],[IndicatorCode]],Table1[value]))</f>
        <v>5.2319501044600996</v>
      </c>
      <c r="J4179">
        <f>(Table1[[#This Row],[value]] - Table1[[#This Row],[mean]]) / Table1[[#This Row],[std_dev]]</f>
        <v>-0.32290538463148605</v>
      </c>
      <c r="K4179">
        <f>AVERAGEIF(Table1[CountryCode],Table1[[#This Row],[CountryCode]],Table1[z-score])</f>
        <v>1.9919220601134553E-2</v>
      </c>
    </row>
    <row r="4180" spans="1:12" hidden="1" x14ac:dyDescent="0.3">
      <c r="A4180" t="s">
        <v>107</v>
      </c>
      <c r="B4180" t="s">
        <v>108</v>
      </c>
      <c r="C4180" t="s">
        <v>125</v>
      </c>
      <c r="D4180" t="s">
        <v>126</v>
      </c>
      <c r="E4180">
        <v>2021</v>
      </c>
      <c r="F4180" s="1">
        <v>7</v>
      </c>
      <c r="G4180">
        <v>2020</v>
      </c>
      <c r="H4180">
        <f>AVERAGEIFS(Table1[value],Table1[IndicatorCode],Table1[[#This Row],[IndicatorCode]])</f>
        <v>7.6894248608534319</v>
      </c>
      <c r="I4180" cm="1">
        <f t="array" ref="I4180">_xlfn.STDEV.P(IF(Table1[IndicatorCode]=Table1[[#This Row],[IndicatorCode]],Table1[value]))</f>
        <v>5.2319501044600996</v>
      </c>
      <c r="J4180">
        <f>(Table1[[#This Row],[value]] - Table1[[#This Row],[mean]]) / Table1[[#This Row],[std_dev]]</f>
        <v>-0.13177206339672762</v>
      </c>
      <c r="K4180">
        <f>AVERAGEIF(Table1[CountryCode],Table1[[#This Row],[CountryCode]],Table1[z-score])</f>
        <v>1.9919220601134553E-2</v>
      </c>
      <c r="L4180" t="e">
        <f>VLOOKUP(Table1[[#This Row],[CountryCode]],[1]!Table1[#Data],4,FALSE)</f>
        <v>#REF!</v>
      </c>
    </row>
    <row r="4181" spans="1:12" hidden="1" x14ac:dyDescent="0.3">
      <c r="A4181" t="s">
        <v>107</v>
      </c>
      <c r="B4181" t="s">
        <v>108</v>
      </c>
      <c r="C4181" t="s">
        <v>125</v>
      </c>
      <c r="D4181" t="s">
        <v>126</v>
      </c>
      <c r="E4181">
        <v>2022</v>
      </c>
      <c r="F4181" s="1">
        <v>6</v>
      </c>
      <c r="G4181">
        <v>1970</v>
      </c>
      <c r="H4181">
        <f>AVERAGEIFS(Table1[value],Table1[IndicatorCode],Table1[[#This Row],[IndicatorCode]])</f>
        <v>7.6894248608534319</v>
      </c>
      <c r="I4181" cm="1">
        <f t="array" ref="I4181">_xlfn.STDEV.P(IF(Table1[IndicatorCode]=Table1[[#This Row],[IndicatorCode]],Table1[value]))</f>
        <v>5.2319501044600996</v>
      </c>
      <c r="J4181">
        <f>(Table1[[#This Row],[value]] - Table1[[#This Row],[mean]]) / Table1[[#This Row],[std_dev]]</f>
        <v>-0.32290538463148605</v>
      </c>
      <c r="K4181">
        <f>AVERAGEIF(Table1[CountryCode],Table1[[#This Row],[CountryCode]],Table1[z-score])</f>
        <v>1.9919220601134553E-2</v>
      </c>
      <c r="L4181" t="e">
        <f>VLOOKUP(Table1[[#This Row],[CountryCode]],[1]!Table1[#Data],4,FALSE)</f>
        <v>#REF!</v>
      </c>
    </row>
    <row r="4182" spans="1:12" hidden="1" x14ac:dyDescent="0.3">
      <c r="A4182" t="s">
        <v>107</v>
      </c>
      <c r="B4182" t="s">
        <v>108</v>
      </c>
      <c r="C4182" t="s">
        <v>125</v>
      </c>
      <c r="D4182" t="s">
        <v>126</v>
      </c>
      <c r="E4182">
        <v>2023</v>
      </c>
      <c r="F4182" s="1">
        <v>6</v>
      </c>
      <c r="G4182">
        <v>1970</v>
      </c>
      <c r="H4182">
        <f>AVERAGEIFS(Table1[value],Table1[IndicatorCode],Table1[[#This Row],[IndicatorCode]])</f>
        <v>7.6894248608534319</v>
      </c>
      <c r="I4182" cm="1">
        <f t="array" ref="I4182">_xlfn.STDEV.P(IF(Table1[IndicatorCode]=Table1[[#This Row],[IndicatorCode]],Table1[value]))</f>
        <v>5.2319501044600996</v>
      </c>
      <c r="J4182">
        <f>(Table1[[#This Row],[value]] - Table1[[#This Row],[mean]]) / Table1[[#This Row],[std_dev]]</f>
        <v>-0.32290538463148605</v>
      </c>
      <c r="K4182">
        <f>AVERAGEIF(Table1[CountryCode],Table1[[#This Row],[CountryCode]],Table1[z-score])</f>
        <v>1.9919220601134553E-2</v>
      </c>
      <c r="L4182" t="e">
        <f>VLOOKUP(Table1[[#This Row],[CountryCode]],[1]!Table1[#Data],4,FALSE)</f>
        <v>#REF!</v>
      </c>
    </row>
    <row r="4183" spans="1:12" hidden="1" x14ac:dyDescent="0.3">
      <c r="A4183" t="s">
        <v>107</v>
      </c>
      <c r="B4183" t="s">
        <v>108</v>
      </c>
      <c r="C4183" t="s">
        <v>125</v>
      </c>
      <c r="D4183" t="s">
        <v>126</v>
      </c>
      <c r="E4183">
        <v>2024</v>
      </c>
      <c r="F4183" s="1">
        <v>6</v>
      </c>
      <c r="G4183">
        <v>1970</v>
      </c>
      <c r="H4183">
        <f>AVERAGEIFS(Table1[value],Table1[IndicatorCode],Table1[[#This Row],[IndicatorCode]])</f>
        <v>7.6894248608534319</v>
      </c>
      <c r="I4183" cm="1">
        <f t="array" ref="I4183">_xlfn.STDEV.P(IF(Table1[IndicatorCode]=Table1[[#This Row],[IndicatorCode]],Table1[value]))</f>
        <v>5.2319501044600996</v>
      </c>
      <c r="J4183">
        <f>(Table1[[#This Row],[value]] - Table1[[#This Row],[mean]]) / Table1[[#This Row],[std_dev]]</f>
        <v>-0.32290538463148605</v>
      </c>
      <c r="K4183">
        <f>AVERAGEIF(Table1[CountryCode],Table1[[#This Row],[CountryCode]],Table1[z-score])</f>
        <v>1.9919220601134553E-2</v>
      </c>
      <c r="L4183" t="e">
        <f>VLOOKUP(Table1[[#This Row],[CountryCode]],[1]!Table1[#Data],4,FALSE)</f>
        <v>#REF!</v>
      </c>
    </row>
    <row r="4184" spans="1:12" hidden="1" x14ac:dyDescent="0.3">
      <c r="A4184" t="s">
        <v>109</v>
      </c>
      <c r="B4184" t="s">
        <v>110</v>
      </c>
      <c r="C4184" t="s">
        <v>125</v>
      </c>
      <c r="D4184" t="s">
        <v>126</v>
      </c>
      <c r="E4184">
        <v>1970</v>
      </c>
      <c r="F4184" s="1">
        <v>6</v>
      </c>
      <c r="G4184">
        <v>1970</v>
      </c>
      <c r="H4184">
        <f>AVERAGEIFS(Table1[value],Table1[IndicatorCode],Table1[[#This Row],[IndicatorCode]])</f>
        <v>7.6894248608534319</v>
      </c>
      <c r="I4184" cm="1">
        <f t="array" ref="I4184">_xlfn.STDEV.P(IF(Table1[IndicatorCode]=Table1[[#This Row],[IndicatorCode]],Table1[value]))</f>
        <v>5.2319501044600996</v>
      </c>
      <c r="J4184">
        <f>(Table1[[#This Row],[value]] - Table1[[#This Row],[mean]]) / Table1[[#This Row],[std_dev]]</f>
        <v>-0.32290538463148605</v>
      </c>
      <c r="K4184">
        <f>AVERAGEIF(Table1[CountryCode],Table1[[#This Row],[CountryCode]],Table1[z-score])</f>
        <v>5.4192965202863402E-2</v>
      </c>
      <c r="L4184" t="e">
        <f>VLOOKUP(Table1[[#This Row],[CountryCode]],[1]!Table1[#Data],4,FALSE)</f>
        <v>#REF!</v>
      </c>
    </row>
    <row r="4185" spans="1:12" hidden="1" x14ac:dyDescent="0.3">
      <c r="A4185" t="s">
        <v>109</v>
      </c>
      <c r="B4185" t="s">
        <v>110</v>
      </c>
      <c r="C4185" t="s">
        <v>125</v>
      </c>
      <c r="D4185" t="s">
        <v>126</v>
      </c>
      <c r="E4185">
        <v>1971</v>
      </c>
      <c r="F4185" s="1">
        <v>6</v>
      </c>
      <c r="G4185">
        <v>1970</v>
      </c>
      <c r="H4185">
        <f>AVERAGEIFS(Table1[value],Table1[IndicatorCode],Table1[[#This Row],[IndicatorCode]])</f>
        <v>7.6894248608534319</v>
      </c>
      <c r="I4185" cm="1">
        <f t="array" ref="I4185">_xlfn.STDEV.P(IF(Table1[IndicatorCode]=Table1[[#This Row],[IndicatorCode]],Table1[value]))</f>
        <v>5.2319501044600996</v>
      </c>
      <c r="J4185">
        <f>(Table1[[#This Row],[value]] - Table1[[#This Row],[mean]]) / Table1[[#This Row],[std_dev]]</f>
        <v>-0.32290538463148605</v>
      </c>
      <c r="K4185">
        <f>AVERAGEIF(Table1[CountryCode],Table1[[#This Row],[CountryCode]],Table1[z-score])</f>
        <v>5.4192965202863402E-2</v>
      </c>
      <c r="L4185" t="e">
        <f>VLOOKUP(Table1[[#This Row],[CountryCode]],[1]!Table1[#Data],4,FALSE)</f>
        <v>#REF!</v>
      </c>
    </row>
    <row r="4186" spans="1:12" hidden="1" x14ac:dyDescent="0.3">
      <c r="A4186" t="s">
        <v>109</v>
      </c>
      <c r="B4186" t="s">
        <v>110</v>
      </c>
      <c r="C4186" t="s">
        <v>125</v>
      </c>
      <c r="D4186" t="s">
        <v>126</v>
      </c>
      <c r="E4186">
        <v>1972</v>
      </c>
      <c r="F4186" s="1">
        <v>5</v>
      </c>
      <c r="G4186">
        <v>1970</v>
      </c>
      <c r="H4186">
        <f>AVERAGEIFS(Table1[value],Table1[IndicatorCode],Table1[[#This Row],[IndicatorCode]])</f>
        <v>7.6894248608534319</v>
      </c>
      <c r="I4186" cm="1">
        <f t="array" ref="I4186">_xlfn.STDEV.P(IF(Table1[IndicatorCode]=Table1[[#This Row],[IndicatorCode]],Table1[value]))</f>
        <v>5.2319501044600996</v>
      </c>
      <c r="J4186">
        <f>(Table1[[#This Row],[value]] - Table1[[#This Row],[mean]]) / Table1[[#This Row],[std_dev]]</f>
        <v>-0.51403870586624445</v>
      </c>
      <c r="K4186">
        <f>AVERAGEIF(Table1[CountryCode],Table1[[#This Row],[CountryCode]],Table1[z-score])</f>
        <v>5.4192965202863402E-2</v>
      </c>
      <c r="L4186" t="e">
        <f>VLOOKUP(Table1[[#This Row],[CountryCode]],[1]!Table1[#Data],4,FALSE)</f>
        <v>#REF!</v>
      </c>
    </row>
    <row r="4187" spans="1:12" hidden="1" x14ac:dyDescent="0.3">
      <c r="A4187" t="s">
        <v>109</v>
      </c>
      <c r="B4187" t="s">
        <v>110</v>
      </c>
      <c r="C4187" t="s">
        <v>125</v>
      </c>
      <c r="D4187" t="s">
        <v>126</v>
      </c>
      <c r="E4187">
        <v>1973</v>
      </c>
      <c r="F4187" s="1">
        <v>6</v>
      </c>
      <c r="G4187">
        <v>1970</v>
      </c>
      <c r="H4187">
        <f>AVERAGEIFS(Table1[value],Table1[IndicatorCode],Table1[[#This Row],[IndicatorCode]])</f>
        <v>7.6894248608534319</v>
      </c>
      <c r="I4187" cm="1">
        <f t="array" ref="I4187">_xlfn.STDEV.P(IF(Table1[IndicatorCode]=Table1[[#This Row],[IndicatorCode]],Table1[value]))</f>
        <v>5.2319501044600996</v>
      </c>
      <c r="J4187">
        <f>(Table1[[#This Row],[value]] - Table1[[#This Row],[mean]]) / Table1[[#This Row],[std_dev]]</f>
        <v>-0.32290538463148605</v>
      </c>
      <c r="K4187">
        <f>AVERAGEIF(Table1[CountryCode],Table1[[#This Row],[CountryCode]],Table1[z-score])</f>
        <v>5.4192965202863402E-2</v>
      </c>
      <c r="L4187" t="e">
        <f>VLOOKUP(Table1[[#This Row],[CountryCode]],[1]!Table1[#Data],4,FALSE)</f>
        <v>#REF!</v>
      </c>
    </row>
    <row r="4188" spans="1:12" hidden="1" x14ac:dyDescent="0.3">
      <c r="A4188" t="s">
        <v>109</v>
      </c>
      <c r="B4188" t="s">
        <v>110</v>
      </c>
      <c r="C4188" t="s">
        <v>125</v>
      </c>
      <c r="D4188" t="s">
        <v>126</v>
      </c>
      <c r="E4188">
        <v>1974</v>
      </c>
      <c r="F4188" s="1">
        <v>7</v>
      </c>
      <c r="G4188">
        <v>1970</v>
      </c>
      <c r="H4188">
        <f>AVERAGEIFS(Table1[value],Table1[IndicatorCode],Table1[[#This Row],[IndicatorCode]])</f>
        <v>7.6894248608534319</v>
      </c>
      <c r="I4188" cm="1">
        <f t="array" ref="I4188">_xlfn.STDEV.P(IF(Table1[IndicatorCode]=Table1[[#This Row],[IndicatorCode]],Table1[value]))</f>
        <v>5.2319501044600996</v>
      </c>
      <c r="J4188">
        <f>(Table1[[#This Row],[value]] - Table1[[#This Row],[mean]]) / Table1[[#This Row],[std_dev]]</f>
        <v>-0.13177206339672762</v>
      </c>
      <c r="K4188">
        <f>AVERAGEIF(Table1[CountryCode],Table1[[#This Row],[CountryCode]],Table1[z-score])</f>
        <v>5.4192965202863402E-2</v>
      </c>
      <c r="L4188" t="e">
        <f>VLOOKUP(Table1[[#This Row],[CountryCode]],[1]!Table1[#Data],4,FALSE)</f>
        <v>#REF!</v>
      </c>
    </row>
    <row r="4189" spans="1:12" hidden="1" x14ac:dyDescent="0.3">
      <c r="A4189" t="s">
        <v>109</v>
      </c>
      <c r="B4189" t="s">
        <v>110</v>
      </c>
      <c r="C4189" t="s">
        <v>125</v>
      </c>
      <c r="D4189" t="s">
        <v>126</v>
      </c>
      <c r="E4189">
        <v>1975</v>
      </c>
      <c r="F4189" s="1">
        <v>6</v>
      </c>
      <c r="G4189">
        <v>1970</v>
      </c>
      <c r="H4189">
        <f>AVERAGEIFS(Table1[value],Table1[IndicatorCode],Table1[[#This Row],[IndicatorCode]])</f>
        <v>7.6894248608534319</v>
      </c>
      <c r="I4189" cm="1">
        <f t="array" ref="I4189">_xlfn.STDEV.P(IF(Table1[IndicatorCode]=Table1[[#This Row],[IndicatorCode]],Table1[value]))</f>
        <v>5.2319501044600996</v>
      </c>
      <c r="J4189">
        <f>(Table1[[#This Row],[value]] - Table1[[#This Row],[mean]]) / Table1[[#This Row],[std_dev]]</f>
        <v>-0.32290538463148605</v>
      </c>
      <c r="K4189">
        <f>AVERAGEIF(Table1[CountryCode],Table1[[#This Row],[CountryCode]],Table1[z-score])</f>
        <v>5.4192965202863402E-2</v>
      </c>
      <c r="L4189" t="e">
        <f>VLOOKUP(Table1[[#This Row],[CountryCode]],[1]!Table1[#Data],4,FALSE)</f>
        <v>#REF!</v>
      </c>
    </row>
    <row r="4190" spans="1:12" hidden="1" x14ac:dyDescent="0.3">
      <c r="A4190" t="s">
        <v>109</v>
      </c>
      <c r="B4190" t="s">
        <v>110</v>
      </c>
      <c r="C4190" t="s">
        <v>125</v>
      </c>
      <c r="D4190" t="s">
        <v>126</v>
      </c>
      <c r="E4190">
        <v>1976</v>
      </c>
      <c r="F4190" s="1">
        <v>6</v>
      </c>
      <c r="G4190">
        <v>1970</v>
      </c>
      <c r="H4190">
        <f>AVERAGEIFS(Table1[value],Table1[IndicatorCode],Table1[[#This Row],[IndicatorCode]])</f>
        <v>7.6894248608534319</v>
      </c>
      <c r="I4190" cm="1">
        <f t="array" ref="I4190">_xlfn.STDEV.P(IF(Table1[IndicatorCode]=Table1[[#This Row],[IndicatorCode]],Table1[value]))</f>
        <v>5.2319501044600996</v>
      </c>
      <c r="J4190">
        <f>(Table1[[#This Row],[value]] - Table1[[#This Row],[mean]]) / Table1[[#This Row],[std_dev]]</f>
        <v>-0.32290538463148605</v>
      </c>
      <c r="K4190">
        <f>AVERAGEIF(Table1[CountryCode],Table1[[#This Row],[CountryCode]],Table1[z-score])</f>
        <v>5.4192965202863402E-2</v>
      </c>
      <c r="L4190" t="e">
        <f>VLOOKUP(Table1[[#This Row],[CountryCode]],[1]!Table1[#Data],4,FALSE)</f>
        <v>#REF!</v>
      </c>
    </row>
    <row r="4191" spans="1:12" hidden="1" x14ac:dyDescent="0.3">
      <c r="A4191" t="s">
        <v>109</v>
      </c>
      <c r="B4191" t="s">
        <v>110</v>
      </c>
      <c r="C4191" t="s">
        <v>125</v>
      </c>
      <c r="D4191" t="s">
        <v>126</v>
      </c>
      <c r="E4191">
        <v>1977</v>
      </c>
      <c r="F4191" s="1">
        <v>7</v>
      </c>
      <c r="G4191">
        <v>1980</v>
      </c>
      <c r="H4191">
        <f>AVERAGEIFS(Table1[value],Table1[IndicatorCode],Table1[[#This Row],[IndicatorCode]])</f>
        <v>7.6894248608534319</v>
      </c>
      <c r="I4191" cm="1">
        <f t="array" ref="I4191">_xlfn.STDEV.P(IF(Table1[IndicatorCode]=Table1[[#This Row],[IndicatorCode]],Table1[value]))</f>
        <v>5.2319501044600996</v>
      </c>
      <c r="J4191">
        <f>(Table1[[#This Row],[value]] - Table1[[#This Row],[mean]]) / Table1[[#This Row],[std_dev]]</f>
        <v>-0.13177206339672762</v>
      </c>
      <c r="K4191">
        <f>AVERAGEIF(Table1[CountryCode],Table1[[#This Row],[CountryCode]],Table1[z-score])</f>
        <v>5.4192965202863402E-2</v>
      </c>
      <c r="L4191" t="e">
        <f>VLOOKUP(Table1[[#This Row],[CountryCode]],[1]!Table1[#Data],4,FALSE)</f>
        <v>#REF!</v>
      </c>
    </row>
    <row r="4192" spans="1:12" hidden="1" x14ac:dyDescent="0.3">
      <c r="A4192" t="s">
        <v>109</v>
      </c>
      <c r="B4192" t="s">
        <v>110</v>
      </c>
      <c r="C4192" t="s">
        <v>125</v>
      </c>
      <c r="D4192" t="s">
        <v>126</v>
      </c>
      <c r="E4192">
        <v>1978</v>
      </c>
      <c r="F4192" s="1">
        <v>7</v>
      </c>
      <c r="G4192">
        <v>1980</v>
      </c>
      <c r="H4192">
        <f>AVERAGEIFS(Table1[value],Table1[IndicatorCode],Table1[[#This Row],[IndicatorCode]])</f>
        <v>7.6894248608534319</v>
      </c>
      <c r="I4192" cm="1">
        <f t="array" ref="I4192">_xlfn.STDEV.P(IF(Table1[IndicatorCode]=Table1[[#This Row],[IndicatorCode]],Table1[value]))</f>
        <v>5.2319501044600996</v>
      </c>
      <c r="J4192">
        <f>(Table1[[#This Row],[value]] - Table1[[#This Row],[mean]]) / Table1[[#This Row],[std_dev]]</f>
        <v>-0.13177206339672762</v>
      </c>
      <c r="K4192">
        <f>AVERAGEIF(Table1[CountryCode],Table1[[#This Row],[CountryCode]],Table1[z-score])</f>
        <v>5.4192965202863402E-2</v>
      </c>
      <c r="L4192" t="e">
        <f>VLOOKUP(Table1[[#This Row],[CountryCode]],[1]!Table1[#Data],4,FALSE)</f>
        <v>#REF!</v>
      </c>
    </row>
    <row r="4193" spans="1:12" hidden="1" x14ac:dyDescent="0.3">
      <c r="A4193" t="s">
        <v>109</v>
      </c>
      <c r="B4193" t="s">
        <v>110</v>
      </c>
      <c r="C4193" t="s">
        <v>125</v>
      </c>
      <c r="D4193" t="s">
        <v>126</v>
      </c>
      <c r="E4193">
        <v>1979</v>
      </c>
      <c r="F4193" s="1">
        <v>7</v>
      </c>
      <c r="G4193">
        <v>1980</v>
      </c>
      <c r="H4193">
        <f>AVERAGEIFS(Table1[value],Table1[IndicatorCode],Table1[[#This Row],[IndicatorCode]])</f>
        <v>7.6894248608534319</v>
      </c>
      <c r="I4193" cm="1">
        <f t="array" ref="I4193">_xlfn.STDEV.P(IF(Table1[IndicatorCode]=Table1[[#This Row],[IndicatorCode]],Table1[value]))</f>
        <v>5.2319501044600996</v>
      </c>
      <c r="J4193">
        <f>(Table1[[#This Row],[value]] - Table1[[#This Row],[mean]]) / Table1[[#This Row],[std_dev]]</f>
        <v>-0.13177206339672762</v>
      </c>
      <c r="K4193">
        <f>AVERAGEIF(Table1[CountryCode],Table1[[#This Row],[CountryCode]],Table1[z-score])</f>
        <v>5.4192965202863402E-2</v>
      </c>
      <c r="L4193" t="e">
        <f>VLOOKUP(Table1[[#This Row],[CountryCode]],[1]!Table1[#Data],4,FALSE)</f>
        <v>#REF!</v>
      </c>
    </row>
    <row r="4194" spans="1:12" hidden="1" x14ac:dyDescent="0.3">
      <c r="A4194" t="s">
        <v>109</v>
      </c>
      <c r="B4194" t="s">
        <v>110</v>
      </c>
      <c r="C4194" t="s">
        <v>125</v>
      </c>
      <c r="D4194" t="s">
        <v>126</v>
      </c>
      <c r="E4194">
        <v>1980</v>
      </c>
      <c r="F4194" s="1">
        <v>7</v>
      </c>
      <c r="G4194">
        <v>1980</v>
      </c>
      <c r="H4194">
        <f>AVERAGEIFS(Table1[value],Table1[IndicatorCode],Table1[[#This Row],[IndicatorCode]])</f>
        <v>7.6894248608534319</v>
      </c>
      <c r="I4194" cm="1">
        <f t="array" ref="I4194">_xlfn.STDEV.P(IF(Table1[IndicatorCode]=Table1[[#This Row],[IndicatorCode]],Table1[value]))</f>
        <v>5.2319501044600996</v>
      </c>
      <c r="J4194">
        <f>(Table1[[#This Row],[value]] - Table1[[#This Row],[mean]]) / Table1[[#This Row],[std_dev]]</f>
        <v>-0.13177206339672762</v>
      </c>
      <c r="K4194">
        <f>AVERAGEIF(Table1[CountryCode],Table1[[#This Row],[CountryCode]],Table1[z-score])</f>
        <v>5.4192965202863402E-2</v>
      </c>
      <c r="L4194" t="e">
        <f>VLOOKUP(Table1[[#This Row],[CountryCode]],[1]!Table1[#Data],4,FALSE)</f>
        <v>#REF!</v>
      </c>
    </row>
    <row r="4195" spans="1:12" hidden="1" x14ac:dyDescent="0.3">
      <c r="A4195" t="s">
        <v>109</v>
      </c>
      <c r="B4195" t="s">
        <v>110</v>
      </c>
      <c r="C4195" t="s">
        <v>125</v>
      </c>
      <c r="D4195" t="s">
        <v>126</v>
      </c>
      <c r="E4195">
        <v>1981</v>
      </c>
      <c r="F4195" s="1">
        <v>6</v>
      </c>
      <c r="G4195">
        <v>1980</v>
      </c>
      <c r="H4195">
        <f>AVERAGEIFS(Table1[value],Table1[IndicatorCode],Table1[[#This Row],[IndicatorCode]])</f>
        <v>7.6894248608534319</v>
      </c>
      <c r="I4195" cm="1">
        <f t="array" ref="I4195">_xlfn.STDEV.P(IF(Table1[IndicatorCode]=Table1[[#This Row],[IndicatorCode]],Table1[value]))</f>
        <v>5.2319501044600996</v>
      </c>
      <c r="J4195">
        <f>(Table1[[#This Row],[value]] - Table1[[#This Row],[mean]]) / Table1[[#This Row],[std_dev]]</f>
        <v>-0.32290538463148605</v>
      </c>
      <c r="K4195">
        <f>AVERAGEIF(Table1[CountryCode],Table1[[#This Row],[CountryCode]],Table1[z-score])</f>
        <v>5.4192965202863402E-2</v>
      </c>
      <c r="L4195" t="e">
        <f>VLOOKUP(Table1[[#This Row],[CountryCode]],[1]!Table1[#Data],4,FALSE)</f>
        <v>#REF!</v>
      </c>
    </row>
    <row r="4196" spans="1:12" hidden="1" x14ac:dyDescent="0.3">
      <c r="A4196" t="s">
        <v>109</v>
      </c>
      <c r="B4196" t="s">
        <v>110</v>
      </c>
      <c r="C4196" t="s">
        <v>125</v>
      </c>
      <c r="D4196" t="s">
        <v>126</v>
      </c>
      <c r="E4196">
        <v>1982</v>
      </c>
      <c r="F4196" s="1">
        <v>6</v>
      </c>
      <c r="G4196">
        <v>1980</v>
      </c>
      <c r="H4196">
        <f>AVERAGEIFS(Table1[value],Table1[IndicatorCode],Table1[[#This Row],[IndicatorCode]])</f>
        <v>7.6894248608534319</v>
      </c>
      <c r="I4196" cm="1">
        <f t="array" ref="I4196">_xlfn.STDEV.P(IF(Table1[IndicatorCode]=Table1[[#This Row],[IndicatorCode]],Table1[value]))</f>
        <v>5.2319501044600996</v>
      </c>
      <c r="J4196">
        <f>(Table1[[#This Row],[value]] - Table1[[#This Row],[mean]]) / Table1[[#This Row],[std_dev]]</f>
        <v>-0.32290538463148605</v>
      </c>
      <c r="K4196">
        <f>AVERAGEIF(Table1[CountryCode],Table1[[#This Row],[CountryCode]],Table1[z-score])</f>
        <v>5.4192965202863402E-2</v>
      </c>
      <c r="L4196" t="e">
        <f>VLOOKUP(Table1[[#This Row],[CountryCode]],[1]!Table1[#Data],4,FALSE)</f>
        <v>#REF!</v>
      </c>
    </row>
    <row r="4197" spans="1:12" hidden="1" x14ac:dyDescent="0.3">
      <c r="A4197" t="s">
        <v>109</v>
      </c>
      <c r="B4197" t="s">
        <v>110</v>
      </c>
      <c r="C4197" t="s">
        <v>125</v>
      </c>
      <c r="D4197" t="s">
        <v>126</v>
      </c>
      <c r="E4197">
        <v>1983</v>
      </c>
      <c r="F4197" s="1">
        <v>7</v>
      </c>
      <c r="G4197">
        <v>1980</v>
      </c>
      <c r="H4197">
        <f>AVERAGEIFS(Table1[value],Table1[IndicatorCode],Table1[[#This Row],[IndicatorCode]])</f>
        <v>7.6894248608534319</v>
      </c>
      <c r="I4197" cm="1">
        <f t="array" ref="I4197">_xlfn.STDEV.P(IF(Table1[IndicatorCode]=Table1[[#This Row],[IndicatorCode]],Table1[value]))</f>
        <v>5.2319501044600996</v>
      </c>
      <c r="J4197">
        <f>(Table1[[#This Row],[value]] - Table1[[#This Row],[mean]]) / Table1[[#This Row],[std_dev]]</f>
        <v>-0.13177206339672762</v>
      </c>
      <c r="K4197">
        <f>AVERAGEIF(Table1[CountryCode],Table1[[#This Row],[CountryCode]],Table1[z-score])</f>
        <v>5.4192965202863402E-2</v>
      </c>
      <c r="L4197" t="e">
        <f>VLOOKUP(Table1[[#This Row],[CountryCode]],[1]!Table1[#Data],4,FALSE)</f>
        <v>#REF!</v>
      </c>
    </row>
    <row r="4198" spans="1:12" hidden="1" x14ac:dyDescent="0.3">
      <c r="A4198" t="s">
        <v>109</v>
      </c>
      <c r="B4198" t="s">
        <v>110</v>
      </c>
      <c r="C4198" t="s">
        <v>125</v>
      </c>
      <c r="D4198" t="s">
        <v>126</v>
      </c>
      <c r="E4198">
        <v>1984</v>
      </c>
      <c r="F4198" s="1">
        <v>7</v>
      </c>
      <c r="G4198">
        <v>1980</v>
      </c>
      <c r="H4198">
        <f>AVERAGEIFS(Table1[value],Table1[IndicatorCode],Table1[[#This Row],[IndicatorCode]])</f>
        <v>7.6894248608534319</v>
      </c>
      <c r="I4198" cm="1">
        <f t="array" ref="I4198">_xlfn.STDEV.P(IF(Table1[IndicatorCode]=Table1[[#This Row],[IndicatorCode]],Table1[value]))</f>
        <v>5.2319501044600996</v>
      </c>
      <c r="J4198">
        <f>(Table1[[#This Row],[value]] - Table1[[#This Row],[mean]]) / Table1[[#This Row],[std_dev]]</f>
        <v>-0.13177206339672762</v>
      </c>
      <c r="K4198">
        <f>AVERAGEIF(Table1[CountryCode],Table1[[#This Row],[CountryCode]],Table1[z-score])</f>
        <v>5.4192965202863402E-2</v>
      </c>
      <c r="L4198" t="e">
        <f>VLOOKUP(Table1[[#This Row],[CountryCode]],[1]!Table1[#Data],4,FALSE)</f>
        <v>#REF!</v>
      </c>
    </row>
    <row r="4199" spans="1:12" hidden="1" x14ac:dyDescent="0.3">
      <c r="A4199" t="s">
        <v>109</v>
      </c>
      <c r="B4199" t="s">
        <v>110</v>
      </c>
      <c r="C4199" t="s">
        <v>125</v>
      </c>
      <c r="D4199" t="s">
        <v>126</v>
      </c>
      <c r="E4199">
        <v>1985</v>
      </c>
      <c r="F4199" s="1">
        <v>7</v>
      </c>
      <c r="G4199">
        <v>1980</v>
      </c>
      <c r="H4199">
        <f>AVERAGEIFS(Table1[value],Table1[IndicatorCode],Table1[[#This Row],[IndicatorCode]])</f>
        <v>7.6894248608534319</v>
      </c>
      <c r="I4199" cm="1">
        <f t="array" ref="I4199">_xlfn.STDEV.P(IF(Table1[IndicatorCode]=Table1[[#This Row],[IndicatorCode]],Table1[value]))</f>
        <v>5.2319501044600996</v>
      </c>
      <c r="J4199">
        <f>(Table1[[#This Row],[value]] - Table1[[#This Row],[mean]]) / Table1[[#This Row],[std_dev]]</f>
        <v>-0.13177206339672762</v>
      </c>
      <c r="K4199">
        <f>AVERAGEIF(Table1[CountryCode],Table1[[#This Row],[CountryCode]],Table1[z-score])</f>
        <v>5.4192965202863402E-2</v>
      </c>
      <c r="L4199" t="e">
        <f>VLOOKUP(Table1[[#This Row],[CountryCode]],[1]!Table1[#Data],4,FALSE)</f>
        <v>#REF!</v>
      </c>
    </row>
    <row r="4200" spans="1:12" hidden="1" x14ac:dyDescent="0.3">
      <c r="A4200" t="s">
        <v>109</v>
      </c>
      <c r="B4200" t="s">
        <v>110</v>
      </c>
      <c r="C4200" t="s">
        <v>125</v>
      </c>
      <c r="D4200" t="s">
        <v>126</v>
      </c>
      <c r="E4200">
        <v>1986</v>
      </c>
      <c r="F4200" s="1">
        <v>7</v>
      </c>
      <c r="G4200">
        <v>1980</v>
      </c>
      <c r="H4200">
        <f>AVERAGEIFS(Table1[value],Table1[IndicatorCode],Table1[[#This Row],[IndicatorCode]])</f>
        <v>7.6894248608534319</v>
      </c>
      <c r="I4200" cm="1">
        <f t="array" ref="I4200">_xlfn.STDEV.P(IF(Table1[IndicatorCode]=Table1[[#This Row],[IndicatorCode]],Table1[value]))</f>
        <v>5.2319501044600996</v>
      </c>
      <c r="J4200">
        <f>(Table1[[#This Row],[value]] - Table1[[#This Row],[mean]]) / Table1[[#This Row],[std_dev]]</f>
        <v>-0.13177206339672762</v>
      </c>
      <c r="K4200">
        <f>AVERAGEIF(Table1[CountryCode],Table1[[#This Row],[CountryCode]],Table1[z-score])</f>
        <v>5.4192965202863402E-2</v>
      </c>
      <c r="L4200" t="e">
        <f>VLOOKUP(Table1[[#This Row],[CountryCode]],[1]!Table1[#Data],4,FALSE)</f>
        <v>#REF!</v>
      </c>
    </row>
    <row r="4201" spans="1:12" hidden="1" x14ac:dyDescent="0.3">
      <c r="A4201" t="s">
        <v>109</v>
      </c>
      <c r="B4201" t="s">
        <v>110</v>
      </c>
      <c r="C4201" t="s">
        <v>125</v>
      </c>
      <c r="D4201" t="s">
        <v>126</v>
      </c>
      <c r="E4201">
        <v>1987</v>
      </c>
      <c r="F4201" s="1">
        <v>6</v>
      </c>
      <c r="G4201">
        <v>1990</v>
      </c>
      <c r="H4201">
        <f>AVERAGEIFS(Table1[value],Table1[IndicatorCode],Table1[[#This Row],[IndicatorCode]])</f>
        <v>7.6894248608534319</v>
      </c>
      <c r="I4201" cm="1">
        <f t="array" ref="I4201">_xlfn.STDEV.P(IF(Table1[IndicatorCode]=Table1[[#This Row],[IndicatorCode]],Table1[value]))</f>
        <v>5.2319501044600996</v>
      </c>
      <c r="J4201">
        <f>(Table1[[#This Row],[value]] - Table1[[#This Row],[mean]]) / Table1[[#This Row],[std_dev]]</f>
        <v>-0.32290538463148605</v>
      </c>
      <c r="K4201">
        <f>AVERAGEIF(Table1[CountryCode],Table1[[#This Row],[CountryCode]],Table1[z-score])</f>
        <v>5.4192965202863402E-2</v>
      </c>
      <c r="L4201" t="e">
        <f>VLOOKUP(Table1[[#This Row],[CountryCode]],[1]!Table1[#Data],4,FALSE)</f>
        <v>#REF!</v>
      </c>
    </row>
    <row r="4202" spans="1:12" hidden="1" x14ac:dyDescent="0.3">
      <c r="A4202" t="s">
        <v>109</v>
      </c>
      <c r="B4202" t="s">
        <v>110</v>
      </c>
      <c r="C4202" t="s">
        <v>125</v>
      </c>
      <c r="D4202" t="s">
        <v>126</v>
      </c>
      <c r="E4202">
        <v>1988</v>
      </c>
      <c r="F4202" s="1">
        <v>9</v>
      </c>
      <c r="G4202">
        <v>1990</v>
      </c>
      <c r="H4202">
        <f>AVERAGEIFS(Table1[value],Table1[IndicatorCode],Table1[[#This Row],[IndicatorCode]])</f>
        <v>7.6894248608534319</v>
      </c>
      <c r="I4202" cm="1">
        <f t="array" ref="I4202">_xlfn.STDEV.P(IF(Table1[IndicatorCode]=Table1[[#This Row],[IndicatorCode]],Table1[value]))</f>
        <v>5.2319501044600996</v>
      </c>
      <c r="J4202">
        <f>(Table1[[#This Row],[value]] - Table1[[#This Row],[mean]]) / Table1[[#This Row],[std_dev]]</f>
        <v>0.25049457907278921</v>
      </c>
      <c r="K4202">
        <f>AVERAGEIF(Table1[CountryCode],Table1[[#This Row],[CountryCode]],Table1[z-score])</f>
        <v>5.4192965202863402E-2</v>
      </c>
      <c r="L4202" t="e">
        <f>VLOOKUP(Table1[[#This Row],[CountryCode]],[1]!Table1[#Data],4,FALSE)</f>
        <v>#REF!</v>
      </c>
    </row>
    <row r="4203" spans="1:12" hidden="1" x14ac:dyDescent="0.3">
      <c r="A4203" t="s">
        <v>109</v>
      </c>
      <c r="B4203" t="s">
        <v>110</v>
      </c>
      <c r="C4203" t="s">
        <v>125</v>
      </c>
      <c r="D4203" t="s">
        <v>126</v>
      </c>
      <c r="E4203">
        <v>1989</v>
      </c>
      <c r="F4203" s="1">
        <v>8</v>
      </c>
      <c r="G4203">
        <v>1990</v>
      </c>
      <c r="H4203">
        <f>AVERAGEIFS(Table1[value],Table1[IndicatorCode],Table1[[#This Row],[IndicatorCode]])</f>
        <v>7.6894248608534319</v>
      </c>
      <c r="I4203" cm="1">
        <f t="array" ref="I4203">_xlfn.STDEV.P(IF(Table1[IndicatorCode]=Table1[[#This Row],[IndicatorCode]],Table1[value]))</f>
        <v>5.2319501044600996</v>
      </c>
      <c r="J4203">
        <f>(Table1[[#This Row],[value]] - Table1[[#This Row],[mean]]) / Table1[[#This Row],[std_dev]]</f>
        <v>5.9361257838030791E-2</v>
      </c>
      <c r="K4203">
        <f>AVERAGEIF(Table1[CountryCode],Table1[[#This Row],[CountryCode]],Table1[z-score])</f>
        <v>5.4192965202863402E-2</v>
      </c>
      <c r="L4203" t="e">
        <f>VLOOKUP(Table1[[#This Row],[CountryCode]],[1]!Table1[#Data],4,FALSE)</f>
        <v>#REF!</v>
      </c>
    </row>
    <row r="4204" spans="1:12" hidden="1" x14ac:dyDescent="0.3">
      <c r="A4204" t="s">
        <v>109</v>
      </c>
      <c r="B4204" t="s">
        <v>110</v>
      </c>
      <c r="C4204" t="s">
        <v>125</v>
      </c>
      <c r="D4204" t="s">
        <v>126</v>
      </c>
      <c r="E4204">
        <v>1990</v>
      </c>
      <c r="F4204" s="1">
        <v>7</v>
      </c>
      <c r="G4204">
        <v>1990</v>
      </c>
      <c r="H4204">
        <f>AVERAGEIFS(Table1[value],Table1[IndicatorCode],Table1[[#This Row],[IndicatorCode]])</f>
        <v>7.6894248608534319</v>
      </c>
      <c r="I4204" cm="1">
        <f t="array" ref="I4204">_xlfn.STDEV.P(IF(Table1[IndicatorCode]=Table1[[#This Row],[IndicatorCode]],Table1[value]))</f>
        <v>5.2319501044600996</v>
      </c>
      <c r="J4204">
        <f>(Table1[[#This Row],[value]] - Table1[[#This Row],[mean]]) / Table1[[#This Row],[std_dev]]</f>
        <v>-0.13177206339672762</v>
      </c>
      <c r="K4204">
        <f>AVERAGEIF(Table1[CountryCode],Table1[[#This Row],[CountryCode]],Table1[z-score])</f>
        <v>5.4192965202863402E-2</v>
      </c>
      <c r="L4204" t="e">
        <f>VLOOKUP(Table1[[#This Row],[CountryCode]],[1]!Table1[#Data],4,FALSE)</f>
        <v>#REF!</v>
      </c>
    </row>
    <row r="4205" spans="1:12" hidden="1" x14ac:dyDescent="0.3">
      <c r="A4205" t="s">
        <v>109</v>
      </c>
      <c r="B4205" t="s">
        <v>110</v>
      </c>
      <c r="C4205" t="s">
        <v>125</v>
      </c>
      <c r="D4205" t="s">
        <v>126</v>
      </c>
      <c r="E4205">
        <v>1991</v>
      </c>
      <c r="F4205" s="1">
        <v>7</v>
      </c>
      <c r="G4205">
        <v>1990</v>
      </c>
      <c r="H4205">
        <f>AVERAGEIFS(Table1[value],Table1[IndicatorCode],Table1[[#This Row],[IndicatorCode]])</f>
        <v>7.6894248608534319</v>
      </c>
      <c r="I4205" cm="1">
        <f t="array" ref="I4205">_xlfn.STDEV.P(IF(Table1[IndicatorCode]=Table1[[#This Row],[IndicatorCode]],Table1[value]))</f>
        <v>5.2319501044600996</v>
      </c>
      <c r="J4205">
        <f>(Table1[[#This Row],[value]] - Table1[[#This Row],[mean]]) / Table1[[#This Row],[std_dev]]</f>
        <v>-0.13177206339672762</v>
      </c>
      <c r="K4205">
        <f>AVERAGEIF(Table1[CountryCode],Table1[[#This Row],[CountryCode]],Table1[z-score])</f>
        <v>5.4192965202863402E-2</v>
      </c>
      <c r="L4205" t="e">
        <f>VLOOKUP(Table1[[#This Row],[CountryCode]],[1]!Table1[#Data],4,FALSE)</f>
        <v>#REF!</v>
      </c>
    </row>
    <row r="4206" spans="1:12" hidden="1" x14ac:dyDescent="0.3">
      <c r="A4206" t="s">
        <v>109</v>
      </c>
      <c r="B4206" t="s">
        <v>110</v>
      </c>
      <c r="C4206" t="s">
        <v>125</v>
      </c>
      <c r="D4206" t="s">
        <v>126</v>
      </c>
      <c r="E4206">
        <v>1992</v>
      </c>
      <c r="F4206" s="1">
        <v>7</v>
      </c>
      <c r="G4206">
        <v>1990</v>
      </c>
      <c r="H4206">
        <f>AVERAGEIFS(Table1[value],Table1[IndicatorCode],Table1[[#This Row],[IndicatorCode]])</f>
        <v>7.6894248608534319</v>
      </c>
      <c r="I4206" cm="1">
        <f t="array" ref="I4206">_xlfn.STDEV.P(IF(Table1[IndicatorCode]=Table1[[#This Row],[IndicatorCode]],Table1[value]))</f>
        <v>5.2319501044600996</v>
      </c>
      <c r="J4206">
        <f>(Table1[[#This Row],[value]] - Table1[[#This Row],[mean]]) / Table1[[#This Row],[std_dev]]</f>
        <v>-0.13177206339672762</v>
      </c>
      <c r="K4206">
        <f>AVERAGEIF(Table1[CountryCode],Table1[[#This Row],[CountryCode]],Table1[z-score])</f>
        <v>5.4192965202863402E-2</v>
      </c>
      <c r="L4206" t="e">
        <f>VLOOKUP(Table1[[#This Row],[CountryCode]],[1]!Table1[#Data],4,FALSE)</f>
        <v>#REF!</v>
      </c>
    </row>
    <row r="4207" spans="1:12" hidden="1" x14ac:dyDescent="0.3">
      <c r="A4207" t="s">
        <v>109</v>
      </c>
      <c r="B4207" t="s">
        <v>110</v>
      </c>
      <c r="C4207" t="s">
        <v>125</v>
      </c>
      <c r="D4207" t="s">
        <v>126</v>
      </c>
      <c r="E4207">
        <v>1993</v>
      </c>
      <c r="F4207" s="1">
        <v>7</v>
      </c>
      <c r="G4207">
        <v>1990</v>
      </c>
      <c r="H4207">
        <f>AVERAGEIFS(Table1[value],Table1[IndicatorCode],Table1[[#This Row],[IndicatorCode]])</f>
        <v>7.6894248608534319</v>
      </c>
      <c r="I4207" cm="1">
        <f t="array" ref="I4207">_xlfn.STDEV.P(IF(Table1[IndicatorCode]=Table1[[#This Row],[IndicatorCode]],Table1[value]))</f>
        <v>5.2319501044600996</v>
      </c>
      <c r="J4207">
        <f>(Table1[[#This Row],[value]] - Table1[[#This Row],[mean]]) / Table1[[#This Row],[std_dev]]</f>
        <v>-0.13177206339672762</v>
      </c>
      <c r="K4207">
        <f>AVERAGEIF(Table1[CountryCode],Table1[[#This Row],[CountryCode]],Table1[z-score])</f>
        <v>5.4192965202863402E-2</v>
      </c>
      <c r="L4207" t="e">
        <f>VLOOKUP(Table1[[#This Row],[CountryCode]],[1]!Table1[#Data],4,FALSE)</f>
        <v>#REF!</v>
      </c>
    </row>
    <row r="4208" spans="1:12" hidden="1" x14ac:dyDescent="0.3">
      <c r="A4208" t="s">
        <v>109</v>
      </c>
      <c r="B4208" t="s">
        <v>110</v>
      </c>
      <c r="C4208" t="s">
        <v>125</v>
      </c>
      <c r="D4208" t="s">
        <v>126</v>
      </c>
      <c r="E4208">
        <v>1994</v>
      </c>
      <c r="F4208" s="1">
        <v>7</v>
      </c>
      <c r="G4208">
        <v>1990</v>
      </c>
      <c r="H4208">
        <f>AVERAGEIFS(Table1[value],Table1[IndicatorCode],Table1[[#This Row],[IndicatorCode]])</f>
        <v>7.6894248608534319</v>
      </c>
      <c r="I4208" cm="1">
        <f t="array" ref="I4208">_xlfn.STDEV.P(IF(Table1[IndicatorCode]=Table1[[#This Row],[IndicatorCode]],Table1[value]))</f>
        <v>5.2319501044600996</v>
      </c>
      <c r="J4208">
        <f>(Table1[[#This Row],[value]] - Table1[[#This Row],[mean]]) / Table1[[#This Row],[std_dev]]</f>
        <v>-0.13177206339672762</v>
      </c>
      <c r="K4208">
        <f>AVERAGEIF(Table1[CountryCode],Table1[[#This Row],[CountryCode]],Table1[z-score])</f>
        <v>5.4192965202863402E-2</v>
      </c>
      <c r="L4208" t="e">
        <f>VLOOKUP(Table1[[#This Row],[CountryCode]],[1]!Table1[#Data],4,FALSE)</f>
        <v>#REF!</v>
      </c>
    </row>
    <row r="4209" spans="1:12" hidden="1" x14ac:dyDescent="0.3">
      <c r="A4209" t="s">
        <v>109</v>
      </c>
      <c r="B4209" t="s">
        <v>110</v>
      </c>
      <c r="C4209" t="s">
        <v>125</v>
      </c>
      <c r="D4209" t="s">
        <v>126</v>
      </c>
      <c r="E4209">
        <v>1995</v>
      </c>
      <c r="F4209" s="1">
        <v>8</v>
      </c>
      <c r="G4209">
        <v>1990</v>
      </c>
      <c r="H4209">
        <f>AVERAGEIFS(Table1[value],Table1[IndicatorCode],Table1[[#This Row],[IndicatorCode]])</f>
        <v>7.6894248608534319</v>
      </c>
      <c r="I4209" cm="1">
        <f t="array" ref="I4209">_xlfn.STDEV.P(IF(Table1[IndicatorCode]=Table1[[#This Row],[IndicatorCode]],Table1[value]))</f>
        <v>5.2319501044600996</v>
      </c>
      <c r="J4209">
        <f>(Table1[[#This Row],[value]] - Table1[[#This Row],[mean]]) / Table1[[#This Row],[std_dev]]</f>
        <v>5.9361257838030791E-2</v>
      </c>
      <c r="K4209">
        <f>AVERAGEIF(Table1[CountryCode],Table1[[#This Row],[CountryCode]],Table1[z-score])</f>
        <v>5.4192965202863402E-2</v>
      </c>
      <c r="L4209" t="e">
        <f>VLOOKUP(Table1[[#This Row],[CountryCode]],[1]!Table1[#Data],4,FALSE)</f>
        <v>#REF!</v>
      </c>
    </row>
    <row r="4210" spans="1:12" hidden="1" x14ac:dyDescent="0.3">
      <c r="A4210" t="s">
        <v>109</v>
      </c>
      <c r="B4210" t="s">
        <v>110</v>
      </c>
      <c r="C4210" t="s">
        <v>125</v>
      </c>
      <c r="D4210" t="s">
        <v>126</v>
      </c>
      <c r="E4210">
        <v>1996</v>
      </c>
      <c r="F4210" s="1">
        <v>8</v>
      </c>
      <c r="G4210">
        <v>1990</v>
      </c>
      <c r="H4210">
        <f>AVERAGEIFS(Table1[value],Table1[IndicatorCode],Table1[[#This Row],[IndicatorCode]])</f>
        <v>7.6894248608534319</v>
      </c>
      <c r="I4210" cm="1">
        <f t="array" ref="I4210">_xlfn.STDEV.P(IF(Table1[IndicatorCode]=Table1[[#This Row],[IndicatorCode]],Table1[value]))</f>
        <v>5.2319501044600996</v>
      </c>
      <c r="J4210">
        <f>(Table1[[#This Row],[value]] - Table1[[#This Row],[mean]]) / Table1[[#This Row],[std_dev]]</f>
        <v>5.9361257838030791E-2</v>
      </c>
      <c r="K4210">
        <f>AVERAGEIF(Table1[CountryCode],Table1[[#This Row],[CountryCode]],Table1[z-score])</f>
        <v>5.4192965202863402E-2</v>
      </c>
      <c r="L4210" t="e">
        <f>VLOOKUP(Table1[[#This Row],[CountryCode]],[1]!Table1[#Data],4,FALSE)</f>
        <v>#REF!</v>
      </c>
    </row>
    <row r="4211" spans="1:12" hidden="1" x14ac:dyDescent="0.3">
      <c r="A4211" t="s">
        <v>109</v>
      </c>
      <c r="B4211" t="s">
        <v>110</v>
      </c>
      <c r="C4211" t="s">
        <v>125</v>
      </c>
      <c r="D4211" t="s">
        <v>126</v>
      </c>
      <c r="E4211">
        <v>1997</v>
      </c>
      <c r="F4211" s="1">
        <v>8</v>
      </c>
      <c r="G4211">
        <v>2000</v>
      </c>
      <c r="H4211">
        <f>AVERAGEIFS(Table1[value],Table1[IndicatorCode],Table1[[#This Row],[IndicatorCode]])</f>
        <v>7.6894248608534319</v>
      </c>
      <c r="I4211" cm="1">
        <f t="array" ref="I4211">_xlfn.STDEV.P(IF(Table1[IndicatorCode]=Table1[[#This Row],[IndicatorCode]],Table1[value]))</f>
        <v>5.2319501044600996</v>
      </c>
      <c r="J4211">
        <f>(Table1[[#This Row],[value]] - Table1[[#This Row],[mean]]) / Table1[[#This Row],[std_dev]]</f>
        <v>5.9361257838030791E-2</v>
      </c>
      <c r="K4211">
        <f>AVERAGEIF(Table1[CountryCode],Table1[[#This Row],[CountryCode]],Table1[z-score])</f>
        <v>5.4192965202863402E-2</v>
      </c>
      <c r="L4211" t="e">
        <f>VLOOKUP(Table1[[#This Row],[CountryCode]],[1]!Table1[#Data],4,FALSE)</f>
        <v>#REF!</v>
      </c>
    </row>
    <row r="4212" spans="1:12" hidden="1" x14ac:dyDescent="0.3">
      <c r="A4212" t="s">
        <v>109</v>
      </c>
      <c r="B4212" t="s">
        <v>110</v>
      </c>
      <c r="C4212" t="s">
        <v>125</v>
      </c>
      <c r="D4212" t="s">
        <v>126</v>
      </c>
      <c r="E4212">
        <v>1998</v>
      </c>
      <c r="F4212" s="1">
        <v>8</v>
      </c>
      <c r="G4212">
        <v>2000</v>
      </c>
      <c r="H4212">
        <f>AVERAGEIFS(Table1[value],Table1[IndicatorCode],Table1[[#This Row],[IndicatorCode]])</f>
        <v>7.6894248608534319</v>
      </c>
      <c r="I4212" cm="1">
        <f t="array" ref="I4212">_xlfn.STDEV.P(IF(Table1[IndicatorCode]=Table1[[#This Row],[IndicatorCode]],Table1[value]))</f>
        <v>5.2319501044600996</v>
      </c>
      <c r="J4212">
        <f>(Table1[[#This Row],[value]] - Table1[[#This Row],[mean]]) / Table1[[#This Row],[std_dev]]</f>
        <v>5.9361257838030791E-2</v>
      </c>
      <c r="K4212">
        <f>AVERAGEIF(Table1[CountryCode],Table1[[#This Row],[CountryCode]],Table1[z-score])</f>
        <v>5.4192965202863402E-2</v>
      </c>
      <c r="L4212" t="e">
        <f>VLOOKUP(Table1[[#This Row],[CountryCode]],[1]!Table1[#Data],4,FALSE)</f>
        <v>#REF!</v>
      </c>
    </row>
    <row r="4213" spans="1:12" hidden="1" x14ac:dyDescent="0.3">
      <c r="A4213" t="s">
        <v>109</v>
      </c>
      <c r="B4213" t="s">
        <v>110</v>
      </c>
      <c r="C4213" t="s">
        <v>125</v>
      </c>
      <c r="D4213" t="s">
        <v>126</v>
      </c>
      <c r="E4213">
        <v>1999</v>
      </c>
      <c r="F4213" s="1">
        <v>8</v>
      </c>
      <c r="G4213">
        <v>2000</v>
      </c>
      <c r="H4213">
        <f>AVERAGEIFS(Table1[value],Table1[IndicatorCode],Table1[[#This Row],[IndicatorCode]])</f>
        <v>7.6894248608534319</v>
      </c>
      <c r="I4213" cm="1">
        <f t="array" ref="I4213">_xlfn.STDEV.P(IF(Table1[IndicatorCode]=Table1[[#This Row],[IndicatorCode]],Table1[value]))</f>
        <v>5.2319501044600996</v>
      </c>
      <c r="J4213">
        <f>(Table1[[#This Row],[value]] - Table1[[#This Row],[mean]]) / Table1[[#This Row],[std_dev]]</f>
        <v>5.9361257838030791E-2</v>
      </c>
      <c r="K4213">
        <f>AVERAGEIF(Table1[CountryCode],Table1[[#This Row],[CountryCode]],Table1[z-score])</f>
        <v>5.4192965202863402E-2</v>
      </c>
      <c r="L4213" t="e">
        <f>VLOOKUP(Table1[[#This Row],[CountryCode]],[1]!Table1[#Data],4,FALSE)</f>
        <v>#REF!</v>
      </c>
    </row>
    <row r="4214" spans="1:12" hidden="1" x14ac:dyDescent="0.3">
      <c r="A4214" t="s">
        <v>109</v>
      </c>
      <c r="B4214" t="s">
        <v>110</v>
      </c>
      <c r="C4214" t="s">
        <v>125</v>
      </c>
      <c r="D4214" t="s">
        <v>126</v>
      </c>
      <c r="E4214">
        <v>2000</v>
      </c>
      <c r="F4214" s="1">
        <v>8</v>
      </c>
      <c r="G4214">
        <v>2000</v>
      </c>
      <c r="H4214">
        <f>AVERAGEIFS(Table1[value],Table1[IndicatorCode],Table1[[#This Row],[IndicatorCode]])</f>
        <v>7.6894248608534319</v>
      </c>
      <c r="I4214" cm="1">
        <f t="array" ref="I4214">_xlfn.STDEV.P(IF(Table1[IndicatorCode]=Table1[[#This Row],[IndicatorCode]],Table1[value]))</f>
        <v>5.2319501044600996</v>
      </c>
      <c r="J4214">
        <f>(Table1[[#This Row],[value]] - Table1[[#This Row],[mean]]) / Table1[[#This Row],[std_dev]]</f>
        <v>5.9361257838030791E-2</v>
      </c>
      <c r="K4214">
        <f>AVERAGEIF(Table1[CountryCode],Table1[[#This Row],[CountryCode]],Table1[z-score])</f>
        <v>5.4192965202863402E-2</v>
      </c>
      <c r="L4214" t="e">
        <f>VLOOKUP(Table1[[#This Row],[CountryCode]],[1]!Table1[#Data],4,FALSE)</f>
        <v>#REF!</v>
      </c>
    </row>
    <row r="4215" spans="1:12" hidden="1" x14ac:dyDescent="0.3">
      <c r="A4215" t="s">
        <v>109</v>
      </c>
      <c r="B4215" t="s">
        <v>110</v>
      </c>
      <c r="C4215" t="s">
        <v>125</v>
      </c>
      <c r="D4215" t="s">
        <v>126</v>
      </c>
      <c r="E4215">
        <v>2001</v>
      </c>
      <c r="F4215" s="1">
        <v>9</v>
      </c>
      <c r="G4215">
        <v>2000</v>
      </c>
      <c r="H4215">
        <f>AVERAGEIFS(Table1[value],Table1[IndicatorCode],Table1[[#This Row],[IndicatorCode]])</f>
        <v>7.6894248608534319</v>
      </c>
      <c r="I4215" cm="1">
        <f t="array" ref="I4215">_xlfn.STDEV.P(IF(Table1[IndicatorCode]=Table1[[#This Row],[IndicatorCode]],Table1[value]))</f>
        <v>5.2319501044600996</v>
      </c>
      <c r="J4215">
        <f>(Table1[[#This Row],[value]] - Table1[[#This Row],[mean]]) / Table1[[#This Row],[std_dev]]</f>
        <v>0.25049457907278921</v>
      </c>
      <c r="K4215">
        <f>AVERAGEIF(Table1[CountryCode],Table1[[#This Row],[CountryCode]],Table1[z-score])</f>
        <v>5.4192965202863402E-2</v>
      </c>
      <c r="L4215" t="e">
        <f>VLOOKUP(Table1[[#This Row],[CountryCode]],[1]!Table1[#Data],4,FALSE)</f>
        <v>#REF!</v>
      </c>
    </row>
    <row r="4216" spans="1:12" hidden="1" x14ac:dyDescent="0.3">
      <c r="A4216" t="s">
        <v>109</v>
      </c>
      <c r="B4216" t="s">
        <v>110</v>
      </c>
      <c r="C4216" t="s">
        <v>125</v>
      </c>
      <c r="D4216" t="s">
        <v>126</v>
      </c>
      <c r="E4216">
        <v>2002</v>
      </c>
      <c r="F4216" s="1">
        <v>9</v>
      </c>
      <c r="G4216">
        <v>2000</v>
      </c>
      <c r="H4216">
        <f>AVERAGEIFS(Table1[value],Table1[IndicatorCode],Table1[[#This Row],[IndicatorCode]])</f>
        <v>7.6894248608534319</v>
      </c>
      <c r="I4216" cm="1">
        <f t="array" ref="I4216">_xlfn.STDEV.P(IF(Table1[IndicatorCode]=Table1[[#This Row],[IndicatorCode]],Table1[value]))</f>
        <v>5.2319501044600996</v>
      </c>
      <c r="J4216">
        <f>(Table1[[#This Row],[value]] - Table1[[#This Row],[mean]]) / Table1[[#This Row],[std_dev]]</f>
        <v>0.25049457907278921</v>
      </c>
      <c r="K4216">
        <f>AVERAGEIF(Table1[CountryCode],Table1[[#This Row],[CountryCode]],Table1[z-score])</f>
        <v>5.4192965202863402E-2</v>
      </c>
      <c r="L4216" t="e">
        <f>VLOOKUP(Table1[[#This Row],[CountryCode]],[1]!Table1[#Data],4,FALSE)</f>
        <v>#REF!</v>
      </c>
    </row>
    <row r="4217" spans="1:12" hidden="1" x14ac:dyDescent="0.3">
      <c r="A4217" t="s">
        <v>109</v>
      </c>
      <c r="B4217" t="s">
        <v>110</v>
      </c>
      <c r="C4217" t="s">
        <v>125</v>
      </c>
      <c r="D4217" t="s">
        <v>126</v>
      </c>
      <c r="E4217">
        <v>2003</v>
      </c>
      <c r="F4217" s="1">
        <v>9</v>
      </c>
      <c r="G4217">
        <v>2000</v>
      </c>
      <c r="H4217">
        <f>AVERAGEIFS(Table1[value],Table1[IndicatorCode],Table1[[#This Row],[IndicatorCode]])</f>
        <v>7.6894248608534319</v>
      </c>
      <c r="I4217" cm="1">
        <f t="array" ref="I4217">_xlfn.STDEV.P(IF(Table1[IndicatorCode]=Table1[[#This Row],[IndicatorCode]],Table1[value]))</f>
        <v>5.2319501044600996</v>
      </c>
      <c r="J4217">
        <f>(Table1[[#This Row],[value]] - Table1[[#This Row],[mean]]) / Table1[[#This Row],[std_dev]]</f>
        <v>0.25049457907278921</v>
      </c>
      <c r="K4217">
        <f>AVERAGEIF(Table1[CountryCode],Table1[[#This Row],[CountryCode]],Table1[z-score])</f>
        <v>5.4192965202863402E-2</v>
      </c>
      <c r="L4217" t="e">
        <f>VLOOKUP(Table1[[#This Row],[CountryCode]],[1]!Table1[#Data],4,FALSE)</f>
        <v>#REF!</v>
      </c>
    </row>
    <row r="4218" spans="1:12" hidden="1" x14ac:dyDescent="0.3">
      <c r="A4218" t="s">
        <v>109</v>
      </c>
      <c r="B4218" t="s">
        <v>110</v>
      </c>
      <c r="C4218" t="s">
        <v>125</v>
      </c>
      <c r="D4218" t="s">
        <v>126</v>
      </c>
      <c r="E4218">
        <v>2004</v>
      </c>
      <c r="F4218" s="1">
        <v>9</v>
      </c>
      <c r="G4218">
        <v>2000</v>
      </c>
      <c r="H4218">
        <f>AVERAGEIFS(Table1[value],Table1[IndicatorCode],Table1[[#This Row],[IndicatorCode]])</f>
        <v>7.6894248608534319</v>
      </c>
      <c r="I4218" cm="1">
        <f t="array" ref="I4218">_xlfn.STDEV.P(IF(Table1[IndicatorCode]=Table1[[#This Row],[IndicatorCode]],Table1[value]))</f>
        <v>5.2319501044600996</v>
      </c>
      <c r="J4218">
        <f>(Table1[[#This Row],[value]] - Table1[[#This Row],[mean]]) / Table1[[#This Row],[std_dev]]</f>
        <v>0.25049457907278921</v>
      </c>
      <c r="K4218">
        <f>AVERAGEIF(Table1[CountryCode],Table1[[#This Row],[CountryCode]],Table1[z-score])</f>
        <v>5.4192965202863402E-2</v>
      </c>
      <c r="L4218" t="e">
        <f>VLOOKUP(Table1[[#This Row],[CountryCode]],[1]!Table1[#Data],4,FALSE)</f>
        <v>#REF!</v>
      </c>
    </row>
    <row r="4219" spans="1:12" hidden="1" x14ac:dyDescent="0.3">
      <c r="A4219" t="s">
        <v>109</v>
      </c>
      <c r="B4219" t="s">
        <v>110</v>
      </c>
      <c r="C4219" t="s">
        <v>125</v>
      </c>
      <c r="D4219" t="s">
        <v>126</v>
      </c>
      <c r="E4219">
        <v>2005</v>
      </c>
      <c r="F4219" s="1">
        <v>9</v>
      </c>
      <c r="G4219">
        <v>2000</v>
      </c>
      <c r="H4219">
        <f>AVERAGEIFS(Table1[value],Table1[IndicatorCode],Table1[[#This Row],[IndicatorCode]])</f>
        <v>7.6894248608534319</v>
      </c>
      <c r="I4219" cm="1">
        <f t="array" ref="I4219">_xlfn.STDEV.P(IF(Table1[IndicatorCode]=Table1[[#This Row],[IndicatorCode]],Table1[value]))</f>
        <v>5.2319501044600996</v>
      </c>
      <c r="J4219">
        <f>(Table1[[#This Row],[value]] - Table1[[#This Row],[mean]]) / Table1[[#This Row],[std_dev]]</f>
        <v>0.25049457907278921</v>
      </c>
      <c r="K4219">
        <f>AVERAGEIF(Table1[CountryCode],Table1[[#This Row],[CountryCode]],Table1[z-score])</f>
        <v>5.4192965202863402E-2</v>
      </c>
      <c r="L4219" t="e">
        <f>VLOOKUP(Table1[[#This Row],[CountryCode]],[1]!Table1[#Data],4,FALSE)</f>
        <v>#REF!</v>
      </c>
    </row>
    <row r="4220" spans="1:12" hidden="1" x14ac:dyDescent="0.3">
      <c r="A4220" t="s">
        <v>109</v>
      </c>
      <c r="B4220" t="s">
        <v>110</v>
      </c>
      <c r="C4220" t="s">
        <v>125</v>
      </c>
      <c r="D4220" t="s">
        <v>126</v>
      </c>
      <c r="E4220">
        <v>2006</v>
      </c>
      <c r="F4220" s="1">
        <v>9</v>
      </c>
      <c r="G4220">
        <v>2000</v>
      </c>
      <c r="H4220">
        <f>AVERAGEIFS(Table1[value],Table1[IndicatorCode],Table1[[#This Row],[IndicatorCode]])</f>
        <v>7.6894248608534319</v>
      </c>
      <c r="I4220" cm="1">
        <f t="array" ref="I4220">_xlfn.STDEV.P(IF(Table1[IndicatorCode]=Table1[[#This Row],[IndicatorCode]],Table1[value]))</f>
        <v>5.2319501044600996</v>
      </c>
      <c r="J4220">
        <f>(Table1[[#This Row],[value]] - Table1[[#This Row],[mean]]) / Table1[[#This Row],[std_dev]]</f>
        <v>0.25049457907278921</v>
      </c>
      <c r="K4220">
        <f>AVERAGEIF(Table1[CountryCode],Table1[[#This Row],[CountryCode]],Table1[z-score])</f>
        <v>5.4192965202863402E-2</v>
      </c>
      <c r="L4220" t="e">
        <f>VLOOKUP(Table1[[#This Row],[CountryCode]],[1]!Table1[#Data],4,FALSE)</f>
        <v>#REF!</v>
      </c>
    </row>
    <row r="4221" spans="1:12" hidden="1" x14ac:dyDescent="0.3">
      <c r="A4221" t="s">
        <v>109</v>
      </c>
      <c r="B4221" t="s">
        <v>110</v>
      </c>
      <c r="C4221" t="s">
        <v>125</v>
      </c>
      <c r="D4221" t="s">
        <v>126</v>
      </c>
      <c r="E4221">
        <v>2007</v>
      </c>
      <c r="F4221" s="1">
        <v>9</v>
      </c>
      <c r="G4221">
        <v>2010</v>
      </c>
      <c r="H4221">
        <f>AVERAGEIFS(Table1[value],Table1[IndicatorCode],Table1[[#This Row],[IndicatorCode]])</f>
        <v>7.6894248608534319</v>
      </c>
      <c r="I4221" cm="1">
        <f t="array" ref="I4221">_xlfn.STDEV.P(IF(Table1[IndicatorCode]=Table1[[#This Row],[IndicatorCode]],Table1[value]))</f>
        <v>5.2319501044600996</v>
      </c>
      <c r="J4221">
        <f>(Table1[[#This Row],[value]] - Table1[[#This Row],[mean]]) / Table1[[#This Row],[std_dev]]</f>
        <v>0.25049457907278921</v>
      </c>
      <c r="K4221">
        <f>AVERAGEIF(Table1[CountryCode],Table1[[#This Row],[CountryCode]],Table1[z-score])</f>
        <v>5.4192965202863402E-2</v>
      </c>
      <c r="L4221" t="e">
        <f>VLOOKUP(Table1[[#This Row],[CountryCode]],[1]!Table1[#Data],4,FALSE)</f>
        <v>#REF!</v>
      </c>
    </row>
    <row r="4222" spans="1:12" hidden="1" x14ac:dyDescent="0.3">
      <c r="A4222" t="s">
        <v>109</v>
      </c>
      <c r="B4222" t="s">
        <v>110</v>
      </c>
      <c r="C4222" t="s">
        <v>125</v>
      </c>
      <c r="D4222" t="s">
        <v>126</v>
      </c>
      <c r="E4222">
        <v>2008</v>
      </c>
      <c r="F4222" s="1">
        <v>9</v>
      </c>
      <c r="G4222">
        <v>2010</v>
      </c>
      <c r="H4222">
        <f>AVERAGEIFS(Table1[value],Table1[IndicatorCode],Table1[[#This Row],[IndicatorCode]])</f>
        <v>7.6894248608534319</v>
      </c>
      <c r="I4222" cm="1">
        <f t="array" ref="I4222">_xlfn.STDEV.P(IF(Table1[IndicatorCode]=Table1[[#This Row],[IndicatorCode]],Table1[value]))</f>
        <v>5.2319501044600996</v>
      </c>
      <c r="J4222">
        <f>(Table1[[#This Row],[value]] - Table1[[#This Row],[mean]]) / Table1[[#This Row],[std_dev]]</f>
        <v>0.25049457907278921</v>
      </c>
      <c r="K4222">
        <f>AVERAGEIF(Table1[CountryCode],Table1[[#This Row],[CountryCode]],Table1[z-score])</f>
        <v>5.4192965202863402E-2</v>
      </c>
      <c r="L4222" t="e">
        <f>VLOOKUP(Table1[[#This Row],[CountryCode]],[1]!Table1[#Data],4,FALSE)</f>
        <v>#REF!</v>
      </c>
    </row>
    <row r="4223" spans="1:12" hidden="1" x14ac:dyDescent="0.3">
      <c r="A4223" t="s">
        <v>109</v>
      </c>
      <c r="B4223" t="s">
        <v>110</v>
      </c>
      <c r="C4223" t="s">
        <v>125</v>
      </c>
      <c r="D4223" t="s">
        <v>126</v>
      </c>
      <c r="E4223">
        <v>2009</v>
      </c>
      <c r="F4223" s="1">
        <v>8</v>
      </c>
      <c r="G4223">
        <v>2010</v>
      </c>
      <c r="H4223">
        <f>AVERAGEIFS(Table1[value],Table1[IndicatorCode],Table1[[#This Row],[IndicatorCode]])</f>
        <v>7.6894248608534319</v>
      </c>
      <c r="I4223" cm="1">
        <f t="array" ref="I4223">_xlfn.STDEV.P(IF(Table1[IndicatorCode]=Table1[[#This Row],[IndicatorCode]],Table1[value]))</f>
        <v>5.2319501044600996</v>
      </c>
      <c r="J4223">
        <f>(Table1[[#This Row],[value]] - Table1[[#This Row],[mean]]) / Table1[[#This Row],[std_dev]]</f>
        <v>5.9361257838030791E-2</v>
      </c>
      <c r="K4223">
        <f>AVERAGEIF(Table1[CountryCode],Table1[[#This Row],[CountryCode]],Table1[z-score])</f>
        <v>5.4192965202863402E-2</v>
      </c>
      <c r="L4223" t="e">
        <f>VLOOKUP(Table1[[#This Row],[CountryCode]],[1]!Table1[#Data],4,FALSE)</f>
        <v>#REF!</v>
      </c>
    </row>
    <row r="4224" spans="1:12" hidden="1" x14ac:dyDescent="0.3">
      <c r="A4224" t="s">
        <v>109</v>
      </c>
      <c r="B4224" t="s">
        <v>110</v>
      </c>
      <c r="C4224" t="s">
        <v>125</v>
      </c>
      <c r="D4224" t="s">
        <v>126</v>
      </c>
      <c r="E4224">
        <v>2010</v>
      </c>
      <c r="F4224" s="1">
        <v>8</v>
      </c>
      <c r="G4224">
        <v>2010</v>
      </c>
      <c r="H4224">
        <f>AVERAGEIFS(Table1[value],Table1[IndicatorCode],Table1[[#This Row],[IndicatorCode]])</f>
        <v>7.6894248608534319</v>
      </c>
      <c r="I4224" cm="1">
        <f t="array" ref="I4224">_xlfn.STDEV.P(IF(Table1[IndicatorCode]=Table1[[#This Row],[IndicatorCode]],Table1[value]))</f>
        <v>5.2319501044600996</v>
      </c>
      <c r="J4224">
        <f>(Table1[[#This Row],[value]] - Table1[[#This Row],[mean]]) / Table1[[#This Row],[std_dev]]</f>
        <v>5.9361257838030791E-2</v>
      </c>
      <c r="K4224">
        <f>AVERAGEIF(Table1[CountryCode],Table1[[#This Row],[CountryCode]],Table1[z-score])</f>
        <v>5.4192965202863402E-2</v>
      </c>
      <c r="L4224" t="e">
        <f>VLOOKUP(Table1[[#This Row],[CountryCode]],[1]!Table1[#Data],4,FALSE)</f>
        <v>#REF!</v>
      </c>
    </row>
    <row r="4225" spans="1:12" hidden="1" x14ac:dyDescent="0.3">
      <c r="A4225" t="s">
        <v>109</v>
      </c>
      <c r="B4225" t="s">
        <v>110</v>
      </c>
      <c r="C4225" t="s">
        <v>125</v>
      </c>
      <c r="D4225" t="s">
        <v>126</v>
      </c>
      <c r="E4225">
        <v>2011</v>
      </c>
      <c r="F4225" s="1">
        <v>8</v>
      </c>
      <c r="G4225">
        <v>2010</v>
      </c>
      <c r="H4225">
        <f>AVERAGEIFS(Table1[value],Table1[IndicatorCode],Table1[[#This Row],[IndicatorCode]])</f>
        <v>7.6894248608534319</v>
      </c>
      <c r="I4225" cm="1">
        <f t="array" ref="I4225">_xlfn.STDEV.P(IF(Table1[IndicatorCode]=Table1[[#This Row],[IndicatorCode]],Table1[value]))</f>
        <v>5.2319501044600996</v>
      </c>
      <c r="J4225">
        <f>(Table1[[#This Row],[value]] - Table1[[#This Row],[mean]]) / Table1[[#This Row],[std_dev]]</f>
        <v>5.9361257838030791E-2</v>
      </c>
      <c r="K4225">
        <f>AVERAGEIF(Table1[CountryCode],Table1[[#This Row],[CountryCode]],Table1[z-score])</f>
        <v>5.4192965202863402E-2</v>
      </c>
      <c r="L4225" t="e">
        <f>VLOOKUP(Table1[[#This Row],[CountryCode]],[1]!Table1[#Data],4,FALSE)</f>
        <v>#REF!</v>
      </c>
    </row>
    <row r="4226" spans="1:12" hidden="1" x14ac:dyDescent="0.3">
      <c r="A4226" t="s">
        <v>109</v>
      </c>
      <c r="B4226" t="s">
        <v>110</v>
      </c>
      <c r="C4226" t="s">
        <v>125</v>
      </c>
      <c r="D4226" t="s">
        <v>126</v>
      </c>
      <c r="E4226">
        <v>2012</v>
      </c>
      <c r="F4226" s="1">
        <v>8</v>
      </c>
      <c r="G4226">
        <v>2010</v>
      </c>
      <c r="H4226">
        <f>AVERAGEIFS(Table1[value],Table1[IndicatorCode],Table1[[#This Row],[IndicatorCode]])</f>
        <v>7.6894248608534319</v>
      </c>
      <c r="I4226" cm="1">
        <f t="array" ref="I4226">_xlfn.STDEV.P(IF(Table1[IndicatorCode]=Table1[[#This Row],[IndicatorCode]],Table1[value]))</f>
        <v>5.2319501044600996</v>
      </c>
      <c r="J4226">
        <f>(Table1[[#This Row],[value]] - Table1[[#This Row],[mean]]) / Table1[[#This Row],[std_dev]]</f>
        <v>5.9361257838030791E-2</v>
      </c>
      <c r="K4226">
        <f>AVERAGEIF(Table1[CountryCode],Table1[[#This Row],[CountryCode]],Table1[z-score])</f>
        <v>5.4192965202863402E-2</v>
      </c>
      <c r="L4226" t="e">
        <f>VLOOKUP(Table1[[#This Row],[CountryCode]],[1]!Table1[#Data],4,FALSE)</f>
        <v>#REF!</v>
      </c>
    </row>
    <row r="4227" spans="1:12" hidden="1" x14ac:dyDescent="0.3">
      <c r="A4227" t="s">
        <v>109</v>
      </c>
      <c r="B4227" t="s">
        <v>110</v>
      </c>
      <c r="C4227" t="s">
        <v>125</v>
      </c>
      <c r="D4227" t="s">
        <v>126</v>
      </c>
      <c r="E4227">
        <v>2013</v>
      </c>
      <c r="F4227" s="1">
        <v>8</v>
      </c>
      <c r="G4227">
        <v>2010</v>
      </c>
      <c r="H4227">
        <f>AVERAGEIFS(Table1[value],Table1[IndicatorCode],Table1[[#This Row],[IndicatorCode]])</f>
        <v>7.6894248608534319</v>
      </c>
      <c r="I4227" cm="1">
        <f t="array" ref="I4227">_xlfn.STDEV.P(IF(Table1[IndicatorCode]=Table1[[#This Row],[IndicatorCode]],Table1[value]))</f>
        <v>5.2319501044600996</v>
      </c>
      <c r="J4227">
        <f>(Table1[[#This Row],[value]] - Table1[[#This Row],[mean]]) / Table1[[#This Row],[std_dev]]</f>
        <v>5.9361257838030791E-2</v>
      </c>
      <c r="K4227">
        <f>AVERAGEIF(Table1[CountryCode],Table1[[#This Row],[CountryCode]],Table1[z-score])</f>
        <v>5.4192965202863402E-2</v>
      </c>
      <c r="L4227" t="e">
        <f>VLOOKUP(Table1[[#This Row],[CountryCode]],[1]!Table1[#Data],4,FALSE)</f>
        <v>#REF!</v>
      </c>
    </row>
    <row r="4228" spans="1:12" hidden="1" x14ac:dyDescent="0.3">
      <c r="A4228" t="s">
        <v>109</v>
      </c>
      <c r="B4228" t="s">
        <v>110</v>
      </c>
      <c r="C4228" t="s">
        <v>125</v>
      </c>
      <c r="D4228" t="s">
        <v>126</v>
      </c>
      <c r="E4228">
        <v>2014</v>
      </c>
      <c r="F4228" s="1">
        <v>7</v>
      </c>
      <c r="G4228">
        <v>2010</v>
      </c>
      <c r="H4228">
        <f>AVERAGEIFS(Table1[value],Table1[IndicatorCode],Table1[[#This Row],[IndicatorCode]])</f>
        <v>7.6894248608534319</v>
      </c>
      <c r="I4228" cm="1">
        <f t="array" ref="I4228">_xlfn.STDEV.P(IF(Table1[IndicatorCode]=Table1[[#This Row],[IndicatorCode]],Table1[value]))</f>
        <v>5.2319501044600996</v>
      </c>
      <c r="J4228">
        <f>(Table1[[#This Row],[value]] - Table1[[#This Row],[mean]]) / Table1[[#This Row],[std_dev]]</f>
        <v>-0.13177206339672762</v>
      </c>
      <c r="K4228">
        <f>AVERAGEIF(Table1[CountryCode],Table1[[#This Row],[CountryCode]],Table1[z-score])</f>
        <v>5.4192965202863402E-2</v>
      </c>
      <c r="L4228" t="e">
        <f>VLOOKUP(Table1[[#This Row],[CountryCode]],[1]!Table1[#Data],4,FALSE)</f>
        <v>#REF!</v>
      </c>
    </row>
    <row r="4229" spans="1:12" hidden="1" x14ac:dyDescent="0.3">
      <c r="A4229" t="s">
        <v>109</v>
      </c>
      <c r="B4229" t="s">
        <v>110</v>
      </c>
      <c r="C4229" t="s">
        <v>125</v>
      </c>
      <c r="D4229" t="s">
        <v>126</v>
      </c>
      <c r="E4229">
        <v>2015</v>
      </c>
      <c r="F4229" s="1">
        <v>7</v>
      </c>
      <c r="G4229">
        <v>2010</v>
      </c>
      <c r="H4229">
        <f>AVERAGEIFS(Table1[value],Table1[IndicatorCode],Table1[[#This Row],[IndicatorCode]])</f>
        <v>7.6894248608534319</v>
      </c>
      <c r="I4229" cm="1">
        <f t="array" ref="I4229">_xlfn.STDEV.P(IF(Table1[IndicatorCode]=Table1[[#This Row],[IndicatorCode]],Table1[value]))</f>
        <v>5.2319501044600996</v>
      </c>
      <c r="J4229">
        <f>(Table1[[#This Row],[value]] - Table1[[#This Row],[mean]]) / Table1[[#This Row],[std_dev]]</f>
        <v>-0.13177206339672762</v>
      </c>
      <c r="K4229">
        <f>AVERAGEIF(Table1[CountryCode],Table1[[#This Row],[CountryCode]],Table1[z-score])</f>
        <v>5.4192965202863402E-2</v>
      </c>
      <c r="L4229" t="e">
        <f>VLOOKUP(Table1[[#This Row],[CountryCode]],[1]!Table1[#Data],4,FALSE)</f>
        <v>#REF!</v>
      </c>
    </row>
    <row r="4230" spans="1:12" hidden="1" x14ac:dyDescent="0.3">
      <c r="A4230" t="s">
        <v>109</v>
      </c>
      <c r="B4230" t="s">
        <v>110</v>
      </c>
      <c r="C4230" t="s">
        <v>125</v>
      </c>
      <c r="D4230" t="s">
        <v>126</v>
      </c>
      <c r="E4230">
        <v>2016</v>
      </c>
      <c r="F4230" s="1">
        <v>7</v>
      </c>
      <c r="G4230">
        <v>2010</v>
      </c>
      <c r="H4230">
        <f>AVERAGEIFS(Table1[value],Table1[IndicatorCode],Table1[[#This Row],[IndicatorCode]])</f>
        <v>7.6894248608534319</v>
      </c>
      <c r="I4230" cm="1">
        <f t="array" ref="I4230">_xlfn.STDEV.P(IF(Table1[IndicatorCode]=Table1[[#This Row],[IndicatorCode]],Table1[value]))</f>
        <v>5.2319501044600996</v>
      </c>
      <c r="J4230">
        <f>(Table1[[#This Row],[value]] - Table1[[#This Row],[mean]]) / Table1[[#This Row],[std_dev]]</f>
        <v>-0.13177206339672762</v>
      </c>
      <c r="K4230">
        <f>AVERAGEIF(Table1[CountryCode],Table1[[#This Row],[CountryCode]],Table1[z-score])</f>
        <v>5.4192965202863402E-2</v>
      </c>
      <c r="L4230" t="e">
        <f>VLOOKUP(Table1[[#This Row],[CountryCode]],[1]!Table1[#Data],4,FALSE)</f>
        <v>#REF!</v>
      </c>
    </row>
    <row r="4231" spans="1:12" hidden="1" x14ac:dyDescent="0.3">
      <c r="A4231" t="s">
        <v>109</v>
      </c>
      <c r="B4231" t="s">
        <v>110</v>
      </c>
      <c r="C4231" t="s">
        <v>125</v>
      </c>
      <c r="D4231" t="s">
        <v>126</v>
      </c>
      <c r="E4231">
        <v>2017</v>
      </c>
      <c r="F4231" s="1">
        <v>7</v>
      </c>
      <c r="G4231">
        <v>2020</v>
      </c>
      <c r="H4231">
        <f>AVERAGEIFS(Table1[value],Table1[IndicatorCode],Table1[[#This Row],[IndicatorCode]])</f>
        <v>7.6894248608534319</v>
      </c>
      <c r="I4231" cm="1">
        <f t="array" ref="I4231">_xlfn.STDEV.P(IF(Table1[IndicatorCode]=Table1[[#This Row],[IndicatorCode]],Table1[value]))</f>
        <v>5.2319501044600996</v>
      </c>
      <c r="J4231">
        <f>(Table1[[#This Row],[value]] - Table1[[#This Row],[mean]]) / Table1[[#This Row],[std_dev]]</f>
        <v>-0.13177206339672762</v>
      </c>
      <c r="K4231">
        <f>AVERAGEIF(Table1[CountryCode],Table1[[#This Row],[CountryCode]],Table1[z-score])</f>
        <v>5.4192965202863402E-2</v>
      </c>
      <c r="L4231" t="e">
        <f>VLOOKUP(Table1[[#This Row],[CountryCode]],[1]!Table1[#Data],4,FALSE)</f>
        <v>#REF!</v>
      </c>
    </row>
    <row r="4232" spans="1:12" hidden="1" x14ac:dyDescent="0.3">
      <c r="A4232" t="s">
        <v>109</v>
      </c>
      <c r="B4232" t="s">
        <v>110</v>
      </c>
      <c r="C4232" t="s">
        <v>125</v>
      </c>
      <c r="D4232" t="s">
        <v>126</v>
      </c>
      <c r="E4232">
        <v>2018</v>
      </c>
      <c r="F4232" s="1">
        <v>7</v>
      </c>
      <c r="G4232">
        <v>2020</v>
      </c>
      <c r="H4232">
        <f>AVERAGEIFS(Table1[value],Table1[IndicatorCode],Table1[[#This Row],[IndicatorCode]])</f>
        <v>7.6894248608534319</v>
      </c>
      <c r="I4232" cm="1">
        <f t="array" ref="I4232">_xlfn.STDEV.P(IF(Table1[IndicatorCode]=Table1[[#This Row],[IndicatorCode]],Table1[value]))</f>
        <v>5.2319501044600996</v>
      </c>
      <c r="J4232">
        <f>(Table1[[#This Row],[value]] - Table1[[#This Row],[mean]]) / Table1[[#This Row],[std_dev]]</f>
        <v>-0.13177206339672762</v>
      </c>
      <c r="K4232">
        <f>AVERAGEIF(Table1[CountryCode],Table1[[#This Row],[CountryCode]],Table1[z-score])</f>
        <v>5.4192965202863402E-2</v>
      </c>
      <c r="L4232" t="e">
        <f>VLOOKUP(Table1[[#This Row],[CountryCode]],[1]!Table1[#Data],4,FALSE)</f>
        <v>#REF!</v>
      </c>
    </row>
    <row r="4233" spans="1:12" hidden="1" x14ac:dyDescent="0.3">
      <c r="A4233" t="s">
        <v>109</v>
      </c>
      <c r="B4233" t="s">
        <v>110</v>
      </c>
      <c r="C4233" t="s">
        <v>125</v>
      </c>
      <c r="D4233" t="s">
        <v>126</v>
      </c>
      <c r="E4233">
        <v>2019</v>
      </c>
      <c r="F4233" s="1">
        <v>7</v>
      </c>
      <c r="G4233">
        <v>2020</v>
      </c>
      <c r="H4233">
        <f>AVERAGEIFS(Table1[value],Table1[IndicatorCode],Table1[[#This Row],[IndicatorCode]])</f>
        <v>7.6894248608534319</v>
      </c>
      <c r="I4233" cm="1">
        <f t="array" ref="I4233">_xlfn.STDEV.P(IF(Table1[IndicatorCode]=Table1[[#This Row],[IndicatorCode]],Table1[value]))</f>
        <v>5.2319501044600996</v>
      </c>
      <c r="J4233">
        <f>(Table1[[#This Row],[value]] - Table1[[#This Row],[mean]]) / Table1[[#This Row],[std_dev]]</f>
        <v>-0.13177206339672762</v>
      </c>
      <c r="K4233">
        <f>AVERAGEIF(Table1[CountryCode],Table1[[#This Row],[CountryCode]],Table1[z-score])</f>
        <v>5.4192965202863402E-2</v>
      </c>
      <c r="L4233" t="e">
        <f>VLOOKUP(Table1[[#This Row],[CountryCode]],[1]!Table1[#Data],4,FALSE)</f>
        <v>#REF!</v>
      </c>
    </row>
    <row r="4234" spans="1:12" x14ac:dyDescent="0.3">
      <c r="A4234" t="s">
        <v>109</v>
      </c>
      <c r="B4234" t="s">
        <v>110</v>
      </c>
      <c r="C4234" t="s">
        <v>125</v>
      </c>
      <c r="D4234" t="s">
        <v>126</v>
      </c>
      <c r="E4234">
        <v>2020</v>
      </c>
      <c r="F4234" s="1">
        <v>6</v>
      </c>
      <c r="G4234">
        <v>2020</v>
      </c>
      <c r="H4234">
        <f>AVERAGEIFS(Table1[value],Table1[IndicatorCode],Table1[[#This Row],[IndicatorCode]])</f>
        <v>7.6894248608534319</v>
      </c>
      <c r="I4234" cm="1">
        <f t="array" ref="I4234">_xlfn.STDEV.P(IF(Table1[IndicatorCode]=Table1[[#This Row],[IndicatorCode]],Table1[value]))</f>
        <v>5.2319501044600996</v>
      </c>
      <c r="J4234">
        <f>(Table1[[#This Row],[value]] - Table1[[#This Row],[mean]]) / Table1[[#This Row],[std_dev]]</f>
        <v>-0.32290538463148605</v>
      </c>
      <c r="K4234">
        <f>AVERAGEIF(Table1[CountryCode],Table1[[#This Row],[CountryCode]],Table1[z-score])</f>
        <v>5.4192965202863402E-2</v>
      </c>
    </row>
    <row r="4235" spans="1:12" hidden="1" x14ac:dyDescent="0.3">
      <c r="A4235" t="s">
        <v>109</v>
      </c>
      <c r="B4235" t="s">
        <v>110</v>
      </c>
      <c r="C4235" t="s">
        <v>125</v>
      </c>
      <c r="D4235" t="s">
        <v>126</v>
      </c>
      <c r="E4235">
        <v>2021</v>
      </c>
      <c r="F4235" s="1">
        <v>7</v>
      </c>
      <c r="G4235">
        <v>2020</v>
      </c>
      <c r="H4235">
        <f>AVERAGEIFS(Table1[value],Table1[IndicatorCode],Table1[[#This Row],[IndicatorCode]])</f>
        <v>7.6894248608534319</v>
      </c>
      <c r="I4235" cm="1">
        <f t="array" ref="I4235">_xlfn.STDEV.P(IF(Table1[IndicatorCode]=Table1[[#This Row],[IndicatorCode]],Table1[value]))</f>
        <v>5.2319501044600996</v>
      </c>
      <c r="J4235">
        <f>(Table1[[#This Row],[value]] - Table1[[#This Row],[mean]]) / Table1[[#This Row],[std_dev]]</f>
        <v>-0.13177206339672762</v>
      </c>
      <c r="K4235">
        <f>AVERAGEIF(Table1[CountryCode],Table1[[#This Row],[CountryCode]],Table1[z-score])</f>
        <v>5.4192965202863402E-2</v>
      </c>
      <c r="L4235" t="e">
        <f>VLOOKUP(Table1[[#This Row],[CountryCode]],[1]!Table1[#Data],4,FALSE)</f>
        <v>#REF!</v>
      </c>
    </row>
    <row r="4236" spans="1:12" hidden="1" x14ac:dyDescent="0.3">
      <c r="A4236" t="s">
        <v>109</v>
      </c>
      <c r="B4236" t="s">
        <v>110</v>
      </c>
      <c r="C4236" t="s">
        <v>125</v>
      </c>
      <c r="D4236" t="s">
        <v>126</v>
      </c>
      <c r="E4236">
        <v>2022</v>
      </c>
      <c r="F4236" s="1">
        <v>6</v>
      </c>
      <c r="G4236">
        <v>1970</v>
      </c>
      <c r="H4236">
        <f>AVERAGEIFS(Table1[value],Table1[IndicatorCode],Table1[[#This Row],[IndicatorCode]])</f>
        <v>7.6894248608534319</v>
      </c>
      <c r="I4236" cm="1">
        <f t="array" ref="I4236">_xlfn.STDEV.P(IF(Table1[IndicatorCode]=Table1[[#This Row],[IndicatorCode]],Table1[value]))</f>
        <v>5.2319501044600996</v>
      </c>
      <c r="J4236">
        <f>(Table1[[#This Row],[value]] - Table1[[#This Row],[mean]]) / Table1[[#This Row],[std_dev]]</f>
        <v>-0.32290538463148605</v>
      </c>
      <c r="K4236">
        <f>AVERAGEIF(Table1[CountryCode],Table1[[#This Row],[CountryCode]],Table1[z-score])</f>
        <v>5.4192965202863402E-2</v>
      </c>
      <c r="L4236" t="e">
        <f>VLOOKUP(Table1[[#This Row],[CountryCode]],[1]!Table1[#Data],4,FALSE)</f>
        <v>#REF!</v>
      </c>
    </row>
    <row r="4237" spans="1:12" hidden="1" x14ac:dyDescent="0.3">
      <c r="A4237" t="s">
        <v>109</v>
      </c>
      <c r="B4237" t="s">
        <v>110</v>
      </c>
      <c r="C4237" t="s">
        <v>125</v>
      </c>
      <c r="D4237" t="s">
        <v>126</v>
      </c>
      <c r="E4237">
        <v>2023</v>
      </c>
      <c r="F4237" s="1">
        <v>6</v>
      </c>
      <c r="G4237">
        <v>1970</v>
      </c>
      <c r="H4237">
        <f>AVERAGEIFS(Table1[value],Table1[IndicatorCode],Table1[[#This Row],[IndicatorCode]])</f>
        <v>7.6894248608534319</v>
      </c>
      <c r="I4237" cm="1">
        <f t="array" ref="I4237">_xlfn.STDEV.P(IF(Table1[IndicatorCode]=Table1[[#This Row],[IndicatorCode]],Table1[value]))</f>
        <v>5.2319501044600996</v>
      </c>
      <c r="J4237">
        <f>(Table1[[#This Row],[value]] - Table1[[#This Row],[mean]]) / Table1[[#This Row],[std_dev]]</f>
        <v>-0.32290538463148605</v>
      </c>
      <c r="K4237">
        <f>AVERAGEIF(Table1[CountryCode],Table1[[#This Row],[CountryCode]],Table1[z-score])</f>
        <v>5.4192965202863402E-2</v>
      </c>
      <c r="L4237" t="e">
        <f>VLOOKUP(Table1[[#This Row],[CountryCode]],[1]!Table1[#Data],4,FALSE)</f>
        <v>#REF!</v>
      </c>
    </row>
    <row r="4238" spans="1:12" hidden="1" x14ac:dyDescent="0.3">
      <c r="A4238" t="s">
        <v>109</v>
      </c>
      <c r="B4238" t="s">
        <v>110</v>
      </c>
      <c r="C4238" t="s">
        <v>125</v>
      </c>
      <c r="D4238" t="s">
        <v>126</v>
      </c>
      <c r="E4238">
        <v>2024</v>
      </c>
      <c r="F4238" s="1">
        <v>6</v>
      </c>
      <c r="G4238">
        <v>1970</v>
      </c>
      <c r="H4238">
        <f>AVERAGEIFS(Table1[value],Table1[IndicatorCode],Table1[[#This Row],[IndicatorCode]])</f>
        <v>7.6894248608534319</v>
      </c>
      <c r="I4238" cm="1">
        <f t="array" ref="I4238">_xlfn.STDEV.P(IF(Table1[IndicatorCode]=Table1[[#This Row],[IndicatorCode]],Table1[value]))</f>
        <v>5.2319501044600996</v>
      </c>
      <c r="J4238">
        <f>(Table1[[#This Row],[value]] - Table1[[#This Row],[mean]]) / Table1[[#This Row],[std_dev]]</f>
        <v>-0.32290538463148605</v>
      </c>
      <c r="K4238">
        <f>AVERAGEIF(Table1[CountryCode],Table1[[#This Row],[CountryCode]],Table1[z-score])</f>
        <v>5.4192965202863402E-2</v>
      </c>
      <c r="L4238" t="e">
        <f>VLOOKUP(Table1[[#This Row],[CountryCode]],[1]!Table1[#Data],4,FALSE)</f>
        <v>#REF!</v>
      </c>
    </row>
    <row r="4239" spans="1:12" hidden="1" x14ac:dyDescent="0.3">
      <c r="A4239" t="s">
        <v>111</v>
      </c>
      <c r="B4239" t="s">
        <v>112</v>
      </c>
      <c r="C4239" t="s">
        <v>125</v>
      </c>
      <c r="D4239" t="s">
        <v>126</v>
      </c>
      <c r="E4239">
        <v>1970</v>
      </c>
      <c r="F4239" s="1">
        <v>12</v>
      </c>
      <c r="G4239">
        <v>1970</v>
      </c>
      <c r="H4239">
        <f>AVERAGEIFS(Table1[value],Table1[IndicatorCode],Table1[[#This Row],[IndicatorCode]])</f>
        <v>7.6894248608534319</v>
      </c>
      <c r="I4239" cm="1">
        <f t="array" ref="I4239">_xlfn.STDEV.P(IF(Table1[IndicatorCode]=Table1[[#This Row],[IndicatorCode]],Table1[value]))</f>
        <v>5.2319501044600996</v>
      </c>
      <c r="J4239">
        <f>(Table1[[#This Row],[value]] - Table1[[#This Row],[mean]]) / Table1[[#This Row],[std_dev]]</f>
        <v>0.82389454277706442</v>
      </c>
      <c r="K4239">
        <f>AVERAGEIF(Table1[CountryCode],Table1[[#This Row],[CountryCode]],Table1[z-score])</f>
        <v>0.37952535202791182</v>
      </c>
      <c r="L4239" t="e">
        <f>VLOOKUP(Table1[[#This Row],[CountryCode]],[1]!Table1[#Data],4,FALSE)</f>
        <v>#REF!</v>
      </c>
    </row>
    <row r="4240" spans="1:12" hidden="1" x14ac:dyDescent="0.3">
      <c r="A4240" t="s">
        <v>111</v>
      </c>
      <c r="B4240" t="s">
        <v>112</v>
      </c>
      <c r="C4240" t="s">
        <v>125</v>
      </c>
      <c r="D4240" t="s">
        <v>126</v>
      </c>
      <c r="E4240">
        <v>1971</v>
      </c>
      <c r="F4240" s="1">
        <v>11</v>
      </c>
      <c r="G4240">
        <v>1970</v>
      </c>
      <c r="H4240">
        <f>AVERAGEIFS(Table1[value],Table1[IndicatorCode],Table1[[#This Row],[IndicatorCode]])</f>
        <v>7.6894248608534319</v>
      </c>
      <c r="I4240" cm="1">
        <f t="array" ref="I4240">_xlfn.STDEV.P(IF(Table1[IndicatorCode]=Table1[[#This Row],[IndicatorCode]],Table1[value]))</f>
        <v>5.2319501044600996</v>
      </c>
      <c r="J4240">
        <f>(Table1[[#This Row],[value]] - Table1[[#This Row],[mean]]) / Table1[[#This Row],[std_dev]]</f>
        <v>0.63276122154230596</v>
      </c>
      <c r="K4240">
        <f>AVERAGEIF(Table1[CountryCode],Table1[[#This Row],[CountryCode]],Table1[z-score])</f>
        <v>0.37952535202791182</v>
      </c>
      <c r="L4240" t="e">
        <f>VLOOKUP(Table1[[#This Row],[CountryCode]],[1]!Table1[#Data],4,FALSE)</f>
        <v>#REF!</v>
      </c>
    </row>
    <row r="4241" spans="1:12" hidden="1" x14ac:dyDescent="0.3">
      <c r="A4241" t="s">
        <v>111</v>
      </c>
      <c r="B4241" t="s">
        <v>112</v>
      </c>
      <c r="C4241" t="s">
        <v>125</v>
      </c>
      <c r="D4241" t="s">
        <v>126</v>
      </c>
      <c r="E4241">
        <v>1972</v>
      </c>
      <c r="F4241" s="1">
        <v>11</v>
      </c>
      <c r="G4241">
        <v>1970</v>
      </c>
      <c r="H4241">
        <f>AVERAGEIFS(Table1[value],Table1[IndicatorCode],Table1[[#This Row],[IndicatorCode]])</f>
        <v>7.6894248608534319</v>
      </c>
      <c r="I4241" cm="1">
        <f t="array" ref="I4241">_xlfn.STDEV.P(IF(Table1[IndicatorCode]=Table1[[#This Row],[IndicatorCode]],Table1[value]))</f>
        <v>5.2319501044600996</v>
      </c>
      <c r="J4241">
        <f>(Table1[[#This Row],[value]] - Table1[[#This Row],[mean]]) / Table1[[#This Row],[std_dev]]</f>
        <v>0.63276122154230596</v>
      </c>
      <c r="K4241">
        <f>AVERAGEIF(Table1[CountryCode],Table1[[#This Row],[CountryCode]],Table1[z-score])</f>
        <v>0.37952535202791182</v>
      </c>
      <c r="L4241" t="e">
        <f>VLOOKUP(Table1[[#This Row],[CountryCode]],[1]!Table1[#Data],4,FALSE)</f>
        <v>#REF!</v>
      </c>
    </row>
    <row r="4242" spans="1:12" hidden="1" x14ac:dyDescent="0.3">
      <c r="A4242" t="s">
        <v>111</v>
      </c>
      <c r="B4242" t="s">
        <v>112</v>
      </c>
      <c r="C4242" t="s">
        <v>125</v>
      </c>
      <c r="D4242" t="s">
        <v>126</v>
      </c>
      <c r="E4242">
        <v>1973</v>
      </c>
      <c r="F4242" s="1">
        <v>11</v>
      </c>
      <c r="G4242">
        <v>1970</v>
      </c>
      <c r="H4242">
        <f>AVERAGEIFS(Table1[value],Table1[IndicatorCode],Table1[[#This Row],[IndicatorCode]])</f>
        <v>7.6894248608534319</v>
      </c>
      <c r="I4242" cm="1">
        <f t="array" ref="I4242">_xlfn.STDEV.P(IF(Table1[IndicatorCode]=Table1[[#This Row],[IndicatorCode]],Table1[value]))</f>
        <v>5.2319501044600996</v>
      </c>
      <c r="J4242">
        <f>(Table1[[#This Row],[value]] - Table1[[#This Row],[mean]]) / Table1[[#This Row],[std_dev]]</f>
        <v>0.63276122154230596</v>
      </c>
      <c r="K4242">
        <f>AVERAGEIF(Table1[CountryCode],Table1[[#This Row],[CountryCode]],Table1[z-score])</f>
        <v>0.37952535202791182</v>
      </c>
      <c r="L4242" t="e">
        <f>VLOOKUP(Table1[[#This Row],[CountryCode]],[1]!Table1[#Data],4,FALSE)</f>
        <v>#REF!</v>
      </c>
    </row>
    <row r="4243" spans="1:12" hidden="1" x14ac:dyDescent="0.3">
      <c r="A4243" t="s">
        <v>111</v>
      </c>
      <c r="B4243" t="s">
        <v>112</v>
      </c>
      <c r="C4243" t="s">
        <v>125</v>
      </c>
      <c r="D4243" t="s">
        <v>126</v>
      </c>
      <c r="E4243">
        <v>1974</v>
      </c>
      <c r="F4243" s="1">
        <v>10</v>
      </c>
      <c r="G4243">
        <v>1970</v>
      </c>
      <c r="H4243">
        <f>AVERAGEIFS(Table1[value],Table1[IndicatorCode],Table1[[#This Row],[IndicatorCode]])</f>
        <v>7.6894248608534319</v>
      </c>
      <c r="I4243" cm="1">
        <f t="array" ref="I4243">_xlfn.STDEV.P(IF(Table1[IndicatorCode]=Table1[[#This Row],[IndicatorCode]],Table1[value]))</f>
        <v>5.2319501044600996</v>
      </c>
      <c r="J4243">
        <f>(Table1[[#This Row],[value]] - Table1[[#This Row],[mean]]) / Table1[[#This Row],[std_dev]]</f>
        <v>0.44162790030754762</v>
      </c>
      <c r="K4243">
        <f>AVERAGEIF(Table1[CountryCode],Table1[[#This Row],[CountryCode]],Table1[z-score])</f>
        <v>0.37952535202791182</v>
      </c>
      <c r="L4243" t="e">
        <f>VLOOKUP(Table1[[#This Row],[CountryCode]],[1]!Table1[#Data],4,FALSE)</f>
        <v>#REF!</v>
      </c>
    </row>
    <row r="4244" spans="1:12" hidden="1" x14ac:dyDescent="0.3">
      <c r="A4244" t="s">
        <v>111</v>
      </c>
      <c r="B4244" t="s">
        <v>112</v>
      </c>
      <c r="C4244" t="s">
        <v>125</v>
      </c>
      <c r="D4244" t="s">
        <v>126</v>
      </c>
      <c r="E4244">
        <v>1975</v>
      </c>
      <c r="F4244" s="1">
        <v>10</v>
      </c>
      <c r="G4244">
        <v>1970</v>
      </c>
      <c r="H4244">
        <f>AVERAGEIFS(Table1[value],Table1[IndicatorCode],Table1[[#This Row],[IndicatorCode]])</f>
        <v>7.6894248608534319</v>
      </c>
      <c r="I4244" cm="1">
        <f t="array" ref="I4244">_xlfn.STDEV.P(IF(Table1[IndicatorCode]=Table1[[#This Row],[IndicatorCode]],Table1[value]))</f>
        <v>5.2319501044600996</v>
      </c>
      <c r="J4244">
        <f>(Table1[[#This Row],[value]] - Table1[[#This Row],[mean]]) / Table1[[#This Row],[std_dev]]</f>
        <v>0.44162790030754762</v>
      </c>
      <c r="K4244">
        <f>AVERAGEIF(Table1[CountryCode],Table1[[#This Row],[CountryCode]],Table1[z-score])</f>
        <v>0.37952535202791182</v>
      </c>
      <c r="L4244" t="e">
        <f>VLOOKUP(Table1[[#This Row],[CountryCode]],[1]!Table1[#Data],4,FALSE)</f>
        <v>#REF!</v>
      </c>
    </row>
    <row r="4245" spans="1:12" hidden="1" x14ac:dyDescent="0.3">
      <c r="A4245" t="s">
        <v>111</v>
      </c>
      <c r="B4245" t="s">
        <v>112</v>
      </c>
      <c r="C4245" t="s">
        <v>125</v>
      </c>
      <c r="D4245" t="s">
        <v>126</v>
      </c>
      <c r="E4245">
        <v>1976</v>
      </c>
      <c r="F4245" s="1">
        <v>11</v>
      </c>
      <c r="G4245">
        <v>1970</v>
      </c>
      <c r="H4245">
        <f>AVERAGEIFS(Table1[value],Table1[IndicatorCode],Table1[[#This Row],[IndicatorCode]])</f>
        <v>7.6894248608534319</v>
      </c>
      <c r="I4245" cm="1">
        <f t="array" ref="I4245">_xlfn.STDEV.P(IF(Table1[IndicatorCode]=Table1[[#This Row],[IndicatorCode]],Table1[value]))</f>
        <v>5.2319501044600996</v>
      </c>
      <c r="J4245">
        <f>(Table1[[#This Row],[value]] - Table1[[#This Row],[mean]]) / Table1[[#This Row],[std_dev]]</f>
        <v>0.63276122154230596</v>
      </c>
      <c r="K4245">
        <f>AVERAGEIF(Table1[CountryCode],Table1[[#This Row],[CountryCode]],Table1[z-score])</f>
        <v>0.37952535202791182</v>
      </c>
      <c r="L4245" t="e">
        <f>VLOOKUP(Table1[[#This Row],[CountryCode]],[1]!Table1[#Data],4,FALSE)</f>
        <v>#REF!</v>
      </c>
    </row>
    <row r="4246" spans="1:12" hidden="1" x14ac:dyDescent="0.3">
      <c r="A4246" t="s">
        <v>111</v>
      </c>
      <c r="B4246" t="s">
        <v>112</v>
      </c>
      <c r="C4246" t="s">
        <v>125</v>
      </c>
      <c r="D4246" t="s">
        <v>126</v>
      </c>
      <c r="E4246">
        <v>1977</v>
      </c>
      <c r="F4246" s="1">
        <v>11</v>
      </c>
      <c r="G4246">
        <v>1980</v>
      </c>
      <c r="H4246">
        <f>AVERAGEIFS(Table1[value],Table1[IndicatorCode],Table1[[#This Row],[IndicatorCode]])</f>
        <v>7.6894248608534319</v>
      </c>
      <c r="I4246" cm="1">
        <f t="array" ref="I4246">_xlfn.STDEV.P(IF(Table1[IndicatorCode]=Table1[[#This Row],[IndicatorCode]],Table1[value]))</f>
        <v>5.2319501044600996</v>
      </c>
      <c r="J4246">
        <f>(Table1[[#This Row],[value]] - Table1[[#This Row],[mean]]) / Table1[[#This Row],[std_dev]]</f>
        <v>0.63276122154230596</v>
      </c>
      <c r="K4246">
        <f>AVERAGEIF(Table1[CountryCode],Table1[[#This Row],[CountryCode]],Table1[z-score])</f>
        <v>0.37952535202791182</v>
      </c>
      <c r="L4246" t="e">
        <f>VLOOKUP(Table1[[#This Row],[CountryCode]],[1]!Table1[#Data],4,FALSE)</f>
        <v>#REF!</v>
      </c>
    </row>
    <row r="4247" spans="1:12" hidden="1" x14ac:dyDescent="0.3">
      <c r="A4247" t="s">
        <v>111</v>
      </c>
      <c r="B4247" t="s">
        <v>112</v>
      </c>
      <c r="C4247" t="s">
        <v>125</v>
      </c>
      <c r="D4247" t="s">
        <v>126</v>
      </c>
      <c r="E4247">
        <v>1978</v>
      </c>
      <c r="F4247" s="1">
        <v>10</v>
      </c>
      <c r="G4247">
        <v>1980</v>
      </c>
      <c r="H4247">
        <f>AVERAGEIFS(Table1[value],Table1[IndicatorCode],Table1[[#This Row],[IndicatorCode]])</f>
        <v>7.6894248608534319</v>
      </c>
      <c r="I4247" cm="1">
        <f t="array" ref="I4247">_xlfn.STDEV.P(IF(Table1[IndicatorCode]=Table1[[#This Row],[IndicatorCode]],Table1[value]))</f>
        <v>5.2319501044600996</v>
      </c>
      <c r="J4247">
        <f>(Table1[[#This Row],[value]] - Table1[[#This Row],[mean]]) / Table1[[#This Row],[std_dev]]</f>
        <v>0.44162790030754762</v>
      </c>
      <c r="K4247">
        <f>AVERAGEIF(Table1[CountryCode],Table1[[#This Row],[CountryCode]],Table1[z-score])</f>
        <v>0.37952535202791182</v>
      </c>
      <c r="L4247" t="e">
        <f>VLOOKUP(Table1[[#This Row],[CountryCode]],[1]!Table1[#Data],4,FALSE)</f>
        <v>#REF!</v>
      </c>
    </row>
    <row r="4248" spans="1:12" hidden="1" x14ac:dyDescent="0.3">
      <c r="A4248" t="s">
        <v>111</v>
      </c>
      <c r="B4248" t="s">
        <v>112</v>
      </c>
      <c r="C4248" t="s">
        <v>125</v>
      </c>
      <c r="D4248" t="s">
        <v>126</v>
      </c>
      <c r="E4248">
        <v>1979</v>
      </c>
      <c r="F4248" s="1">
        <v>10</v>
      </c>
      <c r="G4248">
        <v>1980</v>
      </c>
      <c r="H4248">
        <f>AVERAGEIFS(Table1[value],Table1[IndicatorCode],Table1[[#This Row],[IndicatorCode]])</f>
        <v>7.6894248608534319</v>
      </c>
      <c r="I4248" cm="1">
        <f t="array" ref="I4248">_xlfn.STDEV.P(IF(Table1[IndicatorCode]=Table1[[#This Row],[IndicatorCode]],Table1[value]))</f>
        <v>5.2319501044600996</v>
      </c>
      <c r="J4248">
        <f>(Table1[[#This Row],[value]] - Table1[[#This Row],[mean]]) / Table1[[#This Row],[std_dev]]</f>
        <v>0.44162790030754762</v>
      </c>
      <c r="K4248">
        <f>AVERAGEIF(Table1[CountryCode],Table1[[#This Row],[CountryCode]],Table1[z-score])</f>
        <v>0.37952535202791182</v>
      </c>
      <c r="L4248" t="e">
        <f>VLOOKUP(Table1[[#This Row],[CountryCode]],[1]!Table1[#Data],4,FALSE)</f>
        <v>#REF!</v>
      </c>
    </row>
    <row r="4249" spans="1:12" hidden="1" x14ac:dyDescent="0.3">
      <c r="A4249" t="s">
        <v>111</v>
      </c>
      <c r="B4249" t="s">
        <v>112</v>
      </c>
      <c r="C4249" t="s">
        <v>125</v>
      </c>
      <c r="D4249" t="s">
        <v>126</v>
      </c>
      <c r="E4249">
        <v>1980</v>
      </c>
      <c r="F4249" s="1">
        <v>9</v>
      </c>
      <c r="G4249">
        <v>1980</v>
      </c>
      <c r="H4249">
        <f>AVERAGEIFS(Table1[value],Table1[IndicatorCode],Table1[[#This Row],[IndicatorCode]])</f>
        <v>7.6894248608534319</v>
      </c>
      <c r="I4249" cm="1">
        <f t="array" ref="I4249">_xlfn.STDEV.P(IF(Table1[IndicatorCode]=Table1[[#This Row],[IndicatorCode]],Table1[value]))</f>
        <v>5.2319501044600996</v>
      </c>
      <c r="J4249">
        <f>(Table1[[#This Row],[value]] - Table1[[#This Row],[mean]]) / Table1[[#This Row],[std_dev]]</f>
        <v>0.25049457907278921</v>
      </c>
      <c r="K4249">
        <f>AVERAGEIF(Table1[CountryCode],Table1[[#This Row],[CountryCode]],Table1[z-score])</f>
        <v>0.37952535202791182</v>
      </c>
      <c r="L4249" t="e">
        <f>VLOOKUP(Table1[[#This Row],[CountryCode]],[1]!Table1[#Data],4,FALSE)</f>
        <v>#REF!</v>
      </c>
    </row>
    <row r="4250" spans="1:12" hidden="1" x14ac:dyDescent="0.3">
      <c r="A4250" t="s">
        <v>111</v>
      </c>
      <c r="B4250" t="s">
        <v>112</v>
      </c>
      <c r="C4250" t="s">
        <v>125</v>
      </c>
      <c r="D4250" t="s">
        <v>126</v>
      </c>
      <c r="E4250">
        <v>1981</v>
      </c>
      <c r="F4250" s="1">
        <v>9</v>
      </c>
      <c r="G4250">
        <v>1980</v>
      </c>
      <c r="H4250">
        <f>AVERAGEIFS(Table1[value],Table1[IndicatorCode],Table1[[#This Row],[IndicatorCode]])</f>
        <v>7.6894248608534319</v>
      </c>
      <c r="I4250" cm="1">
        <f t="array" ref="I4250">_xlfn.STDEV.P(IF(Table1[IndicatorCode]=Table1[[#This Row],[IndicatorCode]],Table1[value]))</f>
        <v>5.2319501044600996</v>
      </c>
      <c r="J4250">
        <f>(Table1[[#This Row],[value]] - Table1[[#This Row],[mean]]) / Table1[[#This Row],[std_dev]]</f>
        <v>0.25049457907278921</v>
      </c>
      <c r="K4250">
        <f>AVERAGEIF(Table1[CountryCode],Table1[[#This Row],[CountryCode]],Table1[z-score])</f>
        <v>0.37952535202791182</v>
      </c>
      <c r="L4250" t="e">
        <f>VLOOKUP(Table1[[#This Row],[CountryCode]],[1]!Table1[#Data],4,FALSE)</f>
        <v>#REF!</v>
      </c>
    </row>
    <row r="4251" spans="1:12" hidden="1" x14ac:dyDescent="0.3">
      <c r="A4251" t="s">
        <v>111</v>
      </c>
      <c r="B4251" t="s">
        <v>112</v>
      </c>
      <c r="C4251" t="s">
        <v>125</v>
      </c>
      <c r="D4251" t="s">
        <v>126</v>
      </c>
      <c r="E4251">
        <v>1982</v>
      </c>
      <c r="F4251" s="1">
        <v>8</v>
      </c>
      <c r="G4251">
        <v>1980</v>
      </c>
      <c r="H4251">
        <f>AVERAGEIFS(Table1[value],Table1[IndicatorCode],Table1[[#This Row],[IndicatorCode]])</f>
        <v>7.6894248608534319</v>
      </c>
      <c r="I4251" cm="1">
        <f t="array" ref="I4251">_xlfn.STDEV.P(IF(Table1[IndicatorCode]=Table1[[#This Row],[IndicatorCode]],Table1[value]))</f>
        <v>5.2319501044600996</v>
      </c>
      <c r="J4251">
        <f>(Table1[[#This Row],[value]] - Table1[[#This Row],[mean]]) / Table1[[#This Row],[std_dev]]</f>
        <v>5.9361257838030791E-2</v>
      </c>
      <c r="K4251">
        <f>AVERAGEIF(Table1[CountryCode],Table1[[#This Row],[CountryCode]],Table1[z-score])</f>
        <v>0.37952535202791182</v>
      </c>
      <c r="L4251" t="e">
        <f>VLOOKUP(Table1[[#This Row],[CountryCode]],[1]!Table1[#Data],4,FALSE)</f>
        <v>#REF!</v>
      </c>
    </row>
    <row r="4252" spans="1:12" hidden="1" x14ac:dyDescent="0.3">
      <c r="A4252" t="s">
        <v>111</v>
      </c>
      <c r="B4252" t="s">
        <v>112</v>
      </c>
      <c r="C4252" t="s">
        <v>125</v>
      </c>
      <c r="D4252" t="s">
        <v>126</v>
      </c>
      <c r="E4252">
        <v>1983</v>
      </c>
      <c r="F4252" s="1">
        <v>7</v>
      </c>
      <c r="G4252">
        <v>1980</v>
      </c>
      <c r="H4252">
        <f>AVERAGEIFS(Table1[value],Table1[IndicatorCode],Table1[[#This Row],[IndicatorCode]])</f>
        <v>7.6894248608534319</v>
      </c>
      <c r="I4252" cm="1">
        <f t="array" ref="I4252">_xlfn.STDEV.P(IF(Table1[IndicatorCode]=Table1[[#This Row],[IndicatorCode]],Table1[value]))</f>
        <v>5.2319501044600996</v>
      </c>
      <c r="J4252">
        <f>(Table1[[#This Row],[value]] - Table1[[#This Row],[mean]]) / Table1[[#This Row],[std_dev]]</f>
        <v>-0.13177206339672762</v>
      </c>
      <c r="K4252">
        <f>AVERAGEIF(Table1[CountryCode],Table1[[#This Row],[CountryCode]],Table1[z-score])</f>
        <v>0.37952535202791182</v>
      </c>
      <c r="L4252" t="e">
        <f>VLOOKUP(Table1[[#This Row],[CountryCode]],[1]!Table1[#Data],4,FALSE)</f>
        <v>#REF!</v>
      </c>
    </row>
    <row r="4253" spans="1:12" hidden="1" x14ac:dyDescent="0.3">
      <c r="A4253" t="s">
        <v>111</v>
      </c>
      <c r="B4253" t="s">
        <v>112</v>
      </c>
      <c r="C4253" t="s">
        <v>125</v>
      </c>
      <c r="D4253" t="s">
        <v>126</v>
      </c>
      <c r="E4253">
        <v>1984</v>
      </c>
      <c r="F4253" s="1">
        <v>7</v>
      </c>
      <c r="G4253">
        <v>1980</v>
      </c>
      <c r="H4253">
        <f>AVERAGEIFS(Table1[value],Table1[IndicatorCode],Table1[[#This Row],[IndicatorCode]])</f>
        <v>7.6894248608534319</v>
      </c>
      <c r="I4253" cm="1">
        <f t="array" ref="I4253">_xlfn.STDEV.P(IF(Table1[IndicatorCode]=Table1[[#This Row],[IndicatorCode]],Table1[value]))</f>
        <v>5.2319501044600996</v>
      </c>
      <c r="J4253">
        <f>(Table1[[#This Row],[value]] - Table1[[#This Row],[mean]]) / Table1[[#This Row],[std_dev]]</f>
        <v>-0.13177206339672762</v>
      </c>
      <c r="K4253">
        <f>AVERAGEIF(Table1[CountryCode],Table1[[#This Row],[CountryCode]],Table1[z-score])</f>
        <v>0.37952535202791182</v>
      </c>
      <c r="L4253" t="e">
        <f>VLOOKUP(Table1[[#This Row],[CountryCode]],[1]!Table1[#Data],4,FALSE)</f>
        <v>#REF!</v>
      </c>
    </row>
    <row r="4254" spans="1:12" hidden="1" x14ac:dyDescent="0.3">
      <c r="A4254" t="s">
        <v>111</v>
      </c>
      <c r="B4254" t="s">
        <v>112</v>
      </c>
      <c r="C4254" t="s">
        <v>125</v>
      </c>
      <c r="D4254" t="s">
        <v>126</v>
      </c>
      <c r="E4254">
        <v>1985</v>
      </c>
      <c r="F4254" s="1">
        <v>7</v>
      </c>
      <c r="G4254">
        <v>1980</v>
      </c>
      <c r="H4254">
        <f>AVERAGEIFS(Table1[value],Table1[IndicatorCode],Table1[[#This Row],[IndicatorCode]])</f>
        <v>7.6894248608534319</v>
      </c>
      <c r="I4254" cm="1">
        <f t="array" ref="I4254">_xlfn.STDEV.P(IF(Table1[IndicatorCode]=Table1[[#This Row],[IndicatorCode]],Table1[value]))</f>
        <v>5.2319501044600996</v>
      </c>
      <c r="J4254">
        <f>(Table1[[#This Row],[value]] - Table1[[#This Row],[mean]]) / Table1[[#This Row],[std_dev]]</f>
        <v>-0.13177206339672762</v>
      </c>
      <c r="K4254">
        <f>AVERAGEIF(Table1[CountryCode],Table1[[#This Row],[CountryCode]],Table1[z-score])</f>
        <v>0.37952535202791182</v>
      </c>
      <c r="L4254" t="e">
        <f>VLOOKUP(Table1[[#This Row],[CountryCode]],[1]!Table1[#Data],4,FALSE)</f>
        <v>#REF!</v>
      </c>
    </row>
    <row r="4255" spans="1:12" hidden="1" x14ac:dyDescent="0.3">
      <c r="A4255" t="s">
        <v>111</v>
      </c>
      <c r="B4255" t="s">
        <v>112</v>
      </c>
      <c r="C4255" t="s">
        <v>125</v>
      </c>
      <c r="D4255" t="s">
        <v>126</v>
      </c>
      <c r="E4255">
        <v>1986</v>
      </c>
      <c r="F4255" s="1">
        <v>8</v>
      </c>
      <c r="G4255">
        <v>1980</v>
      </c>
      <c r="H4255">
        <f>AVERAGEIFS(Table1[value],Table1[IndicatorCode],Table1[[#This Row],[IndicatorCode]])</f>
        <v>7.6894248608534319</v>
      </c>
      <c r="I4255" cm="1">
        <f t="array" ref="I4255">_xlfn.STDEV.P(IF(Table1[IndicatorCode]=Table1[[#This Row],[IndicatorCode]],Table1[value]))</f>
        <v>5.2319501044600996</v>
      </c>
      <c r="J4255">
        <f>(Table1[[#This Row],[value]] - Table1[[#This Row],[mean]]) / Table1[[#This Row],[std_dev]]</f>
        <v>5.9361257838030791E-2</v>
      </c>
      <c r="K4255">
        <f>AVERAGEIF(Table1[CountryCode],Table1[[#This Row],[CountryCode]],Table1[z-score])</f>
        <v>0.37952535202791182</v>
      </c>
      <c r="L4255" t="e">
        <f>VLOOKUP(Table1[[#This Row],[CountryCode]],[1]!Table1[#Data],4,FALSE)</f>
        <v>#REF!</v>
      </c>
    </row>
    <row r="4256" spans="1:12" hidden="1" x14ac:dyDescent="0.3">
      <c r="A4256" t="s">
        <v>111</v>
      </c>
      <c r="B4256" t="s">
        <v>112</v>
      </c>
      <c r="C4256" t="s">
        <v>125</v>
      </c>
      <c r="D4256" t="s">
        <v>126</v>
      </c>
      <c r="E4256">
        <v>1987</v>
      </c>
      <c r="F4256" s="1">
        <v>7</v>
      </c>
      <c r="G4256">
        <v>1990</v>
      </c>
      <c r="H4256">
        <f>AVERAGEIFS(Table1[value],Table1[IndicatorCode],Table1[[#This Row],[IndicatorCode]])</f>
        <v>7.6894248608534319</v>
      </c>
      <c r="I4256" cm="1">
        <f t="array" ref="I4256">_xlfn.STDEV.P(IF(Table1[IndicatorCode]=Table1[[#This Row],[IndicatorCode]],Table1[value]))</f>
        <v>5.2319501044600996</v>
      </c>
      <c r="J4256">
        <f>(Table1[[#This Row],[value]] - Table1[[#This Row],[mean]]) / Table1[[#This Row],[std_dev]]</f>
        <v>-0.13177206339672762</v>
      </c>
      <c r="K4256">
        <f>AVERAGEIF(Table1[CountryCode],Table1[[#This Row],[CountryCode]],Table1[z-score])</f>
        <v>0.37952535202791182</v>
      </c>
      <c r="L4256" t="e">
        <f>VLOOKUP(Table1[[#This Row],[CountryCode]],[1]!Table1[#Data],4,FALSE)</f>
        <v>#REF!</v>
      </c>
    </row>
    <row r="4257" spans="1:12" hidden="1" x14ac:dyDescent="0.3">
      <c r="A4257" t="s">
        <v>111</v>
      </c>
      <c r="B4257" t="s">
        <v>112</v>
      </c>
      <c r="C4257" t="s">
        <v>125</v>
      </c>
      <c r="D4257" t="s">
        <v>126</v>
      </c>
      <c r="E4257">
        <v>1988</v>
      </c>
      <c r="F4257" s="1">
        <v>7</v>
      </c>
      <c r="G4257">
        <v>1990</v>
      </c>
      <c r="H4257">
        <f>AVERAGEIFS(Table1[value],Table1[IndicatorCode],Table1[[#This Row],[IndicatorCode]])</f>
        <v>7.6894248608534319</v>
      </c>
      <c r="I4257" cm="1">
        <f t="array" ref="I4257">_xlfn.STDEV.P(IF(Table1[IndicatorCode]=Table1[[#This Row],[IndicatorCode]],Table1[value]))</f>
        <v>5.2319501044600996</v>
      </c>
      <c r="J4257">
        <f>(Table1[[#This Row],[value]] - Table1[[#This Row],[mean]]) / Table1[[#This Row],[std_dev]]</f>
        <v>-0.13177206339672762</v>
      </c>
      <c r="K4257">
        <f>AVERAGEIF(Table1[CountryCode],Table1[[#This Row],[CountryCode]],Table1[z-score])</f>
        <v>0.37952535202791182</v>
      </c>
      <c r="L4257" t="e">
        <f>VLOOKUP(Table1[[#This Row],[CountryCode]],[1]!Table1[#Data],4,FALSE)</f>
        <v>#REF!</v>
      </c>
    </row>
    <row r="4258" spans="1:12" hidden="1" x14ac:dyDescent="0.3">
      <c r="A4258" t="s">
        <v>111</v>
      </c>
      <c r="B4258" t="s">
        <v>112</v>
      </c>
      <c r="C4258" t="s">
        <v>125</v>
      </c>
      <c r="D4258" t="s">
        <v>126</v>
      </c>
      <c r="E4258">
        <v>1989</v>
      </c>
      <c r="F4258" s="1">
        <v>7</v>
      </c>
      <c r="G4258">
        <v>1990</v>
      </c>
      <c r="H4258">
        <f>AVERAGEIFS(Table1[value],Table1[IndicatorCode],Table1[[#This Row],[IndicatorCode]])</f>
        <v>7.6894248608534319</v>
      </c>
      <c r="I4258" cm="1">
        <f t="array" ref="I4258">_xlfn.STDEV.P(IF(Table1[IndicatorCode]=Table1[[#This Row],[IndicatorCode]],Table1[value]))</f>
        <v>5.2319501044600996</v>
      </c>
      <c r="J4258">
        <f>(Table1[[#This Row],[value]] - Table1[[#This Row],[mean]]) / Table1[[#This Row],[std_dev]]</f>
        <v>-0.13177206339672762</v>
      </c>
      <c r="K4258">
        <f>AVERAGEIF(Table1[CountryCode],Table1[[#This Row],[CountryCode]],Table1[z-score])</f>
        <v>0.37952535202791182</v>
      </c>
      <c r="L4258" t="e">
        <f>VLOOKUP(Table1[[#This Row],[CountryCode]],[1]!Table1[#Data],4,FALSE)</f>
        <v>#REF!</v>
      </c>
    </row>
    <row r="4259" spans="1:12" hidden="1" x14ac:dyDescent="0.3">
      <c r="A4259" t="s">
        <v>111</v>
      </c>
      <c r="B4259" t="s">
        <v>112</v>
      </c>
      <c r="C4259" t="s">
        <v>125</v>
      </c>
      <c r="D4259" t="s">
        <v>126</v>
      </c>
      <c r="E4259">
        <v>1990</v>
      </c>
      <c r="F4259" s="1">
        <v>7</v>
      </c>
      <c r="G4259">
        <v>1990</v>
      </c>
      <c r="H4259">
        <f>AVERAGEIFS(Table1[value],Table1[IndicatorCode],Table1[[#This Row],[IndicatorCode]])</f>
        <v>7.6894248608534319</v>
      </c>
      <c r="I4259" cm="1">
        <f t="array" ref="I4259">_xlfn.STDEV.P(IF(Table1[IndicatorCode]=Table1[[#This Row],[IndicatorCode]],Table1[value]))</f>
        <v>5.2319501044600996</v>
      </c>
      <c r="J4259">
        <f>(Table1[[#This Row],[value]] - Table1[[#This Row],[mean]]) / Table1[[#This Row],[std_dev]]</f>
        <v>-0.13177206339672762</v>
      </c>
      <c r="K4259">
        <f>AVERAGEIF(Table1[CountryCode],Table1[[#This Row],[CountryCode]],Table1[z-score])</f>
        <v>0.37952535202791182</v>
      </c>
      <c r="L4259" t="e">
        <f>VLOOKUP(Table1[[#This Row],[CountryCode]],[1]!Table1[#Data],4,FALSE)</f>
        <v>#REF!</v>
      </c>
    </row>
    <row r="4260" spans="1:12" hidden="1" x14ac:dyDescent="0.3">
      <c r="A4260" t="s">
        <v>111</v>
      </c>
      <c r="B4260" t="s">
        <v>112</v>
      </c>
      <c r="C4260" t="s">
        <v>125</v>
      </c>
      <c r="D4260" t="s">
        <v>126</v>
      </c>
      <c r="E4260">
        <v>1991</v>
      </c>
      <c r="F4260" s="1">
        <v>7</v>
      </c>
      <c r="G4260">
        <v>1990</v>
      </c>
      <c r="H4260">
        <f>AVERAGEIFS(Table1[value],Table1[IndicatorCode],Table1[[#This Row],[IndicatorCode]])</f>
        <v>7.6894248608534319</v>
      </c>
      <c r="I4260" cm="1">
        <f t="array" ref="I4260">_xlfn.STDEV.P(IF(Table1[IndicatorCode]=Table1[[#This Row],[IndicatorCode]],Table1[value]))</f>
        <v>5.2319501044600996</v>
      </c>
      <c r="J4260">
        <f>(Table1[[#This Row],[value]] - Table1[[#This Row],[mean]]) / Table1[[#This Row],[std_dev]]</f>
        <v>-0.13177206339672762</v>
      </c>
      <c r="K4260">
        <f>AVERAGEIF(Table1[CountryCode],Table1[[#This Row],[CountryCode]],Table1[z-score])</f>
        <v>0.37952535202791182</v>
      </c>
      <c r="L4260" t="e">
        <f>VLOOKUP(Table1[[#This Row],[CountryCode]],[1]!Table1[#Data],4,FALSE)</f>
        <v>#REF!</v>
      </c>
    </row>
    <row r="4261" spans="1:12" hidden="1" x14ac:dyDescent="0.3">
      <c r="A4261" t="s">
        <v>111</v>
      </c>
      <c r="B4261" t="s">
        <v>112</v>
      </c>
      <c r="C4261" t="s">
        <v>125</v>
      </c>
      <c r="D4261" t="s">
        <v>126</v>
      </c>
      <c r="E4261">
        <v>1992</v>
      </c>
      <c r="F4261" s="1">
        <v>7</v>
      </c>
      <c r="G4261">
        <v>1990</v>
      </c>
      <c r="H4261">
        <f>AVERAGEIFS(Table1[value],Table1[IndicatorCode],Table1[[#This Row],[IndicatorCode]])</f>
        <v>7.6894248608534319</v>
      </c>
      <c r="I4261" cm="1">
        <f t="array" ref="I4261">_xlfn.STDEV.P(IF(Table1[IndicatorCode]=Table1[[#This Row],[IndicatorCode]],Table1[value]))</f>
        <v>5.2319501044600996</v>
      </c>
      <c r="J4261">
        <f>(Table1[[#This Row],[value]] - Table1[[#This Row],[mean]]) / Table1[[#This Row],[std_dev]]</f>
        <v>-0.13177206339672762</v>
      </c>
      <c r="K4261">
        <f>AVERAGEIF(Table1[CountryCode],Table1[[#This Row],[CountryCode]],Table1[z-score])</f>
        <v>0.37952535202791182</v>
      </c>
      <c r="L4261" t="e">
        <f>VLOOKUP(Table1[[#This Row],[CountryCode]],[1]!Table1[#Data],4,FALSE)</f>
        <v>#REF!</v>
      </c>
    </row>
    <row r="4262" spans="1:12" hidden="1" x14ac:dyDescent="0.3">
      <c r="A4262" t="s">
        <v>111</v>
      </c>
      <c r="B4262" t="s">
        <v>112</v>
      </c>
      <c r="C4262" t="s">
        <v>125</v>
      </c>
      <c r="D4262" t="s">
        <v>126</v>
      </c>
      <c r="E4262">
        <v>1993</v>
      </c>
      <c r="F4262" s="1">
        <v>7</v>
      </c>
      <c r="G4262">
        <v>1990</v>
      </c>
      <c r="H4262">
        <f>AVERAGEIFS(Table1[value],Table1[IndicatorCode],Table1[[#This Row],[IndicatorCode]])</f>
        <v>7.6894248608534319</v>
      </c>
      <c r="I4262" cm="1">
        <f t="array" ref="I4262">_xlfn.STDEV.P(IF(Table1[IndicatorCode]=Table1[[#This Row],[IndicatorCode]],Table1[value]))</f>
        <v>5.2319501044600996</v>
      </c>
      <c r="J4262">
        <f>(Table1[[#This Row],[value]] - Table1[[#This Row],[mean]]) / Table1[[#This Row],[std_dev]]</f>
        <v>-0.13177206339672762</v>
      </c>
      <c r="K4262">
        <f>AVERAGEIF(Table1[CountryCode],Table1[[#This Row],[CountryCode]],Table1[z-score])</f>
        <v>0.37952535202791182</v>
      </c>
      <c r="L4262" t="e">
        <f>VLOOKUP(Table1[[#This Row],[CountryCode]],[1]!Table1[#Data],4,FALSE)</f>
        <v>#REF!</v>
      </c>
    </row>
    <row r="4263" spans="1:12" hidden="1" x14ac:dyDescent="0.3">
      <c r="A4263" t="s">
        <v>111</v>
      </c>
      <c r="B4263" t="s">
        <v>112</v>
      </c>
      <c r="C4263" t="s">
        <v>125</v>
      </c>
      <c r="D4263" t="s">
        <v>126</v>
      </c>
      <c r="E4263">
        <v>1994</v>
      </c>
      <c r="F4263" s="1">
        <v>7</v>
      </c>
      <c r="G4263">
        <v>1990</v>
      </c>
      <c r="H4263">
        <f>AVERAGEIFS(Table1[value],Table1[IndicatorCode],Table1[[#This Row],[IndicatorCode]])</f>
        <v>7.6894248608534319</v>
      </c>
      <c r="I4263" cm="1">
        <f t="array" ref="I4263">_xlfn.STDEV.P(IF(Table1[IndicatorCode]=Table1[[#This Row],[IndicatorCode]],Table1[value]))</f>
        <v>5.2319501044600996</v>
      </c>
      <c r="J4263">
        <f>(Table1[[#This Row],[value]] - Table1[[#This Row],[mean]]) / Table1[[#This Row],[std_dev]]</f>
        <v>-0.13177206339672762</v>
      </c>
      <c r="K4263">
        <f>AVERAGEIF(Table1[CountryCode],Table1[[#This Row],[CountryCode]],Table1[z-score])</f>
        <v>0.37952535202791182</v>
      </c>
      <c r="L4263" t="e">
        <f>VLOOKUP(Table1[[#This Row],[CountryCode]],[1]!Table1[#Data],4,FALSE)</f>
        <v>#REF!</v>
      </c>
    </row>
    <row r="4264" spans="1:12" hidden="1" x14ac:dyDescent="0.3">
      <c r="A4264" t="s">
        <v>111</v>
      </c>
      <c r="B4264" t="s">
        <v>112</v>
      </c>
      <c r="C4264" t="s">
        <v>125</v>
      </c>
      <c r="D4264" t="s">
        <v>126</v>
      </c>
      <c r="E4264">
        <v>1995</v>
      </c>
      <c r="F4264" s="1">
        <v>7</v>
      </c>
      <c r="G4264">
        <v>1990</v>
      </c>
      <c r="H4264">
        <f>AVERAGEIFS(Table1[value],Table1[IndicatorCode],Table1[[#This Row],[IndicatorCode]])</f>
        <v>7.6894248608534319</v>
      </c>
      <c r="I4264" cm="1">
        <f t="array" ref="I4264">_xlfn.STDEV.P(IF(Table1[IndicatorCode]=Table1[[#This Row],[IndicatorCode]],Table1[value]))</f>
        <v>5.2319501044600996</v>
      </c>
      <c r="J4264">
        <f>(Table1[[#This Row],[value]] - Table1[[#This Row],[mean]]) / Table1[[#This Row],[std_dev]]</f>
        <v>-0.13177206339672762</v>
      </c>
      <c r="K4264">
        <f>AVERAGEIF(Table1[CountryCode],Table1[[#This Row],[CountryCode]],Table1[z-score])</f>
        <v>0.37952535202791182</v>
      </c>
      <c r="L4264" t="e">
        <f>VLOOKUP(Table1[[#This Row],[CountryCode]],[1]!Table1[#Data],4,FALSE)</f>
        <v>#REF!</v>
      </c>
    </row>
    <row r="4265" spans="1:12" hidden="1" x14ac:dyDescent="0.3">
      <c r="A4265" t="s">
        <v>111</v>
      </c>
      <c r="B4265" t="s">
        <v>112</v>
      </c>
      <c r="C4265" t="s">
        <v>125</v>
      </c>
      <c r="D4265" t="s">
        <v>126</v>
      </c>
      <c r="E4265">
        <v>1996</v>
      </c>
      <c r="F4265" s="1">
        <v>8</v>
      </c>
      <c r="G4265">
        <v>1990</v>
      </c>
      <c r="H4265">
        <f>AVERAGEIFS(Table1[value],Table1[IndicatorCode],Table1[[#This Row],[IndicatorCode]])</f>
        <v>7.6894248608534319</v>
      </c>
      <c r="I4265" cm="1">
        <f t="array" ref="I4265">_xlfn.STDEV.P(IF(Table1[IndicatorCode]=Table1[[#This Row],[IndicatorCode]],Table1[value]))</f>
        <v>5.2319501044600996</v>
      </c>
      <c r="J4265">
        <f>(Table1[[#This Row],[value]] - Table1[[#This Row],[mean]]) / Table1[[#This Row],[std_dev]]</f>
        <v>5.9361257838030791E-2</v>
      </c>
      <c r="K4265">
        <f>AVERAGEIF(Table1[CountryCode],Table1[[#This Row],[CountryCode]],Table1[z-score])</f>
        <v>0.37952535202791182</v>
      </c>
      <c r="L4265" t="e">
        <f>VLOOKUP(Table1[[#This Row],[CountryCode]],[1]!Table1[#Data],4,FALSE)</f>
        <v>#REF!</v>
      </c>
    </row>
    <row r="4266" spans="1:12" hidden="1" x14ac:dyDescent="0.3">
      <c r="A4266" t="s">
        <v>111</v>
      </c>
      <c r="B4266" t="s">
        <v>112</v>
      </c>
      <c r="C4266" t="s">
        <v>125</v>
      </c>
      <c r="D4266" t="s">
        <v>126</v>
      </c>
      <c r="E4266">
        <v>1997</v>
      </c>
      <c r="F4266" s="1">
        <v>7</v>
      </c>
      <c r="G4266">
        <v>2000</v>
      </c>
      <c r="H4266">
        <f>AVERAGEIFS(Table1[value],Table1[IndicatorCode],Table1[[#This Row],[IndicatorCode]])</f>
        <v>7.6894248608534319</v>
      </c>
      <c r="I4266" cm="1">
        <f t="array" ref="I4266">_xlfn.STDEV.P(IF(Table1[IndicatorCode]=Table1[[#This Row],[IndicatorCode]],Table1[value]))</f>
        <v>5.2319501044600996</v>
      </c>
      <c r="J4266">
        <f>(Table1[[#This Row],[value]] - Table1[[#This Row],[mean]]) / Table1[[#This Row],[std_dev]]</f>
        <v>-0.13177206339672762</v>
      </c>
      <c r="K4266">
        <f>AVERAGEIF(Table1[CountryCode],Table1[[#This Row],[CountryCode]],Table1[z-score])</f>
        <v>0.37952535202791182</v>
      </c>
      <c r="L4266" t="e">
        <f>VLOOKUP(Table1[[#This Row],[CountryCode]],[1]!Table1[#Data],4,FALSE)</f>
        <v>#REF!</v>
      </c>
    </row>
    <row r="4267" spans="1:12" hidden="1" x14ac:dyDescent="0.3">
      <c r="A4267" t="s">
        <v>111</v>
      </c>
      <c r="B4267" t="s">
        <v>112</v>
      </c>
      <c r="C4267" t="s">
        <v>125</v>
      </c>
      <c r="D4267" t="s">
        <v>126</v>
      </c>
      <c r="E4267">
        <v>1998</v>
      </c>
      <c r="F4267" s="1">
        <v>7</v>
      </c>
      <c r="G4267">
        <v>2000</v>
      </c>
      <c r="H4267">
        <f>AVERAGEIFS(Table1[value],Table1[IndicatorCode],Table1[[#This Row],[IndicatorCode]])</f>
        <v>7.6894248608534319</v>
      </c>
      <c r="I4267" cm="1">
        <f t="array" ref="I4267">_xlfn.STDEV.P(IF(Table1[IndicatorCode]=Table1[[#This Row],[IndicatorCode]],Table1[value]))</f>
        <v>5.2319501044600996</v>
      </c>
      <c r="J4267">
        <f>(Table1[[#This Row],[value]] - Table1[[#This Row],[mean]]) / Table1[[#This Row],[std_dev]]</f>
        <v>-0.13177206339672762</v>
      </c>
      <c r="K4267">
        <f>AVERAGEIF(Table1[CountryCode],Table1[[#This Row],[CountryCode]],Table1[z-score])</f>
        <v>0.37952535202791182</v>
      </c>
      <c r="L4267" t="e">
        <f>VLOOKUP(Table1[[#This Row],[CountryCode]],[1]!Table1[#Data],4,FALSE)</f>
        <v>#REF!</v>
      </c>
    </row>
    <row r="4268" spans="1:12" hidden="1" x14ac:dyDescent="0.3">
      <c r="A4268" t="s">
        <v>111</v>
      </c>
      <c r="B4268" t="s">
        <v>112</v>
      </c>
      <c r="C4268" t="s">
        <v>125</v>
      </c>
      <c r="D4268" t="s">
        <v>126</v>
      </c>
      <c r="E4268">
        <v>1999</v>
      </c>
      <c r="F4268" s="1">
        <v>7</v>
      </c>
      <c r="G4268">
        <v>2000</v>
      </c>
      <c r="H4268">
        <f>AVERAGEIFS(Table1[value],Table1[IndicatorCode],Table1[[#This Row],[IndicatorCode]])</f>
        <v>7.6894248608534319</v>
      </c>
      <c r="I4268" cm="1">
        <f t="array" ref="I4268">_xlfn.STDEV.P(IF(Table1[IndicatorCode]=Table1[[#This Row],[IndicatorCode]],Table1[value]))</f>
        <v>5.2319501044600996</v>
      </c>
      <c r="J4268">
        <f>(Table1[[#This Row],[value]] - Table1[[#This Row],[mean]]) / Table1[[#This Row],[std_dev]]</f>
        <v>-0.13177206339672762</v>
      </c>
      <c r="K4268">
        <f>AVERAGEIF(Table1[CountryCode],Table1[[#This Row],[CountryCode]],Table1[z-score])</f>
        <v>0.37952535202791182</v>
      </c>
      <c r="L4268" t="e">
        <f>VLOOKUP(Table1[[#This Row],[CountryCode]],[1]!Table1[#Data],4,FALSE)</f>
        <v>#REF!</v>
      </c>
    </row>
    <row r="4269" spans="1:12" hidden="1" x14ac:dyDescent="0.3">
      <c r="A4269" t="s">
        <v>111</v>
      </c>
      <c r="B4269" t="s">
        <v>112</v>
      </c>
      <c r="C4269" t="s">
        <v>125</v>
      </c>
      <c r="D4269" t="s">
        <v>126</v>
      </c>
      <c r="E4269">
        <v>2000</v>
      </c>
      <c r="F4269" s="1">
        <v>7</v>
      </c>
      <c r="G4269">
        <v>2000</v>
      </c>
      <c r="H4269">
        <f>AVERAGEIFS(Table1[value],Table1[IndicatorCode],Table1[[#This Row],[IndicatorCode]])</f>
        <v>7.6894248608534319</v>
      </c>
      <c r="I4269" cm="1">
        <f t="array" ref="I4269">_xlfn.STDEV.P(IF(Table1[IndicatorCode]=Table1[[#This Row],[IndicatorCode]],Table1[value]))</f>
        <v>5.2319501044600996</v>
      </c>
      <c r="J4269">
        <f>(Table1[[#This Row],[value]] - Table1[[#This Row],[mean]]) / Table1[[#This Row],[std_dev]]</f>
        <v>-0.13177206339672762</v>
      </c>
      <c r="K4269">
        <f>AVERAGEIF(Table1[CountryCode],Table1[[#This Row],[CountryCode]],Table1[z-score])</f>
        <v>0.37952535202791182</v>
      </c>
      <c r="L4269" t="e">
        <f>VLOOKUP(Table1[[#This Row],[CountryCode]],[1]!Table1[#Data],4,FALSE)</f>
        <v>#REF!</v>
      </c>
    </row>
    <row r="4270" spans="1:12" hidden="1" x14ac:dyDescent="0.3">
      <c r="A4270" t="s">
        <v>111</v>
      </c>
      <c r="B4270" t="s">
        <v>112</v>
      </c>
      <c r="C4270" t="s">
        <v>125</v>
      </c>
      <c r="D4270" t="s">
        <v>126</v>
      </c>
      <c r="E4270">
        <v>2001</v>
      </c>
      <c r="F4270" s="1">
        <v>7</v>
      </c>
      <c r="G4270">
        <v>2000</v>
      </c>
      <c r="H4270">
        <f>AVERAGEIFS(Table1[value],Table1[IndicatorCode],Table1[[#This Row],[IndicatorCode]])</f>
        <v>7.6894248608534319</v>
      </c>
      <c r="I4270" cm="1">
        <f t="array" ref="I4270">_xlfn.STDEV.P(IF(Table1[IndicatorCode]=Table1[[#This Row],[IndicatorCode]],Table1[value]))</f>
        <v>5.2319501044600996</v>
      </c>
      <c r="J4270">
        <f>(Table1[[#This Row],[value]] - Table1[[#This Row],[mean]]) / Table1[[#This Row],[std_dev]]</f>
        <v>-0.13177206339672762</v>
      </c>
      <c r="K4270">
        <f>AVERAGEIF(Table1[CountryCode],Table1[[#This Row],[CountryCode]],Table1[z-score])</f>
        <v>0.37952535202791182</v>
      </c>
      <c r="L4270" t="e">
        <f>VLOOKUP(Table1[[#This Row],[CountryCode]],[1]!Table1[#Data],4,FALSE)</f>
        <v>#REF!</v>
      </c>
    </row>
    <row r="4271" spans="1:12" hidden="1" x14ac:dyDescent="0.3">
      <c r="A4271" t="s">
        <v>111</v>
      </c>
      <c r="B4271" t="s">
        <v>112</v>
      </c>
      <c r="C4271" t="s">
        <v>125</v>
      </c>
      <c r="D4271" t="s">
        <v>126</v>
      </c>
      <c r="E4271">
        <v>2002</v>
      </c>
      <c r="F4271" s="1">
        <v>7</v>
      </c>
      <c r="G4271">
        <v>2000</v>
      </c>
      <c r="H4271">
        <f>AVERAGEIFS(Table1[value],Table1[IndicatorCode],Table1[[#This Row],[IndicatorCode]])</f>
        <v>7.6894248608534319</v>
      </c>
      <c r="I4271" cm="1">
        <f t="array" ref="I4271">_xlfn.STDEV.P(IF(Table1[IndicatorCode]=Table1[[#This Row],[IndicatorCode]],Table1[value]))</f>
        <v>5.2319501044600996</v>
      </c>
      <c r="J4271">
        <f>(Table1[[#This Row],[value]] - Table1[[#This Row],[mean]]) / Table1[[#This Row],[std_dev]]</f>
        <v>-0.13177206339672762</v>
      </c>
      <c r="K4271">
        <f>AVERAGEIF(Table1[CountryCode],Table1[[#This Row],[CountryCode]],Table1[z-score])</f>
        <v>0.37952535202791182</v>
      </c>
      <c r="L4271" t="e">
        <f>VLOOKUP(Table1[[#This Row],[CountryCode]],[1]!Table1[#Data],4,FALSE)</f>
        <v>#REF!</v>
      </c>
    </row>
    <row r="4272" spans="1:12" hidden="1" x14ac:dyDescent="0.3">
      <c r="A4272" t="s">
        <v>111</v>
      </c>
      <c r="B4272" t="s">
        <v>112</v>
      </c>
      <c r="C4272" t="s">
        <v>125</v>
      </c>
      <c r="D4272" t="s">
        <v>126</v>
      </c>
      <c r="E4272">
        <v>2003</v>
      </c>
      <c r="F4272" s="1">
        <v>7</v>
      </c>
      <c r="G4272">
        <v>2000</v>
      </c>
      <c r="H4272">
        <f>AVERAGEIFS(Table1[value],Table1[IndicatorCode],Table1[[#This Row],[IndicatorCode]])</f>
        <v>7.6894248608534319</v>
      </c>
      <c r="I4272" cm="1">
        <f t="array" ref="I4272">_xlfn.STDEV.P(IF(Table1[IndicatorCode]=Table1[[#This Row],[IndicatorCode]],Table1[value]))</f>
        <v>5.2319501044600996</v>
      </c>
      <c r="J4272">
        <f>(Table1[[#This Row],[value]] - Table1[[#This Row],[mean]]) / Table1[[#This Row],[std_dev]]</f>
        <v>-0.13177206339672762</v>
      </c>
      <c r="K4272">
        <f>AVERAGEIF(Table1[CountryCode],Table1[[#This Row],[CountryCode]],Table1[z-score])</f>
        <v>0.37952535202791182</v>
      </c>
      <c r="L4272" t="e">
        <f>VLOOKUP(Table1[[#This Row],[CountryCode]],[1]!Table1[#Data],4,FALSE)</f>
        <v>#REF!</v>
      </c>
    </row>
    <row r="4273" spans="1:12" hidden="1" x14ac:dyDescent="0.3">
      <c r="A4273" t="s">
        <v>111</v>
      </c>
      <c r="B4273" t="s">
        <v>112</v>
      </c>
      <c r="C4273" t="s">
        <v>125</v>
      </c>
      <c r="D4273" t="s">
        <v>126</v>
      </c>
      <c r="E4273">
        <v>2004</v>
      </c>
      <c r="F4273" s="1">
        <v>6</v>
      </c>
      <c r="G4273">
        <v>2000</v>
      </c>
      <c r="H4273">
        <f>AVERAGEIFS(Table1[value],Table1[IndicatorCode],Table1[[#This Row],[IndicatorCode]])</f>
        <v>7.6894248608534319</v>
      </c>
      <c r="I4273" cm="1">
        <f t="array" ref="I4273">_xlfn.STDEV.P(IF(Table1[IndicatorCode]=Table1[[#This Row],[IndicatorCode]],Table1[value]))</f>
        <v>5.2319501044600996</v>
      </c>
      <c r="J4273">
        <f>(Table1[[#This Row],[value]] - Table1[[#This Row],[mean]]) / Table1[[#This Row],[std_dev]]</f>
        <v>-0.32290538463148605</v>
      </c>
      <c r="K4273">
        <f>AVERAGEIF(Table1[CountryCode],Table1[[#This Row],[CountryCode]],Table1[z-score])</f>
        <v>0.37952535202791182</v>
      </c>
      <c r="L4273" t="e">
        <f>VLOOKUP(Table1[[#This Row],[CountryCode]],[1]!Table1[#Data],4,FALSE)</f>
        <v>#REF!</v>
      </c>
    </row>
    <row r="4274" spans="1:12" hidden="1" x14ac:dyDescent="0.3">
      <c r="A4274" t="s">
        <v>111</v>
      </c>
      <c r="B4274" t="s">
        <v>112</v>
      </c>
      <c r="C4274" t="s">
        <v>125</v>
      </c>
      <c r="D4274" t="s">
        <v>126</v>
      </c>
      <c r="E4274">
        <v>2005</v>
      </c>
      <c r="F4274" s="1">
        <v>6</v>
      </c>
      <c r="G4274">
        <v>2000</v>
      </c>
      <c r="H4274">
        <f>AVERAGEIFS(Table1[value],Table1[IndicatorCode],Table1[[#This Row],[IndicatorCode]])</f>
        <v>7.6894248608534319</v>
      </c>
      <c r="I4274" cm="1">
        <f t="array" ref="I4274">_xlfn.STDEV.P(IF(Table1[IndicatorCode]=Table1[[#This Row],[IndicatorCode]],Table1[value]))</f>
        <v>5.2319501044600996</v>
      </c>
      <c r="J4274">
        <f>(Table1[[#This Row],[value]] - Table1[[#This Row],[mean]]) / Table1[[#This Row],[std_dev]]</f>
        <v>-0.32290538463148605</v>
      </c>
      <c r="K4274">
        <f>AVERAGEIF(Table1[CountryCode],Table1[[#This Row],[CountryCode]],Table1[z-score])</f>
        <v>0.37952535202791182</v>
      </c>
      <c r="L4274" t="e">
        <f>VLOOKUP(Table1[[#This Row],[CountryCode]],[1]!Table1[#Data],4,FALSE)</f>
        <v>#REF!</v>
      </c>
    </row>
    <row r="4275" spans="1:12" hidden="1" x14ac:dyDescent="0.3">
      <c r="A4275" t="s">
        <v>111</v>
      </c>
      <c r="B4275" t="s">
        <v>112</v>
      </c>
      <c r="C4275" t="s">
        <v>125</v>
      </c>
      <c r="D4275" t="s">
        <v>126</v>
      </c>
      <c r="E4275">
        <v>2006</v>
      </c>
      <c r="F4275" s="1">
        <v>6</v>
      </c>
      <c r="G4275">
        <v>2000</v>
      </c>
      <c r="H4275">
        <f>AVERAGEIFS(Table1[value],Table1[IndicatorCode],Table1[[#This Row],[IndicatorCode]])</f>
        <v>7.6894248608534319</v>
      </c>
      <c r="I4275" cm="1">
        <f t="array" ref="I4275">_xlfn.STDEV.P(IF(Table1[IndicatorCode]=Table1[[#This Row],[IndicatorCode]],Table1[value]))</f>
        <v>5.2319501044600996</v>
      </c>
      <c r="J4275">
        <f>(Table1[[#This Row],[value]] - Table1[[#This Row],[mean]]) / Table1[[#This Row],[std_dev]]</f>
        <v>-0.32290538463148605</v>
      </c>
      <c r="K4275">
        <f>AVERAGEIF(Table1[CountryCode],Table1[[#This Row],[CountryCode]],Table1[z-score])</f>
        <v>0.37952535202791182</v>
      </c>
      <c r="L4275" t="e">
        <f>VLOOKUP(Table1[[#This Row],[CountryCode]],[1]!Table1[#Data],4,FALSE)</f>
        <v>#REF!</v>
      </c>
    </row>
    <row r="4276" spans="1:12" hidden="1" x14ac:dyDescent="0.3">
      <c r="A4276" t="s">
        <v>111</v>
      </c>
      <c r="B4276" t="s">
        <v>112</v>
      </c>
      <c r="C4276" t="s">
        <v>125</v>
      </c>
      <c r="D4276" t="s">
        <v>126</v>
      </c>
      <c r="E4276">
        <v>2007</v>
      </c>
      <c r="F4276" s="1">
        <v>6</v>
      </c>
      <c r="G4276">
        <v>2010</v>
      </c>
      <c r="H4276">
        <f>AVERAGEIFS(Table1[value],Table1[IndicatorCode],Table1[[#This Row],[IndicatorCode]])</f>
        <v>7.6894248608534319</v>
      </c>
      <c r="I4276" cm="1">
        <f t="array" ref="I4276">_xlfn.STDEV.P(IF(Table1[IndicatorCode]=Table1[[#This Row],[IndicatorCode]],Table1[value]))</f>
        <v>5.2319501044600996</v>
      </c>
      <c r="J4276">
        <f>(Table1[[#This Row],[value]] - Table1[[#This Row],[mean]]) / Table1[[#This Row],[std_dev]]</f>
        <v>-0.32290538463148605</v>
      </c>
      <c r="K4276">
        <f>AVERAGEIF(Table1[CountryCode],Table1[[#This Row],[CountryCode]],Table1[z-score])</f>
        <v>0.37952535202791182</v>
      </c>
      <c r="L4276" t="e">
        <f>VLOOKUP(Table1[[#This Row],[CountryCode]],[1]!Table1[#Data],4,FALSE)</f>
        <v>#REF!</v>
      </c>
    </row>
    <row r="4277" spans="1:12" hidden="1" x14ac:dyDescent="0.3">
      <c r="A4277" t="s">
        <v>111</v>
      </c>
      <c r="B4277" t="s">
        <v>112</v>
      </c>
      <c r="C4277" t="s">
        <v>125</v>
      </c>
      <c r="D4277" t="s">
        <v>126</v>
      </c>
      <c r="E4277">
        <v>2008</v>
      </c>
      <c r="F4277" s="1">
        <v>6</v>
      </c>
      <c r="G4277">
        <v>2010</v>
      </c>
      <c r="H4277">
        <f>AVERAGEIFS(Table1[value],Table1[IndicatorCode],Table1[[#This Row],[IndicatorCode]])</f>
        <v>7.6894248608534319</v>
      </c>
      <c r="I4277" cm="1">
        <f t="array" ref="I4277">_xlfn.STDEV.P(IF(Table1[IndicatorCode]=Table1[[#This Row],[IndicatorCode]],Table1[value]))</f>
        <v>5.2319501044600996</v>
      </c>
      <c r="J4277">
        <f>(Table1[[#This Row],[value]] - Table1[[#This Row],[mean]]) / Table1[[#This Row],[std_dev]]</f>
        <v>-0.32290538463148605</v>
      </c>
      <c r="K4277">
        <f>AVERAGEIF(Table1[CountryCode],Table1[[#This Row],[CountryCode]],Table1[z-score])</f>
        <v>0.37952535202791182</v>
      </c>
      <c r="L4277" t="e">
        <f>VLOOKUP(Table1[[#This Row],[CountryCode]],[1]!Table1[#Data],4,FALSE)</f>
        <v>#REF!</v>
      </c>
    </row>
    <row r="4278" spans="1:12" hidden="1" x14ac:dyDescent="0.3">
      <c r="A4278" t="s">
        <v>111</v>
      </c>
      <c r="B4278" t="s">
        <v>112</v>
      </c>
      <c r="C4278" t="s">
        <v>125</v>
      </c>
      <c r="D4278" t="s">
        <v>126</v>
      </c>
      <c r="E4278">
        <v>2009</v>
      </c>
      <c r="F4278" s="1">
        <v>5</v>
      </c>
      <c r="G4278">
        <v>2010</v>
      </c>
      <c r="H4278">
        <f>AVERAGEIFS(Table1[value],Table1[IndicatorCode],Table1[[#This Row],[IndicatorCode]])</f>
        <v>7.6894248608534319</v>
      </c>
      <c r="I4278" cm="1">
        <f t="array" ref="I4278">_xlfn.STDEV.P(IF(Table1[IndicatorCode]=Table1[[#This Row],[IndicatorCode]],Table1[value]))</f>
        <v>5.2319501044600996</v>
      </c>
      <c r="J4278">
        <f>(Table1[[#This Row],[value]] - Table1[[#This Row],[mean]]) / Table1[[#This Row],[std_dev]]</f>
        <v>-0.51403870586624445</v>
      </c>
      <c r="K4278">
        <f>AVERAGEIF(Table1[CountryCode],Table1[[#This Row],[CountryCode]],Table1[z-score])</f>
        <v>0.37952535202791182</v>
      </c>
      <c r="L4278" t="e">
        <f>VLOOKUP(Table1[[#This Row],[CountryCode]],[1]!Table1[#Data],4,FALSE)</f>
        <v>#REF!</v>
      </c>
    </row>
    <row r="4279" spans="1:12" hidden="1" x14ac:dyDescent="0.3">
      <c r="A4279" t="s">
        <v>111</v>
      </c>
      <c r="B4279" t="s">
        <v>112</v>
      </c>
      <c r="C4279" t="s">
        <v>125</v>
      </c>
      <c r="D4279" t="s">
        <v>126</v>
      </c>
      <c r="E4279">
        <v>2010</v>
      </c>
      <c r="F4279" s="1">
        <v>6</v>
      </c>
      <c r="G4279">
        <v>2010</v>
      </c>
      <c r="H4279">
        <f>AVERAGEIFS(Table1[value],Table1[IndicatorCode],Table1[[#This Row],[IndicatorCode]])</f>
        <v>7.6894248608534319</v>
      </c>
      <c r="I4279" cm="1">
        <f t="array" ref="I4279">_xlfn.STDEV.P(IF(Table1[IndicatorCode]=Table1[[#This Row],[IndicatorCode]],Table1[value]))</f>
        <v>5.2319501044600996</v>
      </c>
      <c r="J4279">
        <f>(Table1[[#This Row],[value]] - Table1[[#This Row],[mean]]) / Table1[[#This Row],[std_dev]]</f>
        <v>-0.32290538463148605</v>
      </c>
      <c r="K4279">
        <f>AVERAGEIF(Table1[CountryCode],Table1[[#This Row],[CountryCode]],Table1[z-score])</f>
        <v>0.37952535202791182</v>
      </c>
      <c r="L4279" t="e">
        <f>VLOOKUP(Table1[[#This Row],[CountryCode]],[1]!Table1[#Data],4,FALSE)</f>
        <v>#REF!</v>
      </c>
    </row>
    <row r="4280" spans="1:12" hidden="1" x14ac:dyDescent="0.3">
      <c r="A4280" t="s">
        <v>111</v>
      </c>
      <c r="B4280" t="s">
        <v>112</v>
      </c>
      <c r="C4280" t="s">
        <v>125</v>
      </c>
      <c r="D4280" t="s">
        <v>126</v>
      </c>
      <c r="E4280">
        <v>2011</v>
      </c>
      <c r="F4280" s="1">
        <v>5</v>
      </c>
      <c r="G4280">
        <v>2010</v>
      </c>
      <c r="H4280">
        <f>AVERAGEIFS(Table1[value],Table1[IndicatorCode],Table1[[#This Row],[IndicatorCode]])</f>
        <v>7.6894248608534319</v>
      </c>
      <c r="I4280" cm="1">
        <f t="array" ref="I4280">_xlfn.STDEV.P(IF(Table1[IndicatorCode]=Table1[[#This Row],[IndicatorCode]],Table1[value]))</f>
        <v>5.2319501044600996</v>
      </c>
      <c r="J4280">
        <f>(Table1[[#This Row],[value]] - Table1[[#This Row],[mean]]) / Table1[[#This Row],[std_dev]]</f>
        <v>-0.51403870586624445</v>
      </c>
      <c r="K4280">
        <f>AVERAGEIF(Table1[CountryCode],Table1[[#This Row],[CountryCode]],Table1[z-score])</f>
        <v>0.37952535202791182</v>
      </c>
      <c r="L4280" t="e">
        <f>VLOOKUP(Table1[[#This Row],[CountryCode]],[1]!Table1[#Data],4,FALSE)</f>
        <v>#REF!</v>
      </c>
    </row>
    <row r="4281" spans="1:12" hidden="1" x14ac:dyDescent="0.3">
      <c r="A4281" t="s">
        <v>111</v>
      </c>
      <c r="B4281" t="s">
        <v>112</v>
      </c>
      <c r="C4281" t="s">
        <v>125</v>
      </c>
      <c r="D4281" t="s">
        <v>126</v>
      </c>
      <c r="E4281">
        <v>2012</v>
      </c>
      <c r="F4281" s="1">
        <v>5</v>
      </c>
      <c r="G4281">
        <v>2010</v>
      </c>
      <c r="H4281">
        <f>AVERAGEIFS(Table1[value],Table1[IndicatorCode],Table1[[#This Row],[IndicatorCode]])</f>
        <v>7.6894248608534319</v>
      </c>
      <c r="I4281" cm="1">
        <f t="array" ref="I4281">_xlfn.STDEV.P(IF(Table1[IndicatorCode]=Table1[[#This Row],[IndicatorCode]],Table1[value]))</f>
        <v>5.2319501044600996</v>
      </c>
      <c r="J4281">
        <f>(Table1[[#This Row],[value]] - Table1[[#This Row],[mean]]) / Table1[[#This Row],[std_dev]]</f>
        <v>-0.51403870586624445</v>
      </c>
      <c r="K4281">
        <f>AVERAGEIF(Table1[CountryCode],Table1[[#This Row],[CountryCode]],Table1[z-score])</f>
        <v>0.37952535202791182</v>
      </c>
      <c r="L4281" t="e">
        <f>VLOOKUP(Table1[[#This Row],[CountryCode]],[1]!Table1[#Data],4,FALSE)</f>
        <v>#REF!</v>
      </c>
    </row>
    <row r="4282" spans="1:12" hidden="1" x14ac:dyDescent="0.3">
      <c r="A4282" t="s">
        <v>111</v>
      </c>
      <c r="B4282" t="s">
        <v>112</v>
      </c>
      <c r="C4282" t="s">
        <v>125</v>
      </c>
      <c r="D4282" t="s">
        <v>126</v>
      </c>
      <c r="E4282">
        <v>2013</v>
      </c>
      <c r="F4282" s="1">
        <v>5</v>
      </c>
      <c r="G4282">
        <v>2010</v>
      </c>
      <c r="H4282">
        <f>AVERAGEIFS(Table1[value],Table1[IndicatorCode],Table1[[#This Row],[IndicatorCode]])</f>
        <v>7.6894248608534319</v>
      </c>
      <c r="I4282" cm="1">
        <f t="array" ref="I4282">_xlfn.STDEV.P(IF(Table1[IndicatorCode]=Table1[[#This Row],[IndicatorCode]],Table1[value]))</f>
        <v>5.2319501044600996</v>
      </c>
      <c r="J4282">
        <f>(Table1[[#This Row],[value]] - Table1[[#This Row],[mean]]) / Table1[[#This Row],[std_dev]]</f>
        <v>-0.51403870586624445</v>
      </c>
      <c r="K4282">
        <f>AVERAGEIF(Table1[CountryCode],Table1[[#This Row],[CountryCode]],Table1[z-score])</f>
        <v>0.37952535202791182</v>
      </c>
      <c r="L4282" t="e">
        <f>VLOOKUP(Table1[[#This Row],[CountryCode]],[1]!Table1[#Data],4,FALSE)</f>
        <v>#REF!</v>
      </c>
    </row>
    <row r="4283" spans="1:12" hidden="1" x14ac:dyDescent="0.3">
      <c r="A4283" t="s">
        <v>111</v>
      </c>
      <c r="B4283" t="s">
        <v>112</v>
      </c>
      <c r="C4283" t="s">
        <v>125</v>
      </c>
      <c r="D4283" t="s">
        <v>126</v>
      </c>
      <c r="E4283">
        <v>2014</v>
      </c>
      <c r="F4283" s="1">
        <v>4</v>
      </c>
      <c r="G4283">
        <v>2010</v>
      </c>
      <c r="H4283">
        <f>AVERAGEIFS(Table1[value],Table1[IndicatorCode],Table1[[#This Row],[IndicatorCode]])</f>
        <v>7.6894248608534319</v>
      </c>
      <c r="I4283" cm="1">
        <f t="array" ref="I4283">_xlfn.STDEV.P(IF(Table1[IndicatorCode]=Table1[[#This Row],[IndicatorCode]],Table1[value]))</f>
        <v>5.2319501044600996</v>
      </c>
      <c r="J4283">
        <f>(Table1[[#This Row],[value]] - Table1[[#This Row],[mean]]) / Table1[[#This Row],[std_dev]]</f>
        <v>-0.7051720271010028</v>
      </c>
      <c r="K4283">
        <f>AVERAGEIF(Table1[CountryCode],Table1[[#This Row],[CountryCode]],Table1[z-score])</f>
        <v>0.37952535202791182</v>
      </c>
      <c r="L4283" t="e">
        <f>VLOOKUP(Table1[[#This Row],[CountryCode]],[1]!Table1[#Data],4,FALSE)</f>
        <v>#REF!</v>
      </c>
    </row>
    <row r="4284" spans="1:12" hidden="1" x14ac:dyDescent="0.3">
      <c r="A4284" t="s">
        <v>111</v>
      </c>
      <c r="B4284" t="s">
        <v>112</v>
      </c>
      <c r="C4284" t="s">
        <v>125</v>
      </c>
      <c r="D4284" t="s">
        <v>126</v>
      </c>
      <c r="E4284">
        <v>2015</v>
      </c>
      <c r="F4284" s="1">
        <v>4</v>
      </c>
      <c r="G4284">
        <v>2010</v>
      </c>
      <c r="H4284">
        <f>AVERAGEIFS(Table1[value],Table1[IndicatorCode],Table1[[#This Row],[IndicatorCode]])</f>
        <v>7.6894248608534319</v>
      </c>
      <c r="I4284" cm="1">
        <f t="array" ref="I4284">_xlfn.STDEV.P(IF(Table1[IndicatorCode]=Table1[[#This Row],[IndicatorCode]],Table1[value]))</f>
        <v>5.2319501044600996</v>
      </c>
      <c r="J4284">
        <f>(Table1[[#This Row],[value]] - Table1[[#This Row],[mean]]) / Table1[[#This Row],[std_dev]]</f>
        <v>-0.7051720271010028</v>
      </c>
      <c r="K4284">
        <f>AVERAGEIF(Table1[CountryCode],Table1[[#This Row],[CountryCode]],Table1[z-score])</f>
        <v>0.37952535202791182</v>
      </c>
      <c r="L4284" t="e">
        <f>VLOOKUP(Table1[[#This Row],[CountryCode]],[1]!Table1[#Data],4,FALSE)</f>
        <v>#REF!</v>
      </c>
    </row>
    <row r="4285" spans="1:12" hidden="1" x14ac:dyDescent="0.3">
      <c r="A4285" t="s">
        <v>111</v>
      </c>
      <c r="B4285" t="s">
        <v>112</v>
      </c>
      <c r="C4285" t="s">
        <v>125</v>
      </c>
      <c r="D4285" t="s">
        <v>126</v>
      </c>
      <c r="E4285">
        <v>2016</v>
      </c>
      <c r="F4285" s="1">
        <v>4</v>
      </c>
      <c r="G4285">
        <v>2010</v>
      </c>
      <c r="H4285">
        <f>AVERAGEIFS(Table1[value],Table1[IndicatorCode],Table1[[#This Row],[IndicatorCode]])</f>
        <v>7.6894248608534319</v>
      </c>
      <c r="I4285" cm="1">
        <f t="array" ref="I4285">_xlfn.STDEV.P(IF(Table1[IndicatorCode]=Table1[[#This Row],[IndicatorCode]],Table1[value]))</f>
        <v>5.2319501044600996</v>
      </c>
      <c r="J4285">
        <f>(Table1[[#This Row],[value]] - Table1[[#This Row],[mean]]) / Table1[[#This Row],[std_dev]]</f>
        <v>-0.7051720271010028</v>
      </c>
      <c r="K4285">
        <f>AVERAGEIF(Table1[CountryCode],Table1[[#This Row],[CountryCode]],Table1[z-score])</f>
        <v>0.37952535202791182</v>
      </c>
      <c r="L4285" t="e">
        <f>VLOOKUP(Table1[[#This Row],[CountryCode]],[1]!Table1[#Data],4,FALSE)</f>
        <v>#REF!</v>
      </c>
    </row>
    <row r="4286" spans="1:12" hidden="1" x14ac:dyDescent="0.3">
      <c r="A4286" t="s">
        <v>111</v>
      </c>
      <c r="B4286" t="s">
        <v>112</v>
      </c>
      <c r="C4286" t="s">
        <v>125</v>
      </c>
      <c r="D4286" t="s">
        <v>126</v>
      </c>
      <c r="E4286">
        <v>2017</v>
      </c>
      <c r="F4286" s="1">
        <v>4</v>
      </c>
      <c r="G4286">
        <v>2020</v>
      </c>
      <c r="H4286">
        <f>AVERAGEIFS(Table1[value],Table1[IndicatorCode],Table1[[#This Row],[IndicatorCode]])</f>
        <v>7.6894248608534319</v>
      </c>
      <c r="I4286" cm="1">
        <f t="array" ref="I4286">_xlfn.STDEV.P(IF(Table1[IndicatorCode]=Table1[[#This Row],[IndicatorCode]],Table1[value]))</f>
        <v>5.2319501044600996</v>
      </c>
      <c r="J4286">
        <f>(Table1[[#This Row],[value]] - Table1[[#This Row],[mean]]) / Table1[[#This Row],[std_dev]]</f>
        <v>-0.7051720271010028</v>
      </c>
      <c r="K4286">
        <f>AVERAGEIF(Table1[CountryCode],Table1[[#This Row],[CountryCode]],Table1[z-score])</f>
        <v>0.37952535202791182</v>
      </c>
      <c r="L4286" t="e">
        <f>VLOOKUP(Table1[[#This Row],[CountryCode]],[1]!Table1[#Data],4,FALSE)</f>
        <v>#REF!</v>
      </c>
    </row>
    <row r="4287" spans="1:12" hidden="1" x14ac:dyDescent="0.3">
      <c r="A4287" t="s">
        <v>111</v>
      </c>
      <c r="B4287" t="s">
        <v>112</v>
      </c>
      <c r="C4287" t="s">
        <v>125</v>
      </c>
      <c r="D4287" t="s">
        <v>126</v>
      </c>
      <c r="E4287">
        <v>2018</v>
      </c>
      <c r="F4287" s="1">
        <v>4</v>
      </c>
      <c r="G4287">
        <v>2020</v>
      </c>
      <c r="H4287">
        <f>AVERAGEIFS(Table1[value],Table1[IndicatorCode],Table1[[#This Row],[IndicatorCode]])</f>
        <v>7.6894248608534319</v>
      </c>
      <c r="I4287" cm="1">
        <f t="array" ref="I4287">_xlfn.STDEV.P(IF(Table1[IndicatorCode]=Table1[[#This Row],[IndicatorCode]],Table1[value]))</f>
        <v>5.2319501044600996</v>
      </c>
      <c r="J4287">
        <f>(Table1[[#This Row],[value]] - Table1[[#This Row],[mean]]) / Table1[[#This Row],[std_dev]]</f>
        <v>-0.7051720271010028</v>
      </c>
      <c r="K4287">
        <f>AVERAGEIF(Table1[CountryCode],Table1[[#This Row],[CountryCode]],Table1[z-score])</f>
        <v>0.37952535202791182</v>
      </c>
      <c r="L4287" t="e">
        <f>VLOOKUP(Table1[[#This Row],[CountryCode]],[1]!Table1[#Data],4,FALSE)</f>
        <v>#REF!</v>
      </c>
    </row>
    <row r="4288" spans="1:12" hidden="1" x14ac:dyDescent="0.3">
      <c r="A4288" t="s">
        <v>111</v>
      </c>
      <c r="B4288" t="s">
        <v>112</v>
      </c>
      <c r="C4288" t="s">
        <v>125</v>
      </c>
      <c r="D4288" t="s">
        <v>126</v>
      </c>
      <c r="E4288">
        <v>2019</v>
      </c>
      <c r="F4288" s="1">
        <v>4</v>
      </c>
      <c r="G4288">
        <v>2020</v>
      </c>
      <c r="H4288">
        <f>AVERAGEIFS(Table1[value],Table1[IndicatorCode],Table1[[#This Row],[IndicatorCode]])</f>
        <v>7.6894248608534319</v>
      </c>
      <c r="I4288" cm="1">
        <f t="array" ref="I4288">_xlfn.STDEV.P(IF(Table1[IndicatorCode]=Table1[[#This Row],[IndicatorCode]],Table1[value]))</f>
        <v>5.2319501044600996</v>
      </c>
      <c r="J4288">
        <f>(Table1[[#This Row],[value]] - Table1[[#This Row],[mean]]) / Table1[[#This Row],[std_dev]]</f>
        <v>-0.7051720271010028</v>
      </c>
      <c r="K4288">
        <f>AVERAGEIF(Table1[CountryCode],Table1[[#This Row],[CountryCode]],Table1[z-score])</f>
        <v>0.37952535202791182</v>
      </c>
      <c r="L4288" t="e">
        <f>VLOOKUP(Table1[[#This Row],[CountryCode]],[1]!Table1[#Data],4,FALSE)</f>
        <v>#REF!</v>
      </c>
    </row>
    <row r="4289" spans="1:12" x14ac:dyDescent="0.3">
      <c r="A4289" t="s">
        <v>111</v>
      </c>
      <c r="B4289" t="s">
        <v>112</v>
      </c>
      <c r="C4289" t="s">
        <v>125</v>
      </c>
      <c r="D4289" t="s">
        <v>126</v>
      </c>
      <c r="E4289">
        <v>2020</v>
      </c>
      <c r="F4289" s="1">
        <v>4</v>
      </c>
      <c r="G4289">
        <v>2020</v>
      </c>
      <c r="H4289">
        <f>AVERAGEIFS(Table1[value],Table1[IndicatorCode],Table1[[#This Row],[IndicatorCode]])</f>
        <v>7.6894248608534319</v>
      </c>
      <c r="I4289" cm="1">
        <f t="array" ref="I4289">_xlfn.STDEV.P(IF(Table1[IndicatorCode]=Table1[[#This Row],[IndicatorCode]],Table1[value]))</f>
        <v>5.2319501044600996</v>
      </c>
      <c r="J4289">
        <f>(Table1[[#This Row],[value]] - Table1[[#This Row],[mean]]) / Table1[[#This Row],[std_dev]]</f>
        <v>-0.7051720271010028</v>
      </c>
      <c r="K4289">
        <f>AVERAGEIF(Table1[CountryCode],Table1[[#This Row],[CountryCode]],Table1[z-score])</f>
        <v>0.37952535202791182</v>
      </c>
    </row>
    <row r="4290" spans="1:12" hidden="1" x14ac:dyDescent="0.3">
      <c r="A4290" t="s">
        <v>111</v>
      </c>
      <c r="B4290" t="s">
        <v>112</v>
      </c>
      <c r="C4290" t="s">
        <v>125</v>
      </c>
      <c r="D4290" t="s">
        <v>126</v>
      </c>
      <c r="E4290">
        <v>2021</v>
      </c>
      <c r="F4290" s="1">
        <v>4</v>
      </c>
      <c r="G4290">
        <v>2020</v>
      </c>
      <c r="H4290">
        <f>AVERAGEIFS(Table1[value],Table1[IndicatorCode],Table1[[#This Row],[IndicatorCode]])</f>
        <v>7.6894248608534319</v>
      </c>
      <c r="I4290" cm="1">
        <f t="array" ref="I4290">_xlfn.STDEV.P(IF(Table1[IndicatorCode]=Table1[[#This Row],[IndicatorCode]],Table1[value]))</f>
        <v>5.2319501044600996</v>
      </c>
      <c r="J4290">
        <f>(Table1[[#This Row],[value]] - Table1[[#This Row],[mean]]) / Table1[[#This Row],[std_dev]]</f>
        <v>-0.7051720271010028</v>
      </c>
      <c r="K4290">
        <f>AVERAGEIF(Table1[CountryCode],Table1[[#This Row],[CountryCode]],Table1[z-score])</f>
        <v>0.37952535202791182</v>
      </c>
      <c r="L4290" t="e">
        <f>VLOOKUP(Table1[[#This Row],[CountryCode]],[1]!Table1[#Data],4,FALSE)</f>
        <v>#REF!</v>
      </c>
    </row>
    <row r="4291" spans="1:12" hidden="1" x14ac:dyDescent="0.3">
      <c r="A4291" t="s">
        <v>111</v>
      </c>
      <c r="B4291" t="s">
        <v>112</v>
      </c>
      <c r="C4291" t="s">
        <v>125</v>
      </c>
      <c r="D4291" t="s">
        <v>126</v>
      </c>
      <c r="E4291">
        <v>2022</v>
      </c>
      <c r="F4291" s="1">
        <v>4</v>
      </c>
      <c r="G4291">
        <v>1970</v>
      </c>
      <c r="H4291">
        <f>AVERAGEIFS(Table1[value],Table1[IndicatorCode],Table1[[#This Row],[IndicatorCode]])</f>
        <v>7.6894248608534319</v>
      </c>
      <c r="I4291" cm="1">
        <f t="array" ref="I4291">_xlfn.STDEV.P(IF(Table1[IndicatorCode]=Table1[[#This Row],[IndicatorCode]],Table1[value]))</f>
        <v>5.2319501044600996</v>
      </c>
      <c r="J4291">
        <f>(Table1[[#This Row],[value]] - Table1[[#This Row],[mean]]) / Table1[[#This Row],[std_dev]]</f>
        <v>-0.7051720271010028</v>
      </c>
      <c r="K4291">
        <f>AVERAGEIF(Table1[CountryCode],Table1[[#This Row],[CountryCode]],Table1[z-score])</f>
        <v>0.37952535202791182</v>
      </c>
      <c r="L4291" t="e">
        <f>VLOOKUP(Table1[[#This Row],[CountryCode]],[1]!Table1[#Data],4,FALSE)</f>
        <v>#REF!</v>
      </c>
    </row>
    <row r="4292" spans="1:12" hidden="1" x14ac:dyDescent="0.3">
      <c r="A4292" t="s">
        <v>111</v>
      </c>
      <c r="B4292" t="s">
        <v>112</v>
      </c>
      <c r="C4292" t="s">
        <v>125</v>
      </c>
      <c r="D4292" t="s">
        <v>126</v>
      </c>
      <c r="E4292">
        <v>2023</v>
      </c>
      <c r="F4292" s="1">
        <v>3</v>
      </c>
      <c r="G4292">
        <v>1970</v>
      </c>
      <c r="H4292">
        <f>AVERAGEIFS(Table1[value],Table1[IndicatorCode],Table1[[#This Row],[IndicatorCode]])</f>
        <v>7.6894248608534319</v>
      </c>
      <c r="I4292" cm="1">
        <f t="array" ref="I4292">_xlfn.STDEV.P(IF(Table1[IndicatorCode]=Table1[[#This Row],[IndicatorCode]],Table1[value]))</f>
        <v>5.2319501044600996</v>
      </c>
      <c r="J4292">
        <f>(Table1[[#This Row],[value]] - Table1[[#This Row],[mean]]) / Table1[[#This Row],[std_dev]]</f>
        <v>-0.89630534833576125</v>
      </c>
      <c r="K4292">
        <f>AVERAGEIF(Table1[CountryCode],Table1[[#This Row],[CountryCode]],Table1[z-score])</f>
        <v>0.37952535202791182</v>
      </c>
      <c r="L4292" t="e">
        <f>VLOOKUP(Table1[[#This Row],[CountryCode]],[1]!Table1[#Data],4,FALSE)</f>
        <v>#REF!</v>
      </c>
    </row>
    <row r="4293" spans="1:12" hidden="1" x14ac:dyDescent="0.3">
      <c r="A4293" t="s">
        <v>111</v>
      </c>
      <c r="B4293" t="s">
        <v>112</v>
      </c>
      <c r="C4293" t="s">
        <v>125</v>
      </c>
      <c r="D4293" t="s">
        <v>126</v>
      </c>
      <c r="E4293">
        <v>2024</v>
      </c>
      <c r="F4293" s="1">
        <v>4</v>
      </c>
      <c r="G4293">
        <v>1970</v>
      </c>
      <c r="H4293">
        <f>AVERAGEIFS(Table1[value],Table1[IndicatorCode],Table1[[#This Row],[IndicatorCode]])</f>
        <v>7.6894248608534319</v>
      </c>
      <c r="I4293" cm="1">
        <f t="array" ref="I4293">_xlfn.STDEV.P(IF(Table1[IndicatorCode]=Table1[[#This Row],[IndicatorCode]],Table1[value]))</f>
        <v>5.2319501044600996</v>
      </c>
      <c r="J4293">
        <f>(Table1[[#This Row],[value]] - Table1[[#This Row],[mean]]) / Table1[[#This Row],[std_dev]]</f>
        <v>-0.7051720271010028</v>
      </c>
      <c r="K4293">
        <f>AVERAGEIF(Table1[CountryCode],Table1[[#This Row],[CountryCode]],Table1[z-score])</f>
        <v>0.37952535202791182</v>
      </c>
      <c r="L4293" t="e">
        <f>VLOOKUP(Table1[[#This Row],[CountryCode]],[1]!Table1[#Data],4,FALSE)</f>
        <v>#REF!</v>
      </c>
    </row>
    <row r="4294" spans="1:12" hidden="1" x14ac:dyDescent="0.3">
      <c r="A4294" t="s">
        <v>113</v>
      </c>
      <c r="B4294" t="s">
        <v>114</v>
      </c>
      <c r="C4294" t="s">
        <v>125</v>
      </c>
      <c r="D4294" t="s">
        <v>126</v>
      </c>
      <c r="E4294">
        <v>1970</v>
      </c>
      <c r="F4294" s="1">
        <v>3</v>
      </c>
      <c r="G4294">
        <v>1970</v>
      </c>
      <c r="H4294">
        <f>AVERAGEIFS(Table1[value],Table1[IndicatorCode],Table1[[#This Row],[IndicatorCode]])</f>
        <v>7.6894248608534319</v>
      </c>
      <c r="I4294" cm="1">
        <f t="array" ref="I4294">_xlfn.STDEV.P(IF(Table1[IndicatorCode]=Table1[[#This Row],[IndicatorCode]],Table1[value]))</f>
        <v>5.2319501044600996</v>
      </c>
      <c r="J4294">
        <f>(Table1[[#This Row],[value]] - Table1[[#This Row],[mean]]) / Table1[[#This Row],[std_dev]]</f>
        <v>-0.89630534833576125</v>
      </c>
      <c r="K4294">
        <f>AVERAGEIF(Table1[CountryCode],Table1[[#This Row],[CountryCode]],Table1[z-score])</f>
        <v>-1.2093107186394518</v>
      </c>
      <c r="L4294" t="e">
        <f>VLOOKUP(Table1[[#This Row],[CountryCode]],[1]!Table1[#Data],4,FALSE)</f>
        <v>#REF!</v>
      </c>
    </row>
    <row r="4295" spans="1:12" hidden="1" x14ac:dyDescent="0.3">
      <c r="A4295" t="s">
        <v>113</v>
      </c>
      <c r="B4295" t="s">
        <v>114</v>
      </c>
      <c r="C4295" t="s">
        <v>125</v>
      </c>
      <c r="D4295" t="s">
        <v>126</v>
      </c>
      <c r="E4295">
        <v>1971</v>
      </c>
      <c r="F4295" s="1">
        <v>3</v>
      </c>
      <c r="G4295">
        <v>1970</v>
      </c>
      <c r="H4295">
        <f>AVERAGEIFS(Table1[value],Table1[IndicatorCode],Table1[[#This Row],[IndicatorCode]])</f>
        <v>7.6894248608534319</v>
      </c>
      <c r="I4295" cm="1">
        <f t="array" ref="I4295">_xlfn.STDEV.P(IF(Table1[IndicatorCode]=Table1[[#This Row],[IndicatorCode]],Table1[value]))</f>
        <v>5.2319501044600996</v>
      </c>
      <c r="J4295">
        <f>(Table1[[#This Row],[value]] - Table1[[#This Row],[mean]]) / Table1[[#This Row],[std_dev]]</f>
        <v>-0.89630534833576125</v>
      </c>
      <c r="K4295">
        <f>AVERAGEIF(Table1[CountryCode],Table1[[#This Row],[CountryCode]],Table1[z-score])</f>
        <v>-1.2093107186394518</v>
      </c>
      <c r="L4295" t="e">
        <f>VLOOKUP(Table1[[#This Row],[CountryCode]],[1]!Table1[#Data],4,FALSE)</f>
        <v>#REF!</v>
      </c>
    </row>
    <row r="4296" spans="1:12" hidden="1" x14ac:dyDescent="0.3">
      <c r="A4296" t="s">
        <v>113</v>
      </c>
      <c r="B4296" t="s">
        <v>114</v>
      </c>
      <c r="C4296" t="s">
        <v>125</v>
      </c>
      <c r="D4296" t="s">
        <v>126</v>
      </c>
      <c r="E4296">
        <v>1972</v>
      </c>
      <c r="F4296" s="1">
        <v>3</v>
      </c>
      <c r="G4296">
        <v>1970</v>
      </c>
      <c r="H4296">
        <f>AVERAGEIFS(Table1[value],Table1[IndicatorCode],Table1[[#This Row],[IndicatorCode]])</f>
        <v>7.6894248608534319</v>
      </c>
      <c r="I4296" cm="1">
        <f t="array" ref="I4296">_xlfn.STDEV.P(IF(Table1[IndicatorCode]=Table1[[#This Row],[IndicatorCode]],Table1[value]))</f>
        <v>5.2319501044600996</v>
      </c>
      <c r="J4296">
        <f>(Table1[[#This Row],[value]] - Table1[[#This Row],[mean]]) / Table1[[#This Row],[std_dev]]</f>
        <v>-0.89630534833576125</v>
      </c>
      <c r="K4296">
        <f>AVERAGEIF(Table1[CountryCode],Table1[[#This Row],[CountryCode]],Table1[z-score])</f>
        <v>-1.2093107186394518</v>
      </c>
      <c r="L4296" t="e">
        <f>VLOOKUP(Table1[[#This Row],[CountryCode]],[1]!Table1[#Data],4,FALSE)</f>
        <v>#REF!</v>
      </c>
    </row>
    <row r="4297" spans="1:12" hidden="1" x14ac:dyDescent="0.3">
      <c r="A4297" t="s">
        <v>113</v>
      </c>
      <c r="B4297" t="s">
        <v>114</v>
      </c>
      <c r="C4297" t="s">
        <v>125</v>
      </c>
      <c r="D4297" t="s">
        <v>126</v>
      </c>
      <c r="E4297">
        <v>1973</v>
      </c>
      <c r="F4297" s="1">
        <v>3</v>
      </c>
      <c r="G4297">
        <v>1970</v>
      </c>
      <c r="H4297">
        <f>AVERAGEIFS(Table1[value],Table1[IndicatorCode],Table1[[#This Row],[IndicatorCode]])</f>
        <v>7.6894248608534319</v>
      </c>
      <c r="I4297" cm="1">
        <f t="array" ref="I4297">_xlfn.STDEV.P(IF(Table1[IndicatorCode]=Table1[[#This Row],[IndicatorCode]],Table1[value]))</f>
        <v>5.2319501044600996</v>
      </c>
      <c r="J4297">
        <f>(Table1[[#This Row],[value]] - Table1[[#This Row],[mean]]) / Table1[[#This Row],[std_dev]]</f>
        <v>-0.89630534833576125</v>
      </c>
      <c r="K4297">
        <f>AVERAGEIF(Table1[CountryCode],Table1[[#This Row],[CountryCode]],Table1[z-score])</f>
        <v>-1.2093107186394518</v>
      </c>
      <c r="L4297" t="e">
        <f>VLOOKUP(Table1[[#This Row],[CountryCode]],[1]!Table1[#Data],4,FALSE)</f>
        <v>#REF!</v>
      </c>
    </row>
    <row r="4298" spans="1:12" hidden="1" x14ac:dyDescent="0.3">
      <c r="A4298" t="s">
        <v>113</v>
      </c>
      <c r="B4298" t="s">
        <v>114</v>
      </c>
      <c r="C4298" t="s">
        <v>125</v>
      </c>
      <c r="D4298" t="s">
        <v>126</v>
      </c>
      <c r="E4298">
        <v>1974</v>
      </c>
      <c r="F4298" s="1">
        <v>3</v>
      </c>
      <c r="G4298">
        <v>1970</v>
      </c>
      <c r="H4298">
        <f>AVERAGEIFS(Table1[value],Table1[IndicatorCode],Table1[[#This Row],[IndicatorCode]])</f>
        <v>7.6894248608534319</v>
      </c>
      <c r="I4298" cm="1">
        <f t="array" ref="I4298">_xlfn.STDEV.P(IF(Table1[IndicatorCode]=Table1[[#This Row],[IndicatorCode]],Table1[value]))</f>
        <v>5.2319501044600996</v>
      </c>
      <c r="J4298">
        <f>(Table1[[#This Row],[value]] - Table1[[#This Row],[mean]]) / Table1[[#This Row],[std_dev]]</f>
        <v>-0.89630534833576125</v>
      </c>
      <c r="K4298">
        <f>AVERAGEIF(Table1[CountryCode],Table1[[#This Row],[CountryCode]],Table1[z-score])</f>
        <v>-1.2093107186394518</v>
      </c>
      <c r="L4298" t="e">
        <f>VLOOKUP(Table1[[#This Row],[CountryCode]],[1]!Table1[#Data],4,FALSE)</f>
        <v>#REF!</v>
      </c>
    </row>
    <row r="4299" spans="1:12" hidden="1" x14ac:dyDescent="0.3">
      <c r="A4299" t="s">
        <v>113</v>
      </c>
      <c r="B4299" t="s">
        <v>114</v>
      </c>
      <c r="C4299" t="s">
        <v>125</v>
      </c>
      <c r="D4299" t="s">
        <v>126</v>
      </c>
      <c r="E4299">
        <v>1975</v>
      </c>
      <c r="F4299" s="1">
        <v>3</v>
      </c>
      <c r="G4299">
        <v>1970</v>
      </c>
      <c r="H4299">
        <f>AVERAGEIFS(Table1[value],Table1[IndicatorCode],Table1[[#This Row],[IndicatorCode]])</f>
        <v>7.6894248608534319</v>
      </c>
      <c r="I4299" cm="1">
        <f t="array" ref="I4299">_xlfn.STDEV.P(IF(Table1[IndicatorCode]=Table1[[#This Row],[IndicatorCode]],Table1[value]))</f>
        <v>5.2319501044600996</v>
      </c>
      <c r="J4299">
        <f>(Table1[[#This Row],[value]] - Table1[[#This Row],[mean]]) / Table1[[#This Row],[std_dev]]</f>
        <v>-0.89630534833576125</v>
      </c>
      <c r="K4299">
        <f>AVERAGEIF(Table1[CountryCode],Table1[[#This Row],[CountryCode]],Table1[z-score])</f>
        <v>-1.2093107186394518</v>
      </c>
      <c r="L4299" t="e">
        <f>VLOOKUP(Table1[[#This Row],[CountryCode]],[1]!Table1[#Data],4,FALSE)</f>
        <v>#REF!</v>
      </c>
    </row>
    <row r="4300" spans="1:12" hidden="1" x14ac:dyDescent="0.3">
      <c r="A4300" t="s">
        <v>113</v>
      </c>
      <c r="B4300" t="s">
        <v>114</v>
      </c>
      <c r="C4300" t="s">
        <v>125</v>
      </c>
      <c r="D4300" t="s">
        <v>126</v>
      </c>
      <c r="E4300">
        <v>1976</v>
      </c>
      <c r="F4300" s="1">
        <v>3</v>
      </c>
      <c r="G4300">
        <v>1970</v>
      </c>
      <c r="H4300">
        <f>AVERAGEIFS(Table1[value],Table1[IndicatorCode],Table1[[#This Row],[IndicatorCode]])</f>
        <v>7.6894248608534319</v>
      </c>
      <c r="I4300" cm="1">
        <f t="array" ref="I4300">_xlfn.STDEV.P(IF(Table1[IndicatorCode]=Table1[[#This Row],[IndicatorCode]],Table1[value]))</f>
        <v>5.2319501044600996</v>
      </c>
      <c r="J4300">
        <f>(Table1[[#This Row],[value]] - Table1[[#This Row],[mean]]) / Table1[[#This Row],[std_dev]]</f>
        <v>-0.89630534833576125</v>
      </c>
      <c r="K4300">
        <f>AVERAGEIF(Table1[CountryCode],Table1[[#This Row],[CountryCode]],Table1[z-score])</f>
        <v>-1.2093107186394518</v>
      </c>
      <c r="L4300" t="e">
        <f>VLOOKUP(Table1[[#This Row],[CountryCode]],[1]!Table1[#Data],4,FALSE)</f>
        <v>#REF!</v>
      </c>
    </row>
    <row r="4301" spans="1:12" hidden="1" x14ac:dyDescent="0.3">
      <c r="A4301" t="s">
        <v>113</v>
      </c>
      <c r="B4301" t="s">
        <v>114</v>
      </c>
      <c r="C4301" t="s">
        <v>125</v>
      </c>
      <c r="D4301" t="s">
        <v>126</v>
      </c>
      <c r="E4301">
        <v>1977</v>
      </c>
      <c r="F4301" s="1">
        <v>3</v>
      </c>
      <c r="G4301">
        <v>1980</v>
      </c>
      <c r="H4301">
        <f>AVERAGEIFS(Table1[value],Table1[IndicatorCode],Table1[[#This Row],[IndicatorCode]])</f>
        <v>7.6894248608534319</v>
      </c>
      <c r="I4301" cm="1">
        <f t="array" ref="I4301">_xlfn.STDEV.P(IF(Table1[IndicatorCode]=Table1[[#This Row],[IndicatorCode]],Table1[value]))</f>
        <v>5.2319501044600996</v>
      </c>
      <c r="J4301">
        <f>(Table1[[#This Row],[value]] - Table1[[#This Row],[mean]]) / Table1[[#This Row],[std_dev]]</f>
        <v>-0.89630534833576125</v>
      </c>
      <c r="K4301">
        <f>AVERAGEIF(Table1[CountryCode],Table1[[#This Row],[CountryCode]],Table1[z-score])</f>
        <v>-1.2093107186394518</v>
      </c>
      <c r="L4301" t="e">
        <f>VLOOKUP(Table1[[#This Row],[CountryCode]],[1]!Table1[#Data],4,FALSE)</f>
        <v>#REF!</v>
      </c>
    </row>
    <row r="4302" spans="1:12" hidden="1" x14ac:dyDescent="0.3">
      <c r="A4302" t="s">
        <v>113</v>
      </c>
      <c r="B4302" t="s">
        <v>114</v>
      </c>
      <c r="C4302" t="s">
        <v>125</v>
      </c>
      <c r="D4302" t="s">
        <v>126</v>
      </c>
      <c r="E4302">
        <v>1978</v>
      </c>
      <c r="F4302" s="1">
        <v>3</v>
      </c>
      <c r="G4302">
        <v>1980</v>
      </c>
      <c r="H4302">
        <f>AVERAGEIFS(Table1[value],Table1[IndicatorCode],Table1[[#This Row],[IndicatorCode]])</f>
        <v>7.6894248608534319</v>
      </c>
      <c r="I4302" cm="1">
        <f t="array" ref="I4302">_xlfn.STDEV.P(IF(Table1[IndicatorCode]=Table1[[#This Row],[IndicatorCode]],Table1[value]))</f>
        <v>5.2319501044600996</v>
      </c>
      <c r="J4302">
        <f>(Table1[[#This Row],[value]] - Table1[[#This Row],[mean]]) / Table1[[#This Row],[std_dev]]</f>
        <v>-0.89630534833576125</v>
      </c>
      <c r="K4302">
        <f>AVERAGEIF(Table1[CountryCode],Table1[[#This Row],[CountryCode]],Table1[z-score])</f>
        <v>-1.2093107186394518</v>
      </c>
      <c r="L4302" t="e">
        <f>VLOOKUP(Table1[[#This Row],[CountryCode]],[1]!Table1[#Data],4,FALSE)</f>
        <v>#REF!</v>
      </c>
    </row>
    <row r="4303" spans="1:12" hidden="1" x14ac:dyDescent="0.3">
      <c r="A4303" t="s">
        <v>113</v>
      </c>
      <c r="B4303" t="s">
        <v>114</v>
      </c>
      <c r="C4303" t="s">
        <v>125</v>
      </c>
      <c r="D4303" t="s">
        <v>126</v>
      </c>
      <c r="E4303">
        <v>1979</v>
      </c>
      <c r="F4303" s="1">
        <v>3</v>
      </c>
      <c r="G4303">
        <v>1980</v>
      </c>
      <c r="H4303">
        <f>AVERAGEIFS(Table1[value],Table1[IndicatorCode],Table1[[#This Row],[IndicatorCode]])</f>
        <v>7.6894248608534319</v>
      </c>
      <c r="I4303" cm="1">
        <f t="array" ref="I4303">_xlfn.STDEV.P(IF(Table1[IndicatorCode]=Table1[[#This Row],[IndicatorCode]],Table1[value]))</f>
        <v>5.2319501044600996</v>
      </c>
      <c r="J4303">
        <f>(Table1[[#This Row],[value]] - Table1[[#This Row],[mean]]) / Table1[[#This Row],[std_dev]]</f>
        <v>-0.89630534833576125</v>
      </c>
      <c r="K4303">
        <f>AVERAGEIF(Table1[CountryCode],Table1[[#This Row],[CountryCode]],Table1[z-score])</f>
        <v>-1.2093107186394518</v>
      </c>
      <c r="L4303" t="e">
        <f>VLOOKUP(Table1[[#This Row],[CountryCode]],[1]!Table1[#Data],4,FALSE)</f>
        <v>#REF!</v>
      </c>
    </row>
    <row r="4304" spans="1:12" hidden="1" x14ac:dyDescent="0.3">
      <c r="A4304" t="s">
        <v>113</v>
      </c>
      <c r="B4304" t="s">
        <v>114</v>
      </c>
      <c r="C4304" t="s">
        <v>125</v>
      </c>
      <c r="D4304" t="s">
        <v>126</v>
      </c>
      <c r="E4304">
        <v>1980</v>
      </c>
      <c r="F4304" s="1">
        <v>3</v>
      </c>
      <c r="G4304">
        <v>1980</v>
      </c>
      <c r="H4304">
        <f>AVERAGEIFS(Table1[value],Table1[IndicatorCode],Table1[[#This Row],[IndicatorCode]])</f>
        <v>7.6894248608534319</v>
      </c>
      <c r="I4304" cm="1">
        <f t="array" ref="I4304">_xlfn.STDEV.P(IF(Table1[IndicatorCode]=Table1[[#This Row],[IndicatorCode]],Table1[value]))</f>
        <v>5.2319501044600996</v>
      </c>
      <c r="J4304">
        <f>(Table1[[#This Row],[value]] - Table1[[#This Row],[mean]]) / Table1[[#This Row],[std_dev]]</f>
        <v>-0.89630534833576125</v>
      </c>
      <c r="K4304">
        <f>AVERAGEIF(Table1[CountryCode],Table1[[#This Row],[CountryCode]],Table1[z-score])</f>
        <v>-1.2093107186394518</v>
      </c>
      <c r="L4304" t="e">
        <f>VLOOKUP(Table1[[#This Row],[CountryCode]],[1]!Table1[#Data],4,FALSE)</f>
        <v>#REF!</v>
      </c>
    </row>
    <row r="4305" spans="1:12" hidden="1" x14ac:dyDescent="0.3">
      <c r="A4305" t="s">
        <v>113</v>
      </c>
      <c r="B4305" t="s">
        <v>114</v>
      </c>
      <c r="C4305" t="s">
        <v>125</v>
      </c>
      <c r="D4305" t="s">
        <v>126</v>
      </c>
      <c r="E4305">
        <v>1981</v>
      </c>
      <c r="F4305" s="1">
        <v>3</v>
      </c>
      <c r="G4305">
        <v>1980</v>
      </c>
      <c r="H4305">
        <f>AVERAGEIFS(Table1[value],Table1[IndicatorCode],Table1[[#This Row],[IndicatorCode]])</f>
        <v>7.6894248608534319</v>
      </c>
      <c r="I4305" cm="1">
        <f t="array" ref="I4305">_xlfn.STDEV.P(IF(Table1[IndicatorCode]=Table1[[#This Row],[IndicatorCode]],Table1[value]))</f>
        <v>5.2319501044600996</v>
      </c>
      <c r="J4305">
        <f>(Table1[[#This Row],[value]] - Table1[[#This Row],[mean]]) / Table1[[#This Row],[std_dev]]</f>
        <v>-0.89630534833576125</v>
      </c>
      <c r="K4305">
        <f>AVERAGEIF(Table1[CountryCode],Table1[[#This Row],[CountryCode]],Table1[z-score])</f>
        <v>-1.2093107186394518</v>
      </c>
      <c r="L4305" t="e">
        <f>VLOOKUP(Table1[[#This Row],[CountryCode]],[1]!Table1[#Data],4,FALSE)</f>
        <v>#REF!</v>
      </c>
    </row>
    <row r="4306" spans="1:12" hidden="1" x14ac:dyDescent="0.3">
      <c r="A4306" t="s">
        <v>113</v>
      </c>
      <c r="B4306" t="s">
        <v>114</v>
      </c>
      <c r="C4306" t="s">
        <v>125</v>
      </c>
      <c r="D4306" t="s">
        <v>126</v>
      </c>
      <c r="E4306">
        <v>1982</v>
      </c>
      <c r="F4306" s="1">
        <v>3</v>
      </c>
      <c r="G4306">
        <v>1980</v>
      </c>
      <c r="H4306">
        <f>AVERAGEIFS(Table1[value],Table1[IndicatorCode],Table1[[#This Row],[IndicatorCode]])</f>
        <v>7.6894248608534319</v>
      </c>
      <c r="I4306" cm="1">
        <f t="array" ref="I4306">_xlfn.STDEV.P(IF(Table1[IndicatorCode]=Table1[[#This Row],[IndicatorCode]],Table1[value]))</f>
        <v>5.2319501044600996</v>
      </c>
      <c r="J4306">
        <f>(Table1[[#This Row],[value]] - Table1[[#This Row],[mean]]) / Table1[[#This Row],[std_dev]]</f>
        <v>-0.89630534833576125</v>
      </c>
      <c r="K4306">
        <f>AVERAGEIF(Table1[CountryCode],Table1[[#This Row],[CountryCode]],Table1[z-score])</f>
        <v>-1.2093107186394518</v>
      </c>
      <c r="L4306" t="e">
        <f>VLOOKUP(Table1[[#This Row],[CountryCode]],[1]!Table1[#Data],4,FALSE)</f>
        <v>#REF!</v>
      </c>
    </row>
    <row r="4307" spans="1:12" hidden="1" x14ac:dyDescent="0.3">
      <c r="A4307" t="s">
        <v>113</v>
      </c>
      <c r="B4307" t="s">
        <v>114</v>
      </c>
      <c r="C4307" t="s">
        <v>125</v>
      </c>
      <c r="D4307" t="s">
        <v>126</v>
      </c>
      <c r="E4307">
        <v>1983</v>
      </c>
      <c r="F4307" s="1">
        <v>3</v>
      </c>
      <c r="G4307">
        <v>1980</v>
      </c>
      <c r="H4307">
        <f>AVERAGEIFS(Table1[value],Table1[IndicatorCode],Table1[[#This Row],[IndicatorCode]])</f>
        <v>7.6894248608534319</v>
      </c>
      <c r="I4307" cm="1">
        <f t="array" ref="I4307">_xlfn.STDEV.P(IF(Table1[IndicatorCode]=Table1[[#This Row],[IndicatorCode]],Table1[value]))</f>
        <v>5.2319501044600996</v>
      </c>
      <c r="J4307">
        <f>(Table1[[#This Row],[value]] - Table1[[#This Row],[mean]]) / Table1[[#This Row],[std_dev]]</f>
        <v>-0.89630534833576125</v>
      </c>
      <c r="K4307">
        <f>AVERAGEIF(Table1[CountryCode],Table1[[#This Row],[CountryCode]],Table1[z-score])</f>
        <v>-1.2093107186394518</v>
      </c>
      <c r="L4307" t="e">
        <f>VLOOKUP(Table1[[#This Row],[CountryCode]],[1]!Table1[#Data],4,FALSE)</f>
        <v>#REF!</v>
      </c>
    </row>
    <row r="4308" spans="1:12" hidden="1" x14ac:dyDescent="0.3">
      <c r="A4308" t="s">
        <v>113</v>
      </c>
      <c r="B4308" t="s">
        <v>114</v>
      </c>
      <c r="C4308" t="s">
        <v>125</v>
      </c>
      <c r="D4308" t="s">
        <v>126</v>
      </c>
      <c r="E4308">
        <v>1984</v>
      </c>
      <c r="F4308" s="1">
        <v>3</v>
      </c>
      <c r="G4308">
        <v>1980</v>
      </c>
      <c r="H4308">
        <f>AVERAGEIFS(Table1[value],Table1[IndicatorCode],Table1[[#This Row],[IndicatorCode]])</f>
        <v>7.6894248608534319</v>
      </c>
      <c r="I4308" cm="1">
        <f t="array" ref="I4308">_xlfn.STDEV.P(IF(Table1[IndicatorCode]=Table1[[#This Row],[IndicatorCode]],Table1[value]))</f>
        <v>5.2319501044600996</v>
      </c>
      <c r="J4308">
        <f>(Table1[[#This Row],[value]] - Table1[[#This Row],[mean]]) / Table1[[#This Row],[std_dev]]</f>
        <v>-0.89630534833576125</v>
      </c>
      <c r="K4308">
        <f>AVERAGEIF(Table1[CountryCode],Table1[[#This Row],[CountryCode]],Table1[z-score])</f>
        <v>-1.2093107186394518</v>
      </c>
      <c r="L4308" t="e">
        <f>VLOOKUP(Table1[[#This Row],[CountryCode]],[1]!Table1[#Data],4,FALSE)</f>
        <v>#REF!</v>
      </c>
    </row>
    <row r="4309" spans="1:12" hidden="1" x14ac:dyDescent="0.3">
      <c r="A4309" t="s">
        <v>113</v>
      </c>
      <c r="B4309" t="s">
        <v>114</v>
      </c>
      <c r="C4309" t="s">
        <v>125</v>
      </c>
      <c r="D4309" t="s">
        <v>126</v>
      </c>
      <c r="E4309">
        <v>1985</v>
      </c>
      <c r="F4309" s="1">
        <v>3</v>
      </c>
      <c r="G4309">
        <v>1980</v>
      </c>
      <c r="H4309">
        <f>AVERAGEIFS(Table1[value],Table1[IndicatorCode],Table1[[#This Row],[IndicatorCode]])</f>
        <v>7.6894248608534319</v>
      </c>
      <c r="I4309" cm="1">
        <f t="array" ref="I4309">_xlfn.STDEV.P(IF(Table1[IndicatorCode]=Table1[[#This Row],[IndicatorCode]],Table1[value]))</f>
        <v>5.2319501044600996</v>
      </c>
      <c r="J4309">
        <f>(Table1[[#This Row],[value]] - Table1[[#This Row],[mean]]) / Table1[[#This Row],[std_dev]]</f>
        <v>-0.89630534833576125</v>
      </c>
      <c r="K4309">
        <f>AVERAGEIF(Table1[CountryCode],Table1[[#This Row],[CountryCode]],Table1[z-score])</f>
        <v>-1.2093107186394518</v>
      </c>
      <c r="L4309" t="e">
        <f>VLOOKUP(Table1[[#This Row],[CountryCode]],[1]!Table1[#Data],4,FALSE)</f>
        <v>#REF!</v>
      </c>
    </row>
    <row r="4310" spans="1:12" hidden="1" x14ac:dyDescent="0.3">
      <c r="A4310" t="s">
        <v>113</v>
      </c>
      <c r="B4310" t="s">
        <v>114</v>
      </c>
      <c r="C4310" t="s">
        <v>125</v>
      </c>
      <c r="D4310" t="s">
        <v>126</v>
      </c>
      <c r="E4310">
        <v>1986</v>
      </c>
      <c r="F4310" s="1">
        <v>3</v>
      </c>
      <c r="G4310">
        <v>1980</v>
      </c>
      <c r="H4310">
        <f>AVERAGEIFS(Table1[value],Table1[IndicatorCode],Table1[[#This Row],[IndicatorCode]])</f>
        <v>7.6894248608534319</v>
      </c>
      <c r="I4310" cm="1">
        <f t="array" ref="I4310">_xlfn.STDEV.P(IF(Table1[IndicatorCode]=Table1[[#This Row],[IndicatorCode]],Table1[value]))</f>
        <v>5.2319501044600996</v>
      </c>
      <c r="J4310">
        <f>(Table1[[#This Row],[value]] - Table1[[#This Row],[mean]]) / Table1[[#This Row],[std_dev]]</f>
        <v>-0.89630534833576125</v>
      </c>
      <c r="K4310">
        <f>AVERAGEIF(Table1[CountryCode],Table1[[#This Row],[CountryCode]],Table1[z-score])</f>
        <v>-1.2093107186394518</v>
      </c>
      <c r="L4310" t="e">
        <f>VLOOKUP(Table1[[#This Row],[CountryCode]],[1]!Table1[#Data],4,FALSE)</f>
        <v>#REF!</v>
      </c>
    </row>
    <row r="4311" spans="1:12" hidden="1" x14ac:dyDescent="0.3">
      <c r="A4311" t="s">
        <v>113</v>
      </c>
      <c r="B4311" t="s">
        <v>114</v>
      </c>
      <c r="C4311" t="s">
        <v>125</v>
      </c>
      <c r="D4311" t="s">
        <v>126</v>
      </c>
      <c r="E4311">
        <v>1987</v>
      </c>
      <c r="F4311" s="1">
        <v>3</v>
      </c>
      <c r="G4311">
        <v>1990</v>
      </c>
      <c r="H4311">
        <f>AVERAGEIFS(Table1[value],Table1[IndicatorCode],Table1[[#This Row],[IndicatorCode]])</f>
        <v>7.6894248608534319</v>
      </c>
      <c r="I4311" cm="1">
        <f t="array" ref="I4311">_xlfn.STDEV.P(IF(Table1[IndicatorCode]=Table1[[#This Row],[IndicatorCode]],Table1[value]))</f>
        <v>5.2319501044600996</v>
      </c>
      <c r="J4311">
        <f>(Table1[[#This Row],[value]] - Table1[[#This Row],[mean]]) / Table1[[#This Row],[std_dev]]</f>
        <v>-0.89630534833576125</v>
      </c>
      <c r="K4311">
        <f>AVERAGEIF(Table1[CountryCode],Table1[[#This Row],[CountryCode]],Table1[z-score])</f>
        <v>-1.2093107186394518</v>
      </c>
      <c r="L4311" t="e">
        <f>VLOOKUP(Table1[[#This Row],[CountryCode]],[1]!Table1[#Data],4,FALSE)</f>
        <v>#REF!</v>
      </c>
    </row>
    <row r="4312" spans="1:12" hidden="1" x14ac:dyDescent="0.3">
      <c r="A4312" t="s">
        <v>113</v>
      </c>
      <c r="B4312" t="s">
        <v>114</v>
      </c>
      <c r="C4312" t="s">
        <v>125</v>
      </c>
      <c r="D4312" t="s">
        <v>126</v>
      </c>
      <c r="E4312">
        <v>1988</v>
      </c>
      <c r="F4312" s="1">
        <v>3</v>
      </c>
      <c r="G4312">
        <v>1990</v>
      </c>
      <c r="H4312">
        <f>AVERAGEIFS(Table1[value],Table1[IndicatorCode],Table1[[#This Row],[IndicatorCode]])</f>
        <v>7.6894248608534319</v>
      </c>
      <c r="I4312" cm="1">
        <f t="array" ref="I4312">_xlfn.STDEV.P(IF(Table1[IndicatorCode]=Table1[[#This Row],[IndicatorCode]],Table1[value]))</f>
        <v>5.2319501044600996</v>
      </c>
      <c r="J4312">
        <f>(Table1[[#This Row],[value]] - Table1[[#This Row],[mean]]) / Table1[[#This Row],[std_dev]]</f>
        <v>-0.89630534833576125</v>
      </c>
      <c r="K4312">
        <f>AVERAGEIF(Table1[CountryCode],Table1[[#This Row],[CountryCode]],Table1[z-score])</f>
        <v>-1.2093107186394518</v>
      </c>
      <c r="L4312" t="e">
        <f>VLOOKUP(Table1[[#This Row],[CountryCode]],[1]!Table1[#Data],4,FALSE)</f>
        <v>#REF!</v>
      </c>
    </row>
    <row r="4313" spans="1:12" hidden="1" x14ac:dyDescent="0.3">
      <c r="A4313" t="s">
        <v>113</v>
      </c>
      <c r="B4313" t="s">
        <v>114</v>
      </c>
      <c r="C4313" t="s">
        <v>125</v>
      </c>
      <c r="D4313" t="s">
        <v>126</v>
      </c>
      <c r="E4313">
        <v>1989</v>
      </c>
      <c r="F4313" s="1">
        <v>3</v>
      </c>
      <c r="G4313">
        <v>1990</v>
      </c>
      <c r="H4313">
        <f>AVERAGEIFS(Table1[value],Table1[IndicatorCode],Table1[[#This Row],[IndicatorCode]])</f>
        <v>7.6894248608534319</v>
      </c>
      <c r="I4313" cm="1">
        <f t="array" ref="I4313">_xlfn.STDEV.P(IF(Table1[IndicatorCode]=Table1[[#This Row],[IndicatorCode]],Table1[value]))</f>
        <v>5.2319501044600996</v>
      </c>
      <c r="J4313">
        <f>(Table1[[#This Row],[value]] - Table1[[#This Row],[mean]]) / Table1[[#This Row],[std_dev]]</f>
        <v>-0.89630534833576125</v>
      </c>
      <c r="K4313">
        <f>AVERAGEIF(Table1[CountryCode],Table1[[#This Row],[CountryCode]],Table1[z-score])</f>
        <v>-1.2093107186394518</v>
      </c>
      <c r="L4313" t="e">
        <f>VLOOKUP(Table1[[#This Row],[CountryCode]],[1]!Table1[#Data],4,FALSE)</f>
        <v>#REF!</v>
      </c>
    </row>
    <row r="4314" spans="1:12" hidden="1" x14ac:dyDescent="0.3">
      <c r="A4314" t="s">
        <v>113</v>
      </c>
      <c r="B4314" t="s">
        <v>114</v>
      </c>
      <c r="C4314" t="s">
        <v>125</v>
      </c>
      <c r="D4314" t="s">
        <v>126</v>
      </c>
      <c r="E4314">
        <v>1990</v>
      </c>
      <c r="F4314" s="1">
        <v>2</v>
      </c>
      <c r="G4314">
        <v>1990</v>
      </c>
      <c r="H4314">
        <f>AVERAGEIFS(Table1[value],Table1[IndicatorCode],Table1[[#This Row],[IndicatorCode]])</f>
        <v>7.6894248608534319</v>
      </c>
      <c r="I4314" cm="1">
        <f t="array" ref="I4314">_xlfn.STDEV.P(IF(Table1[IndicatorCode]=Table1[[#This Row],[IndicatorCode]],Table1[value]))</f>
        <v>5.2319501044600996</v>
      </c>
      <c r="J4314">
        <f>(Table1[[#This Row],[value]] - Table1[[#This Row],[mean]]) / Table1[[#This Row],[std_dev]]</f>
        <v>-1.0874386695705196</v>
      </c>
      <c r="K4314">
        <f>AVERAGEIF(Table1[CountryCode],Table1[[#This Row],[CountryCode]],Table1[z-score])</f>
        <v>-1.2093107186394518</v>
      </c>
      <c r="L4314" t="e">
        <f>VLOOKUP(Table1[[#This Row],[CountryCode]],[1]!Table1[#Data],4,FALSE)</f>
        <v>#REF!</v>
      </c>
    </row>
    <row r="4315" spans="1:12" hidden="1" x14ac:dyDescent="0.3">
      <c r="A4315" t="s">
        <v>113</v>
      </c>
      <c r="B4315" t="s">
        <v>114</v>
      </c>
      <c r="C4315" t="s">
        <v>125</v>
      </c>
      <c r="D4315" t="s">
        <v>126</v>
      </c>
      <c r="E4315">
        <v>1991</v>
      </c>
      <c r="F4315" s="1">
        <v>2</v>
      </c>
      <c r="G4315">
        <v>1990</v>
      </c>
      <c r="H4315">
        <f>AVERAGEIFS(Table1[value],Table1[IndicatorCode],Table1[[#This Row],[IndicatorCode]])</f>
        <v>7.6894248608534319</v>
      </c>
      <c r="I4315" cm="1">
        <f t="array" ref="I4315">_xlfn.STDEV.P(IF(Table1[IndicatorCode]=Table1[[#This Row],[IndicatorCode]],Table1[value]))</f>
        <v>5.2319501044600996</v>
      </c>
      <c r="J4315">
        <f>(Table1[[#This Row],[value]] - Table1[[#This Row],[mean]]) / Table1[[#This Row],[std_dev]]</f>
        <v>-1.0874386695705196</v>
      </c>
      <c r="K4315">
        <f>AVERAGEIF(Table1[CountryCode],Table1[[#This Row],[CountryCode]],Table1[z-score])</f>
        <v>-1.2093107186394518</v>
      </c>
      <c r="L4315" t="e">
        <f>VLOOKUP(Table1[[#This Row],[CountryCode]],[1]!Table1[#Data],4,FALSE)</f>
        <v>#REF!</v>
      </c>
    </row>
    <row r="4316" spans="1:12" hidden="1" x14ac:dyDescent="0.3">
      <c r="A4316" t="s">
        <v>113</v>
      </c>
      <c r="B4316" t="s">
        <v>114</v>
      </c>
      <c r="C4316" t="s">
        <v>125</v>
      </c>
      <c r="D4316" t="s">
        <v>126</v>
      </c>
      <c r="E4316">
        <v>1992</v>
      </c>
      <c r="F4316" s="1">
        <v>2</v>
      </c>
      <c r="G4316">
        <v>1990</v>
      </c>
      <c r="H4316">
        <f>AVERAGEIFS(Table1[value],Table1[IndicatorCode],Table1[[#This Row],[IndicatorCode]])</f>
        <v>7.6894248608534319</v>
      </c>
      <c r="I4316" cm="1">
        <f t="array" ref="I4316">_xlfn.STDEV.P(IF(Table1[IndicatorCode]=Table1[[#This Row],[IndicatorCode]],Table1[value]))</f>
        <v>5.2319501044600996</v>
      </c>
      <c r="J4316">
        <f>(Table1[[#This Row],[value]] - Table1[[#This Row],[mean]]) / Table1[[#This Row],[std_dev]]</f>
        <v>-1.0874386695705196</v>
      </c>
      <c r="K4316">
        <f>AVERAGEIF(Table1[CountryCode],Table1[[#This Row],[CountryCode]],Table1[z-score])</f>
        <v>-1.2093107186394518</v>
      </c>
      <c r="L4316" t="e">
        <f>VLOOKUP(Table1[[#This Row],[CountryCode]],[1]!Table1[#Data],4,FALSE)</f>
        <v>#REF!</v>
      </c>
    </row>
    <row r="4317" spans="1:12" hidden="1" x14ac:dyDescent="0.3">
      <c r="A4317" t="s">
        <v>113</v>
      </c>
      <c r="B4317" t="s">
        <v>114</v>
      </c>
      <c r="C4317" t="s">
        <v>125</v>
      </c>
      <c r="D4317" t="s">
        <v>126</v>
      </c>
      <c r="E4317">
        <v>1993</v>
      </c>
      <c r="F4317" s="1">
        <v>1</v>
      </c>
      <c r="G4317">
        <v>1990</v>
      </c>
      <c r="H4317">
        <f>AVERAGEIFS(Table1[value],Table1[IndicatorCode],Table1[[#This Row],[IndicatorCode]])</f>
        <v>7.6894248608534319</v>
      </c>
      <c r="I4317" cm="1">
        <f t="array" ref="I4317">_xlfn.STDEV.P(IF(Table1[IndicatorCode]=Table1[[#This Row],[IndicatorCode]],Table1[value]))</f>
        <v>5.2319501044600996</v>
      </c>
      <c r="J4317">
        <f>(Table1[[#This Row],[value]] - Table1[[#This Row],[mean]]) / Table1[[#This Row],[std_dev]]</f>
        <v>-1.2785719908052779</v>
      </c>
      <c r="K4317">
        <f>AVERAGEIF(Table1[CountryCode],Table1[[#This Row],[CountryCode]],Table1[z-score])</f>
        <v>-1.2093107186394518</v>
      </c>
      <c r="L4317" t="e">
        <f>VLOOKUP(Table1[[#This Row],[CountryCode]],[1]!Table1[#Data],4,FALSE)</f>
        <v>#REF!</v>
      </c>
    </row>
    <row r="4318" spans="1:12" hidden="1" x14ac:dyDescent="0.3">
      <c r="A4318" t="s">
        <v>113</v>
      </c>
      <c r="B4318" t="s">
        <v>114</v>
      </c>
      <c r="C4318" t="s">
        <v>125</v>
      </c>
      <c r="D4318" t="s">
        <v>126</v>
      </c>
      <c r="E4318">
        <v>1994</v>
      </c>
      <c r="F4318" s="1">
        <v>1</v>
      </c>
      <c r="G4318">
        <v>1990</v>
      </c>
      <c r="H4318">
        <f>AVERAGEIFS(Table1[value],Table1[IndicatorCode],Table1[[#This Row],[IndicatorCode]])</f>
        <v>7.6894248608534319</v>
      </c>
      <c r="I4318" cm="1">
        <f t="array" ref="I4318">_xlfn.STDEV.P(IF(Table1[IndicatorCode]=Table1[[#This Row],[IndicatorCode]],Table1[value]))</f>
        <v>5.2319501044600996</v>
      </c>
      <c r="J4318">
        <f>(Table1[[#This Row],[value]] - Table1[[#This Row],[mean]]) / Table1[[#This Row],[std_dev]]</f>
        <v>-1.2785719908052779</v>
      </c>
      <c r="K4318">
        <f>AVERAGEIF(Table1[CountryCode],Table1[[#This Row],[CountryCode]],Table1[z-score])</f>
        <v>-1.2093107186394518</v>
      </c>
      <c r="L4318" t="e">
        <f>VLOOKUP(Table1[[#This Row],[CountryCode]],[1]!Table1[#Data],4,FALSE)</f>
        <v>#REF!</v>
      </c>
    </row>
    <row r="4319" spans="1:12" hidden="1" x14ac:dyDescent="0.3">
      <c r="A4319" t="s">
        <v>113</v>
      </c>
      <c r="B4319" t="s">
        <v>114</v>
      </c>
      <c r="C4319" t="s">
        <v>125</v>
      </c>
      <c r="D4319" t="s">
        <v>126</v>
      </c>
      <c r="E4319">
        <v>1995</v>
      </c>
      <c r="F4319" s="1">
        <v>1</v>
      </c>
      <c r="G4319">
        <v>1990</v>
      </c>
      <c r="H4319">
        <f>AVERAGEIFS(Table1[value],Table1[IndicatorCode],Table1[[#This Row],[IndicatorCode]])</f>
        <v>7.6894248608534319</v>
      </c>
      <c r="I4319" cm="1">
        <f t="array" ref="I4319">_xlfn.STDEV.P(IF(Table1[IndicatorCode]=Table1[[#This Row],[IndicatorCode]],Table1[value]))</f>
        <v>5.2319501044600996</v>
      </c>
      <c r="J4319">
        <f>(Table1[[#This Row],[value]] - Table1[[#This Row],[mean]]) / Table1[[#This Row],[std_dev]]</f>
        <v>-1.2785719908052779</v>
      </c>
      <c r="K4319">
        <f>AVERAGEIF(Table1[CountryCode],Table1[[#This Row],[CountryCode]],Table1[z-score])</f>
        <v>-1.2093107186394518</v>
      </c>
      <c r="L4319" t="e">
        <f>VLOOKUP(Table1[[#This Row],[CountryCode]],[1]!Table1[#Data],4,FALSE)</f>
        <v>#REF!</v>
      </c>
    </row>
    <row r="4320" spans="1:12" hidden="1" x14ac:dyDescent="0.3">
      <c r="A4320" t="s">
        <v>113</v>
      </c>
      <c r="B4320" t="s">
        <v>114</v>
      </c>
      <c r="C4320" t="s">
        <v>125</v>
      </c>
      <c r="D4320" t="s">
        <v>126</v>
      </c>
      <c r="E4320">
        <v>1996</v>
      </c>
      <c r="F4320" s="1">
        <v>0</v>
      </c>
      <c r="G4320">
        <v>1990</v>
      </c>
      <c r="H4320">
        <f>AVERAGEIFS(Table1[value],Table1[IndicatorCode],Table1[[#This Row],[IndicatorCode]])</f>
        <v>7.6894248608534319</v>
      </c>
      <c r="I4320" cm="1">
        <f t="array" ref="I4320">_xlfn.STDEV.P(IF(Table1[IndicatorCode]=Table1[[#This Row],[IndicatorCode]],Table1[value]))</f>
        <v>5.2319501044600996</v>
      </c>
      <c r="J4320">
        <f>(Table1[[#This Row],[value]] - Table1[[#This Row],[mean]]) / Table1[[#This Row],[std_dev]]</f>
        <v>-1.4697053120400365</v>
      </c>
      <c r="K4320">
        <f>AVERAGEIF(Table1[CountryCode],Table1[[#This Row],[CountryCode]],Table1[z-score])</f>
        <v>-1.2093107186394518</v>
      </c>
      <c r="L4320" t="e">
        <f>VLOOKUP(Table1[[#This Row],[CountryCode]],[1]!Table1[#Data],4,FALSE)</f>
        <v>#REF!</v>
      </c>
    </row>
    <row r="4321" spans="1:12" hidden="1" x14ac:dyDescent="0.3">
      <c r="A4321" t="s">
        <v>113</v>
      </c>
      <c r="B4321" t="s">
        <v>114</v>
      </c>
      <c r="C4321" t="s">
        <v>125</v>
      </c>
      <c r="D4321" t="s">
        <v>126</v>
      </c>
      <c r="E4321">
        <v>1997</v>
      </c>
      <c r="F4321" s="1">
        <v>0</v>
      </c>
      <c r="G4321">
        <v>2000</v>
      </c>
      <c r="H4321">
        <f>AVERAGEIFS(Table1[value],Table1[IndicatorCode],Table1[[#This Row],[IndicatorCode]])</f>
        <v>7.6894248608534319</v>
      </c>
      <c r="I4321" cm="1">
        <f t="array" ref="I4321">_xlfn.STDEV.P(IF(Table1[IndicatorCode]=Table1[[#This Row],[IndicatorCode]],Table1[value]))</f>
        <v>5.2319501044600996</v>
      </c>
      <c r="J4321">
        <f>(Table1[[#This Row],[value]] - Table1[[#This Row],[mean]]) / Table1[[#This Row],[std_dev]]</f>
        <v>-1.4697053120400365</v>
      </c>
      <c r="K4321">
        <f>AVERAGEIF(Table1[CountryCode],Table1[[#This Row],[CountryCode]],Table1[z-score])</f>
        <v>-1.2093107186394518</v>
      </c>
      <c r="L4321" t="e">
        <f>VLOOKUP(Table1[[#This Row],[CountryCode]],[1]!Table1[#Data],4,FALSE)</f>
        <v>#REF!</v>
      </c>
    </row>
    <row r="4322" spans="1:12" hidden="1" x14ac:dyDescent="0.3">
      <c r="A4322" t="s">
        <v>113</v>
      </c>
      <c r="B4322" t="s">
        <v>114</v>
      </c>
      <c r="C4322" t="s">
        <v>125</v>
      </c>
      <c r="D4322" t="s">
        <v>126</v>
      </c>
      <c r="E4322">
        <v>1998</v>
      </c>
      <c r="F4322" s="1">
        <v>1</v>
      </c>
      <c r="G4322">
        <v>2000</v>
      </c>
      <c r="H4322">
        <f>AVERAGEIFS(Table1[value],Table1[IndicatorCode],Table1[[#This Row],[IndicatorCode]])</f>
        <v>7.6894248608534319</v>
      </c>
      <c r="I4322" cm="1">
        <f t="array" ref="I4322">_xlfn.STDEV.P(IF(Table1[IndicatorCode]=Table1[[#This Row],[IndicatorCode]],Table1[value]))</f>
        <v>5.2319501044600996</v>
      </c>
      <c r="J4322">
        <f>(Table1[[#This Row],[value]] - Table1[[#This Row],[mean]]) / Table1[[#This Row],[std_dev]]</f>
        <v>-1.2785719908052779</v>
      </c>
      <c r="K4322">
        <f>AVERAGEIF(Table1[CountryCode],Table1[[#This Row],[CountryCode]],Table1[z-score])</f>
        <v>-1.2093107186394518</v>
      </c>
      <c r="L4322" t="e">
        <f>VLOOKUP(Table1[[#This Row],[CountryCode]],[1]!Table1[#Data],4,FALSE)</f>
        <v>#REF!</v>
      </c>
    </row>
    <row r="4323" spans="1:12" hidden="1" x14ac:dyDescent="0.3">
      <c r="A4323" t="s">
        <v>113</v>
      </c>
      <c r="B4323" t="s">
        <v>114</v>
      </c>
      <c r="C4323" t="s">
        <v>125</v>
      </c>
      <c r="D4323" t="s">
        <v>126</v>
      </c>
      <c r="E4323">
        <v>1999</v>
      </c>
      <c r="F4323" s="1">
        <v>0</v>
      </c>
      <c r="G4323">
        <v>2000</v>
      </c>
      <c r="H4323">
        <f>AVERAGEIFS(Table1[value],Table1[IndicatorCode],Table1[[#This Row],[IndicatorCode]])</f>
        <v>7.6894248608534319</v>
      </c>
      <c r="I4323" cm="1">
        <f t="array" ref="I4323">_xlfn.STDEV.P(IF(Table1[IndicatorCode]=Table1[[#This Row],[IndicatorCode]],Table1[value]))</f>
        <v>5.2319501044600996</v>
      </c>
      <c r="J4323">
        <f>(Table1[[#This Row],[value]] - Table1[[#This Row],[mean]]) / Table1[[#This Row],[std_dev]]</f>
        <v>-1.4697053120400365</v>
      </c>
      <c r="K4323">
        <f>AVERAGEIF(Table1[CountryCode],Table1[[#This Row],[CountryCode]],Table1[z-score])</f>
        <v>-1.2093107186394518</v>
      </c>
      <c r="L4323" t="e">
        <f>VLOOKUP(Table1[[#This Row],[CountryCode]],[1]!Table1[#Data],4,FALSE)</f>
        <v>#REF!</v>
      </c>
    </row>
    <row r="4324" spans="1:12" hidden="1" x14ac:dyDescent="0.3">
      <c r="A4324" t="s">
        <v>113</v>
      </c>
      <c r="B4324" t="s">
        <v>114</v>
      </c>
      <c r="C4324" t="s">
        <v>125</v>
      </c>
      <c r="D4324" t="s">
        <v>126</v>
      </c>
      <c r="E4324">
        <v>2000</v>
      </c>
      <c r="F4324" s="1">
        <v>0</v>
      </c>
      <c r="G4324">
        <v>2000</v>
      </c>
      <c r="H4324">
        <f>AVERAGEIFS(Table1[value],Table1[IndicatorCode],Table1[[#This Row],[IndicatorCode]])</f>
        <v>7.6894248608534319</v>
      </c>
      <c r="I4324" cm="1">
        <f t="array" ref="I4324">_xlfn.STDEV.P(IF(Table1[IndicatorCode]=Table1[[#This Row],[IndicatorCode]],Table1[value]))</f>
        <v>5.2319501044600996</v>
      </c>
      <c r="J4324">
        <f>(Table1[[#This Row],[value]] - Table1[[#This Row],[mean]]) / Table1[[#This Row],[std_dev]]</f>
        <v>-1.4697053120400365</v>
      </c>
      <c r="K4324">
        <f>AVERAGEIF(Table1[CountryCode],Table1[[#This Row],[CountryCode]],Table1[z-score])</f>
        <v>-1.2093107186394518</v>
      </c>
      <c r="L4324" t="e">
        <f>VLOOKUP(Table1[[#This Row],[CountryCode]],[1]!Table1[#Data],4,FALSE)</f>
        <v>#REF!</v>
      </c>
    </row>
    <row r="4325" spans="1:12" hidden="1" x14ac:dyDescent="0.3">
      <c r="A4325" t="s">
        <v>113</v>
      </c>
      <c r="B4325" t="s">
        <v>114</v>
      </c>
      <c r="C4325" t="s">
        <v>125</v>
      </c>
      <c r="D4325" t="s">
        <v>126</v>
      </c>
      <c r="E4325">
        <v>2001</v>
      </c>
      <c r="F4325" s="1">
        <v>0</v>
      </c>
      <c r="G4325">
        <v>2000</v>
      </c>
      <c r="H4325">
        <f>AVERAGEIFS(Table1[value],Table1[IndicatorCode],Table1[[#This Row],[IndicatorCode]])</f>
        <v>7.6894248608534319</v>
      </c>
      <c r="I4325" cm="1">
        <f t="array" ref="I4325">_xlfn.STDEV.P(IF(Table1[IndicatorCode]=Table1[[#This Row],[IndicatorCode]],Table1[value]))</f>
        <v>5.2319501044600996</v>
      </c>
      <c r="J4325">
        <f>(Table1[[#This Row],[value]] - Table1[[#This Row],[mean]]) / Table1[[#This Row],[std_dev]]</f>
        <v>-1.4697053120400365</v>
      </c>
      <c r="K4325">
        <f>AVERAGEIF(Table1[CountryCode],Table1[[#This Row],[CountryCode]],Table1[z-score])</f>
        <v>-1.2093107186394518</v>
      </c>
      <c r="L4325" t="e">
        <f>VLOOKUP(Table1[[#This Row],[CountryCode]],[1]!Table1[#Data],4,FALSE)</f>
        <v>#REF!</v>
      </c>
    </row>
    <row r="4326" spans="1:12" hidden="1" x14ac:dyDescent="0.3">
      <c r="A4326" t="s">
        <v>113</v>
      </c>
      <c r="B4326" t="s">
        <v>114</v>
      </c>
      <c r="C4326" t="s">
        <v>125</v>
      </c>
      <c r="D4326" t="s">
        <v>126</v>
      </c>
      <c r="E4326">
        <v>2002</v>
      </c>
      <c r="F4326" s="1">
        <v>0</v>
      </c>
      <c r="G4326">
        <v>2000</v>
      </c>
      <c r="H4326">
        <f>AVERAGEIFS(Table1[value],Table1[IndicatorCode],Table1[[#This Row],[IndicatorCode]])</f>
        <v>7.6894248608534319</v>
      </c>
      <c r="I4326" cm="1">
        <f t="array" ref="I4326">_xlfn.STDEV.P(IF(Table1[IndicatorCode]=Table1[[#This Row],[IndicatorCode]],Table1[value]))</f>
        <v>5.2319501044600996</v>
      </c>
      <c r="J4326">
        <f>(Table1[[#This Row],[value]] - Table1[[#This Row],[mean]]) / Table1[[#This Row],[std_dev]]</f>
        <v>-1.4697053120400365</v>
      </c>
      <c r="K4326">
        <f>AVERAGEIF(Table1[CountryCode],Table1[[#This Row],[CountryCode]],Table1[z-score])</f>
        <v>-1.2093107186394518</v>
      </c>
      <c r="L4326" t="e">
        <f>VLOOKUP(Table1[[#This Row],[CountryCode]],[1]!Table1[#Data],4,FALSE)</f>
        <v>#REF!</v>
      </c>
    </row>
    <row r="4327" spans="1:12" hidden="1" x14ac:dyDescent="0.3">
      <c r="A4327" t="s">
        <v>113</v>
      </c>
      <c r="B4327" t="s">
        <v>114</v>
      </c>
      <c r="C4327" t="s">
        <v>125</v>
      </c>
      <c r="D4327" t="s">
        <v>126</v>
      </c>
      <c r="E4327">
        <v>2003</v>
      </c>
      <c r="F4327" s="1">
        <v>0</v>
      </c>
      <c r="G4327">
        <v>2000</v>
      </c>
      <c r="H4327">
        <f>AVERAGEIFS(Table1[value],Table1[IndicatorCode],Table1[[#This Row],[IndicatorCode]])</f>
        <v>7.6894248608534319</v>
      </c>
      <c r="I4327" cm="1">
        <f t="array" ref="I4327">_xlfn.STDEV.P(IF(Table1[IndicatorCode]=Table1[[#This Row],[IndicatorCode]],Table1[value]))</f>
        <v>5.2319501044600996</v>
      </c>
      <c r="J4327">
        <f>(Table1[[#This Row],[value]] - Table1[[#This Row],[mean]]) / Table1[[#This Row],[std_dev]]</f>
        <v>-1.4697053120400365</v>
      </c>
      <c r="K4327">
        <f>AVERAGEIF(Table1[CountryCode],Table1[[#This Row],[CountryCode]],Table1[z-score])</f>
        <v>-1.2093107186394518</v>
      </c>
      <c r="L4327" t="e">
        <f>VLOOKUP(Table1[[#This Row],[CountryCode]],[1]!Table1[#Data],4,FALSE)</f>
        <v>#REF!</v>
      </c>
    </row>
    <row r="4328" spans="1:12" hidden="1" x14ac:dyDescent="0.3">
      <c r="A4328" t="s">
        <v>113</v>
      </c>
      <c r="B4328" t="s">
        <v>114</v>
      </c>
      <c r="C4328" t="s">
        <v>125</v>
      </c>
      <c r="D4328" t="s">
        <v>126</v>
      </c>
      <c r="E4328">
        <v>2004</v>
      </c>
      <c r="F4328" s="1">
        <v>0</v>
      </c>
      <c r="G4328">
        <v>2000</v>
      </c>
      <c r="H4328">
        <f>AVERAGEIFS(Table1[value],Table1[IndicatorCode],Table1[[#This Row],[IndicatorCode]])</f>
        <v>7.6894248608534319</v>
      </c>
      <c r="I4328" cm="1">
        <f t="array" ref="I4328">_xlfn.STDEV.P(IF(Table1[IndicatorCode]=Table1[[#This Row],[IndicatorCode]],Table1[value]))</f>
        <v>5.2319501044600996</v>
      </c>
      <c r="J4328">
        <f>(Table1[[#This Row],[value]] - Table1[[#This Row],[mean]]) / Table1[[#This Row],[std_dev]]</f>
        <v>-1.4697053120400365</v>
      </c>
      <c r="K4328">
        <f>AVERAGEIF(Table1[CountryCode],Table1[[#This Row],[CountryCode]],Table1[z-score])</f>
        <v>-1.2093107186394518</v>
      </c>
      <c r="L4328" t="e">
        <f>VLOOKUP(Table1[[#This Row],[CountryCode]],[1]!Table1[#Data],4,FALSE)</f>
        <v>#REF!</v>
      </c>
    </row>
    <row r="4329" spans="1:12" hidden="1" x14ac:dyDescent="0.3">
      <c r="A4329" t="s">
        <v>113</v>
      </c>
      <c r="B4329" t="s">
        <v>114</v>
      </c>
      <c r="C4329" t="s">
        <v>125</v>
      </c>
      <c r="D4329" t="s">
        <v>126</v>
      </c>
      <c r="E4329">
        <v>2005</v>
      </c>
      <c r="F4329" s="1">
        <v>0</v>
      </c>
      <c r="G4329">
        <v>2000</v>
      </c>
      <c r="H4329">
        <f>AVERAGEIFS(Table1[value],Table1[IndicatorCode],Table1[[#This Row],[IndicatorCode]])</f>
        <v>7.6894248608534319</v>
      </c>
      <c r="I4329" cm="1">
        <f t="array" ref="I4329">_xlfn.STDEV.P(IF(Table1[IndicatorCode]=Table1[[#This Row],[IndicatorCode]],Table1[value]))</f>
        <v>5.2319501044600996</v>
      </c>
      <c r="J4329">
        <f>(Table1[[#This Row],[value]] - Table1[[#This Row],[mean]]) / Table1[[#This Row],[std_dev]]</f>
        <v>-1.4697053120400365</v>
      </c>
      <c r="K4329">
        <f>AVERAGEIF(Table1[CountryCode],Table1[[#This Row],[CountryCode]],Table1[z-score])</f>
        <v>-1.2093107186394518</v>
      </c>
      <c r="L4329" t="e">
        <f>VLOOKUP(Table1[[#This Row],[CountryCode]],[1]!Table1[#Data],4,FALSE)</f>
        <v>#REF!</v>
      </c>
    </row>
    <row r="4330" spans="1:12" hidden="1" x14ac:dyDescent="0.3">
      <c r="A4330" t="s">
        <v>113</v>
      </c>
      <c r="B4330" t="s">
        <v>114</v>
      </c>
      <c r="C4330" t="s">
        <v>125</v>
      </c>
      <c r="D4330" t="s">
        <v>126</v>
      </c>
      <c r="E4330">
        <v>2006</v>
      </c>
      <c r="F4330" s="1">
        <v>0</v>
      </c>
      <c r="G4330">
        <v>2000</v>
      </c>
      <c r="H4330">
        <f>AVERAGEIFS(Table1[value],Table1[IndicatorCode],Table1[[#This Row],[IndicatorCode]])</f>
        <v>7.6894248608534319</v>
      </c>
      <c r="I4330" cm="1">
        <f t="array" ref="I4330">_xlfn.STDEV.P(IF(Table1[IndicatorCode]=Table1[[#This Row],[IndicatorCode]],Table1[value]))</f>
        <v>5.2319501044600996</v>
      </c>
      <c r="J4330">
        <f>(Table1[[#This Row],[value]] - Table1[[#This Row],[mean]]) / Table1[[#This Row],[std_dev]]</f>
        <v>-1.4697053120400365</v>
      </c>
      <c r="K4330">
        <f>AVERAGEIF(Table1[CountryCode],Table1[[#This Row],[CountryCode]],Table1[z-score])</f>
        <v>-1.2093107186394518</v>
      </c>
      <c r="L4330" t="e">
        <f>VLOOKUP(Table1[[#This Row],[CountryCode]],[1]!Table1[#Data],4,FALSE)</f>
        <v>#REF!</v>
      </c>
    </row>
    <row r="4331" spans="1:12" hidden="1" x14ac:dyDescent="0.3">
      <c r="A4331" t="s">
        <v>113</v>
      </c>
      <c r="B4331" t="s">
        <v>114</v>
      </c>
      <c r="C4331" t="s">
        <v>125</v>
      </c>
      <c r="D4331" t="s">
        <v>126</v>
      </c>
      <c r="E4331">
        <v>2007</v>
      </c>
      <c r="F4331" s="1">
        <v>1</v>
      </c>
      <c r="G4331">
        <v>2010</v>
      </c>
      <c r="H4331">
        <f>AVERAGEIFS(Table1[value],Table1[IndicatorCode],Table1[[#This Row],[IndicatorCode]])</f>
        <v>7.6894248608534319</v>
      </c>
      <c r="I4331" cm="1">
        <f t="array" ref="I4331">_xlfn.STDEV.P(IF(Table1[IndicatorCode]=Table1[[#This Row],[IndicatorCode]],Table1[value]))</f>
        <v>5.2319501044600996</v>
      </c>
      <c r="J4331">
        <f>(Table1[[#This Row],[value]] - Table1[[#This Row],[mean]]) / Table1[[#This Row],[std_dev]]</f>
        <v>-1.2785719908052779</v>
      </c>
      <c r="K4331">
        <f>AVERAGEIF(Table1[CountryCode],Table1[[#This Row],[CountryCode]],Table1[z-score])</f>
        <v>-1.2093107186394518</v>
      </c>
      <c r="L4331" t="e">
        <f>VLOOKUP(Table1[[#This Row],[CountryCode]],[1]!Table1[#Data],4,FALSE)</f>
        <v>#REF!</v>
      </c>
    </row>
    <row r="4332" spans="1:12" hidden="1" x14ac:dyDescent="0.3">
      <c r="A4332" t="s">
        <v>113</v>
      </c>
      <c r="B4332" t="s">
        <v>114</v>
      </c>
      <c r="C4332" t="s">
        <v>125</v>
      </c>
      <c r="D4332" t="s">
        <v>126</v>
      </c>
      <c r="E4332">
        <v>2008</v>
      </c>
      <c r="F4332" s="1">
        <v>1</v>
      </c>
      <c r="G4332">
        <v>2010</v>
      </c>
      <c r="H4332">
        <f>AVERAGEIFS(Table1[value],Table1[IndicatorCode],Table1[[#This Row],[IndicatorCode]])</f>
        <v>7.6894248608534319</v>
      </c>
      <c r="I4332" cm="1">
        <f t="array" ref="I4332">_xlfn.STDEV.P(IF(Table1[IndicatorCode]=Table1[[#This Row],[IndicatorCode]],Table1[value]))</f>
        <v>5.2319501044600996</v>
      </c>
      <c r="J4332">
        <f>(Table1[[#This Row],[value]] - Table1[[#This Row],[mean]]) / Table1[[#This Row],[std_dev]]</f>
        <v>-1.2785719908052779</v>
      </c>
      <c r="K4332">
        <f>AVERAGEIF(Table1[CountryCode],Table1[[#This Row],[CountryCode]],Table1[z-score])</f>
        <v>-1.2093107186394518</v>
      </c>
      <c r="L4332" t="e">
        <f>VLOOKUP(Table1[[#This Row],[CountryCode]],[1]!Table1[#Data],4,FALSE)</f>
        <v>#REF!</v>
      </c>
    </row>
    <row r="4333" spans="1:12" hidden="1" x14ac:dyDescent="0.3">
      <c r="A4333" t="s">
        <v>113</v>
      </c>
      <c r="B4333" t="s">
        <v>114</v>
      </c>
      <c r="C4333" t="s">
        <v>125</v>
      </c>
      <c r="D4333" t="s">
        <v>126</v>
      </c>
      <c r="E4333">
        <v>2009</v>
      </c>
      <c r="F4333" s="1">
        <v>0</v>
      </c>
      <c r="G4333">
        <v>2010</v>
      </c>
      <c r="H4333">
        <f>AVERAGEIFS(Table1[value],Table1[IndicatorCode],Table1[[#This Row],[IndicatorCode]])</f>
        <v>7.6894248608534319</v>
      </c>
      <c r="I4333" cm="1">
        <f t="array" ref="I4333">_xlfn.STDEV.P(IF(Table1[IndicatorCode]=Table1[[#This Row],[IndicatorCode]],Table1[value]))</f>
        <v>5.2319501044600996</v>
      </c>
      <c r="J4333">
        <f>(Table1[[#This Row],[value]] - Table1[[#This Row],[mean]]) / Table1[[#This Row],[std_dev]]</f>
        <v>-1.4697053120400365</v>
      </c>
      <c r="K4333">
        <f>AVERAGEIF(Table1[CountryCode],Table1[[#This Row],[CountryCode]],Table1[z-score])</f>
        <v>-1.2093107186394518</v>
      </c>
      <c r="L4333" t="e">
        <f>VLOOKUP(Table1[[#This Row],[CountryCode]],[1]!Table1[#Data],4,FALSE)</f>
        <v>#REF!</v>
      </c>
    </row>
    <row r="4334" spans="1:12" hidden="1" x14ac:dyDescent="0.3">
      <c r="A4334" t="s">
        <v>113</v>
      </c>
      <c r="B4334" t="s">
        <v>114</v>
      </c>
      <c r="C4334" t="s">
        <v>125</v>
      </c>
      <c r="D4334" t="s">
        <v>126</v>
      </c>
      <c r="E4334">
        <v>2010</v>
      </c>
      <c r="F4334" s="1">
        <v>0</v>
      </c>
      <c r="G4334">
        <v>2010</v>
      </c>
      <c r="H4334">
        <f>AVERAGEIFS(Table1[value],Table1[IndicatorCode],Table1[[#This Row],[IndicatorCode]])</f>
        <v>7.6894248608534319</v>
      </c>
      <c r="I4334" cm="1">
        <f t="array" ref="I4334">_xlfn.STDEV.P(IF(Table1[IndicatorCode]=Table1[[#This Row],[IndicatorCode]],Table1[value]))</f>
        <v>5.2319501044600996</v>
      </c>
      <c r="J4334">
        <f>(Table1[[#This Row],[value]] - Table1[[#This Row],[mean]]) / Table1[[#This Row],[std_dev]]</f>
        <v>-1.4697053120400365</v>
      </c>
      <c r="K4334">
        <f>AVERAGEIF(Table1[CountryCode],Table1[[#This Row],[CountryCode]],Table1[z-score])</f>
        <v>-1.2093107186394518</v>
      </c>
      <c r="L4334" t="e">
        <f>VLOOKUP(Table1[[#This Row],[CountryCode]],[1]!Table1[#Data],4,FALSE)</f>
        <v>#REF!</v>
      </c>
    </row>
    <row r="4335" spans="1:12" hidden="1" x14ac:dyDescent="0.3">
      <c r="A4335" t="s">
        <v>113</v>
      </c>
      <c r="B4335" t="s">
        <v>114</v>
      </c>
      <c r="C4335" t="s">
        <v>125</v>
      </c>
      <c r="D4335" t="s">
        <v>126</v>
      </c>
      <c r="E4335">
        <v>2011</v>
      </c>
      <c r="F4335" s="1">
        <v>0</v>
      </c>
      <c r="G4335">
        <v>2010</v>
      </c>
      <c r="H4335">
        <f>AVERAGEIFS(Table1[value],Table1[IndicatorCode],Table1[[#This Row],[IndicatorCode]])</f>
        <v>7.6894248608534319</v>
      </c>
      <c r="I4335" cm="1">
        <f t="array" ref="I4335">_xlfn.STDEV.P(IF(Table1[IndicatorCode]=Table1[[#This Row],[IndicatorCode]],Table1[value]))</f>
        <v>5.2319501044600996</v>
      </c>
      <c r="J4335">
        <f>(Table1[[#This Row],[value]] - Table1[[#This Row],[mean]]) / Table1[[#This Row],[std_dev]]</f>
        <v>-1.4697053120400365</v>
      </c>
      <c r="K4335">
        <f>AVERAGEIF(Table1[CountryCode],Table1[[#This Row],[CountryCode]],Table1[z-score])</f>
        <v>-1.2093107186394518</v>
      </c>
      <c r="L4335" t="e">
        <f>VLOOKUP(Table1[[#This Row],[CountryCode]],[1]!Table1[#Data],4,FALSE)</f>
        <v>#REF!</v>
      </c>
    </row>
    <row r="4336" spans="1:12" hidden="1" x14ac:dyDescent="0.3">
      <c r="A4336" t="s">
        <v>113</v>
      </c>
      <c r="B4336" t="s">
        <v>114</v>
      </c>
      <c r="C4336" t="s">
        <v>125</v>
      </c>
      <c r="D4336" t="s">
        <v>126</v>
      </c>
      <c r="E4336">
        <v>2012</v>
      </c>
      <c r="F4336" s="1">
        <v>0</v>
      </c>
      <c r="G4336">
        <v>2010</v>
      </c>
      <c r="H4336">
        <f>AVERAGEIFS(Table1[value],Table1[IndicatorCode],Table1[[#This Row],[IndicatorCode]])</f>
        <v>7.6894248608534319</v>
      </c>
      <c r="I4336" cm="1">
        <f t="array" ref="I4336">_xlfn.STDEV.P(IF(Table1[IndicatorCode]=Table1[[#This Row],[IndicatorCode]],Table1[value]))</f>
        <v>5.2319501044600996</v>
      </c>
      <c r="J4336">
        <f>(Table1[[#This Row],[value]] - Table1[[#This Row],[mean]]) / Table1[[#This Row],[std_dev]]</f>
        <v>-1.4697053120400365</v>
      </c>
      <c r="K4336">
        <f>AVERAGEIF(Table1[CountryCode],Table1[[#This Row],[CountryCode]],Table1[z-score])</f>
        <v>-1.2093107186394518</v>
      </c>
      <c r="L4336" t="e">
        <f>VLOOKUP(Table1[[#This Row],[CountryCode]],[1]!Table1[#Data],4,FALSE)</f>
        <v>#REF!</v>
      </c>
    </row>
    <row r="4337" spans="1:12" hidden="1" x14ac:dyDescent="0.3">
      <c r="A4337" t="s">
        <v>113</v>
      </c>
      <c r="B4337" t="s">
        <v>114</v>
      </c>
      <c r="C4337" t="s">
        <v>125</v>
      </c>
      <c r="D4337" t="s">
        <v>126</v>
      </c>
      <c r="E4337">
        <v>2013</v>
      </c>
      <c r="F4337" s="1">
        <v>0</v>
      </c>
      <c r="G4337">
        <v>2010</v>
      </c>
      <c r="H4337">
        <f>AVERAGEIFS(Table1[value],Table1[IndicatorCode],Table1[[#This Row],[IndicatorCode]])</f>
        <v>7.6894248608534319</v>
      </c>
      <c r="I4337" cm="1">
        <f t="array" ref="I4337">_xlfn.STDEV.P(IF(Table1[IndicatorCode]=Table1[[#This Row],[IndicatorCode]],Table1[value]))</f>
        <v>5.2319501044600996</v>
      </c>
      <c r="J4337">
        <f>(Table1[[#This Row],[value]] - Table1[[#This Row],[mean]]) / Table1[[#This Row],[std_dev]]</f>
        <v>-1.4697053120400365</v>
      </c>
      <c r="K4337">
        <f>AVERAGEIF(Table1[CountryCode],Table1[[#This Row],[CountryCode]],Table1[z-score])</f>
        <v>-1.2093107186394518</v>
      </c>
      <c r="L4337" t="e">
        <f>VLOOKUP(Table1[[#This Row],[CountryCode]],[1]!Table1[#Data],4,FALSE)</f>
        <v>#REF!</v>
      </c>
    </row>
    <row r="4338" spans="1:12" hidden="1" x14ac:dyDescent="0.3">
      <c r="A4338" t="s">
        <v>113</v>
      </c>
      <c r="B4338" t="s">
        <v>114</v>
      </c>
      <c r="C4338" t="s">
        <v>125</v>
      </c>
      <c r="D4338" t="s">
        <v>126</v>
      </c>
      <c r="E4338">
        <v>2014</v>
      </c>
      <c r="F4338" s="1">
        <v>1</v>
      </c>
      <c r="G4338">
        <v>2010</v>
      </c>
      <c r="H4338">
        <f>AVERAGEIFS(Table1[value],Table1[IndicatorCode],Table1[[#This Row],[IndicatorCode]])</f>
        <v>7.6894248608534319</v>
      </c>
      <c r="I4338" cm="1">
        <f t="array" ref="I4338">_xlfn.STDEV.P(IF(Table1[IndicatorCode]=Table1[[#This Row],[IndicatorCode]],Table1[value]))</f>
        <v>5.2319501044600996</v>
      </c>
      <c r="J4338">
        <f>(Table1[[#This Row],[value]] - Table1[[#This Row],[mean]]) / Table1[[#This Row],[std_dev]]</f>
        <v>-1.2785719908052779</v>
      </c>
      <c r="K4338">
        <f>AVERAGEIF(Table1[CountryCode],Table1[[#This Row],[CountryCode]],Table1[z-score])</f>
        <v>-1.2093107186394518</v>
      </c>
      <c r="L4338" t="e">
        <f>VLOOKUP(Table1[[#This Row],[CountryCode]],[1]!Table1[#Data],4,FALSE)</f>
        <v>#REF!</v>
      </c>
    </row>
    <row r="4339" spans="1:12" hidden="1" x14ac:dyDescent="0.3">
      <c r="A4339" t="s">
        <v>113</v>
      </c>
      <c r="B4339" t="s">
        <v>114</v>
      </c>
      <c r="C4339" t="s">
        <v>125</v>
      </c>
      <c r="D4339" t="s">
        <v>126</v>
      </c>
      <c r="E4339">
        <v>2015</v>
      </c>
      <c r="F4339" s="1">
        <v>1</v>
      </c>
      <c r="G4339">
        <v>2010</v>
      </c>
      <c r="H4339">
        <f>AVERAGEIFS(Table1[value],Table1[IndicatorCode],Table1[[#This Row],[IndicatorCode]])</f>
        <v>7.6894248608534319</v>
      </c>
      <c r="I4339" cm="1">
        <f t="array" ref="I4339">_xlfn.STDEV.P(IF(Table1[IndicatorCode]=Table1[[#This Row],[IndicatorCode]],Table1[value]))</f>
        <v>5.2319501044600996</v>
      </c>
      <c r="J4339">
        <f>(Table1[[#This Row],[value]] - Table1[[#This Row],[mean]]) / Table1[[#This Row],[std_dev]]</f>
        <v>-1.2785719908052779</v>
      </c>
      <c r="K4339">
        <f>AVERAGEIF(Table1[CountryCode],Table1[[#This Row],[CountryCode]],Table1[z-score])</f>
        <v>-1.2093107186394518</v>
      </c>
      <c r="L4339" t="e">
        <f>VLOOKUP(Table1[[#This Row],[CountryCode]],[1]!Table1[#Data],4,FALSE)</f>
        <v>#REF!</v>
      </c>
    </row>
    <row r="4340" spans="1:12" hidden="1" x14ac:dyDescent="0.3">
      <c r="A4340" t="s">
        <v>113</v>
      </c>
      <c r="B4340" t="s">
        <v>114</v>
      </c>
      <c r="C4340" t="s">
        <v>125</v>
      </c>
      <c r="D4340" t="s">
        <v>126</v>
      </c>
      <c r="E4340">
        <v>2016</v>
      </c>
      <c r="F4340" s="1">
        <v>1</v>
      </c>
      <c r="G4340">
        <v>2010</v>
      </c>
      <c r="H4340">
        <f>AVERAGEIFS(Table1[value],Table1[IndicatorCode],Table1[[#This Row],[IndicatorCode]])</f>
        <v>7.6894248608534319</v>
      </c>
      <c r="I4340" cm="1">
        <f t="array" ref="I4340">_xlfn.STDEV.P(IF(Table1[IndicatorCode]=Table1[[#This Row],[IndicatorCode]],Table1[value]))</f>
        <v>5.2319501044600996</v>
      </c>
      <c r="J4340">
        <f>(Table1[[#This Row],[value]] - Table1[[#This Row],[mean]]) / Table1[[#This Row],[std_dev]]</f>
        <v>-1.2785719908052779</v>
      </c>
      <c r="K4340">
        <f>AVERAGEIF(Table1[CountryCode],Table1[[#This Row],[CountryCode]],Table1[z-score])</f>
        <v>-1.2093107186394518</v>
      </c>
      <c r="L4340" t="e">
        <f>VLOOKUP(Table1[[#This Row],[CountryCode]],[1]!Table1[#Data],4,FALSE)</f>
        <v>#REF!</v>
      </c>
    </row>
    <row r="4341" spans="1:12" hidden="1" x14ac:dyDescent="0.3">
      <c r="A4341" t="s">
        <v>113</v>
      </c>
      <c r="B4341" t="s">
        <v>114</v>
      </c>
      <c r="C4341" t="s">
        <v>125</v>
      </c>
      <c r="D4341" t="s">
        <v>126</v>
      </c>
      <c r="E4341">
        <v>2017</v>
      </c>
      <c r="F4341" s="1">
        <v>1</v>
      </c>
      <c r="G4341">
        <v>2020</v>
      </c>
      <c r="H4341">
        <f>AVERAGEIFS(Table1[value],Table1[IndicatorCode],Table1[[#This Row],[IndicatorCode]])</f>
        <v>7.6894248608534319</v>
      </c>
      <c r="I4341" cm="1">
        <f t="array" ref="I4341">_xlfn.STDEV.P(IF(Table1[IndicatorCode]=Table1[[#This Row],[IndicatorCode]],Table1[value]))</f>
        <v>5.2319501044600996</v>
      </c>
      <c r="J4341">
        <f>(Table1[[#This Row],[value]] - Table1[[#This Row],[mean]]) / Table1[[#This Row],[std_dev]]</f>
        <v>-1.2785719908052779</v>
      </c>
      <c r="K4341">
        <f>AVERAGEIF(Table1[CountryCode],Table1[[#This Row],[CountryCode]],Table1[z-score])</f>
        <v>-1.2093107186394518</v>
      </c>
      <c r="L4341" t="e">
        <f>VLOOKUP(Table1[[#This Row],[CountryCode]],[1]!Table1[#Data],4,FALSE)</f>
        <v>#REF!</v>
      </c>
    </row>
    <row r="4342" spans="1:12" hidden="1" x14ac:dyDescent="0.3">
      <c r="A4342" t="s">
        <v>113</v>
      </c>
      <c r="B4342" t="s">
        <v>114</v>
      </c>
      <c r="C4342" t="s">
        <v>125</v>
      </c>
      <c r="D4342" t="s">
        <v>126</v>
      </c>
      <c r="E4342">
        <v>2018</v>
      </c>
      <c r="F4342" s="1">
        <v>1</v>
      </c>
      <c r="G4342">
        <v>2020</v>
      </c>
      <c r="H4342">
        <f>AVERAGEIFS(Table1[value],Table1[IndicatorCode],Table1[[#This Row],[IndicatorCode]])</f>
        <v>7.6894248608534319</v>
      </c>
      <c r="I4342" cm="1">
        <f t="array" ref="I4342">_xlfn.STDEV.P(IF(Table1[IndicatorCode]=Table1[[#This Row],[IndicatorCode]],Table1[value]))</f>
        <v>5.2319501044600996</v>
      </c>
      <c r="J4342">
        <f>(Table1[[#This Row],[value]] - Table1[[#This Row],[mean]]) / Table1[[#This Row],[std_dev]]</f>
        <v>-1.2785719908052779</v>
      </c>
      <c r="K4342">
        <f>AVERAGEIF(Table1[CountryCode],Table1[[#This Row],[CountryCode]],Table1[z-score])</f>
        <v>-1.2093107186394518</v>
      </c>
      <c r="L4342" t="e">
        <f>VLOOKUP(Table1[[#This Row],[CountryCode]],[1]!Table1[#Data],4,FALSE)</f>
        <v>#REF!</v>
      </c>
    </row>
    <row r="4343" spans="1:12" hidden="1" x14ac:dyDescent="0.3">
      <c r="A4343" t="s">
        <v>113</v>
      </c>
      <c r="B4343" t="s">
        <v>114</v>
      </c>
      <c r="C4343" t="s">
        <v>125</v>
      </c>
      <c r="D4343" t="s">
        <v>126</v>
      </c>
      <c r="E4343">
        <v>2019</v>
      </c>
      <c r="F4343" s="1">
        <v>1</v>
      </c>
      <c r="G4343">
        <v>2020</v>
      </c>
      <c r="H4343">
        <f>AVERAGEIFS(Table1[value],Table1[IndicatorCode],Table1[[#This Row],[IndicatorCode]])</f>
        <v>7.6894248608534319</v>
      </c>
      <c r="I4343" cm="1">
        <f t="array" ref="I4343">_xlfn.STDEV.P(IF(Table1[IndicatorCode]=Table1[[#This Row],[IndicatorCode]],Table1[value]))</f>
        <v>5.2319501044600996</v>
      </c>
      <c r="J4343">
        <f>(Table1[[#This Row],[value]] - Table1[[#This Row],[mean]]) / Table1[[#This Row],[std_dev]]</f>
        <v>-1.2785719908052779</v>
      </c>
      <c r="K4343">
        <f>AVERAGEIF(Table1[CountryCode],Table1[[#This Row],[CountryCode]],Table1[z-score])</f>
        <v>-1.2093107186394518</v>
      </c>
      <c r="L4343" t="e">
        <f>VLOOKUP(Table1[[#This Row],[CountryCode]],[1]!Table1[#Data],4,FALSE)</f>
        <v>#REF!</v>
      </c>
    </row>
    <row r="4344" spans="1:12" x14ac:dyDescent="0.3">
      <c r="A4344" t="s">
        <v>113</v>
      </c>
      <c r="B4344" t="s">
        <v>114</v>
      </c>
      <c r="C4344" t="s">
        <v>125</v>
      </c>
      <c r="D4344" t="s">
        <v>126</v>
      </c>
      <c r="E4344">
        <v>2020</v>
      </c>
      <c r="F4344" s="1">
        <v>1</v>
      </c>
      <c r="G4344">
        <v>2020</v>
      </c>
      <c r="H4344">
        <f>AVERAGEIFS(Table1[value],Table1[IndicatorCode],Table1[[#This Row],[IndicatorCode]])</f>
        <v>7.6894248608534319</v>
      </c>
      <c r="I4344" cm="1">
        <f t="array" ref="I4344">_xlfn.STDEV.P(IF(Table1[IndicatorCode]=Table1[[#This Row],[IndicatorCode]],Table1[value]))</f>
        <v>5.2319501044600996</v>
      </c>
      <c r="J4344">
        <f>(Table1[[#This Row],[value]] - Table1[[#This Row],[mean]]) / Table1[[#This Row],[std_dev]]</f>
        <v>-1.2785719908052779</v>
      </c>
      <c r="K4344">
        <f>AVERAGEIF(Table1[CountryCode],Table1[[#This Row],[CountryCode]],Table1[z-score])</f>
        <v>-1.2093107186394518</v>
      </c>
    </row>
    <row r="4345" spans="1:12" hidden="1" x14ac:dyDescent="0.3">
      <c r="A4345" t="s">
        <v>113</v>
      </c>
      <c r="B4345" t="s">
        <v>114</v>
      </c>
      <c r="C4345" t="s">
        <v>125</v>
      </c>
      <c r="D4345" t="s">
        <v>126</v>
      </c>
      <c r="E4345">
        <v>2021</v>
      </c>
      <c r="F4345" s="1">
        <v>1</v>
      </c>
      <c r="G4345">
        <v>2020</v>
      </c>
      <c r="H4345">
        <f>AVERAGEIFS(Table1[value],Table1[IndicatorCode],Table1[[#This Row],[IndicatorCode]])</f>
        <v>7.6894248608534319</v>
      </c>
      <c r="I4345" cm="1">
        <f t="array" ref="I4345">_xlfn.STDEV.P(IF(Table1[IndicatorCode]=Table1[[#This Row],[IndicatorCode]],Table1[value]))</f>
        <v>5.2319501044600996</v>
      </c>
      <c r="J4345">
        <f>(Table1[[#This Row],[value]] - Table1[[#This Row],[mean]]) / Table1[[#This Row],[std_dev]]</f>
        <v>-1.2785719908052779</v>
      </c>
      <c r="K4345">
        <f>AVERAGEIF(Table1[CountryCode],Table1[[#This Row],[CountryCode]],Table1[z-score])</f>
        <v>-1.2093107186394518</v>
      </c>
      <c r="L4345" t="e">
        <f>VLOOKUP(Table1[[#This Row],[CountryCode]],[1]!Table1[#Data],4,FALSE)</f>
        <v>#REF!</v>
      </c>
    </row>
    <row r="4346" spans="1:12" hidden="1" x14ac:dyDescent="0.3">
      <c r="A4346" t="s">
        <v>113</v>
      </c>
      <c r="B4346" t="s">
        <v>114</v>
      </c>
      <c r="C4346" t="s">
        <v>125</v>
      </c>
      <c r="D4346" t="s">
        <v>126</v>
      </c>
      <c r="E4346">
        <v>2022</v>
      </c>
      <c r="F4346" s="1">
        <v>1</v>
      </c>
      <c r="G4346">
        <v>1970</v>
      </c>
      <c r="H4346">
        <f>AVERAGEIFS(Table1[value],Table1[IndicatorCode],Table1[[#This Row],[IndicatorCode]])</f>
        <v>7.6894248608534319</v>
      </c>
      <c r="I4346" cm="1">
        <f t="array" ref="I4346">_xlfn.STDEV.P(IF(Table1[IndicatorCode]=Table1[[#This Row],[IndicatorCode]],Table1[value]))</f>
        <v>5.2319501044600996</v>
      </c>
      <c r="J4346">
        <f>(Table1[[#This Row],[value]] - Table1[[#This Row],[mean]]) / Table1[[#This Row],[std_dev]]</f>
        <v>-1.2785719908052779</v>
      </c>
      <c r="K4346">
        <f>AVERAGEIF(Table1[CountryCode],Table1[[#This Row],[CountryCode]],Table1[z-score])</f>
        <v>-1.2093107186394518</v>
      </c>
      <c r="L4346" t="e">
        <f>VLOOKUP(Table1[[#This Row],[CountryCode]],[1]!Table1[#Data],4,FALSE)</f>
        <v>#REF!</v>
      </c>
    </row>
    <row r="4347" spans="1:12" hidden="1" x14ac:dyDescent="0.3">
      <c r="A4347" t="s">
        <v>113</v>
      </c>
      <c r="B4347" t="s">
        <v>114</v>
      </c>
      <c r="C4347" t="s">
        <v>125</v>
      </c>
      <c r="D4347" t="s">
        <v>126</v>
      </c>
      <c r="E4347">
        <v>2023</v>
      </c>
      <c r="F4347" s="1">
        <v>1</v>
      </c>
      <c r="G4347">
        <v>1970</v>
      </c>
      <c r="H4347">
        <f>AVERAGEIFS(Table1[value],Table1[IndicatorCode],Table1[[#This Row],[IndicatorCode]])</f>
        <v>7.6894248608534319</v>
      </c>
      <c r="I4347" cm="1">
        <f t="array" ref="I4347">_xlfn.STDEV.P(IF(Table1[IndicatorCode]=Table1[[#This Row],[IndicatorCode]],Table1[value]))</f>
        <v>5.2319501044600996</v>
      </c>
      <c r="J4347">
        <f>(Table1[[#This Row],[value]] - Table1[[#This Row],[mean]]) / Table1[[#This Row],[std_dev]]</f>
        <v>-1.2785719908052779</v>
      </c>
      <c r="K4347">
        <f>AVERAGEIF(Table1[CountryCode],Table1[[#This Row],[CountryCode]],Table1[z-score])</f>
        <v>-1.2093107186394518</v>
      </c>
      <c r="L4347" t="e">
        <f>VLOOKUP(Table1[[#This Row],[CountryCode]],[1]!Table1[#Data],4,FALSE)</f>
        <v>#REF!</v>
      </c>
    </row>
    <row r="4348" spans="1:12" hidden="1" x14ac:dyDescent="0.3">
      <c r="A4348" t="s">
        <v>113</v>
      </c>
      <c r="B4348" t="s">
        <v>114</v>
      </c>
      <c r="C4348" t="s">
        <v>125</v>
      </c>
      <c r="D4348" t="s">
        <v>126</v>
      </c>
      <c r="E4348">
        <v>2024</v>
      </c>
      <c r="F4348" s="1">
        <v>1</v>
      </c>
      <c r="G4348">
        <v>1970</v>
      </c>
      <c r="H4348">
        <f>AVERAGEIFS(Table1[value],Table1[IndicatorCode],Table1[[#This Row],[IndicatorCode]])</f>
        <v>7.6894248608534319</v>
      </c>
      <c r="I4348" cm="1">
        <f t="array" ref="I4348">_xlfn.STDEV.P(IF(Table1[IndicatorCode]=Table1[[#This Row],[IndicatorCode]],Table1[value]))</f>
        <v>5.2319501044600996</v>
      </c>
      <c r="J4348">
        <f>(Table1[[#This Row],[value]] - Table1[[#This Row],[mean]]) / Table1[[#This Row],[std_dev]]</f>
        <v>-1.2785719908052779</v>
      </c>
      <c r="K4348">
        <f>AVERAGEIF(Table1[CountryCode],Table1[[#This Row],[CountryCode]],Table1[z-score])</f>
        <v>-1.2093107186394518</v>
      </c>
      <c r="L4348" t="e">
        <f>VLOOKUP(Table1[[#This Row],[CountryCode]],[1]!Table1[#Data],4,FALSE)</f>
        <v>#REF!</v>
      </c>
    </row>
    <row r="4349" spans="1:12" hidden="1" x14ac:dyDescent="0.3">
      <c r="A4349" t="s">
        <v>115</v>
      </c>
      <c r="B4349" t="s">
        <v>116</v>
      </c>
      <c r="C4349" t="s">
        <v>125</v>
      </c>
      <c r="D4349" t="s">
        <v>126</v>
      </c>
      <c r="E4349">
        <v>1970</v>
      </c>
      <c r="F4349" s="1">
        <v>9</v>
      </c>
      <c r="G4349">
        <v>1970</v>
      </c>
      <c r="H4349">
        <f>AVERAGEIFS(Table1[value],Table1[IndicatorCode],Table1[[#This Row],[IndicatorCode]])</f>
        <v>7.6894248608534319</v>
      </c>
      <c r="I4349" cm="1">
        <f t="array" ref="I4349">_xlfn.STDEV.P(IF(Table1[IndicatorCode]=Table1[[#This Row],[IndicatorCode]],Table1[value]))</f>
        <v>5.2319501044600996</v>
      </c>
      <c r="J4349">
        <f>(Table1[[#This Row],[value]] - Table1[[#This Row],[mean]]) / Table1[[#This Row],[std_dev]]</f>
        <v>0.25049457907278921</v>
      </c>
      <c r="K4349">
        <f>AVERAGEIF(Table1[CountryCode],Table1[[#This Row],[CountryCode]],Table1[z-score])</f>
        <v>-0.55461759774946673</v>
      </c>
      <c r="L4349" t="e">
        <f>VLOOKUP(Table1[[#This Row],[CountryCode]],[1]!Table1[#Data],4,FALSE)</f>
        <v>#REF!</v>
      </c>
    </row>
    <row r="4350" spans="1:12" hidden="1" x14ac:dyDescent="0.3">
      <c r="A4350" t="s">
        <v>115</v>
      </c>
      <c r="B4350" t="s">
        <v>116</v>
      </c>
      <c r="C4350" t="s">
        <v>125</v>
      </c>
      <c r="D4350" t="s">
        <v>126</v>
      </c>
      <c r="E4350">
        <v>1971</v>
      </c>
      <c r="F4350" s="1">
        <v>8</v>
      </c>
      <c r="G4350">
        <v>1970</v>
      </c>
      <c r="H4350">
        <f>AVERAGEIFS(Table1[value],Table1[IndicatorCode],Table1[[#This Row],[IndicatorCode]])</f>
        <v>7.6894248608534319</v>
      </c>
      <c r="I4350" cm="1">
        <f t="array" ref="I4350">_xlfn.STDEV.P(IF(Table1[IndicatorCode]=Table1[[#This Row],[IndicatorCode]],Table1[value]))</f>
        <v>5.2319501044600996</v>
      </c>
      <c r="J4350">
        <f>(Table1[[#This Row],[value]] - Table1[[#This Row],[mean]]) / Table1[[#This Row],[std_dev]]</f>
        <v>5.9361257838030791E-2</v>
      </c>
      <c r="K4350">
        <f>AVERAGEIF(Table1[CountryCode],Table1[[#This Row],[CountryCode]],Table1[z-score])</f>
        <v>-0.55461759774946673</v>
      </c>
      <c r="L4350" t="e">
        <f>VLOOKUP(Table1[[#This Row],[CountryCode]],[1]!Table1[#Data],4,FALSE)</f>
        <v>#REF!</v>
      </c>
    </row>
    <row r="4351" spans="1:12" hidden="1" x14ac:dyDescent="0.3">
      <c r="A4351" t="s">
        <v>115</v>
      </c>
      <c r="B4351" t="s">
        <v>116</v>
      </c>
      <c r="C4351" t="s">
        <v>125</v>
      </c>
      <c r="D4351" t="s">
        <v>126</v>
      </c>
      <c r="E4351">
        <v>1972</v>
      </c>
      <c r="F4351" s="1">
        <v>9</v>
      </c>
      <c r="G4351">
        <v>1970</v>
      </c>
      <c r="H4351">
        <f>AVERAGEIFS(Table1[value],Table1[IndicatorCode],Table1[[#This Row],[IndicatorCode]])</f>
        <v>7.6894248608534319</v>
      </c>
      <c r="I4351" cm="1">
        <f t="array" ref="I4351">_xlfn.STDEV.P(IF(Table1[IndicatorCode]=Table1[[#This Row],[IndicatorCode]],Table1[value]))</f>
        <v>5.2319501044600996</v>
      </c>
      <c r="J4351">
        <f>(Table1[[#This Row],[value]] - Table1[[#This Row],[mean]]) / Table1[[#This Row],[std_dev]]</f>
        <v>0.25049457907278921</v>
      </c>
      <c r="K4351">
        <f>AVERAGEIF(Table1[CountryCode],Table1[[#This Row],[CountryCode]],Table1[z-score])</f>
        <v>-0.55461759774946673</v>
      </c>
      <c r="L4351" t="e">
        <f>VLOOKUP(Table1[[#This Row],[CountryCode]],[1]!Table1[#Data],4,FALSE)</f>
        <v>#REF!</v>
      </c>
    </row>
    <row r="4352" spans="1:12" hidden="1" x14ac:dyDescent="0.3">
      <c r="A4352" t="s">
        <v>115</v>
      </c>
      <c r="B4352" t="s">
        <v>116</v>
      </c>
      <c r="C4352" t="s">
        <v>125</v>
      </c>
      <c r="D4352" t="s">
        <v>126</v>
      </c>
      <c r="E4352">
        <v>1973</v>
      </c>
      <c r="F4352" s="1">
        <v>9</v>
      </c>
      <c r="G4352">
        <v>1970</v>
      </c>
      <c r="H4352">
        <f>AVERAGEIFS(Table1[value],Table1[IndicatorCode],Table1[[#This Row],[IndicatorCode]])</f>
        <v>7.6894248608534319</v>
      </c>
      <c r="I4352" cm="1">
        <f t="array" ref="I4352">_xlfn.STDEV.P(IF(Table1[IndicatorCode]=Table1[[#This Row],[IndicatorCode]],Table1[value]))</f>
        <v>5.2319501044600996</v>
      </c>
      <c r="J4352">
        <f>(Table1[[#This Row],[value]] - Table1[[#This Row],[mean]]) / Table1[[#This Row],[std_dev]]</f>
        <v>0.25049457907278921</v>
      </c>
      <c r="K4352">
        <f>AVERAGEIF(Table1[CountryCode],Table1[[#This Row],[CountryCode]],Table1[z-score])</f>
        <v>-0.55461759774946673</v>
      </c>
      <c r="L4352" t="e">
        <f>VLOOKUP(Table1[[#This Row],[CountryCode]],[1]!Table1[#Data],4,FALSE)</f>
        <v>#REF!</v>
      </c>
    </row>
    <row r="4353" spans="1:12" hidden="1" x14ac:dyDescent="0.3">
      <c r="A4353" t="s">
        <v>115</v>
      </c>
      <c r="B4353" t="s">
        <v>116</v>
      </c>
      <c r="C4353" t="s">
        <v>125</v>
      </c>
      <c r="D4353" t="s">
        <v>126</v>
      </c>
      <c r="E4353">
        <v>1974</v>
      </c>
      <c r="F4353" s="1">
        <v>9</v>
      </c>
      <c r="G4353">
        <v>1970</v>
      </c>
      <c r="H4353">
        <f>AVERAGEIFS(Table1[value],Table1[IndicatorCode],Table1[[#This Row],[IndicatorCode]])</f>
        <v>7.6894248608534319</v>
      </c>
      <c r="I4353" cm="1">
        <f t="array" ref="I4353">_xlfn.STDEV.P(IF(Table1[IndicatorCode]=Table1[[#This Row],[IndicatorCode]],Table1[value]))</f>
        <v>5.2319501044600996</v>
      </c>
      <c r="J4353">
        <f>(Table1[[#This Row],[value]] - Table1[[#This Row],[mean]]) / Table1[[#This Row],[std_dev]]</f>
        <v>0.25049457907278921</v>
      </c>
      <c r="K4353">
        <f>AVERAGEIF(Table1[CountryCode],Table1[[#This Row],[CountryCode]],Table1[z-score])</f>
        <v>-0.55461759774946673</v>
      </c>
      <c r="L4353" t="e">
        <f>VLOOKUP(Table1[[#This Row],[CountryCode]],[1]!Table1[#Data],4,FALSE)</f>
        <v>#REF!</v>
      </c>
    </row>
    <row r="4354" spans="1:12" hidden="1" x14ac:dyDescent="0.3">
      <c r="A4354" t="s">
        <v>115</v>
      </c>
      <c r="B4354" t="s">
        <v>116</v>
      </c>
      <c r="C4354" t="s">
        <v>125</v>
      </c>
      <c r="D4354" t="s">
        <v>126</v>
      </c>
      <c r="E4354">
        <v>1975</v>
      </c>
      <c r="F4354" s="1">
        <v>9</v>
      </c>
      <c r="G4354">
        <v>1970</v>
      </c>
      <c r="H4354">
        <f>AVERAGEIFS(Table1[value],Table1[IndicatorCode],Table1[[#This Row],[IndicatorCode]])</f>
        <v>7.6894248608534319</v>
      </c>
      <c r="I4354" cm="1">
        <f t="array" ref="I4354">_xlfn.STDEV.P(IF(Table1[IndicatorCode]=Table1[[#This Row],[IndicatorCode]],Table1[value]))</f>
        <v>5.2319501044600996</v>
      </c>
      <c r="J4354">
        <f>(Table1[[#This Row],[value]] - Table1[[#This Row],[mean]]) / Table1[[#This Row],[std_dev]]</f>
        <v>0.25049457907278921</v>
      </c>
      <c r="K4354">
        <f>AVERAGEIF(Table1[CountryCode],Table1[[#This Row],[CountryCode]],Table1[z-score])</f>
        <v>-0.55461759774946673</v>
      </c>
      <c r="L4354" t="e">
        <f>VLOOKUP(Table1[[#This Row],[CountryCode]],[1]!Table1[#Data],4,FALSE)</f>
        <v>#REF!</v>
      </c>
    </row>
    <row r="4355" spans="1:12" hidden="1" x14ac:dyDescent="0.3">
      <c r="A4355" t="s">
        <v>115</v>
      </c>
      <c r="B4355" t="s">
        <v>116</v>
      </c>
      <c r="C4355" t="s">
        <v>125</v>
      </c>
      <c r="D4355" t="s">
        <v>126</v>
      </c>
      <c r="E4355">
        <v>1976</v>
      </c>
      <c r="F4355" s="1">
        <v>9</v>
      </c>
      <c r="G4355">
        <v>1970</v>
      </c>
      <c r="H4355">
        <f>AVERAGEIFS(Table1[value],Table1[IndicatorCode],Table1[[#This Row],[IndicatorCode]])</f>
        <v>7.6894248608534319</v>
      </c>
      <c r="I4355" cm="1">
        <f t="array" ref="I4355">_xlfn.STDEV.P(IF(Table1[IndicatorCode]=Table1[[#This Row],[IndicatorCode]],Table1[value]))</f>
        <v>5.2319501044600996</v>
      </c>
      <c r="J4355">
        <f>(Table1[[#This Row],[value]] - Table1[[#This Row],[mean]]) / Table1[[#This Row],[std_dev]]</f>
        <v>0.25049457907278921</v>
      </c>
      <c r="K4355">
        <f>AVERAGEIF(Table1[CountryCode],Table1[[#This Row],[CountryCode]],Table1[z-score])</f>
        <v>-0.55461759774946673</v>
      </c>
      <c r="L4355" t="e">
        <f>VLOOKUP(Table1[[#This Row],[CountryCode]],[1]!Table1[#Data],4,FALSE)</f>
        <v>#REF!</v>
      </c>
    </row>
    <row r="4356" spans="1:12" hidden="1" x14ac:dyDescent="0.3">
      <c r="A4356" t="s">
        <v>115</v>
      </c>
      <c r="B4356" t="s">
        <v>116</v>
      </c>
      <c r="C4356" t="s">
        <v>125</v>
      </c>
      <c r="D4356" t="s">
        <v>126</v>
      </c>
      <c r="E4356">
        <v>1977</v>
      </c>
      <c r="F4356" s="1">
        <v>10</v>
      </c>
      <c r="G4356">
        <v>1980</v>
      </c>
      <c r="H4356">
        <f>AVERAGEIFS(Table1[value],Table1[IndicatorCode],Table1[[#This Row],[IndicatorCode]])</f>
        <v>7.6894248608534319</v>
      </c>
      <c r="I4356" cm="1">
        <f t="array" ref="I4356">_xlfn.STDEV.P(IF(Table1[IndicatorCode]=Table1[[#This Row],[IndicatorCode]],Table1[value]))</f>
        <v>5.2319501044600996</v>
      </c>
      <c r="J4356">
        <f>(Table1[[#This Row],[value]] - Table1[[#This Row],[mean]]) / Table1[[#This Row],[std_dev]]</f>
        <v>0.44162790030754762</v>
      </c>
      <c r="K4356">
        <f>AVERAGEIF(Table1[CountryCode],Table1[[#This Row],[CountryCode]],Table1[z-score])</f>
        <v>-0.55461759774946673</v>
      </c>
      <c r="L4356" t="e">
        <f>VLOOKUP(Table1[[#This Row],[CountryCode]],[1]!Table1[#Data],4,FALSE)</f>
        <v>#REF!</v>
      </c>
    </row>
    <row r="4357" spans="1:12" hidden="1" x14ac:dyDescent="0.3">
      <c r="A4357" t="s">
        <v>115</v>
      </c>
      <c r="B4357" t="s">
        <v>116</v>
      </c>
      <c r="C4357" t="s">
        <v>125</v>
      </c>
      <c r="D4357" t="s">
        <v>126</v>
      </c>
      <c r="E4357">
        <v>1978</v>
      </c>
      <c r="F4357" s="1">
        <v>10</v>
      </c>
      <c r="G4357">
        <v>1980</v>
      </c>
      <c r="H4357">
        <f>AVERAGEIFS(Table1[value],Table1[IndicatorCode],Table1[[#This Row],[IndicatorCode]])</f>
        <v>7.6894248608534319</v>
      </c>
      <c r="I4357" cm="1">
        <f t="array" ref="I4357">_xlfn.STDEV.P(IF(Table1[IndicatorCode]=Table1[[#This Row],[IndicatorCode]],Table1[value]))</f>
        <v>5.2319501044600996</v>
      </c>
      <c r="J4357">
        <f>(Table1[[#This Row],[value]] - Table1[[#This Row],[mean]]) / Table1[[#This Row],[std_dev]]</f>
        <v>0.44162790030754762</v>
      </c>
      <c r="K4357">
        <f>AVERAGEIF(Table1[CountryCode],Table1[[#This Row],[CountryCode]],Table1[z-score])</f>
        <v>-0.55461759774946673</v>
      </c>
      <c r="L4357" t="e">
        <f>VLOOKUP(Table1[[#This Row],[CountryCode]],[1]!Table1[#Data],4,FALSE)</f>
        <v>#REF!</v>
      </c>
    </row>
    <row r="4358" spans="1:12" hidden="1" x14ac:dyDescent="0.3">
      <c r="A4358" t="s">
        <v>115</v>
      </c>
      <c r="B4358" t="s">
        <v>116</v>
      </c>
      <c r="C4358" t="s">
        <v>125</v>
      </c>
      <c r="D4358" t="s">
        <v>126</v>
      </c>
      <c r="E4358">
        <v>1979</v>
      </c>
      <c r="F4358" s="1">
        <v>10</v>
      </c>
      <c r="G4358">
        <v>1980</v>
      </c>
      <c r="H4358">
        <f>AVERAGEIFS(Table1[value],Table1[IndicatorCode],Table1[[#This Row],[IndicatorCode]])</f>
        <v>7.6894248608534319</v>
      </c>
      <c r="I4358" cm="1">
        <f t="array" ref="I4358">_xlfn.STDEV.P(IF(Table1[IndicatorCode]=Table1[[#This Row],[IndicatorCode]],Table1[value]))</f>
        <v>5.2319501044600996</v>
      </c>
      <c r="J4358">
        <f>(Table1[[#This Row],[value]] - Table1[[#This Row],[mean]]) / Table1[[#This Row],[std_dev]]</f>
        <v>0.44162790030754762</v>
      </c>
      <c r="K4358">
        <f>AVERAGEIF(Table1[CountryCode],Table1[[#This Row],[CountryCode]],Table1[z-score])</f>
        <v>-0.55461759774946673</v>
      </c>
      <c r="L4358" t="e">
        <f>VLOOKUP(Table1[[#This Row],[CountryCode]],[1]!Table1[#Data],4,FALSE)</f>
        <v>#REF!</v>
      </c>
    </row>
    <row r="4359" spans="1:12" hidden="1" x14ac:dyDescent="0.3">
      <c r="A4359" t="s">
        <v>115</v>
      </c>
      <c r="B4359" t="s">
        <v>116</v>
      </c>
      <c r="C4359" t="s">
        <v>125</v>
      </c>
      <c r="D4359" t="s">
        <v>126</v>
      </c>
      <c r="E4359">
        <v>1980</v>
      </c>
      <c r="F4359" s="1">
        <v>10</v>
      </c>
      <c r="G4359">
        <v>1980</v>
      </c>
      <c r="H4359">
        <f>AVERAGEIFS(Table1[value],Table1[IndicatorCode],Table1[[#This Row],[IndicatorCode]])</f>
        <v>7.6894248608534319</v>
      </c>
      <c r="I4359" cm="1">
        <f t="array" ref="I4359">_xlfn.STDEV.P(IF(Table1[IndicatorCode]=Table1[[#This Row],[IndicatorCode]],Table1[value]))</f>
        <v>5.2319501044600996</v>
      </c>
      <c r="J4359">
        <f>(Table1[[#This Row],[value]] - Table1[[#This Row],[mean]]) / Table1[[#This Row],[std_dev]]</f>
        <v>0.44162790030754762</v>
      </c>
      <c r="K4359">
        <f>AVERAGEIF(Table1[CountryCode],Table1[[#This Row],[CountryCode]],Table1[z-score])</f>
        <v>-0.55461759774946673</v>
      </c>
      <c r="L4359" t="e">
        <f>VLOOKUP(Table1[[#This Row],[CountryCode]],[1]!Table1[#Data],4,FALSE)</f>
        <v>#REF!</v>
      </c>
    </row>
    <row r="4360" spans="1:12" hidden="1" x14ac:dyDescent="0.3">
      <c r="A4360" t="s">
        <v>115</v>
      </c>
      <c r="B4360" t="s">
        <v>116</v>
      </c>
      <c r="C4360" t="s">
        <v>125</v>
      </c>
      <c r="D4360" t="s">
        <v>126</v>
      </c>
      <c r="E4360">
        <v>1981</v>
      </c>
      <c r="F4360" s="1">
        <v>11</v>
      </c>
      <c r="G4360">
        <v>1980</v>
      </c>
      <c r="H4360">
        <f>AVERAGEIFS(Table1[value],Table1[IndicatorCode],Table1[[#This Row],[IndicatorCode]])</f>
        <v>7.6894248608534319</v>
      </c>
      <c r="I4360" cm="1">
        <f t="array" ref="I4360">_xlfn.STDEV.P(IF(Table1[IndicatorCode]=Table1[[#This Row],[IndicatorCode]],Table1[value]))</f>
        <v>5.2319501044600996</v>
      </c>
      <c r="J4360">
        <f>(Table1[[#This Row],[value]] - Table1[[#This Row],[mean]]) / Table1[[#This Row],[std_dev]]</f>
        <v>0.63276122154230596</v>
      </c>
      <c r="K4360">
        <f>AVERAGEIF(Table1[CountryCode],Table1[[#This Row],[CountryCode]],Table1[z-score])</f>
        <v>-0.55461759774946673</v>
      </c>
      <c r="L4360" t="e">
        <f>VLOOKUP(Table1[[#This Row],[CountryCode]],[1]!Table1[#Data],4,FALSE)</f>
        <v>#REF!</v>
      </c>
    </row>
    <row r="4361" spans="1:12" hidden="1" x14ac:dyDescent="0.3">
      <c r="A4361" t="s">
        <v>115</v>
      </c>
      <c r="B4361" t="s">
        <v>116</v>
      </c>
      <c r="C4361" t="s">
        <v>125</v>
      </c>
      <c r="D4361" t="s">
        <v>126</v>
      </c>
      <c r="E4361">
        <v>1982</v>
      </c>
      <c r="F4361" s="1">
        <v>11</v>
      </c>
      <c r="G4361">
        <v>1980</v>
      </c>
      <c r="H4361">
        <f>AVERAGEIFS(Table1[value],Table1[IndicatorCode],Table1[[#This Row],[IndicatorCode]])</f>
        <v>7.6894248608534319</v>
      </c>
      <c r="I4361" cm="1">
        <f t="array" ref="I4361">_xlfn.STDEV.P(IF(Table1[IndicatorCode]=Table1[[#This Row],[IndicatorCode]],Table1[value]))</f>
        <v>5.2319501044600996</v>
      </c>
      <c r="J4361">
        <f>(Table1[[#This Row],[value]] - Table1[[#This Row],[mean]]) / Table1[[#This Row],[std_dev]]</f>
        <v>0.63276122154230596</v>
      </c>
      <c r="K4361">
        <f>AVERAGEIF(Table1[CountryCode],Table1[[#This Row],[CountryCode]],Table1[z-score])</f>
        <v>-0.55461759774946673</v>
      </c>
      <c r="L4361" t="e">
        <f>VLOOKUP(Table1[[#This Row],[CountryCode]],[1]!Table1[#Data],4,FALSE)</f>
        <v>#REF!</v>
      </c>
    </row>
    <row r="4362" spans="1:12" hidden="1" x14ac:dyDescent="0.3">
      <c r="A4362" t="s">
        <v>115</v>
      </c>
      <c r="B4362" t="s">
        <v>116</v>
      </c>
      <c r="C4362" t="s">
        <v>125</v>
      </c>
      <c r="D4362" t="s">
        <v>126</v>
      </c>
      <c r="E4362">
        <v>1983</v>
      </c>
      <c r="F4362" s="1">
        <v>11</v>
      </c>
      <c r="G4362">
        <v>1980</v>
      </c>
      <c r="H4362">
        <f>AVERAGEIFS(Table1[value],Table1[IndicatorCode],Table1[[#This Row],[IndicatorCode]])</f>
        <v>7.6894248608534319</v>
      </c>
      <c r="I4362" cm="1">
        <f t="array" ref="I4362">_xlfn.STDEV.P(IF(Table1[IndicatorCode]=Table1[[#This Row],[IndicatorCode]],Table1[value]))</f>
        <v>5.2319501044600996</v>
      </c>
      <c r="J4362">
        <f>(Table1[[#This Row],[value]] - Table1[[#This Row],[mean]]) / Table1[[#This Row],[std_dev]]</f>
        <v>0.63276122154230596</v>
      </c>
      <c r="K4362">
        <f>AVERAGEIF(Table1[CountryCode],Table1[[#This Row],[CountryCode]],Table1[z-score])</f>
        <v>-0.55461759774946673</v>
      </c>
      <c r="L4362" t="e">
        <f>VLOOKUP(Table1[[#This Row],[CountryCode]],[1]!Table1[#Data],4,FALSE)</f>
        <v>#REF!</v>
      </c>
    </row>
    <row r="4363" spans="1:12" hidden="1" x14ac:dyDescent="0.3">
      <c r="A4363" t="s">
        <v>115</v>
      </c>
      <c r="B4363" t="s">
        <v>116</v>
      </c>
      <c r="C4363" t="s">
        <v>125</v>
      </c>
      <c r="D4363" t="s">
        <v>126</v>
      </c>
      <c r="E4363">
        <v>1984</v>
      </c>
      <c r="F4363" s="1">
        <v>11</v>
      </c>
      <c r="G4363">
        <v>1980</v>
      </c>
      <c r="H4363">
        <f>AVERAGEIFS(Table1[value],Table1[IndicatorCode],Table1[[#This Row],[IndicatorCode]])</f>
        <v>7.6894248608534319</v>
      </c>
      <c r="I4363" cm="1">
        <f t="array" ref="I4363">_xlfn.STDEV.P(IF(Table1[IndicatorCode]=Table1[[#This Row],[IndicatorCode]],Table1[value]))</f>
        <v>5.2319501044600996</v>
      </c>
      <c r="J4363">
        <f>(Table1[[#This Row],[value]] - Table1[[#This Row],[mean]]) / Table1[[#This Row],[std_dev]]</f>
        <v>0.63276122154230596</v>
      </c>
      <c r="K4363">
        <f>AVERAGEIF(Table1[CountryCode],Table1[[#This Row],[CountryCode]],Table1[z-score])</f>
        <v>-0.55461759774946673</v>
      </c>
      <c r="L4363" t="e">
        <f>VLOOKUP(Table1[[#This Row],[CountryCode]],[1]!Table1[#Data],4,FALSE)</f>
        <v>#REF!</v>
      </c>
    </row>
    <row r="4364" spans="1:12" hidden="1" x14ac:dyDescent="0.3">
      <c r="A4364" t="s">
        <v>115</v>
      </c>
      <c r="B4364" t="s">
        <v>116</v>
      </c>
      <c r="C4364" t="s">
        <v>125</v>
      </c>
      <c r="D4364" t="s">
        <v>126</v>
      </c>
      <c r="E4364">
        <v>1985</v>
      </c>
      <c r="F4364" s="1">
        <v>11</v>
      </c>
      <c r="G4364">
        <v>1980</v>
      </c>
      <c r="H4364">
        <f>AVERAGEIFS(Table1[value],Table1[IndicatorCode],Table1[[#This Row],[IndicatorCode]])</f>
        <v>7.6894248608534319</v>
      </c>
      <c r="I4364" cm="1">
        <f t="array" ref="I4364">_xlfn.STDEV.P(IF(Table1[IndicatorCode]=Table1[[#This Row],[IndicatorCode]],Table1[value]))</f>
        <v>5.2319501044600996</v>
      </c>
      <c r="J4364">
        <f>(Table1[[#This Row],[value]] - Table1[[#This Row],[mean]]) / Table1[[#This Row],[std_dev]]</f>
        <v>0.63276122154230596</v>
      </c>
      <c r="K4364">
        <f>AVERAGEIF(Table1[CountryCode],Table1[[#This Row],[CountryCode]],Table1[z-score])</f>
        <v>-0.55461759774946673</v>
      </c>
      <c r="L4364" t="e">
        <f>VLOOKUP(Table1[[#This Row],[CountryCode]],[1]!Table1[#Data],4,FALSE)</f>
        <v>#REF!</v>
      </c>
    </row>
    <row r="4365" spans="1:12" hidden="1" x14ac:dyDescent="0.3">
      <c r="A4365" t="s">
        <v>115</v>
      </c>
      <c r="B4365" t="s">
        <v>116</v>
      </c>
      <c r="C4365" t="s">
        <v>125</v>
      </c>
      <c r="D4365" t="s">
        <v>126</v>
      </c>
      <c r="E4365">
        <v>1986</v>
      </c>
      <c r="F4365" s="1">
        <v>11</v>
      </c>
      <c r="G4365">
        <v>1980</v>
      </c>
      <c r="H4365">
        <f>AVERAGEIFS(Table1[value],Table1[IndicatorCode],Table1[[#This Row],[IndicatorCode]])</f>
        <v>7.6894248608534319</v>
      </c>
      <c r="I4365" cm="1">
        <f t="array" ref="I4365">_xlfn.STDEV.P(IF(Table1[IndicatorCode]=Table1[[#This Row],[IndicatorCode]],Table1[value]))</f>
        <v>5.2319501044600996</v>
      </c>
      <c r="J4365">
        <f>(Table1[[#This Row],[value]] - Table1[[#This Row],[mean]]) / Table1[[#This Row],[std_dev]]</f>
        <v>0.63276122154230596</v>
      </c>
      <c r="K4365">
        <f>AVERAGEIF(Table1[CountryCode],Table1[[#This Row],[CountryCode]],Table1[z-score])</f>
        <v>-0.55461759774946673</v>
      </c>
      <c r="L4365" t="e">
        <f>VLOOKUP(Table1[[#This Row],[CountryCode]],[1]!Table1[#Data],4,FALSE)</f>
        <v>#REF!</v>
      </c>
    </row>
    <row r="4366" spans="1:12" hidden="1" x14ac:dyDescent="0.3">
      <c r="A4366" t="s">
        <v>115</v>
      </c>
      <c r="B4366" t="s">
        <v>116</v>
      </c>
      <c r="C4366" t="s">
        <v>125</v>
      </c>
      <c r="D4366" t="s">
        <v>126</v>
      </c>
      <c r="E4366">
        <v>1987</v>
      </c>
      <c r="F4366" s="1">
        <v>11</v>
      </c>
      <c r="G4366">
        <v>1990</v>
      </c>
      <c r="H4366">
        <f>AVERAGEIFS(Table1[value],Table1[IndicatorCode],Table1[[#This Row],[IndicatorCode]])</f>
        <v>7.6894248608534319</v>
      </c>
      <c r="I4366" cm="1">
        <f t="array" ref="I4366">_xlfn.STDEV.P(IF(Table1[IndicatorCode]=Table1[[#This Row],[IndicatorCode]],Table1[value]))</f>
        <v>5.2319501044600996</v>
      </c>
      <c r="J4366">
        <f>(Table1[[#This Row],[value]] - Table1[[#This Row],[mean]]) / Table1[[#This Row],[std_dev]]</f>
        <v>0.63276122154230596</v>
      </c>
      <c r="K4366">
        <f>AVERAGEIF(Table1[CountryCode],Table1[[#This Row],[CountryCode]],Table1[z-score])</f>
        <v>-0.55461759774946673</v>
      </c>
      <c r="L4366" t="e">
        <f>VLOOKUP(Table1[[#This Row],[CountryCode]],[1]!Table1[#Data],4,FALSE)</f>
        <v>#REF!</v>
      </c>
    </row>
    <row r="4367" spans="1:12" hidden="1" x14ac:dyDescent="0.3">
      <c r="A4367" t="s">
        <v>115</v>
      </c>
      <c r="B4367" t="s">
        <v>116</v>
      </c>
      <c r="C4367" t="s">
        <v>125</v>
      </c>
      <c r="D4367" t="s">
        <v>126</v>
      </c>
      <c r="E4367">
        <v>1988</v>
      </c>
      <c r="F4367" s="1">
        <v>11</v>
      </c>
      <c r="G4367">
        <v>1990</v>
      </c>
      <c r="H4367">
        <f>AVERAGEIFS(Table1[value],Table1[IndicatorCode],Table1[[#This Row],[IndicatorCode]])</f>
        <v>7.6894248608534319</v>
      </c>
      <c r="I4367" cm="1">
        <f t="array" ref="I4367">_xlfn.STDEV.P(IF(Table1[IndicatorCode]=Table1[[#This Row],[IndicatorCode]],Table1[value]))</f>
        <v>5.2319501044600996</v>
      </c>
      <c r="J4367">
        <f>(Table1[[#This Row],[value]] - Table1[[#This Row],[mean]]) / Table1[[#This Row],[std_dev]]</f>
        <v>0.63276122154230596</v>
      </c>
      <c r="K4367">
        <f>AVERAGEIF(Table1[CountryCode],Table1[[#This Row],[CountryCode]],Table1[z-score])</f>
        <v>-0.55461759774946673</v>
      </c>
      <c r="L4367" t="e">
        <f>VLOOKUP(Table1[[#This Row],[CountryCode]],[1]!Table1[#Data],4,FALSE)</f>
        <v>#REF!</v>
      </c>
    </row>
    <row r="4368" spans="1:12" hidden="1" x14ac:dyDescent="0.3">
      <c r="A4368" t="s">
        <v>115</v>
      </c>
      <c r="B4368" t="s">
        <v>116</v>
      </c>
      <c r="C4368" t="s">
        <v>125</v>
      </c>
      <c r="D4368" t="s">
        <v>126</v>
      </c>
      <c r="E4368">
        <v>1989</v>
      </c>
      <c r="F4368" s="1">
        <v>11</v>
      </c>
      <c r="G4368">
        <v>1990</v>
      </c>
      <c r="H4368">
        <f>AVERAGEIFS(Table1[value],Table1[IndicatorCode],Table1[[#This Row],[IndicatorCode]])</f>
        <v>7.6894248608534319</v>
      </c>
      <c r="I4368" cm="1">
        <f t="array" ref="I4368">_xlfn.STDEV.P(IF(Table1[IndicatorCode]=Table1[[#This Row],[IndicatorCode]],Table1[value]))</f>
        <v>5.2319501044600996</v>
      </c>
      <c r="J4368">
        <f>(Table1[[#This Row],[value]] - Table1[[#This Row],[mean]]) / Table1[[#This Row],[std_dev]]</f>
        <v>0.63276122154230596</v>
      </c>
      <c r="K4368">
        <f>AVERAGEIF(Table1[CountryCode],Table1[[#This Row],[CountryCode]],Table1[z-score])</f>
        <v>-0.55461759774946673</v>
      </c>
      <c r="L4368" t="e">
        <f>VLOOKUP(Table1[[#This Row],[CountryCode]],[1]!Table1[#Data],4,FALSE)</f>
        <v>#REF!</v>
      </c>
    </row>
    <row r="4369" spans="1:12" hidden="1" x14ac:dyDescent="0.3">
      <c r="A4369" t="s">
        <v>115</v>
      </c>
      <c r="B4369" t="s">
        <v>116</v>
      </c>
      <c r="C4369" t="s">
        <v>125</v>
      </c>
      <c r="D4369" t="s">
        <v>126</v>
      </c>
      <c r="E4369">
        <v>1990</v>
      </c>
      <c r="F4369" s="1">
        <v>12</v>
      </c>
      <c r="G4369">
        <v>1990</v>
      </c>
      <c r="H4369">
        <f>AVERAGEIFS(Table1[value],Table1[IndicatorCode],Table1[[#This Row],[IndicatorCode]])</f>
        <v>7.6894248608534319</v>
      </c>
      <c r="I4369" cm="1">
        <f t="array" ref="I4369">_xlfn.STDEV.P(IF(Table1[IndicatorCode]=Table1[[#This Row],[IndicatorCode]],Table1[value]))</f>
        <v>5.2319501044600996</v>
      </c>
      <c r="J4369">
        <f>(Table1[[#This Row],[value]] - Table1[[#This Row],[mean]]) / Table1[[#This Row],[std_dev]]</f>
        <v>0.82389454277706442</v>
      </c>
      <c r="K4369">
        <f>AVERAGEIF(Table1[CountryCode],Table1[[#This Row],[CountryCode]],Table1[z-score])</f>
        <v>-0.55461759774946673</v>
      </c>
      <c r="L4369" t="e">
        <f>VLOOKUP(Table1[[#This Row],[CountryCode]],[1]!Table1[#Data],4,FALSE)</f>
        <v>#REF!</v>
      </c>
    </row>
    <row r="4370" spans="1:12" hidden="1" x14ac:dyDescent="0.3">
      <c r="A4370" t="s">
        <v>115</v>
      </c>
      <c r="B4370" t="s">
        <v>116</v>
      </c>
      <c r="C4370" t="s">
        <v>125</v>
      </c>
      <c r="D4370" t="s">
        <v>126</v>
      </c>
      <c r="E4370">
        <v>1991</v>
      </c>
      <c r="F4370" s="1">
        <v>10</v>
      </c>
      <c r="G4370">
        <v>1990</v>
      </c>
      <c r="H4370">
        <f>AVERAGEIFS(Table1[value],Table1[IndicatorCode],Table1[[#This Row],[IndicatorCode]])</f>
        <v>7.6894248608534319</v>
      </c>
      <c r="I4370" cm="1">
        <f t="array" ref="I4370">_xlfn.STDEV.P(IF(Table1[IndicatorCode]=Table1[[#This Row],[IndicatorCode]],Table1[value]))</f>
        <v>5.2319501044600996</v>
      </c>
      <c r="J4370">
        <f>(Table1[[#This Row],[value]] - Table1[[#This Row],[mean]]) / Table1[[#This Row],[std_dev]]</f>
        <v>0.44162790030754762</v>
      </c>
      <c r="K4370">
        <f>AVERAGEIF(Table1[CountryCode],Table1[[#This Row],[CountryCode]],Table1[z-score])</f>
        <v>-0.55461759774946673</v>
      </c>
      <c r="L4370" t="e">
        <f>VLOOKUP(Table1[[#This Row],[CountryCode]],[1]!Table1[#Data],4,FALSE)</f>
        <v>#REF!</v>
      </c>
    </row>
    <row r="4371" spans="1:12" hidden="1" x14ac:dyDescent="0.3">
      <c r="A4371" t="s">
        <v>115</v>
      </c>
      <c r="B4371" t="s">
        <v>116</v>
      </c>
      <c r="C4371" t="s">
        <v>125</v>
      </c>
      <c r="D4371" t="s">
        <v>126</v>
      </c>
      <c r="E4371">
        <v>1992</v>
      </c>
      <c r="F4371" s="1">
        <v>7</v>
      </c>
      <c r="G4371">
        <v>1990</v>
      </c>
      <c r="H4371">
        <f>AVERAGEIFS(Table1[value],Table1[IndicatorCode],Table1[[#This Row],[IndicatorCode]])</f>
        <v>7.6894248608534319</v>
      </c>
      <c r="I4371" cm="1">
        <f t="array" ref="I4371">_xlfn.STDEV.P(IF(Table1[IndicatorCode]=Table1[[#This Row],[IndicatorCode]],Table1[value]))</f>
        <v>5.2319501044600996</v>
      </c>
      <c r="J4371">
        <f>(Table1[[#This Row],[value]] - Table1[[#This Row],[mean]]) / Table1[[#This Row],[std_dev]]</f>
        <v>-0.13177206339672762</v>
      </c>
      <c r="K4371">
        <f>AVERAGEIF(Table1[CountryCode],Table1[[#This Row],[CountryCode]],Table1[z-score])</f>
        <v>-0.55461759774946673</v>
      </c>
      <c r="L4371" t="e">
        <f>VLOOKUP(Table1[[#This Row],[CountryCode]],[1]!Table1[#Data],4,FALSE)</f>
        <v>#REF!</v>
      </c>
    </row>
    <row r="4372" spans="1:12" hidden="1" x14ac:dyDescent="0.3">
      <c r="A4372" t="s">
        <v>115</v>
      </c>
      <c r="B4372" t="s">
        <v>116</v>
      </c>
      <c r="C4372" t="s">
        <v>125</v>
      </c>
      <c r="D4372" t="s">
        <v>126</v>
      </c>
      <c r="E4372">
        <v>1993</v>
      </c>
      <c r="F4372" s="1">
        <v>7</v>
      </c>
      <c r="G4372">
        <v>1990</v>
      </c>
      <c r="H4372">
        <f>AVERAGEIFS(Table1[value],Table1[IndicatorCode],Table1[[#This Row],[IndicatorCode]])</f>
        <v>7.6894248608534319</v>
      </c>
      <c r="I4372" cm="1">
        <f t="array" ref="I4372">_xlfn.STDEV.P(IF(Table1[IndicatorCode]=Table1[[#This Row],[IndicatorCode]],Table1[value]))</f>
        <v>5.2319501044600996</v>
      </c>
      <c r="J4372">
        <f>(Table1[[#This Row],[value]] - Table1[[#This Row],[mean]]) / Table1[[#This Row],[std_dev]]</f>
        <v>-0.13177206339672762</v>
      </c>
      <c r="K4372">
        <f>AVERAGEIF(Table1[CountryCode],Table1[[#This Row],[CountryCode]],Table1[z-score])</f>
        <v>-0.55461759774946673</v>
      </c>
      <c r="L4372" t="e">
        <f>VLOOKUP(Table1[[#This Row],[CountryCode]],[1]!Table1[#Data],4,FALSE)</f>
        <v>#REF!</v>
      </c>
    </row>
    <row r="4373" spans="1:12" hidden="1" x14ac:dyDescent="0.3">
      <c r="A4373" t="s">
        <v>115</v>
      </c>
      <c r="B4373" t="s">
        <v>116</v>
      </c>
      <c r="C4373" t="s">
        <v>125</v>
      </c>
      <c r="D4373" t="s">
        <v>126</v>
      </c>
      <c r="E4373">
        <v>1994</v>
      </c>
      <c r="F4373" s="1">
        <v>8</v>
      </c>
      <c r="G4373">
        <v>1990</v>
      </c>
      <c r="H4373">
        <f>AVERAGEIFS(Table1[value],Table1[IndicatorCode],Table1[[#This Row],[IndicatorCode]])</f>
        <v>7.6894248608534319</v>
      </c>
      <c r="I4373" cm="1">
        <f t="array" ref="I4373">_xlfn.STDEV.P(IF(Table1[IndicatorCode]=Table1[[#This Row],[IndicatorCode]],Table1[value]))</f>
        <v>5.2319501044600996</v>
      </c>
      <c r="J4373">
        <f>(Table1[[#This Row],[value]] - Table1[[#This Row],[mean]]) / Table1[[#This Row],[std_dev]]</f>
        <v>5.9361257838030791E-2</v>
      </c>
      <c r="K4373">
        <f>AVERAGEIF(Table1[CountryCode],Table1[[#This Row],[CountryCode]],Table1[z-score])</f>
        <v>-0.55461759774946673</v>
      </c>
      <c r="L4373" t="e">
        <f>VLOOKUP(Table1[[#This Row],[CountryCode]],[1]!Table1[#Data],4,FALSE)</f>
        <v>#REF!</v>
      </c>
    </row>
    <row r="4374" spans="1:12" hidden="1" x14ac:dyDescent="0.3">
      <c r="A4374" t="s">
        <v>115</v>
      </c>
      <c r="B4374" t="s">
        <v>116</v>
      </c>
      <c r="C4374" t="s">
        <v>125</v>
      </c>
      <c r="D4374" t="s">
        <v>126</v>
      </c>
      <c r="E4374">
        <v>1995</v>
      </c>
      <c r="F4374" s="1">
        <v>8</v>
      </c>
      <c r="G4374">
        <v>1990</v>
      </c>
      <c r="H4374">
        <f>AVERAGEIFS(Table1[value],Table1[IndicatorCode],Table1[[#This Row],[IndicatorCode]])</f>
        <v>7.6894248608534319</v>
      </c>
      <c r="I4374" cm="1">
        <f t="array" ref="I4374">_xlfn.STDEV.P(IF(Table1[IndicatorCode]=Table1[[#This Row],[IndicatorCode]],Table1[value]))</f>
        <v>5.2319501044600996</v>
      </c>
      <c r="J4374">
        <f>(Table1[[#This Row],[value]] - Table1[[#This Row],[mean]]) / Table1[[#This Row],[std_dev]]</f>
        <v>5.9361257838030791E-2</v>
      </c>
      <c r="K4374">
        <f>AVERAGEIF(Table1[CountryCode],Table1[[#This Row],[CountryCode]],Table1[z-score])</f>
        <v>-0.55461759774946673</v>
      </c>
      <c r="L4374" t="e">
        <f>VLOOKUP(Table1[[#This Row],[CountryCode]],[1]!Table1[#Data],4,FALSE)</f>
        <v>#REF!</v>
      </c>
    </row>
    <row r="4375" spans="1:12" hidden="1" x14ac:dyDescent="0.3">
      <c r="A4375" t="s">
        <v>115</v>
      </c>
      <c r="B4375" t="s">
        <v>116</v>
      </c>
      <c r="C4375" t="s">
        <v>125</v>
      </c>
      <c r="D4375" t="s">
        <v>126</v>
      </c>
      <c r="E4375">
        <v>1996</v>
      </c>
      <c r="F4375" s="1">
        <v>7</v>
      </c>
      <c r="G4375">
        <v>1990</v>
      </c>
      <c r="H4375">
        <f>AVERAGEIFS(Table1[value],Table1[IndicatorCode],Table1[[#This Row],[IndicatorCode]])</f>
        <v>7.6894248608534319</v>
      </c>
      <c r="I4375" cm="1">
        <f t="array" ref="I4375">_xlfn.STDEV.P(IF(Table1[IndicatorCode]=Table1[[#This Row],[IndicatorCode]],Table1[value]))</f>
        <v>5.2319501044600996</v>
      </c>
      <c r="J4375">
        <f>(Table1[[#This Row],[value]] - Table1[[#This Row],[mean]]) / Table1[[#This Row],[std_dev]]</f>
        <v>-0.13177206339672762</v>
      </c>
      <c r="K4375">
        <f>AVERAGEIF(Table1[CountryCode],Table1[[#This Row],[CountryCode]],Table1[z-score])</f>
        <v>-0.55461759774946673</v>
      </c>
      <c r="L4375" t="e">
        <f>VLOOKUP(Table1[[#This Row],[CountryCode]],[1]!Table1[#Data],4,FALSE)</f>
        <v>#REF!</v>
      </c>
    </row>
    <row r="4376" spans="1:12" hidden="1" x14ac:dyDescent="0.3">
      <c r="A4376" t="s">
        <v>115</v>
      </c>
      <c r="B4376" t="s">
        <v>116</v>
      </c>
      <c r="C4376" t="s">
        <v>125</v>
      </c>
      <c r="D4376" t="s">
        <v>126</v>
      </c>
      <c r="E4376">
        <v>1997</v>
      </c>
      <c r="F4376" s="1">
        <v>7</v>
      </c>
      <c r="G4376">
        <v>2000</v>
      </c>
      <c r="H4376">
        <f>AVERAGEIFS(Table1[value],Table1[IndicatorCode],Table1[[#This Row],[IndicatorCode]])</f>
        <v>7.6894248608534319</v>
      </c>
      <c r="I4376" cm="1">
        <f t="array" ref="I4376">_xlfn.STDEV.P(IF(Table1[IndicatorCode]=Table1[[#This Row],[IndicatorCode]],Table1[value]))</f>
        <v>5.2319501044600996</v>
      </c>
      <c r="J4376">
        <f>(Table1[[#This Row],[value]] - Table1[[#This Row],[mean]]) / Table1[[#This Row],[std_dev]]</f>
        <v>-0.13177206339672762</v>
      </c>
      <c r="K4376">
        <f>AVERAGEIF(Table1[CountryCode],Table1[[#This Row],[CountryCode]],Table1[z-score])</f>
        <v>-0.55461759774946673</v>
      </c>
      <c r="L4376" t="e">
        <f>VLOOKUP(Table1[[#This Row],[CountryCode]],[1]!Table1[#Data],4,FALSE)</f>
        <v>#REF!</v>
      </c>
    </row>
    <row r="4377" spans="1:12" hidden="1" x14ac:dyDescent="0.3">
      <c r="A4377" t="s">
        <v>115</v>
      </c>
      <c r="B4377" t="s">
        <v>116</v>
      </c>
      <c r="C4377" t="s">
        <v>125</v>
      </c>
      <c r="D4377" t="s">
        <v>126</v>
      </c>
      <c r="E4377">
        <v>1998</v>
      </c>
      <c r="F4377" s="1">
        <v>7</v>
      </c>
      <c r="G4377">
        <v>2000</v>
      </c>
      <c r="H4377">
        <f>AVERAGEIFS(Table1[value],Table1[IndicatorCode],Table1[[#This Row],[IndicatorCode]])</f>
        <v>7.6894248608534319</v>
      </c>
      <c r="I4377" cm="1">
        <f t="array" ref="I4377">_xlfn.STDEV.P(IF(Table1[IndicatorCode]=Table1[[#This Row],[IndicatorCode]],Table1[value]))</f>
        <v>5.2319501044600996</v>
      </c>
      <c r="J4377">
        <f>(Table1[[#This Row],[value]] - Table1[[#This Row],[mean]]) / Table1[[#This Row],[std_dev]]</f>
        <v>-0.13177206339672762</v>
      </c>
      <c r="K4377">
        <f>AVERAGEIF(Table1[CountryCode],Table1[[#This Row],[CountryCode]],Table1[z-score])</f>
        <v>-0.55461759774946673</v>
      </c>
      <c r="L4377" t="e">
        <f>VLOOKUP(Table1[[#This Row],[CountryCode]],[1]!Table1[#Data],4,FALSE)</f>
        <v>#REF!</v>
      </c>
    </row>
    <row r="4378" spans="1:12" hidden="1" x14ac:dyDescent="0.3">
      <c r="A4378" t="s">
        <v>115</v>
      </c>
      <c r="B4378" t="s">
        <v>116</v>
      </c>
      <c r="C4378" t="s">
        <v>125</v>
      </c>
      <c r="D4378" t="s">
        <v>126</v>
      </c>
      <c r="E4378">
        <v>1999</v>
      </c>
      <c r="F4378" s="1">
        <v>9</v>
      </c>
      <c r="G4378">
        <v>2000</v>
      </c>
      <c r="H4378">
        <f>AVERAGEIFS(Table1[value],Table1[IndicatorCode],Table1[[#This Row],[IndicatorCode]])</f>
        <v>7.6894248608534319</v>
      </c>
      <c r="I4378" cm="1">
        <f t="array" ref="I4378">_xlfn.STDEV.P(IF(Table1[IndicatorCode]=Table1[[#This Row],[IndicatorCode]],Table1[value]))</f>
        <v>5.2319501044600996</v>
      </c>
      <c r="J4378">
        <f>(Table1[[#This Row],[value]] - Table1[[#This Row],[mean]]) / Table1[[#This Row],[std_dev]]</f>
        <v>0.25049457907278921</v>
      </c>
      <c r="K4378">
        <f>AVERAGEIF(Table1[CountryCode],Table1[[#This Row],[CountryCode]],Table1[z-score])</f>
        <v>-0.55461759774946673</v>
      </c>
      <c r="L4378" t="e">
        <f>VLOOKUP(Table1[[#This Row],[CountryCode]],[1]!Table1[#Data],4,FALSE)</f>
        <v>#REF!</v>
      </c>
    </row>
    <row r="4379" spans="1:12" hidden="1" x14ac:dyDescent="0.3">
      <c r="A4379" t="s">
        <v>115</v>
      </c>
      <c r="B4379" t="s">
        <v>116</v>
      </c>
      <c r="C4379" t="s">
        <v>125</v>
      </c>
      <c r="D4379" t="s">
        <v>126</v>
      </c>
      <c r="E4379">
        <v>2000</v>
      </c>
      <c r="F4379" s="1">
        <v>9</v>
      </c>
      <c r="G4379">
        <v>2000</v>
      </c>
      <c r="H4379">
        <f>AVERAGEIFS(Table1[value],Table1[IndicatorCode],Table1[[#This Row],[IndicatorCode]])</f>
        <v>7.6894248608534319</v>
      </c>
      <c r="I4379" cm="1">
        <f t="array" ref="I4379">_xlfn.STDEV.P(IF(Table1[IndicatorCode]=Table1[[#This Row],[IndicatorCode]],Table1[value]))</f>
        <v>5.2319501044600996</v>
      </c>
      <c r="J4379">
        <f>(Table1[[#This Row],[value]] - Table1[[#This Row],[mean]]) / Table1[[#This Row],[std_dev]]</f>
        <v>0.25049457907278921</v>
      </c>
      <c r="K4379">
        <f>AVERAGEIF(Table1[CountryCode],Table1[[#This Row],[CountryCode]],Table1[z-score])</f>
        <v>-0.55461759774946673</v>
      </c>
      <c r="L4379" t="e">
        <f>VLOOKUP(Table1[[#This Row],[CountryCode]],[1]!Table1[#Data],4,FALSE)</f>
        <v>#REF!</v>
      </c>
    </row>
    <row r="4380" spans="1:12" hidden="1" x14ac:dyDescent="0.3">
      <c r="A4380" t="s">
        <v>115</v>
      </c>
      <c r="B4380" t="s">
        <v>116</v>
      </c>
      <c r="C4380" t="s">
        <v>125</v>
      </c>
      <c r="D4380" t="s">
        <v>126</v>
      </c>
      <c r="E4380">
        <v>2001</v>
      </c>
      <c r="F4380" s="1">
        <v>9</v>
      </c>
      <c r="G4380">
        <v>2000</v>
      </c>
      <c r="H4380">
        <f>AVERAGEIFS(Table1[value],Table1[IndicatorCode],Table1[[#This Row],[IndicatorCode]])</f>
        <v>7.6894248608534319</v>
      </c>
      <c r="I4380" cm="1">
        <f t="array" ref="I4380">_xlfn.STDEV.P(IF(Table1[IndicatorCode]=Table1[[#This Row],[IndicatorCode]],Table1[value]))</f>
        <v>5.2319501044600996</v>
      </c>
      <c r="J4380">
        <f>(Table1[[#This Row],[value]] - Table1[[#This Row],[mean]]) / Table1[[#This Row],[std_dev]]</f>
        <v>0.25049457907278921</v>
      </c>
      <c r="K4380">
        <f>AVERAGEIF(Table1[CountryCode],Table1[[#This Row],[CountryCode]],Table1[z-score])</f>
        <v>-0.55461759774946673</v>
      </c>
      <c r="L4380" t="e">
        <f>VLOOKUP(Table1[[#This Row],[CountryCode]],[1]!Table1[#Data],4,FALSE)</f>
        <v>#REF!</v>
      </c>
    </row>
    <row r="4381" spans="1:12" hidden="1" x14ac:dyDescent="0.3">
      <c r="A4381" t="s">
        <v>115</v>
      </c>
      <c r="B4381" t="s">
        <v>116</v>
      </c>
      <c r="C4381" t="s">
        <v>125</v>
      </c>
      <c r="D4381" t="s">
        <v>126</v>
      </c>
      <c r="E4381">
        <v>2002</v>
      </c>
      <c r="F4381" s="1">
        <v>9</v>
      </c>
      <c r="G4381">
        <v>2000</v>
      </c>
      <c r="H4381">
        <f>AVERAGEIFS(Table1[value],Table1[IndicatorCode],Table1[[#This Row],[IndicatorCode]])</f>
        <v>7.6894248608534319</v>
      </c>
      <c r="I4381" cm="1">
        <f t="array" ref="I4381">_xlfn.STDEV.P(IF(Table1[IndicatorCode]=Table1[[#This Row],[IndicatorCode]],Table1[value]))</f>
        <v>5.2319501044600996</v>
      </c>
      <c r="J4381">
        <f>(Table1[[#This Row],[value]] - Table1[[#This Row],[mean]]) / Table1[[#This Row],[std_dev]]</f>
        <v>0.25049457907278921</v>
      </c>
      <c r="K4381">
        <f>AVERAGEIF(Table1[CountryCode],Table1[[#This Row],[CountryCode]],Table1[z-score])</f>
        <v>-0.55461759774946673</v>
      </c>
      <c r="L4381" t="e">
        <f>VLOOKUP(Table1[[#This Row],[CountryCode]],[1]!Table1[#Data],4,FALSE)</f>
        <v>#REF!</v>
      </c>
    </row>
    <row r="4382" spans="1:12" hidden="1" x14ac:dyDescent="0.3">
      <c r="A4382" t="s">
        <v>115</v>
      </c>
      <c r="B4382" t="s">
        <v>116</v>
      </c>
      <c r="C4382" t="s">
        <v>125</v>
      </c>
      <c r="D4382" t="s">
        <v>126</v>
      </c>
      <c r="E4382">
        <v>2003</v>
      </c>
      <c r="F4382" s="1">
        <v>10</v>
      </c>
      <c r="G4382">
        <v>2000</v>
      </c>
      <c r="H4382">
        <f>AVERAGEIFS(Table1[value],Table1[IndicatorCode],Table1[[#This Row],[IndicatorCode]])</f>
        <v>7.6894248608534319</v>
      </c>
      <c r="I4382" cm="1">
        <f t="array" ref="I4382">_xlfn.STDEV.P(IF(Table1[IndicatorCode]=Table1[[#This Row],[IndicatorCode]],Table1[value]))</f>
        <v>5.2319501044600996</v>
      </c>
      <c r="J4382">
        <f>(Table1[[#This Row],[value]] - Table1[[#This Row],[mean]]) / Table1[[#This Row],[std_dev]]</f>
        <v>0.44162790030754762</v>
      </c>
      <c r="K4382">
        <f>AVERAGEIF(Table1[CountryCode],Table1[[#This Row],[CountryCode]],Table1[z-score])</f>
        <v>-0.55461759774946673</v>
      </c>
      <c r="L4382" t="e">
        <f>VLOOKUP(Table1[[#This Row],[CountryCode]],[1]!Table1[#Data],4,FALSE)</f>
        <v>#REF!</v>
      </c>
    </row>
    <row r="4383" spans="1:12" hidden="1" x14ac:dyDescent="0.3">
      <c r="A4383" t="s">
        <v>115</v>
      </c>
      <c r="B4383" t="s">
        <v>116</v>
      </c>
      <c r="C4383" t="s">
        <v>125</v>
      </c>
      <c r="D4383" t="s">
        <v>126</v>
      </c>
      <c r="E4383">
        <v>2004</v>
      </c>
      <c r="F4383" s="1">
        <v>10</v>
      </c>
      <c r="G4383">
        <v>2000</v>
      </c>
      <c r="H4383">
        <f>AVERAGEIFS(Table1[value],Table1[IndicatorCode],Table1[[#This Row],[IndicatorCode]])</f>
        <v>7.6894248608534319</v>
      </c>
      <c r="I4383" cm="1">
        <f t="array" ref="I4383">_xlfn.STDEV.P(IF(Table1[IndicatorCode]=Table1[[#This Row],[IndicatorCode]],Table1[value]))</f>
        <v>5.2319501044600996</v>
      </c>
      <c r="J4383">
        <f>(Table1[[#This Row],[value]] - Table1[[#This Row],[mean]]) / Table1[[#This Row],[std_dev]]</f>
        <v>0.44162790030754762</v>
      </c>
      <c r="K4383">
        <f>AVERAGEIF(Table1[CountryCode],Table1[[#This Row],[CountryCode]],Table1[z-score])</f>
        <v>-0.55461759774946673</v>
      </c>
      <c r="L4383" t="e">
        <f>VLOOKUP(Table1[[#This Row],[CountryCode]],[1]!Table1[#Data],4,FALSE)</f>
        <v>#REF!</v>
      </c>
    </row>
    <row r="4384" spans="1:12" hidden="1" x14ac:dyDescent="0.3">
      <c r="A4384" t="s">
        <v>115</v>
      </c>
      <c r="B4384" t="s">
        <v>116</v>
      </c>
      <c r="C4384" t="s">
        <v>125</v>
      </c>
      <c r="D4384" t="s">
        <v>126</v>
      </c>
      <c r="E4384">
        <v>2005</v>
      </c>
      <c r="F4384" s="1">
        <v>10</v>
      </c>
      <c r="G4384">
        <v>2000</v>
      </c>
      <c r="H4384">
        <f>AVERAGEIFS(Table1[value],Table1[IndicatorCode],Table1[[#This Row],[IndicatorCode]])</f>
        <v>7.6894248608534319</v>
      </c>
      <c r="I4384" cm="1">
        <f t="array" ref="I4384">_xlfn.STDEV.P(IF(Table1[IndicatorCode]=Table1[[#This Row],[IndicatorCode]],Table1[value]))</f>
        <v>5.2319501044600996</v>
      </c>
      <c r="J4384">
        <f>(Table1[[#This Row],[value]] - Table1[[#This Row],[mean]]) / Table1[[#This Row],[std_dev]]</f>
        <v>0.44162790030754762</v>
      </c>
      <c r="K4384">
        <f>AVERAGEIF(Table1[CountryCode],Table1[[#This Row],[CountryCode]],Table1[z-score])</f>
        <v>-0.55461759774946673</v>
      </c>
      <c r="L4384" t="e">
        <f>VLOOKUP(Table1[[#This Row],[CountryCode]],[1]!Table1[#Data],4,FALSE)</f>
        <v>#REF!</v>
      </c>
    </row>
    <row r="4385" spans="1:12" hidden="1" x14ac:dyDescent="0.3">
      <c r="A4385" t="s">
        <v>115</v>
      </c>
      <c r="B4385" t="s">
        <v>116</v>
      </c>
      <c r="C4385" t="s">
        <v>125</v>
      </c>
      <c r="D4385" t="s">
        <v>126</v>
      </c>
      <c r="E4385">
        <v>2006</v>
      </c>
      <c r="F4385" s="1">
        <v>11</v>
      </c>
      <c r="G4385">
        <v>2000</v>
      </c>
      <c r="H4385">
        <f>AVERAGEIFS(Table1[value],Table1[IndicatorCode],Table1[[#This Row],[IndicatorCode]])</f>
        <v>7.6894248608534319</v>
      </c>
      <c r="I4385" cm="1">
        <f t="array" ref="I4385">_xlfn.STDEV.P(IF(Table1[IndicatorCode]=Table1[[#This Row],[IndicatorCode]],Table1[value]))</f>
        <v>5.2319501044600996</v>
      </c>
      <c r="J4385">
        <f>(Table1[[#This Row],[value]] - Table1[[#This Row],[mean]]) / Table1[[#This Row],[std_dev]]</f>
        <v>0.63276122154230596</v>
      </c>
      <c r="K4385">
        <f>AVERAGEIF(Table1[CountryCode],Table1[[#This Row],[CountryCode]],Table1[z-score])</f>
        <v>-0.55461759774946673</v>
      </c>
      <c r="L4385" t="e">
        <f>VLOOKUP(Table1[[#This Row],[CountryCode]],[1]!Table1[#Data],4,FALSE)</f>
        <v>#REF!</v>
      </c>
    </row>
    <row r="4386" spans="1:12" hidden="1" x14ac:dyDescent="0.3">
      <c r="A4386" t="s">
        <v>115</v>
      </c>
      <c r="B4386" t="s">
        <v>116</v>
      </c>
      <c r="C4386" t="s">
        <v>125</v>
      </c>
      <c r="D4386" t="s">
        <v>126</v>
      </c>
      <c r="E4386">
        <v>2007</v>
      </c>
      <c r="F4386" s="1">
        <v>12</v>
      </c>
      <c r="G4386">
        <v>2010</v>
      </c>
      <c r="H4386">
        <f>AVERAGEIFS(Table1[value],Table1[IndicatorCode],Table1[[#This Row],[IndicatorCode]])</f>
        <v>7.6894248608534319</v>
      </c>
      <c r="I4386" cm="1">
        <f t="array" ref="I4386">_xlfn.STDEV.P(IF(Table1[IndicatorCode]=Table1[[#This Row],[IndicatorCode]],Table1[value]))</f>
        <v>5.2319501044600996</v>
      </c>
      <c r="J4386">
        <f>(Table1[[#This Row],[value]] - Table1[[#This Row],[mean]]) / Table1[[#This Row],[std_dev]]</f>
        <v>0.82389454277706442</v>
      </c>
      <c r="K4386">
        <f>AVERAGEIF(Table1[CountryCode],Table1[[#This Row],[CountryCode]],Table1[z-score])</f>
        <v>-0.55461759774946673</v>
      </c>
      <c r="L4386" t="e">
        <f>VLOOKUP(Table1[[#This Row],[CountryCode]],[1]!Table1[#Data],4,FALSE)</f>
        <v>#REF!</v>
      </c>
    </row>
    <row r="4387" spans="1:12" hidden="1" x14ac:dyDescent="0.3">
      <c r="A4387" t="s">
        <v>115</v>
      </c>
      <c r="B4387" t="s">
        <v>116</v>
      </c>
      <c r="C4387" t="s">
        <v>125</v>
      </c>
      <c r="D4387" t="s">
        <v>126</v>
      </c>
      <c r="E4387">
        <v>2008</v>
      </c>
      <c r="F4387" s="1">
        <v>12</v>
      </c>
      <c r="G4387">
        <v>2010</v>
      </c>
      <c r="H4387">
        <f>AVERAGEIFS(Table1[value],Table1[IndicatorCode],Table1[[#This Row],[IndicatorCode]])</f>
        <v>7.6894248608534319</v>
      </c>
      <c r="I4387" cm="1">
        <f t="array" ref="I4387">_xlfn.STDEV.P(IF(Table1[IndicatorCode]=Table1[[#This Row],[IndicatorCode]],Table1[value]))</f>
        <v>5.2319501044600996</v>
      </c>
      <c r="J4387">
        <f>(Table1[[#This Row],[value]] - Table1[[#This Row],[mean]]) / Table1[[#This Row],[std_dev]]</f>
        <v>0.82389454277706442</v>
      </c>
      <c r="K4387">
        <f>AVERAGEIF(Table1[CountryCode],Table1[[#This Row],[CountryCode]],Table1[z-score])</f>
        <v>-0.55461759774946673</v>
      </c>
      <c r="L4387" t="e">
        <f>VLOOKUP(Table1[[#This Row],[CountryCode]],[1]!Table1[#Data],4,FALSE)</f>
        <v>#REF!</v>
      </c>
    </row>
    <row r="4388" spans="1:12" hidden="1" x14ac:dyDescent="0.3">
      <c r="A4388" t="s">
        <v>115</v>
      </c>
      <c r="B4388" t="s">
        <v>116</v>
      </c>
      <c r="C4388" t="s">
        <v>125</v>
      </c>
      <c r="D4388" t="s">
        <v>126</v>
      </c>
      <c r="E4388">
        <v>2009</v>
      </c>
      <c r="F4388" s="1">
        <v>10</v>
      </c>
      <c r="G4388">
        <v>2010</v>
      </c>
      <c r="H4388">
        <f>AVERAGEIFS(Table1[value],Table1[IndicatorCode],Table1[[#This Row],[IndicatorCode]])</f>
        <v>7.6894248608534319</v>
      </c>
      <c r="I4388" cm="1">
        <f t="array" ref="I4388">_xlfn.STDEV.P(IF(Table1[IndicatorCode]=Table1[[#This Row],[IndicatorCode]],Table1[value]))</f>
        <v>5.2319501044600996</v>
      </c>
      <c r="J4388">
        <f>(Table1[[#This Row],[value]] - Table1[[#This Row],[mean]]) / Table1[[#This Row],[std_dev]]</f>
        <v>0.44162790030754762</v>
      </c>
      <c r="K4388">
        <f>AVERAGEIF(Table1[CountryCode],Table1[[#This Row],[CountryCode]],Table1[z-score])</f>
        <v>-0.55461759774946673</v>
      </c>
      <c r="L4388" t="e">
        <f>VLOOKUP(Table1[[#This Row],[CountryCode]],[1]!Table1[#Data],4,FALSE)</f>
        <v>#REF!</v>
      </c>
    </row>
    <row r="4389" spans="1:12" hidden="1" x14ac:dyDescent="0.3">
      <c r="A4389" t="s">
        <v>115</v>
      </c>
      <c r="B4389" t="s">
        <v>116</v>
      </c>
      <c r="C4389" t="s">
        <v>125</v>
      </c>
      <c r="D4389" t="s">
        <v>126</v>
      </c>
      <c r="E4389">
        <v>2010</v>
      </c>
      <c r="F4389" s="1">
        <v>11</v>
      </c>
      <c r="G4389">
        <v>2010</v>
      </c>
      <c r="H4389">
        <f>AVERAGEIFS(Table1[value],Table1[IndicatorCode],Table1[[#This Row],[IndicatorCode]])</f>
        <v>7.6894248608534319</v>
      </c>
      <c r="I4389" cm="1">
        <f t="array" ref="I4389">_xlfn.STDEV.P(IF(Table1[IndicatorCode]=Table1[[#This Row],[IndicatorCode]],Table1[value]))</f>
        <v>5.2319501044600996</v>
      </c>
      <c r="J4389">
        <f>(Table1[[#This Row],[value]] - Table1[[#This Row],[mean]]) / Table1[[#This Row],[std_dev]]</f>
        <v>0.63276122154230596</v>
      </c>
      <c r="K4389">
        <f>AVERAGEIF(Table1[CountryCode],Table1[[#This Row],[CountryCode]],Table1[z-score])</f>
        <v>-0.55461759774946673</v>
      </c>
      <c r="L4389" t="e">
        <f>VLOOKUP(Table1[[#This Row],[CountryCode]],[1]!Table1[#Data],4,FALSE)</f>
        <v>#REF!</v>
      </c>
    </row>
    <row r="4390" spans="1:12" hidden="1" x14ac:dyDescent="0.3">
      <c r="A4390" t="s">
        <v>115</v>
      </c>
      <c r="B4390" t="s">
        <v>116</v>
      </c>
      <c r="C4390" t="s">
        <v>125</v>
      </c>
      <c r="D4390" t="s">
        <v>126</v>
      </c>
      <c r="E4390">
        <v>2011</v>
      </c>
      <c r="F4390" s="1">
        <v>12</v>
      </c>
      <c r="G4390">
        <v>2010</v>
      </c>
      <c r="H4390">
        <f>AVERAGEIFS(Table1[value],Table1[IndicatorCode],Table1[[#This Row],[IndicatorCode]])</f>
        <v>7.6894248608534319</v>
      </c>
      <c r="I4390" cm="1">
        <f t="array" ref="I4390">_xlfn.STDEV.P(IF(Table1[IndicatorCode]=Table1[[#This Row],[IndicatorCode]],Table1[value]))</f>
        <v>5.2319501044600996</v>
      </c>
      <c r="J4390">
        <f>(Table1[[#This Row],[value]] - Table1[[#This Row],[mean]]) / Table1[[#This Row],[std_dev]]</f>
        <v>0.82389454277706442</v>
      </c>
      <c r="K4390">
        <f>AVERAGEIF(Table1[CountryCode],Table1[[#This Row],[CountryCode]],Table1[z-score])</f>
        <v>-0.55461759774946673</v>
      </c>
      <c r="L4390" t="e">
        <f>VLOOKUP(Table1[[#This Row],[CountryCode]],[1]!Table1[#Data],4,FALSE)</f>
        <v>#REF!</v>
      </c>
    </row>
    <row r="4391" spans="1:12" hidden="1" x14ac:dyDescent="0.3">
      <c r="A4391" t="s">
        <v>115</v>
      </c>
      <c r="B4391" t="s">
        <v>116</v>
      </c>
      <c r="C4391" t="s">
        <v>125</v>
      </c>
      <c r="D4391" t="s">
        <v>126</v>
      </c>
      <c r="E4391">
        <v>2012</v>
      </c>
      <c r="F4391" s="1">
        <v>12</v>
      </c>
      <c r="G4391">
        <v>2010</v>
      </c>
      <c r="H4391">
        <f>AVERAGEIFS(Table1[value],Table1[IndicatorCode],Table1[[#This Row],[IndicatorCode]])</f>
        <v>7.6894248608534319</v>
      </c>
      <c r="I4391" cm="1">
        <f t="array" ref="I4391">_xlfn.STDEV.P(IF(Table1[IndicatorCode]=Table1[[#This Row],[IndicatorCode]],Table1[value]))</f>
        <v>5.2319501044600996</v>
      </c>
      <c r="J4391">
        <f>(Table1[[#This Row],[value]] - Table1[[#This Row],[mean]]) / Table1[[#This Row],[std_dev]]</f>
        <v>0.82389454277706442</v>
      </c>
      <c r="K4391">
        <f>AVERAGEIF(Table1[CountryCode],Table1[[#This Row],[CountryCode]],Table1[z-score])</f>
        <v>-0.55461759774946673</v>
      </c>
      <c r="L4391" t="e">
        <f>VLOOKUP(Table1[[#This Row],[CountryCode]],[1]!Table1[#Data],4,FALSE)</f>
        <v>#REF!</v>
      </c>
    </row>
    <row r="4392" spans="1:12" hidden="1" x14ac:dyDescent="0.3">
      <c r="A4392" t="s">
        <v>115</v>
      </c>
      <c r="B4392" t="s">
        <v>116</v>
      </c>
      <c r="C4392" t="s">
        <v>125</v>
      </c>
      <c r="D4392" t="s">
        <v>126</v>
      </c>
      <c r="E4392">
        <v>2013</v>
      </c>
      <c r="F4392" s="1">
        <v>11</v>
      </c>
      <c r="G4392">
        <v>2010</v>
      </c>
      <c r="H4392">
        <f>AVERAGEIFS(Table1[value],Table1[IndicatorCode],Table1[[#This Row],[IndicatorCode]])</f>
        <v>7.6894248608534319</v>
      </c>
      <c r="I4392" cm="1">
        <f t="array" ref="I4392">_xlfn.STDEV.P(IF(Table1[IndicatorCode]=Table1[[#This Row],[IndicatorCode]],Table1[value]))</f>
        <v>5.2319501044600996</v>
      </c>
      <c r="J4392">
        <f>(Table1[[#This Row],[value]] - Table1[[#This Row],[mean]]) / Table1[[#This Row],[std_dev]]</f>
        <v>0.63276122154230596</v>
      </c>
      <c r="K4392">
        <f>AVERAGEIF(Table1[CountryCode],Table1[[#This Row],[CountryCode]],Table1[z-score])</f>
        <v>-0.55461759774946673</v>
      </c>
      <c r="L4392" t="e">
        <f>VLOOKUP(Table1[[#This Row],[CountryCode]],[1]!Table1[#Data],4,FALSE)</f>
        <v>#REF!</v>
      </c>
    </row>
    <row r="4393" spans="1:12" hidden="1" x14ac:dyDescent="0.3">
      <c r="A4393" t="s">
        <v>115</v>
      </c>
      <c r="B4393" t="s">
        <v>116</v>
      </c>
      <c r="C4393" t="s">
        <v>125</v>
      </c>
      <c r="D4393" t="s">
        <v>126</v>
      </c>
      <c r="E4393">
        <v>2014</v>
      </c>
      <c r="F4393" s="1">
        <v>10</v>
      </c>
      <c r="G4393">
        <v>2010</v>
      </c>
      <c r="H4393">
        <f>AVERAGEIFS(Table1[value],Table1[IndicatorCode],Table1[[#This Row],[IndicatorCode]])</f>
        <v>7.6894248608534319</v>
      </c>
      <c r="I4393" cm="1">
        <f t="array" ref="I4393">_xlfn.STDEV.P(IF(Table1[IndicatorCode]=Table1[[#This Row],[IndicatorCode]],Table1[value]))</f>
        <v>5.2319501044600996</v>
      </c>
      <c r="J4393">
        <f>(Table1[[#This Row],[value]] - Table1[[#This Row],[mean]]) / Table1[[#This Row],[std_dev]]</f>
        <v>0.44162790030754762</v>
      </c>
      <c r="K4393">
        <f>AVERAGEIF(Table1[CountryCode],Table1[[#This Row],[CountryCode]],Table1[z-score])</f>
        <v>-0.55461759774946673</v>
      </c>
      <c r="L4393" t="e">
        <f>VLOOKUP(Table1[[#This Row],[CountryCode]],[1]!Table1[#Data],4,FALSE)</f>
        <v>#REF!</v>
      </c>
    </row>
    <row r="4394" spans="1:12" hidden="1" x14ac:dyDescent="0.3">
      <c r="A4394" t="s">
        <v>115</v>
      </c>
      <c r="B4394" t="s">
        <v>116</v>
      </c>
      <c r="C4394" t="s">
        <v>125</v>
      </c>
      <c r="D4394" t="s">
        <v>126</v>
      </c>
      <c r="E4394">
        <v>2015</v>
      </c>
      <c r="F4394" s="1">
        <v>11</v>
      </c>
      <c r="G4394">
        <v>2010</v>
      </c>
      <c r="H4394">
        <f>AVERAGEIFS(Table1[value],Table1[IndicatorCode],Table1[[#This Row],[IndicatorCode]])</f>
        <v>7.6894248608534319</v>
      </c>
      <c r="I4394" cm="1">
        <f t="array" ref="I4394">_xlfn.STDEV.P(IF(Table1[IndicatorCode]=Table1[[#This Row],[IndicatorCode]],Table1[value]))</f>
        <v>5.2319501044600996</v>
      </c>
      <c r="J4394">
        <f>(Table1[[#This Row],[value]] - Table1[[#This Row],[mean]]) / Table1[[#This Row],[std_dev]]</f>
        <v>0.63276122154230596</v>
      </c>
      <c r="K4394">
        <f>AVERAGEIF(Table1[CountryCode],Table1[[#This Row],[CountryCode]],Table1[z-score])</f>
        <v>-0.55461759774946673</v>
      </c>
      <c r="L4394" t="e">
        <f>VLOOKUP(Table1[[#This Row],[CountryCode]],[1]!Table1[#Data],4,FALSE)</f>
        <v>#REF!</v>
      </c>
    </row>
    <row r="4395" spans="1:12" hidden="1" x14ac:dyDescent="0.3">
      <c r="A4395" t="s">
        <v>115</v>
      </c>
      <c r="B4395" t="s">
        <v>116</v>
      </c>
      <c r="C4395" t="s">
        <v>125</v>
      </c>
      <c r="D4395" t="s">
        <v>126</v>
      </c>
      <c r="E4395">
        <v>2016</v>
      </c>
      <c r="F4395" s="1">
        <v>11</v>
      </c>
      <c r="G4395">
        <v>2010</v>
      </c>
      <c r="H4395">
        <f>AVERAGEIFS(Table1[value],Table1[IndicatorCode],Table1[[#This Row],[IndicatorCode]])</f>
        <v>7.6894248608534319</v>
      </c>
      <c r="I4395" cm="1">
        <f t="array" ref="I4395">_xlfn.STDEV.P(IF(Table1[IndicatorCode]=Table1[[#This Row],[IndicatorCode]],Table1[value]))</f>
        <v>5.2319501044600996</v>
      </c>
      <c r="J4395">
        <f>(Table1[[#This Row],[value]] - Table1[[#This Row],[mean]]) / Table1[[#This Row],[std_dev]]</f>
        <v>0.63276122154230596</v>
      </c>
      <c r="K4395">
        <f>AVERAGEIF(Table1[CountryCode],Table1[[#This Row],[CountryCode]],Table1[z-score])</f>
        <v>-0.55461759774946673</v>
      </c>
      <c r="L4395" t="e">
        <f>VLOOKUP(Table1[[#This Row],[CountryCode]],[1]!Table1[#Data],4,FALSE)</f>
        <v>#REF!</v>
      </c>
    </row>
    <row r="4396" spans="1:12" hidden="1" x14ac:dyDescent="0.3">
      <c r="A4396" t="s">
        <v>115</v>
      </c>
      <c r="B4396" t="s">
        <v>116</v>
      </c>
      <c r="C4396" t="s">
        <v>125</v>
      </c>
      <c r="D4396" t="s">
        <v>126</v>
      </c>
      <c r="E4396">
        <v>2017</v>
      </c>
      <c r="F4396" s="1">
        <v>11</v>
      </c>
      <c r="G4396">
        <v>2020</v>
      </c>
      <c r="H4396">
        <f>AVERAGEIFS(Table1[value],Table1[IndicatorCode],Table1[[#This Row],[IndicatorCode]])</f>
        <v>7.6894248608534319</v>
      </c>
      <c r="I4396" cm="1">
        <f t="array" ref="I4396">_xlfn.STDEV.P(IF(Table1[IndicatorCode]=Table1[[#This Row],[IndicatorCode]],Table1[value]))</f>
        <v>5.2319501044600996</v>
      </c>
      <c r="J4396">
        <f>(Table1[[#This Row],[value]] - Table1[[#This Row],[mean]]) / Table1[[#This Row],[std_dev]]</f>
        <v>0.63276122154230596</v>
      </c>
      <c r="K4396">
        <f>AVERAGEIF(Table1[CountryCode],Table1[[#This Row],[CountryCode]],Table1[z-score])</f>
        <v>-0.55461759774946673</v>
      </c>
      <c r="L4396" t="e">
        <f>VLOOKUP(Table1[[#This Row],[CountryCode]],[1]!Table1[#Data],4,FALSE)</f>
        <v>#REF!</v>
      </c>
    </row>
    <row r="4397" spans="1:12" hidden="1" x14ac:dyDescent="0.3">
      <c r="A4397" t="s">
        <v>115</v>
      </c>
      <c r="B4397" t="s">
        <v>116</v>
      </c>
      <c r="C4397" t="s">
        <v>125</v>
      </c>
      <c r="D4397" t="s">
        <v>126</v>
      </c>
      <c r="E4397">
        <v>2018</v>
      </c>
      <c r="F4397" s="1">
        <v>11</v>
      </c>
      <c r="G4397">
        <v>2020</v>
      </c>
      <c r="H4397">
        <f>AVERAGEIFS(Table1[value],Table1[IndicatorCode],Table1[[#This Row],[IndicatorCode]])</f>
        <v>7.6894248608534319</v>
      </c>
      <c r="I4397" cm="1">
        <f t="array" ref="I4397">_xlfn.STDEV.P(IF(Table1[IndicatorCode]=Table1[[#This Row],[IndicatorCode]],Table1[value]))</f>
        <v>5.2319501044600996</v>
      </c>
      <c r="J4397">
        <f>(Table1[[#This Row],[value]] - Table1[[#This Row],[mean]]) / Table1[[#This Row],[std_dev]]</f>
        <v>0.63276122154230596</v>
      </c>
      <c r="K4397">
        <f>AVERAGEIF(Table1[CountryCode],Table1[[#This Row],[CountryCode]],Table1[z-score])</f>
        <v>-0.55461759774946673</v>
      </c>
      <c r="L4397" t="e">
        <f>VLOOKUP(Table1[[#This Row],[CountryCode]],[1]!Table1[#Data],4,FALSE)</f>
        <v>#REF!</v>
      </c>
    </row>
    <row r="4398" spans="1:12" hidden="1" x14ac:dyDescent="0.3">
      <c r="A4398" t="s">
        <v>115</v>
      </c>
      <c r="B4398" t="s">
        <v>116</v>
      </c>
      <c r="C4398" t="s">
        <v>125</v>
      </c>
      <c r="D4398" t="s">
        <v>126</v>
      </c>
      <c r="E4398">
        <v>2019</v>
      </c>
      <c r="F4398" s="1">
        <v>11</v>
      </c>
      <c r="G4398">
        <v>2020</v>
      </c>
      <c r="H4398">
        <f>AVERAGEIFS(Table1[value],Table1[IndicatorCode],Table1[[#This Row],[IndicatorCode]])</f>
        <v>7.6894248608534319</v>
      </c>
      <c r="I4398" cm="1">
        <f t="array" ref="I4398">_xlfn.STDEV.P(IF(Table1[IndicatorCode]=Table1[[#This Row],[IndicatorCode]],Table1[value]))</f>
        <v>5.2319501044600996</v>
      </c>
      <c r="J4398">
        <f>(Table1[[#This Row],[value]] - Table1[[#This Row],[mean]]) / Table1[[#This Row],[std_dev]]</f>
        <v>0.63276122154230596</v>
      </c>
      <c r="K4398">
        <f>AVERAGEIF(Table1[CountryCode],Table1[[#This Row],[CountryCode]],Table1[z-score])</f>
        <v>-0.55461759774946673</v>
      </c>
      <c r="L4398" t="e">
        <f>VLOOKUP(Table1[[#This Row],[CountryCode]],[1]!Table1[#Data],4,FALSE)</f>
        <v>#REF!</v>
      </c>
    </row>
    <row r="4399" spans="1:12" x14ac:dyDescent="0.3">
      <c r="A4399" t="s">
        <v>115</v>
      </c>
      <c r="B4399" t="s">
        <v>116</v>
      </c>
      <c r="C4399" t="s">
        <v>125</v>
      </c>
      <c r="D4399" t="s">
        <v>126</v>
      </c>
      <c r="E4399">
        <v>2020</v>
      </c>
      <c r="F4399" s="1">
        <v>11</v>
      </c>
      <c r="G4399">
        <v>2020</v>
      </c>
      <c r="H4399">
        <f>AVERAGEIFS(Table1[value],Table1[IndicatorCode],Table1[[#This Row],[IndicatorCode]])</f>
        <v>7.6894248608534319</v>
      </c>
      <c r="I4399" cm="1">
        <f t="array" ref="I4399">_xlfn.STDEV.P(IF(Table1[IndicatorCode]=Table1[[#This Row],[IndicatorCode]],Table1[value]))</f>
        <v>5.2319501044600996</v>
      </c>
      <c r="J4399">
        <f>(Table1[[#This Row],[value]] - Table1[[#This Row],[mean]]) / Table1[[#This Row],[std_dev]]</f>
        <v>0.63276122154230596</v>
      </c>
      <c r="K4399">
        <f>AVERAGEIF(Table1[CountryCode],Table1[[#This Row],[CountryCode]],Table1[z-score])</f>
        <v>-0.55461759774946673</v>
      </c>
    </row>
    <row r="4400" spans="1:12" hidden="1" x14ac:dyDescent="0.3">
      <c r="A4400" t="s">
        <v>115</v>
      </c>
      <c r="B4400" t="s">
        <v>116</v>
      </c>
      <c r="C4400" t="s">
        <v>125</v>
      </c>
      <c r="D4400" t="s">
        <v>126</v>
      </c>
      <c r="E4400">
        <v>2021</v>
      </c>
      <c r="F4400" s="1">
        <v>13</v>
      </c>
      <c r="G4400">
        <v>2020</v>
      </c>
      <c r="H4400">
        <f>AVERAGEIFS(Table1[value],Table1[IndicatorCode],Table1[[#This Row],[IndicatorCode]])</f>
        <v>7.6894248608534319</v>
      </c>
      <c r="I4400" cm="1">
        <f t="array" ref="I4400">_xlfn.STDEV.P(IF(Table1[IndicatorCode]=Table1[[#This Row],[IndicatorCode]],Table1[value]))</f>
        <v>5.2319501044600996</v>
      </c>
      <c r="J4400">
        <f>(Table1[[#This Row],[value]] - Table1[[#This Row],[mean]]) / Table1[[#This Row],[std_dev]]</f>
        <v>1.0150278640118229</v>
      </c>
      <c r="K4400">
        <f>AVERAGEIF(Table1[CountryCode],Table1[[#This Row],[CountryCode]],Table1[z-score])</f>
        <v>-0.55461759774946673</v>
      </c>
      <c r="L4400" t="e">
        <f>VLOOKUP(Table1[[#This Row],[CountryCode]],[1]!Table1[#Data],4,FALSE)</f>
        <v>#REF!</v>
      </c>
    </row>
    <row r="4401" spans="1:12" hidden="1" x14ac:dyDescent="0.3">
      <c r="A4401" t="s">
        <v>115</v>
      </c>
      <c r="B4401" t="s">
        <v>116</v>
      </c>
      <c r="C4401" t="s">
        <v>125</v>
      </c>
      <c r="D4401" t="s">
        <v>126</v>
      </c>
      <c r="E4401">
        <v>2022</v>
      </c>
      <c r="F4401" s="1">
        <v>14</v>
      </c>
      <c r="G4401">
        <v>1970</v>
      </c>
      <c r="H4401">
        <f>AVERAGEIFS(Table1[value],Table1[IndicatorCode],Table1[[#This Row],[IndicatorCode]])</f>
        <v>7.6894248608534319</v>
      </c>
      <c r="I4401" cm="1">
        <f t="array" ref="I4401">_xlfn.STDEV.P(IF(Table1[IndicatorCode]=Table1[[#This Row],[IndicatorCode]],Table1[value]))</f>
        <v>5.2319501044600996</v>
      </c>
      <c r="J4401">
        <f>(Table1[[#This Row],[value]] - Table1[[#This Row],[mean]]) / Table1[[#This Row],[std_dev]]</f>
        <v>1.2061611852465812</v>
      </c>
      <c r="K4401">
        <f>AVERAGEIF(Table1[CountryCode],Table1[[#This Row],[CountryCode]],Table1[z-score])</f>
        <v>-0.55461759774946673</v>
      </c>
      <c r="L4401" t="e">
        <f>VLOOKUP(Table1[[#This Row],[CountryCode]],[1]!Table1[#Data],4,FALSE)</f>
        <v>#REF!</v>
      </c>
    </row>
    <row r="4402" spans="1:12" hidden="1" x14ac:dyDescent="0.3">
      <c r="A4402" t="s">
        <v>115</v>
      </c>
      <c r="B4402" t="s">
        <v>116</v>
      </c>
      <c r="C4402" t="s">
        <v>125</v>
      </c>
      <c r="D4402" t="s">
        <v>126</v>
      </c>
      <c r="E4402">
        <v>2023</v>
      </c>
      <c r="F4402" s="1">
        <v>13</v>
      </c>
      <c r="G4402">
        <v>1970</v>
      </c>
      <c r="H4402">
        <f>AVERAGEIFS(Table1[value],Table1[IndicatorCode],Table1[[#This Row],[IndicatorCode]])</f>
        <v>7.6894248608534319</v>
      </c>
      <c r="I4402" cm="1">
        <f t="array" ref="I4402">_xlfn.STDEV.P(IF(Table1[IndicatorCode]=Table1[[#This Row],[IndicatorCode]],Table1[value]))</f>
        <v>5.2319501044600996</v>
      </c>
      <c r="J4402">
        <f>(Table1[[#This Row],[value]] - Table1[[#This Row],[mean]]) / Table1[[#This Row],[std_dev]]</f>
        <v>1.0150278640118229</v>
      </c>
      <c r="K4402">
        <f>AVERAGEIF(Table1[CountryCode],Table1[[#This Row],[CountryCode]],Table1[z-score])</f>
        <v>-0.55461759774946673</v>
      </c>
      <c r="L4402" t="e">
        <f>VLOOKUP(Table1[[#This Row],[CountryCode]],[1]!Table1[#Data],4,FALSE)</f>
        <v>#REF!</v>
      </c>
    </row>
    <row r="4403" spans="1:12" hidden="1" x14ac:dyDescent="0.3">
      <c r="A4403" t="s">
        <v>115</v>
      </c>
      <c r="B4403" t="s">
        <v>116</v>
      </c>
      <c r="C4403" t="s">
        <v>125</v>
      </c>
      <c r="D4403" t="s">
        <v>126</v>
      </c>
      <c r="E4403">
        <v>2024</v>
      </c>
      <c r="F4403" s="1">
        <v>11</v>
      </c>
      <c r="G4403">
        <v>1970</v>
      </c>
      <c r="H4403">
        <f>AVERAGEIFS(Table1[value],Table1[IndicatorCode],Table1[[#This Row],[IndicatorCode]])</f>
        <v>7.6894248608534319</v>
      </c>
      <c r="I4403" cm="1">
        <f t="array" ref="I4403">_xlfn.STDEV.P(IF(Table1[IndicatorCode]=Table1[[#This Row],[IndicatorCode]],Table1[value]))</f>
        <v>5.2319501044600996</v>
      </c>
      <c r="J4403">
        <f>(Table1[[#This Row],[value]] - Table1[[#This Row],[mean]]) / Table1[[#This Row],[std_dev]]</f>
        <v>0.63276122154230596</v>
      </c>
      <c r="K4403">
        <f>AVERAGEIF(Table1[CountryCode],Table1[[#This Row],[CountryCode]],Table1[z-score])</f>
        <v>-0.55461759774946673</v>
      </c>
      <c r="L4403" t="e">
        <f>VLOOKUP(Table1[[#This Row],[CountryCode]],[1]!Table1[#Data],4,FALSE)</f>
        <v>#REF!</v>
      </c>
    </row>
    <row r="4404" spans="1:12" hidden="1" x14ac:dyDescent="0.3">
      <c r="A4404" t="s">
        <v>117</v>
      </c>
      <c r="B4404" t="s">
        <v>118</v>
      </c>
      <c r="C4404" t="s">
        <v>125</v>
      </c>
      <c r="D4404" t="s">
        <v>126</v>
      </c>
      <c r="E4404">
        <v>1970</v>
      </c>
      <c r="F4404" s="1">
        <v>1</v>
      </c>
      <c r="G4404">
        <v>1970</v>
      </c>
      <c r="H4404">
        <f>AVERAGEIFS(Table1[value],Table1[IndicatorCode],Table1[[#This Row],[IndicatorCode]])</f>
        <v>7.6894248608534319</v>
      </c>
      <c r="I4404" cm="1">
        <f t="array" ref="I4404">_xlfn.STDEV.P(IF(Table1[IndicatorCode]=Table1[[#This Row],[IndicatorCode]],Table1[value]))</f>
        <v>5.2319501044600996</v>
      </c>
      <c r="J4404">
        <f>(Table1[[#This Row],[value]] - Table1[[#This Row],[mean]]) / Table1[[#This Row],[std_dev]]</f>
        <v>-1.2785719908052779</v>
      </c>
      <c r="K4404">
        <f>AVERAGEIF(Table1[CountryCode],Table1[[#This Row],[CountryCode]],Table1[z-score])</f>
        <v>-0.69917556524739866</v>
      </c>
      <c r="L4404" t="e">
        <f>VLOOKUP(Table1[[#This Row],[CountryCode]],[1]!Table1[#Data],4,FALSE)</f>
        <v>#REF!</v>
      </c>
    </row>
    <row r="4405" spans="1:12" hidden="1" x14ac:dyDescent="0.3">
      <c r="A4405" t="s">
        <v>117</v>
      </c>
      <c r="B4405" t="s">
        <v>118</v>
      </c>
      <c r="C4405" t="s">
        <v>125</v>
      </c>
      <c r="D4405" t="s">
        <v>126</v>
      </c>
      <c r="E4405">
        <v>1971</v>
      </c>
      <c r="F4405" s="1">
        <v>1</v>
      </c>
      <c r="G4405">
        <v>1970</v>
      </c>
      <c r="H4405">
        <f>AVERAGEIFS(Table1[value],Table1[IndicatorCode],Table1[[#This Row],[IndicatorCode]])</f>
        <v>7.6894248608534319</v>
      </c>
      <c r="I4405" cm="1">
        <f t="array" ref="I4405">_xlfn.STDEV.P(IF(Table1[IndicatorCode]=Table1[[#This Row],[IndicatorCode]],Table1[value]))</f>
        <v>5.2319501044600996</v>
      </c>
      <c r="J4405">
        <f>(Table1[[#This Row],[value]] - Table1[[#This Row],[mean]]) / Table1[[#This Row],[std_dev]]</f>
        <v>-1.2785719908052779</v>
      </c>
      <c r="K4405">
        <f>AVERAGEIF(Table1[CountryCode],Table1[[#This Row],[CountryCode]],Table1[z-score])</f>
        <v>-0.69917556524739866</v>
      </c>
      <c r="L4405" t="e">
        <f>VLOOKUP(Table1[[#This Row],[CountryCode]],[1]!Table1[#Data],4,FALSE)</f>
        <v>#REF!</v>
      </c>
    </row>
    <row r="4406" spans="1:12" hidden="1" x14ac:dyDescent="0.3">
      <c r="A4406" t="s">
        <v>117</v>
      </c>
      <c r="B4406" t="s">
        <v>118</v>
      </c>
      <c r="C4406" t="s">
        <v>125</v>
      </c>
      <c r="D4406" t="s">
        <v>126</v>
      </c>
      <c r="E4406">
        <v>1972</v>
      </c>
      <c r="F4406" s="1">
        <v>2</v>
      </c>
      <c r="G4406">
        <v>1970</v>
      </c>
      <c r="H4406">
        <f>AVERAGEIFS(Table1[value],Table1[IndicatorCode],Table1[[#This Row],[IndicatorCode]])</f>
        <v>7.6894248608534319</v>
      </c>
      <c r="I4406" cm="1">
        <f t="array" ref="I4406">_xlfn.STDEV.P(IF(Table1[IndicatorCode]=Table1[[#This Row],[IndicatorCode]],Table1[value]))</f>
        <v>5.2319501044600996</v>
      </c>
      <c r="J4406">
        <f>(Table1[[#This Row],[value]] - Table1[[#This Row],[mean]]) / Table1[[#This Row],[std_dev]]</f>
        <v>-1.0874386695705196</v>
      </c>
      <c r="K4406">
        <f>AVERAGEIF(Table1[CountryCode],Table1[[#This Row],[CountryCode]],Table1[z-score])</f>
        <v>-0.69917556524739866</v>
      </c>
      <c r="L4406" t="e">
        <f>VLOOKUP(Table1[[#This Row],[CountryCode]],[1]!Table1[#Data],4,FALSE)</f>
        <v>#REF!</v>
      </c>
    </row>
    <row r="4407" spans="1:12" hidden="1" x14ac:dyDescent="0.3">
      <c r="A4407" t="s">
        <v>117</v>
      </c>
      <c r="B4407" t="s">
        <v>118</v>
      </c>
      <c r="C4407" t="s">
        <v>125</v>
      </c>
      <c r="D4407" t="s">
        <v>126</v>
      </c>
      <c r="E4407">
        <v>1973</v>
      </c>
      <c r="F4407" s="1">
        <v>2</v>
      </c>
      <c r="G4407">
        <v>1970</v>
      </c>
      <c r="H4407">
        <f>AVERAGEIFS(Table1[value],Table1[IndicatorCode],Table1[[#This Row],[IndicatorCode]])</f>
        <v>7.6894248608534319</v>
      </c>
      <c r="I4407" cm="1">
        <f t="array" ref="I4407">_xlfn.STDEV.P(IF(Table1[IndicatorCode]=Table1[[#This Row],[IndicatorCode]],Table1[value]))</f>
        <v>5.2319501044600996</v>
      </c>
      <c r="J4407">
        <f>(Table1[[#This Row],[value]] - Table1[[#This Row],[mean]]) / Table1[[#This Row],[std_dev]]</f>
        <v>-1.0874386695705196</v>
      </c>
      <c r="K4407">
        <f>AVERAGEIF(Table1[CountryCode],Table1[[#This Row],[CountryCode]],Table1[z-score])</f>
        <v>-0.69917556524739866</v>
      </c>
      <c r="L4407" t="e">
        <f>VLOOKUP(Table1[[#This Row],[CountryCode]],[1]!Table1[#Data],4,FALSE)</f>
        <v>#REF!</v>
      </c>
    </row>
    <row r="4408" spans="1:12" hidden="1" x14ac:dyDescent="0.3">
      <c r="A4408" t="s">
        <v>117</v>
      </c>
      <c r="B4408" t="s">
        <v>118</v>
      </c>
      <c r="C4408" t="s">
        <v>125</v>
      </c>
      <c r="D4408" t="s">
        <v>126</v>
      </c>
      <c r="E4408">
        <v>1974</v>
      </c>
      <c r="F4408" s="1">
        <v>2</v>
      </c>
      <c r="G4408">
        <v>1970</v>
      </c>
      <c r="H4408">
        <f>AVERAGEIFS(Table1[value],Table1[IndicatorCode],Table1[[#This Row],[IndicatorCode]])</f>
        <v>7.6894248608534319</v>
      </c>
      <c r="I4408" cm="1">
        <f t="array" ref="I4408">_xlfn.STDEV.P(IF(Table1[IndicatorCode]=Table1[[#This Row],[IndicatorCode]],Table1[value]))</f>
        <v>5.2319501044600996</v>
      </c>
      <c r="J4408">
        <f>(Table1[[#This Row],[value]] - Table1[[#This Row],[mean]]) / Table1[[#This Row],[std_dev]]</f>
        <v>-1.0874386695705196</v>
      </c>
      <c r="K4408">
        <f>AVERAGEIF(Table1[CountryCode],Table1[[#This Row],[CountryCode]],Table1[z-score])</f>
        <v>-0.69917556524739866</v>
      </c>
      <c r="L4408" t="e">
        <f>VLOOKUP(Table1[[#This Row],[CountryCode]],[1]!Table1[#Data],4,FALSE)</f>
        <v>#REF!</v>
      </c>
    </row>
    <row r="4409" spans="1:12" hidden="1" x14ac:dyDescent="0.3">
      <c r="A4409" t="s">
        <v>117</v>
      </c>
      <c r="B4409" t="s">
        <v>118</v>
      </c>
      <c r="C4409" t="s">
        <v>125</v>
      </c>
      <c r="D4409" t="s">
        <v>126</v>
      </c>
      <c r="E4409">
        <v>1975</v>
      </c>
      <c r="F4409" s="1">
        <v>2</v>
      </c>
      <c r="G4409">
        <v>1970</v>
      </c>
      <c r="H4409">
        <f>AVERAGEIFS(Table1[value],Table1[IndicatorCode],Table1[[#This Row],[IndicatorCode]])</f>
        <v>7.6894248608534319</v>
      </c>
      <c r="I4409" cm="1">
        <f t="array" ref="I4409">_xlfn.STDEV.P(IF(Table1[IndicatorCode]=Table1[[#This Row],[IndicatorCode]],Table1[value]))</f>
        <v>5.2319501044600996</v>
      </c>
      <c r="J4409">
        <f>(Table1[[#This Row],[value]] - Table1[[#This Row],[mean]]) / Table1[[#This Row],[std_dev]]</f>
        <v>-1.0874386695705196</v>
      </c>
      <c r="K4409">
        <f>AVERAGEIF(Table1[CountryCode],Table1[[#This Row],[CountryCode]],Table1[z-score])</f>
        <v>-0.69917556524739866</v>
      </c>
      <c r="L4409" t="e">
        <f>VLOOKUP(Table1[[#This Row],[CountryCode]],[1]!Table1[#Data],4,FALSE)</f>
        <v>#REF!</v>
      </c>
    </row>
    <row r="4410" spans="1:12" hidden="1" x14ac:dyDescent="0.3">
      <c r="A4410" t="s">
        <v>117</v>
      </c>
      <c r="B4410" t="s">
        <v>118</v>
      </c>
      <c r="C4410" t="s">
        <v>125</v>
      </c>
      <c r="D4410" t="s">
        <v>126</v>
      </c>
      <c r="E4410">
        <v>1976</v>
      </c>
      <c r="F4410" s="1">
        <v>2</v>
      </c>
      <c r="G4410">
        <v>1970</v>
      </c>
      <c r="H4410">
        <f>AVERAGEIFS(Table1[value],Table1[IndicatorCode],Table1[[#This Row],[IndicatorCode]])</f>
        <v>7.6894248608534319</v>
      </c>
      <c r="I4410" cm="1">
        <f t="array" ref="I4410">_xlfn.STDEV.P(IF(Table1[IndicatorCode]=Table1[[#This Row],[IndicatorCode]],Table1[value]))</f>
        <v>5.2319501044600996</v>
      </c>
      <c r="J4410">
        <f>(Table1[[#This Row],[value]] - Table1[[#This Row],[mean]]) / Table1[[#This Row],[std_dev]]</f>
        <v>-1.0874386695705196</v>
      </c>
      <c r="K4410">
        <f>AVERAGEIF(Table1[CountryCode],Table1[[#This Row],[CountryCode]],Table1[z-score])</f>
        <v>-0.69917556524739866</v>
      </c>
      <c r="L4410" t="e">
        <f>VLOOKUP(Table1[[#This Row],[CountryCode]],[1]!Table1[#Data],4,FALSE)</f>
        <v>#REF!</v>
      </c>
    </row>
    <row r="4411" spans="1:12" hidden="1" x14ac:dyDescent="0.3">
      <c r="A4411" t="s">
        <v>117</v>
      </c>
      <c r="B4411" t="s">
        <v>118</v>
      </c>
      <c r="C4411" t="s">
        <v>125</v>
      </c>
      <c r="D4411" t="s">
        <v>126</v>
      </c>
      <c r="E4411">
        <v>1977</v>
      </c>
      <c r="F4411" s="1">
        <v>2</v>
      </c>
      <c r="G4411">
        <v>1980</v>
      </c>
      <c r="H4411">
        <f>AVERAGEIFS(Table1[value],Table1[IndicatorCode],Table1[[#This Row],[IndicatorCode]])</f>
        <v>7.6894248608534319</v>
      </c>
      <c r="I4411" cm="1">
        <f t="array" ref="I4411">_xlfn.STDEV.P(IF(Table1[IndicatorCode]=Table1[[#This Row],[IndicatorCode]],Table1[value]))</f>
        <v>5.2319501044600996</v>
      </c>
      <c r="J4411">
        <f>(Table1[[#This Row],[value]] - Table1[[#This Row],[mean]]) / Table1[[#This Row],[std_dev]]</f>
        <v>-1.0874386695705196</v>
      </c>
      <c r="K4411">
        <f>AVERAGEIF(Table1[CountryCode],Table1[[#This Row],[CountryCode]],Table1[z-score])</f>
        <v>-0.69917556524739866</v>
      </c>
      <c r="L4411" t="e">
        <f>VLOOKUP(Table1[[#This Row],[CountryCode]],[1]!Table1[#Data],4,FALSE)</f>
        <v>#REF!</v>
      </c>
    </row>
    <row r="4412" spans="1:12" hidden="1" x14ac:dyDescent="0.3">
      <c r="A4412" t="s">
        <v>117</v>
      </c>
      <c r="B4412" t="s">
        <v>118</v>
      </c>
      <c r="C4412" t="s">
        <v>125</v>
      </c>
      <c r="D4412" t="s">
        <v>126</v>
      </c>
      <c r="E4412">
        <v>1978</v>
      </c>
      <c r="F4412" s="1">
        <v>2</v>
      </c>
      <c r="G4412">
        <v>1980</v>
      </c>
      <c r="H4412">
        <f>AVERAGEIFS(Table1[value],Table1[IndicatorCode],Table1[[#This Row],[IndicatorCode]])</f>
        <v>7.6894248608534319</v>
      </c>
      <c r="I4412" cm="1">
        <f t="array" ref="I4412">_xlfn.STDEV.P(IF(Table1[IndicatorCode]=Table1[[#This Row],[IndicatorCode]],Table1[value]))</f>
        <v>5.2319501044600996</v>
      </c>
      <c r="J4412">
        <f>(Table1[[#This Row],[value]] - Table1[[#This Row],[mean]]) / Table1[[#This Row],[std_dev]]</f>
        <v>-1.0874386695705196</v>
      </c>
      <c r="K4412">
        <f>AVERAGEIF(Table1[CountryCode],Table1[[#This Row],[CountryCode]],Table1[z-score])</f>
        <v>-0.69917556524739866</v>
      </c>
      <c r="L4412" t="e">
        <f>VLOOKUP(Table1[[#This Row],[CountryCode]],[1]!Table1[#Data],4,FALSE)</f>
        <v>#REF!</v>
      </c>
    </row>
    <row r="4413" spans="1:12" hidden="1" x14ac:dyDescent="0.3">
      <c r="A4413" t="s">
        <v>117</v>
      </c>
      <c r="B4413" t="s">
        <v>118</v>
      </c>
      <c r="C4413" t="s">
        <v>125</v>
      </c>
      <c r="D4413" t="s">
        <v>126</v>
      </c>
      <c r="E4413">
        <v>1979</v>
      </c>
      <c r="F4413" s="1">
        <v>2</v>
      </c>
      <c r="G4413">
        <v>1980</v>
      </c>
      <c r="H4413">
        <f>AVERAGEIFS(Table1[value],Table1[IndicatorCode],Table1[[#This Row],[IndicatorCode]])</f>
        <v>7.6894248608534319</v>
      </c>
      <c r="I4413" cm="1">
        <f t="array" ref="I4413">_xlfn.STDEV.P(IF(Table1[IndicatorCode]=Table1[[#This Row],[IndicatorCode]],Table1[value]))</f>
        <v>5.2319501044600996</v>
      </c>
      <c r="J4413">
        <f>(Table1[[#This Row],[value]] - Table1[[#This Row],[mean]]) / Table1[[#This Row],[std_dev]]</f>
        <v>-1.0874386695705196</v>
      </c>
      <c r="K4413">
        <f>AVERAGEIF(Table1[CountryCode],Table1[[#This Row],[CountryCode]],Table1[z-score])</f>
        <v>-0.69917556524739866</v>
      </c>
      <c r="L4413" t="e">
        <f>VLOOKUP(Table1[[#This Row],[CountryCode]],[1]!Table1[#Data],4,FALSE)</f>
        <v>#REF!</v>
      </c>
    </row>
    <row r="4414" spans="1:12" hidden="1" x14ac:dyDescent="0.3">
      <c r="A4414" t="s">
        <v>117</v>
      </c>
      <c r="B4414" t="s">
        <v>118</v>
      </c>
      <c r="C4414" t="s">
        <v>125</v>
      </c>
      <c r="D4414" t="s">
        <v>126</v>
      </c>
      <c r="E4414">
        <v>1980</v>
      </c>
      <c r="F4414" s="1">
        <v>2</v>
      </c>
      <c r="G4414">
        <v>1980</v>
      </c>
      <c r="H4414">
        <f>AVERAGEIFS(Table1[value],Table1[IndicatorCode],Table1[[#This Row],[IndicatorCode]])</f>
        <v>7.6894248608534319</v>
      </c>
      <c r="I4414" cm="1">
        <f t="array" ref="I4414">_xlfn.STDEV.P(IF(Table1[IndicatorCode]=Table1[[#This Row],[IndicatorCode]],Table1[value]))</f>
        <v>5.2319501044600996</v>
      </c>
      <c r="J4414">
        <f>(Table1[[#This Row],[value]] - Table1[[#This Row],[mean]]) / Table1[[#This Row],[std_dev]]</f>
        <v>-1.0874386695705196</v>
      </c>
      <c r="K4414">
        <f>AVERAGEIF(Table1[CountryCode],Table1[[#This Row],[CountryCode]],Table1[z-score])</f>
        <v>-0.69917556524739866</v>
      </c>
      <c r="L4414" t="e">
        <f>VLOOKUP(Table1[[#This Row],[CountryCode]],[1]!Table1[#Data],4,FALSE)</f>
        <v>#REF!</v>
      </c>
    </row>
    <row r="4415" spans="1:12" hidden="1" x14ac:dyDescent="0.3">
      <c r="A4415" t="s">
        <v>117</v>
      </c>
      <c r="B4415" t="s">
        <v>118</v>
      </c>
      <c r="C4415" t="s">
        <v>125</v>
      </c>
      <c r="D4415" t="s">
        <v>126</v>
      </c>
      <c r="E4415">
        <v>1981</v>
      </c>
      <c r="F4415" s="1">
        <v>2</v>
      </c>
      <c r="G4415">
        <v>1980</v>
      </c>
      <c r="H4415">
        <f>AVERAGEIFS(Table1[value],Table1[IndicatorCode],Table1[[#This Row],[IndicatorCode]])</f>
        <v>7.6894248608534319</v>
      </c>
      <c r="I4415" cm="1">
        <f t="array" ref="I4415">_xlfn.STDEV.P(IF(Table1[IndicatorCode]=Table1[[#This Row],[IndicatorCode]],Table1[value]))</f>
        <v>5.2319501044600996</v>
      </c>
      <c r="J4415">
        <f>(Table1[[#This Row],[value]] - Table1[[#This Row],[mean]]) / Table1[[#This Row],[std_dev]]</f>
        <v>-1.0874386695705196</v>
      </c>
      <c r="K4415">
        <f>AVERAGEIF(Table1[CountryCode],Table1[[#This Row],[CountryCode]],Table1[z-score])</f>
        <v>-0.69917556524739866</v>
      </c>
      <c r="L4415" t="e">
        <f>VLOOKUP(Table1[[#This Row],[CountryCode]],[1]!Table1[#Data],4,FALSE)</f>
        <v>#REF!</v>
      </c>
    </row>
    <row r="4416" spans="1:12" hidden="1" x14ac:dyDescent="0.3">
      <c r="A4416" t="s">
        <v>117</v>
      </c>
      <c r="B4416" t="s">
        <v>118</v>
      </c>
      <c r="C4416" t="s">
        <v>125</v>
      </c>
      <c r="D4416" t="s">
        <v>126</v>
      </c>
      <c r="E4416">
        <v>1982</v>
      </c>
      <c r="F4416" s="1">
        <v>2</v>
      </c>
      <c r="G4416">
        <v>1980</v>
      </c>
      <c r="H4416">
        <f>AVERAGEIFS(Table1[value],Table1[IndicatorCode],Table1[[#This Row],[IndicatorCode]])</f>
        <v>7.6894248608534319</v>
      </c>
      <c r="I4416" cm="1">
        <f t="array" ref="I4416">_xlfn.STDEV.P(IF(Table1[IndicatorCode]=Table1[[#This Row],[IndicatorCode]],Table1[value]))</f>
        <v>5.2319501044600996</v>
      </c>
      <c r="J4416">
        <f>(Table1[[#This Row],[value]] - Table1[[#This Row],[mean]]) / Table1[[#This Row],[std_dev]]</f>
        <v>-1.0874386695705196</v>
      </c>
      <c r="K4416">
        <f>AVERAGEIF(Table1[CountryCode],Table1[[#This Row],[CountryCode]],Table1[z-score])</f>
        <v>-0.69917556524739866</v>
      </c>
      <c r="L4416" t="e">
        <f>VLOOKUP(Table1[[#This Row],[CountryCode]],[1]!Table1[#Data],4,FALSE)</f>
        <v>#REF!</v>
      </c>
    </row>
    <row r="4417" spans="1:12" hidden="1" x14ac:dyDescent="0.3">
      <c r="A4417" t="s">
        <v>117</v>
      </c>
      <c r="B4417" t="s">
        <v>118</v>
      </c>
      <c r="C4417" t="s">
        <v>125</v>
      </c>
      <c r="D4417" t="s">
        <v>126</v>
      </c>
      <c r="E4417">
        <v>1983</v>
      </c>
      <c r="F4417" s="1">
        <v>2</v>
      </c>
      <c r="G4417">
        <v>1980</v>
      </c>
      <c r="H4417">
        <f>AVERAGEIFS(Table1[value],Table1[IndicatorCode],Table1[[#This Row],[IndicatorCode]])</f>
        <v>7.6894248608534319</v>
      </c>
      <c r="I4417" cm="1">
        <f t="array" ref="I4417">_xlfn.STDEV.P(IF(Table1[IndicatorCode]=Table1[[#This Row],[IndicatorCode]],Table1[value]))</f>
        <v>5.2319501044600996</v>
      </c>
      <c r="J4417">
        <f>(Table1[[#This Row],[value]] - Table1[[#This Row],[mean]]) / Table1[[#This Row],[std_dev]]</f>
        <v>-1.0874386695705196</v>
      </c>
      <c r="K4417">
        <f>AVERAGEIF(Table1[CountryCode],Table1[[#This Row],[CountryCode]],Table1[z-score])</f>
        <v>-0.69917556524739866</v>
      </c>
      <c r="L4417" t="e">
        <f>VLOOKUP(Table1[[#This Row],[CountryCode]],[1]!Table1[#Data],4,FALSE)</f>
        <v>#REF!</v>
      </c>
    </row>
    <row r="4418" spans="1:12" hidden="1" x14ac:dyDescent="0.3">
      <c r="A4418" t="s">
        <v>117</v>
      </c>
      <c r="B4418" t="s">
        <v>118</v>
      </c>
      <c r="C4418" t="s">
        <v>125</v>
      </c>
      <c r="D4418" t="s">
        <v>126</v>
      </c>
      <c r="E4418">
        <v>1984</v>
      </c>
      <c r="F4418" s="1">
        <v>2</v>
      </c>
      <c r="G4418">
        <v>1980</v>
      </c>
      <c r="H4418">
        <f>AVERAGEIFS(Table1[value],Table1[IndicatorCode],Table1[[#This Row],[IndicatorCode]])</f>
        <v>7.6894248608534319</v>
      </c>
      <c r="I4418" cm="1">
        <f t="array" ref="I4418">_xlfn.STDEV.P(IF(Table1[IndicatorCode]=Table1[[#This Row],[IndicatorCode]],Table1[value]))</f>
        <v>5.2319501044600996</v>
      </c>
      <c r="J4418">
        <f>(Table1[[#This Row],[value]] - Table1[[#This Row],[mean]]) / Table1[[#This Row],[std_dev]]</f>
        <v>-1.0874386695705196</v>
      </c>
      <c r="K4418">
        <f>AVERAGEIF(Table1[CountryCode],Table1[[#This Row],[CountryCode]],Table1[z-score])</f>
        <v>-0.69917556524739866</v>
      </c>
      <c r="L4418" t="e">
        <f>VLOOKUP(Table1[[#This Row],[CountryCode]],[1]!Table1[#Data],4,FALSE)</f>
        <v>#REF!</v>
      </c>
    </row>
    <row r="4419" spans="1:12" hidden="1" x14ac:dyDescent="0.3">
      <c r="A4419" t="s">
        <v>117</v>
      </c>
      <c r="B4419" t="s">
        <v>118</v>
      </c>
      <c r="C4419" t="s">
        <v>125</v>
      </c>
      <c r="D4419" t="s">
        <v>126</v>
      </c>
      <c r="E4419">
        <v>1985</v>
      </c>
      <c r="F4419" s="1">
        <v>2</v>
      </c>
      <c r="G4419">
        <v>1980</v>
      </c>
      <c r="H4419">
        <f>AVERAGEIFS(Table1[value],Table1[IndicatorCode],Table1[[#This Row],[IndicatorCode]])</f>
        <v>7.6894248608534319</v>
      </c>
      <c r="I4419" cm="1">
        <f t="array" ref="I4419">_xlfn.STDEV.P(IF(Table1[IndicatorCode]=Table1[[#This Row],[IndicatorCode]],Table1[value]))</f>
        <v>5.2319501044600996</v>
      </c>
      <c r="J4419">
        <f>(Table1[[#This Row],[value]] - Table1[[#This Row],[mean]]) / Table1[[#This Row],[std_dev]]</f>
        <v>-1.0874386695705196</v>
      </c>
      <c r="K4419">
        <f>AVERAGEIF(Table1[CountryCode],Table1[[#This Row],[CountryCode]],Table1[z-score])</f>
        <v>-0.69917556524739866</v>
      </c>
      <c r="L4419" t="e">
        <f>VLOOKUP(Table1[[#This Row],[CountryCode]],[1]!Table1[#Data],4,FALSE)</f>
        <v>#REF!</v>
      </c>
    </row>
    <row r="4420" spans="1:12" hidden="1" x14ac:dyDescent="0.3">
      <c r="A4420" t="s">
        <v>117</v>
      </c>
      <c r="B4420" t="s">
        <v>118</v>
      </c>
      <c r="C4420" t="s">
        <v>125</v>
      </c>
      <c r="D4420" t="s">
        <v>126</v>
      </c>
      <c r="E4420">
        <v>1986</v>
      </c>
      <c r="F4420" s="1">
        <v>2</v>
      </c>
      <c r="G4420">
        <v>1980</v>
      </c>
      <c r="H4420">
        <f>AVERAGEIFS(Table1[value],Table1[IndicatorCode],Table1[[#This Row],[IndicatorCode]])</f>
        <v>7.6894248608534319</v>
      </c>
      <c r="I4420" cm="1">
        <f t="array" ref="I4420">_xlfn.STDEV.P(IF(Table1[IndicatorCode]=Table1[[#This Row],[IndicatorCode]],Table1[value]))</f>
        <v>5.2319501044600996</v>
      </c>
      <c r="J4420">
        <f>(Table1[[#This Row],[value]] - Table1[[#This Row],[mean]]) / Table1[[#This Row],[std_dev]]</f>
        <v>-1.0874386695705196</v>
      </c>
      <c r="K4420">
        <f>AVERAGEIF(Table1[CountryCode],Table1[[#This Row],[CountryCode]],Table1[z-score])</f>
        <v>-0.69917556524739866</v>
      </c>
      <c r="L4420" t="e">
        <f>VLOOKUP(Table1[[#This Row],[CountryCode]],[1]!Table1[#Data],4,FALSE)</f>
        <v>#REF!</v>
      </c>
    </row>
    <row r="4421" spans="1:12" hidden="1" x14ac:dyDescent="0.3">
      <c r="A4421" t="s">
        <v>117</v>
      </c>
      <c r="B4421" t="s">
        <v>118</v>
      </c>
      <c r="C4421" t="s">
        <v>125</v>
      </c>
      <c r="D4421" t="s">
        <v>126</v>
      </c>
      <c r="E4421">
        <v>1987</v>
      </c>
      <c r="F4421" s="1">
        <v>2</v>
      </c>
      <c r="G4421">
        <v>1990</v>
      </c>
      <c r="H4421">
        <f>AVERAGEIFS(Table1[value],Table1[IndicatorCode],Table1[[#This Row],[IndicatorCode]])</f>
        <v>7.6894248608534319</v>
      </c>
      <c r="I4421" cm="1">
        <f t="array" ref="I4421">_xlfn.STDEV.P(IF(Table1[IndicatorCode]=Table1[[#This Row],[IndicatorCode]],Table1[value]))</f>
        <v>5.2319501044600996</v>
      </c>
      <c r="J4421">
        <f>(Table1[[#This Row],[value]] - Table1[[#This Row],[mean]]) / Table1[[#This Row],[std_dev]]</f>
        <v>-1.0874386695705196</v>
      </c>
      <c r="K4421">
        <f>AVERAGEIF(Table1[CountryCode],Table1[[#This Row],[CountryCode]],Table1[z-score])</f>
        <v>-0.69917556524739866</v>
      </c>
      <c r="L4421" t="e">
        <f>VLOOKUP(Table1[[#This Row],[CountryCode]],[1]!Table1[#Data],4,FALSE)</f>
        <v>#REF!</v>
      </c>
    </row>
    <row r="4422" spans="1:12" hidden="1" x14ac:dyDescent="0.3">
      <c r="A4422" t="s">
        <v>117</v>
      </c>
      <c r="B4422" t="s">
        <v>118</v>
      </c>
      <c r="C4422" t="s">
        <v>125</v>
      </c>
      <c r="D4422" t="s">
        <v>126</v>
      </c>
      <c r="E4422">
        <v>1988</v>
      </c>
      <c r="F4422" s="1">
        <v>2</v>
      </c>
      <c r="G4422">
        <v>1990</v>
      </c>
      <c r="H4422">
        <f>AVERAGEIFS(Table1[value],Table1[IndicatorCode],Table1[[#This Row],[IndicatorCode]])</f>
        <v>7.6894248608534319</v>
      </c>
      <c r="I4422" cm="1">
        <f t="array" ref="I4422">_xlfn.STDEV.P(IF(Table1[IndicatorCode]=Table1[[#This Row],[IndicatorCode]],Table1[value]))</f>
        <v>5.2319501044600996</v>
      </c>
      <c r="J4422">
        <f>(Table1[[#This Row],[value]] - Table1[[#This Row],[mean]]) / Table1[[#This Row],[std_dev]]</f>
        <v>-1.0874386695705196</v>
      </c>
      <c r="K4422">
        <f>AVERAGEIF(Table1[CountryCode],Table1[[#This Row],[CountryCode]],Table1[z-score])</f>
        <v>-0.69917556524739866</v>
      </c>
      <c r="L4422" t="e">
        <f>VLOOKUP(Table1[[#This Row],[CountryCode]],[1]!Table1[#Data],4,FALSE)</f>
        <v>#REF!</v>
      </c>
    </row>
    <row r="4423" spans="1:12" hidden="1" x14ac:dyDescent="0.3">
      <c r="A4423" t="s">
        <v>117</v>
      </c>
      <c r="B4423" t="s">
        <v>118</v>
      </c>
      <c r="C4423" t="s">
        <v>125</v>
      </c>
      <c r="D4423" t="s">
        <v>126</v>
      </c>
      <c r="E4423">
        <v>1989</v>
      </c>
      <c r="F4423" s="1">
        <v>3</v>
      </c>
      <c r="G4423">
        <v>1990</v>
      </c>
      <c r="H4423">
        <f>AVERAGEIFS(Table1[value],Table1[IndicatorCode],Table1[[#This Row],[IndicatorCode]])</f>
        <v>7.6894248608534319</v>
      </c>
      <c r="I4423" cm="1">
        <f t="array" ref="I4423">_xlfn.STDEV.P(IF(Table1[IndicatorCode]=Table1[[#This Row],[IndicatorCode]],Table1[value]))</f>
        <v>5.2319501044600996</v>
      </c>
      <c r="J4423">
        <f>(Table1[[#This Row],[value]] - Table1[[#This Row],[mean]]) / Table1[[#This Row],[std_dev]]</f>
        <v>-0.89630534833576125</v>
      </c>
      <c r="K4423">
        <f>AVERAGEIF(Table1[CountryCode],Table1[[#This Row],[CountryCode]],Table1[z-score])</f>
        <v>-0.69917556524739866</v>
      </c>
      <c r="L4423" t="e">
        <f>VLOOKUP(Table1[[#This Row],[CountryCode]],[1]!Table1[#Data],4,FALSE)</f>
        <v>#REF!</v>
      </c>
    </row>
    <row r="4424" spans="1:12" hidden="1" x14ac:dyDescent="0.3">
      <c r="A4424" t="s">
        <v>117</v>
      </c>
      <c r="B4424" t="s">
        <v>118</v>
      </c>
      <c r="C4424" t="s">
        <v>125</v>
      </c>
      <c r="D4424" t="s">
        <v>126</v>
      </c>
      <c r="E4424">
        <v>1990</v>
      </c>
      <c r="F4424" s="1">
        <v>3</v>
      </c>
      <c r="G4424">
        <v>1990</v>
      </c>
      <c r="H4424">
        <f>AVERAGEIFS(Table1[value],Table1[IndicatorCode],Table1[[#This Row],[IndicatorCode]])</f>
        <v>7.6894248608534319</v>
      </c>
      <c r="I4424" cm="1">
        <f t="array" ref="I4424">_xlfn.STDEV.P(IF(Table1[IndicatorCode]=Table1[[#This Row],[IndicatorCode]],Table1[value]))</f>
        <v>5.2319501044600996</v>
      </c>
      <c r="J4424">
        <f>(Table1[[#This Row],[value]] - Table1[[#This Row],[mean]]) / Table1[[#This Row],[std_dev]]</f>
        <v>-0.89630534833576125</v>
      </c>
      <c r="K4424">
        <f>AVERAGEIF(Table1[CountryCode],Table1[[#This Row],[CountryCode]],Table1[z-score])</f>
        <v>-0.69917556524739866</v>
      </c>
      <c r="L4424" t="e">
        <f>VLOOKUP(Table1[[#This Row],[CountryCode]],[1]!Table1[#Data],4,FALSE)</f>
        <v>#REF!</v>
      </c>
    </row>
    <row r="4425" spans="1:12" hidden="1" x14ac:dyDescent="0.3">
      <c r="A4425" t="s">
        <v>117</v>
      </c>
      <c r="B4425" t="s">
        <v>118</v>
      </c>
      <c r="C4425" t="s">
        <v>125</v>
      </c>
      <c r="D4425" t="s">
        <v>126</v>
      </c>
      <c r="E4425">
        <v>1991</v>
      </c>
      <c r="F4425" s="1">
        <v>3</v>
      </c>
      <c r="G4425">
        <v>1990</v>
      </c>
      <c r="H4425">
        <f>AVERAGEIFS(Table1[value],Table1[IndicatorCode],Table1[[#This Row],[IndicatorCode]])</f>
        <v>7.6894248608534319</v>
      </c>
      <c r="I4425" cm="1">
        <f t="array" ref="I4425">_xlfn.STDEV.P(IF(Table1[IndicatorCode]=Table1[[#This Row],[IndicatorCode]],Table1[value]))</f>
        <v>5.2319501044600996</v>
      </c>
      <c r="J4425">
        <f>(Table1[[#This Row],[value]] - Table1[[#This Row],[mean]]) / Table1[[#This Row],[std_dev]]</f>
        <v>-0.89630534833576125</v>
      </c>
      <c r="K4425">
        <f>AVERAGEIF(Table1[CountryCode],Table1[[#This Row],[CountryCode]],Table1[z-score])</f>
        <v>-0.69917556524739866</v>
      </c>
      <c r="L4425" t="e">
        <f>VLOOKUP(Table1[[#This Row],[CountryCode]],[1]!Table1[#Data],4,FALSE)</f>
        <v>#REF!</v>
      </c>
    </row>
    <row r="4426" spans="1:12" hidden="1" x14ac:dyDescent="0.3">
      <c r="A4426" t="s">
        <v>117</v>
      </c>
      <c r="B4426" t="s">
        <v>118</v>
      </c>
      <c r="C4426" t="s">
        <v>125</v>
      </c>
      <c r="D4426" t="s">
        <v>126</v>
      </c>
      <c r="E4426">
        <v>1992</v>
      </c>
      <c r="F4426" s="1">
        <v>3</v>
      </c>
      <c r="G4426">
        <v>1990</v>
      </c>
      <c r="H4426">
        <f>AVERAGEIFS(Table1[value],Table1[IndicatorCode],Table1[[#This Row],[IndicatorCode]])</f>
        <v>7.6894248608534319</v>
      </c>
      <c r="I4426" cm="1">
        <f t="array" ref="I4426">_xlfn.STDEV.P(IF(Table1[IndicatorCode]=Table1[[#This Row],[IndicatorCode]],Table1[value]))</f>
        <v>5.2319501044600996</v>
      </c>
      <c r="J4426">
        <f>(Table1[[#This Row],[value]] - Table1[[#This Row],[mean]]) / Table1[[#This Row],[std_dev]]</f>
        <v>-0.89630534833576125</v>
      </c>
      <c r="K4426">
        <f>AVERAGEIF(Table1[CountryCode],Table1[[#This Row],[CountryCode]],Table1[z-score])</f>
        <v>-0.69917556524739866</v>
      </c>
      <c r="L4426" t="e">
        <f>VLOOKUP(Table1[[#This Row],[CountryCode]],[1]!Table1[#Data],4,FALSE)</f>
        <v>#REF!</v>
      </c>
    </row>
    <row r="4427" spans="1:12" hidden="1" x14ac:dyDescent="0.3">
      <c r="A4427" t="s">
        <v>117</v>
      </c>
      <c r="B4427" t="s">
        <v>118</v>
      </c>
      <c r="C4427" t="s">
        <v>125</v>
      </c>
      <c r="D4427" t="s">
        <v>126</v>
      </c>
      <c r="E4427">
        <v>1993</v>
      </c>
      <c r="F4427" s="1">
        <v>3</v>
      </c>
      <c r="G4427">
        <v>1990</v>
      </c>
      <c r="H4427">
        <f>AVERAGEIFS(Table1[value],Table1[IndicatorCode],Table1[[#This Row],[IndicatorCode]])</f>
        <v>7.6894248608534319</v>
      </c>
      <c r="I4427" cm="1">
        <f t="array" ref="I4427">_xlfn.STDEV.P(IF(Table1[IndicatorCode]=Table1[[#This Row],[IndicatorCode]],Table1[value]))</f>
        <v>5.2319501044600996</v>
      </c>
      <c r="J4427">
        <f>(Table1[[#This Row],[value]] - Table1[[#This Row],[mean]]) / Table1[[#This Row],[std_dev]]</f>
        <v>-0.89630534833576125</v>
      </c>
      <c r="K4427">
        <f>AVERAGEIF(Table1[CountryCode],Table1[[#This Row],[CountryCode]],Table1[z-score])</f>
        <v>-0.69917556524739866</v>
      </c>
      <c r="L4427" t="e">
        <f>VLOOKUP(Table1[[#This Row],[CountryCode]],[1]!Table1[#Data],4,FALSE)</f>
        <v>#REF!</v>
      </c>
    </row>
    <row r="4428" spans="1:12" hidden="1" x14ac:dyDescent="0.3">
      <c r="A4428" t="s">
        <v>117</v>
      </c>
      <c r="B4428" t="s">
        <v>118</v>
      </c>
      <c r="C4428" t="s">
        <v>125</v>
      </c>
      <c r="D4428" t="s">
        <v>126</v>
      </c>
      <c r="E4428">
        <v>1994</v>
      </c>
      <c r="F4428" s="1">
        <v>3</v>
      </c>
      <c r="G4428">
        <v>1990</v>
      </c>
      <c r="H4428">
        <f>AVERAGEIFS(Table1[value],Table1[IndicatorCode],Table1[[#This Row],[IndicatorCode]])</f>
        <v>7.6894248608534319</v>
      </c>
      <c r="I4428" cm="1">
        <f t="array" ref="I4428">_xlfn.STDEV.P(IF(Table1[IndicatorCode]=Table1[[#This Row],[IndicatorCode]],Table1[value]))</f>
        <v>5.2319501044600996</v>
      </c>
      <c r="J4428">
        <f>(Table1[[#This Row],[value]] - Table1[[#This Row],[mean]]) / Table1[[#This Row],[std_dev]]</f>
        <v>-0.89630534833576125</v>
      </c>
      <c r="K4428">
        <f>AVERAGEIF(Table1[CountryCode],Table1[[#This Row],[CountryCode]],Table1[z-score])</f>
        <v>-0.69917556524739866</v>
      </c>
      <c r="L4428" t="e">
        <f>VLOOKUP(Table1[[#This Row],[CountryCode]],[1]!Table1[#Data],4,FALSE)</f>
        <v>#REF!</v>
      </c>
    </row>
    <row r="4429" spans="1:12" hidden="1" x14ac:dyDescent="0.3">
      <c r="A4429" t="s">
        <v>117</v>
      </c>
      <c r="B4429" t="s">
        <v>118</v>
      </c>
      <c r="C4429" t="s">
        <v>125</v>
      </c>
      <c r="D4429" t="s">
        <v>126</v>
      </c>
      <c r="E4429">
        <v>1995</v>
      </c>
      <c r="F4429" s="1">
        <v>3</v>
      </c>
      <c r="G4429">
        <v>1990</v>
      </c>
      <c r="H4429">
        <f>AVERAGEIFS(Table1[value],Table1[IndicatorCode],Table1[[#This Row],[IndicatorCode]])</f>
        <v>7.6894248608534319</v>
      </c>
      <c r="I4429" cm="1">
        <f t="array" ref="I4429">_xlfn.STDEV.P(IF(Table1[IndicatorCode]=Table1[[#This Row],[IndicatorCode]],Table1[value]))</f>
        <v>5.2319501044600996</v>
      </c>
      <c r="J4429">
        <f>(Table1[[#This Row],[value]] - Table1[[#This Row],[mean]]) / Table1[[#This Row],[std_dev]]</f>
        <v>-0.89630534833576125</v>
      </c>
      <c r="K4429">
        <f>AVERAGEIF(Table1[CountryCode],Table1[[#This Row],[CountryCode]],Table1[z-score])</f>
        <v>-0.69917556524739866</v>
      </c>
      <c r="L4429" t="e">
        <f>VLOOKUP(Table1[[#This Row],[CountryCode]],[1]!Table1[#Data],4,FALSE)</f>
        <v>#REF!</v>
      </c>
    </row>
    <row r="4430" spans="1:12" hidden="1" x14ac:dyDescent="0.3">
      <c r="A4430" t="s">
        <v>117</v>
      </c>
      <c r="B4430" t="s">
        <v>118</v>
      </c>
      <c r="C4430" t="s">
        <v>125</v>
      </c>
      <c r="D4430" t="s">
        <v>126</v>
      </c>
      <c r="E4430">
        <v>1996</v>
      </c>
      <c r="F4430" s="1">
        <v>3</v>
      </c>
      <c r="G4430">
        <v>1990</v>
      </c>
      <c r="H4430">
        <f>AVERAGEIFS(Table1[value],Table1[IndicatorCode],Table1[[#This Row],[IndicatorCode]])</f>
        <v>7.6894248608534319</v>
      </c>
      <c r="I4430" cm="1">
        <f t="array" ref="I4430">_xlfn.STDEV.P(IF(Table1[IndicatorCode]=Table1[[#This Row],[IndicatorCode]],Table1[value]))</f>
        <v>5.2319501044600996</v>
      </c>
      <c r="J4430">
        <f>(Table1[[#This Row],[value]] - Table1[[#This Row],[mean]]) / Table1[[#This Row],[std_dev]]</f>
        <v>-0.89630534833576125</v>
      </c>
      <c r="K4430">
        <f>AVERAGEIF(Table1[CountryCode],Table1[[#This Row],[CountryCode]],Table1[z-score])</f>
        <v>-0.69917556524739866</v>
      </c>
      <c r="L4430" t="e">
        <f>VLOOKUP(Table1[[#This Row],[CountryCode]],[1]!Table1[#Data],4,FALSE)</f>
        <v>#REF!</v>
      </c>
    </row>
    <row r="4431" spans="1:12" hidden="1" x14ac:dyDescent="0.3">
      <c r="A4431" t="s">
        <v>117</v>
      </c>
      <c r="B4431" t="s">
        <v>118</v>
      </c>
      <c r="C4431" t="s">
        <v>125</v>
      </c>
      <c r="D4431" t="s">
        <v>126</v>
      </c>
      <c r="E4431">
        <v>1997</v>
      </c>
      <c r="F4431" s="1">
        <v>3</v>
      </c>
      <c r="G4431">
        <v>2000</v>
      </c>
      <c r="H4431">
        <f>AVERAGEIFS(Table1[value],Table1[IndicatorCode],Table1[[#This Row],[IndicatorCode]])</f>
        <v>7.6894248608534319</v>
      </c>
      <c r="I4431" cm="1">
        <f t="array" ref="I4431">_xlfn.STDEV.P(IF(Table1[IndicatorCode]=Table1[[#This Row],[IndicatorCode]],Table1[value]))</f>
        <v>5.2319501044600996</v>
      </c>
      <c r="J4431">
        <f>(Table1[[#This Row],[value]] - Table1[[#This Row],[mean]]) / Table1[[#This Row],[std_dev]]</f>
        <v>-0.89630534833576125</v>
      </c>
      <c r="K4431">
        <f>AVERAGEIF(Table1[CountryCode],Table1[[#This Row],[CountryCode]],Table1[z-score])</f>
        <v>-0.69917556524739866</v>
      </c>
      <c r="L4431" t="e">
        <f>VLOOKUP(Table1[[#This Row],[CountryCode]],[1]!Table1[#Data],4,FALSE)</f>
        <v>#REF!</v>
      </c>
    </row>
    <row r="4432" spans="1:12" hidden="1" x14ac:dyDescent="0.3">
      <c r="A4432" t="s">
        <v>117</v>
      </c>
      <c r="B4432" t="s">
        <v>118</v>
      </c>
      <c r="C4432" t="s">
        <v>125</v>
      </c>
      <c r="D4432" t="s">
        <v>126</v>
      </c>
      <c r="E4432">
        <v>1998</v>
      </c>
      <c r="F4432" s="1">
        <v>3</v>
      </c>
      <c r="G4432">
        <v>2000</v>
      </c>
      <c r="H4432">
        <f>AVERAGEIFS(Table1[value],Table1[IndicatorCode],Table1[[#This Row],[IndicatorCode]])</f>
        <v>7.6894248608534319</v>
      </c>
      <c r="I4432" cm="1">
        <f t="array" ref="I4432">_xlfn.STDEV.P(IF(Table1[IndicatorCode]=Table1[[#This Row],[IndicatorCode]],Table1[value]))</f>
        <v>5.2319501044600996</v>
      </c>
      <c r="J4432">
        <f>(Table1[[#This Row],[value]] - Table1[[#This Row],[mean]]) / Table1[[#This Row],[std_dev]]</f>
        <v>-0.89630534833576125</v>
      </c>
      <c r="K4432">
        <f>AVERAGEIF(Table1[CountryCode],Table1[[#This Row],[CountryCode]],Table1[z-score])</f>
        <v>-0.69917556524739866</v>
      </c>
      <c r="L4432" t="e">
        <f>VLOOKUP(Table1[[#This Row],[CountryCode]],[1]!Table1[#Data],4,FALSE)</f>
        <v>#REF!</v>
      </c>
    </row>
    <row r="4433" spans="1:12" hidden="1" x14ac:dyDescent="0.3">
      <c r="A4433" t="s">
        <v>117</v>
      </c>
      <c r="B4433" t="s">
        <v>118</v>
      </c>
      <c r="C4433" t="s">
        <v>125</v>
      </c>
      <c r="D4433" t="s">
        <v>126</v>
      </c>
      <c r="E4433">
        <v>1999</v>
      </c>
      <c r="F4433" s="1">
        <v>3</v>
      </c>
      <c r="G4433">
        <v>2000</v>
      </c>
      <c r="H4433">
        <f>AVERAGEIFS(Table1[value],Table1[IndicatorCode],Table1[[#This Row],[IndicatorCode]])</f>
        <v>7.6894248608534319</v>
      </c>
      <c r="I4433" cm="1">
        <f t="array" ref="I4433">_xlfn.STDEV.P(IF(Table1[IndicatorCode]=Table1[[#This Row],[IndicatorCode]],Table1[value]))</f>
        <v>5.2319501044600996</v>
      </c>
      <c r="J4433">
        <f>(Table1[[#This Row],[value]] - Table1[[#This Row],[mean]]) / Table1[[#This Row],[std_dev]]</f>
        <v>-0.89630534833576125</v>
      </c>
      <c r="K4433">
        <f>AVERAGEIF(Table1[CountryCode],Table1[[#This Row],[CountryCode]],Table1[z-score])</f>
        <v>-0.69917556524739866</v>
      </c>
      <c r="L4433" t="e">
        <f>VLOOKUP(Table1[[#This Row],[CountryCode]],[1]!Table1[#Data],4,FALSE)</f>
        <v>#REF!</v>
      </c>
    </row>
    <row r="4434" spans="1:12" hidden="1" x14ac:dyDescent="0.3">
      <c r="A4434" t="s">
        <v>117</v>
      </c>
      <c r="B4434" t="s">
        <v>118</v>
      </c>
      <c r="C4434" t="s">
        <v>125</v>
      </c>
      <c r="D4434" t="s">
        <v>126</v>
      </c>
      <c r="E4434">
        <v>2000</v>
      </c>
      <c r="F4434" s="1">
        <v>3</v>
      </c>
      <c r="G4434">
        <v>2000</v>
      </c>
      <c r="H4434">
        <f>AVERAGEIFS(Table1[value],Table1[IndicatorCode],Table1[[#This Row],[IndicatorCode]])</f>
        <v>7.6894248608534319</v>
      </c>
      <c r="I4434" cm="1">
        <f t="array" ref="I4434">_xlfn.STDEV.P(IF(Table1[IndicatorCode]=Table1[[#This Row],[IndicatorCode]],Table1[value]))</f>
        <v>5.2319501044600996</v>
      </c>
      <c r="J4434">
        <f>(Table1[[#This Row],[value]] - Table1[[#This Row],[mean]]) / Table1[[#This Row],[std_dev]]</f>
        <v>-0.89630534833576125</v>
      </c>
      <c r="K4434">
        <f>AVERAGEIF(Table1[CountryCode],Table1[[#This Row],[CountryCode]],Table1[z-score])</f>
        <v>-0.69917556524739866</v>
      </c>
      <c r="L4434" t="e">
        <f>VLOOKUP(Table1[[#This Row],[CountryCode]],[1]!Table1[#Data],4,FALSE)</f>
        <v>#REF!</v>
      </c>
    </row>
    <row r="4435" spans="1:12" hidden="1" x14ac:dyDescent="0.3">
      <c r="A4435" t="s">
        <v>117</v>
      </c>
      <c r="B4435" t="s">
        <v>118</v>
      </c>
      <c r="C4435" t="s">
        <v>125</v>
      </c>
      <c r="D4435" t="s">
        <v>126</v>
      </c>
      <c r="E4435">
        <v>2001</v>
      </c>
      <c r="F4435" s="1">
        <v>3</v>
      </c>
      <c r="G4435">
        <v>2000</v>
      </c>
      <c r="H4435">
        <f>AVERAGEIFS(Table1[value],Table1[IndicatorCode],Table1[[#This Row],[IndicatorCode]])</f>
        <v>7.6894248608534319</v>
      </c>
      <c r="I4435" cm="1">
        <f t="array" ref="I4435">_xlfn.STDEV.P(IF(Table1[IndicatorCode]=Table1[[#This Row],[IndicatorCode]],Table1[value]))</f>
        <v>5.2319501044600996</v>
      </c>
      <c r="J4435">
        <f>(Table1[[#This Row],[value]] - Table1[[#This Row],[mean]]) / Table1[[#This Row],[std_dev]]</f>
        <v>-0.89630534833576125</v>
      </c>
      <c r="K4435">
        <f>AVERAGEIF(Table1[CountryCode],Table1[[#This Row],[CountryCode]],Table1[z-score])</f>
        <v>-0.69917556524739866</v>
      </c>
      <c r="L4435" t="e">
        <f>VLOOKUP(Table1[[#This Row],[CountryCode]],[1]!Table1[#Data],4,FALSE)</f>
        <v>#REF!</v>
      </c>
    </row>
    <row r="4436" spans="1:12" hidden="1" x14ac:dyDescent="0.3">
      <c r="A4436" t="s">
        <v>117</v>
      </c>
      <c r="B4436" t="s">
        <v>118</v>
      </c>
      <c r="C4436" t="s">
        <v>125</v>
      </c>
      <c r="D4436" t="s">
        <v>126</v>
      </c>
      <c r="E4436">
        <v>2002</v>
      </c>
      <c r="F4436" s="1">
        <v>3</v>
      </c>
      <c r="G4436">
        <v>2000</v>
      </c>
      <c r="H4436">
        <f>AVERAGEIFS(Table1[value],Table1[IndicatorCode],Table1[[#This Row],[IndicatorCode]])</f>
        <v>7.6894248608534319</v>
      </c>
      <c r="I4436" cm="1">
        <f t="array" ref="I4436">_xlfn.STDEV.P(IF(Table1[IndicatorCode]=Table1[[#This Row],[IndicatorCode]],Table1[value]))</f>
        <v>5.2319501044600996</v>
      </c>
      <c r="J4436">
        <f>(Table1[[#This Row],[value]] - Table1[[#This Row],[mean]]) / Table1[[#This Row],[std_dev]]</f>
        <v>-0.89630534833576125</v>
      </c>
      <c r="K4436">
        <f>AVERAGEIF(Table1[CountryCode],Table1[[#This Row],[CountryCode]],Table1[z-score])</f>
        <v>-0.69917556524739866</v>
      </c>
      <c r="L4436" t="e">
        <f>VLOOKUP(Table1[[#This Row],[CountryCode]],[1]!Table1[#Data],4,FALSE)</f>
        <v>#REF!</v>
      </c>
    </row>
    <row r="4437" spans="1:12" hidden="1" x14ac:dyDescent="0.3">
      <c r="A4437" t="s">
        <v>117</v>
      </c>
      <c r="B4437" t="s">
        <v>118</v>
      </c>
      <c r="C4437" t="s">
        <v>125</v>
      </c>
      <c r="D4437" t="s">
        <v>126</v>
      </c>
      <c r="E4437">
        <v>2003</v>
      </c>
      <c r="F4437" s="1">
        <v>3</v>
      </c>
      <c r="G4437">
        <v>2000</v>
      </c>
      <c r="H4437">
        <f>AVERAGEIFS(Table1[value],Table1[IndicatorCode],Table1[[#This Row],[IndicatorCode]])</f>
        <v>7.6894248608534319</v>
      </c>
      <c r="I4437" cm="1">
        <f t="array" ref="I4437">_xlfn.STDEV.P(IF(Table1[IndicatorCode]=Table1[[#This Row],[IndicatorCode]],Table1[value]))</f>
        <v>5.2319501044600996</v>
      </c>
      <c r="J4437">
        <f>(Table1[[#This Row],[value]] - Table1[[#This Row],[mean]]) / Table1[[#This Row],[std_dev]]</f>
        <v>-0.89630534833576125</v>
      </c>
      <c r="K4437">
        <f>AVERAGEIF(Table1[CountryCode],Table1[[#This Row],[CountryCode]],Table1[z-score])</f>
        <v>-0.69917556524739866</v>
      </c>
      <c r="L4437" t="e">
        <f>VLOOKUP(Table1[[#This Row],[CountryCode]],[1]!Table1[#Data],4,FALSE)</f>
        <v>#REF!</v>
      </c>
    </row>
    <row r="4438" spans="1:12" hidden="1" x14ac:dyDescent="0.3">
      <c r="A4438" t="s">
        <v>117</v>
      </c>
      <c r="B4438" t="s">
        <v>118</v>
      </c>
      <c r="C4438" t="s">
        <v>125</v>
      </c>
      <c r="D4438" t="s">
        <v>126</v>
      </c>
      <c r="E4438">
        <v>2004</v>
      </c>
      <c r="F4438" s="1">
        <v>3</v>
      </c>
      <c r="G4438">
        <v>2000</v>
      </c>
      <c r="H4438">
        <f>AVERAGEIFS(Table1[value],Table1[IndicatorCode],Table1[[#This Row],[IndicatorCode]])</f>
        <v>7.6894248608534319</v>
      </c>
      <c r="I4438" cm="1">
        <f t="array" ref="I4438">_xlfn.STDEV.P(IF(Table1[IndicatorCode]=Table1[[#This Row],[IndicatorCode]],Table1[value]))</f>
        <v>5.2319501044600996</v>
      </c>
      <c r="J4438">
        <f>(Table1[[#This Row],[value]] - Table1[[#This Row],[mean]]) / Table1[[#This Row],[std_dev]]</f>
        <v>-0.89630534833576125</v>
      </c>
      <c r="K4438">
        <f>AVERAGEIF(Table1[CountryCode],Table1[[#This Row],[CountryCode]],Table1[z-score])</f>
        <v>-0.69917556524739866</v>
      </c>
      <c r="L4438" t="e">
        <f>VLOOKUP(Table1[[#This Row],[CountryCode]],[1]!Table1[#Data],4,FALSE)</f>
        <v>#REF!</v>
      </c>
    </row>
    <row r="4439" spans="1:12" hidden="1" x14ac:dyDescent="0.3">
      <c r="A4439" t="s">
        <v>117</v>
      </c>
      <c r="B4439" t="s">
        <v>118</v>
      </c>
      <c r="C4439" t="s">
        <v>125</v>
      </c>
      <c r="D4439" t="s">
        <v>126</v>
      </c>
      <c r="E4439">
        <v>2005</v>
      </c>
      <c r="F4439" s="1">
        <v>4</v>
      </c>
      <c r="G4439">
        <v>2000</v>
      </c>
      <c r="H4439">
        <f>AVERAGEIFS(Table1[value],Table1[IndicatorCode],Table1[[#This Row],[IndicatorCode]])</f>
        <v>7.6894248608534319</v>
      </c>
      <c r="I4439" cm="1">
        <f t="array" ref="I4439">_xlfn.STDEV.P(IF(Table1[IndicatorCode]=Table1[[#This Row],[IndicatorCode]],Table1[value]))</f>
        <v>5.2319501044600996</v>
      </c>
      <c r="J4439">
        <f>(Table1[[#This Row],[value]] - Table1[[#This Row],[mean]]) / Table1[[#This Row],[std_dev]]</f>
        <v>-0.7051720271010028</v>
      </c>
      <c r="K4439">
        <f>AVERAGEIF(Table1[CountryCode],Table1[[#This Row],[CountryCode]],Table1[z-score])</f>
        <v>-0.69917556524739866</v>
      </c>
      <c r="L4439" t="e">
        <f>VLOOKUP(Table1[[#This Row],[CountryCode]],[1]!Table1[#Data],4,FALSE)</f>
        <v>#REF!</v>
      </c>
    </row>
    <row r="4440" spans="1:12" hidden="1" x14ac:dyDescent="0.3">
      <c r="A4440" t="s">
        <v>117</v>
      </c>
      <c r="B4440" t="s">
        <v>118</v>
      </c>
      <c r="C4440" t="s">
        <v>125</v>
      </c>
      <c r="D4440" t="s">
        <v>126</v>
      </c>
      <c r="E4440">
        <v>2006</v>
      </c>
      <c r="F4440" s="1">
        <v>4</v>
      </c>
      <c r="G4440">
        <v>2000</v>
      </c>
      <c r="H4440">
        <f>AVERAGEIFS(Table1[value],Table1[IndicatorCode],Table1[[#This Row],[IndicatorCode]])</f>
        <v>7.6894248608534319</v>
      </c>
      <c r="I4440" cm="1">
        <f t="array" ref="I4440">_xlfn.STDEV.P(IF(Table1[IndicatorCode]=Table1[[#This Row],[IndicatorCode]],Table1[value]))</f>
        <v>5.2319501044600996</v>
      </c>
      <c r="J4440">
        <f>(Table1[[#This Row],[value]] - Table1[[#This Row],[mean]]) / Table1[[#This Row],[std_dev]]</f>
        <v>-0.7051720271010028</v>
      </c>
      <c r="K4440">
        <f>AVERAGEIF(Table1[CountryCode],Table1[[#This Row],[CountryCode]],Table1[z-score])</f>
        <v>-0.69917556524739866</v>
      </c>
      <c r="L4440" t="e">
        <f>VLOOKUP(Table1[[#This Row],[CountryCode]],[1]!Table1[#Data],4,FALSE)</f>
        <v>#REF!</v>
      </c>
    </row>
    <row r="4441" spans="1:12" hidden="1" x14ac:dyDescent="0.3">
      <c r="A4441" t="s">
        <v>117</v>
      </c>
      <c r="B4441" t="s">
        <v>118</v>
      </c>
      <c r="C4441" t="s">
        <v>125</v>
      </c>
      <c r="D4441" t="s">
        <v>126</v>
      </c>
      <c r="E4441">
        <v>2007</v>
      </c>
      <c r="F4441" s="1">
        <v>4</v>
      </c>
      <c r="G4441">
        <v>2010</v>
      </c>
      <c r="H4441">
        <f>AVERAGEIFS(Table1[value],Table1[IndicatorCode],Table1[[#This Row],[IndicatorCode]])</f>
        <v>7.6894248608534319</v>
      </c>
      <c r="I4441" cm="1">
        <f t="array" ref="I4441">_xlfn.STDEV.P(IF(Table1[IndicatorCode]=Table1[[#This Row],[IndicatorCode]],Table1[value]))</f>
        <v>5.2319501044600996</v>
      </c>
      <c r="J4441">
        <f>(Table1[[#This Row],[value]] - Table1[[#This Row],[mean]]) / Table1[[#This Row],[std_dev]]</f>
        <v>-0.7051720271010028</v>
      </c>
      <c r="K4441">
        <f>AVERAGEIF(Table1[CountryCode],Table1[[#This Row],[CountryCode]],Table1[z-score])</f>
        <v>-0.69917556524739866</v>
      </c>
      <c r="L4441" t="e">
        <f>VLOOKUP(Table1[[#This Row],[CountryCode]],[1]!Table1[#Data],4,FALSE)</f>
        <v>#REF!</v>
      </c>
    </row>
    <row r="4442" spans="1:12" hidden="1" x14ac:dyDescent="0.3">
      <c r="A4442" t="s">
        <v>117</v>
      </c>
      <c r="B4442" t="s">
        <v>118</v>
      </c>
      <c r="C4442" t="s">
        <v>125</v>
      </c>
      <c r="D4442" t="s">
        <v>126</v>
      </c>
      <c r="E4442">
        <v>2008</v>
      </c>
      <c r="F4442" s="1">
        <v>4</v>
      </c>
      <c r="G4442">
        <v>2010</v>
      </c>
      <c r="H4442">
        <f>AVERAGEIFS(Table1[value],Table1[IndicatorCode],Table1[[#This Row],[IndicatorCode]])</f>
        <v>7.6894248608534319</v>
      </c>
      <c r="I4442" cm="1">
        <f t="array" ref="I4442">_xlfn.STDEV.P(IF(Table1[IndicatorCode]=Table1[[#This Row],[IndicatorCode]],Table1[value]))</f>
        <v>5.2319501044600996</v>
      </c>
      <c r="J4442">
        <f>(Table1[[#This Row],[value]] - Table1[[#This Row],[mean]]) / Table1[[#This Row],[std_dev]]</f>
        <v>-0.7051720271010028</v>
      </c>
      <c r="K4442">
        <f>AVERAGEIF(Table1[CountryCode],Table1[[#This Row],[CountryCode]],Table1[z-score])</f>
        <v>-0.69917556524739866</v>
      </c>
      <c r="L4442" t="e">
        <f>VLOOKUP(Table1[[#This Row],[CountryCode]],[1]!Table1[#Data],4,FALSE)</f>
        <v>#REF!</v>
      </c>
    </row>
    <row r="4443" spans="1:12" hidden="1" x14ac:dyDescent="0.3">
      <c r="A4443" t="s">
        <v>117</v>
      </c>
      <c r="B4443" t="s">
        <v>118</v>
      </c>
      <c r="C4443" t="s">
        <v>125</v>
      </c>
      <c r="D4443" t="s">
        <v>126</v>
      </c>
      <c r="E4443">
        <v>2009</v>
      </c>
      <c r="F4443" s="1">
        <v>4</v>
      </c>
      <c r="G4443">
        <v>2010</v>
      </c>
      <c r="H4443">
        <f>AVERAGEIFS(Table1[value],Table1[IndicatorCode],Table1[[#This Row],[IndicatorCode]])</f>
        <v>7.6894248608534319</v>
      </c>
      <c r="I4443" cm="1">
        <f t="array" ref="I4443">_xlfn.STDEV.P(IF(Table1[IndicatorCode]=Table1[[#This Row],[IndicatorCode]],Table1[value]))</f>
        <v>5.2319501044600996</v>
      </c>
      <c r="J4443">
        <f>(Table1[[#This Row],[value]] - Table1[[#This Row],[mean]]) / Table1[[#This Row],[std_dev]]</f>
        <v>-0.7051720271010028</v>
      </c>
      <c r="K4443">
        <f>AVERAGEIF(Table1[CountryCode],Table1[[#This Row],[CountryCode]],Table1[z-score])</f>
        <v>-0.69917556524739866</v>
      </c>
      <c r="L4443" t="e">
        <f>VLOOKUP(Table1[[#This Row],[CountryCode]],[1]!Table1[#Data],4,FALSE)</f>
        <v>#REF!</v>
      </c>
    </row>
    <row r="4444" spans="1:12" hidden="1" x14ac:dyDescent="0.3">
      <c r="A4444" t="s">
        <v>117</v>
      </c>
      <c r="B4444" t="s">
        <v>118</v>
      </c>
      <c r="C4444" t="s">
        <v>125</v>
      </c>
      <c r="D4444" t="s">
        <v>126</v>
      </c>
      <c r="E4444">
        <v>2010</v>
      </c>
      <c r="F4444" s="1">
        <v>4</v>
      </c>
      <c r="G4444">
        <v>2010</v>
      </c>
      <c r="H4444">
        <f>AVERAGEIFS(Table1[value],Table1[IndicatorCode],Table1[[#This Row],[IndicatorCode]])</f>
        <v>7.6894248608534319</v>
      </c>
      <c r="I4444" cm="1">
        <f t="array" ref="I4444">_xlfn.STDEV.P(IF(Table1[IndicatorCode]=Table1[[#This Row],[IndicatorCode]],Table1[value]))</f>
        <v>5.2319501044600996</v>
      </c>
      <c r="J4444">
        <f>(Table1[[#This Row],[value]] - Table1[[#This Row],[mean]]) / Table1[[#This Row],[std_dev]]</f>
        <v>-0.7051720271010028</v>
      </c>
      <c r="K4444">
        <f>AVERAGEIF(Table1[CountryCode],Table1[[#This Row],[CountryCode]],Table1[z-score])</f>
        <v>-0.69917556524739866</v>
      </c>
      <c r="L4444" t="e">
        <f>VLOOKUP(Table1[[#This Row],[CountryCode]],[1]!Table1[#Data],4,FALSE)</f>
        <v>#REF!</v>
      </c>
    </row>
    <row r="4445" spans="1:12" hidden="1" x14ac:dyDescent="0.3">
      <c r="A4445" t="s">
        <v>117</v>
      </c>
      <c r="B4445" t="s">
        <v>118</v>
      </c>
      <c r="C4445" t="s">
        <v>125</v>
      </c>
      <c r="D4445" t="s">
        <v>126</v>
      </c>
      <c r="E4445">
        <v>2011</v>
      </c>
      <c r="F4445" s="1">
        <v>4</v>
      </c>
      <c r="G4445">
        <v>2010</v>
      </c>
      <c r="H4445">
        <f>AVERAGEIFS(Table1[value],Table1[IndicatorCode],Table1[[#This Row],[IndicatorCode]])</f>
        <v>7.6894248608534319</v>
      </c>
      <c r="I4445" cm="1">
        <f t="array" ref="I4445">_xlfn.STDEV.P(IF(Table1[IndicatorCode]=Table1[[#This Row],[IndicatorCode]],Table1[value]))</f>
        <v>5.2319501044600996</v>
      </c>
      <c r="J4445">
        <f>(Table1[[#This Row],[value]] - Table1[[#This Row],[mean]]) / Table1[[#This Row],[std_dev]]</f>
        <v>-0.7051720271010028</v>
      </c>
      <c r="K4445">
        <f>AVERAGEIF(Table1[CountryCode],Table1[[#This Row],[CountryCode]],Table1[z-score])</f>
        <v>-0.69917556524739866</v>
      </c>
      <c r="L4445" t="e">
        <f>VLOOKUP(Table1[[#This Row],[CountryCode]],[1]!Table1[#Data],4,FALSE)</f>
        <v>#REF!</v>
      </c>
    </row>
    <row r="4446" spans="1:12" hidden="1" x14ac:dyDescent="0.3">
      <c r="A4446" t="s">
        <v>117</v>
      </c>
      <c r="B4446" t="s">
        <v>118</v>
      </c>
      <c r="C4446" t="s">
        <v>125</v>
      </c>
      <c r="D4446" t="s">
        <v>126</v>
      </c>
      <c r="E4446">
        <v>2012</v>
      </c>
      <c r="F4446" s="1">
        <v>5</v>
      </c>
      <c r="G4446">
        <v>2010</v>
      </c>
      <c r="H4446">
        <f>AVERAGEIFS(Table1[value],Table1[IndicatorCode],Table1[[#This Row],[IndicatorCode]])</f>
        <v>7.6894248608534319</v>
      </c>
      <c r="I4446" cm="1">
        <f t="array" ref="I4446">_xlfn.STDEV.P(IF(Table1[IndicatorCode]=Table1[[#This Row],[IndicatorCode]],Table1[value]))</f>
        <v>5.2319501044600996</v>
      </c>
      <c r="J4446">
        <f>(Table1[[#This Row],[value]] - Table1[[#This Row],[mean]]) / Table1[[#This Row],[std_dev]]</f>
        <v>-0.51403870586624445</v>
      </c>
      <c r="K4446">
        <f>AVERAGEIF(Table1[CountryCode],Table1[[#This Row],[CountryCode]],Table1[z-score])</f>
        <v>-0.69917556524739866</v>
      </c>
      <c r="L4446" t="e">
        <f>VLOOKUP(Table1[[#This Row],[CountryCode]],[1]!Table1[#Data],4,FALSE)</f>
        <v>#REF!</v>
      </c>
    </row>
    <row r="4447" spans="1:12" hidden="1" x14ac:dyDescent="0.3">
      <c r="A4447" t="s">
        <v>117</v>
      </c>
      <c r="B4447" t="s">
        <v>118</v>
      </c>
      <c r="C4447" t="s">
        <v>125</v>
      </c>
      <c r="D4447" t="s">
        <v>126</v>
      </c>
      <c r="E4447">
        <v>2013</v>
      </c>
      <c r="F4447" s="1">
        <v>4</v>
      </c>
      <c r="G4447">
        <v>2010</v>
      </c>
      <c r="H4447">
        <f>AVERAGEIFS(Table1[value],Table1[IndicatorCode],Table1[[#This Row],[IndicatorCode]])</f>
        <v>7.6894248608534319</v>
      </c>
      <c r="I4447" cm="1">
        <f t="array" ref="I4447">_xlfn.STDEV.P(IF(Table1[IndicatorCode]=Table1[[#This Row],[IndicatorCode]],Table1[value]))</f>
        <v>5.2319501044600996</v>
      </c>
      <c r="J4447">
        <f>(Table1[[#This Row],[value]] - Table1[[#This Row],[mean]]) / Table1[[#This Row],[std_dev]]</f>
        <v>-0.7051720271010028</v>
      </c>
      <c r="K4447">
        <f>AVERAGEIF(Table1[CountryCode],Table1[[#This Row],[CountryCode]],Table1[z-score])</f>
        <v>-0.69917556524739866</v>
      </c>
      <c r="L4447" t="e">
        <f>VLOOKUP(Table1[[#This Row],[CountryCode]],[1]!Table1[#Data],4,FALSE)</f>
        <v>#REF!</v>
      </c>
    </row>
    <row r="4448" spans="1:12" hidden="1" x14ac:dyDescent="0.3">
      <c r="A4448" t="s">
        <v>117</v>
      </c>
      <c r="B4448" t="s">
        <v>118</v>
      </c>
      <c r="C4448" t="s">
        <v>125</v>
      </c>
      <c r="D4448" t="s">
        <v>126</v>
      </c>
      <c r="E4448">
        <v>2014</v>
      </c>
      <c r="F4448" s="1">
        <v>5</v>
      </c>
      <c r="G4448">
        <v>2010</v>
      </c>
      <c r="H4448">
        <f>AVERAGEIFS(Table1[value],Table1[IndicatorCode],Table1[[#This Row],[IndicatorCode]])</f>
        <v>7.6894248608534319</v>
      </c>
      <c r="I4448" cm="1">
        <f t="array" ref="I4448">_xlfn.STDEV.P(IF(Table1[IndicatorCode]=Table1[[#This Row],[IndicatorCode]],Table1[value]))</f>
        <v>5.2319501044600996</v>
      </c>
      <c r="J4448">
        <f>(Table1[[#This Row],[value]] - Table1[[#This Row],[mean]]) / Table1[[#This Row],[std_dev]]</f>
        <v>-0.51403870586624445</v>
      </c>
      <c r="K4448">
        <f>AVERAGEIF(Table1[CountryCode],Table1[[#This Row],[CountryCode]],Table1[z-score])</f>
        <v>-0.69917556524739866</v>
      </c>
      <c r="L4448" t="e">
        <f>VLOOKUP(Table1[[#This Row],[CountryCode]],[1]!Table1[#Data],4,FALSE)</f>
        <v>#REF!</v>
      </c>
    </row>
    <row r="4449" spans="1:12" hidden="1" x14ac:dyDescent="0.3">
      <c r="A4449" t="s">
        <v>117</v>
      </c>
      <c r="B4449" t="s">
        <v>118</v>
      </c>
      <c r="C4449" t="s">
        <v>125</v>
      </c>
      <c r="D4449" t="s">
        <v>126</v>
      </c>
      <c r="E4449">
        <v>2015</v>
      </c>
      <c r="F4449" s="1">
        <v>5</v>
      </c>
      <c r="G4449">
        <v>2010</v>
      </c>
      <c r="H4449">
        <f>AVERAGEIFS(Table1[value],Table1[IndicatorCode],Table1[[#This Row],[IndicatorCode]])</f>
        <v>7.6894248608534319</v>
      </c>
      <c r="I4449" cm="1">
        <f t="array" ref="I4449">_xlfn.STDEV.P(IF(Table1[IndicatorCode]=Table1[[#This Row],[IndicatorCode]],Table1[value]))</f>
        <v>5.2319501044600996</v>
      </c>
      <c r="J4449">
        <f>(Table1[[#This Row],[value]] - Table1[[#This Row],[mean]]) / Table1[[#This Row],[std_dev]]</f>
        <v>-0.51403870586624445</v>
      </c>
      <c r="K4449">
        <f>AVERAGEIF(Table1[CountryCode],Table1[[#This Row],[CountryCode]],Table1[z-score])</f>
        <v>-0.69917556524739866</v>
      </c>
      <c r="L4449" t="e">
        <f>VLOOKUP(Table1[[#This Row],[CountryCode]],[1]!Table1[#Data],4,FALSE)</f>
        <v>#REF!</v>
      </c>
    </row>
    <row r="4450" spans="1:12" hidden="1" x14ac:dyDescent="0.3">
      <c r="A4450" t="s">
        <v>117</v>
      </c>
      <c r="B4450" t="s">
        <v>118</v>
      </c>
      <c r="C4450" t="s">
        <v>125</v>
      </c>
      <c r="D4450" t="s">
        <v>126</v>
      </c>
      <c r="E4450">
        <v>2016</v>
      </c>
      <c r="F4450" s="1">
        <v>5</v>
      </c>
      <c r="G4450">
        <v>2010</v>
      </c>
      <c r="H4450">
        <f>AVERAGEIFS(Table1[value],Table1[IndicatorCode],Table1[[#This Row],[IndicatorCode]])</f>
        <v>7.6894248608534319</v>
      </c>
      <c r="I4450" cm="1">
        <f t="array" ref="I4450">_xlfn.STDEV.P(IF(Table1[IndicatorCode]=Table1[[#This Row],[IndicatorCode]],Table1[value]))</f>
        <v>5.2319501044600996</v>
      </c>
      <c r="J4450">
        <f>(Table1[[#This Row],[value]] - Table1[[#This Row],[mean]]) / Table1[[#This Row],[std_dev]]</f>
        <v>-0.51403870586624445</v>
      </c>
      <c r="K4450">
        <f>AVERAGEIF(Table1[CountryCode],Table1[[#This Row],[CountryCode]],Table1[z-score])</f>
        <v>-0.69917556524739866</v>
      </c>
      <c r="L4450" t="e">
        <f>VLOOKUP(Table1[[#This Row],[CountryCode]],[1]!Table1[#Data],4,FALSE)</f>
        <v>#REF!</v>
      </c>
    </row>
    <row r="4451" spans="1:12" hidden="1" x14ac:dyDescent="0.3">
      <c r="A4451" t="s">
        <v>117</v>
      </c>
      <c r="B4451" t="s">
        <v>118</v>
      </c>
      <c r="C4451" t="s">
        <v>125</v>
      </c>
      <c r="D4451" t="s">
        <v>126</v>
      </c>
      <c r="E4451">
        <v>2017</v>
      </c>
      <c r="F4451" s="1">
        <v>5</v>
      </c>
      <c r="G4451">
        <v>2020</v>
      </c>
      <c r="H4451">
        <f>AVERAGEIFS(Table1[value],Table1[IndicatorCode],Table1[[#This Row],[IndicatorCode]])</f>
        <v>7.6894248608534319</v>
      </c>
      <c r="I4451" cm="1">
        <f t="array" ref="I4451">_xlfn.STDEV.P(IF(Table1[IndicatorCode]=Table1[[#This Row],[IndicatorCode]],Table1[value]))</f>
        <v>5.2319501044600996</v>
      </c>
      <c r="J4451">
        <f>(Table1[[#This Row],[value]] - Table1[[#This Row],[mean]]) / Table1[[#This Row],[std_dev]]</f>
        <v>-0.51403870586624445</v>
      </c>
      <c r="K4451">
        <f>AVERAGEIF(Table1[CountryCode],Table1[[#This Row],[CountryCode]],Table1[z-score])</f>
        <v>-0.69917556524739866</v>
      </c>
      <c r="L4451" t="e">
        <f>VLOOKUP(Table1[[#This Row],[CountryCode]],[1]!Table1[#Data],4,FALSE)</f>
        <v>#REF!</v>
      </c>
    </row>
    <row r="4452" spans="1:12" hidden="1" x14ac:dyDescent="0.3">
      <c r="A4452" t="s">
        <v>117</v>
      </c>
      <c r="B4452" t="s">
        <v>118</v>
      </c>
      <c r="C4452" t="s">
        <v>125</v>
      </c>
      <c r="D4452" t="s">
        <v>126</v>
      </c>
      <c r="E4452">
        <v>2018</v>
      </c>
      <c r="F4452" s="1">
        <v>5</v>
      </c>
      <c r="G4452">
        <v>2020</v>
      </c>
      <c r="H4452">
        <f>AVERAGEIFS(Table1[value],Table1[IndicatorCode],Table1[[#This Row],[IndicatorCode]])</f>
        <v>7.6894248608534319</v>
      </c>
      <c r="I4452" cm="1">
        <f t="array" ref="I4452">_xlfn.STDEV.P(IF(Table1[IndicatorCode]=Table1[[#This Row],[IndicatorCode]],Table1[value]))</f>
        <v>5.2319501044600996</v>
      </c>
      <c r="J4452">
        <f>(Table1[[#This Row],[value]] - Table1[[#This Row],[mean]]) / Table1[[#This Row],[std_dev]]</f>
        <v>-0.51403870586624445</v>
      </c>
      <c r="K4452">
        <f>AVERAGEIF(Table1[CountryCode],Table1[[#This Row],[CountryCode]],Table1[z-score])</f>
        <v>-0.69917556524739866</v>
      </c>
      <c r="L4452" t="e">
        <f>VLOOKUP(Table1[[#This Row],[CountryCode]],[1]!Table1[#Data],4,FALSE)</f>
        <v>#REF!</v>
      </c>
    </row>
    <row r="4453" spans="1:12" hidden="1" x14ac:dyDescent="0.3">
      <c r="A4453" t="s">
        <v>117</v>
      </c>
      <c r="B4453" t="s">
        <v>118</v>
      </c>
      <c r="C4453" t="s">
        <v>125</v>
      </c>
      <c r="D4453" t="s">
        <v>126</v>
      </c>
      <c r="E4453">
        <v>2019</v>
      </c>
      <c r="F4453" s="1">
        <v>5</v>
      </c>
      <c r="G4453">
        <v>2020</v>
      </c>
      <c r="H4453">
        <f>AVERAGEIFS(Table1[value],Table1[IndicatorCode],Table1[[#This Row],[IndicatorCode]])</f>
        <v>7.6894248608534319</v>
      </c>
      <c r="I4453" cm="1">
        <f t="array" ref="I4453">_xlfn.STDEV.P(IF(Table1[IndicatorCode]=Table1[[#This Row],[IndicatorCode]],Table1[value]))</f>
        <v>5.2319501044600996</v>
      </c>
      <c r="J4453">
        <f>(Table1[[#This Row],[value]] - Table1[[#This Row],[mean]]) / Table1[[#This Row],[std_dev]]</f>
        <v>-0.51403870586624445</v>
      </c>
      <c r="K4453">
        <f>AVERAGEIF(Table1[CountryCode],Table1[[#This Row],[CountryCode]],Table1[z-score])</f>
        <v>-0.69917556524739866</v>
      </c>
      <c r="L4453" t="e">
        <f>VLOOKUP(Table1[[#This Row],[CountryCode]],[1]!Table1[#Data],4,FALSE)</f>
        <v>#REF!</v>
      </c>
    </row>
    <row r="4454" spans="1:12" x14ac:dyDescent="0.3">
      <c r="A4454" t="s">
        <v>117</v>
      </c>
      <c r="B4454" t="s">
        <v>118</v>
      </c>
      <c r="C4454" t="s">
        <v>125</v>
      </c>
      <c r="D4454" t="s">
        <v>126</v>
      </c>
      <c r="E4454">
        <v>2020</v>
      </c>
      <c r="F4454" s="1">
        <v>5</v>
      </c>
      <c r="G4454">
        <v>2020</v>
      </c>
      <c r="H4454">
        <f>AVERAGEIFS(Table1[value],Table1[IndicatorCode],Table1[[#This Row],[IndicatorCode]])</f>
        <v>7.6894248608534319</v>
      </c>
      <c r="I4454" cm="1">
        <f t="array" ref="I4454">_xlfn.STDEV.P(IF(Table1[IndicatorCode]=Table1[[#This Row],[IndicatorCode]],Table1[value]))</f>
        <v>5.2319501044600996</v>
      </c>
      <c r="J4454">
        <f>(Table1[[#This Row],[value]] - Table1[[#This Row],[mean]]) / Table1[[#This Row],[std_dev]]</f>
        <v>-0.51403870586624445</v>
      </c>
      <c r="K4454">
        <f>AVERAGEIF(Table1[CountryCode],Table1[[#This Row],[CountryCode]],Table1[z-score])</f>
        <v>-0.69917556524739866</v>
      </c>
    </row>
    <row r="4455" spans="1:12" hidden="1" x14ac:dyDescent="0.3">
      <c r="A4455" t="s">
        <v>117</v>
      </c>
      <c r="B4455" t="s">
        <v>118</v>
      </c>
      <c r="C4455" t="s">
        <v>125</v>
      </c>
      <c r="D4455" t="s">
        <v>126</v>
      </c>
      <c r="E4455">
        <v>2021</v>
      </c>
      <c r="F4455" s="1">
        <v>5</v>
      </c>
      <c r="G4455">
        <v>2020</v>
      </c>
      <c r="H4455">
        <f>AVERAGEIFS(Table1[value],Table1[IndicatorCode],Table1[[#This Row],[IndicatorCode]])</f>
        <v>7.6894248608534319</v>
      </c>
      <c r="I4455" cm="1">
        <f t="array" ref="I4455">_xlfn.STDEV.P(IF(Table1[IndicatorCode]=Table1[[#This Row],[IndicatorCode]],Table1[value]))</f>
        <v>5.2319501044600996</v>
      </c>
      <c r="J4455">
        <f>(Table1[[#This Row],[value]] - Table1[[#This Row],[mean]]) / Table1[[#This Row],[std_dev]]</f>
        <v>-0.51403870586624445</v>
      </c>
      <c r="K4455">
        <f>AVERAGEIF(Table1[CountryCode],Table1[[#This Row],[CountryCode]],Table1[z-score])</f>
        <v>-0.69917556524739866</v>
      </c>
      <c r="L4455" t="e">
        <f>VLOOKUP(Table1[[#This Row],[CountryCode]],[1]!Table1[#Data],4,FALSE)</f>
        <v>#REF!</v>
      </c>
    </row>
    <row r="4456" spans="1:12" hidden="1" x14ac:dyDescent="0.3">
      <c r="A4456" t="s">
        <v>117</v>
      </c>
      <c r="B4456" t="s">
        <v>118</v>
      </c>
      <c r="C4456" t="s">
        <v>125</v>
      </c>
      <c r="D4456" t="s">
        <v>126</v>
      </c>
      <c r="E4456">
        <v>2022</v>
      </c>
      <c r="F4456" s="1">
        <v>5</v>
      </c>
      <c r="G4456">
        <v>1970</v>
      </c>
      <c r="H4456">
        <f>AVERAGEIFS(Table1[value],Table1[IndicatorCode],Table1[[#This Row],[IndicatorCode]])</f>
        <v>7.6894248608534319</v>
      </c>
      <c r="I4456" cm="1">
        <f t="array" ref="I4456">_xlfn.STDEV.P(IF(Table1[IndicatorCode]=Table1[[#This Row],[IndicatorCode]],Table1[value]))</f>
        <v>5.2319501044600996</v>
      </c>
      <c r="J4456">
        <f>(Table1[[#This Row],[value]] - Table1[[#This Row],[mean]]) / Table1[[#This Row],[std_dev]]</f>
        <v>-0.51403870586624445</v>
      </c>
      <c r="K4456">
        <f>AVERAGEIF(Table1[CountryCode],Table1[[#This Row],[CountryCode]],Table1[z-score])</f>
        <v>-0.69917556524739866</v>
      </c>
      <c r="L4456" t="e">
        <f>VLOOKUP(Table1[[#This Row],[CountryCode]],[1]!Table1[#Data],4,FALSE)</f>
        <v>#REF!</v>
      </c>
    </row>
    <row r="4457" spans="1:12" hidden="1" x14ac:dyDescent="0.3">
      <c r="A4457" t="s">
        <v>117</v>
      </c>
      <c r="B4457" t="s">
        <v>118</v>
      </c>
      <c r="C4457" t="s">
        <v>125</v>
      </c>
      <c r="D4457" t="s">
        <v>126</v>
      </c>
      <c r="E4457">
        <v>2023</v>
      </c>
      <c r="F4457" s="1">
        <v>5</v>
      </c>
      <c r="G4457">
        <v>1970</v>
      </c>
      <c r="H4457">
        <f>AVERAGEIFS(Table1[value],Table1[IndicatorCode],Table1[[#This Row],[IndicatorCode]])</f>
        <v>7.6894248608534319</v>
      </c>
      <c r="I4457" cm="1">
        <f t="array" ref="I4457">_xlfn.STDEV.P(IF(Table1[IndicatorCode]=Table1[[#This Row],[IndicatorCode]],Table1[value]))</f>
        <v>5.2319501044600996</v>
      </c>
      <c r="J4457">
        <f>(Table1[[#This Row],[value]] - Table1[[#This Row],[mean]]) / Table1[[#This Row],[std_dev]]</f>
        <v>-0.51403870586624445</v>
      </c>
      <c r="K4457">
        <f>AVERAGEIF(Table1[CountryCode],Table1[[#This Row],[CountryCode]],Table1[z-score])</f>
        <v>-0.69917556524739866</v>
      </c>
      <c r="L4457" t="e">
        <f>VLOOKUP(Table1[[#This Row],[CountryCode]],[1]!Table1[#Data],4,FALSE)</f>
        <v>#REF!</v>
      </c>
    </row>
    <row r="4458" spans="1:12" hidden="1" x14ac:dyDescent="0.3">
      <c r="A4458" t="s">
        <v>117</v>
      </c>
      <c r="B4458" t="s">
        <v>118</v>
      </c>
      <c r="C4458" t="s">
        <v>125</v>
      </c>
      <c r="D4458" t="s">
        <v>126</v>
      </c>
      <c r="E4458">
        <v>2024</v>
      </c>
      <c r="F4458" s="1">
        <v>5</v>
      </c>
      <c r="G4458">
        <v>1970</v>
      </c>
      <c r="H4458">
        <f>AVERAGEIFS(Table1[value],Table1[IndicatorCode],Table1[[#This Row],[IndicatorCode]])</f>
        <v>7.6894248608534319</v>
      </c>
      <c r="I4458" cm="1">
        <f t="array" ref="I4458">_xlfn.STDEV.P(IF(Table1[IndicatorCode]=Table1[[#This Row],[IndicatorCode]],Table1[value]))</f>
        <v>5.2319501044600996</v>
      </c>
      <c r="J4458">
        <f>(Table1[[#This Row],[value]] - Table1[[#This Row],[mean]]) / Table1[[#This Row],[std_dev]]</f>
        <v>-0.51403870586624445</v>
      </c>
      <c r="K4458">
        <f>AVERAGEIF(Table1[CountryCode],Table1[[#This Row],[CountryCode]],Table1[z-score])</f>
        <v>-0.69917556524739866</v>
      </c>
      <c r="L4458" t="e">
        <f>VLOOKUP(Table1[[#This Row],[CountryCode]],[1]!Table1[#Data],4,FALSE)</f>
        <v>#REF!</v>
      </c>
    </row>
    <row r="4459" spans="1:12" hidden="1" x14ac:dyDescent="0.3">
      <c r="A4459" t="s">
        <v>119</v>
      </c>
      <c r="B4459" t="s">
        <v>120</v>
      </c>
      <c r="C4459" t="s">
        <v>125</v>
      </c>
      <c r="D4459" t="s">
        <v>126</v>
      </c>
      <c r="E4459">
        <v>1970</v>
      </c>
      <c r="F4459" s="1">
        <v>10</v>
      </c>
      <c r="G4459">
        <v>1970</v>
      </c>
      <c r="H4459">
        <f>AVERAGEIFS(Table1[value],Table1[IndicatorCode],Table1[[#This Row],[IndicatorCode]])</f>
        <v>7.6894248608534319</v>
      </c>
      <c r="I4459" cm="1">
        <f t="array" ref="I4459">_xlfn.STDEV.P(IF(Table1[IndicatorCode]=Table1[[#This Row],[IndicatorCode]],Table1[value]))</f>
        <v>5.2319501044600996</v>
      </c>
      <c r="J4459">
        <f>(Table1[[#This Row],[value]] - Table1[[#This Row],[mean]]) / Table1[[#This Row],[std_dev]]</f>
        <v>0.44162790030754762</v>
      </c>
      <c r="K4459">
        <f>AVERAGEIF(Table1[CountryCode],Table1[[#This Row],[CountryCode]],Table1[z-score])</f>
        <v>-0.21176470411950787</v>
      </c>
      <c r="L4459" t="e">
        <f>VLOOKUP(Table1[[#This Row],[CountryCode]],[1]!Table1[#Data],4,FALSE)</f>
        <v>#REF!</v>
      </c>
    </row>
    <row r="4460" spans="1:12" hidden="1" x14ac:dyDescent="0.3">
      <c r="A4460" t="s">
        <v>119</v>
      </c>
      <c r="B4460" t="s">
        <v>120</v>
      </c>
      <c r="C4460" t="s">
        <v>125</v>
      </c>
      <c r="D4460" t="s">
        <v>126</v>
      </c>
      <c r="E4460">
        <v>1971</v>
      </c>
      <c r="F4460" s="1">
        <v>10</v>
      </c>
      <c r="G4460">
        <v>1970</v>
      </c>
      <c r="H4460">
        <f>AVERAGEIFS(Table1[value],Table1[IndicatorCode],Table1[[#This Row],[IndicatorCode]])</f>
        <v>7.6894248608534319</v>
      </c>
      <c r="I4460" cm="1">
        <f t="array" ref="I4460">_xlfn.STDEV.P(IF(Table1[IndicatorCode]=Table1[[#This Row],[IndicatorCode]],Table1[value]))</f>
        <v>5.2319501044600996</v>
      </c>
      <c r="J4460">
        <f>(Table1[[#This Row],[value]] - Table1[[#This Row],[mean]]) / Table1[[#This Row],[std_dev]]</f>
        <v>0.44162790030754762</v>
      </c>
      <c r="K4460">
        <f>AVERAGEIF(Table1[CountryCode],Table1[[#This Row],[CountryCode]],Table1[z-score])</f>
        <v>-0.21176470411950787</v>
      </c>
      <c r="L4460" t="e">
        <f>VLOOKUP(Table1[[#This Row],[CountryCode]],[1]!Table1[#Data],4,FALSE)</f>
        <v>#REF!</v>
      </c>
    </row>
    <row r="4461" spans="1:12" hidden="1" x14ac:dyDescent="0.3">
      <c r="A4461" t="s">
        <v>119</v>
      </c>
      <c r="B4461" t="s">
        <v>120</v>
      </c>
      <c r="C4461" t="s">
        <v>125</v>
      </c>
      <c r="D4461" t="s">
        <v>126</v>
      </c>
      <c r="E4461">
        <v>1972</v>
      </c>
      <c r="F4461" s="1">
        <v>10</v>
      </c>
      <c r="G4461">
        <v>1970</v>
      </c>
      <c r="H4461">
        <f>AVERAGEIFS(Table1[value],Table1[IndicatorCode],Table1[[#This Row],[IndicatorCode]])</f>
        <v>7.6894248608534319</v>
      </c>
      <c r="I4461" cm="1">
        <f t="array" ref="I4461">_xlfn.STDEV.P(IF(Table1[IndicatorCode]=Table1[[#This Row],[IndicatorCode]],Table1[value]))</f>
        <v>5.2319501044600996</v>
      </c>
      <c r="J4461">
        <f>(Table1[[#This Row],[value]] - Table1[[#This Row],[mean]]) / Table1[[#This Row],[std_dev]]</f>
        <v>0.44162790030754762</v>
      </c>
      <c r="K4461">
        <f>AVERAGEIF(Table1[CountryCode],Table1[[#This Row],[CountryCode]],Table1[z-score])</f>
        <v>-0.21176470411950787</v>
      </c>
      <c r="L4461" t="e">
        <f>VLOOKUP(Table1[[#This Row],[CountryCode]],[1]!Table1[#Data],4,FALSE)</f>
        <v>#REF!</v>
      </c>
    </row>
    <row r="4462" spans="1:12" hidden="1" x14ac:dyDescent="0.3">
      <c r="A4462" t="s">
        <v>119</v>
      </c>
      <c r="B4462" t="s">
        <v>120</v>
      </c>
      <c r="C4462" t="s">
        <v>125</v>
      </c>
      <c r="D4462" t="s">
        <v>126</v>
      </c>
      <c r="E4462">
        <v>1973</v>
      </c>
      <c r="F4462" s="1">
        <v>11</v>
      </c>
      <c r="G4462">
        <v>1970</v>
      </c>
      <c r="H4462">
        <f>AVERAGEIFS(Table1[value],Table1[IndicatorCode],Table1[[#This Row],[IndicatorCode]])</f>
        <v>7.6894248608534319</v>
      </c>
      <c r="I4462" cm="1">
        <f t="array" ref="I4462">_xlfn.STDEV.P(IF(Table1[IndicatorCode]=Table1[[#This Row],[IndicatorCode]],Table1[value]))</f>
        <v>5.2319501044600996</v>
      </c>
      <c r="J4462">
        <f>(Table1[[#This Row],[value]] - Table1[[#This Row],[mean]]) / Table1[[#This Row],[std_dev]]</f>
        <v>0.63276122154230596</v>
      </c>
      <c r="K4462">
        <f>AVERAGEIF(Table1[CountryCode],Table1[[#This Row],[CountryCode]],Table1[z-score])</f>
        <v>-0.21176470411950787</v>
      </c>
      <c r="L4462" t="e">
        <f>VLOOKUP(Table1[[#This Row],[CountryCode]],[1]!Table1[#Data],4,FALSE)</f>
        <v>#REF!</v>
      </c>
    </row>
    <row r="4463" spans="1:12" hidden="1" x14ac:dyDescent="0.3">
      <c r="A4463" t="s">
        <v>119</v>
      </c>
      <c r="B4463" t="s">
        <v>120</v>
      </c>
      <c r="C4463" t="s">
        <v>125</v>
      </c>
      <c r="D4463" t="s">
        <v>126</v>
      </c>
      <c r="E4463">
        <v>1974</v>
      </c>
      <c r="F4463" s="1">
        <v>11</v>
      </c>
      <c r="G4463">
        <v>1970</v>
      </c>
      <c r="H4463">
        <f>AVERAGEIFS(Table1[value],Table1[IndicatorCode],Table1[[#This Row],[IndicatorCode]])</f>
        <v>7.6894248608534319</v>
      </c>
      <c r="I4463" cm="1">
        <f t="array" ref="I4463">_xlfn.STDEV.P(IF(Table1[IndicatorCode]=Table1[[#This Row],[IndicatorCode]],Table1[value]))</f>
        <v>5.2319501044600996</v>
      </c>
      <c r="J4463">
        <f>(Table1[[#This Row],[value]] - Table1[[#This Row],[mean]]) / Table1[[#This Row],[std_dev]]</f>
        <v>0.63276122154230596</v>
      </c>
      <c r="K4463">
        <f>AVERAGEIF(Table1[CountryCode],Table1[[#This Row],[CountryCode]],Table1[z-score])</f>
        <v>-0.21176470411950787</v>
      </c>
      <c r="L4463" t="e">
        <f>VLOOKUP(Table1[[#This Row],[CountryCode]],[1]!Table1[#Data],4,FALSE)</f>
        <v>#REF!</v>
      </c>
    </row>
    <row r="4464" spans="1:12" hidden="1" x14ac:dyDescent="0.3">
      <c r="A4464" t="s">
        <v>119</v>
      </c>
      <c r="B4464" t="s">
        <v>120</v>
      </c>
      <c r="C4464" t="s">
        <v>125</v>
      </c>
      <c r="D4464" t="s">
        <v>126</v>
      </c>
      <c r="E4464">
        <v>1975</v>
      </c>
      <c r="F4464" s="1">
        <v>12</v>
      </c>
      <c r="G4464">
        <v>1970</v>
      </c>
      <c r="H4464">
        <f>AVERAGEIFS(Table1[value],Table1[IndicatorCode],Table1[[#This Row],[IndicatorCode]])</f>
        <v>7.6894248608534319</v>
      </c>
      <c r="I4464" cm="1">
        <f t="array" ref="I4464">_xlfn.STDEV.P(IF(Table1[IndicatorCode]=Table1[[#This Row],[IndicatorCode]],Table1[value]))</f>
        <v>5.2319501044600996</v>
      </c>
      <c r="J4464">
        <f>(Table1[[#This Row],[value]] - Table1[[#This Row],[mean]]) / Table1[[#This Row],[std_dev]]</f>
        <v>0.82389454277706442</v>
      </c>
      <c r="K4464">
        <f>AVERAGEIF(Table1[CountryCode],Table1[[#This Row],[CountryCode]],Table1[z-score])</f>
        <v>-0.21176470411950787</v>
      </c>
      <c r="L4464" t="e">
        <f>VLOOKUP(Table1[[#This Row],[CountryCode]],[1]!Table1[#Data],4,FALSE)</f>
        <v>#REF!</v>
      </c>
    </row>
    <row r="4465" spans="1:12" hidden="1" x14ac:dyDescent="0.3">
      <c r="A4465" t="s">
        <v>119</v>
      </c>
      <c r="B4465" t="s">
        <v>120</v>
      </c>
      <c r="C4465" t="s">
        <v>125</v>
      </c>
      <c r="D4465" t="s">
        <v>126</v>
      </c>
      <c r="E4465">
        <v>1976</v>
      </c>
      <c r="F4465" s="1">
        <v>12</v>
      </c>
      <c r="G4465">
        <v>1970</v>
      </c>
      <c r="H4465">
        <f>AVERAGEIFS(Table1[value],Table1[IndicatorCode],Table1[[#This Row],[IndicatorCode]])</f>
        <v>7.6894248608534319</v>
      </c>
      <c r="I4465" cm="1">
        <f t="array" ref="I4465">_xlfn.STDEV.P(IF(Table1[IndicatorCode]=Table1[[#This Row],[IndicatorCode]],Table1[value]))</f>
        <v>5.2319501044600996</v>
      </c>
      <c r="J4465">
        <f>(Table1[[#This Row],[value]] - Table1[[#This Row],[mean]]) / Table1[[#This Row],[std_dev]]</f>
        <v>0.82389454277706442</v>
      </c>
      <c r="K4465">
        <f>AVERAGEIF(Table1[CountryCode],Table1[[#This Row],[CountryCode]],Table1[z-score])</f>
        <v>-0.21176470411950787</v>
      </c>
      <c r="L4465" t="e">
        <f>VLOOKUP(Table1[[#This Row],[CountryCode]],[1]!Table1[#Data],4,FALSE)</f>
        <v>#REF!</v>
      </c>
    </row>
    <row r="4466" spans="1:12" hidden="1" x14ac:dyDescent="0.3">
      <c r="A4466" t="s">
        <v>119</v>
      </c>
      <c r="B4466" t="s">
        <v>120</v>
      </c>
      <c r="C4466" t="s">
        <v>125</v>
      </c>
      <c r="D4466" t="s">
        <v>126</v>
      </c>
      <c r="E4466">
        <v>1977</v>
      </c>
      <c r="F4466" s="1">
        <v>12</v>
      </c>
      <c r="G4466">
        <v>1980</v>
      </c>
      <c r="H4466">
        <f>AVERAGEIFS(Table1[value],Table1[IndicatorCode],Table1[[#This Row],[IndicatorCode]])</f>
        <v>7.6894248608534319</v>
      </c>
      <c r="I4466" cm="1">
        <f t="array" ref="I4466">_xlfn.STDEV.P(IF(Table1[IndicatorCode]=Table1[[#This Row],[IndicatorCode]],Table1[value]))</f>
        <v>5.2319501044600996</v>
      </c>
      <c r="J4466">
        <f>(Table1[[#This Row],[value]] - Table1[[#This Row],[mean]]) / Table1[[#This Row],[std_dev]]</f>
        <v>0.82389454277706442</v>
      </c>
      <c r="K4466">
        <f>AVERAGEIF(Table1[CountryCode],Table1[[#This Row],[CountryCode]],Table1[z-score])</f>
        <v>-0.21176470411950787</v>
      </c>
      <c r="L4466" t="e">
        <f>VLOOKUP(Table1[[#This Row],[CountryCode]],[1]!Table1[#Data],4,FALSE)</f>
        <v>#REF!</v>
      </c>
    </row>
    <row r="4467" spans="1:12" hidden="1" x14ac:dyDescent="0.3">
      <c r="A4467" t="s">
        <v>119</v>
      </c>
      <c r="B4467" t="s">
        <v>120</v>
      </c>
      <c r="C4467" t="s">
        <v>125</v>
      </c>
      <c r="D4467" t="s">
        <v>126</v>
      </c>
      <c r="E4467">
        <v>1978</v>
      </c>
      <c r="F4467" s="1">
        <v>13</v>
      </c>
      <c r="G4467">
        <v>1980</v>
      </c>
      <c r="H4467">
        <f>AVERAGEIFS(Table1[value],Table1[IndicatorCode],Table1[[#This Row],[IndicatorCode]])</f>
        <v>7.6894248608534319</v>
      </c>
      <c r="I4467" cm="1">
        <f t="array" ref="I4467">_xlfn.STDEV.P(IF(Table1[IndicatorCode]=Table1[[#This Row],[IndicatorCode]],Table1[value]))</f>
        <v>5.2319501044600996</v>
      </c>
      <c r="J4467">
        <f>(Table1[[#This Row],[value]] - Table1[[#This Row],[mean]]) / Table1[[#This Row],[std_dev]]</f>
        <v>1.0150278640118229</v>
      </c>
      <c r="K4467">
        <f>AVERAGEIF(Table1[CountryCode],Table1[[#This Row],[CountryCode]],Table1[z-score])</f>
        <v>-0.21176470411950787</v>
      </c>
      <c r="L4467" t="e">
        <f>VLOOKUP(Table1[[#This Row],[CountryCode]],[1]!Table1[#Data],4,FALSE)</f>
        <v>#REF!</v>
      </c>
    </row>
    <row r="4468" spans="1:12" hidden="1" x14ac:dyDescent="0.3">
      <c r="A4468" t="s">
        <v>119</v>
      </c>
      <c r="B4468" t="s">
        <v>120</v>
      </c>
      <c r="C4468" t="s">
        <v>125</v>
      </c>
      <c r="D4468" t="s">
        <v>126</v>
      </c>
      <c r="E4468">
        <v>1979</v>
      </c>
      <c r="F4468" s="1">
        <v>13</v>
      </c>
      <c r="G4468">
        <v>1980</v>
      </c>
      <c r="H4468">
        <f>AVERAGEIFS(Table1[value],Table1[IndicatorCode],Table1[[#This Row],[IndicatorCode]])</f>
        <v>7.6894248608534319</v>
      </c>
      <c r="I4468" cm="1">
        <f t="array" ref="I4468">_xlfn.STDEV.P(IF(Table1[IndicatorCode]=Table1[[#This Row],[IndicatorCode]],Table1[value]))</f>
        <v>5.2319501044600996</v>
      </c>
      <c r="J4468">
        <f>(Table1[[#This Row],[value]] - Table1[[#This Row],[mean]]) / Table1[[#This Row],[std_dev]]</f>
        <v>1.0150278640118229</v>
      </c>
      <c r="K4468">
        <f>AVERAGEIF(Table1[CountryCode],Table1[[#This Row],[CountryCode]],Table1[z-score])</f>
        <v>-0.21176470411950787</v>
      </c>
      <c r="L4468" t="e">
        <f>VLOOKUP(Table1[[#This Row],[CountryCode]],[1]!Table1[#Data],4,FALSE)</f>
        <v>#REF!</v>
      </c>
    </row>
    <row r="4469" spans="1:12" hidden="1" x14ac:dyDescent="0.3">
      <c r="A4469" t="s">
        <v>119</v>
      </c>
      <c r="B4469" t="s">
        <v>120</v>
      </c>
      <c r="C4469" t="s">
        <v>125</v>
      </c>
      <c r="D4469" t="s">
        <v>126</v>
      </c>
      <c r="E4469">
        <v>1980</v>
      </c>
      <c r="F4469" s="1">
        <v>14</v>
      </c>
      <c r="G4469">
        <v>1980</v>
      </c>
      <c r="H4469">
        <f>AVERAGEIFS(Table1[value],Table1[IndicatorCode],Table1[[#This Row],[IndicatorCode]])</f>
        <v>7.6894248608534319</v>
      </c>
      <c r="I4469" cm="1">
        <f t="array" ref="I4469">_xlfn.STDEV.P(IF(Table1[IndicatorCode]=Table1[[#This Row],[IndicatorCode]],Table1[value]))</f>
        <v>5.2319501044600996</v>
      </c>
      <c r="J4469">
        <f>(Table1[[#This Row],[value]] - Table1[[#This Row],[mean]]) / Table1[[#This Row],[std_dev]]</f>
        <v>1.2061611852465812</v>
      </c>
      <c r="K4469">
        <f>AVERAGEIF(Table1[CountryCode],Table1[[#This Row],[CountryCode]],Table1[z-score])</f>
        <v>-0.21176470411950787</v>
      </c>
      <c r="L4469" t="e">
        <f>VLOOKUP(Table1[[#This Row],[CountryCode]],[1]!Table1[#Data],4,FALSE)</f>
        <v>#REF!</v>
      </c>
    </row>
    <row r="4470" spans="1:12" hidden="1" x14ac:dyDescent="0.3">
      <c r="A4470" t="s">
        <v>119</v>
      </c>
      <c r="B4470" t="s">
        <v>120</v>
      </c>
      <c r="C4470" t="s">
        <v>125</v>
      </c>
      <c r="D4470" t="s">
        <v>126</v>
      </c>
      <c r="E4470">
        <v>1981</v>
      </c>
      <c r="F4470" s="1">
        <v>13</v>
      </c>
      <c r="G4470">
        <v>1980</v>
      </c>
      <c r="H4470">
        <f>AVERAGEIFS(Table1[value],Table1[IndicatorCode],Table1[[#This Row],[IndicatorCode]])</f>
        <v>7.6894248608534319</v>
      </c>
      <c r="I4470" cm="1">
        <f t="array" ref="I4470">_xlfn.STDEV.P(IF(Table1[IndicatorCode]=Table1[[#This Row],[IndicatorCode]],Table1[value]))</f>
        <v>5.2319501044600996</v>
      </c>
      <c r="J4470">
        <f>(Table1[[#This Row],[value]] - Table1[[#This Row],[mean]]) / Table1[[#This Row],[std_dev]]</f>
        <v>1.0150278640118229</v>
      </c>
      <c r="K4470">
        <f>AVERAGEIF(Table1[CountryCode],Table1[[#This Row],[CountryCode]],Table1[z-score])</f>
        <v>-0.21176470411950787</v>
      </c>
      <c r="L4470" t="e">
        <f>VLOOKUP(Table1[[#This Row],[CountryCode]],[1]!Table1[#Data],4,FALSE)</f>
        <v>#REF!</v>
      </c>
    </row>
    <row r="4471" spans="1:12" hidden="1" x14ac:dyDescent="0.3">
      <c r="A4471" t="s">
        <v>119</v>
      </c>
      <c r="B4471" t="s">
        <v>120</v>
      </c>
      <c r="C4471" t="s">
        <v>125</v>
      </c>
      <c r="D4471" t="s">
        <v>126</v>
      </c>
      <c r="E4471">
        <v>1982</v>
      </c>
      <c r="F4471" s="1">
        <v>13</v>
      </c>
      <c r="G4471">
        <v>1980</v>
      </c>
      <c r="H4471">
        <f>AVERAGEIFS(Table1[value],Table1[IndicatorCode],Table1[[#This Row],[IndicatorCode]])</f>
        <v>7.6894248608534319</v>
      </c>
      <c r="I4471" cm="1">
        <f t="array" ref="I4471">_xlfn.STDEV.P(IF(Table1[IndicatorCode]=Table1[[#This Row],[IndicatorCode]],Table1[value]))</f>
        <v>5.2319501044600996</v>
      </c>
      <c r="J4471">
        <f>(Table1[[#This Row],[value]] - Table1[[#This Row],[mean]]) / Table1[[#This Row],[std_dev]]</f>
        <v>1.0150278640118229</v>
      </c>
      <c r="K4471">
        <f>AVERAGEIF(Table1[CountryCode],Table1[[#This Row],[CountryCode]],Table1[z-score])</f>
        <v>-0.21176470411950787</v>
      </c>
      <c r="L4471" t="e">
        <f>VLOOKUP(Table1[[#This Row],[CountryCode]],[1]!Table1[#Data],4,FALSE)</f>
        <v>#REF!</v>
      </c>
    </row>
    <row r="4472" spans="1:12" hidden="1" x14ac:dyDescent="0.3">
      <c r="A4472" t="s">
        <v>119</v>
      </c>
      <c r="B4472" t="s">
        <v>120</v>
      </c>
      <c r="C4472" t="s">
        <v>125</v>
      </c>
      <c r="D4472" t="s">
        <v>126</v>
      </c>
      <c r="E4472">
        <v>1983</v>
      </c>
      <c r="F4472" s="1">
        <v>13</v>
      </c>
      <c r="G4472">
        <v>1980</v>
      </c>
      <c r="H4472">
        <f>AVERAGEIFS(Table1[value],Table1[IndicatorCode],Table1[[#This Row],[IndicatorCode]])</f>
        <v>7.6894248608534319</v>
      </c>
      <c r="I4472" cm="1">
        <f t="array" ref="I4472">_xlfn.STDEV.P(IF(Table1[IndicatorCode]=Table1[[#This Row],[IndicatorCode]],Table1[value]))</f>
        <v>5.2319501044600996</v>
      </c>
      <c r="J4472">
        <f>(Table1[[#This Row],[value]] - Table1[[#This Row],[mean]]) / Table1[[#This Row],[std_dev]]</f>
        <v>1.0150278640118229</v>
      </c>
      <c r="K4472">
        <f>AVERAGEIF(Table1[CountryCode],Table1[[#This Row],[CountryCode]],Table1[z-score])</f>
        <v>-0.21176470411950787</v>
      </c>
      <c r="L4472" t="e">
        <f>VLOOKUP(Table1[[#This Row],[CountryCode]],[1]!Table1[#Data],4,FALSE)</f>
        <v>#REF!</v>
      </c>
    </row>
    <row r="4473" spans="1:12" hidden="1" x14ac:dyDescent="0.3">
      <c r="A4473" t="s">
        <v>119</v>
      </c>
      <c r="B4473" t="s">
        <v>120</v>
      </c>
      <c r="C4473" t="s">
        <v>125</v>
      </c>
      <c r="D4473" t="s">
        <v>126</v>
      </c>
      <c r="E4473">
        <v>1984</v>
      </c>
      <c r="F4473" s="1">
        <v>13</v>
      </c>
      <c r="G4473">
        <v>1980</v>
      </c>
      <c r="H4473">
        <f>AVERAGEIFS(Table1[value],Table1[IndicatorCode],Table1[[#This Row],[IndicatorCode]])</f>
        <v>7.6894248608534319</v>
      </c>
      <c r="I4473" cm="1">
        <f t="array" ref="I4473">_xlfn.STDEV.P(IF(Table1[IndicatorCode]=Table1[[#This Row],[IndicatorCode]],Table1[value]))</f>
        <v>5.2319501044600996</v>
      </c>
      <c r="J4473">
        <f>(Table1[[#This Row],[value]] - Table1[[#This Row],[mean]]) / Table1[[#This Row],[std_dev]]</f>
        <v>1.0150278640118229</v>
      </c>
      <c r="K4473">
        <f>AVERAGEIF(Table1[CountryCode],Table1[[#This Row],[CountryCode]],Table1[z-score])</f>
        <v>-0.21176470411950787</v>
      </c>
      <c r="L4473" t="e">
        <f>VLOOKUP(Table1[[#This Row],[CountryCode]],[1]!Table1[#Data],4,FALSE)</f>
        <v>#REF!</v>
      </c>
    </row>
    <row r="4474" spans="1:12" hidden="1" x14ac:dyDescent="0.3">
      <c r="A4474" t="s">
        <v>119</v>
      </c>
      <c r="B4474" t="s">
        <v>120</v>
      </c>
      <c r="C4474" t="s">
        <v>125</v>
      </c>
      <c r="D4474" t="s">
        <v>126</v>
      </c>
      <c r="E4474">
        <v>1985</v>
      </c>
      <c r="F4474" s="1">
        <v>13</v>
      </c>
      <c r="G4474">
        <v>1980</v>
      </c>
      <c r="H4474">
        <f>AVERAGEIFS(Table1[value],Table1[IndicatorCode],Table1[[#This Row],[IndicatorCode]])</f>
        <v>7.6894248608534319</v>
      </c>
      <c r="I4474" cm="1">
        <f t="array" ref="I4474">_xlfn.STDEV.P(IF(Table1[IndicatorCode]=Table1[[#This Row],[IndicatorCode]],Table1[value]))</f>
        <v>5.2319501044600996</v>
      </c>
      <c r="J4474">
        <f>(Table1[[#This Row],[value]] - Table1[[#This Row],[mean]]) / Table1[[#This Row],[std_dev]]</f>
        <v>1.0150278640118229</v>
      </c>
      <c r="K4474">
        <f>AVERAGEIF(Table1[CountryCode],Table1[[#This Row],[CountryCode]],Table1[z-score])</f>
        <v>-0.21176470411950787</v>
      </c>
      <c r="L4474" t="e">
        <f>VLOOKUP(Table1[[#This Row],[CountryCode]],[1]!Table1[#Data],4,FALSE)</f>
        <v>#REF!</v>
      </c>
    </row>
    <row r="4475" spans="1:12" hidden="1" x14ac:dyDescent="0.3">
      <c r="A4475" t="s">
        <v>119</v>
      </c>
      <c r="B4475" t="s">
        <v>120</v>
      </c>
      <c r="C4475" t="s">
        <v>125</v>
      </c>
      <c r="D4475" t="s">
        <v>126</v>
      </c>
      <c r="E4475">
        <v>1986</v>
      </c>
      <c r="F4475" s="1">
        <v>13</v>
      </c>
      <c r="G4475">
        <v>1980</v>
      </c>
      <c r="H4475">
        <f>AVERAGEIFS(Table1[value],Table1[IndicatorCode],Table1[[#This Row],[IndicatorCode]])</f>
        <v>7.6894248608534319</v>
      </c>
      <c r="I4475" cm="1">
        <f t="array" ref="I4475">_xlfn.STDEV.P(IF(Table1[IndicatorCode]=Table1[[#This Row],[IndicatorCode]],Table1[value]))</f>
        <v>5.2319501044600996</v>
      </c>
      <c r="J4475">
        <f>(Table1[[#This Row],[value]] - Table1[[#This Row],[mean]]) / Table1[[#This Row],[std_dev]]</f>
        <v>1.0150278640118229</v>
      </c>
      <c r="K4475">
        <f>AVERAGEIF(Table1[CountryCode],Table1[[#This Row],[CountryCode]],Table1[z-score])</f>
        <v>-0.21176470411950787</v>
      </c>
      <c r="L4475" t="e">
        <f>VLOOKUP(Table1[[#This Row],[CountryCode]],[1]!Table1[#Data],4,FALSE)</f>
        <v>#REF!</v>
      </c>
    </row>
    <row r="4476" spans="1:12" hidden="1" x14ac:dyDescent="0.3">
      <c r="A4476" t="s">
        <v>119</v>
      </c>
      <c r="B4476" t="s">
        <v>120</v>
      </c>
      <c r="C4476" t="s">
        <v>125</v>
      </c>
      <c r="D4476" t="s">
        <v>126</v>
      </c>
      <c r="E4476">
        <v>1987</v>
      </c>
      <c r="F4476" s="1">
        <v>14</v>
      </c>
      <c r="G4476">
        <v>1990</v>
      </c>
      <c r="H4476">
        <f>AVERAGEIFS(Table1[value],Table1[IndicatorCode],Table1[[#This Row],[IndicatorCode]])</f>
        <v>7.6894248608534319</v>
      </c>
      <c r="I4476" cm="1">
        <f t="array" ref="I4476">_xlfn.STDEV.P(IF(Table1[IndicatorCode]=Table1[[#This Row],[IndicatorCode]],Table1[value]))</f>
        <v>5.2319501044600996</v>
      </c>
      <c r="J4476">
        <f>(Table1[[#This Row],[value]] - Table1[[#This Row],[mean]]) / Table1[[#This Row],[std_dev]]</f>
        <v>1.2061611852465812</v>
      </c>
      <c r="K4476">
        <f>AVERAGEIF(Table1[CountryCode],Table1[[#This Row],[CountryCode]],Table1[z-score])</f>
        <v>-0.21176470411950787</v>
      </c>
      <c r="L4476" t="e">
        <f>VLOOKUP(Table1[[#This Row],[CountryCode]],[1]!Table1[#Data],4,FALSE)</f>
        <v>#REF!</v>
      </c>
    </row>
    <row r="4477" spans="1:12" hidden="1" x14ac:dyDescent="0.3">
      <c r="A4477" t="s">
        <v>119</v>
      </c>
      <c r="B4477" t="s">
        <v>120</v>
      </c>
      <c r="C4477" t="s">
        <v>125</v>
      </c>
      <c r="D4477" t="s">
        <v>126</v>
      </c>
      <c r="E4477">
        <v>1988</v>
      </c>
      <c r="F4477" s="1">
        <v>14</v>
      </c>
      <c r="G4477">
        <v>1990</v>
      </c>
      <c r="H4477">
        <f>AVERAGEIFS(Table1[value],Table1[IndicatorCode],Table1[[#This Row],[IndicatorCode]])</f>
        <v>7.6894248608534319</v>
      </c>
      <c r="I4477" cm="1">
        <f t="array" ref="I4477">_xlfn.STDEV.P(IF(Table1[IndicatorCode]=Table1[[#This Row],[IndicatorCode]],Table1[value]))</f>
        <v>5.2319501044600996</v>
      </c>
      <c r="J4477">
        <f>(Table1[[#This Row],[value]] - Table1[[#This Row],[mean]]) / Table1[[#This Row],[std_dev]]</f>
        <v>1.2061611852465812</v>
      </c>
      <c r="K4477">
        <f>AVERAGEIF(Table1[CountryCode],Table1[[#This Row],[CountryCode]],Table1[z-score])</f>
        <v>-0.21176470411950787</v>
      </c>
      <c r="L4477" t="e">
        <f>VLOOKUP(Table1[[#This Row],[CountryCode]],[1]!Table1[#Data],4,FALSE)</f>
        <v>#REF!</v>
      </c>
    </row>
    <row r="4478" spans="1:12" hidden="1" x14ac:dyDescent="0.3">
      <c r="A4478" t="s">
        <v>119</v>
      </c>
      <c r="B4478" t="s">
        <v>120</v>
      </c>
      <c r="C4478" t="s">
        <v>125</v>
      </c>
      <c r="D4478" t="s">
        <v>126</v>
      </c>
      <c r="E4478">
        <v>1989</v>
      </c>
      <c r="F4478" s="1">
        <v>14</v>
      </c>
      <c r="G4478">
        <v>1990</v>
      </c>
      <c r="H4478">
        <f>AVERAGEIFS(Table1[value],Table1[IndicatorCode],Table1[[#This Row],[IndicatorCode]])</f>
        <v>7.6894248608534319</v>
      </c>
      <c r="I4478" cm="1">
        <f t="array" ref="I4478">_xlfn.STDEV.P(IF(Table1[IndicatorCode]=Table1[[#This Row],[IndicatorCode]],Table1[value]))</f>
        <v>5.2319501044600996</v>
      </c>
      <c r="J4478">
        <f>(Table1[[#This Row],[value]] - Table1[[#This Row],[mean]]) / Table1[[#This Row],[std_dev]]</f>
        <v>1.2061611852465812</v>
      </c>
      <c r="K4478">
        <f>AVERAGEIF(Table1[CountryCode],Table1[[#This Row],[CountryCode]],Table1[z-score])</f>
        <v>-0.21176470411950787</v>
      </c>
      <c r="L4478" t="e">
        <f>VLOOKUP(Table1[[#This Row],[CountryCode]],[1]!Table1[#Data],4,FALSE)</f>
        <v>#REF!</v>
      </c>
    </row>
    <row r="4479" spans="1:12" hidden="1" x14ac:dyDescent="0.3">
      <c r="A4479" t="s">
        <v>119</v>
      </c>
      <c r="B4479" t="s">
        <v>120</v>
      </c>
      <c r="C4479" t="s">
        <v>125</v>
      </c>
      <c r="D4479" t="s">
        <v>126</v>
      </c>
      <c r="E4479">
        <v>1990</v>
      </c>
      <c r="F4479" s="1">
        <v>15</v>
      </c>
      <c r="G4479">
        <v>1990</v>
      </c>
      <c r="H4479">
        <f>AVERAGEIFS(Table1[value],Table1[IndicatorCode],Table1[[#This Row],[IndicatorCode]])</f>
        <v>7.6894248608534319</v>
      </c>
      <c r="I4479" cm="1">
        <f t="array" ref="I4479">_xlfn.STDEV.P(IF(Table1[IndicatorCode]=Table1[[#This Row],[IndicatorCode]],Table1[value]))</f>
        <v>5.2319501044600996</v>
      </c>
      <c r="J4479">
        <f>(Table1[[#This Row],[value]] - Table1[[#This Row],[mean]]) / Table1[[#This Row],[std_dev]]</f>
        <v>1.3972945064813396</v>
      </c>
      <c r="K4479">
        <f>AVERAGEIF(Table1[CountryCode],Table1[[#This Row],[CountryCode]],Table1[z-score])</f>
        <v>-0.21176470411950787</v>
      </c>
      <c r="L4479" t="e">
        <f>VLOOKUP(Table1[[#This Row],[CountryCode]],[1]!Table1[#Data],4,FALSE)</f>
        <v>#REF!</v>
      </c>
    </row>
    <row r="4480" spans="1:12" hidden="1" x14ac:dyDescent="0.3">
      <c r="A4480" t="s">
        <v>119</v>
      </c>
      <c r="B4480" t="s">
        <v>120</v>
      </c>
      <c r="C4480" t="s">
        <v>125</v>
      </c>
      <c r="D4480" t="s">
        <v>126</v>
      </c>
      <c r="E4480">
        <v>1991</v>
      </c>
      <c r="F4480" s="1">
        <v>14</v>
      </c>
      <c r="G4480">
        <v>1990</v>
      </c>
      <c r="H4480">
        <f>AVERAGEIFS(Table1[value],Table1[IndicatorCode],Table1[[#This Row],[IndicatorCode]])</f>
        <v>7.6894248608534319</v>
      </c>
      <c r="I4480" cm="1">
        <f t="array" ref="I4480">_xlfn.STDEV.P(IF(Table1[IndicatorCode]=Table1[[#This Row],[IndicatorCode]],Table1[value]))</f>
        <v>5.2319501044600996</v>
      </c>
      <c r="J4480">
        <f>(Table1[[#This Row],[value]] - Table1[[#This Row],[mean]]) / Table1[[#This Row],[std_dev]]</f>
        <v>1.2061611852465812</v>
      </c>
      <c r="K4480">
        <f>AVERAGEIF(Table1[CountryCode],Table1[[#This Row],[CountryCode]],Table1[z-score])</f>
        <v>-0.21176470411950787</v>
      </c>
      <c r="L4480" t="e">
        <f>VLOOKUP(Table1[[#This Row],[CountryCode]],[1]!Table1[#Data],4,FALSE)</f>
        <v>#REF!</v>
      </c>
    </row>
    <row r="4481" spans="1:12" hidden="1" x14ac:dyDescent="0.3">
      <c r="A4481" t="s">
        <v>119</v>
      </c>
      <c r="B4481" t="s">
        <v>120</v>
      </c>
      <c r="C4481" t="s">
        <v>125</v>
      </c>
      <c r="D4481" t="s">
        <v>126</v>
      </c>
      <c r="E4481">
        <v>1992</v>
      </c>
      <c r="F4481" s="1">
        <v>12</v>
      </c>
      <c r="G4481">
        <v>1990</v>
      </c>
      <c r="H4481">
        <f>AVERAGEIFS(Table1[value],Table1[IndicatorCode],Table1[[#This Row],[IndicatorCode]])</f>
        <v>7.6894248608534319</v>
      </c>
      <c r="I4481" cm="1">
        <f t="array" ref="I4481">_xlfn.STDEV.P(IF(Table1[IndicatorCode]=Table1[[#This Row],[IndicatorCode]],Table1[value]))</f>
        <v>5.2319501044600996</v>
      </c>
      <c r="J4481">
        <f>(Table1[[#This Row],[value]] - Table1[[#This Row],[mean]]) / Table1[[#This Row],[std_dev]]</f>
        <v>0.82389454277706442</v>
      </c>
      <c r="K4481">
        <f>AVERAGEIF(Table1[CountryCode],Table1[[#This Row],[CountryCode]],Table1[z-score])</f>
        <v>-0.21176470411950787</v>
      </c>
      <c r="L4481" t="e">
        <f>VLOOKUP(Table1[[#This Row],[CountryCode]],[1]!Table1[#Data],4,FALSE)</f>
        <v>#REF!</v>
      </c>
    </row>
    <row r="4482" spans="1:12" hidden="1" x14ac:dyDescent="0.3">
      <c r="A4482" t="s">
        <v>119</v>
      </c>
      <c r="B4482" t="s">
        <v>120</v>
      </c>
      <c r="C4482" t="s">
        <v>125</v>
      </c>
      <c r="D4482" t="s">
        <v>126</v>
      </c>
      <c r="E4482">
        <v>1993</v>
      </c>
      <c r="F4482" s="1">
        <v>11</v>
      </c>
      <c r="G4482">
        <v>1990</v>
      </c>
      <c r="H4482">
        <f>AVERAGEIFS(Table1[value],Table1[IndicatorCode],Table1[[#This Row],[IndicatorCode]])</f>
        <v>7.6894248608534319</v>
      </c>
      <c r="I4482" cm="1">
        <f t="array" ref="I4482">_xlfn.STDEV.P(IF(Table1[IndicatorCode]=Table1[[#This Row],[IndicatorCode]],Table1[value]))</f>
        <v>5.2319501044600996</v>
      </c>
      <c r="J4482">
        <f>(Table1[[#This Row],[value]] - Table1[[#This Row],[mean]]) / Table1[[#This Row],[std_dev]]</f>
        <v>0.63276122154230596</v>
      </c>
      <c r="K4482">
        <f>AVERAGEIF(Table1[CountryCode],Table1[[#This Row],[CountryCode]],Table1[z-score])</f>
        <v>-0.21176470411950787</v>
      </c>
      <c r="L4482" t="e">
        <f>VLOOKUP(Table1[[#This Row],[CountryCode]],[1]!Table1[#Data],4,FALSE)</f>
        <v>#REF!</v>
      </c>
    </row>
    <row r="4483" spans="1:12" hidden="1" x14ac:dyDescent="0.3">
      <c r="A4483" t="s">
        <v>119</v>
      </c>
      <c r="B4483" t="s">
        <v>120</v>
      </c>
      <c r="C4483" t="s">
        <v>125</v>
      </c>
      <c r="D4483" t="s">
        <v>126</v>
      </c>
      <c r="E4483">
        <v>1994</v>
      </c>
      <c r="F4483" s="1">
        <v>9</v>
      </c>
      <c r="G4483">
        <v>1990</v>
      </c>
      <c r="H4483">
        <f>AVERAGEIFS(Table1[value],Table1[IndicatorCode],Table1[[#This Row],[IndicatorCode]])</f>
        <v>7.6894248608534319</v>
      </c>
      <c r="I4483" cm="1">
        <f t="array" ref="I4483">_xlfn.STDEV.P(IF(Table1[IndicatorCode]=Table1[[#This Row],[IndicatorCode]],Table1[value]))</f>
        <v>5.2319501044600996</v>
      </c>
      <c r="J4483">
        <f>(Table1[[#This Row],[value]] - Table1[[#This Row],[mean]]) / Table1[[#This Row],[std_dev]]</f>
        <v>0.25049457907278921</v>
      </c>
      <c r="K4483">
        <f>AVERAGEIF(Table1[CountryCode],Table1[[#This Row],[CountryCode]],Table1[z-score])</f>
        <v>-0.21176470411950787</v>
      </c>
      <c r="L4483" t="e">
        <f>VLOOKUP(Table1[[#This Row],[CountryCode]],[1]!Table1[#Data],4,FALSE)</f>
        <v>#REF!</v>
      </c>
    </row>
    <row r="4484" spans="1:12" hidden="1" x14ac:dyDescent="0.3">
      <c r="A4484" t="s">
        <v>119</v>
      </c>
      <c r="B4484" t="s">
        <v>120</v>
      </c>
      <c r="C4484" t="s">
        <v>125</v>
      </c>
      <c r="D4484" t="s">
        <v>126</v>
      </c>
      <c r="E4484">
        <v>1995</v>
      </c>
      <c r="F4484" s="1">
        <v>9</v>
      </c>
      <c r="G4484">
        <v>1990</v>
      </c>
      <c r="H4484">
        <f>AVERAGEIFS(Table1[value],Table1[IndicatorCode],Table1[[#This Row],[IndicatorCode]])</f>
        <v>7.6894248608534319</v>
      </c>
      <c r="I4484" cm="1">
        <f t="array" ref="I4484">_xlfn.STDEV.P(IF(Table1[IndicatorCode]=Table1[[#This Row],[IndicatorCode]],Table1[value]))</f>
        <v>5.2319501044600996</v>
      </c>
      <c r="J4484">
        <f>(Table1[[#This Row],[value]] - Table1[[#This Row],[mean]]) / Table1[[#This Row],[std_dev]]</f>
        <v>0.25049457907278921</v>
      </c>
      <c r="K4484">
        <f>AVERAGEIF(Table1[CountryCode],Table1[[#This Row],[CountryCode]],Table1[z-score])</f>
        <v>-0.21176470411950787</v>
      </c>
      <c r="L4484" t="e">
        <f>VLOOKUP(Table1[[#This Row],[CountryCode]],[1]!Table1[#Data],4,FALSE)</f>
        <v>#REF!</v>
      </c>
    </row>
    <row r="4485" spans="1:12" hidden="1" x14ac:dyDescent="0.3">
      <c r="A4485" t="s">
        <v>119</v>
      </c>
      <c r="B4485" t="s">
        <v>120</v>
      </c>
      <c r="C4485" t="s">
        <v>125</v>
      </c>
      <c r="D4485" t="s">
        <v>126</v>
      </c>
      <c r="E4485">
        <v>1996</v>
      </c>
      <c r="F4485" s="1">
        <v>8</v>
      </c>
      <c r="G4485">
        <v>1990</v>
      </c>
      <c r="H4485">
        <f>AVERAGEIFS(Table1[value],Table1[IndicatorCode],Table1[[#This Row],[IndicatorCode]])</f>
        <v>7.6894248608534319</v>
      </c>
      <c r="I4485" cm="1">
        <f t="array" ref="I4485">_xlfn.STDEV.P(IF(Table1[IndicatorCode]=Table1[[#This Row],[IndicatorCode]],Table1[value]))</f>
        <v>5.2319501044600996</v>
      </c>
      <c r="J4485">
        <f>(Table1[[#This Row],[value]] - Table1[[#This Row],[mean]]) / Table1[[#This Row],[std_dev]]</f>
        <v>5.9361257838030791E-2</v>
      </c>
      <c r="K4485">
        <f>AVERAGEIF(Table1[CountryCode],Table1[[#This Row],[CountryCode]],Table1[z-score])</f>
        <v>-0.21176470411950787</v>
      </c>
      <c r="L4485" t="e">
        <f>VLOOKUP(Table1[[#This Row],[CountryCode]],[1]!Table1[#Data],4,FALSE)</f>
        <v>#REF!</v>
      </c>
    </row>
    <row r="4486" spans="1:12" hidden="1" x14ac:dyDescent="0.3">
      <c r="A4486" t="s">
        <v>119</v>
      </c>
      <c r="B4486" t="s">
        <v>120</v>
      </c>
      <c r="C4486" t="s">
        <v>125</v>
      </c>
      <c r="D4486" t="s">
        <v>126</v>
      </c>
      <c r="E4486">
        <v>1997</v>
      </c>
      <c r="F4486" s="1">
        <v>8</v>
      </c>
      <c r="G4486">
        <v>2000</v>
      </c>
      <c r="H4486">
        <f>AVERAGEIFS(Table1[value],Table1[IndicatorCode],Table1[[#This Row],[IndicatorCode]])</f>
        <v>7.6894248608534319</v>
      </c>
      <c r="I4486" cm="1">
        <f t="array" ref="I4486">_xlfn.STDEV.P(IF(Table1[IndicatorCode]=Table1[[#This Row],[IndicatorCode]],Table1[value]))</f>
        <v>5.2319501044600996</v>
      </c>
      <c r="J4486">
        <f>(Table1[[#This Row],[value]] - Table1[[#This Row],[mean]]) / Table1[[#This Row],[std_dev]]</f>
        <v>5.9361257838030791E-2</v>
      </c>
      <c r="K4486">
        <f>AVERAGEIF(Table1[CountryCode],Table1[[#This Row],[CountryCode]],Table1[z-score])</f>
        <v>-0.21176470411950787</v>
      </c>
      <c r="L4486" t="e">
        <f>VLOOKUP(Table1[[#This Row],[CountryCode]],[1]!Table1[#Data],4,FALSE)</f>
        <v>#REF!</v>
      </c>
    </row>
    <row r="4487" spans="1:12" hidden="1" x14ac:dyDescent="0.3">
      <c r="A4487" t="s">
        <v>119</v>
      </c>
      <c r="B4487" t="s">
        <v>120</v>
      </c>
      <c r="C4487" t="s">
        <v>125</v>
      </c>
      <c r="D4487" t="s">
        <v>126</v>
      </c>
      <c r="E4487">
        <v>1998</v>
      </c>
      <c r="F4487" s="1">
        <v>7</v>
      </c>
      <c r="G4487">
        <v>2000</v>
      </c>
      <c r="H4487">
        <f>AVERAGEIFS(Table1[value],Table1[IndicatorCode],Table1[[#This Row],[IndicatorCode]])</f>
        <v>7.6894248608534319</v>
      </c>
      <c r="I4487" cm="1">
        <f t="array" ref="I4487">_xlfn.STDEV.P(IF(Table1[IndicatorCode]=Table1[[#This Row],[IndicatorCode]],Table1[value]))</f>
        <v>5.2319501044600996</v>
      </c>
      <c r="J4487">
        <f>(Table1[[#This Row],[value]] - Table1[[#This Row],[mean]]) / Table1[[#This Row],[std_dev]]</f>
        <v>-0.13177206339672762</v>
      </c>
      <c r="K4487">
        <f>AVERAGEIF(Table1[CountryCode],Table1[[#This Row],[CountryCode]],Table1[z-score])</f>
        <v>-0.21176470411950787</v>
      </c>
      <c r="L4487" t="e">
        <f>VLOOKUP(Table1[[#This Row],[CountryCode]],[1]!Table1[#Data],4,FALSE)</f>
        <v>#REF!</v>
      </c>
    </row>
    <row r="4488" spans="1:12" hidden="1" x14ac:dyDescent="0.3">
      <c r="A4488" t="s">
        <v>119</v>
      </c>
      <c r="B4488" t="s">
        <v>120</v>
      </c>
      <c r="C4488" t="s">
        <v>125</v>
      </c>
      <c r="D4488" t="s">
        <v>126</v>
      </c>
      <c r="E4488">
        <v>1999</v>
      </c>
      <c r="F4488" s="1">
        <v>7</v>
      </c>
      <c r="G4488">
        <v>2000</v>
      </c>
      <c r="H4488">
        <f>AVERAGEIFS(Table1[value],Table1[IndicatorCode],Table1[[#This Row],[IndicatorCode]])</f>
        <v>7.6894248608534319</v>
      </c>
      <c r="I4488" cm="1">
        <f t="array" ref="I4488">_xlfn.STDEV.P(IF(Table1[IndicatorCode]=Table1[[#This Row],[IndicatorCode]],Table1[value]))</f>
        <v>5.2319501044600996</v>
      </c>
      <c r="J4488">
        <f>(Table1[[#This Row],[value]] - Table1[[#This Row],[mean]]) / Table1[[#This Row],[std_dev]]</f>
        <v>-0.13177206339672762</v>
      </c>
      <c r="K4488">
        <f>AVERAGEIF(Table1[CountryCode],Table1[[#This Row],[CountryCode]],Table1[z-score])</f>
        <v>-0.21176470411950787</v>
      </c>
      <c r="L4488" t="e">
        <f>VLOOKUP(Table1[[#This Row],[CountryCode]],[1]!Table1[#Data],4,FALSE)</f>
        <v>#REF!</v>
      </c>
    </row>
    <row r="4489" spans="1:12" hidden="1" x14ac:dyDescent="0.3">
      <c r="A4489" t="s">
        <v>119</v>
      </c>
      <c r="B4489" t="s">
        <v>120</v>
      </c>
      <c r="C4489" t="s">
        <v>125</v>
      </c>
      <c r="D4489" t="s">
        <v>126</v>
      </c>
      <c r="E4489">
        <v>2000</v>
      </c>
      <c r="F4489" s="1">
        <v>7</v>
      </c>
      <c r="G4489">
        <v>2000</v>
      </c>
      <c r="H4489">
        <f>AVERAGEIFS(Table1[value],Table1[IndicatorCode],Table1[[#This Row],[IndicatorCode]])</f>
        <v>7.6894248608534319</v>
      </c>
      <c r="I4489" cm="1">
        <f t="array" ref="I4489">_xlfn.STDEV.P(IF(Table1[IndicatorCode]=Table1[[#This Row],[IndicatorCode]],Table1[value]))</f>
        <v>5.2319501044600996</v>
      </c>
      <c r="J4489">
        <f>(Table1[[#This Row],[value]] - Table1[[#This Row],[mean]]) / Table1[[#This Row],[std_dev]]</f>
        <v>-0.13177206339672762</v>
      </c>
      <c r="K4489">
        <f>AVERAGEIF(Table1[CountryCode],Table1[[#This Row],[CountryCode]],Table1[z-score])</f>
        <v>-0.21176470411950787</v>
      </c>
      <c r="L4489" t="e">
        <f>VLOOKUP(Table1[[#This Row],[CountryCode]],[1]!Table1[#Data],4,FALSE)</f>
        <v>#REF!</v>
      </c>
    </row>
    <row r="4490" spans="1:12" hidden="1" x14ac:dyDescent="0.3">
      <c r="A4490" t="s">
        <v>119</v>
      </c>
      <c r="B4490" t="s">
        <v>120</v>
      </c>
      <c r="C4490" t="s">
        <v>125</v>
      </c>
      <c r="D4490" t="s">
        <v>126</v>
      </c>
      <c r="E4490">
        <v>2001</v>
      </c>
      <c r="F4490" s="1">
        <v>7</v>
      </c>
      <c r="G4490">
        <v>2000</v>
      </c>
      <c r="H4490">
        <f>AVERAGEIFS(Table1[value],Table1[IndicatorCode],Table1[[#This Row],[IndicatorCode]])</f>
        <v>7.6894248608534319</v>
      </c>
      <c r="I4490" cm="1">
        <f t="array" ref="I4490">_xlfn.STDEV.P(IF(Table1[IndicatorCode]=Table1[[#This Row],[IndicatorCode]],Table1[value]))</f>
        <v>5.2319501044600996</v>
      </c>
      <c r="J4490">
        <f>(Table1[[#This Row],[value]] - Table1[[#This Row],[mean]]) / Table1[[#This Row],[std_dev]]</f>
        <v>-0.13177206339672762</v>
      </c>
      <c r="K4490">
        <f>AVERAGEIF(Table1[CountryCode],Table1[[#This Row],[CountryCode]],Table1[z-score])</f>
        <v>-0.21176470411950787</v>
      </c>
      <c r="L4490" t="e">
        <f>VLOOKUP(Table1[[#This Row],[CountryCode]],[1]!Table1[#Data],4,FALSE)</f>
        <v>#REF!</v>
      </c>
    </row>
    <row r="4491" spans="1:12" hidden="1" x14ac:dyDescent="0.3">
      <c r="A4491" t="s">
        <v>119</v>
      </c>
      <c r="B4491" t="s">
        <v>120</v>
      </c>
      <c r="C4491" t="s">
        <v>125</v>
      </c>
      <c r="D4491" t="s">
        <v>126</v>
      </c>
      <c r="E4491">
        <v>2002</v>
      </c>
      <c r="F4491" s="1">
        <v>7</v>
      </c>
      <c r="G4491">
        <v>2000</v>
      </c>
      <c r="H4491">
        <f>AVERAGEIFS(Table1[value],Table1[IndicatorCode],Table1[[#This Row],[IndicatorCode]])</f>
        <v>7.6894248608534319</v>
      </c>
      <c r="I4491" cm="1">
        <f t="array" ref="I4491">_xlfn.STDEV.P(IF(Table1[IndicatorCode]=Table1[[#This Row],[IndicatorCode]],Table1[value]))</f>
        <v>5.2319501044600996</v>
      </c>
      <c r="J4491">
        <f>(Table1[[#This Row],[value]] - Table1[[#This Row],[mean]]) / Table1[[#This Row],[std_dev]]</f>
        <v>-0.13177206339672762</v>
      </c>
      <c r="K4491">
        <f>AVERAGEIF(Table1[CountryCode],Table1[[#This Row],[CountryCode]],Table1[z-score])</f>
        <v>-0.21176470411950787</v>
      </c>
      <c r="L4491" t="e">
        <f>VLOOKUP(Table1[[#This Row],[CountryCode]],[1]!Table1[#Data],4,FALSE)</f>
        <v>#REF!</v>
      </c>
    </row>
    <row r="4492" spans="1:12" hidden="1" x14ac:dyDescent="0.3">
      <c r="A4492" t="s">
        <v>119</v>
      </c>
      <c r="B4492" t="s">
        <v>120</v>
      </c>
      <c r="C4492" t="s">
        <v>125</v>
      </c>
      <c r="D4492" t="s">
        <v>126</v>
      </c>
      <c r="E4492">
        <v>2003</v>
      </c>
      <c r="F4492" s="1">
        <v>8</v>
      </c>
      <c r="G4492">
        <v>2000</v>
      </c>
      <c r="H4492">
        <f>AVERAGEIFS(Table1[value],Table1[IndicatorCode],Table1[[#This Row],[IndicatorCode]])</f>
        <v>7.6894248608534319</v>
      </c>
      <c r="I4492" cm="1">
        <f t="array" ref="I4492">_xlfn.STDEV.P(IF(Table1[IndicatorCode]=Table1[[#This Row],[IndicatorCode]],Table1[value]))</f>
        <v>5.2319501044600996</v>
      </c>
      <c r="J4492">
        <f>(Table1[[#This Row],[value]] - Table1[[#This Row],[mean]]) / Table1[[#This Row],[std_dev]]</f>
        <v>5.9361257838030791E-2</v>
      </c>
      <c r="K4492">
        <f>AVERAGEIF(Table1[CountryCode],Table1[[#This Row],[CountryCode]],Table1[z-score])</f>
        <v>-0.21176470411950787</v>
      </c>
      <c r="L4492" t="e">
        <f>VLOOKUP(Table1[[#This Row],[CountryCode]],[1]!Table1[#Data],4,FALSE)</f>
        <v>#REF!</v>
      </c>
    </row>
    <row r="4493" spans="1:12" hidden="1" x14ac:dyDescent="0.3">
      <c r="A4493" t="s">
        <v>119</v>
      </c>
      <c r="B4493" t="s">
        <v>120</v>
      </c>
      <c r="C4493" t="s">
        <v>125</v>
      </c>
      <c r="D4493" t="s">
        <v>126</v>
      </c>
      <c r="E4493">
        <v>2004</v>
      </c>
      <c r="F4493" s="1">
        <v>8</v>
      </c>
      <c r="G4493">
        <v>2000</v>
      </c>
      <c r="H4493">
        <f>AVERAGEIFS(Table1[value],Table1[IndicatorCode],Table1[[#This Row],[IndicatorCode]])</f>
        <v>7.6894248608534319</v>
      </c>
      <c r="I4493" cm="1">
        <f t="array" ref="I4493">_xlfn.STDEV.P(IF(Table1[IndicatorCode]=Table1[[#This Row],[IndicatorCode]],Table1[value]))</f>
        <v>5.2319501044600996</v>
      </c>
      <c r="J4493">
        <f>(Table1[[#This Row],[value]] - Table1[[#This Row],[mean]]) / Table1[[#This Row],[std_dev]]</f>
        <v>5.9361257838030791E-2</v>
      </c>
      <c r="K4493">
        <f>AVERAGEIF(Table1[CountryCode],Table1[[#This Row],[CountryCode]],Table1[z-score])</f>
        <v>-0.21176470411950787</v>
      </c>
      <c r="L4493" t="e">
        <f>VLOOKUP(Table1[[#This Row],[CountryCode]],[1]!Table1[#Data],4,FALSE)</f>
        <v>#REF!</v>
      </c>
    </row>
    <row r="4494" spans="1:12" hidden="1" x14ac:dyDescent="0.3">
      <c r="A4494" t="s">
        <v>119</v>
      </c>
      <c r="B4494" t="s">
        <v>120</v>
      </c>
      <c r="C4494" t="s">
        <v>125</v>
      </c>
      <c r="D4494" t="s">
        <v>126</v>
      </c>
      <c r="E4494">
        <v>2005</v>
      </c>
      <c r="F4494" s="1">
        <v>8</v>
      </c>
      <c r="G4494">
        <v>2000</v>
      </c>
      <c r="H4494">
        <f>AVERAGEIFS(Table1[value],Table1[IndicatorCode],Table1[[#This Row],[IndicatorCode]])</f>
        <v>7.6894248608534319</v>
      </c>
      <c r="I4494" cm="1">
        <f t="array" ref="I4494">_xlfn.STDEV.P(IF(Table1[IndicatorCode]=Table1[[#This Row],[IndicatorCode]],Table1[value]))</f>
        <v>5.2319501044600996</v>
      </c>
      <c r="J4494">
        <f>(Table1[[#This Row],[value]] - Table1[[#This Row],[mean]]) / Table1[[#This Row],[std_dev]]</f>
        <v>5.9361257838030791E-2</v>
      </c>
      <c r="K4494">
        <f>AVERAGEIF(Table1[CountryCode],Table1[[#This Row],[CountryCode]],Table1[z-score])</f>
        <v>-0.21176470411950787</v>
      </c>
      <c r="L4494" t="e">
        <f>VLOOKUP(Table1[[#This Row],[CountryCode]],[1]!Table1[#Data],4,FALSE)</f>
        <v>#REF!</v>
      </c>
    </row>
    <row r="4495" spans="1:12" hidden="1" x14ac:dyDescent="0.3">
      <c r="A4495" t="s">
        <v>119</v>
      </c>
      <c r="B4495" t="s">
        <v>120</v>
      </c>
      <c r="C4495" t="s">
        <v>125</v>
      </c>
      <c r="D4495" t="s">
        <v>126</v>
      </c>
      <c r="E4495">
        <v>2006</v>
      </c>
      <c r="F4495" s="1">
        <v>8</v>
      </c>
      <c r="G4495">
        <v>2000</v>
      </c>
      <c r="H4495">
        <f>AVERAGEIFS(Table1[value],Table1[IndicatorCode],Table1[[#This Row],[IndicatorCode]])</f>
        <v>7.6894248608534319</v>
      </c>
      <c r="I4495" cm="1">
        <f t="array" ref="I4495">_xlfn.STDEV.P(IF(Table1[IndicatorCode]=Table1[[#This Row],[IndicatorCode]],Table1[value]))</f>
        <v>5.2319501044600996</v>
      </c>
      <c r="J4495">
        <f>(Table1[[#This Row],[value]] - Table1[[#This Row],[mean]]) / Table1[[#This Row],[std_dev]]</f>
        <v>5.9361257838030791E-2</v>
      </c>
      <c r="K4495">
        <f>AVERAGEIF(Table1[CountryCode],Table1[[#This Row],[CountryCode]],Table1[z-score])</f>
        <v>-0.21176470411950787</v>
      </c>
      <c r="L4495" t="e">
        <f>VLOOKUP(Table1[[#This Row],[CountryCode]],[1]!Table1[#Data],4,FALSE)</f>
        <v>#REF!</v>
      </c>
    </row>
    <row r="4496" spans="1:12" hidden="1" x14ac:dyDescent="0.3">
      <c r="A4496" t="s">
        <v>119</v>
      </c>
      <c r="B4496" t="s">
        <v>120</v>
      </c>
      <c r="C4496" t="s">
        <v>125</v>
      </c>
      <c r="D4496" t="s">
        <v>126</v>
      </c>
      <c r="E4496">
        <v>2007</v>
      </c>
      <c r="F4496" s="1">
        <v>8</v>
      </c>
      <c r="G4496">
        <v>2010</v>
      </c>
      <c r="H4496">
        <f>AVERAGEIFS(Table1[value],Table1[IndicatorCode],Table1[[#This Row],[IndicatorCode]])</f>
        <v>7.6894248608534319</v>
      </c>
      <c r="I4496" cm="1">
        <f t="array" ref="I4496">_xlfn.STDEV.P(IF(Table1[IndicatorCode]=Table1[[#This Row],[IndicatorCode]],Table1[value]))</f>
        <v>5.2319501044600996</v>
      </c>
      <c r="J4496">
        <f>(Table1[[#This Row],[value]] - Table1[[#This Row],[mean]]) / Table1[[#This Row],[std_dev]]</f>
        <v>5.9361257838030791E-2</v>
      </c>
      <c r="K4496">
        <f>AVERAGEIF(Table1[CountryCode],Table1[[#This Row],[CountryCode]],Table1[z-score])</f>
        <v>-0.21176470411950787</v>
      </c>
      <c r="L4496" t="e">
        <f>VLOOKUP(Table1[[#This Row],[CountryCode]],[1]!Table1[#Data],4,FALSE)</f>
        <v>#REF!</v>
      </c>
    </row>
    <row r="4497" spans="1:12" hidden="1" x14ac:dyDescent="0.3">
      <c r="A4497" t="s">
        <v>119</v>
      </c>
      <c r="B4497" t="s">
        <v>120</v>
      </c>
      <c r="C4497" t="s">
        <v>125</v>
      </c>
      <c r="D4497" t="s">
        <v>126</v>
      </c>
      <c r="E4497">
        <v>2008</v>
      </c>
      <c r="F4497" s="1">
        <v>8</v>
      </c>
      <c r="G4497">
        <v>2010</v>
      </c>
      <c r="H4497">
        <f>AVERAGEIFS(Table1[value],Table1[IndicatorCode],Table1[[#This Row],[IndicatorCode]])</f>
        <v>7.6894248608534319</v>
      </c>
      <c r="I4497" cm="1">
        <f t="array" ref="I4497">_xlfn.STDEV.P(IF(Table1[IndicatorCode]=Table1[[#This Row],[IndicatorCode]],Table1[value]))</f>
        <v>5.2319501044600996</v>
      </c>
      <c r="J4497">
        <f>(Table1[[#This Row],[value]] - Table1[[#This Row],[mean]]) / Table1[[#This Row],[std_dev]]</f>
        <v>5.9361257838030791E-2</v>
      </c>
      <c r="K4497">
        <f>AVERAGEIF(Table1[CountryCode],Table1[[#This Row],[CountryCode]],Table1[z-score])</f>
        <v>-0.21176470411950787</v>
      </c>
      <c r="L4497" t="e">
        <f>VLOOKUP(Table1[[#This Row],[CountryCode]],[1]!Table1[#Data],4,FALSE)</f>
        <v>#REF!</v>
      </c>
    </row>
    <row r="4498" spans="1:12" hidden="1" x14ac:dyDescent="0.3">
      <c r="A4498" t="s">
        <v>119</v>
      </c>
      <c r="B4498" t="s">
        <v>120</v>
      </c>
      <c r="C4498" t="s">
        <v>125</v>
      </c>
      <c r="D4498" t="s">
        <v>126</v>
      </c>
      <c r="E4498">
        <v>2009</v>
      </c>
      <c r="F4498" s="1">
        <v>6</v>
      </c>
      <c r="G4498">
        <v>2010</v>
      </c>
      <c r="H4498">
        <f>AVERAGEIFS(Table1[value],Table1[IndicatorCode],Table1[[#This Row],[IndicatorCode]])</f>
        <v>7.6894248608534319</v>
      </c>
      <c r="I4498" cm="1">
        <f t="array" ref="I4498">_xlfn.STDEV.P(IF(Table1[IndicatorCode]=Table1[[#This Row],[IndicatorCode]],Table1[value]))</f>
        <v>5.2319501044600996</v>
      </c>
      <c r="J4498">
        <f>(Table1[[#This Row],[value]] - Table1[[#This Row],[mean]]) / Table1[[#This Row],[std_dev]]</f>
        <v>-0.32290538463148605</v>
      </c>
      <c r="K4498">
        <f>AVERAGEIF(Table1[CountryCode],Table1[[#This Row],[CountryCode]],Table1[z-score])</f>
        <v>-0.21176470411950787</v>
      </c>
      <c r="L4498" t="e">
        <f>VLOOKUP(Table1[[#This Row],[CountryCode]],[1]!Table1[#Data],4,FALSE)</f>
        <v>#REF!</v>
      </c>
    </row>
    <row r="4499" spans="1:12" hidden="1" x14ac:dyDescent="0.3">
      <c r="A4499" t="s">
        <v>119</v>
      </c>
      <c r="B4499" t="s">
        <v>120</v>
      </c>
      <c r="C4499" t="s">
        <v>125</v>
      </c>
      <c r="D4499" t="s">
        <v>126</v>
      </c>
      <c r="E4499">
        <v>2010</v>
      </c>
      <c r="F4499" s="1">
        <v>7</v>
      </c>
      <c r="G4499">
        <v>2010</v>
      </c>
      <c r="H4499">
        <f>AVERAGEIFS(Table1[value],Table1[IndicatorCode],Table1[[#This Row],[IndicatorCode]])</f>
        <v>7.6894248608534319</v>
      </c>
      <c r="I4499" cm="1">
        <f t="array" ref="I4499">_xlfn.STDEV.P(IF(Table1[IndicatorCode]=Table1[[#This Row],[IndicatorCode]],Table1[value]))</f>
        <v>5.2319501044600996</v>
      </c>
      <c r="J4499">
        <f>(Table1[[#This Row],[value]] - Table1[[#This Row],[mean]]) / Table1[[#This Row],[std_dev]]</f>
        <v>-0.13177206339672762</v>
      </c>
      <c r="K4499">
        <f>AVERAGEIF(Table1[CountryCode],Table1[[#This Row],[CountryCode]],Table1[z-score])</f>
        <v>-0.21176470411950787</v>
      </c>
      <c r="L4499" t="e">
        <f>VLOOKUP(Table1[[#This Row],[CountryCode]],[1]!Table1[#Data],4,FALSE)</f>
        <v>#REF!</v>
      </c>
    </row>
    <row r="4500" spans="1:12" hidden="1" x14ac:dyDescent="0.3">
      <c r="A4500" t="s">
        <v>119</v>
      </c>
      <c r="B4500" t="s">
        <v>120</v>
      </c>
      <c r="C4500" t="s">
        <v>125</v>
      </c>
      <c r="D4500" t="s">
        <v>126</v>
      </c>
      <c r="E4500">
        <v>2011</v>
      </c>
      <c r="F4500" s="1">
        <v>7</v>
      </c>
      <c r="G4500">
        <v>2010</v>
      </c>
      <c r="H4500">
        <f>AVERAGEIFS(Table1[value],Table1[IndicatorCode],Table1[[#This Row],[IndicatorCode]])</f>
        <v>7.6894248608534319</v>
      </c>
      <c r="I4500" cm="1">
        <f t="array" ref="I4500">_xlfn.STDEV.P(IF(Table1[IndicatorCode]=Table1[[#This Row],[IndicatorCode]],Table1[value]))</f>
        <v>5.2319501044600996</v>
      </c>
      <c r="J4500">
        <f>(Table1[[#This Row],[value]] - Table1[[#This Row],[mean]]) / Table1[[#This Row],[std_dev]]</f>
        <v>-0.13177206339672762</v>
      </c>
      <c r="K4500">
        <f>AVERAGEIF(Table1[CountryCode],Table1[[#This Row],[CountryCode]],Table1[z-score])</f>
        <v>-0.21176470411950787</v>
      </c>
      <c r="L4500" t="e">
        <f>VLOOKUP(Table1[[#This Row],[CountryCode]],[1]!Table1[#Data],4,FALSE)</f>
        <v>#REF!</v>
      </c>
    </row>
    <row r="4501" spans="1:12" hidden="1" x14ac:dyDescent="0.3">
      <c r="A4501" t="s">
        <v>119</v>
      </c>
      <c r="B4501" t="s">
        <v>120</v>
      </c>
      <c r="C4501" t="s">
        <v>125</v>
      </c>
      <c r="D4501" t="s">
        <v>126</v>
      </c>
      <c r="E4501">
        <v>2012</v>
      </c>
      <c r="F4501" s="1">
        <v>7</v>
      </c>
      <c r="G4501">
        <v>2010</v>
      </c>
      <c r="H4501">
        <f>AVERAGEIFS(Table1[value],Table1[IndicatorCode],Table1[[#This Row],[IndicatorCode]])</f>
        <v>7.6894248608534319</v>
      </c>
      <c r="I4501" cm="1">
        <f t="array" ref="I4501">_xlfn.STDEV.P(IF(Table1[IndicatorCode]=Table1[[#This Row],[IndicatorCode]],Table1[value]))</f>
        <v>5.2319501044600996</v>
      </c>
      <c r="J4501">
        <f>(Table1[[#This Row],[value]] - Table1[[#This Row],[mean]]) / Table1[[#This Row],[std_dev]]</f>
        <v>-0.13177206339672762</v>
      </c>
      <c r="K4501">
        <f>AVERAGEIF(Table1[CountryCode],Table1[[#This Row],[CountryCode]],Table1[z-score])</f>
        <v>-0.21176470411950787</v>
      </c>
      <c r="L4501" t="e">
        <f>VLOOKUP(Table1[[#This Row],[CountryCode]],[1]!Table1[#Data],4,FALSE)</f>
        <v>#REF!</v>
      </c>
    </row>
    <row r="4502" spans="1:12" hidden="1" x14ac:dyDescent="0.3">
      <c r="A4502" t="s">
        <v>119</v>
      </c>
      <c r="B4502" t="s">
        <v>120</v>
      </c>
      <c r="C4502" t="s">
        <v>125</v>
      </c>
      <c r="D4502" t="s">
        <v>126</v>
      </c>
      <c r="E4502">
        <v>2013</v>
      </c>
      <c r="F4502" s="1">
        <v>7</v>
      </c>
      <c r="G4502">
        <v>2010</v>
      </c>
      <c r="H4502">
        <f>AVERAGEIFS(Table1[value],Table1[IndicatorCode],Table1[[#This Row],[IndicatorCode]])</f>
        <v>7.6894248608534319</v>
      </c>
      <c r="I4502" cm="1">
        <f t="array" ref="I4502">_xlfn.STDEV.P(IF(Table1[IndicatorCode]=Table1[[#This Row],[IndicatorCode]],Table1[value]))</f>
        <v>5.2319501044600996</v>
      </c>
      <c r="J4502">
        <f>(Table1[[#This Row],[value]] - Table1[[#This Row],[mean]]) / Table1[[#This Row],[std_dev]]</f>
        <v>-0.13177206339672762</v>
      </c>
      <c r="K4502">
        <f>AVERAGEIF(Table1[CountryCode],Table1[[#This Row],[CountryCode]],Table1[z-score])</f>
        <v>-0.21176470411950787</v>
      </c>
      <c r="L4502" t="e">
        <f>VLOOKUP(Table1[[#This Row],[CountryCode]],[1]!Table1[#Data],4,FALSE)</f>
        <v>#REF!</v>
      </c>
    </row>
    <row r="4503" spans="1:12" hidden="1" x14ac:dyDescent="0.3">
      <c r="A4503" t="s">
        <v>119</v>
      </c>
      <c r="B4503" t="s">
        <v>120</v>
      </c>
      <c r="C4503" t="s">
        <v>125</v>
      </c>
      <c r="D4503" t="s">
        <v>126</v>
      </c>
      <c r="E4503">
        <v>2014</v>
      </c>
      <c r="F4503" s="1">
        <v>6</v>
      </c>
      <c r="G4503">
        <v>2010</v>
      </c>
      <c r="H4503">
        <f>AVERAGEIFS(Table1[value],Table1[IndicatorCode],Table1[[#This Row],[IndicatorCode]])</f>
        <v>7.6894248608534319</v>
      </c>
      <c r="I4503" cm="1">
        <f t="array" ref="I4503">_xlfn.STDEV.P(IF(Table1[IndicatorCode]=Table1[[#This Row],[IndicatorCode]],Table1[value]))</f>
        <v>5.2319501044600996</v>
      </c>
      <c r="J4503">
        <f>(Table1[[#This Row],[value]] - Table1[[#This Row],[mean]]) / Table1[[#This Row],[std_dev]]</f>
        <v>-0.32290538463148605</v>
      </c>
      <c r="K4503">
        <f>AVERAGEIF(Table1[CountryCode],Table1[[#This Row],[CountryCode]],Table1[z-score])</f>
        <v>-0.21176470411950787</v>
      </c>
      <c r="L4503" t="e">
        <f>VLOOKUP(Table1[[#This Row],[CountryCode]],[1]!Table1[#Data],4,FALSE)</f>
        <v>#REF!</v>
      </c>
    </row>
    <row r="4504" spans="1:12" hidden="1" x14ac:dyDescent="0.3">
      <c r="A4504" t="s">
        <v>119</v>
      </c>
      <c r="B4504" t="s">
        <v>120</v>
      </c>
      <c r="C4504" t="s">
        <v>125</v>
      </c>
      <c r="D4504" t="s">
        <v>126</v>
      </c>
      <c r="E4504">
        <v>2015</v>
      </c>
      <c r="F4504" s="1">
        <v>5</v>
      </c>
      <c r="G4504">
        <v>2010</v>
      </c>
      <c r="H4504">
        <f>AVERAGEIFS(Table1[value],Table1[IndicatorCode],Table1[[#This Row],[IndicatorCode]])</f>
        <v>7.6894248608534319</v>
      </c>
      <c r="I4504" cm="1">
        <f t="array" ref="I4504">_xlfn.STDEV.P(IF(Table1[IndicatorCode]=Table1[[#This Row],[IndicatorCode]],Table1[value]))</f>
        <v>5.2319501044600996</v>
      </c>
      <c r="J4504">
        <f>(Table1[[#This Row],[value]] - Table1[[#This Row],[mean]]) / Table1[[#This Row],[std_dev]]</f>
        <v>-0.51403870586624445</v>
      </c>
      <c r="K4504">
        <f>AVERAGEIF(Table1[CountryCode],Table1[[#This Row],[CountryCode]],Table1[z-score])</f>
        <v>-0.21176470411950787</v>
      </c>
      <c r="L4504" t="e">
        <f>VLOOKUP(Table1[[#This Row],[CountryCode]],[1]!Table1[#Data],4,FALSE)</f>
        <v>#REF!</v>
      </c>
    </row>
    <row r="4505" spans="1:12" hidden="1" x14ac:dyDescent="0.3">
      <c r="A4505" t="s">
        <v>119</v>
      </c>
      <c r="B4505" t="s">
        <v>120</v>
      </c>
      <c r="C4505" t="s">
        <v>125</v>
      </c>
      <c r="D4505" t="s">
        <v>126</v>
      </c>
      <c r="E4505">
        <v>2016</v>
      </c>
      <c r="F4505" s="1">
        <v>5</v>
      </c>
      <c r="G4505">
        <v>2010</v>
      </c>
      <c r="H4505">
        <f>AVERAGEIFS(Table1[value],Table1[IndicatorCode],Table1[[#This Row],[IndicatorCode]])</f>
        <v>7.6894248608534319</v>
      </c>
      <c r="I4505" cm="1">
        <f t="array" ref="I4505">_xlfn.STDEV.P(IF(Table1[IndicatorCode]=Table1[[#This Row],[IndicatorCode]],Table1[value]))</f>
        <v>5.2319501044600996</v>
      </c>
      <c r="J4505">
        <f>(Table1[[#This Row],[value]] - Table1[[#This Row],[mean]]) / Table1[[#This Row],[std_dev]]</f>
        <v>-0.51403870586624445</v>
      </c>
      <c r="K4505">
        <f>AVERAGEIF(Table1[CountryCode],Table1[[#This Row],[CountryCode]],Table1[z-score])</f>
        <v>-0.21176470411950787</v>
      </c>
      <c r="L4505" t="e">
        <f>VLOOKUP(Table1[[#This Row],[CountryCode]],[1]!Table1[#Data],4,FALSE)</f>
        <v>#REF!</v>
      </c>
    </row>
    <row r="4506" spans="1:12" hidden="1" x14ac:dyDescent="0.3">
      <c r="A4506" t="s">
        <v>119</v>
      </c>
      <c r="B4506" t="s">
        <v>120</v>
      </c>
      <c r="C4506" t="s">
        <v>125</v>
      </c>
      <c r="D4506" t="s">
        <v>126</v>
      </c>
      <c r="E4506">
        <v>2017</v>
      </c>
      <c r="F4506" s="1">
        <v>5</v>
      </c>
      <c r="G4506">
        <v>2020</v>
      </c>
      <c r="H4506">
        <f>AVERAGEIFS(Table1[value],Table1[IndicatorCode],Table1[[#This Row],[IndicatorCode]])</f>
        <v>7.6894248608534319</v>
      </c>
      <c r="I4506" cm="1">
        <f t="array" ref="I4506">_xlfn.STDEV.P(IF(Table1[IndicatorCode]=Table1[[#This Row],[IndicatorCode]],Table1[value]))</f>
        <v>5.2319501044600996</v>
      </c>
      <c r="J4506">
        <f>(Table1[[#This Row],[value]] - Table1[[#This Row],[mean]]) / Table1[[#This Row],[std_dev]]</f>
        <v>-0.51403870586624445</v>
      </c>
      <c r="K4506">
        <f>AVERAGEIF(Table1[CountryCode],Table1[[#This Row],[CountryCode]],Table1[z-score])</f>
        <v>-0.21176470411950787</v>
      </c>
      <c r="L4506" t="e">
        <f>VLOOKUP(Table1[[#This Row],[CountryCode]],[1]!Table1[#Data],4,FALSE)</f>
        <v>#REF!</v>
      </c>
    </row>
    <row r="4507" spans="1:12" hidden="1" x14ac:dyDescent="0.3">
      <c r="A4507" t="s">
        <v>119</v>
      </c>
      <c r="B4507" t="s">
        <v>120</v>
      </c>
      <c r="C4507" t="s">
        <v>125</v>
      </c>
      <c r="D4507" t="s">
        <v>126</v>
      </c>
      <c r="E4507">
        <v>2018</v>
      </c>
      <c r="F4507" s="1">
        <v>5</v>
      </c>
      <c r="G4507">
        <v>2020</v>
      </c>
      <c r="H4507">
        <f>AVERAGEIFS(Table1[value],Table1[IndicatorCode],Table1[[#This Row],[IndicatorCode]])</f>
        <v>7.6894248608534319</v>
      </c>
      <c r="I4507" cm="1">
        <f t="array" ref="I4507">_xlfn.STDEV.P(IF(Table1[IndicatorCode]=Table1[[#This Row],[IndicatorCode]],Table1[value]))</f>
        <v>5.2319501044600996</v>
      </c>
      <c r="J4507">
        <f>(Table1[[#This Row],[value]] - Table1[[#This Row],[mean]]) / Table1[[#This Row],[std_dev]]</f>
        <v>-0.51403870586624445</v>
      </c>
      <c r="K4507">
        <f>AVERAGEIF(Table1[CountryCode],Table1[[#This Row],[CountryCode]],Table1[z-score])</f>
        <v>-0.21176470411950787</v>
      </c>
      <c r="L4507" t="e">
        <f>VLOOKUP(Table1[[#This Row],[CountryCode]],[1]!Table1[#Data],4,FALSE)</f>
        <v>#REF!</v>
      </c>
    </row>
    <row r="4508" spans="1:12" hidden="1" x14ac:dyDescent="0.3">
      <c r="A4508" t="s">
        <v>119</v>
      </c>
      <c r="B4508" t="s">
        <v>120</v>
      </c>
      <c r="C4508" t="s">
        <v>125</v>
      </c>
      <c r="D4508" t="s">
        <v>126</v>
      </c>
      <c r="E4508">
        <v>2019</v>
      </c>
      <c r="F4508" s="1">
        <v>5</v>
      </c>
      <c r="G4508">
        <v>2020</v>
      </c>
      <c r="H4508">
        <f>AVERAGEIFS(Table1[value],Table1[IndicatorCode],Table1[[#This Row],[IndicatorCode]])</f>
        <v>7.6894248608534319</v>
      </c>
      <c r="I4508" cm="1">
        <f t="array" ref="I4508">_xlfn.STDEV.P(IF(Table1[IndicatorCode]=Table1[[#This Row],[IndicatorCode]],Table1[value]))</f>
        <v>5.2319501044600996</v>
      </c>
      <c r="J4508">
        <f>(Table1[[#This Row],[value]] - Table1[[#This Row],[mean]]) / Table1[[#This Row],[std_dev]]</f>
        <v>-0.51403870586624445</v>
      </c>
      <c r="K4508">
        <f>AVERAGEIF(Table1[CountryCode],Table1[[#This Row],[CountryCode]],Table1[z-score])</f>
        <v>-0.21176470411950787</v>
      </c>
      <c r="L4508" t="e">
        <f>VLOOKUP(Table1[[#This Row],[CountryCode]],[1]!Table1[#Data],4,FALSE)</f>
        <v>#REF!</v>
      </c>
    </row>
    <row r="4509" spans="1:12" x14ac:dyDescent="0.3">
      <c r="A4509" t="s">
        <v>119</v>
      </c>
      <c r="B4509" t="s">
        <v>120</v>
      </c>
      <c r="C4509" t="s">
        <v>125</v>
      </c>
      <c r="D4509" t="s">
        <v>126</v>
      </c>
      <c r="E4509">
        <v>2020</v>
      </c>
      <c r="F4509" s="1">
        <v>4</v>
      </c>
      <c r="G4509">
        <v>2020</v>
      </c>
      <c r="H4509">
        <f>AVERAGEIFS(Table1[value],Table1[IndicatorCode],Table1[[#This Row],[IndicatorCode]])</f>
        <v>7.6894248608534319</v>
      </c>
      <c r="I4509" cm="1">
        <f t="array" ref="I4509">_xlfn.STDEV.P(IF(Table1[IndicatorCode]=Table1[[#This Row],[IndicatorCode]],Table1[value]))</f>
        <v>5.2319501044600996</v>
      </c>
      <c r="J4509">
        <f>(Table1[[#This Row],[value]] - Table1[[#This Row],[mean]]) / Table1[[#This Row],[std_dev]]</f>
        <v>-0.7051720271010028</v>
      </c>
      <c r="K4509">
        <f>AVERAGEIF(Table1[CountryCode],Table1[[#This Row],[CountryCode]],Table1[z-score])</f>
        <v>-0.21176470411950787</v>
      </c>
    </row>
    <row r="4510" spans="1:12" hidden="1" x14ac:dyDescent="0.3">
      <c r="A4510" t="s">
        <v>119</v>
      </c>
      <c r="B4510" t="s">
        <v>120</v>
      </c>
      <c r="C4510" t="s">
        <v>125</v>
      </c>
      <c r="D4510" t="s">
        <v>126</v>
      </c>
      <c r="E4510">
        <v>2021</v>
      </c>
      <c r="F4510" s="1">
        <v>4</v>
      </c>
      <c r="G4510">
        <v>2020</v>
      </c>
      <c r="H4510">
        <f>AVERAGEIFS(Table1[value],Table1[IndicatorCode],Table1[[#This Row],[IndicatorCode]])</f>
        <v>7.6894248608534319</v>
      </c>
      <c r="I4510" cm="1">
        <f t="array" ref="I4510">_xlfn.STDEV.P(IF(Table1[IndicatorCode]=Table1[[#This Row],[IndicatorCode]],Table1[value]))</f>
        <v>5.2319501044600996</v>
      </c>
      <c r="J4510">
        <f>(Table1[[#This Row],[value]] - Table1[[#This Row],[mean]]) / Table1[[#This Row],[std_dev]]</f>
        <v>-0.7051720271010028</v>
      </c>
      <c r="K4510">
        <f>AVERAGEIF(Table1[CountryCode],Table1[[#This Row],[CountryCode]],Table1[z-score])</f>
        <v>-0.21176470411950787</v>
      </c>
      <c r="L4510" t="e">
        <f>VLOOKUP(Table1[[#This Row],[CountryCode]],[1]!Table1[#Data],4,FALSE)</f>
        <v>#REF!</v>
      </c>
    </row>
    <row r="4511" spans="1:12" hidden="1" x14ac:dyDescent="0.3">
      <c r="A4511" t="s">
        <v>119</v>
      </c>
      <c r="B4511" t="s">
        <v>120</v>
      </c>
      <c r="C4511" t="s">
        <v>125</v>
      </c>
      <c r="D4511" t="s">
        <v>126</v>
      </c>
      <c r="E4511">
        <v>2022</v>
      </c>
      <c r="F4511" s="1">
        <v>3</v>
      </c>
      <c r="G4511">
        <v>1970</v>
      </c>
      <c r="H4511">
        <f>AVERAGEIFS(Table1[value],Table1[IndicatorCode],Table1[[#This Row],[IndicatorCode]])</f>
        <v>7.6894248608534319</v>
      </c>
      <c r="I4511" cm="1">
        <f t="array" ref="I4511">_xlfn.STDEV.P(IF(Table1[IndicatorCode]=Table1[[#This Row],[IndicatorCode]],Table1[value]))</f>
        <v>5.2319501044600996</v>
      </c>
      <c r="J4511">
        <f>(Table1[[#This Row],[value]] - Table1[[#This Row],[mean]]) / Table1[[#This Row],[std_dev]]</f>
        <v>-0.89630534833576125</v>
      </c>
      <c r="K4511">
        <f>AVERAGEIF(Table1[CountryCode],Table1[[#This Row],[CountryCode]],Table1[z-score])</f>
        <v>-0.21176470411950787</v>
      </c>
      <c r="L4511" t="e">
        <f>VLOOKUP(Table1[[#This Row],[CountryCode]],[1]!Table1[#Data],4,FALSE)</f>
        <v>#REF!</v>
      </c>
    </row>
    <row r="4512" spans="1:12" hidden="1" x14ac:dyDescent="0.3">
      <c r="A4512" t="s">
        <v>119</v>
      </c>
      <c r="B4512" t="s">
        <v>120</v>
      </c>
      <c r="C4512" t="s">
        <v>125</v>
      </c>
      <c r="D4512" t="s">
        <v>126</v>
      </c>
      <c r="E4512">
        <v>2023</v>
      </c>
      <c r="F4512" s="1">
        <v>3</v>
      </c>
      <c r="G4512">
        <v>1970</v>
      </c>
      <c r="H4512">
        <f>AVERAGEIFS(Table1[value],Table1[IndicatorCode],Table1[[#This Row],[IndicatorCode]])</f>
        <v>7.6894248608534319</v>
      </c>
      <c r="I4512" cm="1">
        <f t="array" ref="I4512">_xlfn.STDEV.P(IF(Table1[IndicatorCode]=Table1[[#This Row],[IndicatorCode]],Table1[value]))</f>
        <v>5.2319501044600996</v>
      </c>
      <c r="J4512">
        <f>(Table1[[#This Row],[value]] - Table1[[#This Row],[mean]]) / Table1[[#This Row],[std_dev]]</f>
        <v>-0.89630534833576125</v>
      </c>
      <c r="K4512">
        <f>AVERAGEIF(Table1[CountryCode],Table1[[#This Row],[CountryCode]],Table1[z-score])</f>
        <v>-0.21176470411950787</v>
      </c>
      <c r="L4512" t="e">
        <f>VLOOKUP(Table1[[#This Row],[CountryCode]],[1]!Table1[#Data],4,FALSE)</f>
        <v>#REF!</v>
      </c>
    </row>
    <row r="4513" spans="1:12" hidden="1" x14ac:dyDescent="0.3">
      <c r="A4513" t="s">
        <v>119</v>
      </c>
      <c r="B4513" t="s">
        <v>120</v>
      </c>
      <c r="C4513" t="s">
        <v>125</v>
      </c>
      <c r="D4513" t="s">
        <v>126</v>
      </c>
      <c r="E4513">
        <v>2024</v>
      </c>
      <c r="F4513" s="1">
        <v>3</v>
      </c>
      <c r="G4513">
        <v>1970</v>
      </c>
      <c r="H4513">
        <f>AVERAGEIFS(Table1[value],Table1[IndicatorCode],Table1[[#This Row],[IndicatorCode]])</f>
        <v>7.6894248608534319</v>
      </c>
      <c r="I4513" cm="1">
        <f t="array" ref="I4513">_xlfn.STDEV.P(IF(Table1[IndicatorCode]=Table1[[#This Row],[IndicatorCode]],Table1[value]))</f>
        <v>5.2319501044600996</v>
      </c>
      <c r="J4513">
        <f>(Table1[[#This Row],[value]] - Table1[[#This Row],[mean]]) / Table1[[#This Row],[std_dev]]</f>
        <v>-0.89630534833576125</v>
      </c>
      <c r="K4513">
        <f>AVERAGEIF(Table1[CountryCode],Table1[[#This Row],[CountryCode]],Table1[z-score])</f>
        <v>-0.21176470411950787</v>
      </c>
      <c r="L4513" t="e">
        <f>VLOOKUP(Table1[[#This Row],[CountryCode]],[1]!Table1[#Data],4,FALSE)</f>
        <v>#REF!</v>
      </c>
    </row>
    <row r="4514" spans="1:12" hidden="1" x14ac:dyDescent="0.3">
      <c r="A4514" t="s">
        <v>121</v>
      </c>
      <c r="B4514" t="s">
        <v>122</v>
      </c>
      <c r="C4514" t="s">
        <v>125</v>
      </c>
      <c r="D4514" t="s">
        <v>126</v>
      </c>
      <c r="E4514">
        <v>1970</v>
      </c>
      <c r="F4514" s="1">
        <v>5</v>
      </c>
      <c r="G4514">
        <v>1970</v>
      </c>
      <c r="H4514">
        <f>AVERAGEIFS(Table1[value],Table1[IndicatorCode],Table1[[#This Row],[IndicatorCode]])</f>
        <v>7.6894248608534319</v>
      </c>
      <c r="I4514" cm="1">
        <f t="array" ref="I4514">_xlfn.STDEV.P(IF(Table1[IndicatorCode]=Table1[[#This Row],[IndicatorCode]],Table1[value]))</f>
        <v>5.2319501044600996</v>
      </c>
      <c r="J4514">
        <f>(Table1[[#This Row],[value]] - Table1[[#This Row],[mean]]) / Table1[[#This Row],[std_dev]]</f>
        <v>-0.51403870586624445</v>
      </c>
      <c r="K4514">
        <f>AVERAGEIF(Table1[CountryCode],Table1[[#This Row],[CountryCode]],Table1[z-score])</f>
        <v>-0.73322176935075789</v>
      </c>
      <c r="L4514" t="e">
        <f>VLOOKUP(Table1[[#This Row],[CountryCode]],[1]!Table1[#Data],4,FALSE)</f>
        <v>#REF!</v>
      </c>
    </row>
    <row r="4515" spans="1:12" hidden="1" x14ac:dyDescent="0.3">
      <c r="A4515" t="s">
        <v>121</v>
      </c>
      <c r="B4515" t="s">
        <v>122</v>
      </c>
      <c r="C4515" t="s">
        <v>125</v>
      </c>
      <c r="D4515" t="s">
        <v>126</v>
      </c>
      <c r="E4515">
        <v>1971</v>
      </c>
      <c r="F4515" s="1">
        <v>4</v>
      </c>
      <c r="G4515">
        <v>1970</v>
      </c>
      <c r="H4515">
        <f>AVERAGEIFS(Table1[value],Table1[IndicatorCode],Table1[[#This Row],[IndicatorCode]])</f>
        <v>7.6894248608534319</v>
      </c>
      <c r="I4515" cm="1">
        <f t="array" ref="I4515">_xlfn.STDEV.P(IF(Table1[IndicatorCode]=Table1[[#This Row],[IndicatorCode]],Table1[value]))</f>
        <v>5.2319501044600996</v>
      </c>
      <c r="J4515">
        <f>(Table1[[#This Row],[value]] - Table1[[#This Row],[mean]]) / Table1[[#This Row],[std_dev]]</f>
        <v>-0.7051720271010028</v>
      </c>
      <c r="K4515">
        <f>AVERAGEIF(Table1[CountryCode],Table1[[#This Row],[CountryCode]],Table1[z-score])</f>
        <v>-0.73322176935075789</v>
      </c>
      <c r="L4515" t="e">
        <f>VLOOKUP(Table1[[#This Row],[CountryCode]],[1]!Table1[#Data],4,FALSE)</f>
        <v>#REF!</v>
      </c>
    </row>
    <row r="4516" spans="1:12" hidden="1" x14ac:dyDescent="0.3">
      <c r="A4516" t="s">
        <v>121</v>
      </c>
      <c r="B4516" t="s">
        <v>122</v>
      </c>
      <c r="C4516" t="s">
        <v>125</v>
      </c>
      <c r="D4516" t="s">
        <v>126</v>
      </c>
      <c r="E4516">
        <v>1972</v>
      </c>
      <c r="F4516" s="1">
        <v>5</v>
      </c>
      <c r="G4516">
        <v>1970</v>
      </c>
      <c r="H4516">
        <f>AVERAGEIFS(Table1[value],Table1[IndicatorCode],Table1[[#This Row],[IndicatorCode]])</f>
        <v>7.6894248608534319</v>
      </c>
      <c r="I4516" cm="1">
        <f t="array" ref="I4516">_xlfn.STDEV.P(IF(Table1[IndicatorCode]=Table1[[#This Row],[IndicatorCode]],Table1[value]))</f>
        <v>5.2319501044600996</v>
      </c>
      <c r="J4516">
        <f>(Table1[[#This Row],[value]] - Table1[[#This Row],[mean]]) / Table1[[#This Row],[std_dev]]</f>
        <v>-0.51403870586624445</v>
      </c>
      <c r="K4516">
        <f>AVERAGEIF(Table1[CountryCode],Table1[[#This Row],[CountryCode]],Table1[z-score])</f>
        <v>-0.73322176935075789</v>
      </c>
      <c r="L4516" t="e">
        <f>VLOOKUP(Table1[[#This Row],[CountryCode]],[1]!Table1[#Data],4,FALSE)</f>
        <v>#REF!</v>
      </c>
    </row>
    <row r="4517" spans="1:12" hidden="1" x14ac:dyDescent="0.3">
      <c r="A4517" t="s">
        <v>121</v>
      </c>
      <c r="B4517" t="s">
        <v>122</v>
      </c>
      <c r="C4517" t="s">
        <v>125</v>
      </c>
      <c r="D4517" t="s">
        <v>126</v>
      </c>
      <c r="E4517">
        <v>1973</v>
      </c>
      <c r="F4517" s="1">
        <v>5</v>
      </c>
      <c r="G4517">
        <v>1970</v>
      </c>
      <c r="H4517">
        <f>AVERAGEIFS(Table1[value],Table1[IndicatorCode],Table1[[#This Row],[IndicatorCode]])</f>
        <v>7.6894248608534319</v>
      </c>
      <c r="I4517" cm="1">
        <f t="array" ref="I4517">_xlfn.STDEV.P(IF(Table1[IndicatorCode]=Table1[[#This Row],[IndicatorCode]],Table1[value]))</f>
        <v>5.2319501044600996</v>
      </c>
      <c r="J4517">
        <f>(Table1[[#This Row],[value]] - Table1[[#This Row],[mean]]) / Table1[[#This Row],[std_dev]]</f>
        <v>-0.51403870586624445</v>
      </c>
      <c r="K4517">
        <f>AVERAGEIF(Table1[CountryCode],Table1[[#This Row],[CountryCode]],Table1[z-score])</f>
        <v>-0.73322176935075789</v>
      </c>
      <c r="L4517" t="e">
        <f>VLOOKUP(Table1[[#This Row],[CountryCode]],[1]!Table1[#Data],4,FALSE)</f>
        <v>#REF!</v>
      </c>
    </row>
    <row r="4518" spans="1:12" hidden="1" x14ac:dyDescent="0.3">
      <c r="A4518" t="s">
        <v>121</v>
      </c>
      <c r="B4518" t="s">
        <v>122</v>
      </c>
      <c r="C4518" t="s">
        <v>125</v>
      </c>
      <c r="D4518" t="s">
        <v>126</v>
      </c>
      <c r="E4518">
        <v>1974</v>
      </c>
      <c r="F4518" s="1">
        <v>5</v>
      </c>
      <c r="G4518">
        <v>1970</v>
      </c>
      <c r="H4518">
        <f>AVERAGEIFS(Table1[value],Table1[IndicatorCode],Table1[[#This Row],[IndicatorCode]])</f>
        <v>7.6894248608534319</v>
      </c>
      <c r="I4518" cm="1">
        <f t="array" ref="I4518">_xlfn.STDEV.P(IF(Table1[IndicatorCode]=Table1[[#This Row],[IndicatorCode]],Table1[value]))</f>
        <v>5.2319501044600996</v>
      </c>
      <c r="J4518">
        <f>(Table1[[#This Row],[value]] - Table1[[#This Row],[mean]]) / Table1[[#This Row],[std_dev]]</f>
        <v>-0.51403870586624445</v>
      </c>
      <c r="K4518">
        <f>AVERAGEIF(Table1[CountryCode],Table1[[#This Row],[CountryCode]],Table1[z-score])</f>
        <v>-0.73322176935075789</v>
      </c>
      <c r="L4518" t="e">
        <f>VLOOKUP(Table1[[#This Row],[CountryCode]],[1]!Table1[#Data],4,FALSE)</f>
        <v>#REF!</v>
      </c>
    </row>
    <row r="4519" spans="1:12" hidden="1" x14ac:dyDescent="0.3">
      <c r="A4519" t="s">
        <v>121</v>
      </c>
      <c r="B4519" t="s">
        <v>122</v>
      </c>
      <c r="C4519" t="s">
        <v>125</v>
      </c>
      <c r="D4519" t="s">
        <v>126</v>
      </c>
      <c r="E4519">
        <v>1975</v>
      </c>
      <c r="F4519" s="1">
        <v>5</v>
      </c>
      <c r="G4519">
        <v>1970</v>
      </c>
      <c r="H4519">
        <f>AVERAGEIFS(Table1[value],Table1[IndicatorCode],Table1[[#This Row],[IndicatorCode]])</f>
        <v>7.6894248608534319</v>
      </c>
      <c r="I4519" cm="1">
        <f t="array" ref="I4519">_xlfn.STDEV.P(IF(Table1[IndicatorCode]=Table1[[#This Row],[IndicatorCode]],Table1[value]))</f>
        <v>5.2319501044600996</v>
      </c>
      <c r="J4519">
        <f>(Table1[[#This Row],[value]] - Table1[[#This Row],[mean]]) / Table1[[#This Row],[std_dev]]</f>
        <v>-0.51403870586624445</v>
      </c>
      <c r="K4519">
        <f>AVERAGEIF(Table1[CountryCode],Table1[[#This Row],[CountryCode]],Table1[z-score])</f>
        <v>-0.73322176935075789</v>
      </c>
      <c r="L4519" t="e">
        <f>VLOOKUP(Table1[[#This Row],[CountryCode]],[1]!Table1[#Data],4,FALSE)</f>
        <v>#REF!</v>
      </c>
    </row>
    <row r="4520" spans="1:12" hidden="1" x14ac:dyDescent="0.3">
      <c r="A4520" t="s">
        <v>121</v>
      </c>
      <c r="B4520" t="s">
        <v>122</v>
      </c>
      <c r="C4520" t="s">
        <v>125</v>
      </c>
      <c r="D4520" t="s">
        <v>126</v>
      </c>
      <c r="E4520">
        <v>1976</v>
      </c>
      <c r="F4520" s="1">
        <v>5</v>
      </c>
      <c r="G4520">
        <v>1970</v>
      </c>
      <c r="H4520">
        <f>AVERAGEIFS(Table1[value],Table1[IndicatorCode],Table1[[#This Row],[IndicatorCode]])</f>
        <v>7.6894248608534319</v>
      </c>
      <c r="I4520" cm="1">
        <f t="array" ref="I4520">_xlfn.STDEV.P(IF(Table1[IndicatorCode]=Table1[[#This Row],[IndicatorCode]],Table1[value]))</f>
        <v>5.2319501044600996</v>
      </c>
      <c r="J4520">
        <f>(Table1[[#This Row],[value]] - Table1[[#This Row],[mean]]) / Table1[[#This Row],[std_dev]]</f>
        <v>-0.51403870586624445</v>
      </c>
      <c r="K4520">
        <f>AVERAGEIF(Table1[CountryCode],Table1[[#This Row],[CountryCode]],Table1[z-score])</f>
        <v>-0.73322176935075789</v>
      </c>
      <c r="L4520" t="e">
        <f>VLOOKUP(Table1[[#This Row],[CountryCode]],[1]!Table1[#Data],4,FALSE)</f>
        <v>#REF!</v>
      </c>
    </row>
    <row r="4521" spans="1:12" hidden="1" x14ac:dyDescent="0.3">
      <c r="A4521" t="s">
        <v>121</v>
      </c>
      <c r="B4521" t="s">
        <v>122</v>
      </c>
      <c r="C4521" t="s">
        <v>125</v>
      </c>
      <c r="D4521" t="s">
        <v>126</v>
      </c>
      <c r="E4521">
        <v>1977</v>
      </c>
      <c r="F4521" s="1">
        <v>5</v>
      </c>
      <c r="G4521">
        <v>1980</v>
      </c>
      <c r="H4521">
        <f>AVERAGEIFS(Table1[value],Table1[IndicatorCode],Table1[[#This Row],[IndicatorCode]])</f>
        <v>7.6894248608534319</v>
      </c>
      <c r="I4521" cm="1">
        <f t="array" ref="I4521">_xlfn.STDEV.P(IF(Table1[IndicatorCode]=Table1[[#This Row],[IndicatorCode]],Table1[value]))</f>
        <v>5.2319501044600996</v>
      </c>
      <c r="J4521">
        <f>(Table1[[#This Row],[value]] - Table1[[#This Row],[mean]]) / Table1[[#This Row],[std_dev]]</f>
        <v>-0.51403870586624445</v>
      </c>
      <c r="K4521">
        <f>AVERAGEIF(Table1[CountryCode],Table1[[#This Row],[CountryCode]],Table1[z-score])</f>
        <v>-0.73322176935075789</v>
      </c>
      <c r="L4521" t="e">
        <f>VLOOKUP(Table1[[#This Row],[CountryCode]],[1]!Table1[#Data],4,FALSE)</f>
        <v>#REF!</v>
      </c>
    </row>
    <row r="4522" spans="1:12" hidden="1" x14ac:dyDescent="0.3">
      <c r="A4522" t="s">
        <v>121</v>
      </c>
      <c r="B4522" t="s">
        <v>122</v>
      </c>
      <c r="C4522" t="s">
        <v>125</v>
      </c>
      <c r="D4522" t="s">
        <v>126</v>
      </c>
      <c r="E4522">
        <v>1978</v>
      </c>
      <c r="F4522" s="1">
        <v>5</v>
      </c>
      <c r="G4522">
        <v>1980</v>
      </c>
      <c r="H4522">
        <f>AVERAGEIFS(Table1[value],Table1[IndicatorCode],Table1[[#This Row],[IndicatorCode]])</f>
        <v>7.6894248608534319</v>
      </c>
      <c r="I4522" cm="1">
        <f t="array" ref="I4522">_xlfn.STDEV.P(IF(Table1[IndicatorCode]=Table1[[#This Row],[IndicatorCode]],Table1[value]))</f>
        <v>5.2319501044600996</v>
      </c>
      <c r="J4522">
        <f>(Table1[[#This Row],[value]] - Table1[[#This Row],[mean]]) / Table1[[#This Row],[std_dev]]</f>
        <v>-0.51403870586624445</v>
      </c>
      <c r="K4522">
        <f>AVERAGEIF(Table1[CountryCode],Table1[[#This Row],[CountryCode]],Table1[z-score])</f>
        <v>-0.73322176935075789</v>
      </c>
      <c r="L4522" t="e">
        <f>VLOOKUP(Table1[[#This Row],[CountryCode]],[1]!Table1[#Data],4,FALSE)</f>
        <v>#REF!</v>
      </c>
    </row>
    <row r="4523" spans="1:12" hidden="1" x14ac:dyDescent="0.3">
      <c r="A4523" t="s">
        <v>121</v>
      </c>
      <c r="B4523" t="s">
        <v>122</v>
      </c>
      <c r="C4523" t="s">
        <v>125</v>
      </c>
      <c r="D4523" t="s">
        <v>126</v>
      </c>
      <c r="E4523">
        <v>1979</v>
      </c>
      <c r="F4523" s="1">
        <v>5</v>
      </c>
      <c r="G4523">
        <v>1980</v>
      </c>
      <c r="H4523">
        <f>AVERAGEIFS(Table1[value],Table1[IndicatorCode],Table1[[#This Row],[IndicatorCode]])</f>
        <v>7.6894248608534319</v>
      </c>
      <c r="I4523" cm="1">
        <f t="array" ref="I4523">_xlfn.STDEV.P(IF(Table1[IndicatorCode]=Table1[[#This Row],[IndicatorCode]],Table1[value]))</f>
        <v>5.2319501044600996</v>
      </c>
      <c r="J4523">
        <f>(Table1[[#This Row],[value]] - Table1[[#This Row],[mean]]) / Table1[[#This Row],[std_dev]]</f>
        <v>-0.51403870586624445</v>
      </c>
      <c r="K4523">
        <f>AVERAGEIF(Table1[CountryCode],Table1[[#This Row],[CountryCode]],Table1[z-score])</f>
        <v>-0.73322176935075789</v>
      </c>
      <c r="L4523" t="e">
        <f>VLOOKUP(Table1[[#This Row],[CountryCode]],[1]!Table1[#Data],4,FALSE)</f>
        <v>#REF!</v>
      </c>
    </row>
    <row r="4524" spans="1:12" hidden="1" x14ac:dyDescent="0.3">
      <c r="A4524" t="s">
        <v>121</v>
      </c>
      <c r="B4524" t="s">
        <v>122</v>
      </c>
      <c r="C4524" t="s">
        <v>125</v>
      </c>
      <c r="D4524" t="s">
        <v>126</v>
      </c>
      <c r="E4524">
        <v>1980</v>
      </c>
      <c r="F4524" s="1">
        <v>6</v>
      </c>
      <c r="G4524">
        <v>1980</v>
      </c>
      <c r="H4524">
        <f>AVERAGEIFS(Table1[value],Table1[IndicatorCode],Table1[[#This Row],[IndicatorCode]])</f>
        <v>7.6894248608534319</v>
      </c>
      <c r="I4524" cm="1">
        <f t="array" ref="I4524">_xlfn.STDEV.P(IF(Table1[IndicatorCode]=Table1[[#This Row],[IndicatorCode]],Table1[value]))</f>
        <v>5.2319501044600996</v>
      </c>
      <c r="J4524">
        <f>(Table1[[#This Row],[value]] - Table1[[#This Row],[mean]]) / Table1[[#This Row],[std_dev]]</f>
        <v>-0.32290538463148605</v>
      </c>
      <c r="K4524">
        <f>AVERAGEIF(Table1[CountryCode],Table1[[#This Row],[CountryCode]],Table1[z-score])</f>
        <v>-0.73322176935075789</v>
      </c>
      <c r="L4524" t="e">
        <f>VLOOKUP(Table1[[#This Row],[CountryCode]],[1]!Table1[#Data],4,FALSE)</f>
        <v>#REF!</v>
      </c>
    </row>
    <row r="4525" spans="1:12" hidden="1" x14ac:dyDescent="0.3">
      <c r="A4525" t="s">
        <v>121</v>
      </c>
      <c r="B4525" t="s">
        <v>122</v>
      </c>
      <c r="C4525" t="s">
        <v>125</v>
      </c>
      <c r="D4525" t="s">
        <v>126</v>
      </c>
      <c r="E4525">
        <v>1981</v>
      </c>
      <c r="F4525" s="1">
        <v>6</v>
      </c>
      <c r="G4525">
        <v>1980</v>
      </c>
      <c r="H4525">
        <f>AVERAGEIFS(Table1[value],Table1[IndicatorCode],Table1[[#This Row],[IndicatorCode]])</f>
        <v>7.6894248608534319</v>
      </c>
      <c r="I4525" cm="1">
        <f t="array" ref="I4525">_xlfn.STDEV.P(IF(Table1[IndicatorCode]=Table1[[#This Row],[IndicatorCode]],Table1[value]))</f>
        <v>5.2319501044600996</v>
      </c>
      <c r="J4525">
        <f>(Table1[[#This Row],[value]] - Table1[[#This Row],[mean]]) / Table1[[#This Row],[std_dev]]</f>
        <v>-0.32290538463148605</v>
      </c>
      <c r="K4525">
        <f>AVERAGEIF(Table1[CountryCode],Table1[[#This Row],[CountryCode]],Table1[z-score])</f>
        <v>-0.73322176935075789</v>
      </c>
      <c r="L4525" t="e">
        <f>VLOOKUP(Table1[[#This Row],[CountryCode]],[1]!Table1[#Data],4,FALSE)</f>
        <v>#REF!</v>
      </c>
    </row>
    <row r="4526" spans="1:12" hidden="1" x14ac:dyDescent="0.3">
      <c r="A4526" t="s">
        <v>121</v>
      </c>
      <c r="B4526" t="s">
        <v>122</v>
      </c>
      <c r="C4526" t="s">
        <v>125</v>
      </c>
      <c r="D4526" t="s">
        <v>126</v>
      </c>
      <c r="E4526">
        <v>1982</v>
      </c>
      <c r="F4526" s="1">
        <v>6</v>
      </c>
      <c r="G4526">
        <v>1980</v>
      </c>
      <c r="H4526">
        <f>AVERAGEIFS(Table1[value],Table1[IndicatorCode],Table1[[#This Row],[IndicatorCode]])</f>
        <v>7.6894248608534319</v>
      </c>
      <c r="I4526" cm="1">
        <f t="array" ref="I4526">_xlfn.STDEV.P(IF(Table1[IndicatorCode]=Table1[[#This Row],[IndicatorCode]],Table1[value]))</f>
        <v>5.2319501044600996</v>
      </c>
      <c r="J4526">
        <f>(Table1[[#This Row],[value]] - Table1[[#This Row],[mean]]) / Table1[[#This Row],[std_dev]]</f>
        <v>-0.32290538463148605</v>
      </c>
      <c r="K4526">
        <f>AVERAGEIF(Table1[CountryCode],Table1[[#This Row],[CountryCode]],Table1[z-score])</f>
        <v>-0.73322176935075789</v>
      </c>
      <c r="L4526" t="e">
        <f>VLOOKUP(Table1[[#This Row],[CountryCode]],[1]!Table1[#Data],4,FALSE)</f>
        <v>#REF!</v>
      </c>
    </row>
    <row r="4527" spans="1:12" hidden="1" x14ac:dyDescent="0.3">
      <c r="A4527" t="s">
        <v>121</v>
      </c>
      <c r="B4527" t="s">
        <v>122</v>
      </c>
      <c r="C4527" t="s">
        <v>125</v>
      </c>
      <c r="D4527" t="s">
        <v>126</v>
      </c>
      <c r="E4527">
        <v>1983</v>
      </c>
      <c r="F4527" s="1">
        <v>6</v>
      </c>
      <c r="G4527">
        <v>1980</v>
      </c>
      <c r="H4527">
        <f>AVERAGEIFS(Table1[value],Table1[IndicatorCode],Table1[[#This Row],[IndicatorCode]])</f>
        <v>7.6894248608534319</v>
      </c>
      <c r="I4527" cm="1">
        <f t="array" ref="I4527">_xlfn.STDEV.P(IF(Table1[IndicatorCode]=Table1[[#This Row],[IndicatorCode]],Table1[value]))</f>
        <v>5.2319501044600996</v>
      </c>
      <c r="J4527">
        <f>(Table1[[#This Row],[value]] - Table1[[#This Row],[mean]]) / Table1[[#This Row],[std_dev]]</f>
        <v>-0.32290538463148605</v>
      </c>
      <c r="K4527">
        <f>AVERAGEIF(Table1[CountryCode],Table1[[#This Row],[CountryCode]],Table1[z-score])</f>
        <v>-0.73322176935075789</v>
      </c>
      <c r="L4527" t="e">
        <f>VLOOKUP(Table1[[#This Row],[CountryCode]],[1]!Table1[#Data],4,FALSE)</f>
        <v>#REF!</v>
      </c>
    </row>
    <row r="4528" spans="1:12" hidden="1" x14ac:dyDescent="0.3">
      <c r="A4528" t="s">
        <v>121</v>
      </c>
      <c r="B4528" t="s">
        <v>122</v>
      </c>
      <c r="C4528" t="s">
        <v>125</v>
      </c>
      <c r="D4528" t="s">
        <v>126</v>
      </c>
      <c r="E4528">
        <v>1984</v>
      </c>
      <c r="F4528" s="1">
        <v>6</v>
      </c>
      <c r="G4528">
        <v>1980</v>
      </c>
      <c r="H4528">
        <f>AVERAGEIFS(Table1[value],Table1[IndicatorCode],Table1[[#This Row],[IndicatorCode]])</f>
        <v>7.6894248608534319</v>
      </c>
      <c r="I4528" cm="1">
        <f t="array" ref="I4528">_xlfn.STDEV.P(IF(Table1[IndicatorCode]=Table1[[#This Row],[IndicatorCode]],Table1[value]))</f>
        <v>5.2319501044600996</v>
      </c>
      <c r="J4528">
        <f>(Table1[[#This Row],[value]] - Table1[[#This Row],[mean]]) / Table1[[#This Row],[std_dev]]</f>
        <v>-0.32290538463148605</v>
      </c>
      <c r="K4528">
        <f>AVERAGEIF(Table1[CountryCode],Table1[[#This Row],[CountryCode]],Table1[z-score])</f>
        <v>-0.73322176935075789</v>
      </c>
      <c r="L4528" t="e">
        <f>VLOOKUP(Table1[[#This Row],[CountryCode]],[1]!Table1[#Data],4,FALSE)</f>
        <v>#REF!</v>
      </c>
    </row>
    <row r="4529" spans="1:12" hidden="1" x14ac:dyDescent="0.3">
      <c r="A4529" t="s">
        <v>121</v>
      </c>
      <c r="B4529" t="s">
        <v>122</v>
      </c>
      <c r="C4529" t="s">
        <v>125</v>
      </c>
      <c r="D4529" t="s">
        <v>126</v>
      </c>
      <c r="E4529">
        <v>1985</v>
      </c>
      <c r="F4529" s="1">
        <v>6</v>
      </c>
      <c r="G4529">
        <v>1980</v>
      </c>
      <c r="H4529">
        <f>AVERAGEIFS(Table1[value],Table1[IndicatorCode],Table1[[#This Row],[IndicatorCode]])</f>
        <v>7.6894248608534319</v>
      </c>
      <c r="I4529" cm="1">
        <f t="array" ref="I4529">_xlfn.STDEV.P(IF(Table1[IndicatorCode]=Table1[[#This Row],[IndicatorCode]],Table1[value]))</f>
        <v>5.2319501044600996</v>
      </c>
      <c r="J4529">
        <f>(Table1[[#This Row],[value]] - Table1[[#This Row],[mean]]) / Table1[[#This Row],[std_dev]]</f>
        <v>-0.32290538463148605</v>
      </c>
      <c r="K4529">
        <f>AVERAGEIF(Table1[CountryCode],Table1[[#This Row],[CountryCode]],Table1[z-score])</f>
        <v>-0.73322176935075789</v>
      </c>
      <c r="L4529" t="e">
        <f>VLOOKUP(Table1[[#This Row],[CountryCode]],[1]!Table1[#Data],4,FALSE)</f>
        <v>#REF!</v>
      </c>
    </row>
    <row r="4530" spans="1:12" hidden="1" x14ac:dyDescent="0.3">
      <c r="A4530" t="s">
        <v>121</v>
      </c>
      <c r="B4530" t="s">
        <v>122</v>
      </c>
      <c r="C4530" t="s">
        <v>125</v>
      </c>
      <c r="D4530" t="s">
        <v>126</v>
      </c>
      <c r="E4530">
        <v>1986</v>
      </c>
      <c r="F4530" s="1">
        <v>6</v>
      </c>
      <c r="G4530">
        <v>1980</v>
      </c>
      <c r="H4530">
        <f>AVERAGEIFS(Table1[value],Table1[IndicatorCode],Table1[[#This Row],[IndicatorCode]])</f>
        <v>7.6894248608534319</v>
      </c>
      <c r="I4530" cm="1">
        <f t="array" ref="I4530">_xlfn.STDEV.P(IF(Table1[IndicatorCode]=Table1[[#This Row],[IndicatorCode]],Table1[value]))</f>
        <v>5.2319501044600996</v>
      </c>
      <c r="J4530">
        <f>(Table1[[#This Row],[value]] - Table1[[#This Row],[mean]]) / Table1[[#This Row],[std_dev]]</f>
        <v>-0.32290538463148605</v>
      </c>
      <c r="K4530">
        <f>AVERAGEIF(Table1[CountryCode],Table1[[#This Row],[CountryCode]],Table1[z-score])</f>
        <v>-0.73322176935075789</v>
      </c>
      <c r="L4530" t="e">
        <f>VLOOKUP(Table1[[#This Row],[CountryCode]],[1]!Table1[#Data],4,FALSE)</f>
        <v>#REF!</v>
      </c>
    </row>
    <row r="4531" spans="1:12" hidden="1" x14ac:dyDescent="0.3">
      <c r="A4531" t="s">
        <v>121</v>
      </c>
      <c r="B4531" t="s">
        <v>122</v>
      </c>
      <c r="C4531" t="s">
        <v>125</v>
      </c>
      <c r="D4531" t="s">
        <v>126</v>
      </c>
      <c r="E4531">
        <v>1987</v>
      </c>
      <c r="F4531" s="1">
        <v>6</v>
      </c>
      <c r="G4531">
        <v>1990</v>
      </c>
      <c r="H4531">
        <f>AVERAGEIFS(Table1[value],Table1[IndicatorCode],Table1[[#This Row],[IndicatorCode]])</f>
        <v>7.6894248608534319</v>
      </c>
      <c r="I4531" cm="1">
        <f t="array" ref="I4531">_xlfn.STDEV.P(IF(Table1[IndicatorCode]=Table1[[#This Row],[IndicatorCode]],Table1[value]))</f>
        <v>5.2319501044600996</v>
      </c>
      <c r="J4531">
        <f>(Table1[[#This Row],[value]] - Table1[[#This Row],[mean]]) / Table1[[#This Row],[std_dev]]</f>
        <v>-0.32290538463148605</v>
      </c>
      <c r="K4531">
        <f>AVERAGEIF(Table1[CountryCode],Table1[[#This Row],[CountryCode]],Table1[z-score])</f>
        <v>-0.73322176935075789</v>
      </c>
      <c r="L4531" t="e">
        <f>VLOOKUP(Table1[[#This Row],[CountryCode]],[1]!Table1[#Data],4,FALSE)</f>
        <v>#REF!</v>
      </c>
    </row>
    <row r="4532" spans="1:12" hidden="1" x14ac:dyDescent="0.3">
      <c r="A4532" t="s">
        <v>121</v>
      </c>
      <c r="B4532" t="s">
        <v>122</v>
      </c>
      <c r="C4532" t="s">
        <v>125</v>
      </c>
      <c r="D4532" t="s">
        <v>126</v>
      </c>
      <c r="E4532">
        <v>1988</v>
      </c>
      <c r="F4532" s="1">
        <v>6</v>
      </c>
      <c r="G4532">
        <v>1990</v>
      </c>
      <c r="H4532">
        <f>AVERAGEIFS(Table1[value],Table1[IndicatorCode],Table1[[#This Row],[IndicatorCode]])</f>
        <v>7.6894248608534319</v>
      </c>
      <c r="I4532" cm="1">
        <f t="array" ref="I4532">_xlfn.STDEV.P(IF(Table1[IndicatorCode]=Table1[[#This Row],[IndicatorCode]],Table1[value]))</f>
        <v>5.2319501044600996</v>
      </c>
      <c r="J4532">
        <f>(Table1[[#This Row],[value]] - Table1[[#This Row],[mean]]) / Table1[[#This Row],[std_dev]]</f>
        <v>-0.32290538463148605</v>
      </c>
      <c r="K4532">
        <f>AVERAGEIF(Table1[CountryCode],Table1[[#This Row],[CountryCode]],Table1[z-score])</f>
        <v>-0.73322176935075789</v>
      </c>
      <c r="L4532" t="e">
        <f>VLOOKUP(Table1[[#This Row],[CountryCode]],[1]!Table1[#Data],4,FALSE)</f>
        <v>#REF!</v>
      </c>
    </row>
    <row r="4533" spans="1:12" hidden="1" x14ac:dyDescent="0.3">
      <c r="A4533" t="s">
        <v>121</v>
      </c>
      <c r="B4533" t="s">
        <v>122</v>
      </c>
      <c r="C4533" t="s">
        <v>125</v>
      </c>
      <c r="D4533" t="s">
        <v>126</v>
      </c>
      <c r="E4533">
        <v>1989</v>
      </c>
      <c r="F4533" s="1">
        <v>6</v>
      </c>
      <c r="G4533">
        <v>1990</v>
      </c>
      <c r="H4533">
        <f>AVERAGEIFS(Table1[value],Table1[IndicatorCode],Table1[[#This Row],[IndicatorCode]])</f>
        <v>7.6894248608534319</v>
      </c>
      <c r="I4533" cm="1">
        <f t="array" ref="I4533">_xlfn.STDEV.P(IF(Table1[IndicatorCode]=Table1[[#This Row],[IndicatorCode]],Table1[value]))</f>
        <v>5.2319501044600996</v>
      </c>
      <c r="J4533">
        <f>(Table1[[#This Row],[value]] - Table1[[#This Row],[mean]]) / Table1[[#This Row],[std_dev]]</f>
        <v>-0.32290538463148605</v>
      </c>
      <c r="K4533">
        <f>AVERAGEIF(Table1[CountryCode],Table1[[#This Row],[CountryCode]],Table1[z-score])</f>
        <v>-0.73322176935075789</v>
      </c>
      <c r="L4533" t="e">
        <f>VLOOKUP(Table1[[#This Row],[CountryCode]],[1]!Table1[#Data],4,FALSE)</f>
        <v>#REF!</v>
      </c>
    </row>
    <row r="4534" spans="1:12" hidden="1" x14ac:dyDescent="0.3">
      <c r="A4534" t="s">
        <v>121</v>
      </c>
      <c r="B4534" t="s">
        <v>122</v>
      </c>
      <c r="C4534" t="s">
        <v>125</v>
      </c>
      <c r="D4534" t="s">
        <v>126</v>
      </c>
      <c r="E4534">
        <v>1990</v>
      </c>
      <c r="F4534" s="1">
        <v>6</v>
      </c>
      <c r="G4534">
        <v>1990</v>
      </c>
      <c r="H4534">
        <f>AVERAGEIFS(Table1[value],Table1[IndicatorCode],Table1[[#This Row],[IndicatorCode]])</f>
        <v>7.6894248608534319</v>
      </c>
      <c r="I4534" cm="1">
        <f t="array" ref="I4534">_xlfn.STDEV.P(IF(Table1[IndicatorCode]=Table1[[#This Row],[IndicatorCode]],Table1[value]))</f>
        <v>5.2319501044600996</v>
      </c>
      <c r="J4534">
        <f>(Table1[[#This Row],[value]] - Table1[[#This Row],[mean]]) / Table1[[#This Row],[std_dev]]</f>
        <v>-0.32290538463148605</v>
      </c>
      <c r="K4534">
        <f>AVERAGEIF(Table1[CountryCode],Table1[[#This Row],[CountryCode]],Table1[z-score])</f>
        <v>-0.73322176935075789</v>
      </c>
      <c r="L4534" t="e">
        <f>VLOOKUP(Table1[[#This Row],[CountryCode]],[1]!Table1[#Data],4,FALSE)</f>
        <v>#REF!</v>
      </c>
    </row>
    <row r="4535" spans="1:12" hidden="1" x14ac:dyDescent="0.3">
      <c r="A4535" t="s">
        <v>121</v>
      </c>
      <c r="B4535" t="s">
        <v>122</v>
      </c>
      <c r="C4535" t="s">
        <v>125</v>
      </c>
      <c r="D4535" t="s">
        <v>126</v>
      </c>
      <c r="E4535">
        <v>1991</v>
      </c>
      <c r="F4535" s="1">
        <v>6</v>
      </c>
      <c r="G4535">
        <v>1990</v>
      </c>
      <c r="H4535">
        <f>AVERAGEIFS(Table1[value],Table1[IndicatorCode],Table1[[#This Row],[IndicatorCode]])</f>
        <v>7.6894248608534319</v>
      </c>
      <c r="I4535" cm="1">
        <f t="array" ref="I4535">_xlfn.STDEV.P(IF(Table1[IndicatorCode]=Table1[[#This Row],[IndicatorCode]],Table1[value]))</f>
        <v>5.2319501044600996</v>
      </c>
      <c r="J4535">
        <f>(Table1[[#This Row],[value]] - Table1[[#This Row],[mean]]) / Table1[[#This Row],[std_dev]]</f>
        <v>-0.32290538463148605</v>
      </c>
      <c r="K4535">
        <f>AVERAGEIF(Table1[CountryCode],Table1[[#This Row],[CountryCode]],Table1[z-score])</f>
        <v>-0.73322176935075789</v>
      </c>
      <c r="L4535" t="e">
        <f>VLOOKUP(Table1[[#This Row],[CountryCode]],[1]!Table1[#Data],4,FALSE)</f>
        <v>#REF!</v>
      </c>
    </row>
    <row r="4536" spans="1:12" hidden="1" x14ac:dyDescent="0.3">
      <c r="A4536" t="s">
        <v>121</v>
      </c>
      <c r="B4536" t="s">
        <v>122</v>
      </c>
      <c r="C4536" t="s">
        <v>125</v>
      </c>
      <c r="D4536" t="s">
        <v>126</v>
      </c>
      <c r="E4536">
        <v>1992</v>
      </c>
      <c r="F4536" s="1">
        <v>6</v>
      </c>
      <c r="G4536">
        <v>1990</v>
      </c>
      <c r="H4536">
        <f>AVERAGEIFS(Table1[value],Table1[IndicatorCode],Table1[[#This Row],[IndicatorCode]])</f>
        <v>7.6894248608534319</v>
      </c>
      <c r="I4536" cm="1">
        <f t="array" ref="I4536">_xlfn.STDEV.P(IF(Table1[IndicatorCode]=Table1[[#This Row],[IndicatorCode]],Table1[value]))</f>
        <v>5.2319501044600996</v>
      </c>
      <c r="J4536">
        <f>(Table1[[#This Row],[value]] - Table1[[#This Row],[mean]]) / Table1[[#This Row],[std_dev]]</f>
        <v>-0.32290538463148605</v>
      </c>
      <c r="K4536">
        <f>AVERAGEIF(Table1[CountryCode],Table1[[#This Row],[CountryCode]],Table1[z-score])</f>
        <v>-0.73322176935075789</v>
      </c>
      <c r="L4536" t="e">
        <f>VLOOKUP(Table1[[#This Row],[CountryCode]],[1]!Table1[#Data],4,FALSE)</f>
        <v>#REF!</v>
      </c>
    </row>
    <row r="4537" spans="1:12" hidden="1" x14ac:dyDescent="0.3">
      <c r="A4537" t="s">
        <v>121</v>
      </c>
      <c r="B4537" t="s">
        <v>122</v>
      </c>
      <c r="C4537" t="s">
        <v>125</v>
      </c>
      <c r="D4537" t="s">
        <v>126</v>
      </c>
      <c r="E4537">
        <v>1993</v>
      </c>
      <c r="F4537" s="1">
        <v>5</v>
      </c>
      <c r="G4537">
        <v>1990</v>
      </c>
      <c r="H4537">
        <f>AVERAGEIFS(Table1[value],Table1[IndicatorCode],Table1[[#This Row],[IndicatorCode]])</f>
        <v>7.6894248608534319</v>
      </c>
      <c r="I4537" cm="1">
        <f t="array" ref="I4537">_xlfn.STDEV.P(IF(Table1[IndicatorCode]=Table1[[#This Row],[IndicatorCode]],Table1[value]))</f>
        <v>5.2319501044600996</v>
      </c>
      <c r="J4537">
        <f>(Table1[[#This Row],[value]] - Table1[[#This Row],[mean]]) / Table1[[#This Row],[std_dev]]</f>
        <v>-0.51403870586624445</v>
      </c>
      <c r="K4537">
        <f>AVERAGEIF(Table1[CountryCode],Table1[[#This Row],[CountryCode]],Table1[z-score])</f>
        <v>-0.73322176935075789</v>
      </c>
      <c r="L4537" t="e">
        <f>VLOOKUP(Table1[[#This Row],[CountryCode]],[1]!Table1[#Data],4,FALSE)</f>
        <v>#REF!</v>
      </c>
    </row>
    <row r="4538" spans="1:12" hidden="1" x14ac:dyDescent="0.3">
      <c r="A4538" t="s">
        <v>121</v>
      </c>
      <c r="B4538" t="s">
        <v>122</v>
      </c>
      <c r="C4538" t="s">
        <v>125</v>
      </c>
      <c r="D4538" t="s">
        <v>126</v>
      </c>
      <c r="E4538">
        <v>1994</v>
      </c>
      <c r="F4538" s="1">
        <v>5</v>
      </c>
      <c r="G4538">
        <v>1990</v>
      </c>
      <c r="H4538">
        <f>AVERAGEIFS(Table1[value],Table1[IndicatorCode],Table1[[#This Row],[IndicatorCode]])</f>
        <v>7.6894248608534319</v>
      </c>
      <c r="I4538" cm="1">
        <f t="array" ref="I4538">_xlfn.STDEV.P(IF(Table1[IndicatorCode]=Table1[[#This Row],[IndicatorCode]],Table1[value]))</f>
        <v>5.2319501044600996</v>
      </c>
      <c r="J4538">
        <f>(Table1[[#This Row],[value]] - Table1[[#This Row],[mean]]) / Table1[[#This Row],[std_dev]]</f>
        <v>-0.51403870586624445</v>
      </c>
      <c r="K4538">
        <f>AVERAGEIF(Table1[CountryCode],Table1[[#This Row],[CountryCode]],Table1[z-score])</f>
        <v>-0.73322176935075789</v>
      </c>
      <c r="L4538" t="e">
        <f>VLOOKUP(Table1[[#This Row],[CountryCode]],[1]!Table1[#Data],4,FALSE)</f>
        <v>#REF!</v>
      </c>
    </row>
    <row r="4539" spans="1:12" hidden="1" x14ac:dyDescent="0.3">
      <c r="A4539" t="s">
        <v>121</v>
      </c>
      <c r="B4539" t="s">
        <v>122</v>
      </c>
      <c r="C4539" t="s">
        <v>125</v>
      </c>
      <c r="D4539" t="s">
        <v>126</v>
      </c>
      <c r="E4539">
        <v>1995</v>
      </c>
      <c r="F4539" s="1">
        <v>5</v>
      </c>
      <c r="G4539">
        <v>1990</v>
      </c>
      <c r="H4539">
        <f>AVERAGEIFS(Table1[value],Table1[IndicatorCode],Table1[[#This Row],[IndicatorCode]])</f>
        <v>7.6894248608534319</v>
      </c>
      <c r="I4539" cm="1">
        <f t="array" ref="I4539">_xlfn.STDEV.P(IF(Table1[IndicatorCode]=Table1[[#This Row],[IndicatorCode]],Table1[value]))</f>
        <v>5.2319501044600996</v>
      </c>
      <c r="J4539">
        <f>(Table1[[#This Row],[value]] - Table1[[#This Row],[mean]]) / Table1[[#This Row],[std_dev]]</f>
        <v>-0.51403870586624445</v>
      </c>
      <c r="K4539">
        <f>AVERAGEIF(Table1[CountryCode],Table1[[#This Row],[CountryCode]],Table1[z-score])</f>
        <v>-0.73322176935075789</v>
      </c>
      <c r="L4539" t="e">
        <f>VLOOKUP(Table1[[#This Row],[CountryCode]],[1]!Table1[#Data],4,FALSE)</f>
        <v>#REF!</v>
      </c>
    </row>
    <row r="4540" spans="1:12" hidden="1" x14ac:dyDescent="0.3">
      <c r="A4540" t="s">
        <v>121</v>
      </c>
      <c r="B4540" t="s">
        <v>122</v>
      </c>
      <c r="C4540" t="s">
        <v>125</v>
      </c>
      <c r="D4540" t="s">
        <v>126</v>
      </c>
      <c r="E4540">
        <v>1996</v>
      </c>
      <c r="F4540" s="1">
        <v>5</v>
      </c>
      <c r="G4540">
        <v>1990</v>
      </c>
      <c r="H4540">
        <f>AVERAGEIFS(Table1[value],Table1[IndicatorCode],Table1[[#This Row],[IndicatorCode]])</f>
        <v>7.6894248608534319</v>
      </c>
      <c r="I4540" cm="1">
        <f t="array" ref="I4540">_xlfn.STDEV.P(IF(Table1[IndicatorCode]=Table1[[#This Row],[IndicatorCode]],Table1[value]))</f>
        <v>5.2319501044600996</v>
      </c>
      <c r="J4540">
        <f>(Table1[[#This Row],[value]] - Table1[[#This Row],[mean]]) / Table1[[#This Row],[std_dev]]</f>
        <v>-0.51403870586624445</v>
      </c>
      <c r="K4540">
        <f>AVERAGEIF(Table1[CountryCode],Table1[[#This Row],[CountryCode]],Table1[z-score])</f>
        <v>-0.73322176935075789</v>
      </c>
      <c r="L4540" t="e">
        <f>VLOOKUP(Table1[[#This Row],[CountryCode]],[1]!Table1[#Data],4,FALSE)</f>
        <v>#REF!</v>
      </c>
    </row>
    <row r="4541" spans="1:12" hidden="1" x14ac:dyDescent="0.3">
      <c r="A4541" t="s">
        <v>121</v>
      </c>
      <c r="B4541" t="s">
        <v>122</v>
      </c>
      <c r="C4541" t="s">
        <v>125</v>
      </c>
      <c r="D4541" t="s">
        <v>126</v>
      </c>
      <c r="E4541">
        <v>1997</v>
      </c>
      <c r="F4541" s="1">
        <v>5</v>
      </c>
      <c r="G4541">
        <v>2000</v>
      </c>
      <c r="H4541">
        <f>AVERAGEIFS(Table1[value],Table1[IndicatorCode],Table1[[#This Row],[IndicatorCode]])</f>
        <v>7.6894248608534319</v>
      </c>
      <c r="I4541" cm="1">
        <f t="array" ref="I4541">_xlfn.STDEV.P(IF(Table1[IndicatorCode]=Table1[[#This Row],[IndicatorCode]],Table1[value]))</f>
        <v>5.2319501044600996</v>
      </c>
      <c r="J4541">
        <f>(Table1[[#This Row],[value]] - Table1[[#This Row],[mean]]) / Table1[[#This Row],[std_dev]]</f>
        <v>-0.51403870586624445</v>
      </c>
      <c r="K4541">
        <f>AVERAGEIF(Table1[CountryCode],Table1[[#This Row],[CountryCode]],Table1[z-score])</f>
        <v>-0.73322176935075789</v>
      </c>
      <c r="L4541" t="e">
        <f>VLOOKUP(Table1[[#This Row],[CountryCode]],[1]!Table1[#Data],4,FALSE)</f>
        <v>#REF!</v>
      </c>
    </row>
    <row r="4542" spans="1:12" hidden="1" x14ac:dyDescent="0.3">
      <c r="A4542" t="s">
        <v>121</v>
      </c>
      <c r="B4542" t="s">
        <v>122</v>
      </c>
      <c r="C4542" t="s">
        <v>125</v>
      </c>
      <c r="D4542" t="s">
        <v>126</v>
      </c>
      <c r="E4542">
        <v>1998</v>
      </c>
      <c r="F4542" s="1">
        <v>5</v>
      </c>
      <c r="G4542">
        <v>2000</v>
      </c>
      <c r="H4542">
        <f>AVERAGEIFS(Table1[value],Table1[IndicatorCode],Table1[[#This Row],[IndicatorCode]])</f>
        <v>7.6894248608534319</v>
      </c>
      <c r="I4542" cm="1">
        <f t="array" ref="I4542">_xlfn.STDEV.P(IF(Table1[IndicatorCode]=Table1[[#This Row],[IndicatorCode]],Table1[value]))</f>
        <v>5.2319501044600996</v>
      </c>
      <c r="J4542">
        <f>(Table1[[#This Row],[value]] - Table1[[#This Row],[mean]]) / Table1[[#This Row],[std_dev]]</f>
        <v>-0.51403870586624445</v>
      </c>
      <c r="K4542">
        <f>AVERAGEIF(Table1[CountryCode],Table1[[#This Row],[CountryCode]],Table1[z-score])</f>
        <v>-0.73322176935075789</v>
      </c>
      <c r="L4542" t="e">
        <f>VLOOKUP(Table1[[#This Row],[CountryCode]],[1]!Table1[#Data],4,FALSE)</f>
        <v>#REF!</v>
      </c>
    </row>
    <row r="4543" spans="1:12" hidden="1" x14ac:dyDescent="0.3">
      <c r="A4543" t="s">
        <v>121</v>
      </c>
      <c r="B4543" t="s">
        <v>122</v>
      </c>
      <c r="C4543" t="s">
        <v>125</v>
      </c>
      <c r="D4543" t="s">
        <v>126</v>
      </c>
      <c r="E4543">
        <v>1999</v>
      </c>
      <c r="F4543" s="1">
        <v>5</v>
      </c>
      <c r="G4543">
        <v>2000</v>
      </c>
      <c r="H4543">
        <f>AVERAGEIFS(Table1[value],Table1[IndicatorCode],Table1[[#This Row],[IndicatorCode]])</f>
        <v>7.6894248608534319</v>
      </c>
      <c r="I4543" cm="1">
        <f t="array" ref="I4543">_xlfn.STDEV.P(IF(Table1[IndicatorCode]=Table1[[#This Row],[IndicatorCode]],Table1[value]))</f>
        <v>5.2319501044600996</v>
      </c>
      <c r="J4543">
        <f>(Table1[[#This Row],[value]] - Table1[[#This Row],[mean]]) / Table1[[#This Row],[std_dev]]</f>
        <v>-0.51403870586624445</v>
      </c>
      <c r="K4543">
        <f>AVERAGEIF(Table1[CountryCode],Table1[[#This Row],[CountryCode]],Table1[z-score])</f>
        <v>-0.73322176935075789</v>
      </c>
      <c r="L4543" t="e">
        <f>VLOOKUP(Table1[[#This Row],[CountryCode]],[1]!Table1[#Data],4,FALSE)</f>
        <v>#REF!</v>
      </c>
    </row>
    <row r="4544" spans="1:12" hidden="1" x14ac:dyDescent="0.3">
      <c r="A4544" t="s">
        <v>121</v>
      </c>
      <c r="B4544" t="s">
        <v>122</v>
      </c>
      <c r="C4544" t="s">
        <v>125</v>
      </c>
      <c r="D4544" t="s">
        <v>126</v>
      </c>
      <c r="E4544">
        <v>2000</v>
      </c>
      <c r="F4544" s="1">
        <v>5</v>
      </c>
      <c r="G4544">
        <v>2000</v>
      </c>
      <c r="H4544">
        <f>AVERAGEIFS(Table1[value],Table1[IndicatorCode],Table1[[#This Row],[IndicatorCode]])</f>
        <v>7.6894248608534319</v>
      </c>
      <c r="I4544" cm="1">
        <f t="array" ref="I4544">_xlfn.STDEV.P(IF(Table1[IndicatorCode]=Table1[[#This Row],[IndicatorCode]],Table1[value]))</f>
        <v>5.2319501044600996</v>
      </c>
      <c r="J4544">
        <f>(Table1[[#This Row],[value]] - Table1[[#This Row],[mean]]) / Table1[[#This Row],[std_dev]]</f>
        <v>-0.51403870586624445</v>
      </c>
      <c r="K4544">
        <f>AVERAGEIF(Table1[CountryCode],Table1[[#This Row],[CountryCode]],Table1[z-score])</f>
        <v>-0.73322176935075789</v>
      </c>
      <c r="L4544" t="e">
        <f>VLOOKUP(Table1[[#This Row],[CountryCode]],[1]!Table1[#Data],4,FALSE)</f>
        <v>#REF!</v>
      </c>
    </row>
    <row r="4545" spans="1:12" hidden="1" x14ac:dyDescent="0.3">
      <c r="A4545" t="s">
        <v>121</v>
      </c>
      <c r="B4545" t="s">
        <v>122</v>
      </c>
      <c r="C4545" t="s">
        <v>125</v>
      </c>
      <c r="D4545" t="s">
        <v>126</v>
      </c>
      <c r="E4545">
        <v>2001</v>
      </c>
      <c r="F4545" s="1">
        <v>5</v>
      </c>
      <c r="G4545">
        <v>2000</v>
      </c>
      <c r="H4545">
        <f>AVERAGEIFS(Table1[value],Table1[IndicatorCode],Table1[[#This Row],[IndicatorCode]])</f>
        <v>7.6894248608534319</v>
      </c>
      <c r="I4545" cm="1">
        <f t="array" ref="I4545">_xlfn.STDEV.P(IF(Table1[IndicatorCode]=Table1[[#This Row],[IndicatorCode]],Table1[value]))</f>
        <v>5.2319501044600996</v>
      </c>
      <c r="J4545">
        <f>(Table1[[#This Row],[value]] - Table1[[#This Row],[mean]]) / Table1[[#This Row],[std_dev]]</f>
        <v>-0.51403870586624445</v>
      </c>
      <c r="K4545">
        <f>AVERAGEIF(Table1[CountryCode],Table1[[#This Row],[CountryCode]],Table1[z-score])</f>
        <v>-0.73322176935075789</v>
      </c>
      <c r="L4545" t="e">
        <f>VLOOKUP(Table1[[#This Row],[CountryCode]],[1]!Table1[#Data],4,FALSE)</f>
        <v>#REF!</v>
      </c>
    </row>
    <row r="4546" spans="1:12" hidden="1" x14ac:dyDescent="0.3">
      <c r="A4546" t="s">
        <v>121</v>
      </c>
      <c r="B4546" t="s">
        <v>122</v>
      </c>
      <c r="C4546" t="s">
        <v>125</v>
      </c>
      <c r="D4546" t="s">
        <v>126</v>
      </c>
      <c r="E4546">
        <v>2002</v>
      </c>
      <c r="F4546" s="1">
        <v>5</v>
      </c>
      <c r="G4546">
        <v>2000</v>
      </c>
      <c r="H4546">
        <f>AVERAGEIFS(Table1[value],Table1[IndicatorCode],Table1[[#This Row],[IndicatorCode]])</f>
        <v>7.6894248608534319</v>
      </c>
      <c r="I4546" cm="1">
        <f t="array" ref="I4546">_xlfn.STDEV.P(IF(Table1[IndicatorCode]=Table1[[#This Row],[IndicatorCode]],Table1[value]))</f>
        <v>5.2319501044600996</v>
      </c>
      <c r="J4546">
        <f>(Table1[[#This Row],[value]] - Table1[[#This Row],[mean]]) / Table1[[#This Row],[std_dev]]</f>
        <v>-0.51403870586624445</v>
      </c>
      <c r="K4546">
        <f>AVERAGEIF(Table1[CountryCode],Table1[[#This Row],[CountryCode]],Table1[z-score])</f>
        <v>-0.73322176935075789</v>
      </c>
      <c r="L4546" t="e">
        <f>VLOOKUP(Table1[[#This Row],[CountryCode]],[1]!Table1[#Data],4,FALSE)</f>
        <v>#REF!</v>
      </c>
    </row>
    <row r="4547" spans="1:12" hidden="1" x14ac:dyDescent="0.3">
      <c r="A4547" t="s">
        <v>121</v>
      </c>
      <c r="B4547" t="s">
        <v>122</v>
      </c>
      <c r="C4547" t="s">
        <v>125</v>
      </c>
      <c r="D4547" t="s">
        <v>126</v>
      </c>
      <c r="E4547">
        <v>2003</v>
      </c>
      <c r="F4547" s="1">
        <v>5</v>
      </c>
      <c r="G4547">
        <v>2000</v>
      </c>
      <c r="H4547">
        <f>AVERAGEIFS(Table1[value],Table1[IndicatorCode],Table1[[#This Row],[IndicatorCode]])</f>
        <v>7.6894248608534319</v>
      </c>
      <c r="I4547" cm="1">
        <f t="array" ref="I4547">_xlfn.STDEV.P(IF(Table1[IndicatorCode]=Table1[[#This Row],[IndicatorCode]],Table1[value]))</f>
        <v>5.2319501044600996</v>
      </c>
      <c r="J4547">
        <f>(Table1[[#This Row],[value]] - Table1[[#This Row],[mean]]) / Table1[[#This Row],[std_dev]]</f>
        <v>-0.51403870586624445</v>
      </c>
      <c r="K4547">
        <f>AVERAGEIF(Table1[CountryCode],Table1[[#This Row],[CountryCode]],Table1[z-score])</f>
        <v>-0.73322176935075789</v>
      </c>
      <c r="L4547" t="e">
        <f>VLOOKUP(Table1[[#This Row],[CountryCode]],[1]!Table1[#Data],4,FALSE)</f>
        <v>#REF!</v>
      </c>
    </row>
    <row r="4548" spans="1:12" hidden="1" x14ac:dyDescent="0.3">
      <c r="A4548" t="s">
        <v>121</v>
      </c>
      <c r="B4548" t="s">
        <v>122</v>
      </c>
      <c r="C4548" t="s">
        <v>125</v>
      </c>
      <c r="D4548" t="s">
        <v>126</v>
      </c>
      <c r="E4548">
        <v>2004</v>
      </c>
      <c r="F4548" s="1">
        <v>5</v>
      </c>
      <c r="G4548">
        <v>2000</v>
      </c>
      <c r="H4548">
        <f>AVERAGEIFS(Table1[value],Table1[IndicatorCode],Table1[[#This Row],[IndicatorCode]])</f>
        <v>7.6894248608534319</v>
      </c>
      <c r="I4548" cm="1">
        <f t="array" ref="I4548">_xlfn.STDEV.P(IF(Table1[IndicatorCode]=Table1[[#This Row],[IndicatorCode]],Table1[value]))</f>
        <v>5.2319501044600996</v>
      </c>
      <c r="J4548">
        <f>(Table1[[#This Row],[value]] - Table1[[#This Row],[mean]]) / Table1[[#This Row],[std_dev]]</f>
        <v>-0.51403870586624445</v>
      </c>
      <c r="K4548">
        <f>AVERAGEIF(Table1[CountryCode],Table1[[#This Row],[CountryCode]],Table1[z-score])</f>
        <v>-0.73322176935075789</v>
      </c>
      <c r="L4548" t="e">
        <f>VLOOKUP(Table1[[#This Row],[CountryCode]],[1]!Table1[#Data],4,FALSE)</f>
        <v>#REF!</v>
      </c>
    </row>
    <row r="4549" spans="1:12" hidden="1" x14ac:dyDescent="0.3">
      <c r="A4549" t="s">
        <v>121</v>
      </c>
      <c r="B4549" t="s">
        <v>122</v>
      </c>
      <c r="C4549" t="s">
        <v>125</v>
      </c>
      <c r="D4549" t="s">
        <v>126</v>
      </c>
      <c r="E4549">
        <v>2005</v>
      </c>
      <c r="F4549" s="1">
        <v>5</v>
      </c>
      <c r="G4549">
        <v>2000</v>
      </c>
      <c r="H4549">
        <f>AVERAGEIFS(Table1[value],Table1[IndicatorCode],Table1[[#This Row],[IndicatorCode]])</f>
        <v>7.6894248608534319</v>
      </c>
      <c r="I4549" cm="1">
        <f t="array" ref="I4549">_xlfn.STDEV.P(IF(Table1[IndicatorCode]=Table1[[#This Row],[IndicatorCode]],Table1[value]))</f>
        <v>5.2319501044600996</v>
      </c>
      <c r="J4549">
        <f>(Table1[[#This Row],[value]] - Table1[[#This Row],[mean]]) / Table1[[#This Row],[std_dev]]</f>
        <v>-0.51403870586624445</v>
      </c>
      <c r="K4549">
        <f>AVERAGEIF(Table1[CountryCode],Table1[[#This Row],[CountryCode]],Table1[z-score])</f>
        <v>-0.73322176935075789</v>
      </c>
      <c r="L4549" t="e">
        <f>VLOOKUP(Table1[[#This Row],[CountryCode]],[1]!Table1[#Data],4,FALSE)</f>
        <v>#REF!</v>
      </c>
    </row>
    <row r="4550" spans="1:12" hidden="1" x14ac:dyDescent="0.3">
      <c r="A4550" t="s">
        <v>121</v>
      </c>
      <c r="B4550" t="s">
        <v>122</v>
      </c>
      <c r="C4550" t="s">
        <v>125</v>
      </c>
      <c r="D4550" t="s">
        <v>126</v>
      </c>
      <c r="E4550">
        <v>2006</v>
      </c>
      <c r="F4550" s="1">
        <v>5</v>
      </c>
      <c r="G4550">
        <v>2000</v>
      </c>
      <c r="H4550">
        <f>AVERAGEIFS(Table1[value],Table1[IndicatorCode],Table1[[#This Row],[IndicatorCode]])</f>
        <v>7.6894248608534319</v>
      </c>
      <c r="I4550" cm="1">
        <f t="array" ref="I4550">_xlfn.STDEV.P(IF(Table1[IndicatorCode]=Table1[[#This Row],[IndicatorCode]],Table1[value]))</f>
        <v>5.2319501044600996</v>
      </c>
      <c r="J4550">
        <f>(Table1[[#This Row],[value]] - Table1[[#This Row],[mean]]) / Table1[[#This Row],[std_dev]]</f>
        <v>-0.51403870586624445</v>
      </c>
      <c r="K4550">
        <f>AVERAGEIF(Table1[CountryCode],Table1[[#This Row],[CountryCode]],Table1[z-score])</f>
        <v>-0.73322176935075789</v>
      </c>
      <c r="L4550" t="e">
        <f>VLOOKUP(Table1[[#This Row],[CountryCode]],[1]!Table1[#Data],4,FALSE)</f>
        <v>#REF!</v>
      </c>
    </row>
    <row r="4551" spans="1:12" hidden="1" x14ac:dyDescent="0.3">
      <c r="A4551" t="s">
        <v>121</v>
      </c>
      <c r="B4551" t="s">
        <v>122</v>
      </c>
      <c r="C4551" t="s">
        <v>125</v>
      </c>
      <c r="D4551" t="s">
        <v>126</v>
      </c>
      <c r="E4551">
        <v>2007</v>
      </c>
      <c r="F4551" s="1">
        <v>5</v>
      </c>
      <c r="G4551">
        <v>2010</v>
      </c>
      <c r="H4551">
        <f>AVERAGEIFS(Table1[value],Table1[IndicatorCode],Table1[[#This Row],[IndicatorCode]])</f>
        <v>7.6894248608534319</v>
      </c>
      <c r="I4551" cm="1">
        <f t="array" ref="I4551">_xlfn.STDEV.P(IF(Table1[IndicatorCode]=Table1[[#This Row],[IndicatorCode]],Table1[value]))</f>
        <v>5.2319501044600996</v>
      </c>
      <c r="J4551">
        <f>(Table1[[#This Row],[value]] - Table1[[#This Row],[mean]]) / Table1[[#This Row],[std_dev]]</f>
        <v>-0.51403870586624445</v>
      </c>
      <c r="K4551">
        <f>AVERAGEIF(Table1[CountryCode],Table1[[#This Row],[CountryCode]],Table1[z-score])</f>
        <v>-0.73322176935075789</v>
      </c>
      <c r="L4551" t="e">
        <f>VLOOKUP(Table1[[#This Row],[CountryCode]],[1]!Table1[#Data],4,FALSE)</f>
        <v>#REF!</v>
      </c>
    </row>
    <row r="4552" spans="1:12" hidden="1" x14ac:dyDescent="0.3">
      <c r="A4552" t="s">
        <v>121</v>
      </c>
      <c r="B4552" t="s">
        <v>122</v>
      </c>
      <c r="C4552" t="s">
        <v>125</v>
      </c>
      <c r="D4552" t="s">
        <v>126</v>
      </c>
      <c r="E4552">
        <v>2008</v>
      </c>
      <c r="F4552" s="1">
        <v>5</v>
      </c>
      <c r="G4552">
        <v>2010</v>
      </c>
      <c r="H4552">
        <f>AVERAGEIFS(Table1[value],Table1[IndicatorCode],Table1[[#This Row],[IndicatorCode]])</f>
        <v>7.6894248608534319</v>
      </c>
      <c r="I4552" cm="1">
        <f t="array" ref="I4552">_xlfn.STDEV.P(IF(Table1[IndicatorCode]=Table1[[#This Row],[IndicatorCode]],Table1[value]))</f>
        <v>5.2319501044600996</v>
      </c>
      <c r="J4552">
        <f>(Table1[[#This Row],[value]] - Table1[[#This Row],[mean]]) / Table1[[#This Row],[std_dev]]</f>
        <v>-0.51403870586624445</v>
      </c>
      <c r="K4552">
        <f>AVERAGEIF(Table1[CountryCode],Table1[[#This Row],[CountryCode]],Table1[z-score])</f>
        <v>-0.73322176935075789</v>
      </c>
      <c r="L4552" t="e">
        <f>VLOOKUP(Table1[[#This Row],[CountryCode]],[1]!Table1[#Data],4,FALSE)</f>
        <v>#REF!</v>
      </c>
    </row>
    <row r="4553" spans="1:12" hidden="1" x14ac:dyDescent="0.3">
      <c r="A4553" t="s">
        <v>121</v>
      </c>
      <c r="B4553" t="s">
        <v>122</v>
      </c>
      <c r="C4553" t="s">
        <v>125</v>
      </c>
      <c r="D4553" t="s">
        <v>126</v>
      </c>
      <c r="E4553">
        <v>2009</v>
      </c>
      <c r="F4553" s="1">
        <v>4</v>
      </c>
      <c r="G4553">
        <v>2010</v>
      </c>
      <c r="H4553">
        <f>AVERAGEIFS(Table1[value],Table1[IndicatorCode],Table1[[#This Row],[IndicatorCode]])</f>
        <v>7.6894248608534319</v>
      </c>
      <c r="I4553" cm="1">
        <f t="array" ref="I4553">_xlfn.STDEV.P(IF(Table1[IndicatorCode]=Table1[[#This Row],[IndicatorCode]],Table1[value]))</f>
        <v>5.2319501044600996</v>
      </c>
      <c r="J4553">
        <f>(Table1[[#This Row],[value]] - Table1[[#This Row],[mean]]) / Table1[[#This Row],[std_dev]]</f>
        <v>-0.7051720271010028</v>
      </c>
      <c r="K4553">
        <f>AVERAGEIF(Table1[CountryCode],Table1[[#This Row],[CountryCode]],Table1[z-score])</f>
        <v>-0.73322176935075789</v>
      </c>
      <c r="L4553" t="e">
        <f>VLOOKUP(Table1[[#This Row],[CountryCode]],[1]!Table1[#Data],4,FALSE)</f>
        <v>#REF!</v>
      </c>
    </row>
    <row r="4554" spans="1:12" hidden="1" x14ac:dyDescent="0.3">
      <c r="A4554" t="s">
        <v>121</v>
      </c>
      <c r="B4554" t="s">
        <v>122</v>
      </c>
      <c r="C4554" t="s">
        <v>125</v>
      </c>
      <c r="D4554" t="s">
        <v>126</v>
      </c>
      <c r="E4554">
        <v>2010</v>
      </c>
      <c r="F4554" s="1">
        <v>5</v>
      </c>
      <c r="G4554">
        <v>2010</v>
      </c>
      <c r="H4554">
        <f>AVERAGEIFS(Table1[value],Table1[IndicatorCode],Table1[[#This Row],[IndicatorCode]])</f>
        <v>7.6894248608534319</v>
      </c>
      <c r="I4554" cm="1">
        <f t="array" ref="I4554">_xlfn.STDEV.P(IF(Table1[IndicatorCode]=Table1[[#This Row],[IndicatorCode]],Table1[value]))</f>
        <v>5.2319501044600996</v>
      </c>
      <c r="J4554">
        <f>(Table1[[#This Row],[value]] - Table1[[#This Row],[mean]]) / Table1[[#This Row],[std_dev]]</f>
        <v>-0.51403870586624445</v>
      </c>
      <c r="K4554">
        <f>AVERAGEIF(Table1[CountryCode],Table1[[#This Row],[CountryCode]],Table1[z-score])</f>
        <v>-0.73322176935075789</v>
      </c>
      <c r="L4554" t="e">
        <f>VLOOKUP(Table1[[#This Row],[CountryCode]],[1]!Table1[#Data],4,FALSE)</f>
        <v>#REF!</v>
      </c>
    </row>
    <row r="4555" spans="1:12" hidden="1" x14ac:dyDescent="0.3">
      <c r="A4555" t="s">
        <v>121</v>
      </c>
      <c r="B4555" t="s">
        <v>122</v>
      </c>
      <c r="C4555" t="s">
        <v>125</v>
      </c>
      <c r="D4555" t="s">
        <v>126</v>
      </c>
      <c r="E4555">
        <v>2011</v>
      </c>
      <c r="F4555" s="1">
        <v>5</v>
      </c>
      <c r="G4555">
        <v>2010</v>
      </c>
      <c r="H4555">
        <f>AVERAGEIFS(Table1[value],Table1[IndicatorCode],Table1[[#This Row],[IndicatorCode]])</f>
        <v>7.6894248608534319</v>
      </c>
      <c r="I4555" cm="1">
        <f t="array" ref="I4555">_xlfn.STDEV.P(IF(Table1[IndicatorCode]=Table1[[#This Row],[IndicatorCode]],Table1[value]))</f>
        <v>5.2319501044600996</v>
      </c>
      <c r="J4555">
        <f>(Table1[[#This Row],[value]] - Table1[[#This Row],[mean]]) / Table1[[#This Row],[std_dev]]</f>
        <v>-0.51403870586624445</v>
      </c>
      <c r="K4555">
        <f>AVERAGEIF(Table1[CountryCode],Table1[[#This Row],[CountryCode]],Table1[z-score])</f>
        <v>-0.73322176935075789</v>
      </c>
      <c r="L4555" t="e">
        <f>VLOOKUP(Table1[[#This Row],[CountryCode]],[1]!Table1[#Data],4,FALSE)</f>
        <v>#REF!</v>
      </c>
    </row>
    <row r="4556" spans="1:12" hidden="1" x14ac:dyDescent="0.3">
      <c r="A4556" t="s">
        <v>121</v>
      </c>
      <c r="B4556" t="s">
        <v>122</v>
      </c>
      <c r="C4556" t="s">
        <v>125</v>
      </c>
      <c r="D4556" t="s">
        <v>126</v>
      </c>
      <c r="E4556">
        <v>2012</v>
      </c>
      <c r="F4556" s="1">
        <v>4</v>
      </c>
      <c r="G4556">
        <v>2010</v>
      </c>
      <c r="H4556">
        <f>AVERAGEIFS(Table1[value],Table1[IndicatorCode],Table1[[#This Row],[IndicatorCode]])</f>
        <v>7.6894248608534319</v>
      </c>
      <c r="I4556" cm="1">
        <f t="array" ref="I4556">_xlfn.STDEV.P(IF(Table1[IndicatorCode]=Table1[[#This Row],[IndicatorCode]],Table1[value]))</f>
        <v>5.2319501044600996</v>
      </c>
      <c r="J4556">
        <f>(Table1[[#This Row],[value]] - Table1[[#This Row],[mean]]) / Table1[[#This Row],[std_dev]]</f>
        <v>-0.7051720271010028</v>
      </c>
      <c r="K4556">
        <f>AVERAGEIF(Table1[CountryCode],Table1[[#This Row],[CountryCode]],Table1[z-score])</f>
        <v>-0.73322176935075789</v>
      </c>
      <c r="L4556" t="e">
        <f>VLOOKUP(Table1[[#This Row],[CountryCode]],[1]!Table1[#Data],4,FALSE)</f>
        <v>#REF!</v>
      </c>
    </row>
    <row r="4557" spans="1:12" hidden="1" x14ac:dyDescent="0.3">
      <c r="A4557" t="s">
        <v>121</v>
      </c>
      <c r="B4557" t="s">
        <v>122</v>
      </c>
      <c r="C4557" t="s">
        <v>125</v>
      </c>
      <c r="D4557" t="s">
        <v>126</v>
      </c>
      <c r="E4557">
        <v>2013</v>
      </c>
      <c r="F4557" s="1">
        <v>4</v>
      </c>
      <c r="G4557">
        <v>2010</v>
      </c>
      <c r="H4557">
        <f>AVERAGEIFS(Table1[value],Table1[IndicatorCode],Table1[[#This Row],[IndicatorCode]])</f>
        <v>7.6894248608534319</v>
      </c>
      <c r="I4557" cm="1">
        <f t="array" ref="I4557">_xlfn.STDEV.P(IF(Table1[IndicatorCode]=Table1[[#This Row],[IndicatorCode]],Table1[value]))</f>
        <v>5.2319501044600996</v>
      </c>
      <c r="J4557">
        <f>(Table1[[#This Row],[value]] - Table1[[#This Row],[mean]]) / Table1[[#This Row],[std_dev]]</f>
        <v>-0.7051720271010028</v>
      </c>
      <c r="K4557">
        <f>AVERAGEIF(Table1[CountryCode],Table1[[#This Row],[CountryCode]],Table1[z-score])</f>
        <v>-0.73322176935075789</v>
      </c>
      <c r="L4557" t="e">
        <f>VLOOKUP(Table1[[#This Row],[CountryCode]],[1]!Table1[#Data],4,FALSE)</f>
        <v>#REF!</v>
      </c>
    </row>
    <row r="4558" spans="1:12" hidden="1" x14ac:dyDescent="0.3">
      <c r="A4558" t="s">
        <v>121</v>
      </c>
      <c r="B4558" t="s">
        <v>122</v>
      </c>
      <c r="C4558" t="s">
        <v>125</v>
      </c>
      <c r="D4558" t="s">
        <v>126</v>
      </c>
      <c r="E4558">
        <v>2014</v>
      </c>
      <c r="F4558" s="1">
        <v>4</v>
      </c>
      <c r="G4558">
        <v>2010</v>
      </c>
      <c r="H4558">
        <f>AVERAGEIFS(Table1[value],Table1[IndicatorCode],Table1[[#This Row],[IndicatorCode]])</f>
        <v>7.6894248608534319</v>
      </c>
      <c r="I4558" cm="1">
        <f t="array" ref="I4558">_xlfn.STDEV.P(IF(Table1[IndicatorCode]=Table1[[#This Row],[IndicatorCode]],Table1[value]))</f>
        <v>5.2319501044600996</v>
      </c>
      <c r="J4558">
        <f>(Table1[[#This Row],[value]] - Table1[[#This Row],[mean]]) / Table1[[#This Row],[std_dev]]</f>
        <v>-0.7051720271010028</v>
      </c>
      <c r="K4558">
        <f>AVERAGEIF(Table1[CountryCode],Table1[[#This Row],[CountryCode]],Table1[z-score])</f>
        <v>-0.73322176935075789</v>
      </c>
      <c r="L4558" t="e">
        <f>VLOOKUP(Table1[[#This Row],[CountryCode]],[1]!Table1[#Data],4,FALSE)</f>
        <v>#REF!</v>
      </c>
    </row>
    <row r="4559" spans="1:12" hidden="1" x14ac:dyDescent="0.3">
      <c r="A4559" t="s">
        <v>121</v>
      </c>
      <c r="B4559" t="s">
        <v>122</v>
      </c>
      <c r="C4559" t="s">
        <v>125</v>
      </c>
      <c r="D4559" t="s">
        <v>126</v>
      </c>
      <c r="E4559">
        <v>2015</v>
      </c>
      <c r="F4559" s="1">
        <v>3</v>
      </c>
      <c r="G4559">
        <v>2010</v>
      </c>
      <c r="H4559">
        <f>AVERAGEIFS(Table1[value],Table1[IndicatorCode],Table1[[#This Row],[IndicatorCode]])</f>
        <v>7.6894248608534319</v>
      </c>
      <c r="I4559" cm="1">
        <f t="array" ref="I4559">_xlfn.STDEV.P(IF(Table1[IndicatorCode]=Table1[[#This Row],[IndicatorCode]],Table1[value]))</f>
        <v>5.2319501044600996</v>
      </c>
      <c r="J4559">
        <f>(Table1[[#This Row],[value]] - Table1[[#This Row],[mean]]) / Table1[[#This Row],[std_dev]]</f>
        <v>-0.89630534833576125</v>
      </c>
      <c r="K4559">
        <f>AVERAGEIF(Table1[CountryCode],Table1[[#This Row],[CountryCode]],Table1[z-score])</f>
        <v>-0.73322176935075789</v>
      </c>
      <c r="L4559" t="e">
        <f>VLOOKUP(Table1[[#This Row],[CountryCode]],[1]!Table1[#Data],4,FALSE)</f>
        <v>#REF!</v>
      </c>
    </row>
    <row r="4560" spans="1:12" hidden="1" x14ac:dyDescent="0.3">
      <c r="A4560" t="s">
        <v>121</v>
      </c>
      <c r="B4560" t="s">
        <v>122</v>
      </c>
      <c r="C4560" t="s">
        <v>125</v>
      </c>
      <c r="D4560" t="s">
        <v>126</v>
      </c>
      <c r="E4560">
        <v>2016</v>
      </c>
      <c r="F4560" s="1">
        <v>4</v>
      </c>
      <c r="G4560">
        <v>2010</v>
      </c>
      <c r="H4560">
        <f>AVERAGEIFS(Table1[value],Table1[IndicatorCode],Table1[[#This Row],[IndicatorCode]])</f>
        <v>7.6894248608534319</v>
      </c>
      <c r="I4560" cm="1">
        <f t="array" ref="I4560">_xlfn.STDEV.P(IF(Table1[IndicatorCode]=Table1[[#This Row],[IndicatorCode]],Table1[value]))</f>
        <v>5.2319501044600996</v>
      </c>
      <c r="J4560">
        <f>(Table1[[#This Row],[value]] - Table1[[#This Row],[mean]]) / Table1[[#This Row],[std_dev]]</f>
        <v>-0.7051720271010028</v>
      </c>
      <c r="K4560">
        <f>AVERAGEIF(Table1[CountryCode],Table1[[#This Row],[CountryCode]],Table1[z-score])</f>
        <v>-0.73322176935075789</v>
      </c>
      <c r="L4560" t="e">
        <f>VLOOKUP(Table1[[#This Row],[CountryCode]],[1]!Table1[#Data],4,FALSE)</f>
        <v>#REF!</v>
      </c>
    </row>
    <row r="4561" spans="1:12" hidden="1" x14ac:dyDescent="0.3">
      <c r="A4561" t="s">
        <v>121</v>
      </c>
      <c r="B4561" t="s">
        <v>122</v>
      </c>
      <c r="C4561" t="s">
        <v>125</v>
      </c>
      <c r="D4561" t="s">
        <v>126</v>
      </c>
      <c r="E4561">
        <v>2017</v>
      </c>
      <c r="F4561" s="1">
        <v>4</v>
      </c>
      <c r="G4561">
        <v>2020</v>
      </c>
      <c r="H4561">
        <f>AVERAGEIFS(Table1[value],Table1[IndicatorCode],Table1[[#This Row],[IndicatorCode]])</f>
        <v>7.6894248608534319</v>
      </c>
      <c r="I4561" cm="1">
        <f t="array" ref="I4561">_xlfn.STDEV.P(IF(Table1[IndicatorCode]=Table1[[#This Row],[IndicatorCode]],Table1[value]))</f>
        <v>5.2319501044600996</v>
      </c>
      <c r="J4561">
        <f>(Table1[[#This Row],[value]] - Table1[[#This Row],[mean]]) / Table1[[#This Row],[std_dev]]</f>
        <v>-0.7051720271010028</v>
      </c>
      <c r="K4561">
        <f>AVERAGEIF(Table1[CountryCode],Table1[[#This Row],[CountryCode]],Table1[z-score])</f>
        <v>-0.73322176935075789</v>
      </c>
      <c r="L4561" t="e">
        <f>VLOOKUP(Table1[[#This Row],[CountryCode]],[1]!Table1[#Data],4,FALSE)</f>
        <v>#REF!</v>
      </c>
    </row>
    <row r="4562" spans="1:12" hidden="1" x14ac:dyDescent="0.3">
      <c r="A4562" t="s">
        <v>121</v>
      </c>
      <c r="B4562" t="s">
        <v>122</v>
      </c>
      <c r="C4562" t="s">
        <v>125</v>
      </c>
      <c r="D4562" t="s">
        <v>126</v>
      </c>
      <c r="E4562">
        <v>2018</v>
      </c>
      <c r="F4562" s="1">
        <v>3</v>
      </c>
      <c r="G4562">
        <v>2020</v>
      </c>
      <c r="H4562">
        <f>AVERAGEIFS(Table1[value],Table1[IndicatorCode],Table1[[#This Row],[IndicatorCode]])</f>
        <v>7.6894248608534319</v>
      </c>
      <c r="I4562" cm="1">
        <f t="array" ref="I4562">_xlfn.STDEV.P(IF(Table1[IndicatorCode]=Table1[[#This Row],[IndicatorCode]],Table1[value]))</f>
        <v>5.2319501044600996</v>
      </c>
      <c r="J4562">
        <f>(Table1[[#This Row],[value]] - Table1[[#This Row],[mean]]) / Table1[[#This Row],[std_dev]]</f>
        <v>-0.89630534833576125</v>
      </c>
      <c r="K4562">
        <f>AVERAGEIF(Table1[CountryCode],Table1[[#This Row],[CountryCode]],Table1[z-score])</f>
        <v>-0.73322176935075789</v>
      </c>
      <c r="L4562" t="e">
        <f>VLOOKUP(Table1[[#This Row],[CountryCode]],[1]!Table1[#Data],4,FALSE)</f>
        <v>#REF!</v>
      </c>
    </row>
    <row r="4563" spans="1:12" hidden="1" x14ac:dyDescent="0.3">
      <c r="A4563" t="s">
        <v>121</v>
      </c>
      <c r="B4563" t="s">
        <v>122</v>
      </c>
      <c r="C4563" t="s">
        <v>125</v>
      </c>
      <c r="D4563" t="s">
        <v>126</v>
      </c>
      <c r="E4563">
        <v>2019</v>
      </c>
      <c r="F4563" s="1">
        <v>3</v>
      </c>
      <c r="G4563">
        <v>2020</v>
      </c>
      <c r="H4563">
        <f>AVERAGEIFS(Table1[value],Table1[IndicatorCode],Table1[[#This Row],[IndicatorCode]])</f>
        <v>7.6894248608534319</v>
      </c>
      <c r="I4563" cm="1">
        <f t="array" ref="I4563">_xlfn.STDEV.P(IF(Table1[IndicatorCode]=Table1[[#This Row],[IndicatorCode]],Table1[value]))</f>
        <v>5.2319501044600996</v>
      </c>
      <c r="J4563">
        <f>(Table1[[#This Row],[value]] - Table1[[#This Row],[mean]]) / Table1[[#This Row],[std_dev]]</f>
        <v>-0.89630534833576125</v>
      </c>
      <c r="K4563">
        <f>AVERAGEIF(Table1[CountryCode],Table1[[#This Row],[CountryCode]],Table1[z-score])</f>
        <v>-0.73322176935075789</v>
      </c>
      <c r="L4563" t="e">
        <f>VLOOKUP(Table1[[#This Row],[CountryCode]],[1]!Table1[#Data],4,FALSE)</f>
        <v>#REF!</v>
      </c>
    </row>
    <row r="4564" spans="1:12" x14ac:dyDescent="0.3">
      <c r="A4564" t="s">
        <v>121</v>
      </c>
      <c r="B4564" t="s">
        <v>122</v>
      </c>
      <c r="C4564" t="s">
        <v>125</v>
      </c>
      <c r="D4564" t="s">
        <v>126</v>
      </c>
      <c r="E4564">
        <v>2020</v>
      </c>
      <c r="F4564" s="1">
        <v>4</v>
      </c>
      <c r="G4564">
        <v>2020</v>
      </c>
      <c r="H4564">
        <f>AVERAGEIFS(Table1[value],Table1[IndicatorCode],Table1[[#This Row],[IndicatorCode]])</f>
        <v>7.6894248608534319</v>
      </c>
      <c r="I4564" cm="1">
        <f t="array" ref="I4564">_xlfn.STDEV.P(IF(Table1[IndicatorCode]=Table1[[#This Row],[IndicatorCode]],Table1[value]))</f>
        <v>5.2319501044600996</v>
      </c>
      <c r="J4564">
        <f>(Table1[[#This Row],[value]] - Table1[[#This Row],[mean]]) / Table1[[#This Row],[std_dev]]</f>
        <v>-0.7051720271010028</v>
      </c>
      <c r="K4564">
        <f>AVERAGEIF(Table1[CountryCode],Table1[[#This Row],[CountryCode]],Table1[z-score])</f>
        <v>-0.73322176935075789</v>
      </c>
    </row>
    <row r="4565" spans="1:12" hidden="1" x14ac:dyDescent="0.3">
      <c r="A4565" t="s">
        <v>121</v>
      </c>
      <c r="B4565" t="s">
        <v>122</v>
      </c>
      <c r="C4565" t="s">
        <v>125</v>
      </c>
      <c r="D4565" t="s">
        <v>126</v>
      </c>
      <c r="E4565">
        <v>2021</v>
      </c>
      <c r="F4565" s="1">
        <v>4</v>
      </c>
      <c r="G4565">
        <v>2020</v>
      </c>
      <c r="H4565">
        <f>AVERAGEIFS(Table1[value],Table1[IndicatorCode],Table1[[#This Row],[IndicatorCode]])</f>
        <v>7.6894248608534319</v>
      </c>
      <c r="I4565" cm="1">
        <f t="array" ref="I4565">_xlfn.STDEV.P(IF(Table1[IndicatorCode]=Table1[[#This Row],[IndicatorCode]],Table1[value]))</f>
        <v>5.2319501044600996</v>
      </c>
      <c r="J4565">
        <f>(Table1[[#This Row],[value]] - Table1[[#This Row],[mean]]) / Table1[[#This Row],[std_dev]]</f>
        <v>-0.7051720271010028</v>
      </c>
      <c r="K4565">
        <f>AVERAGEIF(Table1[CountryCode],Table1[[#This Row],[CountryCode]],Table1[z-score])</f>
        <v>-0.73322176935075789</v>
      </c>
      <c r="L4565" t="e">
        <f>VLOOKUP(Table1[[#This Row],[CountryCode]],[1]!Table1[#Data],4,FALSE)</f>
        <v>#REF!</v>
      </c>
    </row>
    <row r="4566" spans="1:12" hidden="1" x14ac:dyDescent="0.3">
      <c r="A4566" t="s">
        <v>121</v>
      </c>
      <c r="B4566" t="s">
        <v>122</v>
      </c>
      <c r="C4566" t="s">
        <v>125</v>
      </c>
      <c r="D4566" t="s">
        <v>126</v>
      </c>
      <c r="E4566">
        <v>2022</v>
      </c>
      <c r="F4566" s="1">
        <v>4</v>
      </c>
      <c r="G4566">
        <v>1980</v>
      </c>
      <c r="H4566">
        <f>AVERAGEIFS(Table1[value],Table1[IndicatorCode],Table1[[#This Row],[IndicatorCode]])</f>
        <v>7.6894248608534319</v>
      </c>
      <c r="I4566" cm="1">
        <f t="array" ref="I4566">_xlfn.STDEV.P(IF(Table1[IndicatorCode]=Table1[[#This Row],[IndicatorCode]],Table1[value]))</f>
        <v>5.2319501044600996</v>
      </c>
      <c r="J4566">
        <f>(Table1[[#This Row],[value]] - Table1[[#This Row],[mean]]) / Table1[[#This Row],[std_dev]]</f>
        <v>-0.7051720271010028</v>
      </c>
      <c r="K4566">
        <f>AVERAGEIF(Table1[CountryCode],Table1[[#This Row],[CountryCode]],Table1[z-score])</f>
        <v>-0.73322176935075789</v>
      </c>
      <c r="L4566" t="e">
        <f>VLOOKUP(Table1[[#This Row],[CountryCode]],[1]!Table1[#Data],4,FALSE)</f>
        <v>#REF!</v>
      </c>
    </row>
    <row r="4567" spans="1:12" hidden="1" x14ac:dyDescent="0.3">
      <c r="A4567" t="s">
        <v>121</v>
      </c>
      <c r="B4567" t="s">
        <v>122</v>
      </c>
      <c r="C4567" t="s">
        <v>125</v>
      </c>
      <c r="D4567" t="s">
        <v>126</v>
      </c>
      <c r="E4567">
        <v>2023</v>
      </c>
      <c r="F4567" s="1">
        <v>4</v>
      </c>
      <c r="G4567">
        <v>1980</v>
      </c>
      <c r="H4567">
        <f>AVERAGEIFS(Table1[value],Table1[IndicatorCode],Table1[[#This Row],[IndicatorCode]])</f>
        <v>7.6894248608534319</v>
      </c>
      <c r="I4567" cm="1">
        <f t="array" ref="I4567">_xlfn.STDEV.P(IF(Table1[IndicatorCode]=Table1[[#This Row],[IndicatorCode]],Table1[value]))</f>
        <v>5.2319501044600996</v>
      </c>
      <c r="J4567">
        <f>(Table1[[#This Row],[value]] - Table1[[#This Row],[mean]]) / Table1[[#This Row],[std_dev]]</f>
        <v>-0.7051720271010028</v>
      </c>
      <c r="K4567">
        <f>AVERAGEIF(Table1[CountryCode],Table1[[#This Row],[CountryCode]],Table1[z-score])</f>
        <v>-0.73322176935075789</v>
      </c>
      <c r="L4567" t="e">
        <f>VLOOKUP(Table1[[#This Row],[CountryCode]],[1]!Table1[#Data],4,FALSE)</f>
        <v>#REF!</v>
      </c>
    </row>
    <row r="4568" spans="1:12" hidden="1" x14ac:dyDescent="0.3">
      <c r="A4568" t="s">
        <v>121</v>
      </c>
      <c r="B4568" t="s">
        <v>122</v>
      </c>
      <c r="C4568" t="s">
        <v>125</v>
      </c>
      <c r="D4568" t="s">
        <v>126</v>
      </c>
      <c r="E4568">
        <v>2024</v>
      </c>
      <c r="F4568" s="1">
        <v>4</v>
      </c>
      <c r="G4568">
        <v>1980</v>
      </c>
      <c r="H4568">
        <f>AVERAGEIFS(Table1[value],Table1[IndicatorCode],Table1[[#This Row],[IndicatorCode]])</f>
        <v>7.6894248608534319</v>
      </c>
      <c r="I4568" cm="1">
        <f t="array" ref="I4568">_xlfn.STDEV.P(IF(Table1[IndicatorCode]=Table1[[#This Row],[IndicatorCode]],Table1[value]))</f>
        <v>5.2319501044600996</v>
      </c>
      <c r="J4568">
        <f>(Table1[[#This Row],[value]] - Table1[[#This Row],[mean]]) / Table1[[#This Row],[std_dev]]</f>
        <v>-0.7051720271010028</v>
      </c>
      <c r="K4568">
        <f>AVERAGEIF(Table1[CountryCode],Table1[[#This Row],[CountryCode]],Table1[z-score])</f>
        <v>-0.73322176935075789</v>
      </c>
      <c r="L4568" t="e">
        <f>VLOOKUP(Table1[[#This Row],[CountryCode]],[1]!Table1[#Data],4,FALSE)</f>
        <v>#REF!</v>
      </c>
    </row>
    <row r="4569" spans="1:12" hidden="1" x14ac:dyDescent="0.3">
      <c r="A4569" t="s">
        <v>7</v>
      </c>
      <c r="B4569" t="s">
        <v>8</v>
      </c>
      <c r="C4569" t="s">
        <v>127</v>
      </c>
      <c r="D4569" t="s">
        <v>128</v>
      </c>
      <c r="E4569">
        <v>1980</v>
      </c>
      <c r="F4569" s="1">
        <v>1823</v>
      </c>
      <c r="G4569">
        <v>1980</v>
      </c>
      <c r="H4569">
        <f>AVERAGEIFS(Table1[value],Table1[IndicatorCode],Table1[[#This Row],[IndicatorCode]])</f>
        <v>24902.88753799392</v>
      </c>
      <c r="I4569" cm="1">
        <f t="array" ref="I4569">_xlfn.STDEV.P(IF(Table1[IndicatorCode]=Table1[[#This Row],[IndicatorCode]],Table1[value]))</f>
        <v>26324.778297809873</v>
      </c>
      <c r="J4569">
        <f>(Table1[[#This Row],[value]] - Table1[[#This Row],[mean]]) / Table1[[#This Row],[std_dev]]</f>
        <v>-0.87673625497974594</v>
      </c>
      <c r="K4569">
        <f>AVERAGEIF(Table1[CountryCode],Table1[[#This Row],[CountryCode]],Table1[z-score])</f>
        <v>-0.54328248635894838</v>
      </c>
      <c r="L4569" t="e">
        <f>VLOOKUP(Table1[[#This Row],[CountryCode]],[1]!Table1[#All],1,FALSE)</f>
        <v>#REF!</v>
      </c>
    </row>
    <row r="4570" spans="1:12" hidden="1" x14ac:dyDescent="0.3">
      <c r="A4570" t="s">
        <v>7</v>
      </c>
      <c r="B4570" t="s">
        <v>8</v>
      </c>
      <c r="C4570" t="s">
        <v>127</v>
      </c>
      <c r="D4570" t="s">
        <v>128</v>
      </c>
      <c r="E4570">
        <v>1981</v>
      </c>
      <c r="F4570" s="1">
        <v>1890</v>
      </c>
      <c r="G4570">
        <v>1980</v>
      </c>
      <c r="H4570">
        <f>AVERAGEIFS(Table1[value],Table1[IndicatorCode],Table1[[#This Row],[IndicatorCode]])</f>
        <v>24902.88753799392</v>
      </c>
      <c r="I4570" cm="1">
        <f t="array" ref="I4570">_xlfn.STDEV.P(IF(Table1[IndicatorCode]=Table1[[#This Row],[IndicatorCode]],Table1[value]))</f>
        <v>26324.778297809873</v>
      </c>
      <c r="J4570">
        <f>(Table1[[#This Row],[value]] - Table1[[#This Row],[mean]]) / Table1[[#This Row],[std_dev]]</f>
        <v>-0.87419112433355273</v>
      </c>
      <c r="K4570">
        <f>AVERAGEIF(Table1[CountryCode],Table1[[#This Row],[CountryCode]],Table1[z-score])</f>
        <v>-0.54328248635894838</v>
      </c>
      <c r="L4570" t="e">
        <f>VLOOKUP(Table1[[#This Row],[CountryCode]],[1]!Table1[#All],1,FALSE)</f>
        <v>#REF!</v>
      </c>
    </row>
    <row r="4571" spans="1:12" hidden="1" x14ac:dyDescent="0.3">
      <c r="A4571" t="s">
        <v>7</v>
      </c>
      <c r="B4571" t="s">
        <v>8</v>
      </c>
      <c r="C4571" t="s">
        <v>127</v>
      </c>
      <c r="D4571" t="s">
        <v>128</v>
      </c>
      <c r="E4571">
        <v>1982</v>
      </c>
      <c r="F4571" s="1">
        <v>1905</v>
      </c>
      <c r="G4571">
        <v>1980</v>
      </c>
      <c r="H4571">
        <f>AVERAGEIFS(Table1[value],Table1[IndicatorCode],Table1[[#This Row],[IndicatorCode]])</f>
        <v>24902.88753799392</v>
      </c>
      <c r="I4571" cm="1">
        <f t="array" ref="I4571">_xlfn.STDEV.P(IF(Table1[IndicatorCode]=Table1[[#This Row],[IndicatorCode]],Table1[value]))</f>
        <v>26324.778297809873</v>
      </c>
      <c r="J4571">
        <f>(Table1[[#This Row],[value]] - Table1[[#This Row],[mean]]) / Table1[[#This Row],[std_dev]]</f>
        <v>-0.87362131896500195</v>
      </c>
      <c r="K4571">
        <f>AVERAGEIF(Table1[CountryCode],Table1[[#This Row],[CountryCode]],Table1[z-score])</f>
        <v>-0.54328248635894838</v>
      </c>
      <c r="L4571" t="e">
        <f>VLOOKUP(Table1[[#This Row],[CountryCode]],[1]!Table1[#All],1,FALSE)</f>
        <v>#REF!</v>
      </c>
    </row>
    <row r="4572" spans="1:12" hidden="1" x14ac:dyDescent="0.3">
      <c r="A4572" t="s">
        <v>7</v>
      </c>
      <c r="B4572" t="s">
        <v>8</v>
      </c>
      <c r="C4572" t="s">
        <v>127</v>
      </c>
      <c r="D4572" t="s">
        <v>128</v>
      </c>
      <c r="E4572">
        <v>1983</v>
      </c>
      <c r="F4572" s="1">
        <v>1886</v>
      </c>
      <c r="G4572">
        <v>1980</v>
      </c>
      <c r="H4572">
        <f>AVERAGEIFS(Table1[value],Table1[IndicatorCode],Table1[[#This Row],[IndicatorCode]])</f>
        <v>24902.88753799392</v>
      </c>
      <c r="I4572" cm="1">
        <f t="array" ref="I4572">_xlfn.STDEV.P(IF(Table1[IndicatorCode]=Table1[[#This Row],[IndicatorCode]],Table1[value]))</f>
        <v>26324.778297809873</v>
      </c>
      <c r="J4572">
        <f>(Table1[[#This Row],[value]] - Table1[[#This Row],[mean]]) / Table1[[#This Row],[std_dev]]</f>
        <v>-0.87434307243183285</v>
      </c>
      <c r="K4572">
        <f>AVERAGEIF(Table1[CountryCode],Table1[[#This Row],[CountryCode]],Table1[z-score])</f>
        <v>-0.54328248635894838</v>
      </c>
      <c r="L4572" t="e">
        <f>VLOOKUP(Table1[[#This Row],[CountryCode]],[1]!Table1[#All],1,FALSE)</f>
        <v>#REF!</v>
      </c>
    </row>
    <row r="4573" spans="1:12" hidden="1" x14ac:dyDescent="0.3">
      <c r="A4573" t="s">
        <v>7</v>
      </c>
      <c r="B4573" t="s">
        <v>8</v>
      </c>
      <c r="C4573" t="s">
        <v>127</v>
      </c>
      <c r="D4573" t="s">
        <v>128</v>
      </c>
      <c r="E4573">
        <v>1984</v>
      </c>
      <c r="F4573" s="1">
        <v>1823</v>
      </c>
      <c r="G4573">
        <v>1980</v>
      </c>
      <c r="H4573">
        <f>AVERAGEIFS(Table1[value],Table1[IndicatorCode],Table1[[#This Row],[IndicatorCode]])</f>
        <v>24902.88753799392</v>
      </c>
      <c r="I4573" cm="1">
        <f t="array" ref="I4573">_xlfn.STDEV.P(IF(Table1[IndicatorCode]=Table1[[#This Row],[IndicatorCode]],Table1[value]))</f>
        <v>26324.778297809873</v>
      </c>
      <c r="J4573">
        <f>(Table1[[#This Row],[value]] - Table1[[#This Row],[mean]]) / Table1[[#This Row],[std_dev]]</f>
        <v>-0.87673625497974594</v>
      </c>
      <c r="K4573">
        <f>AVERAGEIF(Table1[CountryCode],Table1[[#This Row],[CountryCode]],Table1[z-score])</f>
        <v>-0.54328248635894838</v>
      </c>
      <c r="L4573" t="e">
        <f>VLOOKUP(Table1[[#This Row],[CountryCode]],[1]!Table1[#All],1,FALSE)</f>
        <v>#REF!</v>
      </c>
    </row>
    <row r="4574" spans="1:12" hidden="1" x14ac:dyDescent="0.3">
      <c r="A4574" t="s">
        <v>7</v>
      </c>
      <c r="B4574" t="s">
        <v>8</v>
      </c>
      <c r="C4574" t="s">
        <v>127</v>
      </c>
      <c r="D4574" t="s">
        <v>128</v>
      </c>
      <c r="E4574">
        <v>1985</v>
      </c>
      <c r="F4574" s="1">
        <v>1818</v>
      </c>
      <c r="G4574">
        <v>1980</v>
      </c>
      <c r="H4574">
        <f>AVERAGEIFS(Table1[value],Table1[IndicatorCode],Table1[[#This Row],[IndicatorCode]])</f>
        <v>24902.88753799392</v>
      </c>
      <c r="I4574" cm="1">
        <f t="array" ref="I4574">_xlfn.STDEV.P(IF(Table1[IndicatorCode]=Table1[[#This Row],[IndicatorCode]],Table1[value]))</f>
        <v>26324.778297809873</v>
      </c>
      <c r="J4574">
        <f>(Table1[[#This Row],[value]] - Table1[[#This Row],[mean]]) / Table1[[#This Row],[std_dev]]</f>
        <v>-0.8769261901025962</v>
      </c>
      <c r="K4574">
        <f>AVERAGEIF(Table1[CountryCode],Table1[[#This Row],[CountryCode]],Table1[z-score])</f>
        <v>-0.54328248635894838</v>
      </c>
      <c r="L4574" t="e">
        <f>VLOOKUP(Table1[[#This Row],[CountryCode]],[1]!Table1[#All],1,FALSE)</f>
        <v>#REF!</v>
      </c>
    </row>
    <row r="4575" spans="1:12" hidden="1" x14ac:dyDescent="0.3">
      <c r="A4575" t="s">
        <v>7</v>
      </c>
      <c r="B4575" t="s">
        <v>8</v>
      </c>
      <c r="C4575" t="s">
        <v>127</v>
      </c>
      <c r="D4575" t="s">
        <v>128</v>
      </c>
      <c r="E4575">
        <v>1986</v>
      </c>
      <c r="F4575" s="1">
        <v>1884</v>
      </c>
      <c r="G4575">
        <v>1980</v>
      </c>
      <c r="H4575">
        <f>AVERAGEIFS(Table1[value],Table1[IndicatorCode],Table1[[#This Row],[IndicatorCode]])</f>
        <v>24902.88753799392</v>
      </c>
      <c r="I4575" cm="1">
        <f t="array" ref="I4575">_xlfn.STDEV.P(IF(Table1[IndicatorCode]=Table1[[#This Row],[IndicatorCode]],Table1[value]))</f>
        <v>26324.778297809873</v>
      </c>
      <c r="J4575">
        <f>(Table1[[#This Row],[value]] - Table1[[#This Row],[mean]]) / Table1[[#This Row],[std_dev]]</f>
        <v>-0.87441904648097302</v>
      </c>
      <c r="K4575">
        <f>AVERAGEIF(Table1[CountryCode],Table1[[#This Row],[CountryCode]],Table1[z-score])</f>
        <v>-0.54328248635894838</v>
      </c>
      <c r="L4575" t="e">
        <f>VLOOKUP(Table1[[#This Row],[CountryCode]],[1]!Table1[#All],1,FALSE)</f>
        <v>#REF!</v>
      </c>
    </row>
    <row r="4576" spans="1:12" hidden="1" x14ac:dyDescent="0.3">
      <c r="A4576" t="s">
        <v>7</v>
      </c>
      <c r="B4576" t="s">
        <v>8</v>
      </c>
      <c r="C4576" t="s">
        <v>127</v>
      </c>
      <c r="D4576" t="s">
        <v>128</v>
      </c>
      <c r="E4576">
        <v>1987</v>
      </c>
      <c r="F4576" s="1">
        <v>1832</v>
      </c>
      <c r="G4576">
        <v>1990</v>
      </c>
      <c r="H4576">
        <f>AVERAGEIFS(Table1[value],Table1[IndicatorCode],Table1[[#This Row],[IndicatorCode]])</f>
        <v>24902.88753799392</v>
      </c>
      <c r="I4576" cm="1">
        <f t="array" ref="I4576">_xlfn.STDEV.P(IF(Table1[IndicatorCode]=Table1[[#This Row],[IndicatorCode]],Table1[value]))</f>
        <v>26324.778297809873</v>
      </c>
      <c r="J4576">
        <f>(Table1[[#This Row],[value]] - Table1[[#This Row],[mean]]) / Table1[[#This Row],[std_dev]]</f>
        <v>-0.87639437175861556</v>
      </c>
      <c r="K4576">
        <f>AVERAGEIF(Table1[CountryCode],Table1[[#This Row],[CountryCode]],Table1[z-score])</f>
        <v>-0.54328248635894838</v>
      </c>
      <c r="L4576" t="e">
        <f>VLOOKUP(Table1[[#This Row],[CountryCode]],[1]!Table1[#All],1,FALSE)</f>
        <v>#REF!</v>
      </c>
    </row>
    <row r="4577" spans="1:12" hidden="1" x14ac:dyDescent="0.3">
      <c r="A4577" t="s">
        <v>7</v>
      </c>
      <c r="B4577" t="s">
        <v>8</v>
      </c>
      <c r="C4577" t="s">
        <v>127</v>
      </c>
      <c r="D4577" t="s">
        <v>128</v>
      </c>
      <c r="E4577">
        <v>1988</v>
      </c>
      <c r="F4577" s="1">
        <v>1772</v>
      </c>
      <c r="G4577">
        <v>1990</v>
      </c>
      <c r="H4577">
        <f>AVERAGEIFS(Table1[value],Table1[IndicatorCode],Table1[[#This Row],[IndicatorCode]])</f>
        <v>24902.88753799392</v>
      </c>
      <c r="I4577" cm="1">
        <f t="array" ref="I4577">_xlfn.STDEV.P(IF(Table1[IndicatorCode]=Table1[[#This Row],[IndicatorCode]],Table1[value]))</f>
        <v>26324.778297809873</v>
      </c>
      <c r="J4577">
        <f>(Table1[[#This Row],[value]] - Table1[[#This Row],[mean]]) / Table1[[#This Row],[std_dev]]</f>
        <v>-0.87867359323281846</v>
      </c>
      <c r="K4577">
        <f>AVERAGEIF(Table1[CountryCode],Table1[[#This Row],[CountryCode]],Table1[z-score])</f>
        <v>-0.54328248635894838</v>
      </c>
      <c r="L4577" t="e">
        <f>VLOOKUP(Table1[[#This Row],[CountryCode]],[1]!Table1[#All],1,FALSE)</f>
        <v>#REF!</v>
      </c>
    </row>
    <row r="4578" spans="1:12" hidden="1" x14ac:dyDescent="0.3">
      <c r="A4578" t="s">
        <v>7</v>
      </c>
      <c r="B4578" t="s">
        <v>8</v>
      </c>
      <c r="C4578" t="s">
        <v>127</v>
      </c>
      <c r="D4578" t="s">
        <v>128</v>
      </c>
      <c r="E4578">
        <v>1989</v>
      </c>
      <c r="F4578" s="1">
        <v>1895</v>
      </c>
      <c r="G4578">
        <v>1990</v>
      </c>
      <c r="H4578">
        <f>AVERAGEIFS(Table1[value],Table1[IndicatorCode],Table1[[#This Row],[IndicatorCode]])</f>
        <v>24902.88753799392</v>
      </c>
      <c r="I4578" cm="1">
        <f t="array" ref="I4578">_xlfn.STDEV.P(IF(Table1[IndicatorCode]=Table1[[#This Row],[IndicatorCode]],Table1[value]))</f>
        <v>26324.778297809873</v>
      </c>
      <c r="J4578">
        <f>(Table1[[#This Row],[value]] - Table1[[#This Row],[mean]]) / Table1[[#This Row],[std_dev]]</f>
        <v>-0.87400118921070247</v>
      </c>
      <c r="K4578">
        <f>AVERAGEIF(Table1[CountryCode],Table1[[#This Row],[CountryCode]],Table1[z-score])</f>
        <v>-0.54328248635894838</v>
      </c>
      <c r="L4578" t="e">
        <f>VLOOKUP(Table1[[#This Row],[CountryCode]],[1]!Table1[#All],1,FALSE)</f>
        <v>#REF!</v>
      </c>
    </row>
    <row r="4579" spans="1:12" hidden="1" x14ac:dyDescent="0.3">
      <c r="A4579" t="s">
        <v>7</v>
      </c>
      <c r="B4579" t="s">
        <v>8</v>
      </c>
      <c r="C4579" t="s">
        <v>127</v>
      </c>
      <c r="D4579" t="s">
        <v>128</v>
      </c>
      <c r="E4579">
        <v>1990</v>
      </c>
      <c r="F4579" s="1">
        <v>1683</v>
      </c>
      <c r="G4579">
        <v>1990</v>
      </c>
      <c r="H4579">
        <f>AVERAGEIFS(Table1[value],Table1[IndicatorCode],Table1[[#This Row],[IndicatorCode]])</f>
        <v>24902.88753799392</v>
      </c>
      <c r="I4579" cm="1">
        <f t="array" ref="I4579">_xlfn.STDEV.P(IF(Table1[IndicatorCode]=Table1[[#This Row],[IndicatorCode]],Table1[value]))</f>
        <v>26324.778297809873</v>
      </c>
      <c r="J4579">
        <f>(Table1[[#This Row],[value]] - Table1[[#This Row],[mean]]) / Table1[[#This Row],[std_dev]]</f>
        <v>-0.88205443841955289</v>
      </c>
      <c r="K4579">
        <f>AVERAGEIF(Table1[CountryCode],Table1[[#This Row],[CountryCode]],Table1[z-score])</f>
        <v>-0.54328248635894838</v>
      </c>
      <c r="L4579" t="e">
        <f>VLOOKUP(Table1[[#This Row],[CountryCode]],[1]!Table1[#All],1,FALSE)</f>
        <v>#REF!</v>
      </c>
    </row>
    <row r="4580" spans="1:12" hidden="1" x14ac:dyDescent="0.3">
      <c r="A4580" t="s">
        <v>7</v>
      </c>
      <c r="B4580" t="s">
        <v>8</v>
      </c>
      <c r="C4580" t="s">
        <v>127</v>
      </c>
      <c r="D4580" t="s">
        <v>128</v>
      </c>
      <c r="E4580">
        <v>1991</v>
      </c>
      <c r="F4580" s="1">
        <v>1219</v>
      </c>
      <c r="G4580">
        <v>1990</v>
      </c>
      <c r="H4580">
        <f>AVERAGEIFS(Table1[value],Table1[IndicatorCode],Table1[[#This Row],[IndicatorCode]])</f>
        <v>24902.88753799392</v>
      </c>
      <c r="I4580" cm="1">
        <f t="array" ref="I4580">_xlfn.STDEV.P(IF(Table1[IndicatorCode]=Table1[[#This Row],[IndicatorCode]],Table1[value]))</f>
        <v>26324.778297809873</v>
      </c>
      <c r="J4580">
        <f>(Table1[[#This Row],[value]] - Table1[[#This Row],[mean]]) / Table1[[#This Row],[std_dev]]</f>
        <v>-0.8996804178200557</v>
      </c>
      <c r="K4580">
        <f>AVERAGEIF(Table1[CountryCode],Table1[[#This Row],[CountryCode]],Table1[z-score])</f>
        <v>-0.54328248635894838</v>
      </c>
      <c r="L4580" t="e">
        <f>VLOOKUP(Table1[[#This Row],[CountryCode]],[1]!Table1[#All],1,FALSE)</f>
        <v>#REF!</v>
      </c>
    </row>
    <row r="4581" spans="1:12" hidden="1" x14ac:dyDescent="0.3">
      <c r="A4581" t="s">
        <v>7</v>
      </c>
      <c r="B4581" t="s">
        <v>8</v>
      </c>
      <c r="C4581" t="s">
        <v>127</v>
      </c>
      <c r="D4581" t="s">
        <v>128</v>
      </c>
      <c r="E4581">
        <v>1992</v>
      </c>
      <c r="F4581" s="1">
        <v>1138</v>
      </c>
      <c r="G4581">
        <v>1990</v>
      </c>
      <c r="H4581">
        <f>AVERAGEIFS(Table1[value],Table1[IndicatorCode],Table1[[#This Row],[IndicatorCode]])</f>
        <v>24902.88753799392</v>
      </c>
      <c r="I4581" cm="1">
        <f t="array" ref="I4581">_xlfn.STDEV.P(IF(Table1[IndicatorCode]=Table1[[#This Row],[IndicatorCode]],Table1[value]))</f>
        <v>26324.778297809873</v>
      </c>
      <c r="J4581">
        <f>(Table1[[#This Row],[value]] - Table1[[#This Row],[mean]]) / Table1[[#This Row],[std_dev]]</f>
        <v>-0.90275736681022967</v>
      </c>
      <c r="K4581">
        <f>AVERAGEIF(Table1[CountryCode],Table1[[#This Row],[CountryCode]],Table1[z-score])</f>
        <v>-0.54328248635894838</v>
      </c>
      <c r="L4581" t="e">
        <f>VLOOKUP(Table1[[#This Row],[CountryCode]],[1]!Table1[#All],1,FALSE)</f>
        <v>#REF!</v>
      </c>
    </row>
    <row r="4582" spans="1:12" hidden="1" x14ac:dyDescent="0.3">
      <c r="A4582" t="s">
        <v>7</v>
      </c>
      <c r="B4582" t="s">
        <v>8</v>
      </c>
      <c r="C4582" t="s">
        <v>127</v>
      </c>
      <c r="D4582" t="s">
        <v>128</v>
      </c>
      <c r="E4582">
        <v>1993</v>
      </c>
      <c r="F4582" s="1">
        <v>1255</v>
      </c>
      <c r="G4582">
        <v>1990</v>
      </c>
      <c r="H4582">
        <f>AVERAGEIFS(Table1[value],Table1[IndicatorCode],Table1[[#This Row],[IndicatorCode]])</f>
        <v>24902.88753799392</v>
      </c>
      <c r="I4582" cm="1">
        <f t="array" ref="I4582">_xlfn.STDEV.P(IF(Table1[IndicatorCode]=Table1[[#This Row],[IndicatorCode]],Table1[value]))</f>
        <v>26324.778297809873</v>
      </c>
      <c r="J4582">
        <f>(Table1[[#This Row],[value]] - Table1[[#This Row],[mean]]) / Table1[[#This Row],[std_dev]]</f>
        <v>-0.89831288493553385</v>
      </c>
      <c r="K4582">
        <f>AVERAGEIF(Table1[CountryCode],Table1[[#This Row],[CountryCode]],Table1[z-score])</f>
        <v>-0.54328248635894838</v>
      </c>
      <c r="L4582" t="e">
        <f>VLOOKUP(Table1[[#This Row],[CountryCode]],[1]!Table1[#All],1,FALSE)</f>
        <v>#REF!</v>
      </c>
    </row>
    <row r="4583" spans="1:12" hidden="1" x14ac:dyDescent="0.3">
      <c r="A4583" t="s">
        <v>7</v>
      </c>
      <c r="B4583" t="s">
        <v>8</v>
      </c>
      <c r="C4583" t="s">
        <v>127</v>
      </c>
      <c r="D4583" t="s">
        <v>128</v>
      </c>
      <c r="E4583">
        <v>1994</v>
      </c>
      <c r="F4583" s="1">
        <v>1367</v>
      </c>
      <c r="G4583">
        <v>1990</v>
      </c>
      <c r="H4583">
        <f>AVERAGEIFS(Table1[value],Table1[IndicatorCode],Table1[[#This Row],[IndicatorCode]])</f>
        <v>24902.88753799392</v>
      </c>
      <c r="I4583" cm="1">
        <f t="array" ref="I4583">_xlfn.STDEV.P(IF(Table1[IndicatorCode]=Table1[[#This Row],[IndicatorCode]],Table1[value]))</f>
        <v>26324.778297809873</v>
      </c>
      <c r="J4583">
        <f>(Table1[[#This Row],[value]] - Table1[[#This Row],[mean]]) / Table1[[#This Row],[std_dev]]</f>
        <v>-0.89405833818368841</v>
      </c>
      <c r="K4583">
        <f>AVERAGEIF(Table1[CountryCode],Table1[[#This Row],[CountryCode]],Table1[z-score])</f>
        <v>-0.54328248635894838</v>
      </c>
      <c r="L4583" t="e">
        <f>VLOOKUP(Table1[[#This Row],[CountryCode]],[1]!Table1[#All],1,FALSE)</f>
        <v>#REF!</v>
      </c>
    </row>
    <row r="4584" spans="1:12" hidden="1" x14ac:dyDescent="0.3">
      <c r="A4584" t="s">
        <v>7</v>
      </c>
      <c r="B4584" t="s">
        <v>8</v>
      </c>
      <c r="C4584" t="s">
        <v>127</v>
      </c>
      <c r="D4584" t="s">
        <v>128</v>
      </c>
      <c r="E4584">
        <v>1995</v>
      </c>
      <c r="F4584" s="1">
        <v>1559</v>
      </c>
      <c r="G4584">
        <v>1990</v>
      </c>
      <c r="H4584">
        <f>AVERAGEIFS(Table1[value],Table1[IndicatorCode],Table1[[#This Row],[IndicatorCode]])</f>
        <v>24902.88753799392</v>
      </c>
      <c r="I4584" cm="1">
        <f t="array" ref="I4584">_xlfn.STDEV.P(IF(Table1[IndicatorCode]=Table1[[#This Row],[IndicatorCode]],Table1[value]))</f>
        <v>26324.778297809873</v>
      </c>
      <c r="J4584">
        <f>(Table1[[#This Row],[value]] - Table1[[#This Row],[mean]]) / Table1[[#This Row],[std_dev]]</f>
        <v>-0.88676482946623891</v>
      </c>
      <c r="K4584">
        <f>AVERAGEIF(Table1[CountryCode],Table1[[#This Row],[CountryCode]],Table1[z-score])</f>
        <v>-0.54328248635894838</v>
      </c>
      <c r="L4584" t="e">
        <f>VLOOKUP(Table1[[#This Row],[CountryCode]],[1]!Table1[#All],1,FALSE)</f>
        <v>#REF!</v>
      </c>
    </row>
    <row r="4585" spans="1:12" hidden="1" x14ac:dyDescent="0.3">
      <c r="A4585" t="s">
        <v>7</v>
      </c>
      <c r="B4585" t="s">
        <v>8</v>
      </c>
      <c r="C4585" t="s">
        <v>127</v>
      </c>
      <c r="D4585" t="s">
        <v>128</v>
      </c>
      <c r="E4585">
        <v>1996</v>
      </c>
      <c r="F4585" s="1">
        <v>1684</v>
      </c>
      <c r="G4585">
        <v>1990</v>
      </c>
      <c r="H4585">
        <f>AVERAGEIFS(Table1[value],Table1[IndicatorCode],Table1[[#This Row],[IndicatorCode]])</f>
        <v>24902.88753799392</v>
      </c>
      <c r="I4585" cm="1">
        <f t="array" ref="I4585">_xlfn.STDEV.P(IF(Table1[IndicatorCode]=Table1[[#This Row],[IndicatorCode]],Table1[value]))</f>
        <v>26324.778297809873</v>
      </c>
      <c r="J4585">
        <f>(Table1[[#This Row],[value]] - Table1[[#This Row],[mean]]) / Table1[[#This Row],[std_dev]]</f>
        <v>-0.88201645139498275</v>
      </c>
      <c r="K4585">
        <f>AVERAGEIF(Table1[CountryCode],Table1[[#This Row],[CountryCode]],Table1[z-score])</f>
        <v>-0.54328248635894838</v>
      </c>
      <c r="L4585" t="e">
        <f>VLOOKUP(Table1[[#This Row],[CountryCode]],[1]!Table1[#All],1,FALSE)</f>
        <v>#REF!</v>
      </c>
    </row>
    <row r="4586" spans="1:12" hidden="1" x14ac:dyDescent="0.3">
      <c r="A4586" t="s">
        <v>7</v>
      </c>
      <c r="B4586" t="s">
        <v>8</v>
      </c>
      <c r="C4586" t="s">
        <v>127</v>
      </c>
      <c r="D4586" t="s">
        <v>128</v>
      </c>
      <c r="E4586">
        <v>1997</v>
      </c>
      <c r="F4586" s="1">
        <v>1496</v>
      </c>
      <c r="G4586">
        <v>2000</v>
      </c>
      <c r="H4586">
        <f>AVERAGEIFS(Table1[value],Table1[IndicatorCode],Table1[[#This Row],[IndicatorCode]])</f>
        <v>24902.88753799392</v>
      </c>
      <c r="I4586" cm="1">
        <f t="array" ref="I4586">_xlfn.STDEV.P(IF(Table1[IndicatorCode]=Table1[[#This Row],[IndicatorCode]],Table1[value]))</f>
        <v>26324.778297809873</v>
      </c>
      <c r="J4586">
        <f>(Table1[[#This Row],[value]] - Table1[[#This Row],[mean]]) / Table1[[#This Row],[std_dev]]</f>
        <v>-0.88915801201415201</v>
      </c>
      <c r="K4586">
        <f>AVERAGEIF(Table1[CountryCode],Table1[[#This Row],[CountryCode]],Table1[z-score])</f>
        <v>-0.54328248635894838</v>
      </c>
      <c r="L4586" t="e">
        <f>VLOOKUP(Table1[[#This Row],[CountryCode]],[1]!Table1[#All],1,FALSE)</f>
        <v>#REF!</v>
      </c>
    </row>
    <row r="4587" spans="1:12" hidden="1" x14ac:dyDescent="0.3">
      <c r="A4587" t="s">
        <v>7</v>
      </c>
      <c r="B4587" t="s">
        <v>8</v>
      </c>
      <c r="C4587" t="s">
        <v>127</v>
      </c>
      <c r="D4587" t="s">
        <v>128</v>
      </c>
      <c r="E4587">
        <v>1998</v>
      </c>
      <c r="F4587" s="1">
        <v>1630</v>
      </c>
      <c r="G4587">
        <v>2000</v>
      </c>
      <c r="H4587">
        <f>AVERAGEIFS(Table1[value],Table1[IndicatorCode],Table1[[#This Row],[IndicatorCode]])</f>
        <v>24902.88753799392</v>
      </c>
      <c r="I4587" cm="1">
        <f t="array" ref="I4587">_xlfn.STDEV.P(IF(Table1[IndicatorCode]=Table1[[#This Row],[IndicatorCode]],Table1[value]))</f>
        <v>26324.778297809873</v>
      </c>
      <c r="J4587">
        <f>(Table1[[#This Row],[value]] - Table1[[#This Row],[mean]]) / Table1[[#This Row],[std_dev]]</f>
        <v>-0.88406775072176547</v>
      </c>
      <c r="K4587">
        <f>AVERAGEIF(Table1[CountryCode],Table1[[#This Row],[CountryCode]],Table1[z-score])</f>
        <v>-0.54328248635894838</v>
      </c>
      <c r="L4587" t="e">
        <f>VLOOKUP(Table1[[#This Row],[CountryCode]],[1]!Table1[#All],1,FALSE)</f>
        <v>#REF!</v>
      </c>
    </row>
    <row r="4588" spans="1:12" hidden="1" x14ac:dyDescent="0.3">
      <c r="A4588" t="s">
        <v>7</v>
      </c>
      <c r="B4588" t="s">
        <v>8</v>
      </c>
      <c r="C4588" t="s">
        <v>127</v>
      </c>
      <c r="D4588" t="s">
        <v>128</v>
      </c>
      <c r="E4588">
        <v>1999</v>
      </c>
      <c r="F4588" s="1">
        <v>1842</v>
      </c>
      <c r="G4588">
        <v>2000</v>
      </c>
      <c r="H4588">
        <f>AVERAGEIFS(Table1[value],Table1[IndicatorCode],Table1[[#This Row],[IndicatorCode]])</f>
        <v>24902.88753799392</v>
      </c>
      <c r="I4588" cm="1">
        <f t="array" ref="I4588">_xlfn.STDEV.P(IF(Table1[IndicatorCode]=Table1[[#This Row],[IndicatorCode]],Table1[value]))</f>
        <v>26324.778297809873</v>
      </c>
      <c r="J4588">
        <f>(Table1[[#This Row],[value]] - Table1[[#This Row],[mean]]) / Table1[[#This Row],[std_dev]]</f>
        <v>-0.87601450151291504</v>
      </c>
      <c r="K4588">
        <f>AVERAGEIF(Table1[CountryCode],Table1[[#This Row],[CountryCode]],Table1[z-score])</f>
        <v>-0.54328248635894838</v>
      </c>
      <c r="L4588" t="e">
        <f>VLOOKUP(Table1[[#This Row],[CountryCode]],[1]!Table1[#All],1,FALSE)</f>
        <v>#REF!</v>
      </c>
    </row>
    <row r="4589" spans="1:12" hidden="1" x14ac:dyDescent="0.3">
      <c r="A4589" t="s">
        <v>7</v>
      </c>
      <c r="B4589" t="s">
        <v>8</v>
      </c>
      <c r="C4589" t="s">
        <v>127</v>
      </c>
      <c r="D4589" t="s">
        <v>128</v>
      </c>
      <c r="E4589">
        <v>2000</v>
      </c>
      <c r="F4589" s="1">
        <v>1992</v>
      </c>
      <c r="G4589">
        <v>2000</v>
      </c>
      <c r="H4589">
        <f>AVERAGEIFS(Table1[value],Table1[IndicatorCode],Table1[[#This Row],[IndicatorCode]])</f>
        <v>24902.88753799392</v>
      </c>
      <c r="I4589" cm="1">
        <f t="array" ref="I4589">_xlfn.STDEV.P(IF(Table1[IndicatorCode]=Table1[[#This Row],[IndicatorCode]],Table1[value]))</f>
        <v>26324.778297809873</v>
      </c>
      <c r="J4589">
        <f>(Table1[[#This Row],[value]] - Table1[[#This Row],[mean]]) / Table1[[#This Row],[std_dev]]</f>
        <v>-0.87031644782740769</v>
      </c>
      <c r="K4589">
        <f>AVERAGEIF(Table1[CountryCode],Table1[[#This Row],[CountryCode]],Table1[z-score])</f>
        <v>-0.54328248635894838</v>
      </c>
      <c r="L4589" t="e">
        <f>VLOOKUP(Table1[[#This Row],[CountryCode]],[1]!Table1[#All],1,FALSE)</f>
        <v>#REF!</v>
      </c>
    </row>
    <row r="4590" spans="1:12" hidden="1" x14ac:dyDescent="0.3">
      <c r="A4590" t="s">
        <v>7</v>
      </c>
      <c r="B4590" t="s">
        <v>8</v>
      </c>
      <c r="C4590" t="s">
        <v>127</v>
      </c>
      <c r="D4590" t="s">
        <v>128</v>
      </c>
      <c r="E4590">
        <v>2001</v>
      </c>
      <c r="F4590" s="1">
        <v>2189</v>
      </c>
      <c r="G4590">
        <v>2000</v>
      </c>
      <c r="H4590">
        <f>AVERAGEIFS(Table1[value],Table1[IndicatorCode],Table1[[#This Row],[IndicatorCode]])</f>
        <v>24902.88753799392</v>
      </c>
      <c r="I4590" cm="1">
        <f t="array" ref="I4590">_xlfn.STDEV.P(IF(Table1[IndicatorCode]=Table1[[#This Row],[IndicatorCode]],Table1[value]))</f>
        <v>26324.778297809873</v>
      </c>
      <c r="J4590">
        <f>(Table1[[#This Row],[value]] - Table1[[#This Row],[mean]]) / Table1[[#This Row],[std_dev]]</f>
        <v>-0.86283300398710794</v>
      </c>
      <c r="K4590">
        <f>AVERAGEIF(Table1[CountryCode],Table1[[#This Row],[CountryCode]],Table1[z-score])</f>
        <v>-0.54328248635894838</v>
      </c>
      <c r="L4590" t="e">
        <f>VLOOKUP(Table1[[#This Row],[CountryCode]],[1]!Table1[#All],1,FALSE)</f>
        <v>#REF!</v>
      </c>
    </row>
    <row r="4591" spans="1:12" hidden="1" x14ac:dyDescent="0.3">
      <c r="A4591" t="s">
        <v>7</v>
      </c>
      <c r="B4591" t="s">
        <v>8</v>
      </c>
      <c r="C4591" t="s">
        <v>127</v>
      </c>
      <c r="D4591" t="s">
        <v>128</v>
      </c>
      <c r="E4591">
        <v>2002</v>
      </c>
      <c r="F4591" s="1">
        <v>2297</v>
      </c>
      <c r="G4591">
        <v>2000</v>
      </c>
      <c r="H4591">
        <f>AVERAGEIFS(Table1[value],Table1[IndicatorCode],Table1[[#This Row],[IndicatorCode]])</f>
        <v>24902.88753799392</v>
      </c>
      <c r="I4591" cm="1">
        <f t="array" ref="I4591">_xlfn.STDEV.P(IF(Table1[IndicatorCode]=Table1[[#This Row],[IndicatorCode]],Table1[value]))</f>
        <v>26324.778297809873</v>
      </c>
      <c r="J4591">
        <f>(Table1[[#This Row],[value]] - Table1[[#This Row],[mean]]) / Table1[[#This Row],[std_dev]]</f>
        <v>-0.85873040533354272</v>
      </c>
      <c r="K4591">
        <f>AVERAGEIF(Table1[CountryCode],Table1[[#This Row],[CountryCode]],Table1[z-score])</f>
        <v>-0.54328248635894838</v>
      </c>
      <c r="L4591" t="e">
        <f>VLOOKUP(Table1[[#This Row],[CountryCode]],[1]!Table1[#All],1,FALSE)</f>
        <v>#REF!</v>
      </c>
    </row>
    <row r="4592" spans="1:12" hidden="1" x14ac:dyDescent="0.3">
      <c r="A4592" t="s">
        <v>7</v>
      </c>
      <c r="B4592" t="s">
        <v>8</v>
      </c>
      <c r="C4592" t="s">
        <v>127</v>
      </c>
      <c r="D4592" t="s">
        <v>128</v>
      </c>
      <c r="E4592">
        <v>2003</v>
      </c>
      <c r="F4592" s="1">
        <v>2429</v>
      </c>
      <c r="G4592">
        <v>2000</v>
      </c>
      <c r="H4592">
        <f>AVERAGEIFS(Table1[value],Table1[IndicatorCode],Table1[[#This Row],[IndicatorCode]])</f>
        <v>24902.88753799392</v>
      </c>
      <c r="I4592" cm="1">
        <f t="array" ref="I4592">_xlfn.STDEV.P(IF(Table1[IndicatorCode]=Table1[[#This Row],[IndicatorCode]],Table1[value]))</f>
        <v>26324.778297809873</v>
      </c>
      <c r="J4592">
        <f>(Table1[[#This Row],[value]] - Table1[[#This Row],[mean]]) / Table1[[#This Row],[std_dev]]</f>
        <v>-0.85371611809029624</v>
      </c>
      <c r="K4592">
        <f>AVERAGEIF(Table1[CountryCode],Table1[[#This Row],[CountryCode]],Table1[z-score])</f>
        <v>-0.54328248635894838</v>
      </c>
      <c r="L4592" t="e">
        <f>VLOOKUP(Table1[[#This Row],[CountryCode]],[1]!Table1[#All],1,FALSE)</f>
        <v>#REF!</v>
      </c>
    </row>
    <row r="4593" spans="1:12" hidden="1" x14ac:dyDescent="0.3">
      <c r="A4593" t="s">
        <v>7</v>
      </c>
      <c r="B4593" t="s">
        <v>8</v>
      </c>
      <c r="C4593" t="s">
        <v>127</v>
      </c>
      <c r="D4593" t="s">
        <v>128</v>
      </c>
      <c r="E4593">
        <v>2004</v>
      </c>
      <c r="F4593" s="1">
        <v>2567</v>
      </c>
      <c r="G4593">
        <v>2000</v>
      </c>
      <c r="H4593">
        <f>AVERAGEIFS(Table1[value],Table1[IndicatorCode],Table1[[#This Row],[IndicatorCode]])</f>
        <v>24902.88753799392</v>
      </c>
      <c r="I4593" cm="1">
        <f t="array" ref="I4593">_xlfn.STDEV.P(IF(Table1[IndicatorCode]=Table1[[#This Row],[IndicatorCode]],Table1[value]))</f>
        <v>26324.778297809873</v>
      </c>
      <c r="J4593">
        <f>(Table1[[#This Row],[value]] - Table1[[#This Row],[mean]]) / Table1[[#This Row],[std_dev]]</f>
        <v>-0.84847390869962946</v>
      </c>
      <c r="K4593">
        <f>AVERAGEIF(Table1[CountryCode],Table1[[#This Row],[CountryCode]],Table1[z-score])</f>
        <v>-0.54328248635894838</v>
      </c>
      <c r="L4593" t="e">
        <f>VLOOKUP(Table1[[#This Row],[CountryCode]],[1]!Table1[#All],1,FALSE)</f>
        <v>#REF!</v>
      </c>
    </row>
    <row r="4594" spans="1:12" hidden="1" x14ac:dyDescent="0.3">
      <c r="A4594" t="s">
        <v>7</v>
      </c>
      <c r="B4594" t="s">
        <v>8</v>
      </c>
      <c r="C4594" t="s">
        <v>127</v>
      </c>
      <c r="D4594" t="s">
        <v>128</v>
      </c>
      <c r="E4594">
        <v>2005</v>
      </c>
      <c r="F4594" s="1">
        <v>2713</v>
      </c>
      <c r="G4594">
        <v>2000</v>
      </c>
      <c r="H4594">
        <f>AVERAGEIFS(Table1[value],Table1[IndicatorCode],Table1[[#This Row],[IndicatorCode]])</f>
        <v>24902.88753799392</v>
      </c>
      <c r="I4594" cm="1">
        <f t="array" ref="I4594">_xlfn.STDEV.P(IF(Table1[IndicatorCode]=Table1[[#This Row],[IndicatorCode]],Table1[value]))</f>
        <v>26324.778297809873</v>
      </c>
      <c r="J4594">
        <f>(Table1[[#This Row],[value]] - Table1[[#This Row],[mean]]) / Table1[[#This Row],[std_dev]]</f>
        <v>-0.84292780311240223</v>
      </c>
      <c r="K4594">
        <f>AVERAGEIF(Table1[CountryCode],Table1[[#This Row],[CountryCode]],Table1[z-score])</f>
        <v>-0.54328248635894838</v>
      </c>
      <c r="L4594" t="e">
        <f>VLOOKUP(Table1[[#This Row],[CountryCode]],[1]!Table1[#All],1,FALSE)</f>
        <v>#REF!</v>
      </c>
    </row>
    <row r="4595" spans="1:12" hidden="1" x14ac:dyDescent="0.3">
      <c r="A4595" t="s">
        <v>7</v>
      </c>
      <c r="B4595" t="s">
        <v>8</v>
      </c>
      <c r="C4595" t="s">
        <v>127</v>
      </c>
      <c r="D4595" t="s">
        <v>128</v>
      </c>
      <c r="E4595">
        <v>2006</v>
      </c>
      <c r="F4595" s="1">
        <v>2894</v>
      </c>
      <c r="G4595">
        <v>2000</v>
      </c>
      <c r="H4595">
        <f>AVERAGEIFS(Table1[value],Table1[IndicatorCode],Table1[[#This Row],[IndicatorCode]])</f>
        <v>24902.88753799392</v>
      </c>
      <c r="I4595" cm="1">
        <f t="array" ref="I4595">_xlfn.STDEV.P(IF(Table1[IndicatorCode]=Table1[[#This Row],[IndicatorCode]],Table1[value]))</f>
        <v>26324.778297809873</v>
      </c>
      <c r="J4595">
        <f>(Table1[[#This Row],[value]] - Table1[[#This Row],[mean]]) / Table1[[#This Row],[std_dev]]</f>
        <v>-0.8360521516652234</v>
      </c>
      <c r="K4595">
        <f>AVERAGEIF(Table1[CountryCode],Table1[[#This Row],[CountryCode]],Table1[z-score])</f>
        <v>-0.54328248635894838</v>
      </c>
      <c r="L4595" t="e">
        <f>VLOOKUP(Table1[[#This Row],[CountryCode]],[1]!Table1[#All],1,FALSE)</f>
        <v>#REF!</v>
      </c>
    </row>
    <row r="4596" spans="1:12" hidden="1" x14ac:dyDescent="0.3">
      <c r="A4596" t="s">
        <v>7</v>
      </c>
      <c r="B4596" t="s">
        <v>8</v>
      </c>
      <c r="C4596" t="s">
        <v>127</v>
      </c>
      <c r="D4596" t="s">
        <v>128</v>
      </c>
      <c r="E4596">
        <v>2007</v>
      </c>
      <c r="F4596" s="1">
        <v>3106</v>
      </c>
      <c r="G4596">
        <v>2010</v>
      </c>
      <c r="H4596">
        <f>AVERAGEIFS(Table1[value],Table1[IndicatorCode],Table1[[#This Row],[IndicatorCode]])</f>
        <v>24902.88753799392</v>
      </c>
      <c r="I4596" cm="1">
        <f t="array" ref="I4596">_xlfn.STDEV.P(IF(Table1[IndicatorCode]=Table1[[#This Row],[IndicatorCode]],Table1[value]))</f>
        <v>26324.778297809873</v>
      </c>
      <c r="J4596">
        <f>(Table1[[#This Row],[value]] - Table1[[#This Row],[mean]]) / Table1[[#This Row],[std_dev]]</f>
        <v>-0.82799890245637298</v>
      </c>
      <c r="K4596">
        <f>AVERAGEIF(Table1[CountryCode],Table1[[#This Row],[CountryCode]],Table1[z-score])</f>
        <v>-0.54328248635894838</v>
      </c>
      <c r="L4596" t="e">
        <f>VLOOKUP(Table1[[#This Row],[CountryCode]],[1]!Table1[#All],1,FALSE)</f>
        <v>#REF!</v>
      </c>
    </row>
    <row r="4597" spans="1:12" hidden="1" x14ac:dyDescent="0.3">
      <c r="A4597" t="s">
        <v>7</v>
      </c>
      <c r="B4597" t="s">
        <v>8</v>
      </c>
      <c r="C4597" t="s">
        <v>127</v>
      </c>
      <c r="D4597" t="s">
        <v>128</v>
      </c>
      <c r="E4597">
        <v>2008</v>
      </c>
      <c r="F4597" s="1">
        <v>3346</v>
      </c>
      <c r="G4597">
        <v>2010</v>
      </c>
      <c r="H4597">
        <f>AVERAGEIFS(Table1[value],Table1[IndicatorCode],Table1[[#This Row],[IndicatorCode]])</f>
        <v>24902.88753799392</v>
      </c>
      <c r="I4597" cm="1">
        <f t="array" ref="I4597">_xlfn.STDEV.P(IF(Table1[IndicatorCode]=Table1[[#This Row],[IndicatorCode]],Table1[value]))</f>
        <v>26324.778297809873</v>
      </c>
      <c r="J4597">
        <f>(Table1[[#This Row],[value]] - Table1[[#This Row],[mean]]) / Table1[[#This Row],[std_dev]]</f>
        <v>-0.81888201655956117</v>
      </c>
      <c r="K4597">
        <f>AVERAGEIF(Table1[CountryCode],Table1[[#This Row],[CountryCode]],Table1[z-score])</f>
        <v>-0.54328248635894838</v>
      </c>
      <c r="L4597" t="e">
        <f>VLOOKUP(Table1[[#This Row],[CountryCode]],[1]!Table1[#All],1,FALSE)</f>
        <v>#REF!</v>
      </c>
    </row>
    <row r="4598" spans="1:12" hidden="1" x14ac:dyDescent="0.3">
      <c r="A4598" t="s">
        <v>7</v>
      </c>
      <c r="B4598" t="s">
        <v>8</v>
      </c>
      <c r="C4598" t="s">
        <v>127</v>
      </c>
      <c r="D4598" t="s">
        <v>128</v>
      </c>
      <c r="E4598">
        <v>2009</v>
      </c>
      <c r="F4598" s="1">
        <v>3459</v>
      </c>
      <c r="G4598">
        <v>2010</v>
      </c>
      <c r="H4598">
        <f>AVERAGEIFS(Table1[value],Table1[IndicatorCode],Table1[[#This Row],[IndicatorCode]])</f>
        <v>24902.88753799392</v>
      </c>
      <c r="I4598" cm="1">
        <f t="array" ref="I4598">_xlfn.STDEV.P(IF(Table1[IndicatorCode]=Table1[[#This Row],[IndicatorCode]],Table1[value]))</f>
        <v>26324.778297809873</v>
      </c>
      <c r="J4598">
        <f>(Table1[[#This Row],[value]] - Table1[[#This Row],[mean]]) / Table1[[#This Row],[std_dev]]</f>
        <v>-0.81458948278314558</v>
      </c>
      <c r="K4598">
        <f>AVERAGEIF(Table1[CountryCode],Table1[[#This Row],[CountryCode]],Table1[z-score])</f>
        <v>-0.54328248635894838</v>
      </c>
      <c r="L4598" t="e">
        <f>VLOOKUP(Table1[[#This Row],[CountryCode]],[1]!Table1[#All],1,FALSE)</f>
        <v>#REF!</v>
      </c>
    </row>
    <row r="4599" spans="1:12" hidden="1" x14ac:dyDescent="0.3">
      <c r="A4599" t="s">
        <v>7</v>
      </c>
      <c r="B4599" t="s">
        <v>8</v>
      </c>
      <c r="C4599" t="s">
        <v>127</v>
      </c>
      <c r="D4599" t="s">
        <v>128</v>
      </c>
      <c r="E4599">
        <v>2010</v>
      </c>
      <c r="F4599" s="1">
        <v>3580</v>
      </c>
      <c r="G4599">
        <v>2010</v>
      </c>
      <c r="H4599">
        <f>AVERAGEIFS(Table1[value],Table1[IndicatorCode],Table1[[#This Row],[IndicatorCode]])</f>
        <v>24902.88753799392</v>
      </c>
      <c r="I4599" cm="1">
        <f t="array" ref="I4599">_xlfn.STDEV.P(IF(Table1[IndicatorCode]=Table1[[#This Row],[IndicatorCode]],Table1[value]))</f>
        <v>26324.778297809873</v>
      </c>
      <c r="J4599">
        <f>(Table1[[#This Row],[value]] - Table1[[#This Row],[mean]]) / Table1[[#This Row],[std_dev]]</f>
        <v>-0.80999305281016964</v>
      </c>
      <c r="K4599">
        <f>AVERAGEIF(Table1[CountryCode],Table1[[#This Row],[CountryCode]],Table1[z-score])</f>
        <v>-0.54328248635894838</v>
      </c>
      <c r="L4599" t="e">
        <f>VLOOKUP(Table1[[#This Row],[CountryCode]],[1]!Table1[#All],1,FALSE)</f>
        <v>#REF!</v>
      </c>
    </row>
    <row r="4600" spans="1:12" hidden="1" x14ac:dyDescent="0.3">
      <c r="A4600" t="s">
        <v>7</v>
      </c>
      <c r="B4600" t="s">
        <v>8</v>
      </c>
      <c r="C4600" t="s">
        <v>127</v>
      </c>
      <c r="D4600" t="s">
        <v>128</v>
      </c>
      <c r="E4600">
        <v>2011</v>
      </c>
      <c r="F4600" s="1">
        <v>3678</v>
      </c>
      <c r="G4600">
        <v>2010</v>
      </c>
      <c r="H4600">
        <f>AVERAGEIFS(Table1[value],Table1[IndicatorCode],Table1[[#This Row],[IndicatorCode]])</f>
        <v>24902.88753799392</v>
      </c>
      <c r="I4600" cm="1">
        <f t="array" ref="I4600">_xlfn.STDEV.P(IF(Table1[IndicatorCode]=Table1[[#This Row],[IndicatorCode]],Table1[value]))</f>
        <v>26324.778297809873</v>
      </c>
      <c r="J4600">
        <f>(Table1[[#This Row],[value]] - Table1[[#This Row],[mean]]) / Table1[[#This Row],[std_dev]]</f>
        <v>-0.80627032440230484</v>
      </c>
      <c r="K4600">
        <f>AVERAGEIF(Table1[CountryCode],Table1[[#This Row],[CountryCode]],Table1[z-score])</f>
        <v>-0.54328248635894838</v>
      </c>
      <c r="L4600" t="e">
        <f>VLOOKUP(Table1[[#This Row],[CountryCode]],[1]!Table1[#All],1,FALSE)</f>
        <v>#REF!</v>
      </c>
    </row>
    <row r="4601" spans="1:12" hidden="1" x14ac:dyDescent="0.3">
      <c r="A4601" t="s">
        <v>7</v>
      </c>
      <c r="B4601" t="s">
        <v>8</v>
      </c>
      <c r="C4601" t="s">
        <v>127</v>
      </c>
      <c r="D4601" t="s">
        <v>128</v>
      </c>
      <c r="E4601">
        <v>2012</v>
      </c>
      <c r="F4601" s="1">
        <v>3772</v>
      </c>
      <c r="G4601">
        <v>2010</v>
      </c>
      <c r="H4601">
        <f>AVERAGEIFS(Table1[value],Table1[IndicatorCode],Table1[[#This Row],[IndicatorCode]])</f>
        <v>24902.88753799392</v>
      </c>
      <c r="I4601" cm="1">
        <f t="array" ref="I4601">_xlfn.STDEV.P(IF(Table1[IndicatorCode]=Table1[[#This Row],[IndicatorCode]],Table1[value]))</f>
        <v>26324.778297809873</v>
      </c>
      <c r="J4601">
        <f>(Table1[[#This Row],[value]] - Table1[[#This Row],[mean]]) / Table1[[#This Row],[std_dev]]</f>
        <v>-0.80269954409272015</v>
      </c>
      <c r="K4601">
        <f>AVERAGEIF(Table1[CountryCode],Table1[[#This Row],[CountryCode]],Table1[z-score])</f>
        <v>-0.54328248635894838</v>
      </c>
      <c r="L4601" t="e">
        <f>VLOOKUP(Table1[[#This Row],[CountryCode]],[1]!Table1[#All],1,FALSE)</f>
        <v>#REF!</v>
      </c>
    </row>
    <row r="4602" spans="1:12" hidden="1" x14ac:dyDescent="0.3">
      <c r="A4602" t="s">
        <v>7</v>
      </c>
      <c r="B4602" t="s">
        <v>8</v>
      </c>
      <c r="C4602" t="s">
        <v>127</v>
      </c>
      <c r="D4602" t="s">
        <v>128</v>
      </c>
      <c r="E4602">
        <v>2013</v>
      </c>
      <c r="F4602" s="1">
        <v>3896</v>
      </c>
      <c r="G4602">
        <v>2010</v>
      </c>
      <c r="H4602">
        <f>AVERAGEIFS(Table1[value],Table1[IndicatorCode],Table1[[#This Row],[IndicatorCode]])</f>
        <v>24902.88753799392</v>
      </c>
      <c r="I4602" cm="1">
        <f t="array" ref="I4602">_xlfn.STDEV.P(IF(Table1[IndicatorCode]=Table1[[#This Row],[IndicatorCode]],Table1[value]))</f>
        <v>26324.778297809873</v>
      </c>
      <c r="J4602">
        <f>(Table1[[#This Row],[value]] - Table1[[#This Row],[mean]]) / Table1[[#This Row],[std_dev]]</f>
        <v>-0.79798915304603413</v>
      </c>
      <c r="K4602">
        <f>AVERAGEIF(Table1[CountryCode],Table1[[#This Row],[CountryCode]],Table1[z-score])</f>
        <v>-0.54328248635894838</v>
      </c>
      <c r="L4602" t="e">
        <f>VLOOKUP(Table1[[#This Row],[CountryCode]],[1]!Table1[#All],1,FALSE)</f>
        <v>#REF!</v>
      </c>
    </row>
    <row r="4603" spans="1:12" hidden="1" x14ac:dyDescent="0.3">
      <c r="A4603" t="s">
        <v>7</v>
      </c>
      <c r="B4603" t="s">
        <v>8</v>
      </c>
      <c r="C4603" t="s">
        <v>127</v>
      </c>
      <c r="D4603" t="s">
        <v>128</v>
      </c>
      <c r="E4603">
        <v>2014</v>
      </c>
      <c r="F4603" s="1">
        <v>4045</v>
      </c>
      <c r="G4603">
        <v>2010</v>
      </c>
      <c r="H4603">
        <f>AVERAGEIFS(Table1[value],Table1[IndicatorCode],Table1[[#This Row],[IndicatorCode]])</f>
        <v>24902.88753799392</v>
      </c>
      <c r="I4603" cm="1">
        <f t="array" ref="I4603">_xlfn.STDEV.P(IF(Table1[IndicatorCode]=Table1[[#This Row],[IndicatorCode]],Table1[value]))</f>
        <v>26324.778297809873</v>
      </c>
      <c r="J4603">
        <f>(Table1[[#This Row],[value]] - Table1[[#This Row],[mean]]) / Table1[[#This Row],[std_dev]]</f>
        <v>-0.7923290863850968</v>
      </c>
      <c r="K4603">
        <f>AVERAGEIF(Table1[CountryCode],Table1[[#This Row],[CountryCode]],Table1[z-score])</f>
        <v>-0.54328248635894838</v>
      </c>
      <c r="L4603" t="e">
        <f>VLOOKUP(Table1[[#This Row],[CountryCode]],[1]!Table1[#All],1,FALSE)</f>
        <v>#REF!</v>
      </c>
    </row>
    <row r="4604" spans="1:12" hidden="1" x14ac:dyDescent="0.3">
      <c r="A4604" t="s">
        <v>7</v>
      </c>
      <c r="B4604" t="s">
        <v>8</v>
      </c>
      <c r="C4604" t="s">
        <v>127</v>
      </c>
      <c r="D4604" t="s">
        <v>128</v>
      </c>
      <c r="E4604">
        <v>2015</v>
      </c>
      <c r="F4604" s="1">
        <v>4200</v>
      </c>
      <c r="G4604">
        <v>2010</v>
      </c>
      <c r="H4604">
        <f>AVERAGEIFS(Table1[value],Table1[IndicatorCode],Table1[[#This Row],[IndicatorCode]])</f>
        <v>24902.88753799392</v>
      </c>
      <c r="I4604" cm="1">
        <f t="array" ref="I4604">_xlfn.STDEV.P(IF(Table1[IndicatorCode]=Table1[[#This Row],[IndicatorCode]],Table1[value]))</f>
        <v>26324.778297809873</v>
      </c>
      <c r="J4604">
        <f>(Table1[[#This Row],[value]] - Table1[[#This Row],[mean]]) / Table1[[#This Row],[std_dev]]</f>
        <v>-0.78644109757673919</v>
      </c>
      <c r="K4604">
        <f>AVERAGEIF(Table1[CountryCode],Table1[[#This Row],[CountryCode]],Table1[z-score])</f>
        <v>-0.54328248635894838</v>
      </c>
      <c r="L4604" t="e">
        <f>VLOOKUP(Table1[[#This Row],[CountryCode]],[1]!Table1[#All],1,FALSE)</f>
        <v>#REF!</v>
      </c>
    </row>
    <row r="4605" spans="1:12" hidden="1" x14ac:dyDescent="0.3">
      <c r="A4605" t="s">
        <v>7</v>
      </c>
      <c r="B4605" t="s">
        <v>8</v>
      </c>
      <c r="C4605" t="s">
        <v>127</v>
      </c>
      <c r="D4605" t="s">
        <v>128</v>
      </c>
      <c r="E4605">
        <v>2016</v>
      </c>
      <c r="F4605" s="1">
        <v>4432</v>
      </c>
      <c r="G4605">
        <v>2010</v>
      </c>
      <c r="H4605">
        <f>AVERAGEIFS(Table1[value],Table1[IndicatorCode],Table1[[#This Row],[IndicatorCode]])</f>
        <v>24902.88753799392</v>
      </c>
      <c r="I4605" cm="1">
        <f t="array" ref="I4605">_xlfn.STDEV.P(IF(Table1[IndicatorCode]=Table1[[#This Row],[IndicatorCode]],Table1[value]))</f>
        <v>26324.778297809873</v>
      </c>
      <c r="J4605">
        <f>(Table1[[#This Row],[value]] - Table1[[#This Row],[mean]]) / Table1[[#This Row],[std_dev]]</f>
        <v>-0.77762810787648773</v>
      </c>
      <c r="K4605">
        <f>AVERAGEIF(Table1[CountryCode],Table1[[#This Row],[CountryCode]],Table1[z-score])</f>
        <v>-0.54328248635894838</v>
      </c>
      <c r="L4605" t="e">
        <f>VLOOKUP(Table1[[#This Row],[CountryCode]],[1]!Table1[#All],1,FALSE)</f>
        <v>#REF!</v>
      </c>
    </row>
    <row r="4606" spans="1:12" hidden="1" x14ac:dyDescent="0.3">
      <c r="A4606" t="s">
        <v>7</v>
      </c>
      <c r="B4606" t="s">
        <v>8</v>
      </c>
      <c r="C4606" t="s">
        <v>127</v>
      </c>
      <c r="D4606" t="s">
        <v>128</v>
      </c>
      <c r="E4606">
        <v>2017</v>
      </c>
      <c r="F4606" s="1">
        <v>4648</v>
      </c>
      <c r="G4606">
        <v>2020</v>
      </c>
      <c r="H4606">
        <f>AVERAGEIFS(Table1[value],Table1[IndicatorCode],Table1[[#This Row],[IndicatorCode]])</f>
        <v>24902.88753799392</v>
      </c>
      <c r="I4606" cm="1">
        <f t="array" ref="I4606">_xlfn.STDEV.P(IF(Table1[IndicatorCode]=Table1[[#This Row],[IndicatorCode]],Table1[value]))</f>
        <v>26324.778297809873</v>
      </c>
      <c r="J4606">
        <f>(Table1[[#This Row],[value]] - Table1[[#This Row],[mean]]) / Table1[[#This Row],[std_dev]]</f>
        <v>-0.76942291056935719</v>
      </c>
      <c r="K4606">
        <f>AVERAGEIF(Table1[CountryCode],Table1[[#This Row],[CountryCode]],Table1[z-score])</f>
        <v>-0.54328248635894838</v>
      </c>
      <c r="L4606" t="e">
        <f>VLOOKUP(Table1[[#This Row],[CountryCode]],[1]!Table1[#All],1,FALSE)</f>
        <v>#REF!</v>
      </c>
    </row>
    <row r="4607" spans="1:12" hidden="1" x14ac:dyDescent="0.3">
      <c r="A4607" t="s">
        <v>7</v>
      </c>
      <c r="B4607" t="s">
        <v>8</v>
      </c>
      <c r="C4607" t="s">
        <v>127</v>
      </c>
      <c r="D4607" t="s">
        <v>128</v>
      </c>
      <c r="E4607">
        <v>2018</v>
      </c>
      <c r="F4607" s="1">
        <v>4894</v>
      </c>
      <c r="G4607">
        <v>2020</v>
      </c>
      <c r="H4607">
        <f>AVERAGEIFS(Table1[value],Table1[IndicatorCode],Table1[[#This Row],[IndicatorCode]])</f>
        <v>24902.88753799392</v>
      </c>
      <c r="I4607" cm="1">
        <f t="array" ref="I4607">_xlfn.STDEV.P(IF(Table1[IndicatorCode]=Table1[[#This Row],[IndicatorCode]],Table1[value]))</f>
        <v>26324.778297809873</v>
      </c>
      <c r="J4607">
        <f>(Table1[[#This Row],[value]] - Table1[[#This Row],[mean]]) / Table1[[#This Row],[std_dev]]</f>
        <v>-0.76007810252512509</v>
      </c>
      <c r="K4607">
        <f>AVERAGEIF(Table1[CountryCode],Table1[[#This Row],[CountryCode]],Table1[z-score])</f>
        <v>-0.54328248635894838</v>
      </c>
      <c r="L4607" t="e">
        <f>VLOOKUP(Table1[[#This Row],[CountryCode]],[1]!Table1[#All],1,FALSE)</f>
        <v>#REF!</v>
      </c>
    </row>
    <row r="4608" spans="1:12" hidden="1" x14ac:dyDescent="0.3">
      <c r="A4608" t="s">
        <v>7</v>
      </c>
      <c r="B4608" t="s">
        <v>8</v>
      </c>
      <c r="C4608" t="s">
        <v>127</v>
      </c>
      <c r="D4608" t="s">
        <v>128</v>
      </c>
      <c r="E4608">
        <v>2019</v>
      </c>
      <c r="F4608" s="1">
        <v>5072</v>
      </c>
      <c r="G4608">
        <v>2020</v>
      </c>
      <c r="H4608">
        <f>AVERAGEIFS(Table1[value],Table1[IndicatorCode],Table1[[#This Row],[IndicatorCode]])</f>
        <v>24902.88753799392</v>
      </c>
      <c r="I4608" cm="1">
        <f t="array" ref="I4608">_xlfn.STDEV.P(IF(Table1[IndicatorCode]=Table1[[#This Row],[IndicatorCode]],Table1[value]))</f>
        <v>26324.778297809873</v>
      </c>
      <c r="J4608">
        <f>(Table1[[#This Row],[value]] - Table1[[#This Row],[mean]]) / Table1[[#This Row],[std_dev]]</f>
        <v>-0.75331641215165634</v>
      </c>
      <c r="K4608">
        <f>AVERAGEIF(Table1[CountryCode],Table1[[#This Row],[CountryCode]],Table1[z-score])</f>
        <v>-0.54328248635894838</v>
      </c>
      <c r="L4608" t="e">
        <f>VLOOKUP(Table1[[#This Row],[CountryCode]],[1]!Table1[#All],1,FALSE)</f>
        <v>#REF!</v>
      </c>
    </row>
    <row r="4609" spans="1:12" x14ac:dyDescent="0.3">
      <c r="A4609" t="s">
        <v>73</v>
      </c>
      <c r="B4609" t="s">
        <v>74</v>
      </c>
      <c r="C4609" t="s">
        <v>127</v>
      </c>
      <c r="D4609" t="s">
        <v>128</v>
      </c>
      <c r="E4609">
        <v>2020</v>
      </c>
      <c r="F4609" s="1">
        <v>1093</v>
      </c>
      <c r="G4609">
        <v>2020</v>
      </c>
      <c r="H4609">
        <f>AVERAGEIFS(Table1[value],Table1[IndicatorCode],Table1[[#This Row],[IndicatorCode]])</f>
        <v>24902.88753799392</v>
      </c>
      <c r="I4609" cm="1">
        <f t="array" ref="I4609">_xlfn.STDEV.P(IF(Table1[IndicatorCode]=Table1[[#This Row],[IndicatorCode]],Table1[value]))</f>
        <v>26324.778297809873</v>
      </c>
      <c r="J4609">
        <f>(Table1[[#This Row],[value]] - Table1[[#This Row],[mean]]) / Table1[[#This Row],[std_dev]]</f>
        <v>-0.9044667829158819</v>
      </c>
      <c r="K4609">
        <f>AVERAGEIF(Table1[CountryCode],Table1[[#This Row],[CountryCode]],Table1[z-score])</f>
        <v>-0.90374566436467785</v>
      </c>
    </row>
    <row r="4610" spans="1:12" hidden="1" x14ac:dyDescent="0.3">
      <c r="A4610" t="s">
        <v>7</v>
      </c>
      <c r="B4610" t="s">
        <v>8</v>
      </c>
      <c r="C4610" t="s">
        <v>127</v>
      </c>
      <c r="D4610" t="s">
        <v>128</v>
      </c>
      <c r="E4610">
        <v>2021</v>
      </c>
      <c r="F4610" s="1">
        <v>5512</v>
      </c>
      <c r="G4610">
        <v>2020</v>
      </c>
      <c r="H4610">
        <f>AVERAGEIFS(Table1[value],Table1[IndicatorCode],Table1[[#This Row],[IndicatorCode]])</f>
        <v>24902.88753799392</v>
      </c>
      <c r="I4610" cm="1">
        <f t="array" ref="I4610">_xlfn.STDEV.P(IF(Table1[IndicatorCode]=Table1[[#This Row],[IndicatorCode]],Table1[value]))</f>
        <v>26324.778297809873</v>
      </c>
      <c r="J4610">
        <f>(Table1[[#This Row],[value]] - Table1[[#This Row],[mean]]) / Table1[[#This Row],[std_dev]]</f>
        <v>-0.73660212134083469</v>
      </c>
      <c r="K4610">
        <f>AVERAGEIF(Table1[CountryCode],Table1[[#This Row],[CountryCode]],Table1[z-score])</f>
        <v>-0.54328248635894838</v>
      </c>
      <c r="L4610" t="e">
        <f>VLOOKUP(Table1[[#This Row],[CountryCode]],[1]!Table1[#All],1,FALSE)</f>
        <v>#REF!</v>
      </c>
    </row>
    <row r="4611" spans="1:12" hidden="1" x14ac:dyDescent="0.3">
      <c r="A4611" t="s">
        <v>7</v>
      </c>
      <c r="B4611" t="s">
        <v>8</v>
      </c>
      <c r="C4611" t="s">
        <v>127</v>
      </c>
      <c r="D4611" t="s">
        <v>128</v>
      </c>
      <c r="E4611">
        <v>2022</v>
      </c>
      <c r="F4611" s="1">
        <v>5868</v>
      </c>
      <c r="G4611">
        <v>1970</v>
      </c>
      <c r="H4611">
        <f>AVERAGEIFS(Table1[value],Table1[IndicatorCode],Table1[[#This Row],[IndicatorCode]])</f>
        <v>24902.88753799392</v>
      </c>
      <c r="I4611" cm="1">
        <f t="array" ref="I4611">_xlfn.STDEV.P(IF(Table1[IndicatorCode]=Table1[[#This Row],[IndicatorCode]],Table1[value]))</f>
        <v>26324.778297809873</v>
      </c>
      <c r="J4611">
        <f>(Table1[[#This Row],[value]] - Table1[[#This Row],[mean]]) / Table1[[#This Row],[std_dev]]</f>
        <v>-0.72307874059389721</v>
      </c>
      <c r="K4611">
        <f>AVERAGEIF(Table1[CountryCode],Table1[[#This Row],[CountryCode]],Table1[z-score])</f>
        <v>-0.54328248635894838</v>
      </c>
      <c r="L4611" t="e">
        <f>VLOOKUP(Table1[[#This Row],[CountryCode]],[1]!Table1[#All],1,FALSE)</f>
        <v>#REF!</v>
      </c>
    </row>
    <row r="4612" spans="1:12" hidden="1" x14ac:dyDescent="0.3">
      <c r="A4612" t="s">
        <v>7</v>
      </c>
      <c r="B4612" t="s">
        <v>8</v>
      </c>
      <c r="C4612" t="s">
        <v>127</v>
      </c>
      <c r="D4612" t="s">
        <v>128</v>
      </c>
      <c r="E4612">
        <v>2023</v>
      </c>
      <c r="F4612" s="1">
        <v>6198</v>
      </c>
      <c r="G4612">
        <v>1970</v>
      </c>
      <c r="H4612">
        <f>AVERAGEIFS(Table1[value],Table1[IndicatorCode],Table1[[#This Row],[IndicatorCode]])</f>
        <v>24902.88753799392</v>
      </c>
      <c r="I4612" cm="1">
        <f t="array" ref="I4612">_xlfn.STDEV.P(IF(Table1[IndicatorCode]=Table1[[#This Row],[IndicatorCode]],Table1[value]))</f>
        <v>26324.778297809873</v>
      </c>
      <c r="J4612">
        <f>(Table1[[#This Row],[value]] - Table1[[#This Row],[mean]]) / Table1[[#This Row],[std_dev]]</f>
        <v>-0.71054302248578094</v>
      </c>
      <c r="K4612">
        <f>AVERAGEIF(Table1[CountryCode],Table1[[#This Row],[CountryCode]],Table1[z-score])</f>
        <v>-0.54328248635894838</v>
      </c>
      <c r="L4612" t="e">
        <f>VLOOKUP(Table1[[#This Row],[CountryCode]],[1]!Table1[#All],1,FALSE)</f>
        <v>#REF!</v>
      </c>
    </row>
    <row r="4613" spans="1:12" hidden="1" x14ac:dyDescent="0.3">
      <c r="A4613" t="s">
        <v>7</v>
      </c>
      <c r="B4613" t="s">
        <v>8</v>
      </c>
      <c r="C4613" t="s">
        <v>127</v>
      </c>
      <c r="D4613" t="s">
        <v>128</v>
      </c>
      <c r="E4613">
        <v>2024</v>
      </c>
      <c r="F4613" s="1">
        <v>6549</v>
      </c>
      <c r="G4613">
        <v>1970</v>
      </c>
      <c r="H4613">
        <f>AVERAGEIFS(Table1[value],Table1[IndicatorCode],Table1[[#This Row],[IndicatorCode]])</f>
        <v>24902.88753799392</v>
      </c>
      <c r="I4613" cm="1">
        <f t="array" ref="I4613">_xlfn.STDEV.P(IF(Table1[IndicatorCode]=Table1[[#This Row],[IndicatorCode]],Table1[value]))</f>
        <v>26324.778297809873</v>
      </c>
      <c r="J4613">
        <f>(Table1[[#This Row],[value]] - Table1[[#This Row],[mean]]) / Table1[[#This Row],[std_dev]]</f>
        <v>-0.69720957686169371</v>
      </c>
      <c r="K4613">
        <f>AVERAGEIF(Table1[CountryCode],Table1[[#This Row],[CountryCode]],Table1[z-score])</f>
        <v>-0.54328248635894838</v>
      </c>
      <c r="L4613" t="e">
        <f>VLOOKUP(Table1[[#This Row],[CountryCode]],[1]!Table1[#All],1,FALSE)</f>
        <v>#REF!</v>
      </c>
    </row>
    <row r="4614" spans="1:12" hidden="1" x14ac:dyDescent="0.3">
      <c r="A4614" t="s">
        <v>11</v>
      </c>
      <c r="B4614" t="s">
        <v>12</v>
      </c>
      <c r="C4614" t="s">
        <v>127</v>
      </c>
      <c r="D4614" t="s">
        <v>128</v>
      </c>
      <c r="E4614">
        <v>1970</v>
      </c>
      <c r="F4614" s="1">
        <v>43006</v>
      </c>
      <c r="G4614">
        <v>1970</v>
      </c>
      <c r="H4614">
        <f>AVERAGEIFS(Table1[value],Table1[IndicatorCode],Table1[[#This Row],[IndicatorCode]])</f>
        <v>24902.88753799392</v>
      </c>
      <c r="I4614" cm="1">
        <f t="array" ref="I4614">_xlfn.STDEV.P(IF(Table1[IndicatorCode]=Table1[[#This Row],[IndicatorCode]],Table1[value]))</f>
        <v>26324.778297809873</v>
      </c>
      <c r="J4614">
        <f>(Table1[[#This Row],[value]] - Table1[[#This Row],[mean]]) / Table1[[#This Row],[std_dev]]</f>
        <v>0.68768337788858769</v>
      </c>
      <c r="K4614">
        <f>AVERAGEIF(Table1[CountryCode],Table1[[#This Row],[CountryCode]],Table1[z-score])</f>
        <v>0.63319255148184794</v>
      </c>
      <c r="L4614" t="e">
        <f>VLOOKUP(Table1[[#This Row],[CountryCode]],[1]!Table1[#All],1,FALSE)</f>
        <v>#REF!</v>
      </c>
    </row>
    <row r="4615" spans="1:12" hidden="1" x14ac:dyDescent="0.3">
      <c r="A4615" t="s">
        <v>11</v>
      </c>
      <c r="B4615" t="s">
        <v>12</v>
      </c>
      <c r="C4615" t="s">
        <v>127</v>
      </c>
      <c r="D4615" t="s">
        <v>128</v>
      </c>
      <c r="E4615">
        <v>1971</v>
      </c>
      <c r="F4615" s="1">
        <v>41930</v>
      </c>
      <c r="G4615">
        <v>1970</v>
      </c>
      <c r="H4615">
        <f>AVERAGEIFS(Table1[value],Table1[IndicatorCode],Table1[[#This Row],[IndicatorCode]])</f>
        <v>24902.88753799392</v>
      </c>
      <c r="I4615" cm="1">
        <f t="array" ref="I4615">_xlfn.STDEV.P(IF(Table1[IndicatorCode]=Table1[[#This Row],[IndicatorCode]],Table1[value]))</f>
        <v>26324.778297809873</v>
      </c>
      <c r="J4615">
        <f>(Table1[[#This Row],[value]] - Table1[[#This Row],[mean]]) / Table1[[#This Row],[std_dev]]</f>
        <v>0.64680933945121488</v>
      </c>
      <c r="K4615">
        <f>AVERAGEIF(Table1[CountryCode],Table1[[#This Row],[CountryCode]],Table1[z-score])</f>
        <v>0.63319255148184794</v>
      </c>
      <c r="L4615" t="e">
        <f>VLOOKUP(Table1[[#This Row],[CountryCode]],[1]!Table1[#All],1,FALSE)</f>
        <v>#REF!</v>
      </c>
    </row>
    <row r="4616" spans="1:12" hidden="1" x14ac:dyDescent="0.3">
      <c r="A4616" t="s">
        <v>11</v>
      </c>
      <c r="B4616" t="s">
        <v>12</v>
      </c>
      <c r="C4616" t="s">
        <v>127</v>
      </c>
      <c r="D4616" t="s">
        <v>128</v>
      </c>
      <c r="E4616">
        <v>1972</v>
      </c>
      <c r="F4616" s="1">
        <v>42355</v>
      </c>
      <c r="G4616">
        <v>1970</v>
      </c>
      <c r="H4616">
        <f>AVERAGEIFS(Table1[value],Table1[IndicatorCode],Table1[[#This Row],[IndicatorCode]])</f>
        <v>24902.88753799392</v>
      </c>
      <c r="I4616" cm="1">
        <f t="array" ref="I4616">_xlfn.STDEV.P(IF(Table1[IndicatorCode]=Table1[[#This Row],[IndicatorCode]],Table1[value]))</f>
        <v>26324.778297809873</v>
      </c>
      <c r="J4616">
        <f>(Table1[[#This Row],[value]] - Table1[[#This Row],[mean]]) / Table1[[#This Row],[std_dev]]</f>
        <v>0.66295382489348575</v>
      </c>
      <c r="K4616">
        <f>AVERAGEIF(Table1[CountryCode],Table1[[#This Row],[CountryCode]],Table1[z-score])</f>
        <v>0.63319255148184794</v>
      </c>
      <c r="L4616" t="e">
        <f>VLOOKUP(Table1[[#This Row],[CountryCode]],[1]!Table1[#All],1,FALSE)</f>
        <v>#REF!</v>
      </c>
    </row>
    <row r="4617" spans="1:12" hidden="1" x14ac:dyDescent="0.3">
      <c r="A4617" t="s">
        <v>11</v>
      </c>
      <c r="B4617" t="s">
        <v>12</v>
      </c>
      <c r="C4617" t="s">
        <v>127</v>
      </c>
      <c r="D4617" t="s">
        <v>128</v>
      </c>
      <c r="E4617">
        <v>1973</v>
      </c>
      <c r="F4617" s="1">
        <v>42738</v>
      </c>
      <c r="G4617">
        <v>1970</v>
      </c>
      <c r="H4617">
        <f>AVERAGEIFS(Table1[value],Table1[IndicatorCode],Table1[[#This Row],[IndicatorCode]])</f>
        <v>24902.88753799392</v>
      </c>
      <c r="I4617" cm="1">
        <f t="array" ref="I4617">_xlfn.STDEV.P(IF(Table1[IndicatorCode]=Table1[[#This Row],[IndicatorCode]],Table1[value]))</f>
        <v>26324.778297809873</v>
      </c>
      <c r="J4617">
        <f>(Table1[[#This Row],[value]] - Table1[[#This Row],[mean]]) / Table1[[#This Row],[std_dev]]</f>
        <v>0.6775028553038146</v>
      </c>
      <c r="K4617">
        <f>AVERAGEIF(Table1[CountryCode],Table1[[#This Row],[CountryCode]],Table1[z-score])</f>
        <v>0.63319255148184794</v>
      </c>
      <c r="L4617" t="e">
        <f>VLOOKUP(Table1[[#This Row],[CountryCode]],[1]!Table1[#All],1,FALSE)</f>
        <v>#REF!</v>
      </c>
    </row>
    <row r="4618" spans="1:12" hidden="1" x14ac:dyDescent="0.3">
      <c r="A4618" t="s">
        <v>11</v>
      </c>
      <c r="B4618" t="s">
        <v>12</v>
      </c>
      <c r="C4618" t="s">
        <v>127</v>
      </c>
      <c r="D4618" t="s">
        <v>128</v>
      </c>
      <c r="E4618">
        <v>1974</v>
      </c>
      <c r="F4618" s="1">
        <v>42363</v>
      </c>
      <c r="G4618">
        <v>1970</v>
      </c>
      <c r="H4618">
        <f>AVERAGEIFS(Table1[value],Table1[IndicatorCode],Table1[[#This Row],[IndicatorCode]])</f>
        <v>24902.88753799392</v>
      </c>
      <c r="I4618" cm="1">
        <f t="array" ref="I4618">_xlfn.STDEV.P(IF(Table1[IndicatorCode]=Table1[[#This Row],[IndicatorCode]],Table1[value]))</f>
        <v>26324.778297809873</v>
      </c>
      <c r="J4618">
        <f>(Table1[[#This Row],[value]] - Table1[[#This Row],[mean]]) / Table1[[#This Row],[std_dev]]</f>
        <v>0.6632577210900461</v>
      </c>
      <c r="K4618">
        <f>AVERAGEIF(Table1[CountryCode],Table1[[#This Row],[CountryCode]],Table1[z-score])</f>
        <v>0.63319255148184794</v>
      </c>
      <c r="L4618" t="e">
        <f>VLOOKUP(Table1[[#This Row],[CountryCode]],[1]!Table1[#All],1,FALSE)</f>
        <v>#REF!</v>
      </c>
    </row>
    <row r="4619" spans="1:12" hidden="1" x14ac:dyDescent="0.3">
      <c r="A4619" t="s">
        <v>11</v>
      </c>
      <c r="B4619" t="s">
        <v>12</v>
      </c>
      <c r="C4619" t="s">
        <v>127</v>
      </c>
      <c r="D4619" t="s">
        <v>128</v>
      </c>
      <c r="E4619">
        <v>1975</v>
      </c>
      <c r="F4619" s="1">
        <v>40073</v>
      </c>
      <c r="G4619">
        <v>1970</v>
      </c>
      <c r="H4619">
        <f>AVERAGEIFS(Table1[value],Table1[IndicatorCode],Table1[[#This Row],[IndicatorCode]])</f>
        <v>24902.88753799392</v>
      </c>
      <c r="I4619" cm="1">
        <f t="array" ref="I4619">_xlfn.STDEV.P(IF(Table1[IndicatorCode]=Table1[[#This Row],[IndicatorCode]],Table1[value]))</f>
        <v>26324.778297809873</v>
      </c>
      <c r="J4619">
        <f>(Table1[[#This Row],[value]] - Table1[[#This Row],[mean]]) / Table1[[#This Row],[std_dev]]</f>
        <v>0.57626743482463361</v>
      </c>
      <c r="K4619">
        <f>AVERAGEIF(Table1[CountryCode],Table1[[#This Row],[CountryCode]],Table1[z-score])</f>
        <v>0.63319255148184794</v>
      </c>
      <c r="L4619" t="e">
        <f>VLOOKUP(Table1[[#This Row],[CountryCode]],[1]!Table1[#All],1,FALSE)</f>
        <v>#REF!</v>
      </c>
    </row>
    <row r="4620" spans="1:12" hidden="1" x14ac:dyDescent="0.3">
      <c r="A4620" t="s">
        <v>11</v>
      </c>
      <c r="B4620" t="s">
        <v>12</v>
      </c>
      <c r="C4620" t="s">
        <v>127</v>
      </c>
      <c r="D4620" t="s">
        <v>128</v>
      </c>
      <c r="E4620">
        <v>1976</v>
      </c>
      <c r="F4620" s="1">
        <v>39059</v>
      </c>
      <c r="G4620">
        <v>1970</v>
      </c>
      <c r="H4620">
        <f>AVERAGEIFS(Table1[value],Table1[IndicatorCode],Table1[[#This Row],[IndicatorCode]])</f>
        <v>24902.88753799392</v>
      </c>
      <c r="I4620" cm="1">
        <f t="array" ref="I4620">_xlfn.STDEV.P(IF(Table1[IndicatorCode]=Table1[[#This Row],[IndicatorCode]],Table1[value]))</f>
        <v>26324.778297809873</v>
      </c>
      <c r="J4620">
        <f>(Table1[[#This Row],[value]] - Table1[[#This Row],[mean]]) / Table1[[#This Row],[std_dev]]</f>
        <v>0.53774859191060376</v>
      </c>
      <c r="K4620">
        <f>AVERAGEIF(Table1[CountryCode],Table1[[#This Row],[CountryCode]],Table1[z-score])</f>
        <v>0.63319255148184794</v>
      </c>
      <c r="L4620" t="e">
        <f>VLOOKUP(Table1[[#This Row],[CountryCode]],[1]!Table1[#All],1,FALSE)</f>
        <v>#REF!</v>
      </c>
    </row>
    <row r="4621" spans="1:12" hidden="1" x14ac:dyDescent="0.3">
      <c r="A4621" t="s">
        <v>11</v>
      </c>
      <c r="B4621" t="s">
        <v>12</v>
      </c>
      <c r="C4621" t="s">
        <v>127</v>
      </c>
      <c r="D4621" t="s">
        <v>128</v>
      </c>
      <c r="E4621">
        <v>1977</v>
      </c>
      <c r="F4621" s="1">
        <v>38022</v>
      </c>
      <c r="G4621">
        <v>1980</v>
      </c>
      <c r="H4621">
        <f>AVERAGEIFS(Table1[value],Table1[IndicatorCode],Table1[[#This Row],[IndicatorCode]])</f>
        <v>24902.88753799392</v>
      </c>
      <c r="I4621" cm="1">
        <f t="array" ref="I4621">_xlfn.STDEV.P(IF(Table1[IndicatorCode]=Table1[[#This Row],[IndicatorCode]],Table1[value]))</f>
        <v>26324.778297809873</v>
      </c>
      <c r="J4621">
        <f>(Table1[[#This Row],[value]] - Table1[[#This Row],[mean]]) / Table1[[#This Row],[std_dev]]</f>
        <v>0.49835604743146283</v>
      </c>
      <c r="K4621">
        <f>AVERAGEIF(Table1[CountryCode],Table1[[#This Row],[CountryCode]],Table1[z-score])</f>
        <v>0.63319255148184794</v>
      </c>
      <c r="L4621" t="e">
        <f>VLOOKUP(Table1[[#This Row],[CountryCode]],[1]!Table1[#All],1,FALSE)</f>
        <v>#REF!</v>
      </c>
    </row>
    <row r="4622" spans="1:12" hidden="1" x14ac:dyDescent="0.3">
      <c r="A4622" t="s">
        <v>11</v>
      </c>
      <c r="B4622" t="s">
        <v>12</v>
      </c>
      <c r="C4622" t="s">
        <v>127</v>
      </c>
      <c r="D4622" t="s">
        <v>128</v>
      </c>
      <c r="E4622">
        <v>1978</v>
      </c>
      <c r="F4622" s="1">
        <v>36648</v>
      </c>
      <c r="G4622">
        <v>1980</v>
      </c>
      <c r="H4622">
        <f>AVERAGEIFS(Table1[value],Table1[IndicatorCode],Table1[[#This Row],[IndicatorCode]])</f>
        <v>24902.88753799392</v>
      </c>
      <c r="I4622" cm="1">
        <f t="array" ref="I4622">_xlfn.STDEV.P(IF(Table1[IndicatorCode]=Table1[[#This Row],[IndicatorCode]],Table1[value]))</f>
        <v>26324.778297809873</v>
      </c>
      <c r="J4622">
        <f>(Table1[[#This Row],[value]] - Table1[[#This Row],[mean]]) / Table1[[#This Row],[std_dev]]</f>
        <v>0.44616187567221532</v>
      </c>
      <c r="K4622">
        <f>AVERAGEIF(Table1[CountryCode],Table1[[#This Row],[CountryCode]],Table1[z-score])</f>
        <v>0.63319255148184794</v>
      </c>
      <c r="L4622" t="e">
        <f>VLOOKUP(Table1[[#This Row],[CountryCode]],[1]!Table1[#All],1,FALSE)</f>
        <v>#REF!</v>
      </c>
    </row>
    <row r="4623" spans="1:12" hidden="1" x14ac:dyDescent="0.3">
      <c r="A4623" t="s">
        <v>11</v>
      </c>
      <c r="B4623" t="s">
        <v>12</v>
      </c>
      <c r="C4623" t="s">
        <v>127</v>
      </c>
      <c r="D4623" t="s">
        <v>128</v>
      </c>
      <c r="E4623">
        <v>1979</v>
      </c>
      <c r="F4623" s="1">
        <v>34984</v>
      </c>
      <c r="G4623">
        <v>1980</v>
      </c>
      <c r="H4623">
        <f>AVERAGEIFS(Table1[value],Table1[IndicatorCode],Table1[[#This Row],[IndicatorCode]])</f>
        <v>24902.88753799392</v>
      </c>
      <c r="I4623" cm="1">
        <f t="array" ref="I4623">_xlfn.STDEV.P(IF(Table1[IndicatorCode]=Table1[[#This Row],[IndicatorCode]],Table1[value]))</f>
        <v>26324.778297809873</v>
      </c>
      <c r="J4623">
        <f>(Table1[[#This Row],[value]] - Table1[[#This Row],[mean]]) / Table1[[#This Row],[std_dev]]</f>
        <v>0.38295146678765352</v>
      </c>
      <c r="K4623">
        <f>AVERAGEIF(Table1[CountryCode],Table1[[#This Row],[CountryCode]],Table1[z-score])</f>
        <v>0.63319255148184794</v>
      </c>
      <c r="L4623" t="e">
        <f>VLOOKUP(Table1[[#This Row],[CountryCode]],[1]!Table1[#All],1,FALSE)</f>
        <v>#REF!</v>
      </c>
    </row>
    <row r="4624" spans="1:12" hidden="1" x14ac:dyDescent="0.3">
      <c r="A4624" t="s">
        <v>11</v>
      </c>
      <c r="B4624" t="s">
        <v>12</v>
      </c>
      <c r="C4624" t="s">
        <v>127</v>
      </c>
      <c r="D4624" t="s">
        <v>128</v>
      </c>
      <c r="E4624">
        <v>1980</v>
      </c>
      <c r="F4624" s="1">
        <v>34282</v>
      </c>
      <c r="G4624">
        <v>1980</v>
      </c>
      <c r="H4624">
        <f>AVERAGEIFS(Table1[value],Table1[IndicatorCode],Table1[[#This Row],[IndicatorCode]])</f>
        <v>24902.88753799392</v>
      </c>
      <c r="I4624" cm="1">
        <f t="array" ref="I4624">_xlfn.STDEV.P(IF(Table1[IndicatorCode]=Table1[[#This Row],[IndicatorCode]],Table1[value]))</f>
        <v>26324.778297809873</v>
      </c>
      <c r="J4624">
        <f>(Table1[[#This Row],[value]] - Table1[[#This Row],[mean]]) / Table1[[#This Row],[std_dev]]</f>
        <v>0.35628457553947901</v>
      </c>
      <c r="K4624">
        <f>AVERAGEIF(Table1[CountryCode],Table1[[#This Row],[CountryCode]],Table1[z-score])</f>
        <v>0.63319255148184794</v>
      </c>
      <c r="L4624" t="e">
        <f>VLOOKUP(Table1[[#This Row],[CountryCode]],[1]!Table1[#All],1,FALSE)</f>
        <v>#REF!</v>
      </c>
    </row>
    <row r="4625" spans="1:12" hidden="1" x14ac:dyDescent="0.3">
      <c r="A4625" t="s">
        <v>11</v>
      </c>
      <c r="B4625" t="s">
        <v>12</v>
      </c>
      <c r="C4625" t="s">
        <v>127</v>
      </c>
      <c r="D4625" t="s">
        <v>128</v>
      </c>
      <c r="E4625">
        <v>1981</v>
      </c>
      <c r="F4625" s="1">
        <v>32959</v>
      </c>
      <c r="G4625">
        <v>1980</v>
      </c>
      <c r="H4625">
        <f>AVERAGEIFS(Table1[value],Table1[IndicatorCode],Table1[[#This Row],[IndicatorCode]])</f>
        <v>24902.88753799392</v>
      </c>
      <c r="I4625" cm="1">
        <f t="array" ref="I4625">_xlfn.STDEV.P(IF(Table1[IndicatorCode]=Table1[[#This Row],[IndicatorCode]],Table1[value]))</f>
        <v>26324.778297809873</v>
      </c>
      <c r="J4625">
        <f>(Table1[[#This Row],[value]] - Table1[[#This Row],[mean]]) / Table1[[#This Row],[std_dev]]</f>
        <v>0.30602774203330402</v>
      </c>
      <c r="K4625">
        <f>AVERAGEIF(Table1[CountryCode],Table1[[#This Row],[CountryCode]],Table1[z-score])</f>
        <v>0.63319255148184794</v>
      </c>
      <c r="L4625" t="e">
        <f>VLOOKUP(Table1[[#This Row],[CountryCode]],[1]!Table1[#All],1,FALSE)</f>
        <v>#REF!</v>
      </c>
    </row>
    <row r="4626" spans="1:12" hidden="1" x14ac:dyDescent="0.3">
      <c r="A4626" t="s">
        <v>11</v>
      </c>
      <c r="B4626" t="s">
        <v>12</v>
      </c>
      <c r="C4626" t="s">
        <v>127</v>
      </c>
      <c r="D4626" t="s">
        <v>128</v>
      </c>
      <c r="E4626">
        <v>1982</v>
      </c>
      <c r="F4626" s="1">
        <v>31997</v>
      </c>
      <c r="G4626">
        <v>1980</v>
      </c>
      <c r="H4626">
        <f>AVERAGEIFS(Table1[value],Table1[IndicatorCode],Table1[[#This Row],[IndicatorCode]])</f>
        <v>24902.88753799392</v>
      </c>
      <c r="I4626" cm="1">
        <f t="array" ref="I4626">_xlfn.STDEV.P(IF(Table1[IndicatorCode]=Table1[[#This Row],[IndicatorCode]],Table1[value]))</f>
        <v>26324.778297809873</v>
      </c>
      <c r="J4626">
        <f>(Table1[[#This Row],[value]] - Table1[[#This Row],[mean]]) / Table1[[#This Row],[std_dev]]</f>
        <v>0.26948422439691677</v>
      </c>
      <c r="K4626">
        <f>AVERAGEIF(Table1[CountryCode],Table1[[#This Row],[CountryCode]],Table1[z-score])</f>
        <v>0.63319255148184794</v>
      </c>
      <c r="L4626" t="e">
        <f>VLOOKUP(Table1[[#This Row],[CountryCode]],[1]!Table1[#All],1,FALSE)</f>
        <v>#REF!</v>
      </c>
    </row>
    <row r="4627" spans="1:12" hidden="1" x14ac:dyDescent="0.3">
      <c r="A4627" t="s">
        <v>11</v>
      </c>
      <c r="B4627" t="s">
        <v>12</v>
      </c>
      <c r="C4627" t="s">
        <v>127</v>
      </c>
      <c r="D4627" t="s">
        <v>128</v>
      </c>
      <c r="E4627">
        <v>1983</v>
      </c>
      <c r="F4627" s="1">
        <v>31117</v>
      </c>
      <c r="G4627">
        <v>1980</v>
      </c>
      <c r="H4627">
        <f>AVERAGEIFS(Table1[value],Table1[IndicatorCode],Table1[[#This Row],[IndicatorCode]])</f>
        <v>24902.88753799392</v>
      </c>
      <c r="I4627" cm="1">
        <f t="array" ref="I4627">_xlfn.STDEV.P(IF(Table1[IndicatorCode]=Table1[[#This Row],[IndicatorCode]],Table1[value]))</f>
        <v>26324.778297809873</v>
      </c>
      <c r="J4627">
        <f>(Table1[[#This Row],[value]] - Table1[[#This Row],[mean]]) / Table1[[#This Row],[std_dev]]</f>
        <v>0.23605564277527352</v>
      </c>
      <c r="K4627">
        <f>AVERAGEIF(Table1[CountryCode],Table1[[#This Row],[CountryCode]],Table1[z-score])</f>
        <v>0.63319255148184794</v>
      </c>
      <c r="L4627" t="e">
        <f>VLOOKUP(Table1[[#This Row],[CountryCode]],[1]!Table1[#All],1,FALSE)</f>
        <v>#REF!</v>
      </c>
    </row>
    <row r="4628" spans="1:12" hidden="1" x14ac:dyDescent="0.3">
      <c r="A4628" t="s">
        <v>11</v>
      </c>
      <c r="B4628" t="s">
        <v>12</v>
      </c>
      <c r="C4628" t="s">
        <v>127</v>
      </c>
      <c r="D4628" t="s">
        <v>128</v>
      </c>
      <c r="E4628">
        <v>1984</v>
      </c>
      <c r="F4628" s="1">
        <v>30393</v>
      </c>
      <c r="G4628">
        <v>1980</v>
      </c>
      <c r="H4628">
        <f>AVERAGEIFS(Table1[value],Table1[IndicatorCode],Table1[[#This Row],[IndicatorCode]])</f>
        <v>24902.88753799392</v>
      </c>
      <c r="I4628" cm="1">
        <f t="array" ref="I4628">_xlfn.STDEV.P(IF(Table1[IndicatorCode]=Table1[[#This Row],[IndicatorCode]],Table1[value]))</f>
        <v>26324.778297809873</v>
      </c>
      <c r="J4628">
        <f>(Table1[[#This Row],[value]] - Table1[[#This Row],[mean]]) / Table1[[#This Row],[std_dev]]</f>
        <v>0.20855303698655794</v>
      </c>
      <c r="K4628">
        <f>AVERAGEIF(Table1[CountryCode],Table1[[#This Row],[CountryCode]],Table1[z-score])</f>
        <v>0.63319255148184794</v>
      </c>
      <c r="L4628" t="e">
        <f>VLOOKUP(Table1[[#This Row],[CountryCode]],[1]!Table1[#All],1,FALSE)</f>
        <v>#REF!</v>
      </c>
    </row>
    <row r="4629" spans="1:12" hidden="1" x14ac:dyDescent="0.3">
      <c r="A4629" t="s">
        <v>11</v>
      </c>
      <c r="B4629" t="s">
        <v>12</v>
      </c>
      <c r="C4629" t="s">
        <v>127</v>
      </c>
      <c r="D4629" t="s">
        <v>128</v>
      </c>
      <c r="E4629">
        <v>1985</v>
      </c>
      <c r="F4629" s="1">
        <v>29997</v>
      </c>
      <c r="G4629">
        <v>1980</v>
      </c>
      <c r="H4629">
        <f>AVERAGEIFS(Table1[value],Table1[IndicatorCode],Table1[[#This Row],[IndicatorCode]])</f>
        <v>24902.88753799392</v>
      </c>
      <c r="I4629" cm="1">
        <f t="array" ref="I4629">_xlfn.STDEV.P(IF(Table1[IndicatorCode]=Table1[[#This Row],[IndicatorCode]],Table1[value]))</f>
        <v>26324.778297809873</v>
      </c>
      <c r="J4629">
        <f>(Table1[[#This Row],[value]] - Table1[[#This Row],[mean]]) / Table1[[#This Row],[std_dev]]</f>
        <v>0.19351017525681846</v>
      </c>
      <c r="K4629">
        <f>AVERAGEIF(Table1[CountryCode],Table1[[#This Row],[CountryCode]],Table1[z-score])</f>
        <v>0.63319255148184794</v>
      </c>
      <c r="L4629" t="e">
        <f>VLOOKUP(Table1[[#This Row],[CountryCode]],[1]!Table1[#All],1,FALSE)</f>
        <v>#REF!</v>
      </c>
    </row>
    <row r="4630" spans="1:12" hidden="1" x14ac:dyDescent="0.3">
      <c r="A4630" t="s">
        <v>11</v>
      </c>
      <c r="B4630" t="s">
        <v>12</v>
      </c>
      <c r="C4630" t="s">
        <v>127</v>
      </c>
      <c r="D4630" t="s">
        <v>128</v>
      </c>
      <c r="E4630">
        <v>1986</v>
      </c>
      <c r="F4630" s="1">
        <v>29680</v>
      </c>
      <c r="G4630">
        <v>1980</v>
      </c>
      <c r="H4630">
        <f>AVERAGEIFS(Table1[value],Table1[IndicatorCode],Table1[[#This Row],[IndicatorCode]])</f>
        <v>24902.88753799392</v>
      </c>
      <c r="I4630" cm="1">
        <f t="array" ref="I4630">_xlfn.STDEV.P(IF(Table1[IndicatorCode]=Table1[[#This Row],[IndicatorCode]],Table1[value]))</f>
        <v>26324.778297809873</v>
      </c>
      <c r="J4630">
        <f>(Table1[[#This Row],[value]] - Table1[[#This Row],[mean]]) / Table1[[#This Row],[std_dev]]</f>
        <v>0.18146828846811289</v>
      </c>
      <c r="K4630">
        <f>AVERAGEIF(Table1[CountryCode],Table1[[#This Row],[CountryCode]],Table1[z-score])</f>
        <v>0.63319255148184794</v>
      </c>
      <c r="L4630" t="e">
        <f>VLOOKUP(Table1[[#This Row],[CountryCode]],[1]!Table1[#All],1,FALSE)</f>
        <v>#REF!</v>
      </c>
    </row>
    <row r="4631" spans="1:12" hidden="1" x14ac:dyDescent="0.3">
      <c r="A4631" t="s">
        <v>11</v>
      </c>
      <c r="B4631" t="s">
        <v>12</v>
      </c>
      <c r="C4631" t="s">
        <v>127</v>
      </c>
      <c r="D4631" t="s">
        <v>128</v>
      </c>
      <c r="E4631">
        <v>1987</v>
      </c>
      <c r="F4631" s="1">
        <v>30065</v>
      </c>
      <c r="G4631">
        <v>1990</v>
      </c>
      <c r="H4631">
        <f>AVERAGEIFS(Table1[value],Table1[IndicatorCode],Table1[[#This Row],[IndicatorCode]])</f>
        <v>24902.88753799392</v>
      </c>
      <c r="I4631" cm="1">
        <f t="array" ref="I4631">_xlfn.STDEV.P(IF(Table1[IndicatorCode]=Table1[[#This Row],[IndicatorCode]],Table1[value]))</f>
        <v>26324.778297809873</v>
      </c>
      <c r="J4631">
        <f>(Table1[[#This Row],[value]] - Table1[[#This Row],[mean]]) / Table1[[#This Row],[std_dev]]</f>
        <v>0.19609329292758182</v>
      </c>
      <c r="K4631">
        <f>AVERAGEIF(Table1[CountryCode],Table1[[#This Row],[CountryCode]],Table1[z-score])</f>
        <v>0.63319255148184794</v>
      </c>
      <c r="L4631" t="e">
        <f>VLOOKUP(Table1[[#This Row],[CountryCode]],[1]!Table1[#All],1,FALSE)</f>
        <v>#REF!</v>
      </c>
    </row>
    <row r="4632" spans="1:12" hidden="1" x14ac:dyDescent="0.3">
      <c r="A4632" t="s">
        <v>11</v>
      </c>
      <c r="B4632" t="s">
        <v>12</v>
      </c>
      <c r="C4632" t="s">
        <v>127</v>
      </c>
      <c r="D4632" t="s">
        <v>128</v>
      </c>
      <c r="E4632">
        <v>1988</v>
      </c>
      <c r="F4632" s="1">
        <v>30469</v>
      </c>
      <c r="G4632">
        <v>1990</v>
      </c>
      <c r="H4632">
        <f>AVERAGEIFS(Table1[value],Table1[IndicatorCode],Table1[[#This Row],[IndicatorCode]])</f>
        <v>24902.88753799392</v>
      </c>
      <c r="I4632" cm="1">
        <f t="array" ref="I4632">_xlfn.STDEV.P(IF(Table1[IndicatorCode]=Table1[[#This Row],[IndicatorCode]],Table1[value]))</f>
        <v>26324.778297809873</v>
      </c>
      <c r="J4632">
        <f>(Table1[[#This Row],[value]] - Table1[[#This Row],[mean]]) / Table1[[#This Row],[std_dev]]</f>
        <v>0.21144005085388168</v>
      </c>
      <c r="K4632">
        <f>AVERAGEIF(Table1[CountryCode],Table1[[#This Row],[CountryCode]],Table1[z-score])</f>
        <v>0.63319255148184794</v>
      </c>
      <c r="L4632" t="e">
        <f>VLOOKUP(Table1[[#This Row],[CountryCode]],[1]!Table1[#All],1,FALSE)</f>
        <v>#REF!</v>
      </c>
    </row>
    <row r="4633" spans="1:12" hidden="1" x14ac:dyDescent="0.3">
      <c r="A4633" t="s">
        <v>11</v>
      </c>
      <c r="B4633" t="s">
        <v>12</v>
      </c>
      <c r="C4633" t="s">
        <v>127</v>
      </c>
      <c r="D4633" t="s">
        <v>128</v>
      </c>
      <c r="E4633">
        <v>1989</v>
      </c>
      <c r="F4633" s="1">
        <v>31180</v>
      </c>
      <c r="G4633">
        <v>1990</v>
      </c>
      <c r="H4633">
        <f>AVERAGEIFS(Table1[value],Table1[IndicatorCode],Table1[[#This Row],[IndicatorCode]])</f>
        <v>24902.88753799392</v>
      </c>
      <c r="I4633" cm="1">
        <f t="array" ref="I4633">_xlfn.STDEV.P(IF(Table1[IndicatorCode]=Table1[[#This Row],[IndicatorCode]],Table1[value]))</f>
        <v>26324.778297809873</v>
      </c>
      <c r="J4633">
        <f>(Table1[[#This Row],[value]] - Table1[[#This Row],[mean]]) / Table1[[#This Row],[std_dev]]</f>
        <v>0.23844882532318659</v>
      </c>
      <c r="K4633">
        <f>AVERAGEIF(Table1[CountryCode],Table1[[#This Row],[CountryCode]],Table1[z-score])</f>
        <v>0.63319255148184794</v>
      </c>
      <c r="L4633" t="e">
        <f>VLOOKUP(Table1[[#This Row],[CountryCode]],[1]!Table1[#All],1,FALSE)</f>
        <v>#REF!</v>
      </c>
    </row>
    <row r="4634" spans="1:12" hidden="1" x14ac:dyDescent="0.3">
      <c r="A4634" t="s">
        <v>11</v>
      </c>
      <c r="B4634" t="s">
        <v>12</v>
      </c>
      <c r="C4634" t="s">
        <v>127</v>
      </c>
      <c r="D4634" t="s">
        <v>128</v>
      </c>
      <c r="E4634">
        <v>1990</v>
      </c>
      <c r="F4634" s="1">
        <v>31143</v>
      </c>
      <c r="G4634">
        <v>1990</v>
      </c>
      <c r="H4634">
        <f>AVERAGEIFS(Table1[value],Table1[IndicatorCode],Table1[[#This Row],[IndicatorCode]])</f>
        <v>24902.88753799392</v>
      </c>
      <c r="I4634" cm="1">
        <f t="array" ref="I4634">_xlfn.STDEV.P(IF(Table1[IndicatorCode]=Table1[[#This Row],[IndicatorCode]],Table1[value]))</f>
        <v>26324.778297809873</v>
      </c>
      <c r="J4634">
        <f>(Table1[[#This Row],[value]] - Table1[[#This Row],[mean]]) / Table1[[#This Row],[std_dev]]</f>
        <v>0.2370433054140948</v>
      </c>
      <c r="K4634">
        <f>AVERAGEIF(Table1[CountryCode],Table1[[#This Row],[CountryCode]],Table1[z-score])</f>
        <v>0.63319255148184794</v>
      </c>
      <c r="L4634" t="e">
        <f>VLOOKUP(Table1[[#This Row],[CountryCode]],[1]!Table1[#All],1,FALSE)</f>
        <v>#REF!</v>
      </c>
    </row>
    <row r="4635" spans="1:12" hidden="1" x14ac:dyDescent="0.3">
      <c r="A4635" t="s">
        <v>11</v>
      </c>
      <c r="B4635" t="s">
        <v>12</v>
      </c>
      <c r="C4635" t="s">
        <v>127</v>
      </c>
      <c r="D4635" t="s">
        <v>128</v>
      </c>
      <c r="E4635">
        <v>1991</v>
      </c>
      <c r="F4635" s="1">
        <v>29642</v>
      </c>
      <c r="G4635">
        <v>1990</v>
      </c>
      <c r="H4635">
        <f>AVERAGEIFS(Table1[value],Table1[IndicatorCode],Table1[[#This Row],[IndicatorCode]])</f>
        <v>24902.88753799392</v>
      </c>
      <c r="I4635" cm="1">
        <f t="array" ref="I4635">_xlfn.STDEV.P(IF(Table1[IndicatorCode]=Table1[[#This Row],[IndicatorCode]],Table1[value]))</f>
        <v>26324.778297809873</v>
      </c>
      <c r="J4635">
        <f>(Table1[[#This Row],[value]] - Table1[[#This Row],[mean]]) / Table1[[#This Row],[std_dev]]</f>
        <v>0.18002478153445103</v>
      </c>
      <c r="K4635">
        <f>AVERAGEIF(Table1[CountryCode],Table1[[#This Row],[CountryCode]],Table1[z-score])</f>
        <v>0.63319255148184794</v>
      </c>
      <c r="L4635" t="e">
        <f>VLOOKUP(Table1[[#This Row],[CountryCode]],[1]!Table1[#All],1,FALSE)</f>
        <v>#REF!</v>
      </c>
    </row>
    <row r="4636" spans="1:12" hidden="1" x14ac:dyDescent="0.3">
      <c r="A4636" t="s">
        <v>11</v>
      </c>
      <c r="B4636" t="s">
        <v>12</v>
      </c>
      <c r="C4636" t="s">
        <v>127</v>
      </c>
      <c r="D4636" t="s">
        <v>128</v>
      </c>
      <c r="E4636">
        <v>1992</v>
      </c>
      <c r="F4636" s="1">
        <v>28162</v>
      </c>
      <c r="G4636">
        <v>1990</v>
      </c>
      <c r="H4636">
        <f>AVERAGEIFS(Table1[value],Table1[IndicatorCode],Table1[[#This Row],[IndicatorCode]])</f>
        <v>24902.88753799392</v>
      </c>
      <c r="I4636" cm="1">
        <f t="array" ref="I4636">_xlfn.STDEV.P(IF(Table1[IndicatorCode]=Table1[[#This Row],[IndicatorCode]],Table1[value]))</f>
        <v>26324.778297809873</v>
      </c>
      <c r="J4636">
        <f>(Table1[[#This Row],[value]] - Table1[[#This Row],[mean]]) / Table1[[#This Row],[std_dev]]</f>
        <v>0.1238039851707783</v>
      </c>
      <c r="K4636">
        <f>AVERAGEIF(Table1[CountryCode],Table1[[#This Row],[CountryCode]],Table1[z-score])</f>
        <v>0.63319255148184794</v>
      </c>
      <c r="L4636" t="e">
        <f>VLOOKUP(Table1[[#This Row],[CountryCode]],[1]!Table1[#All],1,FALSE)</f>
        <v>#REF!</v>
      </c>
    </row>
    <row r="4637" spans="1:12" hidden="1" x14ac:dyDescent="0.3">
      <c r="A4637" t="s">
        <v>11</v>
      </c>
      <c r="B4637" t="s">
        <v>12</v>
      </c>
      <c r="C4637" t="s">
        <v>127</v>
      </c>
      <c r="D4637" t="s">
        <v>128</v>
      </c>
      <c r="E4637">
        <v>1993</v>
      </c>
      <c r="F4637" s="1">
        <v>26518</v>
      </c>
      <c r="G4637">
        <v>1990</v>
      </c>
      <c r="H4637">
        <f>AVERAGEIFS(Table1[value],Table1[IndicatorCode],Table1[[#This Row],[IndicatorCode]])</f>
        <v>24902.88753799392</v>
      </c>
      <c r="I4637" cm="1">
        <f t="array" ref="I4637">_xlfn.STDEV.P(IF(Table1[IndicatorCode]=Table1[[#This Row],[IndicatorCode]],Table1[value]))</f>
        <v>26324.778297809873</v>
      </c>
      <c r="J4637">
        <f>(Table1[[#This Row],[value]] - Table1[[#This Row],[mean]]) / Table1[[#This Row],[std_dev]]</f>
        <v>6.1353316777617517E-2</v>
      </c>
      <c r="K4637">
        <f>AVERAGEIF(Table1[CountryCode],Table1[[#This Row],[CountryCode]],Table1[z-score])</f>
        <v>0.63319255148184794</v>
      </c>
      <c r="L4637" t="e">
        <f>VLOOKUP(Table1[[#This Row],[CountryCode]],[1]!Table1[#All],1,FALSE)</f>
        <v>#REF!</v>
      </c>
    </row>
    <row r="4638" spans="1:12" hidden="1" x14ac:dyDescent="0.3">
      <c r="A4638" t="s">
        <v>11</v>
      </c>
      <c r="B4638" t="s">
        <v>12</v>
      </c>
      <c r="C4638" t="s">
        <v>127</v>
      </c>
      <c r="D4638" t="s">
        <v>128</v>
      </c>
      <c r="E4638">
        <v>1994</v>
      </c>
      <c r="F4638" s="1">
        <v>26587</v>
      </c>
      <c r="G4638">
        <v>1990</v>
      </c>
      <c r="H4638">
        <f>AVERAGEIFS(Table1[value],Table1[IndicatorCode],Table1[[#This Row],[IndicatorCode]])</f>
        <v>24902.88753799392</v>
      </c>
      <c r="I4638" cm="1">
        <f t="array" ref="I4638">_xlfn.STDEV.P(IF(Table1[IndicatorCode]=Table1[[#This Row],[IndicatorCode]],Table1[value]))</f>
        <v>26324.778297809873</v>
      </c>
      <c r="J4638">
        <f>(Table1[[#This Row],[value]] - Table1[[#This Row],[mean]]) / Table1[[#This Row],[std_dev]]</f>
        <v>6.3974421472950904E-2</v>
      </c>
      <c r="K4638">
        <f>AVERAGEIF(Table1[CountryCode],Table1[[#This Row],[CountryCode]],Table1[z-score])</f>
        <v>0.63319255148184794</v>
      </c>
      <c r="L4638" t="e">
        <f>VLOOKUP(Table1[[#This Row],[CountryCode]],[1]!Table1[#All],1,FALSE)</f>
        <v>#REF!</v>
      </c>
    </row>
    <row r="4639" spans="1:12" hidden="1" x14ac:dyDescent="0.3">
      <c r="A4639" t="s">
        <v>11</v>
      </c>
      <c r="B4639" t="s">
        <v>12</v>
      </c>
      <c r="C4639" t="s">
        <v>127</v>
      </c>
      <c r="D4639" t="s">
        <v>128</v>
      </c>
      <c r="E4639">
        <v>1995</v>
      </c>
      <c r="F4639" s="1">
        <v>27620</v>
      </c>
      <c r="G4639">
        <v>1990</v>
      </c>
      <c r="H4639">
        <f>AVERAGEIFS(Table1[value],Table1[IndicatorCode],Table1[[#This Row],[IndicatorCode]])</f>
        <v>24902.88753799392</v>
      </c>
      <c r="I4639" cm="1">
        <f t="array" ref="I4639">_xlfn.STDEV.P(IF(Table1[IndicatorCode]=Table1[[#This Row],[IndicatorCode]],Table1[value]))</f>
        <v>26324.778297809873</v>
      </c>
      <c r="J4639">
        <f>(Table1[[#This Row],[value]] - Table1[[#This Row],[mean]]) / Table1[[#This Row],[std_dev]]</f>
        <v>0.10321501785381167</v>
      </c>
      <c r="K4639">
        <f>AVERAGEIF(Table1[CountryCode],Table1[[#This Row],[CountryCode]],Table1[z-score])</f>
        <v>0.63319255148184794</v>
      </c>
      <c r="L4639" t="e">
        <f>VLOOKUP(Table1[[#This Row],[CountryCode]],[1]!Table1[#All],1,FALSE)</f>
        <v>#REF!</v>
      </c>
    </row>
    <row r="4640" spans="1:12" hidden="1" x14ac:dyDescent="0.3">
      <c r="A4640" t="s">
        <v>11</v>
      </c>
      <c r="B4640" t="s">
        <v>12</v>
      </c>
      <c r="C4640" t="s">
        <v>127</v>
      </c>
      <c r="D4640" t="s">
        <v>128</v>
      </c>
      <c r="E4640">
        <v>1996</v>
      </c>
      <c r="F4640" s="1">
        <v>28871</v>
      </c>
      <c r="G4640">
        <v>1990</v>
      </c>
      <c r="H4640">
        <f>AVERAGEIFS(Table1[value],Table1[IndicatorCode],Table1[[#This Row],[IndicatorCode]])</f>
        <v>24902.88753799392</v>
      </c>
      <c r="I4640" cm="1">
        <f t="array" ref="I4640">_xlfn.STDEV.P(IF(Table1[IndicatorCode]=Table1[[#This Row],[IndicatorCode]],Table1[value]))</f>
        <v>26324.778297809873</v>
      </c>
      <c r="J4640">
        <f>(Table1[[#This Row],[value]] - Table1[[#This Row],[mean]]) / Table1[[#This Row],[std_dev]]</f>
        <v>0.15073678559094314</v>
      </c>
      <c r="K4640">
        <f>AVERAGEIF(Table1[CountryCode],Table1[[#This Row],[CountryCode]],Table1[z-score])</f>
        <v>0.63319255148184794</v>
      </c>
      <c r="L4640" t="e">
        <f>VLOOKUP(Table1[[#This Row],[CountryCode]],[1]!Table1[#All],1,FALSE)</f>
        <v>#REF!</v>
      </c>
    </row>
    <row r="4641" spans="1:12" hidden="1" x14ac:dyDescent="0.3">
      <c r="A4641" t="s">
        <v>11</v>
      </c>
      <c r="B4641" t="s">
        <v>12</v>
      </c>
      <c r="C4641" t="s">
        <v>127</v>
      </c>
      <c r="D4641" t="s">
        <v>128</v>
      </c>
      <c r="E4641">
        <v>1997</v>
      </c>
      <c r="F4641" s="1">
        <v>31141</v>
      </c>
      <c r="G4641">
        <v>2000</v>
      </c>
      <c r="H4641">
        <f>AVERAGEIFS(Table1[value],Table1[IndicatorCode],Table1[[#This Row],[IndicatorCode]])</f>
        <v>24902.88753799392</v>
      </c>
      <c r="I4641" cm="1">
        <f t="array" ref="I4641">_xlfn.STDEV.P(IF(Table1[IndicatorCode]=Table1[[#This Row],[IndicatorCode]],Table1[value]))</f>
        <v>26324.778297809873</v>
      </c>
      <c r="J4641">
        <f>(Table1[[#This Row],[value]] - Table1[[#This Row],[mean]]) / Table1[[#This Row],[std_dev]]</f>
        <v>0.23696733136495468</v>
      </c>
      <c r="K4641">
        <f>AVERAGEIF(Table1[CountryCode],Table1[[#This Row],[CountryCode]],Table1[z-score])</f>
        <v>0.63319255148184794</v>
      </c>
      <c r="L4641" t="e">
        <f>VLOOKUP(Table1[[#This Row],[CountryCode]],[1]!Table1[#All],1,FALSE)</f>
        <v>#REF!</v>
      </c>
    </row>
    <row r="4642" spans="1:12" hidden="1" x14ac:dyDescent="0.3">
      <c r="A4642" t="s">
        <v>11</v>
      </c>
      <c r="B4642" t="s">
        <v>12</v>
      </c>
      <c r="C4642" t="s">
        <v>127</v>
      </c>
      <c r="D4642" t="s">
        <v>128</v>
      </c>
      <c r="E4642">
        <v>1998</v>
      </c>
      <c r="F4642" s="1">
        <v>31800</v>
      </c>
      <c r="G4642">
        <v>2000</v>
      </c>
      <c r="H4642">
        <f>AVERAGEIFS(Table1[value],Table1[IndicatorCode],Table1[[#This Row],[IndicatorCode]])</f>
        <v>24902.88753799392</v>
      </c>
      <c r="I4642" cm="1">
        <f t="array" ref="I4642">_xlfn.STDEV.P(IF(Table1[IndicatorCode]=Table1[[#This Row],[IndicatorCode]],Table1[value]))</f>
        <v>26324.778297809873</v>
      </c>
      <c r="J4642">
        <f>(Table1[[#This Row],[value]] - Table1[[#This Row],[mean]]) / Table1[[#This Row],[std_dev]]</f>
        <v>0.26200078055661707</v>
      </c>
      <c r="K4642">
        <f>AVERAGEIF(Table1[CountryCode],Table1[[#This Row],[CountryCode]],Table1[z-score])</f>
        <v>0.63319255148184794</v>
      </c>
      <c r="L4642" t="e">
        <f>VLOOKUP(Table1[[#This Row],[CountryCode]],[1]!Table1[#All],1,FALSE)</f>
        <v>#REF!</v>
      </c>
    </row>
    <row r="4643" spans="1:12" hidden="1" x14ac:dyDescent="0.3">
      <c r="A4643" t="s">
        <v>11</v>
      </c>
      <c r="B4643" t="s">
        <v>12</v>
      </c>
      <c r="C4643" t="s">
        <v>127</v>
      </c>
      <c r="D4643" t="s">
        <v>128</v>
      </c>
      <c r="E4643">
        <v>1999</v>
      </c>
      <c r="F4643" s="1">
        <v>32939</v>
      </c>
      <c r="G4643">
        <v>2000</v>
      </c>
      <c r="H4643">
        <f>AVERAGEIFS(Table1[value],Table1[IndicatorCode],Table1[[#This Row],[IndicatorCode]])</f>
        <v>24902.88753799392</v>
      </c>
      <c r="I4643" cm="1">
        <f t="array" ref="I4643">_xlfn.STDEV.P(IF(Table1[IndicatorCode]=Table1[[#This Row],[IndicatorCode]],Table1[value]))</f>
        <v>26324.778297809873</v>
      </c>
      <c r="J4643">
        <f>(Table1[[#This Row],[value]] - Table1[[#This Row],[mean]]) / Table1[[#This Row],[std_dev]]</f>
        <v>0.30526800154190303</v>
      </c>
      <c r="K4643">
        <f>AVERAGEIF(Table1[CountryCode],Table1[[#This Row],[CountryCode]],Table1[z-score])</f>
        <v>0.63319255148184794</v>
      </c>
      <c r="L4643" t="e">
        <f>VLOOKUP(Table1[[#This Row],[CountryCode]],[1]!Table1[#All],1,FALSE)</f>
        <v>#REF!</v>
      </c>
    </row>
    <row r="4644" spans="1:12" hidden="1" x14ac:dyDescent="0.3">
      <c r="A4644" t="s">
        <v>11</v>
      </c>
      <c r="B4644" t="s">
        <v>12</v>
      </c>
      <c r="C4644" t="s">
        <v>127</v>
      </c>
      <c r="D4644" t="s">
        <v>128</v>
      </c>
      <c r="E4644">
        <v>2000</v>
      </c>
      <c r="F4644" s="1">
        <v>34114</v>
      </c>
      <c r="G4644">
        <v>2000</v>
      </c>
      <c r="H4644">
        <f>AVERAGEIFS(Table1[value],Table1[IndicatorCode],Table1[[#This Row],[IndicatorCode]])</f>
        <v>24902.88753799392</v>
      </c>
      <c r="I4644" cm="1">
        <f t="array" ref="I4644">_xlfn.STDEV.P(IF(Table1[IndicatorCode]=Table1[[#This Row],[IndicatorCode]],Table1[value]))</f>
        <v>26324.778297809873</v>
      </c>
      <c r="J4644">
        <f>(Table1[[#This Row],[value]] - Table1[[#This Row],[mean]]) / Table1[[#This Row],[std_dev]]</f>
        <v>0.34990275541171079</v>
      </c>
      <c r="K4644">
        <f>AVERAGEIF(Table1[CountryCode],Table1[[#This Row],[CountryCode]],Table1[z-score])</f>
        <v>0.63319255148184794</v>
      </c>
      <c r="L4644" t="e">
        <f>VLOOKUP(Table1[[#This Row],[CountryCode]],[1]!Table1[#All],1,FALSE)</f>
        <v>#REF!</v>
      </c>
    </row>
    <row r="4645" spans="1:12" hidden="1" x14ac:dyDescent="0.3">
      <c r="A4645" t="s">
        <v>11</v>
      </c>
      <c r="B4645" t="s">
        <v>12</v>
      </c>
      <c r="C4645" t="s">
        <v>127</v>
      </c>
      <c r="D4645" t="s">
        <v>128</v>
      </c>
      <c r="E4645">
        <v>2001</v>
      </c>
      <c r="F4645" s="1">
        <v>36790</v>
      </c>
      <c r="G4645">
        <v>2000</v>
      </c>
      <c r="H4645">
        <f>AVERAGEIFS(Table1[value],Table1[IndicatorCode],Table1[[#This Row],[IndicatorCode]])</f>
        <v>24902.88753799392</v>
      </c>
      <c r="I4645" cm="1">
        <f t="array" ref="I4645">_xlfn.STDEV.P(IF(Table1[IndicatorCode]=Table1[[#This Row],[IndicatorCode]],Table1[value]))</f>
        <v>26324.778297809873</v>
      </c>
      <c r="J4645">
        <f>(Table1[[#This Row],[value]] - Table1[[#This Row],[mean]]) / Table1[[#This Row],[std_dev]]</f>
        <v>0.45155603316116227</v>
      </c>
      <c r="K4645">
        <f>AVERAGEIF(Table1[CountryCode],Table1[[#This Row],[CountryCode]],Table1[z-score])</f>
        <v>0.63319255148184794</v>
      </c>
      <c r="L4645" t="e">
        <f>VLOOKUP(Table1[[#This Row],[CountryCode]],[1]!Table1[#All],1,FALSE)</f>
        <v>#REF!</v>
      </c>
    </row>
    <row r="4646" spans="1:12" hidden="1" x14ac:dyDescent="0.3">
      <c r="A4646" t="s">
        <v>11</v>
      </c>
      <c r="B4646" t="s">
        <v>12</v>
      </c>
      <c r="C4646" t="s">
        <v>127</v>
      </c>
      <c r="D4646" t="s">
        <v>128</v>
      </c>
      <c r="E4646">
        <v>2002</v>
      </c>
      <c r="F4646" s="1">
        <v>38085</v>
      </c>
      <c r="G4646">
        <v>2000</v>
      </c>
      <c r="H4646">
        <f>AVERAGEIFS(Table1[value],Table1[IndicatorCode],Table1[[#This Row],[IndicatorCode]])</f>
        <v>24902.88753799392</v>
      </c>
      <c r="I4646" cm="1">
        <f t="array" ref="I4646">_xlfn.STDEV.P(IF(Table1[IndicatorCode]=Table1[[#This Row],[IndicatorCode]],Table1[value]))</f>
        <v>26324.778297809873</v>
      </c>
      <c r="J4646">
        <f>(Table1[[#This Row],[value]] - Table1[[#This Row],[mean]]) / Table1[[#This Row],[std_dev]]</f>
        <v>0.50074922997937588</v>
      </c>
      <c r="K4646">
        <f>AVERAGEIF(Table1[CountryCode],Table1[[#This Row],[CountryCode]],Table1[z-score])</f>
        <v>0.63319255148184794</v>
      </c>
      <c r="L4646" t="e">
        <f>VLOOKUP(Table1[[#This Row],[CountryCode]],[1]!Table1[#All],1,FALSE)</f>
        <v>#REF!</v>
      </c>
    </row>
    <row r="4647" spans="1:12" hidden="1" x14ac:dyDescent="0.3">
      <c r="A4647" t="s">
        <v>11</v>
      </c>
      <c r="B4647" t="s">
        <v>12</v>
      </c>
      <c r="C4647" t="s">
        <v>127</v>
      </c>
      <c r="D4647" t="s">
        <v>128</v>
      </c>
      <c r="E4647">
        <v>2003</v>
      </c>
      <c r="F4647" s="1">
        <v>39620</v>
      </c>
      <c r="G4647">
        <v>2000</v>
      </c>
      <c r="H4647">
        <f>AVERAGEIFS(Table1[value],Table1[IndicatorCode],Table1[[#This Row],[IndicatorCode]])</f>
        <v>24902.88753799392</v>
      </c>
      <c r="I4647" cm="1">
        <f t="array" ref="I4647">_xlfn.STDEV.P(IF(Table1[IndicatorCode]=Table1[[#This Row],[IndicatorCode]],Table1[value]))</f>
        <v>26324.778297809873</v>
      </c>
      <c r="J4647">
        <f>(Table1[[#This Row],[value]] - Table1[[#This Row],[mean]]) / Table1[[#This Row],[std_dev]]</f>
        <v>0.55905931269440134</v>
      </c>
      <c r="K4647">
        <f>AVERAGEIF(Table1[CountryCode],Table1[[#This Row],[CountryCode]],Table1[z-score])</f>
        <v>0.63319255148184794</v>
      </c>
      <c r="L4647" t="e">
        <f>VLOOKUP(Table1[[#This Row],[CountryCode]],[1]!Table1[#All],1,FALSE)</f>
        <v>#REF!</v>
      </c>
    </row>
    <row r="4648" spans="1:12" hidden="1" x14ac:dyDescent="0.3">
      <c r="A4648" t="s">
        <v>11</v>
      </c>
      <c r="B4648" t="s">
        <v>12</v>
      </c>
      <c r="C4648" t="s">
        <v>127</v>
      </c>
      <c r="D4648" t="s">
        <v>128</v>
      </c>
      <c r="E4648">
        <v>2004</v>
      </c>
      <c r="F4648" s="1">
        <v>40054</v>
      </c>
      <c r="G4648">
        <v>2000</v>
      </c>
      <c r="H4648">
        <f>AVERAGEIFS(Table1[value],Table1[IndicatorCode],Table1[[#This Row],[IndicatorCode]])</f>
        <v>24902.88753799392</v>
      </c>
      <c r="I4648" cm="1">
        <f t="array" ref="I4648">_xlfn.STDEV.P(IF(Table1[IndicatorCode]=Table1[[#This Row],[IndicatorCode]],Table1[value]))</f>
        <v>26324.778297809873</v>
      </c>
      <c r="J4648">
        <f>(Table1[[#This Row],[value]] - Table1[[#This Row],[mean]]) / Table1[[#This Row],[std_dev]]</f>
        <v>0.57554568135780271</v>
      </c>
      <c r="K4648">
        <f>AVERAGEIF(Table1[CountryCode],Table1[[#This Row],[CountryCode]],Table1[z-score])</f>
        <v>0.63319255148184794</v>
      </c>
      <c r="L4648" t="e">
        <f>VLOOKUP(Table1[[#This Row],[CountryCode]],[1]!Table1[#All],1,FALSE)</f>
        <v>#REF!</v>
      </c>
    </row>
    <row r="4649" spans="1:12" hidden="1" x14ac:dyDescent="0.3">
      <c r="A4649" t="s">
        <v>11</v>
      </c>
      <c r="B4649" t="s">
        <v>12</v>
      </c>
      <c r="C4649" t="s">
        <v>127</v>
      </c>
      <c r="D4649" t="s">
        <v>128</v>
      </c>
      <c r="E4649">
        <v>2005</v>
      </c>
      <c r="F4649" s="1">
        <v>40528</v>
      </c>
      <c r="G4649">
        <v>2000</v>
      </c>
      <c r="H4649">
        <f>AVERAGEIFS(Table1[value],Table1[IndicatorCode],Table1[[#This Row],[IndicatorCode]])</f>
        <v>24902.88753799392</v>
      </c>
      <c r="I4649" cm="1">
        <f t="array" ref="I4649">_xlfn.STDEV.P(IF(Table1[IndicatorCode]=Table1[[#This Row],[IndicatorCode]],Table1[value]))</f>
        <v>26324.778297809873</v>
      </c>
      <c r="J4649">
        <f>(Table1[[#This Row],[value]] - Table1[[#This Row],[mean]]) / Table1[[#This Row],[std_dev]]</f>
        <v>0.59355153100400593</v>
      </c>
      <c r="K4649">
        <f>AVERAGEIF(Table1[CountryCode],Table1[[#This Row],[CountryCode]],Table1[z-score])</f>
        <v>0.63319255148184794</v>
      </c>
      <c r="L4649" t="e">
        <f>VLOOKUP(Table1[[#This Row],[CountryCode]],[1]!Table1[#All],1,FALSE)</f>
        <v>#REF!</v>
      </c>
    </row>
    <row r="4650" spans="1:12" hidden="1" x14ac:dyDescent="0.3">
      <c r="A4650" t="s">
        <v>11</v>
      </c>
      <c r="B4650" t="s">
        <v>12</v>
      </c>
      <c r="C4650" t="s">
        <v>127</v>
      </c>
      <c r="D4650" t="s">
        <v>128</v>
      </c>
      <c r="E4650">
        <v>2006</v>
      </c>
      <c r="F4650" s="1">
        <v>41322</v>
      </c>
      <c r="G4650">
        <v>2000</v>
      </c>
      <c r="H4650">
        <f>AVERAGEIFS(Table1[value],Table1[IndicatorCode],Table1[[#This Row],[IndicatorCode]])</f>
        <v>24902.88753799392</v>
      </c>
      <c r="I4650" cm="1">
        <f t="array" ref="I4650">_xlfn.STDEV.P(IF(Table1[IndicatorCode]=Table1[[#This Row],[IndicatorCode]],Table1[value]))</f>
        <v>26324.778297809873</v>
      </c>
      <c r="J4650">
        <f>(Table1[[#This Row],[value]] - Table1[[#This Row],[mean]]) / Table1[[#This Row],[std_dev]]</f>
        <v>0.62371322851262501</v>
      </c>
      <c r="K4650">
        <f>AVERAGEIF(Table1[CountryCode],Table1[[#This Row],[CountryCode]],Table1[z-score])</f>
        <v>0.63319255148184794</v>
      </c>
      <c r="L4650" t="e">
        <f>VLOOKUP(Table1[[#This Row],[CountryCode]],[1]!Table1[#All],1,FALSE)</f>
        <v>#REF!</v>
      </c>
    </row>
    <row r="4651" spans="1:12" hidden="1" x14ac:dyDescent="0.3">
      <c r="A4651" t="s">
        <v>11</v>
      </c>
      <c r="B4651" t="s">
        <v>12</v>
      </c>
      <c r="C4651" t="s">
        <v>127</v>
      </c>
      <c r="D4651" t="s">
        <v>128</v>
      </c>
      <c r="E4651">
        <v>2007</v>
      </c>
      <c r="F4651" s="1">
        <v>40789</v>
      </c>
      <c r="G4651">
        <v>2010</v>
      </c>
      <c r="H4651">
        <f>AVERAGEIFS(Table1[value],Table1[IndicatorCode],Table1[[#This Row],[IndicatorCode]])</f>
        <v>24902.88753799392</v>
      </c>
      <c r="I4651" cm="1">
        <f t="array" ref="I4651">_xlfn.STDEV.P(IF(Table1[IndicatorCode]=Table1[[#This Row],[IndicatorCode]],Table1[value]))</f>
        <v>26324.778297809873</v>
      </c>
      <c r="J4651">
        <f>(Table1[[#This Row],[value]] - Table1[[#This Row],[mean]]) / Table1[[#This Row],[std_dev]]</f>
        <v>0.60346614441678881</v>
      </c>
      <c r="K4651">
        <f>AVERAGEIF(Table1[CountryCode],Table1[[#This Row],[CountryCode]],Table1[z-score])</f>
        <v>0.63319255148184794</v>
      </c>
      <c r="L4651" t="e">
        <f>VLOOKUP(Table1[[#This Row],[CountryCode]],[1]!Table1[#All],1,FALSE)</f>
        <v>#REF!</v>
      </c>
    </row>
    <row r="4652" spans="1:12" hidden="1" x14ac:dyDescent="0.3">
      <c r="A4652" t="s">
        <v>11</v>
      </c>
      <c r="B4652" t="s">
        <v>12</v>
      </c>
      <c r="C4652" t="s">
        <v>127</v>
      </c>
      <c r="D4652" t="s">
        <v>128</v>
      </c>
      <c r="E4652">
        <v>2008</v>
      </c>
      <c r="F4652" s="1">
        <v>37775</v>
      </c>
      <c r="G4652">
        <v>2010</v>
      </c>
      <c r="H4652">
        <f>AVERAGEIFS(Table1[value],Table1[IndicatorCode],Table1[[#This Row],[IndicatorCode]])</f>
        <v>24902.88753799392</v>
      </c>
      <c r="I4652" cm="1">
        <f t="array" ref="I4652">_xlfn.STDEV.P(IF(Table1[IndicatorCode]=Table1[[#This Row],[IndicatorCode]],Table1[value]))</f>
        <v>26324.778297809873</v>
      </c>
      <c r="J4652">
        <f>(Table1[[#This Row],[value]] - Table1[[#This Row],[mean]]) / Table1[[#This Row],[std_dev]]</f>
        <v>0.4889732523626607</v>
      </c>
      <c r="K4652">
        <f>AVERAGEIF(Table1[CountryCode],Table1[[#This Row],[CountryCode]],Table1[z-score])</f>
        <v>0.63319255148184794</v>
      </c>
      <c r="L4652" t="e">
        <f>VLOOKUP(Table1[[#This Row],[CountryCode]],[1]!Table1[#All],1,FALSE)</f>
        <v>#REF!</v>
      </c>
    </row>
    <row r="4653" spans="1:12" hidden="1" x14ac:dyDescent="0.3">
      <c r="A4653" t="s">
        <v>11</v>
      </c>
      <c r="B4653" t="s">
        <v>12</v>
      </c>
      <c r="C4653" t="s">
        <v>127</v>
      </c>
      <c r="D4653" t="s">
        <v>128</v>
      </c>
      <c r="E4653">
        <v>2009</v>
      </c>
      <c r="F4653" s="1">
        <v>35604</v>
      </c>
      <c r="G4653">
        <v>2010</v>
      </c>
      <c r="H4653">
        <f>AVERAGEIFS(Table1[value],Table1[IndicatorCode],Table1[[#This Row],[IndicatorCode]])</f>
        <v>24902.88753799392</v>
      </c>
      <c r="I4653" cm="1">
        <f t="array" ref="I4653">_xlfn.STDEV.P(IF(Table1[IndicatorCode]=Table1[[#This Row],[IndicatorCode]],Table1[value]))</f>
        <v>26324.778297809873</v>
      </c>
      <c r="J4653">
        <f>(Table1[[#This Row],[value]] - Table1[[#This Row],[mean]]) / Table1[[#This Row],[std_dev]]</f>
        <v>0.40650342202108397</v>
      </c>
      <c r="K4653">
        <f>AVERAGEIF(Table1[CountryCode],Table1[[#This Row],[CountryCode]],Table1[z-score])</f>
        <v>0.63319255148184794</v>
      </c>
      <c r="L4653" t="e">
        <f>VLOOKUP(Table1[[#This Row],[CountryCode]],[1]!Table1[#All],1,FALSE)</f>
        <v>#REF!</v>
      </c>
    </row>
    <row r="4654" spans="1:12" hidden="1" x14ac:dyDescent="0.3">
      <c r="A4654" t="s">
        <v>11</v>
      </c>
      <c r="B4654" t="s">
        <v>12</v>
      </c>
      <c r="C4654" t="s">
        <v>127</v>
      </c>
      <c r="D4654" t="s">
        <v>128</v>
      </c>
      <c r="E4654">
        <v>2010</v>
      </c>
      <c r="F4654" s="1">
        <v>36277</v>
      </c>
      <c r="G4654">
        <v>2010</v>
      </c>
      <c r="H4654">
        <f>AVERAGEIFS(Table1[value],Table1[IndicatorCode],Table1[[#This Row],[IndicatorCode]])</f>
        <v>24902.88753799392</v>
      </c>
      <c r="I4654" cm="1">
        <f t="array" ref="I4654">_xlfn.STDEV.P(IF(Table1[IndicatorCode]=Table1[[#This Row],[IndicatorCode]],Table1[value]))</f>
        <v>26324.778297809873</v>
      </c>
      <c r="J4654">
        <f>(Table1[[#This Row],[value]] - Table1[[#This Row],[mean]]) / Table1[[#This Row],[std_dev]]</f>
        <v>0.43206868955672706</v>
      </c>
      <c r="K4654">
        <f>AVERAGEIF(Table1[CountryCode],Table1[[#This Row],[CountryCode]],Table1[z-score])</f>
        <v>0.63319255148184794</v>
      </c>
      <c r="L4654" t="e">
        <f>VLOOKUP(Table1[[#This Row],[CountryCode]],[1]!Table1[#All],1,FALSE)</f>
        <v>#REF!</v>
      </c>
    </row>
    <row r="4655" spans="1:12" hidden="1" x14ac:dyDescent="0.3">
      <c r="A4655" t="s">
        <v>11</v>
      </c>
      <c r="B4655" t="s">
        <v>12</v>
      </c>
      <c r="C4655" t="s">
        <v>127</v>
      </c>
      <c r="D4655" t="s">
        <v>128</v>
      </c>
      <c r="E4655">
        <v>2011</v>
      </c>
      <c r="F4655" s="1">
        <v>37638</v>
      </c>
      <c r="G4655">
        <v>2010</v>
      </c>
      <c r="H4655">
        <f>AVERAGEIFS(Table1[value],Table1[IndicatorCode],Table1[[#This Row],[IndicatorCode]])</f>
        <v>24902.88753799392</v>
      </c>
      <c r="I4655" cm="1">
        <f t="array" ref="I4655">_xlfn.STDEV.P(IF(Table1[IndicatorCode]=Table1[[#This Row],[IndicatorCode]],Table1[value]))</f>
        <v>26324.778297809873</v>
      </c>
      <c r="J4655">
        <f>(Table1[[#This Row],[value]] - Table1[[#This Row],[mean]]) / Table1[[#This Row],[std_dev]]</f>
        <v>0.48376902999656396</v>
      </c>
      <c r="K4655">
        <f>AVERAGEIF(Table1[CountryCode],Table1[[#This Row],[CountryCode]],Table1[z-score])</f>
        <v>0.63319255148184794</v>
      </c>
      <c r="L4655" t="e">
        <f>VLOOKUP(Table1[[#This Row],[CountryCode]],[1]!Table1[#All],1,FALSE)</f>
        <v>#REF!</v>
      </c>
    </row>
    <row r="4656" spans="1:12" hidden="1" x14ac:dyDescent="0.3">
      <c r="A4656" t="s">
        <v>11</v>
      </c>
      <c r="B4656" t="s">
        <v>12</v>
      </c>
      <c r="C4656" t="s">
        <v>127</v>
      </c>
      <c r="D4656" t="s">
        <v>128</v>
      </c>
      <c r="E4656">
        <v>2012</v>
      </c>
      <c r="F4656" s="1">
        <v>36207</v>
      </c>
      <c r="G4656">
        <v>2010</v>
      </c>
      <c r="H4656">
        <f>AVERAGEIFS(Table1[value],Table1[IndicatorCode],Table1[[#This Row],[IndicatorCode]])</f>
        <v>24902.88753799392</v>
      </c>
      <c r="I4656" cm="1">
        <f t="array" ref="I4656">_xlfn.STDEV.P(IF(Table1[IndicatorCode]=Table1[[#This Row],[IndicatorCode]],Table1[value]))</f>
        <v>26324.778297809873</v>
      </c>
      <c r="J4656">
        <f>(Table1[[#This Row],[value]] - Table1[[#This Row],[mean]]) / Table1[[#This Row],[std_dev]]</f>
        <v>0.42940959783682364</v>
      </c>
      <c r="K4656">
        <f>AVERAGEIF(Table1[CountryCode],Table1[[#This Row],[CountryCode]],Table1[z-score])</f>
        <v>0.63319255148184794</v>
      </c>
      <c r="L4656" t="e">
        <f>VLOOKUP(Table1[[#This Row],[CountryCode]],[1]!Table1[#All],1,FALSE)</f>
        <v>#REF!</v>
      </c>
    </row>
    <row r="4657" spans="1:12" hidden="1" x14ac:dyDescent="0.3">
      <c r="A4657" t="s">
        <v>11</v>
      </c>
      <c r="B4657" t="s">
        <v>12</v>
      </c>
      <c r="C4657" t="s">
        <v>127</v>
      </c>
      <c r="D4657" t="s">
        <v>128</v>
      </c>
      <c r="E4657">
        <v>2013</v>
      </c>
      <c r="F4657" s="1">
        <v>35684</v>
      </c>
      <c r="G4657">
        <v>2010</v>
      </c>
      <c r="H4657">
        <f>AVERAGEIFS(Table1[value],Table1[IndicatorCode],Table1[[#This Row],[IndicatorCode]])</f>
        <v>24902.88753799392</v>
      </c>
      <c r="I4657" cm="1">
        <f t="array" ref="I4657">_xlfn.STDEV.P(IF(Table1[IndicatorCode]=Table1[[#This Row],[IndicatorCode]],Table1[value]))</f>
        <v>26324.778297809873</v>
      </c>
      <c r="J4657">
        <f>(Table1[[#This Row],[value]] - Table1[[#This Row],[mean]]) / Table1[[#This Row],[std_dev]]</f>
        <v>0.40954238398668791</v>
      </c>
      <c r="K4657">
        <f>AVERAGEIF(Table1[CountryCode],Table1[[#This Row],[CountryCode]],Table1[z-score])</f>
        <v>0.63319255148184794</v>
      </c>
      <c r="L4657" t="e">
        <f>VLOOKUP(Table1[[#This Row],[CountryCode]],[1]!Table1[#All],1,FALSE)</f>
        <v>#REF!</v>
      </c>
    </row>
    <row r="4658" spans="1:12" hidden="1" x14ac:dyDescent="0.3">
      <c r="A4658" t="s">
        <v>11</v>
      </c>
      <c r="B4658" t="s">
        <v>12</v>
      </c>
      <c r="C4658" t="s">
        <v>127</v>
      </c>
      <c r="D4658" t="s">
        <v>128</v>
      </c>
      <c r="E4658">
        <v>2014</v>
      </c>
      <c r="F4658" s="1">
        <v>37301</v>
      </c>
      <c r="G4658">
        <v>2010</v>
      </c>
      <c r="H4658">
        <f>AVERAGEIFS(Table1[value],Table1[IndicatorCode],Table1[[#This Row],[IndicatorCode]])</f>
        <v>24902.88753799392</v>
      </c>
      <c r="I4658" cm="1">
        <f t="array" ref="I4658">_xlfn.STDEV.P(IF(Table1[IndicatorCode]=Table1[[#This Row],[IndicatorCode]],Table1[value]))</f>
        <v>26324.778297809873</v>
      </c>
      <c r="J4658">
        <f>(Table1[[#This Row],[value]] - Table1[[#This Row],[mean]]) / Table1[[#This Row],[std_dev]]</f>
        <v>0.47096740271645737</v>
      </c>
      <c r="K4658">
        <f>AVERAGEIF(Table1[CountryCode],Table1[[#This Row],[CountryCode]],Table1[z-score])</f>
        <v>0.63319255148184794</v>
      </c>
      <c r="L4658" t="e">
        <f>VLOOKUP(Table1[[#This Row],[CountryCode]],[1]!Table1[#All],1,FALSE)</f>
        <v>#REF!</v>
      </c>
    </row>
    <row r="4659" spans="1:12" hidden="1" x14ac:dyDescent="0.3">
      <c r="A4659" t="s">
        <v>11</v>
      </c>
      <c r="B4659" t="s">
        <v>12</v>
      </c>
      <c r="C4659" t="s">
        <v>127</v>
      </c>
      <c r="D4659" t="s">
        <v>128</v>
      </c>
      <c r="E4659">
        <v>2015</v>
      </c>
      <c r="F4659" s="1">
        <v>38655</v>
      </c>
      <c r="G4659">
        <v>2010</v>
      </c>
      <c r="H4659">
        <f>AVERAGEIFS(Table1[value],Table1[IndicatorCode],Table1[[#This Row],[IndicatorCode]])</f>
        <v>24902.88753799392</v>
      </c>
      <c r="I4659" cm="1">
        <f t="array" ref="I4659">_xlfn.STDEV.P(IF(Table1[IndicatorCode]=Table1[[#This Row],[IndicatorCode]],Table1[value]))</f>
        <v>26324.778297809873</v>
      </c>
      <c r="J4659">
        <f>(Table1[[#This Row],[value]] - Table1[[#This Row],[mean]]) / Table1[[#This Row],[std_dev]]</f>
        <v>0.52240183398430395</v>
      </c>
      <c r="K4659">
        <f>AVERAGEIF(Table1[CountryCode],Table1[[#This Row],[CountryCode]],Table1[z-score])</f>
        <v>0.63319255148184794</v>
      </c>
      <c r="L4659" t="e">
        <f>VLOOKUP(Table1[[#This Row],[CountryCode]],[1]!Table1[#All],1,FALSE)</f>
        <v>#REF!</v>
      </c>
    </row>
    <row r="4660" spans="1:12" hidden="1" x14ac:dyDescent="0.3">
      <c r="A4660" t="s">
        <v>11</v>
      </c>
      <c r="B4660" t="s">
        <v>12</v>
      </c>
      <c r="C4660" t="s">
        <v>127</v>
      </c>
      <c r="D4660" t="s">
        <v>128</v>
      </c>
      <c r="E4660">
        <v>2016</v>
      </c>
      <c r="F4660" s="1">
        <v>40085</v>
      </c>
      <c r="G4660">
        <v>2010</v>
      </c>
      <c r="H4660">
        <f>AVERAGEIFS(Table1[value],Table1[IndicatorCode],Table1[[#This Row],[IndicatorCode]])</f>
        <v>24902.88753799392</v>
      </c>
      <c r="I4660" cm="1">
        <f t="array" ref="I4660">_xlfn.STDEV.P(IF(Table1[IndicatorCode]=Table1[[#This Row],[IndicatorCode]],Table1[value]))</f>
        <v>26324.778297809873</v>
      </c>
      <c r="J4660">
        <f>(Table1[[#This Row],[value]] - Table1[[#This Row],[mean]]) / Table1[[#This Row],[std_dev]]</f>
        <v>0.57672327911947419</v>
      </c>
      <c r="K4660">
        <f>AVERAGEIF(Table1[CountryCode],Table1[[#This Row],[CountryCode]],Table1[z-score])</f>
        <v>0.63319255148184794</v>
      </c>
      <c r="L4660" t="e">
        <f>VLOOKUP(Table1[[#This Row],[CountryCode]],[1]!Table1[#All],1,FALSE)</f>
        <v>#REF!</v>
      </c>
    </row>
    <row r="4661" spans="1:12" hidden="1" x14ac:dyDescent="0.3">
      <c r="A4661" t="s">
        <v>11</v>
      </c>
      <c r="B4661" t="s">
        <v>12</v>
      </c>
      <c r="C4661" t="s">
        <v>127</v>
      </c>
      <c r="D4661" t="s">
        <v>128</v>
      </c>
      <c r="E4661">
        <v>2017</v>
      </c>
      <c r="F4661" s="1">
        <v>39361</v>
      </c>
      <c r="G4661">
        <v>2020</v>
      </c>
      <c r="H4661">
        <f>AVERAGEIFS(Table1[value],Table1[IndicatorCode],Table1[[#This Row],[IndicatorCode]])</f>
        <v>24902.88753799392</v>
      </c>
      <c r="I4661" cm="1">
        <f t="array" ref="I4661">_xlfn.STDEV.P(IF(Table1[IndicatorCode]=Table1[[#This Row],[IndicatorCode]],Table1[value]))</f>
        <v>26324.778297809873</v>
      </c>
      <c r="J4661">
        <f>(Table1[[#This Row],[value]] - Table1[[#This Row],[mean]]) / Table1[[#This Row],[std_dev]]</f>
        <v>0.54922067333075864</v>
      </c>
      <c r="K4661">
        <f>AVERAGEIF(Table1[CountryCode],Table1[[#This Row],[CountryCode]],Table1[z-score])</f>
        <v>0.63319255148184794</v>
      </c>
      <c r="L4661" t="e">
        <f>VLOOKUP(Table1[[#This Row],[CountryCode]],[1]!Table1[#All],1,FALSE)</f>
        <v>#REF!</v>
      </c>
    </row>
    <row r="4662" spans="1:12" hidden="1" x14ac:dyDescent="0.3">
      <c r="A4662" t="s">
        <v>11</v>
      </c>
      <c r="B4662" t="s">
        <v>12</v>
      </c>
      <c r="C4662" t="s">
        <v>127</v>
      </c>
      <c r="D4662" t="s">
        <v>128</v>
      </c>
      <c r="E4662">
        <v>2018</v>
      </c>
      <c r="F4662" s="1">
        <v>39242</v>
      </c>
      <c r="G4662">
        <v>2020</v>
      </c>
      <c r="H4662">
        <f>AVERAGEIFS(Table1[value],Table1[IndicatorCode],Table1[[#This Row],[IndicatorCode]])</f>
        <v>24902.88753799392</v>
      </c>
      <c r="I4662" cm="1">
        <f t="array" ref="I4662">_xlfn.STDEV.P(IF(Table1[IndicatorCode]=Table1[[#This Row],[IndicatorCode]],Table1[value]))</f>
        <v>26324.778297809873</v>
      </c>
      <c r="J4662">
        <f>(Table1[[#This Row],[value]] - Table1[[#This Row],[mean]]) / Table1[[#This Row],[std_dev]]</f>
        <v>0.54470021740692276</v>
      </c>
      <c r="K4662">
        <f>AVERAGEIF(Table1[CountryCode],Table1[[#This Row],[CountryCode]],Table1[z-score])</f>
        <v>0.63319255148184794</v>
      </c>
      <c r="L4662" t="e">
        <f>VLOOKUP(Table1[[#This Row],[CountryCode]],[1]!Table1[#All],1,FALSE)</f>
        <v>#REF!</v>
      </c>
    </row>
    <row r="4663" spans="1:12" hidden="1" x14ac:dyDescent="0.3">
      <c r="A4663" t="s">
        <v>11</v>
      </c>
      <c r="B4663" t="s">
        <v>12</v>
      </c>
      <c r="C4663" t="s">
        <v>127</v>
      </c>
      <c r="D4663" t="s">
        <v>128</v>
      </c>
      <c r="E4663">
        <v>2019</v>
      </c>
      <c r="F4663" s="1">
        <v>39346</v>
      </c>
      <c r="G4663">
        <v>2020</v>
      </c>
      <c r="H4663">
        <f>AVERAGEIFS(Table1[value],Table1[IndicatorCode],Table1[[#This Row],[IndicatorCode]])</f>
        <v>24902.88753799392</v>
      </c>
      <c r="I4663" cm="1">
        <f t="array" ref="I4663">_xlfn.STDEV.P(IF(Table1[IndicatorCode]=Table1[[#This Row],[IndicatorCode]],Table1[value]))</f>
        <v>26324.778297809873</v>
      </c>
      <c r="J4663">
        <f>(Table1[[#This Row],[value]] - Table1[[#This Row],[mean]]) / Table1[[#This Row],[std_dev]]</f>
        <v>0.54865086796220786</v>
      </c>
      <c r="K4663">
        <f>AVERAGEIF(Table1[CountryCode],Table1[[#This Row],[CountryCode]],Table1[z-score])</f>
        <v>0.63319255148184794</v>
      </c>
      <c r="L4663" t="e">
        <f>VLOOKUP(Table1[[#This Row],[CountryCode]],[1]!Table1[#All],1,FALSE)</f>
        <v>#REF!</v>
      </c>
    </row>
    <row r="4664" spans="1:12" x14ac:dyDescent="0.3">
      <c r="A4664" t="s">
        <v>113</v>
      </c>
      <c r="B4664" t="s">
        <v>114</v>
      </c>
      <c r="C4664" t="s">
        <v>127</v>
      </c>
      <c r="D4664" t="s">
        <v>128</v>
      </c>
      <c r="E4664">
        <v>2020</v>
      </c>
      <c r="F4664" s="1">
        <v>1172</v>
      </c>
      <c r="G4664">
        <v>2020</v>
      </c>
      <c r="H4664">
        <f>AVERAGEIFS(Table1[value],Table1[IndicatorCode],Table1[[#This Row],[IndicatorCode]])</f>
        <v>24902.88753799392</v>
      </c>
      <c r="I4664" cm="1">
        <f t="array" ref="I4664">_xlfn.STDEV.P(IF(Table1[IndicatorCode]=Table1[[#This Row],[IndicatorCode]],Table1[value]))</f>
        <v>26324.778297809873</v>
      </c>
      <c r="J4664">
        <f>(Table1[[#This Row],[value]] - Table1[[#This Row],[mean]]) / Table1[[#This Row],[std_dev]]</f>
        <v>-0.90146580797484799</v>
      </c>
      <c r="K4664">
        <f>AVERAGEIF(Table1[CountryCode],Table1[[#This Row],[CountryCode]],Table1[z-score])</f>
        <v>-1.2093107186394518</v>
      </c>
    </row>
    <row r="4665" spans="1:12" hidden="1" x14ac:dyDescent="0.3">
      <c r="A4665" t="s">
        <v>11</v>
      </c>
      <c r="B4665" t="s">
        <v>12</v>
      </c>
      <c r="C4665" t="s">
        <v>127</v>
      </c>
      <c r="D4665" t="s">
        <v>128</v>
      </c>
      <c r="E4665">
        <v>2021</v>
      </c>
      <c r="F4665" s="1">
        <v>36929</v>
      </c>
      <c r="G4665">
        <v>2020</v>
      </c>
      <c r="H4665">
        <f>AVERAGEIFS(Table1[value],Table1[IndicatorCode],Table1[[#This Row],[IndicatorCode]])</f>
        <v>24902.88753799392</v>
      </c>
      <c r="I4665" cm="1">
        <f t="array" ref="I4665">_xlfn.STDEV.P(IF(Table1[IndicatorCode]=Table1[[#This Row],[IndicatorCode]],Table1[value]))</f>
        <v>26324.778297809873</v>
      </c>
      <c r="J4665">
        <f>(Table1[[#This Row],[value]] - Table1[[#This Row],[mean]]) / Table1[[#This Row],[std_dev]]</f>
        <v>0.45683622957639913</v>
      </c>
      <c r="K4665">
        <f>AVERAGEIF(Table1[CountryCode],Table1[[#This Row],[CountryCode]],Table1[z-score])</f>
        <v>0.63319255148184794</v>
      </c>
      <c r="L4665" t="e">
        <f>VLOOKUP(Table1[[#This Row],[CountryCode]],[1]!Table1[#All],1,FALSE)</f>
        <v>#REF!</v>
      </c>
    </row>
    <row r="4666" spans="1:12" hidden="1" x14ac:dyDescent="0.3">
      <c r="A4666" t="s">
        <v>11</v>
      </c>
      <c r="B4666" t="s">
        <v>12</v>
      </c>
      <c r="C4666" t="s">
        <v>127</v>
      </c>
      <c r="D4666" t="s">
        <v>128</v>
      </c>
      <c r="E4666">
        <v>2022</v>
      </c>
      <c r="F4666" s="1">
        <v>39780</v>
      </c>
      <c r="G4666">
        <v>1990</v>
      </c>
      <c r="H4666">
        <f>AVERAGEIFS(Table1[value],Table1[IndicatorCode],Table1[[#This Row],[IndicatorCode]])</f>
        <v>24902.88753799392</v>
      </c>
      <c r="I4666" cm="1">
        <f t="array" ref="I4666">_xlfn.STDEV.P(IF(Table1[IndicatorCode]=Table1[[#This Row],[IndicatorCode]],Table1[value]))</f>
        <v>26324.778297809873</v>
      </c>
      <c r="J4666">
        <f>(Table1[[#This Row],[value]] - Table1[[#This Row],[mean]]) / Table1[[#This Row],[std_dev]]</f>
        <v>0.56513723662560922</v>
      </c>
      <c r="K4666">
        <f>AVERAGEIF(Table1[CountryCode],Table1[[#This Row],[CountryCode]],Table1[z-score])</f>
        <v>0.63319255148184794</v>
      </c>
      <c r="L4666" t="e">
        <f>VLOOKUP(Table1[[#This Row],[CountryCode]],[1]!Table1[#All],1,FALSE)</f>
        <v>#REF!</v>
      </c>
    </row>
    <row r="4667" spans="1:12" hidden="1" x14ac:dyDescent="0.3">
      <c r="A4667" t="s">
        <v>11</v>
      </c>
      <c r="B4667" t="s">
        <v>12</v>
      </c>
      <c r="C4667" t="s">
        <v>127</v>
      </c>
      <c r="D4667" t="s">
        <v>128</v>
      </c>
      <c r="E4667">
        <v>2023</v>
      </c>
      <c r="F4667" s="1">
        <v>40227</v>
      </c>
      <c r="G4667">
        <v>1990</v>
      </c>
      <c r="H4667">
        <f>AVERAGEIFS(Table1[value],Table1[IndicatorCode],Table1[[#This Row],[IndicatorCode]])</f>
        <v>24902.88753799392</v>
      </c>
      <c r="I4667" cm="1">
        <f t="array" ref="I4667">_xlfn.STDEV.P(IF(Table1[IndicatorCode]=Table1[[#This Row],[IndicatorCode]],Table1[value]))</f>
        <v>26324.778297809873</v>
      </c>
      <c r="J4667">
        <f>(Table1[[#This Row],[value]] - Table1[[#This Row],[mean]]) / Table1[[#This Row],[std_dev]]</f>
        <v>0.58211743660842119</v>
      </c>
      <c r="K4667">
        <f>AVERAGEIF(Table1[CountryCode],Table1[[#This Row],[CountryCode]],Table1[z-score])</f>
        <v>0.63319255148184794</v>
      </c>
      <c r="L4667" t="e">
        <f>VLOOKUP(Table1[[#This Row],[CountryCode]],[1]!Table1[#All],1,FALSE)</f>
        <v>#REF!</v>
      </c>
    </row>
    <row r="4668" spans="1:12" hidden="1" x14ac:dyDescent="0.3">
      <c r="A4668" t="s">
        <v>11</v>
      </c>
      <c r="B4668" t="s">
        <v>12</v>
      </c>
      <c r="C4668" t="s">
        <v>127</v>
      </c>
      <c r="D4668" t="s">
        <v>128</v>
      </c>
      <c r="E4668">
        <v>2024</v>
      </c>
      <c r="F4668" s="1">
        <v>41035</v>
      </c>
      <c r="G4668">
        <v>1990</v>
      </c>
      <c r="H4668">
        <f>AVERAGEIFS(Table1[value],Table1[IndicatorCode],Table1[[#This Row],[IndicatorCode]])</f>
        <v>24902.88753799392</v>
      </c>
      <c r="I4668" cm="1">
        <f t="array" ref="I4668">_xlfn.STDEV.P(IF(Table1[IndicatorCode]=Table1[[#This Row],[IndicatorCode]],Table1[value]))</f>
        <v>26324.778297809873</v>
      </c>
      <c r="J4668">
        <f>(Table1[[#This Row],[value]] - Table1[[#This Row],[mean]]) / Table1[[#This Row],[std_dev]]</f>
        <v>0.61281095246102091</v>
      </c>
      <c r="K4668">
        <f>AVERAGEIF(Table1[CountryCode],Table1[[#This Row],[CountryCode]],Table1[z-score])</f>
        <v>0.63319255148184794</v>
      </c>
      <c r="L4668" t="e">
        <f>VLOOKUP(Table1[[#This Row],[CountryCode]],[1]!Table1[#All],1,FALSE)</f>
        <v>#REF!</v>
      </c>
    </row>
    <row r="4669" spans="1:12" hidden="1" x14ac:dyDescent="0.3">
      <c r="A4669" t="s">
        <v>13</v>
      </c>
      <c r="B4669" t="s">
        <v>14</v>
      </c>
      <c r="C4669" t="s">
        <v>127</v>
      </c>
      <c r="D4669" t="s">
        <v>128</v>
      </c>
      <c r="E4669">
        <v>1990</v>
      </c>
      <c r="F4669" s="1">
        <v>1644</v>
      </c>
      <c r="G4669">
        <v>1990</v>
      </c>
      <c r="H4669">
        <f>AVERAGEIFS(Table1[value],Table1[IndicatorCode],Table1[[#This Row],[IndicatorCode]])</f>
        <v>24902.88753799392</v>
      </c>
      <c r="I4669" cm="1">
        <f t="array" ref="I4669">_xlfn.STDEV.P(IF(Table1[IndicatorCode]=Table1[[#This Row],[IndicatorCode]],Table1[value]))</f>
        <v>26324.778297809873</v>
      </c>
      <c r="J4669">
        <f>(Table1[[#This Row],[value]] - Table1[[#This Row],[mean]]) / Table1[[#This Row],[std_dev]]</f>
        <v>-0.88353593237778472</v>
      </c>
      <c r="K4669">
        <f>AVERAGEIF(Table1[CountryCode],Table1[[#This Row],[CountryCode]],Table1[z-score])</f>
        <v>-0.71856813961256161</v>
      </c>
      <c r="L4669" t="e">
        <f>VLOOKUP(Table1[[#This Row],[CountryCode]],[1]!Table1[#All],1,FALSE)</f>
        <v>#REF!</v>
      </c>
    </row>
    <row r="4670" spans="1:12" hidden="1" x14ac:dyDescent="0.3">
      <c r="A4670" t="s">
        <v>13</v>
      </c>
      <c r="B4670" t="s">
        <v>14</v>
      </c>
      <c r="C4670" t="s">
        <v>127</v>
      </c>
      <c r="D4670" t="s">
        <v>128</v>
      </c>
      <c r="E4670">
        <v>1991</v>
      </c>
      <c r="F4670" s="1">
        <v>1427</v>
      </c>
      <c r="G4670">
        <v>1990</v>
      </c>
      <c r="H4670">
        <f>AVERAGEIFS(Table1[value],Table1[IndicatorCode],Table1[[#This Row],[IndicatorCode]])</f>
        <v>24902.88753799392</v>
      </c>
      <c r="I4670" cm="1">
        <f t="array" ref="I4670">_xlfn.STDEV.P(IF(Table1[IndicatorCode]=Table1[[#This Row],[IndicatorCode]],Table1[value]))</f>
        <v>26324.778297809873</v>
      </c>
      <c r="J4670">
        <f>(Table1[[#This Row],[value]] - Table1[[#This Row],[mean]]) / Table1[[#This Row],[std_dev]]</f>
        <v>-0.8917791167094854</v>
      </c>
      <c r="K4670">
        <f>AVERAGEIF(Table1[CountryCode],Table1[[#This Row],[CountryCode]],Table1[z-score])</f>
        <v>-0.71856813961256161</v>
      </c>
      <c r="L4670" t="e">
        <f>VLOOKUP(Table1[[#This Row],[CountryCode]],[1]!Table1[#All],1,FALSE)</f>
        <v>#REF!</v>
      </c>
    </row>
    <row r="4671" spans="1:12" hidden="1" x14ac:dyDescent="0.3">
      <c r="A4671" t="s">
        <v>13</v>
      </c>
      <c r="B4671" t="s">
        <v>14</v>
      </c>
      <c r="C4671" t="s">
        <v>127</v>
      </c>
      <c r="D4671" t="s">
        <v>128</v>
      </c>
      <c r="E4671">
        <v>1992</v>
      </c>
      <c r="F4671" s="1">
        <v>840</v>
      </c>
      <c r="G4671">
        <v>1990</v>
      </c>
      <c r="H4671">
        <f>AVERAGEIFS(Table1[value],Table1[IndicatorCode],Table1[[#This Row],[IndicatorCode]])</f>
        <v>24902.88753799392</v>
      </c>
      <c r="I4671" cm="1">
        <f t="array" ref="I4671">_xlfn.STDEV.P(IF(Table1[IndicatorCode]=Table1[[#This Row],[IndicatorCode]],Table1[value]))</f>
        <v>26324.778297809873</v>
      </c>
      <c r="J4671">
        <f>(Table1[[#This Row],[value]] - Table1[[#This Row],[mean]]) / Table1[[#This Row],[std_dev]]</f>
        <v>-0.91407750013210431</v>
      </c>
      <c r="K4671">
        <f>AVERAGEIF(Table1[CountryCode],Table1[[#This Row],[CountryCode]],Table1[z-score])</f>
        <v>-0.71856813961256161</v>
      </c>
      <c r="L4671" t="e">
        <f>VLOOKUP(Table1[[#This Row],[CountryCode]],[1]!Table1[#All],1,FALSE)</f>
        <v>#REF!</v>
      </c>
    </row>
    <row r="4672" spans="1:12" hidden="1" x14ac:dyDescent="0.3">
      <c r="A4672" t="s">
        <v>13</v>
      </c>
      <c r="B4672" t="s">
        <v>14</v>
      </c>
      <c r="C4672" t="s">
        <v>127</v>
      </c>
      <c r="D4672" t="s">
        <v>128</v>
      </c>
      <c r="E4672">
        <v>1993</v>
      </c>
      <c r="F4672" s="1">
        <v>793</v>
      </c>
      <c r="G4672">
        <v>1990</v>
      </c>
      <c r="H4672">
        <f>AVERAGEIFS(Table1[value],Table1[IndicatorCode],Table1[[#This Row],[IndicatorCode]])</f>
        <v>24902.88753799392</v>
      </c>
      <c r="I4672" cm="1">
        <f t="array" ref="I4672">_xlfn.STDEV.P(IF(Table1[IndicatorCode]=Table1[[#This Row],[IndicatorCode]],Table1[value]))</f>
        <v>26324.778297809873</v>
      </c>
      <c r="J4672">
        <f>(Table1[[#This Row],[value]] - Table1[[#This Row],[mean]]) / Table1[[#This Row],[std_dev]]</f>
        <v>-0.9158628902868966</v>
      </c>
      <c r="K4672">
        <f>AVERAGEIF(Table1[CountryCode],Table1[[#This Row],[CountryCode]],Table1[z-score])</f>
        <v>-0.71856813961256161</v>
      </c>
      <c r="L4672" t="e">
        <f>VLOOKUP(Table1[[#This Row],[CountryCode]],[1]!Table1[#All],1,FALSE)</f>
        <v>#REF!</v>
      </c>
    </row>
    <row r="4673" spans="1:12" hidden="1" x14ac:dyDescent="0.3">
      <c r="A4673" t="s">
        <v>13</v>
      </c>
      <c r="B4673" t="s">
        <v>14</v>
      </c>
      <c r="C4673" t="s">
        <v>127</v>
      </c>
      <c r="D4673" t="s">
        <v>128</v>
      </c>
      <c r="E4673">
        <v>1994</v>
      </c>
      <c r="F4673" s="1">
        <v>857</v>
      </c>
      <c r="G4673">
        <v>1990</v>
      </c>
      <c r="H4673">
        <f>AVERAGEIFS(Table1[value],Table1[IndicatorCode],Table1[[#This Row],[IndicatorCode]])</f>
        <v>24902.88753799392</v>
      </c>
      <c r="I4673" cm="1">
        <f t="array" ref="I4673">_xlfn.STDEV.P(IF(Table1[IndicatorCode]=Table1[[#This Row],[IndicatorCode]],Table1[value]))</f>
        <v>26324.778297809873</v>
      </c>
      <c r="J4673">
        <f>(Table1[[#This Row],[value]] - Table1[[#This Row],[mean]]) / Table1[[#This Row],[std_dev]]</f>
        <v>-0.91343172071441348</v>
      </c>
      <c r="K4673">
        <f>AVERAGEIF(Table1[CountryCode],Table1[[#This Row],[CountryCode]],Table1[z-score])</f>
        <v>-0.71856813961256161</v>
      </c>
      <c r="L4673" t="e">
        <f>VLOOKUP(Table1[[#This Row],[CountryCode]],[1]!Table1[#All],1,FALSE)</f>
        <v>#REF!</v>
      </c>
    </row>
    <row r="4674" spans="1:12" hidden="1" x14ac:dyDescent="0.3">
      <c r="A4674" t="s">
        <v>13</v>
      </c>
      <c r="B4674" t="s">
        <v>14</v>
      </c>
      <c r="C4674" t="s">
        <v>127</v>
      </c>
      <c r="D4674" t="s">
        <v>128</v>
      </c>
      <c r="E4674">
        <v>1995</v>
      </c>
      <c r="F4674" s="1">
        <v>932</v>
      </c>
      <c r="G4674">
        <v>1990</v>
      </c>
      <c r="H4674">
        <f>AVERAGEIFS(Table1[value],Table1[IndicatorCode],Table1[[#This Row],[IndicatorCode]])</f>
        <v>24902.88753799392</v>
      </c>
      <c r="I4674" cm="1">
        <f t="array" ref="I4674">_xlfn.STDEV.P(IF(Table1[IndicatorCode]=Table1[[#This Row],[IndicatorCode]],Table1[value]))</f>
        <v>26324.778297809873</v>
      </c>
      <c r="J4674">
        <f>(Table1[[#This Row],[value]] - Table1[[#This Row],[mean]]) / Table1[[#This Row],[std_dev]]</f>
        <v>-0.9105826938716598</v>
      </c>
      <c r="K4674">
        <f>AVERAGEIF(Table1[CountryCode],Table1[[#This Row],[CountryCode]],Table1[z-score])</f>
        <v>-0.71856813961256161</v>
      </c>
      <c r="L4674" t="e">
        <f>VLOOKUP(Table1[[#This Row],[CountryCode]],[1]!Table1[#All],1,FALSE)</f>
        <v>#REF!</v>
      </c>
    </row>
    <row r="4675" spans="1:12" hidden="1" x14ac:dyDescent="0.3">
      <c r="A4675" t="s">
        <v>13</v>
      </c>
      <c r="B4675" t="s">
        <v>14</v>
      </c>
      <c r="C4675" t="s">
        <v>127</v>
      </c>
      <c r="D4675" t="s">
        <v>128</v>
      </c>
      <c r="E4675">
        <v>1996</v>
      </c>
      <c r="F4675" s="1">
        <v>996</v>
      </c>
      <c r="G4675">
        <v>1990</v>
      </c>
      <c r="H4675">
        <f>AVERAGEIFS(Table1[value],Table1[IndicatorCode],Table1[[#This Row],[IndicatorCode]])</f>
        <v>24902.88753799392</v>
      </c>
      <c r="I4675" cm="1">
        <f t="array" ref="I4675">_xlfn.STDEV.P(IF(Table1[IndicatorCode]=Table1[[#This Row],[IndicatorCode]],Table1[value]))</f>
        <v>26324.778297809873</v>
      </c>
      <c r="J4675">
        <f>(Table1[[#This Row],[value]] - Table1[[#This Row],[mean]]) / Table1[[#This Row],[std_dev]]</f>
        <v>-0.90815152429917656</v>
      </c>
      <c r="K4675">
        <f>AVERAGEIF(Table1[CountryCode],Table1[[#This Row],[CountryCode]],Table1[z-score])</f>
        <v>-0.71856813961256161</v>
      </c>
      <c r="L4675" t="e">
        <f>VLOOKUP(Table1[[#This Row],[CountryCode]],[1]!Table1[#All],1,FALSE)</f>
        <v>#REF!</v>
      </c>
    </row>
    <row r="4676" spans="1:12" hidden="1" x14ac:dyDescent="0.3">
      <c r="A4676" t="s">
        <v>13</v>
      </c>
      <c r="B4676" t="s">
        <v>14</v>
      </c>
      <c r="C4676" t="s">
        <v>127</v>
      </c>
      <c r="D4676" t="s">
        <v>128</v>
      </c>
      <c r="E4676">
        <v>1997</v>
      </c>
      <c r="F4676" s="1">
        <v>1039</v>
      </c>
      <c r="G4676">
        <v>2000</v>
      </c>
      <c r="H4676">
        <f>AVERAGEIFS(Table1[value],Table1[IndicatorCode],Table1[[#This Row],[IndicatorCode]])</f>
        <v>24902.88753799392</v>
      </c>
      <c r="I4676" cm="1">
        <f t="array" ref="I4676">_xlfn.STDEV.P(IF(Table1[IndicatorCode]=Table1[[#This Row],[IndicatorCode]],Table1[value]))</f>
        <v>26324.778297809873</v>
      </c>
      <c r="J4676">
        <f>(Table1[[#This Row],[value]] - Table1[[#This Row],[mean]]) / Table1[[#This Row],[std_dev]]</f>
        <v>-0.9065180822426645</v>
      </c>
      <c r="K4676">
        <f>AVERAGEIF(Table1[CountryCode],Table1[[#This Row],[CountryCode]],Table1[z-score])</f>
        <v>-0.71856813961256161</v>
      </c>
      <c r="L4676" t="e">
        <f>VLOOKUP(Table1[[#This Row],[CountryCode]],[1]!Table1[#All],1,FALSE)</f>
        <v>#REF!</v>
      </c>
    </row>
    <row r="4677" spans="1:12" hidden="1" x14ac:dyDescent="0.3">
      <c r="A4677" t="s">
        <v>13</v>
      </c>
      <c r="B4677" t="s">
        <v>14</v>
      </c>
      <c r="C4677" t="s">
        <v>127</v>
      </c>
      <c r="D4677" t="s">
        <v>128</v>
      </c>
      <c r="E4677">
        <v>1998</v>
      </c>
      <c r="F4677" s="1">
        <v>1128</v>
      </c>
      <c r="G4677">
        <v>2000</v>
      </c>
      <c r="H4677">
        <f>AVERAGEIFS(Table1[value],Table1[IndicatorCode],Table1[[#This Row],[IndicatorCode]])</f>
        <v>24902.88753799392</v>
      </c>
      <c r="I4677" cm="1">
        <f t="array" ref="I4677">_xlfn.STDEV.P(IF(Table1[IndicatorCode]=Table1[[#This Row],[IndicatorCode]],Table1[value]))</f>
        <v>26324.778297809873</v>
      </c>
      <c r="J4677">
        <f>(Table1[[#This Row],[value]] - Table1[[#This Row],[mean]]) / Table1[[#This Row],[std_dev]]</f>
        <v>-0.90313723705593008</v>
      </c>
      <c r="K4677">
        <f>AVERAGEIF(Table1[CountryCode],Table1[[#This Row],[CountryCode]],Table1[z-score])</f>
        <v>-0.71856813961256161</v>
      </c>
      <c r="L4677" t="e">
        <f>VLOOKUP(Table1[[#This Row],[CountryCode]],[1]!Table1[#All],1,FALSE)</f>
        <v>#REF!</v>
      </c>
    </row>
    <row r="4678" spans="1:12" hidden="1" x14ac:dyDescent="0.3">
      <c r="A4678" t="s">
        <v>13</v>
      </c>
      <c r="B4678" t="s">
        <v>14</v>
      </c>
      <c r="C4678" t="s">
        <v>127</v>
      </c>
      <c r="D4678" t="s">
        <v>128</v>
      </c>
      <c r="E4678">
        <v>1999</v>
      </c>
      <c r="F4678" s="1">
        <v>1180</v>
      </c>
      <c r="G4678">
        <v>2000</v>
      </c>
      <c r="H4678">
        <f>AVERAGEIFS(Table1[value],Table1[IndicatorCode],Table1[[#This Row],[IndicatorCode]])</f>
        <v>24902.88753799392</v>
      </c>
      <c r="I4678" cm="1">
        <f t="array" ref="I4678">_xlfn.STDEV.P(IF(Table1[IndicatorCode]=Table1[[#This Row],[IndicatorCode]],Table1[value]))</f>
        <v>26324.778297809873</v>
      </c>
      <c r="J4678">
        <f>(Table1[[#This Row],[value]] - Table1[[#This Row],[mean]]) / Table1[[#This Row],[std_dev]]</f>
        <v>-0.90116191177828753</v>
      </c>
      <c r="K4678">
        <f>AVERAGEIF(Table1[CountryCode],Table1[[#This Row],[CountryCode]],Table1[z-score])</f>
        <v>-0.71856813961256161</v>
      </c>
      <c r="L4678" t="e">
        <f>VLOOKUP(Table1[[#This Row],[CountryCode]],[1]!Table1[#All],1,FALSE)</f>
        <v>#REF!</v>
      </c>
    </row>
    <row r="4679" spans="1:12" hidden="1" x14ac:dyDescent="0.3">
      <c r="A4679" t="s">
        <v>13</v>
      </c>
      <c r="B4679" t="s">
        <v>14</v>
      </c>
      <c r="C4679" t="s">
        <v>127</v>
      </c>
      <c r="D4679" t="s">
        <v>128</v>
      </c>
      <c r="E4679">
        <v>2000</v>
      </c>
      <c r="F4679" s="1">
        <v>1229</v>
      </c>
      <c r="G4679">
        <v>2000</v>
      </c>
      <c r="H4679">
        <f>AVERAGEIFS(Table1[value],Table1[IndicatorCode],Table1[[#This Row],[IndicatorCode]])</f>
        <v>24902.88753799392</v>
      </c>
      <c r="I4679" cm="1">
        <f t="array" ref="I4679">_xlfn.STDEV.P(IF(Table1[IndicatorCode]=Table1[[#This Row],[IndicatorCode]],Table1[value]))</f>
        <v>26324.778297809873</v>
      </c>
      <c r="J4679">
        <f>(Table1[[#This Row],[value]] - Table1[[#This Row],[mean]]) / Table1[[#This Row],[std_dev]]</f>
        <v>-0.89930054757435518</v>
      </c>
      <c r="K4679">
        <f>AVERAGEIF(Table1[CountryCode],Table1[[#This Row],[CountryCode]],Table1[z-score])</f>
        <v>-0.71856813961256161</v>
      </c>
      <c r="L4679" t="e">
        <f>VLOOKUP(Table1[[#This Row],[CountryCode]],[1]!Table1[#All],1,FALSE)</f>
        <v>#REF!</v>
      </c>
    </row>
    <row r="4680" spans="1:12" hidden="1" x14ac:dyDescent="0.3">
      <c r="A4680" t="s">
        <v>13</v>
      </c>
      <c r="B4680" t="s">
        <v>14</v>
      </c>
      <c r="C4680" t="s">
        <v>127</v>
      </c>
      <c r="D4680" t="s">
        <v>128</v>
      </c>
      <c r="E4680">
        <v>2001</v>
      </c>
      <c r="F4680" s="1">
        <v>1351</v>
      </c>
      <c r="G4680">
        <v>2000</v>
      </c>
      <c r="H4680">
        <f>AVERAGEIFS(Table1[value],Table1[IndicatorCode],Table1[[#This Row],[IndicatorCode]])</f>
        <v>24902.88753799392</v>
      </c>
      <c r="I4680" cm="1">
        <f t="array" ref="I4680">_xlfn.STDEV.P(IF(Table1[IndicatorCode]=Table1[[#This Row],[IndicatorCode]],Table1[value]))</f>
        <v>26324.778297809873</v>
      </c>
      <c r="J4680">
        <f>(Table1[[#This Row],[value]] - Table1[[#This Row],[mean]]) / Table1[[#This Row],[std_dev]]</f>
        <v>-0.89466613057680922</v>
      </c>
      <c r="K4680">
        <f>AVERAGEIF(Table1[CountryCode],Table1[[#This Row],[CountryCode]],Table1[z-score])</f>
        <v>-0.71856813961256161</v>
      </c>
      <c r="L4680" t="e">
        <f>VLOOKUP(Table1[[#This Row],[CountryCode]],[1]!Table1[#All],1,FALSE)</f>
        <v>#REF!</v>
      </c>
    </row>
    <row r="4681" spans="1:12" hidden="1" x14ac:dyDescent="0.3">
      <c r="A4681" t="s">
        <v>13</v>
      </c>
      <c r="B4681" t="s">
        <v>14</v>
      </c>
      <c r="C4681" t="s">
        <v>127</v>
      </c>
      <c r="D4681" t="s">
        <v>128</v>
      </c>
      <c r="E4681">
        <v>2002</v>
      </c>
      <c r="F4681" s="1">
        <v>1535</v>
      </c>
      <c r="G4681">
        <v>2000</v>
      </c>
      <c r="H4681">
        <f>AVERAGEIFS(Table1[value],Table1[IndicatorCode],Table1[[#This Row],[IndicatorCode]])</f>
        <v>24902.88753799392</v>
      </c>
      <c r="I4681" cm="1">
        <f t="array" ref="I4681">_xlfn.STDEV.P(IF(Table1[IndicatorCode]=Table1[[#This Row],[IndicatorCode]],Table1[value]))</f>
        <v>26324.778297809873</v>
      </c>
      <c r="J4681">
        <f>(Table1[[#This Row],[value]] - Table1[[#This Row],[mean]]) / Table1[[#This Row],[std_dev]]</f>
        <v>-0.88767651805592007</v>
      </c>
      <c r="K4681">
        <f>AVERAGEIF(Table1[CountryCode],Table1[[#This Row],[CountryCode]],Table1[z-score])</f>
        <v>-0.71856813961256161</v>
      </c>
      <c r="L4681" t="e">
        <f>VLOOKUP(Table1[[#This Row],[CountryCode]],[1]!Table1[#All],1,FALSE)</f>
        <v>#REF!</v>
      </c>
    </row>
    <row r="4682" spans="1:12" hidden="1" x14ac:dyDescent="0.3">
      <c r="A4682" t="s">
        <v>13</v>
      </c>
      <c r="B4682" t="s">
        <v>14</v>
      </c>
      <c r="C4682" t="s">
        <v>127</v>
      </c>
      <c r="D4682" t="s">
        <v>128</v>
      </c>
      <c r="E4682">
        <v>2003</v>
      </c>
      <c r="F4682" s="1">
        <v>1760</v>
      </c>
      <c r="G4682">
        <v>2000</v>
      </c>
      <c r="H4682">
        <f>AVERAGEIFS(Table1[value],Table1[IndicatorCode],Table1[[#This Row],[IndicatorCode]])</f>
        <v>24902.88753799392</v>
      </c>
      <c r="I4682" cm="1">
        <f t="array" ref="I4682">_xlfn.STDEV.P(IF(Table1[IndicatorCode]=Table1[[#This Row],[IndicatorCode]],Table1[value]))</f>
        <v>26324.778297809873</v>
      </c>
      <c r="J4682">
        <f>(Table1[[#This Row],[value]] - Table1[[#This Row],[mean]]) / Table1[[#This Row],[std_dev]]</f>
        <v>-0.87912943752765904</v>
      </c>
      <c r="K4682">
        <f>AVERAGEIF(Table1[CountryCode],Table1[[#This Row],[CountryCode]],Table1[z-score])</f>
        <v>-0.71856813961256161</v>
      </c>
      <c r="L4682" t="e">
        <f>VLOOKUP(Table1[[#This Row],[CountryCode]],[1]!Table1[#All],1,FALSE)</f>
        <v>#REF!</v>
      </c>
    </row>
    <row r="4683" spans="1:12" hidden="1" x14ac:dyDescent="0.3">
      <c r="A4683" t="s">
        <v>13</v>
      </c>
      <c r="B4683" t="s">
        <v>14</v>
      </c>
      <c r="C4683" t="s">
        <v>127</v>
      </c>
      <c r="D4683" t="s">
        <v>128</v>
      </c>
      <c r="E4683">
        <v>2004</v>
      </c>
      <c r="F4683" s="1">
        <v>1955</v>
      </c>
      <c r="G4683">
        <v>2000</v>
      </c>
      <c r="H4683">
        <f>AVERAGEIFS(Table1[value],Table1[IndicatorCode],Table1[[#This Row],[IndicatorCode]])</f>
        <v>24902.88753799392</v>
      </c>
      <c r="I4683" cm="1">
        <f t="array" ref="I4683">_xlfn.STDEV.P(IF(Table1[IndicatorCode]=Table1[[#This Row],[IndicatorCode]],Table1[value]))</f>
        <v>26324.778297809873</v>
      </c>
      <c r="J4683">
        <f>(Table1[[#This Row],[value]] - Table1[[#This Row],[mean]]) / Table1[[#This Row],[std_dev]]</f>
        <v>-0.87172196773649946</v>
      </c>
      <c r="K4683">
        <f>AVERAGEIF(Table1[CountryCode],Table1[[#This Row],[CountryCode]],Table1[z-score])</f>
        <v>-0.71856813961256161</v>
      </c>
      <c r="L4683" t="e">
        <f>VLOOKUP(Table1[[#This Row],[CountryCode]],[1]!Table1[#All],1,FALSE)</f>
        <v>#REF!</v>
      </c>
    </row>
    <row r="4684" spans="1:12" hidden="1" x14ac:dyDescent="0.3">
      <c r="A4684" t="s">
        <v>13</v>
      </c>
      <c r="B4684" t="s">
        <v>14</v>
      </c>
      <c r="C4684" t="s">
        <v>127</v>
      </c>
      <c r="D4684" t="s">
        <v>128</v>
      </c>
      <c r="E4684">
        <v>2005</v>
      </c>
      <c r="F4684" s="1">
        <v>2240</v>
      </c>
      <c r="G4684">
        <v>2000</v>
      </c>
      <c r="H4684">
        <f>AVERAGEIFS(Table1[value],Table1[IndicatorCode],Table1[[#This Row],[IndicatorCode]])</f>
        <v>24902.88753799392</v>
      </c>
      <c r="I4684" cm="1">
        <f t="array" ref="I4684">_xlfn.STDEV.P(IF(Table1[IndicatorCode]=Table1[[#This Row],[IndicatorCode]],Table1[value]))</f>
        <v>26324.778297809873</v>
      </c>
      <c r="J4684">
        <f>(Table1[[#This Row],[value]] - Table1[[#This Row],[mean]]) / Table1[[#This Row],[std_dev]]</f>
        <v>-0.86089566573403553</v>
      </c>
      <c r="K4684">
        <f>AVERAGEIF(Table1[CountryCode],Table1[[#This Row],[CountryCode]],Table1[z-score])</f>
        <v>-0.71856813961256161</v>
      </c>
      <c r="L4684" t="e">
        <f>VLOOKUP(Table1[[#This Row],[CountryCode]],[1]!Table1[#All],1,FALSE)</f>
        <v>#REF!</v>
      </c>
    </row>
    <row r="4685" spans="1:12" hidden="1" x14ac:dyDescent="0.3">
      <c r="A4685" t="s">
        <v>13</v>
      </c>
      <c r="B4685" t="s">
        <v>14</v>
      </c>
      <c r="C4685" t="s">
        <v>127</v>
      </c>
      <c r="D4685" t="s">
        <v>128</v>
      </c>
      <c r="E4685">
        <v>2006</v>
      </c>
      <c r="F4685" s="1">
        <v>2551</v>
      </c>
      <c r="G4685">
        <v>2000</v>
      </c>
      <c r="H4685">
        <f>AVERAGEIFS(Table1[value],Table1[IndicatorCode],Table1[[#This Row],[IndicatorCode]])</f>
        <v>24902.88753799392</v>
      </c>
      <c r="I4685" cm="1">
        <f t="array" ref="I4685">_xlfn.STDEV.P(IF(Table1[IndicatorCode]=Table1[[#This Row],[IndicatorCode]],Table1[value]))</f>
        <v>26324.778297809873</v>
      </c>
      <c r="J4685">
        <f>(Table1[[#This Row],[value]] - Table1[[#This Row],[mean]]) / Table1[[#This Row],[std_dev]]</f>
        <v>-0.84908170109275016</v>
      </c>
      <c r="K4685">
        <f>AVERAGEIF(Table1[CountryCode],Table1[[#This Row],[CountryCode]],Table1[z-score])</f>
        <v>-0.71856813961256161</v>
      </c>
      <c r="L4685" t="e">
        <f>VLOOKUP(Table1[[#This Row],[CountryCode]],[1]!Table1[#All],1,FALSE)</f>
        <v>#REF!</v>
      </c>
    </row>
    <row r="4686" spans="1:12" hidden="1" x14ac:dyDescent="0.3">
      <c r="A4686" t="s">
        <v>13</v>
      </c>
      <c r="B4686" t="s">
        <v>14</v>
      </c>
      <c r="C4686" t="s">
        <v>127</v>
      </c>
      <c r="D4686" t="s">
        <v>128</v>
      </c>
      <c r="E4686">
        <v>2007</v>
      </c>
      <c r="F4686" s="1">
        <v>2919</v>
      </c>
      <c r="G4686">
        <v>2010</v>
      </c>
      <c r="H4686">
        <f>AVERAGEIFS(Table1[value],Table1[IndicatorCode],Table1[[#This Row],[IndicatorCode]])</f>
        <v>24902.88753799392</v>
      </c>
      <c r="I4686" cm="1">
        <f t="array" ref="I4686">_xlfn.STDEV.P(IF(Table1[IndicatorCode]=Table1[[#This Row],[IndicatorCode]],Table1[value]))</f>
        <v>26324.778297809873</v>
      </c>
      <c r="J4686">
        <f>(Table1[[#This Row],[value]] - Table1[[#This Row],[mean]]) / Table1[[#This Row],[std_dev]]</f>
        <v>-0.8351024760509721</v>
      </c>
      <c r="K4686">
        <f>AVERAGEIF(Table1[CountryCode],Table1[[#This Row],[CountryCode]],Table1[z-score])</f>
        <v>-0.71856813961256161</v>
      </c>
      <c r="L4686" t="e">
        <f>VLOOKUP(Table1[[#This Row],[CountryCode]],[1]!Table1[#All],1,FALSE)</f>
        <v>#REF!</v>
      </c>
    </row>
    <row r="4687" spans="1:12" hidden="1" x14ac:dyDescent="0.3">
      <c r="A4687" t="s">
        <v>13</v>
      </c>
      <c r="B4687" t="s">
        <v>14</v>
      </c>
      <c r="C4687" t="s">
        <v>127</v>
      </c>
      <c r="D4687" t="s">
        <v>128</v>
      </c>
      <c r="E4687">
        <v>2008</v>
      </c>
      <c r="F4687" s="1">
        <v>3141</v>
      </c>
      <c r="G4687">
        <v>2010</v>
      </c>
      <c r="H4687">
        <f>AVERAGEIFS(Table1[value],Table1[IndicatorCode],Table1[[#This Row],[IndicatorCode]])</f>
        <v>24902.88753799392</v>
      </c>
      <c r="I4687" cm="1">
        <f t="array" ref="I4687">_xlfn.STDEV.P(IF(Table1[IndicatorCode]=Table1[[#This Row],[IndicatorCode]],Table1[value]))</f>
        <v>26324.778297809873</v>
      </c>
      <c r="J4687">
        <f>(Table1[[#This Row],[value]] - Table1[[#This Row],[mean]]) / Table1[[#This Row],[std_dev]]</f>
        <v>-0.82666935659642116</v>
      </c>
      <c r="K4687">
        <f>AVERAGEIF(Table1[CountryCode],Table1[[#This Row],[CountryCode]],Table1[z-score])</f>
        <v>-0.71856813961256161</v>
      </c>
      <c r="L4687" t="e">
        <f>VLOOKUP(Table1[[#This Row],[CountryCode]],[1]!Table1[#All],1,FALSE)</f>
        <v>#REF!</v>
      </c>
    </row>
    <row r="4688" spans="1:12" hidden="1" x14ac:dyDescent="0.3">
      <c r="A4688" t="s">
        <v>13</v>
      </c>
      <c r="B4688" t="s">
        <v>14</v>
      </c>
      <c r="C4688" t="s">
        <v>127</v>
      </c>
      <c r="D4688" t="s">
        <v>128</v>
      </c>
      <c r="E4688">
        <v>2009</v>
      </c>
      <c r="F4688" s="1">
        <v>2717</v>
      </c>
      <c r="G4688">
        <v>2010</v>
      </c>
      <c r="H4688">
        <f>AVERAGEIFS(Table1[value],Table1[IndicatorCode],Table1[[#This Row],[IndicatorCode]])</f>
        <v>24902.88753799392</v>
      </c>
      <c r="I4688" cm="1">
        <f t="array" ref="I4688">_xlfn.STDEV.P(IF(Table1[IndicatorCode]=Table1[[#This Row],[IndicatorCode]],Table1[value]))</f>
        <v>26324.778297809873</v>
      </c>
      <c r="J4688">
        <f>(Table1[[#This Row],[value]] - Table1[[#This Row],[mean]]) / Table1[[#This Row],[std_dev]]</f>
        <v>-0.842775855014122</v>
      </c>
      <c r="K4688">
        <f>AVERAGEIF(Table1[CountryCode],Table1[[#This Row],[CountryCode]],Table1[z-score])</f>
        <v>-0.71856813961256161</v>
      </c>
      <c r="L4688" t="e">
        <f>VLOOKUP(Table1[[#This Row],[CountryCode]],[1]!Table1[#All],1,FALSE)</f>
        <v>#REF!</v>
      </c>
    </row>
    <row r="4689" spans="1:12" hidden="1" x14ac:dyDescent="0.3">
      <c r="A4689" t="s">
        <v>13</v>
      </c>
      <c r="B4689" t="s">
        <v>14</v>
      </c>
      <c r="C4689" t="s">
        <v>127</v>
      </c>
      <c r="D4689" t="s">
        <v>128</v>
      </c>
      <c r="E4689">
        <v>2010</v>
      </c>
      <c r="F4689" s="1">
        <v>2796</v>
      </c>
      <c r="G4689">
        <v>2010</v>
      </c>
      <c r="H4689">
        <f>AVERAGEIFS(Table1[value],Table1[IndicatorCode],Table1[[#This Row],[IndicatorCode]])</f>
        <v>24902.88753799392</v>
      </c>
      <c r="I4689" cm="1">
        <f t="array" ref="I4689">_xlfn.STDEV.P(IF(Table1[IndicatorCode]=Table1[[#This Row],[IndicatorCode]],Table1[value]))</f>
        <v>26324.778297809873</v>
      </c>
      <c r="J4689">
        <f>(Table1[[#This Row],[value]] - Table1[[#This Row],[mean]]) / Table1[[#This Row],[std_dev]]</f>
        <v>-0.8397748800730882</v>
      </c>
      <c r="K4689">
        <f>AVERAGEIF(Table1[CountryCode],Table1[[#This Row],[CountryCode]],Table1[z-score])</f>
        <v>-0.71856813961256161</v>
      </c>
      <c r="L4689" t="e">
        <f>VLOOKUP(Table1[[#This Row],[CountryCode]],[1]!Table1[#All],1,FALSE)</f>
        <v>#REF!</v>
      </c>
    </row>
    <row r="4690" spans="1:12" hidden="1" x14ac:dyDescent="0.3">
      <c r="A4690" t="s">
        <v>13</v>
      </c>
      <c r="B4690" t="s">
        <v>14</v>
      </c>
      <c r="C4690" t="s">
        <v>127</v>
      </c>
      <c r="D4690" t="s">
        <v>128</v>
      </c>
      <c r="E4690">
        <v>2011</v>
      </c>
      <c r="F4690" s="1">
        <v>2944</v>
      </c>
      <c r="G4690">
        <v>2010</v>
      </c>
      <c r="H4690">
        <f>AVERAGEIFS(Table1[value],Table1[IndicatorCode],Table1[[#This Row],[IndicatorCode]])</f>
        <v>24902.88753799392</v>
      </c>
      <c r="I4690" cm="1">
        <f t="array" ref="I4690">_xlfn.STDEV.P(IF(Table1[IndicatorCode]=Table1[[#This Row],[IndicatorCode]],Table1[value]))</f>
        <v>26324.778297809873</v>
      </c>
      <c r="J4690">
        <f>(Table1[[#This Row],[value]] - Table1[[#This Row],[mean]]) / Table1[[#This Row],[std_dev]]</f>
        <v>-0.83415280043672091</v>
      </c>
      <c r="K4690">
        <f>AVERAGEIF(Table1[CountryCode],Table1[[#This Row],[CountryCode]],Table1[z-score])</f>
        <v>-0.71856813961256161</v>
      </c>
      <c r="L4690" t="e">
        <f>VLOOKUP(Table1[[#This Row],[CountryCode]],[1]!Table1[#All],1,FALSE)</f>
        <v>#REF!</v>
      </c>
    </row>
    <row r="4691" spans="1:12" hidden="1" x14ac:dyDescent="0.3">
      <c r="A4691" t="s">
        <v>13</v>
      </c>
      <c r="B4691" t="s">
        <v>14</v>
      </c>
      <c r="C4691" t="s">
        <v>127</v>
      </c>
      <c r="D4691" t="s">
        <v>128</v>
      </c>
      <c r="E4691">
        <v>2012</v>
      </c>
      <c r="F4691" s="1">
        <v>3160</v>
      </c>
      <c r="G4691">
        <v>2010</v>
      </c>
      <c r="H4691">
        <f>AVERAGEIFS(Table1[value],Table1[IndicatorCode],Table1[[#This Row],[IndicatorCode]])</f>
        <v>24902.88753799392</v>
      </c>
      <c r="I4691" cm="1">
        <f t="array" ref="I4691">_xlfn.STDEV.P(IF(Table1[IndicatorCode]=Table1[[#This Row],[IndicatorCode]],Table1[value]))</f>
        <v>26324.778297809873</v>
      </c>
      <c r="J4691">
        <f>(Table1[[#This Row],[value]] - Table1[[#This Row],[mean]]) / Table1[[#This Row],[std_dev]]</f>
        <v>-0.82594760312959026</v>
      </c>
      <c r="K4691">
        <f>AVERAGEIF(Table1[CountryCode],Table1[[#This Row],[CountryCode]],Table1[z-score])</f>
        <v>-0.71856813961256161</v>
      </c>
      <c r="L4691" t="e">
        <f>VLOOKUP(Table1[[#This Row],[CountryCode]],[1]!Table1[#All],1,FALSE)</f>
        <v>#REF!</v>
      </c>
    </row>
    <row r="4692" spans="1:12" hidden="1" x14ac:dyDescent="0.3">
      <c r="A4692" t="s">
        <v>13</v>
      </c>
      <c r="B4692" t="s">
        <v>14</v>
      </c>
      <c r="C4692" t="s">
        <v>127</v>
      </c>
      <c r="D4692" t="s">
        <v>128</v>
      </c>
      <c r="E4692">
        <v>2013</v>
      </c>
      <c r="F4692" s="1">
        <v>3266</v>
      </c>
      <c r="G4692">
        <v>2010</v>
      </c>
      <c r="H4692">
        <f>AVERAGEIFS(Table1[value],Table1[IndicatorCode],Table1[[#This Row],[IndicatorCode]])</f>
        <v>24902.88753799392</v>
      </c>
      <c r="I4692" cm="1">
        <f t="array" ref="I4692">_xlfn.STDEV.P(IF(Table1[IndicatorCode]=Table1[[#This Row],[IndicatorCode]],Table1[value]))</f>
        <v>26324.778297809873</v>
      </c>
      <c r="J4692">
        <f>(Table1[[#This Row],[value]] - Table1[[#This Row],[mean]]) / Table1[[#This Row],[std_dev]]</f>
        <v>-0.8219209785251651</v>
      </c>
      <c r="K4692">
        <f>AVERAGEIF(Table1[CountryCode],Table1[[#This Row],[CountryCode]],Table1[z-score])</f>
        <v>-0.71856813961256161</v>
      </c>
      <c r="L4692" t="e">
        <f>VLOOKUP(Table1[[#This Row],[CountryCode]],[1]!Table1[#All],1,FALSE)</f>
        <v>#REF!</v>
      </c>
    </row>
    <row r="4693" spans="1:12" hidden="1" x14ac:dyDescent="0.3">
      <c r="A4693" t="s">
        <v>13</v>
      </c>
      <c r="B4693" t="s">
        <v>14</v>
      </c>
      <c r="C4693" t="s">
        <v>127</v>
      </c>
      <c r="D4693" t="s">
        <v>128</v>
      </c>
      <c r="E4693">
        <v>2014</v>
      </c>
      <c r="F4693" s="1">
        <v>3393</v>
      </c>
      <c r="G4693">
        <v>2010</v>
      </c>
      <c r="H4693">
        <f>AVERAGEIFS(Table1[value],Table1[IndicatorCode],Table1[[#This Row],[IndicatorCode]])</f>
        <v>24902.88753799392</v>
      </c>
      <c r="I4693" cm="1">
        <f t="array" ref="I4693">_xlfn.STDEV.P(IF(Table1[IndicatorCode]=Table1[[#This Row],[IndicatorCode]],Table1[value]))</f>
        <v>26324.778297809873</v>
      </c>
      <c r="J4693">
        <f>(Table1[[#This Row],[value]] - Table1[[#This Row],[mean]]) / Table1[[#This Row],[std_dev]]</f>
        <v>-0.81709662640476888</v>
      </c>
      <c r="K4693">
        <f>AVERAGEIF(Table1[CountryCode],Table1[[#This Row],[CountryCode]],Table1[z-score])</f>
        <v>-0.71856813961256161</v>
      </c>
      <c r="L4693" t="e">
        <f>VLOOKUP(Table1[[#This Row],[CountryCode]],[1]!Table1[#All],1,FALSE)</f>
        <v>#REF!</v>
      </c>
    </row>
    <row r="4694" spans="1:12" hidden="1" x14ac:dyDescent="0.3">
      <c r="A4694" t="s">
        <v>13</v>
      </c>
      <c r="B4694" t="s">
        <v>14</v>
      </c>
      <c r="C4694" t="s">
        <v>127</v>
      </c>
      <c r="D4694" t="s">
        <v>128</v>
      </c>
      <c r="E4694">
        <v>2015</v>
      </c>
      <c r="F4694" s="1">
        <v>3512</v>
      </c>
      <c r="G4694">
        <v>2010</v>
      </c>
      <c r="H4694">
        <f>AVERAGEIFS(Table1[value],Table1[IndicatorCode],Table1[[#This Row],[IndicatorCode]])</f>
        <v>24902.88753799392</v>
      </c>
      <c r="I4694" cm="1">
        <f t="array" ref="I4694">_xlfn.STDEV.P(IF(Table1[IndicatorCode]=Table1[[#This Row],[IndicatorCode]],Table1[value]))</f>
        <v>26324.778297809873</v>
      </c>
      <c r="J4694">
        <f>(Table1[[#This Row],[value]] - Table1[[#This Row],[mean]]) / Table1[[#This Row],[std_dev]]</f>
        <v>-0.812576170480933</v>
      </c>
      <c r="K4694">
        <f>AVERAGEIF(Table1[CountryCode],Table1[[#This Row],[CountryCode]],Table1[z-score])</f>
        <v>-0.71856813961256161</v>
      </c>
      <c r="L4694" t="e">
        <f>VLOOKUP(Table1[[#This Row],[CountryCode]],[1]!Table1[#All],1,FALSE)</f>
        <v>#REF!</v>
      </c>
    </row>
    <row r="4695" spans="1:12" hidden="1" x14ac:dyDescent="0.3">
      <c r="A4695" t="s">
        <v>13</v>
      </c>
      <c r="B4695" t="s">
        <v>14</v>
      </c>
      <c r="C4695" t="s">
        <v>127</v>
      </c>
      <c r="D4695" t="s">
        <v>128</v>
      </c>
      <c r="E4695">
        <v>2016</v>
      </c>
      <c r="F4695" s="1">
        <v>3534</v>
      </c>
      <c r="G4695">
        <v>2010</v>
      </c>
      <c r="H4695">
        <f>AVERAGEIFS(Table1[value],Table1[IndicatorCode],Table1[[#This Row],[IndicatorCode]])</f>
        <v>24902.88753799392</v>
      </c>
      <c r="I4695" cm="1">
        <f t="array" ref="I4695">_xlfn.STDEV.P(IF(Table1[IndicatorCode]=Table1[[#This Row],[IndicatorCode]],Table1[value]))</f>
        <v>26324.778297809873</v>
      </c>
      <c r="J4695">
        <f>(Table1[[#This Row],[value]] - Table1[[#This Row],[mean]]) / Table1[[#This Row],[std_dev]]</f>
        <v>-0.8117404559403919</v>
      </c>
      <c r="K4695">
        <f>AVERAGEIF(Table1[CountryCode],Table1[[#This Row],[CountryCode]],Table1[z-score])</f>
        <v>-0.71856813961256161</v>
      </c>
      <c r="L4695" t="e">
        <f>VLOOKUP(Table1[[#This Row],[CountryCode]],[1]!Table1[#All],1,FALSE)</f>
        <v>#REF!</v>
      </c>
    </row>
    <row r="4696" spans="1:12" hidden="1" x14ac:dyDescent="0.3">
      <c r="A4696" t="s">
        <v>13</v>
      </c>
      <c r="B4696" t="s">
        <v>14</v>
      </c>
      <c r="C4696" t="s">
        <v>127</v>
      </c>
      <c r="D4696" t="s">
        <v>128</v>
      </c>
      <c r="E4696">
        <v>2017</v>
      </c>
      <c r="F4696" s="1">
        <v>3815</v>
      </c>
      <c r="G4696">
        <v>2020</v>
      </c>
      <c r="H4696">
        <f>AVERAGEIFS(Table1[value],Table1[IndicatorCode],Table1[[#This Row],[IndicatorCode]])</f>
        <v>24902.88753799392</v>
      </c>
      <c r="I4696" cm="1">
        <f t="array" ref="I4696">_xlfn.STDEV.P(IF(Table1[IndicatorCode]=Table1[[#This Row],[IndicatorCode]],Table1[value]))</f>
        <v>26324.778297809873</v>
      </c>
      <c r="J4696">
        <f>(Table1[[#This Row],[value]] - Table1[[#This Row],[mean]]) / Table1[[#This Row],[std_dev]]</f>
        <v>-0.80106610203620809</v>
      </c>
      <c r="K4696">
        <f>AVERAGEIF(Table1[CountryCode],Table1[[#This Row],[CountryCode]],Table1[z-score])</f>
        <v>-0.71856813961256161</v>
      </c>
      <c r="L4696" t="e">
        <f>VLOOKUP(Table1[[#This Row],[CountryCode]],[1]!Table1[#All],1,FALSE)</f>
        <v>#REF!</v>
      </c>
    </row>
    <row r="4697" spans="1:12" hidden="1" x14ac:dyDescent="0.3">
      <c r="A4697" t="s">
        <v>13</v>
      </c>
      <c r="B4697" t="s">
        <v>14</v>
      </c>
      <c r="C4697" t="s">
        <v>127</v>
      </c>
      <c r="D4697" t="s">
        <v>128</v>
      </c>
      <c r="E4697">
        <v>2018</v>
      </c>
      <c r="F4697" s="1">
        <v>4028</v>
      </c>
      <c r="G4697">
        <v>2020</v>
      </c>
      <c r="H4697">
        <f>AVERAGEIFS(Table1[value],Table1[IndicatorCode],Table1[[#This Row],[IndicatorCode]])</f>
        <v>24902.88753799392</v>
      </c>
      <c r="I4697" cm="1">
        <f t="array" ref="I4697">_xlfn.STDEV.P(IF(Table1[IndicatorCode]=Table1[[#This Row],[IndicatorCode]],Table1[value]))</f>
        <v>26324.778297809873</v>
      </c>
      <c r="J4697">
        <f>(Table1[[#This Row],[value]] - Table1[[#This Row],[mean]]) / Table1[[#This Row],[std_dev]]</f>
        <v>-0.79297486580278764</v>
      </c>
      <c r="K4697">
        <f>AVERAGEIF(Table1[CountryCode],Table1[[#This Row],[CountryCode]],Table1[z-score])</f>
        <v>-0.71856813961256161</v>
      </c>
      <c r="L4697" t="e">
        <f>VLOOKUP(Table1[[#This Row],[CountryCode]],[1]!Table1[#All],1,FALSE)</f>
        <v>#REF!</v>
      </c>
    </row>
    <row r="4698" spans="1:12" hidden="1" x14ac:dyDescent="0.3">
      <c r="A4698" t="s">
        <v>13</v>
      </c>
      <c r="B4698" t="s">
        <v>14</v>
      </c>
      <c r="C4698" t="s">
        <v>127</v>
      </c>
      <c r="D4698" t="s">
        <v>128</v>
      </c>
      <c r="E4698">
        <v>2019</v>
      </c>
      <c r="F4698" s="1">
        <v>4343</v>
      </c>
      <c r="G4698">
        <v>2020</v>
      </c>
      <c r="H4698">
        <f>AVERAGEIFS(Table1[value],Table1[IndicatorCode],Table1[[#This Row],[IndicatorCode]])</f>
        <v>24902.88753799392</v>
      </c>
      <c r="I4698" cm="1">
        <f t="array" ref="I4698">_xlfn.STDEV.P(IF(Table1[IndicatorCode]=Table1[[#This Row],[IndicatorCode]],Table1[value]))</f>
        <v>26324.778297809873</v>
      </c>
      <c r="J4698">
        <f>(Table1[[#This Row],[value]] - Table1[[#This Row],[mean]]) / Table1[[#This Row],[std_dev]]</f>
        <v>-0.78100895306322216</v>
      </c>
      <c r="K4698">
        <f>AVERAGEIF(Table1[CountryCode],Table1[[#This Row],[CountryCode]],Table1[z-score])</f>
        <v>-0.71856813961256161</v>
      </c>
      <c r="L4698" t="e">
        <f>VLOOKUP(Table1[[#This Row],[CountryCode]],[1]!Table1[#All],1,FALSE)</f>
        <v>#REF!</v>
      </c>
    </row>
    <row r="4699" spans="1:12" x14ac:dyDescent="0.3">
      <c r="A4699" t="s">
        <v>119</v>
      </c>
      <c r="B4699" t="s">
        <v>120</v>
      </c>
      <c r="C4699" t="s">
        <v>127</v>
      </c>
      <c r="D4699" t="s">
        <v>128</v>
      </c>
      <c r="E4699">
        <v>2020</v>
      </c>
      <c r="F4699" s="1">
        <v>2324</v>
      </c>
      <c r="G4699">
        <v>2020</v>
      </c>
      <c r="H4699">
        <f>AVERAGEIFS(Table1[value],Table1[IndicatorCode],Table1[[#This Row],[IndicatorCode]])</f>
        <v>24902.88753799392</v>
      </c>
      <c r="I4699" cm="1">
        <f t="array" ref="I4699">_xlfn.STDEV.P(IF(Table1[IndicatorCode]=Table1[[#This Row],[IndicatorCode]],Table1[value]))</f>
        <v>26324.778297809873</v>
      </c>
      <c r="J4699">
        <f>(Table1[[#This Row],[value]] - Table1[[#This Row],[mean]]) / Table1[[#This Row],[std_dev]]</f>
        <v>-0.85770475567015136</v>
      </c>
      <c r="K4699">
        <f>AVERAGEIF(Table1[CountryCode],Table1[[#This Row],[CountryCode]],Table1[z-score])</f>
        <v>-0.21176470411950787</v>
      </c>
    </row>
    <row r="4700" spans="1:12" hidden="1" x14ac:dyDescent="0.3">
      <c r="A4700" t="s">
        <v>13</v>
      </c>
      <c r="B4700" t="s">
        <v>14</v>
      </c>
      <c r="C4700" t="s">
        <v>127</v>
      </c>
      <c r="D4700" t="s">
        <v>128</v>
      </c>
      <c r="E4700">
        <v>2021</v>
      </c>
      <c r="F4700" s="1">
        <v>4265</v>
      </c>
      <c r="G4700">
        <v>2020</v>
      </c>
      <c r="H4700">
        <f>AVERAGEIFS(Table1[value],Table1[IndicatorCode],Table1[[#This Row],[IndicatorCode]])</f>
        <v>24902.88753799392</v>
      </c>
      <c r="I4700" cm="1">
        <f t="array" ref="I4700">_xlfn.STDEV.P(IF(Table1[IndicatorCode]=Table1[[#This Row],[IndicatorCode]],Table1[value]))</f>
        <v>26324.778297809873</v>
      </c>
      <c r="J4700">
        <f>(Table1[[#This Row],[value]] - Table1[[#This Row],[mean]]) / Table1[[#This Row],[std_dev]]</f>
        <v>-0.78397194097968592</v>
      </c>
      <c r="K4700">
        <f>AVERAGEIF(Table1[CountryCode],Table1[[#This Row],[CountryCode]],Table1[z-score])</f>
        <v>-0.71856813961256161</v>
      </c>
      <c r="L4700" t="e">
        <f>VLOOKUP(Table1[[#This Row],[CountryCode]],[1]!Table1[#All],1,FALSE)</f>
        <v>#REF!</v>
      </c>
    </row>
    <row r="4701" spans="1:12" hidden="1" x14ac:dyDescent="0.3">
      <c r="A4701" t="s">
        <v>13</v>
      </c>
      <c r="B4701" t="s">
        <v>14</v>
      </c>
      <c r="C4701" t="s">
        <v>127</v>
      </c>
      <c r="D4701" t="s">
        <v>128</v>
      </c>
      <c r="E4701">
        <v>2022</v>
      </c>
      <c r="F4701" s="1">
        <v>4791</v>
      </c>
      <c r="G4701">
        <v>1960</v>
      </c>
      <c r="H4701">
        <f>AVERAGEIFS(Table1[value],Table1[IndicatorCode],Table1[[#This Row],[IndicatorCode]])</f>
        <v>24902.88753799392</v>
      </c>
      <c r="I4701" cm="1">
        <f t="array" ref="I4701">_xlfn.STDEV.P(IF(Table1[IndicatorCode]=Table1[[#This Row],[IndicatorCode]],Table1[value]))</f>
        <v>26324.778297809873</v>
      </c>
      <c r="J4701">
        <f>(Table1[[#This Row],[value]] - Table1[[#This Row],[mean]]) / Table1[[#This Row],[std_dev]]</f>
        <v>-0.76399076605584015</v>
      </c>
      <c r="K4701">
        <f>AVERAGEIF(Table1[CountryCode],Table1[[#This Row],[CountryCode]],Table1[z-score])</f>
        <v>-0.71856813961256161</v>
      </c>
      <c r="L4701" t="e">
        <f>VLOOKUP(Table1[[#This Row],[CountryCode]],[1]!Table1[#All],1,FALSE)</f>
        <v>#REF!</v>
      </c>
    </row>
    <row r="4702" spans="1:12" hidden="1" x14ac:dyDescent="0.3">
      <c r="A4702" t="s">
        <v>13</v>
      </c>
      <c r="B4702" t="s">
        <v>14</v>
      </c>
      <c r="C4702" t="s">
        <v>127</v>
      </c>
      <c r="D4702" t="s">
        <v>128</v>
      </c>
      <c r="E4702">
        <v>2023</v>
      </c>
      <c r="F4702" s="1">
        <v>5197</v>
      </c>
      <c r="G4702">
        <v>1960</v>
      </c>
      <c r="H4702">
        <f>AVERAGEIFS(Table1[value],Table1[IndicatorCode],Table1[[#This Row],[IndicatorCode]])</f>
        <v>24902.88753799392</v>
      </c>
      <c r="I4702" cm="1">
        <f t="array" ref="I4702">_xlfn.STDEV.P(IF(Table1[IndicatorCode]=Table1[[#This Row],[IndicatorCode]],Table1[value]))</f>
        <v>26324.778297809873</v>
      </c>
      <c r="J4702">
        <f>(Table1[[#This Row],[value]] - Table1[[#This Row],[mean]]) / Table1[[#This Row],[std_dev]]</f>
        <v>-0.74856803408040018</v>
      </c>
      <c r="K4702">
        <f>AVERAGEIF(Table1[CountryCode],Table1[[#This Row],[CountryCode]],Table1[z-score])</f>
        <v>-0.71856813961256161</v>
      </c>
      <c r="L4702" t="e">
        <f>VLOOKUP(Table1[[#This Row],[CountryCode]],[1]!Table1[#All],1,FALSE)</f>
        <v>#REF!</v>
      </c>
    </row>
    <row r="4703" spans="1:12" hidden="1" x14ac:dyDescent="0.3">
      <c r="A4703" t="s">
        <v>13</v>
      </c>
      <c r="B4703" t="s">
        <v>14</v>
      </c>
      <c r="C4703" t="s">
        <v>127</v>
      </c>
      <c r="D4703" t="s">
        <v>128</v>
      </c>
      <c r="E4703">
        <v>2024</v>
      </c>
      <c r="F4703" s="1">
        <v>5378</v>
      </c>
      <c r="G4703">
        <v>1960</v>
      </c>
      <c r="H4703">
        <f>AVERAGEIFS(Table1[value],Table1[IndicatorCode],Table1[[#This Row],[IndicatorCode]])</f>
        <v>24902.88753799392</v>
      </c>
      <c r="I4703" cm="1">
        <f t="array" ref="I4703">_xlfn.STDEV.P(IF(Table1[IndicatorCode]=Table1[[#This Row],[IndicatorCode]],Table1[value]))</f>
        <v>26324.778297809873</v>
      </c>
      <c r="J4703">
        <f>(Table1[[#This Row],[value]] - Table1[[#This Row],[mean]]) / Table1[[#This Row],[std_dev]]</f>
        <v>-0.74169238263322124</v>
      </c>
      <c r="K4703">
        <f>AVERAGEIF(Table1[CountryCode],Table1[[#This Row],[CountryCode]],Table1[z-score])</f>
        <v>-0.71856813961256161</v>
      </c>
      <c r="L4703" t="e">
        <f>VLOOKUP(Table1[[#This Row],[CountryCode]],[1]!Table1[#All],1,FALSE)</f>
        <v>#REF!</v>
      </c>
    </row>
    <row r="4704" spans="1:12" hidden="1" x14ac:dyDescent="0.3">
      <c r="A4704" t="s">
        <v>15</v>
      </c>
      <c r="B4704" t="s">
        <v>16</v>
      </c>
      <c r="C4704" t="s">
        <v>127</v>
      </c>
      <c r="D4704" t="s">
        <v>128</v>
      </c>
      <c r="E4704">
        <v>1960</v>
      </c>
      <c r="F4704" s="1">
        <v>11895</v>
      </c>
      <c r="G4704">
        <v>1960</v>
      </c>
      <c r="H4704">
        <f>AVERAGEIFS(Table1[value],Table1[IndicatorCode],Table1[[#This Row],[IndicatorCode]])</f>
        <v>24902.88753799392</v>
      </c>
      <c r="I4704" cm="1">
        <f t="array" ref="I4704">_xlfn.STDEV.P(IF(Table1[IndicatorCode]=Table1[[#This Row],[IndicatorCode]],Table1[value]))</f>
        <v>26324.778297809873</v>
      </c>
      <c r="J4704">
        <f>(Table1[[#This Row],[value]] - Table1[[#This Row],[mean]]) / Table1[[#This Row],[std_dev]]</f>
        <v>-0.49413094351021103</v>
      </c>
      <c r="K4704">
        <f>AVERAGEIF(Table1[CountryCode],Table1[[#This Row],[CountryCode]],Table1[z-score])</f>
        <v>0.26765264295626828</v>
      </c>
      <c r="L4704" t="e">
        <f>VLOOKUP(Table1[[#This Row],[CountryCode]],[1]!Table1[#All],1,FALSE)</f>
        <v>#REF!</v>
      </c>
    </row>
    <row r="4705" spans="1:12" hidden="1" x14ac:dyDescent="0.3">
      <c r="A4705" t="s">
        <v>15</v>
      </c>
      <c r="B4705" t="s">
        <v>16</v>
      </c>
      <c r="C4705" t="s">
        <v>127</v>
      </c>
      <c r="D4705" t="s">
        <v>128</v>
      </c>
      <c r="E4705">
        <v>1961</v>
      </c>
      <c r="F4705" s="1">
        <v>12485</v>
      </c>
      <c r="G4705">
        <v>1960</v>
      </c>
      <c r="H4705">
        <f>AVERAGEIFS(Table1[value],Table1[IndicatorCode],Table1[[#This Row],[IndicatorCode]])</f>
        <v>24902.88753799392</v>
      </c>
      <c r="I4705" cm="1">
        <f t="array" ref="I4705">_xlfn.STDEV.P(IF(Table1[IndicatorCode]=Table1[[#This Row],[IndicatorCode]],Table1[value]))</f>
        <v>26324.778297809873</v>
      </c>
      <c r="J4705">
        <f>(Table1[[#This Row],[value]] - Table1[[#This Row],[mean]]) / Table1[[#This Row],[std_dev]]</f>
        <v>-0.47171859901388202</v>
      </c>
      <c r="K4705">
        <f>AVERAGEIF(Table1[CountryCode],Table1[[#This Row],[CountryCode]],Table1[z-score])</f>
        <v>0.26765264295626828</v>
      </c>
      <c r="L4705" t="e">
        <f>VLOOKUP(Table1[[#This Row],[CountryCode]],[1]!Table1[#All],1,FALSE)</f>
        <v>#REF!</v>
      </c>
    </row>
    <row r="4706" spans="1:12" hidden="1" x14ac:dyDescent="0.3">
      <c r="A4706" t="s">
        <v>15</v>
      </c>
      <c r="B4706" t="s">
        <v>16</v>
      </c>
      <c r="C4706" t="s">
        <v>127</v>
      </c>
      <c r="D4706" t="s">
        <v>128</v>
      </c>
      <c r="E4706">
        <v>1962</v>
      </c>
      <c r="F4706" s="1">
        <v>12737</v>
      </c>
      <c r="G4706">
        <v>1960</v>
      </c>
      <c r="H4706">
        <f>AVERAGEIFS(Table1[value],Table1[IndicatorCode],Table1[[#This Row],[IndicatorCode]])</f>
        <v>24902.88753799392</v>
      </c>
      <c r="I4706" cm="1">
        <f t="array" ref="I4706">_xlfn.STDEV.P(IF(Table1[IndicatorCode]=Table1[[#This Row],[IndicatorCode]],Table1[value]))</f>
        <v>26324.778297809873</v>
      </c>
      <c r="J4706">
        <f>(Table1[[#This Row],[value]] - Table1[[#This Row],[mean]]) / Table1[[#This Row],[std_dev]]</f>
        <v>-0.46214586882222969</v>
      </c>
      <c r="K4706">
        <f>AVERAGEIF(Table1[CountryCode],Table1[[#This Row],[CountryCode]],Table1[z-score])</f>
        <v>0.26765264295626828</v>
      </c>
      <c r="L4706" t="e">
        <f>VLOOKUP(Table1[[#This Row],[CountryCode]],[1]!Table1[#All],1,FALSE)</f>
        <v>#REF!</v>
      </c>
    </row>
    <row r="4707" spans="1:12" hidden="1" x14ac:dyDescent="0.3">
      <c r="A4707" t="s">
        <v>15</v>
      </c>
      <c r="B4707" t="s">
        <v>16</v>
      </c>
      <c r="C4707" t="s">
        <v>127</v>
      </c>
      <c r="D4707" t="s">
        <v>128</v>
      </c>
      <c r="E4707">
        <v>1963</v>
      </c>
      <c r="F4707" s="1">
        <v>13179</v>
      </c>
      <c r="G4707">
        <v>1960</v>
      </c>
      <c r="H4707">
        <f>AVERAGEIFS(Table1[value],Table1[IndicatorCode],Table1[[#This Row],[IndicatorCode]])</f>
        <v>24902.88753799392</v>
      </c>
      <c r="I4707" cm="1">
        <f t="array" ref="I4707">_xlfn.STDEV.P(IF(Table1[IndicatorCode]=Table1[[#This Row],[IndicatorCode]],Table1[value]))</f>
        <v>26324.778297809873</v>
      </c>
      <c r="J4707">
        <f>(Table1[[#This Row],[value]] - Table1[[#This Row],[mean]]) / Table1[[#This Row],[std_dev]]</f>
        <v>-0.44535560396226792</v>
      </c>
      <c r="K4707">
        <f>AVERAGEIF(Table1[CountryCode],Table1[[#This Row],[CountryCode]],Table1[z-score])</f>
        <v>0.26765264295626828</v>
      </c>
      <c r="L4707" t="e">
        <f>VLOOKUP(Table1[[#This Row],[CountryCode]],[1]!Table1[#All],1,FALSE)</f>
        <v>#REF!</v>
      </c>
    </row>
    <row r="4708" spans="1:12" hidden="1" x14ac:dyDescent="0.3">
      <c r="A4708" t="s">
        <v>15</v>
      </c>
      <c r="B4708" t="s">
        <v>16</v>
      </c>
      <c r="C4708" t="s">
        <v>127</v>
      </c>
      <c r="D4708" t="s">
        <v>128</v>
      </c>
      <c r="E4708">
        <v>1964</v>
      </c>
      <c r="F4708" s="1">
        <v>13894</v>
      </c>
      <c r="G4708">
        <v>1960</v>
      </c>
      <c r="H4708">
        <f>AVERAGEIFS(Table1[value],Table1[IndicatorCode],Table1[[#This Row],[IndicatorCode]])</f>
        <v>24902.88753799392</v>
      </c>
      <c r="I4708" cm="1">
        <f t="array" ref="I4708">_xlfn.STDEV.P(IF(Table1[IndicatorCode]=Table1[[#This Row],[IndicatorCode]],Table1[value]))</f>
        <v>26324.778297809873</v>
      </c>
      <c r="J4708">
        <f>(Table1[[#This Row],[value]] - Table1[[#This Row],[mean]]) / Table1[[#This Row],[std_dev]]</f>
        <v>-0.4181948813946828</v>
      </c>
      <c r="K4708">
        <f>AVERAGEIF(Table1[CountryCode],Table1[[#This Row],[CountryCode]],Table1[z-score])</f>
        <v>0.26765264295626828</v>
      </c>
      <c r="L4708" t="e">
        <f>VLOOKUP(Table1[[#This Row],[CountryCode]],[1]!Table1[#All],1,FALSE)</f>
        <v>#REF!</v>
      </c>
    </row>
    <row r="4709" spans="1:12" hidden="1" x14ac:dyDescent="0.3">
      <c r="A4709" t="s">
        <v>15</v>
      </c>
      <c r="B4709" t="s">
        <v>16</v>
      </c>
      <c r="C4709" t="s">
        <v>127</v>
      </c>
      <c r="D4709" t="s">
        <v>128</v>
      </c>
      <c r="E4709">
        <v>1965</v>
      </c>
      <c r="F4709" s="1">
        <v>14284</v>
      </c>
      <c r="G4709">
        <v>1960</v>
      </c>
      <c r="H4709">
        <f>AVERAGEIFS(Table1[value],Table1[IndicatorCode],Table1[[#This Row],[IndicatorCode]])</f>
        <v>24902.88753799392</v>
      </c>
      <c r="I4709" cm="1">
        <f t="array" ref="I4709">_xlfn.STDEV.P(IF(Table1[IndicatorCode]=Table1[[#This Row],[IndicatorCode]],Table1[value]))</f>
        <v>26324.778297809873</v>
      </c>
      <c r="J4709">
        <f>(Table1[[#This Row],[value]] - Table1[[#This Row],[mean]]) / Table1[[#This Row],[std_dev]]</f>
        <v>-0.40337994181236364</v>
      </c>
      <c r="K4709">
        <f>AVERAGEIF(Table1[CountryCode],Table1[[#This Row],[CountryCode]],Table1[z-score])</f>
        <v>0.26765264295626828</v>
      </c>
      <c r="L4709" t="e">
        <f>VLOOKUP(Table1[[#This Row],[CountryCode]],[1]!Table1[#All],1,FALSE)</f>
        <v>#REF!</v>
      </c>
    </row>
    <row r="4710" spans="1:12" hidden="1" x14ac:dyDescent="0.3">
      <c r="A4710" t="s">
        <v>15</v>
      </c>
      <c r="B4710" t="s">
        <v>16</v>
      </c>
      <c r="C4710" t="s">
        <v>127</v>
      </c>
      <c r="D4710" t="s">
        <v>128</v>
      </c>
      <c r="E4710">
        <v>1966</v>
      </c>
      <c r="F4710" s="1">
        <v>14985</v>
      </c>
      <c r="G4710">
        <v>1960</v>
      </c>
      <c r="H4710">
        <f>AVERAGEIFS(Table1[value],Table1[IndicatorCode],Table1[[#This Row],[IndicatorCode]])</f>
        <v>24902.88753799392</v>
      </c>
      <c r="I4710" cm="1">
        <f t="array" ref="I4710">_xlfn.STDEV.P(IF(Table1[IndicatorCode]=Table1[[#This Row],[IndicatorCode]],Table1[value]))</f>
        <v>26324.778297809873</v>
      </c>
      <c r="J4710">
        <f>(Table1[[#This Row],[value]] - Table1[[#This Row],[mean]]) / Table1[[#This Row],[std_dev]]</f>
        <v>-0.37675103758875922</v>
      </c>
      <c r="K4710">
        <f>AVERAGEIF(Table1[CountryCode],Table1[[#This Row],[CountryCode]],Table1[z-score])</f>
        <v>0.26765264295626828</v>
      </c>
      <c r="L4710" t="e">
        <f>VLOOKUP(Table1[[#This Row],[CountryCode]],[1]!Table1[#All],1,FALSE)</f>
        <v>#REF!</v>
      </c>
    </row>
    <row r="4711" spans="1:12" hidden="1" x14ac:dyDescent="0.3">
      <c r="A4711" t="s">
        <v>15</v>
      </c>
      <c r="B4711" t="s">
        <v>16</v>
      </c>
      <c r="C4711" t="s">
        <v>127</v>
      </c>
      <c r="D4711" t="s">
        <v>128</v>
      </c>
      <c r="E4711">
        <v>1967</v>
      </c>
      <c r="F4711" s="1">
        <v>15320</v>
      </c>
      <c r="G4711">
        <v>1970</v>
      </c>
      <c r="H4711">
        <f>AVERAGEIFS(Table1[value],Table1[IndicatorCode],Table1[[#This Row],[IndicatorCode]])</f>
        <v>24902.88753799392</v>
      </c>
      <c r="I4711" cm="1">
        <f t="array" ref="I4711">_xlfn.STDEV.P(IF(Table1[IndicatorCode]=Table1[[#This Row],[IndicatorCode]],Table1[value]))</f>
        <v>26324.778297809873</v>
      </c>
      <c r="J4711">
        <f>(Table1[[#This Row],[value]] - Table1[[#This Row],[mean]]) / Table1[[#This Row],[std_dev]]</f>
        <v>-0.36402538435779275</v>
      </c>
      <c r="K4711">
        <f>AVERAGEIF(Table1[CountryCode],Table1[[#This Row],[CountryCode]],Table1[z-score])</f>
        <v>0.26765264295626828</v>
      </c>
      <c r="L4711" t="e">
        <f>VLOOKUP(Table1[[#This Row],[CountryCode]],[1]!Table1[#All],1,FALSE)</f>
        <v>#REF!</v>
      </c>
    </row>
    <row r="4712" spans="1:12" hidden="1" x14ac:dyDescent="0.3">
      <c r="A4712" t="s">
        <v>15</v>
      </c>
      <c r="B4712" t="s">
        <v>16</v>
      </c>
      <c r="C4712" t="s">
        <v>127</v>
      </c>
      <c r="D4712" t="s">
        <v>128</v>
      </c>
      <c r="E4712">
        <v>1968</v>
      </c>
      <c r="F4712" s="1">
        <v>15923</v>
      </c>
      <c r="G4712">
        <v>1970</v>
      </c>
      <c r="H4712">
        <f>AVERAGEIFS(Table1[value],Table1[IndicatorCode],Table1[[#This Row],[IndicatorCode]])</f>
        <v>24902.88753799392</v>
      </c>
      <c r="I4712" cm="1">
        <f t="array" ref="I4712">_xlfn.STDEV.P(IF(Table1[IndicatorCode]=Table1[[#This Row],[IndicatorCode]],Table1[value]))</f>
        <v>26324.778297809873</v>
      </c>
      <c r="J4712">
        <f>(Table1[[#This Row],[value]] - Table1[[#This Row],[mean]]) / Table1[[#This Row],[std_dev]]</f>
        <v>-0.34111920854205313</v>
      </c>
      <c r="K4712">
        <f>AVERAGEIF(Table1[CountryCode],Table1[[#This Row],[CountryCode]],Table1[z-score])</f>
        <v>0.26765264295626828</v>
      </c>
      <c r="L4712" t="e">
        <f>VLOOKUP(Table1[[#This Row],[CountryCode]],[1]!Table1[#All],1,FALSE)</f>
        <v>#REF!</v>
      </c>
    </row>
    <row r="4713" spans="1:12" hidden="1" x14ac:dyDescent="0.3">
      <c r="A4713" t="s">
        <v>15</v>
      </c>
      <c r="B4713" t="s">
        <v>16</v>
      </c>
      <c r="C4713" t="s">
        <v>127</v>
      </c>
      <c r="D4713" t="s">
        <v>128</v>
      </c>
      <c r="E4713">
        <v>1969</v>
      </c>
      <c r="F4713" s="1">
        <v>16864</v>
      </c>
      <c r="G4713">
        <v>1970</v>
      </c>
      <c r="H4713">
        <f>AVERAGEIFS(Table1[value],Table1[IndicatorCode],Table1[[#This Row],[IndicatorCode]])</f>
        <v>24902.88753799392</v>
      </c>
      <c r="I4713" cm="1">
        <f t="array" ref="I4713">_xlfn.STDEV.P(IF(Table1[IndicatorCode]=Table1[[#This Row],[IndicatorCode]],Table1[value]))</f>
        <v>26324.778297809873</v>
      </c>
      <c r="J4713">
        <f>(Table1[[#This Row],[value]] - Table1[[#This Row],[mean]]) / Table1[[#This Row],[std_dev]]</f>
        <v>-0.30537341842163684</v>
      </c>
      <c r="K4713">
        <f>AVERAGEIF(Table1[CountryCode],Table1[[#This Row],[CountryCode]],Table1[z-score])</f>
        <v>0.26765264295626828</v>
      </c>
      <c r="L4713" t="e">
        <f>VLOOKUP(Table1[[#This Row],[CountryCode]],[1]!Table1[#All],1,FALSE)</f>
        <v>#REF!</v>
      </c>
    </row>
    <row r="4714" spans="1:12" hidden="1" x14ac:dyDescent="0.3">
      <c r="A4714" t="s">
        <v>15</v>
      </c>
      <c r="B4714" t="s">
        <v>16</v>
      </c>
      <c r="C4714" t="s">
        <v>127</v>
      </c>
      <c r="D4714" t="s">
        <v>128</v>
      </c>
      <c r="E4714">
        <v>1970</v>
      </c>
      <c r="F4714" s="1">
        <v>18002</v>
      </c>
      <c r="G4714">
        <v>1970</v>
      </c>
      <c r="H4714">
        <f>AVERAGEIFS(Table1[value],Table1[IndicatorCode],Table1[[#This Row],[IndicatorCode]])</f>
        <v>24902.88753799392</v>
      </c>
      <c r="I4714" cm="1">
        <f t="array" ref="I4714">_xlfn.STDEV.P(IF(Table1[IndicatorCode]=Table1[[#This Row],[IndicatorCode]],Table1[value]))</f>
        <v>26324.778297809873</v>
      </c>
      <c r="J4714">
        <f>(Table1[[#This Row],[value]] - Table1[[#This Row],[mean]]) / Table1[[#This Row],[std_dev]]</f>
        <v>-0.26214418446092097</v>
      </c>
      <c r="K4714">
        <f>AVERAGEIF(Table1[CountryCode],Table1[[#This Row],[CountryCode]],Table1[z-score])</f>
        <v>0.26765264295626828</v>
      </c>
      <c r="L4714" t="e">
        <f>VLOOKUP(Table1[[#This Row],[CountryCode]],[1]!Table1[#All],1,FALSE)</f>
        <v>#REF!</v>
      </c>
    </row>
    <row r="4715" spans="1:12" hidden="1" x14ac:dyDescent="0.3">
      <c r="A4715" t="s">
        <v>15</v>
      </c>
      <c r="B4715" t="s">
        <v>16</v>
      </c>
      <c r="C4715" t="s">
        <v>127</v>
      </c>
      <c r="D4715" t="s">
        <v>128</v>
      </c>
      <c r="E4715">
        <v>1971</v>
      </c>
      <c r="F4715" s="1">
        <v>18838</v>
      </c>
      <c r="G4715">
        <v>1970</v>
      </c>
      <c r="H4715">
        <f>AVERAGEIFS(Table1[value],Table1[IndicatorCode],Table1[[#This Row],[IndicatorCode]])</f>
        <v>24902.88753799392</v>
      </c>
      <c r="I4715" cm="1">
        <f t="array" ref="I4715">_xlfn.STDEV.P(IF(Table1[IndicatorCode]=Table1[[#This Row],[IndicatorCode]],Table1[value]))</f>
        <v>26324.778297809873</v>
      </c>
      <c r="J4715">
        <f>(Table1[[#This Row],[value]] - Table1[[#This Row],[mean]]) / Table1[[#This Row],[std_dev]]</f>
        <v>-0.23038703192035986</v>
      </c>
      <c r="K4715">
        <f>AVERAGEIF(Table1[CountryCode],Table1[[#This Row],[CountryCode]],Table1[z-score])</f>
        <v>0.26765264295626828</v>
      </c>
      <c r="L4715" t="e">
        <f>VLOOKUP(Table1[[#This Row],[CountryCode]],[1]!Table1[#All],1,FALSE)</f>
        <v>#REF!</v>
      </c>
    </row>
    <row r="4716" spans="1:12" hidden="1" x14ac:dyDescent="0.3">
      <c r="A4716" t="s">
        <v>15</v>
      </c>
      <c r="B4716" t="s">
        <v>16</v>
      </c>
      <c r="C4716" t="s">
        <v>127</v>
      </c>
      <c r="D4716" t="s">
        <v>128</v>
      </c>
      <c r="E4716">
        <v>1972</v>
      </c>
      <c r="F4716" s="1">
        <v>19892</v>
      </c>
      <c r="G4716">
        <v>1970</v>
      </c>
      <c r="H4716">
        <f>AVERAGEIFS(Table1[value],Table1[IndicatorCode],Table1[[#This Row],[IndicatorCode]])</f>
        <v>24902.88753799392</v>
      </c>
      <c r="I4716" cm="1">
        <f t="array" ref="I4716">_xlfn.STDEV.P(IF(Table1[IndicatorCode]=Table1[[#This Row],[IndicatorCode]],Table1[value]))</f>
        <v>26324.778297809873</v>
      </c>
      <c r="J4716">
        <f>(Table1[[#This Row],[value]] - Table1[[#This Row],[mean]]) / Table1[[#This Row],[std_dev]]</f>
        <v>-0.19034870802352807</v>
      </c>
      <c r="K4716">
        <f>AVERAGEIF(Table1[CountryCode],Table1[[#This Row],[CountryCode]],Table1[z-score])</f>
        <v>0.26765264295626828</v>
      </c>
      <c r="L4716" t="e">
        <f>VLOOKUP(Table1[[#This Row],[CountryCode]],[1]!Table1[#All],1,FALSE)</f>
        <v>#REF!</v>
      </c>
    </row>
    <row r="4717" spans="1:12" hidden="1" x14ac:dyDescent="0.3">
      <c r="A4717" t="s">
        <v>15</v>
      </c>
      <c r="B4717" t="s">
        <v>16</v>
      </c>
      <c r="C4717" t="s">
        <v>127</v>
      </c>
      <c r="D4717" t="s">
        <v>128</v>
      </c>
      <c r="E4717">
        <v>1973</v>
      </c>
      <c r="F4717" s="1">
        <v>20749</v>
      </c>
      <c r="G4717">
        <v>1970</v>
      </c>
      <c r="H4717">
        <f>AVERAGEIFS(Table1[value],Table1[IndicatorCode],Table1[[#This Row],[IndicatorCode]])</f>
        <v>24902.88753799392</v>
      </c>
      <c r="I4717" cm="1">
        <f t="array" ref="I4717">_xlfn.STDEV.P(IF(Table1[IndicatorCode]=Table1[[#This Row],[IndicatorCode]],Table1[value]))</f>
        <v>26324.778297809873</v>
      </c>
      <c r="J4717">
        <f>(Table1[[#This Row],[value]] - Table1[[#This Row],[mean]]) / Table1[[#This Row],[std_dev]]</f>
        <v>-0.15779382796699595</v>
      </c>
      <c r="K4717">
        <f>AVERAGEIF(Table1[CountryCode],Table1[[#This Row],[CountryCode]],Table1[z-score])</f>
        <v>0.26765264295626828</v>
      </c>
      <c r="L4717" t="e">
        <f>VLOOKUP(Table1[[#This Row],[CountryCode]],[1]!Table1[#All],1,FALSE)</f>
        <v>#REF!</v>
      </c>
    </row>
    <row r="4718" spans="1:12" hidden="1" x14ac:dyDescent="0.3">
      <c r="A4718" t="s">
        <v>15</v>
      </c>
      <c r="B4718" t="s">
        <v>16</v>
      </c>
      <c r="C4718" t="s">
        <v>127</v>
      </c>
      <c r="D4718" t="s">
        <v>128</v>
      </c>
      <c r="E4718">
        <v>1974</v>
      </c>
      <c r="F4718" s="1">
        <v>21531</v>
      </c>
      <c r="G4718">
        <v>1970</v>
      </c>
      <c r="H4718">
        <f>AVERAGEIFS(Table1[value],Table1[IndicatorCode],Table1[[#This Row],[IndicatorCode]])</f>
        <v>24902.88753799392</v>
      </c>
      <c r="I4718" cm="1">
        <f t="array" ref="I4718">_xlfn.STDEV.P(IF(Table1[IndicatorCode]=Table1[[#This Row],[IndicatorCode]],Table1[value]))</f>
        <v>26324.778297809873</v>
      </c>
      <c r="J4718">
        <f>(Table1[[#This Row],[value]] - Table1[[#This Row],[mean]]) / Table1[[#This Row],[std_dev]]</f>
        <v>-0.12808797475321754</v>
      </c>
      <c r="K4718">
        <f>AVERAGEIF(Table1[CountryCode],Table1[[#This Row],[CountryCode]],Table1[z-score])</f>
        <v>0.26765264295626828</v>
      </c>
      <c r="L4718" t="e">
        <f>VLOOKUP(Table1[[#This Row],[CountryCode]],[1]!Table1[#All],1,FALSE)</f>
        <v>#REF!</v>
      </c>
    </row>
    <row r="4719" spans="1:12" hidden="1" x14ac:dyDescent="0.3">
      <c r="A4719" t="s">
        <v>15</v>
      </c>
      <c r="B4719" t="s">
        <v>16</v>
      </c>
      <c r="C4719" t="s">
        <v>127</v>
      </c>
      <c r="D4719" t="s">
        <v>128</v>
      </c>
      <c r="E4719">
        <v>1975</v>
      </c>
      <c r="F4719" s="1">
        <v>21509</v>
      </c>
      <c r="G4719">
        <v>1970</v>
      </c>
      <c r="H4719">
        <f>AVERAGEIFS(Table1[value],Table1[IndicatorCode],Table1[[#This Row],[IndicatorCode]])</f>
        <v>24902.88753799392</v>
      </c>
      <c r="I4719" cm="1">
        <f t="array" ref="I4719">_xlfn.STDEV.P(IF(Table1[IndicatorCode]=Table1[[#This Row],[IndicatorCode]],Table1[value]))</f>
        <v>26324.778297809873</v>
      </c>
      <c r="J4719">
        <f>(Table1[[#This Row],[value]] - Table1[[#This Row],[mean]]) / Table1[[#This Row],[std_dev]]</f>
        <v>-0.12892368929375861</v>
      </c>
      <c r="K4719">
        <f>AVERAGEIF(Table1[CountryCode],Table1[[#This Row],[CountryCode]],Table1[z-score])</f>
        <v>0.26765264295626828</v>
      </c>
      <c r="L4719" t="e">
        <f>VLOOKUP(Table1[[#This Row],[CountryCode]],[1]!Table1[#All],1,FALSE)</f>
        <v>#REF!</v>
      </c>
    </row>
    <row r="4720" spans="1:12" hidden="1" x14ac:dyDescent="0.3">
      <c r="A4720" t="s">
        <v>15</v>
      </c>
      <c r="B4720" t="s">
        <v>16</v>
      </c>
      <c r="C4720" t="s">
        <v>127</v>
      </c>
      <c r="D4720" t="s">
        <v>128</v>
      </c>
      <c r="E4720">
        <v>1976</v>
      </c>
      <c r="F4720" s="1">
        <v>22534</v>
      </c>
      <c r="G4720">
        <v>1970</v>
      </c>
      <c r="H4720">
        <f>AVERAGEIFS(Table1[value],Table1[IndicatorCode],Table1[[#This Row],[IndicatorCode]])</f>
        <v>24902.88753799392</v>
      </c>
      <c r="I4720" cm="1">
        <f t="array" ref="I4720">_xlfn.STDEV.P(IF(Table1[IndicatorCode]=Table1[[#This Row],[IndicatorCode]],Table1[value]))</f>
        <v>26324.778297809873</v>
      </c>
      <c r="J4720">
        <f>(Table1[[#This Row],[value]] - Table1[[#This Row],[mean]]) / Table1[[#This Row],[std_dev]]</f>
        <v>-8.9986989109458251E-2</v>
      </c>
      <c r="K4720">
        <f>AVERAGEIF(Table1[CountryCode],Table1[[#This Row],[CountryCode]],Table1[z-score])</f>
        <v>0.26765264295626828</v>
      </c>
      <c r="L4720" t="e">
        <f>VLOOKUP(Table1[[#This Row],[CountryCode]],[1]!Table1[#All],1,FALSE)</f>
        <v>#REF!</v>
      </c>
    </row>
    <row r="4721" spans="1:12" hidden="1" x14ac:dyDescent="0.3">
      <c r="A4721" t="s">
        <v>15</v>
      </c>
      <c r="B4721" t="s">
        <v>16</v>
      </c>
      <c r="C4721" t="s">
        <v>127</v>
      </c>
      <c r="D4721" t="s">
        <v>128</v>
      </c>
      <c r="E4721">
        <v>1977</v>
      </c>
      <c r="F4721" s="1">
        <v>23670</v>
      </c>
      <c r="G4721">
        <v>1980</v>
      </c>
      <c r="H4721">
        <f>AVERAGEIFS(Table1[value],Table1[IndicatorCode],Table1[[#This Row],[IndicatorCode]])</f>
        <v>24902.88753799392</v>
      </c>
      <c r="I4721" cm="1">
        <f t="array" ref="I4721">_xlfn.STDEV.P(IF(Table1[IndicatorCode]=Table1[[#This Row],[IndicatorCode]],Table1[value]))</f>
        <v>26324.778297809873</v>
      </c>
      <c r="J4721">
        <f>(Table1[[#This Row],[value]] - Table1[[#This Row],[mean]]) / Table1[[#This Row],[std_dev]]</f>
        <v>-4.683372919788243E-2</v>
      </c>
      <c r="K4721">
        <f>AVERAGEIF(Table1[CountryCode],Table1[[#This Row],[CountryCode]],Table1[z-score])</f>
        <v>0.26765264295626828</v>
      </c>
      <c r="L4721" t="e">
        <f>VLOOKUP(Table1[[#This Row],[CountryCode]],[1]!Table1[#All],1,FALSE)</f>
        <v>#REF!</v>
      </c>
    </row>
    <row r="4722" spans="1:12" hidden="1" x14ac:dyDescent="0.3">
      <c r="A4722" t="s">
        <v>15</v>
      </c>
      <c r="B4722" t="s">
        <v>16</v>
      </c>
      <c r="C4722" t="s">
        <v>127</v>
      </c>
      <c r="D4722" t="s">
        <v>128</v>
      </c>
      <c r="E4722">
        <v>1978</v>
      </c>
      <c r="F4722" s="1">
        <v>23639</v>
      </c>
      <c r="G4722">
        <v>1980</v>
      </c>
      <c r="H4722">
        <f>AVERAGEIFS(Table1[value],Table1[IndicatorCode],Table1[[#This Row],[IndicatorCode]])</f>
        <v>24902.88753799392</v>
      </c>
      <c r="I4722" cm="1">
        <f t="array" ref="I4722">_xlfn.STDEV.P(IF(Table1[IndicatorCode]=Table1[[#This Row],[IndicatorCode]],Table1[value]))</f>
        <v>26324.778297809873</v>
      </c>
      <c r="J4722">
        <f>(Table1[[#This Row],[value]] - Table1[[#This Row],[mean]]) / Table1[[#This Row],[std_dev]]</f>
        <v>-4.801132695955395E-2</v>
      </c>
      <c r="K4722">
        <f>AVERAGEIF(Table1[CountryCode],Table1[[#This Row],[CountryCode]],Table1[z-score])</f>
        <v>0.26765264295626828</v>
      </c>
      <c r="L4722" t="e">
        <f>VLOOKUP(Table1[[#This Row],[CountryCode]],[1]!Table1[#All],1,FALSE)</f>
        <v>#REF!</v>
      </c>
    </row>
    <row r="4723" spans="1:12" hidden="1" x14ac:dyDescent="0.3">
      <c r="A4723" t="s">
        <v>15</v>
      </c>
      <c r="B4723" t="s">
        <v>16</v>
      </c>
      <c r="C4723" t="s">
        <v>127</v>
      </c>
      <c r="D4723" t="s">
        <v>128</v>
      </c>
      <c r="E4723">
        <v>1979</v>
      </c>
      <c r="F4723" s="1">
        <v>24948</v>
      </c>
      <c r="G4723">
        <v>1980</v>
      </c>
      <c r="H4723">
        <f>AVERAGEIFS(Table1[value],Table1[IndicatorCode],Table1[[#This Row],[IndicatorCode]])</f>
        <v>24902.88753799392</v>
      </c>
      <c r="I4723" cm="1">
        <f t="array" ref="I4723">_xlfn.STDEV.P(IF(Table1[IndicatorCode]=Table1[[#This Row],[IndicatorCode]],Table1[value]))</f>
        <v>26324.778297809873</v>
      </c>
      <c r="J4723">
        <f>(Table1[[#This Row],[value]] - Table1[[#This Row],[mean]]) / Table1[[#This Row],[std_dev]]</f>
        <v>1.7136882026403701E-3</v>
      </c>
      <c r="K4723">
        <f>AVERAGEIF(Table1[CountryCode],Table1[[#This Row],[CountryCode]],Table1[z-score])</f>
        <v>0.26765264295626828</v>
      </c>
      <c r="L4723" t="e">
        <f>VLOOKUP(Table1[[#This Row],[CountryCode]],[1]!Table1[#All],1,FALSE)</f>
        <v>#REF!</v>
      </c>
    </row>
    <row r="4724" spans="1:12" hidden="1" x14ac:dyDescent="0.3">
      <c r="A4724" t="s">
        <v>15</v>
      </c>
      <c r="B4724" t="s">
        <v>16</v>
      </c>
      <c r="C4724" t="s">
        <v>127</v>
      </c>
      <c r="D4724" t="s">
        <v>128</v>
      </c>
      <c r="E4724">
        <v>1980</v>
      </c>
      <c r="F4724" s="1">
        <v>25379</v>
      </c>
      <c r="G4724">
        <v>1980</v>
      </c>
      <c r="H4724">
        <f>AVERAGEIFS(Table1[value],Table1[IndicatorCode],Table1[[#This Row],[IndicatorCode]])</f>
        <v>24902.88753799392</v>
      </c>
      <c r="I4724" cm="1">
        <f t="array" ref="I4724">_xlfn.STDEV.P(IF(Table1[IndicatorCode]=Table1[[#This Row],[IndicatorCode]],Table1[value]))</f>
        <v>26324.778297809873</v>
      </c>
      <c r="J4724">
        <f>(Table1[[#This Row],[value]] - Table1[[#This Row],[mean]]) / Table1[[#This Row],[std_dev]]</f>
        <v>1.8086095792331548E-2</v>
      </c>
      <c r="K4724">
        <f>AVERAGEIF(Table1[CountryCode],Table1[[#This Row],[CountryCode]],Table1[z-score])</f>
        <v>0.26765264295626828</v>
      </c>
      <c r="L4724" t="e">
        <f>VLOOKUP(Table1[[#This Row],[CountryCode]],[1]!Table1[#All],1,FALSE)</f>
        <v>#REF!</v>
      </c>
    </row>
    <row r="4725" spans="1:12" hidden="1" x14ac:dyDescent="0.3">
      <c r="A4725" t="s">
        <v>15</v>
      </c>
      <c r="B4725" t="s">
        <v>16</v>
      </c>
      <c r="C4725" t="s">
        <v>127</v>
      </c>
      <c r="D4725" t="s">
        <v>128</v>
      </c>
      <c r="E4725">
        <v>1981</v>
      </c>
      <c r="F4725" s="1">
        <v>25278</v>
      </c>
      <c r="G4725">
        <v>1980</v>
      </c>
      <c r="H4725">
        <f>AVERAGEIFS(Table1[value],Table1[IndicatorCode],Table1[[#This Row],[IndicatorCode]])</f>
        <v>24902.88753799392</v>
      </c>
      <c r="I4725" cm="1">
        <f t="array" ref="I4725">_xlfn.STDEV.P(IF(Table1[IndicatorCode]=Table1[[#This Row],[IndicatorCode]],Table1[value]))</f>
        <v>26324.778297809873</v>
      </c>
      <c r="J4725">
        <f>(Table1[[#This Row],[value]] - Table1[[#This Row],[mean]]) / Table1[[#This Row],[std_dev]]</f>
        <v>1.4249406310756586E-2</v>
      </c>
      <c r="K4725">
        <f>AVERAGEIF(Table1[CountryCode],Table1[[#This Row],[CountryCode]],Table1[z-score])</f>
        <v>0.26765264295626828</v>
      </c>
      <c r="L4725" t="e">
        <f>VLOOKUP(Table1[[#This Row],[CountryCode]],[1]!Table1[#All],1,FALSE)</f>
        <v>#REF!</v>
      </c>
    </row>
    <row r="4726" spans="1:12" hidden="1" x14ac:dyDescent="0.3">
      <c r="A4726" t="s">
        <v>15</v>
      </c>
      <c r="B4726" t="s">
        <v>16</v>
      </c>
      <c r="C4726" t="s">
        <v>127</v>
      </c>
      <c r="D4726" t="s">
        <v>128</v>
      </c>
      <c r="E4726">
        <v>1982</v>
      </c>
      <c r="F4726" s="1">
        <v>25768</v>
      </c>
      <c r="G4726">
        <v>1980</v>
      </c>
      <c r="H4726">
        <f>AVERAGEIFS(Table1[value],Table1[IndicatorCode],Table1[[#This Row],[IndicatorCode]])</f>
        <v>24902.88753799392</v>
      </c>
      <c r="I4726" cm="1">
        <f t="array" ref="I4726">_xlfn.STDEV.P(IF(Table1[IndicatorCode]=Table1[[#This Row],[IndicatorCode]],Table1[value]))</f>
        <v>26324.778297809873</v>
      </c>
      <c r="J4726">
        <f>(Table1[[#This Row],[value]] - Table1[[#This Row],[mean]]) / Table1[[#This Row],[std_dev]]</f>
        <v>3.2863048350080665E-2</v>
      </c>
      <c r="K4726">
        <f>AVERAGEIF(Table1[CountryCode],Table1[[#This Row],[CountryCode]],Table1[z-score])</f>
        <v>0.26765264295626828</v>
      </c>
      <c r="L4726" t="e">
        <f>VLOOKUP(Table1[[#This Row],[CountryCode]],[1]!Table1[#All],1,FALSE)</f>
        <v>#REF!</v>
      </c>
    </row>
    <row r="4727" spans="1:12" hidden="1" x14ac:dyDescent="0.3">
      <c r="A4727" t="s">
        <v>15</v>
      </c>
      <c r="B4727" t="s">
        <v>16</v>
      </c>
      <c r="C4727" t="s">
        <v>127</v>
      </c>
      <c r="D4727" t="s">
        <v>128</v>
      </c>
      <c r="E4727">
        <v>1983</v>
      </c>
      <c r="F4727" s="1">
        <v>26577</v>
      </c>
      <c r="G4727">
        <v>1980</v>
      </c>
      <c r="H4727">
        <f>AVERAGEIFS(Table1[value],Table1[IndicatorCode],Table1[[#This Row],[IndicatorCode]])</f>
        <v>24902.88753799392</v>
      </c>
      <c r="I4727" cm="1">
        <f t="array" ref="I4727">_xlfn.STDEV.P(IF(Table1[IndicatorCode]=Table1[[#This Row],[IndicatorCode]],Table1[value]))</f>
        <v>26324.778297809873</v>
      </c>
      <c r="J4727">
        <f>(Table1[[#This Row],[value]] - Table1[[#This Row],[mean]]) / Table1[[#This Row],[std_dev]]</f>
        <v>6.3594551227250412E-2</v>
      </c>
      <c r="K4727">
        <f>AVERAGEIF(Table1[CountryCode],Table1[[#This Row],[CountryCode]],Table1[z-score])</f>
        <v>0.26765264295626828</v>
      </c>
      <c r="L4727" t="e">
        <f>VLOOKUP(Table1[[#This Row],[CountryCode]],[1]!Table1[#All],1,FALSE)</f>
        <v>#REF!</v>
      </c>
    </row>
    <row r="4728" spans="1:12" hidden="1" x14ac:dyDescent="0.3">
      <c r="A4728" t="s">
        <v>15</v>
      </c>
      <c r="B4728" t="s">
        <v>16</v>
      </c>
      <c r="C4728" t="s">
        <v>127</v>
      </c>
      <c r="D4728" t="s">
        <v>128</v>
      </c>
      <c r="E4728">
        <v>1984</v>
      </c>
      <c r="F4728" s="1">
        <v>26593</v>
      </c>
      <c r="G4728">
        <v>1980</v>
      </c>
      <c r="H4728">
        <f>AVERAGEIFS(Table1[value],Table1[IndicatorCode],Table1[[#This Row],[IndicatorCode]])</f>
        <v>24902.88753799392</v>
      </c>
      <c r="I4728" cm="1">
        <f t="array" ref="I4728">_xlfn.STDEV.P(IF(Table1[IndicatorCode]=Table1[[#This Row],[IndicatorCode]],Table1[value]))</f>
        <v>26324.778297809873</v>
      </c>
      <c r="J4728">
        <f>(Table1[[#This Row],[value]] - Table1[[#This Row],[mean]]) / Table1[[#This Row],[std_dev]]</f>
        <v>6.4202343620371208E-2</v>
      </c>
      <c r="K4728">
        <f>AVERAGEIF(Table1[CountryCode],Table1[[#This Row],[CountryCode]],Table1[z-score])</f>
        <v>0.26765264295626828</v>
      </c>
      <c r="L4728" t="e">
        <f>VLOOKUP(Table1[[#This Row],[CountryCode]],[1]!Table1[#All],1,FALSE)</f>
        <v>#REF!</v>
      </c>
    </row>
    <row r="4729" spans="1:12" hidden="1" x14ac:dyDescent="0.3">
      <c r="A4729" t="s">
        <v>15</v>
      </c>
      <c r="B4729" t="s">
        <v>16</v>
      </c>
      <c r="C4729" t="s">
        <v>127</v>
      </c>
      <c r="D4729" t="s">
        <v>128</v>
      </c>
      <c r="E4729">
        <v>1985</v>
      </c>
      <c r="F4729" s="1">
        <v>27244</v>
      </c>
      <c r="G4729">
        <v>1980</v>
      </c>
      <c r="H4729">
        <f>AVERAGEIFS(Table1[value],Table1[IndicatorCode],Table1[[#This Row],[IndicatorCode]])</f>
        <v>24902.88753799392</v>
      </c>
      <c r="I4729" cm="1">
        <f t="array" ref="I4729">_xlfn.STDEV.P(IF(Table1[IndicatorCode]=Table1[[#This Row],[IndicatorCode]],Table1[value]))</f>
        <v>26324.778297809873</v>
      </c>
      <c r="J4729">
        <f>(Table1[[#This Row],[value]] - Table1[[#This Row],[mean]]) / Table1[[#This Row],[std_dev]]</f>
        <v>8.8931896615473197E-2</v>
      </c>
      <c r="K4729">
        <f>AVERAGEIF(Table1[CountryCode],Table1[[#This Row],[CountryCode]],Table1[z-score])</f>
        <v>0.26765264295626828</v>
      </c>
      <c r="L4729" t="e">
        <f>VLOOKUP(Table1[[#This Row],[CountryCode]],[1]!Table1[#All],1,FALSE)</f>
        <v>#REF!</v>
      </c>
    </row>
    <row r="4730" spans="1:12" hidden="1" x14ac:dyDescent="0.3">
      <c r="A4730" t="s">
        <v>15</v>
      </c>
      <c r="B4730" t="s">
        <v>16</v>
      </c>
      <c r="C4730" t="s">
        <v>127</v>
      </c>
      <c r="D4730" t="s">
        <v>128</v>
      </c>
      <c r="E4730">
        <v>1986</v>
      </c>
      <c r="F4730" s="1">
        <v>27854</v>
      </c>
      <c r="G4730">
        <v>1980</v>
      </c>
      <c r="H4730">
        <f>AVERAGEIFS(Table1[value],Table1[IndicatorCode],Table1[[#This Row],[IndicatorCode]])</f>
        <v>24902.88753799392</v>
      </c>
      <c r="I4730" cm="1">
        <f t="array" ref="I4730">_xlfn.STDEV.P(IF(Table1[IndicatorCode]=Table1[[#This Row],[IndicatorCode]],Table1[value]))</f>
        <v>26324.778297809873</v>
      </c>
      <c r="J4730">
        <f>(Table1[[#This Row],[value]] - Table1[[#This Row],[mean]]) / Table1[[#This Row],[std_dev]]</f>
        <v>0.11210398160320317</v>
      </c>
      <c r="K4730">
        <f>AVERAGEIF(Table1[CountryCode],Table1[[#This Row],[CountryCode]],Table1[z-score])</f>
        <v>0.26765264295626828</v>
      </c>
      <c r="L4730" t="e">
        <f>VLOOKUP(Table1[[#This Row],[CountryCode]],[1]!Table1[#All],1,FALSE)</f>
        <v>#REF!</v>
      </c>
    </row>
    <row r="4731" spans="1:12" hidden="1" x14ac:dyDescent="0.3">
      <c r="A4731" t="s">
        <v>15</v>
      </c>
      <c r="B4731" t="s">
        <v>16</v>
      </c>
      <c r="C4731" t="s">
        <v>127</v>
      </c>
      <c r="D4731" t="s">
        <v>128</v>
      </c>
      <c r="E4731">
        <v>1987</v>
      </c>
      <c r="F4731" s="1">
        <v>28214</v>
      </c>
      <c r="G4731">
        <v>1990</v>
      </c>
      <c r="H4731">
        <f>AVERAGEIFS(Table1[value],Table1[IndicatorCode],Table1[[#This Row],[IndicatorCode]])</f>
        <v>24902.88753799392</v>
      </c>
      <c r="I4731" cm="1">
        <f t="array" ref="I4731">_xlfn.STDEV.P(IF(Table1[IndicatorCode]=Table1[[#This Row],[IndicatorCode]],Table1[value]))</f>
        <v>26324.778297809873</v>
      </c>
      <c r="J4731">
        <f>(Table1[[#This Row],[value]] - Table1[[#This Row],[mean]]) / Table1[[#This Row],[std_dev]]</f>
        <v>0.12577931044842086</v>
      </c>
      <c r="K4731">
        <f>AVERAGEIF(Table1[CountryCode],Table1[[#This Row],[CountryCode]],Table1[z-score])</f>
        <v>0.26765264295626828</v>
      </c>
      <c r="L4731" t="e">
        <f>VLOOKUP(Table1[[#This Row],[CountryCode]],[1]!Table1[#All],1,FALSE)</f>
        <v>#REF!</v>
      </c>
    </row>
    <row r="4732" spans="1:12" hidden="1" x14ac:dyDescent="0.3">
      <c r="A4732" t="s">
        <v>15</v>
      </c>
      <c r="B4732" t="s">
        <v>16</v>
      </c>
      <c r="C4732" t="s">
        <v>127</v>
      </c>
      <c r="D4732" t="s">
        <v>128</v>
      </c>
      <c r="E4732">
        <v>1988</v>
      </c>
      <c r="F4732" s="1">
        <v>29102</v>
      </c>
      <c r="G4732">
        <v>1990</v>
      </c>
      <c r="H4732">
        <f>AVERAGEIFS(Table1[value],Table1[IndicatorCode],Table1[[#This Row],[IndicatorCode]])</f>
        <v>24902.88753799392</v>
      </c>
      <c r="I4732" cm="1">
        <f t="array" ref="I4732">_xlfn.STDEV.P(IF(Table1[IndicatorCode]=Table1[[#This Row],[IndicatorCode]],Table1[value]))</f>
        <v>26324.778297809873</v>
      </c>
      <c r="J4732">
        <f>(Table1[[#This Row],[value]] - Table1[[#This Row],[mean]]) / Table1[[#This Row],[std_dev]]</f>
        <v>0.15951178826662449</v>
      </c>
      <c r="K4732">
        <f>AVERAGEIF(Table1[CountryCode],Table1[[#This Row],[CountryCode]],Table1[z-score])</f>
        <v>0.26765264295626828</v>
      </c>
      <c r="L4732" t="e">
        <f>VLOOKUP(Table1[[#This Row],[CountryCode]],[1]!Table1[#All],1,FALSE)</f>
        <v>#REF!</v>
      </c>
    </row>
    <row r="4733" spans="1:12" hidden="1" x14ac:dyDescent="0.3">
      <c r="A4733" t="s">
        <v>15</v>
      </c>
      <c r="B4733" t="s">
        <v>16</v>
      </c>
      <c r="C4733" t="s">
        <v>127</v>
      </c>
      <c r="D4733" t="s">
        <v>128</v>
      </c>
      <c r="E4733">
        <v>1989</v>
      </c>
      <c r="F4733" s="1">
        <v>30098</v>
      </c>
      <c r="G4733">
        <v>1990</v>
      </c>
      <c r="H4733">
        <f>AVERAGEIFS(Table1[value],Table1[IndicatorCode],Table1[[#This Row],[IndicatorCode]])</f>
        <v>24902.88753799392</v>
      </c>
      <c r="I4733" cm="1">
        <f t="array" ref="I4733">_xlfn.STDEV.P(IF(Table1[IndicatorCode]=Table1[[#This Row],[IndicatorCode]],Table1[value]))</f>
        <v>26324.778297809873</v>
      </c>
      <c r="J4733">
        <f>(Table1[[#This Row],[value]] - Table1[[#This Row],[mean]]) / Table1[[#This Row],[std_dev]]</f>
        <v>0.19734686473839344</v>
      </c>
      <c r="K4733">
        <f>AVERAGEIF(Table1[CountryCode],Table1[[#This Row],[CountryCode]],Table1[z-score])</f>
        <v>0.26765264295626828</v>
      </c>
      <c r="L4733" t="e">
        <f>VLOOKUP(Table1[[#This Row],[CountryCode]],[1]!Table1[#All],1,FALSE)</f>
        <v>#REF!</v>
      </c>
    </row>
    <row r="4734" spans="1:12" hidden="1" x14ac:dyDescent="0.3">
      <c r="A4734" t="s">
        <v>15</v>
      </c>
      <c r="B4734" t="s">
        <v>16</v>
      </c>
      <c r="C4734" t="s">
        <v>127</v>
      </c>
      <c r="D4734" t="s">
        <v>128</v>
      </c>
      <c r="E4734">
        <v>1990</v>
      </c>
      <c r="F4734" s="1">
        <v>31167</v>
      </c>
      <c r="G4734">
        <v>1990</v>
      </c>
      <c r="H4734">
        <f>AVERAGEIFS(Table1[value],Table1[IndicatorCode],Table1[[#This Row],[IndicatorCode]])</f>
        <v>24902.88753799392</v>
      </c>
      <c r="I4734" cm="1">
        <f t="array" ref="I4734">_xlfn.STDEV.P(IF(Table1[IndicatorCode]=Table1[[#This Row],[IndicatorCode]],Table1[value]))</f>
        <v>26324.778297809873</v>
      </c>
      <c r="J4734">
        <f>(Table1[[#This Row],[value]] - Table1[[#This Row],[mean]]) / Table1[[#This Row],[std_dev]]</f>
        <v>0.23795499400377595</v>
      </c>
      <c r="K4734">
        <f>AVERAGEIF(Table1[CountryCode],Table1[[#This Row],[CountryCode]],Table1[z-score])</f>
        <v>0.26765264295626828</v>
      </c>
      <c r="L4734" t="e">
        <f>VLOOKUP(Table1[[#This Row],[CountryCode]],[1]!Table1[#All],1,FALSE)</f>
        <v>#REF!</v>
      </c>
    </row>
    <row r="4735" spans="1:12" hidden="1" x14ac:dyDescent="0.3">
      <c r="A4735" t="s">
        <v>15</v>
      </c>
      <c r="B4735" t="s">
        <v>16</v>
      </c>
      <c r="C4735" t="s">
        <v>127</v>
      </c>
      <c r="D4735" t="s">
        <v>128</v>
      </c>
      <c r="E4735">
        <v>1991</v>
      </c>
      <c r="F4735" s="1">
        <v>31920</v>
      </c>
      <c r="G4735">
        <v>1990</v>
      </c>
      <c r="H4735">
        <f>AVERAGEIFS(Table1[value],Table1[IndicatorCode],Table1[[#This Row],[IndicatorCode]])</f>
        <v>24902.88753799392</v>
      </c>
      <c r="I4735" cm="1">
        <f t="array" ref="I4735">_xlfn.STDEV.P(IF(Table1[IndicatorCode]=Table1[[#This Row],[IndicatorCode]],Table1[value]))</f>
        <v>26324.778297809873</v>
      </c>
      <c r="J4735">
        <f>(Table1[[#This Row],[value]] - Table1[[#This Row],[mean]]) / Table1[[#This Row],[std_dev]]</f>
        <v>0.26655922350502298</v>
      </c>
      <c r="K4735">
        <f>AVERAGEIF(Table1[CountryCode],Table1[[#This Row],[CountryCode]],Table1[z-score])</f>
        <v>0.26765264295626828</v>
      </c>
      <c r="L4735" t="e">
        <f>VLOOKUP(Table1[[#This Row],[CountryCode]],[1]!Table1[#All],1,FALSE)</f>
        <v>#REF!</v>
      </c>
    </row>
    <row r="4736" spans="1:12" hidden="1" x14ac:dyDescent="0.3">
      <c r="A4736" t="s">
        <v>15</v>
      </c>
      <c r="B4736" t="s">
        <v>16</v>
      </c>
      <c r="C4736" t="s">
        <v>127</v>
      </c>
      <c r="D4736" t="s">
        <v>128</v>
      </c>
      <c r="E4736">
        <v>1992</v>
      </c>
      <c r="F4736" s="1">
        <v>32231</v>
      </c>
      <c r="G4736">
        <v>1990</v>
      </c>
      <c r="H4736">
        <f>AVERAGEIFS(Table1[value],Table1[IndicatorCode],Table1[[#This Row],[IndicatorCode]])</f>
        <v>24902.88753799392</v>
      </c>
      <c r="I4736" cm="1">
        <f t="array" ref="I4736">_xlfn.STDEV.P(IF(Table1[IndicatorCode]=Table1[[#This Row],[IndicatorCode]],Table1[value]))</f>
        <v>26324.778297809873</v>
      </c>
      <c r="J4736">
        <f>(Table1[[#This Row],[value]] - Table1[[#This Row],[mean]]) / Table1[[#This Row],[std_dev]]</f>
        <v>0.27837318814630824</v>
      </c>
      <c r="K4736">
        <f>AVERAGEIF(Table1[CountryCode],Table1[[#This Row],[CountryCode]],Table1[z-score])</f>
        <v>0.26765264295626828</v>
      </c>
      <c r="L4736" t="e">
        <f>VLOOKUP(Table1[[#This Row],[CountryCode]],[1]!Table1[#All],1,FALSE)</f>
        <v>#REF!</v>
      </c>
    </row>
    <row r="4737" spans="1:12" hidden="1" x14ac:dyDescent="0.3">
      <c r="A4737" t="s">
        <v>15</v>
      </c>
      <c r="B4737" t="s">
        <v>16</v>
      </c>
      <c r="C4737" t="s">
        <v>127</v>
      </c>
      <c r="D4737" t="s">
        <v>128</v>
      </c>
      <c r="E4737">
        <v>1993</v>
      </c>
      <c r="F4737" s="1">
        <v>32135</v>
      </c>
      <c r="G4737">
        <v>1990</v>
      </c>
      <c r="H4737">
        <f>AVERAGEIFS(Table1[value],Table1[IndicatorCode],Table1[[#This Row],[IndicatorCode]])</f>
        <v>24902.88753799392</v>
      </c>
      <c r="I4737" cm="1">
        <f t="array" ref="I4737">_xlfn.STDEV.P(IF(Table1[IndicatorCode]=Table1[[#This Row],[IndicatorCode]],Table1[value]))</f>
        <v>26324.778297809873</v>
      </c>
      <c r="J4737">
        <f>(Table1[[#This Row],[value]] - Table1[[#This Row],[mean]]) / Table1[[#This Row],[std_dev]]</f>
        <v>0.27472643378758355</v>
      </c>
      <c r="K4737">
        <f>AVERAGEIF(Table1[CountryCode],Table1[[#This Row],[CountryCode]],Table1[z-score])</f>
        <v>0.26765264295626828</v>
      </c>
      <c r="L4737" t="e">
        <f>VLOOKUP(Table1[[#This Row],[CountryCode]],[1]!Table1[#All],1,FALSE)</f>
        <v>#REF!</v>
      </c>
    </row>
    <row r="4738" spans="1:12" hidden="1" x14ac:dyDescent="0.3">
      <c r="A4738" t="s">
        <v>15</v>
      </c>
      <c r="B4738" t="s">
        <v>16</v>
      </c>
      <c r="C4738" t="s">
        <v>127</v>
      </c>
      <c r="D4738" t="s">
        <v>128</v>
      </c>
      <c r="E4738">
        <v>1994</v>
      </c>
      <c r="F4738" s="1">
        <v>32780</v>
      </c>
      <c r="G4738">
        <v>1990</v>
      </c>
      <c r="H4738">
        <f>AVERAGEIFS(Table1[value],Table1[IndicatorCode],Table1[[#This Row],[IndicatorCode]])</f>
        <v>24902.88753799392</v>
      </c>
      <c r="I4738" cm="1">
        <f t="array" ref="I4738">_xlfn.STDEV.P(IF(Table1[IndicatorCode]=Table1[[#This Row],[IndicatorCode]],Table1[value]))</f>
        <v>26324.778297809873</v>
      </c>
      <c r="J4738">
        <f>(Table1[[#This Row],[value]] - Table1[[#This Row],[mean]]) / Table1[[#This Row],[std_dev]]</f>
        <v>0.29922806463526525</v>
      </c>
      <c r="K4738">
        <f>AVERAGEIF(Table1[CountryCode],Table1[[#This Row],[CountryCode]],Table1[z-score])</f>
        <v>0.26765264295626828</v>
      </c>
      <c r="L4738" t="e">
        <f>VLOOKUP(Table1[[#This Row],[CountryCode]],[1]!Table1[#All],1,FALSE)</f>
        <v>#REF!</v>
      </c>
    </row>
    <row r="4739" spans="1:12" hidden="1" x14ac:dyDescent="0.3">
      <c r="A4739" t="s">
        <v>15</v>
      </c>
      <c r="B4739" t="s">
        <v>16</v>
      </c>
      <c r="C4739" t="s">
        <v>127</v>
      </c>
      <c r="D4739" t="s">
        <v>128</v>
      </c>
      <c r="E4739">
        <v>1995</v>
      </c>
      <c r="F4739" s="1">
        <v>33603</v>
      </c>
      <c r="G4739">
        <v>1990</v>
      </c>
      <c r="H4739">
        <f>AVERAGEIFS(Table1[value],Table1[IndicatorCode],Table1[[#This Row],[IndicatorCode]])</f>
        <v>24902.88753799392</v>
      </c>
      <c r="I4739" cm="1">
        <f t="array" ref="I4739">_xlfn.STDEV.P(IF(Table1[IndicatorCode]=Table1[[#This Row],[IndicatorCode]],Table1[value]))</f>
        <v>26324.778297809873</v>
      </c>
      <c r="J4739">
        <f>(Table1[[#This Row],[value]] - Table1[[#This Row],[mean]]) / Table1[[#This Row],[std_dev]]</f>
        <v>0.33049138585641569</v>
      </c>
      <c r="K4739">
        <f>AVERAGEIF(Table1[CountryCode],Table1[[#This Row],[CountryCode]],Table1[z-score])</f>
        <v>0.26765264295626828</v>
      </c>
      <c r="L4739" t="e">
        <f>VLOOKUP(Table1[[#This Row],[CountryCode]],[1]!Table1[#All],1,FALSE)</f>
        <v>#REF!</v>
      </c>
    </row>
    <row r="4740" spans="1:12" hidden="1" x14ac:dyDescent="0.3">
      <c r="A4740" t="s">
        <v>15</v>
      </c>
      <c r="B4740" t="s">
        <v>16</v>
      </c>
      <c r="C4740" t="s">
        <v>127</v>
      </c>
      <c r="D4740" t="s">
        <v>128</v>
      </c>
      <c r="E4740">
        <v>1996</v>
      </c>
      <c r="F4740" s="1">
        <v>34302</v>
      </c>
      <c r="G4740">
        <v>1990</v>
      </c>
      <c r="H4740">
        <f>AVERAGEIFS(Table1[value],Table1[IndicatorCode],Table1[[#This Row],[IndicatorCode]])</f>
        <v>24902.88753799392</v>
      </c>
      <c r="I4740" cm="1">
        <f t="array" ref="I4740">_xlfn.STDEV.P(IF(Table1[IndicatorCode]=Table1[[#This Row],[IndicatorCode]],Table1[value]))</f>
        <v>26324.778297809873</v>
      </c>
      <c r="J4740">
        <f>(Table1[[#This Row],[value]] - Table1[[#This Row],[mean]]) / Table1[[#This Row],[std_dev]]</f>
        <v>0.35704431603087999</v>
      </c>
      <c r="K4740">
        <f>AVERAGEIF(Table1[CountryCode],Table1[[#This Row],[CountryCode]],Table1[z-score])</f>
        <v>0.26765264295626828</v>
      </c>
      <c r="L4740" t="e">
        <f>VLOOKUP(Table1[[#This Row],[CountryCode]],[1]!Table1[#All],1,FALSE)</f>
        <v>#REF!</v>
      </c>
    </row>
    <row r="4741" spans="1:12" hidden="1" x14ac:dyDescent="0.3">
      <c r="A4741" t="s">
        <v>15</v>
      </c>
      <c r="B4741" t="s">
        <v>16</v>
      </c>
      <c r="C4741" t="s">
        <v>127</v>
      </c>
      <c r="D4741" t="s">
        <v>128</v>
      </c>
      <c r="E4741">
        <v>1997</v>
      </c>
      <c r="F4741" s="1">
        <v>34998</v>
      </c>
      <c r="G4741">
        <v>2000</v>
      </c>
      <c r="H4741">
        <f>AVERAGEIFS(Table1[value],Table1[IndicatorCode],Table1[[#This Row],[IndicatorCode]])</f>
        <v>24902.88753799392</v>
      </c>
      <c r="I4741" cm="1">
        <f t="array" ref="I4741">_xlfn.STDEV.P(IF(Table1[IndicatorCode]=Table1[[#This Row],[IndicatorCode]],Table1[value]))</f>
        <v>26324.778297809873</v>
      </c>
      <c r="J4741">
        <f>(Table1[[#This Row],[value]] - Table1[[#This Row],[mean]]) / Table1[[#This Row],[std_dev]]</f>
        <v>0.38348328513163421</v>
      </c>
      <c r="K4741">
        <f>AVERAGEIF(Table1[CountryCode],Table1[[#This Row],[CountryCode]],Table1[z-score])</f>
        <v>0.26765264295626828</v>
      </c>
      <c r="L4741" t="e">
        <f>VLOOKUP(Table1[[#This Row],[CountryCode]],[1]!Table1[#All],1,FALSE)</f>
        <v>#REF!</v>
      </c>
    </row>
    <row r="4742" spans="1:12" hidden="1" x14ac:dyDescent="0.3">
      <c r="A4742" t="s">
        <v>15</v>
      </c>
      <c r="B4742" t="s">
        <v>16</v>
      </c>
      <c r="C4742" t="s">
        <v>127</v>
      </c>
      <c r="D4742" t="s">
        <v>128</v>
      </c>
      <c r="E4742">
        <v>1998</v>
      </c>
      <c r="F4742" s="1">
        <v>36181</v>
      </c>
      <c r="G4742">
        <v>2000</v>
      </c>
      <c r="H4742">
        <f>AVERAGEIFS(Table1[value],Table1[IndicatorCode],Table1[[#This Row],[IndicatorCode]])</f>
        <v>24902.88753799392</v>
      </c>
      <c r="I4742" cm="1">
        <f t="array" ref="I4742">_xlfn.STDEV.P(IF(Table1[IndicatorCode]=Table1[[#This Row],[IndicatorCode]],Table1[value]))</f>
        <v>26324.778297809873</v>
      </c>
      <c r="J4742">
        <f>(Table1[[#This Row],[value]] - Table1[[#This Row],[mean]]) / Table1[[#This Row],[std_dev]]</f>
        <v>0.42842193519800237</v>
      </c>
      <c r="K4742">
        <f>AVERAGEIF(Table1[CountryCode],Table1[[#This Row],[CountryCode]],Table1[z-score])</f>
        <v>0.26765264295626828</v>
      </c>
      <c r="L4742" t="e">
        <f>VLOOKUP(Table1[[#This Row],[CountryCode]],[1]!Table1[#All],1,FALSE)</f>
        <v>#REF!</v>
      </c>
    </row>
    <row r="4743" spans="1:12" hidden="1" x14ac:dyDescent="0.3">
      <c r="A4743" t="s">
        <v>15</v>
      </c>
      <c r="B4743" t="s">
        <v>16</v>
      </c>
      <c r="C4743" t="s">
        <v>127</v>
      </c>
      <c r="D4743" t="s">
        <v>128</v>
      </c>
      <c r="E4743">
        <v>1999</v>
      </c>
      <c r="F4743" s="1">
        <v>37469</v>
      </c>
      <c r="G4743">
        <v>2000</v>
      </c>
      <c r="H4743">
        <f>AVERAGEIFS(Table1[value],Table1[IndicatorCode],Table1[[#This Row],[IndicatorCode]])</f>
        <v>24902.88753799392</v>
      </c>
      <c r="I4743" cm="1">
        <f t="array" ref="I4743">_xlfn.STDEV.P(IF(Table1[IndicatorCode]=Table1[[#This Row],[IndicatorCode]],Table1[value]))</f>
        <v>26324.778297809873</v>
      </c>
      <c r="J4743">
        <f>(Table1[[#This Row],[value]] - Table1[[#This Row],[mean]]) / Table1[[#This Row],[std_dev]]</f>
        <v>0.47734922284422565</v>
      </c>
      <c r="K4743">
        <f>AVERAGEIF(Table1[CountryCode],Table1[[#This Row],[CountryCode]],Table1[z-score])</f>
        <v>0.26765264295626828</v>
      </c>
      <c r="L4743" t="e">
        <f>VLOOKUP(Table1[[#This Row],[CountryCode]],[1]!Table1[#All],1,FALSE)</f>
        <v>#REF!</v>
      </c>
    </row>
    <row r="4744" spans="1:12" hidden="1" x14ac:dyDescent="0.3">
      <c r="A4744" t="s">
        <v>15</v>
      </c>
      <c r="B4744" t="s">
        <v>16</v>
      </c>
      <c r="C4744" t="s">
        <v>127</v>
      </c>
      <c r="D4744" t="s">
        <v>128</v>
      </c>
      <c r="E4744">
        <v>2000</v>
      </c>
      <c r="F4744" s="1">
        <v>38571</v>
      </c>
      <c r="G4744">
        <v>2000</v>
      </c>
      <c r="H4744">
        <f>AVERAGEIFS(Table1[value],Table1[IndicatorCode],Table1[[#This Row],[IndicatorCode]])</f>
        <v>24902.88753799392</v>
      </c>
      <c r="I4744" cm="1">
        <f t="array" ref="I4744">_xlfn.STDEV.P(IF(Table1[IndicatorCode]=Table1[[#This Row],[IndicatorCode]],Table1[value]))</f>
        <v>26324.778297809873</v>
      </c>
      <c r="J4744">
        <f>(Table1[[#This Row],[value]] - Table1[[#This Row],[mean]]) / Table1[[#This Row],[std_dev]]</f>
        <v>0.51921092392041979</v>
      </c>
      <c r="K4744">
        <f>AVERAGEIF(Table1[CountryCode],Table1[[#This Row],[CountryCode]],Table1[z-score])</f>
        <v>0.26765264295626828</v>
      </c>
      <c r="L4744" t="e">
        <f>VLOOKUP(Table1[[#This Row],[CountryCode]],[1]!Table1[#All],1,FALSE)</f>
        <v>#REF!</v>
      </c>
    </row>
    <row r="4745" spans="1:12" hidden="1" x14ac:dyDescent="0.3">
      <c r="A4745" t="s">
        <v>15</v>
      </c>
      <c r="B4745" t="s">
        <v>16</v>
      </c>
      <c r="C4745" t="s">
        <v>127</v>
      </c>
      <c r="D4745" t="s">
        <v>128</v>
      </c>
      <c r="E4745">
        <v>2001</v>
      </c>
      <c r="F4745" s="1">
        <v>38930</v>
      </c>
      <c r="G4745">
        <v>2000</v>
      </c>
      <c r="H4745">
        <f>AVERAGEIFS(Table1[value],Table1[IndicatorCode],Table1[[#This Row],[IndicatorCode]])</f>
        <v>24902.88753799392</v>
      </c>
      <c r="I4745" cm="1">
        <f t="array" ref="I4745">_xlfn.STDEV.P(IF(Table1[IndicatorCode]=Table1[[#This Row],[IndicatorCode]],Table1[value]))</f>
        <v>26324.778297809873</v>
      </c>
      <c r="J4745">
        <f>(Table1[[#This Row],[value]] - Table1[[#This Row],[mean]]) / Table1[[#This Row],[std_dev]]</f>
        <v>0.53284826574106747</v>
      </c>
      <c r="K4745">
        <f>AVERAGEIF(Table1[CountryCode],Table1[[#This Row],[CountryCode]],Table1[z-score])</f>
        <v>0.26765264295626828</v>
      </c>
      <c r="L4745" t="e">
        <f>VLOOKUP(Table1[[#This Row],[CountryCode]],[1]!Table1[#All],1,FALSE)</f>
        <v>#REF!</v>
      </c>
    </row>
    <row r="4746" spans="1:12" hidden="1" x14ac:dyDescent="0.3">
      <c r="A4746" t="s">
        <v>15</v>
      </c>
      <c r="B4746" t="s">
        <v>16</v>
      </c>
      <c r="C4746" t="s">
        <v>127</v>
      </c>
      <c r="D4746" t="s">
        <v>128</v>
      </c>
      <c r="E4746">
        <v>2002</v>
      </c>
      <c r="F4746" s="1">
        <v>39314</v>
      </c>
      <c r="G4746">
        <v>2000</v>
      </c>
      <c r="H4746">
        <f>AVERAGEIFS(Table1[value],Table1[IndicatorCode],Table1[[#This Row],[IndicatorCode]])</f>
        <v>24902.88753799392</v>
      </c>
      <c r="I4746" cm="1">
        <f t="array" ref="I4746">_xlfn.STDEV.P(IF(Table1[IndicatorCode]=Table1[[#This Row],[IndicatorCode]],Table1[value]))</f>
        <v>26324.778297809873</v>
      </c>
      <c r="J4746">
        <f>(Table1[[#This Row],[value]] - Table1[[#This Row],[mean]]) / Table1[[#This Row],[std_dev]]</f>
        <v>0.54743528317596635</v>
      </c>
      <c r="K4746">
        <f>AVERAGEIF(Table1[CountryCode],Table1[[#This Row],[CountryCode]],Table1[z-score])</f>
        <v>0.26765264295626828</v>
      </c>
      <c r="L4746" t="e">
        <f>VLOOKUP(Table1[[#This Row],[CountryCode]],[1]!Table1[#All],1,FALSE)</f>
        <v>#REF!</v>
      </c>
    </row>
    <row r="4747" spans="1:12" hidden="1" x14ac:dyDescent="0.3">
      <c r="A4747" t="s">
        <v>15</v>
      </c>
      <c r="B4747" t="s">
        <v>16</v>
      </c>
      <c r="C4747" t="s">
        <v>127</v>
      </c>
      <c r="D4747" t="s">
        <v>128</v>
      </c>
      <c r="E4747">
        <v>2003</v>
      </c>
      <c r="F4747" s="1">
        <v>39569</v>
      </c>
      <c r="G4747">
        <v>2000</v>
      </c>
      <c r="H4747">
        <f>AVERAGEIFS(Table1[value],Table1[IndicatorCode],Table1[[#This Row],[IndicatorCode]])</f>
        <v>24902.88753799392</v>
      </c>
      <c r="I4747" cm="1">
        <f t="array" ref="I4747">_xlfn.STDEV.P(IF(Table1[IndicatorCode]=Table1[[#This Row],[IndicatorCode]],Table1[value]))</f>
        <v>26324.778297809873</v>
      </c>
      <c r="J4747">
        <f>(Table1[[#This Row],[value]] - Table1[[#This Row],[mean]]) / Table1[[#This Row],[std_dev]]</f>
        <v>0.55712197444132883</v>
      </c>
      <c r="K4747">
        <f>AVERAGEIF(Table1[CountryCode],Table1[[#This Row],[CountryCode]],Table1[z-score])</f>
        <v>0.26765264295626828</v>
      </c>
      <c r="L4747" t="e">
        <f>VLOOKUP(Table1[[#This Row],[CountryCode]],[1]!Table1[#All],1,FALSE)</f>
        <v>#REF!</v>
      </c>
    </row>
    <row r="4748" spans="1:12" hidden="1" x14ac:dyDescent="0.3">
      <c r="A4748" t="s">
        <v>15</v>
      </c>
      <c r="B4748" t="s">
        <v>16</v>
      </c>
      <c r="C4748" t="s">
        <v>127</v>
      </c>
      <c r="D4748" t="s">
        <v>128</v>
      </c>
      <c r="E4748">
        <v>2004</v>
      </c>
      <c r="F4748" s="1">
        <v>40333</v>
      </c>
      <c r="G4748">
        <v>2000</v>
      </c>
      <c r="H4748">
        <f>AVERAGEIFS(Table1[value],Table1[IndicatorCode],Table1[[#This Row],[IndicatorCode]])</f>
        <v>24902.88753799392</v>
      </c>
      <c r="I4748" cm="1">
        <f t="array" ref="I4748">_xlfn.STDEV.P(IF(Table1[IndicatorCode]=Table1[[#This Row],[IndicatorCode]],Table1[value]))</f>
        <v>26324.778297809873</v>
      </c>
      <c r="J4748">
        <f>(Table1[[#This Row],[value]] - Table1[[#This Row],[mean]]) / Table1[[#This Row],[std_dev]]</f>
        <v>0.58614406121284635</v>
      </c>
      <c r="K4748">
        <f>AVERAGEIF(Table1[CountryCode],Table1[[#This Row],[CountryCode]],Table1[z-score])</f>
        <v>0.26765264295626828</v>
      </c>
      <c r="L4748" t="e">
        <f>VLOOKUP(Table1[[#This Row],[CountryCode]],[1]!Table1[#All],1,FALSE)</f>
        <v>#REF!</v>
      </c>
    </row>
    <row r="4749" spans="1:12" hidden="1" x14ac:dyDescent="0.3">
      <c r="A4749" t="s">
        <v>15</v>
      </c>
      <c r="B4749" t="s">
        <v>16</v>
      </c>
      <c r="C4749" t="s">
        <v>127</v>
      </c>
      <c r="D4749" t="s">
        <v>128</v>
      </c>
      <c r="E4749">
        <v>2005</v>
      </c>
      <c r="F4749" s="1">
        <v>40989</v>
      </c>
      <c r="G4749">
        <v>2000</v>
      </c>
      <c r="H4749">
        <f>AVERAGEIFS(Table1[value],Table1[IndicatorCode],Table1[[#This Row],[IndicatorCode]])</f>
        <v>24902.88753799392</v>
      </c>
      <c r="I4749" cm="1">
        <f t="array" ref="I4749">_xlfn.STDEV.P(IF(Table1[IndicatorCode]=Table1[[#This Row],[IndicatorCode]],Table1[value]))</f>
        <v>26324.778297809873</v>
      </c>
      <c r="J4749">
        <f>(Table1[[#This Row],[value]] - Table1[[#This Row],[mean]]) / Table1[[#This Row],[std_dev]]</f>
        <v>0.61106354933079865</v>
      </c>
      <c r="K4749">
        <f>AVERAGEIF(Table1[CountryCode],Table1[[#This Row],[CountryCode]],Table1[z-score])</f>
        <v>0.26765264295626828</v>
      </c>
      <c r="L4749" t="e">
        <f>VLOOKUP(Table1[[#This Row],[CountryCode]],[1]!Table1[#All],1,FALSE)</f>
        <v>#REF!</v>
      </c>
    </row>
    <row r="4750" spans="1:12" hidden="1" x14ac:dyDescent="0.3">
      <c r="A4750" t="s">
        <v>15</v>
      </c>
      <c r="B4750" t="s">
        <v>16</v>
      </c>
      <c r="C4750" t="s">
        <v>127</v>
      </c>
      <c r="D4750" t="s">
        <v>128</v>
      </c>
      <c r="E4750">
        <v>2006</v>
      </c>
      <c r="F4750" s="1">
        <v>42120</v>
      </c>
      <c r="G4750">
        <v>2000</v>
      </c>
      <c r="H4750">
        <f>AVERAGEIFS(Table1[value],Table1[IndicatorCode],Table1[[#This Row],[IndicatorCode]])</f>
        <v>24902.88753799392</v>
      </c>
      <c r="I4750" cm="1">
        <f t="array" ref="I4750">_xlfn.STDEV.P(IF(Table1[IndicatorCode]=Table1[[#This Row],[IndicatorCode]],Table1[value]))</f>
        <v>26324.778297809873</v>
      </c>
      <c r="J4750">
        <f>(Table1[[#This Row],[value]] - Table1[[#This Row],[mean]]) / Table1[[#This Row],[std_dev]]</f>
        <v>0.6540268741195242</v>
      </c>
      <c r="K4750">
        <f>AVERAGEIF(Table1[CountryCode],Table1[[#This Row],[CountryCode]],Table1[z-score])</f>
        <v>0.26765264295626828</v>
      </c>
      <c r="L4750" t="e">
        <f>VLOOKUP(Table1[[#This Row],[CountryCode]],[1]!Table1[#All],1,FALSE)</f>
        <v>#REF!</v>
      </c>
    </row>
    <row r="4751" spans="1:12" hidden="1" x14ac:dyDescent="0.3">
      <c r="A4751" t="s">
        <v>15</v>
      </c>
      <c r="B4751" t="s">
        <v>16</v>
      </c>
      <c r="C4751" t="s">
        <v>127</v>
      </c>
      <c r="D4751" t="s">
        <v>128</v>
      </c>
      <c r="E4751">
        <v>2007</v>
      </c>
      <c r="F4751" s="1">
        <v>43569</v>
      </c>
      <c r="G4751">
        <v>2010</v>
      </c>
      <c r="H4751">
        <f>AVERAGEIFS(Table1[value],Table1[IndicatorCode],Table1[[#This Row],[IndicatorCode]])</f>
        <v>24902.88753799392</v>
      </c>
      <c r="I4751" cm="1">
        <f t="array" ref="I4751">_xlfn.STDEV.P(IF(Table1[IndicatorCode]=Table1[[#This Row],[IndicatorCode]],Table1[value]))</f>
        <v>26324.778297809873</v>
      </c>
      <c r="J4751">
        <f>(Table1[[#This Row],[value]] - Table1[[#This Row],[mean]]) / Table1[[#This Row],[std_dev]]</f>
        <v>0.70907007272152534</v>
      </c>
      <c r="K4751">
        <f>AVERAGEIF(Table1[CountryCode],Table1[[#This Row],[CountryCode]],Table1[z-score])</f>
        <v>0.26765264295626828</v>
      </c>
      <c r="L4751" t="e">
        <f>VLOOKUP(Table1[[#This Row],[CountryCode]],[1]!Table1[#All],1,FALSE)</f>
        <v>#REF!</v>
      </c>
    </row>
    <row r="4752" spans="1:12" hidden="1" x14ac:dyDescent="0.3">
      <c r="A4752" t="s">
        <v>15</v>
      </c>
      <c r="B4752" t="s">
        <v>16</v>
      </c>
      <c r="C4752" t="s">
        <v>127</v>
      </c>
      <c r="D4752" t="s">
        <v>128</v>
      </c>
      <c r="E4752">
        <v>2008</v>
      </c>
      <c r="F4752" s="1">
        <v>44064</v>
      </c>
      <c r="G4752">
        <v>2010</v>
      </c>
      <c r="H4752">
        <f>AVERAGEIFS(Table1[value],Table1[IndicatorCode],Table1[[#This Row],[IndicatorCode]])</f>
        <v>24902.88753799392</v>
      </c>
      <c r="I4752" cm="1">
        <f t="array" ref="I4752">_xlfn.STDEV.P(IF(Table1[IndicatorCode]=Table1[[#This Row],[IndicatorCode]],Table1[value]))</f>
        <v>26324.778297809873</v>
      </c>
      <c r="J4752">
        <f>(Table1[[#This Row],[value]] - Table1[[#This Row],[mean]]) / Table1[[#This Row],[std_dev]]</f>
        <v>0.72787364988369974</v>
      </c>
      <c r="K4752">
        <f>AVERAGEIF(Table1[CountryCode],Table1[[#This Row],[CountryCode]],Table1[z-score])</f>
        <v>0.26765264295626828</v>
      </c>
      <c r="L4752" t="e">
        <f>VLOOKUP(Table1[[#This Row],[CountryCode]],[1]!Table1[#All],1,FALSE)</f>
        <v>#REF!</v>
      </c>
    </row>
    <row r="4753" spans="1:12" hidden="1" x14ac:dyDescent="0.3">
      <c r="A4753" t="s">
        <v>15</v>
      </c>
      <c r="B4753" t="s">
        <v>16</v>
      </c>
      <c r="C4753" t="s">
        <v>127</v>
      </c>
      <c r="D4753" t="s">
        <v>128</v>
      </c>
      <c r="E4753">
        <v>2009</v>
      </c>
      <c r="F4753" s="1">
        <v>42372</v>
      </c>
      <c r="G4753">
        <v>2010</v>
      </c>
      <c r="H4753">
        <f>AVERAGEIFS(Table1[value],Table1[IndicatorCode],Table1[[#This Row],[IndicatorCode]])</f>
        <v>24902.88753799392</v>
      </c>
      <c r="I4753" cm="1">
        <f t="array" ref="I4753">_xlfn.STDEV.P(IF(Table1[IndicatorCode]=Table1[[#This Row],[IndicatorCode]],Table1[value]))</f>
        <v>26324.778297809873</v>
      </c>
      <c r="J4753">
        <f>(Table1[[#This Row],[value]] - Table1[[#This Row],[mean]]) / Table1[[#This Row],[std_dev]]</f>
        <v>0.66359960431117659</v>
      </c>
      <c r="K4753">
        <f>AVERAGEIF(Table1[CountryCode],Table1[[#This Row],[CountryCode]],Table1[z-score])</f>
        <v>0.26765264295626828</v>
      </c>
      <c r="L4753" t="e">
        <f>VLOOKUP(Table1[[#This Row],[CountryCode]],[1]!Table1[#All],1,FALSE)</f>
        <v>#REF!</v>
      </c>
    </row>
    <row r="4754" spans="1:12" hidden="1" x14ac:dyDescent="0.3">
      <c r="A4754" t="s">
        <v>15</v>
      </c>
      <c r="B4754" t="s">
        <v>16</v>
      </c>
      <c r="C4754" t="s">
        <v>127</v>
      </c>
      <c r="D4754" t="s">
        <v>128</v>
      </c>
      <c r="E4754">
        <v>2010</v>
      </c>
      <c r="F4754" s="1">
        <v>43035</v>
      </c>
      <c r="G4754">
        <v>2010</v>
      </c>
      <c r="H4754">
        <f>AVERAGEIFS(Table1[value],Table1[IndicatorCode],Table1[[#This Row],[IndicatorCode]])</f>
        <v>24902.88753799392</v>
      </c>
      <c r="I4754" cm="1">
        <f t="array" ref="I4754">_xlfn.STDEV.P(IF(Table1[IndicatorCode]=Table1[[#This Row],[IndicatorCode]],Table1[value]))</f>
        <v>26324.778297809873</v>
      </c>
      <c r="J4754">
        <f>(Table1[[#This Row],[value]] - Table1[[#This Row],[mean]]) / Table1[[#This Row],[std_dev]]</f>
        <v>0.68878500160111911</v>
      </c>
      <c r="K4754">
        <f>AVERAGEIF(Table1[CountryCode],Table1[[#This Row],[CountryCode]],Table1[z-score])</f>
        <v>0.26765264295626828</v>
      </c>
      <c r="L4754" t="e">
        <f>VLOOKUP(Table1[[#This Row],[CountryCode]],[1]!Table1[#All],1,FALSE)</f>
        <v>#REF!</v>
      </c>
    </row>
    <row r="4755" spans="1:12" hidden="1" x14ac:dyDescent="0.3">
      <c r="A4755" t="s">
        <v>15</v>
      </c>
      <c r="B4755" t="s">
        <v>16</v>
      </c>
      <c r="C4755" t="s">
        <v>127</v>
      </c>
      <c r="D4755" t="s">
        <v>128</v>
      </c>
      <c r="E4755">
        <v>2011</v>
      </c>
      <c r="F4755" s="1">
        <v>44146</v>
      </c>
      <c r="G4755">
        <v>2010</v>
      </c>
      <c r="H4755">
        <f>AVERAGEIFS(Table1[value],Table1[IndicatorCode],Table1[[#This Row],[IndicatorCode]])</f>
        <v>24902.88753799392</v>
      </c>
      <c r="I4755" cm="1">
        <f t="array" ref="I4755">_xlfn.STDEV.P(IF(Table1[IndicatorCode]=Table1[[#This Row],[IndicatorCode]],Table1[value]))</f>
        <v>26324.778297809873</v>
      </c>
      <c r="J4755">
        <f>(Table1[[#This Row],[value]] - Table1[[#This Row],[mean]]) / Table1[[#This Row],[std_dev]]</f>
        <v>0.73098858589844373</v>
      </c>
      <c r="K4755">
        <f>AVERAGEIF(Table1[CountryCode],Table1[[#This Row],[CountryCode]],Table1[z-score])</f>
        <v>0.26765264295626828</v>
      </c>
      <c r="L4755" t="e">
        <f>VLOOKUP(Table1[[#This Row],[CountryCode]],[1]!Table1[#All],1,FALSE)</f>
        <v>#REF!</v>
      </c>
    </row>
    <row r="4756" spans="1:12" hidden="1" x14ac:dyDescent="0.3">
      <c r="A4756" t="s">
        <v>15</v>
      </c>
      <c r="B4756" t="s">
        <v>16</v>
      </c>
      <c r="C4756" t="s">
        <v>127</v>
      </c>
      <c r="D4756" t="s">
        <v>128</v>
      </c>
      <c r="E4756">
        <v>2012</v>
      </c>
      <c r="F4756" s="1">
        <v>44221</v>
      </c>
      <c r="G4756">
        <v>2010</v>
      </c>
      <c r="H4756">
        <f>AVERAGEIFS(Table1[value],Table1[IndicatorCode],Table1[[#This Row],[IndicatorCode]])</f>
        <v>24902.88753799392</v>
      </c>
      <c r="I4756" cm="1">
        <f t="array" ref="I4756">_xlfn.STDEV.P(IF(Table1[IndicatorCode]=Table1[[#This Row],[IndicatorCode]],Table1[value]))</f>
        <v>26324.778297809873</v>
      </c>
      <c r="J4756">
        <f>(Table1[[#This Row],[value]] - Table1[[#This Row],[mean]]) / Table1[[#This Row],[std_dev]]</f>
        <v>0.73383761274119741</v>
      </c>
      <c r="K4756">
        <f>AVERAGEIF(Table1[CountryCode],Table1[[#This Row],[CountryCode]],Table1[z-score])</f>
        <v>0.26765264295626828</v>
      </c>
      <c r="L4756" t="e">
        <f>VLOOKUP(Table1[[#This Row],[CountryCode]],[1]!Table1[#All],1,FALSE)</f>
        <v>#REF!</v>
      </c>
    </row>
    <row r="4757" spans="1:12" hidden="1" x14ac:dyDescent="0.3">
      <c r="A4757" t="s">
        <v>15</v>
      </c>
      <c r="B4757" t="s">
        <v>16</v>
      </c>
      <c r="C4757" t="s">
        <v>127</v>
      </c>
      <c r="D4757" t="s">
        <v>128</v>
      </c>
      <c r="E4757">
        <v>2013</v>
      </c>
      <c r="F4757" s="1">
        <v>43851</v>
      </c>
      <c r="G4757">
        <v>2010</v>
      </c>
      <c r="H4757">
        <f>AVERAGEIFS(Table1[value],Table1[IndicatorCode],Table1[[#This Row],[IndicatorCode]])</f>
        <v>24902.88753799392</v>
      </c>
      <c r="I4757" cm="1">
        <f t="array" ref="I4757">_xlfn.STDEV.P(IF(Table1[IndicatorCode]=Table1[[#This Row],[IndicatorCode]],Table1[value]))</f>
        <v>26324.778297809873</v>
      </c>
      <c r="J4757">
        <f>(Table1[[#This Row],[value]] - Table1[[#This Row],[mean]]) / Table1[[#This Row],[std_dev]]</f>
        <v>0.71978241365027928</v>
      </c>
      <c r="K4757">
        <f>AVERAGEIF(Table1[CountryCode],Table1[[#This Row],[CountryCode]],Table1[z-score])</f>
        <v>0.26765264295626828</v>
      </c>
      <c r="L4757" t="e">
        <f>VLOOKUP(Table1[[#This Row],[CountryCode]],[1]!Table1[#All],1,FALSE)</f>
        <v>#REF!</v>
      </c>
    </row>
    <row r="4758" spans="1:12" hidden="1" x14ac:dyDescent="0.3">
      <c r="A4758" t="s">
        <v>15</v>
      </c>
      <c r="B4758" t="s">
        <v>16</v>
      </c>
      <c r="C4758" t="s">
        <v>127</v>
      </c>
      <c r="D4758" t="s">
        <v>128</v>
      </c>
      <c r="E4758">
        <v>2014</v>
      </c>
      <c r="F4758" s="1">
        <v>43839</v>
      </c>
      <c r="G4758">
        <v>2010</v>
      </c>
      <c r="H4758">
        <f>AVERAGEIFS(Table1[value],Table1[IndicatorCode],Table1[[#This Row],[IndicatorCode]])</f>
        <v>24902.88753799392</v>
      </c>
      <c r="I4758" cm="1">
        <f t="array" ref="I4758">_xlfn.STDEV.P(IF(Table1[IndicatorCode]=Table1[[#This Row],[IndicatorCode]],Table1[value]))</f>
        <v>26324.778297809873</v>
      </c>
      <c r="J4758">
        <f>(Table1[[#This Row],[value]] - Table1[[#This Row],[mean]]) / Table1[[#This Row],[std_dev]]</f>
        <v>0.71932656935543871</v>
      </c>
      <c r="K4758">
        <f>AVERAGEIF(Table1[CountryCode],Table1[[#This Row],[CountryCode]],Table1[z-score])</f>
        <v>0.26765264295626828</v>
      </c>
      <c r="L4758" t="e">
        <f>VLOOKUP(Table1[[#This Row],[CountryCode]],[1]!Table1[#All],1,FALSE)</f>
        <v>#REF!</v>
      </c>
    </row>
    <row r="4759" spans="1:12" hidden="1" x14ac:dyDescent="0.3">
      <c r="A4759" t="s">
        <v>15</v>
      </c>
      <c r="B4759" t="s">
        <v>16</v>
      </c>
      <c r="C4759" t="s">
        <v>127</v>
      </c>
      <c r="D4759" t="s">
        <v>128</v>
      </c>
      <c r="E4759">
        <v>2015</v>
      </c>
      <c r="F4759" s="1">
        <v>43915</v>
      </c>
      <c r="G4759">
        <v>2010</v>
      </c>
      <c r="H4759">
        <f>AVERAGEIFS(Table1[value],Table1[IndicatorCode],Table1[[#This Row],[IndicatorCode]])</f>
        <v>24902.88753799392</v>
      </c>
      <c r="I4759" cm="1">
        <f t="array" ref="I4759">_xlfn.STDEV.P(IF(Table1[IndicatorCode]=Table1[[#This Row],[IndicatorCode]],Table1[value]))</f>
        <v>26324.778297809873</v>
      </c>
      <c r="J4759">
        <f>(Table1[[#This Row],[value]] - Table1[[#This Row],[mean]]) / Table1[[#This Row],[std_dev]]</f>
        <v>0.72221358322276241</v>
      </c>
      <c r="K4759">
        <f>AVERAGEIF(Table1[CountryCode],Table1[[#This Row],[CountryCode]],Table1[z-score])</f>
        <v>0.26765264295626828</v>
      </c>
      <c r="L4759" t="e">
        <f>VLOOKUP(Table1[[#This Row],[CountryCode]],[1]!Table1[#All],1,FALSE)</f>
        <v>#REF!</v>
      </c>
    </row>
    <row r="4760" spans="1:12" hidden="1" x14ac:dyDescent="0.3">
      <c r="A4760" t="s">
        <v>15</v>
      </c>
      <c r="B4760" t="s">
        <v>16</v>
      </c>
      <c r="C4760" t="s">
        <v>127</v>
      </c>
      <c r="D4760" t="s">
        <v>128</v>
      </c>
      <c r="E4760">
        <v>2016</v>
      </c>
      <c r="F4760" s="1">
        <v>44363</v>
      </c>
      <c r="G4760">
        <v>2010</v>
      </c>
      <c r="H4760">
        <f>AVERAGEIFS(Table1[value],Table1[IndicatorCode],Table1[[#This Row],[IndicatorCode]])</f>
        <v>24902.88753799392</v>
      </c>
      <c r="I4760" cm="1">
        <f t="array" ref="I4760">_xlfn.STDEV.P(IF(Table1[IndicatorCode]=Table1[[#This Row],[IndicatorCode]],Table1[value]))</f>
        <v>26324.778297809873</v>
      </c>
      <c r="J4760">
        <f>(Table1[[#This Row],[value]] - Table1[[#This Row],[mean]]) / Table1[[#This Row],[std_dev]]</f>
        <v>0.73923177023014441</v>
      </c>
      <c r="K4760">
        <f>AVERAGEIF(Table1[CountryCode],Table1[[#This Row],[CountryCode]],Table1[z-score])</f>
        <v>0.26765264295626828</v>
      </c>
      <c r="L4760" t="e">
        <f>VLOOKUP(Table1[[#This Row],[CountryCode]],[1]!Table1[#All],1,FALSE)</f>
        <v>#REF!</v>
      </c>
    </row>
    <row r="4761" spans="1:12" hidden="1" x14ac:dyDescent="0.3">
      <c r="A4761" t="s">
        <v>15</v>
      </c>
      <c r="B4761" t="s">
        <v>16</v>
      </c>
      <c r="C4761" t="s">
        <v>127</v>
      </c>
      <c r="D4761" t="s">
        <v>128</v>
      </c>
      <c r="E4761">
        <v>2017</v>
      </c>
      <c r="F4761" s="1">
        <v>45057</v>
      </c>
      <c r="G4761">
        <v>2020</v>
      </c>
      <c r="H4761">
        <f>AVERAGEIFS(Table1[value],Table1[IndicatorCode],Table1[[#This Row],[IndicatorCode]])</f>
        <v>24902.88753799392</v>
      </c>
      <c r="I4761" cm="1">
        <f t="array" ref="I4761">_xlfn.STDEV.P(IF(Table1[IndicatorCode]=Table1[[#This Row],[IndicatorCode]],Table1[value]))</f>
        <v>26324.778297809873</v>
      </c>
      <c r="J4761">
        <f>(Table1[[#This Row],[value]] - Table1[[#This Row],[mean]]) / Table1[[#This Row],[std_dev]]</f>
        <v>0.76559476528175852</v>
      </c>
      <c r="K4761">
        <f>AVERAGEIF(Table1[CountryCode],Table1[[#This Row],[CountryCode]],Table1[z-score])</f>
        <v>0.26765264295626828</v>
      </c>
      <c r="L4761" t="e">
        <f>VLOOKUP(Table1[[#This Row],[CountryCode]],[1]!Table1[#All],1,FALSE)</f>
        <v>#REF!</v>
      </c>
    </row>
    <row r="4762" spans="1:12" hidden="1" x14ac:dyDescent="0.3">
      <c r="A4762" t="s">
        <v>15</v>
      </c>
      <c r="B4762" t="s">
        <v>16</v>
      </c>
      <c r="C4762" t="s">
        <v>127</v>
      </c>
      <c r="D4762" t="s">
        <v>128</v>
      </c>
      <c r="E4762">
        <v>2018</v>
      </c>
      <c r="F4762" s="1">
        <v>45952</v>
      </c>
      <c r="G4762">
        <v>2020</v>
      </c>
      <c r="H4762">
        <f>AVERAGEIFS(Table1[value],Table1[IndicatorCode],Table1[[#This Row],[IndicatorCode]])</f>
        <v>24902.88753799392</v>
      </c>
      <c r="I4762" cm="1">
        <f t="array" ref="I4762">_xlfn.STDEV.P(IF(Table1[IndicatorCode]=Table1[[#This Row],[IndicatorCode]],Table1[value]))</f>
        <v>26324.778297809873</v>
      </c>
      <c r="J4762">
        <f>(Table1[[#This Row],[value]] - Table1[[#This Row],[mean]]) / Table1[[#This Row],[std_dev]]</f>
        <v>0.79959315227195249</v>
      </c>
      <c r="K4762">
        <f>AVERAGEIF(Table1[CountryCode],Table1[[#This Row],[CountryCode]],Table1[z-score])</f>
        <v>0.26765264295626828</v>
      </c>
      <c r="L4762" t="e">
        <f>VLOOKUP(Table1[[#This Row],[CountryCode]],[1]!Table1[#All],1,FALSE)</f>
        <v>#REF!</v>
      </c>
    </row>
    <row r="4763" spans="1:12" hidden="1" x14ac:dyDescent="0.3">
      <c r="A4763" t="s">
        <v>15</v>
      </c>
      <c r="B4763" t="s">
        <v>16</v>
      </c>
      <c r="C4763" t="s">
        <v>127</v>
      </c>
      <c r="D4763" t="s">
        <v>128</v>
      </c>
      <c r="E4763">
        <v>2019</v>
      </c>
      <c r="F4763" s="1">
        <v>46551</v>
      </c>
      <c r="G4763">
        <v>2020</v>
      </c>
      <c r="H4763">
        <f>AVERAGEIFS(Table1[value],Table1[IndicatorCode],Table1[[#This Row],[IndicatorCode]])</f>
        <v>24902.88753799392</v>
      </c>
      <c r="I4763" cm="1">
        <f t="array" ref="I4763">_xlfn.STDEV.P(IF(Table1[IndicatorCode]=Table1[[#This Row],[IndicatorCode]],Table1[value]))</f>
        <v>26324.778297809873</v>
      </c>
      <c r="J4763">
        <f>(Table1[[#This Row],[value]] - Table1[[#This Row],[mean]]) / Table1[[#This Row],[std_dev]]</f>
        <v>0.82234737998941188</v>
      </c>
      <c r="K4763">
        <f>AVERAGEIF(Table1[CountryCode],Table1[[#This Row],[CountryCode]],Table1[z-score])</f>
        <v>0.26765264295626828</v>
      </c>
      <c r="L4763" t="e">
        <f>VLOOKUP(Table1[[#This Row],[CountryCode]],[1]!Table1[#All],1,FALSE)</f>
        <v>#REF!</v>
      </c>
    </row>
    <row r="4764" spans="1:12" x14ac:dyDescent="0.3">
      <c r="A4764" t="s">
        <v>85</v>
      </c>
      <c r="B4764" t="s">
        <v>86</v>
      </c>
      <c r="C4764" t="s">
        <v>127</v>
      </c>
      <c r="D4764" t="s">
        <v>128</v>
      </c>
      <c r="E4764">
        <v>2020</v>
      </c>
      <c r="F4764" s="1">
        <v>3189</v>
      </c>
      <c r="G4764">
        <v>2020</v>
      </c>
      <c r="H4764">
        <f>AVERAGEIFS(Table1[value],Table1[IndicatorCode],Table1[[#This Row],[IndicatorCode]])</f>
        <v>24902.88753799392</v>
      </c>
      <c r="I4764" cm="1">
        <f t="array" ref="I4764">_xlfn.STDEV.P(IF(Table1[IndicatorCode]=Table1[[#This Row],[IndicatorCode]],Table1[value]))</f>
        <v>26324.778297809873</v>
      </c>
      <c r="J4764">
        <f>(Table1[[#This Row],[value]] - Table1[[#This Row],[mean]]) / Table1[[#This Row],[std_dev]]</f>
        <v>-0.82484597941705884</v>
      </c>
      <c r="K4764">
        <f>AVERAGEIF(Table1[CountryCode],Table1[[#This Row],[CountryCode]],Table1[z-score])</f>
        <v>-0.61357720348444234</v>
      </c>
    </row>
    <row r="4765" spans="1:12" hidden="1" x14ac:dyDescent="0.3">
      <c r="A4765" t="s">
        <v>15</v>
      </c>
      <c r="B4765" t="s">
        <v>16</v>
      </c>
      <c r="C4765" t="s">
        <v>127</v>
      </c>
      <c r="D4765" t="s">
        <v>128</v>
      </c>
      <c r="E4765">
        <v>2021</v>
      </c>
      <c r="F4765" s="1">
        <v>45369</v>
      </c>
      <c r="G4765">
        <v>2020</v>
      </c>
      <c r="H4765">
        <f>AVERAGEIFS(Table1[value],Table1[IndicatorCode],Table1[[#This Row],[IndicatorCode]])</f>
        <v>24902.88753799392</v>
      </c>
      <c r="I4765" cm="1">
        <f t="array" ref="I4765">_xlfn.STDEV.P(IF(Table1[IndicatorCode]=Table1[[#This Row],[IndicatorCode]],Table1[value]))</f>
        <v>26324.778297809873</v>
      </c>
      <c r="J4765">
        <f>(Table1[[#This Row],[value]] - Table1[[#This Row],[mean]]) / Table1[[#This Row],[std_dev]]</f>
        <v>0.7774467169476138</v>
      </c>
      <c r="K4765">
        <f>AVERAGEIF(Table1[CountryCode],Table1[[#This Row],[CountryCode]],Table1[z-score])</f>
        <v>0.26765264295626828</v>
      </c>
      <c r="L4765" t="e">
        <f>VLOOKUP(Table1[[#This Row],[CountryCode]],[1]!Table1[#All],1,FALSE)</f>
        <v>#REF!</v>
      </c>
    </row>
    <row r="4766" spans="1:12" hidden="1" x14ac:dyDescent="0.3">
      <c r="A4766" t="s">
        <v>15</v>
      </c>
      <c r="B4766" t="s">
        <v>16</v>
      </c>
      <c r="C4766" t="s">
        <v>127</v>
      </c>
      <c r="D4766" t="s">
        <v>128</v>
      </c>
      <c r="E4766">
        <v>2022</v>
      </c>
      <c r="F4766" s="1">
        <v>47332</v>
      </c>
      <c r="G4766">
        <v>1990</v>
      </c>
      <c r="H4766">
        <f>AVERAGEIFS(Table1[value],Table1[IndicatorCode],Table1[[#This Row],[IndicatorCode]])</f>
        <v>24902.88753799392</v>
      </c>
      <c r="I4766" cm="1">
        <f t="array" ref="I4766">_xlfn.STDEV.P(IF(Table1[IndicatorCode]=Table1[[#This Row],[IndicatorCode]],Table1[value]))</f>
        <v>26324.778297809873</v>
      </c>
      <c r="J4766">
        <f>(Table1[[#This Row],[value]] - Table1[[#This Row],[mean]]) / Table1[[#This Row],[std_dev]]</f>
        <v>0.85201524617862034</v>
      </c>
      <c r="K4766">
        <f>AVERAGEIF(Table1[CountryCode],Table1[[#This Row],[CountryCode]],Table1[z-score])</f>
        <v>0.26765264295626828</v>
      </c>
      <c r="L4766" t="e">
        <f>VLOOKUP(Table1[[#This Row],[CountryCode]],[1]!Table1[#All],1,FALSE)</f>
        <v>#REF!</v>
      </c>
    </row>
    <row r="4767" spans="1:12" hidden="1" x14ac:dyDescent="0.3">
      <c r="A4767" t="s">
        <v>15</v>
      </c>
      <c r="B4767" t="s">
        <v>16</v>
      </c>
      <c r="C4767" t="s">
        <v>127</v>
      </c>
      <c r="D4767" t="s">
        <v>128</v>
      </c>
      <c r="E4767">
        <v>2023</v>
      </c>
      <c r="F4767" s="1">
        <v>46498</v>
      </c>
      <c r="G4767">
        <v>1990</v>
      </c>
      <c r="H4767">
        <f>AVERAGEIFS(Table1[value],Table1[IndicatorCode],Table1[[#This Row],[IndicatorCode]])</f>
        <v>24902.88753799392</v>
      </c>
      <c r="I4767" cm="1">
        <f t="array" ref="I4767">_xlfn.STDEV.P(IF(Table1[IndicatorCode]=Table1[[#This Row],[IndicatorCode]],Table1[value]))</f>
        <v>26324.778297809873</v>
      </c>
      <c r="J4767">
        <f>(Table1[[#This Row],[value]] - Table1[[#This Row],[mean]]) / Table1[[#This Row],[std_dev]]</f>
        <v>0.8203340676871993</v>
      </c>
      <c r="K4767">
        <f>AVERAGEIF(Table1[CountryCode],Table1[[#This Row],[CountryCode]],Table1[z-score])</f>
        <v>0.26765264295626828</v>
      </c>
      <c r="L4767" t="e">
        <f>VLOOKUP(Table1[[#This Row],[CountryCode]],[1]!Table1[#All],1,FALSE)</f>
        <v>#REF!</v>
      </c>
    </row>
    <row r="4768" spans="1:12" hidden="1" x14ac:dyDescent="0.3">
      <c r="A4768" t="s">
        <v>15</v>
      </c>
      <c r="B4768" t="s">
        <v>16</v>
      </c>
      <c r="C4768" t="s">
        <v>127</v>
      </c>
      <c r="D4768" t="s">
        <v>128</v>
      </c>
      <c r="E4768">
        <v>2024</v>
      </c>
      <c r="F4768" s="1">
        <v>45959</v>
      </c>
      <c r="G4768">
        <v>1990</v>
      </c>
      <c r="H4768">
        <f>AVERAGEIFS(Table1[value],Table1[IndicatorCode],Table1[[#This Row],[IndicatorCode]])</f>
        <v>24902.88753799392</v>
      </c>
      <c r="I4768" cm="1">
        <f t="array" ref="I4768">_xlfn.STDEV.P(IF(Table1[IndicatorCode]=Table1[[#This Row],[IndicatorCode]],Table1[value]))</f>
        <v>26324.778297809873</v>
      </c>
      <c r="J4768">
        <f>(Table1[[#This Row],[value]] - Table1[[#This Row],[mean]]) / Table1[[#This Row],[std_dev]]</f>
        <v>0.79985906144394281</v>
      </c>
      <c r="K4768">
        <f>AVERAGEIF(Table1[CountryCode],Table1[[#This Row],[CountryCode]],Table1[z-score])</f>
        <v>0.26765264295626828</v>
      </c>
      <c r="L4768" t="e">
        <f>VLOOKUP(Table1[[#This Row],[CountryCode]],[1]!Table1[#All],1,FALSE)</f>
        <v>#REF!</v>
      </c>
    </row>
    <row r="4769" spans="1:12" hidden="1" x14ac:dyDescent="0.3">
      <c r="A4769" t="s">
        <v>17</v>
      </c>
      <c r="B4769" t="s">
        <v>18</v>
      </c>
      <c r="C4769" t="s">
        <v>127</v>
      </c>
      <c r="D4769" t="s">
        <v>128</v>
      </c>
      <c r="E4769">
        <v>1990</v>
      </c>
      <c r="F4769" s="1">
        <v>2866</v>
      </c>
      <c r="G4769">
        <v>1990</v>
      </c>
      <c r="H4769">
        <f>AVERAGEIFS(Table1[value],Table1[IndicatorCode],Table1[[#This Row],[IndicatorCode]])</f>
        <v>24902.88753799392</v>
      </c>
      <c r="I4769" cm="1">
        <f t="array" ref="I4769">_xlfn.STDEV.P(IF(Table1[IndicatorCode]=Table1[[#This Row],[IndicatorCode]],Table1[value]))</f>
        <v>26324.778297809873</v>
      </c>
      <c r="J4769">
        <f>(Table1[[#This Row],[value]] - Table1[[#This Row],[mean]]) / Table1[[#This Row],[std_dev]]</f>
        <v>-0.83711578835318468</v>
      </c>
      <c r="K4769">
        <f>AVERAGEIF(Table1[CountryCode],Table1[[#This Row],[CountryCode]],Table1[z-score])</f>
        <v>-0.86099801634454787</v>
      </c>
      <c r="L4769" t="e">
        <f>VLOOKUP(Table1[[#This Row],[CountryCode]],[1]!Table1[#All],1,FALSE)</f>
        <v>#REF!</v>
      </c>
    </row>
    <row r="4770" spans="1:12" hidden="1" x14ac:dyDescent="0.3">
      <c r="A4770" t="s">
        <v>17</v>
      </c>
      <c r="B4770" t="s">
        <v>18</v>
      </c>
      <c r="C4770" t="s">
        <v>127</v>
      </c>
      <c r="D4770" t="s">
        <v>128</v>
      </c>
      <c r="E4770">
        <v>1991</v>
      </c>
      <c r="F4770" s="1">
        <v>2809</v>
      </c>
      <c r="G4770">
        <v>1990</v>
      </c>
      <c r="H4770">
        <f>AVERAGEIFS(Table1[value],Table1[IndicatorCode],Table1[[#This Row],[IndicatorCode]])</f>
        <v>24902.88753799392</v>
      </c>
      <c r="I4770" cm="1">
        <f t="array" ref="I4770">_xlfn.STDEV.P(IF(Table1[IndicatorCode]=Table1[[#This Row],[IndicatorCode]],Table1[value]))</f>
        <v>26324.778297809873</v>
      </c>
      <c r="J4770">
        <f>(Table1[[#This Row],[value]] - Table1[[#This Row],[mean]]) / Table1[[#This Row],[std_dev]]</f>
        <v>-0.83928104875367748</v>
      </c>
      <c r="K4770">
        <f>AVERAGEIF(Table1[CountryCode],Table1[[#This Row],[CountryCode]],Table1[z-score])</f>
        <v>-0.86099801634454787</v>
      </c>
      <c r="L4770" t="e">
        <f>VLOOKUP(Table1[[#This Row],[CountryCode]],[1]!Table1[#All],1,FALSE)</f>
        <v>#REF!</v>
      </c>
    </row>
    <row r="4771" spans="1:12" hidden="1" x14ac:dyDescent="0.3">
      <c r="A4771" t="s">
        <v>17</v>
      </c>
      <c r="B4771" t="s">
        <v>18</v>
      </c>
      <c r="C4771" t="s">
        <v>127</v>
      </c>
      <c r="D4771" t="s">
        <v>128</v>
      </c>
      <c r="E4771">
        <v>1992</v>
      </c>
      <c r="F4771" s="1">
        <v>2141</v>
      </c>
      <c r="G4771">
        <v>1990</v>
      </c>
      <c r="H4771">
        <f>AVERAGEIFS(Table1[value],Table1[IndicatorCode],Table1[[#This Row],[IndicatorCode]])</f>
        <v>24902.88753799392</v>
      </c>
      <c r="I4771" cm="1">
        <f t="array" ref="I4771">_xlfn.STDEV.P(IF(Table1[IndicatorCode]=Table1[[#This Row],[IndicatorCode]],Table1[value]))</f>
        <v>26324.778297809873</v>
      </c>
      <c r="J4771">
        <f>(Table1[[#This Row],[value]] - Table1[[#This Row],[mean]]) / Table1[[#This Row],[std_dev]]</f>
        <v>-0.86465638116647037</v>
      </c>
      <c r="K4771">
        <f>AVERAGEIF(Table1[CountryCode],Table1[[#This Row],[CountryCode]],Table1[z-score])</f>
        <v>-0.86099801634454787</v>
      </c>
      <c r="L4771" t="e">
        <f>VLOOKUP(Table1[[#This Row],[CountryCode]],[1]!Table1[#All],1,FALSE)</f>
        <v>#REF!</v>
      </c>
    </row>
    <row r="4772" spans="1:12" hidden="1" x14ac:dyDescent="0.3">
      <c r="A4772" t="s">
        <v>17</v>
      </c>
      <c r="B4772" t="s">
        <v>18</v>
      </c>
      <c r="C4772" t="s">
        <v>127</v>
      </c>
      <c r="D4772" t="s">
        <v>128</v>
      </c>
      <c r="E4772">
        <v>1993</v>
      </c>
      <c r="F4772" s="1">
        <v>1622</v>
      </c>
      <c r="G4772">
        <v>1990</v>
      </c>
      <c r="H4772">
        <f>AVERAGEIFS(Table1[value],Table1[IndicatorCode],Table1[[#This Row],[IndicatorCode]])</f>
        <v>24902.88753799392</v>
      </c>
      <c r="I4772" cm="1">
        <f t="array" ref="I4772">_xlfn.STDEV.P(IF(Table1[IndicatorCode]=Table1[[#This Row],[IndicatorCode]],Table1[value]))</f>
        <v>26324.778297809873</v>
      </c>
      <c r="J4772">
        <f>(Table1[[#This Row],[value]] - Table1[[#This Row],[mean]]) / Table1[[#This Row],[std_dev]]</f>
        <v>-0.88437164691832582</v>
      </c>
      <c r="K4772">
        <f>AVERAGEIF(Table1[CountryCode],Table1[[#This Row],[CountryCode]],Table1[z-score])</f>
        <v>-0.86099801634454787</v>
      </c>
      <c r="L4772" t="e">
        <f>VLOOKUP(Table1[[#This Row],[CountryCode]],[1]!Table1[#All],1,FALSE)</f>
        <v>#REF!</v>
      </c>
    </row>
    <row r="4773" spans="1:12" hidden="1" x14ac:dyDescent="0.3">
      <c r="A4773" t="s">
        <v>17</v>
      </c>
      <c r="B4773" t="s">
        <v>18</v>
      </c>
      <c r="C4773" t="s">
        <v>127</v>
      </c>
      <c r="D4773" t="s">
        <v>128</v>
      </c>
      <c r="E4773">
        <v>1994</v>
      </c>
      <c r="F4773" s="1">
        <v>1285</v>
      </c>
      <c r="G4773">
        <v>1990</v>
      </c>
      <c r="H4773">
        <f>AVERAGEIFS(Table1[value],Table1[IndicatorCode],Table1[[#This Row],[IndicatorCode]])</f>
        <v>24902.88753799392</v>
      </c>
      <c r="I4773" cm="1">
        <f t="array" ref="I4773">_xlfn.STDEV.P(IF(Table1[IndicatorCode]=Table1[[#This Row],[IndicatorCode]],Table1[value]))</f>
        <v>26324.778297809873</v>
      </c>
      <c r="J4773">
        <f>(Table1[[#This Row],[value]] - Table1[[#This Row],[mean]]) / Table1[[#This Row],[std_dev]]</f>
        <v>-0.8971732741984324</v>
      </c>
      <c r="K4773">
        <f>AVERAGEIF(Table1[CountryCode],Table1[[#This Row],[CountryCode]],Table1[z-score])</f>
        <v>-0.86099801634454787</v>
      </c>
      <c r="L4773" t="e">
        <f>VLOOKUP(Table1[[#This Row],[CountryCode]],[1]!Table1[#All],1,FALSE)</f>
        <v>#REF!</v>
      </c>
    </row>
    <row r="4774" spans="1:12" hidden="1" x14ac:dyDescent="0.3">
      <c r="A4774" t="s">
        <v>17</v>
      </c>
      <c r="B4774" t="s">
        <v>18</v>
      </c>
      <c r="C4774" t="s">
        <v>127</v>
      </c>
      <c r="D4774" t="s">
        <v>128</v>
      </c>
      <c r="E4774">
        <v>1995</v>
      </c>
      <c r="F4774" s="1">
        <v>1120</v>
      </c>
      <c r="G4774">
        <v>1990</v>
      </c>
      <c r="H4774">
        <f>AVERAGEIFS(Table1[value],Table1[IndicatorCode],Table1[[#This Row],[IndicatorCode]])</f>
        <v>24902.88753799392</v>
      </c>
      <c r="I4774" cm="1">
        <f t="array" ref="I4774">_xlfn.STDEV.P(IF(Table1[IndicatorCode]=Table1[[#This Row],[IndicatorCode]],Table1[value]))</f>
        <v>26324.778297809873</v>
      </c>
      <c r="J4774">
        <f>(Table1[[#This Row],[value]] - Table1[[#This Row],[mean]]) / Table1[[#This Row],[std_dev]]</f>
        <v>-0.90344113325249054</v>
      </c>
      <c r="K4774">
        <f>AVERAGEIF(Table1[CountryCode],Table1[[#This Row],[CountryCode]],Table1[z-score])</f>
        <v>-0.86099801634454787</v>
      </c>
      <c r="L4774" t="e">
        <f>VLOOKUP(Table1[[#This Row],[CountryCode]],[1]!Table1[#All],1,FALSE)</f>
        <v>#REF!</v>
      </c>
    </row>
    <row r="4775" spans="1:12" hidden="1" x14ac:dyDescent="0.3">
      <c r="A4775" t="s">
        <v>17</v>
      </c>
      <c r="B4775" t="s">
        <v>18</v>
      </c>
      <c r="C4775" t="s">
        <v>127</v>
      </c>
      <c r="D4775" t="s">
        <v>128</v>
      </c>
      <c r="E4775">
        <v>1996</v>
      </c>
      <c r="F4775" s="1">
        <v>1123</v>
      </c>
      <c r="G4775">
        <v>1990</v>
      </c>
      <c r="H4775">
        <f>AVERAGEIFS(Table1[value],Table1[IndicatorCode],Table1[[#This Row],[IndicatorCode]])</f>
        <v>24902.88753799392</v>
      </c>
      <c r="I4775" cm="1">
        <f t="array" ref="I4775">_xlfn.STDEV.P(IF(Table1[IndicatorCode]=Table1[[#This Row],[IndicatorCode]],Table1[value]))</f>
        <v>26324.778297809873</v>
      </c>
      <c r="J4775">
        <f>(Table1[[#This Row],[value]] - Table1[[#This Row],[mean]]) / Table1[[#This Row],[std_dev]]</f>
        <v>-0.90332717217878034</v>
      </c>
      <c r="K4775">
        <f>AVERAGEIF(Table1[CountryCode],Table1[[#This Row],[CountryCode]],Table1[z-score])</f>
        <v>-0.86099801634454787</v>
      </c>
      <c r="L4775" t="e">
        <f>VLOOKUP(Table1[[#This Row],[CountryCode]],[1]!Table1[#All],1,FALSE)</f>
        <v>#REF!</v>
      </c>
    </row>
    <row r="4776" spans="1:12" hidden="1" x14ac:dyDescent="0.3">
      <c r="A4776" t="s">
        <v>17</v>
      </c>
      <c r="B4776" t="s">
        <v>18</v>
      </c>
      <c r="C4776" t="s">
        <v>127</v>
      </c>
      <c r="D4776" t="s">
        <v>128</v>
      </c>
      <c r="E4776">
        <v>1997</v>
      </c>
      <c r="F4776" s="1">
        <v>1177</v>
      </c>
      <c r="G4776">
        <v>2000</v>
      </c>
      <c r="H4776">
        <f>AVERAGEIFS(Table1[value],Table1[IndicatorCode],Table1[[#This Row],[IndicatorCode]])</f>
        <v>24902.88753799392</v>
      </c>
      <c r="I4776" cm="1">
        <f t="array" ref="I4776">_xlfn.STDEV.P(IF(Table1[IndicatorCode]=Table1[[#This Row],[IndicatorCode]],Table1[value]))</f>
        <v>26324.778297809873</v>
      </c>
      <c r="J4776">
        <f>(Table1[[#This Row],[value]] - Table1[[#This Row],[mean]]) / Table1[[#This Row],[std_dev]]</f>
        <v>-0.90127587285199773</v>
      </c>
      <c r="K4776">
        <f>AVERAGEIF(Table1[CountryCode],Table1[[#This Row],[CountryCode]],Table1[z-score])</f>
        <v>-0.86099801634454787</v>
      </c>
      <c r="L4776" t="e">
        <f>VLOOKUP(Table1[[#This Row],[CountryCode]],[1]!Table1[#All],1,FALSE)</f>
        <v>#REF!</v>
      </c>
    </row>
    <row r="4777" spans="1:12" hidden="1" x14ac:dyDescent="0.3">
      <c r="A4777" t="s">
        <v>17</v>
      </c>
      <c r="B4777" t="s">
        <v>18</v>
      </c>
      <c r="C4777" t="s">
        <v>127</v>
      </c>
      <c r="D4777" t="s">
        <v>128</v>
      </c>
      <c r="E4777">
        <v>1998</v>
      </c>
      <c r="F4777" s="1">
        <v>1283</v>
      </c>
      <c r="G4777">
        <v>2000</v>
      </c>
      <c r="H4777">
        <f>AVERAGEIFS(Table1[value],Table1[IndicatorCode],Table1[[#This Row],[IndicatorCode]])</f>
        <v>24902.88753799392</v>
      </c>
      <c r="I4777" cm="1">
        <f t="array" ref="I4777">_xlfn.STDEV.P(IF(Table1[IndicatorCode]=Table1[[#This Row],[IndicatorCode]],Table1[value]))</f>
        <v>26324.778297809873</v>
      </c>
      <c r="J4777">
        <f>(Table1[[#This Row],[value]] - Table1[[#This Row],[mean]]) / Table1[[#This Row],[std_dev]]</f>
        <v>-0.89724924824757246</v>
      </c>
      <c r="K4777">
        <f>AVERAGEIF(Table1[CountryCode],Table1[[#This Row],[CountryCode]],Table1[z-score])</f>
        <v>-0.86099801634454787</v>
      </c>
      <c r="L4777" t="e">
        <f>VLOOKUP(Table1[[#This Row],[CountryCode]],[1]!Table1[#All],1,FALSE)</f>
        <v>#REF!</v>
      </c>
    </row>
    <row r="4778" spans="1:12" hidden="1" x14ac:dyDescent="0.3">
      <c r="A4778" t="s">
        <v>17</v>
      </c>
      <c r="B4778" t="s">
        <v>18</v>
      </c>
      <c r="C4778" t="s">
        <v>127</v>
      </c>
      <c r="D4778" t="s">
        <v>128</v>
      </c>
      <c r="E4778">
        <v>1999</v>
      </c>
      <c r="F4778" s="1">
        <v>1366</v>
      </c>
      <c r="G4778">
        <v>2000</v>
      </c>
      <c r="H4778">
        <f>AVERAGEIFS(Table1[value],Table1[IndicatorCode],Table1[[#This Row],[IndicatorCode]])</f>
        <v>24902.88753799392</v>
      </c>
      <c r="I4778" cm="1">
        <f t="array" ref="I4778">_xlfn.STDEV.P(IF(Table1[IndicatorCode]=Table1[[#This Row],[IndicatorCode]],Table1[value]))</f>
        <v>26324.778297809873</v>
      </c>
      <c r="J4778">
        <f>(Table1[[#This Row],[value]] - Table1[[#This Row],[mean]]) / Table1[[#This Row],[std_dev]]</f>
        <v>-0.89409632520825844</v>
      </c>
      <c r="K4778">
        <f>AVERAGEIF(Table1[CountryCode],Table1[[#This Row],[CountryCode]],Table1[z-score])</f>
        <v>-0.86099801634454787</v>
      </c>
      <c r="L4778" t="e">
        <f>VLOOKUP(Table1[[#This Row],[CountryCode]],[1]!Table1[#All],1,FALSE)</f>
        <v>#REF!</v>
      </c>
    </row>
    <row r="4779" spans="1:12" hidden="1" x14ac:dyDescent="0.3">
      <c r="A4779" t="s">
        <v>17</v>
      </c>
      <c r="B4779" t="s">
        <v>18</v>
      </c>
      <c r="C4779" t="s">
        <v>127</v>
      </c>
      <c r="D4779" t="s">
        <v>128</v>
      </c>
      <c r="E4779">
        <v>2000</v>
      </c>
      <c r="F4779" s="1">
        <v>1505</v>
      </c>
      <c r="G4779">
        <v>2000</v>
      </c>
      <c r="H4779">
        <f>AVERAGEIFS(Table1[value],Table1[IndicatorCode],Table1[[#This Row],[IndicatorCode]])</f>
        <v>24902.88753799392</v>
      </c>
      <c r="I4779" cm="1">
        <f t="array" ref="I4779">_xlfn.STDEV.P(IF(Table1[IndicatorCode]=Table1[[#This Row],[IndicatorCode]],Table1[value]))</f>
        <v>26324.778297809873</v>
      </c>
      <c r="J4779">
        <f>(Table1[[#This Row],[value]] - Table1[[#This Row],[mean]]) / Table1[[#This Row],[std_dev]]</f>
        <v>-0.88881612879302163</v>
      </c>
      <c r="K4779">
        <f>AVERAGEIF(Table1[CountryCode],Table1[[#This Row],[CountryCode]],Table1[z-score])</f>
        <v>-0.86099801634454787</v>
      </c>
      <c r="L4779" t="e">
        <f>VLOOKUP(Table1[[#This Row],[CountryCode]],[1]!Table1[#All],1,FALSE)</f>
        <v>#REF!</v>
      </c>
    </row>
    <row r="4780" spans="1:12" hidden="1" x14ac:dyDescent="0.3">
      <c r="A4780" t="s">
        <v>17</v>
      </c>
      <c r="B4780" t="s">
        <v>18</v>
      </c>
      <c r="C4780" t="s">
        <v>127</v>
      </c>
      <c r="D4780" t="s">
        <v>128</v>
      </c>
      <c r="E4780">
        <v>2001</v>
      </c>
      <c r="F4780" s="1">
        <v>1641</v>
      </c>
      <c r="G4780">
        <v>2000</v>
      </c>
      <c r="H4780">
        <f>AVERAGEIFS(Table1[value],Table1[IndicatorCode],Table1[[#This Row],[IndicatorCode]])</f>
        <v>24902.88753799392</v>
      </c>
      <c r="I4780" cm="1">
        <f t="array" ref="I4780">_xlfn.STDEV.P(IF(Table1[IndicatorCode]=Table1[[#This Row],[IndicatorCode]],Table1[value]))</f>
        <v>26324.778297809873</v>
      </c>
      <c r="J4780">
        <f>(Table1[[#This Row],[value]] - Table1[[#This Row],[mean]]) / Table1[[#This Row],[std_dev]]</f>
        <v>-0.88364989345149492</v>
      </c>
      <c r="K4780">
        <f>AVERAGEIF(Table1[CountryCode],Table1[[#This Row],[CountryCode]],Table1[z-score])</f>
        <v>-0.86099801634454787</v>
      </c>
      <c r="L4780" t="e">
        <f>VLOOKUP(Table1[[#This Row],[CountryCode]],[1]!Table1[#All],1,FALSE)</f>
        <v>#REF!</v>
      </c>
    </row>
    <row r="4781" spans="1:12" hidden="1" x14ac:dyDescent="0.3">
      <c r="A4781" t="s">
        <v>17</v>
      </c>
      <c r="B4781" t="s">
        <v>18</v>
      </c>
      <c r="C4781" t="s">
        <v>127</v>
      </c>
      <c r="D4781" t="s">
        <v>128</v>
      </c>
      <c r="E4781">
        <v>2002</v>
      </c>
      <c r="F4781" s="1">
        <v>1782</v>
      </c>
      <c r="G4781">
        <v>2000</v>
      </c>
      <c r="H4781">
        <f>AVERAGEIFS(Table1[value],Table1[IndicatorCode],Table1[[#This Row],[IndicatorCode]])</f>
        <v>24902.88753799392</v>
      </c>
      <c r="I4781" cm="1">
        <f t="array" ref="I4781">_xlfn.STDEV.P(IF(Table1[IndicatorCode]=Table1[[#This Row],[IndicatorCode]],Table1[value]))</f>
        <v>26324.778297809873</v>
      </c>
      <c r="J4781">
        <f>(Table1[[#This Row],[value]] - Table1[[#This Row],[mean]]) / Table1[[#This Row],[std_dev]]</f>
        <v>-0.87829372298711794</v>
      </c>
      <c r="K4781">
        <f>AVERAGEIF(Table1[CountryCode],Table1[[#This Row],[CountryCode]],Table1[z-score])</f>
        <v>-0.86099801634454787</v>
      </c>
      <c r="L4781" t="e">
        <f>VLOOKUP(Table1[[#This Row],[CountryCode]],[1]!Table1[#All],1,FALSE)</f>
        <v>#REF!</v>
      </c>
    </row>
    <row r="4782" spans="1:12" hidden="1" x14ac:dyDescent="0.3">
      <c r="A4782" t="s">
        <v>17</v>
      </c>
      <c r="B4782" t="s">
        <v>18</v>
      </c>
      <c r="C4782" t="s">
        <v>127</v>
      </c>
      <c r="D4782" t="s">
        <v>128</v>
      </c>
      <c r="E4782">
        <v>2003</v>
      </c>
      <c r="F4782" s="1">
        <v>1950</v>
      </c>
      <c r="G4782">
        <v>2000</v>
      </c>
      <c r="H4782">
        <f>AVERAGEIFS(Table1[value],Table1[IndicatorCode],Table1[[#This Row],[IndicatorCode]])</f>
        <v>24902.88753799392</v>
      </c>
      <c r="I4782" cm="1">
        <f t="array" ref="I4782">_xlfn.STDEV.P(IF(Table1[IndicatorCode]=Table1[[#This Row],[IndicatorCode]],Table1[value]))</f>
        <v>26324.778297809873</v>
      </c>
      <c r="J4782">
        <f>(Table1[[#This Row],[value]] - Table1[[#This Row],[mean]]) / Table1[[#This Row],[std_dev]]</f>
        <v>-0.87191190285934972</v>
      </c>
      <c r="K4782">
        <f>AVERAGEIF(Table1[CountryCode],Table1[[#This Row],[CountryCode]],Table1[z-score])</f>
        <v>-0.86099801634454787</v>
      </c>
      <c r="L4782" t="e">
        <f>VLOOKUP(Table1[[#This Row],[CountryCode]],[1]!Table1[#All],1,FALSE)</f>
        <v>#REF!</v>
      </c>
    </row>
    <row r="4783" spans="1:12" hidden="1" x14ac:dyDescent="0.3">
      <c r="A4783" t="s">
        <v>17</v>
      </c>
      <c r="B4783" t="s">
        <v>18</v>
      </c>
      <c r="C4783" t="s">
        <v>127</v>
      </c>
      <c r="D4783" t="s">
        <v>128</v>
      </c>
      <c r="E4783">
        <v>2004</v>
      </c>
      <c r="F4783" s="1">
        <v>2111</v>
      </c>
      <c r="G4783">
        <v>2000</v>
      </c>
      <c r="H4783">
        <f>AVERAGEIFS(Table1[value],Table1[IndicatorCode],Table1[[#This Row],[IndicatorCode]])</f>
        <v>24902.88753799392</v>
      </c>
      <c r="I4783" cm="1">
        <f t="array" ref="I4783">_xlfn.STDEV.P(IF(Table1[IndicatorCode]=Table1[[#This Row],[IndicatorCode]],Table1[value]))</f>
        <v>26324.778297809873</v>
      </c>
      <c r="J4783">
        <f>(Table1[[#This Row],[value]] - Table1[[#This Row],[mean]]) / Table1[[#This Row],[std_dev]]</f>
        <v>-0.86579599190357182</v>
      </c>
      <c r="K4783">
        <f>AVERAGEIF(Table1[CountryCode],Table1[[#This Row],[CountryCode]],Table1[z-score])</f>
        <v>-0.86099801634454787</v>
      </c>
      <c r="L4783" t="e">
        <f>VLOOKUP(Table1[[#This Row],[CountryCode]],[1]!Table1[#All],1,FALSE)</f>
        <v>#REF!</v>
      </c>
    </row>
    <row r="4784" spans="1:12" hidden="1" x14ac:dyDescent="0.3">
      <c r="A4784" t="s">
        <v>17</v>
      </c>
      <c r="B4784" t="s">
        <v>18</v>
      </c>
      <c r="C4784" t="s">
        <v>127</v>
      </c>
      <c r="D4784" t="s">
        <v>128</v>
      </c>
      <c r="E4784">
        <v>2005</v>
      </c>
      <c r="F4784" s="1">
        <v>2674</v>
      </c>
      <c r="G4784">
        <v>2000</v>
      </c>
      <c r="H4784">
        <f>AVERAGEIFS(Table1[value],Table1[IndicatorCode],Table1[[#This Row],[IndicatorCode]])</f>
        <v>24902.88753799392</v>
      </c>
      <c r="I4784" cm="1">
        <f t="array" ref="I4784">_xlfn.STDEV.P(IF(Table1[IndicatorCode]=Table1[[#This Row],[IndicatorCode]],Table1[value]))</f>
        <v>26324.778297809873</v>
      </c>
      <c r="J4784">
        <f>(Table1[[#This Row],[value]] - Table1[[#This Row],[mean]]) / Table1[[#This Row],[std_dev]]</f>
        <v>-0.84440929707063417</v>
      </c>
      <c r="K4784">
        <f>AVERAGEIF(Table1[CountryCode],Table1[[#This Row],[CountryCode]],Table1[z-score])</f>
        <v>-0.86099801634454787</v>
      </c>
      <c r="L4784" t="e">
        <f>VLOOKUP(Table1[[#This Row],[CountryCode]],[1]!Table1[#All],1,FALSE)</f>
        <v>#REF!</v>
      </c>
    </row>
    <row r="4785" spans="1:12" hidden="1" x14ac:dyDescent="0.3">
      <c r="A4785" t="s">
        <v>17</v>
      </c>
      <c r="B4785" t="s">
        <v>18</v>
      </c>
      <c r="C4785" t="s">
        <v>127</v>
      </c>
      <c r="D4785" t="s">
        <v>128</v>
      </c>
      <c r="E4785">
        <v>2006</v>
      </c>
      <c r="F4785" s="1">
        <v>3557</v>
      </c>
      <c r="G4785">
        <v>2000</v>
      </c>
      <c r="H4785">
        <f>AVERAGEIFS(Table1[value],Table1[IndicatorCode],Table1[[#This Row],[IndicatorCode]])</f>
        <v>24902.88753799392</v>
      </c>
      <c r="I4785" cm="1">
        <f t="array" ref="I4785">_xlfn.STDEV.P(IF(Table1[IndicatorCode]=Table1[[#This Row],[IndicatorCode]],Table1[value]))</f>
        <v>26324.778297809873</v>
      </c>
      <c r="J4785">
        <f>(Table1[[#This Row],[value]] - Table1[[#This Row],[mean]]) / Table1[[#This Row],[std_dev]]</f>
        <v>-0.81086675437528077</v>
      </c>
      <c r="K4785">
        <f>AVERAGEIF(Table1[CountryCode],Table1[[#This Row],[CountryCode]],Table1[z-score])</f>
        <v>-0.86099801634454787</v>
      </c>
      <c r="L4785" t="e">
        <f>VLOOKUP(Table1[[#This Row],[CountryCode]],[1]!Table1[#All],1,FALSE)</f>
        <v>#REF!</v>
      </c>
    </row>
    <row r="4786" spans="1:12" hidden="1" x14ac:dyDescent="0.3">
      <c r="A4786" t="s">
        <v>17</v>
      </c>
      <c r="B4786" t="s">
        <v>18</v>
      </c>
      <c r="C4786" t="s">
        <v>127</v>
      </c>
      <c r="D4786" t="s">
        <v>128</v>
      </c>
      <c r="E4786">
        <v>2007</v>
      </c>
      <c r="F4786" s="1">
        <v>4412</v>
      </c>
      <c r="G4786">
        <v>2010</v>
      </c>
      <c r="H4786">
        <f>AVERAGEIFS(Table1[value],Table1[IndicatorCode],Table1[[#This Row],[IndicatorCode]])</f>
        <v>24902.88753799392</v>
      </c>
      <c r="I4786" cm="1">
        <f t="array" ref="I4786">_xlfn.STDEV.P(IF(Table1[IndicatorCode]=Table1[[#This Row],[IndicatorCode]],Table1[value]))</f>
        <v>26324.778297809873</v>
      </c>
      <c r="J4786">
        <f>(Table1[[#This Row],[value]] - Table1[[#This Row],[mean]]) / Table1[[#This Row],[std_dev]]</f>
        <v>-0.77838784836788877</v>
      </c>
      <c r="K4786">
        <f>AVERAGEIF(Table1[CountryCode],Table1[[#This Row],[CountryCode]],Table1[z-score])</f>
        <v>-0.86099801634454787</v>
      </c>
      <c r="L4786" t="e">
        <f>VLOOKUP(Table1[[#This Row],[CountryCode]],[1]!Table1[#All],1,FALSE)</f>
        <v>#REF!</v>
      </c>
    </row>
    <row r="4787" spans="1:12" hidden="1" x14ac:dyDescent="0.3">
      <c r="A4787" t="s">
        <v>17</v>
      </c>
      <c r="B4787" t="s">
        <v>18</v>
      </c>
      <c r="C4787" t="s">
        <v>127</v>
      </c>
      <c r="D4787" t="s">
        <v>128</v>
      </c>
      <c r="E4787">
        <v>2008</v>
      </c>
      <c r="F4787" s="1">
        <v>4778</v>
      </c>
      <c r="G4787">
        <v>2010</v>
      </c>
      <c r="H4787">
        <f>AVERAGEIFS(Table1[value],Table1[IndicatorCode],Table1[[#This Row],[IndicatorCode]])</f>
        <v>24902.88753799392</v>
      </c>
      <c r="I4787" cm="1">
        <f t="array" ref="I4787">_xlfn.STDEV.P(IF(Table1[IndicatorCode]=Table1[[#This Row],[IndicatorCode]],Table1[value]))</f>
        <v>26324.778297809873</v>
      </c>
      <c r="J4787">
        <f>(Table1[[#This Row],[value]] - Table1[[#This Row],[mean]]) / Table1[[#This Row],[std_dev]]</f>
        <v>-0.76448459737525076</v>
      </c>
      <c r="K4787">
        <f>AVERAGEIF(Table1[CountryCode],Table1[[#This Row],[CountryCode]],Table1[z-score])</f>
        <v>-0.86099801634454787</v>
      </c>
      <c r="L4787" t="e">
        <f>VLOOKUP(Table1[[#This Row],[CountryCode]],[1]!Table1[#All],1,FALSE)</f>
        <v>#REF!</v>
      </c>
    </row>
    <row r="4788" spans="1:12" hidden="1" x14ac:dyDescent="0.3">
      <c r="A4788" t="s">
        <v>17</v>
      </c>
      <c r="B4788" t="s">
        <v>18</v>
      </c>
      <c r="C4788" t="s">
        <v>127</v>
      </c>
      <c r="D4788" t="s">
        <v>128</v>
      </c>
      <c r="E4788">
        <v>2009</v>
      </c>
      <c r="F4788" s="1">
        <v>5118</v>
      </c>
      <c r="G4788">
        <v>2010</v>
      </c>
      <c r="H4788">
        <f>AVERAGEIFS(Table1[value],Table1[IndicatorCode],Table1[[#This Row],[IndicatorCode]])</f>
        <v>24902.88753799392</v>
      </c>
      <c r="I4788" cm="1">
        <f t="array" ref="I4788">_xlfn.STDEV.P(IF(Table1[IndicatorCode]=Table1[[#This Row],[IndicatorCode]],Table1[value]))</f>
        <v>26324.778297809873</v>
      </c>
      <c r="J4788">
        <f>(Table1[[#This Row],[value]] - Table1[[#This Row],[mean]]) / Table1[[#This Row],[std_dev]]</f>
        <v>-0.75156900902143409</v>
      </c>
      <c r="K4788">
        <f>AVERAGEIF(Table1[CountryCode],Table1[[#This Row],[CountryCode]],Table1[z-score])</f>
        <v>-0.86099801634454787</v>
      </c>
      <c r="L4788" t="e">
        <f>VLOOKUP(Table1[[#This Row],[CountryCode]],[1]!Table1[#All],1,FALSE)</f>
        <v>#REF!</v>
      </c>
    </row>
    <row r="4789" spans="1:12" hidden="1" x14ac:dyDescent="0.3">
      <c r="A4789" t="s">
        <v>17</v>
      </c>
      <c r="B4789" t="s">
        <v>18</v>
      </c>
      <c r="C4789" t="s">
        <v>127</v>
      </c>
      <c r="D4789" t="s">
        <v>128</v>
      </c>
      <c r="E4789">
        <v>2010</v>
      </c>
      <c r="F4789" s="1">
        <v>5300</v>
      </c>
      <c r="G4789">
        <v>2010</v>
      </c>
      <c r="H4789">
        <f>AVERAGEIFS(Table1[value],Table1[IndicatorCode],Table1[[#This Row],[IndicatorCode]])</f>
        <v>24902.88753799392</v>
      </c>
      <c r="I4789" cm="1">
        <f t="array" ref="I4789">_xlfn.STDEV.P(IF(Table1[IndicatorCode]=Table1[[#This Row],[IndicatorCode]],Table1[value]))</f>
        <v>26324.778297809873</v>
      </c>
      <c r="J4789">
        <f>(Table1[[#This Row],[value]] - Table1[[#This Row],[mean]]) / Table1[[#This Row],[std_dev]]</f>
        <v>-0.74465537054968511</v>
      </c>
      <c r="K4789">
        <f>AVERAGEIF(Table1[CountryCode],Table1[[#This Row],[CountryCode]],Table1[z-score])</f>
        <v>-0.86099801634454787</v>
      </c>
      <c r="L4789" t="e">
        <f>VLOOKUP(Table1[[#This Row],[CountryCode]],[1]!Table1[#All],1,FALSE)</f>
        <v>#REF!</v>
      </c>
    </row>
    <row r="4790" spans="1:12" hidden="1" x14ac:dyDescent="0.3">
      <c r="A4790" t="s">
        <v>17</v>
      </c>
      <c r="B4790" t="s">
        <v>18</v>
      </c>
      <c r="C4790" t="s">
        <v>127</v>
      </c>
      <c r="D4790" t="s">
        <v>128</v>
      </c>
      <c r="E4790">
        <v>2011</v>
      </c>
      <c r="F4790" s="1">
        <v>5149</v>
      </c>
      <c r="G4790">
        <v>2010</v>
      </c>
      <c r="H4790">
        <f>AVERAGEIFS(Table1[value],Table1[IndicatorCode],Table1[[#This Row],[IndicatorCode]])</f>
        <v>24902.88753799392</v>
      </c>
      <c r="I4790" cm="1">
        <f t="array" ref="I4790">_xlfn.STDEV.P(IF(Table1[IndicatorCode]=Table1[[#This Row],[IndicatorCode]],Table1[value]))</f>
        <v>26324.778297809873</v>
      </c>
      <c r="J4790">
        <f>(Table1[[#This Row],[value]] - Table1[[#This Row],[mean]]) / Table1[[#This Row],[std_dev]]</f>
        <v>-0.7503914112597625</v>
      </c>
      <c r="K4790">
        <f>AVERAGEIF(Table1[CountryCode],Table1[[#This Row],[CountryCode]],Table1[z-score])</f>
        <v>-0.86099801634454787</v>
      </c>
      <c r="L4790" t="e">
        <f>VLOOKUP(Table1[[#This Row],[CountryCode]],[1]!Table1[#All],1,FALSE)</f>
        <v>#REF!</v>
      </c>
    </row>
    <row r="4791" spans="1:12" hidden="1" x14ac:dyDescent="0.3">
      <c r="A4791" t="s">
        <v>17</v>
      </c>
      <c r="B4791" t="s">
        <v>18</v>
      </c>
      <c r="C4791" t="s">
        <v>127</v>
      </c>
      <c r="D4791" t="s">
        <v>128</v>
      </c>
      <c r="E4791">
        <v>2012</v>
      </c>
      <c r="F4791" s="1">
        <v>5193</v>
      </c>
      <c r="G4791">
        <v>2010</v>
      </c>
      <c r="H4791">
        <f>AVERAGEIFS(Table1[value],Table1[IndicatorCode],Table1[[#This Row],[IndicatorCode]])</f>
        <v>24902.88753799392</v>
      </c>
      <c r="I4791" cm="1">
        <f t="array" ref="I4791">_xlfn.STDEV.P(IF(Table1[IndicatorCode]=Table1[[#This Row],[IndicatorCode]],Table1[value]))</f>
        <v>26324.778297809873</v>
      </c>
      <c r="J4791">
        <f>(Table1[[#This Row],[value]] - Table1[[#This Row],[mean]]) / Table1[[#This Row],[std_dev]]</f>
        <v>-0.74871998217868041</v>
      </c>
      <c r="K4791">
        <f>AVERAGEIF(Table1[CountryCode],Table1[[#This Row],[CountryCode]],Table1[z-score])</f>
        <v>-0.86099801634454787</v>
      </c>
      <c r="L4791" t="e">
        <f>VLOOKUP(Table1[[#This Row],[CountryCode]],[1]!Table1[#All],1,FALSE)</f>
        <v>#REF!</v>
      </c>
    </row>
    <row r="4792" spans="1:12" hidden="1" x14ac:dyDescent="0.3">
      <c r="A4792" t="s">
        <v>17</v>
      </c>
      <c r="B4792" t="s">
        <v>18</v>
      </c>
      <c r="C4792" t="s">
        <v>127</v>
      </c>
      <c r="D4792" t="s">
        <v>128</v>
      </c>
      <c r="E4792">
        <v>2013</v>
      </c>
      <c r="F4792" s="1">
        <v>5426</v>
      </c>
      <c r="G4792">
        <v>2010</v>
      </c>
      <c r="H4792">
        <f>AVERAGEIFS(Table1[value],Table1[IndicatorCode],Table1[[#This Row],[IndicatorCode]])</f>
        <v>24902.88753799392</v>
      </c>
      <c r="I4792" cm="1">
        <f t="array" ref="I4792">_xlfn.STDEV.P(IF(Table1[IndicatorCode]=Table1[[#This Row],[IndicatorCode]],Table1[value]))</f>
        <v>26324.778297809873</v>
      </c>
      <c r="J4792">
        <f>(Table1[[#This Row],[value]] - Table1[[#This Row],[mean]]) / Table1[[#This Row],[std_dev]]</f>
        <v>-0.73986900545385892</v>
      </c>
      <c r="K4792">
        <f>AVERAGEIF(Table1[CountryCode],Table1[[#This Row],[CountryCode]],Table1[z-score])</f>
        <v>-0.86099801634454787</v>
      </c>
      <c r="L4792" t="e">
        <f>VLOOKUP(Table1[[#This Row],[CountryCode]],[1]!Table1[#All],1,FALSE)</f>
        <v>#REF!</v>
      </c>
    </row>
    <row r="4793" spans="1:12" hidden="1" x14ac:dyDescent="0.3">
      <c r="A4793" t="s">
        <v>17</v>
      </c>
      <c r="B4793" t="s">
        <v>18</v>
      </c>
      <c r="C4793" t="s">
        <v>127</v>
      </c>
      <c r="D4793" t="s">
        <v>128</v>
      </c>
      <c r="E4793">
        <v>2014</v>
      </c>
      <c r="F4793" s="1">
        <v>5509</v>
      </c>
      <c r="G4793">
        <v>2010</v>
      </c>
      <c r="H4793">
        <f>AVERAGEIFS(Table1[value],Table1[IndicatorCode],Table1[[#This Row],[IndicatorCode]])</f>
        <v>24902.88753799392</v>
      </c>
      <c r="I4793" cm="1">
        <f t="array" ref="I4793">_xlfn.STDEV.P(IF(Table1[IndicatorCode]=Table1[[#This Row],[IndicatorCode]],Table1[value]))</f>
        <v>26324.778297809873</v>
      </c>
      <c r="J4793">
        <f>(Table1[[#This Row],[value]] - Table1[[#This Row],[mean]]) / Table1[[#This Row],[std_dev]]</f>
        <v>-0.73671608241454489</v>
      </c>
      <c r="K4793">
        <f>AVERAGEIF(Table1[CountryCode],Table1[[#This Row],[CountryCode]],Table1[z-score])</f>
        <v>-0.86099801634454787</v>
      </c>
      <c r="L4793" t="e">
        <f>VLOOKUP(Table1[[#This Row],[CountryCode]],[1]!Table1[#All],1,FALSE)</f>
        <v>#REF!</v>
      </c>
    </row>
    <row r="4794" spans="1:12" hidden="1" x14ac:dyDescent="0.3">
      <c r="A4794" t="s">
        <v>17</v>
      </c>
      <c r="B4794" t="s">
        <v>18</v>
      </c>
      <c r="C4794" t="s">
        <v>127</v>
      </c>
      <c r="D4794" t="s">
        <v>128</v>
      </c>
      <c r="E4794">
        <v>2015</v>
      </c>
      <c r="F4794" s="1">
        <v>5501</v>
      </c>
      <c r="G4794">
        <v>2010</v>
      </c>
      <c r="H4794">
        <f>AVERAGEIFS(Table1[value],Table1[IndicatorCode],Table1[[#This Row],[IndicatorCode]])</f>
        <v>24902.88753799392</v>
      </c>
      <c r="I4794" cm="1">
        <f t="array" ref="I4794">_xlfn.STDEV.P(IF(Table1[IndicatorCode]=Table1[[#This Row],[IndicatorCode]],Table1[value]))</f>
        <v>26324.778297809873</v>
      </c>
      <c r="J4794">
        <f>(Table1[[#This Row],[value]] - Table1[[#This Row],[mean]]) / Table1[[#This Row],[std_dev]]</f>
        <v>-0.73701997861110524</v>
      </c>
      <c r="K4794">
        <f>AVERAGEIF(Table1[CountryCode],Table1[[#This Row],[CountryCode]],Table1[z-score])</f>
        <v>-0.86099801634454787</v>
      </c>
      <c r="L4794" t="e">
        <f>VLOOKUP(Table1[[#This Row],[CountryCode]],[1]!Table1[#All],1,FALSE)</f>
        <v>#REF!</v>
      </c>
    </row>
    <row r="4795" spans="1:12" hidden="1" x14ac:dyDescent="0.3">
      <c r="A4795" t="s">
        <v>17</v>
      </c>
      <c r="B4795" t="s">
        <v>18</v>
      </c>
      <c r="C4795" t="s">
        <v>127</v>
      </c>
      <c r="D4795" t="s">
        <v>128</v>
      </c>
      <c r="E4795">
        <v>2016</v>
      </c>
      <c r="F4795" s="1">
        <v>5273</v>
      </c>
      <c r="G4795">
        <v>2010</v>
      </c>
      <c r="H4795">
        <f>AVERAGEIFS(Table1[value],Table1[IndicatorCode],Table1[[#This Row],[IndicatorCode]])</f>
        <v>24902.88753799392</v>
      </c>
      <c r="I4795" cm="1">
        <f t="array" ref="I4795">_xlfn.STDEV.P(IF(Table1[IndicatorCode]=Table1[[#This Row],[IndicatorCode]],Table1[value]))</f>
        <v>26324.778297809873</v>
      </c>
      <c r="J4795">
        <f>(Table1[[#This Row],[value]] - Table1[[#This Row],[mean]]) / Table1[[#This Row],[std_dev]]</f>
        <v>-0.74568102021307647</v>
      </c>
      <c r="K4795">
        <f>AVERAGEIF(Table1[CountryCode],Table1[[#This Row],[CountryCode]],Table1[z-score])</f>
        <v>-0.86099801634454787</v>
      </c>
      <c r="L4795" t="e">
        <f>VLOOKUP(Table1[[#This Row],[CountryCode]],[1]!Table1[#All],1,FALSE)</f>
        <v>#REF!</v>
      </c>
    </row>
    <row r="4796" spans="1:12" hidden="1" x14ac:dyDescent="0.3">
      <c r="A4796" t="s">
        <v>17</v>
      </c>
      <c r="B4796" t="s">
        <v>18</v>
      </c>
      <c r="C4796" t="s">
        <v>127</v>
      </c>
      <c r="D4796" t="s">
        <v>128</v>
      </c>
      <c r="E4796">
        <v>2017</v>
      </c>
      <c r="F4796" s="1">
        <v>5229</v>
      </c>
      <c r="G4796">
        <v>2020</v>
      </c>
      <c r="H4796">
        <f>AVERAGEIFS(Table1[value],Table1[IndicatorCode],Table1[[#This Row],[IndicatorCode]])</f>
        <v>24902.88753799392</v>
      </c>
      <c r="I4796" cm="1">
        <f t="array" ref="I4796">_xlfn.STDEV.P(IF(Table1[IndicatorCode]=Table1[[#This Row],[IndicatorCode]],Table1[value]))</f>
        <v>26324.778297809873</v>
      </c>
      <c r="J4796">
        <f>(Table1[[#This Row],[value]] - Table1[[#This Row],[mean]]) / Table1[[#This Row],[std_dev]]</f>
        <v>-0.74735244929415856</v>
      </c>
      <c r="K4796">
        <f>AVERAGEIF(Table1[CountryCode],Table1[[#This Row],[CountryCode]],Table1[z-score])</f>
        <v>-0.86099801634454787</v>
      </c>
      <c r="L4796" t="e">
        <f>VLOOKUP(Table1[[#This Row],[CountryCode]],[1]!Table1[#All],1,FALSE)</f>
        <v>#REF!</v>
      </c>
    </row>
    <row r="4797" spans="1:12" hidden="1" x14ac:dyDescent="0.3">
      <c r="A4797" t="s">
        <v>17</v>
      </c>
      <c r="B4797" t="s">
        <v>18</v>
      </c>
      <c r="C4797" t="s">
        <v>127</v>
      </c>
      <c r="D4797" t="s">
        <v>128</v>
      </c>
      <c r="E4797">
        <v>2018</v>
      </c>
      <c r="F4797" s="1">
        <v>5262</v>
      </c>
      <c r="G4797">
        <v>2020</v>
      </c>
      <c r="H4797">
        <f>AVERAGEIFS(Table1[value],Table1[IndicatorCode],Table1[[#This Row],[IndicatorCode]])</f>
        <v>24902.88753799392</v>
      </c>
      <c r="I4797" cm="1">
        <f t="array" ref="I4797">_xlfn.STDEV.P(IF(Table1[IndicatorCode]=Table1[[#This Row],[IndicatorCode]],Table1[value]))</f>
        <v>26324.778297809873</v>
      </c>
      <c r="J4797">
        <f>(Table1[[#This Row],[value]] - Table1[[#This Row],[mean]]) / Table1[[#This Row],[std_dev]]</f>
        <v>-0.74609887748334702</v>
      </c>
      <c r="K4797">
        <f>AVERAGEIF(Table1[CountryCode],Table1[[#This Row],[CountryCode]],Table1[z-score])</f>
        <v>-0.86099801634454787</v>
      </c>
      <c r="L4797" t="e">
        <f>VLOOKUP(Table1[[#This Row],[CountryCode]],[1]!Table1[#All],1,FALSE)</f>
        <v>#REF!</v>
      </c>
    </row>
    <row r="4798" spans="1:12" hidden="1" x14ac:dyDescent="0.3">
      <c r="A4798" t="s">
        <v>17</v>
      </c>
      <c r="B4798" t="s">
        <v>18</v>
      </c>
      <c r="C4798" t="s">
        <v>127</v>
      </c>
      <c r="D4798" t="s">
        <v>128</v>
      </c>
      <c r="E4798">
        <v>2019</v>
      </c>
      <c r="F4798" s="1">
        <v>5347</v>
      </c>
      <c r="G4798">
        <v>2020</v>
      </c>
      <c r="H4798">
        <f>AVERAGEIFS(Table1[value],Table1[IndicatorCode],Table1[[#This Row],[IndicatorCode]])</f>
        <v>24902.88753799392</v>
      </c>
      <c r="I4798" cm="1">
        <f t="array" ref="I4798">_xlfn.STDEV.P(IF(Table1[IndicatorCode]=Table1[[#This Row],[IndicatorCode]],Table1[value]))</f>
        <v>26324.778297809873</v>
      </c>
      <c r="J4798">
        <f>(Table1[[#This Row],[value]] - Table1[[#This Row],[mean]]) / Table1[[#This Row],[std_dev]]</f>
        <v>-0.74286998039489283</v>
      </c>
      <c r="K4798">
        <f>AVERAGEIF(Table1[CountryCode],Table1[[#This Row],[CountryCode]],Table1[z-score])</f>
        <v>-0.86099801634454787</v>
      </c>
      <c r="L4798" t="e">
        <f>VLOOKUP(Table1[[#This Row],[CountryCode]],[1]!Table1[#All],1,FALSE)</f>
        <v>#REF!</v>
      </c>
    </row>
    <row r="4799" spans="1:12" x14ac:dyDescent="0.3">
      <c r="A4799" t="s">
        <v>121</v>
      </c>
      <c r="B4799" t="s">
        <v>122</v>
      </c>
      <c r="C4799" t="s">
        <v>127</v>
      </c>
      <c r="D4799" t="s">
        <v>128</v>
      </c>
      <c r="E4799">
        <v>2020</v>
      </c>
      <c r="F4799" s="1">
        <v>3249</v>
      </c>
      <c r="G4799">
        <v>2020</v>
      </c>
      <c r="H4799">
        <f>AVERAGEIFS(Table1[value],Table1[IndicatorCode],Table1[[#This Row],[IndicatorCode]])</f>
        <v>24902.88753799392</v>
      </c>
      <c r="I4799" cm="1">
        <f t="array" ref="I4799">_xlfn.STDEV.P(IF(Table1[IndicatorCode]=Table1[[#This Row],[IndicatorCode]],Table1[value]))</f>
        <v>26324.778297809873</v>
      </c>
      <c r="J4799">
        <f>(Table1[[#This Row],[value]] - Table1[[#This Row],[mean]]) / Table1[[#This Row],[std_dev]]</f>
        <v>-0.82256675794285594</v>
      </c>
      <c r="K4799">
        <f>AVERAGEIF(Table1[CountryCode],Table1[[#This Row],[CountryCode]],Table1[z-score])</f>
        <v>-0.73322176935075789</v>
      </c>
    </row>
    <row r="4800" spans="1:12" hidden="1" x14ac:dyDescent="0.3">
      <c r="A4800" t="s">
        <v>17</v>
      </c>
      <c r="B4800" t="s">
        <v>18</v>
      </c>
      <c r="C4800" t="s">
        <v>127</v>
      </c>
      <c r="D4800" t="s">
        <v>128</v>
      </c>
      <c r="E4800">
        <v>2021</v>
      </c>
      <c r="F4800" s="1">
        <v>5350</v>
      </c>
      <c r="G4800">
        <v>2020</v>
      </c>
      <c r="H4800">
        <f>AVERAGEIFS(Table1[value],Table1[IndicatorCode],Table1[[#This Row],[IndicatorCode]])</f>
        <v>24902.88753799392</v>
      </c>
      <c r="I4800" cm="1">
        <f t="array" ref="I4800">_xlfn.STDEV.P(IF(Table1[IndicatorCode]=Table1[[#This Row],[IndicatorCode]],Table1[value]))</f>
        <v>26324.778297809873</v>
      </c>
      <c r="J4800">
        <f>(Table1[[#This Row],[value]] - Table1[[#This Row],[mean]]) / Table1[[#This Row],[std_dev]]</f>
        <v>-0.74275601932118263</v>
      </c>
      <c r="K4800">
        <f>AVERAGEIF(Table1[CountryCode],Table1[[#This Row],[CountryCode]],Table1[z-score])</f>
        <v>-0.86099801634454787</v>
      </c>
      <c r="L4800" t="e">
        <f>VLOOKUP(Table1[[#This Row],[CountryCode]],[1]!Table1[#All],1,FALSE)</f>
        <v>#REF!</v>
      </c>
    </row>
    <row r="4801" spans="1:12" hidden="1" x14ac:dyDescent="0.3">
      <c r="A4801" t="s">
        <v>17</v>
      </c>
      <c r="B4801" t="s">
        <v>18</v>
      </c>
      <c r="C4801" t="s">
        <v>127</v>
      </c>
      <c r="D4801" t="s">
        <v>128</v>
      </c>
      <c r="E4801">
        <v>2022</v>
      </c>
      <c r="F4801" s="1">
        <v>5600</v>
      </c>
      <c r="G4801">
        <v>1960</v>
      </c>
      <c r="H4801">
        <f>AVERAGEIFS(Table1[value],Table1[IndicatorCode],Table1[[#This Row],[IndicatorCode]])</f>
        <v>24902.88753799392</v>
      </c>
      <c r="I4801" cm="1">
        <f t="array" ref="I4801">_xlfn.STDEV.P(IF(Table1[IndicatorCode]=Table1[[#This Row],[IndicatorCode]],Table1[value]))</f>
        <v>26324.778297809873</v>
      </c>
      <c r="J4801">
        <f>(Table1[[#This Row],[value]] - Table1[[#This Row],[mean]]) / Table1[[#This Row],[std_dev]]</f>
        <v>-0.73325926317867041</v>
      </c>
      <c r="K4801">
        <f>AVERAGEIF(Table1[CountryCode],Table1[[#This Row],[CountryCode]],Table1[z-score])</f>
        <v>-0.86099801634454787</v>
      </c>
      <c r="L4801" t="e">
        <f>VLOOKUP(Table1[[#This Row],[CountryCode]],[1]!Table1[#All],1,FALSE)</f>
        <v>#REF!</v>
      </c>
    </row>
    <row r="4802" spans="1:12" hidden="1" x14ac:dyDescent="0.3">
      <c r="A4802" t="s">
        <v>17</v>
      </c>
      <c r="B4802" t="s">
        <v>18</v>
      </c>
      <c r="C4802" t="s">
        <v>127</v>
      </c>
      <c r="D4802" t="s">
        <v>128</v>
      </c>
      <c r="E4802">
        <v>2023</v>
      </c>
      <c r="F4802" s="1">
        <v>5669</v>
      </c>
      <c r="G4802">
        <v>1960</v>
      </c>
      <c r="H4802">
        <f>AVERAGEIFS(Table1[value],Table1[IndicatorCode],Table1[[#This Row],[IndicatorCode]])</f>
        <v>24902.88753799392</v>
      </c>
      <c r="I4802" cm="1">
        <f t="array" ref="I4802">_xlfn.STDEV.P(IF(Table1[IndicatorCode]=Table1[[#This Row],[IndicatorCode]],Table1[value]))</f>
        <v>26324.778297809873</v>
      </c>
      <c r="J4802">
        <f>(Table1[[#This Row],[value]] - Table1[[#This Row],[mean]]) / Table1[[#This Row],[std_dev]]</f>
        <v>-0.73063815848333702</v>
      </c>
      <c r="K4802">
        <f>AVERAGEIF(Table1[CountryCode],Table1[[#This Row],[CountryCode]],Table1[z-score])</f>
        <v>-0.86099801634454787</v>
      </c>
      <c r="L4802" t="e">
        <f>VLOOKUP(Table1[[#This Row],[CountryCode]],[1]!Table1[#All],1,FALSE)</f>
        <v>#REF!</v>
      </c>
    </row>
    <row r="4803" spans="1:12" hidden="1" x14ac:dyDescent="0.3">
      <c r="A4803" t="s">
        <v>17</v>
      </c>
      <c r="B4803" t="s">
        <v>18</v>
      </c>
      <c r="C4803" t="s">
        <v>127</v>
      </c>
      <c r="D4803" t="s">
        <v>128</v>
      </c>
      <c r="E4803">
        <v>2024</v>
      </c>
      <c r="F4803" s="1">
        <v>5871</v>
      </c>
      <c r="G4803">
        <v>1960</v>
      </c>
      <c r="H4803">
        <f>AVERAGEIFS(Table1[value],Table1[IndicatorCode],Table1[[#This Row],[IndicatorCode]])</f>
        <v>24902.88753799392</v>
      </c>
      <c r="I4803" cm="1">
        <f t="array" ref="I4803">_xlfn.STDEV.P(IF(Table1[IndicatorCode]=Table1[[#This Row],[IndicatorCode]],Table1[value]))</f>
        <v>26324.778297809873</v>
      </c>
      <c r="J4803">
        <f>(Table1[[#This Row],[value]] - Table1[[#This Row],[mean]]) / Table1[[#This Row],[std_dev]]</f>
        <v>-0.72296477952018701</v>
      </c>
      <c r="K4803">
        <f>AVERAGEIF(Table1[CountryCode],Table1[[#This Row],[CountryCode]],Table1[z-score])</f>
        <v>-0.86099801634454787</v>
      </c>
      <c r="L4803" t="e">
        <f>VLOOKUP(Table1[[#This Row],[CountryCode]],[1]!Table1[#All],1,FALSE)</f>
        <v>#REF!</v>
      </c>
    </row>
    <row r="4804" spans="1:12" hidden="1" x14ac:dyDescent="0.3">
      <c r="A4804" t="s">
        <v>19</v>
      </c>
      <c r="B4804" t="s">
        <v>20</v>
      </c>
      <c r="C4804" t="s">
        <v>127</v>
      </c>
      <c r="D4804" t="s">
        <v>128</v>
      </c>
      <c r="E4804">
        <v>1960</v>
      </c>
      <c r="F4804" s="1">
        <v>11716</v>
      </c>
      <c r="G4804">
        <v>1960</v>
      </c>
      <c r="H4804">
        <f>AVERAGEIFS(Table1[value],Table1[IndicatorCode],Table1[[#This Row],[IndicatorCode]])</f>
        <v>24902.88753799392</v>
      </c>
      <c r="I4804" cm="1">
        <f t="array" ref="I4804">_xlfn.STDEV.P(IF(Table1[IndicatorCode]=Table1[[#This Row],[IndicatorCode]],Table1[value]))</f>
        <v>26324.778297809873</v>
      </c>
      <c r="J4804">
        <f>(Table1[[#This Row],[value]] - Table1[[#This Row],[mean]]) / Table1[[#This Row],[std_dev]]</f>
        <v>-0.5009306209082498</v>
      </c>
      <c r="K4804">
        <f>AVERAGEIF(Table1[CountryCode],Table1[[#This Row],[CountryCode]],Table1[z-score])</f>
        <v>0.41927804487804637</v>
      </c>
      <c r="L4804" t="e">
        <f>VLOOKUP(Table1[[#This Row],[CountryCode]],[1]!Table1[#All],1,FALSE)</f>
        <v>#REF!</v>
      </c>
    </row>
    <row r="4805" spans="1:12" hidden="1" x14ac:dyDescent="0.3">
      <c r="A4805" t="s">
        <v>19</v>
      </c>
      <c r="B4805" t="s">
        <v>20</v>
      </c>
      <c r="C4805" t="s">
        <v>127</v>
      </c>
      <c r="D4805" t="s">
        <v>128</v>
      </c>
      <c r="E4805">
        <v>1961</v>
      </c>
      <c r="F4805" s="1">
        <v>12258</v>
      </c>
      <c r="G4805">
        <v>1960</v>
      </c>
      <c r="H4805">
        <f>AVERAGEIFS(Table1[value],Table1[IndicatorCode],Table1[[#This Row],[IndicatorCode]])</f>
        <v>24902.88753799392</v>
      </c>
      <c r="I4805" cm="1">
        <f t="array" ref="I4805">_xlfn.STDEV.P(IF(Table1[IndicatorCode]=Table1[[#This Row],[IndicatorCode]],Table1[value]))</f>
        <v>26324.778297809873</v>
      </c>
      <c r="J4805">
        <f>(Table1[[#This Row],[value]] - Table1[[#This Row],[mean]]) / Table1[[#This Row],[std_dev]]</f>
        <v>-0.48034165359128322</v>
      </c>
      <c r="K4805">
        <f>AVERAGEIF(Table1[CountryCode],Table1[[#This Row],[CountryCode]],Table1[z-score])</f>
        <v>0.41927804487804637</v>
      </c>
      <c r="L4805" t="e">
        <f>VLOOKUP(Table1[[#This Row],[CountryCode]],[1]!Table1[#All],1,FALSE)</f>
        <v>#REF!</v>
      </c>
    </row>
    <row r="4806" spans="1:12" hidden="1" x14ac:dyDescent="0.3">
      <c r="A4806" t="s">
        <v>19</v>
      </c>
      <c r="B4806" t="s">
        <v>20</v>
      </c>
      <c r="C4806" t="s">
        <v>127</v>
      </c>
      <c r="D4806" t="s">
        <v>128</v>
      </c>
      <c r="E4806">
        <v>1962</v>
      </c>
      <c r="F4806" s="1">
        <v>12846</v>
      </c>
      <c r="G4806">
        <v>1960</v>
      </c>
      <c r="H4806">
        <f>AVERAGEIFS(Table1[value],Table1[IndicatorCode],Table1[[#This Row],[IndicatorCode]])</f>
        <v>24902.88753799392</v>
      </c>
      <c r="I4806" cm="1">
        <f t="array" ref="I4806">_xlfn.STDEV.P(IF(Table1[IndicatorCode]=Table1[[#This Row],[IndicatorCode]],Table1[value]))</f>
        <v>26324.778297809873</v>
      </c>
      <c r="J4806">
        <f>(Table1[[#This Row],[value]] - Table1[[#This Row],[mean]]) / Table1[[#This Row],[std_dev]]</f>
        <v>-0.45800528314409433</v>
      </c>
      <c r="K4806">
        <f>AVERAGEIF(Table1[CountryCode],Table1[[#This Row],[CountryCode]],Table1[z-score])</f>
        <v>0.41927804487804637</v>
      </c>
      <c r="L4806" t="e">
        <f>VLOOKUP(Table1[[#This Row],[CountryCode]],[1]!Table1[#All],1,FALSE)</f>
        <v>#REF!</v>
      </c>
    </row>
    <row r="4807" spans="1:12" hidden="1" x14ac:dyDescent="0.3">
      <c r="A4807" t="s">
        <v>19</v>
      </c>
      <c r="B4807" t="s">
        <v>20</v>
      </c>
      <c r="C4807" t="s">
        <v>127</v>
      </c>
      <c r="D4807" t="s">
        <v>128</v>
      </c>
      <c r="E4807">
        <v>1963</v>
      </c>
      <c r="F4807" s="1">
        <v>13305</v>
      </c>
      <c r="G4807">
        <v>1960</v>
      </c>
      <c r="H4807">
        <f>AVERAGEIFS(Table1[value],Table1[IndicatorCode],Table1[[#This Row],[IndicatorCode]])</f>
        <v>24902.88753799392</v>
      </c>
      <c r="I4807" cm="1">
        <f t="array" ref="I4807">_xlfn.STDEV.P(IF(Table1[IndicatorCode]=Table1[[#This Row],[IndicatorCode]],Table1[value]))</f>
        <v>26324.778297809873</v>
      </c>
      <c r="J4807">
        <f>(Table1[[#This Row],[value]] - Table1[[#This Row],[mean]]) / Table1[[#This Row],[std_dev]]</f>
        <v>-0.44056923886644178</v>
      </c>
      <c r="K4807">
        <f>AVERAGEIF(Table1[CountryCode],Table1[[#This Row],[CountryCode]],Table1[z-score])</f>
        <v>0.41927804487804637</v>
      </c>
      <c r="L4807" t="e">
        <f>VLOOKUP(Table1[[#This Row],[CountryCode]],[1]!Table1[#All],1,FALSE)</f>
        <v>#REF!</v>
      </c>
    </row>
    <row r="4808" spans="1:12" hidden="1" x14ac:dyDescent="0.3">
      <c r="A4808" t="s">
        <v>19</v>
      </c>
      <c r="B4808" t="s">
        <v>20</v>
      </c>
      <c r="C4808" t="s">
        <v>127</v>
      </c>
      <c r="D4808" t="s">
        <v>128</v>
      </c>
      <c r="E4808">
        <v>1964</v>
      </c>
      <c r="F4808" s="1">
        <v>14097</v>
      </c>
      <c r="G4808">
        <v>1960</v>
      </c>
      <c r="H4808">
        <f>AVERAGEIFS(Table1[value],Table1[IndicatorCode],Table1[[#This Row],[IndicatorCode]])</f>
        <v>24902.88753799392</v>
      </c>
      <c r="I4808" cm="1">
        <f t="array" ref="I4808">_xlfn.STDEV.P(IF(Table1[IndicatorCode]=Table1[[#This Row],[IndicatorCode]],Table1[value]))</f>
        <v>26324.778297809873</v>
      </c>
      <c r="J4808">
        <f>(Table1[[#This Row],[value]] - Table1[[#This Row],[mean]]) / Table1[[#This Row],[std_dev]]</f>
        <v>-0.41048351540696282</v>
      </c>
      <c r="K4808">
        <f>AVERAGEIF(Table1[CountryCode],Table1[[#This Row],[CountryCode]],Table1[z-score])</f>
        <v>0.41927804487804637</v>
      </c>
      <c r="L4808" t="e">
        <f>VLOOKUP(Table1[[#This Row],[CountryCode]],[1]!Table1[#All],1,FALSE)</f>
        <v>#REF!</v>
      </c>
    </row>
    <row r="4809" spans="1:12" hidden="1" x14ac:dyDescent="0.3">
      <c r="A4809" t="s">
        <v>19</v>
      </c>
      <c r="B4809" t="s">
        <v>20</v>
      </c>
      <c r="C4809" t="s">
        <v>127</v>
      </c>
      <c r="D4809" t="s">
        <v>128</v>
      </c>
      <c r="E4809">
        <v>1965</v>
      </c>
      <c r="F4809" s="1">
        <v>14467</v>
      </c>
      <c r="G4809">
        <v>1960</v>
      </c>
      <c r="H4809">
        <f>AVERAGEIFS(Table1[value],Table1[IndicatorCode],Table1[[#This Row],[IndicatorCode]])</f>
        <v>24902.88753799392</v>
      </c>
      <c r="I4809" cm="1">
        <f t="array" ref="I4809">_xlfn.STDEV.P(IF(Table1[IndicatorCode]=Table1[[#This Row],[IndicatorCode]],Table1[value]))</f>
        <v>26324.778297809873</v>
      </c>
      <c r="J4809">
        <f>(Table1[[#This Row],[value]] - Table1[[#This Row],[mean]]) / Table1[[#This Row],[std_dev]]</f>
        <v>-0.39642831631604464</v>
      </c>
      <c r="K4809">
        <f>AVERAGEIF(Table1[CountryCode],Table1[[#This Row],[CountryCode]],Table1[z-score])</f>
        <v>0.41927804487804637</v>
      </c>
      <c r="L4809" t="e">
        <f>VLOOKUP(Table1[[#This Row],[CountryCode]],[1]!Table1[#All],1,FALSE)</f>
        <v>#REF!</v>
      </c>
    </row>
    <row r="4810" spans="1:12" hidden="1" x14ac:dyDescent="0.3">
      <c r="A4810" t="s">
        <v>19</v>
      </c>
      <c r="B4810" t="s">
        <v>20</v>
      </c>
      <c r="C4810" t="s">
        <v>127</v>
      </c>
      <c r="D4810" t="s">
        <v>128</v>
      </c>
      <c r="E4810">
        <v>1966</v>
      </c>
      <c r="F4810" s="1">
        <v>14823</v>
      </c>
      <c r="G4810">
        <v>1960</v>
      </c>
      <c r="H4810">
        <f>AVERAGEIFS(Table1[value],Table1[IndicatorCode],Table1[[#This Row],[IndicatorCode]])</f>
        <v>24902.88753799392</v>
      </c>
      <c r="I4810" cm="1">
        <f t="array" ref="I4810">_xlfn.STDEV.P(IF(Table1[IndicatorCode]=Table1[[#This Row],[IndicatorCode]],Table1[value]))</f>
        <v>26324.778297809873</v>
      </c>
      <c r="J4810">
        <f>(Table1[[#This Row],[value]] - Table1[[#This Row],[mean]]) / Table1[[#This Row],[std_dev]]</f>
        <v>-0.38290493556910715</v>
      </c>
      <c r="K4810">
        <f>AVERAGEIF(Table1[CountryCode],Table1[[#This Row],[CountryCode]],Table1[z-score])</f>
        <v>0.41927804487804637</v>
      </c>
      <c r="L4810" t="e">
        <f>VLOOKUP(Table1[[#This Row],[CountryCode]],[1]!Table1[#All],1,FALSE)</f>
        <v>#REF!</v>
      </c>
    </row>
    <row r="4811" spans="1:12" hidden="1" x14ac:dyDescent="0.3">
      <c r="A4811" t="s">
        <v>19</v>
      </c>
      <c r="B4811" t="s">
        <v>20</v>
      </c>
      <c r="C4811" t="s">
        <v>127</v>
      </c>
      <c r="D4811" t="s">
        <v>128</v>
      </c>
      <c r="E4811">
        <v>1967</v>
      </c>
      <c r="F4811" s="1">
        <v>15311</v>
      </c>
      <c r="G4811">
        <v>1970</v>
      </c>
      <c r="H4811">
        <f>AVERAGEIFS(Table1[value],Table1[IndicatorCode],Table1[[#This Row],[IndicatorCode]])</f>
        <v>24902.88753799392</v>
      </c>
      <c r="I4811" cm="1">
        <f t="array" ref="I4811">_xlfn.STDEV.P(IF(Table1[IndicatorCode]=Table1[[#This Row],[IndicatorCode]],Table1[value]))</f>
        <v>26324.778297809873</v>
      </c>
      <c r="J4811">
        <f>(Table1[[#This Row],[value]] - Table1[[#This Row],[mean]]) / Table1[[#This Row],[std_dev]]</f>
        <v>-0.36436726757892318</v>
      </c>
      <c r="K4811">
        <f>AVERAGEIF(Table1[CountryCode],Table1[[#This Row],[CountryCode]],Table1[z-score])</f>
        <v>0.41927804487804637</v>
      </c>
      <c r="L4811" t="e">
        <f>VLOOKUP(Table1[[#This Row],[CountryCode]],[1]!Table1[#All],1,FALSE)</f>
        <v>#REF!</v>
      </c>
    </row>
    <row r="4812" spans="1:12" hidden="1" x14ac:dyDescent="0.3">
      <c r="A4812" t="s">
        <v>19</v>
      </c>
      <c r="B4812" t="s">
        <v>20</v>
      </c>
      <c r="C4812" t="s">
        <v>127</v>
      </c>
      <c r="D4812" t="s">
        <v>128</v>
      </c>
      <c r="E4812">
        <v>1968</v>
      </c>
      <c r="F4812" s="1">
        <v>15890</v>
      </c>
      <c r="G4812">
        <v>1970</v>
      </c>
      <c r="H4812">
        <f>AVERAGEIFS(Table1[value],Table1[IndicatorCode],Table1[[#This Row],[IndicatorCode]])</f>
        <v>24902.88753799392</v>
      </c>
      <c r="I4812" cm="1">
        <f t="array" ref="I4812">_xlfn.STDEV.P(IF(Table1[IndicatorCode]=Table1[[#This Row],[IndicatorCode]],Table1[value]))</f>
        <v>26324.778297809873</v>
      </c>
      <c r="J4812">
        <f>(Table1[[#This Row],[value]] - Table1[[#This Row],[mean]]) / Table1[[#This Row],[std_dev]]</f>
        <v>-0.34237278035286473</v>
      </c>
      <c r="K4812">
        <f>AVERAGEIF(Table1[CountryCode],Table1[[#This Row],[CountryCode]],Table1[z-score])</f>
        <v>0.41927804487804637</v>
      </c>
      <c r="L4812" t="e">
        <f>VLOOKUP(Table1[[#This Row],[CountryCode]],[1]!Table1[#All],1,FALSE)</f>
        <v>#REF!</v>
      </c>
    </row>
    <row r="4813" spans="1:12" hidden="1" x14ac:dyDescent="0.3">
      <c r="A4813" t="s">
        <v>19</v>
      </c>
      <c r="B4813" t="s">
        <v>20</v>
      </c>
      <c r="C4813" t="s">
        <v>127</v>
      </c>
      <c r="D4813" t="s">
        <v>128</v>
      </c>
      <c r="E4813">
        <v>1969</v>
      </c>
      <c r="F4813" s="1">
        <v>16896</v>
      </c>
      <c r="G4813">
        <v>1970</v>
      </c>
      <c r="H4813">
        <f>AVERAGEIFS(Table1[value],Table1[IndicatorCode],Table1[[#This Row],[IndicatorCode]])</f>
        <v>24902.88753799392</v>
      </c>
      <c r="I4813" cm="1">
        <f t="array" ref="I4813">_xlfn.STDEV.P(IF(Table1[IndicatorCode]=Table1[[#This Row],[IndicatorCode]],Table1[value]))</f>
        <v>26324.778297809873</v>
      </c>
      <c r="J4813">
        <f>(Table1[[#This Row],[value]] - Table1[[#This Row],[mean]]) / Table1[[#This Row],[std_dev]]</f>
        <v>-0.30415783363539528</v>
      </c>
      <c r="K4813">
        <f>AVERAGEIF(Table1[CountryCode],Table1[[#This Row],[CountryCode]],Table1[z-score])</f>
        <v>0.41927804487804637</v>
      </c>
      <c r="L4813" t="e">
        <f>VLOOKUP(Table1[[#This Row],[CountryCode]],[1]!Table1[#All],1,FALSE)</f>
        <v>#REF!</v>
      </c>
    </row>
    <row r="4814" spans="1:12" hidden="1" x14ac:dyDescent="0.3">
      <c r="A4814" t="s">
        <v>19</v>
      </c>
      <c r="B4814" t="s">
        <v>20</v>
      </c>
      <c r="C4814" t="s">
        <v>127</v>
      </c>
      <c r="D4814" t="s">
        <v>128</v>
      </c>
      <c r="E4814">
        <v>1970</v>
      </c>
      <c r="F4814" s="1">
        <v>17951</v>
      </c>
      <c r="G4814">
        <v>1970</v>
      </c>
      <c r="H4814">
        <f>AVERAGEIFS(Table1[value],Table1[IndicatorCode],Table1[[#This Row],[IndicatorCode]])</f>
        <v>24902.88753799392</v>
      </c>
      <c r="I4814" cm="1">
        <f t="array" ref="I4814">_xlfn.STDEV.P(IF(Table1[IndicatorCode]=Table1[[#This Row],[IndicatorCode]],Table1[value]))</f>
        <v>26324.778297809873</v>
      </c>
      <c r="J4814">
        <f>(Table1[[#This Row],[value]] - Table1[[#This Row],[mean]]) / Table1[[#This Row],[std_dev]]</f>
        <v>-0.26408152271399343</v>
      </c>
      <c r="K4814">
        <f>AVERAGEIF(Table1[CountryCode],Table1[[#This Row],[CountryCode]],Table1[z-score])</f>
        <v>0.41927804487804637</v>
      </c>
      <c r="L4814" t="e">
        <f>VLOOKUP(Table1[[#This Row],[CountryCode]],[1]!Table1[#All],1,FALSE)</f>
        <v>#REF!</v>
      </c>
    </row>
    <row r="4815" spans="1:12" hidden="1" x14ac:dyDescent="0.3">
      <c r="A4815" t="s">
        <v>19</v>
      </c>
      <c r="B4815" t="s">
        <v>20</v>
      </c>
      <c r="C4815" t="s">
        <v>127</v>
      </c>
      <c r="D4815" t="s">
        <v>128</v>
      </c>
      <c r="E4815">
        <v>1971</v>
      </c>
      <c r="F4815" s="1">
        <v>18633</v>
      </c>
      <c r="G4815">
        <v>1970</v>
      </c>
      <c r="H4815">
        <f>AVERAGEIFS(Table1[value],Table1[IndicatorCode],Table1[[#This Row],[IndicatorCode]])</f>
        <v>24902.88753799392</v>
      </c>
      <c r="I4815" cm="1">
        <f t="array" ref="I4815">_xlfn.STDEV.P(IF(Table1[IndicatorCode]=Table1[[#This Row],[IndicatorCode]],Table1[value]))</f>
        <v>26324.778297809873</v>
      </c>
      <c r="J4815">
        <f>(Table1[[#This Row],[value]] - Table1[[#This Row],[mean]]) / Table1[[#This Row],[std_dev]]</f>
        <v>-0.23817437195721994</v>
      </c>
      <c r="K4815">
        <f>AVERAGEIF(Table1[CountryCode],Table1[[#This Row],[CountryCode]],Table1[z-score])</f>
        <v>0.41927804487804637</v>
      </c>
      <c r="L4815" t="e">
        <f>VLOOKUP(Table1[[#This Row],[CountryCode]],[1]!Table1[#All],1,FALSE)</f>
        <v>#REF!</v>
      </c>
    </row>
    <row r="4816" spans="1:12" hidden="1" x14ac:dyDescent="0.3">
      <c r="A4816" t="s">
        <v>19</v>
      </c>
      <c r="B4816" t="s">
        <v>20</v>
      </c>
      <c r="C4816" t="s">
        <v>127</v>
      </c>
      <c r="D4816" t="s">
        <v>128</v>
      </c>
      <c r="E4816">
        <v>1972</v>
      </c>
      <c r="F4816" s="1">
        <v>19543</v>
      </c>
      <c r="G4816">
        <v>1970</v>
      </c>
      <c r="H4816">
        <f>AVERAGEIFS(Table1[value],Table1[IndicatorCode],Table1[[#This Row],[IndicatorCode]])</f>
        <v>24902.88753799392</v>
      </c>
      <c r="I4816" cm="1">
        <f t="array" ref="I4816">_xlfn.STDEV.P(IF(Table1[IndicatorCode]=Table1[[#This Row],[IndicatorCode]],Table1[value]))</f>
        <v>26324.778297809873</v>
      </c>
      <c r="J4816">
        <f>(Table1[[#This Row],[value]] - Table1[[#This Row],[mean]]) / Table1[[#This Row],[std_dev]]</f>
        <v>-0.20360617959847524</v>
      </c>
      <c r="K4816">
        <f>AVERAGEIF(Table1[CountryCode],Table1[[#This Row],[CountryCode]],Table1[z-score])</f>
        <v>0.41927804487804637</v>
      </c>
      <c r="L4816" t="e">
        <f>VLOOKUP(Table1[[#This Row],[CountryCode]],[1]!Table1[#All],1,FALSE)</f>
        <v>#REF!</v>
      </c>
    </row>
    <row r="4817" spans="1:12" hidden="1" x14ac:dyDescent="0.3">
      <c r="A4817" t="s">
        <v>19</v>
      </c>
      <c r="B4817" t="s">
        <v>20</v>
      </c>
      <c r="C4817" t="s">
        <v>127</v>
      </c>
      <c r="D4817" t="s">
        <v>128</v>
      </c>
      <c r="E4817">
        <v>1973</v>
      </c>
      <c r="F4817" s="1">
        <v>20725</v>
      </c>
      <c r="G4817">
        <v>1970</v>
      </c>
      <c r="H4817">
        <f>AVERAGEIFS(Table1[value],Table1[IndicatorCode],Table1[[#This Row],[IndicatorCode]])</f>
        <v>24902.88753799392</v>
      </c>
      <c r="I4817" cm="1">
        <f t="array" ref="I4817">_xlfn.STDEV.P(IF(Table1[IndicatorCode]=Table1[[#This Row],[IndicatorCode]],Table1[value]))</f>
        <v>26324.778297809873</v>
      </c>
      <c r="J4817">
        <f>(Table1[[#This Row],[value]] - Table1[[#This Row],[mean]]) / Table1[[#This Row],[std_dev]]</f>
        <v>-0.15870551655667714</v>
      </c>
      <c r="K4817">
        <f>AVERAGEIF(Table1[CountryCode],Table1[[#This Row],[CountryCode]],Table1[z-score])</f>
        <v>0.41927804487804637</v>
      </c>
      <c r="L4817" t="e">
        <f>VLOOKUP(Table1[[#This Row],[CountryCode]],[1]!Table1[#All],1,FALSE)</f>
        <v>#REF!</v>
      </c>
    </row>
    <row r="4818" spans="1:12" hidden="1" x14ac:dyDescent="0.3">
      <c r="A4818" t="s">
        <v>19</v>
      </c>
      <c r="B4818" t="s">
        <v>20</v>
      </c>
      <c r="C4818" t="s">
        <v>127</v>
      </c>
      <c r="D4818" t="s">
        <v>128</v>
      </c>
      <c r="E4818">
        <v>1974</v>
      </c>
      <c r="F4818" s="1">
        <v>21603</v>
      </c>
      <c r="G4818">
        <v>1970</v>
      </c>
      <c r="H4818">
        <f>AVERAGEIFS(Table1[value],Table1[IndicatorCode],Table1[[#This Row],[IndicatorCode]])</f>
        <v>24902.88753799392</v>
      </c>
      <c r="I4818" cm="1">
        <f t="array" ref="I4818">_xlfn.STDEV.P(IF(Table1[IndicatorCode]=Table1[[#This Row],[IndicatorCode]],Table1[value]))</f>
        <v>26324.778297809873</v>
      </c>
      <c r="J4818">
        <f>(Table1[[#This Row],[value]] - Table1[[#This Row],[mean]]) / Table1[[#This Row],[std_dev]]</f>
        <v>-0.12535290898417401</v>
      </c>
      <c r="K4818">
        <f>AVERAGEIF(Table1[CountryCode],Table1[[#This Row],[CountryCode]],Table1[z-score])</f>
        <v>0.41927804487804637</v>
      </c>
      <c r="L4818" t="e">
        <f>VLOOKUP(Table1[[#This Row],[CountryCode]],[1]!Table1[#All],1,FALSE)</f>
        <v>#REF!</v>
      </c>
    </row>
    <row r="4819" spans="1:12" hidden="1" x14ac:dyDescent="0.3">
      <c r="A4819" t="s">
        <v>19</v>
      </c>
      <c r="B4819" t="s">
        <v>20</v>
      </c>
      <c r="C4819" t="s">
        <v>127</v>
      </c>
      <c r="D4819" t="s">
        <v>128</v>
      </c>
      <c r="E4819">
        <v>1975</v>
      </c>
      <c r="F4819" s="1">
        <v>21117</v>
      </c>
      <c r="G4819">
        <v>1970</v>
      </c>
      <c r="H4819">
        <f>AVERAGEIFS(Table1[value],Table1[IndicatorCode],Table1[[#This Row],[IndicatorCode]])</f>
        <v>24902.88753799392</v>
      </c>
      <c r="I4819" cm="1">
        <f t="array" ref="I4819">_xlfn.STDEV.P(IF(Table1[IndicatorCode]=Table1[[#This Row],[IndicatorCode]],Table1[value]))</f>
        <v>26324.778297809873</v>
      </c>
      <c r="J4819">
        <f>(Table1[[#This Row],[value]] - Table1[[#This Row],[mean]]) / Table1[[#This Row],[std_dev]]</f>
        <v>-0.14381460292521789</v>
      </c>
      <c r="K4819">
        <f>AVERAGEIF(Table1[CountryCode],Table1[[#This Row],[CountryCode]],Table1[z-score])</f>
        <v>0.41927804487804637</v>
      </c>
      <c r="L4819" t="e">
        <f>VLOOKUP(Table1[[#This Row],[CountryCode]],[1]!Table1[#All],1,FALSE)</f>
        <v>#REF!</v>
      </c>
    </row>
    <row r="4820" spans="1:12" hidden="1" x14ac:dyDescent="0.3">
      <c r="A4820" t="s">
        <v>19</v>
      </c>
      <c r="B4820" t="s">
        <v>20</v>
      </c>
      <c r="C4820" t="s">
        <v>127</v>
      </c>
      <c r="D4820" t="s">
        <v>128</v>
      </c>
      <c r="E4820">
        <v>1976</v>
      </c>
      <c r="F4820" s="1">
        <v>22271</v>
      </c>
      <c r="G4820">
        <v>1970</v>
      </c>
      <c r="H4820">
        <f>AVERAGEIFS(Table1[value],Table1[IndicatorCode],Table1[[#This Row],[IndicatorCode]])</f>
        <v>24902.88753799392</v>
      </c>
      <c r="I4820" cm="1">
        <f t="array" ref="I4820">_xlfn.STDEV.P(IF(Table1[IndicatorCode]=Table1[[#This Row],[IndicatorCode]],Table1[value]))</f>
        <v>26324.778297809873</v>
      </c>
      <c r="J4820">
        <f>(Table1[[#This Row],[value]] - Table1[[#This Row],[mean]]) / Table1[[#This Row],[std_dev]]</f>
        <v>-9.9977576571381177E-2</v>
      </c>
      <c r="K4820">
        <f>AVERAGEIF(Table1[CountryCode],Table1[[#This Row],[CountryCode]],Table1[z-score])</f>
        <v>0.41927804487804637</v>
      </c>
      <c r="L4820" t="e">
        <f>VLOOKUP(Table1[[#This Row],[CountryCode]],[1]!Table1[#All],1,FALSE)</f>
        <v>#REF!</v>
      </c>
    </row>
    <row r="4821" spans="1:12" hidden="1" x14ac:dyDescent="0.3">
      <c r="A4821" t="s">
        <v>19</v>
      </c>
      <c r="B4821" t="s">
        <v>20</v>
      </c>
      <c r="C4821" t="s">
        <v>127</v>
      </c>
      <c r="D4821" t="s">
        <v>128</v>
      </c>
      <c r="E4821">
        <v>1977</v>
      </c>
      <c r="F4821" s="1">
        <v>22383</v>
      </c>
      <c r="G4821">
        <v>1980</v>
      </c>
      <c r="H4821">
        <f>AVERAGEIFS(Table1[value],Table1[IndicatorCode],Table1[[#This Row],[IndicatorCode]])</f>
        <v>24902.88753799392</v>
      </c>
      <c r="I4821" cm="1">
        <f t="array" ref="I4821">_xlfn.STDEV.P(IF(Table1[IndicatorCode]=Table1[[#This Row],[IndicatorCode]],Table1[value]))</f>
        <v>26324.778297809873</v>
      </c>
      <c r="J4821">
        <f>(Table1[[#This Row],[value]] - Table1[[#This Row],[mean]]) / Table1[[#This Row],[std_dev]]</f>
        <v>-9.5723029819535677E-2</v>
      </c>
      <c r="K4821">
        <f>AVERAGEIF(Table1[CountryCode],Table1[[#This Row],[CountryCode]],Table1[z-score])</f>
        <v>0.41927804487804637</v>
      </c>
      <c r="L4821" t="e">
        <f>VLOOKUP(Table1[[#This Row],[CountryCode]],[1]!Table1[#All],1,FALSE)</f>
        <v>#REF!</v>
      </c>
    </row>
    <row r="4822" spans="1:12" hidden="1" x14ac:dyDescent="0.3">
      <c r="A4822" t="s">
        <v>19</v>
      </c>
      <c r="B4822" t="s">
        <v>20</v>
      </c>
      <c r="C4822" t="s">
        <v>127</v>
      </c>
      <c r="D4822" t="s">
        <v>128</v>
      </c>
      <c r="E4822">
        <v>1978</v>
      </c>
      <c r="F4822" s="1">
        <v>22997</v>
      </c>
      <c r="G4822">
        <v>1980</v>
      </c>
      <c r="H4822">
        <f>AVERAGEIFS(Table1[value],Table1[IndicatorCode],Table1[[#This Row],[IndicatorCode]])</f>
        <v>24902.88753799392</v>
      </c>
      <c r="I4822" cm="1">
        <f t="array" ref="I4822">_xlfn.STDEV.P(IF(Table1[IndicatorCode]=Table1[[#This Row],[IndicatorCode]],Table1[value]))</f>
        <v>26324.778297809873</v>
      </c>
      <c r="J4822">
        <f>(Table1[[#This Row],[value]] - Table1[[#This Row],[mean]]) / Table1[[#This Row],[std_dev]]</f>
        <v>-7.2398996733525497E-2</v>
      </c>
      <c r="K4822">
        <f>AVERAGEIF(Table1[CountryCode],Table1[[#This Row],[CountryCode]],Table1[z-score])</f>
        <v>0.41927804487804637</v>
      </c>
      <c r="L4822" t="e">
        <f>VLOOKUP(Table1[[#This Row],[CountryCode]],[1]!Table1[#All],1,FALSE)</f>
        <v>#REF!</v>
      </c>
    </row>
    <row r="4823" spans="1:12" hidden="1" x14ac:dyDescent="0.3">
      <c r="A4823" t="s">
        <v>19</v>
      </c>
      <c r="B4823" t="s">
        <v>20</v>
      </c>
      <c r="C4823" t="s">
        <v>127</v>
      </c>
      <c r="D4823" t="s">
        <v>128</v>
      </c>
      <c r="E4823">
        <v>1979</v>
      </c>
      <c r="F4823" s="1">
        <v>23515</v>
      </c>
      <c r="G4823">
        <v>1980</v>
      </c>
      <c r="H4823">
        <f>AVERAGEIFS(Table1[value],Table1[IndicatorCode],Table1[[#This Row],[IndicatorCode]])</f>
        <v>24902.88753799392</v>
      </c>
      <c r="I4823" cm="1">
        <f t="array" ref="I4823">_xlfn.STDEV.P(IF(Table1[IndicatorCode]=Table1[[#This Row],[IndicatorCode]],Table1[value]))</f>
        <v>26324.778297809873</v>
      </c>
      <c r="J4823">
        <f>(Table1[[#This Row],[value]] - Table1[[#This Row],[mean]]) / Table1[[#This Row],[std_dev]]</f>
        <v>-5.2721718006240044E-2</v>
      </c>
      <c r="K4823">
        <f>AVERAGEIF(Table1[CountryCode],Table1[[#This Row],[CountryCode]],Table1[z-score])</f>
        <v>0.41927804487804637</v>
      </c>
      <c r="L4823" t="e">
        <f>VLOOKUP(Table1[[#This Row],[CountryCode]],[1]!Table1[#All],1,FALSE)</f>
        <v>#REF!</v>
      </c>
    </row>
    <row r="4824" spans="1:12" hidden="1" x14ac:dyDescent="0.3">
      <c r="A4824" t="s">
        <v>19</v>
      </c>
      <c r="B4824" t="s">
        <v>20</v>
      </c>
      <c r="C4824" t="s">
        <v>127</v>
      </c>
      <c r="D4824" t="s">
        <v>128</v>
      </c>
      <c r="E4824">
        <v>1980</v>
      </c>
      <c r="F4824" s="1">
        <v>24532</v>
      </c>
      <c r="G4824">
        <v>1980</v>
      </c>
      <c r="H4824">
        <f>AVERAGEIFS(Table1[value],Table1[IndicatorCode],Table1[[#This Row],[IndicatorCode]])</f>
        <v>24902.88753799392</v>
      </c>
      <c r="I4824" cm="1">
        <f t="array" ref="I4824">_xlfn.STDEV.P(IF(Table1[IndicatorCode]=Table1[[#This Row],[IndicatorCode]],Table1[value]))</f>
        <v>26324.778297809873</v>
      </c>
      <c r="J4824">
        <f>(Table1[[#This Row],[value]] - Table1[[#This Row],[mean]]) / Table1[[#This Row],[std_dev]]</f>
        <v>-1.4088914018500072E-2</v>
      </c>
      <c r="K4824">
        <f>AVERAGEIF(Table1[CountryCode],Table1[[#This Row],[CountryCode]],Table1[z-score])</f>
        <v>0.41927804487804637</v>
      </c>
      <c r="L4824" t="e">
        <f>VLOOKUP(Table1[[#This Row],[CountryCode]],[1]!Table1[#All],1,FALSE)</f>
        <v>#REF!</v>
      </c>
    </row>
    <row r="4825" spans="1:12" hidden="1" x14ac:dyDescent="0.3">
      <c r="A4825" t="s">
        <v>19</v>
      </c>
      <c r="B4825" t="s">
        <v>20</v>
      </c>
      <c r="C4825" t="s">
        <v>127</v>
      </c>
      <c r="D4825" t="s">
        <v>128</v>
      </c>
      <c r="E4825">
        <v>1981</v>
      </c>
      <c r="F4825" s="1">
        <v>24465</v>
      </c>
      <c r="G4825">
        <v>1980</v>
      </c>
      <c r="H4825">
        <f>AVERAGEIFS(Table1[value],Table1[IndicatorCode],Table1[[#This Row],[IndicatorCode]])</f>
        <v>24902.88753799392</v>
      </c>
      <c r="I4825" cm="1">
        <f t="array" ref="I4825">_xlfn.STDEV.P(IF(Table1[IndicatorCode]=Table1[[#This Row],[IndicatorCode]],Table1[value]))</f>
        <v>26324.778297809873</v>
      </c>
      <c r="J4825">
        <f>(Table1[[#This Row],[value]] - Table1[[#This Row],[mean]]) / Table1[[#This Row],[std_dev]]</f>
        <v>-1.6634044664693363E-2</v>
      </c>
      <c r="K4825">
        <f>AVERAGEIF(Table1[CountryCode],Table1[[#This Row],[CountryCode]],Table1[z-score])</f>
        <v>0.41927804487804637</v>
      </c>
      <c r="L4825" t="e">
        <f>VLOOKUP(Table1[[#This Row],[CountryCode]],[1]!Table1[#All],1,FALSE)</f>
        <v>#REF!</v>
      </c>
    </row>
    <row r="4826" spans="1:12" hidden="1" x14ac:dyDescent="0.3">
      <c r="A4826" t="s">
        <v>19</v>
      </c>
      <c r="B4826" t="s">
        <v>20</v>
      </c>
      <c r="C4826" t="s">
        <v>127</v>
      </c>
      <c r="D4826" t="s">
        <v>128</v>
      </c>
      <c r="E4826">
        <v>1982</v>
      </c>
      <c r="F4826" s="1">
        <v>24617</v>
      </c>
      <c r="G4826">
        <v>1980</v>
      </c>
      <c r="H4826">
        <f>AVERAGEIFS(Table1[value],Table1[IndicatorCode],Table1[[#This Row],[IndicatorCode]])</f>
        <v>24902.88753799392</v>
      </c>
      <c r="I4826" cm="1">
        <f t="array" ref="I4826">_xlfn.STDEV.P(IF(Table1[IndicatorCode]=Table1[[#This Row],[IndicatorCode]],Table1[value]))</f>
        <v>26324.778297809873</v>
      </c>
      <c r="J4826">
        <f>(Table1[[#This Row],[value]] - Table1[[#This Row],[mean]]) / Table1[[#This Row],[std_dev]]</f>
        <v>-1.0860016930045895E-2</v>
      </c>
      <c r="K4826">
        <f>AVERAGEIF(Table1[CountryCode],Table1[[#This Row],[CountryCode]],Table1[z-score])</f>
        <v>0.41927804487804637</v>
      </c>
      <c r="L4826" t="e">
        <f>VLOOKUP(Table1[[#This Row],[CountryCode]],[1]!Table1[#All],1,FALSE)</f>
        <v>#REF!</v>
      </c>
    </row>
    <row r="4827" spans="1:12" hidden="1" x14ac:dyDescent="0.3">
      <c r="A4827" t="s">
        <v>19</v>
      </c>
      <c r="B4827" t="s">
        <v>20</v>
      </c>
      <c r="C4827" t="s">
        <v>127</v>
      </c>
      <c r="D4827" t="s">
        <v>128</v>
      </c>
      <c r="E4827">
        <v>1983</v>
      </c>
      <c r="F4827" s="1">
        <v>24696</v>
      </c>
      <c r="G4827">
        <v>1980</v>
      </c>
      <c r="H4827">
        <f>AVERAGEIFS(Table1[value],Table1[IndicatorCode],Table1[[#This Row],[IndicatorCode]])</f>
        <v>24902.88753799392</v>
      </c>
      <c r="I4827" cm="1">
        <f t="array" ref="I4827">_xlfn.STDEV.P(IF(Table1[IndicatorCode]=Table1[[#This Row],[IndicatorCode]],Table1[value]))</f>
        <v>26324.778297809873</v>
      </c>
      <c r="J4827">
        <f>(Table1[[#This Row],[value]] - Table1[[#This Row],[mean]]) / Table1[[#This Row],[std_dev]]</f>
        <v>-7.8590419890120135E-3</v>
      </c>
      <c r="K4827">
        <f>AVERAGEIF(Table1[CountryCode],Table1[[#This Row],[CountryCode]],Table1[z-score])</f>
        <v>0.41927804487804637</v>
      </c>
      <c r="L4827" t="e">
        <f>VLOOKUP(Table1[[#This Row],[CountryCode]],[1]!Table1[#All],1,FALSE)</f>
        <v>#REF!</v>
      </c>
    </row>
    <row r="4828" spans="1:12" hidden="1" x14ac:dyDescent="0.3">
      <c r="A4828" t="s">
        <v>19</v>
      </c>
      <c r="B4828" t="s">
        <v>20</v>
      </c>
      <c r="C4828" t="s">
        <v>127</v>
      </c>
      <c r="D4828" t="s">
        <v>128</v>
      </c>
      <c r="E4828">
        <v>1984</v>
      </c>
      <c r="F4828" s="1">
        <v>25305</v>
      </c>
      <c r="G4828">
        <v>1980</v>
      </c>
      <c r="H4828">
        <f>AVERAGEIFS(Table1[value],Table1[IndicatorCode],Table1[[#This Row],[IndicatorCode]])</f>
        <v>24902.88753799392</v>
      </c>
      <c r="I4828" cm="1">
        <f t="array" ref="I4828">_xlfn.STDEV.P(IF(Table1[IndicatorCode]=Table1[[#This Row],[IndicatorCode]],Table1[value]))</f>
        <v>26324.778297809873</v>
      </c>
      <c r="J4828">
        <f>(Table1[[#This Row],[value]] - Table1[[#This Row],[mean]]) / Table1[[#This Row],[std_dev]]</f>
        <v>1.5275055974147913E-2</v>
      </c>
      <c r="K4828">
        <f>AVERAGEIF(Table1[CountryCode],Table1[[#This Row],[CountryCode]],Table1[z-score])</f>
        <v>0.41927804487804637</v>
      </c>
      <c r="L4828" t="e">
        <f>VLOOKUP(Table1[[#This Row],[CountryCode]],[1]!Table1[#All],1,FALSE)</f>
        <v>#REF!</v>
      </c>
    </row>
    <row r="4829" spans="1:12" hidden="1" x14ac:dyDescent="0.3">
      <c r="A4829" t="s">
        <v>19</v>
      </c>
      <c r="B4829" t="s">
        <v>20</v>
      </c>
      <c r="C4829" t="s">
        <v>127</v>
      </c>
      <c r="D4829" t="s">
        <v>128</v>
      </c>
      <c r="E4829">
        <v>1985</v>
      </c>
      <c r="F4829" s="1">
        <v>25715</v>
      </c>
      <c r="G4829">
        <v>1980</v>
      </c>
      <c r="H4829">
        <f>AVERAGEIFS(Table1[value],Table1[IndicatorCode],Table1[[#This Row],[IndicatorCode]])</f>
        <v>24902.88753799392</v>
      </c>
      <c r="I4829" cm="1">
        <f t="array" ref="I4829">_xlfn.STDEV.P(IF(Table1[IndicatorCode]=Table1[[#This Row],[IndicatorCode]],Table1[value]))</f>
        <v>26324.778297809873</v>
      </c>
      <c r="J4829">
        <f>(Table1[[#This Row],[value]] - Table1[[#This Row],[mean]]) / Table1[[#This Row],[std_dev]]</f>
        <v>3.0849736047868059E-2</v>
      </c>
      <c r="K4829">
        <f>AVERAGEIF(Table1[CountryCode],Table1[[#This Row],[CountryCode]],Table1[z-score])</f>
        <v>0.41927804487804637</v>
      </c>
      <c r="L4829" t="e">
        <f>VLOOKUP(Table1[[#This Row],[CountryCode]],[1]!Table1[#All],1,FALSE)</f>
        <v>#REF!</v>
      </c>
    </row>
    <row r="4830" spans="1:12" hidden="1" x14ac:dyDescent="0.3">
      <c r="A4830" t="s">
        <v>19</v>
      </c>
      <c r="B4830" t="s">
        <v>20</v>
      </c>
      <c r="C4830" t="s">
        <v>127</v>
      </c>
      <c r="D4830" t="s">
        <v>128</v>
      </c>
      <c r="E4830">
        <v>1986</v>
      </c>
      <c r="F4830" s="1">
        <v>26175</v>
      </c>
      <c r="G4830">
        <v>1980</v>
      </c>
      <c r="H4830">
        <f>AVERAGEIFS(Table1[value],Table1[IndicatorCode],Table1[[#This Row],[IndicatorCode]])</f>
        <v>24902.88753799392</v>
      </c>
      <c r="I4830" cm="1">
        <f t="array" ref="I4830">_xlfn.STDEV.P(IF(Table1[IndicatorCode]=Table1[[#This Row],[IndicatorCode]],Table1[value]))</f>
        <v>26324.778297809873</v>
      </c>
      <c r="J4830">
        <f>(Table1[[#This Row],[value]] - Table1[[#This Row],[mean]]) / Table1[[#This Row],[std_dev]]</f>
        <v>4.8323767350090661E-2</v>
      </c>
      <c r="K4830">
        <f>AVERAGEIF(Table1[CountryCode],Table1[[#This Row],[CountryCode]],Table1[z-score])</f>
        <v>0.41927804487804637</v>
      </c>
      <c r="L4830" t="e">
        <f>VLOOKUP(Table1[[#This Row],[CountryCode]],[1]!Table1[#All],1,FALSE)</f>
        <v>#REF!</v>
      </c>
    </row>
    <row r="4831" spans="1:12" hidden="1" x14ac:dyDescent="0.3">
      <c r="A4831" t="s">
        <v>19</v>
      </c>
      <c r="B4831" t="s">
        <v>20</v>
      </c>
      <c r="C4831" t="s">
        <v>127</v>
      </c>
      <c r="D4831" t="s">
        <v>128</v>
      </c>
      <c r="E4831">
        <v>1987</v>
      </c>
      <c r="F4831" s="1">
        <v>26756</v>
      </c>
      <c r="G4831">
        <v>1990</v>
      </c>
      <c r="H4831">
        <f>AVERAGEIFS(Table1[value],Table1[IndicatorCode],Table1[[#This Row],[IndicatorCode]])</f>
        <v>24902.88753799392</v>
      </c>
      <c r="I4831" cm="1">
        <f t="array" ref="I4831">_xlfn.STDEV.P(IF(Table1[IndicatorCode]=Table1[[#This Row],[IndicatorCode]],Table1[value]))</f>
        <v>26324.778297809873</v>
      </c>
      <c r="J4831">
        <f>(Table1[[#This Row],[value]] - Table1[[#This Row],[mean]]) / Table1[[#This Row],[std_dev]]</f>
        <v>7.0394228625289212E-2</v>
      </c>
      <c r="K4831">
        <f>AVERAGEIF(Table1[CountryCode],Table1[[#This Row],[CountryCode]],Table1[z-score])</f>
        <v>0.41927804487804637</v>
      </c>
      <c r="L4831" t="e">
        <f>VLOOKUP(Table1[[#This Row],[CountryCode]],[1]!Table1[#All],1,FALSE)</f>
        <v>#REF!</v>
      </c>
    </row>
    <row r="4832" spans="1:12" hidden="1" x14ac:dyDescent="0.3">
      <c r="A4832" t="s">
        <v>19</v>
      </c>
      <c r="B4832" t="s">
        <v>20</v>
      </c>
      <c r="C4832" t="s">
        <v>127</v>
      </c>
      <c r="D4832" t="s">
        <v>128</v>
      </c>
      <c r="E4832">
        <v>1988</v>
      </c>
      <c r="F4832" s="1">
        <v>27930</v>
      </c>
      <c r="G4832">
        <v>1990</v>
      </c>
      <c r="H4832">
        <f>AVERAGEIFS(Table1[value],Table1[IndicatorCode],Table1[[#This Row],[IndicatorCode]])</f>
        <v>24902.88753799392</v>
      </c>
      <c r="I4832" cm="1">
        <f t="array" ref="I4832">_xlfn.STDEV.P(IF(Table1[IndicatorCode]=Table1[[#This Row],[IndicatorCode]],Table1[value]))</f>
        <v>26324.778297809873</v>
      </c>
      <c r="J4832">
        <f>(Table1[[#This Row],[value]] - Table1[[#This Row],[mean]]) / Table1[[#This Row],[std_dev]]</f>
        <v>0.11499099547052691</v>
      </c>
      <c r="K4832">
        <f>AVERAGEIF(Table1[CountryCode],Table1[[#This Row],[CountryCode]],Table1[z-score])</f>
        <v>0.41927804487804637</v>
      </c>
      <c r="L4832" t="e">
        <f>VLOOKUP(Table1[[#This Row],[CountryCode]],[1]!Table1[#All],1,FALSE)</f>
        <v>#REF!</v>
      </c>
    </row>
    <row r="4833" spans="1:12" hidden="1" x14ac:dyDescent="0.3">
      <c r="A4833" t="s">
        <v>19</v>
      </c>
      <c r="B4833" t="s">
        <v>20</v>
      </c>
      <c r="C4833" t="s">
        <v>127</v>
      </c>
      <c r="D4833" t="s">
        <v>128</v>
      </c>
      <c r="E4833">
        <v>1989</v>
      </c>
      <c r="F4833" s="1">
        <v>28795</v>
      </c>
      <c r="G4833">
        <v>1990</v>
      </c>
      <c r="H4833">
        <f>AVERAGEIFS(Table1[value],Table1[IndicatorCode],Table1[[#This Row],[IndicatorCode]])</f>
        <v>24902.88753799392</v>
      </c>
      <c r="I4833" cm="1">
        <f t="array" ref="I4833">_xlfn.STDEV.P(IF(Table1[IndicatorCode]=Table1[[#This Row],[IndicatorCode]],Table1[value]))</f>
        <v>26324.778297809873</v>
      </c>
      <c r="J4833">
        <f>(Table1[[#This Row],[value]] - Table1[[#This Row],[mean]]) / Table1[[#This Row],[std_dev]]</f>
        <v>0.14784977172361941</v>
      </c>
      <c r="K4833">
        <f>AVERAGEIF(Table1[CountryCode],Table1[[#This Row],[CountryCode]],Table1[z-score])</f>
        <v>0.41927804487804637</v>
      </c>
      <c r="L4833" t="e">
        <f>VLOOKUP(Table1[[#This Row],[CountryCode]],[1]!Table1[#All],1,FALSE)</f>
        <v>#REF!</v>
      </c>
    </row>
    <row r="4834" spans="1:12" hidden="1" x14ac:dyDescent="0.3">
      <c r="A4834" t="s">
        <v>19</v>
      </c>
      <c r="B4834" t="s">
        <v>20</v>
      </c>
      <c r="C4834" t="s">
        <v>127</v>
      </c>
      <c r="D4834" t="s">
        <v>128</v>
      </c>
      <c r="E4834">
        <v>1990</v>
      </c>
      <c r="F4834" s="1">
        <v>29610</v>
      </c>
      <c r="G4834">
        <v>1990</v>
      </c>
      <c r="H4834">
        <f>AVERAGEIFS(Table1[value],Table1[IndicatorCode],Table1[[#This Row],[IndicatorCode]])</f>
        <v>24902.88753799392</v>
      </c>
      <c r="I4834" cm="1">
        <f t="array" ref="I4834">_xlfn.STDEV.P(IF(Table1[IndicatorCode]=Table1[[#This Row],[IndicatorCode]],Table1[value]))</f>
        <v>26324.778297809873</v>
      </c>
      <c r="J4834">
        <f>(Table1[[#This Row],[value]] - Table1[[#This Row],[mean]]) / Table1[[#This Row],[std_dev]]</f>
        <v>0.17880919674820947</v>
      </c>
      <c r="K4834">
        <f>AVERAGEIF(Table1[CountryCode],Table1[[#This Row],[CountryCode]],Table1[z-score])</f>
        <v>0.41927804487804637</v>
      </c>
      <c r="L4834" t="e">
        <f>VLOOKUP(Table1[[#This Row],[CountryCode]],[1]!Table1[#All],1,FALSE)</f>
        <v>#REF!</v>
      </c>
    </row>
    <row r="4835" spans="1:12" hidden="1" x14ac:dyDescent="0.3">
      <c r="A4835" t="s">
        <v>19</v>
      </c>
      <c r="B4835" t="s">
        <v>20</v>
      </c>
      <c r="C4835" t="s">
        <v>127</v>
      </c>
      <c r="D4835" t="s">
        <v>128</v>
      </c>
      <c r="E4835">
        <v>1991</v>
      </c>
      <c r="F4835" s="1">
        <v>30041</v>
      </c>
      <c r="G4835">
        <v>1990</v>
      </c>
      <c r="H4835">
        <f>AVERAGEIFS(Table1[value],Table1[IndicatorCode],Table1[[#This Row],[IndicatorCode]])</f>
        <v>24902.88753799392</v>
      </c>
      <c r="I4835" cm="1">
        <f t="array" ref="I4835">_xlfn.STDEV.P(IF(Table1[IndicatorCode]=Table1[[#This Row],[IndicatorCode]],Table1[value]))</f>
        <v>26324.778297809873</v>
      </c>
      <c r="J4835">
        <f>(Table1[[#This Row],[value]] - Table1[[#This Row],[mean]]) / Table1[[#This Row],[std_dev]]</f>
        <v>0.19518160433790063</v>
      </c>
      <c r="K4835">
        <f>AVERAGEIF(Table1[CountryCode],Table1[[#This Row],[CountryCode]],Table1[z-score])</f>
        <v>0.41927804487804637</v>
      </c>
      <c r="L4835" t="e">
        <f>VLOOKUP(Table1[[#This Row],[CountryCode]],[1]!Table1[#All],1,FALSE)</f>
        <v>#REF!</v>
      </c>
    </row>
    <row r="4836" spans="1:12" hidden="1" x14ac:dyDescent="0.3">
      <c r="A4836" t="s">
        <v>19</v>
      </c>
      <c r="B4836" t="s">
        <v>20</v>
      </c>
      <c r="C4836" t="s">
        <v>127</v>
      </c>
      <c r="D4836" t="s">
        <v>128</v>
      </c>
      <c r="E4836">
        <v>1992</v>
      </c>
      <c r="F4836" s="1">
        <v>30377</v>
      </c>
      <c r="G4836">
        <v>1990</v>
      </c>
      <c r="H4836">
        <f>AVERAGEIFS(Table1[value],Table1[IndicatorCode],Table1[[#This Row],[IndicatorCode]])</f>
        <v>24902.88753799392</v>
      </c>
      <c r="I4836" cm="1">
        <f t="array" ref="I4836">_xlfn.STDEV.P(IF(Table1[IndicatorCode]=Table1[[#This Row],[IndicatorCode]],Table1[value]))</f>
        <v>26324.778297809873</v>
      </c>
      <c r="J4836">
        <f>(Table1[[#This Row],[value]] - Table1[[#This Row],[mean]]) / Table1[[#This Row],[std_dev]]</f>
        <v>0.20794524459343713</v>
      </c>
      <c r="K4836">
        <f>AVERAGEIF(Table1[CountryCode],Table1[[#This Row],[CountryCode]],Table1[z-score])</f>
        <v>0.41927804487804637</v>
      </c>
      <c r="L4836" t="e">
        <f>VLOOKUP(Table1[[#This Row],[CountryCode]],[1]!Table1[#All],1,FALSE)</f>
        <v>#REF!</v>
      </c>
    </row>
    <row r="4837" spans="1:12" hidden="1" x14ac:dyDescent="0.3">
      <c r="A4837" t="s">
        <v>19</v>
      </c>
      <c r="B4837" t="s">
        <v>20</v>
      </c>
      <c r="C4837" t="s">
        <v>127</v>
      </c>
      <c r="D4837" t="s">
        <v>128</v>
      </c>
      <c r="E4837">
        <v>1993</v>
      </c>
      <c r="F4837" s="1">
        <v>29967</v>
      </c>
      <c r="G4837">
        <v>1990</v>
      </c>
      <c r="H4837">
        <f>AVERAGEIFS(Table1[value],Table1[IndicatorCode],Table1[[#This Row],[IndicatorCode]])</f>
        <v>24902.88753799392</v>
      </c>
      <c r="I4837" cm="1">
        <f t="array" ref="I4837">_xlfn.STDEV.P(IF(Table1[IndicatorCode]=Table1[[#This Row],[IndicatorCode]],Table1[value]))</f>
        <v>26324.778297809873</v>
      </c>
      <c r="J4837">
        <f>(Table1[[#This Row],[value]] - Table1[[#This Row],[mean]]) / Table1[[#This Row],[std_dev]]</f>
        <v>0.19237056451971699</v>
      </c>
      <c r="K4837">
        <f>AVERAGEIF(Table1[CountryCode],Table1[[#This Row],[CountryCode]],Table1[z-score])</f>
        <v>0.41927804487804637</v>
      </c>
      <c r="L4837" t="e">
        <f>VLOOKUP(Table1[[#This Row],[CountryCode]],[1]!Table1[#All],1,FALSE)</f>
        <v>#REF!</v>
      </c>
    </row>
    <row r="4838" spans="1:12" hidden="1" x14ac:dyDescent="0.3">
      <c r="A4838" t="s">
        <v>19</v>
      </c>
      <c r="B4838" t="s">
        <v>20</v>
      </c>
      <c r="C4838" t="s">
        <v>127</v>
      </c>
      <c r="D4838" t="s">
        <v>128</v>
      </c>
      <c r="E4838">
        <v>1994</v>
      </c>
      <c r="F4838" s="1">
        <v>30839</v>
      </c>
      <c r="G4838">
        <v>1990</v>
      </c>
      <c r="H4838">
        <f>AVERAGEIFS(Table1[value],Table1[IndicatorCode],Table1[[#This Row],[IndicatorCode]])</f>
        <v>24902.88753799392</v>
      </c>
      <c r="I4838" cm="1">
        <f t="array" ref="I4838">_xlfn.STDEV.P(IF(Table1[IndicatorCode]=Table1[[#This Row],[IndicatorCode]],Table1[value]))</f>
        <v>26324.778297809873</v>
      </c>
      <c r="J4838">
        <f>(Table1[[#This Row],[value]] - Table1[[#This Row],[mean]]) / Table1[[#This Row],[std_dev]]</f>
        <v>0.22549524994479986</v>
      </c>
      <c r="K4838">
        <f>AVERAGEIF(Table1[CountryCode],Table1[[#This Row],[CountryCode]],Table1[z-score])</f>
        <v>0.41927804487804637</v>
      </c>
      <c r="L4838" t="e">
        <f>VLOOKUP(Table1[[#This Row],[CountryCode]],[1]!Table1[#All],1,FALSE)</f>
        <v>#REF!</v>
      </c>
    </row>
    <row r="4839" spans="1:12" hidden="1" x14ac:dyDescent="0.3">
      <c r="A4839" t="s">
        <v>19</v>
      </c>
      <c r="B4839" t="s">
        <v>20</v>
      </c>
      <c r="C4839" t="s">
        <v>127</v>
      </c>
      <c r="D4839" t="s">
        <v>128</v>
      </c>
      <c r="E4839">
        <v>1995</v>
      </c>
      <c r="F4839" s="1">
        <v>31509</v>
      </c>
      <c r="G4839">
        <v>1990</v>
      </c>
      <c r="H4839">
        <f>AVERAGEIFS(Table1[value],Table1[IndicatorCode],Table1[[#This Row],[IndicatorCode]])</f>
        <v>24902.88753799392</v>
      </c>
      <c r="I4839" cm="1">
        <f t="array" ref="I4839">_xlfn.STDEV.P(IF(Table1[IndicatorCode]=Table1[[#This Row],[IndicatorCode]],Table1[value]))</f>
        <v>26324.778297809873</v>
      </c>
      <c r="J4839">
        <f>(Table1[[#This Row],[value]] - Table1[[#This Row],[mean]]) / Table1[[#This Row],[std_dev]]</f>
        <v>0.25094655640673275</v>
      </c>
      <c r="K4839">
        <f>AVERAGEIF(Table1[CountryCode],Table1[[#This Row],[CountryCode]],Table1[z-score])</f>
        <v>0.41927804487804637</v>
      </c>
      <c r="L4839" t="e">
        <f>VLOOKUP(Table1[[#This Row],[CountryCode]],[1]!Table1[#All],1,FALSE)</f>
        <v>#REF!</v>
      </c>
    </row>
    <row r="4840" spans="1:12" hidden="1" x14ac:dyDescent="0.3">
      <c r="A4840" t="s">
        <v>19</v>
      </c>
      <c r="B4840" t="s">
        <v>20</v>
      </c>
      <c r="C4840" t="s">
        <v>127</v>
      </c>
      <c r="D4840" t="s">
        <v>128</v>
      </c>
      <c r="E4840">
        <v>1996</v>
      </c>
      <c r="F4840" s="1">
        <v>31863</v>
      </c>
      <c r="G4840">
        <v>1990</v>
      </c>
      <c r="H4840">
        <f>AVERAGEIFS(Table1[value],Table1[IndicatorCode],Table1[[#This Row],[IndicatorCode]])</f>
        <v>24902.88753799392</v>
      </c>
      <c r="I4840" cm="1">
        <f t="array" ref="I4840">_xlfn.STDEV.P(IF(Table1[IndicatorCode]=Table1[[#This Row],[IndicatorCode]],Table1[value]))</f>
        <v>26324.778297809873</v>
      </c>
      <c r="J4840">
        <f>(Table1[[#This Row],[value]] - Table1[[#This Row],[mean]]) / Table1[[#This Row],[std_dev]]</f>
        <v>0.26439396310453017</v>
      </c>
      <c r="K4840">
        <f>AVERAGEIF(Table1[CountryCode],Table1[[#This Row],[CountryCode]],Table1[z-score])</f>
        <v>0.41927804487804637</v>
      </c>
      <c r="L4840" t="e">
        <f>VLOOKUP(Table1[[#This Row],[CountryCode]],[1]!Table1[#All],1,FALSE)</f>
        <v>#REF!</v>
      </c>
    </row>
    <row r="4841" spans="1:12" hidden="1" x14ac:dyDescent="0.3">
      <c r="A4841" t="s">
        <v>19</v>
      </c>
      <c r="B4841" t="s">
        <v>20</v>
      </c>
      <c r="C4841" t="s">
        <v>127</v>
      </c>
      <c r="D4841" t="s">
        <v>128</v>
      </c>
      <c r="E4841">
        <v>1997</v>
      </c>
      <c r="F4841" s="1">
        <v>32992</v>
      </c>
      <c r="G4841">
        <v>2000</v>
      </c>
      <c r="H4841">
        <f>AVERAGEIFS(Table1[value],Table1[IndicatorCode],Table1[[#This Row],[IndicatorCode]])</f>
        <v>24902.88753799392</v>
      </c>
      <c r="I4841" cm="1">
        <f t="array" ref="I4841">_xlfn.STDEV.P(IF(Table1[IndicatorCode]=Table1[[#This Row],[IndicatorCode]],Table1[value]))</f>
        <v>26324.778297809873</v>
      </c>
      <c r="J4841">
        <f>(Table1[[#This Row],[value]] - Table1[[#This Row],[mean]]) / Table1[[#This Row],[std_dev]]</f>
        <v>0.30728131384411567</v>
      </c>
      <c r="K4841">
        <f>AVERAGEIF(Table1[CountryCode],Table1[[#This Row],[CountryCode]],Table1[z-score])</f>
        <v>0.41927804487804637</v>
      </c>
      <c r="L4841" t="e">
        <f>VLOOKUP(Table1[[#This Row],[CountryCode]],[1]!Table1[#All],1,FALSE)</f>
        <v>#REF!</v>
      </c>
    </row>
    <row r="4842" spans="1:12" hidden="1" x14ac:dyDescent="0.3">
      <c r="A4842" t="s">
        <v>19</v>
      </c>
      <c r="B4842" t="s">
        <v>20</v>
      </c>
      <c r="C4842" t="s">
        <v>127</v>
      </c>
      <c r="D4842" t="s">
        <v>128</v>
      </c>
      <c r="E4842">
        <v>1998</v>
      </c>
      <c r="F4842" s="1">
        <v>33567</v>
      </c>
      <c r="G4842">
        <v>2000</v>
      </c>
      <c r="H4842">
        <f>AVERAGEIFS(Table1[value],Table1[IndicatorCode],Table1[[#This Row],[IndicatorCode]])</f>
        <v>24902.88753799392</v>
      </c>
      <c r="I4842" cm="1">
        <f t="array" ref="I4842">_xlfn.STDEV.P(IF(Table1[IndicatorCode]=Table1[[#This Row],[IndicatorCode]],Table1[value]))</f>
        <v>26324.778297809873</v>
      </c>
      <c r="J4842">
        <f>(Table1[[#This Row],[value]] - Table1[[#This Row],[mean]]) / Table1[[#This Row],[std_dev]]</f>
        <v>0.32912385297189389</v>
      </c>
      <c r="K4842">
        <f>AVERAGEIF(Table1[CountryCode],Table1[[#This Row],[CountryCode]],Table1[z-score])</f>
        <v>0.41927804487804637</v>
      </c>
      <c r="L4842" t="e">
        <f>VLOOKUP(Table1[[#This Row],[CountryCode]],[1]!Table1[#All],1,FALSE)</f>
        <v>#REF!</v>
      </c>
    </row>
    <row r="4843" spans="1:12" hidden="1" x14ac:dyDescent="0.3">
      <c r="A4843" t="s">
        <v>19</v>
      </c>
      <c r="B4843" t="s">
        <v>20</v>
      </c>
      <c r="C4843" t="s">
        <v>127</v>
      </c>
      <c r="D4843" t="s">
        <v>128</v>
      </c>
      <c r="E4843">
        <v>1999</v>
      </c>
      <c r="F4843" s="1">
        <v>34677</v>
      </c>
      <c r="G4843">
        <v>2000</v>
      </c>
      <c r="H4843">
        <f>AVERAGEIFS(Table1[value],Table1[IndicatorCode],Table1[[#This Row],[IndicatorCode]])</f>
        <v>24902.88753799392</v>
      </c>
      <c r="I4843" cm="1">
        <f t="array" ref="I4843">_xlfn.STDEV.P(IF(Table1[IndicatorCode]=Table1[[#This Row],[IndicatorCode]],Table1[value]))</f>
        <v>26324.778297809873</v>
      </c>
      <c r="J4843">
        <f>(Table1[[#This Row],[value]] - Table1[[#This Row],[mean]]) / Table1[[#This Row],[std_dev]]</f>
        <v>0.37128945024464843</v>
      </c>
      <c r="K4843">
        <f>AVERAGEIF(Table1[CountryCode],Table1[[#This Row],[CountryCode]],Table1[z-score])</f>
        <v>0.41927804487804637</v>
      </c>
      <c r="L4843" t="e">
        <f>VLOOKUP(Table1[[#This Row],[CountryCode]],[1]!Table1[#All],1,FALSE)</f>
        <v>#REF!</v>
      </c>
    </row>
    <row r="4844" spans="1:12" hidden="1" x14ac:dyDescent="0.3">
      <c r="A4844" t="s">
        <v>19</v>
      </c>
      <c r="B4844" t="s">
        <v>20</v>
      </c>
      <c r="C4844" t="s">
        <v>127</v>
      </c>
      <c r="D4844" t="s">
        <v>128</v>
      </c>
      <c r="E4844">
        <v>2000</v>
      </c>
      <c r="F4844" s="1">
        <v>35878</v>
      </c>
      <c r="G4844">
        <v>2000</v>
      </c>
      <c r="H4844">
        <f>AVERAGEIFS(Table1[value],Table1[IndicatorCode],Table1[[#This Row],[IndicatorCode]])</f>
        <v>24902.88753799392</v>
      </c>
      <c r="I4844" cm="1">
        <f t="array" ref="I4844">_xlfn.STDEV.P(IF(Table1[IndicatorCode]=Table1[[#This Row],[IndicatorCode]],Table1[value]))</f>
        <v>26324.778297809873</v>
      </c>
      <c r="J4844">
        <f>(Table1[[#This Row],[value]] - Table1[[#This Row],[mean]]) / Table1[[#This Row],[std_dev]]</f>
        <v>0.41691186675327746</v>
      </c>
      <c r="K4844">
        <f>AVERAGEIF(Table1[CountryCode],Table1[[#This Row],[CountryCode]],Table1[z-score])</f>
        <v>0.41927804487804637</v>
      </c>
      <c r="L4844" t="e">
        <f>VLOOKUP(Table1[[#This Row],[CountryCode]],[1]!Table1[#All],1,FALSE)</f>
        <v>#REF!</v>
      </c>
    </row>
    <row r="4845" spans="1:12" hidden="1" x14ac:dyDescent="0.3">
      <c r="A4845" t="s">
        <v>19</v>
      </c>
      <c r="B4845" t="s">
        <v>20</v>
      </c>
      <c r="C4845" t="s">
        <v>127</v>
      </c>
      <c r="D4845" t="s">
        <v>128</v>
      </c>
      <c r="E4845">
        <v>2001</v>
      </c>
      <c r="F4845" s="1">
        <v>36148</v>
      </c>
      <c r="G4845">
        <v>2000</v>
      </c>
      <c r="H4845">
        <f>AVERAGEIFS(Table1[value],Table1[IndicatorCode],Table1[[#This Row],[IndicatorCode]])</f>
        <v>24902.88753799392</v>
      </c>
      <c r="I4845" cm="1">
        <f t="array" ref="I4845">_xlfn.STDEV.P(IF(Table1[IndicatorCode]=Table1[[#This Row],[IndicatorCode]],Table1[value]))</f>
        <v>26324.778297809873</v>
      </c>
      <c r="J4845">
        <f>(Table1[[#This Row],[value]] - Table1[[#This Row],[mean]]) / Table1[[#This Row],[std_dev]]</f>
        <v>0.42716836338719072</v>
      </c>
      <c r="K4845">
        <f>AVERAGEIF(Table1[CountryCode],Table1[[#This Row],[CountryCode]],Table1[z-score])</f>
        <v>0.41927804487804637</v>
      </c>
      <c r="L4845" t="e">
        <f>VLOOKUP(Table1[[#This Row],[CountryCode]],[1]!Table1[#All],1,FALSE)</f>
        <v>#REF!</v>
      </c>
    </row>
    <row r="4846" spans="1:12" hidden="1" x14ac:dyDescent="0.3">
      <c r="A4846" t="s">
        <v>19</v>
      </c>
      <c r="B4846" t="s">
        <v>20</v>
      </c>
      <c r="C4846" t="s">
        <v>127</v>
      </c>
      <c r="D4846" t="s">
        <v>128</v>
      </c>
      <c r="E4846">
        <v>2002</v>
      </c>
      <c r="F4846" s="1">
        <v>36601</v>
      </c>
      <c r="G4846">
        <v>2000</v>
      </c>
      <c r="H4846">
        <f>AVERAGEIFS(Table1[value],Table1[IndicatorCode],Table1[[#This Row],[IndicatorCode]])</f>
        <v>24902.88753799392</v>
      </c>
      <c r="I4846" cm="1">
        <f t="array" ref="I4846">_xlfn.STDEV.P(IF(Table1[IndicatorCode]=Table1[[#This Row],[IndicatorCode]],Table1[value]))</f>
        <v>26324.778297809873</v>
      </c>
      <c r="J4846">
        <f>(Table1[[#This Row],[value]] - Table1[[#This Row],[mean]]) / Table1[[#This Row],[std_dev]]</f>
        <v>0.44437648551742298</v>
      </c>
      <c r="K4846">
        <f>AVERAGEIF(Table1[CountryCode],Table1[[#This Row],[CountryCode]],Table1[z-score])</f>
        <v>0.41927804487804637</v>
      </c>
      <c r="L4846" t="e">
        <f>VLOOKUP(Table1[[#This Row],[CountryCode]],[1]!Table1[#All],1,FALSE)</f>
        <v>#REF!</v>
      </c>
    </row>
    <row r="4847" spans="1:12" hidden="1" x14ac:dyDescent="0.3">
      <c r="A4847" t="s">
        <v>19</v>
      </c>
      <c r="B4847" t="s">
        <v>20</v>
      </c>
      <c r="C4847" t="s">
        <v>127</v>
      </c>
      <c r="D4847" t="s">
        <v>128</v>
      </c>
      <c r="E4847">
        <v>2003</v>
      </c>
      <c r="F4847" s="1">
        <v>36826</v>
      </c>
      <c r="G4847">
        <v>2000</v>
      </c>
      <c r="H4847">
        <f>AVERAGEIFS(Table1[value],Table1[IndicatorCode],Table1[[#This Row],[IndicatorCode]])</f>
        <v>24902.88753799392</v>
      </c>
      <c r="I4847" cm="1">
        <f t="array" ref="I4847">_xlfn.STDEV.P(IF(Table1[IndicatorCode]=Table1[[#This Row],[IndicatorCode]],Table1[value]))</f>
        <v>26324.778297809873</v>
      </c>
      <c r="J4847">
        <f>(Table1[[#This Row],[value]] - Table1[[#This Row],[mean]]) / Table1[[#This Row],[std_dev]]</f>
        <v>0.45292356604568407</v>
      </c>
      <c r="K4847">
        <f>AVERAGEIF(Table1[CountryCode],Table1[[#This Row],[CountryCode]],Table1[z-score])</f>
        <v>0.41927804487804637</v>
      </c>
      <c r="L4847" t="e">
        <f>VLOOKUP(Table1[[#This Row],[CountryCode]],[1]!Table1[#All],1,FALSE)</f>
        <v>#REF!</v>
      </c>
    </row>
    <row r="4848" spans="1:12" hidden="1" x14ac:dyDescent="0.3">
      <c r="A4848" t="s">
        <v>19</v>
      </c>
      <c r="B4848" t="s">
        <v>20</v>
      </c>
      <c r="C4848" t="s">
        <v>127</v>
      </c>
      <c r="D4848" t="s">
        <v>128</v>
      </c>
      <c r="E4848">
        <v>2004</v>
      </c>
      <c r="F4848" s="1">
        <v>37977</v>
      </c>
      <c r="G4848">
        <v>2000</v>
      </c>
      <c r="H4848">
        <f>AVERAGEIFS(Table1[value],Table1[IndicatorCode],Table1[[#This Row],[IndicatorCode]])</f>
        <v>24902.88753799392</v>
      </c>
      <c r="I4848" cm="1">
        <f t="array" ref="I4848">_xlfn.STDEV.P(IF(Table1[IndicatorCode]=Table1[[#This Row],[IndicatorCode]],Table1[value]))</f>
        <v>26324.778297809873</v>
      </c>
      <c r="J4848">
        <f>(Table1[[#This Row],[value]] - Table1[[#This Row],[mean]]) / Table1[[#This Row],[std_dev]]</f>
        <v>0.49664663132581061</v>
      </c>
      <c r="K4848">
        <f>AVERAGEIF(Table1[CountryCode],Table1[[#This Row],[CountryCode]],Table1[z-score])</f>
        <v>0.41927804487804637</v>
      </c>
      <c r="L4848" t="e">
        <f>VLOOKUP(Table1[[#This Row],[CountryCode]],[1]!Table1[#All],1,FALSE)</f>
        <v>#REF!</v>
      </c>
    </row>
    <row r="4849" spans="1:12" hidden="1" x14ac:dyDescent="0.3">
      <c r="A4849" t="s">
        <v>19</v>
      </c>
      <c r="B4849" t="s">
        <v>20</v>
      </c>
      <c r="C4849" t="s">
        <v>127</v>
      </c>
      <c r="D4849" t="s">
        <v>128</v>
      </c>
      <c r="E4849">
        <v>2005</v>
      </c>
      <c r="F4849" s="1">
        <v>38645</v>
      </c>
      <c r="G4849">
        <v>2000</v>
      </c>
      <c r="H4849">
        <f>AVERAGEIFS(Table1[value],Table1[IndicatorCode],Table1[[#This Row],[IndicatorCode]])</f>
        <v>24902.88753799392</v>
      </c>
      <c r="I4849" cm="1">
        <f t="array" ref="I4849">_xlfn.STDEV.P(IF(Table1[IndicatorCode]=Table1[[#This Row],[IndicatorCode]],Table1[value]))</f>
        <v>26324.778297809873</v>
      </c>
      <c r="J4849">
        <f>(Table1[[#This Row],[value]] - Table1[[#This Row],[mean]]) / Table1[[#This Row],[std_dev]]</f>
        <v>0.52202196373860343</v>
      </c>
      <c r="K4849">
        <f>AVERAGEIF(Table1[CountryCode],Table1[[#This Row],[CountryCode]],Table1[z-score])</f>
        <v>0.41927804487804637</v>
      </c>
      <c r="L4849" t="e">
        <f>VLOOKUP(Table1[[#This Row],[CountryCode]],[1]!Table1[#All],1,FALSE)</f>
        <v>#REF!</v>
      </c>
    </row>
    <row r="4850" spans="1:12" hidden="1" x14ac:dyDescent="0.3">
      <c r="A4850" t="s">
        <v>19</v>
      </c>
      <c r="B4850" t="s">
        <v>20</v>
      </c>
      <c r="C4850" t="s">
        <v>127</v>
      </c>
      <c r="D4850" t="s">
        <v>128</v>
      </c>
      <c r="E4850">
        <v>2006</v>
      </c>
      <c r="F4850" s="1">
        <v>39371</v>
      </c>
      <c r="G4850">
        <v>2000</v>
      </c>
      <c r="H4850">
        <f>AVERAGEIFS(Table1[value],Table1[IndicatorCode],Table1[[#This Row],[IndicatorCode]])</f>
        <v>24902.88753799392</v>
      </c>
      <c r="I4850" cm="1">
        <f t="array" ref="I4850">_xlfn.STDEV.P(IF(Table1[IndicatorCode]=Table1[[#This Row],[IndicatorCode]],Table1[value]))</f>
        <v>26324.778297809873</v>
      </c>
      <c r="J4850">
        <f>(Table1[[#This Row],[value]] - Table1[[#This Row],[mean]]) / Table1[[#This Row],[std_dev]]</f>
        <v>0.54960054357645916</v>
      </c>
      <c r="K4850">
        <f>AVERAGEIF(Table1[CountryCode],Table1[[#This Row],[CountryCode]],Table1[z-score])</f>
        <v>0.41927804487804637</v>
      </c>
      <c r="L4850" t="e">
        <f>VLOOKUP(Table1[[#This Row],[CountryCode]],[1]!Table1[#All],1,FALSE)</f>
        <v>#REF!</v>
      </c>
    </row>
    <row r="4851" spans="1:12" hidden="1" x14ac:dyDescent="0.3">
      <c r="A4851" t="s">
        <v>19</v>
      </c>
      <c r="B4851" t="s">
        <v>20</v>
      </c>
      <c r="C4851" t="s">
        <v>127</v>
      </c>
      <c r="D4851" t="s">
        <v>128</v>
      </c>
      <c r="E4851">
        <v>2007</v>
      </c>
      <c r="F4851" s="1">
        <v>40520</v>
      </c>
      <c r="G4851">
        <v>2010</v>
      </c>
      <c r="H4851">
        <f>AVERAGEIFS(Table1[value],Table1[IndicatorCode],Table1[[#This Row],[IndicatorCode]])</f>
        <v>24902.88753799392</v>
      </c>
      <c r="I4851" cm="1">
        <f t="array" ref="I4851">_xlfn.STDEV.P(IF(Table1[IndicatorCode]=Table1[[#This Row],[IndicatorCode]],Table1[value]))</f>
        <v>26324.778297809873</v>
      </c>
      <c r="J4851">
        <f>(Table1[[#This Row],[value]] - Table1[[#This Row],[mean]]) / Table1[[#This Row],[std_dev]]</f>
        <v>0.59324763480744558</v>
      </c>
      <c r="K4851">
        <f>AVERAGEIF(Table1[CountryCode],Table1[[#This Row],[CountryCode]],Table1[z-score])</f>
        <v>0.41927804487804637</v>
      </c>
      <c r="L4851" t="e">
        <f>VLOOKUP(Table1[[#This Row],[CountryCode]],[1]!Table1[#All],1,FALSE)</f>
        <v>#REF!</v>
      </c>
    </row>
    <row r="4852" spans="1:12" hidden="1" x14ac:dyDescent="0.3">
      <c r="A4852" t="s">
        <v>19</v>
      </c>
      <c r="B4852" t="s">
        <v>20</v>
      </c>
      <c r="C4852" t="s">
        <v>127</v>
      </c>
      <c r="D4852" t="s">
        <v>128</v>
      </c>
      <c r="E4852">
        <v>2008</v>
      </c>
      <c r="F4852" s="1">
        <v>40381</v>
      </c>
      <c r="G4852">
        <v>2010</v>
      </c>
      <c r="H4852">
        <f>AVERAGEIFS(Table1[value],Table1[IndicatorCode],Table1[[#This Row],[IndicatorCode]])</f>
        <v>24902.88753799392</v>
      </c>
      <c r="I4852" cm="1">
        <f t="array" ref="I4852">_xlfn.STDEV.P(IF(Table1[IndicatorCode]=Table1[[#This Row],[IndicatorCode]],Table1[value]))</f>
        <v>26324.778297809873</v>
      </c>
      <c r="J4852">
        <f>(Table1[[#This Row],[value]] - Table1[[#This Row],[mean]]) / Table1[[#This Row],[std_dev]]</f>
        <v>0.58796743839220877</v>
      </c>
      <c r="K4852">
        <f>AVERAGEIF(Table1[CountryCode],Table1[[#This Row],[CountryCode]],Table1[z-score])</f>
        <v>0.41927804487804637</v>
      </c>
      <c r="L4852" t="e">
        <f>VLOOKUP(Table1[[#This Row],[CountryCode]],[1]!Table1[#All],1,FALSE)</f>
        <v>#REF!</v>
      </c>
    </row>
    <row r="4853" spans="1:12" hidden="1" x14ac:dyDescent="0.3">
      <c r="A4853" t="s">
        <v>19</v>
      </c>
      <c r="B4853" t="s">
        <v>20</v>
      </c>
      <c r="C4853" t="s">
        <v>127</v>
      </c>
      <c r="D4853" t="s">
        <v>128</v>
      </c>
      <c r="E4853">
        <v>2009</v>
      </c>
      <c r="F4853" s="1">
        <v>39294</v>
      </c>
      <c r="G4853">
        <v>2010</v>
      </c>
      <c r="H4853">
        <f>AVERAGEIFS(Table1[value],Table1[IndicatorCode],Table1[[#This Row],[IndicatorCode]])</f>
        <v>24902.88753799392</v>
      </c>
      <c r="I4853" cm="1">
        <f t="array" ref="I4853">_xlfn.STDEV.P(IF(Table1[IndicatorCode]=Table1[[#This Row],[IndicatorCode]],Table1[value]))</f>
        <v>26324.778297809873</v>
      </c>
      <c r="J4853">
        <f>(Table1[[#This Row],[value]] - Table1[[#This Row],[mean]]) / Table1[[#This Row],[std_dev]]</f>
        <v>0.54667554268456531</v>
      </c>
      <c r="K4853">
        <f>AVERAGEIF(Table1[CountryCode],Table1[[#This Row],[CountryCode]],Table1[z-score])</f>
        <v>0.41927804487804637</v>
      </c>
      <c r="L4853" t="e">
        <f>VLOOKUP(Table1[[#This Row],[CountryCode]],[1]!Table1[#All],1,FALSE)</f>
        <v>#REF!</v>
      </c>
    </row>
    <row r="4854" spans="1:12" hidden="1" x14ac:dyDescent="0.3">
      <c r="A4854" t="s">
        <v>19</v>
      </c>
      <c r="B4854" t="s">
        <v>20</v>
      </c>
      <c r="C4854" t="s">
        <v>127</v>
      </c>
      <c r="D4854" t="s">
        <v>128</v>
      </c>
      <c r="E4854">
        <v>2010</v>
      </c>
      <c r="F4854" s="1">
        <v>39992</v>
      </c>
      <c r="G4854">
        <v>2010</v>
      </c>
      <c r="H4854">
        <f>AVERAGEIFS(Table1[value],Table1[IndicatorCode],Table1[[#This Row],[IndicatorCode]])</f>
        <v>24902.88753799392</v>
      </c>
      <c r="I4854" cm="1">
        <f t="array" ref="I4854">_xlfn.STDEV.P(IF(Table1[IndicatorCode]=Table1[[#This Row],[IndicatorCode]],Table1[value]))</f>
        <v>26324.778297809873</v>
      </c>
      <c r="J4854">
        <f>(Table1[[#This Row],[value]] - Table1[[#This Row],[mean]]) / Table1[[#This Row],[std_dev]]</f>
        <v>0.57319048583445964</v>
      </c>
      <c r="K4854">
        <f>AVERAGEIF(Table1[CountryCode],Table1[[#This Row],[CountryCode]],Table1[z-score])</f>
        <v>0.41927804487804637</v>
      </c>
      <c r="L4854" t="e">
        <f>VLOOKUP(Table1[[#This Row],[CountryCode]],[1]!Table1[#All],1,FALSE)</f>
        <v>#REF!</v>
      </c>
    </row>
    <row r="4855" spans="1:12" hidden="1" x14ac:dyDescent="0.3">
      <c r="A4855" t="s">
        <v>19</v>
      </c>
      <c r="B4855" t="s">
        <v>20</v>
      </c>
      <c r="C4855" t="s">
        <v>127</v>
      </c>
      <c r="D4855" t="s">
        <v>128</v>
      </c>
      <c r="E4855">
        <v>2011</v>
      </c>
      <c r="F4855" s="1">
        <v>40237</v>
      </c>
      <c r="G4855">
        <v>2010</v>
      </c>
      <c r="H4855">
        <f>AVERAGEIFS(Table1[value],Table1[IndicatorCode],Table1[[#This Row],[IndicatorCode]])</f>
        <v>24902.88753799392</v>
      </c>
      <c r="I4855" cm="1">
        <f t="array" ref="I4855">_xlfn.STDEV.P(IF(Table1[IndicatorCode]=Table1[[#This Row],[IndicatorCode]],Table1[value]))</f>
        <v>26324.778297809873</v>
      </c>
      <c r="J4855">
        <f>(Table1[[#This Row],[value]] - Table1[[#This Row],[mean]]) / Table1[[#This Row],[std_dev]]</f>
        <v>0.58249730685412171</v>
      </c>
      <c r="K4855">
        <f>AVERAGEIF(Table1[CountryCode],Table1[[#This Row],[CountryCode]],Table1[z-score])</f>
        <v>0.41927804487804637</v>
      </c>
      <c r="L4855" t="e">
        <f>VLOOKUP(Table1[[#This Row],[CountryCode]],[1]!Table1[#All],1,FALSE)</f>
        <v>#REF!</v>
      </c>
    </row>
    <row r="4856" spans="1:12" hidden="1" x14ac:dyDescent="0.3">
      <c r="A4856" t="s">
        <v>19</v>
      </c>
      <c r="B4856" t="s">
        <v>20</v>
      </c>
      <c r="C4856" t="s">
        <v>127</v>
      </c>
      <c r="D4856" t="s">
        <v>128</v>
      </c>
      <c r="E4856">
        <v>2012</v>
      </c>
      <c r="F4856" s="1">
        <v>40074</v>
      </c>
      <c r="G4856">
        <v>2010</v>
      </c>
      <c r="H4856">
        <f>AVERAGEIFS(Table1[value],Table1[IndicatorCode],Table1[[#This Row],[IndicatorCode]])</f>
        <v>24902.88753799392</v>
      </c>
      <c r="I4856" cm="1">
        <f t="array" ref="I4856">_xlfn.STDEV.P(IF(Table1[IndicatorCode]=Table1[[#This Row],[IndicatorCode]],Table1[value]))</f>
        <v>26324.778297809873</v>
      </c>
      <c r="J4856">
        <f>(Table1[[#This Row],[value]] - Table1[[#This Row],[mean]]) / Table1[[#This Row],[std_dev]]</f>
        <v>0.57630542184920364</v>
      </c>
      <c r="K4856">
        <f>AVERAGEIF(Table1[CountryCode],Table1[[#This Row],[CountryCode]],Table1[z-score])</f>
        <v>0.41927804487804637</v>
      </c>
      <c r="L4856" t="e">
        <f>VLOOKUP(Table1[[#This Row],[CountryCode]],[1]!Table1[#All],1,FALSE)</f>
        <v>#REF!</v>
      </c>
    </row>
    <row r="4857" spans="1:12" hidden="1" x14ac:dyDescent="0.3">
      <c r="A4857" t="s">
        <v>19</v>
      </c>
      <c r="B4857" t="s">
        <v>20</v>
      </c>
      <c r="C4857" t="s">
        <v>127</v>
      </c>
      <c r="D4857" t="s">
        <v>128</v>
      </c>
      <c r="E4857">
        <v>2013</v>
      </c>
      <c r="F4857" s="1">
        <v>40008</v>
      </c>
      <c r="G4857">
        <v>2010</v>
      </c>
      <c r="H4857">
        <f>AVERAGEIFS(Table1[value],Table1[IndicatorCode],Table1[[#This Row],[IndicatorCode]])</f>
        <v>24902.88753799392</v>
      </c>
      <c r="I4857" cm="1">
        <f t="array" ref="I4857">_xlfn.STDEV.P(IF(Table1[IndicatorCode]=Table1[[#This Row],[IndicatorCode]],Table1[value]))</f>
        <v>26324.778297809873</v>
      </c>
      <c r="J4857">
        <f>(Table1[[#This Row],[value]] - Table1[[#This Row],[mean]]) / Table1[[#This Row],[std_dev]]</f>
        <v>0.57379827822758045</v>
      </c>
      <c r="K4857">
        <f>AVERAGEIF(Table1[CountryCode],Table1[[#This Row],[CountryCode]],Table1[z-score])</f>
        <v>0.41927804487804637</v>
      </c>
      <c r="L4857" t="e">
        <f>VLOOKUP(Table1[[#This Row],[CountryCode]],[1]!Table1[#All],1,FALSE)</f>
        <v>#REF!</v>
      </c>
    </row>
    <row r="4858" spans="1:12" hidden="1" x14ac:dyDescent="0.3">
      <c r="A4858" t="s">
        <v>19</v>
      </c>
      <c r="B4858" t="s">
        <v>20</v>
      </c>
      <c r="C4858" t="s">
        <v>127</v>
      </c>
      <c r="D4858" t="s">
        <v>128</v>
      </c>
      <c r="E4858">
        <v>2014</v>
      </c>
      <c r="F4858" s="1">
        <v>40534</v>
      </c>
      <c r="G4858">
        <v>2010</v>
      </c>
      <c r="H4858">
        <f>AVERAGEIFS(Table1[value],Table1[IndicatorCode],Table1[[#This Row],[IndicatorCode]])</f>
        <v>24902.88753799392</v>
      </c>
      <c r="I4858" cm="1">
        <f t="array" ref="I4858">_xlfn.STDEV.P(IF(Table1[IndicatorCode]=Table1[[#This Row],[IndicatorCode]],Table1[value]))</f>
        <v>26324.778297809873</v>
      </c>
      <c r="J4858">
        <f>(Table1[[#This Row],[value]] - Table1[[#This Row],[mean]]) / Table1[[#This Row],[std_dev]]</f>
        <v>0.59377945315142622</v>
      </c>
      <c r="K4858">
        <f>AVERAGEIF(Table1[CountryCode],Table1[[#This Row],[CountryCode]],Table1[z-score])</f>
        <v>0.41927804487804637</v>
      </c>
      <c r="L4858" t="e">
        <f>VLOOKUP(Table1[[#This Row],[CountryCode]],[1]!Table1[#All],1,FALSE)</f>
        <v>#REF!</v>
      </c>
    </row>
    <row r="4859" spans="1:12" hidden="1" x14ac:dyDescent="0.3">
      <c r="A4859" t="s">
        <v>19</v>
      </c>
      <c r="B4859" t="s">
        <v>20</v>
      </c>
      <c r="C4859" t="s">
        <v>127</v>
      </c>
      <c r="D4859" t="s">
        <v>128</v>
      </c>
      <c r="E4859">
        <v>2015</v>
      </c>
      <c r="F4859" s="1">
        <v>40894</v>
      </c>
      <c r="G4859">
        <v>2010</v>
      </c>
      <c r="H4859">
        <f>AVERAGEIFS(Table1[value],Table1[IndicatorCode],Table1[[#This Row],[IndicatorCode]])</f>
        <v>24902.88753799392</v>
      </c>
      <c r="I4859" cm="1">
        <f t="array" ref="I4859">_xlfn.STDEV.P(IF(Table1[IndicatorCode]=Table1[[#This Row],[IndicatorCode]],Table1[value]))</f>
        <v>26324.778297809873</v>
      </c>
      <c r="J4859">
        <f>(Table1[[#This Row],[value]] - Table1[[#This Row],[mean]]) / Table1[[#This Row],[std_dev]]</f>
        <v>0.60745478199664393</v>
      </c>
      <c r="K4859">
        <f>AVERAGEIF(Table1[CountryCode],Table1[[#This Row],[CountryCode]],Table1[z-score])</f>
        <v>0.41927804487804637</v>
      </c>
      <c r="L4859" t="e">
        <f>VLOOKUP(Table1[[#This Row],[CountryCode]],[1]!Table1[#All],1,FALSE)</f>
        <v>#REF!</v>
      </c>
    </row>
    <row r="4860" spans="1:12" hidden="1" x14ac:dyDescent="0.3">
      <c r="A4860" t="s">
        <v>19</v>
      </c>
      <c r="B4860" t="s">
        <v>20</v>
      </c>
      <c r="C4860" t="s">
        <v>127</v>
      </c>
      <c r="D4860" t="s">
        <v>128</v>
      </c>
      <c r="E4860">
        <v>2016</v>
      </c>
      <c r="F4860" s="1">
        <v>41173</v>
      </c>
      <c r="G4860">
        <v>2010</v>
      </c>
      <c r="H4860">
        <f>AVERAGEIFS(Table1[value],Table1[IndicatorCode],Table1[[#This Row],[IndicatorCode]])</f>
        <v>24902.88753799392</v>
      </c>
      <c r="I4860" cm="1">
        <f t="array" ref="I4860">_xlfn.STDEV.P(IF(Table1[IndicatorCode]=Table1[[#This Row],[IndicatorCode]],Table1[value]))</f>
        <v>26324.778297809873</v>
      </c>
      <c r="J4860">
        <f>(Table1[[#This Row],[value]] - Table1[[#This Row],[mean]]) / Table1[[#This Row],[std_dev]]</f>
        <v>0.61805316185168768</v>
      </c>
      <c r="K4860">
        <f>AVERAGEIF(Table1[CountryCode],Table1[[#This Row],[CountryCode]],Table1[z-score])</f>
        <v>0.41927804487804637</v>
      </c>
      <c r="L4860" t="e">
        <f>VLOOKUP(Table1[[#This Row],[CountryCode]],[1]!Table1[#All],1,FALSE)</f>
        <v>#REF!</v>
      </c>
    </row>
    <row r="4861" spans="1:12" hidden="1" x14ac:dyDescent="0.3">
      <c r="A4861" t="s">
        <v>19</v>
      </c>
      <c r="B4861" t="s">
        <v>20</v>
      </c>
      <c r="C4861" t="s">
        <v>127</v>
      </c>
      <c r="D4861" t="s">
        <v>128</v>
      </c>
      <c r="E4861">
        <v>2017</v>
      </c>
      <c r="F4861" s="1">
        <v>41619</v>
      </c>
      <c r="G4861">
        <v>2020</v>
      </c>
      <c r="H4861">
        <f>AVERAGEIFS(Table1[value],Table1[IndicatorCode],Table1[[#This Row],[IndicatorCode]])</f>
        <v>24902.88753799392</v>
      </c>
      <c r="I4861" cm="1">
        <f t="array" ref="I4861">_xlfn.STDEV.P(IF(Table1[IndicatorCode]=Table1[[#This Row],[IndicatorCode]],Table1[value]))</f>
        <v>26324.778297809873</v>
      </c>
      <c r="J4861">
        <f>(Table1[[#This Row],[value]] - Table1[[#This Row],[mean]]) / Table1[[#This Row],[std_dev]]</f>
        <v>0.63499537480992951</v>
      </c>
      <c r="K4861">
        <f>AVERAGEIF(Table1[CountryCode],Table1[[#This Row],[CountryCode]],Table1[z-score])</f>
        <v>0.41927804487804637</v>
      </c>
      <c r="L4861" t="e">
        <f>VLOOKUP(Table1[[#This Row],[CountryCode]],[1]!Table1[#All],1,FALSE)</f>
        <v>#REF!</v>
      </c>
    </row>
    <row r="4862" spans="1:12" hidden="1" x14ac:dyDescent="0.3">
      <c r="A4862" t="s">
        <v>19</v>
      </c>
      <c r="B4862" t="s">
        <v>20</v>
      </c>
      <c r="C4862" t="s">
        <v>127</v>
      </c>
      <c r="D4862" t="s">
        <v>128</v>
      </c>
      <c r="E4862">
        <v>2018</v>
      </c>
      <c r="F4862" s="1">
        <v>42208</v>
      </c>
      <c r="G4862">
        <v>2020</v>
      </c>
      <c r="H4862">
        <f>AVERAGEIFS(Table1[value],Table1[IndicatorCode],Table1[[#This Row],[IndicatorCode]])</f>
        <v>24902.88753799392</v>
      </c>
      <c r="I4862" cm="1">
        <f t="array" ref="I4862">_xlfn.STDEV.P(IF(Table1[IndicatorCode]=Table1[[#This Row],[IndicatorCode]],Table1[value]))</f>
        <v>26324.778297809873</v>
      </c>
      <c r="J4862">
        <f>(Table1[[#This Row],[value]] - Table1[[#This Row],[mean]]) / Table1[[#This Row],[std_dev]]</f>
        <v>0.65736973228168849</v>
      </c>
      <c r="K4862">
        <f>AVERAGEIF(Table1[CountryCode],Table1[[#This Row],[CountryCode]],Table1[z-score])</f>
        <v>0.41927804487804637</v>
      </c>
      <c r="L4862" t="e">
        <f>VLOOKUP(Table1[[#This Row],[CountryCode]],[1]!Table1[#All],1,FALSE)</f>
        <v>#REF!</v>
      </c>
    </row>
    <row r="4863" spans="1:12" hidden="1" x14ac:dyDescent="0.3">
      <c r="A4863" t="s">
        <v>19</v>
      </c>
      <c r="B4863" t="s">
        <v>20</v>
      </c>
      <c r="C4863" t="s">
        <v>127</v>
      </c>
      <c r="D4863" t="s">
        <v>128</v>
      </c>
      <c r="E4863">
        <v>2019</v>
      </c>
      <c r="F4863" s="1">
        <v>43006</v>
      </c>
      <c r="G4863">
        <v>2020</v>
      </c>
      <c r="H4863">
        <f>AVERAGEIFS(Table1[value],Table1[IndicatorCode],Table1[[#This Row],[IndicatorCode]])</f>
        <v>24902.88753799392</v>
      </c>
      <c r="I4863" cm="1">
        <f t="array" ref="I4863">_xlfn.STDEV.P(IF(Table1[IndicatorCode]=Table1[[#This Row],[IndicatorCode]],Table1[value]))</f>
        <v>26324.778297809873</v>
      </c>
      <c r="J4863">
        <f>(Table1[[#This Row],[value]] - Table1[[#This Row],[mean]]) / Table1[[#This Row],[std_dev]]</f>
        <v>0.68768337788858769</v>
      </c>
      <c r="K4863">
        <f>AVERAGEIF(Table1[CountryCode],Table1[[#This Row],[CountryCode]],Table1[z-score])</f>
        <v>0.41927804487804637</v>
      </c>
      <c r="L4863" t="e">
        <f>VLOOKUP(Table1[[#This Row],[CountryCode]],[1]!Table1[#All],1,FALSE)</f>
        <v>#REF!</v>
      </c>
    </row>
    <row r="4864" spans="1:12" x14ac:dyDescent="0.3">
      <c r="A4864" t="s">
        <v>123</v>
      </c>
      <c r="B4864" t="s">
        <v>124</v>
      </c>
      <c r="C4864" t="s">
        <v>127</v>
      </c>
      <c r="D4864" t="s">
        <v>128</v>
      </c>
      <c r="E4864">
        <v>2020</v>
      </c>
      <c r="F4864" s="1">
        <v>3991</v>
      </c>
      <c r="G4864">
        <v>2020</v>
      </c>
      <c r="H4864">
        <f>AVERAGEIFS(Table1[value],Table1[IndicatorCode],Table1[[#This Row],[IndicatorCode]])</f>
        <v>24902.88753799392</v>
      </c>
      <c r="I4864" cm="1">
        <f t="array" ref="I4864">_xlfn.STDEV.P(IF(Table1[IndicatorCode]=Table1[[#This Row],[IndicatorCode]],Table1[value]))</f>
        <v>26324.778297809873</v>
      </c>
      <c r="J4864">
        <f>(Table1[[#This Row],[value]] - Table1[[#This Row],[mean]]) / Table1[[#This Row],[std_dev]]</f>
        <v>-0.79438038571187941</v>
      </c>
      <c r="K4864">
        <f>AVERAGEIF(Table1[CountryCode],Table1[[#This Row],[CountryCode]],Table1[z-score])</f>
        <v>-0.96047002154562466</v>
      </c>
    </row>
    <row r="4865" spans="1:12" hidden="1" x14ac:dyDescent="0.3">
      <c r="A4865" t="s">
        <v>19</v>
      </c>
      <c r="B4865" t="s">
        <v>20</v>
      </c>
      <c r="C4865" t="s">
        <v>127</v>
      </c>
      <c r="D4865" t="s">
        <v>128</v>
      </c>
      <c r="E4865">
        <v>2021</v>
      </c>
      <c r="F4865" s="1">
        <v>43141</v>
      </c>
      <c r="G4865">
        <v>2020</v>
      </c>
      <c r="H4865">
        <f>AVERAGEIFS(Table1[value],Table1[IndicatorCode],Table1[[#This Row],[IndicatorCode]])</f>
        <v>24902.88753799392</v>
      </c>
      <c r="I4865" cm="1">
        <f t="array" ref="I4865">_xlfn.STDEV.P(IF(Table1[IndicatorCode]=Table1[[#This Row],[IndicatorCode]],Table1[value]))</f>
        <v>26324.778297809873</v>
      </c>
      <c r="J4865">
        <f>(Table1[[#This Row],[value]] - Table1[[#This Row],[mean]]) / Table1[[#This Row],[std_dev]]</f>
        <v>0.69281162620554437</v>
      </c>
      <c r="K4865">
        <f>AVERAGEIF(Table1[CountryCode],Table1[[#This Row],[CountryCode]],Table1[z-score])</f>
        <v>0.41927804487804637</v>
      </c>
      <c r="L4865" t="e">
        <f>VLOOKUP(Table1[[#This Row],[CountryCode]],[1]!Table1[#All],1,FALSE)</f>
        <v>#REF!</v>
      </c>
    </row>
    <row r="4866" spans="1:12" hidden="1" x14ac:dyDescent="0.3">
      <c r="A4866" t="s">
        <v>19</v>
      </c>
      <c r="B4866" t="s">
        <v>20</v>
      </c>
      <c r="C4866" t="s">
        <v>127</v>
      </c>
      <c r="D4866" t="s">
        <v>128</v>
      </c>
      <c r="E4866">
        <v>2022</v>
      </c>
      <c r="F4866" s="1">
        <v>44487</v>
      </c>
      <c r="G4866">
        <v>1980</v>
      </c>
      <c r="H4866">
        <f>AVERAGEIFS(Table1[value],Table1[IndicatorCode],Table1[[#This Row],[IndicatorCode]])</f>
        <v>24902.88753799392</v>
      </c>
      <c r="I4866" cm="1">
        <f t="array" ref="I4866">_xlfn.STDEV.P(IF(Table1[IndicatorCode]=Table1[[#This Row],[IndicatorCode]],Table1[value]))</f>
        <v>26324.778297809873</v>
      </c>
      <c r="J4866">
        <f>(Table1[[#This Row],[value]] - Table1[[#This Row],[mean]]) / Table1[[#This Row],[std_dev]]</f>
        <v>0.74394216127683055</v>
      </c>
      <c r="K4866">
        <f>AVERAGEIF(Table1[CountryCode],Table1[[#This Row],[CountryCode]],Table1[z-score])</f>
        <v>0.41927804487804637</v>
      </c>
      <c r="L4866" t="e">
        <f>VLOOKUP(Table1[[#This Row],[CountryCode]],[1]!Table1[#All],1,FALSE)</f>
        <v>#REF!</v>
      </c>
    </row>
    <row r="4867" spans="1:12" hidden="1" x14ac:dyDescent="0.3">
      <c r="A4867" t="s">
        <v>19</v>
      </c>
      <c r="B4867" t="s">
        <v>20</v>
      </c>
      <c r="C4867" t="s">
        <v>127</v>
      </c>
      <c r="D4867" t="s">
        <v>128</v>
      </c>
      <c r="E4867">
        <v>2023</v>
      </c>
      <c r="F4867" s="1">
        <v>44866</v>
      </c>
      <c r="G4867">
        <v>1980</v>
      </c>
      <c r="H4867">
        <f>AVERAGEIFS(Table1[value],Table1[IndicatorCode],Table1[[#This Row],[IndicatorCode]])</f>
        <v>24902.88753799392</v>
      </c>
      <c r="I4867" cm="1">
        <f t="array" ref="I4867">_xlfn.STDEV.P(IF(Table1[IndicatorCode]=Table1[[#This Row],[IndicatorCode]],Table1[value]))</f>
        <v>26324.778297809873</v>
      </c>
      <c r="J4867">
        <f>(Table1[[#This Row],[value]] - Table1[[#This Row],[mean]]) / Table1[[#This Row],[std_dev]]</f>
        <v>0.75833924358887916</v>
      </c>
      <c r="K4867">
        <f>AVERAGEIF(Table1[CountryCode],Table1[[#This Row],[CountryCode]],Table1[z-score])</f>
        <v>0.41927804487804637</v>
      </c>
      <c r="L4867" t="e">
        <f>VLOOKUP(Table1[[#This Row],[CountryCode]],[1]!Table1[#All],1,FALSE)</f>
        <v>#REF!</v>
      </c>
    </row>
    <row r="4868" spans="1:12" hidden="1" x14ac:dyDescent="0.3">
      <c r="A4868" t="s">
        <v>19</v>
      </c>
      <c r="B4868" t="s">
        <v>20</v>
      </c>
      <c r="C4868" t="s">
        <v>127</v>
      </c>
      <c r="D4868" t="s">
        <v>128</v>
      </c>
      <c r="E4868">
        <v>2024</v>
      </c>
      <c r="F4868" s="1">
        <v>45046</v>
      </c>
      <c r="G4868">
        <v>1980</v>
      </c>
      <c r="H4868">
        <f>AVERAGEIFS(Table1[value],Table1[IndicatorCode],Table1[[#This Row],[IndicatorCode]])</f>
        <v>24902.88753799392</v>
      </c>
      <c r="I4868" cm="1">
        <f t="array" ref="I4868">_xlfn.STDEV.P(IF(Table1[IndicatorCode]=Table1[[#This Row],[IndicatorCode]],Table1[value]))</f>
        <v>26324.778297809873</v>
      </c>
      <c r="J4868">
        <f>(Table1[[#This Row],[value]] - Table1[[#This Row],[mean]]) / Table1[[#This Row],[std_dev]]</f>
        <v>0.76517690801148797</v>
      </c>
      <c r="K4868">
        <f>AVERAGEIF(Table1[CountryCode],Table1[[#This Row],[CountryCode]],Table1[z-score])</f>
        <v>0.41927804487804637</v>
      </c>
      <c r="L4868" t="e">
        <f>VLOOKUP(Table1[[#This Row],[CountryCode]],[1]!Table1[#All],1,FALSE)</f>
        <v>#REF!</v>
      </c>
    </row>
    <row r="4869" spans="1:12" hidden="1" x14ac:dyDescent="0.3">
      <c r="A4869" t="s">
        <v>21</v>
      </c>
      <c r="B4869" t="s">
        <v>22</v>
      </c>
      <c r="C4869" t="s">
        <v>127</v>
      </c>
      <c r="D4869" t="s">
        <v>128</v>
      </c>
      <c r="E4869">
        <v>1980</v>
      </c>
      <c r="F4869" s="1">
        <v>3427</v>
      </c>
      <c r="G4869">
        <v>1980</v>
      </c>
      <c r="H4869">
        <f>AVERAGEIFS(Table1[value],Table1[IndicatorCode],Table1[[#This Row],[IndicatorCode]])</f>
        <v>24902.88753799392</v>
      </c>
      <c r="I4869" cm="1">
        <f t="array" ref="I4869">_xlfn.STDEV.P(IF(Table1[IndicatorCode]=Table1[[#This Row],[IndicatorCode]],Table1[value]))</f>
        <v>26324.778297809873</v>
      </c>
      <c r="J4869">
        <f>(Table1[[#This Row],[value]] - Table1[[#This Row],[mean]]) / Table1[[#This Row],[std_dev]]</f>
        <v>-0.8158050675693872</v>
      </c>
      <c r="K4869">
        <f>AVERAGEIF(Table1[CountryCode],Table1[[#This Row],[CountryCode]],Table1[z-score])</f>
        <v>-0.76001533806857513</v>
      </c>
      <c r="L4869" t="e">
        <f>VLOOKUP(Table1[[#This Row],[CountryCode]],[1]!Table1[#All],1,FALSE)</f>
        <v>#REF!</v>
      </c>
    </row>
    <row r="4870" spans="1:12" hidden="1" x14ac:dyDescent="0.3">
      <c r="A4870" t="s">
        <v>21</v>
      </c>
      <c r="B4870" t="s">
        <v>22</v>
      </c>
      <c r="C4870" t="s">
        <v>127</v>
      </c>
      <c r="D4870" t="s">
        <v>128</v>
      </c>
      <c r="E4870">
        <v>1981</v>
      </c>
      <c r="F4870" s="1">
        <v>3583</v>
      </c>
      <c r="G4870">
        <v>1980</v>
      </c>
      <c r="H4870">
        <f>AVERAGEIFS(Table1[value],Table1[IndicatorCode],Table1[[#This Row],[IndicatorCode]])</f>
        <v>24902.88753799392</v>
      </c>
      <c r="I4870" cm="1">
        <f t="array" ref="I4870">_xlfn.STDEV.P(IF(Table1[IndicatorCode]=Table1[[#This Row],[IndicatorCode]],Table1[value]))</f>
        <v>26324.778297809873</v>
      </c>
      <c r="J4870">
        <f>(Table1[[#This Row],[value]] - Table1[[#This Row],[mean]]) / Table1[[#This Row],[std_dev]]</f>
        <v>-0.80987909173645944</v>
      </c>
      <c r="K4870">
        <f>AVERAGEIF(Table1[CountryCode],Table1[[#This Row],[CountryCode]],Table1[z-score])</f>
        <v>-0.76001533806857513</v>
      </c>
      <c r="L4870" t="e">
        <f>VLOOKUP(Table1[[#This Row],[CountryCode]],[1]!Table1[#All],1,FALSE)</f>
        <v>#REF!</v>
      </c>
    </row>
    <row r="4871" spans="1:12" hidden="1" x14ac:dyDescent="0.3">
      <c r="A4871" t="s">
        <v>21</v>
      </c>
      <c r="B4871" t="s">
        <v>22</v>
      </c>
      <c r="C4871" t="s">
        <v>127</v>
      </c>
      <c r="D4871" t="s">
        <v>128</v>
      </c>
      <c r="E4871">
        <v>1982</v>
      </c>
      <c r="F4871" s="1">
        <v>3656</v>
      </c>
      <c r="G4871">
        <v>1980</v>
      </c>
      <c r="H4871">
        <f>AVERAGEIFS(Table1[value],Table1[IndicatorCode],Table1[[#This Row],[IndicatorCode]])</f>
        <v>24902.88753799392</v>
      </c>
      <c r="I4871" cm="1">
        <f t="array" ref="I4871">_xlfn.STDEV.P(IF(Table1[IndicatorCode]=Table1[[#This Row],[IndicatorCode]],Table1[value]))</f>
        <v>26324.778297809873</v>
      </c>
      <c r="J4871">
        <f>(Table1[[#This Row],[value]] - Table1[[#This Row],[mean]]) / Table1[[#This Row],[std_dev]]</f>
        <v>-0.80710603894284594</v>
      </c>
      <c r="K4871">
        <f>AVERAGEIF(Table1[CountryCode],Table1[[#This Row],[CountryCode]],Table1[z-score])</f>
        <v>-0.76001533806857513</v>
      </c>
      <c r="L4871" t="e">
        <f>VLOOKUP(Table1[[#This Row],[CountryCode]],[1]!Table1[#All],1,FALSE)</f>
        <v>#REF!</v>
      </c>
    </row>
    <row r="4872" spans="1:12" hidden="1" x14ac:dyDescent="0.3">
      <c r="A4872" t="s">
        <v>21</v>
      </c>
      <c r="B4872" t="s">
        <v>22</v>
      </c>
      <c r="C4872" t="s">
        <v>127</v>
      </c>
      <c r="D4872" t="s">
        <v>128</v>
      </c>
      <c r="E4872">
        <v>1983</v>
      </c>
      <c r="F4872" s="1">
        <v>3772</v>
      </c>
      <c r="G4872">
        <v>1980</v>
      </c>
      <c r="H4872">
        <f>AVERAGEIFS(Table1[value],Table1[IndicatorCode],Table1[[#This Row],[IndicatorCode]])</f>
        <v>24902.88753799392</v>
      </c>
      <c r="I4872" cm="1">
        <f t="array" ref="I4872">_xlfn.STDEV.P(IF(Table1[IndicatorCode]=Table1[[#This Row],[IndicatorCode]],Table1[value]))</f>
        <v>26324.778297809873</v>
      </c>
      <c r="J4872">
        <f>(Table1[[#This Row],[value]] - Table1[[#This Row],[mean]]) / Table1[[#This Row],[std_dev]]</f>
        <v>-0.80269954409272015</v>
      </c>
      <c r="K4872">
        <f>AVERAGEIF(Table1[CountryCode],Table1[[#This Row],[CountryCode]],Table1[z-score])</f>
        <v>-0.76001533806857513</v>
      </c>
      <c r="L4872" t="e">
        <f>VLOOKUP(Table1[[#This Row],[CountryCode]],[1]!Table1[#All],1,FALSE)</f>
        <v>#REF!</v>
      </c>
    </row>
    <row r="4873" spans="1:12" hidden="1" x14ac:dyDescent="0.3">
      <c r="A4873" t="s">
        <v>21</v>
      </c>
      <c r="B4873" t="s">
        <v>22</v>
      </c>
      <c r="C4873" t="s">
        <v>127</v>
      </c>
      <c r="D4873" t="s">
        <v>128</v>
      </c>
      <c r="E4873">
        <v>1984</v>
      </c>
      <c r="F4873" s="1">
        <v>3891</v>
      </c>
      <c r="G4873">
        <v>1980</v>
      </c>
      <c r="H4873">
        <f>AVERAGEIFS(Table1[value],Table1[IndicatorCode],Table1[[#This Row],[IndicatorCode]])</f>
        <v>24902.88753799392</v>
      </c>
      <c r="I4873" cm="1">
        <f t="array" ref="I4873">_xlfn.STDEV.P(IF(Table1[IndicatorCode]=Table1[[#This Row],[IndicatorCode]],Table1[value]))</f>
        <v>26324.778297809873</v>
      </c>
      <c r="J4873">
        <f>(Table1[[#This Row],[value]] - Table1[[#This Row],[mean]]) / Table1[[#This Row],[std_dev]]</f>
        <v>-0.79817908816888439</v>
      </c>
      <c r="K4873">
        <f>AVERAGEIF(Table1[CountryCode],Table1[[#This Row],[CountryCode]],Table1[z-score])</f>
        <v>-0.76001533806857513</v>
      </c>
      <c r="L4873" t="e">
        <f>VLOOKUP(Table1[[#This Row],[CountryCode]],[1]!Table1[#All],1,FALSE)</f>
        <v>#REF!</v>
      </c>
    </row>
    <row r="4874" spans="1:12" hidden="1" x14ac:dyDescent="0.3">
      <c r="A4874" t="s">
        <v>21</v>
      </c>
      <c r="B4874" t="s">
        <v>22</v>
      </c>
      <c r="C4874" t="s">
        <v>127</v>
      </c>
      <c r="D4874" t="s">
        <v>128</v>
      </c>
      <c r="E4874">
        <v>1985</v>
      </c>
      <c r="F4874" s="1">
        <v>3996</v>
      </c>
      <c r="G4874">
        <v>1980</v>
      </c>
      <c r="H4874">
        <f>AVERAGEIFS(Table1[value],Table1[IndicatorCode],Table1[[#This Row],[IndicatorCode]])</f>
        <v>24902.88753799392</v>
      </c>
      <c r="I4874" cm="1">
        <f t="array" ref="I4874">_xlfn.STDEV.P(IF(Table1[IndicatorCode]=Table1[[#This Row],[IndicatorCode]],Table1[value]))</f>
        <v>26324.778297809873</v>
      </c>
      <c r="J4874">
        <f>(Table1[[#This Row],[value]] - Table1[[#This Row],[mean]]) / Table1[[#This Row],[std_dev]]</f>
        <v>-0.79419045058902915</v>
      </c>
      <c r="K4874">
        <f>AVERAGEIF(Table1[CountryCode],Table1[[#This Row],[CountryCode]],Table1[z-score])</f>
        <v>-0.76001533806857513</v>
      </c>
      <c r="L4874" t="e">
        <f>VLOOKUP(Table1[[#This Row],[CountryCode]],[1]!Table1[#All],1,FALSE)</f>
        <v>#REF!</v>
      </c>
    </row>
    <row r="4875" spans="1:12" hidden="1" x14ac:dyDescent="0.3">
      <c r="A4875" t="s">
        <v>21</v>
      </c>
      <c r="B4875" t="s">
        <v>22</v>
      </c>
      <c r="C4875" t="s">
        <v>127</v>
      </c>
      <c r="D4875" t="s">
        <v>128</v>
      </c>
      <c r="E4875">
        <v>1986</v>
      </c>
      <c r="F4875" s="1">
        <v>4165</v>
      </c>
      <c r="G4875">
        <v>1980</v>
      </c>
      <c r="H4875">
        <f>AVERAGEIFS(Table1[value],Table1[IndicatorCode],Table1[[#This Row],[IndicatorCode]])</f>
        <v>24902.88753799392</v>
      </c>
      <c r="I4875" cm="1">
        <f t="array" ref="I4875">_xlfn.STDEV.P(IF(Table1[IndicatorCode]=Table1[[#This Row],[IndicatorCode]],Table1[value]))</f>
        <v>26324.778297809873</v>
      </c>
      <c r="J4875">
        <f>(Table1[[#This Row],[value]] - Table1[[#This Row],[mean]]) / Table1[[#This Row],[std_dev]]</f>
        <v>-0.7877706434366909</v>
      </c>
      <c r="K4875">
        <f>AVERAGEIF(Table1[CountryCode],Table1[[#This Row],[CountryCode]],Table1[z-score])</f>
        <v>-0.76001533806857513</v>
      </c>
      <c r="L4875" t="e">
        <f>VLOOKUP(Table1[[#This Row],[CountryCode]],[1]!Table1[#All],1,FALSE)</f>
        <v>#REF!</v>
      </c>
    </row>
    <row r="4876" spans="1:12" hidden="1" x14ac:dyDescent="0.3">
      <c r="A4876" t="s">
        <v>21</v>
      </c>
      <c r="B4876" t="s">
        <v>22</v>
      </c>
      <c r="C4876" t="s">
        <v>127</v>
      </c>
      <c r="D4876" t="s">
        <v>128</v>
      </c>
      <c r="E4876">
        <v>1987</v>
      </c>
      <c r="F4876" s="1">
        <v>4410</v>
      </c>
      <c r="G4876">
        <v>1990</v>
      </c>
      <c r="H4876">
        <f>AVERAGEIFS(Table1[value],Table1[IndicatorCode],Table1[[#This Row],[IndicatorCode]])</f>
        <v>24902.88753799392</v>
      </c>
      <c r="I4876" cm="1">
        <f t="array" ref="I4876">_xlfn.STDEV.P(IF(Table1[IndicatorCode]=Table1[[#This Row],[IndicatorCode]],Table1[value]))</f>
        <v>26324.778297809873</v>
      </c>
      <c r="J4876">
        <f>(Table1[[#This Row],[value]] - Table1[[#This Row],[mean]]) / Table1[[#This Row],[std_dev]]</f>
        <v>-0.77846382241702883</v>
      </c>
      <c r="K4876">
        <f>AVERAGEIF(Table1[CountryCode],Table1[[#This Row],[CountryCode]],Table1[z-score])</f>
        <v>-0.76001533806857513</v>
      </c>
      <c r="L4876" t="e">
        <f>VLOOKUP(Table1[[#This Row],[CountryCode]],[1]!Table1[#All],1,FALSE)</f>
        <v>#REF!</v>
      </c>
    </row>
    <row r="4877" spans="1:12" hidden="1" x14ac:dyDescent="0.3">
      <c r="A4877" t="s">
        <v>21</v>
      </c>
      <c r="B4877" t="s">
        <v>22</v>
      </c>
      <c r="C4877" t="s">
        <v>127</v>
      </c>
      <c r="D4877" t="s">
        <v>128</v>
      </c>
      <c r="E4877">
        <v>1988</v>
      </c>
      <c r="F4877" s="1">
        <v>4888</v>
      </c>
      <c r="G4877">
        <v>1990</v>
      </c>
      <c r="H4877">
        <f>AVERAGEIFS(Table1[value],Table1[IndicatorCode],Table1[[#This Row],[IndicatorCode]])</f>
        <v>24902.88753799392</v>
      </c>
      <c r="I4877" cm="1">
        <f t="array" ref="I4877">_xlfn.STDEV.P(IF(Table1[IndicatorCode]=Table1[[#This Row],[IndicatorCode]],Table1[value]))</f>
        <v>26324.778297809873</v>
      </c>
      <c r="J4877">
        <f>(Table1[[#This Row],[value]] - Table1[[#This Row],[mean]]) / Table1[[#This Row],[std_dev]]</f>
        <v>-0.76030602467254538</v>
      </c>
      <c r="K4877">
        <f>AVERAGEIF(Table1[CountryCode],Table1[[#This Row],[CountryCode]],Table1[z-score])</f>
        <v>-0.76001533806857513</v>
      </c>
      <c r="L4877" t="e">
        <f>VLOOKUP(Table1[[#This Row],[CountryCode]],[1]!Table1[#All],1,FALSE)</f>
        <v>#REF!</v>
      </c>
    </row>
    <row r="4878" spans="1:12" hidden="1" x14ac:dyDescent="0.3">
      <c r="A4878" t="s">
        <v>21</v>
      </c>
      <c r="B4878" t="s">
        <v>22</v>
      </c>
      <c r="C4878" t="s">
        <v>127</v>
      </c>
      <c r="D4878" t="s">
        <v>128</v>
      </c>
      <c r="E4878">
        <v>1989</v>
      </c>
      <c r="F4878" s="1">
        <v>4782</v>
      </c>
      <c r="G4878">
        <v>1990</v>
      </c>
      <c r="H4878">
        <f>AVERAGEIFS(Table1[value],Table1[IndicatorCode],Table1[[#This Row],[IndicatorCode]])</f>
        <v>24902.88753799392</v>
      </c>
      <c r="I4878" cm="1">
        <f t="array" ref="I4878">_xlfn.STDEV.P(IF(Table1[IndicatorCode]=Table1[[#This Row],[IndicatorCode]],Table1[value]))</f>
        <v>26324.778297809873</v>
      </c>
      <c r="J4878">
        <f>(Table1[[#This Row],[value]] - Table1[[#This Row],[mean]]) / Table1[[#This Row],[std_dev]]</f>
        <v>-0.76433264927697053</v>
      </c>
      <c r="K4878">
        <f>AVERAGEIF(Table1[CountryCode],Table1[[#This Row],[CountryCode]],Table1[z-score])</f>
        <v>-0.76001533806857513</v>
      </c>
      <c r="L4878" t="e">
        <f>VLOOKUP(Table1[[#This Row],[CountryCode]],[1]!Table1[#All],1,FALSE)</f>
        <v>#REF!</v>
      </c>
    </row>
    <row r="4879" spans="1:12" hidden="1" x14ac:dyDescent="0.3">
      <c r="A4879" t="s">
        <v>21</v>
      </c>
      <c r="B4879" t="s">
        <v>22</v>
      </c>
      <c r="C4879" t="s">
        <v>127</v>
      </c>
      <c r="D4879" t="s">
        <v>128</v>
      </c>
      <c r="E4879">
        <v>1990</v>
      </c>
      <c r="F4879" s="1">
        <v>4425</v>
      </c>
      <c r="G4879">
        <v>1990</v>
      </c>
      <c r="H4879">
        <f>AVERAGEIFS(Table1[value],Table1[IndicatorCode],Table1[[#This Row],[IndicatorCode]])</f>
        <v>24902.88753799392</v>
      </c>
      <c r="I4879" cm="1">
        <f t="array" ref="I4879">_xlfn.STDEV.P(IF(Table1[IndicatorCode]=Table1[[#This Row],[IndicatorCode]],Table1[value]))</f>
        <v>26324.778297809873</v>
      </c>
      <c r="J4879">
        <f>(Table1[[#This Row],[value]] - Table1[[#This Row],[mean]]) / Table1[[#This Row],[std_dev]]</f>
        <v>-0.77789401704847816</v>
      </c>
      <c r="K4879">
        <f>AVERAGEIF(Table1[CountryCode],Table1[[#This Row],[CountryCode]],Table1[z-score])</f>
        <v>-0.76001533806857513</v>
      </c>
      <c r="L4879" t="e">
        <f>VLOOKUP(Table1[[#This Row],[CountryCode]],[1]!Table1[#All],1,FALSE)</f>
        <v>#REF!</v>
      </c>
    </row>
    <row r="4880" spans="1:12" hidden="1" x14ac:dyDescent="0.3">
      <c r="A4880" t="s">
        <v>21</v>
      </c>
      <c r="B4880" t="s">
        <v>22</v>
      </c>
      <c r="C4880" t="s">
        <v>127</v>
      </c>
      <c r="D4880" t="s">
        <v>128</v>
      </c>
      <c r="E4880">
        <v>1991</v>
      </c>
      <c r="F4880" s="1">
        <v>4092</v>
      </c>
      <c r="G4880">
        <v>1990</v>
      </c>
      <c r="H4880">
        <f>AVERAGEIFS(Table1[value],Table1[IndicatorCode],Table1[[#This Row],[IndicatorCode]])</f>
        <v>24902.88753799392</v>
      </c>
      <c r="I4880" cm="1">
        <f t="array" ref="I4880">_xlfn.STDEV.P(IF(Table1[IndicatorCode]=Table1[[#This Row],[IndicatorCode]],Table1[value]))</f>
        <v>26324.778297809873</v>
      </c>
      <c r="J4880">
        <f>(Table1[[#This Row],[value]] - Table1[[#This Row],[mean]]) / Table1[[#This Row],[std_dev]]</f>
        <v>-0.79054369623030452</v>
      </c>
      <c r="K4880">
        <f>AVERAGEIF(Table1[CountryCode],Table1[[#This Row],[CountryCode]],Table1[z-score])</f>
        <v>-0.76001533806857513</v>
      </c>
      <c r="L4880" t="e">
        <f>VLOOKUP(Table1[[#This Row],[CountryCode]],[1]!Table1[#All],1,FALSE)</f>
        <v>#REF!</v>
      </c>
    </row>
    <row r="4881" spans="1:12" hidden="1" x14ac:dyDescent="0.3">
      <c r="A4881" t="s">
        <v>21</v>
      </c>
      <c r="B4881" t="s">
        <v>22</v>
      </c>
      <c r="C4881" t="s">
        <v>127</v>
      </c>
      <c r="D4881" t="s">
        <v>128</v>
      </c>
      <c r="E4881">
        <v>1992</v>
      </c>
      <c r="F4881" s="1">
        <v>3835</v>
      </c>
      <c r="G4881">
        <v>1990</v>
      </c>
      <c r="H4881">
        <f>AVERAGEIFS(Table1[value],Table1[IndicatorCode],Table1[[#This Row],[IndicatorCode]])</f>
        <v>24902.88753799392</v>
      </c>
      <c r="I4881" cm="1">
        <f t="array" ref="I4881">_xlfn.STDEV.P(IF(Table1[IndicatorCode]=Table1[[#This Row],[IndicatorCode]],Table1[value]))</f>
        <v>26324.778297809873</v>
      </c>
      <c r="J4881">
        <f>(Table1[[#This Row],[value]] - Table1[[#This Row],[mean]]) / Table1[[#This Row],[std_dev]]</f>
        <v>-0.80030636154480705</v>
      </c>
      <c r="K4881">
        <f>AVERAGEIF(Table1[CountryCode],Table1[[#This Row],[CountryCode]],Table1[z-score])</f>
        <v>-0.76001533806857513</v>
      </c>
      <c r="L4881" t="e">
        <f>VLOOKUP(Table1[[#This Row],[CountryCode]],[1]!Table1[#All],1,FALSE)</f>
        <v>#REF!</v>
      </c>
    </row>
    <row r="4882" spans="1:12" hidden="1" x14ac:dyDescent="0.3">
      <c r="A4882" t="s">
        <v>21</v>
      </c>
      <c r="B4882" t="s">
        <v>22</v>
      </c>
      <c r="C4882" t="s">
        <v>127</v>
      </c>
      <c r="D4882" t="s">
        <v>128</v>
      </c>
      <c r="E4882">
        <v>1993</v>
      </c>
      <c r="F4882" s="1">
        <v>3809</v>
      </c>
      <c r="G4882">
        <v>1990</v>
      </c>
      <c r="H4882">
        <f>AVERAGEIFS(Table1[value],Table1[IndicatorCode],Table1[[#This Row],[IndicatorCode]])</f>
        <v>24902.88753799392</v>
      </c>
      <c r="I4882" cm="1">
        <f t="array" ref="I4882">_xlfn.STDEV.P(IF(Table1[IndicatorCode]=Table1[[#This Row],[IndicatorCode]],Table1[value]))</f>
        <v>26324.778297809873</v>
      </c>
      <c r="J4882">
        <f>(Table1[[#This Row],[value]] - Table1[[#This Row],[mean]]) / Table1[[#This Row],[std_dev]]</f>
        <v>-0.80129402418362838</v>
      </c>
      <c r="K4882">
        <f>AVERAGEIF(Table1[CountryCode],Table1[[#This Row],[CountryCode]],Table1[z-score])</f>
        <v>-0.76001533806857513</v>
      </c>
      <c r="L4882" t="e">
        <f>VLOOKUP(Table1[[#This Row],[CountryCode]],[1]!Table1[#All],1,FALSE)</f>
        <v>#REF!</v>
      </c>
    </row>
    <row r="4883" spans="1:12" hidden="1" x14ac:dyDescent="0.3">
      <c r="A4883" t="s">
        <v>21</v>
      </c>
      <c r="B4883" t="s">
        <v>22</v>
      </c>
      <c r="C4883" t="s">
        <v>127</v>
      </c>
      <c r="D4883" t="s">
        <v>128</v>
      </c>
      <c r="E4883">
        <v>1994</v>
      </c>
      <c r="F4883" s="1">
        <v>3891</v>
      </c>
      <c r="G4883">
        <v>1990</v>
      </c>
      <c r="H4883">
        <f>AVERAGEIFS(Table1[value],Table1[IndicatorCode],Table1[[#This Row],[IndicatorCode]])</f>
        <v>24902.88753799392</v>
      </c>
      <c r="I4883" cm="1">
        <f t="array" ref="I4883">_xlfn.STDEV.P(IF(Table1[IndicatorCode]=Table1[[#This Row],[IndicatorCode]],Table1[value]))</f>
        <v>26324.778297809873</v>
      </c>
      <c r="J4883">
        <f>(Table1[[#This Row],[value]] - Table1[[#This Row],[mean]]) / Table1[[#This Row],[std_dev]]</f>
        <v>-0.79817908816888439</v>
      </c>
      <c r="K4883">
        <f>AVERAGEIF(Table1[CountryCode],Table1[[#This Row],[CountryCode]],Table1[z-score])</f>
        <v>-0.76001533806857513</v>
      </c>
      <c r="L4883" t="e">
        <f>VLOOKUP(Table1[[#This Row],[CountryCode]],[1]!Table1[#All],1,FALSE)</f>
        <v>#REF!</v>
      </c>
    </row>
    <row r="4884" spans="1:12" hidden="1" x14ac:dyDescent="0.3">
      <c r="A4884" t="s">
        <v>21</v>
      </c>
      <c r="B4884" t="s">
        <v>22</v>
      </c>
      <c r="C4884" t="s">
        <v>127</v>
      </c>
      <c r="D4884" t="s">
        <v>128</v>
      </c>
      <c r="E4884">
        <v>1995</v>
      </c>
      <c r="F4884" s="1">
        <v>4022</v>
      </c>
      <c r="G4884">
        <v>1990</v>
      </c>
      <c r="H4884">
        <f>AVERAGEIFS(Table1[value],Table1[IndicatorCode],Table1[[#This Row],[IndicatorCode]])</f>
        <v>24902.88753799392</v>
      </c>
      <c r="I4884" cm="1">
        <f t="array" ref="I4884">_xlfn.STDEV.P(IF(Table1[IndicatorCode]=Table1[[#This Row],[IndicatorCode]],Table1[value]))</f>
        <v>26324.778297809873</v>
      </c>
      <c r="J4884">
        <f>(Table1[[#This Row],[value]] - Table1[[#This Row],[mean]]) / Table1[[#This Row],[std_dev]]</f>
        <v>-0.79320278795020793</v>
      </c>
      <c r="K4884">
        <f>AVERAGEIF(Table1[CountryCode],Table1[[#This Row],[CountryCode]],Table1[z-score])</f>
        <v>-0.76001533806857513</v>
      </c>
      <c r="L4884" t="e">
        <f>VLOOKUP(Table1[[#This Row],[CountryCode]],[1]!Table1[#All],1,FALSE)</f>
        <v>#REF!</v>
      </c>
    </row>
    <row r="4885" spans="1:12" hidden="1" x14ac:dyDescent="0.3">
      <c r="A4885" t="s">
        <v>21</v>
      </c>
      <c r="B4885" t="s">
        <v>22</v>
      </c>
      <c r="C4885" t="s">
        <v>127</v>
      </c>
      <c r="D4885" t="s">
        <v>128</v>
      </c>
      <c r="E4885">
        <v>1996</v>
      </c>
      <c r="F4885" s="1">
        <v>4253</v>
      </c>
      <c r="G4885">
        <v>1990</v>
      </c>
      <c r="H4885">
        <f>AVERAGEIFS(Table1[value],Table1[IndicatorCode],Table1[[#This Row],[IndicatorCode]])</f>
        <v>24902.88753799392</v>
      </c>
      <c r="I4885" cm="1">
        <f t="array" ref="I4885">_xlfn.STDEV.P(IF(Table1[IndicatorCode]=Table1[[#This Row],[IndicatorCode]],Table1[value]))</f>
        <v>26324.778297809873</v>
      </c>
      <c r="J4885">
        <f>(Table1[[#This Row],[value]] - Table1[[#This Row],[mean]]) / Table1[[#This Row],[std_dev]]</f>
        <v>-0.78442778527452661</v>
      </c>
      <c r="K4885">
        <f>AVERAGEIF(Table1[CountryCode],Table1[[#This Row],[CountryCode]],Table1[z-score])</f>
        <v>-0.76001533806857513</v>
      </c>
      <c r="L4885" t="e">
        <f>VLOOKUP(Table1[[#This Row],[CountryCode]],[1]!Table1[#All],1,FALSE)</f>
        <v>#REF!</v>
      </c>
    </row>
    <row r="4886" spans="1:12" hidden="1" x14ac:dyDescent="0.3">
      <c r="A4886" t="s">
        <v>21</v>
      </c>
      <c r="B4886" t="s">
        <v>22</v>
      </c>
      <c r="C4886" t="s">
        <v>127</v>
      </c>
      <c r="D4886" t="s">
        <v>128</v>
      </c>
      <c r="E4886">
        <v>1997</v>
      </c>
      <c r="F4886" s="1">
        <v>3675</v>
      </c>
      <c r="G4886">
        <v>2000</v>
      </c>
      <c r="H4886">
        <f>AVERAGEIFS(Table1[value],Table1[IndicatorCode],Table1[[#This Row],[IndicatorCode]])</f>
        <v>24902.88753799392</v>
      </c>
      <c r="I4886" cm="1">
        <f t="array" ref="I4886">_xlfn.STDEV.P(IF(Table1[IndicatorCode]=Table1[[#This Row],[IndicatorCode]],Table1[value]))</f>
        <v>26324.778297809873</v>
      </c>
      <c r="J4886">
        <f>(Table1[[#This Row],[value]] - Table1[[#This Row],[mean]]) / Table1[[#This Row],[std_dev]]</f>
        <v>-0.80638428547601493</v>
      </c>
      <c r="K4886">
        <f>AVERAGEIF(Table1[CountryCode],Table1[[#This Row],[CountryCode]],Table1[z-score])</f>
        <v>-0.76001533806857513</v>
      </c>
      <c r="L4886" t="e">
        <f>VLOOKUP(Table1[[#This Row],[CountryCode]],[1]!Table1[#All],1,FALSE)</f>
        <v>#REF!</v>
      </c>
    </row>
    <row r="4887" spans="1:12" hidden="1" x14ac:dyDescent="0.3">
      <c r="A4887" t="s">
        <v>21</v>
      </c>
      <c r="B4887" t="s">
        <v>22</v>
      </c>
      <c r="C4887" t="s">
        <v>127</v>
      </c>
      <c r="D4887" t="s">
        <v>128</v>
      </c>
      <c r="E4887">
        <v>1998</v>
      </c>
      <c r="F4887" s="1">
        <v>3840</v>
      </c>
      <c r="G4887">
        <v>2000</v>
      </c>
      <c r="H4887">
        <f>AVERAGEIFS(Table1[value],Table1[IndicatorCode],Table1[[#This Row],[IndicatorCode]])</f>
        <v>24902.88753799392</v>
      </c>
      <c r="I4887" cm="1">
        <f t="array" ref="I4887">_xlfn.STDEV.P(IF(Table1[IndicatorCode]=Table1[[#This Row],[IndicatorCode]],Table1[value]))</f>
        <v>26324.778297809873</v>
      </c>
      <c r="J4887">
        <f>(Table1[[#This Row],[value]] - Table1[[#This Row],[mean]]) / Table1[[#This Row],[std_dev]]</f>
        <v>-0.80011642642195691</v>
      </c>
      <c r="K4887">
        <f>AVERAGEIF(Table1[CountryCode],Table1[[#This Row],[CountryCode]],Table1[z-score])</f>
        <v>-0.76001533806857513</v>
      </c>
      <c r="L4887" t="e">
        <f>VLOOKUP(Table1[[#This Row],[CountryCode]],[1]!Table1[#All],1,FALSE)</f>
        <v>#REF!</v>
      </c>
    </row>
    <row r="4888" spans="1:12" hidden="1" x14ac:dyDescent="0.3">
      <c r="A4888" t="s">
        <v>21</v>
      </c>
      <c r="B4888" t="s">
        <v>22</v>
      </c>
      <c r="C4888" t="s">
        <v>127</v>
      </c>
      <c r="D4888" t="s">
        <v>128</v>
      </c>
      <c r="E4888">
        <v>1999</v>
      </c>
      <c r="F4888" s="1">
        <v>3537</v>
      </c>
      <c r="G4888">
        <v>2000</v>
      </c>
      <c r="H4888">
        <f>AVERAGEIFS(Table1[value],Table1[IndicatorCode],Table1[[#This Row],[IndicatorCode]])</f>
        <v>24902.88753799392</v>
      </c>
      <c r="I4888" cm="1">
        <f t="array" ref="I4888">_xlfn.STDEV.P(IF(Table1[IndicatorCode]=Table1[[#This Row],[IndicatorCode]],Table1[value]))</f>
        <v>26324.778297809873</v>
      </c>
      <c r="J4888">
        <f>(Table1[[#This Row],[value]] - Table1[[#This Row],[mean]]) / Table1[[#This Row],[std_dev]]</f>
        <v>-0.8116264948666817</v>
      </c>
      <c r="K4888">
        <f>AVERAGEIF(Table1[CountryCode],Table1[[#This Row],[CountryCode]],Table1[z-score])</f>
        <v>-0.76001533806857513</v>
      </c>
      <c r="L4888" t="e">
        <f>VLOOKUP(Table1[[#This Row],[CountryCode]],[1]!Table1[#All],1,FALSE)</f>
        <v>#REF!</v>
      </c>
    </row>
    <row r="4889" spans="1:12" hidden="1" x14ac:dyDescent="0.3">
      <c r="A4889" t="s">
        <v>21</v>
      </c>
      <c r="B4889" t="s">
        <v>22</v>
      </c>
      <c r="C4889" t="s">
        <v>127</v>
      </c>
      <c r="D4889" t="s">
        <v>128</v>
      </c>
      <c r="E4889">
        <v>2000</v>
      </c>
      <c r="F4889" s="1">
        <v>3718</v>
      </c>
      <c r="G4889">
        <v>2000</v>
      </c>
      <c r="H4889">
        <f>AVERAGEIFS(Table1[value],Table1[IndicatorCode],Table1[[#This Row],[IndicatorCode]])</f>
        <v>24902.88753799392</v>
      </c>
      <c r="I4889" cm="1">
        <f t="array" ref="I4889">_xlfn.STDEV.P(IF(Table1[IndicatorCode]=Table1[[#This Row],[IndicatorCode]],Table1[value]))</f>
        <v>26324.778297809873</v>
      </c>
      <c r="J4889">
        <f>(Table1[[#This Row],[value]] - Table1[[#This Row],[mean]]) / Table1[[#This Row],[std_dev]]</f>
        <v>-0.80475084341950287</v>
      </c>
      <c r="K4889">
        <f>AVERAGEIF(Table1[CountryCode],Table1[[#This Row],[CountryCode]],Table1[z-score])</f>
        <v>-0.76001533806857513</v>
      </c>
      <c r="L4889" t="e">
        <f>VLOOKUP(Table1[[#This Row],[CountryCode]],[1]!Table1[#All],1,FALSE)</f>
        <v>#REF!</v>
      </c>
    </row>
    <row r="4890" spans="1:12" hidden="1" x14ac:dyDescent="0.3">
      <c r="A4890" t="s">
        <v>21</v>
      </c>
      <c r="B4890" t="s">
        <v>22</v>
      </c>
      <c r="C4890" t="s">
        <v>127</v>
      </c>
      <c r="D4890" t="s">
        <v>128</v>
      </c>
      <c r="E4890">
        <v>2001</v>
      </c>
      <c r="F4890" s="1">
        <v>3938</v>
      </c>
      <c r="G4890">
        <v>2000</v>
      </c>
      <c r="H4890">
        <f>AVERAGEIFS(Table1[value],Table1[IndicatorCode],Table1[[#This Row],[IndicatorCode]])</f>
        <v>24902.88753799392</v>
      </c>
      <c r="I4890" cm="1">
        <f t="array" ref="I4890">_xlfn.STDEV.P(IF(Table1[IndicatorCode]=Table1[[#This Row],[IndicatorCode]],Table1[value]))</f>
        <v>26324.778297809873</v>
      </c>
      <c r="J4890">
        <f>(Table1[[#This Row],[value]] - Table1[[#This Row],[mean]]) / Table1[[#This Row],[std_dev]]</f>
        <v>-0.79639369801409199</v>
      </c>
      <c r="K4890">
        <f>AVERAGEIF(Table1[CountryCode],Table1[[#This Row],[CountryCode]],Table1[z-score])</f>
        <v>-0.76001533806857513</v>
      </c>
      <c r="L4890" t="e">
        <f>VLOOKUP(Table1[[#This Row],[CountryCode]],[1]!Table1[#All],1,FALSE)</f>
        <v>#REF!</v>
      </c>
    </row>
    <row r="4891" spans="1:12" hidden="1" x14ac:dyDescent="0.3">
      <c r="A4891" t="s">
        <v>21</v>
      </c>
      <c r="B4891" t="s">
        <v>22</v>
      </c>
      <c r="C4891" t="s">
        <v>127</v>
      </c>
      <c r="D4891" t="s">
        <v>128</v>
      </c>
      <c r="E4891">
        <v>2002</v>
      </c>
      <c r="F4891" s="1">
        <v>4260</v>
      </c>
      <c r="G4891">
        <v>2000</v>
      </c>
      <c r="H4891">
        <f>AVERAGEIFS(Table1[value],Table1[IndicatorCode],Table1[[#This Row],[IndicatorCode]])</f>
        <v>24902.88753799392</v>
      </c>
      <c r="I4891" cm="1">
        <f t="array" ref="I4891">_xlfn.STDEV.P(IF(Table1[IndicatorCode]=Table1[[#This Row],[IndicatorCode]],Table1[value]))</f>
        <v>26324.778297809873</v>
      </c>
      <c r="J4891">
        <f>(Table1[[#This Row],[value]] - Table1[[#This Row],[mean]]) / Table1[[#This Row],[std_dev]]</f>
        <v>-0.78416187610253618</v>
      </c>
      <c r="K4891">
        <f>AVERAGEIF(Table1[CountryCode],Table1[[#This Row],[CountryCode]],Table1[z-score])</f>
        <v>-0.76001533806857513</v>
      </c>
      <c r="L4891" t="e">
        <f>VLOOKUP(Table1[[#This Row],[CountryCode]],[1]!Table1[#All],1,FALSE)</f>
        <v>#REF!</v>
      </c>
    </row>
    <row r="4892" spans="1:12" hidden="1" x14ac:dyDescent="0.3">
      <c r="A4892" t="s">
        <v>21</v>
      </c>
      <c r="B4892" t="s">
        <v>22</v>
      </c>
      <c r="C4892" t="s">
        <v>127</v>
      </c>
      <c r="D4892" t="s">
        <v>128</v>
      </c>
      <c r="E4892">
        <v>2003</v>
      </c>
      <c r="F4892" s="1">
        <v>4519</v>
      </c>
      <c r="G4892">
        <v>2000</v>
      </c>
      <c r="H4892">
        <f>AVERAGEIFS(Table1[value],Table1[IndicatorCode],Table1[[#This Row],[IndicatorCode]])</f>
        <v>24902.88753799392</v>
      </c>
      <c r="I4892" cm="1">
        <f t="array" ref="I4892">_xlfn.STDEV.P(IF(Table1[IndicatorCode]=Table1[[#This Row],[IndicatorCode]],Table1[value]))</f>
        <v>26324.778297809873</v>
      </c>
      <c r="J4892">
        <f>(Table1[[#This Row],[value]] - Table1[[#This Row],[mean]]) / Table1[[#This Row],[std_dev]]</f>
        <v>-0.77432323673889347</v>
      </c>
      <c r="K4892">
        <f>AVERAGEIF(Table1[CountryCode],Table1[[#This Row],[CountryCode]],Table1[z-score])</f>
        <v>-0.76001533806857513</v>
      </c>
      <c r="L4892" t="e">
        <f>VLOOKUP(Table1[[#This Row],[CountryCode]],[1]!Table1[#All],1,FALSE)</f>
        <v>#REF!</v>
      </c>
    </row>
    <row r="4893" spans="1:12" hidden="1" x14ac:dyDescent="0.3">
      <c r="A4893" t="s">
        <v>21</v>
      </c>
      <c r="B4893" t="s">
        <v>22</v>
      </c>
      <c r="C4893" t="s">
        <v>127</v>
      </c>
      <c r="D4893" t="s">
        <v>128</v>
      </c>
      <c r="E4893">
        <v>2004</v>
      </c>
      <c r="F4893" s="1">
        <v>4850</v>
      </c>
      <c r="G4893">
        <v>2000</v>
      </c>
      <c r="H4893">
        <f>AVERAGEIFS(Table1[value],Table1[IndicatorCode],Table1[[#This Row],[IndicatorCode]])</f>
        <v>24902.88753799392</v>
      </c>
      <c r="I4893" cm="1">
        <f t="array" ref="I4893">_xlfn.STDEV.P(IF(Table1[IndicatorCode]=Table1[[#This Row],[IndicatorCode]],Table1[value]))</f>
        <v>26324.778297809873</v>
      </c>
      <c r="J4893">
        <f>(Table1[[#This Row],[value]] - Table1[[#This Row],[mean]]) / Table1[[#This Row],[std_dev]]</f>
        <v>-0.76174953160620718</v>
      </c>
      <c r="K4893">
        <f>AVERAGEIF(Table1[CountryCode],Table1[[#This Row],[CountryCode]],Table1[z-score])</f>
        <v>-0.76001533806857513</v>
      </c>
      <c r="L4893" t="e">
        <f>VLOOKUP(Table1[[#This Row],[CountryCode]],[1]!Table1[#All],1,FALSE)</f>
        <v>#REF!</v>
      </c>
    </row>
    <row r="4894" spans="1:12" hidden="1" x14ac:dyDescent="0.3">
      <c r="A4894" t="s">
        <v>21</v>
      </c>
      <c r="B4894" t="s">
        <v>22</v>
      </c>
      <c r="C4894" t="s">
        <v>127</v>
      </c>
      <c r="D4894" t="s">
        <v>128</v>
      </c>
      <c r="E4894">
        <v>2005</v>
      </c>
      <c r="F4894" s="1">
        <v>5231</v>
      </c>
      <c r="G4894">
        <v>2000</v>
      </c>
      <c r="H4894">
        <f>AVERAGEIFS(Table1[value],Table1[IndicatorCode],Table1[[#This Row],[IndicatorCode]])</f>
        <v>24902.88753799392</v>
      </c>
      <c r="I4894" cm="1">
        <f t="array" ref="I4894">_xlfn.STDEV.P(IF(Table1[IndicatorCode]=Table1[[#This Row],[IndicatorCode]],Table1[value]))</f>
        <v>26324.778297809873</v>
      </c>
      <c r="J4894">
        <f>(Table1[[#This Row],[value]] - Table1[[#This Row],[mean]]) / Table1[[#This Row],[std_dev]]</f>
        <v>-0.7472764752450185</v>
      </c>
      <c r="K4894">
        <f>AVERAGEIF(Table1[CountryCode],Table1[[#This Row],[CountryCode]],Table1[z-score])</f>
        <v>-0.76001533806857513</v>
      </c>
      <c r="L4894" t="e">
        <f>VLOOKUP(Table1[[#This Row],[CountryCode]],[1]!Table1[#All],1,FALSE)</f>
        <v>#REF!</v>
      </c>
    </row>
    <row r="4895" spans="1:12" hidden="1" x14ac:dyDescent="0.3">
      <c r="A4895" t="s">
        <v>21</v>
      </c>
      <c r="B4895" t="s">
        <v>22</v>
      </c>
      <c r="C4895" t="s">
        <v>127</v>
      </c>
      <c r="D4895" t="s">
        <v>128</v>
      </c>
      <c r="E4895">
        <v>2006</v>
      </c>
      <c r="F4895" s="1">
        <v>5630</v>
      </c>
      <c r="G4895">
        <v>2000</v>
      </c>
      <c r="H4895">
        <f>AVERAGEIFS(Table1[value],Table1[IndicatorCode],Table1[[#This Row],[IndicatorCode]])</f>
        <v>24902.88753799392</v>
      </c>
      <c r="I4895" cm="1">
        <f t="array" ref="I4895">_xlfn.STDEV.P(IF(Table1[IndicatorCode]=Table1[[#This Row],[IndicatorCode]],Table1[value]))</f>
        <v>26324.778297809873</v>
      </c>
      <c r="J4895">
        <f>(Table1[[#This Row],[value]] - Table1[[#This Row],[mean]]) / Table1[[#This Row],[std_dev]]</f>
        <v>-0.73211965244156885</v>
      </c>
      <c r="K4895">
        <f>AVERAGEIF(Table1[CountryCode],Table1[[#This Row],[CountryCode]],Table1[z-score])</f>
        <v>-0.76001533806857513</v>
      </c>
      <c r="L4895" t="e">
        <f>VLOOKUP(Table1[[#This Row],[CountryCode]],[1]!Table1[#All],1,FALSE)</f>
        <v>#REF!</v>
      </c>
    </row>
    <row r="4896" spans="1:12" hidden="1" x14ac:dyDescent="0.3">
      <c r="A4896" t="s">
        <v>21</v>
      </c>
      <c r="B4896" t="s">
        <v>22</v>
      </c>
      <c r="C4896" t="s">
        <v>127</v>
      </c>
      <c r="D4896" t="s">
        <v>128</v>
      </c>
      <c r="E4896">
        <v>2007</v>
      </c>
      <c r="F4896" s="1">
        <v>6049</v>
      </c>
      <c r="G4896">
        <v>2010</v>
      </c>
      <c r="H4896">
        <f>AVERAGEIFS(Table1[value],Table1[IndicatorCode],Table1[[#This Row],[IndicatorCode]])</f>
        <v>24902.88753799392</v>
      </c>
      <c r="I4896" cm="1">
        <f t="array" ref="I4896">_xlfn.STDEV.P(IF(Table1[IndicatorCode]=Table1[[#This Row],[IndicatorCode]],Table1[value]))</f>
        <v>26324.778297809873</v>
      </c>
      <c r="J4896">
        <f>(Table1[[#This Row],[value]] - Table1[[#This Row],[mean]]) / Table1[[#This Row],[std_dev]]</f>
        <v>-0.71620308914671826</v>
      </c>
      <c r="K4896">
        <f>AVERAGEIF(Table1[CountryCode],Table1[[#This Row],[CountryCode]],Table1[z-score])</f>
        <v>-0.76001533806857513</v>
      </c>
      <c r="L4896" t="e">
        <f>VLOOKUP(Table1[[#This Row],[CountryCode]],[1]!Table1[#All],1,FALSE)</f>
        <v>#REF!</v>
      </c>
    </row>
    <row r="4897" spans="1:12" hidden="1" x14ac:dyDescent="0.3">
      <c r="A4897" t="s">
        <v>21</v>
      </c>
      <c r="B4897" t="s">
        <v>22</v>
      </c>
      <c r="C4897" t="s">
        <v>127</v>
      </c>
      <c r="D4897" t="s">
        <v>128</v>
      </c>
      <c r="E4897">
        <v>2008</v>
      </c>
      <c r="F4897" s="1">
        <v>6465</v>
      </c>
      <c r="G4897">
        <v>2010</v>
      </c>
      <c r="H4897">
        <f>AVERAGEIFS(Table1[value],Table1[IndicatorCode],Table1[[#This Row],[IndicatorCode]])</f>
        <v>24902.88753799392</v>
      </c>
      <c r="I4897" cm="1">
        <f t="array" ref="I4897">_xlfn.STDEV.P(IF(Table1[IndicatorCode]=Table1[[#This Row],[IndicatorCode]],Table1[value]))</f>
        <v>26324.778297809873</v>
      </c>
      <c r="J4897">
        <f>(Table1[[#This Row],[value]] - Table1[[#This Row],[mean]]) / Table1[[#This Row],[std_dev]]</f>
        <v>-0.70040048692557788</v>
      </c>
      <c r="K4897">
        <f>AVERAGEIF(Table1[CountryCode],Table1[[#This Row],[CountryCode]],Table1[z-score])</f>
        <v>-0.76001533806857513</v>
      </c>
      <c r="L4897" t="e">
        <f>VLOOKUP(Table1[[#This Row],[CountryCode]],[1]!Table1[#All],1,FALSE)</f>
        <v>#REF!</v>
      </c>
    </row>
    <row r="4898" spans="1:12" hidden="1" x14ac:dyDescent="0.3">
      <c r="A4898" t="s">
        <v>21</v>
      </c>
      <c r="B4898" t="s">
        <v>22</v>
      </c>
      <c r="C4898" t="s">
        <v>127</v>
      </c>
      <c r="D4898" t="s">
        <v>128</v>
      </c>
      <c r="E4898">
        <v>2009</v>
      </c>
      <c r="F4898" s="1">
        <v>6289</v>
      </c>
      <c r="G4898">
        <v>2010</v>
      </c>
      <c r="H4898">
        <f>AVERAGEIFS(Table1[value],Table1[IndicatorCode],Table1[[#This Row],[IndicatorCode]])</f>
        <v>24902.88753799392</v>
      </c>
      <c r="I4898" cm="1">
        <f t="array" ref="I4898">_xlfn.STDEV.P(IF(Table1[IndicatorCode]=Table1[[#This Row],[IndicatorCode]],Table1[value]))</f>
        <v>26324.778297809873</v>
      </c>
      <c r="J4898">
        <f>(Table1[[#This Row],[value]] - Table1[[#This Row],[mean]]) / Table1[[#This Row],[std_dev]]</f>
        <v>-0.70708620324990656</v>
      </c>
      <c r="K4898">
        <f>AVERAGEIF(Table1[CountryCode],Table1[[#This Row],[CountryCode]],Table1[z-score])</f>
        <v>-0.76001533806857513</v>
      </c>
      <c r="L4898" t="e">
        <f>VLOOKUP(Table1[[#This Row],[CountryCode]],[1]!Table1[#All],1,FALSE)</f>
        <v>#REF!</v>
      </c>
    </row>
    <row r="4899" spans="1:12" hidden="1" x14ac:dyDescent="0.3">
      <c r="A4899" t="s">
        <v>21</v>
      </c>
      <c r="B4899" t="s">
        <v>22</v>
      </c>
      <c r="C4899" t="s">
        <v>127</v>
      </c>
      <c r="D4899" t="s">
        <v>128</v>
      </c>
      <c r="E4899">
        <v>2010</v>
      </c>
      <c r="F4899" s="1">
        <v>6429</v>
      </c>
      <c r="G4899">
        <v>2010</v>
      </c>
      <c r="H4899">
        <f>AVERAGEIFS(Table1[value],Table1[IndicatorCode],Table1[[#This Row],[IndicatorCode]])</f>
        <v>24902.88753799392</v>
      </c>
      <c r="I4899" cm="1">
        <f t="array" ref="I4899">_xlfn.STDEV.P(IF(Table1[IndicatorCode]=Table1[[#This Row],[IndicatorCode]],Table1[value]))</f>
        <v>26324.778297809873</v>
      </c>
      <c r="J4899">
        <f>(Table1[[#This Row],[value]] - Table1[[#This Row],[mean]]) / Table1[[#This Row],[std_dev]]</f>
        <v>-0.70176801981009962</v>
      </c>
      <c r="K4899">
        <f>AVERAGEIF(Table1[CountryCode],Table1[[#This Row],[CountryCode]],Table1[z-score])</f>
        <v>-0.76001533806857513</v>
      </c>
      <c r="L4899" t="e">
        <f>VLOOKUP(Table1[[#This Row],[CountryCode]],[1]!Table1[#All],1,FALSE)</f>
        <v>#REF!</v>
      </c>
    </row>
    <row r="4900" spans="1:12" hidden="1" x14ac:dyDescent="0.3">
      <c r="A4900" t="s">
        <v>21</v>
      </c>
      <c r="B4900" t="s">
        <v>22</v>
      </c>
      <c r="C4900" t="s">
        <v>127</v>
      </c>
      <c r="D4900" t="s">
        <v>128</v>
      </c>
      <c r="E4900">
        <v>2011</v>
      </c>
      <c r="F4900" s="1">
        <v>6605</v>
      </c>
      <c r="G4900">
        <v>2010</v>
      </c>
      <c r="H4900">
        <f>AVERAGEIFS(Table1[value],Table1[IndicatorCode],Table1[[#This Row],[IndicatorCode]])</f>
        <v>24902.88753799392</v>
      </c>
      <c r="I4900" cm="1">
        <f t="array" ref="I4900">_xlfn.STDEV.P(IF(Table1[IndicatorCode]=Table1[[#This Row],[IndicatorCode]],Table1[value]))</f>
        <v>26324.778297809873</v>
      </c>
      <c r="J4900">
        <f>(Table1[[#This Row],[value]] - Table1[[#This Row],[mean]]) / Table1[[#This Row],[std_dev]]</f>
        <v>-0.69508230348577094</v>
      </c>
      <c r="K4900">
        <f>AVERAGEIF(Table1[CountryCode],Table1[[#This Row],[CountryCode]],Table1[z-score])</f>
        <v>-0.76001533806857513</v>
      </c>
      <c r="L4900" t="e">
        <f>VLOOKUP(Table1[[#This Row],[CountryCode]],[1]!Table1[#All],1,FALSE)</f>
        <v>#REF!</v>
      </c>
    </row>
    <row r="4901" spans="1:12" hidden="1" x14ac:dyDescent="0.3">
      <c r="A4901" t="s">
        <v>21</v>
      </c>
      <c r="B4901" t="s">
        <v>22</v>
      </c>
      <c r="C4901" t="s">
        <v>127</v>
      </c>
      <c r="D4901" t="s">
        <v>128</v>
      </c>
      <c r="E4901">
        <v>2012</v>
      </c>
      <c r="F4901" s="1">
        <v>6693</v>
      </c>
      <c r="G4901">
        <v>2010</v>
      </c>
      <c r="H4901">
        <f>AVERAGEIFS(Table1[value],Table1[IndicatorCode],Table1[[#This Row],[IndicatorCode]])</f>
        <v>24902.88753799392</v>
      </c>
      <c r="I4901" cm="1">
        <f t="array" ref="I4901">_xlfn.STDEV.P(IF(Table1[IndicatorCode]=Table1[[#This Row],[IndicatorCode]],Table1[value]))</f>
        <v>26324.778297809873</v>
      </c>
      <c r="J4901">
        <f>(Table1[[#This Row],[value]] - Table1[[#This Row],[mean]]) / Table1[[#This Row],[std_dev]]</f>
        <v>-0.69173944532360665</v>
      </c>
      <c r="K4901">
        <f>AVERAGEIF(Table1[CountryCode],Table1[[#This Row],[CountryCode]],Table1[z-score])</f>
        <v>-0.76001533806857513</v>
      </c>
      <c r="L4901" t="e">
        <f>VLOOKUP(Table1[[#This Row],[CountryCode]],[1]!Table1[#All],1,FALSE)</f>
        <v>#REF!</v>
      </c>
    </row>
    <row r="4902" spans="1:12" hidden="1" x14ac:dyDescent="0.3">
      <c r="A4902" t="s">
        <v>21</v>
      </c>
      <c r="B4902" t="s">
        <v>22</v>
      </c>
      <c r="C4902" t="s">
        <v>127</v>
      </c>
      <c r="D4902" t="s">
        <v>128</v>
      </c>
      <c r="E4902">
        <v>2013</v>
      </c>
      <c r="F4902" s="1">
        <v>6793</v>
      </c>
      <c r="G4902">
        <v>2010</v>
      </c>
      <c r="H4902">
        <f>AVERAGEIFS(Table1[value],Table1[IndicatorCode],Table1[[#This Row],[IndicatorCode]])</f>
        <v>24902.88753799392</v>
      </c>
      <c r="I4902" cm="1">
        <f t="array" ref="I4902">_xlfn.STDEV.P(IF(Table1[IndicatorCode]=Table1[[#This Row],[IndicatorCode]],Table1[value]))</f>
        <v>26324.778297809873</v>
      </c>
      <c r="J4902">
        <f>(Table1[[#This Row],[value]] - Table1[[#This Row],[mean]]) / Table1[[#This Row],[std_dev]]</f>
        <v>-0.68794074286660178</v>
      </c>
      <c r="K4902">
        <f>AVERAGEIF(Table1[CountryCode],Table1[[#This Row],[CountryCode]],Table1[z-score])</f>
        <v>-0.76001533806857513</v>
      </c>
      <c r="L4902" t="e">
        <f>VLOOKUP(Table1[[#This Row],[CountryCode]],[1]!Table1[#All],1,FALSE)</f>
        <v>#REF!</v>
      </c>
    </row>
    <row r="4903" spans="1:12" hidden="1" x14ac:dyDescent="0.3">
      <c r="A4903" t="s">
        <v>21</v>
      </c>
      <c r="B4903" t="s">
        <v>22</v>
      </c>
      <c r="C4903" t="s">
        <v>127</v>
      </c>
      <c r="D4903" t="s">
        <v>128</v>
      </c>
      <c r="E4903">
        <v>2014</v>
      </c>
      <c r="F4903" s="1">
        <v>6941</v>
      </c>
      <c r="G4903">
        <v>2010</v>
      </c>
      <c r="H4903">
        <f>AVERAGEIFS(Table1[value],Table1[IndicatorCode],Table1[[#This Row],[IndicatorCode]])</f>
        <v>24902.88753799392</v>
      </c>
      <c r="I4903" cm="1">
        <f t="array" ref="I4903">_xlfn.STDEV.P(IF(Table1[IndicatorCode]=Table1[[#This Row],[IndicatorCode]],Table1[value]))</f>
        <v>26324.778297809873</v>
      </c>
      <c r="J4903">
        <f>(Table1[[#This Row],[value]] - Table1[[#This Row],[mean]]) / Table1[[#This Row],[std_dev]]</f>
        <v>-0.68231866323023449</v>
      </c>
      <c r="K4903">
        <f>AVERAGEIF(Table1[CountryCode],Table1[[#This Row],[CountryCode]],Table1[z-score])</f>
        <v>-0.76001533806857513</v>
      </c>
      <c r="L4903" t="e">
        <f>VLOOKUP(Table1[[#This Row],[CountryCode]],[1]!Table1[#All],1,FALSE)</f>
        <v>#REF!</v>
      </c>
    </row>
    <row r="4904" spans="1:12" hidden="1" x14ac:dyDescent="0.3">
      <c r="A4904" t="s">
        <v>21</v>
      </c>
      <c r="B4904" t="s">
        <v>22</v>
      </c>
      <c r="C4904" t="s">
        <v>127</v>
      </c>
      <c r="D4904" t="s">
        <v>128</v>
      </c>
      <c r="E4904">
        <v>2015</v>
      </c>
      <c r="F4904" s="1">
        <v>7269</v>
      </c>
      <c r="G4904">
        <v>2010</v>
      </c>
      <c r="H4904">
        <f>AVERAGEIFS(Table1[value],Table1[IndicatorCode],Table1[[#This Row],[IndicatorCode]])</f>
        <v>24902.88753799392</v>
      </c>
      <c r="I4904" cm="1">
        <f t="array" ref="I4904">_xlfn.STDEV.P(IF(Table1[IndicatorCode]=Table1[[#This Row],[IndicatorCode]],Table1[value]))</f>
        <v>26324.778297809873</v>
      </c>
      <c r="J4904">
        <f>(Table1[[#This Row],[value]] - Table1[[#This Row],[mean]]) / Table1[[#This Row],[std_dev]]</f>
        <v>-0.66985891917125839</v>
      </c>
      <c r="K4904">
        <f>AVERAGEIF(Table1[CountryCode],Table1[[#This Row],[CountryCode]],Table1[z-score])</f>
        <v>-0.76001533806857513</v>
      </c>
      <c r="L4904" t="e">
        <f>VLOOKUP(Table1[[#This Row],[CountryCode]],[1]!Table1[#All],1,FALSE)</f>
        <v>#REF!</v>
      </c>
    </row>
    <row r="4905" spans="1:12" hidden="1" x14ac:dyDescent="0.3">
      <c r="A4905" t="s">
        <v>21</v>
      </c>
      <c r="B4905" t="s">
        <v>22</v>
      </c>
      <c r="C4905" t="s">
        <v>127</v>
      </c>
      <c r="D4905" t="s">
        <v>128</v>
      </c>
      <c r="E4905">
        <v>2016</v>
      </c>
      <c r="F4905" s="1">
        <v>7587</v>
      </c>
      <c r="G4905">
        <v>2010</v>
      </c>
      <c r="H4905">
        <f>AVERAGEIFS(Table1[value],Table1[IndicatorCode],Table1[[#This Row],[IndicatorCode]])</f>
        <v>24902.88753799392</v>
      </c>
      <c r="I4905" cm="1">
        <f t="array" ref="I4905">_xlfn.STDEV.P(IF(Table1[IndicatorCode]=Table1[[#This Row],[IndicatorCode]],Table1[value]))</f>
        <v>26324.778297809873</v>
      </c>
      <c r="J4905">
        <f>(Table1[[#This Row],[value]] - Table1[[#This Row],[mean]]) / Table1[[#This Row],[std_dev]]</f>
        <v>-0.65777904535798271</v>
      </c>
      <c r="K4905">
        <f>AVERAGEIF(Table1[CountryCode],Table1[[#This Row],[CountryCode]],Table1[z-score])</f>
        <v>-0.76001533806857513</v>
      </c>
      <c r="L4905" t="e">
        <f>VLOOKUP(Table1[[#This Row],[CountryCode]],[1]!Table1[#All],1,FALSE)</f>
        <v>#REF!</v>
      </c>
    </row>
    <row r="4906" spans="1:12" hidden="1" x14ac:dyDescent="0.3">
      <c r="A4906" t="s">
        <v>21</v>
      </c>
      <c r="B4906" t="s">
        <v>22</v>
      </c>
      <c r="C4906" t="s">
        <v>127</v>
      </c>
      <c r="D4906" t="s">
        <v>128</v>
      </c>
      <c r="E4906">
        <v>2017</v>
      </c>
      <c r="F4906" s="1">
        <v>7899</v>
      </c>
      <c r="G4906">
        <v>2020</v>
      </c>
      <c r="H4906">
        <f>AVERAGEIFS(Table1[value],Table1[IndicatorCode],Table1[[#This Row],[IndicatorCode]])</f>
        <v>24902.88753799392</v>
      </c>
      <c r="I4906" cm="1">
        <f t="array" ref="I4906">_xlfn.STDEV.P(IF(Table1[IndicatorCode]=Table1[[#This Row],[IndicatorCode]],Table1[value]))</f>
        <v>26324.778297809873</v>
      </c>
      <c r="J4906">
        <f>(Table1[[#This Row],[value]] - Table1[[#This Row],[mean]]) / Table1[[#This Row],[std_dev]]</f>
        <v>-0.64592709369212742</v>
      </c>
      <c r="K4906">
        <f>AVERAGEIF(Table1[CountryCode],Table1[[#This Row],[CountryCode]],Table1[z-score])</f>
        <v>-0.76001533806857513</v>
      </c>
      <c r="L4906" t="e">
        <f>VLOOKUP(Table1[[#This Row],[CountryCode]],[1]!Table1[#All],1,FALSE)</f>
        <v>#REF!</v>
      </c>
    </row>
    <row r="4907" spans="1:12" hidden="1" x14ac:dyDescent="0.3">
      <c r="A4907" t="s">
        <v>21</v>
      </c>
      <c r="B4907" t="s">
        <v>22</v>
      </c>
      <c r="C4907" t="s">
        <v>127</v>
      </c>
      <c r="D4907" t="s">
        <v>128</v>
      </c>
      <c r="E4907">
        <v>2018</v>
      </c>
      <c r="F4907" s="1">
        <v>8194</v>
      </c>
      <c r="G4907">
        <v>2020</v>
      </c>
      <c r="H4907">
        <f>AVERAGEIFS(Table1[value],Table1[IndicatorCode],Table1[[#This Row],[IndicatorCode]])</f>
        <v>24902.88753799392</v>
      </c>
      <c r="I4907" cm="1">
        <f t="array" ref="I4907">_xlfn.STDEV.P(IF(Table1[IndicatorCode]=Table1[[#This Row],[IndicatorCode]],Table1[value]))</f>
        <v>26324.778297809873</v>
      </c>
      <c r="J4907">
        <f>(Table1[[#This Row],[value]] - Table1[[#This Row],[mean]]) / Table1[[#This Row],[std_dev]]</f>
        <v>-0.63472092144396286</v>
      </c>
      <c r="K4907">
        <f>AVERAGEIF(Table1[CountryCode],Table1[[#This Row],[CountryCode]],Table1[z-score])</f>
        <v>-0.76001533806857513</v>
      </c>
      <c r="L4907" t="e">
        <f>VLOOKUP(Table1[[#This Row],[CountryCode]],[1]!Table1[#All],1,FALSE)</f>
        <v>#REF!</v>
      </c>
    </row>
    <row r="4908" spans="1:12" hidden="1" x14ac:dyDescent="0.3">
      <c r="A4908" t="s">
        <v>21</v>
      </c>
      <c r="B4908" t="s">
        <v>22</v>
      </c>
      <c r="C4908" t="s">
        <v>127</v>
      </c>
      <c r="D4908" t="s">
        <v>128</v>
      </c>
      <c r="E4908">
        <v>2019</v>
      </c>
      <c r="F4908" s="1">
        <v>8626</v>
      </c>
      <c r="G4908">
        <v>2020</v>
      </c>
      <c r="H4908">
        <f>AVERAGEIFS(Table1[value],Table1[IndicatorCode],Table1[[#This Row],[IndicatorCode]])</f>
        <v>24902.88753799392</v>
      </c>
      <c r="I4908" cm="1">
        <f t="array" ref="I4908">_xlfn.STDEV.P(IF(Table1[IndicatorCode]=Table1[[#This Row],[IndicatorCode]],Table1[value]))</f>
        <v>26324.778297809873</v>
      </c>
      <c r="J4908">
        <f>(Table1[[#This Row],[value]] - Table1[[#This Row],[mean]]) / Table1[[#This Row],[std_dev]]</f>
        <v>-0.61831052682970167</v>
      </c>
      <c r="K4908">
        <f>AVERAGEIF(Table1[CountryCode],Table1[[#This Row],[CountryCode]],Table1[z-score])</f>
        <v>-0.76001533806857513</v>
      </c>
      <c r="L4908" t="e">
        <f>VLOOKUP(Table1[[#This Row],[CountryCode]],[1]!Table1[#All],1,FALSE)</f>
        <v>#REF!</v>
      </c>
    </row>
    <row r="4909" spans="1:12" x14ac:dyDescent="0.3">
      <c r="A4909" t="s">
        <v>13</v>
      </c>
      <c r="B4909" t="s">
        <v>14</v>
      </c>
      <c r="C4909" t="s">
        <v>127</v>
      </c>
      <c r="D4909" t="s">
        <v>128</v>
      </c>
      <c r="E4909">
        <v>2020</v>
      </c>
      <c r="F4909" s="1">
        <v>4032</v>
      </c>
      <c r="G4909">
        <v>2020</v>
      </c>
      <c r="H4909">
        <f>AVERAGEIFS(Table1[value],Table1[IndicatorCode],Table1[[#This Row],[IndicatorCode]])</f>
        <v>24902.88753799392</v>
      </c>
      <c r="I4909" cm="1">
        <f t="array" ref="I4909">_xlfn.STDEV.P(IF(Table1[IndicatorCode]=Table1[[#This Row],[IndicatorCode]],Table1[value]))</f>
        <v>26324.778297809873</v>
      </c>
      <c r="J4909">
        <f>(Table1[[#This Row],[value]] - Table1[[#This Row],[mean]]) / Table1[[#This Row],[std_dev]]</f>
        <v>-0.79282291770450741</v>
      </c>
      <c r="K4909">
        <f>AVERAGEIF(Table1[CountryCode],Table1[[#This Row],[CountryCode]],Table1[z-score])</f>
        <v>-0.71856813961256161</v>
      </c>
    </row>
    <row r="4910" spans="1:12" hidden="1" x14ac:dyDescent="0.3">
      <c r="A4910" t="s">
        <v>21</v>
      </c>
      <c r="B4910" t="s">
        <v>22</v>
      </c>
      <c r="C4910" t="s">
        <v>127</v>
      </c>
      <c r="D4910" t="s">
        <v>128</v>
      </c>
      <c r="E4910">
        <v>2021</v>
      </c>
      <c r="F4910" s="1">
        <v>9161</v>
      </c>
      <c r="G4910">
        <v>2020</v>
      </c>
      <c r="H4910">
        <f>AVERAGEIFS(Table1[value],Table1[IndicatorCode],Table1[[#This Row],[IndicatorCode]])</f>
        <v>24902.88753799392</v>
      </c>
      <c r="I4910" cm="1">
        <f t="array" ref="I4910">_xlfn.STDEV.P(IF(Table1[IndicatorCode]=Table1[[#This Row],[IndicatorCode]],Table1[value]))</f>
        <v>26324.778297809873</v>
      </c>
      <c r="J4910">
        <f>(Table1[[#This Row],[value]] - Table1[[#This Row],[mean]]) / Table1[[#This Row],[std_dev]]</f>
        <v>-0.59798746868472541</v>
      </c>
      <c r="K4910">
        <f>AVERAGEIF(Table1[CountryCode],Table1[[#This Row],[CountryCode]],Table1[z-score])</f>
        <v>-0.76001533806857513</v>
      </c>
      <c r="L4910" t="e">
        <f>VLOOKUP(Table1[[#This Row],[CountryCode]],[1]!Table1[#All],1,FALSE)</f>
        <v>#REF!</v>
      </c>
    </row>
    <row r="4911" spans="1:12" hidden="1" x14ac:dyDescent="0.3">
      <c r="A4911" t="s">
        <v>21</v>
      </c>
      <c r="B4911" t="s">
        <v>22</v>
      </c>
      <c r="C4911" t="s">
        <v>127</v>
      </c>
      <c r="D4911" t="s">
        <v>128</v>
      </c>
      <c r="E4911">
        <v>2022</v>
      </c>
      <c r="F4911" s="1">
        <v>9598</v>
      </c>
      <c r="G4911">
        <v>1990</v>
      </c>
      <c r="H4911">
        <f>AVERAGEIFS(Table1[value],Table1[IndicatorCode],Table1[[#This Row],[IndicatorCode]])</f>
        <v>24902.88753799392</v>
      </c>
      <c r="I4911" cm="1">
        <f t="array" ref="I4911">_xlfn.STDEV.P(IF(Table1[IndicatorCode]=Table1[[#This Row],[IndicatorCode]],Table1[value]))</f>
        <v>26324.778297809873</v>
      </c>
      <c r="J4911">
        <f>(Table1[[#This Row],[value]] - Table1[[#This Row],[mean]]) / Table1[[#This Row],[std_dev]]</f>
        <v>-0.58138713894761396</v>
      </c>
      <c r="K4911">
        <f>AVERAGEIF(Table1[CountryCode],Table1[[#This Row],[CountryCode]],Table1[z-score])</f>
        <v>-0.76001533806857513</v>
      </c>
      <c r="L4911" t="e">
        <f>VLOOKUP(Table1[[#This Row],[CountryCode]],[1]!Table1[#All],1,FALSE)</f>
        <v>#REF!</v>
      </c>
    </row>
    <row r="4912" spans="1:12" hidden="1" x14ac:dyDescent="0.3">
      <c r="A4912" t="s">
        <v>21</v>
      </c>
      <c r="B4912" t="s">
        <v>22</v>
      </c>
      <c r="C4912" t="s">
        <v>127</v>
      </c>
      <c r="D4912" t="s">
        <v>128</v>
      </c>
      <c r="E4912">
        <v>2023</v>
      </c>
      <c r="F4912" s="1">
        <v>9787</v>
      </c>
      <c r="G4912">
        <v>1990</v>
      </c>
      <c r="H4912">
        <f>AVERAGEIFS(Table1[value],Table1[IndicatorCode],Table1[[#This Row],[IndicatorCode]])</f>
        <v>24902.88753799392</v>
      </c>
      <c r="I4912" cm="1">
        <f t="array" ref="I4912">_xlfn.STDEV.P(IF(Table1[IndicatorCode]=Table1[[#This Row],[IndicatorCode]],Table1[value]))</f>
        <v>26324.778297809873</v>
      </c>
      <c r="J4912">
        <f>(Table1[[#This Row],[value]] - Table1[[#This Row],[mean]]) / Table1[[#This Row],[std_dev]]</f>
        <v>-0.57420759130387466</v>
      </c>
      <c r="K4912">
        <f>AVERAGEIF(Table1[CountryCode],Table1[[#This Row],[CountryCode]],Table1[z-score])</f>
        <v>-0.76001533806857513</v>
      </c>
      <c r="L4912" t="e">
        <f>VLOOKUP(Table1[[#This Row],[CountryCode]],[1]!Table1[#All],1,FALSE)</f>
        <v>#REF!</v>
      </c>
    </row>
    <row r="4913" spans="1:12" hidden="1" x14ac:dyDescent="0.3">
      <c r="A4913" t="s">
        <v>21</v>
      </c>
      <c r="B4913" t="s">
        <v>22</v>
      </c>
      <c r="C4913" t="s">
        <v>127</v>
      </c>
      <c r="D4913" t="s">
        <v>128</v>
      </c>
      <c r="E4913">
        <v>2024</v>
      </c>
      <c r="F4913" s="1">
        <v>10127</v>
      </c>
      <c r="G4913">
        <v>1990</v>
      </c>
      <c r="H4913">
        <f>AVERAGEIFS(Table1[value],Table1[IndicatorCode],Table1[[#This Row],[IndicatorCode]])</f>
        <v>24902.88753799392</v>
      </c>
      <c r="I4913" cm="1">
        <f t="array" ref="I4913">_xlfn.STDEV.P(IF(Table1[IndicatorCode]=Table1[[#This Row],[IndicatorCode]],Table1[value]))</f>
        <v>26324.778297809873</v>
      </c>
      <c r="J4913">
        <f>(Table1[[#This Row],[value]] - Table1[[#This Row],[mean]]) / Table1[[#This Row],[std_dev]]</f>
        <v>-0.56129200295005788</v>
      </c>
      <c r="K4913">
        <f>AVERAGEIF(Table1[CountryCode],Table1[[#This Row],[CountryCode]],Table1[z-score])</f>
        <v>-0.76001533806857513</v>
      </c>
      <c r="L4913" t="e">
        <f>VLOOKUP(Table1[[#This Row],[CountryCode]],[1]!Table1[#All],1,FALSE)</f>
        <v>#REF!</v>
      </c>
    </row>
    <row r="4914" spans="1:12" hidden="1" x14ac:dyDescent="0.3">
      <c r="A4914" t="s">
        <v>23</v>
      </c>
      <c r="B4914" t="s">
        <v>24</v>
      </c>
      <c r="C4914" t="s">
        <v>127</v>
      </c>
      <c r="D4914" t="s">
        <v>128</v>
      </c>
      <c r="E4914">
        <v>1990</v>
      </c>
      <c r="F4914" s="1">
        <v>791</v>
      </c>
      <c r="G4914">
        <v>1990</v>
      </c>
      <c r="H4914">
        <f>AVERAGEIFS(Table1[value],Table1[IndicatorCode],Table1[[#This Row],[IndicatorCode]])</f>
        <v>24902.88753799392</v>
      </c>
      <c r="I4914" cm="1">
        <f t="array" ref="I4914">_xlfn.STDEV.P(IF(Table1[IndicatorCode]=Table1[[#This Row],[IndicatorCode]],Table1[value]))</f>
        <v>26324.778297809873</v>
      </c>
      <c r="J4914">
        <f>(Table1[[#This Row],[value]] - Table1[[#This Row],[mean]]) / Table1[[#This Row],[std_dev]]</f>
        <v>-0.91593886433603666</v>
      </c>
      <c r="K4914">
        <f>AVERAGEIF(Table1[CountryCode],Table1[[#This Row],[CountryCode]],Table1[z-score])</f>
        <v>-0.44941710005999458</v>
      </c>
      <c r="L4914" t="e">
        <f>VLOOKUP(Table1[[#This Row],[CountryCode]],[1]!Table1[#All],1,FALSE)</f>
        <v>#REF!</v>
      </c>
    </row>
    <row r="4915" spans="1:12" hidden="1" x14ac:dyDescent="0.3">
      <c r="A4915" t="s">
        <v>23</v>
      </c>
      <c r="B4915" t="s">
        <v>24</v>
      </c>
      <c r="C4915" t="s">
        <v>127</v>
      </c>
      <c r="D4915" t="s">
        <v>128</v>
      </c>
      <c r="E4915">
        <v>1991</v>
      </c>
      <c r="F4915" s="1">
        <v>716</v>
      </c>
      <c r="G4915">
        <v>1990</v>
      </c>
      <c r="H4915">
        <f>AVERAGEIFS(Table1[value],Table1[IndicatorCode],Table1[[#This Row],[IndicatorCode]])</f>
        <v>24902.88753799392</v>
      </c>
      <c r="I4915" cm="1">
        <f t="array" ref="I4915">_xlfn.STDEV.P(IF(Table1[IndicatorCode]=Table1[[#This Row],[IndicatorCode]],Table1[value]))</f>
        <v>26324.778297809873</v>
      </c>
      <c r="J4915">
        <f>(Table1[[#This Row],[value]] - Table1[[#This Row],[mean]]) / Table1[[#This Row],[std_dev]]</f>
        <v>-0.91878789117879034</v>
      </c>
      <c r="K4915">
        <f>AVERAGEIF(Table1[CountryCode],Table1[[#This Row],[CountryCode]],Table1[z-score])</f>
        <v>-0.44941710005999458</v>
      </c>
      <c r="L4915" t="e">
        <f>VLOOKUP(Table1[[#This Row],[CountryCode]],[1]!Table1[#All],1,FALSE)</f>
        <v>#REF!</v>
      </c>
    </row>
    <row r="4916" spans="1:12" hidden="1" x14ac:dyDescent="0.3">
      <c r="A4916" t="s">
        <v>23</v>
      </c>
      <c r="B4916" t="s">
        <v>24</v>
      </c>
      <c r="C4916" t="s">
        <v>127</v>
      </c>
      <c r="D4916" t="s">
        <v>128</v>
      </c>
      <c r="E4916">
        <v>1992</v>
      </c>
      <c r="F4916" s="1">
        <v>705</v>
      </c>
      <c r="G4916">
        <v>1990</v>
      </c>
      <c r="H4916">
        <f>AVERAGEIFS(Table1[value],Table1[IndicatorCode],Table1[[#This Row],[IndicatorCode]])</f>
        <v>24902.88753799392</v>
      </c>
      <c r="I4916" cm="1">
        <f t="array" ref="I4916">_xlfn.STDEV.P(IF(Table1[IndicatorCode]=Table1[[#This Row],[IndicatorCode]],Table1[value]))</f>
        <v>26324.778297809873</v>
      </c>
      <c r="J4916">
        <f>(Table1[[#This Row],[value]] - Table1[[#This Row],[mean]]) / Table1[[#This Row],[std_dev]]</f>
        <v>-0.91920574844906089</v>
      </c>
      <c r="K4916">
        <f>AVERAGEIF(Table1[CountryCode],Table1[[#This Row],[CountryCode]],Table1[z-score])</f>
        <v>-0.44941710005999458</v>
      </c>
      <c r="L4916" t="e">
        <f>VLOOKUP(Table1[[#This Row],[CountryCode]],[1]!Table1[#All],1,FALSE)</f>
        <v>#REF!</v>
      </c>
    </row>
    <row r="4917" spans="1:12" hidden="1" x14ac:dyDescent="0.3">
      <c r="A4917" t="s">
        <v>23</v>
      </c>
      <c r="B4917" t="s">
        <v>24</v>
      </c>
      <c r="C4917" t="s">
        <v>127</v>
      </c>
      <c r="D4917" t="s">
        <v>128</v>
      </c>
      <c r="E4917">
        <v>1993</v>
      </c>
      <c r="F4917" s="1">
        <v>748</v>
      </c>
      <c r="G4917">
        <v>1990</v>
      </c>
      <c r="H4917">
        <f>AVERAGEIFS(Table1[value],Table1[IndicatorCode],Table1[[#This Row],[IndicatorCode]])</f>
        <v>24902.88753799392</v>
      </c>
      <c r="I4917" cm="1">
        <f t="array" ref="I4917">_xlfn.STDEV.P(IF(Table1[IndicatorCode]=Table1[[#This Row],[IndicatorCode]],Table1[value]))</f>
        <v>26324.778297809873</v>
      </c>
      <c r="J4917">
        <f>(Table1[[#This Row],[value]] - Table1[[#This Row],[mean]]) / Table1[[#This Row],[std_dev]]</f>
        <v>-0.91757230639254883</v>
      </c>
      <c r="K4917">
        <f>AVERAGEIF(Table1[CountryCode],Table1[[#This Row],[CountryCode]],Table1[z-score])</f>
        <v>-0.44941710005999458</v>
      </c>
      <c r="L4917" t="e">
        <f>VLOOKUP(Table1[[#This Row],[CountryCode]],[1]!Table1[#All],1,FALSE)</f>
        <v>#REF!</v>
      </c>
    </row>
    <row r="4918" spans="1:12" hidden="1" x14ac:dyDescent="0.3">
      <c r="A4918" t="s">
        <v>23</v>
      </c>
      <c r="B4918" t="s">
        <v>24</v>
      </c>
      <c r="C4918" t="s">
        <v>127</v>
      </c>
      <c r="D4918" t="s">
        <v>128</v>
      </c>
      <c r="E4918">
        <v>1994</v>
      </c>
      <c r="F4918" s="1">
        <v>871</v>
      </c>
      <c r="G4918">
        <v>1990</v>
      </c>
      <c r="H4918">
        <f>AVERAGEIFS(Table1[value],Table1[IndicatorCode],Table1[[#This Row],[IndicatorCode]])</f>
        <v>24902.88753799392</v>
      </c>
      <c r="I4918" cm="1">
        <f t="array" ref="I4918">_xlfn.STDEV.P(IF(Table1[IndicatorCode]=Table1[[#This Row],[IndicatorCode]],Table1[value]))</f>
        <v>26324.778297809873</v>
      </c>
      <c r="J4918">
        <f>(Table1[[#This Row],[value]] - Table1[[#This Row],[mean]]) / Table1[[#This Row],[std_dev]]</f>
        <v>-0.91289990237043273</v>
      </c>
      <c r="K4918">
        <f>AVERAGEIF(Table1[CountryCode],Table1[[#This Row],[CountryCode]],Table1[z-score])</f>
        <v>-0.44941710005999458</v>
      </c>
      <c r="L4918" t="e">
        <f>VLOOKUP(Table1[[#This Row],[CountryCode]],[1]!Table1[#All],1,FALSE)</f>
        <v>#REF!</v>
      </c>
    </row>
    <row r="4919" spans="1:12" hidden="1" x14ac:dyDescent="0.3">
      <c r="A4919" t="s">
        <v>23</v>
      </c>
      <c r="B4919" t="s">
        <v>24</v>
      </c>
      <c r="C4919" t="s">
        <v>127</v>
      </c>
      <c r="D4919" t="s">
        <v>128</v>
      </c>
      <c r="E4919">
        <v>1995</v>
      </c>
      <c r="F4919" s="1">
        <v>1013</v>
      </c>
      <c r="G4919">
        <v>1990</v>
      </c>
      <c r="H4919">
        <f>AVERAGEIFS(Table1[value],Table1[IndicatorCode],Table1[[#This Row],[IndicatorCode]])</f>
        <v>24902.88753799392</v>
      </c>
      <c r="I4919" cm="1">
        <f t="array" ref="I4919">_xlfn.STDEV.P(IF(Table1[IndicatorCode]=Table1[[#This Row],[IndicatorCode]],Table1[value]))</f>
        <v>26324.778297809873</v>
      </c>
      <c r="J4919">
        <f>(Table1[[#This Row],[value]] - Table1[[#This Row],[mean]]) / Table1[[#This Row],[std_dev]]</f>
        <v>-0.90750574488148572</v>
      </c>
      <c r="K4919">
        <f>AVERAGEIF(Table1[CountryCode],Table1[[#This Row],[CountryCode]],Table1[z-score])</f>
        <v>-0.44941710005999458</v>
      </c>
      <c r="L4919" t="e">
        <f>VLOOKUP(Table1[[#This Row],[CountryCode]],[1]!Table1[#All],1,FALSE)</f>
        <v>#REF!</v>
      </c>
    </row>
    <row r="4920" spans="1:12" hidden="1" x14ac:dyDescent="0.3">
      <c r="A4920" t="s">
        <v>23</v>
      </c>
      <c r="B4920" t="s">
        <v>24</v>
      </c>
      <c r="C4920" t="s">
        <v>127</v>
      </c>
      <c r="D4920" t="s">
        <v>128</v>
      </c>
      <c r="E4920">
        <v>1996</v>
      </c>
      <c r="F4920" s="1">
        <v>1498</v>
      </c>
      <c r="G4920">
        <v>1990</v>
      </c>
      <c r="H4920">
        <f>AVERAGEIFS(Table1[value],Table1[IndicatorCode],Table1[[#This Row],[IndicatorCode]])</f>
        <v>24902.88753799392</v>
      </c>
      <c r="I4920" cm="1">
        <f t="array" ref="I4920">_xlfn.STDEV.P(IF(Table1[IndicatorCode]=Table1[[#This Row],[IndicatorCode]],Table1[value]))</f>
        <v>26324.778297809873</v>
      </c>
      <c r="J4920">
        <f>(Table1[[#This Row],[value]] - Table1[[#This Row],[mean]]) / Table1[[#This Row],[std_dev]]</f>
        <v>-0.88908203796501195</v>
      </c>
      <c r="K4920">
        <f>AVERAGEIF(Table1[CountryCode],Table1[[#This Row],[CountryCode]],Table1[z-score])</f>
        <v>-0.44941710005999458</v>
      </c>
      <c r="L4920" t="e">
        <f>VLOOKUP(Table1[[#This Row],[CountryCode]],[1]!Table1[#All],1,FALSE)</f>
        <v>#REF!</v>
      </c>
    </row>
    <row r="4921" spans="1:12" hidden="1" x14ac:dyDescent="0.3">
      <c r="A4921" t="s">
        <v>23</v>
      </c>
      <c r="B4921" t="s">
        <v>24</v>
      </c>
      <c r="C4921" t="s">
        <v>127</v>
      </c>
      <c r="D4921" t="s">
        <v>128</v>
      </c>
      <c r="E4921">
        <v>1997</v>
      </c>
      <c r="F4921" s="1">
        <v>1974</v>
      </c>
      <c r="G4921">
        <v>2000</v>
      </c>
      <c r="H4921">
        <f>AVERAGEIFS(Table1[value],Table1[IndicatorCode],Table1[[#This Row],[IndicatorCode]])</f>
        <v>24902.88753799392</v>
      </c>
      <c r="I4921" cm="1">
        <f t="array" ref="I4921">_xlfn.STDEV.P(IF(Table1[IndicatorCode]=Table1[[#This Row],[IndicatorCode]],Table1[value]))</f>
        <v>26324.778297809873</v>
      </c>
      <c r="J4921">
        <f>(Table1[[#This Row],[value]] - Table1[[#This Row],[mean]]) / Table1[[#This Row],[std_dev]]</f>
        <v>-0.87100021426966856</v>
      </c>
      <c r="K4921">
        <f>AVERAGEIF(Table1[CountryCode],Table1[[#This Row],[CountryCode]],Table1[z-score])</f>
        <v>-0.44941710005999458</v>
      </c>
      <c r="L4921" t="e">
        <f>VLOOKUP(Table1[[#This Row],[CountryCode]],[1]!Table1[#All],1,FALSE)</f>
        <v>#REF!</v>
      </c>
    </row>
    <row r="4922" spans="1:12" hidden="1" x14ac:dyDescent="0.3">
      <c r="A4922" t="s">
        <v>23</v>
      </c>
      <c r="B4922" t="s">
        <v>24</v>
      </c>
      <c r="C4922" t="s">
        <v>127</v>
      </c>
      <c r="D4922" t="s">
        <v>128</v>
      </c>
      <c r="E4922">
        <v>1998</v>
      </c>
      <c r="F4922" s="1">
        <v>2262</v>
      </c>
      <c r="G4922">
        <v>2000</v>
      </c>
      <c r="H4922">
        <f>AVERAGEIFS(Table1[value],Table1[IndicatorCode],Table1[[#This Row],[IndicatorCode]])</f>
        <v>24902.88753799392</v>
      </c>
      <c r="I4922" cm="1">
        <f t="array" ref="I4922">_xlfn.STDEV.P(IF(Table1[IndicatorCode]=Table1[[#This Row],[IndicatorCode]],Table1[value]))</f>
        <v>26324.778297809873</v>
      </c>
      <c r="J4922">
        <f>(Table1[[#This Row],[value]] - Table1[[#This Row],[mean]]) / Table1[[#This Row],[std_dev]]</f>
        <v>-0.86005995119349443</v>
      </c>
      <c r="K4922">
        <f>AVERAGEIF(Table1[CountryCode],Table1[[#This Row],[CountryCode]],Table1[z-score])</f>
        <v>-0.44941710005999458</v>
      </c>
      <c r="L4922" t="e">
        <f>VLOOKUP(Table1[[#This Row],[CountryCode]],[1]!Table1[#All],1,FALSE)</f>
        <v>#REF!</v>
      </c>
    </row>
    <row r="4923" spans="1:12" hidden="1" x14ac:dyDescent="0.3">
      <c r="A4923" t="s">
        <v>23</v>
      </c>
      <c r="B4923" t="s">
        <v>24</v>
      </c>
      <c r="C4923" t="s">
        <v>127</v>
      </c>
      <c r="D4923" t="s">
        <v>128</v>
      </c>
      <c r="E4923">
        <v>1999</v>
      </c>
      <c r="F4923" s="1">
        <v>2453</v>
      </c>
      <c r="G4923">
        <v>2000</v>
      </c>
      <c r="H4923">
        <f>AVERAGEIFS(Table1[value],Table1[IndicatorCode],Table1[[#This Row],[IndicatorCode]])</f>
        <v>24902.88753799392</v>
      </c>
      <c r="I4923" cm="1">
        <f t="array" ref="I4923">_xlfn.STDEV.P(IF(Table1[IndicatorCode]=Table1[[#This Row],[IndicatorCode]],Table1[value]))</f>
        <v>26324.778297809873</v>
      </c>
      <c r="J4923">
        <f>(Table1[[#This Row],[value]] - Table1[[#This Row],[mean]]) / Table1[[#This Row],[std_dev]]</f>
        <v>-0.85280442950061497</v>
      </c>
      <c r="K4923">
        <f>AVERAGEIF(Table1[CountryCode],Table1[[#This Row],[CountryCode]],Table1[z-score])</f>
        <v>-0.44941710005999458</v>
      </c>
      <c r="L4923" t="e">
        <f>VLOOKUP(Table1[[#This Row],[CountryCode]],[1]!Table1[#All],1,FALSE)</f>
        <v>#REF!</v>
      </c>
    </row>
    <row r="4924" spans="1:12" hidden="1" x14ac:dyDescent="0.3">
      <c r="A4924" t="s">
        <v>23</v>
      </c>
      <c r="B4924" t="s">
        <v>24</v>
      </c>
      <c r="C4924" t="s">
        <v>127</v>
      </c>
      <c r="D4924" t="s">
        <v>128</v>
      </c>
      <c r="E4924">
        <v>2000</v>
      </c>
      <c r="F4924" s="1">
        <v>2567</v>
      </c>
      <c r="G4924">
        <v>2000</v>
      </c>
      <c r="H4924">
        <f>AVERAGEIFS(Table1[value],Table1[IndicatorCode],Table1[[#This Row],[IndicatorCode]])</f>
        <v>24902.88753799392</v>
      </c>
      <c r="I4924" cm="1">
        <f t="array" ref="I4924">_xlfn.STDEV.P(IF(Table1[IndicatorCode]=Table1[[#This Row],[IndicatorCode]],Table1[value]))</f>
        <v>26324.778297809873</v>
      </c>
      <c r="J4924">
        <f>(Table1[[#This Row],[value]] - Table1[[#This Row],[mean]]) / Table1[[#This Row],[std_dev]]</f>
        <v>-0.84847390869962946</v>
      </c>
      <c r="K4924">
        <f>AVERAGEIF(Table1[CountryCode],Table1[[#This Row],[CountryCode]],Table1[z-score])</f>
        <v>-0.44941710005999458</v>
      </c>
      <c r="L4924" t="e">
        <f>VLOOKUP(Table1[[#This Row],[CountryCode]],[1]!Table1[#All],1,FALSE)</f>
        <v>#REF!</v>
      </c>
    </row>
    <row r="4925" spans="1:12" hidden="1" x14ac:dyDescent="0.3">
      <c r="A4925" t="s">
        <v>23</v>
      </c>
      <c r="B4925" t="s">
        <v>24</v>
      </c>
      <c r="C4925" t="s">
        <v>127</v>
      </c>
      <c r="D4925" t="s">
        <v>128</v>
      </c>
      <c r="E4925">
        <v>2001</v>
      </c>
      <c r="F4925" s="1">
        <v>2617</v>
      </c>
      <c r="G4925">
        <v>2000</v>
      </c>
      <c r="H4925">
        <f>AVERAGEIFS(Table1[value],Table1[IndicatorCode],Table1[[#This Row],[IndicatorCode]])</f>
        <v>24902.88753799392</v>
      </c>
      <c r="I4925" cm="1">
        <f t="array" ref="I4925">_xlfn.STDEV.P(IF(Table1[IndicatorCode]=Table1[[#This Row],[IndicatorCode]],Table1[value]))</f>
        <v>26324.778297809873</v>
      </c>
      <c r="J4925">
        <f>(Table1[[#This Row],[value]] - Table1[[#This Row],[mean]]) / Table1[[#This Row],[std_dev]]</f>
        <v>-0.84657455747112698</v>
      </c>
      <c r="K4925">
        <f>AVERAGEIF(Table1[CountryCode],Table1[[#This Row],[CountryCode]],Table1[z-score])</f>
        <v>-0.44941710005999458</v>
      </c>
      <c r="L4925" t="e">
        <f>VLOOKUP(Table1[[#This Row],[CountryCode]],[1]!Table1[#All],1,FALSE)</f>
        <v>#REF!</v>
      </c>
    </row>
    <row r="4926" spans="1:12" hidden="1" x14ac:dyDescent="0.3">
      <c r="A4926" t="s">
        <v>23</v>
      </c>
      <c r="B4926" t="s">
        <v>24</v>
      </c>
      <c r="C4926" t="s">
        <v>127</v>
      </c>
      <c r="D4926" t="s">
        <v>128</v>
      </c>
      <c r="E4926">
        <v>2002</v>
      </c>
      <c r="F4926" s="1">
        <v>2743</v>
      </c>
      <c r="G4926">
        <v>2000</v>
      </c>
      <c r="H4926">
        <f>AVERAGEIFS(Table1[value],Table1[IndicatorCode],Table1[[#This Row],[IndicatorCode]])</f>
        <v>24902.88753799392</v>
      </c>
      <c r="I4926" cm="1">
        <f t="array" ref="I4926">_xlfn.STDEV.P(IF(Table1[IndicatorCode]=Table1[[#This Row],[IndicatorCode]],Table1[value]))</f>
        <v>26324.778297809873</v>
      </c>
      <c r="J4926">
        <f>(Table1[[#This Row],[value]] - Table1[[#This Row],[mean]]) / Table1[[#This Row],[std_dev]]</f>
        <v>-0.84178819237530078</v>
      </c>
      <c r="K4926">
        <f>AVERAGEIF(Table1[CountryCode],Table1[[#This Row],[CountryCode]],Table1[z-score])</f>
        <v>-0.44941710005999458</v>
      </c>
      <c r="L4926" t="e">
        <f>VLOOKUP(Table1[[#This Row],[CountryCode]],[1]!Table1[#All],1,FALSE)</f>
        <v>#REF!</v>
      </c>
    </row>
    <row r="4927" spans="1:12" hidden="1" x14ac:dyDescent="0.3">
      <c r="A4927" t="s">
        <v>23</v>
      </c>
      <c r="B4927" t="s">
        <v>24</v>
      </c>
      <c r="C4927" t="s">
        <v>127</v>
      </c>
      <c r="D4927" t="s">
        <v>128</v>
      </c>
      <c r="E4927">
        <v>2003</v>
      </c>
      <c r="F4927" s="1">
        <v>2856</v>
      </c>
      <c r="G4927">
        <v>2000</v>
      </c>
      <c r="H4927">
        <f>AVERAGEIFS(Table1[value],Table1[IndicatorCode],Table1[[#This Row],[IndicatorCode]])</f>
        <v>24902.88753799392</v>
      </c>
      <c r="I4927" cm="1">
        <f t="array" ref="I4927">_xlfn.STDEV.P(IF(Table1[IndicatorCode]=Table1[[#This Row],[IndicatorCode]],Table1[value]))</f>
        <v>26324.778297809873</v>
      </c>
      <c r="J4927">
        <f>(Table1[[#This Row],[value]] - Table1[[#This Row],[mean]]) / Table1[[#This Row],[std_dev]]</f>
        <v>-0.8374956585988852</v>
      </c>
      <c r="K4927">
        <f>AVERAGEIF(Table1[CountryCode],Table1[[#This Row],[CountryCode]],Table1[z-score])</f>
        <v>-0.44941710005999458</v>
      </c>
      <c r="L4927" t="e">
        <f>VLOOKUP(Table1[[#This Row],[CountryCode]],[1]!Table1[#All],1,FALSE)</f>
        <v>#REF!</v>
      </c>
    </row>
    <row r="4928" spans="1:12" hidden="1" x14ac:dyDescent="0.3">
      <c r="A4928" t="s">
        <v>23</v>
      </c>
      <c r="B4928" t="s">
        <v>24</v>
      </c>
      <c r="C4928" t="s">
        <v>127</v>
      </c>
      <c r="D4928" t="s">
        <v>128</v>
      </c>
      <c r="E4928">
        <v>2004</v>
      </c>
      <c r="F4928" s="1">
        <v>3064</v>
      </c>
      <c r="G4928">
        <v>2000</v>
      </c>
      <c r="H4928">
        <f>AVERAGEIFS(Table1[value],Table1[IndicatorCode],Table1[[#This Row],[IndicatorCode]])</f>
        <v>24902.88753799392</v>
      </c>
      <c r="I4928" cm="1">
        <f t="array" ref="I4928">_xlfn.STDEV.P(IF(Table1[IndicatorCode]=Table1[[#This Row],[IndicatorCode]],Table1[value]))</f>
        <v>26324.778297809873</v>
      </c>
      <c r="J4928">
        <f>(Table1[[#This Row],[value]] - Table1[[#This Row],[mean]]) / Table1[[#This Row],[std_dev]]</f>
        <v>-0.829594357488315</v>
      </c>
      <c r="K4928">
        <f>AVERAGEIF(Table1[CountryCode],Table1[[#This Row],[CountryCode]],Table1[z-score])</f>
        <v>-0.44941710005999458</v>
      </c>
      <c r="L4928" t="e">
        <f>VLOOKUP(Table1[[#This Row],[CountryCode]],[1]!Table1[#All],1,FALSE)</f>
        <v>#REF!</v>
      </c>
    </row>
    <row r="4929" spans="1:12" hidden="1" x14ac:dyDescent="0.3">
      <c r="A4929" t="s">
        <v>23</v>
      </c>
      <c r="B4929" t="s">
        <v>24</v>
      </c>
      <c r="C4929" t="s">
        <v>127</v>
      </c>
      <c r="D4929" t="s">
        <v>128</v>
      </c>
      <c r="E4929">
        <v>2005</v>
      </c>
      <c r="F4929" s="1">
        <v>3218</v>
      </c>
      <c r="G4929">
        <v>2000</v>
      </c>
      <c r="H4929">
        <f>AVERAGEIFS(Table1[value],Table1[IndicatorCode],Table1[[#This Row],[IndicatorCode]])</f>
        <v>24902.88753799392</v>
      </c>
      <c r="I4929" cm="1">
        <f t="array" ref="I4929">_xlfn.STDEV.P(IF(Table1[IndicatorCode]=Table1[[#This Row],[IndicatorCode]],Table1[value]))</f>
        <v>26324.778297809873</v>
      </c>
      <c r="J4929">
        <f>(Table1[[#This Row],[value]] - Table1[[#This Row],[mean]]) / Table1[[#This Row],[std_dev]]</f>
        <v>-0.82374435570452742</v>
      </c>
      <c r="K4929">
        <f>AVERAGEIF(Table1[CountryCode],Table1[[#This Row],[CountryCode]],Table1[z-score])</f>
        <v>-0.44941710005999458</v>
      </c>
      <c r="L4929" t="e">
        <f>VLOOKUP(Table1[[#This Row],[CountryCode]],[1]!Table1[#All],1,FALSE)</f>
        <v>#REF!</v>
      </c>
    </row>
    <row r="4930" spans="1:12" hidden="1" x14ac:dyDescent="0.3">
      <c r="A4930" t="s">
        <v>23</v>
      </c>
      <c r="B4930" t="s">
        <v>24</v>
      </c>
      <c r="C4930" t="s">
        <v>127</v>
      </c>
      <c r="D4930" t="s">
        <v>128</v>
      </c>
      <c r="E4930">
        <v>2006</v>
      </c>
      <c r="F4930" s="1">
        <v>3420</v>
      </c>
      <c r="G4930">
        <v>2000</v>
      </c>
      <c r="H4930">
        <f>AVERAGEIFS(Table1[value],Table1[IndicatorCode],Table1[[#This Row],[IndicatorCode]])</f>
        <v>24902.88753799392</v>
      </c>
      <c r="I4930" cm="1">
        <f t="array" ref="I4930">_xlfn.STDEV.P(IF(Table1[IndicatorCode]=Table1[[#This Row],[IndicatorCode]],Table1[value]))</f>
        <v>26324.778297809873</v>
      </c>
      <c r="J4930">
        <f>(Table1[[#This Row],[value]] - Table1[[#This Row],[mean]]) / Table1[[#This Row],[std_dev]]</f>
        <v>-0.81607097674137752</v>
      </c>
      <c r="K4930">
        <f>AVERAGEIF(Table1[CountryCode],Table1[[#This Row],[CountryCode]],Table1[z-score])</f>
        <v>-0.44941710005999458</v>
      </c>
      <c r="L4930" t="e">
        <f>VLOOKUP(Table1[[#This Row],[CountryCode]],[1]!Table1[#All],1,FALSE)</f>
        <v>#REF!</v>
      </c>
    </row>
    <row r="4931" spans="1:12" hidden="1" x14ac:dyDescent="0.3">
      <c r="A4931" t="s">
        <v>23</v>
      </c>
      <c r="B4931" t="s">
        <v>24</v>
      </c>
      <c r="C4931" t="s">
        <v>127</v>
      </c>
      <c r="D4931" t="s">
        <v>128</v>
      </c>
      <c r="E4931">
        <v>2007</v>
      </c>
      <c r="F4931" s="1">
        <v>3665</v>
      </c>
      <c r="G4931">
        <v>2010</v>
      </c>
      <c r="H4931">
        <f>AVERAGEIFS(Table1[value],Table1[IndicatorCode],Table1[[#This Row],[IndicatorCode]])</f>
        <v>24902.88753799392</v>
      </c>
      <c r="I4931" cm="1">
        <f t="array" ref="I4931">_xlfn.STDEV.P(IF(Table1[IndicatorCode]=Table1[[#This Row],[IndicatorCode]],Table1[value]))</f>
        <v>26324.778297809873</v>
      </c>
      <c r="J4931">
        <f>(Table1[[#This Row],[value]] - Table1[[#This Row],[mean]]) / Table1[[#This Row],[std_dev]]</f>
        <v>-0.80676415572171545</v>
      </c>
      <c r="K4931">
        <f>AVERAGEIF(Table1[CountryCode],Table1[[#This Row],[CountryCode]],Table1[z-score])</f>
        <v>-0.44941710005999458</v>
      </c>
      <c r="L4931" t="e">
        <f>VLOOKUP(Table1[[#This Row],[CountryCode]],[1]!Table1[#All],1,FALSE)</f>
        <v>#REF!</v>
      </c>
    </row>
    <row r="4932" spans="1:12" hidden="1" x14ac:dyDescent="0.3">
      <c r="A4932" t="s">
        <v>23</v>
      </c>
      <c r="B4932" t="s">
        <v>24</v>
      </c>
      <c r="C4932" t="s">
        <v>127</v>
      </c>
      <c r="D4932" t="s">
        <v>128</v>
      </c>
      <c r="E4932">
        <v>2008</v>
      </c>
      <c r="F4932" s="1">
        <v>3929</v>
      </c>
      <c r="G4932">
        <v>2010</v>
      </c>
      <c r="H4932">
        <f>AVERAGEIFS(Table1[value],Table1[IndicatorCode],Table1[[#This Row],[IndicatorCode]])</f>
        <v>24902.88753799392</v>
      </c>
      <c r="I4932" cm="1">
        <f t="array" ref="I4932">_xlfn.STDEV.P(IF(Table1[IndicatorCode]=Table1[[#This Row],[IndicatorCode]],Table1[value]))</f>
        <v>26324.778297809873</v>
      </c>
      <c r="J4932">
        <f>(Table1[[#This Row],[value]] - Table1[[#This Row],[mean]]) / Table1[[#This Row],[std_dev]]</f>
        <v>-0.79673558123522248</v>
      </c>
      <c r="K4932">
        <f>AVERAGEIF(Table1[CountryCode],Table1[[#This Row],[CountryCode]],Table1[z-score])</f>
        <v>-0.44941710005999458</v>
      </c>
      <c r="L4932" t="e">
        <f>VLOOKUP(Table1[[#This Row],[CountryCode]],[1]!Table1[#All],1,FALSE)</f>
        <v>#REF!</v>
      </c>
    </row>
    <row r="4933" spans="1:12" hidden="1" x14ac:dyDescent="0.3">
      <c r="A4933" t="s">
        <v>23</v>
      </c>
      <c r="B4933" t="s">
        <v>24</v>
      </c>
      <c r="C4933" t="s">
        <v>127</v>
      </c>
      <c r="D4933" t="s">
        <v>128</v>
      </c>
      <c r="E4933">
        <v>2009</v>
      </c>
      <c r="F4933" s="1">
        <v>3878</v>
      </c>
      <c r="G4933">
        <v>2010</v>
      </c>
      <c r="H4933">
        <f>AVERAGEIFS(Table1[value],Table1[IndicatorCode],Table1[[#This Row],[IndicatorCode]])</f>
        <v>24902.88753799392</v>
      </c>
      <c r="I4933" cm="1">
        <f t="array" ref="I4933">_xlfn.STDEV.P(IF(Table1[IndicatorCode]=Table1[[#This Row],[IndicatorCode]],Table1[value]))</f>
        <v>26324.778297809873</v>
      </c>
      <c r="J4933">
        <f>(Table1[[#This Row],[value]] - Table1[[#This Row],[mean]]) / Table1[[#This Row],[std_dev]]</f>
        <v>-0.798672919488295</v>
      </c>
      <c r="K4933">
        <f>AVERAGEIF(Table1[CountryCode],Table1[[#This Row],[CountryCode]],Table1[z-score])</f>
        <v>-0.44941710005999458</v>
      </c>
      <c r="L4933" t="e">
        <f>VLOOKUP(Table1[[#This Row],[CountryCode]],[1]!Table1[#All],1,FALSE)</f>
        <v>#REF!</v>
      </c>
    </row>
    <row r="4934" spans="1:12" hidden="1" x14ac:dyDescent="0.3">
      <c r="A4934" t="s">
        <v>23</v>
      </c>
      <c r="B4934" t="s">
        <v>24</v>
      </c>
      <c r="C4934" t="s">
        <v>127</v>
      </c>
      <c r="D4934" t="s">
        <v>128</v>
      </c>
      <c r="E4934">
        <v>2010</v>
      </c>
      <c r="F4934" s="1">
        <v>3981</v>
      </c>
      <c r="G4934">
        <v>2010</v>
      </c>
      <c r="H4934">
        <f>AVERAGEIFS(Table1[value],Table1[IndicatorCode],Table1[[#This Row],[IndicatorCode]])</f>
        <v>24902.88753799392</v>
      </c>
      <c r="I4934" cm="1">
        <f t="array" ref="I4934">_xlfn.STDEV.P(IF(Table1[IndicatorCode]=Table1[[#This Row],[IndicatorCode]],Table1[value]))</f>
        <v>26324.778297809873</v>
      </c>
      <c r="J4934">
        <f>(Table1[[#This Row],[value]] - Table1[[#This Row],[mean]]) / Table1[[#This Row],[std_dev]]</f>
        <v>-0.79476025595757993</v>
      </c>
      <c r="K4934">
        <f>AVERAGEIF(Table1[CountryCode],Table1[[#This Row],[CountryCode]],Table1[z-score])</f>
        <v>-0.44941710005999458</v>
      </c>
      <c r="L4934" t="e">
        <f>VLOOKUP(Table1[[#This Row],[CountryCode]],[1]!Table1[#All],1,FALSE)</f>
        <v>#REF!</v>
      </c>
    </row>
    <row r="4935" spans="1:12" hidden="1" x14ac:dyDescent="0.3">
      <c r="A4935" t="s">
        <v>23</v>
      </c>
      <c r="B4935" t="s">
        <v>24</v>
      </c>
      <c r="C4935" t="s">
        <v>127</v>
      </c>
      <c r="D4935" t="s">
        <v>128</v>
      </c>
      <c r="E4935">
        <v>2011</v>
      </c>
      <c r="F4935" s="1">
        <v>4094</v>
      </c>
      <c r="G4935">
        <v>2010</v>
      </c>
      <c r="H4935">
        <f>AVERAGEIFS(Table1[value],Table1[IndicatorCode],Table1[[#This Row],[IndicatorCode]])</f>
        <v>24902.88753799392</v>
      </c>
      <c r="I4935" cm="1">
        <f t="array" ref="I4935">_xlfn.STDEV.P(IF(Table1[IndicatorCode]=Table1[[#This Row],[IndicatorCode]],Table1[value]))</f>
        <v>26324.778297809873</v>
      </c>
      <c r="J4935">
        <f>(Table1[[#This Row],[value]] - Table1[[#This Row],[mean]]) / Table1[[#This Row],[std_dev]]</f>
        <v>-0.79046772218116435</v>
      </c>
      <c r="K4935">
        <f>AVERAGEIF(Table1[CountryCode],Table1[[#This Row],[CountryCode]],Table1[z-score])</f>
        <v>-0.44941710005999458</v>
      </c>
      <c r="L4935" t="e">
        <f>VLOOKUP(Table1[[#This Row],[CountryCode]],[1]!Table1[#All],1,FALSE)</f>
        <v>#REF!</v>
      </c>
    </row>
    <row r="4936" spans="1:12" hidden="1" x14ac:dyDescent="0.3">
      <c r="A4936" t="s">
        <v>23</v>
      </c>
      <c r="B4936" t="s">
        <v>24</v>
      </c>
      <c r="C4936" t="s">
        <v>127</v>
      </c>
      <c r="D4936" t="s">
        <v>128</v>
      </c>
      <c r="E4936">
        <v>2012</v>
      </c>
      <c r="F4936" s="1">
        <v>4140</v>
      </c>
      <c r="G4936">
        <v>2010</v>
      </c>
      <c r="H4936">
        <f>AVERAGEIFS(Table1[value],Table1[IndicatorCode],Table1[[#This Row],[IndicatorCode]])</f>
        <v>24902.88753799392</v>
      </c>
      <c r="I4936" cm="1">
        <f t="array" ref="I4936">_xlfn.STDEV.P(IF(Table1[IndicatorCode]=Table1[[#This Row],[IndicatorCode]],Table1[value]))</f>
        <v>26324.778297809873</v>
      </c>
      <c r="J4936">
        <f>(Table1[[#This Row],[value]] - Table1[[#This Row],[mean]]) / Table1[[#This Row],[std_dev]]</f>
        <v>-0.78872031905094209</v>
      </c>
      <c r="K4936">
        <f>AVERAGEIF(Table1[CountryCode],Table1[[#This Row],[CountryCode]],Table1[z-score])</f>
        <v>-0.44941710005999458</v>
      </c>
      <c r="L4936" t="e">
        <f>VLOOKUP(Table1[[#This Row],[CountryCode]],[1]!Table1[#All],1,FALSE)</f>
        <v>#REF!</v>
      </c>
    </row>
    <row r="4937" spans="1:12" hidden="1" x14ac:dyDescent="0.3">
      <c r="A4937" t="s">
        <v>23</v>
      </c>
      <c r="B4937" t="s">
        <v>24</v>
      </c>
      <c r="C4937" t="s">
        <v>127</v>
      </c>
      <c r="D4937" t="s">
        <v>128</v>
      </c>
      <c r="E4937">
        <v>2013</v>
      </c>
      <c r="F4937" s="1">
        <v>4307</v>
      </c>
      <c r="G4937">
        <v>2010</v>
      </c>
      <c r="H4937">
        <f>AVERAGEIFS(Table1[value],Table1[IndicatorCode],Table1[[#This Row],[IndicatorCode]])</f>
        <v>24902.88753799392</v>
      </c>
      <c r="I4937" cm="1">
        <f t="array" ref="I4937">_xlfn.STDEV.P(IF(Table1[IndicatorCode]=Table1[[#This Row],[IndicatorCode]],Table1[value]))</f>
        <v>26324.778297809873</v>
      </c>
      <c r="J4937">
        <f>(Table1[[#This Row],[value]] - Table1[[#This Row],[mean]]) / Table1[[#This Row],[std_dev]]</f>
        <v>-0.78237648594774389</v>
      </c>
      <c r="K4937">
        <f>AVERAGEIF(Table1[CountryCode],Table1[[#This Row],[CountryCode]],Table1[z-score])</f>
        <v>-0.44941710005999458</v>
      </c>
      <c r="L4937" t="e">
        <f>VLOOKUP(Table1[[#This Row],[CountryCode]],[1]!Table1[#All],1,FALSE)</f>
        <v>#REF!</v>
      </c>
    </row>
    <row r="4938" spans="1:12" hidden="1" x14ac:dyDescent="0.3">
      <c r="A4938" t="s">
        <v>23</v>
      </c>
      <c r="B4938" t="s">
        <v>24</v>
      </c>
      <c r="C4938" t="s">
        <v>127</v>
      </c>
      <c r="D4938" t="s">
        <v>128</v>
      </c>
      <c r="E4938">
        <v>2014</v>
      </c>
      <c r="F4938" s="1">
        <v>4413</v>
      </c>
      <c r="G4938">
        <v>2010</v>
      </c>
      <c r="H4938">
        <f>AVERAGEIFS(Table1[value],Table1[IndicatorCode],Table1[[#This Row],[IndicatorCode]])</f>
        <v>24902.88753799392</v>
      </c>
      <c r="I4938" cm="1">
        <f t="array" ref="I4938">_xlfn.STDEV.P(IF(Table1[IndicatorCode]=Table1[[#This Row],[IndicatorCode]],Table1[value]))</f>
        <v>26324.778297809873</v>
      </c>
      <c r="J4938">
        <f>(Table1[[#This Row],[value]] - Table1[[#This Row],[mean]]) / Table1[[#This Row],[std_dev]]</f>
        <v>-0.77834986134331874</v>
      </c>
      <c r="K4938">
        <f>AVERAGEIF(Table1[CountryCode],Table1[[#This Row],[CountryCode]],Table1[z-score])</f>
        <v>-0.44941710005999458</v>
      </c>
      <c r="L4938" t="e">
        <f>VLOOKUP(Table1[[#This Row],[CountryCode]],[1]!Table1[#All],1,FALSE)</f>
        <v>#REF!</v>
      </c>
    </row>
    <row r="4939" spans="1:12" hidden="1" x14ac:dyDescent="0.3">
      <c r="A4939" t="s">
        <v>23</v>
      </c>
      <c r="B4939" t="s">
        <v>24</v>
      </c>
      <c r="C4939" t="s">
        <v>127</v>
      </c>
      <c r="D4939" t="s">
        <v>128</v>
      </c>
      <c r="E4939">
        <v>2015</v>
      </c>
      <c r="F4939" s="1">
        <v>4662</v>
      </c>
      <c r="G4939">
        <v>2010</v>
      </c>
      <c r="H4939">
        <f>AVERAGEIFS(Table1[value],Table1[IndicatorCode],Table1[[#This Row],[IndicatorCode]])</f>
        <v>24902.88753799392</v>
      </c>
      <c r="I4939" cm="1">
        <f t="array" ref="I4939">_xlfn.STDEV.P(IF(Table1[IndicatorCode]=Table1[[#This Row],[IndicatorCode]],Table1[value]))</f>
        <v>26324.778297809873</v>
      </c>
      <c r="J4939">
        <f>(Table1[[#This Row],[value]] - Table1[[#This Row],[mean]]) / Table1[[#This Row],[std_dev]]</f>
        <v>-0.76889109222537644</v>
      </c>
      <c r="K4939">
        <f>AVERAGEIF(Table1[CountryCode],Table1[[#This Row],[CountryCode]],Table1[z-score])</f>
        <v>-0.44941710005999458</v>
      </c>
      <c r="L4939" t="e">
        <f>VLOOKUP(Table1[[#This Row],[CountryCode]],[1]!Table1[#All],1,FALSE)</f>
        <v>#REF!</v>
      </c>
    </row>
    <row r="4940" spans="1:12" hidden="1" x14ac:dyDescent="0.3">
      <c r="A4940" t="s">
        <v>23</v>
      </c>
      <c r="B4940" t="s">
        <v>24</v>
      </c>
      <c r="C4940" t="s">
        <v>127</v>
      </c>
      <c r="D4940" t="s">
        <v>128</v>
      </c>
      <c r="E4940">
        <v>2016</v>
      </c>
      <c r="F4940" s="1">
        <v>4877</v>
      </c>
      <c r="G4940">
        <v>2010</v>
      </c>
      <c r="H4940">
        <f>AVERAGEIFS(Table1[value],Table1[IndicatorCode],Table1[[#This Row],[IndicatorCode]])</f>
        <v>24902.88753799392</v>
      </c>
      <c r="I4940" cm="1">
        <f t="array" ref="I4940">_xlfn.STDEV.P(IF(Table1[IndicatorCode]=Table1[[#This Row],[IndicatorCode]],Table1[value]))</f>
        <v>26324.778297809873</v>
      </c>
      <c r="J4940">
        <f>(Table1[[#This Row],[value]] - Table1[[#This Row],[mean]]) / Table1[[#This Row],[std_dev]]</f>
        <v>-0.76072388194281593</v>
      </c>
      <c r="K4940">
        <f>AVERAGEIF(Table1[CountryCode],Table1[[#This Row],[CountryCode]],Table1[z-score])</f>
        <v>-0.44941710005999458</v>
      </c>
      <c r="L4940" t="e">
        <f>VLOOKUP(Table1[[#This Row],[CountryCode]],[1]!Table1[#All],1,FALSE)</f>
        <v>#REF!</v>
      </c>
    </row>
    <row r="4941" spans="1:12" hidden="1" x14ac:dyDescent="0.3">
      <c r="A4941" t="s">
        <v>23</v>
      </c>
      <c r="B4941" t="s">
        <v>24</v>
      </c>
      <c r="C4941" t="s">
        <v>127</v>
      </c>
      <c r="D4941" t="s">
        <v>128</v>
      </c>
      <c r="E4941">
        <v>2017</v>
      </c>
      <c r="F4941" s="1">
        <v>5100</v>
      </c>
      <c r="G4941">
        <v>2020</v>
      </c>
      <c r="H4941">
        <f>AVERAGEIFS(Table1[value],Table1[IndicatorCode],Table1[[#This Row],[IndicatorCode]])</f>
        <v>24902.88753799392</v>
      </c>
      <c r="I4941" cm="1">
        <f t="array" ref="I4941">_xlfn.STDEV.P(IF(Table1[IndicatorCode]=Table1[[#This Row],[IndicatorCode]],Table1[value]))</f>
        <v>26324.778297809873</v>
      </c>
      <c r="J4941">
        <f>(Table1[[#This Row],[value]] - Table1[[#This Row],[mean]]) / Table1[[#This Row],[std_dev]]</f>
        <v>-0.75225277546369496</v>
      </c>
      <c r="K4941">
        <f>AVERAGEIF(Table1[CountryCode],Table1[[#This Row],[CountryCode]],Table1[z-score])</f>
        <v>-0.44941710005999458</v>
      </c>
      <c r="L4941" t="e">
        <f>VLOOKUP(Table1[[#This Row],[CountryCode]],[1]!Table1[#All],1,FALSE)</f>
        <v>#REF!</v>
      </c>
    </row>
    <row r="4942" spans="1:12" hidden="1" x14ac:dyDescent="0.3">
      <c r="A4942" t="s">
        <v>23</v>
      </c>
      <c r="B4942" t="s">
        <v>24</v>
      </c>
      <c r="C4942" t="s">
        <v>127</v>
      </c>
      <c r="D4942" t="s">
        <v>128</v>
      </c>
      <c r="E4942">
        <v>2018</v>
      </c>
      <c r="F4942" s="1">
        <v>5360</v>
      </c>
      <c r="G4942">
        <v>2020</v>
      </c>
      <c r="H4942">
        <f>AVERAGEIFS(Table1[value],Table1[IndicatorCode],Table1[[#This Row],[IndicatorCode]])</f>
        <v>24902.88753799392</v>
      </c>
      <c r="I4942" cm="1">
        <f t="array" ref="I4942">_xlfn.STDEV.P(IF(Table1[IndicatorCode]=Table1[[#This Row],[IndicatorCode]],Table1[value]))</f>
        <v>26324.778297809873</v>
      </c>
      <c r="J4942">
        <f>(Table1[[#This Row],[value]] - Table1[[#This Row],[mean]]) / Table1[[#This Row],[std_dev]]</f>
        <v>-0.74237614907548222</v>
      </c>
      <c r="K4942">
        <f>AVERAGEIF(Table1[CountryCode],Table1[[#This Row],[CountryCode]],Table1[z-score])</f>
        <v>-0.44941710005999458</v>
      </c>
      <c r="L4942" t="e">
        <f>VLOOKUP(Table1[[#This Row],[CountryCode]],[1]!Table1[#All],1,FALSE)</f>
        <v>#REF!</v>
      </c>
    </row>
    <row r="4943" spans="1:12" hidden="1" x14ac:dyDescent="0.3">
      <c r="A4943" t="s">
        <v>23</v>
      </c>
      <c r="B4943" t="s">
        <v>24</v>
      </c>
      <c r="C4943" t="s">
        <v>127</v>
      </c>
      <c r="D4943" t="s">
        <v>128</v>
      </c>
      <c r="E4943">
        <v>2019</v>
      </c>
      <c r="F4943" s="1">
        <v>5583</v>
      </c>
      <c r="G4943">
        <v>2020</v>
      </c>
      <c r="H4943">
        <f>AVERAGEIFS(Table1[value],Table1[IndicatorCode],Table1[[#This Row],[IndicatorCode]])</f>
        <v>24902.88753799392</v>
      </c>
      <c r="I4943" cm="1">
        <f t="array" ref="I4943">_xlfn.STDEV.P(IF(Table1[IndicatorCode]=Table1[[#This Row],[IndicatorCode]],Table1[value]))</f>
        <v>26324.778297809873</v>
      </c>
      <c r="J4943">
        <f>(Table1[[#This Row],[value]] - Table1[[#This Row],[mean]]) / Table1[[#This Row],[std_dev]]</f>
        <v>-0.73390504259636125</v>
      </c>
      <c r="K4943">
        <f>AVERAGEIF(Table1[CountryCode],Table1[[#This Row],[CountryCode]],Table1[z-score])</f>
        <v>-0.44941710005999458</v>
      </c>
      <c r="L4943" t="e">
        <f>VLOOKUP(Table1[[#This Row],[CountryCode]],[1]!Table1[#All],1,FALSE)</f>
        <v>#REF!</v>
      </c>
    </row>
    <row r="4944" spans="1:12" x14ac:dyDescent="0.3">
      <c r="A4944" t="s">
        <v>51</v>
      </c>
      <c r="B4944" t="s">
        <v>52</v>
      </c>
      <c r="C4944" t="s">
        <v>127</v>
      </c>
      <c r="D4944" t="s">
        <v>128</v>
      </c>
      <c r="E4944">
        <v>2020</v>
      </c>
      <c r="F4944" s="1">
        <v>4660</v>
      </c>
      <c r="G4944">
        <v>2020</v>
      </c>
      <c r="H4944">
        <f>AVERAGEIFS(Table1[value],Table1[IndicatorCode],Table1[[#This Row],[IndicatorCode]])</f>
        <v>24902.88753799392</v>
      </c>
      <c r="I4944" cm="1">
        <f t="array" ref="I4944">_xlfn.STDEV.P(IF(Table1[IndicatorCode]=Table1[[#This Row],[IndicatorCode]],Table1[value]))</f>
        <v>26324.778297809873</v>
      </c>
      <c r="J4944">
        <f>(Table1[[#This Row],[value]] - Table1[[#This Row],[mean]]) / Table1[[#This Row],[std_dev]]</f>
        <v>-0.76896706627451661</v>
      </c>
      <c r="K4944">
        <f>AVERAGEIF(Table1[CountryCode],Table1[[#This Row],[CountryCode]],Table1[z-score])</f>
        <v>-0.61446545916413864</v>
      </c>
    </row>
    <row r="4945" spans="1:12" hidden="1" x14ac:dyDescent="0.3">
      <c r="A4945" t="s">
        <v>23</v>
      </c>
      <c r="B4945" t="s">
        <v>24</v>
      </c>
      <c r="C4945" t="s">
        <v>127</v>
      </c>
      <c r="D4945" t="s">
        <v>128</v>
      </c>
      <c r="E4945">
        <v>2021</v>
      </c>
      <c r="F4945" s="1">
        <v>5996</v>
      </c>
      <c r="G4945">
        <v>2020</v>
      </c>
      <c r="H4945">
        <f>AVERAGEIFS(Table1[value],Table1[IndicatorCode],Table1[[#This Row],[IndicatorCode]])</f>
        <v>24902.88753799392</v>
      </c>
      <c r="I4945" cm="1">
        <f t="array" ref="I4945">_xlfn.STDEV.P(IF(Table1[IndicatorCode]=Table1[[#This Row],[IndicatorCode]],Table1[value]))</f>
        <v>26324.778297809873</v>
      </c>
      <c r="J4945">
        <f>(Table1[[#This Row],[value]] - Table1[[#This Row],[mean]]) / Table1[[#This Row],[std_dev]]</f>
        <v>-0.71821640144893095</v>
      </c>
      <c r="K4945">
        <f>AVERAGEIF(Table1[CountryCode],Table1[[#This Row],[CountryCode]],Table1[z-score])</f>
        <v>-0.44941710005999458</v>
      </c>
      <c r="L4945" t="e">
        <f>VLOOKUP(Table1[[#This Row],[CountryCode]],[1]!Table1[#All],1,FALSE)</f>
        <v>#REF!</v>
      </c>
    </row>
    <row r="4946" spans="1:12" hidden="1" x14ac:dyDescent="0.3">
      <c r="A4946" t="s">
        <v>23</v>
      </c>
      <c r="B4946" t="s">
        <v>24</v>
      </c>
      <c r="C4946" t="s">
        <v>127</v>
      </c>
      <c r="D4946" t="s">
        <v>128</v>
      </c>
      <c r="E4946">
        <v>2022</v>
      </c>
      <c r="F4946" s="1">
        <v>6327</v>
      </c>
      <c r="G4946">
        <v>1990</v>
      </c>
      <c r="H4946">
        <f>AVERAGEIFS(Table1[value],Table1[IndicatorCode],Table1[[#This Row],[IndicatorCode]])</f>
        <v>24902.88753799392</v>
      </c>
      <c r="I4946" cm="1">
        <f t="array" ref="I4946">_xlfn.STDEV.P(IF(Table1[IndicatorCode]=Table1[[#This Row],[IndicatorCode]],Table1[value]))</f>
        <v>26324.778297809873</v>
      </c>
      <c r="J4946">
        <f>(Table1[[#This Row],[value]] - Table1[[#This Row],[mean]]) / Table1[[#This Row],[std_dev]]</f>
        <v>-0.70564269631624466</v>
      </c>
      <c r="K4946">
        <f>AVERAGEIF(Table1[CountryCode],Table1[[#This Row],[CountryCode]],Table1[z-score])</f>
        <v>-0.44941710005999458</v>
      </c>
      <c r="L4946" t="e">
        <f>VLOOKUP(Table1[[#This Row],[CountryCode]],[1]!Table1[#All],1,FALSE)</f>
        <v>#REF!</v>
      </c>
    </row>
    <row r="4947" spans="1:12" hidden="1" x14ac:dyDescent="0.3">
      <c r="A4947" t="s">
        <v>23</v>
      </c>
      <c r="B4947" t="s">
        <v>24</v>
      </c>
      <c r="C4947" t="s">
        <v>127</v>
      </c>
      <c r="D4947" t="s">
        <v>128</v>
      </c>
      <c r="E4947">
        <v>2023</v>
      </c>
      <c r="F4947" s="1">
        <v>6493</v>
      </c>
      <c r="G4947">
        <v>1990</v>
      </c>
      <c r="H4947">
        <f>AVERAGEIFS(Table1[value],Table1[IndicatorCode],Table1[[#This Row],[IndicatorCode]])</f>
        <v>24902.88753799392</v>
      </c>
      <c r="I4947" cm="1">
        <f t="array" ref="I4947">_xlfn.STDEV.P(IF(Table1[IndicatorCode]=Table1[[#This Row],[IndicatorCode]],Table1[value]))</f>
        <v>26324.778297809873</v>
      </c>
      <c r="J4947">
        <f>(Table1[[#This Row],[value]] - Table1[[#This Row],[mean]]) / Table1[[#This Row],[std_dev]]</f>
        <v>-0.69933685023761649</v>
      </c>
      <c r="K4947">
        <f>AVERAGEIF(Table1[CountryCode],Table1[[#This Row],[CountryCode]],Table1[z-score])</f>
        <v>-0.44941710005999458</v>
      </c>
      <c r="L4947" t="e">
        <f>VLOOKUP(Table1[[#This Row],[CountryCode]],[1]!Table1[#All],1,FALSE)</f>
        <v>#REF!</v>
      </c>
    </row>
    <row r="4948" spans="1:12" hidden="1" x14ac:dyDescent="0.3">
      <c r="A4948" t="s">
        <v>23</v>
      </c>
      <c r="B4948" t="s">
        <v>24</v>
      </c>
      <c r="C4948" t="s">
        <v>127</v>
      </c>
      <c r="D4948" t="s">
        <v>128</v>
      </c>
      <c r="E4948">
        <v>2024</v>
      </c>
      <c r="F4948" s="1">
        <v>6730</v>
      </c>
      <c r="G4948">
        <v>1990</v>
      </c>
      <c r="H4948">
        <f>AVERAGEIFS(Table1[value],Table1[IndicatorCode],Table1[[#This Row],[IndicatorCode]])</f>
        <v>24902.88753799392</v>
      </c>
      <c r="I4948" cm="1">
        <f t="array" ref="I4948">_xlfn.STDEV.P(IF(Table1[IndicatorCode]=Table1[[#This Row],[IndicatorCode]],Table1[value]))</f>
        <v>26324.778297809873</v>
      </c>
      <c r="J4948">
        <f>(Table1[[#This Row],[value]] - Table1[[#This Row],[mean]]) / Table1[[#This Row],[std_dev]]</f>
        <v>-0.69033392541451488</v>
      </c>
      <c r="K4948">
        <f>AVERAGEIF(Table1[CountryCode],Table1[[#This Row],[CountryCode]],Table1[z-score])</f>
        <v>-0.44941710005999458</v>
      </c>
      <c r="L4948" t="e">
        <f>VLOOKUP(Table1[[#This Row],[CountryCode]],[1]!Table1[#All],1,FALSE)</f>
        <v>#REF!</v>
      </c>
    </row>
    <row r="4949" spans="1:12" hidden="1" x14ac:dyDescent="0.3">
      <c r="A4949" t="s">
        <v>25</v>
      </c>
      <c r="B4949" t="s">
        <v>26</v>
      </c>
      <c r="C4949" t="s">
        <v>127</v>
      </c>
      <c r="D4949" t="s">
        <v>128</v>
      </c>
      <c r="E4949">
        <v>1990</v>
      </c>
      <c r="F4949" s="1">
        <v>2889</v>
      </c>
      <c r="G4949">
        <v>1990</v>
      </c>
      <c r="H4949">
        <f>AVERAGEIFS(Table1[value],Table1[IndicatorCode],Table1[[#This Row],[IndicatorCode]])</f>
        <v>24902.88753799392</v>
      </c>
      <c r="I4949" cm="1">
        <f t="array" ref="I4949">_xlfn.STDEV.P(IF(Table1[IndicatorCode]=Table1[[#This Row],[IndicatorCode]],Table1[value]))</f>
        <v>26324.778297809873</v>
      </c>
      <c r="J4949">
        <f>(Table1[[#This Row],[value]] - Table1[[#This Row],[mean]]) / Table1[[#This Row],[std_dev]]</f>
        <v>-0.83624208678807355</v>
      </c>
      <c r="K4949">
        <f>AVERAGEIF(Table1[CountryCode],Table1[[#This Row],[CountryCode]],Table1[z-score])</f>
        <v>-0.77202666663319364</v>
      </c>
      <c r="L4949" t="e">
        <f>VLOOKUP(Table1[[#This Row],[CountryCode]],[1]!Table1[#All],1,FALSE)</f>
        <v>#REF!</v>
      </c>
    </row>
    <row r="4950" spans="1:12" hidden="1" x14ac:dyDescent="0.3">
      <c r="A4950" t="s">
        <v>25</v>
      </c>
      <c r="B4950" t="s">
        <v>26</v>
      </c>
      <c r="C4950" t="s">
        <v>127</v>
      </c>
      <c r="D4950" t="s">
        <v>128</v>
      </c>
      <c r="E4950">
        <v>1991</v>
      </c>
      <c r="F4950" s="1">
        <v>2853</v>
      </c>
      <c r="G4950">
        <v>1990</v>
      </c>
      <c r="H4950">
        <f>AVERAGEIFS(Table1[value],Table1[IndicatorCode],Table1[[#This Row],[IndicatorCode]])</f>
        <v>24902.88753799392</v>
      </c>
      <c r="I4950" cm="1">
        <f t="array" ref="I4950">_xlfn.STDEV.P(IF(Table1[IndicatorCode]=Table1[[#This Row],[IndicatorCode]],Table1[value]))</f>
        <v>26324.778297809873</v>
      </c>
      <c r="J4950">
        <f>(Table1[[#This Row],[value]] - Table1[[#This Row],[mean]]) / Table1[[#This Row],[std_dev]]</f>
        <v>-0.8376096196725954</v>
      </c>
      <c r="K4950">
        <f>AVERAGEIF(Table1[CountryCode],Table1[[#This Row],[CountryCode]],Table1[z-score])</f>
        <v>-0.77202666663319364</v>
      </c>
      <c r="L4950" t="e">
        <f>VLOOKUP(Table1[[#This Row],[CountryCode]],[1]!Table1[#All],1,FALSE)</f>
        <v>#REF!</v>
      </c>
    </row>
    <row r="4951" spans="1:12" hidden="1" x14ac:dyDescent="0.3">
      <c r="A4951" t="s">
        <v>25</v>
      </c>
      <c r="B4951" t="s">
        <v>26</v>
      </c>
      <c r="C4951" t="s">
        <v>127</v>
      </c>
      <c r="D4951" t="s">
        <v>128</v>
      </c>
      <c r="E4951">
        <v>1992</v>
      </c>
      <c r="F4951" s="1">
        <v>2573</v>
      </c>
      <c r="G4951">
        <v>1990</v>
      </c>
      <c r="H4951">
        <f>AVERAGEIFS(Table1[value],Table1[IndicatorCode],Table1[[#This Row],[IndicatorCode]])</f>
        <v>24902.88753799392</v>
      </c>
      <c r="I4951" cm="1">
        <f t="array" ref="I4951">_xlfn.STDEV.P(IF(Table1[IndicatorCode]=Table1[[#This Row],[IndicatorCode]],Table1[value]))</f>
        <v>26324.778297809873</v>
      </c>
      <c r="J4951">
        <f>(Table1[[#This Row],[value]] - Table1[[#This Row],[mean]]) / Table1[[#This Row],[std_dev]]</f>
        <v>-0.84824598655220906</v>
      </c>
      <c r="K4951">
        <f>AVERAGEIF(Table1[CountryCode],Table1[[#This Row],[CountryCode]],Table1[z-score])</f>
        <v>-0.77202666663319364</v>
      </c>
      <c r="L4951" t="e">
        <f>VLOOKUP(Table1[[#This Row],[CountryCode]],[1]!Table1[#All],1,FALSE)</f>
        <v>#REF!</v>
      </c>
    </row>
    <row r="4952" spans="1:12" hidden="1" x14ac:dyDescent="0.3">
      <c r="A4952" t="s">
        <v>25</v>
      </c>
      <c r="B4952" t="s">
        <v>26</v>
      </c>
      <c r="C4952" t="s">
        <v>127</v>
      </c>
      <c r="D4952" t="s">
        <v>128</v>
      </c>
      <c r="E4952">
        <v>1993</v>
      </c>
      <c r="F4952" s="1">
        <v>2372</v>
      </c>
      <c r="G4952">
        <v>1990</v>
      </c>
      <c r="H4952">
        <f>AVERAGEIFS(Table1[value],Table1[IndicatorCode],Table1[[#This Row],[IndicatorCode]])</f>
        <v>24902.88753799392</v>
      </c>
      <c r="I4952" cm="1">
        <f t="array" ref="I4952">_xlfn.STDEV.P(IF(Table1[IndicatorCode]=Table1[[#This Row],[IndicatorCode]],Table1[value]))</f>
        <v>26324.778297809873</v>
      </c>
      <c r="J4952">
        <f>(Table1[[#This Row],[value]] - Table1[[#This Row],[mean]]) / Table1[[#This Row],[std_dev]]</f>
        <v>-0.85588137849078905</v>
      </c>
      <c r="K4952">
        <f>AVERAGEIF(Table1[CountryCode],Table1[[#This Row],[CountryCode]],Table1[z-score])</f>
        <v>-0.77202666663319364</v>
      </c>
      <c r="L4952" t="e">
        <f>VLOOKUP(Table1[[#This Row],[CountryCode]],[1]!Table1[#All],1,FALSE)</f>
        <v>#REF!</v>
      </c>
    </row>
    <row r="4953" spans="1:12" hidden="1" x14ac:dyDescent="0.3">
      <c r="A4953" t="s">
        <v>25</v>
      </c>
      <c r="B4953" t="s">
        <v>26</v>
      </c>
      <c r="C4953" t="s">
        <v>127</v>
      </c>
      <c r="D4953" t="s">
        <v>128</v>
      </c>
      <c r="E4953">
        <v>1994</v>
      </c>
      <c r="F4953" s="1">
        <v>2097</v>
      </c>
      <c r="G4953">
        <v>1990</v>
      </c>
      <c r="H4953">
        <f>AVERAGEIFS(Table1[value],Table1[IndicatorCode],Table1[[#This Row],[IndicatorCode]])</f>
        <v>24902.88753799392</v>
      </c>
      <c r="I4953" cm="1">
        <f t="array" ref="I4953">_xlfn.STDEV.P(IF(Table1[IndicatorCode]=Table1[[#This Row],[IndicatorCode]],Table1[value]))</f>
        <v>26324.778297809873</v>
      </c>
      <c r="J4953">
        <f>(Table1[[#This Row],[value]] - Table1[[#This Row],[mean]]) / Table1[[#This Row],[std_dev]]</f>
        <v>-0.86632781024755245</v>
      </c>
      <c r="K4953">
        <f>AVERAGEIF(Table1[CountryCode],Table1[[#This Row],[CountryCode]],Table1[z-score])</f>
        <v>-0.77202666663319364</v>
      </c>
      <c r="L4953" t="e">
        <f>VLOOKUP(Table1[[#This Row],[CountryCode]],[1]!Table1[#All],1,FALSE)</f>
        <v>#REF!</v>
      </c>
    </row>
    <row r="4954" spans="1:12" hidden="1" x14ac:dyDescent="0.3">
      <c r="A4954" t="s">
        <v>25</v>
      </c>
      <c r="B4954" t="s">
        <v>26</v>
      </c>
      <c r="C4954" t="s">
        <v>127</v>
      </c>
      <c r="D4954" t="s">
        <v>128</v>
      </c>
      <c r="E4954">
        <v>1995</v>
      </c>
      <c r="F4954" s="1">
        <v>1885</v>
      </c>
      <c r="G4954">
        <v>1990</v>
      </c>
      <c r="H4954">
        <f>AVERAGEIFS(Table1[value],Table1[IndicatorCode],Table1[[#This Row],[IndicatorCode]])</f>
        <v>24902.88753799392</v>
      </c>
      <c r="I4954" cm="1">
        <f t="array" ref="I4954">_xlfn.STDEV.P(IF(Table1[IndicatorCode]=Table1[[#This Row],[IndicatorCode]],Table1[value]))</f>
        <v>26324.778297809873</v>
      </c>
      <c r="J4954">
        <f>(Table1[[#This Row],[value]] - Table1[[#This Row],[mean]]) / Table1[[#This Row],[std_dev]]</f>
        <v>-0.87438105945640288</v>
      </c>
      <c r="K4954">
        <f>AVERAGEIF(Table1[CountryCode],Table1[[#This Row],[CountryCode]],Table1[z-score])</f>
        <v>-0.77202666663319364</v>
      </c>
      <c r="L4954" t="e">
        <f>VLOOKUP(Table1[[#This Row],[CountryCode]],[1]!Table1[#All],1,FALSE)</f>
        <v>#REF!</v>
      </c>
    </row>
    <row r="4955" spans="1:12" hidden="1" x14ac:dyDescent="0.3">
      <c r="A4955" t="s">
        <v>25</v>
      </c>
      <c r="B4955" t="s">
        <v>26</v>
      </c>
      <c r="C4955" t="s">
        <v>127</v>
      </c>
      <c r="D4955" t="s">
        <v>128</v>
      </c>
      <c r="E4955">
        <v>1996</v>
      </c>
      <c r="F4955" s="1">
        <v>1945</v>
      </c>
      <c r="G4955">
        <v>1990</v>
      </c>
      <c r="H4955">
        <f>AVERAGEIFS(Table1[value],Table1[IndicatorCode],Table1[[#This Row],[IndicatorCode]])</f>
        <v>24902.88753799392</v>
      </c>
      <c r="I4955" cm="1">
        <f t="array" ref="I4955">_xlfn.STDEV.P(IF(Table1[IndicatorCode]=Table1[[#This Row],[IndicatorCode]],Table1[value]))</f>
        <v>26324.778297809873</v>
      </c>
      <c r="J4955">
        <f>(Table1[[#This Row],[value]] - Table1[[#This Row],[mean]]) / Table1[[#This Row],[std_dev]]</f>
        <v>-0.87210183798219998</v>
      </c>
      <c r="K4955">
        <f>AVERAGEIF(Table1[CountryCode],Table1[[#This Row],[CountryCode]],Table1[z-score])</f>
        <v>-0.77202666663319364</v>
      </c>
      <c r="L4955" t="e">
        <f>VLOOKUP(Table1[[#This Row],[CountryCode]],[1]!Table1[#All],1,FALSE)</f>
        <v>#REF!</v>
      </c>
    </row>
    <row r="4956" spans="1:12" hidden="1" x14ac:dyDescent="0.3">
      <c r="A4956" t="s">
        <v>25</v>
      </c>
      <c r="B4956" t="s">
        <v>26</v>
      </c>
      <c r="C4956" t="s">
        <v>127</v>
      </c>
      <c r="D4956" t="s">
        <v>128</v>
      </c>
      <c r="E4956">
        <v>1997</v>
      </c>
      <c r="F4956" s="1">
        <v>2175</v>
      </c>
      <c r="G4956">
        <v>2000</v>
      </c>
      <c r="H4956">
        <f>AVERAGEIFS(Table1[value],Table1[IndicatorCode],Table1[[#This Row],[IndicatorCode]])</f>
        <v>24902.88753799392</v>
      </c>
      <c r="I4956" cm="1">
        <f t="array" ref="I4956">_xlfn.STDEV.P(IF(Table1[IndicatorCode]=Table1[[#This Row],[IndicatorCode]],Table1[value]))</f>
        <v>26324.778297809873</v>
      </c>
      <c r="J4956">
        <f>(Table1[[#This Row],[value]] - Table1[[#This Row],[mean]]) / Table1[[#This Row],[std_dev]]</f>
        <v>-0.86336482233108869</v>
      </c>
      <c r="K4956">
        <f>AVERAGEIF(Table1[CountryCode],Table1[[#This Row],[CountryCode]],Table1[z-score])</f>
        <v>-0.77202666663319364</v>
      </c>
      <c r="L4956" t="e">
        <f>VLOOKUP(Table1[[#This Row],[CountryCode]],[1]!Table1[#All],1,FALSE)</f>
        <v>#REF!</v>
      </c>
    </row>
    <row r="4957" spans="1:12" hidden="1" x14ac:dyDescent="0.3">
      <c r="A4957" t="s">
        <v>25</v>
      </c>
      <c r="B4957" t="s">
        <v>26</v>
      </c>
      <c r="C4957" t="s">
        <v>127</v>
      </c>
      <c r="D4957" t="s">
        <v>128</v>
      </c>
      <c r="E4957">
        <v>1998</v>
      </c>
      <c r="F4957" s="1">
        <v>2369</v>
      </c>
      <c r="G4957">
        <v>2000</v>
      </c>
      <c r="H4957">
        <f>AVERAGEIFS(Table1[value],Table1[IndicatorCode],Table1[[#This Row],[IndicatorCode]])</f>
        <v>24902.88753799392</v>
      </c>
      <c r="I4957" cm="1">
        <f t="array" ref="I4957">_xlfn.STDEV.P(IF(Table1[IndicatorCode]=Table1[[#This Row],[IndicatorCode]],Table1[value]))</f>
        <v>26324.778297809873</v>
      </c>
      <c r="J4957">
        <f>(Table1[[#This Row],[value]] - Table1[[#This Row],[mean]]) / Table1[[#This Row],[std_dev]]</f>
        <v>-0.85599533956449914</v>
      </c>
      <c r="K4957">
        <f>AVERAGEIF(Table1[CountryCode],Table1[[#This Row],[CountryCode]],Table1[z-score])</f>
        <v>-0.77202666663319364</v>
      </c>
      <c r="L4957" t="e">
        <f>VLOOKUP(Table1[[#This Row],[CountryCode]],[1]!Table1[#All],1,FALSE)</f>
        <v>#REF!</v>
      </c>
    </row>
    <row r="4958" spans="1:12" hidden="1" x14ac:dyDescent="0.3">
      <c r="A4958" t="s">
        <v>25</v>
      </c>
      <c r="B4958" t="s">
        <v>26</v>
      </c>
      <c r="C4958" t="s">
        <v>127</v>
      </c>
      <c r="D4958" t="s">
        <v>128</v>
      </c>
      <c r="E4958">
        <v>1999</v>
      </c>
      <c r="F4958" s="1">
        <v>2460</v>
      </c>
      <c r="G4958">
        <v>2000</v>
      </c>
      <c r="H4958">
        <f>AVERAGEIFS(Table1[value],Table1[IndicatorCode],Table1[[#This Row],[IndicatorCode]])</f>
        <v>24902.88753799392</v>
      </c>
      <c r="I4958" cm="1">
        <f t="array" ref="I4958">_xlfn.STDEV.P(IF(Table1[IndicatorCode]=Table1[[#This Row],[IndicatorCode]],Table1[value]))</f>
        <v>26324.778297809873</v>
      </c>
      <c r="J4958">
        <f>(Table1[[#This Row],[value]] - Table1[[#This Row],[mean]]) / Table1[[#This Row],[std_dev]]</f>
        <v>-0.85253852032862465</v>
      </c>
      <c r="K4958">
        <f>AVERAGEIF(Table1[CountryCode],Table1[[#This Row],[CountryCode]],Table1[z-score])</f>
        <v>-0.77202666663319364</v>
      </c>
      <c r="L4958" t="e">
        <f>VLOOKUP(Table1[[#This Row],[CountryCode]],[1]!Table1[#All],1,FALSE)</f>
        <v>#REF!</v>
      </c>
    </row>
    <row r="4959" spans="1:12" hidden="1" x14ac:dyDescent="0.3">
      <c r="A4959" t="s">
        <v>25</v>
      </c>
      <c r="B4959" t="s">
        <v>26</v>
      </c>
      <c r="C4959" t="s">
        <v>127</v>
      </c>
      <c r="D4959" t="s">
        <v>128</v>
      </c>
      <c r="E4959">
        <v>2000</v>
      </c>
      <c r="F4959" s="1">
        <v>2615</v>
      </c>
      <c r="G4959">
        <v>2000</v>
      </c>
      <c r="H4959">
        <f>AVERAGEIFS(Table1[value],Table1[IndicatorCode],Table1[[#This Row],[IndicatorCode]])</f>
        <v>24902.88753799392</v>
      </c>
      <c r="I4959" cm="1">
        <f t="array" ref="I4959">_xlfn.STDEV.P(IF(Table1[IndicatorCode]=Table1[[#This Row],[IndicatorCode]],Table1[value]))</f>
        <v>26324.778297809873</v>
      </c>
      <c r="J4959">
        <f>(Table1[[#This Row],[value]] - Table1[[#This Row],[mean]]) / Table1[[#This Row],[std_dev]]</f>
        <v>-0.84665053152026704</v>
      </c>
      <c r="K4959">
        <f>AVERAGEIF(Table1[CountryCode],Table1[[#This Row],[CountryCode]],Table1[z-score])</f>
        <v>-0.77202666663319364</v>
      </c>
      <c r="L4959" t="e">
        <f>VLOOKUP(Table1[[#This Row],[CountryCode]],[1]!Table1[#All],1,FALSE)</f>
        <v>#REF!</v>
      </c>
    </row>
    <row r="4960" spans="1:12" hidden="1" x14ac:dyDescent="0.3">
      <c r="A4960" t="s">
        <v>25</v>
      </c>
      <c r="B4960" t="s">
        <v>26</v>
      </c>
      <c r="C4960" t="s">
        <v>127</v>
      </c>
      <c r="D4960" t="s">
        <v>128</v>
      </c>
      <c r="E4960">
        <v>2001</v>
      </c>
      <c r="F4960" s="1">
        <v>2753</v>
      </c>
      <c r="G4960">
        <v>2000</v>
      </c>
      <c r="H4960">
        <f>AVERAGEIFS(Table1[value],Table1[IndicatorCode],Table1[[#This Row],[IndicatorCode]])</f>
        <v>24902.88753799392</v>
      </c>
      <c r="I4960" cm="1">
        <f t="array" ref="I4960">_xlfn.STDEV.P(IF(Table1[IndicatorCode]=Table1[[#This Row],[IndicatorCode]],Table1[value]))</f>
        <v>26324.778297809873</v>
      </c>
      <c r="J4960">
        <f>(Table1[[#This Row],[value]] - Table1[[#This Row],[mean]]) / Table1[[#This Row],[std_dev]]</f>
        <v>-0.84140832212960026</v>
      </c>
      <c r="K4960">
        <f>AVERAGEIF(Table1[CountryCode],Table1[[#This Row],[CountryCode]],Table1[z-score])</f>
        <v>-0.77202666663319364</v>
      </c>
      <c r="L4960" t="e">
        <f>VLOOKUP(Table1[[#This Row],[CountryCode]],[1]!Table1[#All],1,FALSE)</f>
        <v>#REF!</v>
      </c>
    </row>
    <row r="4961" spans="1:12" hidden="1" x14ac:dyDescent="0.3">
      <c r="A4961" t="s">
        <v>25</v>
      </c>
      <c r="B4961" t="s">
        <v>26</v>
      </c>
      <c r="C4961" t="s">
        <v>127</v>
      </c>
      <c r="D4961" t="s">
        <v>128</v>
      </c>
      <c r="E4961">
        <v>2002</v>
      </c>
      <c r="F4961" s="1">
        <v>2910</v>
      </c>
      <c r="G4961">
        <v>2000</v>
      </c>
      <c r="H4961">
        <f>AVERAGEIFS(Table1[value],Table1[IndicatorCode],Table1[[#This Row],[IndicatorCode]])</f>
        <v>24902.88753799392</v>
      </c>
      <c r="I4961" cm="1">
        <f t="array" ref="I4961">_xlfn.STDEV.P(IF(Table1[IndicatorCode]=Table1[[#This Row],[IndicatorCode]],Table1[value]))</f>
        <v>26324.778297809873</v>
      </c>
      <c r="J4961">
        <f>(Table1[[#This Row],[value]] - Table1[[#This Row],[mean]]) / Table1[[#This Row],[std_dev]]</f>
        <v>-0.83544435927210259</v>
      </c>
      <c r="K4961">
        <f>AVERAGEIF(Table1[CountryCode],Table1[[#This Row],[CountryCode]],Table1[z-score])</f>
        <v>-0.77202666663319364</v>
      </c>
      <c r="L4961" t="e">
        <f>VLOOKUP(Table1[[#This Row],[CountryCode]],[1]!Table1[#All],1,FALSE)</f>
        <v>#REF!</v>
      </c>
    </row>
    <row r="4962" spans="1:12" hidden="1" x14ac:dyDescent="0.3">
      <c r="A4962" t="s">
        <v>25</v>
      </c>
      <c r="B4962" t="s">
        <v>26</v>
      </c>
      <c r="C4962" t="s">
        <v>127</v>
      </c>
      <c r="D4962" t="s">
        <v>128</v>
      </c>
      <c r="E4962">
        <v>2003</v>
      </c>
      <c r="F4962" s="1">
        <v>3137</v>
      </c>
      <c r="G4962">
        <v>2000</v>
      </c>
      <c r="H4962">
        <f>AVERAGEIFS(Table1[value],Table1[IndicatorCode],Table1[[#This Row],[IndicatorCode]])</f>
        <v>24902.88753799392</v>
      </c>
      <c r="I4962" cm="1">
        <f t="array" ref="I4962">_xlfn.STDEV.P(IF(Table1[IndicatorCode]=Table1[[#This Row],[IndicatorCode]],Table1[value]))</f>
        <v>26324.778297809873</v>
      </c>
      <c r="J4962">
        <f>(Table1[[#This Row],[value]] - Table1[[#This Row],[mean]]) / Table1[[#This Row],[std_dev]]</f>
        <v>-0.82682130469470139</v>
      </c>
      <c r="K4962">
        <f>AVERAGEIF(Table1[CountryCode],Table1[[#This Row],[CountryCode]],Table1[z-score])</f>
        <v>-0.77202666663319364</v>
      </c>
      <c r="L4962" t="e">
        <f>VLOOKUP(Table1[[#This Row],[CountryCode]],[1]!Table1[#All],1,FALSE)</f>
        <v>#REF!</v>
      </c>
    </row>
    <row r="4963" spans="1:12" hidden="1" x14ac:dyDescent="0.3">
      <c r="A4963" t="s">
        <v>25</v>
      </c>
      <c r="B4963" t="s">
        <v>26</v>
      </c>
      <c r="C4963" t="s">
        <v>127</v>
      </c>
      <c r="D4963" t="s">
        <v>128</v>
      </c>
      <c r="E4963">
        <v>2004</v>
      </c>
      <c r="F4963" s="1">
        <v>3520</v>
      </c>
      <c r="G4963">
        <v>2000</v>
      </c>
      <c r="H4963">
        <f>AVERAGEIFS(Table1[value],Table1[IndicatorCode],Table1[[#This Row],[IndicatorCode]])</f>
        <v>24902.88753799392</v>
      </c>
      <c r="I4963" cm="1">
        <f t="array" ref="I4963">_xlfn.STDEV.P(IF(Table1[IndicatorCode]=Table1[[#This Row],[IndicatorCode]],Table1[value]))</f>
        <v>26324.778297809873</v>
      </c>
      <c r="J4963">
        <f>(Table1[[#This Row],[value]] - Table1[[#This Row],[mean]]) / Table1[[#This Row],[std_dev]]</f>
        <v>-0.81227227428437254</v>
      </c>
      <c r="K4963">
        <f>AVERAGEIF(Table1[CountryCode],Table1[[#This Row],[CountryCode]],Table1[z-score])</f>
        <v>-0.77202666663319364</v>
      </c>
      <c r="L4963" t="e">
        <f>VLOOKUP(Table1[[#This Row],[CountryCode]],[1]!Table1[#All],1,FALSE)</f>
        <v>#REF!</v>
      </c>
    </row>
    <row r="4964" spans="1:12" hidden="1" x14ac:dyDescent="0.3">
      <c r="A4964" t="s">
        <v>25</v>
      </c>
      <c r="B4964" t="s">
        <v>26</v>
      </c>
      <c r="C4964" t="s">
        <v>127</v>
      </c>
      <c r="D4964" t="s">
        <v>128</v>
      </c>
      <c r="E4964">
        <v>2005</v>
      </c>
      <c r="F4964" s="1">
        <v>3878</v>
      </c>
      <c r="G4964">
        <v>2000</v>
      </c>
      <c r="H4964">
        <f>AVERAGEIFS(Table1[value],Table1[IndicatorCode],Table1[[#This Row],[IndicatorCode]])</f>
        <v>24902.88753799392</v>
      </c>
      <c r="I4964" cm="1">
        <f t="array" ref="I4964">_xlfn.STDEV.P(IF(Table1[IndicatorCode]=Table1[[#This Row],[IndicatorCode]],Table1[value]))</f>
        <v>26324.778297809873</v>
      </c>
      <c r="J4964">
        <f>(Table1[[#This Row],[value]] - Table1[[#This Row],[mean]]) / Table1[[#This Row],[std_dev]]</f>
        <v>-0.798672919488295</v>
      </c>
      <c r="K4964">
        <f>AVERAGEIF(Table1[CountryCode],Table1[[#This Row],[CountryCode]],Table1[z-score])</f>
        <v>-0.77202666663319364</v>
      </c>
      <c r="L4964" t="e">
        <f>VLOOKUP(Table1[[#This Row],[CountryCode]],[1]!Table1[#All],1,FALSE)</f>
        <v>#REF!</v>
      </c>
    </row>
    <row r="4965" spans="1:12" hidden="1" x14ac:dyDescent="0.3">
      <c r="A4965" t="s">
        <v>25</v>
      </c>
      <c r="B4965" t="s">
        <v>26</v>
      </c>
      <c r="C4965" t="s">
        <v>127</v>
      </c>
      <c r="D4965" t="s">
        <v>128</v>
      </c>
      <c r="E4965">
        <v>2006</v>
      </c>
      <c r="F4965" s="1">
        <v>4292</v>
      </c>
      <c r="G4965">
        <v>2000</v>
      </c>
      <c r="H4965">
        <f>AVERAGEIFS(Table1[value],Table1[IndicatorCode],Table1[[#This Row],[IndicatorCode]])</f>
        <v>24902.88753799392</v>
      </c>
      <c r="I4965" cm="1">
        <f t="array" ref="I4965">_xlfn.STDEV.P(IF(Table1[IndicatorCode]=Table1[[#This Row],[IndicatorCode]],Table1[value]))</f>
        <v>26324.778297809873</v>
      </c>
      <c r="J4965">
        <f>(Table1[[#This Row],[value]] - Table1[[#This Row],[mean]]) / Table1[[#This Row],[std_dev]]</f>
        <v>-0.78294629131629467</v>
      </c>
      <c r="K4965">
        <f>AVERAGEIF(Table1[CountryCode],Table1[[#This Row],[CountryCode]],Table1[z-score])</f>
        <v>-0.77202666663319364</v>
      </c>
      <c r="L4965" t="e">
        <f>VLOOKUP(Table1[[#This Row],[CountryCode]],[1]!Table1[#All],1,FALSE)</f>
        <v>#REF!</v>
      </c>
    </row>
    <row r="4966" spans="1:12" hidden="1" x14ac:dyDescent="0.3">
      <c r="A4966" t="s">
        <v>25</v>
      </c>
      <c r="B4966" t="s">
        <v>26</v>
      </c>
      <c r="C4966" t="s">
        <v>127</v>
      </c>
      <c r="D4966" t="s">
        <v>128</v>
      </c>
      <c r="E4966">
        <v>2007</v>
      </c>
      <c r="F4966" s="1">
        <v>4682</v>
      </c>
      <c r="G4966">
        <v>2010</v>
      </c>
      <c r="H4966">
        <f>AVERAGEIFS(Table1[value],Table1[IndicatorCode],Table1[[#This Row],[IndicatorCode]])</f>
        <v>24902.88753799392</v>
      </c>
      <c r="I4966" cm="1">
        <f t="array" ref="I4966">_xlfn.STDEV.P(IF(Table1[IndicatorCode]=Table1[[#This Row],[IndicatorCode]],Table1[value]))</f>
        <v>26324.778297809873</v>
      </c>
      <c r="J4966">
        <f>(Table1[[#This Row],[value]] - Table1[[#This Row],[mean]]) / Table1[[#This Row],[std_dev]]</f>
        <v>-0.76813135173397551</v>
      </c>
      <c r="K4966">
        <f>AVERAGEIF(Table1[CountryCode],Table1[[#This Row],[CountryCode]],Table1[z-score])</f>
        <v>-0.77202666663319364</v>
      </c>
      <c r="L4966" t="e">
        <f>VLOOKUP(Table1[[#This Row],[CountryCode]],[1]!Table1[#All],1,FALSE)</f>
        <v>#REF!</v>
      </c>
    </row>
    <row r="4967" spans="1:12" hidden="1" x14ac:dyDescent="0.3">
      <c r="A4967" t="s">
        <v>25</v>
      </c>
      <c r="B4967" t="s">
        <v>26</v>
      </c>
      <c r="C4967" t="s">
        <v>127</v>
      </c>
      <c r="D4967" t="s">
        <v>128</v>
      </c>
      <c r="E4967">
        <v>2008</v>
      </c>
      <c r="F4967" s="1">
        <v>5178</v>
      </c>
      <c r="G4967">
        <v>2010</v>
      </c>
      <c r="H4967">
        <f>AVERAGEIFS(Table1[value],Table1[IndicatorCode],Table1[[#This Row],[IndicatorCode]])</f>
        <v>24902.88753799392</v>
      </c>
      <c r="I4967" cm="1">
        <f t="array" ref="I4967">_xlfn.STDEV.P(IF(Table1[IndicatorCode]=Table1[[#This Row],[IndicatorCode]],Table1[value]))</f>
        <v>26324.778297809873</v>
      </c>
      <c r="J4967">
        <f>(Table1[[#This Row],[value]] - Table1[[#This Row],[mean]]) / Table1[[#This Row],[std_dev]]</f>
        <v>-0.74928978754723108</v>
      </c>
      <c r="K4967">
        <f>AVERAGEIF(Table1[CountryCode],Table1[[#This Row],[CountryCode]],Table1[z-score])</f>
        <v>-0.77202666663319364</v>
      </c>
      <c r="L4967" t="e">
        <f>VLOOKUP(Table1[[#This Row],[CountryCode]],[1]!Table1[#All],1,FALSE)</f>
        <v>#REF!</v>
      </c>
    </row>
    <row r="4968" spans="1:12" hidden="1" x14ac:dyDescent="0.3">
      <c r="A4968" t="s">
        <v>25</v>
      </c>
      <c r="B4968" t="s">
        <v>26</v>
      </c>
      <c r="C4968" t="s">
        <v>127</v>
      </c>
      <c r="D4968" t="s">
        <v>128</v>
      </c>
      <c r="E4968">
        <v>2009</v>
      </c>
      <c r="F4968" s="1">
        <v>5201</v>
      </c>
      <c r="G4968">
        <v>2010</v>
      </c>
      <c r="H4968">
        <f>AVERAGEIFS(Table1[value],Table1[IndicatorCode],Table1[[#This Row],[IndicatorCode]])</f>
        <v>24902.88753799392</v>
      </c>
      <c r="I4968" cm="1">
        <f t="array" ref="I4968">_xlfn.STDEV.P(IF(Table1[IndicatorCode]=Table1[[#This Row],[IndicatorCode]],Table1[value]))</f>
        <v>26324.778297809873</v>
      </c>
      <c r="J4968">
        <f>(Table1[[#This Row],[value]] - Table1[[#This Row],[mean]]) / Table1[[#This Row],[std_dev]]</f>
        <v>-0.74841608598211995</v>
      </c>
      <c r="K4968">
        <f>AVERAGEIF(Table1[CountryCode],Table1[[#This Row],[CountryCode]],Table1[z-score])</f>
        <v>-0.77202666663319364</v>
      </c>
      <c r="L4968" t="e">
        <f>VLOOKUP(Table1[[#This Row],[CountryCode]],[1]!Table1[#All],1,FALSE)</f>
        <v>#REF!</v>
      </c>
    </row>
    <row r="4969" spans="1:12" hidden="1" x14ac:dyDescent="0.3">
      <c r="A4969" t="s">
        <v>25</v>
      </c>
      <c r="B4969" t="s">
        <v>26</v>
      </c>
      <c r="C4969" t="s">
        <v>127</v>
      </c>
      <c r="D4969" t="s">
        <v>128</v>
      </c>
      <c r="E4969">
        <v>2010</v>
      </c>
      <c r="F4969" s="1">
        <v>5616</v>
      </c>
      <c r="G4969">
        <v>2010</v>
      </c>
      <c r="H4969">
        <f>AVERAGEIFS(Table1[value],Table1[IndicatorCode],Table1[[#This Row],[IndicatorCode]])</f>
        <v>24902.88753799392</v>
      </c>
      <c r="I4969" cm="1">
        <f t="array" ref="I4969">_xlfn.STDEV.P(IF(Table1[IndicatorCode]=Table1[[#This Row],[IndicatorCode]],Table1[value]))</f>
        <v>26324.778297809873</v>
      </c>
      <c r="J4969">
        <f>(Table1[[#This Row],[value]] - Table1[[#This Row],[mean]]) / Table1[[#This Row],[std_dev]]</f>
        <v>-0.7326514707855496</v>
      </c>
      <c r="K4969">
        <f>AVERAGEIF(Table1[CountryCode],Table1[[#This Row],[CountryCode]],Table1[z-score])</f>
        <v>-0.77202666663319364</v>
      </c>
      <c r="L4969" t="e">
        <f>VLOOKUP(Table1[[#This Row],[CountryCode]],[1]!Table1[#All],1,FALSE)</f>
        <v>#REF!</v>
      </c>
    </row>
    <row r="4970" spans="1:12" hidden="1" x14ac:dyDescent="0.3">
      <c r="A4970" t="s">
        <v>25</v>
      </c>
      <c r="B4970" t="s">
        <v>26</v>
      </c>
      <c r="C4970" t="s">
        <v>127</v>
      </c>
      <c r="D4970" t="s">
        <v>128</v>
      </c>
      <c r="E4970">
        <v>2011</v>
      </c>
      <c r="F4970" s="1">
        <v>5942</v>
      </c>
      <c r="G4970">
        <v>2010</v>
      </c>
      <c r="H4970">
        <f>AVERAGEIFS(Table1[value],Table1[IndicatorCode],Table1[[#This Row],[IndicatorCode]])</f>
        <v>24902.88753799392</v>
      </c>
      <c r="I4970" cm="1">
        <f t="array" ref="I4970">_xlfn.STDEV.P(IF(Table1[IndicatorCode]=Table1[[#This Row],[IndicatorCode]],Table1[value]))</f>
        <v>26324.778297809873</v>
      </c>
      <c r="J4970">
        <f>(Table1[[#This Row],[value]] - Table1[[#This Row],[mean]]) / Table1[[#This Row],[std_dev]]</f>
        <v>-0.72026770077571356</v>
      </c>
      <c r="K4970">
        <f>AVERAGEIF(Table1[CountryCode],Table1[[#This Row],[CountryCode]],Table1[z-score])</f>
        <v>-0.77202666663319364</v>
      </c>
      <c r="L4970" t="e">
        <f>VLOOKUP(Table1[[#This Row],[CountryCode]],[1]!Table1[#All],1,FALSE)</f>
        <v>#REF!</v>
      </c>
    </row>
    <row r="4971" spans="1:12" hidden="1" x14ac:dyDescent="0.3">
      <c r="A4971" t="s">
        <v>25</v>
      </c>
      <c r="B4971" t="s">
        <v>26</v>
      </c>
      <c r="C4971" t="s">
        <v>127</v>
      </c>
      <c r="D4971" t="s">
        <v>128</v>
      </c>
      <c r="E4971">
        <v>2012</v>
      </c>
      <c r="F4971" s="1">
        <v>6053</v>
      </c>
      <c r="G4971">
        <v>2010</v>
      </c>
      <c r="H4971">
        <f>AVERAGEIFS(Table1[value],Table1[IndicatorCode],Table1[[#This Row],[IndicatorCode]])</f>
        <v>24902.88753799392</v>
      </c>
      <c r="I4971" cm="1">
        <f t="array" ref="I4971">_xlfn.STDEV.P(IF(Table1[IndicatorCode]=Table1[[#This Row],[IndicatorCode]],Table1[value]))</f>
        <v>26324.778297809873</v>
      </c>
      <c r="J4971">
        <f>(Table1[[#This Row],[value]] - Table1[[#This Row],[mean]]) / Table1[[#This Row],[std_dev]]</f>
        <v>-0.71605114104843814</v>
      </c>
      <c r="K4971">
        <f>AVERAGEIF(Table1[CountryCode],Table1[[#This Row],[CountryCode]],Table1[z-score])</f>
        <v>-0.77202666663319364</v>
      </c>
      <c r="L4971" t="e">
        <f>VLOOKUP(Table1[[#This Row],[CountryCode]],[1]!Table1[#All],1,FALSE)</f>
        <v>#REF!</v>
      </c>
    </row>
    <row r="4972" spans="1:12" hidden="1" x14ac:dyDescent="0.3">
      <c r="A4972" t="s">
        <v>25</v>
      </c>
      <c r="B4972" t="s">
        <v>26</v>
      </c>
      <c r="C4972" t="s">
        <v>127</v>
      </c>
      <c r="D4972" t="s">
        <v>128</v>
      </c>
      <c r="E4972">
        <v>2013</v>
      </c>
      <c r="F4972" s="1">
        <v>6115</v>
      </c>
      <c r="G4972">
        <v>2010</v>
      </c>
      <c r="H4972">
        <f>AVERAGEIFS(Table1[value],Table1[IndicatorCode],Table1[[#This Row],[IndicatorCode]])</f>
        <v>24902.88753799392</v>
      </c>
      <c r="I4972" cm="1">
        <f t="array" ref="I4972">_xlfn.STDEV.P(IF(Table1[IndicatorCode]=Table1[[#This Row],[IndicatorCode]],Table1[value]))</f>
        <v>26324.778297809873</v>
      </c>
      <c r="J4972">
        <f>(Table1[[#This Row],[value]] - Table1[[#This Row],[mean]]) / Table1[[#This Row],[std_dev]]</f>
        <v>-0.71369594552509508</v>
      </c>
      <c r="K4972">
        <f>AVERAGEIF(Table1[CountryCode],Table1[[#This Row],[CountryCode]],Table1[z-score])</f>
        <v>-0.77202666663319364</v>
      </c>
      <c r="L4972" t="e">
        <f>VLOOKUP(Table1[[#This Row],[CountryCode]],[1]!Table1[#All],1,FALSE)</f>
        <v>#REF!</v>
      </c>
    </row>
    <row r="4973" spans="1:12" hidden="1" x14ac:dyDescent="0.3">
      <c r="A4973" t="s">
        <v>25</v>
      </c>
      <c r="B4973" t="s">
        <v>26</v>
      </c>
      <c r="C4973" t="s">
        <v>127</v>
      </c>
      <c r="D4973" t="s">
        <v>128</v>
      </c>
      <c r="E4973">
        <v>2014</v>
      </c>
      <c r="F4973" s="1">
        <v>6213</v>
      </c>
      <c r="G4973">
        <v>2010</v>
      </c>
      <c r="H4973">
        <f>AVERAGEIFS(Table1[value],Table1[IndicatorCode],Table1[[#This Row],[IndicatorCode]])</f>
        <v>24902.88753799392</v>
      </c>
      <c r="I4973" cm="1">
        <f t="array" ref="I4973">_xlfn.STDEV.P(IF(Table1[IndicatorCode]=Table1[[#This Row],[IndicatorCode]],Table1[value]))</f>
        <v>26324.778297809873</v>
      </c>
      <c r="J4973">
        <f>(Table1[[#This Row],[value]] - Table1[[#This Row],[mean]]) / Table1[[#This Row],[std_dev]]</f>
        <v>-0.70997321711723027</v>
      </c>
      <c r="K4973">
        <f>AVERAGEIF(Table1[CountryCode],Table1[[#This Row],[CountryCode]],Table1[z-score])</f>
        <v>-0.77202666663319364</v>
      </c>
      <c r="L4973" t="e">
        <f>VLOOKUP(Table1[[#This Row],[CountryCode]],[1]!Table1[#All],1,FALSE)</f>
        <v>#REF!</v>
      </c>
    </row>
    <row r="4974" spans="1:12" hidden="1" x14ac:dyDescent="0.3">
      <c r="A4974" t="s">
        <v>25</v>
      </c>
      <c r="B4974" t="s">
        <v>26</v>
      </c>
      <c r="C4974" t="s">
        <v>127</v>
      </c>
      <c r="D4974" t="s">
        <v>128</v>
      </c>
      <c r="E4974">
        <v>2015</v>
      </c>
      <c r="F4974" s="1">
        <v>5967</v>
      </c>
      <c r="G4974">
        <v>2010</v>
      </c>
      <c r="H4974">
        <f>AVERAGEIFS(Table1[value],Table1[IndicatorCode],Table1[[#This Row],[IndicatorCode]])</f>
        <v>24902.88753799392</v>
      </c>
      <c r="I4974" cm="1">
        <f t="array" ref="I4974">_xlfn.STDEV.P(IF(Table1[IndicatorCode]=Table1[[#This Row],[IndicatorCode]],Table1[value]))</f>
        <v>26324.778297809873</v>
      </c>
      <c r="J4974">
        <f>(Table1[[#This Row],[value]] - Table1[[#This Row],[mean]]) / Table1[[#This Row],[std_dev]]</f>
        <v>-0.71931802516146237</v>
      </c>
      <c r="K4974">
        <f>AVERAGEIF(Table1[CountryCode],Table1[[#This Row],[CountryCode]],Table1[z-score])</f>
        <v>-0.77202666663319364</v>
      </c>
      <c r="L4974" t="e">
        <f>VLOOKUP(Table1[[#This Row],[CountryCode]],[1]!Table1[#All],1,FALSE)</f>
        <v>#REF!</v>
      </c>
    </row>
    <row r="4975" spans="1:12" hidden="1" x14ac:dyDescent="0.3">
      <c r="A4975" t="s">
        <v>25</v>
      </c>
      <c r="B4975" t="s">
        <v>26</v>
      </c>
      <c r="C4975" t="s">
        <v>127</v>
      </c>
      <c r="D4975" t="s">
        <v>128</v>
      </c>
      <c r="E4975">
        <v>2016</v>
      </c>
      <c r="F4975" s="1">
        <v>5811</v>
      </c>
      <c r="G4975">
        <v>2010</v>
      </c>
      <c r="H4975">
        <f>AVERAGEIFS(Table1[value],Table1[IndicatorCode],Table1[[#This Row],[IndicatorCode]])</f>
        <v>24902.88753799392</v>
      </c>
      <c r="I4975" cm="1">
        <f t="array" ref="I4975">_xlfn.STDEV.P(IF(Table1[IndicatorCode]=Table1[[#This Row],[IndicatorCode]],Table1[value]))</f>
        <v>26324.778297809873</v>
      </c>
      <c r="J4975">
        <f>(Table1[[#This Row],[value]] - Table1[[#This Row],[mean]]) / Table1[[#This Row],[std_dev]]</f>
        <v>-0.72524400099439001</v>
      </c>
      <c r="K4975">
        <f>AVERAGEIF(Table1[CountryCode],Table1[[#This Row],[CountryCode]],Table1[z-score])</f>
        <v>-0.77202666663319364</v>
      </c>
      <c r="L4975" t="e">
        <f>VLOOKUP(Table1[[#This Row],[CountryCode]],[1]!Table1[#All],1,FALSE)</f>
        <v>#REF!</v>
      </c>
    </row>
    <row r="4976" spans="1:12" hidden="1" x14ac:dyDescent="0.3">
      <c r="A4976" t="s">
        <v>25</v>
      </c>
      <c r="B4976" t="s">
        <v>26</v>
      </c>
      <c r="C4976" t="s">
        <v>127</v>
      </c>
      <c r="D4976" t="s">
        <v>128</v>
      </c>
      <c r="E4976">
        <v>2017</v>
      </c>
      <c r="F4976" s="1">
        <v>5965</v>
      </c>
      <c r="G4976">
        <v>2020</v>
      </c>
      <c r="H4976">
        <f>AVERAGEIFS(Table1[value],Table1[IndicatorCode],Table1[[#This Row],[IndicatorCode]])</f>
        <v>24902.88753799392</v>
      </c>
      <c r="I4976" cm="1">
        <f t="array" ref="I4976">_xlfn.STDEV.P(IF(Table1[IndicatorCode]=Table1[[#This Row],[IndicatorCode]],Table1[value]))</f>
        <v>26324.778297809873</v>
      </c>
      <c r="J4976">
        <f>(Table1[[#This Row],[value]] - Table1[[#This Row],[mean]]) / Table1[[#This Row],[std_dev]]</f>
        <v>-0.71939399921060243</v>
      </c>
      <c r="K4976">
        <f>AVERAGEIF(Table1[CountryCode],Table1[[#This Row],[CountryCode]],Table1[z-score])</f>
        <v>-0.77202666663319364</v>
      </c>
      <c r="L4976" t="e">
        <f>VLOOKUP(Table1[[#This Row],[CountryCode]],[1]!Table1[#All],1,FALSE)</f>
        <v>#REF!</v>
      </c>
    </row>
    <row r="4977" spans="1:12" hidden="1" x14ac:dyDescent="0.3">
      <c r="A4977" t="s">
        <v>25</v>
      </c>
      <c r="B4977" t="s">
        <v>26</v>
      </c>
      <c r="C4977" t="s">
        <v>127</v>
      </c>
      <c r="D4977" t="s">
        <v>128</v>
      </c>
      <c r="E4977">
        <v>2018</v>
      </c>
      <c r="F4977" s="1">
        <v>6166</v>
      </c>
      <c r="G4977">
        <v>2020</v>
      </c>
      <c r="H4977">
        <f>AVERAGEIFS(Table1[value],Table1[IndicatorCode],Table1[[#This Row],[IndicatorCode]])</f>
        <v>24902.88753799392</v>
      </c>
      <c r="I4977" cm="1">
        <f t="array" ref="I4977">_xlfn.STDEV.P(IF(Table1[IndicatorCode]=Table1[[#This Row],[IndicatorCode]],Table1[value]))</f>
        <v>26324.778297809873</v>
      </c>
      <c r="J4977">
        <f>(Table1[[#This Row],[value]] - Table1[[#This Row],[mean]]) / Table1[[#This Row],[std_dev]]</f>
        <v>-0.71175860727202256</v>
      </c>
      <c r="K4977">
        <f>AVERAGEIF(Table1[CountryCode],Table1[[#This Row],[CountryCode]],Table1[z-score])</f>
        <v>-0.77202666663319364</v>
      </c>
      <c r="L4977" t="e">
        <f>VLOOKUP(Table1[[#This Row],[CountryCode]],[1]!Table1[#All],1,FALSE)</f>
        <v>#REF!</v>
      </c>
    </row>
    <row r="4978" spans="1:12" hidden="1" x14ac:dyDescent="0.3">
      <c r="A4978" t="s">
        <v>25</v>
      </c>
      <c r="B4978" t="s">
        <v>26</v>
      </c>
      <c r="C4978" t="s">
        <v>127</v>
      </c>
      <c r="D4978" t="s">
        <v>128</v>
      </c>
      <c r="E4978">
        <v>2019</v>
      </c>
      <c r="F4978" s="1">
        <v>6268</v>
      </c>
      <c r="G4978">
        <v>2020</v>
      </c>
      <c r="H4978">
        <f>AVERAGEIFS(Table1[value],Table1[IndicatorCode],Table1[[#This Row],[IndicatorCode]])</f>
        <v>24902.88753799392</v>
      </c>
      <c r="I4978" cm="1">
        <f t="array" ref="I4978">_xlfn.STDEV.P(IF(Table1[IndicatorCode]=Table1[[#This Row],[IndicatorCode]],Table1[value]))</f>
        <v>26324.778297809873</v>
      </c>
      <c r="J4978">
        <f>(Table1[[#This Row],[value]] - Table1[[#This Row],[mean]]) / Table1[[#This Row],[std_dev]]</f>
        <v>-0.70788393076587752</v>
      </c>
      <c r="K4978">
        <f>AVERAGEIF(Table1[CountryCode],Table1[[#This Row],[CountryCode]],Table1[z-score])</f>
        <v>-0.77202666663319364</v>
      </c>
      <c r="L4978" t="e">
        <f>VLOOKUP(Table1[[#This Row],[CountryCode]],[1]!Table1[#All],1,FALSE)</f>
        <v>#REF!</v>
      </c>
    </row>
    <row r="4979" spans="1:12" x14ac:dyDescent="0.3">
      <c r="A4979" t="s">
        <v>7</v>
      </c>
      <c r="B4979" t="s">
        <v>8</v>
      </c>
      <c r="C4979" t="s">
        <v>127</v>
      </c>
      <c r="D4979" t="s">
        <v>128</v>
      </c>
      <c r="E4979">
        <v>2020</v>
      </c>
      <c r="F4979" s="1">
        <v>4981</v>
      </c>
      <c r="G4979">
        <v>2020</v>
      </c>
      <c r="H4979">
        <f>AVERAGEIFS(Table1[value],Table1[IndicatorCode],Table1[[#This Row],[IndicatorCode]])</f>
        <v>24902.88753799392</v>
      </c>
      <c r="I4979" cm="1">
        <f t="array" ref="I4979">_xlfn.STDEV.P(IF(Table1[IndicatorCode]=Table1[[#This Row],[IndicatorCode]],Table1[value]))</f>
        <v>26324.778297809873</v>
      </c>
      <c r="J4979">
        <f>(Table1[[#This Row],[value]] - Table1[[#This Row],[mean]]) / Table1[[#This Row],[std_dev]]</f>
        <v>-0.75677323138753083</v>
      </c>
      <c r="K4979">
        <f>AVERAGEIF(Table1[CountryCode],Table1[[#This Row],[CountryCode]],Table1[z-score])</f>
        <v>-0.54328248635894838</v>
      </c>
    </row>
    <row r="4980" spans="1:12" hidden="1" x14ac:dyDescent="0.3">
      <c r="A4980" t="s">
        <v>25</v>
      </c>
      <c r="B4980" t="s">
        <v>26</v>
      </c>
      <c r="C4980" t="s">
        <v>127</v>
      </c>
      <c r="D4980" t="s">
        <v>128</v>
      </c>
      <c r="E4980">
        <v>2021</v>
      </c>
      <c r="F4980" s="1">
        <v>6458</v>
      </c>
      <c r="G4980">
        <v>2020</v>
      </c>
      <c r="H4980">
        <f>AVERAGEIFS(Table1[value],Table1[IndicatorCode],Table1[[#This Row],[IndicatorCode]])</f>
        <v>24902.88753799392</v>
      </c>
      <c r="I4980" cm="1">
        <f t="array" ref="I4980">_xlfn.STDEV.P(IF(Table1[IndicatorCode]=Table1[[#This Row],[IndicatorCode]],Table1[value]))</f>
        <v>26324.778297809873</v>
      </c>
      <c r="J4980">
        <f>(Table1[[#This Row],[value]] - Table1[[#This Row],[mean]]) / Table1[[#This Row],[std_dev]]</f>
        <v>-0.7006663960975682</v>
      </c>
      <c r="K4980">
        <f>AVERAGEIF(Table1[CountryCode],Table1[[#This Row],[CountryCode]],Table1[z-score])</f>
        <v>-0.77202666663319364</v>
      </c>
      <c r="L4980" t="e">
        <f>VLOOKUP(Table1[[#This Row],[CountryCode]],[1]!Table1[#All],1,FALSE)</f>
        <v>#REF!</v>
      </c>
    </row>
    <row r="4981" spans="1:12" hidden="1" x14ac:dyDescent="0.3">
      <c r="A4981" t="s">
        <v>25</v>
      </c>
      <c r="B4981" t="s">
        <v>26</v>
      </c>
      <c r="C4981" t="s">
        <v>127</v>
      </c>
      <c r="D4981" t="s">
        <v>128</v>
      </c>
      <c r="E4981">
        <v>2022</v>
      </c>
      <c r="F4981" s="1">
        <v>6207</v>
      </c>
      <c r="G4981">
        <v>1960</v>
      </c>
      <c r="H4981">
        <f>AVERAGEIFS(Table1[value],Table1[IndicatorCode],Table1[[#This Row],[IndicatorCode]])</f>
        <v>24902.88753799392</v>
      </c>
      <c r="I4981" cm="1">
        <f t="array" ref="I4981">_xlfn.STDEV.P(IF(Table1[IndicatorCode]=Table1[[#This Row],[IndicatorCode]],Table1[value]))</f>
        <v>26324.778297809873</v>
      </c>
      <c r="J4981">
        <f>(Table1[[#This Row],[value]] - Table1[[#This Row],[mean]]) / Table1[[#This Row],[std_dev]]</f>
        <v>-0.71020113926465056</v>
      </c>
      <c r="K4981">
        <f>AVERAGEIF(Table1[CountryCode],Table1[[#This Row],[CountryCode]],Table1[z-score])</f>
        <v>-0.77202666663319364</v>
      </c>
      <c r="L4981" t="e">
        <f>VLOOKUP(Table1[[#This Row],[CountryCode]],[1]!Table1[#All],1,FALSE)</f>
        <v>#REF!</v>
      </c>
    </row>
    <row r="4982" spans="1:12" hidden="1" x14ac:dyDescent="0.3">
      <c r="A4982" t="s">
        <v>25</v>
      </c>
      <c r="B4982" t="s">
        <v>26</v>
      </c>
      <c r="C4982" t="s">
        <v>127</v>
      </c>
      <c r="D4982" t="s">
        <v>128</v>
      </c>
      <c r="E4982">
        <v>2023</v>
      </c>
      <c r="F4982" s="1">
        <v>6498</v>
      </c>
      <c r="G4982">
        <v>1960</v>
      </c>
      <c r="H4982">
        <f>AVERAGEIFS(Table1[value],Table1[IndicatorCode],Table1[[#This Row],[IndicatorCode]])</f>
        <v>24902.88753799392</v>
      </c>
      <c r="I4982" cm="1">
        <f t="array" ref="I4982">_xlfn.STDEV.P(IF(Table1[IndicatorCode]=Table1[[#This Row],[IndicatorCode]],Table1[value]))</f>
        <v>26324.778297809873</v>
      </c>
      <c r="J4982">
        <f>(Table1[[#This Row],[value]] - Table1[[#This Row],[mean]]) / Table1[[#This Row],[std_dev]]</f>
        <v>-0.69914691511476623</v>
      </c>
      <c r="K4982">
        <f>AVERAGEIF(Table1[CountryCode],Table1[[#This Row],[CountryCode]],Table1[z-score])</f>
        <v>-0.77202666663319364</v>
      </c>
      <c r="L4982" t="e">
        <f>VLOOKUP(Table1[[#This Row],[CountryCode]],[1]!Table1[#All],1,FALSE)</f>
        <v>#REF!</v>
      </c>
    </row>
    <row r="4983" spans="1:12" hidden="1" x14ac:dyDescent="0.3">
      <c r="A4983" t="s">
        <v>25</v>
      </c>
      <c r="B4983" t="s">
        <v>26</v>
      </c>
      <c r="C4983" t="s">
        <v>127</v>
      </c>
      <c r="D4983" t="s">
        <v>128</v>
      </c>
      <c r="E4983">
        <v>2024</v>
      </c>
      <c r="F4983" s="1">
        <v>6792</v>
      </c>
      <c r="G4983">
        <v>1960</v>
      </c>
      <c r="H4983">
        <f>AVERAGEIFS(Table1[value],Table1[IndicatorCode],Table1[[#This Row],[IndicatorCode]])</f>
        <v>24902.88753799392</v>
      </c>
      <c r="I4983" cm="1">
        <f t="array" ref="I4983">_xlfn.STDEV.P(IF(Table1[IndicatorCode]=Table1[[#This Row],[IndicatorCode]],Table1[value]))</f>
        <v>26324.778297809873</v>
      </c>
      <c r="J4983">
        <f>(Table1[[#This Row],[value]] - Table1[[#This Row],[mean]]) / Table1[[#This Row],[std_dev]]</f>
        <v>-0.68797872989117181</v>
      </c>
      <c r="K4983">
        <f>AVERAGEIF(Table1[CountryCode],Table1[[#This Row],[CountryCode]],Table1[z-score])</f>
        <v>-0.77202666663319364</v>
      </c>
      <c r="L4983" t="e">
        <f>VLOOKUP(Table1[[#This Row],[CountryCode]],[1]!Table1[#All],1,FALSE)</f>
        <v>#REF!</v>
      </c>
    </row>
    <row r="4984" spans="1:12" hidden="1" x14ac:dyDescent="0.3">
      <c r="A4984" t="s">
        <v>27</v>
      </c>
      <c r="B4984" t="s">
        <v>28</v>
      </c>
      <c r="C4984" t="s">
        <v>127</v>
      </c>
      <c r="D4984" t="s">
        <v>128</v>
      </c>
      <c r="E4984">
        <v>1960</v>
      </c>
      <c r="F4984" s="1">
        <v>39907</v>
      </c>
      <c r="G4984">
        <v>1960</v>
      </c>
      <c r="H4984">
        <f>AVERAGEIFS(Table1[value],Table1[IndicatorCode],Table1[[#This Row],[IndicatorCode]])</f>
        <v>24902.88753799392</v>
      </c>
      <c r="I4984" cm="1">
        <f t="array" ref="I4984">_xlfn.STDEV.P(IF(Table1[IndicatorCode]=Table1[[#This Row],[IndicatorCode]],Table1[value]))</f>
        <v>26324.778297809873</v>
      </c>
      <c r="J4984">
        <f>(Table1[[#This Row],[value]] - Table1[[#This Row],[mean]]) / Table1[[#This Row],[std_dev]]</f>
        <v>0.56996158874600544</v>
      </c>
      <c r="K4984">
        <f>AVERAGEIF(Table1[CountryCode],Table1[[#This Row],[CountryCode]],Table1[z-score])</f>
        <v>0.68174026806790211</v>
      </c>
      <c r="L4984" t="e">
        <f>VLOOKUP(Table1[[#This Row],[CountryCode]],[1]!Table1[#All],1,FALSE)</f>
        <v>#REF!</v>
      </c>
    </row>
    <row r="4985" spans="1:12" hidden="1" x14ac:dyDescent="0.3">
      <c r="A4985" t="s">
        <v>27</v>
      </c>
      <c r="B4985" t="s">
        <v>28</v>
      </c>
      <c r="C4985" t="s">
        <v>127</v>
      </c>
      <c r="D4985" t="s">
        <v>128</v>
      </c>
      <c r="E4985">
        <v>1961</v>
      </c>
      <c r="F4985" s="1">
        <v>42298</v>
      </c>
      <c r="G4985">
        <v>1960</v>
      </c>
      <c r="H4985">
        <f>AVERAGEIFS(Table1[value],Table1[IndicatorCode],Table1[[#This Row],[IndicatorCode]])</f>
        <v>24902.88753799392</v>
      </c>
      <c r="I4985" cm="1">
        <f t="array" ref="I4985">_xlfn.STDEV.P(IF(Table1[IndicatorCode]=Table1[[#This Row],[IndicatorCode]],Table1[value]))</f>
        <v>26324.778297809873</v>
      </c>
      <c r="J4985">
        <f>(Table1[[#This Row],[value]] - Table1[[#This Row],[mean]]) / Table1[[#This Row],[std_dev]]</f>
        <v>0.66078856449299295</v>
      </c>
      <c r="K4985">
        <f>AVERAGEIF(Table1[CountryCode],Table1[[#This Row],[CountryCode]],Table1[z-score])</f>
        <v>0.68174026806790211</v>
      </c>
      <c r="L4985" t="e">
        <f>VLOOKUP(Table1[[#This Row],[CountryCode]],[1]!Table1[#All],1,FALSE)</f>
        <v>#REF!</v>
      </c>
    </row>
    <row r="4986" spans="1:12" hidden="1" x14ac:dyDescent="0.3">
      <c r="A4986" t="s">
        <v>27</v>
      </c>
      <c r="B4986" t="s">
        <v>28</v>
      </c>
      <c r="C4986" t="s">
        <v>127</v>
      </c>
      <c r="D4986" t="s">
        <v>128</v>
      </c>
      <c r="E4986">
        <v>1962</v>
      </c>
      <c r="F4986" s="1">
        <v>43215</v>
      </c>
      <c r="G4986">
        <v>1960</v>
      </c>
      <c r="H4986">
        <f>AVERAGEIFS(Table1[value],Table1[IndicatorCode],Table1[[#This Row],[IndicatorCode]])</f>
        <v>24902.88753799392</v>
      </c>
      <c r="I4986" cm="1">
        <f t="array" ref="I4986">_xlfn.STDEV.P(IF(Table1[IndicatorCode]=Table1[[#This Row],[IndicatorCode]],Table1[value]))</f>
        <v>26324.778297809873</v>
      </c>
      <c r="J4986">
        <f>(Table1[[#This Row],[value]] - Table1[[#This Row],[mean]]) / Table1[[#This Row],[std_dev]]</f>
        <v>0.69562266602372802</v>
      </c>
      <c r="K4986">
        <f>AVERAGEIF(Table1[CountryCode],Table1[[#This Row],[CountryCode]],Table1[z-score])</f>
        <v>0.68174026806790211</v>
      </c>
      <c r="L4986" t="e">
        <f>VLOOKUP(Table1[[#This Row],[CountryCode]],[1]!Table1[#All],1,FALSE)</f>
        <v>#REF!</v>
      </c>
    </row>
    <row r="4987" spans="1:12" hidden="1" x14ac:dyDescent="0.3">
      <c r="A4987" t="s">
        <v>27</v>
      </c>
      <c r="B4987" t="s">
        <v>28</v>
      </c>
      <c r="C4987" t="s">
        <v>127</v>
      </c>
      <c r="D4987" t="s">
        <v>128</v>
      </c>
      <c r="E4987">
        <v>1963</v>
      </c>
      <c r="F4987" s="1">
        <v>44364</v>
      </c>
      <c r="G4987">
        <v>1960</v>
      </c>
      <c r="H4987">
        <f>AVERAGEIFS(Table1[value],Table1[IndicatorCode],Table1[[#This Row],[IndicatorCode]])</f>
        <v>24902.88753799392</v>
      </c>
      <c r="I4987" cm="1">
        <f t="array" ref="I4987">_xlfn.STDEV.P(IF(Table1[IndicatorCode]=Table1[[#This Row],[IndicatorCode]],Table1[value]))</f>
        <v>26324.778297809873</v>
      </c>
      <c r="J4987">
        <f>(Table1[[#This Row],[value]] - Table1[[#This Row],[mean]]) / Table1[[#This Row],[std_dev]]</f>
        <v>0.73926975725471444</v>
      </c>
      <c r="K4987">
        <f>AVERAGEIF(Table1[CountryCode],Table1[[#This Row],[CountryCode]],Table1[z-score])</f>
        <v>0.68174026806790211</v>
      </c>
      <c r="L4987" t="e">
        <f>VLOOKUP(Table1[[#This Row],[CountryCode]],[1]!Table1[#All],1,FALSE)</f>
        <v>#REF!</v>
      </c>
    </row>
    <row r="4988" spans="1:12" hidden="1" x14ac:dyDescent="0.3">
      <c r="A4988" t="s">
        <v>27</v>
      </c>
      <c r="B4988" t="s">
        <v>28</v>
      </c>
      <c r="C4988" t="s">
        <v>127</v>
      </c>
      <c r="D4988" t="s">
        <v>128</v>
      </c>
      <c r="E4988">
        <v>1964</v>
      </c>
      <c r="F4988" s="1">
        <v>45930</v>
      </c>
      <c r="G4988">
        <v>1960</v>
      </c>
      <c r="H4988">
        <f>AVERAGEIFS(Table1[value],Table1[IndicatorCode],Table1[[#This Row],[IndicatorCode]])</f>
        <v>24902.88753799392</v>
      </c>
      <c r="I4988" cm="1">
        <f t="array" ref="I4988">_xlfn.STDEV.P(IF(Table1[IndicatorCode]=Table1[[#This Row],[IndicatorCode]],Table1[value]))</f>
        <v>26324.778297809873</v>
      </c>
      <c r="J4988">
        <f>(Table1[[#This Row],[value]] - Table1[[#This Row],[mean]]) / Table1[[#This Row],[std_dev]]</f>
        <v>0.79875743773141139</v>
      </c>
      <c r="K4988">
        <f>AVERAGEIF(Table1[CountryCode],Table1[[#This Row],[CountryCode]],Table1[z-score])</f>
        <v>0.68174026806790211</v>
      </c>
      <c r="L4988" t="e">
        <f>VLOOKUP(Table1[[#This Row],[CountryCode]],[1]!Table1[#All],1,FALSE)</f>
        <v>#REF!</v>
      </c>
    </row>
    <row r="4989" spans="1:12" hidden="1" x14ac:dyDescent="0.3">
      <c r="A4989" t="s">
        <v>27</v>
      </c>
      <c r="B4989" t="s">
        <v>28</v>
      </c>
      <c r="C4989" t="s">
        <v>127</v>
      </c>
      <c r="D4989" t="s">
        <v>128</v>
      </c>
      <c r="E4989">
        <v>1965</v>
      </c>
      <c r="F4989" s="1">
        <v>46358</v>
      </c>
      <c r="G4989">
        <v>1960</v>
      </c>
      <c r="H4989">
        <f>AVERAGEIFS(Table1[value],Table1[IndicatorCode],Table1[[#This Row],[IndicatorCode]])</f>
        <v>24902.88753799392</v>
      </c>
      <c r="I4989" cm="1">
        <f t="array" ref="I4989">_xlfn.STDEV.P(IF(Table1[IndicatorCode]=Table1[[#This Row],[IndicatorCode]],Table1[value]))</f>
        <v>26324.778297809873</v>
      </c>
      <c r="J4989">
        <f>(Table1[[#This Row],[value]] - Table1[[#This Row],[mean]]) / Table1[[#This Row],[std_dev]]</f>
        <v>0.81501588424739246</v>
      </c>
      <c r="K4989">
        <f>AVERAGEIF(Table1[CountryCode],Table1[[#This Row],[CountryCode]],Table1[z-score])</f>
        <v>0.68174026806790211</v>
      </c>
      <c r="L4989" t="e">
        <f>VLOOKUP(Table1[[#This Row],[CountryCode]],[1]!Table1[#All],1,FALSE)</f>
        <v>#REF!</v>
      </c>
    </row>
    <row r="4990" spans="1:12" hidden="1" x14ac:dyDescent="0.3">
      <c r="A4990" t="s">
        <v>27</v>
      </c>
      <c r="B4990" t="s">
        <v>28</v>
      </c>
      <c r="C4990" t="s">
        <v>127</v>
      </c>
      <c r="D4990" t="s">
        <v>128</v>
      </c>
      <c r="E4990">
        <v>1966</v>
      </c>
      <c r="F4990" s="1">
        <v>47006</v>
      </c>
      <c r="G4990">
        <v>1960</v>
      </c>
      <c r="H4990">
        <f>AVERAGEIFS(Table1[value],Table1[IndicatorCode],Table1[[#This Row],[IndicatorCode]])</f>
        <v>24902.88753799392</v>
      </c>
      <c r="I4990" cm="1">
        <f t="array" ref="I4990">_xlfn.STDEV.P(IF(Table1[IndicatorCode]=Table1[[#This Row],[IndicatorCode]],Table1[value]))</f>
        <v>26324.778297809873</v>
      </c>
      <c r="J4990">
        <f>(Table1[[#This Row],[value]] - Table1[[#This Row],[mean]]) / Table1[[#This Row],[std_dev]]</f>
        <v>0.83963147616878431</v>
      </c>
      <c r="K4990">
        <f>AVERAGEIF(Table1[CountryCode],Table1[[#This Row],[CountryCode]],Table1[z-score])</f>
        <v>0.68174026806790211</v>
      </c>
      <c r="L4990" t="e">
        <f>VLOOKUP(Table1[[#This Row],[CountryCode]],[1]!Table1[#All],1,FALSE)</f>
        <v>#REF!</v>
      </c>
    </row>
    <row r="4991" spans="1:12" hidden="1" x14ac:dyDescent="0.3">
      <c r="A4991" t="s">
        <v>27</v>
      </c>
      <c r="B4991" t="s">
        <v>28</v>
      </c>
      <c r="C4991" t="s">
        <v>127</v>
      </c>
      <c r="D4991" t="s">
        <v>128</v>
      </c>
      <c r="E4991">
        <v>1967</v>
      </c>
      <c r="F4991" s="1">
        <v>47846</v>
      </c>
      <c r="G4991">
        <v>1970</v>
      </c>
      <c r="H4991">
        <f>AVERAGEIFS(Table1[value],Table1[IndicatorCode],Table1[[#This Row],[IndicatorCode]])</f>
        <v>24902.88753799392</v>
      </c>
      <c r="I4991" cm="1">
        <f t="array" ref="I4991">_xlfn.STDEV.P(IF(Table1[IndicatorCode]=Table1[[#This Row],[IndicatorCode]],Table1[value]))</f>
        <v>26324.778297809873</v>
      </c>
      <c r="J4991">
        <f>(Table1[[#This Row],[value]] - Table1[[#This Row],[mean]]) / Table1[[#This Row],[std_dev]]</f>
        <v>0.87154057680762553</v>
      </c>
      <c r="K4991">
        <f>AVERAGEIF(Table1[CountryCode],Table1[[#This Row],[CountryCode]],Table1[z-score])</f>
        <v>0.68174026806790211</v>
      </c>
      <c r="L4991" t="e">
        <f>VLOOKUP(Table1[[#This Row],[CountryCode]],[1]!Table1[#All],1,FALSE)</f>
        <v>#REF!</v>
      </c>
    </row>
    <row r="4992" spans="1:12" hidden="1" x14ac:dyDescent="0.3">
      <c r="A4992" t="s">
        <v>27</v>
      </c>
      <c r="B4992" t="s">
        <v>28</v>
      </c>
      <c r="C4992" t="s">
        <v>127</v>
      </c>
      <c r="D4992" t="s">
        <v>128</v>
      </c>
      <c r="E4992">
        <v>1968</v>
      </c>
      <c r="F4992" s="1">
        <v>48942</v>
      </c>
      <c r="G4992">
        <v>1970</v>
      </c>
      <c r="H4992">
        <f>AVERAGEIFS(Table1[value],Table1[IndicatorCode],Table1[[#This Row],[IndicatorCode]])</f>
        <v>24902.88753799392</v>
      </c>
      <c r="I4992" cm="1">
        <f t="array" ref="I4992">_xlfn.STDEV.P(IF(Table1[IndicatorCode]=Table1[[#This Row],[IndicatorCode]],Table1[value]))</f>
        <v>26324.778297809873</v>
      </c>
      <c r="J4992">
        <f>(Table1[[#This Row],[value]] - Table1[[#This Row],[mean]]) / Table1[[#This Row],[std_dev]]</f>
        <v>0.91317435573639938</v>
      </c>
      <c r="K4992">
        <f>AVERAGEIF(Table1[CountryCode],Table1[[#This Row],[CountryCode]],Table1[z-score])</f>
        <v>0.68174026806790211</v>
      </c>
      <c r="L4992" t="e">
        <f>VLOOKUP(Table1[[#This Row],[CountryCode]],[1]!Table1[#All],1,FALSE)</f>
        <v>#REF!</v>
      </c>
    </row>
    <row r="4993" spans="1:12" hidden="1" x14ac:dyDescent="0.3">
      <c r="A4993" t="s">
        <v>27</v>
      </c>
      <c r="B4993" t="s">
        <v>28</v>
      </c>
      <c r="C4993" t="s">
        <v>127</v>
      </c>
      <c r="D4993" t="s">
        <v>128</v>
      </c>
      <c r="E4993">
        <v>1969</v>
      </c>
      <c r="F4993" s="1">
        <v>51120</v>
      </c>
      <c r="G4993">
        <v>1970</v>
      </c>
      <c r="H4993">
        <f>AVERAGEIFS(Table1[value],Table1[IndicatorCode],Table1[[#This Row],[IndicatorCode]])</f>
        <v>24902.88753799392</v>
      </c>
      <c r="I4993" cm="1">
        <f t="array" ref="I4993">_xlfn.STDEV.P(IF(Table1[IndicatorCode]=Table1[[#This Row],[IndicatorCode]],Table1[value]))</f>
        <v>26324.778297809873</v>
      </c>
      <c r="J4993">
        <f>(Table1[[#This Row],[value]] - Table1[[#This Row],[mean]]) / Table1[[#This Row],[std_dev]]</f>
        <v>0.99591009524996643</v>
      </c>
      <c r="K4993">
        <f>AVERAGEIF(Table1[CountryCode],Table1[[#This Row],[CountryCode]],Table1[z-score])</f>
        <v>0.68174026806790211</v>
      </c>
      <c r="L4993" t="e">
        <f>VLOOKUP(Table1[[#This Row],[CountryCode]],[1]!Table1[#All],1,FALSE)</f>
        <v>#REF!</v>
      </c>
    </row>
    <row r="4994" spans="1:12" hidden="1" x14ac:dyDescent="0.3">
      <c r="A4994" t="s">
        <v>27</v>
      </c>
      <c r="B4994" t="s">
        <v>28</v>
      </c>
      <c r="C4994" t="s">
        <v>127</v>
      </c>
      <c r="D4994" t="s">
        <v>128</v>
      </c>
      <c r="E4994">
        <v>1970</v>
      </c>
      <c r="F4994" s="1">
        <v>53989</v>
      </c>
      <c r="G4994">
        <v>1970</v>
      </c>
      <c r="H4994">
        <f>AVERAGEIFS(Table1[value],Table1[IndicatorCode],Table1[[#This Row],[IndicatorCode]])</f>
        <v>24902.88753799392</v>
      </c>
      <c r="I4994" cm="1">
        <f t="array" ref="I4994">_xlfn.STDEV.P(IF(Table1[IndicatorCode]=Table1[[#This Row],[IndicatorCode]],Table1[value]))</f>
        <v>26324.778297809873</v>
      </c>
      <c r="J4994">
        <f>(Table1[[#This Row],[value]] - Table1[[#This Row],[mean]]) / Table1[[#This Row],[std_dev]]</f>
        <v>1.1048948687414375</v>
      </c>
      <c r="K4994">
        <f>AVERAGEIF(Table1[CountryCode],Table1[[#This Row],[CountryCode]],Table1[z-score])</f>
        <v>0.68174026806790211</v>
      </c>
      <c r="L4994" t="e">
        <f>VLOOKUP(Table1[[#This Row],[CountryCode]],[1]!Table1[#All],1,FALSE)</f>
        <v>#REF!</v>
      </c>
    </row>
    <row r="4995" spans="1:12" hidden="1" x14ac:dyDescent="0.3">
      <c r="A4995" t="s">
        <v>27</v>
      </c>
      <c r="B4995" t="s">
        <v>28</v>
      </c>
      <c r="C4995" t="s">
        <v>127</v>
      </c>
      <c r="D4995" t="s">
        <v>128</v>
      </c>
      <c r="E4995">
        <v>1971</v>
      </c>
      <c r="F4995" s="1">
        <v>55895</v>
      </c>
      <c r="G4995">
        <v>1970</v>
      </c>
      <c r="H4995">
        <f>AVERAGEIFS(Table1[value],Table1[IndicatorCode],Table1[[#This Row],[IndicatorCode]])</f>
        <v>24902.88753799392</v>
      </c>
      <c r="I4995" cm="1">
        <f t="array" ref="I4995">_xlfn.STDEV.P(IF(Table1[IndicatorCode]=Table1[[#This Row],[IndicatorCode]],Table1[value]))</f>
        <v>26324.778297809873</v>
      </c>
      <c r="J4995">
        <f>(Table1[[#This Row],[value]] - Table1[[#This Row],[mean]]) / Table1[[#This Row],[std_dev]]</f>
        <v>1.1772981375719511</v>
      </c>
      <c r="K4995">
        <f>AVERAGEIF(Table1[CountryCode],Table1[[#This Row],[CountryCode]],Table1[z-score])</f>
        <v>0.68174026806790211</v>
      </c>
      <c r="L4995" t="e">
        <f>VLOOKUP(Table1[[#This Row],[CountryCode]],[1]!Table1[#All],1,FALSE)</f>
        <v>#REF!</v>
      </c>
    </row>
    <row r="4996" spans="1:12" hidden="1" x14ac:dyDescent="0.3">
      <c r="A4996" t="s">
        <v>27</v>
      </c>
      <c r="B4996" t="s">
        <v>28</v>
      </c>
      <c r="C4996" t="s">
        <v>127</v>
      </c>
      <c r="D4996" t="s">
        <v>128</v>
      </c>
      <c r="E4996">
        <v>1972</v>
      </c>
      <c r="F4996" s="1">
        <v>57246</v>
      </c>
      <c r="G4996">
        <v>1970</v>
      </c>
      <c r="H4996">
        <f>AVERAGEIFS(Table1[value],Table1[IndicatorCode],Table1[[#This Row],[IndicatorCode]])</f>
        <v>24902.88753799392</v>
      </c>
      <c r="I4996" cm="1">
        <f t="array" ref="I4996">_xlfn.STDEV.P(IF(Table1[IndicatorCode]=Table1[[#This Row],[IndicatorCode]],Table1[value]))</f>
        <v>26324.778297809873</v>
      </c>
      <c r="J4996">
        <f>(Table1[[#This Row],[value]] - Table1[[#This Row],[mean]]) / Table1[[#This Row],[std_dev]]</f>
        <v>1.2286186077660874</v>
      </c>
      <c r="K4996">
        <f>AVERAGEIF(Table1[CountryCode],Table1[[#This Row],[CountryCode]],Table1[z-score])</f>
        <v>0.68174026806790211</v>
      </c>
      <c r="L4996" t="e">
        <f>VLOOKUP(Table1[[#This Row],[CountryCode]],[1]!Table1[#All],1,FALSE)</f>
        <v>#REF!</v>
      </c>
    </row>
    <row r="4997" spans="1:12" hidden="1" x14ac:dyDescent="0.3">
      <c r="A4997" t="s">
        <v>27</v>
      </c>
      <c r="B4997" t="s">
        <v>28</v>
      </c>
      <c r="C4997" t="s">
        <v>127</v>
      </c>
      <c r="D4997" t="s">
        <v>128</v>
      </c>
      <c r="E4997">
        <v>1973</v>
      </c>
      <c r="F4997" s="1">
        <v>58558</v>
      </c>
      <c r="G4997">
        <v>1970</v>
      </c>
      <c r="H4997">
        <f>AVERAGEIFS(Table1[value],Table1[IndicatorCode],Table1[[#This Row],[IndicatorCode]])</f>
        <v>24902.88753799392</v>
      </c>
      <c r="I4997" cm="1">
        <f t="array" ref="I4997">_xlfn.STDEV.P(IF(Table1[IndicatorCode]=Table1[[#This Row],[IndicatorCode]],Table1[value]))</f>
        <v>26324.778297809873</v>
      </c>
      <c r="J4997">
        <f>(Table1[[#This Row],[value]] - Table1[[#This Row],[mean]]) / Table1[[#This Row],[std_dev]]</f>
        <v>1.2784575840019918</v>
      </c>
      <c r="K4997">
        <f>AVERAGEIF(Table1[CountryCode],Table1[[#This Row],[CountryCode]],Table1[z-score])</f>
        <v>0.68174026806790211</v>
      </c>
      <c r="L4997" t="e">
        <f>VLOOKUP(Table1[[#This Row],[CountryCode]],[1]!Table1[#All],1,FALSE)</f>
        <v>#REF!</v>
      </c>
    </row>
    <row r="4998" spans="1:12" hidden="1" x14ac:dyDescent="0.3">
      <c r="A4998" t="s">
        <v>27</v>
      </c>
      <c r="B4998" t="s">
        <v>28</v>
      </c>
      <c r="C4998" t="s">
        <v>127</v>
      </c>
      <c r="D4998" t="s">
        <v>128</v>
      </c>
      <c r="E4998">
        <v>1974</v>
      </c>
      <c r="F4998" s="1">
        <v>59091</v>
      </c>
      <c r="G4998">
        <v>1970</v>
      </c>
      <c r="H4998">
        <f>AVERAGEIFS(Table1[value],Table1[IndicatorCode],Table1[[#This Row],[IndicatorCode]])</f>
        <v>24902.88753799392</v>
      </c>
      <c r="I4998" cm="1">
        <f t="array" ref="I4998">_xlfn.STDEV.P(IF(Table1[IndicatorCode]=Table1[[#This Row],[IndicatorCode]],Table1[value]))</f>
        <v>26324.778297809873</v>
      </c>
      <c r="J4998">
        <f>(Table1[[#This Row],[value]] - Table1[[#This Row],[mean]]) / Table1[[#This Row],[std_dev]]</f>
        <v>1.298704668097828</v>
      </c>
      <c r="K4998">
        <f>AVERAGEIF(Table1[CountryCode],Table1[[#This Row],[CountryCode]],Table1[z-score])</f>
        <v>0.68174026806790211</v>
      </c>
      <c r="L4998" t="e">
        <f>VLOOKUP(Table1[[#This Row],[CountryCode]],[1]!Table1[#All],1,FALSE)</f>
        <v>#REF!</v>
      </c>
    </row>
    <row r="4999" spans="1:12" hidden="1" x14ac:dyDescent="0.3">
      <c r="A4999" t="s">
        <v>27</v>
      </c>
      <c r="B4999" t="s">
        <v>28</v>
      </c>
      <c r="C4999" t="s">
        <v>127</v>
      </c>
      <c r="D4999" t="s">
        <v>128</v>
      </c>
      <c r="E4999">
        <v>1975</v>
      </c>
      <c r="F4999" s="1">
        <v>54811</v>
      </c>
      <c r="G4999">
        <v>1970</v>
      </c>
      <c r="H4999">
        <f>AVERAGEIFS(Table1[value],Table1[IndicatorCode],Table1[[#This Row],[IndicatorCode]])</f>
        <v>24902.88753799392</v>
      </c>
      <c r="I4999" cm="1">
        <f t="array" ref="I4999">_xlfn.STDEV.P(IF(Table1[IndicatorCode]=Table1[[#This Row],[IndicatorCode]],Table1[value]))</f>
        <v>26324.778297809873</v>
      </c>
      <c r="J4999">
        <f>(Table1[[#This Row],[value]] - Table1[[#This Row],[mean]]) / Table1[[#This Row],[std_dev]]</f>
        <v>1.1361202029380177</v>
      </c>
      <c r="K4999">
        <f>AVERAGEIF(Table1[CountryCode],Table1[[#This Row],[CountryCode]],Table1[z-score])</f>
        <v>0.68174026806790211</v>
      </c>
      <c r="L4999" t="e">
        <f>VLOOKUP(Table1[[#This Row],[CountryCode]],[1]!Table1[#All],1,FALSE)</f>
        <v>#REF!</v>
      </c>
    </row>
    <row r="5000" spans="1:12" hidden="1" x14ac:dyDescent="0.3">
      <c r="A5000" t="s">
        <v>27</v>
      </c>
      <c r="B5000" t="s">
        <v>28</v>
      </c>
      <c r="C5000" t="s">
        <v>127</v>
      </c>
      <c r="D5000" t="s">
        <v>128</v>
      </c>
      <c r="E5000">
        <v>1976</v>
      </c>
      <c r="F5000" s="1">
        <v>54352</v>
      </c>
      <c r="G5000">
        <v>1970</v>
      </c>
      <c r="H5000">
        <f>AVERAGEIFS(Table1[value],Table1[IndicatorCode],Table1[[#This Row],[IndicatorCode]])</f>
        <v>24902.88753799392</v>
      </c>
      <c r="I5000" cm="1">
        <f t="array" ref="I5000">_xlfn.STDEV.P(IF(Table1[IndicatorCode]=Table1[[#This Row],[IndicatorCode]],Table1[value]))</f>
        <v>26324.778297809873</v>
      </c>
      <c r="J5000">
        <f>(Table1[[#This Row],[value]] - Table1[[#This Row],[mean]]) / Table1[[#This Row],[std_dev]]</f>
        <v>1.1186841586603653</v>
      </c>
      <c r="K5000">
        <f>AVERAGEIF(Table1[CountryCode],Table1[[#This Row],[CountryCode]],Table1[z-score])</f>
        <v>0.68174026806790211</v>
      </c>
      <c r="L5000" t="e">
        <f>VLOOKUP(Table1[[#This Row],[CountryCode]],[1]!Table1[#All],1,FALSE)</f>
        <v>#REF!</v>
      </c>
    </row>
    <row r="5001" spans="1:12" hidden="1" x14ac:dyDescent="0.3">
      <c r="A5001" t="s">
        <v>27</v>
      </c>
      <c r="B5001" t="s">
        <v>28</v>
      </c>
      <c r="C5001" t="s">
        <v>127</v>
      </c>
      <c r="D5001" t="s">
        <v>128</v>
      </c>
      <c r="E5001">
        <v>1977</v>
      </c>
      <c r="F5001" s="1">
        <v>55864</v>
      </c>
      <c r="G5001">
        <v>1980</v>
      </c>
      <c r="H5001">
        <f>AVERAGEIFS(Table1[value],Table1[IndicatorCode],Table1[[#This Row],[IndicatorCode]])</f>
        <v>24902.88753799392</v>
      </c>
      <c r="I5001" cm="1">
        <f t="array" ref="I5001">_xlfn.STDEV.P(IF(Table1[IndicatorCode]=Table1[[#This Row],[IndicatorCode]],Table1[value]))</f>
        <v>26324.778297809873</v>
      </c>
      <c r="J5001">
        <f>(Table1[[#This Row],[value]] - Table1[[#This Row],[mean]]) / Table1[[#This Row],[std_dev]]</f>
        <v>1.1761205398102796</v>
      </c>
      <c r="K5001">
        <f>AVERAGEIF(Table1[CountryCode],Table1[[#This Row],[CountryCode]],Table1[z-score])</f>
        <v>0.68174026806790211</v>
      </c>
      <c r="L5001" t="e">
        <f>VLOOKUP(Table1[[#This Row],[CountryCode]],[1]!Table1[#All],1,FALSE)</f>
        <v>#REF!</v>
      </c>
    </row>
    <row r="5002" spans="1:12" hidden="1" x14ac:dyDescent="0.3">
      <c r="A5002" t="s">
        <v>27</v>
      </c>
      <c r="B5002" t="s">
        <v>28</v>
      </c>
      <c r="C5002" t="s">
        <v>127</v>
      </c>
      <c r="D5002" t="s">
        <v>128</v>
      </c>
      <c r="E5002">
        <v>1978</v>
      </c>
      <c r="F5002" s="1">
        <v>56087</v>
      </c>
      <c r="G5002">
        <v>1980</v>
      </c>
      <c r="H5002">
        <f>AVERAGEIFS(Table1[value],Table1[IndicatorCode],Table1[[#This Row],[IndicatorCode]])</f>
        <v>24902.88753799392</v>
      </c>
      <c r="I5002" cm="1">
        <f t="array" ref="I5002">_xlfn.STDEV.P(IF(Table1[IndicatorCode]=Table1[[#This Row],[IndicatorCode]],Table1[value]))</f>
        <v>26324.778297809873</v>
      </c>
      <c r="J5002">
        <f>(Table1[[#This Row],[value]] - Table1[[#This Row],[mean]]) / Table1[[#This Row],[std_dev]]</f>
        <v>1.1845916462894006</v>
      </c>
      <c r="K5002">
        <f>AVERAGEIF(Table1[CountryCode],Table1[[#This Row],[CountryCode]],Table1[z-score])</f>
        <v>0.68174026806790211</v>
      </c>
      <c r="L5002" t="e">
        <f>VLOOKUP(Table1[[#This Row],[CountryCode]],[1]!Table1[#All],1,FALSE)</f>
        <v>#REF!</v>
      </c>
    </row>
    <row r="5003" spans="1:12" hidden="1" x14ac:dyDescent="0.3">
      <c r="A5003" t="s">
        <v>27</v>
      </c>
      <c r="B5003" t="s">
        <v>28</v>
      </c>
      <c r="C5003" t="s">
        <v>127</v>
      </c>
      <c r="D5003" t="s">
        <v>128</v>
      </c>
      <c r="E5003">
        <v>1979</v>
      </c>
      <c r="F5003" s="1">
        <v>57369</v>
      </c>
      <c r="G5003">
        <v>1980</v>
      </c>
      <c r="H5003">
        <f>AVERAGEIFS(Table1[value],Table1[IndicatorCode],Table1[[#This Row],[IndicatorCode]])</f>
        <v>24902.88753799392</v>
      </c>
      <c r="I5003" cm="1">
        <f t="array" ref="I5003">_xlfn.STDEV.P(IF(Table1[IndicatorCode]=Table1[[#This Row],[IndicatorCode]],Table1[value]))</f>
        <v>26324.778297809873</v>
      </c>
      <c r="J5003">
        <f>(Table1[[#This Row],[value]] - Table1[[#This Row],[mean]]) / Table1[[#This Row],[std_dev]]</f>
        <v>1.2332910117882034</v>
      </c>
      <c r="K5003">
        <f>AVERAGEIF(Table1[CountryCode],Table1[[#This Row],[CountryCode]],Table1[z-score])</f>
        <v>0.68174026806790211</v>
      </c>
      <c r="L5003" t="e">
        <f>VLOOKUP(Table1[[#This Row],[CountryCode]],[1]!Table1[#All],1,FALSE)</f>
        <v>#REF!</v>
      </c>
    </row>
    <row r="5004" spans="1:12" hidden="1" x14ac:dyDescent="0.3">
      <c r="A5004" t="s">
        <v>27</v>
      </c>
      <c r="B5004" t="s">
        <v>28</v>
      </c>
      <c r="C5004" t="s">
        <v>127</v>
      </c>
      <c r="D5004" t="s">
        <v>128</v>
      </c>
      <c r="E5004">
        <v>1980</v>
      </c>
      <c r="F5004" s="1">
        <v>59771</v>
      </c>
      <c r="G5004">
        <v>1980</v>
      </c>
      <c r="H5004">
        <f>AVERAGEIFS(Table1[value],Table1[IndicatorCode],Table1[[#This Row],[IndicatorCode]])</f>
        <v>24902.88753799392</v>
      </c>
      <c r="I5004" cm="1">
        <f t="array" ref="I5004">_xlfn.STDEV.P(IF(Table1[IndicatorCode]=Table1[[#This Row],[IndicatorCode]],Table1[value]))</f>
        <v>26324.778297809873</v>
      </c>
      <c r="J5004">
        <f>(Table1[[#This Row],[value]] - Table1[[#This Row],[mean]]) / Table1[[#This Row],[std_dev]]</f>
        <v>1.3245358448054616</v>
      </c>
      <c r="K5004">
        <f>AVERAGEIF(Table1[CountryCode],Table1[[#This Row],[CountryCode]],Table1[z-score])</f>
        <v>0.68174026806790211</v>
      </c>
      <c r="L5004" t="e">
        <f>VLOOKUP(Table1[[#This Row],[CountryCode]],[1]!Table1[#All],1,FALSE)</f>
        <v>#REF!</v>
      </c>
    </row>
    <row r="5005" spans="1:12" hidden="1" x14ac:dyDescent="0.3">
      <c r="A5005" t="s">
        <v>27</v>
      </c>
      <c r="B5005" t="s">
        <v>28</v>
      </c>
      <c r="C5005" t="s">
        <v>127</v>
      </c>
      <c r="D5005" t="s">
        <v>128</v>
      </c>
      <c r="E5005">
        <v>1981</v>
      </c>
      <c r="F5005" s="1">
        <v>60397</v>
      </c>
      <c r="G5005">
        <v>1980</v>
      </c>
      <c r="H5005">
        <f>AVERAGEIFS(Table1[value],Table1[IndicatorCode],Table1[[#This Row],[IndicatorCode]])</f>
        <v>24902.88753799392</v>
      </c>
      <c r="I5005" cm="1">
        <f t="array" ref="I5005">_xlfn.STDEV.P(IF(Table1[IndicatorCode]=Table1[[#This Row],[IndicatorCode]],Table1[value]))</f>
        <v>26324.778297809873</v>
      </c>
      <c r="J5005">
        <f>(Table1[[#This Row],[value]] - Table1[[#This Row],[mean]]) / Table1[[#This Row],[std_dev]]</f>
        <v>1.3483157221863122</v>
      </c>
      <c r="K5005">
        <f>AVERAGEIF(Table1[CountryCode],Table1[[#This Row],[CountryCode]],Table1[z-score])</f>
        <v>0.68174026806790211</v>
      </c>
      <c r="L5005" t="e">
        <f>VLOOKUP(Table1[[#This Row],[CountryCode]],[1]!Table1[#All],1,FALSE)</f>
        <v>#REF!</v>
      </c>
    </row>
    <row r="5006" spans="1:12" hidden="1" x14ac:dyDescent="0.3">
      <c r="A5006" t="s">
        <v>27</v>
      </c>
      <c r="B5006" t="s">
        <v>28</v>
      </c>
      <c r="C5006" t="s">
        <v>127</v>
      </c>
      <c r="D5006" t="s">
        <v>128</v>
      </c>
      <c r="E5006">
        <v>1982</v>
      </c>
      <c r="F5006" s="1">
        <v>59259</v>
      </c>
      <c r="G5006">
        <v>1980</v>
      </c>
      <c r="H5006">
        <f>AVERAGEIFS(Table1[value],Table1[IndicatorCode],Table1[[#This Row],[IndicatorCode]])</f>
        <v>24902.88753799392</v>
      </c>
      <c r="I5006" cm="1">
        <f t="array" ref="I5006">_xlfn.STDEV.P(IF(Table1[IndicatorCode]=Table1[[#This Row],[IndicatorCode]],Table1[value]))</f>
        <v>26324.778297809873</v>
      </c>
      <c r="J5006">
        <f>(Table1[[#This Row],[value]] - Table1[[#This Row],[mean]]) / Table1[[#This Row],[std_dev]]</f>
        <v>1.3050864882255964</v>
      </c>
      <c r="K5006">
        <f>AVERAGEIF(Table1[CountryCode],Table1[[#This Row],[CountryCode]],Table1[z-score])</f>
        <v>0.68174026806790211</v>
      </c>
      <c r="L5006" t="e">
        <f>VLOOKUP(Table1[[#This Row],[CountryCode]],[1]!Table1[#All],1,FALSE)</f>
        <v>#REF!</v>
      </c>
    </row>
    <row r="5007" spans="1:12" hidden="1" x14ac:dyDescent="0.3">
      <c r="A5007" t="s">
        <v>27</v>
      </c>
      <c r="B5007" t="s">
        <v>28</v>
      </c>
      <c r="C5007" t="s">
        <v>127</v>
      </c>
      <c r="D5007" t="s">
        <v>128</v>
      </c>
      <c r="E5007">
        <v>1983</v>
      </c>
      <c r="F5007" s="1">
        <v>59383</v>
      </c>
      <c r="G5007">
        <v>1980</v>
      </c>
      <c r="H5007">
        <f>AVERAGEIFS(Table1[value],Table1[IndicatorCode],Table1[[#This Row],[IndicatorCode]])</f>
        <v>24902.88753799392</v>
      </c>
      <c r="I5007" cm="1">
        <f t="array" ref="I5007">_xlfn.STDEV.P(IF(Table1[IndicatorCode]=Table1[[#This Row],[IndicatorCode]],Table1[value]))</f>
        <v>26324.778297809873</v>
      </c>
      <c r="J5007">
        <f>(Table1[[#This Row],[value]] - Table1[[#This Row],[mean]]) / Table1[[#This Row],[std_dev]]</f>
        <v>1.3097968792722825</v>
      </c>
      <c r="K5007">
        <f>AVERAGEIF(Table1[CountryCode],Table1[[#This Row],[CountryCode]],Table1[z-score])</f>
        <v>0.68174026806790211</v>
      </c>
      <c r="L5007" t="e">
        <f>VLOOKUP(Table1[[#This Row],[CountryCode]],[1]!Table1[#All],1,FALSE)</f>
        <v>#REF!</v>
      </c>
    </row>
    <row r="5008" spans="1:12" hidden="1" x14ac:dyDescent="0.3">
      <c r="A5008" t="s">
        <v>27</v>
      </c>
      <c r="B5008" t="s">
        <v>28</v>
      </c>
      <c r="C5008" t="s">
        <v>127</v>
      </c>
      <c r="D5008" t="s">
        <v>128</v>
      </c>
      <c r="E5008">
        <v>1984</v>
      </c>
      <c r="F5008" s="1">
        <v>60950</v>
      </c>
      <c r="G5008">
        <v>1980</v>
      </c>
      <c r="H5008">
        <f>AVERAGEIFS(Table1[value],Table1[IndicatorCode],Table1[[#This Row],[IndicatorCode]])</f>
        <v>24902.88753799392</v>
      </c>
      <c r="I5008" cm="1">
        <f t="array" ref="I5008">_xlfn.STDEV.P(IF(Table1[IndicatorCode]=Table1[[#This Row],[IndicatorCode]],Table1[value]))</f>
        <v>26324.778297809873</v>
      </c>
      <c r="J5008">
        <f>(Table1[[#This Row],[value]] - Table1[[#This Row],[mean]]) / Table1[[#This Row],[std_dev]]</f>
        <v>1.3693225467735495</v>
      </c>
      <c r="K5008">
        <f>AVERAGEIF(Table1[CountryCode],Table1[[#This Row],[CountryCode]],Table1[z-score])</f>
        <v>0.68174026806790211</v>
      </c>
      <c r="L5008" t="e">
        <f>VLOOKUP(Table1[[#This Row],[CountryCode]],[1]!Table1[#All],1,FALSE)</f>
        <v>#REF!</v>
      </c>
    </row>
    <row r="5009" spans="1:12" hidden="1" x14ac:dyDescent="0.3">
      <c r="A5009" t="s">
        <v>27</v>
      </c>
      <c r="B5009" t="s">
        <v>28</v>
      </c>
      <c r="C5009" t="s">
        <v>127</v>
      </c>
      <c r="D5009" t="s">
        <v>128</v>
      </c>
      <c r="E5009">
        <v>1985</v>
      </c>
      <c r="F5009" s="1">
        <v>62911</v>
      </c>
      <c r="G5009">
        <v>1980</v>
      </c>
      <c r="H5009">
        <f>AVERAGEIFS(Table1[value],Table1[IndicatorCode],Table1[[#This Row],[IndicatorCode]])</f>
        <v>24902.88753799392</v>
      </c>
      <c r="I5009" cm="1">
        <f t="array" ref="I5009">_xlfn.STDEV.P(IF(Table1[IndicatorCode]=Table1[[#This Row],[IndicatorCode]],Table1[value]))</f>
        <v>26324.778297809873</v>
      </c>
      <c r="J5009">
        <f>(Table1[[#This Row],[value]] - Table1[[#This Row],[mean]]) / Table1[[#This Row],[std_dev]]</f>
        <v>1.4438151019554157</v>
      </c>
      <c r="K5009">
        <f>AVERAGEIF(Table1[CountryCode],Table1[[#This Row],[CountryCode]],Table1[z-score])</f>
        <v>0.68174026806790211</v>
      </c>
      <c r="L5009" t="e">
        <f>VLOOKUP(Table1[[#This Row],[CountryCode]],[1]!Table1[#All],1,FALSE)</f>
        <v>#REF!</v>
      </c>
    </row>
    <row r="5010" spans="1:12" hidden="1" x14ac:dyDescent="0.3">
      <c r="A5010" t="s">
        <v>27</v>
      </c>
      <c r="B5010" t="s">
        <v>28</v>
      </c>
      <c r="C5010" t="s">
        <v>127</v>
      </c>
      <c r="D5010" t="s">
        <v>128</v>
      </c>
      <c r="E5010">
        <v>1986</v>
      </c>
      <c r="F5010" s="1">
        <v>63747</v>
      </c>
      <c r="G5010">
        <v>1980</v>
      </c>
      <c r="H5010">
        <f>AVERAGEIFS(Table1[value],Table1[IndicatorCode],Table1[[#This Row],[IndicatorCode]])</f>
        <v>24902.88753799392</v>
      </c>
      <c r="I5010" cm="1">
        <f t="array" ref="I5010">_xlfn.STDEV.P(IF(Table1[IndicatorCode]=Table1[[#This Row],[IndicatorCode]],Table1[value]))</f>
        <v>26324.778297809873</v>
      </c>
      <c r="J5010">
        <f>(Table1[[#This Row],[value]] - Table1[[#This Row],[mean]]) / Table1[[#This Row],[std_dev]]</f>
        <v>1.4755722544959768</v>
      </c>
      <c r="K5010">
        <f>AVERAGEIF(Table1[CountryCode],Table1[[#This Row],[CountryCode]],Table1[z-score])</f>
        <v>0.68174026806790211</v>
      </c>
      <c r="L5010" t="e">
        <f>VLOOKUP(Table1[[#This Row],[CountryCode]],[1]!Table1[#All],1,FALSE)</f>
        <v>#REF!</v>
      </c>
    </row>
    <row r="5011" spans="1:12" hidden="1" x14ac:dyDescent="0.3">
      <c r="A5011" t="s">
        <v>27</v>
      </c>
      <c r="B5011" t="s">
        <v>28</v>
      </c>
      <c r="C5011" t="s">
        <v>127</v>
      </c>
      <c r="D5011" t="s">
        <v>128</v>
      </c>
      <c r="E5011">
        <v>1987</v>
      </c>
      <c r="F5011" s="1">
        <v>64353</v>
      </c>
      <c r="G5011">
        <v>1990</v>
      </c>
      <c r="H5011">
        <f>AVERAGEIFS(Table1[value],Table1[IndicatorCode],Table1[[#This Row],[IndicatorCode]])</f>
        <v>24902.88753799392</v>
      </c>
      <c r="I5011" cm="1">
        <f t="array" ref="I5011">_xlfn.STDEV.P(IF(Table1[IndicatorCode]=Table1[[#This Row],[IndicatorCode]],Table1[value]))</f>
        <v>26324.778297809873</v>
      </c>
      <c r="J5011">
        <f>(Table1[[#This Row],[value]] - Table1[[#This Row],[mean]]) / Table1[[#This Row],[std_dev]]</f>
        <v>1.4985923913854267</v>
      </c>
      <c r="K5011">
        <f>AVERAGEIF(Table1[CountryCode],Table1[[#This Row],[CountryCode]],Table1[z-score])</f>
        <v>0.68174026806790211</v>
      </c>
      <c r="L5011" t="e">
        <f>VLOOKUP(Table1[[#This Row],[CountryCode]],[1]!Table1[#All],1,FALSE)</f>
        <v>#REF!</v>
      </c>
    </row>
    <row r="5012" spans="1:12" hidden="1" x14ac:dyDescent="0.3">
      <c r="A5012" t="s">
        <v>27</v>
      </c>
      <c r="B5012" t="s">
        <v>28</v>
      </c>
      <c r="C5012" t="s">
        <v>127</v>
      </c>
      <c r="D5012" t="s">
        <v>128</v>
      </c>
      <c r="E5012">
        <v>1988</v>
      </c>
      <c r="F5012" s="1">
        <v>65975</v>
      </c>
      <c r="G5012">
        <v>1990</v>
      </c>
      <c r="H5012">
        <f>AVERAGEIFS(Table1[value],Table1[IndicatorCode],Table1[[#This Row],[IndicatorCode]])</f>
        <v>24902.88753799392</v>
      </c>
      <c r="I5012" cm="1">
        <f t="array" ref="I5012">_xlfn.STDEV.P(IF(Table1[IndicatorCode]=Table1[[#This Row],[IndicatorCode]],Table1[value]))</f>
        <v>26324.778297809873</v>
      </c>
      <c r="J5012">
        <f>(Table1[[#This Row],[value]] - Table1[[#This Row],[mean]]) / Table1[[#This Row],[std_dev]]</f>
        <v>1.5602073452380465</v>
      </c>
      <c r="K5012">
        <f>AVERAGEIF(Table1[CountryCode],Table1[[#This Row],[CountryCode]],Table1[z-score])</f>
        <v>0.68174026806790211</v>
      </c>
      <c r="L5012" t="e">
        <f>VLOOKUP(Table1[[#This Row],[CountryCode]],[1]!Table1[#All],1,FALSE)</f>
        <v>#REF!</v>
      </c>
    </row>
    <row r="5013" spans="1:12" hidden="1" x14ac:dyDescent="0.3">
      <c r="A5013" t="s">
        <v>27</v>
      </c>
      <c r="B5013" t="s">
        <v>28</v>
      </c>
      <c r="C5013" t="s">
        <v>127</v>
      </c>
      <c r="D5013" t="s">
        <v>128</v>
      </c>
      <c r="E5013">
        <v>1989</v>
      </c>
      <c r="F5013" s="1">
        <v>68278</v>
      </c>
      <c r="G5013">
        <v>1990</v>
      </c>
      <c r="H5013">
        <f>AVERAGEIFS(Table1[value],Table1[IndicatorCode],Table1[[#This Row],[IndicatorCode]])</f>
        <v>24902.88753799392</v>
      </c>
      <c r="I5013" cm="1">
        <f t="array" ref="I5013">_xlfn.STDEV.P(IF(Table1[IndicatorCode]=Table1[[#This Row],[IndicatorCode]],Table1[value]))</f>
        <v>26324.778297809873</v>
      </c>
      <c r="J5013">
        <f>(Table1[[#This Row],[value]] - Table1[[#This Row],[mean]]) / Table1[[#This Row],[std_dev]]</f>
        <v>1.6476914628228696</v>
      </c>
      <c r="K5013">
        <f>AVERAGEIF(Table1[CountryCode],Table1[[#This Row],[CountryCode]],Table1[z-score])</f>
        <v>0.68174026806790211</v>
      </c>
      <c r="L5013" t="e">
        <f>VLOOKUP(Table1[[#This Row],[CountryCode]],[1]!Table1[#All],1,FALSE)</f>
        <v>#REF!</v>
      </c>
    </row>
    <row r="5014" spans="1:12" hidden="1" x14ac:dyDescent="0.3">
      <c r="A5014" t="s">
        <v>27</v>
      </c>
      <c r="B5014" t="s">
        <v>28</v>
      </c>
      <c r="C5014" t="s">
        <v>127</v>
      </c>
      <c r="D5014" t="s">
        <v>128</v>
      </c>
      <c r="E5014">
        <v>1990</v>
      </c>
      <c r="F5014" s="1">
        <v>70064</v>
      </c>
      <c r="G5014">
        <v>1990</v>
      </c>
      <c r="H5014">
        <f>AVERAGEIFS(Table1[value],Table1[IndicatorCode],Table1[[#This Row],[IndicatorCode]])</f>
        <v>24902.88753799392</v>
      </c>
      <c r="I5014" cm="1">
        <f t="array" ref="I5014">_xlfn.STDEV.P(IF(Table1[IndicatorCode]=Table1[[#This Row],[IndicatorCode]],Table1[value]))</f>
        <v>26324.778297809873</v>
      </c>
      <c r="J5014">
        <f>(Table1[[#This Row],[value]] - Table1[[#This Row],[mean]]) / Table1[[#This Row],[std_dev]]</f>
        <v>1.7155362887049774</v>
      </c>
      <c r="K5014">
        <f>AVERAGEIF(Table1[CountryCode],Table1[[#This Row],[CountryCode]],Table1[z-score])</f>
        <v>0.68174026806790211</v>
      </c>
      <c r="L5014" t="e">
        <f>VLOOKUP(Table1[[#This Row],[CountryCode]],[1]!Table1[#All],1,FALSE)</f>
        <v>#REF!</v>
      </c>
    </row>
    <row r="5015" spans="1:12" hidden="1" x14ac:dyDescent="0.3">
      <c r="A5015" t="s">
        <v>27</v>
      </c>
      <c r="B5015" t="s">
        <v>28</v>
      </c>
      <c r="C5015" t="s">
        <v>127</v>
      </c>
      <c r="D5015" t="s">
        <v>128</v>
      </c>
      <c r="E5015">
        <v>1991</v>
      </c>
      <c r="F5015" s="1">
        <v>68560</v>
      </c>
      <c r="G5015">
        <v>1990</v>
      </c>
      <c r="H5015">
        <f>AVERAGEIFS(Table1[value],Table1[IndicatorCode],Table1[[#This Row],[IndicatorCode]])</f>
        <v>24902.88753799392</v>
      </c>
      <c r="I5015" cm="1">
        <f t="array" ref="I5015">_xlfn.STDEV.P(IF(Table1[IndicatorCode]=Table1[[#This Row],[IndicatorCode]],Table1[value]))</f>
        <v>26324.778297809873</v>
      </c>
      <c r="J5015">
        <f>(Table1[[#This Row],[value]] - Table1[[#This Row],[mean]]) / Table1[[#This Row],[std_dev]]</f>
        <v>1.6584038037516233</v>
      </c>
      <c r="K5015">
        <f>AVERAGEIF(Table1[CountryCode],Table1[[#This Row],[CountryCode]],Table1[z-score])</f>
        <v>0.68174026806790211</v>
      </c>
      <c r="L5015" t="e">
        <f>VLOOKUP(Table1[[#This Row],[CountryCode]],[1]!Table1[#All],1,FALSE)</f>
        <v>#REF!</v>
      </c>
    </row>
    <row r="5016" spans="1:12" hidden="1" x14ac:dyDescent="0.3">
      <c r="A5016" t="s">
        <v>27</v>
      </c>
      <c r="B5016" t="s">
        <v>28</v>
      </c>
      <c r="C5016" t="s">
        <v>127</v>
      </c>
      <c r="D5016" t="s">
        <v>128</v>
      </c>
      <c r="E5016">
        <v>1992</v>
      </c>
      <c r="F5016" s="1">
        <v>67779</v>
      </c>
      <c r="G5016">
        <v>1990</v>
      </c>
      <c r="H5016">
        <f>AVERAGEIFS(Table1[value],Table1[IndicatorCode],Table1[[#This Row],[IndicatorCode]])</f>
        <v>24902.88753799392</v>
      </c>
      <c r="I5016" cm="1">
        <f t="array" ref="I5016">_xlfn.STDEV.P(IF(Table1[IndicatorCode]=Table1[[#This Row],[IndicatorCode]],Table1[value]))</f>
        <v>26324.778297809873</v>
      </c>
      <c r="J5016">
        <f>(Table1[[#This Row],[value]] - Table1[[#This Row],[mean]]) / Table1[[#This Row],[std_dev]]</f>
        <v>1.6287359375624151</v>
      </c>
      <c r="K5016">
        <f>AVERAGEIF(Table1[CountryCode],Table1[[#This Row],[CountryCode]],Table1[z-score])</f>
        <v>0.68174026806790211</v>
      </c>
      <c r="L5016" t="e">
        <f>VLOOKUP(Table1[[#This Row],[CountryCode]],[1]!Table1[#All],1,FALSE)</f>
        <v>#REF!</v>
      </c>
    </row>
    <row r="5017" spans="1:12" hidden="1" x14ac:dyDescent="0.3">
      <c r="A5017" t="s">
        <v>27</v>
      </c>
      <c r="B5017" t="s">
        <v>28</v>
      </c>
      <c r="C5017" t="s">
        <v>127</v>
      </c>
      <c r="D5017" t="s">
        <v>128</v>
      </c>
      <c r="E5017">
        <v>1993</v>
      </c>
      <c r="F5017" s="1">
        <v>67079</v>
      </c>
      <c r="G5017">
        <v>1990</v>
      </c>
      <c r="H5017">
        <f>AVERAGEIFS(Table1[value],Table1[IndicatorCode],Table1[[#This Row],[IndicatorCode]])</f>
        <v>24902.88753799392</v>
      </c>
      <c r="I5017" cm="1">
        <f t="array" ref="I5017">_xlfn.STDEV.P(IF(Table1[IndicatorCode]=Table1[[#This Row],[IndicatorCode]],Table1[value]))</f>
        <v>26324.778297809873</v>
      </c>
      <c r="J5017">
        <f>(Table1[[#This Row],[value]] - Table1[[#This Row],[mean]]) / Table1[[#This Row],[std_dev]]</f>
        <v>1.6021450203633807</v>
      </c>
      <c r="K5017">
        <f>AVERAGEIF(Table1[CountryCode],Table1[[#This Row],[CountryCode]],Table1[z-score])</f>
        <v>0.68174026806790211</v>
      </c>
      <c r="L5017" t="e">
        <f>VLOOKUP(Table1[[#This Row],[CountryCode]],[1]!Table1[#All],1,FALSE)</f>
        <v>#REF!</v>
      </c>
    </row>
    <row r="5018" spans="1:12" hidden="1" x14ac:dyDescent="0.3">
      <c r="A5018" t="s">
        <v>27</v>
      </c>
      <c r="B5018" t="s">
        <v>28</v>
      </c>
      <c r="C5018" t="s">
        <v>127</v>
      </c>
      <c r="D5018" t="s">
        <v>128</v>
      </c>
      <c r="E5018">
        <v>1994</v>
      </c>
      <c r="F5018" s="1">
        <v>67392</v>
      </c>
      <c r="G5018">
        <v>1990</v>
      </c>
      <c r="H5018">
        <f>AVERAGEIFS(Table1[value],Table1[IndicatorCode],Table1[[#This Row],[IndicatorCode]])</f>
        <v>24902.88753799392</v>
      </c>
      <c r="I5018" cm="1">
        <f t="array" ref="I5018">_xlfn.STDEV.P(IF(Table1[IndicatorCode]=Table1[[#This Row],[IndicatorCode]],Table1[value]))</f>
        <v>26324.778297809873</v>
      </c>
      <c r="J5018">
        <f>(Table1[[#This Row],[value]] - Table1[[#This Row],[mean]]) / Table1[[#This Row],[std_dev]]</f>
        <v>1.6140349590538061</v>
      </c>
      <c r="K5018">
        <f>AVERAGEIF(Table1[CountryCode],Table1[[#This Row],[CountryCode]],Table1[z-score])</f>
        <v>0.68174026806790211</v>
      </c>
      <c r="L5018" t="e">
        <f>VLOOKUP(Table1[[#This Row],[CountryCode]],[1]!Table1[#All],1,FALSE)</f>
        <v>#REF!</v>
      </c>
    </row>
    <row r="5019" spans="1:12" hidden="1" x14ac:dyDescent="0.3">
      <c r="A5019" t="s">
        <v>27</v>
      </c>
      <c r="B5019" t="s">
        <v>28</v>
      </c>
      <c r="C5019" t="s">
        <v>127</v>
      </c>
      <c r="D5019" t="s">
        <v>128</v>
      </c>
      <c r="E5019">
        <v>1995</v>
      </c>
      <c r="F5019" s="1">
        <v>67265</v>
      </c>
      <c r="G5019">
        <v>1990</v>
      </c>
      <c r="H5019">
        <f>AVERAGEIFS(Table1[value],Table1[IndicatorCode],Table1[[#This Row],[IndicatorCode]])</f>
        <v>24902.88753799392</v>
      </c>
      <c r="I5019" cm="1">
        <f t="array" ref="I5019">_xlfn.STDEV.P(IF(Table1[IndicatorCode]=Table1[[#This Row],[IndicatorCode]],Table1[value]))</f>
        <v>26324.778297809873</v>
      </c>
      <c r="J5019">
        <f>(Table1[[#This Row],[value]] - Table1[[#This Row],[mean]]) / Table1[[#This Row],[std_dev]]</f>
        <v>1.6092106069334098</v>
      </c>
      <c r="K5019">
        <f>AVERAGEIF(Table1[CountryCode],Table1[[#This Row],[CountryCode]],Table1[z-score])</f>
        <v>0.68174026806790211</v>
      </c>
      <c r="L5019" t="e">
        <f>VLOOKUP(Table1[[#This Row],[CountryCode]],[1]!Table1[#All],1,FALSE)</f>
        <v>#REF!</v>
      </c>
    </row>
    <row r="5020" spans="1:12" hidden="1" x14ac:dyDescent="0.3">
      <c r="A5020" t="s">
        <v>27</v>
      </c>
      <c r="B5020" t="s">
        <v>28</v>
      </c>
      <c r="C5020" t="s">
        <v>127</v>
      </c>
      <c r="D5020" t="s">
        <v>128</v>
      </c>
      <c r="E5020">
        <v>1996</v>
      </c>
      <c r="F5020" s="1">
        <v>67284</v>
      </c>
      <c r="G5020">
        <v>1990</v>
      </c>
      <c r="H5020">
        <f>AVERAGEIFS(Table1[value],Table1[IndicatorCode],Table1[[#This Row],[IndicatorCode]])</f>
        <v>24902.88753799392</v>
      </c>
      <c r="I5020" cm="1">
        <f t="array" ref="I5020">_xlfn.STDEV.P(IF(Table1[IndicatorCode]=Table1[[#This Row],[IndicatorCode]],Table1[value]))</f>
        <v>26324.778297809873</v>
      </c>
      <c r="J5020">
        <f>(Table1[[#This Row],[value]] - Table1[[#This Row],[mean]]) / Table1[[#This Row],[std_dev]]</f>
        <v>1.6099323604002407</v>
      </c>
      <c r="K5020">
        <f>AVERAGEIF(Table1[CountryCode],Table1[[#This Row],[CountryCode]],Table1[z-score])</f>
        <v>0.68174026806790211</v>
      </c>
      <c r="L5020" t="e">
        <f>VLOOKUP(Table1[[#This Row],[CountryCode]],[1]!Table1[#All],1,FALSE)</f>
        <v>#REF!</v>
      </c>
    </row>
    <row r="5021" spans="1:12" hidden="1" x14ac:dyDescent="0.3">
      <c r="A5021" t="s">
        <v>27</v>
      </c>
      <c r="B5021" t="s">
        <v>28</v>
      </c>
      <c r="C5021" t="s">
        <v>127</v>
      </c>
      <c r="D5021" t="s">
        <v>128</v>
      </c>
      <c r="E5021">
        <v>1997</v>
      </c>
      <c r="F5021" s="1">
        <v>68640</v>
      </c>
      <c r="G5021">
        <v>2000</v>
      </c>
      <c r="H5021">
        <f>AVERAGEIFS(Table1[value],Table1[IndicatorCode],Table1[[#This Row],[IndicatorCode]])</f>
        <v>24902.88753799392</v>
      </c>
      <c r="I5021" cm="1">
        <f t="array" ref="I5021">_xlfn.STDEV.P(IF(Table1[IndicatorCode]=Table1[[#This Row],[IndicatorCode]],Table1[value]))</f>
        <v>26324.778297809873</v>
      </c>
      <c r="J5021">
        <f>(Table1[[#This Row],[value]] - Table1[[#This Row],[mean]]) / Table1[[#This Row],[std_dev]]</f>
        <v>1.6614427657172273</v>
      </c>
      <c r="K5021">
        <f>AVERAGEIF(Table1[CountryCode],Table1[[#This Row],[CountryCode]],Table1[z-score])</f>
        <v>0.68174026806790211</v>
      </c>
      <c r="L5021" t="e">
        <f>VLOOKUP(Table1[[#This Row],[CountryCode]],[1]!Table1[#All],1,FALSE)</f>
        <v>#REF!</v>
      </c>
    </row>
    <row r="5022" spans="1:12" hidden="1" x14ac:dyDescent="0.3">
      <c r="A5022" t="s">
        <v>27</v>
      </c>
      <c r="B5022" t="s">
        <v>28</v>
      </c>
      <c r="C5022" t="s">
        <v>127</v>
      </c>
      <c r="D5022" t="s">
        <v>128</v>
      </c>
      <c r="E5022">
        <v>1998</v>
      </c>
      <c r="F5022" s="1">
        <v>70510</v>
      </c>
      <c r="G5022">
        <v>2000</v>
      </c>
      <c r="H5022">
        <f>AVERAGEIFS(Table1[value],Table1[IndicatorCode],Table1[[#This Row],[IndicatorCode]])</f>
        <v>24902.88753799392</v>
      </c>
      <c r="I5022" cm="1">
        <f t="array" ref="I5022">_xlfn.STDEV.P(IF(Table1[IndicatorCode]=Table1[[#This Row],[IndicatorCode]],Table1[value]))</f>
        <v>26324.778297809873</v>
      </c>
      <c r="J5022">
        <f>(Table1[[#This Row],[value]] - Table1[[#This Row],[mean]]) / Table1[[#This Row],[std_dev]]</f>
        <v>1.7324785016632192</v>
      </c>
      <c r="K5022">
        <f>AVERAGEIF(Table1[CountryCode],Table1[[#This Row],[CountryCode]],Table1[z-score])</f>
        <v>0.68174026806790211</v>
      </c>
      <c r="L5022" t="e">
        <f>VLOOKUP(Table1[[#This Row],[CountryCode]],[1]!Table1[#All],1,FALSE)</f>
        <v>#REF!</v>
      </c>
    </row>
    <row r="5023" spans="1:12" hidden="1" x14ac:dyDescent="0.3">
      <c r="A5023" t="s">
        <v>27</v>
      </c>
      <c r="B5023" t="s">
        <v>28</v>
      </c>
      <c r="C5023" t="s">
        <v>127</v>
      </c>
      <c r="D5023" t="s">
        <v>128</v>
      </c>
      <c r="E5023">
        <v>1999</v>
      </c>
      <c r="F5023" s="1">
        <v>71341</v>
      </c>
      <c r="G5023">
        <v>2000</v>
      </c>
      <c r="H5023">
        <f>AVERAGEIFS(Table1[value],Table1[IndicatorCode],Table1[[#This Row],[IndicatorCode]])</f>
        <v>24902.88753799392</v>
      </c>
      <c r="I5023" cm="1">
        <f t="array" ref="I5023">_xlfn.STDEV.P(IF(Table1[IndicatorCode]=Table1[[#This Row],[IndicatorCode]],Table1[value]))</f>
        <v>26324.778297809873</v>
      </c>
      <c r="J5023">
        <f>(Table1[[#This Row],[value]] - Table1[[#This Row],[mean]]) / Table1[[#This Row],[std_dev]]</f>
        <v>1.76404571908093</v>
      </c>
      <c r="K5023">
        <f>AVERAGEIF(Table1[CountryCode],Table1[[#This Row],[CountryCode]],Table1[z-score])</f>
        <v>0.68174026806790211</v>
      </c>
      <c r="L5023" t="e">
        <f>VLOOKUP(Table1[[#This Row],[CountryCode]],[1]!Table1[#All],1,FALSE)</f>
        <v>#REF!</v>
      </c>
    </row>
    <row r="5024" spans="1:12" hidden="1" x14ac:dyDescent="0.3">
      <c r="A5024" t="s">
        <v>27</v>
      </c>
      <c r="B5024" t="s">
        <v>28</v>
      </c>
      <c r="C5024" t="s">
        <v>127</v>
      </c>
      <c r="D5024" t="s">
        <v>128</v>
      </c>
      <c r="E5024">
        <v>2000</v>
      </c>
      <c r="F5024" s="1">
        <v>73750</v>
      </c>
      <c r="G5024">
        <v>2000</v>
      </c>
      <c r="H5024">
        <f>AVERAGEIFS(Table1[value],Table1[IndicatorCode],Table1[[#This Row],[IndicatorCode]])</f>
        <v>24902.88753799392</v>
      </c>
      <c r="I5024" cm="1">
        <f t="array" ref="I5024">_xlfn.STDEV.P(IF(Table1[IndicatorCode]=Table1[[#This Row],[IndicatorCode]],Table1[value]))</f>
        <v>26324.778297809873</v>
      </c>
      <c r="J5024">
        <f>(Table1[[#This Row],[value]] - Table1[[#This Row],[mean]]) / Table1[[#This Row],[std_dev]]</f>
        <v>1.8555564612701785</v>
      </c>
      <c r="K5024">
        <f>AVERAGEIF(Table1[CountryCode],Table1[[#This Row],[CountryCode]],Table1[z-score])</f>
        <v>0.68174026806790211</v>
      </c>
      <c r="L5024" t="e">
        <f>VLOOKUP(Table1[[#This Row],[CountryCode]],[1]!Table1[#All],1,FALSE)</f>
        <v>#REF!</v>
      </c>
    </row>
    <row r="5025" spans="1:12" hidden="1" x14ac:dyDescent="0.3">
      <c r="A5025" t="s">
        <v>27</v>
      </c>
      <c r="B5025" t="s">
        <v>28</v>
      </c>
      <c r="C5025" t="s">
        <v>127</v>
      </c>
      <c r="D5025" t="s">
        <v>128</v>
      </c>
      <c r="E5025">
        <v>2001</v>
      </c>
      <c r="F5025" s="1">
        <v>74439</v>
      </c>
      <c r="G5025">
        <v>2000</v>
      </c>
      <c r="H5025">
        <f>AVERAGEIFS(Table1[value],Table1[IndicatorCode],Table1[[#This Row],[IndicatorCode]])</f>
        <v>24902.88753799392</v>
      </c>
      <c r="I5025" cm="1">
        <f t="array" ref="I5025">_xlfn.STDEV.P(IF(Table1[IndicatorCode]=Table1[[#This Row],[IndicatorCode]],Table1[value]))</f>
        <v>26324.778297809873</v>
      </c>
      <c r="J5025">
        <f>(Table1[[#This Row],[value]] - Table1[[#This Row],[mean]]) / Table1[[#This Row],[std_dev]]</f>
        <v>1.8817295211989422</v>
      </c>
      <c r="K5025">
        <f>AVERAGEIF(Table1[CountryCode],Table1[[#This Row],[CountryCode]],Table1[z-score])</f>
        <v>0.68174026806790211</v>
      </c>
      <c r="L5025" t="e">
        <f>VLOOKUP(Table1[[#This Row],[CountryCode]],[1]!Table1[#All],1,FALSE)</f>
        <v>#REF!</v>
      </c>
    </row>
    <row r="5026" spans="1:12" hidden="1" x14ac:dyDescent="0.3">
      <c r="A5026" t="s">
        <v>27</v>
      </c>
      <c r="B5026" t="s">
        <v>28</v>
      </c>
      <c r="C5026" t="s">
        <v>127</v>
      </c>
      <c r="D5026" t="s">
        <v>128</v>
      </c>
      <c r="E5026">
        <v>2002</v>
      </c>
      <c r="F5026" s="1">
        <v>73824</v>
      </c>
      <c r="G5026">
        <v>2000</v>
      </c>
      <c r="H5026">
        <f>AVERAGEIFS(Table1[value],Table1[IndicatorCode],Table1[[#This Row],[IndicatorCode]])</f>
        <v>24902.88753799392</v>
      </c>
      <c r="I5026" cm="1">
        <f t="array" ref="I5026">_xlfn.STDEV.P(IF(Table1[IndicatorCode]=Table1[[#This Row],[IndicatorCode]],Table1[value]))</f>
        <v>26324.778297809873</v>
      </c>
      <c r="J5026">
        <f>(Table1[[#This Row],[value]] - Table1[[#This Row],[mean]]) / Table1[[#This Row],[std_dev]]</f>
        <v>1.858367501088362</v>
      </c>
      <c r="K5026">
        <f>AVERAGEIF(Table1[CountryCode],Table1[[#This Row],[CountryCode]],Table1[z-score])</f>
        <v>0.68174026806790211</v>
      </c>
      <c r="L5026" t="e">
        <f>VLOOKUP(Table1[[#This Row],[CountryCode]],[1]!Table1[#All],1,FALSE)</f>
        <v>#REF!</v>
      </c>
    </row>
    <row r="5027" spans="1:12" hidden="1" x14ac:dyDescent="0.3">
      <c r="A5027" t="s">
        <v>27</v>
      </c>
      <c r="B5027" t="s">
        <v>28</v>
      </c>
      <c r="C5027" t="s">
        <v>127</v>
      </c>
      <c r="D5027" t="s">
        <v>128</v>
      </c>
      <c r="E5027">
        <v>2003</v>
      </c>
      <c r="F5027" s="1">
        <v>73255</v>
      </c>
      <c r="G5027">
        <v>2000</v>
      </c>
      <c r="H5027">
        <f>AVERAGEIFS(Table1[value],Table1[IndicatorCode],Table1[[#This Row],[IndicatorCode]])</f>
        <v>24902.88753799392</v>
      </c>
      <c r="I5027" cm="1">
        <f t="array" ref="I5027">_xlfn.STDEV.P(IF(Table1[IndicatorCode]=Table1[[#This Row],[IndicatorCode]],Table1[value]))</f>
        <v>26324.778297809873</v>
      </c>
      <c r="J5027">
        <f>(Table1[[#This Row],[value]] - Table1[[#This Row],[mean]]) / Table1[[#This Row],[std_dev]]</f>
        <v>1.8367528841080041</v>
      </c>
      <c r="K5027">
        <f>AVERAGEIF(Table1[CountryCode],Table1[[#This Row],[CountryCode]],Table1[z-score])</f>
        <v>0.68174026806790211</v>
      </c>
      <c r="L5027" t="e">
        <f>VLOOKUP(Table1[[#This Row],[CountryCode]],[1]!Table1[#All],1,FALSE)</f>
        <v>#REF!</v>
      </c>
    </row>
    <row r="5028" spans="1:12" hidden="1" x14ac:dyDescent="0.3">
      <c r="A5028" t="s">
        <v>27</v>
      </c>
      <c r="B5028" t="s">
        <v>28</v>
      </c>
      <c r="C5028" t="s">
        <v>127</v>
      </c>
      <c r="D5028" t="s">
        <v>128</v>
      </c>
      <c r="E5028">
        <v>2004</v>
      </c>
      <c r="F5028" s="1">
        <v>74719</v>
      </c>
      <c r="G5028">
        <v>2000</v>
      </c>
      <c r="H5028">
        <f>AVERAGEIFS(Table1[value],Table1[IndicatorCode],Table1[[#This Row],[IndicatorCode]])</f>
        <v>24902.88753799392</v>
      </c>
      <c r="I5028" cm="1">
        <f t="array" ref="I5028">_xlfn.STDEV.P(IF(Table1[IndicatorCode]=Table1[[#This Row],[IndicatorCode]],Table1[value]))</f>
        <v>26324.778297809873</v>
      </c>
      <c r="J5028">
        <f>(Table1[[#This Row],[value]] - Table1[[#This Row],[mean]]) / Table1[[#This Row],[std_dev]]</f>
        <v>1.8923658880785561</v>
      </c>
      <c r="K5028">
        <f>AVERAGEIF(Table1[CountryCode],Table1[[#This Row],[CountryCode]],Table1[z-score])</f>
        <v>0.68174026806790211</v>
      </c>
      <c r="L5028" t="e">
        <f>VLOOKUP(Table1[[#This Row],[CountryCode]],[1]!Table1[#All],1,FALSE)</f>
        <v>#REF!</v>
      </c>
    </row>
    <row r="5029" spans="1:12" hidden="1" x14ac:dyDescent="0.3">
      <c r="A5029" t="s">
        <v>27</v>
      </c>
      <c r="B5029" t="s">
        <v>28</v>
      </c>
      <c r="C5029" t="s">
        <v>127</v>
      </c>
      <c r="D5029" t="s">
        <v>128</v>
      </c>
      <c r="E5029">
        <v>2005</v>
      </c>
      <c r="F5029" s="1">
        <v>76283</v>
      </c>
      <c r="G5029">
        <v>2000</v>
      </c>
      <c r="H5029">
        <f>AVERAGEIFS(Table1[value],Table1[IndicatorCode],Table1[[#This Row],[IndicatorCode]])</f>
        <v>24902.88753799392</v>
      </c>
      <c r="I5029" cm="1">
        <f t="array" ref="I5029">_xlfn.STDEV.P(IF(Table1[IndicatorCode]=Table1[[#This Row],[IndicatorCode]],Table1[value]))</f>
        <v>26324.778297809873</v>
      </c>
      <c r="J5029">
        <f>(Table1[[#This Row],[value]] - Table1[[#This Row],[mean]]) / Table1[[#This Row],[std_dev]]</f>
        <v>1.9517775945061129</v>
      </c>
      <c r="K5029">
        <f>AVERAGEIF(Table1[CountryCode],Table1[[#This Row],[CountryCode]],Table1[z-score])</f>
        <v>0.68174026806790211</v>
      </c>
      <c r="L5029" t="e">
        <f>VLOOKUP(Table1[[#This Row],[CountryCode]],[1]!Table1[#All],1,FALSE)</f>
        <v>#REF!</v>
      </c>
    </row>
    <row r="5030" spans="1:12" hidden="1" x14ac:dyDescent="0.3">
      <c r="A5030" t="s">
        <v>27</v>
      </c>
      <c r="B5030" t="s">
        <v>28</v>
      </c>
      <c r="C5030" t="s">
        <v>127</v>
      </c>
      <c r="D5030" t="s">
        <v>128</v>
      </c>
      <c r="E5030">
        <v>2006</v>
      </c>
      <c r="F5030" s="1">
        <v>78894</v>
      </c>
      <c r="G5030">
        <v>2000</v>
      </c>
      <c r="H5030">
        <f>AVERAGEIFS(Table1[value],Table1[IndicatorCode],Table1[[#This Row],[IndicatorCode]])</f>
        <v>24902.88753799392</v>
      </c>
      <c r="I5030" cm="1">
        <f t="array" ref="I5030">_xlfn.STDEV.P(IF(Table1[IndicatorCode]=Table1[[#This Row],[IndicatorCode]],Table1[value]))</f>
        <v>26324.778297809873</v>
      </c>
      <c r="J5030">
        <f>(Table1[[#This Row],[value]] - Table1[[#This Row],[mean]]) / Table1[[#This Row],[std_dev]]</f>
        <v>2.0509617156585112</v>
      </c>
      <c r="K5030">
        <f>AVERAGEIF(Table1[CountryCode],Table1[[#This Row],[CountryCode]],Table1[z-score])</f>
        <v>0.68174026806790211</v>
      </c>
      <c r="L5030" t="e">
        <f>VLOOKUP(Table1[[#This Row],[CountryCode]],[1]!Table1[#All],1,FALSE)</f>
        <v>#REF!</v>
      </c>
    </row>
    <row r="5031" spans="1:12" hidden="1" x14ac:dyDescent="0.3">
      <c r="A5031" t="s">
        <v>27</v>
      </c>
      <c r="B5031" t="s">
        <v>28</v>
      </c>
      <c r="C5031" t="s">
        <v>127</v>
      </c>
      <c r="D5031" t="s">
        <v>128</v>
      </c>
      <c r="E5031">
        <v>2007</v>
      </c>
      <c r="F5031" s="1">
        <v>81254</v>
      </c>
      <c r="G5031">
        <v>2010</v>
      </c>
      <c r="H5031">
        <f>AVERAGEIFS(Table1[value],Table1[IndicatorCode],Table1[[#This Row],[IndicatorCode]])</f>
        <v>24902.88753799392</v>
      </c>
      <c r="I5031" cm="1">
        <f t="array" ref="I5031">_xlfn.STDEV.P(IF(Table1[IndicatorCode]=Table1[[#This Row],[IndicatorCode]],Table1[value]))</f>
        <v>26324.778297809873</v>
      </c>
      <c r="J5031">
        <f>(Table1[[#This Row],[value]] - Table1[[#This Row],[mean]]) / Table1[[#This Row],[std_dev]]</f>
        <v>2.1406110936438272</v>
      </c>
      <c r="K5031">
        <f>AVERAGEIF(Table1[CountryCode],Table1[[#This Row],[CountryCode]],Table1[z-score])</f>
        <v>0.68174026806790211</v>
      </c>
      <c r="L5031" t="e">
        <f>VLOOKUP(Table1[[#This Row],[CountryCode]],[1]!Table1[#All],1,FALSE)</f>
        <v>#REF!</v>
      </c>
    </row>
    <row r="5032" spans="1:12" hidden="1" x14ac:dyDescent="0.3">
      <c r="A5032" t="s">
        <v>27</v>
      </c>
      <c r="B5032" t="s">
        <v>28</v>
      </c>
      <c r="C5032" t="s">
        <v>127</v>
      </c>
      <c r="D5032" t="s">
        <v>128</v>
      </c>
      <c r="E5032">
        <v>2008</v>
      </c>
      <c r="F5032" s="1">
        <v>82481</v>
      </c>
      <c r="G5032">
        <v>2010</v>
      </c>
      <c r="H5032">
        <f>AVERAGEIFS(Table1[value],Table1[IndicatorCode],Table1[[#This Row],[IndicatorCode]])</f>
        <v>24902.88753799392</v>
      </c>
      <c r="I5032" cm="1">
        <f t="array" ref="I5032">_xlfn.STDEV.P(IF(Table1[IndicatorCode]=Table1[[#This Row],[IndicatorCode]],Table1[value]))</f>
        <v>26324.778297809873</v>
      </c>
      <c r="J5032">
        <f>(Table1[[#This Row],[value]] - Table1[[#This Row],[mean]]) / Table1[[#This Row],[std_dev]]</f>
        <v>2.1872211727912774</v>
      </c>
      <c r="K5032">
        <f>AVERAGEIF(Table1[CountryCode],Table1[[#This Row],[CountryCode]],Table1[z-score])</f>
        <v>0.68174026806790211</v>
      </c>
      <c r="L5032" t="e">
        <f>VLOOKUP(Table1[[#This Row],[CountryCode]],[1]!Table1[#All],1,FALSE)</f>
        <v>#REF!</v>
      </c>
    </row>
    <row r="5033" spans="1:12" hidden="1" x14ac:dyDescent="0.3">
      <c r="A5033" t="s">
        <v>27</v>
      </c>
      <c r="B5033" t="s">
        <v>28</v>
      </c>
      <c r="C5033" t="s">
        <v>127</v>
      </c>
      <c r="D5033" t="s">
        <v>128</v>
      </c>
      <c r="E5033">
        <v>2009</v>
      </c>
      <c r="F5033" s="1">
        <v>79586</v>
      </c>
      <c r="G5033">
        <v>2010</v>
      </c>
      <c r="H5033">
        <f>AVERAGEIFS(Table1[value],Table1[IndicatorCode],Table1[[#This Row],[IndicatorCode]])</f>
        <v>24902.88753799392</v>
      </c>
      <c r="I5033" cm="1">
        <f t="array" ref="I5033">_xlfn.STDEV.P(IF(Table1[IndicatorCode]=Table1[[#This Row],[IndicatorCode]],Table1[value]))</f>
        <v>26324.778297809873</v>
      </c>
      <c r="J5033">
        <f>(Table1[[#This Row],[value]] - Table1[[#This Row],[mean]]) / Table1[[#This Row],[std_dev]]</f>
        <v>2.0772487366609851</v>
      </c>
      <c r="K5033">
        <f>AVERAGEIF(Table1[CountryCode],Table1[[#This Row],[CountryCode]],Table1[z-score])</f>
        <v>0.68174026806790211</v>
      </c>
      <c r="L5033" t="e">
        <f>VLOOKUP(Table1[[#This Row],[CountryCode]],[1]!Table1[#All],1,FALSE)</f>
        <v>#REF!</v>
      </c>
    </row>
    <row r="5034" spans="1:12" hidden="1" x14ac:dyDescent="0.3">
      <c r="A5034" t="s">
        <v>27</v>
      </c>
      <c r="B5034" t="s">
        <v>28</v>
      </c>
      <c r="C5034" t="s">
        <v>127</v>
      </c>
      <c r="D5034" t="s">
        <v>128</v>
      </c>
      <c r="E5034">
        <v>2010</v>
      </c>
      <c r="F5034" s="1">
        <v>81315</v>
      </c>
      <c r="G5034">
        <v>2010</v>
      </c>
      <c r="H5034">
        <f>AVERAGEIFS(Table1[value],Table1[IndicatorCode],Table1[[#This Row],[IndicatorCode]])</f>
        <v>24902.88753799392</v>
      </c>
      <c r="I5034" cm="1">
        <f t="array" ref="I5034">_xlfn.STDEV.P(IF(Table1[IndicatorCode]=Table1[[#This Row],[IndicatorCode]],Table1[value]))</f>
        <v>26324.778297809873</v>
      </c>
      <c r="J5034">
        <f>(Table1[[#This Row],[value]] - Table1[[#This Row],[mean]]) / Table1[[#This Row],[std_dev]]</f>
        <v>2.1429283021426002</v>
      </c>
      <c r="K5034">
        <f>AVERAGEIF(Table1[CountryCode],Table1[[#This Row],[CountryCode]],Table1[z-score])</f>
        <v>0.68174026806790211</v>
      </c>
      <c r="L5034" t="e">
        <f>VLOOKUP(Table1[[#This Row],[CountryCode]],[1]!Table1[#All],1,FALSE)</f>
        <v>#REF!</v>
      </c>
    </row>
    <row r="5035" spans="1:12" hidden="1" x14ac:dyDescent="0.3">
      <c r="A5035" t="s">
        <v>27</v>
      </c>
      <c r="B5035" t="s">
        <v>28</v>
      </c>
      <c r="C5035" t="s">
        <v>127</v>
      </c>
      <c r="D5035" t="s">
        <v>128</v>
      </c>
      <c r="E5035">
        <v>2011</v>
      </c>
      <c r="F5035" s="1">
        <v>81874</v>
      </c>
      <c r="G5035">
        <v>2010</v>
      </c>
      <c r="H5035">
        <f>AVERAGEIFS(Table1[value],Table1[IndicatorCode],Table1[[#This Row],[IndicatorCode]])</f>
        <v>24902.88753799392</v>
      </c>
      <c r="I5035" cm="1">
        <f t="array" ref="I5035">_xlfn.STDEV.P(IF(Table1[IndicatorCode]=Table1[[#This Row],[IndicatorCode]],Table1[value]))</f>
        <v>26324.778297809873</v>
      </c>
      <c r="J5035">
        <f>(Table1[[#This Row],[value]] - Table1[[#This Row],[mean]]) / Table1[[#This Row],[std_dev]]</f>
        <v>2.1641630488772576</v>
      </c>
      <c r="K5035">
        <f>AVERAGEIF(Table1[CountryCode],Table1[[#This Row],[CountryCode]],Table1[z-score])</f>
        <v>0.68174026806790211</v>
      </c>
      <c r="L5035" t="e">
        <f>VLOOKUP(Table1[[#This Row],[CountryCode]],[1]!Table1[#All],1,FALSE)</f>
        <v>#REF!</v>
      </c>
    </row>
    <row r="5036" spans="1:12" hidden="1" x14ac:dyDescent="0.3">
      <c r="A5036" t="s">
        <v>27</v>
      </c>
      <c r="B5036" t="s">
        <v>28</v>
      </c>
      <c r="C5036" t="s">
        <v>127</v>
      </c>
      <c r="D5036" t="s">
        <v>128</v>
      </c>
      <c r="E5036">
        <v>2012</v>
      </c>
      <c r="F5036" s="1">
        <v>81965</v>
      </c>
      <c r="G5036">
        <v>2010</v>
      </c>
      <c r="H5036">
        <f>AVERAGEIFS(Table1[value],Table1[IndicatorCode],Table1[[#This Row],[IndicatorCode]])</f>
        <v>24902.88753799392</v>
      </c>
      <c r="I5036" cm="1">
        <f t="array" ref="I5036">_xlfn.STDEV.P(IF(Table1[IndicatorCode]=Table1[[#This Row],[IndicatorCode]],Table1[value]))</f>
        <v>26324.778297809873</v>
      </c>
      <c r="J5036">
        <f>(Table1[[#This Row],[value]] - Table1[[#This Row],[mean]]) / Table1[[#This Row],[std_dev]]</f>
        <v>2.1676198681131322</v>
      </c>
      <c r="K5036">
        <f>AVERAGEIF(Table1[CountryCode],Table1[[#This Row],[CountryCode]],Table1[z-score])</f>
        <v>0.68174026806790211</v>
      </c>
      <c r="L5036" t="e">
        <f>VLOOKUP(Table1[[#This Row],[CountryCode]],[1]!Table1[#All],1,FALSE)</f>
        <v>#REF!</v>
      </c>
    </row>
    <row r="5037" spans="1:12" hidden="1" x14ac:dyDescent="0.3">
      <c r="A5037" t="s">
        <v>27</v>
      </c>
      <c r="B5037" t="s">
        <v>28</v>
      </c>
      <c r="C5037" t="s">
        <v>127</v>
      </c>
      <c r="D5037" t="s">
        <v>128</v>
      </c>
      <c r="E5037">
        <v>2013</v>
      </c>
      <c r="F5037" s="1">
        <v>82480</v>
      </c>
      <c r="G5037">
        <v>2010</v>
      </c>
      <c r="H5037">
        <f>AVERAGEIFS(Table1[value],Table1[IndicatorCode],Table1[[#This Row],[IndicatorCode]])</f>
        <v>24902.88753799392</v>
      </c>
      <c r="I5037" cm="1">
        <f t="array" ref="I5037">_xlfn.STDEV.P(IF(Table1[IndicatorCode]=Table1[[#This Row],[IndicatorCode]],Table1[value]))</f>
        <v>26324.778297809873</v>
      </c>
      <c r="J5037">
        <f>(Table1[[#This Row],[value]] - Table1[[#This Row],[mean]]) / Table1[[#This Row],[std_dev]]</f>
        <v>2.1871831857667074</v>
      </c>
      <c r="K5037">
        <f>AVERAGEIF(Table1[CountryCode],Table1[[#This Row],[CountryCode]],Table1[z-score])</f>
        <v>0.68174026806790211</v>
      </c>
      <c r="L5037" t="e">
        <f>VLOOKUP(Table1[[#This Row],[CountryCode]],[1]!Table1[#All],1,FALSE)</f>
        <v>#REF!</v>
      </c>
    </row>
    <row r="5038" spans="1:12" hidden="1" x14ac:dyDescent="0.3">
      <c r="A5038" t="s">
        <v>27</v>
      </c>
      <c r="B5038" t="s">
        <v>28</v>
      </c>
      <c r="C5038" t="s">
        <v>127</v>
      </c>
      <c r="D5038" t="s">
        <v>128</v>
      </c>
      <c r="E5038">
        <v>2014</v>
      </c>
      <c r="F5038" s="1">
        <v>83394</v>
      </c>
      <c r="G5038">
        <v>2010</v>
      </c>
      <c r="H5038">
        <f>AVERAGEIFS(Table1[value],Table1[IndicatorCode],Table1[[#This Row],[IndicatorCode]])</f>
        <v>24902.88753799392</v>
      </c>
      <c r="I5038" cm="1">
        <f t="array" ref="I5038">_xlfn.STDEV.P(IF(Table1[IndicatorCode]=Table1[[#This Row],[IndicatorCode]],Table1[value]))</f>
        <v>26324.778297809873</v>
      </c>
      <c r="J5038">
        <f>(Table1[[#This Row],[value]] - Table1[[#This Row],[mean]]) / Table1[[#This Row],[std_dev]]</f>
        <v>2.2219033262237322</v>
      </c>
      <c r="K5038">
        <f>AVERAGEIF(Table1[CountryCode],Table1[[#This Row],[CountryCode]],Table1[z-score])</f>
        <v>0.68174026806790211</v>
      </c>
      <c r="L5038" t="e">
        <f>VLOOKUP(Table1[[#This Row],[CountryCode]],[1]!Table1[#All],1,FALSE)</f>
        <v>#REF!</v>
      </c>
    </row>
    <row r="5039" spans="1:12" hidden="1" x14ac:dyDescent="0.3">
      <c r="A5039" t="s">
        <v>27</v>
      </c>
      <c r="B5039" t="s">
        <v>28</v>
      </c>
      <c r="C5039" t="s">
        <v>127</v>
      </c>
      <c r="D5039" t="s">
        <v>128</v>
      </c>
      <c r="E5039">
        <v>2015</v>
      </c>
      <c r="F5039" s="1">
        <v>83806</v>
      </c>
      <c r="G5039">
        <v>2010</v>
      </c>
      <c r="H5039">
        <f>AVERAGEIFS(Table1[value],Table1[IndicatorCode],Table1[[#This Row],[IndicatorCode]])</f>
        <v>24902.88753799392</v>
      </c>
      <c r="I5039" cm="1">
        <f t="array" ref="I5039">_xlfn.STDEV.P(IF(Table1[IndicatorCode]=Table1[[#This Row],[IndicatorCode]],Table1[value]))</f>
        <v>26324.778297809873</v>
      </c>
      <c r="J5039">
        <f>(Table1[[#This Row],[value]] - Table1[[#This Row],[mean]]) / Table1[[#This Row],[std_dev]]</f>
        <v>2.2375539803465925</v>
      </c>
      <c r="K5039">
        <f>AVERAGEIF(Table1[CountryCode],Table1[[#This Row],[CountryCode]],Table1[z-score])</f>
        <v>0.68174026806790211</v>
      </c>
      <c r="L5039" t="e">
        <f>VLOOKUP(Table1[[#This Row],[CountryCode]],[1]!Table1[#All],1,FALSE)</f>
        <v>#REF!</v>
      </c>
    </row>
    <row r="5040" spans="1:12" hidden="1" x14ac:dyDescent="0.3">
      <c r="A5040" t="s">
        <v>27</v>
      </c>
      <c r="B5040" t="s">
        <v>28</v>
      </c>
      <c r="C5040" t="s">
        <v>127</v>
      </c>
      <c r="D5040" t="s">
        <v>128</v>
      </c>
      <c r="E5040">
        <v>2016</v>
      </c>
      <c r="F5040" s="1">
        <v>84611</v>
      </c>
      <c r="G5040">
        <v>2010</v>
      </c>
      <c r="H5040">
        <f>AVERAGEIFS(Table1[value],Table1[IndicatorCode],Table1[[#This Row],[IndicatorCode]])</f>
        <v>24902.88753799392</v>
      </c>
      <c r="I5040" cm="1">
        <f t="array" ref="I5040">_xlfn.STDEV.P(IF(Table1[IndicatorCode]=Table1[[#This Row],[IndicatorCode]],Table1[value]))</f>
        <v>26324.778297809873</v>
      </c>
      <c r="J5040">
        <f>(Table1[[#This Row],[value]] - Table1[[#This Row],[mean]]) / Table1[[#This Row],[std_dev]]</f>
        <v>2.2681335351254823</v>
      </c>
      <c r="K5040">
        <f>AVERAGEIF(Table1[CountryCode],Table1[[#This Row],[CountryCode]],Table1[z-score])</f>
        <v>0.68174026806790211</v>
      </c>
      <c r="L5040" t="e">
        <f>VLOOKUP(Table1[[#This Row],[CountryCode]],[1]!Table1[#All],1,FALSE)</f>
        <v>#REF!</v>
      </c>
    </row>
    <row r="5041" spans="1:12" hidden="1" x14ac:dyDescent="0.3">
      <c r="A5041" t="s">
        <v>27</v>
      </c>
      <c r="B5041" t="s">
        <v>28</v>
      </c>
      <c r="C5041" t="s">
        <v>127</v>
      </c>
      <c r="D5041" t="s">
        <v>128</v>
      </c>
      <c r="E5041">
        <v>2017</v>
      </c>
      <c r="F5041" s="1">
        <v>84968</v>
      </c>
      <c r="G5041">
        <v>2020</v>
      </c>
      <c r="H5041">
        <f>AVERAGEIFS(Table1[value],Table1[IndicatorCode],Table1[[#This Row],[IndicatorCode]])</f>
        <v>24902.88753799392</v>
      </c>
      <c r="I5041" cm="1">
        <f t="array" ref="I5041">_xlfn.STDEV.P(IF(Table1[IndicatorCode]=Table1[[#This Row],[IndicatorCode]],Table1[value]))</f>
        <v>26324.778297809873</v>
      </c>
      <c r="J5041">
        <f>(Table1[[#This Row],[value]] - Table1[[#This Row],[mean]]) / Table1[[#This Row],[std_dev]]</f>
        <v>2.2816949028969895</v>
      </c>
      <c r="K5041">
        <f>AVERAGEIF(Table1[CountryCode],Table1[[#This Row],[CountryCode]],Table1[z-score])</f>
        <v>0.68174026806790211</v>
      </c>
      <c r="L5041" t="e">
        <f>VLOOKUP(Table1[[#This Row],[CountryCode]],[1]!Table1[#All],1,FALSE)</f>
        <v>#REF!</v>
      </c>
    </row>
    <row r="5042" spans="1:12" hidden="1" x14ac:dyDescent="0.3">
      <c r="A5042" t="s">
        <v>27</v>
      </c>
      <c r="B5042" t="s">
        <v>28</v>
      </c>
      <c r="C5042" t="s">
        <v>127</v>
      </c>
      <c r="D5042" t="s">
        <v>128</v>
      </c>
      <c r="E5042">
        <v>2018</v>
      </c>
      <c r="F5042" s="1">
        <v>86757</v>
      </c>
      <c r="G5042">
        <v>2020</v>
      </c>
      <c r="H5042">
        <f>AVERAGEIFS(Table1[value],Table1[IndicatorCode],Table1[[#This Row],[IndicatorCode]])</f>
        <v>24902.88753799392</v>
      </c>
      <c r="I5042" cm="1">
        <f t="array" ref="I5042">_xlfn.STDEV.P(IF(Table1[IndicatorCode]=Table1[[#This Row],[IndicatorCode]],Table1[value]))</f>
        <v>26324.778297809873</v>
      </c>
      <c r="J5042">
        <f>(Table1[[#This Row],[value]] - Table1[[#This Row],[mean]]) / Table1[[#This Row],[std_dev]]</f>
        <v>2.3496536898528078</v>
      </c>
      <c r="K5042">
        <f>AVERAGEIF(Table1[CountryCode],Table1[[#This Row],[CountryCode]],Table1[z-score])</f>
        <v>0.68174026806790211</v>
      </c>
      <c r="L5042" t="e">
        <f>VLOOKUP(Table1[[#This Row],[CountryCode]],[1]!Table1[#All],1,FALSE)</f>
        <v>#REF!</v>
      </c>
    </row>
    <row r="5043" spans="1:12" hidden="1" x14ac:dyDescent="0.3">
      <c r="A5043" t="s">
        <v>27</v>
      </c>
      <c r="B5043" t="s">
        <v>28</v>
      </c>
      <c r="C5043" t="s">
        <v>127</v>
      </c>
      <c r="D5043" t="s">
        <v>128</v>
      </c>
      <c r="E5043">
        <v>2019</v>
      </c>
      <c r="F5043" s="1">
        <v>87124</v>
      </c>
      <c r="G5043">
        <v>2020</v>
      </c>
      <c r="H5043">
        <f>AVERAGEIFS(Table1[value],Table1[IndicatorCode],Table1[[#This Row],[IndicatorCode]])</f>
        <v>24902.88753799392</v>
      </c>
      <c r="I5043" cm="1">
        <f t="array" ref="I5043">_xlfn.STDEV.P(IF(Table1[IndicatorCode]=Table1[[#This Row],[IndicatorCode]],Table1[value]))</f>
        <v>26324.778297809873</v>
      </c>
      <c r="J5043">
        <f>(Table1[[#This Row],[value]] - Table1[[#This Row],[mean]]) / Table1[[#This Row],[std_dev]]</f>
        <v>2.3635949278700155</v>
      </c>
      <c r="K5043">
        <f>AVERAGEIF(Table1[CountryCode],Table1[[#This Row],[CountryCode]],Table1[z-score])</f>
        <v>0.68174026806790211</v>
      </c>
      <c r="L5043" t="e">
        <f>VLOOKUP(Table1[[#This Row],[CountryCode]],[1]!Table1[#All],1,FALSE)</f>
        <v>#REF!</v>
      </c>
    </row>
    <row r="5044" spans="1:12" x14ac:dyDescent="0.3">
      <c r="A5044" t="s">
        <v>17</v>
      </c>
      <c r="B5044" t="s">
        <v>18</v>
      </c>
      <c r="C5044" t="s">
        <v>127</v>
      </c>
      <c r="D5044" t="s">
        <v>128</v>
      </c>
      <c r="E5044">
        <v>2020</v>
      </c>
      <c r="F5044" s="1">
        <v>5088</v>
      </c>
      <c r="G5044">
        <v>2020</v>
      </c>
      <c r="H5044">
        <f>AVERAGEIFS(Table1[value],Table1[IndicatorCode],Table1[[#This Row],[IndicatorCode]])</f>
        <v>24902.88753799392</v>
      </c>
      <c r="I5044" cm="1">
        <f t="array" ref="I5044">_xlfn.STDEV.P(IF(Table1[IndicatorCode]=Table1[[#This Row],[IndicatorCode]],Table1[value]))</f>
        <v>26324.778297809873</v>
      </c>
      <c r="J5044">
        <f>(Table1[[#This Row],[value]] - Table1[[#This Row],[mean]]) / Table1[[#This Row],[std_dev]]</f>
        <v>-0.75270861975853554</v>
      </c>
      <c r="K5044">
        <f>AVERAGEIF(Table1[CountryCode],Table1[[#This Row],[CountryCode]],Table1[z-score])</f>
        <v>-0.86099801634454787</v>
      </c>
    </row>
    <row r="5045" spans="1:12" hidden="1" x14ac:dyDescent="0.3">
      <c r="A5045" t="s">
        <v>27</v>
      </c>
      <c r="B5045" t="s">
        <v>28</v>
      </c>
      <c r="C5045" t="s">
        <v>127</v>
      </c>
      <c r="D5045" t="s">
        <v>128</v>
      </c>
      <c r="E5045">
        <v>2021</v>
      </c>
      <c r="F5045" s="1">
        <v>88661</v>
      </c>
      <c r="G5045">
        <v>2020</v>
      </c>
      <c r="H5045">
        <f>AVERAGEIFS(Table1[value],Table1[IndicatorCode],Table1[[#This Row],[IndicatorCode]])</f>
        <v>24902.88753799392</v>
      </c>
      <c r="I5045" cm="1">
        <f t="array" ref="I5045">_xlfn.STDEV.P(IF(Table1[IndicatorCode]=Table1[[#This Row],[IndicatorCode]],Table1[value]))</f>
        <v>26324.778297809873</v>
      </c>
      <c r="J5045">
        <f>(Table1[[#This Row],[value]] - Table1[[#This Row],[mean]]) / Table1[[#This Row],[std_dev]]</f>
        <v>2.4219809846341813</v>
      </c>
      <c r="K5045">
        <f>AVERAGEIF(Table1[CountryCode],Table1[[#This Row],[CountryCode]],Table1[z-score])</f>
        <v>0.68174026806790211</v>
      </c>
      <c r="L5045" t="e">
        <f>VLOOKUP(Table1[[#This Row],[CountryCode]],[1]!Table1[#All],1,FALSE)</f>
        <v>#REF!</v>
      </c>
    </row>
    <row r="5046" spans="1:12" hidden="1" x14ac:dyDescent="0.3">
      <c r="A5046" t="s">
        <v>27</v>
      </c>
      <c r="B5046" t="s">
        <v>28</v>
      </c>
      <c r="C5046" t="s">
        <v>127</v>
      </c>
      <c r="D5046" t="s">
        <v>128</v>
      </c>
      <c r="E5046">
        <v>2022</v>
      </c>
      <c r="F5046" s="1">
        <v>90605</v>
      </c>
      <c r="G5046">
        <v>2000</v>
      </c>
      <c r="H5046">
        <f>AVERAGEIFS(Table1[value],Table1[IndicatorCode],Table1[[#This Row],[IndicatorCode]])</f>
        <v>24902.88753799392</v>
      </c>
      <c r="I5046" cm="1">
        <f t="array" ref="I5046">_xlfn.STDEV.P(IF(Table1[IndicatorCode]=Table1[[#This Row],[IndicatorCode]],Table1[value]))</f>
        <v>26324.778297809873</v>
      </c>
      <c r="J5046">
        <f>(Table1[[#This Row],[value]] - Table1[[#This Row],[mean]]) / Table1[[#This Row],[std_dev]]</f>
        <v>2.4958277603983565</v>
      </c>
      <c r="K5046">
        <f>AVERAGEIF(Table1[CountryCode],Table1[[#This Row],[CountryCode]],Table1[z-score])</f>
        <v>0.68174026806790211</v>
      </c>
      <c r="L5046" t="e">
        <f>VLOOKUP(Table1[[#This Row],[CountryCode]],[1]!Table1[#All],1,FALSE)</f>
        <v>#REF!</v>
      </c>
    </row>
    <row r="5047" spans="1:12" hidden="1" x14ac:dyDescent="0.3">
      <c r="A5047" t="s">
        <v>27</v>
      </c>
      <c r="B5047" t="s">
        <v>28</v>
      </c>
      <c r="C5047" t="s">
        <v>127</v>
      </c>
      <c r="D5047" t="s">
        <v>128</v>
      </c>
      <c r="E5047">
        <v>2023</v>
      </c>
      <c r="F5047" s="1">
        <v>90077</v>
      </c>
      <c r="G5047">
        <v>2010</v>
      </c>
      <c r="H5047">
        <f>AVERAGEIFS(Table1[value],Table1[IndicatorCode],Table1[[#This Row],[IndicatorCode]])</f>
        <v>24902.88753799392</v>
      </c>
      <c r="I5047" cm="1">
        <f t="array" ref="I5047">_xlfn.STDEV.P(IF(Table1[IndicatorCode]=Table1[[#This Row],[IndicatorCode]],Table1[value]))</f>
        <v>26324.778297809873</v>
      </c>
      <c r="J5047">
        <f>(Table1[[#This Row],[value]] - Table1[[#This Row],[mean]]) / Table1[[#This Row],[std_dev]]</f>
        <v>2.4757706114253706</v>
      </c>
      <c r="K5047">
        <f>AVERAGEIF(Table1[CountryCode],Table1[[#This Row],[CountryCode]],Table1[z-score])</f>
        <v>0.68174026806790211</v>
      </c>
      <c r="L5047" t="e">
        <f>VLOOKUP(Table1[[#This Row],[CountryCode]],[1]!Table1[#All],1,FALSE)</f>
        <v>#REF!</v>
      </c>
    </row>
    <row r="5048" spans="1:12" hidden="1" x14ac:dyDescent="0.3">
      <c r="A5048" t="s">
        <v>27</v>
      </c>
      <c r="B5048" t="s">
        <v>28</v>
      </c>
      <c r="C5048" t="s">
        <v>127</v>
      </c>
      <c r="D5048" t="s">
        <v>128</v>
      </c>
      <c r="E5048">
        <v>2024</v>
      </c>
      <c r="F5048" s="1">
        <v>90067</v>
      </c>
      <c r="G5048">
        <v>2010</v>
      </c>
      <c r="H5048">
        <f>AVERAGEIFS(Table1[value],Table1[IndicatorCode],Table1[[#This Row],[IndicatorCode]])</f>
        <v>24902.88753799392</v>
      </c>
      <c r="I5048" cm="1">
        <f t="array" ref="I5048">_xlfn.STDEV.P(IF(Table1[IndicatorCode]=Table1[[#This Row],[IndicatorCode]],Table1[value]))</f>
        <v>26324.778297809873</v>
      </c>
      <c r="J5048">
        <f>(Table1[[#This Row],[value]] - Table1[[#This Row],[mean]]) / Table1[[#This Row],[std_dev]]</f>
        <v>2.4753907411796701</v>
      </c>
      <c r="K5048">
        <f>AVERAGEIF(Table1[CountryCode],Table1[[#This Row],[CountryCode]],Table1[z-score])</f>
        <v>0.68174026806790211</v>
      </c>
      <c r="L5048" t="e">
        <f>VLOOKUP(Table1[[#This Row],[CountryCode]],[1]!Table1[#All],1,FALSE)</f>
        <v>#REF!</v>
      </c>
    </row>
    <row r="5049" spans="1:12" hidden="1" x14ac:dyDescent="0.3">
      <c r="A5049" t="s">
        <v>29</v>
      </c>
      <c r="B5049" t="s">
        <v>30</v>
      </c>
      <c r="C5049" t="s">
        <v>127</v>
      </c>
      <c r="D5049" t="s">
        <v>128</v>
      </c>
      <c r="E5049">
        <v>2009</v>
      </c>
      <c r="F5049" s="1">
        <v>67618</v>
      </c>
      <c r="G5049">
        <v>2010</v>
      </c>
      <c r="H5049">
        <f>AVERAGEIFS(Table1[value],Table1[IndicatorCode],Table1[[#This Row],[IndicatorCode]])</f>
        <v>24902.88753799392</v>
      </c>
      <c r="I5049" cm="1">
        <f t="array" ref="I5049">_xlfn.STDEV.P(IF(Table1[IndicatorCode]=Table1[[#This Row],[IndicatorCode]],Table1[value]))</f>
        <v>26324.778297809873</v>
      </c>
      <c r="J5049">
        <f>(Table1[[#This Row],[value]] - Table1[[#This Row],[mean]]) / Table1[[#This Row],[std_dev]]</f>
        <v>1.6226200266066371</v>
      </c>
      <c r="K5049">
        <f>AVERAGEIF(Table1[CountryCode],Table1[[#This Row],[CountryCode]],Table1[z-score])</f>
        <v>0.62183816728032393</v>
      </c>
      <c r="L5049" t="e">
        <f>VLOOKUP(Table1[[#This Row],[CountryCode]],[1]!Table1[#All],1,FALSE)</f>
        <v>#REF!</v>
      </c>
    </row>
    <row r="5050" spans="1:12" hidden="1" x14ac:dyDescent="0.3">
      <c r="A5050" t="s">
        <v>29</v>
      </c>
      <c r="B5050" t="s">
        <v>30</v>
      </c>
      <c r="C5050" t="s">
        <v>127</v>
      </c>
      <c r="D5050" t="s">
        <v>128</v>
      </c>
      <c r="E5050">
        <v>2010</v>
      </c>
      <c r="F5050" s="1">
        <v>64723</v>
      </c>
      <c r="G5050">
        <v>2010</v>
      </c>
      <c r="H5050">
        <f>AVERAGEIFS(Table1[value],Table1[IndicatorCode],Table1[[#This Row],[IndicatorCode]])</f>
        <v>24902.88753799392</v>
      </c>
      <c r="I5050" cm="1">
        <f t="array" ref="I5050">_xlfn.STDEV.P(IF(Table1[IndicatorCode]=Table1[[#This Row],[IndicatorCode]],Table1[value]))</f>
        <v>26324.778297809873</v>
      </c>
      <c r="J5050">
        <f>(Table1[[#This Row],[value]] - Table1[[#This Row],[mean]]) / Table1[[#This Row],[std_dev]]</f>
        <v>1.5126475904763448</v>
      </c>
      <c r="K5050">
        <f>AVERAGEIF(Table1[CountryCode],Table1[[#This Row],[CountryCode]],Table1[z-score])</f>
        <v>0.62183816728032393</v>
      </c>
      <c r="L5050" t="e">
        <f>VLOOKUP(Table1[[#This Row],[CountryCode]],[1]!Table1[#All],1,FALSE)</f>
        <v>#REF!</v>
      </c>
    </row>
    <row r="5051" spans="1:12" hidden="1" x14ac:dyDescent="0.3">
      <c r="A5051" t="s">
        <v>29</v>
      </c>
      <c r="B5051" t="s">
        <v>30</v>
      </c>
      <c r="C5051" t="s">
        <v>127</v>
      </c>
      <c r="D5051" t="s">
        <v>128</v>
      </c>
      <c r="E5051">
        <v>2011</v>
      </c>
      <c r="F5051" s="1">
        <v>65006</v>
      </c>
      <c r="G5051">
        <v>2010</v>
      </c>
      <c r="H5051">
        <f>AVERAGEIFS(Table1[value],Table1[IndicatorCode],Table1[[#This Row],[IndicatorCode]])</f>
        <v>24902.88753799392</v>
      </c>
      <c r="I5051" cm="1">
        <f t="array" ref="I5051">_xlfn.STDEV.P(IF(Table1[IndicatorCode]=Table1[[#This Row],[IndicatorCode]],Table1[value]))</f>
        <v>26324.778297809873</v>
      </c>
      <c r="J5051">
        <f>(Table1[[#This Row],[value]] - Table1[[#This Row],[mean]]) / Table1[[#This Row],[std_dev]]</f>
        <v>1.5233979184296689</v>
      </c>
      <c r="K5051">
        <f>AVERAGEIF(Table1[CountryCode],Table1[[#This Row],[CountryCode]],Table1[z-score])</f>
        <v>0.62183816728032393</v>
      </c>
      <c r="L5051" t="e">
        <f>VLOOKUP(Table1[[#This Row],[CountryCode]],[1]!Table1[#All],1,FALSE)</f>
        <v>#REF!</v>
      </c>
    </row>
    <row r="5052" spans="1:12" hidden="1" x14ac:dyDescent="0.3">
      <c r="A5052" t="s">
        <v>29</v>
      </c>
      <c r="B5052" t="s">
        <v>30</v>
      </c>
      <c r="C5052" t="s">
        <v>127</v>
      </c>
      <c r="D5052" t="s">
        <v>128</v>
      </c>
      <c r="E5052">
        <v>2012</v>
      </c>
      <c r="F5052" s="1">
        <v>60862</v>
      </c>
      <c r="G5052">
        <v>2010</v>
      </c>
      <c r="H5052">
        <f>AVERAGEIFS(Table1[value],Table1[IndicatorCode],Table1[[#This Row],[IndicatorCode]])</f>
        <v>24902.88753799392</v>
      </c>
      <c r="I5052" cm="1">
        <f t="array" ref="I5052">_xlfn.STDEV.P(IF(Table1[IndicatorCode]=Table1[[#This Row],[IndicatorCode]],Table1[value]))</f>
        <v>26324.778297809873</v>
      </c>
      <c r="J5052">
        <f>(Table1[[#This Row],[value]] - Table1[[#This Row],[mean]]) / Table1[[#This Row],[std_dev]]</f>
        <v>1.3659796886113851</v>
      </c>
      <c r="K5052">
        <f>AVERAGEIF(Table1[CountryCode],Table1[[#This Row],[CountryCode]],Table1[z-score])</f>
        <v>0.62183816728032393</v>
      </c>
      <c r="L5052" t="e">
        <f>VLOOKUP(Table1[[#This Row],[CountryCode]],[1]!Table1[#All],1,FALSE)</f>
        <v>#REF!</v>
      </c>
    </row>
    <row r="5053" spans="1:12" hidden="1" x14ac:dyDescent="0.3">
      <c r="A5053" t="s">
        <v>29</v>
      </c>
      <c r="B5053" t="s">
        <v>30</v>
      </c>
      <c r="C5053" t="s">
        <v>127</v>
      </c>
      <c r="D5053" t="s">
        <v>128</v>
      </c>
      <c r="E5053">
        <v>2013</v>
      </c>
      <c r="F5053" s="1">
        <v>60781</v>
      </c>
      <c r="G5053">
        <v>2010</v>
      </c>
      <c r="H5053">
        <f>AVERAGEIFS(Table1[value],Table1[IndicatorCode],Table1[[#This Row],[IndicatorCode]])</f>
        <v>24902.88753799392</v>
      </c>
      <c r="I5053" cm="1">
        <f t="array" ref="I5053">_xlfn.STDEV.P(IF(Table1[IndicatorCode]=Table1[[#This Row],[IndicatorCode]],Table1[value]))</f>
        <v>26324.778297809873</v>
      </c>
      <c r="J5053">
        <f>(Table1[[#This Row],[value]] - Table1[[#This Row],[mean]]) / Table1[[#This Row],[std_dev]]</f>
        <v>1.3629027396212112</v>
      </c>
      <c r="K5053">
        <f>AVERAGEIF(Table1[CountryCode],Table1[[#This Row],[CountryCode]],Table1[z-score])</f>
        <v>0.62183816728032393</v>
      </c>
      <c r="L5053" t="e">
        <f>VLOOKUP(Table1[[#This Row],[CountryCode]],[1]!Table1[#All],1,FALSE)</f>
        <v>#REF!</v>
      </c>
    </row>
    <row r="5054" spans="1:12" hidden="1" x14ac:dyDescent="0.3">
      <c r="A5054" t="s">
        <v>29</v>
      </c>
      <c r="B5054" t="s">
        <v>30</v>
      </c>
      <c r="C5054" t="s">
        <v>127</v>
      </c>
      <c r="D5054" t="s">
        <v>128</v>
      </c>
      <c r="E5054">
        <v>2014</v>
      </c>
      <c r="F5054" s="1">
        <v>61893</v>
      </c>
      <c r="G5054">
        <v>2010</v>
      </c>
      <c r="H5054">
        <f>AVERAGEIFS(Table1[value],Table1[IndicatorCode],Table1[[#This Row],[IndicatorCode]])</f>
        <v>24902.88753799392</v>
      </c>
      <c r="I5054" cm="1">
        <f t="array" ref="I5054">_xlfn.STDEV.P(IF(Table1[IndicatorCode]=Table1[[#This Row],[IndicatorCode]],Table1[value]))</f>
        <v>26324.778297809873</v>
      </c>
      <c r="J5054">
        <f>(Table1[[#This Row],[value]] - Table1[[#This Row],[mean]]) / Table1[[#This Row],[std_dev]]</f>
        <v>1.4051443109431059</v>
      </c>
      <c r="K5054">
        <f>AVERAGEIF(Table1[CountryCode],Table1[[#This Row],[CountryCode]],Table1[z-score])</f>
        <v>0.62183816728032393</v>
      </c>
      <c r="L5054" t="e">
        <f>VLOOKUP(Table1[[#This Row],[CountryCode]],[1]!Table1[#All],1,FALSE)</f>
        <v>#REF!</v>
      </c>
    </row>
    <row r="5055" spans="1:12" hidden="1" x14ac:dyDescent="0.3">
      <c r="A5055" t="s">
        <v>29</v>
      </c>
      <c r="B5055" t="s">
        <v>30</v>
      </c>
      <c r="C5055" t="s">
        <v>127</v>
      </c>
      <c r="D5055" t="s">
        <v>128</v>
      </c>
      <c r="E5055">
        <v>2015</v>
      </c>
      <c r="F5055" s="1">
        <v>61848</v>
      </c>
      <c r="G5055">
        <v>2010</v>
      </c>
      <c r="H5055">
        <f>AVERAGEIFS(Table1[value],Table1[IndicatorCode],Table1[[#This Row],[IndicatorCode]])</f>
        <v>24902.88753799392</v>
      </c>
      <c r="I5055" cm="1">
        <f t="array" ref="I5055">_xlfn.STDEV.P(IF(Table1[IndicatorCode]=Table1[[#This Row],[IndicatorCode]],Table1[value]))</f>
        <v>26324.778297809873</v>
      </c>
      <c r="J5055">
        <f>(Table1[[#This Row],[value]] - Table1[[#This Row],[mean]]) / Table1[[#This Row],[std_dev]]</f>
        <v>1.4034348948374535</v>
      </c>
      <c r="K5055">
        <f>AVERAGEIF(Table1[CountryCode],Table1[[#This Row],[CountryCode]],Table1[z-score])</f>
        <v>0.62183816728032393</v>
      </c>
      <c r="L5055" t="e">
        <f>VLOOKUP(Table1[[#This Row],[CountryCode]],[1]!Table1[#All],1,FALSE)</f>
        <v>#REF!</v>
      </c>
    </row>
    <row r="5056" spans="1:12" hidden="1" x14ac:dyDescent="0.3">
      <c r="A5056" t="s">
        <v>29</v>
      </c>
      <c r="B5056" t="s">
        <v>30</v>
      </c>
      <c r="C5056" t="s">
        <v>127</v>
      </c>
      <c r="D5056" t="s">
        <v>128</v>
      </c>
      <c r="E5056">
        <v>2016</v>
      </c>
      <c r="F5056" s="1">
        <v>62434</v>
      </c>
      <c r="G5056">
        <v>2010</v>
      </c>
      <c r="H5056">
        <f>AVERAGEIFS(Table1[value],Table1[IndicatorCode],Table1[[#This Row],[IndicatorCode]])</f>
        <v>24902.88753799392</v>
      </c>
      <c r="I5056" cm="1">
        <f t="array" ref="I5056">_xlfn.STDEV.P(IF(Table1[IndicatorCode]=Table1[[#This Row],[IndicatorCode]],Table1[value]))</f>
        <v>26324.778297809873</v>
      </c>
      <c r="J5056">
        <f>(Table1[[#This Row],[value]] - Table1[[#This Row],[mean]]) / Table1[[#This Row],[std_dev]]</f>
        <v>1.4256952912355023</v>
      </c>
      <c r="K5056">
        <f>AVERAGEIF(Table1[CountryCode],Table1[[#This Row],[CountryCode]],Table1[z-score])</f>
        <v>0.62183816728032393</v>
      </c>
      <c r="L5056" t="e">
        <f>VLOOKUP(Table1[[#This Row],[CountryCode]],[1]!Table1[#All],1,FALSE)</f>
        <v>#REF!</v>
      </c>
    </row>
    <row r="5057" spans="1:12" hidden="1" x14ac:dyDescent="0.3">
      <c r="A5057" t="s">
        <v>29</v>
      </c>
      <c r="B5057" t="s">
        <v>30</v>
      </c>
      <c r="C5057" t="s">
        <v>127</v>
      </c>
      <c r="D5057" t="s">
        <v>128</v>
      </c>
      <c r="E5057">
        <v>2017</v>
      </c>
      <c r="F5057" s="1">
        <v>63393</v>
      </c>
      <c r="G5057">
        <v>2020</v>
      </c>
      <c r="H5057">
        <f>AVERAGEIFS(Table1[value],Table1[IndicatorCode],Table1[[#This Row],[IndicatorCode]])</f>
        <v>24902.88753799392</v>
      </c>
      <c r="I5057" cm="1">
        <f t="array" ref="I5057">_xlfn.STDEV.P(IF(Table1[IndicatorCode]=Table1[[#This Row],[IndicatorCode]],Table1[value]))</f>
        <v>26324.778297809873</v>
      </c>
      <c r="J5057">
        <f>(Table1[[#This Row],[value]] - Table1[[#This Row],[mean]]) / Table1[[#This Row],[std_dev]]</f>
        <v>1.4621248477981794</v>
      </c>
      <c r="K5057">
        <f>AVERAGEIF(Table1[CountryCode],Table1[[#This Row],[CountryCode]],Table1[z-score])</f>
        <v>0.62183816728032393</v>
      </c>
      <c r="L5057" t="e">
        <f>VLOOKUP(Table1[[#This Row],[CountryCode]],[1]!Table1[#All],1,FALSE)</f>
        <v>#REF!</v>
      </c>
    </row>
    <row r="5058" spans="1:12" hidden="1" x14ac:dyDescent="0.3">
      <c r="A5058" t="s">
        <v>29</v>
      </c>
      <c r="B5058" t="s">
        <v>30</v>
      </c>
      <c r="C5058" t="s">
        <v>127</v>
      </c>
      <c r="D5058" t="s">
        <v>128</v>
      </c>
      <c r="E5058">
        <v>2018</v>
      </c>
      <c r="F5058" s="1">
        <v>63860</v>
      </c>
      <c r="G5058">
        <v>2020</v>
      </c>
      <c r="H5058">
        <f>AVERAGEIFS(Table1[value],Table1[IndicatorCode],Table1[[#This Row],[IndicatorCode]])</f>
        <v>24902.88753799392</v>
      </c>
      <c r="I5058" cm="1">
        <f t="array" ref="I5058">_xlfn.STDEV.P(IF(Table1[IndicatorCode]=Table1[[#This Row],[IndicatorCode]],Table1[value]))</f>
        <v>26324.778297809873</v>
      </c>
      <c r="J5058">
        <f>(Table1[[#This Row],[value]] - Table1[[#This Row],[mean]]) / Table1[[#This Row],[std_dev]]</f>
        <v>1.4798647882723925</v>
      </c>
      <c r="K5058">
        <f>AVERAGEIF(Table1[CountryCode],Table1[[#This Row],[CountryCode]],Table1[z-score])</f>
        <v>0.62183816728032393</v>
      </c>
      <c r="L5058" t="e">
        <f>VLOOKUP(Table1[[#This Row],[CountryCode]],[1]!Table1[#All],1,FALSE)</f>
        <v>#REF!</v>
      </c>
    </row>
    <row r="5059" spans="1:12" hidden="1" x14ac:dyDescent="0.3">
      <c r="A5059" t="s">
        <v>29</v>
      </c>
      <c r="B5059" t="s">
        <v>30</v>
      </c>
      <c r="C5059" t="s">
        <v>127</v>
      </c>
      <c r="D5059" t="s">
        <v>128</v>
      </c>
      <c r="E5059">
        <v>2019</v>
      </c>
      <c r="F5059" s="1">
        <v>64595</v>
      </c>
      <c r="G5059">
        <v>2020</v>
      </c>
      <c r="H5059">
        <f>AVERAGEIFS(Table1[value],Table1[IndicatorCode],Table1[[#This Row],[IndicatorCode]])</f>
        <v>24902.88753799392</v>
      </c>
      <c r="I5059" cm="1">
        <f t="array" ref="I5059">_xlfn.STDEV.P(IF(Table1[IndicatorCode]=Table1[[#This Row],[IndicatorCode]],Table1[value]))</f>
        <v>26324.778297809873</v>
      </c>
      <c r="J5059">
        <f>(Table1[[#This Row],[value]] - Table1[[#This Row],[mean]]) / Table1[[#This Row],[std_dev]]</f>
        <v>1.5077852513313785</v>
      </c>
      <c r="K5059">
        <f>AVERAGEIF(Table1[CountryCode],Table1[[#This Row],[CountryCode]],Table1[z-score])</f>
        <v>0.62183816728032393</v>
      </c>
      <c r="L5059" t="e">
        <f>VLOOKUP(Table1[[#This Row],[CountryCode]],[1]!Table1[#All],1,FALSE)</f>
        <v>#REF!</v>
      </c>
    </row>
    <row r="5060" spans="1:12" x14ac:dyDescent="0.3">
      <c r="A5060" t="s">
        <v>23</v>
      </c>
      <c r="B5060" t="s">
        <v>24</v>
      </c>
      <c r="C5060" t="s">
        <v>127</v>
      </c>
      <c r="D5060" t="s">
        <v>128</v>
      </c>
      <c r="E5060">
        <v>2020</v>
      </c>
      <c r="F5060" s="1">
        <v>5491</v>
      </c>
      <c r="G5060">
        <v>2020</v>
      </c>
      <c r="H5060">
        <f>AVERAGEIFS(Table1[value],Table1[IndicatorCode],Table1[[#This Row],[IndicatorCode]])</f>
        <v>24902.88753799392</v>
      </c>
      <c r="I5060" cm="1">
        <f t="array" ref="I5060">_xlfn.STDEV.P(IF(Table1[IndicatorCode]=Table1[[#This Row],[IndicatorCode]],Table1[value]))</f>
        <v>26324.778297809873</v>
      </c>
      <c r="J5060">
        <f>(Table1[[#This Row],[value]] - Table1[[#This Row],[mean]]) / Table1[[#This Row],[std_dev]]</f>
        <v>-0.73739984885680576</v>
      </c>
      <c r="K5060">
        <f>AVERAGEIF(Table1[CountryCode],Table1[[#This Row],[CountryCode]],Table1[z-score])</f>
        <v>-0.44941710005999458</v>
      </c>
    </row>
    <row r="5061" spans="1:12" hidden="1" x14ac:dyDescent="0.3">
      <c r="A5061" t="s">
        <v>29</v>
      </c>
      <c r="B5061" t="s">
        <v>30</v>
      </c>
      <c r="C5061" t="s">
        <v>127</v>
      </c>
      <c r="D5061" t="s">
        <v>128</v>
      </c>
      <c r="E5061">
        <v>2021</v>
      </c>
      <c r="F5061" s="1">
        <v>64268</v>
      </c>
      <c r="G5061">
        <v>1970</v>
      </c>
      <c r="H5061">
        <f>AVERAGEIFS(Table1[value],Table1[IndicatorCode],Table1[[#This Row],[IndicatorCode]])</f>
        <v>24902.88753799392</v>
      </c>
      <c r="I5061" cm="1">
        <f t="array" ref="I5061">_xlfn.STDEV.P(IF(Table1[IndicatorCode]=Table1[[#This Row],[IndicatorCode]],Table1[value]))</f>
        <v>26324.778297809873</v>
      </c>
      <c r="J5061">
        <f>(Table1[[#This Row],[value]] - Table1[[#This Row],[mean]]) / Table1[[#This Row],[std_dev]]</f>
        <v>1.4953634942969725</v>
      </c>
      <c r="K5061">
        <f>AVERAGEIF(Table1[CountryCode],Table1[[#This Row],[CountryCode]],Table1[z-score])</f>
        <v>0.62183816728032393</v>
      </c>
      <c r="L5061" t="e">
        <f>VLOOKUP(Table1[[#This Row],[CountryCode]],[1]!Table1[#All],1,FALSE)</f>
        <v>#REF!</v>
      </c>
    </row>
    <row r="5062" spans="1:12" hidden="1" x14ac:dyDescent="0.3">
      <c r="A5062" t="s">
        <v>29</v>
      </c>
      <c r="B5062" t="s">
        <v>30</v>
      </c>
      <c r="C5062" t="s">
        <v>127</v>
      </c>
      <c r="D5062" t="s">
        <v>128</v>
      </c>
      <c r="E5062">
        <v>2022</v>
      </c>
      <c r="F5062" s="1">
        <v>67509</v>
      </c>
      <c r="G5062">
        <v>1970</v>
      </c>
      <c r="H5062">
        <f>AVERAGEIFS(Table1[value],Table1[IndicatorCode],Table1[[#This Row],[IndicatorCode]])</f>
        <v>24902.88753799392</v>
      </c>
      <c r="I5062" cm="1">
        <f t="array" ref="I5062">_xlfn.STDEV.P(IF(Table1[IndicatorCode]=Table1[[#This Row],[IndicatorCode]],Table1[value]))</f>
        <v>26324.778297809873</v>
      </c>
      <c r="J5062">
        <f>(Table1[[#This Row],[value]] - Table1[[#This Row],[mean]]) / Table1[[#This Row],[std_dev]]</f>
        <v>1.6184794409285017</v>
      </c>
      <c r="K5062">
        <f>AVERAGEIF(Table1[CountryCode],Table1[[#This Row],[CountryCode]],Table1[z-score])</f>
        <v>0.62183816728032393</v>
      </c>
      <c r="L5062" t="e">
        <f>VLOOKUP(Table1[[#This Row],[CountryCode]],[1]!Table1[#All],1,FALSE)</f>
        <v>#REF!</v>
      </c>
    </row>
    <row r="5063" spans="1:12" hidden="1" x14ac:dyDescent="0.3">
      <c r="A5063" t="s">
        <v>29</v>
      </c>
      <c r="B5063" t="s">
        <v>30</v>
      </c>
      <c r="C5063" t="s">
        <v>127</v>
      </c>
      <c r="D5063" t="s">
        <v>128</v>
      </c>
      <c r="E5063">
        <v>2023</v>
      </c>
      <c r="F5063" s="1">
        <v>69818</v>
      </c>
      <c r="G5063">
        <v>1970</v>
      </c>
      <c r="H5063">
        <f>AVERAGEIFS(Table1[value],Table1[IndicatorCode],Table1[[#This Row],[IndicatorCode]])</f>
        <v>24902.88753799392</v>
      </c>
      <c r="I5063" cm="1">
        <f t="array" ref="I5063">_xlfn.STDEV.P(IF(Table1[IndicatorCode]=Table1[[#This Row],[IndicatorCode]],Table1[value]))</f>
        <v>26324.778297809873</v>
      </c>
      <c r="J5063">
        <f>(Table1[[#This Row],[value]] - Table1[[#This Row],[mean]]) / Table1[[#This Row],[std_dev]]</f>
        <v>1.7061914806607452</v>
      </c>
      <c r="K5063">
        <f>AVERAGEIF(Table1[CountryCode],Table1[[#This Row],[CountryCode]],Table1[z-score])</f>
        <v>0.62183816728032393</v>
      </c>
      <c r="L5063" t="e">
        <f>VLOOKUP(Table1[[#This Row],[CountryCode]],[1]!Table1[#All],1,FALSE)</f>
        <v>#REF!</v>
      </c>
    </row>
    <row r="5064" spans="1:12" hidden="1" x14ac:dyDescent="0.3">
      <c r="A5064" t="s">
        <v>31</v>
      </c>
      <c r="B5064" t="s">
        <v>32</v>
      </c>
      <c r="C5064" t="s">
        <v>127</v>
      </c>
      <c r="D5064" t="s">
        <v>128</v>
      </c>
      <c r="E5064">
        <v>1975</v>
      </c>
      <c r="F5064" s="1">
        <v>6173</v>
      </c>
      <c r="G5064">
        <v>1970</v>
      </c>
      <c r="H5064">
        <f>AVERAGEIFS(Table1[value],Table1[IndicatorCode],Table1[[#This Row],[IndicatorCode]])</f>
        <v>24902.88753799392</v>
      </c>
      <c r="I5064" cm="1">
        <f t="array" ref="I5064">_xlfn.STDEV.P(IF(Table1[IndicatorCode]=Table1[[#This Row],[IndicatorCode]],Table1[value]))</f>
        <v>26324.778297809873</v>
      </c>
      <c r="J5064">
        <f>(Table1[[#This Row],[value]] - Table1[[#This Row],[mean]]) / Table1[[#This Row],[std_dev]]</f>
        <v>-0.71149269810003224</v>
      </c>
      <c r="K5064">
        <f>AVERAGEIF(Table1[CountryCode],Table1[[#This Row],[CountryCode]],Table1[z-score])</f>
        <v>-1.226846632548898E-2</v>
      </c>
      <c r="L5064" t="e">
        <f>VLOOKUP(Table1[[#This Row],[CountryCode]],[1]!Table1[#All],1,FALSE)</f>
        <v>#REF!</v>
      </c>
    </row>
    <row r="5065" spans="1:12" hidden="1" x14ac:dyDescent="0.3">
      <c r="A5065" t="s">
        <v>31</v>
      </c>
      <c r="B5065" t="s">
        <v>32</v>
      </c>
      <c r="C5065" t="s">
        <v>127</v>
      </c>
      <c r="D5065" t="s">
        <v>128</v>
      </c>
      <c r="E5065">
        <v>1976</v>
      </c>
      <c r="F5065" s="1">
        <v>7485</v>
      </c>
      <c r="G5065">
        <v>1970</v>
      </c>
      <c r="H5065">
        <f>AVERAGEIFS(Table1[value],Table1[IndicatorCode],Table1[[#This Row],[IndicatorCode]])</f>
        <v>24902.88753799392</v>
      </c>
      <c r="I5065" cm="1">
        <f t="array" ref="I5065">_xlfn.STDEV.P(IF(Table1[IndicatorCode]=Table1[[#This Row],[IndicatorCode]],Table1[value]))</f>
        <v>26324.778297809873</v>
      </c>
      <c r="J5065">
        <f>(Table1[[#This Row],[value]] - Table1[[#This Row],[mean]]) / Table1[[#This Row],[std_dev]]</f>
        <v>-0.66165372186412774</v>
      </c>
      <c r="K5065">
        <f>AVERAGEIF(Table1[CountryCode],Table1[[#This Row],[CountryCode]],Table1[z-score])</f>
        <v>-1.226846632548898E-2</v>
      </c>
      <c r="L5065" t="e">
        <f>VLOOKUP(Table1[[#This Row],[CountryCode]],[1]!Table1[#All],1,FALSE)</f>
        <v>#REF!</v>
      </c>
    </row>
    <row r="5066" spans="1:12" hidden="1" x14ac:dyDescent="0.3">
      <c r="A5066" t="s">
        <v>31</v>
      </c>
      <c r="B5066" t="s">
        <v>32</v>
      </c>
      <c r="C5066" t="s">
        <v>127</v>
      </c>
      <c r="D5066" t="s">
        <v>128</v>
      </c>
      <c r="E5066">
        <v>1977</v>
      </c>
      <c r="F5066" s="1">
        <v>8708</v>
      </c>
      <c r="G5066">
        <v>1980</v>
      </c>
      <c r="H5066">
        <f>AVERAGEIFS(Table1[value],Table1[IndicatorCode],Table1[[#This Row],[IndicatorCode]])</f>
        <v>24902.88753799392</v>
      </c>
      <c r="I5066" cm="1">
        <f t="array" ref="I5066">_xlfn.STDEV.P(IF(Table1[IndicatorCode]=Table1[[#This Row],[IndicatorCode]],Table1[value]))</f>
        <v>26324.778297809873</v>
      </c>
      <c r="J5066">
        <f>(Table1[[#This Row],[value]] - Table1[[#This Row],[mean]]) / Table1[[#This Row],[std_dev]]</f>
        <v>-0.61519559081495767</v>
      </c>
      <c r="K5066">
        <f>AVERAGEIF(Table1[CountryCode],Table1[[#This Row],[CountryCode]],Table1[z-score])</f>
        <v>-1.226846632548898E-2</v>
      </c>
      <c r="L5066" t="e">
        <f>VLOOKUP(Table1[[#This Row],[CountryCode]],[1]!Table1[#All],1,FALSE)</f>
        <v>#REF!</v>
      </c>
    </row>
    <row r="5067" spans="1:12" hidden="1" x14ac:dyDescent="0.3">
      <c r="A5067" t="s">
        <v>31</v>
      </c>
      <c r="B5067" t="s">
        <v>32</v>
      </c>
      <c r="C5067" t="s">
        <v>127</v>
      </c>
      <c r="D5067" t="s">
        <v>128</v>
      </c>
      <c r="E5067">
        <v>1978</v>
      </c>
      <c r="F5067" s="1">
        <v>9351</v>
      </c>
      <c r="G5067">
        <v>1980</v>
      </c>
      <c r="H5067">
        <f>AVERAGEIFS(Table1[value],Table1[IndicatorCode],Table1[[#This Row],[IndicatorCode]])</f>
        <v>24902.88753799392</v>
      </c>
      <c r="I5067" cm="1">
        <f t="array" ref="I5067">_xlfn.STDEV.P(IF(Table1[IndicatorCode]=Table1[[#This Row],[IndicatorCode]],Table1[value]))</f>
        <v>26324.778297809873</v>
      </c>
      <c r="J5067">
        <f>(Table1[[#This Row],[value]] - Table1[[#This Row],[mean]]) / Table1[[#This Row],[std_dev]]</f>
        <v>-0.59076993401641609</v>
      </c>
      <c r="K5067">
        <f>AVERAGEIF(Table1[CountryCode],Table1[[#This Row],[CountryCode]],Table1[z-score])</f>
        <v>-1.226846632548898E-2</v>
      </c>
      <c r="L5067" t="e">
        <f>VLOOKUP(Table1[[#This Row],[CountryCode]],[1]!Table1[#All],1,FALSE)</f>
        <v>#REF!</v>
      </c>
    </row>
    <row r="5068" spans="1:12" hidden="1" x14ac:dyDescent="0.3">
      <c r="A5068" t="s">
        <v>31</v>
      </c>
      <c r="B5068" t="s">
        <v>32</v>
      </c>
      <c r="C5068" t="s">
        <v>127</v>
      </c>
      <c r="D5068" t="s">
        <v>128</v>
      </c>
      <c r="E5068">
        <v>1979</v>
      </c>
      <c r="F5068" s="1">
        <v>10198</v>
      </c>
      <c r="G5068">
        <v>1980</v>
      </c>
      <c r="H5068">
        <f>AVERAGEIFS(Table1[value],Table1[IndicatorCode],Table1[[#This Row],[IndicatorCode]])</f>
        <v>24902.88753799392</v>
      </c>
      <c r="I5068" cm="1">
        <f t="array" ref="I5068">_xlfn.STDEV.P(IF(Table1[IndicatorCode]=Table1[[#This Row],[IndicatorCode]],Table1[value]))</f>
        <v>26324.778297809873</v>
      </c>
      <c r="J5068">
        <f>(Table1[[#This Row],[value]] - Table1[[#This Row],[mean]]) / Table1[[#This Row],[std_dev]]</f>
        <v>-0.55859492420558443</v>
      </c>
      <c r="K5068">
        <f>AVERAGEIF(Table1[CountryCode],Table1[[#This Row],[CountryCode]],Table1[z-score])</f>
        <v>-1.226846632548898E-2</v>
      </c>
      <c r="L5068" t="e">
        <f>VLOOKUP(Table1[[#This Row],[CountryCode]],[1]!Table1[#All],1,FALSE)</f>
        <v>#REF!</v>
      </c>
    </row>
    <row r="5069" spans="1:12" hidden="1" x14ac:dyDescent="0.3">
      <c r="A5069" t="s">
        <v>31</v>
      </c>
      <c r="B5069" t="s">
        <v>32</v>
      </c>
      <c r="C5069" t="s">
        <v>127</v>
      </c>
      <c r="D5069" t="s">
        <v>128</v>
      </c>
      <c r="E5069">
        <v>1980</v>
      </c>
      <c r="F5069" s="1">
        <v>10668</v>
      </c>
      <c r="G5069">
        <v>1980</v>
      </c>
      <c r="H5069">
        <f>AVERAGEIFS(Table1[value],Table1[IndicatorCode],Table1[[#This Row],[IndicatorCode]])</f>
        <v>24902.88753799392</v>
      </c>
      <c r="I5069" cm="1">
        <f t="array" ref="I5069">_xlfn.STDEV.P(IF(Table1[IndicatorCode]=Table1[[#This Row],[IndicatorCode]],Table1[value]))</f>
        <v>26324.778297809873</v>
      </c>
      <c r="J5069">
        <f>(Table1[[#This Row],[value]] - Table1[[#This Row],[mean]]) / Table1[[#This Row],[std_dev]]</f>
        <v>-0.54074102265766133</v>
      </c>
      <c r="K5069">
        <f>AVERAGEIF(Table1[CountryCode],Table1[[#This Row],[CountryCode]],Table1[z-score])</f>
        <v>-1.226846632548898E-2</v>
      </c>
      <c r="L5069" t="e">
        <f>VLOOKUP(Table1[[#This Row],[CountryCode]],[1]!Table1[#All],1,FALSE)</f>
        <v>#REF!</v>
      </c>
    </row>
    <row r="5070" spans="1:12" hidden="1" x14ac:dyDescent="0.3">
      <c r="A5070" t="s">
        <v>31</v>
      </c>
      <c r="B5070" t="s">
        <v>32</v>
      </c>
      <c r="C5070" t="s">
        <v>127</v>
      </c>
      <c r="D5070" t="s">
        <v>128</v>
      </c>
      <c r="E5070">
        <v>1981</v>
      </c>
      <c r="F5070" s="1">
        <v>10756</v>
      </c>
      <c r="G5070">
        <v>1980</v>
      </c>
      <c r="H5070">
        <f>AVERAGEIFS(Table1[value],Table1[IndicatorCode],Table1[[#This Row],[IndicatorCode]])</f>
        <v>24902.88753799392</v>
      </c>
      <c r="I5070" cm="1">
        <f t="array" ref="I5070">_xlfn.STDEV.P(IF(Table1[IndicatorCode]=Table1[[#This Row],[IndicatorCode]],Table1[value]))</f>
        <v>26324.778297809873</v>
      </c>
      <c r="J5070">
        <f>(Table1[[#This Row],[value]] - Table1[[#This Row],[mean]]) / Table1[[#This Row],[std_dev]]</f>
        <v>-0.53739816449549704</v>
      </c>
      <c r="K5070">
        <f>AVERAGEIF(Table1[CountryCode],Table1[[#This Row],[CountryCode]],Table1[z-score])</f>
        <v>-1.226846632548898E-2</v>
      </c>
      <c r="L5070" t="e">
        <f>VLOOKUP(Table1[[#This Row],[CountryCode]],[1]!Table1[#All],1,FALSE)</f>
        <v>#REF!</v>
      </c>
    </row>
    <row r="5071" spans="1:12" hidden="1" x14ac:dyDescent="0.3">
      <c r="A5071" t="s">
        <v>31</v>
      </c>
      <c r="B5071" t="s">
        <v>32</v>
      </c>
      <c r="C5071" t="s">
        <v>127</v>
      </c>
      <c r="D5071" t="s">
        <v>128</v>
      </c>
      <c r="E5071">
        <v>1982</v>
      </c>
      <c r="F5071" s="1">
        <v>11270</v>
      </c>
      <c r="G5071">
        <v>1980</v>
      </c>
      <c r="H5071">
        <f>AVERAGEIFS(Table1[value],Table1[IndicatorCode],Table1[[#This Row],[IndicatorCode]])</f>
        <v>24902.88753799392</v>
      </c>
      <c r="I5071" cm="1">
        <f t="array" ref="I5071">_xlfn.STDEV.P(IF(Table1[IndicatorCode]=Table1[[#This Row],[IndicatorCode]],Table1[value]))</f>
        <v>26324.778297809873</v>
      </c>
      <c r="J5071">
        <f>(Table1[[#This Row],[value]] - Table1[[#This Row],[mean]]) / Table1[[#This Row],[std_dev]]</f>
        <v>-0.51787283386649174</v>
      </c>
      <c r="K5071">
        <f>AVERAGEIF(Table1[CountryCode],Table1[[#This Row],[CountryCode]],Table1[z-score])</f>
        <v>-1.226846632548898E-2</v>
      </c>
      <c r="L5071" t="e">
        <f>VLOOKUP(Table1[[#This Row],[CountryCode]],[1]!Table1[#All],1,FALSE)</f>
        <v>#REF!</v>
      </c>
    </row>
    <row r="5072" spans="1:12" hidden="1" x14ac:dyDescent="0.3">
      <c r="A5072" t="s">
        <v>31</v>
      </c>
      <c r="B5072" t="s">
        <v>32</v>
      </c>
      <c r="C5072" t="s">
        <v>127</v>
      </c>
      <c r="D5072" t="s">
        <v>128</v>
      </c>
      <c r="E5072">
        <v>1983</v>
      </c>
      <c r="F5072" s="1">
        <v>11801</v>
      </c>
      <c r="G5072">
        <v>1980</v>
      </c>
      <c r="H5072">
        <f>AVERAGEIFS(Table1[value],Table1[IndicatorCode],Table1[[#This Row],[IndicatorCode]])</f>
        <v>24902.88753799392</v>
      </c>
      <c r="I5072" cm="1">
        <f t="array" ref="I5072">_xlfn.STDEV.P(IF(Table1[IndicatorCode]=Table1[[#This Row],[IndicatorCode]],Table1[value]))</f>
        <v>26324.778297809873</v>
      </c>
      <c r="J5072">
        <f>(Table1[[#This Row],[value]] - Table1[[#This Row],[mean]]) / Table1[[#This Row],[std_dev]]</f>
        <v>-0.49770172381979566</v>
      </c>
      <c r="K5072">
        <f>AVERAGEIF(Table1[CountryCode],Table1[[#This Row],[CountryCode]],Table1[z-score])</f>
        <v>-1.226846632548898E-2</v>
      </c>
      <c r="L5072" t="e">
        <f>VLOOKUP(Table1[[#This Row],[CountryCode]],[1]!Table1[#All],1,FALSE)</f>
        <v>#REF!</v>
      </c>
    </row>
    <row r="5073" spans="1:12" hidden="1" x14ac:dyDescent="0.3">
      <c r="A5073" t="s">
        <v>31</v>
      </c>
      <c r="B5073" t="s">
        <v>32</v>
      </c>
      <c r="C5073" t="s">
        <v>127</v>
      </c>
      <c r="D5073" t="s">
        <v>128</v>
      </c>
      <c r="E5073">
        <v>1984</v>
      </c>
      <c r="F5073" s="1">
        <v>12669</v>
      </c>
      <c r="G5073">
        <v>1980</v>
      </c>
      <c r="H5073">
        <f>AVERAGEIFS(Table1[value],Table1[IndicatorCode],Table1[[#This Row],[IndicatorCode]])</f>
        <v>24902.88753799392</v>
      </c>
      <c r="I5073" cm="1">
        <f t="array" ref="I5073">_xlfn.STDEV.P(IF(Table1[IndicatorCode]=Table1[[#This Row],[IndicatorCode]],Table1[value]))</f>
        <v>26324.778297809873</v>
      </c>
      <c r="J5073">
        <f>(Table1[[#This Row],[value]] - Table1[[#This Row],[mean]]) / Table1[[#This Row],[std_dev]]</f>
        <v>-0.46472898649299299</v>
      </c>
      <c r="K5073">
        <f>AVERAGEIF(Table1[CountryCode],Table1[[#This Row],[CountryCode]],Table1[z-score])</f>
        <v>-1.226846632548898E-2</v>
      </c>
      <c r="L5073" t="e">
        <f>VLOOKUP(Table1[[#This Row],[CountryCode]],[1]!Table1[#All],1,FALSE)</f>
        <v>#REF!</v>
      </c>
    </row>
    <row r="5074" spans="1:12" hidden="1" x14ac:dyDescent="0.3">
      <c r="A5074" t="s">
        <v>31</v>
      </c>
      <c r="B5074" t="s">
        <v>32</v>
      </c>
      <c r="C5074" t="s">
        <v>127</v>
      </c>
      <c r="D5074" t="s">
        <v>128</v>
      </c>
      <c r="E5074">
        <v>1985</v>
      </c>
      <c r="F5074" s="1">
        <v>13128</v>
      </c>
      <c r="G5074">
        <v>1980</v>
      </c>
      <c r="H5074">
        <f>AVERAGEIFS(Table1[value],Table1[IndicatorCode],Table1[[#This Row],[IndicatorCode]])</f>
        <v>24902.88753799392</v>
      </c>
      <c r="I5074" cm="1">
        <f t="array" ref="I5074">_xlfn.STDEV.P(IF(Table1[IndicatorCode]=Table1[[#This Row],[IndicatorCode]],Table1[value]))</f>
        <v>26324.778297809873</v>
      </c>
      <c r="J5074">
        <f>(Table1[[#This Row],[value]] - Table1[[#This Row],[mean]]) / Table1[[#This Row],[std_dev]]</f>
        <v>-0.44729294221534044</v>
      </c>
      <c r="K5074">
        <f>AVERAGEIF(Table1[CountryCode],Table1[[#This Row],[CountryCode]],Table1[z-score])</f>
        <v>-1.226846632548898E-2</v>
      </c>
      <c r="L5074" t="e">
        <f>VLOOKUP(Table1[[#This Row],[CountryCode]],[1]!Table1[#All],1,FALSE)</f>
        <v>#REF!</v>
      </c>
    </row>
    <row r="5075" spans="1:12" hidden="1" x14ac:dyDescent="0.3">
      <c r="A5075" t="s">
        <v>31</v>
      </c>
      <c r="B5075" t="s">
        <v>32</v>
      </c>
      <c r="C5075" t="s">
        <v>127</v>
      </c>
      <c r="D5075" t="s">
        <v>128</v>
      </c>
      <c r="E5075">
        <v>1986</v>
      </c>
      <c r="F5075" s="1">
        <v>13459</v>
      </c>
      <c r="G5075">
        <v>1980</v>
      </c>
      <c r="H5075">
        <f>AVERAGEIFS(Table1[value],Table1[IndicatorCode],Table1[[#This Row],[IndicatorCode]])</f>
        <v>24902.88753799392</v>
      </c>
      <c r="I5075" cm="1">
        <f t="array" ref="I5075">_xlfn.STDEV.P(IF(Table1[IndicatorCode]=Table1[[#This Row],[IndicatorCode]],Table1[value]))</f>
        <v>26324.778297809873</v>
      </c>
      <c r="J5075">
        <f>(Table1[[#This Row],[value]] - Table1[[#This Row],[mean]]) / Table1[[#This Row],[std_dev]]</f>
        <v>-0.4347192370826542</v>
      </c>
      <c r="K5075">
        <f>AVERAGEIF(Table1[CountryCode],Table1[[#This Row],[CountryCode]],Table1[z-score])</f>
        <v>-1.226846632548898E-2</v>
      </c>
      <c r="L5075" t="e">
        <f>VLOOKUP(Table1[[#This Row],[CountryCode]],[1]!Table1[#All],1,FALSE)</f>
        <v>#REF!</v>
      </c>
    </row>
    <row r="5076" spans="1:12" hidden="1" x14ac:dyDescent="0.3">
      <c r="A5076" t="s">
        <v>31</v>
      </c>
      <c r="B5076" t="s">
        <v>32</v>
      </c>
      <c r="C5076" t="s">
        <v>127</v>
      </c>
      <c r="D5076" t="s">
        <v>128</v>
      </c>
      <c r="E5076">
        <v>1987</v>
      </c>
      <c r="F5076" s="1">
        <v>14254</v>
      </c>
      <c r="G5076">
        <v>1990</v>
      </c>
      <c r="H5076">
        <f>AVERAGEIFS(Table1[value],Table1[IndicatorCode],Table1[[#This Row],[IndicatorCode]])</f>
        <v>24902.88753799392</v>
      </c>
      <c r="I5076" cm="1">
        <f t="array" ref="I5076">_xlfn.STDEV.P(IF(Table1[IndicatorCode]=Table1[[#This Row],[IndicatorCode]],Table1[value]))</f>
        <v>26324.778297809873</v>
      </c>
      <c r="J5076">
        <f>(Table1[[#This Row],[value]] - Table1[[#This Row],[mean]]) / Table1[[#This Row],[std_dev]]</f>
        <v>-0.40451955254946514</v>
      </c>
      <c r="K5076">
        <f>AVERAGEIF(Table1[CountryCode],Table1[[#This Row],[CountryCode]],Table1[z-score])</f>
        <v>-1.226846632548898E-2</v>
      </c>
      <c r="L5076" t="e">
        <f>VLOOKUP(Table1[[#This Row],[CountryCode]],[1]!Table1[#All],1,FALSE)</f>
        <v>#REF!</v>
      </c>
    </row>
    <row r="5077" spans="1:12" hidden="1" x14ac:dyDescent="0.3">
      <c r="A5077" t="s">
        <v>31</v>
      </c>
      <c r="B5077" t="s">
        <v>32</v>
      </c>
      <c r="C5077" t="s">
        <v>127</v>
      </c>
      <c r="D5077" t="s">
        <v>128</v>
      </c>
      <c r="E5077">
        <v>1988</v>
      </c>
      <c r="F5077" s="1">
        <v>15323</v>
      </c>
      <c r="G5077">
        <v>1990</v>
      </c>
      <c r="H5077">
        <f>AVERAGEIFS(Table1[value],Table1[IndicatorCode],Table1[[#This Row],[IndicatorCode]])</f>
        <v>24902.88753799392</v>
      </c>
      <c r="I5077" cm="1">
        <f t="array" ref="I5077">_xlfn.STDEV.P(IF(Table1[IndicatorCode]=Table1[[#This Row],[IndicatorCode]],Table1[value]))</f>
        <v>26324.778297809873</v>
      </c>
      <c r="J5077">
        <f>(Table1[[#This Row],[value]] - Table1[[#This Row],[mean]]) / Table1[[#This Row],[std_dev]]</f>
        <v>-0.3639114232840826</v>
      </c>
      <c r="K5077">
        <f>AVERAGEIF(Table1[CountryCode],Table1[[#This Row],[CountryCode]],Table1[z-score])</f>
        <v>-1.226846632548898E-2</v>
      </c>
      <c r="L5077" t="e">
        <f>VLOOKUP(Table1[[#This Row],[CountryCode]],[1]!Table1[#All],1,FALSE)</f>
        <v>#REF!</v>
      </c>
    </row>
    <row r="5078" spans="1:12" hidden="1" x14ac:dyDescent="0.3">
      <c r="A5078" t="s">
        <v>31</v>
      </c>
      <c r="B5078" t="s">
        <v>32</v>
      </c>
      <c r="C5078" t="s">
        <v>127</v>
      </c>
      <c r="D5078" t="s">
        <v>128</v>
      </c>
      <c r="E5078">
        <v>1989</v>
      </c>
      <c r="F5078" s="1">
        <v>16306</v>
      </c>
      <c r="G5078">
        <v>1990</v>
      </c>
      <c r="H5078">
        <f>AVERAGEIFS(Table1[value],Table1[IndicatorCode],Table1[[#This Row],[IndicatorCode]])</f>
        <v>24902.88753799392</v>
      </c>
      <c r="I5078" cm="1">
        <f t="array" ref="I5078">_xlfn.STDEV.P(IF(Table1[IndicatorCode]=Table1[[#This Row],[IndicatorCode]],Table1[value]))</f>
        <v>26324.778297809873</v>
      </c>
      <c r="J5078">
        <f>(Table1[[#This Row],[value]] - Table1[[#This Row],[mean]]) / Table1[[#This Row],[std_dev]]</f>
        <v>-0.32657017813172429</v>
      </c>
      <c r="K5078">
        <f>AVERAGEIF(Table1[CountryCode],Table1[[#This Row],[CountryCode]],Table1[z-score])</f>
        <v>-1.226846632548898E-2</v>
      </c>
      <c r="L5078" t="e">
        <f>VLOOKUP(Table1[[#This Row],[CountryCode]],[1]!Table1[#All],1,FALSE)</f>
        <v>#REF!</v>
      </c>
    </row>
    <row r="5079" spans="1:12" hidden="1" x14ac:dyDescent="0.3">
      <c r="A5079" t="s">
        <v>31</v>
      </c>
      <c r="B5079" t="s">
        <v>32</v>
      </c>
      <c r="C5079" t="s">
        <v>127</v>
      </c>
      <c r="D5079" t="s">
        <v>128</v>
      </c>
      <c r="E5079">
        <v>1990</v>
      </c>
      <c r="F5079" s="1">
        <v>17144</v>
      </c>
      <c r="G5079">
        <v>1990</v>
      </c>
      <c r="H5079">
        <f>AVERAGEIFS(Table1[value],Table1[IndicatorCode],Table1[[#This Row],[IndicatorCode]])</f>
        <v>24902.88753799392</v>
      </c>
      <c r="I5079" cm="1">
        <f t="array" ref="I5079">_xlfn.STDEV.P(IF(Table1[IndicatorCode]=Table1[[#This Row],[IndicatorCode]],Table1[value]))</f>
        <v>26324.778297809873</v>
      </c>
      <c r="J5079">
        <f>(Table1[[#This Row],[value]] - Table1[[#This Row],[mean]]) / Table1[[#This Row],[std_dev]]</f>
        <v>-0.29473705154202312</v>
      </c>
      <c r="K5079">
        <f>AVERAGEIF(Table1[CountryCode],Table1[[#This Row],[CountryCode]],Table1[z-score])</f>
        <v>-1.226846632548898E-2</v>
      </c>
      <c r="L5079" t="e">
        <f>VLOOKUP(Table1[[#This Row],[CountryCode]],[1]!Table1[#All],1,FALSE)</f>
        <v>#REF!</v>
      </c>
    </row>
    <row r="5080" spans="1:12" hidden="1" x14ac:dyDescent="0.3">
      <c r="A5080" t="s">
        <v>31</v>
      </c>
      <c r="B5080" t="s">
        <v>32</v>
      </c>
      <c r="C5080" t="s">
        <v>127</v>
      </c>
      <c r="D5080" t="s">
        <v>128</v>
      </c>
      <c r="E5080">
        <v>1991</v>
      </c>
      <c r="F5080" s="1">
        <v>16830</v>
      </c>
      <c r="G5080">
        <v>1990</v>
      </c>
      <c r="H5080">
        <f>AVERAGEIFS(Table1[value],Table1[IndicatorCode],Table1[[#This Row],[IndicatorCode]])</f>
        <v>24902.88753799392</v>
      </c>
      <c r="I5080" cm="1">
        <f t="array" ref="I5080">_xlfn.STDEV.P(IF(Table1[IndicatorCode]=Table1[[#This Row],[IndicatorCode]],Table1[value]))</f>
        <v>26324.778297809873</v>
      </c>
      <c r="J5080">
        <f>(Table1[[#This Row],[value]] - Table1[[#This Row],[mean]]) / Table1[[#This Row],[std_dev]]</f>
        <v>-0.30666497725701852</v>
      </c>
      <c r="K5080">
        <f>AVERAGEIF(Table1[CountryCode],Table1[[#This Row],[CountryCode]],Table1[z-score])</f>
        <v>-1.226846632548898E-2</v>
      </c>
      <c r="L5080" t="e">
        <f>VLOOKUP(Table1[[#This Row],[CountryCode]],[1]!Table1[#All],1,FALSE)</f>
        <v>#REF!</v>
      </c>
    </row>
    <row r="5081" spans="1:12" hidden="1" x14ac:dyDescent="0.3">
      <c r="A5081" t="s">
        <v>31</v>
      </c>
      <c r="B5081" t="s">
        <v>32</v>
      </c>
      <c r="C5081" t="s">
        <v>127</v>
      </c>
      <c r="D5081" t="s">
        <v>128</v>
      </c>
      <c r="E5081">
        <v>1992</v>
      </c>
      <c r="F5081" s="1">
        <v>17929</v>
      </c>
      <c r="G5081">
        <v>1990</v>
      </c>
      <c r="H5081">
        <f>AVERAGEIFS(Table1[value],Table1[IndicatorCode],Table1[[#This Row],[IndicatorCode]])</f>
        <v>24902.88753799392</v>
      </c>
      <c r="I5081" cm="1">
        <f t="array" ref="I5081">_xlfn.STDEV.P(IF(Table1[IndicatorCode]=Table1[[#This Row],[IndicatorCode]],Table1[value]))</f>
        <v>26324.778297809873</v>
      </c>
      <c r="J5081">
        <f>(Table1[[#This Row],[value]] - Table1[[#This Row],[mean]]) / Table1[[#This Row],[std_dev]]</f>
        <v>-0.26491723725453453</v>
      </c>
      <c r="K5081">
        <f>AVERAGEIF(Table1[CountryCode],Table1[[#This Row],[CountryCode]],Table1[z-score])</f>
        <v>-1.226846632548898E-2</v>
      </c>
      <c r="L5081" t="e">
        <f>VLOOKUP(Table1[[#This Row],[CountryCode]],[1]!Table1[#All],1,FALSE)</f>
        <v>#REF!</v>
      </c>
    </row>
    <row r="5082" spans="1:12" hidden="1" x14ac:dyDescent="0.3">
      <c r="A5082" t="s">
        <v>31</v>
      </c>
      <c r="B5082" t="s">
        <v>32</v>
      </c>
      <c r="C5082" t="s">
        <v>127</v>
      </c>
      <c r="D5082" t="s">
        <v>128</v>
      </c>
      <c r="E5082">
        <v>1993</v>
      </c>
      <c r="F5082" s="1">
        <v>17623</v>
      </c>
      <c r="G5082">
        <v>1990</v>
      </c>
      <c r="H5082">
        <f>AVERAGEIFS(Table1[value],Table1[IndicatorCode],Table1[[#This Row],[IndicatorCode]])</f>
        <v>24902.88753799392</v>
      </c>
      <c r="I5082" cm="1">
        <f t="array" ref="I5082">_xlfn.STDEV.P(IF(Table1[IndicatorCode]=Table1[[#This Row],[IndicatorCode]],Table1[value]))</f>
        <v>26324.778297809873</v>
      </c>
      <c r="J5082">
        <f>(Table1[[#This Row],[value]] - Table1[[#This Row],[mean]]) / Table1[[#This Row],[std_dev]]</f>
        <v>-0.27654126677296959</v>
      </c>
      <c r="K5082">
        <f>AVERAGEIF(Table1[CountryCode],Table1[[#This Row],[CountryCode]],Table1[z-score])</f>
        <v>-1.226846632548898E-2</v>
      </c>
      <c r="L5082" t="e">
        <f>VLOOKUP(Table1[[#This Row],[CountryCode]],[1]!Table1[#All],1,FALSE)</f>
        <v>#REF!</v>
      </c>
    </row>
    <row r="5083" spans="1:12" hidden="1" x14ac:dyDescent="0.3">
      <c r="A5083" t="s">
        <v>31</v>
      </c>
      <c r="B5083" t="s">
        <v>32</v>
      </c>
      <c r="C5083" t="s">
        <v>127</v>
      </c>
      <c r="D5083" t="s">
        <v>128</v>
      </c>
      <c r="E5083">
        <v>1994</v>
      </c>
      <c r="F5083" s="1">
        <v>18281</v>
      </c>
      <c r="G5083">
        <v>1990</v>
      </c>
      <c r="H5083">
        <f>AVERAGEIFS(Table1[value],Table1[IndicatorCode],Table1[[#This Row],[IndicatorCode]])</f>
        <v>24902.88753799392</v>
      </c>
      <c r="I5083" cm="1">
        <f t="array" ref="I5083">_xlfn.STDEV.P(IF(Table1[IndicatorCode]=Table1[[#This Row],[IndicatorCode]],Table1[value]))</f>
        <v>26324.778297809873</v>
      </c>
      <c r="J5083">
        <f>(Table1[[#This Row],[value]] - Table1[[#This Row],[mean]]) / Table1[[#This Row],[std_dev]]</f>
        <v>-0.25154580460587722</v>
      </c>
      <c r="K5083">
        <f>AVERAGEIF(Table1[CountryCode],Table1[[#This Row],[CountryCode]],Table1[z-score])</f>
        <v>-1.226846632548898E-2</v>
      </c>
      <c r="L5083" t="e">
        <f>VLOOKUP(Table1[[#This Row],[CountryCode]],[1]!Table1[#All],1,FALSE)</f>
        <v>#REF!</v>
      </c>
    </row>
    <row r="5084" spans="1:12" hidden="1" x14ac:dyDescent="0.3">
      <c r="A5084" t="s">
        <v>31</v>
      </c>
      <c r="B5084" t="s">
        <v>32</v>
      </c>
      <c r="C5084" t="s">
        <v>127</v>
      </c>
      <c r="D5084" t="s">
        <v>128</v>
      </c>
      <c r="E5084">
        <v>1995</v>
      </c>
      <c r="F5084" s="1">
        <v>19454</v>
      </c>
      <c r="G5084">
        <v>1990</v>
      </c>
      <c r="H5084">
        <f>AVERAGEIFS(Table1[value],Table1[IndicatorCode],Table1[[#This Row],[IndicatorCode]])</f>
        <v>24902.88753799392</v>
      </c>
      <c r="I5084" cm="1">
        <f t="array" ref="I5084">_xlfn.STDEV.P(IF(Table1[IndicatorCode]=Table1[[#This Row],[IndicatorCode]],Table1[value]))</f>
        <v>26324.778297809873</v>
      </c>
      <c r="J5084">
        <f>(Table1[[#This Row],[value]] - Table1[[#This Row],[mean]]) / Table1[[#This Row],[std_dev]]</f>
        <v>-0.20698702478520961</v>
      </c>
      <c r="K5084">
        <f>AVERAGEIF(Table1[CountryCode],Table1[[#This Row],[CountryCode]],Table1[z-score])</f>
        <v>-1.226846632548898E-2</v>
      </c>
      <c r="L5084" t="e">
        <f>VLOOKUP(Table1[[#This Row],[CountryCode]],[1]!Table1[#All],1,FALSE)</f>
        <v>#REF!</v>
      </c>
    </row>
    <row r="5085" spans="1:12" hidden="1" x14ac:dyDescent="0.3">
      <c r="A5085" t="s">
        <v>31</v>
      </c>
      <c r="B5085" t="s">
        <v>32</v>
      </c>
      <c r="C5085" t="s">
        <v>127</v>
      </c>
      <c r="D5085" t="s">
        <v>128</v>
      </c>
      <c r="E5085">
        <v>1996</v>
      </c>
      <c r="F5085" s="1">
        <v>19385</v>
      </c>
      <c r="G5085">
        <v>1990</v>
      </c>
      <c r="H5085">
        <f>AVERAGEIFS(Table1[value],Table1[IndicatorCode],Table1[[#This Row],[IndicatorCode]])</f>
        <v>24902.88753799392</v>
      </c>
      <c r="I5085" cm="1">
        <f t="array" ref="I5085">_xlfn.STDEV.P(IF(Table1[IndicatorCode]=Table1[[#This Row],[IndicatorCode]],Table1[value]))</f>
        <v>26324.778297809873</v>
      </c>
      <c r="J5085">
        <f>(Table1[[#This Row],[value]] - Table1[[#This Row],[mean]]) / Table1[[#This Row],[std_dev]]</f>
        <v>-0.209608129480543</v>
      </c>
      <c r="K5085">
        <f>AVERAGEIF(Table1[CountryCode],Table1[[#This Row],[CountryCode]],Table1[z-score])</f>
        <v>-1.226846632548898E-2</v>
      </c>
      <c r="L5085" t="e">
        <f>VLOOKUP(Table1[[#This Row],[CountryCode]],[1]!Table1[#All],1,FALSE)</f>
        <v>#REF!</v>
      </c>
    </row>
    <row r="5086" spans="1:12" hidden="1" x14ac:dyDescent="0.3">
      <c r="A5086" t="s">
        <v>31</v>
      </c>
      <c r="B5086" t="s">
        <v>32</v>
      </c>
      <c r="C5086" t="s">
        <v>127</v>
      </c>
      <c r="D5086" t="s">
        <v>128</v>
      </c>
      <c r="E5086">
        <v>1997</v>
      </c>
      <c r="F5086" s="1">
        <v>19617</v>
      </c>
      <c r="G5086">
        <v>2000</v>
      </c>
      <c r="H5086">
        <f>AVERAGEIFS(Table1[value],Table1[IndicatorCode],Table1[[#This Row],[IndicatorCode]])</f>
        <v>24902.88753799392</v>
      </c>
      <c r="I5086" cm="1">
        <f t="array" ref="I5086">_xlfn.STDEV.P(IF(Table1[IndicatorCode]=Table1[[#This Row],[IndicatorCode]],Table1[value]))</f>
        <v>26324.778297809873</v>
      </c>
      <c r="J5086">
        <f>(Table1[[#This Row],[value]] - Table1[[#This Row],[mean]]) / Table1[[#This Row],[std_dev]]</f>
        <v>-0.20079513978029159</v>
      </c>
      <c r="K5086">
        <f>AVERAGEIF(Table1[CountryCode],Table1[[#This Row],[CountryCode]],Table1[z-score])</f>
        <v>-1.226846632548898E-2</v>
      </c>
      <c r="L5086" t="e">
        <f>VLOOKUP(Table1[[#This Row],[CountryCode]],[1]!Table1[#All],1,FALSE)</f>
        <v>#REF!</v>
      </c>
    </row>
    <row r="5087" spans="1:12" hidden="1" x14ac:dyDescent="0.3">
      <c r="A5087" t="s">
        <v>31</v>
      </c>
      <c r="B5087" t="s">
        <v>32</v>
      </c>
      <c r="C5087" t="s">
        <v>127</v>
      </c>
      <c r="D5087" t="s">
        <v>128</v>
      </c>
      <c r="E5087">
        <v>1998</v>
      </c>
      <c r="F5087" s="1">
        <v>20562</v>
      </c>
      <c r="G5087">
        <v>2000</v>
      </c>
      <c r="H5087">
        <f>AVERAGEIFS(Table1[value],Table1[IndicatorCode],Table1[[#This Row],[IndicatorCode]])</f>
        <v>24902.88753799392</v>
      </c>
      <c r="I5087" cm="1">
        <f t="array" ref="I5087">_xlfn.STDEV.P(IF(Table1[IndicatorCode]=Table1[[#This Row],[IndicatorCode]],Table1[value]))</f>
        <v>26324.778297809873</v>
      </c>
      <c r="J5087">
        <f>(Table1[[#This Row],[value]] - Table1[[#This Row],[mean]]) / Table1[[#This Row],[std_dev]]</f>
        <v>-0.16489740156159516</v>
      </c>
      <c r="K5087">
        <f>AVERAGEIF(Table1[CountryCode],Table1[[#This Row],[CountryCode]],Table1[z-score])</f>
        <v>-1.226846632548898E-2</v>
      </c>
      <c r="L5087" t="e">
        <f>VLOOKUP(Table1[[#This Row],[CountryCode]],[1]!Table1[#All],1,FALSE)</f>
        <v>#REF!</v>
      </c>
    </row>
    <row r="5088" spans="1:12" hidden="1" x14ac:dyDescent="0.3">
      <c r="A5088" t="s">
        <v>31</v>
      </c>
      <c r="B5088" t="s">
        <v>32</v>
      </c>
      <c r="C5088" t="s">
        <v>127</v>
      </c>
      <c r="D5088" t="s">
        <v>128</v>
      </c>
      <c r="E5088">
        <v>1999</v>
      </c>
      <c r="F5088" s="1">
        <v>21350</v>
      </c>
      <c r="G5088">
        <v>2000</v>
      </c>
      <c r="H5088">
        <f>AVERAGEIFS(Table1[value],Table1[IndicatorCode],Table1[[#This Row],[IndicatorCode]])</f>
        <v>24902.88753799392</v>
      </c>
      <c r="I5088" cm="1">
        <f t="array" ref="I5088">_xlfn.STDEV.P(IF(Table1[IndicatorCode]=Table1[[#This Row],[IndicatorCode]],Table1[value]))</f>
        <v>26324.778297809873</v>
      </c>
      <c r="J5088">
        <f>(Table1[[#This Row],[value]] - Table1[[#This Row],[mean]]) / Table1[[#This Row],[std_dev]]</f>
        <v>-0.13496362620039642</v>
      </c>
      <c r="K5088">
        <f>AVERAGEIF(Table1[CountryCode],Table1[[#This Row],[CountryCode]],Table1[z-score])</f>
        <v>-1.226846632548898E-2</v>
      </c>
      <c r="L5088" t="e">
        <f>VLOOKUP(Table1[[#This Row],[CountryCode]],[1]!Table1[#All],1,FALSE)</f>
        <v>#REF!</v>
      </c>
    </row>
    <row r="5089" spans="1:12" hidden="1" x14ac:dyDescent="0.3">
      <c r="A5089" t="s">
        <v>31</v>
      </c>
      <c r="B5089" t="s">
        <v>32</v>
      </c>
      <c r="C5089" t="s">
        <v>127</v>
      </c>
      <c r="D5089" t="s">
        <v>128</v>
      </c>
      <c r="E5089">
        <v>2000</v>
      </c>
      <c r="F5089" s="1">
        <v>22384</v>
      </c>
      <c r="G5089">
        <v>2000</v>
      </c>
      <c r="H5089">
        <f>AVERAGEIFS(Table1[value],Table1[IndicatorCode],Table1[[#This Row],[IndicatorCode]])</f>
        <v>24902.88753799392</v>
      </c>
      <c r="I5089" cm="1">
        <f t="array" ref="I5089">_xlfn.STDEV.P(IF(Table1[IndicatorCode]=Table1[[#This Row],[IndicatorCode]],Table1[value]))</f>
        <v>26324.778297809873</v>
      </c>
      <c r="J5089">
        <f>(Table1[[#This Row],[value]] - Table1[[#This Row],[mean]]) / Table1[[#This Row],[std_dev]]</f>
        <v>-9.5685042794965619E-2</v>
      </c>
      <c r="K5089">
        <f>AVERAGEIF(Table1[CountryCode],Table1[[#This Row],[CountryCode]],Table1[z-score])</f>
        <v>-1.226846632548898E-2</v>
      </c>
      <c r="L5089" t="e">
        <f>VLOOKUP(Table1[[#This Row],[CountryCode]],[1]!Table1[#All],1,FALSE)</f>
        <v>#REF!</v>
      </c>
    </row>
    <row r="5090" spans="1:12" hidden="1" x14ac:dyDescent="0.3">
      <c r="A5090" t="s">
        <v>31</v>
      </c>
      <c r="B5090" t="s">
        <v>32</v>
      </c>
      <c r="C5090" t="s">
        <v>127</v>
      </c>
      <c r="D5090" t="s">
        <v>128</v>
      </c>
      <c r="E5090">
        <v>2001</v>
      </c>
      <c r="F5090" s="1">
        <v>23019</v>
      </c>
      <c r="G5090">
        <v>2000</v>
      </c>
      <c r="H5090">
        <f>AVERAGEIFS(Table1[value],Table1[IndicatorCode],Table1[[#This Row],[IndicatorCode]])</f>
        <v>24902.88753799392</v>
      </c>
      <c r="I5090" cm="1">
        <f t="array" ref="I5090">_xlfn.STDEV.P(IF(Table1[IndicatorCode]=Table1[[#This Row],[IndicatorCode]],Table1[value]))</f>
        <v>26324.778297809873</v>
      </c>
      <c r="J5090">
        <f>(Table1[[#This Row],[value]] - Table1[[#This Row],[mean]]) / Table1[[#This Row],[std_dev]]</f>
        <v>-7.1563282192984426E-2</v>
      </c>
      <c r="K5090">
        <f>AVERAGEIF(Table1[CountryCode],Table1[[#This Row],[CountryCode]],Table1[z-score])</f>
        <v>-1.226846632548898E-2</v>
      </c>
      <c r="L5090" t="e">
        <f>VLOOKUP(Table1[[#This Row],[CountryCode]],[1]!Table1[#All],1,FALSE)</f>
        <v>#REF!</v>
      </c>
    </row>
    <row r="5091" spans="1:12" hidden="1" x14ac:dyDescent="0.3">
      <c r="A5091" t="s">
        <v>31</v>
      </c>
      <c r="B5091" t="s">
        <v>32</v>
      </c>
      <c r="C5091" t="s">
        <v>127</v>
      </c>
      <c r="D5091" t="s">
        <v>128</v>
      </c>
      <c r="E5091">
        <v>2002</v>
      </c>
      <c r="F5091" s="1">
        <v>23604</v>
      </c>
      <c r="G5091">
        <v>2000</v>
      </c>
      <c r="H5091">
        <f>AVERAGEIFS(Table1[value],Table1[IndicatorCode],Table1[[#This Row],[IndicatorCode]])</f>
        <v>24902.88753799392</v>
      </c>
      <c r="I5091" cm="1">
        <f t="array" ref="I5091">_xlfn.STDEV.P(IF(Table1[IndicatorCode]=Table1[[#This Row],[IndicatorCode]],Table1[value]))</f>
        <v>26324.778297809873</v>
      </c>
      <c r="J5091">
        <f>(Table1[[#This Row],[value]] - Table1[[#This Row],[mean]]) / Table1[[#This Row],[std_dev]]</f>
        <v>-4.9340872819505673E-2</v>
      </c>
      <c r="K5091">
        <f>AVERAGEIF(Table1[CountryCode],Table1[[#This Row],[CountryCode]],Table1[z-score])</f>
        <v>-1.226846632548898E-2</v>
      </c>
      <c r="L5091" t="e">
        <f>VLOOKUP(Table1[[#This Row],[CountryCode]],[1]!Table1[#All],1,FALSE)</f>
        <v>#REF!</v>
      </c>
    </row>
    <row r="5092" spans="1:12" hidden="1" x14ac:dyDescent="0.3">
      <c r="A5092" t="s">
        <v>31</v>
      </c>
      <c r="B5092" t="s">
        <v>32</v>
      </c>
      <c r="C5092" t="s">
        <v>127</v>
      </c>
      <c r="D5092" t="s">
        <v>128</v>
      </c>
      <c r="E5092">
        <v>2003</v>
      </c>
      <c r="F5092" s="1">
        <v>23931</v>
      </c>
      <c r="G5092">
        <v>2000</v>
      </c>
      <c r="H5092">
        <f>AVERAGEIFS(Table1[value],Table1[IndicatorCode],Table1[[#This Row],[IndicatorCode]])</f>
        <v>24902.88753799392</v>
      </c>
      <c r="I5092" cm="1">
        <f t="array" ref="I5092">_xlfn.STDEV.P(IF(Table1[IndicatorCode]=Table1[[#This Row],[IndicatorCode]],Table1[value]))</f>
        <v>26324.778297809873</v>
      </c>
      <c r="J5092">
        <f>(Table1[[#This Row],[value]] - Table1[[#This Row],[mean]]) / Table1[[#This Row],[std_dev]]</f>
        <v>-3.6919115785099606E-2</v>
      </c>
      <c r="K5092">
        <f>AVERAGEIF(Table1[CountryCode],Table1[[#This Row],[CountryCode]],Table1[z-score])</f>
        <v>-1.226846632548898E-2</v>
      </c>
      <c r="L5092" t="e">
        <f>VLOOKUP(Table1[[#This Row],[CountryCode]],[1]!Table1[#All],1,FALSE)</f>
        <v>#REF!</v>
      </c>
    </row>
    <row r="5093" spans="1:12" hidden="1" x14ac:dyDescent="0.3">
      <c r="A5093" t="s">
        <v>31</v>
      </c>
      <c r="B5093" t="s">
        <v>32</v>
      </c>
      <c r="C5093" t="s">
        <v>127</v>
      </c>
      <c r="D5093" t="s">
        <v>128</v>
      </c>
      <c r="E5093">
        <v>2004</v>
      </c>
      <c r="F5093" s="1">
        <v>24800</v>
      </c>
      <c r="G5093">
        <v>2000</v>
      </c>
      <c r="H5093">
        <f>AVERAGEIFS(Table1[value],Table1[IndicatorCode],Table1[[#This Row],[IndicatorCode]])</f>
        <v>24902.88753799392</v>
      </c>
      <c r="I5093" cm="1">
        <f t="array" ref="I5093">_xlfn.STDEV.P(IF(Table1[IndicatorCode]=Table1[[#This Row],[IndicatorCode]],Table1[value]))</f>
        <v>26324.778297809873</v>
      </c>
      <c r="J5093">
        <f>(Table1[[#This Row],[value]] - Table1[[#This Row],[mean]]) / Table1[[#This Row],[std_dev]]</f>
        <v>-3.9083914337269023E-3</v>
      </c>
      <c r="K5093">
        <f>AVERAGEIF(Table1[CountryCode],Table1[[#This Row],[CountryCode]],Table1[z-score])</f>
        <v>-1.226846632548898E-2</v>
      </c>
      <c r="L5093" t="e">
        <f>VLOOKUP(Table1[[#This Row],[CountryCode]],[1]!Table1[#All],1,FALSE)</f>
        <v>#REF!</v>
      </c>
    </row>
    <row r="5094" spans="1:12" hidden="1" x14ac:dyDescent="0.3">
      <c r="A5094" t="s">
        <v>31</v>
      </c>
      <c r="B5094" t="s">
        <v>32</v>
      </c>
      <c r="C5094" t="s">
        <v>127</v>
      </c>
      <c r="D5094" t="s">
        <v>128</v>
      </c>
      <c r="E5094">
        <v>2005</v>
      </c>
      <c r="F5094" s="1">
        <v>25631</v>
      </c>
      <c r="G5094">
        <v>2000</v>
      </c>
      <c r="H5094">
        <f>AVERAGEIFS(Table1[value],Table1[IndicatorCode],Table1[[#This Row],[IndicatorCode]])</f>
        <v>24902.88753799392</v>
      </c>
      <c r="I5094" cm="1">
        <f t="array" ref="I5094">_xlfn.STDEV.P(IF(Table1[IndicatorCode]=Table1[[#This Row],[IndicatorCode]],Table1[value]))</f>
        <v>26324.778297809873</v>
      </c>
      <c r="J5094">
        <f>(Table1[[#This Row],[value]] - Table1[[#This Row],[mean]]) / Table1[[#This Row],[std_dev]]</f>
        <v>2.7658825983983931E-2</v>
      </c>
      <c r="K5094">
        <f>AVERAGEIF(Table1[CountryCode],Table1[[#This Row],[CountryCode]],Table1[z-score])</f>
        <v>-1.226846632548898E-2</v>
      </c>
      <c r="L5094" t="e">
        <f>VLOOKUP(Table1[[#This Row],[CountryCode]],[1]!Table1[#All],1,FALSE)</f>
        <v>#REF!</v>
      </c>
    </row>
    <row r="5095" spans="1:12" hidden="1" x14ac:dyDescent="0.3">
      <c r="A5095" t="s">
        <v>31</v>
      </c>
      <c r="B5095" t="s">
        <v>32</v>
      </c>
      <c r="C5095" t="s">
        <v>127</v>
      </c>
      <c r="D5095" t="s">
        <v>128</v>
      </c>
      <c r="E5095">
        <v>2006</v>
      </c>
      <c r="F5095" s="1">
        <v>26396</v>
      </c>
      <c r="G5095">
        <v>2000</v>
      </c>
      <c r="H5095">
        <f>AVERAGEIFS(Table1[value],Table1[IndicatorCode],Table1[[#This Row],[IndicatorCode]])</f>
        <v>24902.88753799392</v>
      </c>
      <c r="I5095" cm="1">
        <f t="array" ref="I5095">_xlfn.STDEV.P(IF(Table1[IndicatorCode]=Table1[[#This Row],[IndicatorCode]],Table1[value]))</f>
        <v>26324.778297809873</v>
      </c>
      <c r="J5095">
        <f>(Table1[[#This Row],[value]] - Table1[[#This Row],[mean]]) / Table1[[#This Row],[std_dev]]</f>
        <v>5.6718899780071524E-2</v>
      </c>
      <c r="K5095">
        <f>AVERAGEIF(Table1[CountryCode],Table1[[#This Row],[CountryCode]],Table1[z-score])</f>
        <v>-1.226846632548898E-2</v>
      </c>
      <c r="L5095" t="e">
        <f>VLOOKUP(Table1[[#This Row],[CountryCode]],[1]!Table1[#All],1,FALSE)</f>
        <v>#REF!</v>
      </c>
    </row>
    <row r="5096" spans="1:12" hidden="1" x14ac:dyDescent="0.3">
      <c r="A5096" t="s">
        <v>31</v>
      </c>
      <c r="B5096" t="s">
        <v>32</v>
      </c>
      <c r="C5096" t="s">
        <v>127</v>
      </c>
      <c r="D5096" t="s">
        <v>128</v>
      </c>
      <c r="E5096">
        <v>2007</v>
      </c>
      <c r="F5096" s="1">
        <v>27157</v>
      </c>
      <c r="G5096">
        <v>2010</v>
      </c>
      <c r="H5096">
        <f>AVERAGEIFS(Table1[value],Table1[IndicatorCode],Table1[[#This Row],[IndicatorCode]])</f>
        <v>24902.88753799392</v>
      </c>
      <c r="I5096" cm="1">
        <f t="array" ref="I5096">_xlfn.STDEV.P(IF(Table1[IndicatorCode]=Table1[[#This Row],[IndicatorCode]],Table1[value]))</f>
        <v>26324.778297809873</v>
      </c>
      <c r="J5096">
        <f>(Table1[[#This Row],[value]] - Table1[[#This Row],[mean]]) / Table1[[#This Row],[std_dev]]</f>
        <v>8.5627025477878912E-2</v>
      </c>
      <c r="K5096">
        <f>AVERAGEIF(Table1[CountryCode],Table1[[#This Row],[CountryCode]],Table1[z-score])</f>
        <v>-1.226846632548898E-2</v>
      </c>
      <c r="L5096" t="e">
        <f>VLOOKUP(Table1[[#This Row],[CountryCode]],[1]!Table1[#All],1,FALSE)</f>
        <v>#REF!</v>
      </c>
    </row>
    <row r="5097" spans="1:12" hidden="1" x14ac:dyDescent="0.3">
      <c r="A5097" t="s">
        <v>31</v>
      </c>
      <c r="B5097" t="s">
        <v>32</v>
      </c>
      <c r="C5097" t="s">
        <v>127</v>
      </c>
      <c r="D5097" t="s">
        <v>128</v>
      </c>
      <c r="E5097">
        <v>2008</v>
      </c>
      <c r="F5097" s="1">
        <v>27449</v>
      </c>
      <c r="G5097">
        <v>2010</v>
      </c>
      <c r="H5097">
        <f>AVERAGEIFS(Table1[value],Table1[IndicatorCode],Table1[[#This Row],[IndicatorCode]])</f>
        <v>24902.88753799392</v>
      </c>
      <c r="I5097" cm="1">
        <f t="array" ref="I5097">_xlfn.STDEV.P(IF(Table1[IndicatorCode]=Table1[[#This Row],[IndicatorCode]],Table1[value]))</f>
        <v>26324.778297809873</v>
      </c>
      <c r="J5097">
        <f>(Table1[[#This Row],[value]] - Table1[[#This Row],[mean]]) / Table1[[#This Row],[std_dev]]</f>
        <v>9.6719236652333271E-2</v>
      </c>
      <c r="K5097">
        <f>AVERAGEIF(Table1[CountryCode],Table1[[#This Row],[CountryCode]],Table1[z-score])</f>
        <v>-1.226846632548898E-2</v>
      </c>
      <c r="L5097" t="e">
        <f>VLOOKUP(Table1[[#This Row],[CountryCode]],[1]!Table1[#All],1,FALSE)</f>
        <v>#REF!</v>
      </c>
    </row>
    <row r="5098" spans="1:12" hidden="1" x14ac:dyDescent="0.3">
      <c r="A5098" t="s">
        <v>31</v>
      </c>
      <c r="B5098" t="s">
        <v>32</v>
      </c>
      <c r="C5098" t="s">
        <v>127</v>
      </c>
      <c r="D5098" t="s">
        <v>128</v>
      </c>
      <c r="E5098">
        <v>2009</v>
      </c>
      <c r="F5098" s="1">
        <v>26184</v>
      </c>
      <c r="G5098">
        <v>2010</v>
      </c>
      <c r="H5098">
        <f>AVERAGEIFS(Table1[value],Table1[IndicatorCode],Table1[[#This Row],[IndicatorCode]])</f>
        <v>24902.88753799392</v>
      </c>
      <c r="I5098" cm="1">
        <f t="array" ref="I5098">_xlfn.STDEV.P(IF(Table1[IndicatorCode]=Table1[[#This Row],[IndicatorCode]],Table1[value]))</f>
        <v>26324.778297809873</v>
      </c>
      <c r="J5098">
        <f>(Table1[[#This Row],[value]] - Table1[[#This Row],[mean]]) / Table1[[#This Row],[std_dev]]</f>
        <v>4.8665650571221103E-2</v>
      </c>
      <c r="K5098">
        <f>AVERAGEIF(Table1[CountryCode],Table1[[#This Row],[CountryCode]],Table1[z-score])</f>
        <v>-1.226846632548898E-2</v>
      </c>
      <c r="L5098" t="e">
        <f>VLOOKUP(Table1[[#This Row],[CountryCode]],[1]!Table1[#All],1,FALSE)</f>
        <v>#REF!</v>
      </c>
    </row>
    <row r="5099" spans="1:12" hidden="1" x14ac:dyDescent="0.3">
      <c r="A5099" t="s">
        <v>31</v>
      </c>
      <c r="B5099" t="s">
        <v>32</v>
      </c>
      <c r="C5099" t="s">
        <v>127</v>
      </c>
      <c r="D5099" t="s">
        <v>128</v>
      </c>
      <c r="E5099">
        <v>2010</v>
      </c>
      <c r="F5099" s="1">
        <v>26090</v>
      </c>
      <c r="G5099">
        <v>2010</v>
      </c>
      <c r="H5099">
        <f>AVERAGEIFS(Table1[value],Table1[IndicatorCode],Table1[[#This Row],[IndicatorCode]])</f>
        <v>24902.88753799392</v>
      </c>
      <c r="I5099" cm="1">
        <f t="array" ref="I5099">_xlfn.STDEV.P(IF(Table1[IndicatorCode]=Table1[[#This Row],[IndicatorCode]],Table1[value]))</f>
        <v>26324.778297809873</v>
      </c>
      <c r="J5099">
        <f>(Table1[[#This Row],[value]] - Table1[[#This Row],[mean]]) / Table1[[#This Row],[std_dev]]</f>
        <v>4.5094870261636485E-2</v>
      </c>
      <c r="K5099">
        <f>AVERAGEIF(Table1[CountryCode],Table1[[#This Row],[CountryCode]],Table1[z-score])</f>
        <v>-1.226846632548898E-2</v>
      </c>
      <c r="L5099" t="e">
        <f>VLOOKUP(Table1[[#This Row],[CountryCode]],[1]!Table1[#All],1,FALSE)</f>
        <v>#REF!</v>
      </c>
    </row>
    <row r="5100" spans="1:12" hidden="1" x14ac:dyDescent="0.3">
      <c r="A5100" t="s">
        <v>31</v>
      </c>
      <c r="B5100" t="s">
        <v>32</v>
      </c>
      <c r="C5100" t="s">
        <v>127</v>
      </c>
      <c r="D5100" t="s">
        <v>128</v>
      </c>
      <c r="E5100">
        <v>2011</v>
      </c>
      <c r="F5100" s="1">
        <v>25539</v>
      </c>
      <c r="G5100">
        <v>2010</v>
      </c>
      <c r="H5100">
        <f>AVERAGEIFS(Table1[value],Table1[IndicatorCode],Table1[[#This Row],[IndicatorCode]])</f>
        <v>24902.88753799392</v>
      </c>
      <c r="I5100" cm="1">
        <f t="array" ref="I5100">_xlfn.STDEV.P(IF(Table1[IndicatorCode]=Table1[[#This Row],[IndicatorCode]],Table1[value]))</f>
        <v>26324.778297809873</v>
      </c>
      <c r="J5100">
        <f>(Table1[[#This Row],[value]] - Table1[[#This Row],[mean]]) / Table1[[#This Row],[std_dev]]</f>
        <v>2.4164019723539411E-2</v>
      </c>
      <c r="K5100">
        <f>AVERAGEIF(Table1[CountryCode],Table1[[#This Row],[CountryCode]],Table1[z-score])</f>
        <v>-1.226846632548898E-2</v>
      </c>
      <c r="L5100" t="e">
        <f>VLOOKUP(Table1[[#This Row],[CountryCode]],[1]!Table1[#All],1,FALSE)</f>
        <v>#REF!</v>
      </c>
    </row>
    <row r="5101" spans="1:12" hidden="1" x14ac:dyDescent="0.3">
      <c r="A5101" t="s">
        <v>31</v>
      </c>
      <c r="B5101" t="s">
        <v>32</v>
      </c>
      <c r="C5101" t="s">
        <v>127</v>
      </c>
      <c r="D5101" t="s">
        <v>128</v>
      </c>
      <c r="E5101">
        <v>2012</v>
      </c>
      <c r="F5101" s="1">
        <v>24285</v>
      </c>
      <c r="G5101">
        <v>2010</v>
      </c>
      <c r="H5101">
        <f>AVERAGEIFS(Table1[value],Table1[IndicatorCode],Table1[[#This Row],[IndicatorCode]])</f>
        <v>24902.88753799392</v>
      </c>
      <c r="I5101" cm="1">
        <f t="array" ref="I5101">_xlfn.STDEV.P(IF(Table1[IndicatorCode]=Table1[[#This Row],[IndicatorCode]],Table1[value]))</f>
        <v>26324.778297809873</v>
      </c>
      <c r="J5101">
        <f>(Table1[[#This Row],[value]] - Table1[[#This Row],[mean]]) / Table1[[#This Row],[std_dev]]</f>
        <v>-2.3471709087302207E-2</v>
      </c>
      <c r="K5101">
        <f>AVERAGEIF(Table1[CountryCode],Table1[[#This Row],[CountryCode]],Table1[z-score])</f>
        <v>-1.226846632548898E-2</v>
      </c>
      <c r="L5101" t="e">
        <f>VLOOKUP(Table1[[#This Row],[CountryCode]],[1]!Table1[#All],1,FALSE)</f>
        <v>#REF!</v>
      </c>
    </row>
    <row r="5102" spans="1:12" hidden="1" x14ac:dyDescent="0.3">
      <c r="A5102" t="s">
        <v>31</v>
      </c>
      <c r="B5102" t="s">
        <v>32</v>
      </c>
      <c r="C5102" t="s">
        <v>127</v>
      </c>
      <c r="D5102" t="s">
        <v>128</v>
      </c>
      <c r="E5102">
        <v>2013</v>
      </c>
      <c r="F5102" s="1">
        <v>22712</v>
      </c>
      <c r="G5102">
        <v>2010</v>
      </c>
      <c r="H5102">
        <f>AVERAGEIFS(Table1[value],Table1[IndicatorCode],Table1[[#This Row],[IndicatorCode]])</f>
        <v>24902.88753799392</v>
      </c>
      <c r="I5102" cm="1">
        <f t="array" ref="I5102">_xlfn.STDEV.P(IF(Table1[IndicatorCode]=Table1[[#This Row],[IndicatorCode]],Table1[value]))</f>
        <v>26324.778297809873</v>
      </c>
      <c r="J5102">
        <f>(Table1[[#This Row],[value]] - Table1[[#This Row],[mean]]) / Table1[[#This Row],[std_dev]]</f>
        <v>-8.3225298735989509E-2</v>
      </c>
      <c r="K5102">
        <f>AVERAGEIF(Table1[CountryCode],Table1[[#This Row],[CountryCode]],Table1[z-score])</f>
        <v>-1.226846632548898E-2</v>
      </c>
      <c r="L5102" t="e">
        <f>VLOOKUP(Table1[[#This Row],[CountryCode]],[1]!Table1[#All],1,FALSE)</f>
        <v>#REF!</v>
      </c>
    </row>
    <row r="5103" spans="1:12" hidden="1" x14ac:dyDescent="0.3">
      <c r="A5103" t="s">
        <v>31</v>
      </c>
      <c r="B5103" t="s">
        <v>32</v>
      </c>
      <c r="C5103" t="s">
        <v>127</v>
      </c>
      <c r="D5103" t="s">
        <v>128</v>
      </c>
      <c r="E5103">
        <v>2014</v>
      </c>
      <c r="F5103" s="1">
        <v>22374</v>
      </c>
      <c r="G5103">
        <v>2010</v>
      </c>
      <c r="H5103">
        <f>AVERAGEIFS(Table1[value],Table1[IndicatorCode],Table1[[#This Row],[IndicatorCode]])</f>
        <v>24902.88753799392</v>
      </c>
      <c r="I5103" cm="1">
        <f t="array" ref="I5103">_xlfn.STDEV.P(IF(Table1[IndicatorCode]=Table1[[#This Row],[IndicatorCode]],Table1[value]))</f>
        <v>26324.778297809873</v>
      </c>
      <c r="J5103">
        <f>(Table1[[#This Row],[value]] - Table1[[#This Row],[mean]]) / Table1[[#This Row],[std_dev]]</f>
        <v>-9.6064913040666111E-2</v>
      </c>
      <c r="K5103">
        <f>AVERAGEIF(Table1[CountryCode],Table1[[#This Row],[CountryCode]],Table1[z-score])</f>
        <v>-1.226846632548898E-2</v>
      </c>
      <c r="L5103" t="e">
        <f>VLOOKUP(Table1[[#This Row],[CountryCode]],[1]!Table1[#All],1,FALSE)</f>
        <v>#REF!</v>
      </c>
    </row>
    <row r="5104" spans="1:12" hidden="1" x14ac:dyDescent="0.3">
      <c r="A5104" t="s">
        <v>31</v>
      </c>
      <c r="B5104" t="s">
        <v>32</v>
      </c>
      <c r="C5104" t="s">
        <v>127</v>
      </c>
      <c r="D5104" t="s">
        <v>128</v>
      </c>
      <c r="E5104">
        <v>2015</v>
      </c>
      <c r="F5104" s="1">
        <v>23088</v>
      </c>
      <c r="G5104">
        <v>2010</v>
      </c>
      <c r="H5104">
        <f>AVERAGEIFS(Table1[value],Table1[IndicatorCode],Table1[[#This Row],[IndicatorCode]])</f>
        <v>24902.88753799392</v>
      </c>
      <c r="I5104" cm="1">
        <f t="array" ref="I5104">_xlfn.STDEV.P(IF(Table1[IndicatorCode]=Table1[[#This Row],[IndicatorCode]],Table1[value]))</f>
        <v>26324.778297809873</v>
      </c>
      <c r="J5104">
        <f>(Table1[[#This Row],[value]] - Table1[[#This Row],[mean]]) / Table1[[#This Row],[std_dev]]</f>
        <v>-6.8942177497651025E-2</v>
      </c>
      <c r="K5104">
        <f>AVERAGEIF(Table1[CountryCode],Table1[[#This Row],[CountryCode]],Table1[z-score])</f>
        <v>-1.226846632548898E-2</v>
      </c>
      <c r="L5104" t="e">
        <f>VLOOKUP(Table1[[#This Row],[CountryCode]],[1]!Table1[#All],1,FALSE)</f>
        <v>#REF!</v>
      </c>
    </row>
    <row r="5105" spans="1:12" hidden="1" x14ac:dyDescent="0.3">
      <c r="A5105" t="s">
        <v>31</v>
      </c>
      <c r="B5105" t="s">
        <v>32</v>
      </c>
      <c r="C5105" t="s">
        <v>127</v>
      </c>
      <c r="D5105" t="s">
        <v>128</v>
      </c>
      <c r="E5105">
        <v>2016</v>
      </c>
      <c r="F5105" s="1">
        <v>24478</v>
      </c>
      <c r="G5105">
        <v>2010</v>
      </c>
      <c r="H5105">
        <f>AVERAGEIFS(Table1[value],Table1[IndicatorCode],Table1[[#This Row],[IndicatorCode]])</f>
        <v>24902.88753799392</v>
      </c>
      <c r="I5105" cm="1">
        <f t="array" ref="I5105">_xlfn.STDEV.P(IF(Table1[IndicatorCode]=Table1[[#This Row],[IndicatorCode]],Table1[value]))</f>
        <v>26324.778297809873</v>
      </c>
      <c r="J5105">
        <f>(Table1[[#This Row],[value]] - Table1[[#This Row],[mean]]) / Table1[[#This Row],[std_dev]]</f>
        <v>-1.6140213345282726E-2</v>
      </c>
      <c r="K5105">
        <f>AVERAGEIF(Table1[CountryCode],Table1[[#This Row],[CountryCode]],Table1[z-score])</f>
        <v>-1.226846632548898E-2</v>
      </c>
      <c r="L5105" t="e">
        <f>VLOOKUP(Table1[[#This Row],[CountryCode]],[1]!Table1[#All],1,FALSE)</f>
        <v>#REF!</v>
      </c>
    </row>
    <row r="5106" spans="1:12" hidden="1" x14ac:dyDescent="0.3">
      <c r="A5106" t="s">
        <v>31</v>
      </c>
      <c r="B5106" t="s">
        <v>32</v>
      </c>
      <c r="C5106" t="s">
        <v>127</v>
      </c>
      <c r="D5106" t="s">
        <v>128</v>
      </c>
      <c r="E5106">
        <v>2017</v>
      </c>
      <c r="F5106" s="1">
        <v>25666</v>
      </c>
      <c r="G5106">
        <v>2020</v>
      </c>
      <c r="H5106">
        <f>AVERAGEIFS(Table1[value],Table1[IndicatorCode],Table1[[#This Row],[IndicatorCode]])</f>
        <v>24902.88753799392</v>
      </c>
      <c r="I5106" cm="1">
        <f t="array" ref="I5106">_xlfn.STDEV.P(IF(Table1[IndicatorCode]=Table1[[#This Row],[IndicatorCode]],Table1[value]))</f>
        <v>26324.778297809873</v>
      </c>
      <c r="J5106">
        <f>(Table1[[#This Row],[value]] - Table1[[#This Row],[mean]]) / Table1[[#This Row],[std_dev]]</f>
        <v>2.8988371843935653E-2</v>
      </c>
      <c r="K5106">
        <f>AVERAGEIF(Table1[CountryCode],Table1[[#This Row],[CountryCode]],Table1[z-score])</f>
        <v>-1.226846632548898E-2</v>
      </c>
      <c r="L5106" t="e">
        <f>VLOOKUP(Table1[[#This Row],[CountryCode]],[1]!Table1[#All],1,FALSE)</f>
        <v>#REF!</v>
      </c>
    </row>
    <row r="5107" spans="1:12" hidden="1" x14ac:dyDescent="0.3">
      <c r="A5107" t="s">
        <v>31</v>
      </c>
      <c r="B5107" t="s">
        <v>32</v>
      </c>
      <c r="C5107" t="s">
        <v>127</v>
      </c>
      <c r="D5107" t="s">
        <v>128</v>
      </c>
      <c r="E5107">
        <v>2018</v>
      </c>
      <c r="F5107" s="1">
        <v>26962</v>
      </c>
      <c r="G5107">
        <v>2020</v>
      </c>
      <c r="H5107">
        <f>AVERAGEIFS(Table1[value],Table1[IndicatorCode],Table1[[#This Row],[IndicatorCode]])</f>
        <v>24902.88753799392</v>
      </c>
      <c r="I5107" cm="1">
        <f t="array" ref="I5107">_xlfn.STDEV.P(IF(Table1[IndicatorCode]=Table1[[#This Row],[IndicatorCode]],Table1[value]))</f>
        <v>26324.778297809873</v>
      </c>
      <c r="J5107">
        <f>(Table1[[#This Row],[value]] - Table1[[#This Row],[mean]]) / Table1[[#This Row],[std_dev]]</f>
        <v>7.821955568671933E-2</v>
      </c>
      <c r="K5107">
        <f>AVERAGEIF(Table1[CountryCode],Table1[[#This Row],[CountryCode]],Table1[z-score])</f>
        <v>-1.226846632548898E-2</v>
      </c>
      <c r="L5107" t="e">
        <f>VLOOKUP(Table1[[#This Row],[CountryCode]],[1]!Table1[#All],1,FALSE)</f>
        <v>#REF!</v>
      </c>
    </row>
    <row r="5108" spans="1:12" hidden="1" x14ac:dyDescent="0.3">
      <c r="A5108" t="s">
        <v>31</v>
      </c>
      <c r="B5108" t="s">
        <v>32</v>
      </c>
      <c r="C5108" t="s">
        <v>127</v>
      </c>
      <c r="D5108" t="s">
        <v>128</v>
      </c>
      <c r="E5108">
        <v>2019</v>
      </c>
      <c r="F5108" s="1">
        <v>28167</v>
      </c>
      <c r="G5108">
        <v>2020</v>
      </c>
      <c r="H5108">
        <f>AVERAGEIFS(Table1[value],Table1[IndicatorCode],Table1[[#This Row],[IndicatorCode]])</f>
        <v>24902.88753799392</v>
      </c>
      <c r="I5108" cm="1">
        <f t="array" ref="I5108">_xlfn.STDEV.P(IF(Table1[IndicatorCode]=Table1[[#This Row],[IndicatorCode]],Table1[value]))</f>
        <v>26324.778297809873</v>
      </c>
      <c r="J5108">
        <f>(Table1[[#This Row],[value]] - Table1[[#This Row],[mean]]) / Table1[[#This Row],[std_dev]]</f>
        <v>0.12399392029362855</v>
      </c>
      <c r="K5108">
        <f>AVERAGEIF(Table1[CountryCode],Table1[[#This Row],[CountryCode]],Table1[z-score])</f>
        <v>-1.226846632548898E-2</v>
      </c>
      <c r="L5108" t="e">
        <f>VLOOKUP(Table1[[#This Row],[CountryCode]],[1]!Table1[#All],1,FALSE)</f>
        <v>#REF!</v>
      </c>
    </row>
    <row r="5109" spans="1:12" x14ac:dyDescent="0.3">
      <c r="A5109" t="s">
        <v>87</v>
      </c>
      <c r="B5109" t="s">
        <v>88</v>
      </c>
      <c r="C5109" t="s">
        <v>127</v>
      </c>
      <c r="D5109" t="s">
        <v>128</v>
      </c>
      <c r="E5109">
        <v>2020</v>
      </c>
      <c r="F5109" s="1">
        <v>5744</v>
      </c>
      <c r="G5109">
        <v>2020</v>
      </c>
      <c r="H5109">
        <f>AVERAGEIFS(Table1[value],Table1[IndicatorCode],Table1[[#This Row],[IndicatorCode]])</f>
        <v>24902.88753799392</v>
      </c>
      <c r="I5109" cm="1">
        <f t="array" ref="I5109">_xlfn.STDEV.P(IF(Table1[IndicatorCode]=Table1[[#This Row],[IndicatorCode]],Table1[value]))</f>
        <v>26324.778297809873</v>
      </c>
      <c r="J5109">
        <f>(Table1[[#This Row],[value]] - Table1[[#This Row],[mean]]) / Table1[[#This Row],[std_dev]]</f>
        <v>-0.72778913164058334</v>
      </c>
      <c r="K5109">
        <f>AVERAGEIF(Table1[CountryCode],Table1[[#This Row],[CountryCode]],Table1[z-score])</f>
        <v>-0.44487406992812789</v>
      </c>
    </row>
    <row r="5110" spans="1:12" hidden="1" x14ac:dyDescent="0.3">
      <c r="A5110" t="s">
        <v>31</v>
      </c>
      <c r="B5110" t="s">
        <v>32</v>
      </c>
      <c r="C5110" t="s">
        <v>127</v>
      </c>
      <c r="D5110" t="s">
        <v>128</v>
      </c>
      <c r="E5110">
        <v>2021</v>
      </c>
      <c r="F5110" s="1">
        <v>29517</v>
      </c>
      <c r="G5110">
        <v>2020</v>
      </c>
      <c r="H5110">
        <f>AVERAGEIFS(Table1[value],Table1[IndicatorCode],Table1[[#This Row],[IndicatorCode]])</f>
        <v>24902.88753799392</v>
      </c>
      <c r="I5110" cm="1">
        <f t="array" ref="I5110">_xlfn.STDEV.P(IF(Table1[IndicatorCode]=Table1[[#This Row],[IndicatorCode]],Table1[value]))</f>
        <v>26324.778297809873</v>
      </c>
      <c r="J5110">
        <f>(Table1[[#This Row],[value]] - Table1[[#This Row],[mean]]) / Table1[[#This Row],[std_dev]]</f>
        <v>0.1752764034631949</v>
      </c>
      <c r="K5110">
        <f>AVERAGEIF(Table1[CountryCode],Table1[[#This Row],[CountryCode]],Table1[z-score])</f>
        <v>-1.226846632548898E-2</v>
      </c>
      <c r="L5110" t="e">
        <f>VLOOKUP(Table1[[#This Row],[CountryCode]],[1]!Table1[#All],1,FALSE)</f>
        <v>#REF!</v>
      </c>
    </row>
    <row r="5111" spans="1:12" hidden="1" x14ac:dyDescent="0.3">
      <c r="A5111" t="s">
        <v>31</v>
      </c>
      <c r="B5111" t="s">
        <v>32</v>
      </c>
      <c r="C5111" t="s">
        <v>127</v>
      </c>
      <c r="D5111" t="s">
        <v>128</v>
      </c>
      <c r="E5111">
        <v>2022</v>
      </c>
      <c r="F5111" s="1">
        <v>31371</v>
      </c>
      <c r="G5111">
        <v>1990</v>
      </c>
      <c r="H5111">
        <f>AVERAGEIFS(Table1[value],Table1[IndicatorCode],Table1[[#This Row],[IndicatorCode]])</f>
        <v>24902.88753799392</v>
      </c>
      <c r="I5111" cm="1">
        <f t="array" ref="I5111">_xlfn.STDEV.P(IF(Table1[IndicatorCode]=Table1[[#This Row],[IndicatorCode]],Table1[value]))</f>
        <v>26324.778297809873</v>
      </c>
      <c r="J5111">
        <f>(Table1[[#This Row],[value]] - Table1[[#This Row],[mean]]) / Table1[[#This Row],[std_dev]]</f>
        <v>0.245704347016066</v>
      </c>
      <c r="K5111">
        <f>AVERAGEIF(Table1[CountryCode],Table1[[#This Row],[CountryCode]],Table1[z-score])</f>
        <v>-1.226846632548898E-2</v>
      </c>
      <c r="L5111" t="e">
        <f>VLOOKUP(Table1[[#This Row],[CountryCode]],[1]!Table1[#All],1,FALSE)</f>
        <v>#REF!</v>
      </c>
    </row>
    <row r="5112" spans="1:12" hidden="1" x14ac:dyDescent="0.3">
      <c r="A5112" t="s">
        <v>31</v>
      </c>
      <c r="B5112" t="s">
        <v>32</v>
      </c>
      <c r="C5112" t="s">
        <v>127</v>
      </c>
      <c r="D5112" t="s">
        <v>128</v>
      </c>
      <c r="E5112">
        <v>2023</v>
      </c>
      <c r="F5112" s="1">
        <v>31885</v>
      </c>
      <c r="G5112">
        <v>1990</v>
      </c>
      <c r="H5112">
        <f>AVERAGEIFS(Table1[value],Table1[IndicatorCode],Table1[[#This Row],[IndicatorCode]])</f>
        <v>24902.88753799392</v>
      </c>
      <c r="I5112" cm="1">
        <f t="array" ref="I5112">_xlfn.STDEV.P(IF(Table1[IndicatorCode]=Table1[[#This Row],[IndicatorCode]],Table1[value]))</f>
        <v>26324.778297809873</v>
      </c>
      <c r="J5112">
        <f>(Table1[[#This Row],[value]] - Table1[[#This Row],[mean]]) / Table1[[#This Row],[std_dev]]</f>
        <v>0.26522967764507127</v>
      </c>
      <c r="K5112">
        <f>AVERAGEIF(Table1[CountryCode],Table1[[#This Row],[CountryCode]],Table1[z-score])</f>
        <v>-1.226846632548898E-2</v>
      </c>
      <c r="L5112" t="e">
        <f>VLOOKUP(Table1[[#This Row],[CountryCode]],[1]!Table1[#All],1,FALSE)</f>
        <v>#REF!</v>
      </c>
    </row>
    <row r="5113" spans="1:12" hidden="1" x14ac:dyDescent="0.3">
      <c r="A5113" t="s">
        <v>31</v>
      </c>
      <c r="B5113" t="s">
        <v>32</v>
      </c>
      <c r="C5113" t="s">
        <v>127</v>
      </c>
      <c r="D5113" t="s">
        <v>128</v>
      </c>
      <c r="E5113">
        <v>2024</v>
      </c>
      <c r="F5113" s="1">
        <v>32617</v>
      </c>
      <c r="G5113">
        <v>1990</v>
      </c>
      <c r="H5113">
        <f>AVERAGEIFS(Table1[value],Table1[IndicatorCode],Table1[[#This Row],[IndicatorCode]])</f>
        <v>24902.88753799392</v>
      </c>
      <c r="I5113" cm="1">
        <f t="array" ref="I5113">_xlfn.STDEV.P(IF(Table1[IndicatorCode]=Table1[[#This Row],[IndicatorCode]],Table1[value]))</f>
        <v>26324.778297809873</v>
      </c>
      <c r="J5113">
        <f>(Table1[[#This Row],[value]] - Table1[[#This Row],[mean]]) / Table1[[#This Row],[std_dev]]</f>
        <v>0.29303617963034723</v>
      </c>
      <c r="K5113">
        <f>AVERAGEIF(Table1[CountryCode],Table1[[#This Row],[CountryCode]],Table1[z-score])</f>
        <v>-1.226846632548898E-2</v>
      </c>
      <c r="L5113" t="e">
        <f>VLOOKUP(Table1[[#This Row],[CountryCode]],[1]!Table1[#All],1,FALSE)</f>
        <v>#REF!</v>
      </c>
    </row>
    <row r="5114" spans="1:12" hidden="1" x14ac:dyDescent="0.3">
      <c r="A5114" t="s">
        <v>33</v>
      </c>
      <c r="B5114" t="s">
        <v>34</v>
      </c>
      <c r="C5114" t="s">
        <v>127</v>
      </c>
      <c r="D5114" t="s">
        <v>128</v>
      </c>
      <c r="E5114">
        <v>1990</v>
      </c>
      <c r="F5114" s="1">
        <v>11901</v>
      </c>
      <c r="G5114">
        <v>1990</v>
      </c>
      <c r="H5114">
        <f>AVERAGEIFS(Table1[value],Table1[IndicatorCode],Table1[[#This Row],[IndicatorCode]])</f>
        <v>24902.88753799392</v>
      </c>
      <c r="I5114" cm="1">
        <f t="array" ref="I5114">_xlfn.STDEV.P(IF(Table1[IndicatorCode]=Table1[[#This Row],[IndicatorCode]],Table1[value]))</f>
        <v>26324.778297809873</v>
      </c>
      <c r="J5114">
        <f>(Table1[[#This Row],[value]] - Table1[[#This Row],[mean]]) / Table1[[#This Row],[std_dev]]</f>
        <v>-0.49390302136279074</v>
      </c>
      <c r="K5114">
        <f>AVERAGEIF(Table1[CountryCode],Table1[[#This Row],[CountryCode]],Table1[z-score])</f>
        <v>0.38305593592472742</v>
      </c>
      <c r="L5114" t="e">
        <f>VLOOKUP(Table1[[#This Row],[CountryCode]],[1]!Table1[#All],1,FALSE)</f>
        <v>#REF!</v>
      </c>
    </row>
    <row r="5115" spans="1:12" hidden="1" x14ac:dyDescent="0.3">
      <c r="A5115" t="s">
        <v>33</v>
      </c>
      <c r="B5115" t="s">
        <v>34</v>
      </c>
      <c r="C5115" t="s">
        <v>127</v>
      </c>
      <c r="D5115" t="s">
        <v>128</v>
      </c>
      <c r="E5115">
        <v>1991</v>
      </c>
      <c r="F5115" s="1">
        <v>10544</v>
      </c>
      <c r="G5115">
        <v>1990</v>
      </c>
      <c r="H5115">
        <f>AVERAGEIFS(Table1[value],Table1[IndicatorCode],Table1[[#This Row],[IndicatorCode]])</f>
        <v>24902.88753799392</v>
      </c>
      <c r="I5115" cm="1">
        <f t="array" ref="I5115">_xlfn.STDEV.P(IF(Table1[IndicatorCode]=Table1[[#This Row],[IndicatorCode]],Table1[value]))</f>
        <v>26324.778297809873</v>
      </c>
      <c r="J5115">
        <f>(Table1[[#This Row],[value]] - Table1[[#This Row],[mean]]) / Table1[[#This Row],[std_dev]]</f>
        <v>-0.54545141370434747</v>
      </c>
      <c r="K5115">
        <f>AVERAGEIF(Table1[CountryCode],Table1[[#This Row],[CountryCode]],Table1[z-score])</f>
        <v>0.38305593592472742</v>
      </c>
      <c r="L5115" t="e">
        <f>VLOOKUP(Table1[[#This Row],[CountryCode]],[1]!Table1[#All],1,FALSE)</f>
        <v>#REF!</v>
      </c>
    </row>
    <row r="5116" spans="1:12" hidden="1" x14ac:dyDescent="0.3">
      <c r="A5116" t="s">
        <v>33</v>
      </c>
      <c r="B5116" t="s">
        <v>34</v>
      </c>
      <c r="C5116" t="s">
        <v>127</v>
      </c>
      <c r="D5116" t="s">
        <v>128</v>
      </c>
      <c r="E5116">
        <v>1992</v>
      </c>
      <c r="F5116" s="1">
        <v>10479</v>
      </c>
      <c r="G5116">
        <v>1990</v>
      </c>
      <c r="H5116">
        <f>AVERAGEIFS(Table1[value],Table1[IndicatorCode],Table1[[#This Row],[IndicatorCode]])</f>
        <v>24902.88753799392</v>
      </c>
      <c r="I5116" cm="1">
        <f t="array" ref="I5116">_xlfn.STDEV.P(IF(Table1[IndicatorCode]=Table1[[#This Row],[IndicatorCode]],Table1[value]))</f>
        <v>26324.778297809873</v>
      </c>
      <c r="J5116">
        <f>(Table1[[#This Row],[value]] - Table1[[#This Row],[mean]]) / Table1[[#This Row],[std_dev]]</f>
        <v>-0.54792057030140062</v>
      </c>
      <c r="K5116">
        <f>AVERAGEIF(Table1[CountryCode],Table1[[#This Row],[CountryCode]],Table1[z-score])</f>
        <v>0.38305593592472742</v>
      </c>
      <c r="L5116" t="e">
        <f>VLOOKUP(Table1[[#This Row],[CountryCode]],[1]!Table1[#All],1,FALSE)</f>
        <v>#REF!</v>
      </c>
    </row>
    <row r="5117" spans="1:12" hidden="1" x14ac:dyDescent="0.3">
      <c r="A5117" t="s">
        <v>33</v>
      </c>
      <c r="B5117" t="s">
        <v>34</v>
      </c>
      <c r="C5117" t="s">
        <v>127</v>
      </c>
      <c r="D5117" t="s">
        <v>128</v>
      </c>
      <c r="E5117">
        <v>1993</v>
      </c>
      <c r="F5117" s="1">
        <v>10475</v>
      </c>
      <c r="G5117">
        <v>1990</v>
      </c>
      <c r="H5117">
        <f>AVERAGEIFS(Table1[value],Table1[IndicatorCode],Table1[[#This Row],[IndicatorCode]])</f>
        <v>24902.88753799392</v>
      </c>
      <c r="I5117" cm="1">
        <f t="array" ref="I5117">_xlfn.STDEV.P(IF(Table1[IndicatorCode]=Table1[[#This Row],[IndicatorCode]],Table1[value]))</f>
        <v>26324.778297809873</v>
      </c>
      <c r="J5117">
        <f>(Table1[[#This Row],[value]] - Table1[[#This Row],[mean]]) / Table1[[#This Row],[std_dev]]</f>
        <v>-0.54807251839968085</v>
      </c>
      <c r="K5117">
        <f>AVERAGEIF(Table1[CountryCode],Table1[[#This Row],[CountryCode]],Table1[z-score])</f>
        <v>0.38305593592472742</v>
      </c>
      <c r="L5117" t="e">
        <f>VLOOKUP(Table1[[#This Row],[CountryCode]],[1]!Table1[#All],1,FALSE)</f>
        <v>#REF!</v>
      </c>
    </row>
    <row r="5118" spans="1:12" hidden="1" x14ac:dyDescent="0.3">
      <c r="A5118" t="s">
        <v>33</v>
      </c>
      <c r="B5118" t="s">
        <v>34</v>
      </c>
      <c r="C5118" t="s">
        <v>127</v>
      </c>
      <c r="D5118" t="s">
        <v>128</v>
      </c>
      <c r="E5118">
        <v>1994</v>
      </c>
      <c r="F5118" s="1">
        <v>10776</v>
      </c>
      <c r="G5118">
        <v>1990</v>
      </c>
      <c r="H5118">
        <f>AVERAGEIFS(Table1[value],Table1[IndicatorCode],Table1[[#This Row],[IndicatorCode]])</f>
        <v>24902.88753799392</v>
      </c>
      <c r="I5118" cm="1">
        <f t="array" ref="I5118">_xlfn.STDEV.P(IF(Table1[IndicatorCode]=Table1[[#This Row],[IndicatorCode]],Table1[value]))</f>
        <v>26324.778297809873</v>
      </c>
      <c r="J5118">
        <f>(Table1[[#This Row],[value]] - Table1[[#This Row],[mean]]) / Table1[[#This Row],[std_dev]]</f>
        <v>-0.536638424004096</v>
      </c>
      <c r="K5118">
        <f>AVERAGEIF(Table1[CountryCode],Table1[[#This Row],[CountryCode]],Table1[z-score])</f>
        <v>0.38305593592472742</v>
      </c>
      <c r="L5118" t="e">
        <f>VLOOKUP(Table1[[#This Row],[CountryCode]],[1]!Table1[#All],1,FALSE)</f>
        <v>#REF!</v>
      </c>
    </row>
    <row r="5119" spans="1:12" hidden="1" x14ac:dyDescent="0.3">
      <c r="A5119" t="s">
        <v>33</v>
      </c>
      <c r="B5119" t="s">
        <v>34</v>
      </c>
      <c r="C5119" t="s">
        <v>127</v>
      </c>
      <c r="D5119" t="s">
        <v>128</v>
      </c>
      <c r="E5119">
        <v>1995</v>
      </c>
      <c r="F5119" s="1">
        <v>11453</v>
      </c>
      <c r="G5119">
        <v>1990</v>
      </c>
      <c r="H5119">
        <f>AVERAGEIFS(Table1[value],Table1[IndicatorCode],Table1[[#This Row],[IndicatorCode]])</f>
        <v>24902.88753799392</v>
      </c>
      <c r="I5119" cm="1">
        <f t="array" ref="I5119">_xlfn.STDEV.P(IF(Table1[IndicatorCode]=Table1[[#This Row],[IndicatorCode]],Table1[value]))</f>
        <v>26324.778297809873</v>
      </c>
      <c r="J5119">
        <f>(Table1[[#This Row],[value]] - Table1[[#This Row],[mean]]) / Table1[[#This Row],[std_dev]]</f>
        <v>-0.51092120837017274</v>
      </c>
      <c r="K5119">
        <f>AVERAGEIF(Table1[CountryCode],Table1[[#This Row],[CountryCode]],Table1[z-score])</f>
        <v>0.38305593592472742</v>
      </c>
      <c r="L5119" t="e">
        <f>VLOOKUP(Table1[[#This Row],[CountryCode]],[1]!Table1[#All],1,FALSE)</f>
        <v>#REF!</v>
      </c>
    </row>
    <row r="5120" spans="1:12" hidden="1" x14ac:dyDescent="0.3">
      <c r="A5120" t="s">
        <v>33</v>
      </c>
      <c r="B5120" t="s">
        <v>34</v>
      </c>
      <c r="C5120" t="s">
        <v>127</v>
      </c>
      <c r="D5120" t="s">
        <v>128</v>
      </c>
      <c r="E5120">
        <v>1996</v>
      </c>
      <c r="F5120" s="1">
        <v>11945</v>
      </c>
      <c r="G5120">
        <v>1990</v>
      </c>
      <c r="H5120">
        <f>AVERAGEIFS(Table1[value],Table1[IndicatorCode],Table1[[#This Row],[IndicatorCode]])</f>
        <v>24902.88753799392</v>
      </c>
      <c r="I5120" cm="1">
        <f t="array" ref="I5120">_xlfn.STDEV.P(IF(Table1[IndicatorCode]=Table1[[#This Row],[IndicatorCode]],Table1[value]))</f>
        <v>26324.778297809873</v>
      </c>
      <c r="J5120">
        <f>(Table1[[#This Row],[value]] - Table1[[#This Row],[mean]]) / Table1[[#This Row],[std_dev]]</f>
        <v>-0.4922315922817086</v>
      </c>
      <c r="K5120">
        <f>AVERAGEIF(Table1[CountryCode],Table1[[#This Row],[CountryCode]],Table1[z-score])</f>
        <v>0.38305593592472742</v>
      </c>
      <c r="L5120" t="e">
        <f>VLOOKUP(Table1[[#This Row],[CountryCode]],[1]!Table1[#All],1,FALSE)</f>
        <v>#REF!</v>
      </c>
    </row>
    <row r="5121" spans="1:12" hidden="1" x14ac:dyDescent="0.3">
      <c r="A5121" t="s">
        <v>33</v>
      </c>
      <c r="B5121" t="s">
        <v>34</v>
      </c>
      <c r="C5121" t="s">
        <v>127</v>
      </c>
      <c r="D5121" t="s">
        <v>128</v>
      </c>
      <c r="E5121">
        <v>1997</v>
      </c>
      <c r="F5121" s="1">
        <v>11886</v>
      </c>
      <c r="G5121">
        <v>2000</v>
      </c>
      <c r="H5121">
        <f>AVERAGEIFS(Table1[value],Table1[IndicatorCode],Table1[[#This Row],[IndicatorCode]])</f>
        <v>24902.88753799392</v>
      </c>
      <c r="I5121" cm="1">
        <f t="array" ref="I5121">_xlfn.STDEV.P(IF(Table1[IndicatorCode]=Table1[[#This Row],[IndicatorCode]],Table1[value]))</f>
        <v>26324.778297809873</v>
      </c>
      <c r="J5121">
        <f>(Table1[[#This Row],[value]] - Table1[[#This Row],[mean]]) / Table1[[#This Row],[std_dev]]</f>
        <v>-0.49447282673134146</v>
      </c>
      <c r="K5121">
        <f>AVERAGEIF(Table1[CountryCode],Table1[[#This Row],[CountryCode]],Table1[z-score])</f>
        <v>0.38305593592472742</v>
      </c>
      <c r="L5121" t="e">
        <f>VLOOKUP(Table1[[#This Row],[CountryCode]],[1]!Table1[#All],1,FALSE)</f>
        <v>#REF!</v>
      </c>
    </row>
    <row r="5122" spans="1:12" hidden="1" x14ac:dyDescent="0.3">
      <c r="A5122" t="s">
        <v>33</v>
      </c>
      <c r="B5122" t="s">
        <v>34</v>
      </c>
      <c r="C5122" t="s">
        <v>127</v>
      </c>
      <c r="D5122" t="s">
        <v>128</v>
      </c>
      <c r="E5122">
        <v>1998</v>
      </c>
      <c r="F5122" s="1">
        <v>11851</v>
      </c>
      <c r="G5122">
        <v>2000</v>
      </c>
      <c r="H5122">
        <f>AVERAGEIFS(Table1[value],Table1[IndicatorCode],Table1[[#This Row],[IndicatorCode]])</f>
        <v>24902.88753799392</v>
      </c>
      <c r="I5122" cm="1">
        <f t="array" ref="I5122">_xlfn.STDEV.P(IF(Table1[IndicatorCode]=Table1[[#This Row],[IndicatorCode]],Table1[value]))</f>
        <v>26324.778297809873</v>
      </c>
      <c r="J5122">
        <f>(Table1[[#This Row],[value]] - Table1[[#This Row],[mean]]) / Table1[[#This Row],[std_dev]]</f>
        <v>-0.49580237259129323</v>
      </c>
      <c r="K5122">
        <f>AVERAGEIF(Table1[CountryCode],Table1[[#This Row],[CountryCode]],Table1[z-score])</f>
        <v>0.38305593592472742</v>
      </c>
      <c r="L5122" t="e">
        <f>VLOOKUP(Table1[[#This Row],[CountryCode]],[1]!Table1[#All],1,FALSE)</f>
        <v>#REF!</v>
      </c>
    </row>
    <row r="5123" spans="1:12" hidden="1" x14ac:dyDescent="0.3">
      <c r="A5123" t="s">
        <v>33</v>
      </c>
      <c r="B5123" t="s">
        <v>34</v>
      </c>
      <c r="C5123" t="s">
        <v>127</v>
      </c>
      <c r="D5123" t="s">
        <v>128</v>
      </c>
      <c r="E5123">
        <v>1999</v>
      </c>
      <c r="F5123" s="1">
        <v>12026</v>
      </c>
      <c r="G5123">
        <v>2000</v>
      </c>
      <c r="H5123">
        <f>AVERAGEIFS(Table1[value],Table1[IndicatorCode],Table1[[#This Row],[IndicatorCode]])</f>
        <v>24902.88753799392</v>
      </c>
      <c r="I5123" cm="1">
        <f t="array" ref="I5123">_xlfn.STDEV.P(IF(Table1[IndicatorCode]=Table1[[#This Row],[IndicatorCode]],Table1[value]))</f>
        <v>26324.778297809873</v>
      </c>
      <c r="J5123">
        <f>(Table1[[#This Row],[value]] - Table1[[#This Row],[mean]]) / Table1[[#This Row],[std_dev]]</f>
        <v>-0.48915464329153463</v>
      </c>
      <c r="K5123">
        <f>AVERAGEIF(Table1[CountryCode],Table1[[#This Row],[CountryCode]],Table1[z-score])</f>
        <v>0.38305593592472742</v>
      </c>
      <c r="L5123" t="e">
        <f>VLOOKUP(Table1[[#This Row],[CountryCode]],[1]!Table1[#All],1,FALSE)</f>
        <v>#REF!</v>
      </c>
    </row>
    <row r="5124" spans="1:12" hidden="1" x14ac:dyDescent="0.3">
      <c r="A5124" t="s">
        <v>33</v>
      </c>
      <c r="B5124" t="s">
        <v>34</v>
      </c>
      <c r="C5124" t="s">
        <v>127</v>
      </c>
      <c r="D5124" t="s">
        <v>128</v>
      </c>
      <c r="E5124">
        <v>2000</v>
      </c>
      <c r="F5124" s="1">
        <v>12544</v>
      </c>
      <c r="G5124">
        <v>2000</v>
      </c>
      <c r="H5124">
        <f>AVERAGEIFS(Table1[value],Table1[IndicatorCode],Table1[[#This Row],[IndicatorCode]])</f>
        <v>24902.88753799392</v>
      </c>
      <c r="I5124" cm="1">
        <f t="array" ref="I5124">_xlfn.STDEV.P(IF(Table1[IndicatorCode]=Table1[[#This Row],[IndicatorCode]],Table1[value]))</f>
        <v>26324.778297809873</v>
      </c>
      <c r="J5124">
        <f>(Table1[[#This Row],[value]] - Table1[[#This Row],[mean]]) / Table1[[#This Row],[std_dev]]</f>
        <v>-0.46947736456424916</v>
      </c>
      <c r="K5124">
        <f>AVERAGEIF(Table1[CountryCode],Table1[[#This Row],[CountryCode]],Table1[z-score])</f>
        <v>0.38305593592472742</v>
      </c>
      <c r="L5124" t="e">
        <f>VLOOKUP(Table1[[#This Row],[CountryCode]],[1]!Table1[#All],1,FALSE)</f>
        <v>#REF!</v>
      </c>
    </row>
    <row r="5125" spans="1:12" hidden="1" x14ac:dyDescent="0.3">
      <c r="A5125" t="s">
        <v>33</v>
      </c>
      <c r="B5125" t="s">
        <v>34</v>
      </c>
      <c r="C5125" t="s">
        <v>127</v>
      </c>
      <c r="D5125" t="s">
        <v>128</v>
      </c>
      <c r="E5125">
        <v>2001</v>
      </c>
      <c r="F5125" s="1">
        <v>12958</v>
      </c>
      <c r="G5125">
        <v>2000</v>
      </c>
      <c r="H5125">
        <f>AVERAGEIFS(Table1[value],Table1[IndicatorCode],Table1[[#This Row],[IndicatorCode]])</f>
        <v>24902.88753799392</v>
      </c>
      <c r="I5125" cm="1">
        <f t="array" ref="I5125">_xlfn.STDEV.P(IF(Table1[IndicatorCode]=Table1[[#This Row],[IndicatorCode]],Table1[value]))</f>
        <v>26324.778297809873</v>
      </c>
      <c r="J5125">
        <f>(Table1[[#This Row],[value]] - Table1[[#This Row],[mean]]) / Table1[[#This Row],[std_dev]]</f>
        <v>-0.45375073639224883</v>
      </c>
      <c r="K5125">
        <f>AVERAGEIF(Table1[CountryCode],Table1[[#This Row],[CountryCode]],Table1[z-score])</f>
        <v>0.38305593592472742</v>
      </c>
      <c r="L5125" t="e">
        <f>VLOOKUP(Table1[[#This Row],[CountryCode]],[1]!Table1[#All],1,FALSE)</f>
        <v>#REF!</v>
      </c>
    </row>
    <row r="5126" spans="1:12" hidden="1" x14ac:dyDescent="0.3">
      <c r="A5126" t="s">
        <v>33</v>
      </c>
      <c r="B5126" t="s">
        <v>34</v>
      </c>
      <c r="C5126" t="s">
        <v>127</v>
      </c>
      <c r="D5126" t="s">
        <v>128</v>
      </c>
      <c r="E5126">
        <v>2002</v>
      </c>
      <c r="F5126" s="1">
        <v>13180</v>
      </c>
      <c r="G5126">
        <v>2000</v>
      </c>
      <c r="H5126">
        <f>AVERAGEIFS(Table1[value],Table1[IndicatorCode],Table1[[#This Row],[IndicatorCode]])</f>
        <v>24902.88753799392</v>
      </c>
      <c r="I5126" cm="1">
        <f t="array" ref="I5126">_xlfn.STDEV.P(IF(Table1[IndicatorCode]=Table1[[#This Row],[IndicatorCode]],Table1[value]))</f>
        <v>26324.778297809873</v>
      </c>
      <c r="J5126">
        <f>(Table1[[#This Row],[value]] - Table1[[#This Row],[mean]]) / Table1[[#This Row],[std_dev]]</f>
        <v>-0.44531761693769789</v>
      </c>
      <c r="K5126">
        <f>AVERAGEIF(Table1[CountryCode],Table1[[#This Row],[CountryCode]],Table1[z-score])</f>
        <v>0.38305593592472742</v>
      </c>
      <c r="L5126" t="e">
        <f>VLOOKUP(Table1[[#This Row],[CountryCode]],[1]!Table1[#All],1,FALSE)</f>
        <v>#REF!</v>
      </c>
    </row>
    <row r="5127" spans="1:12" hidden="1" x14ac:dyDescent="0.3">
      <c r="A5127" t="s">
        <v>33</v>
      </c>
      <c r="B5127" t="s">
        <v>34</v>
      </c>
      <c r="C5127" t="s">
        <v>127</v>
      </c>
      <c r="D5127" t="s">
        <v>128</v>
      </c>
      <c r="E5127">
        <v>2003</v>
      </c>
      <c r="F5127" s="1">
        <v>13619</v>
      </c>
      <c r="G5127">
        <v>2000</v>
      </c>
      <c r="H5127">
        <f>AVERAGEIFS(Table1[value],Table1[IndicatorCode],Table1[[#This Row],[IndicatorCode]])</f>
        <v>24902.88753799392</v>
      </c>
      <c r="I5127" cm="1">
        <f t="array" ref="I5127">_xlfn.STDEV.P(IF(Table1[IndicatorCode]=Table1[[#This Row],[IndicatorCode]],Table1[value]))</f>
        <v>26324.778297809873</v>
      </c>
      <c r="J5127">
        <f>(Table1[[#This Row],[value]] - Table1[[#This Row],[mean]]) / Table1[[#This Row],[std_dev]]</f>
        <v>-0.42864131315144632</v>
      </c>
      <c r="K5127">
        <f>AVERAGEIF(Table1[CountryCode],Table1[[#This Row],[CountryCode]],Table1[z-score])</f>
        <v>0.38305593592472742</v>
      </c>
      <c r="L5127" t="e">
        <f>VLOOKUP(Table1[[#This Row],[CountryCode]],[1]!Table1[#All],1,FALSE)</f>
        <v>#REF!</v>
      </c>
    </row>
    <row r="5128" spans="1:12" hidden="1" x14ac:dyDescent="0.3">
      <c r="A5128" t="s">
        <v>33</v>
      </c>
      <c r="B5128" t="s">
        <v>34</v>
      </c>
      <c r="C5128" t="s">
        <v>127</v>
      </c>
      <c r="D5128" t="s">
        <v>128</v>
      </c>
      <c r="E5128">
        <v>2004</v>
      </c>
      <c r="F5128" s="1">
        <v>14260</v>
      </c>
      <c r="G5128">
        <v>2000</v>
      </c>
      <c r="H5128">
        <f>AVERAGEIFS(Table1[value],Table1[IndicatorCode],Table1[[#This Row],[IndicatorCode]])</f>
        <v>24902.88753799392</v>
      </c>
      <c r="I5128" cm="1">
        <f t="array" ref="I5128">_xlfn.STDEV.P(IF(Table1[IndicatorCode]=Table1[[#This Row],[IndicatorCode]],Table1[value]))</f>
        <v>26324.778297809873</v>
      </c>
      <c r="J5128">
        <f>(Table1[[#This Row],[value]] - Table1[[#This Row],[mean]]) / Table1[[#This Row],[std_dev]]</f>
        <v>-0.40429163040204485</v>
      </c>
      <c r="K5128">
        <f>AVERAGEIF(Table1[CountryCode],Table1[[#This Row],[CountryCode]],Table1[z-score])</f>
        <v>0.38305593592472742</v>
      </c>
      <c r="L5128" t="e">
        <f>VLOOKUP(Table1[[#This Row],[CountryCode]],[1]!Table1[#All],1,FALSE)</f>
        <v>#REF!</v>
      </c>
    </row>
    <row r="5129" spans="1:12" hidden="1" x14ac:dyDescent="0.3">
      <c r="A5129" t="s">
        <v>33</v>
      </c>
      <c r="B5129" t="s">
        <v>34</v>
      </c>
      <c r="C5129" t="s">
        <v>127</v>
      </c>
      <c r="D5129" t="s">
        <v>128</v>
      </c>
      <c r="E5129">
        <v>2005</v>
      </c>
      <c r="F5129" s="1">
        <v>15148</v>
      </c>
      <c r="G5129">
        <v>2000</v>
      </c>
      <c r="H5129">
        <f>AVERAGEIFS(Table1[value],Table1[IndicatorCode],Table1[[#This Row],[IndicatorCode]])</f>
        <v>24902.88753799392</v>
      </c>
      <c r="I5129" cm="1">
        <f t="array" ref="I5129">_xlfn.STDEV.P(IF(Table1[IndicatorCode]=Table1[[#This Row],[IndicatorCode]],Table1[value]))</f>
        <v>26324.778297809873</v>
      </c>
      <c r="J5129">
        <f>(Table1[[#This Row],[value]] - Table1[[#This Row],[mean]]) / Table1[[#This Row],[std_dev]]</f>
        <v>-0.3705591525838412</v>
      </c>
      <c r="K5129">
        <f>AVERAGEIF(Table1[CountryCode],Table1[[#This Row],[CountryCode]],Table1[z-score])</f>
        <v>0.38305593592472742</v>
      </c>
      <c r="L5129" t="e">
        <f>VLOOKUP(Table1[[#This Row],[CountryCode]],[1]!Table1[#All],1,FALSE)</f>
        <v>#REF!</v>
      </c>
    </row>
    <row r="5130" spans="1:12" hidden="1" x14ac:dyDescent="0.3">
      <c r="A5130" t="s">
        <v>33</v>
      </c>
      <c r="B5130" t="s">
        <v>34</v>
      </c>
      <c r="C5130" t="s">
        <v>127</v>
      </c>
      <c r="D5130" t="s">
        <v>128</v>
      </c>
      <c r="E5130">
        <v>2006</v>
      </c>
      <c r="F5130" s="1">
        <v>16107</v>
      </c>
      <c r="G5130">
        <v>2000</v>
      </c>
      <c r="H5130">
        <f>AVERAGEIFS(Table1[value],Table1[IndicatorCode],Table1[[#This Row],[IndicatorCode]])</f>
        <v>24902.88753799392</v>
      </c>
      <c r="I5130" cm="1">
        <f t="array" ref="I5130">_xlfn.STDEV.P(IF(Table1[IndicatorCode]=Table1[[#This Row],[IndicatorCode]],Table1[value]))</f>
        <v>26324.778297809873</v>
      </c>
      <c r="J5130">
        <f>(Table1[[#This Row],[value]] - Table1[[#This Row],[mean]]) / Table1[[#This Row],[std_dev]]</f>
        <v>-0.33412959602116404</v>
      </c>
      <c r="K5130">
        <f>AVERAGEIF(Table1[CountryCode],Table1[[#This Row],[CountryCode]],Table1[z-score])</f>
        <v>0.38305593592472742</v>
      </c>
      <c r="L5130" t="e">
        <f>VLOOKUP(Table1[[#This Row],[CountryCode]],[1]!Table1[#All],1,FALSE)</f>
        <v>#REF!</v>
      </c>
    </row>
    <row r="5131" spans="1:12" hidden="1" x14ac:dyDescent="0.3">
      <c r="A5131" t="s">
        <v>33</v>
      </c>
      <c r="B5131" t="s">
        <v>34</v>
      </c>
      <c r="C5131" t="s">
        <v>127</v>
      </c>
      <c r="D5131" t="s">
        <v>128</v>
      </c>
      <c r="E5131">
        <v>2007</v>
      </c>
      <c r="F5131" s="1">
        <v>16893</v>
      </c>
      <c r="G5131">
        <v>2010</v>
      </c>
      <c r="H5131">
        <f>AVERAGEIFS(Table1[value],Table1[IndicatorCode],Table1[[#This Row],[IndicatorCode]])</f>
        <v>24902.88753799392</v>
      </c>
      <c r="I5131" cm="1">
        <f t="array" ref="I5131">_xlfn.STDEV.P(IF(Table1[IndicatorCode]=Table1[[#This Row],[IndicatorCode]],Table1[value]))</f>
        <v>26324.778297809873</v>
      </c>
      <c r="J5131">
        <f>(Table1[[#This Row],[value]] - Table1[[#This Row],[mean]]) / Table1[[#This Row],[std_dev]]</f>
        <v>-0.30427179470910543</v>
      </c>
      <c r="K5131">
        <f>AVERAGEIF(Table1[CountryCode],Table1[[#This Row],[CountryCode]],Table1[z-score])</f>
        <v>0.38305593592472742</v>
      </c>
      <c r="L5131" t="e">
        <f>VLOOKUP(Table1[[#This Row],[CountryCode]],[1]!Table1[#All],1,FALSE)</f>
        <v>#REF!</v>
      </c>
    </row>
    <row r="5132" spans="1:12" hidden="1" x14ac:dyDescent="0.3">
      <c r="A5132" t="s">
        <v>33</v>
      </c>
      <c r="B5132" t="s">
        <v>34</v>
      </c>
      <c r="C5132" t="s">
        <v>127</v>
      </c>
      <c r="D5132" t="s">
        <v>128</v>
      </c>
      <c r="E5132">
        <v>2008</v>
      </c>
      <c r="F5132" s="1">
        <v>17191</v>
      </c>
      <c r="G5132">
        <v>2010</v>
      </c>
      <c r="H5132">
        <f>AVERAGEIFS(Table1[value],Table1[IndicatorCode],Table1[[#This Row],[IndicatorCode]])</f>
        <v>24902.88753799392</v>
      </c>
      <c r="I5132" cm="1">
        <f t="array" ref="I5132">_xlfn.STDEV.P(IF(Table1[IndicatorCode]=Table1[[#This Row],[IndicatorCode]],Table1[value]))</f>
        <v>26324.778297809873</v>
      </c>
      <c r="J5132">
        <f>(Table1[[#This Row],[value]] - Table1[[#This Row],[mean]]) / Table1[[#This Row],[std_dev]]</f>
        <v>-0.29295166138723078</v>
      </c>
      <c r="K5132">
        <f>AVERAGEIF(Table1[CountryCode],Table1[[#This Row],[CountryCode]],Table1[z-score])</f>
        <v>0.38305593592472742</v>
      </c>
      <c r="L5132" t="e">
        <f>VLOOKUP(Table1[[#This Row],[CountryCode]],[1]!Table1[#All],1,FALSE)</f>
        <v>#REF!</v>
      </c>
    </row>
    <row r="5133" spans="1:12" hidden="1" x14ac:dyDescent="0.3">
      <c r="A5133" t="s">
        <v>33</v>
      </c>
      <c r="B5133" t="s">
        <v>34</v>
      </c>
      <c r="C5133" t="s">
        <v>127</v>
      </c>
      <c r="D5133" t="s">
        <v>128</v>
      </c>
      <c r="E5133">
        <v>2009</v>
      </c>
      <c r="F5133" s="1">
        <v>16273</v>
      </c>
      <c r="G5133">
        <v>2010</v>
      </c>
      <c r="H5133">
        <f>AVERAGEIFS(Table1[value],Table1[IndicatorCode],Table1[[#This Row],[IndicatorCode]])</f>
        <v>24902.88753799392</v>
      </c>
      <c r="I5133" cm="1">
        <f t="array" ref="I5133">_xlfn.STDEV.P(IF(Table1[IndicatorCode]=Table1[[#This Row],[IndicatorCode]],Table1[value]))</f>
        <v>26324.778297809873</v>
      </c>
      <c r="J5133">
        <f>(Table1[[#This Row],[value]] - Table1[[#This Row],[mean]]) / Table1[[#This Row],[std_dev]]</f>
        <v>-0.32782374994253594</v>
      </c>
      <c r="K5133">
        <f>AVERAGEIF(Table1[CountryCode],Table1[[#This Row],[CountryCode]],Table1[z-score])</f>
        <v>0.38305593592472742</v>
      </c>
      <c r="L5133" t="e">
        <f>VLOOKUP(Table1[[#This Row],[CountryCode]],[1]!Table1[#All],1,FALSE)</f>
        <v>#REF!</v>
      </c>
    </row>
    <row r="5134" spans="1:12" hidden="1" x14ac:dyDescent="0.3">
      <c r="A5134" t="s">
        <v>33</v>
      </c>
      <c r="B5134" t="s">
        <v>34</v>
      </c>
      <c r="C5134" t="s">
        <v>127</v>
      </c>
      <c r="D5134" t="s">
        <v>128</v>
      </c>
      <c r="E5134">
        <v>2010</v>
      </c>
      <c r="F5134" s="1">
        <v>16666</v>
      </c>
      <c r="G5134">
        <v>2010</v>
      </c>
      <c r="H5134">
        <f>AVERAGEIFS(Table1[value],Table1[IndicatorCode],Table1[[#This Row],[IndicatorCode]])</f>
        <v>24902.88753799392</v>
      </c>
      <c r="I5134" cm="1">
        <f t="array" ref="I5134">_xlfn.STDEV.P(IF(Table1[IndicatorCode]=Table1[[#This Row],[IndicatorCode]],Table1[value]))</f>
        <v>26324.778297809873</v>
      </c>
      <c r="J5134">
        <f>(Table1[[#This Row],[value]] - Table1[[#This Row],[mean]]) / Table1[[#This Row],[std_dev]]</f>
        <v>-0.31289484928650663</v>
      </c>
      <c r="K5134">
        <f>AVERAGEIF(Table1[CountryCode],Table1[[#This Row],[CountryCode]],Table1[z-score])</f>
        <v>0.38305593592472742</v>
      </c>
      <c r="L5134" t="e">
        <f>VLOOKUP(Table1[[#This Row],[CountryCode]],[1]!Table1[#All],1,FALSE)</f>
        <v>#REF!</v>
      </c>
    </row>
    <row r="5135" spans="1:12" hidden="1" x14ac:dyDescent="0.3">
      <c r="A5135" t="s">
        <v>33</v>
      </c>
      <c r="B5135" t="s">
        <v>34</v>
      </c>
      <c r="C5135" t="s">
        <v>127</v>
      </c>
      <c r="D5135" t="s">
        <v>128</v>
      </c>
      <c r="E5135">
        <v>2011</v>
      </c>
      <c r="F5135" s="1">
        <v>16926</v>
      </c>
      <c r="G5135">
        <v>2010</v>
      </c>
      <c r="H5135">
        <f>AVERAGEIFS(Table1[value],Table1[IndicatorCode],Table1[[#This Row],[IndicatorCode]])</f>
        <v>24902.88753799392</v>
      </c>
      <c r="I5135" cm="1">
        <f t="array" ref="I5135">_xlfn.STDEV.P(IF(Table1[IndicatorCode]=Table1[[#This Row],[IndicatorCode]],Table1[value]))</f>
        <v>26324.778297809873</v>
      </c>
      <c r="J5135">
        <f>(Table1[[#This Row],[value]] - Table1[[#This Row],[mean]]) / Table1[[#This Row],[std_dev]]</f>
        <v>-0.30301822289829383</v>
      </c>
      <c r="K5135">
        <f>AVERAGEIF(Table1[CountryCode],Table1[[#This Row],[CountryCode]],Table1[z-score])</f>
        <v>0.38305593592472742</v>
      </c>
      <c r="L5135" t="e">
        <f>VLOOKUP(Table1[[#This Row],[CountryCode]],[1]!Table1[#All],1,FALSE)</f>
        <v>#REF!</v>
      </c>
    </row>
    <row r="5136" spans="1:12" hidden="1" x14ac:dyDescent="0.3">
      <c r="A5136" t="s">
        <v>33</v>
      </c>
      <c r="B5136" t="s">
        <v>34</v>
      </c>
      <c r="C5136" t="s">
        <v>127</v>
      </c>
      <c r="D5136" t="s">
        <v>128</v>
      </c>
      <c r="E5136">
        <v>2012</v>
      </c>
      <c r="F5136" s="1">
        <v>16772</v>
      </c>
      <c r="G5136">
        <v>2010</v>
      </c>
      <c r="H5136">
        <f>AVERAGEIFS(Table1[value],Table1[IndicatorCode],Table1[[#This Row],[IndicatorCode]])</f>
        <v>24902.88753799392</v>
      </c>
      <c r="I5136" cm="1">
        <f t="array" ref="I5136">_xlfn.STDEV.P(IF(Table1[IndicatorCode]=Table1[[#This Row],[IndicatorCode]],Table1[value]))</f>
        <v>26324.778297809873</v>
      </c>
      <c r="J5136">
        <f>(Table1[[#This Row],[value]] - Table1[[#This Row],[mean]]) / Table1[[#This Row],[std_dev]]</f>
        <v>-0.30886822468208142</v>
      </c>
      <c r="K5136">
        <f>AVERAGEIF(Table1[CountryCode],Table1[[#This Row],[CountryCode]],Table1[z-score])</f>
        <v>0.38305593592472742</v>
      </c>
      <c r="L5136" t="e">
        <f>VLOOKUP(Table1[[#This Row],[CountryCode]],[1]!Table1[#All],1,FALSE)</f>
        <v>#REF!</v>
      </c>
    </row>
    <row r="5137" spans="1:12" hidden="1" x14ac:dyDescent="0.3">
      <c r="A5137" t="s">
        <v>33</v>
      </c>
      <c r="B5137" t="s">
        <v>34</v>
      </c>
      <c r="C5137" t="s">
        <v>127</v>
      </c>
      <c r="D5137" t="s">
        <v>128</v>
      </c>
      <c r="E5137">
        <v>2013</v>
      </c>
      <c r="F5137" s="1">
        <v>16760</v>
      </c>
      <c r="G5137">
        <v>2010</v>
      </c>
      <c r="H5137">
        <f>AVERAGEIFS(Table1[value],Table1[IndicatorCode],Table1[[#This Row],[IndicatorCode]])</f>
        <v>24902.88753799392</v>
      </c>
      <c r="I5137" cm="1">
        <f t="array" ref="I5137">_xlfn.STDEV.P(IF(Table1[IndicatorCode]=Table1[[#This Row],[IndicatorCode]],Table1[value]))</f>
        <v>26324.778297809873</v>
      </c>
      <c r="J5137">
        <f>(Table1[[#This Row],[value]] - Table1[[#This Row],[mean]]) / Table1[[#This Row],[std_dev]]</f>
        <v>-0.309324068976922</v>
      </c>
      <c r="K5137">
        <f>AVERAGEIF(Table1[CountryCode],Table1[[#This Row],[CountryCode]],Table1[z-score])</f>
        <v>0.38305593592472742</v>
      </c>
      <c r="L5137" t="e">
        <f>VLOOKUP(Table1[[#This Row],[CountryCode]],[1]!Table1[#All],1,FALSE)</f>
        <v>#REF!</v>
      </c>
    </row>
    <row r="5138" spans="1:12" hidden="1" x14ac:dyDescent="0.3">
      <c r="A5138" t="s">
        <v>33</v>
      </c>
      <c r="B5138" t="s">
        <v>34</v>
      </c>
      <c r="C5138" t="s">
        <v>127</v>
      </c>
      <c r="D5138" t="s">
        <v>128</v>
      </c>
      <c r="E5138">
        <v>2014</v>
      </c>
      <c r="F5138" s="1">
        <v>17118</v>
      </c>
      <c r="G5138">
        <v>2010</v>
      </c>
      <c r="H5138">
        <f>AVERAGEIFS(Table1[value],Table1[IndicatorCode],Table1[[#This Row],[IndicatorCode]])</f>
        <v>24902.88753799392</v>
      </c>
      <c r="I5138" cm="1">
        <f t="array" ref="I5138">_xlfn.STDEV.P(IF(Table1[IndicatorCode]=Table1[[#This Row],[IndicatorCode]],Table1[value]))</f>
        <v>26324.778297809873</v>
      </c>
      <c r="J5138">
        <f>(Table1[[#This Row],[value]] - Table1[[#This Row],[mean]]) / Table1[[#This Row],[std_dev]]</f>
        <v>-0.29572471418084439</v>
      </c>
      <c r="K5138">
        <f>AVERAGEIF(Table1[CountryCode],Table1[[#This Row],[CountryCode]],Table1[z-score])</f>
        <v>0.38305593592472742</v>
      </c>
      <c r="L5138" t="e">
        <f>VLOOKUP(Table1[[#This Row],[CountryCode]],[1]!Table1[#All],1,FALSE)</f>
        <v>#REF!</v>
      </c>
    </row>
    <row r="5139" spans="1:12" hidden="1" x14ac:dyDescent="0.3">
      <c r="A5139" t="s">
        <v>33</v>
      </c>
      <c r="B5139" t="s">
        <v>34</v>
      </c>
      <c r="C5139" t="s">
        <v>127</v>
      </c>
      <c r="D5139" t="s">
        <v>128</v>
      </c>
      <c r="E5139">
        <v>2015</v>
      </c>
      <c r="F5139" s="1">
        <v>17932</v>
      </c>
      <c r="G5139">
        <v>2010</v>
      </c>
      <c r="H5139">
        <f>AVERAGEIFS(Table1[value],Table1[IndicatorCode],Table1[[#This Row],[IndicatorCode]])</f>
        <v>24902.88753799392</v>
      </c>
      <c r="I5139" cm="1">
        <f t="array" ref="I5139">_xlfn.STDEV.P(IF(Table1[IndicatorCode]=Table1[[#This Row],[IndicatorCode]],Table1[value]))</f>
        <v>26324.778297809873</v>
      </c>
      <c r="J5139">
        <f>(Table1[[#This Row],[value]] - Table1[[#This Row],[mean]]) / Table1[[#This Row],[std_dev]]</f>
        <v>-0.26480327618082439</v>
      </c>
      <c r="K5139">
        <f>AVERAGEIF(Table1[CountryCode],Table1[[#This Row],[CountryCode]],Table1[z-score])</f>
        <v>0.38305593592472742</v>
      </c>
      <c r="L5139" t="e">
        <f>VLOOKUP(Table1[[#This Row],[CountryCode]],[1]!Table1[#All],1,FALSE)</f>
        <v>#REF!</v>
      </c>
    </row>
    <row r="5140" spans="1:12" hidden="1" x14ac:dyDescent="0.3">
      <c r="A5140" t="s">
        <v>33</v>
      </c>
      <c r="B5140" t="s">
        <v>34</v>
      </c>
      <c r="C5140" t="s">
        <v>127</v>
      </c>
      <c r="D5140" t="s">
        <v>128</v>
      </c>
      <c r="E5140">
        <v>2016</v>
      </c>
      <c r="F5140" s="1">
        <v>18359</v>
      </c>
      <c r="G5140">
        <v>2010</v>
      </c>
      <c r="H5140">
        <f>AVERAGEIFS(Table1[value],Table1[IndicatorCode],Table1[[#This Row],[IndicatorCode]])</f>
        <v>24902.88753799392</v>
      </c>
      <c r="I5140" cm="1">
        <f t="array" ref="I5140">_xlfn.STDEV.P(IF(Table1[IndicatorCode]=Table1[[#This Row],[IndicatorCode]],Table1[value]))</f>
        <v>26324.778297809873</v>
      </c>
      <c r="J5140">
        <f>(Table1[[#This Row],[value]] - Table1[[#This Row],[mean]]) / Table1[[#This Row],[std_dev]]</f>
        <v>-0.2485828166894134</v>
      </c>
      <c r="K5140">
        <f>AVERAGEIF(Table1[CountryCode],Table1[[#This Row],[CountryCode]],Table1[z-score])</f>
        <v>0.38305593592472742</v>
      </c>
      <c r="L5140" t="e">
        <f>VLOOKUP(Table1[[#This Row],[CountryCode]],[1]!Table1[#All],1,FALSE)</f>
        <v>#REF!</v>
      </c>
    </row>
    <row r="5141" spans="1:12" hidden="1" x14ac:dyDescent="0.3">
      <c r="A5141" t="s">
        <v>33</v>
      </c>
      <c r="B5141" t="s">
        <v>34</v>
      </c>
      <c r="C5141" t="s">
        <v>127</v>
      </c>
      <c r="D5141" t="s">
        <v>128</v>
      </c>
      <c r="E5141">
        <v>2017</v>
      </c>
      <c r="F5141" s="1">
        <v>19258</v>
      </c>
      <c r="G5141">
        <v>2020</v>
      </c>
      <c r="H5141">
        <f>AVERAGEIFS(Table1[value],Table1[IndicatorCode],Table1[[#This Row],[IndicatorCode]])</f>
        <v>24902.88753799392</v>
      </c>
      <c r="I5141" cm="1">
        <f t="array" ref="I5141">_xlfn.STDEV.P(IF(Table1[IndicatorCode]=Table1[[#This Row],[IndicatorCode]],Table1[value]))</f>
        <v>26324.778297809873</v>
      </c>
      <c r="J5141">
        <f>(Table1[[#This Row],[value]] - Table1[[#This Row],[mean]]) / Table1[[#This Row],[std_dev]]</f>
        <v>-0.21443248160093922</v>
      </c>
      <c r="K5141">
        <f>AVERAGEIF(Table1[CountryCode],Table1[[#This Row],[CountryCode]],Table1[z-score])</f>
        <v>0.38305593592472742</v>
      </c>
      <c r="L5141" t="e">
        <f>VLOOKUP(Table1[[#This Row],[CountryCode]],[1]!Table1[#All],1,FALSE)</f>
        <v>#REF!</v>
      </c>
    </row>
    <row r="5142" spans="1:12" hidden="1" x14ac:dyDescent="0.3">
      <c r="A5142" t="s">
        <v>33</v>
      </c>
      <c r="B5142" t="s">
        <v>34</v>
      </c>
      <c r="C5142" t="s">
        <v>127</v>
      </c>
      <c r="D5142" t="s">
        <v>128</v>
      </c>
      <c r="E5142">
        <v>2018</v>
      </c>
      <c r="F5142" s="1">
        <v>19737</v>
      </c>
      <c r="G5142">
        <v>2020</v>
      </c>
      <c r="H5142">
        <f>AVERAGEIFS(Table1[value],Table1[IndicatorCode],Table1[[#This Row],[IndicatorCode]])</f>
        <v>24902.88753799392</v>
      </c>
      <c r="I5142" cm="1">
        <f t="array" ref="I5142">_xlfn.STDEV.P(IF(Table1[IndicatorCode]=Table1[[#This Row],[IndicatorCode]],Table1[value]))</f>
        <v>26324.778297809873</v>
      </c>
      <c r="J5142">
        <f>(Table1[[#This Row],[value]] - Table1[[#This Row],[mean]]) / Table1[[#This Row],[std_dev]]</f>
        <v>-0.19623669683188569</v>
      </c>
      <c r="K5142">
        <f>AVERAGEIF(Table1[CountryCode],Table1[[#This Row],[CountryCode]],Table1[z-score])</f>
        <v>0.38305593592472742</v>
      </c>
      <c r="L5142" t="e">
        <f>VLOOKUP(Table1[[#This Row],[CountryCode]],[1]!Table1[#All],1,FALSE)</f>
        <v>#REF!</v>
      </c>
    </row>
    <row r="5143" spans="1:12" hidden="1" x14ac:dyDescent="0.3">
      <c r="A5143" t="s">
        <v>33</v>
      </c>
      <c r="B5143" t="s">
        <v>34</v>
      </c>
      <c r="C5143" t="s">
        <v>127</v>
      </c>
      <c r="D5143" t="s">
        <v>128</v>
      </c>
      <c r="E5143">
        <v>2019</v>
      </c>
      <c r="F5143" s="1">
        <v>20360</v>
      </c>
      <c r="G5143">
        <v>2020</v>
      </c>
      <c r="H5143">
        <f>AVERAGEIFS(Table1[value],Table1[IndicatorCode],Table1[[#This Row],[IndicatorCode]])</f>
        <v>24902.88753799392</v>
      </c>
      <c r="I5143" cm="1">
        <f t="array" ref="I5143">_xlfn.STDEV.P(IF(Table1[IndicatorCode]=Table1[[#This Row],[IndicatorCode]],Table1[value]))</f>
        <v>26324.778297809873</v>
      </c>
      <c r="J5143">
        <f>(Table1[[#This Row],[value]] - Table1[[#This Row],[mean]]) / Table1[[#This Row],[std_dev]]</f>
        <v>-0.17257078052474509</v>
      </c>
      <c r="K5143">
        <f>AVERAGEIF(Table1[CountryCode],Table1[[#This Row],[CountryCode]],Table1[z-score])</f>
        <v>0.38305593592472742</v>
      </c>
      <c r="L5143" t="e">
        <f>VLOOKUP(Table1[[#This Row],[CountryCode]],[1]!Table1[#All],1,FALSE)</f>
        <v>#REF!</v>
      </c>
    </row>
    <row r="5144" spans="1:12" x14ac:dyDescent="0.3">
      <c r="A5144" t="s">
        <v>25</v>
      </c>
      <c r="B5144" t="s">
        <v>26</v>
      </c>
      <c r="C5144" t="s">
        <v>127</v>
      </c>
      <c r="D5144" t="s">
        <v>128</v>
      </c>
      <c r="E5144">
        <v>2020</v>
      </c>
      <c r="F5144" s="1">
        <v>6252</v>
      </c>
      <c r="G5144">
        <v>2020</v>
      </c>
      <c r="H5144">
        <f>AVERAGEIFS(Table1[value],Table1[IndicatorCode],Table1[[#This Row],[IndicatorCode]])</f>
        <v>24902.88753799392</v>
      </c>
      <c r="I5144" cm="1">
        <f t="array" ref="I5144">_xlfn.STDEV.P(IF(Table1[IndicatorCode]=Table1[[#This Row],[IndicatorCode]],Table1[value]))</f>
        <v>26324.778297809873</v>
      </c>
      <c r="J5144">
        <f>(Table1[[#This Row],[value]] - Table1[[#This Row],[mean]]) / Table1[[#This Row],[std_dev]]</f>
        <v>-0.70849172315899833</v>
      </c>
      <c r="K5144">
        <f>AVERAGEIF(Table1[CountryCode],Table1[[#This Row],[CountryCode]],Table1[z-score])</f>
        <v>-0.77202666663319364</v>
      </c>
    </row>
    <row r="5145" spans="1:12" hidden="1" x14ac:dyDescent="0.3">
      <c r="A5145" t="s">
        <v>33</v>
      </c>
      <c r="B5145" t="s">
        <v>34</v>
      </c>
      <c r="C5145" t="s">
        <v>127</v>
      </c>
      <c r="D5145" t="s">
        <v>128</v>
      </c>
      <c r="E5145">
        <v>2021</v>
      </c>
      <c r="F5145" s="1">
        <v>20374</v>
      </c>
      <c r="G5145">
        <v>2020</v>
      </c>
      <c r="H5145">
        <f>AVERAGEIFS(Table1[value],Table1[IndicatorCode],Table1[[#This Row],[IndicatorCode]])</f>
        <v>24902.88753799392</v>
      </c>
      <c r="I5145" cm="1">
        <f t="array" ref="I5145">_xlfn.STDEV.P(IF(Table1[IndicatorCode]=Table1[[#This Row],[IndicatorCode]],Table1[value]))</f>
        <v>26324.778297809873</v>
      </c>
      <c r="J5145">
        <f>(Table1[[#This Row],[value]] - Table1[[#This Row],[mean]]) / Table1[[#This Row],[std_dev]]</f>
        <v>-0.17203896218076439</v>
      </c>
      <c r="K5145">
        <f>AVERAGEIF(Table1[CountryCode],Table1[[#This Row],[CountryCode]],Table1[z-score])</f>
        <v>0.38305593592472742</v>
      </c>
      <c r="L5145" t="e">
        <f>VLOOKUP(Table1[[#This Row],[CountryCode]],[1]!Table1[#All],1,FALSE)</f>
        <v>#REF!</v>
      </c>
    </row>
    <row r="5146" spans="1:12" hidden="1" x14ac:dyDescent="0.3">
      <c r="A5146" t="s">
        <v>33</v>
      </c>
      <c r="B5146" t="s">
        <v>34</v>
      </c>
      <c r="C5146" t="s">
        <v>127</v>
      </c>
      <c r="D5146" t="s">
        <v>128</v>
      </c>
      <c r="E5146">
        <v>2022</v>
      </c>
      <c r="F5146" s="1">
        <v>20627</v>
      </c>
      <c r="G5146">
        <v>1960</v>
      </c>
      <c r="H5146">
        <f>AVERAGEIFS(Table1[value],Table1[IndicatorCode],Table1[[#This Row],[IndicatorCode]])</f>
        <v>24902.88753799392</v>
      </c>
      <c r="I5146" cm="1">
        <f t="array" ref="I5146">_xlfn.STDEV.P(IF(Table1[IndicatorCode]=Table1[[#This Row],[IndicatorCode]],Table1[value]))</f>
        <v>26324.778297809873</v>
      </c>
      <c r="J5146">
        <f>(Table1[[#This Row],[value]] - Table1[[#This Row],[mean]]) / Table1[[#This Row],[std_dev]]</f>
        <v>-0.16242824496454197</v>
      </c>
      <c r="K5146">
        <f>AVERAGEIF(Table1[CountryCode],Table1[[#This Row],[CountryCode]],Table1[z-score])</f>
        <v>0.38305593592472742</v>
      </c>
      <c r="L5146" t="e">
        <f>VLOOKUP(Table1[[#This Row],[CountryCode]],[1]!Table1[#All],1,FALSE)</f>
        <v>#REF!</v>
      </c>
    </row>
    <row r="5147" spans="1:12" hidden="1" x14ac:dyDescent="0.3">
      <c r="A5147" t="s">
        <v>33</v>
      </c>
      <c r="B5147" t="s">
        <v>34</v>
      </c>
      <c r="C5147" t="s">
        <v>127</v>
      </c>
      <c r="D5147" t="s">
        <v>128</v>
      </c>
      <c r="E5147">
        <v>2023</v>
      </c>
      <c r="F5147" s="1">
        <v>20273</v>
      </c>
      <c r="G5147">
        <v>1960</v>
      </c>
      <c r="H5147">
        <f>AVERAGEIFS(Table1[value],Table1[IndicatorCode],Table1[[#This Row],[IndicatorCode]])</f>
        <v>24902.88753799392</v>
      </c>
      <c r="I5147" cm="1">
        <f t="array" ref="I5147">_xlfn.STDEV.P(IF(Table1[IndicatorCode]=Table1[[#This Row],[IndicatorCode]],Table1[value]))</f>
        <v>26324.778297809873</v>
      </c>
      <c r="J5147">
        <f>(Table1[[#This Row],[value]] - Table1[[#This Row],[mean]]) / Table1[[#This Row],[std_dev]]</f>
        <v>-0.17587565166233934</v>
      </c>
      <c r="K5147">
        <f>AVERAGEIF(Table1[CountryCode],Table1[[#This Row],[CountryCode]],Table1[z-score])</f>
        <v>0.38305593592472742</v>
      </c>
      <c r="L5147" t="e">
        <f>VLOOKUP(Table1[[#This Row],[CountryCode]],[1]!Table1[#All],1,FALSE)</f>
        <v>#REF!</v>
      </c>
    </row>
    <row r="5148" spans="1:12" hidden="1" x14ac:dyDescent="0.3">
      <c r="A5148" t="s">
        <v>33</v>
      </c>
      <c r="B5148" t="s">
        <v>34</v>
      </c>
      <c r="C5148" t="s">
        <v>127</v>
      </c>
      <c r="D5148" t="s">
        <v>128</v>
      </c>
      <c r="E5148">
        <v>2024</v>
      </c>
      <c r="F5148" s="1">
        <v>20445</v>
      </c>
      <c r="G5148">
        <v>1960</v>
      </c>
      <c r="H5148">
        <f>AVERAGEIFS(Table1[value],Table1[IndicatorCode],Table1[[#This Row],[IndicatorCode]])</f>
        <v>24902.88753799392</v>
      </c>
      <c r="I5148" cm="1">
        <f t="array" ref="I5148">_xlfn.STDEV.P(IF(Table1[IndicatorCode]=Table1[[#This Row],[IndicatorCode]],Table1[value]))</f>
        <v>26324.778297809873</v>
      </c>
      <c r="J5148">
        <f>(Table1[[#This Row],[value]] - Table1[[#This Row],[mean]]) / Table1[[#This Row],[std_dev]]</f>
        <v>-0.16934188343629089</v>
      </c>
      <c r="K5148">
        <f>AVERAGEIF(Table1[CountryCode],Table1[[#This Row],[CountryCode]],Table1[z-score])</f>
        <v>0.38305593592472742</v>
      </c>
      <c r="L5148" t="e">
        <f>VLOOKUP(Table1[[#This Row],[CountryCode]],[1]!Table1[#All],1,FALSE)</f>
        <v>#REF!</v>
      </c>
    </row>
    <row r="5149" spans="1:12" hidden="1" x14ac:dyDescent="0.3">
      <c r="A5149" t="s">
        <v>35</v>
      </c>
      <c r="B5149" t="s">
        <v>36</v>
      </c>
      <c r="C5149" t="s">
        <v>127</v>
      </c>
      <c r="D5149" t="s">
        <v>128</v>
      </c>
      <c r="E5149">
        <v>1960</v>
      </c>
      <c r="F5149" s="1">
        <v>12607</v>
      </c>
      <c r="G5149">
        <v>1960</v>
      </c>
      <c r="H5149">
        <f>AVERAGEIFS(Table1[value],Table1[IndicatorCode],Table1[[#This Row],[IndicatorCode]])</f>
        <v>24902.88753799392</v>
      </c>
      <c r="I5149" cm="1">
        <f t="array" ref="I5149">_xlfn.STDEV.P(IF(Table1[IndicatorCode]=Table1[[#This Row],[IndicatorCode]],Table1[value]))</f>
        <v>26324.778297809873</v>
      </c>
      <c r="J5149">
        <f>(Table1[[#This Row],[value]] - Table1[[#This Row],[mean]]) / Table1[[#This Row],[std_dev]]</f>
        <v>-0.46708418201633606</v>
      </c>
      <c r="K5149">
        <f>AVERAGEIF(Table1[CountryCode],Table1[[#This Row],[CountryCode]],Table1[z-score])</f>
        <v>0.40817616735273116</v>
      </c>
      <c r="L5149" t="e">
        <f>VLOOKUP(Table1[[#This Row],[CountryCode]],[1]!Table1[#All],1,FALSE)</f>
        <v>#REF!</v>
      </c>
    </row>
    <row r="5150" spans="1:12" hidden="1" x14ac:dyDescent="0.3">
      <c r="A5150" t="s">
        <v>35</v>
      </c>
      <c r="B5150" t="s">
        <v>36</v>
      </c>
      <c r="C5150" t="s">
        <v>127</v>
      </c>
      <c r="D5150" t="s">
        <v>128</v>
      </c>
      <c r="E5150">
        <v>1961</v>
      </c>
      <c r="F5150" s="1">
        <v>13048</v>
      </c>
      <c r="G5150">
        <v>1960</v>
      </c>
      <c r="H5150">
        <f>AVERAGEIFS(Table1[value],Table1[IndicatorCode],Table1[[#This Row],[IndicatorCode]])</f>
        <v>24902.88753799392</v>
      </c>
      <c r="I5150" cm="1">
        <f t="array" ref="I5150">_xlfn.STDEV.P(IF(Table1[IndicatorCode]=Table1[[#This Row],[IndicatorCode]],Table1[value]))</f>
        <v>26324.778297809873</v>
      </c>
      <c r="J5150">
        <f>(Table1[[#This Row],[value]] - Table1[[#This Row],[mean]]) / Table1[[#This Row],[std_dev]]</f>
        <v>-0.45033190418094438</v>
      </c>
      <c r="K5150">
        <f>AVERAGEIF(Table1[CountryCode],Table1[[#This Row],[CountryCode]],Table1[z-score])</f>
        <v>0.40817616735273116</v>
      </c>
      <c r="L5150" t="e">
        <f>VLOOKUP(Table1[[#This Row],[CountryCode]],[1]!Table1[#All],1,FALSE)</f>
        <v>#REF!</v>
      </c>
    </row>
    <row r="5151" spans="1:12" hidden="1" x14ac:dyDescent="0.3">
      <c r="A5151" t="s">
        <v>35</v>
      </c>
      <c r="B5151" t="s">
        <v>36</v>
      </c>
      <c r="C5151" t="s">
        <v>127</v>
      </c>
      <c r="D5151" t="s">
        <v>128</v>
      </c>
      <c r="E5151">
        <v>1962</v>
      </c>
      <c r="F5151" s="1">
        <v>13532</v>
      </c>
      <c r="G5151">
        <v>1960</v>
      </c>
      <c r="H5151">
        <f>AVERAGEIFS(Table1[value],Table1[IndicatorCode],Table1[[#This Row],[IndicatorCode]])</f>
        <v>24902.88753799392</v>
      </c>
      <c r="I5151" cm="1">
        <f t="array" ref="I5151">_xlfn.STDEV.P(IF(Table1[IndicatorCode]=Table1[[#This Row],[IndicatorCode]],Table1[value]))</f>
        <v>26324.778297809873</v>
      </c>
      <c r="J5151">
        <f>(Table1[[#This Row],[value]] - Table1[[#This Row],[mean]]) / Table1[[#This Row],[std_dev]]</f>
        <v>-0.43194618428904058</v>
      </c>
      <c r="K5151">
        <f>AVERAGEIF(Table1[CountryCode],Table1[[#This Row],[CountryCode]],Table1[z-score])</f>
        <v>0.40817616735273116</v>
      </c>
      <c r="L5151" t="e">
        <f>VLOOKUP(Table1[[#This Row],[CountryCode]],[1]!Table1[#All],1,FALSE)</f>
        <v>#REF!</v>
      </c>
    </row>
    <row r="5152" spans="1:12" hidden="1" x14ac:dyDescent="0.3">
      <c r="A5152" t="s">
        <v>35</v>
      </c>
      <c r="B5152" t="s">
        <v>36</v>
      </c>
      <c r="C5152" t="s">
        <v>127</v>
      </c>
      <c r="D5152" t="s">
        <v>128</v>
      </c>
      <c r="E5152">
        <v>1963</v>
      </c>
      <c r="F5152" s="1">
        <v>13774</v>
      </c>
      <c r="G5152">
        <v>1960</v>
      </c>
      <c r="H5152">
        <f>AVERAGEIFS(Table1[value],Table1[IndicatorCode],Table1[[#This Row],[IndicatorCode]])</f>
        <v>24902.88753799392</v>
      </c>
      <c r="I5152" cm="1">
        <f t="array" ref="I5152">_xlfn.STDEV.P(IF(Table1[IndicatorCode]=Table1[[#This Row],[IndicatorCode]],Table1[value]))</f>
        <v>26324.778297809873</v>
      </c>
      <c r="J5152">
        <f>(Table1[[#This Row],[value]] - Table1[[#This Row],[mean]]) / Table1[[#This Row],[std_dev]]</f>
        <v>-0.42275332434308871</v>
      </c>
      <c r="K5152">
        <f>AVERAGEIF(Table1[CountryCode],Table1[[#This Row],[CountryCode]],Table1[z-score])</f>
        <v>0.40817616735273116</v>
      </c>
      <c r="L5152" t="e">
        <f>VLOOKUP(Table1[[#This Row],[CountryCode]],[1]!Table1[#All],1,FALSE)</f>
        <v>#REF!</v>
      </c>
    </row>
    <row r="5153" spans="1:12" hidden="1" x14ac:dyDescent="0.3">
      <c r="A5153" t="s">
        <v>35</v>
      </c>
      <c r="B5153" t="s">
        <v>36</v>
      </c>
      <c r="C5153" t="s">
        <v>127</v>
      </c>
      <c r="D5153" t="s">
        <v>128</v>
      </c>
      <c r="E5153">
        <v>1964</v>
      </c>
      <c r="F5153" s="1">
        <v>14570</v>
      </c>
      <c r="G5153">
        <v>1960</v>
      </c>
      <c r="H5153">
        <f>AVERAGEIFS(Table1[value],Table1[IndicatorCode],Table1[[#This Row],[IndicatorCode]])</f>
        <v>24902.88753799392</v>
      </c>
      <c r="I5153" cm="1">
        <f t="array" ref="I5153">_xlfn.STDEV.P(IF(Table1[IndicatorCode]=Table1[[#This Row],[IndicatorCode]],Table1[value]))</f>
        <v>26324.778297809873</v>
      </c>
      <c r="J5153">
        <f>(Table1[[#This Row],[value]] - Table1[[#This Row],[mean]]) / Table1[[#This Row],[std_dev]]</f>
        <v>-0.39251565278532957</v>
      </c>
      <c r="K5153">
        <f>AVERAGEIF(Table1[CountryCode],Table1[[#This Row],[CountryCode]],Table1[z-score])</f>
        <v>0.40817616735273116</v>
      </c>
      <c r="L5153" t="e">
        <f>VLOOKUP(Table1[[#This Row],[CountryCode]],[1]!Table1[#All],1,FALSE)</f>
        <v>#REF!</v>
      </c>
    </row>
    <row r="5154" spans="1:12" hidden="1" x14ac:dyDescent="0.3">
      <c r="A5154" t="s">
        <v>35</v>
      </c>
      <c r="B5154" t="s">
        <v>36</v>
      </c>
      <c r="C5154" t="s">
        <v>127</v>
      </c>
      <c r="D5154" t="s">
        <v>128</v>
      </c>
      <c r="E5154">
        <v>1965</v>
      </c>
      <c r="F5154" s="1">
        <v>15204</v>
      </c>
      <c r="G5154">
        <v>1960</v>
      </c>
      <c r="H5154">
        <f>AVERAGEIFS(Table1[value],Table1[IndicatorCode],Table1[[#This Row],[IndicatorCode]])</f>
        <v>24902.88753799392</v>
      </c>
      <c r="I5154" cm="1">
        <f t="array" ref="I5154">_xlfn.STDEV.P(IF(Table1[IndicatorCode]=Table1[[#This Row],[IndicatorCode]],Table1[value]))</f>
        <v>26324.778297809873</v>
      </c>
      <c r="J5154">
        <f>(Table1[[#This Row],[value]] - Table1[[#This Row],[mean]]) / Table1[[#This Row],[std_dev]]</f>
        <v>-0.36843187920791842</v>
      </c>
      <c r="K5154">
        <f>AVERAGEIF(Table1[CountryCode],Table1[[#This Row],[CountryCode]],Table1[z-score])</f>
        <v>0.40817616735273116</v>
      </c>
      <c r="L5154" t="e">
        <f>VLOOKUP(Table1[[#This Row],[CountryCode]],[1]!Table1[#All],1,FALSE)</f>
        <v>#REF!</v>
      </c>
    </row>
    <row r="5155" spans="1:12" hidden="1" x14ac:dyDescent="0.3">
      <c r="A5155" t="s">
        <v>35</v>
      </c>
      <c r="B5155" t="s">
        <v>36</v>
      </c>
      <c r="C5155" t="s">
        <v>127</v>
      </c>
      <c r="D5155" t="s">
        <v>128</v>
      </c>
      <c r="E5155">
        <v>1966</v>
      </c>
      <c r="F5155" s="1">
        <v>15502</v>
      </c>
      <c r="G5155">
        <v>1960</v>
      </c>
      <c r="H5155">
        <f>AVERAGEIFS(Table1[value],Table1[IndicatorCode],Table1[[#This Row],[IndicatorCode]])</f>
        <v>24902.88753799392</v>
      </c>
      <c r="I5155" cm="1">
        <f t="array" ref="I5155">_xlfn.STDEV.P(IF(Table1[IndicatorCode]=Table1[[#This Row],[IndicatorCode]],Table1[value]))</f>
        <v>26324.778297809873</v>
      </c>
      <c r="J5155">
        <f>(Table1[[#This Row],[value]] - Table1[[#This Row],[mean]]) / Table1[[#This Row],[std_dev]]</f>
        <v>-0.35711174588604377</v>
      </c>
      <c r="K5155">
        <f>AVERAGEIF(Table1[CountryCode],Table1[[#This Row],[CountryCode]],Table1[z-score])</f>
        <v>0.40817616735273116</v>
      </c>
      <c r="L5155" t="e">
        <f>VLOOKUP(Table1[[#This Row],[CountryCode]],[1]!Table1[#All],1,FALSE)</f>
        <v>#REF!</v>
      </c>
    </row>
    <row r="5156" spans="1:12" hidden="1" x14ac:dyDescent="0.3">
      <c r="A5156" t="s">
        <v>35</v>
      </c>
      <c r="B5156" t="s">
        <v>36</v>
      </c>
      <c r="C5156" t="s">
        <v>127</v>
      </c>
      <c r="D5156" t="s">
        <v>128</v>
      </c>
      <c r="E5156">
        <v>1967</v>
      </c>
      <c r="F5156" s="1">
        <v>15380</v>
      </c>
      <c r="G5156">
        <v>1970</v>
      </c>
      <c r="H5156">
        <f>AVERAGEIFS(Table1[value],Table1[IndicatorCode],Table1[[#This Row],[IndicatorCode]])</f>
        <v>24902.88753799392</v>
      </c>
      <c r="I5156" cm="1">
        <f t="array" ref="I5156">_xlfn.STDEV.P(IF(Table1[IndicatorCode]=Table1[[#This Row],[IndicatorCode]],Table1[value]))</f>
        <v>26324.778297809873</v>
      </c>
      <c r="J5156">
        <f>(Table1[[#This Row],[value]] - Table1[[#This Row],[mean]]) / Table1[[#This Row],[std_dev]]</f>
        <v>-0.36174616288358979</v>
      </c>
      <c r="K5156">
        <f>AVERAGEIF(Table1[CountryCode],Table1[[#This Row],[CountryCode]],Table1[z-score])</f>
        <v>0.40817616735273116</v>
      </c>
      <c r="L5156" t="e">
        <f>VLOOKUP(Table1[[#This Row],[CountryCode]],[1]!Table1[#All],1,FALSE)</f>
        <v>#REF!</v>
      </c>
    </row>
    <row r="5157" spans="1:12" hidden="1" x14ac:dyDescent="0.3">
      <c r="A5157" t="s">
        <v>35</v>
      </c>
      <c r="B5157" t="s">
        <v>36</v>
      </c>
      <c r="C5157" t="s">
        <v>127</v>
      </c>
      <c r="D5157" t="s">
        <v>128</v>
      </c>
      <c r="E5157">
        <v>1968</v>
      </c>
      <c r="F5157" s="1">
        <v>16180</v>
      </c>
      <c r="G5157">
        <v>1970</v>
      </c>
      <c r="H5157">
        <f>AVERAGEIFS(Table1[value],Table1[IndicatorCode],Table1[[#This Row],[IndicatorCode]])</f>
        <v>24902.88753799392</v>
      </c>
      <c r="I5157" cm="1">
        <f t="array" ref="I5157">_xlfn.STDEV.P(IF(Table1[IndicatorCode]=Table1[[#This Row],[IndicatorCode]],Table1[value]))</f>
        <v>26324.778297809873</v>
      </c>
      <c r="J5157">
        <f>(Table1[[#This Row],[value]] - Table1[[#This Row],[mean]]) / Table1[[#This Row],[std_dev]]</f>
        <v>-0.33135654322755048</v>
      </c>
      <c r="K5157">
        <f>AVERAGEIF(Table1[CountryCode],Table1[[#This Row],[CountryCode]],Table1[z-score])</f>
        <v>0.40817616735273116</v>
      </c>
      <c r="L5157" t="e">
        <f>VLOOKUP(Table1[[#This Row],[CountryCode]],[1]!Table1[#All],1,FALSE)</f>
        <v>#REF!</v>
      </c>
    </row>
    <row r="5158" spans="1:12" hidden="1" x14ac:dyDescent="0.3">
      <c r="A5158" t="s">
        <v>35</v>
      </c>
      <c r="B5158" t="s">
        <v>36</v>
      </c>
      <c r="C5158" t="s">
        <v>127</v>
      </c>
      <c r="D5158" t="s">
        <v>128</v>
      </c>
      <c r="E5158">
        <v>1969</v>
      </c>
      <c r="F5158" s="1">
        <v>17243</v>
      </c>
      <c r="G5158">
        <v>1970</v>
      </c>
      <c r="H5158">
        <f>AVERAGEIFS(Table1[value],Table1[IndicatorCode],Table1[[#This Row],[IndicatorCode]])</f>
        <v>24902.88753799392</v>
      </c>
      <c r="I5158" cm="1">
        <f t="array" ref="I5158">_xlfn.STDEV.P(IF(Table1[IndicatorCode]=Table1[[#This Row],[IndicatorCode]],Table1[value]))</f>
        <v>26324.778297809873</v>
      </c>
      <c r="J5158">
        <f>(Table1[[#This Row],[value]] - Table1[[#This Row],[mean]]) / Table1[[#This Row],[std_dev]]</f>
        <v>-0.29097633610958823</v>
      </c>
      <c r="K5158">
        <f>AVERAGEIF(Table1[CountryCode],Table1[[#This Row],[CountryCode]],Table1[z-score])</f>
        <v>0.40817616735273116</v>
      </c>
      <c r="L5158" t="e">
        <f>VLOOKUP(Table1[[#This Row],[CountryCode]],[1]!Table1[#All],1,FALSE)</f>
        <v>#REF!</v>
      </c>
    </row>
    <row r="5159" spans="1:12" hidden="1" x14ac:dyDescent="0.3">
      <c r="A5159" t="s">
        <v>35</v>
      </c>
      <c r="B5159" t="s">
        <v>36</v>
      </c>
      <c r="C5159" t="s">
        <v>127</v>
      </c>
      <c r="D5159" t="s">
        <v>128</v>
      </c>
      <c r="E5159">
        <v>1970</v>
      </c>
      <c r="F5159" s="1">
        <v>18063</v>
      </c>
      <c r="G5159">
        <v>1970</v>
      </c>
      <c r="H5159">
        <f>AVERAGEIFS(Table1[value],Table1[IndicatorCode],Table1[[#This Row],[IndicatorCode]])</f>
        <v>24902.88753799392</v>
      </c>
      <c r="I5159" cm="1">
        <f t="array" ref="I5159">_xlfn.STDEV.P(IF(Table1[IndicatorCode]=Table1[[#This Row],[IndicatorCode]],Table1[value]))</f>
        <v>26324.778297809873</v>
      </c>
      <c r="J5159">
        <f>(Table1[[#This Row],[value]] - Table1[[#This Row],[mean]]) / Table1[[#This Row],[std_dev]]</f>
        <v>-0.25982697596214793</v>
      </c>
      <c r="K5159">
        <f>AVERAGEIF(Table1[CountryCode],Table1[[#This Row],[CountryCode]],Table1[z-score])</f>
        <v>0.40817616735273116</v>
      </c>
      <c r="L5159" t="e">
        <f>VLOOKUP(Table1[[#This Row],[CountryCode]],[1]!Table1[#All],1,FALSE)</f>
        <v>#REF!</v>
      </c>
    </row>
    <row r="5160" spans="1:12" hidden="1" x14ac:dyDescent="0.3">
      <c r="A5160" t="s">
        <v>35</v>
      </c>
      <c r="B5160" t="s">
        <v>36</v>
      </c>
      <c r="C5160" t="s">
        <v>127</v>
      </c>
      <c r="D5160" t="s">
        <v>128</v>
      </c>
      <c r="E5160">
        <v>1971</v>
      </c>
      <c r="F5160" s="1">
        <v>18594</v>
      </c>
      <c r="G5160">
        <v>1970</v>
      </c>
      <c r="H5160">
        <f>AVERAGEIFS(Table1[value],Table1[IndicatorCode],Table1[[#This Row],[IndicatorCode]])</f>
        <v>24902.88753799392</v>
      </c>
      <c r="I5160" cm="1">
        <f t="array" ref="I5160">_xlfn.STDEV.P(IF(Table1[IndicatorCode]=Table1[[#This Row],[IndicatorCode]],Table1[value]))</f>
        <v>26324.778297809873</v>
      </c>
      <c r="J5160">
        <f>(Table1[[#This Row],[value]] - Table1[[#This Row],[mean]]) / Table1[[#This Row],[std_dev]]</f>
        <v>-0.23965586591545185</v>
      </c>
      <c r="K5160">
        <f>AVERAGEIF(Table1[CountryCode],Table1[[#This Row],[CountryCode]],Table1[z-score])</f>
        <v>0.40817616735273116</v>
      </c>
      <c r="L5160" t="e">
        <f>VLOOKUP(Table1[[#This Row],[CountryCode]],[1]!Table1[#All],1,FALSE)</f>
        <v>#REF!</v>
      </c>
    </row>
    <row r="5161" spans="1:12" hidden="1" x14ac:dyDescent="0.3">
      <c r="A5161" t="s">
        <v>35</v>
      </c>
      <c r="B5161" t="s">
        <v>36</v>
      </c>
      <c r="C5161" t="s">
        <v>127</v>
      </c>
      <c r="D5161" t="s">
        <v>128</v>
      </c>
      <c r="E5161">
        <v>1972</v>
      </c>
      <c r="F5161" s="1">
        <v>19302</v>
      </c>
      <c r="G5161">
        <v>1970</v>
      </c>
      <c r="H5161">
        <f>AVERAGEIFS(Table1[value],Table1[IndicatorCode],Table1[[#This Row],[IndicatorCode]])</f>
        <v>24902.88753799392</v>
      </c>
      <c r="I5161" cm="1">
        <f t="array" ref="I5161">_xlfn.STDEV.P(IF(Table1[IndicatorCode]=Table1[[#This Row],[IndicatorCode]],Table1[value]))</f>
        <v>26324.778297809873</v>
      </c>
      <c r="J5161">
        <f>(Table1[[#This Row],[value]] - Table1[[#This Row],[mean]]) / Table1[[#This Row],[std_dev]]</f>
        <v>-0.21276105251985708</v>
      </c>
      <c r="K5161">
        <f>AVERAGEIF(Table1[CountryCode],Table1[[#This Row],[CountryCode]],Table1[z-score])</f>
        <v>0.40817616735273116</v>
      </c>
      <c r="L5161" t="e">
        <f>VLOOKUP(Table1[[#This Row],[CountryCode]],[1]!Table1[#All],1,FALSE)</f>
        <v>#REF!</v>
      </c>
    </row>
    <row r="5162" spans="1:12" hidden="1" x14ac:dyDescent="0.3">
      <c r="A5162" t="s">
        <v>35</v>
      </c>
      <c r="B5162" t="s">
        <v>36</v>
      </c>
      <c r="C5162" t="s">
        <v>127</v>
      </c>
      <c r="D5162" t="s">
        <v>128</v>
      </c>
      <c r="E5162">
        <v>1973</v>
      </c>
      <c r="F5162" s="1">
        <v>20160</v>
      </c>
      <c r="G5162">
        <v>1970</v>
      </c>
      <c r="H5162">
        <f>AVERAGEIFS(Table1[value],Table1[IndicatorCode],Table1[[#This Row],[IndicatorCode]])</f>
        <v>24902.88753799392</v>
      </c>
      <c r="I5162" cm="1">
        <f t="array" ref="I5162">_xlfn.STDEV.P(IF(Table1[IndicatorCode]=Table1[[#This Row],[IndicatorCode]],Table1[value]))</f>
        <v>26324.778297809873</v>
      </c>
      <c r="J5162">
        <f>(Table1[[#This Row],[value]] - Table1[[#This Row],[mean]]) / Table1[[#This Row],[std_dev]]</f>
        <v>-0.1801681854387549</v>
      </c>
      <c r="K5162">
        <f>AVERAGEIF(Table1[CountryCode],Table1[[#This Row],[CountryCode]],Table1[z-score])</f>
        <v>0.40817616735273116</v>
      </c>
      <c r="L5162" t="e">
        <f>VLOOKUP(Table1[[#This Row],[CountryCode]],[1]!Table1[#All],1,FALSE)</f>
        <v>#REF!</v>
      </c>
    </row>
    <row r="5163" spans="1:12" hidden="1" x14ac:dyDescent="0.3">
      <c r="A5163" t="s">
        <v>35</v>
      </c>
      <c r="B5163" t="s">
        <v>36</v>
      </c>
      <c r="C5163" t="s">
        <v>127</v>
      </c>
      <c r="D5163" t="s">
        <v>128</v>
      </c>
      <c r="E5163">
        <v>1974</v>
      </c>
      <c r="F5163" s="1">
        <v>20332</v>
      </c>
      <c r="G5163">
        <v>1970</v>
      </c>
      <c r="H5163">
        <f>AVERAGEIFS(Table1[value],Table1[IndicatorCode],Table1[[#This Row],[IndicatorCode]])</f>
        <v>24902.88753799392</v>
      </c>
      <c r="I5163" cm="1">
        <f t="array" ref="I5163">_xlfn.STDEV.P(IF(Table1[IndicatorCode]=Table1[[#This Row],[IndicatorCode]],Table1[value]))</f>
        <v>26324.778297809873</v>
      </c>
      <c r="J5163">
        <f>(Table1[[#This Row],[value]] - Table1[[#This Row],[mean]]) / Table1[[#This Row],[std_dev]]</f>
        <v>-0.17363441721270645</v>
      </c>
      <c r="K5163">
        <f>AVERAGEIF(Table1[CountryCode],Table1[[#This Row],[CountryCode]],Table1[z-score])</f>
        <v>0.40817616735273116</v>
      </c>
      <c r="L5163" t="e">
        <f>VLOOKUP(Table1[[#This Row],[CountryCode]],[1]!Table1[#All],1,FALSE)</f>
        <v>#REF!</v>
      </c>
    </row>
    <row r="5164" spans="1:12" hidden="1" x14ac:dyDescent="0.3">
      <c r="A5164" t="s">
        <v>35</v>
      </c>
      <c r="B5164" t="s">
        <v>36</v>
      </c>
      <c r="C5164" t="s">
        <v>127</v>
      </c>
      <c r="D5164" t="s">
        <v>128</v>
      </c>
      <c r="E5164">
        <v>1975</v>
      </c>
      <c r="F5164" s="1">
        <v>20231</v>
      </c>
      <c r="G5164">
        <v>1970</v>
      </c>
      <c r="H5164">
        <f>AVERAGEIFS(Table1[value],Table1[IndicatorCode],Table1[[#This Row],[IndicatorCode]])</f>
        <v>24902.88753799392</v>
      </c>
      <c r="I5164" cm="1">
        <f t="array" ref="I5164">_xlfn.STDEV.P(IF(Table1[IndicatorCode]=Table1[[#This Row],[IndicatorCode]],Table1[value]))</f>
        <v>26324.778297809873</v>
      </c>
      <c r="J5164">
        <f>(Table1[[#This Row],[value]] - Table1[[#This Row],[mean]]) / Table1[[#This Row],[std_dev]]</f>
        <v>-0.17747110669428143</v>
      </c>
      <c r="K5164">
        <f>AVERAGEIF(Table1[CountryCode],Table1[[#This Row],[CountryCode]],Table1[z-score])</f>
        <v>0.40817616735273116</v>
      </c>
      <c r="L5164" t="e">
        <f>VLOOKUP(Table1[[#This Row],[CountryCode]],[1]!Table1[#All],1,FALSE)</f>
        <v>#REF!</v>
      </c>
    </row>
    <row r="5165" spans="1:12" hidden="1" x14ac:dyDescent="0.3">
      <c r="A5165" t="s">
        <v>35</v>
      </c>
      <c r="B5165" t="s">
        <v>36</v>
      </c>
      <c r="C5165" t="s">
        <v>127</v>
      </c>
      <c r="D5165" t="s">
        <v>128</v>
      </c>
      <c r="E5165">
        <v>1976</v>
      </c>
      <c r="F5165" s="1">
        <v>21323</v>
      </c>
      <c r="G5165">
        <v>1970</v>
      </c>
      <c r="H5165">
        <f>AVERAGEIFS(Table1[value],Table1[IndicatorCode],Table1[[#This Row],[IndicatorCode]])</f>
        <v>24902.88753799392</v>
      </c>
      <c r="I5165" cm="1">
        <f t="array" ref="I5165">_xlfn.STDEV.P(IF(Table1[IndicatorCode]=Table1[[#This Row],[IndicatorCode]],Table1[value]))</f>
        <v>26324.778297809873</v>
      </c>
      <c r="J5165">
        <f>(Table1[[#This Row],[value]] - Table1[[#This Row],[mean]]) / Table1[[#This Row],[std_dev]]</f>
        <v>-0.13598927586378776</v>
      </c>
      <c r="K5165">
        <f>AVERAGEIF(Table1[CountryCode],Table1[[#This Row],[CountryCode]],Table1[z-score])</f>
        <v>0.40817616735273116</v>
      </c>
      <c r="L5165" t="e">
        <f>VLOOKUP(Table1[[#This Row],[CountryCode]],[1]!Table1[#All],1,FALSE)</f>
        <v>#REF!</v>
      </c>
    </row>
    <row r="5166" spans="1:12" hidden="1" x14ac:dyDescent="0.3">
      <c r="A5166" t="s">
        <v>35</v>
      </c>
      <c r="B5166" t="s">
        <v>36</v>
      </c>
      <c r="C5166" t="s">
        <v>127</v>
      </c>
      <c r="D5166" t="s">
        <v>128</v>
      </c>
      <c r="E5166">
        <v>1977</v>
      </c>
      <c r="F5166" s="1">
        <v>22087</v>
      </c>
      <c r="G5166">
        <v>1980</v>
      </c>
      <c r="H5166">
        <f>AVERAGEIFS(Table1[value],Table1[IndicatorCode],Table1[[#This Row],[IndicatorCode]])</f>
        <v>24902.88753799392</v>
      </c>
      <c r="I5166" cm="1">
        <f t="array" ref="I5166">_xlfn.STDEV.P(IF(Table1[IndicatorCode]=Table1[[#This Row],[IndicatorCode]],Table1[value]))</f>
        <v>26324.778297809873</v>
      </c>
      <c r="J5166">
        <f>(Table1[[#This Row],[value]] - Table1[[#This Row],[mean]]) / Table1[[#This Row],[std_dev]]</f>
        <v>-0.10696718909227022</v>
      </c>
      <c r="K5166">
        <f>AVERAGEIF(Table1[CountryCode],Table1[[#This Row],[CountryCode]],Table1[z-score])</f>
        <v>0.40817616735273116</v>
      </c>
      <c r="L5166" t="e">
        <f>VLOOKUP(Table1[[#This Row],[CountryCode]],[1]!Table1[#All],1,FALSE)</f>
        <v>#REF!</v>
      </c>
    </row>
    <row r="5167" spans="1:12" hidden="1" x14ac:dyDescent="0.3">
      <c r="A5167" t="s">
        <v>35</v>
      </c>
      <c r="B5167" t="s">
        <v>36</v>
      </c>
      <c r="C5167" t="s">
        <v>127</v>
      </c>
      <c r="D5167" t="s">
        <v>128</v>
      </c>
      <c r="E5167">
        <v>1978</v>
      </c>
      <c r="F5167" s="1">
        <v>22771</v>
      </c>
      <c r="G5167">
        <v>1980</v>
      </c>
      <c r="H5167">
        <f>AVERAGEIFS(Table1[value],Table1[IndicatorCode],Table1[[#This Row],[IndicatorCode]])</f>
        <v>24902.88753799392</v>
      </c>
      <c r="I5167" cm="1">
        <f t="array" ref="I5167">_xlfn.STDEV.P(IF(Table1[IndicatorCode]=Table1[[#This Row],[IndicatorCode]],Table1[value]))</f>
        <v>26324.778297809873</v>
      </c>
      <c r="J5167">
        <f>(Table1[[#This Row],[value]] - Table1[[#This Row],[mean]]) / Table1[[#This Row],[std_dev]]</f>
        <v>-8.09840642863566E-2</v>
      </c>
      <c r="K5167">
        <f>AVERAGEIF(Table1[CountryCode],Table1[[#This Row],[CountryCode]],Table1[z-score])</f>
        <v>0.40817616735273116</v>
      </c>
      <c r="L5167" t="e">
        <f>VLOOKUP(Table1[[#This Row],[CountryCode]],[1]!Table1[#All],1,FALSE)</f>
        <v>#REF!</v>
      </c>
    </row>
    <row r="5168" spans="1:12" hidden="1" x14ac:dyDescent="0.3">
      <c r="A5168" t="s">
        <v>35</v>
      </c>
      <c r="B5168" t="s">
        <v>36</v>
      </c>
      <c r="C5168" t="s">
        <v>127</v>
      </c>
      <c r="D5168" t="s">
        <v>128</v>
      </c>
      <c r="E5168">
        <v>1979</v>
      </c>
      <c r="F5168" s="1">
        <v>23706</v>
      </c>
      <c r="G5168">
        <v>1980</v>
      </c>
      <c r="H5168">
        <f>AVERAGEIFS(Table1[value],Table1[IndicatorCode],Table1[[#This Row],[IndicatorCode]])</f>
        <v>24902.88753799392</v>
      </c>
      <c r="I5168" cm="1">
        <f t="array" ref="I5168">_xlfn.STDEV.P(IF(Table1[IndicatorCode]=Table1[[#This Row],[IndicatorCode]],Table1[value]))</f>
        <v>26324.778297809873</v>
      </c>
      <c r="J5168">
        <f>(Table1[[#This Row],[value]] - Table1[[#This Row],[mean]]) / Table1[[#This Row],[std_dev]]</f>
        <v>-4.5466196313360657E-2</v>
      </c>
      <c r="K5168">
        <f>AVERAGEIF(Table1[CountryCode],Table1[[#This Row],[CountryCode]],Table1[z-score])</f>
        <v>0.40817616735273116</v>
      </c>
      <c r="L5168" t="e">
        <f>VLOOKUP(Table1[[#This Row],[CountryCode]],[1]!Table1[#All],1,FALSE)</f>
        <v>#REF!</v>
      </c>
    </row>
    <row r="5169" spans="1:12" hidden="1" x14ac:dyDescent="0.3">
      <c r="A5169" t="s">
        <v>35</v>
      </c>
      <c r="B5169" t="s">
        <v>36</v>
      </c>
      <c r="C5169" t="s">
        <v>127</v>
      </c>
      <c r="D5169" t="s">
        <v>128</v>
      </c>
      <c r="E5169">
        <v>1980</v>
      </c>
      <c r="F5169" s="1">
        <v>23990</v>
      </c>
      <c r="G5169">
        <v>1980</v>
      </c>
      <c r="H5169">
        <f>AVERAGEIFS(Table1[value],Table1[IndicatorCode],Table1[[#This Row],[IndicatorCode]])</f>
        <v>24902.88753799392</v>
      </c>
      <c r="I5169" cm="1">
        <f t="array" ref="I5169">_xlfn.STDEV.P(IF(Table1[IndicatorCode]=Table1[[#This Row],[IndicatorCode]],Table1[value]))</f>
        <v>26324.778297809873</v>
      </c>
      <c r="J5169">
        <f>(Table1[[#This Row],[value]] - Table1[[#This Row],[mean]]) / Table1[[#This Row],[std_dev]]</f>
        <v>-3.4677881335466704E-2</v>
      </c>
      <c r="K5169">
        <f>AVERAGEIF(Table1[CountryCode],Table1[[#This Row],[CountryCode]],Table1[z-score])</f>
        <v>0.40817616735273116</v>
      </c>
      <c r="L5169" t="e">
        <f>VLOOKUP(Table1[[#This Row],[CountryCode]],[1]!Table1[#All],1,FALSE)</f>
        <v>#REF!</v>
      </c>
    </row>
    <row r="5170" spans="1:12" hidden="1" x14ac:dyDescent="0.3">
      <c r="A5170" t="s">
        <v>35</v>
      </c>
      <c r="B5170" t="s">
        <v>36</v>
      </c>
      <c r="C5170" t="s">
        <v>127</v>
      </c>
      <c r="D5170" t="s">
        <v>128</v>
      </c>
      <c r="E5170">
        <v>1981</v>
      </c>
      <c r="F5170" s="1">
        <v>24080</v>
      </c>
      <c r="G5170">
        <v>1980</v>
      </c>
      <c r="H5170">
        <f>AVERAGEIFS(Table1[value],Table1[IndicatorCode],Table1[[#This Row],[IndicatorCode]])</f>
        <v>24902.88753799392</v>
      </c>
      <c r="I5170" cm="1">
        <f t="array" ref="I5170">_xlfn.STDEV.P(IF(Table1[IndicatorCode]=Table1[[#This Row],[IndicatorCode]],Table1[value]))</f>
        <v>26324.778297809873</v>
      </c>
      <c r="J5170">
        <f>(Table1[[#This Row],[value]] - Table1[[#This Row],[mean]]) / Table1[[#This Row],[std_dev]]</f>
        <v>-3.1259049124162282E-2</v>
      </c>
      <c r="K5170">
        <f>AVERAGEIF(Table1[CountryCode],Table1[[#This Row],[CountryCode]],Table1[z-score])</f>
        <v>0.40817616735273116</v>
      </c>
      <c r="L5170" t="e">
        <f>VLOOKUP(Table1[[#This Row],[CountryCode]],[1]!Table1[#All],1,FALSE)</f>
        <v>#REF!</v>
      </c>
    </row>
    <row r="5171" spans="1:12" hidden="1" x14ac:dyDescent="0.3">
      <c r="A5171" t="s">
        <v>35</v>
      </c>
      <c r="B5171" t="s">
        <v>36</v>
      </c>
      <c r="C5171" t="s">
        <v>127</v>
      </c>
      <c r="D5171" t="s">
        <v>128</v>
      </c>
      <c r="E5171">
        <v>1982</v>
      </c>
      <c r="F5171" s="1">
        <v>24008</v>
      </c>
      <c r="G5171">
        <v>1980</v>
      </c>
      <c r="H5171">
        <f>AVERAGEIFS(Table1[value],Table1[IndicatorCode],Table1[[#This Row],[IndicatorCode]])</f>
        <v>24902.88753799392</v>
      </c>
      <c r="I5171" cm="1">
        <f t="array" ref="I5171">_xlfn.STDEV.P(IF(Table1[IndicatorCode]=Table1[[#This Row],[IndicatorCode]],Table1[value]))</f>
        <v>26324.778297809873</v>
      </c>
      <c r="J5171">
        <f>(Table1[[#This Row],[value]] - Table1[[#This Row],[mean]]) / Table1[[#This Row],[std_dev]]</f>
        <v>-3.3994114893205821E-2</v>
      </c>
      <c r="K5171">
        <f>AVERAGEIF(Table1[CountryCode],Table1[[#This Row],[CountryCode]],Table1[z-score])</f>
        <v>0.40817616735273116</v>
      </c>
      <c r="L5171" t="e">
        <f>VLOOKUP(Table1[[#This Row],[CountryCode]],[1]!Table1[#All],1,FALSE)</f>
        <v>#REF!</v>
      </c>
    </row>
    <row r="5172" spans="1:12" hidden="1" x14ac:dyDescent="0.3">
      <c r="A5172" t="s">
        <v>35</v>
      </c>
      <c r="B5172" t="s">
        <v>36</v>
      </c>
      <c r="C5172" t="s">
        <v>127</v>
      </c>
      <c r="D5172" t="s">
        <v>128</v>
      </c>
      <c r="E5172">
        <v>1983</v>
      </c>
      <c r="F5172" s="1">
        <v>24449</v>
      </c>
      <c r="G5172">
        <v>1980</v>
      </c>
      <c r="H5172">
        <f>AVERAGEIFS(Table1[value],Table1[IndicatorCode],Table1[[#This Row],[IndicatorCode]])</f>
        <v>24902.88753799392</v>
      </c>
      <c r="I5172" cm="1">
        <f t="array" ref="I5172">_xlfn.STDEV.P(IF(Table1[IndicatorCode]=Table1[[#This Row],[IndicatorCode]],Table1[value]))</f>
        <v>26324.778297809873</v>
      </c>
      <c r="J5172">
        <f>(Table1[[#This Row],[value]] - Table1[[#This Row],[mean]]) / Table1[[#This Row],[std_dev]]</f>
        <v>-1.7241837057814149E-2</v>
      </c>
      <c r="K5172">
        <f>AVERAGEIF(Table1[CountryCode],Table1[[#This Row],[CountryCode]],Table1[z-score])</f>
        <v>0.40817616735273116</v>
      </c>
      <c r="L5172" t="e">
        <f>VLOOKUP(Table1[[#This Row],[CountryCode]],[1]!Table1[#All],1,FALSE)</f>
        <v>#REF!</v>
      </c>
    </row>
    <row r="5173" spans="1:12" hidden="1" x14ac:dyDescent="0.3">
      <c r="A5173" t="s">
        <v>35</v>
      </c>
      <c r="B5173" t="s">
        <v>36</v>
      </c>
      <c r="C5173" t="s">
        <v>127</v>
      </c>
      <c r="D5173" t="s">
        <v>128</v>
      </c>
      <c r="E5173">
        <v>1984</v>
      </c>
      <c r="F5173" s="1">
        <v>25227</v>
      </c>
      <c r="G5173">
        <v>1980</v>
      </c>
      <c r="H5173">
        <f>AVERAGEIFS(Table1[value],Table1[IndicatorCode],Table1[[#This Row],[IndicatorCode]])</f>
        <v>24902.88753799392</v>
      </c>
      <c r="I5173" cm="1">
        <f t="array" ref="I5173">_xlfn.STDEV.P(IF(Table1[IndicatorCode]=Table1[[#This Row],[IndicatorCode]],Table1[value]))</f>
        <v>26324.778297809873</v>
      </c>
      <c r="J5173">
        <f>(Table1[[#This Row],[value]] - Table1[[#This Row],[mean]]) / Table1[[#This Row],[std_dev]]</f>
        <v>1.231206805768408E-2</v>
      </c>
      <c r="K5173">
        <f>AVERAGEIF(Table1[CountryCode],Table1[[#This Row],[CountryCode]],Table1[z-score])</f>
        <v>0.40817616735273116</v>
      </c>
      <c r="L5173" t="e">
        <f>VLOOKUP(Table1[[#This Row],[CountryCode]],[1]!Table1[#All],1,FALSE)</f>
        <v>#REF!</v>
      </c>
    </row>
    <row r="5174" spans="1:12" hidden="1" x14ac:dyDescent="0.3">
      <c r="A5174" t="s">
        <v>35</v>
      </c>
      <c r="B5174" t="s">
        <v>36</v>
      </c>
      <c r="C5174" t="s">
        <v>127</v>
      </c>
      <c r="D5174" t="s">
        <v>128</v>
      </c>
      <c r="E5174">
        <v>1985</v>
      </c>
      <c r="F5174" s="1">
        <v>25872</v>
      </c>
      <c r="G5174">
        <v>1980</v>
      </c>
      <c r="H5174">
        <f>AVERAGEIFS(Table1[value],Table1[IndicatorCode],Table1[[#This Row],[IndicatorCode]])</f>
        <v>24902.88753799392</v>
      </c>
      <c r="I5174" cm="1">
        <f t="array" ref="I5174">_xlfn.STDEV.P(IF(Table1[IndicatorCode]=Table1[[#This Row],[IndicatorCode]],Table1[value]))</f>
        <v>26324.778297809873</v>
      </c>
      <c r="J5174">
        <f>(Table1[[#This Row],[value]] - Table1[[#This Row],[mean]]) / Table1[[#This Row],[std_dev]]</f>
        <v>3.6813698905365774E-2</v>
      </c>
      <c r="K5174">
        <f>AVERAGEIF(Table1[CountryCode],Table1[[#This Row],[CountryCode]],Table1[z-score])</f>
        <v>0.40817616735273116</v>
      </c>
      <c r="L5174" t="e">
        <f>VLOOKUP(Table1[[#This Row],[CountryCode]],[1]!Table1[#All],1,FALSE)</f>
        <v>#REF!</v>
      </c>
    </row>
    <row r="5175" spans="1:12" hidden="1" x14ac:dyDescent="0.3">
      <c r="A5175" t="s">
        <v>35</v>
      </c>
      <c r="B5175" t="s">
        <v>36</v>
      </c>
      <c r="C5175" t="s">
        <v>127</v>
      </c>
      <c r="D5175" t="s">
        <v>128</v>
      </c>
      <c r="E5175">
        <v>1986</v>
      </c>
      <c r="F5175" s="1">
        <v>26451</v>
      </c>
      <c r="G5175">
        <v>1980</v>
      </c>
      <c r="H5175">
        <f>AVERAGEIFS(Table1[value],Table1[IndicatorCode],Table1[[#This Row],[IndicatorCode]])</f>
        <v>24902.88753799392</v>
      </c>
      <c r="I5175" cm="1">
        <f t="array" ref="I5175">_xlfn.STDEV.P(IF(Table1[IndicatorCode]=Table1[[#This Row],[IndicatorCode]],Table1[value]))</f>
        <v>26324.778297809873</v>
      </c>
      <c r="J5175">
        <f>(Table1[[#This Row],[value]] - Table1[[#This Row],[mean]]) / Table1[[#This Row],[std_dev]]</f>
        <v>5.8808186131424224E-2</v>
      </c>
      <c r="K5175">
        <f>AVERAGEIF(Table1[CountryCode],Table1[[#This Row],[CountryCode]],Table1[z-score])</f>
        <v>0.40817616735273116</v>
      </c>
      <c r="L5175" t="e">
        <f>VLOOKUP(Table1[[#This Row],[CountryCode]],[1]!Table1[#All],1,FALSE)</f>
        <v>#REF!</v>
      </c>
    </row>
    <row r="5176" spans="1:12" hidden="1" x14ac:dyDescent="0.3">
      <c r="A5176" t="s">
        <v>35</v>
      </c>
      <c r="B5176" t="s">
        <v>36</v>
      </c>
      <c r="C5176" t="s">
        <v>127</v>
      </c>
      <c r="D5176" t="s">
        <v>128</v>
      </c>
      <c r="E5176">
        <v>1987</v>
      </c>
      <c r="F5176" s="1">
        <v>26781</v>
      </c>
      <c r="G5176">
        <v>1990</v>
      </c>
      <c r="H5176">
        <f>AVERAGEIFS(Table1[value],Table1[IndicatorCode],Table1[[#This Row],[IndicatorCode]])</f>
        <v>24902.88753799392</v>
      </c>
      <c r="I5176" cm="1">
        <f t="array" ref="I5176">_xlfn.STDEV.P(IF(Table1[IndicatorCode]=Table1[[#This Row],[IndicatorCode]],Table1[value]))</f>
        <v>26324.778297809873</v>
      </c>
      <c r="J5176">
        <f>(Table1[[#This Row],[value]] - Table1[[#This Row],[mean]]) / Table1[[#This Row],[std_dev]]</f>
        <v>7.1343904239540443E-2</v>
      </c>
      <c r="K5176">
        <f>AVERAGEIF(Table1[CountryCode],Table1[[#This Row],[CountryCode]],Table1[z-score])</f>
        <v>0.40817616735273116</v>
      </c>
      <c r="L5176" t="e">
        <f>VLOOKUP(Table1[[#This Row],[CountryCode]],[1]!Table1[#All],1,FALSE)</f>
        <v>#REF!</v>
      </c>
    </row>
    <row r="5177" spans="1:12" hidden="1" x14ac:dyDescent="0.3">
      <c r="A5177" t="s">
        <v>35</v>
      </c>
      <c r="B5177" t="s">
        <v>36</v>
      </c>
      <c r="C5177" t="s">
        <v>127</v>
      </c>
      <c r="D5177" t="s">
        <v>128</v>
      </c>
      <c r="E5177">
        <v>1988</v>
      </c>
      <c r="F5177" s="1">
        <v>27666</v>
      </c>
      <c r="G5177">
        <v>1990</v>
      </c>
      <c r="H5177">
        <f>AVERAGEIFS(Table1[value],Table1[IndicatorCode],Table1[[#This Row],[IndicatorCode]])</f>
        <v>24902.88753799392</v>
      </c>
      <c r="I5177" cm="1">
        <f t="array" ref="I5177">_xlfn.STDEV.P(IF(Table1[IndicatorCode]=Table1[[#This Row],[IndicatorCode]],Table1[value]))</f>
        <v>26324.778297809873</v>
      </c>
      <c r="J5177">
        <f>(Table1[[#This Row],[value]] - Table1[[#This Row],[mean]]) / Table1[[#This Row],[std_dev]]</f>
        <v>0.10496242098403392</v>
      </c>
      <c r="K5177">
        <f>AVERAGEIF(Table1[CountryCode],Table1[[#This Row],[CountryCode]],Table1[z-score])</f>
        <v>0.40817616735273116</v>
      </c>
      <c r="L5177" t="e">
        <f>VLOOKUP(Table1[[#This Row],[CountryCode]],[1]!Table1[#All],1,FALSE)</f>
        <v>#REF!</v>
      </c>
    </row>
    <row r="5178" spans="1:12" hidden="1" x14ac:dyDescent="0.3">
      <c r="A5178" t="s">
        <v>35</v>
      </c>
      <c r="B5178" t="s">
        <v>36</v>
      </c>
      <c r="C5178" t="s">
        <v>127</v>
      </c>
      <c r="D5178" t="s">
        <v>128</v>
      </c>
      <c r="E5178">
        <v>1989</v>
      </c>
      <c r="F5178" s="1">
        <v>28522</v>
      </c>
      <c r="G5178">
        <v>1990</v>
      </c>
      <c r="H5178">
        <f>AVERAGEIFS(Table1[value],Table1[IndicatorCode],Table1[[#This Row],[IndicatorCode]])</f>
        <v>24902.88753799392</v>
      </c>
      <c r="I5178" cm="1">
        <f t="array" ref="I5178">_xlfn.STDEV.P(IF(Table1[IndicatorCode]=Table1[[#This Row],[IndicatorCode]],Table1[value]))</f>
        <v>26324.778297809873</v>
      </c>
      <c r="J5178">
        <f>(Table1[[#This Row],[value]] - Table1[[#This Row],[mean]]) / Table1[[#This Row],[std_dev]]</f>
        <v>0.137479314015996</v>
      </c>
      <c r="K5178">
        <f>AVERAGEIF(Table1[CountryCode],Table1[[#This Row],[CountryCode]],Table1[z-score])</f>
        <v>0.40817616735273116</v>
      </c>
      <c r="L5178" t="e">
        <f>VLOOKUP(Table1[[#This Row],[CountryCode]],[1]!Table1[#All],1,FALSE)</f>
        <v>#REF!</v>
      </c>
    </row>
    <row r="5179" spans="1:12" hidden="1" x14ac:dyDescent="0.3">
      <c r="A5179" t="s">
        <v>35</v>
      </c>
      <c r="B5179" t="s">
        <v>36</v>
      </c>
      <c r="C5179" t="s">
        <v>127</v>
      </c>
      <c r="D5179" t="s">
        <v>128</v>
      </c>
      <c r="E5179">
        <v>1990</v>
      </c>
      <c r="F5179" s="1">
        <v>29763</v>
      </c>
      <c r="G5179">
        <v>1990</v>
      </c>
      <c r="H5179">
        <f>AVERAGEIFS(Table1[value],Table1[IndicatorCode],Table1[[#This Row],[IndicatorCode]])</f>
        <v>24902.88753799392</v>
      </c>
      <c r="I5179" cm="1">
        <f t="array" ref="I5179">_xlfn.STDEV.P(IF(Table1[IndicatorCode]=Table1[[#This Row],[IndicatorCode]],Table1[value]))</f>
        <v>26324.778297809873</v>
      </c>
      <c r="J5179">
        <f>(Table1[[#This Row],[value]] - Table1[[#This Row],[mean]]) / Table1[[#This Row],[std_dev]]</f>
        <v>0.18462121150742697</v>
      </c>
      <c r="K5179">
        <f>AVERAGEIF(Table1[CountryCode],Table1[[#This Row],[CountryCode]],Table1[z-score])</f>
        <v>0.40817616735273116</v>
      </c>
      <c r="L5179" t="e">
        <f>VLOOKUP(Table1[[#This Row],[CountryCode]],[1]!Table1[#All],1,FALSE)</f>
        <v>#REF!</v>
      </c>
    </row>
    <row r="5180" spans="1:12" hidden="1" x14ac:dyDescent="0.3">
      <c r="A5180" t="s">
        <v>35</v>
      </c>
      <c r="B5180" t="s">
        <v>36</v>
      </c>
      <c r="C5180" t="s">
        <v>127</v>
      </c>
      <c r="D5180" t="s">
        <v>128</v>
      </c>
      <c r="E5180">
        <v>1991</v>
      </c>
      <c r="F5180" s="1">
        <v>31057</v>
      </c>
      <c r="G5180">
        <v>1990</v>
      </c>
      <c r="H5180">
        <f>AVERAGEIFS(Table1[value],Table1[IndicatorCode],Table1[[#This Row],[IndicatorCode]])</f>
        <v>24902.88753799392</v>
      </c>
      <c r="I5180" cm="1">
        <f t="array" ref="I5180">_xlfn.STDEV.P(IF(Table1[IndicatorCode]=Table1[[#This Row],[IndicatorCode]],Table1[value]))</f>
        <v>26324.778297809873</v>
      </c>
      <c r="J5180">
        <f>(Table1[[#This Row],[value]] - Table1[[#This Row],[mean]]) / Table1[[#This Row],[std_dev]]</f>
        <v>0.23377642130107057</v>
      </c>
      <c r="K5180">
        <f>AVERAGEIF(Table1[CountryCode],Table1[[#This Row],[CountryCode]],Table1[z-score])</f>
        <v>0.40817616735273116</v>
      </c>
      <c r="L5180" t="e">
        <f>VLOOKUP(Table1[[#This Row],[CountryCode]],[1]!Table1[#All],1,FALSE)</f>
        <v>#REF!</v>
      </c>
    </row>
    <row r="5181" spans="1:12" hidden="1" x14ac:dyDescent="0.3">
      <c r="A5181" t="s">
        <v>35</v>
      </c>
      <c r="B5181" t="s">
        <v>36</v>
      </c>
      <c r="C5181" t="s">
        <v>127</v>
      </c>
      <c r="D5181" t="s">
        <v>128</v>
      </c>
      <c r="E5181">
        <v>1992</v>
      </c>
      <c r="F5181" s="1">
        <v>31442</v>
      </c>
      <c r="G5181">
        <v>1990</v>
      </c>
      <c r="H5181">
        <f>AVERAGEIFS(Table1[value],Table1[IndicatorCode],Table1[[#This Row],[IndicatorCode]])</f>
        <v>24902.88753799392</v>
      </c>
      <c r="I5181" cm="1">
        <f t="array" ref="I5181">_xlfn.STDEV.P(IF(Table1[IndicatorCode]=Table1[[#This Row],[IndicatorCode]],Table1[value]))</f>
        <v>26324.778297809873</v>
      </c>
      <c r="J5181">
        <f>(Table1[[#This Row],[value]] - Table1[[#This Row],[mean]]) / Table1[[#This Row],[std_dev]]</f>
        <v>0.24840142576053947</v>
      </c>
      <c r="K5181">
        <f>AVERAGEIF(Table1[CountryCode],Table1[[#This Row],[CountryCode]],Table1[z-score])</f>
        <v>0.40817616735273116</v>
      </c>
      <c r="L5181" t="e">
        <f>VLOOKUP(Table1[[#This Row],[CountryCode]],[1]!Table1[#All],1,FALSE)</f>
        <v>#REF!</v>
      </c>
    </row>
    <row r="5182" spans="1:12" hidden="1" x14ac:dyDescent="0.3">
      <c r="A5182" t="s">
        <v>35</v>
      </c>
      <c r="B5182" t="s">
        <v>36</v>
      </c>
      <c r="C5182" t="s">
        <v>127</v>
      </c>
      <c r="D5182" t="s">
        <v>128</v>
      </c>
      <c r="E5182">
        <v>1993</v>
      </c>
      <c r="F5182" s="1">
        <v>30932</v>
      </c>
      <c r="G5182">
        <v>1990</v>
      </c>
      <c r="H5182">
        <f>AVERAGEIFS(Table1[value],Table1[IndicatorCode],Table1[[#This Row],[IndicatorCode]])</f>
        <v>24902.88753799392</v>
      </c>
      <c r="I5182" cm="1">
        <f t="array" ref="I5182">_xlfn.STDEV.P(IF(Table1[IndicatorCode]=Table1[[#This Row],[IndicatorCode]],Table1[value]))</f>
        <v>26324.778297809873</v>
      </c>
      <c r="J5182">
        <f>(Table1[[#This Row],[value]] - Table1[[#This Row],[mean]]) / Table1[[#This Row],[std_dev]]</f>
        <v>0.22902804322981443</v>
      </c>
      <c r="K5182">
        <f>AVERAGEIF(Table1[CountryCode],Table1[[#This Row],[CountryCode]],Table1[z-score])</f>
        <v>0.40817616735273116</v>
      </c>
      <c r="L5182" t="e">
        <f>VLOOKUP(Table1[[#This Row],[CountryCode]],[1]!Table1[#All],1,FALSE)</f>
        <v>#REF!</v>
      </c>
    </row>
    <row r="5183" spans="1:12" hidden="1" x14ac:dyDescent="0.3">
      <c r="A5183" t="s">
        <v>35</v>
      </c>
      <c r="B5183" t="s">
        <v>36</v>
      </c>
      <c r="C5183" t="s">
        <v>127</v>
      </c>
      <c r="D5183" t="s">
        <v>128</v>
      </c>
      <c r="E5183">
        <v>1994</v>
      </c>
      <c r="F5183" s="1">
        <v>31625</v>
      </c>
      <c r="G5183">
        <v>1990</v>
      </c>
      <c r="H5183">
        <f>AVERAGEIFS(Table1[value],Table1[IndicatorCode],Table1[[#This Row],[IndicatorCode]])</f>
        <v>24902.88753799392</v>
      </c>
      <c r="I5183" cm="1">
        <f t="array" ref="I5183">_xlfn.STDEV.P(IF(Table1[IndicatorCode]=Table1[[#This Row],[IndicatorCode]],Table1[value]))</f>
        <v>26324.778297809873</v>
      </c>
      <c r="J5183">
        <f>(Table1[[#This Row],[value]] - Table1[[#This Row],[mean]]) / Table1[[#This Row],[std_dev]]</f>
        <v>0.25535305125685848</v>
      </c>
      <c r="K5183">
        <f>AVERAGEIF(Table1[CountryCode],Table1[[#This Row],[CountryCode]],Table1[z-score])</f>
        <v>0.40817616735273116</v>
      </c>
      <c r="L5183" t="e">
        <f>VLOOKUP(Table1[[#This Row],[CountryCode]],[1]!Table1[#All],1,FALSE)</f>
        <v>#REF!</v>
      </c>
    </row>
    <row r="5184" spans="1:12" hidden="1" x14ac:dyDescent="0.3">
      <c r="A5184" t="s">
        <v>35</v>
      </c>
      <c r="B5184" t="s">
        <v>36</v>
      </c>
      <c r="C5184" t="s">
        <v>127</v>
      </c>
      <c r="D5184" t="s">
        <v>128</v>
      </c>
      <c r="E5184">
        <v>1995</v>
      </c>
      <c r="F5184" s="1">
        <v>32007</v>
      </c>
      <c r="G5184">
        <v>1990</v>
      </c>
      <c r="H5184">
        <f>AVERAGEIFS(Table1[value],Table1[IndicatorCode],Table1[[#This Row],[IndicatorCode]])</f>
        <v>24902.88753799392</v>
      </c>
      <c r="I5184" cm="1">
        <f t="array" ref="I5184">_xlfn.STDEV.P(IF(Table1[IndicatorCode]=Table1[[#This Row],[IndicatorCode]],Table1[value]))</f>
        <v>26324.778297809873</v>
      </c>
      <c r="J5184">
        <f>(Table1[[#This Row],[value]] - Table1[[#This Row],[mean]]) / Table1[[#This Row],[std_dev]]</f>
        <v>0.26986409464261724</v>
      </c>
      <c r="K5184">
        <f>AVERAGEIF(Table1[CountryCode],Table1[[#This Row],[CountryCode]],Table1[z-score])</f>
        <v>0.40817616735273116</v>
      </c>
      <c r="L5184" t="e">
        <f>VLOOKUP(Table1[[#This Row],[CountryCode]],[1]!Table1[#All],1,FALSE)</f>
        <v>#REF!</v>
      </c>
    </row>
    <row r="5185" spans="1:12" hidden="1" x14ac:dyDescent="0.3">
      <c r="A5185" t="s">
        <v>35</v>
      </c>
      <c r="B5185" t="s">
        <v>36</v>
      </c>
      <c r="C5185" t="s">
        <v>127</v>
      </c>
      <c r="D5185" t="s">
        <v>128</v>
      </c>
      <c r="E5185">
        <v>1996</v>
      </c>
      <c r="F5185" s="1">
        <v>32246</v>
      </c>
      <c r="G5185">
        <v>1990</v>
      </c>
      <c r="H5185">
        <f>AVERAGEIFS(Table1[value],Table1[IndicatorCode],Table1[[#This Row],[IndicatorCode]])</f>
        <v>24902.88753799392</v>
      </c>
      <c r="I5185" cm="1">
        <f t="array" ref="I5185">_xlfn.STDEV.P(IF(Table1[IndicatorCode]=Table1[[#This Row],[IndicatorCode]],Table1[value]))</f>
        <v>26324.778297809873</v>
      </c>
      <c r="J5185">
        <f>(Table1[[#This Row],[value]] - Table1[[#This Row],[mean]]) / Table1[[#This Row],[std_dev]]</f>
        <v>0.27894299351485896</v>
      </c>
      <c r="K5185">
        <f>AVERAGEIF(Table1[CountryCode],Table1[[#This Row],[CountryCode]],Table1[z-score])</f>
        <v>0.40817616735273116</v>
      </c>
      <c r="L5185" t="e">
        <f>VLOOKUP(Table1[[#This Row],[CountryCode]],[1]!Table1[#All],1,FALSE)</f>
        <v>#REF!</v>
      </c>
    </row>
    <row r="5186" spans="1:12" hidden="1" x14ac:dyDescent="0.3">
      <c r="A5186" t="s">
        <v>35</v>
      </c>
      <c r="B5186" t="s">
        <v>36</v>
      </c>
      <c r="C5186" t="s">
        <v>127</v>
      </c>
      <c r="D5186" t="s">
        <v>128</v>
      </c>
      <c r="E5186">
        <v>1997</v>
      </c>
      <c r="F5186" s="1">
        <v>32796</v>
      </c>
      <c r="G5186">
        <v>2000</v>
      </c>
      <c r="H5186">
        <f>AVERAGEIFS(Table1[value],Table1[IndicatorCode],Table1[[#This Row],[IndicatorCode]])</f>
        <v>24902.88753799392</v>
      </c>
      <c r="I5186" cm="1">
        <f t="array" ref="I5186">_xlfn.STDEV.P(IF(Table1[IndicatorCode]=Table1[[#This Row],[IndicatorCode]],Table1[value]))</f>
        <v>26324.778297809873</v>
      </c>
      <c r="J5186">
        <f>(Table1[[#This Row],[value]] - Table1[[#This Row],[mean]]) / Table1[[#This Row],[std_dev]]</f>
        <v>0.299835857028386</v>
      </c>
      <c r="K5186">
        <f>AVERAGEIF(Table1[CountryCode],Table1[[#This Row],[CountryCode]],Table1[z-score])</f>
        <v>0.40817616735273116</v>
      </c>
      <c r="L5186" t="e">
        <f>VLOOKUP(Table1[[#This Row],[CountryCode]],[1]!Table1[#All],1,FALSE)</f>
        <v>#REF!</v>
      </c>
    </row>
    <row r="5187" spans="1:12" hidden="1" x14ac:dyDescent="0.3">
      <c r="A5187" t="s">
        <v>35</v>
      </c>
      <c r="B5187" t="s">
        <v>36</v>
      </c>
      <c r="C5187" t="s">
        <v>127</v>
      </c>
      <c r="D5187" t="s">
        <v>128</v>
      </c>
      <c r="E5187">
        <v>1998</v>
      </c>
      <c r="F5187" s="1">
        <v>33478</v>
      </c>
      <c r="G5187">
        <v>2000</v>
      </c>
      <c r="H5187">
        <f>AVERAGEIFS(Table1[value],Table1[IndicatorCode],Table1[[#This Row],[IndicatorCode]])</f>
        <v>24902.88753799392</v>
      </c>
      <c r="I5187" cm="1">
        <f t="array" ref="I5187">_xlfn.STDEV.P(IF(Table1[IndicatorCode]=Table1[[#This Row],[IndicatorCode]],Table1[value]))</f>
        <v>26324.778297809873</v>
      </c>
      <c r="J5187">
        <f>(Table1[[#This Row],[value]] - Table1[[#This Row],[mean]]) / Table1[[#This Row],[std_dev]]</f>
        <v>0.32574300778515952</v>
      </c>
      <c r="K5187">
        <f>AVERAGEIF(Table1[CountryCode],Table1[[#This Row],[CountryCode]],Table1[z-score])</f>
        <v>0.40817616735273116</v>
      </c>
      <c r="L5187" t="e">
        <f>VLOOKUP(Table1[[#This Row],[CountryCode]],[1]!Table1[#All],1,FALSE)</f>
        <v>#REF!</v>
      </c>
    </row>
    <row r="5188" spans="1:12" hidden="1" x14ac:dyDescent="0.3">
      <c r="A5188" t="s">
        <v>35</v>
      </c>
      <c r="B5188" t="s">
        <v>36</v>
      </c>
      <c r="C5188" t="s">
        <v>127</v>
      </c>
      <c r="D5188" t="s">
        <v>128</v>
      </c>
      <c r="E5188">
        <v>1999</v>
      </c>
      <c r="F5188" s="1">
        <v>34169</v>
      </c>
      <c r="G5188">
        <v>2000</v>
      </c>
      <c r="H5188">
        <f>AVERAGEIFS(Table1[value],Table1[IndicatorCode],Table1[[#This Row],[IndicatorCode]])</f>
        <v>24902.88753799392</v>
      </c>
      <c r="I5188" cm="1">
        <f t="array" ref="I5188">_xlfn.STDEV.P(IF(Table1[IndicatorCode]=Table1[[#This Row],[IndicatorCode]],Table1[value]))</f>
        <v>26324.778297809873</v>
      </c>
      <c r="J5188">
        <f>(Table1[[#This Row],[value]] - Table1[[#This Row],[mean]]) / Table1[[#This Row],[std_dev]]</f>
        <v>0.35199204176306348</v>
      </c>
      <c r="K5188">
        <f>AVERAGEIF(Table1[CountryCode],Table1[[#This Row],[CountryCode]],Table1[z-score])</f>
        <v>0.40817616735273116</v>
      </c>
      <c r="L5188" t="e">
        <f>VLOOKUP(Table1[[#This Row],[CountryCode]],[1]!Table1[#All],1,FALSE)</f>
        <v>#REF!</v>
      </c>
    </row>
    <row r="5189" spans="1:12" hidden="1" x14ac:dyDescent="0.3">
      <c r="A5189" t="s">
        <v>35</v>
      </c>
      <c r="B5189" t="s">
        <v>36</v>
      </c>
      <c r="C5189" t="s">
        <v>127</v>
      </c>
      <c r="D5189" t="s">
        <v>128</v>
      </c>
      <c r="E5189">
        <v>2000</v>
      </c>
      <c r="F5189" s="1">
        <v>35104</v>
      </c>
      <c r="G5189">
        <v>2000</v>
      </c>
      <c r="H5189">
        <f>AVERAGEIFS(Table1[value],Table1[IndicatorCode],Table1[[#This Row],[IndicatorCode]])</f>
        <v>24902.88753799392</v>
      </c>
      <c r="I5189" cm="1">
        <f t="array" ref="I5189">_xlfn.STDEV.P(IF(Table1[IndicatorCode]=Table1[[#This Row],[IndicatorCode]],Table1[value]))</f>
        <v>26324.778297809873</v>
      </c>
      <c r="J5189">
        <f>(Table1[[#This Row],[value]] - Table1[[#This Row],[mean]]) / Table1[[#This Row],[std_dev]]</f>
        <v>0.38750990973605942</v>
      </c>
      <c r="K5189">
        <f>AVERAGEIF(Table1[CountryCode],Table1[[#This Row],[CountryCode]],Table1[z-score])</f>
        <v>0.40817616735273116</v>
      </c>
      <c r="L5189" t="e">
        <f>VLOOKUP(Table1[[#This Row],[CountryCode]],[1]!Table1[#All],1,FALSE)</f>
        <v>#REF!</v>
      </c>
    </row>
    <row r="5190" spans="1:12" hidden="1" x14ac:dyDescent="0.3">
      <c r="A5190" t="s">
        <v>35</v>
      </c>
      <c r="B5190" t="s">
        <v>36</v>
      </c>
      <c r="C5190" t="s">
        <v>127</v>
      </c>
      <c r="D5190" t="s">
        <v>128</v>
      </c>
      <c r="E5190">
        <v>2001</v>
      </c>
      <c r="F5190" s="1">
        <v>35619</v>
      </c>
      <c r="G5190">
        <v>2000</v>
      </c>
      <c r="H5190">
        <f>AVERAGEIFS(Table1[value],Table1[IndicatorCode],Table1[[#This Row],[IndicatorCode]])</f>
        <v>24902.88753799392</v>
      </c>
      <c r="I5190" cm="1">
        <f t="array" ref="I5190">_xlfn.STDEV.P(IF(Table1[IndicatorCode]=Table1[[#This Row],[IndicatorCode]],Table1[value]))</f>
        <v>26324.778297809873</v>
      </c>
      <c r="J5190">
        <f>(Table1[[#This Row],[value]] - Table1[[#This Row],[mean]]) / Table1[[#This Row],[std_dev]]</f>
        <v>0.40707322738963475</v>
      </c>
      <c r="K5190">
        <f>AVERAGEIF(Table1[CountryCode],Table1[[#This Row],[CountryCode]],Table1[z-score])</f>
        <v>0.40817616735273116</v>
      </c>
      <c r="L5190" t="e">
        <f>VLOOKUP(Table1[[#This Row],[CountryCode]],[1]!Table1[#All],1,FALSE)</f>
        <v>#REF!</v>
      </c>
    </row>
    <row r="5191" spans="1:12" hidden="1" x14ac:dyDescent="0.3">
      <c r="A5191" t="s">
        <v>35</v>
      </c>
      <c r="B5191" t="s">
        <v>36</v>
      </c>
      <c r="C5191" t="s">
        <v>127</v>
      </c>
      <c r="D5191" t="s">
        <v>128</v>
      </c>
      <c r="E5191">
        <v>2002</v>
      </c>
      <c r="F5191" s="1">
        <v>35478</v>
      </c>
      <c r="G5191">
        <v>2000</v>
      </c>
      <c r="H5191">
        <f>AVERAGEIFS(Table1[value],Table1[IndicatorCode],Table1[[#This Row],[IndicatorCode]])</f>
        <v>24902.88753799392</v>
      </c>
      <c r="I5191" cm="1">
        <f t="array" ref="I5191">_xlfn.STDEV.P(IF(Table1[IndicatorCode]=Table1[[#This Row],[IndicatorCode]],Table1[value]))</f>
        <v>26324.778297809873</v>
      </c>
      <c r="J5191">
        <f>(Table1[[#This Row],[value]] - Table1[[#This Row],[mean]]) / Table1[[#This Row],[std_dev]]</f>
        <v>0.40171705692525783</v>
      </c>
      <c r="K5191">
        <f>AVERAGEIF(Table1[CountryCode],Table1[[#This Row],[CountryCode]],Table1[z-score])</f>
        <v>0.40817616735273116</v>
      </c>
      <c r="L5191" t="e">
        <f>VLOOKUP(Table1[[#This Row],[CountryCode]],[1]!Table1[#All],1,FALSE)</f>
        <v>#REF!</v>
      </c>
    </row>
    <row r="5192" spans="1:12" hidden="1" x14ac:dyDescent="0.3">
      <c r="A5192" t="s">
        <v>35</v>
      </c>
      <c r="B5192" t="s">
        <v>36</v>
      </c>
      <c r="C5192" t="s">
        <v>127</v>
      </c>
      <c r="D5192" t="s">
        <v>128</v>
      </c>
      <c r="E5192">
        <v>2003</v>
      </c>
      <c r="F5192" s="1">
        <v>35270</v>
      </c>
      <c r="G5192">
        <v>2000</v>
      </c>
      <c r="H5192">
        <f>AVERAGEIFS(Table1[value],Table1[IndicatorCode],Table1[[#This Row],[IndicatorCode]])</f>
        <v>24902.88753799392</v>
      </c>
      <c r="I5192" cm="1">
        <f t="array" ref="I5192">_xlfn.STDEV.P(IF(Table1[IndicatorCode]=Table1[[#This Row],[IndicatorCode]],Table1[value]))</f>
        <v>26324.778297809873</v>
      </c>
      <c r="J5192">
        <f>(Table1[[#This Row],[value]] - Table1[[#This Row],[mean]]) / Table1[[#This Row],[std_dev]]</f>
        <v>0.39381575581468758</v>
      </c>
      <c r="K5192">
        <f>AVERAGEIF(Table1[CountryCode],Table1[[#This Row],[CountryCode]],Table1[z-score])</f>
        <v>0.40817616735273116</v>
      </c>
      <c r="L5192" t="e">
        <f>VLOOKUP(Table1[[#This Row],[CountryCode]],[1]!Table1[#All],1,FALSE)</f>
        <v>#REF!</v>
      </c>
    </row>
    <row r="5193" spans="1:12" hidden="1" x14ac:dyDescent="0.3">
      <c r="A5193" t="s">
        <v>35</v>
      </c>
      <c r="B5193" t="s">
        <v>36</v>
      </c>
      <c r="C5193" t="s">
        <v>127</v>
      </c>
      <c r="D5193" t="s">
        <v>128</v>
      </c>
      <c r="E5193">
        <v>2004</v>
      </c>
      <c r="F5193" s="1">
        <v>35688</v>
      </c>
      <c r="G5193">
        <v>2000</v>
      </c>
      <c r="H5193">
        <f>AVERAGEIFS(Table1[value],Table1[IndicatorCode],Table1[[#This Row],[IndicatorCode]])</f>
        <v>24902.88753799392</v>
      </c>
      <c r="I5193" cm="1">
        <f t="array" ref="I5193">_xlfn.STDEV.P(IF(Table1[IndicatorCode]=Table1[[#This Row],[IndicatorCode]],Table1[value]))</f>
        <v>26324.778297809873</v>
      </c>
      <c r="J5193">
        <f>(Table1[[#This Row],[value]] - Table1[[#This Row],[mean]]) / Table1[[#This Row],[std_dev]]</f>
        <v>0.40969433208496814</v>
      </c>
      <c r="K5193">
        <f>AVERAGEIF(Table1[CountryCode],Table1[[#This Row],[CountryCode]],Table1[z-score])</f>
        <v>0.40817616735273116</v>
      </c>
      <c r="L5193" t="e">
        <f>VLOOKUP(Table1[[#This Row],[CountryCode]],[1]!Table1[#All],1,FALSE)</f>
        <v>#REF!</v>
      </c>
    </row>
    <row r="5194" spans="1:12" hidden="1" x14ac:dyDescent="0.3">
      <c r="A5194" t="s">
        <v>35</v>
      </c>
      <c r="B5194" t="s">
        <v>36</v>
      </c>
      <c r="C5194" t="s">
        <v>127</v>
      </c>
      <c r="D5194" t="s">
        <v>128</v>
      </c>
      <c r="E5194">
        <v>2005</v>
      </c>
      <c r="F5194" s="1">
        <v>36024</v>
      </c>
      <c r="G5194">
        <v>2000</v>
      </c>
      <c r="H5194">
        <f>AVERAGEIFS(Table1[value],Table1[IndicatorCode],Table1[[#This Row],[IndicatorCode]])</f>
        <v>24902.88753799392</v>
      </c>
      <c r="I5194" cm="1">
        <f t="array" ref="I5194">_xlfn.STDEV.P(IF(Table1[IndicatorCode]=Table1[[#This Row],[IndicatorCode]],Table1[value]))</f>
        <v>26324.778297809873</v>
      </c>
      <c r="J5194">
        <f>(Table1[[#This Row],[value]] - Table1[[#This Row],[mean]]) / Table1[[#This Row],[std_dev]]</f>
        <v>0.42245797234050464</v>
      </c>
      <c r="K5194">
        <f>AVERAGEIF(Table1[CountryCode],Table1[[#This Row],[CountryCode]],Table1[z-score])</f>
        <v>0.40817616735273116</v>
      </c>
      <c r="L5194" t="e">
        <f>VLOOKUP(Table1[[#This Row],[CountryCode]],[1]!Table1[#All],1,FALSE)</f>
        <v>#REF!</v>
      </c>
    </row>
    <row r="5195" spans="1:12" hidden="1" x14ac:dyDescent="0.3">
      <c r="A5195" t="s">
        <v>35</v>
      </c>
      <c r="B5195" t="s">
        <v>36</v>
      </c>
      <c r="C5195" t="s">
        <v>127</v>
      </c>
      <c r="D5195" t="s">
        <v>128</v>
      </c>
      <c r="E5195">
        <v>2006</v>
      </c>
      <c r="F5195" s="1">
        <v>37459</v>
      </c>
      <c r="G5195">
        <v>2000</v>
      </c>
      <c r="H5195">
        <f>AVERAGEIFS(Table1[value],Table1[IndicatorCode],Table1[[#This Row],[IndicatorCode]])</f>
        <v>24902.88753799392</v>
      </c>
      <c r="I5195" cm="1">
        <f t="array" ref="I5195">_xlfn.STDEV.P(IF(Table1[IndicatorCode]=Table1[[#This Row],[IndicatorCode]],Table1[value]))</f>
        <v>26324.778297809873</v>
      </c>
      <c r="J5195">
        <f>(Table1[[#This Row],[value]] - Table1[[#This Row],[mean]]) / Table1[[#This Row],[std_dev]]</f>
        <v>0.47696935259852513</v>
      </c>
      <c r="K5195">
        <f>AVERAGEIF(Table1[CountryCode],Table1[[#This Row],[CountryCode]],Table1[z-score])</f>
        <v>0.40817616735273116</v>
      </c>
      <c r="L5195" t="e">
        <f>VLOOKUP(Table1[[#This Row],[CountryCode]],[1]!Table1[#All],1,FALSE)</f>
        <v>#REF!</v>
      </c>
    </row>
    <row r="5196" spans="1:12" hidden="1" x14ac:dyDescent="0.3">
      <c r="A5196" t="s">
        <v>35</v>
      </c>
      <c r="B5196" t="s">
        <v>36</v>
      </c>
      <c r="C5196" t="s">
        <v>127</v>
      </c>
      <c r="D5196" t="s">
        <v>128</v>
      </c>
      <c r="E5196">
        <v>2007</v>
      </c>
      <c r="F5196" s="1">
        <v>38593</v>
      </c>
      <c r="G5196">
        <v>2010</v>
      </c>
      <c r="H5196">
        <f>AVERAGEIFS(Table1[value],Table1[IndicatorCode],Table1[[#This Row],[IndicatorCode]])</f>
        <v>24902.88753799392</v>
      </c>
      <c r="I5196" cm="1">
        <f t="array" ref="I5196">_xlfn.STDEV.P(IF(Table1[IndicatorCode]=Table1[[#This Row],[IndicatorCode]],Table1[value]))</f>
        <v>26324.778297809873</v>
      </c>
      <c r="J5196">
        <f>(Table1[[#This Row],[value]] - Table1[[#This Row],[mean]]) / Table1[[#This Row],[std_dev]]</f>
        <v>0.52004663846096089</v>
      </c>
      <c r="K5196">
        <f>AVERAGEIF(Table1[CountryCode],Table1[[#This Row],[CountryCode]],Table1[z-score])</f>
        <v>0.40817616735273116</v>
      </c>
      <c r="L5196" t="e">
        <f>VLOOKUP(Table1[[#This Row],[CountryCode]],[1]!Table1[#All],1,FALSE)</f>
        <v>#REF!</v>
      </c>
    </row>
    <row r="5197" spans="1:12" hidden="1" x14ac:dyDescent="0.3">
      <c r="A5197" t="s">
        <v>35</v>
      </c>
      <c r="B5197" t="s">
        <v>36</v>
      </c>
      <c r="C5197" t="s">
        <v>127</v>
      </c>
      <c r="D5197" t="s">
        <v>128</v>
      </c>
      <c r="E5197">
        <v>2008</v>
      </c>
      <c r="F5197" s="1">
        <v>39010</v>
      </c>
      <c r="G5197">
        <v>2010</v>
      </c>
      <c r="H5197">
        <f>AVERAGEIFS(Table1[value],Table1[IndicatorCode],Table1[[#This Row],[IndicatorCode]])</f>
        <v>24902.88753799392</v>
      </c>
      <c r="I5197" cm="1">
        <f t="array" ref="I5197">_xlfn.STDEV.P(IF(Table1[IndicatorCode]=Table1[[#This Row],[IndicatorCode]],Table1[value]))</f>
        <v>26324.778297809873</v>
      </c>
      <c r="J5197">
        <f>(Table1[[#This Row],[value]] - Table1[[#This Row],[mean]]) / Table1[[#This Row],[std_dev]]</f>
        <v>0.53588722770667141</v>
      </c>
      <c r="K5197">
        <f>AVERAGEIF(Table1[CountryCode],Table1[[#This Row],[CountryCode]],Table1[z-score])</f>
        <v>0.40817616735273116</v>
      </c>
      <c r="L5197" t="e">
        <f>VLOOKUP(Table1[[#This Row],[CountryCode]],[1]!Table1[#All],1,FALSE)</f>
        <v>#REF!</v>
      </c>
    </row>
    <row r="5198" spans="1:12" hidden="1" x14ac:dyDescent="0.3">
      <c r="A5198" t="s">
        <v>35</v>
      </c>
      <c r="B5198" t="s">
        <v>36</v>
      </c>
      <c r="C5198" t="s">
        <v>127</v>
      </c>
      <c r="D5198" t="s">
        <v>128</v>
      </c>
      <c r="E5198">
        <v>2009</v>
      </c>
      <c r="F5198" s="1">
        <v>36940</v>
      </c>
      <c r="G5198">
        <v>2010</v>
      </c>
      <c r="H5198">
        <f>AVERAGEIFS(Table1[value],Table1[IndicatorCode],Table1[[#This Row],[IndicatorCode]])</f>
        <v>24902.88753799392</v>
      </c>
      <c r="I5198" cm="1">
        <f t="array" ref="I5198">_xlfn.STDEV.P(IF(Table1[IndicatorCode]=Table1[[#This Row],[IndicatorCode]],Table1[value]))</f>
        <v>26324.778297809873</v>
      </c>
      <c r="J5198">
        <f>(Table1[[#This Row],[value]] - Table1[[#This Row],[mean]]) / Table1[[#This Row],[std_dev]]</f>
        <v>0.45725408684666963</v>
      </c>
      <c r="K5198">
        <f>AVERAGEIF(Table1[CountryCode],Table1[[#This Row],[CountryCode]],Table1[z-score])</f>
        <v>0.40817616735273116</v>
      </c>
      <c r="L5198" t="e">
        <f>VLOOKUP(Table1[[#This Row],[CountryCode]],[1]!Table1[#All],1,FALSE)</f>
        <v>#REF!</v>
      </c>
    </row>
    <row r="5199" spans="1:12" hidden="1" x14ac:dyDescent="0.3">
      <c r="A5199" t="s">
        <v>35</v>
      </c>
      <c r="B5199" t="s">
        <v>36</v>
      </c>
      <c r="C5199" t="s">
        <v>127</v>
      </c>
      <c r="D5199" t="s">
        <v>128</v>
      </c>
      <c r="E5199">
        <v>2010</v>
      </c>
      <c r="F5199" s="1">
        <v>38527</v>
      </c>
      <c r="G5199">
        <v>2010</v>
      </c>
      <c r="H5199">
        <f>AVERAGEIFS(Table1[value],Table1[IndicatorCode],Table1[[#This Row],[IndicatorCode]])</f>
        <v>24902.88753799392</v>
      </c>
      <c r="I5199" cm="1">
        <f t="array" ref="I5199">_xlfn.STDEV.P(IF(Table1[IndicatorCode]=Table1[[#This Row],[IndicatorCode]],Table1[value]))</f>
        <v>26324.778297809873</v>
      </c>
      <c r="J5199">
        <f>(Table1[[#This Row],[value]] - Table1[[#This Row],[mean]]) / Table1[[#This Row],[std_dev]]</f>
        <v>0.51753949483933759</v>
      </c>
      <c r="K5199">
        <f>AVERAGEIF(Table1[CountryCode],Table1[[#This Row],[CountryCode]],Table1[z-score])</f>
        <v>0.40817616735273116</v>
      </c>
      <c r="L5199" t="e">
        <f>VLOOKUP(Table1[[#This Row],[CountryCode]],[1]!Table1[#All],1,FALSE)</f>
        <v>#REF!</v>
      </c>
    </row>
    <row r="5200" spans="1:12" hidden="1" x14ac:dyDescent="0.3">
      <c r="A5200" t="s">
        <v>35</v>
      </c>
      <c r="B5200" t="s">
        <v>36</v>
      </c>
      <c r="C5200" t="s">
        <v>127</v>
      </c>
      <c r="D5200" t="s">
        <v>128</v>
      </c>
      <c r="E5200">
        <v>2011</v>
      </c>
      <c r="F5200" s="1">
        <v>40722</v>
      </c>
      <c r="G5200">
        <v>2010</v>
      </c>
      <c r="H5200">
        <f>AVERAGEIFS(Table1[value],Table1[IndicatorCode],Table1[[#This Row],[IndicatorCode]])</f>
        <v>24902.88753799392</v>
      </c>
      <c r="I5200" cm="1">
        <f t="array" ref="I5200">_xlfn.STDEV.P(IF(Table1[IndicatorCode]=Table1[[#This Row],[IndicatorCode]],Table1[value]))</f>
        <v>26324.778297809873</v>
      </c>
      <c r="J5200">
        <f>(Table1[[#This Row],[value]] - Table1[[#This Row],[mean]]) / Table1[[#This Row],[std_dev]]</f>
        <v>0.60092101377059548</v>
      </c>
      <c r="K5200">
        <f>AVERAGEIF(Table1[CountryCode],Table1[[#This Row],[CountryCode]],Table1[z-score])</f>
        <v>0.40817616735273116</v>
      </c>
      <c r="L5200" t="e">
        <f>VLOOKUP(Table1[[#This Row],[CountryCode]],[1]!Table1[#All],1,FALSE)</f>
        <v>#REF!</v>
      </c>
    </row>
    <row r="5201" spans="1:12" hidden="1" x14ac:dyDescent="0.3">
      <c r="A5201" t="s">
        <v>35</v>
      </c>
      <c r="B5201" t="s">
        <v>36</v>
      </c>
      <c r="C5201" t="s">
        <v>127</v>
      </c>
      <c r="D5201" t="s">
        <v>128</v>
      </c>
      <c r="E5201">
        <v>2012</v>
      </c>
      <c r="F5201" s="1">
        <v>40835</v>
      </c>
      <c r="G5201">
        <v>2010</v>
      </c>
      <c r="H5201">
        <f>AVERAGEIFS(Table1[value],Table1[IndicatorCode],Table1[[#This Row],[IndicatorCode]])</f>
        <v>24902.88753799392</v>
      </c>
      <c r="I5201" cm="1">
        <f t="array" ref="I5201">_xlfn.STDEV.P(IF(Table1[IndicatorCode]=Table1[[#This Row],[IndicatorCode]],Table1[value]))</f>
        <v>26324.778297809873</v>
      </c>
      <c r="J5201">
        <f>(Table1[[#This Row],[value]] - Table1[[#This Row],[mean]]) / Table1[[#This Row],[std_dev]]</f>
        <v>0.60521354754701107</v>
      </c>
      <c r="K5201">
        <f>AVERAGEIF(Table1[CountryCode],Table1[[#This Row],[CountryCode]],Table1[z-score])</f>
        <v>0.40817616735273116</v>
      </c>
      <c r="L5201" t="e">
        <f>VLOOKUP(Table1[[#This Row],[CountryCode]],[1]!Table1[#All],1,FALSE)</f>
        <v>#REF!</v>
      </c>
    </row>
    <row r="5202" spans="1:12" hidden="1" x14ac:dyDescent="0.3">
      <c r="A5202" t="s">
        <v>35</v>
      </c>
      <c r="B5202" t="s">
        <v>36</v>
      </c>
      <c r="C5202" t="s">
        <v>127</v>
      </c>
      <c r="D5202" t="s">
        <v>128</v>
      </c>
      <c r="E5202">
        <v>2013</v>
      </c>
      <c r="F5202" s="1">
        <v>40885</v>
      </c>
      <c r="G5202">
        <v>2010</v>
      </c>
      <c r="H5202">
        <f>AVERAGEIFS(Table1[value],Table1[IndicatorCode],Table1[[#This Row],[IndicatorCode]])</f>
        <v>24902.88753799392</v>
      </c>
      <c r="I5202" cm="1">
        <f t="array" ref="I5202">_xlfn.STDEV.P(IF(Table1[IndicatorCode]=Table1[[#This Row],[IndicatorCode]],Table1[value]))</f>
        <v>26324.778297809873</v>
      </c>
      <c r="J5202">
        <f>(Table1[[#This Row],[value]] - Table1[[#This Row],[mean]]) / Table1[[#This Row],[std_dev]]</f>
        <v>0.60711289877551355</v>
      </c>
      <c r="K5202">
        <f>AVERAGEIF(Table1[CountryCode],Table1[[#This Row],[CountryCode]],Table1[z-score])</f>
        <v>0.40817616735273116</v>
      </c>
      <c r="L5202" t="e">
        <f>VLOOKUP(Table1[[#This Row],[CountryCode]],[1]!Table1[#All],1,FALSE)</f>
        <v>#REF!</v>
      </c>
    </row>
    <row r="5203" spans="1:12" hidden="1" x14ac:dyDescent="0.3">
      <c r="A5203" t="s">
        <v>35</v>
      </c>
      <c r="B5203" t="s">
        <v>36</v>
      </c>
      <c r="C5203" t="s">
        <v>127</v>
      </c>
      <c r="D5203" t="s">
        <v>128</v>
      </c>
      <c r="E5203">
        <v>2014</v>
      </c>
      <c r="F5203" s="1">
        <v>41602</v>
      </c>
      <c r="G5203">
        <v>2010</v>
      </c>
      <c r="H5203">
        <f>AVERAGEIFS(Table1[value],Table1[IndicatorCode],Table1[[#This Row],[IndicatorCode]])</f>
        <v>24902.88753799392</v>
      </c>
      <c r="I5203" cm="1">
        <f t="array" ref="I5203">_xlfn.STDEV.P(IF(Table1[IndicatorCode]=Table1[[#This Row],[IndicatorCode]],Table1[value]))</f>
        <v>26324.778297809873</v>
      </c>
      <c r="J5203">
        <f>(Table1[[#This Row],[value]] - Table1[[#This Row],[mean]]) / Table1[[#This Row],[std_dev]]</f>
        <v>0.63434959539223879</v>
      </c>
      <c r="K5203">
        <f>AVERAGEIF(Table1[CountryCode],Table1[[#This Row],[CountryCode]],Table1[z-score])</f>
        <v>0.40817616735273116</v>
      </c>
      <c r="L5203" t="e">
        <f>VLOOKUP(Table1[[#This Row],[CountryCode]],[1]!Table1[#All],1,FALSE)</f>
        <v>#REF!</v>
      </c>
    </row>
    <row r="5204" spans="1:12" hidden="1" x14ac:dyDescent="0.3">
      <c r="A5204" t="s">
        <v>35</v>
      </c>
      <c r="B5204" t="s">
        <v>36</v>
      </c>
      <c r="C5204" t="s">
        <v>127</v>
      </c>
      <c r="D5204" t="s">
        <v>128</v>
      </c>
      <c r="E5204">
        <v>2015</v>
      </c>
      <c r="F5204" s="1">
        <v>41930</v>
      </c>
      <c r="G5204">
        <v>2010</v>
      </c>
      <c r="H5204">
        <f>AVERAGEIFS(Table1[value],Table1[IndicatorCode],Table1[[#This Row],[IndicatorCode]])</f>
        <v>24902.88753799392</v>
      </c>
      <c r="I5204" cm="1">
        <f t="array" ref="I5204">_xlfn.STDEV.P(IF(Table1[IndicatorCode]=Table1[[#This Row],[IndicatorCode]],Table1[value]))</f>
        <v>26324.778297809873</v>
      </c>
      <c r="J5204">
        <f>(Table1[[#This Row],[value]] - Table1[[#This Row],[mean]]) / Table1[[#This Row],[std_dev]]</f>
        <v>0.64680933945121488</v>
      </c>
      <c r="K5204">
        <f>AVERAGEIF(Table1[CountryCode],Table1[[#This Row],[CountryCode]],Table1[z-score])</f>
        <v>0.40817616735273116</v>
      </c>
      <c r="L5204" t="e">
        <f>VLOOKUP(Table1[[#This Row],[CountryCode]],[1]!Table1[#All],1,FALSE)</f>
        <v>#REF!</v>
      </c>
    </row>
    <row r="5205" spans="1:12" hidden="1" x14ac:dyDescent="0.3">
      <c r="A5205" t="s">
        <v>35</v>
      </c>
      <c r="B5205" t="s">
        <v>36</v>
      </c>
      <c r="C5205" t="s">
        <v>127</v>
      </c>
      <c r="D5205" t="s">
        <v>128</v>
      </c>
      <c r="E5205">
        <v>2016</v>
      </c>
      <c r="F5205" s="1">
        <v>42517</v>
      </c>
      <c r="G5205">
        <v>2010</v>
      </c>
      <c r="H5205">
        <f>AVERAGEIFS(Table1[value],Table1[IndicatorCode],Table1[[#This Row],[IndicatorCode]])</f>
        <v>24902.88753799392</v>
      </c>
      <c r="I5205" cm="1">
        <f t="array" ref="I5205">_xlfn.STDEV.P(IF(Table1[IndicatorCode]=Table1[[#This Row],[IndicatorCode]],Table1[value]))</f>
        <v>26324.778297809873</v>
      </c>
      <c r="J5205">
        <f>(Table1[[#This Row],[value]] - Table1[[#This Row],[mean]]) / Table1[[#This Row],[std_dev]]</f>
        <v>0.66910772287383369</v>
      </c>
      <c r="K5205">
        <f>AVERAGEIF(Table1[CountryCode],Table1[[#This Row],[CountryCode]],Table1[z-score])</f>
        <v>0.40817616735273116</v>
      </c>
      <c r="L5205" t="e">
        <f>VLOOKUP(Table1[[#This Row],[CountryCode]],[1]!Table1[#All],1,FALSE)</f>
        <v>#REF!</v>
      </c>
    </row>
    <row r="5206" spans="1:12" hidden="1" x14ac:dyDescent="0.3">
      <c r="A5206" t="s">
        <v>35</v>
      </c>
      <c r="B5206" t="s">
        <v>36</v>
      </c>
      <c r="C5206" t="s">
        <v>127</v>
      </c>
      <c r="D5206" t="s">
        <v>128</v>
      </c>
      <c r="E5206">
        <v>2017</v>
      </c>
      <c r="F5206" s="1">
        <v>43543</v>
      </c>
      <c r="G5206">
        <v>2020</v>
      </c>
      <c r="H5206">
        <f>AVERAGEIFS(Table1[value],Table1[IndicatorCode],Table1[[#This Row],[IndicatorCode]])</f>
        <v>24902.88753799392</v>
      </c>
      <c r="I5206" cm="1">
        <f t="array" ref="I5206">_xlfn.STDEV.P(IF(Table1[IndicatorCode]=Table1[[#This Row],[IndicatorCode]],Table1[value]))</f>
        <v>26324.778297809873</v>
      </c>
      <c r="J5206">
        <f>(Table1[[#This Row],[value]] - Table1[[#This Row],[mean]]) / Table1[[#This Row],[std_dev]]</f>
        <v>0.70808241008270412</v>
      </c>
      <c r="K5206">
        <f>AVERAGEIF(Table1[CountryCode],Table1[[#This Row],[CountryCode]],Table1[z-score])</f>
        <v>0.40817616735273116</v>
      </c>
      <c r="L5206" t="e">
        <f>VLOOKUP(Table1[[#This Row],[CountryCode]],[1]!Table1[#All],1,FALSE)</f>
        <v>#REF!</v>
      </c>
    </row>
    <row r="5207" spans="1:12" hidden="1" x14ac:dyDescent="0.3">
      <c r="A5207" t="s">
        <v>35</v>
      </c>
      <c r="B5207" t="s">
        <v>36</v>
      </c>
      <c r="C5207" t="s">
        <v>127</v>
      </c>
      <c r="D5207" t="s">
        <v>128</v>
      </c>
      <c r="E5207">
        <v>2018</v>
      </c>
      <c r="F5207" s="1">
        <v>43906</v>
      </c>
      <c r="G5207">
        <v>2020</v>
      </c>
      <c r="H5207">
        <f>AVERAGEIFS(Table1[value],Table1[IndicatorCode],Table1[[#This Row],[IndicatorCode]])</f>
        <v>24902.88753799392</v>
      </c>
      <c r="I5207" cm="1">
        <f t="array" ref="I5207">_xlfn.STDEV.P(IF(Table1[IndicatorCode]=Table1[[#This Row],[IndicatorCode]],Table1[value]))</f>
        <v>26324.778297809873</v>
      </c>
      <c r="J5207">
        <f>(Table1[[#This Row],[value]] - Table1[[#This Row],[mean]]) / Table1[[#This Row],[std_dev]]</f>
        <v>0.72187170000163192</v>
      </c>
      <c r="K5207">
        <f>AVERAGEIF(Table1[CountryCode],Table1[[#This Row],[CountryCode]],Table1[z-score])</f>
        <v>0.40817616735273116</v>
      </c>
      <c r="L5207" t="e">
        <f>VLOOKUP(Table1[[#This Row],[CountryCode]],[1]!Table1[#All],1,FALSE)</f>
        <v>#REF!</v>
      </c>
    </row>
    <row r="5208" spans="1:12" hidden="1" x14ac:dyDescent="0.3">
      <c r="A5208" t="s">
        <v>35</v>
      </c>
      <c r="B5208" t="s">
        <v>36</v>
      </c>
      <c r="C5208" t="s">
        <v>127</v>
      </c>
      <c r="D5208" t="s">
        <v>128</v>
      </c>
      <c r="E5208">
        <v>2019</v>
      </c>
      <c r="F5208" s="1">
        <v>44235</v>
      </c>
      <c r="G5208">
        <v>2020</v>
      </c>
      <c r="H5208">
        <f>AVERAGEIFS(Table1[value],Table1[IndicatorCode],Table1[[#This Row],[IndicatorCode]])</f>
        <v>24902.88753799392</v>
      </c>
      <c r="I5208" cm="1">
        <f t="array" ref="I5208">_xlfn.STDEV.P(IF(Table1[IndicatorCode]=Table1[[#This Row],[IndicatorCode]],Table1[value]))</f>
        <v>26324.778297809873</v>
      </c>
      <c r="J5208">
        <f>(Table1[[#This Row],[value]] - Table1[[#This Row],[mean]]) / Table1[[#This Row],[std_dev]]</f>
        <v>0.73436943108517816</v>
      </c>
      <c r="K5208">
        <f>AVERAGEIF(Table1[CountryCode],Table1[[#This Row],[CountryCode]],Table1[z-score])</f>
        <v>0.40817616735273116</v>
      </c>
      <c r="L5208" t="e">
        <f>VLOOKUP(Table1[[#This Row],[CountryCode]],[1]!Table1[#All],1,FALSE)</f>
        <v>#REF!</v>
      </c>
    </row>
    <row r="5209" spans="1:12" x14ac:dyDescent="0.3">
      <c r="A5209" t="s">
        <v>89</v>
      </c>
      <c r="B5209" t="s">
        <v>90</v>
      </c>
      <c r="C5209" t="s">
        <v>127</v>
      </c>
      <c r="D5209" t="s">
        <v>128</v>
      </c>
      <c r="E5209">
        <v>2020</v>
      </c>
      <c r="F5209" s="1">
        <v>6352</v>
      </c>
      <c r="G5209">
        <v>2020</v>
      </c>
      <c r="H5209">
        <f>AVERAGEIFS(Table1[value],Table1[IndicatorCode],Table1[[#This Row],[IndicatorCode]])</f>
        <v>24902.88753799392</v>
      </c>
      <c r="I5209" cm="1">
        <f t="array" ref="I5209">_xlfn.STDEV.P(IF(Table1[IndicatorCode]=Table1[[#This Row],[IndicatorCode]],Table1[value]))</f>
        <v>26324.778297809873</v>
      </c>
      <c r="J5209">
        <f>(Table1[[#This Row],[value]] - Table1[[#This Row],[mean]]) / Table1[[#This Row],[std_dev]]</f>
        <v>-0.70469302070199347</v>
      </c>
      <c r="K5209">
        <f>AVERAGEIF(Table1[CountryCode],Table1[[#This Row],[CountryCode]],Table1[z-score])</f>
        <v>-0.18785287830584751</v>
      </c>
    </row>
    <row r="5210" spans="1:12" hidden="1" x14ac:dyDescent="0.3">
      <c r="A5210" t="s">
        <v>35</v>
      </c>
      <c r="B5210" t="s">
        <v>36</v>
      </c>
      <c r="C5210" t="s">
        <v>127</v>
      </c>
      <c r="D5210" t="s">
        <v>128</v>
      </c>
      <c r="E5210">
        <v>2021</v>
      </c>
      <c r="F5210" s="1">
        <v>44011</v>
      </c>
      <c r="G5210">
        <v>2020</v>
      </c>
      <c r="H5210">
        <f>AVERAGEIFS(Table1[value],Table1[IndicatorCode],Table1[[#This Row],[IndicatorCode]])</f>
        <v>24902.88753799392</v>
      </c>
      <c r="I5210" cm="1">
        <f t="array" ref="I5210">_xlfn.STDEV.P(IF(Table1[IndicatorCode]=Table1[[#This Row],[IndicatorCode]],Table1[value]))</f>
        <v>26324.778297809873</v>
      </c>
      <c r="J5210">
        <f>(Table1[[#This Row],[value]] - Table1[[#This Row],[mean]]) / Table1[[#This Row],[std_dev]]</f>
        <v>0.72586033758148716</v>
      </c>
      <c r="K5210">
        <f>AVERAGEIF(Table1[CountryCode],Table1[[#This Row],[CountryCode]],Table1[z-score])</f>
        <v>0.40817616735273116</v>
      </c>
      <c r="L5210" t="e">
        <f>VLOOKUP(Table1[[#This Row],[CountryCode]],[1]!Table1[#All],1,FALSE)</f>
        <v>#REF!</v>
      </c>
    </row>
    <row r="5211" spans="1:12" hidden="1" x14ac:dyDescent="0.3">
      <c r="A5211" t="s">
        <v>35</v>
      </c>
      <c r="B5211" t="s">
        <v>36</v>
      </c>
      <c r="C5211" t="s">
        <v>127</v>
      </c>
      <c r="D5211" t="s">
        <v>128</v>
      </c>
      <c r="E5211">
        <v>2022</v>
      </c>
      <c r="F5211" s="1">
        <v>44817</v>
      </c>
      <c r="G5211">
        <v>1960</v>
      </c>
      <c r="H5211">
        <f>AVERAGEIFS(Table1[value],Table1[IndicatorCode],Table1[[#This Row],[IndicatorCode]])</f>
        <v>24902.88753799392</v>
      </c>
      <c r="I5211" cm="1">
        <f t="array" ref="I5211">_xlfn.STDEV.P(IF(Table1[IndicatorCode]=Table1[[#This Row],[IndicatorCode]],Table1[value]))</f>
        <v>26324.778297809873</v>
      </c>
      <c r="J5211">
        <f>(Table1[[#This Row],[value]] - Table1[[#This Row],[mean]]) / Table1[[#This Row],[std_dev]]</f>
        <v>0.75647787938494671</v>
      </c>
      <c r="K5211">
        <f>AVERAGEIF(Table1[CountryCode],Table1[[#This Row],[CountryCode]],Table1[z-score])</f>
        <v>0.40817616735273116</v>
      </c>
      <c r="L5211" t="e">
        <f>VLOOKUP(Table1[[#This Row],[CountryCode]],[1]!Table1[#All],1,FALSE)</f>
        <v>#REF!</v>
      </c>
    </row>
    <row r="5212" spans="1:12" hidden="1" x14ac:dyDescent="0.3">
      <c r="A5212" t="s">
        <v>35</v>
      </c>
      <c r="B5212" t="s">
        <v>36</v>
      </c>
      <c r="C5212" t="s">
        <v>127</v>
      </c>
      <c r="D5212" t="s">
        <v>128</v>
      </c>
      <c r="E5212">
        <v>2023</v>
      </c>
      <c r="F5212" s="1">
        <v>44369</v>
      </c>
      <c r="G5212">
        <v>1960</v>
      </c>
      <c r="H5212">
        <f>AVERAGEIFS(Table1[value],Table1[IndicatorCode],Table1[[#This Row],[IndicatorCode]])</f>
        <v>24902.88753799392</v>
      </c>
      <c r="I5212" cm="1">
        <f t="array" ref="I5212">_xlfn.STDEV.P(IF(Table1[IndicatorCode]=Table1[[#This Row],[IndicatorCode]],Table1[value]))</f>
        <v>26324.778297809873</v>
      </c>
      <c r="J5212">
        <f>(Table1[[#This Row],[value]] - Table1[[#This Row],[mean]]) / Table1[[#This Row],[std_dev]]</f>
        <v>0.7394596923775647</v>
      </c>
      <c r="K5212">
        <f>AVERAGEIF(Table1[CountryCode],Table1[[#This Row],[CountryCode]],Table1[z-score])</f>
        <v>0.40817616735273116</v>
      </c>
      <c r="L5212" t="e">
        <f>VLOOKUP(Table1[[#This Row],[CountryCode]],[1]!Table1[#All],1,FALSE)</f>
        <v>#REF!</v>
      </c>
    </row>
    <row r="5213" spans="1:12" hidden="1" x14ac:dyDescent="0.3">
      <c r="A5213" t="s">
        <v>35</v>
      </c>
      <c r="B5213" t="s">
        <v>36</v>
      </c>
      <c r="C5213" t="s">
        <v>127</v>
      </c>
      <c r="D5213" t="s">
        <v>128</v>
      </c>
      <c r="E5213">
        <v>2024</v>
      </c>
      <c r="F5213" s="1">
        <v>44028</v>
      </c>
      <c r="G5213">
        <v>1960</v>
      </c>
      <c r="H5213">
        <f>AVERAGEIFS(Table1[value],Table1[IndicatorCode],Table1[[#This Row],[IndicatorCode]])</f>
        <v>24902.88753799392</v>
      </c>
      <c r="I5213" cm="1">
        <f t="array" ref="I5213">_xlfn.STDEV.P(IF(Table1[IndicatorCode]=Table1[[#This Row],[IndicatorCode]],Table1[value]))</f>
        <v>26324.778297809873</v>
      </c>
      <c r="J5213">
        <f>(Table1[[#This Row],[value]] - Table1[[#This Row],[mean]]) / Table1[[#This Row],[std_dev]]</f>
        <v>0.726506116999178</v>
      </c>
      <c r="K5213">
        <f>AVERAGEIF(Table1[CountryCode],Table1[[#This Row],[CountryCode]],Table1[z-score])</f>
        <v>0.40817616735273116</v>
      </c>
      <c r="L5213" t="e">
        <f>VLOOKUP(Table1[[#This Row],[CountryCode]],[1]!Table1[#All],1,FALSE)</f>
        <v>#REF!</v>
      </c>
    </row>
    <row r="5214" spans="1:12" hidden="1" x14ac:dyDescent="0.3">
      <c r="A5214" t="s">
        <v>37</v>
      </c>
      <c r="B5214" t="s">
        <v>38</v>
      </c>
      <c r="C5214" t="s">
        <v>127</v>
      </c>
      <c r="D5214" t="s">
        <v>128</v>
      </c>
      <c r="E5214">
        <v>1960</v>
      </c>
      <c r="F5214" s="1">
        <v>17521</v>
      </c>
      <c r="G5214">
        <v>1960</v>
      </c>
      <c r="H5214">
        <f>AVERAGEIFS(Table1[value],Table1[IndicatorCode],Table1[[#This Row],[IndicatorCode]])</f>
        <v>24902.88753799392</v>
      </c>
      <c r="I5214" cm="1">
        <f t="array" ref="I5214">_xlfn.STDEV.P(IF(Table1[IndicatorCode]=Table1[[#This Row],[IndicatorCode]],Table1[value]))</f>
        <v>26324.778297809873</v>
      </c>
      <c r="J5214">
        <f>(Table1[[#This Row],[value]] - Table1[[#This Row],[mean]]) / Table1[[#This Row],[std_dev]]</f>
        <v>-0.28041594327911457</v>
      </c>
      <c r="K5214">
        <f>AVERAGEIF(Table1[CountryCode],Table1[[#This Row],[CountryCode]],Table1[z-score])</f>
        <v>0.4680674202807556</v>
      </c>
      <c r="L5214" t="e">
        <f>VLOOKUP(Table1[[#This Row],[CountryCode]],[1]!Table1[#All],1,FALSE)</f>
        <v>#REF!</v>
      </c>
    </row>
    <row r="5215" spans="1:12" hidden="1" x14ac:dyDescent="0.3">
      <c r="A5215" t="s">
        <v>37</v>
      </c>
      <c r="B5215" t="s">
        <v>38</v>
      </c>
      <c r="C5215" t="s">
        <v>127</v>
      </c>
      <c r="D5215" t="s">
        <v>128</v>
      </c>
      <c r="E5215">
        <v>1961</v>
      </c>
      <c r="F5215" s="1">
        <v>18509</v>
      </c>
      <c r="G5215">
        <v>1960</v>
      </c>
      <c r="H5215">
        <f>AVERAGEIFS(Table1[value],Table1[IndicatorCode],Table1[[#This Row],[IndicatorCode]])</f>
        <v>24902.88753799392</v>
      </c>
      <c r="I5215" cm="1">
        <f t="array" ref="I5215">_xlfn.STDEV.P(IF(Table1[IndicatorCode]=Table1[[#This Row],[IndicatorCode]],Table1[value]))</f>
        <v>26324.778297809873</v>
      </c>
      <c r="J5215">
        <f>(Table1[[#This Row],[value]] - Table1[[#This Row],[mean]]) / Table1[[#This Row],[std_dev]]</f>
        <v>-0.24288476300390605</v>
      </c>
      <c r="K5215">
        <f>AVERAGEIF(Table1[CountryCode],Table1[[#This Row],[CountryCode]],Table1[z-score])</f>
        <v>0.4680674202807556</v>
      </c>
      <c r="L5215" t="e">
        <f>VLOOKUP(Table1[[#This Row],[CountryCode]],[1]!Table1[#All],1,FALSE)</f>
        <v>#REF!</v>
      </c>
    </row>
    <row r="5216" spans="1:12" hidden="1" x14ac:dyDescent="0.3">
      <c r="A5216" t="s">
        <v>37</v>
      </c>
      <c r="B5216" t="s">
        <v>38</v>
      </c>
      <c r="C5216" t="s">
        <v>127</v>
      </c>
      <c r="D5216" t="s">
        <v>128</v>
      </c>
      <c r="E5216">
        <v>1962</v>
      </c>
      <c r="F5216" s="1">
        <v>19406</v>
      </c>
      <c r="G5216">
        <v>1960</v>
      </c>
      <c r="H5216">
        <f>AVERAGEIFS(Table1[value],Table1[IndicatorCode],Table1[[#This Row],[IndicatorCode]])</f>
        <v>24902.88753799392</v>
      </c>
      <c r="I5216" cm="1">
        <f t="array" ref="I5216">_xlfn.STDEV.P(IF(Table1[IndicatorCode]=Table1[[#This Row],[IndicatorCode]],Table1[value]))</f>
        <v>26324.778297809873</v>
      </c>
      <c r="J5216">
        <f>(Table1[[#This Row],[value]] - Table1[[#This Row],[mean]]) / Table1[[#This Row],[std_dev]]</f>
        <v>-0.20881040196457196</v>
      </c>
      <c r="K5216">
        <f>AVERAGEIF(Table1[CountryCode],Table1[[#This Row],[CountryCode]],Table1[z-score])</f>
        <v>0.4680674202807556</v>
      </c>
      <c r="L5216" t="e">
        <f>VLOOKUP(Table1[[#This Row],[CountryCode]],[1]!Table1[#All],1,FALSE)</f>
        <v>#REF!</v>
      </c>
    </row>
    <row r="5217" spans="1:12" hidden="1" x14ac:dyDescent="0.3">
      <c r="A5217" t="s">
        <v>37</v>
      </c>
      <c r="B5217" t="s">
        <v>38</v>
      </c>
      <c r="C5217" t="s">
        <v>127</v>
      </c>
      <c r="D5217" t="s">
        <v>128</v>
      </c>
      <c r="E5217">
        <v>1963</v>
      </c>
      <c r="F5217" s="1">
        <v>19376</v>
      </c>
      <c r="G5217">
        <v>1960</v>
      </c>
      <c r="H5217">
        <f>AVERAGEIFS(Table1[value],Table1[IndicatorCode],Table1[[#This Row],[IndicatorCode]])</f>
        <v>24902.88753799392</v>
      </c>
      <c r="I5217" cm="1">
        <f t="array" ref="I5217">_xlfn.STDEV.P(IF(Table1[IndicatorCode]=Table1[[#This Row],[IndicatorCode]],Table1[value]))</f>
        <v>26324.778297809873</v>
      </c>
      <c r="J5217">
        <f>(Table1[[#This Row],[value]] - Table1[[#This Row],[mean]]) / Table1[[#This Row],[std_dev]]</f>
        <v>-0.20995001270167343</v>
      </c>
      <c r="K5217">
        <f>AVERAGEIF(Table1[CountryCode],Table1[[#This Row],[CountryCode]],Table1[z-score])</f>
        <v>0.4680674202807556</v>
      </c>
      <c r="L5217" t="e">
        <f>VLOOKUP(Table1[[#This Row],[CountryCode]],[1]!Table1[#All],1,FALSE)</f>
        <v>#REF!</v>
      </c>
    </row>
    <row r="5218" spans="1:12" hidden="1" x14ac:dyDescent="0.3">
      <c r="A5218" t="s">
        <v>37</v>
      </c>
      <c r="B5218" t="s">
        <v>38</v>
      </c>
      <c r="C5218" t="s">
        <v>127</v>
      </c>
      <c r="D5218" t="s">
        <v>128</v>
      </c>
      <c r="E5218">
        <v>1964</v>
      </c>
      <c r="F5218" s="1">
        <v>21004</v>
      </c>
      <c r="G5218">
        <v>1960</v>
      </c>
      <c r="H5218">
        <f>AVERAGEIFS(Table1[value],Table1[IndicatorCode],Table1[[#This Row],[IndicatorCode]])</f>
        <v>24902.88753799392</v>
      </c>
      <c r="I5218" cm="1">
        <f t="array" ref="I5218">_xlfn.STDEV.P(IF(Table1[IndicatorCode]=Table1[[#This Row],[IndicatorCode]],Table1[value]))</f>
        <v>26324.778297809873</v>
      </c>
      <c r="J5218">
        <f>(Table1[[#This Row],[value]] - Table1[[#This Row],[mean]]) / Table1[[#This Row],[std_dev]]</f>
        <v>-0.14810713670163345</v>
      </c>
      <c r="K5218">
        <f>AVERAGEIF(Table1[CountryCode],Table1[[#This Row],[CountryCode]],Table1[z-score])</f>
        <v>0.4680674202807556</v>
      </c>
      <c r="L5218" t="e">
        <f>VLOOKUP(Table1[[#This Row],[CountryCode]],[1]!Table1[#All],1,FALSE)</f>
        <v>#REF!</v>
      </c>
    </row>
    <row r="5219" spans="1:12" hidden="1" x14ac:dyDescent="0.3">
      <c r="A5219" t="s">
        <v>37</v>
      </c>
      <c r="B5219" t="s">
        <v>38</v>
      </c>
      <c r="C5219" t="s">
        <v>127</v>
      </c>
      <c r="D5219" t="s">
        <v>128</v>
      </c>
      <c r="E5219">
        <v>1965</v>
      </c>
      <c r="F5219" s="1">
        <v>21790</v>
      </c>
      <c r="G5219">
        <v>1960</v>
      </c>
      <c r="H5219">
        <f>AVERAGEIFS(Table1[value],Table1[IndicatorCode],Table1[[#This Row],[IndicatorCode]])</f>
        <v>24902.88753799392</v>
      </c>
      <c r="I5219" cm="1">
        <f t="array" ref="I5219">_xlfn.STDEV.P(IF(Table1[IndicatorCode]=Table1[[#This Row],[IndicatorCode]],Table1[value]))</f>
        <v>26324.778297809873</v>
      </c>
      <c r="J5219">
        <f>(Table1[[#This Row],[value]] - Table1[[#This Row],[mean]]) / Table1[[#This Row],[std_dev]]</f>
        <v>-0.11824933538957481</v>
      </c>
      <c r="K5219">
        <f>AVERAGEIF(Table1[CountryCode],Table1[[#This Row],[CountryCode]],Table1[z-score])</f>
        <v>0.4680674202807556</v>
      </c>
      <c r="L5219" t="e">
        <f>VLOOKUP(Table1[[#This Row],[CountryCode]],[1]!Table1[#All],1,FALSE)</f>
        <v>#REF!</v>
      </c>
    </row>
    <row r="5220" spans="1:12" hidden="1" x14ac:dyDescent="0.3">
      <c r="A5220" t="s">
        <v>37</v>
      </c>
      <c r="B5220" t="s">
        <v>38</v>
      </c>
      <c r="C5220" t="s">
        <v>127</v>
      </c>
      <c r="D5220" t="s">
        <v>128</v>
      </c>
      <c r="E5220">
        <v>1966</v>
      </c>
      <c r="F5220" s="1">
        <v>22208</v>
      </c>
      <c r="G5220">
        <v>1960</v>
      </c>
      <c r="H5220">
        <f>AVERAGEIFS(Table1[value],Table1[IndicatorCode],Table1[[#This Row],[IndicatorCode]])</f>
        <v>24902.88753799392</v>
      </c>
      <c r="I5220" cm="1">
        <f t="array" ref="I5220">_xlfn.STDEV.P(IF(Table1[IndicatorCode]=Table1[[#This Row],[IndicatorCode]],Table1[value]))</f>
        <v>26324.778297809873</v>
      </c>
      <c r="J5220">
        <f>(Table1[[#This Row],[value]] - Table1[[#This Row],[mean]]) / Table1[[#This Row],[std_dev]]</f>
        <v>-0.10237075911929427</v>
      </c>
      <c r="K5220">
        <f>AVERAGEIF(Table1[CountryCode],Table1[[#This Row],[CountryCode]],Table1[z-score])</f>
        <v>0.4680674202807556</v>
      </c>
      <c r="L5220" t="e">
        <f>VLOOKUP(Table1[[#This Row],[CountryCode]],[1]!Table1[#All],1,FALSE)</f>
        <v>#REF!</v>
      </c>
    </row>
    <row r="5221" spans="1:12" hidden="1" x14ac:dyDescent="0.3">
      <c r="A5221" t="s">
        <v>37</v>
      </c>
      <c r="B5221" t="s">
        <v>38</v>
      </c>
      <c r="C5221" t="s">
        <v>127</v>
      </c>
      <c r="D5221" t="s">
        <v>128</v>
      </c>
      <c r="E5221">
        <v>1967</v>
      </c>
      <c r="F5221" s="1">
        <v>23331</v>
      </c>
      <c r="G5221">
        <v>1970</v>
      </c>
      <c r="H5221">
        <f>AVERAGEIFS(Table1[value],Table1[IndicatorCode],Table1[[#This Row],[IndicatorCode]])</f>
        <v>24902.88753799392</v>
      </c>
      <c r="I5221" cm="1">
        <f t="array" ref="I5221">_xlfn.STDEV.P(IF(Table1[IndicatorCode]=Table1[[#This Row],[IndicatorCode]],Table1[value]))</f>
        <v>26324.778297809873</v>
      </c>
      <c r="J5221">
        <f>(Table1[[#This Row],[value]] - Table1[[#This Row],[mean]]) / Table1[[#This Row],[std_dev]]</f>
        <v>-5.971133052712909E-2</v>
      </c>
      <c r="K5221">
        <f>AVERAGEIF(Table1[CountryCode],Table1[[#This Row],[CountryCode]],Table1[z-score])</f>
        <v>0.4680674202807556</v>
      </c>
      <c r="L5221" t="e">
        <f>VLOOKUP(Table1[[#This Row],[CountryCode]],[1]!Table1[#All],1,FALSE)</f>
        <v>#REF!</v>
      </c>
    </row>
    <row r="5222" spans="1:12" hidden="1" x14ac:dyDescent="0.3">
      <c r="A5222" t="s">
        <v>37</v>
      </c>
      <c r="B5222" t="s">
        <v>38</v>
      </c>
      <c r="C5222" t="s">
        <v>127</v>
      </c>
      <c r="D5222" t="s">
        <v>128</v>
      </c>
      <c r="E5222">
        <v>1968</v>
      </c>
      <c r="F5222" s="1">
        <v>24547</v>
      </c>
      <c r="G5222">
        <v>1970</v>
      </c>
      <c r="H5222">
        <f>AVERAGEIFS(Table1[value],Table1[IndicatorCode],Table1[[#This Row],[IndicatorCode]])</f>
        <v>24902.88753799392</v>
      </c>
      <c r="I5222" cm="1">
        <f t="array" ref="I5222">_xlfn.STDEV.P(IF(Table1[IndicatorCode]=Table1[[#This Row],[IndicatorCode]],Table1[value]))</f>
        <v>26324.778297809873</v>
      </c>
      <c r="J5222">
        <f>(Table1[[#This Row],[value]] - Table1[[#This Row],[mean]]) / Table1[[#This Row],[std_dev]]</f>
        <v>-1.3519108649949334E-2</v>
      </c>
      <c r="K5222">
        <f>AVERAGEIF(Table1[CountryCode],Table1[[#This Row],[CountryCode]],Table1[z-score])</f>
        <v>0.4680674202807556</v>
      </c>
      <c r="L5222" t="e">
        <f>VLOOKUP(Table1[[#This Row],[CountryCode]],[1]!Table1[#All],1,FALSE)</f>
        <v>#REF!</v>
      </c>
    </row>
    <row r="5223" spans="1:12" hidden="1" x14ac:dyDescent="0.3">
      <c r="A5223" t="s">
        <v>37</v>
      </c>
      <c r="B5223" t="s">
        <v>38</v>
      </c>
      <c r="C5223" t="s">
        <v>127</v>
      </c>
      <c r="D5223" t="s">
        <v>128</v>
      </c>
      <c r="E5223">
        <v>1969</v>
      </c>
      <c r="F5223" s="1">
        <v>26071</v>
      </c>
      <c r="G5223">
        <v>1970</v>
      </c>
      <c r="H5223">
        <f>AVERAGEIFS(Table1[value],Table1[IndicatorCode],Table1[[#This Row],[IndicatorCode]])</f>
        <v>24902.88753799392</v>
      </c>
      <c r="I5223" cm="1">
        <f t="array" ref="I5223">_xlfn.STDEV.P(IF(Table1[IndicatorCode]=Table1[[#This Row],[IndicatorCode]],Table1[value]))</f>
        <v>26324.778297809873</v>
      </c>
      <c r="J5223">
        <f>(Table1[[#This Row],[value]] - Table1[[#This Row],[mean]]) / Table1[[#This Row],[std_dev]]</f>
        <v>4.4373116794805552E-2</v>
      </c>
      <c r="K5223">
        <f>AVERAGEIF(Table1[CountryCode],Table1[[#This Row],[CountryCode]],Table1[z-score])</f>
        <v>0.4680674202807556</v>
      </c>
      <c r="L5223" t="e">
        <f>VLOOKUP(Table1[[#This Row],[CountryCode]],[1]!Table1[#All],1,FALSE)</f>
        <v>#REF!</v>
      </c>
    </row>
    <row r="5224" spans="1:12" hidden="1" x14ac:dyDescent="0.3">
      <c r="A5224" t="s">
        <v>37</v>
      </c>
      <c r="B5224" t="s">
        <v>38</v>
      </c>
      <c r="C5224" t="s">
        <v>127</v>
      </c>
      <c r="D5224" t="s">
        <v>128</v>
      </c>
      <c r="E5224">
        <v>1970</v>
      </c>
      <c r="F5224" s="1">
        <v>26356</v>
      </c>
      <c r="G5224">
        <v>1970</v>
      </c>
      <c r="H5224">
        <f>AVERAGEIFS(Table1[value],Table1[IndicatorCode],Table1[[#This Row],[IndicatorCode]])</f>
        <v>24902.88753799392</v>
      </c>
      <c r="I5224" cm="1">
        <f t="array" ref="I5224">_xlfn.STDEV.P(IF(Table1[IndicatorCode]=Table1[[#This Row],[IndicatorCode]],Table1[value]))</f>
        <v>26324.778297809873</v>
      </c>
      <c r="J5224">
        <f>(Table1[[#This Row],[value]] - Table1[[#This Row],[mean]]) / Table1[[#This Row],[std_dev]]</f>
        <v>5.5199418797269556E-2</v>
      </c>
      <c r="K5224">
        <f>AVERAGEIF(Table1[CountryCode],Table1[[#This Row],[CountryCode]],Table1[z-score])</f>
        <v>0.4680674202807556</v>
      </c>
      <c r="L5224" t="e">
        <f>VLOOKUP(Table1[[#This Row],[CountryCode]],[1]!Table1[#All],1,FALSE)</f>
        <v>#REF!</v>
      </c>
    </row>
    <row r="5225" spans="1:12" hidden="1" x14ac:dyDescent="0.3">
      <c r="A5225" t="s">
        <v>37</v>
      </c>
      <c r="B5225" t="s">
        <v>38</v>
      </c>
      <c r="C5225" t="s">
        <v>127</v>
      </c>
      <c r="D5225" t="s">
        <v>128</v>
      </c>
      <c r="E5225">
        <v>1971</v>
      </c>
      <c r="F5225" s="1">
        <v>27005</v>
      </c>
      <c r="G5225">
        <v>1970</v>
      </c>
      <c r="H5225">
        <f>AVERAGEIFS(Table1[value],Table1[IndicatorCode],Table1[[#This Row],[IndicatorCode]])</f>
        <v>24902.88753799392</v>
      </c>
      <c r="I5225" cm="1">
        <f t="array" ref="I5225">_xlfn.STDEV.P(IF(Table1[IndicatorCode]=Table1[[#This Row],[IndicatorCode]],Table1[value]))</f>
        <v>26324.778297809873</v>
      </c>
      <c r="J5225">
        <f>(Table1[[#This Row],[value]] - Table1[[#This Row],[mean]]) / Table1[[#This Row],[std_dev]]</f>
        <v>7.9852997743231444E-2</v>
      </c>
      <c r="K5225">
        <f>AVERAGEIF(Table1[CountryCode],Table1[[#This Row],[CountryCode]],Table1[z-score])</f>
        <v>0.4680674202807556</v>
      </c>
      <c r="L5225" t="e">
        <f>VLOOKUP(Table1[[#This Row],[CountryCode]],[1]!Table1[#All],1,FALSE)</f>
        <v>#REF!</v>
      </c>
    </row>
    <row r="5226" spans="1:12" hidden="1" x14ac:dyDescent="0.3">
      <c r="A5226" t="s">
        <v>37</v>
      </c>
      <c r="B5226" t="s">
        <v>38</v>
      </c>
      <c r="C5226" t="s">
        <v>127</v>
      </c>
      <c r="D5226" t="s">
        <v>128</v>
      </c>
      <c r="E5226">
        <v>1972</v>
      </c>
      <c r="F5226" s="1">
        <v>27871</v>
      </c>
      <c r="G5226">
        <v>1970</v>
      </c>
      <c r="H5226">
        <f>AVERAGEIFS(Table1[value],Table1[IndicatorCode],Table1[[#This Row],[IndicatorCode]])</f>
        <v>24902.88753799392</v>
      </c>
      <c r="I5226" cm="1">
        <f t="array" ref="I5226">_xlfn.STDEV.P(IF(Table1[IndicatorCode]=Table1[[#This Row],[IndicatorCode]],Table1[value]))</f>
        <v>26324.778297809873</v>
      </c>
      <c r="J5226">
        <f>(Table1[[#This Row],[value]] - Table1[[#This Row],[mean]]) / Table1[[#This Row],[std_dev]]</f>
        <v>0.112749761020894</v>
      </c>
      <c r="K5226">
        <f>AVERAGEIF(Table1[CountryCode],Table1[[#This Row],[CountryCode]],Table1[z-score])</f>
        <v>0.4680674202807556</v>
      </c>
      <c r="L5226" t="e">
        <f>VLOOKUP(Table1[[#This Row],[CountryCode]],[1]!Table1[#All],1,FALSE)</f>
        <v>#REF!</v>
      </c>
    </row>
    <row r="5227" spans="1:12" hidden="1" x14ac:dyDescent="0.3">
      <c r="A5227" t="s">
        <v>37</v>
      </c>
      <c r="B5227" t="s">
        <v>38</v>
      </c>
      <c r="C5227" t="s">
        <v>127</v>
      </c>
      <c r="D5227" t="s">
        <v>128</v>
      </c>
      <c r="E5227">
        <v>1973</v>
      </c>
      <c r="F5227" s="1">
        <v>29011</v>
      </c>
      <c r="G5227">
        <v>1970</v>
      </c>
      <c r="H5227">
        <f>AVERAGEIFS(Table1[value],Table1[IndicatorCode],Table1[[#This Row],[IndicatorCode]])</f>
        <v>24902.88753799392</v>
      </c>
      <c r="I5227" cm="1">
        <f t="array" ref="I5227">_xlfn.STDEV.P(IF(Table1[IndicatorCode]=Table1[[#This Row],[IndicatorCode]],Table1[value]))</f>
        <v>26324.778297809873</v>
      </c>
      <c r="J5227">
        <f>(Table1[[#This Row],[value]] - Table1[[#This Row],[mean]]) / Table1[[#This Row],[std_dev]]</f>
        <v>0.15605496903075003</v>
      </c>
      <c r="K5227">
        <f>AVERAGEIF(Table1[CountryCode],Table1[[#This Row],[CountryCode]],Table1[z-score])</f>
        <v>0.4680674202807556</v>
      </c>
      <c r="L5227" t="e">
        <f>VLOOKUP(Table1[[#This Row],[CountryCode]],[1]!Table1[#All],1,FALSE)</f>
        <v>#REF!</v>
      </c>
    </row>
    <row r="5228" spans="1:12" hidden="1" x14ac:dyDescent="0.3">
      <c r="A5228" t="s">
        <v>37</v>
      </c>
      <c r="B5228" t="s">
        <v>38</v>
      </c>
      <c r="C5228" t="s">
        <v>127</v>
      </c>
      <c r="D5228" t="s">
        <v>128</v>
      </c>
      <c r="E5228">
        <v>1974</v>
      </c>
      <c r="F5228" s="1">
        <v>28597</v>
      </c>
      <c r="G5228">
        <v>1970</v>
      </c>
      <c r="H5228">
        <f>AVERAGEIFS(Table1[value],Table1[IndicatorCode],Table1[[#This Row],[IndicatorCode]])</f>
        <v>24902.88753799392</v>
      </c>
      <c r="I5228" cm="1">
        <f t="array" ref="I5228">_xlfn.STDEV.P(IF(Table1[IndicatorCode]=Table1[[#This Row],[IndicatorCode]],Table1[value]))</f>
        <v>26324.778297809873</v>
      </c>
      <c r="J5228">
        <f>(Table1[[#This Row],[value]] - Table1[[#This Row],[mean]]) / Table1[[#This Row],[std_dev]]</f>
        <v>0.14032834085874968</v>
      </c>
      <c r="K5228">
        <f>AVERAGEIF(Table1[CountryCode],Table1[[#This Row],[CountryCode]],Table1[z-score])</f>
        <v>0.4680674202807556</v>
      </c>
      <c r="L5228" t="e">
        <f>VLOOKUP(Table1[[#This Row],[CountryCode]],[1]!Table1[#All],1,FALSE)</f>
        <v>#REF!</v>
      </c>
    </row>
    <row r="5229" spans="1:12" hidden="1" x14ac:dyDescent="0.3">
      <c r="A5229" t="s">
        <v>37</v>
      </c>
      <c r="B5229" t="s">
        <v>38</v>
      </c>
      <c r="C5229" t="s">
        <v>127</v>
      </c>
      <c r="D5229" t="s">
        <v>128</v>
      </c>
      <c r="E5229">
        <v>1975</v>
      </c>
      <c r="F5229" s="1">
        <v>28113</v>
      </c>
      <c r="G5229">
        <v>1970</v>
      </c>
      <c r="H5229">
        <f>AVERAGEIFS(Table1[value],Table1[IndicatorCode],Table1[[#This Row],[IndicatorCode]])</f>
        <v>24902.88753799392</v>
      </c>
      <c r="I5229" cm="1">
        <f t="array" ref="I5229">_xlfn.STDEV.P(IF(Table1[IndicatorCode]=Table1[[#This Row],[IndicatorCode]],Table1[value]))</f>
        <v>26324.778297809873</v>
      </c>
      <c r="J5229">
        <f>(Table1[[#This Row],[value]] - Table1[[#This Row],[mean]]) / Table1[[#This Row],[std_dev]]</f>
        <v>0.1219426209668459</v>
      </c>
      <c r="K5229">
        <f>AVERAGEIF(Table1[CountryCode],Table1[[#This Row],[CountryCode]],Table1[z-score])</f>
        <v>0.4680674202807556</v>
      </c>
      <c r="L5229" t="e">
        <f>VLOOKUP(Table1[[#This Row],[CountryCode]],[1]!Table1[#All],1,FALSE)</f>
        <v>#REF!</v>
      </c>
    </row>
    <row r="5230" spans="1:12" hidden="1" x14ac:dyDescent="0.3">
      <c r="A5230" t="s">
        <v>37</v>
      </c>
      <c r="B5230" t="s">
        <v>38</v>
      </c>
      <c r="C5230" t="s">
        <v>127</v>
      </c>
      <c r="D5230" t="s">
        <v>128</v>
      </c>
      <c r="E5230">
        <v>1976</v>
      </c>
      <c r="F5230" s="1">
        <v>29723</v>
      </c>
      <c r="G5230">
        <v>1970</v>
      </c>
      <c r="H5230">
        <f>AVERAGEIFS(Table1[value],Table1[IndicatorCode],Table1[[#This Row],[IndicatorCode]])</f>
        <v>24902.88753799392</v>
      </c>
      <c r="I5230" cm="1">
        <f t="array" ref="I5230">_xlfn.STDEV.P(IF(Table1[IndicatorCode]=Table1[[#This Row],[IndicatorCode]],Table1[value]))</f>
        <v>26324.778297809873</v>
      </c>
      <c r="J5230">
        <f>(Table1[[#This Row],[value]] - Table1[[#This Row],[mean]]) / Table1[[#This Row],[std_dev]]</f>
        <v>0.183101730524625</v>
      </c>
      <c r="K5230">
        <f>AVERAGEIF(Table1[CountryCode],Table1[[#This Row],[CountryCode]],Table1[z-score])</f>
        <v>0.4680674202807556</v>
      </c>
      <c r="L5230" t="e">
        <f>VLOOKUP(Table1[[#This Row],[CountryCode]],[1]!Table1[#All],1,FALSE)</f>
        <v>#REF!</v>
      </c>
    </row>
    <row r="5231" spans="1:12" hidden="1" x14ac:dyDescent="0.3">
      <c r="A5231" t="s">
        <v>37</v>
      </c>
      <c r="B5231" t="s">
        <v>38</v>
      </c>
      <c r="C5231" t="s">
        <v>127</v>
      </c>
      <c r="D5231" t="s">
        <v>128</v>
      </c>
      <c r="E5231">
        <v>1977</v>
      </c>
      <c r="F5231" s="1">
        <v>30219</v>
      </c>
      <c r="G5231">
        <v>1980</v>
      </c>
      <c r="H5231">
        <f>AVERAGEIFS(Table1[value],Table1[IndicatorCode],Table1[[#This Row],[IndicatorCode]])</f>
        <v>24902.88753799392</v>
      </c>
      <c r="I5231" cm="1">
        <f t="array" ref="I5231">_xlfn.STDEV.P(IF(Table1[IndicatorCode]=Table1[[#This Row],[IndicatorCode]],Table1[value]))</f>
        <v>26324.778297809873</v>
      </c>
      <c r="J5231">
        <f>(Table1[[#This Row],[value]] - Table1[[#This Row],[mean]]) / Table1[[#This Row],[std_dev]]</f>
        <v>0.20194329471136938</v>
      </c>
      <c r="K5231">
        <f>AVERAGEIF(Table1[CountryCode],Table1[[#This Row],[CountryCode]],Table1[z-score])</f>
        <v>0.4680674202807556</v>
      </c>
      <c r="L5231" t="e">
        <f>VLOOKUP(Table1[[#This Row],[CountryCode]],[1]!Table1[#All],1,FALSE)</f>
        <v>#REF!</v>
      </c>
    </row>
    <row r="5232" spans="1:12" hidden="1" x14ac:dyDescent="0.3">
      <c r="A5232" t="s">
        <v>37</v>
      </c>
      <c r="B5232" t="s">
        <v>38</v>
      </c>
      <c r="C5232" t="s">
        <v>127</v>
      </c>
      <c r="D5232" t="s">
        <v>128</v>
      </c>
      <c r="E5232">
        <v>1978</v>
      </c>
      <c r="F5232" s="1">
        <v>30853</v>
      </c>
      <c r="G5232">
        <v>1980</v>
      </c>
      <c r="H5232">
        <f>AVERAGEIFS(Table1[value],Table1[IndicatorCode],Table1[[#This Row],[IndicatorCode]])</f>
        <v>24902.88753799392</v>
      </c>
      <c r="I5232" cm="1">
        <f t="array" ref="I5232">_xlfn.STDEV.P(IF(Table1[IndicatorCode]=Table1[[#This Row],[IndicatorCode]],Table1[value]))</f>
        <v>26324.778297809873</v>
      </c>
      <c r="J5232">
        <f>(Table1[[#This Row],[value]] - Table1[[#This Row],[mean]]) / Table1[[#This Row],[std_dev]]</f>
        <v>0.22602706828878052</v>
      </c>
      <c r="K5232">
        <f>AVERAGEIF(Table1[CountryCode],Table1[[#This Row],[CountryCode]],Table1[z-score])</f>
        <v>0.4680674202807556</v>
      </c>
      <c r="L5232" t="e">
        <f>VLOOKUP(Table1[[#This Row],[CountryCode]],[1]!Table1[#All],1,FALSE)</f>
        <v>#REF!</v>
      </c>
    </row>
    <row r="5233" spans="1:12" hidden="1" x14ac:dyDescent="0.3">
      <c r="A5233" t="s">
        <v>37</v>
      </c>
      <c r="B5233" t="s">
        <v>38</v>
      </c>
      <c r="C5233" t="s">
        <v>127</v>
      </c>
      <c r="D5233" t="s">
        <v>128</v>
      </c>
      <c r="E5233">
        <v>1979</v>
      </c>
      <c r="F5233" s="1">
        <v>32025</v>
      </c>
      <c r="G5233">
        <v>1980</v>
      </c>
      <c r="H5233">
        <f>AVERAGEIFS(Table1[value],Table1[IndicatorCode],Table1[[#This Row],[IndicatorCode]])</f>
        <v>24902.88753799392</v>
      </c>
      <c r="I5233" cm="1">
        <f t="array" ref="I5233">_xlfn.STDEV.P(IF(Table1[IndicatorCode]=Table1[[#This Row],[IndicatorCode]],Table1[value]))</f>
        <v>26324.778297809873</v>
      </c>
      <c r="J5233">
        <f>(Table1[[#This Row],[value]] - Table1[[#This Row],[mean]]) / Table1[[#This Row],[std_dev]]</f>
        <v>0.27054786108487811</v>
      </c>
      <c r="K5233">
        <f>AVERAGEIF(Table1[CountryCode],Table1[[#This Row],[CountryCode]],Table1[z-score])</f>
        <v>0.4680674202807556</v>
      </c>
      <c r="L5233" t="e">
        <f>VLOOKUP(Table1[[#This Row],[CountryCode]],[1]!Table1[#All],1,FALSE)</f>
        <v>#REF!</v>
      </c>
    </row>
    <row r="5234" spans="1:12" hidden="1" x14ac:dyDescent="0.3">
      <c r="A5234" t="s">
        <v>37</v>
      </c>
      <c r="B5234" t="s">
        <v>38</v>
      </c>
      <c r="C5234" t="s">
        <v>127</v>
      </c>
      <c r="D5234" t="s">
        <v>128</v>
      </c>
      <c r="E5234">
        <v>1980</v>
      </c>
      <c r="F5234" s="1">
        <v>31746</v>
      </c>
      <c r="G5234">
        <v>1980</v>
      </c>
      <c r="H5234">
        <f>AVERAGEIFS(Table1[value],Table1[IndicatorCode],Table1[[#This Row],[IndicatorCode]])</f>
        <v>24902.88753799392</v>
      </c>
      <c r="I5234" cm="1">
        <f t="array" ref="I5234">_xlfn.STDEV.P(IF(Table1[IndicatorCode]=Table1[[#This Row],[IndicatorCode]],Table1[value]))</f>
        <v>26324.778297809873</v>
      </c>
      <c r="J5234">
        <f>(Table1[[#This Row],[value]] - Table1[[#This Row],[mean]]) / Table1[[#This Row],[std_dev]]</f>
        <v>0.25994948122983441</v>
      </c>
      <c r="K5234">
        <f>AVERAGEIF(Table1[CountryCode],Table1[[#This Row],[CountryCode]],Table1[z-score])</f>
        <v>0.4680674202807556</v>
      </c>
      <c r="L5234" t="e">
        <f>VLOOKUP(Table1[[#This Row],[CountryCode]],[1]!Table1[#All],1,FALSE)</f>
        <v>#REF!</v>
      </c>
    </row>
    <row r="5235" spans="1:12" hidden="1" x14ac:dyDescent="0.3">
      <c r="A5235" t="s">
        <v>37</v>
      </c>
      <c r="B5235" t="s">
        <v>38</v>
      </c>
      <c r="C5235" t="s">
        <v>127</v>
      </c>
      <c r="D5235" t="s">
        <v>128</v>
      </c>
      <c r="E5235">
        <v>1981</v>
      </c>
      <c r="F5235" s="1">
        <v>31520</v>
      </c>
      <c r="G5235">
        <v>1980</v>
      </c>
      <c r="H5235">
        <f>AVERAGEIFS(Table1[value],Table1[IndicatorCode],Table1[[#This Row],[IndicatorCode]])</f>
        <v>24902.88753799392</v>
      </c>
      <c r="I5235" cm="1">
        <f t="array" ref="I5235">_xlfn.STDEV.P(IF(Table1[IndicatorCode]=Table1[[#This Row],[IndicatorCode]],Table1[value]))</f>
        <v>26324.778297809873</v>
      </c>
      <c r="J5235">
        <f>(Table1[[#This Row],[value]] - Table1[[#This Row],[mean]]) / Table1[[#This Row],[std_dev]]</f>
        <v>0.2513644136770033</v>
      </c>
      <c r="K5235">
        <f>AVERAGEIF(Table1[CountryCode],Table1[[#This Row],[CountryCode]],Table1[z-score])</f>
        <v>0.4680674202807556</v>
      </c>
      <c r="L5235" t="e">
        <f>VLOOKUP(Table1[[#This Row],[CountryCode]],[1]!Table1[#All],1,FALSE)</f>
        <v>#REF!</v>
      </c>
    </row>
    <row r="5236" spans="1:12" hidden="1" x14ac:dyDescent="0.3">
      <c r="A5236" t="s">
        <v>37</v>
      </c>
      <c r="B5236" t="s">
        <v>38</v>
      </c>
      <c r="C5236" t="s">
        <v>127</v>
      </c>
      <c r="D5236" t="s">
        <v>128</v>
      </c>
      <c r="E5236">
        <v>1982</v>
      </c>
      <c r="F5236" s="1">
        <v>32770</v>
      </c>
      <c r="G5236">
        <v>1980</v>
      </c>
      <c r="H5236">
        <f>AVERAGEIFS(Table1[value],Table1[IndicatorCode],Table1[[#This Row],[IndicatorCode]])</f>
        <v>24902.88753799392</v>
      </c>
      <c r="I5236" cm="1">
        <f t="array" ref="I5236">_xlfn.STDEV.P(IF(Table1[IndicatorCode]=Table1[[#This Row],[IndicatorCode]],Table1[value]))</f>
        <v>26324.778297809873</v>
      </c>
      <c r="J5236">
        <f>(Table1[[#This Row],[value]] - Table1[[#This Row],[mean]]) / Table1[[#This Row],[std_dev]]</f>
        <v>0.29884819438956473</v>
      </c>
      <c r="K5236">
        <f>AVERAGEIF(Table1[CountryCode],Table1[[#This Row],[CountryCode]],Table1[z-score])</f>
        <v>0.4680674202807556</v>
      </c>
      <c r="L5236" t="e">
        <f>VLOOKUP(Table1[[#This Row],[CountryCode]],[1]!Table1[#All],1,FALSE)</f>
        <v>#REF!</v>
      </c>
    </row>
    <row r="5237" spans="1:12" hidden="1" x14ac:dyDescent="0.3">
      <c r="A5237" t="s">
        <v>37</v>
      </c>
      <c r="B5237" t="s">
        <v>38</v>
      </c>
      <c r="C5237" t="s">
        <v>127</v>
      </c>
      <c r="D5237" t="s">
        <v>128</v>
      </c>
      <c r="E5237">
        <v>1983</v>
      </c>
      <c r="F5237" s="1">
        <v>33664</v>
      </c>
      <c r="G5237">
        <v>1980</v>
      </c>
      <c r="H5237">
        <f>AVERAGEIFS(Table1[value],Table1[IndicatorCode],Table1[[#This Row],[IndicatorCode]])</f>
        <v>24902.88753799392</v>
      </c>
      <c r="I5237" cm="1">
        <f t="array" ref="I5237">_xlfn.STDEV.P(IF(Table1[IndicatorCode]=Table1[[#This Row],[IndicatorCode]],Table1[value]))</f>
        <v>26324.778297809873</v>
      </c>
      <c r="J5237">
        <f>(Table1[[#This Row],[value]] - Table1[[#This Row],[mean]]) / Table1[[#This Row],[std_dev]]</f>
        <v>0.33280859435518867</v>
      </c>
      <c r="K5237">
        <f>AVERAGEIF(Table1[CountryCode],Table1[[#This Row],[CountryCode]],Table1[z-score])</f>
        <v>0.4680674202807556</v>
      </c>
      <c r="L5237" t="e">
        <f>VLOOKUP(Table1[[#This Row],[CountryCode]],[1]!Table1[#All],1,FALSE)</f>
        <v>#REF!</v>
      </c>
    </row>
    <row r="5238" spans="1:12" hidden="1" x14ac:dyDescent="0.3">
      <c r="A5238" t="s">
        <v>37</v>
      </c>
      <c r="B5238" t="s">
        <v>38</v>
      </c>
      <c r="C5238" t="s">
        <v>127</v>
      </c>
      <c r="D5238" t="s">
        <v>128</v>
      </c>
      <c r="E5238">
        <v>1984</v>
      </c>
      <c r="F5238" s="1">
        <v>35143</v>
      </c>
      <c r="G5238">
        <v>1980</v>
      </c>
      <c r="H5238">
        <f>AVERAGEIFS(Table1[value],Table1[IndicatorCode],Table1[[#This Row],[IndicatorCode]])</f>
        <v>24902.88753799392</v>
      </c>
      <c r="I5238" cm="1">
        <f t="array" ref="I5238">_xlfn.STDEV.P(IF(Table1[IndicatorCode]=Table1[[#This Row],[IndicatorCode]],Table1[value]))</f>
        <v>26324.778297809873</v>
      </c>
      <c r="J5238">
        <f>(Table1[[#This Row],[value]] - Table1[[#This Row],[mean]]) / Table1[[#This Row],[std_dev]]</f>
        <v>0.38899140369429136</v>
      </c>
      <c r="K5238">
        <f>AVERAGEIF(Table1[CountryCode],Table1[[#This Row],[CountryCode]],Table1[z-score])</f>
        <v>0.4680674202807556</v>
      </c>
      <c r="L5238" t="e">
        <f>VLOOKUP(Table1[[#This Row],[CountryCode]],[1]!Table1[#All],1,FALSE)</f>
        <v>#REF!</v>
      </c>
    </row>
    <row r="5239" spans="1:12" hidden="1" x14ac:dyDescent="0.3">
      <c r="A5239" t="s">
        <v>37</v>
      </c>
      <c r="B5239" t="s">
        <v>38</v>
      </c>
      <c r="C5239" t="s">
        <v>127</v>
      </c>
      <c r="D5239" t="s">
        <v>128</v>
      </c>
      <c r="E5239">
        <v>1985</v>
      </c>
      <c r="F5239" s="1">
        <v>36587</v>
      </c>
      <c r="G5239">
        <v>1980</v>
      </c>
      <c r="H5239">
        <f>AVERAGEIFS(Table1[value],Table1[IndicatorCode],Table1[[#This Row],[IndicatorCode]])</f>
        <v>24902.88753799392</v>
      </c>
      <c r="I5239" cm="1">
        <f t="array" ref="I5239">_xlfn.STDEV.P(IF(Table1[IndicatorCode]=Table1[[#This Row],[IndicatorCode]],Table1[value]))</f>
        <v>26324.778297809873</v>
      </c>
      <c r="J5239">
        <f>(Table1[[#This Row],[value]] - Table1[[#This Row],[mean]]) / Table1[[#This Row],[std_dev]]</f>
        <v>0.44384466717344229</v>
      </c>
      <c r="K5239">
        <f>AVERAGEIF(Table1[CountryCode],Table1[[#This Row],[CountryCode]],Table1[z-score])</f>
        <v>0.4680674202807556</v>
      </c>
      <c r="L5239" t="e">
        <f>VLOOKUP(Table1[[#This Row],[CountryCode]],[1]!Table1[#All],1,FALSE)</f>
        <v>#REF!</v>
      </c>
    </row>
    <row r="5240" spans="1:12" hidden="1" x14ac:dyDescent="0.3">
      <c r="A5240" t="s">
        <v>37</v>
      </c>
      <c r="B5240" t="s">
        <v>38</v>
      </c>
      <c r="C5240" t="s">
        <v>127</v>
      </c>
      <c r="D5240" t="s">
        <v>128</v>
      </c>
      <c r="E5240">
        <v>1986</v>
      </c>
      <c r="F5240" s="1">
        <v>38268</v>
      </c>
      <c r="G5240">
        <v>1980</v>
      </c>
      <c r="H5240">
        <f>AVERAGEIFS(Table1[value],Table1[IndicatorCode],Table1[[#This Row],[IndicatorCode]])</f>
        <v>24902.88753799392</v>
      </c>
      <c r="I5240" cm="1">
        <f t="array" ref="I5240">_xlfn.STDEV.P(IF(Table1[IndicatorCode]=Table1[[#This Row],[IndicatorCode]],Table1[value]))</f>
        <v>26324.778297809873</v>
      </c>
      <c r="J5240">
        <f>(Table1[[#This Row],[value]] - Table1[[#This Row],[mean]]) / Table1[[#This Row],[std_dev]]</f>
        <v>0.50770085547569488</v>
      </c>
      <c r="K5240">
        <f>AVERAGEIF(Table1[CountryCode],Table1[[#This Row],[CountryCode]],Table1[z-score])</f>
        <v>0.4680674202807556</v>
      </c>
      <c r="L5240" t="e">
        <f>VLOOKUP(Table1[[#This Row],[CountryCode]],[1]!Table1[#All],1,FALSE)</f>
        <v>#REF!</v>
      </c>
    </row>
    <row r="5241" spans="1:12" hidden="1" x14ac:dyDescent="0.3">
      <c r="A5241" t="s">
        <v>37</v>
      </c>
      <c r="B5241" t="s">
        <v>38</v>
      </c>
      <c r="C5241" t="s">
        <v>127</v>
      </c>
      <c r="D5241" t="s">
        <v>128</v>
      </c>
      <c r="E5241">
        <v>1987</v>
      </c>
      <c r="F5241" s="1">
        <v>38397</v>
      </c>
      <c r="G5241">
        <v>1990</v>
      </c>
      <c r="H5241">
        <f>AVERAGEIFS(Table1[value],Table1[IndicatorCode],Table1[[#This Row],[IndicatorCode]])</f>
        <v>24902.88753799392</v>
      </c>
      <c r="I5241" cm="1">
        <f t="array" ref="I5241">_xlfn.STDEV.P(IF(Table1[IndicatorCode]=Table1[[#This Row],[IndicatorCode]],Table1[value]))</f>
        <v>26324.778297809873</v>
      </c>
      <c r="J5241">
        <f>(Table1[[#This Row],[value]] - Table1[[#This Row],[mean]]) / Table1[[#This Row],[std_dev]]</f>
        <v>0.51260118164523127</v>
      </c>
      <c r="K5241">
        <f>AVERAGEIF(Table1[CountryCode],Table1[[#This Row],[CountryCode]],Table1[z-score])</f>
        <v>0.4680674202807556</v>
      </c>
      <c r="L5241" t="e">
        <f>VLOOKUP(Table1[[#This Row],[CountryCode]],[1]!Table1[#All],1,FALSE)</f>
        <v>#REF!</v>
      </c>
    </row>
    <row r="5242" spans="1:12" hidden="1" x14ac:dyDescent="0.3">
      <c r="A5242" t="s">
        <v>37</v>
      </c>
      <c r="B5242" t="s">
        <v>38</v>
      </c>
      <c r="C5242" t="s">
        <v>127</v>
      </c>
      <c r="D5242" t="s">
        <v>128</v>
      </c>
      <c r="E5242">
        <v>1988</v>
      </c>
      <c r="F5242" s="1">
        <v>38483</v>
      </c>
      <c r="G5242">
        <v>1990</v>
      </c>
      <c r="H5242">
        <f>AVERAGEIFS(Table1[value],Table1[IndicatorCode],Table1[[#This Row],[IndicatorCode]])</f>
        <v>24902.88753799392</v>
      </c>
      <c r="I5242" cm="1">
        <f t="array" ref="I5242">_xlfn.STDEV.P(IF(Table1[IndicatorCode]=Table1[[#This Row],[IndicatorCode]],Table1[value]))</f>
        <v>26324.778297809873</v>
      </c>
      <c r="J5242">
        <f>(Table1[[#This Row],[value]] - Table1[[#This Row],[mean]]) / Table1[[#This Row],[std_dev]]</f>
        <v>0.5158680657582555</v>
      </c>
      <c r="K5242">
        <f>AVERAGEIF(Table1[CountryCode],Table1[[#This Row],[CountryCode]],Table1[z-score])</f>
        <v>0.4680674202807556</v>
      </c>
      <c r="L5242" t="e">
        <f>VLOOKUP(Table1[[#This Row],[CountryCode]],[1]!Table1[#All],1,FALSE)</f>
        <v>#REF!</v>
      </c>
    </row>
    <row r="5243" spans="1:12" hidden="1" x14ac:dyDescent="0.3">
      <c r="A5243" t="s">
        <v>37</v>
      </c>
      <c r="B5243" t="s">
        <v>38</v>
      </c>
      <c r="C5243" t="s">
        <v>127</v>
      </c>
      <c r="D5243" t="s">
        <v>128</v>
      </c>
      <c r="E5243">
        <v>1989</v>
      </c>
      <c r="F5243" s="1">
        <v>38728</v>
      </c>
      <c r="G5243">
        <v>1990</v>
      </c>
      <c r="H5243">
        <f>AVERAGEIFS(Table1[value],Table1[IndicatorCode],Table1[[#This Row],[IndicatorCode]])</f>
        <v>24902.88753799392</v>
      </c>
      <c r="I5243" cm="1">
        <f t="array" ref="I5243">_xlfn.STDEV.P(IF(Table1[IndicatorCode]=Table1[[#This Row],[IndicatorCode]],Table1[value]))</f>
        <v>26324.778297809873</v>
      </c>
      <c r="J5243">
        <f>(Table1[[#This Row],[value]] - Table1[[#This Row],[mean]]) / Table1[[#This Row],[std_dev]]</f>
        <v>0.52517488677791746</v>
      </c>
      <c r="K5243">
        <f>AVERAGEIF(Table1[CountryCode],Table1[[#This Row],[CountryCode]],Table1[z-score])</f>
        <v>0.4680674202807556</v>
      </c>
      <c r="L5243" t="e">
        <f>VLOOKUP(Table1[[#This Row],[CountryCode]],[1]!Table1[#All],1,FALSE)</f>
        <v>#REF!</v>
      </c>
    </row>
    <row r="5244" spans="1:12" hidden="1" x14ac:dyDescent="0.3">
      <c r="A5244" t="s">
        <v>37</v>
      </c>
      <c r="B5244" t="s">
        <v>38</v>
      </c>
      <c r="C5244" t="s">
        <v>127</v>
      </c>
      <c r="D5244" t="s">
        <v>128</v>
      </c>
      <c r="E5244">
        <v>1990</v>
      </c>
      <c r="F5244" s="1">
        <v>39307</v>
      </c>
      <c r="G5244">
        <v>1990</v>
      </c>
      <c r="H5244">
        <f>AVERAGEIFS(Table1[value],Table1[IndicatorCode],Table1[[#This Row],[IndicatorCode]])</f>
        <v>24902.88753799392</v>
      </c>
      <c r="I5244" cm="1">
        <f t="array" ref="I5244">_xlfn.STDEV.P(IF(Table1[IndicatorCode]=Table1[[#This Row],[IndicatorCode]],Table1[value]))</f>
        <v>26324.778297809873</v>
      </c>
      <c r="J5244">
        <f>(Table1[[#This Row],[value]] - Table1[[#This Row],[mean]]) / Table1[[#This Row],[std_dev]]</f>
        <v>0.54716937400397592</v>
      </c>
      <c r="K5244">
        <f>AVERAGEIF(Table1[CountryCode],Table1[[#This Row],[CountryCode]],Table1[z-score])</f>
        <v>0.4680674202807556</v>
      </c>
      <c r="L5244" t="e">
        <f>VLOOKUP(Table1[[#This Row],[CountryCode]],[1]!Table1[#All],1,FALSE)</f>
        <v>#REF!</v>
      </c>
    </row>
    <row r="5245" spans="1:12" hidden="1" x14ac:dyDescent="0.3">
      <c r="A5245" t="s">
        <v>37</v>
      </c>
      <c r="B5245" t="s">
        <v>38</v>
      </c>
      <c r="C5245" t="s">
        <v>127</v>
      </c>
      <c r="D5245" t="s">
        <v>128</v>
      </c>
      <c r="E5245">
        <v>1991</v>
      </c>
      <c r="F5245" s="1">
        <v>39777</v>
      </c>
      <c r="G5245">
        <v>1990</v>
      </c>
      <c r="H5245">
        <f>AVERAGEIFS(Table1[value],Table1[IndicatorCode],Table1[[#This Row],[IndicatorCode]])</f>
        <v>24902.88753799392</v>
      </c>
      <c r="I5245" cm="1">
        <f t="array" ref="I5245">_xlfn.STDEV.P(IF(Table1[IndicatorCode]=Table1[[#This Row],[IndicatorCode]],Table1[value]))</f>
        <v>26324.778297809873</v>
      </c>
      <c r="J5245">
        <f>(Table1[[#This Row],[value]] - Table1[[#This Row],[mean]]) / Table1[[#This Row],[std_dev]]</f>
        <v>0.56502327555189902</v>
      </c>
      <c r="K5245">
        <f>AVERAGEIF(Table1[CountryCode],Table1[[#This Row],[CountryCode]],Table1[z-score])</f>
        <v>0.4680674202807556</v>
      </c>
      <c r="L5245" t="e">
        <f>VLOOKUP(Table1[[#This Row],[CountryCode]],[1]!Table1[#All],1,FALSE)</f>
        <v>#REF!</v>
      </c>
    </row>
    <row r="5246" spans="1:12" hidden="1" x14ac:dyDescent="0.3">
      <c r="A5246" t="s">
        <v>37</v>
      </c>
      <c r="B5246" t="s">
        <v>38</v>
      </c>
      <c r="C5246" t="s">
        <v>127</v>
      </c>
      <c r="D5246" t="s">
        <v>128</v>
      </c>
      <c r="E5246">
        <v>1992</v>
      </c>
      <c r="F5246" s="1">
        <v>40447</v>
      </c>
      <c r="G5246">
        <v>1990</v>
      </c>
      <c r="H5246">
        <f>AVERAGEIFS(Table1[value],Table1[IndicatorCode],Table1[[#This Row],[IndicatorCode]])</f>
        <v>24902.88753799392</v>
      </c>
      <c r="I5246" cm="1">
        <f t="array" ref="I5246">_xlfn.STDEV.P(IF(Table1[IndicatorCode]=Table1[[#This Row],[IndicatorCode]],Table1[value]))</f>
        <v>26324.778297809873</v>
      </c>
      <c r="J5246">
        <f>(Table1[[#This Row],[value]] - Table1[[#This Row],[mean]]) / Table1[[#This Row],[std_dev]]</f>
        <v>0.59047458201383196</v>
      </c>
      <c r="K5246">
        <f>AVERAGEIF(Table1[CountryCode],Table1[[#This Row],[CountryCode]],Table1[z-score])</f>
        <v>0.4680674202807556</v>
      </c>
      <c r="L5246" t="e">
        <f>VLOOKUP(Table1[[#This Row],[CountryCode]],[1]!Table1[#All],1,FALSE)</f>
        <v>#REF!</v>
      </c>
    </row>
    <row r="5247" spans="1:12" hidden="1" x14ac:dyDescent="0.3">
      <c r="A5247" t="s">
        <v>37</v>
      </c>
      <c r="B5247" t="s">
        <v>38</v>
      </c>
      <c r="C5247" t="s">
        <v>127</v>
      </c>
      <c r="D5247" t="s">
        <v>128</v>
      </c>
      <c r="E5247">
        <v>1993</v>
      </c>
      <c r="F5247" s="1">
        <v>40281</v>
      </c>
      <c r="G5247">
        <v>1990</v>
      </c>
      <c r="H5247">
        <f>AVERAGEIFS(Table1[value],Table1[IndicatorCode],Table1[[#This Row],[IndicatorCode]])</f>
        <v>24902.88753799392</v>
      </c>
      <c r="I5247" cm="1">
        <f t="array" ref="I5247">_xlfn.STDEV.P(IF(Table1[IndicatorCode]=Table1[[#This Row],[IndicatorCode]],Table1[value]))</f>
        <v>26324.778297809873</v>
      </c>
      <c r="J5247">
        <f>(Table1[[#This Row],[value]] - Table1[[#This Row],[mean]]) / Table1[[#This Row],[std_dev]]</f>
        <v>0.5841687359352038</v>
      </c>
      <c r="K5247">
        <f>AVERAGEIF(Table1[CountryCode],Table1[[#This Row],[CountryCode]],Table1[z-score])</f>
        <v>0.4680674202807556</v>
      </c>
      <c r="L5247" t="e">
        <f>VLOOKUP(Table1[[#This Row],[CountryCode]],[1]!Table1[#All],1,FALSE)</f>
        <v>#REF!</v>
      </c>
    </row>
    <row r="5248" spans="1:12" hidden="1" x14ac:dyDescent="0.3">
      <c r="A5248" t="s">
        <v>37</v>
      </c>
      <c r="B5248" t="s">
        <v>38</v>
      </c>
      <c r="C5248" t="s">
        <v>127</v>
      </c>
      <c r="D5248" t="s">
        <v>128</v>
      </c>
      <c r="E5248">
        <v>1994</v>
      </c>
      <c r="F5248" s="1">
        <v>42271</v>
      </c>
      <c r="G5248">
        <v>1990</v>
      </c>
      <c r="H5248">
        <f>AVERAGEIFS(Table1[value],Table1[IndicatorCode],Table1[[#This Row],[IndicatorCode]])</f>
        <v>24902.88753799392</v>
      </c>
      <c r="I5248" cm="1">
        <f t="array" ref="I5248">_xlfn.STDEV.P(IF(Table1[IndicatorCode]=Table1[[#This Row],[IndicatorCode]],Table1[value]))</f>
        <v>26324.778297809873</v>
      </c>
      <c r="J5248">
        <f>(Table1[[#This Row],[value]] - Table1[[#This Row],[mean]]) / Table1[[#This Row],[std_dev]]</f>
        <v>0.65976291482960159</v>
      </c>
      <c r="K5248">
        <f>AVERAGEIF(Table1[CountryCode],Table1[[#This Row],[CountryCode]],Table1[z-score])</f>
        <v>0.4680674202807556</v>
      </c>
      <c r="L5248" t="e">
        <f>VLOOKUP(Table1[[#This Row],[CountryCode]],[1]!Table1[#All],1,FALSE)</f>
        <v>#REF!</v>
      </c>
    </row>
    <row r="5249" spans="1:12" hidden="1" x14ac:dyDescent="0.3">
      <c r="A5249" t="s">
        <v>37</v>
      </c>
      <c r="B5249" t="s">
        <v>38</v>
      </c>
      <c r="C5249" t="s">
        <v>127</v>
      </c>
      <c r="D5249" t="s">
        <v>128</v>
      </c>
      <c r="E5249">
        <v>1995</v>
      </c>
      <c r="F5249" s="1">
        <v>43329</v>
      </c>
      <c r="G5249">
        <v>1990</v>
      </c>
      <c r="H5249">
        <f>AVERAGEIFS(Table1[value],Table1[IndicatorCode],Table1[[#This Row],[IndicatorCode]])</f>
        <v>24902.88753799392</v>
      </c>
      <c r="I5249" cm="1">
        <f t="array" ref="I5249">_xlfn.STDEV.P(IF(Table1[IndicatorCode]=Table1[[#This Row],[IndicatorCode]],Table1[value]))</f>
        <v>26324.778297809873</v>
      </c>
      <c r="J5249">
        <f>(Table1[[#This Row],[value]] - Table1[[#This Row],[mean]]) / Table1[[#This Row],[std_dev]]</f>
        <v>0.69995318682471364</v>
      </c>
      <c r="K5249">
        <f>AVERAGEIF(Table1[CountryCode],Table1[[#This Row],[CountryCode]],Table1[z-score])</f>
        <v>0.4680674202807556</v>
      </c>
      <c r="L5249" t="e">
        <f>VLOOKUP(Table1[[#This Row],[CountryCode]],[1]!Table1[#All],1,FALSE)</f>
        <v>#REF!</v>
      </c>
    </row>
    <row r="5250" spans="1:12" hidden="1" x14ac:dyDescent="0.3">
      <c r="A5250" t="s">
        <v>37</v>
      </c>
      <c r="B5250" t="s">
        <v>38</v>
      </c>
      <c r="C5250" t="s">
        <v>127</v>
      </c>
      <c r="D5250" t="s">
        <v>128</v>
      </c>
      <c r="E5250">
        <v>1996</v>
      </c>
      <c r="F5250" s="1">
        <v>44332</v>
      </c>
      <c r="G5250">
        <v>1990</v>
      </c>
      <c r="H5250">
        <f>AVERAGEIFS(Table1[value],Table1[IndicatorCode],Table1[[#This Row],[IndicatorCode]])</f>
        <v>24902.88753799392</v>
      </c>
      <c r="I5250" cm="1">
        <f t="array" ref="I5250">_xlfn.STDEV.P(IF(Table1[IndicatorCode]=Table1[[#This Row],[IndicatorCode]],Table1[value]))</f>
        <v>26324.778297809873</v>
      </c>
      <c r="J5250">
        <f>(Table1[[#This Row],[value]] - Table1[[#This Row],[mean]]) / Table1[[#This Row],[std_dev]]</f>
        <v>0.73805417246847294</v>
      </c>
      <c r="K5250">
        <f>AVERAGEIF(Table1[CountryCode],Table1[[#This Row],[CountryCode]],Table1[z-score])</f>
        <v>0.4680674202807556</v>
      </c>
      <c r="L5250" t="e">
        <f>VLOOKUP(Table1[[#This Row],[CountryCode]],[1]!Table1[#All],1,FALSE)</f>
        <v>#REF!</v>
      </c>
    </row>
    <row r="5251" spans="1:12" hidden="1" x14ac:dyDescent="0.3">
      <c r="A5251" t="s">
        <v>37</v>
      </c>
      <c r="B5251" t="s">
        <v>38</v>
      </c>
      <c r="C5251" t="s">
        <v>127</v>
      </c>
      <c r="D5251" t="s">
        <v>128</v>
      </c>
      <c r="E5251">
        <v>1997</v>
      </c>
      <c r="F5251" s="1">
        <v>45547</v>
      </c>
      <c r="G5251">
        <v>2000</v>
      </c>
      <c r="H5251">
        <f>AVERAGEIFS(Table1[value],Table1[IndicatorCode],Table1[[#This Row],[IndicatorCode]])</f>
        <v>24902.88753799392</v>
      </c>
      <c r="I5251" cm="1">
        <f t="array" ref="I5251">_xlfn.STDEV.P(IF(Table1[IndicatorCode]=Table1[[#This Row],[IndicatorCode]],Table1[value]))</f>
        <v>26324.778297809873</v>
      </c>
      <c r="J5251">
        <f>(Table1[[#This Row],[value]] - Table1[[#This Row],[mean]]) / Table1[[#This Row],[std_dev]]</f>
        <v>0.78420840732108255</v>
      </c>
      <c r="K5251">
        <f>AVERAGEIF(Table1[CountryCode],Table1[[#This Row],[CountryCode]],Table1[z-score])</f>
        <v>0.4680674202807556</v>
      </c>
      <c r="L5251" t="e">
        <f>VLOOKUP(Table1[[#This Row],[CountryCode]],[1]!Table1[#All],1,FALSE)</f>
        <v>#REF!</v>
      </c>
    </row>
    <row r="5252" spans="1:12" hidden="1" x14ac:dyDescent="0.3">
      <c r="A5252" t="s">
        <v>37</v>
      </c>
      <c r="B5252" t="s">
        <v>38</v>
      </c>
      <c r="C5252" t="s">
        <v>127</v>
      </c>
      <c r="D5252" t="s">
        <v>128</v>
      </c>
      <c r="E5252">
        <v>1998</v>
      </c>
      <c r="F5252" s="1">
        <v>46437</v>
      </c>
      <c r="G5252">
        <v>2000</v>
      </c>
      <c r="H5252">
        <f>AVERAGEIFS(Table1[value],Table1[IndicatorCode],Table1[[#This Row],[IndicatorCode]])</f>
        <v>24902.88753799392</v>
      </c>
      <c r="I5252" cm="1">
        <f t="array" ref="I5252">_xlfn.STDEV.P(IF(Table1[IndicatorCode]=Table1[[#This Row],[IndicatorCode]],Table1[value]))</f>
        <v>26324.778297809873</v>
      </c>
      <c r="J5252">
        <f>(Table1[[#This Row],[value]] - Table1[[#This Row],[mean]]) / Table1[[#This Row],[std_dev]]</f>
        <v>0.81801685918842637</v>
      </c>
      <c r="K5252">
        <f>AVERAGEIF(Table1[CountryCode],Table1[[#This Row],[CountryCode]],Table1[z-score])</f>
        <v>0.4680674202807556</v>
      </c>
      <c r="L5252" t="e">
        <f>VLOOKUP(Table1[[#This Row],[CountryCode]],[1]!Table1[#All],1,FALSE)</f>
        <v>#REF!</v>
      </c>
    </row>
    <row r="5253" spans="1:12" hidden="1" x14ac:dyDescent="0.3">
      <c r="A5253" t="s">
        <v>37</v>
      </c>
      <c r="B5253" t="s">
        <v>38</v>
      </c>
      <c r="C5253" t="s">
        <v>127</v>
      </c>
      <c r="D5253" t="s">
        <v>128</v>
      </c>
      <c r="E5253">
        <v>1999</v>
      </c>
      <c r="F5253" s="1">
        <v>47657</v>
      </c>
      <c r="G5253">
        <v>2000</v>
      </c>
      <c r="H5253">
        <f>AVERAGEIFS(Table1[value],Table1[IndicatorCode],Table1[[#This Row],[IndicatorCode]])</f>
        <v>24902.88753799392</v>
      </c>
      <c r="I5253" cm="1">
        <f t="array" ref="I5253">_xlfn.STDEV.P(IF(Table1[IndicatorCode]=Table1[[#This Row],[IndicatorCode]],Table1[value]))</f>
        <v>26324.778297809873</v>
      </c>
      <c r="J5253">
        <f>(Table1[[#This Row],[value]] - Table1[[#This Row],[mean]]) / Table1[[#This Row],[std_dev]]</f>
        <v>0.86436102916388624</v>
      </c>
      <c r="K5253">
        <f>AVERAGEIF(Table1[CountryCode],Table1[[#This Row],[CountryCode]],Table1[z-score])</f>
        <v>0.4680674202807556</v>
      </c>
      <c r="L5253" t="e">
        <f>VLOOKUP(Table1[[#This Row],[CountryCode]],[1]!Table1[#All],1,FALSE)</f>
        <v>#REF!</v>
      </c>
    </row>
    <row r="5254" spans="1:12" hidden="1" x14ac:dyDescent="0.3">
      <c r="A5254" t="s">
        <v>37</v>
      </c>
      <c r="B5254" t="s">
        <v>38</v>
      </c>
      <c r="C5254" t="s">
        <v>127</v>
      </c>
      <c r="D5254" t="s">
        <v>128</v>
      </c>
      <c r="E5254">
        <v>2000</v>
      </c>
      <c r="F5254" s="1">
        <v>49267</v>
      </c>
      <c r="G5254">
        <v>2000</v>
      </c>
      <c r="H5254">
        <f>AVERAGEIFS(Table1[value],Table1[IndicatorCode],Table1[[#This Row],[IndicatorCode]])</f>
        <v>24902.88753799392</v>
      </c>
      <c r="I5254" cm="1">
        <f t="array" ref="I5254">_xlfn.STDEV.P(IF(Table1[IndicatorCode]=Table1[[#This Row],[IndicatorCode]],Table1[value]))</f>
        <v>26324.778297809873</v>
      </c>
      <c r="J5254">
        <f>(Table1[[#This Row],[value]] - Table1[[#This Row],[mean]]) / Table1[[#This Row],[std_dev]]</f>
        <v>0.92552013872166539</v>
      </c>
      <c r="K5254">
        <f>AVERAGEIF(Table1[CountryCode],Table1[[#This Row],[CountryCode]],Table1[z-score])</f>
        <v>0.4680674202807556</v>
      </c>
      <c r="L5254" t="e">
        <f>VLOOKUP(Table1[[#This Row],[CountryCode]],[1]!Table1[#All],1,FALSE)</f>
        <v>#REF!</v>
      </c>
    </row>
    <row r="5255" spans="1:12" hidden="1" x14ac:dyDescent="0.3">
      <c r="A5255" t="s">
        <v>37</v>
      </c>
      <c r="B5255" t="s">
        <v>38</v>
      </c>
      <c r="C5255" t="s">
        <v>127</v>
      </c>
      <c r="D5255" t="s">
        <v>128</v>
      </c>
      <c r="E5255">
        <v>2001</v>
      </c>
      <c r="F5255" s="1">
        <v>49557</v>
      </c>
      <c r="G5255">
        <v>2000</v>
      </c>
      <c r="H5255">
        <f>AVERAGEIFS(Table1[value],Table1[IndicatorCode],Table1[[#This Row],[IndicatorCode]])</f>
        <v>24902.88753799392</v>
      </c>
      <c r="I5255" cm="1">
        <f t="array" ref="I5255">_xlfn.STDEV.P(IF(Table1[IndicatorCode]=Table1[[#This Row],[IndicatorCode]],Table1[value]))</f>
        <v>26324.778297809873</v>
      </c>
      <c r="J5255">
        <f>(Table1[[#This Row],[value]] - Table1[[#This Row],[mean]]) / Table1[[#This Row],[std_dev]]</f>
        <v>0.93653637584697969</v>
      </c>
      <c r="K5255">
        <f>AVERAGEIF(Table1[CountryCode],Table1[[#This Row],[CountryCode]],Table1[z-score])</f>
        <v>0.4680674202807556</v>
      </c>
      <c r="L5255" t="e">
        <f>VLOOKUP(Table1[[#This Row],[CountryCode]],[1]!Table1[#All],1,FALSE)</f>
        <v>#REF!</v>
      </c>
    </row>
    <row r="5256" spans="1:12" hidden="1" x14ac:dyDescent="0.3">
      <c r="A5256" t="s">
        <v>37</v>
      </c>
      <c r="B5256" t="s">
        <v>38</v>
      </c>
      <c r="C5256" t="s">
        <v>127</v>
      </c>
      <c r="D5256" t="s">
        <v>128</v>
      </c>
      <c r="E5256">
        <v>2002</v>
      </c>
      <c r="F5256" s="1">
        <v>49625</v>
      </c>
      <c r="G5256">
        <v>2000</v>
      </c>
      <c r="H5256">
        <f>AVERAGEIFS(Table1[value],Table1[IndicatorCode],Table1[[#This Row],[IndicatorCode]])</f>
        <v>24902.88753799392</v>
      </c>
      <c r="I5256" cm="1">
        <f t="array" ref="I5256">_xlfn.STDEV.P(IF(Table1[IndicatorCode]=Table1[[#This Row],[IndicatorCode]],Table1[value]))</f>
        <v>26324.778297809873</v>
      </c>
      <c r="J5256">
        <f>(Table1[[#This Row],[value]] - Table1[[#This Row],[mean]]) / Table1[[#This Row],[std_dev]]</f>
        <v>0.93911949351774293</v>
      </c>
      <c r="K5256">
        <f>AVERAGEIF(Table1[CountryCode],Table1[[#This Row],[CountryCode]],Table1[z-score])</f>
        <v>0.4680674202807556</v>
      </c>
      <c r="L5256" t="e">
        <f>VLOOKUP(Table1[[#This Row],[CountryCode]],[1]!Table1[#All],1,FALSE)</f>
        <v>#REF!</v>
      </c>
    </row>
    <row r="5257" spans="1:12" hidden="1" x14ac:dyDescent="0.3">
      <c r="A5257" t="s">
        <v>37</v>
      </c>
      <c r="B5257" t="s">
        <v>38</v>
      </c>
      <c r="C5257" t="s">
        <v>127</v>
      </c>
      <c r="D5257" t="s">
        <v>128</v>
      </c>
      <c r="E5257">
        <v>2003</v>
      </c>
      <c r="F5257" s="1">
        <v>49708</v>
      </c>
      <c r="G5257">
        <v>2000</v>
      </c>
      <c r="H5257">
        <f>AVERAGEIFS(Table1[value],Table1[IndicatorCode],Table1[[#This Row],[IndicatorCode]])</f>
        <v>24902.88753799392</v>
      </c>
      <c r="I5257" cm="1">
        <f t="array" ref="I5257">_xlfn.STDEV.P(IF(Table1[IndicatorCode]=Table1[[#This Row],[IndicatorCode]],Table1[value]))</f>
        <v>26324.778297809873</v>
      </c>
      <c r="J5257">
        <f>(Table1[[#This Row],[value]] - Table1[[#This Row],[mean]]) / Table1[[#This Row],[std_dev]]</f>
        <v>0.94227241655705707</v>
      </c>
      <c r="K5257">
        <f>AVERAGEIF(Table1[CountryCode],Table1[[#This Row],[CountryCode]],Table1[z-score])</f>
        <v>0.4680674202807556</v>
      </c>
      <c r="L5257" t="e">
        <f>VLOOKUP(Table1[[#This Row],[CountryCode]],[1]!Table1[#All],1,FALSE)</f>
        <v>#REF!</v>
      </c>
    </row>
    <row r="5258" spans="1:12" hidden="1" x14ac:dyDescent="0.3">
      <c r="A5258" t="s">
        <v>37</v>
      </c>
      <c r="B5258" t="s">
        <v>38</v>
      </c>
      <c r="C5258" t="s">
        <v>127</v>
      </c>
      <c r="D5258" t="s">
        <v>128</v>
      </c>
      <c r="E5258">
        <v>2004</v>
      </c>
      <c r="F5258" s="1">
        <v>50956</v>
      </c>
      <c r="G5258">
        <v>2000</v>
      </c>
      <c r="H5258">
        <f>AVERAGEIFS(Table1[value],Table1[IndicatorCode],Table1[[#This Row],[IndicatorCode]])</f>
        <v>24902.88753799392</v>
      </c>
      <c r="I5258" cm="1">
        <f t="array" ref="I5258">_xlfn.STDEV.P(IF(Table1[IndicatorCode]=Table1[[#This Row],[IndicatorCode]],Table1[value]))</f>
        <v>26324.778297809873</v>
      </c>
      <c r="J5258">
        <f>(Table1[[#This Row],[value]] - Table1[[#This Row],[mean]]) / Table1[[#This Row],[std_dev]]</f>
        <v>0.98968022322047833</v>
      </c>
      <c r="K5258">
        <f>AVERAGEIF(Table1[CountryCode],Table1[[#This Row],[CountryCode]],Table1[z-score])</f>
        <v>0.4680674202807556</v>
      </c>
      <c r="L5258" t="e">
        <f>VLOOKUP(Table1[[#This Row],[CountryCode]],[1]!Table1[#All],1,FALSE)</f>
        <v>#REF!</v>
      </c>
    </row>
    <row r="5259" spans="1:12" hidden="1" x14ac:dyDescent="0.3">
      <c r="A5259" t="s">
        <v>37</v>
      </c>
      <c r="B5259" t="s">
        <v>38</v>
      </c>
      <c r="C5259" t="s">
        <v>127</v>
      </c>
      <c r="D5259" t="s">
        <v>128</v>
      </c>
      <c r="E5259">
        <v>2005</v>
      </c>
      <c r="F5259" s="1">
        <v>52015</v>
      </c>
      <c r="G5259">
        <v>2000</v>
      </c>
      <c r="H5259">
        <f>AVERAGEIFS(Table1[value],Table1[IndicatorCode],Table1[[#This Row],[IndicatorCode]])</f>
        <v>24902.88753799392</v>
      </c>
      <c r="I5259" cm="1">
        <f t="array" ref="I5259">_xlfn.STDEV.P(IF(Table1[IndicatorCode]=Table1[[#This Row],[IndicatorCode]],Table1[value]))</f>
        <v>26324.778297809873</v>
      </c>
      <c r="J5259">
        <f>(Table1[[#This Row],[value]] - Table1[[#This Row],[mean]]) / Table1[[#This Row],[std_dev]]</f>
        <v>1.0299084822401605</v>
      </c>
      <c r="K5259">
        <f>AVERAGEIF(Table1[CountryCode],Table1[[#This Row],[CountryCode]],Table1[z-score])</f>
        <v>0.4680674202807556</v>
      </c>
      <c r="L5259" t="e">
        <f>VLOOKUP(Table1[[#This Row],[CountryCode]],[1]!Table1[#All],1,FALSE)</f>
        <v>#REF!</v>
      </c>
    </row>
    <row r="5260" spans="1:12" hidden="1" x14ac:dyDescent="0.3">
      <c r="A5260" t="s">
        <v>37</v>
      </c>
      <c r="B5260" t="s">
        <v>38</v>
      </c>
      <c r="C5260" t="s">
        <v>127</v>
      </c>
      <c r="D5260" t="s">
        <v>128</v>
      </c>
      <c r="E5260">
        <v>2006</v>
      </c>
      <c r="F5260" s="1">
        <v>53823</v>
      </c>
      <c r="G5260">
        <v>2000</v>
      </c>
      <c r="H5260">
        <f>AVERAGEIFS(Table1[value],Table1[IndicatorCode],Table1[[#This Row],[IndicatorCode]])</f>
        <v>24902.88753799392</v>
      </c>
      <c r="I5260" cm="1">
        <f t="array" ref="I5260">_xlfn.STDEV.P(IF(Table1[IndicatorCode]=Table1[[#This Row],[IndicatorCode]],Table1[value]))</f>
        <v>26324.778297809873</v>
      </c>
      <c r="J5260">
        <f>(Table1[[#This Row],[value]] - Table1[[#This Row],[mean]]) / Table1[[#This Row],[std_dev]]</f>
        <v>1.0985890226628092</v>
      </c>
      <c r="K5260">
        <f>AVERAGEIF(Table1[CountryCode],Table1[[#This Row],[CountryCode]],Table1[z-score])</f>
        <v>0.4680674202807556</v>
      </c>
      <c r="L5260" t="e">
        <f>VLOOKUP(Table1[[#This Row],[CountryCode]],[1]!Table1[#All],1,FALSE)</f>
        <v>#REF!</v>
      </c>
    </row>
    <row r="5261" spans="1:12" hidden="1" x14ac:dyDescent="0.3">
      <c r="A5261" t="s">
        <v>37</v>
      </c>
      <c r="B5261" t="s">
        <v>38</v>
      </c>
      <c r="C5261" t="s">
        <v>127</v>
      </c>
      <c r="D5261" t="s">
        <v>128</v>
      </c>
      <c r="E5261">
        <v>2007</v>
      </c>
      <c r="F5261" s="1">
        <v>54114</v>
      </c>
      <c r="G5261">
        <v>2010</v>
      </c>
      <c r="H5261">
        <f>AVERAGEIFS(Table1[value],Table1[IndicatorCode],Table1[[#This Row],[IndicatorCode]])</f>
        <v>24902.88753799392</v>
      </c>
      <c r="I5261" cm="1">
        <f t="array" ref="I5261">_xlfn.STDEV.P(IF(Table1[IndicatorCode]=Table1[[#This Row],[IndicatorCode]],Table1[value]))</f>
        <v>26324.778297809873</v>
      </c>
      <c r="J5261">
        <f>(Table1[[#This Row],[value]] - Table1[[#This Row],[mean]]) / Table1[[#This Row],[std_dev]]</f>
        <v>1.1096432468126936</v>
      </c>
      <c r="K5261">
        <f>AVERAGEIF(Table1[CountryCode],Table1[[#This Row],[CountryCode]],Table1[z-score])</f>
        <v>0.4680674202807556</v>
      </c>
      <c r="L5261" t="e">
        <f>VLOOKUP(Table1[[#This Row],[CountryCode]],[1]!Table1[#All],1,FALSE)</f>
        <v>#REF!</v>
      </c>
    </row>
    <row r="5262" spans="1:12" hidden="1" x14ac:dyDescent="0.3">
      <c r="A5262" t="s">
        <v>37</v>
      </c>
      <c r="B5262" t="s">
        <v>38</v>
      </c>
      <c r="C5262" t="s">
        <v>127</v>
      </c>
      <c r="D5262" t="s">
        <v>128</v>
      </c>
      <c r="E5262">
        <v>2008</v>
      </c>
      <c r="F5262" s="1">
        <v>53573</v>
      </c>
      <c r="G5262">
        <v>2010</v>
      </c>
      <c r="H5262">
        <f>AVERAGEIFS(Table1[value],Table1[IndicatorCode],Table1[[#This Row],[IndicatorCode]])</f>
        <v>24902.88753799392</v>
      </c>
      <c r="I5262" cm="1">
        <f t="array" ref="I5262">_xlfn.STDEV.P(IF(Table1[IndicatorCode]=Table1[[#This Row],[IndicatorCode]],Table1[value]))</f>
        <v>26324.778297809873</v>
      </c>
      <c r="J5262">
        <f>(Table1[[#This Row],[value]] - Table1[[#This Row],[mean]]) / Table1[[#This Row],[std_dev]]</f>
        <v>1.0890922665202969</v>
      </c>
      <c r="K5262">
        <f>AVERAGEIF(Table1[CountryCode],Table1[[#This Row],[CountryCode]],Table1[z-score])</f>
        <v>0.4680674202807556</v>
      </c>
      <c r="L5262" t="e">
        <f>VLOOKUP(Table1[[#This Row],[CountryCode]],[1]!Table1[#All],1,FALSE)</f>
        <v>#REF!</v>
      </c>
    </row>
    <row r="5263" spans="1:12" hidden="1" x14ac:dyDescent="0.3">
      <c r="A5263" t="s">
        <v>37</v>
      </c>
      <c r="B5263" t="s">
        <v>38</v>
      </c>
      <c r="C5263" t="s">
        <v>127</v>
      </c>
      <c r="D5263" t="s">
        <v>128</v>
      </c>
      <c r="E5263">
        <v>2009</v>
      </c>
      <c r="F5263" s="1">
        <v>50636</v>
      </c>
      <c r="G5263">
        <v>2010</v>
      </c>
      <c r="H5263">
        <f>AVERAGEIFS(Table1[value],Table1[IndicatorCode],Table1[[#This Row],[IndicatorCode]])</f>
        <v>24902.88753799392</v>
      </c>
      <c r="I5263" cm="1">
        <f t="array" ref="I5263">_xlfn.STDEV.P(IF(Table1[IndicatorCode]=Table1[[#This Row],[IndicatorCode]],Table1[value]))</f>
        <v>26324.778297809873</v>
      </c>
      <c r="J5263">
        <f>(Table1[[#This Row],[value]] - Table1[[#This Row],[mean]]) / Table1[[#This Row],[std_dev]]</f>
        <v>0.97752437535806269</v>
      </c>
      <c r="K5263">
        <f>AVERAGEIF(Table1[CountryCode],Table1[[#This Row],[CountryCode]],Table1[z-score])</f>
        <v>0.4680674202807556</v>
      </c>
      <c r="L5263" t="e">
        <f>VLOOKUP(Table1[[#This Row],[CountryCode]],[1]!Table1[#All],1,FALSE)</f>
        <v>#REF!</v>
      </c>
    </row>
    <row r="5264" spans="1:12" hidden="1" x14ac:dyDescent="0.3">
      <c r="A5264" t="s">
        <v>37</v>
      </c>
      <c r="B5264" t="s">
        <v>38</v>
      </c>
      <c r="C5264" t="s">
        <v>127</v>
      </c>
      <c r="D5264" t="s">
        <v>128</v>
      </c>
      <c r="E5264">
        <v>2010</v>
      </c>
      <c r="F5264" s="1">
        <v>51209</v>
      </c>
      <c r="G5264">
        <v>2010</v>
      </c>
      <c r="H5264">
        <f>AVERAGEIFS(Table1[value],Table1[IndicatorCode],Table1[[#This Row],[IndicatorCode]])</f>
        <v>24902.88753799392</v>
      </c>
      <c r="I5264" cm="1">
        <f t="array" ref="I5264">_xlfn.STDEV.P(IF(Table1[IndicatorCode]=Table1[[#This Row],[IndicatorCode]],Table1[value]))</f>
        <v>26324.778297809873</v>
      </c>
      <c r="J5264">
        <f>(Table1[[#This Row],[value]] - Table1[[#This Row],[mean]]) / Table1[[#This Row],[std_dev]]</f>
        <v>0.99929094043670086</v>
      </c>
      <c r="K5264">
        <f>AVERAGEIF(Table1[CountryCode],Table1[[#This Row],[CountryCode]],Table1[z-score])</f>
        <v>0.4680674202807556</v>
      </c>
      <c r="L5264" t="e">
        <f>VLOOKUP(Table1[[#This Row],[CountryCode]],[1]!Table1[#All],1,FALSE)</f>
        <v>#REF!</v>
      </c>
    </row>
    <row r="5265" spans="1:12" hidden="1" x14ac:dyDescent="0.3">
      <c r="A5265" t="s">
        <v>37</v>
      </c>
      <c r="B5265" t="s">
        <v>38</v>
      </c>
      <c r="C5265" t="s">
        <v>127</v>
      </c>
      <c r="D5265" t="s">
        <v>128</v>
      </c>
      <c r="E5265">
        <v>2011</v>
      </c>
      <c r="F5265" s="1">
        <v>51668</v>
      </c>
      <c r="G5265">
        <v>2010</v>
      </c>
      <c r="H5265">
        <f>AVERAGEIFS(Table1[value],Table1[IndicatorCode],Table1[[#This Row],[IndicatorCode]])</f>
        <v>24902.88753799392</v>
      </c>
      <c r="I5265" cm="1">
        <f t="array" ref="I5265">_xlfn.STDEV.P(IF(Table1[IndicatorCode]=Table1[[#This Row],[IndicatorCode]],Table1[value]))</f>
        <v>26324.778297809873</v>
      </c>
      <c r="J5265">
        <f>(Table1[[#This Row],[value]] - Table1[[#This Row],[mean]]) / Table1[[#This Row],[std_dev]]</f>
        <v>1.0167269847143534</v>
      </c>
      <c r="K5265">
        <f>AVERAGEIF(Table1[CountryCode],Table1[[#This Row],[CountryCode]],Table1[z-score])</f>
        <v>0.4680674202807556</v>
      </c>
      <c r="L5265" t="e">
        <f>VLOOKUP(Table1[[#This Row],[CountryCode]],[1]!Table1[#All],1,FALSE)</f>
        <v>#REF!</v>
      </c>
    </row>
    <row r="5266" spans="1:12" hidden="1" x14ac:dyDescent="0.3">
      <c r="A5266" t="s">
        <v>37</v>
      </c>
      <c r="B5266" t="s">
        <v>38</v>
      </c>
      <c r="C5266" t="s">
        <v>127</v>
      </c>
      <c r="D5266" t="s">
        <v>128</v>
      </c>
      <c r="E5266">
        <v>2012</v>
      </c>
      <c r="F5266" s="1">
        <v>51471</v>
      </c>
      <c r="G5266">
        <v>2010</v>
      </c>
      <c r="H5266">
        <f>AVERAGEIFS(Table1[value],Table1[IndicatorCode],Table1[[#This Row],[IndicatorCode]])</f>
        <v>24902.88753799392</v>
      </c>
      <c r="I5266" cm="1">
        <f t="array" ref="I5266">_xlfn.STDEV.P(IF(Table1[IndicatorCode]=Table1[[#This Row],[IndicatorCode]],Table1[value]))</f>
        <v>26324.778297809873</v>
      </c>
      <c r="J5266">
        <f>(Table1[[#This Row],[value]] - Table1[[#This Row],[mean]]) / Table1[[#This Row],[std_dev]]</f>
        <v>1.0092435408740537</v>
      </c>
      <c r="K5266">
        <f>AVERAGEIF(Table1[CountryCode],Table1[[#This Row],[CountryCode]],Table1[z-score])</f>
        <v>0.4680674202807556</v>
      </c>
      <c r="L5266" t="e">
        <f>VLOOKUP(Table1[[#This Row],[CountryCode]],[1]!Table1[#All],1,FALSE)</f>
        <v>#REF!</v>
      </c>
    </row>
    <row r="5267" spans="1:12" hidden="1" x14ac:dyDescent="0.3">
      <c r="A5267" t="s">
        <v>37</v>
      </c>
      <c r="B5267" t="s">
        <v>38</v>
      </c>
      <c r="C5267" t="s">
        <v>127</v>
      </c>
      <c r="D5267" t="s">
        <v>128</v>
      </c>
      <c r="E5267">
        <v>2013</v>
      </c>
      <c r="F5267" s="1">
        <v>51970</v>
      </c>
      <c r="G5267">
        <v>2010</v>
      </c>
      <c r="H5267">
        <f>AVERAGEIFS(Table1[value],Table1[IndicatorCode],Table1[[#This Row],[IndicatorCode]])</f>
        <v>24902.88753799392</v>
      </c>
      <c r="I5267" cm="1">
        <f t="array" ref="I5267">_xlfn.STDEV.P(IF(Table1[IndicatorCode]=Table1[[#This Row],[IndicatorCode]],Table1[value]))</f>
        <v>26324.778297809873</v>
      </c>
      <c r="J5267">
        <f>(Table1[[#This Row],[value]] - Table1[[#This Row],[mean]]) / Table1[[#This Row],[std_dev]]</f>
        <v>1.0281990661345082</v>
      </c>
      <c r="K5267">
        <f>AVERAGEIF(Table1[CountryCode],Table1[[#This Row],[CountryCode]],Table1[z-score])</f>
        <v>0.4680674202807556</v>
      </c>
      <c r="L5267" t="e">
        <f>VLOOKUP(Table1[[#This Row],[CountryCode]],[1]!Table1[#All],1,FALSE)</f>
        <v>#REF!</v>
      </c>
    </row>
    <row r="5268" spans="1:12" hidden="1" x14ac:dyDescent="0.3">
      <c r="A5268" t="s">
        <v>37</v>
      </c>
      <c r="B5268" t="s">
        <v>38</v>
      </c>
      <c r="C5268" t="s">
        <v>127</v>
      </c>
      <c r="D5268" t="s">
        <v>128</v>
      </c>
      <c r="E5268">
        <v>2014</v>
      </c>
      <c r="F5268" s="1">
        <v>52368</v>
      </c>
      <c r="G5268">
        <v>2010</v>
      </c>
      <c r="H5268">
        <f>AVERAGEIFS(Table1[value],Table1[IndicatorCode],Table1[[#This Row],[IndicatorCode]])</f>
        <v>24902.88753799392</v>
      </c>
      <c r="I5268" cm="1">
        <f t="array" ref="I5268">_xlfn.STDEV.P(IF(Table1[IndicatorCode]=Table1[[#This Row],[IndicatorCode]],Table1[value]))</f>
        <v>26324.778297809873</v>
      </c>
      <c r="J5268">
        <f>(Table1[[#This Row],[value]] - Table1[[#This Row],[mean]]) / Table1[[#This Row],[std_dev]]</f>
        <v>1.0433179019133878</v>
      </c>
      <c r="K5268">
        <f>AVERAGEIF(Table1[CountryCode],Table1[[#This Row],[CountryCode]],Table1[z-score])</f>
        <v>0.4680674202807556</v>
      </c>
      <c r="L5268" t="e">
        <f>VLOOKUP(Table1[[#This Row],[CountryCode]],[1]!Table1[#All],1,FALSE)</f>
        <v>#REF!</v>
      </c>
    </row>
    <row r="5269" spans="1:12" hidden="1" x14ac:dyDescent="0.3">
      <c r="A5269" t="s">
        <v>37</v>
      </c>
      <c r="B5269" t="s">
        <v>38</v>
      </c>
      <c r="C5269" t="s">
        <v>127</v>
      </c>
      <c r="D5269" t="s">
        <v>128</v>
      </c>
      <c r="E5269">
        <v>2015</v>
      </c>
      <c r="F5269" s="1">
        <v>53094</v>
      </c>
      <c r="G5269">
        <v>2010</v>
      </c>
      <c r="H5269">
        <f>AVERAGEIFS(Table1[value],Table1[IndicatorCode],Table1[[#This Row],[IndicatorCode]])</f>
        <v>24902.88753799392</v>
      </c>
      <c r="I5269" cm="1">
        <f t="array" ref="I5269">_xlfn.STDEV.P(IF(Table1[IndicatorCode]=Table1[[#This Row],[IndicatorCode]],Table1[value]))</f>
        <v>26324.778297809873</v>
      </c>
      <c r="J5269">
        <f>(Table1[[#This Row],[value]] - Table1[[#This Row],[mean]]) / Table1[[#This Row],[std_dev]]</f>
        <v>1.0708964817512434</v>
      </c>
      <c r="K5269">
        <f>AVERAGEIF(Table1[CountryCode],Table1[[#This Row],[CountryCode]],Table1[z-score])</f>
        <v>0.4680674202807556</v>
      </c>
      <c r="L5269" t="e">
        <f>VLOOKUP(Table1[[#This Row],[CountryCode]],[1]!Table1[#All],1,FALSE)</f>
        <v>#REF!</v>
      </c>
    </row>
    <row r="5270" spans="1:12" hidden="1" x14ac:dyDescent="0.3">
      <c r="A5270" t="s">
        <v>37</v>
      </c>
      <c r="B5270" t="s">
        <v>38</v>
      </c>
      <c r="C5270" t="s">
        <v>127</v>
      </c>
      <c r="D5270" t="s">
        <v>128</v>
      </c>
      <c r="E5270">
        <v>2016</v>
      </c>
      <c r="F5270" s="1">
        <v>54300</v>
      </c>
      <c r="G5270">
        <v>2010</v>
      </c>
      <c r="H5270">
        <f>AVERAGEIFS(Table1[value],Table1[IndicatorCode],Table1[[#This Row],[IndicatorCode]])</f>
        <v>24902.88753799392</v>
      </c>
      <c r="I5270" cm="1">
        <f t="array" ref="I5270">_xlfn.STDEV.P(IF(Table1[IndicatorCode]=Table1[[#This Row],[IndicatorCode]],Table1[value]))</f>
        <v>26324.778297809873</v>
      </c>
      <c r="J5270">
        <f>(Table1[[#This Row],[value]] - Table1[[#This Row],[mean]]) / Table1[[#This Row],[std_dev]]</f>
        <v>1.1167088333827226</v>
      </c>
      <c r="K5270">
        <f>AVERAGEIF(Table1[CountryCode],Table1[[#This Row],[CountryCode]],Table1[z-score])</f>
        <v>0.4680674202807556</v>
      </c>
      <c r="L5270" t="e">
        <f>VLOOKUP(Table1[[#This Row],[CountryCode]],[1]!Table1[#All],1,FALSE)</f>
        <v>#REF!</v>
      </c>
    </row>
    <row r="5271" spans="1:12" hidden="1" x14ac:dyDescent="0.3">
      <c r="A5271" t="s">
        <v>37</v>
      </c>
      <c r="B5271" t="s">
        <v>38</v>
      </c>
      <c r="C5271" t="s">
        <v>127</v>
      </c>
      <c r="D5271" t="s">
        <v>128</v>
      </c>
      <c r="E5271">
        <v>2017</v>
      </c>
      <c r="F5271" s="1">
        <v>55601</v>
      </c>
      <c r="G5271">
        <v>2020</v>
      </c>
      <c r="H5271">
        <f>AVERAGEIFS(Table1[value],Table1[IndicatorCode],Table1[[#This Row],[IndicatorCode]])</f>
        <v>24902.88753799392</v>
      </c>
      <c r="I5271" cm="1">
        <f t="array" ref="I5271">_xlfn.STDEV.P(IF(Table1[IndicatorCode]=Table1[[#This Row],[IndicatorCode]],Table1[value]))</f>
        <v>26324.778297809873</v>
      </c>
      <c r="J5271">
        <f>(Table1[[#This Row],[value]] - Table1[[#This Row],[mean]]) / Table1[[#This Row],[std_dev]]</f>
        <v>1.1661299523483566</v>
      </c>
      <c r="K5271">
        <f>AVERAGEIF(Table1[CountryCode],Table1[[#This Row],[CountryCode]],Table1[z-score])</f>
        <v>0.4680674202807556</v>
      </c>
      <c r="L5271" t="e">
        <f>VLOOKUP(Table1[[#This Row],[CountryCode]],[1]!Table1[#All],1,FALSE)</f>
        <v>#REF!</v>
      </c>
    </row>
    <row r="5272" spans="1:12" hidden="1" x14ac:dyDescent="0.3">
      <c r="A5272" t="s">
        <v>37</v>
      </c>
      <c r="B5272" t="s">
        <v>38</v>
      </c>
      <c r="C5272" t="s">
        <v>127</v>
      </c>
      <c r="D5272" t="s">
        <v>128</v>
      </c>
      <c r="E5272">
        <v>2018</v>
      </c>
      <c r="F5272" s="1">
        <v>56355</v>
      </c>
      <c r="G5272">
        <v>2020</v>
      </c>
      <c r="H5272">
        <f>AVERAGEIFS(Table1[value],Table1[IndicatorCode],Table1[[#This Row],[IndicatorCode]])</f>
        <v>24902.88753799392</v>
      </c>
      <c r="I5272" cm="1">
        <f t="array" ref="I5272">_xlfn.STDEV.P(IF(Table1[IndicatorCode]=Table1[[#This Row],[IndicatorCode]],Table1[value]))</f>
        <v>26324.778297809873</v>
      </c>
      <c r="J5272">
        <f>(Table1[[#This Row],[value]] - Table1[[#This Row],[mean]]) / Table1[[#This Row],[std_dev]]</f>
        <v>1.1947721688741737</v>
      </c>
      <c r="K5272">
        <f>AVERAGEIF(Table1[CountryCode],Table1[[#This Row],[CountryCode]],Table1[z-score])</f>
        <v>0.4680674202807556</v>
      </c>
      <c r="L5272" t="e">
        <f>VLOOKUP(Table1[[#This Row],[CountryCode]],[1]!Table1[#All],1,FALSE)</f>
        <v>#REF!</v>
      </c>
    </row>
    <row r="5273" spans="1:12" hidden="1" x14ac:dyDescent="0.3">
      <c r="A5273" t="s">
        <v>37</v>
      </c>
      <c r="B5273" t="s">
        <v>38</v>
      </c>
      <c r="C5273" t="s">
        <v>127</v>
      </c>
      <c r="D5273" t="s">
        <v>128</v>
      </c>
      <c r="E5273">
        <v>2019</v>
      </c>
      <c r="F5273" s="1">
        <v>57115</v>
      </c>
      <c r="G5273">
        <v>2020</v>
      </c>
      <c r="H5273">
        <f>AVERAGEIFS(Table1[value],Table1[IndicatorCode],Table1[[#This Row],[IndicatorCode]])</f>
        <v>24902.88753799392</v>
      </c>
      <c r="I5273" cm="1">
        <f t="array" ref="I5273">_xlfn.STDEV.P(IF(Table1[IndicatorCode]=Table1[[#This Row],[IndicatorCode]],Table1[value]))</f>
        <v>26324.778297809873</v>
      </c>
      <c r="J5273">
        <f>(Table1[[#This Row],[value]] - Table1[[#This Row],[mean]]) / Table1[[#This Row],[std_dev]]</f>
        <v>1.223642307547411</v>
      </c>
      <c r="K5273">
        <f>AVERAGEIF(Table1[CountryCode],Table1[[#This Row],[CountryCode]],Table1[z-score])</f>
        <v>0.4680674202807556</v>
      </c>
      <c r="L5273" t="e">
        <f>VLOOKUP(Table1[[#This Row],[CountryCode]],[1]!Table1[#All],1,FALSE)</f>
        <v>#REF!</v>
      </c>
    </row>
    <row r="5274" spans="1:12" x14ac:dyDescent="0.3">
      <c r="A5274" t="s">
        <v>105</v>
      </c>
      <c r="B5274" t="s">
        <v>106</v>
      </c>
      <c r="C5274" t="s">
        <v>127</v>
      </c>
      <c r="D5274" t="s">
        <v>128</v>
      </c>
      <c r="E5274">
        <v>2020</v>
      </c>
      <c r="F5274" s="1">
        <v>6851</v>
      </c>
      <c r="G5274">
        <v>2020</v>
      </c>
      <c r="H5274">
        <f>AVERAGEIFS(Table1[value],Table1[IndicatorCode],Table1[[#This Row],[IndicatorCode]])</f>
        <v>24902.88753799392</v>
      </c>
      <c r="I5274" cm="1">
        <f t="array" ref="I5274">_xlfn.STDEV.P(IF(Table1[IndicatorCode]=Table1[[#This Row],[IndicatorCode]],Table1[value]))</f>
        <v>26324.778297809873</v>
      </c>
      <c r="J5274">
        <f>(Table1[[#This Row],[value]] - Table1[[#This Row],[mean]]) / Table1[[#This Row],[std_dev]]</f>
        <v>-0.68573749544153895</v>
      </c>
      <c r="K5274">
        <f>AVERAGEIF(Table1[CountryCode],Table1[[#This Row],[CountryCode]],Table1[z-score])</f>
        <v>-0.17106074072717981</v>
      </c>
    </row>
    <row r="5275" spans="1:12" hidden="1" x14ac:dyDescent="0.3">
      <c r="A5275" t="s">
        <v>37</v>
      </c>
      <c r="B5275" t="s">
        <v>38</v>
      </c>
      <c r="C5275" t="s">
        <v>127</v>
      </c>
      <c r="D5275" t="s">
        <v>128</v>
      </c>
      <c r="E5275">
        <v>2021</v>
      </c>
      <c r="F5275" s="1">
        <v>59313</v>
      </c>
      <c r="G5275">
        <v>2020</v>
      </c>
      <c r="H5275">
        <f>AVERAGEIFS(Table1[value],Table1[IndicatorCode],Table1[[#This Row],[IndicatorCode]])</f>
        <v>24902.88753799392</v>
      </c>
      <c r="I5275" cm="1">
        <f t="array" ref="I5275">_xlfn.STDEV.P(IF(Table1[IndicatorCode]=Table1[[#This Row],[IndicatorCode]],Table1[value]))</f>
        <v>26324.778297809873</v>
      </c>
      <c r="J5275">
        <f>(Table1[[#This Row],[value]] - Table1[[#This Row],[mean]]) / Table1[[#This Row],[std_dev]]</f>
        <v>1.3071377875523791</v>
      </c>
      <c r="K5275">
        <f>AVERAGEIF(Table1[CountryCode],Table1[[#This Row],[CountryCode]],Table1[z-score])</f>
        <v>0.4680674202807556</v>
      </c>
      <c r="L5275" t="e">
        <f>VLOOKUP(Table1[[#This Row],[CountryCode]],[1]!Table1[#All],1,FALSE)</f>
        <v>#REF!</v>
      </c>
    </row>
    <row r="5276" spans="1:12" hidden="1" x14ac:dyDescent="0.3">
      <c r="A5276" t="s">
        <v>37</v>
      </c>
      <c r="B5276" t="s">
        <v>38</v>
      </c>
      <c r="C5276" t="s">
        <v>127</v>
      </c>
      <c r="D5276" t="s">
        <v>128</v>
      </c>
      <c r="E5276">
        <v>2022</v>
      </c>
      <c r="F5276" s="1">
        <v>59109</v>
      </c>
      <c r="G5276">
        <v>1960</v>
      </c>
      <c r="H5276">
        <f>AVERAGEIFS(Table1[value],Table1[IndicatorCode],Table1[[#This Row],[IndicatorCode]])</f>
        <v>24902.88753799392</v>
      </c>
      <c r="I5276" cm="1">
        <f t="array" ref="I5276">_xlfn.STDEV.P(IF(Table1[IndicatorCode]=Table1[[#This Row],[IndicatorCode]],Table1[value]))</f>
        <v>26324.778297809873</v>
      </c>
      <c r="J5276">
        <f>(Table1[[#This Row],[value]] - Table1[[#This Row],[mean]]) / Table1[[#This Row],[std_dev]]</f>
        <v>1.299388434540089</v>
      </c>
      <c r="K5276">
        <f>AVERAGEIF(Table1[CountryCode],Table1[[#This Row],[CountryCode]],Table1[z-score])</f>
        <v>0.4680674202807556</v>
      </c>
      <c r="L5276" t="e">
        <f>VLOOKUP(Table1[[#This Row],[CountryCode]],[1]!Table1[#All],1,FALSE)</f>
        <v>#REF!</v>
      </c>
    </row>
    <row r="5277" spans="1:12" hidden="1" x14ac:dyDescent="0.3">
      <c r="A5277" t="s">
        <v>37</v>
      </c>
      <c r="B5277" t="s">
        <v>38</v>
      </c>
      <c r="C5277" t="s">
        <v>127</v>
      </c>
      <c r="D5277" t="s">
        <v>128</v>
      </c>
      <c r="E5277">
        <v>2023</v>
      </c>
      <c r="F5277" s="1">
        <v>59027</v>
      </c>
      <c r="G5277">
        <v>1960</v>
      </c>
      <c r="H5277">
        <f>AVERAGEIFS(Table1[value],Table1[IndicatorCode],Table1[[#This Row],[IndicatorCode]])</f>
        <v>24902.88753799392</v>
      </c>
      <c r="I5277" cm="1">
        <f t="array" ref="I5277">_xlfn.STDEV.P(IF(Table1[IndicatorCode]=Table1[[#This Row],[IndicatorCode]],Table1[value]))</f>
        <v>26324.778297809873</v>
      </c>
      <c r="J5277">
        <f>(Table1[[#This Row],[value]] - Table1[[#This Row],[mean]]) / Table1[[#This Row],[std_dev]]</f>
        <v>1.296273498525345</v>
      </c>
      <c r="K5277">
        <f>AVERAGEIF(Table1[CountryCode],Table1[[#This Row],[CountryCode]],Table1[z-score])</f>
        <v>0.4680674202807556</v>
      </c>
      <c r="L5277" t="e">
        <f>VLOOKUP(Table1[[#This Row],[CountryCode]],[1]!Table1[#All],1,FALSE)</f>
        <v>#REF!</v>
      </c>
    </row>
    <row r="5278" spans="1:12" hidden="1" x14ac:dyDescent="0.3">
      <c r="A5278" t="s">
        <v>37</v>
      </c>
      <c r="B5278" t="s">
        <v>38</v>
      </c>
      <c r="C5278" t="s">
        <v>127</v>
      </c>
      <c r="D5278" t="s">
        <v>128</v>
      </c>
      <c r="E5278">
        <v>2024</v>
      </c>
      <c r="F5278" s="1">
        <v>60773</v>
      </c>
      <c r="G5278">
        <v>1960</v>
      </c>
      <c r="H5278">
        <f>AVERAGEIFS(Table1[value],Table1[IndicatorCode],Table1[[#This Row],[IndicatorCode]])</f>
        <v>24902.88753799392</v>
      </c>
      <c r="I5278" cm="1">
        <f t="array" ref="I5278">_xlfn.STDEV.P(IF(Table1[IndicatorCode]=Table1[[#This Row],[IndicatorCode]],Table1[value]))</f>
        <v>26324.778297809873</v>
      </c>
      <c r="J5278">
        <f>(Table1[[#This Row],[value]] - Table1[[#This Row],[mean]]) / Table1[[#This Row],[std_dev]]</f>
        <v>1.3625988434246508</v>
      </c>
      <c r="K5278">
        <f>AVERAGEIF(Table1[CountryCode],Table1[[#This Row],[CountryCode]],Table1[z-score])</f>
        <v>0.4680674202807556</v>
      </c>
      <c r="L5278" t="e">
        <f>VLOOKUP(Table1[[#This Row],[CountryCode]],[1]!Table1[#All],1,FALSE)</f>
        <v>#REF!</v>
      </c>
    </row>
    <row r="5279" spans="1:12" hidden="1" x14ac:dyDescent="0.3">
      <c r="A5279" t="s">
        <v>39</v>
      </c>
      <c r="B5279" t="s">
        <v>40</v>
      </c>
      <c r="C5279" t="s">
        <v>127</v>
      </c>
      <c r="D5279" t="s">
        <v>128</v>
      </c>
      <c r="E5279">
        <v>1960</v>
      </c>
      <c r="F5279" s="1">
        <v>6285</v>
      </c>
      <c r="G5279">
        <v>1960</v>
      </c>
      <c r="H5279">
        <f>AVERAGEIFS(Table1[value],Table1[IndicatorCode],Table1[[#This Row],[IndicatorCode]])</f>
        <v>24902.88753799392</v>
      </c>
      <c r="I5279" cm="1">
        <f t="array" ref="I5279">_xlfn.STDEV.P(IF(Table1[IndicatorCode]=Table1[[#This Row],[IndicatorCode]],Table1[value]))</f>
        <v>26324.778297809873</v>
      </c>
      <c r="J5279">
        <f>(Table1[[#This Row],[value]] - Table1[[#This Row],[mean]]) / Table1[[#This Row],[std_dev]]</f>
        <v>-0.70723815134818668</v>
      </c>
      <c r="K5279">
        <f>AVERAGEIF(Table1[CountryCode],Table1[[#This Row],[CountryCode]],Table1[z-score])</f>
        <v>9.5615861938696506E-2</v>
      </c>
      <c r="L5279" t="e">
        <f>VLOOKUP(Table1[[#This Row],[CountryCode]],[1]!Table1[#All],1,FALSE)</f>
        <v>#REF!</v>
      </c>
    </row>
    <row r="5280" spans="1:12" hidden="1" x14ac:dyDescent="0.3">
      <c r="A5280" t="s">
        <v>39</v>
      </c>
      <c r="B5280" t="s">
        <v>40</v>
      </c>
      <c r="C5280" t="s">
        <v>127</v>
      </c>
      <c r="D5280" t="s">
        <v>128</v>
      </c>
      <c r="E5280">
        <v>1961</v>
      </c>
      <c r="F5280" s="1">
        <v>6964</v>
      </c>
      <c r="G5280">
        <v>1960</v>
      </c>
      <c r="H5280">
        <f>AVERAGEIFS(Table1[value],Table1[IndicatorCode],Table1[[#This Row],[IndicatorCode]])</f>
        <v>24902.88753799392</v>
      </c>
      <c r="I5280" cm="1">
        <f t="array" ref="I5280">_xlfn.STDEV.P(IF(Table1[IndicatorCode]=Table1[[#This Row],[IndicatorCode]],Table1[value]))</f>
        <v>26324.778297809873</v>
      </c>
      <c r="J5280">
        <f>(Table1[[#This Row],[value]] - Table1[[#This Row],[mean]]) / Table1[[#This Row],[std_dev]]</f>
        <v>-0.68144496166512336</v>
      </c>
      <c r="K5280">
        <f>AVERAGEIF(Table1[CountryCode],Table1[[#This Row],[CountryCode]],Table1[z-score])</f>
        <v>9.5615861938696506E-2</v>
      </c>
      <c r="L5280" t="e">
        <f>VLOOKUP(Table1[[#This Row],[CountryCode]],[1]!Table1[#All],1,FALSE)</f>
        <v>#REF!</v>
      </c>
    </row>
    <row r="5281" spans="1:12" hidden="1" x14ac:dyDescent="0.3">
      <c r="A5281" t="s">
        <v>39</v>
      </c>
      <c r="B5281" t="s">
        <v>40</v>
      </c>
      <c r="C5281" t="s">
        <v>127</v>
      </c>
      <c r="D5281" t="s">
        <v>128</v>
      </c>
      <c r="E5281">
        <v>1962</v>
      </c>
      <c r="F5281" s="1">
        <v>7587</v>
      </c>
      <c r="G5281">
        <v>1960</v>
      </c>
      <c r="H5281">
        <f>AVERAGEIFS(Table1[value],Table1[IndicatorCode],Table1[[#This Row],[IndicatorCode]])</f>
        <v>24902.88753799392</v>
      </c>
      <c r="I5281" cm="1">
        <f t="array" ref="I5281">_xlfn.STDEV.P(IF(Table1[IndicatorCode]=Table1[[#This Row],[IndicatorCode]],Table1[value]))</f>
        <v>26324.778297809873</v>
      </c>
      <c r="J5281">
        <f>(Table1[[#This Row],[value]] - Table1[[#This Row],[mean]]) / Table1[[#This Row],[std_dev]]</f>
        <v>-0.65777904535798271</v>
      </c>
      <c r="K5281">
        <f>AVERAGEIF(Table1[CountryCode],Table1[[#This Row],[CountryCode]],Table1[z-score])</f>
        <v>9.5615861938696506E-2</v>
      </c>
      <c r="L5281" t="e">
        <f>VLOOKUP(Table1[[#This Row],[CountryCode]],[1]!Table1[#All],1,FALSE)</f>
        <v>#REF!</v>
      </c>
    </row>
    <row r="5282" spans="1:12" hidden="1" x14ac:dyDescent="0.3">
      <c r="A5282" t="s">
        <v>39</v>
      </c>
      <c r="B5282" t="s">
        <v>40</v>
      </c>
      <c r="C5282" t="s">
        <v>127</v>
      </c>
      <c r="D5282" t="s">
        <v>128</v>
      </c>
      <c r="E5282">
        <v>1963</v>
      </c>
      <c r="F5282" s="1">
        <v>8242</v>
      </c>
      <c r="G5282">
        <v>1960</v>
      </c>
      <c r="H5282">
        <f>AVERAGEIFS(Table1[value],Table1[IndicatorCode],Table1[[#This Row],[IndicatorCode]])</f>
        <v>24902.88753799392</v>
      </c>
      <c r="I5282" cm="1">
        <f t="array" ref="I5282">_xlfn.STDEV.P(IF(Table1[IndicatorCode]=Table1[[#This Row],[IndicatorCode]],Table1[value]))</f>
        <v>26324.778297809873</v>
      </c>
      <c r="J5282">
        <f>(Table1[[#This Row],[value]] - Table1[[#This Row],[mean]]) / Table1[[#This Row],[std_dev]]</f>
        <v>-0.63289754426460054</v>
      </c>
      <c r="K5282">
        <f>AVERAGEIF(Table1[CountryCode],Table1[[#This Row],[CountryCode]],Table1[z-score])</f>
        <v>9.5615861938696506E-2</v>
      </c>
      <c r="L5282" t="e">
        <f>VLOOKUP(Table1[[#This Row],[CountryCode]],[1]!Table1[#All],1,FALSE)</f>
        <v>#REF!</v>
      </c>
    </row>
    <row r="5283" spans="1:12" hidden="1" x14ac:dyDescent="0.3">
      <c r="A5283" t="s">
        <v>39</v>
      </c>
      <c r="B5283" t="s">
        <v>40</v>
      </c>
      <c r="C5283" t="s">
        <v>127</v>
      </c>
      <c r="D5283" t="s">
        <v>128</v>
      </c>
      <c r="E5283">
        <v>1964</v>
      </c>
      <c r="F5283" s="1">
        <v>8594</v>
      </c>
      <c r="G5283">
        <v>1960</v>
      </c>
      <c r="H5283">
        <f>AVERAGEIFS(Table1[value],Table1[IndicatorCode],Table1[[#This Row],[IndicatorCode]])</f>
        <v>24902.88753799392</v>
      </c>
      <c r="I5283" cm="1">
        <f t="array" ref="I5283">_xlfn.STDEV.P(IF(Table1[IndicatorCode]=Table1[[#This Row],[IndicatorCode]],Table1[value]))</f>
        <v>26324.778297809873</v>
      </c>
      <c r="J5283">
        <f>(Table1[[#This Row],[value]] - Table1[[#This Row],[mean]]) / Table1[[#This Row],[std_dev]]</f>
        <v>-0.61952611161594329</v>
      </c>
      <c r="K5283">
        <f>AVERAGEIF(Table1[CountryCode],Table1[[#This Row],[CountryCode]],Table1[z-score])</f>
        <v>9.5615861938696506E-2</v>
      </c>
      <c r="L5283" t="e">
        <f>VLOOKUP(Table1[[#This Row],[CountryCode]],[1]!Table1[#All],1,FALSE)</f>
        <v>#REF!</v>
      </c>
    </row>
    <row r="5284" spans="1:12" hidden="1" x14ac:dyDescent="0.3">
      <c r="A5284" t="s">
        <v>39</v>
      </c>
      <c r="B5284" t="s">
        <v>40</v>
      </c>
      <c r="C5284" t="s">
        <v>127</v>
      </c>
      <c r="D5284" t="s">
        <v>128</v>
      </c>
      <c r="E5284">
        <v>1965</v>
      </c>
      <c r="F5284" s="1">
        <v>9033</v>
      </c>
      <c r="G5284">
        <v>1960</v>
      </c>
      <c r="H5284">
        <f>AVERAGEIFS(Table1[value],Table1[IndicatorCode],Table1[[#This Row],[IndicatorCode]])</f>
        <v>24902.88753799392</v>
      </c>
      <c r="I5284" cm="1">
        <f t="array" ref="I5284">_xlfn.STDEV.P(IF(Table1[IndicatorCode]=Table1[[#This Row],[IndicatorCode]],Table1[value]))</f>
        <v>26324.778297809873</v>
      </c>
      <c r="J5284">
        <f>(Table1[[#This Row],[value]] - Table1[[#This Row],[mean]]) / Table1[[#This Row],[std_dev]]</f>
        <v>-0.60284980782969166</v>
      </c>
      <c r="K5284">
        <f>AVERAGEIF(Table1[CountryCode],Table1[[#This Row],[CountryCode]],Table1[z-score])</f>
        <v>9.5615861938696506E-2</v>
      </c>
      <c r="L5284" t="e">
        <f>VLOOKUP(Table1[[#This Row],[CountryCode]],[1]!Table1[#All],1,FALSE)</f>
        <v>#REF!</v>
      </c>
    </row>
    <row r="5285" spans="1:12" hidden="1" x14ac:dyDescent="0.3">
      <c r="A5285" t="s">
        <v>39</v>
      </c>
      <c r="B5285" t="s">
        <v>40</v>
      </c>
      <c r="C5285" t="s">
        <v>127</v>
      </c>
      <c r="D5285" t="s">
        <v>128</v>
      </c>
      <c r="E5285">
        <v>1966</v>
      </c>
      <c r="F5285" s="1">
        <v>9589</v>
      </c>
      <c r="G5285">
        <v>1960</v>
      </c>
      <c r="H5285">
        <f>AVERAGEIFS(Table1[value],Table1[IndicatorCode],Table1[[#This Row],[IndicatorCode]])</f>
        <v>24902.88753799392</v>
      </c>
      <c r="I5285" cm="1">
        <f t="array" ref="I5285">_xlfn.STDEV.P(IF(Table1[IndicatorCode]=Table1[[#This Row],[IndicatorCode]],Table1[value]))</f>
        <v>26324.778297809873</v>
      </c>
      <c r="J5285">
        <f>(Table1[[#This Row],[value]] - Table1[[#This Row],[mean]]) / Table1[[#This Row],[std_dev]]</f>
        <v>-0.58172902216874434</v>
      </c>
      <c r="K5285">
        <f>AVERAGEIF(Table1[CountryCode],Table1[[#This Row],[CountryCode]],Table1[z-score])</f>
        <v>9.5615861938696506E-2</v>
      </c>
      <c r="L5285" t="e">
        <f>VLOOKUP(Table1[[#This Row],[CountryCode]],[1]!Table1[#All],1,FALSE)</f>
        <v>#REF!</v>
      </c>
    </row>
    <row r="5286" spans="1:12" hidden="1" x14ac:dyDescent="0.3">
      <c r="A5286" t="s">
        <v>39</v>
      </c>
      <c r="B5286" t="s">
        <v>40</v>
      </c>
      <c r="C5286" t="s">
        <v>127</v>
      </c>
      <c r="D5286" t="s">
        <v>128</v>
      </c>
      <c r="E5286">
        <v>1967</v>
      </c>
      <c r="F5286" s="1">
        <v>9883</v>
      </c>
      <c r="G5286">
        <v>1970</v>
      </c>
      <c r="H5286">
        <f>AVERAGEIFS(Table1[value],Table1[IndicatorCode],Table1[[#This Row],[IndicatorCode]])</f>
        <v>24902.88753799392</v>
      </c>
      <c r="I5286" cm="1">
        <f t="array" ref="I5286">_xlfn.STDEV.P(IF(Table1[IndicatorCode]=Table1[[#This Row],[IndicatorCode]],Table1[value]))</f>
        <v>26324.778297809873</v>
      </c>
      <c r="J5286">
        <f>(Table1[[#This Row],[value]] - Table1[[#This Row],[mean]]) / Table1[[#This Row],[std_dev]]</f>
        <v>-0.57056083694514992</v>
      </c>
      <c r="K5286">
        <f>AVERAGEIF(Table1[CountryCode],Table1[[#This Row],[CountryCode]],Table1[z-score])</f>
        <v>9.5615861938696506E-2</v>
      </c>
      <c r="L5286" t="e">
        <f>VLOOKUP(Table1[[#This Row],[CountryCode]],[1]!Table1[#All],1,FALSE)</f>
        <v>#REF!</v>
      </c>
    </row>
    <row r="5287" spans="1:12" hidden="1" x14ac:dyDescent="0.3">
      <c r="A5287" t="s">
        <v>39</v>
      </c>
      <c r="B5287" t="s">
        <v>40</v>
      </c>
      <c r="C5287" t="s">
        <v>127</v>
      </c>
      <c r="D5287" t="s">
        <v>128</v>
      </c>
      <c r="E5287">
        <v>1968</v>
      </c>
      <c r="F5287" s="1">
        <v>10398</v>
      </c>
      <c r="G5287">
        <v>1970</v>
      </c>
      <c r="H5287">
        <f>AVERAGEIFS(Table1[value],Table1[IndicatorCode],Table1[[#This Row],[IndicatorCode]])</f>
        <v>24902.88753799392</v>
      </c>
      <c r="I5287" cm="1">
        <f t="array" ref="I5287">_xlfn.STDEV.P(IF(Table1[IndicatorCode]=Table1[[#This Row],[IndicatorCode]],Table1[value]))</f>
        <v>26324.778297809873</v>
      </c>
      <c r="J5287">
        <f>(Table1[[#This Row],[value]] - Table1[[#This Row],[mean]]) / Table1[[#This Row],[std_dev]]</f>
        <v>-0.55099751929157459</v>
      </c>
      <c r="K5287">
        <f>AVERAGEIF(Table1[CountryCode],Table1[[#This Row],[CountryCode]],Table1[z-score])</f>
        <v>9.5615861938696506E-2</v>
      </c>
      <c r="L5287" t="e">
        <f>VLOOKUP(Table1[[#This Row],[CountryCode]],[1]!Table1[#All],1,FALSE)</f>
        <v>#REF!</v>
      </c>
    </row>
    <row r="5288" spans="1:12" hidden="1" x14ac:dyDescent="0.3">
      <c r="A5288" t="s">
        <v>39</v>
      </c>
      <c r="B5288" t="s">
        <v>40</v>
      </c>
      <c r="C5288" t="s">
        <v>127</v>
      </c>
      <c r="D5288" t="s">
        <v>128</v>
      </c>
      <c r="E5288">
        <v>1969</v>
      </c>
      <c r="F5288" s="1">
        <v>11213</v>
      </c>
      <c r="G5288">
        <v>1970</v>
      </c>
      <c r="H5288">
        <f>AVERAGEIFS(Table1[value],Table1[IndicatorCode],Table1[[#This Row],[IndicatorCode]])</f>
        <v>24902.88753799392</v>
      </c>
      <c r="I5288" cm="1">
        <f t="array" ref="I5288">_xlfn.STDEV.P(IF(Table1[IndicatorCode]=Table1[[#This Row],[IndicatorCode]],Table1[value]))</f>
        <v>26324.778297809873</v>
      </c>
      <c r="J5288">
        <f>(Table1[[#This Row],[value]] - Table1[[#This Row],[mean]]) / Table1[[#This Row],[std_dev]]</f>
        <v>-0.52003809426698455</v>
      </c>
      <c r="K5288">
        <f>AVERAGEIF(Table1[CountryCode],Table1[[#This Row],[CountryCode]],Table1[z-score])</f>
        <v>9.5615861938696506E-2</v>
      </c>
      <c r="L5288" t="e">
        <f>VLOOKUP(Table1[[#This Row],[CountryCode]],[1]!Table1[#All],1,FALSE)</f>
        <v>#REF!</v>
      </c>
    </row>
    <row r="5289" spans="1:12" hidden="1" x14ac:dyDescent="0.3">
      <c r="A5289" t="s">
        <v>39</v>
      </c>
      <c r="B5289" t="s">
        <v>40</v>
      </c>
      <c r="C5289" t="s">
        <v>127</v>
      </c>
      <c r="D5289" t="s">
        <v>128</v>
      </c>
      <c r="E5289">
        <v>1970</v>
      </c>
      <c r="F5289" s="1">
        <v>11560</v>
      </c>
      <c r="G5289">
        <v>1970</v>
      </c>
      <c r="H5289">
        <f>AVERAGEIFS(Table1[value],Table1[IndicatorCode],Table1[[#This Row],[IndicatorCode]])</f>
        <v>24902.88753799392</v>
      </c>
      <c r="I5289" cm="1">
        <f t="array" ref="I5289">_xlfn.STDEV.P(IF(Table1[IndicatorCode]=Table1[[#This Row],[IndicatorCode]],Table1[value]))</f>
        <v>26324.778297809873</v>
      </c>
      <c r="J5289">
        <f>(Table1[[#This Row],[value]] - Table1[[#This Row],[mean]]) / Table1[[#This Row],[std_dev]]</f>
        <v>-0.50685659674117756</v>
      </c>
      <c r="K5289">
        <f>AVERAGEIF(Table1[CountryCode],Table1[[#This Row],[CountryCode]],Table1[z-score])</f>
        <v>9.5615861938696506E-2</v>
      </c>
      <c r="L5289" t="e">
        <f>VLOOKUP(Table1[[#This Row],[CountryCode]],[1]!Table1[#All],1,FALSE)</f>
        <v>#REF!</v>
      </c>
    </row>
    <row r="5290" spans="1:12" hidden="1" x14ac:dyDescent="0.3">
      <c r="A5290" t="s">
        <v>39</v>
      </c>
      <c r="B5290" t="s">
        <v>40</v>
      </c>
      <c r="C5290" t="s">
        <v>127</v>
      </c>
      <c r="D5290" t="s">
        <v>128</v>
      </c>
      <c r="E5290">
        <v>1971</v>
      </c>
      <c r="F5290" s="1">
        <v>11952</v>
      </c>
      <c r="G5290">
        <v>1970</v>
      </c>
      <c r="H5290">
        <f>AVERAGEIFS(Table1[value],Table1[IndicatorCode],Table1[[#This Row],[IndicatorCode]])</f>
        <v>24902.88753799392</v>
      </c>
      <c r="I5290" cm="1">
        <f t="array" ref="I5290">_xlfn.STDEV.P(IF(Table1[IndicatorCode]=Table1[[#This Row],[IndicatorCode]],Table1[value]))</f>
        <v>26324.778297809873</v>
      </c>
      <c r="J5290">
        <f>(Table1[[#This Row],[value]] - Table1[[#This Row],[mean]]) / Table1[[#This Row],[std_dev]]</f>
        <v>-0.49196568310971822</v>
      </c>
      <c r="K5290">
        <f>AVERAGEIF(Table1[CountryCode],Table1[[#This Row],[CountryCode]],Table1[z-score])</f>
        <v>9.5615861938696506E-2</v>
      </c>
      <c r="L5290" t="e">
        <f>VLOOKUP(Table1[[#This Row],[CountryCode]],[1]!Table1[#All],1,FALSE)</f>
        <v>#REF!</v>
      </c>
    </row>
    <row r="5291" spans="1:12" hidden="1" x14ac:dyDescent="0.3">
      <c r="A5291" t="s">
        <v>39</v>
      </c>
      <c r="B5291" t="s">
        <v>40</v>
      </c>
      <c r="C5291" t="s">
        <v>127</v>
      </c>
      <c r="D5291" t="s">
        <v>128</v>
      </c>
      <c r="E5291">
        <v>1972</v>
      </c>
      <c r="F5291" s="1">
        <v>12784</v>
      </c>
      <c r="G5291">
        <v>1970</v>
      </c>
      <c r="H5291">
        <f>AVERAGEIFS(Table1[value],Table1[IndicatorCode],Table1[[#This Row],[IndicatorCode]])</f>
        <v>24902.88753799392</v>
      </c>
      <c r="I5291" cm="1">
        <f t="array" ref="I5291">_xlfn.STDEV.P(IF(Table1[IndicatorCode]=Table1[[#This Row],[IndicatorCode]],Table1[value]))</f>
        <v>26324.778297809873</v>
      </c>
      <c r="J5291">
        <f>(Table1[[#This Row],[value]] - Table1[[#This Row],[mean]]) / Table1[[#This Row],[std_dev]]</f>
        <v>-0.46036047866743735</v>
      </c>
      <c r="K5291">
        <f>AVERAGEIF(Table1[CountryCode],Table1[[#This Row],[CountryCode]],Table1[z-score])</f>
        <v>9.5615861938696506E-2</v>
      </c>
      <c r="L5291" t="e">
        <f>VLOOKUP(Table1[[#This Row],[CountryCode]],[1]!Table1[#All],1,FALSE)</f>
        <v>#REF!</v>
      </c>
    </row>
    <row r="5292" spans="1:12" hidden="1" x14ac:dyDescent="0.3">
      <c r="A5292" t="s">
        <v>39</v>
      </c>
      <c r="B5292" t="s">
        <v>40</v>
      </c>
      <c r="C5292" t="s">
        <v>127</v>
      </c>
      <c r="D5292" t="s">
        <v>128</v>
      </c>
      <c r="E5292">
        <v>1973</v>
      </c>
      <c r="F5292" s="1">
        <v>13629</v>
      </c>
      <c r="G5292">
        <v>1970</v>
      </c>
      <c r="H5292">
        <f>AVERAGEIFS(Table1[value],Table1[IndicatorCode],Table1[[#This Row],[IndicatorCode]])</f>
        <v>24902.88753799392</v>
      </c>
      <c r="I5292" cm="1">
        <f t="array" ref="I5292">_xlfn.STDEV.P(IF(Table1[IndicatorCode]=Table1[[#This Row],[IndicatorCode]],Table1[value]))</f>
        <v>26324.778297809873</v>
      </c>
      <c r="J5292">
        <f>(Table1[[#This Row],[value]] - Table1[[#This Row],[mean]]) / Table1[[#This Row],[std_dev]]</f>
        <v>-0.42826144290574586</v>
      </c>
      <c r="K5292">
        <f>AVERAGEIF(Table1[CountryCode],Table1[[#This Row],[CountryCode]],Table1[z-score])</f>
        <v>9.5615861938696506E-2</v>
      </c>
      <c r="L5292" t="e">
        <f>VLOOKUP(Table1[[#This Row],[CountryCode]],[1]!Table1[#All],1,FALSE)</f>
        <v>#REF!</v>
      </c>
    </row>
    <row r="5293" spans="1:12" hidden="1" x14ac:dyDescent="0.3">
      <c r="A5293" t="s">
        <v>39</v>
      </c>
      <c r="B5293" t="s">
        <v>40</v>
      </c>
      <c r="C5293" t="s">
        <v>127</v>
      </c>
      <c r="D5293" t="s">
        <v>128</v>
      </c>
      <c r="E5293">
        <v>1974</v>
      </c>
      <c r="F5293" s="1">
        <v>14238</v>
      </c>
      <c r="G5293">
        <v>1970</v>
      </c>
      <c r="H5293">
        <f>AVERAGEIFS(Table1[value],Table1[IndicatorCode],Table1[[#This Row],[IndicatorCode]])</f>
        <v>24902.88753799392</v>
      </c>
      <c r="I5293" cm="1">
        <f t="array" ref="I5293">_xlfn.STDEV.P(IF(Table1[IndicatorCode]=Table1[[#This Row],[IndicatorCode]],Table1[value]))</f>
        <v>26324.778297809873</v>
      </c>
      <c r="J5293">
        <f>(Table1[[#This Row],[value]] - Table1[[#This Row],[mean]]) / Table1[[#This Row],[std_dev]]</f>
        <v>-0.4051273449425859</v>
      </c>
      <c r="K5293">
        <f>AVERAGEIF(Table1[CountryCode],Table1[[#This Row],[CountryCode]],Table1[z-score])</f>
        <v>9.5615861938696506E-2</v>
      </c>
      <c r="L5293" t="e">
        <f>VLOOKUP(Table1[[#This Row],[CountryCode]],[1]!Table1[#All],1,FALSE)</f>
        <v>#REF!</v>
      </c>
    </row>
    <row r="5294" spans="1:12" hidden="1" x14ac:dyDescent="0.3">
      <c r="A5294" t="s">
        <v>39</v>
      </c>
      <c r="B5294" t="s">
        <v>40</v>
      </c>
      <c r="C5294" t="s">
        <v>127</v>
      </c>
      <c r="D5294" t="s">
        <v>128</v>
      </c>
      <c r="E5294">
        <v>1975</v>
      </c>
      <c r="F5294" s="1">
        <v>14161</v>
      </c>
      <c r="G5294">
        <v>1970</v>
      </c>
      <c r="H5294">
        <f>AVERAGEIFS(Table1[value],Table1[IndicatorCode],Table1[[#This Row],[IndicatorCode]])</f>
        <v>24902.88753799392</v>
      </c>
      <c r="I5294" cm="1">
        <f t="array" ref="I5294">_xlfn.STDEV.P(IF(Table1[IndicatorCode]=Table1[[#This Row],[IndicatorCode]],Table1[value]))</f>
        <v>26324.778297809873</v>
      </c>
      <c r="J5294">
        <f>(Table1[[#This Row],[value]] - Table1[[#This Row],[mean]]) / Table1[[#This Row],[std_dev]]</f>
        <v>-0.40805234583447969</v>
      </c>
      <c r="K5294">
        <f>AVERAGEIF(Table1[CountryCode],Table1[[#This Row],[CountryCode]],Table1[z-score])</f>
        <v>9.5615861938696506E-2</v>
      </c>
      <c r="L5294" t="e">
        <f>VLOOKUP(Table1[[#This Row],[CountryCode]],[1]!Table1[#All],1,FALSE)</f>
        <v>#REF!</v>
      </c>
    </row>
    <row r="5295" spans="1:12" hidden="1" x14ac:dyDescent="0.3">
      <c r="A5295" t="s">
        <v>39</v>
      </c>
      <c r="B5295" t="s">
        <v>40</v>
      </c>
      <c r="C5295" t="s">
        <v>127</v>
      </c>
      <c r="D5295" t="s">
        <v>128</v>
      </c>
      <c r="E5295">
        <v>1976</v>
      </c>
      <c r="F5295" s="1">
        <v>14475</v>
      </c>
      <c r="G5295">
        <v>1970</v>
      </c>
      <c r="H5295">
        <f>AVERAGEIFS(Table1[value],Table1[IndicatorCode],Table1[[#This Row],[IndicatorCode]])</f>
        <v>24902.88753799392</v>
      </c>
      <c r="I5295" cm="1">
        <f t="array" ref="I5295">_xlfn.STDEV.P(IF(Table1[IndicatorCode]=Table1[[#This Row],[IndicatorCode]],Table1[value]))</f>
        <v>26324.778297809873</v>
      </c>
      <c r="J5295">
        <f>(Table1[[#This Row],[value]] - Table1[[#This Row],[mean]]) / Table1[[#This Row],[std_dev]]</f>
        <v>-0.39612442011948429</v>
      </c>
      <c r="K5295">
        <f>AVERAGEIF(Table1[CountryCode],Table1[[#This Row],[CountryCode]],Table1[z-score])</f>
        <v>9.5615861938696506E-2</v>
      </c>
      <c r="L5295" t="e">
        <f>VLOOKUP(Table1[[#This Row],[CountryCode]],[1]!Table1[#All],1,FALSE)</f>
        <v>#REF!</v>
      </c>
    </row>
    <row r="5296" spans="1:12" hidden="1" x14ac:dyDescent="0.3">
      <c r="A5296" t="s">
        <v>39</v>
      </c>
      <c r="B5296" t="s">
        <v>40</v>
      </c>
      <c r="C5296" t="s">
        <v>127</v>
      </c>
      <c r="D5296" t="s">
        <v>128</v>
      </c>
      <c r="E5296">
        <v>1977</v>
      </c>
      <c r="F5296" s="1">
        <v>14734</v>
      </c>
      <c r="G5296">
        <v>1980</v>
      </c>
      <c r="H5296">
        <f>AVERAGEIFS(Table1[value],Table1[IndicatorCode],Table1[[#This Row],[IndicatorCode]])</f>
        <v>24902.88753799392</v>
      </c>
      <c r="I5296" cm="1">
        <f t="array" ref="I5296">_xlfn.STDEV.P(IF(Table1[IndicatorCode]=Table1[[#This Row],[IndicatorCode]],Table1[value]))</f>
        <v>26324.778297809873</v>
      </c>
      <c r="J5296">
        <f>(Table1[[#This Row],[value]] - Table1[[#This Row],[mean]]) / Table1[[#This Row],[std_dev]]</f>
        <v>-0.38628578075584152</v>
      </c>
      <c r="K5296">
        <f>AVERAGEIF(Table1[CountryCode],Table1[[#This Row],[CountryCode]],Table1[z-score])</f>
        <v>9.5615861938696506E-2</v>
      </c>
      <c r="L5296" t="e">
        <f>VLOOKUP(Table1[[#This Row],[CountryCode]],[1]!Table1[#All],1,FALSE)</f>
        <v>#REF!</v>
      </c>
    </row>
    <row r="5297" spans="1:12" hidden="1" x14ac:dyDescent="0.3">
      <c r="A5297" t="s">
        <v>39</v>
      </c>
      <c r="B5297" t="s">
        <v>40</v>
      </c>
      <c r="C5297" t="s">
        <v>127</v>
      </c>
      <c r="D5297" t="s">
        <v>128</v>
      </c>
      <c r="E5297">
        <v>1978</v>
      </c>
      <c r="F5297" s="1">
        <v>14806</v>
      </c>
      <c r="G5297">
        <v>1980</v>
      </c>
      <c r="H5297">
        <f>AVERAGEIFS(Table1[value],Table1[IndicatorCode],Table1[[#This Row],[IndicatorCode]])</f>
        <v>24902.88753799392</v>
      </c>
      <c r="I5297" cm="1">
        <f t="array" ref="I5297">_xlfn.STDEV.P(IF(Table1[IndicatorCode]=Table1[[#This Row],[IndicatorCode]],Table1[value]))</f>
        <v>26324.778297809873</v>
      </c>
      <c r="J5297">
        <f>(Table1[[#This Row],[value]] - Table1[[#This Row],[mean]]) / Table1[[#This Row],[std_dev]]</f>
        <v>-0.38355071498679799</v>
      </c>
      <c r="K5297">
        <f>AVERAGEIF(Table1[CountryCode],Table1[[#This Row],[CountryCode]],Table1[z-score])</f>
        <v>9.5615861938696506E-2</v>
      </c>
      <c r="L5297" t="e">
        <f>VLOOKUP(Table1[[#This Row],[CountryCode]],[1]!Table1[#All],1,FALSE)</f>
        <v>#REF!</v>
      </c>
    </row>
    <row r="5298" spans="1:12" hidden="1" x14ac:dyDescent="0.3">
      <c r="A5298" t="s">
        <v>39</v>
      </c>
      <c r="B5298" t="s">
        <v>40</v>
      </c>
      <c r="C5298" t="s">
        <v>127</v>
      </c>
      <c r="D5298" t="s">
        <v>128</v>
      </c>
      <c r="E5298">
        <v>1979</v>
      </c>
      <c r="F5298" s="1">
        <v>14682</v>
      </c>
      <c r="G5298">
        <v>1980</v>
      </c>
      <c r="H5298">
        <f>AVERAGEIFS(Table1[value],Table1[IndicatorCode],Table1[[#This Row],[IndicatorCode]])</f>
        <v>24902.88753799392</v>
      </c>
      <c r="I5298" cm="1">
        <f t="array" ref="I5298">_xlfn.STDEV.P(IF(Table1[IndicatorCode]=Table1[[#This Row],[IndicatorCode]],Table1[value]))</f>
        <v>26324.778297809873</v>
      </c>
      <c r="J5298">
        <f>(Table1[[#This Row],[value]] - Table1[[#This Row],[mean]]) / Table1[[#This Row],[std_dev]]</f>
        <v>-0.38826110603348407</v>
      </c>
      <c r="K5298">
        <f>AVERAGEIF(Table1[CountryCode],Table1[[#This Row],[CountryCode]],Table1[z-score])</f>
        <v>9.5615861938696506E-2</v>
      </c>
      <c r="L5298" t="e">
        <f>VLOOKUP(Table1[[#This Row],[CountryCode]],[1]!Table1[#All],1,FALSE)</f>
        <v>#REF!</v>
      </c>
    </row>
    <row r="5299" spans="1:12" hidden="1" x14ac:dyDescent="0.3">
      <c r="A5299" t="s">
        <v>39</v>
      </c>
      <c r="B5299" t="s">
        <v>40</v>
      </c>
      <c r="C5299" t="s">
        <v>127</v>
      </c>
      <c r="D5299" t="s">
        <v>128</v>
      </c>
      <c r="E5299">
        <v>1980</v>
      </c>
      <c r="F5299" s="1">
        <v>14886</v>
      </c>
      <c r="G5299">
        <v>1980</v>
      </c>
      <c r="H5299">
        <f>AVERAGEIFS(Table1[value],Table1[IndicatorCode],Table1[[#This Row],[IndicatorCode]])</f>
        <v>24902.88753799392</v>
      </c>
      <c r="I5299" cm="1">
        <f t="array" ref="I5299">_xlfn.STDEV.P(IF(Table1[IndicatorCode]=Table1[[#This Row],[IndicatorCode]],Table1[value]))</f>
        <v>26324.778297809873</v>
      </c>
      <c r="J5299">
        <f>(Table1[[#This Row],[value]] - Table1[[#This Row],[mean]]) / Table1[[#This Row],[std_dev]]</f>
        <v>-0.38051175302119405</v>
      </c>
      <c r="K5299">
        <f>AVERAGEIF(Table1[CountryCode],Table1[[#This Row],[CountryCode]],Table1[z-score])</f>
        <v>9.5615861938696506E-2</v>
      </c>
      <c r="L5299" t="e">
        <f>VLOOKUP(Table1[[#This Row],[CountryCode]],[1]!Table1[#All],1,FALSE)</f>
        <v>#REF!</v>
      </c>
    </row>
    <row r="5300" spans="1:12" hidden="1" x14ac:dyDescent="0.3">
      <c r="A5300" t="s">
        <v>39</v>
      </c>
      <c r="B5300" t="s">
        <v>40</v>
      </c>
      <c r="C5300" t="s">
        <v>127</v>
      </c>
      <c r="D5300" t="s">
        <v>128</v>
      </c>
      <c r="E5300">
        <v>1981</v>
      </c>
      <c r="F5300" s="1">
        <v>14761</v>
      </c>
      <c r="G5300">
        <v>1980</v>
      </c>
      <c r="H5300">
        <f>AVERAGEIFS(Table1[value],Table1[IndicatorCode],Table1[[#This Row],[IndicatorCode]])</f>
        <v>24902.88753799392</v>
      </c>
      <c r="I5300" cm="1">
        <f t="array" ref="I5300">_xlfn.STDEV.P(IF(Table1[IndicatorCode]=Table1[[#This Row],[IndicatorCode]],Table1[value]))</f>
        <v>26324.778297809873</v>
      </c>
      <c r="J5300">
        <f>(Table1[[#This Row],[value]] - Table1[[#This Row],[mean]]) / Table1[[#This Row],[std_dev]]</f>
        <v>-0.38526013109245022</v>
      </c>
      <c r="K5300">
        <f>AVERAGEIF(Table1[CountryCode],Table1[[#This Row],[CountryCode]],Table1[z-score])</f>
        <v>9.5615861938696506E-2</v>
      </c>
      <c r="L5300" t="e">
        <f>VLOOKUP(Table1[[#This Row],[CountryCode]],[1]!Table1[#All],1,FALSE)</f>
        <v>#REF!</v>
      </c>
    </row>
    <row r="5301" spans="1:12" hidden="1" x14ac:dyDescent="0.3">
      <c r="A5301" t="s">
        <v>39</v>
      </c>
      <c r="B5301" t="s">
        <v>40</v>
      </c>
      <c r="C5301" t="s">
        <v>127</v>
      </c>
      <c r="D5301" t="s">
        <v>128</v>
      </c>
      <c r="E5301">
        <v>1982</v>
      </c>
      <c r="F5301" s="1">
        <v>14856</v>
      </c>
      <c r="G5301">
        <v>1980</v>
      </c>
      <c r="H5301">
        <f>AVERAGEIFS(Table1[value],Table1[IndicatorCode],Table1[[#This Row],[IndicatorCode]])</f>
        <v>24902.88753799392</v>
      </c>
      <c r="I5301" cm="1">
        <f t="array" ref="I5301">_xlfn.STDEV.P(IF(Table1[IndicatorCode]=Table1[[#This Row],[IndicatorCode]],Table1[value]))</f>
        <v>26324.778297809873</v>
      </c>
      <c r="J5301">
        <f>(Table1[[#This Row],[value]] - Table1[[#This Row],[mean]]) / Table1[[#This Row],[std_dev]]</f>
        <v>-0.38165136375829556</v>
      </c>
      <c r="K5301">
        <f>AVERAGEIF(Table1[CountryCode],Table1[[#This Row],[CountryCode]],Table1[z-score])</f>
        <v>9.5615861938696506E-2</v>
      </c>
      <c r="L5301" t="e">
        <f>VLOOKUP(Table1[[#This Row],[CountryCode]],[1]!Table1[#All],1,FALSE)</f>
        <v>#REF!</v>
      </c>
    </row>
    <row r="5302" spans="1:12" hidden="1" x14ac:dyDescent="0.3">
      <c r="A5302" t="s">
        <v>39</v>
      </c>
      <c r="B5302" t="s">
        <v>40</v>
      </c>
      <c r="C5302" t="s">
        <v>127</v>
      </c>
      <c r="D5302" t="s">
        <v>128</v>
      </c>
      <c r="E5302">
        <v>1983</v>
      </c>
      <c r="F5302" s="1">
        <v>15045</v>
      </c>
      <c r="G5302">
        <v>1980</v>
      </c>
      <c r="H5302">
        <f>AVERAGEIFS(Table1[value],Table1[IndicatorCode],Table1[[#This Row],[IndicatorCode]])</f>
        <v>24902.88753799392</v>
      </c>
      <c r="I5302" cm="1">
        <f t="array" ref="I5302">_xlfn.STDEV.P(IF(Table1[IndicatorCode]=Table1[[#This Row],[IndicatorCode]],Table1[value]))</f>
        <v>26324.778297809873</v>
      </c>
      <c r="J5302">
        <f>(Table1[[#This Row],[value]] - Table1[[#This Row],[mean]]) / Table1[[#This Row],[std_dev]]</f>
        <v>-0.37447181611455627</v>
      </c>
      <c r="K5302">
        <f>AVERAGEIF(Table1[CountryCode],Table1[[#This Row],[CountryCode]],Table1[z-score])</f>
        <v>9.5615861938696506E-2</v>
      </c>
      <c r="L5302" t="e">
        <f>VLOOKUP(Table1[[#This Row],[CountryCode]],[1]!Table1[#All],1,FALSE)</f>
        <v>#REF!</v>
      </c>
    </row>
    <row r="5303" spans="1:12" hidden="1" x14ac:dyDescent="0.3">
      <c r="A5303" t="s">
        <v>39</v>
      </c>
      <c r="B5303" t="s">
        <v>40</v>
      </c>
      <c r="C5303" t="s">
        <v>127</v>
      </c>
      <c r="D5303" t="s">
        <v>128</v>
      </c>
      <c r="E5303">
        <v>1984</v>
      </c>
      <c r="F5303" s="1">
        <v>15250</v>
      </c>
      <c r="G5303">
        <v>1980</v>
      </c>
      <c r="H5303">
        <f>AVERAGEIFS(Table1[value],Table1[IndicatorCode],Table1[[#This Row],[IndicatorCode]])</f>
        <v>24902.88753799392</v>
      </c>
      <c r="I5303" cm="1">
        <f t="array" ref="I5303">_xlfn.STDEV.P(IF(Table1[IndicatorCode]=Table1[[#This Row],[IndicatorCode]],Table1[value]))</f>
        <v>26324.778297809873</v>
      </c>
      <c r="J5303">
        <f>(Table1[[#This Row],[value]] - Table1[[#This Row],[mean]]) / Table1[[#This Row],[std_dev]]</f>
        <v>-0.36668447607769616</v>
      </c>
      <c r="K5303">
        <f>AVERAGEIF(Table1[CountryCode],Table1[[#This Row],[CountryCode]],Table1[z-score])</f>
        <v>9.5615861938696506E-2</v>
      </c>
      <c r="L5303" t="e">
        <f>VLOOKUP(Table1[[#This Row],[CountryCode]],[1]!Table1[#All],1,FALSE)</f>
        <v>#REF!</v>
      </c>
    </row>
    <row r="5304" spans="1:12" hidden="1" x14ac:dyDescent="0.3">
      <c r="A5304" t="s">
        <v>39</v>
      </c>
      <c r="B5304" t="s">
        <v>40</v>
      </c>
      <c r="C5304" t="s">
        <v>127</v>
      </c>
      <c r="D5304" t="s">
        <v>128</v>
      </c>
      <c r="E5304">
        <v>1985</v>
      </c>
      <c r="F5304" s="1">
        <v>15548</v>
      </c>
      <c r="G5304">
        <v>1980</v>
      </c>
      <c r="H5304">
        <f>AVERAGEIFS(Table1[value],Table1[IndicatorCode],Table1[[#This Row],[IndicatorCode]])</f>
        <v>24902.88753799392</v>
      </c>
      <c r="I5304" cm="1">
        <f t="array" ref="I5304">_xlfn.STDEV.P(IF(Table1[IndicatorCode]=Table1[[#This Row],[IndicatorCode]],Table1[value]))</f>
        <v>26324.778297809873</v>
      </c>
      <c r="J5304">
        <f>(Table1[[#This Row],[value]] - Table1[[#This Row],[mean]]) / Table1[[#This Row],[std_dev]]</f>
        <v>-0.35536434275582152</v>
      </c>
      <c r="K5304">
        <f>AVERAGEIF(Table1[CountryCode],Table1[[#This Row],[CountryCode]],Table1[z-score])</f>
        <v>9.5615861938696506E-2</v>
      </c>
      <c r="L5304" t="e">
        <f>VLOOKUP(Table1[[#This Row],[CountryCode]],[1]!Table1[#All],1,FALSE)</f>
        <v>#REF!</v>
      </c>
    </row>
    <row r="5305" spans="1:12" hidden="1" x14ac:dyDescent="0.3">
      <c r="A5305" t="s">
        <v>39</v>
      </c>
      <c r="B5305" t="s">
        <v>40</v>
      </c>
      <c r="C5305" t="s">
        <v>127</v>
      </c>
      <c r="D5305" t="s">
        <v>128</v>
      </c>
      <c r="E5305">
        <v>1986</v>
      </c>
      <c r="F5305" s="1">
        <v>16006</v>
      </c>
      <c r="G5305">
        <v>1980</v>
      </c>
      <c r="H5305">
        <f>AVERAGEIFS(Table1[value],Table1[IndicatorCode],Table1[[#This Row],[IndicatorCode]])</f>
        <v>24902.88753799392</v>
      </c>
      <c r="I5305" cm="1">
        <f t="array" ref="I5305">_xlfn.STDEV.P(IF(Table1[IndicatorCode]=Table1[[#This Row],[IndicatorCode]],Table1[value]))</f>
        <v>26324.778297809873</v>
      </c>
      <c r="J5305">
        <f>(Table1[[#This Row],[value]] - Table1[[#This Row],[mean]]) / Table1[[#This Row],[std_dev]]</f>
        <v>-0.33796628550273905</v>
      </c>
      <c r="K5305">
        <f>AVERAGEIF(Table1[CountryCode],Table1[[#This Row],[CountryCode]],Table1[z-score])</f>
        <v>9.5615861938696506E-2</v>
      </c>
      <c r="L5305" t="e">
        <f>VLOOKUP(Table1[[#This Row],[CountryCode]],[1]!Table1[#All],1,FALSE)</f>
        <v>#REF!</v>
      </c>
    </row>
    <row r="5306" spans="1:12" hidden="1" x14ac:dyDescent="0.3">
      <c r="A5306" t="s">
        <v>39</v>
      </c>
      <c r="B5306" t="s">
        <v>40</v>
      </c>
      <c r="C5306" t="s">
        <v>127</v>
      </c>
      <c r="D5306" t="s">
        <v>128</v>
      </c>
      <c r="E5306">
        <v>1987</v>
      </c>
      <c r="F5306" s="1">
        <v>16850</v>
      </c>
      <c r="G5306">
        <v>1990</v>
      </c>
      <c r="H5306">
        <f>AVERAGEIFS(Table1[value],Table1[IndicatorCode],Table1[[#This Row],[IndicatorCode]])</f>
        <v>24902.88753799392</v>
      </c>
      <c r="I5306" cm="1">
        <f t="array" ref="I5306">_xlfn.STDEV.P(IF(Table1[IndicatorCode]=Table1[[#This Row],[IndicatorCode]],Table1[value]))</f>
        <v>26324.778297809873</v>
      </c>
      <c r="J5306">
        <f>(Table1[[#This Row],[value]] - Table1[[#This Row],[mean]]) / Table1[[#This Row],[std_dev]]</f>
        <v>-0.30590523676561754</v>
      </c>
      <c r="K5306">
        <f>AVERAGEIF(Table1[CountryCode],Table1[[#This Row],[CountryCode]],Table1[z-score])</f>
        <v>9.5615861938696506E-2</v>
      </c>
      <c r="L5306" t="e">
        <f>VLOOKUP(Table1[[#This Row],[CountryCode]],[1]!Table1[#All],1,FALSE)</f>
        <v>#REF!</v>
      </c>
    </row>
    <row r="5307" spans="1:12" hidden="1" x14ac:dyDescent="0.3">
      <c r="A5307" t="s">
        <v>39</v>
      </c>
      <c r="B5307" t="s">
        <v>40</v>
      </c>
      <c r="C5307" t="s">
        <v>127</v>
      </c>
      <c r="D5307" t="s">
        <v>128</v>
      </c>
      <c r="E5307">
        <v>1988</v>
      </c>
      <c r="F5307" s="1">
        <v>17671</v>
      </c>
      <c r="G5307">
        <v>1990</v>
      </c>
      <c r="H5307">
        <f>AVERAGEIFS(Table1[value],Table1[IndicatorCode],Table1[[#This Row],[IndicatorCode]])</f>
        <v>24902.88753799392</v>
      </c>
      <c r="I5307" cm="1">
        <f t="array" ref="I5307">_xlfn.STDEV.P(IF(Table1[IndicatorCode]=Table1[[#This Row],[IndicatorCode]],Table1[value]))</f>
        <v>26324.778297809873</v>
      </c>
      <c r="J5307">
        <f>(Table1[[#This Row],[value]] - Table1[[#This Row],[mean]]) / Table1[[#This Row],[std_dev]]</f>
        <v>-0.27471788959360721</v>
      </c>
      <c r="K5307">
        <f>AVERAGEIF(Table1[CountryCode],Table1[[#This Row],[CountryCode]],Table1[z-score])</f>
        <v>9.5615861938696506E-2</v>
      </c>
      <c r="L5307" t="e">
        <f>VLOOKUP(Table1[[#This Row],[CountryCode]],[1]!Table1[#All],1,FALSE)</f>
        <v>#REF!</v>
      </c>
    </row>
    <row r="5308" spans="1:12" hidden="1" x14ac:dyDescent="0.3">
      <c r="A5308" t="s">
        <v>39</v>
      </c>
      <c r="B5308" t="s">
        <v>40</v>
      </c>
      <c r="C5308" t="s">
        <v>127</v>
      </c>
      <c r="D5308" t="s">
        <v>128</v>
      </c>
      <c r="E5308">
        <v>1989</v>
      </c>
      <c r="F5308" s="1">
        <v>18495</v>
      </c>
      <c r="G5308">
        <v>1990</v>
      </c>
      <c r="H5308">
        <f>AVERAGEIFS(Table1[value],Table1[IndicatorCode],Table1[[#This Row],[IndicatorCode]])</f>
        <v>24902.88753799392</v>
      </c>
      <c r="I5308" cm="1">
        <f t="array" ref="I5308">_xlfn.STDEV.P(IF(Table1[IndicatorCode]=Table1[[#This Row],[IndicatorCode]],Table1[value]))</f>
        <v>26324.778297809873</v>
      </c>
      <c r="J5308">
        <f>(Table1[[#This Row],[value]] - Table1[[#This Row],[mean]]) / Table1[[#This Row],[std_dev]]</f>
        <v>-0.24341658134788671</v>
      </c>
      <c r="K5308">
        <f>AVERAGEIF(Table1[CountryCode],Table1[[#This Row],[CountryCode]],Table1[z-score])</f>
        <v>9.5615861938696506E-2</v>
      </c>
      <c r="L5308" t="e">
        <f>VLOOKUP(Table1[[#This Row],[CountryCode]],[1]!Table1[#All],1,FALSE)</f>
        <v>#REF!</v>
      </c>
    </row>
    <row r="5309" spans="1:12" hidden="1" x14ac:dyDescent="0.3">
      <c r="A5309" t="s">
        <v>39</v>
      </c>
      <c r="B5309" t="s">
        <v>40</v>
      </c>
      <c r="C5309" t="s">
        <v>127</v>
      </c>
      <c r="D5309" t="s">
        <v>128</v>
      </c>
      <c r="E5309">
        <v>1990</v>
      </c>
      <c r="F5309" s="1">
        <v>19175</v>
      </c>
      <c r="G5309">
        <v>1990</v>
      </c>
      <c r="H5309">
        <f>AVERAGEIFS(Table1[value],Table1[IndicatorCode],Table1[[#This Row],[IndicatorCode]])</f>
        <v>24902.88753799392</v>
      </c>
      <c r="I5309" cm="1">
        <f t="array" ref="I5309">_xlfn.STDEV.P(IF(Table1[IndicatorCode]=Table1[[#This Row],[IndicatorCode]],Table1[value]))</f>
        <v>26324.778297809873</v>
      </c>
      <c r="J5309">
        <f>(Table1[[#This Row],[value]] - Table1[[#This Row],[mean]]) / Table1[[#This Row],[std_dev]]</f>
        <v>-0.2175854046402533</v>
      </c>
      <c r="K5309">
        <f>AVERAGEIF(Table1[CountryCode],Table1[[#This Row],[CountryCode]],Table1[z-score])</f>
        <v>9.5615861938696506E-2</v>
      </c>
      <c r="L5309" t="e">
        <f>VLOOKUP(Table1[[#This Row],[CountryCode]],[1]!Table1[#All],1,FALSE)</f>
        <v>#REF!</v>
      </c>
    </row>
    <row r="5310" spans="1:12" hidden="1" x14ac:dyDescent="0.3">
      <c r="A5310" t="s">
        <v>39</v>
      </c>
      <c r="B5310" t="s">
        <v>40</v>
      </c>
      <c r="C5310" t="s">
        <v>127</v>
      </c>
      <c r="D5310" t="s">
        <v>128</v>
      </c>
      <c r="E5310">
        <v>1991</v>
      </c>
      <c r="F5310" s="1">
        <v>19613</v>
      </c>
      <c r="G5310">
        <v>1990</v>
      </c>
      <c r="H5310">
        <f>AVERAGEIFS(Table1[value],Table1[IndicatorCode],Table1[[#This Row],[IndicatorCode]])</f>
        <v>24902.88753799392</v>
      </c>
      <c r="I5310" cm="1">
        <f t="array" ref="I5310">_xlfn.STDEV.P(IF(Table1[IndicatorCode]=Table1[[#This Row],[IndicatorCode]],Table1[value]))</f>
        <v>26324.778297809873</v>
      </c>
      <c r="J5310">
        <f>(Table1[[#This Row],[value]] - Table1[[#This Row],[mean]]) / Table1[[#This Row],[std_dev]]</f>
        <v>-0.2009470878785718</v>
      </c>
      <c r="K5310">
        <f>AVERAGEIF(Table1[CountryCode],Table1[[#This Row],[CountryCode]],Table1[z-score])</f>
        <v>9.5615861938696506E-2</v>
      </c>
      <c r="L5310" t="e">
        <f>VLOOKUP(Table1[[#This Row],[CountryCode]],[1]!Table1[#All],1,FALSE)</f>
        <v>#REF!</v>
      </c>
    </row>
    <row r="5311" spans="1:12" hidden="1" x14ac:dyDescent="0.3">
      <c r="A5311" t="s">
        <v>39</v>
      </c>
      <c r="B5311" t="s">
        <v>40</v>
      </c>
      <c r="C5311" t="s">
        <v>127</v>
      </c>
      <c r="D5311" t="s">
        <v>128</v>
      </c>
      <c r="E5311">
        <v>1992</v>
      </c>
      <c r="F5311" s="1">
        <v>19699</v>
      </c>
      <c r="G5311">
        <v>1990</v>
      </c>
      <c r="H5311">
        <f>AVERAGEIFS(Table1[value],Table1[IndicatorCode],Table1[[#This Row],[IndicatorCode]])</f>
        <v>24902.88753799392</v>
      </c>
      <c r="I5311" cm="1">
        <f t="array" ref="I5311">_xlfn.STDEV.P(IF(Table1[IndicatorCode]=Table1[[#This Row],[IndicatorCode]],Table1[value]))</f>
        <v>26324.778297809873</v>
      </c>
      <c r="J5311">
        <f>(Table1[[#This Row],[value]] - Table1[[#This Row],[mean]]) / Table1[[#This Row],[std_dev]]</f>
        <v>-0.19768020376554757</v>
      </c>
      <c r="K5311">
        <f>AVERAGEIF(Table1[CountryCode],Table1[[#This Row],[CountryCode]],Table1[z-score])</f>
        <v>9.5615861938696506E-2</v>
      </c>
      <c r="L5311" t="e">
        <f>VLOOKUP(Table1[[#This Row],[CountryCode]],[1]!Table1[#All],1,FALSE)</f>
        <v>#REF!</v>
      </c>
    </row>
    <row r="5312" spans="1:12" hidden="1" x14ac:dyDescent="0.3">
      <c r="A5312" t="s">
        <v>39</v>
      </c>
      <c r="B5312" t="s">
        <v>40</v>
      </c>
      <c r="C5312" t="s">
        <v>127</v>
      </c>
      <c r="D5312" t="s">
        <v>128</v>
      </c>
      <c r="E5312">
        <v>1993</v>
      </c>
      <c r="F5312" s="1">
        <v>19394</v>
      </c>
      <c r="G5312">
        <v>1990</v>
      </c>
      <c r="H5312">
        <f>AVERAGEIFS(Table1[value],Table1[IndicatorCode],Table1[[#This Row],[IndicatorCode]])</f>
        <v>24902.88753799392</v>
      </c>
      <c r="I5312" cm="1">
        <f t="array" ref="I5312">_xlfn.STDEV.P(IF(Table1[IndicatorCode]=Table1[[#This Row],[IndicatorCode]],Table1[value]))</f>
        <v>26324.778297809873</v>
      </c>
      <c r="J5312">
        <f>(Table1[[#This Row],[value]] - Table1[[#This Row],[mean]]) / Table1[[#This Row],[std_dev]]</f>
        <v>-0.20926624625941254</v>
      </c>
      <c r="K5312">
        <f>AVERAGEIF(Table1[CountryCode],Table1[[#This Row],[CountryCode]],Table1[z-score])</f>
        <v>9.5615861938696506E-2</v>
      </c>
      <c r="L5312" t="e">
        <f>VLOOKUP(Table1[[#This Row],[CountryCode]],[1]!Table1[#All],1,FALSE)</f>
        <v>#REF!</v>
      </c>
    </row>
    <row r="5313" spans="1:12" hidden="1" x14ac:dyDescent="0.3">
      <c r="A5313" t="s">
        <v>39</v>
      </c>
      <c r="B5313" t="s">
        <v>40</v>
      </c>
      <c r="C5313" t="s">
        <v>127</v>
      </c>
      <c r="D5313" t="s">
        <v>128</v>
      </c>
      <c r="E5313">
        <v>1994</v>
      </c>
      <c r="F5313" s="1">
        <v>19762</v>
      </c>
      <c r="G5313">
        <v>1990</v>
      </c>
      <c r="H5313">
        <f>AVERAGEIFS(Table1[value],Table1[IndicatorCode],Table1[[#This Row],[IndicatorCode]])</f>
        <v>24902.88753799392</v>
      </c>
      <c r="I5313" cm="1">
        <f t="array" ref="I5313">_xlfn.STDEV.P(IF(Table1[IndicatorCode]=Table1[[#This Row],[IndicatorCode]],Table1[value]))</f>
        <v>26324.778297809873</v>
      </c>
      <c r="J5313">
        <f>(Table1[[#This Row],[value]] - Table1[[#This Row],[mean]]) / Table1[[#This Row],[std_dev]]</f>
        <v>-0.19528702121763447</v>
      </c>
      <c r="K5313">
        <f>AVERAGEIF(Table1[CountryCode],Table1[[#This Row],[CountryCode]],Table1[z-score])</f>
        <v>9.5615861938696506E-2</v>
      </c>
      <c r="L5313" t="e">
        <f>VLOOKUP(Table1[[#This Row],[CountryCode]],[1]!Table1[#All],1,FALSE)</f>
        <v>#REF!</v>
      </c>
    </row>
    <row r="5314" spans="1:12" hidden="1" x14ac:dyDescent="0.3">
      <c r="A5314" t="s">
        <v>39</v>
      </c>
      <c r="B5314" t="s">
        <v>40</v>
      </c>
      <c r="C5314" t="s">
        <v>127</v>
      </c>
      <c r="D5314" t="s">
        <v>128</v>
      </c>
      <c r="E5314">
        <v>1995</v>
      </c>
      <c r="F5314" s="1">
        <v>20218</v>
      </c>
      <c r="G5314">
        <v>1990</v>
      </c>
      <c r="H5314">
        <f>AVERAGEIFS(Table1[value],Table1[IndicatorCode],Table1[[#This Row],[IndicatorCode]])</f>
        <v>24902.88753799392</v>
      </c>
      <c r="I5314" cm="1">
        <f t="array" ref="I5314">_xlfn.STDEV.P(IF(Table1[IndicatorCode]=Table1[[#This Row],[IndicatorCode]],Table1[value]))</f>
        <v>26324.778297809873</v>
      </c>
      <c r="J5314">
        <f>(Table1[[#This Row],[value]] - Table1[[#This Row],[mean]]) / Table1[[#This Row],[std_dev]]</f>
        <v>-0.17796493801369206</v>
      </c>
      <c r="K5314">
        <f>AVERAGEIF(Table1[CountryCode],Table1[[#This Row],[CountryCode]],Table1[z-score])</f>
        <v>9.5615861938696506E-2</v>
      </c>
      <c r="L5314" t="e">
        <f>VLOOKUP(Table1[[#This Row],[CountryCode]],[1]!Table1[#All],1,FALSE)</f>
        <v>#REF!</v>
      </c>
    </row>
    <row r="5315" spans="1:12" hidden="1" x14ac:dyDescent="0.3">
      <c r="A5315" t="s">
        <v>39</v>
      </c>
      <c r="B5315" t="s">
        <v>40</v>
      </c>
      <c r="C5315" t="s">
        <v>127</v>
      </c>
      <c r="D5315" t="s">
        <v>128</v>
      </c>
      <c r="E5315">
        <v>1996</v>
      </c>
      <c r="F5315" s="1">
        <v>20659</v>
      </c>
      <c r="G5315">
        <v>1990</v>
      </c>
      <c r="H5315">
        <f>AVERAGEIFS(Table1[value],Table1[IndicatorCode],Table1[[#This Row],[IndicatorCode]])</f>
        <v>24902.88753799392</v>
      </c>
      <c r="I5315" cm="1">
        <f t="array" ref="I5315">_xlfn.STDEV.P(IF(Table1[IndicatorCode]=Table1[[#This Row],[IndicatorCode]],Table1[value]))</f>
        <v>26324.778297809873</v>
      </c>
      <c r="J5315">
        <f>(Table1[[#This Row],[value]] - Table1[[#This Row],[mean]]) / Table1[[#This Row],[std_dev]]</f>
        <v>-0.16121266017830038</v>
      </c>
      <c r="K5315">
        <f>AVERAGEIF(Table1[CountryCode],Table1[[#This Row],[CountryCode]],Table1[z-score])</f>
        <v>9.5615861938696506E-2</v>
      </c>
      <c r="L5315" t="e">
        <f>VLOOKUP(Table1[[#This Row],[CountryCode]],[1]!Table1[#All],1,FALSE)</f>
        <v>#REF!</v>
      </c>
    </row>
    <row r="5316" spans="1:12" hidden="1" x14ac:dyDescent="0.3">
      <c r="A5316" t="s">
        <v>39</v>
      </c>
      <c r="B5316" t="s">
        <v>40</v>
      </c>
      <c r="C5316" t="s">
        <v>127</v>
      </c>
      <c r="D5316" t="s">
        <v>128</v>
      </c>
      <c r="E5316">
        <v>1997</v>
      </c>
      <c r="F5316" s="1">
        <v>21310</v>
      </c>
      <c r="G5316">
        <v>2000</v>
      </c>
      <c r="H5316">
        <f>AVERAGEIFS(Table1[value],Table1[IndicatorCode],Table1[[#This Row],[IndicatorCode]])</f>
        <v>24902.88753799392</v>
      </c>
      <c r="I5316" cm="1">
        <f t="array" ref="I5316">_xlfn.STDEV.P(IF(Table1[IndicatorCode]=Table1[[#This Row],[IndicatorCode]],Table1[value]))</f>
        <v>26324.778297809873</v>
      </c>
      <c r="J5316">
        <f>(Table1[[#This Row],[value]] - Table1[[#This Row],[mean]]) / Table1[[#This Row],[std_dev]]</f>
        <v>-0.13648310718319839</v>
      </c>
      <c r="K5316">
        <f>AVERAGEIF(Table1[CountryCode],Table1[[#This Row],[CountryCode]],Table1[z-score])</f>
        <v>9.5615861938696506E-2</v>
      </c>
      <c r="L5316" t="e">
        <f>VLOOKUP(Table1[[#This Row],[CountryCode]],[1]!Table1[#All],1,FALSE)</f>
        <v>#REF!</v>
      </c>
    </row>
    <row r="5317" spans="1:12" hidden="1" x14ac:dyDescent="0.3">
      <c r="A5317" t="s">
        <v>39</v>
      </c>
      <c r="B5317" t="s">
        <v>40</v>
      </c>
      <c r="C5317" t="s">
        <v>127</v>
      </c>
      <c r="D5317" t="s">
        <v>128</v>
      </c>
      <c r="E5317">
        <v>1998</v>
      </c>
      <c r="F5317" s="1">
        <v>22135</v>
      </c>
      <c r="G5317">
        <v>2000</v>
      </c>
      <c r="H5317">
        <f>AVERAGEIFS(Table1[value],Table1[IndicatorCode],Table1[[#This Row],[IndicatorCode]])</f>
        <v>24902.88753799392</v>
      </c>
      <c r="I5317" cm="1">
        <f t="array" ref="I5317">_xlfn.STDEV.P(IF(Table1[IndicatorCode]=Table1[[#This Row],[IndicatorCode]],Table1[value]))</f>
        <v>26324.778297809873</v>
      </c>
      <c r="J5317">
        <f>(Table1[[#This Row],[value]] - Table1[[#This Row],[mean]]) / Table1[[#This Row],[std_dev]]</f>
        <v>-0.10514381191290786</v>
      </c>
      <c r="K5317">
        <f>AVERAGEIF(Table1[CountryCode],Table1[[#This Row],[CountryCode]],Table1[z-score])</f>
        <v>9.5615861938696506E-2</v>
      </c>
      <c r="L5317" t="e">
        <f>VLOOKUP(Table1[[#This Row],[CountryCode]],[1]!Table1[#All],1,FALSE)</f>
        <v>#REF!</v>
      </c>
    </row>
    <row r="5318" spans="1:12" hidden="1" x14ac:dyDescent="0.3">
      <c r="A5318" t="s">
        <v>39</v>
      </c>
      <c r="B5318" t="s">
        <v>40</v>
      </c>
      <c r="C5318" t="s">
        <v>127</v>
      </c>
      <c r="D5318" t="s">
        <v>128</v>
      </c>
      <c r="E5318">
        <v>1999</v>
      </c>
      <c r="F5318" s="1">
        <v>23018</v>
      </c>
      <c r="G5318">
        <v>2000</v>
      </c>
      <c r="H5318">
        <f>AVERAGEIFS(Table1[value],Table1[IndicatorCode],Table1[[#This Row],[IndicatorCode]])</f>
        <v>24902.88753799392</v>
      </c>
      <c r="I5318" cm="1">
        <f t="array" ref="I5318">_xlfn.STDEV.P(IF(Table1[IndicatorCode]=Table1[[#This Row],[IndicatorCode]],Table1[value]))</f>
        <v>26324.778297809873</v>
      </c>
      <c r="J5318">
        <f>(Table1[[#This Row],[value]] - Table1[[#This Row],[mean]]) / Table1[[#This Row],[std_dev]]</f>
        <v>-7.160126921755447E-2</v>
      </c>
      <c r="K5318">
        <f>AVERAGEIF(Table1[CountryCode],Table1[[#This Row],[CountryCode]],Table1[z-score])</f>
        <v>9.5615861938696506E-2</v>
      </c>
      <c r="L5318" t="e">
        <f>VLOOKUP(Table1[[#This Row],[CountryCode]],[1]!Table1[#All],1,FALSE)</f>
        <v>#REF!</v>
      </c>
    </row>
    <row r="5319" spans="1:12" hidden="1" x14ac:dyDescent="0.3">
      <c r="A5319" t="s">
        <v>39</v>
      </c>
      <c r="B5319" t="s">
        <v>40</v>
      </c>
      <c r="C5319" t="s">
        <v>127</v>
      </c>
      <c r="D5319" t="s">
        <v>128</v>
      </c>
      <c r="E5319">
        <v>2000</v>
      </c>
      <c r="F5319" s="1">
        <v>24107</v>
      </c>
      <c r="G5319">
        <v>2000</v>
      </c>
      <c r="H5319">
        <f>AVERAGEIFS(Table1[value],Table1[IndicatorCode],Table1[[#This Row],[IndicatorCode]])</f>
        <v>24902.88753799392</v>
      </c>
      <c r="I5319" cm="1">
        <f t="array" ref="I5319">_xlfn.STDEV.P(IF(Table1[IndicatorCode]=Table1[[#This Row],[IndicatorCode]],Table1[value]))</f>
        <v>26324.778297809873</v>
      </c>
      <c r="J5319">
        <f>(Table1[[#This Row],[value]] - Table1[[#This Row],[mean]]) / Table1[[#This Row],[std_dev]]</f>
        <v>-3.0233399460770957E-2</v>
      </c>
      <c r="K5319">
        <f>AVERAGEIF(Table1[CountryCode],Table1[[#This Row],[CountryCode]],Table1[z-score])</f>
        <v>9.5615861938696506E-2</v>
      </c>
      <c r="L5319" t="e">
        <f>VLOOKUP(Table1[[#This Row],[CountryCode]],[1]!Table1[#All],1,FALSE)</f>
        <v>#REF!</v>
      </c>
    </row>
    <row r="5320" spans="1:12" hidden="1" x14ac:dyDescent="0.3">
      <c r="A5320" t="s">
        <v>39</v>
      </c>
      <c r="B5320" t="s">
        <v>40</v>
      </c>
      <c r="C5320" t="s">
        <v>127</v>
      </c>
      <c r="D5320" t="s">
        <v>128</v>
      </c>
      <c r="E5320">
        <v>2001</v>
      </c>
      <c r="F5320" s="1">
        <v>24878</v>
      </c>
      <c r="G5320">
        <v>2000</v>
      </c>
      <c r="H5320">
        <f>AVERAGEIFS(Table1[value],Table1[IndicatorCode],Table1[[#This Row],[IndicatorCode]])</f>
        <v>24902.88753799392</v>
      </c>
      <c r="I5320" cm="1">
        <f t="array" ref="I5320">_xlfn.STDEV.P(IF(Table1[IndicatorCode]=Table1[[#This Row],[IndicatorCode]],Table1[value]))</f>
        <v>26324.778297809873</v>
      </c>
      <c r="J5320">
        <f>(Table1[[#This Row],[value]] - Table1[[#This Row],[mean]]) / Table1[[#This Row],[std_dev]]</f>
        <v>-9.4540351726306966E-4</v>
      </c>
      <c r="K5320">
        <f>AVERAGEIF(Table1[CountryCode],Table1[[#This Row],[CountryCode]],Table1[z-score])</f>
        <v>9.5615861938696506E-2</v>
      </c>
      <c r="L5320" t="e">
        <f>VLOOKUP(Table1[[#This Row],[CountryCode]],[1]!Table1[#All],1,FALSE)</f>
        <v>#REF!</v>
      </c>
    </row>
    <row r="5321" spans="1:12" hidden="1" x14ac:dyDescent="0.3">
      <c r="A5321" t="s">
        <v>39</v>
      </c>
      <c r="B5321" t="s">
        <v>40</v>
      </c>
      <c r="C5321" t="s">
        <v>127</v>
      </c>
      <c r="D5321" t="s">
        <v>128</v>
      </c>
      <c r="E5321">
        <v>2002</v>
      </c>
      <c r="F5321" s="1">
        <v>25205</v>
      </c>
      <c r="G5321">
        <v>2000</v>
      </c>
      <c r="H5321">
        <f>AVERAGEIFS(Table1[value],Table1[IndicatorCode],Table1[[#This Row],[IndicatorCode]])</f>
        <v>24902.88753799392</v>
      </c>
      <c r="I5321" cm="1">
        <f t="array" ref="I5321">_xlfn.STDEV.P(IF(Table1[IndicatorCode]=Table1[[#This Row],[IndicatorCode]],Table1[value]))</f>
        <v>26324.778297809873</v>
      </c>
      <c r="J5321">
        <f>(Table1[[#This Row],[value]] - Table1[[#This Row],[mean]]) / Table1[[#This Row],[std_dev]]</f>
        <v>1.1476353517142998E-2</v>
      </c>
      <c r="K5321">
        <f>AVERAGEIF(Table1[CountryCode],Table1[[#This Row],[CountryCode]],Table1[z-score])</f>
        <v>9.5615861938696506E-2</v>
      </c>
      <c r="L5321" t="e">
        <f>VLOOKUP(Table1[[#This Row],[CountryCode]],[1]!Table1[#All],1,FALSE)</f>
        <v>#REF!</v>
      </c>
    </row>
    <row r="5322" spans="1:12" hidden="1" x14ac:dyDescent="0.3">
      <c r="A5322" t="s">
        <v>39</v>
      </c>
      <c r="B5322" t="s">
        <v>40</v>
      </c>
      <c r="C5322" t="s">
        <v>127</v>
      </c>
      <c r="D5322" t="s">
        <v>128</v>
      </c>
      <c r="E5322">
        <v>2003</v>
      </c>
      <c r="F5322" s="1">
        <v>25481</v>
      </c>
      <c r="G5322">
        <v>2000</v>
      </c>
      <c r="H5322">
        <f>AVERAGEIFS(Table1[value],Table1[IndicatorCode],Table1[[#This Row],[IndicatorCode]])</f>
        <v>24902.88753799392</v>
      </c>
      <c r="I5322" cm="1">
        <f t="array" ref="I5322">_xlfn.STDEV.P(IF(Table1[IndicatorCode]=Table1[[#This Row],[IndicatorCode]],Table1[value]))</f>
        <v>26324.778297809873</v>
      </c>
      <c r="J5322">
        <f>(Table1[[#This Row],[value]] - Table1[[#This Row],[mean]]) / Table1[[#This Row],[std_dev]]</f>
        <v>2.1960772298476563E-2</v>
      </c>
      <c r="K5322">
        <f>AVERAGEIF(Table1[CountryCode],Table1[[#This Row],[CountryCode]],Table1[z-score])</f>
        <v>9.5615861938696506E-2</v>
      </c>
      <c r="L5322" t="e">
        <f>VLOOKUP(Table1[[#This Row],[CountryCode]],[1]!Table1[#All],1,FALSE)</f>
        <v>#REF!</v>
      </c>
    </row>
    <row r="5323" spans="1:12" hidden="1" x14ac:dyDescent="0.3">
      <c r="A5323" t="s">
        <v>39</v>
      </c>
      <c r="B5323" t="s">
        <v>40</v>
      </c>
      <c r="C5323" t="s">
        <v>127</v>
      </c>
      <c r="D5323" t="s">
        <v>128</v>
      </c>
      <c r="E5323">
        <v>2004</v>
      </c>
      <c r="F5323" s="1">
        <v>25825</v>
      </c>
      <c r="G5323">
        <v>2000</v>
      </c>
      <c r="H5323">
        <f>AVERAGEIFS(Table1[value],Table1[IndicatorCode],Table1[[#This Row],[IndicatorCode]])</f>
        <v>24902.88753799392</v>
      </c>
      <c r="I5323" cm="1">
        <f t="array" ref="I5323">_xlfn.STDEV.P(IF(Table1[IndicatorCode]=Table1[[#This Row],[IndicatorCode]],Table1[value]))</f>
        <v>26324.778297809873</v>
      </c>
      <c r="J5323">
        <f>(Table1[[#This Row],[value]] - Table1[[#This Row],[mean]]) / Table1[[#This Row],[std_dev]]</f>
        <v>3.5028308750573466E-2</v>
      </c>
      <c r="K5323">
        <f>AVERAGEIF(Table1[CountryCode],Table1[[#This Row],[CountryCode]],Table1[z-score])</f>
        <v>9.5615861938696506E-2</v>
      </c>
      <c r="L5323" t="e">
        <f>VLOOKUP(Table1[[#This Row],[CountryCode]],[1]!Table1[#All],1,FALSE)</f>
        <v>#REF!</v>
      </c>
    </row>
    <row r="5324" spans="1:12" hidden="1" x14ac:dyDescent="0.3">
      <c r="A5324" t="s">
        <v>39</v>
      </c>
      <c r="B5324" t="s">
        <v>40</v>
      </c>
      <c r="C5324" t="s">
        <v>127</v>
      </c>
      <c r="D5324" t="s">
        <v>128</v>
      </c>
      <c r="E5324">
        <v>2005</v>
      </c>
      <c r="F5324" s="1">
        <v>26294</v>
      </c>
      <c r="G5324">
        <v>2000</v>
      </c>
      <c r="H5324">
        <f>AVERAGEIFS(Table1[value],Table1[IndicatorCode],Table1[[#This Row],[IndicatorCode]])</f>
        <v>24902.88753799392</v>
      </c>
      <c r="I5324" cm="1">
        <f t="array" ref="I5324">_xlfn.STDEV.P(IF(Table1[IndicatorCode]=Table1[[#This Row],[IndicatorCode]],Table1[value]))</f>
        <v>26324.778297809873</v>
      </c>
      <c r="J5324">
        <f>(Table1[[#This Row],[value]] - Table1[[#This Row],[mean]]) / Table1[[#This Row],[std_dev]]</f>
        <v>5.2844223273926509E-2</v>
      </c>
      <c r="K5324">
        <f>AVERAGEIF(Table1[CountryCode],Table1[[#This Row],[CountryCode]],Table1[z-score])</f>
        <v>9.5615861938696506E-2</v>
      </c>
      <c r="L5324" t="e">
        <f>VLOOKUP(Table1[[#This Row],[CountryCode]],[1]!Table1[#All],1,FALSE)</f>
        <v>#REF!</v>
      </c>
    </row>
    <row r="5325" spans="1:12" hidden="1" x14ac:dyDescent="0.3">
      <c r="A5325" t="s">
        <v>39</v>
      </c>
      <c r="B5325" t="s">
        <v>40</v>
      </c>
      <c r="C5325" t="s">
        <v>127</v>
      </c>
      <c r="D5325" t="s">
        <v>128</v>
      </c>
      <c r="E5325">
        <v>2006</v>
      </c>
      <c r="F5325" s="1">
        <v>26899</v>
      </c>
      <c r="G5325">
        <v>2000</v>
      </c>
      <c r="H5325">
        <f>AVERAGEIFS(Table1[value],Table1[IndicatorCode],Table1[[#This Row],[IndicatorCode]])</f>
        <v>24902.88753799392</v>
      </c>
      <c r="I5325" cm="1">
        <f t="array" ref="I5325">_xlfn.STDEV.P(IF(Table1[IndicatorCode]=Table1[[#This Row],[IndicatorCode]],Table1[value]))</f>
        <v>26324.778297809873</v>
      </c>
      <c r="J5325">
        <f>(Table1[[#This Row],[value]] - Table1[[#This Row],[mean]]) / Table1[[#This Row],[std_dev]]</f>
        <v>7.5826373138806247E-2</v>
      </c>
      <c r="K5325">
        <f>AVERAGEIF(Table1[CountryCode],Table1[[#This Row],[CountryCode]],Table1[z-score])</f>
        <v>9.5615861938696506E-2</v>
      </c>
      <c r="L5325" t="e">
        <f>VLOOKUP(Table1[[#This Row],[CountryCode]],[1]!Table1[#All],1,FALSE)</f>
        <v>#REF!</v>
      </c>
    </row>
    <row r="5326" spans="1:12" hidden="1" x14ac:dyDescent="0.3">
      <c r="A5326" t="s">
        <v>39</v>
      </c>
      <c r="B5326" t="s">
        <v>40</v>
      </c>
      <c r="C5326" t="s">
        <v>127</v>
      </c>
      <c r="D5326" t="s">
        <v>128</v>
      </c>
      <c r="E5326">
        <v>2007</v>
      </c>
      <c r="F5326" s="1">
        <v>27339</v>
      </c>
      <c r="G5326">
        <v>2010</v>
      </c>
      <c r="H5326">
        <f>AVERAGEIFS(Table1[value],Table1[IndicatorCode],Table1[[#This Row],[IndicatorCode]])</f>
        <v>24902.88753799392</v>
      </c>
      <c r="I5326" cm="1">
        <f t="array" ref="I5326">_xlfn.STDEV.P(IF(Table1[IndicatorCode]=Table1[[#This Row],[IndicatorCode]],Table1[value]))</f>
        <v>26324.778297809873</v>
      </c>
      <c r="J5326">
        <f>(Table1[[#This Row],[value]] - Table1[[#This Row],[mean]]) / Table1[[#This Row],[std_dev]]</f>
        <v>9.2540663949627858E-2</v>
      </c>
      <c r="K5326">
        <f>AVERAGEIF(Table1[CountryCode],Table1[[#This Row],[CountryCode]],Table1[z-score])</f>
        <v>9.5615861938696506E-2</v>
      </c>
      <c r="L5326" t="e">
        <f>VLOOKUP(Table1[[#This Row],[CountryCode]],[1]!Table1[#All],1,FALSE)</f>
        <v>#REF!</v>
      </c>
    </row>
    <row r="5327" spans="1:12" hidden="1" x14ac:dyDescent="0.3">
      <c r="A5327" t="s">
        <v>39</v>
      </c>
      <c r="B5327" t="s">
        <v>40</v>
      </c>
      <c r="C5327" t="s">
        <v>127</v>
      </c>
      <c r="D5327" t="s">
        <v>128</v>
      </c>
      <c r="E5327">
        <v>2008</v>
      </c>
      <c r="F5327" s="1">
        <v>27113</v>
      </c>
      <c r="G5327">
        <v>2010</v>
      </c>
      <c r="H5327">
        <f>AVERAGEIFS(Table1[value],Table1[IndicatorCode],Table1[[#This Row],[IndicatorCode]])</f>
        <v>24902.88753799392</v>
      </c>
      <c r="I5327" cm="1">
        <f t="array" ref="I5327">_xlfn.STDEV.P(IF(Table1[IndicatorCode]=Table1[[#This Row],[IndicatorCode]],Table1[value]))</f>
        <v>26324.778297809873</v>
      </c>
      <c r="J5327">
        <f>(Table1[[#This Row],[value]] - Table1[[#This Row],[mean]]) / Table1[[#This Row],[std_dev]]</f>
        <v>8.3955596396796756E-2</v>
      </c>
      <c r="K5327">
        <f>AVERAGEIF(Table1[CountryCode],Table1[[#This Row],[CountryCode]],Table1[z-score])</f>
        <v>9.5615861938696506E-2</v>
      </c>
      <c r="L5327" t="e">
        <f>VLOOKUP(Table1[[#This Row],[CountryCode]],[1]!Table1[#All],1,FALSE)</f>
        <v>#REF!</v>
      </c>
    </row>
    <row r="5328" spans="1:12" hidden="1" x14ac:dyDescent="0.3">
      <c r="A5328" t="s">
        <v>39</v>
      </c>
      <c r="B5328" t="s">
        <v>40</v>
      </c>
      <c r="C5328" t="s">
        <v>127</v>
      </c>
      <c r="D5328" t="s">
        <v>128</v>
      </c>
      <c r="E5328">
        <v>2009</v>
      </c>
      <c r="F5328" s="1">
        <v>25861</v>
      </c>
      <c r="G5328">
        <v>2010</v>
      </c>
      <c r="H5328">
        <f>AVERAGEIFS(Table1[value],Table1[IndicatorCode],Table1[[#This Row],[IndicatorCode]])</f>
        <v>24902.88753799392</v>
      </c>
      <c r="I5328" cm="1">
        <f t="array" ref="I5328">_xlfn.STDEV.P(IF(Table1[IndicatorCode]=Table1[[#This Row],[IndicatorCode]],Table1[value]))</f>
        <v>26324.778297809873</v>
      </c>
      <c r="J5328">
        <f>(Table1[[#This Row],[value]] - Table1[[#This Row],[mean]]) / Table1[[#This Row],[std_dev]]</f>
        <v>3.6395841635095232E-2</v>
      </c>
      <c r="K5328">
        <f>AVERAGEIF(Table1[CountryCode],Table1[[#This Row],[CountryCode]],Table1[z-score])</f>
        <v>9.5615861938696506E-2</v>
      </c>
      <c r="L5328" t="e">
        <f>VLOOKUP(Table1[[#This Row],[CountryCode]],[1]!Table1[#All],1,FALSE)</f>
        <v>#REF!</v>
      </c>
    </row>
    <row r="5329" spans="1:12" hidden="1" x14ac:dyDescent="0.3">
      <c r="A5329" t="s">
        <v>39</v>
      </c>
      <c r="B5329" t="s">
        <v>40</v>
      </c>
      <c r="C5329" t="s">
        <v>127</v>
      </c>
      <c r="D5329" t="s">
        <v>128</v>
      </c>
      <c r="E5329">
        <v>2010</v>
      </c>
      <c r="F5329" s="1">
        <v>25766</v>
      </c>
      <c r="G5329">
        <v>2010</v>
      </c>
      <c r="H5329">
        <f>AVERAGEIFS(Table1[value],Table1[IndicatorCode],Table1[[#This Row],[IndicatorCode]])</f>
        <v>24902.88753799392</v>
      </c>
      <c r="I5329" cm="1">
        <f t="array" ref="I5329">_xlfn.STDEV.P(IF(Table1[IndicatorCode]=Table1[[#This Row],[IndicatorCode]],Table1[value]))</f>
        <v>26324.778297809873</v>
      </c>
      <c r="J5329">
        <f>(Table1[[#This Row],[value]] - Table1[[#This Row],[mean]]) / Table1[[#This Row],[std_dev]]</f>
        <v>3.2787074300940564E-2</v>
      </c>
      <c r="K5329">
        <f>AVERAGEIF(Table1[CountryCode],Table1[[#This Row],[CountryCode]],Table1[z-score])</f>
        <v>9.5615861938696506E-2</v>
      </c>
      <c r="L5329" t="e">
        <f>VLOOKUP(Table1[[#This Row],[CountryCode]],[1]!Table1[#All],1,FALSE)</f>
        <v>#REF!</v>
      </c>
    </row>
    <row r="5330" spans="1:12" hidden="1" x14ac:dyDescent="0.3">
      <c r="A5330" t="s">
        <v>39</v>
      </c>
      <c r="B5330" t="s">
        <v>40</v>
      </c>
      <c r="C5330" t="s">
        <v>127</v>
      </c>
      <c r="D5330" t="s">
        <v>128</v>
      </c>
      <c r="E5330">
        <v>2011</v>
      </c>
      <c r="F5330" s="1">
        <v>25511</v>
      </c>
      <c r="G5330">
        <v>2010</v>
      </c>
      <c r="H5330">
        <f>AVERAGEIFS(Table1[value],Table1[IndicatorCode],Table1[[#This Row],[IndicatorCode]])</f>
        <v>24902.88753799392</v>
      </c>
      <c r="I5330" cm="1">
        <f t="array" ref="I5330">_xlfn.STDEV.P(IF(Table1[IndicatorCode]=Table1[[#This Row],[IndicatorCode]],Table1[value]))</f>
        <v>26324.778297809873</v>
      </c>
      <c r="J5330">
        <f>(Table1[[#This Row],[value]] - Table1[[#This Row],[mean]]) / Table1[[#This Row],[std_dev]]</f>
        <v>2.3100383035578036E-2</v>
      </c>
      <c r="K5330">
        <f>AVERAGEIF(Table1[CountryCode],Table1[[#This Row],[CountryCode]],Table1[z-score])</f>
        <v>9.5615861938696506E-2</v>
      </c>
      <c r="L5330" t="e">
        <f>VLOOKUP(Table1[[#This Row],[CountryCode]],[1]!Table1[#All],1,FALSE)</f>
        <v>#REF!</v>
      </c>
    </row>
    <row r="5331" spans="1:12" hidden="1" x14ac:dyDescent="0.3">
      <c r="A5331" t="s">
        <v>39</v>
      </c>
      <c r="B5331" t="s">
        <v>40</v>
      </c>
      <c r="C5331" t="s">
        <v>127</v>
      </c>
      <c r="D5331" t="s">
        <v>128</v>
      </c>
      <c r="E5331">
        <v>2012</v>
      </c>
      <c r="F5331" s="1">
        <v>24764</v>
      </c>
      <c r="G5331">
        <v>2010</v>
      </c>
      <c r="H5331">
        <f>AVERAGEIFS(Table1[value],Table1[IndicatorCode],Table1[[#This Row],[IndicatorCode]])</f>
        <v>24902.88753799392</v>
      </c>
      <c r="I5331" cm="1">
        <f t="array" ref="I5331">_xlfn.STDEV.P(IF(Table1[IndicatorCode]=Table1[[#This Row],[IndicatorCode]],Table1[value]))</f>
        <v>26324.778297809873</v>
      </c>
      <c r="J5331">
        <f>(Table1[[#This Row],[value]] - Table1[[#This Row],[mean]]) / Table1[[#This Row],[std_dev]]</f>
        <v>-5.2759243182486718E-3</v>
      </c>
      <c r="K5331">
        <f>AVERAGEIF(Table1[CountryCode],Table1[[#This Row],[CountryCode]],Table1[z-score])</f>
        <v>9.5615861938696506E-2</v>
      </c>
      <c r="L5331" t="e">
        <f>VLOOKUP(Table1[[#This Row],[CountryCode]],[1]!Table1[#All],1,FALSE)</f>
        <v>#REF!</v>
      </c>
    </row>
    <row r="5332" spans="1:12" hidden="1" x14ac:dyDescent="0.3">
      <c r="A5332" t="s">
        <v>39</v>
      </c>
      <c r="B5332" t="s">
        <v>40</v>
      </c>
      <c r="C5332" t="s">
        <v>127</v>
      </c>
      <c r="D5332" t="s">
        <v>128</v>
      </c>
      <c r="E5332">
        <v>2013</v>
      </c>
      <c r="F5332" s="1">
        <v>24499</v>
      </c>
      <c r="G5332">
        <v>2010</v>
      </c>
      <c r="H5332">
        <f>AVERAGEIFS(Table1[value],Table1[IndicatorCode],Table1[[#This Row],[IndicatorCode]])</f>
        <v>24902.88753799392</v>
      </c>
      <c r="I5332" cm="1">
        <f t="array" ref="I5332">_xlfn.STDEV.P(IF(Table1[IndicatorCode]=Table1[[#This Row],[IndicatorCode]],Table1[value]))</f>
        <v>26324.778297809873</v>
      </c>
      <c r="J5332">
        <f>(Table1[[#This Row],[value]] - Table1[[#This Row],[mean]]) / Table1[[#This Row],[std_dev]]</f>
        <v>-1.5342485829311693E-2</v>
      </c>
      <c r="K5332">
        <f>AVERAGEIF(Table1[CountryCode],Table1[[#This Row],[CountryCode]],Table1[z-score])</f>
        <v>9.5615861938696506E-2</v>
      </c>
      <c r="L5332" t="e">
        <f>VLOOKUP(Table1[[#This Row],[CountryCode]],[1]!Table1[#All],1,FALSE)</f>
        <v>#REF!</v>
      </c>
    </row>
    <row r="5333" spans="1:12" hidden="1" x14ac:dyDescent="0.3">
      <c r="A5333" t="s">
        <v>39</v>
      </c>
      <c r="B5333" t="s">
        <v>40</v>
      </c>
      <c r="C5333" t="s">
        <v>127</v>
      </c>
      <c r="D5333" t="s">
        <v>128</v>
      </c>
      <c r="E5333">
        <v>2014</v>
      </c>
      <c r="F5333" s="1">
        <v>24948</v>
      </c>
      <c r="G5333">
        <v>2010</v>
      </c>
      <c r="H5333">
        <f>AVERAGEIFS(Table1[value],Table1[IndicatorCode],Table1[[#This Row],[IndicatorCode]])</f>
        <v>24902.88753799392</v>
      </c>
      <c r="I5333" cm="1">
        <f t="array" ref="I5333">_xlfn.STDEV.P(IF(Table1[IndicatorCode]=Table1[[#This Row],[IndicatorCode]],Table1[value]))</f>
        <v>26324.778297809873</v>
      </c>
      <c r="J5333">
        <f>(Table1[[#This Row],[value]] - Table1[[#This Row],[mean]]) / Table1[[#This Row],[std_dev]]</f>
        <v>1.7136882026403701E-3</v>
      </c>
      <c r="K5333">
        <f>AVERAGEIF(Table1[CountryCode],Table1[[#This Row],[CountryCode]],Table1[z-score])</f>
        <v>9.5615861938696506E-2</v>
      </c>
      <c r="L5333" t="e">
        <f>VLOOKUP(Table1[[#This Row],[CountryCode]],[1]!Table1[#All],1,FALSE)</f>
        <v>#REF!</v>
      </c>
    </row>
    <row r="5334" spans="1:12" hidden="1" x14ac:dyDescent="0.3">
      <c r="A5334" t="s">
        <v>39</v>
      </c>
      <c r="B5334" t="s">
        <v>40</v>
      </c>
      <c r="C5334" t="s">
        <v>127</v>
      </c>
      <c r="D5334" t="s">
        <v>128</v>
      </c>
      <c r="E5334">
        <v>2015</v>
      </c>
      <c r="F5334" s="1">
        <v>25982</v>
      </c>
      <c r="G5334">
        <v>2010</v>
      </c>
      <c r="H5334">
        <f>AVERAGEIFS(Table1[value],Table1[IndicatorCode],Table1[[#This Row],[IndicatorCode]])</f>
        <v>24902.88753799392</v>
      </c>
      <c r="I5334" cm="1">
        <f t="array" ref="I5334">_xlfn.STDEV.P(IF(Table1[IndicatorCode]=Table1[[#This Row],[IndicatorCode]],Table1[value]))</f>
        <v>26324.778297809873</v>
      </c>
      <c r="J5334">
        <f>(Table1[[#This Row],[value]] - Table1[[#This Row],[mean]]) / Table1[[#This Row],[std_dev]]</f>
        <v>4.099227160807118E-2</v>
      </c>
      <c r="K5334">
        <f>AVERAGEIF(Table1[CountryCode],Table1[[#This Row],[CountryCode]],Table1[z-score])</f>
        <v>9.5615861938696506E-2</v>
      </c>
      <c r="L5334" t="e">
        <f>VLOOKUP(Table1[[#This Row],[CountryCode]],[1]!Table1[#All],1,FALSE)</f>
        <v>#REF!</v>
      </c>
    </row>
    <row r="5335" spans="1:12" hidden="1" x14ac:dyDescent="0.3">
      <c r="A5335" t="s">
        <v>39</v>
      </c>
      <c r="B5335" t="s">
        <v>40</v>
      </c>
      <c r="C5335" t="s">
        <v>127</v>
      </c>
      <c r="D5335" t="s">
        <v>128</v>
      </c>
      <c r="E5335">
        <v>2016</v>
      </c>
      <c r="F5335" s="1">
        <v>26719</v>
      </c>
      <c r="G5335">
        <v>2010</v>
      </c>
      <c r="H5335">
        <f>AVERAGEIFS(Table1[value],Table1[IndicatorCode],Table1[[#This Row],[IndicatorCode]])</f>
        <v>24902.88753799392</v>
      </c>
      <c r="I5335" cm="1">
        <f t="array" ref="I5335">_xlfn.STDEV.P(IF(Table1[IndicatorCode]=Table1[[#This Row],[IndicatorCode]],Table1[value]))</f>
        <v>26324.778297809873</v>
      </c>
      <c r="J5335">
        <f>(Table1[[#This Row],[value]] - Table1[[#This Row],[mean]]) / Table1[[#This Row],[std_dev]]</f>
        <v>6.8988708716197389E-2</v>
      </c>
      <c r="K5335">
        <f>AVERAGEIF(Table1[CountryCode],Table1[[#This Row],[CountryCode]],Table1[z-score])</f>
        <v>9.5615861938696506E-2</v>
      </c>
      <c r="L5335" t="e">
        <f>VLOOKUP(Table1[[#This Row],[CountryCode]],[1]!Table1[#All],1,FALSE)</f>
        <v>#REF!</v>
      </c>
    </row>
    <row r="5336" spans="1:12" hidden="1" x14ac:dyDescent="0.3">
      <c r="A5336" t="s">
        <v>39</v>
      </c>
      <c r="B5336" t="s">
        <v>40</v>
      </c>
      <c r="C5336" t="s">
        <v>127</v>
      </c>
      <c r="D5336" t="s">
        <v>128</v>
      </c>
      <c r="E5336">
        <v>2017</v>
      </c>
      <c r="F5336" s="1">
        <v>27426</v>
      </c>
      <c r="G5336">
        <v>2020</v>
      </c>
      <c r="H5336">
        <f>AVERAGEIFS(Table1[value],Table1[IndicatorCode],Table1[[#This Row],[IndicatorCode]])</f>
        <v>24902.88753799392</v>
      </c>
      <c r="I5336" cm="1">
        <f t="array" ref="I5336">_xlfn.STDEV.P(IF(Table1[IndicatorCode]=Table1[[#This Row],[IndicatorCode]],Table1[value]))</f>
        <v>26324.778297809873</v>
      </c>
      <c r="J5336">
        <f>(Table1[[#This Row],[value]] - Table1[[#This Row],[mean]]) / Table1[[#This Row],[std_dev]]</f>
        <v>9.5845535087222142E-2</v>
      </c>
      <c r="K5336">
        <f>AVERAGEIF(Table1[CountryCode],Table1[[#This Row],[CountryCode]],Table1[z-score])</f>
        <v>9.5615861938696506E-2</v>
      </c>
      <c r="L5336" t="e">
        <f>VLOOKUP(Table1[[#This Row],[CountryCode]],[1]!Table1[#All],1,FALSE)</f>
        <v>#REF!</v>
      </c>
    </row>
    <row r="5337" spans="1:12" hidden="1" x14ac:dyDescent="0.3">
      <c r="A5337" t="s">
        <v>39</v>
      </c>
      <c r="B5337" t="s">
        <v>40</v>
      </c>
      <c r="C5337" t="s">
        <v>127</v>
      </c>
      <c r="D5337" t="s">
        <v>128</v>
      </c>
      <c r="E5337">
        <v>2018</v>
      </c>
      <c r="F5337" s="1">
        <v>27957</v>
      </c>
      <c r="G5337">
        <v>2020</v>
      </c>
      <c r="H5337">
        <f>AVERAGEIFS(Table1[value],Table1[IndicatorCode],Table1[[#This Row],[IndicatorCode]])</f>
        <v>24902.88753799392</v>
      </c>
      <c r="I5337" cm="1">
        <f t="array" ref="I5337">_xlfn.STDEV.P(IF(Table1[IndicatorCode]=Table1[[#This Row],[IndicatorCode]],Table1[value]))</f>
        <v>26324.778297809873</v>
      </c>
      <c r="J5337">
        <f>(Table1[[#This Row],[value]] - Table1[[#This Row],[mean]]) / Table1[[#This Row],[std_dev]]</f>
        <v>0.11601664513391823</v>
      </c>
      <c r="K5337">
        <f>AVERAGEIF(Table1[CountryCode],Table1[[#This Row],[CountryCode]],Table1[z-score])</f>
        <v>9.5615861938696506E-2</v>
      </c>
      <c r="L5337" t="e">
        <f>VLOOKUP(Table1[[#This Row],[CountryCode]],[1]!Table1[#All],1,FALSE)</f>
        <v>#REF!</v>
      </c>
    </row>
    <row r="5338" spans="1:12" hidden="1" x14ac:dyDescent="0.3">
      <c r="A5338" t="s">
        <v>39</v>
      </c>
      <c r="B5338" t="s">
        <v>40</v>
      </c>
      <c r="C5338" t="s">
        <v>127</v>
      </c>
      <c r="D5338" t="s">
        <v>128</v>
      </c>
      <c r="E5338">
        <v>2019</v>
      </c>
      <c r="F5338" s="1">
        <v>28301</v>
      </c>
      <c r="G5338">
        <v>2020</v>
      </c>
      <c r="H5338">
        <f>AVERAGEIFS(Table1[value],Table1[IndicatorCode],Table1[[#This Row],[IndicatorCode]])</f>
        <v>24902.88753799392</v>
      </c>
      <c r="I5338" cm="1">
        <f t="array" ref="I5338">_xlfn.STDEV.P(IF(Table1[IndicatorCode]=Table1[[#This Row],[IndicatorCode]],Table1[value]))</f>
        <v>26324.778297809873</v>
      </c>
      <c r="J5338">
        <f>(Table1[[#This Row],[value]] - Table1[[#This Row],[mean]]) / Table1[[#This Row],[std_dev]]</f>
        <v>0.12908418158601515</v>
      </c>
      <c r="K5338">
        <f>AVERAGEIF(Table1[CountryCode],Table1[[#This Row],[CountryCode]],Table1[z-score])</f>
        <v>9.5615861938696506E-2</v>
      </c>
      <c r="L5338" t="e">
        <f>VLOOKUP(Table1[[#This Row],[CountryCode]],[1]!Table1[#All],1,FALSE)</f>
        <v>#REF!</v>
      </c>
    </row>
    <row r="5339" spans="1:12" x14ac:dyDescent="0.3">
      <c r="A5339" t="s">
        <v>115</v>
      </c>
      <c r="B5339" t="s">
        <v>116</v>
      </c>
      <c r="C5339" t="s">
        <v>127</v>
      </c>
      <c r="D5339" t="s">
        <v>128</v>
      </c>
      <c r="E5339">
        <v>2020</v>
      </c>
      <c r="F5339" s="1">
        <v>6965</v>
      </c>
      <c r="G5339">
        <v>2020</v>
      </c>
      <c r="H5339">
        <f>AVERAGEIFS(Table1[value],Table1[IndicatorCode],Table1[[#This Row],[IndicatorCode]])</f>
        <v>24902.88753799392</v>
      </c>
      <c r="I5339" cm="1">
        <f t="array" ref="I5339">_xlfn.STDEV.P(IF(Table1[IndicatorCode]=Table1[[#This Row],[IndicatorCode]],Table1[value]))</f>
        <v>26324.778297809873</v>
      </c>
      <c r="J5339">
        <f>(Table1[[#This Row],[value]] - Table1[[#This Row],[mean]]) / Table1[[#This Row],[std_dev]]</f>
        <v>-0.68140697464055333</v>
      </c>
      <c r="K5339">
        <f>AVERAGEIF(Table1[CountryCode],Table1[[#This Row],[CountryCode]],Table1[z-score])</f>
        <v>-0.55461759774946673</v>
      </c>
    </row>
    <row r="5340" spans="1:12" hidden="1" x14ac:dyDescent="0.3">
      <c r="A5340" t="s">
        <v>39</v>
      </c>
      <c r="B5340" t="s">
        <v>40</v>
      </c>
      <c r="C5340" t="s">
        <v>127</v>
      </c>
      <c r="D5340" t="s">
        <v>128</v>
      </c>
      <c r="E5340">
        <v>2021</v>
      </c>
      <c r="F5340" s="1">
        <v>26705</v>
      </c>
      <c r="G5340">
        <v>2020</v>
      </c>
      <c r="H5340">
        <f>AVERAGEIFS(Table1[value],Table1[IndicatorCode],Table1[[#This Row],[IndicatorCode]])</f>
        <v>24902.88753799392</v>
      </c>
      <c r="I5340" cm="1">
        <f t="array" ref="I5340">_xlfn.STDEV.P(IF(Table1[IndicatorCode]=Table1[[#This Row],[IndicatorCode]],Table1[value]))</f>
        <v>26324.778297809873</v>
      </c>
      <c r="J5340">
        <f>(Table1[[#This Row],[value]] - Table1[[#This Row],[mean]]) / Table1[[#This Row],[std_dev]]</f>
        <v>6.8456890372216708E-2</v>
      </c>
      <c r="K5340">
        <f>AVERAGEIF(Table1[CountryCode],Table1[[#This Row],[CountryCode]],Table1[z-score])</f>
        <v>9.5615861938696506E-2</v>
      </c>
      <c r="L5340" t="e">
        <f>VLOOKUP(Table1[[#This Row],[CountryCode]],[1]!Table1[#All],1,FALSE)</f>
        <v>#REF!</v>
      </c>
    </row>
    <row r="5341" spans="1:12" hidden="1" x14ac:dyDescent="0.3">
      <c r="A5341" t="s">
        <v>39</v>
      </c>
      <c r="B5341" t="s">
        <v>40</v>
      </c>
      <c r="C5341" t="s">
        <v>127</v>
      </c>
      <c r="D5341" t="s">
        <v>128</v>
      </c>
      <c r="E5341">
        <v>2022</v>
      </c>
      <c r="F5341" s="1">
        <v>28203</v>
      </c>
      <c r="G5341">
        <v>1990</v>
      </c>
      <c r="H5341">
        <f>AVERAGEIFS(Table1[value],Table1[IndicatorCode],Table1[[#This Row],[IndicatorCode]])</f>
        <v>24902.88753799392</v>
      </c>
      <c r="I5341" cm="1">
        <f t="array" ref="I5341">_xlfn.STDEV.P(IF(Table1[IndicatorCode]=Table1[[#This Row],[IndicatorCode]],Table1[value]))</f>
        <v>26324.778297809873</v>
      </c>
      <c r="J5341">
        <f>(Table1[[#This Row],[value]] - Table1[[#This Row],[mean]]) / Table1[[#This Row],[std_dev]]</f>
        <v>0.12536145317815031</v>
      </c>
      <c r="K5341">
        <f>AVERAGEIF(Table1[CountryCode],Table1[[#This Row],[CountryCode]],Table1[z-score])</f>
        <v>9.5615861938696506E-2</v>
      </c>
      <c r="L5341" t="e">
        <f>VLOOKUP(Table1[[#This Row],[CountryCode]],[1]!Table1[#All],1,FALSE)</f>
        <v>#REF!</v>
      </c>
    </row>
    <row r="5342" spans="1:12" hidden="1" x14ac:dyDescent="0.3">
      <c r="A5342" t="s">
        <v>39</v>
      </c>
      <c r="B5342" t="s">
        <v>40</v>
      </c>
      <c r="C5342" t="s">
        <v>127</v>
      </c>
      <c r="D5342" t="s">
        <v>128</v>
      </c>
      <c r="E5342">
        <v>2023</v>
      </c>
      <c r="F5342" s="1">
        <v>28559</v>
      </c>
      <c r="G5342">
        <v>1990</v>
      </c>
      <c r="H5342">
        <f>AVERAGEIFS(Table1[value],Table1[IndicatorCode],Table1[[#This Row],[IndicatorCode]])</f>
        <v>24902.88753799392</v>
      </c>
      <c r="I5342" cm="1">
        <f t="array" ref="I5342">_xlfn.STDEV.P(IF(Table1[IndicatorCode]=Table1[[#This Row],[IndicatorCode]],Table1[value]))</f>
        <v>26324.778297809873</v>
      </c>
      <c r="J5342">
        <f>(Table1[[#This Row],[value]] - Table1[[#This Row],[mean]]) / Table1[[#This Row],[std_dev]]</f>
        <v>0.13888483392508782</v>
      </c>
      <c r="K5342">
        <f>AVERAGEIF(Table1[CountryCode],Table1[[#This Row],[CountryCode]],Table1[z-score])</f>
        <v>9.5615861938696506E-2</v>
      </c>
      <c r="L5342" t="e">
        <f>VLOOKUP(Table1[[#This Row],[CountryCode]],[1]!Table1[#All],1,FALSE)</f>
        <v>#REF!</v>
      </c>
    </row>
    <row r="5343" spans="1:12" hidden="1" x14ac:dyDescent="0.3">
      <c r="A5343" t="s">
        <v>39</v>
      </c>
      <c r="B5343" t="s">
        <v>40</v>
      </c>
      <c r="C5343" t="s">
        <v>127</v>
      </c>
      <c r="D5343" t="s">
        <v>128</v>
      </c>
      <c r="E5343">
        <v>2024</v>
      </c>
      <c r="F5343" s="1">
        <v>29245</v>
      </c>
      <c r="G5343">
        <v>1990</v>
      </c>
      <c r="H5343">
        <f>AVERAGEIFS(Table1[value],Table1[IndicatorCode],Table1[[#This Row],[IndicatorCode]])</f>
        <v>24902.88753799392</v>
      </c>
      <c r="I5343" cm="1">
        <f t="array" ref="I5343">_xlfn.STDEV.P(IF(Table1[IndicatorCode]=Table1[[#This Row],[IndicatorCode]],Table1[value]))</f>
        <v>26324.778297809873</v>
      </c>
      <c r="J5343">
        <f>(Table1[[#This Row],[value]] - Table1[[#This Row],[mean]]) / Table1[[#This Row],[std_dev]]</f>
        <v>0.16494393278014152</v>
      </c>
      <c r="K5343">
        <f>AVERAGEIF(Table1[CountryCode],Table1[[#This Row],[CountryCode]],Table1[z-score])</f>
        <v>9.5615861938696506E-2</v>
      </c>
      <c r="L5343" t="e">
        <f>VLOOKUP(Table1[[#This Row],[CountryCode]],[1]!Table1[#All],1,FALSE)</f>
        <v>#REF!</v>
      </c>
    </row>
    <row r="5344" spans="1:12" hidden="1" x14ac:dyDescent="0.3">
      <c r="A5344" t="s">
        <v>41</v>
      </c>
      <c r="B5344" t="s">
        <v>42</v>
      </c>
      <c r="C5344" t="s">
        <v>127</v>
      </c>
      <c r="D5344" t="s">
        <v>128</v>
      </c>
      <c r="E5344">
        <v>1990</v>
      </c>
      <c r="F5344" s="1">
        <v>9341</v>
      </c>
      <c r="G5344">
        <v>1990</v>
      </c>
      <c r="H5344">
        <f>AVERAGEIFS(Table1[value],Table1[IndicatorCode],Table1[[#This Row],[IndicatorCode]])</f>
        <v>24902.88753799392</v>
      </c>
      <c r="I5344" cm="1">
        <f t="array" ref="I5344">_xlfn.STDEV.P(IF(Table1[IndicatorCode]=Table1[[#This Row],[IndicatorCode]],Table1[value]))</f>
        <v>26324.778297809873</v>
      </c>
      <c r="J5344">
        <f>(Table1[[#This Row],[value]] - Table1[[#This Row],[mean]]) / Table1[[#This Row],[std_dev]]</f>
        <v>-0.5911498042621165</v>
      </c>
      <c r="K5344">
        <f>AVERAGEIF(Table1[CountryCode],Table1[[#This Row],[CountryCode]],Table1[z-score])</f>
        <v>0.48103769638692301</v>
      </c>
      <c r="L5344" t="e">
        <f>VLOOKUP(Table1[[#This Row],[CountryCode]],[1]!Table1[#All],1,FALSE)</f>
        <v>#REF!</v>
      </c>
    </row>
    <row r="5345" spans="1:12" hidden="1" x14ac:dyDescent="0.3">
      <c r="A5345" t="s">
        <v>41</v>
      </c>
      <c r="B5345" t="s">
        <v>42</v>
      </c>
      <c r="C5345" t="s">
        <v>127</v>
      </c>
      <c r="D5345" t="s">
        <v>128</v>
      </c>
      <c r="E5345">
        <v>1991</v>
      </c>
      <c r="F5345" s="1">
        <v>8637</v>
      </c>
      <c r="G5345">
        <v>1990</v>
      </c>
      <c r="H5345">
        <f>AVERAGEIFS(Table1[value],Table1[IndicatorCode],Table1[[#This Row],[IndicatorCode]])</f>
        <v>24902.88753799392</v>
      </c>
      <c r="I5345" cm="1">
        <f t="array" ref="I5345">_xlfn.STDEV.P(IF(Table1[IndicatorCode]=Table1[[#This Row],[IndicatorCode]],Table1[value]))</f>
        <v>26324.778297809873</v>
      </c>
      <c r="J5345">
        <f>(Table1[[#This Row],[value]] - Table1[[#This Row],[mean]]) / Table1[[#This Row],[std_dev]]</f>
        <v>-0.61789266955943112</v>
      </c>
      <c r="K5345">
        <f>AVERAGEIF(Table1[CountryCode],Table1[[#This Row],[CountryCode]],Table1[z-score])</f>
        <v>0.48103769638692301</v>
      </c>
      <c r="L5345" t="e">
        <f>VLOOKUP(Table1[[#This Row],[CountryCode]],[1]!Table1[#All],1,FALSE)</f>
        <v>#REF!</v>
      </c>
    </row>
    <row r="5346" spans="1:12" hidden="1" x14ac:dyDescent="0.3">
      <c r="A5346" t="s">
        <v>41</v>
      </c>
      <c r="B5346" t="s">
        <v>42</v>
      </c>
      <c r="C5346" t="s">
        <v>127</v>
      </c>
      <c r="D5346" t="s">
        <v>128</v>
      </c>
      <c r="E5346">
        <v>1992</v>
      </c>
      <c r="F5346" s="1">
        <v>6934</v>
      </c>
      <c r="G5346">
        <v>1990</v>
      </c>
      <c r="H5346">
        <f>AVERAGEIFS(Table1[value],Table1[IndicatorCode],Table1[[#This Row],[IndicatorCode]])</f>
        <v>24902.88753799392</v>
      </c>
      <c r="I5346" cm="1">
        <f t="array" ref="I5346">_xlfn.STDEV.P(IF(Table1[IndicatorCode]=Table1[[#This Row],[IndicatorCode]],Table1[value]))</f>
        <v>26324.778297809873</v>
      </c>
      <c r="J5346">
        <f>(Table1[[#This Row],[value]] - Table1[[#This Row],[mean]]) / Table1[[#This Row],[std_dev]]</f>
        <v>-0.68258457240222481</v>
      </c>
      <c r="K5346">
        <f>AVERAGEIF(Table1[CountryCode],Table1[[#This Row],[CountryCode]],Table1[z-score])</f>
        <v>0.48103769638692301</v>
      </c>
      <c r="L5346" t="e">
        <f>VLOOKUP(Table1[[#This Row],[CountryCode]],[1]!Table1[#All],1,FALSE)</f>
        <v>#REF!</v>
      </c>
    </row>
    <row r="5347" spans="1:12" hidden="1" x14ac:dyDescent="0.3">
      <c r="A5347" t="s">
        <v>41</v>
      </c>
      <c r="B5347" t="s">
        <v>42</v>
      </c>
      <c r="C5347" t="s">
        <v>127</v>
      </c>
      <c r="D5347" t="s">
        <v>128</v>
      </c>
      <c r="E5347">
        <v>1993</v>
      </c>
      <c r="F5347" s="1">
        <v>6707</v>
      </c>
      <c r="G5347">
        <v>1990</v>
      </c>
      <c r="H5347">
        <f>AVERAGEIFS(Table1[value],Table1[IndicatorCode],Table1[[#This Row],[IndicatorCode]])</f>
        <v>24902.88753799392</v>
      </c>
      <c r="I5347" cm="1">
        <f t="array" ref="I5347">_xlfn.STDEV.P(IF(Table1[IndicatorCode]=Table1[[#This Row],[IndicatorCode]],Table1[value]))</f>
        <v>26324.778297809873</v>
      </c>
      <c r="J5347">
        <f>(Table1[[#This Row],[value]] - Table1[[#This Row],[mean]]) / Table1[[#This Row],[std_dev]]</f>
        <v>-0.69120762697962601</v>
      </c>
      <c r="K5347">
        <f>AVERAGEIF(Table1[CountryCode],Table1[[#This Row],[CountryCode]],Table1[z-score])</f>
        <v>0.48103769638692301</v>
      </c>
      <c r="L5347" t="e">
        <f>VLOOKUP(Table1[[#This Row],[CountryCode]],[1]!Table1[#All],1,FALSE)</f>
        <v>#REF!</v>
      </c>
    </row>
    <row r="5348" spans="1:12" hidden="1" x14ac:dyDescent="0.3">
      <c r="A5348" t="s">
        <v>41</v>
      </c>
      <c r="B5348" t="s">
        <v>42</v>
      </c>
      <c r="C5348" t="s">
        <v>127</v>
      </c>
      <c r="D5348" t="s">
        <v>128</v>
      </c>
      <c r="E5348">
        <v>1994</v>
      </c>
      <c r="F5348" s="1">
        <v>6739</v>
      </c>
      <c r="G5348">
        <v>1990</v>
      </c>
      <c r="H5348">
        <f>AVERAGEIFS(Table1[value],Table1[IndicatorCode],Table1[[#This Row],[IndicatorCode]])</f>
        <v>24902.88753799392</v>
      </c>
      <c r="I5348" cm="1">
        <f t="array" ref="I5348">_xlfn.STDEV.P(IF(Table1[IndicatorCode]=Table1[[#This Row],[IndicatorCode]],Table1[value]))</f>
        <v>26324.778297809873</v>
      </c>
      <c r="J5348">
        <f>(Table1[[#This Row],[value]] - Table1[[#This Row],[mean]]) / Table1[[#This Row],[std_dev]]</f>
        <v>-0.68999204219338439</v>
      </c>
      <c r="K5348">
        <f>AVERAGEIF(Table1[CountryCode],Table1[[#This Row],[CountryCode]],Table1[z-score])</f>
        <v>0.48103769638692301</v>
      </c>
      <c r="L5348" t="e">
        <f>VLOOKUP(Table1[[#This Row],[CountryCode]],[1]!Table1[#All],1,FALSE)</f>
        <v>#REF!</v>
      </c>
    </row>
    <row r="5349" spans="1:12" hidden="1" x14ac:dyDescent="0.3">
      <c r="A5349" t="s">
        <v>41</v>
      </c>
      <c r="B5349" t="s">
        <v>42</v>
      </c>
      <c r="C5349" t="s">
        <v>127</v>
      </c>
      <c r="D5349" t="s">
        <v>128</v>
      </c>
      <c r="E5349">
        <v>1995</v>
      </c>
      <c r="F5349" s="1">
        <v>7171</v>
      </c>
      <c r="G5349">
        <v>1990</v>
      </c>
      <c r="H5349">
        <f>AVERAGEIFS(Table1[value],Table1[IndicatorCode],Table1[[#This Row],[IndicatorCode]])</f>
        <v>24902.88753799392</v>
      </c>
      <c r="I5349" cm="1">
        <f t="array" ref="I5349">_xlfn.STDEV.P(IF(Table1[IndicatorCode]=Table1[[#This Row],[IndicatorCode]],Table1[value]))</f>
        <v>26324.778297809873</v>
      </c>
      <c r="J5349">
        <f>(Table1[[#This Row],[value]] - Table1[[#This Row],[mean]]) / Table1[[#This Row],[std_dev]]</f>
        <v>-0.6735816475791232</v>
      </c>
      <c r="K5349">
        <f>AVERAGEIF(Table1[CountryCode],Table1[[#This Row],[CountryCode]],Table1[z-score])</f>
        <v>0.48103769638692301</v>
      </c>
      <c r="L5349" t="e">
        <f>VLOOKUP(Table1[[#This Row],[CountryCode]],[1]!Table1[#All],1,FALSE)</f>
        <v>#REF!</v>
      </c>
    </row>
    <row r="5350" spans="1:12" hidden="1" x14ac:dyDescent="0.3">
      <c r="A5350" t="s">
        <v>41</v>
      </c>
      <c r="B5350" t="s">
        <v>42</v>
      </c>
      <c r="C5350" t="s">
        <v>127</v>
      </c>
      <c r="D5350" t="s">
        <v>128</v>
      </c>
      <c r="E5350">
        <v>1996</v>
      </c>
      <c r="F5350" s="1">
        <v>7637</v>
      </c>
      <c r="G5350">
        <v>1990</v>
      </c>
      <c r="H5350">
        <f>AVERAGEIFS(Table1[value],Table1[IndicatorCode],Table1[[#This Row],[IndicatorCode]])</f>
        <v>24902.88753799392</v>
      </c>
      <c r="I5350" cm="1">
        <f t="array" ref="I5350">_xlfn.STDEV.P(IF(Table1[IndicatorCode]=Table1[[#This Row],[IndicatorCode]],Table1[value]))</f>
        <v>26324.778297809873</v>
      </c>
      <c r="J5350">
        <f>(Table1[[#This Row],[value]] - Table1[[#This Row],[mean]]) / Table1[[#This Row],[std_dev]]</f>
        <v>-0.65587969412948033</v>
      </c>
      <c r="K5350">
        <f>AVERAGEIF(Table1[CountryCode],Table1[[#This Row],[CountryCode]],Table1[z-score])</f>
        <v>0.48103769638692301</v>
      </c>
      <c r="L5350" t="e">
        <f>VLOOKUP(Table1[[#This Row],[CountryCode]],[1]!Table1[#All],1,FALSE)</f>
        <v>#REF!</v>
      </c>
    </row>
    <row r="5351" spans="1:12" hidden="1" x14ac:dyDescent="0.3">
      <c r="A5351" t="s">
        <v>41</v>
      </c>
      <c r="B5351" t="s">
        <v>42</v>
      </c>
      <c r="C5351" t="s">
        <v>127</v>
      </c>
      <c r="D5351" t="s">
        <v>128</v>
      </c>
      <c r="E5351">
        <v>1997</v>
      </c>
      <c r="F5351" s="1">
        <v>8733</v>
      </c>
      <c r="G5351">
        <v>2000</v>
      </c>
      <c r="H5351">
        <f>AVERAGEIFS(Table1[value],Table1[IndicatorCode],Table1[[#This Row],[IndicatorCode]])</f>
        <v>24902.88753799392</v>
      </c>
      <c r="I5351" cm="1">
        <f t="array" ref="I5351">_xlfn.STDEV.P(IF(Table1[IndicatorCode]=Table1[[#This Row],[IndicatorCode]],Table1[value]))</f>
        <v>26324.778297809873</v>
      </c>
      <c r="J5351">
        <f>(Table1[[#This Row],[value]] - Table1[[#This Row],[mean]]) / Table1[[#This Row],[std_dev]]</f>
        <v>-0.61424591520070637</v>
      </c>
      <c r="K5351">
        <f>AVERAGEIF(Table1[CountryCode],Table1[[#This Row],[CountryCode]],Table1[z-score])</f>
        <v>0.48103769638692301</v>
      </c>
      <c r="L5351" t="e">
        <f>VLOOKUP(Table1[[#This Row],[CountryCode]],[1]!Table1[#All],1,FALSE)</f>
        <v>#REF!</v>
      </c>
    </row>
    <row r="5352" spans="1:12" hidden="1" x14ac:dyDescent="0.3">
      <c r="A5352" t="s">
        <v>41</v>
      </c>
      <c r="B5352" t="s">
        <v>42</v>
      </c>
      <c r="C5352" t="s">
        <v>127</v>
      </c>
      <c r="D5352" t="s">
        <v>128</v>
      </c>
      <c r="E5352">
        <v>1998</v>
      </c>
      <c r="F5352" s="1">
        <v>9200</v>
      </c>
      <c r="G5352">
        <v>2000</v>
      </c>
      <c r="H5352">
        <f>AVERAGEIFS(Table1[value],Table1[IndicatorCode],Table1[[#This Row],[IndicatorCode]])</f>
        <v>24902.88753799392</v>
      </c>
      <c r="I5352" cm="1">
        <f t="array" ref="I5352">_xlfn.STDEV.P(IF(Table1[IndicatorCode]=Table1[[#This Row],[IndicatorCode]],Table1[value]))</f>
        <v>26324.778297809873</v>
      </c>
      <c r="J5352">
        <f>(Table1[[#This Row],[value]] - Table1[[#This Row],[mean]]) / Table1[[#This Row],[std_dev]]</f>
        <v>-0.59650597472649347</v>
      </c>
      <c r="K5352">
        <f>AVERAGEIF(Table1[CountryCode],Table1[[#This Row],[CountryCode]],Table1[z-score])</f>
        <v>0.48103769638692301</v>
      </c>
      <c r="L5352" t="e">
        <f>VLOOKUP(Table1[[#This Row],[CountryCode]],[1]!Table1[#All],1,FALSE)</f>
        <v>#REF!</v>
      </c>
    </row>
    <row r="5353" spans="1:12" hidden="1" x14ac:dyDescent="0.3">
      <c r="A5353" t="s">
        <v>41</v>
      </c>
      <c r="B5353" t="s">
        <v>42</v>
      </c>
      <c r="C5353" t="s">
        <v>127</v>
      </c>
      <c r="D5353" t="s">
        <v>128</v>
      </c>
      <c r="E5353">
        <v>1999</v>
      </c>
      <c r="F5353" s="1">
        <v>9134</v>
      </c>
      <c r="G5353">
        <v>2000</v>
      </c>
      <c r="H5353">
        <f>AVERAGEIFS(Table1[value],Table1[IndicatorCode],Table1[[#This Row],[IndicatorCode]])</f>
        <v>24902.88753799392</v>
      </c>
      <c r="I5353" cm="1">
        <f t="array" ref="I5353">_xlfn.STDEV.P(IF(Table1[IndicatorCode]=Table1[[#This Row],[IndicatorCode]],Table1[value]))</f>
        <v>26324.778297809873</v>
      </c>
      <c r="J5353">
        <f>(Table1[[#This Row],[value]] - Table1[[#This Row],[mean]]) / Table1[[#This Row],[std_dev]]</f>
        <v>-0.59901311834811677</v>
      </c>
      <c r="K5353">
        <f>AVERAGEIF(Table1[CountryCode],Table1[[#This Row],[CountryCode]],Table1[z-score])</f>
        <v>0.48103769638692301</v>
      </c>
      <c r="L5353" t="e">
        <f>VLOOKUP(Table1[[#This Row],[CountryCode]],[1]!Table1[#All],1,FALSE)</f>
        <v>#REF!</v>
      </c>
    </row>
    <row r="5354" spans="1:12" hidden="1" x14ac:dyDescent="0.3">
      <c r="A5354" t="s">
        <v>41</v>
      </c>
      <c r="B5354" t="s">
        <v>42</v>
      </c>
      <c r="C5354" t="s">
        <v>127</v>
      </c>
      <c r="D5354" t="s">
        <v>128</v>
      </c>
      <c r="E5354">
        <v>2000</v>
      </c>
      <c r="F5354" s="1">
        <v>10007</v>
      </c>
      <c r="G5354">
        <v>2000</v>
      </c>
      <c r="H5354">
        <f>AVERAGEIFS(Table1[value],Table1[IndicatorCode],Table1[[#This Row],[IndicatorCode]])</f>
        <v>24902.88753799392</v>
      </c>
      <c r="I5354" cm="1">
        <f t="array" ref="I5354">_xlfn.STDEV.P(IF(Table1[IndicatorCode]=Table1[[#This Row],[IndicatorCode]],Table1[value]))</f>
        <v>26324.778297809873</v>
      </c>
      <c r="J5354">
        <f>(Table1[[#This Row],[value]] - Table1[[#This Row],[mean]]) / Table1[[#This Row],[std_dev]]</f>
        <v>-0.56585044589846378</v>
      </c>
      <c r="K5354">
        <f>AVERAGEIF(Table1[CountryCode],Table1[[#This Row],[CountryCode]],Table1[z-score])</f>
        <v>0.48103769638692301</v>
      </c>
      <c r="L5354" t="e">
        <f>VLOOKUP(Table1[[#This Row],[CountryCode]],[1]!Table1[#All],1,FALSE)</f>
        <v>#REF!</v>
      </c>
    </row>
    <row r="5355" spans="1:12" hidden="1" x14ac:dyDescent="0.3">
      <c r="A5355" t="s">
        <v>41</v>
      </c>
      <c r="B5355" t="s">
        <v>42</v>
      </c>
      <c r="C5355" t="s">
        <v>127</v>
      </c>
      <c r="D5355" t="s">
        <v>128</v>
      </c>
      <c r="E5355">
        <v>2001</v>
      </c>
      <c r="F5355" s="1">
        <v>10663</v>
      </c>
      <c r="G5355">
        <v>2000</v>
      </c>
      <c r="H5355">
        <f>AVERAGEIFS(Table1[value],Table1[IndicatorCode],Table1[[#This Row],[IndicatorCode]])</f>
        <v>24902.88753799392</v>
      </c>
      <c r="I5355" cm="1">
        <f t="array" ref="I5355">_xlfn.STDEV.P(IF(Table1[IndicatorCode]=Table1[[#This Row],[IndicatorCode]],Table1[value]))</f>
        <v>26324.778297809873</v>
      </c>
      <c r="J5355">
        <f>(Table1[[#This Row],[value]] - Table1[[#This Row],[mean]]) / Table1[[#This Row],[std_dev]]</f>
        <v>-0.54093095778051159</v>
      </c>
      <c r="K5355">
        <f>AVERAGEIF(Table1[CountryCode],Table1[[#This Row],[CountryCode]],Table1[z-score])</f>
        <v>0.48103769638692301</v>
      </c>
      <c r="L5355" t="e">
        <f>VLOOKUP(Table1[[#This Row],[CountryCode]],[1]!Table1[#All],1,FALSE)</f>
        <v>#REF!</v>
      </c>
    </row>
    <row r="5356" spans="1:12" hidden="1" x14ac:dyDescent="0.3">
      <c r="A5356" t="s">
        <v>41</v>
      </c>
      <c r="B5356" t="s">
        <v>42</v>
      </c>
      <c r="C5356" t="s">
        <v>127</v>
      </c>
      <c r="D5356" t="s">
        <v>128</v>
      </c>
      <c r="E5356">
        <v>2002</v>
      </c>
      <c r="F5356" s="1">
        <v>11475</v>
      </c>
      <c r="G5356">
        <v>2000</v>
      </c>
      <c r="H5356">
        <f>AVERAGEIFS(Table1[value],Table1[IndicatorCode],Table1[[#This Row],[IndicatorCode]])</f>
        <v>24902.88753799392</v>
      </c>
      <c r="I5356" cm="1">
        <f t="array" ref="I5356">_xlfn.STDEV.P(IF(Table1[IndicatorCode]=Table1[[#This Row],[IndicatorCode]],Table1[value]))</f>
        <v>26324.778297809873</v>
      </c>
      <c r="J5356">
        <f>(Table1[[#This Row],[value]] - Table1[[#This Row],[mean]]) / Table1[[#This Row],[std_dev]]</f>
        <v>-0.51008549382963164</v>
      </c>
      <c r="K5356">
        <f>AVERAGEIF(Table1[CountryCode],Table1[[#This Row],[CountryCode]],Table1[z-score])</f>
        <v>0.48103769638692301</v>
      </c>
      <c r="L5356" t="e">
        <f>VLOOKUP(Table1[[#This Row],[CountryCode]],[1]!Table1[#All],1,FALSE)</f>
        <v>#REF!</v>
      </c>
    </row>
    <row r="5357" spans="1:12" hidden="1" x14ac:dyDescent="0.3">
      <c r="A5357" t="s">
        <v>41</v>
      </c>
      <c r="B5357" t="s">
        <v>42</v>
      </c>
      <c r="C5357" t="s">
        <v>127</v>
      </c>
      <c r="D5357" t="s">
        <v>128</v>
      </c>
      <c r="E5357">
        <v>2003</v>
      </c>
      <c r="F5357" s="1">
        <v>12424</v>
      </c>
      <c r="G5357">
        <v>2000</v>
      </c>
      <c r="H5357">
        <f>AVERAGEIFS(Table1[value],Table1[IndicatorCode],Table1[[#This Row],[IndicatorCode]])</f>
        <v>24902.88753799392</v>
      </c>
      <c r="I5357" cm="1">
        <f t="array" ref="I5357">_xlfn.STDEV.P(IF(Table1[IndicatorCode]=Table1[[#This Row],[IndicatorCode]],Table1[value]))</f>
        <v>26324.778297809873</v>
      </c>
      <c r="J5357">
        <f>(Table1[[#This Row],[value]] - Table1[[#This Row],[mean]]) / Table1[[#This Row],[std_dev]]</f>
        <v>-0.47403580751265506</v>
      </c>
      <c r="K5357">
        <f>AVERAGEIF(Table1[CountryCode],Table1[[#This Row],[CountryCode]],Table1[z-score])</f>
        <v>0.48103769638692301</v>
      </c>
      <c r="L5357" t="e">
        <f>VLOOKUP(Table1[[#This Row],[CountryCode]],[1]!Table1[#All],1,FALSE)</f>
        <v>#REF!</v>
      </c>
    </row>
    <row r="5358" spans="1:12" hidden="1" x14ac:dyDescent="0.3">
      <c r="A5358" t="s">
        <v>41</v>
      </c>
      <c r="B5358" t="s">
        <v>42</v>
      </c>
      <c r="C5358" t="s">
        <v>127</v>
      </c>
      <c r="D5358" t="s">
        <v>128</v>
      </c>
      <c r="E5358">
        <v>2004</v>
      </c>
      <c r="F5358" s="1">
        <v>13349</v>
      </c>
      <c r="G5358">
        <v>2000</v>
      </c>
      <c r="H5358">
        <f>AVERAGEIFS(Table1[value],Table1[IndicatorCode],Table1[[#This Row],[IndicatorCode]])</f>
        <v>24902.88753799392</v>
      </c>
      <c r="I5358" cm="1">
        <f t="array" ref="I5358">_xlfn.STDEV.P(IF(Table1[IndicatorCode]=Table1[[#This Row],[IndicatorCode]],Table1[value]))</f>
        <v>26324.778297809873</v>
      </c>
      <c r="J5358">
        <f>(Table1[[#This Row],[value]] - Table1[[#This Row],[mean]]) / Table1[[#This Row],[std_dev]]</f>
        <v>-0.43889780978535958</v>
      </c>
      <c r="K5358">
        <f>AVERAGEIF(Table1[CountryCode],Table1[[#This Row],[CountryCode]],Table1[z-score])</f>
        <v>0.48103769638692301</v>
      </c>
      <c r="L5358" t="e">
        <f>VLOOKUP(Table1[[#This Row],[CountryCode]],[1]!Table1[#All],1,FALSE)</f>
        <v>#REF!</v>
      </c>
    </row>
    <row r="5359" spans="1:12" hidden="1" x14ac:dyDescent="0.3">
      <c r="A5359" t="s">
        <v>41</v>
      </c>
      <c r="B5359" t="s">
        <v>42</v>
      </c>
      <c r="C5359" t="s">
        <v>127</v>
      </c>
      <c r="D5359" t="s">
        <v>128</v>
      </c>
      <c r="E5359">
        <v>2005</v>
      </c>
      <c r="F5359" s="1">
        <v>14704</v>
      </c>
      <c r="G5359">
        <v>2000</v>
      </c>
      <c r="H5359">
        <f>AVERAGEIFS(Table1[value],Table1[IndicatorCode],Table1[[#This Row],[IndicatorCode]])</f>
        <v>24902.88753799392</v>
      </c>
      <c r="I5359" cm="1">
        <f t="array" ref="I5359">_xlfn.STDEV.P(IF(Table1[IndicatorCode]=Table1[[#This Row],[IndicatorCode]],Table1[value]))</f>
        <v>26324.778297809873</v>
      </c>
      <c r="J5359">
        <f>(Table1[[#This Row],[value]] - Table1[[#This Row],[mean]]) / Table1[[#This Row],[std_dev]]</f>
        <v>-0.38742539149294303</v>
      </c>
      <c r="K5359">
        <f>AVERAGEIF(Table1[CountryCode],Table1[[#This Row],[CountryCode]],Table1[z-score])</f>
        <v>0.48103769638692301</v>
      </c>
      <c r="L5359" t="e">
        <f>VLOOKUP(Table1[[#This Row],[CountryCode]],[1]!Table1[#All],1,FALSE)</f>
        <v>#REF!</v>
      </c>
    </row>
    <row r="5360" spans="1:12" hidden="1" x14ac:dyDescent="0.3">
      <c r="A5360" t="s">
        <v>41</v>
      </c>
      <c r="B5360" t="s">
        <v>42</v>
      </c>
      <c r="C5360" t="s">
        <v>127</v>
      </c>
      <c r="D5360" t="s">
        <v>128</v>
      </c>
      <c r="E5360">
        <v>2006</v>
      </c>
      <c r="F5360" s="1">
        <v>16235</v>
      </c>
      <c r="G5360">
        <v>2000</v>
      </c>
      <c r="H5360">
        <f>AVERAGEIFS(Table1[value],Table1[IndicatorCode],Table1[[#This Row],[IndicatorCode]])</f>
        <v>24902.88753799392</v>
      </c>
      <c r="I5360" cm="1">
        <f t="array" ref="I5360">_xlfn.STDEV.P(IF(Table1[IndicatorCode]=Table1[[#This Row],[IndicatorCode]],Table1[value]))</f>
        <v>26324.778297809873</v>
      </c>
      <c r="J5360">
        <f>(Table1[[#This Row],[value]] - Table1[[#This Row],[mean]]) / Table1[[#This Row],[std_dev]]</f>
        <v>-0.32926725687619779</v>
      </c>
      <c r="K5360">
        <f>AVERAGEIF(Table1[CountryCode],Table1[[#This Row],[CountryCode]],Table1[z-score])</f>
        <v>0.48103769638692301</v>
      </c>
      <c r="L5360" t="e">
        <f>VLOOKUP(Table1[[#This Row],[CountryCode]],[1]!Table1[#All],1,FALSE)</f>
        <v>#REF!</v>
      </c>
    </row>
    <row r="5361" spans="1:12" hidden="1" x14ac:dyDescent="0.3">
      <c r="A5361" t="s">
        <v>41</v>
      </c>
      <c r="B5361" t="s">
        <v>42</v>
      </c>
      <c r="C5361" t="s">
        <v>127</v>
      </c>
      <c r="D5361" t="s">
        <v>128</v>
      </c>
      <c r="E5361">
        <v>2007</v>
      </c>
      <c r="F5361" s="1">
        <v>17543</v>
      </c>
      <c r="G5361">
        <v>2010</v>
      </c>
      <c r="H5361">
        <f>AVERAGEIFS(Table1[value],Table1[IndicatorCode],Table1[[#This Row],[IndicatorCode]])</f>
        <v>24902.88753799392</v>
      </c>
      <c r="I5361" cm="1">
        <f t="array" ref="I5361">_xlfn.STDEV.P(IF(Table1[IndicatorCode]=Table1[[#This Row],[IndicatorCode]],Table1[value]))</f>
        <v>26324.778297809873</v>
      </c>
      <c r="J5361">
        <f>(Table1[[#This Row],[value]] - Table1[[#This Row],[mean]]) / Table1[[#This Row],[std_dev]]</f>
        <v>-0.27958022873857352</v>
      </c>
      <c r="K5361">
        <f>AVERAGEIF(Table1[CountryCode],Table1[[#This Row],[CountryCode]],Table1[z-score])</f>
        <v>0.48103769638692301</v>
      </c>
      <c r="L5361" t="e">
        <f>VLOOKUP(Table1[[#This Row],[CountryCode]],[1]!Table1[#All],1,FALSE)</f>
        <v>#REF!</v>
      </c>
    </row>
    <row r="5362" spans="1:12" hidden="1" x14ac:dyDescent="0.3">
      <c r="A5362" t="s">
        <v>41</v>
      </c>
      <c r="B5362" t="s">
        <v>42</v>
      </c>
      <c r="C5362" t="s">
        <v>127</v>
      </c>
      <c r="D5362" t="s">
        <v>128</v>
      </c>
      <c r="E5362">
        <v>2008</v>
      </c>
      <c r="F5362" s="1">
        <v>16689</v>
      </c>
      <c r="G5362">
        <v>2010</v>
      </c>
      <c r="H5362">
        <f>AVERAGEIFS(Table1[value],Table1[IndicatorCode],Table1[[#This Row],[IndicatorCode]])</f>
        <v>24902.88753799392</v>
      </c>
      <c r="I5362" cm="1">
        <f t="array" ref="I5362">_xlfn.STDEV.P(IF(Table1[IndicatorCode]=Table1[[#This Row],[IndicatorCode]],Table1[value]))</f>
        <v>26324.778297809873</v>
      </c>
      <c r="J5362">
        <f>(Table1[[#This Row],[value]] - Table1[[#This Row],[mean]]) / Table1[[#This Row],[std_dev]]</f>
        <v>-0.31202114772139544</v>
      </c>
      <c r="K5362">
        <f>AVERAGEIF(Table1[CountryCode],Table1[[#This Row],[CountryCode]],Table1[z-score])</f>
        <v>0.48103769638692301</v>
      </c>
      <c r="L5362" t="e">
        <f>VLOOKUP(Table1[[#This Row],[CountryCode]],[1]!Table1[#All],1,FALSE)</f>
        <v>#REF!</v>
      </c>
    </row>
    <row r="5363" spans="1:12" hidden="1" x14ac:dyDescent="0.3">
      <c r="A5363" t="s">
        <v>41</v>
      </c>
      <c r="B5363" t="s">
        <v>42</v>
      </c>
      <c r="C5363" t="s">
        <v>127</v>
      </c>
      <c r="D5363" t="s">
        <v>128</v>
      </c>
      <c r="E5363">
        <v>2009</v>
      </c>
      <c r="F5363" s="1">
        <v>14275</v>
      </c>
      <c r="G5363">
        <v>2010</v>
      </c>
      <c r="H5363">
        <f>AVERAGEIFS(Table1[value],Table1[IndicatorCode],Table1[[#This Row],[IndicatorCode]])</f>
        <v>24902.88753799392</v>
      </c>
      <c r="I5363" cm="1">
        <f t="array" ref="I5363">_xlfn.STDEV.P(IF(Table1[IndicatorCode]=Table1[[#This Row],[IndicatorCode]],Table1[value]))</f>
        <v>26324.778297809873</v>
      </c>
      <c r="J5363">
        <f>(Table1[[#This Row],[value]] - Table1[[#This Row],[mean]]) / Table1[[#This Row],[std_dev]]</f>
        <v>-0.40372182503349408</v>
      </c>
      <c r="K5363">
        <f>AVERAGEIF(Table1[CountryCode],Table1[[#This Row],[CountryCode]],Table1[z-score])</f>
        <v>0.48103769638692301</v>
      </c>
      <c r="L5363" t="e">
        <f>VLOOKUP(Table1[[#This Row],[CountryCode]],[1]!Table1[#All],1,FALSE)</f>
        <v>#REF!</v>
      </c>
    </row>
    <row r="5364" spans="1:12" hidden="1" x14ac:dyDescent="0.3">
      <c r="A5364" t="s">
        <v>41</v>
      </c>
      <c r="B5364" t="s">
        <v>42</v>
      </c>
      <c r="C5364" t="s">
        <v>127</v>
      </c>
      <c r="D5364" t="s">
        <v>128</v>
      </c>
      <c r="E5364">
        <v>2010</v>
      </c>
      <c r="F5364" s="1">
        <v>14658</v>
      </c>
      <c r="G5364">
        <v>2010</v>
      </c>
      <c r="H5364">
        <f>AVERAGEIFS(Table1[value],Table1[IndicatorCode],Table1[[#This Row],[IndicatorCode]])</f>
        <v>24902.88753799392</v>
      </c>
      <c r="I5364" cm="1">
        <f t="array" ref="I5364">_xlfn.STDEV.P(IF(Table1[IndicatorCode]=Table1[[#This Row],[IndicatorCode]],Table1[value]))</f>
        <v>26324.778297809873</v>
      </c>
      <c r="J5364">
        <f>(Table1[[#This Row],[value]] - Table1[[#This Row],[mean]]) / Table1[[#This Row],[std_dev]]</f>
        <v>-0.38917279462316529</v>
      </c>
      <c r="K5364">
        <f>AVERAGEIF(Table1[CountryCode],Table1[[#This Row],[CountryCode]],Table1[z-score])</f>
        <v>0.48103769638692301</v>
      </c>
      <c r="L5364" t="e">
        <f>VLOOKUP(Table1[[#This Row],[CountryCode]],[1]!Table1[#All],1,FALSE)</f>
        <v>#REF!</v>
      </c>
    </row>
    <row r="5365" spans="1:12" hidden="1" x14ac:dyDescent="0.3">
      <c r="A5365" t="s">
        <v>41</v>
      </c>
      <c r="B5365" t="s">
        <v>42</v>
      </c>
      <c r="C5365" t="s">
        <v>127</v>
      </c>
      <c r="D5365" t="s">
        <v>128</v>
      </c>
      <c r="E5365">
        <v>2011</v>
      </c>
      <c r="F5365" s="1">
        <v>15821</v>
      </c>
      <c r="G5365">
        <v>2010</v>
      </c>
      <c r="H5365">
        <f>AVERAGEIFS(Table1[value],Table1[IndicatorCode],Table1[[#This Row],[IndicatorCode]])</f>
        <v>24902.88753799392</v>
      </c>
      <c r="I5365" cm="1">
        <f t="array" ref="I5365">_xlfn.STDEV.P(IF(Table1[IndicatorCode]=Table1[[#This Row],[IndicatorCode]],Table1[value]))</f>
        <v>26324.778297809873</v>
      </c>
      <c r="J5365">
        <f>(Table1[[#This Row],[value]] - Table1[[#This Row],[mean]]) / Table1[[#This Row],[std_dev]]</f>
        <v>-0.34499388504819811</v>
      </c>
      <c r="K5365">
        <f>AVERAGEIF(Table1[CountryCode],Table1[[#This Row],[CountryCode]],Table1[z-score])</f>
        <v>0.48103769638692301</v>
      </c>
      <c r="L5365" t="e">
        <f>VLOOKUP(Table1[[#This Row],[CountryCode]],[1]!Table1[#All],1,FALSE)</f>
        <v>#REF!</v>
      </c>
    </row>
    <row r="5366" spans="1:12" hidden="1" x14ac:dyDescent="0.3">
      <c r="A5366" t="s">
        <v>41</v>
      </c>
      <c r="B5366" t="s">
        <v>42</v>
      </c>
      <c r="C5366" t="s">
        <v>127</v>
      </c>
      <c r="D5366" t="s">
        <v>128</v>
      </c>
      <c r="E5366">
        <v>2012</v>
      </c>
      <c r="F5366" s="1">
        <v>16461</v>
      </c>
      <c r="G5366">
        <v>2010</v>
      </c>
      <c r="H5366">
        <f>AVERAGEIFS(Table1[value],Table1[IndicatorCode],Table1[[#This Row],[IndicatorCode]])</f>
        <v>24902.88753799392</v>
      </c>
      <c r="I5366" cm="1">
        <f t="array" ref="I5366">_xlfn.STDEV.P(IF(Table1[IndicatorCode]=Table1[[#This Row],[IndicatorCode]],Table1[value]))</f>
        <v>26324.778297809873</v>
      </c>
      <c r="J5366">
        <f>(Table1[[#This Row],[value]] - Table1[[#This Row],[mean]]) / Table1[[#This Row],[std_dev]]</f>
        <v>-0.32068218932336667</v>
      </c>
      <c r="K5366">
        <f>AVERAGEIF(Table1[CountryCode],Table1[[#This Row],[CountryCode]],Table1[z-score])</f>
        <v>0.48103769638692301</v>
      </c>
      <c r="L5366" t="e">
        <f>VLOOKUP(Table1[[#This Row],[CountryCode]],[1]!Table1[#All],1,FALSE)</f>
        <v>#REF!</v>
      </c>
    </row>
    <row r="5367" spans="1:12" hidden="1" x14ac:dyDescent="0.3">
      <c r="A5367" t="s">
        <v>41</v>
      </c>
      <c r="B5367" t="s">
        <v>42</v>
      </c>
      <c r="C5367" t="s">
        <v>127</v>
      </c>
      <c r="D5367" t="s">
        <v>128</v>
      </c>
      <c r="E5367">
        <v>2013</v>
      </c>
      <c r="F5367" s="1">
        <v>16810</v>
      </c>
      <c r="G5367">
        <v>2010</v>
      </c>
      <c r="H5367">
        <f>AVERAGEIFS(Table1[value],Table1[IndicatorCode],Table1[[#This Row],[IndicatorCode]])</f>
        <v>24902.88753799392</v>
      </c>
      <c r="I5367" cm="1">
        <f t="array" ref="I5367">_xlfn.STDEV.P(IF(Table1[IndicatorCode]=Table1[[#This Row],[IndicatorCode]],Table1[value]))</f>
        <v>26324.778297809873</v>
      </c>
      <c r="J5367">
        <f>(Table1[[#This Row],[value]] - Table1[[#This Row],[mean]]) / Table1[[#This Row],[std_dev]]</f>
        <v>-0.30742471774841951</v>
      </c>
      <c r="K5367">
        <f>AVERAGEIF(Table1[CountryCode],Table1[[#This Row],[CountryCode]],Table1[z-score])</f>
        <v>0.48103769638692301</v>
      </c>
      <c r="L5367" t="e">
        <f>VLOOKUP(Table1[[#This Row],[CountryCode]],[1]!Table1[#All],1,FALSE)</f>
        <v>#REF!</v>
      </c>
    </row>
    <row r="5368" spans="1:12" hidden="1" x14ac:dyDescent="0.3">
      <c r="A5368" t="s">
        <v>41</v>
      </c>
      <c r="B5368" t="s">
        <v>42</v>
      </c>
      <c r="C5368" t="s">
        <v>127</v>
      </c>
      <c r="D5368" t="s">
        <v>128</v>
      </c>
      <c r="E5368">
        <v>2014</v>
      </c>
      <c r="F5368" s="1">
        <v>17414</v>
      </c>
      <c r="G5368">
        <v>2010</v>
      </c>
      <c r="H5368">
        <f>AVERAGEIFS(Table1[value],Table1[IndicatorCode],Table1[[#This Row],[IndicatorCode]])</f>
        <v>24902.88753799392</v>
      </c>
      <c r="I5368" cm="1">
        <f t="array" ref="I5368">_xlfn.STDEV.P(IF(Table1[IndicatorCode]=Table1[[#This Row],[IndicatorCode]],Table1[value]))</f>
        <v>26324.778297809873</v>
      </c>
      <c r="J5368">
        <f>(Table1[[#This Row],[value]] - Table1[[#This Row],[mean]]) / Table1[[#This Row],[std_dev]]</f>
        <v>-0.28448055490810986</v>
      </c>
      <c r="K5368">
        <f>AVERAGEIF(Table1[CountryCode],Table1[[#This Row],[CountryCode]],Table1[z-score])</f>
        <v>0.48103769638692301</v>
      </c>
      <c r="L5368" t="e">
        <f>VLOOKUP(Table1[[#This Row],[CountryCode]],[1]!Table1[#All],1,FALSE)</f>
        <v>#REF!</v>
      </c>
    </row>
    <row r="5369" spans="1:12" hidden="1" x14ac:dyDescent="0.3">
      <c r="A5369" t="s">
        <v>41</v>
      </c>
      <c r="B5369" t="s">
        <v>42</v>
      </c>
      <c r="C5369" t="s">
        <v>127</v>
      </c>
      <c r="D5369" t="s">
        <v>128</v>
      </c>
      <c r="E5369">
        <v>2015</v>
      </c>
      <c r="F5369" s="1">
        <v>17722</v>
      </c>
      <c r="G5369">
        <v>2010</v>
      </c>
      <c r="H5369">
        <f>AVERAGEIFS(Table1[value],Table1[IndicatorCode],Table1[[#This Row],[IndicatorCode]])</f>
        <v>24902.88753799392</v>
      </c>
      <c r="I5369" cm="1">
        <f t="array" ref="I5369">_xlfn.STDEV.P(IF(Table1[IndicatorCode]=Table1[[#This Row],[IndicatorCode]],Table1[value]))</f>
        <v>26324.778297809873</v>
      </c>
      <c r="J5369">
        <f>(Table1[[#This Row],[value]] - Table1[[#This Row],[mean]]) / Table1[[#This Row],[std_dev]]</f>
        <v>-0.27278055134053469</v>
      </c>
      <c r="K5369">
        <f>AVERAGEIF(Table1[CountryCode],Table1[[#This Row],[CountryCode]],Table1[z-score])</f>
        <v>0.48103769638692301</v>
      </c>
      <c r="L5369" t="e">
        <f>VLOOKUP(Table1[[#This Row],[CountryCode]],[1]!Table1[#All],1,FALSE)</f>
        <v>#REF!</v>
      </c>
    </row>
    <row r="5370" spans="1:12" hidden="1" x14ac:dyDescent="0.3">
      <c r="A5370" t="s">
        <v>41</v>
      </c>
      <c r="B5370" t="s">
        <v>42</v>
      </c>
      <c r="C5370" t="s">
        <v>127</v>
      </c>
      <c r="D5370" t="s">
        <v>128</v>
      </c>
      <c r="E5370">
        <v>2016</v>
      </c>
      <c r="F5370" s="1">
        <v>18265</v>
      </c>
      <c r="G5370">
        <v>2010</v>
      </c>
      <c r="H5370">
        <f>AVERAGEIFS(Table1[value],Table1[IndicatorCode],Table1[[#This Row],[IndicatorCode]])</f>
        <v>24902.88753799392</v>
      </c>
      <c r="I5370" cm="1">
        <f t="array" ref="I5370">_xlfn.STDEV.P(IF(Table1[IndicatorCode]=Table1[[#This Row],[IndicatorCode]],Table1[value]))</f>
        <v>26324.778297809873</v>
      </c>
      <c r="J5370">
        <f>(Table1[[#This Row],[value]] - Table1[[#This Row],[mean]]) / Table1[[#This Row],[std_dev]]</f>
        <v>-0.25215359699899803</v>
      </c>
      <c r="K5370">
        <f>AVERAGEIF(Table1[CountryCode],Table1[[#This Row],[CountryCode]],Table1[z-score])</f>
        <v>0.48103769638692301</v>
      </c>
      <c r="L5370" t="e">
        <f>VLOOKUP(Table1[[#This Row],[CountryCode]],[1]!Table1[#All],1,FALSE)</f>
        <v>#REF!</v>
      </c>
    </row>
    <row r="5371" spans="1:12" hidden="1" x14ac:dyDescent="0.3">
      <c r="A5371" t="s">
        <v>41</v>
      </c>
      <c r="B5371" t="s">
        <v>42</v>
      </c>
      <c r="C5371" t="s">
        <v>127</v>
      </c>
      <c r="D5371" t="s">
        <v>128</v>
      </c>
      <c r="E5371">
        <v>2017</v>
      </c>
      <c r="F5371" s="1">
        <v>19271</v>
      </c>
      <c r="G5371">
        <v>2020</v>
      </c>
      <c r="H5371">
        <f>AVERAGEIFS(Table1[value],Table1[IndicatorCode],Table1[[#This Row],[IndicatorCode]])</f>
        <v>24902.88753799392</v>
      </c>
      <c r="I5371" cm="1">
        <f t="array" ref="I5371">_xlfn.STDEV.P(IF(Table1[IndicatorCode]=Table1[[#This Row],[IndicatorCode]],Table1[value]))</f>
        <v>26324.778297809873</v>
      </c>
      <c r="J5371">
        <f>(Table1[[#This Row],[value]] - Table1[[#This Row],[mean]]) / Table1[[#This Row],[std_dev]]</f>
        <v>-0.21393865028152859</v>
      </c>
      <c r="K5371">
        <f>AVERAGEIF(Table1[CountryCode],Table1[[#This Row],[CountryCode]],Table1[z-score])</f>
        <v>0.48103769638692301</v>
      </c>
      <c r="L5371" t="e">
        <f>VLOOKUP(Table1[[#This Row],[CountryCode]],[1]!Table1[#All],1,FALSE)</f>
        <v>#REF!</v>
      </c>
    </row>
    <row r="5372" spans="1:12" hidden="1" x14ac:dyDescent="0.3">
      <c r="A5372" t="s">
        <v>41</v>
      </c>
      <c r="B5372" t="s">
        <v>42</v>
      </c>
      <c r="C5372" t="s">
        <v>127</v>
      </c>
      <c r="D5372" t="s">
        <v>128</v>
      </c>
      <c r="E5372">
        <v>2018</v>
      </c>
      <c r="F5372" s="1">
        <v>19914</v>
      </c>
      <c r="G5372">
        <v>2020</v>
      </c>
      <c r="H5372">
        <f>AVERAGEIFS(Table1[value],Table1[IndicatorCode],Table1[[#This Row],[IndicatorCode]])</f>
        <v>24902.88753799392</v>
      </c>
      <c r="I5372" cm="1">
        <f t="array" ref="I5372">_xlfn.STDEV.P(IF(Table1[IndicatorCode]=Table1[[#This Row],[IndicatorCode]],Table1[value]))</f>
        <v>26324.778297809873</v>
      </c>
      <c r="J5372">
        <f>(Table1[[#This Row],[value]] - Table1[[#This Row],[mean]]) / Table1[[#This Row],[std_dev]]</f>
        <v>-0.189512993482987</v>
      </c>
      <c r="K5372">
        <f>AVERAGEIF(Table1[CountryCode],Table1[[#This Row],[CountryCode]],Table1[z-score])</f>
        <v>0.48103769638692301</v>
      </c>
      <c r="L5372" t="e">
        <f>VLOOKUP(Table1[[#This Row],[CountryCode]],[1]!Table1[#All],1,FALSE)</f>
        <v>#REF!</v>
      </c>
    </row>
    <row r="5373" spans="1:12" hidden="1" x14ac:dyDescent="0.3">
      <c r="A5373" t="s">
        <v>41</v>
      </c>
      <c r="B5373" t="s">
        <v>42</v>
      </c>
      <c r="C5373" t="s">
        <v>127</v>
      </c>
      <c r="D5373" t="s">
        <v>128</v>
      </c>
      <c r="E5373">
        <v>2019</v>
      </c>
      <c r="F5373" s="1">
        <v>20580</v>
      </c>
      <c r="G5373">
        <v>2020</v>
      </c>
      <c r="H5373">
        <f>AVERAGEIFS(Table1[value],Table1[IndicatorCode],Table1[[#This Row],[IndicatorCode]])</f>
        <v>24902.88753799392</v>
      </c>
      <c r="I5373" cm="1">
        <f t="array" ref="I5373">_xlfn.STDEV.P(IF(Table1[IndicatorCode]=Table1[[#This Row],[IndicatorCode]],Table1[value]))</f>
        <v>26324.778297809873</v>
      </c>
      <c r="J5373">
        <f>(Table1[[#This Row],[value]] - Table1[[#This Row],[mean]]) / Table1[[#This Row],[std_dev]]</f>
        <v>-0.16421363511933426</v>
      </c>
      <c r="K5373">
        <f>AVERAGEIF(Table1[CountryCode],Table1[[#This Row],[CountryCode]],Table1[z-score])</f>
        <v>0.48103769638692301</v>
      </c>
      <c r="L5373" t="e">
        <f>VLOOKUP(Table1[[#This Row],[CountryCode]],[1]!Table1[#All],1,FALSE)</f>
        <v>#REF!</v>
      </c>
    </row>
    <row r="5374" spans="1:12" x14ac:dyDescent="0.3">
      <c r="A5374" t="s">
        <v>21</v>
      </c>
      <c r="B5374" t="s">
        <v>22</v>
      </c>
      <c r="C5374" t="s">
        <v>127</v>
      </c>
      <c r="D5374" t="s">
        <v>128</v>
      </c>
      <c r="E5374">
        <v>2020</v>
      </c>
      <c r="F5374" s="1">
        <v>8440</v>
      </c>
      <c r="G5374">
        <v>2020</v>
      </c>
      <c r="H5374">
        <f>AVERAGEIFS(Table1[value],Table1[IndicatorCode],Table1[[#This Row],[IndicatorCode]])</f>
        <v>24902.88753799392</v>
      </c>
      <c r="I5374" cm="1">
        <f t="array" ref="I5374">_xlfn.STDEV.P(IF(Table1[IndicatorCode]=Table1[[#This Row],[IndicatorCode]],Table1[value]))</f>
        <v>26324.778297809873</v>
      </c>
      <c r="J5374">
        <f>(Table1[[#This Row],[value]] - Table1[[#This Row],[mean]]) / Table1[[#This Row],[std_dev]]</f>
        <v>-0.62537611339973087</v>
      </c>
      <c r="K5374">
        <f>AVERAGEIF(Table1[CountryCode],Table1[[#This Row],[CountryCode]],Table1[z-score])</f>
        <v>-0.76001533806857513</v>
      </c>
    </row>
    <row r="5375" spans="1:12" hidden="1" x14ac:dyDescent="0.3">
      <c r="A5375" t="s">
        <v>41</v>
      </c>
      <c r="B5375" t="s">
        <v>42</v>
      </c>
      <c r="C5375" t="s">
        <v>127</v>
      </c>
      <c r="D5375" t="s">
        <v>128</v>
      </c>
      <c r="E5375">
        <v>2021</v>
      </c>
      <c r="F5375" s="1">
        <v>21571</v>
      </c>
      <c r="G5375">
        <v>2020</v>
      </c>
      <c r="H5375">
        <f>AVERAGEIFS(Table1[value],Table1[IndicatorCode],Table1[[#This Row],[IndicatorCode]])</f>
        <v>24902.88753799392</v>
      </c>
      <c r="I5375" cm="1">
        <f t="array" ref="I5375">_xlfn.STDEV.P(IF(Table1[IndicatorCode]=Table1[[#This Row],[IndicatorCode]],Table1[value]))</f>
        <v>26324.778297809873</v>
      </c>
      <c r="J5375">
        <f>(Table1[[#This Row],[value]] - Table1[[#This Row],[mean]]) / Table1[[#This Row],[std_dev]]</f>
        <v>-0.12656849377041557</v>
      </c>
      <c r="K5375">
        <f>AVERAGEIF(Table1[CountryCode],Table1[[#This Row],[CountryCode]],Table1[z-score])</f>
        <v>0.48103769638692301</v>
      </c>
      <c r="L5375" t="e">
        <f>VLOOKUP(Table1[[#This Row],[CountryCode]],[1]!Table1[#All],1,FALSE)</f>
        <v>#REF!</v>
      </c>
    </row>
    <row r="5376" spans="1:12" hidden="1" x14ac:dyDescent="0.3">
      <c r="A5376" t="s">
        <v>41</v>
      </c>
      <c r="B5376" t="s">
        <v>42</v>
      </c>
      <c r="C5376" t="s">
        <v>127</v>
      </c>
      <c r="D5376" t="s">
        <v>128</v>
      </c>
      <c r="E5376">
        <v>2022</v>
      </c>
      <c r="F5376" s="1">
        <v>21023</v>
      </c>
      <c r="G5376">
        <v>1960</v>
      </c>
      <c r="H5376">
        <f>AVERAGEIFS(Table1[value],Table1[IndicatorCode],Table1[[#This Row],[IndicatorCode]])</f>
        <v>24902.88753799392</v>
      </c>
      <c r="I5376" cm="1">
        <f t="array" ref="I5376">_xlfn.STDEV.P(IF(Table1[IndicatorCode]=Table1[[#This Row],[IndicatorCode]],Table1[value]))</f>
        <v>26324.778297809873</v>
      </c>
      <c r="J5376">
        <f>(Table1[[#This Row],[value]] - Table1[[#This Row],[mean]]) / Table1[[#This Row],[std_dev]]</f>
        <v>-0.14738538323480249</v>
      </c>
      <c r="K5376">
        <f>AVERAGEIF(Table1[CountryCode],Table1[[#This Row],[CountryCode]],Table1[z-score])</f>
        <v>0.48103769638692301</v>
      </c>
      <c r="L5376" t="e">
        <f>VLOOKUP(Table1[[#This Row],[CountryCode]],[1]!Table1[#All],1,FALSE)</f>
        <v>#REF!</v>
      </c>
    </row>
    <row r="5377" spans="1:12" hidden="1" x14ac:dyDescent="0.3">
      <c r="A5377" t="s">
        <v>41</v>
      </c>
      <c r="B5377" t="s">
        <v>42</v>
      </c>
      <c r="C5377" t="s">
        <v>127</v>
      </c>
      <c r="D5377" t="s">
        <v>128</v>
      </c>
      <c r="E5377">
        <v>2023</v>
      </c>
      <c r="F5377" s="1">
        <v>20126</v>
      </c>
      <c r="G5377">
        <v>1960</v>
      </c>
      <c r="H5377">
        <f>AVERAGEIFS(Table1[value],Table1[IndicatorCode],Table1[[#This Row],[IndicatorCode]])</f>
        <v>24902.88753799392</v>
      </c>
      <c r="I5377" cm="1">
        <f t="array" ref="I5377">_xlfn.STDEV.P(IF(Table1[IndicatorCode]=Table1[[#This Row],[IndicatorCode]],Table1[value]))</f>
        <v>26324.778297809873</v>
      </c>
      <c r="J5377">
        <f>(Table1[[#This Row],[value]] - Table1[[#This Row],[mean]]) / Table1[[#This Row],[std_dev]]</f>
        <v>-0.18145974427413658</v>
      </c>
      <c r="K5377">
        <f>AVERAGEIF(Table1[CountryCode],Table1[[#This Row],[CountryCode]],Table1[z-score])</f>
        <v>0.48103769638692301</v>
      </c>
      <c r="L5377" t="e">
        <f>VLOOKUP(Table1[[#This Row],[CountryCode]],[1]!Table1[#All],1,FALSE)</f>
        <v>#REF!</v>
      </c>
    </row>
    <row r="5378" spans="1:12" hidden="1" x14ac:dyDescent="0.3">
      <c r="A5378" t="s">
        <v>41</v>
      </c>
      <c r="B5378" t="s">
        <v>42</v>
      </c>
      <c r="C5378" t="s">
        <v>127</v>
      </c>
      <c r="D5378" t="s">
        <v>128</v>
      </c>
      <c r="E5378">
        <v>2024</v>
      </c>
      <c r="F5378" s="1">
        <v>20078</v>
      </c>
      <c r="G5378">
        <v>1960</v>
      </c>
      <c r="H5378">
        <f>AVERAGEIFS(Table1[value],Table1[IndicatorCode],Table1[[#This Row],[IndicatorCode]])</f>
        <v>24902.88753799392</v>
      </c>
      <c r="I5378" cm="1">
        <f t="array" ref="I5378">_xlfn.STDEV.P(IF(Table1[IndicatorCode]=Table1[[#This Row],[IndicatorCode]],Table1[value]))</f>
        <v>26324.778297809873</v>
      </c>
      <c r="J5378">
        <f>(Table1[[#This Row],[value]] - Table1[[#This Row],[mean]]) / Table1[[#This Row],[std_dev]]</f>
        <v>-0.18328312145349893</v>
      </c>
      <c r="K5378">
        <f>AVERAGEIF(Table1[CountryCode],Table1[[#This Row],[CountryCode]],Table1[z-score])</f>
        <v>0.48103769638692301</v>
      </c>
      <c r="L5378" t="e">
        <f>VLOOKUP(Table1[[#This Row],[CountryCode]],[1]!Table1[#All],1,FALSE)</f>
        <v>#REF!</v>
      </c>
    </row>
    <row r="5379" spans="1:12" hidden="1" x14ac:dyDescent="0.3">
      <c r="A5379" t="s">
        <v>43</v>
      </c>
      <c r="B5379" t="s">
        <v>44</v>
      </c>
      <c r="C5379" t="s">
        <v>127</v>
      </c>
      <c r="D5379" t="s">
        <v>128</v>
      </c>
      <c r="E5379">
        <v>1960</v>
      </c>
      <c r="F5379" s="1">
        <v>11154</v>
      </c>
      <c r="G5379">
        <v>1960</v>
      </c>
      <c r="H5379">
        <f>AVERAGEIFS(Table1[value],Table1[IndicatorCode],Table1[[#This Row],[IndicatorCode]])</f>
        <v>24902.88753799392</v>
      </c>
      <c r="I5379" cm="1">
        <f t="array" ref="I5379">_xlfn.STDEV.P(IF(Table1[IndicatorCode]=Table1[[#This Row],[IndicatorCode]],Table1[value]))</f>
        <v>26324.778297809873</v>
      </c>
      <c r="J5379">
        <f>(Table1[[#This Row],[value]] - Table1[[#This Row],[mean]]) / Table1[[#This Row],[std_dev]]</f>
        <v>-0.52227932871661742</v>
      </c>
      <c r="K5379">
        <f>AVERAGEIF(Table1[CountryCode],Table1[[#This Row],[CountryCode]],Table1[z-score])</f>
        <v>0.36646997985615637</v>
      </c>
      <c r="L5379" t="e">
        <f>VLOOKUP(Table1[[#This Row],[CountryCode]],[1]!Table1[#All],1,FALSE)</f>
        <v>#REF!</v>
      </c>
    </row>
    <row r="5380" spans="1:12" hidden="1" x14ac:dyDescent="0.3">
      <c r="A5380" t="s">
        <v>43</v>
      </c>
      <c r="B5380" t="s">
        <v>44</v>
      </c>
      <c r="C5380" t="s">
        <v>127</v>
      </c>
      <c r="D5380" t="s">
        <v>128</v>
      </c>
      <c r="E5380">
        <v>1961</v>
      </c>
      <c r="F5380" s="1">
        <v>11918</v>
      </c>
      <c r="G5380">
        <v>1960</v>
      </c>
      <c r="H5380">
        <f>AVERAGEIFS(Table1[value],Table1[IndicatorCode],Table1[[#This Row],[IndicatorCode]])</f>
        <v>24902.88753799392</v>
      </c>
      <c r="I5380" cm="1">
        <f t="array" ref="I5380">_xlfn.STDEV.P(IF(Table1[IndicatorCode]=Table1[[#This Row],[IndicatorCode]],Table1[value]))</f>
        <v>26324.778297809873</v>
      </c>
      <c r="J5380">
        <f>(Table1[[#This Row],[value]] - Table1[[#This Row],[mean]]) / Table1[[#This Row],[std_dev]]</f>
        <v>-0.4932572419450999</v>
      </c>
      <c r="K5380">
        <f>AVERAGEIF(Table1[CountryCode],Table1[[#This Row],[CountryCode]],Table1[z-score])</f>
        <v>0.36646997985615637</v>
      </c>
      <c r="L5380" t="e">
        <f>VLOOKUP(Table1[[#This Row],[CountryCode]],[1]!Table1[#All],1,FALSE)</f>
        <v>#REF!</v>
      </c>
    </row>
    <row r="5381" spans="1:12" hidden="1" x14ac:dyDescent="0.3">
      <c r="A5381" t="s">
        <v>43</v>
      </c>
      <c r="B5381" t="s">
        <v>44</v>
      </c>
      <c r="C5381" t="s">
        <v>127</v>
      </c>
      <c r="D5381" t="s">
        <v>128</v>
      </c>
      <c r="E5381">
        <v>1962</v>
      </c>
      <c r="F5381" s="1">
        <v>12190</v>
      </c>
      <c r="G5381">
        <v>1960</v>
      </c>
      <c r="H5381">
        <f>AVERAGEIFS(Table1[value],Table1[IndicatorCode],Table1[[#This Row],[IndicatorCode]])</f>
        <v>24902.88753799392</v>
      </c>
      <c r="I5381" cm="1">
        <f t="array" ref="I5381">_xlfn.STDEV.P(IF(Table1[IndicatorCode]=Table1[[#This Row],[IndicatorCode]],Table1[value]))</f>
        <v>26324.778297809873</v>
      </c>
      <c r="J5381">
        <f>(Table1[[#This Row],[value]] - Table1[[#This Row],[mean]]) / Table1[[#This Row],[std_dev]]</f>
        <v>-0.48292477126204653</v>
      </c>
      <c r="K5381">
        <f>AVERAGEIF(Table1[CountryCode],Table1[[#This Row],[CountryCode]],Table1[z-score])</f>
        <v>0.36646997985615637</v>
      </c>
      <c r="L5381" t="e">
        <f>VLOOKUP(Table1[[#This Row],[CountryCode]],[1]!Table1[#All],1,FALSE)</f>
        <v>#REF!</v>
      </c>
    </row>
    <row r="5382" spans="1:12" hidden="1" x14ac:dyDescent="0.3">
      <c r="A5382" t="s">
        <v>43</v>
      </c>
      <c r="B5382" t="s">
        <v>44</v>
      </c>
      <c r="C5382" t="s">
        <v>127</v>
      </c>
      <c r="D5382" t="s">
        <v>128</v>
      </c>
      <c r="E5382">
        <v>1963</v>
      </c>
      <c r="F5382" s="1">
        <v>12502</v>
      </c>
      <c r="G5382">
        <v>1960</v>
      </c>
      <c r="H5382">
        <f>AVERAGEIFS(Table1[value],Table1[IndicatorCode],Table1[[#This Row],[IndicatorCode]])</f>
        <v>24902.88753799392</v>
      </c>
      <c r="I5382" cm="1">
        <f t="array" ref="I5382">_xlfn.STDEV.P(IF(Table1[IndicatorCode]=Table1[[#This Row],[IndicatorCode]],Table1[value]))</f>
        <v>26324.778297809873</v>
      </c>
      <c r="J5382">
        <f>(Table1[[#This Row],[value]] - Table1[[#This Row],[mean]]) / Table1[[#This Row],[std_dev]]</f>
        <v>-0.47107281959619124</v>
      </c>
      <c r="K5382">
        <f>AVERAGEIF(Table1[CountryCode],Table1[[#This Row],[CountryCode]],Table1[z-score])</f>
        <v>0.36646997985615637</v>
      </c>
      <c r="L5382" t="e">
        <f>VLOOKUP(Table1[[#This Row],[CountryCode]],[1]!Table1[#All],1,FALSE)</f>
        <v>#REF!</v>
      </c>
    </row>
    <row r="5383" spans="1:12" hidden="1" x14ac:dyDescent="0.3">
      <c r="A5383" t="s">
        <v>43</v>
      </c>
      <c r="B5383" t="s">
        <v>44</v>
      </c>
      <c r="C5383" t="s">
        <v>127</v>
      </c>
      <c r="D5383" t="s">
        <v>128</v>
      </c>
      <c r="E5383">
        <v>1964</v>
      </c>
      <c r="F5383" s="1">
        <v>13083</v>
      </c>
      <c r="G5383">
        <v>1960</v>
      </c>
      <c r="H5383">
        <f>AVERAGEIFS(Table1[value],Table1[IndicatorCode],Table1[[#This Row],[IndicatorCode]])</f>
        <v>24902.88753799392</v>
      </c>
      <c r="I5383" cm="1">
        <f t="array" ref="I5383">_xlfn.STDEV.P(IF(Table1[IndicatorCode]=Table1[[#This Row],[IndicatorCode]],Table1[value]))</f>
        <v>26324.778297809873</v>
      </c>
      <c r="J5383">
        <f>(Table1[[#This Row],[value]] - Table1[[#This Row],[mean]]) / Table1[[#This Row],[std_dev]]</f>
        <v>-0.44900235832099267</v>
      </c>
      <c r="K5383">
        <f>AVERAGEIF(Table1[CountryCode],Table1[[#This Row],[CountryCode]],Table1[z-score])</f>
        <v>0.36646997985615637</v>
      </c>
      <c r="L5383" t="e">
        <f>VLOOKUP(Table1[[#This Row],[CountryCode]],[1]!Table1[#All],1,FALSE)</f>
        <v>#REF!</v>
      </c>
    </row>
    <row r="5384" spans="1:12" hidden="1" x14ac:dyDescent="0.3">
      <c r="A5384" t="s">
        <v>43</v>
      </c>
      <c r="B5384" t="s">
        <v>44</v>
      </c>
      <c r="C5384" t="s">
        <v>127</v>
      </c>
      <c r="D5384" t="s">
        <v>128</v>
      </c>
      <c r="E5384">
        <v>1965</v>
      </c>
      <c r="F5384" s="1">
        <v>13731</v>
      </c>
      <c r="G5384">
        <v>1960</v>
      </c>
      <c r="H5384">
        <f>AVERAGEIFS(Table1[value],Table1[IndicatorCode],Table1[[#This Row],[IndicatorCode]])</f>
        <v>24902.88753799392</v>
      </c>
      <c r="I5384" cm="1">
        <f t="array" ref="I5384">_xlfn.STDEV.P(IF(Table1[IndicatorCode]=Table1[[#This Row],[IndicatorCode]],Table1[value]))</f>
        <v>26324.778297809873</v>
      </c>
      <c r="J5384">
        <f>(Table1[[#This Row],[value]] - Table1[[#This Row],[mean]]) / Table1[[#This Row],[std_dev]]</f>
        <v>-0.42438676639960082</v>
      </c>
      <c r="K5384">
        <f>AVERAGEIF(Table1[CountryCode],Table1[[#This Row],[CountryCode]],Table1[z-score])</f>
        <v>0.36646997985615637</v>
      </c>
      <c r="L5384" t="e">
        <f>VLOOKUP(Table1[[#This Row],[CountryCode]],[1]!Table1[#All],1,FALSE)</f>
        <v>#REF!</v>
      </c>
    </row>
    <row r="5385" spans="1:12" hidden="1" x14ac:dyDescent="0.3">
      <c r="A5385" t="s">
        <v>43</v>
      </c>
      <c r="B5385" t="s">
        <v>44</v>
      </c>
      <c r="C5385" t="s">
        <v>127</v>
      </c>
      <c r="D5385" t="s">
        <v>128</v>
      </c>
      <c r="E5385">
        <v>1966</v>
      </c>
      <c r="F5385" s="1">
        <v>14005</v>
      </c>
      <c r="G5385">
        <v>1960</v>
      </c>
      <c r="H5385">
        <f>AVERAGEIFS(Table1[value],Table1[IndicatorCode],Table1[[#This Row],[IndicatorCode]])</f>
        <v>24902.88753799392</v>
      </c>
      <c r="I5385" cm="1">
        <f t="array" ref="I5385">_xlfn.STDEV.P(IF(Table1[IndicatorCode]=Table1[[#This Row],[IndicatorCode]],Table1[value]))</f>
        <v>26324.778297809873</v>
      </c>
      <c r="J5385">
        <f>(Table1[[#This Row],[value]] - Table1[[#This Row],[mean]]) / Table1[[#This Row],[std_dev]]</f>
        <v>-0.41397832166740733</v>
      </c>
      <c r="K5385">
        <f>AVERAGEIF(Table1[CountryCode],Table1[[#This Row],[CountryCode]],Table1[z-score])</f>
        <v>0.36646997985615637</v>
      </c>
      <c r="L5385" t="e">
        <f>VLOOKUP(Table1[[#This Row],[CountryCode]],[1]!Table1[#All],1,FALSE)</f>
        <v>#REF!</v>
      </c>
    </row>
    <row r="5386" spans="1:12" hidden="1" x14ac:dyDescent="0.3">
      <c r="A5386" t="s">
        <v>43</v>
      </c>
      <c r="B5386" t="s">
        <v>44</v>
      </c>
      <c r="C5386" t="s">
        <v>127</v>
      </c>
      <c r="D5386" t="s">
        <v>128</v>
      </c>
      <c r="E5386">
        <v>1967</v>
      </c>
      <c r="F5386" s="1">
        <v>14231</v>
      </c>
      <c r="G5386">
        <v>1970</v>
      </c>
      <c r="H5386">
        <f>AVERAGEIFS(Table1[value],Table1[IndicatorCode],Table1[[#This Row],[IndicatorCode]])</f>
        <v>24902.88753799392</v>
      </c>
      <c r="I5386" cm="1">
        <f t="array" ref="I5386">_xlfn.STDEV.P(IF(Table1[IndicatorCode]=Table1[[#This Row],[IndicatorCode]],Table1[value]))</f>
        <v>26324.778297809873</v>
      </c>
      <c r="J5386">
        <f>(Table1[[#This Row],[value]] - Table1[[#This Row],[mean]]) / Table1[[#This Row],[std_dev]]</f>
        <v>-0.40539325411457627</v>
      </c>
      <c r="K5386">
        <f>AVERAGEIF(Table1[CountryCode],Table1[[#This Row],[CountryCode]],Table1[z-score])</f>
        <v>0.36646997985615637</v>
      </c>
      <c r="L5386" t="e">
        <f>VLOOKUP(Table1[[#This Row],[CountryCode]],[1]!Table1[#All],1,FALSE)</f>
        <v>#REF!</v>
      </c>
    </row>
    <row r="5387" spans="1:12" hidden="1" x14ac:dyDescent="0.3">
      <c r="A5387" t="s">
        <v>43</v>
      </c>
      <c r="B5387" t="s">
        <v>44</v>
      </c>
      <c r="C5387" t="s">
        <v>127</v>
      </c>
      <c r="D5387" t="s">
        <v>128</v>
      </c>
      <c r="E5387">
        <v>1968</v>
      </c>
      <c r="F5387" s="1">
        <v>14494</v>
      </c>
      <c r="G5387">
        <v>1970</v>
      </c>
      <c r="H5387">
        <f>AVERAGEIFS(Table1[value],Table1[IndicatorCode],Table1[[#This Row],[IndicatorCode]])</f>
        <v>24902.88753799392</v>
      </c>
      <c r="I5387" cm="1">
        <f t="array" ref="I5387">_xlfn.STDEV.P(IF(Table1[IndicatorCode]=Table1[[#This Row],[IndicatorCode]],Table1[value]))</f>
        <v>26324.778297809873</v>
      </c>
      <c r="J5387">
        <f>(Table1[[#This Row],[value]] - Table1[[#This Row],[mean]]) / Table1[[#This Row],[std_dev]]</f>
        <v>-0.39540266665265333</v>
      </c>
      <c r="K5387">
        <f>AVERAGEIF(Table1[CountryCode],Table1[[#This Row],[CountryCode]],Table1[z-score])</f>
        <v>0.36646997985615637</v>
      </c>
      <c r="L5387" t="e">
        <f>VLOOKUP(Table1[[#This Row],[CountryCode]],[1]!Table1[#All],1,FALSE)</f>
        <v>#REF!</v>
      </c>
    </row>
    <row r="5388" spans="1:12" hidden="1" x14ac:dyDescent="0.3">
      <c r="A5388" t="s">
        <v>43</v>
      </c>
      <c r="B5388" t="s">
        <v>44</v>
      </c>
      <c r="C5388" t="s">
        <v>127</v>
      </c>
      <c r="D5388" t="s">
        <v>128</v>
      </c>
      <c r="E5388">
        <v>1969</v>
      </c>
      <c r="F5388" s="1">
        <v>15893</v>
      </c>
      <c r="G5388">
        <v>1970</v>
      </c>
      <c r="H5388">
        <f>AVERAGEIFS(Table1[value],Table1[IndicatorCode],Table1[[#This Row],[IndicatorCode]])</f>
        <v>24902.88753799392</v>
      </c>
      <c r="I5388" cm="1">
        <f t="array" ref="I5388">_xlfn.STDEV.P(IF(Table1[IndicatorCode]=Table1[[#This Row],[IndicatorCode]],Table1[value]))</f>
        <v>26324.778297809873</v>
      </c>
      <c r="J5388">
        <f>(Table1[[#This Row],[value]] - Table1[[#This Row],[mean]]) / Table1[[#This Row],[std_dev]]</f>
        <v>-0.34225881927915458</v>
      </c>
      <c r="K5388">
        <f>AVERAGEIF(Table1[CountryCode],Table1[[#This Row],[CountryCode]],Table1[z-score])</f>
        <v>0.36646997985615637</v>
      </c>
      <c r="L5388" t="e">
        <f>VLOOKUP(Table1[[#This Row],[CountryCode]],[1]!Table1[#All],1,FALSE)</f>
        <v>#REF!</v>
      </c>
    </row>
    <row r="5389" spans="1:12" hidden="1" x14ac:dyDescent="0.3">
      <c r="A5389" t="s">
        <v>43</v>
      </c>
      <c r="B5389" t="s">
        <v>44</v>
      </c>
      <c r="C5389" t="s">
        <v>127</v>
      </c>
      <c r="D5389" t="s">
        <v>128</v>
      </c>
      <c r="E5389">
        <v>1970</v>
      </c>
      <c r="F5389" s="1">
        <v>17145</v>
      </c>
      <c r="G5389">
        <v>1970</v>
      </c>
      <c r="H5389">
        <f>AVERAGEIFS(Table1[value],Table1[IndicatorCode],Table1[[#This Row],[IndicatorCode]])</f>
        <v>24902.88753799392</v>
      </c>
      <c r="I5389" cm="1">
        <f t="array" ref="I5389">_xlfn.STDEV.P(IF(Table1[IndicatorCode]=Table1[[#This Row],[IndicatorCode]],Table1[value]))</f>
        <v>26324.778297809873</v>
      </c>
      <c r="J5389">
        <f>(Table1[[#This Row],[value]] - Table1[[#This Row],[mean]]) / Table1[[#This Row],[std_dev]]</f>
        <v>-0.29469906451745304</v>
      </c>
      <c r="K5389">
        <f>AVERAGEIF(Table1[CountryCode],Table1[[#This Row],[CountryCode]],Table1[z-score])</f>
        <v>0.36646997985615637</v>
      </c>
      <c r="L5389" t="e">
        <f>VLOOKUP(Table1[[#This Row],[CountryCode]],[1]!Table1[#All],1,FALSE)</f>
        <v>#REF!</v>
      </c>
    </row>
    <row r="5390" spans="1:12" hidden="1" x14ac:dyDescent="0.3">
      <c r="A5390" t="s">
        <v>43</v>
      </c>
      <c r="B5390" t="s">
        <v>44</v>
      </c>
      <c r="C5390" t="s">
        <v>127</v>
      </c>
      <c r="D5390" t="s">
        <v>128</v>
      </c>
      <c r="E5390">
        <v>1971</v>
      </c>
      <c r="F5390" s="1">
        <v>17527</v>
      </c>
      <c r="G5390">
        <v>1970</v>
      </c>
      <c r="H5390">
        <f>AVERAGEIFS(Table1[value],Table1[IndicatorCode],Table1[[#This Row],[IndicatorCode]])</f>
        <v>24902.88753799392</v>
      </c>
      <c r="I5390" cm="1">
        <f t="array" ref="I5390">_xlfn.STDEV.P(IF(Table1[IndicatorCode]=Table1[[#This Row],[IndicatorCode]],Table1[value]))</f>
        <v>26324.778297809873</v>
      </c>
      <c r="J5390">
        <f>(Table1[[#This Row],[value]] - Table1[[#This Row],[mean]]) / Table1[[#This Row],[std_dev]]</f>
        <v>-0.28018802113169428</v>
      </c>
      <c r="K5390">
        <f>AVERAGEIF(Table1[CountryCode],Table1[[#This Row],[CountryCode]],Table1[z-score])</f>
        <v>0.36646997985615637</v>
      </c>
      <c r="L5390" t="e">
        <f>VLOOKUP(Table1[[#This Row],[CountryCode]],[1]!Table1[#All],1,FALSE)</f>
        <v>#REF!</v>
      </c>
    </row>
    <row r="5391" spans="1:12" hidden="1" x14ac:dyDescent="0.3">
      <c r="A5391" t="s">
        <v>43</v>
      </c>
      <c r="B5391" t="s">
        <v>44</v>
      </c>
      <c r="C5391" t="s">
        <v>127</v>
      </c>
      <c r="D5391" t="s">
        <v>128</v>
      </c>
      <c r="E5391">
        <v>1972</v>
      </c>
      <c r="F5391" s="1">
        <v>18771</v>
      </c>
      <c r="G5391">
        <v>1970</v>
      </c>
      <c r="H5391">
        <f>AVERAGEIFS(Table1[value],Table1[IndicatorCode],Table1[[#This Row],[IndicatorCode]])</f>
        <v>24902.88753799392</v>
      </c>
      <c r="I5391" cm="1">
        <f t="array" ref="I5391">_xlfn.STDEV.P(IF(Table1[IndicatorCode]=Table1[[#This Row],[IndicatorCode]],Table1[value]))</f>
        <v>26324.778297809873</v>
      </c>
      <c r="J5391">
        <f>(Table1[[#This Row],[value]] - Table1[[#This Row],[mean]]) / Table1[[#This Row],[std_dev]]</f>
        <v>-0.23293216256655316</v>
      </c>
      <c r="K5391">
        <f>AVERAGEIF(Table1[CountryCode],Table1[[#This Row],[CountryCode]],Table1[z-score])</f>
        <v>0.36646997985615637</v>
      </c>
      <c r="L5391" t="e">
        <f>VLOOKUP(Table1[[#This Row],[CountryCode]],[1]!Table1[#All],1,FALSE)</f>
        <v>#REF!</v>
      </c>
    </row>
    <row r="5392" spans="1:12" hidden="1" x14ac:dyDescent="0.3">
      <c r="A5392" t="s">
        <v>43</v>
      </c>
      <c r="B5392" t="s">
        <v>44</v>
      </c>
      <c r="C5392" t="s">
        <v>127</v>
      </c>
      <c r="D5392" t="s">
        <v>128</v>
      </c>
      <c r="E5392">
        <v>1973</v>
      </c>
      <c r="F5392" s="1">
        <v>19968</v>
      </c>
      <c r="G5392">
        <v>1970</v>
      </c>
      <c r="H5392">
        <f>AVERAGEIFS(Table1[value],Table1[IndicatorCode],Table1[[#This Row],[IndicatorCode]])</f>
        <v>24902.88753799392</v>
      </c>
      <c r="I5392" cm="1">
        <f t="array" ref="I5392">_xlfn.STDEV.P(IF(Table1[IndicatorCode]=Table1[[#This Row],[IndicatorCode]],Table1[value]))</f>
        <v>26324.778297809873</v>
      </c>
      <c r="J5392">
        <f>(Table1[[#This Row],[value]] - Table1[[#This Row],[mean]]) / Table1[[#This Row],[std_dev]]</f>
        <v>-0.18746169415620434</v>
      </c>
      <c r="K5392">
        <f>AVERAGEIF(Table1[CountryCode],Table1[[#This Row],[CountryCode]],Table1[z-score])</f>
        <v>0.36646997985615637</v>
      </c>
      <c r="L5392" t="e">
        <f>VLOOKUP(Table1[[#This Row],[CountryCode]],[1]!Table1[#All],1,FALSE)</f>
        <v>#REF!</v>
      </c>
    </row>
    <row r="5393" spans="1:12" hidden="1" x14ac:dyDescent="0.3">
      <c r="A5393" t="s">
        <v>43</v>
      </c>
      <c r="B5393" t="s">
        <v>44</v>
      </c>
      <c r="C5393" t="s">
        <v>127</v>
      </c>
      <c r="D5393" t="s">
        <v>128</v>
      </c>
      <c r="E5393">
        <v>1974</v>
      </c>
      <c r="F5393" s="1">
        <v>20507</v>
      </c>
      <c r="G5393">
        <v>1970</v>
      </c>
      <c r="H5393">
        <f>AVERAGEIFS(Table1[value],Table1[IndicatorCode],Table1[[#This Row],[IndicatorCode]])</f>
        <v>24902.88753799392</v>
      </c>
      <c r="I5393" cm="1">
        <f t="array" ref="I5393">_xlfn.STDEV.P(IF(Table1[IndicatorCode]=Table1[[#This Row],[IndicatorCode]],Table1[value]))</f>
        <v>26324.778297809873</v>
      </c>
      <c r="J5393">
        <f>(Table1[[#This Row],[value]] - Table1[[#This Row],[mean]]) / Table1[[#This Row],[std_dev]]</f>
        <v>-0.16698668791294785</v>
      </c>
      <c r="K5393">
        <f>AVERAGEIF(Table1[CountryCode],Table1[[#This Row],[CountryCode]],Table1[z-score])</f>
        <v>0.36646997985615637</v>
      </c>
      <c r="L5393" t="e">
        <f>VLOOKUP(Table1[[#This Row],[CountryCode]],[1]!Table1[#All],1,FALSE)</f>
        <v>#REF!</v>
      </c>
    </row>
    <row r="5394" spans="1:12" hidden="1" x14ac:dyDescent="0.3">
      <c r="A5394" t="s">
        <v>43</v>
      </c>
      <c r="B5394" t="s">
        <v>44</v>
      </c>
      <c r="C5394" t="s">
        <v>127</v>
      </c>
      <c r="D5394" t="s">
        <v>128</v>
      </c>
      <c r="E5394">
        <v>1975</v>
      </c>
      <c r="F5394" s="1">
        <v>20785</v>
      </c>
      <c r="G5394">
        <v>1970</v>
      </c>
      <c r="H5394">
        <f>AVERAGEIFS(Table1[value],Table1[IndicatorCode],Table1[[#This Row],[IndicatorCode]])</f>
        <v>24902.88753799392</v>
      </c>
      <c r="I5394" cm="1">
        <f t="array" ref="I5394">_xlfn.STDEV.P(IF(Table1[IndicatorCode]=Table1[[#This Row],[IndicatorCode]],Table1[value]))</f>
        <v>26324.778297809873</v>
      </c>
      <c r="J5394">
        <f>(Table1[[#This Row],[value]] - Table1[[#This Row],[mean]]) / Table1[[#This Row],[std_dev]]</f>
        <v>-0.15642629508247419</v>
      </c>
      <c r="K5394">
        <f>AVERAGEIF(Table1[CountryCode],Table1[[#This Row],[CountryCode]],Table1[z-score])</f>
        <v>0.36646997985615637</v>
      </c>
      <c r="L5394" t="e">
        <f>VLOOKUP(Table1[[#This Row],[CountryCode]],[1]!Table1[#All],1,FALSE)</f>
        <v>#REF!</v>
      </c>
    </row>
    <row r="5395" spans="1:12" hidden="1" x14ac:dyDescent="0.3">
      <c r="A5395" t="s">
        <v>43</v>
      </c>
      <c r="B5395" t="s">
        <v>44</v>
      </c>
      <c r="C5395" t="s">
        <v>127</v>
      </c>
      <c r="D5395" t="s">
        <v>128</v>
      </c>
      <c r="E5395">
        <v>1976</v>
      </c>
      <c r="F5395" s="1">
        <v>20793</v>
      </c>
      <c r="G5395">
        <v>1970</v>
      </c>
      <c r="H5395">
        <f>AVERAGEIFS(Table1[value],Table1[IndicatorCode],Table1[[#This Row],[IndicatorCode]])</f>
        <v>24902.88753799392</v>
      </c>
      <c r="I5395" cm="1">
        <f t="array" ref="I5395">_xlfn.STDEV.P(IF(Table1[IndicatorCode]=Table1[[#This Row],[IndicatorCode]],Table1[value]))</f>
        <v>26324.778297809873</v>
      </c>
      <c r="J5395">
        <f>(Table1[[#This Row],[value]] - Table1[[#This Row],[mean]]) / Table1[[#This Row],[std_dev]]</f>
        <v>-0.15612239888591381</v>
      </c>
      <c r="K5395">
        <f>AVERAGEIF(Table1[CountryCode],Table1[[#This Row],[CountryCode]],Table1[z-score])</f>
        <v>0.36646997985615637</v>
      </c>
      <c r="L5395" t="e">
        <f>VLOOKUP(Table1[[#This Row],[CountryCode]],[1]!Table1[#All],1,FALSE)</f>
        <v>#REF!</v>
      </c>
    </row>
    <row r="5396" spans="1:12" hidden="1" x14ac:dyDescent="0.3">
      <c r="A5396" t="s">
        <v>43</v>
      </c>
      <c r="B5396" t="s">
        <v>44</v>
      </c>
      <c r="C5396" t="s">
        <v>127</v>
      </c>
      <c r="D5396" t="s">
        <v>128</v>
      </c>
      <c r="E5396">
        <v>1977</v>
      </c>
      <c r="F5396" s="1">
        <v>20785</v>
      </c>
      <c r="G5396">
        <v>1980</v>
      </c>
      <c r="H5396">
        <f>AVERAGEIFS(Table1[value],Table1[IndicatorCode],Table1[[#This Row],[IndicatorCode]])</f>
        <v>24902.88753799392</v>
      </c>
      <c r="I5396" cm="1">
        <f t="array" ref="I5396">_xlfn.STDEV.P(IF(Table1[IndicatorCode]=Table1[[#This Row],[IndicatorCode]],Table1[value]))</f>
        <v>26324.778297809873</v>
      </c>
      <c r="J5396">
        <f>(Table1[[#This Row],[value]] - Table1[[#This Row],[mean]]) / Table1[[#This Row],[std_dev]]</f>
        <v>-0.15642629508247419</v>
      </c>
      <c r="K5396">
        <f>AVERAGEIF(Table1[CountryCode],Table1[[#This Row],[CountryCode]],Table1[z-score])</f>
        <v>0.36646997985615637</v>
      </c>
      <c r="L5396" t="e">
        <f>VLOOKUP(Table1[[#This Row],[CountryCode]],[1]!Table1[#All],1,FALSE)</f>
        <v>#REF!</v>
      </c>
    </row>
    <row r="5397" spans="1:12" hidden="1" x14ac:dyDescent="0.3">
      <c r="A5397" t="s">
        <v>43</v>
      </c>
      <c r="B5397" t="s">
        <v>44</v>
      </c>
      <c r="C5397" t="s">
        <v>127</v>
      </c>
      <c r="D5397" t="s">
        <v>128</v>
      </c>
      <c r="E5397">
        <v>1978</v>
      </c>
      <c r="F5397" s="1">
        <v>21331</v>
      </c>
      <c r="G5397">
        <v>1980</v>
      </c>
      <c r="H5397">
        <f>AVERAGEIFS(Table1[value],Table1[IndicatorCode],Table1[[#This Row],[IndicatorCode]])</f>
        <v>24902.88753799392</v>
      </c>
      <c r="I5397" cm="1">
        <f t="array" ref="I5397">_xlfn.STDEV.P(IF(Table1[IndicatorCode]=Table1[[#This Row],[IndicatorCode]],Table1[value]))</f>
        <v>26324.778297809873</v>
      </c>
      <c r="J5397">
        <f>(Table1[[#This Row],[value]] - Table1[[#This Row],[mean]]) / Table1[[#This Row],[std_dev]]</f>
        <v>-0.13568537966722738</v>
      </c>
      <c r="K5397">
        <f>AVERAGEIF(Table1[CountryCode],Table1[[#This Row],[CountryCode]],Table1[z-score])</f>
        <v>0.36646997985615637</v>
      </c>
      <c r="L5397" t="e">
        <f>VLOOKUP(Table1[[#This Row],[CountryCode]],[1]!Table1[#All],1,FALSE)</f>
        <v>#REF!</v>
      </c>
    </row>
    <row r="5398" spans="1:12" hidden="1" x14ac:dyDescent="0.3">
      <c r="A5398" t="s">
        <v>43</v>
      </c>
      <c r="B5398" t="s">
        <v>44</v>
      </c>
      <c r="C5398" t="s">
        <v>127</v>
      </c>
      <c r="D5398" t="s">
        <v>128</v>
      </c>
      <c r="E5398">
        <v>1979</v>
      </c>
      <c r="F5398" s="1">
        <v>22791</v>
      </c>
      <c r="G5398">
        <v>1980</v>
      </c>
      <c r="H5398">
        <f>AVERAGEIFS(Table1[value],Table1[IndicatorCode],Table1[[#This Row],[IndicatorCode]])</f>
        <v>24902.88753799392</v>
      </c>
      <c r="I5398" cm="1">
        <f t="array" ref="I5398">_xlfn.STDEV.P(IF(Table1[IndicatorCode]=Table1[[#This Row],[IndicatorCode]],Table1[value]))</f>
        <v>26324.778297809873</v>
      </c>
      <c r="J5398">
        <f>(Table1[[#This Row],[value]] - Table1[[#This Row],[mean]]) / Table1[[#This Row],[std_dev]]</f>
        <v>-8.0224323794955629E-2</v>
      </c>
      <c r="K5398">
        <f>AVERAGEIF(Table1[CountryCode],Table1[[#This Row],[CountryCode]],Table1[z-score])</f>
        <v>0.36646997985615637</v>
      </c>
      <c r="L5398" t="e">
        <f>VLOOKUP(Table1[[#This Row],[CountryCode]],[1]!Table1[#All],1,FALSE)</f>
        <v>#REF!</v>
      </c>
    </row>
    <row r="5399" spans="1:12" hidden="1" x14ac:dyDescent="0.3">
      <c r="A5399" t="s">
        <v>43</v>
      </c>
      <c r="B5399" t="s">
        <v>44</v>
      </c>
      <c r="C5399" t="s">
        <v>127</v>
      </c>
      <c r="D5399" t="s">
        <v>128</v>
      </c>
      <c r="E5399">
        <v>1980</v>
      </c>
      <c r="F5399" s="1">
        <v>23945</v>
      </c>
      <c r="G5399">
        <v>1980</v>
      </c>
      <c r="H5399">
        <f>AVERAGEIFS(Table1[value],Table1[IndicatorCode],Table1[[#This Row],[IndicatorCode]])</f>
        <v>24902.88753799392</v>
      </c>
      <c r="I5399" cm="1">
        <f t="array" ref="I5399">_xlfn.STDEV.P(IF(Table1[IndicatorCode]=Table1[[#This Row],[IndicatorCode]],Table1[value]))</f>
        <v>26324.778297809873</v>
      </c>
      <c r="J5399">
        <f>(Table1[[#This Row],[value]] - Table1[[#This Row],[mean]]) / Table1[[#This Row],[std_dev]]</f>
        <v>-3.6387297441118918E-2</v>
      </c>
      <c r="K5399">
        <f>AVERAGEIF(Table1[CountryCode],Table1[[#This Row],[CountryCode]],Table1[z-score])</f>
        <v>0.36646997985615637</v>
      </c>
      <c r="L5399" t="e">
        <f>VLOOKUP(Table1[[#This Row],[CountryCode]],[1]!Table1[#All],1,FALSE)</f>
        <v>#REF!</v>
      </c>
    </row>
    <row r="5400" spans="1:12" hidden="1" x14ac:dyDescent="0.3">
      <c r="A5400" t="s">
        <v>43</v>
      </c>
      <c r="B5400" t="s">
        <v>44</v>
      </c>
      <c r="C5400" t="s">
        <v>127</v>
      </c>
      <c r="D5400" t="s">
        <v>128</v>
      </c>
      <c r="E5400">
        <v>1981</v>
      </c>
      <c r="F5400" s="1">
        <v>24151</v>
      </c>
      <c r="G5400">
        <v>1980</v>
      </c>
      <c r="H5400">
        <f>AVERAGEIFS(Table1[value],Table1[IndicatorCode],Table1[[#This Row],[IndicatorCode]])</f>
        <v>24902.88753799392</v>
      </c>
      <c r="I5400" cm="1">
        <f t="array" ref="I5400">_xlfn.STDEV.P(IF(Table1[IndicatorCode]=Table1[[#This Row],[IndicatorCode]],Table1[value]))</f>
        <v>26324.778297809873</v>
      </c>
      <c r="J5400">
        <f>(Table1[[#This Row],[value]] - Table1[[#This Row],[mean]]) / Table1[[#This Row],[std_dev]]</f>
        <v>-2.8561970379688793E-2</v>
      </c>
      <c r="K5400">
        <f>AVERAGEIF(Table1[CountryCode],Table1[[#This Row],[CountryCode]],Table1[z-score])</f>
        <v>0.36646997985615637</v>
      </c>
      <c r="L5400" t="e">
        <f>VLOOKUP(Table1[[#This Row],[CountryCode]],[1]!Table1[#All],1,FALSE)</f>
        <v>#REF!</v>
      </c>
    </row>
    <row r="5401" spans="1:12" hidden="1" x14ac:dyDescent="0.3">
      <c r="A5401" t="s">
        <v>43</v>
      </c>
      <c r="B5401" t="s">
        <v>44</v>
      </c>
      <c r="C5401" t="s">
        <v>127</v>
      </c>
      <c r="D5401" t="s">
        <v>128</v>
      </c>
      <c r="E5401">
        <v>1982</v>
      </c>
      <c r="F5401" s="1">
        <v>24757</v>
      </c>
      <c r="G5401">
        <v>1980</v>
      </c>
      <c r="H5401">
        <f>AVERAGEIFS(Table1[value],Table1[IndicatorCode],Table1[[#This Row],[IndicatorCode]])</f>
        <v>24902.88753799392</v>
      </c>
      <c r="I5401" cm="1">
        <f t="array" ref="I5401">_xlfn.STDEV.P(IF(Table1[IndicatorCode]=Table1[[#This Row],[IndicatorCode]],Table1[value]))</f>
        <v>26324.778297809873</v>
      </c>
      <c r="J5401">
        <f>(Table1[[#This Row],[value]] - Table1[[#This Row],[mean]]) / Table1[[#This Row],[std_dev]]</f>
        <v>-5.5418334902390155E-3</v>
      </c>
      <c r="K5401">
        <f>AVERAGEIF(Table1[CountryCode],Table1[[#This Row],[CountryCode]],Table1[z-score])</f>
        <v>0.36646997985615637</v>
      </c>
      <c r="L5401" t="e">
        <f>VLOOKUP(Table1[[#This Row],[CountryCode]],[1]!Table1[#All],1,FALSE)</f>
        <v>#REF!</v>
      </c>
    </row>
    <row r="5402" spans="1:12" hidden="1" x14ac:dyDescent="0.3">
      <c r="A5402" t="s">
        <v>43</v>
      </c>
      <c r="B5402" t="s">
        <v>44</v>
      </c>
      <c r="C5402" t="s">
        <v>127</v>
      </c>
      <c r="D5402" t="s">
        <v>128</v>
      </c>
      <c r="E5402">
        <v>1983</v>
      </c>
      <c r="F5402" s="1">
        <v>25374</v>
      </c>
      <c r="G5402">
        <v>1980</v>
      </c>
      <c r="H5402">
        <f>AVERAGEIFS(Table1[value],Table1[IndicatorCode],Table1[[#This Row],[IndicatorCode]])</f>
        <v>24902.88753799392</v>
      </c>
      <c r="I5402" cm="1">
        <f t="array" ref="I5402">_xlfn.STDEV.P(IF(Table1[IndicatorCode]=Table1[[#This Row],[IndicatorCode]],Table1[value]))</f>
        <v>26324.778297809873</v>
      </c>
      <c r="J5402">
        <f>(Table1[[#This Row],[value]] - Table1[[#This Row],[mean]]) / Table1[[#This Row],[std_dev]]</f>
        <v>1.7896160669481305E-2</v>
      </c>
      <c r="K5402">
        <f>AVERAGEIF(Table1[CountryCode],Table1[[#This Row],[CountryCode]],Table1[z-score])</f>
        <v>0.36646997985615637</v>
      </c>
      <c r="L5402" t="e">
        <f>VLOOKUP(Table1[[#This Row],[CountryCode]],[1]!Table1[#All],1,FALSE)</f>
        <v>#REF!</v>
      </c>
    </row>
    <row r="5403" spans="1:12" hidden="1" x14ac:dyDescent="0.3">
      <c r="A5403" t="s">
        <v>43</v>
      </c>
      <c r="B5403" t="s">
        <v>44</v>
      </c>
      <c r="C5403" t="s">
        <v>127</v>
      </c>
      <c r="D5403" t="s">
        <v>128</v>
      </c>
      <c r="E5403">
        <v>1984</v>
      </c>
      <c r="F5403" s="1">
        <v>26053</v>
      </c>
      <c r="G5403">
        <v>1980</v>
      </c>
      <c r="H5403">
        <f>AVERAGEIFS(Table1[value],Table1[IndicatorCode],Table1[[#This Row],[IndicatorCode]])</f>
        <v>24902.88753799392</v>
      </c>
      <c r="I5403" cm="1">
        <f t="array" ref="I5403">_xlfn.STDEV.P(IF(Table1[IndicatorCode]=Table1[[#This Row],[IndicatorCode]],Table1[value]))</f>
        <v>26324.778297809873</v>
      </c>
      <c r="J5403">
        <f>(Table1[[#This Row],[value]] - Table1[[#This Row],[mean]]) / Table1[[#This Row],[std_dev]]</f>
        <v>4.3689350352544669E-2</v>
      </c>
      <c r="K5403">
        <f>AVERAGEIF(Table1[CountryCode],Table1[[#This Row],[CountryCode]],Table1[z-score])</f>
        <v>0.36646997985615637</v>
      </c>
      <c r="L5403" t="e">
        <f>VLOOKUP(Table1[[#This Row],[CountryCode]],[1]!Table1[#All],1,FALSE)</f>
        <v>#REF!</v>
      </c>
    </row>
    <row r="5404" spans="1:12" hidden="1" x14ac:dyDescent="0.3">
      <c r="A5404" t="s">
        <v>43</v>
      </c>
      <c r="B5404" t="s">
        <v>44</v>
      </c>
      <c r="C5404" t="s">
        <v>127</v>
      </c>
      <c r="D5404" t="s">
        <v>128</v>
      </c>
      <c r="E5404">
        <v>1985</v>
      </c>
      <c r="F5404" s="1">
        <v>26863</v>
      </c>
      <c r="G5404">
        <v>1980</v>
      </c>
      <c r="H5404">
        <f>AVERAGEIFS(Table1[value],Table1[IndicatorCode],Table1[[#This Row],[IndicatorCode]])</f>
        <v>24902.88753799392</v>
      </c>
      <c r="I5404" cm="1">
        <f t="array" ref="I5404">_xlfn.STDEV.P(IF(Table1[IndicatorCode]=Table1[[#This Row],[IndicatorCode]],Table1[value]))</f>
        <v>26324.778297809873</v>
      </c>
      <c r="J5404">
        <f>(Table1[[#This Row],[value]] - Table1[[#This Row],[mean]]) / Table1[[#This Row],[std_dev]]</f>
        <v>7.4458840254284467E-2</v>
      </c>
      <c r="K5404">
        <f>AVERAGEIF(Table1[CountryCode],Table1[[#This Row],[CountryCode]],Table1[z-score])</f>
        <v>0.36646997985615637</v>
      </c>
      <c r="L5404" t="e">
        <f>VLOOKUP(Table1[[#This Row],[CountryCode]],[1]!Table1[#All],1,FALSE)</f>
        <v>#REF!</v>
      </c>
    </row>
    <row r="5405" spans="1:12" hidden="1" x14ac:dyDescent="0.3">
      <c r="A5405" t="s">
        <v>43</v>
      </c>
      <c r="B5405" t="s">
        <v>44</v>
      </c>
      <c r="C5405" t="s">
        <v>127</v>
      </c>
      <c r="D5405" t="s">
        <v>128</v>
      </c>
      <c r="E5405">
        <v>1986</v>
      </c>
      <c r="F5405" s="1">
        <v>27513</v>
      </c>
      <c r="G5405">
        <v>1980</v>
      </c>
      <c r="H5405">
        <f>AVERAGEIFS(Table1[value],Table1[IndicatorCode],Table1[[#This Row],[IndicatorCode]])</f>
        <v>24902.88753799392</v>
      </c>
      <c r="I5405" cm="1">
        <f t="array" ref="I5405">_xlfn.STDEV.P(IF(Table1[IndicatorCode]=Table1[[#This Row],[IndicatorCode]],Table1[value]))</f>
        <v>26324.778297809873</v>
      </c>
      <c r="J5405">
        <f>(Table1[[#This Row],[value]] - Table1[[#This Row],[mean]]) / Table1[[#This Row],[std_dev]]</f>
        <v>9.9150406224816412E-2</v>
      </c>
      <c r="K5405">
        <f>AVERAGEIF(Table1[CountryCode],Table1[[#This Row],[CountryCode]],Table1[z-score])</f>
        <v>0.36646997985615637</v>
      </c>
      <c r="L5405" t="e">
        <f>VLOOKUP(Table1[[#This Row],[CountryCode]],[1]!Table1[#All],1,FALSE)</f>
        <v>#REF!</v>
      </c>
    </row>
    <row r="5406" spans="1:12" hidden="1" x14ac:dyDescent="0.3">
      <c r="A5406" t="s">
        <v>43</v>
      </c>
      <c r="B5406" t="s">
        <v>44</v>
      </c>
      <c r="C5406" t="s">
        <v>127</v>
      </c>
      <c r="D5406" t="s">
        <v>128</v>
      </c>
      <c r="E5406">
        <v>1987</v>
      </c>
      <c r="F5406" s="1">
        <v>28412</v>
      </c>
      <c r="G5406">
        <v>1990</v>
      </c>
      <c r="H5406">
        <f>AVERAGEIFS(Table1[value],Table1[IndicatorCode],Table1[[#This Row],[IndicatorCode]])</f>
        <v>24902.88753799392</v>
      </c>
      <c r="I5406" cm="1">
        <f t="array" ref="I5406">_xlfn.STDEV.P(IF(Table1[IndicatorCode]=Table1[[#This Row],[IndicatorCode]],Table1[value]))</f>
        <v>26324.778297809873</v>
      </c>
      <c r="J5406">
        <f>(Table1[[#This Row],[value]] - Table1[[#This Row],[mean]]) / Table1[[#This Row],[std_dev]]</f>
        <v>0.13330074131329059</v>
      </c>
      <c r="K5406">
        <f>AVERAGEIF(Table1[CountryCode],Table1[[#This Row],[CountryCode]],Table1[z-score])</f>
        <v>0.36646997985615637</v>
      </c>
      <c r="L5406" t="e">
        <f>VLOOKUP(Table1[[#This Row],[CountryCode]],[1]!Table1[#All],1,FALSE)</f>
        <v>#REF!</v>
      </c>
    </row>
    <row r="5407" spans="1:12" hidden="1" x14ac:dyDescent="0.3">
      <c r="A5407" t="s">
        <v>43</v>
      </c>
      <c r="B5407" t="s">
        <v>44</v>
      </c>
      <c r="C5407" t="s">
        <v>127</v>
      </c>
      <c r="D5407" t="s">
        <v>128</v>
      </c>
      <c r="E5407">
        <v>1988</v>
      </c>
      <c r="F5407" s="1">
        <v>29812</v>
      </c>
      <c r="G5407">
        <v>1990</v>
      </c>
      <c r="H5407">
        <f>AVERAGEIFS(Table1[value],Table1[IndicatorCode],Table1[[#This Row],[IndicatorCode]])</f>
        <v>24902.88753799392</v>
      </c>
      <c r="I5407" cm="1">
        <f t="array" ref="I5407">_xlfn.STDEV.P(IF(Table1[IndicatorCode]=Table1[[#This Row],[IndicatorCode]],Table1[value]))</f>
        <v>26324.778297809873</v>
      </c>
      <c r="J5407">
        <f>(Table1[[#This Row],[value]] - Table1[[#This Row],[mean]]) / Table1[[#This Row],[std_dev]]</f>
        <v>0.18648257571135937</v>
      </c>
      <c r="K5407">
        <f>AVERAGEIF(Table1[CountryCode],Table1[[#This Row],[CountryCode]],Table1[z-score])</f>
        <v>0.36646997985615637</v>
      </c>
      <c r="L5407" t="e">
        <f>VLOOKUP(Table1[[#This Row],[CountryCode]],[1]!Table1[#All],1,FALSE)</f>
        <v>#REF!</v>
      </c>
    </row>
    <row r="5408" spans="1:12" hidden="1" x14ac:dyDescent="0.3">
      <c r="A5408" t="s">
        <v>43</v>
      </c>
      <c r="B5408" t="s">
        <v>44</v>
      </c>
      <c r="C5408" t="s">
        <v>127</v>
      </c>
      <c r="D5408" t="s">
        <v>128</v>
      </c>
      <c r="E5408">
        <v>1989</v>
      </c>
      <c r="F5408" s="1">
        <v>31215</v>
      </c>
      <c r="G5408">
        <v>1990</v>
      </c>
      <c r="H5408">
        <f>AVERAGEIFS(Table1[value],Table1[IndicatorCode],Table1[[#This Row],[IndicatorCode]])</f>
        <v>24902.88753799392</v>
      </c>
      <c r="I5408" cm="1">
        <f t="array" ref="I5408">_xlfn.STDEV.P(IF(Table1[IndicatorCode]=Table1[[#This Row],[IndicatorCode]],Table1[value]))</f>
        <v>26324.778297809873</v>
      </c>
      <c r="J5408">
        <f>(Table1[[#This Row],[value]] - Table1[[#This Row],[mean]]) / Table1[[#This Row],[std_dev]]</f>
        <v>0.23977837118313833</v>
      </c>
      <c r="K5408">
        <f>AVERAGEIF(Table1[CountryCode],Table1[[#This Row],[CountryCode]],Table1[z-score])</f>
        <v>0.36646997985615637</v>
      </c>
      <c r="L5408" t="e">
        <f>VLOOKUP(Table1[[#This Row],[CountryCode]],[1]!Table1[#All],1,FALSE)</f>
        <v>#REF!</v>
      </c>
    </row>
    <row r="5409" spans="1:12" hidden="1" x14ac:dyDescent="0.3">
      <c r="A5409" t="s">
        <v>43</v>
      </c>
      <c r="B5409" t="s">
        <v>44</v>
      </c>
      <c r="C5409" t="s">
        <v>127</v>
      </c>
      <c r="D5409" t="s">
        <v>128</v>
      </c>
      <c r="E5409">
        <v>1990</v>
      </c>
      <c r="F5409" s="1">
        <v>31292</v>
      </c>
      <c r="G5409">
        <v>1990</v>
      </c>
      <c r="H5409">
        <f>AVERAGEIFS(Table1[value],Table1[IndicatorCode],Table1[[#This Row],[IndicatorCode]])</f>
        <v>24902.88753799392</v>
      </c>
      <c r="I5409" cm="1">
        <f t="array" ref="I5409">_xlfn.STDEV.P(IF(Table1[IndicatorCode]=Table1[[#This Row],[IndicatorCode]],Table1[value]))</f>
        <v>26324.778297809873</v>
      </c>
      <c r="J5409">
        <f>(Table1[[#This Row],[value]] - Table1[[#This Row],[mean]]) / Table1[[#This Row],[std_dev]]</f>
        <v>0.24270337207503212</v>
      </c>
      <c r="K5409">
        <f>AVERAGEIF(Table1[CountryCode],Table1[[#This Row],[CountryCode]],Table1[z-score])</f>
        <v>0.36646997985615637</v>
      </c>
      <c r="L5409" t="e">
        <f>VLOOKUP(Table1[[#This Row],[CountryCode]],[1]!Table1[#All],1,FALSE)</f>
        <v>#REF!</v>
      </c>
    </row>
    <row r="5410" spans="1:12" hidden="1" x14ac:dyDescent="0.3">
      <c r="A5410" t="s">
        <v>43</v>
      </c>
      <c r="B5410" t="s">
        <v>44</v>
      </c>
      <c r="C5410" t="s">
        <v>127</v>
      </c>
      <c r="D5410" t="s">
        <v>128</v>
      </c>
      <c r="E5410">
        <v>1991</v>
      </c>
      <c r="F5410" s="1">
        <v>29291</v>
      </c>
      <c r="G5410">
        <v>1990</v>
      </c>
      <c r="H5410">
        <f>AVERAGEIFS(Table1[value],Table1[IndicatorCode],Table1[[#This Row],[IndicatorCode]])</f>
        <v>24902.88753799392</v>
      </c>
      <c r="I5410" cm="1">
        <f t="array" ref="I5410">_xlfn.STDEV.P(IF(Table1[IndicatorCode]=Table1[[#This Row],[IndicatorCode]],Table1[value]))</f>
        <v>26324.778297809873</v>
      </c>
      <c r="J5410">
        <f>(Table1[[#This Row],[value]] - Table1[[#This Row],[mean]]) / Table1[[#This Row],[std_dev]]</f>
        <v>0.16669133591036378</v>
      </c>
      <c r="K5410">
        <f>AVERAGEIF(Table1[CountryCode],Table1[[#This Row],[CountryCode]],Table1[z-score])</f>
        <v>0.36646997985615637</v>
      </c>
      <c r="L5410" t="e">
        <f>VLOOKUP(Table1[[#This Row],[CountryCode]],[1]!Table1[#All],1,FALSE)</f>
        <v>#REF!</v>
      </c>
    </row>
    <row r="5411" spans="1:12" hidden="1" x14ac:dyDescent="0.3">
      <c r="A5411" t="s">
        <v>43</v>
      </c>
      <c r="B5411" t="s">
        <v>44</v>
      </c>
      <c r="C5411" t="s">
        <v>127</v>
      </c>
      <c r="D5411" t="s">
        <v>128</v>
      </c>
      <c r="E5411">
        <v>1992</v>
      </c>
      <c r="F5411" s="1">
        <v>28162</v>
      </c>
      <c r="G5411">
        <v>1990</v>
      </c>
      <c r="H5411">
        <f>AVERAGEIFS(Table1[value],Table1[IndicatorCode],Table1[[#This Row],[IndicatorCode]])</f>
        <v>24902.88753799392</v>
      </c>
      <c r="I5411" cm="1">
        <f t="array" ref="I5411">_xlfn.STDEV.P(IF(Table1[IndicatorCode]=Table1[[#This Row],[IndicatorCode]],Table1[value]))</f>
        <v>26324.778297809873</v>
      </c>
      <c r="J5411">
        <f>(Table1[[#This Row],[value]] - Table1[[#This Row],[mean]]) / Table1[[#This Row],[std_dev]]</f>
        <v>0.1238039851707783</v>
      </c>
      <c r="K5411">
        <f>AVERAGEIF(Table1[CountryCode],Table1[[#This Row],[CountryCode]],Table1[z-score])</f>
        <v>0.36646997985615637</v>
      </c>
      <c r="L5411" t="e">
        <f>VLOOKUP(Table1[[#This Row],[CountryCode]],[1]!Table1[#All],1,FALSE)</f>
        <v>#REF!</v>
      </c>
    </row>
    <row r="5412" spans="1:12" hidden="1" x14ac:dyDescent="0.3">
      <c r="A5412" t="s">
        <v>43</v>
      </c>
      <c r="B5412" t="s">
        <v>44</v>
      </c>
      <c r="C5412" t="s">
        <v>127</v>
      </c>
      <c r="D5412" t="s">
        <v>128</v>
      </c>
      <c r="E5412">
        <v>1993</v>
      </c>
      <c r="F5412" s="1">
        <v>27808</v>
      </c>
      <c r="G5412">
        <v>1990</v>
      </c>
      <c r="H5412">
        <f>AVERAGEIFS(Table1[value],Table1[IndicatorCode],Table1[[#This Row],[IndicatorCode]])</f>
        <v>24902.88753799392</v>
      </c>
      <c r="I5412" cm="1">
        <f t="array" ref="I5412">_xlfn.STDEV.P(IF(Table1[IndicatorCode]=Table1[[#This Row],[IndicatorCode]],Table1[value]))</f>
        <v>26324.778297809873</v>
      </c>
      <c r="J5412">
        <f>(Table1[[#This Row],[value]] - Table1[[#This Row],[mean]]) / Table1[[#This Row],[std_dev]]</f>
        <v>0.1103565784729809</v>
      </c>
      <c r="K5412">
        <f>AVERAGEIF(Table1[CountryCode],Table1[[#This Row],[CountryCode]],Table1[z-score])</f>
        <v>0.36646997985615637</v>
      </c>
      <c r="L5412" t="e">
        <f>VLOOKUP(Table1[[#This Row],[CountryCode]],[1]!Table1[#All],1,FALSE)</f>
        <v>#REF!</v>
      </c>
    </row>
    <row r="5413" spans="1:12" hidden="1" x14ac:dyDescent="0.3">
      <c r="A5413" t="s">
        <v>43</v>
      </c>
      <c r="B5413" t="s">
        <v>44</v>
      </c>
      <c r="C5413" t="s">
        <v>127</v>
      </c>
      <c r="D5413" t="s">
        <v>128</v>
      </c>
      <c r="E5413">
        <v>1994</v>
      </c>
      <c r="F5413" s="1">
        <v>28786</v>
      </c>
      <c r="G5413">
        <v>1990</v>
      </c>
      <c r="H5413">
        <f>AVERAGEIFS(Table1[value],Table1[IndicatorCode],Table1[[#This Row],[IndicatorCode]])</f>
        <v>24902.88753799392</v>
      </c>
      <c r="I5413" cm="1">
        <f t="array" ref="I5413">_xlfn.STDEV.P(IF(Table1[IndicatorCode]=Table1[[#This Row],[IndicatorCode]],Table1[value]))</f>
        <v>26324.778297809873</v>
      </c>
      <c r="J5413">
        <f>(Table1[[#This Row],[value]] - Table1[[#This Row],[mean]]) / Table1[[#This Row],[std_dev]]</f>
        <v>0.14750788850248897</v>
      </c>
      <c r="K5413">
        <f>AVERAGEIF(Table1[CountryCode],Table1[[#This Row],[CountryCode]],Table1[z-score])</f>
        <v>0.36646997985615637</v>
      </c>
      <c r="L5413" t="e">
        <f>VLOOKUP(Table1[[#This Row],[CountryCode]],[1]!Table1[#All],1,FALSE)</f>
        <v>#REF!</v>
      </c>
    </row>
    <row r="5414" spans="1:12" hidden="1" x14ac:dyDescent="0.3">
      <c r="A5414" t="s">
        <v>43</v>
      </c>
      <c r="B5414" t="s">
        <v>44</v>
      </c>
      <c r="C5414" t="s">
        <v>127</v>
      </c>
      <c r="D5414" t="s">
        <v>128</v>
      </c>
      <c r="E5414">
        <v>1995</v>
      </c>
      <c r="F5414" s="1">
        <v>29891</v>
      </c>
      <c r="G5414">
        <v>1990</v>
      </c>
      <c r="H5414">
        <f>AVERAGEIFS(Table1[value],Table1[IndicatorCode],Table1[[#This Row],[IndicatorCode]])</f>
        <v>24902.88753799392</v>
      </c>
      <c r="I5414" cm="1">
        <f t="array" ref="I5414">_xlfn.STDEV.P(IF(Table1[IndicatorCode]=Table1[[#This Row],[IndicatorCode]],Table1[value]))</f>
        <v>26324.778297809873</v>
      </c>
      <c r="J5414">
        <f>(Table1[[#This Row],[value]] - Table1[[#This Row],[mean]]) / Table1[[#This Row],[std_dev]]</f>
        <v>0.18948355065239325</v>
      </c>
      <c r="K5414">
        <f>AVERAGEIF(Table1[CountryCode],Table1[[#This Row],[CountryCode]],Table1[z-score])</f>
        <v>0.36646997985615637</v>
      </c>
      <c r="L5414" t="e">
        <f>VLOOKUP(Table1[[#This Row],[CountryCode]],[1]!Table1[#All],1,FALSE)</f>
        <v>#REF!</v>
      </c>
    </row>
    <row r="5415" spans="1:12" hidden="1" x14ac:dyDescent="0.3">
      <c r="A5415" t="s">
        <v>43</v>
      </c>
      <c r="B5415" t="s">
        <v>44</v>
      </c>
      <c r="C5415" t="s">
        <v>127</v>
      </c>
      <c r="D5415" t="s">
        <v>128</v>
      </c>
      <c r="E5415">
        <v>1996</v>
      </c>
      <c r="F5415" s="1">
        <v>30884</v>
      </c>
      <c r="G5415">
        <v>1990</v>
      </c>
      <c r="H5415">
        <f>AVERAGEIFS(Table1[value],Table1[IndicatorCode],Table1[[#This Row],[IndicatorCode]])</f>
        <v>24902.88753799392</v>
      </c>
      <c r="I5415" cm="1">
        <f t="array" ref="I5415">_xlfn.STDEV.P(IF(Table1[IndicatorCode]=Table1[[#This Row],[IndicatorCode]],Table1[value]))</f>
        <v>26324.778297809873</v>
      </c>
      <c r="J5415">
        <f>(Table1[[#This Row],[value]] - Table1[[#This Row],[mean]]) / Table1[[#This Row],[std_dev]]</f>
        <v>0.22720466605045206</v>
      </c>
      <c r="K5415">
        <f>AVERAGEIF(Table1[CountryCode],Table1[[#This Row],[CountryCode]],Table1[z-score])</f>
        <v>0.36646997985615637</v>
      </c>
      <c r="L5415" t="e">
        <f>VLOOKUP(Table1[[#This Row],[CountryCode]],[1]!Table1[#All],1,FALSE)</f>
        <v>#REF!</v>
      </c>
    </row>
    <row r="5416" spans="1:12" hidden="1" x14ac:dyDescent="0.3">
      <c r="A5416" t="s">
        <v>43</v>
      </c>
      <c r="B5416" t="s">
        <v>44</v>
      </c>
      <c r="C5416" t="s">
        <v>127</v>
      </c>
      <c r="D5416" t="s">
        <v>128</v>
      </c>
      <c r="E5416">
        <v>1997</v>
      </c>
      <c r="F5416" s="1">
        <v>32762</v>
      </c>
      <c r="G5416">
        <v>2000</v>
      </c>
      <c r="H5416">
        <f>AVERAGEIFS(Table1[value],Table1[IndicatorCode],Table1[[#This Row],[IndicatorCode]])</f>
        <v>24902.88753799392</v>
      </c>
      <c r="I5416" cm="1">
        <f t="array" ref="I5416">_xlfn.STDEV.P(IF(Table1[IndicatorCode]=Table1[[#This Row],[IndicatorCode]],Table1[value]))</f>
        <v>26324.778297809873</v>
      </c>
      <c r="J5416">
        <f>(Table1[[#This Row],[value]] - Table1[[#This Row],[mean]]) / Table1[[#This Row],[std_dev]]</f>
        <v>0.29854429819300432</v>
      </c>
      <c r="K5416">
        <f>AVERAGEIF(Table1[CountryCode],Table1[[#This Row],[CountryCode]],Table1[z-score])</f>
        <v>0.36646997985615637</v>
      </c>
      <c r="L5416" t="e">
        <f>VLOOKUP(Table1[[#This Row],[CountryCode]],[1]!Table1[#All],1,FALSE)</f>
        <v>#REF!</v>
      </c>
    </row>
    <row r="5417" spans="1:12" hidden="1" x14ac:dyDescent="0.3">
      <c r="A5417" t="s">
        <v>43</v>
      </c>
      <c r="B5417" t="s">
        <v>44</v>
      </c>
      <c r="C5417" t="s">
        <v>127</v>
      </c>
      <c r="D5417" t="s">
        <v>128</v>
      </c>
      <c r="E5417">
        <v>1998</v>
      </c>
      <c r="F5417" s="1">
        <v>34457</v>
      </c>
      <c r="G5417">
        <v>2000</v>
      </c>
      <c r="H5417">
        <f>AVERAGEIFS(Table1[value],Table1[IndicatorCode],Table1[[#This Row],[IndicatorCode]])</f>
        <v>24902.88753799392</v>
      </c>
      <c r="I5417" cm="1">
        <f t="array" ref="I5417">_xlfn.STDEV.P(IF(Table1[IndicatorCode]=Table1[[#This Row],[IndicatorCode]],Table1[value]))</f>
        <v>26324.778297809873</v>
      </c>
      <c r="J5417">
        <f>(Table1[[#This Row],[value]] - Table1[[#This Row],[mean]]) / Table1[[#This Row],[std_dev]]</f>
        <v>0.36293230483923761</v>
      </c>
      <c r="K5417">
        <f>AVERAGEIF(Table1[CountryCode],Table1[[#This Row],[CountryCode]],Table1[z-score])</f>
        <v>0.36646997985615637</v>
      </c>
      <c r="L5417" t="e">
        <f>VLOOKUP(Table1[[#This Row],[CountryCode]],[1]!Table1[#All],1,FALSE)</f>
        <v>#REF!</v>
      </c>
    </row>
    <row r="5418" spans="1:12" hidden="1" x14ac:dyDescent="0.3">
      <c r="A5418" t="s">
        <v>43</v>
      </c>
      <c r="B5418" t="s">
        <v>44</v>
      </c>
      <c r="C5418" t="s">
        <v>127</v>
      </c>
      <c r="D5418" t="s">
        <v>128</v>
      </c>
      <c r="E5418">
        <v>1999</v>
      </c>
      <c r="F5418" s="1">
        <v>35886</v>
      </c>
      <c r="G5418">
        <v>2000</v>
      </c>
      <c r="H5418">
        <f>AVERAGEIFS(Table1[value],Table1[IndicatorCode],Table1[[#This Row],[IndicatorCode]])</f>
        <v>24902.88753799392</v>
      </c>
      <c r="I5418" cm="1">
        <f t="array" ref="I5418">_xlfn.STDEV.P(IF(Table1[IndicatorCode]=Table1[[#This Row],[IndicatorCode]],Table1[value]))</f>
        <v>26324.778297809873</v>
      </c>
      <c r="J5418">
        <f>(Table1[[#This Row],[value]] - Table1[[#This Row],[mean]]) / Table1[[#This Row],[std_dev]]</f>
        <v>0.41721576294983787</v>
      </c>
      <c r="K5418">
        <f>AVERAGEIF(Table1[CountryCode],Table1[[#This Row],[CountryCode]],Table1[z-score])</f>
        <v>0.36646997985615637</v>
      </c>
      <c r="L5418" t="e">
        <f>VLOOKUP(Table1[[#This Row],[CountryCode]],[1]!Table1[#All],1,FALSE)</f>
        <v>#REF!</v>
      </c>
    </row>
    <row r="5419" spans="1:12" hidden="1" x14ac:dyDescent="0.3">
      <c r="A5419" t="s">
        <v>43</v>
      </c>
      <c r="B5419" t="s">
        <v>44</v>
      </c>
      <c r="C5419" t="s">
        <v>127</v>
      </c>
      <c r="D5419" t="s">
        <v>128</v>
      </c>
      <c r="E5419">
        <v>2000</v>
      </c>
      <c r="F5419" s="1">
        <v>37873</v>
      </c>
      <c r="G5419">
        <v>2000</v>
      </c>
      <c r="H5419">
        <f>AVERAGEIFS(Table1[value],Table1[IndicatorCode],Table1[[#This Row],[IndicatorCode]])</f>
        <v>24902.88753799392</v>
      </c>
      <c r="I5419" cm="1">
        <f t="array" ref="I5419">_xlfn.STDEV.P(IF(Table1[IndicatorCode]=Table1[[#This Row],[IndicatorCode]],Table1[value]))</f>
        <v>26324.778297809873</v>
      </c>
      <c r="J5419">
        <f>(Table1[[#This Row],[value]] - Table1[[#This Row],[mean]]) / Table1[[#This Row],[std_dev]]</f>
        <v>0.49269598077052551</v>
      </c>
      <c r="K5419">
        <f>AVERAGEIF(Table1[CountryCode],Table1[[#This Row],[CountryCode]],Table1[z-score])</f>
        <v>0.36646997985615637</v>
      </c>
      <c r="L5419" t="e">
        <f>VLOOKUP(Table1[[#This Row],[CountryCode]],[1]!Table1[#All],1,FALSE)</f>
        <v>#REF!</v>
      </c>
    </row>
    <row r="5420" spans="1:12" hidden="1" x14ac:dyDescent="0.3">
      <c r="A5420" t="s">
        <v>43</v>
      </c>
      <c r="B5420" t="s">
        <v>44</v>
      </c>
      <c r="C5420" t="s">
        <v>127</v>
      </c>
      <c r="D5420" t="s">
        <v>128</v>
      </c>
      <c r="E5420">
        <v>2001</v>
      </c>
      <c r="F5420" s="1">
        <v>38784</v>
      </c>
      <c r="G5420">
        <v>2000</v>
      </c>
      <c r="H5420">
        <f>AVERAGEIFS(Table1[value],Table1[IndicatorCode],Table1[[#This Row],[IndicatorCode]])</f>
        <v>24902.88753799392</v>
      </c>
      <c r="I5420" cm="1">
        <f t="array" ref="I5420">_xlfn.STDEV.P(IF(Table1[IndicatorCode]=Table1[[#This Row],[IndicatorCode]],Table1[value]))</f>
        <v>26324.778297809873</v>
      </c>
      <c r="J5420">
        <f>(Table1[[#This Row],[value]] - Table1[[#This Row],[mean]]) / Table1[[#This Row],[std_dev]]</f>
        <v>0.52730216015384024</v>
      </c>
      <c r="K5420">
        <f>AVERAGEIF(Table1[CountryCode],Table1[[#This Row],[CountryCode]],Table1[z-score])</f>
        <v>0.36646997985615637</v>
      </c>
      <c r="L5420" t="e">
        <f>VLOOKUP(Table1[[#This Row],[CountryCode]],[1]!Table1[#All],1,FALSE)</f>
        <v>#REF!</v>
      </c>
    </row>
    <row r="5421" spans="1:12" hidden="1" x14ac:dyDescent="0.3">
      <c r="A5421" t="s">
        <v>43</v>
      </c>
      <c r="B5421" t="s">
        <v>44</v>
      </c>
      <c r="C5421" t="s">
        <v>127</v>
      </c>
      <c r="D5421" t="s">
        <v>128</v>
      </c>
      <c r="E5421">
        <v>2002</v>
      </c>
      <c r="F5421" s="1">
        <v>39343</v>
      </c>
      <c r="G5421">
        <v>2000</v>
      </c>
      <c r="H5421">
        <f>AVERAGEIFS(Table1[value],Table1[IndicatorCode],Table1[[#This Row],[IndicatorCode]])</f>
        <v>24902.88753799392</v>
      </c>
      <c r="I5421" cm="1">
        <f t="array" ref="I5421">_xlfn.STDEV.P(IF(Table1[IndicatorCode]=Table1[[#This Row],[IndicatorCode]],Table1[value]))</f>
        <v>26324.778297809873</v>
      </c>
      <c r="J5421">
        <f>(Table1[[#This Row],[value]] - Table1[[#This Row],[mean]]) / Table1[[#This Row],[std_dev]]</f>
        <v>0.54853690688849777</v>
      </c>
      <c r="K5421">
        <f>AVERAGEIF(Table1[CountryCode],Table1[[#This Row],[CountryCode]],Table1[z-score])</f>
        <v>0.36646997985615637</v>
      </c>
      <c r="L5421" t="e">
        <f>VLOOKUP(Table1[[#This Row],[CountryCode]],[1]!Table1[#All],1,FALSE)</f>
        <v>#REF!</v>
      </c>
    </row>
    <row r="5422" spans="1:12" hidden="1" x14ac:dyDescent="0.3">
      <c r="A5422" t="s">
        <v>43</v>
      </c>
      <c r="B5422" t="s">
        <v>44</v>
      </c>
      <c r="C5422" t="s">
        <v>127</v>
      </c>
      <c r="D5422" t="s">
        <v>128</v>
      </c>
      <c r="E5422">
        <v>2003</v>
      </c>
      <c r="F5422" s="1">
        <v>40039</v>
      </c>
      <c r="G5422">
        <v>2000</v>
      </c>
      <c r="H5422">
        <f>AVERAGEIFS(Table1[value],Table1[IndicatorCode],Table1[[#This Row],[IndicatorCode]])</f>
        <v>24902.88753799392</v>
      </c>
      <c r="I5422" cm="1">
        <f t="array" ref="I5422">_xlfn.STDEV.P(IF(Table1[IndicatorCode]=Table1[[#This Row],[IndicatorCode]],Table1[value]))</f>
        <v>26324.778297809873</v>
      </c>
      <c r="J5422">
        <f>(Table1[[#This Row],[value]] - Table1[[#This Row],[mean]]) / Table1[[#This Row],[std_dev]]</f>
        <v>0.57497587598925193</v>
      </c>
      <c r="K5422">
        <f>AVERAGEIF(Table1[CountryCode],Table1[[#This Row],[CountryCode]],Table1[z-score])</f>
        <v>0.36646997985615637</v>
      </c>
      <c r="L5422" t="e">
        <f>VLOOKUP(Table1[[#This Row],[CountryCode]],[1]!Table1[#All],1,FALSE)</f>
        <v>#REF!</v>
      </c>
    </row>
    <row r="5423" spans="1:12" hidden="1" x14ac:dyDescent="0.3">
      <c r="A5423" t="s">
        <v>43</v>
      </c>
      <c r="B5423" t="s">
        <v>44</v>
      </c>
      <c r="C5423" t="s">
        <v>127</v>
      </c>
      <c r="D5423" t="s">
        <v>128</v>
      </c>
      <c r="E5423">
        <v>2004</v>
      </c>
      <c r="F5423" s="1">
        <v>41522</v>
      </c>
      <c r="G5423">
        <v>2000</v>
      </c>
      <c r="H5423">
        <f>AVERAGEIFS(Table1[value],Table1[IndicatorCode],Table1[[#This Row],[IndicatorCode]])</f>
        <v>24902.88753799392</v>
      </c>
      <c r="I5423" cm="1">
        <f t="array" ref="I5423">_xlfn.STDEV.P(IF(Table1[IndicatorCode]=Table1[[#This Row],[IndicatorCode]],Table1[value]))</f>
        <v>26324.778297809873</v>
      </c>
      <c r="J5423">
        <f>(Table1[[#This Row],[value]] - Table1[[#This Row],[mean]]) / Table1[[#This Row],[std_dev]]</f>
        <v>0.63131063342663485</v>
      </c>
      <c r="K5423">
        <f>AVERAGEIF(Table1[CountryCode],Table1[[#This Row],[CountryCode]],Table1[z-score])</f>
        <v>0.36646997985615637</v>
      </c>
      <c r="L5423" t="e">
        <f>VLOOKUP(Table1[[#This Row],[CountryCode]],[1]!Table1[#All],1,FALSE)</f>
        <v>#REF!</v>
      </c>
    </row>
    <row r="5424" spans="1:12" hidden="1" x14ac:dyDescent="0.3">
      <c r="A5424" t="s">
        <v>43</v>
      </c>
      <c r="B5424" t="s">
        <v>44</v>
      </c>
      <c r="C5424" t="s">
        <v>127</v>
      </c>
      <c r="D5424" t="s">
        <v>128</v>
      </c>
      <c r="E5424">
        <v>2005</v>
      </c>
      <c r="F5424" s="1">
        <v>42529</v>
      </c>
      <c r="G5424">
        <v>2000</v>
      </c>
      <c r="H5424">
        <f>AVERAGEIFS(Table1[value],Table1[IndicatorCode],Table1[[#This Row],[IndicatorCode]])</f>
        <v>24902.88753799392</v>
      </c>
      <c r="I5424" cm="1">
        <f t="array" ref="I5424">_xlfn.STDEV.P(IF(Table1[IndicatorCode]=Table1[[#This Row],[IndicatorCode]],Table1[value]))</f>
        <v>26324.778297809873</v>
      </c>
      <c r="J5424">
        <f>(Table1[[#This Row],[value]] - Table1[[#This Row],[mean]]) / Table1[[#This Row],[std_dev]]</f>
        <v>0.66956356716867427</v>
      </c>
      <c r="K5424">
        <f>AVERAGEIF(Table1[CountryCode],Table1[[#This Row],[CountryCode]],Table1[z-score])</f>
        <v>0.36646997985615637</v>
      </c>
      <c r="L5424" t="e">
        <f>VLOOKUP(Table1[[#This Row],[CountryCode]],[1]!Table1[#All],1,FALSE)</f>
        <v>#REF!</v>
      </c>
    </row>
    <row r="5425" spans="1:12" hidden="1" x14ac:dyDescent="0.3">
      <c r="A5425" t="s">
        <v>43</v>
      </c>
      <c r="B5425" t="s">
        <v>44</v>
      </c>
      <c r="C5425" t="s">
        <v>127</v>
      </c>
      <c r="D5425" t="s">
        <v>128</v>
      </c>
      <c r="E5425">
        <v>2006</v>
      </c>
      <c r="F5425" s="1">
        <v>44069</v>
      </c>
      <c r="G5425">
        <v>2000</v>
      </c>
      <c r="H5425">
        <f>AVERAGEIFS(Table1[value],Table1[IndicatorCode],Table1[[#This Row],[IndicatorCode]])</f>
        <v>24902.88753799392</v>
      </c>
      <c r="I5425" cm="1">
        <f t="array" ref="I5425">_xlfn.STDEV.P(IF(Table1[IndicatorCode]=Table1[[#This Row],[IndicatorCode]],Table1[value]))</f>
        <v>26324.778297809873</v>
      </c>
      <c r="J5425">
        <f>(Table1[[#This Row],[value]] - Table1[[#This Row],[mean]]) / Table1[[#This Row],[std_dev]]</f>
        <v>0.72806358500655</v>
      </c>
      <c r="K5425">
        <f>AVERAGEIF(Table1[CountryCode],Table1[[#This Row],[CountryCode]],Table1[z-score])</f>
        <v>0.36646997985615637</v>
      </c>
      <c r="L5425" t="e">
        <f>VLOOKUP(Table1[[#This Row],[CountryCode]],[1]!Table1[#All],1,FALSE)</f>
        <v>#REF!</v>
      </c>
    </row>
    <row r="5426" spans="1:12" hidden="1" x14ac:dyDescent="0.3">
      <c r="A5426" t="s">
        <v>43</v>
      </c>
      <c r="B5426" t="s">
        <v>44</v>
      </c>
      <c r="C5426" t="s">
        <v>127</v>
      </c>
      <c r="D5426" t="s">
        <v>128</v>
      </c>
      <c r="E5426">
        <v>2007</v>
      </c>
      <c r="F5426" s="1">
        <v>46214</v>
      </c>
      <c r="G5426">
        <v>2010</v>
      </c>
      <c r="H5426">
        <f>AVERAGEIFS(Table1[value],Table1[IndicatorCode],Table1[[#This Row],[IndicatorCode]])</f>
        <v>24902.88753799392</v>
      </c>
      <c r="I5426" cm="1">
        <f t="array" ref="I5426">_xlfn.STDEV.P(IF(Table1[IndicatorCode]=Table1[[#This Row],[IndicatorCode]],Table1[value]))</f>
        <v>26324.778297809873</v>
      </c>
      <c r="J5426">
        <f>(Table1[[#This Row],[value]] - Table1[[#This Row],[mean]]) / Table1[[#This Row],[std_dev]]</f>
        <v>0.8095457527093054</v>
      </c>
      <c r="K5426">
        <f>AVERAGEIF(Table1[CountryCode],Table1[[#This Row],[CountryCode]],Table1[z-score])</f>
        <v>0.36646997985615637</v>
      </c>
      <c r="L5426" t="e">
        <f>VLOOKUP(Table1[[#This Row],[CountryCode]],[1]!Table1[#All],1,FALSE)</f>
        <v>#REF!</v>
      </c>
    </row>
    <row r="5427" spans="1:12" hidden="1" x14ac:dyDescent="0.3">
      <c r="A5427" t="s">
        <v>43</v>
      </c>
      <c r="B5427" t="s">
        <v>44</v>
      </c>
      <c r="C5427" t="s">
        <v>127</v>
      </c>
      <c r="D5427" t="s">
        <v>128</v>
      </c>
      <c r="E5427">
        <v>2008</v>
      </c>
      <c r="F5427" s="1">
        <v>46360</v>
      </c>
      <c r="G5427">
        <v>2010</v>
      </c>
      <c r="H5427">
        <f>AVERAGEIFS(Table1[value],Table1[IndicatorCode],Table1[[#This Row],[IndicatorCode]])</f>
        <v>24902.88753799392</v>
      </c>
      <c r="I5427" cm="1">
        <f t="array" ref="I5427">_xlfn.STDEV.P(IF(Table1[IndicatorCode]=Table1[[#This Row],[IndicatorCode]],Table1[value]))</f>
        <v>26324.778297809873</v>
      </c>
      <c r="J5427">
        <f>(Table1[[#This Row],[value]] - Table1[[#This Row],[mean]]) / Table1[[#This Row],[std_dev]]</f>
        <v>0.81509185829653252</v>
      </c>
      <c r="K5427">
        <f>AVERAGEIF(Table1[CountryCode],Table1[[#This Row],[CountryCode]],Table1[z-score])</f>
        <v>0.36646997985615637</v>
      </c>
      <c r="L5427" t="e">
        <f>VLOOKUP(Table1[[#This Row],[CountryCode]],[1]!Table1[#All],1,FALSE)</f>
        <v>#REF!</v>
      </c>
    </row>
    <row r="5428" spans="1:12" hidden="1" x14ac:dyDescent="0.3">
      <c r="A5428" t="s">
        <v>43</v>
      </c>
      <c r="B5428" t="s">
        <v>44</v>
      </c>
      <c r="C5428" t="s">
        <v>127</v>
      </c>
      <c r="D5428" t="s">
        <v>128</v>
      </c>
      <c r="E5428">
        <v>2009</v>
      </c>
      <c r="F5428" s="1">
        <v>42413</v>
      </c>
      <c r="G5428">
        <v>2010</v>
      </c>
      <c r="H5428">
        <f>AVERAGEIFS(Table1[value],Table1[IndicatorCode],Table1[[#This Row],[IndicatorCode]])</f>
        <v>24902.88753799392</v>
      </c>
      <c r="I5428" cm="1">
        <f t="array" ref="I5428">_xlfn.STDEV.P(IF(Table1[IndicatorCode]=Table1[[#This Row],[IndicatorCode]],Table1[value]))</f>
        <v>26324.778297809873</v>
      </c>
      <c r="J5428">
        <f>(Table1[[#This Row],[value]] - Table1[[#This Row],[mean]]) / Table1[[#This Row],[std_dev]]</f>
        <v>0.66515707231854859</v>
      </c>
      <c r="K5428">
        <f>AVERAGEIF(Table1[CountryCode],Table1[[#This Row],[CountryCode]],Table1[z-score])</f>
        <v>0.36646997985615637</v>
      </c>
      <c r="L5428" t="e">
        <f>VLOOKUP(Table1[[#This Row],[CountryCode]],[1]!Table1[#All],1,FALSE)</f>
        <v>#REF!</v>
      </c>
    </row>
    <row r="5429" spans="1:12" hidden="1" x14ac:dyDescent="0.3">
      <c r="A5429" t="s">
        <v>43</v>
      </c>
      <c r="B5429" t="s">
        <v>44</v>
      </c>
      <c r="C5429" t="s">
        <v>127</v>
      </c>
      <c r="D5429" t="s">
        <v>128</v>
      </c>
      <c r="E5429">
        <v>2010</v>
      </c>
      <c r="F5429" s="1">
        <v>43557</v>
      </c>
      <c r="G5429">
        <v>2010</v>
      </c>
      <c r="H5429">
        <f>AVERAGEIFS(Table1[value],Table1[IndicatorCode],Table1[[#This Row],[IndicatorCode]])</f>
        <v>24902.88753799392</v>
      </c>
      <c r="I5429" cm="1">
        <f t="array" ref="I5429">_xlfn.STDEV.P(IF(Table1[IndicatorCode]=Table1[[#This Row],[IndicatorCode]],Table1[value]))</f>
        <v>26324.778297809873</v>
      </c>
      <c r="J5429">
        <f>(Table1[[#This Row],[value]] - Table1[[#This Row],[mean]]) / Table1[[#This Row],[std_dev]]</f>
        <v>0.70861422842668476</v>
      </c>
      <c r="K5429">
        <f>AVERAGEIF(Table1[CountryCode],Table1[[#This Row],[CountryCode]],Table1[z-score])</f>
        <v>0.36646997985615637</v>
      </c>
      <c r="L5429" t="e">
        <f>VLOOKUP(Table1[[#This Row],[CountryCode]],[1]!Table1[#All],1,FALSE)</f>
        <v>#REF!</v>
      </c>
    </row>
    <row r="5430" spans="1:12" hidden="1" x14ac:dyDescent="0.3">
      <c r="A5430" t="s">
        <v>43</v>
      </c>
      <c r="B5430" t="s">
        <v>44</v>
      </c>
      <c r="C5430" t="s">
        <v>127</v>
      </c>
      <c r="D5430" t="s">
        <v>128</v>
      </c>
      <c r="E5430">
        <v>2011</v>
      </c>
      <c r="F5430" s="1">
        <v>44391</v>
      </c>
      <c r="G5430">
        <v>2010</v>
      </c>
      <c r="H5430">
        <f>AVERAGEIFS(Table1[value],Table1[IndicatorCode],Table1[[#This Row],[IndicatorCode]])</f>
        <v>24902.88753799392</v>
      </c>
      <c r="I5430" cm="1">
        <f t="array" ref="I5430">_xlfn.STDEV.P(IF(Table1[IndicatorCode]=Table1[[#This Row],[IndicatorCode]],Table1[value]))</f>
        <v>26324.778297809873</v>
      </c>
      <c r="J5430">
        <f>(Table1[[#This Row],[value]] - Table1[[#This Row],[mean]]) / Table1[[#This Row],[std_dev]]</f>
        <v>0.7402954069181058</v>
      </c>
      <c r="K5430">
        <f>AVERAGEIF(Table1[CountryCode],Table1[[#This Row],[CountryCode]],Table1[z-score])</f>
        <v>0.36646997985615637</v>
      </c>
      <c r="L5430" t="e">
        <f>VLOOKUP(Table1[[#This Row],[CountryCode]],[1]!Table1[#All],1,FALSE)</f>
        <v>#REF!</v>
      </c>
    </row>
    <row r="5431" spans="1:12" hidden="1" x14ac:dyDescent="0.3">
      <c r="A5431" t="s">
        <v>43</v>
      </c>
      <c r="B5431" t="s">
        <v>44</v>
      </c>
      <c r="C5431" t="s">
        <v>127</v>
      </c>
      <c r="D5431" t="s">
        <v>128</v>
      </c>
      <c r="E5431">
        <v>2012</v>
      </c>
      <c r="F5431" s="1">
        <v>43508</v>
      </c>
      <c r="G5431">
        <v>2010</v>
      </c>
      <c r="H5431">
        <f>AVERAGEIFS(Table1[value],Table1[IndicatorCode],Table1[[#This Row],[IndicatorCode]])</f>
        <v>24902.88753799392</v>
      </c>
      <c r="I5431" cm="1">
        <f t="array" ref="I5431">_xlfn.STDEV.P(IF(Table1[IndicatorCode]=Table1[[#This Row],[IndicatorCode]],Table1[value]))</f>
        <v>26324.778297809873</v>
      </c>
      <c r="J5431">
        <f>(Table1[[#This Row],[value]] - Table1[[#This Row],[mean]]) / Table1[[#This Row],[std_dev]]</f>
        <v>0.70675286422275241</v>
      </c>
      <c r="K5431">
        <f>AVERAGEIF(Table1[CountryCode],Table1[[#This Row],[CountryCode]],Table1[z-score])</f>
        <v>0.36646997985615637</v>
      </c>
      <c r="L5431" t="e">
        <f>VLOOKUP(Table1[[#This Row],[CountryCode]],[1]!Table1[#All],1,FALSE)</f>
        <v>#REF!</v>
      </c>
    </row>
    <row r="5432" spans="1:12" hidden="1" x14ac:dyDescent="0.3">
      <c r="A5432" t="s">
        <v>43</v>
      </c>
      <c r="B5432" t="s">
        <v>44</v>
      </c>
      <c r="C5432" t="s">
        <v>127</v>
      </c>
      <c r="D5432" t="s">
        <v>128</v>
      </c>
      <c r="E5432">
        <v>2013</v>
      </c>
      <c r="F5432" s="1">
        <v>42884</v>
      </c>
      <c r="G5432">
        <v>2010</v>
      </c>
      <c r="H5432">
        <f>AVERAGEIFS(Table1[value],Table1[IndicatorCode],Table1[[#This Row],[IndicatorCode]])</f>
        <v>24902.88753799392</v>
      </c>
      <c r="I5432" cm="1">
        <f t="array" ref="I5432">_xlfn.STDEV.P(IF(Table1[IndicatorCode]=Table1[[#This Row],[IndicatorCode]],Table1[value]))</f>
        <v>26324.778297809873</v>
      </c>
      <c r="J5432">
        <f>(Table1[[#This Row],[value]] - Table1[[#This Row],[mean]]) / Table1[[#This Row],[std_dev]]</f>
        <v>0.68304896089104172</v>
      </c>
      <c r="K5432">
        <f>AVERAGEIF(Table1[CountryCode],Table1[[#This Row],[CountryCode]],Table1[z-score])</f>
        <v>0.36646997985615637</v>
      </c>
      <c r="L5432" t="e">
        <f>VLOOKUP(Table1[[#This Row],[CountryCode]],[1]!Table1[#All],1,FALSE)</f>
        <v>#REF!</v>
      </c>
    </row>
    <row r="5433" spans="1:12" hidden="1" x14ac:dyDescent="0.3">
      <c r="A5433" t="s">
        <v>43</v>
      </c>
      <c r="B5433" t="s">
        <v>44</v>
      </c>
      <c r="C5433" t="s">
        <v>127</v>
      </c>
      <c r="D5433" t="s">
        <v>128</v>
      </c>
      <c r="E5433">
        <v>2014</v>
      </c>
      <c r="F5433" s="1">
        <v>42502</v>
      </c>
      <c r="G5433">
        <v>2010</v>
      </c>
      <c r="H5433">
        <f>AVERAGEIFS(Table1[value],Table1[IndicatorCode],Table1[[#This Row],[IndicatorCode]])</f>
        <v>24902.88753799392</v>
      </c>
      <c r="I5433" cm="1">
        <f t="array" ref="I5433">_xlfn.STDEV.P(IF(Table1[IndicatorCode]=Table1[[#This Row],[IndicatorCode]],Table1[value]))</f>
        <v>26324.778297809873</v>
      </c>
      <c r="J5433">
        <f>(Table1[[#This Row],[value]] - Table1[[#This Row],[mean]]) / Table1[[#This Row],[std_dev]]</f>
        <v>0.66853791750528291</v>
      </c>
      <c r="K5433">
        <f>AVERAGEIF(Table1[CountryCode],Table1[[#This Row],[CountryCode]],Table1[z-score])</f>
        <v>0.36646997985615637</v>
      </c>
      <c r="L5433" t="e">
        <f>VLOOKUP(Table1[[#This Row],[CountryCode]],[1]!Table1[#All],1,FALSE)</f>
        <v>#REF!</v>
      </c>
    </row>
    <row r="5434" spans="1:12" hidden="1" x14ac:dyDescent="0.3">
      <c r="A5434" t="s">
        <v>43</v>
      </c>
      <c r="B5434" t="s">
        <v>44</v>
      </c>
      <c r="C5434" t="s">
        <v>127</v>
      </c>
      <c r="D5434" t="s">
        <v>128</v>
      </c>
      <c r="E5434">
        <v>2015</v>
      </c>
      <c r="F5434" s="1">
        <v>42560</v>
      </c>
      <c r="G5434">
        <v>2010</v>
      </c>
      <c r="H5434">
        <f>AVERAGEIFS(Table1[value],Table1[IndicatorCode],Table1[[#This Row],[IndicatorCode]])</f>
        <v>24902.88753799392</v>
      </c>
      <c r="I5434" cm="1">
        <f t="array" ref="I5434">_xlfn.STDEV.P(IF(Table1[IndicatorCode]=Table1[[#This Row],[IndicatorCode]],Table1[value]))</f>
        <v>26324.778297809873</v>
      </c>
      <c r="J5434">
        <f>(Table1[[#This Row],[value]] - Table1[[#This Row],[mean]]) / Table1[[#This Row],[std_dev]]</f>
        <v>0.67074116493034586</v>
      </c>
      <c r="K5434">
        <f>AVERAGEIF(Table1[CountryCode],Table1[[#This Row],[CountryCode]],Table1[z-score])</f>
        <v>0.36646997985615637</v>
      </c>
      <c r="L5434" t="e">
        <f>VLOOKUP(Table1[[#This Row],[CountryCode]],[1]!Table1[#All],1,FALSE)</f>
        <v>#REF!</v>
      </c>
    </row>
    <row r="5435" spans="1:12" hidden="1" x14ac:dyDescent="0.3">
      <c r="A5435" t="s">
        <v>43</v>
      </c>
      <c r="B5435" t="s">
        <v>44</v>
      </c>
      <c r="C5435" t="s">
        <v>127</v>
      </c>
      <c r="D5435" t="s">
        <v>128</v>
      </c>
      <c r="E5435">
        <v>2016</v>
      </c>
      <c r="F5435" s="1">
        <v>43530</v>
      </c>
      <c r="G5435">
        <v>2010</v>
      </c>
      <c r="H5435">
        <f>AVERAGEIFS(Table1[value],Table1[IndicatorCode],Table1[[#This Row],[IndicatorCode]])</f>
        <v>24902.88753799392</v>
      </c>
      <c r="I5435" cm="1">
        <f t="array" ref="I5435">_xlfn.STDEV.P(IF(Table1[IndicatorCode]=Table1[[#This Row],[IndicatorCode]],Table1[value]))</f>
        <v>26324.778297809873</v>
      </c>
      <c r="J5435">
        <f>(Table1[[#This Row],[value]] - Table1[[#This Row],[mean]]) / Table1[[#This Row],[std_dev]]</f>
        <v>0.70758857876329351</v>
      </c>
      <c r="K5435">
        <f>AVERAGEIF(Table1[CountryCode],Table1[[#This Row],[CountryCode]],Table1[z-score])</f>
        <v>0.36646997985615637</v>
      </c>
      <c r="L5435" t="e">
        <f>VLOOKUP(Table1[[#This Row],[CountryCode]],[1]!Table1[#All],1,FALSE)</f>
        <v>#REF!</v>
      </c>
    </row>
    <row r="5436" spans="1:12" hidden="1" x14ac:dyDescent="0.3">
      <c r="A5436" t="s">
        <v>43</v>
      </c>
      <c r="B5436" t="s">
        <v>44</v>
      </c>
      <c r="C5436" t="s">
        <v>127</v>
      </c>
      <c r="D5436" t="s">
        <v>128</v>
      </c>
      <c r="E5436">
        <v>2017</v>
      </c>
      <c r="F5436" s="1">
        <v>44862</v>
      </c>
      <c r="G5436">
        <v>2020</v>
      </c>
      <c r="H5436">
        <f>AVERAGEIFS(Table1[value],Table1[IndicatorCode],Table1[[#This Row],[IndicatorCode]])</f>
        <v>24902.88753799392</v>
      </c>
      <c r="I5436" cm="1">
        <f t="array" ref="I5436">_xlfn.STDEV.P(IF(Table1[IndicatorCode]=Table1[[#This Row],[IndicatorCode]],Table1[value]))</f>
        <v>26324.778297809873</v>
      </c>
      <c r="J5436">
        <f>(Table1[[#This Row],[value]] - Table1[[#This Row],[mean]]) / Table1[[#This Row],[std_dev]]</f>
        <v>0.75818729549059893</v>
      </c>
      <c r="K5436">
        <f>AVERAGEIF(Table1[CountryCode],Table1[[#This Row],[CountryCode]],Table1[z-score])</f>
        <v>0.36646997985615637</v>
      </c>
      <c r="L5436" t="e">
        <f>VLOOKUP(Table1[[#This Row],[CountryCode]],[1]!Table1[#All],1,FALSE)</f>
        <v>#REF!</v>
      </c>
    </row>
    <row r="5437" spans="1:12" hidden="1" x14ac:dyDescent="0.3">
      <c r="A5437" t="s">
        <v>43</v>
      </c>
      <c r="B5437" t="s">
        <v>44</v>
      </c>
      <c r="C5437" t="s">
        <v>127</v>
      </c>
      <c r="D5437" t="s">
        <v>128</v>
      </c>
      <c r="E5437">
        <v>2018</v>
      </c>
      <c r="F5437" s="1">
        <v>45337</v>
      </c>
      <c r="G5437">
        <v>2020</v>
      </c>
      <c r="H5437">
        <f>AVERAGEIFS(Table1[value],Table1[IndicatorCode],Table1[[#This Row],[IndicatorCode]])</f>
        <v>24902.88753799392</v>
      </c>
      <c r="I5437" cm="1">
        <f t="array" ref="I5437">_xlfn.STDEV.P(IF(Table1[IndicatorCode]=Table1[[#This Row],[IndicatorCode]],Table1[value]))</f>
        <v>26324.778297809873</v>
      </c>
      <c r="J5437">
        <f>(Table1[[#This Row],[value]] - Table1[[#This Row],[mean]]) / Table1[[#This Row],[std_dev]]</f>
        <v>0.77623113216137229</v>
      </c>
      <c r="K5437">
        <f>AVERAGEIF(Table1[CountryCode],Table1[[#This Row],[CountryCode]],Table1[z-score])</f>
        <v>0.36646997985615637</v>
      </c>
      <c r="L5437" t="e">
        <f>VLOOKUP(Table1[[#This Row],[CountryCode]],[1]!Table1[#All],1,FALSE)</f>
        <v>#REF!</v>
      </c>
    </row>
    <row r="5438" spans="1:12" hidden="1" x14ac:dyDescent="0.3">
      <c r="A5438" t="s">
        <v>43</v>
      </c>
      <c r="B5438" t="s">
        <v>44</v>
      </c>
      <c r="C5438" t="s">
        <v>127</v>
      </c>
      <c r="D5438" t="s">
        <v>128</v>
      </c>
      <c r="E5438">
        <v>2019</v>
      </c>
      <c r="F5438" s="1">
        <v>45899</v>
      </c>
      <c r="G5438">
        <v>2020</v>
      </c>
      <c r="H5438">
        <f>AVERAGEIFS(Table1[value],Table1[IndicatorCode],Table1[[#This Row],[IndicatorCode]])</f>
        <v>24902.88753799392</v>
      </c>
      <c r="I5438" cm="1">
        <f t="array" ref="I5438">_xlfn.STDEV.P(IF(Table1[IndicatorCode]=Table1[[#This Row],[IndicatorCode]],Table1[value]))</f>
        <v>26324.778297809873</v>
      </c>
      <c r="J5438">
        <f>(Table1[[#This Row],[value]] - Table1[[#This Row],[mean]]) / Table1[[#This Row],[std_dev]]</f>
        <v>0.79757983996973991</v>
      </c>
      <c r="K5438">
        <f>AVERAGEIF(Table1[CountryCode],Table1[[#This Row],[CountryCode]],Table1[z-score])</f>
        <v>0.36646997985615637</v>
      </c>
      <c r="L5438" t="e">
        <f>VLOOKUP(Table1[[#This Row],[CountryCode]],[1]!Table1[#All],1,FALSE)</f>
        <v>#REF!</v>
      </c>
    </row>
    <row r="5439" spans="1:12" x14ac:dyDescent="0.3">
      <c r="A5439" t="s">
        <v>101</v>
      </c>
      <c r="B5439" t="s">
        <v>102</v>
      </c>
      <c r="C5439" t="s">
        <v>127</v>
      </c>
      <c r="D5439" t="s">
        <v>128</v>
      </c>
      <c r="E5439">
        <v>2020</v>
      </c>
      <c r="F5439" s="1">
        <v>9632</v>
      </c>
      <c r="G5439">
        <v>2020</v>
      </c>
      <c r="H5439">
        <f>AVERAGEIFS(Table1[value],Table1[IndicatorCode],Table1[[#This Row],[IndicatorCode]])</f>
        <v>24902.88753799392</v>
      </c>
      <c r="I5439" cm="1">
        <f t="array" ref="I5439">_xlfn.STDEV.P(IF(Table1[IndicatorCode]=Table1[[#This Row],[IndicatorCode]],Table1[value]))</f>
        <v>26324.778297809873</v>
      </c>
      <c r="J5439">
        <f>(Table1[[#This Row],[value]] - Table1[[#This Row],[mean]]) / Table1[[#This Row],[std_dev]]</f>
        <v>-0.58009558011223228</v>
      </c>
      <c r="K5439">
        <f>AVERAGEIF(Table1[CountryCode],Table1[[#This Row],[CountryCode]],Table1[z-score])</f>
        <v>-0.17256201820971051</v>
      </c>
    </row>
    <row r="5440" spans="1:12" hidden="1" x14ac:dyDescent="0.3">
      <c r="A5440" t="s">
        <v>43</v>
      </c>
      <c r="B5440" t="s">
        <v>44</v>
      </c>
      <c r="C5440" t="s">
        <v>127</v>
      </c>
      <c r="D5440" t="s">
        <v>128</v>
      </c>
      <c r="E5440">
        <v>2021</v>
      </c>
      <c r="F5440" s="1">
        <v>45792</v>
      </c>
      <c r="G5440">
        <v>2020</v>
      </c>
      <c r="H5440">
        <f>AVERAGEIFS(Table1[value],Table1[IndicatorCode],Table1[[#This Row],[IndicatorCode]])</f>
        <v>24902.88753799392</v>
      </c>
      <c r="I5440" cm="1">
        <f t="array" ref="I5440">_xlfn.STDEV.P(IF(Table1[IndicatorCode]=Table1[[#This Row],[IndicatorCode]],Table1[value]))</f>
        <v>26324.778297809873</v>
      </c>
      <c r="J5440">
        <f>(Table1[[#This Row],[value]] - Table1[[#This Row],[mean]]) / Table1[[#This Row],[std_dev]]</f>
        <v>0.79351522834074462</v>
      </c>
      <c r="K5440">
        <f>AVERAGEIF(Table1[CountryCode],Table1[[#This Row],[CountryCode]],Table1[z-score])</f>
        <v>0.36646997985615637</v>
      </c>
      <c r="L5440" t="e">
        <f>VLOOKUP(Table1[[#This Row],[CountryCode]],[1]!Table1[#All],1,FALSE)</f>
        <v>#REF!</v>
      </c>
    </row>
    <row r="5441" spans="1:12" hidden="1" x14ac:dyDescent="0.3">
      <c r="A5441" t="s">
        <v>43</v>
      </c>
      <c r="B5441" t="s">
        <v>44</v>
      </c>
      <c r="C5441" t="s">
        <v>127</v>
      </c>
      <c r="D5441" t="s">
        <v>128</v>
      </c>
      <c r="E5441">
        <v>2022</v>
      </c>
      <c r="F5441" s="1">
        <v>46016</v>
      </c>
      <c r="G5441">
        <v>1960</v>
      </c>
      <c r="H5441">
        <f>AVERAGEIFS(Table1[value],Table1[IndicatorCode],Table1[[#This Row],[IndicatorCode]])</f>
        <v>24902.88753799392</v>
      </c>
      <c r="I5441" cm="1">
        <f t="array" ref="I5441">_xlfn.STDEV.P(IF(Table1[IndicatorCode]=Table1[[#This Row],[IndicatorCode]],Table1[value]))</f>
        <v>26324.778297809873</v>
      </c>
      <c r="J5441">
        <f>(Table1[[#This Row],[value]] - Table1[[#This Row],[mean]]) / Table1[[#This Row],[std_dev]]</f>
        <v>0.80202432184443562</v>
      </c>
      <c r="K5441">
        <f>AVERAGEIF(Table1[CountryCode],Table1[[#This Row],[CountryCode]],Table1[z-score])</f>
        <v>0.36646997985615637</v>
      </c>
      <c r="L5441" t="e">
        <f>VLOOKUP(Table1[[#This Row],[CountryCode]],[1]!Table1[#All],1,FALSE)</f>
        <v>#REF!</v>
      </c>
    </row>
    <row r="5442" spans="1:12" hidden="1" x14ac:dyDescent="0.3">
      <c r="A5442" t="s">
        <v>43</v>
      </c>
      <c r="B5442" t="s">
        <v>44</v>
      </c>
      <c r="C5442" t="s">
        <v>127</v>
      </c>
      <c r="D5442" t="s">
        <v>128</v>
      </c>
      <c r="E5442">
        <v>2023</v>
      </c>
      <c r="F5442" s="1">
        <v>45357</v>
      </c>
      <c r="G5442">
        <v>1960</v>
      </c>
      <c r="H5442">
        <f>AVERAGEIFS(Table1[value],Table1[IndicatorCode],Table1[[#This Row],[IndicatorCode]])</f>
        <v>24902.88753799392</v>
      </c>
      <c r="I5442" cm="1">
        <f t="array" ref="I5442">_xlfn.STDEV.P(IF(Table1[IndicatorCode]=Table1[[#This Row],[IndicatorCode]],Table1[value]))</f>
        <v>26324.778297809873</v>
      </c>
      <c r="J5442">
        <f>(Table1[[#This Row],[value]] - Table1[[#This Row],[mean]]) / Table1[[#This Row],[std_dev]]</f>
        <v>0.77699087265277322</v>
      </c>
      <c r="K5442">
        <f>AVERAGEIF(Table1[CountryCode],Table1[[#This Row],[CountryCode]],Table1[z-score])</f>
        <v>0.36646997985615637</v>
      </c>
      <c r="L5442" t="e">
        <f>VLOOKUP(Table1[[#This Row],[CountryCode]],[1]!Table1[#All],1,FALSE)</f>
        <v>#REF!</v>
      </c>
    </row>
    <row r="5443" spans="1:12" hidden="1" x14ac:dyDescent="0.3">
      <c r="A5443" t="s">
        <v>43</v>
      </c>
      <c r="B5443" t="s">
        <v>44</v>
      </c>
      <c r="C5443" t="s">
        <v>127</v>
      </c>
      <c r="D5443" t="s">
        <v>128</v>
      </c>
      <c r="E5443">
        <v>2024</v>
      </c>
      <c r="F5443" s="1">
        <v>45254</v>
      </c>
      <c r="G5443">
        <v>1960</v>
      </c>
      <c r="H5443">
        <f>AVERAGEIFS(Table1[value],Table1[IndicatorCode],Table1[[#This Row],[IndicatorCode]])</f>
        <v>24902.88753799392</v>
      </c>
      <c r="I5443" cm="1">
        <f t="array" ref="I5443">_xlfn.STDEV.P(IF(Table1[IndicatorCode]=Table1[[#This Row],[IndicatorCode]],Table1[value]))</f>
        <v>26324.778297809873</v>
      </c>
      <c r="J5443">
        <f>(Table1[[#This Row],[value]] - Table1[[#This Row],[mean]]) / Table1[[#This Row],[std_dev]]</f>
        <v>0.77307820912205816</v>
      </c>
      <c r="K5443">
        <f>AVERAGEIF(Table1[CountryCode],Table1[[#This Row],[CountryCode]],Table1[z-score])</f>
        <v>0.36646997985615637</v>
      </c>
      <c r="L5443" t="e">
        <f>VLOOKUP(Table1[[#This Row],[CountryCode]],[1]!Table1[#All],1,FALSE)</f>
        <v>#REF!</v>
      </c>
    </row>
    <row r="5444" spans="1:12" hidden="1" x14ac:dyDescent="0.3">
      <c r="A5444" t="s">
        <v>45</v>
      </c>
      <c r="B5444" t="s">
        <v>46</v>
      </c>
      <c r="C5444" t="s">
        <v>127</v>
      </c>
      <c r="D5444" t="s">
        <v>128</v>
      </c>
      <c r="E5444">
        <v>1960</v>
      </c>
      <c r="F5444" s="1">
        <v>10776</v>
      </c>
      <c r="G5444">
        <v>1960</v>
      </c>
      <c r="H5444">
        <f>AVERAGEIFS(Table1[value],Table1[IndicatorCode],Table1[[#This Row],[IndicatorCode]])</f>
        <v>24902.88753799392</v>
      </c>
      <c r="I5444" cm="1">
        <f t="array" ref="I5444">_xlfn.STDEV.P(IF(Table1[IndicatorCode]=Table1[[#This Row],[IndicatorCode]],Table1[value]))</f>
        <v>26324.778297809873</v>
      </c>
      <c r="J5444">
        <f>(Table1[[#This Row],[value]] - Table1[[#This Row],[mean]]) / Table1[[#This Row],[std_dev]]</f>
        <v>-0.536638424004096</v>
      </c>
      <c r="K5444">
        <f>AVERAGEIF(Table1[CountryCode],Table1[[#This Row],[CountryCode]],Table1[z-score])</f>
        <v>0.21233679132661218</v>
      </c>
      <c r="L5444" t="e">
        <f>VLOOKUP(Table1[[#This Row],[CountryCode]],[1]!Table1[#All],1,FALSE)</f>
        <v>#REF!</v>
      </c>
    </row>
    <row r="5445" spans="1:12" hidden="1" x14ac:dyDescent="0.3">
      <c r="A5445" t="s">
        <v>45</v>
      </c>
      <c r="B5445" t="s">
        <v>46</v>
      </c>
      <c r="C5445" t="s">
        <v>127</v>
      </c>
      <c r="D5445" t="s">
        <v>128</v>
      </c>
      <c r="E5445">
        <v>1961</v>
      </c>
      <c r="F5445" s="1">
        <v>11193</v>
      </c>
      <c r="G5445">
        <v>1960</v>
      </c>
      <c r="H5445">
        <f>AVERAGEIFS(Table1[value],Table1[IndicatorCode],Table1[[#This Row],[IndicatorCode]])</f>
        <v>24902.88753799392</v>
      </c>
      <c r="I5445" cm="1">
        <f t="array" ref="I5445">_xlfn.STDEV.P(IF(Table1[IndicatorCode]=Table1[[#This Row],[IndicatorCode]],Table1[value]))</f>
        <v>26324.778297809873</v>
      </c>
      <c r="J5445">
        <f>(Table1[[#This Row],[value]] - Table1[[#This Row],[mean]]) / Table1[[#This Row],[std_dev]]</f>
        <v>-0.52079783475838559</v>
      </c>
      <c r="K5445">
        <f>AVERAGEIF(Table1[CountryCode],Table1[[#This Row],[CountryCode]],Table1[z-score])</f>
        <v>0.21233679132661218</v>
      </c>
      <c r="L5445" t="e">
        <f>VLOOKUP(Table1[[#This Row],[CountryCode]],[1]!Table1[#All],1,FALSE)</f>
        <v>#REF!</v>
      </c>
    </row>
    <row r="5446" spans="1:12" hidden="1" x14ac:dyDescent="0.3">
      <c r="A5446" t="s">
        <v>45</v>
      </c>
      <c r="B5446" t="s">
        <v>46</v>
      </c>
      <c r="C5446" t="s">
        <v>127</v>
      </c>
      <c r="D5446" t="s">
        <v>128</v>
      </c>
      <c r="E5446">
        <v>1962</v>
      </c>
      <c r="F5446" s="1">
        <v>11841</v>
      </c>
      <c r="G5446">
        <v>1960</v>
      </c>
      <c r="H5446">
        <f>AVERAGEIFS(Table1[value],Table1[IndicatorCode],Table1[[#This Row],[IndicatorCode]])</f>
        <v>24902.88753799392</v>
      </c>
      <c r="I5446" cm="1">
        <f t="array" ref="I5446">_xlfn.STDEV.P(IF(Table1[IndicatorCode]=Table1[[#This Row],[IndicatorCode]],Table1[value]))</f>
        <v>26324.778297809873</v>
      </c>
      <c r="J5446">
        <f>(Table1[[#This Row],[value]] - Table1[[#This Row],[mean]]) / Table1[[#This Row],[std_dev]]</f>
        <v>-0.49618224283699369</v>
      </c>
      <c r="K5446">
        <f>AVERAGEIF(Table1[CountryCode],Table1[[#This Row],[CountryCode]],Table1[z-score])</f>
        <v>0.21233679132661218</v>
      </c>
      <c r="L5446" t="e">
        <f>VLOOKUP(Table1[[#This Row],[CountryCode]],[1]!Table1[#All],1,FALSE)</f>
        <v>#REF!</v>
      </c>
    </row>
    <row r="5447" spans="1:12" hidden="1" x14ac:dyDescent="0.3">
      <c r="A5447" t="s">
        <v>45</v>
      </c>
      <c r="B5447" t="s">
        <v>46</v>
      </c>
      <c r="C5447" t="s">
        <v>127</v>
      </c>
      <c r="D5447" t="s">
        <v>128</v>
      </c>
      <c r="E5447">
        <v>1963</v>
      </c>
      <c r="F5447" s="1">
        <v>12438</v>
      </c>
      <c r="G5447">
        <v>1960</v>
      </c>
      <c r="H5447">
        <f>AVERAGEIFS(Table1[value],Table1[IndicatorCode],Table1[[#This Row],[IndicatorCode]])</f>
        <v>24902.88753799392</v>
      </c>
      <c r="I5447" cm="1">
        <f t="array" ref="I5447">_xlfn.STDEV.P(IF(Table1[IndicatorCode]=Table1[[#This Row],[IndicatorCode]],Table1[value]))</f>
        <v>26324.778297809873</v>
      </c>
      <c r="J5447">
        <f>(Table1[[#This Row],[value]] - Table1[[#This Row],[mean]]) / Table1[[#This Row],[std_dev]]</f>
        <v>-0.47350398916867437</v>
      </c>
      <c r="K5447">
        <f>AVERAGEIF(Table1[CountryCode],Table1[[#This Row],[CountryCode]],Table1[z-score])</f>
        <v>0.21233679132661218</v>
      </c>
      <c r="L5447" t="e">
        <f>VLOOKUP(Table1[[#This Row],[CountryCode]],[1]!Table1[#All],1,FALSE)</f>
        <v>#REF!</v>
      </c>
    </row>
    <row r="5448" spans="1:12" hidden="1" x14ac:dyDescent="0.3">
      <c r="A5448" t="s">
        <v>45</v>
      </c>
      <c r="B5448" t="s">
        <v>46</v>
      </c>
      <c r="C5448" t="s">
        <v>127</v>
      </c>
      <c r="D5448" t="s">
        <v>128</v>
      </c>
      <c r="E5448">
        <v>1964</v>
      </c>
      <c r="F5448" s="1">
        <v>13116</v>
      </c>
      <c r="G5448">
        <v>1960</v>
      </c>
      <c r="H5448">
        <f>AVERAGEIFS(Table1[value],Table1[IndicatorCode],Table1[[#This Row],[IndicatorCode]])</f>
        <v>24902.88753799392</v>
      </c>
      <c r="I5448" cm="1">
        <f t="array" ref="I5448">_xlfn.STDEV.P(IF(Table1[IndicatorCode]=Table1[[#This Row],[IndicatorCode]],Table1[value]))</f>
        <v>26324.778297809873</v>
      </c>
      <c r="J5448">
        <f>(Table1[[#This Row],[value]] - Table1[[#This Row],[mean]]) / Table1[[#This Row],[std_dev]]</f>
        <v>-0.44774878651018102</v>
      </c>
      <c r="K5448">
        <f>AVERAGEIF(Table1[CountryCode],Table1[[#This Row],[CountryCode]],Table1[z-score])</f>
        <v>0.21233679132661218</v>
      </c>
      <c r="L5448" t="e">
        <f>VLOOKUP(Table1[[#This Row],[CountryCode]],[1]!Table1[#All],1,FALSE)</f>
        <v>#REF!</v>
      </c>
    </row>
    <row r="5449" spans="1:12" hidden="1" x14ac:dyDescent="0.3">
      <c r="A5449" t="s">
        <v>45</v>
      </c>
      <c r="B5449" t="s">
        <v>46</v>
      </c>
      <c r="C5449" t="s">
        <v>127</v>
      </c>
      <c r="D5449" t="s">
        <v>128</v>
      </c>
      <c r="E5449">
        <v>1965</v>
      </c>
      <c r="F5449" s="1">
        <v>13619</v>
      </c>
      <c r="G5449">
        <v>1960</v>
      </c>
      <c r="H5449">
        <f>AVERAGEIFS(Table1[value],Table1[IndicatorCode],Table1[[#This Row],[IndicatorCode]])</f>
        <v>24902.88753799392</v>
      </c>
      <c r="I5449" cm="1">
        <f t="array" ref="I5449">_xlfn.STDEV.P(IF(Table1[IndicatorCode]=Table1[[#This Row],[IndicatorCode]],Table1[value]))</f>
        <v>26324.778297809873</v>
      </c>
      <c r="J5449">
        <f>(Table1[[#This Row],[value]] - Table1[[#This Row],[mean]]) / Table1[[#This Row],[std_dev]]</f>
        <v>-0.42864131315144632</v>
      </c>
      <c r="K5449">
        <f>AVERAGEIF(Table1[CountryCode],Table1[[#This Row],[CountryCode]],Table1[z-score])</f>
        <v>0.21233679132661218</v>
      </c>
      <c r="L5449" t="e">
        <f>VLOOKUP(Table1[[#This Row],[CountryCode]],[1]!Table1[#All],1,FALSE)</f>
        <v>#REF!</v>
      </c>
    </row>
    <row r="5450" spans="1:12" hidden="1" x14ac:dyDescent="0.3">
      <c r="A5450" t="s">
        <v>45</v>
      </c>
      <c r="B5450" t="s">
        <v>46</v>
      </c>
      <c r="C5450" t="s">
        <v>127</v>
      </c>
      <c r="D5450" t="s">
        <v>128</v>
      </c>
      <c r="E5450">
        <v>1966</v>
      </c>
      <c r="F5450" s="1">
        <v>14199</v>
      </c>
      <c r="G5450">
        <v>1960</v>
      </c>
      <c r="H5450">
        <f>AVERAGEIFS(Table1[value],Table1[IndicatorCode],Table1[[#This Row],[IndicatorCode]])</f>
        <v>24902.88753799392</v>
      </c>
      <c r="I5450" cm="1">
        <f t="array" ref="I5450">_xlfn.STDEV.P(IF(Table1[IndicatorCode]=Table1[[#This Row],[IndicatorCode]],Table1[value]))</f>
        <v>26324.778297809873</v>
      </c>
      <c r="J5450">
        <f>(Table1[[#This Row],[value]] - Table1[[#This Row],[mean]]) / Table1[[#This Row],[std_dev]]</f>
        <v>-0.40660883890081784</v>
      </c>
      <c r="K5450">
        <f>AVERAGEIF(Table1[CountryCode],Table1[[#This Row],[CountryCode]],Table1[z-score])</f>
        <v>0.21233679132661218</v>
      </c>
      <c r="L5450" t="e">
        <f>VLOOKUP(Table1[[#This Row],[CountryCode]],[1]!Table1[#All],1,FALSE)</f>
        <v>#REF!</v>
      </c>
    </row>
    <row r="5451" spans="1:12" hidden="1" x14ac:dyDescent="0.3">
      <c r="A5451" t="s">
        <v>45</v>
      </c>
      <c r="B5451" t="s">
        <v>46</v>
      </c>
      <c r="C5451" t="s">
        <v>127</v>
      </c>
      <c r="D5451" t="s">
        <v>128</v>
      </c>
      <c r="E5451">
        <v>1967</v>
      </c>
      <c r="F5451" s="1">
        <v>14760</v>
      </c>
      <c r="G5451">
        <v>1970</v>
      </c>
      <c r="H5451">
        <f>AVERAGEIFS(Table1[value],Table1[IndicatorCode],Table1[[#This Row],[IndicatorCode]])</f>
        <v>24902.88753799392</v>
      </c>
      <c r="I5451" cm="1">
        <f t="array" ref="I5451">_xlfn.STDEV.P(IF(Table1[IndicatorCode]=Table1[[#This Row],[IndicatorCode]],Table1[value]))</f>
        <v>26324.778297809873</v>
      </c>
      <c r="J5451">
        <f>(Table1[[#This Row],[value]] - Table1[[#This Row],[mean]]) / Table1[[#This Row],[std_dev]]</f>
        <v>-0.38529811811702025</v>
      </c>
      <c r="K5451">
        <f>AVERAGEIF(Table1[CountryCode],Table1[[#This Row],[CountryCode]],Table1[z-score])</f>
        <v>0.21233679132661218</v>
      </c>
      <c r="L5451" t="e">
        <f>VLOOKUP(Table1[[#This Row],[CountryCode]],[1]!Table1[#All],1,FALSE)</f>
        <v>#REF!</v>
      </c>
    </row>
    <row r="5452" spans="1:12" hidden="1" x14ac:dyDescent="0.3">
      <c r="A5452" t="s">
        <v>45</v>
      </c>
      <c r="B5452" t="s">
        <v>46</v>
      </c>
      <c r="C5452" t="s">
        <v>127</v>
      </c>
      <c r="D5452" t="s">
        <v>128</v>
      </c>
      <c r="E5452">
        <v>1968</v>
      </c>
      <c r="F5452" s="1">
        <v>15313</v>
      </c>
      <c r="G5452">
        <v>1970</v>
      </c>
      <c r="H5452">
        <f>AVERAGEIFS(Table1[value],Table1[IndicatorCode],Table1[[#This Row],[IndicatorCode]])</f>
        <v>24902.88753799392</v>
      </c>
      <c r="I5452" cm="1">
        <f t="array" ref="I5452">_xlfn.STDEV.P(IF(Table1[IndicatorCode]=Table1[[#This Row],[IndicatorCode]],Table1[value]))</f>
        <v>26324.778297809873</v>
      </c>
      <c r="J5452">
        <f>(Table1[[#This Row],[value]] - Table1[[#This Row],[mean]]) / Table1[[#This Row],[std_dev]]</f>
        <v>-0.36429129352978307</v>
      </c>
      <c r="K5452">
        <f>AVERAGEIF(Table1[CountryCode],Table1[[#This Row],[CountryCode]],Table1[z-score])</f>
        <v>0.21233679132661218</v>
      </c>
      <c r="L5452" t="e">
        <f>VLOOKUP(Table1[[#This Row],[CountryCode]],[1]!Table1[#All],1,FALSE)</f>
        <v>#REF!</v>
      </c>
    </row>
    <row r="5453" spans="1:12" hidden="1" x14ac:dyDescent="0.3">
      <c r="A5453" t="s">
        <v>45</v>
      </c>
      <c r="B5453" t="s">
        <v>46</v>
      </c>
      <c r="C5453" t="s">
        <v>127</v>
      </c>
      <c r="D5453" t="s">
        <v>128</v>
      </c>
      <c r="E5453">
        <v>1969</v>
      </c>
      <c r="F5453" s="1">
        <v>16265</v>
      </c>
      <c r="G5453">
        <v>1970</v>
      </c>
      <c r="H5453">
        <f>AVERAGEIFS(Table1[value],Table1[IndicatorCode],Table1[[#This Row],[IndicatorCode]])</f>
        <v>24902.88753799392</v>
      </c>
      <c r="I5453" cm="1">
        <f t="array" ref="I5453">_xlfn.STDEV.P(IF(Table1[IndicatorCode]=Table1[[#This Row],[IndicatorCode]],Table1[value]))</f>
        <v>26324.778297809873</v>
      </c>
      <c r="J5453">
        <f>(Table1[[#This Row],[value]] - Table1[[#This Row],[mean]]) / Table1[[#This Row],[std_dev]]</f>
        <v>-0.32812764613909629</v>
      </c>
      <c r="K5453">
        <f>AVERAGEIF(Table1[CountryCode],Table1[[#This Row],[CountryCode]],Table1[z-score])</f>
        <v>0.21233679132661218</v>
      </c>
      <c r="L5453" t="e">
        <f>VLOOKUP(Table1[[#This Row],[CountryCode]],[1]!Table1[#All],1,FALSE)</f>
        <v>#REF!</v>
      </c>
    </row>
    <row r="5454" spans="1:12" hidden="1" x14ac:dyDescent="0.3">
      <c r="A5454" t="s">
        <v>45</v>
      </c>
      <c r="B5454" t="s">
        <v>46</v>
      </c>
      <c r="C5454" t="s">
        <v>127</v>
      </c>
      <c r="D5454" t="s">
        <v>128</v>
      </c>
      <c r="E5454">
        <v>1970</v>
      </c>
      <c r="F5454" s="1">
        <v>17117</v>
      </c>
      <c r="G5454">
        <v>1970</v>
      </c>
      <c r="H5454">
        <f>AVERAGEIFS(Table1[value],Table1[IndicatorCode],Table1[[#This Row],[IndicatorCode]])</f>
        <v>24902.88753799392</v>
      </c>
      <c r="I5454" cm="1">
        <f t="array" ref="I5454">_xlfn.STDEV.P(IF(Table1[IndicatorCode]=Table1[[#This Row],[IndicatorCode]],Table1[value]))</f>
        <v>26324.778297809873</v>
      </c>
      <c r="J5454">
        <f>(Table1[[#This Row],[value]] - Table1[[#This Row],[mean]]) / Table1[[#This Row],[std_dev]]</f>
        <v>-0.29576270120541442</v>
      </c>
      <c r="K5454">
        <f>AVERAGEIF(Table1[CountryCode],Table1[[#This Row],[CountryCode]],Table1[z-score])</f>
        <v>0.21233679132661218</v>
      </c>
      <c r="L5454" t="e">
        <f>VLOOKUP(Table1[[#This Row],[CountryCode]],[1]!Table1[#All],1,FALSE)</f>
        <v>#REF!</v>
      </c>
    </row>
    <row r="5455" spans="1:12" hidden="1" x14ac:dyDescent="0.3">
      <c r="A5455" t="s">
        <v>45</v>
      </c>
      <c r="B5455" t="s">
        <v>46</v>
      </c>
      <c r="C5455" t="s">
        <v>127</v>
      </c>
      <c r="D5455" t="s">
        <v>128</v>
      </c>
      <c r="E5455">
        <v>1971</v>
      </c>
      <c r="F5455" s="1">
        <v>17854</v>
      </c>
      <c r="G5455">
        <v>1970</v>
      </c>
      <c r="H5455">
        <f>AVERAGEIFS(Table1[value],Table1[IndicatorCode],Table1[[#This Row],[IndicatorCode]])</f>
        <v>24902.88753799392</v>
      </c>
      <c r="I5455" cm="1">
        <f t="array" ref="I5455">_xlfn.STDEV.P(IF(Table1[IndicatorCode]=Table1[[#This Row],[IndicatorCode]],Table1[value]))</f>
        <v>26324.778297809873</v>
      </c>
      <c r="J5455">
        <f>(Table1[[#This Row],[value]] - Table1[[#This Row],[mean]]) / Table1[[#This Row],[std_dev]]</f>
        <v>-0.26776626409728821</v>
      </c>
      <c r="K5455">
        <f>AVERAGEIF(Table1[CountryCode],Table1[[#This Row],[CountryCode]],Table1[z-score])</f>
        <v>0.21233679132661218</v>
      </c>
      <c r="L5455" t="e">
        <f>VLOOKUP(Table1[[#This Row],[CountryCode]],[1]!Table1[#All],1,FALSE)</f>
        <v>#REF!</v>
      </c>
    </row>
    <row r="5456" spans="1:12" hidden="1" x14ac:dyDescent="0.3">
      <c r="A5456" t="s">
        <v>45</v>
      </c>
      <c r="B5456" t="s">
        <v>46</v>
      </c>
      <c r="C5456" t="s">
        <v>127</v>
      </c>
      <c r="D5456" t="s">
        <v>128</v>
      </c>
      <c r="E5456">
        <v>1972</v>
      </c>
      <c r="F5456" s="1">
        <v>18497</v>
      </c>
      <c r="G5456">
        <v>1970</v>
      </c>
      <c r="H5456">
        <f>AVERAGEIFS(Table1[value],Table1[IndicatorCode],Table1[[#This Row],[IndicatorCode]])</f>
        <v>24902.88753799392</v>
      </c>
      <c r="I5456" cm="1">
        <f t="array" ref="I5456">_xlfn.STDEV.P(IF(Table1[IndicatorCode]=Table1[[#This Row],[IndicatorCode]],Table1[value]))</f>
        <v>26324.778297809873</v>
      </c>
      <c r="J5456">
        <f>(Table1[[#This Row],[value]] - Table1[[#This Row],[mean]]) / Table1[[#This Row],[std_dev]]</f>
        <v>-0.24334060729874663</v>
      </c>
      <c r="K5456">
        <f>AVERAGEIF(Table1[CountryCode],Table1[[#This Row],[CountryCode]],Table1[z-score])</f>
        <v>0.21233679132661218</v>
      </c>
      <c r="L5456" t="e">
        <f>VLOOKUP(Table1[[#This Row],[CountryCode]],[1]!Table1[#All],1,FALSE)</f>
        <v>#REF!</v>
      </c>
    </row>
    <row r="5457" spans="1:12" hidden="1" x14ac:dyDescent="0.3">
      <c r="A5457" t="s">
        <v>45</v>
      </c>
      <c r="B5457" t="s">
        <v>46</v>
      </c>
      <c r="C5457" t="s">
        <v>127</v>
      </c>
      <c r="D5457" t="s">
        <v>128</v>
      </c>
      <c r="E5457">
        <v>1973</v>
      </c>
      <c r="F5457" s="1">
        <v>19484</v>
      </c>
      <c r="G5457">
        <v>1970</v>
      </c>
      <c r="H5457">
        <f>AVERAGEIFS(Table1[value],Table1[IndicatorCode],Table1[[#This Row],[IndicatorCode]])</f>
        <v>24902.88753799392</v>
      </c>
      <c r="I5457" cm="1">
        <f t="array" ref="I5457">_xlfn.STDEV.P(IF(Table1[IndicatorCode]=Table1[[#This Row],[IndicatorCode]],Table1[value]))</f>
        <v>26324.778297809873</v>
      </c>
      <c r="J5457">
        <f>(Table1[[#This Row],[value]] - Table1[[#This Row],[mean]]) / Table1[[#This Row],[std_dev]]</f>
        <v>-0.20584741404810813</v>
      </c>
      <c r="K5457">
        <f>AVERAGEIF(Table1[CountryCode],Table1[[#This Row],[CountryCode]],Table1[z-score])</f>
        <v>0.21233679132661218</v>
      </c>
      <c r="L5457" t="e">
        <f>VLOOKUP(Table1[[#This Row],[CountryCode]],[1]!Table1[#All],1,FALSE)</f>
        <v>#REF!</v>
      </c>
    </row>
    <row r="5458" spans="1:12" hidden="1" x14ac:dyDescent="0.3">
      <c r="A5458" t="s">
        <v>45</v>
      </c>
      <c r="B5458" t="s">
        <v>46</v>
      </c>
      <c r="C5458" t="s">
        <v>127</v>
      </c>
      <c r="D5458" t="s">
        <v>128</v>
      </c>
      <c r="E5458">
        <v>1974</v>
      </c>
      <c r="F5458" s="1">
        <v>20210</v>
      </c>
      <c r="G5458">
        <v>1970</v>
      </c>
      <c r="H5458">
        <f>AVERAGEIFS(Table1[value],Table1[IndicatorCode],Table1[[#This Row],[IndicatorCode]])</f>
        <v>24902.88753799392</v>
      </c>
      <c r="I5458" cm="1">
        <f t="array" ref="I5458">_xlfn.STDEV.P(IF(Table1[IndicatorCode]=Table1[[#This Row],[IndicatorCode]],Table1[value]))</f>
        <v>26324.778297809873</v>
      </c>
      <c r="J5458">
        <f>(Table1[[#This Row],[value]] - Table1[[#This Row],[mean]]) / Table1[[#This Row],[std_dev]]</f>
        <v>-0.17826883421025244</v>
      </c>
      <c r="K5458">
        <f>AVERAGEIF(Table1[CountryCode],Table1[[#This Row],[CountryCode]],Table1[z-score])</f>
        <v>0.21233679132661218</v>
      </c>
      <c r="L5458" t="e">
        <f>VLOOKUP(Table1[[#This Row],[CountryCode]],[1]!Table1[#All],1,FALSE)</f>
        <v>#REF!</v>
      </c>
    </row>
    <row r="5459" spans="1:12" hidden="1" x14ac:dyDescent="0.3">
      <c r="A5459" t="s">
        <v>45</v>
      </c>
      <c r="B5459" t="s">
        <v>46</v>
      </c>
      <c r="C5459" t="s">
        <v>127</v>
      </c>
      <c r="D5459" t="s">
        <v>128</v>
      </c>
      <c r="E5459">
        <v>1975</v>
      </c>
      <c r="F5459" s="1">
        <v>19924</v>
      </c>
      <c r="G5459">
        <v>1970</v>
      </c>
      <c r="H5459">
        <f>AVERAGEIFS(Table1[value],Table1[IndicatorCode],Table1[[#This Row],[IndicatorCode]])</f>
        <v>24902.88753799392</v>
      </c>
      <c r="I5459" cm="1">
        <f t="array" ref="I5459">_xlfn.STDEV.P(IF(Table1[IndicatorCode]=Table1[[#This Row],[IndicatorCode]],Table1[value]))</f>
        <v>26324.778297809873</v>
      </c>
      <c r="J5459">
        <f>(Table1[[#This Row],[value]] - Table1[[#This Row],[mean]]) / Table1[[#This Row],[std_dev]]</f>
        <v>-0.18913312323728651</v>
      </c>
      <c r="K5459">
        <f>AVERAGEIF(Table1[CountryCode],Table1[[#This Row],[CountryCode]],Table1[z-score])</f>
        <v>0.21233679132661218</v>
      </c>
      <c r="L5459" t="e">
        <f>VLOOKUP(Table1[[#This Row],[CountryCode]],[1]!Table1[#All],1,FALSE)</f>
        <v>#REF!</v>
      </c>
    </row>
    <row r="5460" spans="1:12" hidden="1" x14ac:dyDescent="0.3">
      <c r="A5460" t="s">
        <v>45</v>
      </c>
      <c r="B5460" t="s">
        <v>46</v>
      </c>
      <c r="C5460" t="s">
        <v>127</v>
      </c>
      <c r="D5460" t="s">
        <v>128</v>
      </c>
      <c r="E5460">
        <v>1976</v>
      </c>
      <c r="F5460" s="1">
        <v>20701</v>
      </c>
      <c r="G5460">
        <v>1970</v>
      </c>
      <c r="H5460">
        <f>AVERAGEIFS(Table1[value],Table1[IndicatorCode],Table1[[#This Row],[IndicatorCode]])</f>
        <v>24902.88753799392</v>
      </c>
      <c r="I5460" cm="1">
        <f t="array" ref="I5460">_xlfn.STDEV.P(IF(Table1[IndicatorCode]=Table1[[#This Row],[IndicatorCode]],Table1[value]))</f>
        <v>26324.778297809873</v>
      </c>
      <c r="J5460">
        <f>(Table1[[#This Row],[value]] - Table1[[#This Row],[mean]]) / Table1[[#This Row],[std_dev]]</f>
        <v>-0.15961720514635833</v>
      </c>
      <c r="K5460">
        <f>AVERAGEIF(Table1[CountryCode],Table1[[#This Row],[CountryCode]],Table1[z-score])</f>
        <v>0.21233679132661218</v>
      </c>
      <c r="L5460" t="e">
        <f>VLOOKUP(Table1[[#This Row],[CountryCode]],[1]!Table1[#All],1,FALSE)</f>
        <v>#REF!</v>
      </c>
    </row>
    <row r="5461" spans="1:12" hidden="1" x14ac:dyDescent="0.3">
      <c r="A5461" t="s">
        <v>45</v>
      </c>
      <c r="B5461" t="s">
        <v>46</v>
      </c>
      <c r="C5461" t="s">
        <v>127</v>
      </c>
      <c r="D5461" t="s">
        <v>128</v>
      </c>
      <c r="E5461">
        <v>1977</v>
      </c>
      <c r="F5461" s="1">
        <v>21336</v>
      </c>
      <c r="G5461">
        <v>1980</v>
      </c>
      <c r="H5461">
        <f>AVERAGEIFS(Table1[value],Table1[IndicatorCode],Table1[[#This Row],[IndicatorCode]])</f>
        <v>24902.88753799392</v>
      </c>
      <c r="I5461" cm="1">
        <f t="array" ref="I5461">_xlfn.STDEV.P(IF(Table1[IndicatorCode]=Table1[[#This Row],[IndicatorCode]],Table1[value]))</f>
        <v>26324.778297809873</v>
      </c>
      <c r="J5461">
        <f>(Table1[[#This Row],[value]] - Table1[[#This Row],[mean]]) / Table1[[#This Row],[std_dev]]</f>
        <v>-0.13549544454437712</v>
      </c>
      <c r="K5461">
        <f>AVERAGEIF(Table1[CountryCode],Table1[[#This Row],[CountryCode]],Table1[z-score])</f>
        <v>0.21233679132661218</v>
      </c>
      <c r="L5461" t="e">
        <f>VLOOKUP(Table1[[#This Row],[CountryCode]],[1]!Table1[#All],1,FALSE)</f>
        <v>#REF!</v>
      </c>
    </row>
    <row r="5462" spans="1:12" hidden="1" x14ac:dyDescent="0.3">
      <c r="A5462" t="s">
        <v>45</v>
      </c>
      <c r="B5462" t="s">
        <v>46</v>
      </c>
      <c r="C5462" t="s">
        <v>127</v>
      </c>
      <c r="D5462" t="s">
        <v>128</v>
      </c>
      <c r="E5462">
        <v>1978</v>
      </c>
      <c r="F5462" s="1">
        <v>22079</v>
      </c>
      <c r="G5462">
        <v>1980</v>
      </c>
      <c r="H5462">
        <f>AVERAGEIFS(Table1[value],Table1[IndicatorCode],Table1[[#This Row],[IndicatorCode]])</f>
        <v>24902.88753799392</v>
      </c>
      <c r="I5462" cm="1">
        <f t="array" ref="I5462">_xlfn.STDEV.P(IF(Table1[IndicatorCode]=Table1[[#This Row],[IndicatorCode]],Table1[value]))</f>
        <v>26324.778297809873</v>
      </c>
      <c r="J5462">
        <f>(Table1[[#This Row],[value]] - Table1[[#This Row],[mean]]) / Table1[[#This Row],[std_dev]]</f>
        <v>-0.10727108528883061</v>
      </c>
      <c r="K5462">
        <f>AVERAGEIF(Table1[CountryCode],Table1[[#This Row],[CountryCode]],Table1[z-score])</f>
        <v>0.21233679132661218</v>
      </c>
      <c r="L5462" t="e">
        <f>VLOOKUP(Table1[[#This Row],[CountryCode]],[1]!Table1[#All],1,FALSE)</f>
        <v>#REF!</v>
      </c>
    </row>
    <row r="5463" spans="1:12" hidden="1" x14ac:dyDescent="0.3">
      <c r="A5463" t="s">
        <v>45</v>
      </c>
      <c r="B5463" t="s">
        <v>46</v>
      </c>
      <c r="C5463" t="s">
        <v>127</v>
      </c>
      <c r="D5463" t="s">
        <v>128</v>
      </c>
      <c r="E5463">
        <v>1979</v>
      </c>
      <c r="F5463" s="1">
        <v>22792</v>
      </c>
      <c r="G5463">
        <v>1980</v>
      </c>
      <c r="H5463">
        <f>AVERAGEIFS(Table1[value],Table1[IndicatorCode],Table1[[#This Row],[IndicatorCode]])</f>
        <v>24902.88753799392</v>
      </c>
      <c r="I5463" cm="1">
        <f t="array" ref="I5463">_xlfn.STDEV.P(IF(Table1[IndicatorCode]=Table1[[#This Row],[IndicatorCode]],Table1[value]))</f>
        <v>26324.778297809873</v>
      </c>
      <c r="J5463">
        <f>(Table1[[#This Row],[value]] - Table1[[#This Row],[mean]]) / Table1[[#This Row],[std_dev]]</f>
        <v>-8.0186336770385572E-2</v>
      </c>
      <c r="K5463">
        <f>AVERAGEIF(Table1[CountryCode],Table1[[#This Row],[CountryCode]],Table1[z-score])</f>
        <v>0.21233679132661218</v>
      </c>
      <c r="L5463" t="e">
        <f>VLOOKUP(Table1[[#This Row],[CountryCode]],[1]!Table1[#All],1,FALSE)</f>
        <v>#REF!</v>
      </c>
    </row>
    <row r="5464" spans="1:12" hidden="1" x14ac:dyDescent="0.3">
      <c r="A5464" t="s">
        <v>45</v>
      </c>
      <c r="B5464" t="s">
        <v>46</v>
      </c>
      <c r="C5464" t="s">
        <v>127</v>
      </c>
      <c r="D5464" t="s">
        <v>128</v>
      </c>
      <c r="E5464">
        <v>1980</v>
      </c>
      <c r="F5464" s="1">
        <v>23051</v>
      </c>
      <c r="G5464">
        <v>1980</v>
      </c>
      <c r="H5464">
        <f>AVERAGEIFS(Table1[value],Table1[IndicatorCode],Table1[[#This Row],[IndicatorCode]])</f>
        <v>24902.88753799392</v>
      </c>
      <c r="I5464" cm="1">
        <f t="array" ref="I5464">_xlfn.STDEV.P(IF(Table1[IndicatorCode]=Table1[[#This Row],[IndicatorCode]],Table1[value]))</f>
        <v>26324.778297809873</v>
      </c>
      <c r="J5464">
        <f>(Table1[[#This Row],[value]] - Table1[[#This Row],[mean]]) / Table1[[#This Row],[std_dev]]</f>
        <v>-7.0347697406742848E-2</v>
      </c>
      <c r="K5464">
        <f>AVERAGEIF(Table1[CountryCode],Table1[[#This Row],[CountryCode]],Table1[z-score])</f>
        <v>0.21233679132661218</v>
      </c>
      <c r="L5464" t="e">
        <f>VLOOKUP(Table1[[#This Row],[CountryCode]],[1]!Table1[#All],1,FALSE)</f>
        <v>#REF!</v>
      </c>
    </row>
    <row r="5465" spans="1:12" hidden="1" x14ac:dyDescent="0.3">
      <c r="A5465" t="s">
        <v>45</v>
      </c>
      <c r="B5465" t="s">
        <v>46</v>
      </c>
      <c r="C5465" t="s">
        <v>127</v>
      </c>
      <c r="D5465" t="s">
        <v>128</v>
      </c>
      <c r="E5465">
        <v>1981</v>
      </c>
      <c r="F5465" s="1">
        <v>23187</v>
      </c>
      <c r="G5465">
        <v>1980</v>
      </c>
      <c r="H5465">
        <f>AVERAGEIFS(Table1[value],Table1[IndicatorCode],Table1[[#This Row],[IndicatorCode]])</f>
        <v>24902.88753799392</v>
      </c>
      <c r="I5465" cm="1">
        <f t="array" ref="I5465">_xlfn.STDEV.P(IF(Table1[IndicatorCode]=Table1[[#This Row],[IndicatorCode]],Table1[value]))</f>
        <v>26324.778297809873</v>
      </c>
      <c r="J5465">
        <f>(Table1[[#This Row],[value]] - Table1[[#This Row],[mean]]) / Table1[[#This Row],[std_dev]]</f>
        <v>-6.5181462065216161E-2</v>
      </c>
      <c r="K5465">
        <f>AVERAGEIF(Table1[CountryCode],Table1[[#This Row],[CountryCode]],Table1[z-score])</f>
        <v>0.21233679132661218</v>
      </c>
      <c r="L5465" t="e">
        <f>VLOOKUP(Table1[[#This Row],[CountryCode]],[1]!Table1[#All],1,FALSE)</f>
        <v>#REF!</v>
      </c>
    </row>
    <row r="5466" spans="1:12" hidden="1" x14ac:dyDescent="0.3">
      <c r="A5466" t="s">
        <v>45</v>
      </c>
      <c r="B5466" t="s">
        <v>46</v>
      </c>
      <c r="C5466" t="s">
        <v>127</v>
      </c>
      <c r="D5466" t="s">
        <v>128</v>
      </c>
      <c r="E5466">
        <v>1982</v>
      </c>
      <c r="F5466" s="1">
        <v>23667</v>
      </c>
      <c r="G5466">
        <v>1980</v>
      </c>
      <c r="H5466">
        <f>AVERAGEIFS(Table1[value],Table1[IndicatorCode],Table1[[#This Row],[IndicatorCode]])</f>
        <v>24902.88753799392</v>
      </c>
      <c r="I5466" cm="1">
        <f t="array" ref="I5466">_xlfn.STDEV.P(IF(Table1[IndicatorCode]=Table1[[#This Row],[IndicatorCode]],Table1[value]))</f>
        <v>26324.778297809873</v>
      </c>
      <c r="J5466">
        <f>(Table1[[#This Row],[value]] - Table1[[#This Row],[mean]]) / Table1[[#This Row],[std_dev]]</f>
        <v>-4.6947690271592575E-2</v>
      </c>
      <c r="K5466">
        <f>AVERAGEIF(Table1[CountryCode],Table1[[#This Row],[CountryCode]],Table1[z-score])</f>
        <v>0.21233679132661218</v>
      </c>
      <c r="L5466" t="e">
        <f>VLOOKUP(Table1[[#This Row],[CountryCode]],[1]!Table1[#All],1,FALSE)</f>
        <v>#REF!</v>
      </c>
    </row>
    <row r="5467" spans="1:12" hidden="1" x14ac:dyDescent="0.3">
      <c r="A5467" t="s">
        <v>45</v>
      </c>
      <c r="B5467" t="s">
        <v>46</v>
      </c>
      <c r="C5467" t="s">
        <v>127</v>
      </c>
      <c r="D5467" t="s">
        <v>128</v>
      </c>
      <c r="E5467">
        <v>1983</v>
      </c>
      <c r="F5467" s="1">
        <v>23836</v>
      </c>
      <c r="G5467">
        <v>1980</v>
      </c>
      <c r="H5467">
        <f>AVERAGEIFS(Table1[value],Table1[IndicatorCode],Table1[[#This Row],[IndicatorCode]])</f>
        <v>24902.88753799392</v>
      </c>
      <c r="I5467" cm="1">
        <f t="array" ref="I5467">_xlfn.STDEV.P(IF(Table1[IndicatorCode]=Table1[[#This Row],[IndicatorCode]],Table1[value]))</f>
        <v>26324.778297809873</v>
      </c>
      <c r="J5467">
        <f>(Table1[[#This Row],[value]] - Table1[[#This Row],[mean]]) / Table1[[#This Row],[std_dev]]</f>
        <v>-4.0527883119254274E-2</v>
      </c>
      <c r="K5467">
        <f>AVERAGEIF(Table1[CountryCode],Table1[[#This Row],[CountryCode]],Table1[z-score])</f>
        <v>0.21233679132661218</v>
      </c>
      <c r="L5467" t="e">
        <f>VLOOKUP(Table1[[#This Row],[CountryCode]],[1]!Table1[#All],1,FALSE)</f>
        <v>#REF!</v>
      </c>
    </row>
    <row r="5468" spans="1:12" hidden="1" x14ac:dyDescent="0.3">
      <c r="A5468" t="s">
        <v>45</v>
      </c>
      <c r="B5468" t="s">
        <v>46</v>
      </c>
      <c r="C5468" t="s">
        <v>127</v>
      </c>
      <c r="D5468" t="s">
        <v>128</v>
      </c>
      <c r="E5468">
        <v>1984</v>
      </c>
      <c r="F5468" s="1">
        <v>24102</v>
      </c>
      <c r="G5468">
        <v>1980</v>
      </c>
      <c r="H5468">
        <f>AVERAGEIFS(Table1[value],Table1[IndicatorCode],Table1[[#This Row],[IndicatorCode]])</f>
        <v>24902.88753799392</v>
      </c>
      <c r="I5468" cm="1">
        <f t="array" ref="I5468">_xlfn.STDEV.P(IF(Table1[IndicatorCode]=Table1[[#This Row],[IndicatorCode]],Table1[value]))</f>
        <v>26324.778297809873</v>
      </c>
      <c r="J5468">
        <f>(Table1[[#This Row],[value]] - Table1[[#This Row],[mean]]) / Table1[[#This Row],[std_dev]]</f>
        <v>-3.0423334583621203E-2</v>
      </c>
      <c r="K5468">
        <f>AVERAGEIF(Table1[CountryCode],Table1[[#This Row],[CountryCode]],Table1[z-score])</f>
        <v>0.21233679132661218</v>
      </c>
      <c r="L5468" t="e">
        <f>VLOOKUP(Table1[[#This Row],[CountryCode]],[1]!Table1[#All],1,FALSE)</f>
        <v>#REF!</v>
      </c>
    </row>
    <row r="5469" spans="1:12" hidden="1" x14ac:dyDescent="0.3">
      <c r="A5469" t="s">
        <v>45</v>
      </c>
      <c r="B5469" t="s">
        <v>46</v>
      </c>
      <c r="C5469" t="s">
        <v>127</v>
      </c>
      <c r="D5469" t="s">
        <v>128</v>
      </c>
      <c r="E5469">
        <v>1985</v>
      </c>
      <c r="F5469" s="1">
        <v>24358</v>
      </c>
      <c r="G5469">
        <v>1980</v>
      </c>
      <c r="H5469">
        <f>AVERAGEIFS(Table1[value],Table1[IndicatorCode],Table1[[#This Row],[IndicatorCode]])</f>
        <v>24902.88753799392</v>
      </c>
      <c r="I5469" cm="1">
        <f t="array" ref="I5469">_xlfn.STDEV.P(IF(Table1[IndicatorCode]=Table1[[#This Row],[IndicatorCode]],Table1[value]))</f>
        <v>26324.778297809873</v>
      </c>
      <c r="J5469">
        <f>(Table1[[#This Row],[value]] - Table1[[#This Row],[mean]]) / Table1[[#This Row],[std_dev]]</f>
        <v>-2.0698656293688621E-2</v>
      </c>
      <c r="K5469">
        <f>AVERAGEIF(Table1[CountryCode],Table1[[#This Row],[CountryCode]],Table1[z-score])</f>
        <v>0.21233679132661218</v>
      </c>
      <c r="L5469" t="e">
        <f>VLOOKUP(Table1[[#This Row],[CountryCode]],[1]!Table1[#All],1,FALSE)</f>
        <v>#REF!</v>
      </c>
    </row>
    <row r="5470" spans="1:12" hidden="1" x14ac:dyDescent="0.3">
      <c r="A5470" t="s">
        <v>45</v>
      </c>
      <c r="B5470" t="s">
        <v>46</v>
      </c>
      <c r="C5470" t="s">
        <v>127</v>
      </c>
      <c r="D5470" t="s">
        <v>128</v>
      </c>
      <c r="E5470">
        <v>1986</v>
      </c>
      <c r="F5470" s="1">
        <v>24813</v>
      </c>
      <c r="G5470">
        <v>1980</v>
      </c>
      <c r="H5470">
        <f>AVERAGEIFS(Table1[value],Table1[IndicatorCode],Table1[[#This Row],[IndicatorCode]])</f>
        <v>24902.88753799392</v>
      </c>
      <c r="I5470" cm="1">
        <f t="array" ref="I5470">_xlfn.STDEV.P(IF(Table1[IndicatorCode]=Table1[[#This Row],[IndicatorCode]],Table1[value]))</f>
        <v>26324.778297809873</v>
      </c>
      <c r="J5470">
        <f>(Table1[[#This Row],[value]] - Table1[[#This Row],[mean]]) / Table1[[#This Row],[std_dev]]</f>
        <v>-3.4145601143162636E-3</v>
      </c>
      <c r="K5470">
        <f>AVERAGEIF(Table1[CountryCode],Table1[[#This Row],[CountryCode]],Table1[z-score])</f>
        <v>0.21233679132661218</v>
      </c>
      <c r="L5470" t="e">
        <f>VLOOKUP(Table1[[#This Row],[CountryCode]],[1]!Table1[#All],1,FALSE)</f>
        <v>#REF!</v>
      </c>
    </row>
    <row r="5471" spans="1:12" hidden="1" x14ac:dyDescent="0.3">
      <c r="A5471" t="s">
        <v>45</v>
      </c>
      <c r="B5471" t="s">
        <v>46</v>
      </c>
      <c r="C5471" t="s">
        <v>127</v>
      </c>
      <c r="D5471" t="s">
        <v>128</v>
      </c>
      <c r="E5471">
        <v>1987</v>
      </c>
      <c r="F5471" s="1">
        <v>25309</v>
      </c>
      <c r="G5471">
        <v>1990</v>
      </c>
      <c r="H5471">
        <f>AVERAGEIFS(Table1[value],Table1[IndicatorCode],Table1[[#This Row],[IndicatorCode]])</f>
        <v>24902.88753799392</v>
      </c>
      <c r="I5471" cm="1">
        <f t="array" ref="I5471">_xlfn.STDEV.P(IF(Table1[IndicatorCode]=Table1[[#This Row],[IndicatorCode]],Table1[value]))</f>
        <v>26324.778297809873</v>
      </c>
      <c r="J5471">
        <f>(Table1[[#This Row],[value]] - Table1[[#This Row],[mean]]) / Table1[[#This Row],[std_dev]]</f>
        <v>1.542700407242811E-2</v>
      </c>
      <c r="K5471">
        <f>AVERAGEIF(Table1[CountryCode],Table1[[#This Row],[CountryCode]],Table1[z-score])</f>
        <v>0.21233679132661218</v>
      </c>
      <c r="L5471" t="e">
        <f>VLOOKUP(Table1[[#This Row],[CountryCode]],[1]!Table1[#All],1,FALSE)</f>
        <v>#REF!</v>
      </c>
    </row>
    <row r="5472" spans="1:12" hidden="1" x14ac:dyDescent="0.3">
      <c r="A5472" t="s">
        <v>45</v>
      </c>
      <c r="B5472" t="s">
        <v>46</v>
      </c>
      <c r="C5472" t="s">
        <v>127</v>
      </c>
      <c r="D5472" t="s">
        <v>128</v>
      </c>
      <c r="E5472">
        <v>1988</v>
      </c>
      <c r="F5472" s="1">
        <v>26374</v>
      </c>
      <c r="G5472">
        <v>1990</v>
      </c>
      <c r="H5472">
        <f>AVERAGEIFS(Table1[value],Table1[IndicatorCode],Table1[[#This Row],[IndicatorCode]])</f>
        <v>24902.88753799392</v>
      </c>
      <c r="I5472" cm="1">
        <f t="array" ref="I5472">_xlfn.STDEV.P(IF(Table1[IndicatorCode]=Table1[[#This Row],[IndicatorCode]],Table1[value]))</f>
        <v>26324.778297809873</v>
      </c>
      <c r="J5472">
        <f>(Table1[[#This Row],[value]] - Table1[[#This Row],[mean]]) / Table1[[#This Row],[std_dev]]</f>
        <v>5.5883185239530439E-2</v>
      </c>
      <c r="K5472">
        <f>AVERAGEIF(Table1[CountryCode],Table1[[#This Row],[CountryCode]],Table1[z-score])</f>
        <v>0.21233679132661218</v>
      </c>
      <c r="L5472" t="e">
        <f>VLOOKUP(Table1[[#This Row],[CountryCode]],[1]!Table1[#All],1,FALSE)</f>
        <v>#REF!</v>
      </c>
    </row>
    <row r="5473" spans="1:12" hidden="1" x14ac:dyDescent="0.3">
      <c r="A5473" t="s">
        <v>45</v>
      </c>
      <c r="B5473" t="s">
        <v>46</v>
      </c>
      <c r="C5473" t="s">
        <v>127</v>
      </c>
      <c r="D5473" t="s">
        <v>128</v>
      </c>
      <c r="E5473">
        <v>1989</v>
      </c>
      <c r="F5473" s="1">
        <v>27372</v>
      </c>
      <c r="G5473">
        <v>1990</v>
      </c>
      <c r="H5473">
        <f>AVERAGEIFS(Table1[value],Table1[IndicatorCode],Table1[[#This Row],[IndicatorCode]])</f>
        <v>24902.88753799392</v>
      </c>
      <c r="I5473" cm="1">
        <f t="array" ref="I5473">_xlfn.STDEV.P(IF(Table1[IndicatorCode]=Table1[[#This Row],[IndicatorCode]],Table1[value]))</f>
        <v>26324.778297809873</v>
      </c>
      <c r="J5473">
        <f>(Table1[[#This Row],[value]] - Table1[[#This Row],[mean]]) / Table1[[#This Row],[std_dev]]</f>
        <v>9.3794235760439479E-2</v>
      </c>
      <c r="K5473">
        <f>AVERAGEIF(Table1[CountryCode],Table1[[#This Row],[CountryCode]],Table1[z-score])</f>
        <v>0.21233679132661218</v>
      </c>
      <c r="L5473" t="e">
        <f>VLOOKUP(Table1[[#This Row],[CountryCode]],[1]!Table1[#All],1,FALSE)</f>
        <v>#REF!</v>
      </c>
    </row>
    <row r="5474" spans="1:12" hidden="1" x14ac:dyDescent="0.3">
      <c r="A5474" t="s">
        <v>45</v>
      </c>
      <c r="B5474" t="s">
        <v>46</v>
      </c>
      <c r="C5474" t="s">
        <v>127</v>
      </c>
      <c r="D5474" t="s">
        <v>128</v>
      </c>
      <c r="E5474">
        <v>1990</v>
      </c>
      <c r="F5474" s="1">
        <v>27993</v>
      </c>
      <c r="G5474">
        <v>1990</v>
      </c>
      <c r="H5474">
        <f>AVERAGEIFS(Table1[value],Table1[IndicatorCode],Table1[[#This Row],[IndicatorCode]])</f>
        <v>24902.88753799392</v>
      </c>
      <c r="I5474" cm="1">
        <f t="array" ref="I5474">_xlfn.STDEV.P(IF(Table1[IndicatorCode]=Table1[[#This Row],[IndicatorCode]],Table1[value]))</f>
        <v>26324.778297809873</v>
      </c>
      <c r="J5474">
        <f>(Table1[[#This Row],[value]] - Table1[[#This Row],[mean]]) / Table1[[#This Row],[std_dev]]</f>
        <v>0.11738417801844001</v>
      </c>
      <c r="K5474">
        <f>AVERAGEIF(Table1[CountryCode],Table1[[#This Row],[CountryCode]],Table1[z-score])</f>
        <v>0.21233679132661218</v>
      </c>
      <c r="L5474" t="e">
        <f>VLOOKUP(Table1[[#This Row],[CountryCode]],[1]!Table1[#All],1,FALSE)</f>
        <v>#REF!</v>
      </c>
    </row>
    <row r="5475" spans="1:12" hidden="1" x14ac:dyDescent="0.3">
      <c r="A5475" t="s">
        <v>45</v>
      </c>
      <c r="B5475" t="s">
        <v>46</v>
      </c>
      <c r="C5475" t="s">
        <v>127</v>
      </c>
      <c r="D5475" t="s">
        <v>128</v>
      </c>
      <c r="E5475">
        <v>1991</v>
      </c>
      <c r="F5475" s="1">
        <v>28197</v>
      </c>
      <c r="G5475">
        <v>1990</v>
      </c>
      <c r="H5475">
        <f>AVERAGEIFS(Table1[value],Table1[IndicatorCode],Table1[[#This Row],[IndicatorCode]])</f>
        <v>24902.88753799392</v>
      </c>
      <c r="I5475" cm="1">
        <f t="array" ref="I5475">_xlfn.STDEV.P(IF(Table1[IndicatorCode]=Table1[[#This Row],[IndicatorCode]],Table1[value]))</f>
        <v>26324.778297809873</v>
      </c>
      <c r="J5475">
        <f>(Table1[[#This Row],[value]] - Table1[[#This Row],[mean]]) / Table1[[#This Row],[std_dev]]</f>
        <v>0.12513353103073002</v>
      </c>
      <c r="K5475">
        <f>AVERAGEIF(Table1[CountryCode],Table1[[#This Row],[CountryCode]],Table1[z-score])</f>
        <v>0.21233679132661218</v>
      </c>
      <c r="L5475" t="e">
        <f>VLOOKUP(Table1[[#This Row],[CountryCode]],[1]!Table1[#All],1,FALSE)</f>
        <v>#REF!</v>
      </c>
    </row>
    <row r="5476" spans="1:12" hidden="1" x14ac:dyDescent="0.3">
      <c r="A5476" t="s">
        <v>45</v>
      </c>
      <c r="B5476" t="s">
        <v>46</v>
      </c>
      <c r="C5476" t="s">
        <v>127</v>
      </c>
      <c r="D5476" t="s">
        <v>128</v>
      </c>
      <c r="E5476">
        <v>1992</v>
      </c>
      <c r="F5476" s="1">
        <v>28483</v>
      </c>
      <c r="G5476">
        <v>1990</v>
      </c>
      <c r="H5476">
        <f>AVERAGEIFS(Table1[value],Table1[IndicatorCode],Table1[[#This Row],[IndicatorCode]])</f>
        <v>24902.88753799392</v>
      </c>
      <c r="I5476" cm="1">
        <f t="array" ref="I5476">_xlfn.STDEV.P(IF(Table1[IndicatorCode]=Table1[[#This Row],[IndicatorCode]],Table1[value]))</f>
        <v>26324.778297809873</v>
      </c>
      <c r="J5476">
        <f>(Table1[[#This Row],[value]] - Table1[[#This Row],[mean]]) / Table1[[#This Row],[std_dev]]</f>
        <v>0.13599782005776409</v>
      </c>
      <c r="K5476">
        <f>AVERAGEIF(Table1[CountryCode],Table1[[#This Row],[CountryCode]],Table1[z-score])</f>
        <v>0.21233679132661218</v>
      </c>
      <c r="L5476" t="e">
        <f>VLOOKUP(Table1[[#This Row],[CountryCode]],[1]!Table1[#All],1,FALSE)</f>
        <v>#REF!</v>
      </c>
    </row>
    <row r="5477" spans="1:12" hidden="1" x14ac:dyDescent="0.3">
      <c r="A5477" t="s">
        <v>45</v>
      </c>
      <c r="B5477" t="s">
        <v>46</v>
      </c>
      <c r="C5477" t="s">
        <v>127</v>
      </c>
      <c r="D5477" t="s">
        <v>128</v>
      </c>
      <c r="E5477">
        <v>1993</v>
      </c>
      <c r="F5477" s="1">
        <v>28257</v>
      </c>
      <c r="G5477">
        <v>1990</v>
      </c>
      <c r="H5477">
        <f>AVERAGEIFS(Table1[value],Table1[IndicatorCode],Table1[[#This Row],[IndicatorCode]])</f>
        <v>24902.88753799392</v>
      </c>
      <c r="I5477" cm="1">
        <f t="array" ref="I5477">_xlfn.STDEV.P(IF(Table1[IndicatorCode]=Table1[[#This Row],[IndicatorCode]],Table1[value]))</f>
        <v>26324.778297809873</v>
      </c>
      <c r="J5477">
        <f>(Table1[[#This Row],[value]] - Table1[[#This Row],[mean]]) / Table1[[#This Row],[std_dev]]</f>
        <v>0.12741275250493297</v>
      </c>
      <c r="K5477">
        <f>AVERAGEIF(Table1[CountryCode],Table1[[#This Row],[CountryCode]],Table1[z-score])</f>
        <v>0.21233679132661218</v>
      </c>
      <c r="L5477" t="e">
        <f>VLOOKUP(Table1[[#This Row],[CountryCode]],[1]!Table1[#All],1,FALSE)</f>
        <v>#REF!</v>
      </c>
    </row>
    <row r="5478" spans="1:12" hidden="1" x14ac:dyDescent="0.3">
      <c r="A5478" t="s">
        <v>45</v>
      </c>
      <c r="B5478" t="s">
        <v>46</v>
      </c>
      <c r="C5478" t="s">
        <v>127</v>
      </c>
      <c r="D5478" t="s">
        <v>128</v>
      </c>
      <c r="E5478">
        <v>1994</v>
      </c>
      <c r="F5478" s="1">
        <v>28823</v>
      </c>
      <c r="G5478">
        <v>1990</v>
      </c>
      <c r="H5478">
        <f>AVERAGEIFS(Table1[value],Table1[IndicatorCode],Table1[[#This Row],[IndicatorCode]])</f>
        <v>24902.88753799392</v>
      </c>
      <c r="I5478" cm="1">
        <f t="array" ref="I5478">_xlfn.STDEV.P(IF(Table1[IndicatorCode]=Table1[[#This Row],[IndicatorCode]],Table1[value]))</f>
        <v>26324.778297809873</v>
      </c>
      <c r="J5478">
        <f>(Table1[[#This Row],[value]] - Table1[[#This Row],[mean]]) / Table1[[#This Row],[std_dev]]</f>
        <v>0.14891340841158079</v>
      </c>
      <c r="K5478">
        <f>AVERAGEIF(Table1[CountryCode],Table1[[#This Row],[CountryCode]],Table1[z-score])</f>
        <v>0.21233679132661218</v>
      </c>
      <c r="L5478" t="e">
        <f>VLOOKUP(Table1[[#This Row],[CountryCode]],[1]!Table1[#All],1,FALSE)</f>
        <v>#REF!</v>
      </c>
    </row>
    <row r="5479" spans="1:12" hidden="1" x14ac:dyDescent="0.3">
      <c r="A5479" t="s">
        <v>45</v>
      </c>
      <c r="B5479" t="s">
        <v>46</v>
      </c>
      <c r="C5479" t="s">
        <v>127</v>
      </c>
      <c r="D5479" t="s">
        <v>128</v>
      </c>
      <c r="E5479">
        <v>1995</v>
      </c>
      <c r="F5479" s="1">
        <v>29380</v>
      </c>
      <c r="G5479">
        <v>1990</v>
      </c>
      <c r="H5479">
        <f>AVERAGEIFS(Table1[value],Table1[IndicatorCode],Table1[[#This Row],[IndicatorCode]])</f>
        <v>24902.88753799392</v>
      </c>
      <c r="I5479" cm="1">
        <f t="array" ref="I5479">_xlfn.STDEV.P(IF(Table1[IndicatorCode]=Table1[[#This Row],[IndicatorCode]],Table1[value]))</f>
        <v>26324.778297809873</v>
      </c>
      <c r="J5479">
        <f>(Table1[[#This Row],[value]] - Table1[[#This Row],[mean]]) / Table1[[#This Row],[std_dev]]</f>
        <v>0.17007218109709815</v>
      </c>
      <c r="K5479">
        <f>AVERAGEIF(Table1[CountryCode],Table1[[#This Row],[CountryCode]],Table1[z-score])</f>
        <v>0.21233679132661218</v>
      </c>
      <c r="L5479" t="e">
        <f>VLOOKUP(Table1[[#This Row],[CountryCode]],[1]!Table1[#All],1,FALSE)</f>
        <v>#REF!</v>
      </c>
    </row>
    <row r="5480" spans="1:12" hidden="1" x14ac:dyDescent="0.3">
      <c r="A5480" t="s">
        <v>45</v>
      </c>
      <c r="B5480" t="s">
        <v>46</v>
      </c>
      <c r="C5480" t="s">
        <v>127</v>
      </c>
      <c r="D5480" t="s">
        <v>128</v>
      </c>
      <c r="E5480">
        <v>1996</v>
      </c>
      <c r="F5480" s="1">
        <v>29684</v>
      </c>
      <c r="G5480">
        <v>1990</v>
      </c>
      <c r="H5480">
        <f>AVERAGEIFS(Table1[value],Table1[IndicatorCode],Table1[[#This Row],[IndicatorCode]])</f>
        <v>24902.88753799392</v>
      </c>
      <c r="I5480" cm="1">
        <f t="array" ref="I5480">_xlfn.STDEV.P(IF(Table1[IndicatorCode]=Table1[[#This Row],[IndicatorCode]],Table1[value]))</f>
        <v>26324.778297809873</v>
      </c>
      <c r="J5480">
        <f>(Table1[[#This Row],[value]] - Table1[[#This Row],[mean]]) / Table1[[#This Row],[std_dev]]</f>
        <v>0.18162023656639309</v>
      </c>
      <c r="K5480">
        <f>AVERAGEIF(Table1[CountryCode],Table1[[#This Row],[CountryCode]],Table1[z-score])</f>
        <v>0.21233679132661218</v>
      </c>
      <c r="L5480" t="e">
        <f>VLOOKUP(Table1[[#This Row],[CountryCode]],[1]!Table1[#All],1,FALSE)</f>
        <v>#REF!</v>
      </c>
    </row>
    <row r="5481" spans="1:12" hidden="1" x14ac:dyDescent="0.3">
      <c r="A5481" t="s">
        <v>45</v>
      </c>
      <c r="B5481" t="s">
        <v>46</v>
      </c>
      <c r="C5481" t="s">
        <v>127</v>
      </c>
      <c r="D5481" t="s">
        <v>128</v>
      </c>
      <c r="E5481">
        <v>1997</v>
      </c>
      <c r="F5481" s="1">
        <v>30326</v>
      </c>
      <c r="G5481">
        <v>2000</v>
      </c>
      <c r="H5481">
        <f>AVERAGEIFS(Table1[value],Table1[IndicatorCode],Table1[[#This Row],[IndicatorCode]])</f>
        <v>24902.88753799392</v>
      </c>
      <c r="I5481" cm="1">
        <f t="array" ref="I5481">_xlfn.STDEV.P(IF(Table1[IndicatorCode]=Table1[[#This Row],[IndicatorCode]],Table1[value]))</f>
        <v>26324.778297809873</v>
      </c>
      <c r="J5481">
        <f>(Table1[[#This Row],[value]] - Table1[[#This Row],[mean]]) / Table1[[#This Row],[std_dev]]</f>
        <v>0.20600790634036464</v>
      </c>
      <c r="K5481">
        <f>AVERAGEIF(Table1[CountryCode],Table1[[#This Row],[CountryCode]],Table1[z-score])</f>
        <v>0.21233679132661218</v>
      </c>
      <c r="L5481" t="e">
        <f>VLOOKUP(Table1[[#This Row],[CountryCode]],[1]!Table1[#All],1,FALSE)</f>
        <v>#REF!</v>
      </c>
    </row>
    <row r="5482" spans="1:12" hidden="1" x14ac:dyDescent="0.3">
      <c r="A5482" t="s">
        <v>45</v>
      </c>
      <c r="B5482" t="s">
        <v>46</v>
      </c>
      <c r="C5482" t="s">
        <v>127</v>
      </c>
      <c r="D5482" t="s">
        <v>128</v>
      </c>
      <c r="E5482">
        <v>1998</v>
      </c>
      <c r="F5482" s="1">
        <v>31257</v>
      </c>
      <c r="G5482">
        <v>2000</v>
      </c>
      <c r="H5482">
        <f>AVERAGEIFS(Table1[value],Table1[IndicatorCode],Table1[[#This Row],[IndicatorCode]])</f>
        <v>24902.88753799392</v>
      </c>
      <c r="I5482" cm="1">
        <f t="array" ref="I5482">_xlfn.STDEV.P(IF(Table1[IndicatorCode]=Table1[[#This Row],[IndicatorCode]],Table1[value]))</f>
        <v>26324.778297809873</v>
      </c>
      <c r="J5482">
        <f>(Table1[[#This Row],[value]] - Table1[[#This Row],[mean]]) / Table1[[#This Row],[std_dev]]</f>
        <v>0.24137382621508038</v>
      </c>
      <c r="K5482">
        <f>AVERAGEIF(Table1[CountryCode],Table1[[#This Row],[CountryCode]],Table1[z-score])</f>
        <v>0.21233679132661218</v>
      </c>
      <c r="L5482" t="e">
        <f>VLOOKUP(Table1[[#This Row],[CountryCode]],[1]!Table1[#All],1,FALSE)</f>
        <v>#REF!</v>
      </c>
    </row>
    <row r="5483" spans="1:12" hidden="1" x14ac:dyDescent="0.3">
      <c r="A5483" t="s">
        <v>45</v>
      </c>
      <c r="B5483" t="s">
        <v>46</v>
      </c>
      <c r="C5483" t="s">
        <v>127</v>
      </c>
      <c r="D5483" t="s">
        <v>128</v>
      </c>
      <c r="E5483">
        <v>1999</v>
      </c>
      <c r="F5483" s="1">
        <v>32153</v>
      </c>
      <c r="G5483">
        <v>2000</v>
      </c>
      <c r="H5483">
        <f>AVERAGEIFS(Table1[value],Table1[IndicatorCode],Table1[[#This Row],[IndicatorCode]])</f>
        <v>24902.88753799392</v>
      </c>
      <c r="I5483" cm="1">
        <f t="array" ref="I5483">_xlfn.STDEV.P(IF(Table1[IndicatorCode]=Table1[[#This Row],[IndicatorCode]],Table1[value]))</f>
        <v>26324.778297809873</v>
      </c>
      <c r="J5483">
        <f>(Table1[[#This Row],[value]] - Table1[[#This Row],[mean]]) / Table1[[#This Row],[std_dev]]</f>
        <v>0.27541020022984442</v>
      </c>
      <c r="K5483">
        <f>AVERAGEIF(Table1[CountryCode],Table1[[#This Row],[CountryCode]],Table1[z-score])</f>
        <v>0.21233679132661218</v>
      </c>
      <c r="L5483" t="e">
        <f>VLOOKUP(Table1[[#This Row],[CountryCode]],[1]!Table1[#All],1,FALSE)</f>
        <v>#REF!</v>
      </c>
    </row>
    <row r="5484" spans="1:12" hidden="1" x14ac:dyDescent="0.3">
      <c r="A5484" t="s">
        <v>45</v>
      </c>
      <c r="B5484" t="s">
        <v>46</v>
      </c>
      <c r="C5484" t="s">
        <v>127</v>
      </c>
      <c r="D5484" t="s">
        <v>128</v>
      </c>
      <c r="E5484">
        <v>2000</v>
      </c>
      <c r="F5484" s="1">
        <v>33255</v>
      </c>
      <c r="G5484">
        <v>2000</v>
      </c>
      <c r="H5484">
        <f>AVERAGEIFS(Table1[value],Table1[IndicatorCode],Table1[[#This Row],[IndicatorCode]])</f>
        <v>24902.88753799392</v>
      </c>
      <c r="I5484" cm="1">
        <f t="array" ref="I5484">_xlfn.STDEV.P(IF(Table1[IndicatorCode]=Table1[[#This Row],[IndicatorCode]],Table1[value]))</f>
        <v>26324.778297809873</v>
      </c>
      <c r="J5484">
        <f>(Table1[[#This Row],[value]] - Table1[[#This Row],[mean]]) / Table1[[#This Row],[std_dev]]</f>
        <v>0.31727190130603855</v>
      </c>
      <c r="K5484">
        <f>AVERAGEIF(Table1[CountryCode],Table1[[#This Row],[CountryCode]],Table1[z-score])</f>
        <v>0.21233679132661218</v>
      </c>
      <c r="L5484" t="e">
        <f>VLOOKUP(Table1[[#This Row],[CountryCode]],[1]!Table1[#All],1,FALSE)</f>
        <v>#REF!</v>
      </c>
    </row>
    <row r="5485" spans="1:12" hidden="1" x14ac:dyDescent="0.3">
      <c r="A5485" t="s">
        <v>45</v>
      </c>
      <c r="B5485" t="s">
        <v>46</v>
      </c>
      <c r="C5485" t="s">
        <v>127</v>
      </c>
      <c r="D5485" t="s">
        <v>128</v>
      </c>
      <c r="E5485">
        <v>2001</v>
      </c>
      <c r="F5485" s="1">
        <v>33641</v>
      </c>
      <c r="G5485">
        <v>2000</v>
      </c>
      <c r="H5485">
        <f>AVERAGEIFS(Table1[value],Table1[IndicatorCode],Table1[[#This Row],[IndicatorCode]])</f>
        <v>24902.88753799392</v>
      </c>
      <c r="I5485" cm="1">
        <f t="array" ref="I5485">_xlfn.STDEV.P(IF(Table1[IndicatorCode]=Table1[[#This Row],[IndicatorCode]],Table1[value]))</f>
        <v>26324.778297809873</v>
      </c>
      <c r="J5485">
        <f>(Table1[[#This Row],[value]] - Table1[[#This Row],[mean]]) / Table1[[#This Row],[std_dev]]</f>
        <v>0.33193489279007754</v>
      </c>
      <c r="K5485">
        <f>AVERAGEIF(Table1[CountryCode],Table1[[#This Row],[CountryCode]],Table1[z-score])</f>
        <v>0.21233679132661218</v>
      </c>
      <c r="L5485" t="e">
        <f>VLOOKUP(Table1[[#This Row],[CountryCode]],[1]!Table1[#All],1,FALSE)</f>
        <v>#REF!</v>
      </c>
    </row>
    <row r="5486" spans="1:12" hidden="1" x14ac:dyDescent="0.3">
      <c r="A5486" t="s">
        <v>45</v>
      </c>
      <c r="B5486" t="s">
        <v>46</v>
      </c>
      <c r="C5486" t="s">
        <v>127</v>
      </c>
      <c r="D5486" t="s">
        <v>128</v>
      </c>
      <c r="E5486">
        <v>2002</v>
      </c>
      <c r="F5486" s="1">
        <v>33754</v>
      </c>
      <c r="G5486">
        <v>2000</v>
      </c>
      <c r="H5486">
        <f>AVERAGEIFS(Table1[value],Table1[IndicatorCode],Table1[[#This Row],[IndicatorCode]])</f>
        <v>24902.88753799392</v>
      </c>
      <c r="I5486" cm="1">
        <f t="array" ref="I5486">_xlfn.STDEV.P(IF(Table1[IndicatorCode]=Table1[[#This Row],[IndicatorCode]],Table1[value]))</f>
        <v>26324.778297809873</v>
      </c>
      <c r="J5486">
        <f>(Table1[[#This Row],[value]] - Table1[[#This Row],[mean]]) / Table1[[#This Row],[std_dev]]</f>
        <v>0.33622742656649307</v>
      </c>
      <c r="K5486">
        <f>AVERAGEIF(Table1[CountryCode],Table1[[#This Row],[CountryCode]],Table1[z-score])</f>
        <v>0.21233679132661218</v>
      </c>
      <c r="L5486" t="e">
        <f>VLOOKUP(Table1[[#This Row],[CountryCode]],[1]!Table1[#All],1,FALSE)</f>
        <v>#REF!</v>
      </c>
    </row>
    <row r="5487" spans="1:12" hidden="1" x14ac:dyDescent="0.3">
      <c r="A5487" t="s">
        <v>45</v>
      </c>
      <c r="B5487" t="s">
        <v>46</v>
      </c>
      <c r="C5487" t="s">
        <v>127</v>
      </c>
      <c r="D5487" t="s">
        <v>128</v>
      </c>
      <c r="E5487">
        <v>2003</v>
      </c>
      <c r="F5487" s="1">
        <v>33841</v>
      </c>
      <c r="G5487">
        <v>2000</v>
      </c>
      <c r="H5487">
        <f>AVERAGEIFS(Table1[value],Table1[IndicatorCode],Table1[[#This Row],[IndicatorCode]])</f>
        <v>24902.88753799392</v>
      </c>
      <c r="I5487" cm="1">
        <f t="array" ref="I5487">_xlfn.STDEV.P(IF(Table1[IndicatorCode]=Table1[[#This Row],[IndicatorCode]],Table1[value]))</f>
        <v>26324.778297809873</v>
      </c>
      <c r="J5487">
        <f>(Table1[[#This Row],[value]] - Table1[[#This Row],[mean]]) / Table1[[#This Row],[std_dev]]</f>
        <v>0.33953229770408738</v>
      </c>
      <c r="K5487">
        <f>AVERAGEIF(Table1[CountryCode],Table1[[#This Row],[CountryCode]],Table1[z-score])</f>
        <v>0.21233679132661218</v>
      </c>
      <c r="L5487" t="e">
        <f>VLOOKUP(Table1[[#This Row],[CountryCode]],[1]!Table1[#All],1,FALSE)</f>
        <v>#REF!</v>
      </c>
    </row>
    <row r="5488" spans="1:12" hidden="1" x14ac:dyDescent="0.3">
      <c r="A5488" t="s">
        <v>45</v>
      </c>
      <c r="B5488" t="s">
        <v>46</v>
      </c>
      <c r="C5488" t="s">
        <v>127</v>
      </c>
      <c r="D5488" t="s">
        <v>128</v>
      </c>
      <c r="E5488">
        <v>2004</v>
      </c>
      <c r="F5488" s="1">
        <v>34557</v>
      </c>
      <c r="G5488">
        <v>2000</v>
      </c>
      <c r="H5488">
        <f>AVERAGEIFS(Table1[value],Table1[IndicatorCode],Table1[[#This Row],[IndicatorCode]])</f>
        <v>24902.88753799392</v>
      </c>
      <c r="I5488" cm="1">
        <f t="array" ref="I5488">_xlfn.STDEV.P(IF(Table1[IndicatorCode]=Table1[[#This Row],[IndicatorCode]],Table1[value]))</f>
        <v>26324.778297809873</v>
      </c>
      <c r="J5488">
        <f>(Table1[[#This Row],[value]] - Table1[[#This Row],[mean]]) / Table1[[#This Row],[std_dev]]</f>
        <v>0.36673100729624253</v>
      </c>
      <c r="K5488">
        <f>AVERAGEIF(Table1[CountryCode],Table1[[#This Row],[CountryCode]],Table1[z-score])</f>
        <v>0.21233679132661218</v>
      </c>
      <c r="L5488" t="e">
        <f>VLOOKUP(Table1[[#This Row],[CountryCode]],[1]!Table1[#All],1,FALSE)</f>
        <v>#REF!</v>
      </c>
    </row>
    <row r="5489" spans="1:12" hidden="1" x14ac:dyDescent="0.3">
      <c r="A5489" t="s">
        <v>45</v>
      </c>
      <c r="B5489" t="s">
        <v>46</v>
      </c>
      <c r="C5489" t="s">
        <v>127</v>
      </c>
      <c r="D5489" t="s">
        <v>128</v>
      </c>
      <c r="E5489">
        <v>2005</v>
      </c>
      <c r="F5489" s="1">
        <v>34946</v>
      </c>
      <c r="G5489">
        <v>2000</v>
      </c>
      <c r="H5489">
        <f>AVERAGEIFS(Table1[value],Table1[IndicatorCode],Table1[[#This Row],[IndicatorCode]])</f>
        <v>24902.88753799392</v>
      </c>
      <c r="I5489" cm="1">
        <f t="array" ref="I5489">_xlfn.STDEV.P(IF(Table1[IndicatorCode]=Table1[[#This Row],[IndicatorCode]],Table1[value]))</f>
        <v>26324.778297809873</v>
      </c>
      <c r="J5489">
        <f>(Table1[[#This Row],[value]] - Table1[[#This Row],[mean]]) / Table1[[#This Row],[std_dev]]</f>
        <v>0.38150795985399166</v>
      </c>
      <c r="K5489">
        <f>AVERAGEIF(Table1[CountryCode],Table1[[#This Row],[CountryCode]],Table1[z-score])</f>
        <v>0.21233679132661218</v>
      </c>
      <c r="L5489" t="e">
        <f>VLOOKUP(Table1[[#This Row],[CountryCode]],[1]!Table1[#All],1,FALSE)</f>
        <v>#REF!</v>
      </c>
    </row>
    <row r="5490" spans="1:12" hidden="1" x14ac:dyDescent="0.3">
      <c r="A5490" t="s">
        <v>45</v>
      </c>
      <c r="B5490" t="s">
        <v>46</v>
      </c>
      <c r="C5490" t="s">
        <v>127</v>
      </c>
      <c r="D5490" t="s">
        <v>128</v>
      </c>
      <c r="E5490">
        <v>2006</v>
      </c>
      <c r="F5490" s="1">
        <v>35645</v>
      </c>
      <c r="G5490">
        <v>2000</v>
      </c>
      <c r="H5490">
        <f>AVERAGEIFS(Table1[value],Table1[IndicatorCode],Table1[[#This Row],[IndicatorCode]])</f>
        <v>24902.88753799392</v>
      </c>
      <c r="I5490" cm="1">
        <f t="array" ref="I5490">_xlfn.STDEV.P(IF(Table1[IndicatorCode]=Table1[[#This Row],[IndicatorCode]],Table1[value]))</f>
        <v>26324.778297809873</v>
      </c>
      <c r="J5490">
        <f>(Table1[[#This Row],[value]] - Table1[[#This Row],[mean]]) / Table1[[#This Row],[std_dev]]</f>
        <v>0.40806089002845602</v>
      </c>
      <c r="K5490">
        <f>AVERAGEIF(Table1[CountryCode],Table1[[#This Row],[CountryCode]],Table1[z-score])</f>
        <v>0.21233679132661218</v>
      </c>
      <c r="L5490" t="e">
        <f>VLOOKUP(Table1[[#This Row],[CountryCode]],[1]!Table1[#All],1,FALSE)</f>
        <v>#REF!</v>
      </c>
    </row>
    <row r="5491" spans="1:12" hidden="1" x14ac:dyDescent="0.3">
      <c r="A5491" t="s">
        <v>45</v>
      </c>
      <c r="B5491" t="s">
        <v>46</v>
      </c>
      <c r="C5491" t="s">
        <v>127</v>
      </c>
      <c r="D5491" t="s">
        <v>128</v>
      </c>
      <c r="E5491">
        <v>2007</v>
      </c>
      <c r="F5491" s="1">
        <v>36322</v>
      </c>
      <c r="G5491">
        <v>2010</v>
      </c>
      <c r="H5491">
        <f>AVERAGEIFS(Table1[value],Table1[IndicatorCode],Table1[[#This Row],[IndicatorCode]])</f>
        <v>24902.88753799392</v>
      </c>
      <c r="I5491" cm="1">
        <f t="array" ref="I5491">_xlfn.STDEV.P(IF(Table1[IndicatorCode]=Table1[[#This Row],[IndicatorCode]],Table1[value]))</f>
        <v>26324.778297809873</v>
      </c>
      <c r="J5491">
        <f>(Table1[[#This Row],[value]] - Table1[[#This Row],[mean]]) / Table1[[#This Row],[std_dev]]</f>
        <v>0.43377810566237929</v>
      </c>
      <c r="K5491">
        <f>AVERAGEIF(Table1[CountryCode],Table1[[#This Row],[CountryCode]],Table1[z-score])</f>
        <v>0.21233679132661218</v>
      </c>
      <c r="L5491" t="e">
        <f>VLOOKUP(Table1[[#This Row],[CountryCode]],[1]!Table1[#All],1,FALSE)</f>
        <v>#REF!</v>
      </c>
    </row>
    <row r="5492" spans="1:12" hidden="1" x14ac:dyDescent="0.3">
      <c r="A5492" t="s">
        <v>45</v>
      </c>
      <c r="B5492" t="s">
        <v>46</v>
      </c>
      <c r="C5492" t="s">
        <v>127</v>
      </c>
      <c r="D5492" t="s">
        <v>128</v>
      </c>
      <c r="E5492">
        <v>2008</v>
      </c>
      <c r="F5492" s="1">
        <v>36257</v>
      </c>
      <c r="G5492">
        <v>2010</v>
      </c>
      <c r="H5492">
        <f>AVERAGEIFS(Table1[value],Table1[IndicatorCode],Table1[[#This Row],[IndicatorCode]])</f>
        <v>24902.88753799392</v>
      </c>
      <c r="I5492" cm="1">
        <f t="array" ref="I5492">_xlfn.STDEV.P(IF(Table1[IndicatorCode]=Table1[[#This Row],[IndicatorCode]],Table1[value]))</f>
        <v>26324.778297809873</v>
      </c>
      <c r="J5492">
        <f>(Table1[[#This Row],[value]] - Table1[[#This Row],[mean]]) / Table1[[#This Row],[std_dev]]</f>
        <v>0.43130894906532607</v>
      </c>
      <c r="K5492">
        <f>AVERAGEIF(Table1[CountryCode],Table1[[#This Row],[CountryCode]],Table1[z-score])</f>
        <v>0.21233679132661218</v>
      </c>
      <c r="L5492" t="e">
        <f>VLOOKUP(Table1[[#This Row],[CountryCode]],[1]!Table1[#All],1,FALSE)</f>
        <v>#REF!</v>
      </c>
    </row>
    <row r="5493" spans="1:12" hidden="1" x14ac:dyDescent="0.3">
      <c r="A5493" t="s">
        <v>45</v>
      </c>
      <c r="B5493" t="s">
        <v>46</v>
      </c>
      <c r="C5493" t="s">
        <v>127</v>
      </c>
      <c r="D5493" t="s">
        <v>128</v>
      </c>
      <c r="E5493">
        <v>2009</v>
      </c>
      <c r="F5493" s="1">
        <v>35053</v>
      </c>
      <c r="G5493">
        <v>2010</v>
      </c>
      <c r="H5493">
        <f>AVERAGEIFS(Table1[value],Table1[IndicatorCode],Table1[[#This Row],[IndicatorCode]])</f>
        <v>24902.88753799392</v>
      </c>
      <c r="I5493" cm="1">
        <f t="array" ref="I5493">_xlfn.STDEV.P(IF(Table1[IndicatorCode]=Table1[[#This Row],[IndicatorCode]],Table1[value]))</f>
        <v>26324.778297809873</v>
      </c>
      <c r="J5493">
        <f>(Table1[[#This Row],[value]] - Table1[[#This Row],[mean]]) / Table1[[#This Row],[std_dev]]</f>
        <v>0.3855725714829869</v>
      </c>
      <c r="K5493">
        <f>AVERAGEIF(Table1[CountryCode],Table1[[#This Row],[CountryCode]],Table1[z-score])</f>
        <v>0.21233679132661218</v>
      </c>
      <c r="L5493" t="e">
        <f>VLOOKUP(Table1[[#This Row],[CountryCode]],[1]!Table1[#All],1,FALSE)</f>
        <v>#REF!</v>
      </c>
    </row>
    <row r="5494" spans="1:12" hidden="1" x14ac:dyDescent="0.3">
      <c r="A5494" t="s">
        <v>45</v>
      </c>
      <c r="B5494" t="s">
        <v>46</v>
      </c>
      <c r="C5494" t="s">
        <v>127</v>
      </c>
      <c r="D5494" t="s">
        <v>128</v>
      </c>
      <c r="E5494">
        <v>2010</v>
      </c>
      <c r="F5494" s="1">
        <v>35578</v>
      </c>
      <c r="G5494">
        <v>2010</v>
      </c>
      <c r="H5494">
        <f>AVERAGEIFS(Table1[value],Table1[IndicatorCode],Table1[[#This Row],[IndicatorCode]])</f>
        <v>24902.88753799392</v>
      </c>
      <c r="I5494" cm="1">
        <f t="array" ref="I5494">_xlfn.STDEV.P(IF(Table1[IndicatorCode]=Table1[[#This Row],[IndicatorCode]],Table1[value]))</f>
        <v>26324.778297809873</v>
      </c>
      <c r="J5494">
        <f>(Table1[[#This Row],[value]] - Table1[[#This Row],[mean]]) / Table1[[#This Row],[std_dev]]</f>
        <v>0.4055157593822627</v>
      </c>
      <c r="K5494">
        <f>AVERAGEIF(Table1[CountryCode],Table1[[#This Row],[CountryCode]],Table1[z-score])</f>
        <v>0.21233679132661218</v>
      </c>
      <c r="L5494" t="e">
        <f>VLOOKUP(Table1[[#This Row],[CountryCode]],[1]!Table1[#All],1,FALSE)</f>
        <v>#REF!</v>
      </c>
    </row>
    <row r="5495" spans="1:12" hidden="1" x14ac:dyDescent="0.3">
      <c r="A5495" t="s">
        <v>45</v>
      </c>
      <c r="B5495" t="s">
        <v>46</v>
      </c>
      <c r="C5495" t="s">
        <v>127</v>
      </c>
      <c r="D5495" t="s">
        <v>128</v>
      </c>
      <c r="E5495">
        <v>2011</v>
      </c>
      <c r="F5495" s="1">
        <v>36270</v>
      </c>
      <c r="G5495">
        <v>2010</v>
      </c>
      <c r="H5495">
        <f>AVERAGEIFS(Table1[value],Table1[IndicatorCode],Table1[[#This Row],[IndicatorCode]])</f>
        <v>24902.88753799392</v>
      </c>
      <c r="I5495" cm="1">
        <f t="array" ref="I5495">_xlfn.STDEV.P(IF(Table1[IndicatorCode]=Table1[[#This Row],[IndicatorCode]],Table1[value]))</f>
        <v>26324.778297809873</v>
      </c>
      <c r="J5495">
        <f>(Table1[[#This Row],[value]] - Table1[[#This Row],[mean]]) / Table1[[#This Row],[std_dev]]</f>
        <v>0.43180278038473674</v>
      </c>
      <c r="K5495">
        <f>AVERAGEIF(Table1[CountryCode],Table1[[#This Row],[CountryCode]],Table1[z-score])</f>
        <v>0.21233679132661218</v>
      </c>
      <c r="L5495" t="e">
        <f>VLOOKUP(Table1[[#This Row],[CountryCode]],[1]!Table1[#All],1,FALSE)</f>
        <v>#REF!</v>
      </c>
    </row>
    <row r="5496" spans="1:12" hidden="1" x14ac:dyDescent="0.3">
      <c r="A5496" t="s">
        <v>45</v>
      </c>
      <c r="B5496" t="s">
        <v>46</v>
      </c>
      <c r="C5496" t="s">
        <v>127</v>
      </c>
      <c r="D5496" t="s">
        <v>128</v>
      </c>
      <c r="E5496">
        <v>2012</v>
      </c>
      <c r="F5496" s="1">
        <v>36161</v>
      </c>
      <c r="G5496">
        <v>2010</v>
      </c>
      <c r="H5496">
        <f>AVERAGEIFS(Table1[value],Table1[IndicatorCode],Table1[[#This Row],[IndicatorCode]])</f>
        <v>24902.88753799392</v>
      </c>
      <c r="I5496" cm="1">
        <f t="array" ref="I5496">_xlfn.STDEV.P(IF(Table1[IndicatorCode]=Table1[[#This Row],[IndicatorCode]],Table1[value]))</f>
        <v>26324.778297809873</v>
      </c>
      <c r="J5496">
        <f>(Table1[[#This Row],[value]] - Table1[[#This Row],[mean]]) / Table1[[#This Row],[std_dev]]</f>
        <v>0.42766219470660138</v>
      </c>
      <c r="K5496">
        <f>AVERAGEIF(Table1[CountryCode],Table1[[#This Row],[CountryCode]],Table1[z-score])</f>
        <v>0.21233679132661218</v>
      </c>
      <c r="L5496" t="e">
        <f>VLOOKUP(Table1[[#This Row],[CountryCode]],[1]!Table1[#All],1,FALSE)</f>
        <v>#REF!</v>
      </c>
    </row>
    <row r="5497" spans="1:12" hidden="1" x14ac:dyDescent="0.3">
      <c r="A5497" t="s">
        <v>45</v>
      </c>
      <c r="B5497" t="s">
        <v>46</v>
      </c>
      <c r="C5497" t="s">
        <v>127</v>
      </c>
      <c r="D5497" t="s">
        <v>128</v>
      </c>
      <c r="E5497">
        <v>2013</v>
      </c>
      <c r="F5497" s="1">
        <v>36256</v>
      </c>
      <c r="G5497">
        <v>2010</v>
      </c>
      <c r="H5497">
        <f>AVERAGEIFS(Table1[value],Table1[IndicatorCode],Table1[[#This Row],[IndicatorCode]])</f>
        <v>24902.88753799392</v>
      </c>
      <c r="I5497" cm="1">
        <f t="array" ref="I5497">_xlfn.STDEV.P(IF(Table1[IndicatorCode]=Table1[[#This Row],[IndicatorCode]],Table1[value]))</f>
        <v>26324.778297809873</v>
      </c>
      <c r="J5497">
        <f>(Table1[[#This Row],[value]] - Table1[[#This Row],[mean]]) / Table1[[#This Row],[std_dev]]</f>
        <v>0.43127096204075605</v>
      </c>
      <c r="K5497">
        <f>AVERAGEIF(Table1[CountryCode],Table1[[#This Row],[CountryCode]],Table1[z-score])</f>
        <v>0.21233679132661218</v>
      </c>
      <c r="L5497" t="e">
        <f>VLOOKUP(Table1[[#This Row],[CountryCode]],[1]!Table1[#All],1,FALSE)</f>
        <v>#REF!</v>
      </c>
    </row>
    <row r="5498" spans="1:12" hidden="1" x14ac:dyDescent="0.3">
      <c r="A5498" t="s">
        <v>45</v>
      </c>
      <c r="B5498" t="s">
        <v>46</v>
      </c>
      <c r="C5498" t="s">
        <v>127</v>
      </c>
      <c r="D5498" t="s">
        <v>128</v>
      </c>
      <c r="E5498">
        <v>2014</v>
      </c>
      <c r="F5498" s="1">
        <v>36444</v>
      </c>
      <c r="G5498">
        <v>2010</v>
      </c>
      <c r="H5498">
        <f>AVERAGEIFS(Table1[value],Table1[IndicatorCode],Table1[[#This Row],[IndicatorCode]])</f>
        <v>24902.88753799392</v>
      </c>
      <c r="I5498" cm="1">
        <f t="array" ref="I5498">_xlfn.STDEV.P(IF(Table1[IndicatorCode]=Table1[[#This Row],[IndicatorCode]],Table1[value]))</f>
        <v>26324.778297809873</v>
      </c>
      <c r="J5498">
        <f>(Table1[[#This Row],[value]] - Table1[[#This Row],[mean]]) / Table1[[#This Row],[std_dev]]</f>
        <v>0.43841252265992525</v>
      </c>
      <c r="K5498">
        <f>AVERAGEIF(Table1[CountryCode],Table1[[#This Row],[CountryCode]],Table1[z-score])</f>
        <v>0.21233679132661218</v>
      </c>
      <c r="L5498" t="e">
        <f>VLOOKUP(Table1[[#This Row],[CountryCode]],[1]!Table1[#All],1,FALSE)</f>
        <v>#REF!</v>
      </c>
    </row>
    <row r="5499" spans="1:12" hidden="1" x14ac:dyDescent="0.3">
      <c r="A5499" t="s">
        <v>45</v>
      </c>
      <c r="B5499" t="s">
        <v>46</v>
      </c>
      <c r="C5499" t="s">
        <v>127</v>
      </c>
      <c r="D5499" t="s">
        <v>128</v>
      </c>
      <c r="E5499">
        <v>2015</v>
      </c>
      <c r="F5499" s="1">
        <v>36702</v>
      </c>
      <c r="G5499">
        <v>2010</v>
      </c>
      <c r="H5499">
        <f>AVERAGEIFS(Table1[value],Table1[IndicatorCode],Table1[[#This Row],[IndicatorCode]])</f>
        <v>24902.88753799392</v>
      </c>
      <c r="I5499" cm="1">
        <f t="array" ref="I5499">_xlfn.STDEV.P(IF(Table1[IndicatorCode]=Table1[[#This Row],[IndicatorCode]],Table1[value]))</f>
        <v>26324.778297809873</v>
      </c>
      <c r="J5499">
        <f>(Table1[[#This Row],[value]] - Table1[[#This Row],[mean]]) / Table1[[#This Row],[std_dev]]</f>
        <v>0.44821317499899793</v>
      </c>
      <c r="K5499">
        <f>AVERAGEIF(Table1[CountryCode],Table1[[#This Row],[CountryCode]],Table1[z-score])</f>
        <v>0.21233679132661218</v>
      </c>
      <c r="L5499" t="e">
        <f>VLOOKUP(Table1[[#This Row],[CountryCode]],[1]!Table1[#All],1,FALSE)</f>
        <v>#REF!</v>
      </c>
    </row>
    <row r="5500" spans="1:12" hidden="1" x14ac:dyDescent="0.3">
      <c r="A5500" t="s">
        <v>45</v>
      </c>
      <c r="B5500" t="s">
        <v>46</v>
      </c>
      <c r="C5500" t="s">
        <v>127</v>
      </c>
      <c r="D5500" t="s">
        <v>128</v>
      </c>
      <c r="E5500">
        <v>2016</v>
      </c>
      <c r="F5500" s="1">
        <v>36921</v>
      </c>
      <c r="G5500">
        <v>2010</v>
      </c>
      <c r="H5500">
        <f>AVERAGEIFS(Table1[value],Table1[IndicatorCode],Table1[[#This Row],[IndicatorCode]])</f>
        <v>24902.88753799392</v>
      </c>
      <c r="I5500" cm="1">
        <f t="array" ref="I5500">_xlfn.STDEV.P(IF(Table1[IndicatorCode]=Table1[[#This Row],[IndicatorCode]],Table1[value]))</f>
        <v>26324.778297809873</v>
      </c>
      <c r="J5500">
        <f>(Table1[[#This Row],[value]] - Table1[[#This Row],[mean]]) / Table1[[#This Row],[std_dev]]</f>
        <v>0.45653233337983873</v>
      </c>
      <c r="K5500">
        <f>AVERAGEIF(Table1[CountryCode],Table1[[#This Row],[CountryCode]],Table1[z-score])</f>
        <v>0.21233679132661218</v>
      </c>
      <c r="L5500" t="e">
        <f>VLOOKUP(Table1[[#This Row],[CountryCode]],[1]!Table1[#All],1,FALSE)</f>
        <v>#REF!</v>
      </c>
    </row>
    <row r="5501" spans="1:12" hidden="1" x14ac:dyDescent="0.3">
      <c r="A5501" t="s">
        <v>45</v>
      </c>
      <c r="B5501" t="s">
        <v>46</v>
      </c>
      <c r="C5501" t="s">
        <v>127</v>
      </c>
      <c r="D5501" t="s">
        <v>128</v>
      </c>
      <c r="E5501">
        <v>2017</v>
      </c>
      <c r="F5501" s="1">
        <v>37581</v>
      </c>
      <c r="G5501">
        <v>2020</v>
      </c>
      <c r="H5501">
        <f>AVERAGEIFS(Table1[value],Table1[IndicatorCode],Table1[[#This Row],[IndicatorCode]])</f>
        <v>24902.88753799392</v>
      </c>
      <c r="I5501" cm="1">
        <f t="array" ref="I5501">_xlfn.STDEV.P(IF(Table1[IndicatorCode]=Table1[[#This Row],[IndicatorCode]],Table1[value]))</f>
        <v>26324.778297809873</v>
      </c>
      <c r="J5501">
        <f>(Table1[[#This Row],[value]] - Table1[[#This Row],[mean]]) / Table1[[#This Row],[std_dev]]</f>
        <v>0.48160376959607115</v>
      </c>
      <c r="K5501">
        <f>AVERAGEIF(Table1[CountryCode],Table1[[#This Row],[CountryCode]],Table1[z-score])</f>
        <v>0.21233679132661218</v>
      </c>
      <c r="L5501" t="e">
        <f>VLOOKUP(Table1[[#This Row],[CountryCode]],[1]!Table1[#All],1,FALSE)</f>
        <v>#REF!</v>
      </c>
    </row>
    <row r="5502" spans="1:12" hidden="1" x14ac:dyDescent="0.3">
      <c r="A5502" t="s">
        <v>45</v>
      </c>
      <c r="B5502" t="s">
        <v>46</v>
      </c>
      <c r="C5502" t="s">
        <v>127</v>
      </c>
      <c r="D5502" t="s">
        <v>128</v>
      </c>
      <c r="E5502">
        <v>2018</v>
      </c>
      <c r="F5502" s="1">
        <v>38062</v>
      </c>
      <c r="G5502">
        <v>2020</v>
      </c>
      <c r="H5502">
        <f>AVERAGEIFS(Table1[value],Table1[IndicatorCode],Table1[[#This Row],[IndicatorCode]])</f>
        <v>24902.88753799392</v>
      </c>
      <c r="I5502" cm="1">
        <f t="array" ref="I5502">_xlfn.STDEV.P(IF(Table1[IndicatorCode]=Table1[[#This Row],[IndicatorCode]],Table1[value]))</f>
        <v>26324.778297809873</v>
      </c>
      <c r="J5502">
        <f>(Table1[[#This Row],[value]] - Table1[[#This Row],[mean]]) / Table1[[#This Row],[std_dev]]</f>
        <v>0.4998755284142648</v>
      </c>
      <c r="K5502">
        <f>AVERAGEIF(Table1[CountryCode],Table1[[#This Row],[CountryCode]],Table1[z-score])</f>
        <v>0.21233679132661218</v>
      </c>
      <c r="L5502" t="e">
        <f>VLOOKUP(Table1[[#This Row],[CountryCode]],[1]!Table1[#All],1,FALSE)</f>
        <v>#REF!</v>
      </c>
    </row>
    <row r="5503" spans="1:12" hidden="1" x14ac:dyDescent="0.3">
      <c r="A5503" t="s">
        <v>45</v>
      </c>
      <c r="B5503" t="s">
        <v>46</v>
      </c>
      <c r="C5503" t="s">
        <v>127</v>
      </c>
      <c r="D5503" t="s">
        <v>128</v>
      </c>
      <c r="E5503">
        <v>2019</v>
      </c>
      <c r="F5503" s="1">
        <v>38705</v>
      </c>
      <c r="G5503">
        <v>2020</v>
      </c>
      <c r="H5503">
        <f>AVERAGEIFS(Table1[value],Table1[IndicatorCode],Table1[[#This Row],[IndicatorCode]])</f>
        <v>24902.88753799392</v>
      </c>
      <c r="I5503" cm="1">
        <f t="array" ref="I5503">_xlfn.STDEV.P(IF(Table1[IndicatorCode]=Table1[[#This Row],[IndicatorCode]],Table1[value]))</f>
        <v>26324.778297809873</v>
      </c>
      <c r="J5503">
        <f>(Table1[[#This Row],[value]] - Table1[[#This Row],[mean]]) / Table1[[#This Row],[std_dev]]</f>
        <v>0.52430118521280633</v>
      </c>
      <c r="K5503">
        <f>AVERAGEIF(Table1[CountryCode],Table1[[#This Row],[CountryCode]],Table1[z-score])</f>
        <v>0.21233679132661218</v>
      </c>
      <c r="L5503" t="e">
        <f>VLOOKUP(Table1[[#This Row],[CountryCode]],[1]!Table1[#All],1,FALSE)</f>
        <v>#REF!</v>
      </c>
    </row>
    <row r="5504" spans="1:12" x14ac:dyDescent="0.3">
      <c r="A5504" t="s">
        <v>71</v>
      </c>
      <c r="B5504" t="s">
        <v>72</v>
      </c>
      <c r="C5504" t="s">
        <v>127</v>
      </c>
      <c r="D5504" t="s">
        <v>128</v>
      </c>
      <c r="E5504">
        <v>2020</v>
      </c>
      <c r="F5504" s="1">
        <v>10565</v>
      </c>
      <c r="G5504">
        <v>2020</v>
      </c>
      <c r="H5504">
        <f>AVERAGEIFS(Table1[value],Table1[IndicatorCode],Table1[[#This Row],[IndicatorCode]])</f>
        <v>24902.88753799392</v>
      </c>
      <c r="I5504" cm="1">
        <f t="array" ref="I5504">_xlfn.STDEV.P(IF(Table1[IndicatorCode]=Table1[[#This Row],[IndicatorCode]],Table1[value]))</f>
        <v>26324.778297809873</v>
      </c>
      <c r="J5504">
        <f>(Table1[[#This Row],[value]] - Table1[[#This Row],[mean]]) / Table1[[#This Row],[std_dev]]</f>
        <v>-0.5446536861883764</v>
      </c>
      <c r="K5504">
        <f>AVERAGEIF(Table1[CountryCode],Table1[[#This Row],[CountryCode]],Table1[z-score])</f>
        <v>-0.23196726817462951</v>
      </c>
    </row>
    <row r="5505" spans="1:12" hidden="1" x14ac:dyDescent="0.3">
      <c r="A5505" t="s">
        <v>45</v>
      </c>
      <c r="B5505" t="s">
        <v>46</v>
      </c>
      <c r="C5505" t="s">
        <v>127</v>
      </c>
      <c r="D5505" t="s">
        <v>128</v>
      </c>
      <c r="E5505">
        <v>2021</v>
      </c>
      <c r="F5505" s="1">
        <v>38031</v>
      </c>
      <c r="G5505">
        <v>2020</v>
      </c>
      <c r="H5505">
        <f>AVERAGEIFS(Table1[value],Table1[IndicatorCode],Table1[[#This Row],[IndicatorCode]])</f>
        <v>24902.88753799392</v>
      </c>
      <c r="I5505" cm="1">
        <f t="array" ref="I5505">_xlfn.STDEV.P(IF(Table1[IndicatorCode]=Table1[[#This Row],[IndicatorCode]],Table1[value]))</f>
        <v>26324.778297809873</v>
      </c>
      <c r="J5505">
        <f>(Table1[[#This Row],[value]] - Table1[[#This Row],[mean]]) / Table1[[#This Row],[std_dev]]</f>
        <v>0.49869793065259327</v>
      </c>
      <c r="K5505">
        <f>AVERAGEIF(Table1[CountryCode],Table1[[#This Row],[CountryCode]],Table1[z-score])</f>
        <v>0.21233679132661218</v>
      </c>
      <c r="L5505" t="e">
        <f>VLOOKUP(Table1[[#This Row],[CountryCode]],[1]!Table1[#All],1,FALSE)</f>
        <v>#REF!</v>
      </c>
    </row>
    <row r="5506" spans="1:12" hidden="1" x14ac:dyDescent="0.3">
      <c r="A5506" t="s">
        <v>45</v>
      </c>
      <c r="B5506" t="s">
        <v>46</v>
      </c>
      <c r="C5506" t="s">
        <v>127</v>
      </c>
      <c r="D5506" t="s">
        <v>128</v>
      </c>
      <c r="E5506">
        <v>2022</v>
      </c>
      <c r="F5506" s="1">
        <v>38868</v>
      </c>
      <c r="G5506">
        <v>2000</v>
      </c>
      <c r="H5506">
        <f>AVERAGEIFS(Table1[value],Table1[IndicatorCode],Table1[[#This Row],[IndicatorCode]])</f>
        <v>24902.88753799392</v>
      </c>
      <c r="I5506" cm="1">
        <f t="array" ref="I5506">_xlfn.STDEV.P(IF(Table1[IndicatorCode]=Table1[[#This Row],[IndicatorCode]],Table1[value]))</f>
        <v>26324.778297809873</v>
      </c>
      <c r="J5506">
        <f>(Table1[[#This Row],[value]] - Table1[[#This Row],[mean]]) / Table1[[#This Row],[std_dev]]</f>
        <v>0.53049307021772441</v>
      </c>
      <c r="K5506">
        <f>AVERAGEIF(Table1[CountryCode],Table1[[#This Row],[CountryCode]],Table1[z-score])</f>
        <v>0.21233679132661218</v>
      </c>
      <c r="L5506" t="e">
        <f>VLOOKUP(Table1[[#This Row],[CountryCode]],[1]!Table1[#All],1,FALSE)</f>
        <v>#REF!</v>
      </c>
    </row>
    <row r="5507" spans="1:12" hidden="1" x14ac:dyDescent="0.3">
      <c r="A5507" t="s">
        <v>45</v>
      </c>
      <c r="B5507" t="s">
        <v>46</v>
      </c>
      <c r="C5507" t="s">
        <v>127</v>
      </c>
      <c r="D5507" t="s">
        <v>128</v>
      </c>
      <c r="E5507">
        <v>2023</v>
      </c>
      <c r="F5507" s="1">
        <v>39319</v>
      </c>
      <c r="G5507">
        <v>2000</v>
      </c>
      <c r="H5507">
        <f>AVERAGEIFS(Table1[value],Table1[IndicatorCode],Table1[[#This Row],[IndicatorCode]])</f>
        <v>24902.88753799392</v>
      </c>
      <c r="I5507" cm="1">
        <f t="array" ref="I5507">_xlfn.STDEV.P(IF(Table1[IndicatorCode]=Table1[[#This Row],[IndicatorCode]],Table1[value]))</f>
        <v>26324.778297809873</v>
      </c>
      <c r="J5507">
        <f>(Table1[[#This Row],[value]] - Table1[[#This Row],[mean]]) / Table1[[#This Row],[std_dev]]</f>
        <v>0.5476252182988165</v>
      </c>
      <c r="K5507">
        <f>AVERAGEIF(Table1[CountryCode],Table1[[#This Row],[CountryCode]],Table1[z-score])</f>
        <v>0.21233679132661218</v>
      </c>
      <c r="L5507" t="e">
        <f>VLOOKUP(Table1[[#This Row],[CountryCode]],[1]!Table1[#All],1,FALSE)</f>
        <v>#REF!</v>
      </c>
    </row>
    <row r="5508" spans="1:12" hidden="1" x14ac:dyDescent="0.3">
      <c r="A5508" t="s">
        <v>45</v>
      </c>
      <c r="B5508" t="s">
        <v>46</v>
      </c>
      <c r="C5508" t="s">
        <v>127</v>
      </c>
      <c r="D5508" t="s">
        <v>128</v>
      </c>
      <c r="E5508">
        <v>2024</v>
      </c>
      <c r="F5508" s="1">
        <v>39683</v>
      </c>
      <c r="G5508">
        <v>2010</v>
      </c>
      <c r="H5508">
        <f>AVERAGEIFS(Table1[value],Table1[IndicatorCode],Table1[[#This Row],[IndicatorCode]])</f>
        <v>24902.88753799392</v>
      </c>
      <c r="I5508" cm="1">
        <f t="array" ref="I5508">_xlfn.STDEV.P(IF(Table1[IndicatorCode]=Table1[[#This Row],[IndicatorCode]],Table1[value]))</f>
        <v>26324.778297809873</v>
      </c>
      <c r="J5508">
        <f>(Table1[[#This Row],[value]] - Table1[[#This Row],[mean]]) / Table1[[#This Row],[std_dev]]</f>
        <v>0.56145249524231444</v>
      </c>
      <c r="K5508">
        <f>AVERAGEIF(Table1[CountryCode],Table1[[#This Row],[CountryCode]],Table1[z-score])</f>
        <v>0.21233679132661218</v>
      </c>
      <c r="L5508" t="e">
        <f>VLOOKUP(Table1[[#This Row],[CountryCode]],[1]!Table1[#All],1,FALSE)</f>
        <v>#REF!</v>
      </c>
    </row>
    <row r="5509" spans="1:12" hidden="1" x14ac:dyDescent="0.3">
      <c r="A5509" t="s">
        <v>47</v>
      </c>
      <c r="B5509" t="s">
        <v>48</v>
      </c>
      <c r="C5509" t="s">
        <v>127</v>
      </c>
      <c r="D5509" t="s">
        <v>128</v>
      </c>
      <c r="E5509">
        <v>2008</v>
      </c>
      <c r="F5509" s="1">
        <v>44623</v>
      </c>
      <c r="G5509">
        <v>2010</v>
      </c>
      <c r="H5509">
        <f>AVERAGEIFS(Table1[value],Table1[IndicatorCode],Table1[[#This Row],[IndicatorCode]])</f>
        <v>24902.88753799392</v>
      </c>
      <c r="I5509" cm="1">
        <f t="array" ref="I5509">_xlfn.STDEV.P(IF(Table1[IndicatorCode]=Table1[[#This Row],[IndicatorCode]],Table1[value]))</f>
        <v>26324.778297809873</v>
      </c>
      <c r="J5509">
        <f>(Table1[[#This Row],[value]] - Table1[[#This Row],[mean]]) / Table1[[#This Row],[std_dev]]</f>
        <v>0.74910839661835715</v>
      </c>
      <c r="K5509">
        <f>AVERAGEIF(Table1[CountryCode],Table1[[#This Row],[CountryCode]],Table1[z-score])</f>
        <v>-3.9589438634764836E-2</v>
      </c>
      <c r="L5509" t="e">
        <f>VLOOKUP(Table1[[#This Row],[CountryCode]],[1]!Table1[#All],1,FALSE)</f>
        <v>#REF!</v>
      </c>
    </row>
    <row r="5510" spans="1:12" hidden="1" x14ac:dyDescent="0.3">
      <c r="A5510" t="s">
        <v>47</v>
      </c>
      <c r="B5510" t="s">
        <v>48</v>
      </c>
      <c r="C5510" t="s">
        <v>127</v>
      </c>
      <c r="D5510" t="s">
        <v>128</v>
      </c>
      <c r="E5510">
        <v>2009</v>
      </c>
      <c r="F5510" s="1">
        <v>42378</v>
      </c>
      <c r="G5510">
        <v>2010</v>
      </c>
      <c r="H5510">
        <f>AVERAGEIFS(Table1[value],Table1[IndicatorCode],Table1[[#This Row],[IndicatorCode]])</f>
        <v>24902.88753799392</v>
      </c>
      <c r="I5510" cm="1">
        <f t="array" ref="I5510">_xlfn.STDEV.P(IF(Table1[IndicatorCode]=Table1[[#This Row],[IndicatorCode]],Table1[value]))</f>
        <v>26324.778297809873</v>
      </c>
      <c r="J5510">
        <f>(Table1[[#This Row],[value]] - Table1[[#This Row],[mean]]) / Table1[[#This Row],[std_dev]]</f>
        <v>0.66382752645859688</v>
      </c>
      <c r="K5510">
        <f>AVERAGEIF(Table1[CountryCode],Table1[[#This Row],[CountryCode]],Table1[z-score])</f>
        <v>-3.9589438634764836E-2</v>
      </c>
      <c r="L5510" t="e">
        <f>VLOOKUP(Table1[[#This Row],[CountryCode]],[1]!Table1[#All],1,FALSE)</f>
        <v>#REF!</v>
      </c>
    </row>
    <row r="5511" spans="1:12" hidden="1" x14ac:dyDescent="0.3">
      <c r="A5511" t="s">
        <v>47</v>
      </c>
      <c r="B5511" t="s">
        <v>48</v>
      </c>
      <c r="C5511" t="s">
        <v>127</v>
      </c>
      <c r="D5511" t="s">
        <v>128</v>
      </c>
      <c r="E5511">
        <v>2010</v>
      </c>
      <c r="F5511" s="1">
        <v>42334</v>
      </c>
      <c r="G5511">
        <v>2010</v>
      </c>
      <c r="H5511">
        <f>AVERAGEIFS(Table1[value],Table1[IndicatorCode],Table1[[#This Row],[IndicatorCode]])</f>
        <v>24902.88753799392</v>
      </c>
      <c r="I5511" cm="1">
        <f t="array" ref="I5511">_xlfn.STDEV.P(IF(Table1[IndicatorCode]=Table1[[#This Row],[IndicatorCode]],Table1[value]))</f>
        <v>26324.778297809873</v>
      </c>
      <c r="J5511">
        <f>(Table1[[#This Row],[value]] - Table1[[#This Row],[mean]]) / Table1[[#This Row],[std_dev]]</f>
        <v>0.66215609737751469</v>
      </c>
      <c r="K5511">
        <f>AVERAGEIF(Table1[CountryCode],Table1[[#This Row],[CountryCode]],Table1[z-score])</f>
        <v>-3.9589438634764836E-2</v>
      </c>
      <c r="L5511" t="e">
        <f>VLOOKUP(Table1[[#This Row],[CountryCode]],[1]!Table1[#All],1,FALSE)</f>
        <v>#REF!</v>
      </c>
    </row>
    <row r="5512" spans="1:12" hidden="1" x14ac:dyDescent="0.3">
      <c r="A5512" t="s">
        <v>47</v>
      </c>
      <c r="B5512" t="s">
        <v>48</v>
      </c>
      <c r="C5512" t="s">
        <v>127</v>
      </c>
      <c r="D5512" t="s">
        <v>128</v>
      </c>
      <c r="E5512">
        <v>2011</v>
      </c>
      <c r="F5512" s="1">
        <v>43946</v>
      </c>
      <c r="G5512">
        <v>2010</v>
      </c>
      <c r="H5512">
        <f>AVERAGEIFS(Table1[value],Table1[IndicatorCode],Table1[[#This Row],[IndicatorCode]])</f>
        <v>24902.88753799392</v>
      </c>
      <c r="I5512" cm="1">
        <f t="array" ref="I5512">_xlfn.STDEV.P(IF(Table1[IndicatorCode]=Table1[[#This Row],[IndicatorCode]],Table1[value]))</f>
        <v>26324.778297809873</v>
      </c>
      <c r="J5512">
        <f>(Table1[[#This Row],[value]] - Table1[[#This Row],[mean]]) / Table1[[#This Row],[std_dev]]</f>
        <v>0.72339118098443389</v>
      </c>
      <c r="K5512">
        <f>AVERAGEIF(Table1[CountryCode],Table1[[#This Row],[CountryCode]],Table1[z-score])</f>
        <v>-3.9589438634764836E-2</v>
      </c>
      <c r="L5512" t="e">
        <f>VLOOKUP(Table1[[#This Row],[CountryCode]],[1]!Table1[#All],1,FALSE)</f>
        <v>#REF!</v>
      </c>
    </row>
    <row r="5513" spans="1:12" hidden="1" x14ac:dyDescent="0.3">
      <c r="A5513" t="s">
        <v>47</v>
      </c>
      <c r="B5513" t="s">
        <v>48</v>
      </c>
      <c r="C5513" t="s">
        <v>127</v>
      </c>
      <c r="D5513" t="s">
        <v>128</v>
      </c>
      <c r="E5513">
        <v>2012</v>
      </c>
      <c r="F5513" s="1">
        <v>47304</v>
      </c>
      <c r="G5513">
        <v>2010</v>
      </c>
      <c r="H5513">
        <f>AVERAGEIFS(Table1[value],Table1[IndicatorCode],Table1[[#This Row],[IndicatorCode]])</f>
        <v>24902.88753799392</v>
      </c>
      <c r="I5513" cm="1">
        <f t="array" ref="I5513">_xlfn.STDEV.P(IF(Table1[IndicatorCode]=Table1[[#This Row],[IndicatorCode]],Table1[value]))</f>
        <v>26324.778297809873</v>
      </c>
      <c r="J5513">
        <f>(Table1[[#This Row],[value]] - Table1[[#This Row],[mean]]) / Table1[[#This Row],[std_dev]]</f>
        <v>0.85095160949065896</v>
      </c>
      <c r="K5513">
        <f>AVERAGEIF(Table1[CountryCode],Table1[[#This Row],[CountryCode]],Table1[z-score])</f>
        <v>-3.9589438634764836E-2</v>
      </c>
      <c r="L5513" t="e">
        <f>VLOOKUP(Table1[[#This Row],[CountryCode]],[1]!Table1[#All],1,FALSE)</f>
        <v>#REF!</v>
      </c>
    </row>
    <row r="5514" spans="1:12" hidden="1" x14ac:dyDescent="0.3">
      <c r="A5514" t="s">
        <v>47</v>
      </c>
      <c r="B5514" t="s">
        <v>48</v>
      </c>
      <c r="C5514" t="s">
        <v>127</v>
      </c>
      <c r="D5514" t="s">
        <v>128</v>
      </c>
      <c r="E5514">
        <v>2013</v>
      </c>
      <c r="F5514" s="1">
        <v>50121</v>
      </c>
      <c r="G5514">
        <v>2010</v>
      </c>
      <c r="H5514">
        <f>AVERAGEIFS(Table1[value],Table1[IndicatorCode],Table1[[#This Row],[IndicatorCode]])</f>
        <v>24902.88753799392</v>
      </c>
      <c r="I5514" cm="1">
        <f t="array" ref="I5514">_xlfn.STDEV.P(IF(Table1[IndicatorCode]=Table1[[#This Row],[IndicatorCode]],Table1[value]))</f>
        <v>26324.778297809873</v>
      </c>
      <c r="J5514">
        <f>(Table1[[#This Row],[value]] - Table1[[#This Row],[mean]]) / Table1[[#This Row],[std_dev]]</f>
        <v>0.95796105770448736</v>
      </c>
      <c r="K5514">
        <f>AVERAGEIF(Table1[CountryCode],Table1[[#This Row],[CountryCode]],Table1[z-score])</f>
        <v>-3.9589438634764836E-2</v>
      </c>
      <c r="L5514" t="e">
        <f>VLOOKUP(Table1[[#This Row],[CountryCode]],[1]!Table1[#All],1,FALSE)</f>
        <v>#REF!</v>
      </c>
    </row>
    <row r="5515" spans="1:12" hidden="1" x14ac:dyDescent="0.3">
      <c r="A5515" t="s">
        <v>47</v>
      </c>
      <c r="B5515" t="s">
        <v>48</v>
      </c>
      <c r="C5515" t="s">
        <v>127</v>
      </c>
      <c r="D5515" t="s">
        <v>128</v>
      </c>
      <c r="E5515">
        <v>2014</v>
      </c>
      <c r="F5515" s="1">
        <v>52645</v>
      </c>
      <c r="G5515">
        <v>2010</v>
      </c>
      <c r="H5515">
        <f>AVERAGEIFS(Table1[value],Table1[IndicatorCode],Table1[[#This Row],[IndicatorCode]])</f>
        <v>24902.88753799392</v>
      </c>
      <c r="I5515" cm="1">
        <f t="array" ref="I5515">_xlfn.STDEV.P(IF(Table1[IndicatorCode]=Table1[[#This Row],[IndicatorCode]],Table1[value]))</f>
        <v>26324.778297809873</v>
      </c>
      <c r="J5515">
        <f>(Table1[[#This Row],[value]] - Table1[[#This Row],[mean]]) / Table1[[#This Row],[std_dev]]</f>
        <v>1.0538403077192913</v>
      </c>
      <c r="K5515">
        <f>AVERAGEIF(Table1[CountryCode],Table1[[#This Row],[CountryCode]],Table1[z-score])</f>
        <v>-3.9589438634764836E-2</v>
      </c>
      <c r="L5515" t="e">
        <f>VLOOKUP(Table1[[#This Row],[CountryCode]],[1]!Table1[#All],1,FALSE)</f>
        <v>#REF!</v>
      </c>
    </row>
    <row r="5516" spans="1:12" hidden="1" x14ac:dyDescent="0.3">
      <c r="A5516" t="s">
        <v>47</v>
      </c>
      <c r="B5516" t="s">
        <v>48</v>
      </c>
      <c r="C5516" t="s">
        <v>127</v>
      </c>
      <c r="D5516" t="s">
        <v>128</v>
      </c>
      <c r="E5516">
        <v>2015</v>
      </c>
      <c r="F5516" s="1">
        <v>52637</v>
      </c>
      <c r="G5516">
        <v>2010</v>
      </c>
      <c r="H5516">
        <f>AVERAGEIFS(Table1[value],Table1[IndicatorCode],Table1[[#This Row],[IndicatorCode]])</f>
        <v>24902.88753799392</v>
      </c>
      <c r="I5516" cm="1">
        <f t="array" ref="I5516">_xlfn.STDEV.P(IF(Table1[IndicatorCode]=Table1[[#This Row],[IndicatorCode]],Table1[value]))</f>
        <v>26324.778297809873</v>
      </c>
      <c r="J5516">
        <f>(Table1[[#This Row],[value]] - Table1[[#This Row],[mean]]) / Table1[[#This Row],[std_dev]]</f>
        <v>1.053536411522731</v>
      </c>
      <c r="K5516">
        <f>AVERAGEIF(Table1[CountryCode],Table1[[#This Row],[CountryCode]],Table1[z-score])</f>
        <v>-3.9589438634764836E-2</v>
      </c>
      <c r="L5516" t="e">
        <f>VLOOKUP(Table1[[#This Row],[CountryCode]],[1]!Table1[#All],1,FALSE)</f>
        <v>#REF!</v>
      </c>
    </row>
    <row r="5517" spans="1:12" hidden="1" x14ac:dyDescent="0.3">
      <c r="A5517" t="s">
        <v>47</v>
      </c>
      <c r="B5517" t="s">
        <v>48</v>
      </c>
      <c r="C5517" t="s">
        <v>127</v>
      </c>
      <c r="D5517" t="s">
        <v>128</v>
      </c>
      <c r="E5517">
        <v>2016</v>
      </c>
      <c r="F5517" s="1">
        <v>52757</v>
      </c>
      <c r="G5517">
        <v>2010</v>
      </c>
      <c r="H5517">
        <f>AVERAGEIFS(Table1[value],Table1[IndicatorCode],Table1[[#This Row],[IndicatorCode]])</f>
        <v>24902.88753799392</v>
      </c>
      <c r="I5517" cm="1">
        <f t="array" ref="I5517">_xlfn.STDEV.P(IF(Table1[IndicatorCode]=Table1[[#This Row],[IndicatorCode]],Table1[value]))</f>
        <v>26324.778297809873</v>
      </c>
      <c r="J5517">
        <f>(Table1[[#This Row],[value]] - Table1[[#This Row],[mean]]) / Table1[[#This Row],[std_dev]]</f>
        <v>1.0580948544711368</v>
      </c>
      <c r="K5517">
        <f>AVERAGEIF(Table1[CountryCode],Table1[[#This Row],[CountryCode]],Table1[z-score])</f>
        <v>-3.9589438634764836E-2</v>
      </c>
      <c r="L5517" t="e">
        <f>VLOOKUP(Table1[[#This Row],[CountryCode]],[1]!Table1[#All],1,FALSE)</f>
        <v>#REF!</v>
      </c>
    </row>
    <row r="5518" spans="1:12" hidden="1" x14ac:dyDescent="0.3">
      <c r="A5518" t="s">
        <v>47</v>
      </c>
      <c r="B5518" t="s">
        <v>48</v>
      </c>
      <c r="C5518" t="s">
        <v>127</v>
      </c>
      <c r="D5518" t="s">
        <v>128</v>
      </c>
      <c r="E5518">
        <v>2017</v>
      </c>
      <c r="F5518" s="1">
        <v>53831</v>
      </c>
      <c r="G5518">
        <v>2020</v>
      </c>
      <c r="H5518">
        <f>AVERAGEIFS(Table1[value],Table1[IndicatorCode],Table1[[#This Row],[IndicatorCode]])</f>
        <v>24902.88753799392</v>
      </c>
      <c r="I5518" cm="1">
        <f t="array" ref="I5518">_xlfn.STDEV.P(IF(Table1[IndicatorCode]=Table1[[#This Row],[IndicatorCode]],Table1[value]))</f>
        <v>26324.778297809873</v>
      </c>
      <c r="J5518">
        <f>(Table1[[#This Row],[value]] - Table1[[#This Row],[mean]]) / Table1[[#This Row],[std_dev]]</f>
        <v>1.0988929188593697</v>
      </c>
      <c r="K5518">
        <f>AVERAGEIF(Table1[CountryCode],Table1[[#This Row],[CountryCode]],Table1[z-score])</f>
        <v>-3.9589438634764836E-2</v>
      </c>
      <c r="L5518" t="e">
        <f>VLOOKUP(Table1[[#This Row],[CountryCode]],[1]!Table1[#All],1,FALSE)</f>
        <v>#REF!</v>
      </c>
    </row>
    <row r="5519" spans="1:12" hidden="1" x14ac:dyDescent="0.3">
      <c r="A5519" t="s">
        <v>47</v>
      </c>
      <c r="B5519" t="s">
        <v>48</v>
      </c>
      <c r="C5519" t="s">
        <v>127</v>
      </c>
      <c r="D5519" t="s">
        <v>128</v>
      </c>
      <c r="E5519">
        <v>2018</v>
      </c>
      <c r="F5519" s="1">
        <v>54434</v>
      </c>
      <c r="G5519">
        <v>2020</v>
      </c>
      <c r="H5519">
        <f>AVERAGEIFS(Table1[value],Table1[IndicatorCode],Table1[[#This Row],[IndicatorCode]])</f>
        <v>24902.88753799392</v>
      </c>
      <c r="I5519" cm="1">
        <f t="array" ref="I5519">_xlfn.STDEV.P(IF(Table1[IndicatorCode]=Table1[[#This Row],[IndicatorCode]],Table1[value]))</f>
        <v>26324.778297809873</v>
      </c>
      <c r="J5519">
        <f>(Table1[[#This Row],[value]] - Table1[[#This Row],[mean]]) / Table1[[#This Row],[std_dev]]</f>
        <v>1.1217990946751093</v>
      </c>
      <c r="K5519">
        <f>AVERAGEIF(Table1[CountryCode],Table1[[#This Row],[CountryCode]],Table1[z-score])</f>
        <v>-3.9589438634764836E-2</v>
      </c>
      <c r="L5519" t="e">
        <f>VLOOKUP(Table1[[#This Row],[CountryCode]],[1]!Table1[#All],1,FALSE)</f>
        <v>#REF!</v>
      </c>
    </row>
    <row r="5520" spans="1:12" hidden="1" x14ac:dyDescent="0.3">
      <c r="A5520" t="s">
        <v>47</v>
      </c>
      <c r="B5520" t="s">
        <v>48</v>
      </c>
      <c r="C5520" t="s">
        <v>127</v>
      </c>
      <c r="D5520" t="s">
        <v>128</v>
      </c>
      <c r="E5520">
        <v>2019</v>
      </c>
      <c r="F5520" s="1">
        <v>56029</v>
      </c>
      <c r="G5520">
        <v>2020</v>
      </c>
      <c r="H5520">
        <f>AVERAGEIFS(Table1[value],Table1[IndicatorCode],Table1[[#This Row],[IndicatorCode]])</f>
        <v>24902.88753799392</v>
      </c>
      <c r="I5520" cm="1">
        <f t="array" ref="I5520">_xlfn.STDEV.P(IF(Table1[IndicatorCode]=Table1[[#This Row],[IndicatorCode]],Table1[value]))</f>
        <v>26324.778297809873</v>
      </c>
      <c r="J5520">
        <f>(Table1[[#This Row],[value]] - Table1[[#This Row],[mean]]) / Table1[[#This Row],[std_dev]]</f>
        <v>1.1823883988643376</v>
      </c>
      <c r="K5520">
        <f>AVERAGEIF(Table1[CountryCode],Table1[[#This Row],[CountryCode]],Table1[z-score])</f>
        <v>-3.9589438634764836E-2</v>
      </c>
      <c r="L5520" t="e">
        <f>VLOOKUP(Table1[[#This Row],[CountryCode]],[1]!Table1[#All],1,FALSE)</f>
        <v>#REF!</v>
      </c>
    </row>
    <row r="5521" spans="1:12" x14ac:dyDescent="0.3">
      <c r="A5521" t="s">
        <v>99</v>
      </c>
      <c r="B5521" t="s">
        <v>100</v>
      </c>
      <c r="C5521" t="s">
        <v>127</v>
      </c>
      <c r="D5521" t="s">
        <v>128</v>
      </c>
      <c r="E5521">
        <v>2020</v>
      </c>
      <c r="F5521" s="1">
        <v>10854</v>
      </c>
      <c r="G5521">
        <v>2020</v>
      </c>
      <c r="H5521">
        <f>AVERAGEIFS(Table1[value],Table1[IndicatorCode],Table1[[#This Row],[IndicatorCode]])</f>
        <v>24902.88753799392</v>
      </c>
      <c r="I5521" cm="1">
        <f t="array" ref="I5521">_xlfn.STDEV.P(IF(Table1[IndicatorCode]=Table1[[#This Row],[IndicatorCode]],Table1[value]))</f>
        <v>26324.778297809873</v>
      </c>
      <c r="J5521">
        <f>(Table1[[#This Row],[value]] - Table1[[#This Row],[mean]]) / Table1[[#This Row],[std_dev]]</f>
        <v>-0.53367543608763224</v>
      </c>
      <c r="K5521">
        <f>AVERAGEIF(Table1[CountryCode],Table1[[#This Row],[CountryCode]],Table1[z-score])</f>
        <v>-0.56629310735046812</v>
      </c>
    </row>
    <row r="5522" spans="1:12" hidden="1" x14ac:dyDescent="0.3">
      <c r="A5522" t="s">
        <v>47</v>
      </c>
      <c r="B5522" t="s">
        <v>48</v>
      </c>
      <c r="C5522" t="s">
        <v>127</v>
      </c>
      <c r="D5522" t="s">
        <v>128</v>
      </c>
      <c r="E5522">
        <v>2021</v>
      </c>
      <c r="F5522" s="1">
        <v>56270</v>
      </c>
      <c r="G5522">
        <v>2020</v>
      </c>
      <c r="H5522">
        <f>AVERAGEIFS(Table1[value],Table1[IndicatorCode],Table1[[#This Row],[IndicatorCode]])</f>
        <v>24902.88753799392</v>
      </c>
      <c r="I5522" cm="1">
        <f t="array" ref="I5522">_xlfn.STDEV.P(IF(Table1[IndicatorCode]=Table1[[#This Row],[IndicatorCode]],Table1[value]))</f>
        <v>26324.778297809873</v>
      </c>
      <c r="J5522">
        <f>(Table1[[#This Row],[value]] - Table1[[#This Row],[mean]]) / Table1[[#This Row],[std_dev]]</f>
        <v>1.1915432717857195</v>
      </c>
      <c r="K5522">
        <f>AVERAGEIF(Table1[CountryCode],Table1[[#This Row],[CountryCode]],Table1[z-score])</f>
        <v>-3.9589438634764836E-2</v>
      </c>
      <c r="L5522" t="e">
        <f>VLOOKUP(Table1[[#This Row],[CountryCode]],[1]!Table1[#All],1,FALSE)</f>
        <v>#REF!</v>
      </c>
    </row>
    <row r="5523" spans="1:12" hidden="1" x14ac:dyDescent="0.3">
      <c r="A5523" t="s">
        <v>47</v>
      </c>
      <c r="B5523" t="s">
        <v>48</v>
      </c>
      <c r="C5523" t="s">
        <v>127</v>
      </c>
      <c r="D5523" t="s">
        <v>128</v>
      </c>
      <c r="E5523">
        <v>2022</v>
      </c>
      <c r="F5523" s="1">
        <v>57775</v>
      </c>
      <c r="G5523">
        <v>1960</v>
      </c>
      <c r="H5523">
        <f>AVERAGEIFS(Table1[value],Table1[IndicatorCode],Table1[[#This Row],[IndicatorCode]])</f>
        <v>24902.88753799392</v>
      </c>
      <c r="I5523" cm="1">
        <f t="array" ref="I5523">_xlfn.STDEV.P(IF(Table1[IndicatorCode]=Table1[[#This Row],[IndicatorCode]],Table1[value]))</f>
        <v>26324.778297809873</v>
      </c>
      <c r="J5523">
        <f>(Table1[[#This Row],[value]] - Table1[[#This Row],[mean]]) / Table1[[#This Row],[std_dev]]</f>
        <v>1.2487137437636435</v>
      </c>
      <c r="K5523">
        <f>AVERAGEIF(Table1[CountryCode],Table1[[#This Row],[CountryCode]],Table1[z-score])</f>
        <v>-3.9589438634764836E-2</v>
      </c>
      <c r="L5523" t="e">
        <f>VLOOKUP(Table1[[#This Row],[CountryCode]],[1]!Table1[#All],1,FALSE)</f>
        <v>#REF!</v>
      </c>
    </row>
    <row r="5524" spans="1:12" hidden="1" x14ac:dyDescent="0.3">
      <c r="A5524" t="s">
        <v>47</v>
      </c>
      <c r="B5524" t="s">
        <v>48</v>
      </c>
      <c r="C5524" t="s">
        <v>127</v>
      </c>
      <c r="D5524" t="s">
        <v>128</v>
      </c>
      <c r="E5524">
        <v>2023</v>
      </c>
      <c r="F5524" s="1">
        <v>59050</v>
      </c>
      <c r="G5524">
        <v>1960</v>
      </c>
      <c r="H5524">
        <f>AVERAGEIFS(Table1[value],Table1[IndicatorCode],Table1[[#This Row],[IndicatorCode]])</f>
        <v>24902.88753799392</v>
      </c>
      <c r="I5524" cm="1">
        <f t="array" ref="I5524">_xlfn.STDEV.P(IF(Table1[IndicatorCode]=Table1[[#This Row],[IndicatorCode]],Table1[value]))</f>
        <v>26324.778297809873</v>
      </c>
      <c r="J5524">
        <f>(Table1[[#This Row],[value]] - Table1[[#This Row],[mean]]) / Table1[[#This Row],[std_dev]]</f>
        <v>1.297147200090456</v>
      </c>
      <c r="K5524">
        <f>AVERAGEIF(Table1[CountryCode],Table1[[#This Row],[CountryCode]],Table1[z-score])</f>
        <v>-3.9589438634764836E-2</v>
      </c>
      <c r="L5524" t="e">
        <f>VLOOKUP(Table1[[#This Row],[CountryCode]],[1]!Table1[#All],1,FALSE)</f>
        <v>#REF!</v>
      </c>
    </row>
    <row r="5525" spans="1:12" hidden="1" x14ac:dyDescent="0.3">
      <c r="A5525" t="s">
        <v>47</v>
      </c>
      <c r="B5525" t="s">
        <v>48</v>
      </c>
      <c r="C5525" t="s">
        <v>127</v>
      </c>
      <c r="D5525" t="s">
        <v>128</v>
      </c>
      <c r="E5525">
        <v>2024</v>
      </c>
      <c r="F5525" s="1">
        <v>59258</v>
      </c>
      <c r="G5525">
        <v>1960</v>
      </c>
      <c r="H5525">
        <f>AVERAGEIFS(Table1[value],Table1[IndicatorCode],Table1[[#This Row],[IndicatorCode]])</f>
        <v>24902.88753799392</v>
      </c>
      <c r="I5525" cm="1">
        <f t="array" ref="I5525">_xlfn.STDEV.P(IF(Table1[IndicatorCode]=Table1[[#This Row],[IndicatorCode]],Table1[value]))</f>
        <v>26324.778297809873</v>
      </c>
      <c r="J5525">
        <f>(Table1[[#This Row],[value]] - Table1[[#This Row],[mean]]) / Table1[[#This Row],[std_dev]]</f>
        <v>1.3050485012010262</v>
      </c>
      <c r="K5525">
        <f>AVERAGEIF(Table1[CountryCode],Table1[[#This Row],[CountryCode]],Table1[z-score])</f>
        <v>-3.9589438634764836E-2</v>
      </c>
      <c r="L5525" t="e">
        <f>VLOOKUP(Table1[[#This Row],[CountryCode]],[1]!Table1[#All],1,FALSE)</f>
        <v>#REF!</v>
      </c>
    </row>
    <row r="5526" spans="1:12" hidden="1" x14ac:dyDescent="0.3">
      <c r="A5526" t="s">
        <v>49</v>
      </c>
      <c r="B5526" t="s">
        <v>50</v>
      </c>
      <c r="C5526" t="s">
        <v>127</v>
      </c>
      <c r="D5526" t="s">
        <v>128</v>
      </c>
      <c r="E5526">
        <v>1960</v>
      </c>
      <c r="F5526" s="1">
        <v>15324</v>
      </c>
      <c r="G5526">
        <v>1960</v>
      </c>
      <c r="H5526">
        <f>AVERAGEIFS(Table1[value],Table1[IndicatorCode],Table1[[#This Row],[IndicatorCode]])</f>
        <v>24902.88753799392</v>
      </c>
      <c r="I5526" cm="1">
        <f t="array" ref="I5526">_xlfn.STDEV.P(IF(Table1[IndicatorCode]=Table1[[#This Row],[IndicatorCode]],Table1[value]))</f>
        <v>26324.778297809873</v>
      </c>
      <c r="J5526">
        <f>(Table1[[#This Row],[value]] - Table1[[#This Row],[mean]]) / Table1[[#This Row],[std_dev]]</f>
        <v>-0.36387343625951252</v>
      </c>
      <c r="K5526">
        <f>AVERAGEIF(Table1[CountryCode],Table1[[#This Row],[CountryCode]],Table1[z-score])</f>
        <v>0.3375502618800939</v>
      </c>
      <c r="L5526" t="e">
        <f>VLOOKUP(Table1[[#This Row],[CountryCode]],[1]!Table1[#All],1,FALSE)</f>
        <v>#REF!</v>
      </c>
    </row>
    <row r="5527" spans="1:12" hidden="1" x14ac:dyDescent="0.3">
      <c r="A5527" t="s">
        <v>49</v>
      </c>
      <c r="B5527" t="s">
        <v>50</v>
      </c>
      <c r="C5527" t="s">
        <v>127</v>
      </c>
      <c r="D5527" t="s">
        <v>128</v>
      </c>
      <c r="E5527">
        <v>1961</v>
      </c>
      <c r="F5527" s="1">
        <v>15618</v>
      </c>
      <c r="G5527">
        <v>1960</v>
      </c>
      <c r="H5527">
        <f>AVERAGEIFS(Table1[value],Table1[IndicatorCode],Table1[[#This Row],[IndicatorCode]])</f>
        <v>24902.88753799392</v>
      </c>
      <c r="I5527" cm="1">
        <f t="array" ref="I5527">_xlfn.STDEV.P(IF(Table1[IndicatorCode]=Table1[[#This Row],[IndicatorCode]],Table1[value]))</f>
        <v>26324.778297809873</v>
      </c>
      <c r="J5527">
        <f>(Table1[[#This Row],[value]] - Table1[[#This Row],[mean]]) / Table1[[#This Row],[std_dev]]</f>
        <v>-0.3527052510359181</v>
      </c>
      <c r="K5527">
        <f>AVERAGEIF(Table1[CountryCode],Table1[[#This Row],[CountryCode]],Table1[z-score])</f>
        <v>0.3375502618800939</v>
      </c>
      <c r="L5527" t="e">
        <f>VLOOKUP(Table1[[#This Row],[CountryCode]],[1]!Table1[#All],1,FALSE)</f>
        <v>#REF!</v>
      </c>
    </row>
    <row r="5528" spans="1:12" hidden="1" x14ac:dyDescent="0.3">
      <c r="A5528" t="s">
        <v>49</v>
      </c>
      <c r="B5528" t="s">
        <v>50</v>
      </c>
      <c r="C5528" t="s">
        <v>127</v>
      </c>
      <c r="D5528" t="s">
        <v>128</v>
      </c>
      <c r="E5528">
        <v>1962</v>
      </c>
      <c r="F5528" s="1">
        <v>15657</v>
      </c>
      <c r="G5528">
        <v>1960</v>
      </c>
      <c r="H5528">
        <f>AVERAGEIFS(Table1[value],Table1[IndicatorCode],Table1[[#This Row],[IndicatorCode]])</f>
        <v>24902.88753799392</v>
      </c>
      <c r="I5528" cm="1">
        <f t="array" ref="I5528">_xlfn.STDEV.P(IF(Table1[IndicatorCode]=Table1[[#This Row],[IndicatorCode]],Table1[value]))</f>
        <v>26324.778297809873</v>
      </c>
      <c r="J5528">
        <f>(Table1[[#This Row],[value]] - Table1[[#This Row],[mean]]) / Table1[[#This Row],[std_dev]]</f>
        <v>-0.35122375707768616</v>
      </c>
      <c r="K5528">
        <f>AVERAGEIF(Table1[CountryCode],Table1[[#This Row],[CountryCode]],Table1[z-score])</f>
        <v>0.3375502618800939</v>
      </c>
      <c r="L5528" t="e">
        <f>VLOOKUP(Table1[[#This Row],[CountryCode]],[1]!Table1[#All],1,FALSE)</f>
        <v>#REF!</v>
      </c>
    </row>
    <row r="5529" spans="1:12" hidden="1" x14ac:dyDescent="0.3">
      <c r="A5529" t="s">
        <v>49</v>
      </c>
      <c r="B5529" t="s">
        <v>50</v>
      </c>
      <c r="C5529" t="s">
        <v>127</v>
      </c>
      <c r="D5529" t="s">
        <v>128</v>
      </c>
      <c r="E5529">
        <v>1963</v>
      </c>
      <c r="F5529" s="1">
        <v>16295</v>
      </c>
      <c r="G5529">
        <v>1960</v>
      </c>
      <c r="H5529">
        <f>AVERAGEIFS(Table1[value],Table1[IndicatorCode],Table1[[#This Row],[IndicatorCode]])</f>
        <v>24902.88753799392</v>
      </c>
      <c r="I5529" cm="1">
        <f t="array" ref="I5529">_xlfn.STDEV.P(IF(Table1[IndicatorCode]=Table1[[#This Row],[IndicatorCode]],Table1[value]))</f>
        <v>26324.778297809873</v>
      </c>
      <c r="J5529">
        <f>(Table1[[#This Row],[value]] - Table1[[#This Row],[mean]]) / Table1[[#This Row],[std_dev]]</f>
        <v>-0.32698803540199484</v>
      </c>
      <c r="K5529">
        <f>AVERAGEIF(Table1[CountryCode],Table1[[#This Row],[CountryCode]],Table1[z-score])</f>
        <v>0.3375502618800939</v>
      </c>
      <c r="L5529" t="e">
        <f>VLOOKUP(Table1[[#This Row],[CountryCode]],[1]!Table1[#All],1,FALSE)</f>
        <v>#REF!</v>
      </c>
    </row>
    <row r="5530" spans="1:12" hidden="1" x14ac:dyDescent="0.3">
      <c r="A5530" t="s">
        <v>49</v>
      </c>
      <c r="B5530" t="s">
        <v>50</v>
      </c>
      <c r="C5530" t="s">
        <v>127</v>
      </c>
      <c r="D5530" t="s">
        <v>128</v>
      </c>
      <c r="E5530">
        <v>1964</v>
      </c>
      <c r="F5530" s="1">
        <v>17095</v>
      </c>
      <c r="G5530">
        <v>1960</v>
      </c>
      <c r="H5530">
        <f>AVERAGEIFS(Table1[value],Table1[IndicatorCode],Table1[[#This Row],[IndicatorCode]])</f>
        <v>24902.88753799392</v>
      </c>
      <c r="I5530" cm="1">
        <f t="array" ref="I5530">_xlfn.STDEV.P(IF(Table1[IndicatorCode]=Table1[[#This Row],[IndicatorCode]],Table1[value]))</f>
        <v>26324.778297809873</v>
      </c>
      <c r="J5530">
        <f>(Table1[[#This Row],[value]] - Table1[[#This Row],[mean]]) / Table1[[#This Row],[std_dev]]</f>
        <v>-0.29659841574595552</v>
      </c>
      <c r="K5530">
        <f>AVERAGEIF(Table1[CountryCode],Table1[[#This Row],[CountryCode]],Table1[z-score])</f>
        <v>0.3375502618800939</v>
      </c>
      <c r="L5530" t="e">
        <f>VLOOKUP(Table1[[#This Row],[CountryCode]],[1]!Table1[#All],1,FALSE)</f>
        <v>#REF!</v>
      </c>
    </row>
    <row r="5531" spans="1:12" hidden="1" x14ac:dyDescent="0.3">
      <c r="A5531" t="s">
        <v>49</v>
      </c>
      <c r="B5531" t="s">
        <v>50</v>
      </c>
      <c r="C5531" t="s">
        <v>127</v>
      </c>
      <c r="D5531" t="s">
        <v>128</v>
      </c>
      <c r="E5531">
        <v>1965</v>
      </c>
      <c r="F5531" s="1">
        <v>17347</v>
      </c>
      <c r="G5531">
        <v>1960</v>
      </c>
      <c r="H5531">
        <f>AVERAGEIFS(Table1[value],Table1[IndicatorCode],Table1[[#This Row],[IndicatorCode]])</f>
        <v>24902.88753799392</v>
      </c>
      <c r="I5531" cm="1">
        <f t="array" ref="I5531">_xlfn.STDEV.P(IF(Table1[IndicatorCode]=Table1[[#This Row],[IndicatorCode]],Table1[value]))</f>
        <v>26324.778297809873</v>
      </c>
      <c r="J5531">
        <f>(Table1[[#This Row],[value]] - Table1[[#This Row],[mean]]) / Table1[[#This Row],[std_dev]]</f>
        <v>-0.28702568555430313</v>
      </c>
      <c r="K5531">
        <f>AVERAGEIF(Table1[CountryCode],Table1[[#This Row],[CountryCode]],Table1[z-score])</f>
        <v>0.3375502618800939</v>
      </c>
      <c r="L5531" t="e">
        <f>VLOOKUP(Table1[[#This Row],[CountryCode]],[1]!Table1[#All],1,FALSE)</f>
        <v>#REF!</v>
      </c>
    </row>
    <row r="5532" spans="1:12" hidden="1" x14ac:dyDescent="0.3">
      <c r="A5532" t="s">
        <v>49</v>
      </c>
      <c r="B5532" t="s">
        <v>50</v>
      </c>
      <c r="C5532" t="s">
        <v>127</v>
      </c>
      <c r="D5532" t="s">
        <v>128</v>
      </c>
      <c r="E5532">
        <v>1966</v>
      </c>
      <c r="F5532" s="1">
        <v>17522</v>
      </c>
      <c r="G5532">
        <v>1960</v>
      </c>
      <c r="H5532">
        <f>AVERAGEIFS(Table1[value],Table1[IndicatorCode],Table1[[#This Row],[IndicatorCode]])</f>
        <v>24902.88753799392</v>
      </c>
      <c r="I5532" cm="1">
        <f t="array" ref="I5532">_xlfn.STDEV.P(IF(Table1[IndicatorCode]=Table1[[#This Row],[IndicatorCode]],Table1[value]))</f>
        <v>26324.778297809873</v>
      </c>
      <c r="J5532">
        <f>(Table1[[#This Row],[value]] - Table1[[#This Row],[mean]]) / Table1[[#This Row],[std_dev]]</f>
        <v>-0.28037795625454454</v>
      </c>
      <c r="K5532">
        <f>AVERAGEIF(Table1[CountryCode],Table1[[#This Row],[CountryCode]],Table1[z-score])</f>
        <v>0.3375502618800939</v>
      </c>
      <c r="L5532" t="e">
        <f>VLOOKUP(Table1[[#This Row],[CountryCode]],[1]!Table1[#All],1,FALSE)</f>
        <v>#REF!</v>
      </c>
    </row>
    <row r="5533" spans="1:12" hidden="1" x14ac:dyDescent="0.3">
      <c r="A5533" t="s">
        <v>49</v>
      </c>
      <c r="B5533" t="s">
        <v>50</v>
      </c>
      <c r="C5533" t="s">
        <v>127</v>
      </c>
      <c r="D5533" t="s">
        <v>128</v>
      </c>
      <c r="E5533">
        <v>1967</v>
      </c>
      <c r="F5533" s="1">
        <v>17912</v>
      </c>
      <c r="G5533">
        <v>1970</v>
      </c>
      <c r="H5533">
        <f>AVERAGEIFS(Table1[value],Table1[IndicatorCode],Table1[[#This Row],[IndicatorCode]])</f>
        <v>24902.88753799392</v>
      </c>
      <c r="I5533" cm="1">
        <f t="array" ref="I5533">_xlfn.STDEV.P(IF(Table1[IndicatorCode]=Table1[[#This Row],[IndicatorCode]],Table1[value]))</f>
        <v>26324.778297809873</v>
      </c>
      <c r="J5533">
        <f>(Table1[[#This Row],[value]] - Table1[[#This Row],[mean]]) / Table1[[#This Row],[std_dev]]</f>
        <v>-0.26556301667222537</v>
      </c>
      <c r="K5533">
        <f>AVERAGEIF(Table1[CountryCode],Table1[[#This Row],[CountryCode]],Table1[z-score])</f>
        <v>0.3375502618800939</v>
      </c>
      <c r="L5533" t="e">
        <f>VLOOKUP(Table1[[#This Row],[CountryCode]],[1]!Table1[#All],1,FALSE)</f>
        <v>#REF!</v>
      </c>
    </row>
    <row r="5534" spans="1:12" hidden="1" x14ac:dyDescent="0.3">
      <c r="A5534" t="s">
        <v>49</v>
      </c>
      <c r="B5534" t="s">
        <v>50</v>
      </c>
      <c r="C5534" t="s">
        <v>127</v>
      </c>
      <c r="D5534" t="s">
        <v>128</v>
      </c>
      <c r="E5534">
        <v>1968</v>
      </c>
      <c r="F5534" s="1">
        <v>18801</v>
      </c>
      <c r="G5534">
        <v>1970</v>
      </c>
      <c r="H5534">
        <f>AVERAGEIFS(Table1[value],Table1[IndicatorCode],Table1[[#This Row],[IndicatorCode]])</f>
        <v>24902.88753799392</v>
      </c>
      <c r="I5534" cm="1">
        <f t="array" ref="I5534">_xlfn.STDEV.P(IF(Table1[IndicatorCode]=Table1[[#This Row],[IndicatorCode]],Table1[value]))</f>
        <v>26324.778297809873</v>
      </c>
      <c r="J5534">
        <f>(Table1[[#This Row],[value]] - Table1[[#This Row],[mean]]) / Table1[[#This Row],[std_dev]]</f>
        <v>-0.23179255182945169</v>
      </c>
      <c r="K5534">
        <f>AVERAGEIF(Table1[CountryCode],Table1[[#This Row],[CountryCode]],Table1[z-score])</f>
        <v>0.3375502618800939</v>
      </c>
      <c r="L5534" t="e">
        <f>VLOOKUP(Table1[[#This Row],[CountryCode]],[1]!Table1[#All],1,FALSE)</f>
        <v>#REF!</v>
      </c>
    </row>
    <row r="5535" spans="1:12" hidden="1" x14ac:dyDescent="0.3">
      <c r="A5535" t="s">
        <v>49</v>
      </c>
      <c r="B5535" t="s">
        <v>50</v>
      </c>
      <c r="C5535" t="s">
        <v>127</v>
      </c>
      <c r="D5535" t="s">
        <v>128</v>
      </c>
      <c r="E5535">
        <v>1969</v>
      </c>
      <c r="F5535" s="1">
        <v>19086</v>
      </c>
      <c r="G5535">
        <v>1970</v>
      </c>
      <c r="H5535">
        <f>AVERAGEIFS(Table1[value],Table1[IndicatorCode],Table1[[#This Row],[IndicatorCode]])</f>
        <v>24902.88753799392</v>
      </c>
      <c r="I5535" cm="1">
        <f t="array" ref="I5535">_xlfn.STDEV.P(IF(Table1[IndicatorCode]=Table1[[#This Row],[IndicatorCode]],Table1[value]))</f>
        <v>26324.778297809873</v>
      </c>
      <c r="J5535">
        <f>(Table1[[#This Row],[value]] - Table1[[#This Row],[mean]]) / Table1[[#This Row],[std_dev]]</f>
        <v>-0.22096624982698768</v>
      </c>
      <c r="K5535">
        <f>AVERAGEIF(Table1[CountryCode],Table1[[#This Row],[CountryCode]],Table1[z-score])</f>
        <v>0.3375502618800939</v>
      </c>
      <c r="L5535" t="e">
        <f>VLOOKUP(Table1[[#This Row],[CountryCode]],[1]!Table1[#All],1,FALSE)</f>
        <v>#REF!</v>
      </c>
    </row>
    <row r="5536" spans="1:12" hidden="1" x14ac:dyDescent="0.3">
      <c r="A5536" t="s">
        <v>49</v>
      </c>
      <c r="B5536" t="s">
        <v>50</v>
      </c>
      <c r="C5536" t="s">
        <v>127</v>
      </c>
      <c r="D5536" t="s">
        <v>128</v>
      </c>
      <c r="E5536">
        <v>1970</v>
      </c>
      <c r="F5536" s="1">
        <v>19525</v>
      </c>
      <c r="G5536">
        <v>1970</v>
      </c>
      <c r="H5536">
        <f>AVERAGEIFS(Table1[value],Table1[IndicatorCode],Table1[[#This Row],[IndicatorCode]])</f>
        <v>24902.88753799392</v>
      </c>
      <c r="I5536" cm="1">
        <f t="array" ref="I5536">_xlfn.STDEV.P(IF(Table1[IndicatorCode]=Table1[[#This Row],[IndicatorCode]],Table1[value]))</f>
        <v>26324.778297809873</v>
      </c>
      <c r="J5536">
        <f>(Table1[[#This Row],[value]] - Table1[[#This Row],[mean]]) / Table1[[#This Row],[std_dev]]</f>
        <v>-0.20428994604073611</v>
      </c>
      <c r="K5536">
        <f>AVERAGEIF(Table1[CountryCode],Table1[[#This Row],[CountryCode]],Table1[z-score])</f>
        <v>0.3375502618800939</v>
      </c>
      <c r="L5536" t="e">
        <f>VLOOKUP(Table1[[#This Row],[CountryCode]],[1]!Table1[#All],1,FALSE)</f>
        <v>#REF!</v>
      </c>
    </row>
    <row r="5537" spans="1:12" hidden="1" x14ac:dyDescent="0.3">
      <c r="A5537" t="s">
        <v>49</v>
      </c>
      <c r="B5537" t="s">
        <v>50</v>
      </c>
      <c r="C5537" t="s">
        <v>127</v>
      </c>
      <c r="D5537" t="s">
        <v>128</v>
      </c>
      <c r="E5537">
        <v>1971</v>
      </c>
      <c r="F5537" s="1">
        <v>19833</v>
      </c>
      <c r="G5537">
        <v>1970</v>
      </c>
      <c r="H5537">
        <f>AVERAGEIFS(Table1[value],Table1[IndicatorCode],Table1[[#This Row],[IndicatorCode]])</f>
        <v>24902.88753799392</v>
      </c>
      <c r="I5537" cm="1">
        <f t="array" ref="I5537">_xlfn.STDEV.P(IF(Table1[IndicatorCode]=Table1[[#This Row],[IndicatorCode]],Table1[value]))</f>
        <v>26324.778297809873</v>
      </c>
      <c r="J5537">
        <f>(Table1[[#This Row],[value]] - Table1[[#This Row],[mean]]) / Table1[[#This Row],[std_dev]]</f>
        <v>-0.19258994247316097</v>
      </c>
      <c r="K5537">
        <f>AVERAGEIF(Table1[CountryCode],Table1[[#This Row],[CountryCode]],Table1[z-score])</f>
        <v>0.3375502618800939</v>
      </c>
      <c r="L5537" t="e">
        <f>VLOOKUP(Table1[[#This Row],[CountryCode]],[1]!Table1[#All],1,FALSE)</f>
        <v>#REF!</v>
      </c>
    </row>
    <row r="5538" spans="1:12" hidden="1" x14ac:dyDescent="0.3">
      <c r="A5538" t="s">
        <v>49</v>
      </c>
      <c r="B5538" t="s">
        <v>50</v>
      </c>
      <c r="C5538" t="s">
        <v>127</v>
      </c>
      <c r="D5538" t="s">
        <v>128</v>
      </c>
      <c r="E5538">
        <v>1972</v>
      </c>
      <c r="F5538" s="1">
        <v>20483</v>
      </c>
      <c r="G5538">
        <v>1970</v>
      </c>
      <c r="H5538">
        <f>AVERAGEIFS(Table1[value],Table1[IndicatorCode],Table1[[#This Row],[IndicatorCode]])</f>
        <v>24902.88753799392</v>
      </c>
      <c r="I5538" cm="1">
        <f t="array" ref="I5538">_xlfn.STDEV.P(IF(Table1[IndicatorCode]=Table1[[#This Row],[IndicatorCode]],Table1[value]))</f>
        <v>26324.778297809873</v>
      </c>
      <c r="J5538">
        <f>(Table1[[#This Row],[value]] - Table1[[#This Row],[mean]]) / Table1[[#This Row],[std_dev]]</f>
        <v>-0.16789837650262904</v>
      </c>
      <c r="K5538">
        <f>AVERAGEIF(Table1[CountryCode],Table1[[#This Row],[CountryCode]],Table1[z-score])</f>
        <v>0.3375502618800939</v>
      </c>
      <c r="L5538" t="e">
        <f>VLOOKUP(Table1[[#This Row],[CountryCode]],[1]!Table1[#All],1,FALSE)</f>
        <v>#REF!</v>
      </c>
    </row>
    <row r="5539" spans="1:12" hidden="1" x14ac:dyDescent="0.3">
      <c r="A5539" t="s">
        <v>49</v>
      </c>
      <c r="B5539" t="s">
        <v>50</v>
      </c>
      <c r="C5539" t="s">
        <v>127</v>
      </c>
      <c r="D5539" t="s">
        <v>128</v>
      </c>
      <c r="E5539">
        <v>1973</v>
      </c>
      <c r="F5539" s="1">
        <v>21938</v>
      </c>
      <c r="G5539">
        <v>1970</v>
      </c>
      <c r="H5539">
        <f>AVERAGEIFS(Table1[value],Table1[IndicatorCode],Table1[[#This Row],[IndicatorCode]])</f>
        <v>24902.88753799392</v>
      </c>
      <c r="I5539" cm="1">
        <f t="array" ref="I5539">_xlfn.STDEV.P(IF(Table1[IndicatorCode]=Table1[[#This Row],[IndicatorCode]],Table1[value]))</f>
        <v>26324.778297809873</v>
      </c>
      <c r="J5539">
        <f>(Table1[[#This Row],[value]] - Table1[[#This Row],[mean]]) / Table1[[#This Row],[std_dev]]</f>
        <v>-0.11262725575320753</v>
      </c>
      <c r="K5539">
        <f>AVERAGEIF(Table1[CountryCode],Table1[[#This Row],[CountryCode]],Table1[z-score])</f>
        <v>0.3375502618800939</v>
      </c>
      <c r="L5539" t="e">
        <f>VLOOKUP(Table1[[#This Row],[CountryCode]],[1]!Table1[#All],1,FALSE)</f>
        <v>#REF!</v>
      </c>
    </row>
    <row r="5540" spans="1:12" hidden="1" x14ac:dyDescent="0.3">
      <c r="A5540" t="s">
        <v>49</v>
      </c>
      <c r="B5540" t="s">
        <v>50</v>
      </c>
      <c r="C5540" t="s">
        <v>127</v>
      </c>
      <c r="D5540" t="s">
        <v>128</v>
      </c>
      <c r="E5540">
        <v>1974</v>
      </c>
      <c r="F5540" s="1">
        <v>21556</v>
      </c>
      <c r="G5540">
        <v>1970</v>
      </c>
      <c r="H5540">
        <f>AVERAGEIFS(Table1[value],Table1[IndicatorCode],Table1[[#This Row],[IndicatorCode]])</f>
        <v>24902.88753799392</v>
      </c>
      <c r="I5540" cm="1">
        <f t="array" ref="I5540">_xlfn.STDEV.P(IF(Table1[IndicatorCode]=Table1[[#This Row],[IndicatorCode]],Table1[value]))</f>
        <v>26324.778297809873</v>
      </c>
      <c r="J5540">
        <f>(Table1[[#This Row],[value]] - Table1[[#This Row],[mean]]) / Table1[[#This Row],[std_dev]]</f>
        <v>-0.12713829913896632</v>
      </c>
      <c r="K5540">
        <f>AVERAGEIF(Table1[CountryCode],Table1[[#This Row],[CountryCode]],Table1[z-score])</f>
        <v>0.3375502618800939</v>
      </c>
      <c r="L5540" t="e">
        <f>VLOOKUP(Table1[[#This Row],[CountryCode]],[1]!Table1[#All],1,FALSE)</f>
        <v>#REF!</v>
      </c>
    </row>
    <row r="5541" spans="1:12" hidden="1" x14ac:dyDescent="0.3">
      <c r="A5541" t="s">
        <v>49</v>
      </c>
      <c r="B5541" t="s">
        <v>50</v>
      </c>
      <c r="C5541" t="s">
        <v>127</v>
      </c>
      <c r="D5541" t="s">
        <v>128</v>
      </c>
      <c r="E5541">
        <v>1975</v>
      </c>
      <c r="F5541" s="1">
        <v>21412</v>
      </c>
      <c r="G5541">
        <v>1970</v>
      </c>
      <c r="H5541">
        <f>AVERAGEIFS(Table1[value],Table1[IndicatorCode],Table1[[#This Row],[IndicatorCode]])</f>
        <v>24902.88753799392</v>
      </c>
      <c r="I5541" cm="1">
        <f t="array" ref="I5541">_xlfn.STDEV.P(IF(Table1[IndicatorCode]=Table1[[#This Row],[IndicatorCode]],Table1[value]))</f>
        <v>26324.778297809873</v>
      </c>
      <c r="J5541">
        <f>(Table1[[#This Row],[value]] - Table1[[#This Row],[mean]]) / Table1[[#This Row],[std_dev]]</f>
        <v>-0.13260843067705338</v>
      </c>
      <c r="K5541">
        <f>AVERAGEIF(Table1[CountryCode],Table1[[#This Row],[CountryCode]],Table1[z-score])</f>
        <v>0.3375502618800939</v>
      </c>
      <c r="L5541" t="e">
        <f>VLOOKUP(Table1[[#This Row],[CountryCode]],[1]!Table1[#All],1,FALSE)</f>
        <v>#REF!</v>
      </c>
    </row>
    <row r="5542" spans="1:12" hidden="1" x14ac:dyDescent="0.3">
      <c r="A5542" t="s">
        <v>49</v>
      </c>
      <c r="B5542" t="s">
        <v>50</v>
      </c>
      <c r="C5542" t="s">
        <v>127</v>
      </c>
      <c r="D5542" t="s">
        <v>128</v>
      </c>
      <c r="E5542">
        <v>1976</v>
      </c>
      <c r="F5542" s="1">
        <v>22018</v>
      </c>
      <c r="G5542">
        <v>1970</v>
      </c>
      <c r="H5542">
        <f>AVERAGEIFS(Table1[value],Table1[IndicatorCode],Table1[[#This Row],[IndicatorCode]])</f>
        <v>24902.88753799392</v>
      </c>
      <c r="I5542" cm="1">
        <f t="array" ref="I5542">_xlfn.STDEV.P(IF(Table1[IndicatorCode]=Table1[[#This Row],[IndicatorCode]],Table1[value]))</f>
        <v>26324.778297809873</v>
      </c>
      <c r="J5542">
        <f>(Table1[[#This Row],[value]] - Table1[[#This Row],[mean]]) / Table1[[#This Row],[std_dev]]</f>
        <v>-0.10958829378760361</v>
      </c>
      <c r="K5542">
        <f>AVERAGEIF(Table1[CountryCode],Table1[[#This Row],[CountryCode]],Table1[z-score])</f>
        <v>0.3375502618800939</v>
      </c>
      <c r="L5542" t="e">
        <f>VLOOKUP(Table1[[#This Row],[CountryCode]],[1]!Table1[#All],1,FALSE)</f>
        <v>#REF!</v>
      </c>
    </row>
    <row r="5543" spans="1:12" hidden="1" x14ac:dyDescent="0.3">
      <c r="A5543" t="s">
        <v>49</v>
      </c>
      <c r="B5543" t="s">
        <v>50</v>
      </c>
      <c r="C5543" t="s">
        <v>127</v>
      </c>
      <c r="D5543" t="s">
        <v>128</v>
      </c>
      <c r="E5543">
        <v>1977</v>
      </c>
      <c r="F5543" s="1">
        <v>22546</v>
      </c>
      <c r="G5543">
        <v>1980</v>
      </c>
      <c r="H5543">
        <f>AVERAGEIFS(Table1[value],Table1[IndicatorCode],Table1[[#This Row],[IndicatorCode]])</f>
        <v>24902.88753799392</v>
      </c>
      <c r="I5543" cm="1">
        <f t="array" ref="I5543">_xlfn.STDEV.P(IF(Table1[IndicatorCode]=Table1[[#This Row],[IndicatorCode]],Table1[value]))</f>
        <v>26324.778297809873</v>
      </c>
      <c r="J5543">
        <f>(Table1[[#This Row],[value]] - Table1[[#This Row],[mean]]) / Table1[[#This Row],[std_dev]]</f>
        <v>-8.9531144814617658E-2</v>
      </c>
      <c r="K5543">
        <f>AVERAGEIF(Table1[CountryCode],Table1[[#This Row],[CountryCode]],Table1[z-score])</f>
        <v>0.3375502618800939</v>
      </c>
      <c r="L5543" t="e">
        <f>VLOOKUP(Table1[[#This Row],[CountryCode]],[1]!Table1[#All],1,FALSE)</f>
        <v>#REF!</v>
      </c>
    </row>
    <row r="5544" spans="1:12" hidden="1" x14ac:dyDescent="0.3">
      <c r="A5544" t="s">
        <v>49</v>
      </c>
      <c r="B5544" t="s">
        <v>50</v>
      </c>
      <c r="C5544" t="s">
        <v>127</v>
      </c>
      <c r="D5544" t="s">
        <v>128</v>
      </c>
      <c r="E5544">
        <v>1978</v>
      </c>
      <c r="F5544" s="1">
        <v>23312</v>
      </c>
      <c r="G5544">
        <v>1980</v>
      </c>
      <c r="H5544">
        <f>AVERAGEIFS(Table1[value],Table1[IndicatorCode],Table1[[#This Row],[IndicatorCode]])</f>
        <v>24902.88753799392</v>
      </c>
      <c r="I5544" cm="1">
        <f t="array" ref="I5544">_xlfn.STDEV.P(IF(Table1[IndicatorCode]=Table1[[#This Row],[IndicatorCode]],Table1[value]))</f>
        <v>26324.778297809873</v>
      </c>
      <c r="J5544">
        <f>(Table1[[#This Row],[value]] - Table1[[#This Row],[mean]]) / Table1[[#This Row],[std_dev]]</f>
        <v>-6.0433083993960024E-2</v>
      </c>
      <c r="K5544">
        <f>AVERAGEIF(Table1[CountryCode],Table1[[#This Row],[CountryCode]],Table1[z-score])</f>
        <v>0.3375502618800939</v>
      </c>
      <c r="L5544" t="e">
        <f>VLOOKUP(Table1[[#This Row],[CountryCode]],[1]!Table1[#All],1,FALSE)</f>
        <v>#REF!</v>
      </c>
    </row>
    <row r="5545" spans="1:12" hidden="1" x14ac:dyDescent="0.3">
      <c r="A5545" t="s">
        <v>49</v>
      </c>
      <c r="B5545" t="s">
        <v>50</v>
      </c>
      <c r="C5545" t="s">
        <v>127</v>
      </c>
      <c r="D5545" t="s">
        <v>128</v>
      </c>
      <c r="E5545">
        <v>1979</v>
      </c>
      <c r="F5545" s="1">
        <v>23930</v>
      </c>
      <c r="G5545">
        <v>1980</v>
      </c>
      <c r="H5545">
        <f>AVERAGEIFS(Table1[value],Table1[IndicatorCode],Table1[[#This Row],[IndicatorCode]])</f>
        <v>24902.88753799392</v>
      </c>
      <c r="I5545" cm="1">
        <f t="array" ref="I5545">_xlfn.STDEV.P(IF(Table1[IndicatorCode]=Table1[[#This Row],[IndicatorCode]],Table1[value]))</f>
        <v>26324.778297809873</v>
      </c>
      <c r="J5545">
        <f>(Table1[[#This Row],[value]] - Table1[[#This Row],[mean]]) / Table1[[#This Row],[std_dev]]</f>
        <v>-3.6957102809669656E-2</v>
      </c>
      <c r="K5545">
        <f>AVERAGEIF(Table1[CountryCode],Table1[[#This Row],[CountryCode]],Table1[z-score])</f>
        <v>0.3375502618800939</v>
      </c>
      <c r="L5545" t="e">
        <f>VLOOKUP(Table1[[#This Row],[CountryCode]],[1]!Table1[#All],1,FALSE)</f>
        <v>#REF!</v>
      </c>
    </row>
    <row r="5546" spans="1:12" hidden="1" x14ac:dyDescent="0.3">
      <c r="A5546" t="s">
        <v>49</v>
      </c>
      <c r="B5546" t="s">
        <v>50</v>
      </c>
      <c r="C5546" t="s">
        <v>127</v>
      </c>
      <c r="D5546" t="s">
        <v>128</v>
      </c>
      <c r="E5546">
        <v>1980</v>
      </c>
      <c r="F5546" s="1">
        <v>23381</v>
      </c>
      <c r="G5546">
        <v>1980</v>
      </c>
      <c r="H5546">
        <f>AVERAGEIFS(Table1[value],Table1[IndicatorCode],Table1[[#This Row],[IndicatorCode]])</f>
        <v>24902.88753799392</v>
      </c>
      <c r="I5546" cm="1">
        <f t="array" ref="I5546">_xlfn.STDEV.P(IF(Table1[IndicatorCode]=Table1[[#This Row],[IndicatorCode]],Table1[value]))</f>
        <v>26324.778297809873</v>
      </c>
      <c r="J5546">
        <f>(Table1[[#This Row],[value]] - Table1[[#This Row],[mean]]) / Table1[[#This Row],[std_dev]]</f>
        <v>-5.781197929862663E-2</v>
      </c>
      <c r="K5546">
        <f>AVERAGEIF(Table1[CountryCode],Table1[[#This Row],[CountryCode]],Table1[z-score])</f>
        <v>0.3375502618800939</v>
      </c>
      <c r="L5546" t="e">
        <f>VLOOKUP(Table1[[#This Row],[CountryCode]],[1]!Table1[#All],1,FALSE)</f>
        <v>#REF!</v>
      </c>
    </row>
    <row r="5547" spans="1:12" hidden="1" x14ac:dyDescent="0.3">
      <c r="A5547" t="s">
        <v>49</v>
      </c>
      <c r="B5547" t="s">
        <v>50</v>
      </c>
      <c r="C5547" t="s">
        <v>127</v>
      </c>
      <c r="D5547" t="s">
        <v>128</v>
      </c>
      <c r="E5547">
        <v>1981</v>
      </c>
      <c r="F5547" s="1">
        <v>23064</v>
      </c>
      <c r="G5547">
        <v>1980</v>
      </c>
      <c r="H5547">
        <f>AVERAGEIFS(Table1[value],Table1[IndicatorCode],Table1[[#This Row],[IndicatorCode]])</f>
        <v>24902.88753799392</v>
      </c>
      <c r="I5547" cm="1">
        <f t="array" ref="I5547">_xlfn.STDEV.P(IF(Table1[IndicatorCode]=Table1[[#This Row],[IndicatorCode]],Table1[value]))</f>
        <v>26324.778297809873</v>
      </c>
      <c r="J5547">
        <f>(Table1[[#This Row],[value]] - Table1[[#This Row],[mean]]) / Table1[[#This Row],[std_dev]]</f>
        <v>-6.9853866087332211E-2</v>
      </c>
      <c r="K5547">
        <f>AVERAGEIF(Table1[CountryCode],Table1[[#This Row],[CountryCode]],Table1[z-score])</f>
        <v>0.3375502618800939</v>
      </c>
      <c r="L5547" t="e">
        <f>VLOOKUP(Table1[[#This Row],[CountryCode]],[1]!Table1[#All],1,FALSE)</f>
        <v>#REF!</v>
      </c>
    </row>
    <row r="5548" spans="1:12" hidden="1" x14ac:dyDescent="0.3">
      <c r="A5548" t="s">
        <v>49</v>
      </c>
      <c r="B5548" t="s">
        <v>50</v>
      </c>
      <c r="C5548" t="s">
        <v>127</v>
      </c>
      <c r="D5548" t="s">
        <v>128</v>
      </c>
      <c r="E5548">
        <v>1982</v>
      </c>
      <c r="F5548" s="1">
        <v>23555</v>
      </c>
      <c r="G5548">
        <v>1980</v>
      </c>
      <c r="H5548">
        <f>AVERAGEIFS(Table1[value],Table1[IndicatorCode],Table1[[#This Row],[IndicatorCode]])</f>
        <v>24902.88753799392</v>
      </c>
      <c r="I5548" cm="1">
        <f t="array" ref="I5548">_xlfn.STDEV.P(IF(Table1[IndicatorCode]=Table1[[#This Row],[IndicatorCode]],Table1[value]))</f>
        <v>26324.778297809873</v>
      </c>
      <c r="J5548">
        <f>(Table1[[#This Row],[value]] - Table1[[#This Row],[mean]]) / Table1[[#This Row],[std_dev]]</f>
        <v>-5.1202237023438082E-2</v>
      </c>
      <c r="K5548">
        <f>AVERAGEIF(Table1[CountryCode],Table1[[#This Row],[CountryCode]],Table1[z-score])</f>
        <v>0.3375502618800939</v>
      </c>
      <c r="L5548" t="e">
        <f>VLOOKUP(Table1[[#This Row],[CountryCode]],[1]!Table1[#All],1,FALSE)</f>
        <v>#REF!</v>
      </c>
    </row>
    <row r="5549" spans="1:12" hidden="1" x14ac:dyDescent="0.3">
      <c r="A5549" t="s">
        <v>49</v>
      </c>
      <c r="B5549" t="s">
        <v>50</v>
      </c>
      <c r="C5549" t="s">
        <v>127</v>
      </c>
      <c r="D5549" t="s">
        <v>128</v>
      </c>
      <c r="E5549">
        <v>1983</v>
      </c>
      <c r="F5549" s="1">
        <v>24400</v>
      </c>
      <c r="G5549">
        <v>1980</v>
      </c>
      <c r="H5549">
        <f>AVERAGEIFS(Table1[value],Table1[IndicatorCode],Table1[[#This Row],[IndicatorCode]])</f>
        <v>24902.88753799392</v>
      </c>
      <c r="I5549" cm="1">
        <f t="array" ref="I5549">_xlfn.STDEV.P(IF(Table1[IndicatorCode]=Table1[[#This Row],[IndicatorCode]],Table1[value]))</f>
        <v>26324.778297809873</v>
      </c>
      <c r="J5549">
        <f>(Table1[[#This Row],[value]] - Table1[[#This Row],[mean]]) / Table1[[#This Row],[std_dev]]</f>
        <v>-1.9103201261746559E-2</v>
      </c>
      <c r="K5549">
        <f>AVERAGEIF(Table1[CountryCode],Table1[[#This Row],[CountryCode]],Table1[z-score])</f>
        <v>0.3375502618800939</v>
      </c>
      <c r="L5549" t="e">
        <f>VLOOKUP(Table1[[#This Row],[CountryCode]],[1]!Table1[#All],1,FALSE)</f>
        <v>#REF!</v>
      </c>
    </row>
    <row r="5550" spans="1:12" hidden="1" x14ac:dyDescent="0.3">
      <c r="A5550" t="s">
        <v>49</v>
      </c>
      <c r="B5550" t="s">
        <v>50</v>
      </c>
      <c r="C5550" t="s">
        <v>127</v>
      </c>
      <c r="D5550" t="s">
        <v>128</v>
      </c>
      <c r="E5550">
        <v>1984</v>
      </c>
      <c r="F5550" s="1">
        <v>25012</v>
      </c>
      <c r="G5550">
        <v>1980</v>
      </c>
      <c r="H5550">
        <f>AVERAGEIFS(Table1[value],Table1[IndicatorCode],Table1[[#This Row],[IndicatorCode]])</f>
        <v>24902.88753799392</v>
      </c>
      <c r="I5550" cm="1">
        <f t="array" ref="I5550">_xlfn.STDEV.P(IF(Table1[IndicatorCode]=Table1[[#This Row],[IndicatorCode]],Table1[value]))</f>
        <v>26324.778297809873</v>
      </c>
      <c r="J5550">
        <f>(Table1[[#This Row],[value]] - Table1[[#This Row],[mean]]) / Table1[[#This Row],[std_dev]]</f>
        <v>4.1448577751235149E-3</v>
      </c>
      <c r="K5550">
        <f>AVERAGEIF(Table1[CountryCode],Table1[[#This Row],[CountryCode]],Table1[z-score])</f>
        <v>0.3375502618800939</v>
      </c>
      <c r="L5550" t="e">
        <f>VLOOKUP(Table1[[#This Row],[CountryCode]],[1]!Table1[#All],1,FALSE)</f>
        <v>#REF!</v>
      </c>
    </row>
    <row r="5551" spans="1:12" hidden="1" x14ac:dyDescent="0.3">
      <c r="A5551" t="s">
        <v>49</v>
      </c>
      <c r="B5551" t="s">
        <v>50</v>
      </c>
      <c r="C5551" t="s">
        <v>127</v>
      </c>
      <c r="D5551" t="s">
        <v>128</v>
      </c>
      <c r="E5551">
        <v>1985</v>
      </c>
      <c r="F5551" s="1">
        <v>25854</v>
      </c>
      <c r="G5551">
        <v>1980</v>
      </c>
      <c r="H5551">
        <f>AVERAGEIFS(Table1[value],Table1[IndicatorCode],Table1[[#This Row],[IndicatorCode]])</f>
        <v>24902.88753799392</v>
      </c>
      <c r="I5551" cm="1">
        <f t="array" ref="I5551">_xlfn.STDEV.P(IF(Table1[IndicatorCode]=Table1[[#This Row],[IndicatorCode]],Table1[value]))</f>
        <v>26324.778297809873</v>
      </c>
      <c r="J5551">
        <f>(Table1[[#This Row],[value]] - Table1[[#This Row],[mean]]) / Table1[[#This Row],[std_dev]]</f>
        <v>3.6129932463104891E-2</v>
      </c>
      <c r="K5551">
        <f>AVERAGEIF(Table1[CountryCode],Table1[[#This Row],[CountryCode]],Table1[z-score])</f>
        <v>0.3375502618800939</v>
      </c>
      <c r="L5551" t="e">
        <f>VLOOKUP(Table1[[#This Row],[CountryCode]],[1]!Table1[#All],1,FALSE)</f>
        <v>#REF!</v>
      </c>
    </row>
    <row r="5552" spans="1:12" hidden="1" x14ac:dyDescent="0.3">
      <c r="A5552" t="s">
        <v>49</v>
      </c>
      <c r="B5552" t="s">
        <v>50</v>
      </c>
      <c r="C5552" t="s">
        <v>127</v>
      </c>
      <c r="D5552" t="s">
        <v>128</v>
      </c>
      <c r="E5552">
        <v>1986</v>
      </c>
      <c r="F5552" s="1">
        <v>26829</v>
      </c>
      <c r="G5552">
        <v>1980</v>
      </c>
      <c r="H5552">
        <f>AVERAGEIFS(Table1[value],Table1[IndicatorCode],Table1[[#This Row],[IndicatorCode]])</f>
        <v>24902.88753799392</v>
      </c>
      <c r="I5552" cm="1">
        <f t="array" ref="I5552">_xlfn.STDEV.P(IF(Table1[IndicatorCode]=Table1[[#This Row],[IndicatorCode]],Table1[value]))</f>
        <v>26324.778297809873</v>
      </c>
      <c r="J5552">
        <f>(Table1[[#This Row],[value]] - Table1[[#This Row],[mean]]) / Table1[[#This Row],[std_dev]]</f>
        <v>7.3167281418902802E-2</v>
      </c>
      <c r="K5552">
        <f>AVERAGEIF(Table1[CountryCode],Table1[[#This Row],[CountryCode]],Table1[z-score])</f>
        <v>0.3375502618800939</v>
      </c>
      <c r="L5552" t="e">
        <f>VLOOKUP(Table1[[#This Row],[CountryCode]],[1]!Table1[#All],1,FALSE)</f>
        <v>#REF!</v>
      </c>
    </row>
    <row r="5553" spans="1:12" hidden="1" x14ac:dyDescent="0.3">
      <c r="A5553" t="s">
        <v>49</v>
      </c>
      <c r="B5553" t="s">
        <v>50</v>
      </c>
      <c r="C5553" t="s">
        <v>127</v>
      </c>
      <c r="D5553" t="s">
        <v>128</v>
      </c>
      <c r="E5553">
        <v>1987</v>
      </c>
      <c r="F5553" s="1">
        <v>27993</v>
      </c>
      <c r="G5553">
        <v>1990</v>
      </c>
      <c r="H5553">
        <f>AVERAGEIFS(Table1[value],Table1[IndicatorCode],Table1[[#This Row],[IndicatorCode]])</f>
        <v>24902.88753799392</v>
      </c>
      <c r="I5553" cm="1">
        <f t="array" ref="I5553">_xlfn.STDEV.P(IF(Table1[IndicatorCode]=Table1[[#This Row],[IndicatorCode]],Table1[value]))</f>
        <v>26324.778297809873</v>
      </c>
      <c r="J5553">
        <f>(Table1[[#This Row],[value]] - Table1[[#This Row],[mean]]) / Table1[[#This Row],[std_dev]]</f>
        <v>0.11738417801844001</v>
      </c>
      <c r="K5553">
        <f>AVERAGEIF(Table1[CountryCode],Table1[[#This Row],[CountryCode]],Table1[z-score])</f>
        <v>0.3375502618800939</v>
      </c>
      <c r="L5553" t="e">
        <f>VLOOKUP(Table1[[#This Row],[CountryCode]],[1]!Table1[#All],1,FALSE)</f>
        <v>#REF!</v>
      </c>
    </row>
    <row r="5554" spans="1:12" hidden="1" x14ac:dyDescent="0.3">
      <c r="A5554" t="s">
        <v>49</v>
      </c>
      <c r="B5554" t="s">
        <v>50</v>
      </c>
      <c r="C5554" t="s">
        <v>127</v>
      </c>
      <c r="D5554" t="s">
        <v>128</v>
      </c>
      <c r="E5554">
        <v>1988</v>
      </c>
      <c r="F5554" s="1">
        <v>29337</v>
      </c>
      <c r="G5554">
        <v>1990</v>
      </c>
      <c r="H5554">
        <f>AVERAGEIFS(Table1[value],Table1[IndicatorCode],Table1[[#This Row],[IndicatorCode]])</f>
        <v>24902.88753799392</v>
      </c>
      <c r="I5554" cm="1">
        <f t="array" ref="I5554">_xlfn.STDEV.P(IF(Table1[IndicatorCode]=Table1[[#This Row],[IndicatorCode]],Table1[value]))</f>
        <v>26324.778297809873</v>
      </c>
      <c r="J5554">
        <f>(Table1[[#This Row],[value]] - Table1[[#This Row],[mean]]) / Table1[[#This Row],[std_dev]]</f>
        <v>0.16843873904058604</v>
      </c>
      <c r="K5554">
        <f>AVERAGEIF(Table1[CountryCode],Table1[[#This Row],[CountryCode]],Table1[z-score])</f>
        <v>0.3375502618800939</v>
      </c>
      <c r="L5554" t="e">
        <f>VLOOKUP(Table1[[#This Row],[CountryCode]],[1]!Table1[#All],1,FALSE)</f>
        <v>#REF!</v>
      </c>
    </row>
    <row r="5555" spans="1:12" hidden="1" x14ac:dyDescent="0.3">
      <c r="A5555" t="s">
        <v>49</v>
      </c>
      <c r="B5555" t="s">
        <v>50</v>
      </c>
      <c r="C5555" t="s">
        <v>127</v>
      </c>
      <c r="D5555" t="s">
        <v>128</v>
      </c>
      <c r="E5555">
        <v>1989</v>
      </c>
      <c r="F5555" s="1">
        <v>29928</v>
      </c>
      <c r="G5555">
        <v>1990</v>
      </c>
      <c r="H5555">
        <f>AVERAGEIFS(Table1[value],Table1[IndicatorCode],Table1[[#This Row],[IndicatorCode]])</f>
        <v>24902.88753799392</v>
      </c>
      <c r="I5555" cm="1">
        <f t="array" ref="I5555">_xlfn.STDEV.P(IF(Table1[IndicatorCode]=Table1[[#This Row],[IndicatorCode]],Table1[value]))</f>
        <v>26324.778297809873</v>
      </c>
      <c r="J5555">
        <f>(Table1[[#This Row],[value]] - Table1[[#This Row],[mean]]) / Table1[[#This Row],[std_dev]]</f>
        <v>0.19088907056148507</v>
      </c>
      <c r="K5555">
        <f>AVERAGEIF(Table1[CountryCode],Table1[[#This Row],[CountryCode]],Table1[z-score])</f>
        <v>0.3375502618800939</v>
      </c>
      <c r="L5555" t="e">
        <f>VLOOKUP(Table1[[#This Row],[CountryCode]],[1]!Table1[#All],1,FALSE)</f>
        <v>#REF!</v>
      </c>
    </row>
    <row r="5556" spans="1:12" hidden="1" x14ac:dyDescent="0.3">
      <c r="A5556" t="s">
        <v>49</v>
      </c>
      <c r="B5556" t="s">
        <v>50</v>
      </c>
      <c r="C5556" t="s">
        <v>127</v>
      </c>
      <c r="D5556" t="s">
        <v>128</v>
      </c>
      <c r="E5556">
        <v>1990</v>
      </c>
      <c r="F5556" s="1">
        <v>30071</v>
      </c>
      <c r="G5556">
        <v>1990</v>
      </c>
      <c r="H5556">
        <f>AVERAGEIFS(Table1[value],Table1[IndicatorCode],Table1[[#This Row],[IndicatorCode]])</f>
        <v>24902.88753799392</v>
      </c>
      <c r="I5556" cm="1">
        <f t="array" ref="I5556">_xlfn.STDEV.P(IF(Table1[IndicatorCode]=Table1[[#This Row],[IndicatorCode]],Table1[value]))</f>
        <v>26324.778297809873</v>
      </c>
      <c r="J5556">
        <f>(Table1[[#This Row],[value]] - Table1[[#This Row],[mean]]) / Table1[[#This Row],[std_dev]]</f>
        <v>0.19632121507500211</v>
      </c>
      <c r="K5556">
        <f>AVERAGEIF(Table1[CountryCode],Table1[[#This Row],[CountryCode]],Table1[z-score])</f>
        <v>0.3375502618800939</v>
      </c>
      <c r="L5556" t="e">
        <f>VLOOKUP(Table1[[#This Row],[CountryCode]],[1]!Table1[#All],1,FALSE)</f>
        <v>#REF!</v>
      </c>
    </row>
    <row r="5557" spans="1:12" hidden="1" x14ac:dyDescent="0.3">
      <c r="A5557" t="s">
        <v>49</v>
      </c>
      <c r="B5557" t="s">
        <v>50</v>
      </c>
      <c r="C5557" t="s">
        <v>127</v>
      </c>
      <c r="D5557" t="s">
        <v>128</v>
      </c>
      <c r="E5557">
        <v>1991</v>
      </c>
      <c r="F5557" s="1">
        <v>29591</v>
      </c>
      <c r="G5557">
        <v>1990</v>
      </c>
      <c r="H5557">
        <f>AVERAGEIFS(Table1[value],Table1[IndicatorCode],Table1[[#This Row],[IndicatorCode]])</f>
        <v>24902.88753799392</v>
      </c>
      <c r="I5557" cm="1">
        <f t="array" ref="I5557">_xlfn.STDEV.P(IF(Table1[IndicatorCode]=Table1[[#This Row],[IndicatorCode]],Table1[value]))</f>
        <v>26324.778297809873</v>
      </c>
      <c r="J5557">
        <f>(Table1[[#This Row],[value]] - Table1[[#This Row],[mean]]) / Table1[[#This Row],[std_dev]]</f>
        <v>0.17808744328137852</v>
      </c>
      <c r="K5557">
        <f>AVERAGEIF(Table1[CountryCode],Table1[[#This Row],[CountryCode]],Table1[z-score])</f>
        <v>0.3375502618800939</v>
      </c>
      <c r="L5557" t="e">
        <f>VLOOKUP(Table1[[#This Row],[CountryCode]],[1]!Table1[#All],1,FALSE)</f>
        <v>#REF!</v>
      </c>
    </row>
    <row r="5558" spans="1:12" hidden="1" x14ac:dyDescent="0.3">
      <c r="A5558" t="s">
        <v>49</v>
      </c>
      <c r="B5558" t="s">
        <v>50</v>
      </c>
      <c r="C5558" t="s">
        <v>127</v>
      </c>
      <c r="D5558" t="s">
        <v>128</v>
      </c>
      <c r="E5558">
        <v>1992</v>
      </c>
      <c r="F5558" s="1">
        <v>29893</v>
      </c>
      <c r="G5558">
        <v>1990</v>
      </c>
      <c r="H5558">
        <f>AVERAGEIFS(Table1[value],Table1[IndicatorCode],Table1[[#This Row],[IndicatorCode]])</f>
        <v>24902.88753799392</v>
      </c>
      <c r="I5558" cm="1">
        <f t="array" ref="I5558">_xlfn.STDEV.P(IF(Table1[IndicatorCode]=Table1[[#This Row],[IndicatorCode]],Table1[value]))</f>
        <v>26324.778297809873</v>
      </c>
      <c r="J5558">
        <f>(Table1[[#This Row],[value]] - Table1[[#This Row],[mean]]) / Table1[[#This Row],[std_dev]]</f>
        <v>0.18955952470153337</v>
      </c>
      <c r="K5558">
        <f>AVERAGEIF(Table1[CountryCode],Table1[[#This Row],[CountryCode]],Table1[z-score])</f>
        <v>0.3375502618800939</v>
      </c>
      <c r="L5558" t="e">
        <f>VLOOKUP(Table1[[#This Row],[CountryCode]],[1]!Table1[#All],1,FALSE)</f>
        <v>#REF!</v>
      </c>
    </row>
    <row r="5559" spans="1:12" hidden="1" x14ac:dyDescent="0.3">
      <c r="A5559" t="s">
        <v>49</v>
      </c>
      <c r="B5559" t="s">
        <v>50</v>
      </c>
      <c r="C5559" t="s">
        <v>127</v>
      </c>
      <c r="D5559" t="s">
        <v>128</v>
      </c>
      <c r="E5559">
        <v>1993</v>
      </c>
      <c r="F5559" s="1">
        <v>30862</v>
      </c>
      <c r="G5559">
        <v>1990</v>
      </c>
      <c r="H5559">
        <f>AVERAGEIFS(Table1[value],Table1[IndicatorCode],Table1[[#This Row],[IndicatorCode]])</f>
        <v>24902.88753799392</v>
      </c>
      <c r="I5559" cm="1">
        <f t="array" ref="I5559">_xlfn.STDEV.P(IF(Table1[IndicatorCode]=Table1[[#This Row],[IndicatorCode]],Table1[value]))</f>
        <v>26324.778297809873</v>
      </c>
      <c r="J5559">
        <f>(Table1[[#This Row],[value]] - Table1[[#This Row],[mean]]) / Table1[[#This Row],[std_dev]]</f>
        <v>0.22636895150991099</v>
      </c>
      <c r="K5559">
        <f>AVERAGEIF(Table1[CountryCode],Table1[[#This Row],[CountryCode]],Table1[z-score])</f>
        <v>0.3375502618800939</v>
      </c>
      <c r="L5559" t="e">
        <f>VLOOKUP(Table1[[#This Row],[CountryCode]],[1]!Table1[#All],1,FALSE)</f>
        <v>#REF!</v>
      </c>
    </row>
    <row r="5560" spans="1:12" hidden="1" x14ac:dyDescent="0.3">
      <c r="A5560" t="s">
        <v>49</v>
      </c>
      <c r="B5560" t="s">
        <v>50</v>
      </c>
      <c r="C5560" t="s">
        <v>127</v>
      </c>
      <c r="D5560" t="s">
        <v>128</v>
      </c>
      <c r="E5560">
        <v>1994</v>
      </c>
      <c r="F5560" s="1">
        <v>32309</v>
      </c>
      <c r="G5560">
        <v>1990</v>
      </c>
      <c r="H5560">
        <f>AVERAGEIFS(Table1[value],Table1[IndicatorCode],Table1[[#This Row],[IndicatorCode]])</f>
        <v>24902.88753799392</v>
      </c>
      <c r="I5560" cm="1">
        <f t="array" ref="I5560">_xlfn.STDEV.P(IF(Table1[IndicatorCode]=Table1[[#This Row],[IndicatorCode]],Table1[value]))</f>
        <v>26324.778297809873</v>
      </c>
      <c r="J5560">
        <f>(Table1[[#This Row],[value]] - Table1[[#This Row],[mean]]) / Table1[[#This Row],[std_dev]]</f>
        <v>0.28133617606277206</v>
      </c>
      <c r="K5560">
        <f>AVERAGEIF(Table1[CountryCode],Table1[[#This Row],[CountryCode]],Table1[z-score])</f>
        <v>0.3375502618800939</v>
      </c>
      <c r="L5560" t="e">
        <f>VLOOKUP(Table1[[#This Row],[CountryCode]],[1]!Table1[#All],1,FALSE)</f>
        <v>#REF!</v>
      </c>
    </row>
    <row r="5561" spans="1:12" hidden="1" x14ac:dyDescent="0.3">
      <c r="A5561" t="s">
        <v>49</v>
      </c>
      <c r="B5561" t="s">
        <v>50</v>
      </c>
      <c r="C5561" t="s">
        <v>127</v>
      </c>
      <c r="D5561" t="s">
        <v>128</v>
      </c>
      <c r="E5561">
        <v>1995</v>
      </c>
      <c r="F5561" s="1">
        <v>33362</v>
      </c>
      <c r="G5561">
        <v>1990</v>
      </c>
      <c r="H5561">
        <f>AVERAGEIFS(Table1[value],Table1[IndicatorCode],Table1[[#This Row],[IndicatorCode]])</f>
        <v>24902.88753799392</v>
      </c>
      <c r="I5561" cm="1">
        <f t="array" ref="I5561">_xlfn.STDEV.P(IF(Table1[IndicatorCode]=Table1[[#This Row],[IndicatorCode]],Table1[value]))</f>
        <v>26324.778297809873</v>
      </c>
      <c r="J5561">
        <f>(Table1[[#This Row],[value]] - Table1[[#This Row],[mean]]) / Table1[[#This Row],[std_dev]]</f>
        <v>0.32133651293503385</v>
      </c>
      <c r="K5561">
        <f>AVERAGEIF(Table1[CountryCode],Table1[[#This Row],[CountryCode]],Table1[z-score])</f>
        <v>0.3375502618800939</v>
      </c>
      <c r="L5561" t="e">
        <f>VLOOKUP(Table1[[#This Row],[CountryCode]],[1]!Table1[#All],1,FALSE)</f>
        <v>#REF!</v>
      </c>
    </row>
    <row r="5562" spans="1:12" hidden="1" x14ac:dyDescent="0.3">
      <c r="A5562" t="s">
        <v>49</v>
      </c>
      <c r="B5562" t="s">
        <v>50</v>
      </c>
      <c r="C5562" t="s">
        <v>127</v>
      </c>
      <c r="D5562" t="s">
        <v>128</v>
      </c>
      <c r="E5562">
        <v>1996</v>
      </c>
      <c r="F5562" s="1">
        <v>34147</v>
      </c>
      <c r="G5562">
        <v>1990</v>
      </c>
      <c r="H5562">
        <f>AVERAGEIFS(Table1[value],Table1[IndicatorCode],Table1[[#This Row],[IndicatorCode]])</f>
        <v>24902.88753799392</v>
      </c>
      <c r="I5562" cm="1">
        <f t="array" ref="I5562">_xlfn.STDEV.P(IF(Table1[IndicatorCode]=Table1[[#This Row],[IndicatorCode]],Table1[value]))</f>
        <v>26324.778297809873</v>
      </c>
      <c r="J5562">
        <f>(Table1[[#This Row],[value]] - Table1[[#This Row],[mean]]) / Table1[[#This Row],[std_dev]]</f>
        <v>0.35115632722252238</v>
      </c>
      <c r="K5562">
        <f>AVERAGEIF(Table1[CountryCode],Table1[[#This Row],[CountryCode]],Table1[z-score])</f>
        <v>0.3375502618800939</v>
      </c>
      <c r="L5562" t="e">
        <f>VLOOKUP(Table1[[#This Row],[CountryCode]],[1]!Table1[#All],1,FALSE)</f>
        <v>#REF!</v>
      </c>
    </row>
    <row r="5563" spans="1:12" hidden="1" x14ac:dyDescent="0.3">
      <c r="A5563" t="s">
        <v>49</v>
      </c>
      <c r="B5563" t="s">
        <v>50</v>
      </c>
      <c r="C5563" t="s">
        <v>127</v>
      </c>
      <c r="D5563" t="s">
        <v>128</v>
      </c>
      <c r="E5563">
        <v>1997</v>
      </c>
      <c r="F5563" s="1">
        <v>35722</v>
      </c>
      <c r="G5563">
        <v>2000</v>
      </c>
      <c r="H5563">
        <f>AVERAGEIFS(Table1[value],Table1[IndicatorCode],Table1[[#This Row],[IndicatorCode]])</f>
        <v>24902.88753799392</v>
      </c>
      <c r="I5563" cm="1">
        <f t="array" ref="I5563">_xlfn.STDEV.P(IF(Table1[IndicatorCode]=Table1[[#This Row],[IndicatorCode]],Table1[value]))</f>
        <v>26324.778297809873</v>
      </c>
      <c r="J5563">
        <f>(Table1[[#This Row],[value]] - Table1[[#This Row],[mean]]) / Table1[[#This Row],[std_dev]]</f>
        <v>0.41098589092034982</v>
      </c>
      <c r="K5563">
        <f>AVERAGEIF(Table1[CountryCode],Table1[[#This Row],[CountryCode]],Table1[z-score])</f>
        <v>0.3375502618800939</v>
      </c>
      <c r="L5563" t="e">
        <f>VLOOKUP(Table1[[#This Row],[CountryCode]],[1]!Table1[#All],1,FALSE)</f>
        <v>#REF!</v>
      </c>
    </row>
    <row r="5564" spans="1:12" hidden="1" x14ac:dyDescent="0.3">
      <c r="A5564" t="s">
        <v>49</v>
      </c>
      <c r="B5564" t="s">
        <v>50</v>
      </c>
      <c r="C5564" t="s">
        <v>127</v>
      </c>
      <c r="D5564" t="s">
        <v>128</v>
      </c>
      <c r="E5564">
        <v>1998</v>
      </c>
      <c r="F5564" s="1">
        <v>36774</v>
      </c>
      <c r="G5564">
        <v>2000</v>
      </c>
      <c r="H5564">
        <f>AVERAGEIFS(Table1[value],Table1[IndicatorCode],Table1[[#This Row],[IndicatorCode]])</f>
        <v>24902.88753799392</v>
      </c>
      <c r="I5564" cm="1">
        <f t="array" ref="I5564">_xlfn.STDEV.P(IF(Table1[IndicatorCode]=Table1[[#This Row],[IndicatorCode]],Table1[value]))</f>
        <v>26324.778297809873</v>
      </c>
      <c r="J5564">
        <f>(Table1[[#This Row],[value]] - Table1[[#This Row],[mean]]) / Table1[[#This Row],[std_dev]]</f>
        <v>0.45094824076804146</v>
      </c>
      <c r="K5564">
        <f>AVERAGEIF(Table1[CountryCode],Table1[[#This Row],[CountryCode]],Table1[z-score])</f>
        <v>0.3375502618800939</v>
      </c>
      <c r="L5564" t="e">
        <f>VLOOKUP(Table1[[#This Row],[CountryCode]],[1]!Table1[#All],1,FALSE)</f>
        <v>#REF!</v>
      </c>
    </row>
    <row r="5565" spans="1:12" hidden="1" x14ac:dyDescent="0.3">
      <c r="A5565" t="s">
        <v>49</v>
      </c>
      <c r="B5565" t="s">
        <v>50</v>
      </c>
      <c r="C5565" t="s">
        <v>127</v>
      </c>
      <c r="D5565" t="s">
        <v>128</v>
      </c>
      <c r="E5565">
        <v>1999</v>
      </c>
      <c r="F5565" s="1">
        <v>37731</v>
      </c>
      <c r="G5565">
        <v>2000</v>
      </c>
      <c r="H5565">
        <f>AVERAGEIFS(Table1[value],Table1[IndicatorCode],Table1[[#This Row],[IndicatorCode]])</f>
        <v>24902.88753799392</v>
      </c>
      <c r="I5565" cm="1">
        <f t="array" ref="I5565">_xlfn.STDEV.P(IF(Table1[IndicatorCode]=Table1[[#This Row],[IndicatorCode]],Table1[value]))</f>
        <v>26324.778297809873</v>
      </c>
      <c r="J5565">
        <f>(Table1[[#This Row],[value]] - Table1[[#This Row],[mean]]) / Table1[[#This Row],[std_dev]]</f>
        <v>0.48730182328157851</v>
      </c>
      <c r="K5565">
        <f>AVERAGEIF(Table1[CountryCode],Table1[[#This Row],[CountryCode]],Table1[z-score])</f>
        <v>0.3375502618800939</v>
      </c>
      <c r="L5565" t="e">
        <f>VLOOKUP(Table1[[#This Row],[CountryCode]],[1]!Table1[#All],1,FALSE)</f>
        <v>#REF!</v>
      </c>
    </row>
    <row r="5566" spans="1:12" hidden="1" x14ac:dyDescent="0.3">
      <c r="A5566" t="s">
        <v>49</v>
      </c>
      <c r="B5566" t="s">
        <v>50</v>
      </c>
      <c r="C5566" t="s">
        <v>127</v>
      </c>
      <c r="D5566" t="s">
        <v>128</v>
      </c>
      <c r="E5566">
        <v>2000</v>
      </c>
      <c r="F5566" s="1">
        <v>39297</v>
      </c>
      <c r="G5566">
        <v>2000</v>
      </c>
      <c r="H5566">
        <f>AVERAGEIFS(Table1[value],Table1[IndicatorCode],Table1[[#This Row],[IndicatorCode]])</f>
        <v>24902.88753799392</v>
      </c>
      <c r="I5566" cm="1">
        <f t="array" ref="I5566">_xlfn.STDEV.P(IF(Table1[IndicatorCode]=Table1[[#This Row],[IndicatorCode]],Table1[value]))</f>
        <v>26324.778297809873</v>
      </c>
      <c r="J5566">
        <f>(Table1[[#This Row],[value]] - Table1[[#This Row],[mean]]) / Table1[[#This Row],[std_dev]]</f>
        <v>0.54678950375827551</v>
      </c>
      <c r="K5566">
        <f>AVERAGEIF(Table1[CountryCode],Table1[[#This Row],[CountryCode]],Table1[z-score])</f>
        <v>0.3375502618800939</v>
      </c>
      <c r="L5566" t="e">
        <f>VLOOKUP(Table1[[#This Row],[CountryCode]],[1]!Table1[#All],1,FALSE)</f>
        <v>#REF!</v>
      </c>
    </row>
    <row r="5567" spans="1:12" hidden="1" x14ac:dyDescent="0.3">
      <c r="A5567" t="s">
        <v>49</v>
      </c>
      <c r="B5567" t="s">
        <v>50</v>
      </c>
      <c r="C5567" t="s">
        <v>127</v>
      </c>
      <c r="D5567" t="s">
        <v>128</v>
      </c>
      <c r="E5567">
        <v>2001</v>
      </c>
      <c r="F5567" s="1">
        <v>40082</v>
      </c>
      <c r="G5567">
        <v>2000</v>
      </c>
      <c r="H5567">
        <f>AVERAGEIFS(Table1[value],Table1[IndicatorCode],Table1[[#This Row],[IndicatorCode]])</f>
        <v>24902.88753799392</v>
      </c>
      <c r="I5567" cm="1">
        <f t="array" ref="I5567">_xlfn.STDEV.P(IF(Table1[IndicatorCode]=Table1[[#This Row],[IndicatorCode]],Table1[value]))</f>
        <v>26324.778297809873</v>
      </c>
      <c r="J5567">
        <f>(Table1[[#This Row],[value]] - Table1[[#This Row],[mean]]) / Table1[[#This Row],[std_dev]]</f>
        <v>0.5766093180457641</v>
      </c>
      <c r="K5567">
        <f>AVERAGEIF(Table1[CountryCode],Table1[[#This Row],[CountryCode]],Table1[z-score])</f>
        <v>0.3375502618800939</v>
      </c>
      <c r="L5567" t="e">
        <f>VLOOKUP(Table1[[#This Row],[CountryCode]],[1]!Table1[#All],1,FALSE)</f>
        <v>#REF!</v>
      </c>
    </row>
    <row r="5568" spans="1:12" hidden="1" x14ac:dyDescent="0.3">
      <c r="A5568" t="s">
        <v>49</v>
      </c>
      <c r="B5568" t="s">
        <v>50</v>
      </c>
      <c r="C5568" t="s">
        <v>127</v>
      </c>
      <c r="D5568" t="s">
        <v>128</v>
      </c>
      <c r="E5568">
        <v>2002</v>
      </c>
      <c r="F5568" s="1">
        <v>40595</v>
      </c>
      <c r="G5568">
        <v>2000</v>
      </c>
      <c r="H5568">
        <f>AVERAGEIFS(Table1[value],Table1[IndicatorCode],Table1[[#This Row],[IndicatorCode]])</f>
        <v>24902.88753799392</v>
      </c>
      <c r="I5568" cm="1">
        <f t="array" ref="I5568">_xlfn.STDEV.P(IF(Table1[IndicatorCode]=Table1[[#This Row],[IndicatorCode]],Table1[value]))</f>
        <v>26324.778297809873</v>
      </c>
      <c r="J5568">
        <f>(Table1[[#This Row],[value]] - Table1[[#This Row],[mean]]) / Table1[[#This Row],[std_dev]]</f>
        <v>0.59609666165019926</v>
      </c>
      <c r="K5568">
        <f>AVERAGEIF(Table1[CountryCode],Table1[[#This Row],[CountryCode]],Table1[z-score])</f>
        <v>0.3375502618800939</v>
      </c>
      <c r="L5568" t="e">
        <f>VLOOKUP(Table1[[#This Row],[CountryCode]],[1]!Table1[#All],1,FALSE)</f>
        <v>#REF!</v>
      </c>
    </row>
    <row r="5569" spans="1:12" hidden="1" x14ac:dyDescent="0.3">
      <c r="A5569" t="s">
        <v>49</v>
      </c>
      <c r="B5569" t="s">
        <v>50</v>
      </c>
      <c r="C5569" t="s">
        <v>127</v>
      </c>
      <c r="D5569" t="s">
        <v>128</v>
      </c>
      <c r="E5569">
        <v>2003</v>
      </c>
      <c r="F5569" s="1">
        <v>41707</v>
      </c>
      <c r="G5569">
        <v>2000</v>
      </c>
      <c r="H5569">
        <f>AVERAGEIFS(Table1[value],Table1[IndicatorCode],Table1[[#This Row],[IndicatorCode]])</f>
        <v>24902.88753799392</v>
      </c>
      <c r="I5569" cm="1">
        <f t="array" ref="I5569">_xlfn.STDEV.P(IF(Table1[IndicatorCode]=Table1[[#This Row],[IndicatorCode]],Table1[value]))</f>
        <v>26324.778297809873</v>
      </c>
      <c r="J5569">
        <f>(Table1[[#This Row],[value]] - Table1[[#This Row],[mean]]) / Table1[[#This Row],[std_dev]]</f>
        <v>0.63833823297209391</v>
      </c>
      <c r="K5569">
        <f>AVERAGEIF(Table1[CountryCode],Table1[[#This Row],[CountryCode]],Table1[z-score])</f>
        <v>0.3375502618800939</v>
      </c>
      <c r="L5569" t="e">
        <f>VLOOKUP(Table1[[#This Row],[CountryCode]],[1]!Table1[#All],1,FALSE)</f>
        <v>#REF!</v>
      </c>
    </row>
    <row r="5570" spans="1:12" hidden="1" x14ac:dyDescent="0.3">
      <c r="A5570" t="s">
        <v>49</v>
      </c>
      <c r="B5570" t="s">
        <v>50</v>
      </c>
      <c r="C5570" t="s">
        <v>127</v>
      </c>
      <c r="D5570" t="s">
        <v>128</v>
      </c>
      <c r="E5570">
        <v>2004</v>
      </c>
      <c r="F5570" s="1">
        <v>42435</v>
      </c>
      <c r="G5570">
        <v>2000</v>
      </c>
      <c r="H5570">
        <f>AVERAGEIFS(Table1[value],Table1[IndicatorCode],Table1[[#This Row],[IndicatorCode]])</f>
        <v>24902.88753799392</v>
      </c>
      <c r="I5570" cm="1">
        <f t="array" ref="I5570">_xlfn.STDEV.P(IF(Table1[IndicatorCode]=Table1[[#This Row],[IndicatorCode]],Table1[value]))</f>
        <v>26324.778297809873</v>
      </c>
      <c r="J5570">
        <f>(Table1[[#This Row],[value]] - Table1[[#This Row],[mean]]) / Table1[[#This Row],[std_dev]]</f>
        <v>0.66599278685908969</v>
      </c>
      <c r="K5570">
        <f>AVERAGEIF(Table1[CountryCode],Table1[[#This Row],[CountryCode]],Table1[z-score])</f>
        <v>0.3375502618800939</v>
      </c>
      <c r="L5570" t="e">
        <f>VLOOKUP(Table1[[#This Row],[CountryCode]],[1]!Table1[#All],1,FALSE)</f>
        <v>#REF!</v>
      </c>
    </row>
    <row r="5571" spans="1:12" hidden="1" x14ac:dyDescent="0.3">
      <c r="A5571" t="s">
        <v>49</v>
      </c>
      <c r="B5571" t="s">
        <v>50</v>
      </c>
      <c r="C5571" t="s">
        <v>127</v>
      </c>
      <c r="D5571" t="s">
        <v>128</v>
      </c>
      <c r="E5571">
        <v>2005</v>
      </c>
      <c r="F5571" s="1">
        <v>43321</v>
      </c>
      <c r="G5571">
        <v>2000</v>
      </c>
      <c r="H5571">
        <f>AVERAGEIFS(Table1[value],Table1[IndicatorCode],Table1[[#This Row],[IndicatorCode]])</f>
        <v>24902.88753799392</v>
      </c>
      <c r="I5571" cm="1">
        <f t="array" ref="I5571">_xlfn.STDEV.P(IF(Table1[IndicatorCode]=Table1[[#This Row],[IndicatorCode]],Table1[value]))</f>
        <v>26324.778297809873</v>
      </c>
      <c r="J5571">
        <f>(Table1[[#This Row],[value]] - Table1[[#This Row],[mean]]) / Table1[[#This Row],[std_dev]]</f>
        <v>0.69964929062815318</v>
      </c>
      <c r="K5571">
        <f>AVERAGEIF(Table1[CountryCode],Table1[[#This Row],[CountryCode]],Table1[z-score])</f>
        <v>0.3375502618800939</v>
      </c>
      <c r="L5571" t="e">
        <f>VLOOKUP(Table1[[#This Row],[CountryCode]],[1]!Table1[#All],1,FALSE)</f>
        <v>#REF!</v>
      </c>
    </row>
    <row r="5572" spans="1:12" hidden="1" x14ac:dyDescent="0.3">
      <c r="A5572" t="s">
        <v>49</v>
      </c>
      <c r="B5572" t="s">
        <v>50</v>
      </c>
      <c r="C5572" t="s">
        <v>127</v>
      </c>
      <c r="D5572" t="s">
        <v>128</v>
      </c>
      <c r="E5572">
        <v>2006</v>
      </c>
      <c r="F5572" s="1">
        <v>43945</v>
      </c>
      <c r="G5572">
        <v>2000</v>
      </c>
      <c r="H5572">
        <f>AVERAGEIFS(Table1[value],Table1[IndicatorCode],Table1[[#This Row],[IndicatorCode]])</f>
        <v>24902.88753799392</v>
      </c>
      <c r="I5572" cm="1">
        <f t="array" ref="I5572">_xlfn.STDEV.P(IF(Table1[IndicatorCode]=Table1[[#This Row],[IndicatorCode]],Table1[value]))</f>
        <v>26324.778297809873</v>
      </c>
      <c r="J5572">
        <f>(Table1[[#This Row],[value]] - Table1[[#This Row],[mean]]) / Table1[[#This Row],[std_dev]]</f>
        <v>0.72335319395986386</v>
      </c>
      <c r="K5572">
        <f>AVERAGEIF(Table1[CountryCode],Table1[[#This Row],[CountryCode]],Table1[z-score])</f>
        <v>0.3375502618800939</v>
      </c>
      <c r="L5572" t="e">
        <f>VLOOKUP(Table1[[#This Row],[CountryCode]],[1]!Table1[#All],1,FALSE)</f>
        <v>#REF!</v>
      </c>
    </row>
    <row r="5573" spans="1:12" hidden="1" x14ac:dyDescent="0.3">
      <c r="A5573" t="s">
        <v>49</v>
      </c>
      <c r="B5573" t="s">
        <v>50</v>
      </c>
      <c r="C5573" t="s">
        <v>127</v>
      </c>
      <c r="D5573" t="s">
        <v>128</v>
      </c>
      <c r="E5573">
        <v>2007</v>
      </c>
      <c r="F5573" s="1">
        <v>44882</v>
      </c>
      <c r="G5573">
        <v>2010</v>
      </c>
      <c r="H5573">
        <f>AVERAGEIFS(Table1[value],Table1[IndicatorCode],Table1[[#This Row],[IndicatorCode]])</f>
        <v>24902.88753799392</v>
      </c>
      <c r="I5573" cm="1">
        <f t="array" ref="I5573">_xlfn.STDEV.P(IF(Table1[IndicatorCode]=Table1[[#This Row],[IndicatorCode]],Table1[value]))</f>
        <v>26324.778297809873</v>
      </c>
      <c r="J5573">
        <f>(Table1[[#This Row],[value]] - Table1[[#This Row],[mean]]) / Table1[[#This Row],[std_dev]]</f>
        <v>0.75894703598199986</v>
      </c>
      <c r="K5573">
        <f>AVERAGEIF(Table1[CountryCode],Table1[[#This Row],[CountryCode]],Table1[z-score])</f>
        <v>0.3375502618800939</v>
      </c>
      <c r="L5573" t="e">
        <f>VLOOKUP(Table1[[#This Row],[CountryCode]],[1]!Table1[#All],1,FALSE)</f>
        <v>#REF!</v>
      </c>
    </row>
    <row r="5574" spans="1:12" hidden="1" x14ac:dyDescent="0.3">
      <c r="A5574" t="s">
        <v>49</v>
      </c>
      <c r="B5574" t="s">
        <v>50</v>
      </c>
      <c r="C5574" t="s">
        <v>127</v>
      </c>
      <c r="D5574" t="s">
        <v>128</v>
      </c>
      <c r="E5574">
        <v>2008</v>
      </c>
      <c r="F5574" s="1">
        <v>44508</v>
      </c>
      <c r="G5574">
        <v>2010</v>
      </c>
      <c r="H5574">
        <f>AVERAGEIFS(Table1[value],Table1[IndicatorCode],Table1[[#This Row],[IndicatorCode]])</f>
        <v>24902.88753799392</v>
      </c>
      <c r="I5574" cm="1">
        <f t="array" ref="I5574">_xlfn.STDEV.P(IF(Table1[IndicatorCode]=Table1[[#This Row],[IndicatorCode]],Table1[value]))</f>
        <v>26324.778297809873</v>
      </c>
      <c r="J5574">
        <f>(Table1[[#This Row],[value]] - Table1[[#This Row],[mean]]) / Table1[[#This Row],[std_dev]]</f>
        <v>0.74473988879280151</v>
      </c>
      <c r="K5574">
        <f>AVERAGEIF(Table1[CountryCode],Table1[[#This Row],[CountryCode]],Table1[z-score])</f>
        <v>0.3375502618800939</v>
      </c>
      <c r="L5574" t="e">
        <f>VLOOKUP(Table1[[#This Row],[CountryCode]],[1]!Table1[#All],1,FALSE)</f>
        <v>#REF!</v>
      </c>
    </row>
    <row r="5575" spans="1:12" hidden="1" x14ac:dyDescent="0.3">
      <c r="A5575" t="s">
        <v>49</v>
      </c>
      <c r="B5575" t="s">
        <v>50</v>
      </c>
      <c r="C5575" t="s">
        <v>127</v>
      </c>
      <c r="D5575" t="s">
        <v>128</v>
      </c>
      <c r="E5575">
        <v>2009</v>
      </c>
      <c r="F5575" s="1">
        <v>42147</v>
      </c>
      <c r="G5575">
        <v>2010</v>
      </c>
      <c r="H5575">
        <f>AVERAGEIFS(Table1[value],Table1[IndicatorCode],Table1[[#This Row],[IndicatorCode]])</f>
        <v>24902.88753799392</v>
      </c>
      <c r="I5575" cm="1">
        <f t="array" ref="I5575">_xlfn.STDEV.P(IF(Table1[IndicatorCode]=Table1[[#This Row],[IndicatorCode]],Table1[value]))</f>
        <v>26324.778297809873</v>
      </c>
      <c r="J5575">
        <f>(Table1[[#This Row],[value]] - Table1[[#This Row],[mean]]) / Table1[[#This Row],[std_dev]]</f>
        <v>0.65505252378291556</v>
      </c>
      <c r="K5575">
        <f>AVERAGEIF(Table1[CountryCode],Table1[[#This Row],[CountryCode]],Table1[z-score])</f>
        <v>0.3375502618800939</v>
      </c>
      <c r="L5575" t="e">
        <f>VLOOKUP(Table1[[#This Row],[CountryCode]],[1]!Table1[#All],1,FALSE)</f>
        <v>#REF!</v>
      </c>
    </row>
    <row r="5576" spans="1:12" hidden="1" x14ac:dyDescent="0.3">
      <c r="A5576" t="s">
        <v>49</v>
      </c>
      <c r="B5576" t="s">
        <v>50</v>
      </c>
      <c r="C5576" t="s">
        <v>127</v>
      </c>
      <c r="D5576" t="s">
        <v>128</v>
      </c>
      <c r="E5576">
        <v>2010</v>
      </c>
      <c r="F5576" s="1">
        <v>42763</v>
      </c>
      <c r="G5576">
        <v>2010</v>
      </c>
      <c r="H5576">
        <f>AVERAGEIFS(Table1[value],Table1[IndicatorCode],Table1[[#This Row],[IndicatorCode]])</f>
        <v>24902.88753799392</v>
      </c>
      <c r="I5576" cm="1">
        <f t="array" ref="I5576">_xlfn.STDEV.P(IF(Table1[IndicatorCode]=Table1[[#This Row],[IndicatorCode]],Table1[value]))</f>
        <v>26324.778297809873</v>
      </c>
      <c r="J5576">
        <f>(Table1[[#This Row],[value]] - Table1[[#This Row],[mean]]) / Table1[[#This Row],[std_dev]]</f>
        <v>0.67845253091806579</v>
      </c>
      <c r="K5576">
        <f>AVERAGEIF(Table1[CountryCode],Table1[[#This Row],[CountryCode]],Table1[z-score])</f>
        <v>0.3375502618800939</v>
      </c>
      <c r="L5576" t="e">
        <f>VLOOKUP(Table1[[#This Row],[CountryCode]],[1]!Table1[#All],1,FALSE)</f>
        <v>#REF!</v>
      </c>
    </row>
    <row r="5577" spans="1:12" hidden="1" x14ac:dyDescent="0.3">
      <c r="A5577" t="s">
        <v>49</v>
      </c>
      <c r="B5577" t="s">
        <v>50</v>
      </c>
      <c r="C5577" t="s">
        <v>127</v>
      </c>
      <c r="D5577" t="s">
        <v>128</v>
      </c>
      <c r="E5577">
        <v>2011</v>
      </c>
      <c r="F5577" s="1">
        <v>42791</v>
      </c>
      <c r="G5577">
        <v>2010</v>
      </c>
      <c r="H5577">
        <f>AVERAGEIFS(Table1[value],Table1[IndicatorCode],Table1[[#This Row],[IndicatorCode]])</f>
        <v>24902.88753799392</v>
      </c>
      <c r="I5577" cm="1">
        <f t="array" ref="I5577">_xlfn.STDEV.P(IF(Table1[IndicatorCode]=Table1[[#This Row],[IndicatorCode]],Table1[value]))</f>
        <v>26324.778297809873</v>
      </c>
      <c r="J5577">
        <f>(Table1[[#This Row],[value]] - Table1[[#This Row],[mean]]) / Table1[[#This Row],[std_dev]]</f>
        <v>0.67951616760602718</v>
      </c>
      <c r="K5577">
        <f>AVERAGEIF(Table1[CountryCode],Table1[[#This Row],[CountryCode]],Table1[z-score])</f>
        <v>0.3375502618800939</v>
      </c>
      <c r="L5577" t="e">
        <f>VLOOKUP(Table1[[#This Row],[CountryCode]],[1]!Table1[#All],1,FALSE)</f>
        <v>#REF!</v>
      </c>
    </row>
    <row r="5578" spans="1:12" hidden="1" x14ac:dyDescent="0.3">
      <c r="A5578" t="s">
        <v>49</v>
      </c>
      <c r="B5578" t="s">
        <v>50</v>
      </c>
      <c r="C5578" t="s">
        <v>127</v>
      </c>
      <c r="D5578" t="s">
        <v>128</v>
      </c>
      <c r="E5578">
        <v>2012</v>
      </c>
      <c r="F5578" s="1">
        <v>43137</v>
      </c>
      <c r="G5578">
        <v>2010</v>
      </c>
      <c r="H5578">
        <f>AVERAGEIFS(Table1[value],Table1[IndicatorCode],Table1[[#This Row],[IndicatorCode]])</f>
        <v>24902.88753799392</v>
      </c>
      <c r="I5578" cm="1">
        <f t="array" ref="I5578">_xlfn.STDEV.P(IF(Table1[IndicatorCode]=Table1[[#This Row],[IndicatorCode]],Table1[value]))</f>
        <v>26324.778297809873</v>
      </c>
      <c r="J5578">
        <f>(Table1[[#This Row],[value]] - Table1[[#This Row],[mean]]) / Table1[[#This Row],[std_dev]]</f>
        <v>0.69265967810726414</v>
      </c>
      <c r="K5578">
        <f>AVERAGEIF(Table1[CountryCode],Table1[[#This Row],[CountryCode]],Table1[z-score])</f>
        <v>0.3375502618800939</v>
      </c>
      <c r="L5578" t="e">
        <f>VLOOKUP(Table1[[#This Row],[CountryCode]],[1]!Table1[#All],1,FALSE)</f>
        <v>#REF!</v>
      </c>
    </row>
    <row r="5579" spans="1:12" hidden="1" x14ac:dyDescent="0.3">
      <c r="A5579" t="s">
        <v>49</v>
      </c>
      <c r="B5579" t="s">
        <v>50</v>
      </c>
      <c r="C5579" t="s">
        <v>127</v>
      </c>
      <c r="D5579" t="s">
        <v>128</v>
      </c>
      <c r="E5579">
        <v>2013</v>
      </c>
      <c r="F5579" s="1">
        <v>43585</v>
      </c>
      <c r="G5579">
        <v>2010</v>
      </c>
      <c r="H5579">
        <f>AVERAGEIFS(Table1[value],Table1[IndicatorCode],Table1[[#This Row],[IndicatorCode]])</f>
        <v>24902.88753799392</v>
      </c>
      <c r="I5579" cm="1">
        <f t="array" ref="I5579">_xlfn.STDEV.P(IF(Table1[IndicatorCode]=Table1[[#This Row],[IndicatorCode]],Table1[value]))</f>
        <v>26324.778297809873</v>
      </c>
      <c r="J5579">
        <f>(Table1[[#This Row],[value]] - Table1[[#This Row],[mean]]) / Table1[[#This Row],[std_dev]]</f>
        <v>0.70967786511464614</v>
      </c>
      <c r="K5579">
        <f>AVERAGEIF(Table1[CountryCode],Table1[[#This Row],[CountryCode]],Table1[z-score])</f>
        <v>0.3375502618800939</v>
      </c>
      <c r="L5579" t="e">
        <f>VLOOKUP(Table1[[#This Row],[CountryCode]],[1]!Table1[#All],1,FALSE)</f>
        <v>#REF!</v>
      </c>
    </row>
    <row r="5580" spans="1:12" hidden="1" x14ac:dyDescent="0.3">
      <c r="A5580" t="s">
        <v>49</v>
      </c>
      <c r="B5580" t="s">
        <v>50</v>
      </c>
      <c r="C5580" t="s">
        <v>127</v>
      </c>
      <c r="D5580" t="s">
        <v>128</v>
      </c>
      <c r="E5580">
        <v>2014</v>
      </c>
      <c r="F5580" s="1">
        <v>44628</v>
      </c>
      <c r="G5580">
        <v>2010</v>
      </c>
      <c r="H5580">
        <f>AVERAGEIFS(Table1[value],Table1[IndicatorCode],Table1[[#This Row],[IndicatorCode]])</f>
        <v>24902.88753799392</v>
      </c>
      <c r="I5580" cm="1">
        <f t="array" ref="I5580">_xlfn.STDEV.P(IF(Table1[IndicatorCode]=Table1[[#This Row],[IndicatorCode]],Table1[value]))</f>
        <v>26324.778297809873</v>
      </c>
      <c r="J5580">
        <f>(Table1[[#This Row],[value]] - Table1[[#This Row],[mean]]) / Table1[[#This Row],[std_dev]]</f>
        <v>0.74929833174120741</v>
      </c>
      <c r="K5580">
        <f>AVERAGEIF(Table1[CountryCode],Table1[[#This Row],[CountryCode]],Table1[z-score])</f>
        <v>0.3375502618800939</v>
      </c>
      <c r="L5580" t="e">
        <f>VLOOKUP(Table1[[#This Row],[CountryCode]],[1]!Table1[#All],1,FALSE)</f>
        <v>#REF!</v>
      </c>
    </row>
    <row r="5581" spans="1:12" hidden="1" x14ac:dyDescent="0.3">
      <c r="A5581" t="s">
        <v>49</v>
      </c>
      <c r="B5581" t="s">
        <v>50</v>
      </c>
      <c r="C5581" t="s">
        <v>127</v>
      </c>
      <c r="D5581" t="s">
        <v>128</v>
      </c>
      <c r="E5581">
        <v>2015</v>
      </c>
      <c r="F5581" s="1">
        <v>45255</v>
      </c>
      <c r="G5581">
        <v>2010</v>
      </c>
      <c r="H5581">
        <f>AVERAGEIFS(Table1[value],Table1[IndicatorCode],Table1[[#This Row],[IndicatorCode]])</f>
        <v>24902.88753799392</v>
      </c>
      <c r="I5581" cm="1">
        <f t="array" ref="I5581">_xlfn.STDEV.P(IF(Table1[IndicatorCode]=Table1[[#This Row],[IndicatorCode]],Table1[value]))</f>
        <v>26324.778297809873</v>
      </c>
      <c r="J5581">
        <f>(Table1[[#This Row],[value]] - Table1[[#This Row],[mean]]) / Table1[[#This Row],[std_dev]]</f>
        <v>0.77311619614662819</v>
      </c>
      <c r="K5581">
        <f>AVERAGEIF(Table1[CountryCode],Table1[[#This Row],[CountryCode]],Table1[z-score])</f>
        <v>0.3375502618800939</v>
      </c>
      <c r="L5581" t="e">
        <f>VLOOKUP(Table1[[#This Row],[CountryCode]],[1]!Table1[#All],1,FALSE)</f>
        <v>#REF!</v>
      </c>
    </row>
    <row r="5582" spans="1:12" hidden="1" x14ac:dyDescent="0.3">
      <c r="A5582" t="s">
        <v>49</v>
      </c>
      <c r="B5582" t="s">
        <v>50</v>
      </c>
      <c r="C5582" t="s">
        <v>127</v>
      </c>
      <c r="D5582" t="s">
        <v>128</v>
      </c>
      <c r="E5582">
        <v>2016</v>
      </c>
      <c r="F5582" s="1">
        <v>45888</v>
      </c>
      <c r="G5582">
        <v>2010</v>
      </c>
      <c r="H5582">
        <f>AVERAGEIFS(Table1[value],Table1[IndicatorCode],Table1[[#This Row],[IndicatorCode]])</f>
        <v>24902.88753799392</v>
      </c>
      <c r="I5582" cm="1">
        <f t="array" ref="I5582">_xlfn.STDEV.P(IF(Table1[IndicatorCode]=Table1[[#This Row],[IndicatorCode]],Table1[value]))</f>
        <v>26324.778297809873</v>
      </c>
      <c r="J5582">
        <f>(Table1[[#This Row],[value]] - Table1[[#This Row],[mean]]) / Table1[[#This Row],[std_dev]]</f>
        <v>0.79716198269946936</v>
      </c>
      <c r="K5582">
        <f>AVERAGEIF(Table1[CountryCode],Table1[[#This Row],[CountryCode]],Table1[z-score])</f>
        <v>0.3375502618800939</v>
      </c>
      <c r="L5582" t="e">
        <f>VLOOKUP(Table1[[#This Row],[CountryCode]],[1]!Table1[#All],1,FALSE)</f>
        <v>#REF!</v>
      </c>
    </row>
    <row r="5583" spans="1:12" hidden="1" x14ac:dyDescent="0.3">
      <c r="A5583" t="s">
        <v>49</v>
      </c>
      <c r="B5583" t="s">
        <v>50</v>
      </c>
      <c r="C5583" t="s">
        <v>127</v>
      </c>
      <c r="D5583" t="s">
        <v>128</v>
      </c>
      <c r="E5583">
        <v>2017</v>
      </c>
      <c r="F5583" s="1">
        <v>47018</v>
      </c>
      <c r="G5583">
        <v>2020</v>
      </c>
      <c r="H5583">
        <f>AVERAGEIFS(Table1[value],Table1[IndicatorCode],Table1[[#This Row],[IndicatorCode]])</f>
        <v>24902.88753799392</v>
      </c>
      <c r="I5583" cm="1">
        <f t="array" ref="I5583">_xlfn.STDEV.P(IF(Table1[IndicatorCode]=Table1[[#This Row],[IndicatorCode]],Table1[value]))</f>
        <v>26324.778297809873</v>
      </c>
      <c r="J5583">
        <f>(Table1[[#This Row],[value]] - Table1[[#This Row],[mean]]) / Table1[[#This Row],[std_dev]]</f>
        <v>0.84008732046362489</v>
      </c>
      <c r="K5583">
        <f>AVERAGEIF(Table1[CountryCode],Table1[[#This Row],[CountryCode]],Table1[z-score])</f>
        <v>0.3375502618800939</v>
      </c>
      <c r="L5583" t="e">
        <f>VLOOKUP(Table1[[#This Row],[CountryCode]],[1]!Table1[#All],1,FALSE)</f>
        <v>#REF!</v>
      </c>
    </row>
    <row r="5584" spans="1:12" hidden="1" x14ac:dyDescent="0.3">
      <c r="A5584" t="s">
        <v>49</v>
      </c>
      <c r="B5584" t="s">
        <v>50</v>
      </c>
      <c r="C5584" t="s">
        <v>127</v>
      </c>
      <c r="D5584" t="s">
        <v>128</v>
      </c>
      <c r="E5584">
        <v>2018</v>
      </c>
      <c r="F5584" s="1">
        <v>47515</v>
      </c>
      <c r="G5584">
        <v>2020</v>
      </c>
      <c r="H5584">
        <f>AVERAGEIFS(Table1[value],Table1[IndicatorCode],Table1[[#This Row],[IndicatorCode]])</f>
        <v>24902.88753799392</v>
      </c>
      <c r="I5584" cm="1">
        <f t="array" ref="I5584">_xlfn.STDEV.P(IF(Table1[IndicatorCode]=Table1[[#This Row],[IndicatorCode]],Table1[value]))</f>
        <v>26324.778297809873</v>
      </c>
      <c r="J5584">
        <f>(Table1[[#This Row],[value]] - Table1[[#This Row],[mean]]) / Table1[[#This Row],[std_dev]]</f>
        <v>0.85896687167493935</v>
      </c>
      <c r="K5584">
        <f>AVERAGEIF(Table1[CountryCode],Table1[[#This Row],[CountryCode]],Table1[z-score])</f>
        <v>0.3375502618800939</v>
      </c>
      <c r="L5584" t="e">
        <f>VLOOKUP(Table1[[#This Row],[CountryCode]],[1]!Table1[#All],1,FALSE)</f>
        <v>#REF!</v>
      </c>
    </row>
    <row r="5585" spans="1:12" hidden="1" x14ac:dyDescent="0.3">
      <c r="A5585" t="s">
        <v>49</v>
      </c>
      <c r="B5585" t="s">
        <v>50</v>
      </c>
      <c r="C5585" t="s">
        <v>127</v>
      </c>
      <c r="D5585" t="s">
        <v>128</v>
      </c>
      <c r="E5585">
        <v>2019</v>
      </c>
      <c r="F5585" s="1">
        <v>47865</v>
      </c>
      <c r="G5585">
        <v>2020</v>
      </c>
      <c r="H5585">
        <f>AVERAGEIFS(Table1[value],Table1[IndicatorCode],Table1[[#This Row],[IndicatorCode]])</f>
        <v>24902.88753799392</v>
      </c>
      <c r="I5585" cm="1">
        <f t="array" ref="I5585">_xlfn.STDEV.P(IF(Table1[IndicatorCode]=Table1[[#This Row],[IndicatorCode]],Table1[value]))</f>
        <v>26324.778297809873</v>
      </c>
      <c r="J5585">
        <f>(Table1[[#This Row],[value]] - Table1[[#This Row],[mean]]) / Table1[[#This Row],[std_dev]]</f>
        <v>0.87226233027445654</v>
      </c>
      <c r="K5585">
        <f>AVERAGEIF(Table1[CountryCode],Table1[[#This Row],[CountryCode]],Table1[z-score])</f>
        <v>0.3375502618800939</v>
      </c>
      <c r="L5585" t="e">
        <f>VLOOKUP(Table1[[#This Row],[CountryCode]],[1]!Table1[#All],1,FALSE)</f>
        <v>#REF!</v>
      </c>
    </row>
    <row r="5586" spans="1:12" x14ac:dyDescent="0.3">
      <c r="A5586" t="s">
        <v>117</v>
      </c>
      <c r="B5586" t="s">
        <v>118</v>
      </c>
      <c r="C5586" t="s">
        <v>127</v>
      </c>
      <c r="D5586" t="s">
        <v>128</v>
      </c>
      <c r="E5586">
        <v>2020</v>
      </c>
      <c r="F5586" s="1">
        <v>12339</v>
      </c>
      <c r="G5586">
        <v>2020</v>
      </c>
      <c r="H5586">
        <f>AVERAGEIFS(Table1[value],Table1[IndicatorCode],Table1[[#This Row],[IndicatorCode]])</f>
        <v>24902.88753799392</v>
      </c>
      <c r="I5586" cm="1">
        <f t="array" ref="I5586">_xlfn.STDEV.P(IF(Table1[IndicatorCode]=Table1[[#This Row],[IndicatorCode]],Table1[value]))</f>
        <v>26324.778297809873</v>
      </c>
      <c r="J5586">
        <f>(Table1[[#This Row],[value]] - Table1[[#This Row],[mean]]) / Table1[[#This Row],[std_dev]]</f>
        <v>-0.4772647046011092</v>
      </c>
      <c r="K5586">
        <f>AVERAGEIF(Table1[CountryCode],Table1[[#This Row],[CountryCode]],Table1[z-score])</f>
        <v>-0.69917556524739866</v>
      </c>
    </row>
    <row r="5587" spans="1:12" hidden="1" x14ac:dyDescent="0.3">
      <c r="A5587" t="s">
        <v>49</v>
      </c>
      <c r="B5587" t="s">
        <v>50</v>
      </c>
      <c r="C5587" t="s">
        <v>127</v>
      </c>
      <c r="D5587" t="s">
        <v>128</v>
      </c>
      <c r="E5587">
        <v>2021</v>
      </c>
      <c r="F5587" s="1">
        <v>46487</v>
      </c>
      <c r="G5587">
        <v>2020</v>
      </c>
      <c r="H5587">
        <f>AVERAGEIFS(Table1[value],Table1[IndicatorCode],Table1[[#This Row],[IndicatorCode]])</f>
        <v>24902.88753799392</v>
      </c>
      <c r="I5587" cm="1">
        <f t="array" ref="I5587">_xlfn.STDEV.P(IF(Table1[IndicatorCode]=Table1[[#This Row],[IndicatorCode]],Table1[value]))</f>
        <v>26324.778297809873</v>
      </c>
      <c r="J5587">
        <f>(Table1[[#This Row],[value]] - Table1[[#This Row],[mean]]) / Table1[[#This Row],[std_dev]]</f>
        <v>0.81991621041692875</v>
      </c>
      <c r="K5587">
        <f>AVERAGEIF(Table1[CountryCode],Table1[[#This Row],[CountryCode]],Table1[z-score])</f>
        <v>0.3375502618800939</v>
      </c>
      <c r="L5587" t="e">
        <f>VLOOKUP(Table1[[#This Row],[CountryCode]],[1]!Table1[#All],1,FALSE)</f>
        <v>#REF!</v>
      </c>
    </row>
    <row r="5588" spans="1:12" hidden="1" x14ac:dyDescent="0.3">
      <c r="A5588" t="s">
        <v>49</v>
      </c>
      <c r="B5588" t="s">
        <v>50</v>
      </c>
      <c r="C5588" t="s">
        <v>127</v>
      </c>
      <c r="D5588" t="s">
        <v>128</v>
      </c>
      <c r="E5588">
        <v>2022</v>
      </c>
      <c r="F5588" s="1">
        <v>48433</v>
      </c>
      <c r="G5588">
        <v>1960</v>
      </c>
      <c r="H5588">
        <f>AVERAGEIFS(Table1[value],Table1[IndicatorCode],Table1[[#This Row],[IndicatorCode]])</f>
        <v>24902.88753799392</v>
      </c>
      <c r="I5588" cm="1">
        <f t="array" ref="I5588">_xlfn.STDEV.P(IF(Table1[IndicatorCode]=Table1[[#This Row],[IndicatorCode]],Table1[value]))</f>
        <v>26324.778297809873</v>
      </c>
      <c r="J5588">
        <f>(Table1[[#This Row],[value]] - Table1[[#This Row],[mean]]) / Table1[[#This Row],[std_dev]]</f>
        <v>0.89383896023024445</v>
      </c>
      <c r="K5588">
        <f>AVERAGEIF(Table1[CountryCode],Table1[[#This Row],[CountryCode]],Table1[z-score])</f>
        <v>0.3375502618800939</v>
      </c>
      <c r="L5588" t="e">
        <f>VLOOKUP(Table1[[#This Row],[CountryCode]],[1]!Table1[#All],1,FALSE)</f>
        <v>#REF!</v>
      </c>
    </row>
    <row r="5589" spans="1:12" hidden="1" x14ac:dyDescent="0.3">
      <c r="A5589" t="s">
        <v>49</v>
      </c>
      <c r="B5589" t="s">
        <v>50</v>
      </c>
      <c r="C5589" t="s">
        <v>127</v>
      </c>
      <c r="D5589" t="s">
        <v>128</v>
      </c>
      <c r="E5589">
        <v>2023</v>
      </c>
      <c r="F5589" s="1">
        <v>47935</v>
      </c>
      <c r="G5589">
        <v>1960</v>
      </c>
      <c r="H5589">
        <f>AVERAGEIFS(Table1[value],Table1[IndicatorCode],Table1[[#This Row],[IndicatorCode]])</f>
        <v>24902.88753799392</v>
      </c>
      <c r="I5589" cm="1">
        <f t="array" ref="I5589">_xlfn.STDEV.P(IF(Table1[IndicatorCode]=Table1[[#This Row],[IndicatorCode]],Table1[value]))</f>
        <v>26324.778297809873</v>
      </c>
      <c r="J5589">
        <f>(Table1[[#This Row],[value]] - Table1[[#This Row],[mean]]) / Table1[[#This Row],[std_dev]]</f>
        <v>0.87492142199435996</v>
      </c>
      <c r="K5589">
        <f>AVERAGEIF(Table1[CountryCode],Table1[[#This Row],[CountryCode]],Table1[z-score])</f>
        <v>0.3375502618800939</v>
      </c>
      <c r="L5589" t="e">
        <f>VLOOKUP(Table1[[#This Row],[CountryCode]],[1]!Table1[#All],1,FALSE)</f>
        <v>#REF!</v>
      </c>
    </row>
    <row r="5590" spans="1:12" hidden="1" x14ac:dyDescent="0.3">
      <c r="A5590" t="s">
        <v>49</v>
      </c>
      <c r="B5590" t="s">
        <v>50</v>
      </c>
      <c r="C5590" t="s">
        <v>127</v>
      </c>
      <c r="D5590" t="s">
        <v>128</v>
      </c>
      <c r="E5590">
        <v>2024</v>
      </c>
      <c r="F5590" s="1">
        <v>47961</v>
      </c>
      <c r="G5590">
        <v>1960</v>
      </c>
      <c r="H5590">
        <f>AVERAGEIFS(Table1[value],Table1[IndicatorCode],Table1[[#This Row],[IndicatorCode]])</f>
        <v>24902.88753799392</v>
      </c>
      <c r="I5590" cm="1">
        <f t="array" ref="I5590">_xlfn.STDEV.P(IF(Table1[IndicatorCode]=Table1[[#This Row],[IndicatorCode]],Table1[value]))</f>
        <v>26324.778297809873</v>
      </c>
      <c r="J5590">
        <f>(Table1[[#This Row],[value]] - Table1[[#This Row],[mean]]) / Table1[[#This Row],[std_dev]]</f>
        <v>0.87590908463318118</v>
      </c>
      <c r="K5590">
        <f>AVERAGEIF(Table1[CountryCode],Table1[[#This Row],[CountryCode]],Table1[z-score])</f>
        <v>0.3375502618800939</v>
      </c>
      <c r="L5590" t="e">
        <f>VLOOKUP(Table1[[#This Row],[CountryCode]],[1]!Table1[#All],1,FALSE)</f>
        <v>#REF!</v>
      </c>
    </row>
    <row r="5591" spans="1:12" hidden="1" x14ac:dyDescent="0.3">
      <c r="A5591" t="s">
        <v>51</v>
      </c>
      <c r="B5591" t="s">
        <v>52</v>
      </c>
      <c r="C5591" t="s">
        <v>127</v>
      </c>
      <c r="D5591" t="s">
        <v>128</v>
      </c>
      <c r="E5591">
        <v>1960</v>
      </c>
      <c r="F5591" s="1">
        <v>1438</v>
      </c>
      <c r="G5591">
        <v>1960</v>
      </c>
      <c r="H5591">
        <f>AVERAGEIFS(Table1[value],Table1[IndicatorCode],Table1[[#This Row],[IndicatorCode]])</f>
        <v>24902.88753799392</v>
      </c>
      <c r="I5591" cm="1">
        <f t="array" ref="I5591">_xlfn.STDEV.P(IF(Table1[IndicatorCode]=Table1[[#This Row],[IndicatorCode]],Table1[value]))</f>
        <v>26324.778297809873</v>
      </c>
      <c r="J5591">
        <f>(Table1[[#This Row],[value]] - Table1[[#This Row],[mean]]) / Table1[[#This Row],[std_dev]]</f>
        <v>-0.89136125943921485</v>
      </c>
      <c r="K5591">
        <f>AVERAGEIF(Table1[CountryCode],Table1[[#This Row],[CountryCode]],Table1[z-score])</f>
        <v>-0.61446545916413864</v>
      </c>
      <c r="L5591" t="e">
        <f>VLOOKUP(Table1[[#This Row],[CountryCode]],[1]!Table1[#All],1,FALSE)</f>
        <v>#REF!</v>
      </c>
    </row>
    <row r="5592" spans="1:12" hidden="1" x14ac:dyDescent="0.3">
      <c r="A5592" t="s">
        <v>51</v>
      </c>
      <c r="B5592" t="s">
        <v>52</v>
      </c>
      <c r="C5592" t="s">
        <v>127</v>
      </c>
      <c r="D5592" t="s">
        <v>128</v>
      </c>
      <c r="E5592">
        <v>1961</v>
      </c>
      <c r="F5592" s="1">
        <v>1485</v>
      </c>
      <c r="G5592">
        <v>1960</v>
      </c>
      <c r="H5592">
        <f>AVERAGEIFS(Table1[value],Table1[IndicatorCode],Table1[[#This Row],[IndicatorCode]])</f>
        <v>24902.88753799392</v>
      </c>
      <c r="I5592" cm="1">
        <f t="array" ref="I5592">_xlfn.STDEV.P(IF(Table1[IndicatorCode]=Table1[[#This Row],[IndicatorCode]],Table1[value]))</f>
        <v>26324.778297809873</v>
      </c>
      <c r="J5592">
        <f>(Table1[[#This Row],[value]] - Table1[[#This Row],[mean]]) / Table1[[#This Row],[std_dev]]</f>
        <v>-0.88957586928442256</v>
      </c>
      <c r="K5592">
        <f>AVERAGEIF(Table1[CountryCode],Table1[[#This Row],[CountryCode]],Table1[z-score])</f>
        <v>-0.61446545916413864</v>
      </c>
      <c r="L5592" t="e">
        <f>VLOOKUP(Table1[[#This Row],[CountryCode]],[1]!Table1[#All],1,FALSE)</f>
        <v>#REF!</v>
      </c>
    </row>
    <row r="5593" spans="1:12" hidden="1" x14ac:dyDescent="0.3">
      <c r="A5593" t="s">
        <v>51</v>
      </c>
      <c r="B5593" t="s">
        <v>52</v>
      </c>
      <c r="C5593" t="s">
        <v>127</v>
      </c>
      <c r="D5593" t="s">
        <v>128</v>
      </c>
      <c r="E5593">
        <v>1962</v>
      </c>
      <c r="F5593" s="1">
        <v>1537</v>
      </c>
      <c r="G5593">
        <v>1960</v>
      </c>
      <c r="H5593">
        <f>AVERAGEIFS(Table1[value],Table1[IndicatorCode],Table1[[#This Row],[IndicatorCode]])</f>
        <v>24902.88753799392</v>
      </c>
      <c r="I5593" cm="1">
        <f t="array" ref="I5593">_xlfn.STDEV.P(IF(Table1[IndicatorCode]=Table1[[#This Row],[IndicatorCode]],Table1[value]))</f>
        <v>26324.778297809873</v>
      </c>
      <c r="J5593">
        <f>(Table1[[#This Row],[value]] - Table1[[#This Row],[mean]]) / Table1[[#This Row],[std_dev]]</f>
        <v>-0.88760054400678001</v>
      </c>
      <c r="K5593">
        <f>AVERAGEIF(Table1[CountryCode],Table1[[#This Row],[CountryCode]],Table1[z-score])</f>
        <v>-0.61446545916413864</v>
      </c>
      <c r="L5593" t="e">
        <f>VLOOKUP(Table1[[#This Row],[CountryCode]],[1]!Table1[#All],1,FALSE)</f>
        <v>#REF!</v>
      </c>
    </row>
    <row r="5594" spans="1:12" hidden="1" x14ac:dyDescent="0.3">
      <c r="A5594" t="s">
        <v>51</v>
      </c>
      <c r="B5594" t="s">
        <v>52</v>
      </c>
      <c r="C5594" t="s">
        <v>127</v>
      </c>
      <c r="D5594" t="s">
        <v>128</v>
      </c>
      <c r="E5594">
        <v>1963</v>
      </c>
      <c r="F5594" s="1">
        <v>1578</v>
      </c>
      <c r="G5594">
        <v>1960</v>
      </c>
      <c r="H5594">
        <f>AVERAGEIFS(Table1[value],Table1[IndicatorCode],Table1[[#This Row],[IndicatorCode]])</f>
        <v>24902.88753799392</v>
      </c>
      <c r="I5594" cm="1">
        <f t="array" ref="I5594">_xlfn.STDEV.P(IF(Table1[IndicatorCode]=Table1[[#This Row],[IndicatorCode]],Table1[value]))</f>
        <v>26324.778297809873</v>
      </c>
      <c r="J5594">
        <f>(Table1[[#This Row],[value]] - Table1[[#This Row],[mean]]) / Table1[[#This Row],[std_dev]]</f>
        <v>-0.88604307599940801</v>
      </c>
      <c r="K5594">
        <f>AVERAGEIF(Table1[CountryCode],Table1[[#This Row],[CountryCode]],Table1[z-score])</f>
        <v>-0.61446545916413864</v>
      </c>
      <c r="L5594" t="e">
        <f>VLOOKUP(Table1[[#This Row],[CountryCode]],[1]!Table1[#All],1,FALSE)</f>
        <v>#REF!</v>
      </c>
    </row>
    <row r="5595" spans="1:12" hidden="1" x14ac:dyDescent="0.3">
      <c r="A5595" t="s">
        <v>51</v>
      </c>
      <c r="B5595" t="s">
        <v>52</v>
      </c>
      <c r="C5595" t="s">
        <v>127</v>
      </c>
      <c r="D5595" t="s">
        <v>128</v>
      </c>
      <c r="E5595">
        <v>1964</v>
      </c>
      <c r="F5595" s="1">
        <v>1641</v>
      </c>
      <c r="G5595">
        <v>1960</v>
      </c>
      <c r="H5595">
        <f>AVERAGEIFS(Table1[value],Table1[IndicatorCode],Table1[[#This Row],[IndicatorCode]])</f>
        <v>24902.88753799392</v>
      </c>
      <c r="I5595" cm="1">
        <f t="array" ref="I5595">_xlfn.STDEV.P(IF(Table1[IndicatorCode]=Table1[[#This Row],[IndicatorCode]],Table1[value]))</f>
        <v>26324.778297809873</v>
      </c>
      <c r="J5595">
        <f>(Table1[[#This Row],[value]] - Table1[[#This Row],[mean]]) / Table1[[#This Row],[std_dev]]</f>
        <v>-0.88364989345149492</v>
      </c>
      <c r="K5595">
        <f>AVERAGEIF(Table1[CountryCode],Table1[[#This Row],[CountryCode]],Table1[z-score])</f>
        <v>-0.61446545916413864</v>
      </c>
      <c r="L5595" t="e">
        <f>VLOOKUP(Table1[[#This Row],[CountryCode]],[1]!Table1[#All],1,FALSE)</f>
        <v>#REF!</v>
      </c>
    </row>
    <row r="5596" spans="1:12" hidden="1" x14ac:dyDescent="0.3">
      <c r="A5596" t="s">
        <v>51</v>
      </c>
      <c r="B5596" t="s">
        <v>52</v>
      </c>
      <c r="C5596" t="s">
        <v>127</v>
      </c>
      <c r="D5596" t="s">
        <v>128</v>
      </c>
      <c r="E5596">
        <v>1965</v>
      </c>
      <c r="F5596" s="1">
        <v>1790</v>
      </c>
      <c r="G5596">
        <v>1960</v>
      </c>
      <c r="H5596">
        <f>AVERAGEIFS(Table1[value],Table1[IndicatorCode],Table1[[#This Row],[IndicatorCode]])</f>
        <v>24902.88753799392</v>
      </c>
      <c r="I5596" cm="1">
        <f t="array" ref="I5596">_xlfn.STDEV.P(IF(Table1[IndicatorCode]=Table1[[#This Row],[IndicatorCode]],Table1[value]))</f>
        <v>26324.778297809873</v>
      </c>
      <c r="J5596">
        <f>(Table1[[#This Row],[value]] - Table1[[#This Row],[mean]]) / Table1[[#This Row],[std_dev]]</f>
        <v>-0.87798982679055759</v>
      </c>
      <c r="K5596">
        <f>AVERAGEIF(Table1[CountryCode],Table1[[#This Row],[CountryCode]],Table1[z-score])</f>
        <v>-0.61446545916413864</v>
      </c>
      <c r="L5596" t="e">
        <f>VLOOKUP(Table1[[#This Row],[CountryCode]],[1]!Table1[#All],1,FALSE)</f>
        <v>#REF!</v>
      </c>
    </row>
    <row r="5597" spans="1:12" hidden="1" x14ac:dyDescent="0.3">
      <c r="A5597" t="s">
        <v>51</v>
      </c>
      <c r="B5597" t="s">
        <v>52</v>
      </c>
      <c r="C5597" t="s">
        <v>127</v>
      </c>
      <c r="D5597" t="s">
        <v>128</v>
      </c>
      <c r="E5597">
        <v>1966</v>
      </c>
      <c r="F5597" s="1">
        <v>1903</v>
      </c>
      <c r="G5597">
        <v>1960</v>
      </c>
      <c r="H5597">
        <f>AVERAGEIFS(Table1[value],Table1[IndicatorCode],Table1[[#This Row],[IndicatorCode]])</f>
        <v>24902.88753799392</v>
      </c>
      <c r="I5597" cm="1">
        <f t="array" ref="I5597">_xlfn.STDEV.P(IF(Table1[IndicatorCode]=Table1[[#This Row],[IndicatorCode]],Table1[value]))</f>
        <v>26324.778297809873</v>
      </c>
      <c r="J5597">
        <f>(Table1[[#This Row],[value]] - Table1[[#This Row],[mean]]) / Table1[[#This Row],[std_dev]]</f>
        <v>-0.87369729301414201</v>
      </c>
      <c r="K5597">
        <f>AVERAGEIF(Table1[CountryCode],Table1[[#This Row],[CountryCode]],Table1[z-score])</f>
        <v>-0.61446545916413864</v>
      </c>
      <c r="L5597" t="e">
        <f>VLOOKUP(Table1[[#This Row],[CountryCode]],[1]!Table1[#All],1,FALSE)</f>
        <v>#REF!</v>
      </c>
    </row>
    <row r="5598" spans="1:12" hidden="1" x14ac:dyDescent="0.3">
      <c r="A5598" t="s">
        <v>51</v>
      </c>
      <c r="B5598" t="s">
        <v>52</v>
      </c>
      <c r="C5598" t="s">
        <v>127</v>
      </c>
      <c r="D5598" t="s">
        <v>128</v>
      </c>
      <c r="E5598">
        <v>1967</v>
      </c>
      <c r="F5598" s="1">
        <v>2002</v>
      </c>
      <c r="G5598">
        <v>1970</v>
      </c>
      <c r="H5598">
        <f>AVERAGEIFS(Table1[value],Table1[IndicatorCode],Table1[[#This Row],[IndicatorCode]])</f>
        <v>24902.88753799392</v>
      </c>
      <c r="I5598" cm="1">
        <f t="array" ref="I5598">_xlfn.STDEV.P(IF(Table1[IndicatorCode]=Table1[[#This Row],[IndicatorCode]],Table1[value]))</f>
        <v>26324.778297809873</v>
      </c>
      <c r="J5598">
        <f>(Table1[[#This Row],[value]] - Table1[[#This Row],[mean]]) / Table1[[#This Row],[std_dev]]</f>
        <v>-0.86993657758170717</v>
      </c>
      <c r="K5598">
        <f>AVERAGEIF(Table1[CountryCode],Table1[[#This Row],[CountryCode]],Table1[z-score])</f>
        <v>-0.61446545916413864</v>
      </c>
      <c r="L5598" t="e">
        <f>VLOOKUP(Table1[[#This Row],[CountryCode]],[1]!Table1[#All],1,FALSE)</f>
        <v>#REF!</v>
      </c>
    </row>
    <row r="5599" spans="1:12" hidden="1" x14ac:dyDescent="0.3">
      <c r="A5599" t="s">
        <v>51</v>
      </c>
      <c r="B5599" t="s">
        <v>52</v>
      </c>
      <c r="C5599" t="s">
        <v>127</v>
      </c>
      <c r="D5599" t="s">
        <v>128</v>
      </c>
      <c r="E5599">
        <v>1968</v>
      </c>
      <c r="F5599" s="1">
        <v>2073</v>
      </c>
      <c r="G5599">
        <v>1970</v>
      </c>
      <c r="H5599">
        <f>AVERAGEIFS(Table1[value],Table1[IndicatorCode],Table1[[#This Row],[IndicatorCode]])</f>
        <v>24902.88753799392</v>
      </c>
      <c r="I5599" cm="1">
        <f t="array" ref="I5599">_xlfn.STDEV.P(IF(Table1[IndicatorCode]=Table1[[#This Row],[IndicatorCode]],Table1[value]))</f>
        <v>26324.778297809873</v>
      </c>
      <c r="J5599">
        <f>(Table1[[#This Row],[value]] - Table1[[#This Row],[mean]]) / Table1[[#This Row],[std_dev]]</f>
        <v>-0.86723949883723372</v>
      </c>
      <c r="K5599">
        <f>AVERAGEIF(Table1[CountryCode],Table1[[#This Row],[CountryCode]],Table1[z-score])</f>
        <v>-0.61446545916413864</v>
      </c>
      <c r="L5599" t="e">
        <f>VLOOKUP(Table1[[#This Row],[CountryCode]],[1]!Table1[#All],1,FALSE)</f>
        <v>#REF!</v>
      </c>
    </row>
    <row r="5600" spans="1:12" hidden="1" x14ac:dyDescent="0.3">
      <c r="A5600" t="s">
        <v>51</v>
      </c>
      <c r="B5600" t="s">
        <v>52</v>
      </c>
      <c r="C5600" t="s">
        <v>127</v>
      </c>
      <c r="D5600" t="s">
        <v>128</v>
      </c>
      <c r="E5600">
        <v>1969</v>
      </c>
      <c r="F5600" s="1">
        <v>2151</v>
      </c>
      <c r="G5600">
        <v>1970</v>
      </c>
      <c r="H5600">
        <f>AVERAGEIFS(Table1[value],Table1[IndicatorCode],Table1[[#This Row],[IndicatorCode]])</f>
        <v>24902.88753799392</v>
      </c>
      <c r="I5600" cm="1">
        <f t="array" ref="I5600">_xlfn.STDEV.P(IF(Table1[IndicatorCode]=Table1[[#This Row],[IndicatorCode]],Table1[value]))</f>
        <v>26324.778297809873</v>
      </c>
      <c r="J5600">
        <f>(Table1[[#This Row],[value]] - Table1[[#This Row],[mean]]) / Table1[[#This Row],[std_dev]]</f>
        <v>-0.86427651092076985</v>
      </c>
      <c r="K5600">
        <f>AVERAGEIF(Table1[CountryCode],Table1[[#This Row],[CountryCode]],Table1[z-score])</f>
        <v>-0.61446545916413864</v>
      </c>
      <c r="L5600" t="e">
        <f>VLOOKUP(Table1[[#This Row],[CountryCode]],[1]!Table1[#All],1,FALSE)</f>
        <v>#REF!</v>
      </c>
    </row>
    <row r="5601" spans="1:12" hidden="1" x14ac:dyDescent="0.3">
      <c r="A5601" t="s">
        <v>51</v>
      </c>
      <c r="B5601" t="s">
        <v>52</v>
      </c>
      <c r="C5601" t="s">
        <v>127</v>
      </c>
      <c r="D5601" t="s">
        <v>128</v>
      </c>
      <c r="E5601">
        <v>1970</v>
      </c>
      <c r="F5601" s="1">
        <v>2387</v>
      </c>
      <c r="G5601">
        <v>1970</v>
      </c>
      <c r="H5601">
        <f>AVERAGEIFS(Table1[value],Table1[IndicatorCode],Table1[[#This Row],[IndicatorCode]])</f>
        <v>24902.88753799392</v>
      </c>
      <c r="I5601" cm="1">
        <f t="array" ref="I5601">_xlfn.STDEV.P(IF(Table1[IndicatorCode]=Table1[[#This Row],[IndicatorCode]],Table1[value]))</f>
        <v>26324.778297809873</v>
      </c>
      <c r="J5601">
        <f>(Table1[[#This Row],[value]] - Table1[[#This Row],[mean]]) / Table1[[#This Row],[std_dev]]</f>
        <v>-0.85531157312223827</v>
      </c>
      <c r="K5601">
        <f>AVERAGEIF(Table1[CountryCode],Table1[[#This Row],[CountryCode]],Table1[z-score])</f>
        <v>-0.61446545916413864</v>
      </c>
      <c r="L5601" t="e">
        <f>VLOOKUP(Table1[[#This Row],[CountryCode]],[1]!Table1[#All],1,FALSE)</f>
        <v>#REF!</v>
      </c>
    </row>
    <row r="5602" spans="1:12" hidden="1" x14ac:dyDescent="0.3">
      <c r="A5602" t="s">
        <v>51</v>
      </c>
      <c r="B5602" t="s">
        <v>52</v>
      </c>
      <c r="C5602" t="s">
        <v>127</v>
      </c>
      <c r="D5602" t="s">
        <v>128</v>
      </c>
      <c r="E5602">
        <v>1971</v>
      </c>
      <c r="F5602" s="1">
        <v>2421</v>
      </c>
      <c r="G5602">
        <v>1970</v>
      </c>
      <c r="H5602">
        <f>AVERAGEIFS(Table1[value],Table1[IndicatorCode],Table1[[#This Row],[IndicatorCode]])</f>
        <v>24902.88753799392</v>
      </c>
      <c r="I5602" cm="1">
        <f t="array" ref="I5602">_xlfn.STDEV.P(IF(Table1[IndicatorCode]=Table1[[#This Row],[IndicatorCode]],Table1[value]))</f>
        <v>26324.778297809873</v>
      </c>
      <c r="J5602">
        <f>(Table1[[#This Row],[value]] - Table1[[#This Row],[mean]]) / Table1[[#This Row],[std_dev]]</f>
        <v>-0.85402001428685659</v>
      </c>
      <c r="K5602">
        <f>AVERAGEIF(Table1[CountryCode],Table1[[#This Row],[CountryCode]],Table1[z-score])</f>
        <v>-0.61446545916413864</v>
      </c>
      <c r="L5602" t="e">
        <f>VLOOKUP(Table1[[#This Row],[CountryCode]],[1]!Table1[#All],1,FALSE)</f>
        <v>#REF!</v>
      </c>
    </row>
    <row r="5603" spans="1:12" hidden="1" x14ac:dyDescent="0.3">
      <c r="A5603" t="s">
        <v>51</v>
      </c>
      <c r="B5603" t="s">
        <v>52</v>
      </c>
      <c r="C5603" t="s">
        <v>127</v>
      </c>
      <c r="D5603" t="s">
        <v>128</v>
      </c>
      <c r="E5603">
        <v>1972</v>
      </c>
      <c r="F5603" s="1">
        <v>2465</v>
      </c>
      <c r="G5603">
        <v>1970</v>
      </c>
      <c r="H5603">
        <f>AVERAGEIFS(Table1[value],Table1[IndicatorCode],Table1[[#This Row],[IndicatorCode]])</f>
        <v>24902.88753799392</v>
      </c>
      <c r="I5603" cm="1">
        <f t="array" ref="I5603">_xlfn.STDEV.P(IF(Table1[IndicatorCode]=Table1[[#This Row],[IndicatorCode]],Table1[value]))</f>
        <v>26324.778297809873</v>
      </c>
      <c r="J5603">
        <f>(Table1[[#This Row],[value]] - Table1[[#This Row],[mean]]) / Table1[[#This Row],[std_dev]]</f>
        <v>-0.85234858520577439</v>
      </c>
      <c r="K5603">
        <f>AVERAGEIF(Table1[CountryCode],Table1[[#This Row],[CountryCode]],Table1[z-score])</f>
        <v>-0.61446545916413864</v>
      </c>
      <c r="L5603" t="e">
        <f>VLOOKUP(Table1[[#This Row],[CountryCode]],[1]!Table1[#All],1,FALSE)</f>
        <v>#REF!</v>
      </c>
    </row>
    <row r="5604" spans="1:12" hidden="1" x14ac:dyDescent="0.3">
      <c r="A5604" t="s">
        <v>51</v>
      </c>
      <c r="B5604" t="s">
        <v>52</v>
      </c>
      <c r="C5604" t="s">
        <v>127</v>
      </c>
      <c r="D5604" t="s">
        <v>128</v>
      </c>
      <c r="E5604">
        <v>1973</v>
      </c>
      <c r="F5604" s="1">
        <v>2602</v>
      </c>
      <c r="G5604">
        <v>1970</v>
      </c>
      <c r="H5604">
        <f>AVERAGEIFS(Table1[value],Table1[IndicatorCode],Table1[[#This Row],[IndicatorCode]])</f>
        <v>24902.88753799392</v>
      </c>
      <c r="I5604" cm="1">
        <f t="array" ref="I5604">_xlfn.STDEV.P(IF(Table1[IndicatorCode]=Table1[[#This Row],[IndicatorCode]],Table1[value]))</f>
        <v>26324.778297809873</v>
      </c>
      <c r="J5604">
        <f>(Table1[[#This Row],[value]] - Table1[[#This Row],[mean]]) / Table1[[#This Row],[std_dev]]</f>
        <v>-0.84714436283967764</v>
      </c>
      <c r="K5604">
        <f>AVERAGEIF(Table1[CountryCode],Table1[[#This Row],[CountryCode]],Table1[z-score])</f>
        <v>-0.61446545916413864</v>
      </c>
      <c r="L5604" t="e">
        <f>VLOOKUP(Table1[[#This Row],[CountryCode]],[1]!Table1[#All],1,FALSE)</f>
        <v>#REF!</v>
      </c>
    </row>
    <row r="5605" spans="1:12" hidden="1" x14ac:dyDescent="0.3">
      <c r="A5605" t="s">
        <v>51</v>
      </c>
      <c r="B5605" t="s">
        <v>52</v>
      </c>
      <c r="C5605" t="s">
        <v>127</v>
      </c>
      <c r="D5605" t="s">
        <v>128</v>
      </c>
      <c r="E5605">
        <v>1974</v>
      </c>
      <c r="F5605" s="1">
        <v>2806</v>
      </c>
      <c r="G5605">
        <v>1970</v>
      </c>
      <c r="H5605">
        <f>AVERAGEIFS(Table1[value],Table1[IndicatorCode],Table1[[#This Row],[IndicatorCode]])</f>
        <v>24902.88753799392</v>
      </c>
      <c r="I5605" cm="1">
        <f t="array" ref="I5605">_xlfn.STDEV.P(IF(Table1[IndicatorCode]=Table1[[#This Row],[IndicatorCode]],Table1[value]))</f>
        <v>26324.778297809873</v>
      </c>
      <c r="J5605">
        <f>(Table1[[#This Row],[value]] - Table1[[#This Row],[mean]]) / Table1[[#This Row],[std_dev]]</f>
        <v>-0.83939500982738768</v>
      </c>
      <c r="K5605">
        <f>AVERAGEIF(Table1[CountryCode],Table1[[#This Row],[CountryCode]],Table1[z-score])</f>
        <v>-0.61446545916413864</v>
      </c>
      <c r="L5605" t="e">
        <f>VLOOKUP(Table1[[#This Row],[CountryCode]],[1]!Table1[#All],1,FALSE)</f>
        <v>#REF!</v>
      </c>
    </row>
    <row r="5606" spans="1:12" hidden="1" x14ac:dyDescent="0.3">
      <c r="A5606" t="s">
        <v>51</v>
      </c>
      <c r="B5606" t="s">
        <v>52</v>
      </c>
      <c r="C5606" t="s">
        <v>127</v>
      </c>
      <c r="D5606" t="s">
        <v>128</v>
      </c>
      <c r="E5606">
        <v>1975</v>
      </c>
      <c r="F5606" s="1">
        <v>2991</v>
      </c>
      <c r="G5606">
        <v>1970</v>
      </c>
      <c r="H5606">
        <f>AVERAGEIFS(Table1[value],Table1[IndicatorCode],Table1[[#This Row],[IndicatorCode]])</f>
        <v>24902.88753799392</v>
      </c>
      <c r="I5606" cm="1">
        <f t="array" ref="I5606">_xlfn.STDEV.P(IF(Table1[IndicatorCode]=Table1[[#This Row],[IndicatorCode]],Table1[value]))</f>
        <v>26324.778297809873</v>
      </c>
      <c r="J5606">
        <f>(Table1[[#This Row],[value]] - Table1[[#This Row],[mean]]) / Table1[[#This Row],[std_dev]]</f>
        <v>-0.83236741028192862</v>
      </c>
      <c r="K5606">
        <f>AVERAGEIF(Table1[CountryCode],Table1[[#This Row],[CountryCode]],Table1[z-score])</f>
        <v>-0.61446545916413864</v>
      </c>
      <c r="L5606" t="e">
        <f>VLOOKUP(Table1[[#This Row],[CountryCode]],[1]!Table1[#All],1,FALSE)</f>
        <v>#REF!</v>
      </c>
    </row>
    <row r="5607" spans="1:12" hidden="1" x14ac:dyDescent="0.3">
      <c r="A5607" t="s">
        <v>51</v>
      </c>
      <c r="B5607" t="s">
        <v>52</v>
      </c>
      <c r="C5607" t="s">
        <v>127</v>
      </c>
      <c r="D5607" t="s">
        <v>128</v>
      </c>
      <c r="E5607">
        <v>1976</v>
      </c>
      <c r="F5607" s="1">
        <v>3151</v>
      </c>
      <c r="G5607">
        <v>1970</v>
      </c>
      <c r="H5607">
        <f>AVERAGEIFS(Table1[value],Table1[IndicatorCode],Table1[[#This Row],[IndicatorCode]])</f>
        <v>24902.88753799392</v>
      </c>
      <c r="I5607" cm="1">
        <f t="array" ref="I5607">_xlfn.STDEV.P(IF(Table1[IndicatorCode]=Table1[[#This Row],[IndicatorCode]],Table1[value]))</f>
        <v>26324.778297809873</v>
      </c>
      <c r="J5607">
        <f>(Table1[[#This Row],[value]] - Table1[[#This Row],[mean]]) / Table1[[#This Row],[std_dev]]</f>
        <v>-0.82628948635072075</v>
      </c>
      <c r="K5607">
        <f>AVERAGEIF(Table1[CountryCode],Table1[[#This Row],[CountryCode]],Table1[z-score])</f>
        <v>-0.61446545916413864</v>
      </c>
      <c r="L5607" t="e">
        <f>VLOOKUP(Table1[[#This Row],[CountryCode]],[1]!Table1[#All],1,FALSE)</f>
        <v>#REF!</v>
      </c>
    </row>
    <row r="5608" spans="1:12" hidden="1" x14ac:dyDescent="0.3">
      <c r="A5608" t="s">
        <v>51</v>
      </c>
      <c r="B5608" t="s">
        <v>52</v>
      </c>
      <c r="C5608" t="s">
        <v>127</v>
      </c>
      <c r="D5608" t="s">
        <v>128</v>
      </c>
      <c r="E5608">
        <v>1977</v>
      </c>
      <c r="F5608" s="1">
        <v>3345</v>
      </c>
      <c r="G5608">
        <v>1980</v>
      </c>
      <c r="H5608">
        <f>AVERAGEIFS(Table1[value],Table1[IndicatorCode],Table1[[#This Row],[IndicatorCode]])</f>
        <v>24902.88753799392</v>
      </c>
      <c r="I5608" cm="1">
        <f t="array" ref="I5608">_xlfn.STDEV.P(IF(Table1[IndicatorCode]=Table1[[#This Row],[IndicatorCode]],Table1[value]))</f>
        <v>26324.778297809873</v>
      </c>
      <c r="J5608">
        <f>(Table1[[#This Row],[value]] - Table1[[#This Row],[mean]]) / Table1[[#This Row],[std_dev]]</f>
        <v>-0.8189200035841312</v>
      </c>
      <c r="K5608">
        <f>AVERAGEIF(Table1[CountryCode],Table1[[#This Row],[CountryCode]],Table1[z-score])</f>
        <v>-0.61446545916413864</v>
      </c>
      <c r="L5608" t="e">
        <f>VLOOKUP(Table1[[#This Row],[CountryCode]],[1]!Table1[#All],1,FALSE)</f>
        <v>#REF!</v>
      </c>
    </row>
    <row r="5609" spans="1:12" hidden="1" x14ac:dyDescent="0.3">
      <c r="A5609" t="s">
        <v>51</v>
      </c>
      <c r="B5609" t="s">
        <v>52</v>
      </c>
      <c r="C5609" t="s">
        <v>127</v>
      </c>
      <c r="D5609" t="s">
        <v>128</v>
      </c>
      <c r="E5609">
        <v>1978</v>
      </c>
      <c r="F5609" s="1">
        <v>3573</v>
      </c>
      <c r="G5609">
        <v>1980</v>
      </c>
      <c r="H5609">
        <f>AVERAGEIFS(Table1[value],Table1[IndicatorCode],Table1[[#This Row],[IndicatorCode]])</f>
        <v>24902.88753799392</v>
      </c>
      <c r="I5609" cm="1">
        <f t="array" ref="I5609">_xlfn.STDEV.P(IF(Table1[IndicatorCode]=Table1[[#This Row],[IndicatorCode]],Table1[value]))</f>
        <v>26324.778297809873</v>
      </c>
      <c r="J5609">
        <f>(Table1[[#This Row],[value]] - Table1[[#This Row],[mean]]) / Table1[[#This Row],[std_dev]]</f>
        <v>-0.81025896198215996</v>
      </c>
      <c r="K5609">
        <f>AVERAGEIF(Table1[CountryCode],Table1[[#This Row],[CountryCode]],Table1[z-score])</f>
        <v>-0.61446545916413864</v>
      </c>
      <c r="L5609" t="e">
        <f>VLOOKUP(Table1[[#This Row],[CountryCode]],[1]!Table1[#All],1,FALSE)</f>
        <v>#REF!</v>
      </c>
    </row>
    <row r="5610" spans="1:12" hidden="1" x14ac:dyDescent="0.3">
      <c r="A5610" t="s">
        <v>51</v>
      </c>
      <c r="B5610" t="s">
        <v>52</v>
      </c>
      <c r="C5610" t="s">
        <v>127</v>
      </c>
      <c r="D5610" t="s">
        <v>128</v>
      </c>
      <c r="E5610">
        <v>1979</v>
      </c>
      <c r="F5610" s="1">
        <v>3808</v>
      </c>
      <c r="G5610">
        <v>1980</v>
      </c>
      <c r="H5610">
        <f>AVERAGEIFS(Table1[value],Table1[IndicatorCode],Table1[[#This Row],[IndicatorCode]])</f>
        <v>24902.88753799392</v>
      </c>
      <c r="I5610" cm="1">
        <f t="array" ref="I5610">_xlfn.STDEV.P(IF(Table1[IndicatorCode]=Table1[[#This Row],[IndicatorCode]],Table1[value]))</f>
        <v>26324.778297809873</v>
      </c>
      <c r="J5610">
        <f>(Table1[[#This Row],[value]] - Table1[[#This Row],[mean]]) / Table1[[#This Row],[std_dev]]</f>
        <v>-0.80133201120819841</v>
      </c>
      <c r="K5610">
        <f>AVERAGEIF(Table1[CountryCode],Table1[[#This Row],[CountryCode]],Table1[z-score])</f>
        <v>-0.61446545916413864</v>
      </c>
      <c r="L5610" t="e">
        <f>VLOOKUP(Table1[[#This Row],[CountryCode]],[1]!Table1[#All],1,FALSE)</f>
        <v>#REF!</v>
      </c>
    </row>
    <row r="5611" spans="1:12" hidden="1" x14ac:dyDescent="0.3">
      <c r="A5611" t="s">
        <v>51</v>
      </c>
      <c r="B5611" t="s">
        <v>52</v>
      </c>
      <c r="C5611" t="s">
        <v>127</v>
      </c>
      <c r="D5611" t="s">
        <v>128</v>
      </c>
      <c r="E5611">
        <v>1980</v>
      </c>
      <c r="F5611" s="1">
        <v>3949</v>
      </c>
      <c r="G5611">
        <v>1980</v>
      </c>
      <c r="H5611">
        <f>AVERAGEIFS(Table1[value],Table1[IndicatorCode],Table1[[#This Row],[IndicatorCode]])</f>
        <v>24902.88753799392</v>
      </c>
      <c r="I5611" cm="1">
        <f t="array" ref="I5611">_xlfn.STDEV.P(IF(Table1[IndicatorCode]=Table1[[#This Row],[IndicatorCode]],Table1[value]))</f>
        <v>26324.778297809873</v>
      </c>
      <c r="J5611">
        <f>(Table1[[#This Row],[value]] - Table1[[#This Row],[mean]]) / Table1[[#This Row],[std_dev]]</f>
        <v>-0.79597584074382155</v>
      </c>
      <c r="K5611">
        <f>AVERAGEIF(Table1[CountryCode],Table1[[#This Row],[CountryCode]],Table1[z-score])</f>
        <v>-0.61446545916413864</v>
      </c>
      <c r="L5611" t="e">
        <f>VLOOKUP(Table1[[#This Row],[CountryCode]],[1]!Table1[#All],1,FALSE)</f>
        <v>#REF!</v>
      </c>
    </row>
    <row r="5612" spans="1:12" hidden="1" x14ac:dyDescent="0.3">
      <c r="A5612" t="s">
        <v>51</v>
      </c>
      <c r="B5612" t="s">
        <v>52</v>
      </c>
      <c r="C5612" t="s">
        <v>127</v>
      </c>
      <c r="D5612" t="s">
        <v>128</v>
      </c>
      <c r="E5612">
        <v>1981</v>
      </c>
      <c r="F5612" s="1">
        <v>4123</v>
      </c>
      <c r="G5612">
        <v>1980</v>
      </c>
      <c r="H5612">
        <f>AVERAGEIFS(Table1[value],Table1[IndicatorCode],Table1[[#This Row],[IndicatorCode]])</f>
        <v>24902.88753799392</v>
      </c>
      <c r="I5612" cm="1">
        <f t="array" ref="I5612">_xlfn.STDEV.P(IF(Table1[IndicatorCode]=Table1[[#This Row],[IndicatorCode]],Table1[value]))</f>
        <v>26324.778297809873</v>
      </c>
      <c r="J5612">
        <f>(Table1[[#This Row],[value]] - Table1[[#This Row],[mean]]) / Table1[[#This Row],[std_dev]]</f>
        <v>-0.78936609846863293</v>
      </c>
      <c r="K5612">
        <f>AVERAGEIF(Table1[CountryCode],Table1[[#This Row],[CountryCode]],Table1[z-score])</f>
        <v>-0.61446545916413864</v>
      </c>
      <c r="L5612" t="e">
        <f>VLOOKUP(Table1[[#This Row],[CountryCode]],[1]!Table1[#All],1,FALSE)</f>
        <v>#REF!</v>
      </c>
    </row>
    <row r="5613" spans="1:12" hidden="1" x14ac:dyDescent="0.3">
      <c r="A5613" t="s">
        <v>51</v>
      </c>
      <c r="B5613" t="s">
        <v>52</v>
      </c>
      <c r="C5613" t="s">
        <v>127</v>
      </c>
      <c r="D5613" t="s">
        <v>128</v>
      </c>
      <c r="E5613">
        <v>1982</v>
      </c>
      <c r="F5613" s="1">
        <v>4170</v>
      </c>
      <c r="G5613">
        <v>1980</v>
      </c>
      <c r="H5613">
        <f>AVERAGEIFS(Table1[value],Table1[IndicatorCode],Table1[[#This Row],[IndicatorCode]])</f>
        <v>24902.88753799392</v>
      </c>
      <c r="I5613" cm="1">
        <f t="array" ref="I5613">_xlfn.STDEV.P(IF(Table1[IndicatorCode]=Table1[[#This Row],[IndicatorCode]],Table1[value]))</f>
        <v>26324.778297809873</v>
      </c>
      <c r="J5613">
        <f>(Table1[[#This Row],[value]] - Table1[[#This Row],[mean]]) / Table1[[#This Row],[std_dev]]</f>
        <v>-0.78758070831384064</v>
      </c>
      <c r="K5613">
        <f>AVERAGEIF(Table1[CountryCode],Table1[[#This Row],[CountryCode]],Table1[z-score])</f>
        <v>-0.61446545916413864</v>
      </c>
      <c r="L5613" t="e">
        <f>VLOOKUP(Table1[[#This Row],[CountryCode]],[1]!Table1[#All],1,FALSE)</f>
        <v>#REF!</v>
      </c>
    </row>
    <row r="5614" spans="1:12" hidden="1" x14ac:dyDescent="0.3">
      <c r="A5614" t="s">
        <v>51</v>
      </c>
      <c r="B5614" t="s">
        <v>52</v>
      </c>
      <c r="C5614" t="s">
        <v>127</v>
      </c>
      <c r="D5614" t="s">
        <v>128</v>
      </c>
      <c r="E5614">
        <v>1983</v>
      </c>
      <c r="F5614" s="1">
        <v>4311</v>
      </c>
      <c r="G5614">
        <v>1980</v>
      </c>
      <c r="H5614">
        <f>AVERAGEIFS(Table1[value],Table1[IndicatorCode],Table1[[#This Row],[IndicatorCode]])</f>
        <v>24902.88753799392</v>
      </c>
      <c r="I5614" cm="1">
        <f t="array" ref="I5614">_xlfn.STDEV.P(IF(Table1[IndicatorCode]=Table1[[#This Row],[IndicatorCode]],Table1[value]))</f>
        <v>26324.778297809873</v>
      </c>
      <c r="J5614">
        <f>(Table1[[#This Row],[value]] - Table1[[#This Row],[mean]]) / Table1[[#This Row],[std_dev]]</f>
        <v>-0.78222453784946366</v>
      </c>
      <c r="K5614">
        <f>AVERAGEIF(Table1[CountryCode],Table1[[#This Row],[CountryCode]],Table1[z-score])</f>
        <v>-0.61446545916413864</v>
      </c>
      <c r="L5614" t="e">
        <f>VLOOKUP(Table1[[#This Row],[CountryCode]],[1]!Table1[#All],1,FALSE)</f>
        <v>#REF!</v>
      </c>
    </row>
    <row r="5615" spans="1:12" hidden="1" x14ac:dyDescent="0.3">
      <c r="A5615" t="s">
        <v>51</v>
      </c>
      <c r="B5615" t="s">
        <v>52</v>
      </c>
      <c r="C5615" t="s">
        <v>127</v>
      </c>
      <c r="D5615" t="s">
        <v>128</v>
      </c>
      <c r="E5615">
        <v>1984</v>
      </c>
      <c r="F5615" s="1">
        <v>4507</v>
      </c>
      <c r="G5615">
        <v>1980</v>
      </c>
      <c r="H5615">
        <f>AVERAGEIFS(Table1[value],Table1[IndicatorCode],Table1[[#This Row],[IndicatorCode]])</f>
        <v>24902.88753799392</v>
      </c>
      <c r="I5615" cm="1">
        <f t="array" ref="I5615">_xlfn.STDEV.P(IF(Table1[IndicatorCode]=Table1[[#This Row],[IndicatorCode]],Table1[value]))</f>
        <v>26324.778297809873</v>
      </c>
      <c r="J5615">
        <f>(Table1[[#This Row],[value]] - Table1[[#This Row],[mean]]) / Table1[[#This Row],[std_dev]]</f>
        <v>-0.77477908103373405</v>
      </c>
      <c r="K5615">
        <f>AVERAGEIF(Table1[CountryCode],Table1[[#This Row],[CountryCode]],Table1[z-score])</f>
        <v>-0.61446545916413864</v>
      </c>
      <c r="L5615" t="e">
        <f>VLOOKUP(Table1[[#This Row],[CountryCode]],[1]!Table1[#All],1,FALSE)</f>
        <v>#REF!</v>
      </c>
    </row>
    <row r="5616" spans="1:12" hidden="1" x14ac:dyDescent="0.3">
      <c r="A5616" t="s">
        <v>51</v>
      </c>
      <c r="B5616" t="s">
        <v>52</v>
      </c>
      <c r="C5616" t="s">
        <v>127</v>
      </c>
      <c r="D5616" t="s">
        <v>128</v>
      </c>
      <c r="E5616">
        <v>1985</v>
      </c>
      <c r="F5616" s="1">
        <v>4688</v>
      </c>
      <c r="G5616">
        <v>1980</v>
      </c>
      <c r="H5616">
        <f>AVERAGEIFS(Table1[value],Table1[IndicatorCode],Table1[[#This Row],[IndicatorCode]])</f>
        <v>24902.88753799392</v>
      </c>
      <c r="I5616" cm="1">
        <f t="array" ref="I5616">_xlfn.STDEV.P(IF(Table1[IndicatorCode]=Table1[[#This Row],[IndicatorCode]],Table1[value]))</f>
        <v>26324.778297809873</v>
      </c>
      <c r="J5616">
        <f>(Table1[[#This Row],[value]] - Table1[[#This Row],[mean]]) / Table1[[#This Row],[std_dev]]</f>
        <v>-0.76790342958655522</v>
      </c>
      <c r="K5616">
        <f>AVERAGEIF(Table1[CountryCode],Table1[[#This Row],[CountryCode]],Table1[z-score])</f>
        <v>-0.61446545916413864</v>
      </c>
      <c r="L5616" t="e">
        <f>VLOOKUP(Table1[[#This Row],[CountryCode]],[1]!Table1[#All],1,FALSE)</f>
        <v>#REF!</v>
      </c>
    </row>
    <row r="5617" spans="1:12" hidden="1" x14ac:dyDescent="0.3">
      <c r="A5617" t="s">
        <v>51</v>
      </c>
      <c r="B5617" t="s">
        <v>52</v>
      </c>
      <c r="C5617" t="s">
        <v>127</v>
      </c>
      <c r="D5617" t="s">
        <v>128</v>
      </c>
      <c r="E5617">
        <v>1986</v>
      </c>
      <c r="F5617" s="1">
        <v>4267</v>
      </c>
      <c r="G5617">
        <v>1980</v>
      </c>
      <c r="H5617">
        <f>AVERAGEIFS(Table1[value],Table1[IndicatorCode],Table1[[#This Row],[IndicatorCode]])</f>
        <v>24902.88753799392</v>
      </c>
      <c r="I5617" cm="1">
        <f t="array" ref="I5617">_xlfn.STDEV.P(IF(Table1[IndicatorCode]=Table1[[#This Row],[IndicatorCode]],Table1[value]))</f>
        <v>26324.778297809873</v>
      </c>
      <c r="J5617">
        <f>(Table1[[#This Row],[value]] - Table1[[#This Row],[mean]]) / Table1[[#This Row],[std_dev]]</f>
        <v>-0.78389596693054586</v>
      </c>
      <c r="K5617">
        <f>AVERAGEIF(Table1[CountryCode],Table1[[#This Row],[CountryCode]],Table1[z-score])</f>
        <v>-0.61446545916413864</v>
      </c>
      <c r="L5617" t="e">
        <f>VLOOKUP(Table1[[#This Row],[CountryCode]],[1]!Table1[#All],1,FALSE)</f>
        <v>#REF!</v>
      </c>
    </row>
    <row r="5618" spans="1:12" hidden="1" x14ac:dyDescent="0.3">
      <c r="A5618" t="s">
        <v>51</v>
      </c>
      <c r="B5618" t="s">
        <v>52</v>
      </c>
      <c r="C5618" t="s">
        <v>127</v>
      </c>
      <c r="D5618" t="s">
        <v>128</v>
      </c>
      <c r="E5618">
        <v>1987</v>
      </c>
      <c r="F5618" s="1">
        <v>4286</v>
      </c>
      <c r="G5618">
        <v>1990</v>
      </c>
      <c r="H5618">
        <f>AVERAGEIFS(Table1[value],Table1[IndicatorCode],Table1[[#This Row],[IndicatorCode]])</f>
        <v>24902.88753799392</v>
      </c>
      <c r="I5618" cm="1">
        <f t="array" ref="I5618">_xlfn.STDEV.P(IF(Table1[IndicatorCode]=Table1[[#This Row],[IndicatorCode]],Table1[value]))</f>
        <v>26324.778297809873</v>
      </c>
      <c r="J5618">
        <f>(Table1[[#This Row],[value]] - Table1[[#This Row],[mean]]) / Table1[[#This Row],[std_dev]]</f>
        <v>-0.78317421346371496</v>
      </c>
      <c r="K5618">
        <f>AVERAGEIF(Table1[CountryCode],Table1[[#This Row],[CountryCode]],Table1[z-score])</f>
        <v>-0.61446545916413864</v>
      </c>
      <c r="L5618" t="e">
        <f>VLOOKUP(Table1[[#This Row],[CountryCode]],[1]!Table1[#All],1,FALSE)</f>
        <v>#REF!</v>
      </c>
    </row>
    <row r="5619" spans="1:12" hidden="1" x14ac:dyDescent="0.3">
      <c r="A5619" t="s">
        <v>51</v>
      </c>
      <c r="B5619" t="s">
        <v>52</v>
      </c>
      <c r="C5619" t="s">
        <v>127</v>
      </c>
      <c r="D5619" t="s">
        <v>128</v>
      </c>
      <c r="E5619">
        <v>1988</v>
      </c>
      <c r="F5619" s="1">
        <v>4479</v>
      </c>
      <c r="G5619">
        <v>1990</v>
      </c>
      <c r="H5619">
        <f>AVERAGEIFS(Table1[value],Table1[IndicatorCode],Table1[[#This Row],[IndicatorCode]])</f>
        <v>24902.88753799392</v>
      </c>
      <c r="I5619" cm="1">
        <f t="array" ref="I5619">_xlfn.STDEV.P(IF(Table1[IndicatorCode]=Table1[[#This Row],[IndicatorCode]],Table1[value]))</f>
        <v>26324.778297809873</v>
      </c>
      <c r="J5619">
        <f>(Table1[[#This Row],[value]] - Table1[[#This Row],[mean]]) / Table1[[#This Row],[std_dev]]</f>
        <v>-0.77584271772169544</v>
      </c>
      <c r="K5619">
        <f>AVERAGEIF(Table1[CountryCode],Table1[[#This Row],[CountryCode]],Table1[z-score])</f>
        <v>-0.61446545916413864</v>
      </c>
      <c r="L5619" t="e">
        <f>VLOOKUP(Table1[[#This Row],[CountryCode]],[1]!Table1[#All],1,FALSE)</f>
        <v>#REF!</v>
      </c>
    </row>
    <row r="5620" spans="1:12" hidden="1" x14ac:dyDescent="0.3">
      <c r="A5620" t="s">
        <v>51</v>
      </c>
      <c r="B5620" t="s">
        <v>52</v>
      </c>
      <c r="C5620" t="s">
        <v>127</v>
      </c>
      <c r="D5620" t="s">
        <v>128</v>
      </c>
      <c r="E5620">
        <v>1989</v>
      </c>
      <c r="F5620" s="1">
        <v>4146</v>
      </c>
      <c r="G5620">
        <v>1990</v>
      </c>
      <c r="H5620">
        <f>AVERAGEIFS(Table1[value],Table1[IndicatorCode],Table1[[#This Row],[IndicatorCode]])</f>
        <v>24902.88753799392</v>
      </c>
      <c r="I5620" cm="1">
        <f t="array" ref="I5620">_xlfn.STDEV.P(IF(Table1[IndicatorCode]=Table1[[#This Row],[IndicatorCode]],Table1[value]))</f>
        <v>26324.778297809873</v>
      </c>
      <c r="J5620">
        <f>(Table1[[#This Row],[value]] - Table1[[#This Row],[mean]]) / Table1[[#This Row],[std_dev]]</f>
        <v>-0.7884923969035218</v>
      </c>
      <c r="K5620">
        <f>AVERAGEIF(Table1[CountryCode],Table1[[#This Row],[CountryCode]],Table1[z-score])</f>
        <v>-0.61446545916413864</v>
      </c>
      <c r="L5620" t="e">
        <f>VLOOKUP(Table1[[#This Row],[CountryCode]],[1]!Table1[#All],1,FALSE)</f>
        <v>#REF!</v>
      </c>
    </row>
    <row r="5621" spans="1:12" hidden="1" x14ac:dyDescent="0.3">
      <c r="A5621" t="s">
        <v>51</v>
      </c>
      <c r="B5621" t="s">
        <v>52</v>
      </c>
      <c r="C5621" t="s">
        <v>127</v>
      </c>
      <c r="D5621" t="s">
        <v>128</v>
      </c>
      <c r="E5621">
        <v>1990</v>
      </c>
      <c r="F5621" s="1">
        <v>3534</v>
      </c>
      <c r="G5621">
        <v>1990</v>
      </c>
      <c r="H5621">
        <f>AVERAGEIFS(Table1[value],Table1[IndicatorCode],Table1[[#This Row],[IndicatorCode]])</f>
        <v>24902.88753799392</v>
      </c>
      <c r="I5621" cm="1">
        <f t="array" ref="I5621">_xlfn.STDEV.P(IF(Table1[IndicatorCode]=Table1[[#This Row],[IndicatorCode]],Table1[value]))</f>
        <v>26324.778297809873</v>
      </c>
      <c r="J5621">
        <f>(Table1[[#This Row],[value]] - Table1[[#This Row],[mean]]) / Table1[[#This Row],[std_dev]]</f>
        <v>-0.8117404559403919</v>
      </c>
      <c r="K5621">
        <f>AVERAGEIF(Table1[CountryCode],Table1[[#This Row],[CountryCode]],Table1[z-score])</f>
        <v>-0.61446545916413864</v>
      </c>
      <c r="L5621" t="e">
        <f>VLOOKUP(Table1[[#This Row],[CountryCode]],[1]!Table1[#All],1,FALSE)</f>
        <v>#REF!</v>
      </c>
    </row>
    <row r="5622" spans="1:12" hidden="1" x14ac:dyDescent="0.3">
      <c r="A5622" t="s">
        <v>51</v>
      </c>
      <c r="B5622" t="s">
        <v>52</v>
      </c>
      <c r="C5622" t="s">
        <v>127</v>
      </c>
      <c r="D5622" t="s">
        <v>128</v>
      </c>
      <c r="E5622">
        <v>1991</v>
      </c>
      <c r="F5622" s="1">
        <v>2769</v>
      </c>
      <c r="G5622">
        <v>1990</v>
      </c>
      <c r="H5622">
        <f>AVERAGEIFS(Table1[value],Table1[IndicatorCode],Table1[[#This Row],[IndicatorCode]])</f>
        <v>24902.88753799392</v>
      </c>
      <c r="I5622" cm="1">
        <f t="array" ref="I5622">_xlfn.STDEV.P(IF(Table1[IndicatorCode]=Table1[[#This Row],[IndicatorCode]],Table1[value]))</f>
        <v>26324.778297809873</v>
      </c>
      <c r="J5622">
        <f>(Table1[[#This Row],[value]] - Table1[[#This Row],[mean]]) / Table1[[#This Row],[std_dev]]</f>
        <v>-0.84080052973647945</v>
      </c>
      <c r="K5622">
        <f>AVERAGEIF(Table1[CountryCode],Table1[[#This Row],[CountryCode]],Table1[z-score])</f>
        <v>-0.61446545916413864</v>
      </c>
      <c r="L5622" t="e">
        <f>VLOOKUP(Table1[[#This Row],[CountryCode]],[1]!Table1[#All],1,FALSE)</f>
        <v>#REF!</v>
      </c>
    </row>
    <row r="5623" spans="1:12" hidden="1" x14ac:dyDescent="0.3">
      <c r="A5623" t="s">
        <v>51</v>
      </c>
      <c r="B5623" t="s">
        <v>52</v>
      </c>
      <c r="C5623" t="s">
        <v>127</v>
      </c>
      <c r="D5623" t="s">
        <v>128</v>
      </c>
      <c r="E5623">
        <v>1992</v>
      </c>
      <c r="F5623" s="1">
        <v>1514</v>
      </c>
      <c r="G5623">
        <v>1990</v>
      </c>
      <c r="H5623">
        <f>AVERAGEIFS(Table1[value],Table1[IndicatorCode],Table1[[#This Row],[IndicatorCode]])</f>
        <v>24902.88753799392</v>
      </c>
      <c r="I5623" cm="1">
        <f t="array" ref="I5623">_xlfn.STDEV.P(IF(Table1[IndicatorCode]=Table1[[#This Row],[IndicatorCode]],Table1[value]))</f>
        <v>26324.778297809873</v>
      </c>
      <c r="J5623">
        <f>(Table1[[#This Row],[value]] - Table1[[#This Row],[mean]]) / Table1[[#This Row],[std_dev]]</f>
        <v>-0.88847424557189114</v>
      </c>
      <c r="K5623">
        <f>AVERAGEIF(Table1[CountryCode],Table1[[#This Row],[CountryCode]],Table1[z-score])</f>
        <v>-0.61446545916413864</v>
      </c>
      <c r="L5623" t="e">
        <f>VLOOKUP(Table1[[#This Row],[CountryCode]],[1]!Table1[#All],1,FALSE)</f>
        <v>#REF!</v>
      </c>
    </row>
    <row r="5624" spans="1:12" hidden="1" x14ac:dyDescent="0.3">
      <c r="A5624" t="s">
        <v>51</v>
      </c>
      <c r="B5624" t="s">
        <v>52</v>
      </c>
      <c r="C5624" t="s">
        <v>127</v>
      </c>
      <c r="D5624" t="s">
        <v>128</v>
      </c>
      <c r="E5624">
        <v>1993</v>
      </c>
      <c r="F5624" s="1">
        <v>1062</v>
      </c>
      <c r="G5624">
        <v>1990</v>
      </c>
      <c r="H5624">
        <f>AVERAGEIFS(Table1[value],Table1[IndicatorCode],Table1[[#This Row],[IndicatorCode]])</f>
        <v>24902.88753799392</v>
      </c>
      <c r="I5624" cm="1">
        <f t="array" ref="I5624">_xlfn.STDEV.P(IF(Table1[IndicatorCode]=Table1[[#This Row],[IndicatorCode]],Table1[value]))</f>
        <v>26324.778297809873</v>
      </c>
      <c r="J5624">
        <f>(Table1[[#This Row],[value]] - Table1[[#This Row],[mean]]) / Table1[[#This Row],[std_dev]]</f>
        <v>-0.90564438067755337</v>
      </c>
      <c r="K5624">
        <f>AVERAGEIF(Table1[CountryCode],Table1[[#This Row],[CountryCode]],Table1[z-score])</f>
        <v>-0.61446545916413864</v>
      </c>
      <c r="L5624" t="e">
        <f>VLOOKUP(Table1[[#This Row],[CountryCode]],[1]!Table1[#All],1,FALSE)</f>
        <v>#REF!</v>
      </c>
    </row>
    <row r="5625" spans="1:12" hidden="1" x14ac:dyDescent="0.3">
      <c r="A5625" t="s">
        <v>51</v>
      </c>
      <c r="B5625" t="s">
        <v>52</v>
      </c>
      <c r="C5625" t="s">
        <v>127</v>
      </c>
      <c r="D5625" t="s">
        <v>128</v>
      </c>
      <c r="E5625">
        <v>1994</v>
      </c>
      <c r="F5625" s="1">
        <v>966</v>
      </c>
      <c r="G5625">
        <v>1990</v>
      </c>
      <c r="H5625">
        <f>AVERAGEIFS(Table1[value],Table1[IndicatorCode],Table1[[#This Row],[IndicatorCode]])</f>
        <v>24902.88753799392</v>
      </c>
      <c r="I5625" cm="1">
        <f t="array" ref="I5625">_xlfn.STDEV.P(IF(Table1[IndicatorCode]=Table1[[#This Row],[IndicatorCode]],Table1[value]))</f>
        <v>26324.778297809873</v>
      </c>
      <c r="J5625">
        <f>(Table1[[#This Row],[value]] - Table1[[#This Row],[mean]]) / Table1[[#This Row],[std_dev]]</f>
        <v>-0.90929113503627812</v>
      </c>
      <c r="K5625">
        <f>AVERAGEIF(Table1[CountryCode],Table1[[#This Row],[CountryCode]],Table1[z-score])</f>
        <v>-0.61446545916413864</v>
      </c>
      <c r="L5625" t="e">
        <f>VLOOKUP(Table1[[#This Row],[CountryCode]],[1]!Table1[#All],1,FALSE)</f>
        <v>#REF!</v>
      </c>
    </row>
    <row r="5626" spans="1:12" hidden="1" x14ac:dyDescent="0.3">
      <c r="A5626" t="s">
        <v>51</v>
      </c>
      <c r="B5626" t="s">
        <v>52</v>
      </c>
      <c r="C5626" t="s">
        <v>127</v>
      </c>
      <c r="D5626" t="s">
        <v>128</v>
      </c>
      <c r="E5626">
        <v>1995</v>
      </c>
      <c r="F5626" s="1">
        <v>1029</v>
      </c>
      <c r="G5626">
        <v>1990</v>
      </c>
      <c r="H5626">
        <f>AVERAGEIFS(Table1[value],Table1[IndicatorCode],Table1[[#This Row],[IndicatorCode]])</f>
        <v>24902.88753799392</v>
      </c>
      <c r="I5626" cm="1">
        <f t="array" ref="I5626">_xlfn.STDEV.P(IF(Table1[IndicatorCode]=Table1[[#This Row],[IndicatorCode]],Table1[value]))</f>
        <v>26324.778297809873</v>
      </c>
      <c r="J5626">
        <f>(Table1[[#This Row],[value]] - Table1[[#This Row],[mean]]) / Table1[[#This Row],[std_dev]]</f>
        <v>-0.90689795248836502</v>
      </c>
      <c r="K5626">
        <f>AVERAGEIF(Table1[CountryCode],Table1[[#This Row],[CountryCode]],Table1[z-score])</f>
        <v>-0.61446545916413864</v>
      </c>
      <c r="L5626" t="e">
        <f>VLOOKUP(Table1[[#This Row],[CountryCode]],[1]!Table1[#All],1,FALSE)</f>
        <v>#REF!</v>
      </c>
    </row>
    <row r="5627" spans="1:12" hidden="1" x14ac:dyDescent="0.3">
      <c r="A5627" t="s">
        <v>51</v>
      </c>
      <c r="B5627" t="s">
        <v>52</v>
      </c>
      <c r="C5627" t="s">
        <v>127</v>
      </c>
      <c r="D5627" t="s">
        <v>128</v>
      </c>
      <c r="E5627">
        <v>1996</v>
      </c>
      <c r="F5627" s="1">
        <v>1187</v>
      </c>
      <c r="G5627">
        <v>1990</v>
      </c>
      <c r="H5627">
        <f>AVERAGEIFS(Table1[value],Table1[IndicatorCode],Table1[[#This Row],[IndicatorCode]])</f>
        <v>24902.88753799392</v>
      </c>
      <c r="I5627" cm="1">
        <f t="array" ref="I5627">_xlfn.STDEV.P(IF(Table1[IndicatorCode]=Table1[[#This Row],[IndicatorCode]],Table1[value]))</f>
        <v>26324.778297809873</v>
      </c>
      <c r="J5627">
        <f>(Table1[[#This Row],[value]] - Table1[[#This Row],[mean]]) / Table1[[#This Row],[std_dev]]</f>
        <v>-0.90089600260629721</v>
      </c>
      <c r="K5627">
        <f>AVERAGEIF(Table1[CountryCode],Table1[[#This Row],[CountryCode]],Table1[z-score])</f>
        <v>-0.61446545916413864</v>
      </c>
      <c r="L5627" t="e">
        <f>VLOOKUP(Table1[[#This Row],[CountryCode]],[1]!Table1[#All],1,FALSE)</f>
        <v>#REF!</v>
      </c>
    </row>
    <row r="5628" spans="1:12" hidden="1" x14ac:dyDescent="0.3">
      <c r="A5628" t="s">
        <v>51</v>
      </c>
      <c r="B5628" t="s">
        <v>52</v>
      </c>
      <c r="C5628" t="s">
        <v>127</v>
      </c>
      <c r="D5628" t="s">
        <v>128</v>
      </c>
      <c r="E5628">
        <v>1997</v>
      </c>
      <c r="F5628" s="1">
        <v>1355</v>
      </c>
      <c r="G5628">
        <v>2000</v>
      </c>
      <c r="H5628">
        <f>AVERAGEIFS(Table1[value],Table1[IndicatorCode],Table1[[#This Row],[IndicatorCode]])</f>
        <v>24902.88753799392</v>
      </c>
      <c r="I5628" cm="1">
        <f t="array" ref="I5628">_xlfn.STDEV.P(IF(Table1[IndicatorCode]=Table1[[#This Row],[IndicatorCode]],Table1[value]))</f>
        <v>26324.778297809873</v>
      </c>
      <c r="J5628">
        <f>(Table1[[#This Row],[value]] - Table1[[#This Row],[mean]]) / Table1[[#This Row],[std_dev]]</f>
        <v>-0.89451418247852899</v>
      </c>
      <c r="K5628">
        <f>AVERAGEIF(Table1[CountryCode],Table1[[#This Row],[CountryCode]],Table1[z-score])</f>
        <v>-0.61446545916413864</v>
      </c>
      <c r="L5628" t="e">
        <f>VLOOKUP(Table1[[#This Row],[CountryCode]],[1]!Table1[#All],1,FALSE)</f>
        <v>#REF!</v>
      </c>
    </row>
    <row r="5629" spans="1:12" hidden="1" x14ac:dyDescent="0.3">
      <c r="A5629" t="s">
        <v>51</v>
      </c>
      <c r="B5629" t="s">
        <v>52</v>
      </c>
      <c r="C5629" t="s">
        <v>127</v>
      </c>
      <c r="D5629" t="s">
        <v>128</v>
      </c>
      <c r="E5629">
        <v>1998</v>
      </c>
      <c r="F5629" s="1">
        <v>1432</v>
      </c>
      <c r="G5629">
        <v>2000</v>
      </c>
      <c r="H5629">
        <f>AVERAGEIFS(Table1[value],Table1[IndicatorCode],Table1[[#This Row],[IndicatorCode]])</f>
        <v>24902.88753799392</v>
      </c>
      <c r="I5629" cm="1">
        <f t="array" ref="I5629">_xlfn.STDEV.P(IF(Table1[IndicatorCode]=Table1[[#This Row],[IndicatorCode]],Table1[value]))</f>
        <v>26324.778297809873</v>
      </c>
      <c r="J5629">
        <f>(Table1[[#This Row],[value]] - Table1[[#This Row],[mean]]) / Table1[[#This Row],[std_dev]]</f>
        <v>-0.89158918158663514</v>
      </c>
      <c r="K5629">
        <f>AVERAGEIF(Table1[CountryCode],Table1[[#This Row],[CountryCode]],Table1[z-score])</f>
        <v>-0.61446545916413864</v>
      </c>
      <c r="L5629" t="e">
        <f>VLOOKUP(Table1[[#This Row],[CountryCode]],[1]!Table1[#All],1,FALSE)</f>
        <v>#REF!</v>
      </c>
    </row>
    <row r="5630" spans="1:12" hidden="1" x14ac:dyDescent="0.3">
      <c r="A5630" t="s">
        <v>51</v>
      </c>
      <c r="B5630" t="s">
        <v>52</v>
      </c>
      <c r="C5630" t="s">
        <v>127</v>
      </c>
      <c r="D5630" t="s">
        <v>128</v>
      </c>
      <c r="E5630">
        <v>1999</v>
      </c>
      <c r="F5630" s="1">
        <v>1503</v>
      </c>
      <c r="G5630">
        <v>2000</v>
      </c>
      <c r="H5630">
        <f>AVERAGEIFS(Table1[value],Table1[IndicatorCode],Table1[[#This Row],[IndicatorCode]])</f>
        <v>24902.88753799392</v>
      </c>
      <c r="I5630" cm="1">
        <f t="array" ref="I5630">_xlfn.STDEV.P(IF(Table1[IndicatorCode]=Table1[[#This Row],[IndicatorCode]],Table1[value]))</f>
        <v>26324.778297809873</v>
      </c>
      <c r="J5630">
        <f>(Table1[[#This Row],[value]] - Table1[[#This Row],[mean]]) / Table1[[#This Row],[std_dev]]</f>
        <v>-0.88889210284216169</v>
      </c>
      <c r="K5630">
        <f>AVERAGEIF(Table1[CountryCode],Table1[[#This Row],[CountryCode]],Table1[z-score])</f>
        <v>-0.61446545916413864</v>
      </c>
      <c r="L5630" t="e">
        <f>VLOOKUP(Table1[[#This Row],[CountryCode]],[1]!Table1[#All],1,FALSE)</f>
        <v>#REF!</v>
      </c>
    </row>
    <row r="5631" spans="1:12" hidden="1" x14ac:dyDescent="0.3">
      <c r="A5631" t="s">
        <v>51</v>
      </c>
      <c r="B5631" t="s">
        <v>52</v>
      </c>
      <c r="C5631" t="s">
        <v>127</v>
      </c>
      <c r="D5631" t="s">
        <v>128</v>
      </c>
      <c r="E5631">
        <v>2000</v>
      </c>
      <c r="F5631" s="1">
        <v>1561</v>
      </c>
      <c r="G5631">
        <v>2000</v>
      </c>
      <c r="H5631">
        <f>AVERAGEIFS(Table1[value],Table1[IndicatorCode],Table1[[#This Row],[IndicatorCode]])</f>
        <v>24902.88753799392</v>
      </c>
      <c r="I5631" cm="1">
        <f t="array" ref="I5631">_xlfn.STDEV.P(IF(Table1[IndicatorCode]=Table1[[#This Row],[IndicatorCode]],Table1[value]))</f>
        <v>26324.778297809873</v>
      </c>
      <c r="J5631">
        <f>(Table1[[#This Row],[value]] - Table1[[#This Row],[mean]]) / Table1[[#This Row],[std_dev]]</f>
        <v>-0.88668885541709885</v>
      </c>
      <c r="K5631">
        <f>AVERAGEIF(Table1[CountryCode],Table1[[#This Row],[CountryCode]],Table1[z-score])</f>
        <v>-0.61446545916413864</v>
      </c>
      <c r="L5631" t="e">
        <f>VLOOKUP(Table1[[#This Row],[CountryCode]],[1]!Table1[#All],1,FALSE)</f>
        <v>#REF!</v>
      </c>
    </row>
    <row r="5632" spans="1:12" hidden="1" x14ac:dyDescent="0.3">
      <c r="A5632" t="s">
        <v>51</v>
      </c>
      <c r="B5632" t="s">
        <v>52</v>
      </c>
      <c r="C5632" t="s">
        <v>127</v>
      </c>
      <c r="D5632" t="s">
        <v>128</v>
      </c>
      <c r="E5632">
        <v>2001</v>
      </c>
      <c r="F5632" s="1">
        <v>1662</v>
      </c>
      <c r="G5632">
        <v>2000</v>
      </c>
      <c r="H5632">
        <f>AVERAGEIFS(Table1[value],Table1[IndicatorCode],Table1[[#This Row],[IndicatorCode]])</f>
        <v>24902.88753799392</v>
      </c>
      <c r="I5632" cm="1">
        <f t="array" ref="I5632">_xlfn.STDEV.P(IF(Table1[IndicatorCode]=Table1[[#This Row],[IndicatorCode]],Table1[value]))</f>
        <v>26324.778297809873</v>
      </c>
      <c r="J5632">
        <f>(Table1[[#This Row],[value]] - Table1[[#This Row],[mean]]) / Table1[[#This Row],[std_dev]]</f>
        <v>-0.88285216593552385</v>
      </c>
      <c r="K5632">
        <f>AVERAGEIF(Table1[CountryCode],Table1[[#This Row],[CountryCode]],Table1[z-score])</f>
        <v>-0.61446545916413864</v>
      </c>
      <c r="L5632" t="e">
        <f>VLOOKUP(Table1[[#This Row],[CountryCode]],[1]!Table1[#All],1,FALSE)</f>
        <v>#REF!</v>
      </c>
    </row>
    <row r="5633" spans="1:12" hidden="1" x14ac:dyDescent="0.3">
      <c r="A5633" t="s">
        <v>51</v>
      </c>
      <c r="B5633" t="s">
        <v>52</v>
      </c>
      <c r="C5633" t="s">
        <v>127</v>
      </c>
      <c r="D5633" t="s">
        <v>128</v>
      </c>
      <c r="E5633">
        <v>2002</v>
      </c>
      <c r="F5633" s="1">
        <v>1769</v>
      </c>
      <c r="G5633">
        <v>2000</v>
      </c>
      <c r="H5633">
        <f>AVERAGEIFS(Table1[value],Table1[IndicatorCode],Table1[[#This Row],[IndicatorCode]])</f>
        <v>24902.88753799392</v>
      </c>
      <c r="I5633" cm="1">
        <f t="array" ref="I5633">_xlfn.STDEV.P(IF(Table1[IndicatorCode]=Table1[[#This Row],[IndicatorCode]],Table1[value]))</f>
        <v>26324.778297809873</v>
      </c>
      <c r="J5633">
        <f>(Table1[[#This Row],[value]] - Table1[[#This Row],[mean]]) / Table1[[#This Row],[std_dev]]</f>
        <v>-0.87878755430652866</v>
      </c>
      <c r="K5633">
        <f>AVERAGEIF(Table1[CountryCode],Table1[[#This Row],[CountryCode]],Table1[z-score])</f>
        <v>-0.61446545916413864</v>
      </c>
      <c r="L5633" t="e">
        <f>VLOOKUP(Table1[[#This Row],[CountryCode]],[1]!Table1[#All],1,FALSE)</f>
        <v>#REF!</v>
      </c>
    </row>
    <row r="5634" spans="1:12" hidden="1" x14ac:dyDescent="0.3">
      <c r="A5634" t="s">
        <v>51</v>
      </c>
      <c r="B5634" t="s">
        <v>52</v>
      </c>
      <c r="C5634" t="s">
        <v>127</v>
      </c>
      <c r="D5634" t="s">
        <v>128</v>
      </c>
      <c r="E5634">
        <v>2003</v>
      </c>
      <c r="F5634" s="1">
        <v>1977</v>
      </c>
      <c r="G5634">
        <v>2000</v>
      </c>
      <c r="H5634">
        <f>AVERAGEIFS(Table1[value],Table1[IndicatorCode],Table1[[#This Row],[IndicatorCode]])</f>
        <v>24902.88753799392</v>
      </c>
      <c r="I5634" cm="1">
        <f t="array" ref="I5634">_xlfn.STDEV.P(IF(Table1[IndicatorCode]=Table1[[#This Row],[IndicatorCode]],Table1[value]))</f>
        <v>26324.778297809873</v>
      </c>
      <c r="J5634">
        <f>(Table1[[#This Row],[value]] - Table1[[#This Row],[mean]]) / Table1[[#This Row],[std_dev]]</f>
        <v>-0.87088625319595836</v>
      </c>
      <c r="K5634">
        <f>AVERAGEIF(Table1[CountryCode],Table1[[#This Row],[CountryCode]],Table1[z-score])</f>
        <v>-0.61446545916413864</v>
      </c>
      <c r="L5634" t="e">
        <f>VLOOKUP(Table1[[#This Row],[CountryCode]],[1]!Table1[#All],1,FALSE)</f>
        <v>#REF!</v>
      </c>
    </row>
    <row r="5635" spans="1:12" hidden="1" x14ac:dyDescent="0.3">
      <c r="A5635" t="s">
        <v>51</v>
      </c>
      <c r="B5635" t="s">
        <v>52</v>
      </c>
      <c r="C5635" t="s">
        <v>127</v>
      </c>
      <c r="D5635" t="s">
        <v>128</v>
      </c>
      <c r="E5635">
        <v>2004</v>
      </c>
      <c r="F5635" s="1">
        <v>2105</v>
      </c>
      <c r="G5635">
        <v>2000</v>
      </c>
      <c r="H5635">
        <f>AVERAGEIFS(Table1[value],Table1[IndicatorCode],Table1[[#This Row],[IndicatorCode]])</f>
        <v>24902.88753799392</v>
      </c>
      <c r="I5635" cm="1">
        <f t="array" ref="I5635">_xlfn.STDEV.P(IF(Table1[IndicatorCode]=Table1[[#This Row],[IndicatorCode]],Table1[value]))</f>
        <v>26324.778297809873</v>
      </c>
      <c r="J5635">
        <f>(Table1[[#This Row],[value]] - Table1[[#This Row],[mean]]) / Table1[[#This Row],[std_dev]]</f>
        <v>-0.86602391405099211</v>
      </c>
      <c r="K5635">
        <f>AVERAGEIF(Table1[CountryCode],Table1[[#This Row],[CountryCode]],Table1[z-score])</f>
        <v>-0.61446545916413864</v>
      </c>
      <c r="L5635" t="e">
        <f>VLOOKUP(Table1[[#This Row],[CountryCode]],[1]!Table1[#All],1,FALSE)</f>
        <v>#REF!</v>
      </c>
    </row>
    <row r="5636" spans="1:12" hidden="1" x14ac:dyDescent="0.3">
      <c r="A5636" t="s">
        <v>51</v>
      </c>
      <c r="B5636" t="s">
        <v>52</v>
      </c>
      <c r="C5636" t="s">
        <v>127</v>
      </c>
      <c r="D5636" t="s">
        <v>128</v>
      </c>
      <c r="E5636">
        <v>2005</v>
      </c>
      <c r="F5636" s="1">
        <v>2322</v>
      </c>
      <c r="G5636">
        <v>2000</v>
      </c>
      <c r="H5636">
        <f>AVERAGEIFS(Table1[value],Table1[IndicatorCode],Table1[[#This Row],[IndicatorCode]])</f>
        <v>24902.88753799392</v>
      </c>
      <c r="I5636" cm="1">
        <f t="array" ref="I5636">_xlfn.STDEV.P(IF(Table1[IndicatorCode]=Table1[[#This Row],[IndicatorCode]],Table1[value]))</f>
        <v>26324.778297809873</v>
      </c>
      <c r="J5636">
        <f>(Table1[[#This Row],[value]] - Table1[[#This Row],[mean]]) / Table1[[#This Row],[std_dev]]</f>
        <v>-0.85778072971929142</v>
      </c>
      <c r="K5636">
        <f>AVERAGEIF(Table1[CountryCode],Table1[[#This Row],[CountryCode]],Table1[z-score])</f>
        <v>-0.61446545916413864</v>
      </c>
      <c r="L5636" t="e">
        <f>VLOOKUP(Table1[[#This Row],[CountryCode]],[1]!Table1[#All],1,FALSE)</f>
        <v>#REF!</v>
      </c>
    </row>
    <row r="5637" spans="1:12" hidden="1" x14ac:dyDescent="0.3">
      <c r="A5637" t="s">
        <v>51</v>
      </c>
      <c r="B5637" t="s">
        <v>52</v>
      </c>
      <c r="C5637" t="s">
        <v>127</v>
      </c>
      <c r="D5637" t="s">
        <v>128</v>
      </c>
      <c r="E5637">
        <v>2006</v>
      </c>
      <c r="F5637" s="1">
        <v>2555</v>
      </c>
      <c r="G5637">
        <v>2000</v>
      </c>
      <c r="H5637">
        <f>AVERAGEIFS(Table1[value],Table1[IndicatorCode],Table1[[#This Row],[IndicatorCode]])</f>
        <v>24902.88753799392</v>
      </c>
      <c r="I5637" cm="1">
        <f t="array" ref="I5637">_xlfn.STDEV.P(IF(Table1[IndicatorCode]=Table1[[#This Row],[IndicatorCode]],Table1[value]))</f>
        <v>26324.778297809873</v>
      </c>
      <c r="J5637">
        <f>(Table1[[#This Row],[value]] - Table1[[#This Row],[mean]]) / Table1[[#This Row],[std_dev]]</f>
        <v>-0.84892975299447004</v>
      </c>
      <c r="K5637">
        <f>AVERAGEIF(Table1[CountryCode],Table1[[#This Row],[CountryCode]],Table1[z-score])</f>
        <v>-0.61446545916413864</v>
      </c>
      <c r="L5637" t="e">
        <f>VLOOKUP(Table1[[#This Row],[CountryCode]],[1]!Table1[#All],1,FALSE)</f>
        <v>#REF!</v>
      </c>
    </row>
    <row r="5638" spans="1:12" hidden="1" x14ac:dyDescent="0.3">
      <c r="A5638" t="s">
        <v>51</v>
      </c>
      <c r="B5638" t="s">
        <v>52</v>
      </c>
      <c r="C5638" t="s">
        <v>127</v>
      </c>
      <c r="D5638" t="s">
        <v>128</v>
      </c>
      <c r="E5638">
        <v>2007</v>
      </c>
      <c r="F5638" s="1">
        <v>2891</v>
      </c>
      <c r="G5638">
        <v>2010</v>
      </c>
      <c r="H5638">
        <f>AVERAGEIFS(Table1[value],Table1[IndicatorCode],Table1[[#This Row],[IndicatorCode]])</f>
        <v>24902.88753799392</v>
      </c>
      <c r="I5638" cm="1">
        <f t="array" ref="I5638">_xlfn.STDEV.P(IF(Table1[IndicatorCode]=Table1[[#This Row],[IndicatorCode]],Table1[value]))</f>
        <v>26324.778297809873</v>
      </c>
      <c r="J5638">
        <f>(Table1[[#This Row],[value]] - Table1[[#This Row],[mean]]) / Table1[[#This Row],[std_dev]]</f>
        <v>-0.83616611273893349</v>
      </c>
      <c r="K5638">
        <f>AVERAGEIF(Table1[CountryCode],Table1[[#This Row],[CountryCode]],Table1[z-score])</f>
        <v>-0.61446545916413864</v>
      </c>
      <c r="L5638" t="e">
        <f>VLOOKUP(Table1[[#This Row],[CountryCode]],[1]!Table1[#All],1,FALSE)</f>
        <v>#REF!</v>
      </c>
    </row>
    <row r="5639" spans="1:12" hidden="1" x14ac:dyDescent="0.3">
      <c r="A5639" t="s">
        <v>51</v>
      </c>
      <c r="B5639" t="s">
        <v>52</v>
      </c>
      <c r="C5639" t="s">
        <v>127</v>
      </c>
      <c r="D5639" t="s">
        <v>128</v>
      </c>
      <c r="E5639">
        <v>2008</v>
      </c>
      <c r="F5639" s="1">
        <v>2970</v>
      </c>
      <c r="G5639">
        <v>2010</v>
      </c>
      <c r="H5639">
        <f>AVERAGEIFS(Table1[value],Table1[IndicatorCode],Table1[[#This Row],[IndicatorCode]])</f>
        <v>24902.88753799392</v>
      </c>
      <c r="I5639" cm="1">
        <f t="array" ref="I5639">_xlfn.STDEV.P(IF(Table1[IndicatorCode]=Table1[[#This Row],[IndicatorCode]],Table1[value]))</f>
        <v>26324.778297809873</v>
      </c>
      <c r="J5639">
        <f>(Table1[[#This Row],[value]] - Table1[[#This Row],[mean]]) / Table1[[#This Row],[std_dev]]</f>
        <v>-0.83316513779789958</v>
      </c>
      <c r="K5639">
        <f>AVERAGEIF(Table1[CountryCode],Table1[[#This Row],[CountryCode]],Table1[z-score])</f>
        <v>-0.61446545916413864</v>
      </c>
      <c r="L5639" t="e">
        <f>VLOOKUP(Table1[[#This Row],[CountryCode]],[1]!Table1[#All],1,FALSE)</f>
        <v>#REF!</v>
      </c>
    </row>
    <row r="5640" spans="1:12" hidden="1" x14ac:dyDescent="0.3">
      <c r="A5640" t="s">
        <v>51</v>
      </c>
      <c r="B5640" t="s">
        <v>52</v>
      </c>
      <c r="C5640" t="s">
        <v>127</v>
      </c>
      <c r="D5640" t="s">
        <v>128</v>
      </c>
      <c r="E5640">
        <v>2009</v>
      </c>
      <c r="F5640" s="1">
        <v>2887</v>
      </c>
      <c r="G5640">
        <v>2010</v>
      </c>
      <c r="H5640">
        <f>AVERAGEIFS(Table1[value],Table1[IndicatorCode],Table1[[#This Row],[IndicatorCode]])</f>
        <v>24902.88753799392</v>
      </c>
      <c r="I5640" cm="1">
        <f t="array" ref="I5640">_xlfn.STDEV.P(IF(Table1[IndicatorCode]=Table1[[#This Row],[IndicatorCode]],Table1[value]))</f>
        <v>26324.778297809873</v>
      </c>
      <c r="J5640">
        <f>(Table1[[#This Row],[value]] - Table1[[#This Row],[mean]]) / Table1[[#This Row],[std_dev]]</f>
        <v>-0.83631806083721372</v>
      </c>
      <c r="K5640">
        <f>AVERAGEIF(Table1[CountryCode],Table1[[#This Row],[CountryCode]],Table1[z-score])</f>
        <v>-0.61446545916413864</v>
      </c>
      <c r="L5640" t="e">
        <f>VLOOKUP(Table1[[#This Row],[CountryCode]],[1]!Table1[#All],1,FALSE)</f>
        <v>#REF!</v>
      </c>
    </row>
    <row r="5641" spans="1:12" hidden="1" x14ac:dyDescent="0.3">
      <c r="A5641" t="s">
        <v>51</v>
      </c>
      <c r="B5641" t="s">
        <v>52</v>
      </c>
      <c r="C5641" t="s">
        <v>127</v>
      </c>
      <c r="D5641" t="s">
        <v>128</v>
      </c>
      <c r="E5641">
        <v>2010</v>
      </c>
      <c r="F5641" s="1">
        <v>3090</v>
      </c>
      <c r="G5641">
        <v>2010</v>
      </c>
      <c r="H5641">
        <f>AVERAGEIFS(Table1[value],Table1[IndicatorCode],Table1[[#This Row],[IndicatorCode]])</f>
        <v>24902.88753799392</v>
      </c>
      <c r="I5641" cm="1">
        <f t="array" ref="I5641">_xlfn.STDEV.P(IF(Table1[IndicatorCode]=Table1[[#This Row],[IndicatorCode]],Table1[value]))</f>
        <v>26324.778297809873</v>
      </c>
      <c r="J5641">
        <f>(Table1[[#This Row],[value]] - Table1[[#This Row],[mean]]) / Table1[[#This Row],[std_dev]]</f>
        <v>-0.82860669484949367</v>
      </c>
      <c r="K5641">
        <f>AVERAGEIF(Table1[CountryCode],Table1[[#This Row],[CountryCode]],Table1[z-score])</f>
        <v>-0.61446545916413864</v>
      </c>
      <c r="L5641" t="e">
        <f>VLOOKUP(Table1[[#This Row],[CountryCode]],[1]!Table1[#All],1,FALSE)</f>
        <v>#REF!</v>
      </c>
    </row>
    <row r="5642" spans="1:12" hidden="1" x14ac:dyDescent="0.3">
      <c r="A5642" t="s">
        <v>51</v>
      </c>
      <c r="B5642" t="s">
        <v>52</v>
      </c>
      <c r="C5642" t="s">
        <v>127</v>
      </c>
      <c r="D5642" t="s">
        <v>128</v>
      </c>
      <c r="E5642">
        <v>2011</v>
      </c>
      <c r="F5642" s="1">
        <v>3362</v>
      </c>
      <c r="G5642">
        <v>2010</v>
      </c>
      <c r="H5642">
        <f>AVERAGEIFS(Table1[value],Table1[IndicatorCode],Table1[[#This Row],[IndicatorCode]])</f>
        <v>24902.88753799392</v>
      </c>
      <c r="I5642" cm="1">
        <f t="array" ref="I5642">_xlfn.STDEV.P(IF(Table1[IndicatorCode]=Table1[[#This Row],[IndicatorCode]],Table1[value]))</f>
        <v>26324.778297809873</v>
      </c>
      <c r="J5642">
        <f>(Table1[[#This Row],[value]] - Table1[[#This Row],[mean]]) / Table1[[#This Row],[std_dev]]</f>
        <v>-0.81827422416644036</v>
      </c>
      <c r="K5642">
        <f>AVERAGEIF(Table1[CountryCode],Table1[[#This Row],[CountryCode]],Table1[z-score])</f>
        <v>-0.61446545916413864</v>
      </c>
      <c r="L5642" t="e">
        <f>VLOOKUP(Table1[[#This Row],[CountryCode]],[1]!Table1[#All],1,FALSE)</f>
        <v>#REF!</v>
      </c>
    </row>
    <row r="5643" spans="1:12" hidden="1" x14ac:dyDescent="0.3">
      <c r="A5643" t="s">
        <v>51</v>
      </c>
      <c r="B5643" t="s">
        <v>52</v>
      </c>
      <c r="C5643" t="s">
        <v>127</v>
      </c>
      <c r="D5643" t="s">
        <v>128</v>
      </c>
      <c r="E5643">
        <v>2012</v>
      </c>
      <c r="F5643" s="1">
        <v>3610</v>
      </c>
      <c r="G5643">
        <v>2010</v>
      </c>
      <c r="H5643">
        <f>AVERAGEIFS(Table1[value],Table1[IndicatorCode],Table1[[#This Row],[IndicatorCode]])</f>
        <v>24902.88753799392</v>
      </c>
      <c r="I5643" cm="1">
        <f t="array" ref="I5643">_xlfn.STDEV.P(IF(Table1[IndicatorCode]=Table1[[#This Row],[IndicatorCode]],Table1[value]))</f>
        <v>26324.778297809873</v>
      </c>
      <c r="J5643">
        <f>(Table1[[#This Row],[value]] - Table1[[#This Row],[mean]]) / Table1[[#This Row],[std_dev]]</f>
        <v>-0.8088534420730682</v>
      </c>
      <c r="K5643">
        <f>AVERAGEIF(Table1[CountryCode],Table1[[#This Row],[CountryCode]],Table1[z-score])</f>
        <v>-0.61446545916413864</v>
      </c>
      <c r="L5643" t="e">
        <f>VLOOKUP(Table1[[#This Row],[CountryCode]],[1]!Table1[#All],1,FALSE)</f>
        <v>#REF!</v>
      </c>
    </row>
    <row r="5644" spans="1:12" hidden="1" x14ac:dyDescent="0.3">
      <c r="A5644" t="s">
        <v>51</v>
      </c>
      <c r="B5644" t="s">
        <v>52</v>
      </c>
      <c r="C5644" t="s">
        <v>127</v>
      </c>
      <c r="D5644" t="s">
        <v>128</v>
      </c>
      <c r="E5644">
        <v>2013</v>
      </c>
      <c r="F5644" s="1">
        <v>3807</v>
      </c>
      <c r="G5644">
        <v>2010</v>
      </c>
      <c r="H5644">
        <f>AVERAGEIFS(Table1[value],Table1[IndicatorCode],Table1[[#This Row],[IndicatorCode]])</f>
        <v>24902.88753799392</v>
      </c>
      <c r="I5644" cm="1">
        <f t="array" ref="I5644">_xlfn.STDEV.P(IF(Table1[IndicatorCode]=Table1[[#This Row],[IndicatorCode]],Table1[value]))</f>
        <v>26324.778297809873</v>
      </c>
      <c r="J5644">
        <f>(Table1[[#This Row],[value]] - Table1[[#This Row],[mean]]) / Table1[[#This Row],[std_dev]]</f>
        <v>-0.80136999823276844</v>
      </c>
      <c r="K5644">
        <f>AVERAGEIF(Table1[CountryCode],Table1[[#This Row],[CountryCode]],Table1[z-score])</f>
        <v>-0.61446545916413864</v>
      </c>
      <c r="L5644" t="e">
        <f>VLOOKUP(Table1[[#This Row],[CountryCode]],[1]!Table1[#All],1,FALSE)</f>
        <v>#REF!</v>
      </c>
    </row>
    <row r="5645" spans="1:12" hidden="1" x14ac:dyDescent="0.3">
      <c r="A5645" t="s">
        <v>51</v>
      </c>
      <c r="B5645" t="s">
        <v>52</v>
      </c>
      <c r="C5645" t="s">
        <v>127</v>
      </c>
      <c r="D5645" t="s">
        <v>128</v>
      </c>
      <c r="E5645">
        <v>2014</v>
      </c>
      <c r="F5645" s="1">
        <v>3960</v>
      </c>
      <c r="G5645">
        <v>2010</v>
      </c>
      <c r="H5645">
        <f>AVERAGEIFS(Table1[value],Table1[IndicatorCode],Table1[[#This Row],[IndicatorCode]])</f>
        <v>24902.88753799392</v>
      </c>
      <c r="I5645" cm="1">
        <f t="array" ref="I5645">_xlfn.STDEV.P(IF(Table1[IndicatorCode]=Table1[[#This Row],[IndicatorCode]],Table1[value]))</f>
        <v>26324.778297809873</v>
      </c>
      <c r="J5645">
        <f>(Table1[[#This Row],[value]] - Table1[[#This Row],[mean]]) / Table1[[#This Row],[std_dev]]</f>
        <v>-0.795557983473551</v>
      </c>
      <c r="K5645">
        <f>AVERAGEIF(Table1[CountryCode],Table1[[#This Row],[CountryCode]],Table1[z-score])</f>
        <v>-0.61446545916413864</v>
      </c>
      <c r="L5645" t="e">
        <f>VLOOKUP(Table1[[#This Row],[CountryCode]],[1]!Table1[#All],1,FALSE)</f>
        <v>#REF!</v>
      </c>
    </row>
    <row r="5646" spans="1:12" hidden="1" x14ac:dyDescent="0.3">
      <c r="A5646" t="s">
        <v>51</v>
      </c>
      <c r="B5646" t="s">
        <v>52</v>
      </c>
      <c r="C5646" t="s">
        <v>127</v>
      </c>
      <c r="D5646" t="s">
        <v>128</v>
      </c>
      <c r="E5646">
        <v>2015</v>
      </c>
      <c r="F5646" s="1">
        <v>4087</v>
      </c>
      <c r="G5646">
        <v>2010</v>
      </c>
      <c r="H5646">
        <f>AVERAGEIFS(Table1[value],Table1[IndicatorCode],Table1[[#This Row],[IndicatorCode]])</f>
        <v>24902.88753799392</v>
      </c>
      <c r="I5646" cm="1">
        <f t="array" ref="I5646">_xlfn.STDEV.P(IF(Table1[IndicatorCode]=Table1[[#This Row],[IndicatorCode]],Table1[value]))</f>
        <v>26324.778297809873</v>
      </c>
      <c r="J5646">
        <f>(Table1[[#This Row],[value]] - Table1[[#This Row],[mean]]) / Table1[[#This Row],[std_dev]]</f>
        <v>-0.79073363135315478</v>
      </c>
      <c r="K5646">
        <f>AVERAGEIF(Table1[CountryCode],Table1[[#This Row],[CountryCode]],Table1[z-score])</f>
        <v>-0.61446545916413864</v>
      </c>
      <c r="L5646" t="e">
        <f>VLOOKUP(Table1[[#This Row],[CountryCode]],[1]!Table1[#All],1,FALSE)</f>
        <v>#REF!</v>
      </c>
    </row>
    <row r="5647" spans="1:12" hidden="1" x14ac:dyDescent="0.3">
      <c r="A5647" t="s">
        <v>51</v>
      </c>
      <c r="B5647" t="s">
        <v>52</v>
      </c>
      <c r="C5647" t="s">
        <v>127</v>
      </c>
      <c r="D5647" t="s">
        <v>128</v>
      </c>
      <c r="E5647">
        <v>2016</v>
      </c>
      <c r="F5647" s="1">
        <v>4225</v>
      </c>
      <c r="G5647">
        <v>2010</v>
      </c>
      <c r="H5647">
        <f>AVERAGEIFS(Table1[value],Table1[IndicatorCode],Table1[[#This Row],[IndicatorCode]])</f>
        <v>24902.88753799392</v>
      </c>
      <c r="I5647" cm="1">
        <f t="array" ref="I5647">_xlfn.STDEV.P(IF(Table1[IndicatorCode]=Table1[[#This Row],[IndicatorCode]],Table1[value]))</f>
        <v>26324.778297809873</v>
      </c>
      <c r="J5647">
        <f>(Table1[[#This Row],[value]] - Table1[[#This Row],[mean]]) / Table1[[#This Row],[std_dev]]</f>
        <v>-0.78549142196248789</v>
      </c>
      <c r="K5647">
        <f>AVERAGEIF(Table1[CountryCode],Table1[[#This Row],[CountryCode]],Table1[z-score])</f>
        <v>-0.61446545916413864</v>
      </c>
      <c r="L5647" t="e">
        <f>VLOOKUP(Table1[[#This Row],[CountryCode]],[1]!Table1[#All],1,FALSE)</f>
        <v>#REF!</v>
      </c>
    </row>
    <row r="5648" spans="1:12" hidden="1" x14ac:dyDescent="0.3">
      <c r="A5648" t="s">
        <v>51</v>
      </c>
      <c r="B5648" t="s">
        <v>52</v>
      </c>
      <c r="C5648" t="s">
        <v>127</v>
      </c>
      <c r="D5648" t="s">
        <v>128</v>
      </c>
      <c r="E5648">
        <v>2017</v>
      </c>
      <c r="F5648" s="1">
        <v>4443</v>
      </c>
      <c r="G5648">
        <v>2020</v>
      </c>
      <c r="H5648">
        <f>AVERAGEIFS(Table1[value],Table1[IndicatorCode],Table1[[#This Row],[IndicatorCode]])</f>
        <v>24902.88753799392</v>
      </c>
      <c r="I5648" cm="1">
        <f t="array" ref="I5648">_xlfn.STDEV.P(IF(Table1[IndicatorCode]=Table1[[#This Row],[IndicatorCode]],Table1[value]))</f>
        <v>26324.778297809873</v>
      </c>
      <c r="J5648">
        <f>(Table1[[#This Row],[value]] - Table1[[#This Row],[mean]]) / Table1[[#This Row],[std_dev]]</f>
        <v>-0.77721025060621718</v>
      </c>
      <c r="K5648">
        <f>AVERAGEIF(Table1[CountryCode],Table1[[#This Row],[CountryCode]],Table1[z-score])</f>
        <v>-0.61446545916413864</v>
      </c>
      <c r="L5648" t="e">
        <f>VLOOKUP(Table1[[#This Row],[CountryCode]],[1]!Table1[#All],1,FALSE)</f>
        <v>#REF!</v>
      </c>
    </row>
    <row r="5649" spans="1:12" hidden="1" x14ac:dyDescent="0.3">
      <c r="A5649" t="s">
        <v>51</v>
      </c>
      <c r="B5649" t="s">
        <v>52</v>
      </c>
      <c r="C5649" t="s">
        <v>127</v>
      </c>
      <c r="D5649" t="s">
        <v>128</v>
      </c>
      <c r="E5649">
        <v>2018</v>
      </c>
      <c r="F5649" s="1">
        <v>4714</v>
      </c>
      <c r="G5649">
        <v>2020</v>
      </c>
      <c r="H5649">
        <f>AVERAGEIFS(Table1[value],Table1[IndicatorCode],Table1[[#This Row],[IndicatorCode]])</f>
        <v>24902.88753799392</v>
      </c>
      <c r="I5649" cm="1">
        <f t="array" ref="I5649">_xlfn.STDEV.P(IF(Table1[IndicatorCode]=Table1[[#This Row],[IndicatorCode]],Table1[value]))</f>
        <v>26324.778297809873</v>
      </c>
      <c r="J5649">
        <f>(Table1[[#This Row],[value]] - Table1[[#This Row],[mean]]) / Table1[[#This Row],[std_dev]]</f>
        <v>-0.76691576694773389</v>
      </c>
      <c r="K5649">
        <f>AVERAGEIF(Table1[CountryCode],Table1[[#This Row],[CountryCode]],Table1[z-score])</f>
        <v>-0.61446545916413864</v>
      </c>
      <c r="L5649" t="e">
        <f>VLOOKUP(Table1[[#This Row],[CountryCode]],[1]!Table1[#All],1,FALSE)</f>
        <v>#REF!</v>
      </c>
    </row>
    <row r="5650" spans="1:12" hidden="1" x14ac:dyDescent="0.3">
      <c r="A5650" t="s">
        <v>51</v>
      </c>
      <c r="B5650" t="s">
        <v>52</v>
      </c>
      <c r="C5650" t="s">
        <v>127</v>
      </c>
      <c r="D5650" t="s">
        <v>128</v>
      </c>
      <c r="E5650">
        <v>2019</v>
      </c>
      <c r="F5650" s="1">
        <v>4976</v>
      </c>
      <c r="G5650">
        <v>2020</v>
      </c>
      <c r="H5650">
        <f>AVERAGEIFS(Table1[value],Table1[IndicatorCode],Table1[[#This Row],[IndicatorCode]])</f>
        <v>24902.88753799392</v>
      </c>
      <c r="I5650" cm="1">
        <f t="array" ref="I5650">_xlfn.STDEV.P(IF(Table1[IndicatorCode]=Table1[[#This Row],[IndicatorCode]],Table1[value]))</f>
        <v>26324.778297809873</v>
      </c>
      <c r="J5650">
        <f>(Table1[[#This Row],[value]] - Table1[[#This Row],[mean]]) / Table1[[#This Row],[std_dev]]</f>
        <v>-0.75696316651038109</v>
      </c>
      <c r="K5650">
        <f>AVERAGEIF(Table1[CountryCode],Table1[[#This Row],[CountryCode]],Table1[z-score])</f>
        <v>-0.61446545916413864</v>
      </c>
      <c r="L5650" t="e">
        <f>VLOOKUP(Table1[[#This Row],[CountryCode]],[1]!Table1[#All],1,FALSE)</f>
        <v>#REF!</v>
      </c>
    </row>
    <row r="5651" spans="1:12" x14ac:dyDescent="0.3">
      <c r="A5651" t="s">
        <v>59</v>
      </c>
      <c r="B5651" t="s">
        <v>60</v>
      </c>
      <c r="C5651" t="s">
        <v>127</v>
      </c>
      <c r="D5651" t="s">
        <v>128</v>
      </c>
      <c r="E5651">
        <v>2020</v>
      </c>
      <c r="F5651" s="1">
        <v>13545</v>
      </c>
      <c r="G5651">
        <v>2020</v>
      </c>
      <c r="H5651">
        <f>AVERAGEIFS(Table1[value],Table1[IndicatorCode],Table1[[#This Row],[IndicatorCode]])</f>
        <v>24902.88753799392</v>
      </c>
      <c r="I5651" cm="1">
        <f t="array" ref="I5651">_xlfn.STDEV.P(IF(Table1[IndicatorCode]=Table1[[#This Row],[IndicatorCode]],Table1[value]))</f>
        <v>26324.778297809873</v>
      </c>
      <c r="J5651">
        <f>(Table1[[#This Row],[value]] - Table1[[#This Row],[mean]]) / Table1[[#This Row],[std_dev]]</f>
        <v>-0.43145235296962997</v>
      </c>
      <c r="K5651">
        <f>AVERAGEIF(Table1[CountryCode],Table1[[#This Row],[CountryCode]],Table1[z-score])</f>
        <v>-0.22872454493605915</v>
      </c>
    </row>
    <row r="5652" spans="1:12" hidden="1" x14ac:dyDescent="0.3">
      <c r="A5652" t="s">
        <v>51</v>
      </c>
      <c r="B5652" t="s">
        <v>52</v>
      </c>
      <c r="C5652" t="s">
        <v>127</v>
      </c>
      <c r="D5652" t="s">
        <v>128</v>
      </c>
      <c r="E5652">
        <v>2021</v>
      </c>
      <c r="F5652" s="1">
        <v>5175</v>
      </c>
      <c r="G5652">
        <v>2020</v>
      </c>
      <c r="H5652">
        <f>AVERAGEIFS(Table1[value],Table1[IndicatorCode],Table1[[#This Row],[IndicatorCode]])</f>
        <v>24902.88753799392</v>
      </c>
      <c r="I5652" cm="1">
        <f t="array" ref="I5652">_xlfn.STDEV.P(IF(Table1[IndicatorCode]=Table1[[#This Row],[IndicatorCode]],Table1[value]))</f>
        <v>26324.778297809873</v>
      </c>
      <c r="J5652">
        <f>(Table1[[#This Row],[value]] - Table1[[#This Row],[mean]]) / Table1[[#This Row],[std_dev]]</f>
        <v>-0.74940374862094128</v>
      </c>
      <c r="K5652">
        <f>AVERAGEIF(Table1[CountryCode],Table1[[#This Row],[CountryCode]],Table1[z-score])</f>
        <v>-0.61446545916413864</v>
      </c>
      <c r="L5652" t="e">
        <f>VLOOKUP(Table1[[#This Row],[CountryCode]],[1]!Table1[#All],1,FALSE)</f>
        <v>#REF!</v>
      </c>
    </row>
    <row r="5653" spans="1:12" hidden="1" x14ac:dyDescent="0.3">
      <c r="A5653" t="s">
        <v>51</v>
      </c>
      <c r="B5653" t="s">
        <v>52</v>
      </c>
      <c r="C5653" t="s">
        <v>127</v>
      </c>
      <c r="D5653" t="s">
        <v>128</v>
      </c>
      <c r="E5653">
        <v>2022</v>
      </c>
      <c r="F5653" s="1">
        <v>5736</v>
      </c>
      <c r="G5653">
        <v>1960</v>
      </c>
      <c r="H5653">
        <f>AVERAGEIFS(Table1[value],Table1[IndicatorCode],Table1[[#This Row],[IndicatorCode]])</f>
        <v>24902.88753799392</v>
      </c>
      <c r="I5653" cm="1">
        <f t="array" ref="I5653">_xlfn.STDEV.P(IF(Table1[IndicatorCode]=Table1[[#This Row],[IndicatorCode]],Table1[value]))</f>
        <v>26324.778297809873</v>
      </c>
      <c r="J5653">
        <f>(Table1[[#This Row],[value]] - Table1[[#This Row],[mean]]) / Table1[[#This Row],[std_dev]]</f>
        <v>-0.72809302783714369</v>
      </c>
      <c r="K5653">
        <f>AVERAGEIF(Table1[CountryCode],Table1[[#This Row],[CountryCode]],Table1[z-score])</f>
        <v>-0.61446545916413864</v>
      </c>
      <c r="L5653" t="e">
        <f>VLOOKUP(Table1[[#This Row],[CountryCode]],[1]!Table1[#All],1,FALSE)</f>
        <v>#REF!</v>
      </c>
    </row>
    <row r="5654" spans="1:12" hidden="1" x14ac:dyDescent="0.3">
      <c r="A5654" t="s">
        <v>51</v>
      </c>
      <c r="B5654" t="s">
        <v>52</v>
      </c>
      <c r="C5654" t="s">
        <v>127</v>
      </c>
      <c r="D5654" t="s">
        <v>128</v>
      </c>
      <c r="E5654">
        <v>2023</v>
      </c>
      <c r="F5654" s="1">
        <v>6181</v>
      </c>
      <c r="G5654">
        <v>1960</v>
      </c>
      <c r="H5654">
        <f>AVERAGEIFS(Table1[value],Table1[IndicatorCode],Table1[[#This Row],[IndicatorCode]])</f>
        <v>24902.88753799392</v>
      </c>
      <c r="I5654" cm="1">
        <f t="array" ref="I5654">_xlfn.STDEV.P(IF(Table1[IndicatorCode]=Table1[[#This Row],[IndicatorCode]],Table1[value]))</f>
        <v>26324.778297809873</v>
      </c>
      <c r="J5654">
        <f>(Table1[[#This Row],[value]] - Table1[[#This Row],[mean]]) / Table1[[#This Row],[std_dev]]</f>
        <v>-0.71118880190347178</v>
      </c>
      <c r="K5654">
        <f>AVERAGEIF(Table1[CountryCode],Table1[[#This Row],[CountryCode]],Table1[z-score])</f>
        <v>-0.61446545916413864</v>
      </c>
      <c r="L5654" t="e">
        <f>VLOOKUP(Table1[[#This Row],[CountryCode]],[1]!Table1[#All],1,FALSE)</f>
        <v>#REF!</v>
      </c>
    </row>
    <row r="5655" spans="1:12" hidden="1" x14ac:dyDescent="0.3">
      <c r="A5655" t="s">
        <v>51</v>
      </c>
      <c r="B5655" t="s">
        <v>52</v>
      </c>
      <c r="C5655" t="s">
        <v>127</v>
      </c>
      <c r="D5655" t="s">
        <v>128</v>
      </c>
      <c r="E5655">
        <v>2024</v>
      </c>
      <c r="F5655" s="1">
        <v>6808</v>
      </c>
      <c r="G5655">
        <v>1960</v>
      </c>
      <c r="H5655">
        <f>AVERAGEIFS(Table1[value],Table1[IndicatorCode],Table1[[#This Row],[IndicatorCode]])</f>
        <v>24902.88753799392</v>
      </c>
      <c r="I5655" cm="1">
        <f t="array" ref="I5655">_xlfn.STDEV.P(IF(Table1[IndicatorCode]=Table1[[#This Row],[IndicatorCode]],Table1[value]))</f>
        <v>26324.778297809873</v>
      </c>
      <c r="J5655">
        <f>(Table1[[#This Row],[value]] - Table1[[#This Row],[mean]]) / Table1[[#This Row],[std_dev]]</f>
        <v>-0.687370937498051</v>
      </c>
      <c r="K5655">
        <f>AVERAGEIF(Table1[CountryCode],Table1[[#This Row],[CountryCode]],Table1[z-score])</f>
        <v>-0.61446545916413864</v>
      </c>
      <c r="L5655" t="e">
        <f>VLOOKUP(Table1[[#This Row],[CountryCode]],[1]!Table1[#All],1,FALSE)</f>
        <v>#REF!</v>
      </c>
    </row>
    <row r="5656" spans="1:12" hidden="1" x14ac:dyDescent="0.3">
      <c r="A5656" t="s">
        <v>55</v>
      </c>
      <c r="B5656" t="s">
        <v>56</v>
      </c>
      <c r="C5656" t="s">
        <v>127</v>
      </c>
      <c r="D5656" t="s">
        <v>128</v>
      </c>
      <c r="E5656">
        <v>1960</v>
      </c>
      <c r="F5656" s="1">
        <v>4986</v>
      </c>
      <c r="G5656">
        <v>1960</v>
      </c>
      <c r="H5656">
        <f>AVERAGEIFS(Table1[value],Table1[IndicatorCode],Table1[[#This Row],[IndicatorCode]])</f>
        <v>24902.88753799392</v>
      </c>
      <c r="I5656" cm="1">
        <f t="array" ref="I5656">_xlfn.STDEV.P(IF(Table1[IndicatorCode]=Table1[[#This Row],[IndicatorCode]],Table1[value]))</f>
        <v>26324.778297809873</v>
      </c>
      <c r="J5656">
        <f>(Table1[[#This Row],[value]] - Table1[[#This Row],[mean]]) / Table1[[#This Row],[std_dev]]</f>
        <v>-0.75658329626468057</v>
      </c>
      <c r="K5656">
        <f>AVERAGEIF(Table1[CountryCode],Table1[[#This Row],[CountryCode]],Table1[z-score])</f>
        <v>6.3697920427276927E-2</v>
      </c>
      <c r="L5656" t="e">
        <f>VLOOKUP(Table1[[#This Row],[CountryCode]],[1]!Table1[#All],1,FALSE)</f>
        <v>#REF!</v>
      </c>
    </row>
    <row r="5657" spans="1:12" hidden="1" x14ac:dyDescent="0.3">
      <c r="A5657" t="s">
        <v>55</v>
      </c>
      <c r="B5657" t="s">
        <v>56</v>
      </c>
      <c r="C5657" t="s">
        <v>127</v>
      </c>
      <c r="D5657" t="s">
        <v>128</v>
      </c>
      <c r="E5657">
        <v>1961</v>
      </c>
      <c r="F5657" s="1">
        <v>5599</v>
      </c>
      <c r="G5657">
        <v>1960</v>
      </c>
      <c r="H5657">
        <f>AVERAGEIFS(Table1[value],Table1[IndicatorCode],Table1[[#This Row],[IndicatorCode]])</f>
        <v>24902.88753799392</v>
      </c>
      <c r="I5657" cm="1">
        <f t="array" ref="I5657">_xlfn.STDEV.P(IF(Table1[IndicatorCode]=Table1[[#This Row],[IndicatorCode]],Table1[value]))</f>
        <v>26324.778297809873</v>
      </c>
      <c r="J5657">
        <f>(Table1[[#This Row],[value]] - Table1[[#This Row],[mean]]) / Table1[[#This Row],[std_dev]]</f>
        <v>-0.73329725020324044</v>
      </c>
      <c r="K5657">
        <f>AVERAGEIF(Table1[CountryCode],Table1[[#This Row],[CountryCode]],Table1[z-score])</f>
        <v>6.3697920427276927E-2</v>
      </c>
      <c r="L5657" t="e">
        <f>VLOOKUP(Table1[[#This Row],[CountryCode]],[1]!Table1[#All],1,FALSE)</f>
        <v>#REF!</v>
      </c>
    </row>
    <row r="5658" spans="1:12" hidden="1" x14ac:dyDescent="0.3">
      <c r="A5658" t="s">
        <v>55</v>
      </c>
      <c r="B5658" t="s">
        <v>56</v>
      </c>
      <c r="C5658" t="s">
        <v>127</v>
      </c>
      <c r="D5658" t="s">
        <v>128</v>
      </c>
      <c r="E5658">
        <v>1962</v>
      </c>
      <c r="F5658" s="1">
        <v>5587</v>
      </c>
      <c r="G5658">
        <v>1960</v>
      </c>
      <c r="H5658">
        <f>AVERAGEIFS(Table1[value],Table1[IndicatorCode],Table1[[#This Row],[IndicatorCode]])</f>
        <v>24902.88753799392</v>
      </c>
      <c r="I5658" cm="1">
        <f t="array" ref="I5658">_xlfn.STDEV.P(IF(Table1[IndicatorCode]=Table1[[#This Row],[IndicatorCode]],Table1[value]))</f>
        <v>26324.778297809873</v>
      </c>
      <c r="J5658">
        <f>(Table1[[#This Row],[value]] - Table1[[#This Row],[mean]]) / Table1[[#This Row],[std_dev]]</f>
        <v>-0.73375309449808102</v>
      </c>
      <c r="K5658">
        <f>AVERAGEIF(Table1[CountryCode],Table1[[#This Row],[CountryCode]],Table1[z-score])</f>
        <v>6.3697920427276927E-2</v>
      </c>
      <c r="L5658" t="e">
        <f>VLOOKUP(Table1[[#This Row],[CountryCode]],[1]!Table1[#All],1,FALSE)</f>
        <v>#REF!</v>
      </c>
    </row>
    <row r="5659" spans="1:12" hidden="1" x14ac:dyDescent="0.3">
      <c r="A5659" t="s">
        <v>55</v>
      </c>
      <c r="B5659" t="s">
        <v>56</v>
      </c>
      <c r="C5659" t="s">
        <v>127</v>
      </c>
      <c r="D5659" t="s">
        <v>128</v>
      </c>
      <c r="E5659">
        <v>1963</v>
      </c>
      <c r="F5659" s="1">
        <v>6225</v>
      </c>
      <c r="G5659">
        <v>1960</v>
      </c>
      <c r="H5659">
        <f>AVERAGEIFS(Table1[value],Table1[IndicatorCode],Table1[[#This Row],[IndicatorCode]])</f>
        <v>24902.88753799392</v>
      </c>
      <c r="I5659" cm="1">
        <f t="array" ref="I5659">_xlfn.STDEV.P(IF(Table1[IndicatorCode]=Table1[[#This Row],[IndicatorCode]],Table1[value]))</f>
        <v>26324.778297809873</v>
      </c>
      <c r="J5659">
        <f>(Table1[[#This Row],[value]] - Table1[[#This Row],[mean]]) / Table1[[#This Row],[std_dev]]</f>
        <v>-0.70951737282238969</v>
      </c>
      <c r="K5659">
        <f>AVERAGEIF(Table1[CountryCode],Table1[[#This Row],[CountryCode]],Table1[z-score])</f>
        <v>6.3697920427276927E-2</v>
      </c>
      <c r="L5659" t="e">
        <f>VLOOKUP(Table1[[#This Row],[CountryCode]],[1]!Table1[#All],1,FALSE)</f>
        <v>#REF!</v>
      </c>
    </row>
    <row r="5660" spans="1:12" hidden="1" x14ac:dyDescent="0.3">
      <c r="A5660" t="s">
        <v>55</v>
      </c>
      <c r="B5660" t="s">
        <v>56</v>
      </c>
      <c r="C5660" t="s">
        <v>127</v>
      </c>
      <c r="D5660" t="s">
        <v>128</v>
      </c>
      <c r="E5660">
        <v>1964</v>
      </c>
      <c r="F5660" s="1">
        <v>6786</v>
      </c>
      <c r="G5660">
        <v>1960</v>
      </c>
      <c r="H5660">
        <f>AVERAGEIFS(Table1[value],Table1[IndicatorCode],Table1[[#This Row],[IndicatorCode]])</f>
        <v>24902.88753799392</v>
      </c>
      <c r="I5660" cm="1">
        <f t="array" ref="I5660">_xlfn.STDEV.P(IF(Table1[IndicatorCode]=Table1[[#This Row],[IndicatorCode]],Table1[value]))</f>
        <v>26324.778297809873</v>
      </c>
      <c r="J5660">
        <f>(Table1[[#This Row],[value]] - Table1[[#This Row],[mean]]) / Table1[[#This Row],[std_dev]]</f>
        <v>-0.6882066520385921</v>
      </c>
      <c r="K5660">
        <f>AVERAGEIF(Table1[CountryCode],Table1[[#This Row],[CountryCode]],Table1[z-score])</f>
        <v>6.3697920427276927E-2</v>
      </c>
      <c r="L5660" t="e">
        <f>VLOOKUP(Table1[[#This Row],[CountryCode]],[1]!Table1[#All],1,FALSE)</f>
        <v>#REF!</v>
      </c>
    </row>
    <row r="5661" spans="1:12" hidden="1" x14ac:dyDescent="0.3">
      <c r="A5661" t="s">
        <v>55</v>
      </c>
      <c r="B5661" t="s">
        <v>56</v>
      </c>
      <c r="C5661" t="s">
        <v>127</v>
      </c>
      <c r="D5661" t="s">
        <v>128</v>
      </c>
      <c r="E5661">
        <v>1965</v>
      </c>
      <c r="F5661" s="1">
        <v>7482</v>
      </c>
      <c r="G5661">
        <v>1960</v>
      </c>
      <c r="H5661">
        <f>AVERAGEIFS(Table1[value],Table1[IndicatorCode],Table1[[#This Row],[IndicatorCode]])</f>
        <v>24902.88753799392</v>
      </c>
      <c r="I5661" cm="1">
        <f t="array" ref="I5661">_xlfn.STDEV.P(IF(Table1[IndicatorCode]=Table1[[#This Row],[IndicatorCode]],Table1[value]))</f>
        <v>26324.778297809873</v>
      </c>
      <c r="J5661">
        <f>(Table1[[#This Row],[value]] - Table1[[#This Row],[mean]]) / Table1[[#This Row],[std_dev]]</f>
        <v>-0.66176768293783794</v>
      </c>
      <c r="K5661">
        <f>AVERAGEIF(Table1[CountryCode],Table1[[#This Row],[CountryCode]],Table1[z-score])</f>
        <v>6.3697920427276927E-2</v>
      </c>
      <c r="L5661" t="e">
        <f>VLOOKUP(Table1[[#This Row],[CountryCode]],[1]!Table1[#All],1,FALSE)</f>
        <v>#REF!</v>
      </c>
    </row>
    <row r="5662" spans="1:12" hidden="1" x14ac:dyDescent="0.3">
      <c r="A5662" t="s">
        <v>55</v>
      </c>
      <c r="B5662" t="s">
        <v>56</v>
      </c>
      <c r="C5662" t="s">
        <v>127</v>
      </c>
      <c r="D5662" t="s">
        <v>128</v>
      </c>
      <c r="E5662">
        <v>1966</v>
      </c>
      <c r="F5662" s="1">
        <v>7909</v>
      </c>
      <c r="G5662">
        <v>1960</v>
      </c>
      <c r="H5662">
        <f>AVERAGEIFS(Table1[value],Table1[IndicatorCode],Table1[[#This Row],[IndicatorCode]])</f>
        <v>24902.88753799392</v>
      </c>
      <c r="I5662" cm="1">
        <f t="array" ref="I5662">_xlfn.STDEV.P(IF(Table1[IndicatorCode]=Table1[[#This Row],[IndicatorCode]],Table1[value]))</f>
        <v>26324.778297809873</v>
      </c>
      <c r="J5662">
        <f>(Table1[[#This Row],[value]] - Table1[[#This Row],[mean]]) / Table1[[#This Row],[std_dev]]</f>
        <v>-0.6455472234464269</v>
      </c>
      <c r="K5662">
        <f>AVERAGEIF(Table1[CountryCode],Table1[[#This Row],[CountryCode]],Table1[z-score])</f>
        <v>6.3697920427276927E-2</v>
      </c>
      <c r="L5662" t="e">
        <f>VLOOKUP(Table1[[#This Row],[CountryCode]],[1]!Table1[#All],1,FALSE)</f>
        <v>#REF!</v>
      </c>
    </row>
    <row r="5663" spans="1:12" hidden="1" x14ac:dyDescent="0.3">
      <c r="A5663" t="s">
        <v>55</v>
      </c>
      <c r="B5663" t="s">
        <v>56</v>
      </c>
      <c r="C5663" t="s">
        <v>127</v>
      </c>
      <c r="D5663" t="s">
        <v>128</v>
      </c>
      <c r="E5663">
        <v>1967</v>
      </c>
      <c r="F5663" s="1">
        <v>8290</v>
      </c>
      <c r="G5663">
        <v>1970</v>
      </c>
      <c r="H5663">
        <f>AVERAGEIFS(Table1[value],Table1[IndicatorCode],Table1[[#This Row],[IndicatorCode]])</f>
        <v>24902.88753799392</v>
      </c>
      <c r="I5663" cm="1">
        <f t="array" ref="I5663">_xlfn.STDEV.P(IF(Table1[IndicatorCode]=Table1[[#This Row],[IndicatorCode]],Table1[value]))</f>
        <v>26324.778297809873</v>
      </c>
      <c r="J5663">
        <f>(Table1[[#This Row],[value]] - Table1[[#This Row],[mean]]) / Table1[[#This Row],[std_dev]]</f>
        <v>-0.63107416708523822</v>
      </c>
      <c r="K5663">
        <f>AVERAGEIF(Table1[CountryCode],Table1[[#This Row],[CountryCode]],Table1[z-score])</f>
        <v>6.3697920427276927E-2</v>
      </c>
      <c r="L5663" t="e">
        <f>VLOOKUP(Table1[[#This Row],[CountryCode]],[1]!Table1[#All],1,FALSE)</f>
        <v>#REF!</v>
      </c>
    </row>
    <row r="5664" spans="1:12" hidden="1" x14ac:dyDescent="0.3">
      <c r="A5664" t="s">
        <v>55</v>
      </c>
      <c r="B5664" t="s">
        <v>56</v>
      </c>
      <c r="C5664" t="s">
        <v>127</v>
      </c>
      <c r="D5664" t="s">
        <v>128</v>
      </c>
      <c r="E5664">
        <v>1968</v>
      </c>
      <c r="F5664" s="1">
        <v>8829</v>
      </c>
      <c r="G5664">
        <v>1970</v>
      </c>
      <c r="H5664">
        <f>AVERAGEIFS(Table1[value],Table1[IndicatorCode],Table1[[#This Row],[IndicatorCode]])</f>
        <v>24902.88753799392</v>
      </c>
      <c r="I5664" cm="1">
        <f t="array" ref="I5664">_xlfn.STDEV.P(IF(Table1[IndicatorCode]=Table1[[#This Row],[IndicatorCode]],Table1[value]))</f>
        <v>26324.778297809873</v>
      </c>
      <c r="J5664">
        <f>(Table1[[#This Row],[value]] - Table1[[#This Row],[mean]]) / Table1[[#This Row],[std_dev]]</f>
        <v>-0.61059916084198174</v>
      </c>
      <c r="K5664">
        <f>AVERAGEIF(Table1[CountryCode],Table1[[#This Row],[CountryCode]],Table1[z-score])</f>
        <v>6.3697920427276927E-2</v>
      </c>
      <c r="L5664" t="e">
        <f>VLOOKUP(Table1[[#This Row],[CountryCode]],[1]!Table1[#All],1,FALSE)</f>
        <v>#REF!</v>
      </c>
    </row>
    <row r="5665" spans="1:12" hidden="1" x14ac:dyDescent="0.3">
      <c r="A5665" t="s">
        <v>55</v>
      </c>
      <c r="B5665" t="s">
        <v>56</v>
      </c>
      <c r="C5665" t="s">
        <v>127</v>
      </c>
      <c r="D5665" t="s">
        <v>128</v>
      </c>
      <c r="E5665">
        <v>1969</v>
      </c>
      <c r="F5665" s="1">
        <v>9814</v>
      </c>
      <c r="G5665">
        <v>1970</v>
      </c>
      <c r="H5665">
        <f>AVERAGEIFS(Table1[value],Table1[IndicatorCode],Table1[[#This Row],[IndicatorCode]])</f>
        <v>24902.88753799392</v>
      </c>
      <c r="I5665" cm="1">
        <f t="array" ref="I5665">_xlfn.STDEV.P(IF(Table1[IndicatorCode]=Table1[[#This Row],[IndicatorCode]],Table1[value]))</f>
        <v>26324.778297809873</v>
      </c>
      <c r="J5665">
        <f>(Table1[[#This Row],[value]] - Table1[[#This Row],[mean]]) / Table1[[#This Row],[std_dev]]</f>
        <v>-0.57318194164048331</v>
      </c>
      <c r="K5665">
        <f>AVERAGEIF(Table1[CountryCode],Table1[[#This Row],[CountryCode]],Table1[z-score])</f>
        <v>6.3697920427276927E-2</v>
      </c>
      <c r="L5665" t="e">
        <f>VLOOKUP(Table1[[#This Row],[CountryCode]],[1]!Table1[#All],1,FALSE)</f>
        <v>#REF!</v>
      </c>
    </row>
    <row r="5666" spans="1:12" hidden="1" x14ac:dyDescent="0.3">
      <c r="A5666" t="s">
        <v>55</v>
      </c>
      <c r="B5666" t="s">
        <v>56</v>
      </c>
      <c r="C5666" t="s">
        <v>127</v>
      </c>
      <c r="D5666" t="s">
        <v>128</v>
      </c>
      <c r="E5666">
        <v>1970</v>
      </c>
      <c r="F5666" s="1">
        <v>10667</v>
      </c>
      <c r="G5666">
        <v>1970</v>
      </c>
      <c r="H5666">
        <f>AVERAGEIFS(Table1[value],Table1[IndicatorCode],Table1[[#This Row],[IndicatorCode]])</f>
        <v>24902.88753799392</v>
      </c>
      <c r="I5666" cm="1">
        <f t="array" ref="I5666">_xlfn.STDEV.P(IF(Table1[IndicatorCode]=Table1[[#This Row],[IndicatorCode]],Table1[value]))</f>
        <v>26324.778297809873</v>
      </c>
      <c r="J5666">
        <f>(Table1[[#This Row],[value]] - Table1[[#This Row],[mean]]) / Table1[[#This Row],[std_dev]]</f>
        <v>-0.54077900968223136</v>
      </c>
      <c r="K5666">
        <f>AVERAGEIF(Table1[CountryCode],Table1[[#This Row],[CountryCode]],Table1[z-score])</f>
        <v>6.3697920427276927E-2</v>
      </c>
      <c r="L5666" t="e">
        <f>VLOOKUP(Table1[[#This Row],[CountryCode]],[1]!Table1[#All],1,FALSE)</f>
        <v>#REF!</v>
      </c>
    </row>
    <row r="5667" spans="1:12" hidden="1" x14ac:dyDescent="0.3">
      <c r="A5667" t="s">
        <v>55</v>
      </c>
      <c r="B5667" t="s">
        <v>56</v>
      </c>
      <c r="C5667" t="s">
        <v>127</v>
      </c>
      <c r="D5667" t="s">
        <v>128</v>
      </c>
      <c r="E5667">
        <v>1971</v>
      </c>
      <c r="F5667" s="1">
        <v>11453</v>
      </c>
      <c r="G5667">
        <v>1970</v>
      </c>
      <c r="H5667">
        <f>AVERAGEIFS(Table1[value],Table1[IndicatorCode],Table1[[#This Row],[IndicatorCode]])</f>
        <v>24902.88753799392</v>
      </c>
      <c r="I5667" cm="1">
        <f t="array" ref="I5667">_xlfn.STDEV.P(IF(Table1[IndicatorCode]=Table1[[#This Row],[IndicatorCode]],Table1[value]))</f>
        <v>26324.778297809873</v>
      </c>
      <c r="J5667">
        <f>(Table1[[#This Row],[value]] - Table1[[#This Row],[mean]]) / Table1[[#This Row],[std_dev]]</f>
        <v>-0.51092120837017274</v>
      </c>
      <c r="K5667">
        <f>AVERAGEIF(Table1[CountryCode],Table1[[#This Row],[CountryCode]],Table1[z-score])</f>
        <v>6.3697920427276927E-2</v>
      </c>
      <c r="L5667" t="e">
        <f>VLOOKUP(Table1[[#This Row],[CountryCode]],[1]!Table1[#All],1,FALSE)</f>
        <v>#REF!</v>
      </c>
    </row>
    <row r="5668" spans="1:12" hidden="1" x14ac:dyDescent="0.3">
      <c r="A5668" t="s">
        <v>55</v>
      </c>
      <c r="B5668" t="s">
        <v>56</v>
      </c>
      <c r="C5668" t="s">
        <v>127</v>
      </c>
      <c r="D5668" t="s">
        <v>128</v>
      </c>
      <c r="E5668">
        <v>1972</v>
      </c>
      <c r="F5668" s="1">
        <v>12535</v>
      </c>
      <c r="G5668">
        <v>1970</v>
      </c>
      <c r="H5668">
        <f>AVERAGEIFS(Table1[value],Table1[IndicatorCode],Table1[[#This Row],[IndicatorCode]])</f>
        <v>24902.88753799392</v>
      </c>
      <c r="I5668" cm="1">
        <f t="array" ref="I5668">_xlfn.STDEV.P(IF(Table1[IndicatorCode]=Table1[[#This Row],[IndicatorCode]],Table1[value]))</f>
        <v>26324.778297809873</v>
      </c>
      <c r="J5668">
        <f>(Table1[[#This Row],[value]] - Table1[[#This Row],[mean]]) / Table1[[#This Row],[std_dev]]</f>
        <v>-0.46981924778537959</v>
      </c>
      <c r="K5668">
        <f>AVERAGEIF(Table1[CountryCode],Table1[[#This Row],[CountryCode]],Table1[z-score])</f>
        <v>6.3697920427276927E-2</v>
      </c>
      <c r="L5668" t="e">
        <f>VLOOKUP(Table1[[#This Row],[CountryCode]],[1]!Table1[#All],1,FALSE)</f>
        <v>#REF!</v>
      </c>
    </row>
    <row r="5669" spans="1:12" hidden="1" x14ac:dyDescent="0.3">
      <c r="A5669" t="s">
        <v>55</v>
      </c>
      <c r="B5669" t="s">
        <v>56</v>
      </c>
      <c r="C5669" t="s">
        <v>127</v>
      </c>
      <c r="D5669" t="s">
        <v>128</v>
      </c>
      <c r="E5669">
        <v>1973</v>
      </c>
      <c r="F5669" s="1">
        <v>13488</v>
      </c>
      <c r="G5669">
        <v>1970</v>
      </c>
      <c r="H5669">
        <f>AVERAGEIFS(Table1[value],Table1[IndicatorCode],Table1[[#This Row],[IndicatorCode]])</f>
        <v>24902.88753799392</v>
      </c>
      <c r="I5669" cm="1">
        <f t="array" ref="I5669">_xlfn.STDEV.P(IF(Table1[IndicatorCode]=Table1[[#This Row],[IndicatorCode]],Table1[value]))</f>
        <v>26324.778297809873</v>
      </c>
      <c r="J5669">
        <f>(Table1[[#This Row],[value]] - Table1[[#This Row],[mean]]) / Table1[[#This Row],[std_dev]]</f>
        <v>-0.43361761337012278</v>
      </c>
      <c r="K5669">
        <f>AVERAGEIF(Table1[CountryCode],Table1[[#This Row],[CountryCode]],Table1[z-score])</f>
        <v>6.3697920427276927E-2</v>
      </c>
      <c r="L5669" t="e">
        <f>VLOOKUP(Table1[[#This Row],[CountryCode]],[1]!Table1[#All],1,FALSE)</f>
        <v>#REF!</v>
      </c>
    </row>
    <row r="5670" spans="1:12" hidden="1" x14ac:dyDescent="0.3">
      <c r="A5670" t="s">
        <v>55</v>
      </c>
      <c r="B5670" t="s">
        <v>56</v>
      </c>
      <c r="C5670" t="s">
        <v>127</v>
      </c>
      <c r="D5670" t="s">
        <v>128</v>
      </c>
      <c r="E5670">
        <v>1974</v>
      </c>
      <c r="F5670" s="1">
        <v>12573</v>
      </c>
      <c r="G5670">
        <v>1970</v>
      </c>
      <c r="H5670">
        <f>AVERAGEIFS(Table1[value],Table1[IndicatorCode],Table1[[#This Row],[IndicatorCode]])</f>
        <v>24902.88753799392</v>
      </c>
      <c r="I5670" cm="1">
        <f t="array" ref="I5670">_xlfn.STDEV.P(IF(Table1[IndicatorCode]=Table1[[#This Row],[IndicatorCode]],Table1[value]))</f>
        <v>26324.778297809873</v>
      </c>
      <c r="J5670">
        <f>(Table1[[#This Row],[value]] - Table1[[#This Row],[mean]]) / Table1[[#This Row],[std_dev]]</f>
        <v>-0.46837574085171774</v>
      </c>
      <c r="K5670">
        <f>AVERAGEIF(Table1[CountryCode],Table1[[#This Row],[CountryCode]],Table1[z-score])</f>
        <v>6.3697920427276927E-2</v>
      </c>
      <c r="L5670" t="e">
        <f>VLOOKUP(Table1[[#This Row],[CountryCode]],[1]!Table1[#All],1,FALSE)</f>
        <v>#REF!</v>
      </c>
    </row>
    <row r="5671" spans="1:12" hidden="1" x14ac:dyDescent="0.3">
      <c r="A5671" t="s">
        <v>55</v>
      </c>
      <c r="B5671" t="s">
        <v>56</v>
      </c>
      <c r="C5671" t="s">
        <v>127</v>
      </c>
      <c r="D5671" t="s">
        <v>128</v>
      </c>
      <c r="E5671">
        <v>1975</v>
      </c>
      <c r="F5671" s="1">
        <v>13249</v>
      </c>
      <c r="G5671">
        <v>1970</v>
      </c>
      <c r="H5671">
        <f>AVERAGEIFS(Table1[value],Table1[IndicatorCode],Table1[[#This Row],[IndicatorCode]])</f>
        <v>24902.88753799392</v>
      </c>
      <c r="I5671" cm="1">
        <f t="array" ref="I5671">_xlfn.STDEV.P(IF(Table1[IndicatorCode]=Table1[[#This Row],[IndicatorCode]],Table1[value]))</f>
        <v>26324.778297809873</v>
      </c>
      <c r="J5671">
        <f>(Table1[[#This Row],[value]] - Table1[[#This Row],[mean]]) / Table1[[#This Row],[std_dev]]</f>
        <v>-0.4426965122423645</v>
      </c>
      <c r="K5671">
        <f>AVERAGEIF(Table1[CountryCode],Table1[[#This Row],[CountryCode]],Table1[z-score])</f>
        <v>6.3697920427276927E-2</v>
      </c>
      <c r="L5671" t="e">
        <f>VLOOKUP(Table1[[#This Row],[CountryCode]],[1]!Table1[#All],1,FALSE)</f>
        <v>#REF!</v>
      </c>
    </row>
    <row r="5672" spans="1:12" hidden="1" x14ac:dyDescent="0.3">
      <c r="A5672" t="s">
        <v>55</v>
      </c>
      <c r="B5672" t="s">
        <v>56</v>
      </c>
      <c r="C5672" t="s">
        <v>127</v>
      </c>
      <c r="D5672" t="s">
        <v>128</v>
      </c>
      <c r="E5672">
        <v>1976</v>
      </c>
      <c r="F5672" s="1">
        <v>13939</v>
      </c>
      <c r="G5672">
        <v>1970</v>
      </c>
      <c r="H5672">
        <f>AVERAGEIFS(Table1[value],Table1[IndicatorCode],Table1[[#This Row],[IndicatorCode]])</f>
        <v>24902.88753799392</v>
      </c>
      <c r="I5672" cm="1">
        <f t="array" ref="I5672">_xlfn.STDEV.P(IF(Table1[IndicatorCode]=Table1[[#This Row],[IndicatorCode]],Table1[value]))</f>
        <v>26324.778297809873</v>
      </c>
      <c r="J5672">
        <f>(Table1[[#This Row],[value]] - Table1[[#This Row],[mean]]) / Table1[[#This Row],[std_dev]]</f>
        <v>-0.41648546528903058</v>
      </c>
      <c r="K5672">
        <f>AVERAGEIF(Table1[CountryCode],Table1[[#This Row],[CountryCode]],Table1[z-score])</f>
        <v>6.3697920427276927E-2</v>
      </c>
      <c r="L5672" t="e">
        <f>VLOOKUP(Table1[[#This Row],[CountryCode]],[1]!Table1[#All],1,FALSE)</f>
        <v>#REF!</v>
      </c>
    </row>
    <row r="5673" spans="1:12" hidden="1" x14ac:dyDescent="0.3">
      <c r="A5673" t="s">
        <v>55</v>
      </c>
      <c r="B5673" t="s">
        <v>56</v>
      </c>
      <c r="C5673" t="s">
        <v>127</v>
      </c>
      <c r="D5673" t="s">
        <v>128</v>
      </c>
      <c r="E5673">
        <v>1977</v>
      </c>
      <c r="F5673" s="1">
        <v>14163</v>
      </c>
      <c r="G5673">
        <v>1980</v>
      </c>
      <c r="H5673">
        <f>AVERAGEIFS(Table1[value],Table1[IndicatorCode],Table1[[#This Row],[IndicatorCode]])</f>
        <v>24902.88753799392</v>
      </c>
      <c r="I5673" cm="1">
        <f t="array" ref="I5673">_xlfn.STDEV.P(IF(Table1[IndicatorCode]=Table1[[#This Row],[IndicatorCode]],Table1[value]))</f>
        <v>26324.778297809873</v>
      </c>
      <c r="J5673">
        <f>(Table1[[#This Row],[value]] - Table1[[#This Row],[mean]]) / Table1[[#This Row],[std_dev]]</f>
        <v>-0.40797637178533958</v>
      </c>
      <c r="K5673">
        <f>AVERAGEIF(Table1[CountryCode],Table1[[#This Row],[CountryCode]],Table1[z-score])</f>
        <v>6.3697920427276927E-2</v>
      </c>
      <c r="L5673" t="e">
        <f>VLOOKUP(Table1[[#This Row],[CountryCode]],[1]!Table1[#All],1,FALSE)</f>
        <v>#REF!</v>
      </c>
    </row>
    <row r="5674" spans="1:12" hidden="1" x14ac:dyDescent="0.3">
      <c r="A5674" t="s">
        <v>55</v>
      </c>
      <c r="B5674" t="s">
        <v>56</v>
      </c>
      <c r="C5674" t="s">
        <v>127</v>
      </c>
      <c r="D5674" t="s">
        <v>128</v>
      </c>
      <c r="E5674">
        <v>1978</v>
      </c>
      <c r="F5674" s="1">
        <v>14994</v>
      </c>
      <c r="G5674">
        <v>1980</v>
      </c>
      <c r="H5674">
        <f>AVERAGEIFS(Table1[value],Table1[IndicatorCode],Table1[[#This Row],[IndicatorCode]])</f>
        <v>24902.88753799392</v>
      </c>
      <c r="I5674" cm="1">
        <f t="array" ref="I5674">_xlfn.STDEV.P(IF(Table1[IndicatorCode]=Table1[[#This Row],[IndicatorCode]],Table1[value]))</f>
        <v>26324.778297809873</v>
      </c>
      <c r="J5674">
        <f>(Table1[[#This Row],[value]] - Table1[[#This Row],[mean]]) / Table1[[#This Row],[std_dev]]</f>
        <v>-0.37640915436762878</v>
      </c>
      <c r="K5674">
        <f>AVERAGEIF(Table1[CountryCode],Table1[[#This Row],[CountryCode]],Table1[z-score])</f>
        <v>6.3697920427276927E-2</v>
      </c>
      <c r="L5674" t="e">
        <f>VLOOKUP(Table1[[#This Row],[CountryCode]],[1]!Table1[#All],1,FALSE)</f>
        <v>#REF!</v>
      </c>
    </row>
    <row r="5675" spans="1:12" hidden="1" x14ac:dyDescent="0.3">
      <c r="A5675" t="s">
        <v>55</v>
      </c>
      <c r="B5675" t="s">
        <v>56</v>
      </c>
      <c r="C5675" t="s">
        <v>127</v>
      </c>
      <c r="D5675" t="s">
        <v>128</v>
      </c>
      <c r="E5675">
        <v>1979</v>
      </c>
      <c r="F5675" s="1">
        <v>15294</v>
      </c>
      <c r="G5675">
        <v>1980</v>
      </c>
      <c r="H5675">
        <f>AVERAGEIFS(Table1[value],Table1[IndicatorCode],Table1[[#This Row],[IndicatorCode]])</f>
        <v>24902.88753799392</v>
      </c>
      <c r="I5675" cm="1">
        <f t="array" ref="I5675">_xlfn.STDEV.P(IF(Table1[IndicatorCode]=Table1[[#This Row],[IndicatorCode]],Table1[value]))</f>
        <v>26324.778297809873</v>
      </c>
      <c r="J5675">
        <f>(Table1[[#This Row],[value]] - Table1[[#This Row],[mean]]) / Table1[[#This Row],[std_dev]]</f>
        <v>-0.36501304699661402</v>
      </c>
      <c r="K5675">
        <f>AVERAGEIF(Table1[CountryCode],Table1[[#This Row],[CountryCode]],Table1[z-score])</f>
        <v>6.3697920427276927E-2</v>
      </c>
      <c r="L5675" t="e">
        <f>VLOOKUP(Table1[[#This Row],[CountryCode]],[1]!Table1[#All],1,FALSE)</f>
        <v>#REF!</v>
      </c>
    </row>
    <row r="5676" spans="1:12" hidden="1" x14ac:dyDescent="0.3">
      <c r="A5676" t="s">
        <v>55</v>
      </c>
      <c r="B5676" t="s">
        <v>56</v>
      </c>
      <c r="C5676" t="s">
        <v>127</v>
      </c>
      <c r="D5676" t="s">
        <v>128</v>
      </c>
      <c r="E5676">
        <v>1980</v>
      </c>
      <c r="F5676" s="1">
        <v>15247</v>
      </c>
      <c r="G5676">
        <v>1980</v>
      </c>
      <c r="H5676">
        <f>AVERAGEIFS(Table1[value],Table1[IndicatorCode],Table1[[#This Row],[IndicatorCode]])</f>
        <v>24902.88753799392</v>
      </c>
      <c r="I5676" cm="1">
        <f t="array" ref="I5676">_xlfn.STDEV.P(IF(Table1[IndicatorCode]=Table1[[#This Row],[IndicatorCode]],Table1[value]))</f>
        <v>26324.778297809873</v>
      </c>
      <c r="J5676">
        <f>(Table1[[#This Row],[value]] - Table1[[#This Row],[mean]]) / Table1[[#This Row],[std_dev]]</f>
        <v>-0.36679843715140631</v>
      </c>
      <c r="K5676">
        <f>AVERAGEIF(Table1[CountryCode],Table1[[#This Row],[CountryCode]],Table1[z-score])</f>
        <v>6.3697920427276927E-2</v>
      </c>
      <c r="L5676" t="e">
        <f>VLOOKUP(Table1[[#This Row],[CountryCode]],[1]!Table1[#All],1,FALSE)</f>
        <v>#REF!</v>
      </c>
    </row>
    <row r="5677" spans="1:12" hidden="1" x14ac:dyDescent="0.3">
      <c r="A5677" t="s">
        <v>55</v>
      </c>
      <c r="B5677" t="s">
        <v>56</v>
      </c>
      <c r="C5677" t="s">
        <v>127</v>
      </c>
      <c r="D5677" t="s">
        <v>128</v>
      </c>
      <c r="E5677">
        <v>1981</v>
      </c>
      <c r="F5677" s="1">
        <v>14876</v>
      </c>
      <c r="G5677">
        <v>1980</v>
      </c>
      <c r="H5677">
        <f>AVERAGEIFS(Table1[value],Table1[IndicatorCode],Table1[[#This Row],[IndicatorCode]])</f>
        <v>24902.88753799392</v>
      </c>
      <c r="I5677" cm="1">
        <f t="array" ref="I5677">_xlfn.STDEV.P(IF(Table1[IndicatorCode]=Table1[[#This Row],[IndicatorCode]],Table1[value]))</f>
        <v>26324.778297809873</v>
      </c>
      <c r="J5677">
        <f>(Table1[[#This Row],[value]] - Table1[[#This Row],[mean]]) / Table1[[#This Row],[std_dev]]</f>
        <v>-0.38089162326689457</v>
      </c>
      <c r="K5677">
        <f>AVERAGEIF(Table1[CountryCode],Table1[[#This Row],[CountryCode]],Table1[z-score])</f>
        <v>6.3697920427276927E-2</v>
      </c>
      <c r="L5677" t="e">
        <f>VLOOKUP(Table1[[#This Row],[CountryCode]],[1]!Table1[#All],1,FALSE)</f>
        <v>#REF!</v>
      </c>
    </row>
    <row r="5678" spans="1:12" hidden="1" x14ac:dyDescent="0.3">
      <c r="A5678" t="s">
        <v>55</v>
      </c>
      <c r="B5678" t="s">
        <v>56</v>
      </c>
      <c r="C5678" t="s">
        <v>127</v>
      </c>
      <c r="D5678" t="s">
        <v>128</v>
      </c>
      <c r="E5678">
        <v>1982</v>
      </c>
      <c r="F5678" s="1">
        <v>14617</v>
      </c>
      <c r="G5678">
        <v>1980</v>
      </c>
      <c r="H5678">
        <f>AVERAGEIFS(Table1[value],Table1[IndicatorCode],Table1[[#This Row],[IndicatorCode]])</f>
        <v>24902.88753799392</v>
      </c>
      <c r="I5678" cm="1">
        <f t="array" ref="I5678">_xlfn.STDEV.P(IF(Table1[IndicatorCode]=Table1[[#This Row],[IndicatorCode]],Table1[value]))</f>
        <v>26324.778297809873</v>
      </c>
      <c r="J5678">
        <f>(Table1[[#This Row],[value]] - Table1[[#This Row],[mean]]) / Table1[[#This Row],[std_dev]]</f>
        <v>-0.39073026263053728</v>
      </c>
      <c r="K5678">
        <f>AVERAGEIF(Table1[CountryCode],Table1[[#This Row],[CountryCode]],Table1[z-score])</f>
        <v>6.3697920427276927E-2</v>
      </c>
      <c r="L5678" t="e">
        <f>VLOOKUP(Table1[[#This Row],[CountryCode]],[1]!Table1[#All],1,FALSE)</f>
        <v>#REF!</v>
      </c>
    </row>
    <row r="5679" spans="1:12" hidden="1" x14ac:dyDescent="0.3">
      <c r="A5679" t="s">
        <v>55</v>
      </c>
      <c r="B5679" t="s">
        <v>56</v>
      </c>
      <c r="C5679" t="s">
        <v>127</v>
      </c>
      <c r="D5679" t="s">
        <v>128</v>
      </c>
      <c r="E5679">
        <v>1983</v>
      </c>
      <c r="F5679" s="1">
        <v>14376</v>
      </c>
      <c r="G5679">
        <v>1980</v>
      </c>
      <c r="H5679">
        <f>AVERAGEIFS(Table1[value],Table1[IndicatorCode],Table1[[#This Row],[IndicatorCode]])</f>
        <v>24902.88753799392</v>
      </c>
      <c r="I5679" cm="1">
        <f t="array" ref="I5679">_xlfn.STDEV.P(IF(Table1[IndicatorCode]=Table1[[#This Row],[IndicatorCode]],Table1[value]))</f>
        <v>26324.778297809873</v>
      </c>
      <c r="J5679">
        <f>(Table1[[#This Row],[value]] - Table1[[#This Row],[mean]]) / Table1[[#This Row],[std_dev]]</f>
        <v>-0.39988513555191912</v>
      </c>
      <c r="K5679">
        <f>AVERAGEIF(Table1[CountryCode],Table1[[#This Row],[CountryCode]],Table1[z-score])</f>
        <v>6.3697920427276927E-2</v>
      </c>
      <c r="L5679" t="e">
        <f>VLOOKUP(Table1[[#This Row],[CountryCode]],[1]!Table1[#All],1,FALSE)</f>
        <v>#REF!</v>
      </c>
    </row>
    <row r="5680" spans="1:12" hidden="1" x14ac:dyDescent="0.3">
      <c r="A5680" t="s">
        <v>55</v>
      </c>
      <c r="B5680" t="s">
        <v>56</v>
      </c>
      <c r="C5680" t="s">
        <v>127</v>
      </c>
      <c r="D5680" t="s">
        <v>128</v>
      </c>
      <c r="E5680">
        <v>1984</v>
      </c>
      <c r="F5680" s="1">
        <v>14592</v>
      </c>
      <c r="G5680">
        <v>1980</v>
      </c>
      <c r="H5680">
        <f>AVERAGEIFS(Table1[value],Table1[IndicatorCode],Table1[[#This Row],[IndicatorCode]])</f>
        <v>24902.88753799392</v>
      </c>
      <c r="I5680" cm="1">
        <f t="array" ref="I5680">_xlfn.STDEV.P(IF(Table1[IndicatorCode]=Table1[[#This Row],[IndicatorCode]],Table1[value]))</f>
        <v>26324.778297809873</v>
      </c>
      <c r="J5680">
        <f>(Table1[[#This Row],[value]] - Table1[[#This Row],[mean]]) / Table1[[#This Row],[std_dev]]</f>
        <v>-0.39167993824478853</v>
      </c>
      <c r="K5680">
        <f>AVERAGEIF(Table1[CountryCode],Table1[[#This Row],[CountryCode]],Table1[z-score])</f>
        <v>6.3697920427276927E-2</v>
      </c>
      <c r="L5680" t="e">
        <f>VLOOKUP(Table1[[#This Row],[CountryCode]],[1]!Table1[#All],1,FALSE)</f>
        <v>#REF!</v>
      </c>
    </row>
    <row r="5681" spans="1:12" hidden="1" x14ac:dyDescent="0.3">
      <c r="A5681" t="s">
        <v>55</v>
      </c>
      <c r="B5681" t="s">
        <v>56</v>
      </c>
      <c r="C5681" t="s">
        <v>127</v>
      </c>
      <c r="D5681" t="s">
        <v>128</v>
      </c>
      <c r="E5681">
        <v>1985</v>
      </c>
      <c r="F5681" s="1">
        <v>14900</v>
      </c>
      <c r="G5681">
        <v>1980</v>
      </c>
      <c r="H5681">
        <f>AVERAGEIFS(Table1[value],Table1[IndicatorCode],Table1[[#This Row],[IndicatorCode]])</f>
        <v>24902.88753799392</v>
      </c>
      <c r="I5681" cm="1">
        <f t="array" ref="I5681">_xlfn.STDEV.P(IF(Table1[IndicatorCode]=Table1[[#This Row],[IndicatorCode]],Table1[value]))</f>
        <v>26324.778297809873</v>
      </c>
      <c r="J5681">
        <f>(Table1[[#This Row],[value]] - Table1[[#This Row],[mean]]) / Table1[[#This Row],[std_dev]]</f>
        <v>-0.37997993467721336</v>
      </c>
      <c r="K5681">
        <f>AVERAGEIF(Table1[CountryCode],Table1[[#This Row],[CountryCode]],Table1[z-score])</f>
        <v>6.3697920427276927E-2</v>
      </c>
      <c r="L5681" t="e">
        <f>VLOOKUP(Table1[[#This Row],[CountryCode]],[1]!Table1[#All],1,FALSE)</f>
        <v>#REF!</v>
      </c>
    </row>
    <row r="5682" spans="1:12" hidden="1" x14ac:dyDescent="0.3">
      <c r="A5682" t="s">
        <v>55</v>
      </c>
      <c r="B5682" t="s">
        <v>56</v>
      </c>
      <c r="C5682" t="s">
        <v>127</v>
      </c>
      <c r="D5682" t="s">
        <v>128</v>
      </c>
      <c r="E5682">
        <v>1986</v>
      </c>
      <c r="F5682" s="1">
        <v>14928</v>
      </c>
      <c r="G5682">
        <v>1980</v>
      </c>
      <c r="H5682">
        <f>AVERAGEIFS(Table1[value],Table1[IndicatorCode],Table1[[#This Row],[IndicatorCode]])</f>
        <v>24902.88753799392</v>
      </c>
      <c r="I5682" cm="1">
        <f t="array" ref="I5682">_xlfn.STDEV.P(IF(Table1[IndicatorCode]=Table1[[#This Row],[IndicatorCode]],Table1[value]))</f>
        <v>26324.778297809873</v>
      </c>
      <c r="J5682">
        <f>(Table1[[#This Row],[value]] - Table1[[#This Row],[mean]]) / Table1[[#This Row],[std_dev]]</f>
        <v>-0.37891629798925203</v>
      </c>
      <c r="K5682">
        <f>AVERAGEIF(Table1[CountryCode],Table1[[#This Row],[CountryCode]],Table1[z-score])</f>
        <v>6.3697920427276927E-2</v>
      </c>
      <c r="L5682" t="e">
        <f>VLOOKUP(Table1[[#This Row],[CountryCode]],[1]!Table1[#All],1,FALSE)</f>
        <v>#REF!</v>
      </c>
    </row>
    <row r="5683" spans="1:12" hidden="1" x14ac:dyDescent="0.3">
      <c r="A5683" t="s">
        <v>55</v>
      </c>
      <c r="B5683" t="s">
        <v>56</v>
      </c>
      <c r="C5683" t="s">
        <v>127</v>
      </c>
      <c r="D5683" t="s">
        <v>128</v>
      </c>
      <c r="E5683">
        <v>1987</v>
      </c>
      <c r="F5683" s="1">
        <v>14542</v>
      </c>
      <c r="G5683">
        <v>1990</v>
      </c>
      <c r="H5683">
        <f>AVERAGEIFS(Table1[value],Table1[IndicatorCode],Table1[[#This Row],[IndicatorCode]])</f>
        <v>24902.88753799392</v>
      </c>
      <c r="I5683" cm="1">
        <f t="array" ref="I5683">_xlfn.STDEV.P(IF(Table1[IndicatorCode]=Table1[[#This Row],[IndicatorCode]],Table1[value]))</f>
        <v>26324.778297809873</v>
      </c>
      <c r="J5683">
        <f>(Table1[[#This Row],[value]] - Table1[[#This Row],[mean]]) / Table1[[#This Row],[std_dev]]</f>
        <v>-0.39357928947329096</v>
      </c>
      <c r="K5683">
        <f>AVERAGEIF(Table1[CountryCode],Table1[[#This Row],[CountryCode]],Table1[z-score])</f>
        <v>6.3697920427276927E-2</v>
      </c>
      <c r="L5683" t="e">
        <f>VLOOKUP(Table1[[#This Row],[CountryCode]],[1]!Table1[#All],1,FALSE)</f>
        <v>#REF!</v>
      </c>
    </row>
    <row r="5684" spans="1:12" hidden="1" x14ac:dyDescent="0.3">
      <c r="A5684" t="s">
        <v>55</v>
      </c>
      <c r="B5684" t="s">
        <v>56</v>
      </c>
      <c r="C5684" t="s">
        <v>127</v>
      </c>
      <c r="D5684" t="s">
        <v>128</v>
      </c>
      <c r="E5684">
        <v>1988</v>
      </c>
      <c r="F5684" s="1">
        <v>15110</v>
      </c>
      <c r="G5684">
        <v>1990</v>
      </c>
      <c r="H5684">
        <f>AVERAGEIFS(Table1[value],Table1[IndicatorCode],Table1[[#This Row],[IndicatorCode]])</f>
        <v>24902.88753799392</v>
      </c>
      <c r="I5684" cm="1">
        <f t="array" ref="I5684">_xlfn.STDEV.P(IF(Table1[IndicatorCode]=Table1[[#This Row],[IndicatorCode]],Table1[value]))</f>
        <v>26324.778297809873</v>
      </c>
      <c r="J5684">
        <f>(Table1[[#This Row],[value]] - Table1[[#This Row],[mean]]) / Table1[[#This Row],[std_dev]]</f>
        <v>-0.37200265951750305</v>
      </c>
      <c r="K5684">
        <f>AVERAGEIF(Table1[CountryCode],Table1[[#This Row],[CountryCode]],Table1[z-score])</f>
        <v>6.3697920427276927E-2</v>
      </c>
      <c r="L5684" t="e">
        <f>VLOOKUP(Table1[[#This Row],[CountryCode]],[1]!Table1[#All],1,FALSE)</f>
        <v>#REF!</v>
      </c>
    </row>
    <row r="5685" spans="1:12" hidden="1" x14ac:dyDescent="0.3">
      <c r="A5685" t="s">
        <v>55</v>
      </c>
      <c r="B5685" t="s">
        <v>56</v>
      </c>
      <c r="C5685" t="s">
        <v>127</v>
      </c>
      <c r="D5685" t="s">
        <v>128</v>
      </c>
      <c r="E5685">
        <v>1989</v>
      </c>
      <c r="F5685" s="1">
        <v>15603</v>
      </c>
      <c r="G5685">
        <v>1990</v>
      </c>
      <c r="H5685">
        <f>AVERAGEIFS(Table1[value],Table1[IndicatorCode],Table1[[#This Row],[IndicatorCode]])</f>
        <v>24902.88753799392</v>
      </c>
      <c r="I5685" cm="1">
        <f t="array" ref="I5685">_xlfn.STDEV.P(IF(Table1[IndicatorCode]=Table1[[#This Row],[IndicatorCode]],Table1[value]))</f>
        <v>26324.778297809873</v>
      </c>
      <c r="J5685">
        <f>(Table1[[#This Row],[value]] - Table1[[#This Row],[mean]]) / Table1[[#This Row],[std_dev]]</f>
        <v>-0.35327505640446882</v>
      </c>
      <c r="K5685">
        <f>AVERAGEIF(Table1[CountryCode],Table1[[#This Row],[CountryCode]],Table1[z-score])</f>
        <v>6.3697920427276927E-2</v>
      </c>
      <c r="L5685" t="e">
        <f>VLOOKUP(Table1[[#This Row],[CountryCode]],[1]!Table1[#All],1,FALSE)</f>
        <v>#REF!</v>
      </c>
    </row>
    <row r="5686" spans="1:12" hidden="1" x14ac:dyDescent="0.3">
      <c r="A5686" t="s">
        <v>55</v>
      </c>
      <c r="B5686" t="s">
        <v>56</v>
      </c>
      <c r="C5686" t="s">
        <v>127</v>
      </c>
      <c r="D5686" t="s">
        <v>128</v>
      </c>
      <c r="E5686">
        <v>1990</v>
      </c>
      <c r="F5686" s="1">
        <v>15439</v>
      </c>
      <c r="G5686">
        <v>1990</v>
      </c>
      <c r="H5686">
        <f>AVERAGEIFS(Table1[value],Table1[IndicatorCode],Table1[[#This Row],[IndicatorCode]])</f>
        <v>24902.88753799392</v>
      </c>
      <c r="I5686" cm="1">
        <f t="array" ref="I5686">_xlfn.STDEV.P(IF(Table1[IndicatorCode]=Table1[[#This Row],[IndicatorCode]],Table1[value]))</f>
        <v>26324.778297809873</v>
      </c>
      <c r="J5686">
        <f>(Table1[[#This Row],[value]] - Table1[[#This Row],[mean]]) / Table1[[#This Row],[std_dev]]</f>
        <v>-0.35950492843395687</v>
      </c>
      <c r="K5686">
        <f>AVERAGEIF(Table1[CountryCode],Table1[[#This Row],[CountryCode]],Table1[z-score])</f>
        <v>6.3697920427276927E-2</v>
      </c>
      <c r="L5686" t="e">
        <f>VLOOKUP(Table1[[#This Row],[CountryCode]],[1]!Table1[#All],1,FALSE)</f>
        <v>#REF!</v>
      </c>
    </row>
    <row r="5687" spans="1:12" hidden="1" x14ac:dyDescent="0.3">
      <c r="A5687" t="s">
        <v>55</v>
      </c>
      <c r="B5687" t="s">
        <v>56</v>
      </c>
      <c r="C5687" t="s">
        <v>127</v>
      </c>
      <c r="D5687" t="s">
        <v>128</v>
      </c>
      <c r="E5687">
        <v>1991</v>
      </c>
      <c r="F5687" s="1">
        <v>15727</v>
      </c>
      <c r="G5687">
        <v>1990</v>
      </c>
      <c r="H5687">
        <f>AVERAGEIFS(Table1[value],Table1[IndicatorCode],Table1[[#This Row],[IndicatorCode]])</f>
        <v>24902.88753799392</v>
      </c>
      <c r="I5687" cm="1">
        <f t="array" ref="I5687">_xlfn.STDEV.P(IF(Table1[IndicatorCode]=Table1[[#This Row],[IndicatorCode]],Table1[value]))</f>
        <v>26324.778297809873</v>
      </c>
      <c r="J5687">
        <f>(Table1[[#This Row],[value]] - Table1[[#This Row],[mean]]) / Table1[[#This Row],[std_dev]]</f>
        <v>-0.34856466535778274</v>
      </c>
      <c r="K5687">
        <f>AVERAGEIF(Table1[CountryCode],Table1[[#This Row],[CountryCode]],Table1[z-score])</f>
        <v>6.3697920427276927E-2</v>
      </c>
      <c r="L5687" t="e">
        <f>VLOOKUP(Table1[[#This Row],[CountryCode]],[1]!Table1[#All],1,FALSE)</f>
        <v>#REF!</v>
      </c>
    </row>
    <row r="5688" spans="1:12" hidden="1" x14ac:dyDescent="0.3">
      <c r="A5688" t="s">
        <v>55</v>
      </c>
      <c r="B5688" t="s">
        <v>56</v>
      </c>
      <c r="C5688" t="s">
        <v>127</v>
      </c>
      <c r="D5688" t="s">
        <v>128</v>
      </c>
      <c r="E5688">
        <v>1992</v>
      </c>
      <c r="F5688" s="1">
        <v>15717</v>
      </c>
      <c r="G5688">
        <v>1990</v>
      </c>
      <c r="H5688">
        <f>AVERAGEIFS(Table1[value],Table1[IndicatorCode],Table1[[#This Row],[IndicatorCode]])</f>
        <v>24902.88753799392</v>
      </c>
      <c r="I5688" cm="1">
        <f t="array" ref="I5688">_xlfn.STDEV.P(IF(Table1[IndicatorCode]=Table1[[#This Row],[IndicatorCode]],Table1[value]))</f>
        <v>26324.778297809873</v>
      </c>
      <c r="J5688">
        <f>(Table1[[#This Row],[value]] - Table1[[#This Row],[mean]]) / Table1[[#This Row],[std_dev]]</f>
        <v>-0.34894453560348321</v>
      </c>
      <c r="K5688">
        <f>AVERAGEIF(Table1[CountryCode],Table1[[#This Row],[CountryCode]],Table1[z-score])</f>
        <v>6.3697920427276927E-2</v>
      </c>
      <c r="L5688" t="e">
        <f>VLOOKUP(Table1[[#This Row],[CountryCode]],[1]!Table1[#All],1,FALSE)</f>
        <v>#REF!</v>
      </c>
    </row>
    <row r="5689" spans="1:12" hidden="1" x14ac:dyDescent="0.3">
      <c r="A5689" t="s">
        <v>55</v>
      </c>
      <c r="B5689" t="s">
        <v>56</v>
      </c>
      <c r="C5689" t="s">
        <v>127</v>
      </c>
      <c r="D5689" t="s">
        <v>128</v>
      </c>
      <c r="E5689">
        <v>1993</v>
      </c>
      <c r="F5689" s="1">
        <v>15375</v>
      </c>
      <c r="G5689">
        <v>1990</v>
      </c>
      <c r="H5689">
        <f>AVERAGEIFS(Table1[value],Table1[IndicatorCode],Table1[[#This Row],[IndicatorCode]])</f>
        <v>24902.88753799392</v>
      </c>
      <c r="I5689" cm="1">
        <f t="array" ref="I5689">_xlfn.STDEV.P(IF(Table1[IndicatorCode]=Table1[[#This Row],[IndicatorCode]],Table1[value]))</f>
        <v>26324.778297809873</v>
      </c>
      <c r="J5689">
        <f>(Table1[[#This Row],[value]] - Table1[[#This Row],[mean]]) / Table1[[#This Row],[std_dev]]</f>
        <v>-0.36193609800644005</v>
      </c>
      <c r="K5689">
        <f>AVERAGEIF(Table1[CountryCode],Table1[[#This Row],[CountryCode]],Table1[z-score])</f>
        <v>6.3697920427276927E-2</v>
      </c>
      <c r="L5689" t="e">
        <f>VLOOKUP(Table1[[#This Row],[CountryCode]],[1]!Table1[#All],1,FALSE)</f>
        <v>#REF!</v>
      </c>
    </row>
    <row r="5690" spans="1:12" hidden="1" x14ac:dyDescent="0.3">
      <c r="A5690" t="s">
        <v>55</v>
      </c>
      <c r="B5690" t="s">
        <v>56</v>
      </c>
      <c r="C5690" t="s">
        <v>127</v>
      </c>
      <c r="D5690" t="s">
        <v>128</v>
      </c>
      <c r="E5690">
        <v>1994</v>
      </c>
      <c r="F5690" s="1">
        <v>15604</v>
      </c>
      <c r="G5690">
        <v>1990</v>
      </c>
      <c r="H5690">
        <f>AVERAGEIFS(Table1[value],Table1[IndicatorCode],Table1[[#This Row],[IndicatorCode]])</f>
        <v>24902.88753799392</v>
      </c>
      <c r="I5690" cm="1">
        <f t="array" ref="I5690">_xlfn.STDEV.P(IF(Table1[IndicatorCode]=Table1[[#This Row],[IndicatorCode]],Table1[value]))</f>
        <v>26324.778297809873</v>
      </c>
      <c r="J5690">
        <f>(Table1[[#This Row],[value]] - Table1[[#This Row],[mean]]) / Table1[[#This Row],[std_dev]]</f>
        <v>-0.35323706937989879</v>
      </c>
      <c r="K5690">
        <f>AVERAGEIF(Table1[CountryCode],Table1[[#This Row],[CountryCode]],Table1[z-score])</f>
        <v>6.3697920427276927E-2</v>
      </c>
      <c r="L5690" t="e">
        <f>VLOOKUP(Table1[[#This Row],[CountryCode]],[1]!Table1[#All],1,FALSE)</f>
        <v>#REF!</v>
      </c>
    </row>
    <row r="5691" spans="1:12" hidden="1" x14ac:dyDescent="0.3">
      <c r="A5691" t="s">
        <v>55</v>
      </c>
      <c r="B5691" t="s">
        <v>56</v>
      </c>
      <c r="C5691" t="s">
        <v>127</v>
      </c>
      <c r="D5691" t="s">
        <v>128</v>
      </c>
      <c r="E5691">
        <v>1995</v>
      </c>
      <c r="F5691" s="1">
        <v>15857</v>
      </c>
      <c r="G5691">
        <v>1990</v>
      </c>
      <c r="H5691">
        <f>AVERAGEIFS(Table1[value],Table1[IndicatorCode],Table1[[#This Row],[IndicatorCode]])</f>
        <v>24902.88753799392</v>
      </c>
      <c r="I5691" cm="1">
        <f t="array" ref="I5691">_xlfn.STDEV.P(IF(Table1[IndicatorCode]=Table1[[#This Row],[IndicatorCode]],Table1[value]))</f>
        <v>26324.778297809873</v>
      </c>
      <c r="J5691">
        <f>(Table1[[#This Row],[value]] - Table1[[#This Row],[mean]]) / Table1[[#This Row],[std_dev]]</f>
        <v>-0.34362635216367637</v>
      </c>
      <c r="K5691">
        <f>AVERAGEIF(Table1[CountryCode],Table1[[#This Row],[CountryCode]],Table1[z-score])</f>
        <v>6.3697920427276927E-2</v>
      </c>
      <c r="L5691" t="e">
        <f>VLOOKUP(Table1[[#This Row],[CountryCode]],[1]!Table1[#All],1,FALSE)</f>
        <v>#REF!</v>
      </c>
    </row>
    <row r="5692" spans="1:12" hidden="1" x14ac:dyDescent="0.3">
      <c r="A5692" t="s">
        <v>55</v>
      </c>
      <c r="B5692" t="s">
        <v>56</v>
      </c>
      <c r="C5692" t="s">
        <v>127</v>
      </c>
      <c r="D5692" t="s">
        <v>128</v>
      </c>
      <c r="E5692">
        <v>1996</v>
      </c>
      <c r="F5692" s="1">
        <v>16006</v>
      </c>
      <c r="G5692">
        <v>1990</v>
      </c>
      <c r="H5692">
        <f>AVERAGEIFS(Table1[value],Table1[IndicatorCode],Table1[[#This Row],[IndicatorCode]])</f>
        <v>24902.88753799392</v>
      </c>
      <c r="I5692" cm="1">
        <f t="array" ref="I5692">_xlfn.STDEV.P(IF(Table1[IndicatorCode]=Table1[[#This Row],[IndicatorCode]],Table1[value]))</f>
        <v>26324.778297809873</v>
      </c>
      <c r="J5692">
        <f>(Table1[[#This Row],[value]] - Table1[[#This Row],[mean]]) / Table1[[#This Row],[std_dev]]</f>
        <v>-0.33796628550273905</v>
      </c>
      <c r="K5692">
        <f>AVERAGEIF(Table1[CountryCode],Table1[[#This Row],[CountryCode]],Table1[z-score])</f>
        <v>6.3697920427276927E-2</v>
      </c>
      <c r="L5692" t="e">
        <f>VLOOKUP(Table1[[#This Row],[CountryCode]],[1]!Table1[#All],1,FALSE)</f>
        <v>#REF!</v>
      </c>
    </row>
    <row r="5693" spans="1:12" hidden="1" x14ac:dyDescent="0.3">
      <c r="A5693" t="s">
        <v>55</v>
      </c>
      <c r="B5693" t="s">
        <v>56</v>
      </c>
      <c r="C5693" t="s">
        <v>127</v>
      </c>
      <c r="D5693" t="s">
        <v>128</v>
      </c>
      <c r="E5693">
        <v>1997</v>
      </c>
      <c r="F5693" s="1">
        <v>16501</v>
      </c>
      <c r="G5693">
        <v>2000</v>
      </c>
      <c r="H5693">
        <f>AVERAGEIFS(Table1[value],Table1[IndicatorCode],Table1[[#This Row],[IndicatorCode]])</f>
        <v>24902.88753799392</v>
      </c>
      <c r="I5693" cm="1">
        <f t="array" ref="I5693">_xlfn.STDEV.P(IF(Table1[IndicatorCode]=Table1[[#This Row],[IndicatorCode]],Table1[value]))</f>
        <v>26324.778297809873</v>
      </c>
      <c r="J5693">
        <f>(Table1[[#This Row],[value]] - Table1[[#This Row],[mean]]) / Table1[[#This Row],[std_dev]]</f>
        <v>-0.3191627083405647</v>
      </c>
      <c r="K5693">
        <f>AVERAGEIF(Table1[CountryCode],Table1[[#This Row],[CountryCode]],Table1[z-score])</f>
        <v>6.3697920427276927E-2</v>
      </c>
      <c r="L5693" t="e">
        <f>VLOOKUP(Table1[[#This Row],[CountryCode]],[1]!Table1[#All],1,FALSE)</f>
        <v>#REF!</v>
      </c>
    </row>
    <row r="5694" spans="1:12" hidden="1" x14ac:dyDescent="0.3">
      <c r="A5694" t="s">
        <v>55</v>
      </c>
      <c r="B5694" t="s">
        <v>56</v>
      </c>
      <c r="C5694" t="s">
        <v>127</v>
      </c>
      <c r="D5694" t="s">
        <v>128</v>
      </c>
      <c r="E5694">
        <v>1998</v>
      </c>
      <c r="F5694" s="1">
        <v>16974</v>
      </c>
      <c r="G5694">
        <v>2000</v>
      </c>
      <c r="H5694">
        <f>AVERAGEIFS(Table1[value],Table1[IndicatorCode],Table1[[#This Row],[IndicatorCode]])</f>
        <v>24902.88753799392</v>
      </c>
      <c r="I5694" cm="1">
        <f t="array" ref="I5694">_xlfn.STDEV.P(IF(Table1[IndicatorCode]=Table1[[#This Row],[IndicatorCode]],Table1[value]))</f>
        <v>26324.778297809873</v>
      </c>
      <c r="J5694">
        <f>(Table1[[#This Row],[value]] - Table1[[#This Row],[mean]]) / Table1[[#This Row],[std_dev]]</f>
        <v>-0.30119484571893146</v>
      </c>
      <c r="K5694">
        <f>AVERAGEIF(Table1[CountryCode],Table1[[#This Row],[CountryCode]],Table1[z-score])</f>
        <v>6.3697920427276927E-2</v>
      </c>
      <c r="L5694" t="e">
        <f>VLOOKUP(Table1[[#This Row],[CountryCode]],[1]!Table1[#All],1,FALSE)</f>
        <v>#REF!</v>
      </c>
    </row>
    <row r="5695" spans="1:12" hidden="1" x14ac:dyDescent="0.3">
      <c r="A5695" t="s">
        <v>55</v>
      </c>
      <c r="B5695" t="s">
        <v>56</v>
      </c>
      <c r="C5695" t="s">
        <v>127</v>
      </c>
      <c r="D5695" t="s">
        <v>128</v>
      </c>
      <c r="E5695">
        <v>1999</v>
      </c>
      <c r="F5695" s="1">
        <v>17358</v>
      </c>
      <c r="G5695">
        <v>2000</v>
      </c>
      <c r="H5695">
        <f>AVERAGEIFS(Table1[value],Table1[IndicatorCode],Table1[[#This Row],[IndicatorCode]])</f>
        <v>24902.88753799392</v>
      </c>
      <c r="I5695" cm="1">
        <f t="array" ref="I5695">_xlfn.STDEV.P(IF(Table1[IndicatorCode]=Table1[[#This Row],[IndicatorCode]],Table1[value]))</f>
        <v>26324.778297809873</v>
      </c>
      <c r="J5695">
        <f>(Table1[[#This Row],[value]] - Table1[[#This Row],[mean]]) / Table1[[#This Row],[std_dev]]</f>
        <v>-0.28660782828403258</v>
      </c>
      <c r="K5695">
        <f>AVERAGEIF(Table1[CountryCode],Table1[[#This Row],[CountryCode]],Table1[z-score])</f>
        <v>6.3697920427276927E-2</v>
      </c>
      <c r="L5695" t="e">
        <f>VLOOKUP(Table1[[#This Row],[CountryCode]],[1]!Table1[#All],1,FALSE)</f>
        <v>#REF!</v>
      </c>
    </row>
    <row r="5696" spans="1:12" hidden="1" x14ac:dyDescent="0.3">
      <c r="A5696" t="s">
        <v>55</v>
      </c>
      <c r="B5696" t="s">
        <v>56</v>
      </c>
      <c r="C5696" t="s">
        <v>127</v>
      </c>
      <c r="D5696" t="s">
        <v>128</v>
      </c>
      <c r="E5696">
        <v>2000</v>
      </c>
      <c r="F5696" s="1">
        <v>18003</v>
      </c>
      <c r="G5696">
        <v>2000</v>
      </c>
      <c r="H5696">
        <f>AVERAGEIFS(Table1[value],Table1[IndicatorCode],Table1[[#This Row],[IndicatorCode]])</f>
        <v>24902.88753799392</v>
      </c>
      <c r="I5696" cm="1">
        <f t="array" ref="I5696">_xlfn.STDEV.P(IF(Table1[IndicatorCode]=Table1[[#This Row],[IndicatorCode]],Table1[value]))</f>
        <v>26324.778297809873</v>
      </c>
      <c r="J5696">
        <f>(Table1[[#This Row],[value]] - Table1[[#This Row],[mean]]) / Table1[[#This Row],[std_dev]]</f>
        <v>-0.26210619743635089</v>
      </c>
      <c r="K5696">
        <f>AVERAGEIF(Table1[CountryCode],Table1[[#This Row],[CountryCode]],Table1[z-score])</f>
        <v>6.3697920427276927E-2</v>
      </c>
      <c r="L5696" t="e">
        <f>VLOOKUP(Table1[[#This Row],[CountryCode]],[1]!Table1[#All],1,FALSE)</f>
        <v>#REF!</v>
      </c>
    </row>
    <row r="5697" spans="1:12" hidden="1" x14ac:dyDescent="0.3">
      <c r="A5697" t="s">
        <v>55</v>
      </c>
      <c r="B5697" t="s">
        <v>56</v>
      </c>
      <c r="C5697" t="s">
        <v>127</v>
      </c>
      <c r="D5697" t="s">
        <v>128</v>
      </c>
      <c r="E5697">
        <v>2001</v>
      </c>
      <c r="F5697" s="1">
        <v>18742</v>
      </c>
      <c r="G5697">
        <v>2000</v>
      </c>
      <c r="H5697">
        <f>AVERAGEIFS(Table1[value],Table1[IndicatorCode],Table1[[#This Row],[IndicatorCode]])</f>
        <v>24902.88753799392</v>
      </c>
      <c r="I5697" cm="1">
        <f t="array" ref="I5697">_xlfn.STDEV.P(IF(Table1[IndicatorCode]=Table1[[#This Row],[IndicatorCode]],Table1[value]))</f>
        <v>26324.778297809873</v>
      </c>
      <c r="J5697">
        <f>(Table1[[#This Row],[value]] - Table1[[#This Row],[mean]]) / Table1[[#This Row],[std_dev]]</f>
        <v>-0.23403378627908458</v>
      </c>
      <c r="K5697">
        <f>AVERAGEIF(Table1[CountryCode],Table1[[#This Row],[CountryCode]],Table1[z-score])</f>
        <v>6.3697920427276927E-2</v>
      </c>
      <c r="L5697" t="e">
        <f>VLOOKUP(Table1[[#This Row],[CountryCode]],[1]!Table1[#All],1,FALSE)</f>
        <v>#REF!</v>
      </c>
    </row>
    <row r="5698" spans="1:12" hidden="1" x14ac:dyDescent="0.3">
      <c r="A5698" t="s">
        <v>55</v>
      </c>
      <c r="B5698" t="s">
        <v>56</v>
      </c>
      <c r="C5698" t="s">
        <v>127</v>
      </c>
      <c r="D5698" t="s">
        <v>128</v>
      </c>
      <c r="E5698">
        <v>2002</v>
      </c>
      <c r="F5698" s="1">
        <v>19548</v>
      </c>
      <c r="G5698">
        <v>2000</v>
      </c>
      <c r="H5698">
        <f>AVERAGEIFS(Table1[value],Table1[IndicatorCode],Table1[[#This Row],[IndicatorCode]])</f>
        <v>24902.88753799392</v>
      </c>
      <c r="I5698" cm="1">
        <f t="array" ref="I5698">_xlfn.STDEV.P(IF(Table1[IndicatorCode]=Table1[[#This Row],[IndicatorCode]],Table1[value]))</f>
        <v>26324.778297809873</v>
      </c>
      <c r="J5698">
        <f>(Table1[[#This Row],[value]] - Table1[[#This Row],[mean]]) / Table1[[#This Row],[std_dev]]</f>
        <v>-0.20341624447562498</v>
      </c>
      <c r="K5698">
        <f>AVERAGEIF(Table1[CountryCode],Table1[[#This Row],[CountryCode]],Table1[z-score])</f>
        <v>6.3697920427276927E-2</v>
      </c>
      <c r="L5698" t="e">
        <f>VLOOKUP(Table1[[#This Row],[CountryCode]],[1]!Table1[#All],1,FALSE)</f>
        <v>#REF!</v>
      </c>
    </row>
    <row r="5699" spans="1:12" hidden="1" x14ac:dyDescent="0.3">
      <c r="A5699" t="s">
        <v>55</v>
      </c>
      <c r="B5699" t="s">
        <v>56</v>
      </c>
      <c r="C5699" t="s">
        <v>127</v>
      </c>
      <c r="D5699" t="s">
        <v>128</v>
      </c>
      <c r="E5699">
        <v>2003</v>
      </c>
      <c r="F5699" s="1">
        <v>20632</v>
      </c>
      <c r="G5699">
        <v>2000</v>
      </c>
      <c r="H5699">
        <f>AVERAGEIFS(Table1[value],Table1[IndicatorCode],Table1[[#This Row],[IndicatorCode]])</f>
        <v>24902.88753799392</v>
      </c>
      <c r="I5699" cm="1">
        <f t="array" ref="I5699">_xlfn.STDEV.P(IF(Table1[IndicatorCode]=Table1[[#This Row],[IndicatorCode]],Table1[value]))</f>
        <v>26324.778297809873</v>
      </c>
      <c r="J5699">
        <f>(Table1[[#This Row],[value]] - Table1[[#This Row],[mean]]) / Table1[[#This Row],[std_dev]]</f>
        <v>-0.16223830984169171</v>
      </c>
      <c r="K5699">
        <f>AVERAGEIF(Table1[CountryCode],Table1[[#This Row],[CountryCode]],Table1[z-score])</f>
        <v>6.3697920427276927E-2</v>
      </c>
      <c r="L5699" t="e">
        <f>VLOOKUP(Table1[[#This Row],[CountryCode]],[1]!Table1[#All],1,FALSE)</f>
        <v>#REF!</v>
      </c>
    </row>
    <row r="5700" spans="1:12" hidden="1" x14ac:dyDescent="0.3">
      <c r="A5700" t="s">
        <v>55</v>
      </c>
      <c r="B5700" t="s">
        <v>56</v>
      </c>
      <c r="C5700" t="s">
        <v>127</v>
      </c>
      <c r="D5700" t="s">
        <v>128</v>
      </c>
      <c r="E5700">
        <v>2004</v>
      </c>
      <c r="F5700" s="1">
        <v>21688</v>
      </c>
      <c r="G5700">
        <v>2000</v>
      </c>
      <c r="H5700">
        <f>AVERAGEIFS(Table1[value],Table1[IndicatorCode],Table1[[#This Row],[IndicatorCode]])</f>
        <v>24902.88753799392</v>
      </c>
      <c r="I5700" cm="1">
        <f t="array" ref="I5700">_xlfn.STDEV.P(IF(Table1[IndicatorCode]=Table1[[#This Row],[IndicatorCode]],Table1[value]))</f>
        <v>26324.778297809873</v>
      </c>
      <c r="J5700">
        <f>(Table1[[#This Row],[value]] - Table1[[#This Row],[mean]]) / Table1[[#This Row],[std_dev]]</f>
        <v>-0.12212401189571982</v>
      </c>
      <c r="K5700">
        <f>AVERAGEIF(Table1[CountryCode],Table1[[#This Row],[CountryCode]],Table1[z-score])</f>
        <v>6.3697920427276927E-2</v>
      </c>
      <c r="L5700" t="e">
        <f>VLOOKUP(Table1[[#This Row],[CountryCode]],[1]!Table1[#All],1,FALSE)</f>
        <v>#REF!</v>
      </c>
    </row>
    <row r="5701" spans="1:12" hidden="1" x14ac:dyDescent="0.3">
      <c r="A5701" t="s">
        <v>55</v>
      </c>
      <c r="B5701" t="s">
        <v>56</v>
      </c>
      <c r="C5701" t="s">
        <v>127</v>
      </c>
      <c r="D5701" t="s">
        <v>128</v>
      </c>
      <c r="E5701">
        <v>2005</v>
      </c>
      <c r="F5701" s="1">
        <v>21881</v>
      </c>
      <c r="G5701">
        <v>2000</v>
      </c>
      <c r="H5701">
        <f>AVERAGEIFS(Table1[value],Table1[IndicatorCode],Table1[[#This Row],[IndicatorCode]])</f>
        <v>24902.88753799392</v>
      </c>
      <c r="I5701" cm="1">
        <f t="array" ref="I5701">_xlfn.STDEV.P(IF(Table1[IndicatorCode]=Table1[[#This Row],[IndicatorCode]],Table1[value]))</f>
        <v>26324.778297809873</v>
      </c>
      <c r="J5701">
        <f>(Table1[[#This Row],[value]] - Table1[[#This Row],[mean]]) / Table1[[#This Row],[std_dev]]</f>
        <v>-0.11479251615370034</v>
      </c>
      <c r="K5701">
        <f>AVERAGEIF(Table1[CountryCode],Table1[[#This Row],[CountryCode]],Table1[z-score])</f>
        <v>6.3697920427276927E-2</v>
      </c>
      <c r="L5701" t="e">
        <f>VLOOKUP(Table1[[#This Row],[CountryCode]],[1]!Table1[#All],1,FALSE)</f>
        <v>#REF!</v>
      </c>
    </row>
    <row r="5702" spans="1:12" hidden="1" x14ac:dyDescent="0.3">
      <c r="A5702" t="s">
        <v>55</v>
      </c>
      <c r="B5702" t="s">
        <v>56</v>
      </c>
      <c r="C5702" t="s">
        <v>127</v>
      </c>
      <c r="D5702" t="s">
        <v>128</v>
      </c>
      <c r="E5702">
        <v>2006</v>
      </c>
      <c r="F5702" s="1">
        <v>23221</v>
      </c>
      <c r="G5702">
        <v>2000</v>
      </c>
      <c r="H5702">
        <f>AVERAGEIFS(Table1[value],Table1[IndicatorCode],Table1[[#This Row],[IndicatorCode]])</f>
        <v>24902.88753799392</v>
      </c>
      <c r="I5702" cm="1">
        <f t="array" ref="I5702">_xlfn.STDEV.P(IF(Table1[IndicatorCode]=Table1[[#This Row],[IndicatorCode]],Table1[value]))</f>
        <v>26324.778297809873</v>
      </c>
      <c r="J5702">
        <f>(Table1[[#This Row],[value]] - Table1[[#This Row],[mean]]) / Table1[[#This Row],[std_dev]]</f>
        <v>-6.3889903229834497E-2</v>
      </c>
      <c r="K5702">
        <f>AVERAGEIF(Table1[CountryCode],Table1[[#This Row],[CountryCode]],Table1[z-score])</f>
        <v>6.3697920427276927E-2</v>
      </c>
      <c r="L5702" t="e">
        <f>VLOOKUP(Table1[[#This Row],[CountryCode]],[1]!Table1[#All],1,FALSE)</f>
        <v>#REF!</v>
      </c>
    </row>
    <row r="5703" spans="1:12" hidden="1" x14ac:dyDescent="0.3">
      <c r="A5703" t="s">
        <v>55</v>
      </c>
      <c r="B5703" t="s">
        <v>56</v>
      </c>
      <c r="C5703" t="s">
        <v>127</v>
      </c>
      <c r="D5703" t="s">
        <v>128</v>
      </c>
      <c r="E5703">
        <v>2007</v>
      </c>
      <c r="F5703" s="1">
        <v>23974</v>
      </c>
      <c r="G5703">
        <v>2010</v>
      </c>
      <c r="H5703">
        <f>AVERAGEIFS(Table1[value],Table1[IndicatorCode],Table1[[#This Row],[IndicatorCode]])</f>
        <v>24902.88753799392</v>
      </c>
      <c r="I5703" cm="1">
        <f t="array" ref="I5703">_xlfn.STDEV.P(IF(Table1[IndicatorCode]=Table1[[#This Row],[IndicatorCode]],Table1[value]))</f>
        <v>26324.778297809873</v>
      </c>
      <c r="J5703">
        <f>(Table1[[#This Row],[value]] - Table1[[#This Row],[mean]]) / Table1[[#This Row],[std_dev]]</f>
        <v>-3.5285673728587492E-2</v>
      </c>
      <c r="K5703">
        <f>AVERAGEIF(Table1[CountryCode],Table1[[#This Row],[CountryCode]],Table1[z-score])</f>
        <v>6.3697920427276927E-2</v>
      </c>
      <c r="L5703" t="e">
        <f>VLOOKUP(Table1[[#This Row],[CountryCode]],[1]!Table1[#All],1,FALSE)</f>
        <v>#REF!</v>
      </c>
    </row>
    <row r="5704" spans="1:12" hidden="1" x14ac:dyDescent="0.3">
      <c r="A5704" t="s">
        <v>55</v>
      </c>
      <c r="B5704" t="s">
        <v>56</v>
      </c>
      <c r="C5704" t="s">
        <v>127</v>
      </c>
      <c r="D5704" t="s">
        <v>128</v>
      </c>
      <c r="E5704">
        <v>2008</v>
      </c>
      <c r="F5704" s="1">
        <v>23924</v>
      </c>
      <c r="G5704">
        <v>2010</v>
      </c>
      <c r="H5704">
        <f>AVERAGEIFS(Table1[value],Table1[IndicatorCode],Table1[[#This Row],[IndicatorCode]])</f>
        <v>24902.88753799392</v>
      </c>
      <c r="I5704" cm="1">
        <f t="array" ref="I5704">_xlfn.STDEV.P(IF(Table1[IndicatorCode]=Table1[[#This Row],[IndicatorCode]],Table1[value]))</f>
        <v>26324.778297809873</v>
      </c>
      <c r="J5704">
        <f>(Table1[[#This Row],[value]] - Table1[[#This Row],[mean]]) / Table1[[#This Row],[std_dev]]</f>
        <v>-3.7185024957089946E-2</v>
      </c>
      <c r="K5704">
        <f>AVERAGEIF(Table1[CountryCode],Table1[[#This Row],[CountryCode]],Table1[z-score])</f>
        <v>6.3697920427276927E-2</v>
      </c>
      <c r="L5704" t="e">
        <f>VLOOKUP(Table1[[#This Row],[CountryCode]],[1]!Table1[#All],1,FALSE)</f>
        <v>#REF!</v>
      </c>
    </row>
    <row r="5705" spans="1:12" hidden="1" x14ac:dyDescent="0.3">
      <c r="A5705" t="s">
        <v>55</v>
      </c>
      <c r="B5705" t="s">
        <v>56</v>
      </c>
      <c r="C5705" t="s">
        <v>127</v>
      </c>
      <c r="D5705" t="s">
        <v>128</v>
      </c>
      <c r="E5705">
        <v>2009</v>
      </c>
      <c r="F5705" s="1">
        <v>22878</v>
      </c>
      <c r="G5705">
        <v>2010</v>
      </c>
      <c r="H5705">
        <f>AVERAGEIFS(Table1[value],Table1[IndicatorCode],Table1[[#This Row],[IndicatorCode]])</f>
        <v>24902.88753799392</v>
      </c>
      <c r="I5705" cm="1">
        <f t="array" ref="I5705">_xlfn.STDEV.P(IF(Table1[IndicatorCode]=Table1[[#This Row],[IndicatorCode]],Table1[value]))</f>
        <v>26324.778297809873</v>
      </c>
      <c r="J5705">
        <f>(Table1[[#This Row],[value]] - Table1[[#This Row],[mean]]) / Table1[[#This Row],[std_dev]]</f>
        <v>-7.6919452657361345E-2</v>
      </c>
      <c r="K5705">
        <f>AVERAGEIF(Table1[CountryCode],Table1[[#This Row],[CountryCode]],Table1[z-score])</f>
        <v>6.3697920427276927E-2</v>
      </c>
      <c r="L5705" t="e">
        <f>VLOOKUP(Table1[[#This Row],[CountryCode]],[1]!Table1[#All],1,FALSE)</f>
        <v>#REF!</v>
      </c>
    </row>
    <row r="5706" spans="1:12" hidden="1" x14ac:dyDescent="0.3">
      <c r="A5706" t="s">
        <v>55</v>
      </c>
      <c r="B5706" t="s">
        <v>56</v>
      </c>
      <c r="C5706" t="s">
        <v>127</v>
      </c>
      <c r="D5706" t="s">
        <v>128</v>
      </c>
      <c r="E5706">
        <v>2010</v>
      </c>
      <c r="F5706" s="1">
        <v>21548</v>
      </c>
      <c r="G5706">
        <v>2010</v>
      </c>
      <c r="H5706">
        <f>AVERAGEIFS(Table1[value],Table1[IndicatorCode],Table1[[#This Row],[IndicatorCode]])</f>
        <v>24902.88753799392</v>
      </c>
      <c r="I5706" cm="1">
        <f t="array" ref="I5706">_xlfn.STDEV.P(IF(Table1[IndicatorCode]=Table1[[#This Row],[IndicatorCode]],Table1[value]))</f>
        <v>26324.778297809873</v>
      </c>
      <c r="J5706">
        <f>(Table1[[#This Row],[value]] - Table1[[#This Row],[mean]]) / Table1[[#This Row],[std_dev]]</f>
        <v>-0.1274421953355267</v>
      </c>
      <c r="K5706">
        <f>AVERAGEIF(Table1[CountryCode],Table1[[#This Row],[CountryCode]],Table1[z-score])</f>
        <v>6.3697920427276927E-2</v>
      </c>
      <c r="L5706" t="e">
        <f>VLOOKUP(Table1[[#This Row],[CountryCode]],[1]!Table1[#All],1,FALSE)</f>
        <v>#REF!</v>
      </c>
    </row>
    <row r="5707" spans="1:12" hidden="1" x14ac:dyDescent="0.3">
      <c r="A5707" t="s">
        <v>55</v>
      </c>
      <c r="B5707" t="s">
        <v>56</v>
      </c>
      <c r="C5707" t="s">
        <v>127</v>
      </c>
      <c r="D5707" t="s">
        <v>128</v>
      </c>
      <c r="E5707">
        <v>2011</v>
      </c>
      <c r="F5707" s="1">
        <v>19448</v>
      </c>
      <c r="G5707">
        <v>2010</v>
      </c>
      <c r="H5707">
        <f>AVERAGEIFS(Table1[value],Table1[IndicatorCode],Table1[[#This Row],[IndicatorCode]])</f>
        <v>24902.88753799392</v>
      </c>
      <c r="I5707" cm="1">
        <f t="array" ref="I5707">_xlfn.STDEV.P(IF(Table1[IndicatorCode]=Table1[[#This Row],[IndicatorCode]],Table1[value]))</f>
        <v>26324.778297809873</v>
      </c>
      <c r="J5707">
        <f>(Table1[[#This Row],[value]] - Table1[[#This Row],[mean]]) / Table1[[#This Row],[std_dev]]</f>
        <v>-0.2072149469326299</v>
      </c>
      <c r="K5707">
        <f>AVERAGEIF(Table1[CountryCode],Table1[[#This Row],[CountryCode]],Table1[z-score])</f>
        <v>6.3697920427276927E-2</v>
      </c>
      <c r="L5707" t="e">
        <f>VLOOKUP(Table1[[#This Row],[CountryCode]],[1]!Table1[#All],1,FALSE)</f>
        <v>#REF!</v>
      </c>
    </row>
    <row r="5708" spans="1:12" hidden="1" x14ac:dyDescent="0.3">
      <c r="A5708" t="s">
        <v>55</v>
      </c>
      <c r="B5708" t="s">
        <v>56</v>
      </c>
      <c r="C5708" t="s">
        <v>127</v>
      </c>
      <c r="D5708" t="s">
        <v>128</v>
      </c>
      <c r="E5708">
        <v>2012</v>
      </c>
      <c r="F5708" s="1">
        <v>17925</v>
      </c>
      <c r="G5708">
        <v>2010</v>
      </c>
      <c r="H5708">
        <f>AVERAGEIFS(Table1[value],Table1[IndicatorCode],Table1[[#This Row],[IndicatorCode]])</f>
        <v>24902.88753799392</v>
      </c>
      <c r="I5708" cm="1">
        <f t="array" ref="I5708">_xlfn.STDEV.P(IF(Table1[IndicatorCode]=Table1[[#This Row],[IndicatorCode]],Table1[value]))</f>
        <v>26324.778297809873</v>
      </c>
      <c r="J5708">
        <f>(Table1[[#This Row],[value]] - Table1[[#This Row],[mean]]) / Table1[[#This Row],[std_dev]]</f>
        <v>-0.26506918535281471</v>
      </c>
      <c r="K5708">
        <f>AVERAGEIF(Table1[CountryCode],Table1[[#This Row],[CountryCode]],Table1[z-score])</f>
        <v>6.3697920427276927E-2</v>
      </c>
      <c r="L5708" t="e">
        <f>VLOOKUP(Table1[[#This Row],[CountryCode]],[1]!Table1[#All],1,FALSE)</f>
        <v>#REF!</v>
      </c>
    </row>
    <row r="5709" spans="1:12" hidden="1" x14ac:dyDescent="0.3">
      <c r="A5709" t="s">
        <v>55</v>
      </c>
      <c r="B5709" t="s">
        <v>56</v>
      </c>
      <c r="C5709" t="s">
        <v>127</v>
      </c>
      <c r="D5709" t="s">
        <v>128</v>
      </c>
      <c r="E5709">
        <v>2013</v>
      </c>
      <c r="F5709" s="1">
        <v>17645</v>
      </c>
      <c r="G5709">
        <v>2010</v>
      </c>
      <c r="H5709">
        <f>AVERAGEIFS(Table1[value],Table1[IndicatorCode],Table1[[#This Row],[IndicatorCode]])</f>
        <v>24902.88753799392</v>
      </c>
      <c r="I5709" cm="1">
        <f t="array" ref="I5709">_xlfn.STDEV.P(IF(Table1[IndicatorCode]=Table1[[#This Row],[IndicatorCode]],Table1[value]))</f>
        <v>26324.778297809873</v>
      </c>
      <c r="J5709">
        <f>(Table1[[#This Row],[value]] - Table1[[#This Row],[mean]]) / Table1[[#This Row],[std_dev]]</f>
        <v>-0.27570555223242849</v>
      </c>
      <c r="K5709">
        <f>AVERAGEIF(Table1[CountryCode],Table1[[#This Row],[CountryCode]],Table1[z-score])</f>
        <v>6.3697920427276927E-2</v>
      </c>
      <c r="L5709" t="e">
        <f>VLOOKUP(Table1[[#This Row],[CountryCode]],[1]!Table1[#All],1,FALSE)</f>
        <v>#REF!</v>
      </c>
    </row>
    <row r="5710" spans="1:12" hidden="1" x14ac:dyDescent="0.3">
      <c r="A5710" t="s">
        <v>55</v>
      </c>
      <c r="B5710" t="s">
        <v>56</v>
      </c>
      <c r="C5710" t="s">
        <v>127</v>
      </c>
      <c r="D5710" t="s">
        <v>128</v>
      </c>
      <c r="E5710">
        <v>2014</v>
      </c>
      <c r="F5710" s="1">
        <v>17904</v>
      </c>
      <c r="G5710">
        <v>2010</v>
      </c>
      <c r="H5710">
        <f>AVERAGEIFS(Table1[value],Table1[IndicatorCode],Table1[[#This Row],[IndicatorCode]])</f>
        <v>24902.88753799392</v>
      </c>
      <c r="I5710" cm="1">
        <f t="array" ref="I5710">_xlfn.STDEV.P(IF(Table1[IndicatorCode]=Table1[[#This Row],[IndicatorCode]],Table1[value]))</f>
        <v>26324.778297809873</v>
      </c>
      <c r="J5710">
        <f>(Table1[[#This Row],[value]] - Table1[[#This Row],[mean]]) / Table1[[#This Row],[std_dev]]</f>
        <v>-0.26586691286878578</v>
      </c>
      <c r="K5710">
        <f>AVERAGEIF(Table1[CountryCode],Table1[[#This Row],[CountryCode]],Table1[z-score])</f>
        <v>6.3697920427276927E-2</v>
      </c>
      <c r="L5710" t="e">
        <f>VLOOKUP(Table1[[#This Row],[CountryCode]],[1]!Table1[#All],1,FALSE)</f>
        <v>#REF!</v>
      </c>
    </row>
    <row r="5711" spans="1:12" hidden="1" x14ac:dyDescent="0.3">
      <c r="A5711" t="s">
        <v>55</v>
      </c>
      <c r="B5711" t="s">
        <v>56</v>
      </c>
      <c r="C5711" t="s">
        <v>127</v>
      </c>
      <c r="D5711" t="s">
        <v>128</v>
      </c>
      <c r="E5711">
        <v>2015</v>
      </c>
      <c r="F5711" s="1">
        <v>17981</v>
      </c>
      <c r="G5711">
        <v>2010</v>
      </c>
      <c r="H5711">
        <f>AVERAGEIFS(Table1[value],Table1[IndicatorCode],Table1[[#This Row],[IndicatorCode]])</f>
        <v>24902.88753799392</v>
      </c>
      <c r="I5711" cm="1">
        <f t="array" ref="I5711">_xlfn.STDEV.P(IF(Table1[IndicatorCode]=Table1[[#This Row],[IndicatorCode]],Table1[value]))</f>
        <v>26324.778297809873</v>
      </c>
      <c r="J5711">
        <f>(Table1[[#This Row],[value]] - Table1[[#This Row],[mean]]) / Table1[[#This Row],[std_dev]]</f>
        <v>-0.26294191197689198</v>
      </c>
      <c r="K5711">
        <f>AVERAGEIF(Table1[CountryCode],Table1[[#This Row],[CountryCode]],Table1[z-score])</f>
        <v>6.3697920427276927E-2</v>
      </c>
      <c r="L5711" t="e">
        <f>VLOOKUP(Table1[[#This Row],[CountryCode]],[1]!Table1[#All],1,FALSE)</f>
        <v>#REF!</v>
      </c>
    </row>
    <row r="5712" spans="1:12" hidden="1" x14ac:dyDescent="0.3">
      <c r="A5712" t="s">
        <v>55</v>
      </c>
      <c r="B5712" t="s">
        <v>56</v>
      </c>
      <c r="C5712" t="s">
        <v>127</v>
      </c>
      <c r="D5712" t="s">
        <v>128</v>
      </c>
      <c r="E5712">
        <v>2016</v>
      </c>
      <c r="F5712" s="1">
        <v>18050</v>
      </c>
      <c r="G5712">
        <v>2010</v>
      </c>
      <c r="H5712">
        <f>AVERAGEIFS(Table1[value],Table1[IndicatorCode],Table1[[#This Row],[IndicatorCode]])</f>
        <v>24902.88753799392</v>
      </c>
      <c r="I5712" cm="1">
        <f t="array" ref="I5712">_xlfn.STDEV.P(IF(Table1[IndicatorCode]=Table1[[#This Row],[IndicatorCode]],Table1[value]))</f>
        <v>26324.778297809873</v>
      </c>
      <c r="J5712">
        <f>(Table1[[#This Row],[value]] - Table1[[#This Row],[mean]]) / Table1[[#This Row],[std_dev]]</f>
        <v>-0.2603208072815586</v>
      </c>
      <c r="K5712">
        <f>AVERAGEIF(Table1[CountryCode],Table1[[#This Row],[CountryCode]],Table1[z-score])</f>
        <v>6.3697920427276927E-2</v>
      </c>
      <c r="L5712" t="e">
        <f>VLOOKUP(Table1[[#This Row],[CountryCode]],[1]!Table1[#All],1,FALSE)</f>
        <v>#REF!</v>
      </c>
    </row>
    <row r="5713" spans="1:12" hidden="1" x14ac:dyDescent="0.3">
      <c r="A5713" t="s">
        <v>55</v>
      </c>
      <c r="B5713" t="s">
        <v>56</v>
      </c>
      <c r="C5713" t="s">
        <v>127</v>
      </c>
      <c r="D5713" t="s">
        <v>128</v>
      </c>
      <c r="E5713">
        <v>2017</v>
      </c>
      <c r="F5713" s="1">
        <v>18352</v>
      </c>
      <c r="G5713">
        <v>2020</v>
      </c>
      <c r="H5713">
        <f>AVERAGEIFS(Table1[value],Table1[IndicatorCode],Table1[[#This Row],[IndicatorCode]])</f>
        <v>24902.88753799392</v>
      </c>
      <c r="I5713" cm="1">
        <f t="array" ref="I5713">_xlfn.STDEV.P(IF(Table1[IndicatorCode]=Table1[[#This Row],[IndicatorCode]],Table1[value]))</f>
        <v>26324.778297809873</v>
      </c>
      <c r="J5713">
        <f>(Table1[[#This Row],[value]] - Table1[[#This Row],[mean]]) / Table1[[#This Row],[std_dev]]</f>
        <v>-0.24884872586140375</v>
      </c>
      <c r="K5713">
        <f>AVERAGEIF(Table1[CountryCode],Table1[[#This Row],[CountryCode]],Table1[z-score])</f>
        <v>6.3697920427276927E-2</v>
      </c>
      <c r="L5713" t="e">
        <f>VLOOKUP(Table1[[#This Row],[CountryCode]],[1]!Table1[#All],1,FALSE)</f>
        <v>#REF!</v>
      </c>
    </row>
    <row r="5714" spans="1:12" hidden="1" x14ac:dyDescent="0.3">
      <c r="A5714" t="s">
        <v>55</v>
      </c>
      <c r="B5714" t="s">
        <v>56</v>
      </c>
      <c r="C5714" t="s">
        <v>127</v>
      </c>
      <c r="D5714" t="s">
        <v>128</v>
      </c>
      <c r="E5714">
        <v>2018</v>
      </c>
      <c r="F5714" s="1">
        <v>18769</v>
      </c>
      <c r="G5714">
        <v>2020</v>
      </c>
      <c r="H5714">
        <f>AVERAGEIFS(Table1[value],Table1[IndicatorCode],Table1[[#This Row],[IndicatorCode]])</f>
        <v>24902.88753799392</v>
      </c>
      <c r="I5714" cm="1">
        <f t="array" ref="I5714">_xlfn.STDEV.P(IF(Table1[IndicatorCode]=Table1[[#This Row],[IndicatorCode]],Table1[value]))</f>
        <v>26324.778297809873</v>
      </c>
      <c r="J5714">
        <f>(Table1[[#This Row],[value]] - Table1[[#This Row],[mean]]) / Table1[[#This Row],[std_dev]]</f>
        <v>-0.23300813661569325</v>
      </c>
      <c r="K5714">
        <f>AVERAGEIF(Table1[CountryCode],Table1[[#This Row],[CountryCode]],Table1[z-score])</f>
        <v>6.3697920427276927E-2</v>
      </c>
      <c r="L5714" t="e">
        <f>VLOOKUP(Table1[[#This Row],[CountryCode]],[1]!Table1[#All],1,FALSE)</f>
        <v>#REF!</v>
      </c>
    </row>
    <row r="5715" spans="1:12" hidden="1" x14ac:dyDescent="0.3">
      <c r="A5715" t="s">
        <v>55</v>
      </c>
      <c r="B5715" t="s">
        <v>56</v>
      </c>
      <c r="C5715" t="s">
        <v>127</v>
      </c>
      <c r="D5715" t="s">
        <v>128</v>
      </c>
      <c r="E5715">
        <v>2019</v>
      </c>
      <c r="F5715" s="1">
        <v>19217</v>
      </c>
      <c r="G5715">
        <v>2020</v>
      </c>
      <c r="H5715">
        <f>AVERAGEIFS(Table1[value],Table1[IndicatorCode],Table1[[#This Row],[IndicatorCode]])</f>
        <v>24902.88753799392</v>
      </c>
      <c r="I5715" cm="1">
        <f t="array" ref="I5715">_xlfn.STDEV.P(IF(Table1[IndicatorCode]=Table1[[#This Row],[IndicatorCode]],Table1[value]))</f>
        <v>26324.778297809873</v>
      </c>
      <c r="J5715">
        <f>(Table1[[#This Row],[value]] - Table1[[#This Row],[mean]]) / Table1[[#This Row],[std_dev]]</f>
        <v>-0.21598994960831125</v>
      </c>
      <c r="K5715">
        <f>AVERAGEIF(Table1[CountryCode],Table1[[#This Row],[CountryCode]],Table1[z-score])</f>
        <v>6.3697920427276927E-2</v>
      </c>
      <c r="L5715" t="e">
        <f>VLOOKUP(Table1[[#This Row],[CountryCode]],[1]!Table1[#All],1,FALSE)</f>
        <v>#REF!</v>
      </c>
    </row>
    <row r="5716" spans="1:12" x14ac:dyDescent="0.3">
      <c r="A5716" t="s">
        <v>61</v>
      </c>
      <c r="B5716" t="s">
        <v>62</v>
      </c>
      <c r="C5716" t="s">
        <v>127</v>
      </c>
      <c r="D5716" t="s">
        <v>128</v>
      </c>
      <c r="E5716">
        <v>2020</v>
      </c>
      <c r="F5716" s="1">
        <v>14664</v>
      </c>
      <c r="G5716">
        <v>2020</v>
      </c>
      <c r="H5716">
        <f>AVERAGEIFS(Table1[value],Table1[IndicatorCode],Table1[[#This Row],[IndicatorCode]])</f>
        <v>24902.88753799392</v>
      </c>
      <c r="I5716" cm="1">
        <f t="array" ref="I5716">_xlfn.STDEV.P(IF(Table1[IndicatorCode]=Table1[[#This Row],[IndicatorCode]],Table1[value]))</f>
        <v>26324.778297809873</v>
      </c>
      <c r="J5716">
        <f>(Table1[[#This Row],[value]] - Table1[[#This Row],[mean]]) / Table1[[#This Row],[std_dev]]</f>
        <v>-0.388944872475745</v>
      </c>
      <c r="K5716">
        <f>AVERAGEIF(Table1[CountryCode],Table1[[#This Row],[CountryCode]],Table1[z-score])</f>
        <v>-0.27867415315004246</v>
      </c>
    </row>
    <row r="5717" spans="1:12" hidden="1" x14ac:dyDescent="0.3">
      <c r="A5717" t="s">
        <v>55</v>
      </c>
      <c r="B5717" t="s">
        <v>56</v>
      </c>
      <c r="C5717" t="s">
        <v>127</v>
      </c>
      <c r="D5717" t="s">
        <v>128</v>
      </c>
      <c r="E5717">
        <v>2021</v>
      </c>
      <c r="F5717" s="1">
        <v>19233</v>
      </c>
      <c r="G5717">
        <v>2020</v>
      </c>
      <c r="H5717">
        <f>AVERAGEIFS(Table1[value],Table1[IndicatorCode],Table1[[#This Row],[IndicatorCode]])</f>
        <v>24902.88753799392</v>
      </c>
      <c r="I5717" cm="1">
        <f t="array" ref="I5717">_xlfn.STDEV.P(IF(Table1[IndicatorCode]=Table1[[#This Row],[IndicatorCode]],Table1[value]))</f>
        <v>26324.778297809873</v>
      </c>
      <c r="J5717">
        <f>(Table1[[#This Row],[value]] - Table1[[#This Row],[mean]]) / Table1[[#This Row],[std_dev]]</f>
        <v>-0.21538215721519047</v>
      </c>
      <c r="K5717">
        <f>AVERAGEIF(Table1[CountryCode],Table1[[#This Row],[CountryCode]],Table1[z-score])</f>
        <v>6.3697920427276927E-2</v>
      </c>
      <c r="L5717" t="e">
        <f>VLOOKUP(Table1[[#This Row],[CountryCode]],[1]!Table1[#All],1,FALSE)</f>
        <v>#REF!</v>
      </c>
    </row>
    <row r="5718" spans="1:12" hidden="1" x14ac:dyDescent="0.3">
      <c r="A5718" t="s">
        <v>55</v>
      </c>
      <c r="B5718" t="s">
        <v>56</v>
      </c>
      <c r="C5718" t="s">
        <v>127</v>
      </c>
      <c r="D5718" t="s">
        <v>128</v>
      </c>
      <c r="E5718">
        <v>2022</v>
      </c>
      <c r="F5718" s="1">
        <v>20552</v>
      </c>
      <c r="G5718">
        <v>1970</v>
      </c>
      <c r="H5718">
        <f>AVERAGEIFS(Table1[value],Table1[IndicatorCode],Table1[[#This Row],[IndicatorCode]])</f>
        <v>24902.88753799392</v>
      </c>
      <c r="I5718" cm="1">
        <f t="array" ref="I5718">_xlfn.STDEV.P(IF(Table1[IndicatorCode]=Table1[[#This Row],[IndicatorCode]],Table1[value]))</f>
        <v>26324.778297809873</v>
      </c>
      <c r="J5718">
        <f>(Table1[[#This Row],[value]] - Table1[[#This Row],[mean]]) / Table1[[#This Row],[std_dev]]</f>
        <v>-0.16527727180729565</v>
      </c>
      <c r="K5718">
        <f>AVERAGEIF(Table1[CountryCode],Table1[[#This Row],[CountryCode]],Table1[z-score])</f>
        <v>6.3697920427276927E-2</v>
      </c>
      <c r="L5718" t="e">
        <f>VLOOKUP(Table1[[#This Row],[CountryCode]],[1]!Table1[#All],1,FALSE)</f>
        <v>#REF!</v>
      </c>
    </row>
    <row r="5719" spans="1:12" hidden="1" x14ac:dyDescent="0.3">
      <c r="A5719" t="s">
        <v>55</v>
      </c>
      <c r="B5719" t="s">
        <v>56</v>
      </c>
      <c r="C5719" t="s">
        <v>127</v>
      </c>
      <c r="D5719" t="s">
        <v>128</v>
      </c>
      <c r="E5719">
        <v>2023</v>
      </c>
      <c r="F5719" s="1">
        <v>21051</v>
      </c>
      <c r="G5719">
        <v>1970</v>
      </c>
      <c r="H5719">
        <f>AVERAGEIFS(Table1[value],Table1[IndicatorCode],Table1[[#This Row],[IndicatorCode]])</f>
        <v>24902.88753799392</v>
      </c>
      <c r="I5719" cm="1">
        <f t="array" ref="I5719">_xlfn.STDEV.P(IF(Table1[IndicatorCode]=Table1[[#This Row],[IndicatorCode]],Table1[value]))</f>
        <v>26324.778297809873</v>
      </c>
      <c r="J5719">
        <f>(Table1[[#This Row],[value]] - Table1[[#This Row],[mean]]) / Table1[[#This Row],[std_dev]]</f>
        <v>-0.14632174654684113</v>
      </c>
      <c r="K5719">
        <f>AVERAGEIF(Table1[CountryCode],Table1[[#This Row],[CountryCode]],Table1[z-score])</f>
        <v>6.3697920427276927E-2</v>
      </c>
      <c r="L5719" t="e">
        <f>VLOOKUP(Table1[[#This Row],[CountryCode]],[1]!Table1[#All],1,FALSE)</f>
        <v>#REF!</v>
      </c>
    </row>
    <row r="5720" spans="1:12" hidden="1" x14ac:dyDescent="0.3">
      <c r="A5720" t="s">
        <v>55</v>
      </c>
      <c r="B5720" t="s">
        <v>56</v>
      </c>
      <c r="C5720" t="s">
        <v>127</v>
      </c>
      <c r="D5720" t="s">
        <v>128</v>
      </c>
      <c r="E5720">
        <v>2024</v>
      </c>
      <c r="F5720" s="1">
        <v>21495</v>
      </c>
      <c r="G5720">
        <v>1970</v>
      </c>
      <c r="H5720">
        <f>AVERAGEIFS(Table1[value],Table1[IndicatorCode],Table1[[#This Row],[IndicatorCode]])</f>
        <v>24902.88753799392</v>
      </c>
      <c r="I5720" cm="1">
        <f t="array" ref="I5720">_xlfn.STDEV.P(IF(Table1[IndicatorCode]=Table1[[#This Row],[IndicatorCode]],Table1[value]))</f>
        <v>26324.778297809873</v>
      </c>
      <c r="J5720">
        <f>(Table1[[#This Row],[value]] - Table1[[#This Row],[mean]]) / Table1[[#This Row],[std_dev]]</f>
        <v>-0.1294555076377393</v>
      </c>
      <c r="K5720">
        <f>AVERAGEIF(Table1[CountryCode],Table1[[#This Row],[CountryCode]],Table1[z-score])</f>
        <v>6.3697920427276927E-2</v>
      </c>
      <c r="L5720" t="e">
        <f>VLOOKUP(Table1[[#This Row],[CountryCode]],[1]!Table1[#All],1,FALSE)</f>
        <v>#REF!</v>
      </c>
    </row>
    <row r="5721" spans="1:12" hidden="1" x14ac:dyDescent="0.3">
      <c r="A5721" t="s">
        <v>57</v>
      </c>
      <c r="B5721" t="s">
        <v>58</v>
      </c>
      <c r="C5721" t="s">
        <v>127</v>
      </c>
      <c r="D5721" t="s">
        <v>128</v>
      </c>
      <c r="E5721">
        <v>1970</v>
      </c>
      <c r="F5721" s="1">
        <v>15375</v>
      </c>
      <c r="G5721">
        <v>1970</v>
      </c>
      <c r="H5721">
        <f>AVERAGEIFS(Table1[value],Table1[IndicatorCode],Table1[[#This Row],[IndicatorCode]])</f>
        <v>24902.88753799392</v>
      </c>
      <c r="I5721" cm="1">
        <f t="array" ref="I5721">_xlfn.STDEV.P(IF(Table1[IndicatorCode]=Table1[[#This Row],[IndicatorCode]],Table1[value]))</f>
        <v>26324.778297809873</v>
      </c>
      <c r="J5721">
        <f>(Table1[[#This Row],[value]] - Table1[[#This Row],[mean]]) / Table1[[#This Row],[std_dev]]</f>
        <v>-0.36193609800644005</v>
      </c>
      <c r="K5721">
        <f>AVERAGEIF(Table1[CountryCode],Table1[[#This Row],[CountryCode]],Table1[z-score])</f>
        <v>-0.42188835181926676</v>
      </c>
      <c r="L5721" t="e">
        <f>VLOOKUP(Table1[[#This Row],[CountryCode]],[1]!Table1[#All],1,FALSE)</f>
        <v>#REF!</v>
      </c>
    </row>
    <row r="5722" spans="1:12" hidden="1" x14ac:dyDescent="0.3">
      <c r="A5722" t="s">
        <v>57</v>
      </c>
      <c r="B5722" t="s">
        <v>58</v>
      </c>
      <c r="C5722" t="s">
        <v>127</v>
      </c>
      <c r="D5722" t="s">
        <v>128</v>
      </c>
      <c r="E5722">
        <v>1971</v>
      </c>
      <c r="F5722" s="1">
        <v>17089</v>
      </c>
      <c r="G5722">
        <v>1970</v>
      </c>
      <c r="H5722">
        <f>AVERAGEIFS(Table1[value],Table1[IndicatorCode],Table1[[#This Row],[IndicatorCode]])</f>
        <v>24902.88753799392</v>
      </c>
      <c r="I5722" cm="1">
        <f t="array" ref="I5722">_xlfn.STDEV.P(IF(Table1[IndicatorCode]=Table1[[#This Row],[IndicatorCode]],Table1[value]))</f>
        <v>26324.778297809873</v>
      </c>
      <c r="J5722">
        <f>(Table1[[#This Row],[value]] - Table1[[#This Row],[mean]]) / Table1[[#This Row],[std_dev]]</f>
        <v>-0.29682633789337581</v>
      </c>
      <c r="K5722">
        <f>AVERAGEIF(Table1[CountryCode],Table1[[#This Row],[CountryCode]],Table1[z-score])</f>
        <v>-0.42188835181926676</v>
      </c>
      <c r="L5722" t="e">
        <f>VLOOKUP(Table1[[#This Row],[CountryCode]],[1]!Table1[#All],1,FALSE)</f>
        <v>#REF!</v>
      </c>
    </row>
    <row r="5723" spans="1:12" hidden="1" x14ac:dyDescent="0.3">
      <c r="A5723" t="s">
        <v>57</v>
      </c>
      <c r="B5723" t="s">
        <v>58</v>
      </c>
      <c r="C5723" t="s">
        <v>127</v>
      </c>
      <c r="D5723" t="s">
        <v>128</v>
      </c>
      <c r="E5723">
        <v>1972</v>
      </c>
      <c r="F5723" s="1">
        <v>17731</v>
      </c>
      <c r="G5723">
        <v>1970</v>
      </c>
      <c r="H5723">
        <f>AVERAGEIFS(Table1[value],Table1[IndicatorCode],Table1[[#This Row],[IndicatorCode]])</f>
        <v>24902.88753799392</v>
      </c>
      <c r="I5723" cm="1">
        <f t="array" ref="I5723">_xlfn.STDEV.P(IF(Table1[IndicatorCode]=Table1[[#This Row],[IndicatorCode]],Table1[value]))</f>
        <v>26324.778297809873</v>
      </c>
      <c r="J5723">
        <f>(Table1[[#This Row],[value]] - Table1[[#This Row],[mean]]) / Table1[[#This Row],[std_dev]]</f>
        <v>-0.27243866811940426</v>
      </c>
      <c r="K5723">
        <f>AVERAGEIF(Table1[CountryCode],Table1[[#This Row],[CountryCode]],Table1[z-score])</f>
        <v>-0.42188835181926676</v>
      </c>
      <c r="L5723" t="e">
        <f>VLOOKUP(Table1[[#This Row],[CountryCode]],[1]!Table1[#All],1,FALSE)</f>
        <v>#REF!</v>
      </c>
    </row>
    <row r="5724" spans="1:12" hidden="1" x14ac:dyDescent="0.3">
      <c r="A5724" t="s">
        <v>57</v>
      </c>
      <c r="B5724" t="s">
        <v>58</v>
      </c>
      <c r="C5724" t="s">
        <v>127</v>
      </c>
      <c r="D5724" t="s">
        <v>128</v>
      </c>
      <c r="E5724">
        <v>1973</v>
      </c>
      <c r="F5724" s="1">
        <v>18667</v>
      </c>
      <c r="G5724">
        <v>1970</v>
      </c>
      <c r="H5724">
        <f>AVERAGEIFS(Table1[value],Table1[IndicatorCode],Table1[[#This Row],[IndicatorCode]])</f>
        <v>24902.88753799392</v>
      </c>
      <c r="I5724" cm="1">
        <f t="array" ref="I5724">_xlfn.STDEV.P(IF(Table1[IndicatorCode]=Table1[[#This Row],[IndicatorCode]],Table1[value]))</f>
        <v>26324.778297809873</v>
      </c>
      <c r="J5724">
        <f>(Table1[[#This Row],[value]] - Table1[[#This Row],[mean]]) / Table1[[#This Row],[std_dev]]</f>
        <v>-0.23688281312183826</v>
      </c>
      <c r="K5724">
        <f>AVERAGEIF(Table1[CountryCode],Table1[[#This Row],[CountryCode]],Table1[z-score])</f>
        <v>-0.42188835181926676</v>
      </c>
      <c r="L5724" t="e">
        <f>VLOOKUP(Table1[[#This Row],[CountryCode]],[1]!Table1[#All],1,FALSE)</f>
        <v>#REF!</v>
      </c>
    </row>
    <row r="5725" spans="1:12" hidden="1" x14ac:dyDescent="0.3">
      <c r="A5725" t="s">
        <v>57</v>
      </c>
      <c r="B5725" t="s">
        <v>58</v>
      </c>
      <c r="C5725" t="s">
        <v>127</v>
      </c>
      <c r="D5725" t="s">
        <v>128</v>
      </c>
      <c r="E5725">
        <v>1974</v>
      </c>
      <c r="F5725" s="1">
        <v>19533</v>
      </c>
      <c r="G5725">
        <v>1970</v>
      </c>
      <c r="H5725">
        <f>AVERAGEIFS(Table1[value],Table1[IndicatorCode],Table1[[#This Row],[IndicatorCode]])</f>
        <v>24902.88753799392</v>
      </c>
      <c r="I5725" cm="1">
        <f t="array" ref="I5725">_xlfn.STDEV.P(IF(Table1[IndicatorCode]=Table1[[#This Row],[IndicatorCode]],Table1[value]))</f>
        <v>26324.778297809873</v>
      </c>
      <c r="J5725">
        <f>(Table1[[#This Row],[value]] - Table1[[#This Row],[mean]]) / Table1[[#This Row],[std_dev]]</f>
        <v>-0.20398604984417573</v>
      </c>
      <c r="K5725">
        <f>AVERAGEIF(Table1[CountryCode],Table1[[#This Row],[CountryCode]],Table1[z-score])</f>
        <v>-0.42188835181926676</v>
      </c>
      <c r="L5725" t="e">
        <f>VLOOKUP(Table1[[#This Row],[CountryCode]],[1]!Table1[#All],1,FALSE)</f>
        <v>#REF!</v>
      </c>
    </row>
    <row r="5726" spans="1:12" hidden="1" x14ac:dyDescent="0.3">
      <c r="A5726" t="s">
        <v>57</v>
      </c>
      <c r="B5726" t="s">
        <v>58</v>
      </c>
      <c r="C5726" t="s">
        <v>127</v>
      </c>
      <c r="D5726" t="s">
        <v>128</v>
      </c>
      <c r="E5726">
        <v>1975</v>
      </c>
      <c r="F5726" s="1">
        <v>19620</v>
      </c>
      <c r="G5726">
        <v>1970</v>
      </c>
      <c r="H5726">
        <f>AVERAGEIFS(Table1[value],Table1[IndicatorCode],Table1[[#This Row],[IndicatorCode]])</f>
        <v>24902.88753799392</v>
      </c>
      <c r="I5726" cm="1">
        <f t="array" ref="I5726">_xlfn.STDEV.P(IF(Table1[IndicatorCode]=Table1[[#This Row],[IndicatorCode]],Table1[value]))</f>
        <v>26324.778297809873</v>
      </c>
      <c r="J5726">
        <f>(Table1[[#This Row],[value]] - Table1[[#This Row],[mean]]) / Table1[[#This Row],[std_dev]]</f>
        <v>-0.20068117870658145</v>
      </c>
      <c r="K5726">
        <f>AVERAGEIF(Table1[CountryCode],Table1[[#This Row],[CountryCode]],Table1[z-score])</f>
        <v>-0.42188835181926676</v>
      </c>
      <c r="L5726" t="e">
        <f>VLOOKUP(Table1[[#This Row],[CountryCode]],[1]!Table1[#All],1,FALSE)</f>
        <v>#REF!</v>
      </c>
    </row>
    <row r="5727" spans="1:12" hidden="1" x14ac:dyDescent="0.3">
      <c r="A5727" t="s">
        <v>57</v>
      </c>
      <c r="B5727" t="s">
        <v>58</v>
      </c>
      <c r="C5727" t="s">
        <v>127</v>
      </c>
      <c r="D5727" t="s">
        <v>128</v>
      </c>
      <c r="E5727">
        <v>1976</v>
      </c>
      <c r="F5727" s="1">
        <v>20747</v>
      </c>
      <c r="G5727">
        <v>1970</v>
      </c>
      <c r="H5727">
        <f>AVERAGEIFS(Table1[value],Table1[IndicatorCode],Table1[[#This Row],[IndicatorCode]])</f>
        <v>24902.88753799392</v>
      </c>
      <c r="I5727" cm="1">
        <f t="array" ref="I5727">_xlfn.STDEV.P(IF(Table1[IndicatorCode]=Table1[[#This Row],[IndicatorCode]],Table1[value]))</f>
        <v>26324.778297809873</v>
      </c>
      <c r="J5727">
        <f>(Table1[[#This Row],[value]] - Table1[[#This Row],[mean]]) / Table1[[#This Row],[std_dev]]</f>
        <v>-0.15786980201613607</v>
      </c>
      <c r="K5727">
        <f>AVERAGEIF(Table1[CountryCode],Table1[[#This Row],[CountryCode]],Table1[z-score])</f>
        <v>-0.42188835181926676</v>
      </c>
      <c r="L5727" t="e">
        <f>VLOOKUP(Table1[[#This Row],[CountryCode]],[1]!Table1[#All],1,FALSE)</f>
        <v>#REF!</v>
      </c>
    </row>
    <row r="5728" spans="1:12" hidden="1" x14ac:dyDescent="0.3">
      <c r="A5728" t="s">
        <v>57</v>
      </c>
      <c r="B5728" t="s">
        <v>58</v>
      </c>
      <c r="C5728" t="s">
        <v>127</v>
      </c>
      <c r="D5728" t="s">
        <v>128</v>
      </c>
      <c r="E5728">
        <v>1977</v>
      </c>
      <c r="F5728" s="1">
        <v>22715</v>
      </c>
      <c r="G5728">
        <v>1980</v>
      </c>
      <c r="H5728">
        <f>AVERAGEIFS(Table1[value],Table1[IndicatorCode],Table1[[#This Row],[IndicatorCode]])</f>
        <v>24902.88753799392</v>
      </c>
      <c r="I5728" cm="1">
        <f t="array" ref="I5728">_xlfn.STDEV.P(IF(Table1[IndicatorCode]=Table1[[#This Row],[IndicatorCode]],Table1[value]))</f>
        <v>26324.778297809873</v>
      </c>
      <c r="J5728">
        <f>(Table1[[#This Row],[value]] - Table1[[#This Row],[mean]]) / Table1[[#This Row],[std_dev]]</f>
        <v>-8.3111337662279364E-2</v>
      </c>
      <c r="K5728">
        <f>AVERAGEIF(Table1[CountryCode],Table1[[#This Row],[CountryCode]],Table1[z-score])</f>
        <v>-0.42188835181926676</v>
      </c>
      <c r="L5728" t="e">
        <f>VLOOKUP(Table1[[#This Row],[CountryCode]],[1]!Table1[#All],1,FALSE)</f>
        <v>#REF!</v>
      </c>
    </row>
    <row r="5729" spans="1:12" hidden="1" x14ac:dyDescent="0.3">
      <c r="A5729" t="s">
        <v>57</v>
      </c>
      <c r="B5729" t="s">
        <v>58</v>
      </c>
      <c r="C5729" t="s">
        <v>127</v>
      </c>
      <c r="D5729" t="s">
        <v>128</v>
      </c>
      <c r="E5729">
        <v>1978</v>
      </c>
      <c r="F5729" s="1">
        <v>24179</v>
      </c>
      <c r="G5729">
        <v>1980</v>
      </c>
      <c r="H5729">
        <f>AVERAGEIFS(Table1[value],Table1[IndicatorCode],Table1[[#This Row],[IndicatorCode]])</f>
        <v>24902.88753799392</v>
      </c>
      <c r="I5729" cm="1">
        <f t="array" ref="I5729">_xlfn.STDEV.P(IF(Table1[IndicatorCode]=Table1[[#This Row],[IndicatorCode]],Table1[value]))</f>
        <v>26324.778297809873</v>
      </c>
      <c r="J5729">
        <f>(Table1[[#This Row],[value]] - Table1[[#This Row],[mean]]) / Table1[[#This Row],[std_dev]]</f>
        <v>-2.7498333691727418E-2</v>
      </c>
      <c r="K5729">
        <f>AVERAGEIF(Table1[CountryCode],Table1[[#This Row],[CountryCode]],Table1[z-score])</f>
        <v>-0.42188835181926676</v>
      </c>
      <c r="L5729" t="e">
        <f>VLOOKUP(Table1[[#This Row],[CountryCode]],[1]!Table1[#All],1,FALSE)</f>
        <v>#REF!</v>
      </c>
    </row>
    <row r="5730" spans="1:12" hidden="1" x14ac:dyDescent="0.3">
      <c r="A5730" t="s">
        <v>57</v>
      </c>
      <c r="B5730" t="s">
        <v>58</v>
      </c>
      <c r="C5730" t="s">
        <v>127</v>
      </c>
      <c r="D5730" t="s">
        <v>128</v>
      </c>
      <c r="E5730">
        <v>1979</v>
      </c>
      <c r="F5730" s="1">
        <v>25150</v>
      </c>
      <c r="G5730">
        <v>1980</v>
      </c>
      <c r="H5730">
        <f>AVERAGEIFS(Table1[value],Table1[IndicatorCode],Table1[[#This Row],[IndicatorCode]])</f>
        <v>24902.88753799392</v>
      </c>
      <c r="I5730" cm="1">
        <f t="array" ref="I5730">_xlfn.STDEV.P(IF(Table1[IndicatorCode]=Table1[[#This Row],[IndicatorCode]],Table1[value]))</f>
        <v>26324.778297809873</v>
      </c>
      <c r="J5730">
        <f>(Table1[[#This Row],[value]] - Table1[[#This Row],[mean]]) / Table1[[#This Row],[std_dev]]</f>
        <v>9.3870671657902954E-3</v>
      </c>
      <c r="K5730">
        <f>AVERAGEIF(Table1[CountryCode],Table1[[#This Row],[CountryCode]],Table1[z-score])</f>
        <v>-0.42188835181926676</v>
      </c>
      <c r="L5730" t="e">
        <f>VLOOKUP(Table1[[#This Row],[CountryCode]],[1]!Table1[#All],1,FALSE)</f>
        <v>#REF!</v>
      </c>
    </row>
    <row r="5731" spans="1:12" hidden="1" x14ac:dyDescent="0.3">
      <c r="A5731" t="s">
        <v>57</v>
      </c>
      <c r="B5731" t="s">
        <v>58</v>
      </c>
      <c r="C5731" t="s">
        <v>127</v>
      </c>
      <c r="D5731" t="s">
        <v>128</v>
      </c>
      <c r="E5731">
        <v>1980</v>
      </c>
      <c r="F5731" s="1">
        <v>27005</v>
      </c>
      <c r="G5731">
        <v>1980</v>
      </c>
      <c r="H5731">
        <f>AVERAGEIFS(Table1[value],Table1[IndicatorCode],Table1[[#This Row],[IndicatorCode]])</f>
        <v>24902.88753799392</v>
      </c>
      <c r="I5731" cm="1">
        <f t="array" ref="I5731">_xlfn.STDEV.P(IF(Table1[IndicatorCode]=Table1[[#This Row],[IndicatorCode]],Table1[value]))</f>
        <v>26324.778297809873</v>
      </c>
      <c r="J5731">
        <f>(Table1[[#This Row],[value]] - Table1[[#This Row],[mean]]) / Table1[[#This Row],[std_dev]]</f>
        <v>7.9852997743231444E-2</v>
      </c>
      <c r="K5731">
        <f>AVERAGEIF(Table1[CountryCode],Table1[[#This Row],[CountryCode]],Table1[z-score])</f>
        <v>-0.42188835181926676</v>
      </c>
      <c r="L5731" t="e">
        <f>VLOOKUP(Table1[[#This Row],[CountryCode]],[1]!Table1[#All],1,FALSE)</f>
        <v>#REF!</v>
      </c>
    </row>
    <row r="5732" spans="1:12" hidden="1" x14ac:dyDescent="0.3">
      <c r="A5732" t="s">
        <v>57</v>
      </c>
      <c r="B5732" t="s">
        <v>58</v>
      </c>
      <c r="C5732" t="s">
        <v>127</v>
      </c>
      <c r="D5732" t="s">
        <v>128</v>
      </c>
      <c r="E5732">
        <v>1981</v>
      </c>
      <c r="F5732" s="1">
        <v>26759</v>
      </c>
      <c r="G5732">
        <v>1980</v>
      </c>
      <c r="H5732">
        <f>AVERAGEIFS(Table1[value],Table1[IndicatorCode],Table1[[#This Row],[IndicatorCode]])</f>
        <v>24902.88753799392</v>
      </c>
      <c r="I5732" cm="1">
        <f t="array" ref="I5732">_xlfn.STDEV.P(IF(Table1[IndicatorCode]=Table1[[#This Row],[IndicatorCode]],Table1[value]))</f>
        <v>26324.778297809873</v>
      </c>
      <c r="J5732">
        <f>(Table1[[#This Row],[value]] - Table1[[#This Row],[mean]]) / Table1[[#This Row],[std_dev]]</f>
        <v>7.0508189698999357E-2</v>
      </c>
      <c r="K5732">
        <f>AVERAGEIF(Table1[CountryCode],Table1[[#This Row],[CountryCode]],Table1[z-score])</f>
        <v>-0.42188835181926676</v>
      </c>
      <c r="L5732" t="e">
        <f>VLOOKUP(Table1[[#This Row],[CountryCode]],[1]!Table1[#All],1,FALSE)</f>
        <v>#REF!</v>
      </c>
    </row>
    <row r="5733" spans="1:12" hidden="1" x14ac:dyDescent="0.3">
      <c r="A5733" t="s">
        <v>57</v>
      </c>
      <c r="B5733" t="s">
        <v>58</v>
      </c>
      <c r="C5733" t="s">
        <v>127</v>
      </c>
      <c r="D5733" t="s">
        <v>128</v>
      </c>
      <c r="E5733">
        <v>1982</v>
      </c>
      <c r="F5733" s="1">
        <v>25328</v>
      </c>
      <c r="G5733">
        <v>1980</v>
      </c>
      <c r="H5733">
        <f>AVERAGEIFS(Table1[value],Table1[IndicatorCode],Table1[[#This Row],[IndicatorCode]])</f>
        <v>24902.88753799392</v>
      </c>
      <c r="I5733" cm="1">
        <f t="array" ref="I5733">_xlfn.STDEV.P(IF(Table1[IndicatorCode]=Table1[[#This Row],[IndicatorCode]],Table1[value]))</f>
        <v>26324.778297809873</v>
      </c>
      <c r="J5733">
        <f>(Table1[[#This Row],[value]] - Table1[[#This Row],[mean]]) / Table1[[#This Row],[std_dev]]</f>
        <v>1.6148757539259043E-2</v>
      </c>
      <c r="K5733">
        <f>AVERAGEIF(Table1[CountryCode],Table1[[#This Row],[CountryCode]],Table1[z-score])</f>
        <v>-0.42188835181926676</v>
      </c>
      <c r="L5733" t="e">
        <f>VLOOKUP(Table1[[#This Row],[CountryCode]],[1]!Table1[#All],1,FALSE)</f>
        <v>#REF!</v>
      </c>
    </row>
    <row r="5734" spans="1:12" hidden="1" x14ac:dyDescent="0.3">
      <c r="A5734" t="s">
        <v>57</v>
      </c>
      <c r="B5734" t="s">
        <v>58</v>
      </c>
      <c r="C5734" t="s">
        <v>127</v>
      </c>
      <c r="D5734" t="s">
        <v>128</v>
      </c>
      <c r="E5734">
        <v>1983</v>
      </c>
      <c r="F5734" s="1">
        <v>25901</v>
      </c>
      <c r="G5734">
        <v>1980</v>
      </c>
      <c r="H5734">
        <f>AVERAGEIFS(Table1[value],Table1[IndicatorCode],Table1[[#This Row],[IndicatorCode]])</f>
        <v>24902.88753799392</v>
      </c>
      <c r="I5734" cm="1">
        <f t="array" ref="I5734">_xlfn.STDEV.P(IF(Table1[IndicatorCode]=Table1[[#This Row],[IndicatorCode]],Table1[value]))</f>
        <v>26324.778297809873</v>
      </c>
      <c r="J5734">
        <f>(Table1[[#This Row],[value]] - Table1[[#This Row],[mean]]) / Table1[[#This Row],[std_dev]]</f>
        <v>3.79153226178972E-2</v>
      </c>
      <c r="K5734">
        <f>AVERAGEIF(Table1[CountryCode],Table1[[#This Row],[CountryCode]],Table1[z-score])</f>
        <v>-0.42188835181926676</v>
      </c>
      <c r="L5734" t="e">
        <f>VLOOKUP(Table1[[#This Row],[CountryCode]],[1]!Table1[#All],1,FALSE)</f>
        <v>#REF!</v>
      </c>
    </row>
    <row r="5735" spans="1:12" hidden="1" x14ac:dyDescent="0.3">
      <c r="A5735" t="s">
        <v>57</v>
      </c>
      <c r="B5735" t="s">
        <v>58</v>
      </c>
      <c r="C5735" t="s">
        <v>127</v>
      </c>
      <c r="D5735" t="s">
        <v>128</v>
      </c>
      <c r="E5735">
        <v>1984</v>
      </c>
      <c r="F5735" s="1">
        <v>24280</v>
      </c>
      <c r="G5735">
        <v>1980</v>
      </c>
      <c r="H5735">
        <f>AVERAGEIFS(Table1[value],Table1[IndicatorCode],Table1[[#This Row],[IndicatorCode]])</f>
        <v>24902.88753799392</v>
      </c>
      <c r="I5735" cm="1">
        <f t="array" ref="I5735">_xlfn.STDEV.P(IF(Table1[IndicatorCode]=Table1[[#This Row],[IndicatorCode]],Table1[value]))</f>
        <v>26324.778297809873</v>
      </c>
      <c r="J5735">
        <f>(Table1[[#This Row],[value]] - Table1[[#This Row],[mean]]) / Table1[[#This Row],[std_dev]]</f>
        <v>-2.3661644210152454E-2</v>
      </c>
      <c r="K5735">
        <f>AVERAGEIF(Table1[CountryCode],Table1[[#This Row],[CountryCode]],Table1[z-score])</f>
        <v>-0.42188835181926676</v>
      </c>
      <c r="L5735" t="e">
        <f>VLOOKUP(Table1[[#This Row],[CountryCode]],[1]!Table1[#All],1,FALSE)</f>
        <v>#REF!</v>
      </c>
    </row>
    <row r="5736" spans="1:12" hidden="1" x14ac:dyDescent="0.3">
      <c r="A5736" t="s">
        <v>57</v>
      </c>
      <c r="B5736" t="s">
        <v>58</v>
      </c>
      <c r="C5736" t="s">
        <v>127</v>
      </c>
      <c r="D5736" t="s">
        <v>128</v>
      </c>
      <c r="E5736">
        <v>1985</v>
      </c>
      <c r="F5736" s="1">
        <v>24931</v>
      </c>
      <c r="G5736">
        <v>1980</v>
      </c>
      <c r="H5736">
        <f>AVERAGEIFS(Table1[value],Table1[IndicatorCode],Table1[[#This Row],[IndicatorCode]])</f>
        <v>24902.88753799392</v>
      </c>
      <c r="I5736" cm="1">
        <f t="array" ref="I5736">_xlfn.STDEV.P(IF(Table1[IndicatorCode]=Table1[[#This Row],[IndicatorCode]],Table1[value]))</f>
        <v>26324.778297809873</v>
      </c>
      <c r="J5736">
        <f>(Table1[[#This Row],[value]] - Table1[[#This Row],[mean]]) / Table1[[#This Row],[std_dev]]</f>
        <v>1.0679087849495346E-3</v>
      </c>
      <c r="K5736">
        <f>AVERAGEIF(Table1[CountryCode],Table1[[#This Row],[CountryCode]],Table1[z-score])</f>
        <v>-0.42188835181926676</v>
      </c>
      <c r="L5736" t="e">
        <f>VLOOKUP(Table1[[#This Row],[CountryCode]],[1]!Table1[#All],1,FALSE)</f>
        <v>#REF!</v>
      </c>
    </row>
    <row r="5737" spans="1:12" hidden="1" x14ac:dyDescent="0.3">
      <c r="A5737" t="s">
        <v>57</v>
      </c>
      <c r="B5737" t="s">
        <v>58</v>
      </c>
      <c r="C5737" t="s">
        <v>127</v>
      </c>
      <c r="D5737" t="s">
        <v>128</v>
      </c>
      <c r="E5737">
        <v>1986</v>
      </c>
      <c r="F5737" s="1">
        <v>26551</v>
      </c>
      <c r="G5737">
        <v>1980</v>
      </c>
      <c r="H5737">
        <f>AVERAGEIFS(Table1[value],Table1[IndicatorCode],Table1[[#This Row],[IndicatorCode]])</f>
        <v>24902.88753799392</v>
      </c>
      <c r="I5737" cm="1">
        <f t="array" ref="I5737">_xlfn.STDEV.P(IF(Table1[IndicatorCode]=Table1[[#This Row],[IndicatorCode]],Table1[value]))</f>
        <v>26324.778297809873</v>
      </c>
      <c r="J5737">
        <f>(Table1[[#This Row],[value]] - Table1[[#This Row],[mean]]) / Table1[[#This Row],[std_dev]]</f>
        <v>6.2606888588429138E-2</v>
      </c>
      <c r="K5737">
        <f>AVERAGEIF(Table1[CountryCode],Table1[[#This Row],[CountryCode]],Table1[z-score])</f>
        <v>-0.42188835181926676</v>
      </c>
      <c r="L5737" t="e">
        <f>VLOOKUP(Table1[[#This Row],[CountryCode]],[1]!Table1[#All],1,FALSE)</f>
        <v>#REF!</v>
      </c>
    </row>
    <row r="5738" spans="1:12" hidden="1" x14ac:dyDescent="0.3">
      <c r="A5738" t="s">
        <v>57</v>
      </c>
      <c r="B5738" t="s">
        <v>58</v>
      </c>
      <c r="C5738" t="s">
        <v>127</v>
      </c>
      <c r="D5738" t="s">
        <v>128</v>
      </c>
      <c r="E5738">
        <v>1987</v>
      </c>
      <c r="F5738" s="1">
        <v>27705</v>
      </c>
      <c r="G5738">
        <v>1990</v>
      </c>
      <c r="H5738">
        <f>AVERAGEIFS(Table1[value],Table1[IndicatorCode],Table1[[#This Row],[IndicatorCode]])</f>
        <v>24902.88753799392</v>
      </c>
      <c r="I5738" cm="1">
        <f t="array" ref="I5738">_xlfn.STDEV.P(IF(Table1[IndicatorCode]=Table1[[#This Row],[IndicatorCode]],Table1[value]))</f>
        <v>26324.778297809873</v>
      </c>
      <c r="J5738">
        <f>(Table1[[#This Row],[value]] - Table1[[#This Row],[mean]]) / Table1[[#This Row],[std_dev]]</f>
        <v>0.10644391494226585</v>
      </c>
      <c r="K5738">
        <f>AVERAGEIF(Table1[CountryCode],Table1[[#This Row],[CountryCode]],Table1[z-score])</f>
        <v>-0.42188835181926676</v>
      </c>
      <c r="L5738" t="e">
        <f>VLOOKUP(Table1[[#This Row],[CountryCode]],[1]!Table1[#All],1,FALSE)</f>
        <v>#REF!</v>
      </c>
    </row>
    <row r="5739" spans="1:12" hidden="1" x14ac:dyDescent="0.3">
      <c r="A5739" t="s">
        <v>57</v>
      </c>
      <c r="B5739" t="s">
        <v>58</v>
      </c>
      <c r="C5739" t="s">
        <v>127</v>
      </c>
      <c r="D5739" t="s">
        <v>128</v>
      </c>
      <c r="E5739">
        <v>1988</v>
      </c>
      <c r="F5739" s="1">
        <v>28884</v>
      </c>
      <c r="G5739">
        <v>1990</v>
      </c>
      <c r="H5739">
        <f>AVERAGEIFS(Table1[value],Table1[IndicatorCode],Table1[[#This Row],[IndicatorCode]])</f>
        <v>24902.88753799392</v>
      </c>
      <c r="I5739" cm="1">
        <f t="array" ref="I5739">_xlfn.STDEV.P(IF(Table1[IndicatorCode]=Table1[[#This Row],[IndicatorCode]],Table1[value]))</f>
        <v>26324.778297809873</v>
      </c>
      <c r="J5739">
        <f>(Table1[[#This Row],[value]] - Table1[[#This Row],[mean]]) / Table1[[#This Row],[std_dev]]</f>
        <v>0.15123061691035378</v>
      </c>
      <c r="K5739">
        <f>AVERAGEIF(Table1[CountryCode],Table1[[#This Row],[CountryCode]],Table1[z-score])</f>
        <v>-0.42188835181926676</v>
      </c>
      <c r="L5739" t="e">
        <f>VLOOKUP(Table1[[#This Row],[CountryCode]],[1]!Table1[#All],1,FALSE)</f>
        <v>#REF!</v>
      </c>
    </row>
    <row r="5740" spans="1:12" hidden="1" x14ac:dyDescent="0.3">
      <c r="A5740" t="s">
        <v>57</v>
      </c>
      <c r="B5740" t="s">
        <v>58</v>
      </c>
      <c r="C5740" t="s">
        <v>127</v>
      </c>
      <c r="D5740" t="s">
        <v>128</v>
      </c>
      <c r="E5740">
        <v>1989</v>
      </c>
      <c r="F5740" s="1">
        <v>30529</v>
      </c>
      <c r="G5740">
        <v>1990</v>
      </c>
      <c r="H5740">
        <f>AVERAGEIFS(Table1[value],Table1[IndicatorCode],Table1[[#This Row],[IndicatorCode]])</f>
        <v>24902.88753799392</v>
      </c>
      <c r="I5740" cm="1">
        <f t="array" ref="I5740">_xlfn.STDEV.P(IF(Table1[IndicatorCode]=Table1[[#This Row],[IndicatorCode]],Table1[value]))</f>
        <v>26324.778297809873</v>
      </c>
      <c r="J5740">
        <f>(Table1[[#This Row],[value]] - Table1[[#This Row],[mean]]) / Table1[[#This Row],[std_dev]]</f>
        <v>0.2137192723280846</v>
      </c>
      <c r="K5740">
        <f>AVERAGEIF(Table1[CountryCode],Table1[[#This Row],[CountryCode]],Table1[z-score])</f>
        <v>-0.42188835181926676</v>
      </c>
      <c r="L5740" t="e">
        <f>VLOOKUP(Table1[[#This Row],[CountryCode]],[1]!Table1[#All],1,FALSE)</f>
        <v>#REF!</v>
      </c>
    </row>
    <row r="5741" spans="1:12" hidden="1" x14ac:dyDescent="0.3">
      <c r="A5741" t="s">
        <v>57</v>
      </c>
      <c r="B5741" t="s">
        <v>58</v>
      </c>
      <c r="C5741" t="s">
        <v>127</v>
      </c>
      <c r="D5741" t="s">
        <v>128</v>
      </c>
      <c r="E5741">
        <v>1990</v>
      </c>
      <c r="F5741" s="1">
        <v>26806</v>
      </c>
      <c r="G5741">
        <v>1990</v>
      </c>
      <c r="H5741">
        <f>AVERAGEIFS(Table1[value],Table1[IndicatorCode],Table1[[#This Row],[IndicatorCode]])</f>
        <v>24902.88753799392</v>
      </c>
      <c r="I5741" cm="1">
        <f t="array" ref="I5741">_xlfn.STDEV.P(IF(Table1[IndicatorCode]=Table1[[#This Row],[IndicatorCode]],Table1[value]))</f>
        <v>26324.778297809873</v>
      </c>
      <c r="J5741">
        <f>(Table1[[#This Row],[value]] - Table1[[#This Row],[mean]]) / Table1[[#This Row],[std_dev]]</f>
        <v>7.2293579853791673E-2</v>
      </c>
      <c r="K5741">
        <f>AVERAGEIF(Table1[CountryCode],Table1[[#This Row],[CountryCode]],Table1[z-score])</f>
        <v>-0.42188835181926676</v>
      </c>
      <c r="L5741" t="e">
        <f>VLOOKUP(Table1[[#This Row],[CountryCode]],[1]!Table1[#All],1,FALSE)</f>
        <v>#REF!</v>
      </c>
    </row>
    <row r="5742" spans="1:12" hidden="1" x14ac:dyDescent="0.3">
      <c r="A5742" t="s">
        <v>57</v>
      </c>
      <c r="B5742" t="s">
        <v>58</v>
      </c>
      <c r="C5742" t="s">
        <v>127</v>
      </c>
      <c r="D5742" t="s">
        <v>128</v>
      </c>
      <c r="E5742">
        <v>1991</v>
      </c>
      <c r="F5742" s="1">
        <v>26823</v>
      </c>
      <c r="G5742">
        <v>1990</v>
      </c>
      <c r="H5742">
        <f>AVERAGEIFS(Table1[value],Table1[IndicatorCode],Table1[[#This Row],[IndicatorCode]])</f>
        <v>24902.88753799392</v>
      </c>
      <c r="I5742" cm="1">
        <f t="array" ref="I5742">_xlfn.STDEV.P(IF(Table1[IndicatorCode]=Table1[[#This Row],[IndicatorCode]],Table1[value]))</f>
        <v>26324.778297809873</v>
      </c>
      <c r="J5742">
        <f>(Table1[[#This Row],[value]] - Table1[[#This Row],[mean]]) / Table1[[#This Row],[std_dev]]</f>
        <v>7.2939359271482512E-2</v>
      </c>
      <c r="K5742">
        <f>AVERAGEIF(Table1[CountryCode],Table1[[#This Row],[CountryCode]],Table1[z-score])</f>
        <v>-0.42188835181926676</v>
      </c>
      <c r="L5742" t="e">
        <f>VLOOKUP(Table1[[#This Row],[CountryCode]],[1]!Table1[#All],1,FALSE)</f>
        <v>#REF!</v>
      </c>
    </row>
    <row r="5743" spans="1:12" hidden="1" x14ac:dyDescent="0.3">
      <c r="A5743" t="s">
        <v>57</v>
      </c>
      <c r="B5743" t="s">
        <v>58</v>
      </c>
      <c r="C5743" t="s">
        <v>127</v>
      </c>
      <c r="D5743" t="s">
        <v>128</v>
      </c>
      <c r="E5743">
        <v>1992</v>
      </c>
      <c r="F5743" s="1">
        <v>25544</v>
      </c>
      <c r="G5743">
        <v>1990</v>
      </c>
      <c r="H5743">
        <f>AVERAGEIFS(Table1[value],Table1[IndicatorCode],Table1[[#This Row],[IndicatorCode]])</f>
        <v>24902.88753799392</v>
      </c>
      <c r="I5743" cm="1">
        <f t="array" ref="I5743">_xlfn.STDEV.P(IF(Table1[IndicatorCode]=Table1[[#This Row],[IndicatorCode]],Table1[value]))</f>
        <v>26324.778297809873</v>
      </c>
      <c r="J5743">
        <f>(Table1[[#This Row],[value]] - Table1[[#This Row],[mean]]) / Table1[[#This Row],[std_dev]]</f>
        <v>2.4353954846389657E-2</v>
      </c>
      <c r="K5743">
        <f>AVERAGEIF(Table1[CountryCode],Table1[[#This Row],[CountryCode]],Table1[z-score])</f>
        <v>-0.42188835181926676</v>
      </c>
      <c r="L5743" t="e">
        <f>VLOOKUP(Table1[[#This Row],[CountryCode]],[1]!Table1[#All],1,FALSE)</f>
        <v>#REF!</v>
      </c>
    </row>
    <row r="5744" spans="1:12" hidden="1" x14ac:dyDescent="0.3">
      <c r="A5744" t="s">
        <v>57</v>
      </c>
      <c r="B5744" t="s">
        <v>58</v>
      </c>
      <c r="C5744" t="s">
        <v>127</v>
      </c>
      <c r="D5744" t="s">
        <v>128</v>
      </c>
      <c r="E5744">
        <v>1993</v>
      </c>
      <c r="F5744" s="1">
        <v>24304</v>
      </c>
      <c r="G5744">
        <v>1990</v>
      </c>
      <c r="H5744">
        <f>AVERAGEIFS(Table1[value],Table1[IndicatorCode],Table1[[#This Row],[IndicatorCode]])</f>
        <v>24902.88753799392</v>
      </c>
      <c r="I5744" cm="1">
        <f t="array" ref="I5744">_xlfn.STDEV.P(IF(Table1[IndicatorCode]=Table1[[#This Row],[IndicatorCode]],Table1[value]))</f>
        <v>26324.778297809873</v>
      </c>
      <c r="J5744">
        <f>(Table1[[#This Row],[value]] - Table1[[#This Row],[mean]]) / Table1[[#This Row],[std_dev]]</f>
        <v>-2.2749955620471274E-2</v>
      </c>
      <c r="K5744">
        <f>AVERAGEIF(Table1[CountryCode],Table1[[#This Row],[CountryCode]],Table1[z-score])</f>
        <v>-0.42188835181926676</v>
      </c>
      <c r="L5744" t="e">
        <f>VLOOKUP(Table1[[#This Row],[CountryCode]],[1]!Table1[#All],1,FALSE)</f>
        <v>#REF!</v>
      </c>
    </row>
    <row r="5745" spans="1:12" hidden="1" x14ac:dyDescent="0.3">
      <c r="A5745" t="s">
        <v>57</v>
      </c>
      <c r="B5745" t="s">
        <v>58</v>
      </c>
      <c r="C5745" t="s">
        <v>127</v>
      </c>
      <c r="D5745" t="s">
        <v>128</v>
      </c>
      <c r="E5745">
        <v>1994</v>
      </c>
      <c r="F5745" s="1">
        <v>25605</v>
      </c>
      <c r="G5745">
        <v>1990</v>
      </c>
      <c r="H5745">
        <f>AVERAGEIFS(Table1[value],Table1[IndicatorCode],Table1[[#This Row],[IndicatorCode]])</f>
        <v>24902.88753799392</v>
      </c>
      <c r="I5745" cm="1">
        <f t="array" ref="I5745">_xlfn.STDEV.P(IF(Table1[IndicatorCode]=Table1[[#This Row],[IndicatorCode]],Table1[value]))</f>
        <v>26324.778297809873</v>
      </c>
      <c r="J5745">
        <f>(Table1[[#This Row],[value]] - Table1[[#This Row],[mean]]) / Table1[[#This Row],[std_dev]]</f>
        <v>2.6671163345162653E-2</v>
      </c>
      <c r="K5745">
        <f>AVERAGEIF(Table1[CountryCode],Table1[[#This Row],[CountryCode]],Table1[z-score])</f>
        <v>-0.42188835181926676</v>
      </c>
      <c r="L5745" t="e">
        <f>VLOOKUP(Table1[[#This Row],[CountryCode]],[1]!Table1[#All],1,FALSE)</f>
        <v>#REF!</v>
      </c>
    </row>
    <row r="5746" spans="1:12" hidden="1" x14ac:dyDescent="0.3">
      <c r="A5746" t="s">
        <v>57</v>
      </c>
      <c r="B5746" t="s">
        <v>58</v>
      </c>
      <c r="C5746" t="s">
        <v>127</v>
      </c>
      <c r="D5746" t="s">
        <v>128</v>
      </c>
      <c r="E5746">
        <v>1995</v>
      </c>
      <c r="F5746" s="1">
        <v>26417</v>
      </c>
      <c r="G5746">
        <v>1990</v>
      </c>
      <c r="H5746">
        <f>AVERAGEIFS(Table1[value],Table1[IndicatorCode],Table1[[#This Row],[IndicatorCode]])</f>
        <v>24902.88753799392</v>
      </c>
      <c r="I5746" cm="1">
        <f t="array" ref="I5746">_xlfn.STDEV.P(IF(Table1[IndicatorCode]=Table1[[#This Row],[IndicatorCode]],Table1[value]))</f>
        <v>26324.778297809873</v>
      </c>
      <c r="J5746">
        <f>(Table1[[#This Row],[value]] - Table1[[#This Row],[mean]]) / Table1[[#This Row],[std_dev]]</f>
        <v>5.7516627296042552E-2</v>
      </c>
      <c r="K5746">
        <f>AVERAGEIF(Table1[CountryCode],Table1[[#This Row],[CountryCode]],Table1[z-score])</f>
        <v>-0.42188835181926676</v>
      </c>
      <c r="L5746" t="e">
        <f>VLOOKUP(Table1[[#This Row],[CountryCode]],[1]!Table1[#All],1,FALSE)</f>
        <v>#REF!</v>
      </c>
    </row>
    <row r="5747" spans="1:12" hidden="1" x14ac:dyDescent="0.3">
      <c r="A5747" t="s">
        <v>57</v>
      </c>
      <c r="B5747" t="s">
        <v>58</v>
      </c>
      <c r="C5747" t="s">
        <v>127</v>
      </c>
      <c r="D5747" t="s">
        <v>128</v>
      </c>
      <c r="E5747">
        <v>1996</v>
      </c>
      <c r="F5747" s="1">
        <v>26773</v>
      </c>
      <c r="G5747">
        <v>1990</v>
      </c>
      <c r="H5747">
        <f>AVERAGEIFS(Table1[value],Table1[IndicatorCode],Table1[[#This Row],[IndicatorCode]])</f>
        <v>24902.88753799392</v>
      </c>
      <c r="I5747" cm="1">
        <f t="array" ref="I5747">_xlfn.STDEV.P(IF(Table1[IndicatorCode]=Table1[[#This Row],[IndicatorCode]],Table1[value]))</f>
        <v>26324.778297809873</v>
      </c>
      <c r="J5747">
        <f>(Table1[[#This Row],[value]] - Table1[[#This Row],[mean]]) / Table1[[#This Row],[std_dev]]</f>
        <v>7.1040008042980052E-2</v>
      </c>
      <c r="K5747">
        <f>AVERAGEIF(Table1[CountryCode],Table1[[#This Row],[CountryCode]],Table1[z-score])</f>
        <v>-0.42188835181926676</v>
      </c>
      <c r="L5747" t="e">
        <f>VLOOKUP(Table1[[#This Row],[CountryCode]],[1]!Table1[#All],1,FALSE)</f>
        <v>#REF!</v>
      </c>
    </row>
    <row r="5748" spans="1:12" hidden="1" x14ac:dyDescent="0.3">
      <c r="A5748" t="s">
        <v>57</v>
      </c>
      <c r="B5748" t="s">
        <v>58</v>
      </c>
      <c r="C5748" t="s">
        <v>127</v>
      </c>
      <c r="D5748" t="s">
        <v>128</v>
      </c>
      <c r="E5748">
        <v>1997</v>
      </c>
      <c r="F5748" s="1">
        <v>27117</v>
      </c>
      <c r="G5748">
        <v>2000</v>
      </c>
      <c r="H5748">
        <f>AVERAGEIFS(Table1[value],Table1[IndicatorCode],Table1[[#This Row],[IndicatorCode]])</f>
        <v>24902.88753799392</v>
      </c>
      <c r="I5748" cm="1">
        <f t="array" ref="I5748">_xlfn.STDEV.P(IF(Table1[IndicatorCode]=Table1[[#This Row],[IndicatorCode]],Table1[value]))</f>
        <v>26324.778297809873</v>
      </c>
      <c r="J5748">
        <f>(Table1[[#This Row],[value]] - Table1[[#This Row],[mean]]) / Table1[[#This Row],[std_dev]]</f>
        <v>8.4107544495076958E-2</v>
      </c>
      <c r="K5748">
        <f>AVERAGEIF(Table1[CountryCode],Table1[[#This Row],[CountryCode]],Table1[z-score])</f>
        <v>-0.42188835181926676</v>
      </c>
      <c r="L5748" t="e">
        <f>VLOOKUP(Table1[[#This Row],[CountryCode]],[1]!Table1[#All],1,FALSE)</f>
        <v>#REF!</v>
      </c>
    </row>
    <row r="5749" spans="1:12" hidden="1" x14ac:dyDescent="0.3">
      <c r="A5749" t="s">
        <v>57</v>
      </c>
      <c r="B5749" t="s">
        <v>58</v>
      </c>
      <c r="C5749" t="s">
        <v>127</v>
      </c>
      <c r="D5749" t="s">
        <v>128</v>
      </c>
      <c r="E5749">
        <v>1998</v>
      </c>
      <c r="F5749" s="1">
        <v>29169</v>
      </c>
      <c r="G5749">
        <v>2000</v>
      </c>
      <c r="H5749">
        <f>AVERAGEIFS(Table1[value],Table1[IndicatorCode],Table1[[#This Row],[IndicatorCode]])</f>
        <v>24902.88753799392</v>
      </c>
      <c r="I5749" cm="1">
        <f t="array" ref="I5749">_xlfn.STDEV.P(IF(Table1[IndicatorCode]=Table1[[#This Row],[IndicatorCode]],Table1[value]))</f>
        <v>26324.778297809873</v>
      </c>
      <c r="J5749">
        <f>(Table1[[#This Row],[value]] - Table1[[#This Row],[mean]]) / Table1[[#This Row],[std_dev]]</f>
        <v>0.16205691891281779</v>
      </c>
      <c r="K5749">
        <f>AVERAGEIF(Table1[CountryCode],Table1[[#This Row],[CountryCode]],Table1[z-score])</f>
        <v>-0.42188835181926676</v>
      </c>
      <c r="L5749" t="e">
        <f>VLOOKUP(Table1[[#This Row],[CountryCode]],[1]!Table1[#All],1,FALSE)</f>
        <v>#REF!</v>
      </c>
    </row>
    <row r="5750" spans="1:12" hidden="1" x14ac:dyDescent="0.3">
      <c r="A5750" t="s">
        <v>57</v>
      </c>
      <c r="B5750" t="s">
        <v>58</v>
      </c>
      <c r="C5750" t="s">
        <v>127</v>
      </c>
      <c r="D5750" t="s">
        <v>128</v>
      </c>
      <c r="E5750">
        <v>1999</v>
      </c>
      <c r="F5750" s="1">
        <v>29571</v>
      </c>
      <c r="G5750">
        <v>2000</v>
      </c>
      <c r="H5750">
        <f>AVERAGEIFS(Table1[value],Table1[IndicatorCode],Table1[[#This Row],[IndicatorCode]])</f>
        <v>24902.88753799392</v>
      </c>
      <c r="I5750" cm="1">
        <f t="array" ref="I5750">_xlfn.STDEV.P(IF(Table1[IndicatorCode]=Table1[[#This Row],[IndicatorCode]],Table1[value]))</f>
        <v>26324.778297809873</v>
      </c>
      <c r="J5750">
        <f>(Table1[[#This Row],[value]] - Table1[[#This Row],[mean]]) / Table1[[#This Row],[std_dev]]</f>
        <v>0.17732770278997753</v>
      </c>
      <c r="K5750">
        <f>AVERAGEIF(Table1[CountryCode],Table1[[#This Row],[CountryCode]],Table1[z-score])</f>
        <v>-0.42188835181926676</v>
      </c>
      <c r="L5750" t="e">
        <f>VLOOKUP(Table1[[#This Row],[CountryCode]],[1]!Table1[#All],1,FALSE)</f>
        <v>#REF!</v>
      </c>
    </row>
    <row r="5751" spans="1:12" hidden="1" x14ac:dyDescent="0.3">
      <c r="A5751" t="s">
        <v>57</v>
      </c>
      <c r="B5751" t="s">
        <v>58</v>
      </c>
      <c r="C5751" t="s">
        <v>127</v>
      </c>
      <c r="D5751" t="s">
        <v>128</v>
      </c>
      <c r="E5751">
        <v>2000</v>
      </c>
      <c r="F5751" s="1">
        <v>31623</v>
      </c>
      <c r="G5751">
        <v>2000</v>
      </c>
      <c r="H5751">
        <f>AVERAGEIFS(Table1[value],Table1[IndicatorCode],Table1[[#This Row],[IndicatorCode]])</f>
        <v>24902.88753799392</v>
      </c>
      <c r="I5751" cm="1">
        <f t="array" ref="I5751">_xlfn.STDEV.P(IF(Table1[IndicatorCode]=Table1[[#This Row],[IndicatorCode]],Table1[value]))</f>
        <v>26324.778297809873</v>
      </c>
      <c r="J5751">
        <f>(Table1[[#This Row],[value]] - Table1[[#This Row],[mean]]) / Table1[[#This Row],[std_dev]]</f>
        <v>0.25527707720771836</v>
      </c>
      <c r="K5751">
        <f>AVERAGEIF(Table1[CountryCode],Table1[[#This Row],[CountryCode]],Table1[z-score])</f>
        <v>-0.42188835181926676</v>
      </c>
      <c r="L5751" t="e">
        <f>VLOOKUP(Table1[[#This Row],[CountryCode]],[1]!Table1[#All],1,FALSE)</f>
        <v>#REF!</v>
      </c>
    </row>
    <row r="5752" spans="1:12" hidden="1" x14ac:dyDescent="0.3">
      <c r="A5752" t="s">
        <v>57</v>
      </c>
      <c r="B5752" t="s">
        <v>58</v>
      </c>
      <c r="C5752" t="s">
        <v>127</v>
      </c>
      <c r="D5752" t="s">
        <v>128</v>
      </c>
      <c r="E5752">
        <v>2001</v>
      </c>
      <c r="F5752" s="1">
        <v>31914</v>
      </c>
      <c r="G5752">
        <v>2000</v>
      </c>
      <c r="H5752">
        <f>AVERAGEIFS(Table1[value],Table1[IndicatorCode],Table1[[#This Row],[IndicatorCode]])</f>
        <v>24902.88753799392</v>
      </c>
      <c r="I5752" cm="1">
        <f t="array" ref="I5752">_xlfn.STDEV.P(IF(Table1[IndicatorCode]=Table1[[#This Row],[IndicatorCode]],Table1[value]))</f>
        <v>26324.778297809873</v>
      </c>
      <c r="J5752">
        <f>(Table1[[#This Row],[value]] - Table1[[#This Row],[mean]]) / Table1[[#This Row],[std_dev]]</f>
        <v>0.26633130135760269</v>
      </c>
      <c r="K5752">
        <f>AVERAGEIF(Table1[CountryCode],Table1[[#This Row],[CountryCode]],Table1[z-score])</f>
        <v>-0.42188835181926676</v>
      </c>
      <c r="L5752" t="e">
        <f>VLOOKUP(Table1[[#This Row],[CountryCode]],[1]!Table1[#All],1,FALSE)</f>
        <v>#REF!</v>
      </c>
    </row>
    <row r="5753" spans="1:12" hidden="1" x14ac:dyDescent="0.3">
      <c r="A5753" t="s">
        <v>57</v>
      </c>
      <c r="B5753" t="s">
        <v>58</v>
      </c>
      <c r="C5753" t="s">
        <v>127</v>
      </c>
      <c r="D5753" t="s">
        <v>128</v>
      </c>
      <c r="E5753">
        <v>2002</v>
      </c>
      <c r="F5753" s="1">
        <v>31484</v>
      </c>
      <c r="G5753">
        <v>2000</v>
      </c>
      <c r="H5753">
        <f>AVERAGEIFS(Table1[value],Table1[IndicatorCode],Table1[[#This Row],[IndicatorCode]])</f>
        <v>24902.88753799392</v>
      </c>
      <c r="I5753" cm="1">
        <f t="array" ref="I5753">_xlfn.STDEV.P(IF(Table1[IndicatorCode]=Table1[[#This Row],[IndicatorCode]],Table1[value]))</f>
        <v>26324.778297809873</v>
      </c>
      <c r="J5753">
        <f>(Table1[[#This Row],[value]] - Table1[[#This Row],[mean]]) / Table1[[#This Row],[std_dev]]</f>
        <v>0.24999688079248153</v>
      </c>
      <c r="K5753">
        <f>AVERAGEIF(Table1[CountryCode],Table1[[#This Row],[CountryCode]],Table1[z-score])</f>
        <v>-0.42188835181926676</v>
      </c>
      <c r="L5753" t="e">
        <f>VLOOKUP(Table1[[#This Row],[CountryCode]],[1]!Table1[#All],1,FALSE)</f>
        <v>#REF!</v>
      </c>
    </row>
    <row r="5754" spans="1:12" hidden="1" x14ac:dyDescent="0.3">
      <c r="A5754" t="s">
        <v>57</v>
      </c>
      <c r="B5754" t="s">
        <v>58</v>
      </c>
      <c r="C5754" t="s">
        <v>127</v>
      </c>
      <c r="D5754" t="s">
        <v>128</v>
      </c>
      <c r="E5754">
        <v>2003</v>
      </c>
      <c r="F5754" s="1">
        <v>32788</v>
      </c>
      <c r="G5754">
        <v>2000</v>
      </c>
      <c r="H5754">
        <f>AVERAGEIFS(Table1[value],Table1[IndicatorCode],Table1[[#This Row],[IndicatorCode]])</f>
        <v>24902.88753799392</v>
      </c>
      <c r="I5754" cm="1">
        <f t="array" ref="I5754">_xlfn.STDEV.P(IF(Table1[IndicatorCode]=Table1[[#This Row],[IndicatorCode]],Table1[value]))</f>
        <v>26324.778297809873</v>
      </c>
      <c r="J5754">
        <f>(Table1[[#This Row],[value]] - Table1[[#This Row],[mean]]) / Table1[[#This Row],[std_dev]]</f>
        <v>0.29953196083182559</v>
      </c>
      <c r="K5754">
        <f>AVERAGEIF(Table1[CountryCode],Table1[[#This Row],[CountryCode]],Table1[z-score])</f>
        <v>-0.42188835181926676</v>
      </c>
      <c r="L5754" t="e">
        <f>VLOOKUP(Table1[[#This Row],[CountryCode]],[1]!Table1[#All],1,FALSE)</f>
        <v>#REF!</v>
      </c>
    </row>
    <row r="5755" spans="1:12" hidden="1" x14ac:dyDescent="0.3">
      <c r="A5755" t="s">
        <v>57</v>
      </c>
      <c r="B5755" t="s">
        <v>58</v>
      </c>
      <c r="C5755" t="s">
        <v>127</v>
      </c>
      <c r="D5755" t="s">
        <v>128</v>
      </c>
      <c r="E5755">
        <v>2004</v>
      </c>
      <c r="F5755" s="1">
        <v>34962</v>
      </c>
      <c r="G5755">
        <v>2000</v>
      </c>
      <c r="H5755">
        <f>AVERAGEIFS(Table1[value],Table1[IndicatorCode],Table1[[#This Row],[IndicatorCode]])</f>
        <v>24902.88753799392</v>
      </c>
      <c r="I5755" cm="1">
        <f t="array" ref="I5755">_xlfn.STDEV.P(IF(Table1[IndicatorCode]=Table1[[#This Row],[IndicatorCode]],Table1[value]))</f>
        <v>26324.778297809873</v>
      </c>
      <c r="J5755">
        <f>(Table1[[#This Row],[value]] - Table1[[#This Row],[mean]]) / Table1[[#This Row],[std_dev]]</f>
        <v>0.38211575224711247</v>
      </c>
      <c r="K5755">
        <f>AVERAGEIF(Table1[CountryCode],Table1[[#This Row],[CountryCode]],Table1[z-score])</f>
        <v>-0.42188835181926676</v>
      </c>
      <c r="L5755" t="e">
        <f>VLOOKUP(Table1[[#This Row],[CountryCode]],[1]!Table1[#All],1,FALSE)</f>
        <v>#REF!</v>
      </c>
    </row>
    <row r="5756" spans="1:12" hidden="1" x14ac:dyDescent="0.3">
      <c r="A5756" t="s">
        <v>57</v>
      </c>
      <c r="B5756" t="s">
        <v>58</v>
      </c>
      <c r="C5756" t="s">
        <v>127</v>
      </c>
      <c r="D5756" t="s">
        <v>128</v>
      </c>
      <c r="E5756">
        <v>2005</v>
      </c>
      <c r="F5756" s="1">
        <v>36682</v>
      </c>
      <c r="G5756">
        <v>2000</v>
      </c>
      <c r="H5756">
        <f>AVERAGEIFS(Table1[value],Table1[IndicatorCode],Table1[[#This Row],[IndicatorCode]])</f>
        <v>24902.88753799392</v>
      </c>
      <c r="I5756" cm="1">
        <f t="array" ref="I5756">_xlfn.STDEV.P(IF(Table1[IndicatorCode]=Table1[[#This Row],[IndicatorCode]],Table1[value]))</f>
        <v>26324.778297809873</v>
      </c>
      <c r="J5756">
        <f>(Table1[[#This Row],[value]] - Table1[[#This Row],[mean]]) / Table1[[#This Row],[std_dev]]</f>
        <v>0.44745343450759695</v>
      </c>
      <c r="K5756">
        <f>AVERAGEIF(Table1[CountryCode],Table1[[#This Row],[CountryCode]],Table1[z-score])</f>
        <v>-0.42188835181926676</v>
      </c>
      <c r="L5756" t="e">
        <f>VLOOKUP(Table1[[#This Row],[CountryCode]],[1]!Table1[#All],1,FALSE)</f>
        <v>#REF!</v>
      </c>
    </row>
    <row r="5757" spans="1:12" hidden="1" x14ac:dyDescent="0.3">
      <c r="A5757" t="s">
        <v>57</v>
      </c>
      <c r="B5757" t="s">
        <v>58</v>
      </c>
      <c r="C5757" t="s">
        <v>127</v>
      </c>
      <c r="D5757" t="s">
        <v>128</v>
      </c>
      <c r="E5757">
        <v>2006</v>
      </c>
      <c r="F5757" s="1">
        <v>38829</v>
      </c>
      <c r="G5757">
        <v>2000</v>
      </c>
      <c r="H5757">
        <f>AVERAGEIFS(Table1[value],Table1[IndicatorCode],Table1[[#This Row],[IndicatorCode]])</f>
        <v>24902.88753799392</v>
      </c>
      <c r="I5757" cm="1">
        <f t="array" ref="I5757">_xlfn.STDEV.P(IF(Table1[IndicatorCode]=Table1[[#This Row],[IndicatorCode]],Table1[value]))</f>
        <v>26324.778297809873</v>
      </c>
      <c r="J5757">
        <f>(Table1[[#This Row],[value]] - Table1[[#This Row],[mean]]) / Table1[[#This Row],[std_dev]]</f>
        <v>0.52901157625949247</v>
      </c>
      <c r="K5757">
        <f>AVERAGEIF(Table1[CountryCode],Table1[[#This Row],[CountryCode]],Table1[z-score])</f>
        <v>-0.42188835181926676</v>
      </c>
      <c r="L5757" t="e">
        <f>VLOOKUP(Table1[[#This Row],[CountryCode]],[1]!Table1[#All],1,FALSE)</f>
        <v>#REF!</v>
      </c>
    </row>
    <row r="5758" spans="1:12" hidden="1" x14ac:dyDescent="0.3">
      <c r="A5758" t="s">
        <v>57</v>
      </c>
      <c r="B5758" t="s">
        <v>58</v>
      </c>
      <c r="C5758" t="s">
        <v>127</v>
      </c>
      <c r="D5758" t="s">
        <v>128</v>
      </c>
      <c r="E5758">
        <v>2007</v>
      </c>
      <c r="F5758" s="1">
        <v>39897</v>
      </c>
      <c r="G5758">
        <v>2010</v>
      </c>
      <c r="H5758">
        <f>AVERAGEIFS(Table1[value],Table1[IndicatorCode],Table1[[#This Row],[IndicatorCode]])</f>
        <v>24902.88753799392</v>
      </c>
      <c r="I5758" cm="1">
        <f t="array" ref="I5758">_xlfn.STDEV.P(IF(Table1[IndicatorCode]=Table1[[#This Row],[IndicatorCode]],Table1[value]))</f>
        <v>26324.778297809873</v>
      </c>
      <c r="J5758">
        <f>(Table1[[#This Row],[value]] - Table1[[#This Row],[mean]]) / Table1[[#This Row],[std_dev]]</f>
        <v>0.56958171850030492</v>
      </c>
      <c r="K5758">
        <f>AVERAGEIF(Table1[CountryCode],Table1[[#This Row],[CountryCode]],Table1[z-score])</f>
        <v>-0.42188835181926676</v>
      </c>
      <c r="L5758" t="e">
        <f>VLOOKUP(Table1[[#This Row],[CountryCode]],[1]!Table1[#All],1,FALSE)</f>
        <v>#REF!</v>
      </c>
    </row>
    <row r="5759" spans="1:12" hidden="1" x14ac:dyDescent="0.3">
      <c r="A5759" t="s">
        <v>57</v>
      </c>
      <c r="B5759" t="s">
        <v>58</v>
      </c>
      <c r="C5759" t="s">
        <v>127</v>
      </c>
      <c r="D5759" t="s">
        <v>128</v>
      </c>
      <c r="E5759">
        <v>2008</v>
      </c>
      <c r="F5759" s="1">
        <v>42528</v>
      </c>
      <c r="G5759">
        <v>2010</v>
      </c>
      <c r="H5759">
        <f>AVERAGEIFS(Table1[value],Table1[IndicatorCode],Table1[[#This Row],[IndicatorCode]])</f>
        <v>24902.88753799392</v>
      </c>
      <c r="I5759" cm="1">
        <f t="array" ref="I5759">_xlfn.STDEV.P(IF(Table1[IndicatorCode]=Table1[[#This Row],[IndicatorCode]],Table1[value]))</f>
        <v>26324.778297809873</v>
      </c>
      <c r="J5759">
        <f>(Table1[[#This Row],[value]] - Table1[[#This Row],[mean]]) / Table1[[#This Row],[std_dev]]</f>
        <v>0.66952558014410424</v>
      </c>
      <c r="K5759">
        <f>AVERAGEIF(Table1[CountryCode],Table1[[#This Row],[CountryCode]],Table1[z-score])</f>
        <v>-0.42188835181926676</v>
      </c>
      <c r="L5759" t="e">
        <f>VLOOKUP(Table1[[#This Row],[CountryCode]],[1]!Table1[#All],1,FALSE)</f>
        <v>#REF!</v>
      </c>
    </row>
    <row r="5760" spans="1:12" hidden="1" x14ac:dyDescent="0.3">
      <c r="A5760" t="s">
        <v>57</v>
      </c>
      <c r="B5760" t="s">
        <v>58</v>
      </c>
      <c r="C5760" t="s">
        <v>127</v>
      </c>
      <c r="D5760" t="s">
        <v>128</v>
      </c>
      <c r="E5760">
        <v>2009</v>
      </c>
      <c r="F5760" s="1">
        <v>42900</v>
      </c>
      <c r="G5760">
        <v>2010</v>
      </c>
      <c r="H5760">
        <f>AVERAGEIFS(Table1[value],Table1[IndicatorCode],Table1[[#This Row],[IndicatorCode]])</f>
        <v>24902.88753799392</v>
      </c>
      <c r="I5760" cm="1">
        <f t="array" ref="I5760">_xlfn.STDEV.P(IF(Table1[IndicatorCode]=Table1[[#This Row],[IndicatorCode]],Table1[value]))</f>
        <v>26324.778297809873</v>
      </c>
      <c r="J5760">
        <f>(Table1[[#This Row],[value]] - Table1[[#This Row],[mean]]) / Table1[[#This Row],[std_dev]]</f>
        <v>0.68365675328416253</v>
      </c>
      <c r="K5760">
        <f>AVERAGEIF(Table1[CountryCode],Table1[[#This Row],[CountryCode]],Table1[z-score])</f>
        <v>-0.42188835181926676</v>
      </c>
      <c r="L5760" t="e">
        <f>VLOOKUP(Table1[[#This Row],[CountryCode]],[1]!Table1[#All],1,FALSE)</f>
        <v>#REF!</v>
      </c>
    </row>
    <row r="5761" spans="1:12" hidden="1" x14ac:dyDescent="0.3">
      <c r="A5761" t="s">
        <v>57</v>
      </c>
      <c r="B5761" t="s">
        <v>58</v>
      </c>
      <c r="C5761" t="s">
        <v>127</v>
      </c>
      <c r="D5761" t="s">
        <v>128</v>
      </c>
      <c r="E5761">
        <v>2010</v>
      </c>
      <c r="F5761" s="1">
        <v>43482</v>
      </c>
      <c r="G5761">
        <v>2010</v>
      </c>
      <c r="H5761">
        <f>AVERAGEIFS(Table1[value],Table1[IndicatorCode],Table1[[#This Row],[IndicatorCode]])</f>
        <v>24902.88753799392</v>
      </c>
      <c r="I5761" cm="1">
        <f t="array" ref="I5761">_xlfn.STDEV.P(IF(Table1[IndicatorCode]=Table1[[#This Row],[IndicatorCode]],Table1[value]))</f>
        <v>26324.778297809873</v>
      </c>
      <c r="J5761">
        <f>(Table1[[#This Row],[value]] - Table1[[#This Row],[mean]]) / Table1[[#This Row],[std_dev]]</f>
        <v>0.70576520158393108</v>
      </c>
      <c r="K5761">
        <f>AVERAGEIF(Table1[CountryCode],Table1[[#This Row],[CountryCode]],Table1[z-score])</f>
        <v>-0.42188835181926676</v>
      </c>
      <c r="L5761" t="e">
        <f>VLOOKUP(Table1[[#This Row],[CountryCode]],[1]!Table1[#All],1,FALSE)</f>
        <v>#REF!</v>
      </c>
    </row>
    <row r="5762" spans="1:12" hidden="1" x14ac:dyDescent="0.3">
      <c r="A5762" t="s">
        <v>57</v>
      </c>
      <c r="B5762" t="s">
        <v>58</v>
      </c>
      <c r="C5762" t="s">
        <v>127</v>
      </c>
      <c r="D5762" t="s">
        <v>128</v>
      </c>
      <c r="E5762">
        <v>2011</v>
      </c>
      <c r="F5762" s="1">
        <v>42995</v>
      </c>
      <c r="G5762">
        <v>2010</v>
      </c>
      <c r="H5762">
        <f>AVERAGEIFS(Table1[value],Table1[IndicatorCode],Table1[[#This Row],[IndicatorCode]])</f>
        <v>24902.88753799392</v>
      </c>
      <c r="I5762" cm="1">
        <f t="array" ref="I5762">_xlfn.STDEV.P(IF(Table1[IndicatorCode]=Table1[[#This Row],[IndicatorCode]],Table1[value]))</f>
        <v>26324.778297809873</v>
      </c>
      <c r="J5762">
        <f>(Table1[[#This Row],[value]] - Table1[[#This Row],[mean]]) / Table1[[#This Row],[std_dev]]</f>
        <v>0.68726552061831714</v>
      </c>
      <c r="K5762">
        <f>AVERAGEIF(Table1[CountryCode],Table1[[#This Row],[CountryCode]],Table1[z-score])</f>
        <v>-0.42188835181926676</v>
      </c>
      <c r="L5762" t="e">
        <f>VLOOKUP(Table1[[#This Row],[CountryCode]],[1]!Table1[#All],1,FALSE)</f>
        <v>#REF!</v>
      </c>
    </row>
    <row r="5763" spans="1:12" hidden="1" x14ac:dyDescent="0.3">
      <c r="A5763" t="s">
        <v>57</v>
      </c>
      <c r="B5763" t="s">
        <v>58</v>
      </c>
      <c r="C5763" t="s">
        <v>127</v>
      </c>
      <c r="D5763" t="s">
        <v>128</v>
      </c>
      <c r="E5763">
        <v>2012</v>
      </c>
      <c r="F5763" s="1">
        <v>43656</v>
      </c>
      <c r="G5763">
        <v>2010</v>
      </c>
      <c r="H5763">
        <f>AVERAGEIFS(Table1[value],Table1[IndicatorCode],Table1[[#This Row],[IndicatorCode]])</f>
        <v>24902.88753799392</v>
      </c>
      <c r="I5763" cm="1">
        <f t="array" ref="I5763">_xlfn.STDEV.P(IF(Table1[IndicatorCode]=Table1[[#This Row],[IndicatorCode]],Table1[value]))</f>
        <v>26324.778297809873</v>
      </c>
      <c r="J5763">
        <f>(Table1[[#This Row],[value]] - Table1[[#This Row],[mean]]) / Table1[[#This Row],[std_dev]]</f>
        <v>0.7123749438591197</v>
      </c>
      <c r="K5763">
        <f>AVERAGEIF(Table1[CountryCode],Table1[[#This Row],[CountryCode]],Table1[z-score])</f>
        <v>-0.42188835181926676</v>
      </c>
      <c r="L5763" t="e">
        <f>VLOOKUP(Table1[[#This Row],[CountryCode]],[1]!Table1[#All],1,FALSE)</f>
        <v>#REF!</v>
      </c>
    </row>
    <row r="5764" spans="1:12" hidden="1" x14ac:dyDescent="0.3">
      <c r="A5764" t="s">
        <v>57</v>
      </c>
      <c r="B5764" t="s">
        <v>58</v>
      </c>
      <c r="C5764" t="s">
        <v>127</v>
      </c>
      <c r="D5764" t="s">
        <v>128</v>
      </c>
      <c r="E5764">
        <v>2013</v>
      </c>
      <c r="F5764" s="1">
        <v>43338</v>
      </c>
      <c r="G5764">
        <v>2010</v>
      </c>
      <c r="H5764">
        <f>AVERAGEIFS(Table1[value],Table1[IndicatorCode],Table1[[#This Row],[IndicatorCode]])</f>
        <v>24902.88753799392</v>
      </c>
      <c r="I5764" cm="1">
        <f t="array" ref="I5764">_xlfn.STDEV.P(IF(Table1[IndicatorCode]=Table1[[#This Row],[IndicatorCode]],Table1[value]))</f>
        <v>26324.778297809873</v>
      </c>
      <c r="J5764">
        <f>(Table1[[#This Row],[value]] - Table1[[#This Row],[mean]]) / Table1[[#This Row],[std_dev]]</f>
        <v>0.70029507004584401</v>
      </c>
      <c r="K5764">
        <f>AVERAGEIF(Table1[CountryCode],Table1[[#This Row],[CountryCode]],Table1[z-score])</f>
        <v>-0.42188835181926676</v>
      </c>
      <c r="L5764" t="e">
        <f>VLOOKUP(Table1[[#This Row],[CountryCode]],[1]!Table1[#All],1,FALSE)</f>
        <v>#REF!</v>
      </c>
    </row>
    <row r="5765" spans="1:12" hidden="1" x14ac:dyDescent="0.3">
      <c r="A5765" t="s">
        <v>57</v>
      </c>
      <c r="B5765" t="s">
        <v>58</v>
      </c>
      <c r="C5765" t="s">
        <v>127</v>
      </c>
      <c r="D5765" t="s">
        <v>128</v>
      </c>
      <c r="E5765">
        <v>2014</v>
      </c>
      <c r="F5765" s="1">
        <v>45545</v>
      </c>
      <c r="G5765">
        <v>2010</v>
      </c>
      <c r="H5765">
        <f>AVERAGEIFS(Table1[value],Table1[IndicatorCode],Table1[[#This Row],[IndicatorCode]])</f>
        <v>24902.88753799392</v>
      </c>
      <c r="I5765" cm="1">
        <f t="array" ref="I5765">_xlfn.STDEV.P(IF(Table1[IndicatorCode]=Table1[[#This Row],[IndicatorCode]],Table1[value]))</f>
        <v>26324.778297809873</v>
      </c>
      <c r="J5765">
        <f>(Table1[[#This Row],[value]] - Table1[[#This Row],[mean]]) / Table1[[#This Row],[std_dev]]</f>
        <v>0.78413243327194249</v>
      </c>
      <c r="K5765">
        <f>AVERAGEIF(Table1[CountryCode],Table1[[#This Row],[CountryCode]],Table1[z-score])</f>
        <v>-0.42188835181926676</v>
      </c>
      <c r="L5765" t="e">
        <f>VLOOKUP(Table1[[#This Row],[CountryCode]],[1]!Table1[#All],1,FALSE)</f>
        <v>#REF!</v>
      </c>
    </row>
    <row r="5766" spans="1:12" hidden="1" x14ac:dyDescent="0.3">
      <c r="A5766" t="s">
        <v>57</v>
      </c>
      <c r="B5766" t="s">
        <v>58</v>
      </c>
      <c r="C5766" t="s">
        <v>127</v>
      </c>
      <c r="D5766" t="s">
        <v>128</v>
      </c>
      <c r="E5766">
        <v>2015</v>
      </c>
      <c r="F5766" s="1">
        <v>44536</v>
      </c>
      <c r="G5766">
        <v>2010</v>
      </c>
      <c r="H5766">
        <f>AVERAGEIFS(Table1[value],Table1[IndicatorCode],Table1[[#This Row],[IndicatorCode]])</f>
        <v>24902.88753799392</v>
      </c>
      <c r="I5766" cm="1">
        <f t="array" ref="I5766">_xlfn.STDEV.P(IF(Table1[IndicatorCode]=Table1[[#This Row],[IndicatorCode]],Table1[value]))</f>
        <v>26324.778297809873</v>
      </c>
      <c r="J5766">
        <f>(Table1[[#This Row],[value]] - Table1[[#This Row],[mean]]) / Table1[[#This Row],[std_dev]]</f>
        <v>0.7458035254807629</v>
      </c>
      <c r="K5766">
        <f>AVERAGEIF(Table1[CountryCode],Table1[[#This Row],[CountryCode]],Table1[z-score])</f>
        <v>-0.42188835181926676</v>
      </c>
      <c r="L5766" t="e">
        <f>VLOOKUP(Table1[[#This Row],[CountryCode]],[1]!Table1[#All],1,FALSE)</f>
        <v>#REF!</v>
      </c>
    </row>
    <row r="5767" spans="1:12" hidden="1" x14ac:dyDescent="0.3">
      <c r="A5767" t="s">
        <v>57</v>
      </c>
      <c r="B5767" t="s">
        <v>58</v>
      </c>
      <c r="C5767" t="s">
        <v>127</v>
      </c>
      <c r="D5767" t="s">
        <v>128</v>
      </c>
      <c r="E5767">
        <v>2016</v>
      </c>
      <c r="F5767" s="1">
        <v>46562</v>
      </c>
      <c r="G5767">
        <v>2010</v>
      </c>
      <c r="H5767">
        <f>AVERAGEIFS(Table1[value],Table1[IndicatorCode],Table1[[#This Row],[IndicatorCode]])</f>
        <v>24902.88753799392</v>
      </c>
      <c r="I5767" cm="1">
        <f t="array" ref="I5767">_xlfn.STDEV.P(IF(Table1[IndicatorCode]=Table1[[#This Row],[IndicatorCode]],Table1[value]))</f>
        <v>26324.778297809873</v>
      </c>
      <c r="J5767">
        <f>(Table1[[#This Row],[value]] - Table1[[#This Row],[mean]]) / Table1[[#This Row],[std_dev]]</f>
        <v>0.82276523725968242</v>
      </c>
      <c r="K5767">
        <f>AVERAGEIF(Table1[CountryCode],Table1[[#This Row],[CountryCode]],Table1[z-score])</f>
        <v>-0.42188835181926676</v>
      </c>
      <c r="L5767" t="e">
        <f>VLOOKUP(Table1[[#This Row],[CountryCode]],[1]!Table1[#All],1,FALSE)</f>
        <v>#REF!</v>
      </c>
    </row>
    <row r="5768" spans="1:12" hidden="1" x14ac:dyDescent="0.3">
      <c r="A5768" t="s">
        <v>57</v>
      </c>
      <c r="B5768" t="s">
        <v>58</v>
      </c>
      <c r="C5768" t="s">
        <v>127</v>
      </c>
      <c r="D5768" t="s">
        <v>128</v>
      </c>
      <c r="E5768">
        <v>2017</v>
      </c>
      <c r="F5768" s="1">
        <v>46598</v>
      </c>
      <c r="G5768">
        <v>2020</v>
      </c>
      <c r="H5768">
        <f>AVERAGEIFS(Table1[value],Table1[IndicatorCode],Table1[[#This Row],[IndicatorCode]])</f>
        <v>24902.88753799392</v>
      </c>
      <c r="I5768" cm="1">
        <f t="array" ref="I5768">_xlfn.STDEV.P(IF(Table1[IndicatorCode]=Table1[[#This Row],[IndicatorCode]],Table1[value]))</f>
        <v>26324.778297809873</v>
      </c>
      <c r="J5768">
        <f>(Table1[[#This Row],[value]] - Table1[[#This Row],[mean]]) / Table1[[#This Row],[std_dev]]</f>
        <v>0.82413277014420427</v>
      </c>
      <c r="K5768">
        <f>AVERAGEIF(Table1[CountryCode],Table1[[#This Row],[CountryCode]],Table1[z-score])</f>
        <v>-0.42188835181926676</v>
      </c>
      <c r="L5768" t="e">
        <f>VLOOKUP(Table1[[#This Row],[CountryCode]],[1]!Table1[#All],1,FALSE)</f>
        <v>#REF!</v>
      </c>
    </row>
    <row r="5769" spans="1:12" hidden="1" x14ac:dyDescent="0.3">
      <c r="A5769" t="s">
        <v>57</v>
      </c>
      <c r="B5769" t="s">
        <v>58</v>
      </c>
      <c r="C5769" t="s">
        <v>127</v>
      </c>
      <c r="D5769" t="s">
        <v>128</v>
      </c>
      <c r="E5769">
        <v>2018</v>
      </c>
      <c r="F5769" s="1">
        <v>47013</v>
      </c>
      <c r="G5769">
        <v>2020</v>
      </c>
      <c r="H5769">
        <f>AVERAGEIFS(Table1[value],Table1[IndicatorCode],Table1[[#This Row],[IndicatorCode]])</f>
        <v>24902.88753799392</v>
      </c>
      <c r="I5769" cm="1">
        <f t="array" ref="I5769">_xlfn.STDEV.P(IF(Table1[IndicatorCode]=Table1[[#This Row],[IndicatorCode]],Table1[value]))</f>
        <v>26324.778297809873</v>
      </c>
      <c r="J5769">
        <f>(Table1[[#This Row],[value]] - Table1[[#This Row],[mean]]) / Table1[[#This Row],[std_dev]]</f>
        <v>0.83989738534077463</v>
      </c>
      <c r="K5769">
        <f>AVERAGEIF(Table1[CountryCode],Table1[[#This Row],[CountryCode]],Table1[z-score])</f>
        <v>-0.42188835181926676</v>
      </c>
      <c r="L5769" t="e">
        <f>VLOOKUP(Table1[[#This Row],[CountryCode]],[1]!Table1[#All],1,FALSE)</f>
        <v>#REF!</v>
      </c>
    </row>
    <row r="5770" spans="1:12" hidden="1" x14ac:dyDescent="0.3">
      <c r="A5770" t="s">
        <v>57</v>
      </c>
      <c r="B5770" t="s">
        <v>58</v>
      </c>
      <c r="C5770" t="s">
        <v>127</v>
      </c>
      <c r="D5770" t="s">
        <v>128</v>
      </c>
      <c r="E5770">
        <v>2019</v>
      </c>
      <c r="F5770" s="1">
        <v>48171</v>
      </c>
      <c r="G5770">
        <v>2020</v>
      </c>
      <c r="H5770">
        <f>AVERAGEIFS(Table1[value],Table1[IndicatorCode],Table1[[#This Row],[IndicatorCode]])</f>
        <v>24902.88753799392</v>
      </c>
      <c r="I5770" cm="1">
        <f t="array" ref="I5770">_xlfn.STDEV.P(IF(Table1[IndicatorCode]=Table1[[#This Row],[IndicatorCode]],Table1[value]))</f>
        <v>26324.778297809873</v>
      </c>
      <c r="J5770">
        <f>(Table1[[#This Row],[value]] - Table1[[#This Row],[mean]]) / Table1[[#This Row],[std_dev]]</f>
        <v>0.88388635979289154</v>
      </c>
      <c r="K5770">
        <f>AVERAGEIF(Table1[CountryCode],Table1[[#This Row],[CountryCode]],Table1[z-score])</f>
        <v>-0.42188835181926676</v>
      </c>
      <c r="L5770" t="e">
        <f>VLOOKUP(Table1[[#This Row],[CountryCode]],[1]!Table1[#All],1,FALSE)</f>
        <v>#REF!</v>
      </c>
    </row>
    <row r="5771" spans="1:12" x14ac:dyDescent="0.3">
      <c r="A5771" t="s">
        <v>81</v>
      </c>
      <c r="B5771" t="s">
        <v>82</v>
      </c>
      <c r="C5771" t="s">
        <v>127</v>
      </c>
      <c r="D5771" t="s">
        <v>128</v>
      </c>
      <c r="E5771">
        <v>2020</v>
      </c>
      <c r="F5771" s="1">
        <v>14901</v>
      </c>
      <c r="G5771">
        <v>2020</v>
      </c>
      <c r="H5771">
        <f>AVERAGEIFS(Table1[value],Table1[IndicatorCode],Table1[[#This Row],[IndicatorCode]])</f>
        <v>24902.88753799392</v>
      </c>
      <c r="I5771" cm="1">
        <f t="array" ref="I5771">_xlfn.STDEV.P(IF(Table1[IndicatorCode]=Table1[[#This Row],[IndicatorCode]],Table1[value]))</f>
        <v>26324.778297809873</v>
      </c>
      <c r="J5771">
        <f>(Table1[[#This Row],[value]] - Table1[[#This Row],[mean]]) / Table1[[#This Row],[std_dev]]</f>
        <v>-0.37994194765264333</v>
      </c>
      <c r="K5771">
        <f>AVERAGEIF(Table1[CountryCode],Table1[[#This Row],[CountryCode]],Table1[z-score])</f>
        <v>-0.32088063876347467</v>
      </c>
    </row>
    <row r="5772" spans="1:12" hidden="1" x14ac:dyDescent="0.3">
      <c r="A5772" t="s">
        <v>57</v>
      </c>
      <c r="B5772" t="s">
        <v>58</v>
      </c>
      <c r="C5772" t="s">
        <v>127</v>
      </c>
      <c r="D5772" t="s">
        <v>128</v>
      </c>
      <c r="E5772">
        <v>2021</v>
      </c>
      <c r="F5772" s="1">
        <v>48710</v>
      </c>
      <c r="G5772">
        <v>1990</v>
      </c>
      <c r="H5772">
        <f>AVERAGEIFS(Table1[value],Table1[IndicatorCode],Table1[[#This Row],[IndicatorCode]])</f>
        <v>24902.88753799392</v>
      </c>
      <c r="I5772" cm="1">
        <f t="array" ref="I5772">_xlfn.STDEV.P(IF(Table1[IndicatorCode]=Table1[[#This Row],[IndicatorCode]],Table1[value]))</f>
        <v>26324.778297809873</v>
      </c>
      <c r="J5772">
        <f>(Table1[[#This Row],[value]] - Table1[[#This Row],[mean]]) / Table1[[#This Row],[std_dev]]</f>
        <v>0.90436136603614803</v>
      </c>
      <c r="K5772">
        <f>AVERAGEIF(Table1[CountryCode],Table1[[#This Row],[CountryCode]],Table1[z-score])</f>
        <v>-0.42188835181926676</v>
      </c>
      <c r="L5772" t="e">
        <f>VLOOKUP(Table1[[#This Row],[CountryCode]],[1]!Table1[#All],1,FALSE)</f>
        <v>#REF!</v>
      </c>
    </row>
    <row r="5773" spans="1:12" hidden="1" x14ac:dyDescent="0.3">
      <c r="A5773" t="s">
        <v>57</v>
      </c>
      <c r="B5773" t="s">
        <v>58</v>
      </c>
      <c r="C5773" t="s">
        <v>127</v>
      </c>
      <c r="D5773" t="s">
        <v>128</v>
      </c>
      <c r="E5773">
        <v>2022</v>
      </c>
      <c r="F5773" s="1">
        <v>49679</v>
      </c>
      <c r="G5773">
        <v>1990</v>
      </c>
      <c r="H5773">
        <f>AVERAGEIFS(Table1[value],Table1[IndicatorCode],Table1[[#This Row],[IndicatorCode]])</f>
        <v>24902.88753799392</v>
      </c>
      <c r="I5773" cm="1">
        <f t="array" ref="I5773">_xlfn.STDEV.P(IF(Table1[IndicatorCode]=Table1[[#This Row],[IndicatorCode]],Table1[value]))</f>
        <v>26324.778297809873</v>
      </c>
      <c r="J5773">
        <f>(Table1[[#This Row],[value]] - Table1[[#This Row],[mean]]) / Table1[[#This Row],[std_dev]]</f>
        <v>0.94117079284452565</v>
      </c>
      <c r="K5773">
        <f>AVERAGEIF(Table1[CountryCode],Table1[[#This Row],[CountryCode]],Table1[z-score])</f>
        <v>-0.42188835181926676</v>
      </c>
      <c r="L5773" t="e">
        <f>VLOOKUP(Table1[[#This Row],[CountryCode]],[1]!Table1[#All],1,FALSE)</f>
        <v>#REF!</v>
      </c>
    </row>
    <row r="5774" spans="1:12" hidden="1" x14ac:dyDescent="0.3">
      <c r="A5774" t="s">
        <v>57</v>
      </c>
      <c r="B5774" t="s">
        <v>58</v>
      </c>
      <c r="C5774" t="s">
        <v>127</v>
      </c>
      <c r="D5774" t="s">
        <v>128</v>
      </c>
      <c r="E5774">
        <v>2023</v>
      </c>
      <c r="F5774" s="1">
        <v>49930</v>
      </c>
      <c r="G5774">
        <v>1990</v>
      </c>
      <c r="H5774">
        <f>AVERAGEIFS(Table1[value],Table1[IndicatorCode],Table1[[#This Row],[IndicatorCode]])</f>
        <v>24902.88753799392</v>
      </c>
      <c r="I5774" cm="1">
        <f t="array" ref="I5774">_xlfn.STDEV.P(IF(Table1[IndicatorCode]=Table1[[#This Row],[IndicatorCode]],Table1[value]))</f>
        <v>26324.778297809873</v>
      </c>
      <c r="J5774">
        <f>(Table1[[#This Row],[value]] - Table1[[#This Row],[mean]]) / Table1[[#This Row],[std_dev]]</f>
        <v>0.95070553601160801</v>
      </c>
      <c r="K5774">
        <f>AVERAGEIF(Table1[CountryCode],Table1[[#This Row],[CountryCode]],Table1[z-score])</f>
        <v>-0.42188835181926676</v>
      </c>
      <c r="L5774" t="e">
        <f>VLOOKUP(Table1[[#This Row],[CountryCode]],[1]!Table1[#All],1,FALSE)</f>
        <v>#REF!</v>
      </c>
    </row>
    <row r="5775" spans="1:12" hidden="1" x14ac:dyDescent="0.3">
      <c r="A5775" t="s">
        <v>59</v>
      </c>
      <c r="B5775" t="s">
        <v>60</v>
      </c>
      <c r="C5775" t="s">
        <v>127</v>
      </c>
      <c r="D5775" t="s">
        <v>128</v>
      </c>
      <c r="E5775">
        <v>1990</v>
      </c>
      <c r="F5775" s="1">
        <v>9755</v>
      </c>
      <c r="G5775">
        <v>1990</v>
      </c>
      <c r="H5775">
        <f>AVERAGEIFS(Table1[value],Table1[IndicatorCode],Table1[[#This Row],[IndicatorCode]])</f>
        <v>24902.88753799392</v>
      </c>
      <c r="I5775" cm="1">
        <f t="array" ref="I5775">_xlfn.STDEV.P(IF(Table1[IndicatorCode]=Table1[[#This Row],[IndicatorCode]],Table1[value]))</f>
        <v>26324.778297809873</v>
      </c>
      <c r="J5775">
        <f>(Table1[[#This Row],[value]] - Table1[[#This Row],[mean]]) / Table1[[#This Row],[std_dev]]</f>
        <v>-0.57542317609011617</v>
      </c>
      <c r="K5775">
        <f>AVERAGEIF(Table1[CountryCode],Table1[[#This Row],[CountryCode]],Table1[z-score])</f>
        <v>-0.22872454493605915</v>
      </c>
      <c r="L5775" t="e">
        <f>VLOOKUP(Table1[[#This Row],[CountryCode]],[1]!Table1[#All],1,FALSE)</f>
        <v>#REF!</v>
      </c>
    </row>
    <row r="5776" spans="1:12" hidden="1" x14ac:dyDescent="0.3">
      <c r="A5776" t="s">
        <v>59</v>
      </c>
      <c r="B5776" t="s">
        <v>60</v>
      </c>
      <c r="C5776" t="s">
        <v>127</v>
      </c>
      <c r="D5776" t="s">
        <v>128</v>
      </c>
      <c r="E5776">
        <v>1991</v>
      </c>
      <c r="F5776" s="1">
        <v>7843</v>
      </c>
      <c r="G5776">
        <v>1990</v>
      </c>
      <c r="H5776">
        <f>AVERAGEIFS(Table1[value],Table1[IndicatorCode],Table1[[#This Row],[IndicatorCode]])</f>
        <v>24902.88753799392</v>
      </c>
      <c r="I5776" cm="1">
        <f t="array" ref="I5776">_xlfn.STDEV.P(IF(Table1[IndicatorCode]=Table1[[#This Row],[IndicatorCode]],Table1[value]))</f>
        <v>26324.778297809873</v>
      </c>
      <c r="J5776">
        <f>(Table1[[#This Row],[value]] - Table1[[#This Row],[mean]]) / Table1[[#This Row],[std_dev]]</f>
        <v>-0.6480543670680502</v>
      </c>
      <c r="K5776">
        <f>AVERAGEIF(Table1[CountryCode],Table1[[#This Row],[CountryCode]],Table1[z-score])</f>
        <v>-0.22872454493605915</v>
      </c>
      <c r="L5776" t="e">
        <f>VLOOKUP(Table1[[#This Row],[CountryCode]],[1]!Table1[#All],1,FALSE)</f>
        <v>#REF!</v>
      </c>
    </row>
    <row r="5777" spans="1:12" hidden="1" x14ac:dyDescent="0.3">
      <c r="A5777" t="s">
        <v>59</v>
      </c>
      <c r="B5777" t="s">
        <v>60</v>
      </c>
      <c r="C5777" t="s">
        <v>127</v>
      </c>
      <c r="D5777" t="s">
        <v>128</v>
      </c>
      <c r="E5777">
        <v>1992</v>
      </c>
      <c r="F5777" s="1">
        <v>7095</v>
      </c>
      <c r="G5777">
        <v>1990</v>
      </c>
      <c r="H5777">
        <f>AVERAGEIFS(Table1[value],Table1[IndicatorCode],Table1[[#This Row],[IndicatorCode]])</f>
        <v>24902.88753799392</v>
      </c>
      <c r="I5777" cm="1">
        <f t="array" ref="I5777">_xlfn.STDEV.P(IF(Table1[IndicatorCode]=Table1[[#This Row],[IndicatorCode]],Table1[value]))</f>
        <v>26324.778297809873</v>
      </c>
      <c r="J5777">
        <f>(Table1[[#This Row],[value]] - Table1[[#This Row],[mean]]) / Table1[[#This Row],[std_dev]]</f>
        <v>-0.67646866144644691</v>
      </c>
      <c r="K5777">
        <f>AVERAGEIF(Table1[CountryCode],Table1[[#This Row],[CountryCode]],Table1[z-score])</f>
        <v>-0.22872454493605915</v>
      </c>
      <c r="L5777" t="e">
        <f>VLOOKUP(Table1[[#This Row],[CountryCode]],[1]!Table1[#All],1,FALSE)</f>
        <v>#REF!</v>
      </c>
    </row>
    <row r="5778" spans="1:12" hidden="1" x14ac:dyDescent="0.3">
      <c r="A5778" t="s">
        <v>59</v>
      </c>
      <c r="B5778" t="s">
        <v>60</v>
      </c>
      <c r="C5778" t="s">
        <v>127</v>
      </c>
      <c r="D5778" t="s">
        <v>128</v>
      </c>
      <c r="E5778">
        <v>1993</v>
      </c>
      <c r="F5778" s="1">
        <v>6491</v>
      </c>
      <c r="G5778">
        <v>1990</v>
      </c>
      <c r="H5778">
        <f>AVERAGEIFS(Table1[value],Table1[IndicatorCode],Table1[[#This Row],[IndicatorCode]])</f>
        <v>24902.88753799392</v>
      </c>
      <c r="I5778" cm="1">
        <f t="array" ref="I5778">_xlfn.STDEV.P(IF(Table1[IndicatorCode]=Table1[[#This Row],[IndicatorCode]],Table1[value]))</f>
        <v>26324.778297809873</v>
      </c>
      <c r="J5778">
        <f>(Table1[[#This Row],[value]] - Table1[[#This Row],[mean]]) / Table1[[#This Row],[std_dev]]</f>
        <v>-0.69941282428675655</v>
      </c>
      <c r="K5778">
        <f>AVERAGEIF(Table1[CountryCode],Table1[[#This Row],[CountryCode]],Table1[z-score])</f>
        <v>-0.22872454493605915</v>
      </c>
      <c r="L5778" t="e">
        <f>VLOOKUP(Table1[[#This Row],[CountryCode]],[1]!Table1[#All],1,FALSE)</f>
        <v>#REF!</v>
      </c>
    </row>
    <row r="5779" spans="1:12" hidden="1" x14ac:dyDescent="0.3">
      <c r="A5779" t="s">
        <v>59</v>
      </c>
      <c r="B5779" t="s">
        <v>60</v>
      </c>
      <c r="C5779" t="s">
        <v>127</v>
      </c>
      <c r="D5779" t="s">
        <v>128</v>
      </c>
      <c r="E5779">
        <v>1994</v>
      </c>
      <c r="F5779" s="1">
        <v>6796</v>
      </c>
      <c r="G5779">
        <v>1990</v>
      </c>
      <c r="H5779">
        <f>AVERAGEIFS(Table1[value],Table1[IndicatorCode],Table1[[#This Row],[IndicatorCode]])</f>
        <v>24902.88753799392</v>
      </c>
      <c r="I5779" cm="1">
        <f t="array" ref="I5779">_xlfn.STDEV.P(IF(Table1[IndicatorCode]=Table1[[#This Row],[IndicatorCode]],Table1[value]))</f>
        <v>26324.778297809873</v>
      </c>
      <c r="J5779">
        <f>(Table1[[#This Row],[value]] - Table1[[#This Row],[mean]]) / Table1[[#This Row],[std_dev]]</f>
        <v>-0.68782678179289158</v>
      </c>
      <c r="K5779">
        <f>AVERAGEIF(Table1[CountryCode],Table1[[#This Row],[CountryCode]],Table1[z-score])</f>
        <v>-0.22872454493605915</v>
      </c>
      <c r="L5779" t="e">
        <f>VLOOKUP(Table1[[#This Row],[CountryCode]],[1]!Table1[#All],1,FALSE)</f>
        <v>#REF!</v>
      </c>
    </row>
    <row r="5780" spans="1:12" hidden="1" x14ac:dyDescent="0.3">
      <c r="A5780" t="s">
        <v>59</v>
      </c>
      <c r="B5780" t="s">
        <v>60</v>
      </c>
      <c r="C5780" t="s">
        <v>127</v>
      </c>
      <c r="D5780" t="s">
        <v>128</v>
      </c>
      <c r="E5780">
        <v>1995</v>
      </c>
      <c r="F5780" s="1">
        <v>7305</v>
      </c>
      <c r="G5780">
        <v>1990</v>
      </c>
      <c r="H5780">
        <f>AVERAGEIFS(Table1[value],Table1[IndicatorCode],Table1[[#This Row],[IndicatorCode]])</f>
        <v>24902.88753799392</v>
      </c>
      <c r="I5780" cm="1">
        <f t="array" ref="I5780">_xlfn.STDEV.P(IF(Table1[IndicatorCode]=Table1[[#This Row],[IndicatorCode]],Table1[value]))</f>
        <v>26324.778297809873</v>
      </c>
      <c r="J5780">
        <f>(Table1[[#This Row],[value]] - Table1[[#This Row],[mean]]) / Table1[[#This Row],[std_dev]]</f>
        <v>-0.66849138628673654</v>
      </c>
      <c r="K5780">
        <f>AVERAGEIF(Table1[CountryCode],Table1[[#This Row],[CountryCode]],Table1[z-score])</f>
        <v>-0.22872454493605915</v>
      </c>
      <c r="L5780" t="e">
        <f>VLOOKUP(Table1[[#This Row],[CountryCode]],[1]!Table1[#All],1,FALSE)</f>
        <v>#REF!</v>
      </c>
    </row>
    <row r="5781" spans="1:12" hidden="1" x14ac:dyDescent="0.3">
      <c r="A5781" t="s">
        <v>59</v>
      </c>
      <c r="B5781" t="s">
        <v>60</v>
      </c>
      <c r="C5781" t="s">
        <v>127</v>
      </c>
      <c r="D5781" t="s">
        <v>128</v>
      </c>
      <c r="E5781">
        <v>1996</v>
      </c>
      <c r="F5781" s="1">
        <v>7858</v>
      </c>
      <c r="G5781">
        <v>1990</v>
      </c>
      <c r="H5781">
        <f>AVERAGEIFS(Table1[value],Table1[IndicatorCode],Table1[[#This Row],[IndicatorCode]])</f>
        <v>24902.88753799392</v>
      </c>
      <c r="I5781" cm="1">
        <f t="array" ref="I5781">_xlfn.STDEV.P(IF(Table1[IndicatorCode]=Table1[[#This Row],[IndicatorCode]],Table1[value]))</f>
        <v>26324.778297809873</v>
      </c>
      <c r="J5781">
        <f>(Table1[[#This Row],[value]] - Table1[[#This Row],[mean]]) / Table1[[#This Row],[std_dev]]</f>
        <v>-0.64748456169949942</v>
      </c>
      <c r="K5781">
        <f>AVERAGEIF(Table1[CountryCode],Table1[[#This Row],[CountryCode]],Table1[z-score])</f>
        <v>-0.22872454493605915</v>
      </c>
      <c r="L5781" t="e">
        <f>VLOOKUP(Table1[[#This Row],[CountryCode]],[1]!Table1[#All],1,FALSE)</f>
        <v>#REF!</v>
      </c>
    </row>
    <row r="5782" spans="1:12" hidden="1" x14ac:dyDescent="0.3">
      <c r="A5782" t="s">
        <v>59</v>
      </c>
      <c r="B5782" t="s">
        <v>60</v>
      </c>
      <c r="C5782" t="s">
        <v>127</v>
      </c>
      <c r="D5782" t="s">
        <v>128</v>
      </c>
      <c r="E5782">
        <v>1997</v>
      </c>
      <c r="F5782" s="1">
        <v>8383</v>
      </c>
      <c r="G5782">
        <v>2000</v>
      </c>
      <c r="H5782">
        <f>AVERAGEIFS(Table1[value],Table1[IndicatorCode],Table1[[#This Row],[IndicatorCode]])</f>
        <v>24902.88753799392</v>
      </c>
      <c r="I5782" cm="1">
        <f t="array" ref="I5782">_xlfn.STDEV.P(IF(Table1[IndicatorCode]=Table1[[#This Row],[IndicatorCode]],Table1[value]))</f>
        <v>26324.778297809873</v>
      </c>
      <c r="J5782">
        <f>(Table1[[#This Row],[value]] - Table1[[#This Row],[mean]]) / Table1[[#This Row],[std_dev]]</f>
        <v>-0.62754137380022357</v>
      </c>
      <c r="K5782">
        <f>AVERAGEIF(Table1[CountryCode],Table1[[#This Row],[CountryCode]],Table1[z-score])</f>
        <v>-0.22872454493605915</v>
      </c>
      <c r="L5782" t="e">
        <f>VLOOKUP(Table1[[#This Row],[CountryCode]],[1]!Table1[#All],1,FALSE)</f>
        <v>#REF!</v>
      </c>
    </row>
    <row r="5783" spans="1:12" hidden="1" x14ac:dyDescent="0.3">
      <c r="A5783" t="s">
        <v>59</v>
      </c>
      <c r="B5783" t="s">
        <v>60</v>
      </c>
      <c r="C5783" t="s">
        <v>127</v>
      </c>
      <c r="D5783" t="s">
        <v>128</v>
      </c>
      <c r="E5783">
        <v>1998</v>
      </c>
      <c r="F5783" s="1">
        <v>8578</v>
      </c>
      <c r="G5783">
        <v>2000</v>
      </c>
      <c r="H5783">
        <f>AVERAGEIFS(Table1[value],Table1[IndicatorCode],Table1[[#This Row],[IndicatorCode]])</f>
        <v>24902.88753799392</v>
      </c>
      <c r="I5783" cm="1">
        <f t="array" ref="I5783">_xlfn.STDEV.P(IF(Table1[IndicatorCode]=Table1[[#This Row],[IndicatorCode]],Table1[value]))</f>
        <v>26324.778297809873</v>
      </c>
      <c r="J5783">
        <f>(Table1[[#This Row],[value]] - Table1[[#This Row],[mean]]) / Table1[[#This Row],[std_dev]]</f>
        <v>-0.62013390400906399</v>
      </c>
      <c r="K5783">
        <f>AVERAGEIF(Table1[CountryCode],Table1[[#This Row],[CountryCode]],Table1[z-score])</f>
        <v>-0.22872454493605915</v>
      </c>
      <c r="L5783" t="e">
        <f>VLOOKUP(Table1[[#This Row],[CountryCode]],[1]!Table1[#All],1,FALSE)</f>
        <v>#REF!</v>
      </c>
    </row>
    <row r="5784" spans="1:12" hidden="1" x14ac:dyDescent="0.3">
      <c r="A5784" t="s">
        <v>59</v>
      </c>
      <c r="B5784" t="s">
        <v>60</v>
      </c>
      <c r="C5784" t="s">
        <v>127</v>
      </c>
      <c r="D5784" t="s">
        <v>128</v>
      </c>
      <c r="E5784">
        <v>1999</v>
      </c>
      <c r="F5784" s="1">
        <v>8542</v>
      </c>
      <c r="G5784">
        <v>2000</v>
      </c>
      <c r="H5784">
        <f>AVERAGEIFS(Table1[value],Table1[IndicatorCode],Table1[[#This Row],[IndicatorCode]])</f>
        <v>24902.88753799392</v>
      </c>
      <c r="I5784" cm="1">
        <f t="array" ref="I5784">_xlfn.STDEV.P(IF(Table1[IndicatorCode]=Table1[[#This Row],[IndicatorCode]],Table1[value]))</f>
        <v>26324.778297809873</v>
      </c>
      <c r="J5784">
        <f>(Table1[[#This Row],[value]] - Table1[[#This Row],[mean]]) / Table1[[#This Row],[std_dev]]</f>
        <v>-0.62150143689358583</v>
      </c>
      <c r="K5784">
        <f>AVERAGEIF(Table1[CountryCode],Table1[[#This Row],[CountryCode]],Table1[z-score])</f>
        <v>-0.22872454493605915</v>
      </c>
      <c r="L5784" t="e">
        <f>VLOOKUP(Table1[[#This Row],[CountryCode]],[1]!Table1[#All],1,FALSE)</f>
        <v>#REF!</v>
      </c>
    </row>
    <row r="5785" spans="1:12" hidden="1" x14ac:dyDescent="0.3">
      <c r="A5785" t="s">
        <v>59</v>
      </c>
      <c r="B5785" t="s">
        <v>60</v>
      </c>
      <c r="C5785" t="s">
        <v>127</v>
      </c>
      <c r="D5785" t="s">
        <v>128</v>
      </c>
      <c r="E5785">
        <v>2000</v>
      </c>
      <c r="F5785" s="1">
        <v>8880</v>
      </c>
      <c r="G5785">
        <v>2000</v>
      </c>
      <c r="H5785">
        <f>AVERAGEIFS(Table1[value],Table1[IndicatorCode],Table1[[#This Row],[IndicatorCode]])</f>
        <v>24902.88753799392</v>
      </c>
      <c r="I5785" cm="1">
        <f t="array" ref="I5785">_xlfn.STDEV.P(IF(Table1[IndicatorCode]=Table1[[#This Row],[IndicatorCode]],Table1[value]))</f>
        <v>26324.778297809873</v>
      </c>
      <c r="J5785">
        <f>(Table1[[#This Row],[value]] - Table1[[#This Row],[mean]]) / Table1[[#This Row],[std_dev]]</f>
        <v>-0.60866182258890922</v>
      </c>
      <c r="K5785">
        <f>AVERAGEIF(Table1[CountryCode],Table1[[#This Row],[CountryCode]],Table1[z-score])</f>
        <v>-0.22872454493605915</v>
      </c>
      <c r="L5785" t="e">
        <f>VLOOKUP(Table1[[#This Row],[CountryCode]],[1]!Table1[#All],1,FALSE)</f>
        <v>#REF!</v>
      </c>
    </row>
    <row r="5786" spans="1:12" hidden="1" x14ac:dyDescent="0.3">
      <c r="A5786" t="s">
        <v>59</v>
      </c>
      <c r="B5786" t="s">
        <v>60</v>
      </c>
      <c r="C5786" t="s">
        <v>127</v>
      </c>
      <c r="D5786" t="s">
        <v>128</v>
      </c>
      <c r="E5786">
        <v>2001</v>
      </c>
      <c r="F5786" s="1">
        <v>9516</v>
      </c>
      <c r="G5786">
        <v>2000</v>
      </c>
      <c r="H5786">
        <f>AVERAGEIFS(Table1[value],Table1[IndicatorCode],Table1[[#This Row],[IndicatorCode]])</f>
        <v>24902.88753799392</v>
      </c>
      <c r="I5786" cm="1">
        <f t="array" ref="I5786">_xlfn.STDEV.P(IF(Table1[IndicatorCode]=Table1[[#This Row],[IndicatorCode]],Table1[value]))</f>
        <v>26324.778297809873</v>
      </c>
      <c r="J5786">
        <f>(Table1[[#This Row],[value]] - Table1[[#This Row],[mean]]) / Table1[[#This Row],[std_dev]]</f>
        <v>-0.58450207496235795</v>
      </c>
      <c r="K5786">
        <f>AVERAGEIF(Table1[CountryCode],Table1[[#This Row],[CountryCode]],Table1[z-score])</f>
        <v>-0.22872454493605915</v>
      </c>
      <c r="L5786" t="e">
        <f>VLOOKUP(Table1[[#This Row],[CountryCode]],[1]!Table1[#All],1,FALSE)</f>
        <v>#REF!</v>
      </c>
    </row>
    <row r="5787" spans="1:12" hidden="1" x14ac:dyDescent="0.3">
      <c r="A5787" t="s">
        <v>59</v>
      </c>
      <c r="B5787" t="s">
        <v>60</v>
      </c>
      <c r="C5787" t="s">
        <v>127</v>
      </c>
      <c r="D5787" t="s">
        <v>128</v>
      </c>
      <c r="E5787">
        <v>2002</v>
      </c>
      <c r="F5787" s="1">
        <v>10062</v>
      </c>
      <c r="G5787">
        <v>2000</v>
      </c>
      <c r="H5787">
        <f>AVERAGEIFS(Table1[value],Table1[IndicatorCode],Table1[[#This Row],[IndicatorCode]])</f>
        <v>24902.88753799392</v>
      </c>
      <c r="I5787" cm="1">
        <f t="array" ref="I5787">_xlfn.STDEV.P(IF(Table1[IndicatorCode]=Table1[[#This Row],[IndicatorCode]],Table1[value]))</f>
        <v>26324.778297809873</v>
      </c>
      <c r="J5787">
        <f>(Table1[[#This Row],[value]] - Table1[[#This Row],[mean]]) / Table1[[#This Row],[std_dev]]</f>
        <v>-0.56376115954711115</v>
      </c>
      <c r="K5787">
        <f>AVERAGEIF(Table1[CountryCode],Table1[[#This Row],[CountryCode]],Table1[z-score])</f>
        <v>-0.22872454493605915</v>
      </c>
      <c r="L5787" t="e">
        <f>VLOOKUP(Table1[[#This Row],[CountryCode]],[1]!Table1[#All],1,FALSE)</f>
        <v>#REF!</v>
      </c>
    </row>
    <row r="5788" spans="1:12" hidden="1" x14ac:dyDescent="0.3">
      <c r="A5788" t="s">
        <v>59</v>
      </c>
      <c r="B5788" t="s">
        <v>60</v>
      </c>
      <c r="C5788" t="s">
        <v>127</v>
      </c>
      <c r="D5788" t="s">
        <v>128</v>
      </c>
      <c r="E5788">
        <v>2003</v>
      </c>
      <c r="F5788" s="1">
        <v>10619</v>
      </c>
      <c r="G5788">
        <v>2000</v>
      </c>
      <c r="H5788">
        <f>AVERAGEIFS(Table1[value],Table1[IndicatorCode],Table1[[#This Row],[IndicatorCode]])</f>
        <v>24902.88753799392</v>
      </c>
      <c r="I5788" cm="1">
        <f t="array" ref="I5788">_xlfn.STDEV.P(IF(Table1[IndicatorCode]=Table1[[#This Row],[IndicatorCode]],Table1[value]))</f>
        <v>26324.778297809873</v>
      </c>
      <c r="J5788">
        <f>(Table1[[#This Row],[value]] - Table1[[#This Row],[mean]]) / Table1[[#This Row],[std_dev]]</f>
        <v>-0.54260238686159379</v>
      </c>
      <c r="K5788">
        <f>AVERAGEIF(Table1[CountryCode],Table1[[#This Row],[CountryCode]],Table1[z-score])</f>
        <v>-0.22872454493605915</v>
      </c>
      <c r="L5788" t="e">
        <f>VLOOKUP(Table1[[#This Row],[CountryCode]],[1]!Table1[#All],1,FALSE)</f>
        <v>#REF!</v>
      </c>
    </row>
    <row r="5789" spans="1:12" hidden="1" x14ac:dyDescent="0.3">
      <c r="A5789" t="s">
        <v>59</v>
      </c>
      <c r="B5789" t="s">
        <v>60</v>
      </c>
      <c r="C5789" t="s">
        <v>127</v>
      </c>
      <c r="D5789" t="s">
        <v>128</v>
      </c>
      <c r="E5789">
        <v>2004</v>
      </c>
      <c r="F5789" s="1">
        <v>11059</v>
      </c>
      <c r="G5789">
        <v>2000</v>
      </c>
      <c r="H5789">
        <f>AVERAGEIFS(Table1[value],Table1[IndicatorCode],Table1[[#This Row],[IndicatorCode]])</f>
        <v>24902.88753799392</v>
      </c>
      <c r="I5789" cm="1">
        <f t="array" ref="I5789">_xlfn.STDEV.P(IF(Table1[IndicatorCode]=Table1[[#This Row],[IndicatorCode]],Table1[value]))</f>
        <v>26324.778297809873</v>
      </c>
      <c r="J5789">
        <f>(Table1[[#This Row],[value]] - Table1[[#This Row],[mean]]) / Table1[[#This Row],[std_dev]]</f>
        <v>-0.52588809605077214</v>
      </c>
      <c r="K5789">
        <f>AVERAGEIF(Table1[CountryCode],Table1[[#This Row],[CountryCode]],Table1[z-score])</f>
        <v>-0.22872454493605915</v>
      </c>
      <c r="L5789" t="e">
        <f>VLOOKUP(Table1[[#This Row],[CountryCode]],[1]!Table1[#All],1,FALSE)</f>
        <v>#REF!</v>
      </c>
    </row>
    <row r="5790" spans="1:12" hidden="1" x14ac:dyDescent="0.3">
      <c r="A5790" t="s">
        <v>59</v>
      </c>
      <c r="B5790" t="s">
        <v>60</v>
      </c>
      <c r="C5790" t="s">
        <v>127</v>
      </c>
      <c r="D5790" t="s">
        <v>128</v>
      </c>
      <c r="E5790">
        <v>2005</v>
      </c>
      <c r="F5790" s="1">
        <v>11523</v>
      </c>
      <c r="G5790">
        <v>2000</v>
      </c>
      <c r="H5790">
        <f>AVERAGEIFS(Table1[value],Table1[IndicatorCode],Table1[[#This Row],[IndicatorCode]])</f>
        <v>24902.88753799392</v>
      </c>
      <c r="I5790" cm="1">
        <f t="array" ref="I5790">_xlfn.STDEV.P(IF(Table1[IndicatorCode]=Table1[[#This Row],[IndicatorCode]],Table1[value]))</f>
        <v>26324.778297809873</v>
      </c>
      <c r="J5790">
        <f>(Table1[[#This Row],[value]] - Table1[[#This Row],[mean]]) / Table1[[#This Row],[std_dev]]</f>
        <v>-0.50826211665026932</v>
      </c>
      <c r="K5790">
        <f>AVERAGEIF(Table1[CountryCode],Table1[[#This Row],[CountryCode]],Table1[z-score])</f>
        <v>-0.22872454493605915</v>
      </c>
      <c r="L5790" t="e">
        <f>VLOOKUP(Table1[[#This Row],[CountryCode]],[1]!Table1[#All],1,FALSE)</f>
        <v>#REF!</v>
      </c>
    </row>
    <row r="5791" spans="1:12" hidden="1" x14ac:dyDescent="0.3">
      <c r="A5791" t="s">
        <v>59</v>
      </c>
      <c r="B5791" t="s">
        <v>60</v>
      </c>
      <c r="C5791" t="s">
        <v>127</v>
      </c>
      <c r="D5791" t="s">
        <v>128</v>
      </c>
      <c r="E5791">
        <v>2006</v>
      </c>
      <c r="F5791" s="1">
        <v>12104</v>
      </c>
      <c r="G5791">
        <v>2000</v>
      </c>
      <c r="H5791">
        <f>AVERAGEIFS(Table1[value],Table1[IndicatorCode],Table1[[#This Row],[IndicatorCode]])</f>
        <v>24902.88753799392</v>
      </c>
      <c r="I5791" cm="1">
        <f t="array" ref="I5791">_xlfn.STDEV.P(IF(Table1[IndicatorCode]=Table1[[#This Row],[IndicatorCode]],Table1[value]))</f>
        <v>26324.778297809873</v>
      </c>
      <c r="J5791">
        <f>(Table1[[#This Row],[value]] - Table1[[#This Row],[mean]]) / Table1[[#This Row],[std_dev]]</f>
        <v>-0.48619165537507075</v>
      </c>
      <c r="K5791">
        <f>AVERAGEIF(Table1[CountryCode],Table1[[#This Row],[CountryCode]],Table1[z-score])</f>
        <v>-0.22872454493605915</v>
      </c>
      <c r="L5791" t="e">
        <f>VLOOKUP(Table1[[#This Row],[CountryCode]],[1]!Table1[#All],1,FALSE)</f>
        <v>#REF!</v>
      </c>
    </row>
    <row r="5792" spans="1:12" hidden="1" x14ac:dyDescent="0.3">
      <c r="A5792" t="s">
        <v>59</v>
      </c>
      <c r="B5792" t="s">
        <v>60</v>
      </c>
      <c r="C5792" t="s">
        <v>127</v>
      </c>
      <c r="D5792" t="s">
        <v>128</v>
      </c>
      <c r="E5792">
        <v>2007</v>
      </c>
      <c r="F5792" s="1">
        <v>12718</v>
      </c>
      <c r="G5792">
        <v>2010</v>
      </c>
      <c r="H5792">
        <f>AVERAGEIFS(Table1[value],Table1[IndicatorCode],Table1[[#This Row],[IndicatorCode]])</f>
        <v>24902.88753799392</v>
      </c>
      <c r="I5792" cm="1">
        <f t="array" ref="I5792">_xlfn.STDEV.P(IF(Table1[IndicatorCode]=Table1[[#This Row],[IndicatorCode]],Table1[value]))</f>
        <v>26324.778297809873</v>
      </c>
      <c r="J5792">
        <f>(Table1[[#This Row],[value]] - Table1[[#This Row],[mean]]) / Table1[[#This Row],[std_dev]]</f>
        <v>-0.46286762228906059</v>
      </c>
      <c r="K5792">
        <f>AVERAGEIF(Table1[CountryCode],Table1[[#This Row],[CountryCode]],Table1[z-score])</f>
        <v>-0.22872454493605915</v>
      </c>
      <c r="L5792" t="e">
        <f>VLOOKUP(Table1[[#This Row],[CountryCode]],[1]!Table1[#All],1,FALSE)</f>
        <v>#REF!</v>
      </c>
    </row>
    <row r="5793" spans="1:12" hidden="1" x14ac:dyDescent="0.3">
      <c r="A5793" t="s">
        <v>59</v>
      </c>
      <c r="B5793" t="s">
        <v>60</v>
      </c>
      <c r="C5793" t="s">
        <v>127</v>
      </c>
      <c r="D5793" t="s">
        <v>128</v>
      </c>
      <c r="E5793">
        <v>2008</v>
      </c>
      <c r="F5793" s="1">
        <v>12970</v>
      </c>
      <c r="G5793">
        <v>2010</v>
      </c>
      <c r="H5793">
        <f>AVERAGEIFS(Table1[value],Table1[IndicatorCode],Table1[[#This Row],[IndicatorCode]])</f>
        <v>24902.88753799392</v>
      </c>
      <c r="I5793" cm="1">
        <f t="array" ref="I5793">_xlfn.STDEV.P(IF(Table1[IndicatorCode]=Table1[[#This Row],[IndicatorCode]],Table1[value]))</f>
        <v>26324.778297809873</v>
      </c>
      <c r="J5793">
        <f>(Table1[[#This Row],[value]] - Table1[[#This Row],[mean]]) / Table1[[#This Row],[std_dev]]</f>
        <v>-0.4532948920974082</v>
      </c>
      <c r="K5793">
        <f>AVERAGEIF(Table1[CountryCode],Table1[[#This Row],[CountryCode]],Table1[z-score])</f>
        <v>-0.22872454493605915</v>
      </c>
      <c r="L5793" t="e">
        <f>VLOOKUP(Table1[[#This Row],[CountryCode]],[1]!Table1[#All],1,FALSE)</f>
        <v>#REF!</v>
      </c>
    </row>
    <row r="5794" spans="1:12" hidden="1" x14ac:dyDescent="0.3">
      <c r="A5794" t="s">
        <v>59</v>
      </c>
      <c r="B5794" t="s">
        <v>60</v>
      </c>
      <c r="C5794" t="s">
        <v>127</v>
      </c>
      <c r="D5794" t="s">
        <v>128</v>
      </c>
      <c r="E5794">
        <v>2009</v>
      </c>
      <c r="F5794" s="1">
        <v>12100</v>
      </c>
      <c r="G5794">
        <v>2010</v>
      </c>
      <c r="H5794">
        <f>AVERAGEIFS(Table1[value],Table1[IndicatorCode],Table1[[#This Row],[IndicatorCode]])</f>
        <v>24902.88753799392</v>
      </c>
      <c r="I5794" cm="1">
        <f t="array" ref="I5794">_xlfn.STDEV.P(IF(Table1[IndicatorCode]=Table1[[#This Row],[IndicatorCode]],Table1[value]))</f>
        <v>26324.778297809873</v>
      </c>
      <c r="J5794">
        <f>(Table1[[#This Row],[value]] - Table1[[#This Row],[mean]]) / Table1[[#This Row],[std_dev]]</f>
        <v>-0.48634360347335098</v>
      </c>
      <c r="K5794">
        <f>AVERAGEIF(Table1[CountryCode],Table1[[#This Row],[CountryCode]],Table1[z-score])</f>
        <v>-0.22872454493605915</v>
      </c>
      <c r="L5794" t="e">
        <f>VLOOKUP(Table1[[#This Row],[CountryCode]],[1]!Table1[#All],1,FALSE)</f>
        <v>#REF!</v>
      </c>
    </row>
    <row r="5795" spans="1:12" hidden="1" x14ac:dyDescent="0.3">
      <c r="A5795" t="s">
        <v>59</v>
      </c>
      <c r="B5795" t="s">
        <v>60</v>
      </c>
      <c r="C5795" t="s">
        <v>127</v>
      </c>
      <c r="D5795" t="s">
        <v>128</v>
      </c>
      <c r="E5795">
        <v>2010</v>
      </c>
      <c r="F5795" s="1">
        <v>11965</v>
      </c>
      <c r="G5795">
        <v>2010</v>
      </c>
      <c r="H5795">
        <f>AVERAGEIFS(Table1[value],Table1[IndicatorCode],Table1[[#This Row],[IndicatorCode]])</f>
        <v>24902.88753799392</v>
      </c>
      <c r="I5795" cm="1">
        <f t="array" ref="I5795">_xlfn.STDEV.P(IF(Table1[IndicatorCode]=Table1[[#This Row],[IndicatorCode]],Table1[value]))</f>
        <v>26324.778297809873</v>
      </c>
      <c r="J5795">
        <f>(Table1[[#This Row],[value]] - Table1[[#This Row],[mean]]) / Table1[[#This Row],[std_dev]]</f>
        <v>-0.49147185179030761</v>
      </c>
      <c r="K5795">
        <f>AVERAGEIF(Table1[CountryCode],Table1[[#This Row],[CountryCode]],Table1[z-score])</f>
        <v>-0.22872454493605915</v>
      </c>
      <c r="L5795" t="e">
        <f>VLOOKUP(Table1[[#This Row],[CountryCode]],[1]!Table1[#All],1,FALSE)</f>
        <v>#REF!</v>
      </c>
    </row>
    <row r="5796" spans="1:12" hidden="1" x14ac:dyDescent="0.3">
      <c r="A5796" t="s">
        <v>59</v>
      </c>
      <c r="B5796" t="s">
        <v>60</v>
      </c>
      <c r="C5796" t="s">
        <v>127</v>
      </c>
      <c r="D5796" t="s">
        <v>128</v>
      </c>
      <c r="E5796">
        <v>2011</v>
      </c>
      <c r="F5796" s="1">
        <v>11993</v>
      </c>
      <c r="G5796">
        <v>2010</v>
      </c>
      <c r="H5796">
        <f>AVERAGEIFS(Table1[value],Table1[IndicatorCode],Table1[[#This Row],[IndicatorCode]])</f>
        <v>24902.88753799392</v>
      </c>
      <c r="I5796" cm="1">
        <f t="array" ref="I5796">_xlfn.STDEV.P(IF(Table1[IndicatorCode]=Table1[[#This Row],[IndicatorCode]],Table1[value]))</f>
        <v>26324.778297809873</v>
      </c>
      <c r="J5796">
        <f>(Table1[[#This Row],[value]] - Table1[[#This Row],[mean]]) / Table1[[#This Row],[std_dev]]</f>
        <v>-0.49040821510234622</v>
      </c>
      <c r="K5796">
        <f>AVERAGEIF(Table1[CountryCode],Table1[[#This Row],[CountryCode]],Table1[z-score])</f>
        <v>-0.22872454493605915</v>
      </c>
      <c r="L5796" t="e">
        <f>VLOOKUP(Table1[[#This Row],[CountryCode]],[1]!Table1[#All],1,FALSE)</f>
        <v>#REF!</v>
      </c>
    </row>
    <row r="5797" spans="1:12" hidden="1" x14ac:dyDescent="0.3">
      <c r="A5797" t="s">
        <v>59</v>
      </c>
      <c r="B5797" t="s">
        <v>60</v>
      </c>
      <c r="C5797" t="s">
        <v>127</v>
      </c>
      <c r="D5797" t="s">
        <v>128</v>
      </c>
      <c r="E5797">
        <v>2012</v>
      </c>
      <c r="F5797" s="1">
        <v>11780</v>
      </c>
      <c r="G5797">
        <v>2010</v>
      </c>
      <c r="H5797">
        <f>AVERAGEIFS(Table1[value],Table1[IndicatorCode],Table1[[#This Row],[IndicatorCode]])</f>
        <v>24902.88753799392</v>
      </c>
      <c r="I5797" cm="1">
        <f t="array" ref="I5797">_xlfn.STDEV.P(IF(Table1[IndicatorCode]=Table1[[#This Row],[IndicatorCode]],Table1[value]))</f>
        <v>26324.778297809873</v>
      </c>
      <c r="J5797">
        <f>(Table1[[#This Row],[value]] - Table1[[#This Row],[mean]]) / Table1[[#This Row],[std_dev]]</f>
        <v>-0.49849945133576667</v>
      </c>
      <c r="K5797">
        <f>AVERAGEIF(Table1[CountryCode],Table1[[#This Row],[CountryCode]],Table1[z-score])</f>
        <v>-0.22872454493605915</v>
      </c>
      <c r="L5797" t="e">
        <f>VLOOKUP(Table1[[#This Row],[CountryCode]],[1]!Table1[#All],1,FALSE)</f>
        <v>#REF!</v>
      </c>
    </row>
    <row r="5798" spans="1:12" hidden="1" x14ac:dyDescent="0.3">
      <c r="A5798" t="s">
        <v>59</v>
      </c>
      <c r="B5798" t="s">
        <v>60</v>
      </c>
      <c r="C5798" t="s">
        <v>127</v>
      </c>
      <c r="D5798" t="s">
        <v>128</v>
      </c>
      <c r="E5798">
        <v>2013</v>
      </c>
      <c r="F5798" s="1">
        <v>11838</v>
      </c>
      <c r="G5798">
        <v>2010</v>
      </c>
      <c r="H5798">
        <f>AVERAGEIFS(Table1[value],Table1[IndicatorCode],Table1[[#This Row],[IndicatorCode]])</f>
        <v>24902.88753799392</v>
      </c>
      <c r="I5798" cm="1">
        <f t="array" ref="I5798">_xlfn.STDEV.P(IF(Table1[IndicatorCode]=Table1[[#This Row],[IndicatorCode]],Table1[value]))</f>
        <v>26324.778297809873</v>
      </c>
      <c r="J5798">
        <f>(Table1[[#This Row],[value]] - Table1[[#This Row],[mean]]) / Table1[[#This Row],[std_dev]]</f>
        <v>-0.49629620391070384</v>
      </c>
      <c r="K5798">
        <f>AVERAGEIF(Table1[CountryCode],Table1[[#This Row],[CountryCode]],Table1[z-score])</f>
        <v>-0.22872454493605915</v>
      </c>
      <c r="L5798" t="e">
        <f>VLOOKUP(Table1[[#This Row],[CountryCode]],[1]!Table1[#All],1,FALSE)</f>
        <v>#REF!</v>
      </c>
    </row>
    <row r="5799" spans="1:12" hidden="1" x14ac:dyDescent="0.3">
      <c r="A5799" t="s">
        <v>59</v>
      </c>
      <c r="B5799" t="s">
        <v>60</v>
      </c>
      <c r="C5799" t="s">
        <v>127</v>
      </c>
      <c r="D5799" t="s">
        <v>128</v>
      </c>
      <c r="E5799">
        <v>2014</v>
      </c>
      <c r="F5799" s="1">
        <v>11863</v>
      </c>
      <c r="G5799">
        <v>2010</v>
      </c>
      <c r="H5799">
        <f>AVERAGEIFS(Table1[value],Table1[IndicatorCode],Table1[[#This Row],[IndicatorCode]])</f>
        <v>24902.88753799392</v>
      </c>
      <c r="I5799" cm="1">
        <f t="array" ref="I5799">_xlfn.STDEV.P(IF(Table1[IndicatorCode]=Table1[[#This Row],[IndicatorCode]],Table1[value]))</f>
        <v>26324.778297809873</v>
      </c>
      <c r="J5799">
        <f>(Table1[[#This Row],[value]] - Table1[[#This Row],[mean]]) / Table1[[#This Row],[std_dev]]</f>
        <v>-0.49534652829645259</v>
      </c>
      <c r="K5799">
        <f>AVERAGEIF(Table1[CountryCode],Table1[[#This Row],[CountryCode]],Table1[z-score])</f>
        <v>-0.22872454493605915</v>
      </c>
      <c r="L5799" t="e">
        <f>VLOOKUP(Table1[[#This Row],[CountryCode]],[1]!Table1[#All],1,FALSE)</f>
        <v>#REF!</v>
      </c>
    </row>
    <row r="5800" spans="1:12" hidden="1" x14ac:dyDescent="0.3">
      <c r="A5800" t="s">
        <v>59</v>
      </c>
      <c r="B5800" t="s">
        <v>60</v>
      </c>
      <c r="C5800" t="s">
        <v>127</v>
      </c>
      <c r="D5800" t="s">
        <v>128</v>
      </c>
      <c r="E5800">
        <v>2015</v>
      </c>
      <c r="F5800" s="1">
        <v>12284</v>
      </c>
      <c r="G5800">
        <v>2010</v>
      </c>
      <c r="H5800">
        <f>AVERAGEIFS(Table1[value],Table1[IndicatorCode],Table1[[#This Row],[IndicatorCode]])</f>
        <v>24902.88753799392</v>
      </c>
      <c r="I5800" cm="1">
        <f t="array" ref="I5800">_xlfn.STDEV.P(IF(Table1[IndicatorCode]=Table1[[#This Row],[IndicatorCode]],Table1[value]))</f>
        <v>26324.778297809873</v>
      </c>
      <c r="J5800">
        <f>(Table1[[#This Row],[value]] - Table1[[#This Row],[mean]]) / Table1[[#This Row],[std_dev]]</f>
        <v>-0.47935399095246195</v>
      </c>
      <c r="K5800">
        <f>AVERAGEIF(Table1[CountryCode],Table1[[#This Row],[CountryCode]],Table1[z-score])</f>
        <v>-0.22872454493605915</v>
      </c>
      <c r="L5800" t="e">
        <f>VLOOKUP(Table1[[#This Row],[CountryCode]],[1]!Table1[#All],1,FALSE)</f>
        <v>#REF!</v>
      </c>
    </row>
    <row r="5801" spans="1:12" hidden="1" x14ac:dyDescent="0.3">
      <c r="A5801" t="s">
        <v>59</v>
      </c>
      <c r="B5801" t="s">
        <v>60</v>
      </c>
      <c r="C5801" t="s">
        <v>127</v>
      </c>
      <c r="D5801" t="s">
        <v>128</v>
      </c>
      <c r="E5801">
        <v>2016</v>
      </c>
      <c r="F5801" s="1">
        <v>12848</v>
      </c>
      <c r="G5801">
        <v>2010</v>
      </c>
      <c r="H5801">
        <f>AVERAGEIFS(Table1[value],Table1[IndicatorCode],Table1[[#This Row],[IndicatorCode]])</f>
        <v>24902.88753799392</v>
      </c>
      <c r="I5801" cm="1">
        <f t="array" ref="I5801">_xlfn.STDEV.P(IF(Table1[IndicatorCode]=Table1[[#This Row],[IndicatorCode]],Table1[value]))</f>
        <v>26324.778297809873</v>
      </c>
      <c r="J5801">
        <f>(Table1[[#This Row],[value]] - Table1[[#This Row],[mean]]) / Table1[[#This Row],[std_dev]]</f>
        <v>-0.45792930909495422</v>
      </c>
      <c r="K5801">
        <f>AVERAGEIF(Table1[CountryCode],Table1[[#This Row],[CountryCode]],Table1[z-score])</f>
        <v>-0.22872454493605915</v>
      </c>
      <c r="L5801" t="e">
        <f>VLOOKUP(Table1[[#This Row],[CountryCode]],[1]!Table1[#All],1,FALSE)</f>
        <v>#REF!</v>
      </c>
    </row>
    <row r="5802" spans="1:12" hidden="1" x14ac:dyDescent="0.3">
      <c r="A5802" t="s">
        <v>59</v>
      </c>
      <c r="B5802" t="s">
        <v>60</v>
      </c>
      <c r="C5802" t="s">
        <v>127</v>
      </c>
      <c r="D5802" t="s">
        <v>128</v>
      </c>
      <c r="E5802">
        <v>2017</v>
      </c>
      <c r="F5802" s="1">
        <v>13485</v>
      </c>
      <c r="G5802">
        <v>2020</v>
      </c>
      <c r="H5802">
        <f>AVERAGEIFS(Table1[value],Table1[IndicatorCode],Table1[[#This Row],[IndicatorCode]])</f>
        <v>24902.88753799392</v>
      </c>
      <c r="I5802" cm="1">
        <f t="array" ref="I5802">_xlfn.STDEV.P(IF(Table1[IndicatorCode]=Table1[[#This Row],[IndicatorCode]],Table1[value]))</f>
        <v>26324.778297809873</v>
      </c>
      <c r="J5802">
        <f>(Table1[[#This Row],[value]] - Table1[[#This Row],[mean]]) / Table1[[#This Row],[std_dev]]</f>
        <v>-0.43373157444383292</v>
      </c>
      <c r="K5802">
        <f>AVERAGEIF(Table1[CountryCode],Table1[[#This Row],[CountryCode]],Table1[z-score])</f>
        <v>-0.22872454493605915</v>
      </c>
      <c r="L5802" t="e">
        <f>VLOOKUP(Table1[[#This Row],[CountryCode]],[1]!Table1[#All],1,FALSE)</f>
        <v>#REF!</v>
      </c>
    </row>
    <row r="5803" spans="1:12" hidden="1" x14ac:dyDescent="0.3">
      <c r="A5803" t="s">
        <v>59</v>
      </c>
      <c r="B5803" t="s">
        <v>60</v>
      </c>
      <c r="C5803" t="s">
        <v>127</v>
      </c>
      <c r="D5803" t="s">
        <v>128</v>
      </c>
      <c r="E5803">
        <v>2018</v>
      </c>
      <c r="F5803" s="1">
        <v>14061</v>
      </c>
      <c r="G5803">
        <v>2020</v>
      </c>
      <c r="H5803">
        <f>AVERAGEIFS(Table1[value],Table1[IndicatorCode],Table1[[#This Row],[IndicatorCode]])</f>
        <v>24902.88753799392</v>
      </c>
      <c r="I5803" cm="1">
        <f t="array" ref="I5803">_xlfn.STDEV.P(IF(Table1[IndicatorCode]=Table1[[#This Row],[IndicatorCode]],Table1[value]))</f>
        <v>26324.778297809873</v>
      </c>
      <c r="J5803">
        <f>(Table1[[#This Row],[value]] - Table1[[#This Row],[mean]]) / Table1[[#This Row],[std_dev]]</f>
        <v>-0.41185104829148461</v>
      </c>
      <c r="K5803">
        <f>AVERAGEIF(Table1[CountryCode],Table1[[#This Row],[CountryCode]],Table1[z-score])</f>
        <v>-0.22872454493605915</v>
      </c>
      <c r="L5803" t="e">
        <f>VLOOKUP(Table1[[#This Row],[CountryCode]],[1]!Table1[#All],1,FALSE)</f>
        <v>#REF!</v>
      </c>
    </row>
    <row r="5804" spans="1:12" hidden="1" x14ac:dyDescent="0.3">
      <c r="A5804" t="s">
        <v>59</v>
      </c>
      <c r="B5804" t="s">
        <v>60</v>
      </c>
      <c r="C5804" t="s">
        <v>127</v>
      </c>
      <c r="D5804" t="s">
        <v>128</v>
      </c>
      <c r="E5804">
        <v>2019</v>
      </c>
      <c r="F5804" s="1">
        <v>14642</v>
      </c>
      <c r="G5804">
        <v>2020</v>
      </c>
      <c r="H5804">
        <f>AVERAGEIFS(Table1[value],Table1[IndicatorCode],Table1[[#This Row],[IndicatorCode]])</f>
        <v>24902.88753799392</v>
      </c>
      <c r="I5804" cm="1">
        <f t="array" ref="I5804">_xlfn.STDEV.P(IF(Table1[IndicatorCode]=Table1[[#This Row],[IndicatorCode]],Table1[value]))</f>
        <v>26324.778297809873</v>
      </c>
      <c r="J5804">
        <f>(Table1[[#This Row],[value]] - Table1[[#This Row],[mean]]) / Table1[[#This Row],[std_dev]]</f>
        <v>-0.38978058701628604</v>
      </c>
      <c r="K5804">
        <f>AVERAGEIF(Table1[CountryCode],Table1[[#This Row],[CountryCode]],Table1[z-score])</f>
        <v>-0.22872454493605915</v>
      </c>
      <c r="L5804" t="e">
        <f>VLOOKUP(Table1[[#This Row],[CountryCode]],[1]!Table1[#All],1,FALSE)</f>
        <v>#REF!</v>
      </c>
    </row>
    <row r="5805" spans="1:12" x14ac:dyDescent="0.3">
      <c r="A5805" t="s">
        <v>95</v>
      </c>
      <c r="B5805" t="s">
        <v>96</v>
      </c>
      <c r="C5805" t="s">
        <v>127</v>
      </c>
      <c r="D5805" t="s">
        <v>128</v>
      </c>
      <c r="E5805">
        <v>2020</v>
      </c>
      <c r="F5805" s="1">
        <v>15090</v>
      </c>
      <c r="G5805">
        <v>2020</v>
      </c>
      <c r="H5805">
        <f>AVERAGEIFS(Table1[value],Table1[IndicatorCode],Table1[[#This Row],[IndicatorCode]])</f>
        <v>24902.88753799392</v>
      </c>
      <c r="I5805" cm="1">
        <f t="array" ref="I5805">_xlfn.STDEV.P(IF(Table1[IndicatorCode]=Table1[[#This Row],[IndicatorCode]],Table1[value]))</f>
        <v>26324.778297809873</v>
      </c>
      <c r="J5805">
        <f>(Table1[[#This Row],[value]] - Table1[[#This Row],[mean]]) / Table1[[#This Row],[std_dev]]</f>
        <v>-0.37276240000890404</v>
      </c>
      <c r="K5805">
        <f>AVERAGEIF(Table1[CountryCode],Table1[[#This Row],[CountryCode]],Table1[z-score])</f>
        <v>4.9319686102583721E-2</v>
      </c>
    </row>
    <row r="5806" spans="1:12" hidden="1" x14ac:dyDescent="0.3">
      <c r="A5806" t="s">
        <v>59</v>
      </c>
      <c r="B5806" t="s">
        <v>60</v>
      </c>
      <c r="C5806" t="s">
        <v>127</v>
      </c>
      <c r="D5806" t="s">
        <v>128</v>
      </c>
      <c r="E5806">
        <v>2021</v>
      </c>
      <c r="F5806" s="1">
        <v>15395</v>
      </c>
      <c r="G5806">
        <v>2020</v>
      </c>
      <c r="H5806">
        <f>AVERAGEIFS(Table1[value],Table1[IndicatorCode],Table1[[#This Row],[IndicatorCode]])</f>
        <v>24902.88753799392</v>
      </c>
      <c r="I5806" cm="1">
        <f t="array" ref="I5806">_xlfn.STDEV.P(IF(Table1[IndicatorCode]=Table1[[#This Row],[IndicatorCode]],Table1[value]))</f>
        <v>26324.778297809873</v>
      </c>
      <c r="J5806">
        <f>(Table1[[#This Row],[value]] - Table1[[#This Row],[mean]]) / Table1[[#This Row],[std_dev]]</f>
        <v>-0.36117635751503907</v>
      </c>
      <c r="K5806">
        <f>AVERAGEIF(Table1[CountryCode],Table1[[#This Row],[CountryCode]],Table1[z-score])</f>
        <v>-0.22872454493605915</v>
      </c>
      <c r="L5806" t="e">
        <f>VLOOKUP(Table1[[#This Row],[CountryCode]],[1]!Table1[#All],1,FALSE)</f>
        <v>#REF!</v>
      </c>
    </row>
    <row r="5807" spans="1:12" hidden="1" x14ac:dyDescent="0.3">
      <c r="A5807" t="s">
        <v>59</v>
      </c>
      <c r="B5807" t="s">
        <v>60</v>
      </c>
      <c r="C5807" t="s">
        <v>127</v>
      </c>
      <c r="D5807" t="s">
        <v>128</v>
      </c>
      <c r="E5807">
        <v>2022</v>
      </c>
      <c r="F5807" s="1">
        <v>16618</v>
      </c>
      <c r="G5807">
        <v>1960</v>
      </c>
      <c r="H5807">
        <f>AVERAGEIFS(Table1[value],Table1[IndicatorCode],Table1[[#This Row],[IndicatorCode]])</f>
        <v>24902.88753799392</v>
      </c>
      <c r="I5807" cm="1">
        <f t="array" ref="I5807">_xlfn.STDEV.P(IF(Table1[IndicatorCode]=Table1[[#This Row],[IndicatorCode]],Table1[value]))</f>
        <v>26324.778297809873</v>
      </c>
      <c r="J5807">
        <f>(Table1[[#This Row],[value]] - Table1[[#This Row],[mean]]) / Table1[[#This Row],[std_dev]]</f>
        <v>-0.31471822646586894</v>
      </c>
      <c r="K5807">
        <f>AVERAGEIF(Table1[CountryCode],Table1[[#This Row],[CountryCode]],Table1[z-score])</f>
        <v>-0.22872454493605915</v>
      </c>
      <c r="L5807" t="e">
        <f>VLOOKUP(Table1[[#This Row],[CountryCode]],[1]!Table1[#All],1,FALSE)</f>
        <v>#REF!</v>
      </c>
    </row>
    <row r="5808" spans="1:12" hidden="1" x14ac:dyDescent="0.3">
      <c r="A5808" t="s">
        <v>59</v>
      </c>
      <c r="B5808" t="s">
        <v>60</v>
      </c>
      <c r="C5808" t="s">
        <v>127</v>
      </c>
      <c r="D5808" t="s">
        <v>128</v>
      </c>
      <c r="E5808">
        <v>2023</v>
      </c>
      <c r="F5808" s="1">
        <v>17225</v>
      </c>
      <c r="G5808">
        <v>1960</v>
      </c>
      <c r="H5808">
        <f>AVERAGEIFS(Table1[value],Table1[IndicatorCode],Table1[[#This Row],[IndicatorCode]])</f>
        <v>24902.88753799392</v>
      </c>
      <c r="I5808" cm="1">
        <f t="array" ref="I5808">_xlfn.STDEV.P(IF(Table1[IndicatorCode]=Table1[[#This Row],[IndicatorCode]],Table1[value]))</f>
        <v>26324.778297809873</v>
      </c>
      <c r="J5808">
        <f>(Table1[[#This Row],[value]] - Table1[[#This Row],[mean]]) / Table1[[#This Row],[std_dev]]</f>
        <v>-0.29166010255184915</v>
      </c>
      <c r="K5808">
        <f>AVERAGEIF(Table1[CountryCode],Table1[[#This Row],[CountryCode]],Table1[z-score])</f>
        <v>-0.22872454493605915</v>
      </c>
      <c r="L5808" t="e">
        <f>VLOOKUP(Table1[[#This Row],[CountryCode]],[1]!Table1[#All],1,FALSE)</f>
        <v>#REF!</v>
      </c>
    </row>
    <row r="5809" spans="1:12" hidden="1" x14ac:dyDescent="0.3">
      <c r="A5809" t="s">
        <v>59</v>
      </c>
      <c r="B5809" t="s">
        <v>60</v>
      </c>
      <c r="C5809" t="s">
        <v>127</v>
      </c>
      <c r="D5809" t="s">
        <v>128</v>
      </c>
      <c r="E5809">
        <v>2024</v>
      </c>
      <c r="F5809" s="1">
        <v>17854</v>
      </c>
      <c r="G5809">
        <v>1960</v>
      </c>
      <c r="H5809">
        <f>AVERAGEIFS(Table1[value],Table1[IndicatorCode],Table1[[#This Row],[IndicatorCode]])</f>
        <v>24902.88753799392</v>
      </c>
      <c r="I5809" cm="1">
        <f t="array" ref="I5809">_xlfn.STDEV.P(IF(Table1[IndicatorCode]=Table1[[#This Row],[IndicatorCode]],Table1[value]))</f>
        <v>26324.778297809873</v>
      </c>
      <c r="J5809">
        <f>(Table1[[#This Row],[value]] - Table1[[#This Row],[mean]]) / Table1[[#This Row],[std_dev]]</f>
        <v>-0.26776626409728821</v>
      </c>
      <c r="K5809">
        <f>AVERAGEIF(Table1[CountryCode],Table1[[#This Row],[CountryCode]],Table1[z-score])</f>
        <v>-0.22872454493605915</v>
      </c>
      <c r="L5809" t="e">
        <f>VLOOKUP(Table1[[#This Row],[CountryCode]],[1]!Table1[#All],1,FALSE)</f>
        <v>#REF!</v>
      </c>
    </row>
    <row r="5810" spans="1:12" hidden="1" x14ac:dyDescent="0.3">
      <c r="A5810" t="s">
        <v>61</v>
      </c>
      <c r="B5810" t="s">
        <v>62</v>
      </c>
      <c r="C5810" t="s">
        <v>127</v>
      </c>
      <c r="D5810" t="s">
        <v>128</v>
      </c>
      <c r="E5810">
        <v>1960</v>
      </c>
      <c r="F5810" s="1">
        <v>2084</v>
      </c>
      <c r="G5810">
        <v>1960</v>
      </c>
      <c r="H5810">
        <f>AVERAGEIFS(Table1[value],Table1[IndicatorCode],Table1[[#This Row],[IndicatorCode]])</f>
        <v>24902.88753799392</v>
      </c>
      <c r="I5810" cm="1">
        <f t="array" ref="I5810">_xlfn.STDEV.P(IF(Table1[IndicatorCode]=Table1[[#This Row],[IndicatorCode]],Table1[value]))</f>
        <v>26324.778297809873</v>
      </c>
      <c r="J5810">
        <f>(Table1[[#This Row],[value]] - Table1[[#This Row],[mean]]) / Table1[[#This Row],[std_dev]]</f>
        <v>-0.86682164156696317</v>
      </c>
      <c r="K5810">
        <f>AVERAGEIF(Table1[CountryCode],Table1[[#This Row],[CountryCode]],Table1[z-score])</f>
        <v>-0.27867415315004246</v>
      </c>
      <c r="L5810" t="e">
        <f>VLOOKUP(Table1[[#This Row],[CountryCode]],[1]!Table1[#All],1,FALSE)</f>
        <v>#REF!</v>
      </c>
    </row>
    <row r="5811" spans="1:12" hidden="1" x14ac:dyDescent="0.3">
      <c r="A5811" t="s">
        <v>61</v>
      </c>
      <c r="B5811" t="s">
        <v>62</v>
      </c>
      <c r="C5811" t="s">
        <v>127</v>
      </c>
      <c r="D5811" t="s">
        <v>128</v>
      </c>
      <c r="E5811">
        <v>1961</v>
      </c>
      <c r="F5811" s="1">
        <v>2172</v>
      </c>
      <c r="G5811">
        <v>1960</v>
      </c>
      <c r="H5811">
        <f>AVERAGEIFS(Table1[value],Table1[IndicatorCode],Table1[[#This Row],[IndicatorCode]])</f>
        <v>24902.88753799392</v>
      </c>
      <c r="I5811" cm="1">
        <f t="array" ref="I5811">_xlfn.STDEV.P(IF(Table1[IndicatorCode]=Table1[[#This Row],[IndicatorCode]],Table1[value]))</f>
        <v>26324.778297809873</v>
      </c>
      <c r="J5811">
        <f>(Table1[[#This Row],[value]] - Table1[[#This Row],[mean]]) / Table1[[#This Row],[std_dev]]</f>
        <v>-0.86347878340479878</v>
      </c>
      <c r="K5811">
        <f>AVERAGEIF(Table1[CountryCode],Table1[[#This Row],[CountryCode]],Table1[z-score])</f>
        <v>-0.27867415315004246</v>
      </c>
      <c r="L5811" t="e">
        <f>VLOOKUP(Table1[[#This Row],[CountryCode]],[1]!Table1[#All],1,FALSE)</f>
        <v>#REF!</v>
      </c>
    </row>
    <row r="5812" spans="1:12" hidden="1" x14ac:dyDescent="0.3">
      <c r="A5812" t="s">
        <v>61</v>
      </c>
      <c r="B5812" t="s">
        <v>62</v>
      </c>
      <c r="C5812" t="s">
        <v>127</v>
      </c>
      <c r="D5812" t="s">
        <v>128</v>
      </c>
      <c r="E5812">
        <v>1962</v>
      </c>
      <c r="F5812" s="1">
        <v>2297</v>
      </c>
      <c r="G5812">
        <v>1960</v>
      </c>
      <c r="H5812">
        <f>AVERAGEIFS(Table1[value],Table1[IndicatorCode],Table1[[#This Row],[IndicatorCode]])</f>
        <v>24902.88753799392</v>
      </c>
      <c r="I5812" cm="1">
        <f t="array" ref="I5812">_xlfn.STDEV.P(IF(Table1[IndicatorCode]=Table1[[#This Row],[IndicatorCode]],Table1[value]))</f>
        <v>26324.778297809873</v>
      </c>
      <c r="J5812">
        <f>(Table1[[#This Row],[value]] - Table1[[#This Row],[mean]]) / Table1[[#This Row],[std_dev]]</f>
        <v>-0.85873040533354272</v>
      </c>
      <c r="K5812">
        <f>AVERAGEIF(Table1[CountryCode],Table1[[#This Row],[CountryCode]],Table1[z-score])</f>
        <v>-0.27867415315004246</v>
      </c>
      <c r="L5812" t="e">
        <f>VLOOKUP(Table1[[#This Row],[CountryCode]],[1]!Table1[#All],1,FALSE)</f>
        <v>#REF!</v>
      </c>
    </row>
    <row r="5813" spans="1:12" hidden="1" x14ac:dyDescent="0.3">
      <c r="A5813" t="s">
        <v>61</v>
      </c>
      <c r="B5813" t="s">
        <v>62</v>
      </c>
      <c r="C5813" t="s">
        <v>127</v>
      </c>
      <c r="D5813" t="s">
        <v>128</v>
      </c>
      <c r="E5813">
        <v>1963</v>
      </c>
      <c r="F5813" s="1">
        <v>2421</v>
      </c>
      <c r="G5813">
        <v>1960</v>
      </c>
      <c r="H5813">
        <f>AVERAGEIFS(Table1[value],Table1[IndicatorCode],Table1[[#This Row],[IndicatorCode]])</f>
        <v>24902.88753799392</v>
      </c>
      <c r="I5813" cm="1">
        <f t="array" ref="I5813">_xlfn.STDEV.P(IF(Table1[IndicatorCode]=Table1[[#This Row],[IndicatorCode]],Table1[value]))</f>
        <v>26324.778297809873</v>
      </c>
      <c r="J5813">
        <f>(Table1[[#This Row],[value]] - Table1[[#This Row],[mean]]) / Table1[[#This Row],[std_dev]]</f>
        <v>-0.85402001428685659</v>
      </c>
      <c r="K5813">
        <f>AVERAGEIF(Table1[CountryCode],Table1[[#This Row],[CountryCode]],Table1[z-score])</f>
        <v>-0.27867415315004246</v>
      </c>
      <c r="L5813" t="e">
        <f>VLOOKUP(Table1[[#This Row],[CountryCode]],[1]!Table1[#All],1,FALSE)</f>
        <v>#REF!</v>
      </c>
    </row>
    <row r="5814" spans="1:12" hidden="1" x14ac:dyDescent="0.3">
      <c r="A5814" t="s">
        <v>61</v>
      </c>
      <c r="B5814" t="s">
        <v>62</v>
      </c>
      <c r="C5814" t="s">
        <v>127</v>
      </c>
      <c r="D5814" t="s">
        <v>128</v>
      </c>
      <c r="E5814">
        <v>1964</v>
      </c>
      <c r="F5814" s="1">
        <v>2527</v>
      </c>
      <c r="G5814">
        <v>1960</v>
      </c>
      <c r="H5814">
        <f>AVERAGEIFS(Table1[value],Table1[IndicatorCode],Table1[[#This Row],[IndicatorCode]])</f>
        <v>24902.88753799392</v>
      </c>
      <c r="I5814" cm="1">
        <f t="array" ref="I5814">_xlfn.STDEV.P(IF(Table1[IndicatorCode]=Table1[[#This Row],[IndicatorCode]],Table1[value]))</f>
        <v>26324.778297809873</v>
      </c>
      <c r="J5814">
        <f>(Table1[[#This Row],[value]] - Table1[[#This Row],[mean]]) / Table1[[#This Row],[std_dev]]</f>
        <v>-0.84999338968243143</v>
      </c>
      <c r="K5814">
        <f>AVERAGEIF(Table1[CountryCode],Table1[[#This Row],[CountryCode]],Table1[z-score])</f>
        <v>-0.27867415315004246</v>
      </c>
      <c r="L5814" t="e">
        <f>VLOOKUP(Table1[[#This Row],[CountryCode]],[1]!Table1[#All],1,FALSE)</f>
        <v>#REF!</v>
      </c>
    </row>
    <row r="5815" spans="1:12" hidden="1" x14ac:dyDescent="0.3">
      <c r="A5815" t="s">
        <v>61</v>
      </c>
      <c r="B5815" t="s">
        <v>62</v>
      </c>
      <c r="C5815" t="s">
        <v>127</v>
      </c>
      <c r="D5815" t="s">
        <v>128</v>
      </c>
      <c r="E5815">
        <v>1965</v>
      </c>
      <c r="F5815" s="1">
        <v>3589</v>
      </c>
      <c r="G5815">
        <v>1960</v>
      </c>
      <c r="H5815">
        <f>AVERAGEIFS(Table1[value],Table1[IndicatorCode],Table1[[#This Row],[IndicatorCode]])</f>
        <v>24902.88753799392</v>
      </c>
      <c r="I5815" cm="1">
        <f t="array" ref="I5815">_xlfn.STDEV.P(IF(Table1[IndicatorCode]=Table1[[#This Row],[IndicatorCode]],Table1[value]))</f>
        <v>26324.778297809873</v>
      </c>
      <c r="J5815">
        <f>(Table1[[#This Row],[value]] - Table1[[#This Row],[mean]]) / Table1[[#This Row],[std_dev]]</f>
        <v>-0.80965116958903915</v>
      </c>
      <c r="K5815">
        <f>AVERAGEIF(Table1[CountryCode],Table1[[#This Row],[CountryCode]],Table1[z-score])</f>
        <v>-0.27867415315004246</v>
      </c>
      <c r="L5815" t="e">
        <f>VLOOKUP(Table1[[#This Row],[CountryCode]],[1]!Table1[#All],1,FALSE)</f>
        <v>#REF!</v>
      </c>
    </row>
    <row r="5816" spans="1:12" hidden="1" x14ac:dyDescent="0.3">
      <c r="A5816" t="s">
        <v>61</v>
      </c>
      <c r="B5816" t="s">
        <v>62</v>
      </c>
      <c r="C5816" t="s">
        <v>127</v>
      </c>
      <c r="D5816" t="s">
        <v>128</v>
      </c>
      <c r="E5816">
        <v>1966</v>
      </c>
      <c r="F5816" s="1">
        <v>3843</v>
      </c>
      <c r="G5816">
        <v>1960</v>
      </c>
      <c r="H5816">
        <f>AVERAGEIFS(Table1[value],Table1[IndicatorCode],Table1[[#This Row],[IndicatorCode]])</f>
        <v>24902.88753799392</v>
      </c>
      <c r="I5816" cm="1">
        <f t="array" ref="I5816">_xlfn.STDEV.P(IF(Table1[IndicatorCode]=Table1[[#This Row],[IndicatorCode]],Table1[value]))</f>
        <v>26324.778297809873</v>
      </c>
      <c r="J5816">
        <f>(Table1[[#This Row],[value]] - Table1[[#This Row],[mean]]) / Table1[[#This Row],[std_dev]]</f>
        <v>-0.80000246534824671</v>
      </c>
      <c r="K5816">
        <f>AVERAGEIF(Table1[CountryCode],Table1[[#This Row],[CountryCode]],Table1[z-score])</f>
        <v>-0.27867415315004246</v>
      </c>
      <c r="L5816" t="e">
        <f>VLOOKUP(Table1[[#This Row],[CountryCode]],[1]!Table1[#All],1,FALSE)</f>
        <v>#REF!</v>
      </c>
    </row>
    <row r="5817" spans="1:12" hidden="1" x14ac:dyDescent="0.3">
      <c r="A5817" t="s">
        <v>61</v>
      </c>
      <c r="B5817" t="s">
        <v>62</v>
      </c>
      <c r="C5817" t="s">
        <v>127</v>
      </c>
      <c r="D5817" t="s">
        <v>128</v>
      </c>
      <c r="E5817">
        <v>1967</v>
      </c>
      <c r="F5817" s="1">
        <v>4116</v>
      </c>
      <c r="G5817">
        <v>1970</v>
      </c>
      <c r="H5817">
        <f>AVERAGEIFS(Table1[value],Table1[IndicatorCode],Table1[[#This Row],[IndicatorCode]])</f>
        <v>24902.88753799392</v>
      </c>
      <c r="I5817" cm="1">
        <f t="array" ref="I5817">_xlfn.STDEV.P(IF(Table1[IndicatorCode]=Table1[[#This Row],[IndicatorCode]],Table1[value]))</f>
        <v>26324.778297809873</v>
      </c>
      <c r="J5817">
        <f>(Table1[[#This Row],[value]] - Table1[[#This Row],[mean]]) / Table1[[#This Row],[std_dev]]</f>
        <v>-0.78963200764062325</v>
      </c>
      <c r="K5817">
        <f>AVERAGEIF(Table1[CountryCode],Table1[[#This Row],[CountryCode]],Table1[z-score])</f>
        <v>-0.27867415315004246</v>
      </c>
      <c r="L5817" t="e">
        <f>VLOOKUP(Table1[[#This Row],[CountryCode]],[1]!Table1[#All],1,FALSE)</f>
        <v>#REF!</v>
      </c>
    </row>
    <row r="5818" spans="1:12" hidden="1" x14ac:dyDescent="0.3">
      <c r="A5818" t="s">
        <v>61</v>
      </c>
      <c r="B5818" t="s">
        <v>62</v>
      </c>
      <c r="C5818" t="s">
        <v>127</v>
      </c>
      <c r="D5818" t="s">
        <v>128</v>
      </c>
      <c r="E5818">
        <v>1968</v>
      </c>
      <c r="F5818" s="1">
        <v>4301</v>
      </c>
      <c r="G5818">
        <v>1970</v>
      </c>
      <c r="H5818">
        <f>AVERAGEIFS(Table1[value],Table1[IndicatorCode],Table1[[#This Row],[IndicatorCode]])</f>
        <v>24902.88753799392</v>
      </c>
      <c r="I5818" cm="1">
        <f t="array" ref="I5818">_xlfn.STDEV.P(IF(Table1[IndicatorCode]=Table1[[#This Row],[IndicatorCode]],Table1[value]))</f>
        <v>26324.778297809873</v>
      </c>
      <c r="J5818">
        <f>(Table1[[#This Row],[value]] - Table1[[#This Row],[mean]]) / Table1[[#This Row],[std_dev]]</f>
        <v>-0.78260440809516418</v>
      </c>
      <c r="K5818">
        <f>AVERAGEIF(Table1[CountryCode],Table1[[#This Row],[CountryCode]],Table1[z-score])</f>
        <v>-0.27867415315004246</v>
      </c>
      <c r="L5818" t="e">
        <f>VLOOKUP(Table1[[#This Row],[CountryCode]],[1]!Table1[#All],1,FALSE)</f>
        <v>#REF!</v>
      </c>
    </row>
    <row r="5819" spans="1:12" hidden="1" x14ac:dyDescent="0.3">
      <c r="A5819" t="s">
        <v>61</v>
      </c>
      <c r="B5819" t="s">
        <v>62</v>
      </c>
      <c r="C5819" t="s">
        <v>127</v>
      </c>
      <c r="D5819" t="s">
        <v>128</v>
      </c>
      <c r="E5819">
        <v>1969</v>
      </c>
      <c r="F5819" s="1">
        <v>4579</v>
      </c>
      <c r="G5819">
        <v>1970</v>
      </c>
      <c r="H5819">
        <f>AVERAGEIFS(Table1[value],Table1[IndicatorCode],Table1[[#This Row],[IndicatorCode]])</f>
        <v>24902.88753799392</v>
      </c>
      <c r="I5819" cm="1">
        <f t="array" ref="I5819">_xlfn.STDEV.P(IF(Table1[IndicatorCode]=Table1[[#This Row],[IndicatorCode]],Table1[value]))</f>
        <v>26324.778297809873</v>
      </c>
      <c r="J5819">
        <f>(Table1[[#This Row],[value]] - Table1[[#This Row],[mean]]) / Table1[[#This Row],[std_dev]]</f>
        <v>-0.77204401526469058</v>
      </c>
      <c r="K5819">
        <f>AVERAGEIF(Table1[CountryCode],Table1[[#This Row],[CountryCode]],Table1[z-score])</f>
        <v>-0.27867415315004246</v>
      </c>
      <c r="L5819" t="e">
        <f>VLOOKUP(Table1[[#This Row],[CountryCode]],[1]!Table1[#All],1,FALSE)</f>
        <v>#REF!</v>
      </c>
    </row>
    <row r="5820" spans="1:12" hidden="1" x14ac:dyDescent="0.3">
      <c r="A5820" t="s">
        <v>61</v>
      </c>
      <c r="B5820" t="s">
        <v>62</v>
      </c>
      <c r="C5820" t="s">
        <v>127</v>
      </c>
      <c r="D5820" t="s">
        <v>128</v>
      </c>
      <c r="E5820">
        <v>1970</v>
      </c>
      <c r="F5820" s="1">
        <v>4776</v>
      </c>
      <c r="G5820">
        <v>1970</v>
      </c>
      <c r="H5820">
        <f>AVERAGEIFS(Table1[value],Table1[IndicatorCode],Table1[[#This Row],[IndicatorCode]])</f>
        <v>24902.88753799392</v>
      </c>
      <c r="I5820" cm="1">
        <f t="array" ref="I5820">_xlfn.STDEV.P(IF(Table1[IndicatorCode]=Table1[[#This Row],[IndicatorCode]],Table1[value]))</f>
        <v>26324.778297809873</v>
      </c>
      <c r="J5820">
        <f>(Table1[[#This Row],[value]] - Table1[[#This Row],[mean]]) / Table1[[#This Row],[std_dev]]</f>
        <v>-0.76456057142439082</v>
      </c>
      <c r="K5820">
        <f>AVERAGEIF(Table1[CountryCode],Table1[[#This Row],[CountryCode]],Table1[z-score])</f>
        <v>-0.27867415315004246</v>
      </c>
      <c r="L5820" t="e">
        <f>VLOOKUP(Table1[[#This Row],[CountryCode]],[1]!Table1[#All],1,FALSE)</f>
        <v>#REF!</v>
      </c>
    </row>
    <row r="5821" spans="1:12" hidden="1" x14ac:dyDescent="0.3">
      <c r="A5821" t="s">
        <v>61</v>
      </c>
      <c r="B5821" t="s">
        <v>62</v>
      </c>
      <c r="C5821" t="s">
        <v>127</v>
      </c>
      <c r="D5821" t="s">
        <v>128</v>
      </c>
      <c r="E5821">
        <v>1971</v>
      </c>
      <c r="F5821" s="1">
        <v>5057</v>
      </c>
      <c r="G5821">
        <v>1970</v>
      </c>
      <c r="H5821">
        <f>AVERAGEIFS(Table1[value],Table1[IndicatorCode],Table1[[#This Row],[IndicatorCode]])</f>
        <v>24902.88753799392</v>
      </c>
      <c r="I5821" cm="1">
        <f t="array" ref="I5821">_xlfn.STDEV.P(IF(Table1[IndicatorCode]=Table1[[#This Row],[IndicatorCode]],Table1[value]))</f>
        <v>26324.778297809873</v>
      </c>
      <c r="J5821">
        <f>(Table1[[#This Row],[value]] - Table1[[#This Row],[mean]]) / Table1[[#This Row],[std_dev]]</f>
        <v>-0.75388621752020701</v>
      </c>
      <c r="K5821">
        <f>AVERAGEIF(Table1[CountryCode],Table1[[#This Row],[CountryCode]],Table1[z-score])</f>
        <v>-0.27867415315004246</v>
      </c>
      <c r="L5821" t="e">
        <f>VLOOKUP(Table1[[#This Row],[CountryCode]],[1]!Table1[#All],1,FALSE)</f>
        <v>#REF!</v>
      </c>
    </row>
    <row r="5822" spans="1:12" hidden="1" x14ac:dyDescent="0.3">
      <c r="A5822" t="s">
        <v>61</v>
      </c>
      <c r="B5822" t="s">
        <v>62</v>
      </c>
      <c r="C5822" t="s">
        <v>127</v>
      </c>
      <c r="D5822" t="s">
        <v>128</v>
      </c>
      <c r="E5822">
        <v>1972</v>
      </c>
      <c r="F5822" s="1">
        <v>5350</v>
      </c>
      <c r="G5822">
        <v>1970</v>
      </c>
      <c r="H5822">
        <f>AVERAGEIFS(Table1[value],Table1[IndicatorCode],Table1[[#This Row],[IndicatorCode]])</f>
        <v>24902.88753799392</v>
      </c>
      <c r="I5822" cm="1">
        <f t="array" ref="I5822">_xlfn.STDEV.P(IF(Table1[IndicatorCode]=Table1[[#This Row],[IndicatorCode]],Table1[value]))</f>
        <v>26324.778297809873</v>
      </c>
      <c r="J5822">
        <f>(Table1[[#This Row],[value]] - Table1[[#This Row],[mean]]) / Table1[[#This Row],[std_dev]]</f>
        <v>-0.74275601932118263</v>
      </c>
      <c r="K5822">
        <f>AVERAGEIF(Table1[CountryCode],Table1[[#This Row],[CountryCode]],Table1[z-score])</f>
        <v>-0.27867415315004246</v>
      </c>
      <c r="L5822" t="e">
        <f>VLOOKUP(Table1[[#This Row],[CountryCode]],[1]!Table1[#All],1,FALSE)</f>
        <v>#REF!</v>
      </c>
    </row>
    <row r="5823" spans="1:12" hidden="1" x14ac:dyDescent="0.3">
      <c r="A5823" t="s">
        <v>61</v>
      </c>
      <c r="B5823" t="s">
        <v>62</v>
      </c>
      <c r="C5823" t="s">
        <v>127</v>
      </c>
      <c r="D5823" t="s">
        <v>128</v>
      </c>
      <c r="E5823">
        <v>1973</v>
      </c>
      <c r="F5823" s="1">
        <v>5700</v>
      </c>
      <c r="G5823">
        <v>1970</v>
      </c>
      <c r="H5823">
        <f>AVERAGEIFS(Table1[value],Table1[IndicatorCode],Table1[[#This Row],[IndicatorCode]])</f>
        <v>24902.88753799392</v>
      </c>
      <c r="I5823" cm="1">
        <f t="array" ref="I5823">_xlfn.STDEV.P(IF(Table1[IndicatorCode]=Table1[[#This Row],[IndicatorCode]],Table1[value]))</f>
        <v>26324.778297809873</v>
      </c>
      <c r="J5823">
        <f>(Table1[[#This Row],[value]] - Table1[[#This Row],[mean]]) / Table1[[#This Row],[std_dev]]</f>
        <v>-0.72946056072166543</v>
      </c>
      <c r="K5823">
        <f>AVERAGEIF(Table1[CountryCode],Table1[[#This Row],[CountryCode]],Table1[z-score])</f>
        <v>-0.27867415315004246</v>
      </c>
      <c r="L5823" t="e">
        <f>VLOOKUP(Table1[[#This Row],[CountryCode]],[1]!Table1[#All],1,FALSE)</f>
        <v>#REF!</v>
      </c>
    </row>
    <row r="5824" spans="1:12" hidden="1" x14ac:dyDescent="0.3">
      <c r="A5824" t="s">
        <v>61</v>
      </c>
      <c r="B5824" t="s">
        <v>62</v>
      </c>
      <c r="C5824" t="s">
        <v>127</v>
      </c>
      <c r="D5824" t="s">
        <v>128</v>
      </c>
      <c r="E5824">
        <v>1974</v>
      </c>
      <c r="F5824" s="1">
        <v>6010</v>
      </c>
      <c r="G5824">
        <v>1970</v>
      </c>
      <c r="H5824">
        <f>AVERAGEIFS(Table1[value],Table1[IndicatorCode],Table1[[#This Row],[IndicatorCode]])</f>
        <v>24902.88753799392</v>
      </c>
      <c r="I5824" cm="1">
        <f t="array" ref="I5824">_xlfn.STDEV.P(IF(Table1[IndicatorCode]=Table1[[#This Row],[IndicatorCode]],Table1[value]))</f>
        <v>26324.778297809873</v>
      </c>
      <c r="J5824">
        <f>(Table1[[#This Row],[value]] - Table1[[#This Row],[mean]]) / Table1[[#This Row],[std_dev]]</f>
        <v>-0.7176845831049502</v>
      </c>
      <c r="K5824">
        <f>AVERAGEIF(Table1[CountryCode],Table1[[#This Row],[CountryCode]],Table1[z-score])</f>
        <v>-0.27867415315004246</v>
      </c>
      <c r="L5824" t="e">
        <f>VLOOKUP(Table1[[#This Row],[CountryCode]],[1]!Table1[#All],1,FALSE)</f>
        <v>#REF!</v>
      </c>
    </row>
    <row r="5825" spans="1:12" hidden="1" x14ac:dyDescent="0.3">
      <c r="A5825" t="s">
        <v>61</v>
      </c>
      <c r="B5825" t="s">
        <v>62</v>
      </c>
      <c r="C5825" t="s">
        <v>127</v>
      </c>
      <c r="D5825" t="s">
        <v>128</v>
      </c>
      <c r="E5825">
        <v>1975</v>
      </c>
      <c r="F5825" s="1">
        <v>6345</v>
      </c>
      <c r="G5825">
        <v>1970</v>
      </c>
      <c r="H5825">
        <f>AVERAGEIFS(Table1[value],Table1[IndicatorCode],Table1[[#This Row],[IndicatorCode]])</f>
        <v>24902.88753799392</v>
      </c>
      <c r="I5825" cm="1">
        <f t="array" ref="I5825">_xlfn.STDEV.P(IF(Table1[IndicatorCode]=Table1[[#This Row],[IndicatorCode]],Table1[value]))</f>
        <v>26324.778297809873</v>
      </c>
      <c r="J5825">
        <f>(Table1[[#This Row],[value]] - Table1[[#This Row],[mean]]) / Table1[[#This Row],[std_dev]]</f>
        <v>-0.70495892987398379</v>
      </c>
      <c r="K5825">
        <f>AVERAGEIF(Table1[CountryCode],Table1[[#This Row],[CountryCode]],Table1[z-score])</f>
        <v>-0.27867415315004246</v>
      </c>
      <c r="L5825" t="e">
        <f>VLOOKUP(Table1[[#This Row],[CountryCode]],[1]!Table1[#All],1,FALSE)</f>
        <v>#REF!</v>
      </c>
    </row>
    <row r="5826" spans="1:12" hidden="1" x14ac:dyDescent="0.3">
      <c r="A5826" t="s">
        <v>61</v>
      </c>
      <c r="B5826" t="s">
        <v>62</v>
      </c>
      <c r="C5826" t="s">
        <v>127</v>
      </c>
      <c r="D5826" t="s">
        <v>128</v>
      </c>
      <c r="E5826">
        <v>1976</v>
      </c>
      <c r="F5826" s="1">
        <v>6537</v>
      </c>
      <c r="G5826">
        <v>1970</v>
      </c>
      <c r="H5826">
        <f>AVERAGEIFS(Table1[value],Table1[IndicatorCode],Table1[[#This Row],[IndicatorCode]])</f>
        <v>24902.88753799392</v>
      </c>
      <c r="I5826" cm="1">
        <f t="array" ref="I5826">_xlfn.STDEV.P(IF(Table1[IndicatorCode]=Table1[[#This Row],[IndicatorCode]],Table1[value]))</f>
        <v>26324.778297809873</v>
      </c>
      <c r="J5826">
        <f>(Table1[[#This Row],[value]] - Table1[[#This Row],[mean]]) / Table1[[#This Row],[std_dev]]</f>
        <v>-0.69766542115653429</v>
      </c>
      <c r="K5826">
        <f>AVERAGEIF(Table1[CountryCode],Table1[[#This Row],[CountryCode]],Table1[z-score])</f>
        <v>-0.27867415315004246</v>
      </c>
      <c r="L5826" t="e">
        <f>VLOOKUP(Table1[[#This Row],[CountryCode]],[1]!Table1[#All],1,FALSE)</f>
        <v>#REF!</v>
      </c>
    </row>
    <row r="5827" spans="1:12" hidden="1" x14ac:dyDescent="0.3">
      <c r="A5827" t="s">
        <v>61</v>
      </c>
      <c r="B5827" t="s">
        <v>62</v>
      </c>
      <c r="C5827" t="s">
        <v>127</v>
      </c>
      <c r="D5827" t="s">
        <v>128</v>
      </c>
      <c r="E5827">
        <v>1977</v>
      </c>
      <c r="F5827" s="1">
        <v>7002</v>
      </c>
      <c r="G5827">
        <v>1980</v>
      </c>
      <c r="H5827">
        <f>AVERAGEIFS(Table1[value],Table1[IndicatorCode],Table1[[#This Row],[IndicatorCode]])</f>
        <v>24902.88753799392</v>
      </c>
      <c r="I5827" cm="1">
        <f t="array" ref="I5827">_xlfn.STDEV.P(IF(Table1[IndicatorCode]=Table1[[#This Row],[IndicatorCode]],Table1[value]))</f>
        <v>26324.778297809873</v>
      </c>
      <c r="J5827">
        <f>(Table1[[#This Row],[value]] - Table1[[#This Row],[mean]]) / Table1[[#This Row],[std_dev]]</f>
        <v>-0.68000145473146145</v>
      </c>
      <c r="K5827">
        <f>AVERAGEIF(Table1[CountryCode],Table1[[#This Row],[CountryCode]],Table1[z-score])</f>
        <v>-0.27867415315004246</v>
      </c>
      <c r="L5827" t="e">
        <f>VLOOKUP(Table1[[#This Row],[CountryCode]],[1]!Table1[#All],1,FALSE)</f>
        <v>#REF!</v>
      </c>
    </row>
    <row r="5828" spans="1:12" hidden="1" x14ac:dyDescent="0.3">
      <c r="A5828" t="s">
        <v>61</v>
      </c>
      <c r="B5828" t="s">
        <v>62</v>
      </c>
      <c r="C5828" t="s">
        <v>127</v>
      </c>
      <c r="D5828" t="s">
        <v>128</v>
      </c>
      <c r="E5828">
        <v>1978</v>
      </c>
      <c r="F5828" s="1">
        <v>7285</v>
      </c>
      <c r="G5828">
        <v>1980</v>
      </c>
      <c r="H5828">
        <f>AVERAGEIFS(Table1[value],Table1[IndicatorCode],Table1[[#This Row],[IndicatorCode]])</f>
        <v>24902.88753799392</v>
      </c>
      <c r="I5828" cm="1">
        <f t="array" ref="I5828">_xlfn.STDEV.P(IF(Table1[IndicatorCode]=Table1[[#This Row],[IndicatorCode]],Table1[value]))</f>
        <v>26324.778297809873</v>
      </c>
      <c r="J5828">
        <f>(Table1[[#This Row],[value]] - Table1[[#This Row],[mean]]) / Table1[[#This Row],[std_dev]]</f>
        <v>-0.66925112677813758</v>
      </c>
      <c r="K5828">
        <f>AVERAGEIF(Table1[CountryCode],Table1[[#This Row],[CountryCode]],Table1[z-score])</f>
        <v>-0.27867415315004246</v>
      </c>
      <c r="L5828" t="e">
        <f>VLOOKUP(Table1[[#This Row],[CountryCode]],[1]!Table1[#All],1,FALSE)</f>
        <v>#REF!</v>
      </c>
    </row>
    <row r="5829" spans="1:12" hidden="1" x14ac:dyDescent="0.3">
      <c r="A5829" t="s">
        <v>61</v>
      </c>
      <c r="B5829" t="s">
        <v>62</v>
      </c>
      <c r="C5829" t="s">
        <v>127</v>
      </c>
      <c r="D5829" t="s">
        <v>128</v>
      </c>
      <c r="E5829">
        <v>1979</v>
      </c>
      <c r="F5829" s="1">
        <v>7468</v>
      </c>
      <c r="G5829">
        <v>1980</v>
      </c>
      <c r="H5829">
        <f>AVERAGEIFS(Table1[value],Table1[IndicatorCode],Table1[[#This Row],[IndicatorCode]])</f>
        <v>24902.88753799392</v>
      </c>
      <c r="I5829" cm="1">
        <f t="array" ref="I5829">_xlfn.STDEV.P(IF(Table1[IndicatorCode]=Table1[[#This Row],[IndicatorCode]],Table1[value]))</f>
        <v>26324.778297809873</v>
      </c>
      <c r="J5829">
        <f>(Table1[[#This Row],[value]] - Table1[[#This Row],[mean]]) / Table1[[#This Row],[std_dev]]</f>
        <v>-0.66229950128181858</v>
      </c>
      <c r="K5829">
        <f>AVERAGEIF(Table1[CountryCode],Table1[[#This Row],[CountryCode]],Table1[z-score])</f>
        <v>-0.27867415315004246</v>
      </c>
      <c r="L5829" t="e">
        <f>VLOOKUP(Table1[[#This Row],[CountryCode]],[1]!Table1[#All],1,FALSE)</f>
        <v>#REF!</v>
      </c>
    </row>
    <row r="5830" spans="1:12" hidden="1" x14ac:dyDescent="0.3">
      <c r="A5830" t="s">
        <v>61</v>
      </c>
      <c r="B5830" t="s">
        <v>62</v>
      </c>
      <c r="C5830" t="s">
        <v>127</v>
      </c>
      <c r="D5830" t="s">
        <v>128</v>
      </c>
      <c r="E5830">
        <v>1980</v>
      </c>
      <c r="F5830" s="1">
        <v>7478</v>
      </c>
      <c r="G5830">
        <v>1980</v>
      </c>
      <c r="H5830">
        <f>AVERAGEIFS(Table1[value],Table1[IndicatorCode],Table1[[#This Row],[IndicatorCode]])</f>
        <v>24902.88753799392</v>
      </c>
      <c r="I5830" cm="1">
        <f t="array" ref="I5830">_xlfn.STDEV.P(IF(Table1[IndicatorCode]=Table1[[#This Row],[IndicatorCode]],Table1[value]))</f>
        <v>26324.778297809873</v>
      </c>
      <c r="J5830">
        <f>(Table1[[#This Row],[value]] - Table1[[#This Row],[mean]]) / Table1[[#This Row],[std_dev]]</f>
        <v>-0.66191963103611806</v>
      </c>
      <c r="K5830">
        <f>AVERAGEIF(Table1[CountryCode],Table1[[#This Row],[CountryCode]],Table1[z-score])</f>
        <v>-0.27867415315004246</v>
      </c>
      <c r="L5830" t="e">
        <f>VLOOKUP(Table1[[#This Row],[CountryCode]],[1]!Table1[#All],1,FALSE)</f>
        <v>#REF!</v>
      </c>
    </row>
    <row r="5831" spans="1:12" hidden="1" x14ac:dyDescent="0.3">
      <c r="A5831" t="s">
        <v>61</v>
      </c>
      <c r="B5831" t="s">
        <v>62</v>
      </c>
      <c r="C5831" t="s">
        <v>127</v>
      </c>
      <c r="D5831" t="s">
        <v>128</v>
      </c>
      <c r="E5831">
        <v>1981</v>
      </c>
      <c r="F5831" s="1">
        <v>7692</v>
      </c>
      <c r="G5831">
        <v>1980</v>
      </c>
      <c r="H5831">
        <f>AVERAGEIFS(Table1[value],Table1[IndicatorCode],Table1[[#This Row],[IndicatorCode]])</f>
        <v>24902.88753799392</v>
      </c>
      <c r="I5831" cm="1">
        <f t="array" ref="I5831">_xlfn.STDEV.P(IF(Table1[IndicatorCode]=Table1[[#This Row],[IndicatorCode]],Table1[value]))</f>
        <v>26324.778297809873</v>
      </c>
      <c r="J5831">
        <f>(Table1[[#This Row],[value]] - Table1[[#This Row],[mean]]) / Table1[[#This Row],[std_dev]]</f>
        <v>-0.65379040777812758</v>
      </c>
      <c r="K5831">
        <f>AVERAGEIF(Table1[CountryCode],Table1[[#This Row],[CountryCode]],Table1[z-score])</f>
        <v>-0.27867415315004246</v>
      </c>
      <c r="L5831" t="e">
        <f>VLOOKUP(Table1[[#This Row],[CountryCode]],[1]!Table1[#All],1,FALSE)</f>
        <v>#REF!</v>
      </c>
    </row>
    <row r="5832" spans="1:12" hidden="1" x14ac:dyDescent="0.3">
      <c r="A5832" t="s">
        <v>61</v>
      </c>
      <c r="B5832" t="s">
        <v>62</v>
      </c>
      <c r="C5832" t="s">
        <v>127</v>
      </c>
      <c r="D5832" t="s">
        <v>128</v>
      </c>
      <c r="E5832">
        <v>1982</v>
      </c>
      <c r="F5832" s="1">
        <v>7915</v>
      </c>
      <c r="G5832">
        <v>1980</v>
      </c>
      <c r="H5832">
        <f>AVERAGEIFS(Table1[value],Table1[IndicatorCode],Table1[[#This Row],[IndicatorCode]])</f>
        <v>24902.88753799392</v>
      </c>
      <c r="I5832" cm="1">
        <f t="array" ref="I5832">_xlfn.STDEV.P(IF(Table1[IndicatorCode]=Table1[[#This Row],[IndicatorCode]],Table1[value]))</f>
        <v>26324.778297809873</v>
      </c>
      <c r="J5832">
        <f>(Table1[[#This Row],[value]] - Table1[[#This Row],[mean]]) / Table1[[#This Row],[std_dev]]</f>
        <v>-0.64531930129900661</v>
      </c>
      <c r="K5832">
        <f>AVERAGEIF(Table1[CountryCode],Table1[[#This Row],[CountryCode]],Table1[z-score])</f>
        <v>-0.27867415315004246</v>
      </c>
      <c r="L5832" t="e">
        <f>VLOOKUP(Table1[[#This Row],[CountryCode]],[1]!Table1[#All],1,FALSE)</f>
        <v>#REF!</v>
      </c>
    </row>
    <row r="5833" spans="1:12" hidden="1" x14ac:dyDescent="0.3">
      <c r="A5833" t="s">
        <v>61</v>
      </c>
      <c r="B5833" t="s">
        <v>62</v>
      </c>
      <c r="C5833" t="s">
        <v>127</v>
      </c>
      <c r="D5833" t="s">
        <v>128</v>
      </c>
      <c r="E5833">
        <v>1983</v>
      </c>
      <c r="F5833" s="1">
        <v>7984</v>
      </c>
      <c r="G5833">
        <v>1980</v>
      </c>
      <c r="H5833">
        <f>AVERAGEIFS(Table1[value],Table1[IndicatorCode],Table1[[#This Row],[IndicatorCode]])</f>
        <v>24902.88753799392</v>
      </c>
      <c r="I5833" cm="1">
        <f t="array" ref="I5833">_xlfn.STDEV.P(IF(Table1[IndicatorCode]=Table1[[#This Row],[IndicatorCode]],Table1[value]))</f>
        <v>26324.778297809873</v>
      </c>
      <c r="J5833">
        <f>(Table1[[#This Row],[value]] - Table1[[#This Row],[mean]]) / Table1[[#This Row],[std_dev]]</f>
        <v>-0.64269819660367322</v>
      </c>
      <c r="K5833">
        <f>AVERAGEIF(Table1[CountryCode],Table1[[#This Row],[CountryCode]],Table1[z-score])</f>
        <v>-0.27867415315004246</v>
      </c>
      <c r="L5833" t="e">
        <f>VLOOKUP(Table1[[#This Row],[CountryCode]],[1]!Table1[#All],1,FALSE)</f>
        <v>#REF!</v>
      </c>
    </row>
    <row r="5834" spans="1:12" hidden="1" x14ac:dyDescent="0.3">
      <c r="A5834" t="s">
        <v>61</v>
      </c>
      <c r="B5834" t="s">
        <v>62</v>
      </c>
      <c r="C5834" t="s">
        <v>127</v>
      </c>
      <c r="D5834" t="s">
        <v>128</v>
      </c>
      <c r="E5834">
        <v>1984</v>
      </c>
      <c r="F5834" s="1">
        <v>8213</v>
      </c>
      <c r="G5834">
        <v>1980</v>
      </c>
      <c r="H5834">
        <f>AVERAGEIFS(Table1[value],Table1[IndicatorCode],Table1[[#This Row],[IndicatorCode]])</f>
        <v>24902.88753799392</v>
      </c>
      <c r="I5834" cm="1">
        <f t="array" ref="I5834">_xlfn.STDEV.P(IF(Table1[IndicatorCode]=Table1[[#This Row],[IndicatorCode]],Table1[value]))</f>
        <v>26324.778297809873</v>
      </c>
      <c r="J5834">
        <f>(Table1[[#This Row],[value]] - Table1[[#This Row],[mean]]) / Table1[[#This Row],[std_dev]]</f>
        <v>-0.63399916797713196</v>
      </c>
      <c r="K5834">
        <f>AVERAGEIF(Table1[CountryCode],Table1[[#This Row],[CountryCode]],Table1[z-score])</f>
        <v>-0.27867415315004246</v>
      </c>
      <c r="L5834" t="e">
        <f>VLOOKUP(Table1[[#This Row],[CountryCode]],[1]!Table1[#All],1,FALSE)</f>
        <v>#REF!</v>
      </c>
    </row>
    <row r="5835" spans="1:12" hidden="1" x14ac:dyDescent="0.3">
      <c r="A5835" t="s">
        <v>61</v>
      </c>
      <c r="B5835" t="s">
        <v>62</v>
      </c>
      <c r="C5835" t="s">
        <v>127</v>
      </c>
      <c r="D5835" t="s">
        <v>128</v>
      </c>
      <c r="E5835">
        <v>1985</v>
      </c>
      <c r="F5835" s="1">
        <v>8207</v>
      </c>
      <c r="G5835">
        <v>1980</v>
      </c>
      <c r="H5835">
        <f>AVERAGEIFS(Table1[value],Table1[IndicatorCode],Table1[[#This Row],[IndicatorCode]])</f>
        <v>24902.88753799392</v>
      </c>
      <c r="I5835" cm="1">
        <f t="array" ref="I5835">_xlfn.STDEV.P(IF(Table1[IndicatorCode]=Table1[[#This Row],[IndicatorCode]],Table1[value]))</f>
        <v>26324.778297809873</v>
      </c>
      <c r="J5835">
        <f>(Table1[[#This Row],[value]] - Table1[[#This Row],[mean]]) / Table1[[#This Row],[std_dev]]</f>
        <v>-0.63422709012455225</v>
      </c>
      <c r="K5835">
        <f>AVERAGEIF(Table1[CountryCode],Table1[[#This Row],[CountryCode]],Table1[z-score])</f>
        <v>-0.27867415315004246</v>
      </c>
      <c r="L5835" t="e">
        <f>VLOOKUP(Table1[[#This Row],[CountryCode]],[1]!Table1[#All],1,FALSE)</f>
        <v>#REF!</v>
      </c>
    </row>
    <row r="5836" spans="1:12" hidden="1" x14ac:dyDescent="0.3">
      <c r="A5836" t="s">
        <v>61</v>
      </c>
      <c r="B5836" t="s">
        <v>62</v>
      </c>
      <c r="C5836" t="s">
        <v>127</v>
      </c>
      <c r="D5836" t="s">
        <v>128</v>
      </c>
      <c r="E5836">
        <v>1986</v>
      </c>
      <c r="F5836" s="1">
        <v>8347</v>
      </c>
      <c r="G5836">
        <v>1980</v>
      </c>
      <c r="H5836">
        <f>AVERAGEIFS(Table1[value],Table1[IndicatorCode],Table1[[#This Row],[IndicatorCode]])</f>
        <v>24902.88753799392</v>
      </c>
      <c r="I5836" cm="1">
        <f t="array" ref="I5836">_xlfn.STDEV.P(IF(Table1[IndicatorCode]=Table1[[#This Row],[IndicatorCode]],Table1[value]))</f>
        <v>26324.778297809873</v>
      </c>
      <c r="J5836">
        <f>(Table1[[#This Row],[value]] - Table1[[#This Row],[mean]]) / Table1[[#This Row],[std_dev]]</f>
        <v>-0.62890890668474542</v>
      </c>
      <c r="K5836">
        <f>AVERAGEIF(Table1[CountryCode],Table1[[#This Row],[CountryCode]],Table1[z-score])</f>
        <v>-0.27867415315004246</v>
      </c>
      <c r="L5836" t="e">
        <f>VLOOKUP(Table1[[#This Row],[CountryCode]],[1]!Table1[#All],1,FALSE)</f>
        <v>#REF!</v>
      </c>
    </row>
    <row r="5837" spans="1:12" hidden="1" x14ac:dyDescent="0.3">
      <c r="A5837" t="s">
        <v>61</v>
      </c>
      <c r="B5837" t="s">
        <v>62</v>
      </c>
      <c r="C5837" t="s">
        <v>127</v>
      </c>
      <c r="D5837" t="s">
        <v>128</v>
      </c>
      <c r="E5837">
        <v>1987</v>
      </c>
      <c r="F5837" s="1">
        <v>8700</v>
      </c>
      <c r="G5837">
        <v>1990</v>
      </c>
      <c r="H5837">
        <f>AVERAGEIFS(Table1[value],Table1[IndicatorCode],Table1[[#This Row],[IndicatorCode]])</f>
        <v>24902.88753799392</v>
      </c>
      <c r="I5837" cm="1">
        <f t="array" ref="I5837">_xlfn.STDEV.P(IF(Table1[IndicatorCode]=Table1[[#This Row],[IndicatorCode]],Table1[value]))</f>
        <v>26324.778297809873</v>
      </c>
      <c r="J5837">
        <f>(Table1[[#This Row],[value]] - Table1[[#This Row],[mean]]) / Table1[[#This Row],[std_dev]]</f>
        <v>-0.61549948701151802</v>
      </c>
      <c r="K5837">
        <f>AVERAGEIF(Table1[CountryCode],Table1[[#This Row],[CountryCode]],Table1[z-score])</f>
        <v>-0.27867415315004246</v>
      </c>
      <c r="L5837" t="e">
        <f>VLOOKUP(Table1[[#This Row],[CountryCode]],[1]!Table1[#All],1,FALSE)</f>
        <v>#REF!</v>
      </c>
    </row>
    <row r="5838" spans="1:12" hidden="1" x14ac:dyDescent="0.3">
      <c r="A5838" t="s">
        <v>61</v>
      </c>
      <c r="B5838" t="s">
        <v>62</v>
      </c>
      <c r="C5838" t="s">
        <v>127</v>
      </c>
      <c r="D5838" t="s">
        <v>128</v>
      </c>
      <c r="E5838">
        <v>1988</v>
      </c>
      <c r="F5838" s="1">
        <v>8707</v>
      </c>
      <c r="G5838">
        <v>1990</v>
      </c>
      <c r="H5838">
        <f>AVERAGEIFS(Table1[value],Table1[IndicatorCode],Table1[[#This Row],[IndicatorCode]])</f>
        <v>24902.88753799392</v>
      </c>
      <c r="I5838" cm="1">
        <f t="array" ref="I5838">_xlfn.STDEV.P(IF(Table1[IndicatorCode]=Table1[[#This Row],[IndicatorCode]],Table1[value]))</f>
        <v>26324.778297809873</v>
      </c>
      <c r="J5838">
        <f>(Table1[[#This Row],[value]] - Table1[[#This Row],[mean]]) / Table1[[#This Row],[std_dev]]</f>
        <v>-0.6152335778395277</v>
      </c>
      <c r="K5838">
        <f>AVERAGEIF(Table1[CountryCode],Table1[[#This Row],[CountryCode]],Table1[z-score])</f>
        <v>-0.27867415315004246</v>
      </c>
      <c r="L5838" t="e">
        <f>VLOOKUP(Table1[[#This Row],[CountryCode]],[1]!Table1[#All],1,FALSE)</f>
        <v>#REF!</v>
      </c>
    </row>
    <row r="5839" spans="1:12" hidden="1" x14ac:dyDescent="0.3">
      <c r="A5839" t="s">
        <v>61</v>
      </c>
      <c r="B5839" t="s">
        <v>62</v>
      </c>
      <c r="C5839" t="s">
        <v>127</v>
      </c>
      <c r="D5839" t="s">
        <v>128</v>
      </c>
      <c r="E5839">
        <v>1989</v>
      </c>
      <c r="F5839" s="1">
        <v>8868</v>
      </c>
      <c r="G5839">
        <v>1990</v>
      </c>
      <c r="H5839">
        <f>AVERAGEIFS(Table1[value],Table1[IndicatorCode],Table1[[#This Row],[IndicatorCode]])</f>
        <v>24902.88753799392</v>
      </c>
      <c r="I5839" cm="1">
        <f t="array" ref="I5839">_xlfn.STDEV.P(IF(Table1[IndicatorCode]=Table1[[#This Row],[IndicatorCode]],Table1[value]))</f>
        <v>26324.778297809873</v>
      </c>
      <c r="J5839">
        <f>(Table1[[#This Row],[value]] - Table1[[#This Row],[mean]]) / Table1[[#This Row],[std_dev]]</f>
        <v>-0.6091176668837498</v>
      </c>
      <c r="K5839">
        <f>AVERAGEIF(Table1[CountryCode],Table1[[#This Row],[CountryCode]],Table1[z-score])</f>
        <v>-0.27867415315004246</v>
      </c>
      <c r="L5839" t="e">
        <f>VLOOKUP(Table1[[#This Row],[CountryCode]],[1]!Table1[#All],1,FALSE)</f>
        <v>#REF!</v>
      </c>
    </row>
    <row r="5840" spans="1:12" hidden="1" x14ac:dyDescent="0.3">
      <c r="A5840" t="s">
        <v>61</v>
      </c>
      <c r="B5840" t="s">
        <v>62</v>
      </c>
      <c r="C5840" t="s">
        <v>127</v>
      </c>
      <c r="D5840" t="s">
        <v>128</v>
      </c>
      <c r="E5840">
        <v>1990</v>
      </c>
      <c r="F5840" s="1">
        <v>8646</v>
      </c>
      <c r="G5840">
        <v>1990</v>
      </c>
      <c r="H5840">
        <f>AVERAGEIFS(Table1[value],Table1[IndicatorCode],Table1[[#This Row],[IndicatorCode]])</f>
        <v>24902.88753799392</v>
      </c>
      <c r="I5840" cm="1">
        <f t="array" ref="I5840">_xlfn.STDEV.P(IF(Table1[IndicatorCode]=Table1[[#This Row],[IndicatorCode]],Table1[value]))</f>
        <v>26324.778297809873</v>
      </c>
      <c r="J5840">
        <f>(Table1[[#This Row],[value]] - Table1[[#This Row],[mean]]) / Table1[[#This Row],[std_dev]]</f>
        <v>-0.61755078633830074</v>
      </c>
      <c r="K5840">
        <f>AVERAGEIF(Table1[CountryCode],Table1[[#This Row],[CountryCode]],Table1[z-score])</f>
        <v>-0.27867415315004246</v>
      </c>
      <c r="L5840" t="e">
        <f>VLOOKUP(Table1[[#This Row],[CountryCode]],[1]!Table1[#All],1,FALSE)</f>
        <v>#REF!</v>
      </c>
    </row>
    <row r="5841" spans="1:12" hidden="1" x14ac:dyDescent="0.3">
      <c r="A5841" t="s">
        <v>61</v>
      </c>
      <c r="B5841" t="s">
        <v>62</v>
      </c>
      <c r="C5841" t="s">
        <v>127</v>
      </c>
      <c r="D5841" t="s">
        <v>128</v>
      </c>
      <c r="E5841">
        <v>1991</v>
      </c>
      <c r="F5841" s="1">
        <v>7619</v>
      </c>
      <c r="G5841">
        <v>1990</v>
      </c>
      <c r="H5841">
        <f>AVERAGEIFS(Table1[value],Table1[IndicatorCode],Table1[[#This Row],[IndicatorCode]])</f>
        <v>24902.88753799392</v>
      </c>
      <c r="I5841" cm="1">
        <f t="array" ref="I5841">_xlfn.STDEV.P(IF(Table1[IndicatorCode]=Table1[[#This Row],[IndicatorCode]],Table1[value]))</f>
        <v>26324.778297809873</v>
      </c>
      <c r="J5841">
        <f>(Table1[[#This Row],[value]] - Table1[[#This Row],[mean]]) / Table1[[#This Row],[std_dev]]</f>
        <v>-0.6565634605717412</v>
      </c>
      <c r="K5841">
        <f>AVERAGEIF(Table1[CountryCode],Table1[[#This Row],[CountryCode]],Table1[z-score])</f>
        <v>-0.27867415315004246</v>
      </c>
      <c r="L5841" t="e">
        <f>VLOOKUP(Table1[[#This Row],[CountryCode]],[1]!Table1[#All],1,FALSE)</f>
        <v>#REF!</v>
      </c>
    </row>
    <row r="5842" spans="1:12" hidden="1" x14ac:dyDescent="0.3">
      <c r="A5842" t="s">
        <v>61</v>
      </c>
      <c r="B5842" t="s">
        <v>62</v>
      </c>
      <c r="C5842" t="s">
        <v>127</v>
      </c>
      <c r="D5842" t="s">
        <v>128</v>
      </c>
      <c r="E5842">
        <v>1992</v>
      </c>
      <c r="F5842" s="1">
        <v>7388</v>
      </c>
      <c r="G5842">
        <v>1990</v>
      </c>
      <c r="H5842">
        <f>AVERAGEIFS(Table1[value],Table1[IndicatorCode],Table1[[#This Row],[IndicatorCode]])</f>
        <v>24902.88753799392</v>
      </c>
      <c r="I5842" cm="1">
        <f t="array" ref="I5842">_xlfn.STDEV.P(IF(Table1[IndicatorCode]=Table1[[#This Row],[IndicatorCode]],Table1[value]))</f>
        <v>26324.778297809873</v>
      </c>
      <c r="J5842">
        <f>(Table1[[#This Row],[value]] - Table1[[#This Row],[mean]]) / Table1[[#This Row],[std_dev]]</f>
        <v>-0.66533846324742252</v>
      </c>
      <c r="K5842">
        <f>AVERAGEIF(Table1[CountryCode],Table1[[#This Row],[CountryCode]],Table1[z-score])</f>
        <v>-0.27867415315004246</v>
      </c>
      <c r="L5842" t="e">
        <f>VLOOKUP(Table1[[#This Row],[CountryCode]],[1]!Table1[#All],1,FALSE)</f>
        <v>#REF!</v>
      </c>
    </row>
    <row r="5843" spans="1:12" hidden="1" x14ac:dyDescent="0.3">
      <c r="A5843" t="s">
        <v>61</v>
      </c>
      <c r="B5843" t="s">
        <v>62</v>
      </c>
      <c r="C5843" t="s">
        <v>127</v>
      </c>
      <c r="D5843" t="s">
        <v>128</v>
      </c>
      <c r="E5843">
        <v>1993</v>
      </c>
      <c r="F5843" s="1">
        <v>7354</v>
      </c>
      <c r="G5843">
        <v>1990</v>
      </c>
      <c r="H5843">
        <f>AVERAGEIFS(Table1[value],Table1[IndicatorCode],Table1[[#This Row],[IndicatorCode]])</f>
        <v>24902.88753799392</v>
      </c>
      <c r="I5843" cm="1">
        <f t="array" ref="I5843">_xlfn.STDEV.P(IF(Table1[IndicatorCode]=Table1[[#This Row],[IndicatorCode]],Table1[value]))</f>
        <v>26324.778297809873</v>
      </c>
      <c r="J5843">
        <f>(Table1[[#This Row],[value]] - Table1[[#This Row],[mean]]) / Table1[[#This Row],[std_dev]]</f>
        <v>-0.6666300220828042</v>
      </c>
      <c r="K5843">
        <f>AVERAGEIF(Table1[CountryCode],Table1[[#This Row],[CountryCode]],Table1[z-score])</f>
        <v>-0.27867415315004246</v>
      </c>
      <c r="L5843" t="e">
        <f>VLOOKUP(Table1[[#This Row],[CountryCode]],[1]!Table1[#All],1,FALSE)</f>
        <v>#REF!</v>
      </c>
    </row>
    <row r="5844" spans="1:12" hidden="1" x14ac:dyDescent="0.3">
      <c r="A5844" t="s">
        <v>61</v>
      </c>
      <c r="B5844" t="s">
        <v>62</v>
      </c>
      <c r="C5844" t="s">
        <v>127</v>
      </c>
      <c r="D5844" t="s">
        <v>128</v>
      </c>
      <c r="E5844">
        <v>1994</v>
      </c>
      <c r="F5844" s="1">
        <v>7581</v>
      </c>
      <c r="G5844">
        <v>1990</v>
      </c>
      <c r="H5844">
        <f>AVERAGEIFS(Table1[value],Table1[IndicatorCode],Table1[[#This Row],[IndicatorCode]])</f>
        <v>24902.88753799392</v>
      </c>
      <c r="I5844" cm="1">
        <f t="array" ref="I5844">_xlfn.STDEV.P(IF(Table1[IndicatorCode]=Table1[[#This Row],[IndicatorCode]],Table1[value]))</f>
        <v>26324.778297809873</v>
      </c>
      <c r="J5844">
        <f>(Table1[[#This Row],[value]] - Table1[[#This Row],[mean]]) / Table1[[#This Row],[std_dev]]</f>
        <v>-0.658006967505403</v>
      </c>
      <c r="K5844">
        <f>AVERAGEIF(Table1[CountryCode],Table1[[#This Row],[CountryCode]],Table1[z-score])</f>
        <v>-0.27867415315004246</v>
      </c>
      <c r="L5844" t="e">
        <f>VLOOKUP(Table1[[#This Row],[CountryCode]],[1]!Table1[#All],1,FALSE)</f>
        <v>#REF!</v>
      </c>
    </row>
    <row r="5845" spans="1:12" hidden="1" x14ac:dyDescent="0.3">
      <c r="A5845" t="s">
        <v>61</v>
      </c>
      <c r="B5845" t="s">
        <v>62</v>
      </c>
      <c r="C5845" t="s">
        <v>127</v>
      </c>
      <c r="D5845" t="s">
        <v>128</v>
      </c>
      <c r="E5845">
        <v>1995</v>
      </c>
      <c r="F5845" s="1">
        <v>7705</v>
      </c>
      <c r="G5845">
        <v>1990</v>
      </c>
      <c r="H5845">
        <f>AVERAGEIFS(Table1[value],Table1[IndicatorCode],Table1[[#This Row],[IndicatorCode]])</f>
        <v>24902.88753799392</v>
      </c>
      <c r="I5845" cm="1">
        <f t="array" ref="I5845">_xlfn.STDEV.P(IF(Table1[IndicatorCode]=Table1[[#This Row],[IndicatorCode]],Table1[value]))</f>
        <v>26324.778297809873</v>
      </c>
      <c r="J5845">
        <f>(Table1[[#This Row],[value]] - Table1[[#This Row],[mean]]) / Table1[[#This Row],[std_dev]]</f>
        <v>-0.65329657645871697</v>
      </c>
      <c r="K5845">
        <f>AVERAGEIF(Table1[CountryCode],Table1[[#This Row],[CountryCode]],Table1[z-score])</f>
        <v>-0.27867415315004246</v>
      </c>
      <c r="L5845" t="e">
        <f>VLOOKUP(Table1[[#This Row],[CountryCode]],[1]!Table1[#All],1,FALSE)</f>
        <v>#REF!</v>
      </c>
    </row>
    <row r="5846" spans="1:12" hidden="1" x14ac:dyDescent="0.3">
      <c r="A5846" t="s">
        <v>61</v>
      </c>
      <c r="B5846" t="s">
        <v>62</v>
      </c>
      <c r="C5846" t="s">
        <v>127</v>
      </c>
      <c r="D5846" t="s">
        <v>128</v>
      </c>
      <c r="E5846">
        <v>1996</v>
      </c>
      <c r="F5846" s="1">
        <v>7726</v>
      </c>
      <c r="G5846">
        <v>1990</v>
      </c>
      <c r="H5846">
        <f>AVERAGEIFS(Table1[value],Table1[IndicatorCode],Table1[[#This Row],[IndicatorCode]])</f>
        <v>24902.88753799392</v>
      </c>
      <c r="I5846" cm="1">
        <f t="array" ref="I5846">_xlfn.STDEV.P(IF(Table1[IndicatorCode]=Table1[[#This Row],[IndicatorCode]],Table1[value]))</f>
        <v>26324.778297809873</v>
      </c>
      <c r="J5846">
        <f>(Table1[[#This Row],[value]] - Table1[[#This Row],[mean]]) / Table1[[#This Row],[std_dev]]</f>
        <v>-0.6524988489427459</v>
      </c>
      <c r="K5846">
        <f>AVERAGEIF(Table1[CountryCode],Table1[[#This Row],[CountryCode]],Table1[z-score])</f>
        <v>-0.27867415315004246</v>
      </c>
      <c r="L5846" t="e">
        <f>VLOOKUP(Table1[[#This Row],[CountryCode]],[1]!Table1[#All],1,FALSE)</f>
        <v>#REF!</v>
      </c>
    </row>
    <row r="5847" spans="1:12" hidden="1" x14ac:dyDescent="0.3">
      <c r="A5847" t="s">
        <v>61</v>
      </c>
      <c r="B5847" t="s">
        <v>62</v>
      </c>
      <c r="C5847" t="s">
        <v>127</v>
      </c>
      <c r="D5847" t="s">
        <v>128</v>
      </c>
      <c r="E5847">
        <v>1997</v>
      </c>
      <c r="F5847" s="1">
        <v>7972</v>
      </c>
      <c r="G5847">
        <v>2000</v>
      </c>
      <c r="H5847">
        <f>AVERAGEIFS(Table1[value],Table1[IndicatorCode],Table1[[#This Row],[IndicatorCode]])</f>
        <v>24902.88753799392</v>
      </c>
      <c r="I5847" cm="1">
        <f t="array" ref="I5847">_xlfn.STDEV.P(IF(Table1[IndicatorCode]=Table1[[#This Row],[IndicatorCode]],Table1[value]))</f>
        <v>26324.778297809873</v>
      </c>
      <c r="J5847">
        <f>(Table1[[#This Row],[value]] - Table1[[#This Row],[mean]]) / Table1[[#This Row],[std_dev]]</f>
        <v>-0.6431540408985138</v>
      </c>
      <c r="K5847">
        <f>AVERAGEIF(Table1[CountryCode],Table1[[#This Row],[CountryCode]],Table1[z-score])</f>
        <v>-0.27867415315004246</v>
      </c>
      <c r="L5847" t="e">
        <f>VLOOKUP(Table1[[#This Row],[CountryCode]],[1]!Table1[#All],1,FALSE)</f>
        <v>#REF!</v>
      </c>
    </row>
    <row r="5848" spans="1:12" hidden="1" x14ac:dyDescent="0.3">
      <c r="A5848" t="s">
        <v>61</v>
      </c>
      <c r="B5848" t="s">
        <v>62</v>
      </c>
      <c r="C5848" t="s">
        <v>127</v>
      </c>
      <c r="D5848" t="s">
        <v>128</v>
      </c>
      <c r="E5848">
        <v>1998</v>
      </c>
      <c r="F5848" s="1">
        <v>8298</v>
      </c>
      <c r="G5848">
        <v>2000</v>
      </c>
      <c r="H5848">
        <f>AVERAGEIFS(Table1[value],Table1[IndicatorCode],Table1[[#This Row],[IndicatorCode]])</f>
        <v>24902.88753799392</v>
      </c>
      <c r="I5848" cm="1">
        <f t="array" ref="I5848">_xlfn.STDEV.P(IF(Table1[IndicatorCode]=Table1[[#This Row],[IndicatorCode]],Table1[value]))</f>
        <v>26324.778297809873</v>
      </c>
      <c r="J5848">
        <f>(Table1[[#This Row],[value]] - Table1[[#This Row],[mean]]) / Table1[[#This Row],[std_dev]]</f>
        <v>-0.63077027088867776</v>
      </c>
      <c r="K5848">
        <f>AVERAGEIF(Table1[CountryCode],Table1[[#This Row],[CountryCode]],Table1[z-score])</f>
        <v>-0.27867415315004246</v>
      </c>
      <c r="L5848" t="e">
        <f>VLOOKUP(Table1[[#This Row],[CountryCode]],[1]!Table1[#All],1,FALSE)</f>
        <v>#REF!</v>
      </c>
    </row>
    <row r="5849" spans="1:12" hidden="1" x14ac:dyDescent="0.3">
      <c r="A5849" t="s">
        <v>61</v>
      </c>
      <c r="B5849" t="s">
        <v>62</v>
      </c>
      <c r="C5849" t="s">
        <v>127</v>
      </c>
      <c r="D5849" t="s">
        <v>128</v>
      </c>
      <c r="E5849">
        <v>1999</v>
      </c>
      <c r="F5849" s="1">
        <v>8578</v>
      </c>
      <c r="G5849">
        <v>2000</v>
      </c>
      <c r="H5849">
        <f>AVERAGEIFS(Table1[value],Table1[IndicatorCode],Table1[[#This Row],[IndicatorCode]])</f>
        <v>24902.88753799392</v>
      </c>
      <c r="I5849" cm="1">
        <f t="array" ref="I5849">_xlfn.STDEV.P(IF(Table1[IndicatorCode]=Table1[[#This Row],[IndicatorCode]],Table1[value]))</f>
        <v>26324.778297809873</v>
      </c>
      <c r="J5849">
        <f>(Table1[[#This Row],[value]] - Table1[[#This Row],[mean]]) / Table1[[#This Row],[std_dev]]</f>
        <v>-0.62013390400906399</v>
      </c>
      <c r="K5849">
        <f>AVERAGEIF(Table1[CountryCode],Table1[[#This Row],[CountryCode]],Table1[z-score])</f>
        <v>-0.27867415315004246</v>
      </c>
      <c r="L5849" t="e">
        <f>VLOOKUP(Table1[[#This Row],[CountryCode]],[1]!Table1[#All],1,FALSE)</f>
        <v>#REF!</v>
      </c>
    </row>
    <row r="5850" spans="1:12" hidden="1" x14ac:dyDescent="0.3">
      <c r="A5850" t="s">
        <v>61</v>
      </c>
      <c r="B5850" t="s">
        <v>62</v>
      </c>
      <c r="C5850" t="s">
        <v>127</v>
      </c>
      <c r="D5850" t="s">
        <v>128</v>
      </c>
      <c r="E5850">
        <v>2000</v>
      </c>
      <c r="F5850" s="1">
        <v>8980</v>
      </c>
      <c r="G5850">
        <v>2000</v>
      </c>
      <c r="H5850">
        <f>AVERAGEIFS(Table1[value],Table1[IndicatorCode],Table1[[#This Row],[IndicatorCode]])</f>
        <v>24902.88753799392</v>
      </c>
      <c r="I5850" cm="1">
        <f t="array" ref="I5850">_xlfn.STDEV.P(IF(Table1[IndicatorCode]=Table1[[#This Row],[IndicatorCode]],Table1[value]))</f>
        <v>26324.778297809873</v>
      </c>
      <c r="J5850">
        <f>(Table1[[#This Row],[value]] - Table1[[#This Row],[mean]]) / Table1[[#This Row],[std_dev]]</f>
        <v>-0.60486312013190424</v>
      </c>
      <c r="K5850">
        <f>AVERAGEIF(Table1[CountryCode],Table1[[#This Row],[CountryCode]],Table1[z-score])</f>
        <v>-0.27867415315004246</v>
      </c>
      <c r="L5850" t="e">
        <f>VLOOKUP(Table1[[#This Row],[CountryCode]],[1]!Table1[#All],1,FALSE)</f>
        <v>#REF!</v>
      </c>
    </row>
    <row r="5851" spans="1:12" hidden="1" x14ac:dyDescent="0.3">
      <c r="A5851" t="s">
        <v>61</v>
      </c>
      <c r="B5851" t="s">
        <v>62</v>
      </c>
      <c r="C5851" t="s">
        <v>127</v>
      </c>
      <c r="D5851" t="s">
        <v>128</v>
      </c>
      <c r="E5851">
        <v>2001</v>
      </c>
      <c r="F5851" s="1">
        <v>9366</v>
      </c>
      <c r="G5851">
        <v>2000</v>
      </c>
      <c r="H5851">
        <f>AVERAGEIFS(Table1[value],Table1[IndicatorCode],Table1[[#This Row],[IndicatorCode]])</f>
        <v>24902.88753799392</v>
      </c>
      <c r="I5851" cm="1">
        <f t="array" ref="I5851">_xlfn.STDEV.P(IF(Table1[IndicatorCode]=Table1[[#This Row],[IndicatorCode]],Table1[value]))</f>
        <v>26324.778297809873</v>
      </c>
      <c r="J5851">
        <f>(Table1[[#This Row],[value]] - Table1[[#This Row],[mean]]) / Table1[[#This Row],[std_dev]]</f>
        <v>-0.59020012864786531</v>
      </c>
      <c r="K5851">
        <f>AVERAGEIF(Table1[CountryCode],Table1[[#This Row],[CountryCode]],Table1[z-score])</f>
        <v>-0.27867415315004246</v>
      </c>
      <c r="L5851" t="e">
        <f>VLOOKUP(Table1[[#This Row],[CountryCode]],[1]!Table1[#All],1,FALSE)</f>
        <v>#REF!</v>
      </c>
    </row>
    <row r="5852" spans="1:12" hidden="1" x14ac:dyDescent="0.3">
      <c r="A5852" t="s">
        <v>61</v>
      </c>
      <c r="B5852" t="s">
        <v>62</v>
      </c>
      <c r="C5852" t="s">
        <v>127</v>
      </c>
      <c r="D5852" t="s">
        <v>128</v>
      </c>
      <c r="E5852">
        <v>2002</v>
      </c>
      <c r="F5852" s="1">
        <v>9837</v>
      </c>
      <c r="G5852">
        <v>2000</v>
      </c>
      <c r="H5852">
        <f>AVERAGEIFS(Table1[value],Table1[IndicatorCode],Table1[[#This Row],[IndicatorCode]])</f>
        <v>24902.88753799392</v>
      </c>
      <c r="I5852" cm="1">
        <f t="array" ref="I5852">_xlfn.STDEV.P(IF(Table1[IndicatorCode]=Table1[[#This Row],[IndicatorCode]],Table1[value]))</f>
        <v>26324.778297809873</v>
      </c>
      <c r="J5852">
        <f>(Table1[[#This Row],[value]] - Table1[[#This Row],[mean]]) / Table1[[#This Row],[std_dev]]</f>
        <v>-0.57230824007537218</v>
      </c>
      <c r="K5852">
        <f>AVERAGEIF(Table1[CountryCode],Table1[[#This Row],[CountryCode]],Table1[z-score])</f>
        <v>-0.27867415315004246</v>
      </c>
      <c r="L5852" t="e">
        <f>VLOOKUP(Table1[[#This Row],[CountryCode]],[1]!Table1[#All],1,FALSE)</f>
        <v>#REF!</v>
      </c>
    </row>
    <row r="5853" spans="1:12" hidden="1" x14ac:dyDescent="0.3">
      <c r="A5853" t="s">
        <v>61</v>
      </c>
      <c r="B5853" t="s">
        <v>62</v>
      </c>
      <c r="C5853" t="s">
        <v>127</v>
      </c>
      <c r="D5853" t="s">
        <v>128</v>
      </c>
      <c r="E5853">
        <v>2003</v>
      </c>
      <c r="F5853" s="1">
        <v>10254</v>
      </c>
      <c r="G5853">
        <v>2000</v>
      </c>
      <c r="H5853">
        <f>AVERAGEIFS(Table1[value],Table1[IndicatorCode],Table1[[#This Row],[IndicatorCode]])</f>
        <v>24902.88753799392</v>
      </c>
      <c r="I5853" cm="1">
        <f t="array" ref="I5853">_xlfn.STDEV.P(IF(Table1[IndicatorCode]=Table1[[#This Row],[IndicatorCode]],Table1[value]))</f>
        <v>26324.778297809873</v>
      </c>
      <c r="J5853">
        <f>(Table1[[#This Row],[value]] - Table1[[#This Row],[mean]]) / Table1[[#This Row],[std_dev]]</f>
        <v>-0.55646765082966165</v>
      </c>
      <c r="K5853">
        <f>AVERAGEIF(Table1[CountryCode],Table1[[#This Row],[CountryCode]],Table1[z-score])</f>
        <v>-0.27867415315004246</v>
      </c>
      <c r="L5853" t="e">
        <f>VLOOKUP(Table1[[#This Row],[CountryCode]],[1]!Table1[#All],1,FALSE)</f>
        <v>#REF!</v>
      </c>
    </row>
    <row r="5854" spans="1:12" hidden="1" x14ac:dyDescent="0.3">
      <c r="A5854" t="s">
        <v>61</v>
      </c>
      <c r="B5854" t="s">
        <v>62</v>
      </c>
      <c r="C5854" t="s">
        <v>127</v>
      </c>
      <c r="D5854" t="s">
        <v>128</v>
      </c>
      <c r="E5854">
        <v>2004</v>
      </c>
      <c r="F5854" s="1">
        <v>10786</v>
      </c>
      <c r="G5854">
        <v>2000</v>
      </c>
      <c r="H5854">
        <f>AVERAGEIFS(Table1[value],Table1[IndicatorCode],Table1[[#This Row],[IndicatorCode]])</f>
        <v>24902.88753799392</v>
      </c>
      <c r="I5854" cm="1">
        <f t="array" ref="I5854">_xlfn.STDEV.P(IF(Table1[IndicatorCode]=Table1[[#This Row],[IndicatorCode]],Table1[value]))</f>
        <v>26324.778297809873</v>
      </c>
      <c r="J5854">
        <f>(Table1[[#This Row],[value]] - Table1[[#This Row],[mean]]) / Table1[[#This Row],[std_dev]]</f>
        <v>-0.53625855375839548</v>
      </c>
      <c r="K5854">
        <f>AVERAGEIF(Table1[CountryCode],Table1[[#This Row],[CountryCode]],Table1[z-score])</f>
        <v>-0.27867415315004246</v>
      </c>
      <c r="L5854" t="e">
        <f>VLOOKUP(Table1[[#This Row],[CountryCode]],[1]!Table1[#All],1,FALSE)</f>
        <v>#REF!</v>
      </c>
    </row>
    <row r="5855" spans="1:12" hidden="1" x14ac:dyDescent="0.3">
      <c r="A5855" t="s">
        <v>61</v>
      </c>
      <c r="B5855" t="s">
        <v>62</v>
      </c>
      <c r="C5855" t="s">
        <v>127</v>
      </c>
      <c r="D5855" t="s">
        <v>128</v>
      </c>
      <c r="E5855">
        <v>2005</v>
      </c>
      <c r="F5855" s="1">
        <v>11273</v>
      </c>
      <c r="G5855">
        <v>2000</v>
      </c>
      <c r="H5855">
        <f>AVERAGEIFS(Table1[value],Table1[IndicatorCode],Table1[[#This Row],[IndicatorCode]])</f>
        <v>24902.88753799392</v>
      </c>
      <c r="I5855" cm="1">
        <f t="array" ref="I5855">_xlfn.STDEV.P(IF(Table1[IndicatorCode]=Table1[[#This Row],[IndicatorCode]],Table1[value]))</f>
        <v>26324.778297809873</v>
      </c>
      <c r="J5855">
        <f>(Table1[[#This Row],[value]] - Table1[[#This Row],[mean]]) / Table1[[#This Row],[std_dev]]</f>
        <v>-0.51775887279278165</v>
      </c>
      <c r="K5855">
        <f>AVERAGEIF(Table1[CountryCode],Table1[[#This Row],[CountryCode]],Table1[z-score])</f>
        <v>-0.27867415315004246</v>
      </c>
      <c r="L5855" t="e">
        <f>VLOOKUP(Table1[[#This Row],[CountryCode]],[1]!Table1[#All],1,FALSE)</f>
        <v>#REF!</v>
      </c>
    </row>
    <row r="5856" spans="1:12" hidden="1" x14ac:dyDescent="0.3">
      <c r="A5856" t="s">
        <v>61</v>
      </c>
      <c r="B5856" t="s">
        <v>62</v>
      </c>
      <c r="C5856" t="s">
        <v>127</v>
      </c>
      <c r="D5856" t="s">
        <v>128</v>
      </c>
      <c r="E5856">
        <v>2006</v>
      </c>
      <c r="F5856" s="1">
        <v>11734</v>
      </c>
      <c r="G5856">
        <v>2000</v>
      </c>
      <c r="H5856">
        <f>AVERAGEIFS(Table1[value],Table1[IndicatorCode],Table1[[#This Row],[IndicatorCode]])</f>
        <v>24902.88753799392</v>
      </c>
      <c r="I5856" cm="1">
        <f t="array" ref="I5856">_xlfn.STDEV.P(IF(Table1[IndicatorCode]=Table1[[#This Row],[IndicatorCode]],Table1[value]))</f>
        <v>26324.778297809873</v>
      </c>
      <c r="J5856">
        <f>(Table1[[#This Row],[value]] - Table1[[#This Row],[mean]]) / Table1[[#This Row],[std_dev]]</f>
        <v>-0.50024685446598893</v>
      </c>
      <c r="K5856">
        <f>AVERAGEIF(Table1[CountryCode],Table1[[#This Row],[CountryCode]],Table1[z-score])</f>
        <v>-0.27867415315004246</v>
      </c>
      <c r="L5856" t="e">
        <f>VLOOKUP(Table1[[#This Row],[CountryCode]],[1]!Table1[#All],1,FALSE)</f>
        <v>#REF!</v>
      </c>
    </row>
    <row r="5857" spans="1:12" hidden="1" x14ac:dyDescent="0.3">
      <c r="A5857" t="s">
        <v>61</v>
      </c>
      <c r="B5857" t="s">
        <v>62</v>
      </c>
      <c r="C5857" t="s">
        <v>127</v>
      </c>
      <c r="D5857" t="s">
        <v>128</v>
      </c>
      <c r="E5857">
        <v>2007</v>
      </c>
      <c r="F5857" s="1">
        <v>11792</v>
      </c>
      <c r="G5857">
        <v>2010</v>
      </c>
      <c r="H5857">
        <f>AVERAGEIFS(Table1[value],Table1[IndicatorCode],Table1[[#This Row],[IndicatorCode]])</f>
        <v>24902.88753799392</v>
      </c>
      <c r="I5857" cm="1">
        <f t="array" ref="I5857">_xlfn.STDEV.P(IF(Table1[IndicatorCode]=Table1[[#This Row],[IndicatorCode]],Table1[value]))</f>
        <v>26324.778297809873</v>
      </c>
      <c r="J5857">
        <f>(Table1[[#This Row],[value]] - Table1[[#This Row],[mean]]) / Table1[[#This Row],[std_dev]]</f>
        <v>-0.4980436070409261</v>
      </c>
      <c r="K5857">
        <f>AVERAGEIF(Table1[CountryCode],Table1[[#This Row],[CountryCode]],Table1[z-score])</f>
        <v>-0.27867415315004246</v>
      </c>
      <c r="L5857" t="e">
        <f>VLOOKUP(Table1[[#This Row],[CountryCode]],[1]!Table1[#All],1,FALSE)</f>
        <v>#REF!</v>
      </c>
    </row>
    <row r="5858" spans="1:12" hidden="1" x14ac:dyDescent="0.3">
      <c r="A5858" t="s">
        <v>61</v>
      </c>
      <c r="B5858" t="s">
        <v>62</v>
      </c>
      <c r="C5858" t="s">
        <v>127</v>
      </c>
      <c r="D5858" t="s">
        <v>128</v>
      </c>
      <c r="E5858">
        <v>2008</v>
      </c>
      <c r="F5858" s="1">
        <v>11930</v>
      </c>
      <c r="G5858">
        <v>2010</v>
      </c>
      <c r="H5858">
        <f>AVERAGEIFS(Table1[value],Table1[IndicatorCode],Table1[[#This Row],[IndicatorCode]])</f>
        <v>24902.88753799392</v>
      </c>
      <c r="I5858" cm="1">
        <f t="array" ref="I5858">_xlfn.STDEV.P(IF(Table1[IndicatorCode]=Table1[[#This Row],[IndicatorCode]],Table1[value]))</f>
        <v>26324.778297809873</v>
      </c>
      <c r="J5858">
        <f>(Table1[[#This Row],[value]] - Table1[[#This Row],[mean]]) / Table1[[#This Row],[std_dev]]</f>
        <v>-0.49280139765025932</v>
      </c>
      <c r="K5858">
        <f>AVERAGEIF(Table1[CountryCode],Table1[[#This Row],[CountryCode]],Table1[z-score])</f>
        <v>-0.27867415315004246</v>
      </c>
      <c r="L5858" t="e">
        <f>VLOOKUP(Table1[[#This Row],[CountryCode]],[1]!Table1[#All],1,FALSE)</f>
        <v>#REF!</v>
      </c>
    </row>
    <row r="5859" spans="1:12" hidden="1" x14ac:dyDescent="0.3">
      <c r="A5859" t="s">
        <v>61</v>
      </c>
      <c r="B5859" t="s">
        <v>62</v>
      </c>
      <c r="C5859" t="s">
        <v>127</v>
      </c>
      <c r="D5859" t="s">
        <v>128</v>
      </c>
      <c r="E5859">
        <v>2009</v>
      </c>
      <c r="F5859" s="1">
        <v>11143</v>
      </c>
      <c r="G5859">
        <v>2010</v>
      </c>
      <c r="H5859">
        <f>AVERAGEIFS(Table1[value],Table1[IndicatorCode],Table1[[#This Row],[IndicatorCode]])</f>
        <v>24902.88753799392</v>
      </c>
      <c r="I5859" cm="1">
        <f t="array" ref="I5859">_xlfn.STDEV.P(IF(Table1[IndicatorCode]=Table1[[#This Row],[IndicatorCode]],Table1[value]))</f>
        <v>26324.778297809873</v>
      </c>
      <c r="J5859">
        <f>(Table1[[#This Row],[value]] - Table1[[#This Row],[mean]]) / Table1[[#This Row],[std_dev]]</f>
        <v>-0.52269718598688797</v>
      </c>
      <c r="K5859">
        <f>AVERAGEIF(Table1[CountryCode],Table1[[#This Row],[CountryCode]],Table1[z-score])</f>
        <v>-0.27867415315004246</v>
      </c>
      <c r="L5859" t="e">
        <f>VLOOKUP(Table1[[#This Row],[CountryCode]],[1]!Table1[#All],1,FALSE)</f>
        <v>#REF!</v>
      </c>
    </row>
    <row r="5860" spans="1:12" hidden="1" x14ac:dyDescent="0.3">
      <c r="A5860" t="s">
        <v>61</v>
      </c>
      <c r="B5860" t="s">
        <v>62</v>
      </c>
      <c r="C5860" t="s">
        <v>127</v>
      </c>
      <c r="D5860" t="s">
        <v>128</v>
      </c>
      <c r="E5860">
        <v>2010</v>
      </c>
      <c r="F5860" s="1">
        <v>11287</v>
      </c>
      <c r="G5860">
        <v>2010</v>
      </c>
      <c r="H5860">
        <f>AVERAGEIFS(Table1[value],Table1[IndicatorCode],Table1[[#This Row],[IndicatorCode]])</f>
        <v>24902.88753799392</v>
      </c>
      <c r="I5860" cm="1">
        <f t="array" ref="I5860">_xlfn.STDEV.P(IF(Table1[IndicatorCode]=Table1[[#This Row],[IndicatorCode]],Table1[value]))</f>
        <v>26324.778297809873</v>
      </c>
      <c r="J5860">
        <f>(Table1[[#This Row],[value]] - Table1[[#This Row],[mean]]) / Table1[[#This Row],[std_dev]]</f>
        <v>-0.5172270544488009</v>
      </c>
      <c r="K5860">
        <f>AVERAGEIF(Table1[CountryCode],Table1[[#This Row],[CountryCode]],Table1[z-score])</f>
        <v>-0.27867415315004246</v>
      </c>
      <c r="L5860" t="e">
        <f>VLOOKUP(Table1[[#This Row],[CountryCode]],[1]!Table1[#All],1,FALSE)</f>
        <v>#REF!</v>
      </c>
    </row>
    <row r="5861" spans="1:12" hidden="1" x14ac:dyDescent="0.3">
      <c r="A5861" t="s">
        <v>61</v>
      </c>
      <c r="B5861" t="s">
        <v>62</v>
      </c>
      <c r="C5861" t="s">
        <v>127</v>
      </c>
      <c r="D5861" t="s">
        <v>128</v>
      </c>
      <c r="E5861">
        <v>2011</v>
      </c>
      <c r="F5861" s="1">
        <v>11536</v>
      </c>
      <c r="G5861">
        <v>2010</v>
      </c>
      <c r="H5861">
        <f>AVERAGEIFS(Table1[value],Table1[IndicatorCode],Table1[[#This Row],[IndicatorCode]])</f>
        <v>24902.88753799392</v>
      </c>
      <c r="I5861" cm="1">
        <f t="array" ref="I5861">_xlfn.STDEV.P(IF(Table1[IndicatorCode]=Table1[[#This Row],[IndicatorCode]],Table1[value]))</f>
        <v>26324.778297809873</v>
      </c>
      <c r="J5861">
        <f>(Table1[[#This Row],[value]] - Table1[[#This Row],[mean]]) / Table1[[#This Row],[std_dev]]</f>
        <v>-0.50776828533085872</v>
      </c>
      <c r="K5861">
        <f>AVERAGEIF(Table1[CountryCode],Table1[[#This Row],[CountryCode]],Table1[z-score])</f>
        <v>-0.27867415315004246</v>
      </c>
      <c r="L5861" t="e">
        <f>VLOOKUP(Table1[[#This Row],[CountryCode]],[1]!Table1[#All],1,FALSE)</f>
        <v>#REF!</v>
      </c>
    </row>
    <row r="5862" spans="1:12" hidden="1" x14ac:dyDescent="0.3">
      <c r="A5862" t="s">
        <v>61</v>
      </c>
      <c r="B5862" t="s">
        <v>62</v>
      </c>
      <c r="C5862" t="s">
        <v>127</v>
      </c>
      <c r="D5862" t="s">
        <v>128</v>
      </c>
      <c r="E5862">
        <v>2012</v>
      </c>
      <c r="F5862" s="1">
        <v>11441</v>
      </c>
      <c r="G5862">
        <v>2010</v>
      </c>
      <c r="H5862">
        <f>AVERAGEIFS(Table1[value],Table1[IndicatorCode],Table1[[#This Row],[IndicatorCode]])</f>
        <v>24902.88753799392</v>
      </c>
      <c r="I5862" cm="1">
        <f t="array" ref="I5862">_xlfn.STDEV.P(IF(Table1[IndicatorCode]=Table1[[#This Row],[IndicatorCode]],Table1[value]))</f>
        <v>26324.778297809873</v>
      </c>
      <c r="J5862">
        <f>(Table1[[#This Row],[value]] - Table1[[#This Row],[mean]]) / Table1[[#This Row],[std_dev]]</f>
        <v>-0.51137705266501332</v>
      </c>
      <c r="K5862">
        <f>AVERAGEIF(Table1[CountryCode],Table1[[#This Row],[CountryCode]],Table1[z-score])</f>
        <v>-0.27867415315004246</v>
      </c>
      <c r="L5862" t="e">
        <f>VLOOKUP(Table1[[#This Row],[CountryCode]],[1]!Table1[#All],1,FALSE)</f>
        <v>#REF!</v>
      </c>
    </row>
    <row r="5863" spans="1:12" hidden="1" x14ac:dyDescent="0.3">
      <c r="A5863" t="s">
        <v>61</v>
      </c>
      <c r="B5863" t="s">
        <v>62</v>
      </c>
      <c r="C5863" t="s">
        <v>127</v>
      </c>
      <c r="D5863" t="s">
        <v>128</v>
      </c>
      <c r="E5863">
        <v>2013</v>
      </c>
      <c r="F5863" s="1">
        <v>11730</v>
      </c>
      <c r="G5863">
        <v>2010</v>
      </c>
      <c r="H5863">
        <f>AVERAGEIFS(Table1[value],Table1[IndicatorCode],Table1[[#This Row],[IndicatorCode]])</f>
        <v>24902.88753799392</v>
      </c>
      <c r="I5863" cm="1">
        <f t="array" ref="I5863">_xlfn.STDEV.P(IF(Table1[IndicatorCode]=Table1[[#This Row],[IndicatorCode]],Table1[value]))</f>
        <v>26324.778297809873</v>
      </c>
      <c r="J5863">
        <f>(Table1[[#This Row],[value]] - Table1[[#This Row],[mean]]) / Table1[[#This Row],[std_dev]]</f>
        <v>-0.50039880256426916</v>
      </c>
      <c r="K5863">
        <f>AVERAGEIF(Table1[CountryCode],Table1[[#This Row],[CountryCode]],Table1[z-score])</f>
        <v>-0.27867415315004246</v>
      </c>
      <c r="L5863" t="e">
        <f>VLOOKUP(Table1[[#This Row],[CountryCode]],[1]!Table1[#All],1,FALSE)</f>
        <v>#REF!</v>
      </c>
    </row>
    <row r="5864" spans="1:12" hidden="1" x14ac:dyDescent="0.3">
      <c r="A5864" t="s">
        <v>61</v>
      </c>
      <c r="B5864" t="s">
        <v>62</v>
      </c>
      <c r="C5864" t="s">
        <v>127</v>
      </c>
      <c r="D5864" t="s">
        <v>128</v>
      </c>
      <c r="E5864">
        <v>2014</v>
      </c>
      <c r="F5864" s="1">
        <v>12287</v>
      </c>
      <c r="G5864">
        <v>2010</v>
      </c>
      <c r="H5864">
        <f>AVERAGEIFS(Table1[value],Table1[IndicatorCode],Table1[[#This Row],[IndicatorCode]])</f>
        <v>24902.88753799392</v>
      </c>
      <c r="I5864" cm="1">
        <f t="array" ref="I5864">_xlfn.STDEV.P(IF(Table1[IndicatorCode]=Table1[[#This Row],[IndicatorCode]],Table1[value]))</f>
        <v>26324.778297809873</v>
      </c>
      <c r="J5864">
        <f>(Table1[[#This Row],[value]] - Table1[[#This Row],[mean]]) / Table1[[#This Row],[std_dev]]</f>
        <v>-0.47924002987875181</v>
      </c>
      <c r="K5864">
        <f>AVERAGEIF(Table1[CountryCode],Table1[[#This Row],[CountryCode]],Table1[z-score])</f>
        <v>-0.27867415315004246</v>
      </c>
      <c r="L5864" t="e">
        <f>VLOOKUP(Table1[[#This Row],[CountryCode]],[1]!Table1[#All],1,FALSE)</f>
        <v>#REF!</v>
      </c>
    </row>
    <row r="5865" spans="1:12" hidden="1" x14ac:dyDescent="0.3">
      <c r="A5865" t="s">
        <v>61</v>
      </c>
      <c r="B5865" t="s">
        <v>62</v>
      </c>
      <c r="C5865" t="s">
        <v>127</v>
      </c>
      <c r="D5865" t="s">
        <v>128</v>
      </c>
      <c r="E5865">
        <v>2015</v>
      </c>
      <c r="F5865" s="1">
        <v>12783</v>
      </c>
      <c r="G5865">
        <v>2010</v>
      </c>
      <c r="H5865">
        <f>AVERAGEIFS(Table1[value],Table1[IndicatorCode],Table1[[#This Row],[IndicatorCode]])</f>
        <v>24902.88753799392</v>
      </c>
      <c r="I5865" cm="1">
        <f t="array" ref="I5865">_xlfn.STDEV.P(IF(Table1[IndicatorCode]=Table1[[#This Row],[IndicatorCode]],Table1[value]))</f>
        <v>26324.778297809873</v>
      </c>
      <c r="J5865">
        <f>(Table1[[#This Row],[value]] - Table1[[#This Row],[mean]]) / Table1[[#This Row],[std_dev]]</f>
        <v>-0.46039846569200743</v>
      </c>
      <c r="K5865">
        <f>AVERAGEIF(Table1[CountryCode],Table1[[#This Row],[CountryCode]],Table1[z-score])</f>
        <v>-0.27867415315004246</v>
      </c>
      <c r="L5865" t="e">
        <f>VLOOKUP(Table1[[#This Row],[CountryCode]],[1]!Table1[#All],1,FALSE)</f>
        <v>#REF!</v>
      </c>
    </row>
    <row r="5866" spans="1:12" hidden="1" x14ac:dyDescent="0.3">
      <c r="A5866" t="s">
        <v>61</v>
      </c>
      <c r="B5866" t="s">
        <v>62</v>
      </c>
      <c r="C5866" t="s">
        <v>127</v>
      </c>
      <c r="D5866" t="s">
        <v>128</v>
      </c>
      <c r="E5866">
        <v>2016</v>
      </c>
      <c r="F5866" s="1">
        <v>13146</v>
      </c>
      <c r="G5866">
        <v>2010</v>
      </c>
      <c r="H5866">
        <f>AVERAGEIFS(Table1[value],Table1[IndicatorCode],Table1[[#This Row],[IndicatorCode]])</f>
        <v>24902.88753799392</v>
      </c>
      <c r="I5866" cm="1">
        <f t="array" ref="I5866">_xlfn.STDEV.P(IF(Table1[IndicatorCode]=Table1[[#This Row],[IndicatorCode]],Table1[value]))</f>
        <v>26324.778297809873</v>
      </c>
      <c r="J5866">
        <f>(Table1[[#This Row],[value]] - Table1[[#This Row],[mean]]) / Table1[[#This Row],[std_dev]]</f>
        <v>-0.44660917577307957</v>
      </c>
      <c r="K5866">
        <f>AVERAGEIF(Table1[CountryCode],Table1[[#This Row],[CountryCode]],Table1[z-score])</f>
        <v>-0.27867415315004246</v>
      </c>
      <c r="L5866" t="e">
        <f>VLOOKUP(Table1[[#This Row],[CountryCode]],[1]!Table1[#All],1,FALSE)</f>
        <v>#REF!</v>
      </c>
    </row>
    <row r="5867" spans="1:12" hidden="1" x14ac:dyDescent="0.3">
      <c r="A5867" t="s">
        <v>61</v>
      </c>
      <c r="B5867" t="s">
        <v>62</v>
      </c>
      <c r="C5867" t="s">
        <v>127</v>
      </c>
      <c r="D5867" t="s">
        <v>128</v>
      </c>
      <c r="E5867">
        <v>2017</v>
      </c>
      <c r="F5867" s="1">
        <v>13734</v>
      </c>
      <c r="G5867">
        <v>2020</v>
      </c>
      <c r="H5867">
        <f>AVERAGEIFS(Table1[value],Table1[IndicatorCode],Table1[[#This Row],[IndicatorCode]])</f>
        <v>24902.88753799392</v>
      </c>
      <c r="I5867" cm="1">
        <f t="array" ref="I5867">_xlfn.STDEV.P(IF(Table1[IndicatorCode]=Table1[[#This Row],[IndicatorCode]],Table1[value]))</f>
        <v>26324.778297809873</v>
      </c>
      <c r="J5867">
        <f>(Table1[[#This Row],[value]] - Table1[[#This Row],[mean]]) / Table1[[#This Row],[std_dev]]</f>
        <v>-0.42427280532589068</v>
      </c>
      <c r="K5867">
        <f>AVERAGEIF(Table1[CountryCode],Table1[[#This Row],[CountryCode]],Table1[z-score])</f>
        <v>-0.27867415315004246</v>
      </c>
      <c r="L5867" t="e">
        <f>VLOOKUP(Table1[[#This Row],[CountryCode]],[1]!Table1[#All],1,FALSE)</f>
        <v>#REF!</v>
      </c>
    </row>
    <row r="5868" spans="1:12" hidden="1" x14ac:dyDescent="0.3">
      <c r="A5868" t="s">
        <v>61</v>
      </c>
      <c r="B5868" t="s">
        <v>62</v>
      </c>
      <c r="C5868" t="s">
        <v>127</v>
      </c>
      <c r="D5868" t="s">
        <v>128</v>
      </c>
      <c r="E5868">
        <v>2018</v>
      </c>
      <c r="F5868" s="1">
        <v>14534</v>
      </c>
      <c r="G5868">
        <v>2020</v>
      </c>
      <c r="H5868">
        <f>AVERAGEIFS(Table1[value],Table1[IndicatorCode],Table1[[#This Row],[IndicatorCode]])</f>
        <v>24902.88753799392</v>
      </c>
      <c r="I5868" cm="1">
        <f t="array" ref="I5868">_xlfn.STDEV.P(IF(Table1[IndicatorCode]=Table1[[#This Row],[IndicatorCode]],Table1[value]))</f>
        <v>26324.778297809873</v>
      </c>
      <c r="J5868">
        <f>(Table1[[#This Row],[value]] - Table1[[#This Row],[mean]]) / Table1[[#This Row],[std_dev]]</f>
        <v>-0.39388318566985137</v>
      </c>
      <c r="K5868">
        <f>AVERAGEIF(Table1[CountryCode],Table1[[#This Row],[CountryCode]],Table1[z-score])</f>
        <v>-0.27867415315004246</v>
      </c>
      <c r="L5868" t="e">
        <f>VLOOKUP(Table1[[#This Row],[CountryCode]],[1]!Table1[#All],1,FALSE)</f>
        <v>#REF!</v>
      </c>
    </row>
    <row r="5869" spans="1:12" hidden="1" x14ac:dyDescent="0.3">
      <c r="A5869" t="s">
        <v>61</v>
      </c>
      <c r="B5869" t="s">
        <v>62</v>
      </c>
      <c r="C5869" t="s">
        <v>127</v>
      </c>
      <c r="D5869" t="s">
        <v>128</v>
      </c>
      <c r="E5869">
        <v>2019</v>
      </c>
      <c r="F5869" s="1">
        <v>15291</v>
      </c>
      <c r="G5869">
        <v>2020</v>
      </c>
      <c r="H5869">
        <f>AVERAGEIFS(Table1[value],Table1[IndicatorCode],Table1[[#This Row],[IndicatorCode]])</f>
        <v>24902.88753799392</v>
      </c>
      <c r="I5869" cm="1">
        <f t="array" ref="I5869">_xlfn.STDEV.P(IF(Table1[IndicatorCode]=Table1[[#This Row],[IndicatorCode]],Table1[value]))</f>
        <v>26324.778297809873</v>
      </c>
      <c r="J5869">
        <f>(Table1[[#This Row],[value]] - Table1[[#This Row],[mean]]) / Table1[[#This Row],[std_dev]]</f>
        <v>-0.36512700807032417</v>
      </c>
      <c r="K5869">
        <f>AVERAGEIF(Table1[CountryCode],Table1[[#This Row],[CountryCode]],Table1[z-score])</f>
        <v>-0.27867415315004246</v>
      </c>
      <c r="L5869" t="e">
        <f>VLOOKUP(Table1[[#This Row],[CountryCode]],[1]!Table1[#All],1,FALSE)</f>
        <v>#REF!</v>
      </c>
    </row>
    <row r="5870" spans="1:12" x14ac:dyDescent="0.3">
      <c r="A5870" t="s">
        <v>77</v>
      </c>
      <c r="B5870" t="s">
        <v>78</v>
      </c>
      <c r="C5870" t="s">
        <v>127</v>
      </c>
      <c r="D5870" t="s">
        <v>128</v>
      </c>
      <c r="E5870">
        <v>2020</v>
      </c>
      <c r="F5870" s="1">
        <v>17444</v>
      </c>
      <c r="G5870">
        <v>2020</v>
      </c>
      <c r="H5870">
        <f>AVERAGEIFS(Table1[value],Table1[IndicatorCode],Table1[[#This Row],[IndicatorCode]])</f>
        <v>24902.88753799392</v>
      </c>
      <c r="I5870" cm="1">
        <f t="array" ref="I5870">_xlfn.STDEV.P(IF(Table1[IndicatorCode]=Table1[[#This Row],[IndicatorCode]],Table1[value]))</f>
        <v>26324.778297809873</v>
      </c>
      <c r="J5870">
        <f>(Table1[[#This Row],[value]] - Table1[[#This Row],[mean]]) / Table1[[#This Row],[std_dev]]</f>
        <v>-0.28334094417100836</v>
      </c>
      <c r="K5870">
        <f>AVERAGEIF(Table1[CountryCode],Table1[[#This Row],[CountryCode]],Table1[z-score])</f>
        <v>-0.22998905081420598</v>
      </c>
    </row>
    <row r="5871" spans="1:12" hidden="1" x14ac:dyDescent="0.3">
      <c r="A5871" t="s">
        <v>61</v>
      </c>
      <c r="B5871" t="s">
        <v>62</v>
      </c>
      <c r="C5871" t="s">
        <v>127</v>
      </c>
      <c r="D5871" t="s">
        <v>128</v>
      </c>
      <c r="E5871">
        <v>2021</v>
      </c>
      <c r="F5871" s="1">
        <v>15788</v>
      </c>
      <c r="G5871">
        <v>2020</v>
      </c>
      <c r="H5871">
        <f>AVERAGEIFS(Table1[value],Table1[IndicatorCode],Table1[[#This Row],[IndicatorCode]])</f>
        <v>24902.88753799392</v>
      </c>
      <c r="I5871" cm="1">
        <f t="array" ref="I5871">_xlfn.STDEV.P(IF(Table1[IndicatorCode]=Table1[[#This Row],[IndicatorCode]],Table1[value]))</f>
        <v>26324.778297809873</v>
      </c>
      <c r="J5871">
        <f>(Table1[[#This Row],[value]] - Table1[[#This Row],[mean]]) / Table1[[#This Row],[std_dev]]</f>
        <v>-0.34624745685900976</v>
      </c>
      <c r="K5871">
        <f>AVERAGEIF(Table1[CountryCode],Table1[[#This Row],[CountryCode]],Table1[z-score])</f>
        <v>-0.27867415315004246</v>
      </c>
      <c r="L5871" t="e">
        <f>VLOOKUP(Table1[[#This Row],[CountryCode]],[1]!Table1[#All],1,FALSE)</f>
        <v>#REF!</v>
      </c>
    </row>
    <row r="5872" spans="1:12" hidden="1" x14ac:dyDescent="0.3">
      <c r="A5872" t="s">
        <v>61</v>
      </c>
      <c r="B5872" t="s">
        <v>62</v>
      </c>
      <c r="C5872" t="s">
        <v>127</v>
      </c>
      <c r="D5872" t="s">
        <v>128</v>
      </c>
      <c r="E5872">
        <v>2022</v>
      </c>
      <c r="F5872" s="1">
        <v>16488</v>
      </c>
      <c r="G5872">
        <v>1980</v>
      </c>
      <c r="H5872">
        <f>AVERAGEIFS(Table1[value],Table1[IndicatorCode],Table1[[#This Row],[IndicatorCode]])</f>
        <v>24902.88753799392</v>
      </c>
      <c r="I5872" cm="1">
        <f t="array" ref="I5872">_xlfn.STDEV.P(IF(Table1[IndicatorCode]=Table1[[#This Row],[IndicatorCode]],Table1[value]))</f>
        <v>26324.778297809873</v>
      </c>
      <c r="J5872">
        <f>(Table1[[#This Row],[value]] - Table1[[#This Row],[mean]]) / Table1[[#This Row],[std_dev]]</f>
        <v>-0.31965653965997537</v>
      </c>
      <c r="K5872">
        <f>AVERAGEIF(Table1[CountryCode],Table1[[#This Row],[CountryCode]],Table1[z-score])</f>
        <v>-0.27867415315004246</v>
      </c>
      <c r="L5872" t="e">
        <f>VLOOKUP(Table1[[#This Row],[CountryCode]],[1]!Table1[#All],1,FALSE)</f>
        <v>#REF!</v>
      </c>
    </row>
    <row r="5873" spans="1:12" hidden="1" x14ac:dyDescent="0.3">
      <c r="A5873" t="s">
        <v>61</v>
      </c>
      <c r="B5873" t="s">
        <v>62</v>
      </c>
      <c r="C5873" t="s">
        <v>127</v>
      </c>
      <c r="D5873" t="s">
        <v>128</v>
      </c>
      <c r="E5873">
        <v>2023</v>
      </c>
      <c r="F5873" s="1">
        <v>16375</v>
      </c>
      <c r="G5873">
        <v>1980</v>
      </c>
      <c r="H5873">
        <f>AVERAGEIFS(Table1[value],Table1[IndicatorCode],Table1[[#This Row],[IndicatorCode]])</f>
        <v>24902.88753799392</v>
      </c>
      <c r="I5873" cm="1">
        <f t="array" ref="I5873">_xlfn.STDEV.P(IF(Table1[IndicatorCode]=Table1[[#This Row],[IndicatorCode]],Table1[value]))</f>
        <v>26324.778297809873</v>
      </c>
      <c r="J5873">
        <f>(Table1[[#This Row],[value]] - Table1[[#This Row],[mean]]) / Table1[[#This Row],[std_dev]]</f>
        <v>-0.3239490734363909</v>
      </c>
      <c r="K5873">
        <f>AVERAGEIF(Table1[CountryCode],Table1[[#This Row],[CountryCode]],Table1[z-score])</f>
        <v>-0.27867415315004246</v>
      </c>
      <c r="L5873" t="e">
        <f>VLOOKUP(Table1[[#This Row],[CountryCode]],[1]!Table1[#All],1,FALSE)</f>
        <v>#REF!</v>
      </c>
    </row>
    <row r="5874" spans="1:12" hidden="1" x14ac:dyDescent="0.3">
      <c r="A5874" t="s">
        <v>61</v>
      </c>
      <c r="B5874" t="s">
        <v>62</v>
      </c>
      <c r="C5874" t="s">
        <v>127</v>
      </c>
      <c r="D5874" t="s">
        <v>128</v>
      </c>
      <c r="E5874">
        <v>2024</v>
      </c>
      <c r="F5874" s="1">
        <v>16519</v>
      </c>
      <c r="G5874">
        <v>1980</v>
      </c>
      <c r="H5874">
        <f>AVERAGEIFS(Table1[value],Table1[IndicatorCode],Table1[[#This Row],[IndicatorCode]])</f>
        <v>24902.88753799392</v>
      </c>
      <c r="I5874" cm="1">
        <f t="array" ref="I5874">_xlfn.STDEV.P(IF(Table1[IndicatorCode]=Table1[[#This Row],[IndicatorCode]],Table1[value]))</f>
        <v>26324.778297809873</v>
      </c>
      <c r="J5874">
        <f>(Table1[[#This Row],[value]] - Table1[[#This Row],[mean]]) / Table1[[#This Row],[std_dev]]</f>
        <v>-0.31847894189830384</v>
      </c>
      <c r="K5874">
        <f>AVERAGEIF(Table1[CountryCode],Table1[[#This Row],[CountryCode]],Table1[z-score])</f>
        <v>-0.27867415315004246</v>
      </c>
      <c r="L5874" t="e">
        <f>VLOOKUP(Table1[[#This Row],[CountryCode]],[1]!Table1[#All],1,FALSE)</f>
        <v>#REF!</v>
      </c>
    </row>
    <row r="5875" spans="1:12" hidden="1" x14ac:dyDescent="0.3">
      <c r="A5875" t="s">
        <v>63</v>
      </c>
      <c r="B5875" t="s">
        <v>64</v>
      </c>
      <c r="C5875" t="s">
        <v>127</v>
      </c>
      <c r="D5875" t="s">
        <v>128</v>
      </c>
      <c r="E5875">
        <v>1984</v>
      </c>
      <c r="F5875" s="1">
        <v>18303</v>
      </c>
      <c r="G5875">
        <v>1980</v>
      </c>
      <c r="H5875">
        <f>AVERAGEIFS(Table1[value],Table1[IndicatorCode],Table1[[#This Row],[IndicatorCode]])</f>
        <v>24902.88753799392</v>
      </c>
      <c r="I5875" cm="1">
        <f t="array" ref="I5875">_xlfn.STDEV.P(IF(Table1[IndicatorCode]=Table1[[#This Row],[IndicatorCode]],Table1[value]))</f>
        <v>26324.778297809873</v>
      </c>
      <c r="J5875">
        <f>(Table1[[#This Row],[value]] - Table1[[#This Row],[mean]]) / Table1[[#This Row],[std_dev]]</f>
        <v>-0.25071009006533618</v>
      </c>
      <c r="K5875">
        <f>AVERAGEIF(Table1[CountryCode],Table1[[#This Row],[CountryCode]],Table1[z-score])</f>
        <v>0.37045001694562285</v>
      </c>
      <c r="L5875" t="e">
        <f>VLOOKUP(Table1[[#This Row],[CountryCode]],[1]!Table1[#All],1,FALSE)</f>
        <v>#REF!</v>
      </c>
    </row>
    <row r="5876" spans="1:12" hidden="1" x14ac:dyDescent="0.3">
      <c r="A5876" t="s">
        <v>63</v>
      </c>
      <c r="B5876" t="s">
        <v>64</v>
      </c>
      <c r="C5876" t="s">
        <v>127</v>
      </c>
      <c r="D5876" t="s">
        <v>128</v>
      </c>
      <c r="E5876">
        <v>1985</v>
      </c>
      <c r="F5876" s="1">
        <v>18416</v>
      </c>
      <c r="G5876">
        <v>1980</v>
      </c>
      <c r="H5876">
        <f>AVERAGEIFS(Table1[value],Table1[IndicatorCode],Table1[[#This Row],[IndicatorCode]])</f>
        <v>24902.88753799392</v>
      </c>
      <c r="I5876" cm="1">
        <f t="array" ref="I5876">_xlfn.STDEV.P(IF(Table1[IndicatorCode]=Table1[[#This Row],[IndicatorCode]],Table1[value]))</f>
        <v>26324.778297809873</v>
      </c>
      <c r="J5876">
        <f>(Table1[[#This Row],[value]] - Table1[[#This Row],[mean]]) / Table1[[#This Row],[std_dev]]</f>
        <v>-0.24641755628892062</v>
      </c>
      <c r="K5876">
        <f>AVERAGEIF(Table1[CountryCode],Table1[[#This Row],[CountryCode]],Table1[z-score])</f>
        <v>0.37045001694562285</v>
      </c>
      <c r="L5876" t="e">
        <f>VLOOKUP(Table1[[#This Row],[CountryCode]],[1]!Table1[#All],1,FALSE)</f>
        <v>#REF!</v>
      </c>
    </row>
    <row r="5877" spans="1:12" hidden="1" x14ac:dyDescent="0.3">
      <c r="A5877" t="s">
        <v>63</v>
      </c>
      <c r="B5877" t="s">
        <v>64</v>
      </c>
      <c r="C5877" t="s">
        <v>127</v>
      </c>
      <c r="D5877" t="s">
        <v>128</v>
      </c>
      <c r="E5877">
        <v>1986</v>
      </c>
      <c r="F5877" s="1">
        <v>21835</v>
      </c>
      <c r="G5877">
        <v>1980</v>
      </c>
      <c r="H5877">
        <f>AVERAGEIFS(Table1[value],Table1[IndicatorCode],Table1[[#This Row],[IndicatorCode]])</f>
        <v>24902.88753799392</v>
      </c>
      <c r="I5877" cm="1">
        <f t="array" ref="I5877">_xlfn.STDEV.P(IF(Table1[IndicatorCode]=Table1[[#This Row],[IndicatorCode]],Table1[value]))</f>
        <v>26324.778297809873</v>
      </c>
      <c r="J5877">
        <f>(Table1[[#This Row],[value]] - Table1[[#This Row],[mean]]) / Table1[[#This Row],[std_dev]]</f>
        <v>-0.1165399192839226</v>
      </c>
      <c r="K5877">
        <f>AVERAGEIF(Table1[CountryCode],Table1[[#This Row],[CountryCode]],Table1[z-score])</f>
        <v>0.37045001694562285</v>
      </c>
      <c r="L5877" t="e">
        <f>VLOOKUP(Table1[[#This Row],[CountryCode]],[1]!Table1[#All],1,FALSE)</f>
        <v>#REF!</v>
      </c>
    </row>
    <row r="5878" spans="1:12" hidden="1" x14ac:dyDescent="0.3">
      <c r="A5878" t="s">
        <v>63</v>
      </c>
      <c r="B5878" t="s">
        <v>64</v>
      </c>
      <c r="C5878" t="s">
        <v>127</v>
      </c>
      <c r="D5878" t="s">
        <v>128</v>
      </c>
      <c r="E5878">
        <v>1987</v>
      </c>
      <c r="F5878" s="1">
        <v>23666</v>
      </c>
      <c r="G5878">
        <v>1990</v>
      </c>
      <c r="H5878">
        <f>AVERAGEIFS(Table1[value],Table1[IndicatorCode],Table1[[#This Row],[IndicatorCode]])</f>
        <v>24902.88753799392</v>
      </c>
      <c r="I5878" cm="1">
        <f t="array" ref="I5878">_xlfn.STDEV.P(IF(Table1[IndicatorCode]=Table1[[#This Row],[IndicatorCode]],Table1[value]))</f>
        <v>26324.778297809873</v>
      </c>
      <c r="J5878">
        <f>(Table1[[#This Row],[value]] - Table1[[#This Row],[mean]]) / Table1[[#This Row],[std_dev]]</f>
        <v>-4.6985677296162626E-2</v>
      </c>
      <c r="K5878">
        <f>AVERAGEIF(Table1[CountryCode],Table1[[#This Row],[CountryCode]],Table1[z-score])</f>
        <v>0.37045001694562285</v>
      </c>
      <c r="L5878" t="e">
        <f>VLOOKUP(Table1[[#This Row],[CountryCode]],[1]!Table1[#All],1,FALSE)</f>
        <v>#REF!</v>
      </c>
    </row>
    <row r="5879" spans="1:12" hidden="1" x14ac:dyDescent="0.3">
      <c r="A5879" t="s">
        <v>63</v>
      </c>
      <c r="B5879" t="s">
        <v>64</v>
      </c>
      <c r="C5879" t="s">
        <v>127</v>
      </c>
      <c r="D5879" t="s">
        <v>128</v>
      </c>
      <c r="E5879">
        <v>1988</v>
      </c>
      <c r="F5879" s="1">
        <v>26036</v>
      </c>
      <c r="G5879">
        <v>1990</v>
      </c>
      <c r="H5879">
        <f>AVERAGEIFS(Table1[value],Table1[IndicatorCode],Table1[[#This Row],[IndicatorCode]])</f>
        <v>24902.88753799392</v>
      </c>
      <c r="I5879" cm="1">
        <f t="array" ref="I5879">_xlfn.STDEV.P(IF(Table1[IndicatorCode]=Table1[[#This Row],[IndicatorCode]],Table1[value]))</f>
        <v>26324.778297809873</v>
      </c>
      <c r="J5879">
        <f>(Table1[[#This Row],[value]] - Table1[[#This Row],[mean]]) / Table1[[#This Row],[std_dev]]</f>
        <v>4.3043570934853836E-2</v>
      </c>
      <c r="K5879">
        <f>AVERAGEIF(Table1[CountryCode],Table1[[#This Row],[CountryCode]],Table1[z-score])</f>
        <v>0.37045001694562285</v>
      </c>
      <c r="L5879" t="e">
        <f>VLOOKUP(Table1[[#This Row],[CountryCode]],[1]!Table1[#All],1,FALSE)</f>
        <v>#REF!</v>
      </c>
    </row>
    <row r="5880" spans="1:12" hidden="1" x14ac:dyDescent="0.3">
      <c r="A5880" t="s">
        <v>63</v>
      </c>
      <c r="B5880" t="s">
        <v>64</v>
      </c>
      <c r="C5880" t="s">
        <v>127</v>
      </c>
      <c r="D5880" t="s">
        <v>128</v>
      </c>
      <c r="E5880">
        <v>1989</v>
      </c>
      <c r="F5880" s="1">
        <v>27363</v>
      </c>
      <c r="G5880">
        <v>1990</v>
      </c>
      <c r="H5880">
        <f>AVERAGEIFS(Table1[value],Table1[IndicatorCode],Table1[[#This Row],[IndicatorCode]])</f>
        <v>24902.88753799392</v>
      </c>
      <c r="I5880" cm="1">
        <f t="array" ref="I5880">_xlfn.STDEV.P(IF(Table1[IndicatorCode]=Table1[[#This Row],[IndicatorCode]],Table1[value]))</f>
        <v>26324.778297809873</v>
      </c>
      <c r="J5880">
        <f>(Table1[[#This Row],[value]] - Table1[[#This Row],[mean]]) / Table1[[#This Row],[std_dev]]</f>
        <v>9.3452352539309044E-2</v>
      </c>
      <c r="K5880">
        <f>AVERAGEIF(Table1[CountryCode],Table1[[#This Row],[CountryCode]],Table1[z-score])</f>
        <v>0.37045001694562285</v>
      </c>
      <c r="L5880" t="e">
        <f>VLOOKUP(Table1[[#This Row],[CountryCode]],[1]!Table1[#All],1,FALSE)</f>
        <v>#REF!</v>
      </c>
    </row>
    <row r="5881" spans="1:12" hidden="1" x14ac:dyDescent="0.3">
      <c r="A5881" t="s">
        <v>63</v>
      </c>
      <c r="B5881" t="s">
        <v>64</v>
      </c>
      <c r="C5881" t="s">
        <v>127</v>
      </c>
      <c r="D5881" t="s">
        <v>128</v>
      </c>
      <c r="E5881">
        <v>1990</v>
      </c>
      <c r="F5881" s="1">
        <v>28042</v>
      </c>
      <c r="G5881">
        <v>1990</v>
      </c>
      <c r="H5881">
        <f>AVERAGEIFS(Table1[value],Table1[IndicatorCode],Table1[[#This Row],[IndicatorCode]])</f>
        <v>24902.88753799392</v>
      </c>
      <c r="I5881" cm="1">
        <f t="array" ref="I5881">_xlfn.STDEV.P(IF(Table1[IndicatorCode]=Table1[[#This Row],[IndicatorCode]],Table1[value]))</f>
        <v>26324.778297809873</v>
      </c>
      <c r="J5881">
        <f>(Table1[[#This Row],[value]] - Table1[[#This Row],[mean]]) / Table1[[#This Row],[std_dev]]</f>
        <v>0.11924554222237241</v>
      </c>
      <c r="K5881">
        <f>AVERAGEIF(Table1[CountryCode],Table1[[#This Row],[CountryCode]],Table1[z-score])</f>
        <v>0.37045001694562285</v>
      </c>
      <c r="L5881" t="e">
        <f>VLOOKUP(Table1[[#This Row],[CountryCode]],[1]!Table1[#All],1,FALSE)</f>
        <v>#REF!</v>
      </c>
    </row>
    <row r="5882" spans="1:12" hidden="1" x14ac:dyDescent="0.3">
      <c r="A5882" t="s">
        <v>63</v>
      </c>
      <c r="B5882" t="s">
        <v>64</v>
      </c>
      <c r="C5882" t="s">
        <v>127</v>
      </c>
      <c r="D5882" t="s">
        <v>128</v>
      </c>
      <c r="E5882">
        <v>1991</v>
      </c>
      <c r="F5882" s="1">
        <v>28128</v>
      </c>
      <c r="G5882">
        <v>1990</v>
      </c>
      <c r="H5882">
        <f>AVERAGEIFS(Table1[value],Table1[IndicatorCode],Table1[[#This Row],[IndicatorCode]])</f>
        <v>24902.88753799392</v>
      </c>
      <c r="I5882" cm="1">
        <f t="array" ref="I5882">_xlfn.STDEV.P(IF(Table1[IndicatorCode]=Table1[[#This Row],[IndicatorCode]],Table1[value]))</f>
        <v>26324.778297809873</v>
      </c>
      <c r="J5882">
        <f>(Table1[[#This Row],[value]] - Table1[[#This Row],[mean]]) / Table1[[#This Row],[std_dev]]</f>
        <v>0.12251242633539663</v>
      </c>
      <c r="K5882">
        <f>AVERAGEIF(Table1[CountryCode],Table1[[#This Row],[CountryCode]],Table1[z-score])</f>
        <v>0.37045001694562285</v>
      </c>
      <c r="L5882" t="e">
        <f>VLOOKUP(Table1[[#This Row],[CountryCode]],[1]!Table1[#All],1,FALSE)</f>
        <v>#REF!</v>
      </c>
    </row>
    <row r="5883" spans="1:12" hidden="1" x14ac:dyDescent="0.3">
      <c r="A5883" t="s">
        <v>63</v>
      </c>
      <c r="B5883" t="s">
        <v>64</v>
      </c>
      <c r="C5883" t="s">
        <v>127</v>
      </c>
      <c r="D5883" t="s">
        <v>128</v>
      </c>
      <c r="E5883">
        <v>1992</v>
      </c>
      <c r="F5883" s="1">
        <v>28134</v>
      </c>
      <c r="G5883">
        <v>1990</v>
      </c>
      <c r="H5883">
        <f>AVERAGEIFS(Table1[value],Table1[IndicatorCode],Table1[[#This Row],[IndicatorCode]])</f>
        <v>24902.88753799392</v>
      </c>
      <c r="I5883" cm="1">
        <f t="array" ref="I5883">_xlfn.STDEV.P(IF(Table1[IndicatorCode]=Table1[[#This Row],[IndicatorCode]],Table1[value]))</f>
        <v>26324.778297809873</v>
      </c>
      <c r="J5883">
        <f>(Table1[[#This Row],[value]] - Table1[[#This Row],[mean]]) / Table1[[#This Row],[std_dev]]</f>
        <v>0.12274034848281692</v>
      </c>
      <c r="K5883">
        <f>AVERAGEIF(Table1[CountryCode],Table1[[#This Row],[CountryCode]],Table1[z-score])</f>
        <v>0.37045001694562285</v>
      </c>
      <c r="L5883" t="e">
        <f>VLOOKUP(Table1[[#This Row],[CountryCode]],[1]!Table1[#All],1,FALSE)</f>
        <v>#REF!</v>
      </c>
    </row>
    <row r="5884" spans="1:12" hidden="1" x14ac:dyDescent="0.3">
      <c r="A5884" t="s">
        <v>63</v>
      </c>
      <c r="B5884" t="s">
        <v>64</v>
      </c>
      <c r="C5884" t="s">
        <v>127</v>
      </c>
      <c r="D5884" t="s">
        <v>128</v>
      </c>
      <c r="E5884">
        <v>1993</v>
      </c>
      <c r="F5884" s="1">
        <v>28694</v>
      </c>
      <c r="G5884">
        <v>1990</v>
      </c>
      <c r="H5884">
        <f>AVERAGEIFS(Table1[value],Table1[IndicatorCode],Table1[[#This Row],[IndicatorCode]])</f>
        <v>24902.88753799392</v>
      </c>
      <c r="I5884" cm="1">
        <f t="array" ref="I5884">_xlfn.STDEV.P(IF(Table1[IndicatorCode]=Table1[[#This Row],[IndicatorCode]],Table1[value]))</f>
        <v>26324.778297809873</v>
      </c>
      <c r="J5884">
        <f>(Table1[[#This Row],[value]] - Table1[[#This Row],[mean]]) / Table1[[#This Row],[std_dev]]</f>
        <v>0.14401308224204445</v>
      </c>
      <c r="K5884">
        <f>AVERAGEIF(Table1[CountryCode],Table1[[#This Row],[CountryCode]],Table1[z-score])</f>
        <v>0.37045001694562285</v>
      </c>
      <c r="L5884" t="e">
        <f>VLOOKUP(Table1[[#This Row],[CountryCode]],[1]!Table1[#All],1,FALSE)</f>
        <v>#REF!</v>
      </c>
    </row>
    <row r="5885" spans="1:12" hidden="1" x14ac:dyDescent="0.3">
      <c r="A5885" t="s">
        <v>63</v>
      </c>
      <c r="B5885" t="s">
        <v>64</v>
      </c>
      <c r="C5885" t="s">
        <v>127</v>
      </c>
      <c r="D5885" t="s">
        <v>128</v>
      </c>
      <c r="E5885">
        <v>1994</v>
      </c>
      <c r="F5885" s="1">
        <v>29676</v>
      </c>
      <c r="G5885">
        <v>1990</v>
      </c>
      <c r="H5885">
        <f>AVERAGEIFS(Table1[value],Table1[IndicatorCode],Table1[[#This Row],[IndicatorCode]])</f>
        <v>24902.88753799392</v>
      </c>
      <c r="I5885" cm="1">
        <f t="array" ref="I5885">_xlfn.STDEV.P(IF(Table1[IndicatorCode]=Table1[[#This Row],[IndicatorCode]],Table1[value]))</f>
        <v>26324.778297809873</v>
      </c>
      <c r="J5885">
        <f>(Table1[[#This Row],[value]] - Table1[[#This Row],[mean]]) / Table1[[#This Row],[std_dev]]</f>
        <v>0.18131634036983271</v>
      </c>
      <c r="K5885">
        <f>AVERAGEIF(Table1[CountryCode],Table1[[#This Row],[CountryCode]],Table1[z-score])</f>
        <v>0.37045001694562285</v>
      </c>
      <c r="L5885" t="e">
        <f>VLOOKUP(Table1[[#This Row],[CountryCode]],[1]!Table1[#All],1,FALSE)</f>
        <v>#REF!</v>
      </c>
    </row>
    <row r="5886" spans="1:12" hidden="1" x14ac:dyDescent="0.3">
      <c r="A5886" t="s">
        <v>63</v>
      </c>
      <c r="B5886" t="s">
        <v>64</v>
      </c>
      <c r="C5886" t="s">
        <v>127</v>
      </c>
      <c r="D5886" t="s">
        <v>128</v>
      </c>
      <c r="E5886">
        <v>1995</v>
      </c>
      <c r="F5886" s="1">
        <v>30803</v>
      </c>
      <c r="G5886">
        <v>1990</v>
      </c>
      <c r="H5886">
        <f>AVERAGEIFS(Table1[value],Table1[IndicatorCode],Table1[[#This Row],[IndicatorCode]])</f>
        <v>24902.88753799392</v>
      </c>
      <c r="I5886" cm="1">
        <f t="array" ref="I5886">_xlfn.STDEV.P(IF(Table1[IndicatorCode]=Table1[[#This Row],[IndicatorCode]],Table1[value]))</f>
        <v>26324.778297809873</v>
      </c>
      <c r="J5886">
        <f>(Table1[[#This Row],[value]] - Table1[[#This Row],[mean]]) / Table1[[#This Row],[std_dev]]</f>
        <v>0.22412771706027809</v>
      </c>
      <c r="K5886">
        <f>AVERAGEIF(Table1[CountryCode],Table1[[#This Row],[CountryCode]],Table1[z-score])</f>
        <v>0.37045001694562285</v>
      </c>
      <c r="L5886" t="e">
        <f>VLOOKUP(Table1[[#This Row],[CountryCode]],[1]!Table1[#All],1,FALSE)</f>
        <v>#REF!</v>
      </c>
    </row>
    <row r="5887" spans="1:12" hidden="1" x14ac:dyDescent="0.3">
      <c r="A5887" t="s">
        <v>63</v>
      </c>
      <c r="B5887" t="s">
        <v>64</v>
      </c>
      <c r="C5887" t="s">
        <v>127</v>
      </c>
      <c r="D5887" t="s">
        <v>128</v>
      </c>
      <c r="E5887">
        <v>1996</v>
      </c>
      <c r="F5887" s="1">
        <v>32929</v>
      </c>
      <c r="G5887">
        <v>1990</v>
      </c>
      <c r="H5887">
        <f>AVERAGEIFS(Table1[value],Table1[IndicatorCode],Table1[[#This Row],[IndicatorCode]])</f>
        <v>24902.88753799392</v>
      </c>
      <c r="I5887" cm="1">
        <f t="array" ref="I5887">_xlfn.STDEV.P(IF(Table1[IndicatorCode]=Table1[[#This Row],[IndicatorCode]],Table1[value]))</f>
        <v>26324.778297809873</v>
      </c>
      <c r="J5887">
        <f>(Table1[[#This Row],[value]] - Table1[[#This Row],[mean]]) / Table1[[#This Row],[std_dev]]</f>
        <v>0.30488813129620257</v>
      </c>
      <c r="K5887">
        <f>AVERAGEIF(Table1[CountryCode],Table1[[#This Row],[CountryCode]],Table1[z-score])</f>
        <v>0.37045001694562285</v>
      </c>
      <c r="L5887" t="e">
        <f>VLOOKUP(Table1[[#This Row],[CountryCode]],[1]!Table1[#All],1,FALSE)</f>
        <v>#REF!</v>
      </c>
    </row>
    <row r="5888" spans="1:12" hidden="1" x14ac:dyDescent="0.3">
      <c r="A5888" t="s">
        <v>63</v>
      </c>
      <c r="B5888" t="s">
        <v>64</v>
      </c>
      <c r="C5888" t="s">
        <v>127</v>
      </c>
      <c r="D5888" t="s">
        <v>128</v>
      </c>
      <c r="E5888">
        <v>1997</v>
      </c>
      <c r="F5888" s="1">
        <v>35338</v>
      </c>
      <c r="G5888">
        <v>2000</v>
      </c>
      <c r="H5888">
        <f>AVERAGEIFS(Table1[value],Table1[IndicatorCode],Table1[[#This Row],[IndicatorCode]])</f>
        <v>24902.88753799392</v>
      </c>
      <c r="I5888" cm="1">
        <f t="array" ref="I5888">_xlfn.STDEV.P(IF(Table1[IndicatorCode]=Table1[[#This Row],[IndicatorCode]],Table1[value]))</f>
        <v>26324.778297809873</v>
      </c>
      <c r="J5888">
        <f>(Table1[[#This Row],[value]] - Table1[[#This Row],[mean]]) / Table1[[#This Row],[std_dev]]</f>
        <v>0.39639887348545094</v>
      </c>
      <c r="K5888">
        <f>AVERAGEIF(Table1[CountryCode],Table1[[#This Row],[CountryCode]],Table1[z-score])</f>
        <v>0.37045001694562285</v>
      </c>
      <c r="L5888" t="e">
        <f>VLOOKUP(Table1[[#This Row],[CountryCode]],[1]!Table1[#All],1,FALSE)</f>
        <v>#REF!</v>
      </c>
    </row>
    <row r="5889" spans="1:12" hidden="1" x14ac:dyDescent="0.3">
      <c r="A5889" t="s">
        <v>63</v>
      </c>
      <c r="B5889" t="s">
        <v>64</v>
      </c>
      <c r="C5889" t="s">
        <v>127</v>
      </c>
      <c r="D5889" t="s">
        <v>128</v>
      </c>
      <c r="E5889">
        <v>1998</v>
      </c>
      <c r="F5889" s="1">
        <v>39592</v>
      </c>
      <c r="G5889">
        <v>2000</v>
      </c>
      <c r="H5889">
        <f>AVERAGEIFS(Table1[value],Table1[IndicatorCode],Table1[[#This Row],[IndicatorCode]])</f>
        <v>24902.88753799392</v>
      </c>
      <c r="I5889" cm="1">
        <f t="array" ref="I5889">_xlfn.STDEV.P(IF(Table1[IndicatorCode]=Table1[[#This Row],[IndicatorCode]],Table1[value]))</f>
        <v>26324.778297809873</v>
      </c>
      <c r="J5889">
        <f>(Table1[[#This Row],[value]] - Table1[[#This Row],[mean]]) / Table1[[#This Row],[std_dev]]</f>
        <v>0.55799567600643996</v>
      </c>
      <c r="K5889">
        <f>AVERAGEIF(Table1[CountryCode],Table1[[#This Row],[CountryCode]],Table1[z-score])</f>
        <v>0.37045001694562285</v>
      </c>
      <c r="L5889" t="e">
        <f>VLOOKUP(Table1[[#This Row],[CountryCode]],[1]!Table1[#All],1,FALSE)</f>
        <v>#REF!</v>
      </c>
    </row>
    <row r="5890" spans="1:12" hidden="1" x14ac:dyDescent="0.3">
      <c r="A5890" t="s">
        <v>63</v>
      </c>
      <c r="B5890" t="s">
        <v>64</v>
      </c>
      <c r="C5890" t="s">
        <v>127</v>
      </c>
      <c r="D5890" t="s">
        <v>128</v>
      </c>
      <c r="E5890">
        <v>1999</v>
      </c>
      <c r="F5890" s="1">
        <v>44456</v>
      </c>
      <c r="G5890">
        <v>2000</v>
      </c>
      <c r="H5890">
        <f>AVERAGEIFS(Table1[value],Table1[IndicatorCode],Table1[[#This Row],[IndicatorCode]])</f>
        <v>24902.88753799392</v>
      </c>
      <c r="I5890" cm="1">
        <f t="array" ref="I5890">_xlfn.STDEV.P(IF(Table1[IndicatorCode]=Table1[[#This Row],[IndicatorCode]],Table1[value]))</f>
        <v>26324.778297809873</v>
      </c>
      <c r="J5890">
        <f>(Table1[[#This Row],[value]] - Table1[[#This Row],[mean]]) / Table1[[#This Row],[std_dev]]</f>
        <v>0.74276456351515896</v>
      </c>
      <c r="K5890">
        <f>AVERAGEIF(Table1[CountryCode],Table1[[#This Row],[CountryCode]],Table1[z-score])</f>
        <v>0.37045001694562285</v>
      </c>
      <c r="L5890" t="e">
        <f>VLOOKUP(Table1[[#This Row],[CountryCode]],[1]!Table1[#All],1,FALSE)</f>
        <v>#REF!</v>
      </c>
    </row>
    <row r="5891" spans="1:12" hidden="1" x14ac:dyDescent="0.3">
      <c r="A5891" t="s">
        <v>63</v>
      </c>
      <c r="B5891" t="s">
        <v>64</v>
      </c>
      <c r="C5891" t="s">
        <v>127</v>
      </c>
      <c r="D5891" t="s">
        <v>128</v>
      </c>
      <c r="E5891">
        <v>2000</v>
      </c>
      <c r="F5891" s="1">
        <v>46275</v>
      </c>
      <c r="G5891">
        <v>2000</v>
      </c>
      <c r="H5891">
        <f>AVERAGEIFS(Table1[value],Table1[IndicatorCode],Table1[[#This Row],[IndicatorCode]])</f>
        <v>24902.88753799392</v>
      </c>
      <c r="I5891" cm="1">
        <f t="array" ref="I5891">_xlfn.STDEV.P(IF(Table1[IndicatorCode]=Table1[[#This Row],[IndicatorCode]],Table1[value]))</f>
        <v>26324.778297809873</v>
      </c>
      <c r="J5891">
        <f>(Table1[[#This Row],[value]] - Table1[[#This Row],[mean]]) / Table1[[#This Row],[std_dev]]</f>
        <v>0.81186296120807833</v>
      </c>
      <c r="K5891">
        <f>AVERAGEIF(Table1[CountryCode],Table1[[#This Row],[CountryCode]],Table1[z-score])</f>
        <v>0.37045001694562285</v>
      </c>
      <c r="L5891" t="e">
        <f>VLOOKUP(Table1[[#This Row],[CountryCode]],[1]!Table1[#All],1,FALSE)</f>
        <v>#REF!</v>
      </c>
    </row>
    <row r="5892" spans="1:12" hidden="1" x14ac:dyDescent="0.3">
      <c r="A5892" t="s">
        <v>63</v>
      </c>
      <c r="B5892" t="s">
        <v>64</v>
      </c>
      <c r="C5892" t="s">
        <v>127</v>
      </c>
      <c r="D5892" t="s">
        <v>128</v>
      </c>
      <c r="E5892">
        <v>2001</v>
      </c>
      <c r="F5892" s="1">
        <v>48253</v>
      </c>
      <c r="G5892">
        <v>2000</v>
      </c>
      <c r="H5892">
        <f>AVERAGEIFS(Table1[value],Table1[IndicatorCode],Table1[[#This Row],[IndicatorCode]])</f>
        <v>24902.88753799392</v>
      </c>
      <c r="I5892" cm="1">
        <f t="array" ref="I5892">_xlfn.STDEV.P(IF(Table1[IndicatorCode]=Table1[[#This Row],[IndicatorCode]],Table1[value]))</f>
        <v>26324.778297809873</v>
      </c>
      <c r="J5892">
        <f>(Table1[[#This Row],[value]] - Table1[[#This Row],[mean]]) / Table1[[#This Row],[std_dev]]</f>
        <v>0.88700129580763554</v>
      </c>
      <c r="K5892">
        <f>AVERAGEIF(Table1[CountryCode],Table1[[#This Row],[CountryCode]],Table1[z-score])</f>
        <v>0.37045001694562285</v>
      </c>
      <c r="L5892" t="e">
        <f>VLOOKUP(Table1[[#This Row],[CountryCode]],[1]!Table1[#All],1,FALSE)</f>
        <v>#REF!</v>
      </c>
    </row>
    <row r="5893" spans="1:12" hidden="1" x14ac:dyDescent="0.3">
      <c r="A5893" t="s">
        <v>63</v>
      </c>
      <c r="B5893" t="s">
        <v>64</v>
      </c>
      <c r="C5893" t="s">
        <v>127</v>
      </c>
      <c r="D5893" t="s">
        <v>128</v>
      </c>
      <c r="E5893">
        <v>2002</v>
      </c>
      <c r="F5893" s="1">
        <v>50715</v>
      </c>
      <c r="G5893">
        <v>2000</v>
      </c>
      <c r="H5893">
        <f>AVERAGEIFS(Table1[value],Table1[IndicatorCode],Table1[[#This Row],[IndicatorCode]])</f>
        <v>24902.88753799392</v>
      </c>
      <c r="I5893" cm="1">
        <f t="array" ref="I5893">_xlfn.STDEV.P(IF(Table1[IndicatorCode]=Table1[[#This Row],[IndicatorCode]],Table1[value]))</f>
        <v>26324.778297809873</v>
      </c>
      <c r="J5893">
        <f>(Table1[[#This Row],[value]] - Table1[[#This Row],[mean]]) / Table1[[#This Row],[std_dev]]</f>
        <v>0.98052535029909649</v>
      </c>
      <c r="K5893">
        <f>AVERAGEIF(Table1[CountryCode],Table1[[#This Row],[CountryCode]],Table1[z-score])</f>
        <v>0.37045001694562285</v>
      </c>
      <c r="L5893" t="e">
        <f>VLOOKUP(Table1[[#This Row],[CountryCode]],[1]!Table1[#All],1,FALSE)</f>
        <v>#REF!</v>
      </c>
    </row>
    <row r="5894" spans="1:12" hidden="1" x14ac:dyDescent="0.3">
      <c r="A5894" t="s">
        <v>63</v>
      </c>
      <c r="B5894" t="s">
        <v>64</v>
      </c>
      <c r="C5894" t="s">
        <v>127</v>
      </c>
      <c r="D5894" t="s">
        <v>128</v>
      </c>
      <c r="E5894">
        <v>2003</v>
      </c>
      <c r="F5894" s="1">
        <v>53224</v>
      </c>
      <c r="G5894">
        <v>2000</v>
      </c>
      <c r="H5894">
        <f>AVERAGEIFS(Table1[value],Table1[IndicatorCode],Table1[[#This Row],[IndicatorCode]])</f>
        <v>24902.88753799392</v>
      </c>
      <c r="I5894" cm="1">
        <f t="array" ref="I5894">_xlfn.STDEV.P(IF(Table1[IndicatorCode]=Table1[[#This Row],[IndicatorCode]],Table1[value]))</f>
        <v>26324.778297809873</v>
      </c>
      <c r="J5894">
        <f>(Table1[[#This Row],[value]] - Table1[[#This Row],[mean]]) / Table1[[#This Row],[std_dev]]</f>
        <v>1.0758347949453497</v>
      </c>
      <c r="K5894">
        <f>AVERAGEIF(Table1[CountryCode],Table1[[#This Row],[CountryCode]],Table1[z-score])</f>
        <v>0.37045001694562285</v>
      </c>
      <c r="L5894" t="e">
        <f>VLOOKUP(Table1[[#This Row],[CountryCode]],[1]!Table1[#All],1,FALSE)</f>
        <v>#REF!</v>
      </c>
    </row>
    <row r="5895" spans="1:12" hidden="1" x14ac:dyDescent="0.3">
      <c r="A5895" t="s">
        <v>63</v>
      </c>
      <c r="B5895" t="s">
        <v>64</v>
      </c>
      <c r="C5895" t="s">
        <v>127</v>
      </c>
      <c r="D5895" t="s">
        <v>128</v>
      </c>
      <c r="E5895">
        <v>2004</v>
      </c>
      <c r="F5895" s="1">
        <v>55464</v>
      </c>
      <c r="G5895">
        <v>2000</v>
      </c>
      <c r="H5895">
        <f>AVERAGEIFS(Table1[value],Table1[IndicatorCode],Table1[[#This Row],[IndicatorCode]])</f>
        <v>24902.88753799392</v>
      </c>
      <c r="I5895" cm="1">
        <f t="array" ref="I5895">_xlfn.STDEV.P(IF(Table1[IndicatorCode]=Table1[[#This Row],[IndicatorCode]],Table1[value]))</f>
        <v>26324.778297809873</v>
      </c>
      <c r="J5895">
        <f>(Table1[[#This Row],[value]] - Table1[[#This Row],[mean]]) / Table1[[#This Row],[std_dev]]</f>
        <v>1.16092572998226</v>
      </c>
      <c r="K5895">
        <f>AVERAGEIF(Table1[CountryCode],Table1[[#This Row],[CountryCode]],Table1[z-score])</f>
        <v>0.37045001694562285</v>
      </c>
      <c r="L5895" t="e">
        <f>VLOOKUP(Table1[[#This Row],[CountryCode]],[1]!Table1[#All],1,FALSE)</f>
        <v>#REF!</v>
      </c>
    </row>
    <row r="5896" spans="1:12" hidden="1" x14ac:dyDescent="0.3">
      <c r="A5896" t="s">
        <v>63</v>
      </c>
      <c r="B5896" t="s">
        <v>64</v>
      </c>
      <c r="C5896" t="s">
        <v>127</v>
      </c>
      <c r="D5896" t="s">
        <v>128</v>
      </c>
      <c r="E5896">
        <v>2005</v>
      </c>
      <c r="F5896" s="1">
        <v>58202</v>
      </c>
      <c r="G5896">
        <v>2000</v>
      </c>
      <c r="H5896">
        <f>AVERAGEIFS(Table1[value],Table1[IndicatorCode],Table1[[#This Row],[IndicatorCode]])</f>
        <v>24902.88753799392</v>
      </c>
      <c r="I5896" cm="1">
        <f t="array" ref="I5896">_xlfn.STDEV.P(IF(Table1[IndicatorCode]=Table1[[#This Row],[IndicatorCode]],Table1[value]))</f>
        <v>26324.778297809873</v>
      </c>
      <c r="J5896">
        <f>(Table1[[#This Row],[value]] - Table1[[#This Row],[mean]]) / Table1[[#This Row],[std_dev]]</f>
        <v>1.2649342032550543</v>
      </c>
      <c r="K5896">
        <f>AVERAGEIF(Table1[CountryCode],Table1[[#This Row],[CountryCode]],Table1[z-score])</f>
        <v>0.37045001694562285</v>
      </c>
      <c r="L5896" t="e">
        <f>VLOOKUP(Table1[[#This Row],[CountryCode]],[1]!Table1[#All],1,FALSE)</f>
        <v>#REF!</v>
      </c>
    </row>
    <row r="5897" spans="1:12" hidden="1" x14ac:dyDescent="0.3">
      <c r="A5897" t="s">
        <v>63</v>
      </c>
      <c r="B5897" t="s">
        <v>64</v>
      </c>
      <c r="C5897" t="s">
        <v>127</v>
      </c>
      <c r="D5897" t="s">
        <v>128</v>
      </c>
      <c r="E5897">
        <v>2006</v>
      </c>
      <c r="F5897" s="1">
        <v>62076</v>
      </c>
      <c r="G5897">
        <v>2000</v>
      </c>
      <c r="H5897">
        <f>AVERAGEIFS(Table1[value],Table1[IndicatorCode],Table1[[#This Row],[IndicatorCode]])</f>
        <v>24902.88753799392</v>
      </c>
      <c r="I5897" cm="1">
        <f t="array" ref="I5897">_xlfn.STDEV.P(IF(Table1[IndicatorCode]=Table1[[#This Row],[IndicatorCode]],Table1[value]))</f>
        <v>26324.778297809873</v>
      </c>
      <c r="J5897">
        <f>(Table1[[#This Row],[value]] - Table1[[#This Row],[mean]]) / Table1[[#This Row],[std_dev]]</f>
        <v>1.4120959364394248</v>
      </c>
      <c r="K5897">
        <f>AVERAGEIF(Table1[CountryCode],Table1[[#This Row],[CountryCode]],Table1[z-score])</f>
        <v>0.37045001694562285</v>
      </c>
      <c r="L5897" t="e">
        <f>VLOOKUP(Table1[[#This Row],[CountryCode]],[1]!Table1[#All],1,FALSE)</f>
        <v>#REF!</v>
      </c>
    </row>
    <row r="5898" spans="1:12" hidden="1" x14ac:dyDescent="0.3">
      <c r="A5898" t="s">
        <v>63</v>
      </c>
      <c r="B5898" t="s">
        <v>64</v>
      </c>
      <c r="C5898" t="s">
        <v>127</v>
      </c>
      <c r="D5898" t="s">
        <v>128</v>
      </c>
      <c r="E5898">
        <v>2007</v>
      </c>
      <c r="F5898" s="1">
        <v>66030</v>
      </c>
      <c r="G5898">
        <v>2010</v>
      </c>
      <c r="H5898">
        <f>AVERAGEIFS(Table1[value],Table1[IndicatorCode],Table1[[#This Row],[IndicatorCode]])</f>
        <v>24902.88753799392</v>
      </c>
      <c r="I5898" cm="1">
        <f t="array" ref="I5898">_xlfn.STDEV.P(IF(Table1[IndicatorCode]=Table1[[#This Row],[IndicatorCode]],Table1[value]))</f>
        <v>26324.778297809873</v>
      </c>
      <c r="J5898">
        <f>(Table1[[#This Row],[value]] - Table1[[#This Row],[mean]]) / Table1[[#This Row],[std_dev]]</f>
        <v>1.5622966315893991</v>
      </c>
      <c r="K5898">
        <f>AVERAGEIF(Table1[CountryCode],Table1[[#This Row],[CountryCode]],Table1[z-score])</f>
        <v>0.37045001694562285</v>
      </c>
      <c r="L5898" t="e">
        <f>VLOOKUP(Table1[[#This Row],[CountryCode]],[1]!Table1[#All],1,FALSE)</f>
        <v>#REF!</v>
      </c>
    </row>
    <row r="5899" spans="1:12" hidden="1" x14ac:dyDescent="0.3">
      <c r="A5899" t="s">
        <v>63</v>
      </c>
      <c r="B5899" t="s">
        <v>64</v>
      </c>
      <c r="C5899" t="s">
        <v>127</v>
      </c>
      <c r="D5899" t="s">
        <v>128</v>
      </c>
      <c r="E5899">
        <v>2008</v>
      </c>
      <c r="F5899" s="1">
        <v>68521</v>
      </c>
      <c r="G5899">
        <v>2010</v>
      </c>
      <c r="H5899">
        <f>AVERAGEIFS(Table1[value],Table1[IndicatorCode],Table1[[#This Row],[IndicatorCode]])</f>
        <v>24902.88753799392</v>
      </c>
      <c r="I5899" cm="1">
        <f t="array" ref="I5899">_xlfn.STDEV.P(IF(Table1[IndicatorCode]=Table1[[#This Row],[IndicatorCode]],Table1[value]))</f>
        <v>26324.778297809873</v>
      </c>
      <c r="J5899">
        <f>(Table1[[#This Row],[value]] - Table1[[#This Row],[mean]]) / Table1[[#This Row],[std_dev]]</f>
        <v>1.6569223097933916</v>
      </c>
      <c r="K5899">
        <f>AVERAGEIF(Table1[CountryCode],Table1[[#This Row],[CountryCode]],Table1[z-score])</f>
        <v>0.37045001694562285</v>
      </c>
      <c r="L5899" t="e">
        <f>VLOOKUP(Table1[[#This Row],[CountryCode]],[1]!Table1[#All],1,FALSE)</f>
        <v>#REF!</v>
      </c>
    </row>
    <row r="5900" spans="1:12" hidden="1" x14ac:dyDescent="0.3">
      <c r="A5900" t="s">
        <v>63</v>
      </c>
      <c r="B5900" t="s">
        <v>64</v>
      </c>
      <c r="C5900" t="s">
        <v>127</v>
      </c>
      <c r="D5900" t="s">
        <v>128</v>
      </c>
      <c r="E5900">
        <v>2009</v>
      </c>
      <c r="F5900" s="1">
        <v>69192</v>
      </c>
      <c r="G5900">
        <v>2010</v>
      </c>
      <c r="H5900">
        <f>AVERAGEIFS(Table1[value],Table1[IndicatorCode],Table1[[#This Row],[IndicatorCode]])</f>
        <v>24902.88753799392</v>
      </c>
      <c r="I5900" cm="1">
        <f t="array" ref="I5900">_xlfn.STDEV.P(IF(Table1[IndicatorCode]=Table1[[#This Row],[IndicatorCode]],Table1[value]))</f>
        <v>26324.778297809873</v>
      </c>
      <c r="J5900">
        <f>(Table1[[#This Row],[value]] - Table1[[#This Row],[mean]]) / Table1[[#This Row],[std_dev]]</f>
        <v>1.6824116032798946</v>
      </c>
      <c r="K5900">
        <f>AVERAGEIF(Table1[CountryCode],Table1[[#This Row],[CountryCode]],Table1[z-score])</f>
        <v>0.37045001694562285</v>
      </c>
      <c r="L5900" t="e">
        <f>VLOOKUP(Table1[[#This Row],[CountryCode]],[1]!Table1[#All],1,FALSE)</f>
        <v>#REF!</v>
      </c>
    </row>
    <row r="5901" spans="1:12" hidden="1" x14ac:dyDescent="0.3">
      <c r="A5901" t="s">
        <v>63</v>
      </c>
      <c r="B5901" t="s">
        <v>64</v>
      </c>
      <c r="C5901" t="s">
        <v>127</v>
      </c>
      <c r="D5901" t="s">
        <v>128</v>
      </c>
      <c r="E5901">
        <v>2010</v>
      </c>
      <c r="F5901" s="1">
        <v>70748</v>
      </c>
      <c r="G5901">
        <v>2010</v>
      </c>
      <c r="H5901">
        <f>AVERAGEIFS(Table1[value],Table1[IndicatorCode],Table1[[#This Row],[IndicatorCode]])</f>
        <v>24902.88753799392</v>
      </c>
      <c r="I5901" cm="1">
        <f t="array" ref="I5901">_xlfn.STDEV.P(IF(Table1[IndicatorCode]=Table1[[#This Row],[IndicatorCode]],Table1[value]))</f>
        <v>26324.778297809873</v>
      </c>
      <c r="J5901">
        <f>(Table1[[#This Row],[value]] - Table1[[#This Row],[mean]]) / Table1[[#This Row],[std_dev]]</f>
        <v>1.7415194135108909</v>
      </c>
      <c r="K5901">
        <f>AVERAGEIF(Table1[CountryCode],Table1[[#This Row],[CountryCode]],Table1[z-score])</f>
        <v>0.37045001694562285</v>
      </c>
      <c r="L5901" t="e">
        <f>VLOOKUP(Table1[[#This Row],[CountryCode]],[1]!Table1[#All],1,FALSE)</f>
        <v>#REF!</v>
      </c>
    </row>
    <row r="5902" spans="1:12" hidden="1" x14ac:dyDescent="0.3">
      <c r="A5902" t="s">
        <v>63</v>
      </c>
      <c r="B5902" t="s">
        <v>64</v>
      </c>
      <c r="C5902" t="s">
        <v>127</v>
      </c>
      <c r="D5902" t="s">
        <v>128</v>
      </c>
      <c r="E5902">
        <v>2011</v>
      </c>
      <c r="F5902" s="1">
        <v>71728</v>
      </c>
      <c r="G5902">
        <v>2010</v>
      </c>
      <c r="H5902">
        <f>AVERAGEIFS(Table1[value],Table1[IndicatorCode],Table1[[#This Row],[IndicatorCode]])</f>
        <v>24902.88753799392</v>
      </c>
      <c r="I5902" cm="1">
        <f t="array" ref="I5902">_xlfn.STDEV.P(IF(Table1[IndicatorCode]=Table1[[#This Row],[IndicatorCode]],Table1[value]))</f>
        <v>26324.778297809873</v>
      </c>
      <c r="J5902">
        <f>(Table1[[#This Row],[value]] - Table1[[#This Row],[mean]]) / Table1[[#This Row],[std_dev]]</f>
        <v>1.7787466975895392</v>
      </c>
      <c r="K5902">
        <f>AVERAGEIF(Table1[CountryCode],Table1[[#This Row],[CountryCode]],Table1[z-score])</f>
        <v>0.37045001694562285</v>
      </c>
      <c r="L5902" t="e">
        <f>VLOOKUP(Table1[[#This Row],[CountryCode]],[1]!Table1[#All],1,FALSE)</f>
        <v>#REF!</v>
      </c>
    </row>
    <row r="5903" spans="1:12" hidden="1" x14ac:dyDescent="0.3">
      <c r="A5903" t="s">
        <v>63</v>
      </c>
      <c r="B5903" t="s">
        <v>64</v>
      </c>
      <c r="C5903" t="s">
        <v>127</v>
      </c>
      <c r="D5903" t="s">
        <v>128</v>
      </c>
      <c r="E5903">
        <v>2012</v>
      </c>
      <c r="F5903" s="1">
        <v>77009</v>
      </c>
      <c r="G5903">
        <v>2010</v>
      </c>
      <c r="H5903">
        <f>AVERAGEIFS(Table1[value],Table1[IndicatorCode],Table1[[#This Row],[IndicatorCode]])</f>
        <v>24902.88753799392</v>
      </c>
      <c r="I5903" cm="1">
        <f t="array" ref="I5903">_xlfn.STDEV.P(IF(Table1[IndicatorCode]=Table1[[#This Row],[IndicatorCode]],Table1[value]))</f>
        <v>26324.778297809873</v>
      </c>
      <c r="J5903">
        <f>(Table1[[#This Row],[value]] - Table1[[#This Row],[mean]]) / Table1[[#This Row],[std_dev]]</f>
        <v>1.9793561743439687</v>
      </c>
      <c r="K5903">
        <f>AVERAGEIF(Table1[CountryCode],Table1[[#This Row],[CountryCode]],Table1[z-score])</f>
        <v>0.37045001694562285</v>
      </c>
      <c r="L5903" t="e">
        <f>VLOOKUP(Table1[[#This Row],[CountryCode]],[1]!Table1[#All],1,FALSE)</f>
        <v>#REF!</v>
      </c>
    </row>
    <row r="5904" spans="1:12" hidden="1" x14ac:dyDescent="0.3">
      <c r="A5904" t="s">
        <v>63</v>
      </c>
      <c r="B5904" t="s">
        <v>64</v>
      </c>
      <c r="C5904" t="s">
        <v>127</v>
      </c>
      <c r="D5904" t="s">
        <v>128</v>
      </c>
      <c r="E5904">
        <v>2013</v>
      </c>
      <c r="F5904" s="1">
        <v>80384</v>
      </c>
      <c r="G5904">
        <v>2010</v>
      </c>
      <c r="H5904">
        <f>AVERAGEIFS(Table1[value],Table1[IndicatorCode],Table1[[#This Row],[IndicatorCode]])</f>
        <v>24902.88753799392</v>
      </c>
      <c r="I5904" cm="1">
        <f t="array" ref="I5904">_xlfn.STDEV.P(IF(Table1[IndicatorCode]=Table1[[#This Row],[IndicatorCode]],Table1[value]))</f>
        <v>26324.778297809873</v>
      </c>
      <c r="J5904">
        <f>(Table1[[#This Row],[value]] - Table1[[#This Row],[mean]]) / Table1[[#This Row],[std_dev]]</f>
        <v>2.1075623822678846</v>
      </c>
      <c r="K5904">
        <f>AVERAGEIF(Table1[CountryCode],Table1[[#This Row],[CountryCode]],Table1[z-score])</f>
        <v>0.37045001694562285</v>
      </c>
      <c r="L5904" t="e">
        <f>VLOOKUP(Table1[[#This Row],[CountryCode]],[1]!Table1[#All],1,FALSE)</f>
        <v>#REF!</v>
      </c>
    </row>
    <row r="5905" spans="1:12" hidden="1" x14ac:dyDescent="0.3">
      <c r="A5905" t="s">
        <v>63</v>
      </c>
      <c r="B5905" t="s">
        <v>64</v>
      </c>
      <c r="C5905" t="s">
        <v>127</v>
      </c>
      <c r="D5905" t="s">
        <v>128</v>
      </c>
      <c r="E5905">
        <v>2014</v>
      </c>
      <c r="F5905" s="1">
        <v>84779</v>
      </c>
      <c r="G5905">
        <v>2010</v>
      </c>
      <c r="H5905">
        <f>AVERAGEIFS(Table1[value],Table1[IndicatorCode],Table1[[#This Row],[IndicatorCode]])</f>
        <v>24902.88753799392</v>
      </c>
      <c r="I5905" cm="1">
        <f t="array" ref="I5905">_xlfn.STDEV.P(IF(Table1[IndicatorCode]=Table1[[#This Row],[IndicatorCode]],Table1[value]))</f>
        <v>26324.778297809873</v>
      </c>
      <c r="J5905">
        <f>(Table1[[#This Row],[value]] - Table1[[#This Row],[mean]]) / Table1[[#This Row],[std_dev]]</f>
        <v>2.2745153552532504</v>
      </c>
      <c r="K5905">
        <f>AVERAGEIF(Table1[CountryCode],Table1[[#This Row],[CountryCode]],Table1[z-score])</f>
        <v>0.37045001694562285</v>
      </c>
      <c r="L5905" t="e">
        <f>VLOOKUP(Table1[[#This Row],[CountryCode]],[1]!Table1[#All],1,FALSE)</f>
        <v>#REF!</v>
      </c>
    </row>
    <row r="5906" spans="1:12" hidden="1" x14ac:dyDescent="0.3">
      <c r="A5906" t="s">
        <v>63</v>
      </c>
      <c r="B5906" t="s">
        <v>64</v>
      </c>
      <c r="C5906" t="s">
        <v>127</v>
      </c>
      <c r="D5906" t="s">
        <v>128</v>
      </c>
      <c r="E5906">
        <v>2015</v>
      </c>
      <c r="F5906" s="1">
        <v>84754</v>
      </c>
      <c r="G5906">
        <v>2010</v>
      </c>
      <c r="H5906">
        <f>AVERAGEIFS(Table1[value],Table1[IndicatorCode],Table1[[#This Row],[IndicatorCode]])</f>
        <v>24902.88753799392</v>
      </c>
      <c r="I5906" cm="1">
        <f t="array" ref="I5906">_xlfn.STDEV.P(IF(Table1[IndicatorCode]=Table1[[#This Row],[IndicatorCode]],Table1[value]))</f>
        <v>26324.778297809873</v>
      </c>
      <c r="J5906">
        <f>(Table1[[#This Row],[value]] - Table1[[#This Row],[mean]]) / Table1[[#This Row],[std_dev]]</f>
        <v>2.2735656796389994</v>
      </c>
      <c r="K5906">
        <f>AVERAGEIF(Table1[CountryCode],Table1[[#This Row],[CountryCode]],Table1[z-score])</f>
        <v>0.37045001694562285</v>
      </c>
      <c r="L5906" t="e">
        <f>VLOOKUP(Table1[[#This Row],[CountryCode]],[1]!Table1[#All],1,FALSE)</f>
        <v>#REF!</v>
      </c>
    </row>
    <row r="5907" spans="1:12" hidden="1" x14ac:dyDescent="0.3">
      <c r="A5907" t="s">
        <v>63</v>
      </c>
      <c r="B5907" t="s">
        <v>64</v>
      </c>
      <c r="C5907" t="s">
        <v>127</v>
      </c>
      <c r="D5907" t="s">
        <v>128</v>
      </c>
      <c r="E5907">
        <v>2016</v>
      </c>
      <c r="F5907" s="1">
        <v>90784</v>
      </c>
      <c r="G5907">
        <v>2010</v>
      </c>
      <c r="H5907">
        <f>AVERAGEIFS(Table1[value],Table1[IndicatorCode],Table1[[#This Row],[IndicatorCode]])</f>
        <v>24902.88753799392</v>
      </c>
      <c r="I5907" cm="1">
        <f t="array" ref="I5907">_xlfn.STDEV.P(IF(Table1[IndicatorCode]=Table1[[#This Row],[IndicatorCode]],Table1[value]))</f>
        <v>26324.778297809873</v>
      </c>
      <c r="J5907">
        <f>(Table1[[#This Row],[value]] - Table1[[#This Row],[mean]]) / Table1[[#This Row],[std_dev]]</f>
        <v>2.5026274377963951</v>
      </c>
      <c r="K5907">
        <f>AVERAGEIF(Table1[CountryCode],Table1[[#This Row],[CountryCode]],Table1[z-score])</f>
        <v>0.37045001694562285</v>
      </c>
      <c r="L5907" t="e">
        <f>VLOOKUP(Table1[[#This Row],[CountryCode]],[1]!Table1[#All],1,FALSE)</f>
        <v>#REF!</v>
      </c>
    </row>
    <row r="5908" spans="1:12" hidden="1" x14ac:dyDescent="0.3">
      <c r="A5908" t="s">
        <v>63</v>
      </c>
      <c r="B5908" t="s">
        <v>64</v>
      </c>
      <c r="C5908" t="s">
        <v>127</v>
      </c>
      <c r="D5908" t="s">
        <v>128</v>
      </c>
      <c r="E5908">
        <v>2017</v>
      </c>
      <c r="F5908" s="1">
        <v>93200</v>
      </c>
      <c r="G5908">
        <v>2020</v>
      </c>
      <c r="H5908">
        <f>AVERAGEIFS(Table1[value],Table1[IndicatorCode],Table1[[#This Row],[IndicatorCode]])</f>
        <v>24902.88753799392</v>
      </c>
      <c r="I5908" cm="1">
        <f t="array" ref="I5908">_xlfn.STDEV.P(IF(Table1[IndicatorCode]=Table1[[#This Row],[IndicatorCode]],Table1[value]))</f>
        <v>26324.778297809873</v>
      </c>
      <c r="J5908">
        <f>(Table1[[#This Row],[value]] - Table1[[#This Row],[mean]]) / Table1[[#This Row],[std_dev]]</f>
        <v>2.5944040891576341</v>
      </c>
      <c r="K5908">
        <f>AVERAGEIF(Table1[CountryCode],Table1[[#This Row],[CountryCode]],Table1[z-score])</f>
        <v>0.37045001694562285</v>
      </c>
      <c r="L5908" t="e">
        <f>VLOOKUP(Table1[[#This Row],[CountryCode]],[1]!Table1[#All],1,FALSE)</f>
        <v>#REF!</v>
      </c>
    </row>
    <row r="5909" spans="1:12" hidden="1" x14ac:dyDescent="0.3">
      <c r="A5909" t="s">
        <v>63</v>
      </c>
      <c r="B5909" t="s">
        <v>64</v>
      </c>
      <c r="C5909" t="s">
        <v>127</v>
      </c>
      <c r="D5909" t="s">
        <v>128</v>
      </c>
      <c r="E5909">
        <v>2018</v>
      </c>
      <c r="F5909" s="1">
        <v>95040</v>
      </c>
      <c r="G5909">
        <v>2020</v>
      </c>
      <c r="H5909">
        <f>AVERAGEIFS(Table1[value],Table1[IndicatorCode],Table1[[#This Row],[IndicatorCode]])</f>
        <v>24902.88753799392</v>
      </c>
      <c r="I5909" cm="1">
        <f t="array" ref="I5909">_xlfn.STDEV.P(IF(Table1[IndicatorCode]=Table1[[#This Row],[IndicatorCode]],Table1[value]))</f>
        <v>26324.778297809873</v>
      </c>
      <c r="J5909">
        <f>(Table1[[#This Row],[value]] - Table1[[#This Row],[mean]]) / Table1[[#This Row],[std_dev]]</f>
        <v>2.6643002143665244</v>
      </c>
      <c r="K5909">
        <f>AVERAGEIF(Table1[CountryCode],Table1[[#This Row],[CountryCode]],Table1[z-score])</f>
        <v>0.37045001694562285</v>
      </c>
      <c r="L5909" t="e">
        <f>VLOOKUP(Table1[[#This Row],[CountryCode]],[1]!Table1[#All],1,FALSE)</f>
        <v>#REF!</v>
      </c>
    </row>
    <row r="5910" spans="1:12" hidden="1" x14ac:dyDescent="0.3">
      <c r="A5910" t="s">
        <v>63</v>
      </c>
      <c r="B5910" t="s">
        <v>64</v>
      </c>
      <c r="C5910" t="s">
        <v>127</v>
      </c>
      <c r="D5910" t="s">
        <v>128</v>
      </c>
      <c r="E5910">
        <v>2019</v>
      </c>
      <c r="F5910" s="1">
        <v>95110</v>
      </c>
      <c r="G5910">
        <v>2020</v>
      </c>
      <c r="H5910">
        <f>AVERAGEIFS(Table1[value],Table1[IndicatorCode],Table1[[#This Row],[IndicatorCode]])</f>
        <v>24902.88753799392</v>
      </c>
      <c r="I5910" cm="1">
        <f t="array" ref="I5910">_xlfn.STDEV.P(IF(Table1[IndicatorCode]=Table1[[#This Row],[IndicatorCode]],Table1[value]))</f>
        <v>26324.778297809873</v>
      </c>
      <c r="J5910">
        <f>(Table1[[#This Row],[value]] - Table1[[#This Row],[mean]]) / Table1[[#This Row],[std_dev]]</f>
        <v>2.6669593060864276</v>
      </c>
      <c r="K5910">
        <f>AVERAGEIF(Table1[CountryCode],Table1[[#This Row],[CountryCode]],Table1[z-score])</f>
        <v>0.37045001694562285</v>
      </c>
      <c r="L5910" t="e">
        <f>VLOOKUP(Table1[[#This Row],[CountryCode]],[1]!Table1[#All],1,FALSE)</f>
        <v>#REF!</v>
      </c>
    </row>
    <row r="5911" spans="1:12" x14ac:dyDescent="0.3">
      <c r="A5911" t="s">
        <v>55</v>
      </c>
      <c r="B5911" t="s">
        <v>56</v>
      </c>
      <c r="C5911" t="s">
        <v>127</v>
      </c>
      <c r="D5911" t="s">
        <v>128</v>
      </c>
      <c r="E5911">
        <v>2020</v>
      </c>
      <c r="F5911" s="1">
        <v>17487</v>
      </c>
      <c r="G5911">
        <v>1960</v>
      </c>
      <c r="H5911">
        <f>AVERAGEIFS(Table1[value],Table1[IndicatorCode],Table1[[#This Row],[IndicatorCode]])</f>
        <v>24902.88753799392</v>
      </c>
      <c r="I5911" cm="1">
        <f t="array" ref="I5911">_xlfn.STDEV.P(IF(Table1[IndicatorCode]=Table1[[#This Row],[IndicatorCode]],Table1[value]))</f>
        <v>26324.778297809873</v>
      </c>
      <c r="J5911">
        <f>(Table1[[#This Row],[value]] - Table1[[#This Row],[mean]]) / Table1[[#This Row],[std_dev]]</f>
        <v>-0.28170750211449624</v>
      </c>
      <c r="K5911">
        <f>AVERAGEIF(Table1[CountryCode],Table1[[#This Row],[CountryCode]],Table1[z-score])</f>
        <v>6.3697920427276927E-2</v>
      </c>
    </row>
    <row r="5912" spans="1:12" hidden="1" x14ac:dyDescent="0.3">
      <c r="A5912" t="s">
        <v>63</v>
      </c>
      <c r="B5912" t="s">
        <v>64</v>
      </c>
      <c r="C5912" t="s">
        <v>127</v>
      </c>
      <c r="D5912" t="s">
        <v>128</v>
      </c>
      <c r="E5912">
        <v>2021</v>
      </c>
      <c r="F5912" s="1">
        <v>89874</v>
      </c>
      <c r="G5912">
        <v>1960</v>
      </c>
      <c r="H5912">
        <f>AVERAGEIFS(Table1[value],Table1[IndicatorCode],Table1[[#This Row],[IndicatorCode]])</f>
        <v>24902.88753799392</v>
      </c>
      <c r="I5912" cm="1">
        <f t="array" ref="I5912">_xlfn.STDEV.P(IF(Table1[IndicatorCode]=Table1[[#This Row],[IndicatorCode]],Table1[value]))</f>
        <v>26324.778297809873</v>
      </c>
      <c r="J5912">
        <f>(Table1[[#This Row],[value]] - Table1[[#This Row],[mean]]) / Table1[[#This Row],[std_dev]]</f>
        <v>2.4680592454376509</v>
      </c>
      <c r="K5912">
        <f>AVERAGEIF(Table1[CountryCode],Table1[[#This Row],[CountryCode]],Table1[z-score])</f>
        <v>0.37045001694562285</v>
      </c>
      <c r="L5912" t="e">
        <f>VLOOKUP(Table1[[#This Row],[CountryCode]],[1]!Table1[#All],1,FALSE)</f>
        <v>#REF!</v>
      </c>
    </row>
    <row r="5913" spans="1:12" hidden="1" x14ac:dyDescent="0.3">
      <c r="A5913" t="s">
        <v>63</v>
      </c>
      <c r="B5913" t="s">
        <v>64</v>
      </c>
      <c r="C5913" t="s">
        <v>127</v>
      </c>
      <c r="D5913" t="s">
        <v>128</v>
      </c>
      <c r="E5913">
        <v>2022</v>
      </c>
      <c r="F5913" s="1">
        <v>86103</v>
      </c>
      <c r="G5913">
        <v>1960</v>
      </c>
      <c r="H5913">
        <f>AVERAGEIFS(Table1[value],Table1[IndicatorCode],Table1[[#This Row],[IndicatorCode]])</f>
        <v>24902.88753799392</v>
      </c>
      <c r="I5913" cm="1">
        <f t="array" ref="I5913">_xlfn.STDEV.P(IF(Table1[IndicatorCode]=Table1[[#This Row],[IndicatorCode]],Table1[value]))</f>
        <v>26324.778297809873</v>
      </c>
      <c r="J5913">
        <f>(Table1[[#This Row],[value]] - Table1[[#This Row],[mean]]) / Table1[[#This Row],[std_dev]]</f>
        <v>2.3248101757839956</v>
      </c>
      <c r="K5913">
        <f>AVERAGEIF(Table1[CountryCode],Table1[[#This Row],[CountryCode]],Table1[z-score])</f>
        <v>0.37045001694562285</v>
      </c>
      <c r="L5913" t="e">
        <f>VLOOKUP(Table1[[#This Row],[CountryCode]],[1]!Table1[#All],1,FALSE)</f>
        <v>#REF!</v>
      </c>
    </row>
    <row r="5914" spans="1:12" hidden="1" x14ac:dyDescent="0.3">
      <c r="A5914" t="s">
        <v>65</v>
      </c>
      <c r="B5914" t="s">
        <v>66</v>
      </c>
      <c r="C5914" t="s">
        <v>127</v>
      </c>
      <c r="D5914" t="s">
        <v>128</v>
      </c>
      <c r="E5914">
        <v>1960</v>
      </c>
      <c r="F5914" s="1">
        <v>8524</v>
      </c>
      <c r="G5914">
        <v>1960</v>
      </c>
      <c r="H5914">
        <f>AVERAGEIFS(Table1[value],Table1[IndicatorCode],Table1[[#This Row],[IndicatorCode]])</f>
        <v>24902.88753799392</v>
      </c>
      <c r="I5914" cm="1">
        <f t="array" ref="I5914">_xlfn.STDEV.P(IF(Table1[IndicatorCode]=Table1[[#This Row],[IndicatorCode]],Table1[value]))</f>
        <v>26324.778297809873</v>
      </c>
      <c r="J5914">
        <f>(Table1[[#This Row],[value]] - Table1[[#This Row],[mean]]) / Table1[[#This Row],[std_dev]]</f>
        <v>-0.6221852033358467</v>
      </c>
      <c r="K5914">
        <f>AVERAGEIF(Table1[CountryCode],Table1[[#This Row],[CountryCode]],Table1[z-score])</f>
        <v>0.33171547334985529</v>
      </c>
      <c r="L5914" t="e">
        <f>VLOOKUP(Table1[[#This Row],[CountryCode]],[1]!Table1[#All],1,FALSE)</f>
        <v>#REF!</v>
      </c>
    </row>
    <row r="5915" spans="1:12" hidden="1" x14ac:dyDescent="0.3">
      <c r="A5915" t="s">
        <v>65</v>
      </c>
      <c r="B5915" t="s">
        <v>66</v>
      </c>
      <c r="C5915" t="s">
        <v>127</v>
      </c>
      <c r="D5915" t="s">
        <v>128</v>
      </c>
      <c r="E5915">
        <v>1961</v>
      </c>
      <c r="F5915" s="1">
        <v>8965</v>
      </c>
      <c r="G5915">
        <v>1960</v>
      </c>
      <c r="H5915">
        <f>AVERAGEIFS(Table1[value],Table1[IndicatorCode],Table1[[#This Row],[IndicatorCode]])</f>
        <v>24902.88753799392</v>
      </c>
      <c r="I5915" cm="1">
        <f t="array" ref="I5915">_xlfn.STDEV.P(IF(Table1[IndicatorCode]=Table1[[#This Row],[IndicatorCode]],Table1[value]))</f>
        <v>26324.778297809873</v>
      </c>
      <c r="J5915">
        <f>(Table1[[#This Row],[value]] - Table1[[#This Row],[mean]]) / Table1[[#This Row],[std_dev]]</f>
        <v>-0.60543292550045502</v>
      </c>
      <c r="K5915">
        <f>AVERAGEIF(Table1[CountryCode],Table1[[#This Row],[CountryCode]],Table1[z-score])</f>
        <v>0.33171547334985529</v>
      </c>
      <c r="L5915" t="e">
        <f>VLOOKUP(Table1[[#This Row],[CountryCode]],[1]!Table1[#All],1,FALSE)</f>
        <v>#REF!</v>
      </c>
    </row>
    <row r="5916" spans="1:12" hidden="1" x14ac:dyDescent="0.3">
      <c r="A5916" t="s">
        <v>65</v>
      </c>
      <c r="B5916" t="s">
        <v>66</v>
      </c>
      <c r="C5916" t="s">
        <v>127</v>
      </c>
      <c r="D5916" t="s">
        <v>128</v>
      </c>
      <c r="E5916">
        <v>1962</v>
      </c>
      <c r="F5916" s="1">
        <v>9215</v>
      </c>
      <c r="G5916">
        <v>1960</v>
      </c>
      <c r="H5916">
        <f>AVERAGEIFS(Table1[value],Table1[IndicatorCode],Table1[[#This Row],[IndicatorCode]])</f>
        <v>24902.88753799392</v>
      </c>
      <c r="I5916" cm="1">
        <f t="array" ref="I5916">_xlfn.STDEV.P(IF(Table1[IndicatorCode]=Table1[[#This Row],[IndicatorCode]],Table1[value]))</f>
        <v>26324.778297809873</v>
      </c>
      <c r="J5916">
        <f>(Table1[[#This Row],[value]] - Table1[[#This Row],[mean]]) / Table1[[#This Row],[std_dev]]</f>
        <v>-0.59593616935794269</v>
      </c>
      <c r="K5916">
        <f>AVERAGEIF(Table1[CountryCode],Table1[[#This Row],[CountryCode]],Table1[z-score])</f>
        <v>0.33171547334985529</v>
      </c>
      <c r="L5916" t="e">
        <f>VLOOKUP(Table1[[#This Row],[CountryCode]],[1]!Table1[#All],1,FALSE)</f>
        <v>#REF!</v>
      </c>
    </row>
    <row r="5917" spans="1:12" hidden="1" x14ac:dyDescent="0.3">
      <c r="A5917" t="s">
        <v>65</v>
      </c>
      <c r="B5917" t="s">
        <v>66</v>
      </c>
      <c r="C5917" t="s">
        <v>127</v>
      </c>
      <c r="D5917" t="s">
        <v>128</v>
      </c>
      <c r="E5917">
        <v>1963</v>
      </c>
      <c r="F5917" s="1">
        <v>9596</v>
      </c>
      <c r="G5917">
        <v>1960</v>
      </c>
      <c r="H5917">
        <f>AVERAGEIFS(Table1[value],Table1[IndicatorCode],Table1[[#This Row],[IndicatorCode]])</f>
        <v>24902.88753799392</v>
      </c>
      <c r="I5917" cm="1">
        <f t="array" ref="I5917">_xlfn.STDEV.P(IF(Table1[IndicatorCode]=Table1[[#This Row],[IndicatorCode]],Table1[value]))</f>
        <v>26324.778297809873</v>
      </c>
      <c r="J5917">
        <f>(Table1[[#This Row],[value]] - Table1[[#This Row],[mean]]) / Table1[[#This Row],[std_dev]]</f>
        <v>-0.58146311299675402</v>
      </c>
      <c r="K5917">
        <f>AVERAGEIF(Table1[CountryCode],Table1[[#This Row],[CountryCode]],Table1[z-score])</f>
        <v>0.33171547334985529</v>
      </c>
      <c r="L5917" t="e">
        <f>VLOOKUP(Table1[[#This Row],[CountryCode]],[1]!Table1[#All],1,FALSE)</f>
        <v>#REF!</v>
      </c>
    </row>
    <row r="5918" spans="1:12" hidden="1" x14ac:dyDescent="0.3">
      <c r="A5918" t="s">
        <v>65</v>
      </c>
      <c r="B5918" t="s">
        <v>66</v>
      </c>
      <c r="C5918" t="s">
        <v>127</v>
      </c>
      <c r="D5918" t="s">
        <v>128</v>
      </c>
      <c r="E5918">
        <v>1964</v>
      </c>
      <c r="F5918" s="1">
        <v>9911</v>
      </c>
      <c r="G5918">
        <v>1960</v>
      </c>
      <c r="H5918">
        <f>AVERAGEIFS(Table1[value],Table1[IndicatorCode],Table1[[#This Row],[IndicatorCode]])</f>
        <v>24902.88753799392</v>
      </c>
      <c r="I5918" cm="1">
        <f t="array" ref="I5918">_xlfn.STDEV.P(IF(Table1[IndicatorCode]=Table1[[#This Row],[IndicatorCode]],Table1[value]))</f>
        <v>26324.778297809873</v>
      </c>
      <c r="J5918">
        <f>(Table1[[#This Row],[value]] - Table1[[#This Row],[mean]]) / Table1[[#This Row],[std_dev]]</f>
        <v>-0.56949720025718853</v>
      </c>
      <c r="K5918">
        <f>AVERAGEIF(Table1[CountryCode],Table1[[#This Row],[CountryCode]],Table1[z-score])</f>
        <v>0.33171547334985529</v>
      </c>
      <c r="L5918" t="e">
        <f>VLOOKUP(Table1[[#This Row],[CountryCode]],[1]!Table1[#All],1,FALSE)</f>
        <v>#REF!</v>
      </c>
    </row>
    <row r="5919" spans="1:12" hidden="1" x14ac:dyDescent="0.3">
      <c r="A5919" t="s">
        <v>65</v>
      </c>
      <c r="B5919" t="s">
        <v>66</v>
      </c>
      <c r="C5919" t="s">
        <v>127</v>
      </c>
      <c r="D5919" t="s">
        <v>128</v>
      </c>
      <c r="E5919">
        <v>1965</v>
      </c>
      <c r="F5919" s="1">
        <v>10065</v>
      </c>
      <c r="G5919">
        <v>1960</v>
      </c>
      <c r="H5919">
        <f>AVERAGEIFS(Table1[value],Table1[IndicatorCode],Table1[[#This Row],[IndicatorCode]])</f>
        <v>24902.88753799392</v>
      </c>
      <c r="I5919" cm="1">
        <f t="array" ref="I5919">_xlfn.STDEV.P(IF(Table1[IndicatorCode]=Table1[[#This Row],[IndicatorCode]],Table1[value]))</f>
        <v>26324.778297809873</v>
      </c>
      <c r="J5919">
        <f>(Table1[[#This Row],[value]] - Table1[[#This Row],[mean]]) / Table1[[#This Row],[std_dev]]</f>
        <v>-0.56364719847340095</v>
      </c>
      <c r="K5919">
        <f>AVERAGEIF(Table1[CountryCode],Table1[[#This Row],[CountryCode]],Table1[z-score])</f>
        <v>0.33171547334985529</v>
      </c>
      <c r="L5919" t="e">
        <f>VLOOKUP(Table1[[#This Row],[CountryCode]],[1]!Table1[#All],1,FALSE)</f>
        <v>#REF!</v>
      </c>
    </row>
    <row r="5920" spans="1:12" hidden="1" x14ac:dyDescent="0.3">
      <c r="A5920" t="s">
        <v>65</v>
      </c>
      <c r="B5920" t="s">
        <v>66</v>
      </c>
      <c r="C5920" t="s">
        <v>127</v>
      </c>
      <c r="D5920" t="s">
        <v>128</v>
      </c>
      <c r="E5920">
        <v>1966</v>
      </c>
      <c r="F5920" s="1">
        <v>10114</v>
      </c>
      <c r="G5920">
        <v>1960</v>
      </c>
      <c r="H5920">
        <f>AVERAGEIFS(Table1[value],Table1[IndicatorCode],Table1[[#This Row],[IndicatorCode]])</f>
        <v>24902.88753799392</v>
      </c>
      <c r="I5920" cm="1">
        <f t="array" ref="I5920">_xlfn.STDEV.P(IF(Table1[IndicatorCode]=Table1[[#This Row],[IndicatorCode]],Table1[value]))</f>
        <v>26324.778297809873</v>
      </c>
      <c r="J5920">
        <f>(Table1[[#This Row],[value]] - Table1[[#This Row],[mean]]) / Table1[[#This Row],[std_dev]]</f>
        <v>-0.5617858342694686</v>
      </c>
      <c r="K5920">
        <f>AVERAGEIF(Table1[CountryCode],Table1[[#This Row],[CountryCode]],Table1[z-score])</f>
        <v>0.33171547334985529</v>
      </c>
      <c r="L5920" t="e">
        <f>VLOOKUP(Table1[[#This Row],[CountryCode]],[1]!Table1[#All],1,FALSE)</f>
        <v>#REF!</v>
      </c>
    </row>
    <row r="5921" spans="1:12" hidden="1" x14ac:dyDescent="0.3">
      <c r="A5921" t="s">
        <v>65</v>
      </c>
      <c r="B5921" t="s">
        <v>66</v>
      </c>
      <c r="C5921" t="s">
        <v>127</v>
      </c>
      <c r="D5921" t="s">
        <v>128</v>
      </c>
      <c r="E5921">
        <v>1967</v>
      </c>
      <c r="F5921" s="1">
        <v>10649</v>
      </c>
      <c r="G5921">
        <v>1970</v>
      </c>
      <c r="H5921">
        <f>AVERAGEIFS(Table1[value],Table1[IndicatorCode],Table1[[#This Row],[IndicatorCode]])</f>
        <v>24902.88753799392</v>
      </c>
      <c r="I5921" cm="1">
        <f t="array" ref="I5921">_xlfn.STDEV.P(IF(Table1[IndicatorCode]=Table1[[#This Row],[IndicatorCode]],Table1[value]))</f>
        <v>26324.778297809873</v>
      </c>
      <c r="J5921">
        <f>(Table1[[#This Row],[value]] - Table1[[#This Row],[mean]]) / Table1[[#This Row],[std_dev]]</f>
        <v>-0.54146277612449223</v>
      </c>
      <c r="K5921">
        <f>AVERAGEIF(Table1[CountryCode],Table1[[#This Row],[CountryCode]],Table1[z-score])</f>
        <v>0.33171547334985529</v>
      </c>
      <c r="L5921" t="e">
        <f>VLOOKUP(Table1[[#This Row],[CountryCode]],[1]!Table1[#All],1,FALSE)</f>
        <v>#REF!</v>
      </c>
    </row>
    <row r="5922" spans="1:12" hidden="1" x14ac:dyDescent="0.3">
      <c r="A5922" t="s">
        <v>65</v>
      </c>
      <c r="B5922" t="s">
        <v>66</v>
      </c>
      <c r="C5922" t="s">
        <v>127</v>
      </c>
      <c r="D5922" t="s">
        <v>128</v>
      </c>
      <c r="E5922">
        <v>1968</v>
      </c>
      <c r="F5922" s="1">
        <v>11475</v>
      </c>
      <c r="G5922">
        <v>1970</v>
      </c>
      <c r="H5922">
        <f>AVERAGEIFS(Table1[value],Table1[IndicatorCode],Table1[[#This Row],[IndicatorCode]])</f>
        <v>24902.88753799392</v>
      </c>
      <c r="I5922" cm="1">
        <f t="array" ref="I5922">_xlfn.STDEV.P(IF(Table1[IndicatorCode]=Table1[[#This Row],[IndicatorCode]],Table1[value]))</f>
        <v>26324.778297809873</v>
      </c>
      <c r="J5922">
        <f>(Table1[[#This Row],[value]] - Table1[[#This Row],[mean]]) / Table1[[#This Row],[std_dev]]</f>
        <v>-0.51008549382963164</v>
      </c>
      <c r="K5922">
        <f>AVERAGEIF(Table1[CountryCode],Table1[[#This Row],[CountryCode]],Table1[z-score])</f>
        <v>0.33171547334985529</v>
      </c>
      <c r="L5922" t="e">
        <f>VLOOKUP(Table1[[#This Row],[CountryCode]],[1]!Table1[#All],1,FALSE)</f>
        <v>#REF!</v>
      </c>
    </row>
    <row r="5923" spans="1:12" hidden="1" x14ac:dyDescent="0.3">
      <c r="A5923" t="s">
        <v>65</v>
      </c>
      <c r="B5923" t="s">
        <v>66</v>
      </c>
      <c r="C5923" t="s">
        <v>127</v>
      </c>
      <c r="D5923" t="s">
        <v>128</v>
      </c>
      <c r="E5923">
        <v>1969</v>
      </c>
      <c r="F5923" s="1">
        <v>12077</v>
      </c>
      <c r="G5923">
        <v>1970</v>
      </c>
      <c r="H5923">
        <f>AVERAGEIFS(Table1[value],Table1[IndicatorCode],Table1[[#This Row],[IndicatorCode]])</f>
        <v>24902.88753799392</v>
      </c>
      <c r="I5923" cm="1">
        <f t="array" ref="I5923">_xlfn.STDEV.P(IF(Table1[IndicatorCode]=Table1[[#This Row],[IndicatorCode]],Table1[value]))</f>
        <v>26324.778297809873</v>
      </c>
      <c r="J5923">
        <f>(Table1[[#This Row],[value]] - Table1[[#This Row],[mean]]) / Table1[[#This Row],[std_dev]]</f>
        <v>-0.48721730503846211</v>
      </c>
      <c r="K5923">
        <f>AVERAGEIF(Table1[CountryCode],Table1[[#This Row],[CountryCode]],Table1[z-score])</f>
        <v>0.33171547334985529</v>
      </c>
      <c r="L5923" t="e">
        <f>VLOOKUP(Table1[[#This Row],[CountryCode]],[1]!Table1[#All],1,FALSE)</f>
        <v>#REF!</v>
      </c>
    </row>
    <row r="5924" spans="1:12" hidden="1" x14ac:dyDescent="0.3">
      <c r="A5924" t="s">
        <v>65</v>
      </c>
      <c r="B5924" t="s">
        <v>66</v>
      </c>
      <c r="C5924" t="s">
        <v>127</v>
      </c>
      <c r="D5924" t="s">
        <v>128</v>
      </c>
      <c r="E5924">
        <v>1970</v>
      </c>
      <c r="F5924" s="1">
        <v>12296</v>
      </c>
      <c r="G5924">
        <v>1970</v>
      </c>
      <c r="H5924">
        <f>AVERAGEIFS(Table1[value],Table1[IndicatorCode],Table1[[#This Row],[IndicatorCode]])</f>
        <v>24902.88753799392</v>
      </c>
      <c r="I5924" cm="1">
        <f t="array" ref="I5924">_xlfn.STDEV.P(IF(Table1[IndicatorCode]=Table1[[#This Row],[IndicatorCode]],Table1[value]))</f>
        <v>26324.778297809873</v>
      </c>
      <c r="J5924">
        <f>(Table1[[#This Row],[value]] - Table1[[#This Row],[mean]]) / Table1[[#This Row],[std_dev]]</f>
        <v>-0.47889814665762132</v>
      </c>
      <c r="K5924">
        <f>AVERAGEIF(Table1[CountryCode],Table1[[#This Row],[CountryCode]],Table1[z-score])</f>
        <v>0.33171547334985529</v>
      </c>
      <c r="L5924" t="e">
        <f>VLOOKUP(Table1[[#This Row],[CountryCode]],[1]!Table1[#All],1,FALSE)</f>
        <v>#REF!</v>
      </c>
    </row>
    <row r="5925" spans="1:12" hidden="1" x14ac:dyDescent="0.3">
      <c r="A5925" t="s">
        <v>65</v>
      </c>
      <c r="B5925" t="s">
        <v>66</v>
      </c>
      <c r="C5925" t="s">
        <v>127</v>
      </c>
      <c r="D5925" t="s">
        <v>128</v>
      </c>
      <c r="E5925">
        <v>1971</v>
      </c>
      <c r="F5925" s="1">
        <v>12574</v>
      </c>
      <c r="G5925">
        <v>1970</v>
      </c>
      <c r="H5925">
        <f>AVERAGEIFS(Table1[value],Table1[IndicatorCode],Table1[[#This Row],[IndicatorCode]])</f>
        <v>24902.88753799392</v>
      </c>
      <c r="I5925" cm="1">
        <f t="array" ref="I5925">_xlfn.STDEV.P(IF(Table1[IndicatorCode]=Table1[[#This Row],[IndicatorCode]],Table1[value]))</f>
        <v>26324.778297809873</v>
      </c>
      <c r="J5925">
        <f>(Table1[[#This Row],[value]] - Table1[[#This Row],[mean]]) / Table1[[#This Row],[std_dev]]</f>
        <v>-0.46833775382714765</v>
      </c>
      <c r="K5925">
        <f>AVERAGEIF(Table1[CountryCode],Table1[[#This Row],[CountryCode]],Table1[z-score])</f>
        <v>0.33171547334985529</v>
      </c>
      <c r="L5925" t="e">
        <f>VLOOKUP(Table1[[#This Row],[CountryCode]],[1]!Table1[#All],1,FALSE)</f>
        <v>#REF!</v>
      </c>
    </row>
    <row r="5926" spans="1:12" hidden="1" x14ac:dyDescent="0.3">
      <c r="A5926" t="s">
        <v>65</v>
      </c>
      <c r="B5926" t="s">
        <v>66</v>
      </c>
      <c r="C5926" t="s">
        <v>127</v>
      </c>
      <c r="D5926" t="s">
        <v>128</v>
      </c>
      <c r="E5926">
        <v>1972</v>
      </c>
      <c r="F5926" s="1">
        <v>13193</v>
      </c>
      <c r="G5926">
        <v>1970</v>
      </c>
      <c r="H5926">
        <f>AVERAGEIFS(Table1[value],Table1[IndicatorCode],Table1[[#This Row],[IndicatorCode]])</f>
        <v>24902.88753799392</v>
      </c>
      <c r="I5926" cm="1">
        <f t="array" ref="I5926">_xlfn.STDEV.P(IF(Table1[IndicatorCode]=Table1[[#This Row],[IndicatorCode]],Table1[value]))</f>
        <v>26324.778297809873</v>
      </c>
      <c r="J5926">
        <f>(Table1[[#This Row],[value]] - Table1[[#This Row],[mean]]) / Table1[[#This Row],[std_dev]]</f>
        <v>-0.44482378561828728</v>
      </c>
      <c r="K5926">
        <f>AVERAGEIF(Table1[CountryCode],Table1[[#This Row],[CountryCode]],Table1[z-score])</f>
        <v>0.33171547334985529</v>
      </c>
      <c r="L5926" t="e">
        <f>VLOOKUP(Table1[[#This Row],[CountryCode]],[1]!Table1[#All],1,FALSE)</f>
        <v>#REF!</v>
      </c>
    </row>
    <row r="5927" spans="1:12" hidden="1" x14ac:dyDescent="0.3">
      <c r="A5927" t="s">
        <v>65</v>
      </c>
      <c r="B5927" t="s">
        <v>66</v>
      </c>
      <c r="C5927" t="s">
        <v>127</v>
      </c>
      <c r="D5927" t="s">
        <v>128</v>
      </c>
      <c r="E5927">
        <v>1973</v>
      </c>
      <c r="F5927" s="1">
        <v>13596</v>
      </c>
      <c r="G5927">
        <v>1970</v>
      </c>
      <c r="H5927">
        <f>AVERAGEIFS(Table1[value],Table1[IndicatorCode],Table1[[#This Row],[IndicatorCode]])</f>
        <v>24902.88753799392</v>
      </c>
      <c r="I5927" cm="1">
        <f t="array" ref="I5927">_xlfn.STDEV.P(IF(Table1[IndicatorCode]=Table1[[#This Row],[IndicatorCode]],Table1[value]))</f>
        <v>26324.778297809873</v>
      </c>
      <c r="J5927">
        <f>(Table1[[#This Row],[value]] - Table1[[#This Row],[mean]]) / Table1[[#This Row],[std_dev]]</f>
        <v>-0.42951501471655745</v>
      </c>
      <c r="K5927">
        <f>AVERAGEIF(Table1[CountryCode],Table1[[#This Row],[CountryCode]],Table1[z-score])</f>
        <v>0.33171547334985529</v>
      </c>
      <c r="L5927" t="e">
        <f>VLOOKUP(Table1[[#This Row],[CountryCode]],[1]!Table1[#All],1,FALSE)</f>
        <v>#REF!</v>
      </c>
    </row>
    <row r="5928" spans="1:12" hidden="1" x14ac:dyDescent="0.3">
      <c r="A5928" t="s">
        <v>65</v>
      </c>
      <c r="B5928" t="s">
        <v>66</v>
      </c>
      <c r="C5928" t="s">
        <v>127</v>
      </c>
      <c r="D5928" t="s">
        <v>128</v>
      </c>
      <c r="E5928">
        <v>1974</v>
      </c>
      <c r="F5928" s="1">
        <v>13942</v>
      </c>
      <c r="G5928">
        <v>1970</v>
      </c>
      <c r="H5928">
        <f>AVERAGEIFS(Table1[value],Table1[IndicatorCode],Table1[[#This Row],[IndicatorCode]])</f>
        <v>24902.88753799392</v>
      </c>
      <c r="I5928" cm="1">
        <f t="array" ref="I5928">_xlfn.STDEV.P(IF(Table1[IndicatorCode]=Table1[[#This Row],[IndicatorCode]],Table1[value]))</f>
        <v>26324.778297809873</v>
      </c>
      <c r="J5928">
        <f>(Table1[[#This Row],[value]] - Table1[[#This Row],[mean]]) / Table1[[#This Row],[std_dev]]</f>
        <v>-0.41637150421532043</v>
      </c>
      <c r="K5928">
        <f>AVERAGEIF(Table1[CountryCode],Table1[[#This Row],[CountryCode]],Table1[z-score])</f>
        <v>0.33171547334985529</v>
      </c>
      <c r="L5928" t="e">
        <f>VLOOKUP(Table1[[#This Row],[CountryCode]],[1]!Table1[#All],1,FALSE)</f>
        <v>#REF!</v>
      </c>
    </row>
    <row r="5929" spans="1:12" hidden="1" x14ac:dyDescent="0.3">
      <c r="A5929" t="s">
        <v>65</v>
      </c>
      <c r="B5929" t="s">
        <v>66</v>
      </c>
      <c r="C5929" t="s">
        <v>127</v>
      </c>
      <c r="D5929" t="s">
        <v>128</v>
      </c>
      <c r="E5929">
        <v>1975</v>
      </c>
      <c r="F5929" s="1">
        <v>14490</v>
      </c>
      <c r="G5929">
        <v>1970</v>
      </c>
      <c r="H5929">
        <f>AVERAGEIFS(Table1[value],Table1[IndicatorCode],Table1[[#This Row],[IndicatorCode]])</f>
        <v>24902.88753799392</v>
      </c>
      <c r="I5929" cm="1">
        <f t="array" ref="I5929">_xlfn.STDEV.P(IF(Table1[IndicatorCode]=Table1[[#This Row],[IndicatorCode]],Table1[value]))</f>
        <v>26324.778297809873</v>
      </c>
      <c r="J5929">
        <f>(Table1[[#This Row],[value]] - Table1[[#This Row],[mean]]) / Table1[[#This Row],[std_dev]]</f>
        <v>-0.39555461475093351</v>
      </c>
      <c r="K5929">
        <f>AVERAGEIF(Table1[CountryCode],Table1[[#This Row],[CountryCode]],Table1[z-score])</f>
        <v>0.33171547334985529</v>
      </c>
      <c r="L5929" t="e">
        <f>VLOOKUP(Table1[[#This Row],[CountryCode]],[1]!Table1[#All],1,FALSE)</f>
        <v>#REF!</v>
      </c>
    </row>
    <row r="5930" spans="1:12" hidden="1" x14ac:dyDescent="0.3">
      <c r="A5930" t="s">
        <v>65</v>
      </c>
      <c r="B5930" t="s">
        <v>66</v>
      </c>
      <c r="C5930" t="s">
        <v>127</v>
      </c>
      <c r="D5930" t="s">
        <v>128</v>
      </c>
      <c r="E5930">
        <v>1976</v>
      </c>
      <c r="F5930" s="1">
        <v>14472</v>
      </c>
      <c r="G5930">
        <v>1970</v>
      </c>
      <c r="H5930">
        <f>AVERAGEIFS(Table1[value],Table1[IndicatorCode],Table1[[#This Row],[IndicatorCode]])</f>
        <v>24902.88753799392</v>
      </c>
      <c r="I5930" cm="1">
        <f t="array" ref="I5930">_xlfn.STDEV.P(IF(Table1[IndicatorCode]=Table1[[#This Row],[IndicatorCode]],Table1[value]))</f>
        <v>26324.778297809873</v>
      </c>
      <c r="J5930">
        <f>(Table1[[#This Row],[value]] - Table1[[#This Row],[mean]]) / Table1[[#This Row],[std_dev]]</f>
        <v>-0.39623838119319443</v>
      </c>
      <c r="K5930">
        <f>AVERAGEIF(Table1[CountryCode],Table1[[#This Row],[CountryCode]],Table1[z-score])</f>
        <v>0.33171547334985529</v>
      </c>
      <c r="L5930" t="e">
        <f>VLOOKUP(Table1[[#This Row],[CountryCode]],[1]!Table1[#All],1,FALSE)</f>
        <v>#REF!</v>
      </c>
    </row>
    <row r="5931" spans="1:12" hidden="1" x14ac:dyDescent="0.3">
      <c r="A5931" t="s">
        <v>65</v>
      </c>
      <c r="B5931" t="s">
        <v>66</v>
      </c>
      <c r="C5931" t="s">
        <v>127</v>
      </c>
      <c r="D5931" t="s">
        <v>128</v>
      </c>
      <c r="E5931">
        <v>1977</v>
      </c>
      <c r="F5931" s="1">
        <v>15450</v>
      </c>
      <c r="G5931">
        <v>1980</v>
      </c>
      <c r="H5931">
        <f>AVERAGEIFS(Table1[value],Table1[IndicatorCode],Table1[[#This Row],[IndicatorCode]])</f>
        <v>24902.88753799392</v>
      </c>
      <c r="I5931" cm="1">
        <f t="array" ref="I5931">_xlfn.STDEV.P(IF(Table1[IndicatorCode]=Table1[[#This Row],[IndicatorCode]],Table1[value]))</f>
        <v>26324.778297809873</v>
      </c>
      <c r="J5931">
        <f>(Table1[[#This Row],[value]] - Table1[[#This Row],[mean]]) / Table1[[#This Row],[std_dev]]</f>
        <v>-0.35908707116368638</v>
      </c>
      <c r="K5931">
        <f>AVERAGEIF(Table1[CountryCode],Table1[[#This Row],[CountryCode]],Table1[z-score])</f>
        <v>0.33171547334985529</v>
      </c>
      <c r="L5931" t="e">
        <f>VLOOKUP(Table1[[#This Row],[CountryCode]],[1]!Table1[#All],1,FALSE)</f>
        <v>#REF!</v>
      </c>
    </row>
    <row r="5932" spans="1:12" hidden="1" x14ac:dyDescent="0.3">
      <c r="A5932" t="s">
        <v>65</v>
      </c>
      <c r="B5932" t="s">
        <v>66</v>
      </c>
      <c r="C5932" t="s">
        <v>127</v>
      </c>
      <c r="D5932" t="s">
        <v>128</v>
      </c>
      <c r="E5932">
        <v>1978</v>
      </c>
      <c r="F5932" s="1">
        <v>16327</v>
      </c>
      <c r="G5932">
        <v>1980</v>
      </c>
      <c r="H5932">
        <f>AVERAGEIFS(Table1[value],Table1[IndicatorCode],Table1[[#This Row],[IndicatorCode]])</f>
        <v>24902.88753799392</v>
      </c>
      <c r="I5932" cm="1">
        <f t="array" ref="I5932">_xlfn.STDEV.P(IF(Table1[IndicatorCode]=Table1[[#This Row],[IndicatorCode]],Table1[value]))</f>
        <v>26324.778297809873</v>
      </c>
      <c r="J5932">
        <f>(Table1[[#This Row],[value]] - Table1[[#This Row],[mean]]) / Table1[[#This Row],[std_dev]]</f>
        <v>-0.32577245061575327</v>
      </c>
      <c r="K5932">
        <f>AVERAGEIF(Table1[CountryCode],Table1[[#This Row],[CountryCode]],Table1[z-score])</f>
        <v>0.33171547334985529</v>
      </c>
      <c r="L5932" t="e">
        <f>VLOOKUP(Table1[[#This Row],[CountryCode]],[1]!Table1[#All],1,FALSE)</f>
        <v>#REF!</v>
      </c>
    </row>
    <row r="5933" spans="1:12" hidden="1" x14ac:dyDescent="0.3">
      <c r="A5933" t="s">
        <v>65</v>
      </c>
      <c r="B5933" t="s">
        <v>66</v>
      </c>
      <c r="C5933" t="s">
        <v>127</v>
      </c>
      <c r="D5933" t="s">
        <v>128</v>
      </c>
      <c r="E5933">
        <v>1979</v>
      </c>
      <c r="F5933" s="1">
        <v>16606</v>
      </c>
      <c r="G5933">
        <v>1980</v>
      </c>
      <c r="H5933">
        <f>AVERAGEIFS(Table1[value],Table1[IndicatorCode],Table1[[#This Row],[IndicatorCode]])</f>
        <v>24902.88753799392</v>
      </c>
      <c r="I5933" cm="1">
        <f t="array" ref="I5933">_xlfn.STDEV.P(IF(Table1[IndicatorCode]=Table1[[#This Row],[IndicatorCode]],Table1[value]))</f>
        <v>26324.778297809873</v>
      </c>
      <c r="J5933">
        <f>(Table1[[#This Row],[value]] - Table1[[#This Row],[mean]]) / Table1[[#This Row],[std_dev]]</f>
        <v>-0.31517407076070952</v>
      </c>
      <c r="K5933">
        <f>AVERAGEIF(Table1[CountryCode],Table1[[#This Row],[CountryCode]],Table1[z-score])</f>
        <v>0.33171547334985529</v>
      </c>
      <c r="L5933" t="e">
        <f>VLOOKUP(Table1[[#This Row],[CountryCode]],[1]!Table1[#All],1,FALSE)</f>
        <v>#REF!</v>
      </c>
    </row>
    <row r="5934" spans="1:12" hidden="1" x14ac:dyDescent="0.3">
      <c r="A5934" t="s">
        <v>65</v>
      </c>
      <c r="B5934" t="s">
        <v>66</v>
      </c>
      <c r="C5934" t="s">
        <v>127</v>
      </c>
      <c r="D5934" t="s">
        <v>128</v>
      </c>
      <c r="E5934">
        <v>1980</v>
      </c>
      <c r="F5934" s="1">
        <v>16922</v>
      </c>
      <c r="G5934">
        <v>1980</v>
      </c>
      <c r="H5934">
        <f>AVERAGEIFS(Table1[value],Table1[IndicatorCode],Table1[[#This Row],[IndicatorCode]])</f>
        <v>24902.88753799392</v>
      </c>
      <c r="I5934" cm="1">
        <f t="array" ref="I5934">_xlfn.STDEV.P(IF(Table1[IndicatorCode]=Table1[[#This Row],[IndicatorCode]],Table1[value]))</f>
        <v>26324.778297809873</v>
      </c>
      <c r="J5934">
        <f>(Table1[[#This Row],[value]] - Table1[[#This Row],[mean]]) / Table1[[#This Row],[std_dev]]</f>
        <v>-0.30317017099657401</v>
      </c>
      <c r="K5934">
        <f>AVERAGEIF(Table1[CountryCode],Table1[[#This Row],[CountryCode]],Table1[z-score])</f>
        <v>0.33171547334985529</v>
      </c>
      <c r="L5934" t="e">
        <f>VLOOKUP(Table1[[#This Row],[CountryCode]],[1]!Table1[#All],1,FALSE)</f>
        <v>#REF!</v>
      </c>
    </row>
    <row r="5935" spans="1:12" hidden="1" x14ac:dyDescent="0.3">
      <c r="A5935" t="s">
        <v>65</v>
      </c>
      <c r="B5935" t="s">
        <v>66</v>
      </c>
      <c r="C5935" t="s">
        <v>127</v>
      </c>
      <c r="D5935" t="s">
        <v>128</v>
      </c>
      <c r="E5935">
        <v>1981</v>
      </c>
      <c r="F5935" s="1">
        <v>17281</v>
      </c>
      <c r="G5935">
        <v>1980</v>
      </c>
      <c r="H5935">
        <f>AVERAGEIFS(Table1[value],Table1[IndicatorCode],Table1[[#This Row],[IndicatorCode]])</f>
        <v>24902.88753799392</v>
      </c>
      <c r="I5935" cm="1">
        <f t="array" ref="I5935">_xlfn.STDEV.P(IF(Table1[IndicatorCode]=Table1[[#This Row],[IndicatorCode]],Table1[value]))</f>
        <v>26324.778297809873</v>
      </c>
      <c r="J5935">
        <f>(Table1[[#This Row],[value]] - Table1[[#This Row],[mean]]) / Table1[[#This Row],[std_dev]]</f>
        <v>-0.28953282917592638</v>
      </c>
      <c r="K5935">
        <f>AVERAGEIF(Table1[CountryCode],Table1[[#This Row],[CountryCode]],Table1[z-score])</f>
        <v>0.33171547334985529</v>
      </c>
      <c r="L5935" t="e">
        <f>VLOOKUP(Table1[[#This Row],[CountryCode]],[1]!Table1[#All],1,FALSE)</f>
        <v>#REF!</v>
      </c>
    </row>
    <row r="5936" spans="1:12" hidden="1" x14ac:dyDescent="0.3">
      <c r="A5936" t="s">
        <v>65</v>
      </c>
      <c r="B5936" t="s">
        <v>66</v>
      </c>
      <c r="C5936" t="s">
        <v>127</v>
      </c>
      <c r="D5936" t="s">
        <v>128</v>
      </c>
      <c r="E5936">
        <v>1982</v>
      </c>
      <c r="F5936" s="1">
        <v>17509</v>
      </c>
      <c r="G5936">
        <v>1980</v>
      </c>
      <c r="H5936">
        <f>AVERAGEIFS(Table1[value],Table1[IndicatorCode],Table1[[#This Row],[IndicatorCode]])</f>
        <v>24902.88753799392</v>
      </c>
      <c r="I5936" cm="1">
        <f t="array" ref="I5936">_xlfn.STDEV.P(IF(Table1[IndicatorCode]=Table1[[#This Row],[IndicatorCode]],Table1[value]))</f>
        <v>26324.778297809873</v>
      </c>
      <c r="J5936">
        <f>(Table1[[#This Row],[value]] - Table1[[#This Row],[mean]]) / Table1[[#This Row],[std_dev]]</f>
        <v>-0.2808717875739552</v>
      </c>
      <c r="K5936">
        <f>AVERAGEIF(Table1[CountryCode],Table1[[#This Row],[CountryCode]],Table1[z-score])</f>
        <v>0.33171547334985529</v>
      </c>
      <c r="L5936" t="e">
        <f>VLOOKUP(Table1[[#This Row],[CountryCode]],[1]!Table1[#All],1,FALSE)</f>
        <v>#REF!</v>
      </c>
    </row>
    <row r="5937" spans="1:12" hidden="1" x14ac:dyDescent="0.3">
      <c r="A5937" t="s">
        <v>65</v>
      </c>
      <c r="B5937" t="s">
        <v>66</v>
      </c>
      <c r="C5937" t="s">
        <v>127</v>
      </c>
      <c r="D5937" t="s">
        <v>128</v>
      </c>
      <c r="E5937">
        <v>1983</v>
      </c>
      <c r="F5937" s="1">
        <v>17343</v>
      </c>
      <c r="G5937">
        <v>1980</v>
      </c>
      <c r="H5937">
        <f>AVERAGEIFS(Table1[value],Table1[IndicatorCode],Table1[[#This Row],[IndicatorCode]])</f>
        <v>24902.88753799392</v>
      </c>
      <c r="I5937" cm="1">
        <f t="array" ref="I5937">_xlfn.STDEV.P(IF(Table1[IndicatorCode]=Table1[[#This Row],[IndicatorCode]],Table1[value]))</f>
        <v>26324.778297809873</v>
      </c>
      <c r="J5937">
        <f>(Table1[[#This Row],[value]] - Table1[[#This Row],[mean]]) / Table1[[#This Row],[std_dev]]</f>
        <v>-0.28717763365258331</v>
      </c>
      <c r="K5937">
        <f>AVERAGEIF(Table1[CountryCode],Table1[[#This Row],[CountryCode]],Table1[z-score])</f>
        <v>0.33171547334985529</v>
      </c>
      <c r="L5937" t="e">
        <f>VLOOKUP(Table1[[#This Row],[CountryCode]],[1]!Table1[#All],1,FALSE)</f>
        <v>#REF!</v>
      </c>
    </row>
    <row r="5938" spans="1:12" hidden="1" x14ac:dyDescent="0.3">
      <c r="A5938" t="s">
        <v>65</v>
      </c>
      <c r="B5938" t="s">
        <v>66</v>
      </c>
      <c r="C5938" t="s">
        <v>127</v>
      </c>
      <c r="D5938" t="s">
        <v>128</v>
      </c>
      <c r="E5938">
        <v>1984</v>
      </c>
      <c r="F5938" s="1">
        <v>17986</v>
      </c>
      <c r="G5938">
        <v>1980</v>
      </c>
      <c r="H5938">
        <f>AVERAGEIFS(Table1[value],Table1[IndicatorCode],Table1[[#This Row],[IndicatorCode]])</f>
        <v>24902.88753799392</v>
      </c>
      <c r="I5938" cm="1">
        <f t="array" ref="I5938">_xlfn.STDEV.P(IF(Table1[IndicatorCode]=Table1[[#This Row],[IndicatorCode]],Table1[value]))</f>
        <v>26324.778297809873</v>
      </c>
      <c r="J5938">
        <f>(Table1[[#This Row],[value]] - Table1[[#This Row],[mean]]) / Table1[[#This Row],[std_dev]]</f>
        <v>-0.26275197685404172</v>
      </c>
      <c r="K5938">
        <f>AVERAGEIF(Table1[CountryCode],Table1[[#This Row],[CountryCode]],Table1[z-score])</f>
        <v>0.33171547334985529</v>
      </c>
      <c r="L5938" t="e">
        <f>VLOOKUP(Table1[[#This Row],[CountryCode]],[1]!Table1[#All],1,FALSE)</f>
        <v>#REF!</v>
      </c>
    </row>
    <row r="5939" spans="1:12" hidden="1" x14ac:dyDescent="0.3">
      <c r="A5939" t="s">
        <v>65</v>
      </c>
      <c r="B5939" t="s">
        <v>66</v>
      </c>
      <c r="C5939" t="s">
        <v>127</v>
      </c>
      <c r="D5939" t="s">
        <v>128</v>
      </c>
      <c r="E5939">
        <v>1985</v>
      </c>
      <c r="F5939" s="1">
        <v>18512</v>
      </c>
      <c r="G5939">
        <v>1980</v>
      </c>
      <c r="H5939">
        <f>AVERAGEIFS(Table1[value],Table1[IndicatorCode],Table1[[#This Row],[IndicatorCode]])</f>
        <v>24902.88753799392</v>
      </c>
      <c r="I5939" cm="1">
        <f t="array" ref="I5939">_xlfn.STDEV.P(IF(Table1[IndicatorCode]=Table1[[#This Row],[IndicatorCode]],Table1[value]))</f>
        <v>26324.778297809873</v>
      </c>
      <c r="J5939">
        <f>(Table1[[#This Row],[value]] - Table1[[#This Row],[mean]]) / Table1[[#This Row],[std_dev]]</f>
        <v>-0.2427708019301959</v>
      </c>
      <c r="K5939">
        <f>AVERAGEIF(Table1[CountryCode],Table1[[#This Row],[CountryCode]],Table1[z-score])</f>
        <v>0.33171547334985529</v>
      </c>
      <c r="L5939" t="e">
        <f>VLOOKUP(Table1[[#This Row],[CountryCode]],[1]!Table1[#All],1,FALSE)</f>
        <v>#REF!</v>
      </c>
    </row>
    <row r="5940" spans="1:12" hidden="1" x14ac:dyDescent="0.3">
      <c r="A5940" t="s">
        <v>65</v>
      </c>
      <c r="B5940" t="s">
        <v>66</v>
      </c>
      <c r="C5940" t="s">
        <v>127</v>
      </c>
      <c r="D5940" t="s">
        <v>128</v>
      </c>
      <c r="E5940">
        <v>1986</v>
      </c>
      <c r="F5940" s="1">
        <v>18424</v>
      </c>
      <c r="G5940">
        <v>1980</v>
      </c>
      <c r="H5940">
        <f>AVERAGEIFS(Table1[value],Table1[IndicatorCode],Table1[[#This Row],[IndicatorCode]])</f>
        <v>24902.88753799392</v>
      </c>
      <c r="I5940" cm="1">
        <f t="array" ref="I5940">_xlfn.STDEV.P(IF(Table1[IndicatorCode]=Table1[[#This Row],[IndicatorCode]],Table1[value]))</f>
        <v>26324.778297809873</v>
      </c>
      <c r="J5940">
        <f>(Table1[[#This Row],[value]] - Table1[[#This Row],[mean]]) / Table1[[#This Row],[std_dev]]</f>
        <v>-0.24611366009236021</v>
      </c>
      <c r="K5940">
        <f>AVERAGEIF(Table1[CountryCode],Table1[[#This Row],[CountryCode]],Table1[z-score])</f>
        <v>0.33171547334985529</v>
      </c>
      <c r="L5940" t="e">
        <f>VLOOKUP(Table1[[#This Row],[CountryCode]],[1]!Table1[#All],1,FALSE)</f>
        <v>#REF!</v>
      </c>
    </row>
    <row r="5941" spans="1:12" hidden="1" x14ac:dyDescent="0.3">
      <c r="A5941" t="s">
        <v>65</v>
      </c>
      <c r="B5941" t="s">
        <v>66</v>
      </c>
      <c r="C5941" t="s">
        <v>127</v>
      </c>
      <c r="D5941" t="s">
        <v>128</v>
      </c>
      <c r="E5941">
        <v>1987</v>
      </c>
      <c r="F5941" s="1">
        <v>19281</v>
      </c>
      <c r="G5941">
        <v>1990</v>
      </c>
      <c r="H5941">
        <f>AVERAGEIFS(Table1[value],Table1[IndicatorCode],Table1[[#This Row],[IndicatorCode]])</f>
        <v>24902.88753799392</v>
      </c>
      <c r="I5941" cm="1">
        <f t="array" ref="I5941">_xlfn.STDEV.P(IF(Table1[IndicatorCode]=Table1[[#This Row],[IndicatorCode]],Table1[value]))</f>
        <v>26324.778297809873</v>
      </c>
      <c r="J5941">
        <f>(Table1[[#This Row],[value]] - Table1[[#This Row],[mean]]) / Table1[[#This Row],[std_dev]]</f>
        <v>-0.21355878003582809</v>
      </c>
      <c r="K5941">
        <f>AVERAGEIF(Table1[CountryCode],Table1[[#This Row],[CountryCode]],Table1[z-score])</f>
        <v>0.33171547334985529</v>
      </c>
      <c r="L5941" t="e">
        <f>VLOOKUP(Table1[[#This Row],[CountryCode]],[1]!Table1[#All],1,FALSE)</f>
        <v>#REF!</v>
      </c>
    </row>
    <row r="5942" spans="1:12" hidden="1" x14ac:dyDescent="0.3">
      <c r="A5942" t="s">
        <v>65</v>
      </c>
      <c r="B5942" t="s">
        <v>66</v>
      </c>
      <c r="C5942" t="s">
        <v>127</v>
      </c>
      <c r="D5942" t="s">
        <v>128</v>
      </c>
      <c r="E5942">
        <v>1988</v>
      </c>
      <c r="F5942" s="1">
        <v>20374</v>
      </c>
      <c r="G5942">
        <v>1990</v>
      </c>
      <c r="H5942">
        <f>AVERAGEIFS(Table1[value],Table1[IndicatorCode],Table1[[#This Row],[IndicatorCode]])</f>
        <v>24902.88753799392</v>
      </c>
      <c r="I5942" cm="1">
        <f t="array" ref="I5942">_xlfn.STDEV.P(IF(Table1[IndicatorCode]=Table1[[#This Row],[IndicatorCode]],Table1[value]))</f>
        <v>26324.778297809873</v>
      </c>
      <c r="J5942">
        <f>(Table1[[#This Row],[value]] - Table1[[#This Row],[mean]]) / Table1[[#This Row],[std_dev]]</f>
        <v>-0.17203896218076439</v>
      </c>
      <c r="K5942">
        <f>AVERAGEIF(Table1[CountryCode],Table1[[#This Row],[CountryCode]],Table1[z-score])</f>
        <v>0.33171547334985529</v>
      </c>
      <c r="L5942" t="e">
        <f>VLOOKUP(Table1[[#This Row],[CountryCode]],[1]!Table1[#All],1,FALSE)</f>
        <v>#REF!</v>
      </c>
    </row>
    <row r="5943" spans="1:12" hidden="1" x14ac:dyDescent="0.3">
      <c r="A5943" t="s">
        <v>65</v>
      </c>
      <c r="B5943" t="s">
        <v>66</v>
      </c>
      <c r="C5943" t="s">
        <v>127</v>
      </c>
      <c r="D5943" t="s">
        <v>128</v>
      </c>
      <c r="E5943">
        <v>1989</v>
      </c>
      <c r="F5943" s="1">
        <v>21644</v>
      </c>
      <c r="G5943">
        <v>1990</v>
      </c>
      <c r="H5943">
        <f>AVERAGEIFS(Table1[value],Table1[IndicatorCode],Table1[[#This Row],[IndicatorCode]])</f>
        <v>24902.88753799392</v>
      </c>
      <c r="I5943" cm="1">
        <f t="array" ref="I5943">_xlfn.STDEV.P(IF(Table1[IndicatorCode]=Table1[[#This Row],[IndicatorCode]],Table1[value]))</f>
        <v>26324.778297809873</v>
      </c>
      <c r="J5943">
        <f>(Table1[[#This Row],[value]] - Table1[[#This Row],[mean]]) / Table1[[#This Row],[std_dev]]</f>
        <v>-0.12379544097680198</v>
      </c>
      <c r="K5943">
        <f>AVERAGEIF(Table1[CountryCode],Table1[[#This Row],[CountryCode]],Table1[z-score])</f>
        <v>0.33171547334985529</v>
      </c>
      <c r="L5943" t="e">
        <f>VLOOKUP(Table1[[#This Row],[CountryCode]],[1]!Table1[#All],1,FALSE)</f>
        <v>#REF!</v>
      </c>
    </row>
    <row r="5944" spans="1:12" hidden="1" x14ac:dyDescent="0.3">
      <c r="A5944" t="s">
        <v>65</v>
      </c>
      <c r="B5944" t="s">
        <v>66</v>
      </c>
      <c r="C5944" t="s">
        <v>127</v>
      </c>
      <c r="D5944" t="s">
        <v>128</v>
      </c>
      <c r="E5944">
        <v>1990</v>
      </c>
      <c r="F5944" s="1">
        <v>23457</v>
      </c>
      <c r="G5944">
        <v>1990</v>
      </c>
      <c r="H5944">
        <f>AVERAGEIFS(Table1[value],Table1[IndicatorCode],Table1[[#This Row],[IndicatorCode]])</f>
        <v>24902.88753799392</v>
      </c>
      <c r="I5944" cm="1">
        <f t="array" ref="I5944">_xlfn.STDEV.P(IF(Table1[IndicatorCode]=Table1[[#This Row],[IndicatorCode]],Table1[value]))</f>
        <v>26324.778297809873</v>
      </c>
      <c r="J5944">
        <f>(Table1[[#This Row],[value]] - Table1[[#This Row],[mean]]) / Table1[[#This Row],[std_dev]]</f>
        <v>-5.4924965431302895E-2</v>
      </c>
      <c r="K5944">
        <f>AVERAGEIF(Table1[CountryCode],Table1[[#This Row],[CountryCode]],Table1[z-score])</f>
        <v>0.33171547334985529</v>
      </c>
      <c r="L5944" t="e">
        <f>VLOOKUP(Table1[[#This Row],[CountryCode]],[1]!Table1[#All],1,FALSE)</f>
        <v>#REF!</v>
      </c>
    </row>
    <row r="5945" spans="1:12" hidden="1" x14ac:dyDescent="0.3">
      <c r="A5945" t="s">
        <v>65</v>
      </c>
      <c r="B5945" t="s">
        <v>66</v>
      </c>
      <c r="C5945" t="s">
        <v>127</v>
      </c>
      <c r="D5945" t="s">
        <v>128</v>
      </c>
      <c r="E5945">
        <v>1991</v>
      </c>
      <c r="F5945" s="1">
        <v>23773</v>
      </c>
      <c r="G5945">
        <v>1990</v>
      </c>
      <c r="H5945">
        <f>AVERAGEIFS(Table1[value],Table1[IndicatorCode],Table1[[#This Row],[IndicatorCode]])</f>
        <v>24902.88753799392</v>
      </c>
      <c r="I5945" cm="1">
        <f t="array" ref="I5945">_xlfn.STDEV.P(IF(Table1[IndicatorCode]=Table1[[#This Row],[IndicatorCode]],Table1[value]))</f>
        <v>26324.778297809873</v>
      </c>
      <c r="J5945">
        <f>(Table1[[#This Row],[value]] - Table1[[#This Row],[mean]]) / Table1[[#This Row],[std_dev]]</f>
        <v>-4.2921065667167371E-2</v>
      </c>
      <c r="K5945">
        <f>AVERAGEIF(Table1[CountryCode],Table1[[#This Row],[CountryCode]],Table1[z-score])</f>
        <v>0.33171547334985529</v>
      </c>
      <c r="L5945" t="e">
        <f>VLOOKUP(Table1[[#This Row],[CountryCode]],[1]!Table1[#All],1,FALSE)</f>
        <v>#REF!</v>
      </c>
    </row>
    <row r="5946" spans="1:12" hidden="1" x14ac:dyDescent="0.3">
      <c r="A5946" t="s">
        <v>65</v>
      </c>
      <c r="B5946" t="s">
        <v>66</v>
      </c>
      <c r="C5946" t="s">
        <v>127</v>
      </c>
      <c r="D5946" t="s">
        <v>128</v>
      </c>
      <c r="E5946">
        <v>1992</v>
      </c>
      <c r="F5946" s="1">
        <v>24400</v>
      </c>
      <c r="G5946">
        <v>1990</v>
      </c>
      <c r="H5946">
        <f>AVERAGEIFS(Table1[value],Table1[IndicatorCode],Table1[[#This Row],[IndicatorCode]])</f>
        <v>24902.88753799392</v>
      </c>
      <c r="I5946" cm="1">
        <f t="array" ref="I5946">_xlfn.STDEV.P(IF(Table1[IndicatorCode]=Table1[[#This Row],[IndicatorCode]],Table1[value]))</f>
        <v>26324.778297809873</v>
      </c>
      <c r="J5946">
        <f>(Table1[[#This Row],[value]] - Table1[[#This Row],[mean]]) / Table1[[#This Row],[std_dev]]</f>
        <v>-1.9103201261746559E-2</v>
      </c>
      <c r="K5946">
        <f>AVERAGEIF(Table1[CountryCode],Table1[[#This Row],[CountryCode]],Table1[z-score])</f>
        <v>0.33171547334985529</v>
      </c>
      <c r="L5946" t="e">
        <f>VLOOKUP(Table1[[#This Row],[CountryCode]],[1]!Table1[#All],1,FALSE)</f>
        <v>#REF!</v>
      </c>
    </row>
    <row r="5947" spans="1:12" hidden="1" x14ac:dyDescent="0.3">
      <c r="A5947" t="s">
        <v>65</v>
      </c>
      <c r="B5947" t="s">
        <v>66</v>
      </c>
      <c r="C5947" t="s">
        <v>127</v>
      </c>
      <c r="D5947" t="s">
        <v>128</v>
      </c>
      <c r="E5947">
        <v>1993</v>
      </c>
      <c r="F5947" s="1">
        <v>24932</v>
      </c>
      <c r="G5947">
        <v>1990</v>
      </c>
      <c r="H5947">
        <f>AVERAGEIFS(Table1[value],Table1[IndicatorCode],Table1[[#This Row],[IndicatorCode]])</f>
        <v>24902.88753799392</v>
      </c>
      <c r="I5947" cm="1">
        <f t="array" ref="I5947">_xlfn.STDEV.P(IF(Table1[IndicatorCode]=Table1[[#This Row],[IndicatorCode]],Table1[value]))</f>
        <v>26324.778297809873</v>
      </c>
      <c r="J5947">
        <f>(Table1[[#This Row],[value]] - Table1[[#This Row],[mean]]) / Table1[[#This Row],[std_dev]]</f>
        <v>1.1058958095195839E-3</v>
      </c>
      <c r="K5947">
        <f>AVERAGEIF(Table1[CountryCode],Table1[[#This Row],[CountryCode]],Table1[z-score])</f>
        <v>0.33171547334985529</v>
      </c>
      <c r="L5947" t="e">
        <f>VLOOKUP(Table1[[#This Row],[CountryCode]],[1]!Table1[#All],1,FALSE)</f>
        <v>#REF!</v>
      </c>
    </row>
    <row r="5948" spans="1:12" hidden="1" x14ac:dyDescent="0.3">
      <c r="A5948" t="s">
        <v>65</v>
      </c>
      <c r="B5948" t="s">
        <v>66</v>
      </c>
      <c r="C5948" t="s">
        <v>127</v>
      </c>
      <c r="D5948" t="s">
        <v>128</v>
      </c>
      <c r="E5948">
        <v>1994</v>
      </c>
      <c r="F5948" s="1">
        <v>26264</v>
      </c>
      <c r="G5948">
        <v>1990</v>
      </c>
      <c r="H5948">
        <f>AVERAGEIFS(Table1[value],Table1[IndicatorCode],Table1[[#This Row],[IndicatorCode]])</f>
        <v>24902.88753799392</v>
      </c>
      <c r="I5948" cm="1">
        <f t="array" ref="I5948">_xlfn.STDEV.P(IF(Table1[IndicatorCode]=Table1[[#This Row],[IndicatorCode]],Table1[value]))</f>
        <v>26324.778297809873</v>
      </c>
      <c r="J5948">
        <f>(Table1[[#This Row],[value]] - Table1[[#This Row],[mean]]) / Table1[[#This Row],[std_dev]]</f>
        <v>5.170461253682504E-2</v>
      </c>
      <c r="K5948">
        <f>AVERAGEIF(Table1[CountryCode],Table1[[#This Row],[CountryCode]],Table1[z-score])</f>
        <v>0.33171547334985529</v>
      </c>
      <c r="L5948" t="e">
        <f>VLOOKUP(Table1[[#This Row],[CountryCode]],[1]!Table1[#All],1,FALSE)</f>
        <v>#REF!</v>
      </c>
    </row>
    <row r="5949" spans="1:12" hidden="1" x14ac:dyDescent="0.3">
      <c r="A5949" t="s">
        <v>65</v>
      </c>
      <c r="B5949" t="s">
        <v>66</v>
      </c>
      <c r="C5949" t="s">
        <v>127</v>
      </c>
      <c r="D5949" t="s">
        <v>128</v>
      </c>
      <c r="E5949">
        <v>1995</v>
      </c>
      <c r="F5949" s="1">
        <v>28647</v>
      </c>
      <c r="G5949">
        <v>1990</v>
      </c>
      <c r="H5949">
        <f>AVERAGEIFS(Table1[value],Table1[IndicatorCode],Table1[[#This Row],[IndicatorCode]])</f>
        <v>24902.88753799392</v>
      </c>
      <c r="I5949" cm="1">
        <f t="array" ref="I5949">_xlfn.STDEV.P(IF(Table1[IndicatorCode]=Table1[[#This Row],[IndicatorCode]],Table1[value]))</f>
        <v>26324.778297809873</v>
      </c>
      <c r="J5949">
        <f>(Table1[[#This Row],[value]] - Table1[[#This Row],[mean]]) / Table1[[#This Row],[std_dev]]</f>
        <v>0.14222769208725214</v>
      </c>
      <c r="K5949">
        <f>AVERAGEIF(Table1[CountryCode],Table1[[#This Row],[CountryCode]],Table1[z-score])</f>
        <v>0.33171547334985529</v>
      </c>
      <c r="L5949" t="e">
        <f>VLOOKUP(Table1[[#This Row],[CountryCode]],[1]!Table1[#All],1,FALSE)</f>
        <v>#REF!</v>
      </c>
    </row>
    <row r="5950" spans="1:12" hidden="1" x14ac:dyDescent="0.3">
      <c r="A5950" t="s">
        <v>65</v>
      </c>
      <c r="B5950" t="s">
        <v>66</v>
      </c>
      <c r="C5950" t="s">
        <v>127</v>
      </c>
      <c r="D5950" t="s">
        <v>128</v>
      </c>
      <c r="E5950">
        <v>1996</v>
      </c>
      <c r="F5950" s="1">
        <v>30518</v>
      </c>
      <c r="G5950">
        <v>1990</v>
      </c>
      <c r="H5950">
        <f>AVERAGEIFS(Table1[value],Table1[IndicatorCode],Table1[[#This Row],[IndicatorCode]])</f>
        <v>24902.88753799392</v>
      </c>
      <c r="I5950" cm="1">
        <f t="array" ref="I5950">_xlfn.STDEV.P(IF(Table1[IndicatorCode]=Table1[[#This Row],[IndicatorCode]],Table1[value]))</f>
        <v>26324.778297809873</v>
      </c>
      <c r="J5950">
        <f>(Table1[[#This Row],[value]] - Table1[[#This Row],[mean]]) / Table1[[#This Row],[std_dev]]</f>
        <v>0.21330141505781408</v>
      </c>
      <c r="K5950">
        <f>AVERAGEIF(Table1[CountryCode],Table1[[#This Row],[CountryCode]],Table1[z-score])</f>
        <v>0.33171547334985529</v>
      </c>
      <c r="L5950" t="e">
        <f>VLOOKUP(Table1[[#This Row],[CountryCode]],[1]!Table1[#All],1,FALSE)</f>
        <v>#REF!</v>
      </c>
    </row>
    <row r="5951" spans="1:12" hidden="1" x14ac:dyDescent="0.3">
      <c r="A5951" t="s">
        <v>65</v>
      </c>
      <c r="B5951" t="s">
        <v>66</v>
      </c>
      <c r="C5951" t="s">
        <v>127</v>
      </c>
      <c r="D5951" t="s">
        <v>128</v>
      </c>
      <c r="E5951">
        <v>1997</v>
      </c>
      <c r="F5951" s="1">
        <v>33544</v>
      </c>
      <c r="G5951">
        <v>2000</v>
      </c>
      <c r="H5951">
        <f>AVERAGEIFS(Table1[value],Table1[IndicatorCode],Table1[[#This Row],[IndicatorCode]])</f>
        <v>24902.88753799392</v>
      </c>
      <c r="I5951" cm="1">
        <f t="array" ref="I5951">_xlfn.STDEV.P(IF(Table1[IndicatorCode]=Table1[[#This Row],[IndicatorCode]],Table1[value]))</f>
        <v>26324.778297809873</v>
      </c>
      <c r="J5951">
        <f>(Table1[[#This Row],[value]] - Table1[[#This Row],[mean]]) / Table1[[#This Row],[std_dev]]</f>
        <v>0.32825015140678276</v>
      </c>
      <c r="K5951">
        <f>AVERAGEIF(Table1[CountryCode],Table1[[#This Row],[CountryCode]],Table1[z-score])</f>
        <v>0.33171547334985529</v>
      </c>
      <c r="L5951" t="e">
        <f>VLOOKUP(Table1[[#This Row],[CountryCode]],[1]!Table1[#All],1,FALSE)</f>
        <v>#REF!</v>
      </c>
    </row>
    <row r="5952" spans="1:12" hidden="1" x14ac:dyDescent="0.3">
      <c r="A5952" t="s">
        <v>65</v>
      </c>
      <c r="B5952" t="s">
        <v>66</v>
      </c>
      <c r="C5952" t="s">
        <v>127</v>
      </c>
      <c r="D5952" t="s">
        <v>128</v>
      </c>
      <c r="E5952">
        <v>1998</v>
      </c>
      <c r="F5952" s="1">
        <v>36106</v>
      </c>
      <c r="G5952">
        <v>2000</v>
      </c>
      <c r="H5952">
        <f>AVERAGEIFS(Table1[value],Table1[IndicatorCode],Table1[[#This Row],[IndicatorCode]])</f>
        <v>24902.88753799392</v>
      </c>
      <c r="I5952" cm="1">
        <f t="array" ref="I5952">_xlfn.STDEV.P(IF(Table1[IndicatorCode]=Table1[[#This Row],[IndicatorCode]],Table1[value]))</f>
        <v>26324.778297809873</v>
      </c>
      <c r="J5952">
        <f>(Table1[[#This Row],[value]] - Table1[[#This Row],[mean]]) / Table1[[#This Row],[std_dev]]</f>
        <v>0.42557290835524869</v>
      </c>
      <c r="K5952">
        <f>AVERAGEIF(Table1[CountryCode],Table1[[#This Row],[CountryCode]],Table1[z-score])</f>
        <v>0.33171547334985529</v>
      </c>
      <c r="L5952" t="e">
        <f>VLOOKUP(Table1[[#This Row],[CountryCode]],[1]!Table1[#All],1,FALSE)</f>
        <v>#REF!</v>
      </c>
    </row>
    <row r="5953" spans="1:12" hidden="1" x14ac:dyDescent="0.3">
      <c r="A5953" t="s">
        <v>65</v>
      </c>
      <c r="B5953" t="s">
        <v>66</v>
      </c>
      <c r="C5953" t="s">
        <v>127</v>
      </c>
      <c r="D5953" t="s">
        <v>128</v>
      </c>
      <c r="E5953">
        <v>1999</v>
      </c>
      <c r="F5953" s="1">
        <v>39460</v>
      </c>
      <c r="G5953">
        <v>2000</v>
      </c>
      <c r="H5953">
        <f>AVERAGEIFS(Table1[value],Table1[IndicatorCode],Table1[[#This Row],[IndicatorCode]])</f>
        <v>24902.88753799392</v>
      </c>
      <c r="I5953" cm="1">
        <f t="array" ref="I5953">_xlfn.STDEV.P(IF(Table1[IndicatorCode]=Table1[[#This Row],[IndicatorCode]],Table1[value]))</f>
        <v>26324.778297809873</v>
      </c>
      <c r="J5953">
        <f>(Table1[[#This Row],[value]] - Table1[[#This Row],[mean]]) / Table1[[#This Row],[std_dev]]</f>
        <v>0.55298138876319347</v>
      </c>
      <c r="K5953">
        <f>AVERAGEIF(Table1[CountryCode],Table1[[#This Row],[CountryCode]],Table1[z-score])</f>
        <v>0.33171547334985529</v>
      </c>
      <c r="L5953" t="e">
        <f>VLOOKUP(Table1[[#This Row],[CountryCode]],[1]!Table1[#All],1,FALSE)</f>
        <v>#REF!</v>
      </c>
    </row>
    <row r="5954" spans="1:12" hidden="1" x14ac:dyDescent="0.3">
      <c r="A5954" t="s">
        <v>65</v>
      </c>
      <c r="B5954" t="s">
        <v>66</v>
      </c>
      <c r="C5954" t="s">
        <v>127</v>
      </c>
      <c r="D5954" t="s">
        <v>128</v>
      </c>
      <c r="E5954">
        <v>2000</v>
      </c>
      <c r="F5954" s="1">
        <v>42599</v>
      </c>
      <c r="G5954">
        <v>2000</v>
      </c>
      <c r="H5954">
        <f>AVERAGEIFS(Table1[value],Table1[IndicatorCode],Table1[[#This Row],[IndicatorCode]])</f>
        <v>24902.88753799392</v>
      </c>
      <c r="I5954" cm="1">
        <f t="array" ref="I5954">_xlfn.STDEV.P(IF(Table1[IndicatorCode]=Table1[[#This Row],[IndicatorCode]],Table1[value]))</f>
        <v>26324.778297809873</v>
      </c>
      <c r="J5954">
        <f>(Table1[[#This Row],[value]] - Table1[[#This Row],[mean]]) / Table1[[#This Row],[std_dev]]</f>
        <v>0.67222265888857768</v>
      </c>
      <c r="K5954">
        <f>AVERAGEIF(Table1[CountryCode],Table1[[#This Row],[CountryCode]],Table1[z-score])</f>
        <v>0.33171547334985529</v>
      </c>
      <c r="L5954" t="e">
        <f>VLOOKUP(Table1[[#This Row],[CountryCode]],[1]!Table1[#All],1,FALSE)</f>
        <v>#REF!</v>
      </c>
    </row>
    <row r="5955" spans="1:12" hidden="1" x14ac:dyDescent="0.3">
      <c r="A5955" t="s">
        <v>65</v>
      </c>
      <c r="B5955" t="s">
        <v>66</v>
      </c>
      <c r="C5955" t="s">
        <v>127</v>
      </c>
      <c r="D5955" t="s">
        <v>128</v>
      </c>
      <c r="E5955">
        <v>2001</v>
      </c>
      <c r="F5955" s="1">
        <v>44151</v>
      </c>
      <c r="G5955">
        <v>2000</v>
      </c>
      <c r="H5955">
        <f>AVERAGEIFS(Table1[value],Table1[IndicatorCode],Table1[[#This Row],[IndicatorCode]])</f>
        <v>24902.88753799392</v>
      </c>
      <c r="I5955" cm="1">
        <f t="array" ref="I5955">_xlfn.STDEV.P(IF(Table1[IndicatorCode]=Table1[[#This Row],[IndicatorCode]],Table1[value]))</f>
        <v>26324.778297809873</v>
      </c>
      <c r="J5955">
        <f>(Table1[[#This Row],[value]] - Table1[[#This Row],[mean]]) / Table1[[#This Row],[std_dev]]</f>
        <v>0.73117852102129399</v>
      </c>
      <c r="K5955">
        <f>AVERAGEIF(Table1[CountryCode],Table1[[#This Row],[CountryCode]],Table1[z-score])</f>
        <v>0.33171547334985529</v>
      </c>
      <c r="L5955" t="e">
        <f>VLOOKUP(Table1[[#This Row],[CountryCode]],[1]!Table1[#All],1,FALSE)</f>
        <v>#REF!</v>
      </c>
    </row>
    <row r="5956" spans="1:12" hidden="1" x14ac:dyDescent="0.3">
      <c r="A5956" t="s">
        <v>65</v>
      </c>
      <c r="B5956" t="s">
        <v>66</v>
      </c>
      <c r="C5956" t="s">
        <v>127</v>
      </c>
      <c r="D5956" t="s">
        <v>128</v>
      </c>
      <c r="E5956">
        <v>2002</v>
      </c>
      <c r="F5956" s="1">
        <v>45974</v>
      </c>
      <c r="G5956">
        <v>2000</v>
      </c>
      <c r="H5956">
        <f>AVERAGEIFS(Table1[value],Table1[IndicatorCode],Table1[[#This Row],[IndicatorCode]])</f>
        <v>24902.88753799392</v>
      </c>
      <c r="I5956" cm="1">
        <f t="array" ref="I5956">_xlfn.STDEV.P(IF(Table1[IndicatorCode]=Table1[[#This Row],[IndicatorCode]],Table1[value]))</f>
        <v>26324.778297809873</v>
      </c>
      <c r="J5956">
        <f>(Table1[[#This Row],[value]] - Table1[[#This Row],[mean]]) / Table1[[#This Row],[std_dev]]</f>
        <v>0.80042886681249359</v>
      </c>
      <c r="K5956">
        <f>AVERAGEIF(Table1[CountryCode],Table1[[#This Row],[CountryCode]],Table1[z-score])</f>
        <v>0.33171547334985529</v>
      </c>
      <c r="L5956" t="e">
        <f>VLOOKUP(Table1[[#This Row],[CountryCode]],[1]!Table1[#All],1,FALSE)</f>
        <v>#REF!</v>
      </c>
    </row>
    <row r="5957" spans="1:12" hidden="1" x14ac:dyDescent="0.3">
      <c r="A5957" t="s">
        <v>65</v>
      </c>
      <c r="B5957" t="s">
        <v>66</v>
      </c>
      <c r="C5957" t="s">
        <v>127</v>
      </c>
      <c r="D5957" t="s">
        <v>128</v>
      </c>
      <c r="E5957">
        <v>2003</v>
      </c>
      <c r="F5957" s="1">
        <v>46595</v>
      </c>
      <c r="G5957">
        <v>2000</v>
      </c>
      <c r="H5957">
        <f>AVERAGEIFS(Table1[value],Table1[IndicatorCode],Table1[[#This Row],[IndicatorCode]])</f>
        <v>24902.88753799392</v>
      </c>
      <c r="I5957" cm="1">
        <f t="array" ref="I5957">_xlfn.STDEV.P(IF(Table1[IndicatorCode]=Table1[[#This Row],[IndicatorCode]],Table1[value]))</f>
        <v>26324.778297809873</v>
      </c>
      <c r="J5957">
        <f>(Table1[[#This Row],[value]] - Table1[[#This Row],[mean]]) / Table1[[#This Row],[std_dev]]</f>
        <v>0.82401880907049407</v>
      </c>
      <c r="K5957">
        <f>AVERAGEIF(Table1[CountryCode],Table1[[#This Row],[CountryCode]],Table1[z-score])</f>
        <v>0.33171547334985529</v>
      </c>
      <c r="L5957" t="e">
        <f>VLOOKUP(Table1[[#This Row],[CountryCode]],[1]!Table1[#All],1,FALSE)</f>
        <v>#REF!</v>
      </c>
    </row>
    <row r="5958" spans="1:12" hidden="1" x14ac:dyDescent="0.3">
      <c r="A5958" t="s">
        <v>65</v>
      </c>
      <c r="B5958" t="s">
        <v>66</v>
      </c>
      <c r="C5958" t="s">
        <v>127</v>
      </c>
      <c r="D5958" t="s">
        <v>128</v>
      </c>
      <c r="E5958">
        <v>2004</v>
      </c>
      <c r="F5958" s="1">
        <v>48856</v>
      </c>
      <c r="G5958">
        <v>2000</v>
      </c>
      <c r="H5958">
        <f>AVERAGEIFS(Table1[value],Table1[IndicatorCode],Table1[[#This Row],[IndicatorCode]])</f>
        <v>24902.88753799392</v>
      </c>
      <c r="I5958" cm="1">
        <f t="array" ref="I5958">_xlfn.STDEV.P(IF(Table1[IndicatorCode]=Table1[[#This Row],[IndicatorCode]],Table1[value]))</f>
        <v>26324.778297809873</v>
      </c>
      <c r="J5958">
        <f>(Table1[[#This Row],[value]] - Table1[[#This Row],[mean]]) / Table1[[#This Row],[std_dev]]</f>
        <v>0.90990747162337515</v>
      </c>
      <c r="K5958">
        <f>AVERAGEIF(Table1[CountryCode],Table1[[#This Row],[CountryCode]],Table1[z-score])</f>
        <v>0.33171547334985529</v>
      </c>
      <c r="L5958" t="e">
        <f>VLOOKUP(Table1[[#This Row],[CountryCode]],[1]!Table1[#All],1,FALSE)</f>
        <v>#REF!</v>
      </c>
    </row>
    <row r="5959" spans="1:12" hidden="1" x14ac:dyDescent="0.3">
      <c r="A5959" t="s">
        <v>65</v>
      </c>
      <c r="B5959" t="s">
        <v>66</v>
      </c>
      <c r="C5959" t="s">
        <v>127</v>
      </c>
      <c r="D5959" t="s">
        <v>128</v>
      </c>
      <c r="E5959">
        <v>2005</v>
      </c>
      <c r="F5959" s="1">
        <v>50547</v>
      </c>
      <c r="G5959">
        <v>2000</v>
      </c>
      <c r="H5959">
        <f>AVERAGEIFS(Table1[value],Table1[IndicatorCode],Table1[[#This Row],[IndicatorCode]])</f>
        <v>24902.88753799392</v>
      </c>
      <c r="I5959" cm="1">
        <f t="array" ref="I5959">_xlfn.STDEV.P(IF(Table1[IndicatorCode]=Table1[[#This Row],[IndicatorCode]],Table1[value]))</f>
        <v>26324.778297809873</v>
      </c>
      <c r="J5959">
        <f>(Table1[[#This Row],[value]] - Table1[[#This Row],[mean]]) / Table1[[#This Row],[std_dev]]</f>
        <v>0.97414353017132826</v>
      </c>
      <c r="K5959">
        <f>AVERAGEIF(Table1[CountryCode],Table1[[#This Row],[CountryCode]],Table1[z-score])</f>
        <v>0.33171547334985529</v>
      </c>
      <c r="L5959" t="e">
        <f>VLOOKUP(Table1[[#This Row],[CountryCode]],[1]!Table1[#All],1,FALSE)</f>
        <v>#REF!</v>
      </c>
    </row>
    <row r="5960" spans="1:12" hidden="1" x14ac:dyDescent="0.3">
      <c r="A5960" t="s">
        <v>65</v>
      </c>
      <c r="B5960" t="s">
        <v>66</v>
      </c>
      <c r="C5960" t="s">
        <v>127</v>
      </c>
      <c r="D5960" t="s">
        <v>128</v>
      </c>
      <c r="E5960">
        <v>2006</v>
      </c>
      <c r="F5960" s="1">
        <v>51657</v>
      </c>
      <c r="G5960">
        <v>2000</v>
      </c>
      <c r="H5960">
        <f>AVERAGEIFS(Table1[value],Table1[IndicatorCode],Table1[[#This Row],[IndicatorCode]])</f>
        <v>24902.88753799392</v>
      </c>
      <c r="I5960" cm="1">
        <f t="array" ref="I5960">_xlfn.STDEV.P(IF(Table1[IndicatorCode]=Table1[[#This Row],[IndicatorCode]],Table1[value]))</f>
        <v>26324.778297809873</v>
      </c>
      <c r="J5960">
        <f>(Table1[[#This Row],[value]] - Table1[[#This Row],[mean]]) / Table1[[#This Row],[std_dev]]</f>
        <v>1.0163091274440827</v>
      </c>
      <c r="K5960">
        <f>AVERAGEIF(Table1[CountryCode],Table1[[#This Row],[CountryCode]],Table1[z-score])</f>
        <v>0.33171547334985529</v>
      </c>
      <c r="L5960" t="e">
        <f>VLOOKUP(Table1[[#This Row],[CountryCode]],[1]!Table1[#All],1,FALSE)</f>
        <v>#REF!</v>
      </c>
    </row>
    <row r="5961" spans="1:12" hidden="1" x14ac:dyDescent="0.3">
      <c r="A5961" t="s">
        <v>65</v>
      </c>
      <c r="B5961" t="s">
        <v>66</v>
      </c>
      <c r="C5961" t="s">
        <v>127</v>
      </c>
      <c r="D5961" t="s">
        <v>128</v>
      </c>
      <c r="E5961">
        <v>2007</v>
      </c>
      <c r="F5961" s="1">
        <v>52850</v>
      </c>
      <c r="G5961">
        <v>2010</v>
      </c>
      <c r="H5961">
        <f>AVERAGEIFS(Table1[value],Table1[IndicatorCode],Table1[[#This Row],[IndicatorCode]])</f>
        <v>24902.88753799392</v>
      </c>
      <c r="I5961" cm="1">
        <f t="array" ref="I5961">_xlfn.STDEV.P(IF(Table1[IndicatorCode]=Table1[[#This Row],[IndicatorCode]],Table1[value]))</f>
        <v>26324.778297809873</v>
      </c>
      <c r="J5961">
        <f>(Table1[[#This Row],[value]] - Table1[[#This Row],[mean]]) / Table1[[#This Row],[std_dev]]</f>
        <v>1.0616276477561515</v>
      </c>
      <c r="K5961">
        <f>AVERAGEIF(Table1[CountryCode],Table1[[#This Row],[CountryCode]],Table1[z-score])</f>
        <v>0.33171547334985529</v>
      </c>
      <c r="L5961" t="e">
        <f>VLOOKUP(Table1[[#This Row],[CountryCode]],[1]!Table1[#All],1,FALSE)</f>
        <v>#REF!</v>
      </c>
    </row>
    <row r="5962" spans="1:12" hidden="1" x14ac:dyDescent="0.3">
      <c r="A5962" t="s">
        <v>65</v>
      </c>
      <c r="B5962" t="s">
        <v>66</v>
      </c>
      <c r="C5962" t="s">
        <v>127</v>
      </c>
      <c r="D5962" t="s">
        <v>128</v>
      </c>
      <c r="E5962">
        <v>2008</v>
      </c>
      <c r="F5962" s="1">
        <v>49461</v>
      </c>
      <c r="G5962">
        <v>2010</v>
      </c>
      <c r="H5962">
        <f>AVERAGEIFS(Table1[value],Table1[IndicatorCode],Table1[[#This Row],[IndicatorCode]])</f>
        <v>24902.88753799392</v>
      </c>
      <c r="I5962" cm="1">
        <f t="array" ref="I5962">_xlfn.STDEV.P(IF(Table1[IndicatorCode]=Table1[[#This Row],[IndicatorCode]],Table1[value]))</f>
        <v>26324.778297809873</v>
      </c>
      <c r="J5962">
        <f>(Table1[[#This Row],[value]] - Table1[[#This Row],[mean]]) / Table1[[#This Row],[std_dev]]</f>
        <v>0.93288962148825494</v>
      </c>
      <c r="K5962">
        <f>AVERAGEIF(Table1[CountryCode],Table1[[#This Row],[CountryCode]],Table1[z-score])</f>
        <v>0.33171547334985529</v>
      </c>
      <c r="L5962" t="e">
        <f>VLOOKUP(Table1[[#This Row],[CountryCode]],[1]!Table1[#All],1,FALSE)</f>
        <v>#REF!</v>
      </c>
    </row>
    <row r="5963" spans="1:12" hidden="1" x14ac:dyDescent="0.3">
      <c r="A5963" t="s">
        <v>65</v>
      </c>
      <c r="B5963" t="s">
        <v>66</v>
      </c>
      <c r="C5963" t="s">
        <v>127</v>
      </c>
      <c r="D5963" t="s">
        <v>128</v>
      </c>
      <c r="E5963">
        <v>2009</v>
      </c>
      <c r="F5963" s="1">
        <v>46466</v>
      </c>
      <c r="G5963">
        <v>2010</v>
      </c>
      <c r="H5963">
        <f>AVERAGEIFS(Table1[value],Table1[IndicatorCode],Table1[[#This Row],[IndicatorCode]])</f>
        <v>24902.88753799392</v>
      </c>
      <c r="I5963" cm="1">
        <f t="array" ref="I5963">_xlfn.STDEV.P(IF(Table1[IndicatorCode]=Table1[[#This Row],[IndicatorCode]],Table1[value]))</f>
        <v>26324.778297809873</v>
      </c>
      <c r="J5963">
        <f>(Table1[[#This Row],[value]] - Table1[[#This Row],[mean]]) / Table1[[#This Row],[std_dev]]</f>
        <v>0.81911848290095779</v>
      </c>
      <c r="K5963">
        <f>AVERAGEIF(Table1[CountryCode],Table1[[#This Row],[CountryCode]],Table1[z-score])</f>
        <v>0.33171547334985529</v>
      </c>
      <c r="L5963" t="e">
        <f>VLOOKUP(Table1[[#This Row],[CountryCode]],[1]!Table1[#All],1,FALSE)</f>
        <v>#REF!</v>
      </c>
    </row>
    <row r="5964" spans="1:12" hidden="1" x14ac:dyDescent="0.3">
      <c r="A5964" t="s">
        <v>65</v>
      </c>
      <c r="B5964" t="s">
        <v>66</v>
      </c>
      <c r="C5964" t="s">
        <v>127</v>
      </c>
      <c r="D5964" t="s">
        <v>128</v>
      </c>
      <c r="E5964">
        <v>2010</v>
      </c>
      <c r="F5964" s="1">
        <v>46992</v>
      </c>
      <c r="G5964">
        <v>2010</v>
      </c>
      <c r="H5964">
        <f>AVERAGEIFS(Table1[value],Table1[IndicatorCode],Table1[[#This Row],[IndicatorCode]])</f>
        <v>24902.88753799392</v>
      </c>
      <c r="I5964" cm="1">
        <f t="array" ref="I5964">_xlfn.STDEV.P(IF(Table1[IndicatorCode]=Table1[[#This Row],[IndicatorCode]],Table1[value]))</f>
        <v>26324.778297809873</v>
      </c>
      <c r="J5964">
        <f>(Table1[[#This Row],[value]] - Table1[[#This Row],[mean]]) / Table1[[#This Row],[std_dev]]</f>
        <v>0.83909965782480356</v>
      </c>
      <c r="K5964">
        <f>AVERAGEIF(Table1[CountryCode],Table1[[#This Row],[CountryCode]],Table1[z-score])</f>
        <v>0.33171547334985529</v>
      </c>
      <c r="L5964" t="e">
        <f>VLOOKUP(Table1[[#This Row],[CountryCode]],[1]!Table1[#All],1,FALSE)</f>
        <v>#REF!</v>
      </c>
    </row>
    <row r="5965" spans="1:12" hidden="1" x14ac:dyDescent="0.3">
      <c r="A5965" t="s">
        <v>65</v>
      </c>
      <c r="B5965" t="s">
        <v>66</v>
      </c>
      <c r="C5965" t="s">
        <v>127</v>
      </c>
      <c r="D5965" t="s">
        <v>128</v>
      </c>
      <c r="E5965">
        <v>2011</v>
      </c>
      <c r="F5965" s="1">
        <v>47540</v>
      </c>
      <c r="G5965">
        <v>2010</v>
      </c>
      <c r="H5965">
        <f>AVERAGEIFS(Table1[value],Table1[IndicatorCode],Table1[[#This Row],[IndicatorCode]])</f>
        <v>24902.88753799392</v>
      </c>
      <c r="I5965" cm="1">
        <f t="array" ref="I5965">_xlfn.STDEV.P(IF(Table1[IndicatorCode]=Table1[[#This Row],[IndicatorCode]],Table1[value]))</f>
        <v>26324.778297809873</v>
      </c>
      <c r="J5965">
        <f>(Table1[[#This Row],[value]] - Table1[[#This Row],[mean]]) / Table1[[#This Row],[std_dev]]</f>
        <v>0.85991654728919054</v>
      </c>
      <c r="K5965">
        <f>AVERAGEIF(Table1[CountryCode],Table1[[#This Row],[CountryCode]],Table1[z-score])</f>
        <v>0.33171547334985529</v>
      </c>
      <c r="L5965" t="e">
        <f>VLOOKUP(Table1[[#This Row],[CountryCode]],[1]!Table1[#All],1,FALSE)</f>
        <v>#REF!</v>
      </c>
    </row>
    <row r="5966" spans="1:12" hidden="1" x14ac:dyDescent="0.3">
      <c r="A5966" t="s">
        <v>65</v>
      </c>
      <c r="B5966" t="s">
        <v>66</v>
      </c>
      <c r="C5966" t="s">
        <v>127</v>
      </c>
      <c r="D5966" t="s">
        <v>128</v>
      </c>
      <c r="E5966">
        <v>2012</v>
      </c>
      <c r="F5966" s="1">
        <v>47147</v>
      </c>
      <c r="G5966">
        <v>2010</v>
      </c>
      <c r="H5966">
        <f>AVERAGEIFS(Table1[value],Table1[IndicatorCode],Table1[[#This Row],[IndicatorCode]])</f>
        <v>24902.88753799392</v>
      </c>
      <c r="I5966" cm="1">
        <f t="array" ref="I5966">_xlfn.STDEV.P(IF(Table1[IndicatorCode]=Table1[[#This Row],[IndicatorCode]],Table1[value]))</f>
        <v>26324.778297809873</v>
      </c>
      <c r="J5966">
        <f>(Table1[[#This Row],[value]] - Table1[[#This Row],[mean]]) / Table1[[#This Row],[std_dev]]</f>
        <v>0.84498764663316117</v>
      </c>
      <c r="K5966">
        <f>AVERAGEIF(Table1[CountryCode],Table1[[#This Row],[CountryCode]],Table1[z-score])</f>
        <v>0.33171547334985529</v>
      </c>
      <c r="L5966" t="e">
        <f>VLOOKUP(Table1[[#This Row],[CountryCode]],[1]!Table1[#All],1,FALSE)</f>
        <v>#REF!</v>
      </c>
    </row>
    <row r="5967" spans="1:12" hidden="1" x14ac:dyDescent="0.3">
      <c r="A5967" t="s">
        <v>65</v>
      </c>
      <c r="B5967" t="s">
        <v>66</v>
      </c>
      <c r="C5967" t="s">
        <v>127</v>
      </c>
      <c r="D5967" t="s">
        <v>128</v>
      </c>
      <c r="E5967">
        <v>2013</v>
      </c>
      <c r="F5967" s="1">
        <v>47928</v>
      </c>
      <c r="G5967">
        <v>2010</v>
      </c>
      <c r="H5967">
        <f>AVERAGEIFS(Table1[value],Table1[IndicatorCode],Table1[[#This Row],[IndicatorCode]])</f>
        <v>24902.88753799392</v>
      </c>
      <c r="I5967" cm="1">
        <f t="array" ref="I5967">_xlfn.STDEV.P(IF(Table1[IndicatorCode]=Table1[[#This Row],[IndicatorCode]],Table1[value]))</f>
        <v>26324.778297809873</v>
      </c>
      <c r="J5967">
        <f>(Table1[[#This Row],[value]] - Table1[[#This Row],[mean]]) / Table1[[#This Row],[std_dev]]</f>
        <v>0.87465551282236964</v>
      </c>
      <c r="K5967">
        <f>AVERAGEIF(Table1[CountryCode],Table1[[#This Row],[CountryCode]],Table1[z-score])</f>
        <v>0.33171547334985529</v>
      </c>
      <c r="L5967" t="e">
        <f>VLOOKUP(Table1[[#This Row],[CountryCode]],[1]!Table1[#All],1,FALSE)</f>
        <v>#REF!</v>
      </c>
    </row>
    <row r="5968" spans="1:12" hidden="1" x14ac:dyDescent="0.3">
      <c r="A5968" t="s">
        <v>65</v>
      </c>
      <c r="B5968" t="s">
        <v>66</v>
      </c>
      <c r="C5968" t="s">
        <v>127</v>
      </c>
      <c r="D5968" t="s">
        <v>128</v>
      </c>
      <c r="E5968">
        <v>2014</v>
      </c>
      <c r="F5968" s="1">
        <v>52045</v>
      </c>
      <c r="G5968">
        <v>2010</v>
      </c>
      <c r="H5968">
        <f>AVERAGEIFS(Table1[value],Table1[IndicatorCode],Table1[[#This Row],[IndicatorCode]])</f>
        <v>24902.88753799392</v>
      </c>
      <c r="I5968" cm="1">
        <f t="array" ref="I5968">_xlfn.STDEV.P(IF(Table1[IndicatorCode]=Table1[[#This Row],[IndicatorCode]],Table1[value]))</f>
        <v>26324.778297809873</v>
      </c>
      <c r="J5968">
        <f>(Table1[[#This Row],[value]] - Table1[[#This Row],[mean]]) / Table1[[#This Row],[std_dev]]</f>
        <v>1.0310480929772619</v>
      </c>
      <c r="K5968">
        <f>AVERAGEIF(Table1[CountryCode],Table1[[#This Row],[CountryCode]],Table1[z-score])</f>
        <v>0.33171547334985529</v>
      </c>
      <c r="L5968" t="e">
        <f>VLOOKUP(Table1[[#This Row],[CountryCode]],[1]!Table1[#All],1,FALSE)</f>
        <v>#REF!</v>
      </c>
    </row>
    <row r="5969" spans="1:12" hidden="1" x14ac:dyDescent="0.3">
      <c r="A5969" t="s">
        <v>65</v>
      </c>
      <c r="B5969" t="s">
        <v>66</v>
      </c>
      <c r="C5969" t="s">
        <v>127</v>
      </c>
      <c r="D5969" t="s">
        <v>128</v>
      </c>
      <c r="E5969">
        <v>2015</v>
      </c>
      <c r="F5969" s="1">
        <v>64250</v>
      </c>
      <c r="G5969">
        <v>2010</v>
      </c>
      <c r="H5969">
        <f>AVERAGEIFS(Table1[value],Table1[IndicatorCode],Table1[[#This Row],[IndicatorCode]])</f>
        <v>24902.88753799392</v>
      </c>
      <c r="I5969" cm="1">
        <f t="array" ref="I5969">_xlfn.STDEV.P(IF(Table1[IndicatorCode]=Table1[[#This Row],[IndicatorCode]],Table1[value]))</f>
        <v>26324.778297809873</v>
      </c>
      <c r="J5969">
        <f>(Table1[[#This Row],[value]] - Table1[[#This Row],[mean]]) / Table1[[#This Row],[std_dev]]</f>
        <v>1.4946797278547117</v>
      </c>
      <c r="K5969">
        <f>AVERAGEIF(Table1[CountryCode],Table1[[#This Row],[CountryCode]],Table1[z-score])</f>
        <v>0.33171547334985529</v>
      </c>
      <c r="L5969" t="e">
        <f>VLOOKUP(Table1[[#This Row],[CountryCode]],[1]!Table1[#All],1,FALSE)</f>
        <v>#REF!</v>
      </c>
    </row>
    <row r="5970" spans="1:12" hidden="1" x14ac:dyDescent="0.3">
      <c r="A5970" t="s">
        <v>65</v>
      </c>
      <c r="B5970" t="s">
        <v>66</v>
      </c>
      <c r="C5970" t="s">
        <v>127</v>
      </c>
      <c r="D5970" t="s">
        <v>128</v>
      </c>
      <c r="E5970">
        <v>2016</v>
      </c>
      <c r="F5970" s="1">
        <v>64206</v>
      </c>
      <c r="G5970">
        <v>2010</v>
      </c>
      <c r="H5970">
        <f>AVERAGEIFS(Table1[value],Table1[IndicatorCode],Table1[[#This Row],[IndicatorCode]])</f>
        <v>24902.88753799392</v>
      </c>
      <c r="I5970" cm="1">
        <f t="array" ref="I5970">_xlfn.STDEV.P(IF(Table1[IndicatorCode]=Table1[[#This Row],[IndicatorCode]],Table1[value]))</f>
        <v>26324.778297809873</v>
      </c>
      <c r="J5970">
        <f>(Table1[[#This Row],[value]] - Table1[[#This Row],[mean]]) / Table1[[#This Row],[std_dev]]</f>
        <v>1.4930082987736295</v>
      </c>
      <c r="K5970">
        <f>AVERAGEIF(Table1[CountryCode],Table1[[#This Row],[CountryCode]],Table1[z-score])</f>
        <v>0.33171547334985529</v>
      </c>
      <c r="L5970" t="e">
        <f>VLOOKUP(Table1[[#This Row],[CountryCode]],[1]!Table1[#All],1,FALSE)</f>
        <v>#REF!</v>
      </c>
    </row>
    <row r="5971" spans="1:12" hidden="1" x14ac:dyDescent="0.3">
      <c r="A5971" t="s">
        <v>65</v>
      </c>
      <c r="B5971" t="s">
        <v>66</v>
      </c>
      <c r="C5971" t="s">
        <v>127</v>
      </c>
      <c r="D5971" t="s">
        <v>128</v>
      </c>
      <c r="E5971">
        <v>2017</v>
      </c>
      <c r="F5971" s="1">
        <v>69749</v>
      </c>
      <c r="G5971">
        <v>2020</v>
      </c>
      <c r="H5971">
        <f>AVERAGEIFS(Table1[value],Table1[IndicatorCode],Table1[[#This Row],[IndicatorCode]])</f>
        <v>24902.88753799392</v>
      </c>
      <c r="I5971" cm="1">
        <f t="array" ref="I5971">_xlfn.STDEV.P(IF(Table1[IndicatorCode]=Table1[[#This Row],[IndicatorCode]],Table1[value]))</f>
        <v>26324.778297809873</v>
      </c>
      <c r="J5971">
        <f>(Table1[[#This Row],[value]] - Table1[[#This Row],[mean]]) / Table1[[#This Row],[std_dev]]</f>
        <v>1.7035703759654119</v>
      </c>
      <c r="K5971">
        <f>AVERAGEIF(Table1[CountryCode],Table1[[#This Row],[CountryCode]],Table1[z-score])</f>
        <v>0.33171547334985529</v>
      </c>
      <c r="L5971" t="e">
        <f>VLOOKUP(Table1[[#This Row],[CountryCode]],[1]!Table1[#All],1,FALSE)</f>
        <v>#REF!</v>
      </c>
    </row>
    <row r="5972" spans="1:12" hidden="1" x14ac:dyDescent="0.3">
      <c r="A5972" t="s">
        <v>65</v>
      </c>
      <c r="B5972" t="s">
        <v>66</v>
      </c>
      <c r="C5972" t="s">
        <v>127</v>
      </c>
      <c r="D5972" t="s">
        <v>128</v>
      </c>
      <c r="E5972">
        <v>2018</v>
      </c>
      <c r="F5972" s="1">
        <v>74029</v>
      </c>
      <c r="G5972">
        <v>2020</v>
      </c>
      <c r="H5972">
        <f>AVERAGEIFS(Table1[value],Table1[IndicatorCode],Table1[[#This Row],[IndicatorCode]])</f>
        <v>24902.88753799392</v>
      </c>
      <c r="I5972" cm="1">
        <f t="array" ref="I5972">_xlfn.STDEV.P(IF(Table1[IndicatorCode]=Table1[[#This Row],[IndicatorCode]],Table1[value]))</f>
        <v>26324.778297809873</v>
      </c>
      <c r="J5972">
        <f>(Table1[[#This Row],[value]] - Table1[[#This Row],[mean]]) / Table1[[#This Row],[std_dev]]</f>
        <v>1.8661548411252222</v>
      </c>
      <c r="K5972">
        <f>AVERAGEIF(Table1[CountryCode],Table1[[#This Row],[CountryCode]],Table1[z-score])</f>
        <v>0.33171547334985529</v>
      </c>
      <c r="L5972" t="e">
        <f>VLOOKUP(Table1[[#This Row],[CountryCode]],[1]!Table1[#All],1,FALSE)</f>
        <v>#REF!</v>
      </c>
    </row>
    <row r="5973" spans="1:12" hidden="1" x14ac:dyDescent="0.3">
      <c r="A5973" t="s">
        <v>65</v>
      </c>
      <c r="B5973" t="s">
        <v>66</v>
      </c>
      <c r="C5973" t="s">
        <v>127</v>
      </c>
      <c r="D5973" t="s">
        <v>128</v>
      </c>
      <c r="E5973">
        <v>2019</v>
      </c>
      <c r="F5973" s="1">
        <v>76486</v>
      </c>
      <c r="G5973">
        <v>2020</v>
      </c>
      <c r="H5973">
        <f>AVERAGEIFS(Table1[value],Table1[IndicatorCode],Table1[[#This Row],[IndicatorCode]])</f>
        <v>24902.88753799392</v>
      </c>
      <c r="I5973" cm="1">
        <f t="array" ref="I5973">_xlfn.STDEV.P(IF(Table1[IndicatorCode]=Table1[[#This Row],[IndicatorCode]],Table1[value]))</f>
        <v>26324.778297809873</v>
      </c>
      <c r="J5973">
        <f>(Table1[[#This Row],[value]] - Table1[[#This Row],[mean]]) / Table1[[#This Row],[std_dev]]</f>
        <v>1.9594889604938328</v>
      </c>
      <c r="K5973">
        <f>AVERAGEIF(Table1[CountryCode],Table1[[#This Row],[CountryCode]],Table1[z-score])</f>
        <v>0.33171547334985529</v>
      </c>
      <c r="L5973" t="e">
        <f>VLOOKUP(Table1[[#This Row],[CountryCode]],[1]!Table1[#All],1,FALSE)</f>
        <v>#REF!</v>
      </c>
    </row>
    <row r="5974" spans="1:12" x14ac:dyDescent="0.3">
      <c r="A5974" t="s">
        <v>107</v>
      </c>
      <c r="B5974" t="s">
        <v>108</v>
      </c>
      <c r="C5974" t="s">
        <v>127</v>
      </c>
      <c r="D5974" t="s">
        <v>128</v>
      </c>
      <c r="E5974">
        <v>2020</v>
      </c>
      <c r="F5974" s="1">
        <v>17764</v>
      </c>
      <c r="G5974">
        <v>2020</v>
      </c>
      <c r="H5974">
        <f>AVERAGEIFS(Table1[value],Table1[IndicatorCode],Table1[[#This Row],[IndicatorCode]])</f>
        <v>24902.88753799392</v>
      </c>
      <c r="I5974" cm="1">
        <f t="array" ref="I5974">_xlfn.STDEV.P(IF(Table1[IndicatorCode]=Table1[[#This Row],[IndicatorCode]],Table1[value]))</f>
        <v>26324.778297809873</v>
      </c>
      <c r="J5974">
        <f>(Table1[[#This Row],[value]] - Table1[[#This Row],[mean]]) / Table1[[#This Row],[std_dev]]</f>
        <v>-0.27118509630859267</v>
      </c>
      <c r="K5974">
        <f>AVERAGEIF(Table1[CountryCode],Table1[[#This Row],[CountryCode]],Table1[z-score])</f>
        <v>1.9919220601134553E-2</v>
      </c>
    </row>
    <row r="5975" spans="1:12" hidden="1" x14ac:dyDescent="0.3">
      <c r="A5975" t="s">
        <v>65</v>
      </c>
      <c r="B5975" t="s">
        <v>66</v>
      </c>
      <c r="C5975" t="s">
        <v>127</v>
      </c>
      <c r="D5975" t="s">
        <v>128</v>
      </c>
      <c r="E5975">
        <v>2021</v>
      </c>
      <c r="F5975" s="1">
        <v>92781</v>
      </c>
      <c r="G5975">
        <v>2020</v>
      </c>
      <c r="H5975">
        <f>AVERAGEIFS(Table1[value],Table1[IndicatorCode],Table1[[#This Row],[IndicatorCode]])</f>
        <v>24902.88753799392</v>
      </c>
      <c r="I5975" cm="1">
        <f t="array" ref="I5975">_xlfn.STDEV.P(IF(Table1[IndicatorCode]=Table1[[#This Row],[IndicatorCode]],Table1[value]))</f>
        <v>26324.778297809873</v>
      </c>
      <c r="J5975">
        <f>(Table1[[#This Row],[value]] - Table1[[#This Row],[mean]]) / Table1[[#This Row],[std_dev]]</f>
        <v>2.5784875258627835</v>
      </c>
      <c r="K5975">
        <f>AVERAGEIF(Table1[CountryCode],Table1[[#This Row],[CountryCode]],Table1[z-score])</f>
        <v>0.33171547334985529</v>
      </c>
      <c r="L5975" t="e">
        <f>VLOOKUP(Table1[[#This Row],[CountryCode]],[1]!Table1[#All],1,FALSE)</f>
        <v>#REF!</v>
      </c>
    </row>
    <row r="5976" spans="1:12" hidden="1" x14ac:dyDescent="0.3">
      <c r="A5976" t="s">
        <v>65</v>
      </c>
      <c r="B5976" t="s">
        <v>66</v>
      </c>
      <c r="C5976" t="s">
        <v>127</v>
      </c>
      <c r="D5976" t="s">
        <v>128</v>
      </c>
      <c r="E5976">
        <v>2022</v>
      </c>
      <c r="F5976" s="1">
        <v>97794</v>
      </c>
      <c r="G5976">
        <v>1960</v>
      </c>
      <c r="H5976">
        <f>AVERAGEIFS(Table1[value],Table1[IndicatorCode],Table1[[#This Row],[IndicatorCode]])</f>
        <v>24902.88753799392</v>
      </c>
      <c r="I5976" cm="1">
        <f t="array" ref="I5976">_xlfn.STDEV.P(IF(Table1[IndicatorCode]=Table1[[#This Row],[IndicatorCode]],Table1[value]))</f>
        <v>26324.778297809873</v>
      </c>
      <c r="J5976">
        <f>(Table1[[#This Row],[value]] - Table1[[#This Row],[mean]]) / Table1[[#This Row],[std_dev]]</f>
        <v>2.7689164800324395</v>
      </c>
      <c r="K5976">
        <f>AVERAGEIF(Table1[CountryCode],Table1[[#This Row],[CountryCode]],Table1[z-score])</f>
        <v>0.33171547334985529</v>
      </c>
      <c r="L5976" t="e">
        <f>VLOOKUP(Table1[[#This Row],[CountryCode]],[1]!Table1[#All],1,FALSE)</f>
        <v>#REF!</v>
      </c>
    </row>
    <row r="5977" spans="1:12" hidden="1" x14ac:dyDescent="0.3">
      <c r="A5977" t="s">
        <v>65</v>
      </c>
      <c r="B5977" t="s">
        <v>66</v>
      </c>
      <c r="C5977" t="s">
        <v>127</v>
      </c>
      <c r="D5977" t="s">
        <v>128</v>
      </c>
      <c r="E5977">
        <v>2023</v>
      </c>
      <c r="F5977" s="1">
        <v>93542</v>
      </c>
      <c r="G5977">
        <v>1960</v>
      </c>
      <c r="H5977">
        <f>AVERAGEIFS(Table1[value],Table1[IndicatorCode],Table1[[#This Row],[IndicatorCode]])</f>
        <v>24902.88753799392</v>
      </c>
      <c r="I5977" cm="1">
        <f t="array" ref="I5977">_xlfn.STDEV.P(IF(Table1[IndicatorCode]=Table1[[#This Row],[IndicatorCode]],Table1[value]))</f>
        <v>26324.778297809873</v>
      </c>
      <c r="J5977">
        <f>(Table1[[#This Row],[value]] - Table1[[#This Row],[mean]]) / Table1[[#This Row],[std_dev]]</f>
        <v>2.6073956515605907</v>
      </c>
      <c r="K5977">
        <f>AVERAGEIF(Table1[CountryCode],Table1[[#This Row],[CountryCode]],Table1[z-score])</f>
        <v>0.33171547334985529</v>
      </c>
      <c r="L5977" t="e">
        <f>VLOOKUP(Table1[[#This Row],[CountryCode]],[1]!Table1[#All],1,FALSE)</f>
        <v>#REF!</v>
      </c>
    </row>
    <row r="5978" spans="1:12" hidden="1" x14ac:dyDescent="0.3">
      <c r="A5978" t="s">
        <v>65</v>
      </c>
      <c r="B5978" t="s">
        <v>66</v>
      </c>
      <c r="C5978" t="s">
        <v>127</v>
      </c>
      <c r="D5978" t="s">
        <v>128</v>
      </c>
      <c r="E5978">
        <v>2024</v>
      </c>
      <c r="F5978" s="1">
        <v>94475</v>
      </c>
      <c r="G5978">
        <v>1960</v>
      </c>
      <c r="H5978">
        <f>AVERAGEIFS(Table1[value],Table1[IndicatorCode],Table1[[#This Row],[IndicatorCode]])</f>
        <v>24902.88753799392</v>
      </c>
      <c r="I5978" cm="1">
        <f t="array" ref="I5978">_xlfn.STDEV.P(IF(Table1[IndicatorCode]=Table1[[#This Row],[IndicatorCode]],Table1[value]))</f>
        <v>26324.778297809873</v>
      </c>
      <c r="J5978">
        <f>(Table1[[#This Row],[value]] - Table1[[#This Row],[mean]]) / Table1[[#This Row],[std_dev]]</f>
        <v>2.6428375454844466</v>
      </c>
      <c r="K5978">
        <f>AVERAGEIF(Table1[CountryCode],Table1[[#This Row],[CountryCode]],Table1[z-score])</f>
        <v>0.33171547334985529</v>
      </c>
      <c r="L5978" t="e">
        <f>VLOOKUP(Table1[[#This Row],[CountryCode]],[1]!Table1[#All],1,FALSE)</f>
        <v>#REF!</v>
      </c>
    </row>
    <row r="5979" spans="1:12" hidden="1" x14ac:dyDescent="0.3">
      <c r="A5979" t="s">
        <v>67</v>
      </c>
      <c r="B5979" t="s">
        <v>68</v>
      </c>
      <c r="C5979" t="s">
        <v>127</v>
      </c>
      <c r="D5979" t="s">
        <v>128</v>
      </c>
      <c r="E5979">
        <v>1960</v>
      </c>
      <c r="F5979" s="1">
        <v>14221</v>
      </c>
      <c r="G5979">
        <v>1960</v>
      </c>
      <c r="H5979">
        <f>AVERAGEIFS(Table1[value],Table1[IndicatorCode],Table1[[#This Row],[IndicatorCode]])</f>
        <v>24902.88753799392</v>
      </c>
      <c r="I5979" cm="1">
        <f t="array" ref="I5979">_xlfn.STDEV.P(IF(Table1[IndicatorCode]=Table1[[#This Row],[IndicatorCode]],Table1[value]))</f>
        <v>26324.778297809873</v>
      </c>
      <c r="J5979">
        <f>(Table1[[#This Row],[value]] - Table1[[#This Row],[mean]]) / Table1[[#This Row],[std_dev]]</f>
        <v>-0.40577312436027674</v>
      </c>
      <c r="K5979">
        <f>AVERAGEIF(Table1[CountryCode],Table1[[#This Row],[CountryCode]],Table1[z-score])</f>
        <v>0.55967304374969629</v>
      </c>
      <c r="L5979" t="e">
        <f>VLOOKUP(Table1[[#This Row],[CountryCode]],[1]!Table1[#All],1,FALSE)</f>
        <v>#REF!</v>
      </c>
    </row>
    <row r="5980" spans="1:12" hidden="1" x14ac:dyDescent="0.3">
      <c r="A5980" t="s">
        <v>67</v>
      </c>
      <c r="B5980" t="s">
        <v>68</v>
      </c>
      <c r="C5980" t="s">
        <v>127</v>
      </c>
      <c r="D5980" t="s">
        <v>128</v>
      </c>
      <c r="E5980">
        <v>1961</v>
      </c>
      <c r="F5980" s="1">
        <v>13936</v>
      </c>
      <c r="G5980">
        <v>1960</v>
      </c>
      <c r="H5980">
        <f>AVERAGEIFS(Table1[value],Table1[IndicatorCode],Table1[[#This Row],[IndicatorCode]])</f>
        <v>24902.88753799392</v>
      </c>
      <c r="I5980" cm="1">
        <f t="array" ref="I5980">_xlfn.STDEV.P(IF(Table1[IndicatorCode]=Table1[[#This Row],[IndicatorCode]],Table1[value]))</f>
        <v>26324.778297809873</v>
      </c>
      <c r="J5980">
        <f>(Table1[[#This Row],[value]] - Table1[[#This Row],[mean]]) / Table1[[#This Row],[std_dev]]</f>
        <v>-0.41659942636274078</v>
      </c>
      <c r="K5980">
        <f>AVERAGEIF(Table1[CountryCode],Table1[[#This Row],[CountryCode]],Table1[z-score])</f>
        <v>0.55967304374969629</v>
      </c>
      <c r="L5980" t="e">
        <f>VLOOKUP(Table1[[#This Row],[CountryCode]],[1]!Table1[#All],1,FALSE)</f>
        <v>#REF!</v>
      </c>
    </row>
    <row r="5981" spans="1:12" hidden="1" x14ac:dyDescent="0.3">
      <c r="A5981" t="s">
        <v>67</v>
      </c>
      <c r="B5981" t="s">
        <v>68</v>
      </c>
      <c r="C5981" t="s">
        <v>127</v>
      </c>
      <c r="D5981" t="s">
        <v>128</v>
      </c>
      <c r="E5981">
        <v>1962</v>
      </c>
      <c r="F5981" s="1">
        <v>14818</v>
      </c>
      <c r="G5981">
        <v>1960</v>
      </c>
      <c r="H5981">
        <f>AVERAGEIFS(Table1[value],Table1[IndicatorCode],Table1[[#This Row],[IndicatorCode]])</f>
        <v>24902.88753799392</v>
      </c>
      <c r="I5981" cm="1">
        <f t="array" ref="I5981">_xlfn.STDEV.P(IF(Table1[IndicatorCode]=Table1[[#This Row],[IndicatorCode]],Table1[value]))</f>
        <v>26324.778297809873</v>
      </c>
      <c r="J5981">
        <f>(Table1[[#This Row],[value]] - Table1[[#This Row],[mean]]) / Table1[[#This Row],[std_dev]]</f>
        <v>-0.38309487069195741</v>
      </c>
      <c r="K5981">
        <f>AVERAGEIF(Table1[CountryCode],Table1[[#This Row],[CountryCode]],Table1[z-score])</f>
        <v>0.55967304374969629</v>
      </c>
      <c r="L5981" t="e">
        <f>VLOOKUP(Table1[[#This Row],[CountryCode]],[1]!Table1[#All],1,FALSE)</f>
        <v>#REF!</v>
      </c>
    </row>
    <row r="5982" spans="1:12" hidden="1" x14ac:dyDescent="0.3">
      <c r="A5982" t="s">
        <v>67</v>
      </c>
      <c r="B5982" t="s">
        <v>68</v>
      </c>
      <c r="C5982" t="s">
        <v>127</v>
      </c>
      <c r="D5982" t="s">
        <v>128</v>
      </c>
      <c r="E5982">
        <v>1963</v>
      </c>
      <c r="F5982" s="1">
        <v>16053</v>
      </c>
      <c r="G5982">
        <v>1960</v>
      </c>
      <c r="H5982">
        <f>AVERAGEIFS(Table1[value],Table1[IndicatorCode],Table1[[#This Row],[IndicatorCode]])</f>
        <v>24902.88753799392</v>
      </c>
      <c r="I5982" cm="1">
        <f t="array" ref="I5982">_xlfn.STDEV.P(IF(Table1[IndicatorCode]=Table1[[#This Row],[IndicatorCode]],Table1[value]))</f>
        <v>26324.778297809873</v>
      </c>
      <c r="J5982">
        <f>(Table1[[#This Row],[value]] - Table1[[#This Row],[mean]]) / Table1[[#This Row],[std_dev]]</f>
        <v>-0.33618089534794671</v>
      </c>
      <c r="K5982">
        <f>AVERAGEIF(Table1[CountryCode],Table1[[#This Row],[CountryCode]],Table1[z-score])</f>
        <v>0.55967304374969629</v>
      </c>
      <c r="L5982" t="e">
        <f>VLOOKUP(Table1[[#This Row],[CountryCode]],[1]!Table1[#All],1,FALSE)</f>
        <v>#REF!</v>
      </c>
    </row>
    <row r="5983" spans="1:12" hidden="1" x14ac:dyDescent="0.3">
      <c r="A5983" t="s">
        <v>67</v>
      </c>
      <c r="B5983" t="s">
        <v>68</v>
      </c>
      <c r="C5983" t="s">
        <v>127</v>
      </c>
      <c r="D5983" t="s">
        <v>128</v>
      </c>
      <c r="E5983">
        <v>1964</v>
      </c>
      <c r="F5983" s="1">
        <v>17329</v>
      </c>
      <c r="G5983">
        <v>1960</v>
      </c>
      <c r="H5983">
        <f>AVERAGEIFS(Table1[value],Table1[IndicatorCode],Table1[[#This Row],[IndicatorCode]])</f>
        <v>24902.88753799392</v>
      </c>
      <c r="I5983" cm="1">
        <f t="array" ref="I5983">_xlfn.STDEV.P(IF(Table1[IndicatorCode]=Table1[[#This Row],[IndicatorCode]],Table1[value]))</f>
        <v>26324.778297809873</v>
      </c>
      <c r="J5983">
        <f>(Table1[[#This Row],[value]] - Table1[[#This Row],[mean]]) / Table1[[#This Row],[std_dev]]</f>
        <v>-0.287709451996564</v>
      </c>
      <c r="K5983">
        <f>AVERAGEIF(Table1[CountryCode],Table1[[#This Row],[CountryCode]],Table1[z-score])</f>
        <v>0.55967304374969629</v>
      </c>
      <c r="L5983" t="e">
        <f>VLOOKUP(Table1[[#This Row],[CountryCode]],[1]!Table1[#All],1,FALSE)</f>
        <v>#REF!</v>
      </c>
    </row>
    <row r="5984" spans="1:12" hidden="1" x14ac:dyDescent="0.3">
      <c r="A5984" t="s">
        <v>67</v>
      </c>
      <c r="B5984" t="s">
        <v>68</v>
      </c>
      <c r="C5984" t="s">
        <v>127</v>
      </c>
      <c r="D5984" t="s">
        <v>128</v>
      </c>
      <c r="E5984">
        <v>1965</v>
      </c>
      <c r="F5984" s="1">
        <v>18274</v>
      </c>
      <c r="G5984">
        <v>1960</v>
      </c>
      <c r="H5984">
        <f>AVERAGEIFS(Table1[value],Table1[IndicatorCode],Table1[[#This Row],[IndicatorCode]])</f>
        <v>24902.88753799392</v>
      </c>
      <c r="I5984" cm="1">
        <f t="array" ref="I5984">_xlfn.STDEV.P(IF(Table1[IndicatorCode]=Table1[[#This Row],[IndicatorCode]],Table1[value]))</f>
        <v>26324.778297809873</v>
      </c>
      <c r="J5984">
        <f>(Table1[[#This Row],[value]] - Table1[[#This Row],[mean]]) / Table1[[#This Row],[std_dev]]</f>
        <v>-0.2518117137778676</v>
      </c>
      <c r="K5984">
        <f>AVERAGEIF(Table1[CountryCode],Table1[[#This Row],[CountryCode]],Table1[z-score])</f>
        <v>0.55967304374969629</v>
      </c>
      <c r="L5984" t="e">
        <f>VLOOKUP(Table1[[#This Row],[CountryCode]],[1]!Table1[#All],1,FALSE)</f>
        <v>#REF!</v>
      </c>
    </row>
    <row r="5985" spans="1:12" hidden="1" x14ac:dyDescent="0.3">
      <c r="A5985" t="s">
        <v>67</v>
      </c>
      <c r="B5985" t="s">
        <v>68</v>
      </c>
      <c r="C5985" t="s">
        <v>127</v>
      </c>
      <c r="D5985" t="s">
        <v>128</v>
      </c>
      <c r="E5985">
        <v>1966</v>
      </c>
      <c r="F5985" s="1">
        <v>19539</v>
      </c>
      <c r="G5985">
        <v>1960</v>
      </c>
      <c r="H5985">
        <f>AVERAGEIFS(Table1[value],Table1[IndicatorCode],Table1[[#This Row],[IndicatorCode]])</f>
        <v>24902.88753799392</v>
      </c>
      <c r="I5985" cm="1">
        <f t="array" ref="I5985">_xlfn.STDEV.P(IF(Table1[IndicatorCode]=Table1[[#This Row],[IndicatorCode]],Table1[value]))</f>
        <v>26324.778297809873</v>
      </c>
      <c r="J5985">
        <f>(Table1[[#This Row],[value]] - Table1[[#This Row],[mean]]) / Table1[[#This Row],[std_dev]]</f>
        <v>-0.20375812769675541</v>
      </c>
      <c r="K5985">
        <f>AVERAGEIF(Table1[CountryCode],Table1[[#This Row],[CountryCode]],Table1[z-score])</f>
        <v>0.55967304374969629</v>
      </c>
      <c r="L5985" t="e">
        <f>VLOOKUP(Table1[[#This Row],[CountryCode]],[1]!Table1[#All],1,FALSE)</f>
        <v>#REF!</v>
      </c>
    </row>
    <row r="5986" spans="1:12" hidden="1" x14ac:dyDescent="0.3">
      <c r="A5986" t="s">
        <v>67</v>
      </c>
      <c r="B5986" t="s">
        <v>68</v>
      </c>
      <c r="C5986" t="s">
        <v>127</v>
      </c>
      <c r="D5986" t="s">
        <v>128</v>
      </c>
      <c r="E5986">
        <v>1967</v>
      </c>
      <c r="F5986" s="1">
        <v>18984</v>
      </c>
      <c r="G5986">
        <v>1970</v>
      </c>
      <c r="H5986">
        <f>AVERAGEIFS(Table1[value],Table1[IndicatorCode],Table1[[#This Row],[IndicatorCode]])</f>
        <v>24902.88753799392</v>
      </c>
      <c r="I5986" cm="1">
        <f t="array" ref="I5986">_xlfn.STDEV.P(IF(Table1[IndicatorCode]=Table1[[#This Row],[IndicatorCode]],Table1[value]))</f>
        <v>26324.778297809873</v>
      </c>
      <c r="J5986">
        <f>(Table1[[#This Row],[value]] - Table1[[#This Row],[mean]]) / Table1[[#This Row],[std_dev]]</f>
        <v>-0.22484092633313268</v>
      </c>
      <c r="K5986">
        <f>AVERAGEIF(Table1[CountryCode],Table1[[#This Row],[CountryCode]],Table1[z-score])</f>
        <v>0.55967304374969629</v>
      </c>
      <c r="L5986" t="e">
        <f>VLOOKUP(Table1[[#This Row],[CountryCode]],[1]!Table1[#All],1,FALSE)</f>
        <v>#REF!</v>
      </c>
    </row>
    <row r="5987" spans="1:12" hidden="1" x14ac:dyDescent="0.3">
      <c r="A5987" t="s">
        <v>67</v>
      </c>
      <c r="B5987" t="s">
        <v>68</v>
      </c>
      <c r="C5987" t="s">
        <v>127</v>
      </c>
      <c r="D5987" t="s">
        <v>128</v>
      </c>
      <c r="E5987">
        <v>1968</v>
      </c>
      <c r="F5987" s="1">
        <v>17696</v>
      </c>
      <c r="G5987">
        <v>1970</v>
      </c>
      <c r="H5987">
        <f>AVERAGEIFS(Table1[value],Table1[IndicatorCode],Table1[[#This Row],[IndicatorCode]])</f>
        <v>24902.88753799392</v>
      </c>
      <c r="I5987" cm="1">
        <f t="array" ref="I5987">_xlfn.STDEV.P(IF(Table1[IndicatorCode]=Table1[[#This Row],[IndicatorCode]],Table1[value]))</f>
        <v>26324.778297809873</v>
      </c>
      <c r="J5987">
        <f>(Table1[[#This Row],[value]] - Table1[[#This Row],[mean]]) / Table1[[#This Row],[std_dev]]</f>
        <v>-0.27376821397935597</v>
      </c>
      <c r="K5987">
        <f>AVERAGEIF(Table1[CountryCode],Table1[[#This Row],[CountryCode]],Table1[z-score])</f>
        <v>0.55967304374969629</v>
      </c>
      <c r="L5987" t="e">
        <f>VLOOKUP(Table1[[#This Row],[CountryCode]],[1]!Table1[#All],1,FALSE)</f>
        <v>#REF!</v>
      </c>
    </row>
    <row r="5988" spans="1:12" hidden="1" x14ac:dyDescent="0.3">
      <c r="A5988" t="s">
        <v>67</v>
      </c>
      <c r="B5988" t="s">
        <v>68</v>
      </c>
      <c r="C5988" t="s">
        <v>127</v>
      </c>
      <c r="D5988" t="s">
        <v>128</v>
      </c>
      <c r="E5988">
        <v>1969</v>
      </c>
      <c r="F5988" s="1">
        <v>17952</v>
      </c>
      <c r="G5988">
        <v>1970</v>
      </c>
      <c r="H5988">
        <f>AVERAGEIFS(Table1[value],Table1[IndicatorCode],Table1[[#This Row],[IndicatorCode]])</f>
        <v>24902.88753799392</v>
      </c>
      <c r="I5988" cm="1">
        <f t="array" ref="I5988">_xlfn.STDEV.P(IF(Table1[IndicatorCode]=Table1[[#This Row],[IndicatorCode]],Table1[value]))</f>
        <v>26324.778297809873</v>
      </c>
      <c r="J5988">
        <f>(Table1[[#This Row],[value]] - Table1[[#This Row],[mean]]) / Table1[[#This Row],[std_dev]]</f>
        <v>-0.2640435356894234</v>
      </c>
      <c r="K5988">
        <f>AVERAGEIF(Table1[CountryCode],Table1[[#This Row],[CountryCode]],Table1[z-score])</f>
        <v>0.55967304374969629</v>
      </c>
      <c r="L5988" t="e">
        <f>VLOOKUP(Table1[[#This Row],[CountryCode]],[1]!Table1[#All],1,FALSE)</f>
        <v>#REF!</v>
      </c>
    </row>
    <row r="5989" spans="1:12" hidden="1" x14ac:dyDescent="0.3">
      <c r="A5989" t="s">
        <v>67</v>
      </c>
      <c r="B5989" t="s">
        <v>68</v>
      </c>
      <c r="C5989" t="s">
        <v>127</v>
      </c>
      <c r="D5989" t="s">
        <v>128</v>
      </c>
      <c r="E5989">
        <v>1970</v>
      </c>
      <c r="F5989" s="1">
        <v>19190</v>
      </c>
      <c r="G5989">
        <v>1970</v>
      </c>
      <c r="H5989">
        <f>AVERAGEIFS(Table1[value],Table1[IndicatorCode],Table1[[#This Row],[IndicatorCode]])</f>
        <v>24902.88753799392</v>
      </c>
      <c r="I5989" cm="1">
        <f t="array" ref="I5989">_xlfn.STDEV.P(IF(Table1[IndicatorCode]=Table1[[#This Row],[IndicatorCode]],Table1[value]))</f>
        <v>26324.778297809873</v>
      </c>
      <c r="J5989">
        <f>(Table1[[#This Row],[value]] - Table1[[#This Row],[mean]]) / Table1[[#This Row],[std_dev]]</f>
        <v>-0.21701559927170258</v>
      </c>
      <c r="K5989">
        <f>AVERAGEIF(Table1[CountryCode],Table1[[#This Row],[CountryCode]],Table1[z-score])</f>
        <v>0.55967304374969629</v>
      </c>
      <c r="L5989" t="e">
        <f>VLOOKUP(Table1[[#This Row],[CountryCode]],[1]!Table1[#All],1,FALSE)</f>
        <v>#REF!</v>
      </c>
    </row>
    <row r="5990" spans="1:12" hidden="1" x14ac:dyDescent="0.3">
      <c r="A5990" t="s">
        <v>67</v>
      </c>
      <c r="B5990" t="s">
        <v>68</v>
      </c>
      <c r="C5990" t="s">
        <v>127</v>
      </c>
      <c r="D5990" t="s">
        <v>128</v>
      </c>
      <c r="E5990">
        <v>1971</v>
      </c>
      <c r="F5990" s="1">
        <v>21521</v>
      </c>
      <c r="G5990">
        <v>1970</v>
      </c>
      <c r="H5990">
        <f>AVERAGEIFS(Table1[value],Table1[IndicatorCode],Table1[[#This Row],[IndicatorCode]])</f>
        <v>24902.88753799392</v>
      </c>
      <c r="I5990" cm="1">
        <f t="array" ref="I5990">_xlfn.STDEV.P(IF(Table1[IndicatorCode]=Table1[[#This Row],[IndicatorCode]],Table1[value]))</f>
        <v>26324.778297809873</v>
      </c>
      <c r="J5990">
        <f>(Table1[[#This Row],[value]] - Table1[[#This Row],[mean]]) / Table1[[#This Row],[std_dev]]</f>
        <v>-0.12846784499891803</v>
      </c>
      <c r="K5990">
        <f>AVERAGEIF(Table1[CountryCode],Table1[[#This Row],[CountryCode]],Table1[z-score])</f>
        <v>0.55967304374969629</v>
      </c>
      <c r="L5990" t="e">
        <f>VLOOKUP(Table1[[#This Row],[CountryCode]],[1]!Table1[#All],1,FALSE)</f>
        <v>#REF!</v>
      </c>
    </row>
    <row r="5991" spans="1:12" hidden="1" x14ac:dyDescent="0.3">
      <c r="A5991" t="s">
        <v>67</v>
      </c>
      <c r="B5991" t="s">
        <v>68</v>
      </c>
      <c r="C5991" t="s">
        <v>127</v>
      </c>
      <c r="D5991" t="s">
        <v>128</v>
      </c>
      <c r="E5991">
        <v>1972</v>
      </c>
      <c r="F5991" s="1">
        <v>22519</v>
      </c>
      <c r="G5991">
        <v>1970</v>
      </c>
      <c r="H5991">
        <f>AVERAGEIFS(Table1[value],Table1[IndicatorCode],Table1[[#This Row],[IndicatorCode]])</f>
        <v>24902.88753799392</v>
      </c>
      <c r="I5991" cm="1">
        <f t="array" ref="I5991">_xlfn.STDEV.P(IF(Table1[IndicatorCode]=Table1[[#This Row],[IndicatorCode]],Table1[value]))</f>
        <v>26324.778297809873</v>
      </c>
      <c r="J5991">
        <f>(Table1[[#This Row],[value]] - Table1[[#This Row],[mean]]) / Table1[[#This Row],[std_dev]]</f>
        <v>-9.055679447800899E-2</v>
      </c>
      <c r="K5991">
        <f>AVERAGEIF(Table1[CountryCode],Table1[[#This Row],[CountryCode]],Table1[z-score])</f>
        <v>0.55967304374969629</v>
      </c>
      <c r="L5991" t="e">
        <f>VLOOKUP(Table1[[#This Row],[CountryCode]],[1]!Table1[#All],1,FALSE)</f>
        <v>#REF!</v>
      </c>
    </row>
    <row r="5992" spans="1:12" hidden="1" x14ac:dyDescent="0.3">
      <c r="A5992" t="s">
        <v>67</v>
      </c>
      <c r="B5992" t="s">
        <v>68</v>
      </c>
      <c r="C5992" t="s">
        <v>127</v>
      </c>
      <c r="D5992" t="s">
        <v>128</v>
      </c>
      <c r="E5992">
        <v>1973</v>
      </c>
      <c r="F5992" s="1">
        <v>23691</v>
      </c>
      <c r="G5992">
        <v>1970</v>
      </c>
      <c r="H5992">
        <f>AVERAGEIFS(Table1[value],Table1[IndicatorCode],Table1[[#This Row],[IndicatorCode]])</f>
        <v>24902.88753799392</v>
      </c>
      <c r="I5992" cm="1">
        <f t="array" ref="I5992">_xlfn.STDEV.P(IF(Table1[IndicatorCode]=Table1[[#This Row],[IndicatorCode]],Table1[value]))</f>
        <v>26324.778297809873</v>
      </c>
      <c r="J5992">
        <f>(Table1[[#This Row],[value]] - Table1[[#This Row],[mean]]) / Table1[[#This Row],[std_dev]]</f>
        <v>-4.6036001681911395E-2</v>
      </c>
      <c r="K5992">
        <f>AVERAGEIF(Table1[CountryCode],Table1[[#This Row],[CountryCode]],Table1[z-score])</f>
        <v>0.55967304374969629</v>
      </c>
      <c r="L5992" t="e">
        <f>VLOOKUP(Table1[[#This Row],[CountryCode]],[1]!Table1[#All],1,FALSE)</f>
        <v>#REF!</v>
      </c>
    </row>
    <row r="5993" spans="1:12" hidden="1" x14ac:dyDescent="0.3">
      <c r="A5993" t="s">
        <v>67</v>
      </c>
      <c r="B5993" t="s">
        <v>68</v>
      </c>
      <c r="C5993" t="s">
        <v>127</v>
      </c>
      <c r="D5993" t="s">
        <v>128</v>
      </c>
      <c r="E5993">
        <v>1974</v>
      </c>
      <c r="F5993" s="1">
        <v>24706</v>
      </c>
      <c r="G5993">
        <v>1970</v>
      </c>
      <c r="H5993">
        <f>AVERAGEIFS(Table1[value],Table1[IndicatorCode],Table1[[#This Row],[IndicatorCode]])</f>
        <v>24902.88753799392</v>
      </c>
      <c r="I5993" cm="1">
        <f t="array" ref="I5993">_xlfn.STDEV.P(IF(Table1[IndicatorCode]=Table1[[#This Row],[IndicatorCode]],Table1[value]))</f>
        <v>26324.778297809873</v>
      </c>
      <c r="J5993">
        <f>(Table1[[#This Row],[value]] - Table1[[#This Row],[mean]]) / Table1[[#This Row],[std_dev]]</f>
        <v>-7.4791717433115214E-3</v>
      </c>
      <c r="K5993">
        <f>AVERAGEIF(Table1[CountryCode],Table1[[#This Row],[CountryCode]],Table1[z-score])</f>
        <v>0.55967304374969629</v>
      </c>
      <c r="L5993" t="e">
        <f>VLOOKUP(Table1[[#This Row],[CountryCode]],[1]!Table1[#All],1,FALSE)</f>
        <v>#REF!</v>
      </c>
    </row>
    <row r="5994" spans="1:12" hidden="1" x14ac:dyDescent="0.3">
      <c r="A5994" t="s">
        <v>67</v>
      </c>
      <c r="B5994" t="s">
        <v>68</v>
      </c>
      <c r="C5994" t="s">
        <v>127</v>
      </c>
      <c r="D5994" t="s">
        <v>128</v>
      </c>
      <c r="E5994">
        <v>1975</v>
      </c>
      <c r="F5994" s="1">
        <v>24550</v>
      </c>
      <c r="G5994">
        <v>1970</v>
      </c>
      <c r="H5994">
        <f>AVERAGEIFS(Table1[value],Table1[IndicatorCode],Table1[[#This Row],[IndicatorCode]])</f>
        <v>24902.88753799392</v>
      </c>
      <c r="I5994" cm="1">
        <f t="array" ref="I5994">_xlfn.STDEV.P(IF(Table1[IndicatorCode]=Table1[[#This Row],[IndicatorCode]],Table1[value]))</f>
        <v>26324.778297809873</v>
      </c>
      <c r="J5994">
        <f>(Table1[[#This Row],[value]] - Table1[[#This Row],[mean]]) / Table1[[#This Row],[std_dev]]</f>
        <v>-1.3405147576239188E-2</v>
      </c>
      <c r="K5994">
        <f>AVERAGEIF(Table1[CountryCode],Table1[[#This Row],[CountryCode]],Table1[z-score])</f>
        <v>0.55967304374969629</v>
      </c>
      <c r="L5994" t="e">
        <f>VLOOKUP(Table1[[#This Row],[CountryCode]],[1]!Table1[#All],1,FALSE)</f>
        <v>#REF!</v>
      </c>
    </row>
    <row r="5995" spans="1:12" hidden="1" x14ac:dyDescent="0.3">
      <c r="A5995" t="s">
        <v>67</v>
      </c>
      <c r="B5995" t="s">
        <v>68</v>
      </c>
      <c r="C5995" t="s">
        <v>127</v>
      </c>
      <c r="D5995" t="s">
        <v>128</v>
      </c>
      <c r="E5995">
        <v>1976</v>
      </c>
      <c r="F5995" s="1">
        <v>25756</v>
      </c>
      <c r="G5995">
        <v>1970</v>
      </c>
      <c r="H5995">
        <f>AVERAGEIFS(Table1[value],Table1[IndicatorCode],Table1[[#This Row],[IndicatorCode]])</f>
        <v>24902.88753799392</v>
      </c>
      <c r="I5995" cm="1">
        <f t="array" ref="I5995">_xlfn.STDEV.P(IF(Table1[IndicatorCode]=Table1[[#This Row],[IndicatorCode]],Table1[value]))</f>
        <v>26324.778297809873</v>
      </c>
      <c r="J5995">
        <f>(Table1[[#This Row],[value]] - Table1[[#This Row],[mean]]) / Table1[[#This Row],[std_dev]]</f>
        <v>3.2407204055240071E-2</v>
      </c>
      <c r="K5995">
        <f>AVERAGEIF(Table1[CountryCode],Table1[[#This Row],[CountryCode]],Table1[z-score])</f>
        <v>0.55967304374969629</v>
      </c>
      <c r="L5995" t="e">
        <f>VLOOKUP(Table1[[#This Row],[CountryCode]],[1]!Table1[#All],1,FALSE)</f>
        <v>#REF!</v>
      </c>
    </row>
    <row r="5996" spans="1:12" hidden="1" x14ac:dyDescent="0.3">
      <c r="A5996" t="s">
        <v>67</v>
      </c>
      <c r="B5996" t="s">
        <v>68</v>
      </c>
      <c r="C5996" t="s">
        <v>127</v>
      </c>
      <c r="D5996" t="s">
        <v>128</v>
      </c>
      <c r="E5996">
        <v>1977</v>
      </c>
      <c r="F5996" s="1">
        <v>27821</v>
      </c>
      <c r="G5996">
        <v>1980</v>
      </c>
      <c r="H5996">
        <f>AVERAGEIFS(Table1[value],Table1[IndicatorCode],Table1[[#This Row],[IndicatorCode]])</f>
        <v>24902.88753799392</v>
      </c>
      <c r="I5996" cm="1">
        <f t="array" ref="I5996">_xlfn.STDEV.P(IF(Table1[IndicatorCode]=Table1[[#This Row],[IndicatorCode]],Table1[value]))</f>
        <v>26324.778297809873</v>
      </c>
      <c r="J5996">
        <f>(Table1[[#This Row],[value]] - Table1[[#This Row],[mean]]) / Table1[[#This Row],[std_dev]]</f>
        <v>0.11085040979239155</v>
      </c>
      <c r="K5996">
        <f>AVERAGEIF(Table1[CountryCode],Table1[[#This Row],[CountryCode]],Table1[z-score])</f>
        <v>0.55967304374969629</v>
      </c>
      <c r="L5996" t="e">
        <f>VLOOKUP(Table1[[#This Row],[CountryCode]],[1]!Table1[#All],1,FALSE)</f>
        <v>#REF!</v>
      </c>
    </row>
    <row r="5997" spans="1:12" hidden="1" x14ac:dyDescent="0.3">
      <c r="A5997" t="s">
        <v>67</v>
      </c>
      <c r="B5997" t="s">
        <v>68</v>
      </c>
      <c r="C5997" t="s">
        <v>127</v>
      </c>
      <c r="D5997" t="s">
        <v>128</v>
      </c>
      <c r="E5997">
        <v>1978</v>
      </c>
      <c r="F5997" s="1">
        <v>29265</v>
      </c>
      <c r="G5997">
        <v>1980</v>
      </c>
      <c r="H5997">
        <f>AVERAGEIFS(Table1[value],Table1[IndicatorCode],Table1[[#This Row],[IndicatorCode]])</f>
        <v>24902.88753799392</v>
      </c>
      <c r="I5997" cm="1">
        <f t="array" ref="I5997">_xlfn.STDEV.P(IF(Table1[IndicatorCode]=Table1[[#This Row],[IndicatorCode]],Table1[value]))</f>
        <v>26324.778297809873</v>
      </c>
      <c r="J5997">
        <f>(Table1[[#This Row],[value]] - Table1[[#This Row],[mean]]) / Table1[[#This Row],[std_dev]]</f>
        <v>0.16570367327154251</v>
      </c>
      <c r="K5997">
        <f>AVERAGEIF(Table1[CountryCode],Table1[[#This Row],[CountryCode]],Table1[z-score])</f>
        <v>0.55967304374969629</v>
      </c>
      <c r="L5997" t="e">
        <f>VLOOKUP(Table1[[#This Row],[CountryCode]],[1]!Table1[#All],1,FALSE)</f>
        <v>#REF!</v>
      </c>
    </row>
    <row r="5998" spans="1:12" hidden="1" x14ac:dyDescent="0.3">
      <c r="A5998" t="s">
        <v>67</v>
      </c>
      <c r="B5998" t="s">
        <v>68</v>
      </c>
      <c r="C5998" t="s">
        <v>127</v>
      </c>
      <c r="D5998" t="s">
        <v>128</v>
      </c>
      <c r="E5998">
        <v>1979</v>
      </c>
      <c r="F5998" s="1">
        <v>30389</v>
      </c>
      <c r="G5998">
        <v>1980</v>
      </c>
      <c r="H5998">
        <f>AVERAGEIFS(Table1[value],Table1[IndicatorCode],Table1[[#This Row],[IndicatorCode]])</f>
        <v>24902.88753799392</v>
      </c>
      <c r="I5998" cm="1">
        <f t="array" ref="I5998">_xlfn.STDEV.P(IF(Table1[IndicatorCode]=Table1[[#This Row],[IndicatorCode]],Table1[value]))</f>
        <v>26324.778297809873</v>
      </c>
      <c r="J5998">
        <f>(Table1[[#This Row],[value]] - Table1[[#This Row],[mean]]) / Table1[[#This Row],[std_dev]]</f>
        <v>0.20840108888827774</v>
      </c>
      <c r="K5998">
        <f>AVERAGEIF(Table1[CountryCode],Table1[[#This Row],[CountryCode]],Table1[z-score])</f>
        <v>0.55967304374969629</v>
      </c>
      <c r="L5998" t="e">
        <f>VLOOKUP(Table1[[#This Row],[CountryCode]],[1]!Table1[#All],1,FALSE)</f>
        <v>#REF!</v>
      </c>
    </row>
    <row r="5999" spans="1:12" hidden="1" x14ac:dyDescent="0.3">
      <c r="A5999" t="s">
        <v>67</v>
      </c>
      <c r="B5999" t="s">
        <v>68</v>
      </c>
      <c r="C5999" t="s">
        <v>127</v>
      </c>
      <c r="D5999" t="s">
        <v>128</v>
      </c>
      <c r="E5999">
        <v>1980</v>
      </c>
      <c r="F5999" s="1">
        <v>31797</v>
      </c>
      <c r="G5999">
        <v>1980</v>
      </c>
      <c r="H5999">
        <f>AVERAGEIFS(Table1[value],Table1[IndicatorCode],Table1[[#This Row],[IndicatorCode]])</f>
        <v>24902.88753799392</v>
      </c>
      <c r="I5999" cm="1">
        <f t="array" ref="I5999">_xlfn.STDEV.P(IF(Table1[IndicatorCode]=Table1[[#This Row],[IndicatorCode]],Table1[value]))</f>
        <v>26324.778297809873</v>
      </c>
      <c r="J5999">
        <f>(Table1[[#This Row],[value]] - Table1[[#This Row],[mean]]) / Table1[[#This Row],[std_dev]]</f>
        <v>0.26188681948290693</v>
      </c>
      <c r="K5999">
        <f>AVERAGEIF(Table1[CountryCode],Table1[[#This Row],[CountryCode]],Table1[z-score])</f>
        <v>0.55967304374969629</v>
      </c>
      <c r="L5999" t="e">
        <f>VLOOKUP(Table1[[#This Row],[CountryCode]],[1]!Table1[#All],1,FALSE)</f>
        <v>#REF!</v>
      </c>
    </row>
    <row r="6000" spans="1:12" hidden="1" x14ac:dyDescent="0.3">
      <c r="A6000" t="s">
        <v>67</v>
      </c>
      <c r="B6000" t="s">
        <v>68</v>
      </c>
      <c r="C6000" t="s">
        <v>127</v>
      </c>
      <c r="D6000" t="s">
        <v>128</v>
      </c>
      <c r="E6000">
        <v>1981</v>
      </c>
      <c r="F6000" s="1">
        <v>32777</v>
      </c>
      <c r="G6000">
        <v>1980</v>
      </c>
      <c r="H6000">
        <f>AVERAGEIFS(Table1[value],Table1[IndicatorCode],Table1[[#This Row],[IndicatorCode]])</f>
        <v>24902.88753799392</v>
      </c>
      <c r="I6000" cm="1">
        <f t="array" ref="I6000">_xlfn.STDEV.P(IF(Table1[IndicatorCode]=Table1[[#This Row],[IndicatorCode]],Table1[value]))</f>
        <v>26324.778297809873</v>
      </c>
      <c r="J6000">
        <f>(Table1[[#This Row],[value]] - Table1[[#This Row],[mean]]) / Table1[[#This Row],[std_dev]]</f>
        <v>0.2991141035615551</v>
      </c>
      <c r="K6000">
        <f>AVERAGEIF(Table1[CountryCode],Table1[[#This Row],[CountryCode]],Table1[z-score])</f>
        <v>0.55967304374969629</v>
      </c>
      <c r="L6000" t="e">
        <f>VLOOKUP(Table1[[#This Row],[CountryCode]],[1]!Table1[#All],1,FALSE)</f>
        <v>#REF!</v>
      </c>
    </row>
    <row r="6001" spans="1:12" hidden="1" x14ac:dyDescent="0.3">
      <c r="A6001" t="s">
        <v>67</v>
      </c>
      <c r="B6001" t="s">
        <v>68</v>
      </c>
      <c r="C6001" t="s">
        <v>127</v>
      </c>
      <c r="D6001" t="s">
        <v>128</v>
      </c>
      <c r="E6001">
        <v>1982</v>
      </c>
      <c r="F6001" s="1">
        <v>33039</v>
      </c>
      <c r="G6001">
        <v>1980</v>
      </c>
      <c r="H6001">
        <f>AVERAGEIFS(Table1[value],Table1[IndicatorCode],Table1[[#This Row],[IndicatorCode]])</f>
        <v>24902.88753799392</v>
      </c>
      <c r="I6001" cm="1">
        <f t="array" ref="I6001">_xlfn.STDEV.P(IF(Table1[IndicatorCode]=Table1[[#This Row],[IndicatorCode]],Table1[value]))</f>
        <v>26324.778297809873</v>
      </c>
      <c r="J6001">
        <f>(Table1[[#This Row],[value]] - Table1[[#This Row],[mean]]) / Table1[[#This Row],[std_dev]]</f>
        <v>0.30906670399890795</v>
      </c>
      <c r="K6001">
        <f>AVERAGEIF(Table1[CountryCode],Table1[[#This Row],[CountryCode]],Table1[z-score])</f>
        <v>0.55967304374969629</v>
      </c>
      <c r="L6001" t="e">
        <f>VLOOKUP(Table1[[#This Row],[CountryCode]],[1]!Table1[#All],1,FALSE)</f>
        <v>#REF!</v>
      </c>
    </row>
    <row r="6002" spans="1:12" hidden="1" x14ac:dyDescent="0.3">
      <c r="A6002" t="s">
        <v>67</v>
      </c>
      <c r="B6002" t="s">
        <v>68</v>
      </c>
      <c r="C6002" t="s">
        <v>127</v>
      </c>
      <c r="D6002" t="s">
        <v>128</v>
      </c>
      <c r="E6002">
        <v>1983</v>
      </c>
      <c r="F6002" s="1">
        <v>31903</v>
      </c>
      <c r="G6002">
        <v>1980</v>
      </c>
      <c r="H6002">
        <f>AVERAGEIFS(Table1[value],Table1[IndicatorCode],Table1[[#This Row],[IndicatorCode]])</f>
        <v>24902.88753799392</v>
      </c>
      <c r="I6002" cm="1">
        <f t="array" ref="I6002">_xlfn.STDEV.P(IF(Table1[IndicatorCode]=Table1[[#This Row],[IndicatorCode]],Table1[value]))</f>
        <v>26324.778297809873</v>
      </c>
      <c r="J6002">
        <f>(Table1[[#This Row],[value]] - Table1[[#This Row],[mean]]) / Table1[[#This Row],[std_dev]]</f>
        <v>0.26591344408733214</v>
      </c>
      <c r="K6002">
        <f>AVERAGEIF(Table1[CountryCode],Table1[[#This Row],[CountryCode]],Table1[z-score])</f>
        <v>0.55967304374969629</v>
      </c>
      <c r="L6002" t="e">
        <f>VLOOKUP(Table1[[#This Row],[CountryCode]],[1]!Table1[#All],1,FALSE)</f>
        <v>#REF!</v>
      </c>
    </row>
    <row r="6003" spans="1:12" hidden="1" x14ac:dyDescent="0.3">
      <c r="A6003" t="s">
        <v>67</v>
      </c>
      <c r="B6003" t="s">
        <v>68</v>
      </c>
      <c r="C6003" t="s">
        <v>127</v>
      </c>
      <c r="D6003" t="s">
        <v>128</v>
      </c>
      <c r="E6003">
        <v>1984</v>
      </c>
      <c r="F6003" s="1">
        <v>32869</v>
      </c>
      <c r="G6003">
        <v>1980</v>
      </c>
      <c r="H6003">
        <f>AVERAGEIFS(Table1[value],Table1[IndicatorCode],Table1[[#This Row],[IndicatorCode]])</f>
        <v>24902.88753799392</v>
      </c>
      <c r="I6003" cm="1">
        <f t="array" ref="I6003">_xlfn.STDEV.P(IF(Table1[IndicatorCode]=Table1[[#This Row],[IndicatorCode]],Table1[value]))</f>
        <v>26324.778297809873</v>
      </c>
      <c r="J6003">
        <f>(Table1[[#This Row],[value]] - Table1[[#This Row],[mean]]) / Table1[[#This Row],[std_dev]]</f>
        <v>0.30260890982199962</v>
      </c>
      <c r="K6003">
        <f>AVERAGEIF(Table1[CountryCode],Table1[[#This Row],[CountryCode]],Table1[z-score])</f>
        <v>0.55967304374969629</v>
      </c>
      <c r="L6003" t="e">
        <f>VLOOKUP(Table1[[#This Row],[CountryCode]],[1]!Table1[#All],1,FALSE)</f>
        <v>#REF!</v>
      </c>
    </row>
    <row r="6004" spans="1:12" hidden="1" x14ac:dyDescent="0.3">
      <c r="A6004" t="s">
        <v>67</v>
      </c>
      <c r="B6004" t="s">
        <v>68</v>
      </c>
      <c r="C6004" t="s">
        <v>127</v>
      </c>
      <c r="D6004" t="s">
        <v>128</v>
      </c>
      <c r="E6004">
        <v>1985</v>
      </c>
      <c r="F6004" s="1">
        <v>33685</v>
      </c>
      <c r="G6004">
        <v>1980</v>
      </c>
      <c r="H6004">
        <f>AVERAGEIFS(Table1[value],Table1[IndicatorCode],Table1[[#This Row],[IndicatorCode]])</f>
        <v>24902.88753799392</v>
      </c>
      <c r="I6004" cm="1">
        <f t="array" ref="I6004">_xlfn.STDEV.P(IF(Table1[IndicatorCode]=Table1[[#This Row],[IndicatorCode]],Table1[value]))</f>
        <v>26324.778297809873</v>
      </c>
      <c r="J6004">
        <f>(Table1[[#This Row],[value]] - Table1[[#This Row],[mean]]) / Table1[[#This Row],[std_dev]]</f>
        <v>0.33360632187115968</v>
      </c>
      <c r="K6004">
        <f>AVERAGEIF(Table1[CountryCode],Table1[[#This Row],[CountryCode]],Table1[z-score])</f>
        <v>0.55967304374969629</v>
      </c>
      <c r="L6004" t="e">
        <f>VLOOKUP(Table1[[#This Row],[CountryCode]],[1]!Table1[#All],1,FALSE)</f>
        <v>#REF!</v>
      </c>
    </row>
    <row r="6005" spans="1:12" hidden="1" x14ac:dyDescent="0.3">
      <c r="A6005" t="s">
        <v>67</v>
      </c>
      <c r="B6005" t="s">
        <v>68</v>
      </c>
      <c r="C6005" t="s">
        <v>127</v>
      </c>
      <c r="D6005" t="s">
        <v>128</v>
      </c>
      <c r="E6005">
        <v>1986</v>
      </c>
      <c r="F6005" s="1">
        <v>35536</v>
      </c>
      <c r="G6005">
        <v>1980</v>
      </c>
      <c r="H6005">
        <f>AVERAGEIFS(Table1[value],Table1[IndicatorCode],Table1[[#This Row],[IndicatorCode]])</f>
        <v>24902.88753799392</v>
      </c>
      <c r="I6005" cm="1">
        <f t="array" ref="I6005">_xlfn.STDEV.P(IF(Table1[IndicatorCode]=Table1[[#This Row],[IndicatorCode]],Table1[value]))</f>
        <v>26324.778297809873</v>
      </c>
      <c r="J6005">
        <f>(Table1[[#This Row],[value]] - Table1[[#This Row],[mean]]) / Table1[[#This Row],[std_dev]]</f>
        <v>0.40392030435032067</v>
      </c>
      <c r="K6005">
        <f>AVERAGEIF(Table1[CountryCode],Table1[[#This Row],[CountryCode]],Table1[z-score])</f>
        <v>0.55967304374969629</v>
      </c>
      <c r="L6005" t="e">
        <f>VLOOKUP(Table1[[#This Row],[CountryCode]],[1]!Table1[#All],1,FALSE)</f>
        <v>#REF!</v>
      </c>
    </row>
    <row r="6006" spans="1:12" hidden="1" x14ac:dyDescent="0.3">
      <c r="A6006" t="s">
        <v>67</v>
      </c>
      <c r="B6006" t="s">
        <v>68</v>
      </c>
      <c r="C6006" t="s">
        <v>127</v>
      </c>
      <c r="D6006" t="s">
        <v>128</v>
      </c>
      <c r="E6006">
        <v>1987</v>
      </c>
      <c r="F6006" s="1">
        <v>38152</v>
      </c>
      <c r="G6006">
        <v>1990</v>
      </c>
      <c r="H6006">
        <f>AVERAGEIFS(Table1[value],Table1[IndicatorCode],Table1[[#This Row],[IndicatorCode]])</f>
        <v>24902.88753799392</v>
      </c>
      <c r="I6006" cm="1">
        <f t="array" ref="I6006">_xlfn.STDEV.P(IF(Table1[IndicatorCode]=Table1[[#This Row],[IndicatorCode]],Table1[value]))</f>
        <v>26324.778297809873</v>
      </c>
      <c r="J6006">
        <f>(Table1[[#This Row],[value]] - Table1[[#This Row],[mean]]) / Table1[[#This Row],[std_dev]]</f>
        <v>0.5032943606255692</v>
      </c>
      <c r="K6006">
        <f>AVERAGEIF(Table1[CountryCode],Table1[[#This Row],[CountryCode]],Table1[z-score])</f>
        <v>0.55967304374969629</v>
      </c>
      <c r="L6006" t="e">
        <f>VLOOKUP(Table1[[#This Row],[CountryCode]],[1]!Table1[#All],1,FALSE)</f>
        <v>#REF!</v>
      </c>
    </row>
    <row r="6007" spans="1:12" hidden="1" x14ac:dyDescent="0.3">
      <c r="A6007" t="s">
        <v>67</v>
      </c>
      <c r="B6007" t="s">
        <v>68</v>
      </c>
      <c r="C6007" t="s">
        <v>127</v>
      </c>
      <c r="D6007" t="s">
        <v>128</v>
      </c>
      <c r="E6007">
        <v>1988</v>
      </c>
      <c r="F6007" s="1">
        <v>37526</v>
      </c>
      <c r="G6007">
        <v>1990</v>
      </c>
      <c r="H6007">
        <f>AVERAGEIFS(Table1[value],Table1[IndicatorCode],Table1[[#This Row],[IndicatorCode]])</f>
        <v>24902.88753799392</v>
      </c>
      <c r="I6007" cm="1">
        <f t="array" ref="I6007">_xlfn.STDEV.P(IF(Table1[IndicatorCode]=Table1[[#This Row],[IndicatorCode]],Table1[value]))</f>
        <v>26324.778297809873</v>
      </c>
      <c r="J6007">
        <f>(Table1[[#This Row],[value]] - Table1[[#This Row],[mean]]) / Table1[[#This Row],[std_dev]]</f>
        <v>0.47951448324471846</v>
      </c>
      <c r="K6007">
        <f>AVERAGEIF(Table1[CountryCode],Table1[[#This Row],[CountryCode]],Table1[z-score])</f>
        <v>0.55967304374969629</v>
      </c>
      <c r="L6007" t="e">
        <f>VLOOKUP(Table1[[#This Row],[CountryCode]],[1]!Table1[#All],1,FALSE)</f>
        <v>#REF!</v>
      </c>
    </row>
    <row r="6008" spans="1:12" hidden="1" x14ac:dyDescent="0.3">
      <c r="A6008" t="s">
        <v>67</v>
      </c>
      <c r="B6008" t="s">
        <v>68</v>
      </c>
      <c r="C6008" t="s">
        <v>127</v>
      </c>
      <c r="D6008" t="s">
        <v>128</v>
      </c>
      <c r="E6008">
        <v>1989</v>
      </c>
      <c r="F6008" s="1">
        <v>37159</v>
      </c>
      <c r="G6008">
        <v>1990</v>
      </c>
      <c r="H6008">
        <f>AVERAGEIFS(Table1[value],Table1[IndicatorCode],Table1[[#This Row],[IndicatorCode]])</f>
        <v>24902.88753799392</v>
      </c>
      <c r="I6008" cm="1">
        <f t="array" ref="I6008">_xlfn.STDEV.P(IF(Table1[IndicatorCode]=Table1[[#This Row],[IndicatorCode]],Table1[value]))</f>
        <v>26324.778297809873</v>
      </c>
      <c r="J6008">
        <f>(Table1[[#This Row],[value]] - Table1[[#This Row],[mean]]) / Table1[[#This Row],[std_dev]]</f>
        <v>0.46557324522751042</v>
      </c>
      <c r="K6008">
        <f>AVERAGEIF(Table1[CountryCode],Table1[[#This Row],[CountryCode]],Table1[z-score])</f>
        <v>0.55967304374969629</v>
      </c>
      <c r="L6008" t="e">
        <f>VLOOKUP(Table1[[#This Row],[CountryCode]],[1]!Table1[#All],1,FALSE)</f>
        <v>#REF!</v>
      </c>
    </row>
    <row r="6009" spans="1:12" hidden="1" x14ac:dyDescent="0.3">
      <c r="A6009" t="s">
        <v>67</v>
      </c>
      <c r="B6009" t="s">
        <v>68</v>
      </c>
      <c r="C6009" t="s">
        <v>127</v>
      </c>
      <c r="D6009" t="s">
        <v>128</v>
      </c>
      <c r="E6009">
        <v>1990</v>
      </c>
      <c r="F6009" s="1">
        <v>37303</v>
      </c>
      <c r="G6009">
        <v>1990</v>
      </c>
      <c r="H6009">
        <f>AVERAGEIFS(Table1[value],Table1[IndicatorCode],Table1[[#This Row],[IndicatorCode]])</f>
        <v>24902.88753799392</v>
      </c>
      <c r="I6009" cm="1">
        <f t="array" ref="I6009">_xlfn.STDEV.P(IF(Table1[IndicatorCode]=Table1[[#This Row],[IndicatorCode]],Table1[value]))</f>
        <v>26324.778297809873</v>
      </c>
      <c r="J6009">
        <f>(Table1[[#This Row],[value]] - Table1[[#This Row],[mean]]) / Table1[[#This Row],[std_dev]]</f>
        <v>0.47104337676559749</v>
      </c>
      <c r="K6009">
        <f>AVERAGEIF(Table1[CountryCode],Table1[[#This Row],[CountryCode]],Table1[z-score])</f>
        <v>0.55967304374969629</v>
      </c>
      <c r="L6009" t="e">
        <f>VLOOKUP(Table1[[#This Row],[CountryCode]],[1]!Table1[#All],1,FALSE)</f>
        <v>#REF!</v>
      </c>
    </row>
    <row r="6010" spans="1:12" hidden="1" x14ac:dyDescent="0.3">
      <c r="A6010" t="s">
        <v>67</v>
      </c>
      <c r="B6010" t="s">
        <v>68</v>
      </c>
      <c r="C6010" t="s">
        <v>127</v>
      </c>
      <c r="D6010" t="s">
        <v>128</v>
      </c>
      <c r="E6010">
        <v>1991</v>
      </c>
      <c r="F6010" s="1">
        <v>36790</v>
      </c>
      <c r="G6010">
        <v>1990</v>
      </c>
      <c r="H6010">
        <f>AVERAGEIFS(Table1[value],Table1[IndicatorCode],Table1[[#This Row],[IndicatorCode]])</f>
        <v>24902.88753799392</v>
      </c>
      <c r="I6010" cm="1">
        <f t="array" ref="I6010">_xlfn.STDEV.P(IF(Table1[IndicatorCode]=Table1[[#This Row],[IndicatorCode]],Table1[value]))</f>
        <v>26324.778297809873</v>
      </c>
      <c r="J6010">
        <f>(Table1[[#This Row],[value]] - Table1[[#This Row],[mean]]) / Table1[[#This Row],[std_dev]]</f>
        <v>0.45155603316116227</v>
      </c>
      <c r="K6010">
        <f>AVERAGEIF(Table1[CountryCode],Table1[[#This Row],[CountryCode]],Table1[z-score])</f>
        <v>0.55967304374969629</v>
      </c>
      <c r="L6010" t="e">
        <f>VLOOKUP(Table1[[#This Row],[CountryCode]],[1]!Table1[#All],1,FALSE)</f>
        <v>#REF!</v>
      </c>
    </row>
    <row r="6011" spans="1:12" hidden="1" x14ac:dyDescent="0.3">
      <c r="A6011" t="s">
        <v>67</v>
      </c>
      <c r="B6011" t="s">
        <v>68</v>
      </c>
      <c r="C6011" t="s">
        <v>127</v>
      </c>
      <c r="D6011" t="s">
        <v>128</v>
      </c>
      <c r="E6011">
        <v>1992</v>
      </c>
      <c r="F6011" s="1">
        <v>35105</v>
      </c>
      <c r="G6011">
        <v>1990</v>
      </c>
      <c r="H6011">
        <f>AVERAGEIFS(Table1[value],Table1[IndicatorCode],Table1[[#This Row],[IndicatorCode]])</f>
        <v>24902.88753799392</v>
      </c>
      <c r="I6011" cm="1">
        <f t="array" ref="I6011">_xlfn.STDEV.P(IF(Table1[IndicatorCode]=Table1[[#This Row],[IndicatorCode]],Table1[value]))</f>
        <v>26324.778297809873</v>
      </c>
      <c r="J6011">
        <f>(Table1[[#This Row],[value]] - Table1[[#This Row],[mean]]) / Table1[[#This Row],[std_dev]]</f>
        <v>0.38754789676062945</v>
      </c>
      <c r="K6011">
        <f>AVERAGEIF(Table1[CountryCode],Table1[[#This Row],[CountryCode]],Table1[z-score])</f>
        <v>0.55967304374969629</v>
      </c>
      <c r="L6011" t="e">
        <f>VLOOKUP(Table1[[#This Row],[CountryCode]],[1]!Table1[#All],1,FALSE)</f>
        <v>#REF!</v>
      </c>
    </row>
    <row r="6012" spans="1:12" hidden="1" x14ac:dyDescent="0.3">
      <c r="A6012" t="s">
        <v>67</v>
      </c>
      <c r="B6012" t="s">
        <v>68</v>
      </c>
      <c r="C6012" t="s">
        <v>127</v>
      </c>
      <c r="D6012" t="s">
        <v>128</v>
      </c>
      <c r="E6012">
        <v>1993</v>
      </c>
      <c r="F6012" s="1">
        <v>35207</v>
      </c>
      <c r="G6012">
        <v>1990</v>
      </c>
      <c r="H6012">
        <f>AVERAGEIFS(Table1[value],Table1[IndicatorCode],Table1[[#This Row],[IndicatorCode]])</f>
        <v>24902.88753799392</v>
      </c>
      <c r="I6012" cm="1">
        <f t="array" ref="I6012">_xlfn.STDEV.P(IF(Table1[IndicatorCode]=Table1[[#This Row],[IndicatorCode]],Table1[value]))</f>
        <v>26324.778297809873</v>
      </c>
      <c r="J6012">
        <f>(Table1[[#This Row],[value]] - Table1[[#This Row],[mean]]) / Table1[[#This Row],[std_dev]]</f>
        <v>0.39142257326677449</v>
      </c>
      <c r="K6012">
        <f>AVERAGEIF(Table1[CountryCode],Table1[[#This Row],[CountryCode]],Table1[z-score])</f>
        <v>0.55967304374969629</v>
      </c>
      <c r="L6012" t="e">
        <f>VLOOKUP(Table1[[#This Row],[CountryCode]],[1]!Table1[#All],1,FALSE)</f>
        <v>#REF!</v>
      </c>
    </row>
    <row r="6013" spans="1:12" hidden="1" x14ac:dyDescent="0.3">
      <c r="A6013" t="s">
        <v>67</v>
      </c>
      <c r="B6013" t="s">
        <v>68</v>
      </c>
      <c r="C6013" t="s">
        <v>127</v>
      </c>
      <c r="D6013" t="s">
        <v>128</v>
      </c>
      <c r="E6013">
        <v>1994</v>
      </c>
      <c r="F6013" s="1">
        <v>36162</v>
      </c>
      <c r="G6013">
        <v>1990</v>
      </c>
      <c r="H6013">
        <f>AVERAGEIFS(Table1[value],Table1[IndicatorCode],Table1[[#This Row],[IndicatorCode]])</f>
        <v>24902.88753799392</v>
      </c>
      <c r="I6013" cm="1">
        <f t="array" ref="I6013">_xlfn.STDEV.P(IF(Table1[IndicatorCode]=Table1[[#This Row],[IndicatorCode]],Table1[value]))</f>
        <v>26324.778297809873</v>
      </c>
      <c r="J6013">
        <f>(Table1[[#This Row],[value]] - Table1[[#This Row],[mean]]) / Table1[[#This Row],[std_dev]]</f>
        <v>0.42770018173117141</v>
      </c>
      <c r="K6013">
        <f>AVERAGEIF(Table1[CountryCode],Table1[[#This Row],[CountryCode]],Table1[z-score])</f>
        <v>0.55967304374969629</v>
      </c>
      <c r="L6013" t="e">
        <f>VLOOKUP(Table1[[#This Row],[CountryCode]],[1]!Table1[#All],1,FALSE)</f>
        <v>#REF!</v>
      </c>
    </row>
    <row r="6014" spans="1:12" hidden="1" x14ac:dyDescent="0.3">
      <c r="A6014" t="s">
        <v>67</v>
      </c>
      <c r="B6014" t="s">
        <v>68</v>
      </c>
      <c r="C6014" t="s">
        <v>127</v>
      </c>
      <c r="D6014" t="s">
        <v>128</v>
      </c>
      <c r="E6014">
        <v>1995</v>
      </c>
      <c r="F6014" s="1">
        <v>36009</v>
      </c>
      <c r="G6014">
        <v>1990</v>
      </c>
      <c r="H6014">
        <f>AVERAGEIFS(Table1[value],Table1[IndicatorCode],Table1[[#This Row],[IndicatorCode]])</f>
        <v>24902.88753799392</v>
      </c>
      <c r="I6014" cm="1">
        <f t="array" ref="I6014">_xlfn.STDEV.P(IF(Table1[IndicatorCode]=Table1[[#This Row],[IndicatorCode]],Table1[value]))</f>
        <v>26324.778297809873</v>
      </c>
      <c r="J6014">
        <f>(Table1[[#This Row],[value]] - Table1[[#This Row],[mean]]) / Table1[[#This Row],[std_dev]]</f>
        <v>0.42188816697195392</v>
      </c>
      <c r="K6014">
        <f>AVERAGEIF(Table1[CountryCode],Table1[[#This Row],[CountryCode]],Table1[z-score])</f>
        <v>0.55967304374969629</v>
      </c>
      <c r="L6014" t="e">
        <f>VLOOKUP(Table1[[#This Row],[CountryCode]],[1]!Table1[#All],1,FALSE)</f>
        <v>#REF!</v>
      </c>
    </row>
    <row r="6015" spans="1:12" hidden="1" x14ac:dyDescent="0.3">
      <c r="A6015" t="s">
        <v>67</v>
      </c>
      <c r="B6015" t="s">
        <v>68</v>
      </c>
      <c r="C6015" t="s">
        <v>127</v>
      </c>
      <c r="D6015" t="s">
        <v>128</v>
      </c>
      <c r="E6015">
        <v>1996</v>
      </c>
      <c r="F6015" s="1">
        <v>37426</v>
      </c>
      <c r="G6015">
        <v>1990</v>
      </c>
      <c r="H6015">
        <f>AVERAGEIFS(Table1[value],Table1[IndicatorCode],Table1[[#This Row],[IndicatorCode]])</f>
        <v>24902.88753799392</v>
      </c>
      <c r="I6015" cm="1">
        <f t="array" ref="I6015">_xlfn.STDEV.P(IF(Table1[IndicatorCode]=Table1[[#This Row],[IndicatorCode]],Table1[value]))</f>
        <v>26324.778297809873</v>
      </c>
      <c r="J6015">
        <f>(Table1[[#This Row],[value]] - Table1[[#This Row],[mean]]) / Table1[[#This Row],[std_dev]]</f>
        <v>0.47571578078771354</v>
      </c>
      <c r="K6015">
        <f>AVERAGEIF(Table1[CountryCode],Table1[[#This Row],[CountryCode]],Table1[z-score])</f>
        <v>0.55967304374969629</v>
      </c>
      <c r="L6015" t="e">
        <f>VLOOKUP(Table1[[#This Row],[CountryCode]],[1]!Table1[#All],1,FALSE)</f>
        <v>#REF!</v>
      </c>
    </row>
    <row r="6016" spans="1:12" hidden="1" x14ac:dyDescent="0.3">
      <c r="A6016" t="s">
        <v>67</v>
      </c>
      <c r="B6016" t="s">
        <v>68</v>
      </c>
      <c r="C6016" t="s">
        <v>127</v>
      </c>
      <c r="D6016" t="s">
        <v>128</v>
      </c>
      <c r="E6016">
        <v>1997</v>
      </c>
      <c r="F6016" s="1">
        <v>38657</v>
      </c>
      <c r="G6016">
        <v>2000</v>
      </c>
      <c r="H6016">
        <f>AVERAGEIFS(Table1[value],Table1[IndicatorCode],Table1[[#This Row],[IndicatorCode]])</f>
        <v>24902.88753799392</v>
      </c>
      <c r="I6016" cm="1">
        <f t="array" ref="I6016">_xlfn.STDEV.P(IF(Table1[IndicatorCode]=Table1[[#This Row],[IndicatorCode]],Table1[value]))</f>
        <v>26324.778297809873</v>
      </c>
      <c r="J6016">
        <f>(Table1[[#This Row],[value]] - Table1[[#This Row],[mean]]) / Table1[[#This Row],[std_dev]]</f>
        <v>0.52247780803344401</v>
      </c>
      <c r="K6016">
        <f>AVERAGEIF(Table1[CountryCode],Table1[[#This Row],[CountryCode]],Table1[z-score])</f>
        <v>0.55967304374969629</v>
      </c>
      <c r="L6016" t="e">
        <f>VLOOKUP(Table1[[#This Row],[CountryCode]],[1]!Table1[#All],1,FALSE)</f>
        <v>#REF!</v>
      </c>
    </row>
    <row r="6017" spans="1:12" hidden="1" x14ac:dyDescent="0.3">
      <c r="A6017" t="s">
        <v>67</v>
      </c>
      <c r="B6017" t="s">
        <v>68</v>
      </c>
      <c r="C6017" t="s">
        <v>127</v>
      </c>
      <c r="D6017" t="s">
        <v>128</v>
      </c>
      <c r="E6017">
        <v>1998</v>
      </c>
      <c r="F6017" s="1">
        <v>40927</v>
      </c>
      <c r="G6017">
        <v>2000</v>
      </c>
      <c r="H6017">
        <f>AVERAGEIFS(Table1[value],Table1[IndicatorCode],Table1[[#This Row],[IndicatorCode]])</f>
        <v>24902.88753799392</v>
      </c>
      <c r="I6017" cm="1">
        <f t="array" ref="I6017">_xlfn.STDEV.P(IF(Table1[IndicatorCode]=Table1[[#This Row],[IndicatorCode]],Table1[value]))</f>
        <v>26324.778297809873</v>
      </c>
      <c r="J6017">
        <f>(Table1[[#This Row],[value]] - Table1[[#This Row],[mean]]) / Table1[[#This Row],[std_dev]]</f>
        <v>0.60870835380745558</v>
      </c>
      <c r="K6017">
        <f>AVERAGEIF(Table1[CountryCode],Table1[[#This Row],[CountryCode]],Table1[z-score])</f>
        <v>0.55967304374969629</v>
      </c>
      <c r="L6017" t="e">
        <f>VLOOKUP(Table1[[#This Row],[CountryCode]],[1]!Table1[#All],1,FALSE)</f>
        <v>#REF!</v>
      </c>
    </row>
    <row r="6018" spans="1:12" hidden="1" x14ac:dyDescent="0.3">
      <c r="A6018" t="s">
        <v>67</v>
      </c>
      <c r="B6018" t="s">
        <v>68</v>
      </c>
      <c r="C6018" t="s">
        <v>127</v>
      </c>
      <c r="D6018" t="s">
        <v>128</v>
      </c>
      <c r="E6018">
        <v>1999</v>
      </c>
      <c r="F6018" s="1">
        <v>42011</v>
      </c>
      <c r="G6018">
        <v>2000</v>
      </c>
      <c r="H6018">
        <f>AVERAGEIFS(Table1[value],Table1[IndicatorCode],Table1[[#This Row],[IndicatorCode]])</f>
        <v>24902.88753799392</v>
      </c>
      <c r="I6018" cm="1">
        <f t="array" ref="I6018">_xlfn.STDEV.P(IF(Table1[IndicatorCode]=Table1[[#This Row],[IndicatorCode]],Table1[value]))</f>
        <v>26324.778297809873</v>
      </c>
      <c r="J6018">
        <f>(Table1[[#This Row],[value]] - Table1[[#This Row],[mean]]) / Table1[[#This Row],[std_dev]]</f>
        <v>0.64988628844138885</v>
      </c>
      <c r="K6018">
        <f>AVERAGEIF(Table1[CountryCode],Table1[[#This Row],[CountryCode]],Table1[z-score])</f>
        <v>0.55967304374969629</v>
      </c>
      <c r="L6018" t="e">
        <f>VLOOKUP(Table1[[#This Row],[CountryCode]],[1]!Table1[#All],1,FALSE)</f>
        <v>#REF!</v>
      </c>
    </row>
    <row r="6019" spans="1:12" hidden="1" x14ac:dyDescent="0.3">
      <c r="A6019" t="s">
        <v>67</v>
      </c>
      <c r="B6019" t="s">
        <v>68</v>
      </c>
      <c r="C6019" t="s">
        <v>127</v>
      </c>
      <c r="D6019" t="s">
        <v>128</v>
      </c>
      <c r="E6019">
        <v>2000</v>
      </c>
      <c r="F6019" s="1">
        <v>43472</v>
      </c>
      <c r="G6019">
        <v>2000</v>
      </c>
      <c r="H6019">
        <f>AVERAGEIFS(Table1[value],Table1[IndicatorCode],Table1[[#This Row],[IndicatorCode]])</f>
        <v>24902.88753799392</v>
      </c>
      <c r="I6019" cm="1">
        <f t="array" ref="I6019">_xlfn.STDEV.P(IF(Table1[IndicatorCode]=Table1[[#This Row],[IndicatorCode]],Table1[value]))</f>
        <v>26324.778297809873</v>
      </c>
      <c r="J6019">
        <f>(Table1[[#This Row],[value]] - Table1[[#This Row],[mean]]) / Table1[[#This Row],[std_dev]]</f>
        <v>0.70538533133823067</v>
      </c>
      <c r="K6019">
        <f>AVERAGEIF(Table1[CountryCode],Table1[[#This Row],[CountryCode]],Table1[z-score])</f>
        <v>0.55967304374969629</v>
      </c>
      <c r="L6019" t="e">
        <f>VLOOKUP(Table1[[#This Row],[CountryCode]],[1]!Table1[#All],1,FALSE)</f>
        <v>#REF!</v>
      </c>
    </row>
    <row r="6020" spans="1:12" hidden="1" x14ac:dyDescent="0.3">
      <c r="A6020" t="s">
        <v>67</v>
      </c>
      <c r="B6020" t="s">
        <v>68</v>
      </c>
      <c r="C6020" t="s">
        <v>127</v>
      </c>
      <c r="D6020" t="s">
        <v>128</v>
      </c>
      <c r="E6020">
        <v>2001</v>
      </c>
      <c r="F6020" s="1">
        <v>44546</v>
      </c>
      <c r="G6020">
        <v>2000</v>
      </c>
      <c r="H6020">
        <f>AVERAGEIFS(Table1[value],Table1[IndicatorCode],Table1[[#This Row],[IndicatorCode]])</f>
        <v>24902.88753799392</v>
      </c>
      <c r="I6020" cm="1">
        <f t="array" ref="I6020">_xlfn.STDEV.P(IF(Table1[IndicatorCode]=Table1[[#This Row],[IndicatorCode]],Table1[value]))</f>
        <v>26324.778297809873</v>
      </c>
      <c r="J6020">
        <f>(Table1[[#This Row],[value]] - Table1[[#This Row],[mean]]) / Table1[[#This Row],[std_dev]]</f>
        <v>0.74618339572646342</v>
      </c>
      <c r="K6020">
        <f>AVERAGEIF(Table1[CountryCode],Table1[[#This Row],[CountryCode]],Table1[z-score])</f>
        <v>0.55967304374969629</v>
      </c>
      <c r="L6020" t="e">
        <f>VLOOKUP(Table1[[#This Row],[CountryCode]],[1]!Table1[#All],1,FALSE)</f>
        <v>#REF!</v>
      </c>
    </row>
    <row r="6021" spans="1:12" hidden="1" x14ac:dyDescent="0.3">
      <c r="A6021" t="s">
        <v>67</v>
      </c>
      <c r="B6021" t="s">
        <v>68</v>
      </c>
      <c r="C6021" t="s">
        <v>127</v>
      </c>
      <c r="D6021" t="s">
        <v>128</v>
      </c>
      <c r="E6021">
        <v>2002</v>
      </c>
      <c r="F6021" s="1">
        <v>44390</v>
      </c>
      <c r="G6021">
        <v>2000</v>
      </c>
      <c r="H6021">
        <f>AVERAGEIFS(Table1[value],Table1[IndicatorCode],Table1[[#This Row],[IndicatorCode]])</f>
        <v>24902.88753799392</v>
      </c>
      <c r="I6021" cm="1">
        <f t="array" ref="I6021">_xlfn.STDEV.P(IF(Table1[IndicatorCode]=Table1[[#This Row],[IndicatorCode]],Table1[value]))</f>
        <v>26324.778297809873</v>
      </c>
      <c r="J6021">
        <f>(Table1[[#This Row],[value]] - Table1[[#This Row],[mean]]) / Table1[[#This Row],[std_dev]]</f>
        <v>0.74025741989353577</v>
      </c>
      <c r="K6021">
        <f>AVERAGEIF(Table1[CountryCode],Table1[[#This Row],[CountryCode]],Table1[z-score])</f>
        <v>0.55967304374969629</v>
      </c>
      <c r="L6021" t="e">
        <f>VLOOKUP(Table1[[#This Row],[CountryCode]],[1]!Table1[#All],1,FALSE)</f>
        <v>#REF!</v>
      </c>
    </row>
    <row r="6022" spans="1:12" hidden="1" x14ac:dyDescent="0.3">
      <c r="A6022" t="s">
        <v>67</v>
      </c>
      <c r="B6022" t="s">
        <v>68</v>
      </c>
      <c r="C6022" t="s">
        <v>127</v>
      </c>
      <c r="D6022" t="s">
        <v>128</v>
      </c>
      <c r="E6022">
        <v>2003</v>
      </c>
      <c r="F6022" s="1">
        <v>45089</v>
      </c>
      <c r="G6022">
        <v>2000</v>
      </c>
      <c r="H6022">
        <f>AVERAGEIFS(Table1[value],Table1[IndicatorCode],Table1[[#This Row],[IndicatorCode]])</f>
        <v>24902.88753799392</v>
      </c>
      <c r="I6022" cm="1">
        <f t="array" ref="I6022">_xlfn.STDEV.P(IF(Table1[IndicatorCode]=Table1[[#This Row],[IndicatorCode]],Table1[value]))</f>
        <v>26324.778297809873</v>
      </c>
      <c r="J6022">
        <f>(Table1[[#This Row],[value]] - Table1[[#This Row],[mean]]) / Table1[[#This Row],[std_dev]]</f>
        <v>0.76681035006800013</v>
      </c>
      <c r="K6022">
        <f>AVERAGEIF(Table1[CountryCode],Table1[[#This Row],[CountryCode]],Table1[z-score])</f>
        <v>0.55967304374969629</v>
      </c>
      <c r="L6022" t="e">
        <f>VLOOKUP(Table1[[#This Row],[CountryCode]],[1]!Table1[#All],1,FALSE)</f>
        <v>#REF!</v>
      </c>
    </row>
    <row r="6023" spans="1:12" hidden="1" x14ac:dyDescent="0.3">
      <c r="A6023" t="s">
        <v>67</v>
      </c>
      <c r="B6023" t="s">
        <v>68</v>
      </c>
      <c r="C6023" t="s">
        <v>127</v>
      </c>
      <c r="D6023" t="s">
        <v>128</v>
      </c>
      <c r="E6023">
        <v>2004</v>
      </c>
      <c r="F6023" s="1">
        <v>48102</v>
      </c>
      <c r="G6023">
        <v>2000</v>
      </c>
      <c r="H6023">
        <f>AVERAGEIFS(Table1[value],Table1[IndicatorCode],Table1[[#This Row],[IndicatorCode]])</f>
        <v>24902.88753799392</v>
      </c>
      <c r="I6023" cm="1">
        <f t="array" ref="I6023">_xlfn.STDEV.P(IF(Table1[IndicatorCode]=Table1[[#This Row],[IndicatorCode]],Table1[value]))</f>
        <v>26324.778297809873</v>
      </c>
      <c r="J6023">
        <f>(Table1[[#This Row],[value]] - Table1[[#This Row],[mean]]) / Table1[[#This Row],[std_dev]]</f>
        <v>0.88126525509755815</v>
      </c>
      <c r="K6023">
        <f>AVERAGEIF(Table1[CountryCode],Table1[[#This Row],[CountryCode]],Table1[z-score])</f>
        <v>0.55967304374969629</v>
      </c>
      <c r="L6023" t="e">
        <f>VLOOKUP(Table1[[#This Row],[CountryCode]],[1]!Table1[#All],1,FALSE)</f>
        <v>#REF!</v>
      </c>
    </row>
    <row r="6024" spans="1:12" hidden="1" x14ac:dyDescent="0.3">
      <c r="A6024" t="s">
        <v>67</v>
      </c>
      <c r="B6024" t="s">
        <v>68</v>
      </c>
      <c r="C6024" t="s">
        <v>127</v>
      </c>
      <c r="D6024" t="s">
        <v>128</v>
      </c>
      <c r="E6024">
        <v>2005</v>
      </c>
      <c r="F6024" s="1">
        <v>50674</v>
      </c>
      <c r="G6024">
        <v>2000</v>
      </c>
      <c r="H6024">
        <f>AVERAGEIFS(Table1[value],Table1[IndicatorCode],Table1[[#This Row],[IndicatorCode]])</f>
        <v>24902.88753799392</v>
      </c>
      <c r="I6024" cm="1">
        <f t="array" ref="I6024">_xlfn.STDEV.P(IF(Table1[IndicatorCode]=Table1[[#This Row],[IndicatorCode]],Table1[value]))</f>
        <v>26324.778297809873</v>
      </c>
      <c r="J6024">
        <f>(Table1[[#This Row],[value]] - Table1[[#This Row],[mean]]) / Table1[[#This Row],[std_dev]]</f>
        <v>0.97896788229172449</v>
      </c>
      <c r="K6024">
        <f>AVERAGEIF(Table1[CountryCode],Table1[[#This Row],[CountryCode]],Table1[z-score])</f>
        <v>0.55967304374969629</v>
      </c>
      <c r="L6024" t="e">
        <f>VLOOKUP(Table1[[#This Row],[CountryCode]],[1]!Table1[#All],1,FALSE)</f>
        <v>#REF!</v>
      </c>
    </row>
    <row r="6025" spans="1:12" hidden="1" x14ac:dyDescent="0.3">
      <c r="A6025" t="s">
        <v>67</v>
      </c>
      <c r="B6025" t="s">
        <v>68</v>
      </c>
      <c r="C6025" t="s">
        <v>127</v>
      </c>
      <c r="D6025" t="s">
        <v>128</v>
      </c>
      <c r="E6025">
        <v>2006</v>
      </c>
      <c r="F6025" s="1">
        <v>52306</v>
      </c>
      <c r="G6025">
        <v>2000</v>
      </c>
      <c r="H6025">
        <f>AVERAGEIFS(Table1[value],Table1[IndicatorCode],Table1[[#This Row],[IndicatorCode]])</f>
        <v>24902.88753799392</v>
      </c>
      <c r="I6025" cm="1">
        <f t="array" ref="I6025">_xlfn.STDEV.P(IF(Table1[IndicatorCode]=Table1[[#This Row],[IndicatorCode]],Table1[value]))</f>
        <v>26324.778297809873</v>
      </c>
      <c r="J6025">
        <f>(Table1[[#This Row],[value]] - Table1[[#This Row],[mean]]) / Table1[[#This Row],[std_dev]]</f>
        <v>1.0409627063900446</v>
      </c>
      <c r="K6025">
        <f>AVERAGEIF(Table1[CountryCode],Table1[[#This Row],[CountryCode]],Table1[z-score])</f>
        <v>0.55967304374969629</v>
      </c>
      <c r="L6025" t="e">
        <f>VLOOKUP(Table1[[#This Row],[CountryCode]],[1]!Table1[#All],1,FALSE)</f>
        <v>#REF!</v>
      </c>
    </row>
    <row r="6026" spans="1:12" hidden="1" x14ac:dyDescent="0.3">
      <c r="A6026" t="s">
        <v>67</v>
      </c>
      <c r="B6026" t="s">
        <v>68</v>
      </c>
      <c r="C6026" t="s">
        <v>127</v>
      </c>
      <c r="D6026" t="s">
        <v>128</v>
      </c>
      <c r="E6026">
        <v>2007</v>
      </c>
      <c r="F6026" s="1">
        <v>55457</v>
      </c>
      <c r="G6026">
        <v>2010</v>
      </c>
      <c r="H6026">
        <f>AVERAGEIFS(Table1[value],Table1[IndicatorCode],Table1[[#This Row],[IndicatorCode]])</f>
        <v>24902.88753799392</v>
      </c>
      <c r="I6026" cm="1">
        <f t="array" ref="I6026">_xlfn.STDEV.P(IF(Table1[IndicatorCode]=Table1[[#This Row],[IndicatorCode]],Table1[value]))</f>
        <v>26324.778297809873</v>
      </c>
      <c r="J6026">
        <f>(Table1[[#This Row],[value]] - Table1[[#This Row],[mean]]) / Table1[[#This Row],[std_dev]]</f>
        <v>1.1606598208102696</v>
      </c>
      <c r="K6026">
        <f>AVERAGEIF(Table1[CountryCode],Table1[[#This Row],[CountryCode]],Table1[z-score])</f>
        <v>0.55967304374969629</v>
      </c>
      <c r="L6026" t="e">
        <f>VLOOKUP(Table1[[#This Row],[CountryCode]],[1]!Table1[#All],1,FALSE)</f>
        <v>#REF!</v>
      </c>
    </row>
    <row r="6027" spans="1:12" hidden="1" x14ac:dyDescent="0.3">
      <c r="A6027" t="s">
        <v>67</v>
      </c>
      <c r="B6027" t="s">
        <v>68</v>
      </c>
      <c r="C6027" t="s">
        <v>127</v>
      </c>
      <c r="D6027" t="s">
        <v>128</v>
      </c>
      <c r="E6027">
        <v>2008</v>
      </c>
      <c r="F6027" s="1">
        <v>55361</v>
      </c>
      <c r="G6027">
        <v>2010</v>
      </c>
      <c r="H6027">
        <f>AVERAGEIFS(Table1[value],Table1[IndicatorCode],Table1[[#This Row],[IndicatorCode]])</f>
        <v>24902.88753799392</v>
      </c>
      <c r="I6027" cm="1">
        <f t="array" ref="I6027">_xlfn.STDEV.P(IF(Table1[IndicatorCode]=Table1[[#This Row],[IndicatorCode]],Table1[value]))</f>
        <v>26324.778297809873</v>
      </c>
      <c r="J6027">
        <f>(Table1[[#This Row],[value]] - Table1[[#This Row],[mean]]) / Table1[[#This Row],[std_dev]]</f>
        <v>1.1570130664515448</v>
      </c>
      <c r="K6027">
        <f>AVERAGEIF(Table1[CountryCode],Table1[[#This Row],[CountryCode]],Table1[z-score])</f>
        <v>0.55967304374969629</v>
      </c>
      <c r="L6027" t="e">
        <f>VLOOKUP(Table1[[#This Row],[CountryCode]],[1]!Table1[#All],1,FALSE)</f>
        <v>#REF!</v>
      </c>
    </row>
    <row r="6028" spans="1:12" hidden="1" x14ac:dyDescent="0.3">
      <c r="A6028" t="s">
        <v>67</v>
      </c>
      <c r="B6028" t="s">
        <v>68</v>
      </c>
      <c r="C6028" t="s">
        <v>127</v>
      </c>
      <c r="D6028" t="s">
        <v>128</v>
      </c>
      <c r="E6028">
        <v>2009</v>
      </c>
      <c r="F6028" s="1">
        <v>50581</v>
      </c>
      <c r="G6028">
        <v>2010</v>
      </c>
      <c r="H6028">
        <f>AVERAGEIFS(Table1[value],Table1[IndicatorCode],Table1[[#This Row],[IndicatorCode]])</f>
        <v>24902.88753799392</v>
      </c>
      <c r="I6028" cm="1">
        <f t="array" ref="I6028">_xlfn.STDEV.P(IF(Table1[IndicatorCode]=Table1[[#This Row],[IndicatorCode]],Table1[value]))</f>
        <v>26324.778297809873</v>
      </c>
      <c r="J6028">
        <f>(Table1[[#This Row],[value]] - Table1[[#This Row],[mean]]) / Table1[[#This Row],[std_dev]]</f>
        <v>0.97543508900670994</v>
      </c>
      <c r="K6028">
        <f>AVERAGEIF(Table1[CountryCode],Table1[[#This Row],[CountryCode]],Table1[z-score])</f>
        <v>0.55967304374969629</v>
      </c>
      <c r="L6028" t="e">
        <f>VLOOKUP(Table1[[#This Row],[CountryCode]],[1]!Table1[#All],1,FALSE)</f>
        <v>#REF!</v>
      </c>
    </row>
    <row r="6029" spans="1:12" hidden="1" x14ac:dyDescent="0.3">
      <c r="A6029" t="s">
        <v>67</v>
      </c>
      <c r="B6029" t="s">
        <v>68</v>
      </c>
      <c r="C6029" t="s">
        <v>127</v>
      </c>
      <c r="D6029" t="s">
        <v>128</v>
      </c>
      <c r="E6029">
        <v>2010</v>
      </c>
      <c r="F6029" s="1">
        <v>49528</v>
      </c>
      <c r="G6029">
        <v>2010</v>
      </c>
      <c r="H6029">
        <f>AVERAGEIFS(Table1[value],Table1[IndicatorCode],Table1[[#This Row],[IndicatorCode]])</f>
        <v>24902.88753799392</v>
      </c>
      <c r="I6029" cm="1">
        <f t="array" ref="I6029">_xlfn.STDEV.P(IF(Table1[IndicatorCode]=Table1[[#This Row],[IndicatorCode]],Table1[value]))</f>
        <v>26324.778297809873</v>
      </c>
      <c r="J6029">
        <f>(Table1[[#This Row],[value]] - Table1[[#This Row],[mean]]) / Table1[[#This Row],[std_dev]]</f>
        <v>0.93543475213444816</v>
      </c>
      <c r="K6029">
        <f>AVERAGEIF(Table1[CountryCode],Table1[[#This Row],[CountryCode]],Table1[z-score])</f>
        <v>0.55967304374969629</v>
      </c>
      <c r="L6029" t="e">
        <f>VLOOKUP(Table1[[#This Row],[CountryCode]],[1]!Table1[#All],1,FALSE)</f>
        <v>#REF!</v>
      </c>
    </row>
    <row r="6030" spans="1:12" hidden="1" x14ac:dyDescent="0.3">
      <c r="A6030" t="s">
        <v>67</v>
      </c>
      <c r="B6030" t="s">
        <v>68</v>
      </c>
      <c r="C6030" t="s">
        <v>127</v>
      </c>
      <c r="D6030" t="s">
        <v>128</v>
      </c>
      <c r="E6030">
        <v>2011</v>
      </c>
      <c r="F6030" s="1">
        <v>50059</v>
      </c>
      <c r="G6030">
        <v>2010</v>
      </c>
      <c r="H6030">
        <f>AVERAGEIFS(Table1[value],Table1[IndicatorCode],Table1[[#This Row],[IndicatorCode]])</f>
        <v>24902.88753799392</v>
      </c>
      <c r="I6030" cm="1">
        <f t="array" ref="I6030">_xlfn.STDEV.P(IF(Table1[IndicatorCode]=Table1[[#This Row],[IndicatorCode]],Table1[value]))</f>
        <v>26324.778297809873</v>
      </c>
      <c r="J6030">
        <f>(Table1[[#This Row],[value]] - Table1[[#This Row],[mean]]) / Table1[[#This Row],[std_dev]]</f>
        <v>0.95560586218114429</v>
      </c>
      <c r="K6030">
        <f>AVERAGEIF(Table1[CountryCode],Table1[[#This Row],[CountryCode]],Table1[z-score])</f>
        <v>0.55967304374969629</v>
      </c>
      <c r="L6030" t="e">
        <f>VLOOKUP(Table1[[#This Row],[CountryCode]],[1]!Table1[#All],1,FALSE)</f>
        <v>#REF!</v>
      </c>
    </row>
    <row r="6031" spans="1:12" hidden="1" x14ac:dyDescent="0.3">
      <c r="A6031" t="s">
        <v>67</v>
      </c>
      <c r="B6031" t="s">
        <v>68</v>
      </c>
      <c r="C6031" t="s">
        <v>127</v>
      </c>
      <c r="D6031" t="s">
        <v>128</v>
      </c>
      <c r="E6031">
        <v>2012</v>
      </c>
      <c r="F6031" s="1">
        <v>50375</v>
      </c>
      <c r="G6031">
        <v>2010</v>
      </c>
      <c r="H6031">
        <f>AVERAGEIFS(Table1[value],Table1[IndicatorCode],Table1[[#This Row],[IndicatorCode]])</f>
        <v>24902.88753799392</v>
      </c>
      <c r="I6031" cm="1">
        <f t="array" ref="I6031">_xlfn.STDEV.P(IF(Table1[IndicatorCode]=Table1[[#This Row],[IndicatorCode]],Table1[value]))</f>
        <v>26324.778297809873</v>
      </c>
      <c r="J6031">
        <f>(Table1[[#This Row],[value]] - Table1[[#This Row],[mean]]) / Table1[[#This Row],[std_dev]]</f>
        <v>0.96760976194527981</v>
      </c>
      <c r="K6031">
        <f>AVERAGEIF(Table1[CountryCode],Table1[[#This Row],[CountryCode]],Table1[z-score])</f>
        <v>0.55967304374969629</v>
      </c>
      <c r="L6031" t="e">
        <f>VLOOKUP(Table1[[#This Row],[CountryCode]],[1]!Table1[#All],1,FALSE)</f>
        <v>#REF!</v>
      </c>
    </row>
    <row r="6032" spans="1:12" hidden="1" x14ac:dyDescent="0.3">
      <c r="A6032" t="s">
        <v>67</v>
      </c>
      <c r="B6032" t="s">
        <v>68</v>
      </c>
      <c r="C6032" t="s">
        <v>127</v>
      </c>
      <c r="D6032" t="s">
        <v>128</v>
      </c>
      <c r="E6032">
        <v>2013</v>
      </c>
      <c r="F6032" s="1">
        <v>51696</v>
      </c>
      <c r="G6032">
        <v>2010</v>
      </c>
      <c r="H6032">
        <f>AVERAGEIFS(Table1[value],Table1[IndicatorCode],Table1[[#This Row],[IndicatorCode]])</f>
        <v>24902.88753799392</v>
      </c>
      <c r="I6032" cm="1">
        <f t="array" ref="I6032">_xlfn.STDEV.P(IF(Table1[IndicatorCode]=Table1[[#This Row],[IndicatorCode]],Table1[value]))</f>
        <v>26324.778297809873</v>
      </c>
      <c r="J6032">
        <f>(Table1[[#This Row],[value]] - Table1[[#This Row],[mean]]) / Table1[[#This Row],[std_dev]]</f>
        <v>1.0177906214023147</v>
      </c>
      <c r="K6032">
        <f>AVERAGEIF(Table1[CountryCode],Table1[[#This Row],[CountryCode]],Table1[z-score])</f>
        <v>0.55967304374969629</v>
      </c>
      <c r="L6032" t="e">
        <f>VLOOKUP(Table1[[#This Row],[CountryCode]],[1]!Table1[#All],1,FALSE)</f>
        <v>#REF!</v>
      </c>
    </row>
    <row r="6033" spans="1:12" hidden="1" x14ac:dyDescent="0.3">
      <c r="A6033" t="s">
        <v>67</v>
      </c>
      <c r="B6033" t="s">
        <v>68</v>
      </c>
      <c r="C6033" t="s">
        <v>127</v>
      </c>
      <c r="D6033" t="s">
        <v>128</v>
      </c>
      <c r="E6033">
        <v>2014</v>
      </c>
      <c r="F6033" s="1">
        <v>52103</v>
      </c>
      <c r="G6033">
        <v>2010</v>
      </c>
      <c r="H6033">
        <f>AVERAGEIFS(Table1[value],Table1[IndicatorCode],Table1[[#This Row],[IndicatorCode]])</f>
        <v>24902.88753799392</v>
      </c>
      <c r="I6033" cm="1">
        <f t="array" ref="I6033">_xlfn.STDEV.P(IF(Table1[IndicatorCode]=Table1[[#This Row],[IndicatorCode]],Table1[value]))</f>
        <v>26324.778297809873</v>
      </c>
      <c r="J6033">
        <f>(Table1[[#This Row],[value]] - Table1[[#This Row],[mean]]) / Table1[[#This Row],[std_dev]]</f>
        <v>1.0332513404023247</v>
      </c>
      <c r="K6033">
        <f>AVERAGEIF(Table1[CountryCode],Table1[[#This Row],[CountryCode]],Table1[z-score])</f>
        <v>0.55967304374969629</v>
      </c>
      <c r="L6033" t="e">
        <f>VLOOKUP(Table1[[#This Row],[CountryCode]],[1]!Table1[#All],1,FALSE)</f>
        <v>#REF!</v>
      </c>
    </row>
    <row r="6034" spans="1:12" hidden="1" x14ac:dyDescent="0.3">
      <c r="A6034" t="s">
        <v>67</v>
      </c>
      <c r="B6034" t="s">
        <v>68</v>
      </c>
      <c r="C6034" t="s">
        <v>127</v>
      </c>
      <c r="D6034" t="s">
        <v>128</v>
      </c>
      <c r="E6034">
        <v>2015</v>
      </c>
      <c r="F6034" s="1">
        <v>53506</v>
      </c>
      <c r="G6034">
        <v>2010</v>
      </c>
      <c r="H6034">
        <f>AVERAGEIFS(Table1[value],Table1[IndicatorCode],Table1[[#This Row],[IndicatorCode]])</f>
        <v>24902.88753799392</v>
      </c>
      <c r="I6034" cm="1">
        <f t="array" ref="I6034">_xlfn.STDEV.P(IF(Table1[IndicatorCode]=Table1[[#This Row],[IndicatorCode]],Table1[value]))</f>
        <v>26324.778297809873</v>
      </c>
      <c r="J6034">
        <f>(Table1[[#This Row],[value]] - Table1[[#This Row],[mean]]) / Table1[[#This Row],[std_dev]]</f>
        <v>1.0865471358741037</v>
      </c>
      <c r="K6034">
        <f>AVERAGEIF(Table1[CountryCode],Table1[[#This Row],[CountryCode]],Table1[z-score])</f>
        <v>0.55967304374969629</v>
      </c>
      <c r="L6034" t="e">
        <f>VLOOKUP(Table1[[#This Row],[CountryCode]],[1]!Table1[#All],1,FALSE)</f>
        <v>#REF!</v>
      </c>
    </row>
    <row r="6035" spans="1:12" hidden="1" x14ac:dyDescent="0.3">
      <c r="A6035" t="s">
        <v>67</v>
      </c>
      <c r="B6035" t="s">
        <v>68</v>
      </c>
      <c r="C6035" t="s">
        <v>127</v>
      </c>
      <c r="D6035" t="s">
        <v>128</v>
      </c>
      <c r="E6035">
        <v>2016</v>
      </c>
      <c r="F6035" s="1">
        <v>56049</v>
      </c>
      <c r="G6035">
        <v>2010</v>
      </c>
      <c r="H6035">
        <f>AVERAGEIFS(Table1[value],Table1[IndicatorCode],Table1[[#This Row],[IndicatorCode]])</f>
        <v>24902.88753799392</v>
      </c>
      <c r="I6035" cm="1">
        <f t="array" ref="I6035">_xlfn.STDEV.P(IF(Table1[IndicatorCode]=Table1[[#This Row],[IndicatorCode]],Table1[value]))</f>
        <v>26324.778297809873</v>
      </c>
      <c r="J6035">
        <f>(Table1[[#This Row],[value]] - Table1[[#This Row],[mean]]) / Table1[[#This Row],[std_dev]]</f>
        <v>1.1831481393557386</v>
      </c>
      <c r="K6035">
        <f>AVERAGEIF(Table1[CountryCode],Table1[[#This Row],[CountryCode]],Table1[z-score])</f>
        <v>0.55967304374969629</v>
      </c>
      <c r="L6035" t="e">
        <f>VLOOKUP(Table1[[#This Row],[CountryCode]],[1]!Table1[#All],1,FALSE)</f>
        <v>#REF!</v>
      </c>
    </row>
    <row r="6036" spans="1:12" hidden="1" x14ac:dyDescent="0.3">
      <c r="A6036" t="s">
        <v>67</v>
      </c>
      <c r="B6036" t="s">
        <v>68</v>
      </c>
      <c r="C6036" t="s">
        <v>127</v>
      </c>
      <c r="D6036" t="s">
        <v>128</v>
      </c>
      <c r="E6036">
        <v>2017</v>
      </c>
      <c r="F6036" s="1">
        <v>56658</v>
      </c>
      <c r="G6036">
        <v>2020</v>
      </c>
      <c r="H6036">
        <f>AVERAGEIFS(Table1[value],Table1[IndicatorCode],Table1[[#This Row],[IndicatorCode]])</f>
        <v>24902.88753799392</v>
      </c>
      <c r="I6036" cm="1">
        <f t="array" ref="I6036">_xlfn.STDEV.P(IF(Table1[IndicatorCode]=Table1[[#This Row],[IndicatorCode]],Table1[value]))</f>
        <v>26324.778297809873</v>
      </c>
      <c r="J6036">
        <f>(Table1[[#This Row],[value]] - Table1[[#This Row],[mean]]) / Table1[[#This Row],[std_dev]]</f>
        <v>1.2062822373188986</v>
      </c>
      <c r="K6036">
        <f>AVERAGEIF(Table1[CountryCode],Table1[[#This Row],[CountryCode]],Table1[z-score])</f>
        <v>0.55967304374969629</v>
      </c>
      <c r="L6036" t="e">
        <f>VLOOKUP(Table1[[#This Row],[CountryCode]],[1]!Table1[#All],1,FALSE)</f>
        <v>#REF!</v>
      </c>
    </row>
    <row r="6037" spans="1:12" hidden="1" x14ac:dyDescent="0.3">
      <c r="A6037" t="s">
        <v>67</v>
      </c>
      <c r="B6037" t="s">
        <v>68</v>
      </c>
      <c r="C6037" t="s">
        <v>127</v>
      </c>
      <c r="D6037" t="s">
        <v>128</v>
      </c>
      <c r="E6037">
        <v>2018</v>
      </c>
      <c r="F6037" s="1">
        <v>57732</v>
      </c>
      <c r="G6037">
        <v>2020</v>
      </c>
      <c r="H6037">
        <f>AVERAGEIFS(Table1[value],Table1[IndicatorCode],Table1[[#This Row],[IndicatorCode]])</f>
        <v>24902.88753799392</v>
      </c>
      <c r="I6037" cm="1">
        <f t="array" ref="I6037">_xlfn.STDEV.P(IF(Table1[IndicatorCode]=Table1[[#This Row],[IndicatorCode]],Table1[value]))</f>
        <v>26324.778297809873</v>
      </c>
      <c r="J6037">
        <f>(Table1[[#This Row],[value]] - Table1[[#This Row],[mean]]) / Table1[[#This Row],[std_dev]]</f>
        <v>1.2470803017071312</v>
      </c>
      <c r="K6037">
        <f>AVERAGEIF(Table1[CountryCode],Table1[[#This Row],[CountryCode]],Table1[z-score])</f>
        <v>0.55967304374969629</v>
      </c>
      <c r="L6037" t="e">
        <f>VLOOKUP(Table1[[#This Row],[CountryCode]],[1]!Table1[#All],1,FALSE)</f>
        <v>#REF!</v>
      </c>
    </row>
    <row r="6038" spans="1:12" hidden="1" x14ac:dyDescent="0.3">
      <c r="A6038" t="s">
        <v>67</v>
      </c>
      <c r="B6038" t="s">
        <v>68</v>
      </c>
      <c r="C6038" t="s">
        <v>127</v>
      </c>
      <c r="D6038" t="s">
        <v>128</v>
      </c>
      <c r="E6038">
        <v>2019</v>
      </c>
      <c r="F6038" s="1">
        <v>57119</v>
      </c>
      <c r="G6038">
        <v>2020</v>
      </c>
      <c r="H6038">
        <f>AVERAGEIFS(Table1[value],Table1[IndicatorCode],Table1[[#This Row],[IndicatorCode]])</f>
        <v>24902.88753799392</v>
      </c>
      <c r="I6038" cm="1">
        <f t="array" ref="I6038">_xlfn.STDEV.P(IF(Table1[IndicatorCode]=Table1[[#This Row],[IndicatorCode]],Table1[value]))</f>
        <v>26324.778297809873</v>
      </c>
      <c r="J6038">
        <f>(Table1[[#This Row],[value]] - Table1[[#This Row],[mean]]) / Table1[[#This Row],[std_dev]]</f>
        <v>1.2237942556456913</v>
      </c>
      <c r="K6038">
        <f>AVERAGEIF(Table1[CountryCode],Table1[[#This Row],[CountryCode]],Table1[z-score])</f>
        <v>0.55967304374969629</v>
      </c>
      <c r="L6038" t="e">
        <f>VLOOKUP(Table1[[#This Row],[CountryCode]],[1]!Table1[#All],1,FALSE)</f>
        <v>#REF!</v>
      </c>
    </row>
    <row r="6039" spans="1:12" x14ac:dyDescent="0.3">
      <c r="A6039" t="s">
        <v>33</v>
      </c>
      <c r="B6039" t="s">
        <v>34</v>
      </c>
      <c r="C6039" t="s">
        <v>127</v>
      </c>
      <c r="D6039" t="s">
        <v>128</v>
      </c>
      <c r="E6039">
        <v>2020</v>
      </c>
      <c r="F6039" s="1">
        <v>19233</v>
      </c>
      <c r="G6039">
        <v>2020</v>
      </c>
      <c r="H6039">
        <f>AVERAGEIFS(Table1[value],Table1[IndicatorCode],Table1[[#This Row],[IndicatorCode]])</f>
        <v>24902.88753799392</v>
      </c>
      <c r="I6039" cm="1">
        <f t="array" ref="I6039">_xlfn.STDEV.P(IF(Table1[IndicatorCode]=Table1[[#This Row],[IndicatorCode]],Table1[value]))</f>
        <v>26324.778297809873</v>
      </c>
      <c r="J6039">
        <f>(Table1[[#This Row],[value]] - Table1[[#This Row],[mean]]) / Table1[[#This Row],[std_dev]]</f>
        <v>-0.21538215721519047</v>
      </c>
      <c r="K6039">
        <f>AVERAGEIF(Table1[CountryCode],Table1[[#This Row],[CountryCode]],Table1[z-score])</f>
        <v>0.38305593592472742</v>
      </c>
    </row>
    <row r="6040" spans="1:12" hidden="1" x14ac:dyDescent="0.3">
      <c r="A6040" t="s">
        <v>67</v>
      </c>
      <c r="B6040" t="s">
        <v>68</v>
      </c>
      <c r="C6040" t="s">
        <v>127</v>
      </c>
      <c r="D6040" t="s">
        <v>128</v>
      </c>
      <c r="E6040">
        <v>2021</v>
      </c>
      <c r="F6040" s="1">
        <v>54285</v>
      </c>
      <c r="G6040">
        <v>2020</v>
      </c>
      <c r="H6040">
        <f>AVERAGEIFS(Table1[value],Table1[IndicatorCode],Table1[[#This Row],[IndicatorCode]])</f>
        <v>24902.88753799392</v>
      </c>
      <c r="I6040" cm="1">
        <f t="array" ref="I6040">_xlfn.STDEV.P(IF(Table1[IndicatorCode]=Table1[[#This Row],[IndicatorCode]],Table1[value]))</f>
        <v>26324.778297809873</v>
      </c>
      <c r="J6040">
        <f>(Table1[[#This Row],[value]] - Table1[[#This Row],[mean]]) / Table1[[#This Row],[std_dev]]</f>
        <v>1.1161390280141719</v>
      </c>
      <c r="K6040">
        <f>AVERAGEIF(Table1[CountryCode],Table1[[#This Row],[CountryCode]],Table1[z-score])</f>
        <v>0.55967304374969629</v>
      </c>
      <c r="L6040" t="e">
        <f>VLOOKUP(Table1[[#This Row],[CountryCode]],[1]!Table1[#All],1,FALSE)</f>
        <v>#REF!</v>
      </c>
    </row>
    <row r="6041" spans="1:12" hidden="1" x14ac:dyDescent="0.3">
      <c r="A6041" t="s">
        <v>67</v>
      </c>
      <c r="B6041" t="s">
        <v>68</v>
      </c>
      <c r="C6041" t="s">
        <v>127</v>
      </c>
      <c r="D6041" t="s">
        <v>128</v>
      </c>
      <c r="E6041">
        <v>2022</v>
      </c>
      <c r="F6041" s="1">
        <v>57607</v>
      </c>
      <c r="G6041">
        <v>1960</v>
      </c>
      <c r="H6041">
        <f>AVERAGEIFS(Table1[value],Table1[IndicatorCode],Table1[[#This Row],[IndicatorCode]])</f>
        <v>24902.88753799392</v>
      </c>
      <c r="I6041" cm="1">
        <f t="array" ref="I6041">_xlfn.STDEV.P(IF(Table1[IndicatorCode]=Table1[[#This Row],[IndicatorCode]],Table1[value]))</f>
        <v>26324.778297809873</v>
      </c>
      <c r="J6041">
        <f>(Table1[[#This Row],[value]] - Table1[[#This Row],[mean]]) / Table1[[#This Row],[std_dev]]</f>
        <v>1.2423319236358752</v>
      </c>
      <c r="K6041">
        <f>AVERAGEIF(Table1[CountryCode],Table1[[#This Row],[CountryCode]],Table1[z-score])</f>
        <v>0.55967304374969629</v>
      </c>
      <c r="L6041" t="e">
        <f>VLOOKUP(Table1[[#This Row],[CountryCode]],[1]!Table1[#All],1,FALSE)</f>
        <v>#REF!</v>
      </c>
    </row>
    <row r="6042" spans="1:12" hidden="1" x14ac:dyDescent="0.3">
      <c r="A6042" t="s">
        <v>67</v>
      </c>
      <c r="B6042" t="s">
        <v>68</v>
      </c>
      <c r="C6042" t="s">
        <v>127</v>
      </c>
      <c r="D6042" t="s">
        <v>128</v>
      </c>
      <c r="E6042">
        <v>2023</v>
      </c>
      <c r="F6042" s="1">
        <v>60019</v>
      </c>
      <c r="G6042">
        <v>1960</v>
      </c>
      <c r="H6042">
        <f>AVERAGEIFS(Table1[value],Table1[IndicatorCode],Table1[[#This Row],[IndicatorCode]])</f>
        <v>24902.88753799392</v>
      </c>
      <c r="I6042" cm="1">
        <f t="array" ref="I6042">_xlfn.STDEV.P(IF(Table1[IndicatorCode]=Table1[[#This Row],[IndicatorCode]],Table1[value]))</f>
        <v>26324.778297809873</v>
      </c>
      <c r="J6042">
        <f>(Table1[[#This Row],[value]] - Table1[[#This Row],[mean]]) / Table1[[#This Row],[std_dev]]</f>
        <v>1.3339566268988337</v>
      </c>
      <c r="K6042">
        <f>AVERAGEIF(Table1[CountryCode],Table1[[#This Row],[CountryCode]],Table1[z-score])</f>
        <v>0.55967304374969629</v>
      </c>
      <c r="L6042" t="e">
        <f>VLOOKUP(Table1[[#This Row],[CountryCode]],[1]!Table1[#All],1,FALSE)</f>
        <v>#REF!</v>
      </c>
    </row>
    <row r="6043" spans="1:12" hidden="1" x14ac:dyDescent="0.3">
      <c r="A6043" t="s">
        <v>67</v>
      </c>
      <c r="B6043" t="s">
        <v>68</v>
      </c>
      <c r="C6043" t="s">
        <v>127</v>
      </c>
      <c r="D6043" t="s">
        <v>128</v>
      </c>
      <c r="E6043">
        <v>2024</v>
      </c>
      <c r="F6043" s="1">
        <v>59307</v>
      </c>
      <c r="G6043">
        <v>1960</v>
      </c>
      <c r="H6043">
        <f>AVERAGEIFS(Table1[value],Table1[IndicatorCode],Table1[[#This Row],[IndicatorCode]])</f>
        <v>24902.88753799392</v>
      </c>
      <c r="I6043" cm="1">
        <f t="array" ref="I6043">_xlfn.STDEV.P(IF(Table1[IndicatorCode]=Table1[[#This Row],[IndicatorCode]],Table1[value]))</f>
        <v>26324.778297809873</v>
      </c>
      <c r="J6043">
        <f>(Table1[[#This Row],[value]] - Table1[[#This Row],[mean]]) / Table1[[#This Row],[std_dev]]</f>
        <v>1.3069098654049587</v>
      </c>
      <c r="K6043">
        <f>AVERAGEIF(Table1[CountryCode],Table1[[#This Row],[CountryCode]],Table1[z-score])</f>
        <v>0.55967304374969629</v>
      </c>
      <c r="L6043" t="e">
        <f>VLOOKUP(Table1[[#This Row],[CountryCode]],[1]!Table1[#All],1,FALSE)</f>
        <v>#REF!</v>
      </c>
    </row>
    <row r="6044" spans="1:12" hidden="1" x14ac:dyDescent="0.3">
      <c r="A6044" t="s">
        <v>69</v>
      </c>
      <c r="B6044" t="s">
        <v>70</v>
      </c>
      <c r="C6044" t="s">
        <v>127</v>
      </c>
      <c r="D6044" t="s">
        <v>128</v>
      </c>
      <c r="E6044">
        <v>1960</v>
      </c>
      <c r="F6044" s="1">
        <v>9731</v>
      </c>
      <c r="G6044">
        <v>1960</v>
      </c>
      <c r="H6044">
        <f>AVERAGEIFS(Table1[value],Table1[IndicatorCode],Table1[[#This Row],[IndicatorCode]])</f>
        <v>24902.88753799392</v>
      </c>
      <c r="I6044" cm="1">
        <f t="array" ref="I6044">_xlfn.STDEV.P(IF(Table1[IndicatorCode]=Table1[[#This Row],[IndicatorCode]],Table1[value]))</f>
        <v>26324.778297809873</v>
      </c>
      <c r="J6044">
        <f>(Table1[[#This Row],[value]] - Table1[[#This Row],[mean]]) / Table1[[#This Row],[std_dev]]</f>
        <v>-0.57633486467979733</v>
      </c>
      <c r="K6044">
        <f>AVERAGEIF(Table1[CountryCode],Table1[[#This Row],[CountryCode]],Table1[z-score])</f>
        <v>0.20445029067007053</v>
      </c>
      <c r="L6044" t="e">
        <f>VLOOKUP(Table1[[#This Row],[CountryCode]],[1]!Table1[#All],1,FALSE)</f>
        <v>#REF!</v>
      </c>
    </row>
    <row r="6045" spans="1:12" hidden="1" x14ac:dyDescent="0.3">
      <c r="A6045" t="s">
        <v>69</v>
      </c>
      <c r="B6045" t="s">
        <v>70</v>
      </c>
      <c r="C6045" t="s">
        <v>127</v>
      </c>
      <c r="D6045" t="s">
        <v>128</v>
      </c>
      <c r="E6045">
        <v>1961</v>
      </c>
      <c r="F6045" s="1">
        <v>10460</v>
      </c>
      <c r="G6045">
        <v>1960</v>
      </c>
      <c r="H6045">
        <f>AVERAGEIFS(Table1[value],Table1[IndicatorCode],Table1[[#This Row],[IndicatorCode]])</f>
        <v>24902.88753799392</v>
      </c>
      <c r="I6045" cm="1">
        <f t="array" ref="I6045">_xlfn.STDEV.P(IF(Table1[IndicatorCode]=Table1[[#This Row],[IndicatorCode]],Table1[value]))</f>
        <v>26324.778297809873</v>
      </c>
      <c r="J6045">
        <f>(Table1[[#This Row],[value]] - Table1[[#This Row],[mean]]) / Table1[[#This Row],[std_dev]]</f>
        <v>-0.54864232376823152</v>
      </c>
      <c r="K6045">
        <f>AVERAGEIF(Table1[CountryCode],Table1[[#This Row],[CountryCode]],Table1[z-score])</f>
        <v>0.20445029067007053</v>
      </c>
      <c r="L6045" t="e">
        <f>VLOOKUP(Table1[[#This Row],[CountryCode]],[1]!Table1[#All],1,FALSE)</f>
        <v>#REF!</v>
      </c>
    </row>
    <row r="6046" spans="1:12" hidden="1" x14ac:dyDescent="0.3">
      <c r="A6046" t="s">
        <v>69</v>
      </c>
      <c r="B6046" t="s">
        <v>70</v>
      </c>
      <c r="C6046" t="s">
        <v>127</v>
      </c>
      <c r="D6046" t="s">
        <v>128</v>
      </c>
      <c r="E6046">
        <v>1962</v>
      </c>
      <c r="F6046" s="1">
        <v>11034</v>
      </c>
      <c r="G6046">
        <v>1960</v>
      </c>
      <c r="H6046">
        <f>AVERAGEIFS(Table1[value],Table1[IndicatorCode],Table1[[#This Row],[IndicatorCode]])</f>
        <v>24902.88753799392</v>
      </c>
      <c r="I6046" cm="1">
        <f t="array" ref="I6046">_xlfn.STDEV.P(IF(Table1[IndicatorCode]=Table1[[#This Row],[IndicatorCode]],Table1[value]))</f>
        <v>26324.778297809873</v>
      </c>
      <c r="J6046">
        <f>(Table1[[#This Row],[value]] - Table1[[#This Row],[mean]]) / Table1[[#This Row],[std_dev]]</f>
        <v>-0.52683777166502332</v>
      </c>
      <c r="K6046">
        <f>AVERAGEIF(Table1[CountryCode],Table1[[#This Row],[CountryCode]],Table1[z-score])</f>
        <v>0.20445029067007053</v>
      </c>
      <c r="L6046" t="e">
        <f>VLOOKUP(Table1[[#This Row],[CountryCode]],[1]!Table1[#All],1,FALSE)</f>
        <v>#REF!</v>
      </c>
    </row>
    <row r="6047" spans="1:12" hidden="1" x14ac:dyDescent="0.3">
      <c r="A6047" t="s">
        <v>69</v>
      </c>
      <c r="B6047" t="s">
        <v>70</v>
      </c>
      <c r="C6047" t="s">
        <v>127</v>
      </c>
      <c r="D6047" t="s">
        <v>128</v>
      </c>
      <c r="E6047">
        <v>1963</v>
      </c>
      <c r="F6047" s="1">
        <v>11568</v>
      </c>
      <c r="G6047">
        <v>1960</v>
      </c>
      <c r="H6047">
        <f>AVERAGEIFS(Table1[value],Table1[IndicatorCode],Table1[[#This Row],[IndicatorCode]])</f>
        <v>24902.88753799392</v>
      </c>
      <c r="I6047" cm="1">
        <f t="array" ref="I6047">_xlfn.STDEV.P(IF(Table1[IndicatorCode]=Table1[[#This Row],[IndicatorCode]],Table1[value]))</f>
        <v>26324.778297809873</v>
      </c>
      <c r="J6047">
        <f>(Table1[[#This Row],[value]] - Table1[[#This Row],[mean]]) / Table1[[#This Row],[std_dev]]</f>
        <v>-0.5065527005446171</v>
      </c>
      <c r="K6047">
        <f>AVERAGEIF(Table1[CountryCode],Table1[[#This Row],[CountryCode]],Table1[z-score])</f>
        <v>0.20445029067007053</v>
      </c>
      <c r="L6047" t="e">
        <f>VLOOKUP(Table1[[#This Row],[CountryCode]],[1]!Table1[#All],1,FALSE)</f>
        <v>#REF!</v>
      </c>
    </row>
    <row r="6048" spans="1:12" hidden="1" x14ac:dyDescent="0.3">
      <c r="A6048" t="s">
        <v>69</v>
      </c>
      <c r="B6048" t="s">
        <v>70</v>
      </c>
      <c r="C6048" t="s">
        <v>127</v>
      </c>
      <c r="D6048" t="s">
        <v>128</v>
      </c>
      <c r="E6048">
        <v>1964</v>
      </c>
      <c r="F6048" s="1">
        <v>11794</v>
      </c>
      <c r="G6048">
        <v>1960</v>
      </c>
      <c r="H6048">
        <f>AVERAGEIFS(Table1[value],Table1[IndicatorCode],Table1[[#This Row],[IndicatorCode]])</f>
        <v>24902.88753799392</v>
      </c>
      <c r="I6048" cm="1">
        <f t="array" ref="I6048">_xlfn.STDEV.P(IF(Table1[IndicatorCode]=Table1[[#This Row],[IndicatorCode]],Table1[value]))</f>
        <v>26324.778297809873</v>
      </c>
      <c r="J6048">
        <f>(Table1[[#This Row],[value]] - Table1[[#This Row],[mean]]) / Table1[[#This Row],[std_dev]]</f>
        <v>-0.49796763299178598</v>
      </c>
      <c r="K6048">
        <f>AVERAGEIF(Table1[CountryCode],Table1[[#This Row],[CountryCode]],Table1[z-score])</f>
        <v>0.20445029067007053</v>
      </c>
      <c r="L6048" t="e">
        <f>VLOOKUP(Table1[[#This Row],[CountryCode]],[1]!Table1[#All],1,FALSE)</f>
        <v>#REF!</v>
      </c>
    </row>
    <row r="6049" spans="1:12" hidden="1" x14ac:dyDescent="0.3">
      <c r="A6049" t="s">
        <v>69</v>
      </c>
      <c r="B6049" t="s">
        <v>70</v>
      </c>
      <c r="C6049" t="s">
        <v>127</v>
      </c>
      <c r="D6049" t="s">
        <v>128</v>
      </c>
      <c r="E6049">
        <v>1965</v>
      </c>
      <c r="F6049" s="1">
        <v>12077</v>
      </c>
      <c r="G6049">
        <v>1960</v>
      </c>
      <c r="H6049">
        <f>AVERAGEIFS(Table1[value],Table1[IndicatorCode],Table1[[#This Row],[IndicatorCode]])</f>
        <v>24902.88753799392</v>
      </c>
      <c r="I6049" cm="1">
        <f t="array" ref="I6049">_xlfn.STDEV.P(IF(Table1[IndicatorCode]=Table1[[#This Row],[IndicatorCode]],Table1[value]))</f>
        <v>26324.778297809873</v>
      </c>
      <c r="J6049">
        <f>(Table1[[#This Row],[value]] - Table1[[#This Row],[mean]]) / Table1[[#This Row],[std_dev]]</f>
        <v>-0.48721730503846211</v>
      </c>
      <c r="K6049">
        <f>AVERAGEIF(Table1[CountryCode],Table1[[#This Row],[CountryCode]],Table1[z-score])</f>
        <v>0.20445029067007053</v>
      </c>
      <c r="L6049" t="e">
        <f>VLOOKUP(Table1[[#This Row],[CountryCode]],[1]!Table1[#All],1,FALSE)</f>
        <v>#REF!</v>
      </c>
    </row>
    <row r="6050" spans="1:12" hidden="1" x14ac:dyDescent="0.3">
      <c r="A6050" t="s">
        <v>69</v>
      </c>
      <c r="B6050" t="s">
        <v>70</v>
      </c>
      <c r="C6050" t="s">
        <v>127</v>
      </c>
      <c r="D6050" t="s">
        <v>128</v>
      </c>
      <c r="E6050">
        <v>1966</v>
      </c>
      <c r="F6050" s="1">
        <v>12701</v>
      </c>
      <c r="G6050">
        <v>1960</v>
      </c>
      <c r="H6050">
        <f>AVERAGEIFS(Table1[value],Table1[IndicatorCode],Table1[[#This Row],[IndicatorCode]])</f>
        <v>24902.88753799392</v>
      </c>
      <c r="I6050" cm="1">
        <f t="array" ref="I6050">_xlfn.STDEV.P(IF(Table1[IndicatorCode]=Table1[[#This Row],[IndicatorCode]],Table1[value]))</f>
        <v>26324.778297809873</v>
      </c>
      <c r="J6050">
        <f>(Table1[[#This Row],[value]] - Table1[[#This Row],[mean]]) / Table1[[#This Row],[std_dev]]</f>
        <v>-0.46351340170675143</v>
      </c>
      <c r="K6050">
        <f>AVERAGEIF(Table1[CountryCode],Table1[[#This Row],[CountryCode]],Table1[z-score])</f>
        <v>0.20445029067007053</v>
      </c>
      <c r="L6050" t="e">
        <f>VLOOKUP(Table1[[#This Row],[CountryCode]],[1]!Table1[#All],1,FALSE)</f>
        <v>#REF!</v>
      </c>
    </row>
    <row r="6051" spans="1:12" hidden="1" x14ac:dyDescent="0.3">
      <c r="A6051" t="s">
        <v>69</v>
      </c>
      <c r="B6051" t="s">
        <v>70</v>
      </c>
      <c r="C6051" t="s">
        <v>127</v>
      </c>
      <c r="D6051" t="s">
        <v>128</v>
      </c>
      <c r="E6051">
        <v>1967</v>
      </c>
      <c r="F6051" s="1">
        <v>13515</v>
      </c>
      <c r="G6051">
        <v>1970</v>
      </c>
      <c r="H6051">
        <f>AVERAGEIFS(Table1[value],Table1[IndicatorCode],Table1[[#This Row],[IndicatorCode]])</f>
        <v>24902.88753799392</v>
      </c>
      <c r="I6051" cm="1">
        <f t="array" ref="I6051">_xlfn.STDEV.P(IF(Table1[IndicatorCode]=Table1[[#This Row],[IndicatorCode]],Table1[value]))</f>
        <v>26324.778297809873</v>
      </c>
      <c r="J6051">
        <f>(Table1[[#This Row],[value]] - Table1[[#This Row],[mean]]) / Table1[[#This Row],[std_dev]]</f>
        <v>-0.43259196370673142</v>
      </c>
      <c r="K6051">
        <f>AVERAGEIF(Table1[CountryCode],Table1[[#This Row],[CountryCode]],Table1[z-score])</f>
        <v>0.20445029067007053</v>
      </c>
      <c r="L6051" t="e">
        <f>VLOOKUP(Table1[[#This Row],[CountryCode]],[1]!Table1[#All],1,FALSE)</f>
        <v>#REF!</v>
      </c>
    </row>
    <row r="6052" spans="1:12" hidden="1" x14ac:dyDescent="0.3">
      <c r="A6052" t="s">
        <v>69</v>
      </c>
      <c r="B6052" t="s">
        <v>70</v>
      </c>
      <c r="C6052" t="s">
        <v>127</v>
      </c>
      <c r="D6052" t="s">
        <v>128</v>
      </c>
      <c r="E6052">
        <v>1968</v>
      </c>
      <c r="F6052" s="1">
        <v>14309</v>
      </c>
      <c r="G6052">
        <v>1970</v>
      </c>
      <c r="H6052">
        <f>AVERAGEIFS(Table1[value],Table1[IndicatorCode],Table1[[#This Row],[IndicatorCode]])</f>
        <v>24902.88753799392</v>
      </c>
      <c r="I6052" cm="1">
        <f t="array" ref="I6052">_xlfn.STDEV.P(IF(Table1[IndicatorCode]=Table1[[#This Row],[IndicatorCode]],Table1[value]))</f>
        <v>26324.778297809873</v>
      </c>
      <c r="J6052">
        <f>(Table1[[#This Row],[value]] - Table1[[#This Row],[mean]]) / Table1[[#This Row],[std_dev]]</f>
        <v>-0.4024302661981124</v>
      </c>
      <c r="K6052">
        <f>AVERAGEIF(Table1[CountryCode],Table1[[#This Row],[CountryCode]],Table1[z-score])</f>
        <v>0.20445029067007053</v>
      </c>
      <c r="L6052" t="e">
        <f>VLOOKUP(Table1[[#This Row],[CountryCode]],[1]!Table1[#All],1,FALSE)</f>
        <v>#REF!</v>
      </c>
    </row>
    <row r="6053" spans="1:12" hidden="1" x14ac:dyDescent="0.3">
      <c r="A6053" t="s">
        <v>69</v>
      </c>
      <c r="B6053" t="s">
        <v>70</v>
      </c>
      <c r="C6053" t="s">
        <v>127</v>
      </c>
      <c r="D6053" t="s">
        <v>128</v>
      </c>
      <c r="E6053">
        <v>1969</v>
      </c>
      <c r="F6053" s="1">
        <v>15095</v>
      </c>
      <c r="G6053">
        <v>1970</v>
      </c>
      <c r="H6053">
        <f>AVERAGEIFS(Table1[value],Table1[IndicatorCode],Table1[[#This Row],[IndicatorCode]])</f>
        <v>24902.88753799392</v>
      </c>
      <c r="I6053" cm="1">
        <f t="array" ref="I6053">_xlfn.STDEV.P(IF(Table1[IndicatorCode]=Table1[[#This Row],[IndicatorCode]],Table1[value]))</f>
        <v>26324.778297809873</v>
      </c>
      <c r="J6053">
        <f>(Table1[[#This Row],[value]] - Table1[[#This Row],[mean]]) / Table1[[#This Row],[std_dev]]</f>
        <v>-0.37257246488605378</v>
      </c>
      <c r="K6053">
        <f>AVERAGEIF(Table1[CountryCode],Table1[[#This Row],[CountryCode]],Table1[z-score])</f>
        <v>0.20445029067007053</v>
      </c>
      <c r="L6053" t="e">
        <f>VLOOKUP(Table1[[#This Row],[CountryCode]],[1]!Table1[#All],1,FALSE)</f>
        <v>#REF!</v>
      </c>
    </row>
    <row r="6054" spans="1:12" hidden="1" x14ac:dyDescent="0.3">
      <c r="A6054" t="s">
        <v>69</v>
      </c>
      <c r="B6054" t="s">
        <v>70</v>
      </c>
      <c r="C6054" t="s">
        <v>127</v>
      </c>
      <c r="D6054" t="s">
        <v>128</v>
      </c>
      <c r="E6054">
        <v>1970</v>
      </c>
      <c r="F6054" s="1">
        <v>15813</v>
      </c>
      <c r="G6054">
        <v>1970</v>
      </c>
      <c r="H6054">
        <f>AVERAGEIFS(Table1[value],Table1[IndicatorCode],Table1[[#This Row],[IndicatorCode]])</f>
        <v>24902.88753799392</v>
      </c>
      <c r="I6054" cm="1">
        <f t="array" ref="I6054">_xlfn.STDEV.P(IF(Table1[IndicatorCode]=Table1[[#This Row],[IndicatorCode]],Table1[value]))</f>
        <v>26324.778297809873</v>
      </c>
      <c r="J6054">
        <f>(Table1[[#This Row],[value]] - Table1[[#This Row],[mean]]) / Table1[[#This Row],[std_dev]]</f>
        <v>-0.34529778124475852</v>
      </c>
      <c r="K6054">
        <f>AVERAGEIF(Table1[CountryCode],Table1[[#This Row],[CountryCode]],Table1[z-score])</f>
        <v>0.20445029067007053</v>
      </c>
      <c r="L6054" t="e">
        <f>VLOOKUP(Table1[[#This Row],[CountryCode]],[1]!Table1[#All],1,FALSE)</f>
        <v>#REF!</v>
      </c>
    </row>
    <row r="6055" spans="1:12" hidden="1" x14ac:dyDescent="0.3">
      <c r="A6055" t="s">
        <v>69</v>
      </c>
      <c r="B6055" t="s">
        <v>70</v>
      </c>
      <c r="C6055" t="s">
        <v>127</v>
      </c>
      <c r="D6055" t="s">
        <v>128</v>
      </c>
      <c r="E6055">
        <v>1971</v>
      </c>
      <c r="F6055" s="1">
        <v>16026</v>
      </c>
      <c r="G6055">
        <v>1970</v>
      </c>
      <c r="H6055">
        <f>AVERAGEIFS(Table1[value],Table1[IndicatorCode],Table1[[#This Row],[IndicatorCode]])</f>
        <v>24902.88753799392</v>
      </c>
      <c r="I6055" cm="1">
        <f t="array" ref="I6055">_xlfn.STDEV.P(IF(Table1[IndicatorCode]=Table1[[#This Row],[IndicatorCode]],Table1[value]))</f>
        <v>26324.778297809873</v>
      </c>
      <c r="J6055">
        <f>(Table1[[#This Row],[value]] - Table1[[#This Row],[mean]]) / Table1[[#This Row],[std_dev]]</f>
        <v>-0.33720654501133807</v>
      </c>
      <c r="K6055">
        <f>AVERAGEIF(Table1[CountryCode],Table1[[#This Row],[CountryCode]],Table1[z-score])</f>
        <v>0.20445029067007053</v>
      </c>
      <c r="L6055" t="e">
        <f>VLOOKUP(Table1[[#This Row],[CountryCode]],[1]!Table1[#All],1,FALSE)</f>
        <v>#REF!</v>
      </c>
    </row>
    <row r="6056" spans="1:12" hidden="1" x14ac:dyDescent="0.3">
      <c r="A6056" t="s">
        <v>69</v>
      </c>
      <c r="B6056" t="s">
        <v>70</v>
      </c>
      <c r="C6056" t="s">
        <v>127</v>
      </c>
      <c r="D6056" t="s">
        <v>128</v>
      </c>
      <c r="E6056">
        <v>1972</v>
      </c>
      <c r="F6056" s="1">
        <v>16523</v>
      </c>
      <c r="G6056">
        <v>1970</v>
      </c>
      <c r="H6056">
        <f>AVERAGEIFS(Table1[value],Table1[IndicatorCode],Table1[[#This Row],[IndicatorCode]])</f>
        <v>24902.88753799392</v>
      </c>
      <c r="I6056" cm="1">
        <f t="array" ref="I6056">_xlfn.STDEV.P(IF(Table1[IndicatorCode]=Table1[[#This Row],[IndicatorCode]],Table1[value]))</f>
        <v>26324.778297809873</v>
      </c>
      <c r="J6056">
        <f>(Table1[[#This Row],[value]] - Table1[[#This Row],[mean]]) / Table1[[#This Row],[std_dev]]</f>
        <v>-0.31832699380002361</v>
      </c>
      <c r="K6056">
        <f>AVERAGEIF(Table1[CountryCode],Table1[[#This Row],[CountryCode]],Table1[z-score])</f>
        <v>0.20445029067007053</v>
      </c>
      <c r="L6056" t="e">
        <f>VLOOKUP(Table1[[#This Row],[CountryCode]],[1]!Table1[#All],1,FALSE)</f>
        <v>#REF!</v>
      </c>
    </row>
    <row r="6057" spans="1:12" hidden="1" x14ac:dyDescent="0.3">
      <c r="A6057" t="s">
        <v>69</v>
      </c>
      <c r="B6057" t="s">
        <v>70</v>
      </c>
      <c r="C6057" t="s">
        <v>127</v>
      </c>
      <c r="D6057" t="s">
        <v>128</v>
      </c>
      <c r="E6057">
        <v>1973</v>
      </c>
      <c r="F6057" s="1">
        <v>17581</v>
      </c>
      <c r="G6057">
        <v>1970</v>
      </c>
      <c r="H6057">
        <f>AVERAGEIFS(Table1[value],Table1[IndicatorCode],Table1[[#This Row],[IndicatorCode]])</f>
        <v>24902.88753799392</v>
      </c>
      <c r="I6057" cm="1">
        <f t="array" ref="I6057">_xlfn.STDEV.P(IF(Table1[IndicatorCode]=Table1[[#This Row],[IndicatorCode]],Table1[value]))</f>
        <v>26324.778297809873</v>
      </c>
      <c r="J6057">
        <f>(Table1[[#This Row],[value]] - Table1[[#This Row],[mean]]) / Table1[[#This Row],[std_dev]]</f>
        <v>-0.27813672180491161</v>
      </c>
      <c r="K6057">
        <f>AVERAGEIF(Table1[CountryCode],Table1[[#This Row],[CountryCode]],Table1[z-score])</f>
        <v>0.20445029067007053</v>
      </c>
      <c r="L6057" t="e">
        <f>VLOOKUP(Table1[[#This Row],[CountryCode]],[1]!Table1[#All],1,FALSE)</f>
        <v>#REF!</v>
      </c>
    </row>
    <row r="6058" spans="1:12" hidden="1" x14ac:dyDescent="0.3">
      <c r="A6058" t="s">
        <v>69</v>
      </c>
      <c r="B6058" t="s">
        <v>70</v>
      </c>
      <c r="C6058" t="s">
        <v>127</v>
      </c>
      <c r="D6058" t="s">
        <v>128</v>
      </c>
      <c r="E6058">
        <v>1974</v>
      </c>
      <c r="F6058" s="1">
        <v>18427</v>
      </c>
      <c r="G6058">
        <v>1970</v>
      </c>
      <c r="H6058">
        <f>AVERAGEIFS(Table1[value],Table1[IndicatorCode],Table1[[#This Row],[IndicatorCode]])</f>
        <v>24902.88753799392</v>
      </c>
      <c r="I6058" cm="1">
        <f t="array" ref="I6058">_xlfn.STDEV.P(IF(Table1[IndicatorCode]=Table1[[#This Row],[IndicatorCode]],Table1[value]))</f>
        <v>26324.778297809873</v>
      </c>
      <c r="J6058">
        <f>(Table1[[#This Row],[value]] - Table1[[#This Row],[mean]]) / Table1[[#This Row],[std_dev]]</f>
        <v>-0.24599969901865007</v>
      </c>
      <c r="K6058">
        <f>AVERAGEIF(Table1[CountryCode],Table1[[#This Row],[CountryCode]],Table1[z-score])</f>
        <v>0.20445029067007053</v>
      </c>
      <c r="L6058" t="e">
        <f>VLOOKUP(Table1[[#This Row],[CountryCode]],[1]!Table1[#All],1,FALSE)</f>
        <v>#REF!</v>
      </c>
    </row>
    <row r="6059" spans="1:12" hidden="1" x14ac:dyDescent="0.3">
      <c r="A6059" t="s">
        <v>69</v>
      </c>
      <c r="B6059" t="s">
        <v>70</v>
      </c>
      <c r="C6059" t="s">
        <v>127</v>
      </c>
      <c r="D6059" t="s">
        <v>128</v>
      </c>
      <c r="E6059">
        <v>1975</v>
      </c>
      <c r="F6059" s="1">
        <v>17934</v>
      </c>
      <c r="G6059">
        <v>1970</v>
      </c>
      <c r="H6059">
        <f>AVERAGEIFS(Table1[value],Table1[IndicatorCode],Table1[[#This Row],[IndicatorCode]])</f>
        <v>24902.88753799392</v>
      </c>
      <c r="I6059" cm="1">
        <f t="array" ref="I6059">_xlfn.STDEV.P(IF(Table1[IndicatorCode]=Table1[[#This Row],[IndicatorCode]],Table1[value]))</f>
        <v>26324.778297809873</v>
      </c>
      <c r="J6059">
        <f>(Table1[[#This Row],[value]] - Table1[[#This Row],[mean]]) / Table1[[#This Row],[std_dev]]</f>
        <v>-0.26472730213168427</v>
      </c>
      <c r="K6059">
        <f>AVERAGEIF(Table1[CountryCode],Table1[[#This Row],[CountryCode]],Table1[z-score])</f>
        <v>0.20445029067007053</v>
      </c>
      <c r="L6059" t="e">
        <f>VLOOKUP(Table1[[#This Row],[CountryCode]],[1]!Table1[#All],1,FALSE)</f>
        <v>#REF!</v>
      </c>
    </row>
    <row r="6060" spans="1:12" hidden="1" x14ac:dyDescent="0.3">
      <c r="A6060" t="s">
        <v>69</v>
      </c>
      <c r="B6060" t="s">
        <v>70</v>
      </c>
      <c r="C6060" t="s">
        <v>127</v>
      </c>
      <c r="D6060" t="s">
        <v>128</v>
      </c>
      <c r="E6060">
        <v>1976</v>
      </c>
      <c r="F6060" s="1">
        <v>19117</v>
      </c>
      <c r="G6060">
        <v>1970</v>
      </c>
      <c r="H6060">
        <f>AVERAGEIFS(Table1[value],Table1[IndicatorCode],Table1[[#This Row],[IndicatorCode]])</f>
        <v>24902.88753799392</v>
      </c>
      <c r="I6060" cm="1">
        <f t="array" ref="I6060">_xlfn.STDEV.P(IF(Table1[IndicatorCode]=Table1[[#This Row],[IndicatorCode]],Table1[value]))</f>
        <v>26324.778297809873</v>
      </c>
      <c r="J6060">
        <f>(Table1[[#This Row],[value]] - Table1[[#This Row],[mean]]) / Table1[[#This Row],[std_dev]]</f>
        <v>-0.21978865206531617</v>
      </c>
      <c r="K6060">
        <f>AVERAGEIF(Table1[CountryCode],Table1[[#This Row],[CountryCode]],Table1[z-score])</f>
        <v>0.20445029067007053</v>
      </c>
      <c r="L6060" t="e">
        <f>VLOOKUP(Table1[[#This Row],[CountryCode]],[1]!Table1[#All],1,FALSE)</f>
        <v>#REF!</v>
      </c>
    </row>
    <row r="6061" spans="1:12" hidden="1" x14ac:dyDescent="0.3">
      <c r="A6061" t="s">
        <v>69</v>
      </c>
      <c r="B6061" t="s">
        <v>70</v>
      </c>
      <c r="C6061" t="s">
        <v>127</v>
      </c>
      <c r="D6061" t="s">
        <v>128</v>
      </c>
      <c r="E6061">
        <v>1977</v>
      </c>
      <c r="F6061" s="1">
        <v>19523</v>
      </c>
      <c r="G6061">
        <v>1980</v>
      </c>
      <c r="H6061">
        <f>AVERAGEIFS(Table1[value],Table1[IndicatorCode],Table1[[#This Row],[IndicatorCode]])</f>
        <v>24902.88753799392</v>
      </c>
      <c r="I6061" cm="1">
        <f t="array" ref="I6061">_xlfn.STDEV.P(IF(Table1[IndicatorCode]=Table1[[#This Row],[IndicatorCode]],Table1[value]))</f>
        <v>26324.778297809873</v>
      </c>
      <c r="J6061">
        <f>(Table1[[#This Row],[value]] - Table1[[#This Row],[mean]]) / Table1[[#This Row],[std_dev]]</f>
        <v>-0.2043659200898762</v>
      </c>
      <c r="K6061">
        <f>AVERAGEIF(Table1[CountryCode],Table1[[#This Row],[CountryCode]],Table1[z-score])</f>
        <v>0.20445029067007053</v>
      </c>
      <c r="L6061" t="e">
        <f>VLOOKUP(Table1[[#This Row],[CountryCode]],[1]!Table1[#All],1,FALSE)</f>
        <v>#REF!</v>
      </c>
    </row>
    <row r="6062" spans="1:12" hidden="1" x14ac:dyDescent="0.3">
      <c r="A6062" t="s">
        <v>69</v>
      </c>
      <c r="B6062" t="s">
        <v>70</v>
      </c>
      <c r="C6062" t="s">
        <v>127</v>
      </c>
      <c r="D6062" t="s">
        <v>128</v>
      </c>
      <c r="E6062">
        <v>1978</v>
      </c>
      <c r="F6062" s="1">
        <v>20084</v>
      </c>
      <c r="G6062">
        <v>1980</v>
      </c>
      <c r="H6062">
        <f>AVERAGEIFS(Table1[value],Table1[IndicatorCode],Table1[[#This Row],[IndicatorCode]])</f>
        <v>24902.88753799392</v>
      </c>
      <c r="I6062" cm="1">
        <f t="array" ref="I6062">_xlfn.STDEV.P(IF(Table1[IndicatorCode]=Table1[[#This Row],[IndicatorCode]],Table1[value]))</f>
        <v>26324.778297809873</v>
      </c>
      <c r="J6062">
        <f>(Table1[[#This Row],[value]] - Table1[[#This Row],[mean]]) / Table1[[#This Row],[std_dev]]</f>
        <v>-0.18305519930607864</v>
      </c>
      <c r="K6062">
        <f>AVERAGEIF(Table1[CountryCode],Table1[[#This Row],[CountryCode]],Table1[z-score])</f>
        <v>0.20445029067007053</v>
      </c>
      <c r="L6062" t="e">
        <f>VLOOKUP(Table1[[#This Row],[CountryCode]],[1]!Table1[#All],1,FALSE)</f>
        <v>#REF!</v>
      </c>
    </row>
    <row r="6063" spans="1:12" hidden="1" x14ac:dyDescent="0.3">
      <c r="A6063" t="s">
        <v>69</v>
      </c>
      <c r="B6063" t="s">
        <v>70</v>
      </c>
      <c r="C6063" t="s">
        <v>127</v>
      </c>
      <c r="D6063" t="s">
        <v>128</v>
      </c>
      <c r="E6063">
        <v>1979</v>
      </c>
      <c r="F6063" s="1">
        <v>21219</v>
      </c>
      <c r="G6063">
        <v>1980</v>
      </c>
      <c r="H6063">
        <f>AVERAGEIFS(Table1[value],Table1[IndicatorCode],Table1[[#This Row],[IndicatorCode]])</f>
        <v>24902.88753799392</v>
      </c>
      <c r="I6063" cm="1">
        <f t="array" ref="I6063">_xlfn.STDEV.P(IF(Table1[IndicatorCode]=Table1[[#This Row],[IndicatorCode]],Table1[value]))</f>
        <v>26324.778297809873</v>
      </c>
      <c r="J6063">
        <f>(Table1[[#This Row],[value]] - Table1[[#This Row],[mean]]) / Table1[[#This Row],[std_dev]]</f>
        <v>-0.13993992641907288</v>
      </c>
      <c r="K6063">
        <f>AVERAGEIF(Table1[CountryCode],Table1[[#This Row],[CountryCode]],Table1[z-score])</f>
        <v>0.20445029067007053</v>
      </c>
      <c r="L6063" t="e">
        <f>VLOOKUP(Table1[[#This Row],[CountryCode]],[1]!Table1[#All],1,FALSE)</f>
        <v>#REF!</v>
      </c>
    </row>
    <row r="6064" spans="1:12" hidden="1" x14ac:dyDescent="0.3">
      <c r="A6064" t="s">
        <v>69</v>
      </c>
      <c r="B6064" t="s">
        <v>70</v>
      </c>
      <c r="C6064" t="s">
        <v>127</v>
      </c>
      <c r="D6064" t="s">
        <v>128</v>
      </c>
      <c r="E6064">
        <v>1980</v>
      </c>
      <c r="F6064" s="1">
        <v>21902</v>
      </c>
      <c r="G6064">
        <v>1980</v>
      </c>
      <c r="H6064">
        <f>AVERAGEIFS(Table1[value],Table1[IndicatorCode],Table1[[#This Row],[IndicatorCode]])</f>
        <v>24902.88753799392</v>
      </c>
      <c r="I6064" cm="1">
        <f t="array" ref="I6064">_xlfn.STDEV.P(IF(Table1[IndicatorCode]=Table1[[#This Row],[IndicatorCode]],Table1[value]))</f>
        <v>26324.778297809873</v>
      </c>
      <c r="J6064">
        <f>(Table1[[#This Row],[value]] - Table1[[#This Row],[mean]]) / Table1[[#This Row],[std_dev]]</f>
        <v>-0.11399478863772931</v>
      </c>
      <c r="K6064">
        <f>AVERAGEIF(Table1[CountryCode],Table1[[#This Row],[CountryCode]],Table1[z-score])</f>
        <v>0.20445029067007053</v>
      </c>
      <c r="L6064" t="e">
        <f>VLOOKUP(Table1[[#This Row],[CountryCode]],[1]!Table1[#All],1,FALSE)</f>
        <v>#REF!</v>
      </c>
    </row>
    <row r="6065" spans="1:12" hidden="1" x14ac:dyDescent="0.3">
      <c r="A6065" t="s">
        <v>69</v>
      </c>
      <c r="B6065" t="s">
        <v>70</v>
      </c>
      <c r="C6065" t="s">
        <v>127</v>
      </c>
      <c r="D6065" t="s">
        <v>128</v>
      </c>
      <c r="E6065">
        <v>1981</v>
      </c>
      <c r="F6065" s="1">
        <v>22060</v>
      </c>
      <c r="G6065">
        <v>1980</v>
      </c>
      <c r="H6065">
        <f>AVERAGEIFS(Table1[value],Table1[IndicatorCode],Table1[[#This Row],[IndicatorCode]])</f>
        <v>24902.88753799392</v>
      </c>
      <c r="I6065" cm="1">
        <f t="array" ref="I6065">_xlfn.STDEV.P(IF(Table1[IndicatorCode]=Table1[[#This Row],[IndicatorCode]],Table1[value]))</f>
        <v>26324.778297809873</v>
      </c>
      <c r="J6065">
        <f>(Table1[[#This Row],[value]] - Table1[[#This Row],[mean]]) / Table1[[#This Row],[std_dev]]</f>
        <v>-0.10799283875566154</v>
      </c>
      <c r="K6065">
        <f>AVERAGEIF(Table1[CountryCode],Table1[[#This Row],[CountryCode]],Table1[z-score])</f>
        <v>0.20445029067007053</v>
      </c>
      <c r="L6065" t="e">
        <f>VLOOKUP(Table1[[#This Row],[CountryCode]],[1]!Table1[#All],1,FALSE)</f>
        <v>#REF!</v>
      </c>
    </row>
    <row r="6066" spans="1:12" hidden="1" x14ac:dyDescent="0.3">
      <c r="A6066" t="s">
        <v>69</v>
      </c>
      <c r="B6066" t="s">
        <v>70</v>
      </c>
      <c r="C6066" t="s">
        <v>127</v>
      </c>
      <c r="D6066" t="s">
        <v>128</v>
      </c>
      <c r="E6066">
        <v>1982</v>
      </c>
      <c r="F6066" s="1">
        <v>22135</v>
      </c>
      <c r="G6066">
        <v>1980</v>
      </c>
      <c r="H6066">
        <f>AVERAGEIFS(Table1[value],Table1[IndicatorCode],Table1[[#This Row],[IndicatorCode]])</f>
        <v>24902.88753799392</v>
      </c>
      <c r="I6066" cm="1">
        <f t="array" ref="I6066">_xlfn.STDEV.P(IF(Table1[IndicatorCode]=Table1[[#This Row],[IndicatorCode]],Table1[value]))</f>
        <v>26324.778297809873</v>
      </c>
      <c r="J6066">
        <f>(Table1[[#This Row],[value]] - Table1[[#This Row],[mean]]) / Table1[[#This Row],[std_dev]]</f>
        <v>-0.10514381191290786</v>
      </c>
      <c r="K6066">
        <f>AVERAGEIF(Table1[CountryCode],Table1[[#This Row],[CountryCode]],Table1[z-score])</f>
        <v>0.20445029067007053</v>
      </c>
      <c r="L6066" t="e">
        <f>VLOOKUP(Table1[[#This Row],[CountryCode]],[1]!Table1[#All],1,FALSE)</f>
        <v>#REF!</v>
      </c>
    </row>
    <row r="6067" spans="1:12" hidden="1" x14ac:dyDescent="0.3">
      <c r="A6067" t="s">
        <v>69</v>
      </c>
      <c r="B6067" t="s">
        <v>70</v>
      </c>
      <c r="C6067" t="s">
        <v>127</v>
      </c>
      <c r="D6067" t="s">
        <v>128</v>
      </c>
      <c r="E6067">
        <v>1983</v>
      </c>
      <c r="F6067" s="1">
        <v>22386</v>
      </c>
      <c r="G6067">
        <v>1980</v>
      </c>
      <c r="H6067">
        <f>AVERAGEIFS(Table1[value],Table1[IndicatorCode],Table1[[#This Row],[IndicatorCode]])</f>
        <v>24902.88753799392</v>
      </c>
      <c r="I6067" cm="1">
        <f t="array" ref="I6067">_xlfn.STDEV.P(IF(Table1[IndicatorCode]=Table1[[#This Row],[IndicatorCode]],Table1[value]))</f>
        <v>26324.778297809873</v>
      </c>
      <c r="J6067">
        <f>(Table1[[#This Row],[value]] - Table1[[#This Row],[mean]]) / Table1[[#This Row],[std_dev]]</f>
        <v>-9.5609068745825518E-2</v>
      </c>
      <c r="K6067">
        <f>AVERAGEIF(Table1[CountryCode],Table1[[#This Row],[CountryCode]],Table1[z-score])</f>
        <v>0.20445029067007053</v>
      </c>
      <c r="L6067" t="e">
        <f>VLOOKUP(Table1[[#This Row],[CountryCode]],[1]!Table1[#All],1,FALSE)</f>
        <v>#REF!</v>
      </c>
    </row>
    <row r="6068" spans="1:12" hidden="1" x14ac:dyDescent="0.3">
      <c r="A6068" t="s">
        <v>69</v>
      </c>
      <c r="B6068" t="s">
        <v>70</v>
      </c>
      <c r="C6068" t="s">
        <v>127</v>
      </c>
      <c r="D6068" t="s">
        <v>128</v>
      </c>
      <c r="E6068">
        <v>1984</v>
      </c>
      <c r="F6068" s="1">
        <v>23103</v>
      </c>
      <c r="G6068">
        <v>1980</v>
      </c>
      <c r="H6068">
        <f>AVERAGEIFS(Table1[value],Table1[IndicatorCode],Table1[[#This Row],[IndicatorCode]])</f>
        <v>24902.88753799392</v>
      </c>
      <c r="I6068" cm="1">
        <f t="array" ref="I6068">_xlfn.STDEV.P(IF(Table1[IndicatorCode]=Table1[[#This Row],[IndicatorCode]],Table1[value]))</f>
        <v>26324.778297809873</v>
      </c>
      <c r="J6068">
        <f>(Table1[[#This Row],[value]] - Table1[[#This Row],[mean]]) / Table1[[#This Row],[std_dev]]</f>
        <v>-6.8372372129100287E-2</v>
      </c>
      <c r="K6068">
        <f>AVERAGEIF(Table1[CountryCode],Table1[[#This Row],[CountryCode]],Table1[z-score])</f>
        <v>0.20445029067007053</v>
      </c>
      <c r="L6068" t="e">
        <f>VLOOKUP(Table1[[#This Row],[CountryCode]],[1]!Table1[#All],1,FALSE)</f>
        <v>#REF!</v>
      </c>
    </row>
    <row r="6069" spans="1:12" hidden="1" x14ac:dyDescent="0.3">
      <c r="A6069" t="s">
        <v>69</v>
      </c>
      <c r="B6069" t="s">
        <v>70</v>
      </c>
      <c r="C6069" t="s">
        <v>127</v>
      </c>
      <c r="D6069" t="s">
        <v>128</v>
      </c>
      <c r="E6069">
        <v>1985</v>
      </c>
      <c r="F6069" s="1">
        <v>23742</v>
      </c>
      <c r="G6069">
        <v>1980</v>
      </c>
      <c r="H6069">
        <f>AVERAGEIFS(Table1[value],Table1[IndicatorCode],Table1[[#This Row],[IndicatorCode]])</f>
        <v>24902.88753799392</v>
      </c>
      <c r="I6069" cm="1">
        <f t="array" ref="I6069">_xlfn.STDEV.P(IF(Table1[IndicatorCode]=Table1[[#This Row],[IndicatorCode]],Table1[value]))</f>
        <v>26324.778297809873</v>
      </c>
      <c r="J6069">
        <f>(Table1[[#This Row],[value]] - Table1[[#This Row],[mean]]) / Table1[[#This Row],[std_dev]]</f>
        <v>-4.4098663428838891E-2</v>
      </c>
      <c r="K6069">
        <f>AVERAGEIF(Table1[CountryCode],Table1[[#This Row],[CountryCode]],Table1[z-score])</f>
        <v>0.20445029067007053</v>
      </c>
      <c r="L6069" t="e">
        <f>VLOOKUP(Table1[[#This Row],[CountryCode]],[1]!Table1[#All],1,FALSE)</f>
        <v>#REF!</v>
      </c>
    </row>
    <row r="6070" spans="1:12" hidden="1" x14ac:dyDescent="0.3">
      <c r="A6070" t="s">
        <v>69</v>
      </c>
      <c r="B6070" t="s">
        <v>70</v>
      </c>
      <c r="C6070" t="s">
        <v>127</v>
      </c>
      <c r="D6070" t="s">
        <v>128</v>
      </c>
      <c r="E6070">
        <v>1986</v>
      </c>
      <c r="F6070" s="1">
        <v>24420</v>
      </c>
      <c r="G6070">
        <v>1980</v>
      </c>
      <c r="H6070">
        <f>AVERAGEIFS(Table1[value],Table1[IndicatorCode],Table1[[#This Row],[IndicatorCode]])</f>
        <v>24902.88753799392</v>
      </c>
      <c r="I6070" cm="1">
        <f t="array" ref="I6070">_xlfn.STDEV.P(IF(Table1[IndicatorCode]=Table1[[#This Row],[IndicatorCode]],Table1[value]))</f>
        <v>26324.778297809873</v>
      </c>
      <c r="J6070">
        <f>(Table1[[#This Row],[value]] - Table1[[#This Row],[mean]]) / Table1[[#This Row],[std_dev]]</f>
        <v>-1.8343460770345574E-2</v>
      </c>
      <c r="K6070">
        <f>AVERAGEIF(Table1[CountryCode],Table1[[#This Row],[CountryCode]],Table1[z-score])</f>
        <v>0.20445029067007053</v>
      </c>
      <c r="L6070" t="e">
        <f>VLOOKUP(Table1[[#This Row],[CountryCode]],[1]!Table1[#All],1,FALSE)</f>
        <v>#REF!</v>
      </c>
    </row>
    <row r="6071" spans="1:12" hidden="1" x14ac:dyDescent="0.3">
      <c r="A6071" t="s">
        <v>69</v>
      </c>
      <c r="B6071" t="s">
        <v>70</v>
      </c>
      <c r="C6071" t="s">
        <v>127</v>
      </c>
      <c r="D6071" t="s">
        <v>128</v>
      </c>
      <c r="E6071">
        <v>1987</v>
      </c>
      <c r="F6071" s="1">
        <v>25197</v>
      </c>
      <c r="G6071">
        <v>1990</v>
      </c>
      <c r="H6071">
        <f>AVERAGEIFS(Table1[value],Table1[IndicatorCode],Table1[[#This Row],[IndicatorCode]])</f>
        <v>24902.88753799392</v>
      </c>
      <c r="I6071" cm="1">
        <f t="array" ref="I6071">_xlfn.STDEV.P(IF(Table1[IndicatorCode]=Table1[[#This Row],[IndicatorCode]],Table1[value]))</f>
        <v>26324.778297809873</v>
      </c>
      <c r="J6071">
        <f>(Table1[[#This Row],[value]] - Table1[[#This Row],[mean]]) / Table1[[#This Row],[std_dev]]</f>
        <v>1.1172457320582606E-2</v>
      </c>
      <c r="K6071">
        <f>AVERAGEIF(Table1[CountryCode],Table1[[#This Row],[CountryCode]],Table1[z-score])</f>
        <v>0.20445029067007053</v>
      </c>
      <c r="L6071" t="e">
        <f>VLOOKUP(Table1[[#This Row],[CountryCode]],[1]!Table1[#All],1,FALSE)</f>
        <v>#REF!</v>
      </c>
    </row>
    <row r="6072" spans="1:12" hidden="1" x14ac:dyDescent="0.3">
      <c r="A6072" t="s">
        <v>69</v>
      </c>
      <c r="B6072" t="s">
        <v>70</v>
      </c>
      <c r="C6072" t="s">
        <v>127</v>
      </c>
      <c r="D6072" t="s">
        <v>128</v>
      </c>
      <c r="E6072">
        <v>1988</v>
      </c>
      <c r="F6072" s="1">
        <v>26241</v>
      </c>
      <c r="G6072">
        <v>1990</v>
      </c>
      <c r="H6072">
        <f>AVERAGEIFS(Table1[value],Table1[IndicatorCode],Table1[[#This Row],[IndicatorCode]])</f>
        <v>24902.88753799392</v>
      </c>
      <c r="I6072" cm="1">
        <f t="array" ref="I6072">_xlfn.STDEV.P(IF(Table1[IndicatorCode]=Table1[[#This Row],[IndicatorCode]],Table1[value]))</f>
        <v>26324.778297809873</v>
      </c>
      <c r="J6072">
        <f>(Table1[[#This Row],[value]] - Table1[[#This Row],[mean]]) / Table1[[#This Row],[std_dev]]</f>
        <v>5.0830910971713904E-2</v>
      </c>
      <c r="K6072">
        <f>AVERAGEIF(Table1[CountryCode],Table1[[#This Row],[CountryCode]],Table1[z-score])</f>
        <v>0.20445029067007053</v>
      </c>
      <c r="L6072" t="e">
        <f>VLOOKUP(Table1[[#This Row],[CountryCode]],[1]!Table1[#All],1,FALSE)</f>
        <v>#REF!</v>
      </c>
    </row>
    <row r="6073" spans="1:12" hidden="1" x14ac:dyDescent="0.3">
      <c r="A6073" t="s">
        <v>69</v>
      </c>
      <c r="B6073" t="s">
        <v>70</v>
      </c>
      <c r="C6073" t="s">
        <v>127</v>
      </c>
      <c r="D6073" t="s">
        <v>128</v>
      </c>
      <c r="E6073">
        <v>1989</v>
      </c>
      <c r="F6073" s="1">
        <v>27110</v>
      </c>
      <c r="G6073">
        <v>1990</v>
      </c>
      <c r="H6073">
        <f>AVERAGEIFS(Table1[value],Table1[IndicatorCode],Table1[[#This Row],[IndicatorCode]])</f>
        <v>24902.88753799392</v>
      </c>
      <c r="I6073" cm="1">
        <f t="array" ref="I6073">_xlfn.STDEV.P(IF(Table1[IndicatorCode]=Table1[[#This Row],[IndicatorCode]],Table1[value]))</f>
        <v>26324.778297809873</v>
      </c>
      <c r="J6073">
        <f>(Table1[[#This Row],[value]] - Table1[[#This Row],[mean]]) / Table1[[#This Row],[std_dev]]</f>
        <v>8.3841635323086611E-2</v>
      </c>
      <c r="K6073">
        <f>AVERAGEIF(Table1[CountryCode],Table1[[#This Row],[CountryCode]],Table1[z-score])</f>
        <v>0.20445029067007053</v>
      </c>
      <c r="L6073" t="e">
        <f>VLOOKUP(Table1[[#This Row],[CountryCode]],[1]!Table1[#All],1,FALSE)</f>
        <v>#REF!</v>
      </c>
    </row>
    <row r="6074" spans="1:12" hidden="1" x14ac:dyDescent="0.3">
      <c r="A6074" t="s">
        <v>69</v>
      </c>
      <c r="B6074" t="s">
        <v>70</v>
      </c>
      <c r="C6074" t="s">
        <v>127</v>
      </c>
      <c r="D6074" t="s">
        <v>128</v>
      </c>
      <c r="E6074">
        <v>1990</v>
      </c>
      <c r="F6074" s="1">
        <v>27625</v>
      </c>
      <c r="G6074">
        <v>1990</v>
      </c>
      <c r="H6074">
        <f>AVERAGEIFS(Table1[value],Table1[IndicatorCode],Table1[[#This Row],[IndicatorCode]])</f>
        <v>24902.88753799392</v>
      </c>
      <c r="I6074" cm="1">
        <f t="array" ref="I6074">_xlfn.STDEV.P(IF(Table1[IndicatorCode]=Table1[[#This Row],[IndicatorCode]],Table1[value]))</f>
        <v>26324.778297809873</v>
      </c>
      <c r="J6074">
        <f>(Table1[[#This Row],[value]] - Table1[[#This Row],[mean]]) / Table1[[#This Row],[std_dev]]</f>
        <v>0.10340495297666191</v>
      </c>
      <c r="K6074">
        <f>AVERAGEIF(Table1[CountryCode],Table1[[#This Row],[CountryCode]],Table1[z-score])</f>
        <v>0.20445029067007053</v>
      </c>
      <c r="L6074" t="e">
        <f>VLOOKUP(Table1[[#This Row],[CountryCode]],[1]!Table1[#All],1,FALSE)</f>
        <v>#REF!</v>
      </c>
    </row>
    <row r="6075" spans="1:12" hidden="1" x14ac:dyDescent="0.3">
      <c r="A6075" t="s">
        <v>69</v>
      </c>
      <c r="B6075" t="s">
        <v>70</v>
      </c>
      <c r="C6075" t="s">
        <v>127</v>
      </c>
      <c r="D6075" t="s">
        <v>128</v>
      </c>
      <c r="E6075">
        <v>1991</v>
      </c>
      <c r="F6075" s="1">
        <v>28031</v>
      </c>
      <c r="G6075">
        <v>1990</v>
      </c>
      <c r="H6075">
        <f>AVERAGEIFS(Table1[value],Table1[IndicatorCode],Table1[[#This Row],[IndicatorCode]])</f>
        <v>24902.88753799392</v>
      </c>
      <c r="I6075" cm="1">
        <f t="array" ref="I6075">_xlfn.STDEV.P(IF(Table1[IndicatorCode]=Table1[[#This Row],[IndicatorCode]],Table1[value]))</f>
        <v>26324.778297809873</v>
      </c>
      <c r="J6075">
        <f>(Table1[[#This Row],[value]] - Table1[[#This Row],[mean]]) / Table1[[#This Row],[std_dev]]</f>
        <v>0.11882768495210187</v>
      </c>
      <c r="K6075">
        <f>AVERAGEIF(Table1[CountryCode],Table1[[#This Row],[CountryCode]],Table1[z-score])</f>
        <v>0.20445029067007053</v>
      </c>
      <c r="L6075" t="e">
        <f>VLOOKUP(Table1[[#This Row],[CountryCode]],[1]!Table1[#All],1,FALSE)</f>
        <v>#REF!</v>
      </c>
    </row>
    <row r="6076" spans="1:12" hidden="1" x14ac:dyDescent="0.3">
      <c r="A6076" t="s">
        <v>69</v>
      </c>
      <c r="B6076" t="s">
        <v>70</v>
      </c>
      <c r="C6076" t="s">
        <v>127</v>
      </c>
      <c r="D6076" t="s">
        <v>128</v>
      </c>
      <c r="E6076">
        <v>1992</v>
      </c>
      <c r="F6076" s="1">
        <v>28245</v>
      </c>
      <c r="G6076">
        <v>1990</v>
      </c>
      <c r="H6076">
        <f>AVERAGEIFS(Table1[value],Table1[IndicatorCode],Table1[[#This Row],[IndicatorCode]])</f>
        <v>24902.88753799392</v>
      </c>
      <c r="I6076" cm="1">
        <f t="array" ref="I6076">_xlfn.STDEV.P(IF(Table1[IndicatorCode]=Table1[[#This Row],[IndicatorCode]],Table1[value]))</f>
        <v>26324.778297809873</v>
      </c>
      <c r="J6076">
        <f>(Table1[[#This Row],[value]] - Table1[[#This Row],[mean]]) / Table1[[#This Row],[std_dev]]</f>
        <v>0.1269569082100924</v>
      </c>
      <c r="K6076">
        <f>AVERAGEIF(Table1[CountryCode],Table1[[#This Row],[CountryCode]],Table1[z-score])</f>
        <v>0.20445029067007053</v>
      </c>
      <c r="L6076" t="e">
        <f>VLOOKUP(Table1[[#This Row],[CountryCode]],[1]!Table1[#All],1,FALSE)</f>
        <v>#REF!</v>
      </c>
    </row>
    <row r="6077" spans="1:12" hidden="1" x14ac:dyDescent="0.3">
      <c r="A6077" t="s">
        <v>69</v>
      </c>
      <c r="B6077" t="s">
        <v>70</v>
      </c>
      <c r="C6077" t="s">
        <v>127</v>
      </c>
      <c r="D6077" t="s">
        <v>128</v>
      </c>
      <c r="E6077">
        <v>1993</v>
      </c>
      <c r="F6077" s="1">
        <v>27987</v>
      </c>
      <c r="G6077">
        <v>1990</v>
      </c>
      <c r="H6077">
        <f>AVERAGEIFS(Table1[value],Table1[IndicatorCode],Table1[[#This Row],[IndicatorCode]])</f>
        <v>24902.88753799392</v>
      </c>
      <c r="I6077" cm="1">
        <f t="array" ref="I6077">_xlfn.STDEV.P(IF(Table1[IndicatorCode]=Table1[[#This Row],[IndicatorCode]],Table1[value]))</f>
        <v>26324.778297809873</v>
      </c>
      <c r="J6077">
        <f>(Table1[[#This Row],[value]] - Table1[[#This Row],[mean]]) / Table1[[#This Row],[std_dev]]</f>
        <v>0.1171562558710197</v>
      </c>
      <c r="K6077">
        <f>AVERAGEIF(Table1[CountryCode],Table1[[#This Row],[CountryCode]],Table1[z-score])</f>
        <v>0.20445029067007053</v>
      </c>
      <c r="L6077" t="e">
        <f>VLOOKUP(Table1[[#This Row],[CountryCode]],[1]!Table1[#All],1,FALSE)</f>
        <v>#REF!</v>
      </c>
    </row>
    <row r="6078" spans="1:12" hidden="1" x14ac:dyDescent="0.3">
      <c r="A6078" t="s">
        <v>69</v>
      </c>
      <c r="B6078" t="s">
        <v>70</v>
      </c>
      <c r="C6078" t="s">
        <v>127</v>
      </c>
      <c r="D6078" t="s">
        <v>128</v>
      </c>
      <c r="E6078">
        <v>1994</v>
      </c>
      <c r="F6078" s="1">
        <v>28584</v>
      </c>
      <c r="G6078">
        <v>1990</v>
      </c>
      <c r="H6078">
        <f>AVERAGEIFS(Table1[value],Table1[IndicatorCode],Table1[[#This Row],[IndicatorCode]])</f>
        <v>24902.88753799392</v>
      </c>
      <c r="I6078" cm="1">
        <f t="array" ref="I6078">_xlfn.STDEV.P(IF(Table1[IndicatorCode]=Table1[[#This Row],[IndicatorCode]],Table1[value]))</f>
        <v>26324.778297809873</v>
      </c>
      <c r="J6078">
        <f>(Table1[[#This Row],[value]] - Table1[[#This Row],[mean]]) / Table1[[#This Row],[std_dev]]</f>
        <v>0.13983450953933904</v>
      </c>
      <c r="K6078">
        <f>AVERAGEIF(Table1[CountryCode],Table1[[#This Row],[CountryCode]],Table1[z-score])</f>
        <v>0.20445029067007053</v>
      </c>
      <c r="L6078" t="e">
        <f>VLOOKUP(Table1[[#This Row],[CountryCode]],[1]!Table1[#All],1,FALSE)</f>
        <v>#REF!</v>
      </c>
    </row>
    <row r="6079" spans="1:12" hidden="1" x14ac:dyDescent="0.3">
      <c r="A6079" t="s">
        <v>69</v>
      </c>
      <c r="B6079" t="s">
        <v>70</v>
      </c>
      <c r="C6079" t="s">
        <v>127</v>
      </c>
      <c r="D6079" t="s">
        <v>128</v>
      </c>
      <c r="E6079">
        <v>1995</v>
      </c>
      <c r="F6079" s="1">
        <v>29408</v>
      </c>
      <c r="G6079">
        <v>1990</v>
      </c>
      <c r="H6079">
        <f>AVERAGEIFS(Table1[value],Table1[IndicatorCode],Table1[[#This Row],[IndicatorCode]])</f>
        <v>24902.88753799392</v>
      </c>
      <c r="I6079" cm="1">
        <f t="array" ref="I6079">_xlfn.STDEV.P(IF(Table1[IndicatorCode]=Table1[[#This Row],[IndicatorCode]],Table1[value]))</f>
        <v>26324.778297809873</v>
      </c>
      <c r="J6079">
        <f>(Table1[[#This Row],[value]] - Table1[[#This Row],[mean]]) / Table1[[#This Row],[std_dev]]</f>
        <v>0.17113581778505954</v>
      </c>
      <c r="K6079">
        <f>AVERAGEIF(Table1[CountryCode],Table1[[#This Row],[CountryCode]],Table1[z-score])</f>
        <v>0.20445029067007053</v>
      </c>
      <c r="L6079" t="e">
        <f>VLOOKUP(Table1[[#This Row],[CountryCode]],[1]!Table1[#All],1,FALSE)</f>
        <v>#REF!</v>
      </c>
    </row>
    <row r="6080" spans="1:12" hidden="1" x14ac:dyDescent="0.3">
      <c r="A6080" t="s">
        <v>69</v>
      </c>
      <c r="B6080" t="s">
        <v>70</v>
      </c>
      <c r="C6080" t="s">
        <v>127</v>
      </c>
      <c r="D6080" t="s">
        <v>128</v>
      </c>
      <c r="E6080">
        <v>1996</v>
      </c>
      <c r="F6080" s="1">
        <v>29796</v>
      </c>
      <c r="G6080">
        <v>1990</v>
      </c>
      <c r="H6080">
        <f>AVERAGEIFS(Table1[value],Table1[IndicatorCode],Table1[[#This Row],[IndicatorCode]])</f>
        <v>24902.88753799392</v>
      </c>
      <c r="I6080" cm="1">
        <f t="array" ref="I6080">_xlfn.STDEV.P(IF(Table1[IndicatorCode]=Table1[[#This Row],[IndicatorCode]],Table1[value]))</f>
        <v>26324.778297809873</v>
      </c>
      <c r="J6080">
        <f>(Table1[[#This Row],[value]] - Table1[[#This Row],[mean]]) / Table1[[#This Row],[std_dev]]</f>
        <v>0.18587478331823859</v>
      </c>
      <c r="K6080">
        <f>AVERAGEIF(Table1[CountryCode],Table1[[#This Row],[CountryCode]],Table1[z-score])</f>
        <v>0.20445029067007053</v>
      </c>
      <c r="L6080" t="e">
        <f>VLOOKUP(Table1[[#This Row],[CountryCode]],[1]!Table1[#All],1,FALSE)</f>
        <v>#REF!</v>
      </c>
    </row>
    <row r="6081" spans="1:12" hidden="1" x14ac:dyDescent="0.3">
      <c r="A6081" t="s">
        <v>69</v>
      </c>
      <c r="B6081" t="s">
        <v>70</v>
      </c>
      <c r="C6081" t="s">
        <v>127</v>
      </c>
      <c r="D6081" t="s">
        <v>128</v>
      </c>
      <c r="E6081">
        <v>1997</v>
      </c>
      <c r="F6081" s="1">
        <v>30353</v>
      </c>
      <c r="G6081">
        <v>2000</v>
      </c>
      <c r="H6081">
        <f>AVERAGEIFS(Table1[value],Table1[IndicatorCode],Table1[[#This Row],[IndicatorCode]])</f>
        <v>24902.88753799392</v>
      </c>
      <c r="I6081" cm="1">
        <f t="array" ref="I6081">_xlfn.STDEV.P(IF(Table1[IndicatorCode]=Table1[[#This Row],[IndicatorCode]],Table1[value]))</f>
        <v>26324.778297809873</v>
      </c>
      <c r="J6081">
        <f>(Table1[[#This Row],[value]] - Table1[[#This Row],[mean]]) / Table1[[#This Row],[std_dev]]</f>
        <v>0.20703355600375598</v>
      </c>
      <c r="K6081">
        <f>AVERAGEIF(Table1[CountryCode],Table1[[#This Row],[CountryCode]],Table1[z-score])</f>
        <v>0.20445029067007053</v>
      </c>
      <c r="L6081" t="e">
        <f>VLOOKUP(Table1[[#This Row],[CountryCode]],[1]!Table1[#All],1,FALSE)</f>
        <v>#REF!</v>
      </c>
    </row>
    <row r="6082" spans="1:12" hidden="1" x14ac:dyDescent="0.3">
      <c r="A6082" t="s">
        <v>69</v>
      </c>
      <c r="B6082" t="s">
        <v>70</v>
      </c>
      <c r="C6082" t="s">
        <v>127</v>
      </c>
      <c r="D6082" t="s">
        <v>128</v>
      </c>
      <c r="E6082">
        <v>1998</v>
      </c>
      <c r="F6082" s="1">
        <v>30892</v>
      </c>
      <c r="G6082">
        <v>2000</v>
      </c>
      <c r="H6082">
        <f>AVERAGEIFS(Table1[value],Table1[IndicatorCode],Table1[[#This Row],[IndicatorCode]])</f>
        <v>24902.88753799392</v>
      </c>
      <c r="I6082" cm="1">
        <f t="array" ref="I6082">_xlfn.STDEV.P(IF(Table1[IndicatorCode]=Table1[[#This Row],[IndicatorCode]],Table1[value]))</f>
        <v>26324.778297809873</v>
      </c>
      <c r="J6082">
        <f>(Table1[[#This Row],[value]] - Table1[[#This Row],[mean]]) / Table1[[#This Row],[std_dev]]</f>
        <v>0.22750856224701246</v>
      </c>
      <c r="K6082">
        <f>AVERAGEIF(Table1[CountryCode],Table1[[#This Row],[CountryCode]],Table1[z-score])</f>
        <v>0.20445029067007053</v>
      </c>
      <c r="L6082" t="e">
        <f>VLOOKUP(Table1[[#This Row],[CountryCode]],[1]!Table1[#All],1,FALSE)</f>
        <v>#REF!</v>
      </c>
    </row>
    <row r="6083" spans="1:12" hidden="1" x14ac:dyDescent="0.3">
      <c r="A6083" t="s">
        <v>69</v>
      </c>
      <c r="B6083" t="s">
        <v>70</v>
      </c>
      <c r="C6083" t="s">
        <v>127</v>
      </c>
      <c r="D6083" t="s">
        <v>128</v>
      </c>
      <c r="E6083">
        <v>1999</v>
      </c>
      <c r="F6083" s="1">
        <v>31405</v>
      </c>
      <c r="G6083">
        <v>2000</v>
      </c>
      <c r="H6083">
        <f>AVERAGEIFS(Table1[value],Table1[IndicatorCode],Table1[[#This Row],[IndicatorCode]])</f>
        <v>24902.88753799392</v>
      </c>
      <c r="I6083" cm="1">
        <f t="array" ref="I6083">_xlfn.STDEV.P(IF(Table1[IndicatorCode]=Table1[[#This Row],[IndicatorCode]],Table1[value]))</f>
        <v>26324.778297809873</v>
      </c>
      <c r="J6083">
        <f>(Table1[[#This Row],[value]] - Table1[[#This Row],[mean]]) / Table1[[#This Row],[std_dev]]</f>
        <v>0.24699590585144765</v>
      </c>
      <c r="K6083">
        <f>AVERAGEIF(Table1[CountryCode],Table1[[#This Row],[CountryCode]],Table1[z-score])</f>
        <v>0.20445029067007053</v>
      </c>
      <c r="L6083" t="e">
        <f>VLOOKUP(Table1[[#This Row],[CountryCode]],[1]!Table1[#All],1,FALSE)</f>
        <v>#REF!</v>
      </c>
    </row>
    <row r="6084" spans="1:12" hidden="1" x14ac:dyDescent="0.3">
      <c r="A6084" t="s">
        <v>69</v>
      </c>
      <c r="B6084" t="s">
        <v>70</v>
      </c>
      <c r="C6084" t="s">
        <v>127</v>
      </c>
      <c r="D6084" t="s">
        <v>128</v>
      </c>
      <c r="E6084">
        <v>2000</v>
      </c>
      <c r="F6084" s="1">
        <v>32610</v>
      </c>
      <c r="G6084">
        <v>2000</v>
      </c>
      <c r="H6084">
        <f>AVERAGEIFS(Table1[value],Table1[IndicatorCode],Table1[[#This Row],[IndicatorCode]])</f>
        <v>24902.88753799392</v>
      </c>
      <c r="I6084" cm="1">
        <f t="array" ref="I6084">_xlfn.STDEV.P(IF(Table1[IndicatorCode]=Table1[[#This Row],[IndicatorCode]],Table1[value]))</f>
        <v>26324.778297809873</v>
      </c>
      <c r="J6084">
        <f>(Table1[[#This Row],[value]] - Table1[[#This Row],[mean]]) / Table1[[#This Row],[std_dev]]</f>
        <v>0.29277027045835685</v>
      </c>
      <c r="K6084">
        <f>AVERAGEIF(Table1[CountryCode],Table1[[#This Row],[CountryCode]],Table1[z-score])</f>
        <v>0.20445029067007053</v>
      </c>
      <c r="L6084" t="e">
        <f>VLOOKUP(Table1[[#This Row],[CountryCode]],[1]!Table1[#All],1,FALSE)</f>
        <v>#REF!</v>
      </c>
    </row>
    <row r="6085" spans="1:12" hidden="1" x14ac:dyDescent="0.3">
      <c r="A6085" t="s">
        <v>69</v>
      </c>
      <c r="B6085" t="s">
        <v>70</v>
      </c>
      <c r="C6085" t="s">
        <v>127</v>
      </c>
      <c r="D6085" t="s">
        <v>128</v>
      </c>
      <c r="E6085">
        <v>2001</v>
      </c>
      <c r="F6085" s="1">
        <v>33244</v>
      </c>
      <c r="G6085">
        <v>2000</v>
      </c>
      <c r="H6085">
        <f>AVERAGEIFS(Table1[value],Table1[IndicatorCode],Table1[[#This Row],[IndicatorCode]])</f>
        <v>24902.88753799392</v>
      </c>
      <c r="I6085" cm="1">
        <f t="array" ref="I6085">_xlfn.STDEV.P(IF(Table1[IndicatorCode]=Table1[[#This Row],[IndicatorCode]],Table1[value]))</f>
        <v>26324.778297809873</v>
      </c>
      <c r="J6085">
        <f>(Table1[[#This Row],[value]] - Table1[[#This Row],[mean]]) / Table1[[#This Row],[std_dev]]</f>
        <v>0.316854044035768</v>
      </c>
      <c r="K6085">
        <f>AVERAGEIF(Table1[CountryCode],Table1[[#This Row],[CountryCode]],Table1[z-score])</f>
        <v>0.20445029067007053</v>
      </c>
      <c r="L6085" t="e">
        <f>VLOOKUP(Table1[[#This Row],[CountryCode]],[1]!Table1[#All],1,FALSE)</f>
        <v>#REF!</v>
      </c>
    </row>
    <row r="6086" spans="1:12" hidden="1" x14ac:dyDescent="0.3">
      <c r="A6086" t="s">
        <v>69</v>
      </c>
      <c r="B6086" t="s">
        <v>70</v>
      </c>
      <c r="C6086" t="s">
        <v>127</v>
      </c>
      <c r="D6086" t="s">
        <v>128</v>
      </c>
      <c r="E6086">
        <v>2002</v>
      </c>
      <c r="F6086" s="1">
        <v>33267</v>
      </c>
      <c r="G6086">
        <v>2000</v>
      </c>
      <c r="H6086">
        <f>AVERAGEIFS(Table1[value],Table1[IndicatorCode],Table1[[#This Row],[IndicatorCode]])</f>
        <v>24902.88753799392</v>
      </c>
      <c r="I6086" cm="1">
        <f t="array" ref="I6086">_xlfn.STDEV.P(IF(Table1[IndicatorCode]=Table1[[#This Row],[IndicatorCode]],Table1[value]))</f>
        <v>26324.778297809873</v>
      </c>
      <c r="J6086">
        <f>(Table1[[#This Row],[value]] - Table1[[#This Row],[mean]]) / Table1[[#This Row],[std_dev]]</f>
        <v>0.31772774560087919</v>
      </c>
      <c r="K6086">
        <f>AVERAGEIF(Table1[CountryCode],Table1[[#This Row],[CountryCode]],Table1[z-score])</f>
        <v>0.20445029067007053</v>
      </c>
      <c r="L6086" t="e">
        <f>VLOOKUP(Table1[[#This Row],[CountryCode]],[1]!Table1[#All],1,FALSE)</f>
        <v>#REF!</v>
      </c>
    </row>
    <row r="6087" spans="1:12" hidden="1" x14ac:dyDescent="0.3">
      <c r="A6087" t="s">
        <v>69</v>
      </c>
      <c r="B6087" t="s">
        <v>70</v>
      </c>
      <c r="C6087" t="s">
        <v>127</v>
      </c>
      <c r="D6087" t="s">
        <v>128</v>
      </c>
      <c r="E6087">
        <v>2003</v>
      </c>
      <c r="F6087" s="1">
        <v>33110</v>
      </c>
      <c r="G6087">
        <v>2000</v>
      </c>
      <c r="H6087">
        <f>AVERAGEIFS(Table1[value],Table1[IndicatorCode],Table1[[#This Row],[IndicatorCode]])</f>
        <v>24902.88753799392</v>
      </c>
      <c r="I6087" cm="1">
        <f t="array" ref="I6087">_xlfn.STDEV.P(IF(Table1[IndicatorCode]=Table1[[#This Row],[IndicatorCode]],Table1[value]))</f>
        <v>26324.778297809873</v>
      </c>
      <c r="J6087">
        <f>(Table1[[#This Row],[value]] - Table1[[#This Row],[mean]]) / Table1[[#This Row],[std_dev]]</f>
        <v>0.31176378274338146</v>
      </c>
      <c r="K6087">
        <f>AVERAGEIF(Table1[CountryCode],Table1[[#This Row],[CountryCode]],Table1[z-score])</f>
        <v>0.20445029067007053</v>
      </c>
      <c r="L6087" t="e">
        <f>VLOOKUP(Table1[[#This Row],[CountryCode]],[1]!Table1[#All],1,FALSE)</f>
        <v>#REF!</v>
      </c>
    </row>
    <row r="6088" spans="1:12" hidden="1" x14ac:dyDescent="0.3">
      <c r="A6088" t="s">
        <v>69</v>
      </c>
      <c r="B6088" t="s">
        <v>70</v>
      </c>
      <c r="C6088" t="s">
        <v>127</v>
      </c>
      <c r="D6088" t="s">
        <v>128</v>
      </c>
      <c r="E6088">
        <v>2004</v>
      </c>
      <c r="F6088" s="1">
        <v>33349</v>
      </c>
      <c r="G6088">
        <v>2000</v>
      </c>
      <c r="H6088">
        <f>AVERAGEIFS(Table1[value],Table1[IndicatorCode],Table1[[#This Row],[IndicatorCode]])</f>
        <v>24902.88753799392</v>
      </c>
      <c r="I6088" cm="1">
        <f t="array" ref="I6088">_xlfn.STDEV.P(IF(Table1[IndicatorCode]=Table1[[#This Row],[IndicatorCode]],Table1[value]))</f>
        <v>26324.778297809873</v>
      </c>
      <c r="J6088">
        <f>(Table1[[#This Row],[value]] - Table1[[#This Row],[mean]]) / Table1[[#This Row],[std_dev]]</f>
        <v>0.32084268161562318</v>
      </c>
      <c r="K6088">
        <f>AVERAGEIF(Table1[CountryCode],Table1[[#This Row],[CountryCode]],Table1[z-score])</f>
        <v>0.20445029067007053</v>
      </c>
      <c r="L6088" t="e">
        <f>VLOOKUP(Table1[[#This Row],[CountryCode]],[1]!Table1[#All],1,FALSE)</f>
        <v>#REF!</v>
      </c>
    </row>
    <row r="6089" spans="1:12" hidden="1" x14ac:dyDescent="0.3">
      <c r="A6089" t="s">
        <v>69</v>
      </c>
      <c r="B6089" t="s">
        <v>70</v>
      </c>
      <c r="C6089" t="s">
        <v>127</v>
      </c>
      <c r="D6089" t="s">
        <v>128</v>
      </c>
      <c r="E6089">
        <v>2005</v>
      </c>
      <c r="F6089" s="1">
        <v>33408</v>
      </c>
      <c r="G6089">
        <v>2000</v>
      </c>
      <c r="H6089">
        <f>AVERAGEIFS(Table1[value],Table1[IndicatorCode],Table1[[#This Row],[IndicatorCode]])</f>
        <v>24902.88753799392</v>
      </c>
      <c r="I6089" cm="1">
        <f t="array" ref="I6089">_xlfn.STDEV.P(IF(Table1[IndicatorCode]=Table1[[#This Row],[IndicatorCode]],Table1[value]))</f>
        <v>26324.778297809873</v>
      </c>
      <c r="J6089">
        <f>(Table1[[#This Row],[value]] - Table1[[#This Row],[mean]]) / Table1[[#This Row],[std_dev]]</f>
        <v>0.3230839160652561</v>
      </c>
      <c r="K6089">
        <f>AVERAGEIF(Table1[CountryCode],Table1[[#This Row],[CountryCode]],Table1[z-score])</f>
        <v>0.20445029067007053</v>
      </c>
      <c r="L6089" t="e">
        <f>VLOOKUP(Table1[[#This Row],[CountryCode]],[1]!Table1[#All],1,FALSE)</f>
        <v>#REF!</v>
      </c>
    </row>
    <row r="6090" spans="1:12" hidden="1" x14ac:dyDescent="0.3">
      <c r="A6090" t="s">
        <v>69</v>
      </c>
      <c r="B6090" t="s">
        <v>70</v>
      </c>
      <c r="C6090" t="s">
        <v>127</v>
      </c>
      <c r="D6090" t="s">
        <v>128</v>
      </c>
      <c r="E6090">
        <v>2006</v>
      </c>
      <c r="F6090" s="1">
        <v>33873</v>
      </c>
      <c r="G6090">
        <v>2000</v>
      </c>
      <c r="H6090">
        <f>AVERAGEIFS(Table1[value],Table1[IndicatorCode],Table1[[#This Row],[IndicatorCode]])</f>
        <v>24902.88753799392</v>
      </c>
      <c r="I6090" cm="1">
        <f t="array" ref="I6090">_xlfn.STDEV.P(IF(Table1[IndicatorCode]=Table1[[#This Row],[IndicatorCode]],Table1[value]))</f>
        <v>26324.778297809873</v>
      </c>
      <c r="J6090">
        <f>(Table1[[#This Row],[value]] - Table1[[#This Row],[mean]]) / Table1[[#This Row],[std_dev]]</f>
        <v>0.34074788249032895</v>
      </c>
      <c r="K6090">
        <f>AVERAGEIF(Table1[CountryCode],Table1[[#This Row],[CountryCode]],Table1[z-score])</f>
        <v>0.20445029067007053</v>
      </c>
      <c r="L6090" t="e">
        <f>VLOOKUP(Table1[[#This Row],[CountryCode]],[1]!Table1[#All],1,FALSE)</f>
        <v>#REF!</v>
      </c>
    </row>
    <row r="6091" spans="1:12" hidden="1" x14ac:dyDescent="0.3">
      <c r="A6091" t="s">
        <v>69</v>
      </c>
      <c r="B6091" t="s">
        <v>70</v>
      </c>
      <c r="C6091" t="s">
        <v>127</v>
      </c>
      <c r="D6091" t="s">
        <v>128</v>
      </c>
      <c r="E6091">
        <v>2007</v>
      </c>
      <c r="F6091" s="1">
        <v>34160</v>
      </c>
      <c r="G6091">
        <v>2010</v>
      </c>
      <c r="H6091">
        <f>AVERAGEIFS(Table1[value],Table1[IndicatorCode],Table1[[#This Row],[IndicatorCode]])</f>
        <v>24902.88753799392</v>
      </c>
      <c r="I6091" cm="1">
        <f t="array" ref="I6091">_xlfn.STDEV.P(IF(Table1[IndicatorCode]=Table1[[#This Row],[IndicatorCode]],Table1[value]))</f>
        <v>26324.778297809873</v>
      </c>
      <c r="J6091">
        <f>(Table1[[#This Row],[value]] - Table1[[#This Row],[mean]]) / Table1[[#This Row],[std_dev]]</f>
        <v>0.35165015854193304</v>
      </c>
      <c r="K6091">
        <f>AVERAGEIF(Table1[CountryCode],Table1[[#This Row],[CountryCode]],Table1[z-score])</f>
        <v>0.20445029067007053</v>
      </c>
      <c r="L6091" t="e">
        <f>VLOOKUP(Table1[[#This Row],[CountryCode]],[1]!Table1[#All],1,FALSE)</f>
        <v>#REF!</v>
      </c>
    </row>
    <row r="6092" spans="1:12" hidden="1" x14ac:dyDescent="0.3">
      <c r="A6092" t="s">
        <v>69</v>
      </c>
      <c r="B6092" t="s">
        <v>70</v>
      </c>
      <c r="C6092" t="s">
        <v>127</v>
      </c>
      <c r="D6092" t="s">
        <v>128</v>
      </c>
      <c r="E6092">
        <v>2008</v>
      </c>
      <c r="F6092" s="1">
        <v>33551</v>
      </c>
      <c r="G6092">
        <v>2010</v>
      </c>
      <c r="H6092">
        <f>AVERAGEIFS(Table1[value],Table1[IndicatorCode],Table1[[#This Row],[IndicatorCode]])</f>
        <v>24902.88753799392</v>
      </c>
      <c r="I6092" cm="1">
        <f t="array" ref="I6092">_xlfn.STDEV.P(IF(Table1[IndicatorCode]=Table1[[#This Row],[IndicatorCode]],Table1[value]))</f>
        <v>26324.778297809873</v>
      </c>
      <c r="J6092">
        <f>(Table1[[#This Row],[value]] - Table1[[#This Row],[mean]]) / Table1[[#This Row],[std_dev]]</f>
        <v>0.32851606057877314</v>
      </c>
      <c r="K6092">
        <f>AVERAGEIF(Table1[CountryCode],Table1[[#This Row],[CountryCode]],Table1[z-score])</f>
        <v>0.20445029067007053</v>
      </c>
      <c r="L6092" t="e">
        <f>VLOOKUP(Table1[[#This Row],[CountryCode]],[1]!Table1[#All],1,FALSE)</f>
        <v>#REF!</v>
      </c>
    </row>
    <row r="6093" spans="1:12" hidden="1" x14ac:dyDescent="0.3">
      <c r="A6093" t="s">
        <v>69</v>
      </c>
      <c r="B6093" t="s">
        <v>70</v>
      </c>
      <c r="C6093" t="s">
        <v>127</v>
      </c>
      <c r="D6093" t="s">
        <v>128</v>
      </c>
      <c r="E6093">
        <v>2009</v>
      </c>
      <c r="F6093" s="1">
        <v>31587</v>
      </c>
      <c r="G6093">
        <v>2010</v>
      </c>
      <c r="H6093">
        <f>AVERAGEIFS(Table1[value],Table1[IndicatorCode],Table1[[#This Row],[IndicatorCode]])</f>
        <v>24902.88753799392</v>
      </c>
      <c r="I6093" cm="1">
        <f t="array" ref="I6093">_xlfn.STDEV.P(IF(Table1[IndicatorCode]=Table1[[#This Row],[IndicatorCode]],Table1[value]))</f>
        <v>26324.778297809873</v>
      </c>
      <c r="J6093">
        <f>(Table1[[#This Row],[value]] - Table1[[#This Row],[mean]]) / Table1[[#This Row],[std_dev]]</f>
        <v>0.25390954432319662</v>
      </c>
      <c r="K6093">
        <f>AVERAGEIF(Table1[CountryCode],Table1[[#This Row],[CountryCode]],Table1[z-score])</f>
        <v>0.20445029067007053</v>
      </c>
      <c r="L6093" t="e">
        <f>VLOOKUP(Table1[[#This Row],[CountryCode]],[1]!Table1[#All],1,FALSE)</f>
        <v>#REF!</v>
      </c>
    </row>
    <row r="6094" spans="1:12" hidden="1" x14ac:dyDescent="0.3">
      <c r="A6094" t="s">
        <v>69</v>
      </c>
      <c r="B6094" t="s">
        <v>70</v>
      </c>
      <c r="C6094" t="s">
        <v>127</v>
      </c>
      <c r="D6094" t="s">
        <v>128</v>
      </c>
      <c r="E6094">
        <v>2010</v>
      </c>
      <c r="F6094" s="1">
        <v>31929</v>
      </c>
      <c r="G6094">
        <v>2010</v>
      </c>
      <c r="H6094">
        <f>AVERAGEIFS(Table1[value],Table1[IndicatorCode],Table1[[#This Row],[IndicatorCode]])</f>
        <v>24902.88753799392</v>
      </c>
      <c r="I6094" cm="1">
        <f t="array" ref="I6094">_xlfn.STDEV.P(IF(Table1[IndicatorCode]=Table1[[#This Row],[IndicatorCode]],Table1[value]))</f>
        <v>26324.778297809873</v>
      </c>
      <c r="J6094">
        <f>(Table1[[#This Row],[value]] - Table1[[#This Row],[mean]]) / Table1[[#This Row],[std_dev]]</f>
        <v>0.26690110672615341</v>
      </c>
      <c r="K6094">
        <f>AVERAGEIF(Table1[CountryCode],Table1[[#This Row],[CountryCode]],Table1[z-score])</f>
        <v>0.20445029067007053</v>
      </c>
      <c r="L6094" t="e">
        <f>VLOOKUP(Table1[[#This Row],[CountryCode]],[1]!Table1[#All],1,FALSE)</f>
        <v>#REF!</v>
      </c>
    </row>
    <row r="6095" spans="1:12" hidden="1" x14ac:dyDescent="0.3">
      <c r="A6095" t="s">
        <v>69</v>
      </c>
      <c r="B6095" t="s">
        <v>70</v>
      </c>
      <c r="C6095" t="s">
        <v>127</v>
      </c>
      <c r="D6095" t="s">
        <v>128</v>
      </c>
      <c r="E6095">
        <v>2011</v>
      </c>
      <c r="F6095" s="1">
        <v>32040</v>
      </c>
      <c r="G6095">
        <v>2010</v>
      </c>
      <c r="H6095">
        <f>AVERAGEIFS(Table1[value],Table1[IndicatorCode],Table1[[#This Row],[IndicatorCode]])</f>
        <v>24902.88753799392</v>
      </c>
      <c r="I6095" cm="1">
        <f t="array" ref="I6095">_xlfn.STDEV.P(IF(Table1[IndicatorCode]=Table1[[#This Row],[IndicatorCode]],Table1[value]))</f>
        <v>26324.778297809873</v>
      </c>
      <c r="J6095">
        <f>(Table1[[#This Row],[value]] - Table1[[#This Row],[mean]]) / Table1[[#This Row],[std_dev]]</f>
        <v>0.27111766645342888</v>
      </c>
      <c r="K6095">
        <f>AVERAGEIF(Table1[CountryCode],Table1[[#This Row],[CountryCode]],Table1[z-score])</f>
        <v>0.20445029067007053</v>
      </c>
      <c r="L6095" t="e">
        <f>VLOOKUP(Table1[[#This Row],[CountryCode]],[1]!Table1[#All],1,FALSE)</f>
        <v>#REF!</v>
      </c>
    </row>
    <row r="6096" spans="1:12" hidden="1" x14ac:dyDescent="0.3">
      <c r="A6096" t="s">
        <v>69</v>
      </c>
      <c r="B6096" t="s">
        <v>70</v>
      </c>
      <c r="C6096" t="s">
        <v>127</v>
      </c>
      <c r="D6096" t="s">
        <v>128</v>
      </c>
      <c r="E6096">
        <v>2012</v>
      </c>
      <c r="F6096" s="1">
        <v>30953</v>
      </c>
      <c r="G6096">
        <v>2010</v>
      </c>
      <c r="H6096">
        <f>AVERAGEIFS(Table1[value],Table1[IndicatorCode],Table1[[#This Row],[IndicatorCode]])</f>
        <v>24902.88753799392</v>
      </c>
      <c r="I6096" cm="1">
        <f t="array" ref="I6096">_xlfn.STDEV.P(IF(Table1[IndicatorCode]=Table1[[#This Row],[IndicatorCode]],Table1[value]))</f>
        <v>26324.778297809873</v>
      </c>
      <c r="J6096">
        <f>(Table1[[#This Row],[value]] - Table1[[#This Row],[mean]]) / Table1[[#This Row],[std_dev]]</f>
        <v>0.22982577074578545</v>
      </c>
      <c r="K6096">
        <f>AVERAGEIF(Table1[CountryCode],Table1[[#This Row],[CountryCode]],Table1[z-score])</f>
        <v>0.20445029067007053</v>
      </c>
      <c r="L6096" t="e">
        <f>VLOOKUP(Table1[[#This Row],[CountryCode]],[1]!Table1[#All],1,FALSE)</f>
        <v>#REF!</v>
      </c>
    </row>
    <row r="6097" spans="1:12" hidden="1" x14ac:dyDescent="0.3">
      <c r="A6097" t="s">
        <v>69</v>
      </c>
      <c r="B6097" t="s">
        <v>70</v>
      </c>
      <c r="C6097" t="s">
        <v>127</v>
      </c>
      <c r="D6097" t="s">
        <v>128</v>
      </c>
      <c r="E6097">
        <v>2013</v>
      </c>
      <c r="F6097" s="1">
        <v>30330</v>
      </c>
      <c r="G6097">
        <v>2010</v>
      </c>
      <c r="H6097">
        <f>AVERAGEIFS(Table1[value],Table1[IndicatorCode],Table1[[#This Row],[IndicatorCode]])</f>
        <v>24902.88753799392</v>
      </c>
      <c r="I6097" cm="1">
        <f t="array" ref="I6097">_xlfn.STDEV.P(IF(Table1[IndicatorCode]=Table1[[#This Row],[IndicatorCode]],Table1[value]))</f>
        <v>26324.778297809873</v>
      </c>
      <c r="J6097">
        <f>(Table1[[#This Row],[value]] - Table1[[#This Row],[mean]]) / Table1[[#This Row],[std_dev]]</f>
        <v>0.20615985443864485</v>
      </c>
      <c r="K6097">
        <f>AVERAGEIF(Table1[CountryCode],Table1[[#This Row],[CountryCode]],Table1[z-score])</f>
        <v>0.20445029067007053</v>
      </c>
      <c r="L6097" t="e">
        <f>VLOOKUP(Table1[[#This Row],[CountryCode]],[1]!Table1[#All],1,FALSE)</f>
        <v>#REF!</v>
      </c>
    </row>
    <row r="6098" spans="1:12" hidden="1" x14ac:dyDescent="0.3">
      <c r="A6098" t="s">
        <v>69</v>
      </c>
      <c r="B6098" t="s">
        <v>70</v>
      </c>
      <c r="C6098" t="s">
        <v>127</v>
      </c>
      <c r="D6098" t="s">
        <v>128</v>
      </c>
      <c r="E6098">
        <v>2014</v>
      </c>
      <c r="F6098" s="1">
        <v>30325</v>
      </c>
      <c r="G6098">
        <v>2010</v>
      </c>
      <c r="H6098">
        <f>AVERAGEIFS(Table1[value],Table1[IndicatorCode],Table1[[#This Row],[IndicatorCode]])</f>
        <v>24902.88753799392</v>
      </c>
      <c r="I6098" cm="1">
        <f t="array" ref="I6098">_xlfn.STDEV.P(IF(Table1[IndicatorCode]=Table1[[#This Row],[IndicatorCode]],Table1[value]))</f>
        <v>26324.778297809873</v>
      </c>
      <c r="J6098">
        <f>(Table1[[#This Row],[value]] - Table1[[#This Row],[mean]]) / Table1[[#This Row],[std_dev]]</f>
        <v>0.20596991931579459</v>
      </c>
      <c r="K6098">
        <f>AVERAGEIF(Table1[CountryCode],Table1[[#This Row],[CountryCode]],Table1[z-score])</f>
        <v>0.20445029067007053</v>
      </c>
      <c r="L6098" t="e">
        <f>VLOOKUP(Table1[[#This Row],[CountryCode]],[1]!Table1[#All],1,FALSE)</f>
        <v>#REF!</v>
      </c>
    </row>
    <row r="6099" spans="1:12" hidden="1" x14ac:dyDescent="0.3">
      <c r="A6099" t="s">
        <v>69</v>
      </c>
      <c r="B6099" t="s">
        <v>70</v>
      </c>
      <c r="C6099" t="s">
        <v>127</v>
      </c>
      <c r="D6099" t="s">
        <v>128</v>
      </c>
      <c r="E6099">
        <v>2015</v>
      </c>
      <c r="F6099" s="1">
        <v>30640</v>
      </c>
      <c r="G6099">
        <v>2010</v>
      </c>
      <c r="H6099">
        <f>AVERAGEIFS(Table1[value],Table1[IndicatorCode],Table1[[#This Row],[IndicatorCode]])</f>
        <v>24902.88753799392</v>
      </c>
      <c r="I6099" cm="1">
        <f t="array" ref="I6099">_xlfn.STDEV.P(IF(Table1[IndicatorCode]=Table1[[#This Row],[IndicatorCode]],Table1[value]))</f>
        <v>26324.778297809873</v>
      </c>
      <c r="J6099">
        <f>(Table1[[#This Row],[value]] - Table1[[#This Row],[mean]]) / Table1[[#This Row],[std_dev]]</f>
        <v>0.21793583205536007</v>
      </c>
      <c r="K6099">
        <f>AVERAGEIF(Table1[CountryCode],Table1[[#This Row],[CountryCode]],Table1[z-score])</f>
        <v>0.20445029067007053</v>
      </c>
      <c r="L6099" t="e">
        <f>VLOOKUP(Table1[[#This Row],[CountryCode]],[1]!Table1[#All],1,FALSE)</f>
        <v>#REF!</v>
      </c>
    </row>
    <row r="6100" spans="1:12" hidden="1" x14ac:dyDescent="0.3">
      <c r="A6100" t="s">
        <v>69</v>
      </c>
      <c r="B6100" t="s">
        <v>70</v>
      </c>
      <c r="C6100" t="s">
        <v>127</v>
      </c>
      <c r="D6100" t="s">
        <v>128</v>
      </c>
      <c r="E6100">
        <v>2016</v>
      </c>
      <c r="F6100" s="1">
        <v>31078</v>
      </c>
      <c r="G6100">
        <v>2010</v>
      </c>
      <c r="H6100">
        <f>AVERAGEIFS(Table1[value],Table1[IndicatorCode],Table1[[#This Row],[IndicatorCode]])</f>
        <v>24902.88753799392</v>
      </c>
      <c r="I6100" cm="1">
        <f t="array" ref="I6100">_xlfn.STDEV.P(IF(Table1[IndicatorCode]=Table1[[#This Row],[IndicatorCode]],Table1[value]))</f>
        <v>26324.778297809873</v>
      </c>
      <c r="J6100">
        <f>(Table1[[#This Row],[value]] - Table1[[#This Row],[mean]]) / Table1[[#This Row],[std_dev]]</f>
        <v>0.23457414881704158</v>
      </c>
      <c r="K6100">
        <f>AVERAGEIF(Table1[CountryCode],Table1[[#This Row],[CountryCode]],Table1[z-score])</f>
        <v>0.20445029067007053</v>
      </c>
      <c r="L6100" t="e">
        <f>VLOOKUP(Table1[[#This Row],[CountryCode]],[1]!Table1[#All],1,FALSE)</f>
        <v>#REF!</v>
      </c>
    </row>
    <row r="6101" spans="1:12" hidden="1" x14ac:dyDescent="0.3">
      <c r="A6101" t="s">
        <v>69</v>
      </c>
      <c r="B6101" t="s">
        <v>70</v>
      </c>
      <c r="C6101" t="s">
        <v>127</v>
      </c>
      <c r="D6101" t="s">
        <v>128</v>
      </c>
      <c r="E6101">
        <v>2017</v>
      </c>
      <c r="F6101" s="1">
        <v>31636</v>
      </c>
      <c r="G6101">
        <v>2020</v>
      </c>
      <c r="H6101">
        <f>AVERAGEIFS(Table1[value],Table1[IndicatorCode],Table1[[#This Row],[IndicatorCode]])</f>
        <v>24902.88753799392</v>
      </c>
      <c r="I6101" cm="1">
        <f t="array" ref="I6101">_xlfn.STDEV.P(IF(Table1[IndicatorCode]=Table1[[#This Row],[IndicatorCode]],Table1[value]))</f>
        <v>26324.778297809873</v>
      </c>
      <c r="J6101">
        <f>(Table1[[#This Row],[value]] - Table1[[#This Row],[mean]]) / Table1[[#This Row],[std_dev]]</f>
        <v>0.25577090852712903</v>
      </c>
      <c r="K6101">
        <f>AVERAGEIF(Table1[CountryCode],Table1[[#This Row],[CountryCode]],Table1[z-score])</f>
        <v>0.20445029067007053</v>
      </c>
      <c r="L6101" t="e">
        <f>VLOOKUP(Table1[[#This Row],[CountryCode]],[1]!Table1[#All],1,FALSE)</f>
        <v>#REF!</v>
      </c>
    </row>
    <row r="6102" spans="1:12" hidden="1" x14ac:dyDescent="0.3">
      <c r="A6102" t="s">
        <v>69</v>
      </c>
      <c r="B6102" t="s">
        <v>70</v>
      </c>
      <c r="C6102" t="s">
        <v>127</v>
      </c>
      <c r="D6102" t="s">
        <v>128</v>
      </c>
      <c r="E6102">
        <v>2018</v>
      </c>
      <c r="F6102" s="1">
        <v>31819</v>
      </c>
      <c r="G6102">
        <v>2020</v>
      </c>
      <c r="H6102">
        <f>AVERAGEIFS(Table1[value],Table1[IndicatorCode],Table1[[#This Row],[IndicatorCode]])</f>
        <v>24902.88753799392</v>
      </c>
      <c r="I6102" cm="1">
        <f t="array" ref="I6102">_xlfn.STDEV.P(IF(Table1[IndicatorCode]=Table1[[#This Row],[IndicatorCode]],Table1[value]))</f>
        <v>26324.778297809873</v>
      </c>
      <c r="J6102">
        <f>(Table1[[#This Row],[value]] - Table1[[#This Row],[mean]]) / Table1[[#This Row],[std_dev]]</f>
        <v>0.26272253402344803</v>
      </c>
      <c r="K6102">
        <f>AVERAGEIF(Table1[CountryCode],Table1[[#This Row],[CountryCode]],Table1[z-score])</f>
        <v>0.20445029067007053</v>
      </c>
      <c r="L6102" t="e">
        <f>VLOOKUP(Table1[[#This Row],[CountryCode]],[1]!Table1[#All],1,FALSE)</f>
        <v>#REF!</v>
      </c>
    </row>
    <row r="6103" spans="1:12" hidden="1" x14ac:dyDescent="0.3">
      <c r="A6103" t="s">
        <v>69</v>
      </c>
      <c r="B6103" t="s">
        <v>70</v>
      </c>
      <c r="C6103" t="s">
        <v>127</v>
      </c>
      <c r="D6103" t="s">
        <v>128</v>
      </c>
      <c r="E6103">
        <v>2019</v>
      </c>
      <c r="F6103" s="1">
        <v>32180</v>
      </c>
      <c r="G6103">
        <v>2020</v>
      </c>
      <c r="H6103">
        <f>AVERAGEIFS(Table1[value],Table1[IndicatorCode],Table1[[#This Row],[IndicatorCode]])</f>
        <v>24902.88753799392</v>
      </c>
      <c r="I6103" cm="1">
        <f t="array" ref="I6103">_xlfn.STDEV.P(IF(Table1[IndicatorCode]=Table1[[#This Row],[IndicatorCode]],Table1[value]))</f>
        <v>26324.778297809873</v>
      </c>
      <c r="J6103">
        <f>(Table1[[#This Row],[value]] - Table1[[#This Row],[mean]]) / Table1[[#This Row],[std_dev]]</f>
        <v>0.27643584989323572</v>
      </c>
      <c r="K6103">
        <f>AVERAGEIF(Table1[CountryCode],Table1[[#This Row],[CountryCode]],Table1[z-score])</f>
        <v>0.20445029067007053</v>
      </c>
      <c r="L6103" t="e">
        <f>VLOOKUP(Table1[[#This Row],[CountryCode]],[1]!Table1[#All],1,FALSE)</f>
        <v>#REF!</v>
      </c>
    </row>
    <row r="6104" spans="1:12" x14ac:dyDescent="0.3">
      <c r="A6104" t="s">
        <v>97</v>
      </c>
      <c r="B6104" t="s">
        <v>98</v>
      </c>
      <c r="C6104" t="s">
        <v>127</v>
      </c>
      <c r="D6104" t="s">
        <v>128</v>
      </c>
      <c r="E6104">
        <v>2020</v>
      </c>
      <c r="F6104" s="1">
        <v>19779</v>
      </c>
      <c r="G6104">
        <v>2020</v>
      </c>
      <c r="H6104">
        <f>AVERAGEIFS(Table1[value],Table1[IndicatorCode],Table1[[#This Row],[IndicatorCode]])</f>
        <v>24902.88753799392</v>
      </c>
      <c r="I6104" cm="1">
        <f t="array" ref="I6104">_xlfn.STDEV.P(IF(Table1[IndicatorCode]=Table1[[#This Row],[IndicatorCode]],Table1[value]))</f>
        <v>26324.778297809873</v>
      </c>
      <c r="J6104">
        <f>(Table1[[#This Row],[value]] - Table1[[#This Row],[mean]]) / Table1[[#This Row],[std_dev]]</f>
        <v>-0.19464124179994363</v>
      </c>
      <c r="K6104">
        <f>AVERAGEIF(Table1[CountryCode],Table1[[#This Row],[CountryCode]],Table1[z-score])</f>
        <v>-0.19691915896687051</v>
      </c>
    </row>
    <row r="6105" spans="1:12" hidden="1" x14ac:dyDescent="0.3">
      <c r="A6105" t="s">
        <v>69</v>
      </c>
      <c r="B6105" t="s">
        <v>70</v>
      </c>
      <c r="C6105" t="s">
        <v>127</v>
      </c>
      <c r="D6105" t="s">
        <v>128</v>
      </c>
      <c r="E6105">
        <v>2021</v>
      </c>
      <c r="F6105" s="1">
        <v>32268</v>
      </c>
      <c r="G6105">
        <v>2020</v>
      </c>
      <c r="H6105">
        <f>AVERAGEIFS(Table1[value],Table1[IndicatorCode],Table1[[#This Row],[IndicatorCode]])</f>
        <v>24902.88753799392</v>
      </c>
      <c r="I6105" cm="1">
        <f t="array" ref="I6105">_xlfn.STDEV.P(IF(Table1[IndicatorCode]=Table1[[#This Row],[IndicatorCode]],Table1[value]))</f>
        <v>26324.778297809873</v>
      </c>
      <c r="J6105">
        <f>(Table1[[#This Row],[value]] - Table1[[#This Row],[mean]]) / Table1[[#This Row],[std_dev]]</f>
        <v>0.27977870805540006</v>
      </c>
      <c r="K6105">
        <f>AVERAGEIF(Table1[CountryCode],Table1[[#This Row],[CountryCode]],Table1[z-score])</f>
        <v>0.20445029067007053</v>
      </c>
      <c r="L6105" t="e">
        <f>VLOOKUP(Table1[[#This Row],[CountryCode]],[1]!Table1[#All],1,FALSE)</f>
        <v>#REF!</v>
      </c>
    </row>
    <row r="6106" spans="1:12" hidden="1" x14ac:dyDescent="0.3">
      <c r="A6106" t="s">
        <v>69</v>
      </c>
      <c r="B6106" t="s">
        <v>70</v>
      </c>
      <c r="C6106" t="s">
        <v>127</v>
      </c>
      <c r="D6106" t="s">
        <v>128</v>
      </c>
      <c r="E6106">
        <v>2022</v>
      </c>
      <c r="F6106" s="1">
        <v>33892</v>
      </c>
      <c r="G6106">
        <v>1990</v>
      </c>
      <c r="H6106">
        <f>AVERAGEIFS(Table1[value],Table1[IndicatorCode],Table1[[#This Row],[IndicatorCode]])</f>
        <v>24902.88753799392</v>
      </c>
      <c r="I6106" cm="1">
        <f t="array" ref="I6106">_xlfn.STDEV.P(IF(Table1[IndicatorCode]=Table1[[#This Row],[IndicatorCode]],Table1[value]))</f>
        <v>26324.778297809873</v>
      </c>
      <c r="J6106">
        <f>(Table1[[#This Row],[value]] - Table1[[#This Row],[mean]]) / Table1[[#This Row],[std_dev]]</f>
        <v>0.34146963595715984</v>
      </c>
      <c r="K6106">
        <f>AVERAGEIF(Table1[CountryCode],Table1[[#This Row],[CountryCode]],Table1[z-score])</f>
        <v>0.20445029067007053</v>
      </c>
      <c r="L6106" t="e">
        <f>VLOOKUP(Table1[[#This Row],[CountryCode]],[1]!Table1[#All],1,FALSE)</f>
        <v>#REF!</v>
      </c>
    </row>
    <row r="6107" spans="1:12" hidden="1" x14ac:dyDescent="0.3">
      <c r="A6107" t="s">
        <v>69</v>
      </c>
      <c r="B6107" t="s">
        <v>70</v>
      </c>
      <c r="C6107" t="s">
        <v>127</v>
      </c>
      <c r="D6107" t="s">
        <v>128</v>
      </c>
      <c r="E6107">
        <v>2023</v>
      </c>
      <c r="F6107" s="1">
        <v>34240</v>
      </c>
      <c r="G6107">
        <v>1990</v>
      </c>
      <c r="H6107">
        <f>AVERAGEIFS(Table1[value],Table1[IndicatorCode],Table1[[#This Row],[IndicatorCode]])</f>
        <v>24902.88753799392</v>
      </c>
      <c r="I6107" cm="1">
        <f t="array" ref="I6107">_xlfn.STDEV.P(IF(Table1[IndicatorCode]=Table1[[#This Row],[IndicatorCode]],Table1[value]))</f>
        <v>26324.778297809873</v>
      </c>
      <c r="J6107">
        <f>(Table1[[#This Row],[value]] - Table1[[#This Row],[mean]]) / Table1[[#This Row],[std_dev]]</f>
        <v>0.35468912050753698</v>
      </c>
      <c r="K6107">
        <f>AVERAGEIF(Table1[CountryCode],Table1[[#This Row],[CountryCode]],Table1[z-score])</f>
        <v>0.20445029067007053</v>
      </c>
      <c r="L6107" t="e">
        <f>VLOOKUP(Table1[[#This Row],[CountryCode]],[1]!Table1[#All],1,FALSE)</f>
        <v>#REF!</v>
      </c>
    </row>
    <row r="6108" spans="1:12" hidden="1" x14ac:dyDescent="0.3">
      <c r="A6108" t="s">
        <v>69</v>
      </c>
      <c r="B6108" t="s">
        <v>70</v>
      </c>
      <c r="C6108" t="s">
        <v>127</v>
      </c>
      <c r="D6108" t="s">
        <v>128</v>
      </c>
      <c r="E6108">
        <v>2024</v>
      </c>
      <c r="F6108" s="1">
        <v>34495</v>
      </c>
      <c r="G6108">
        <v>1990</v>
      </c>
      <c r="H6108">
        <f>AVERAGEIFS(Table1[value],Table1[IndicatorCode],Table1[[#This Row],[IndicatorCode]])</f>
        <v>24902.88753799392</v>
      </c>
      <c r="I6108" cm="1">
        <f t="array" ref="I6108">_xlfn.STDEV.P(IF(Table1[IndicatorCode]=Table1[[#This Row],[IndicatorCode]],Table1[value]))</f>
        <v>26324.778297809873</v>
      </c>
      <c r="J6108">
        <f>(Table1[[#This Row],[value]] - Table1[[#This Row],[mean]]) / Table1[[#This Row],[std_dev]]</f>
        <v>0.36437581177289952</v>
      </c>
      <c r="K6108">
        <f>AVERAGEIF(Table1[CountryCode],Table1[[#This Row],[CountryCode]],Table1[z-score])</f>
        <v>0.20445029067007053</v>
      </c>
      <c r="L6108" t="e">
        <f>VLOOKUP(Table1[[#This Row],[CountryCode]],[1]!Table1[#All],1,FALSE)</f>
        <v>#REF!</v>
      </c>
    </row>
    <row r="6109" spans="1:12" hidden="1" x14ac:dyDescent="0.3">
      <c r="A6109" t="s">
        <v>71</v>
      </c>
      <c r="B6109" t="s">
        <v>72</v>
      </c>
      <c r="C6109" t="s">
        <v>127</v>
      </c>
      <c r="D6109" t="s">
        <v>128</v>
      </c>
      <c r="E6109">
        <v>1990</v>
      </c>
      <c r="F6109" s="1">
        <v>5557</v>
      </c>
      <c r="G6109">
        <v>1990</v>
      </c>
      <c r="H6109">
        <f>AVERAGEIFS(Table1[value],Table1[IndicatorCode],Table1[[#This Row],[IndicatorCode]])</f>
        <v>24902.88753799392</v>
      </c>
      <c r="I6109" cm="1">
        <f t="array" ref="I6109">_xlfn.STDEV.P(IF(Table1[IndicatorCode]=Table1[[#This Row],[IndicatorCode]],Table1[value]))</f>
        <v>26324.778297809873</v>
      </c>
      <c r="J6109">
        <f>(Table1[[#This Row],[value]] - Table1[[#This Row],[mean]]) / Table1[[#This Row],[std_dev]]</f>
        <v>-0.73489270523518246</v>
      </c>
      <c r="K6109">
        <f>AVERAGEIF(Table1[CountryCode],Table1[[#This Row],[CountryCode]],Table1[z-score])</f>
        <v>-0.23196726817462951</v>
      </c>
      <c r="L6109" t="e">
        <f>VLOOKUP(Table1[[#This Row],[CountryCode]],[1]!Table1[#All],1,FALSE)</f>
        <v>#REF!</v>
      </c>
    </row>
    <row r="6110" spans="1:12" hidden="1" x14ac:dyDescent="0.3">
      <c r="A6110" t="s">
        <v>71</v>
      </c>
      <c r="B6110" t="s">
        <v>72</v>
      </c>
      <c r="C6110" t="s">
        <v>127</v>
      </c>
      <c r="D6110" t="s">
        <v>128</v>
      </c>
      <c r="E6110">
        <v>1991</v>
      </c>
      <c r="F6110" s="1">
        <v>4910</v>
      </c>
      <c r="G6110">
        <v>1990</v>
      </c>
      <c r="H6110">
        <f>AVERAGEIFS(Table1[value],Table1[IndicatorCode],Table1[[#This Row],[IndicatorCode]])</f>
        <v>24902.88753799392</v>
      </c>
      <c r="I6110" cm="1">
        <f t="array" ref="I6110">_xlfn.STDEV.P(IF(Table1[IndicatorCode]=Table1[[#This Row],[IndicatorCode]],Table1[value]))</f>
        <v>26324.778297809873</v>
      </c>
      <c r="J6110">
        <f>(Table1[[#This Row],[value]] - Table1[[#This Row],[mean]]) / Table1[[#This Row],[std_dev]]</f>
        <v>-0.75947031013200428</v>
      </c>
      <c r="K6110">
        <f>AVERAGEIF(Table1[CountryCode],Table1[[#This Row],[CountryCode]],Table1[z-score])</f>
        <v>-0.23196726817462951</v>
      </c>
      <c r="L6110" t="e">
        <f>VLOOKUP(Table1[[#This Row],[CountryCode]],[1]!Table1[#All],1,FALSE)</f>
        <v>#REF!</v>
      </c>
    </row>
    <row r="6111" spans="1:12" hidden="1" x14ac:dyDescent="0.3">
      <c r="A6111" t="s">
        <v>71</v>
      </c>
      <c r="B6111" t="s">
        <v>72</v>
      </c>
      <c r="C6111" t="s">
        <v>127</v>
      </c>
      <c r="D6111" t="s">
        <v>128</v>
      </c>
      <c r="E6111">
        <v>1992</v>
      </c>
      <c r="F6111" s="1">
        <v>4635</v>
      </c>
      <c r="G6111">
        <v>1990</v>
      </c>
      <c r="H6111">
        <f>AVERAGEIFS(Table1[value],Table1[IndicatorCode],Table1[[#This Row],[IndicatorCode]])</f>
        <v>24902.88753799392</v>
      </c>
      <c r="I6111" cm="1">
        <f t="array" ref="I6111">_xlfn.STDEV.P(IF(Table1[IndicatorCode]=Table1[[#This Row],[IndicatorCode]],Table1[value]))</f>
        <v>26324.778297809873</v>
      </c>
      <c r="J6111">
        <f>(Table1[[#This Row],[value]] - Table1[[#This Row],[mean]]) / Table1[[#This Row],[std_dev]]</f>
        <v>-0.7699167418887678</v>
      </c>
      <c r="K6111">
        <f>AVERAGEIF(Table1[CountryCode],Table1[[#This Row],[CountryCode]],Table1[z-score])</f>
        <v>-0.23196726817462951</v>
      </c>
      <c r="L6111" t="e">
        <f>VLOOKUP(Table1[[#This Row],[CountryCode]],[1]!Table1[#All],1,FALSE)</f>
        <v>#REF!</v>
      </c>
    </row>
    <row r="6112" spans="1:12" hidden="1" x14ac:dyDescent="0.3">
      <c r="A6112" t="s">
        <v>71</v>
      </c>
      <c r="B6112" t="s">
        <v>72</v>
      </c>
      <c r="C6112" t="s">
        <v>127</v>
      </c>
      <c r="D6112" t="s">
        <v>128</v>
      </c>
      <c r="E6112">
        <v>1993</v>
      </c>
      <c r="F6112" s="1">
        <v>4223</v>
      </c>
      <c r="G6112">
        <v>1990</v>
      </c>
      <c r="H6112">
        <f>AVERAGEIFS(Table1[value],Table1[IndicatorCode],Table1[[#This Row],[IndicatorCode]])</f>
        <v>24902.88753799392</v>
      </c>
      <c r="I6112" cm="1">
        <f t="array" ref="I6112">_xlfn.STDEV.P(IF(Table1[IndicatorCode]=Table1[[#This Row],[IndicatorCode]],Table1[value]))</f>
        <v>26324.778297809873</v>
      </c>
      <c r="J6112">
        <f>(Table1[[#This Row],[value]] - Table1[[#This Row],[mean]]) / Table1[[#This Row],[std_dev]]</f>
        <v>-0.78556739601162806</v>
      </c>
      <c r="K6112">
        <f>AVERAGEIF(Table1[CountryCode],Table1[[#This Row],[CountryCode]],Table1[z-score])</f>
        <v>-0.23196726817462951</v>
      </c>
      <c r="L6112" t="e">
        <f>VLOOKUP(Table1[[#This Row],[CountryCode]],[1]!Table1[#All],1,FALSE)</f>
        <v>#REF!</v>
      </c>
    </row>
    <row r="6113" spans="1:12" hidden="1" x14ac:dyDescent="0.3">
      <c r="A6113" t="s">
        <v>71</v>
      </c>
      <c r="B6113" t="s">
        <v>72</v>
      </c>
      <c r="C6113" t="s">
        <v>127</v>
      </c>
      <c r="D6113" t="s">
        <v>128</v>
      </c>
      <c r="E6113">
        <v>1994</v>
      </c>
      <c r="F6113" s="1">
        <v>3741</v>
      </c>
      <c r="G6113">
        <v>1990</v>
      </c>
      <c r="H6113">
        <f>AVERAGEIFS(Table1[value],Table1[IndicatorCode],Table1[[#This Row],[IndicatorCode]])</f>
        <v>24902.88753799392</v>
      </c>
      <c r="I6113" cm="1">
        <f t="array" ref="I6113">_xlfn.STDEV.P(IF(Table1[IndicatorCode]=Table1[[#This Row],[IndicatorCode]],Table1[value]))</f>
        <v>26324.778297809873</v>
      </c>
      <c r="J6113">
        <f>(Table1[[#This Row],[value]] - Table1[[#This Row],[mean]]) / Table1[[#This Row],[std_dev]]</f>
        <v>-0.80387714185439174</v>
      </c>
      <c r="K6113">
        <f>AVERAGEIF(Table1[CountryCode],Table1[[#This Row],[CountryCode]],Table1[z-score])</f>
        <v>-0.23196726817462951</v>
      </c>
      <c r="L6113" t="e">
        <f>VLOOKUP(Table1[[#This Row],[CountryCode]],[1]!Table1[#All],1,FALSE)</f>
        <v>#REF!</v>
      </c>
    </row>
    <row r="6114" spans="1:12" hidden="1" x14ac:dyDescent="0.3">
      <c r="A6114" t="s">
        <v>71</v>
      </c>
      <c r="B6114" t="s">
        <v>72</v>
      </c>
      <c r="C6114" t="s">
        <v>127</v>
      </c>
      <c r="D6114" t="s">
        <v>128</v>
      </c>
      <c r="E6114">
        <v>1995</v>
      </c>
      <c r="F6114" s="1">
        <v>3499</v>
      </c>
      <c r="G6114">
        <v>1990</v>
      </c>
      <c r="H6114">
        <f>AVERAGEIFS(Table1[value],Table1[IndicatorCode],Table1[[#This Row],[IndicatorCode]])</f>
        <v>24902.88753799392</v>
      </c>
      <c r="I6114" cm="1">
        <f t="array" ref="I6114">_xlfn.STDEV.P(IF(Table1[IndicatorCode]=Table1[[#This Row],[IndicatorCode]],Table1[value]))</f>
        <v>26324.778297809873</v>
      </c>
      <c r="J6114">
        <f>(Table1[[#This Row],[value]] - Table1[[#This Row],[mean]]) / Table1[[#This Row],[std_dev]]</f>
        <v>-0.81307000180034361</v>
      </c>
      <c r="K6114">
        <f>AVERAGEIF(Table1[CountryCode],Table1[[#This Row],[CountryCode]],Table1[z-score])</f>
        <v>-0.23196726817462951</v>
      </c>
      <c r="L6114" t="e">
        <f>VLOOKUP(Table1[[#This Row],[CountryCode]],[1]!Table1[#All],1,FALSE)</f>
        <v>#REF!</v>
      </c>
    </row>
    <row r="6115" spans="1:12" hidden="1" x14ac:dyDescent="0.3">
      <c r="A6115" t="s">
        <v>71</v>
      </c>
      <c r="B6115" t="s">
        <v>72</v>
      </c>
      <c r="C6115" t="s">
        <v>127</v>
      </c>
      <c r="D6115" t="s">
        <v>128</v>
      </c>
      <c r="E6115">
        <v>1996</v>
      </c>
      <c r="F6115" s="1">
        <v>3583</v>
      </c>
      <c r="G6115">
        <v>1990</v>
      </c>
      <c r="H6115">
        <f>AVERAGEIFS(Table1[value],Table1[IndicatorCode],Table1[[#This Row],[IndicatorCode]])</f>
        <v>24902.88753799392</v>
      </c>
      <c r="I6115" cm="1">
        <f t="array" ref="I6115">_xlfn.STDEV.P(IF(Table1[IndicatorCode]=Table1[[#This Row],[IndicatorCode]],Table1[value]))</f>
        <v>26324.778297809873</v>
      </c>
      <c r="J6115">
        <f>(Table1[[#This Row],[value]] - Table1[[#This Row],[mean]]) / Table1[[#This Row],[std_dev]]</f>
        <v>-0.80987909173645944</v>
      </c>
      <c r="K6115">
        <f>AVERAGEIF(Table1[CountryCode],Table1[[#This Row],[CountryCode]],Table1[z-score])</f>
        <v>-0.23196726817462951</v>
      </c>
      <c r="L6115" t="e">
        <f>VLOOKUP(Table1[[#This Row],[CountryCode]],[1]!Table1[#All],1,FALSE)</f>
        <v>#REF!</v>
      </c>
    </row>
    <row r="6116" spans="1:12" hidden="1" x14ac:dyDescent="0.3">
      <c r="A6116" t="s">
        <v>71</v>
      </c>
      <c r="B6116" t="s">
        <v>72</v>
      </c>
      <c r="C6116" t="s">
        <v>127</v>
      </c>
      <c r="D6116" t="s">
        <v>128</v>
      </c>
      <c r="E6116">
        <v>1997</v>
      </c>
      <c r="F6116" s="1">
        <v>3729</v>
      </c>
      <c r="G6116">
        <v>2000</v>
      </c>
      <c r="H6116">
        <f>AVERAGEIFS(Table1[value],Table1[IndicatorCode],Table1[[#This Row],[IndicatorCode]])</f>
        <v>24902.88753799392</v>
      </c>
      <c r="I6116" cm="1">
        <f t="array" ref="I6116">_xlfn.STDEV.P(IF(Table1[IndicatorCode]=Table1[[#This Row],[IndicatorCode]],Table1[value]))</f>
        <v>26324.778297809873</v>
      </c>
      <c r="J6116">
        <f>(Table1[[#This Row],[value]] - Table1[[#This Row],[mean]]) / Table1[[#This Row],[std_dev]]</f>
        <v>-0.80433298614923232</v>
      </c>
      <c r="K6116">
        <f>AVERAGEIF(Table1[CountryCode],Table1[[#This Row],[CountryCode]],Table1[z-score])</f>
        <v>-0.23196726817462951</v>
      </c>
      <c r="L6116" t="e">
        <f>VLOOKUP(Table1[[#This Row],[CountryCode]],[1]!Table1[#All],1,FALSE)</f>
        <v>#REF!</v>
      </c>
    </row>
    <row r="6117" spans="1:12" hidden="1" x14ac:dyDescent="0.3">
      <c r="A6117" t="s">
        <v>71</v>
      </c>
      <c r="B6117" t="s">
        <v>72</v>
      </c>
      <c r="C6117" t="s">
        <v>127</v>
      </c>
      <c r="D6117" t="s">
        <v>128</v>
      </c>
      <c r="E6117">
        <v>1998</v>
      </c>
      <c r="F6117" s="1">
        <v>3751</v>
      </c>
      <c r="G6117">
        <v>2000</v>
      </c>
      <c r="H6117">
        <f>AVERAGEIFS(Table1[value],Table1[IndicatorCode],Table1[[#This Row],[IndicatorCode]])</f>
        <v>24902.88753799392</v>
      </c>
      <c r="I6117" cm="1">
        <f t="array" ref="I6117">_xlfn.STDEV.P(IF(Table1[IndicatorCode]=Table1[[#This Row],[IndicatorCode]],Table1[value]))</f>
        <v>26324.778297809873</v>
      </c>
      <c r="J6117">
        <f>(Table1[[#This Row],[value]] - Table1[[#This Row],[mean]]) / Table1[[#This Row],[std_dev]]</f>
        <v>-0.80349727160869122</v>
      </c>
      <c r="K6117">
        <f>AVERAGEIF(Table1[CountryCode],Table1[[#This Row],[CountryCode]],Table1[z-score])</f>
        <v>-0.23196726817462951</v>
      </c>
      <c r="L6117" t="e">
        <f>VLOOKUP(Table1[[#This Row],[CountryCode]],[1]!Table1[#All],1,FALSE)</f>
        <v>#REF!</v>
      </c>
    </row>
    <row r="6118" spans="1:12" hidden="1" x14ac:dyDescent="0.3">
      <c r="A6118" t="s">
        <v>71</v>
      </c>
      <c r="B6118" t="s">
        <v>72</v>
      </c>
      <c r="C6118" t="s">
        <v>127</v>
      </c>
      <c r="D6118" t="s">
        <v>128</v>
      </c>
      <c r="E6118">
        <v>1999</v>
      </c>
      <c r="F6118" s="1">
        <v>3900</v>
      </c>
      <c r="G6118">
        <v>2000</v>
      </c>
      <c r="H6118">
        <f>AVERAGEIFS(Table1[value],Table1[IndicatorCode],Table1[[#This Row],[IndicatorCode]])</f>
        <v>24902.88753799392</v>
      </c>
      <c r="I6118" cm="1">
        <f t="array" ref="I6118">_xlfn.STDEV.P(IF(Table1[IndicatorCode]=Table1[[#This Row],[IndicatorCode]],Table1[value]))</f>
        <v>26324.778297809873</v>
      </c>
      <c r="J6118">
        <f>(Table1[[#This Row],[value]] - Table1[[#This Row],[mean]]) / Table1[[#This Row],[std_dev]]</f>
        <v>-0.7978372049477539</v>
      </c>
      <c r="K6118">
        <f>AVERAGEIF(Table1[CountryCode],Table1[[#This Row],[CountryCode]],Table1[z-score])</f>
        <v>-0.23196726817462951</v>
      </c>
      <c r="L6118" t="e">
        <f>VLOOKUP(Table1[[#This Row],[CountryCode]],[1]!Table1[#All],1,FALSE)</f>
        <v>#REF!</v>
      </c>
    </row>
    <row r="6119" spans="1:12" hidden="1" x14ac:dyDescent="0.3">
      <c r="A6119" t="s">
        <v>71</v>
      </c>
      <c r="B6119" t="s">
        <v>72</v>
      </c>
      <c r="C6119" t="s">
        <v>127</v>
      </c>
      <c r="D6119" t="s">
        <v>128</v>
      </c>
      <c r="E6119">
        <v>2000</v>
      </c>
      <c r="F6119" s="1">
        <v>4269</v>
      </c>
      <c r="G6119">
        <v>2000</v>
      </c>
      <c r="H6119">
        <f>AVERAGEIFS(Table1[value],Table1[IndicatorCode],Table1[[#This Row],[IndicatorCode]])</f>
        <v>24902.88753799392</v>
      </c>
      <c r="I6119" cm="1">
        <f t="array" ref="I6119">_xlfn.STDEV.P(IF(Table1[IndicatorCode]=Table1[[#This Row],[IndicatorCode]],Table1[value]))</f>
        <v>26324.778297809873</v>
      </c>
      <c r="J6119">
        <f>(Table1[[#This Row],[value]] - Table1[[#This Row],[mean]]) / Table1[[#This Row],[std_dev]]</f>
        <v>-0.7838199928814058</v>
      </c>
      <c r="K6119">
        <f>AVERAGEIF(Table1[CountryCode],Table1[[#This Row],[CountryCode]],Table1[z-score])</f>
        <v>-0.23196726817462951</v>
      </c>
      <c r="L6119" t="e">
        <f>VLOOKUP(Table1[[#This Row],[CountryCode]],[1]!Table1[#All],1,FALSE)</f>
        <v>#REF!</v>
      </c>
    </row>
    <row r="6120" spans="1:12" hidden="1" x14ac:dyDescent="0.3">
      <c r="A6120" t="s">
        <v>71</v>
      </c>
      <c r="B6120" t="s">
        <v>72</v>
      </c>
      <c r="C6120" t="s">
        <v>127</v>
      </c>
      <c r="D6120" t="s">
        <v>128</v>
      </c>
      <c r="E6120">
        <v>2001</v>
      </c>
      <c r="F6120" s="1">
        <v>4823</v>
      </c>
      <c r="G6120">
        <v>2000</v>
      </c>
      <c r="H6120">
        <f>AVERAGEIFS(Table1[value],Table1[IndicatorCode],Table1[[#This Row],[IndicatorCode]])</f>
        <v>24902.88753799392</v>
      </c>
      <c r="I6120" cm="1">
        <f t="array" ref="I6120">_xlfn.STDEV.P(IF(Table1[IndicatorCode]=Table1[[#This Row],[IndicatorCode]],Table1[value]))</f>
        <v>26324.778297809873</v>
      </c>
      <c r="J6120">
        <f>(Table1[[#This Row],[value]] - Table1[[#This Row],[mean]]) / Table1[[#This Row],[std_dev]]</f>
        <v>-0.76277518126959853</v>
      </c>
      <c r="K6120">
        <f>AVERAGEIF(Table1[CountryCode],Table1[[#This Row],[CountryCode]],Table1[z-score])</f>
        <v>-0.23196726817462951</v>
      </c>
      <c r="L6120" t="e">
        <f>VLOOKUP(Table1[[#This Row],[CountryCode]],[1]!Table1[#All],1,FALSE)</f>
        <v>#REF!</v>
      </c>
    </row>
    <row r="6121" spans="1:12" hidden="1" x14ac:dyDescent="0.3">
      <c r="A6121" t="s">
        <v>71</v>
      </c>
      <c r="B6121" t="s">
        <v>72</v>
      </c>
      <c r="C6121" t="s">
        <v>127</v>
      </c>
      <c r="D6121" t="s">
        <v>128</v>
      </c>
      <c r="E6121">
        <v>2002</v>
      </c>
      <c r="F6121" s="1">
        <v>5268</v>
      </c>
      <c r="G6121">
        <v>2000</v>
      </c>
      <c r="H6121">
        <f>AVERAGEIFS(Table1[value],Table1[IndicatorCode],Table1[[#This Row],[IndicatorCode]])</f>
        <v>24902.88753799392</v>
      </c>
      <c r="I6121" cm="1">
        <f t="array" ref="I6121">_xlfn.STDEV.P(IF(Table1[IndicatorCode]=Table1[[#This Row],[IndicatorCode]],Table1[value]))</f>
        <v>26324.778297809873</v>
      </c>
      <c r="J6121">
        <f>(Table1[[#This Row],[value]] - Table1[[#This Row],[mean]]) / Table1[[#This Row],[std_dev]]</f>
        <v>-0.74587095533592673</v>
      </c>
      <c r="K6121">
        <f>AVERAGEIF(Table1[CountryCode],Table1[[#This Row],[CountryCode]],Table1[z-score])</f>
        <v>-0.23196726817462951</v>
      </c>
      <c r="L6121" t="e">
        <f>VLOOKUP(Table1[[#This Row],[CountryCode]],[1]!Table1[#All],1,FALSE)</f>
        <v>#REF!</v>
      </c>
    </row>
    <row r="6122" spans="1:12" hidden="1" x14ac:dyDescent="0.3">
      <c r="A6122" t="s">
        <v>71</v>
      </c>
      <c r="B6122" t="s">
        <v>72</v>
      </c>
      <c r="C6122" t="s">
        <v>127</v>
      </c>
      <c r="D6122" t="s">
        <v>128</v>
      </c>
      <c r="E6122">
        <v>2003</v>
      </c>
      <c r="F6122" s="1">
        <v>5724</v>
      </c>
      <c r="G6122">
        <v>2000</v>
      </c>
      <c r="H6122">
        <f>AVERAGEIFS(Table1[value],Table1[IndicatorCode],Table1[[#This Row],[IndicatorCode]])</f>
        <v>24902.88753799392</v>
      </c>
      <c r="I6122" cm="1">
        <f t="array" ref="I6122">_xlfn.STDEV.P(IF(Table1[IndicatorCode]=Table1[[#This Row],[IndicatorCode]],Table1[value]))</f>
        <v>26324.778297809873</v>
      </c>
      <c r="J6122">
        <f>(Table1[[#This Row],[value]] - Table1[[#This Row],[mean]]) / Table1[[#This Row],[std_dev]]</f>
        <v>-0.72854887213198427</v>
      </c>
      <c r="K6122">
        <f>AVERAGEIF(Table1[CountryCode],Table1[[#This Row],[CountryCode]],Table1[z-score])</f>
        <v>-0.23196726817462951</v>
      </c>
      <c r="L6122" t="e">
        <f>VLOOKUP(Table1[[#This Row],[CountryCode]],[1]!Table1[#All],1,FALSE)</f>
        <v>#REF!</v>
      </c>
    </row>
    <row r="6123" spans="1:12" hidden="1" x14ac:dyDescent="0.3">
      <c r="A6123" t="s">
        <v>71</v>
      </c>
      <c r="B6123" t="s">
        <v>72</v>
      </c>
      <c r="C6123" t="s">
        <v>127</v>
      </c>
      <c r="D6123" t="s">
        <v>128</v>
      </c>
      <c r="E6123">
        <v>2004</v>
      </c>
      <c r="F6123" s="1">
        <v>6233</v>
      </c>
      <c r="G6123">
        <v>2000</v>
      </c>
      <c r="H6123">
        <f>AVERAGEIFS(Table1[value],Table1[IndicatorCode],Table1[[#This Row],[IndicatorCode]])</f>
        <v>24902.88753799392</v>
      </c>
      <c r="I6123" cm="1">
        <f t="array" ref="I6123">_xlfn.STDEV.P(IF(Table1[IndicatorCode]=Table1[[#This Row],[IndicatorCode]],Table1[value]))</f>
        <v>26324.778297809873</v>
      </c>
      <c r="J6123">
        <f>(Table1[[#This Row],[value]] - Table1[[#This Row],[mean]]) / Table1[[#This Row],[std_dev]]</f>
        <v>-0.70921347662582923</v>
      </c>
      <c r="K6123">
        <f>AVERAGEIF(Table1[CountryCode],Table1[[#This Row],[CountryCode]],Table1[z-score])</f>
        <v>-0.23196726817462951</v>
      </c>
      <c r="L6123" t="e">
        <f>VLOOKUP(Table1[[#This Row],[CountryCode]],[1]!Table1[#All],1,FALSE)</f>
        <v>#REF!</v>
      </c>
    </row>
    <row r="6124" spans="1:12" hidden="1" x14ac:dyDescent="0.3">
      <c r="A6124" t="s">
        <v>71</v>
      </c>
      <c r="B6124" t="s">
        <v>72</v>
      </c>
      <c r="C6124" t="s">
        <v>127</v>
      </c>
      <c r="D6124" t="s">
        <v>128</v>
      </c>
      <c r="E6124">
        <v>2005</v>
      </c>
      <c r="F6124" s="1">
        <v>6787</v>
      </c>
      <c r="G6124">
        <v>2000</v>
      </c>
      <c r="H6124">
        <f>AVERAGEIFS(Table1[value],Table1[IndicatorCode],Table1[[#This Row],[IndicatorCode]])</f>
        <v>24902.88753799392</v>
      </c>
      <c r="I6124" cm="1">
        <f t="array" ref="I6124">_xlfn.STDEV.P(IF(Table1[IndicatorCode]=Table1[[#This Row],[IndicatorCode]],Table1[value]))</f>
        <v>26324.778297809873</v>
      </c>
      <c r="J6124">
        <f>(Table1[[#This Row],[value]] - Table1[[#This Row],[mean]]) / Table1[[#This Row],[std_dev]]</f>
        <v>-0.68816866501402207</v>
      </c>
      <c r="K6124">
        <f>AVERAGEIF(Table1[CountryCode],Table1[[#This Row],[CountryCode]],Table1[z-score])</f>
        <v>-0.23196726817462951</v>
      </c>
      <c r="L6124" t="e">
        <f>VLOOKUP(Table1[[#This Row],[CountryCode]],[1]!Table1[#All],1,FALSE)</f>
        <v>#REF!</v>
      </c>
    </row>
    <row r="6125" spans="1:12" hidden="1" x14ac:dyDescent="0.3">
      <c r="A6125" t="s">
        <v>71</v>
      </c>
      <c r="B6125" t="s">
        <v>72</v>
      </c>
      <c r="C6125" t="s">
        <v>127</v>
      </c>
      <c r="D6125" t="s">
        <v>128</v>
      </c>
      <c r="E6125">
        <v>2006</v>
      </c>
      <c r="F6125" s="1">
        <v>7450</v>
      </c>
      <c r="G6125">
        <v>2000</v>
      </c>
      <c r="H6125">
        <f>AVERAGEIFS(Table1[value],Table1[IndicatorCode],Table1[[#This Row],[IndicatorCode]])</f>
        <v>24902.88753799392</v>
      </c>
      <c r="I6125" cm="1">
        <f t="array" ref="I6125">_xlfn.STDEV.P(IF(Table1[IndicatorCode]=Table1[[#This Row],[IndicatorCode]],Table1[value]))</f>
        <v>26324.778297809873</v>
      </c>
      <c r="J6125">
        <f>(Table1[[#This Row],[value]] - Table1[[#This Row],[mean]]) / Table1[[#This Row],[std_dev]]</f>
        <v>-0.66298326772407945</v>
      </c>
      <c r="K6125">
        <f>AVERAGEIF(Table1[CountryCode],Table1[[#This Row],[CountryCode]],Table1[z-score])</f>
        <v>-0.23196726817462951</v>
      </c>
      <c r="L6125" t="e">
        <f>VLOOKUP(Table1[[#This Row],[CountryCode]],[1]!Table1[#All],1,FALSE)</f>
        <v>#REF!</v>
      </c>
    </row>
    <row r="6126" spans="1:12" hidden="1" x14ac:dyDescent="0.3">
      <c r="A6126" t="s">
        <v>71</v>
      </c>
      <c r="B6126" t="s">
        <v>72</v>
      </c>
      <c r="C6126" t="s">
        <v>127</v>
      </c>
      <c r="D6126" t="s">
        <v>128</v>
      </c>
      <c r="E6126">
        <v>2007</v>
      </c>
      <c r="F6126" s="1">
        <v>8037</v>
      </c>
      <c r="G6126">
        <v>2010</v>
      </c>
      <c r="H6126">
        <f>AVERAGEIFS(Table1[value],Table1[IndicatorCode],Table1[[#This Row],[IndicatorCode]])</f>
        <v>24902.88753799392</v>
      </c>
      <c r="I6126" cm="1">
        <f t="array" ref="I6126">_xlfn.STDEV.P(IF(Table1[IndicatorCode]=Table1[[#This Row],[IndicatorCode]],Table1[value]))</f>
        <v>26324.778297809873</v>
      </c>
      <c r="J6126">
        <f>(Table1[[#This Row],[value]] - Table1[[#This Row],[mean]]) / Table1[[#This Row],[std_dev]]</f>
        <v>-0.64068488430146064</v>
      </c>
      <c r="K6126">
        <f>AVERAGEIF(Table1[CountryCode],Table1[[#This Row],[CountryCode]],Table1[z-score])</f>
        <v>-0.23196726817462951</v>
      </c>
      <c r="L6126" t="e">
        <f>VLOOKUP(Table1[[#This Row],[CountryCode]],[1]!Table1[#All],1,FALSE)</f>
        <v>#REF!</v>
      </c>
    </row>
    <row r="6127" spans="1:12" hidden="1" x14ac:dyDescent="0.3">
      <c r="A6127" t="s">
        <v>71</v>
      </c>
      <c r="B6127" t="s">
        <v>72</v>
      </c>
      <c r="C6127" t="s">
        <v>127</v>
      </c>
      <c r="D6127" t="s">
        <v>128</v>
      </c>
      <c r="E6127">
        <v>2008</v>
      </c>
      <c r="F6127" s="1">
        <v>8217</v>
      </c>
      <c r="G6127">
        <v>2010</v>
      </c>
      <c r="H6127">
        <f>AVERAGEIFS(Table1[value],Table1[IndicatorCode],Table1[[#This Row],[IndicatorCode]])</f>
        <v>24902.88753799392</v>
      </c>
      <c r="I6127" cm="1">
        <f t="array" ref="I6127">_xlfn.STDEV.P(IF(Table1[IndicatorCode]=Table1[[#This Row],[IndicatorCode]],Table1[value]))</f>
        <v>26324.778297809873</v>
      </c>
      <c r="J6127">
        <f>(Table1[[#This Row],[value]] - Table1[[#This Row],[mean]]) / Table1[[#This Row],[std_dev]]</f>
        <v>-0.63384721987885173</v>
      </c>
      <c r="K6127">
        <f>AVERAGEIF(Table1[CountryCode],Table1[[#This Row],[CountryCode]],Table1[z-score])</f>
        <v>-0.23196726817462951</v>
      </c>
      <c r="L6127" t="e">
        <f>VLOOKUP(Table1[[#This Row],[CountryCode]],[1]!Table1[#All],1,FALSE)</f>
        <v>#REF!</v>
      </c>
    </row>
    <row r="6128" spans="1:12" hidden="1" x14ac:dyDescent="0.3">
      <c r="A6128" t="s">
        <v>71</v>
      </c>
      <c r="B6128" t="s">
        <v>72</v>
      </c>
      <c r="C6128" t="s">
        <v>127</v>
      </c>
      <c r="D6128" t="s">
        <v>128</v>
      </c>
      <c r="E6128">
        <v>2009</v>
      </c>
      <c r="F6128" s="1">
        <v>8218</v>
      </c>
      <c r="G6128">
        <v>2010</v>
      </c>
      <c r="H6128">
        <f>AVERAGEIFS(Table1[value],Table1[IndicatorCode],Table1[[#This Row],[IndicatorCode]])</f>
        <v>24902.88753799392</v>
      </c>
      <c r="I6128" cm="1">
        <f t="array" ref="I6128">_xlfn.STDEV.P(IF(Table1[IndicatorCode]=Table1[[#This Row],[IndicatorCode]],Table1[value]))</f>
        <v>26324.778297809873</v>
      </c>
      <c r="J6128">
        <f>(Table1[[#This Row],[value]] - Table1[[#This Row],[mean]]) / Table1[[#This Row],[std_dev]]</f>
        <v>-0.6338092328542817</v>
      </c>
      <c r="K6128">
        <f>AVERAGEIF(Table1[CountryCode],Table1[[#This Row],[CountryCode]],Table1[z-score])</f>
        <v>-0.23196726817462951</v>
      </c>
      <c r="L6128" t="e">
        <f>VLOOKUP(Table1[[#This Row],[CountryCode]],[1]!Table1[#All],1,FALSE)</f>
        <v>#REF!</v>
      </c>
    </row>
    <row r="6129" spans="1:12" hidden="1" x14ac:dyDescent="0.3">
      <c r="A6129" t="s">
        <v>71</v>
      </c>
      <c r="B6129" t="s">
        <v>72</v>
      </c>
      <c r="C6129" t="s">
        <v>127</v>
      </c>
      <c r="D6129" t="s">
        <v>128</v>
      </c>
      <c r="E6129">
        <v>2010</v>
      </c>
      <c r="F6129" s="1">
        <v>8705</v>
      </c>
      <c r="G6129">
        <v>2010</v>
      </c>
      <c r="H6129">
        <f>AVERAGEIFS(Table1[value],Table1[IndicatorCode],Table1[[#This Row],[IndicatorCode]])</f>
        <v>24902.88753799392</v>
      </c>
      <c r="I6129" cm="1">
        <f t="array" ref="I6129">_xlfn.STDEV.P(IF(Table1[IndicatorCode]=Table1[[#This Row],[IndicatorCode]],Table1[value]))</f>
        <v>26324.778297809873</v>
      </c>
      <c r="J6129">
        <f>(Table1[[#This Row],[value]] - Table1[[#This Row],[mean]]) / Table1[[#This Row],[std_dev]]</f>
        <v>-0.61530955188866776</v>
      </c>
      <c r="K6129">
        <f>AVERAGEIF(Table1[CountryCode],Table1[[#This Row],[CountryCode]],Table1[z-score])</f>
        <v>-0.23196726817462951</v>
      </c>
      <c r="L6129" t="e">
        <f>VLOOKUP(Table1[[#This Row],[CountryCode]],[1]!Table1[#All],1,FALSE)</f>
        <v>#REF!</v>
      </c>
    </row>
    <row r="6130" spans="1:12" hidden="1" x14ac:dyDescent="0.3">
      <c r="A6130" t="s">
        <v>71</v>
      </c>
      <c r="B6130" t="s">
        <v>72</v>
      </c>
      <c r="C6130" t="s">
        <v>127</v>
      </c>
      <c r="D6130" t="s">
        <v>128</v>
      </c>
      <c r="E6130">
        <v>2011</v>
      </c>
      <c r="F6130" s="1">
        <v>9223</v>
      </c>
      <c r="G6130">
        <v>2010</v>
      </c>
      <c r="H6130">
        <f>AVERAGEIFS(Table1[value],Table1[IndicatorCode],Table1[[#This Row],[IndicatorCode]])</f>
        <v>24902.88753799392</v>
      </c>
      <c r="I6130" cm="1">
        <f t="array" ref="I6130">_xlfn.STDEV.P(IF(Table1[IndicatorCode]=Table1[[#This Row],[IndicatorCode]],Table1[value]))</f>
        <v>26324.778297809873</v>
      </c>
      <c r="J6130">
        <f>(Table1[[#This Row],[value]] - Table1[[#This Row],[mean]]) / Table1[[#This Row],[std_dev]]</f>
        <v>-0.59563227316138234</v>
      </c>
      <c r="K6130">
        <f>AVERAGEIF(Table1[CountryCode],Table1[[#This Row],[CountryCode]],Table1[z-score])</f>
        <v>-0.23196726817462951</v>
      </c>
      <c r="L6130" t="e">
        <f>VLOOKUP(Table1[[#This Row],[CountryCode]],[1]!Table1[#All],1,FALSE)</f>
        <v>#REF!</v>
      </c>
    </row>
    <row r="6131" spans="1:12" hidden="1" x14ac:dyDescent="0.3">
      <c r="A6131" t="s">
        <v>71</v>
      </c>
      <c r="B6131" t="s">
        <v>72</v>
      </c>
      <c r="C6131" t="s">
        <v>127</v>
      </c>
      <c r="D6131" t="s">
        <v>128</v>
      </c>
      <c r="E6131">
        <v>2012</v>
      </c>
      <c r="F6131" s="1">
        <v>9532</v>
      </c>
      <c r="G6131">
        <v>2010</v>
      </c>
      <c r="H6131">
        <f>AVERAGEIFS(Table1[value],Table1[IndicatorCode],Table1[[#This Row],[IndicatorCode]])</f>
        <v>24902.88753799392</v>
      </c>
      <c r="I6131" cm="1">
        <f t="array" ref="I6131">_xlfn.STDEV.P(IF(Table1[IndicatorCode]=Table1[[#This Row],[IndicatorCode]],Table1[value]))</f>
        <v>26324.778297809873</v>
      </c>
      <c r="J6131">
        <f>(Table1[[#This Row],[value]] - Table1[[#This Row],[mean]]) / Table1[[#This Row],[std_dev]]</f>
        <v>-0.58389428256923714</v>
      </c>
      <c r="K6131">
        <f>AVERAGEIF(Table1[CountryCode],Table1[[#This Row],[CountryCode]],Table1[z-score])</f>
        <v>-0.23196726817462951</v>
      </c>
      <c r="L6131" t="e">
        <f>VLOOKUP(Table1[[#This Row],[CountryCode]],[1]!Table1[#All],1,FALSE)</f>
        <v>#REF!</v>
      </c>
    </row>
    <row r="6132" spans="1:12" hidden="1" x14ac:dyDescent="0.3">
      <c r="A6132" t="s">
        <v>71</v>
      </c>
      <c r="B6132" t="s">
        <v>72</v>
      </c>
      <c r="C6132" t="s">
        <v>127</v>
      </c>
      <c r="D6132" t="s">
        <v>128</v>
      </c>
      <c r="E6132">
        <v>2013</v>
      </c>
      <c r="F6132" s="1">
        <v>9960</v>
      </c>
      <c r="G6132">
        <v>2010</v>
      </c>
      <c r="H6132">
        <f>AVERAGEIFS(Table1[value],Table1[IndicatorCode],Table1[[#This Row],[IndicatorCode]])</f>
        <v>24902.88753799392</v>
      </c>
      <c r="I6132" cm="1">
        <f t="array" ref="I6132">_xlfn.STDEV.P(IF(Table1[IndicatorCode]=Table1[[#This Row],[IndicatorCode]],Table1[value]))</f>
        <v>26324.778297809873</v>
      </c>
      <c r="J6132">
        <f>(Table1[[#This Row],[value]] - Table1[[#This Row],[mean]]) / Table1[[#This Row],[std_dev]]</f>
        <v>-0.56763583605325618</v>
      </c>
      <c r="K6132">
        <f>AVERAGEIF(Table1[CountryCode],Table1[[#This Row],[CountryCode]],Table1[z-score])</f>
        <v>-0.23196726817462951</v>
      </c>
      <c r="L6132" t="e">
        <f>VLOOKUP(Table1[[#This Row],[CountryCode]],[1]!Table1[#All],1,FALSE)</f>
        <v>#REF!</v>
      </c>
    </row>
    <row r="6133" spans="1:12" hidden="1" x14ac:dyDescent="0.3">
      <c r="A6133" t="s">
        <v>71</v>
      </c>
      <c r="B6133" t="s">
        <v>72</v>
      </c>
      <c r="C6133" t="s">
        <v>127</v>
      </c>
      <c r="D6133" t="s">
        <v>128</v>
      </c>
      <c r="E6133">
        <v>2014</v>
      </c>
      <c r="F6133" s="1">
        <v>10227</v>
      </c>
      <c r="G6133">
        <v>2010</v>
      </c>
      <c r="H6133">
        <f>AVERAGEIFS(Table1[value],Table1[IndicatorCode],Table1[[#This Row],[IndicatorCode]])</f>
        <v>24902.88753799392</v>
      </c>
      <c r="I6133" cm="1">
        <f t="array" ref="I6133">_xlfn.STDEV.P(IF(Table1[IndicatorCode]=Table1[[#This Row],[IndicatorCode]],Table1[value]))</f>
        <v>26324.778297809873</v>
      </c>
      <c r="J6133">
        <f>(Table1[[#This Row],[value]] - Table1[[#This Row],[mean]]) / Table1[[#This Row],[std_dev]]</f>
        <v>-0.55749330049305301</v>
      </c>
      <c r="K6133">
        <f>AVERAGEIF(Table1[CountryCode],Table1[[#This Row],[CountryCode]],Table1[z-score])</f>
        <v>-0.23196726817462951</v>
      </c>
      <c r="L6133" t="e">
        <f>VLOOKUP(Table1[[#This Row],[CountryCode]],[1]!Table1[#All],1,FALSE)</f>
        <v>#REF!</v>
      </c>
    </row>
    <row r="6134" spans="1:12" hidden="1" x14ac:dyDescent="0.3">
      <c r="A6134" t="s">
        <v>71</v>
      </c>
      <c r="B6134" t="s">
        <v>72</v>
      </c>
      <c r="C6134" t="s">
        <v>127</v>
      </c>
      <c r="D6134" t="s">
        <v>128</v>
      </c>
      <c r="E6134">
        <v>2015</v>
      </c>
      <c r="F6134" s="1">
        <v>10196</v>
      </c>
      <c r="G6134">
        <v>2010</v>
      </c>
      <c r="H6134">
        <f>AVERAGEIFS(Table1[value],Table1[IndicatorCode],Table1[[#This Row],[IndicatorCode]])</f>
        <v>24902.88753799392</v>
      </c>
      <c r="I6134" cm="1">
        <f t="array" ref="I6134">_xlfn.STDEV.P(IF(Table1[IndicatorCode]=Table1[[#This Row],[IndicatorCode]],Table1[value]))</f>
        <v>26324.778297809873</v>
      </c>
      <c r="J6134">
        <f>(Table1[[#This Row],[value]] - Table1[[#This Row],[mean]]) / Table1[[#This Row],[std_dev]]</f>
        <v>-0.55867089825472449</v>
      </c>
      <c r="K6134">
        <f>AVERAGEIF(Table1[CountryCode],Table1[[#This Row],[CountryCode]],Table1[z-score])</f>
        <v>-0.23196726817462951</v>
      </c>
      <c r="L6134" t="e">
        <f>VLOOKUP(Table1[[#This Row],[CountryCode]],[1]!Table1[#All],1,FALSE)</f>
        <v>#REF!</v>
      </c>
    </row>
    <row r="6135" spans="1:12" hidden="1" x14ac:dyDescent="0.3">
      <c r="A6135" t="s">
        <v>71</v>
      </c>
      <c r="B6135" t="s">
        <v>72</v>
      </c>
      <c r="C6135" t="s">
        <v>127</v>
      </c>
      <c r="D6135" t="s">
        <v>128</v>
      </c>
      <c r="E6135">
        <v>2016</v>
      </c>
      <c r="F6135" s="1">
        <v>10151</v>
      </c>
      <c r="G6135">
        <v>2010</v>
      </c>
      <c r="H6135">
        <f>AVERAGEIFS(Table1[value],Table1[IndicatorCode],Table1[[#This Row],[IndicatorCode]])</f>
        <v>24902.88753799392</v>
      </c>
      <c r="I6135" cm="1">
        <f t="array" ref="I6135">_xlfn.STDEV.P(IF(Table1[IndicatorCode]=Table1[[#This Row],[IndicatorCode]],Table1[value]))</f>
        <v>26324.778297809873</v>
      </c>
      <c r="J6135">
        <f>(Table1[[#This Row],[value]] - Table1[[#This Row],[mean]]) / Table1[[#This Row],[std_dev]]</f>
        <v>-0.56038031436037672</v>
      </c>
      <c r="K6135">
        <f>AVERAGEIF(Table1[CountryCode],Table1[[#This Row],[CountryCode]],Table1[z-score])</f>
        <v>-0.23196726817462951</v>
      </c>
      <c r="L6135" t="e">
        <f>VLOOKUP(Table1[[#This Row],[CountryCode]],[1]!Table1[#All],1,FALSE)</f>
        <v>#REF!</v>
      </c>
    </row>
    <row r="6136" spans="1:12" hidden="1" x14ac:dyDescent="0.3">
      <c r="A6136" t="s">
        <v>71</v>
      </c>
      <c r="B6136" t="s">
        <v>72</v>
      </c>
      <c r="C6136" t="s">
        <v>127</v>
      </c>
      <c r="D6136" t="s">
        <v>128</v>
      </c>
      <c r="E6136">
        <v>2017</v>
      </c>
      <c r="F6136" s="1">
        <v>10404</v>
      </c>
      <c r="G6136">
        <v>2020</v>
      </c>
      <c r="H6136">
        <f>AVERAGEIFS(Table1[value],Table1[IndicatorCode],Table1[[#This Row],[IndicatorCode]])</f>
        <v>24902.88753799392</v>
      </c>
      <c r="I6136" cm="1">
        <f t="array" ref="I6136">_xlfn.STDEV.P(IF(Table1[IndicatorCode]=Table1[[#This Row],[IndicatorCode]],Table1[value]))</f>
        <v>26324.778297809873</v>
      </c>
      <c r="J6136">
        <f>(Table1[[#This Row],[value]] - Table1[[#This Row],[mean]]) / Table1[[#This Row],[std_dev]]</f>
        <v>-0.5507695971441543</v>
      </c>
      <c r="K6136">
        <f>AVERAGEIF(Table1[CountryCode],Table1[[#This Row],[CountryCode]],Table1[z-score])</f>
        <v>-0.23196726817462951</v>
      </c>
      <c r="L6136" t="e">
        <f>VLOOKUP(Table1[[#This Row],[CountryCode]],[1]!Table1[#All],1,FALSE)</f>
        <v>#REF!</v>
      </c>
    </row>
    <row r="6137" spans="1:12" hidden="1" x14ac:dyDescent="0.3">
      <c r="A6137" t="s">
        <v>71</v>
      </c>
      <c r="B6137" t="s">
        <v>72</v>
      </c>
      <c r="C6137" t="s">
        <v>127</v>
      </c>
      <c r="D6137" t="s">
        <v>128</v>
      </c>
      <c r="E6137">
        <v>2018</v>
      </c>
      <c r="F6137" s="1">
        <v>10670</v>
      </c>
      <c r="G6137">
        <v>2020</v>
      </c>
      <c r="H6137">
        <f>AVERAGEIFS(Table1[value],Table1[IndicatorCode],Table1[[#This Row],[IndicatorCode]])</f>
        <v>24902.88753799392</v>
      </c>
      <c r="I6137" cm="1">
        <f t="array" ref="I6137">_xlfn.STDEV.P(IF(Table1[IndicatorCode]=Table1[[#This Row],[IndicatorCode]],Table1[value]))</f>
        <v>26324.778297809873</v>
      </c>
      <c r="J6137">
        <f>(Table1[[#This Row],[value]] - Table1[[#This Row],[mean]]) / Table1[[#This Row],[std_dev]]</f>
        <v>-0.54066504860852127</v>
      </c>
      <c r="K6137">
        <f>AVERAGEIF(Table1[CountryCode],Table1[[#This Row],[CountryCode]],Table1[z-score])</f>
        <v>-0.23196726817462951</v>
      </c>
      <c r="L6137" t="e">
        <f>VLOOKUP(Table1[[#This Row],[CountryCode]],[1]!Table1[#All],1,FALSE)</f>
        <v>#REF!</v>
      </c>
    </row>
    <row r="6138" spans="1:12" hidden="1" x14ac:dyDescent="0.3">
      <c r="A6138" t="s">
        <v>71</v>
      </c>
      <c r="B6138" t="s">
        <v>72</v>
      </c>
      <c r="C6138" t="s">
        <v>127</v>
      </c>
      <c r="D6138" t="s">
        <v>128</v>
      </c>
      <c r="E6138">
        <v>2019</v>
      </c>
      <c r="F6138" s="1">
        <v>10990</v>
      </c>
      <c r="G6138">
        <v>2020</v>
      </c>
      <c r="H6138">
        <f>AVERAGEIFS(Table1[value],Table1[IndicatorCode],Table1[[#This Row],[IndicatorCode]])</f>
        <v>24902.88753799392</v>
      </c>
      <c r="I6138" cm="1">
        <f t="array" ref="I6138">_xlfn.STDEV.P(IF(Table1[IndicatorCode]=Table1[[#This Row],[IndicatorCode]],Table1[value]))</f>
        <v>26324.778297809873</v>
      </c>
      <c r="J6138">
        <f>(Table1[[#This Row],[value]] - Table1[[#This Row],[mean]]) / Table1[[#This Row],[std_dev]]</f>
        <v>-0.52850920074610552</v>
      </c>
      <c r="K6138">
        <f>AVERAGEIF(Table1[CountryCode],Table1[[#This Row],[CountryCode]],Table1[z-score])</f>
        <v>-0.23196726817462951</v>
      </c>
      <c r="L6138" t="e">
        <f>VLOOKUP(Table1[[#This Row],[CountryCode]],[1]!Table1[#All],1,FALSE)</f>
        <v>#REF!</v>
      </c>
    </row>
    <row r="6139" spans="1:12" x14ac:dyDescent="0.3">
      <c r="A6139" t="s">
        <v>41</v>
      </c>
      <c r="B6139" t="s">
        <v>42</v>
      </c>
      <c r="C6139" t="s">
        <v>127</v>
      </c>
      <c r="D6139" t="s">
        <v>128</v>
      </c>
      <c r="E6139">
        <v>2020</v>
      </c>
      <c r="F6139" s="1">
        <v>19947</v>
      </c>
      <c r="G6139">
        <v>2020</v>
      </c>
      <c r="H6139">
        <f>AVERAGEIFS(Table1[value],Table1[IndicatorCode],Table1[[#This Row],[IndicatorCode]])</f>
        <v>24902.88753799392</v>
      </c>
      <c r="I6139" cm="1">
        <f t="array" ref="I6139">_xlfn.STDEV.P(IF(Table1[IndicatorCode]=Table1[[#This Row],[IndicatorCode]],Table1[value]))</f>
        <v>26324.778297809873</v>
      </c>
      <c r="J6139">
        <f>(Table1[[#This Row],[value]] - Table1[[#This Row],[mean]]) / Table1[[#This Row],[std_dev]]</f>
        <v>-0.18825942167217538</v>
      </c>
      <c r="K6139">
        <f>AVERAGEIF(Table1[CountryCode],Table1[[#This Row],[CountryCode]],Table1[z-score])</f>
        <v>0.48103769638692301</v>
      </c>
    </row>
    <row r="6140" spans="1:12" hidden="1" x14ac:dyDescent="0.3">
      <c r="A6140" t="s">
        <v>71</v>
      </c>
      <c r="B6140" t="s">
        <v>72</v>
      </c>
      <c r="C6140" t="s">
        <v>127</v>
      </c>
      <c r="D6140" t="s">
        <v>128</v>
      </c>
      <c r="E6140">
        <v>2021</v>
      </c>
      <c r="F6140" s="1">
        <v>10873</v>
      </c>
      <c r="G6140">
        <v>2020</v>
      </c>
      <c r="H6140">
        <f>AVERAGEIFS(Table1[value],Table1[IndicatorCode],Table1[[#This Row],[IndicatorCode]])</f>
        <v>24902.88753799392</v>
      </c>
      <c r="I6140" cm="1">
        <f t="array" ref="I6140">_xlfn.STDEV.P(IF(Table1[IndicatorCode]=Table1[[#This Row],[IndicatorCode]],Table1[value]))</f>
        <v>26324.778297809873</v>
      </c>
      <c r="J6140">
        <f>(Table1[[#This Row],[value]] - Table1[[#This Row],[mean]]) / Table1[[#This Row],[std_dev]]</f>
        <v>-0.53295368262080123</v>
      </c>
      <c r="K6140">
        <f>AVERAGEIF(Table1[CountryCode],Table1[[#This Row],[CountryCode]],Table1[z-score])</f>
        <v>-0.23196726817462951</v>
      </c>
      <c r="L6140" t="e">
        <f>VLOOKUP(Table1[[#This Row],[CountryCode]],[1]!Table1[#All],1,FALSE)</f>
        <v>#REF!</v>
      </c>
    </row>
    <row r="6141" spans="1:12" hidden="1" x14ac:dyDescent="0.3">
      <c r="A6141" t="s">
        <v>71</v>
      </c>
      <c r="B6141" t="s">
        <v>72</v>
      </c>
      <c r="C6141" t="s">
        <v>127</v>
      </c>
      <c r="D6141" t="s">
        <v>128</v>
      </c>
      <c r="E6141">
        <v>2022</v>
      </c>
      <c r="F6141" s="1">
        <v>11058</v>
      </c>
      <c r="G6141">
        <v>1980</v>
      </c>
      <c r="H6141">
        <f>AVERAGEIFS(Table1[value],Table1[IndicatorCode],Table1[[#This Row],[IndicatorCode]])</f>
        <v>24902.88753799392</v>
      </c>
      <c r="I6141" cm="1">
        <f t="array" ref="I6141">_xlfn.STDEV.P(IF(Table1[IndicatorCode]=Table1[[#This Row],[IndicatorCode]],Table1[value]))</f>
        <v>26324.778297809873</v>
      </c>
      <c r="J6141">
        <f>(Table1[[#This Row],[value]] - Table1[[#This Row],[mean]]) / Table1[[#This Row],[std_dev]]</f>
        <v>-0.52592608307534217</v>
      </c>
      <c r="K6141">
        <f>AVERAGEIF(Table1[CountryCode],Table1[[#This Row],[CountryCode]],Table1[z-score])</f>
        <v>-0.23196726817462951</v>
      </c>
      <c r="L6141" t="e">
        <f>VLOOKUP(Table1[[#This Row],[CountryCode]],[1]!Table1[#All],1,FALSE)</f>
        <v>#REF!</v>
      </c>
    </row>
    <row r="6142" spans="1:12" hidden="1" x14ac:dyDescent="0.3">
      <c r="A6142" t="s">
        <v>71</v>
      </c>
      <c r="B6142" t="s">
        <v>72</v>
      </c>
      <c r="C6142" t="s">
        <v>127</v>
      </c>
      <c r="D6142" t="s">
        <v>128</v>
      </c>
      <c r="E6142">
        <v>2023</v>
      </c>
      <c r="F6142" s="1">
        <v>11453</v>
      </c>
      <c r="G6142">
        <v>1980</v>
      </c>
      <c r="H6142">
        <f>AVERAGEIFS(Table1[value],Table1[IndicatorCode],Table1[[#This Row],[IndicatorCode]])</f>
        <v>24902.88753799392</v>
      </c>
      <c r="I6142" cm="1">
        <f t="array" ref="I6142">_xlfn.STDEV.P(IF(Table1[IndicatorCode]=Table1[[#This Row],[IndicatorCode]],Table1[value]))</f>
        <v>26324.778297809873</v>
      </c>
      <c r="J6142">
        <f>(Table1[[#This Row],[value]] - Table1[[#This Row],[mean]]) / Table1[[#This Row],[std_dev]]</f>
        <v>-0.51092120837017274</v>
      </c>
      <c r="K6142">
        <f>AVERAGEIF(Table1[CountryCode],Table1[[#This Row],[CountryCode]],Table1[z-score])</f>
        <v>-0.23196726817462951</v>
      </c>
      <c r="L6142" t="e">
        <f>VLOOKUP(Table1[[#This Row],[CountryCode]],[1]!Table1[#All],1,FALSE)</f>
        <v>#REF!</v>
      </c>
    </row>
    <row r="6143" spans="1:12" hidden="1" x14ac:dyDescent="0.3">
      <c r="A6143" t="s">
        <v>71</v>
      </c>
      <c r="B6143" t="s">
        <v>72</v>
      </c>
      <c r="C6143" t="s">
        <v>127</v>
      </c>
      <c r="D6143" t="s">
        <v>128</v>
      </c>
      <c r="E6143">
        <v>2024</v>
      </c>
      <c r="F6143" s="1">
        <v>11873</v>
      </c>
      <c r="G6143">
        <v>1980</v>
      </c>
      <c r="H6143">
        <f>AVERAGEIFS(Table1[value],Table1[IndicatorCode],Table1[[#This Row],[IndicatorCode]])</f>
        <v>24902.88753799392</v>
      </c>
      <c r="I6143" cm="1">
        <f t="array" ref="I6143">_xlfn.STDEV.P(IF(Table1[IndicatorCode]=Table1[[#This Row],[IndicatorCode]],Table1[value]))</f>
        <v>26324.778297809873</v>
      </c>
      <c r="J6143">
        <f>(Table1[[#This Row],[value]] - Table1[[#This Row],[mean]]) / Table1[[#This Row],[std_dev]]</f>
        <v>-0.49496665805075213</v>
      </c>
      <c r="K6143">
        <f>AVERAGEIF(Table1[CountryCode],Table1[[#This Row],[CountryCode]],Table1[z-score])</f>
        <v>-0.23196726817462951</v>
      </c>
      <c r="L6143" t="e">
        <f>VLOOKUP(Table1[[#This Row],[CountryCode]],[1]!Table1[#All],1,FALSE)</f>
        <v>#REF!</v>
      </c>
    </row>
    <row r="6144" spans="1:12" hidden="1" x14ac:dyDescent="0.3">
      <c r="A6144" t="s">
        <v>73</v>
      </c>
      <c r="B6144" t="s">
        <v>74</v>
      </c>
      <c r="C6144" t="s">
        <v>127</v>
      </c>
      <c r="D6144" t="s">
        <v>128</v>
      </c>
      <c r="E6144">
        <v>1986</v>
      </c>
      <c r="F6144" s="1">
        <v>1023</v>
      </c>
      <c r="G6144">
        <v>1980</v>
      </c>
      <c r="H6144">
        <f>AVERAGEIFS(Table1[value],Table1[IndicatorCode],Table1[[#This Row],[IndicatorCode]])</f>
        <v>24902.88753799392</v>
      </c>
      <c r="I6144" cm="1">
        <f t="array" ref="I6144">_xlfn.STDEV.P(IF(Table1[IndicatorCode]=Table1[[#This Row],[IndicatorCode]],Table1[value]))</f>
        <v>26324.778297809873</v>
      </c>
      <c r="J6144">
        <f>(Table1[[#This Row],[value]] - Table1[[#This Row],[mean]]) / Table1[[#This Row],[std_dev]]</f>
        <v>-0.90712587463578531</v>
      </c>
      <c r="K6144">
        <f>AVERAGEIF(Table1[CountryCode],Table1[[#This Row],[CountryCode]],Table1[z-score])</f>
        <v>-0.90374566436467785</v>
      </c>
      <c r="L6144" t="e">
        <f>VLOOKUP(Table1[[#This Row],[CountryCode]],[1]!Table1[#All],1,FALSE)</f>
        <v>#REF!</v>
      </c>
    </row>
    <row r="6145" spans="1:12" hidden="1" x14ac:dyDescent="0.3">
      <c r="A6145" t="s">
        <v>73</v>
      </c>
      <c r="B6145" t="s">
        <v>74</v>
      </c>
      <c r="C6145" t="s">
        <v>127</v>
      </c>
      <c r="D6145" t="s">
        <v>128</v>
      </c>
      <c r="E6145">
        <v>1987</v>
      </c>
      <c r="F6145" s="1">
        <v>1037</v>
      </c>
      <c r="G6145">
        <v>1990</v>
      </c>
      <c r="H6145">
        <f>AVERAGEIFS(Table1[value],Table1[IndicatorCode],Table1[[#This Row],[IndicatorCode]])</f>
        <v>24902.88753799392</v>
      </c>
      <c r="I6145" cm="1">
        <f t="array" ref="I6145">_xlfn.STDEV.P(IF(Table1[IndicatorCode]=Table1[[#This Row],[IndicatorCode]],Table1[value]))</f>
        <v>26324.778297809873</v>
      </c>
      <c r="J6145">
        <f>(Table1[[#This Row],[value]] - Table1[[#This Row],[mean]]) / Table1[[#This Row],[std_dev]]</f>
        <v>-0.90659405629180456</v>
      </c>
      <c r="K6145">
        <f>AVERAGEIF(Table1[CountryCode],Table1[[#This Row],[CountryCode]],Table1[z-score])</f>
        <v>-0.90374566436467785</v>
      </c>
      <c r="L6145" t="e">
        <f>VLOOKUP(Table1[[#This Row],[CountryCode]],[1]!Table1[#All],1,FALSE)</f>
        <v>#REF!</v>
      </c>
    </row>
    <row r="6146" spans="1:12" hidden="1" x14ac:dyDescent="0.3">
      <c r="A6146" t="s">
        <v>73</v>
      </c>
      <c r="B6146" t="s">
        <v>74</v>
      </c>
      <c r="C6146" t="s">
        <v>127</v>
      </c>
      <c r="D6146" t="s">
        <v>128</v>
      </c>
      <c r="E6146">
        <v>1988</v>
      </c>
      <c r="F6146" s="1">
        <v>1153</v>
      </c>
      <c r="G6146">
        <v>1990</v>
      </c>
      <c r="H6146">
        <f>AVERAGEIFS(Table1[value],Table1[IndicatorCode],Table1[[#This Row],[IndicatorCode]])</f>
        <v>24902.88753799392</v>
      </c>
      <c r="I6146" cm="1">
        <f t="array" ref="I6146">_xlfn.STDEV.P(IF(Table1[IndicatorCode]=Table1[[#This Row],[IndicatorCode]],Table1[value]))</f>
        <v>26324.778297809873</v>
      </c>
      <c r="J6146">
        <f>(Table1[[#This Row],[value]] - Table1[[#This Row],[mean]]) / Table1[[#This Row],[std_dev]]</f>
        <v>-0.90218756144167889</v>
      </c>
      <c r="K6146">
        <f>AVERAGEIF(Table1[CountryCode],Table1[[#This Row],[CountryCode]],Table1[z-score])</f>
        <v>-0.90374566436467785</v>
      </c>
      <c r="L6146" t="e">
        <f>VLOOKUP(Table1[[#This Row],[CountryCode]],[1]!Table1[#All],1,FALSE)</f>
        <v>#REF!</v>
      </c>
    </row>
    <row r="6147" spans="1:12" hidden="1" x14ac:dyDescent="0.3">
      <c r="A6147" t="s">
        <v>73</v>
      </c>
      <c r="B6147" t="s">
        <v>74</v>
      </c>
      <c r="C6147" t="s">
        <v>127</v>
      </c>
      <c r="D6147" t="s">
        <v>128</v>
      </c>
      <c r="E6147">
        <v>1989</v>
      </c>
      <c r="F6147" s="1">
        <v>1161</v>
      </c>
      <c r="G6147">
        <v>1990</v>
      </c>
      <c r="H6147">
        <f>AVERAGEIFS(Table1[value],Table1[IndicatorCode],Table1[[#This Row],[IndicatorCode]])</f>
        <v>24902.88753799392</v>
      </c>
      <c r="I6147" cm="1">
        <f t="array" ref="I6147">_xlfn.STDEV.P(IF(Table1[IndicatorCode]=Table1[[#This Row],[IndicatorCode]],Table1[value]))</f>
        <v>26324.778297809873</v>
      </c>
      <c r="J6147">
        <f>(Table1[[#This Row],[value]] - Table1[[#This Row],[mean]]) / Table1[[#This Row],[std_dev]]</f>
        <v>-0.90188366524511854</v>
      </c>
      <c r="K6147">
        <f>AVERAGEIF(Table1[CountryCode],Table1[[#This Row],[CountryCode]],Table1[z-score])</f>
        <v>-0.90374566436467785</v>
      </c>
      <c r="L6147" t="e">
        <f>VLOOKUP(Table1[[#This Row],[CountryCode]],[1]!Table1[#All],1,FALSE)</f>
        <v>#REF!</v>
      </c>
    </row>
    <row r="6148" spans="1:12" hidden="1" x14ac:dyDescent="0.3">
      <c r="A6148" t="s">
        <v>73</v>
      </c>
      <c r="B6148" t="s">
        <v>74</v>
      </c>
      <c r="C6148" t="s">
        <v>127</v>
      </c>
      <c r="D6148" t="s">
        <v>128</v>
      </c>
      <c r="E6148">
        <v>1990</v>
      </c>
      <c r="F6148" s="1">
        <v>1203</v>
      </c>
      <c r="G6148">
        <v>1990</v>
      </c>
      <c r="H6148">
        <f>AVERAGEIFS(Table1[value],Table1[IndicatorCode],Table1[[#This Row],[IndicatorCode]])</f>
        <v>24902.88753799392</v>
      </c>
      <c r="I6148" cm="1">
        <f t="array" ref="I6148">_xlfn.STDEV.P(IF(Table1[IndicatorCode]=Table1[[#This Row],[IndicatorCode]],Table1[value]))</f>
        <v>26324.778297809873</v>
      </c>
      <c r="J6148">
        <f>(Table1[[#This Row],[value]] - Table1[[#This Row],[mean]]) / Table1[[#This Row],[std_dev]]</f>
        <v>-0.9002882102131764</v>
      </c>
      <c r="K6148">
        <f>AVERAGEIF(Table1[CountryCode],Table1[[#This Row],[CountryCode]],Table1[z-score])</f>
        <v>-0.90374566436467785</v>
      </c>
      <c r="L6148" t="e">
        <f>VLOOKUP(Table1[[#This Row],[CountryCode]],[1]!Table1[#All],1,FALSE)</f>
        <v>#REF!</v>
      </c>
    </row>
    <row r="6149" spans="1:12" hidden="1" x14ac:dyDescent="0.3">
      <c r="A6149" t="s">
        <v>73</v>
      </c>
      <c r="B6149" t="s">
        <v>74</v>
      </c>
      <c r="C6149" t="s">
        <v>127</v>
      </c>
      <c r="D6149" t="s">
        <v>128</v>
      </c>
      <c r="E6149">
        <v>1991</v>
      </c>
      <c r="F6149" s="1">
        <v>1090</v>
      </c>
      <c r="G6149">
        <v>1990</v>
      </c>
      <c r="H6149">
        <f>AVERAGEIFS(Table1[value],Table1[IndicatorCode],Table1[[#This Row],[IndicatorCode]])</f>
        <v>24902.88753799392</v>
      </c>
      <c r="I6149" cm="1">
        <f t="array" ref="I6149">_xlfn.STDEV.P(IF(Table1[IndicatorCode]=Table1[[#This Row],[IndicatorCode]],Table1[value]))</f>
        <v>26324.778297809873</v>
      </c>
      <c r="J6149">
        <f>(Table1[[#This Row],[value]] - Table1[[#This Row],[mean]]) / Table1[[#This Row],[std_dev]]</f>
        <v>-0.90458074398959198</v>
      </c>
      <c r="K6149">
        <f>AVERAGEIF(Table1[CountryCode],Table1[[#This Row],[CountryCode]],Table1[z-score])</f>
        <v>-0.90374566436467785</v>
      </c>
      <c r="L6149" t="e">
        <f>VLOOKUP(Table1[[#This Row],[CountryCode]],[1]!Table1[#All],1,FALSE)</f>
        <v>#REF!</v>
      </c>
    </row>
    <row r="6150" spans="1:12" hidden="1" x14ac:dyDescent="0.3">
      <c r="A6150" t="s">
        <v>73</v>
      </c>
      <c r="B6150" t="s">
        <v>74</v>
      </c>
      <c r="C6150" t="s">
        <v>127</v>
      </c>
      <c r="D6150" t="s">
        <v>128</v>
      </c>
      <c r="E6150">
        <v>1992</v>
      </c>
      <c r="F6150" s="1">
        <v>928</v>
      </c>
      <c r="G6150">
        <v>1990</v>
      </c>
      <c r="H6150">
        <f>AVERAGEIFS(Table1[value],Table1[IndicatorCode],Table1[[#This Row],[IndicatorCode]])</f>
        <v>24902.88753799392</v>
      </c>
      <c r="I6150" cm="1">
        <f t="array" ref="I6150">_xlfn.STDEV.P(IF(Table1[IndicatorCode]=Table1[[#This Row],[IndicatorCode]],Table1[value]))</f>
        <v>26324.778297809873</v>
      </c>
      <c r="J6150">
        <f>(Table1[[#This Row],[value]] - Table1[[#This Row],[mean]]) / Table1[[#This Row],[std_dev]]</f>
        <v>-0.91073464196993992</v>
      </c>
      <c r="K6150">
        <f>AVERAGEIF(Table1[CountryCode],Table1[[#This Row],[CountryCode]],Table1[z-score])</f>
        <v>-0.90374566436467785</v>
      </c>
      <c r="L6150" t="e">
        <f>VLOOKUP(Table1[[#This Row],[CountryCode]],[1]!Table1[#All],1,FALSE)</f>
        <v>#REF!</v>
      </c>
    </row>
    <row r="6151" spans="1:12" hidden="1" x14ac:dyDescent="0.3">
      <c r="A6151" t="s">
        <v>73</v>
      </c>
      <c r="B6151" t="s">
        <v>74</v>
      </c>
      <c r="C6151" t="s">
        <v>127</v>
      </c>
      <c r="D6151" t="s">
        <v>128</v>
      </c>
      <c r="E6151">
        <v>1993</v>
      </c>
      <c r="F6151" s="1">
        <v>785</v>
      </c>
      <c r="G6151">
        <v>1990</v>
      </c>
      <c r="H6151">
        <f>AVERAGEIFS(Table1[value],Table1[IndicatorCode],Table1[[#This Row],[IndicatorCode]])</f>
        <v>24902.88753799392</v>
      </c>
      <c r="I6151" cm="1">
        <f t="array" ref="I6151">_xlfn.STDEV.P(IF(Table1[IndicatorCode]=Table1[[#This Row],[IndicatorCode]],Table1[value]))</f>
        <v>26324.778297809873</v>
      </c>
      <c r="J6151">
        <f>(Table1[[#This Row],[value]] - Table1[[#This Row],[mean]]) / Table1[[#This Row],[std_dev]]</f>
        <v>-0.91616678648345695</v>
      </c>
      <c r="K6151">
        <f>AVERAGEIF(Table1[CountryCode],Table1[[#This Row],[CountryCode]],Table1[z-score])</f>
        <v>-0.90374566436467785</v>
      </c>
      <c r="L6151" t="e">
        <f>VLOOKUP(Table1[[#This Row],[CountryCode]],[1]!Table1[#All],1,FALSE)</f>
        <v>#REF!</v>
      </c>
    </row>
    <row r="6152" spans="1:12" hidden="1" x14ac:dyDescent="0.3">
      <c r="A6152" t="s">
        <v>73</v>
      </c>
      <c r="B6152" t="s">
        <v>74</v>
      </c>
      <c r="C6152" t="s">
        <v>127</v>
      </c>
      <c r="D6152" t="s">
        <v>128</v>
      </c>
      <c r="E6152">
        <v>1994</v>
      </c>
      <c r="F6152" s="1">
        <v>627</v>
      </c>
      <c r="G6152">
        <v>1990</v>
      </c>
      <c r="H6152">
        <f>AVERAGEIFS(Table1[value],Table1[IndicatorCode],Table1[[#This Row],[IndicatorCode]])</f>
        <v>24902.88753799392</v>
      </c>
      <c r="I6152" cm="1">
        <f t="array" ref="I6152">_xlfn.STDEV.P(IF(Table1[IndicatorCode]=Table1[[#This Row],[IndicatorCode]],Table1[value]))</f>
        <v>26324.778297809873</v>
      </c>
      <c r="J6152">
        <f>(Table1[[#This Row],[value]] - Table1[[#This Row],[mean]]) / Table1[[#This Row],[std_dev]]</f>
        <v>-0.92216873636552477</v>
      </c>
      <c r="K6152">
        <f>AVERAGEIF(Table1[CountryCode],Table1[[#This Row],[CountryCode]],Table1[z-score])</f>
        <v>-0.90374566436467785</v>
      </c>
      <c r="L6152" t="e">
        <f>VLOOKUP(Table1[[#This Row],[CountryCode]],[1]!Table1[#All],1,FALSE)</f>
        <v>#REF!</v>
      </c>
    </row>
    <row r="6153" spans="1:12" hidden="1" x14ac:dyDescent="0.3">
      <c r="A6153" t="s">
        <v>73</v>
      </c>
      <c r="B6153" t="s">
        <v>74</v>
      </c>
      <c r="C6153" t="s">
        <v>127</v>
      </c>
      <c r="D6153" t="s">
        <v>128</v>
      </c>
      <c r="E6153">
        <v>1995</v>
      </c>
      <c r="F6153" s="1">
        <v>587</v>
      </c>
      <c r="G6153">
        <v>1990</v>
      </c>
      <c r="H6153">
        <f>AVERAGEIFS(Table1[value],Table1[IndicatorCode],Table1[[#This Row],[IndicatorCode]])</f>
        <v>24902.88753799392</v>
      </c>
      <c r="I6153" cm="1">
        <f t="array" ref="I6153">_xlfn.STDEV.P(IF(Table1[IndicatorCode]=Table1[[#This Row],[IndicatorCode]],Table1[value]))</f>
        <v>26324.778297809873</v>
      </c>
      <c r="J6153">
        <f>(Table1[[#This Row],[value]] - Table1[[#This Row],[mean]]) / Table1[[#This Row],[std_dev]]</f>
        <v>-0.92368821734832673</v>
      </c>
      <c r="K6153">
        <f>AVERAGEIF(Table1[CountryCode],Table1[[#This Row],[CountryCode]],Table1[z-score])</f>
        <v>-0.90374566436467785</v>
      </c>
      <c r="L6153" t="e">
        <f>VLOOKUP(Table1[[#This Row],[CountryCode]],[1]!Table1[#All],1,FALSE)</f>
        <v>#REF!</v>
      </c>
    </row>
    <row r="6154" spans="1:12" hidden="1" x14ac:dyDescent="0.3">
      <c r="A6154" t="s">
        <v>73</v>
      </c>
      <c r="B6154" t="s">
        <v>74</v>
      </c>
      <c r="C6154" t="s">
        <v>127</v>
      </c>
      <c r="D6154" t="s">
        <v>128</v>
      </c>
      <c r="E6154">
        <v>1996</v>
      </c>
      <c r="F6154" s="1">
        <v>620</v>
      </c>
      <c r="G6154">
        <v>1990</v>
      </c>
      <c r="H6154">
        <f>AVERAGEIFS(Table1[value],Table1[IndicatorCode],Table1[[#This Row],[IndicatorCode]])</f>
        <v>24902.88753799392</v>
      </c>
      <c r="I6154" cm="1">
        <f t="array" ref="I6154">_xlfn.STDEV.P(IF(Table1[IndicatorCode]=Table1[[#This Row],[IndicatorCode]],Table1[value]))</f>
        <v>26324.778297809873</v>
      </c>
      <c r="J6154">
        <f>(Table1[[#This Row],[value]] - Table1[[#This Row],[mean]]) / Table1[[#This Row],[std_dev]]</f>
        <v>-0.92243464553751509</v>
      </c>
      <c r="K6154">
        <f>AVERAGEIF(Table1[CountryCode],Table1[[#This Row],[CountryCode]],Table1[z-score])</f>
        <v>-0.90374566436467785</v>
      </c>
      <c r="L6154" t="e">
        <f>VLOOKUP(Table1[[#This Row],[CountryCode]],[1]!Table1[#All],1,FALSE)</f>
        <v>#REF!</v>
      </c>
    </row>
    <row r="6155" spans="1:12" hidden="1" x14ac:dyDescent="0.3">
      <c r="A6155" t="s">
        <v>73</v>
      </c>
      <c r="B6155" t="s">
        <v>74</v>
      </c>
      <c r="C6155" t="s">
        <v>127</v>
      </c>
      <c r="D6155" t="s">
        <v>128</v>
      </c>
      <c r="E6155">
        <v>1997</v>
      </c>
      <c r="F6155" s="1">
        <v>671</v>
      </c>
      <c r="G6155">
        <v>2000</v>
      </c>
      <c r="H6155">
        <f>AVERAGEIFS(Table1[value],Table1[IndicatorCode],Table1[[#This Row],[IndicatorCode]])</f>
        <v>24902.88753799392</v>
      </c>
      <c r="I6155" cm="1">
        <f t="array" ref="I6155">_xlfn.STDEV.P(IF(Table1[IndicatorCode]=Table1[[#This Row],[IndicatorCode]],Table1[value]))</f>
        <v>26324.778297809873</v>
      </c>
      <c r="J6155">
        <f>(Table1[[#This Row],[value]] - Table1[[#This Row],[mean]]) / Table1[[#This Row],[std_dev]]</f>
        <v>-0.92049730728444257</v>
      </c>
      <c r="K6155">
        <f>AVERAGEIF(Table1[CountryCode],Table1[[#This Row],[CountryCode]],Table1[z-score])</f>
        <v>-0.90374566436467785</v>
      </c>
      <c r="L6155" t="e">
        <f>VLOOKUP(Table1[[#This Row],[CountryCode]],[1]!Table1[#All],1,FALSE)</f>
        <v>#REF!</v>
      </c>
    </row>
    <row r="6156" spans="1:12" hidden="1" x14ac:dyDescent="0.3">
      <c r="A6156" t="s">
        <v>73</v>
      </c>
      <c r="B6156" t="s">
        <v>74</v>
      </c>
      <c r="C6156" t="s">
        <v>127</v>
      </c>
      <c r="D6156" t="s">
        <v>128</v>
      </c>
      <c r="E6156">
        <v>1998</v>
      </c>
      <c r="F6156" s="1">
        <v>675</v>
      </c>
      <c r="G6156">
        <v>2000</v>
      </c>
      <c r="H6156">
        <f>AVERAGEIFS(Table1[value],Table1[IndicatorCode],Table1[[#This Row],[IndicatorCode]])</f>
        <v>24902.88753799392</v>
      </c>
      <c r="I6156" cm="1">
        <f t="array" ref="I6156">_xlfn.STDEV.P(IF(Table1[IndicatorCode]=Table1[[#This Row],[IndicatorCode]],Table1[value]))</f>
        <v>26324.778297809873</v>
      </c>
      <c r="J6156">
        <f>(Table1[[#This Row],[value]] - Table1[[#This Row],[mean]]) / Table1[[#This Row],[std_dev]]</f>
        <v>-0.92034535918616234</v>
      </c>
      <c r="K6156">
        <f>AVERAGEIF(Table1[CountryCode],Table1[[#This Row],[CountryCode]],Table1[z-score])</f>
        <v>-0.90374566436467785</v>
      </c>
      <c r="L6156" t="e">
        <f>VLOOKUP(Table1[[#This Row],[CountryCode]],[1]!Table1[#All],1,FALSE)</f>
        <v>#REF!</v>
      </c>
    </row>
    <row r="6157" spans="1:12" hidden="1" x14ac:dyDescent="0.3">
      <c r="A6157" t="s">
        <v>73</v>
      </c>
      <c r="B6157" t="s">
        <v>74</v>
      </c>
      <c r="C6157" t="s">
        <v>127</v>
      </c>
      <c r="D6157" t="s">
        <v>128</v>
      </c>
      <c r="E6157">
        <v>1999</v>
      </c>
      <c r="F6157" s="1">
        <v>689</v>
      </c>
      <c r="G6157">
        <v>2000</v>
      </c>
      <c r="H6157">
        <f>AVERAGEIFS(Table1[value],Table1[IndicatorCode],Table1[[#This Row],[IndicatorCode]])</f>
        <v>24902.88753799392</v>
      </c>
      <c r="I6157" cm="1">
        <f t="array" ref="I6157">_xlfn.STDEV.P(IF(Table1[IndicatorCode]=Table1[[#This Row],[IndicatorCode]],Table1[value]))</f>
        <v>26324.778297809873</v>
      </c>
      <c r="J6157">
        <f>(Table1[[#This Row],[value]] - Table1[[#This Row],[mean]]) / Table1[[#This Row],[std_dev]]</f>
        <v>-0.9198135408421817</v>
      </c>
      <c r="K6157">
        <f>AVERAGEIF(Table1[CountryCode],Table1[[#This Row],[CountryCode]],Table1[z-score])</f>
        <v>-0.90374566436467785</v>
      </c>
      <c r="L6157" t="e">
        <f>VLOOKUP(Table1[[#This Row],[CountryCode]],[1]!Table1[#All],1,FALSE)</f>
        <v>#REF!</v>
      </c>
    </row>
    <row r="6158" spans="1:12" hidden="1" x14ac:dyDescent="0.3">
      <c r="A6158" t="s">
        <v>73</v>
      </c>
      <c r="B6158" t="s">
        <v>74</v>
      </c>
      <c r="C6158" t="s">
        <v>127</v>
      </c>
      <c r="D6158" t="s">
        <v>128</v>
      </c>
      <c r="E6158">
        <v>2000</v>
      </c>
      <c r="F6158" s="1">
        <v>718</v>
      </c>
      <c r="G6158">
        <v>2000</v>
      </c>
      <c r="H6158">
        <f>AVERAGEIFS(Table1[value],Table1[IndicatorCode],Table1[[#This Row],[IndicatorCode]])</f>
        <v>24902.88753799392</v>
      </c>
      <c r="I6158" cm="1">
        <f t="array" ref="I6158">_xlfn.STDEV.P(IF(Table1[IndicatorCode]=Table1[[#This Row],[IndicatorCode]],Table1[value]))</f>
        <v>26324.778297809873</v>
      </c>
      <c r="J6158">
        <f>(Table1[[#This Row],[value]] - Table1[[#This Row],[mean]]) / Table1[[#This Row],[std_dev]]</f>
        <v>-0.91871191712965028</v>
      </c>
      <c r="K6158">
        <f>AVERAGEIF(Table1[CountryCode],Table1[[#This Row],[CountryCode]],Table1[z-score])</f>
        <v>-0.90374566436467785</v>
      </c>
      <c r="L6158" t="e">
        <f>VLOOKUP(Table1[[#This Row],[CountryCode]],[1]!Table1[#All],1,FALSE)</f>
        <v>#REF!</v>
      </c>
    </row>
    <row r="6159" spans="1:12" hidden="1" x14ac:dyDescent="0.3">
      <c r="A6159" t="s">
        <v>73</v>
      </c>
      <c r="B6159" t="s">
        <v>74</v>
      </c>
      <c r="C6159" t="s">
        <v>127</v>
      </c>
      <c r="D6159" t="s">
        <v>128</v>
      </c>
      <c r="E6159">
        <v>2001</v>
      </c>
      <c r="F6159" s="1">
        <v>749</v>
      </c>
      <c r="G6159">
        <v>2000</v>
      </c>
      <c r="H6159">
        <f>AVERAGEIFS(Table1[value],Table1[IndicatorCode],Table1[[#This Row],[IndicatorCode]])</f>
        <v>24902.88753799392</v>
      </c>
      <c r="I6159" cm="1">
        <f t="array" ref="I6159">_xlfn.STDEV.P(IF(Table1[IndicatorCode]=Table1[[#This Row],[IndicatorCode]],Table1[value]))</f>
        <v>26324.778297809873</v>
      </c>
      <c r="J6159">
        <f>(Table1[[#This Row],[value]] - Table1[[#This Row],[mean]]) / Table1[[#This Row],[std_dev]]</f>
        <v>-0.9175343193679788</v>
      </c>
      <c r="K6159">
        <f>AVERAGEIF(Table1[CountryCode],Table1[[#This Row],[CountryCode]],Table1[z-score])</f>
        <v>-0.90374566436467785</v>
      </c>
      <c r="L6159" t="e">
        <f>VLOOKUP(Table1[[#This Row],[CountryCode]],[1]!Table1[#All],1,FALSE)</f>
        <v>#REF!</v>
      </c>
    </row>
    <row r="6160" spans="1:12" hidden="1" x14ac:dyDescent="0.3">
      <c r="A6160" t="s">
        <v>73</v>
      </c>
      <c r="B6160" t="s">
        <v>74</v>
      </c>
      <c r="C6160" t="s">
        <v>127</v>
      </c>
      <c r="D6160" t="s">
        <v>128</v>
      </c>
      <c r="E6160">
        <v>2002</v>
      </c>
      <c r="F6160" s="1">
        <v>742</v>
      </c>
      <c r="G6160">
        <v>2000</v>
      </c>
      <c r="H6160">
        <f>AVERAGEIFS(Table1[value],Table1[IndicatorCode],Table1[[#This Row],[IndicatorCode]])</f>
        <v>24902.88753799392</v>
      </c>
      <c r="I6160" cm="1">
        <f t="array" ref="I6160">_xlfn.STDEV.P(IF(Table1[IndicatorCode]=Table1[[#This Row],[IndicatorCode]],Table1[value]))</f>
        <v>26324.778297809873</v>
      </c>
      <c r="J6160">
        <f>(Table1[[#This Row],[value]] - Table1[[#This Row],[mean]]) / Table1[[#This Row],[std_dev]]</f>
        <v>-0.91780022853996912</v>
      </c>
      <c r="K6160">
        <f>AVERAGEIF(Table1[CountryCode],Table1[[#This Row],[CountryCode]],Table1[z-score])</f>
        <v>-0.90374566436467785</v>
      </c>
      <c r="L6160" t="e">
        <f>VLOOKUP(Table1[[#This Row],[CountryCode]],[1]!Table1[#All],1,FALSE)</f>
        <v>#REF!</v>
      </c>
    </row>
    <row r="6161" spans="1:12" hidden="1" x14ac:dyDescent="0.3">
      <c r="A6161" t="s">
        <v>73</v>
      </c>
      <c r="B6161" t="s">
        <v>74</v>
      </c>
      <c r="C6161" t="s">
        <v>127</v>
      </c>
      <c r="D6161" t="s">
        <v>128</v>
      </c>
      <c r="E6161">
        <v>2003</v>
      </c>
      <c r="F6161" s="1">
        <v>786</v>
      </c>
      <c r="G6161">
        <v>2000</v>
      </c>
      <c r="H6161">
        <f>AVERAGEIFS(Table1[value],Table1[IndicatorCode],Table1[[#This Row],[IndicatorCode]])</f>
        <v>24902.88753799392</v>
      </c>
      <c r="I6161" cm="1">
        <f t="array" ref="I6161">_xlfn.STDEV.P(IF(Table1[IndicatorCode]=Table1[[#This Row],[IndicatorCode]],Table1[value]))</f>
        <v>26324.778297809873</v>
      </c>
      <c r="J6161">
        <f>(Table1[[#This Row],[value]] - Table1[[#This Row],[mean]]) / Table1[[#This Row],[std_dev]]</f>
        <v>-0.91612879945888692</v>
      </c>
      <c r="K6161">
        <f>AVERAGEIF(Table1[CountryCode],Table1[[#This Row],[CountryCode]],Table1[z-score])</f>
        <v>-0.90374566436467785</v>
      </c>
      <c r="L6161" t="e">
        <f>VLOOKUP(Table1[[#This Row],[CountryCode]],[1]!Table1[#All],1,FALSE)</f>
        <v>#REF!</v>
      </c>
    </row>
    <row r="6162" spans="1:12" hidden="1" x14ac:dyDescent="0.3">
      <c r="A6162" t="s">
        <v>73</v>
      </c>
      <c r="B6162" t="s">
        <v>74</v>
      </c>
      <c r="C6162" t="s">
        <v>127</v>
      </c>
      <c r="D6162" t="s">
        <v>128</v>
      </c>
      <c r="E6162">
        <v>2004</v>
      </c>
      <c r="F6162" s="1">
        <v>831</v>
      </c>
      <c r="G6162">
        <v>2000</v>
      </c>
      <c r="H6162">
        <f>AVERAGEIFS(Table1[value],Table1[IndicatorCode],Table1[[#This Row],[IndicatorCode]])</f>
        <v>24902.88753799392</v>
      </c>
      <c r="I6162" cm="1">
        <f t="array" ref="I6162">_xlfn.STDEV.P(IF(Table1[IndicatorCode]=Table1[[#This Row],[IndicatorCode]],Table1[value]))</f>
        <v>26324.778297809873</v>
      </c>
      <c r="J6162">
        <f>(Table1[[#This Row],[value]] - Table1[[#This Row],[mean]]) / Table1[[#This Row],[std_dev]]</f>
        <v>-0.91441938335323469</v>
      </c>
      <c r="K6162">
        <f>AVERAGEIF(Table1[CountryCode],Table1[[#This Row],[CountryCode]],Table1[z-score])</f>
        <v>-0.90374566436467785</v>
      </c>
      <c r="L6162" t="e">
        <f>VLOOKUP(Table1[[#This Row],[CountryCode]],[1]!Table1[#All],1,FALSE)</f>
        <v>#REF!</v>
      </c>
    </row>
    <row r="6163" spans="1:12" hidden="1" x14ac:dyDescent="0.3">
      <c r="A6163" t="s">
        <v>73</v>
      </c>
      <c r="B6163" t="s">
        <v>74</v>
      </c>
      <c r="C6163" t="s">
        <v>127</v>
      </c>
      <c r="D6163" t="s">
        <v>128</v>
      </c>
      <c r="E6163">
        <v>2005</v>
      </c>
      <c r="F6163" s="1">
        <v>821</v>
      </c>
      <c r="G6163">
        <v>2000</v>
      </c>
      <c r="H6163">
        <f>AVERAGEIFS(Table1[value],Table1[IndicatorCode],Table1[[#This Row],[IndicatorCode]])</f>
        <v>24902.88753799392</v>
      </c>
      <c r="I6163" cm="1">
        <f t="array" ref="I6163">_xlfn.STDEV.P(IF(Table1[IndicatorCode]=Table1[[#This Row],[IndicatorCode]],Table1[value]))</f>
        <v>26324.778297809873</v>
      </c>
      <c r="J6163">
        <f>(Table1[[#This Row],[value]] - Table1[[#This Row],[mean]]) / Table1[[#This Row],[std_dev]]</f>
        <v>-0.91479925359893521</v>
      </c>
      <c r="K6163">
        <f>AVERAGEIF(Table1[CountryCode],Table1[[#This Row],[CountryCode]],Table1[z-score])</f>
        <v>-0.90374566436467785</v>
      </c>
      <c r="L6163" t="e">
        <f>VLOOKUP(Table1[[#This Row],[CountryCode]],[1]!Table1[#All],1,FALSE)</f>
        <v>#REF!</v>
      </c>
    </row>
    <row r="6164" spans="1:12" hidden="1" x14ac:dyDescent="0.3">
      <c r="A6164" t="s">
        <v>73</v>
      </c>
      <c r="B6164" t="s">
        <v>74</v>
      </c>
      <c r="C6164" t="s">
        <v>127</v>
      </c>
      <c r="D6164" t="s">
        <v>128</v>
      </c>
      <c r="E6164">
        <v>2006</v>
      </c>
      <c r="F6164" s="1">
        <v>837</v>
      </c>
      <c r="G6164">
        <v>2000</v>
      </c>
      <c r="H6164">
        <f>AVERAGEIFS(Table1[value],Table1[IndicatorCode],Table1[[#This Row],[IndicatorCode]])</f>
        <v>24902.88753799392</v>
      </c>
      <c r="I6164" cm="1">
        <f t="array" ref="I6164">_xlfn.STDEV.P(IF(Table1[IndicatorCode]=Table1[[#This Row],[IndicatorCode]],Table1[value]))</f>
        <v>26324.778297809873</v>
      </c>
      <c r="J6164">
        <f>(Table1[[#This Row],[value]] - Table1[[#This Row],[mean]]) / Table1[[#This Row],[std_dev]]</f>
        <v>-0.9141914612058144</v>
      </c>
      <c r="K6164">
        <f>AVERAGEIF(Table1[CountryCode],Table1[[#This Row],[CountryCode]],Table1[z-score])</f>
        <v>-0.90374566436467785</v>
      </c>
      <c r="L6164" t="e">
        <f>VLOOKUP(Table1[[#This Row],[CountryCode]],[1]!Table1[#All],1,FALSE)</f>
        <v>#REF!</v>
      </c>
    </row>
    <row r="6165" spans="1:12" hidden="1" x14ac:dyDescent="0.3">
      <c r="A6165" t="s">
        <v>73</v>
      </c>
      <c r="B6165" t="s">
        <v>74</v>
      </c>
      <c r="C6165" t="s">
        <v>127</v>
      </c>
      <c r="D6165" t="s">
        <v>128</v>
      </c>
      <c r="E6165">
        <v>2007</v>
      </c>
      <c r="F6165" s="1">
        <v>900</v>
      </c>
      <c r="G6165">
        <v>2010</v>
      </c>
      <c r="H6165">
        <f>AVERAGEIFS(Table1[value],Table1[IndicatorCode],Table1[[#This Row],[IndicatorCode]])</f>
        <v>24902.88753799392</v>
      </c>
      <c r="I6165" cm="1">
        <f t="array" ref="I6165">_xlfn.STDEV.P(IF(Table1[IndicatorCode]=Table1[[#This Row],[IndicatorCode]],Table1[value]))</f>
        <v>26324.778297809873</v>
      </c>
      <c r="J6165">
        <f>(Table1[[#This Row],[value]] - Table1[[#This Row],[mean]]) / Table1[[#This Row],[std_dev]]</f>
        <v>-0.91179827865790131</v>
      </c>
      <c r="K6165">
        <f>AVERAGEIF(Table1[CountryCode],Table1[[#This Row],[CountryCode]],Table1[z-score])</f>
        <v>-0.90374566436467785</v>
      </c>
      <c r="L6165" t="e">
        <f>VLOOKUP(Table1[[#This Row],[CountryCode]],[1]!Table1[#All],1,FALSE)</f>
        <v>#REF!</v>
      </c>
    </row>
    <row r="6166" spans="1:12" hidden="1" x14ac:dyDescent="0.3">
      <c r="A6166" t="s">
        <v>73</v>
      </c>
      <c r="B6166" t="s">
        <v>74</v>
      </c>
      <c r="C6166" t="s">
        <v>127</v>
      </c>
      <c r="D6166" t="s">
        <v>128</v>
      </c>
      <c r="E6166">
        <v>2008</v>
      </c>
      <c r="F6166" s="1">
        <v>966</v>
      </c>
      <c r="G6166">
        <v>2010</v>
      </c>
      <c r="H6166">
        <f>AVERAGEIFS(Table1[value],Table1[IndicatorCode],Table1[[#This Row],[IndicatorCode]])</f>
        <v>24902.88753799392</v>
      </c>
      <c r="I6166" cm="1">
        <f t="array" ref="I6166">_xlfn.STDEV.P(IF(Table1[IndicatorCode]=Table1[[#This Row],[IndicatorCode]],Table1[value]))</f>
        <v>26324.778297809873</v>
      </c>
      <c r="J6166">
        <f>(Table1[[#This Row],[value]] - Table1[[#This Row],[mean]]) / Table1[[#This Row],[std_dev]]</f>
        <v>-0.90929113503627812</v>
      </c>
      <c r="K6166">
        <f>AVERAGEIF(Table1[CountryCode],Table1[[#This Row],[CountryCode]],Table1[z-score])</f>
        <v>-0.90374566436467785</v>
      </c>
      <c r="L6166" t="e">
        <f>VLOOKUP(Table1[[#This Row],[CountryCode]],[1]!Table1[#All],1,FALSE)</f>
        <v>#REF!</v>
      </c>
    </row>
    <row r="6167" spans="1:12" hidden="1" x14ac:dyDescent="0.3">
      <c r="A6167" t="s">
        <v>73</v>
      </c>
      <c r="B6167" t="s">
        <v>74</v>
      </c>
      <c r="C6167" t="s">
        <v>127</v>
      </c>
      <c r="D6167" t="s">
        <v>128</v>
      </c>
      <c r="E6167">
        <v>2009</v>
      </c>
      <c r="F6167" s="1">
        <v>981</v>
      </c>
      <c r="G6167">
        <v>2010</v>
      </c>
      <c r="H6167">
        <f>AVERAGEIFS(Table1[value],Table1[IndicatorCode],Table1[[#This Row],[IndicatorCode]])</f>
        <v>24902.88753799392</v>
      </c>
      <c r="I6167" cm="1">
        <f t="array" ref="I6167">_xlfn.STDEV.P(IF(Table1[IndicatorCode]=Table1[[#This Row],[IndicatorCode]],Table1[value]))</f>
        <v>26324.778297809873</v>
      </c>
      <c r="J6167">
        <f>(Table1[[#This Row],[value]] - Table1[[#This Row],[mean]]) / Table1[[#This Row],[std_dev]]</f>
        <v>-0.90872132966772734</v>
      </c>
      <c r="K6167">
        <f>AVERAGEIF(Table1[CountryCode],Table1[[#This Row],[CountryCode]],Table1[z-score])</f>
        <v>-0.90374566436467785</v>
      </c>
      <c r="L6167" t="e">
        <f>VLOOKUP(Table1[[#This Row],[CountryCode]],[1]!Table1[#All],1,FALSE)</f>
        <v>#REF!</v>
      </c>
    </row>
    <row r="6168" spans="1:12" hidden="1" x14ac:dyDescent="0.3">
      <c r="A6168" t="s">
        <v>73</v>
      </c>
      <c r="B6168" t="s">
        <v>74</v>
      </c>
      <c r="C6168" t="s">
        <v>127</v>
      </c>
      <c r="D6168" t="s">
        <v>128</v>
      </c>
      <c r="E6168">
        <v>2010</v>
      </c>
      <c r="F6168" s="1">
        <v>963</v>
      </c>
      <c r="G6168">
        <v>2010</v>
      </c>
      <c r="H6168">
        <f>AVERAGEIFS(Table1[value],Table1[IndicatorCode],Table1[[#This Row],[IndicatorCode]])</f>
        <v>24902.88753799392</v>
      </c>
      <c r="I6168" cm="1">
        <f t="array" ref="I6168">_xlfn.STDEV.P(IF(Table1[IndicatorCode]=Table1[[#This Row],[IndicatorCode]],Table1[value]))</f>
        <v>26324.778297809873</v>
      </c>
      <c r="J6168">
        <f>(Table1[[#This Row],[value]] - Table1[[#This Row],[mean]]) / Table1[[#This Row],[std_dev]]</f>
        <v>-0.90940509610998821</v>
      </c>
      <c r="K6168">
        <f>AVERAGEIF(Table1[CountryCode],Table1[[#This Row],[CountryCode]],Table1[z-score])</f>
        <v>-0.90374566436467785</v>
      </c>
      <c r="L6168" t="e">
        <f>VLOOKUP(Table1[[#This Row],[CountryCode]],[1]!Table1[#All],1,FALSE)</f>
        <v>#REF!</v>
      </c>
    </row>
    <row r="6169" spans="1:12" hidden="1" x14ac:dyDescent="0.3">
      <c r="A6169" t="s">
        <v>73</v>
      </c>
      <c r="B6169" t="s">
        <v>74</v>
      </c>
      <c r="C6169" t="s">
        <v>127</v>
      </c>
      <c r="D6169" t="s">
        <v>128</v>
      </c>
      <c r="E6169">
        <v>2011</v>
      </c>
      <c r="F6169" s="1">
        <v>1005</v>
      </c>
      <c r="G6169">
        <v>2010</v>
      </c>
      <c r="H6169">
        <f>AVERAGEIFS(Table1[value],Table1[IndicatorCode],Table1[[#This Row],[IndicatorCode]])</f>
        <v>24902.88753799392</v>
      </c>
      <c r="I6169" cm="1">
        <f t="array" ref="I6169">_xlfn.STDEV.P(IF(Table1[IndicatorCode]=Table1[[#This Row],[IndicatorCode]],Table1[value]))</f>
        <v>26324.778297809873</v>
      </c>
      <c r="J6169">
        <f>(Table1[[#This Row],[value]] - Table1[[#This Row],[mean]]) / Table1[[#This Row],[std_dev]]</f>
        <v>-0.90780964107804618</v>
      </c>
      <c r="K6169">
        <f>AVERAGEIF(Table1[CountryCode],Table1[[#This Row],[CountryCode]],Table1[z-score])</f>
        <v>-0.90374566436467785</v>
      </c>
      <c r="L6169" t="e">
        <f>VLOOKUP(Table1[[#This Row],[CountryCode]],[1]!Table1[#All],1,FALSE)</f>
        <v>#REF!</v>
      </c>
    </row>
    <row r="6170" spans="1:12" hidden="1" x14ac:dyDescent="0.3">
      <c r="A6170" t="s">
        <v>73</v>
      </c>
      <c r="B6170" t="s">
        <v>74</v>
      </c>
      <c r="C6170" t="s">
        <v>127</v>
      </c>
      <c r="D6170" t="s">
        <v>128</v>
      </c>
      <c r="E6170">
        <v>2012</v>
      </c>
      <c r="F6170" s="1">
        <v>986</v>
      </c>
      <c r="G6170">
        <v>2010</v>
      </c>
      <c r="H6170">
        <f>AVERAGEIFS(Table1[value],Table1[IndicatorCode],Table1[[#This Row],[IndicatorCode]])</f>
        <v>24902.88753799392</v>
      </c>
      <c r="I6170" cm="1">
        <f t="array" ref="I6170">_xlfn.STDEV.P(IF(Table1[IndicatorCode]=Table1[[#This Row],[IndicatorCode]],Table1[value]))</f>
        <v>26324.778297809873</v>
      </c>
      <c r="J6170">
        <f>(Table1[[#This Row],[value]] - Table1[[#This Row],[mean]]) / Table1[[#This Row],[std_dev]]</f>
        <v>-0.90853139454487708</v>
      </c>
      <c r="K6170">
        <f>AVERAGEIF(Table1[CountryCode],Table1[[#This Row],[CountryCode]],Table1[z-score])</f>
        <v>-0.90374566436467785</v>
      </c>
      <c r="L6170" t="e">
        <f>VLOOKUP(Table1[[#This Row],[CountryCode]],[1]!Table1[#All],1,FALSE)</f>
        <v>#REF!</v>
      </c>
    </row>
    <row r="6171" spans="1:12" hidden="1" x14ac:dyDescent="0.3">
      <c r="A6171" t="s">
        <v>73</v>
      </c>
      <c r="B6171" t="s">
        <v>74</v>
      </c>
      <c r="C6171" t="s">
        <v>127</v>
      </c>
      <c r="D6171" t="s">
        <v>128</v>
      </c>
      <c r="E6171">
        <v>2013</v>
      </c>
      <c r="F6171" s="1">
        <v>1070</v>
      </c>
      <c r="G6171">
        <v>2010</v>
      </c>
      <c r="H6171">
        <f>AVERAGEIFS(Table1[value],Table1[IndicatorCode],Table1[[#This Row],[IndicatorCode]])</f>
        <v>24902.88753799392</v>
      </c>
      <c r="I6171" cm="1">
        <f t="array" ref="I6171">_xlfn.STDEV.P(IF(Table1[IndicatorCode]=Table1[[#This Row],[IndicatorCode]],Table1[value]))</f>
        <v>26324.778297809873</v>
      </c>
      <c r="J6171">
        <f>(Table1[[#This Row],[value]] - Table1[[#This Row],[mean]]) / Table1[[#This Row],[std_dev]]</f>
        <v>-0.90534048448099302</v>
      </c>
      <c r="K6171">
        <f>AVERAGEIF(Table1[CountryCode],Table1[[#This Row],[CountryCode]],Table1[z-score])</f>
        <v>-0.90374566436467785</v>
      </c>
      <c r="L6171" t="e">
        <f>VLOOKUP(Table1[[#This Row],[CountryCode]],[1]!Table1[#All],1,FALSE)</f>
        <v>#REF!</v>
      </c>
    </row>
    <row r="6172" spans="1:12" hidden="1" x14ac:dyDescent="0.3">
      <c r="A6172" t="s">
        <v>73</v>
      </c>
      <c r="B6172" t="s">
        <v>74</v>
      </c>
      <c r="C6172" t="s">
        <v>127</v>
      </c>
      <c r="D6172" t="s">
        <v>128</v>
      </c>
      <c r="E6172">
        <v>2014</v>
      </c>
      <c r="F6172" s="1">
        <v>1089</v>
      </c>
      <c r="G6172">
        <v>2010</v>
      </c>
      <c r="H6172">
        <f>AVERAGEIFS(Table1[value],Table1[IndicatorCode],Table1[[#This Row],[IndicatorCode]])</f>
        <v>24902.88753799392</v>
      </c>
      <c r="I6172" cm="1">
        <f t="array" ref="I6172">_xlfn.STDEV.P(IF(Table1[IndicatorCode]=Table1[[#This Row],[IndicatorCode]],Table1[value]))</f>
        <v>26324.778297809873</v>
      </c>
      <c r="J6172">
        <f>(Table1[[#This Row],[value]] - Table1[[#This Row],[mean]]) / Table1[[#This Row],[std_dev]]</f>
        <v>-0.90461873101416201</v>
      </c>
      <c r="K6172">
        <f>AVERAGEIF(Table1[CountryCode],Table1[[#This Row],[CountryCode]],Table1[z-score])</f>
        <v>-0.90374566436467785</v>
      </c>
      <c r="L6172" t="e">
        <f>VLOOKUP(Table1[[#This Row],[CountryCode]],[1]!Table1[#All],1,FALSE)</f>
        <v>#REF!</v>
      </c>
    </row>
    <row r="6173" spans="1:12" hidden="1" x14ac:dyDescent="0.3">
      <c r="A6173" t="s">
        <v>73</v>
      </c>
      <c r="B6173" t="s">
        <v>74</v>
      </c>
      <c r="C6173" t="s">
        <v>127</v>
      </c>
      <c r="D6173" t="s">
        <v>128</v>
      </c>
      <c r="E6173">
        <v>2015</v>
      </c>
      <c r="F6173" s="1">
        <v>1106</v>
      </c>
      <c r="G6173">
        <v>2010</v>
      </c>
      <c r="H6173">
        <f>AVERAGEIFS(Table1[value],Table1[IndicatorCode],Table1[[#This Row],[IndicatorCode]])</f>
        <v>24902.88753799392</v>
      </c>
      <c r="I6173" cm="1">
        <f t="array" ref="I6173">_xlfn.STDEV.P(IF(Table1[IndicatorCode]=Table1[[#This Row],[IndicatorCode]],Table1[value]))</f>
        <v>26324.778297809873</v>
      </c>
      <c r="J6173">
        <f>(Table1[[#This Row],[value]] - Table1[[#This Row],[mean]]) / Table1[[#This Row],[std_dev]]</f>
        <v>-0.90397295159647117</v>
      </c>
      <c r="K6173">
        <f>AVERAGEIF(Table1[CountryCode],Table1[[#This Row],[CountryCode]],Table1[z-score])</f>
        <v>-0.90374566436467785</v>
      </c>
      <c r="L6173" t="e">
        <f>VLOOKUP(Table1[[#This Row],[CountryCode]],[1]!Table1[#All],1,FALSE)</f>
        <v>#REF!</v>
      </c>
    </row>
    <row r="6174" spans="1:12" hidden="1" x14ac:dyDescent="0.3">
      <c r="A6174" t="s">
        <v>73</v>
      </c>
      <c r="B6174" t="s">
        <v>74</v>
      </c>
      <c r="C6174" t="s">
        <v>127</v>
      </c>
      <c r="D6174" t="s">
        <v>128</v>
      </c>
      <c r="E6174">
        <v>2016</v>
      </c>
      <c r="F6174" s="1">
        <v>1128</v>
      </c>
      <c r="G6174">
        <v>2010</v>
      </c>
      <c r="H6174">
        <f>AVERAGEIFS(Table1[value],Table1[IndicatorCode],Table1[[#This Row],[IndicatorCode]])</f>
        <v>24902.88753799392</v>
      </c>
      <c r="I6174" cm="1">
        <f t="array" ref="I6174">_xlfn.STDEV.P(IF(Table1[IndicatorCode]=Table1[[#This Row],[IndicatorCode]],Table1[value]))</f>
        <v>26324.778297809873</v>
      </c>
      <c r="J6174">
        <f>(Table1[[#This Row],[value]] - Table1[[#This Row],[mean]]) / Table1[[#This Row],[std_dev]]</f>
        <v>-0.90313723705593008</v>
      </c>
      <c r="K6174">
        <f>AVERAGEIF(Table1[CountryCode],Table1[[#This Row],[CountryCode]],Table1[z-score])</f>
        <v>-0.90374566436467785</v>
      </c>
      <c r="L6174" t="e">
        <f>VLOOKUP(Table1[[#This Row],[CountryCode]],[1]!Table1[#All],1,FALSE)</f>
        <v>#REF!</v>
      </c>
    </row>
    <row r="6175" spans="1:12" hidden="1" x14ac:dyDescent="0.3">
      <c r="A6175" t="s">
        <v>73</v>
      </c>
      <c r="B6175" t="s">
        <v>74</v>
      </c>
      <c r="C6175" t="s">
        <v>127</v>
      </c>
      <c r="D6175" t="s">
        <v>128</v>
      </c>
      <c r="E6175">
        <v>2017</v>
      </c>
      <c r="F6175" s="1">
        <v>1157</v>
      </c>
      <c r="G6175">
        <v>2020</v>
      </c>
      <c r="H6175">
        <f>AVERAGEIFS(Table1[value],Table1[IndicatorCode],Table1[[#This Row],[IndicatorCode]])</f>
        <v>24902.88753799392</v>
      </c>
      <c r="I6175" cm="1">
        <f t="array" ref="I6175">_xlfn.STDEV.P(IF(Table1[IndicatorCode]=Table1[[#This Row],[IndicatorCode]],Table1[value]))</f>
        <v>26324.778297809873</v>
      </c>
      <c r="J6175">
        <f>(Table1[[#This Row],[value]] - Table1[[#This Row],[mean]]) / Table1[[#This Row],[std_dev]]</f>
        <v>-0.90203561334339866</v>
      </c>
      <c r="K6175">
        <f>AVERAGEIF(Table1[CountryCode],Table1[[#This Row],[CountryCode]],Table1[z-score])</f>
        <v>-0.90374566436467785</v>
      </c>
      <c r="L6175" t="e">
        <f>VLOOKUP(Table1[[#This Row],[CountryCode]],[1]!Table1[#All],1,FALSE)</f>
        <v>#REF!</v>
      </c>
    </row>
    <row r="6176" spans="1:12" hidden="1" x14ac:dyDescent="0.3">
      <c r="A6176" t="s">
        <v>73</v>
      </c>
      <c r="B6176" t="s">
        <v>74</v>
      </c>
      <c r="C6176" t="s">
        <v>127</v>
      </c>
      <c r="D6176" t="s">
        <v>128</v>
      </c>
      <c r="E6176">
        <v>2018</v>
      </c>
      <c r="F6176" s="1">
        <v>1175</v>
      </c>
      <c r="G6176">
        <v>2020</v>
      </c>
      <c r="H6176">
        <f>AVERAGEIFS(Table1[value],Table1[IndicatorCode],Table1[[#This Row],[IndicatorCode]])</f>
        <v>24902.88753799392</v>
      </c>
      <c r="I6176" cm="1">
        <f t="array" ref="I6176">_xlfn.STDEV.P(IF(Table1[IndicatorCode]=Table1[[#This Row],[IndicatorCode]],Table1[value]))</f>
        <v>26324.778297809873</v>
      </c>
      <c r="J6176">
        <f>(Table1[[#This Row],[value]] - Table1[[#This Row],[mean]]) / Table1[[#This Row],[std_dev]]</f>
        <v>-0.90135184690113779</v>
      </c>
      <c r="K6176">
        <f>AVERAGEIF(Table1[CountryCode],Table1[[#This Row],[CountryCode]],Table1[z-score])</f>
        <v>-0.90374566436467785</v>
      </c>
      <c r="L6176" t="e">
        <f>VLOOKUP(Table1[[#This Row],[CountryCode]],[1]!Table1[#All],1,FALSE)</f>
        <v>#REF!</v>
      </c>
    </row>
    <row r="6177" spans="1:12" hidden="1" x14ac:dyDescent="0.3">
      <c r="A6177" t="s">
        <v>73</v>
      </c>
      <c r="B6177" t="s">
        <v>74</v>
      </c>
      <c r="C6177" t="s">
        <v>127</v>
      </c>
      <c r="D6177" t="s">
        <v>128</v>
      </c>
      <c r="E6177">
        <v>2019</v>
      </c>
      <c r="F6177" s="1">
        <v>1202</v>
      </c>
      <c r="G6177">
        <v>2020</v>
      </c>
      <c r="H6177">
        <f>AVERAGEIFS(Table1[value],Table1[IndicatorCode],Table1[[#This Row],[IndicatorCode]])</f>
        <v>24902.88753799392</v>
      </c>
      <c r="I6177" cm="1">
        <f t="array" ref="I6177">_xlfn.STDEV.P(IF(Table1[IndicatorCode]=Table1[[#This Row],[IndicatorCode]],Table1[value]))</f>
        <v>26324.778297809873</v>
      </c>
      <c r="J6177">
        <f>(Table1[[#This Row],[value]] - Table1[[#This Row],[mean]]) / Table1[[#This Row],[std_dev]]</f>
        <v>-0.90032619723774654</v>
      </c>
      <c r="K6177">
        <f>AVERAGEIF(Table1[CountryCode],Table1[[#This Row],[CountryCode]],Table1[z-score])</f>
        <v>-0.90374566436467785</v>
      </c>
      <c r="L6177" t="e">
        <f>VLOOKUP(Table1[[#This Row],[CountryCode]],[1]!Table1[#All],1,FALSE)</f>
        <v>#REF!</v>
      </c>
    </row>
    <row r="6178" spans="1:12" x14ac:dyDescent="0.3">
      <c r="A6178" t="s">
        <v>109</v>
      </c>
      <c r="B6178" t="s">
        <v>110</v>
      </c>
      <c r="C6178" t="s">
        <v>127</v>
      </c>
      <c r="D6178" t="s">
        <v>128</v>
      </c>
      <c r="E6178">
        <v>2020</v>
      </c>
      <c r="F6178" s="1">
        <v>22812</v>
      </c>
      <c r="G6178">
        <v>2020</v>
      </c>
      <c r="H6178">
        <f>AVERAGEIFS(Table1[value],Table1[IndicatorCode],Table1[[#This Row],[IndicatorCode]])</f>
        <v>24902.88753799392</v>
      </c>
      <c r="I6178" cm="1">
        <f t="array" ref="I6178">_xlfn.STDEV.P(IF(Table1[IndicatorCode]=Table1[[#This Row],[IndicatorCode]],Table1[value]))</f>
        <v>26324.778297809873</v>
      </c>
      <c r="J6178">
        <f>(Table1[[#This Row],[value]] - Table1[[#This Row],[mean]]) / Table1[[#This Row],[std_dev]]</f>
        <v>-7.9426596278984588E-2</v>
      </c>
      <c r="K6178">
        <f>AVERAGEIF(Table1[CountryCode],Table1[[#This Row],[CountryCode]],Table1[z-score])</f>
        <v>5.4192965202863402E-2</v>
      </c>
    </row>
    <row r="6179" spans="1:12" hidden="1" x14ac:dyDescent="0.3">
      <c r="A6179" t="s">
        <v>73</v>
      </c>
      <c r="B6179" t="s">
        <v>74</v>
      </c>
      <c r="C6179" t="s">
        <v>127</v>
      </c>
      <c r="D6179" t="s">
        <v>128</v>
      </c>
      <c r="E6179">
        <v>2021</v>
      </c>
      <c r="F6179" s="1">
        <v>1133</v>
      </c>
      <c r="G6179">
        <v>2020</v>
      </c>
      <c r="H6179">
        <f>AVERAGEIFS(Table1[value],Table1[IndicatorCode],Table1[[#This Row],[IndicatorCode]])</f>
        <v>24902.88753799392</v>
      </c>
      <c r="I6179" cm="1">
        <f t="array" ref="I6179">_xlfn.STDEV.P(IF(Table1[IndicatorCode]=Table1[[#This Row],[IndicatorCode]],Table1[value]))</f>
        <v>26324.778297809873</v>
      </c>
      <c r="J6179">
        <f>(Table1[[#This Row],[value]] - Table1[[#This Row],[mean]]) / Table1[[#This Row],[std_dev]]</f>
        <v>-0.90294730193307993</v>
      </c>
      <c r="K6179">
        <f>AVERAGEIF(Table1[CountryCode],Table1[[#This Row],[CountryCode]],Table1[z-score])</f>
        <v>-0.90374566436467785</v>
      </c>
      <c r="L6179" t="e">
        <f>VLOOKUP(Table1[[#This Row],[CountryCode]],[1]!Table1[#All],1,FALSE)</f>
        <v>#REF!</v>
      </c>
    </row>
    <row r="6180" spans="1:12" hidden="1" x14ac:dyDescent="0.3">
      <c r="A6180" t="s">
        <v>73</v>
      </c>
      <c r="B6180" t="s">
        <v>74</v>
      </c>
      <c r="C6180" t="s">
        <v>127</v>
      </c>
      <c r="D6180" t="s">
        <v>128</v>
      </c>
      <c r="E6180">
        <v>2022</v>
      </c>
      <c r="F6180" s="1">
        <v>1212</v>
      </c>
      <c r="G6180">
        <v>2010</v>
      </c>
      <c r="H6180">
        <f>AVERAGEIFS(Table1[value],Table1[IndicatorCode],Table1[[#This Row],[IndicatorCode]])</f>
        <v>24902.88753799392</v>
      </c>
      <c r="I6180" cm="1">
        <f t="array" ref="I6180">_xlfn.STDEV.P(IF(Table1[IndicatorCode]=Table1[[#This Row],[IndicatorCode]],Table1[value]))</f>
        <v>26324.778297809873</v>
      </c>
      <c r="J6180">
        <f>(Table1[[#This Row],[value]] - Table1[[#This Row],[mean]]) / Table1[[#This Row],[std_dev]]</f>
        <v>-0.89994632699204602</v>
      </c>
      <c r="K6180">
        <f>AVERAGEIF(Table1[CountryCode],Table1[[#This Row],[CountryCode]],Table1[z-score])</f>
        <v>-0.90374566436467785</v>
      </c>
      <c r="L6180" t="e">
        <f>VLOOKUP(Table1[[#This Row],[CountryCode]],[1]!Table1[#All],1,FALSE)</f>
        <v>#REF!</v>
      </c>
    </row>
    <row r="6181" spans="1:12" hidden="1" x14ac:dyDescent="0.3">
      <c r="A6181" t="s">
        <v>73</v>
      </c>
      <c r="B6181" t="s">
        <v>74</v>
      </c>
      <c r="C6181" t="s">
        <v>127</v>
      </c>
      <c r="D6181" t="s">
        <v>128</v>
      </c>
      <c r="E6181">
        <v>2023</v>
      </c>
      <c r="F6181" s="1">
        <v>1298</v>
      </c>
      <c r="G6181">
        <v>1990</v>
      </c>
      <c r="H6181">
        <f>AVERAGEIFS(Table1[value],Table1[IndicatorCode],Table1[[#This Row],[IndicatorCode]])</f>
        <v>24902.88753799392</v>
      </c>
      <c r="I6181" cm="1">
        <f t="array" ref="I6181">_xlfn.STDEV.P(IF(Table1[IndicatorCode]=Table1[[#This Row],[IndicatorCode]],Table1[value]))</f>
        <v>26324.778297809873</v>
      </c>
      <c r="J6181">
        <f>(Table1[[#This Row],[value]] - Table1[[#This Row],[mean]]) / Table1[[#This Row],[std_dev]]</f>
        <v>-0.89667944287902179</v>
      </c>
      <c r="K6181">
        <f>AVERAGEIF(Table1[CountryCode],Table1[[#This Row],[CountryCode]],Table1[z-score])</f>
        <v>-0.90374566436467785</v>
      </c>
      <c r="L6181" t="e">
        <f>VLOOKUP(Table1[[#This Row],[CountryCode]],[1]!Table1[#All],1,FALSE)</f>
        <v>#REF!</v>
      </c>
    </row>
    <row r="6182" spans="1:12" hidden="1" x14ac:dyDescent="0.3">
      <c r="A6182" t="s">
        <v>73</v>
      </c>
      <c r="B6182" t="s">
        <v>74</v>
      </c>
      <c r="C6182" t="s">
        <v>127</v>
      </c>
      <c r="D6182" t="s">
        <v>128</v>
      </c>
      <c r="E6182">
        <v>2024</v>
      </c>
      <c r="F6182" s="1">
        <v>1392</v>
      </c>
      <c r="G6182">
        <v>1990</v>
      </c>
      <c r="H6182">
        <f>AVERAGEIFS(Table1[value],Table1[IndicatorCode],Table1[[#This Row],[IndicatorCode]])</f>
        <v>24902.88753799392</v>
      </c>
      <c r="I6182" cm="1">
        <f t="array" ref="I6182">_xlfn.STDEV.P(IF(Table1[IndicatorCode]=Table1[[#This Row],[IndicatorCode]],Table1[value]))</f>
        <v>26324.778297809873</v>
      </c>
      <c r="J6182">
        <f>(Table1[[#This Row],[value]] - Table1[[#This Row],[mean]]) / Table1[[#This Row],[std_dev]]</f>
        <v>-0.89310866256943711</v>
      </c>
      <c r="K6182">
        <f>AVERAGEIF(Table1[CountryCode],Table1[[#This Row],[CountryCode]],Table1[z-score])</f>
        <v>-0.90374566436467785</v>
      </c>
      <c r="L6182" t="e">
        <f>VLOOKUP(Table1[[#This Row],[CountryCode]],[1]!Table1[#All],1,FALSE)</f>
        <v>#REF!</v>
      </c>
    </row>
    <row r="6183" spans="1:12" hidden="1" x14ac:dyDescent="0.3">
      <c r="A6183" t="s">
        <v>75</v>
      </c>
      <c r="B6183" t="s">
        <v>76</v>
      </c>
      <c r="C6183" t="s">
        <v>127</v>
      </c>
      <c r="D6183" t="s">
        <v>128</v>
      </c>
      <c r="E6183">
        <v>2015</v>
      </c>
      <c r="F6183" s="1">
        <v>167187</v>
      </c>
      <c r="G6183">
        <v>1990</v>
      </c>
      <c r="H6183">
        <f>AVERAGEIFS(Table1[value],Table1[IndicatorCode],Table1[[#This Row],[IndicatorCode]])</f>
        <v>24902.88753799392</v>
      </c>
      <c r="I6183" cm="1">
        <f t="array" ref="I6183">_xlfn.STDEV.P(IF(Table1[IndicatorCode]=Table1[[#This Row],[IndicatorCode]],Table1[value]))</f>
        <v>26324.778297809873</v>
      </c>
      <c r="J6183">
        <f>(Table1[[#This Row],[value]] - Table1[[#This Row],[mean]]) / Table1[[#This Row],[std_dev]]</f>
        <v>5.4049500760218594</v>
      </c>
      <c r="K6183">
        <f>AVERAGEIF(Table1[CountryCode],Table1[[#This Row],[CountryCode]],Table1[z-score])</f>
        <v>0.62960664015735945</v>
      </c>
      <c r="L6183" t="e">
        <f>VLOOKUP(Table1[[#This Row],[CountryCode]],[1]!Table1[#All],1,FALSE)</f>
        <v>#REF!</v>
      </c>
    </row>
    <row r="6184" spans="1:12" hidden="1" x14ac:dyDescent="0.3">
      <c r="A6184" t="s">
        <v>77</v>
      </c>
      <c r="B6184" t="s">
        <v>78</v>
      </c>
      <c r="C6184" t="s">
        <v>127</v>
      </c>
      <c r="D6184" t="s">
        <v>128</v>
      </c>
      <c r="E6184">
        <v>1990</v>
      </c>
      <c r="F6184" s="1">
        <v>8333</v>
      </c>
      <c r="G6184">
        <v>1990</v>
      </c>
      <c r="H6184">
        <f>AVERAGEIFS(Table1[value],Table1[IndicatorCode],Table1[[#This Row],[IndicatorCode]])</f>
        <v>24902.88753799392</v>
      </c>
      <c r="I6184" cm="1">
        <f t="array" ref="I6184">_xlfn.STDEV.P(IF(Table1[IndicatorCode]=Table1[[#This Row],[IndicatorCode]],Table1[value]))</f>
        <v>26324.778297809873</v>
      </c>
      <c r="J6184">
        <f>(Table1[[#This Row],[value]] - Table1[[#This Row],[mean]]) / Table1[[#This Row],[std_dev]]</f>
        <v>-0.62944072502872606</v>
      </c>
      <c r="K6184">
        <f>AVERAGEIF(Table1[CountryCode],Table1[[#This Row],[CountryCode]],Table1[z-score])</f>
        <v>-0.22998905081420598</v>
      </c>
      <c r="L6184" t="e">
        <f>VLOOKUP(Table1[[#This Row],[CountryCode]],[1]!Table1[#All],1,FALSE)</f>
        <v>#REF!</v>
      </c>
    </row>
    <row r="6185" spans="1:12" hidden="1" x14ac:dyDescent="0.3">
      <c r="A6185" t="s">
        <v>77</v>
      </c>
      <c r="B6185" t="s">
        <v>78</v>
      </c>
      <c r="C6185" t="s">
        <v>127</v>
      </c>
      <c r="D6185" t="s">
        <v>128</v>
      </c>
      <c r="E6185">
        <v>1991</v>
      </c>
      <c r="F6185" s="1">
        <v>7847</v>
      </c>
      <c r="G6185">
        <v>1990</v>
      </c>
      <c r="H6185">
        <f>AVERAGEIFS(Table1[value],Table1[IndicatorCode],Table1[[#This Row],[IndicatorCode]])</f>
        <v>24902.88753799392</v>
      </c>
      <c r="I6185" cm="1">
        <f t="array" ref="I6185">_xlfn.STDEV.P(IF(Table1[IndicatorCode]=Table1[[#This Row],[IndicatorCode]],Table1[value]))</f>
        <v>26324.778297809873</v>
      </c>
      <c r="J6185">
        <f>(Table1[[#This Row],[value]] - Table1[[#This Row],[mean]]) / Table1[[#This Row],[std_dev]]</f>
        <v>-0.64790241896976997</v>
      </c>
      <c r="K6185">
        <f>AVERAGEIF(Table1[CountryCode],Table1[[#This Row],[CountryCode]],Table1[z-score])</f>
        <v>-0.22998905081420598</v>
      </c>
      <c r="L6185" t="e">
        <f>VLOOKUP(Table1[[#This Row],[CountryCode]],[1]!Table1[#All],1,FALSE)</f>
        <v>#REF!</v>
      </c>
    </row>
    <row r="6186" spans="1:12" hidden="1" x14ac:dyDescent="0.3">
      <c r="A6186" t="s">
        <v>77</v>
      </c>
      <c r="B6186" t="s">
        <v>78</v>
      </c>
      <c r="C6186" t="s">
        <v>127</v>
      </c>
      <c r="D6186" t="s">
        <v>128</v>
      </c>
      <c r="E6186">
        <v>1992</v>
      </c>
      <c r="F6186" s="1">
        <v>6186</v>
      </c>
      <c r="G6186">
        <v>1990</v>
      </c>
      <c r="H6186">
        <f>AVERAGEIFS(Table1[value],Table1[IndicatorCode],Table1[[#This Row],[IndicatorCode]])</f>
        <v>24902.88753799392</v>
      </c>
      <c r="I6186" cm="1">
        <f t="array" ref="I6186">_xlfn.STDEV.P(IF(Table1[IndicatorCode]=Table1[[#This Row],[IndicatorCode]],Table1[value]))</f>
        <v>26324.778297809873</v>
      </c>
      <c r="J6186">
        <f>(Table1[[#This Row],[value]] - Table1[[#This Row],[mean]]) / Table1[[#This Row],[std_dev]]</f>
        <v>-0.71099886678062163</v>
      </c>
      <c r="K6186">
        <f>AVERAGEIF(Table1[CountryCode],Table1[[#This Row],[CountryCode]],Table1[z-score])</f>
        <v>-0.22998905081420598</v>
      </c>
      <c r="L6186" t="e">
        <f>VLOOKUP(Table1[[#This Row],[CountryCode]],[1]!Table1[#All],1,FALSE)</f>
        <v>#REF!</v>
      </c>
    </row>
    <row r="6187" spans="1:12" hidden="1" x14ac:dyDescent="0.3">
      <c r="A6187" t="s">
        <v>77</v>
      </c>
      <c r="B6187" t="s">
        <v>78</v>
      </c>
      <c r="C6187" t="s">
        <v>127</v>
      </c>
      <c r="D6187" t="s">
        <v>128</v>
      </c>
      <c r="E6187">
        <v>1993</v>
      </c>
      <c r="F6187" s="1">
        <v>5206</v>
      </c>
      <c r="G6187">
        <v>1990</v>
      </c>
      <c r="H6187">
        <f>AVERAGEIFS(Table1[value],Table1[IndicatorCode],Table1[[#This Row],[IndicatorCode]])</f>
        <v>24902.88753799392</v>
      </c>
      <c r="I6187" cm="1">
        <f t="array" ref="I6187">_xlfn.STDEV.P(IF(Table1[IndicatorCode]=Table1[[#This Row],[IndicatorCode]],Table1[value]))</f>
        <v>26324.778297809873</v>
      </c>
      <c r="J6187">
        <f>(Table1[[#This Row],[value]] - Table1[[#This Row],[mean]]) / Table1[[#This Row],[std_dev]]</f>
        <v>-0.74822615085926969</v>
      </c>
      <c r="K6187">
        <f>AVERAGEIF(Table1[CountryCode],Table1[[#This Row],[CountryCode]],Table1[z-score])</f>
        <v>-0.22998905081420598</v>
      </c>
      <c r="L6187" t="e">
        <f>VLOOKUP(Table1[[#This Row],[CountryCode]],[1]!Table1[#All],1,FALSE)</f>
        <v>#REF!</v>
      </c>
    </row>
    <row r="6188" spans="1:12" hidden="1" x14ac:dyDescent="0.3">
      <c r="A6188" t="s">
        <v>77</v>
      </c>
      <c r="B6188" t="s">
        <v>78</v>
      </c>
      <c r="C6188" t="s">
        <v>127</v>
      </c>
      <c r="D6188" t="s">
        <v>128</v>
      </c>
      <c r="E6188">
        <v>1994</v>
      </c>
      <c r="F6188" s="1">
        <v>4731</v>
      </c>
      <c r="G6188">
        <v>1990</v>
      </c>
      <c r="H6188">
        <f>AVERAGEIFS(Table1[value],Table1[IndicatorCode],Table1[[#This Row],[IndicatorCode]])</f>
        <v>24902.88753799392</v>
      </c>
      <c r="I6188" cm="1">
        <f t="array" ref="I6188">_xlfn.STDEV.P(IF(Table1[IndicatorCode]=Table1[[#This Row],[IndicatorCode]],Table1[value]))</f>
        <v>26324.778297809873</v>
      </c>
      <c r="J6188">
        <f>(Table1[[#This Row],[value]] - Table1[[#This Row],[mean]]) / Table1[[#This Row],[std_dev]]</f>
        <v>-0.76626998753004305</v>
      </c>
      <c r="K6188">
        <f>AVERAGEIF(Table1[CountryCode],Table1[[#This Row],[CountryCode]],Table1[z-score])</f>
        <v>-0.22998905081420598</v>
      </c>
      <c r="L6188" t="e">
        <f>VLOOKUP(Table1[[#This Row],[CountryCode]],[1]!Table1[#All],1,FALSE)</f>
        <v>#REF!</v>
      </c>
    </row>
    <row r="6189" spans="1:12" hidden="1" x14ac:dyDescent="0.3">
      <c r="A6189" t="s">
        <v>77</v>
      </c>
      <c r="B6189" t="s">
        <v>78</v>
      </c>
      <c r="C6189" t="s">
        <v>127</v>
      </c>
      <c r="D6189" t="s">
        <v>128</v>
      </c>
      <c r="E6189">
        <v>1995</v>
      </c>
      <c r="F6189" s="1">
        <v>4924</v>
      </c>
      <c r="G6189">
        <v>1990</v>
      </c>
      <c r="H6189">
        <f>AVERAGEIFS(Table1[value],Table1[IndicatorCode],Table1[[#This Row],[IndicatorCode]])</f>
        <v>24902.88753799392</v>
      </c>
      <c r="I6189" cm="1">
        <f t="array" ref="I6189">_xlfn.STDEV.P(IF(Table1[IndicatorCode]=Table1[[#This Row],[IndicatorCode]],Table1[value]))</f>
        <v>26324.778297809873</v>
      </c>
      <c r="J6189">
        <f>(Table1[[#This Row],[value]] - Table1[[#This Row],[mean]]) / Table1[[#This Row],[std_dev]]</f>
        <v>-0.75893849178802364</v>
      </c>
      <c r="K6189">
        <f>AVERAGEIF(Table1[CountryCode],Table1[[#This Row],[CountryCode]],Table1[z-score])</f>
        <v>-0.22998905081420598</v>
      </c>
      <c r="L6189" t="e">
        <f>VLOOKUP(Table1[[#This Row],[CountryCode]],[1]!Table1[#All],1,FALSE)</f>
        <v>#REF!</v>
      </c>
    </row>
    <row r="6190" spans="1:12" hidden="1" x14ac:dyDescent="0.3">
      <c r="A6190" t="s">
        <v>77</v>
      </c>
      <c r="B6190" t="s">
        <v>78</v>
      </c>
      <c r="C6190" t="s">
        <v>127</v>
      </c>
      <c r="D6190" t="s">
        <v>128</v>
      </c>
      <c r="E6190">
        <v>1996</v>
      </c>
      <c r="F6190" s="1">
        <v>5211</v>
      </c>
      <c r="G6190">
        <v>1990</v>
      </c>
      <c r="H6190">
        <f>AVERAGEIFS(Table1[value],Table1[IndicatorCode],Table1[[#This Row],[IndicatorCode]])</f>
        <v>24902.88753799392</v>
      </c>
      <c r="I6190" cm="1">
        <f t="array" ref="I6190">_xlfn.STDEV.P(IF(Table1[IndicatorCode]=Table1[[#This Row],[IndicatorCode]],Table1[value]))</f>
        <v>26324.778297809873</v>
      </c>
      <c r="J6190">
        <f>(Table1[[#This Row],[value]] - Table1[[#This Row],[mean]]) / Table1[[#This Row],[std_dev]]</f>
        <v>-0.74803621573641954</v>
      </c>
      <c r="K6190">
        <f>AVERAGEIF(Table1[CountryCode],Table1[[#This Row],[CountryCode]],Table1[z-score])</f>
        <v>-0.22998905081420598</v>
      </c>
      <c r="L6190" t="e">
        <f>VLOOKUP(Table1[[#This Row],[CountryCode]],[1]!Table1[#All],1,FALSE)</f>
        <v>#REF!</v>
      </c>
    </row>
    <row r="6191" spans="1:12" hidden="1" x14ac:dyDescent="0.3">
      <c r="A6191" t="s">
        <v>77</v>
      </c>
      <c r="B6191" t="s">
        <v>78</v>
      </c>
      <c r="C6191" t="s">
        <v>127</v>
      </c>
      <c r="D6191" t="s">
        <v>128</v>
      </c>
      <c r="E6191">
        <v>1997</v>
      </c>
      <c r="F6191" s="1">
        <v>5685</v>
      </c>
      <c r="G6191">
        <v>2000</v>
      </c>
      <c r="H6191">
        <f>AVERAGEIFS(Table1[value],Table1[IndicatorCode],Table1[[#This Row],[IndicatorCode]])</f>
        <v>24902.88753799392</v>
      </c>
      <c r="I6191" cm="1">
        <f t="array" ref="I6191">_xlfn.STDEV.P(IF(Table1[IndicatorCode]=Table1[[#This Row],[IndicatorCode]],Table1[value]))</f>
        <v>26324.778297809873</v>
      </c>
      <c r="J6191">
        <f>(Table1[[#This Row],[value]] - Table1[[#This Row],[mean]]) / Table1[[#This Row],[std_dev]]</f>
        <v>-0.73003036609021621</v>
      </c>
      <c r="K6191">
        <f>AVERAGEIF(Table1[CountryCode],Table1[[#This Row],[CountryCode]],Table1[z-score])</f>
        <v>-0.22998905081420598</v>
      </c>
      <c r="L6191" t="e">
        <f>VLOOKUP(Table1[[#This Row],[CountryCode]],[1]!Table1[#All],1,FALSE)</f>
        <v>#REF!</v>
      </c>
    </row>
    <row r="6192" spans="1:12" hidden="1" x14ac:dyDescent="0.3">
      <c r="A6192" t="s">
        <v>77</v>
      </c>
      <c r="B6192" t="s">
        <v>78</v>
      </c>
      <c r="C6192" t="s">
        <v>127</v>
      </c>
      <c r="D6192" t="s">
        <v>128</v>
      </c>
      <c r="E6192">
        <v>1998</v>
      </c>
      <c r="F6192" s="1">
        <v>6154</v>
      </c>
      <c r="G6192">
        <v>2000</v>
      </c>
      <c r="H6192">
        <f>AVERAGEIFS(Table1[value],Table1[IndicatorCode],Table1[[#This Row],[IndicatorCode]])</f>
        <v>24902.88753799392</v>
      </c>
      <c r="I6192" cm="1">
        <f t="array" ref="I6192">_xlfn.STDEV.P(IF(Table1[IndicatorCode]=Table1[[#This Row],[IndicatorCode]],Table1[value]))</f>
        <v>26324.778297809873</v>
      </c>
      <c r="J6192">
        <f>(Table1[[#This Row],[value]] - Table1[[#This Row],[mean]]) / Table1[[#This Row],[std_dev]]</f>
        <v>-0.71221445156686314</v>
      </c>
      <c r="K6192">
        <f>AVERAGEIF(Table1[CountryCode],Table1[[#This Row],[CountryCode]],Table1[z-score])</f>
        <v>-0.22998905081420598</v>
      </c>
      <c r="L6192" t="e">
        <f>VLOOKUP(Table1[[#This Row],[CountryCode]],[1]!Table1[#All],1,FALSE)</f>
        <v>#REF!</v>
      </c>
    </row>
    <row r="6193" spans="1:12" hidden="1" x14ac:dyDescent="0.3">
      <c r="A6193" t="s">
        <v>77</v>
      </c>
      <c r="B6193" t="s">
        <v>78</v>
      </c>
      <c r="C6193" t="s">
        <v>127</v>
      </c>
      <c r="D6193" t="s">
        <v>128</v>
      </c>
      <c r="E6193">
        <v>1999</v>
      </c>
      <c r="F6193" s="1">
        <v>6130</v>
      </c>
      <c r="G6193">
        <v>2000</v>
      </c>
      <c r="H6193">
        <f>AVERAGEIFS(Table1[value],Table1[IndicatorCode],Table1[[#This Row],[IndicatorCode]])</f>
        <v>24902.88753799392</v>
      </c>
      <c r="I6193" cm="1">
        <f t="array" ref="I6193">_xlfn.STDEV.P(IF(Table1[IndicatorCode]=Table1[[#This Row],[IndicatorCode]],Table1[value]))</f>
        <v>26324.778297809873</v>
      </c>
      <c r="J6193">
        <f>(Table1[[#This Row],[value]] - Table1[[#This Row],[mean]]) / Table1[[#This Row],[std_dev]]</f>
        <v>-0.7131261401565443</v>
      </c>
      <c r="K6193">
        <f>AVERAGEIF(Table1[CountryCode],Table1[[#This Row],[CountryCode]],Table1[z-score])</f>
        <v>-0.22998905081420598</v>
      </c>
      <c r="L6193" t="e">
        <f>VLOOKUP(Table1[[#This Row],[CountryCode]],[1]!Table1[#All],1,FALSE)</f>
        <v>#REF!</v>
      </c>
    </row>
    <row r="6194" spans="1:12" hidden="1" x14ac:dyDescent="0.3">
      <c r="A6194" t="s">
        <v>77</v>
      </c>
      <c r="B6194" t="s">
        <v>78</v>
      </c>
      <c r="C6194" t="s">
        <v>127</v>
      </c>
      <c r="D6194" t="s">
        <v>128</v>
      </c>
      <c r="E6194">
        <v>2000</v>
      </c>
      <c r="F6194" s="1">
        <v>6384</v>
      </c>
      <c r="G6194">
        <v>2000</v>
      </c>
      <c r="H6194">
        <f>AVERAGEIFS(Table1[value],Table1[IndicatorCode],Table1[[#This Row],[IndicatorCode]])</f>
        <v>24902.88753799392</v>
      </c>
      <c r="I6194" cm="1">
        <f t="array" ref="I6194">_xlfn.STDEV.P(IF(Table1[IndicatorCode]=Table1[[#This Row],[IndicatorCode]],Table1[value]))</f>
        <v>26324.778297809873</v>
      </c>
      <c r="J6194">
        <f>(Table1[[#This Row],[value]] - Table1[[#This Row],[mean]]) / Table1[[#This Row],[std_dev]]</f>
        <v>-0.70347743591575185</v>
      </c>
      <c r="K6194">
        <f>AVERAGEIF(Table1[CountryCode],Table1[[#This Row],[CountryCode]],Table1[z-score])</f>
        <v>-0.22998905081420598</v>
      </c>
      <c r="L6194" t="e">
        <f>VLOOKUP(Table1[[#This Row],[CountryCode]],[1]!Table1[#All],1,FALSE)</f>
        <v>#REF!</v>
      </c>
    </row>
    <row r="6195" spans="1:12" hidden="1" x14ac:dyDescent="0.3">
      <c r="A6195" t="s">
        <v>77</v>
      </c>
      <c r="B6195" t="s">
        <v>78</v>
      </c>
      <c r="C6195" t="s">
        <v>127</v>
      </c>
      <c r="D6195" t="s">
        <v>128</v>
      </c>
      <c r="E6195">
        <v>2001</v>
      </c>
      <c r="F6195" s="1">
        <v>6855</v>
      </c>
      <c r="G6195">
        <v>2000</v>
      </c>
      <c r="H6195">
        <f>AVERAGEIFS(Table1[value],Table1[IndicatorCode],Table1[[#This Row],[IndicatorCode]])</f>
        <v>24902.88753799392</v>
      </c>
      <c r="I6195" cm="1">
        <f t="array" ref="I6195">_xlfn.STDEV.P(IF(Table1[IndicatorCode]=Table1[[#This Row],[IndicatorCode]],Table1[value]))</f>
        <v>26324.778297809873</v>
      </c>
      <c r="J6195">
        <f>(Table1[[#This Row],[value]] - Table1[[#This Row],[mean]]) / Table1[[#This Row],[std_dev]]</f>
        <v>-0.68558554734325872</v>
      </c>
      <c r="K6195">
        <f>AVERAGEIF(Table1[CountryCode],Table1[[#This Row],[CountryCode]],Table1[z-score])</f>
        <v>-0.22998905081420598</v>
      </c>
      <c r="L6195" t="e">
        <f>VLOOKUP(Table1[[#This Row],[CountryCode]],[1]!Table1[#All],1,FALSE)</f>
        <v>#REF!</v>
      </c>
    </row>
    <row r="6196" spans="1:12" hidden="1" x14ac:dyDescent="0.3">
      <c r="A6196" t="s">
        <v>77</v>
      </c>
      <c r="B6196" t="s">
        <v>78</v>
      </c>
      <c r="C6196" t="s">
        <v>127</v>
      </c>
      <c r="D6196" t="s">
        <v>128</v>
      </c>
      <c r="E6196">
        <v>2002</v>
      </c>
      <c r="F6196" s="1">
        <v>7374</v>
      </c>
      <c r="G6196">
        <v>2000</v>
      </c>
      <c r="H6196">
        <f>AVERAGEIFS(Table1[value],Table1[IndicatorCode],Table1[[#This Row],[IndicatorCode]])</f>
        <v>24902.88753799392</v>
      </c>
      <c r="I6196" cm="1">
        <f t="array" ref="I6196">_xlfn.STDEV.P(IF(Table1[IndicatorCode]=Table1[[#This Row],[IndicatorCode]],Table1[value]))</f>
        <v>26324.778297809873</v>
      </c>
      <c r="J6196">
        <f>(Table1[[#This Row],[value]] - Table1[[#This Row],[mean]]) / Table1[[#This Row],[std_dev]]</f>
        <v>-0.66587028159140316</v>
      </c>
      <c r="K6196">
        <f>AVERAGEIF(Table1[CountryCode],Table1[[#This Row],[CountryCode]],Table1[z-score])</f>
        <v>-0.22998905081420598</v>
      </c>
      <c r="L6196" t="e">
        <f>VLOOKUP(Table1[[#This Row],[CountryCode]],[1]!Table1[#All],1,FALSE)</f>
        <v>#REF!</v>
      </c>
    </row>
    <row r="6197" spans="1:12" hidden="1" x14ac:dyDescent="0.3">
      <c r="A6197" t="s">
        <v>77</v>
      </c>
      <c r="B6197" t="s">
        <v>78</v>
      </c>
      <c r="C6197" t="s">
        <v>127</v>
      </c>
      <c r="D6197" t="s">
        <v>128</v>
      </c>
      <c r="E6197">
        <v>2003</v>
      </c>
      <c r="F6197" s="1">
        <v>8219</v>
      </c>
      <c r="G6197">
        <v>2000</v>
      </c>
      <c r="H6197">
        <f>AVERAGEIFS(Table1[value],Table1[IndicatorCode],Table1[[#This Row],[IndicatorCode]])</f>
        <v>24902.88753799392</v>
      </c>
      <c r="I6197" cm="1">
        <f t="array" ref="I6197">_xlfn.STDEV.P(IF(Table1[IndicatorCode]=Table1[[#This Row],[IndicatorCode]],Table1[value]))</f>
        <v>26324.778297809873</v>
      </c>
      <c r="J6197">
        <f>(Table1[[#This Row],[value]] - Table1[[#This Row],[mean]]) / Table1[[#This Row],[std_dev]]</f>
        <v>-0.63377124582971167</v>
      </c>
      <c r="K6197">
        <f>AVERAGEIF(Table1[CountryCode],Table1[[#This Row],[CountryCode]],Table1[z-score])</f>
        <v>-0.22998905081420598</v>
      </c>
      <c r="L6197" t="e">
        <f>VLOOKUP(Table1[[#This Row],[CountryCode]],[1]!Table1[#All],1,FALSE)</f>
        <v>#REF!</v>
      </c>
    </row>
    <row r="6198" spans="1:12" hidden="1" x14ac:dyDescent="0.3">
      <c r="A6198" t="s">
        <v>77</v>
      </c>
      <c r="B6198" t="s">
        <v>78</v>
      </c>
      <c r="C6198" t="s">
        <v>127</v>
      </c>
      <c r="D6198" t="s">
        <v>128</v>
      </c>
      <c r="E6198">
        <v>2004</v>
      </c>
      <c r="F6198" s="1">
        <v>8852</v>
      </c>
      <c r="G6198">
        <v>2000</v>
      </c>
      <c r="H6198">
        <f>AVERAGEIFS(Table1[value],Table1[IndicatorCode],Table1[[#This Row],[IndicatorCode]])</f>
        <v>24902.88753799392</v>
      </c>
      <c r="I6198" cm="1">
        <f t="array" ref="I6198">_xlfn.STDEV.P(IF(Table1[IndicatorCode]=Table1[[#This Row],[IndicatorCode]],Table1[value]))</f>
        <v>26324.778297809873</v>
      </c>
      <c r="J6198">
        <f>(Table1[[#This Row],[value]] - Table1[[#This Row],[mean]]) / Table1[[#This Row],[std_dev]]</f>
        <v>-0.60972545927687061</v>
      </c>
      <c r="K6198">
        <f>AVERAGEIF(Table1[CountryCode],Table1[[#This Row],[CountryCode]],Table1[z-score])</f>
        <v>-0.22998905081420598</v>
      </c>
      <c r="L6198" t="e">
        <f>VLOOKUP(Table1[[#This Row],[CountryCode]],[1]!Table1[#All],1,FALSE)</f>
        <v>#REF!</v>
      </c>
    </row>
    <row r="6199" spans="1:12" hidden="1" x14ac:dyDescent="0.3">
      <c r="A6199" t="s">
        <v>77</v>
      </c>
      <c r="B6199" t="s">
        <v>78</v>
      </c>
      <c r="C6199" t="s">
        <v>127</v>
      </c>
      <c r="D6199" t="s">
        <v>128</v>
      </c>
      <c r="E6199">
        <v>2005</v>
      </c>
      <c r="F6199" s="1">
        <v>9693</v>
      </c>
      <c r="G6199">
        <v>2000</v>
      </c>
      <c r="H6199">
        <f>AVERAGEIFS(Table1[value],Table1[IndicatorCode],Table1[[#This Row],[IndicatorCode]])</f>
        <v>24902.88753799392</v>
      </c>
      <c r="I6199" cm="1">
        <f t="array" ref="I6199">_xlfn.STDEV.P(IF(Table1[IndicatorCode]=Table1[[#This Row],[IndicatorCode]],Table1[value]))</f>
        <v>26324.778297809873</v>
      </c>
      <c r="J6199">
        <f>(Table1[[#This Row],[value]] - Table1[[#This Row],[mean]]) / Table1[[#This Row],[std_dev]]</f>
        <v>-0.57777837161345924</v>
      </c>
      <c r="K6199">
        <f>AVERAGEIF(Table1[CountryCode],Table1[[#This Row],[CountryCode]],Table1[z-score])</f>
        <v>-0.22998905081420598</v>
      </c>
      <c r="L6199" t="e">
        <f>VLOOKUP(Table1[[#This Row],[CountryCode]],[1]!Table1[#All],1,FALSE)</f>
        <v>#REF!</v>
      </c>
    </row>
    <row r="6200" spans="1:12" hidden="1" x14ac:dyDescent="0.3">
      <c r="A6200" t="s">
        <v>77</v>
      </c>
      <c r="B6200" t="s">
        <v>78</v>
      </c>
      <c r="C6200" t="s">
        <v>127</v>
      </c>
      <c r="D6200" t="s">
        <v>128</v>
      </c>
      <c r="E6200">
        <v>2006</v>
      </c>
      <c r="F6200" s="1">
        <v>10577</v>
      </c>
      <c r="G6200">
        <v>2000</v>
      </c>
      <c r="H6200">
        <f>AVERAGEIFS(Table1[value],Table1[IndicatorCode],Table1[[#This Row],[IndicatorCode]])</f>
        <v>24902.88753799392</v>
      </c>
      <c r="I6200" cm="1">
        <f t="array" ref="I6200">_xlfn.STDEV.P(IF(Table1[IndicatorCode]=Table1[[#This Row],[IndicatorCode]],Table1[value]))</f>
        <v>26324.778297809873</v>
      </c>
      <c r="J6200">
        <f>(Table1[[#This Row],[value]] - Table1[[#This Row],[mean]]) / Table1[[#This Row],[std_dev]]</f>
        <v>-0.54419784189353582</v>
      </c>
      <c r="K6200">
        <f>AVERAGEIF(Table1[CountryCode],Table1[[#This Row],[CountryCode]],Table1[z-score])</f>
        <v>-0.22998905081420598</v>
      </c>
      <c r="L6200" t="e">
        <f>VLOOKUP(Table1[[#This Row],[CountryCode]],[1]!Table1[#All],1,FALSE)</f>
        <v>#REF!</v>
      </c>
    </row>
    <row r="6201" spans="1:12" hidden="1" x14ac:dyDescent="0.3">
      <c r="A6201" t="s">
        <v>77</v>
      </c>
      <c r="B6201" t="s">
        <v>78</v>
      </c>
      <c r="C6201" t="s">
        <v>127</v>
      </c>
      <c r="D6201" t="s">
        <v>128</v>
      </c>
      <c r="E6201">
        <v>2007</v>
      </c>
      <c r="F6201" s="1">
        <v>11889</v>
      </c>
      <c r="G6201">
        <v>2010</v>
      </c>
      <c r="H6201">
        <f>AVERAGEIFS(Table1[value],Table1[IndicatorCode],Table1[[#This Row],[IndicatorCode]])</f>
        <v>24902.88753799392</v>
      </c>
      <c r="I6201" cm="1">
        <f t="array" ref="I6201">_xlfn.STDEV.P(IF(Table1[IndicatorCode]=Table1[[#This Row],[IndicatorCode]],Table1[value]))</f>
        <v>26324.778297809873</v>
      </c>
      <c r="J6201">
        <f>(Table1[[#This Row],[value]] - Table1[[#This Row],[mean]]) / Table1[[#This Row],[std_dev]]</f>
        <v>-0.49435886565763132</v>
      </c>
      <c r="K6201">
        <f>AVERAGEIF(Table1[CountryCode],Table1[[#This Row],[CountryCode]],Table1[z-score])</f>
        <v>-0.22998905081420598</v>
      </c>
      <c r="L6201" t="e">
        <f>VLOOKUP(Table1[[#This Row],[CountryCode]],[1]!Table1[#All],1,FALSE)</f>
        <v>#REF!</v>
      </c>
    </row>
    <row r="6202" spans="1:12" hidden="1" x14ac:dyDescent="0.3">
      <c r="A6202" t="s">
        <v>77</v>
      </c>
      <c r="B6202" t="s">
        <v>78</v>
      </c>
      <c r="C6202" t="s">
        <v>127</v>
      </c>
      <c r="D6202" t="s">
        <v>128</v>
      </c>
      <c r="E6202">
        <v>2008</v>
      </c>
      <c r="F6202" s="1">
        <v>12325</v>
      </c>
      <c r="G6202">
        <v>2010</v>
      </c>
      <c r="H6202">
        <f>AVERAGEIFS(Table1[value],Table1[IndicatorCode],Table1[[#This Row],[IndicatorCode]])</f>
        <v>24902.88753799392</v>
      </c>
      <c r="I6202" cm="1">
        <f t="array" ref="I6202">_xlfn.STDEV.P(IF(Table1[IndicatorCode]=Table1[[#This Row],[IndicatorCode]],Table1[value]))</f>
        <v>26324.778297809873</v>
      </c>
      <c r="J6202">
        <f>(Table1[[#This Row],[value]] - Table1[[#This Row],[mean]]) / Table1[[#This Row],[std_dev]]</f>
        <v>-0.4777965229450899</v>
      </c>
      <c r="K6202">
        <f>AVERAGEIF(Table1[CountryCode],Table1[[#This Row],[CountryCode]],Table1[z-score])</f>
        <v>-0.22998905081420598</v>
      </c>
      <c r="L6202" t="e">
        <f>VLOOKUP(Table1[[#This Row],[CountryCode]],[1]!Table1[#All],1,FALSE)</f>
        <v>#REF!</v>
      </c>
    </row>
    <row r="6203" spans="1:12" hidden="1" x14ac:dyDescent="0.3">
      <c r="A6203" t="s">
        <v>77</v>
      </c>
      <c r="B6203" t="s">
        <v>78</v>
      </c>
      <c r="C6203" t="s">
        <v>127</v>
      </c>
      <c r="D6203" t="s">
        <v>128</v>
      </c>
      <c r="E6203">
        <v>2009</v>
      </c>
      <c r="F6203" s="1">
        <v>10613</v>
      </c>
      <c r="G6203">
        <v>2010</v>
      </c>
      <c r="H6203">
        <f>AVERAGEIFS(Table1[value],Table1[IndicatorCode],Table1[[#This Row],[IndicatorCode]])</f>
        <v>24902.88753799392</v>
      </c>
      <c r="I6203" cm="1">
        <f t="array" ref="I6203">_xlfn.STDEV.P(IF(Table1[IndicatorCode]=Table1[[#This Row],[IndicatorCode]],Table1[value]))</f>
        <v>26324.778297809873</v>
      </c>
      <c r="J6203">
        <f>(Table1[[#This Row],[value]] - Table1[[#This Row],[mean]]) / Table1[[#This Row],[std_dev]]</f>
        <v>-0.54283030900901408</v>
      </c>
      <c r="K6203">
        <f>AVERAGEIF(Table1[CountryCode],Table1[[#This Row],[CountryCode]],Table1[z-score])</f>
        <v>-0.22998905081420598</v>
      </c>
      <c r="L6203" t="e">
        <f>VLOOKUP(Table1[[#This Row],[CountryCode]],[1]!Table1[#All],1,FALSE)</f>
        <v>#REF!</v>
      </c>
    </row>
    <row r="6204" spans="1:12" hidden="1" x14ac:dyDescent="0.3">
      <c r="A6204" t="s">
        <v>77</v>
      </c>
      <c r="B6204" t="s">
        <v>78</v>
      </c>
      <c r="C6204" t="s">
        <v>127</v>
      </c>
      <c r="D6204" t="s">
        <v>128</v>
      </c>
      <c r="E6204">
        <v>2010</v>
      </c>
      <c r="F6204" s="1">
        <v>10884</v>
      </c>
      <c r="G6204">
        <v>2010</v>
      </c>
      <c r="H6204">
        <f>AVERAGEIFS(Table1[value],Table1[IndicatorCode],Table1[[#This Row],[IndicatorCode]])</f>
        <v>24902.88753799392</v>
      </c>
      <c r="I6204" cm="1">
        <f t="array" ref="I6204">_xlfn.STDEV.P(IF(Table1[IndicatorCode]=Table1[[#This Row],[IndicatorCode]],Table1[value]))</f>
        <v>26324.778297809873</v>
      </c>
      <c r="J6204">
        <f>(Table1[[#This Row],[value]] - Table1[[#This Row],[mean]]) / Table1[[#This Row],[std_dev]]</f>
        <v>-0.53253582535053068</v>
      </c>
      <c r="K6204">
        <f>AVERAGEIF(Table1[CountryCode],Table1[[#This Row],[CountryCode]],Table1[z-score])</f>
        <v>-0.22998905081420598</v>
      </c>
      <c r="L6204" t="e">
        <f>VLOOKUP(Table1[[#This Row],[CountryCode]],[1]!Table1[#All],1,FALSE)</f>
        <v>#REF!</v>
      </c>
    </row>
    <row r="6205" spans="1:12" hidden="1" x14ac:dyDescent="0.3">
      <c r="A6205" t="s">
        <v>77</v>
      </c>
      <c r="B6205" t="s">
        <v>78</v>
      </c>
      <c r="C6205" t="s">
        <v>127</v>
      </c>
      <c r="D6205" t="s">
        <v>128</v>
      </c>
      <c r="E6205">
        <v>2011</v>
      </c>
      <c r="F6205" s="1">
        <v>11837</v>
      </c>
      <c r="G6205">
        <v>2010</v>
      </c>
      <c r="H6205">
        <f>AVERAGEIFS(Table1[value],Table1[IndicatorCode],Table1[[#This Row],[IndicatorCode]])</f>
        <v>24902.88753799392</v>
      </c>
      <c r="I6205" cm="1">
        <f t="array" ref="I6205">_xlfn.STDEV.P(IF(Table1[IndicatorCode]=Table1[[#This Row],[IndicatorCode]],Table1[value]))</f>
        <v>26324.778297809873</v>
      </c>
      <c r="J6205">
        <f>(Table1[[#This Row],[value]] - Table1[[#This Row],[mean]]) / Table1[[#This Row],[std_dev]]</f>
        <v>-0.49633419093527387</v>
      </c>
      <c r="K6205">
        <f>AVERAGEIF(Table1[CountryCode],Table1[[#This Row],[CountryCode]],Table1[z-score])</f>
        <v>-0.22998905081420598</v>
      </c>
      <c r="L6205" t="e">
        <f>VLOOKUP(Table1[[#This Row],[CountryCode]],[1]!Table1[#All],1,FALSE)</f>
        <v>#REF!</v>
      </c>
    </row>
    <row r="6206" spans="1:12" hidden="1" x14ac:dyDescent="0.3">
      <c r="A6206" t="s">
        <v>77</v>
      </c>
      <c r="B6206" t="s">
        <v>78</v>
      </c>
      <c r="C6206" t="s">
        <v>127</v>
      </c>
      <c r="D6206" t="s">
        <v>128</v>
      </c>
      <c r="E6206">
        <v>2012</v>
      </c>
      <c r="F6206" s="1">
        <v>12517</v>
      </c>
      <c r="G6206">
        <v>2010</v>
      </c>
      <c r="H6206">
        <f>AVERAGEIFS(Table1[value],Table1[IndicatorCode],Table1[[#This Row],[IndicatorCode]])</f>
        <v>24902.88753799392</v>
      </c>
      <c r="I6206" cm="1">
        <f t="array" ref="I6206">_xlfn.STDEV.P(IF(Table1[IndicatorCode]=Table1[[#This Row],[IndicatorCode]],Table1[value]))</f>
        <v>26324.778297809873</v>
      </c>
      <c r="J6206">
        <f>(Table1[[#This Row],[value]] - Table1[[#This Row],[mean]]) / Table1[[#This Row],[std_dev]]</f>
        <v>-0.47050301422764046</v>
      </c>
      <c r="K6206">
        <f>AVERAGEIF(Table1[CountryCode],Table1[[#This Row],[CountryCode]],Table1[z-score])</f>
        <v>-0.22998905081420598</v>
      </c>
      <c r="L6206" t="e">
        <f>VLOOKUP(Table1[[#This Row],[CountryCode]],[1]!Table1[#All],1,FALSE)</f>
        <v>#REF!</v>
      </c>
    </row>
    <row r="6207" spans="1:12" hidden="1" x14ac:dyDescent="0.3">
      <c r="A6207" t="s">
        <v>77</v>
      </c>
      <c r="B6207" t="s">
        <v>78</v>
      </c>
      <c r="C6207" t="s">
        <v>127</v>
      </c>
      <c r="D6207" t="s">
        <v>128</v>
      </c>
      <c r="E6207">
        <v>2013</v>
      </c>
      <c r="F6207" s="1">
        <v>13146</v>
      </c>
      <c r="G6207">
        <v>2010</v>
      </c>
      <c r="H6207">
        <f>AVERAGEIFS(Table1[value],Table1[IndicatorCode],Table1[[#This Row],[IndicatorCode]])</f>
        <v>24902.88753799392</v>
      </c>
      <c r="I6207" cm="1">
        <f t="array" ref="I6207">_xlfn.STDEV.P(IF(Table1[IndicatorCode]=Table1[[#This Row],[IndicatorCode]],Table1[value]))</f>
        <v>26324.778297809873</v>
      </c>
      <c r="J6207">
        <f>(Table1[[#This Row],[value]] - Table1[[#This Row],[mean]]) / Table1[[#This Row],[std_dev]]</f>
        <v>-0.44660917577307957</v>
      </c>
      <c r="K6207">
        <f>AVERAGEIF(Table1[CountryCode],Table1[[#This Row],[CountryCode]],Table1[z-score])</f>
        <v>-0.22998905081420598</v>
      </c>
      <c r="L6207" t="e">
        <f>VLOOKUP(Table1[[#This Row],[CountryCode]],[1]!Table1[#All],1,FALSE)</f>
        <v>#REF!</v>
      </c>
    </row>
    <row r="6208" spans="1:12" hidden="1" x14ac:dyDescent="0.3">
      <c r="A6208" t="s">
        <v>77</v>
      </c>
      <c r="B6208" t="s">
        <v>78</v>
      </c>
      <c r="C6208" t="s">
        <v>127</v>
      </c>
      <c r="D6208" t="s">
        <v>128</v>
      </c>
      <c r="E6208">
        <v>2014</v>
      </c>
      <c r="F6208" s="1">
        <v>13753</v>
      </c>
      <c r="G6208">
        <v>2010</v>
      </c>
      <c r="H6208">
        <f>AVERAGEIFS(Table1[value],Table1[IndicatorCode],Table1[[#This Row],[IndicatorCode]])</f>
        <v>24902.88753799392</v>
      </c>
      <c r="I6208" cm="1">
        <f t="array" ref="I6208">_xlfn.STDEV.P(IF(Table1[IndicatorCode]=Table1[[#This Row],[IndicatorCode]],Table1[value]))</f>
        <v>26324.778297809873</v>
      </c>
      <c r="J6208">
        <f>(Table1[[#This Row],[value]] - Table1[[#This Row],[mean]]) / Table1[[#This Row],[std_dev]]</f>
        <v>-0.42355105185905972</v>
      </c>
      <c r="K6208">
        <f>AVERAGEIF(Table1[CountryCode],Table1[[#This Row],[CountryCode]],Table1[z-score])</f>
        <v>-0.22998905081420598</v>
      </c>
      <c r="L6208" t="e">
        <f>VLOOKUP(Table1[[#This Row],[CountryCode]],[1]!Table1[#All],1,FALSE)</f>
        <v>#REF!</v>
      </c>
    </row>
    <row r="6209" spans="1:12" hidden="1" x14ac:dyDescent="0.3">
      <c r="A6209" t="s">
        <v>77</v>
      </c>
      <c r="B6209" t="s">
        <v>78</v>
      </c>
      <c r="C6209" t="s">
        <v>127</v>
      </c>
      <c r="D6209" t="s">
        <v>128</v>
      </c>
      <c r="E6209">
        <v>2015</v>
      </c>
      <c r="F6209" s="1">
        <v>14270</v>
      </c>
      <c r="G6209">
        <v>2010</v>
      </c>
      <c r="H6209">
        <f>AVERAGEIFS(Table1[value],Table1[IndicatorCode],Table1[[#This Row],[IndicatorCode]])</f>
        <v>24902.88753799392</v>
      </c>
      <c r="I6209" cm="1">
        <f t="array" ref="I6209">_xlfn.STDEV.P(IF(Table1[IndicatorCode]=Table1[[#This Row],[IndicatorCode]],Table1[value]))</f>
        <v>26324.778297809873</v>
      </c>
      <c r="J6209">
        <f>(Table1[[#This Row],[value]] - Table1[[#This Row],[mean]]) / Table1[[#This Row],[std_dev]]</f>
        <v>-0.40391176015634433</v>
      </c>
      <c r="K6209">
        <f>AVERAGEIF(Table1[CountryCode],Table1[[#This Row],[CountryCode]],Table1[z-score])</f>
        <v>-0.22998905081420598</v>
      </c>
      <c r="L6209" t="e">
        <f>VLOOKUP(Table1[[#This Row],[CountryCode]],[1]!Table1[#All],1,FALSE)</f>
        <v>#REF!</v>
      </c>
    </row>
    <row r="6210" spans="1:12" hidden="1" x14ac:dyDescent="0.3">
      <c r="A6210" t="s">
        <v>77</v>
      </c>
      <c r="B6210" t="s">
        <v>78</v>
      </c>
      <c r="C6210" t="s">
        <v>127</v>
      </c>
      <c r="D6210" t="s">
        <v>128</v>
      </c>
      <c r="E6210">
        <v>2016</v>
      </c>
      <c r="F6210" s="1">
        <v>14823</v>
      </c>
      <c r="G6210">
        <v>2010</v>
      </c>
      <c r="H6210">
        <f>AVERAGEIFS(Table1[value],Table1[IndicatorCode],Table1[[#This Row],[IndicatorCode]])</f>
        <v>24902.88753799392</v>
      </c>
      <c r="I6210" cm="1">
        <f t="array" ref="I6210">_xlfn.STDEV.P(IF(Table1[IndicatorCode]=Table1[[#This Row],[IndicatorCode]],Table1[value]))</f>
        <v>26324.778297809873</v>
      </c>
      <c r="J6210">
        <f>(Table1[[#This Row],[value]] - Table1[[#This Row],[mean]]) / Table1[[#This Row],[std_dev]]</f>
        <v>-0.38290493556910715</v>
      </c>
      <c r="K6210">
        <f>AVERAGEIF(Table1[CountryCode],Table1[[#This Row],[CountryCode]],Table1[z-score])</f>
        <v>-0.22998905081420598</v>
      </c>
      <c r="L6210" t="e">
        <f>VLOOKUP(Table1[[#This Row],[CountryCode]],[1]!Table1[#All],1,FALSE)</f>
        <v>#REF!</v>
      </c>
    </row>
    <row r="6211" spans="1:12" hidden="1" x14ac:dyDescent="0.3">
      <c r="A6211" t="s">
        <v>77</v>
      </c>
      <c r="B6211" t="s">
        <v>78</v>
      </c>
      <c r="C6211" t="s">
        <v>127</v>
      </c>
      <c r="D6211" t="s">
        <v>128</v>
      </c>
      <c r="E6211">
        <v>2017</v>
      </c>
      <c r="F6211" s="1">
        <v>15696</v>
      </c>
      <c r="G6211">
        <v>2020</v>
      </c>
      <c r="H6211">
        <f>AVERAGEIFS(Table1[value],Table1[IndicatorCode],Table1[[#This Row],[IndicatorCode]])</f>
        <v>24902.88753799392</v>
      </c>
      <c r="I6211" cm="1">
        <f t="array" ref="I6211">_xlfn.STDEV.P(IF(Table1[IndicatorCode]=Table1[[#This Row],[IndicatorCode]],Table1[value]))</f>
        <v>26324.778297809873</v>
      </c>
      <c r="J6211">
        <f>(Table1[[#This Row],[value]] - Table1[[#This Row],[mean]]) / Table1[[#This Row],[std_dev]]</f>
        <v>-0.34974226311945428</v>
      </c>
      <c r="K6211">
        <f>AVERAGEIF(Table1[CountryCode],Table1[[#This Row],[CountryCode]],Table1[z-score])</f>
        <v>-0.22998905081420598</v>
      </c>
      <c r="L6211" t="e">
        <f>VLOOKUP(Table1[[#This Row],[CountryCode]],[1]!Table1[#All],1,FALSE)</f>
        <v>#REF!</v>
      </c>
    </row>
    <row r="6212" spans="1:12" hidden="1" x14ac:dyDescent="0.3">
      <c r="A6212" t="s">
        <v>77</v>
      </c>
      <c r="B6212" t="s">
        <v>78</v>
      </c>
      <c r="C6212" t="s">
        <v>127</v>
      </c>
      <c r="D6212" t="s">
        <v>128</v>
      </c>
      <c r="E6212">
        <v>2018</v>
      </c>
      <c r="F6212" s="1">
        <v>16605</v>
      </c>
      <c r="G6212">
        <v>2020</v>
      </c>
      <c r="H6212">
        <f>AVERAGEIFS(Table1[value],Table1[IndicatorCode],Table1[[#This Row],[IndicatorCode]])</f>
        <v>24902.88753799392</v>
      </c>
      <c r="I6212" cm="1">
        <f t="array" ref="I6212">_xlfn.STDEV.P(IF(Table1[IndicatorCode]=Table1[[#This Row],[IndicatorCode]],Table1[value]))</f>
        <v>26324.778297809873</v>
      </c>
      <c r="J6212">
        <f>(Table1[[#This Row],[value]] - Table1[[#This Row],[mean]]) / Table1[[#This Row],[std_dev]]</f>
        <v>-0.31521205778527961</v>
      </c>
      <c r="K6212">
        <f>AVERAGEIF(Table1[CountryCode],Table1[[#This Row],[CountryCode]],Table1[z-score])</f>
        <v>-0.22998905081420598</v>
      </c>
      <c r="L6212" t="e">
        <f>VLOOKUP(Table1[[#This Row],[CountryCode]],[1]!Table1[#All],1,FALSE)</f>
        <v>#REF!</v>
      </c>
    </row>
    <row r="6213" spans="1:12" hidden="1" x14ac:dyDescent="0.3">
      <c r="A6213" t="s">
        <v>77</v>
      </c>
      <c r="B6213" t="s">
        <v>78</v>
      </c>
      <c r="C6213" t="s">
        <v>127</v>
      </c>
      <c r="D6213" t="s">
        <v>128</v>
      </c>
      <c r="E6213">
        <v>2019</v>
      </c>
      <c r="F6213" s="1">
        <v>17432</v>
      </c>
      <c r="G6213">
        <v>2020</v>
      </c>
      <c r="H6213">
        <f>AVERAGEIFS(Table1[value],Table1[IndicatorCode],Table1[[#This Row],[IndicatorCode]])</f>
        <v>24902.88753799392</v>
      </c>
      <c r="I6213" cm="1">
        <f t="array" ref="I6213">_xlfn.STDEV.P(IF(Table1[IndicatorCode]=Table1[[#This Row],[IndicatorCode]],Table1[value]))</f>
        <v>26324.778297809873</v>
      </c>
      <c r="J6213">
        <f>(Table1[[#This Row],[value]] - Table1[[#This Row],[mean]]) / Table1[[#This Row],[std_dev]]</f>
        <v>-0.28379678846584894</v>
      </c>
      <c r="K6213">
        <f>AVERAGEIF(Table1[CountryCode],Table1[[#This Row],[CountryCode]],Table1[z-score])</f>
        <v>-0.22998905081420598</v>
      </c>
      <c r="L6213" t="e">
        <f>VLOOKUP(Table1[[#This Row],[CountryCode]],[1]!Table1[#All],1,FALSE)</f>
        <v>#REF!</v>
      </c>
    </row>
    <row r="6214" spans="1:12" x14ac:dyDescent="0.3">
      <c r="A6214" t="s">
        <v>39</v>
      </c>
      <c r="B6214" t="s">
        <v>40</v>
      </c>
      <c r="C6214" t="s">
        <v>127</v>
      </c>
      <c r="D6214" t="s">
        <v>128</v>
      </c>
      <c r="E6214">
        <v>2020</v>
      </c>
      <c r="F6214" s="1">
        <v>25077</v>
      </c>
      <c r="G6214">
        <v>2020</v>
      </c>
      <c r="H6214">
        <f>AVERAGEIFS(Table1[value],Table1[IndicatorCode],Table1[[#This Row],[IndicatorCode]])</f>
        <v>24902.88753799392</v>
      </c>
      <c r="I6214" cm="1">
        <f t="array" ref="I6214">_xlfn.STDEV.P(IF(Table1[IndicatorCode]=Table1[[#This Row],[IndicatorCode]],Table1[value]))</f>
        <v>26324.778297809873</v>
      </c>
      <c r="J6214">
        <f>(Table1[[#This Row],[value]] - Table1[[#This Row],[mean]]) / Table1[[#This Row],[std_dev]]</f>
        <v>6.6140143721767092E-3</v>
      </c>
      <c r="K6214">
        <f>AVERAGEIF(Table1[CountryCode],Table1[[#This Row],[CountryCode]],Table1[z-score])</f>
        <v>9.5615861938696506E-2</v>
      </c>
    </row>
    <row r="6215" spans="1:12" hidden="1" x14ac:dyDescent="0.3">
      <c r="A6215" t="s">
        <v>77</v>
      </c>
      <c r="B6215" t="s">
        <v>78</v>
      </c>
      <c r="C6215" t="s">
        <v>127</v>
      </c>
      <c r="D6215" t="s">
        <v>128</v>
      </c>
      <c r="E6215">
        <v>2021</v>
      </c>
      <c r="F6215" s="1">
        <v>18570</v>
      </c>
      <c r="G6215">
        <v>2020</v>
      </c>
      <c r="H6215">
        <f>AVERAGEIFS(Table1[value],Table1[IndicatorCode],Table1[[#This Row],[IndicatorCode]])</f>
        <v>24902.88753799392</v>
      </c>
      <c r="I6215" cm="1">
        <f t="array" ref="I6215">_xlfn.STDEV.P(IF(Table1[IndicatorCode]=Table1[[#This Row],[IndicatorCode]],Table1[value]))</f>
        <v>26324.778297809873</v>
      </c>
      <c r="J6215">
        <f>(Table1[[#This Row],[value]] - Table1[[#This Row],[mean]]) / Table1[[#This Row],[std_dev]]</f>
        <v>-0.24056755450513304</v>
      </c>
      <c r="K6215">
        <f>AVERAGEIF(Table1[CountryCode],Table1[[#This Row],[CountryCode]],Table1[z-score])</f>
        <v>-0.22998905081420598</v>
      </c>
      <c r="L6215" t="e">
        <f>VLOOKUP(Table1[[#This Row],[CountryCode]],[1]!Table1[#All],1,FALSE)</f>
        <v>#REF!</v>
      </c>
    </row>
    <row r="6216" spans="1:12" hidden="1" x14ac:dyDescent="0.3">
      <c r="A6216" t="s">
        <v>77</v>
      </c>
      <c r="B6216" t="s">
        <v>78</v>
      </c>
      <c r="C6216" t="s">
        <v>127</v>
      </c>
      <c r="D6216" t="s">
        <v>128</v>
      </c>
      <c r="E6216">
        <v>2022</v>
      </c>
      <c r="F6216" s="1">
        <v>18885</v>
      </c>
      <c r="G6216">
        <v>1960</v>
      </c>
      <c r="H6216">
        <f>AVERAGEIFS(Table1[value],Table1[IndicatorCode],Table1[[#This Row],[IndicatorCode]])</f>
        <v>24902.88753799392</v>
      </c>
      <c r="I6216" cm="1">
        <f t="array" ref="I6216">_xlfn.STDEV.P(IF(Table1[IndicatorCode]=Table1[[#This Row],[IndicatorCode]],Table1[value]))</f>
        <v>26324.778297809873</v>
      </c>
      <c r="J6216">
        <f>(Table1[[#This Row],[value]] - Table1[[#This Row],[mean]]) / Table1[[#This Row],[std_dev]]</f>
        <v>-0.22860164176556755</v>
      </c>
      <c r="K6216">
        <f>AVERAGEIF(Table1[CountryCode],Table1[[#This Row],[CountryCode]],Table1[z-score])</f>
        <v>-0.22998905081420598</v>
      </c>
      <c r="L6216" t="e">
        <f>VLOOKUP(Table1[[#This Row],[CountryCode]],[1]!Table1[#All],1,FALSE)</f>
        <v>#REF!</v>
      </c>
    </row>
    <row r="6217" spans="1:12" hidden="1" x14ac:dyDescent="0.3">
      <c r="A6217" t="s">
        <v>77</v>
      </c>
      <c r="B6217" t="s">
        <v>78</v>
      </c>
      <c r="C6217" t="s">
        <v>127</v>
      </c>
      <c r="D6217" t="s">
        <v>128</v>
      </c>
      <c r="E6217">
        <v>2023</v>
      </c>
      <c r="F6217" s="1">
        <v>18686</v>
      </c>
      <c r="G6217">
        <v>1960</v>
      </c>
      <c r="H6217">
        <f>AVERAGEIFS(Table1[value],Table1[IndicatorCode],Table1[[#This Row],[IndicatorCode]])</f>
        <v>24902.88753799392</v>
      </c>
      <c r="I6217" cm="1">
        <f t="array" ref="I6217">_xlfn.STDEV.P(IF(Table1[IndicatorCode]=Table1[[#This Row],[IndicatorCode]],Table1[value]))</f>
        <v>26324.778297809873</v>
      </c>
      <c r="J6217">
        <f>(Table1[[#This Row],[value]] - Table1[[#This Row],[mean]]) / Table1[[#This Row],[std_dev]]</f>
        <v>-0.23616105965500733</v>
      </c>
      <c r="K6217">
        <f>AVERAGEIF(Table1[CountryCode],Table1[[#This Row],[CountryCode]],Table1[z-score])</f>
        <v>-0.22998905081420598</v>
      </c>
      <c r="L6217" t="e">
        <f>VLOOKUP(Table1[[#This Row],[CountryCode]],[1]!Table1[#All],1,FALSE)</f>
        <v>#REF!</v>
      </c>
    </row>
    <row r="6218" spans="1:12" hidden="1" x14ac:dyDescent="0.3">
      <c r="A6218" t="s">
        <v>77</v>
      </c>
      <c r="B6218" t="s">
        <v>78</v>
      </c>
      <c r="C6218" t="s">
        <v>127</v>
      </c>
      <c r="D6218" t="s">
        <v>128</v>
      </c>
      <c r="E6218">
        <v>2024</v>
      </c>
      <c r="F6218" s="1">
        <v>19093</v>
      </c>
      <c r="G6218">
        <v>1960</v>
      </c>
      <c r="H6218">
        <f>AVERAGEIFS(Table1[value],Table1[IndicatorCode],Table1[[#This Row],[IndicatorCode]])</f>
        <v>24902.88753799392</v>
      </c>
      <c r="I6218" cm="1">
        <f t="array" ref="I6218">_xlfn.STDEV.P(IF(Table1[IndicatorCode]=Table1[[#This Row],[IndicatorCode]],Table1[value]))</f>
        <v>26324.778297809873</v>
      </c>
      <c r="J6218">
        <f>(Table1[[#This Row],[value]] - Table1[[#This Row],[mean]]) / Table1[[#This Row],[std_dev]]</f>
        <v>-0.22070034065499733</v>
      </c>
      <c r="K6218">
        <f>AVERAGEIF(Table1[CountryCode],Table1[[#This Row],[CountryCode]],Table1[z-score])</f>
        <v>-0.22998905081420598</v>
      </c>
      <c r="L6218" t="e">
        <f>VLOOKUP(Table1[[#This Row],[CountryCode]],[1]!Table1[#All],1,FALSE)</f>
        <v>#REF!</v>
      </c>
    </row>
    <row r="6219" spans="1:12" hidden="1" x14ac:dyDescent="0.3">
      <c r="A6219" t="s">
        <v>79</v>
      </c>
      <c r="B6219" t="s">
        <v>80</v>
      </c>
      <c r="C6219" t="s">
        <v>127</v>
      </c>
      <c r="D6219" t="s">
        <v>128</v>
      </c>
      <c r="E6219">
        <v>1960</v>
      </c>
      <c r="F6219" s="1">
        <v>27861</v>
      </c>
      <c r="G6219">
        <v>1960</v>
      </c>
      <c r="H6219">
        <f>AVERAGEIFS(Table1[value],Table1[IndicatorCode],Table1[[#This Row],[IndicatorCode]])</f>
        <v>24902.88753799392</v>
      </c>
      <c r="I6219" cm="1">
        <f t="array" ref="I6219">_xlfn.STDEV.P(IF(Table1[IndicatorCode]=Table1[[#This Row],[IndicatorCode]],Table1[value]))</f>
        <v>26324.778297809873</v>
      </c>
      <c r="J6219">
        <f>(Table1[[#This Row],[value]] - Table1[[#This Row],[mean]]) / Table1[[#This Row],[std_dev]]</f>
        <v>0.11236989077519351</v>
      </c>
      <c r="K6219">
        <f>AVERAGEIF(Table1[CountryCode],Table1[[#This Row],[CountryCode]],Table1[z-score])</f>
        <v>1.6213099703277349</v>
      </c>
      <c r="L6219" t="e">
        <f>VLOOKUP(Table1[[#This Row],[CountryCode]],[1]!Table1[#All],1,FALSE)</f>
        <v>#REF!</v>
      </c>
    </row>
    <row r="6220" spans="1:12" hidden="1" x14ac:dyDescent="0.3">
      <c r="A6220" t="s">
        <v>79</v>
      </c>
      <c r="B6220" t="s">
        <v>80</v>
      </c>
      <c r="C6220" t="s">
        <v>127</v>
      </c>
      <c r="D6220" t="s">
        <v>128</v>
      </c>
      <c r="E6220">
        <v>1961</v>
      </c>
      <c r="F6220" s="1">
        <v>28666</v>
      </c>
      <c r="G6220">
        <v>1960</v>
      </c>
      <c r="H6220">
        <f>AVERAGEIFS(Table1[value],Table1[IndicatorCode],Table1[[#This Row],[IndicatorCode]])</f>
        <v>24902.88753799392</v>
      </c>
      <c r="I6220" cm="1">
        <f t="array" ref="I6220">_xlfn.STDEV.P(IF(Table1[IndicatorCode]=Table1[[#This Row],[IndicatorCode]],Table1[value]))</f>
        <v>26324.778297809873</v>
      </c>
      <c r="J6220">
        <f>(Table1[[#This Row],[value]] - Table1[[#This Row],[mean]]) / Table1[[#This Row],[std_dev]]</f>
        <v>0.14294944555408307</v>
      </c>
      <c r="K6220">
        <f>AVERAGEIF(Table1[CountryCode],Table1[[#This Row],[CountryCode]],Table1[z-score])</f>
        <v>1.6213099703277349</v>
      </c>
      <c r="L6220" t="e">
        <f>VLOOKUP(Table1[[#This Row],[CountryCode]],[1]!Table1[#All],1,FALSE)</f>
        <v>#REF!</v>
      </c>
    </row>
    <row r="6221" spans="1:12" hidden="1" x14ac:dyDescent="0.3">
      <c r="A6221" t="s">
        <v>79</v>
      </c>
      <c r="B6221" t="s">
        <v>80</v>
      </c>
      <c r="C6221" t="s">
        <v>127</v>
      </c>
      <c r="D6221" t="s">
        <v>128</v>
      </c>
      <c r="E6221">
        <v>1962</v>
      </c>
      <c r="F6221" s="1">
        <v>28701</v>
      </c>
      <c r="G6221">
        <v>1960</v>
      </c>
      <c r="H6221">
        <f>AVERAGEIFS(Table1[value],Table1[IndicatorCode],Table1[[#This Row],[IndicatorCode]])</f>
        <v>24902.88753799392</v>
      </c>
      <c r="I6221" cm="1">
        <f t="array" ref="I6221">_xlfn.STDEV.P(IF(Table1[IndicatorCode]=Table1[[#This Row],[IndicatorCode]],Table1[value]))</f>
        <v>26324.778297809873</v>
      </c>
      <c r="J6221">
        <f>(Table1[[#This Row],[value]] - Table1[[#This Row],[mean]]) / Table1[[#This Row],[std_dev]]</f>
        <v>0.1442789914140348</v>
      </c>
      <c r="K6221">
        <f>AVERAGEIF(Table1[CountryCode],Table1[[#This Row],[CountryCode]],Table1[z-score])</f>
        <v>1.6213099703277349</v>
      </c>
      <c r="L6221" t="e">
        <f>VLOOKUP(Table1[[#This Row],[CountryCode]],[1]!Table1[#All],1,FALSE)</f>
        <v>#REF!</v>
      </c>
    </row>
    <row r="6222" spans="1:12" hidden="1" x14ac:dyDescent="0.3">
      <c r="A6222" t="s">
        <v>79</v>
      </c>
      <c r="B6222" t="s">
        <v>80</v>
      </c>
      <c r="C6222" t="s">
        <v>127</v>
      </c>
      <c r="D6222" t="s">
        <v>128</v>
      </c>
      <c r="E6222">
        <v>1963</v>
      </c>
      <c r="F6222" s="1">
        <v>29382</v>
      </c>
      <c r="G6222">
        <v>1960</v>
      </c>
      <c r="H6222">
        <f>AVERAGEIFS(Table1[value],Table1[IndicatorCode],Table1[[#This Row],[IndicatorCode]])</f>
        <v>24902.88753799392</v>
      </c>
      <c r="I6222" cm="1">
        <f t="array" ref="I6222">_xlfn.STDEV.P(IF(Table1[IndicatorCode]=Table1[[#This Row],[IndicatorCode]],Table1[value]))</f>
        <v>26324.778297809873</v>
      </c>
      <c r="J6222">
        <f>(Table1[[#This Row],[value]] - Table1[[#This Row],[mean]]) / Table1[[#This Row],[std_dev]]</f>
        <v>0.17014815514623824</v>
      </c>
      <c r="K6222">
        <f>AVERAGEIF(Table1[CountryCode],Table1[[#This Row],[CountryCode]],Table1[z-score])</f>
        <v>1.6213099703277349</v>
      </c>
      <c r="L6222" t="e">
        <f>VLOOKUP(Table1[[#This Row],[CountryCode]],[1]!Table1[#All],1,FALSE)</f>
        <v>#REF!</v>
      </c>
    </row>
    <row r="6223" spans="1:12" hidden="1" x14ac:dyDescent="0.3">
      <c r="A6223" t="s">
        <v>79</v>
      </c>
      <c r="B6223" t="s">
        <v>80</v>
      </c>
      <c r="C6223" t="s">
        <v>127</v>
      </c>
      <c r="D6223" t="s">
        <v>128</v>
      </c>
      <c r="E6223">
        <v>1964</v>
      </c>
      <c r="F6223" s="1">
        <v>31340</v>
      </c>
      <c r="G6223">
        <v>1960</v>
      </c>
      <c r="H6223">
        <f>AVERAGEIFS(Table1[value],Table1[IndicatorCode],Table1[[#This Row],[IndicatorCode]])</f>
        <v>24902.88753799392</v>
      </c>
      <c r="I6223" cm="1">
        <f t="array" ref="I6223">_xlfn.STDEV.P(IF(Table1[IndicatorCode]=Table1[[#This Row],[IndicatorCode]],Table1[value]))</f>
        <v>26324.778297809873</v>
      </c>
      <c r="J6223">
        <f>(Table1[[#This Row],[value]] - Table1[[#This Row],[mean]]) / Table1[[#This Row],[std_dev]]</f>
        <v>0.24452674925439447</v>
      </c>
      <c r="K6223">
        <f>AVERAGEIF(Table1[CountryCode],Table1[[#This Row],[CountryCode]],Table1[z-score])</f>
        <v>1.6213099703277349</v>
      </c>
      <c r="L6223" t="e">
        <f>VLOOKUP(Table1[[#This Row],[CountryCode]],[1]!Table1[#All],1,FALSE)</f>
        <v>#REF!</v>
      </c>
    </row>
    <row r="6224" spans="1:12" hidden="1" x14ac:dyDescent="0.3">
      <c r="A6224" t="s">
        <v>79</v>
      </c>
      <c r="B6224" t="s">
        <v>80</v>
      </c>
      <c r="C6224" t="s">
        <v>127</v>
      </c>
      <c r="D6224" t="s">
        <v>128</v>
      </c>
      <c r="E6224">
        <v>1965</v>
      </c>
      <c r="F6224" s="1">
        <v>30758</v>
      </c>
      <c r="G6224">
        <v>1960</v>
      </c>
      <c r="H6224">
        <f>AVERAGEIFS(Table1[value],Table1[IndicatorCode],Table1[[#This Row],[IndicatorCode]])</f>
        <v>24902.88753799392</v>
      </c>
      <c r="I6224" cm="1">
        <f t="array" ref="I6224">_xlfn.STDEV.P(IF(Table1[IndicatorCode]=Table1[[#This Row],[IndicatorCode]],Table1[value]))</f>
        <v>26324.778297809873</v>
      </c>
      <c r="J6224">
        <f>(Table1[[#This Row],[value]] - Table1[[#This Row],[mean]]) / Table1[[#This Row],[std_dev]]</f>
        <v>0.22241830095462586</v>
      </c>
      <c r="K6224">
        <f>AVERAGEIF(Table1[CountryCode],Table1[[#This Row],[CountryCode]],Table1[z-score])</f>
        <v>1.6213099703277349</v>
      </c>
      <c r="L6224" t="e">
        <f>VLOOKUP(Table1[[#This Row],[CountryCode]],[1]!Table1[#All],1,FALSE)</f>
        <v>#REF!</v>
      </c>
    </row>
    <row r="6225" spans="1:12" hidden="1" x14ac:dyDescent="0.3">
      <c r="A6225" t="s">
        <v>79</v>
      </c>
      <c r="B6225" t="s">
        <v>80</v>
      </c>
      <c r="C6225" t="s">
        <v>127</v>
      </c>
      <c r="D6225" t="s">
        <v>128</v>
      </c>
      <c r="E6225">
        <v>1966</v>
      </c>
      <c r="F6225" s="1">
        <v>30875</v>
      </c>
      <c r="G6225">
        <v>1960</v>
      </c>
      <c r="H6225">
        <f>AVERAGEIFS(Table1[value],Table1[IndicatorCode],Table1[[#This Row],[IndicatorCode]])</f>
        <v>24902.88753799392</v>
      </c>
      <c r="I6225" cm="1">
        <f t="array" ref="I6225">_xlfn.STDEV.P(IF(Table1[IndicatorCode]=Table1[[#This Row],[IndicatorCode]],Table1[value]))</f>
        <v>26324.778297809873</v>
      </c>
      <c r="J6225">
        <f>(Table1[[#This Row],[value]] - Table1[[#This Row],[mean]]) / Table1[[#This Row],[std_dev]]</f>
        <v>0.22686278282932162</v>
      </c>
      <c r="K6225">
        <f>AVERAGEIF(Table1[CountryCode],Table1[[#This Row],[CountryCode]],Table1[z-score])</f>
        <v>1.6213099703277349</v>
      </c>
      <c r="L6225" t="e">
        <f>VLOOKUP(Table1[[#This Row],[CountryCode]],[1]!Table1[#All],1,FALSE)</f>
        <v>#REF!</v>
      </c>
    </row>
    <row r="6226" spans="1:12" hidden="1" x14ac:dyDescent="0.3">
      <c r="A6226" t="s">
        <v>79</v>
      </c>
      <c r="B6226" t="s">
        <v>80</v>
      </c>
      <c r="C6226" t="s">
        <v>127</v>
      </c>
      <c r="D6226" t="s">
        <v>128</v>
      </c>
      <c r="E6226">
        <v>1967</v>
      </c>
      <c r="F6226" s="1">
        <v>30840</v>
      </c>
      <c r="G6226">
        <v>1970</v>
      </c>
      <c r="H6226">
        <f>AVERAGEIFS(Table1[value],Table1[IndicatorCode],Table1[[#This Row],[IndicatorCode]])</f>
        <v>24902.88753799392</v>
      </c>
      <c r="I6226" cm="1">
        <f t="array" ref="I6226">_xlfn.STDEV.P(IF(Table1[IndicatorCode]=Table1[[#This Row],[IndicatorCode]],Table1[value]))</f>
        <v>26324.778297809873</v>
      </c>
      <c r="J6226">
        <f>(Table1[[#This Row],[value]] - Table1[[#This Row],[mean]]) / Table1[[#This Row],[std_dev]]</f>
        <v>0.22553323696936989</v>
      </c>
      <c r="K6226">
        <f>AVERAGEIF(Table1[CountryCode],Table1[[#This Row],[CountryCode]],Table1[z-score])</f>
        <v>1.6213099703277349</v>
      </c>
      <c r="L6226" t="e">
        <f>VLOOKUP(Table1[[#This Row],[CountryCode]],[1]!Table1[#All],1,FALSE)</f>
        <v>#REF!</v>
      </c>
    </row>
    <row r="6227" spans="1:12" hidden="1" x14ac:dyDescent="0.3">
      <c r="A6227" t="s">
        <v>79</v>
      </c>
      <c r="B6227" t="s">
        <v>80</v>
      </c>
      <c r="C6227" t="s">
        <v>127</v>
      </c>
      <c r="D6227" t="s">
        <v>128</v>
      </c>
      <c r="E6227">
        <v>1968</v>
      </c>
      <c r="F6227" s="1">
        <v>32049</v>
      </c>
      <c r="G6227">
        <v>1970</v>
      </c>
      <c r="H6227">
        <f>AVERAGEIFS(Table1[value],Table1[IndicatorCode],Table1[[#This Row],[IndicatorCode]])</f>
        <v>24902.88753799392</v>
      </c>
      <c r="I6227" cm="1">
        <f t="array" ref="I6227">_xlfn.STDEV.P(IF(Table1[IndicatorCode]=Table1[[#This Row],[IndicatorCode]],Table1[value]))</f>
        <v>26324.778297809873</v>
      </c>
      <c r="J6227">
        <f>(Table1[[#This Row],[value]] - Table1[[#This Row],[mean]]) / Table1[[#This Row],[std_dev]]</f>
        <v>0.27145954967455932</v>
      </c>
      <c r="K6227">
        <f>AVERAGEIF(Table1[CountryCode],Table1[[#This Row],[CountryCode]],Table1[z-score])</f>
        <v>1.6213099703277349</v>
      </c>
      <c r="L6227" t="e">
        <f>VLOOKUP(Table1[[#This Row],[CountryCode]],[1]!Table1[#All],1,FALSE)</f>
        <v>#REF!</v>
      </c>
    </row>
    <row r="6228" spans="1:12" hidden="1" x14ac:dyDescent="0.3">
      <c r="A6228" t="s">
        <v>79</v>
      </c>
      <c r="B6228" t="s">
        <v>80</v>
      </c>
      <c r="C6228" t="s">
        <v>127</v>
      </c>
      <c r="D6228" t="s">
        <v>128</v>
      </c>
      <c r="E6228">
        <v>1969</v>
      </c>
      <c r="F6228" s="1">
        <v>35072</v>
      </c>
      <c r="G6228">
        <v>1970</v>
      </c>
      <c r="H6228">
        <f>AVERAGEIFS(Table1[value],Table1[IndicatorCode],Table1[[#This Row],[IndicatorCode]])</f>
        <v>24902.88753799392</v>
      </c>
      <c r="I6228" cm="1">
        <f t="array" ref="I6228">_xlfn.STDEV.P(IF(Table1[IndicatorCode]=Table1[[#This Row],[IndicatorCode]],Table1[value]))</f>
        <v>26324.778297809873</v>
      </c>
      <c r="J6228">
        <f>(Table1[[#This Row],[value]] - Table1[[#This Row],[mean]]) / Table1[[#This Row],[std_dev]]</f>
        <v>0.38629432494981786</v>
      </c>
      <c r="K6228">
        <f>AVERAGEIF(Table1[CountryCode],Table1[[#This Row],[CountryCode]],Table1[z-score])</f>
        <v>1.6213099703277349</v>
      </c>
      <c r="L6228" t="e">
        <f>VLOOKUP(Table1[[#This Row],[CountryCode]],[1]!Table1[#All],1,FALSE)</f>
        <v>#REF!</v>
      </c>
    </row>
    <row r="6229" spans="1:12" hidden="1" x14ac:dyDescent="0.3">
      <c r="A6229" t="s">
        <v>79</v>
      </c>
      <c r="B6229" t="s">
        <v>80</v>
      </c>
      <c r="C6229" t="s">
        <v>127</v>
      </c>
      <c r="D6229" t="s">
        <v>128</v>
      </c>
      <c r="E6229">
        <v>1970</v>
      </c>
      <c r="F6229" s="1">
        <v>35514</v>
      </c>
      <c r="G6229">
        <v>1970</v>
      </c>
      <c r="H6229">
        <f>AVERAGEIFS(Table1[value],Table1[IndicatorCode],Table1[[#This Row],[IndicatorCode]])</f>
        <v>24902.88753799392</v>
      </c>
      <c r="I6229" cm="1">
        <f t="array" ref="I6229">_xlfn.STDEV.P(IF(Table1[IndicatorCode]=Table1[[#This Row],[IndicatorCode]],Table1[value]))</f>
        <v>26324.778297809873</v>
      </c>
      <c r="J6229">
        <f>(Table1[[#This Row],[value]] - Table1[[#This Row],[mean]]) / Table1[[#This Row],[std_dev]]</f>
        <v>0.40308458980977957</v>
      </c>
      <c r="K6229">
        <f>AVERAGEIF(Table1[CountryCode],Table1[[#This Row],[CountryCode]],Table1[z-score])</f>
        <v>1.6213099703277349</v>
      </c>
      <c r="L6229" t="e">
        <f>VLOOKUP(Table1[[#This Row],[CountryCode]],[1]!Table1[#All],1,FALSE)</f>
        <v>#REF!</v>
      </c>
    </row>
    <row r="6230" spans="1:12" hidden="1" x14ac:dyDescent="0.3">
      <c r="A6230" t="s">
        <v>79</v>
      </c>
      <c r="B6230" t="s">
        <v>80</v>
      </c>
      <c r="C6230" t="s">
        <v>127</v>
      </c>
      <c r="D6230" t="s">
        <v>128</v>
      </c>
      <c r="E6230">
        <v>1971</v>
      </c>
      <c r="F6230" s="1">
        <v>36115</v>
      </c>
      <c r="G6230">
        <v>1970</v>
      </c>
      <c r="H6230">
        <f>AVERAGEIFS(Table1[value],Table1[IndicatorCode],Table1[[#This Row],[IndicatorCode]])</f>
        <v>24902.88753799392</v>
      </c>
      <c r="I6230" cm="1">
        <f t="array" ref="I6230">_xlfn.STDEV.P(IF(Table1[IndicatorCode]=Table1[[#This Row],[IndicatorCode]],Table1[value]))</f>
        <v>26324.778297809873</v>
      </c>
      <c r="J6230">
        <f>(Table1[[#This Row],[value]] - Table1[[#This Row],[mean]]) / Table1[[#This Row],[std_dev]]</f>
        <v>0.42591479157637913</v>
      </c>
      <c r="K6230">
        <f>AVERAGEIF(Table1[CountryCode],Table1[[#This Row],[CountryCode]],Table1[z-score])</f>
        <v>1.6213099703277349</v>
      </c>
      <c r="L6230" t="e">
        <f>VLOOKUP(Table1[[#This Row],[CountryCode]],[1]!Table1[#All],1,FALSE)</f>
        <v>#REF!</v>
      </c>
    </row>
    <row r="6231" spans="1:12" hidden="1" x14ac:dyDescent="0.3">
      <c r="A6231" t="s">
        <v>79</v>
      </c>
      <c r="B6231" t="s">
        <v>80</v>
      </c>
      <c r="C6231" t="s">
        <v>127</v>
      </c>
      <c r="D6231" t="s">
        <v>128</v>
      </c>
      <c r="E6231">
        <v>1972</v>
      </c>
      <c r="F6231" s="1">
        <v>38034</v>
      </c>
      <c r="G6231">
        <v>1970</v>
      </c>
      <c r="H6231">
        <f>AVERAGEIFS(Table1[value],Table1[IndicatorCode],Table1[[#This Row],[IndicatorCode]])</f>
        <v>24902.88753799392</v>
      </c>
      <c r="I6231" cm="1">
        <f t="array" ref="I6231">_xlfn.STDEV.P(IF(Table1[IndicatorCode]=Table1[[#This Row],[IndicatorCode]],Table1[value]))</f>
        <v>26324.778297809873</v>
      </c>
      <c r="J6231">
        <f>(Table1[[#This Row],[value]] - Table1[[#This Row],[mean]]) / Table1[[#This Row],[std_dev]]</f>
        <v>0.49881189172630341</v>
      </c>
      <c r="K6231">
        <f>AVERAGEIF(Table1[CountryCode],Table1[[#This Row],[CountryCode]],Table1[z-score])</f>
        <v>1.6213099703277349</v>
      </c>
      <c r="L6231" t="e">
        <f>VLOOKUP(Table1[[#This Row],[CountryCode]],[1]!Table1[#All],1,FALSE)</f>
        <v>#REF!</v>
      </c>
    </row>
    <row r="6232" spans="1:12" hidden="1" x14ac:dyDescent="0.3">
      <c r="A6232" t="s">
        <v>79</v>
      </c>
      <c r="B6232" t="s">
        <v>80</v>
      </c>
      <c r="C6232" t="s">
        <v>127</v>
      </c>
      <c r="D6232" t="s">
        <v>128</v>
      </c>
      <c r="E6232">
        <v>1973</v>
      </c>
      <c r="F6232" s="1">
        <v>40743</v>
      </c>
      <c r="G6232">
        <v>1970</v>
      </c>
      <c r="H6232">
        <f>AVERAGEIFS(Table1[value],Table1[IndicatorCode],Table1[[#This Row],[IndicatorCode]])</f>
        <v>24902.88753799392</v>
      </c>
      <c r="I6232" cm="1">
        <f t="array" ref="I6232">_xlfn.STDEV.P(IF(Table1[IndicatorCode]=Table1[[#This Row],[IndicatorCode]],Table1[value]))</f>
        <v>26324.778297809873</v>
      </c>
      <c r="J6232">
        <f>(Table1[[#This Row],[value]] - Table1[[#This Row],[mean]]) / Table1[[#This Row],[std_dev]]</f>
        <v>0.60171874128656655</v>
      </c>
      <c r="K6232">
        <f>AVERAGEIF(Table1[CountryCode],Table1[[#This Row],[CountryCode]],Table1[z-score])</f>
        <v>1.6213099703277349</v>
      </c>
      <c r="L6232" t="e">
        <f>VLOOKUP(Table1[[#This Row],[CountryCode]],[1]!Table1[#All],1,FALSE)</f>
        <v>#REF!</v>
      </c>
    </row>
    <row r="6233" spans="1:12" hidden="1" x14ac:dyDescent="0.3">
      <c r="A6233" t="s">
        <v>79</v>
      </c>
      <c r="B6233" t="s">
        <v>80</v>
      </c>
      <c r="C6233" t="s">
        <v>127</v>
      </c>
      <c r="D6233" t="s">
        <v>128</v>
      </c>
      <c r="E6233">
        <v>1974</v>
      </c>
      <c r="F6233" s="1">
        <v>41909</v>
      </c>
      <c r="G6233">
        <v>1970</v>
      </c>
      <c r="H6233">
        <f>AVERAGEIFS(Table1[value],Table1[IndicatorCode],Table1[[#This Row],[IndicatorCode]])</f>
        <v>24902.88753799392</v>
      </c>
      <c r="I6233" cm="1">
        <f t="array" ref="I6233">_xlfn.STDEV.P(IF(Table1[IndicatorCode]=Table1[[#This Row],[IndicatorCode]],Table1[value]))</f>
        <v>26324.778297809873</v>
      </c>
      <c r="J6233">
        <f>(Table1[[#This Row],[value]] - Table1[[#This Row],[mean]]) / Table1[[#This Row],[std_dev]]</f>
        <v>0.64601161193524381</v>
      </c>
      <c r="K6233">
        <f>AVERAGEIF(Table1[CountryCode],Table1[[#This Row],[CountryCode]],Table1[z-score])</f>
        <v>1.6213099703277349</v>
      </c>
      <c r="L6233" t="e">
        <f>VLOOKUP(Table1[[#This Row],[CountryCode]],[1]!Table1[#All],1,FALSE)</f>
        <v>#REF!</v>
      </c>
    </row>
    <row r="6234" spans="1:12" hidden="1" x14ac:dyDescent="0.3">
      <c r="A6234" t="s">
        <v>79</v>
      </c>
      <c r="B6234" t="s">
        <v>80</v>
      </c>
      <c r="C6234" t="s">
        <v>127</v>
      </c>
      <c r="D6234" t="s">
        <v>128</v>
      </c>
      <c r="E6234">
        <v>1975</v>
      </c>
      <c r="F6234" s="1">
        <v>38730</v>
      </c>
      <c r="G6234">
        <v>1970</v>
      </c>
      <c r="H6234">
        <f>AVERAGEIFS(Table1[value],Table1[IndicatorCode],Table1[[#This Row],[IndicatorCode]])</f>
        <v>24902.88753799392</v>
      </c>
      <c r="I6234" cm="1">
        <f t="array" ref="I6234">_xlfn.STDEV.P(IF(Table1[IndicatorCode]=Table1[[#This Row],[IndicatorCode]],Table1[value]))</f>
        <v>26324.778297809873</v>
      </c>
      <c r="J6234">
        <f>(Table1[[#This Row],[value]] - Table1[[#This Row],[mean]]) / Table1[[#This Row],[std_dev]]</f>
        <v>0.52525086082705763</v>
      </c>
      <c r="K6234">
        <f>AVERAGEIF(Table1[CountryCode],Table1[[#This Row],[CountryCode]],Table1[z-score])</f>
        <v>1.6213099703277349</v>
      </c>
      <c r="L6234" t="e">
        <f>VLOOKUP(Table1[[#This Row],[CountryCode]],[1]!Table1[#All],1,FALSE)</f>
        <v>#REF!</v>
      </c>
    </row>
    <row r="6235" spans="1:12" hidden="1" x14ac:dyDescent="0.3">
      <c r="A6235" t="s">
        <v>79</v>
      </c>
      <c r="B6235" t="s">
        <v>80</v>
      </c>
      <c r="C6235" t="s">
        <v>127</v>
      </c>
      <c r="D6235" t="s">
        <v>128</v>
      </c>
      <c r="E6235">
        <v>1976</v>
      </c>
      <c r="F6235" s="1">
        <v>39515</v>
      </c>
      <c r="G6235">
        <v>1970</v>
      </c>
      <c r="H6235">
        <f>AVERAGEIFS(Table1[value],Table1[IndicatorCode],Table1[[#This Row],[IndicatorCode]])</f>
        <v>24902.88753799392</v>
      </c>
      <c r="I6235" cm="1">
        <f t="array" ref="I6235">_xlfn.STDEV.P(IF(Table1[IndicatorCode]=Table1[[#This Row],[IndicatorCode]],Table1[value]))</f>
        <v>26324.778297809873</v>
      </c>
      <c r="J6235">
        <f>(Table1[[#This Row],[value]] - Table1[[#This Row],[mean]]) / Table1[[#This Row],[std_dev]]</f>
        <v>0.55507067511454622</v>
      </c>
      <c r="K6235">
        <f>AVERAGEIF(Table1[CountryCode],Table1[[#This Row],[CountryCode]],Table1[z-score])</f>
        <v>1.6213099703277349</v>
      </c>
      <c r="L6235" t="e">
        <f>VLOOKUP(Table1[[#This Row],[CountryCode]],[1]!Table1[#All],1,FALSE)</f>
        <v>#REF!</v>
      </c>
    </row>
    <row r="6236" spans="1:12" hidden="1" x14ac:dyDescent="0.3">
      <c r="A6236" t="s">
        <v>79</v>
      </c>
      <c r="B6236" t="s">
        <v>80</v>
      </c>
      <c r="C6236" t="s">
        <v>127</v>
      </c>
      <c r="D6236" t="s">
        <v>128</v>
      </c>
      <c r="E6236">
        <v>1977</v>
      </c>
      <c r="F6236" s="1">
        <v>40066</v>
      </c>
      <c r="G6236">
        <v>1980</v>
      </c>
      <c r="H6236">
        <f>AVERAGEIFS(Table1[value],Table1[IndicatorCode],Table1[[#This Row],[IndicatorCode]])</f>
        <v>24902.88753799392</v>
      </c>
      <c r="I6236" cm="1">
        <f t="array" ref="I6236">_xlfn.STDEV.P(IF(Table1[IndicatorCode]=Table1[[#This Row],[IndicatorCode]],Table1[value]))</f>
        <v>26324.778297809873</v>
      </c>
      <c r="J6236">
        <f>(Table1[[#This Row],[value]] - Table1[[#This Row],[mean]]) / Table1[[#This Row],[std_dev]]</f>
        <v>0.57600152565264329</v>
      </c>
      <c r="K6236">
        <f>AVERAGEIF(Table1[CountryCode],Table1[[#This Row],[CountryCode]],Table1[z-score])</f>
        <v>1.6213099703277349</v>
      </c>
      <c r="L6236" t="e">
        <f>VLOOKUP(Table1[[#This Row],[CountryCode]],[1]!Table1[#All],1,FALSE)</f>
        <v>#REF!</v>
      </c>
    </row>
    <row r="6237" spans="1:12" hidden="1" x14ac:dyDescent="0.3">
      <c r="A6237" t="s">
        <v>79</v>
      </c>
      <c r="B6237" t="s">
        <v>80</v>
      </c>
      <c r="C6237" t="s">
        <v>127</v>
      </c>
      <c r="D6237" t="s">
        <v>128</v>
      </c>
      <c r="E6237">
        <v>1978</v>
      </c>
      <c r="F6237" s="1">
        <v>41624</v>
      </c>
      <c r="G6237">
        <v>1980</v>
      </c>
      <c r="H6237">
        <f>AVERAGEIFS(Table1[value],Table1[IndicatorCode],Table1[[#This Row],[IndicatorCode]])</f>
        <v>24902.88753799392</v>
      </c>
      <c r="I6237" cm="1">
        <f t="array" ref="I6237">_xlfn.STDEV.P(IF(Table1[IndicatorCode]=Table1[[#This Row],[IndicatorCode]],Table1[value]))</f>
        <v>26324.778297809873</v>
      </c>
      <c r="J6237">
        <f>(Table1[[#This Row],[value]] - Table1[[#This Row],[mean]]) / Table1[[#This Row],[std_dev]]</f>
        <v>0.63518530993277977</v>
      </c>
      <c r="K6237">
        <f>AVERAGEIF(Table1[CountryCode],Table1[[#This Row],[CountryCode]],Table1[z-score])</f>
        <v>1.6213099703277349</v>
      </c>
      <c r="L6237" t="e">
        <f>VLOOKUP(Table1[[#This Row],[CountryCode]],[1]!Table1[#All],1,FALSE)</f>
        <v>#REF!</v>
      </c>
    </row>
    <row r="6238" spans="1:12" hidden="1" x14ac:dyDescent="0.3">
      <c r="A6238" t="s">
        <v>79</v>
      </c>
      <c r="B6238" t="s">
        <v>80</v>
      </c>
      <c r="C6238" t="s">
        <v>127</v>
      </c>
      <c r="D6238" t="s">
        <v>128</v>
      </c>
      <c r="E6238">
        <v>1979</v>
      </c>
      <c r="F6238" s="1">
        <v>42500</v>
      </c>
      <c r="G6238">
        <v>1980</v>
      </c>
      <c r="H6238">
        <f>AVERAGEIFS(Table1[value],Table1[IndicatorCode],Table1[[#This Row],[IndicatorCode]])</f>
        <v>24902.88753799392</v>
      </c>
      <c r="I6238" cm="1">
        <f t="array" ref="I6238">_xlfn.STDEV.P(IF(Table1[IndicatorCode]=Table1[[#This Row],[IndicatorCode]],Table1[value]))</f>
        <v>26324.778297809873</v>
      </c>
      <c r="J6238">
        <f>(Table1[[#This Row],[value]] - Table1[[#This Row],[mean]]) / Table1[[#This Row],[std_dev]]</f>
        <v>0.66846194345614285</v>
      </c>
      <c r="K6238">
        <f>AVERAGEIF(Table1[CountryCode],Table1[[#This Row],[CountryCode]],Table1[z-score])</f>
        <v>1.6213099703277349</v>
      </c>
      <c r="L6238" t="e">
        <f>VLOOKUP(Table1[[#This Row],[CountryCode]],[1]!Table1[#All],1,FALSE)</f>
        <v>#REF!</v>
      </c>
    </row>
    <row r="6239" spans="1:12" hidden="1" x14ac:dyDescent="0.3">
      <c r="A6239" t="s">
        <v>79</v>
      </c>
      <c r="B6239" t="s">
        <v>80</v>
      </c>
      <c r="C6239" t="s">
        <v>127</v>
      </c>
      <c r="D6239" t="s">
        <v>128</v>
      </c>
      <c r="E6239">
        <v>1980</v>
      </c>
      <c r="F6239" s="1">
        <v>42705</v>
      </c>
      <c r="G6239">
        <v>1980</v>
      </c>
      <c r="H6239">
        <f>AVERAGEIFS(Table1[value],Table1[IndicatorCode],Table1[[#This Row],[IndicatorCode]])</f>
        <v>24902.88753799392</v>
      </c>
      <c r="I6239" cm="1">
        <f t="array" ref="I6239">_xlfn.STDEV.P(IF(Table1[IndicatorCode]=Table1[[#This Row],[IndicatorCode]],Table1[value]))</f>
        <v>26324.778297809873</v>
      </c>
      <c r="J6239">
        <f>(Table1[[#This Row],[value]] - Table1[[#This Row],[mean]]) / Table1[[#This Row],[std_dev]]</f>
        <v>0.67624928349300295</v>
      </c>
      <c r="K6239">
        <f>AVERAGEIF(Table1[CountryCode],Table1[[#This Row],[CountryCode]],Table1[z-score])</f>
        <v>1.6213099703277349</v>
      </c>
      <c r="L6239" t="e">
        <f>VLOOKUP(Table1[[#This Row],[CountryCode]],[1]!Table1[#All],1,FALSE)</f>
        <v>#REF!</v>
      </c>
    </row>
    <row r="6240" spans="1:12" hidden="1" x14ac:dyDescent="0.3">
      <c r="A6240" t="s">
        <v>79</v>
      </c>
      <c r="B6240" t="s">
        <v>80</v>
      </c>
      <c r="C6240" t="s">
        <v>127</v>
      </c>
      <c r="D6240" t="s">
        <v>128</v>
      </c>
      <c r="E6240">
        <v>1981</v>
      </c>
      <c r="F6240" s="1">
        <v>42345</v>
      </c>
      <c r="G6240">
        <v>1980</v>
      </c>
      <c r="H6240">
        <f>AVERAGEIFS(Table1[value],Table1[IndicatorCode],Table1[[#This Row],[IndicatorCode]])</f>
        <v>24902.88753799392</v>
      </c>
      <c r="I6240" cm="1">
        <f t="array" ref="I6240">_xlfn.STDEV.P(IF(Table1[IndicatorCode]=Table1[[#This Row],[IndicatorCode]],Table1[value]))</f>
        <v>26324.778297809873</v>
      </c>
      <c r="J6240">
        <f>(Table1[[#This Row],[value]] - Table1[[#This Row],[mean]]) / Table1[[#This Row],[std_dev]]</f>
        <v>0.66257395464778523</v>
      </c>
      <c r="K6240">
        <f>AVERAGEIF(Table1[CountryCode],Table1[[#This Row],[CountryCode]],Table1[z-score])</f>
        <v>1.6213099703277349</v>
      </c>
      <c r="L6240" t="e">
        <f>VLOOKUP(Table1[[#This Row],[CountryCode]],[1]!Table1[#All],1,FALSE)</f>
        <v>#REF!</v>
      </c>
    </row>
    <row r="6241" spans="1:12" hidden="1" x14ac:dyDescent="0.3">
      <c r="A6241" t="s">
        <v>79</v>
      </c>
      <c r="B6241" t="s">
        <v>80</v>
      </c>
      <c r="C6241" t="s">
        <v>127</v>
      </c>
      <c r="D6241" t="s">
        <v>128</v>
      </c>
      <c r="E6241">
        <v>1982</v>
      </c>
      <c r="F6241" s="1">
        <v>42789</v>
      </c>
      <c r="G6241">
        <v>1980</v>
      </c>
      <c r="H6241">
        <f>AVERAGEIFS(Table1[value],Table1[IndicatorCode],Table1[[#This Row],[IndicatorCode]])</f>
        <v>24902.88753799392</v>
      </c>
      <c r="I6241" cm="1">
        <f t="array" ref="I6241">_xlfn.STDEV.P(IF(Table1[IndicatorCode]=Table1[[#This Row],[IndicatorCode]],Table1[value]))</f>
        <v>26324.778297809873</v>
      </c>
      <c r="J6241">
        <f>(Table1[[#This Row],[value]] - Table1[[#This Row],[mean]]) / Table1[[#This Row],[std_dev]]</f>
        <v>0.67944019355688701</v>
      </c>
      <c r="K6241">
        <f>AVERAGEIF(Table1[CountryCode],Table1[[#This Row],[CountryCode]],Table1[z-score])</f>
        <v>1.6213099703277349</v>
      </c>
      <c r="L6241" t="e">
        <f>VLOOKUP(Table1[[#This Row],[CountryCode]],[1]!Table1[#All],1,FALSE)</f>
        <v>#REF!</v>
      </c>
    </row>
    <row r="6242" spans="1:12" hidden="1" x14ac:dyDescent="0.3">
      <c r="A6242" t="s">
        <v>79</v>
      </c>
      <c r="B6242" t="s">
        <v>80</v>
      </c>
      <c r="C6242" t="s">
        <v>127</v>
      </c>
      <c r="D6242" t="s">
        <v>128</v>
      </c>
      <c r="E6242">
        <v>1983</v>
      </c>
      <c r="F6242" s="1">
        <v>44056</v>
      </c>
      <c r="G6242">
        <v>1980</v>
      </c>
      <c r="H6242">
        <f>AVERAGEIFS(Table1[value],Table1[IndicatorCode],Table1[[#This Row],[IndicatorCode]])</f>
        <v>24902.88753799392</v>
      </c>
      <c r="I6242" cm="1">
        <f t="array" ref="I6242">_xlfn.STDEV.P(IF(Table1[IndicatorCode]=Table1[[#This Row],[IndicatorCode]],Table1[value]))</f>
        <v>26324.778297809873</v>
      </c>
      <c r="J6242">
        <f>(Table1[[#This Row],[value]] - Table1[[#This Row],[mean]]) / Table1[[#This Row],[std_dev]]</f>
        <v>0.72756975368713928</v>
      </c>
      <c r="K6242">
        <f>AVERAGEIF(Table1[CountryCode],Table1[[#This Row],[CountryCode]],Table1[z-score])</f>
        <v>1.6213099703277349</v>
      </c>
      <c r="L6242" t="e">
        <f>VLOOKUP(Table1[[#This Row],[CountryCode]],[1]!Table1[#All],1,FALSE)</f>
        <v>#REF!</v>
      </c>
    </row>
    <row r="6243" spans="1:12" hidden="1" x14ac:dyDescent="0.3">
      <c r="A6243" t="s">
        <v>79</v>
      </c>
      <c r="B6243" t="s">
        <v>80</v>
      </c>
      <c r="C6243" t="s">
        <v>127</v>
      </c>
      <c r="D6243" t="s">
        <v>128</v>
      </c>
      <c r="E6243">
        <v>1984</v>
      </c>
      <c r="F6243" s="1">
        <v>46734</v>
      </c>
      <c r="G6243">
        <v>1980</v>
      </c>
      <c r="H6243">
        <f>AVERAGEIFS(Table1[value],Table1[IndicatorCode],Table1[[#This Row],[IndicatorCode]])</f>
        <v>24902.88753799392</v>
      </c>
      <c r="I6243" cm="1">
        <f t="array" ref="I6243">_xlfn.STDEV.P(IF(Table1[IndicatorCode]=Table1[[#This Row],[IndicatorCode]],Table1[value]))</f>
        <v>26324.778297809873</v>
      </c>
      <c r="J6243">
        <f>(Table1[[#This Row],[value]] - Table1[[#This Row],[mean]]) / Table1[[#This Row],[std_dev]]</f>
        <v>0.82929900548573088</v>
      </c>
      <c r="K6243">
        <f>AVERAGEIF(Table1[CountryCode],Table1[[#This Row],[CountryCode]],Table1[z-score])</f>
        <v>1.6213099703277349</v>
      </c>
      <c r="L6243" t="e">
        <f>VLOOKUP(Table1[[#This Row],[CountryCode]],[1]!Table1[#All],1,FALSE)</f>
        <v>#REF!</v>
      </c>
    </row>
    <row r="6244" spans="1:12" hidden="1" x14ac:dyDescent="0.3">
      <c r="A6244" t="s">
        <v>79</v>
      </c>
      <c r="B6244" t="s">
        <v>80</v>
      </c>
      <c r="C6244" t="s">
        <v>127</v>
      </c>
      <c r="D6244" t="s">
        <v>128</v>
      </c>
      <c r="E6244">
        <v>1985</v>
      </c>
      <c r="F6244" s="1">
        <v>47946</v>
      </c>
      <c r="G6244">
        <v>1980</v>
      </c>
      <c r="H6244">
        <f>AVERAGEIFS(Table1[value],Table1[IndicatorCode],Table1[[#This Row],[IndicatorCode]])</f>
        <v>24902.88753799392</v>
      </c>
      <c r="I6244" cm="1">
        <f t="array" ref="I6244">_xlfn.STDEV.P(IF(Table1[IndicatorCode]=Table1[[#This Row],[IndicatorCode]],Table1[value]))</f>
        <v>26324.778297809873</v>
      </c>
      <c r="J6244">
        <f>(Table1[[#This Row],[value]] - Table1[[#This Row],[mean]]) / Table1[[#This Row],[std_dev]]</f>
        <v>0.87533927926463051</v>
      </c>
      <c r="K6244">
        <f>AVERAGEIF(Table1[CountryCode],Table1[[#This Row],[CountryCode]],Table1[z-score])</f>
        <v>1.6213099703277349</v>
      </c>
      <c r="L6244" t="e">
        <f>VLOOKUP(Table1[[#This Row],[CountryCode]],[1]!Table1[#All],1,FALSE)</f>
        <v>#REF!</v>
      </c>
    </row>
    <row r="6245" spans="1:12" hidden="1" x14ac:dyDescent="0.3">
      <c r="A6245" t="s">
        <v>79</v>
      </c>
      <c r="B6245" t="s">
        <v>80</v>
      </c>
      <c r="C6245" t="s">
        <v>127</v>
      </c>
      <c r="D6245" t="s">
        <v>128</v>
      </c>
      <c r="E6245">
        <v>1986</v>
      </c>
      <c r="F6245" s="1">
        <v>52497</v>
      </c>
      <c r="G6245">
        <v>1980</v>
      </c>
      <c r="H6245">
        <f>AVERAGEIFS(Table1[value],Table1[IndicatorCode],Table1[[#This Row],[IndicatorCode]])</f>
        <v>24902.88753799392</v>
      </c>
      <c r="I6245" cm="1">
        <f t="array" ref="I6245">_xlfn.STDEV.P(IF(Table1[IndicatorCode]=Table1[[#This Row],[IndicatorCode]],Table1[value]))</f>
        <v>26324.778297809873</v>
      </c>
      <c r="J6245">
        <f>(Table1[[#This Row],[value]] - Table1[[#This Row],[mean]]) / Table1[[#This Row],[std_dev]]</f>
        <v>1.0482182280829242</v>
      </c>
      <c r="K6245">
        <f>AVERAGEIF(Table1[CountryCode],Table1[[#This Row],[CountryCode]],Table1[z-score])</f>
        <v>1.6213099703277349</v>
      </c>
      <c r="L6245" t="e">
        <f>VLOOKUP(Table1[[#This Row],[CountryCode]],[1]!Table1[#All],1,FALSE)</f>
        <v>#REF!</v>
      </c>
    </row>
    <row r="6246" spans="1:12" hidden="1" x14ac:dyDescent="0.3">
      <c r="A6246" t="s">
        <v>79</v>
      </c>
      <c r="B6246" t="s">
        <v>80</v>
      </c>
      <c r="C6246" t="s">
        <v>127</v>
      </c>
      <c r="D6246" t="s">
        <v>128</v>
      </c>
      <c r="E6246">
        <v>1987</v>
      </c>
      <c r="F6246" s="1">
        <v>54218</v>
      </c>
      <c r="G6246">
        <v>1990</v>
      </c>
      <c r="H6246">
        <f>AVERAGEIFS(Table1[value],Table1[IndicatorCode],Table1[[#This Row],[IndicatorCode]])</f>
        <v>24902.88753799392</v>
      </c>
      <c r="I6246" cm="1">
        <f t="array" ref="I6246">_xlfn.STDEV.P(IF(Table1[IndicatorCode]=Table1[[#This Row],[IndicatorCode]],Table1[value]))</f>
        <v>26324.778297809873</v>
      </c>
      <c r="J6246">
        <f>(Table1[[#This Row],[value]] - Table1[[#This Row],[mean]]) / Table1[[#This Row],[std_dev]]</f>
        <v>1.1135938973679786</v>
      </c>
      <c r="K6246">
        <f>AVERAGEIF(Table1[CountryCode],Table1[[#This Row],[CountryCode]],Table1[z-score])</f>
        <v>1.6213099703277349</v>
      </c>
      <c r="L6246" t="e">
        <f>VLOOKUP(Table1[[#This Row],[CountryCode]],[1]!Table1[#All],1,FALSE)</f>
        <v>#REF!</v>
      </c>
    </row>
    <row r="6247" spans="1:12" hidden="1" x14ac:dyDescent="0.3">
      <c r="A6247" t="s">
        <v>79</v>
      </c>
      <c r="B6247" t="s">
        <v>80</v>
      </c>
      <c r="C6247" t="s">
        <v>127</v>
      </c>
      <c r="D6247" t="s">
        <v>128</v>
      </c>
      <c r="E6247">
        <v>1988</v>
      </c>
      <c r="F6247" s="1">
        <v>58382</v>
      </c>
      <c r="G6247">
        <v>1990</v>
      </c>
      <c r="H6247">
        <f>AVERAGEIFS(Table1[value],Table1[IndicatorCode],Table1[[#This Row],[IndicatorCode]])</f>
        <v>24902.88753799392</v>
      </c>
      <c r="I6247" cm="1">
        <f t="array" ref="I6247">_xlfn.STDEV.P(IF(Table1[IndicatorCode]=Table1[[#This Row],[IndicatorCode]],Table1[value]))</f>
        <v>26324.778297809873</v>
      </c>
      <c r="J6247">
        <f>(Table1[[#This Row],[value]] - Table1[[#This Row],[mean]]) / Table1[[#This Row],[std_dev]]</f>
        <v>1.2717718676776633</v>
      </c>
      <c r="K6247">
        <f>AVERAGEIF(Table1[CountryCode],Table1[[#This Row],[CountryCode]],Table1[z-score])</f>
        <v>1.6213099703277349</v>
      </c>
      <c r="L6247" t="e">
        <f>VLOOKUP(Table1[[#This Row],[CountryCode]],[1]!Table1[#All],1,FALSE)</f>
        <v>#REF!</v>
      </c>
    </row>
    <row r="6248" spans="1:12" hidden="1" x14ac:dyDescent="0.3">
      <c r="A6248" t="s">
        <v>79</v>
      </c>
      <c r="B6248" t="s">
        <v>80</v>
      </c>
      <c r="C6248" t="s">
        <v>127</v>
      </c>
      <c r="D6248" t="s">
        <v>128</v>
      </c>
      <c r="E6248">
        <v>1989</v>
      </c>
      <c r="F6248" s="1">
        <v>63482</v>
      </c>
      <c r="G6248">
        <v>1990</v>
      </c>
      <c r="H6248">
        <f>AVERAGEIFS(Table1[value],Table1[IndicatorCode],Table1[[#This Row],[IndicatorCode]])</f>
        <v>24902.88753799392</v>
      </c>
      <c r="I6248" cm="1">
        <f t="array" ref="I6248">_xlfn.STDEV.P(IF(Table1[IndicatorCode]=Table1[[#This Row],[IndicatorCode]],Table1[value]))</f>
        <v>26324.778297809873</v>
      </c>
      <c r="J6248">
        <f>(Table1[[#This Row],[value]] - Table1[[#This Row],[mean]]) / Table1[[#This Row],[std_dev]]</f>
        <v>1.465505692984914</v>
      </c>
      <c r="K6248">
        <f>AVERAGEIF(Table1[CountryCode],Table1[[#This Row],[CountryCode]],Table1[z-score])</f>
        <v>1.6213099703277349</v>
      </c>
      <c r="L6248" t="e">
        <f>VLOOKUP(Table1[[#This Row],[CountryCode]],[1]!Table1[#All],1,FALSE)</f>
        <v>#REF!</v>
      </c>
    </row>
    <row r="6249" spans="1:12" hidden="1" x14ac:dyDescent="0.3">
      <c r="A6249" t="s">
        <v>79</v>
      </c>
      <c r="B6249" t="s">
        <v>80</v>
      </c>
      <c r="C6249" t="s">
        <v>127</v>
      </c>
      <c r="D6249" t="s">
        <v>128</v>
      </c>
      <c r="E6249">
        <v>1990</v>
      </c>
      <c r="F6249" s="1">
        <v>66027</v>
      </c>
      <c r="G6249">
        <v>1990</v>
      </c>
      <c r="H6249">
        <f>AVERAGEIFS(Table1[value],Table1[IndicatorCode],Table1[[#This Row],[IndicatorCode]])</f>
        <v>24902.88753799392</v>
      </c>
      <c r="I6249" cm="1">
        <f t="array" ref="I6249">_xlfn.STDEV.P(IF(Table1[IndicatorCode]=Table1[[#This Row],[IndicatorCode]],Table1[value]))</f>
        <v>26324.778297809873</v>
      </c>
      <c r="J6249">
        <f>(Table1[[#This Row],[value]] - Table1[[#This Row],[mean]]) / Table1[[#This Row],[std_dev]]</f>
        <v>1.5621826705156889</v>
      </c>
      <c r="K6249">
        <f>AVERAGEIF(Table1[CountryCode],Table1[[#This Row],[CountryCode]],Table1[z-score])</f>
        <v>1.6213099703277349</v>
      </c>
      <c r="L6249" t="e">
        <f>VLOOKUP(Table1[[#This Row],[CountryCode]],[1]!Table1[#All],1,FALSE)</f>
        <v>#REF!</v>
      </c>
    </row>
    <row r="6250" spans="1:12" hidden="1" x14ac:dyDescent="0.3">
      <c r="A6250" t="s">
        <v>79</v>
      </c>
      <c r="B6250" t="s">
        <v>80</v>
      </c>
      <c r="C6250" t="s">
        <v>127</v>
      </c>
      <c r="D6250" t="s">
        <v>128</v>
      </c>
      <c r="E6250">
        <v>1991</v>
      </c>
      <c r="F6250" s="1">
        <v>70780</v>
      </c>
      <c r="G6250">
        <v>1990</v>
      </c>
      <c r="H6250">
        <f>AVERAGEIFS(Table1[value],Table1[IndicatorCode],Table1[[#This Row],[IndicatorCode]])</f>
        <v>24902.88753799392</v>
      </c>
      <c r="I6250" cm="1">
        <f t="array" ref="I6250">_xlfn.STDEV.P(IF(Table1[IndicatorCode]=Table1[[#This Row],[IndicatorCode]],Table1[value]))</f>
        <v>26324.778297809873</v>
      </c>
      <c r="J6250">
        <f>(Table1[[#This Row],[value]] - Table1[[#This Row],[mean]]) / Table1[[#This Row],[std_dev]]</f>
        <v>1.7427349982971325</v>
      </c>
      <c r="K6250">
        <f>AVERAGEIF(Table1[CountryCode],Table1[[#This Row],[CountryCode]],Table1[z-score])</f>
        <v>1.6213099703277349</v>
      </c>
      <c r="L6250" t="e">
        <f>VLOOKUP(Table1[[#This Row],[CountryCode]],[1]!Table1[#All],1,FALSE)</f>
        <v>#REF!</v>
      </c>
    </row>
    <row r="6251" spans="1:12" hidden="1" x14ac:dyDescent="0.3">
      <c r="A6251" t="s">
        <v>79</v>
      </c>
      <c r="B6251" t="s">
        <v>80</v>
      </c>
      <c r="C6251" t="s">
        <v>127</v>
      </c>
      <c r="D6251" t="s">
        <v>128</v>
      </c>
      <c r="E6251">
        <v>1992</v>
      </c>
      <c r="F6251" s="1">
        <v>71117</v>
      </c>
      <c r="G6251">
        <v>1990</v>
      </c>
      <c r="H6251">
        <f>AVERAGEIFS(Table1[value],Table1[IndicatorCode],Table1[[#This Row],[IndicatorCode]])</f>
        <v>24902.88753799392</v>
      </c>
      <c r="I6251" cm="1">
        <f t="array" ref="I6251">_xlfn.STDEV.P(IF(Table1[IndicatorCode]=Table1[[#This Row],[IndicatorCode]],Table1[value]))</f>
        <v>26324.778297809873</v>
      </c>
      <c r="J6251">
        <f>(Table1[[#This Row],[value]] - Table1[[#This Row],[mean]]) / Table1[[#This Row],[std_dev]]</f>
        <v>1.7555366255772391</v>
      </c>
      <c r="K6251">
        <f>AVERAGEIF(Table1[CountryCode],Table1[[#This Row],[CountryCode]],Table1[z-score])</f>
        <v>1.6213099703277349</v>
      </c>
      <c r="L6251" t="e">
        <f>VLOOKUP(Table1[[#This Row],[CountryCode]],[1]!Table1[#All],1,FALSE)</f>
        <v>#REF!</v>
      </c>
    </row>
    <row r="6252" spans="1:12" hidden="1" x14ac:dyDescent="0.3">
      <c r="A6252" t="s">
        <v>79</v>
      </c>
      <c r="B6252" t="s">
        <v>80</v>
      </c>
      <c r="C6252" t="s">
        <v>127</v>
      </c>
      <c r="D6252" t="s">
        <v>128</v>
      </c>
      <c r="E6252">
        <v>1993</v>
      </c>
      <c r="F6252" s="1">
        <v>73116</v>
      </c>
      <c r="G6252">
        <v>1990</v>
      </c>
      <c r="H6252">
        <f>AVERAGEIFS(Table1[value],Table1[IndicatorCode],Table1[[#This Row],[IndicatorCode]])</f>
        <v>24902.88753799392</v>
      </c>
      <c r="I6252" cm="1">
        <f t="array" ref="I6252">_xlfn.STDEV.P(IF(Table1[IndicatorCode]=Table1[[#This Row],[IndicatorCode]],Table1[value]))</f>
        <v>26324.778297809873</v>
      </c>
      <c r="J6252">
        <f>(Table1[[#This Row],[value]] - Table1[[#This Row],[mean]]) / Table1[[#This Row],[std_dev]]</f>
        <v>1.8314726876927674</v>
      </c>
      <c r="K6252">
        <f>AVERAGEIF(Table1[CountryCode],Table1[[#This Row],[CountryCode]],Table1[z-score])</f>
        <v>1.6213099703277349</v>
      </c>
      <c r="L6252" t="e">
        <f>VLOOKUP(Table1[[#This Row],[CountryCode]],[1]!Table1[#All],1,FALSE)</f>
        <v>#REF!</v>
      </c>
    </row>
    <row r="6253" spans="1:12" hidden="1" x14ac:dyDescent="0.3">
      <c r="A6253" t="s">
        <v>79</v>
      </c>
      <c r="B6253" t="s">
        <v>80</v>
      </c>
      <c r="C6253" t="s">
        <v>127</v>
      </c>
      <c r="D6253" t="s">
        <v>128</v>
      </c>
      <c r="E6253">
        <v>1994</v>
      </c>
      <c r="F6253" s="1">
        <v>74883</v>
      </c>
      <c r="G6253">
        <v>1990</v>
      </c>
      <c r="H6253">
        <f>AVERAGEIFS(Table1[value],Table1[IndicatorCode],Table1[[#This Row],[IndicatorCode]])</f>
        <v>24902.88753799392</v>
      </c>
      <c r="I6253" cm="1">
        <f t="array" ref="I6253">_xlfn.STDEV.P(IF(Table1[IndicatorCode]=Table1[[#This Row],[IndicatorCode]],Table1[value]))</f>
        <v>26324.778297809873</v>
      </c>
      <c r="J6253">
        <f>(Table1[[#This Row],[value]] - Table1[[#This Row],[mean]]) / Table1[[#This Row],[std_dev]]</f>
        <v>1.8985957601080441</v>
      </c>
      <c r="K6253">
        <f>AVERAGEIF(Table1[CountryCode],Table1[[#This Row],[CountryCode]],Table1[z-score])</f>
        <v>1.6213099703277349</v>
      </c>
      <c r="L6253" t="e">
        <f>VLOOKUP(Table1[[#This Row],[CountryCode]],[1]!Table1[#All],1,FALSE)</f>
        <v>#REF!</v>
      </c>
    </row>
    <row r="6254" spans="1:12" hidden="1" x14ac:dyDescent="0.3">
      <c r="A6254" t="s">
        <v>79</v>
      </c>
      <c r="B6254" t="s">
        <v>80</v>
      </c>
      <c r="C6254" t="s">
        <v>127</v>
      </c>
      <c r="D6254" t="s">
        <v>128</v>
      </c>
      <c r="E6254">
        <v>1995</v>
      </c>
      <c r="F6254" s="1">
        <v>74896</v>
      </c>
      <c r="G6254">
        <v>1990</v>
      </c>
      <c r="H6254">
        <f>AVERAGEIFS(Table1[value],Table1[IndicatorCode],Table1[[#This Row],[IndicatorCode]])</f>
        <v>24902.88753799392</v>
      </c>
      <c r="I6254" cm="1">
        <f t="array" ref="I6254">_xlfn.STDEV.P(IF(Table1[IndicatorCode]=Table1[[#This Row],[IndicatorCode]],Table1[value]))</f>
        <v>26324.778297809873</v>
      </c>
      <c r="J6254">
        <f>(Table1[[#This Row],[value]] - Table1[[#This Row],[mean]]) / Table1[[#This Row],[std_dev]]</f>
        <v>1.8990895914274548</v>
      </c>
      <c r="K6254">
        <f>AVERAGEIF(Table1[CountryCode],Table1[[#This Row],[CountryCode]],Table1[z-score])</f>
        <v>1.6213099703277349</v>
      </c>
      <c r="L6254" t="e">
        <f>VLOOKUP(Table1[[#This Row],[CountryCode]],[1]!Table1[#All],1,FALSE)</f>
        <v>#REF!</v>
      </c>
    </row>
    <row r="6255" spans="1:12" hidden="1" x14ac:dyDescent="0.3">
      <c r="A6255" t="s">
        <v>79</v>
      </c>
      <c r="B6255" t="s">
        <v>80</v>
      </c>
      <c r="C6255" t="s">
        <v>127</v>
      </c>
      <c r="D6255" t="s">
        <v>128</v>
      </c>
      <c r="E6255">
        <v>1996</v>
      </c>
      <c r="F6255" s="1">
        <v>74917</v>
      </c>
      <c r="G6255">
        <v>1990</v>
      </c>
      <c r="H6255">
        <f>AVERAGEIFS(Table1[value],Table1[IndicatorCode],Table1[[#This Row],[IndicatorCode]])</f>
        <v>24902.88753799392</v>
      </c>
      <c r="I6255" cm="1">
        <f t="array" ref="I6255">_xlfn.STDEV.P(IF(Table1[IndicatorCode]=Table1[[#This Row],[IndicatorCode]],Table1[value]))</f>
        <v>26324.778297809873</v>
      </c>
      <c r="J6255">
        <f>(Table1[[#This Row],[value]] - Table1[[#This Row],[mean]]) / Table1[[#This Row],[std_dev]]</f>
        <v>1.8998873189434258</v>
      </c>
      <c r="K6255">
        <f>AVERAGEIF(Table1[CountryCode],Table1[[#This Row],[CountryCode]],Table1[z-score])</f>
        <v>1.6213099703277349</v>
      </c>
      <c r="L6255" t="e">
        <f>VLOOKUP(Table1[[#This Row],[CountryCode]],[1]!Table1[#All],1,FALSE)</f>
        <v>#REF!</v>
      </c>
    </row>
    <row r="6256" spans="1:12" hidden="1" x14ac:dyDescent="0.3">
      <c r="A6256" t="s">
        <v>79</v>
      </c>
      <c r="B6256" t="s">
        <v>80</v>
      </c>
      <c r="C6256" t="s">
        <v>127</v>
      </c>
      <c r="D6256" t="s">
        <v>128</v>
      </c>
      <c r="E6256">
        <v>1997</v>
      </c>
      <c r="F6256" s="1">
        <v>77993</v>
      </c>
      <c r="G6256">
        <v>2000</v>
      </c>
      <c r="H6256">
        <f>AVERAGEIFS(Table1[value],Table1[IndicatorCode],Table1[[#This Row],[IndicatorCode]])</f>
        <v>24902.88753799392</v>
      </c>
      <c r="I6256" cm="1">
        <f t="array" ref="I6256">_xlfn.STDEV.P(IF(Table1[IndicatorCode]=Table1[[#This Row],[IndicatorCode]],Table1[value]))</f>
        <v>26324.778297809873</v>
      </c>
      <c r="J6256">
        <f>(Table1[[#This Row],[value]] - Table1[[#This Row],[mean]]) / Table1[[#This Row],[std_dev]]</f>
        <v>2.0167354065208971</v>
      </c>
      <c r="K6256">
        <f>AVERAGEIF(Table1[CountryCode],Table1[[#This Row],[CountryCode]],Table1[z-score])</f>
        <v>1.6213099703277349</v>
      </c>
      <c r="L6256" t="e">
        <f>VLOOKUP(Table1[[#This Row],[CountryCode]],[1]!Table1[#All],1,FALSE)</f>
        <v>#REF!</v>
      </c>
    </row>
    <row r="6257" spans="1:12" hidden="1" x14ac:dyDescent="0.3">
      <c r="A6257" t="s">
        <v>79</v>
      </c>
      <c r="B6257" t="s">
        <v>80</v>
      </c>
      <c r="C6257" t="s">
        <v>127</v>
      </c>
      <c r="D6257" t="s">
        <v>128</v>
      </c>
      <c r="E6257">
        <v>1998</v>
      </c>
      <c r="F6257" s="1">
        <v>82170</v>
      </c>
      <c r="G6257">
        <v>2000</v>
      </c>
      <c r="H6257">
        <f>AVERAGEIFS(Table1[value],Table1[IndicatorCode],Table1[[#This Row],[IndicatorCode]])</f>
        <v>24902.88753799392</v>
      </c>
      <c r="I6257" cm="1">
        <f t="array" ref="I6257">_xlfn.STDEV.P(IF(Table1[IndicatorCode]=Table1[[#This Row],[IndicatorCode]],Table1[value]))</f>
        <v>26324.778297809873</v>
      </c>
      <c r="J6257">
        <f>(Table1[[#This Row],[value]] - Table1[[#This Row],[mean]]) / Table1[[#This Row],[std_dev]]</f>
        <v>2.1754072081499922</v>
      </c>
      <c r="K6257">
        <f>AVERAGEIF(Table1[CountryCode],Table1[[#This Row],[CountryCode]],Table1[z-score])</f>
        <v>1.6213099703277349</v>
      </c>
      <c r="L6257" t="e">
        <f>VLOOKUP(Table1[[#This Row],[CountryCode]],[1]!Table1[#All],1,FALSE)</f>
        <v>#REF!</v>
      </c>
    </row>
    <row r="6258" spans="1:12" hidden="1" x14ac:dyDescent="0.3">
      <c r="A6258" t="s">
        <v>79</v>
      </c>
      <c r="B6258" t="s">
        <v>80</v>
      </c>
      <c r="C6258" t="s">
        <v>127</v>
      </c>
      <c r="D6258" t="s">
        <v>128</v>
      </c>
      <c r="E6258">
        <v>1999</v>
      </c>
      <c r="F6258" s="1">
        <v>87695</v>
      </c>
      <c r="G6258">
        <v>2000</v>
      </c>
      <c r="H6258">
        <f>AVERAGEIFS(Table1[value],Table1[IndicatorCode],Table1[[#This Row],[IndicatorCode]])</f>
        <v>24902.88753799392</v>
      </c>
      <c r="I6258" cm="1">
        <f t="array" ref="I6258">_xlfn.STDEV.P(IF(Table1[IndicatorCode]=Table1[[#This Row],[IndicatorCode]],Table1[value]))</f>
        <v>26324.778297809873</v>
      </c>
      <c r="J6258">
        <f>(Table1[[#This Row],[value]] - Table1[[#This Row],[mean]]) / Table1[[#This Row],[std_dev]]</f>
        <v>2.3852855188995137</v>
      </c>
      <c r="K6258">
        <f>AVERAGEIF(Table1[CountryCode],Table1[[#This Row],[CountryCode]],Table1[z-score])</f>
        <v>1.6213099703277349</v>
      </c>
      <c r="L6258" t="e">
        <f>VLOOKUP(Table1[[#This Row],[CountryCode]],[1]!Table1[#All],1,FALSE)</f>
        <v>#REF!</v>
      </c>
    </row>
    <row r="6259" spans="1:12" hidden="1" x14ac:dyDescent="0.3">
      <c r="A6259" t="s">
        <v>79</v>
      </c>
      <c r="B6259" t="s">
        <v>80</v>
      </c>
      <c r="C6259" t="s">
        <v>127</v>
      </c>
      <c r="D6259" t="s">
        <v>128</v>
      </c>
      <c r="E6259">
        <v>2000</v>
      </c>
      <c r="F6259" s="1">
        <v>92528</v>
      </c>
      <c r="G6259">
        <v>2000</v>
      </c>
      <c r="H6259">
        <f>AVERAGEIFS(Table1[value],Table1[IndicatorCode],Table1[[#This Row],[IndicatorCode]])</f>
        <v>24902.88753799392</v>
      </c>
      <c r="I6259" cm="1">
        <f t="array" ref="I6259">_xlfn.STDEV.P(IF(Table1[IndicatorCode]=Table1[[#This Row],[IndicatorCode]],Table1[value]))</f>
        <v>26324.778297809873</v>
      </c>
      <c r="J6259">
        <f>(Table1[[#This Row],[value]] - Table1[[#This Row],[mean]]) / Table1[[#This Row],[std_dev]]</f>
        <v>2.5688768086465608</v>
      </c>
      <c r="K6259">
        <f>AVERAGEIF(Table1[CountryCode],Table1[[#This Row],[CountryCode]],Table1[z-score])</f>
        <v>1.6213099703277349</v>
      </c>
      <c r="L6259" t="e">
        <f>VLOOKUP(Table1[[#This Row],[CountryCode]],[1]!Table1[#All],1,FALSE)</f>
        <v>#REF!</v>
      </c>
    </row>
    <row r="6260" spans="1:12" hidden="1" x14ac:dyDescent="0.3">
      <c r="A6260" t="s">
        <v>79</v>
      </c>
      <c r="B6260" t="s">
        <v>80</v>
      </c>
      <c r="C6260" t="s">
        <v>127</v>
      </c>
      <c r="D6260" t="s">
        <v>128</v>
      </c>
      <c r="E6260">
        <v>2001</v>
      </c>
      <c r="F6260" s="1">
        <v>94244</v>
      </c>
      <c r="G6260">
        <v>2000</v>
      </c>
      <c r="H6260">
        <f>AVERAGEIFS(Table1[value],Table1[IndicatorCode],Table1[[#This Row],[IndicatorCode]])</f>
        <v>24902.88753799392</v>
      </c>
      <c r="I6260" cm="1">
        <f t="array" ref="I6260">_xlfn.STDEV.P(IF(Table1[IndicatorCode]=Table1[[#This Row],[IndicatorCode]],Table1[value]))</f>
        <v>26324.778297809873</v>
      </c>
      <c r="J6260">
        <f>(Table1[[#This Row],[value]] - Table1[[#This Row],[mean]]) / Table1[[#This Row],[std_dev]]</f>
        <v>2.6340625428087652</v>
      </c>
      <c r="K6260">
        <f>AVERAGEIF(Table1[CountryCode],Table1[[#This Row],[CountryCode]],Table1[z-score])</f>
        <v>1.6213099703277349</v>
      </c>
      <c r="L6260" t="e">
        <f>VLOOKUP(Table1[[#This Row],[CountryCode]],[1]!Table1[#All],1,FALSE)</f>
        <v>#REF!</v>
      </c>
    </row>
    <row r="6261" spans="1:12" hidden="1" x14ac:dyDescent="0.3">
      <c r="A6261" t="s">
        <v>79</v>
      </c>
      <c r="B6261" t="s">
        <v>80</v>
      </c>
      <c r="C6261" t="s">
        <v>127</v>
      </c>
      <c r="D6261" t="s">
        <v>128</v>
      </c>
      <c r="E6261">
        <v>2002</v>
      </c>
      <c r="F6261" s="1">
        <v>96270</v>
      </c>
      <c r="G6261">
        <v>2000</v>
      </c>
      <c r="H6261">
        <f>AVERAGEIFS(Table1[value],Table1[IndicatorCode],Table1[[#This Row],[IndicatorCode]])</f>
        <v>24902.88753799392</v>
      </c>
      <c r="I6261" cm="1">
        <f t="array" ref="I6261">_xlfn.STDEV.P(IF(Table1[IndicatorCode]=Table1[[#This Row],[IndicatorCode]],Table1[value]))</f>
        <v>26324.778297809873</v>
      </c>
      <c r="J6261">
        <f>(Table1[[#This Row],[value]] - Table1[[#This Row],[mean]]) / Table1[[#This Row],[std_dev]]</f>
        <v>2.7110242545876848</v>
      </c>
      <c r="K6261">
        <f>AVERAGEIF(Table1[CountryCode],Table1[[#This Row],[CountryCode]],Table1[z-score])</f>
        <v>1.6213099703277349</v>
      </c>
      <c r="L6261" t="e">
        <f>VLOOKUP(Table1[[#This Row],[CountryCode]],[1]!Table1[#All],1,FALSE)</f>
        <v>#REF!</v>
      </c>
    </row>
    <row r="6262" spans="1:12" hidden="1" x14ac:dyDescent="0.3">
      <c r="A6262" t="s">
        <v>79</v>
      </c>
      <c r="B6262" t="s">
        <v>80</v>
      </c>
      <c r="C6262" t="s">
        <v>127</v>
      </c>
      <c r="D6262" t="s">
        <v>128</v>
      </c>
      <c r="E6262">
        <v>2003</v>
      </c>
      <c r="F6262" s="1">
        <v>97598</v>
      </c>
      <c r="G6262">
        <v>2000</v>
      </c>
      <c r="H6262">
        <f>AVERAGEIFS(Table1[value],Table1[IndicatorCode],Table1[[#This Row],[IndicatorCode]])</f>
        <v>24902.88753799392</v>
      </c>
      <c r="I6262" cm="1">
        <f t="array" ref="I6262">_xlfn.STDEV.P(IF(Table1[IndicatorCode]=Table1[[#This Row],[IndicatorCode]],Table1[value]))</f>
        <v>26324.778297809873</v>
      </c>
      <c r="J6262">
        <f>(Table1[[#This Row],[value]] - Table1[[#This Row],[mean]]) / Table1[[#This Row],[std_dev]]</f>
        <v>2.7614710232167101</v>
      </c>
      <c r="K6262">
        <f>AVERAGEIF(Table1[CountryCode],Table1[[#This Row],[CountryCode]],Table1[z-score])</f>
        <v>1.6213099703277349</v>
      </c>
      <c r="L6262" t="e">
        <f>VLOOKUP(Table1[[#This Row],[CountryCode]],[1]!Table1[#All],1,FALSE)</f>
        <v>#REF!</v>
      </c>
    </row>
    <row r="6263" spans="1:12" hidden="1" x14ac:dyDescent="0.3">
      <c r="A6263" t="s">
        <v>79</v>
      </c>
      <c r="B6263" t="s">
        <v>80</v>
      </c>
      <c r="C6263" t="s">
        <v>127</v>
      </c>
      <c r="D6263" t="s">
        <v>128</v>
      </c>
      <c r="E6263">
        <v>2004</v>
      </c>
      <c r="F6263" s="1">
        <v>100293</v>
      </c>
      <c r="G6263">
        <v>2000</v>
      </c>
      <c r="H6263">
        <f>AVERAGEIFS(Table1[value],Table1[IndicatorCode],Table1[[#This Row],[IndicatorCode]])</f>
        <v>24902.88753799392</v>
      </c>
      <c r="I6263" cm="1">
        <f t="array" ref="I6263">_xlfn.STDEV.P(IF(Table1[IndicatorCode]=Table1[[#This Row],[IndicatorCode]],Table1[value]))</f>
        <v>26324.778297809873</v>
      </c>
      <c r="J6263">
        <f>(Table1[[#This Row],[value]] - Table1[[#This Row],[mean]]) / Table1[[#This Row],[std_dev]]</f>
        <v>2.8638460544329924</v>
      </c>
      <c r="K6263">
        <f>AVERAGEIF(Table1[CountryCode],Table1[[#This Row],[CountryCode]],Table1[z-score])</f>
        <v>1.6213099703277349</v>
      </c>
      <c r="L6263" t="e">
        <f>VLOOKUP(Table1[[#This Row],[CountryCode]],[1]!Table1[#All],1,FALSE)</f>
        <v>#REF!</v>
      </c>
    </row>
    <row r="6264" spans="1:12" hidden="1" x14ac:dyDescent="0.3">
      <c r="A6264" t="s">
        <v>79</v>
      </c>
      <c r="B6264" t="s">
        <v>80</v>
      </c>
      <c r="C6264" t="s">
        <v>127</v>
      </c>
      <c r="D6264" t="s">
        <v>128</v>
      </c>
      <c r="E6264">
        <v>2005</v>
      </c>
      <c r="F6264" s="1">
        <v>101222</v>
      </c>
      <c r="G6264">
        <v>2000</v>
      </c>
      <c r="H6264">
        <f>AVERAGEIFS(Table1[value],Table1[IndicatorCode],Table1[[#This Row],[IndicatorCode]])</f>
        <v>24902.88753799392</v>
      </c>
      <c r="I6264" cm="1">
        <f t="array" ref="I6264">_xlfn.STDEV.P(IF(Table1[IndicatorCode]=Table1[[#This Row],[IndicatorCode]],Table1[value]))</f>
        <v>26324.778297809873</v>
      </c>
      <c r="J6264">
        <f>(Table1[[#This Row],[value]] - Table1[[#This Row],[mean]]) / Table1[[#This Row],[std_dev]]</f>
        <v>2.8991360002585682</v>
      </c>
      <c r="K6264">
        <f>AVERAGEIF(Table1[CountryCode],Table1[[#This Row],[CountryCode]],Table1[z-score])</f>
        <v>1.6213099703277349</v>
      </c>
      <c r="L6264" t="e">
        <f>VLOOKUP(Table1[[#This Row],[CountryCode]],[1]!Table1[#All],1,FALSE)</f>
        <v>#REF!</v>
      </c>
    </row>
    <row r="6265" spans="1:12" hidden="1" x14ac:dyDescent="0.3">
      <c r="A6265" t="s">
        <v>79</v>
      </c>
      <c r="B6265" t="s">
        <v>80</v>
      </c>
      <c r="C6265" t="s">
        <v>127</v>
      </c>
      <c r="D6265" t="s">
        <v>128</v>
      </c>
      <c r="E6265">
        <v>2006</v>
      </c>
      <c r="F6265" s="1">
        <v>105614</v>
      </c>
      <c r="G6265">
        <v>2000</v>
      </c>
      <c r="H6265">
        <f>AVERAGEIFS(Table1[value],Table1[IndicatorCode],Table1[[#This Row],[IndicatorCode]])</f>
        <v>24902.88753799392</v>
      </c>
      <c r="I6265" cm="1">
        <f t="array" ref="I6265">_xlfn.STDEV.P(IF(Table1[IndicatorCode]=Table1[[#This Row],[IndicatorCode]],Table1[value]))</f>
        <v>26324.778297809873</v>
      </c>
      <c r="J6265">
        <f>(Table1[[#This Row],[value]] - Table1[[#This Row],[mean]]) / Table1[[#This Row],[std_dev]]</f>
        <v>3.0659750121702238</v>
      </c>
      <c r="K6265">
        <f>AVERAGEIF(Table1[CountryCode],Table1[[#This Row],[CountryCode]],Table1[z-score])</f>
        <v>1.6213099703277349</v>
      </c>
      <c r="L6265" t="e">
        <f>VLOOKUP(Table1[[#This Row],[CountryCode]],[1]!Table1[#All],1,FALSE)</f>
        <v>#REF!</v>
      </c>
    </row>
    <row r="6266" spans="1:12" hidden="1" x14ac:dyDescent="0.3">
      <c r="A6266" t="s">
        <v>79</v>
      </c>
      <c r="B6266" t="s">
        <v>80</v>
      </c>
      <c r="C6266" t="s">
        <v>127</v>
      </c>
      <c r="D6266" t="s">
        <v>128</v>
      </c>
      <c r="E6266">
        <v>2007</v>
      </c>
      <c r="F6266" s="1">
        <v>112418</v>
      </c>
      <c r="G6266">
        <v>2010</v>
      </c>
      <c r="H6266">
        <f>AVERAGEIFS(Table1[value],Table1[IndicatorCode],Table1[[#This Row],[IndicatorCode]])</f>
        <v>24902.88753799392</v>
      </c>
      <c r="I6266" cm="1">
        <f t="array" ref="I6266">_xlfn.STDEV.P(IF(Table1[IndicatorCode]=Table1[[#This Row],[IndicatorCode]],Table1[value]))</f>
        <v>26324.778297809873</v>
      </c>
      <c r="J6266">
        <f>(Table1[[#This Row],[value]] - Table1[[#This Row],[mean]]) / Table1[[#This Row],[std_dev]]</f>
        <v>3.3244387273448384</v>
      </c>
      <c r="K6266">
        <f>AVERAGEIF(Table1[CountryCode],Table1[[#This Row],[CountryCode]],Table1[z-score])</f>
        <v>1.6213099703277349</v>
      </c>
      <c r="L6266" t="e">
        <f>VLOOKUP(Table1[[#This Row],[CountryCode]],[1]!Table1[#All],1,FALSE)</f>
        <v>#REF!</v>
      </c>
    </row>
    <row r="6267" spans="1:12" hidden="1" x14ac:dyDescent="0.3">
      <c r="A6267" t="s">
        <v>79</v>
      </c>
      <c r="B6267" t="s">
        <v>80</v>
      </c>
      <c r="C6267" t="s">
        <v>127</v>
      </c>
      <c r="D6267" t="s">
        <v>128</v>
      </c>
      <c r="E6267">
        <v>2008</v>
      </c>
      <c r="F6267" s="1">
        <v>110095</v>
      </c>
      <c r="G6267">
        <v>2010</v>
      </c>
      <c r="H6267">
        <f>AVERAGEIFS(Table1[value],Table1[IndicatorCode],Table1[[#This Row],[IndicatorCode]])</f>
        <v>24902.88753799392</v>
      </c>
      <c r="I6267" cm="1">
        <f t="array" ref="I6267">_xlfn.STDEV.P(IF(Table1[IndicatorCode]=Table1[[#This Row],[IndicatorCode]],Table1[value]))</f>
        <v>26324.778297809873</v>
      </c>
      <c r="J6267">
        <f>(Table1[[#This Row],[value]] - Table1[[#This Row],[mean]]) / Table1[[#This Row],[std_dev]]</f>
        <v>3.2361948692686142</v>
      </c>
      <c r="K6267">
        <f>AVERAGEIF(Table1[CountryCode],Table1[[#This Row],[CountryCode]],Table1[z-score])</f>
        <v>1.6213099703277349</v>
      </c>
      <c r="L6267" t="e">
        <f>VLOOKUP(Table1[[#This Row],[CountryCode]],[1]!Table1[#All],1,FALSE)</f>
        <v>#REF!</v>
      </c>
    </row>
    <row r="6268" spans="1:12" hidden="1" x14ac:dyDescent="0.3">
      <c r="A6268" t="s">
        <v>79</v>
      </c>
      <c r="B6268" t="s">
        <v>80</v>
      </c>
      <c r="C6268" t="s">
        <v>127</v>
      </c>
      <c r="D6268" t="s">
        <v>128</v>
      </c>
      <c r="E6268">
        <v>2009</v>
      </c>
      <c r="F6268" s="1">
        <v>104574</v>
      </c>
      <c r="G6268">
        <v>2010</v>
      </c>
      <c r="H6268">
        <f>AVERAGEIFS(Table1[value],Table1[IndicatorCode],Table1[[#This Row],[IndicatorCode]])</f>
        <v>24902.88753799392</v>
      </c>
      <c r="I6268" cm="1">
        <f t="array" ref="I6268">_xlfn.STDEV.P(IF(Table1[IndicatorCode]=Table1[[#This Row],[IndicatorCode]],Table1[value]))</f>
        <v>26324.778297809873</v>
      </c>
      <c r="J6268">
        <f>(Table1[[#This Row],[value]] - Table1[[#This Row],[mean]]) / Table1[[#This Row],[std_dev]]</f>
        <v>3.0264685066173729</v>
      </c>
      <c r="K6268">
        <f>AVERAGEIF(Table1[CountryCode],Table1[[#This Row],[CountryCode]],Table1[z-score])</f>
        <v>1.6213099703277349</v>
      </c>
      <c r="L6268" t="e">
        <f>VLOOKUP(Table1[[#This Row],[CountryCode]],[1]!Table1[#All],1,FALSE)</f>
        <v>#REF!</v>
      </c>
    </row>
    <row r="6269" spans="1:12" hidden="1" x14ac:dyDescent="0.3">
      <c r="A6269" t="s">
        <v>79</v>
      </c>
      <c r="B6269" t="s">
        <v>80</v>
      </c>
      <c r="C6269" t="s">
        <v>127</v>
      </c>
      <c r="D6269" t="s">
        <v>128</v>
      </c>
      <c r="E6269">
        <v>2010</v>
      </c>
      <c r="F6269" s="1">
        <v>106544</v>
      </c>
      <c r="G6269">
        <v>2010</v>
      </c>
      <c r="H6269">
        <f>AVERAGEIFS(Table1[value],Table1[IndicatorCode],Table1[[#This Row],[IndicatorCode]])</f>
        <v>24902.88753799392</v>
      </c>
      <c r="I6269" cm="1">
        <f t="array" ref="I6269">_xlfn.STDEV.P(IF(Table1[IndicatorCode]=Table1[[#This Row],[IndicatorCode]],Table1[value]))</f>
        <v>26324.778297809873</v>
      </c>
      <c r="J6269">
        <f>(Table1[[#This Row],[value]] - Table1[[#This Row],[mean]]) / Table1[[#This Row],[std_dev]]</f>
        <v>3.1013029450203695</v>
      </c>
      <c r="K6269">
        <f>AVERAGEIF(Table1[CountryCode],Table1[[#This Row],[CountryCode]],Table1[z-score])</f>
        <v>1.6213099703277349</v>
      </c>
      <c r="L6269" t="e">
        <f>VLOOKUP(Table1[[#This Row],[CountryCode]],[1]!Table1[#All],1,FALSE)</f>
        <v>#REF!</v>
      </c>
    </row>
    <row r="6270" spans="1:12" hidden="1" x14ac:dyDescent="0.3">
      <c r="A6270" t="s">
        <v>79</v>
      </c>
      <c r="B6270" t="s">
        <v>80</v>
      </c>
      <c r="C6270" t="s">
        <v>127</v>
      </c>
      <c r="D6270" t="s">
        <v>128</v>
      </c>
      <c r="E6270">
        <v>2011</v>
      </c>
      <c r="F6270" s="1">
        <v>105290</v>
      </c>
      <c r="G6270">
        <v>2010</v>
      </c>
      <c r="H6270">
        <f>AVERAGEIFS(Table1[value],Table1[IndicatorCode],Table1[[#This Row],[IndicatorCode]])</f>
        <v>24902.88753799392</v>
      </c>
      <c r="I6270" cm="1">
        <f t="array" ref="I6270">_xlfn.STDEV.P(IF(Table1[IndicatorCode]=Table1[[#This Row],[IndicatorCode]],Table1[value]))</f>
        <v>26324.778297809873</v>
      </c>
      <c r="J6270">
        <f>(Table1[[#This Row],[value]] - Table1[[#This Row],[mean]]) / Table1[[#This Row],[std_dev]]</f>
        <v>3.053667216209528</v>
      </c>
      <c r="K6270">
        <f>AVERAGEIF(Table1[CountryCode],Table1[[#This Row],[CountryCode]],Table1[z-score])</f>
        <v>1.6213099703277349</v>
      </c>
      <c r="L6270" t="e">
        <f>VLOOKUP(Table1[[#This Row],[CountryCode]],[1]!Table1[#All],1,FALSE)</f>
        <v>#REF!</v>
      </c>
    </row>
    <row r="6271" spans="1:12" hidden="1" x14ac:dyDescent="0.3">
      <c r="A6271" t="s">
        <v>79</v>
      </c>
      <c r="B6271" t="s">
        <v>80</v>
      </c>
      <c r="C6271" t="s">
        <v>127</v>
      </c>
      <c r="D6271" t="s">
        <v>128</v>
      </c>
      <c r="E6271">
        <v>2012</v>
      </c>
      <c r="F6271" s="1">
        <v>104488</v>
      </c>
      <c r="G6271">
        <v>2010</v>
      </c>
      <c r="H6271">
        <f>AVERAGEIFS(Table1[value],Table1[IndicatorCode],Table1[[#This Row],[IndicatorCode]])</f>
        <v>24902.88753799392</v>
      </c>
      <c r="I6271" cm="1">
        <f t="array" ref="I6271">_xlfn.STDEV.P(IF(Table1[IndicatorCode]=Table1[[#This Row],[IndicatorCode]],Table1[value]))</f>
        <v>26324.778297809873</v>
      </c>
      <c r="J6271">
        <f>(Table1[[#This Row],[value]] - Table1[[#This Row],[mean]]) / Table1[[#This Row],[std_dev]]</f>
        <v>3.0232016225043488</v>
      </c>
      <c r="K6271">
        <f>AVERAGEIF(Table1[CountryCode],Table1[[#This Row],[CountryCode]],Table1[z-score])</f>
        <v>1.6213099703277349</v>
      </c>
      <c r="L6271" t="e">
        <f>VLOOKUP(Table1[[#This Row],[CountryCode]],[1]!Table1[#All],1,FALSE)</f>
        <v>#REF!</v>
      </c>
    </row>
    <row r="6272" spans="1:12" hidden="1" x14ac:dyDescent="0.3">
      <c r="A6272" t="s">
        <v>79</v>
      </c>
      <c r="B6272" t="s">
        <v>80</v>
      </c>
      <c r="C6272" t="s">
        <v>127</v>
      </c>
      <c r="D6272" t="s">
        <v>128</v>
      </c>
      <c r="E6272">
        <v>2013</v>
      </c>
      <c r="F6272" s="1">
        <v>105339</v>
      </c>
      <c r="G6272">
        <v>2010</v>
      </c>
      <c r="H6272">
        <f>AVERAGEIFS(Table1[value],Table1[IndicatorCode],Table1[[#This Row],[IndicatorCode]])</f>
        <v>24902.88753799392</v>
      </c>
      <c r="I6272" cm="1">
        <f t="array" ref="I6272">_xlfn.STDEV.P(IF(Table1[IndicatorCode]=Table1[[#This Row],[IndicatorCode]],Table1[value]))</f>
        <v>26324.778297809873</v>
      </c>
      <c r="J6272">
        <f>(Table1[[#This Row],[value]] - Table1[[#This Row],[mean]]) / Table1[[#This Row],[std_dev]]</f>
        <v>3.0555285804134606</v>
      </c>
      <c r="K6272">
        <f>AVERAGEIF(Table1[CountryCode],Table1[[#This Row],[CountryCode]],Table1[z-score])</f>
        <v>1.6213099703277349</v>
      </c>
      <c r="L6272" t="e">
        <f>VLOOKUP(Table1[[#This Row],[CountryCode]],[1]!Table1[#All],1,FALSE)</f>
        <v>#REF!</v>
      </c>
    </row>
    <row r="6273" spans="1:12" hidden="1" x14ac:dyDescent="0.3">
      <c r="A6273" t="s">
        <v>79</v>
      </c>
      <c r="B6273" t="s">
        <v>80</v>
      </c>
      <c r="C6273" t="s">
        <v>127</v>
      </c>
      <c r="D6273" t="s">
        <v>128</v>
      </c>
      <c r="E6273">
        <v>2014</v>
      </c>
      <c r="F6273" s="1">
        <v>105584</v>
      </c>
      <c r="G6273">
        <v>2010</v>
      </c>
      <c r="H6273">
        <f>AVERAGEIFS(Table1[value],Table1[IndicatorCode],Table1[[#This Row],[IndicatorCode]])</f>
        <v>24902.88753799392</v>
      </c>
      <c r="I6273" cm="1">
        <f t="array" ref="I6273">_xlfn.STDEV.P(IF(Table1[IndicatorCode]=Table1[[#This Row],[IndicatorCode]],Table1[value]))</f>
        <v>26324.778297809873</v>
      </c>
      <c r="J6273">
        <f>(Table1[[#This Row],[value]] - Table1[[#This Row],[mean]]) / Table1[[#This Row],[std_dev]]</f>
        <v>3.0648354014331223</v>
      </c>
      <c r="K6273">
        <f>AVERAGEIF(Table1[CountryCode],Table1[[#This Row],[CountryCode]],Table1[z-score])</f>
        <v>1.6213099703277349</v>
      </c>
      <c r="L6273" t="e">
        <f>VLOOKUP(Table1[[#This Row],[CountryCode]],[1]!Table1[#All],1,FALSE)</f>
        <v>#REF!</v>
      </c>
    </row>
    <row r="6274" spans="1:12" hidden="1" x14ac:dyDescent="0.3">
      <c r="A6274" t="s">
        <v>79</v>
      </c>
      <c r="B6274" t="s">
        <v>80</v>
      </c>
      <c r="C6274" t="s">
        <v>127</v>
      </c>
      <c r="D6274" t="s">
        <v>128</v>
      </c>
      <c r="E6274">
        <v>2015</v>
      </c>
      <c r="F6274" s="1">
        <v>105462</v>
      </c>
      <c r="G6274">
        <v>2010</v>
      </c>
      <c r="H6274">
        <f>AVERAGEIFS(Table1[value],Table1[IndicatorCode],Table1[[#This Row],[IndicatorCode]])</f>
        <v>24902.88753799392</v>
      </c>
      <c r="I6274" cm="1">
        <f t="array" ref="I6274">_xlfn.STDEV.P(IF(Table1[IndicatorCode]=Table1[[#This Row],[IndicatorCode]],Table1[value]))</f>
        <v>26324.778297809873</v>
      </c>
      <c r="J6274">
        <f>(Table1[[#This Row],[value]] - Table1[[#This Row],[mean]]) / Table1[[#This Row],[std_dev]]</f>
        <v>3.0602009844355766</v>
      </c>
      <c r="K6274">
        <f>AVERAGEIF(Table1[CountryCode],Table1[[#This Row],[CountryCode]],Table1[z-score])</f>
        <v>1.6213099703277349</v>
      </c>
      <c r="L6274" t="e">
        <f>VLOOKUP(Table1[[#This Row],[CountryCode]],[1]!Table1[#All],1,FALSE)</f>
        <v>#REF!</v>
      </c>
    </row>
    <row r="6275" spans="1:12" hidden="1" x14ac:dyDescent="0.3">
      <c r="A6275" t="s">
        <v>79</v>
      </c>
      <c r="B6275" t="s">
        <v>80</v>
      </c>
      <c r="C6275" t="s">
        <v>127</v>
      </c>
      <c r="D6275" t="s">
        <v>128</v>
      </c>
      <c r="E6275">
        <v>2016</v>
      </c>
      <c r="F6275" s="1">
        <v>108351</v>
      </c>
      <c r="G6275">
        <v>2010</v>
      </c>
      <c r="H6275">
        <f>AVERAGEIFS(Table1[value],Table1[IndicatorCode],Table1[[#This Row],[IndicatorCode]])</f>
        <v>24902.88753799392</v>
      </c>
      <c r="I6275" cm="1">
        <f t="array" ref="I6275">_xlfn.STDEV.P(IF(Table1[IndicatorCode]=Table1[[#This Row],[IndicatorCode]],Table1[value]))</f>
        <v>26324.778297809873</v>
      </c>
      <c r="J6275">
        <f>(Table1[[#This Row],[value]] - Table1[[#This Row],[mean]]) / Table1[[#This Row],[std_dev]]</f>
        <v>3.1699454984184485</v>
      </c>
      <c r="K6275">
        <f>AVERAGEIF(Table1[CountryCode],Table1[[#This Row],[CountryCode]],Table1[z-score])</f>
        <v>1.6213099703277349</v>
      </c>
      <c r="L6275" t="e">
        <f>VLOOKUP(Table1[[#This Row],[CountryCode]],[1]!Table1[#All],1,FALSE)</f>
        <v>#REF!</v>
      </c>
    </row>
    <row r="6276" spans="1:12" hidden="1" x14ac:dyDescent="0.3">
      <c r="A6276" t="s">
        <v>79</v>
      </c>
      <c r="B6276" t="s">
        <v>80</v>
      </c>
      <c r="C6276" t="s">
        <v>127</v>
      </c>
      <c r="D6276" t="s">
        <v>128</v>
      </c>
      <c r="E6276">
        <v>2017</v>
      </c>
      <c r="F6276" s="1">
        <v>107142</v>
      </c>
      <c r="G6276">
        <v>2020</v>
      </c>
      <c r="H6276">
        <f>AVERAGEIFS(Table1[value],Table1[IndicatorCode],Table1[[#This Row],[IndicatorCode]])</f>
        <v>24902.88753799392</v>
      </c>
      <c r="I6276" cm="1">
        <f t="array" ref="I6276">_xlfn.STDEV.P(IF(Table1[IndicatorCode]=Table1[[#This Row],[IndicatorCode]],Table1[value]))</f>
        <v>26324.778297809873</v>
      </c>
      <c r="J6276">
        <f>(Table1[[#This Row],[value]] - Table1[[#This Row],[mean]]) / Table1[[#This Row],[std_dev]]</f>
        <v>3.1240191857132591</v>
      </c>
      <c r="K6276">
        <f>AVERAGEIF(Table1[CountryCode],Table1[[#This Row],[CountryCode]],Table1[z-score])</f>
        <v>1.6213099703277349</v>
      </c>
      <c r="L6276" t="e">
        <f>VLOOKUP(Table1[[#This Row],[CountryCode]],[1]!Table1[#All],1,FALSE)</f>
        <v>#REF!</v>
      </c>
    </row>
    <row r="6277" spans="1:12" hidden="1" x14ac:dyDescent="0.3">
      <c r="A6277" t="s">
        <v>79</v>
      </c>
      <c r="B6277" t="s">
        <v>80</v>
      </c>
      <c r="C6277" t="s">
        <v>127</v>
      </c>
      <c r="D6277" t="s">
        <v>128</v>
      </c>
      <c r="E6277">
        <v>2018</v>
      </c>
      <c r="F6277" s="1">
        <v>106789</v>
      </c>
      <c r="G6277">
        <v>2020</v>
      </c>
      <c r="H6277">
        <f>AVERAGEIFS(Table1[value],Table1[IndicatorCode],Table1[[#This Row],[IndicatorCode]])</f>
        <v>24902.88753799392</v>
      </c>
      <c r="I6277" cm="1">
        <f t="array" ref="I6277">_xlfn.STDEV.P(IF(Table1[IndicatorCode]=Table1[[#This Row],[IndicatorCode]],Table1[value]))</f>
        <v>26324.778297809873</v>
      </c>
      <c r="J6277">
        <f>(Table1[[#This Row],[value]] - Table1[[#This Row],[mean]]) / Table1[[#This Row],[std_dev]]</f>
        <v>3.1106097660400316</v>
      </c>
      <c r="K6277">
        <f>AVERAGEIF(Table1[CountryCode],Table1[[#This Row],[CountryCode]],Table1[z-score])</f>
        <v>1.6213099703277349</v>
      </c>
      <c r="L6277" t="e">
        <f>VLOOKUP(Table1[[#This Row],[CountryCode]],[1]!Table1[#All],1,FALSE)</f>
        <v>#REF!</v>
      </c>
    </row>
    <row r="6278" spans="1:12" hidden="1" x14ac:dyDescent="0.3">
      <c r="A6278" t="s">
        <v>79</v>
      </c>
      <c r="B6278" t="s">
        <v>80</v>
      </c>
      <c r="C6278" t="s">
        <v>127</v>
      </c>
      <c r="D6278" t="s">
        <v>128</v>
      </c>
      <c r="E6278">
        <v>2019</v>
      </c>
      <c r="F6278" s="1">
        <v>107592</v>
      </c>
      <c r="G6278">
        <v>2020</v>
      </c>
      <c r="H6278">
        <f>AVERAGEIFS(Table1[value],Table1[IndicatorCode],Table1[[#This Row],[IndicatorCode]])</f>
        <v>24902.88753799392</v>
      </c>
      <c r="I6278" cm="1">
        <f t="array" ref="I6278">_xlfn.STDEV.P(IF(Table1[IndicatorCode]=Table1[[#This Row],[IndicatorCode]],Table1[value]))</f>
        <v>26324.778297809873</v>
      </c>
      <c r="J6278">
        <f>(Table1[[#This Row],[value]] - Table1[[#This Row],[mean]]) / Table1[[#This Row],[std_dev]]</f>
        <v>3.1411133467697812</v>
      </c>
      <c r="K6278">
        <f>AVERAGEIF(Table1[CountryCode],Table1[[#This Row],[CountryCode]],Table1[z-score])</f>
        <v>1.6213099703277349</v>
      </c>
      <c r="L6278" t="e">
        <f>VLOOKUP(Table1[[#This Row],[CountryCode]],[1]!Table1[#All],1,FALSE)</f>
        <v>#REF!</v>
      </c>
    </row>
    <row r="6279" spans="1:12" x14ac:dyDescent="0.3">
      <c r="A6279" t="s">
        <v>31</v>
      </c>
      <c r="B6279" t="s">
        <v>32</v>
      </c>
      <c r="C6279" t="s">
        <v>127</v>
      </c>
      <c r="D6279" t="s">
        <v>128</v>
      </c>
      <c r="E6279">
        <v>2020</v>
      </c>
      <c r="F6279" s="1">
        <v>26896</v>
      </c>
      <c r="G6279">
        <v>2020</v>
      </c>
      <c r="H6279">
        <f>AVERAGEIFS(Table1[value],Table1[IndicatorCode],Table1[[#This Row],[IndicatorCode]])</f>
        <v>24902.88753799392</v>
      </c>
      <c r="I6279" cm="1">
        <f t="array" ref="I6279">_xlfn.STDEV.P(IF(Table1[IndicatorCode]=Table1[[#This Row],[IndicatorCode]],Table1[value]))</f>
        <v>26324.778297809873</v>
      </c>
      <c r="J6279">
        <f>(Table1[[#This Row],[value]] - Table1[[#This Row],[mean]]) / Table1[[#This Row],[std_dev]]</f>
        <v>7.5712412065096088E-2</v>
      </c>
      <c r="K6279">
        <f>AVERAGEIF(Table1[CountryCode],Table1[[#This Row],[CountryCode]],Table1[z-score])</f>
        <v>-1.226846632548898E-2</v>
      </c>
    </row>
    <row r="6280" spans="1:12" hidden="1" x14ac:dyDescent="0.3">
      <c r="A6280" t="s">
        <v>79</v>
      </c>
      <c r="B6280" t="s">
        <v>80</v>
      </c>
      <c r="C6280" t="s">
        <v>127</v>
      </c>
      <c r="D6280" t="s">
        <v>128</v>
      </c>
      <c r="E6280">
        <v>2021</v>
      </c>
      <c r="F6280" s="1">
        <v>110873</v>
      </c>
      <c r="G6280">
        <v>2020</v>
      </c>
      <c r="H6280">
        <f>AVERAGEIFS(Table1[value],Table1[IndicatorCode],Table1[[#This Row],[IndicatorCode]])</f>
        <v>24902.88753799392</v>
      </c>
      <c r="I6280" cm="1">
        <f t="array" ref="I6280">_xlfn.STDEV.P(IF(Table1[IndicatorCode]=Table1[[#This Row],[IndicatorCode]],Table1[value]))</f>
        <v>26324.778297809873</v>
      </c>
      <c r="J6280">
        <f>(Table1[[#This Row],[value]] - Table1[[#This Row],[mean]]) / Table1[[#This Row],[std_dev]]</f>
        <v>3.2657487743841123</v>
      </c>
      <c r="K6280">
        <f>AVERAGEIF(Table1[CountryCode],Table1[[#This Row],[CountryCode]],Table1[z-score])</f>
        <v>1.6213099703277349</v>
      </c>
      <c r="L6280" t="e">
        <f>VLOOKUP(Table1[[#This Row],[CountryCode]],[1]!Table1[#All],1,FALSE)</f>
        <v>#REF!</v>
      </c>
    </row>
    <row r="6281" spans="1:12" hidden="1" x14ac:dyDescent="0.3">
      <c r="A6281" t="s">
        <v>79</v>
      </c>
      <c r="B6281" t="s">
        <v>80</v>
      </c>
      <c r="C6281" t="s">
        <v>127</v>
      </c>
      <c r="D6281" t="s">
        <v>128</v>
      </c>
      <c r="E6281">
        <v>2022</v>
      </c>
      <c r="F6281" s="1">
        <v>107467</v>
      </c>
      <c r="G6281">
        <v>1990</v>
      </c>
      <c r="H6281">
        <f>AVERAGEIFS(Table1[value],Table1[IndicatorCode],Table1[[#This Row],[IndicatorCode]])</f>
        <v>24902.88753799392</v>
      </c>
      <c r="I6281" cm="1">
        <f t="array" ref="I6281">_xlfn.STDEV.P(IF(Table1[IndicatorCode]=Table1[[#This Row],[IndicatorCode]],Table1[value]))</f>
        <v>26324.778297809873</v>
      </c>
      <c r="J6281">
        <f>(Table1[[#This Row],[value]] - Table1[[#This Row],[mean]]) / Table1[[#This Row],[std_dev]]</f>
        <v>3.1363649686985249</v>
      </c>
      <c r="K6281">
        <f>AVERAGEIF(Table1[CountryCode],Table1[[#This Row],[CountryCode]],Table1[z-score])</f>
        <v>1.6213099703277349</v>
      </c>
      <c r="L6281" t="e">
        <f>VLOOKUP(Table1[[#This Row],[CountryCode]],[1]!Table1[#All],1,FALSE)</f>
        <v>#REF!</v>
      </c>
    </row>
    <row r="6282" spans="1:12" hidden="1" x14ac:dyDescent="0.3">
      <c r="A6282" t="s">
        <v>79</v>
      </c>
      <c r="B6282" t="s">
        <v>80</v>
      </c>
      <c r="C6282" t="s">
        <v>127</v>
      </c>
      <c r="D6282" t="s">
        <v>128</v>
      </c>
      <c r="E6282">
        <v>2023</v>
      </c>
      <c r="F6282" s="1">
        <v>105423</v>
      </c>
      <c r="G6282">
        <v>1990</v>
      </c>
      <c r="H6282">
        <f>AVERAGEIFS(Table1[value],Table1[IndicatorCode],Table1[[#This Row],[IndicatorCode]])</f>
        <v>24902.88753799392</v>
      </c>
      <c r="I6282" cm="1">
        <f t="array" ref="I6282">_xlfn.STDEV.P(IF(Table1[IndicatorCode]=Table1[[#This Row],[IndicatorCode]],Table1[value]))</f>
        <v>26324.778297809873</v>
      </c>
      <c r="J6282">
        <f>(Table1[[#This Row],[value]] - Table1[[#This Row],[mean]]) / Table1[[#This Row],[std_dev]]</f>
        <v>3.0587194904773445</v>
      </c>
      <c r="K6282">
        <f>AVERAGEIF(Table1[CountryCode],Table1[[#This Row],[CountryCode]],Table1[z-score])</f>
        <v>1.6213099703277349</v>
      </c>
      <c r="L6282" t="e">
        <f>VLOOKUP(Table1[[#This Row],[CountryCode]],[1]!Table1[#All],1,FALSE)</f>
        <v>#REF!</v>
      </c>
    </row>
    <row r="6283" spans="1:12" hidden="1" x14ac:dyDescent="0.3">
      <c r="A6283" t="s">
        <v>79</v>
      </c>
      <c r="B6283" t="s">
        <v>80</v>
      </c>
      <c r="C6283" t="s">
        <v>127</v>
      </c>
      <c r="D6283" t="s">
        <v>128</v>
      </c>
      <c r="E6283">
        <v>2024</v>
      </c>
      <c r="F6283" s="1">
        <v>104147</v>
      </c>
      <c r="G6283">
        <v>1990</v>
      </c>
      <c r="H6283">
        <f>AVERAGEIFS(Table1[value],Table1[IndicatorCode],Table1[[#This Row],[IndicatorCode]])</f>
        <v>24902.88753799392</v>
      </c>
      <c r="I6283" cm="1">
        <f t="array" ref="I6283">_xlfn.STDEV.P(IF(Table1[IndicatorCode]=Table1[[#This Row],[IndicatorCode]],Table1[value]))</f>
        <v>26324.778297809873</v>
      </c>
      <c r="J6283">
        <f>(Table1[[#This Row],[value]] - Table1[[#This Row],[mean]]) / Table1[[#This Row],[std_dev]]</f>
        <v>3.0102480471259621</v>
      </c>
      <c r="K6283">
        <f>AVERAGEIF(Table1[CountryCode],Table1[[#This Row],[CountryCode]],Table1[z-score])</f>
        <v>1.6213099703277349</v>
      </c>
      <c r="L6283" t="e">
        <f>VLOOKUP(Table1[[#This Row],[CountryCode]],[1]!Table1[#All],1,FALSE)</f>
        <v>#REF!</v>
      </c>
    </row>
    <row r="6284" spans="1:12" hidden="1" x14ac:dyDescent="0.3">
      <c r="A6284" t="s">
        <v>81</v>
      </c>
      <c r="B6284" t="s">
        <v>82</v>
      </c>
      <c r="C6284" t="s">
        <v>127</v>
      </c>
      <c r="D6284" t="s">
        <v>128</v>
      </c>
      <c r="E6284">
        <v>1990</v>
      </c>
      <c r="F6284" s="1">
        <v>7623</v>
      </c>
      <c r="G6284">
        <v>1990</v>
      </c>
      <c r="H6284">
        <f>AVERAGEIFS(Table1[value],Table1[IndicatorCode],Table1[[#This Row],[IndicatorCode]])</f>
        <v>24902.88753799392</v>
      </c>
      <c r="I6284" cm="1">
        <f t="array" ref="I6284">_xlfn.STDEV.P(IF(Table1[IndicatorCode]=Table1[[#This Row],[IndicatorCode]],Table1[value]))</f>
        <v>26324.778297809873</v>
      </c>
      <c r="J6284">
        <f>(Table1[[#This Row],[value]] - Table1[[#This Row],[mean]]) / Table1[[#This Row],[std_dev]]</f>
        <v>-0.65641151247346097</v>
      </c>
      <c r="K6284">
        <f>AVERAGEIF(Table1[CountryCode],Table1[[#This Row],[CountryCode]],Table1[z-score])</f>
        <v>-0.32088063876347467</v>
      </c>
      <c r="L6284" t="e">
        <f>VLOOKUP(Table1[[#This Row],[CountryCode]],[1]!Table1[#All],1,FALSE)</f>
        <v>#REF!</v>
      </c>
    </row>
    <row r="6285" spans="1:12" hidden="1" x14ac:dyDescent="0.3">
      <c r="A6285" t="s">
        <v>81</v>
      </c>
      <c r="B6285" t="s">
        <v>82</v>
      </c>
      <c r="C6285" t="s">
        <v>127</v>
      </c>
      <c r="D6285" t="s">
        <v>128</v>
      </c>
      <c r="E6285">
        <v>1991</v>
      </c>
      <c r="F6285" s="1">
        <v>6694</v>
      </c>
      <c r="G6285">
        <v>1990</v>
      </c>
      <c r="H6285">
        <f>AVERAGEIFS(Table1[value],Table1[IndicatorCode],Table1[[#This Row],[IndicatorCode]])</f>
        <v>24902.88753799392</v>
      </c>
      <c r="I6285" cm="1">
        <f t="array" ref="I6285">_xlfn.STDEV.P(IF(Table1[IndicatorCode]=Table1[[#This Row],[IndicatorCode]],Table1[value]))</f>
        <v>26324.778297809873</v>
      </c>
      <c r="J6285">
        <f>(Table1[[#This Row],[value]] - Table1[[#This Row],[mean]]) / Table1[[#This Row],[std_dev]]</f>
        <v>-0.69170145829903662</v>
      </c>
      <c r="K6285">
        <f>AVERAGEIF(Table1[CountryCode],Table1[[#This Row],[CountryCode]],Table1[z-score])</f>
        <v>-0.32088063876347467</v>
      </c>
      <c r="L6285" t="e">
        <f>VLOOKUP(Table1[[#This Row],[CountryCode]],[1]!Table1[#All],1,FALSE)</f>
        <v>#REF!</v>
      </c>
    </row>
    <row r="6286" spans="1:12" hidden="1" x14ac:dyDescent="0.3">
      <c r="A6286" t="s">
        <v>81</v>
      </c>
      <c r="B6286" t="s">
        <v>82</v>
      </c>
      <c r="C6286" t="s">
        <v>127</v>
      </c>
      <c r="D6286" t="s">
        <v>128</v>
      </c>
      <c r="E6286">
        <v>1992</v>
      </c>
      <c r="F6286" s="1">
        <v>4607</v>
      </c>
      <c r="G6286">
        <v>1990</v>
      </c>
      <c r="H6286">
        <f>AVERAGEIFS(Table1[value],Table1[IndicatorCode],Table1[[#This Row],[IndicatorCode]])</f>
        <v>24902.88753799392</v>
      </c>
      <c r="I6286" cm="1">
        <f t="array" ref="I6286">_xlfn.STDEV.P(IF(Table1[IndicatorCode]=Table1[[#This Row],[IndicatorCode]],Table1[value]))</f>
        <v>26324.778297809873</v>
      </c>
      <c r="J6286">
        <f>(Table1[[#This Row],[value]] - Table1[[#This Row],[mean]]) / Table1[[#This Row],[std_dev]]</f>
        <v>-0.77098037857672919</v>
      </c>
      <c r="K6286">
        <f>AVERAGEIF(Table1[CountryCode],Table1[[#This Row],[CountryCode]],Table1[z-score])</f>
        <v>-0.32088063876347467</v>
      </c>
      <c r="L6286" t="e">
        <f>VLOOKUP(Table1[[#This Row],[CountryCode]],[1]!Table1[#All],1,FALSE)</f>
        <v>#REF!</v>
      </c>
    </row>
    <row r="6287" spans="1:12" hidden="1" x14ac:dyDescent="0.3">
      <c r="A6287" t="s">
        <v>81</v>
      </c>
      <c r="B6287" t="s">
        <v>82</v>
      </c>
      <c r="C6287" t="s">
        <v>127</v>
      </c>
      <c r="D6287" t="s">
        <v>128</v>
      </c>
      <c r="E6287">
        <v>1993</v>
      </c>
      <c r="F6287" s="1">
        <v>4465</v>
      </c>
      <c r="G6287">
        <v>1990</v>
      </c>
      <c r="H6287">
        <f>AVERAGEIFS(Table1[value],Table1[IndicatorCode],Table1[[#This Row],[IndicatorCode]])</f>
        <v>24902.88753799392</v>
      </c>
      <c r="I6287" cm="1">
        <f t="array" ref="I6287">_xlfn.STDEV.P(IF(Table1[IndicatorCode]=Table1[[#This Row],[IndicatorCode]],Table1[value]))</f>
        <v>26324.778297809873</v>
      </c>
      <c r="J6287">
        <f>(Table1[[#This Row],[value]] - Table1[[#This Row],[mean]]) / Table1[[#This Row],[std_dev]]</f>
        <v>-0.77637453606567619</v>
      </c>
      <c r="K6287">
        <f>AVERAGEIF(Table1[CountryCode],Table1[[#This Row],[CountryCode]],Table1[z-score])</f>
        <v>-0.32088063876347467</v>
      </c>
      <c r="L6287" t="e">
        <f>VLOOKUP(Table1[[#This Row],[CountryCode]],[1]!Table1[#All],1,FALSE)</f>
        <v>#REF!</v>
      </c>
    </row>
    <row r="6288" spans="1:12" hidden="1" x14ac:dyDescent="0.3">
      <c r="A6288" t="s">
        <v>81</v>
      </c>
      <c r="B6288" t="s">
        <v>82</v>
      </c>
      <c r="C6288" t="s">
        <v>127</v>
      </c>
      <c r="D6288" t="s">
        <v>128</v>
      </c>
      <c r="E6288">
        <v>1994</v>
      </c>
      <c r="F6288" s="1">
        <v>4640</v>
      </c>
      <c r="G6288">
        <v>1990</v>
      </c>
      <c r="H6288">
        <f>AVERAGEIFS(Table1[value],Table1[IndicatorCode],Table1[[#This Row],[IndicatorCode]])</f>
        <v>24902.88753799392</v>
      </c>
      <c r="I6288" cm="1">
        <f t="array" ref="I6288">_xlfn.STDEV.P(IF(Table1[IndicatorCode]=Table1[[#This Row],[IndicatorCode]],Table1[value]))</f>
        <v>26324.778297809873</v>
      </c>
      <c r="J6288">
        <f>(Table1[[#This Row],[value]] - Table1[[#This Row],[mean]]) / Table1[[#This Row],[std_dev]]</f>
        <v>-0.76972680676591754</v>
      </c>
      <c r="K6288">
        <f>AVERAGEIF(Table1[CountryCode],Table1[[#This Row],[CountryCode]],Table1[z-score])</f>
        <v>-0.32088063876347467</v>
      </c>
      <c r="L6288" t="e">
        <f>VLOOKUP(Table1[[#This Row],[CountryCode]],[1]!Table1[#All],1,FALSE)</f>
        <v>#REF!</v>
      </c>
    </row>
    <row r="6289" spans="1:12" hidden="1" x14ac:dyDescent="0.3">
      <c r="A6289" t="s">
        <v>81</v>
      </c>
      <c r="B6289" t="s">
        <v>82</v>
      </c>
      <c r="C6289" t="s">
        <v>127</v>
      </c>
      <c r="D6289" t="s">
        <v>128</v>
      </c>
      <c r="E6289">
        <v>1995</v>
      </c>
      <c r="F6289" s="1">
        <v>4662</v>
      </c>
      <c r="G6289">
        <v>1990</v>
      </c>
      <c r="H6289">
        <f>AVERAGEIFS(Table1[value],Table1[IndicatorCode],Table1[[#This Row],[IndicatorCode]])</f>
        <v>24902.88753799392</v>
      </c>
      <c r="I6289" cm="1">
        <f t="array" ref="I6289">_xlfn.STDEV.P(IF(Table1[IndicatorCode]=Table1[[#This Row],[IndicatorCode]],Table1[value]))</f>
        <v>26324.778297809873</v>
      </c>
      <c r="J6289">
        <f>(Table1[[#This Row],[value]] - Table1[[#This Row],[mean]]) / Table1[[#This Row],[std_dev]]</f>
        <v>-0.76889109222537644</v>
      </c>
      <c r="K6289">
        <f>AVERAGEIF(Table1[CountryCode],Table1[[#This Row],[CountryCode]],Table1[z-score])</f>
        <v>-0.32088063876347467</v>
      </c>
      <c r="L6289" t="e">
        <f>VLOOKUP(Table1[[#This Row],[CountryCode]],[1]!Table1[#All],1,FALSE)</f>
        <v>#REF!</v>
      </c>
    </row>
    <row r="6290" spans="1:12" hidden="1" x14ac:dyDescent="0.3">
      <c r="A6290" t="s">
        <v>81</v>
      </c>
      <c r="B6290" t="s">
        <v>82</v>
      </c>
      <c r="C6290" t="s">
        <v>127</v>
      </c>
      <c r="D6290" t="s">
        <v>128</v>
      </c>
      <c r="E6290">
        <v>1996</v>
      </c>
      <c r="F6290" s="1">
        <v>4823</v>
      </c>
      <c r="G6290">
        <v>1990</v>
      </c>
      <c r="H6290">
        <f>AVERAGEIFS(Table1[value],Table1[IndicatorCode],Table1[[#This Row],[IndicatorCode]])</f>
        <v>24902.88753799392</v>
      </c>
      <c r="I6290" cm="1">
        <f t="array" ref="I6290">_xlfn.STDEV.P(IF(Table1[IndicatorCode]=Table1[[#This Row],[IndicatorCode]],Table1[value]))</f>
        <v>26324.778297809873</v>
      </c>
      <c r="J6290">
        <f>(Table1[[#This Row],[value]] - Table1[[#This Row],[mean]]) / Table1[[#This Row],[std_dev]]</f>
        <v>-0.76277518126959853</v>
      </c>
      <c r="K6290">
        <f>AVERAGEIF(Table1[CountryCode],Table1[[#This Row],[CountryCode]],Table1[z-score])</f>
        <v>-0.32088063876347467</v>
      </c>
      <c r="L6290" t="e">
        <f>VLOOKUP(Table1[[#This Row],[CountryCode]],[1]!Table1[#All],1,FALSE)</f>
        <v>#REF!</v>
      </c>
    </row>
    <row r="6291" spans="1:12" hidden="1" x14ac:dyDescent="0.3">
      <c r="A6291" t="s">
        <v>81</v>
      </c>
      <c r="B6291" t="s">
        <v>82</v>
      </c>
      <c r="C6291" t="s">
        <v>127</v>
      </c>
      <c r="D6291" t="s">
        <v>128</v>
      </c>
      <c r="E6291">
        <v>1997</v>
      </c>
      <c r="F6291" s="1">
        <v>5318</v>
      </c>
      <c r="G6291">
        <v>2000</v>
      </c>
      <c r="H6291">
        <f>AVERAGEIFS(Table1[value],Table1[IndicatorCode],Table1[[#This Row],[IndicatorCode]])</f>
        <v>24902.88753799392</v>
      </c>
      <c r="I6291" cm="1">
        <f t="array" ref="I6291">_xlfn.STDEV.P(IF(Table1[IndicatorCode]=Table1[[#This Row],[IndicatorCode]],Table1[value]))</f>
        <v>26324.778297809873</v>
      </c>
      <c r="J6291">
        <f>(Table1[[#This Row],[value]] - Table1[[#This Row],[mean]]) / Table1[[#This Row],[std_dev]]</f>
        <v>-0.74397160410742424</v>
      </c>
      <c r="K6291">
        <f>AVERAGEIF(Table1[CountryCode],Table1[[#This Row],[CountryCode]],Table1[z-score])</f>
        <v>-0.32088063876347467</v>
      </c>
      <c r="L6291" t="e">
        <f>VLOOKUP(Table1[[#This Row],[CountryCode]],[1]!Table1[#All],1,FALSE)</f>
        <v>#REF!</v>
      </c>
    </row>
    <row r="6292" spans="1:12" hidden="1" x14ac:dyDescent="0.3">
      <c r="A6292" t="s">
        <v>81</v>
      </c>
      <c r="B6292" t="s">
        <v>82</v>
      </c>
      <c r="C6292" t="s">
        <v>127</v>
      </c>
      <c r="D6292" t="s">
        <v>128</v>
      </c>
      <c r="E6292">
        <v>1998</v>
      </c>
      <c r="F6292" s="1">
        <v>5720</v>
      </c>
      <c r="G6292">
        <v>2000</v>
      </c>
      <c r="H6292">
        <f>AVERAGEIFS(Table1[value],Table1[IndicatorCode],Table1[[#This Row],[IndicatorCode]])</f>
        <v>24902.88753799392</v>
      </c>
      <c r="I6292" cm="1">
        <f t="array" ref="I6292">_xlfn.STDEV.P(IF(Table1[IndicatorCode]=Table1[[#This Row],[IndicatorCode]],Table1[value]))</f>
        <v>26324.778297809873</v>
      </c>
      <c r="J6292">
        <f>(Table1[[#This Row],[value]] - Table1[[#This Row],[mean]]) / Table1[[#This Row],[std_dev]]</f>
        <v>-0.7287008202302645</v>
      </c>
      <c r="K6292">
        <f>AVERAGEIF(Table1[CountryCode],Table1[[#This Row],[CountryCode]],Table1[z-score])</f>
        <v>-0.32088063876347467</v>
      </c>
      <c r="L6292" t="e">
        <f>VLOOKUP(Table1[[#This Row],[CountryCode]],[1]!Table1[#All],1,FALSE)</f>
        <v>#REF!</v>
      </c>
    </row>
    <row r="6293" spans="1:12" hidden="1" x14ac:dyDescent="0.3">
      <c r="A6293" t="s">
        <v>81</v>
      </c>
      <c r="B6293" t="s">
        <v>82</v>
      </c>
      <c r="C6293" t="s">
        <v>127</v>
      </c>
      <c r="D6293" t="s">
        <v>128</v>
      </c>
      <c r="E6293">
        <v>1999</v>
      </c>
      <c r="F6293" s="1">
        <v>5929</v>
      </c>
      <c r="G6293">
        <v>2000</v>
      </c>
      <c r="H6293">
        <f>AVERAGEIFS(Table1[value],Table1[IndicatorCode],Table1[[#This Row],[IndicatorCode]])</f>
        <v>24902.88753799392</v>
      </c>
      <c r="I6293" cm="1">
        <f t="array" ref="I6293">_xlfn.STDEV.P(IF(Table1[IndicatorCode]=Table1[[#This Row],[IndicatorCode]],Table1[value]))</f>
        <v>26324.778297809873</v>
      </c>
      <c r="J6293">
        <f>(Table1[[#This Row],[value]] - Table1[[#This Row],[mean]]) / Table1[[#This Row],[std_dev]]</f>
        <v>-0.72076153209512417</v>
      </c>
      <c r="K6293">
        <f>AVERAGEIF(Table1[CountryCode],Table1[[#This Row],[CountryCode]],Table1[z-score])</f>
        <v>-0.32088063876347467</v>
      </c>
      <c r="L6293" t="e">
        <f>VLOOKUP(Table1[[#This Row],[CountryCode]],[1]!Table1[#All],1,FALSE)</f>
        <v>#REF!</v>
      </c>
    </row>
    <row r="6294" spans="1:12" hidden="1" x14ac:dyDescent="0.3">
      <c r="A6294" t="s">
        <v>81</v>
      </c>
      <c r="B6294" t="s">
        <v>82</v>
      </c>
      <c r="C6294" t="s">
        <v>127</v>
      </c>
      <c r="D6294" t="s">
        <v>128</v>
      </c>
      <c r="E6294">
        <v>2000</v>
      </c>
      <c r="F6294" s="1">
        <v>6336</v>
      </c>
      <c r="G6294">
        <v>2000</v>
      </c>
      <c r="H6294">
        <f>AVERAGEIFS(Table1[value],Table1[IndicatorCode],Table1[[#This Row],[IndicatorCode]])</f>
        <v>24902.88753799392</v>
      </c>
      <c r="I6294" cm="1">
        <f t="array" ref="I6294">_xlfn.STDEV.P(IF(Table1[IndicatorCode]=Table1[[#This Row],[IndicatorCode]],Table1[value]))</f>
        <v>26324.778297809873</v>
      </c>
      <c r="J6294">
        <f>(Table1[[#This Row],[value]] - Table1[[#This Row],[mean]]) / Table1[[#This Row],[std_dev]]</f>
        <v>-0.70530081309511417</v>
      </c>
      <c r="K6294">
        <f>AVERAGEIF(Table1[CountryCode],Table1[[#This Row],[CountryCode]],Table1[z-score])</f>
        <v>-0.32088063876347467</v>
      </c>
      <c r="L6294" t="e">
        <f>VLOOKUP(Table1[[#This Row],[CountryCode]],[1]!Table1[#All],1,FALSE)</f>
        <v>#REF!</v>
      </c>
    </row>
    <row r="6295" spans="1:12" hidden="1" x14ac:dyDescent="0.3">
      <c r="A6295" t="s">
        <v>81</v>
      </c>
      <c r="B6295" t="s">
        <v>82</v>
      </c>
      <c r="C6295" t="s">
        <v>127</v>
      </c>
      <c r="D6295" t="s">
        <v>128</v>
      </c>
      <c r="E6295">
        <v>2001</v>
      </c>
      <c r="F6295" s="1">
        <v>6833</v>
      </c>
      <c r="G6295">
        <v>2000</v>
      </c>
      <c r="H6295">
        <f>AVERAGEIFS(Table1[value],Table1[IndicatorCode],Table1[[#This Row],[IndicatorCode]])</f>
        <v>24902.88753799392</v>
      </c>
      <c r="I6295" cm="1">
        <f t="array" ref="I6295">_xlfn.STDEV.P(IF(Table1[IndicatorCode]=Table1[[#This Row],[IndicatorCode]],Table1[value]))</f>
        <v>26324.778297809873</v>
      </c>
      <c r="J6295">
        <f>(Table1[[#This Row],[value]] - Table1[[#This Row],[mean]]) / Table1[[#This Row],[std_dev]]</f>
        <v>-0.68642126188379982</v>
      </c>
      <c r="K6295">
        <f>AVERAGEIF(Table1[CountryCode],Table1[[#This Row],[CountryCode]],Table1[z-score])</f>
        <v>-0.32088063876347467</v>
      </c>
      <c r="L6295" t="e">
        <f>VLOOKUP(Table1[[#This Row],[CountryCode]],[1]!Table1[#All],1,FALSE)</f>
        <v>#REF!</v>
      </c>
    </row>
    <row r="6296" spans="1:12" hidden="1" x14ac:dyDescent="0.3">
      <c r="A6296" t="s">
        <v>81</v>
      </c>
      <c r="B6296" t="s">
        <v>82</v>
      </c>
      <c r="C6296" t="s">
        <v>127</v>
      </c>
      <c r="D6296" t="s">
        <v>128</v>
      </c>
      <c r="E6296">
        <v>2002</v>
      </c>
      <c r="F6296" s="1">
        <v>7443</v>
      </c>
      <c r="G6296">
        <v>2000</v>
      </c>
      <c r="H6296">
        <f>AVERAGEIFS(Table1[value],Table1[IndicatorCode],Table1[[#This Row],[IndicatorCode]])</f>
        <v>24902.88753799392</v>
      </c>
      <c r="I6296" cm="1">
        <f t="array" ref="I6296">_xlfn.STDEV.P(IF(Table1[IndicatorCode]=Table1[[#This Row],[IndicatorCode]],Table1[value]))</f>
        <v>26324.778297809873</v>
      </c>
      <c r="J6296">
        <f>(Table1[[#This Row],[value]] - Table1[[#This Row],[mean]]) / Table1[[#This Row],[std_dev]]</f>
        <v>-0.66324917689606977</v>
      </c>
      <c r="K6296">
        <f>AVERAGEIF(Table1[CountryCode],Table1[[#This Row],[CountryCode]],Table1[z-score])</f>
        <v>-0.32088063876347467</v>
      </c>
      <c r="L6296" t="e">
        <f>VLOOKUP(Table1[[#This Row],[CountryCode]],[1]!Table1[#All],1,FALSE)</f>
        <v>#REF!</v>
      </c>
    </row>
    <row r="6297" spans="1:12" hidden="1" x14ac:dyDescent="0.3">
      <c r="A6297" t="s">
        <v>81</v>
      </c>
      <c r="B6297" t="s">
        <v>82</v>
      </c>
      <c r="C6297" t="s">
        <v>127</v>
      </c>
      <c r="D6297" t="s">
        <v>128</v>
      </c>
      <c r="E6297">
        <v>2003</v>
      </c>
      <c r="F6297" s="1">
        <v>8149</v>
      </c>
      <c r="G6297">
        <v>2000</v>
      </c>
      <c r="H6297">
        <f>AVERAGEIFS(Table1[value],Table1[IndicatorCode],Table1[[#This Row],[IndicatorCode]])</f>
        <v>24902.88753799392</v>
      </c>
      <c r="I6297" cm="1">
        <f t="array" ref="I6297">_xlfn.STDEV.P(IF(Table1[IndicatorCode]=Table1[[#This Row],[IndicatorCode]],Table1[value]))</f>
        <v>26324.778297809873</v>
      </c>
      <c r="J6297">
        <f>(Table1[[#This Row],[value]] - Table1[[#This Row],[mean]]) / Table1[[#This Row],[std_dev]]</f>
        <v>-0.63643033754961509</v>
      </c>
      <c r="K6297">
        <f>AVERAGEIF(Table1[CountryCode],Table1[[#This Row],[CountryCode]],Table1[z-score])</f>
        <v>-0.32088063876347467</v>
      </c>
      <c r="L6297" t="e">
        <f>VLOOKUP(Table1[[#This Row],[CountryCode]],[1]!Table1[#All],1,FALSE)</f>
        <v>#REF!</v>
      </c>
    </row>
    <row r="6298" spans="1:12" hidden="1" x14ac:dyDescent="0.3">
      <c r="A6298" t="s">
        <v>81</v>
      </c>
      <c r="B6298" t="s">
        <v>82</v>
      </c>
      <c r="C6298" t="s">
        <v>127</v>
      </c>
      <c r="D6298" t="s">
        <v>128</v>
      </c>
      <c r="E6298">
        <v>2004</v>
      </c>
      <c r="F6298" s="1">
        <v>8957</v>
      </c>
      <c r="G6298">
        <v>2000</v>
      </c>
      <c r="H6298">
        <f>AVERAGEIFS(Table1[value],Table1[IndicatorCode],Table1[[#This Row],[IndicatorCode]])</f>
        <v>24902.88753799392</v>
      </c>
      <c r="I6298" cm="1">
        <f t="array" ref="I6298">_xlfn.STDEV.P(IF(Table1[IndicatorCode]=Table1[[#This Row],[IndicatorCode]],Table1[value]))</f>
        <v>26324.778297809873</v>
      </c>
      <c r="J6298">
        <f>(Table1[[#This Row],[value]] - Table1[[#This Row],[mean]]) / Table1[[#This Row],[std_dev]]</f>
        <v>-0.60573682169701537</v>
      </c>
      <c r="K6298">
        <f>AVERAGEIF(Table1[CountryCode],Table1[[#This Row],[CountryCode]],Table1[z-score])</f>
        <v>-0.32088063876347467</v>
      </c>
      <c r="L6298" t="e">
        <f>VLOOKUP(Table1[[#This Row],[CountryCode]],[1]!Table1[#All],1,FALSE)</f>
        <v>#REF!</v>
      </c>
    </row>
    <row r="6299" spans="1:12" hidden="1" x14ac:dyDescent="0.3">
      <c r="A6299" t="s">
        <v>81</v>
      </c>
      <c r="B6299" t="s">
        <v>82</v>
      </c>
      <c r="C6299" t="s">
        <v>127</v>
      </c>
      <c r="D6299" t="s">
        <v>128</v>
      </c>
      <c r="E6299">
        <v>2005</v>
      </c>
      <c r="F6299" s="1">
        <v>10106</v>
      </c>
      <c r="G6299">
        <v>2000</v>
      </c>
      <c r="H6299">
        <f>AVERAGEIFS(Table1[value],Table1[IndicatorCode],Table1[[#This Row],[IndicatorCode]])</f>
        <v>24902.88753799392</v>
      </c>
      <c r="I6299" cm="1">
        <f t="array" ref="I6299">_xlfn.STDEV.P(IF(Table1[IndicatorCode]=Table1[[#This Row],[IndicatorCode]],Table1[value]))</f>
        <v>26324.778297809873</v>
      </c>
      <c r="J6299">
        <f>(Table1[[#This Row],[value]] - Table1[[#This Row],[mean]]) / Table1[[#This Row],[std_dev]]</f>
        <v>-0.56208973046602895</v>
      </c>
      <c r="K6299">
        <f>AVERAGEIF(Table1[CountryCode],Table1[[#This Row],[CountryCode]],Table1[z-score])</f>
        <v>-0.32088063876347467</v>
      </c>
      <c r="L6299" t="e">
        <f>VLOOKUP(Table1[[#This Row],[CountryCode]],[1]!Table1[#All],1,FALSE)</f>
        <v>#REF!</v>
      </c>
    </row>
    <row r="6300" spans="1:12" hidden="1" x14ac:dyDescent="0.3">
      <c r="A6300" t="s">
        <v>81</v>
      </c>
      <c r="B6300" t="s">
        <v>82</v>
      </c>
      <c r="C6300" t="s">
        <v>127</v>
      </c>
      <c r="D6300" t="s">
        <v>128</v>
      </c>
      <c r="E6300">
        <v>2006</v>
      </c>
      <c r="F6300" s="1">
        <v>11507</v>
      </c>
      <c r="G6300">
        <v>2000</v>
      </c>
      <c r="H6300">
        <f>AVERAGEIFS(Table1[value],Table1[IndicatorCode],Table1[[#This Row],[IndicatorCode]])</f>
        <v>24902.88753799392</v>
      </c>
      <c r="I6300" cm="1">
        <f t="array" ref="I6300">_xlfn.STDEV.P(IF(Table1[IndicatorCode]=Table1[[#This Row],[IndicatorCode]],Table1[value]))</f>
        <v>26324.778297809873</v>
      </c>
      <c r="J6300">
        <f>(Table1[[#This Row],[value]] - Table1[[#This Row],[mean]]) / Table1[[#This Row],[std_dev]]</f>
        <v>-0.50886990904339013</v>
      </c>
      <c r="K6300">
        <f>AVERAGEIF(Table1[CountryCode],Table1[[#This Row],[CountryCode]],Table1[z-score])</f>
        <v>-0.32088063876347467</v>
      </c>
      <c r="L6300" t="e">
        <f>VLOOKUP(Table1[[#This Row],[CountryCode]],[1]!Table1[#All],1,FALSE)</f>
        <v>#REF!</v>
      </c>
    </row>
    <row r="6301" spans="1:12" hidden="1" x14ac:dyDescent="0.3">
      <c r="A6301" t="s">
        <v>81</v>
      </c>
      <c r="B6301" t="s">
        <v>82</v>
      </c>
      <c r="C6301" t="s">
        <v>127</v>
      </c>
      <c r="D6301" t="s">
        <v>128</v>
      </c>
      <c r="E6301">
        <v>2007</v>
      </c>
      <c r="F6301" s="1">
        <v>12810</v>
      </c>
      <c r="G6301">
        <v>2010</v>
      </c>
      <c r="H6301">
        <f>AVERAGEIFS(Table1[value],Table1[IndicatorCode],Table1[[#This Row],[IndicatorCode]])</f>
        <v>24902.88753799392</v>
      </c>
      <c r="I6301" cm="1">
        <f t="array" ref="I6301">_xlfn.STDEV.P(IF(Table1[IndicatorCode]=Table1[[#This Row],[IndicatorCode]],Table1[value]))</f>
        <v>26324.778297809873</v>
      </c>
      <c r="J6301">
        <f>(Table1[[#This Row],[value]] - Table1[[#This Row],[mean]]) / Table1[[#This Row],[std_dev]]</f>
        <v>-0.45937281602861607</v>
      </c>
      <c r="K6301">
        <f>AVERAGEIF(Table1[CountryCode],Table1[[#This Row],[CountryCode]],Table1[z-score])</f>
        <v>-0.32088063876347467</v>
      </c>
      <c r="L6301" t="e">
        <f>VLOOKUP(Table1[[#This Row],[CountryCode]],[1]!Table1[#All],1,FALSE)</f>
        <v>#REF!</v>
      </c>
    </row>
    <row r="6302" spans="1:12" hidden="1" x14ac:dyDescent="0.3">
      <c r="A6302" t="s">
        <v>81</v>
      </c>
      <c r="B6302" t="s">
        <v>82</v>
      </c>
      <c r="C6302" t="s">
        <v>127</v>
      </c>
      <c r="D6302" t="s">
        <v>128</v>
      </c>
      <c r="E6302">
        <v>2008</v>
      </c>
      <c r="F6302" s="1">
        <v>12507</v>
      </c>
      <c r="G6302">
        <v>2010</v>
      </c>
      <c r="H6302">
        <f>AVERAGEIFS(Table1[value],Table1[IndicatorCode],Table1[[#This Row],[IndicatorCode]])</f>
        <v>24902.88753799392</v>
      </c>
      <c r="I6302" cm="1">
        <f t="array" ref="I6302">_xlfn.STDEV.P(IF(Table1[IndicatorCode]=Table1[[#This Row],[IndicatorCode]],Table1[value]))</f>
        <v>26324.778297809873</v>
      </c>
      <c r="J6302">
        <f>(Table1[[#This Row],[value]] - Table1[[#This Row],[mean]]) / Table1[[#This Row],[std_dev]]</f>
        <v>-0.47088288447334098</v>
      </c>
      <c r="K6302">
        <f>AVERAGEIF(Table1[CountryCode],Table1[[#This Row],[CountryCode]],Table1[z-score])</f>
        <v>-0.32088063876347467</v>
      </c>
      <c r="L6302" t="e">
        <f>VLOOKUP(Table1[[#This Row],[CountryCode]],[1]!Table1[#All],1,FALSE)</f>
        <v>#REF!</v>
      </c>
    </row>
    <row r="6303" spans="1:12" hidden="1" x14ac:dyDescent="0.3">
      <c r="A6303" t="s">
        <v>81</v>
      </c>
      <c r="B6303" t="s">
        <v>82</v>
      </c>
      <c r="C6303" t="s">
        <v>127</v>
      </c>
      <c r="D6303" t="s">
        <v>128</v>
      </c>
      <c r="E6303">
        <v>2009</v>
      </c>
      <c r="F6303" s="1">
        <v>10675</v>
      </c>
      <c r="G6303">
        <v>2010</v>
      </c>
      <c r="H6303">
        <f>AVERAGEIFS(Table1[value],Table1[IndicatorCode],Table1[[#This Row],[IndicatorCode]])</f>
        <v>24902.88753799392</v>
      </c>
      <c r="I6303" cm="1">
        <f t="array" ref="I6303">_xlfn.STDEV.P(IF(Table1[IndicatorCode]=Table1[[#This Row],[IndicatorCode]],Table1[value]))</f>
        <v>26324.778297809873</v>
      </c>
      <c r="J6303">
        <f>(Table1[[#This Row],[value]] - Table1[[#This Row],[mean]]) / Table1[[#This Row],[std_dev]]</f>
        <v>-0.54047511348567101</v>
      </c>
      <c r="K6303">
        <f>AVERAGEIF(Table1[CountryCode],Table1[[#This Row],[CountryCode]],Table1[z-score])</f>
        <v>-0.32088063876347467</v>
      </c>
      <c r="L6303" t="e">
        <f>VLOOKUP(Table1[[#This Row],[CountryCode]],[1]!Table1[#All],1,FALSE)</f>
        <v>#REF!</v>
      </c>
    </row>
    <row r="6304" spans="1:12" hidden="1" x14ac:dyDescent="0.3">
      <c r="A6304" t="s">
        <v>81</v>
      </c>
      <c r="B6304" t="s">
        <v>82</v>
      </c>
      <c r="C6304" t="s">
        <v>127</v>
      </c>
      <c r="D6304" t="s">
        <v>128</v>
      </c>
      <c r="E6304">
        <v>2010</v>
      </c>
      <c r="F6304" s="1">
        <v>10501</v>
      </c>
      <c r="G6304">
        <v>2010</v>
      </c>
      <c r="H6304">
        <f>AVERAGEIFS(Table1[value],Table1[IndicatorCode],Table1[[#This Row],[IndicatorCode]])</f>
        <v>24902.88753799392</v>
      </c>
      <c r="I6304" cm="1">
        <f t="array" ref="I6304">_xlfn.STDEV.P(IF(Table1[IndicatorCode]=Table1[[#This Row],[IndicatorCode]],Table1[value]))</f>
        <v>26324.778297809873</v>
      </c>
      <c r="J6304">
        <f>(Table1[[#This Row],[value]] - Table1[[#This Row],[mean]]) / Table1[[#This Row],[std_dev]]</f>
        <v>-0.54708485576085952</v>
      </c>
      <c r="K6304">
        <f>AVERAGEIF(Table1[CountryCode],Table1[[#This Row],[CountryCode]],Table1[z-score])</f>
        <v>-0.32088063876347467</v>
      </c>
      <c r="L6304" t="e">
        <f>VLOOKUP(Table1[[#This Row],[CountryCode]],[1]!Table1[#All],1,FALSE)</f>
        <v>#REF!</v>
      </c>
    </row>
    <row r="6305" spans="1:12" hidden="1" x14ac:dyDescent="0.3">
      <c r="A6305" t="s">
        <v>81</v>
      </c>
      <c r="B6305" t="s">
        <v>82</v>
      </c>
      <c r="C6305" t="s">
        <v>127</v>
      </c>
      <c r="D6305" t="s">
        <v>128</v>
      </c>
      <c r="E6305">
        <v>2011</v>
      </c>
      <c r="F6305" s="1">
        <v>11019</v>
      </c>
      <c r="G6305">
        <v>2010</v>
      </c>
      <c r="H6305">
        <f>AVERAGEIFS(Table1[value],Table1[IndicatorCode],Table1[[#This Row],[IndicatorCode]])</f>
        <v>24902.88753799392</v>
      </c>
      <c r="I6305" cm="1">
        <f t="array" ref="I6305">_xlfn.STDEV.P(IF(Table1[IndicatorCode]=Table1[[#This Row],[IndicatorCode]],Table1[value]))</f>
        <v>26324.778297809873</v>
      </c>
      <c r="J6305">
        <f>(Table1[[#This Row],[value]] - Table1[[#This Row],[mean]]) / Table1[[#This Row],[std_dev]]</f>
        <v>-0.5274075770335741</v>
      </c>
      <c r="K6305">
        <f>AVERAGEIF(Table1[CountryCode],Table1[[#This Row],[CountryCode]],Table1[z-score])</f>
        <v>-0.32088063876347467</v>
      </c>
      <c r="L6305" t="e">
        <f>VLOOKUP(Table1[[#This Row],[CountryCode]],[1]!Table1[#All],1,FALSE)</f>
        <v>#REF!</v>
      </c>
    </row>
    <row r="6306" spans="1:12" hidden="1" x14ac:dyDescent="0.3">
      <c r="A6306" t="s">
        <v>81</v>
      </c>
      <c r="B6306" t="s">
        <v>82</v>
      </c>
      <c r="C6306" t="s">
        <v>127</v>
      </c>
      <c r="D6306" t="s">
        <v>128</v>
      </c>
      <c r="E6306">
        <v>2012</v>
      </c>
      <c r="F6306" s="1">
        <v>11971</v>
      </c>
      <c r="G6306">
        <v>2010</v>
      </c>
      <c r="H6306">
        <f>AVERAGEIFS(Table1[value],Table1[IndicatorCode],Table1[[#This Row],[IndicatorCode]])</f>
        <v>24902.88753799392</v>
      </c>
      <c r="I6306" cm="1">
        <f t="array" ref="I6306">_xlfn.STDEV.P(IF(Table1[IndicatorCode]=Table1[[#This Row],[IndicatorCode]],Table1[value]))</f>
        <v>26324.778297809873</v>
      </c>
      <c r="J6306">
        <f>(Table1[[#This Row],[value]] - Table1[[#This Row],[mean]]) / Table1[[#This Row],[std_dev]]</f>
        <v>-0.49124392964288732</v>
      </c>
      <c r="K6306">
        <f>AVERAGEIF(Table1[CountryCode],Table1[[#This Row],[CountryCode]],Table1[z-score])</f>
        <v>-0.32088063876347467</v>
      </c>
      <c r="L6306" t="e">
        <f>VLOOKUP(Table1[[#This Row],[CountryCode]],[1]!Table1[#All],1,FALSE)</f>
        <v>#REF!</v>
      </c>
    </row>
    <row r="6307" spans="1:12" hidden="1" x14ac:dyDescent="0.3">
      <c r="A6307" t="s">
        <v>81</v>
      </c>
      <c r="B6307" t="s">
        <v>82</v>
      </c>
      <c r="C6307" t="s">
        <v>127</v>
      </c>
      <c r="D6307" t="s">
        <v>128</v>
      </c>
      <c r="E6307">
        <v>2013</v>
      </c>
      <c r="F6307" s="1">
        <v>12354</v>
      </c>
      <c r="G6307">
        <v>2010</v>
      </c>
      <c r="H6307">
        <f>AVERAGEIFS(Table1[value],Table1[IndicatorCode],Table1[[#This Row],[IndicatorCode]])</f>
        <v>24902.88753799392</v>
      </c>
      <c r="I6307" cm="1">
        <f t="array" ref="I6307">_xlfn.STDEV.P(IF(Table1[IndicatorCode]=Table1[[#This Row],[IndicatorCode]],Table1[value]))</f>
        <v>26324.778297809873</v>
      </c>
      <c r="J6307">
        <f>(Table1[[#This Row],[value]] - Table1[[#This Row],[mean]]) / Table1[[#This Row],[std_dev]]</f>
        <v>-0.47669489923255848</v>
      </c>
      <c r="K6307">
        <f>AVERAGEIF(Table1[CountryCode],Table1[[#This Row],[CountryCode]],Table1[z-score])</f>
        <v>-0.32088063876347467</v>
      </c>
      <c r="L6307" t="e">
        <f>VLOOKUP(Table1[[#This Row],[CountryCode]],[1]!Table1[#All],1,FALSE)</f>
        <v>#REF!</v>
      </c>
    </row>
    <row r="6308" spans="1:12" hidden="1" x14ac:dyDescent="0.3">
      <c r="A6308" t="s">
        <v>81</v>
      </c>
      <c r="B6308" t="s">
        <v>82</v>
      </c>
      <c r="C6308" t="s">
        <v>127</v>
      </c>
      <c r="D6308" t="s">
        <v>128</v>
      </c>
      <c r="E6308">
        <v>2014</v>
      </c>
      <c r="F6308" s="1">
        <v>12732</v>
      </c>
      <c r="G6308">
        <v>2010</v>
      </c>
      <c r="H6308">
        <f>AVERAGEIFS(Table1[value],Table1[IndicatorCode],Table1[[#This Row],[IndicatorCode]])</f>
        <v>24902.88753799392</v>
      </c>
      <c r="I6308" cm="1">
        <f t="array" ref="I6308">_xlfn.STDEV.P(IF(Table1[IndicatorCode]=Table1[[#This Row],[IndicatorCode]],Table1[value]))</f>
        <v>26324.778297809873</v>
      </c>
      <c r="J6308">
        <f>(Table1[[#This Row],[value]] - Table1[[#This Row],[mean]]) / Table1[[#This Row],[std_dev]]</f>
        <v>-0.46233580394507989</v>
      </c>
      <c r="K6308">
        <f>AVERAGEIF(Table1[CountryCode],Table1[[#This Row],[CountryCode]],Table1[z-score])</f>
        <v>-0.32088063876347467</v>
      </c>
      <c r="L6308" t="e">
        <f>VLOOKUP(Table1[[#This Row],[CountryCode]],[1]!Table1[#All],1,FALSE)</f>
        <v>#REF!</v>
      </c>
    </row>
    <row r="6309" spans="1:12" hidden="1" x14ac:dyDescent="0.3">
      <c r="A6309" t="s">
        <v>81</v>
      </c>
      <c r="B6309" t="s">
        <v>82</v>
      </c>
      <c r="C6309" t="s">
        <v>127</v>
      </c>
      <c r="D6309" t="s">
        <v>128</v>
      </c>
      <c r="E6309">
        <v>2015</v>
      </c>
      <c r="F6309" s="1">
        <v>13322</v>
      </c>
      <c r="G6309">
        <v>2010</v>
      </c>
      <c r="H6309">
        <f>AVERAGEIFS(Table1[value],Table1[IndicatorCode],Table1[[#This Row],[IndicatorCode]])</f>
        <v>24902.88753799392</v>
      </c>
      <c r="I6309" cm="1">
        <f t="array" ref="I6309">_xlfn.STDEV.P(IF(Table1[IndicatorCode]=Table1[[#This Row],[IndicatorCode]],Table1[value]))</f>
        <v>26324.778297809873</v>
      </c>
      <c r="J6309">
        <f>(Table1[[#This Row],[value]] - Table1[[#This Row],[mean]]) / Table1[[#This Row],[std_dev]]</f>
        <v>-0.43992345944875094</v>
      </c>
      <c r="K6309">
        <f>AVERAGEIF(Table1[CountryCode],Table1[[#This Row],[CountryCode]],Table1[z-score])</f>
        <v>-0.32088063876347467</v>
      </c>
      <c r="L6309" t="e">
        <f>VLOOKUP(Table1[[#This Row],[CountryCode]],[1]!Table1[#All],1,FALSE)</f>
        <v>#REF!</v>
      </c>
    </row>
    <row r="6310" spans="1:12" hidden="1" x14ac:dyDescent="0.3">
      <c r="A6310" t="s">
        <v>81</v>
      </c>
      <c r="B6310" t="s">
        <v>82</v>
      </c>
      <c r="C6310" t="s">
        <v>127</v>
      </c>
      <c r="D6310" t="s">
        <v>128</v>
      </c>
      <c r="E6310">
        <v>2016</v>
      </c>
      <c r="F6310" s="1">
        <v>13787</v>
      </c>
      <c r="G6310">
        <v>2010</v>
      </c>
      <c r="H6310">
        <f>AVERAGEIFS(Table1[value],Table1[IndicatorCode],Table1[[#This Row],[IndicatorCode]])</f>
        <v>24902.88753799392</v>
      </c>
      <c r="I6310" cm="1">
        <f t="array" ref="I6310">_xlfn.STDEV.P(IF(Table1[IndicatorCode]=Table1[[#This Row],[IndicatorCode]],Table1[value]))</f>
        <v>26324.778297809873</v>
      </c>
      <c r="J6310">
        <f>(Table1[[#This Row],[value]] - Table1[[#This Row],[mean]]) / Table1[[#This Row],[std_dev]]</f>
        <v>-0.42225949302367805</v>
      </c>
      <c r="K6310">
        <f>AVERAGEIF(Table1[CountryCode],Table1[[#This Row],[CountryCode]],Table1[z-score])</f>
        <v>-0.32088063876347467</v>
      </c>
      <c r="L6310" t="e">
        <f>VLOOKUP(Table1[[#This Row],[CountryCode]],[1]!Table1[#All],1,FALSE)</f>
        <v>#REF!</v>
      </c>
    </row>
    <row r="6311" spans="1:12" hidden="1" x14ac:dyDescent="0.3">
      <c r="A6311" t="s">
        <v>81</v>
      </c>
      <c r="B6311" t="s">
        <v>82</v>
      </c>
      <c r="C6311" t="s">
        <v>127</v>
      </c>
      <c r="D6311" t="s">
        <v>128</v>
      </c>
      <c r="E6311">
        <v>2017</v>
      </c>
      <c r="F6311" s="1">
        <v>14383</v>
      </c>
      <c r="G6311">
        <v>2020</v>
      </c>
      <c r="H6311">
        <f>AVERAGEIFS(Table1[value],Table1[IndicatorCode],Table1[[#This Row],[IndicatorCode]])</f>
        <v>24902.88753799392</v>
      </c>
      <c r="I6311" cm="1">
        <f t="array" ref="I6311">_xlfn.STDEV.P(IF(Table1[IndicatorCode]=Table1[[#This Row],[IndicatorCode]],Table1[value]))</f>
        <v>26324.778297809873</v>
      </c>
      <c r="J6311">
        <f>(Table1[[#This Row],[value]] - Table1[[#This Row],[mean]]) / Table1[[#This Row],[std_dev]]</f>
        <v>-0.3996192263799288</v>
      </c>
      <c r="K6311">
        <f>AVERAGEIF(Table1[CountryCode],Table1[[#This Row],[CountryCode]],Table1[z-score])</f>
        <v>-0.32088063876347467</v>
      </c>
      <c r="L6311" t="e">
        <f>VLOOKUP(Table1[[#This Row],[CountryCode]],[1]!Table1[#All],1,FALSE)</f>
        <v>#REF!</v>
      </c>
    </row>
    <row r="6312" spans="1:12" hidden="1" x14ac:dyDescent="0.3">
      <c r="A6312" t="s">
        <v>81</v>
      </c>
      <c r="B6312" t="s">
        <v>82</v>
      </c>
      <c r="C6312" t="s">
        <v>127</v>
      </c>
      <c r="D6312" t="s">
        <v>128</v>
      </c>
      <c r="E6312">
        <v>2018</v>
      </c>
      <c r="F6312" s="1">
        <v>15120</v>
      </c>
      <c r="G6312">
        <v>2020</v>
      </c>
      <c r="H6312">
        <f>AVERAGEIFS(Table1[value],Table1[IndicatorCode],Table1[[#This Row],[IndicatorCode]])</f>
        <v>24902.88753799392</v>
      </c>
      <c r="I6312" cm="1">
        <f t="array" ref="I6312">_xlfn.STDEV.P(IF(Table1[IndicatorCode]=Table1[[#This Row],[IndicatorCode]],Table1[value]))</f>
        <v>26324.778297809873</v>
      </c>
      <c r="J6312">
        <f>(Table1[[#This Row],[value]] - Table1[[#This Row],[mean]]) / Table1[[#This Row],[std_dev]]</f>
        <v>-0.37162278927180259</v>
      </c>
      <c r="K6312">
        <f>AVERAGEIF(Table1[CountryCode],Table1[[#This Row],[CountryCode]],Table1[z-score])</f>
        <v>-0.32088063876347467</v>
      </c>
      <c r="L6312" t="e">
        <f>VLOOKUP(Table1[[#This Row],[CountryCode]],[1]!Table1[#All],1,FALSE)</f>
        <v>#REF!</v>
      </c>
    </row>
    <row r="6313" spans="1:12" hidden="1" x14ac:dyDescent="0.3">
      <c r="A6313" t="s">
        <v>81</v>
      </c>
      <c r="B6313" t="s">
        <v>82</v>
      </c>
      <c r="C6313" t="s">
        <v>127</v>
      </c>
      <c r="D6313" t="s">
        <v>128</v>
      </c>
      <c r="E6313">
        <v>2019</v>
      </c>
      <c r="F6313" s="1">
        <v>15328</v>
      </c>
      <c r="G6313">
        <v>2020</v>
      </c>
      <c r="H6313">
        <f>AVERAGEIFS(Table1[value],Table1[IndicatorCode],Table1[[#This Row],[IndicatorCode]])</f>
        <v>24902.88753799392</v>
      </c>
      <c r="I6313" cm="1">
        <f t="array" ref="I6313">_xlfn.STDEV.P(IF(Table1[IndicatorCode]=Table1[[#This Row],[IndicatorCode]],Table1[value]))</f>
        <v>26324.778297809873</v>
      </c>
      <c r="J6313">
        <f>(Table1[[#This Row],[value]] - Table1[[#This Row],[mean]]) / Table1[[#This Row],[std_dev]]</f>
        <v>-0.36372148816123234</v>
      </c>
      <c r="K6313">
        <f>AVERAGEIF(Table1[CountryCode],Table1[[#This Row],[CountryCode]],Table1[z-score])</f>
        <v>-0.32088063876347467</v>
      </c>
      <c r="L6313" t="e">
        <f>VLOOKUP(Table1[[#This Row],[CountryCode]],[1]!Table1[#All],1,FALSE)</f>
        <v>#REF!</v>
      </c>
    </row>
    <row r="6314" spans="1:12" x14ac:dyDescent="0.3">
      <c r="A6314" t="s">
        <v>69</v>
      </c>
      <c r="B6314" t="s">
        <v>70</v>
      </c>
      <c r="C6314" t="s">
        <v>127</v>
      </c>
      <c r="D6314" t="s">
        <v>128</v>
      </c>
      <c r="E6314">
        <v>2020</v>
      </c>
      <c r="F6314" s="1">
        <v>29470</v>
      </c>
      <c r="G6314">
        <v>2020</v>
      </c>
      <c r="H6314">
        <f>AVERAGEIFS(Table1[value],Table1[IndicatorCode],Table1[[#This Row],[IndicatorCode]])</f>
        <v>24902.88753799392</v>
      </c>
      <c r="I6314" cm="1">
        <f t="array" ref="I6314">_xlfn.STDEV.P(IF(Table1[IndicatorCode]=Table1[[#This Row],[IndicatorCode]],Table1[value]))</f>
        <v>26324.778297809873</v>
      </c>
      <c r="J6314">
        <f>(Table1[[#This Row],[value]] - Table1[[#This Row],[mean]]) / Table1[[#This Row],[std_dev]]</f>
        <v>0.17349101330840258</v>
      </c>
      <c r="K6314">
        <f>AVERAGEIF(Table1[CountryCode],Table1[[#This Row],[CountryCode]],Table1[z-score])</f>
        <v>0.20445029067007053</v>
      </c>
    </row>
    <row r="6315" spans="1:12" hidden="1" x14ac:dyDescent="0.3">
      <c r="A6315" t="s">
        <v>81</v>
      </c>
      <c r="B6315" t="s">
        <v>82</v>
      </c>
      <c r="C6315" t="s">
        <v>127</v>
      </c>
      <c r="D6315" t="s">
        <v>128</v>
      </c>
      <c r="E6315">
        <v>2021</v>
      </c>
      <c r="F6315" s="1">
        <v>16070</v>
      </c>
      <c r="G6315">
        <v>2020</v>
      </c>
      <c r="H6315">
        <f>AVERAGEIFS(Table1[value],Table1[IndicatorCode],Table1[[#This Row],[IndicatorCode]])</f>
        <v>24902.88753799392</v>
      </c>
      <c r="I6315" cm="1">
        <f t="array" ref="I6315">_xlfn.STDEV.P(IF(Table1[IndicatorCode]=Table1[[#This Row],[IndicatorCode]],Table1[value]))</f>
        <v>26324.778297809873</v>
      </c>
      <c r="J6315">
        <f>(Table1[[#This Row],[value]] - Table1[[#This Row],[mean]]) / Table1[[#This Row],[std_dev]]</f>
        <v>-0.33553511593025587</v>
      </c>
      <c r="K6315">
        <f>AVERAGEIF(Table1[CountryCode],Table1[[#This Row],[CountryCode]],Table1[z-score])</f>
        <v>-0.32088063876347467</v>
      </c>
      <c r="L6315" t="e">
        <f>VLOOKUP(Table1[[#This Row],[CountryCode]],[1]!Table1[#All],1,FALSE)</f>
        <v>#REF!</v>
      </c>
    </row>
    <row r="6316" spans="1:12" hidden="1" x14ac:dyDescent="0.3">
      <c r="A6316" t="s">
        <v>81</v>
      </c>
      <c r="B6316" t="s">
        <v>82</v>
      </c>
      <c r="C6316" t="s">
        <v>127</v>
      </c>
      <c r="D6316" t="s">
        <v>128</v>
      </c>
      <c r="E6316">
        <v>2022</v>
      </c>
      <c r="F6316" s="1">
        <v>16421</v>
      </c>
      <c r="G6316">
        <v>1970</v>
      </c>
      <c r="H6316">
        <f>AVERAGEIFS(Table1[value],Table1[IndicatorCode],Table1[[#This Row],[IndicatorCode]])</f>
        <v>24902.88753799392</v>
      </c>
      <c r="I6316" cm="1">
        <f t="array" ref="I6316">_xlfn.STDEV.P(IF(Table1[IndicatorCode]=Table1[[#This Row],[IndicatorCode]],Table1[value]))</f>
        <v>26324.778297809873</v>
      </c>
      <c r="J6316">
        <f>(Table1[[#This Row],[value]] - Table1[[#This Row],[mean]]) / Table1[[#This Row],[std_dev]]</f>
        <v>-0.32220167030616864</v>
      </c>
      <c r="K6316">
        <f>AVERAGEIF(Table1[CountryCode],Table1[[#This Row],[CountryCode]],Table1[z-score])</f>
        <v>-0.32088063876347467</v>
      </c>
      <c r="L6316" t="e">
        <f>VLOOKUP(Table1[[#This Row],[CountryCode]],[1]!Table1[#All],1,FALSE)</f>
        <v>#REF!</v>
      </c>
    </row>
    <row r="6317" spans="1:12" hidden="1" x14ac:dyDescent="0.3">
      <c r="A6317" t="s">
        <v>81</v>
      </c>
      <c r="B6317" t="s">
        <v>82</v>
      </c>
      <c r="C6317" t="s">
        <v>127</v>
      </c>
      <c r="D6317" t="s">
        <v>128</v>
      </c>
      <c r="E6317">
        <v>2023</v>
      </c>
      <c r="F6317" s="1">
        <v>16229</v>
      </c>
      <c r="G6317">
        <v>1970</v>
      </c>
      <c r="H6317">
        <f>AVERAGEIFS(Table1[value],Table1[IndicatorCode],Table1[[#This Row],[IndicatorCode]])</f>
        <v>24902.88753799392</v>
      </c>
      <c r="I6317" cm="1">
        <f t="array" ref="I6317">_xlfn.STDEV.P(IF(Table1[IndicatorCode]=Table1[[#This Row],[IndicatorCode]],Table1[value]))</f>
        <v>26324.778297809873</v>
      </c>
      <c r="J6317">
        <f>(Table1[[#This Row],[value]] - Table1[[#This Row],[mean]]) / Table1[[#This Row],[std_dev]]</f>
        <v>-0.32949517902361808</v>
      </c>
      <c r="K6317">
        <f>AVERAGEIF(Table1[CountryCode],Table1[[#This Row],[CountryCode]],Table1[z-score])</f>
        <v>-0.32088063876347467</v>
      </c>
      <c r="L6317" t="e">
        <f>VLOOKUP(Table1[[#This Row],[CountryCode]],[1]!Table1[#All],1,FALSE)</f>
        <v>#REF!</v>
      </c>
    </row>
    <row r="6318" spans="1:12" hidden="1" x14ac:dyDescent="0.3">
      <c r="A6318" t="s">
        <v>81</v>
      </c>
      <c r="B6318" t="s">
        <v>82</v>
      </c>
      <c r="C6318" t="s">
        <v>127</v>
      </c>
      <c r="D6318" t="s">
        <v>128</v>
      </c>
      <c r="E6318">
        <v>2024</v>
      </c>
      <c r="F6318" s="1">
        <v>16375</v>
      </c>
      <c r="G6318">
        <v>1970</v>
      </c>
      <c r="H6318">
        <f>AVERAGEIFS(Table1[value],Table1[IndicatorCode],Table1[[#This Row],[IndicatorCode]])</f>
        <v>24902.88753799392</v>
      </c>
      <c r="I6318" cm="1">
        <f t="array" ref="I6318">_xlfn.STDEV.P(IF(Table1[IndicatorCode]=Table1[[#This Row],[IndicatorCode]],Table1[value]))</f>
        <v>26324.778297809873</v>
      </c>
      <c r="J6318">
        <f>(Table1[[#This Row],[value]] - Table1[[#This Row],[mean]]) / Table1[[#This Row],[std_dev]]</f>
        <v>-0.3239490734363909</v>
      </c>
      <c r="K6318">
        <f>AVERAGEIF(Table1[CountryCode],Table1[[#This Row],[CountryCode]],Table1[z-score])</f>
        <v>-0.32088063876347467</v>
      </c>
      <c r="L6318" t="e">
        <f>VLOOKUP(Table1[[#This Row],[CountryCode]],[1]!Table1[#All],1,FALSE)</f>
        <v>#REF!</v>
      </c>
    </row>
    <row r="6319" spans="1:12" hidden="1" x14ac:dyDescent="0.3">
      <c r="A6319" t="s">
        <v>83</v>
      </c>
      <c r="B6319" t="s">
        <v>84</v>
      </c>
      <c r="C6319" t="s">
        <v>127</v>
      </c>
      <c r="D6319" t="s">
        <v>128</v>
      </c>
      <c r="E6319">
        <v>1970</v>
      </c>
      <c r="F6319" s="1">
        <v>72838</v>
      </c>
      <c r="G6319">
        <v>1970</v>
      </c>
      <c r="H6319">
        <f>AVERAGEIFS(Table1[value],Table1[IndicatorCode],Table1[[#This Row],[IndicatorCode]])</f>
        <v>24902.88753799392</v>
      </c>
      <c r="I6319" cm="1">
        <f t="array" ref="I6319">_xlfn.STDEV.P(IF(Table1[IndicatorCode]=Table1[[#This Row],[IndicatorCode]],Table1[value]))</f>
        <v>26324.778297809873</v>
      </c>
      <c r="J6319">
        <f>(Table1[[#This Row],[value]] - Table1[[#This Row],[mean]]) / Table1[[#This Row],[std_dev]]</f>
        <v>1.8209122948622936</v>
      </c>
      <c r="K6319">
        <f>AVERAGEIF(Table1[CountryCode],Table1[[#This Row],[CountryCode]],Table1[z-score])</f>
        <v>1.8607276946173743</v>
      </c>
      <c r="L6319" t="e">
        <f>VLOOKUP(Table1[[#This Row],[CountryCode]],[1]!Table1[#All],1,FALSE)</f>
        <v>#REF!</v>
      </c>
    </row>
    <row r="6320" spans="1:12" hidden="1" x14ac:dyDescent="0.3">
      <c r="A6320" t="s">
        <v>83</v>
      </c>
      <c r="B6320" t="s">
        <v>84</v>
      </c>
      <c r="C6320" t="s">
        <v>127</v>
      </c>
      <c r="D6320" t="s">
        <v>128</v>
      </c>
      <c r="E6320">
        <v>1971</v>
      </c>
      <c r="F6320" s="1">
        <v>75564</v>
      </c>
      <c r="G6320">
        <v>1970</v>
      </c>
      <c r="H6320">
        <f>AVERAGEIFS(Table1[value],Table1[IndicatorCode],Table1[[#This Row],[IndicatorCode]])</f>
        <v>24902.88753799392</v>
      </c>
      <c r="I6320" cm="1">
        <f t="array" ref="I6320">_xlfn.STDEV.P(IF(Table1[IndicatorCode]=Table1[[#This Row],[IndicatorCode]],Table1[value]))</f>
        <v>26324.778297809873</v>
      </c>
      <c r="J6320">
        <f>(Table1[[#This Row],[value]] - Table1[[#This Row],[mean]]) / Table1[[#This Row],[std_dev]]</f>
        <v>1.9244649238402476</v>
      </c>
      <c r="K6320">
        <f>AVERAGEIF(Table1[CountryCode],Table1[[#This Row],[CountryCode]],Table1[z-score])</f>
        <v>1.8607276946173743</v>
      </c>
      <c r="L6320" t="e">
        <f>VLOOKUP(Table1[[#This Row],[CountryCode]],[1]!Table1[#All],1,FALSE)</f>
        <v>#REF!</v>
      </c>
    </row>
    <row r="6321" spans="1:12" hidden="1" x14ac:dyDescent="0.3">
      <c r="A6321" t="s">
        <v>83</v>
      </c>
      <c r="B6321" t="s">
        <v>84</v>
      </c>
      <c r="C6321" t="s">
        <v>127</v>
      </c>
      <c r="D6321" t="s">
        <v>128</v>
      </c>
      <c r="E6321">
        <v>1972</v>
      </c>
      <c r="F6321" s="1">
        <v>78166</v>
      </c>
      <c r="G6321">
        <v>1970</v>
      </c>
      <c r="H6321">
        <f>AVERAGEIFS(Table1[value],Table1[IndicatorCode],Table1[[#This Row],[IndicatorCode]])</f>
        <v>24902.88753799392</v>
      </c>
      <c r="I6321" cm="1">
        <f t="array" ref="I6321">_xlfn.STDEV.P(IF(Table1[IndicatorCode]=Table1[[#This Row],[IndicatorCode]],Table1[value]))</f>
        <v>26324.778297809873</v>
      </c>
      <c r="J6321">
        <f>(Table1[[#This Row],[value]] - Table1[[#This Row],[mean]]) / Table1[[#This Row],[std_dev]]</f>
        <v>2.0233071617715153</v>
      </c>
      <c r="K6321">
        <f>AVERAGEIF(Table1[CountryCode],Table1[[#This Row],[CountryCode]],Table1[z-score])</f>
        <v>1.8607276946173743</v>
      </c>
      <c r="L6321" t="e">
        <f>VLOOKUP(Table1[[#This Row],[CountryCode]],[1]!Table1[#All],1,FALSE)</f>
        <v>#REF!</v>
      </c>
    </row>
    <row r="6322" spans="1:12" hidden="1" x14ac:dyDescent="0.3">
      <c r="A6322" t="s">
        <v>83</v>
      </c>
      <c r="B6322" t="s">
        <v>84</v>
      </c>
      <c r="C6322" t="s">
        <v>127</v>
      </c>
      <c r="D6322" t="s">
        <v>128</v>
      </c>
      <c r="E6322">
        <v>1973</v>
      </c>
      <c r="F6322" s="1">
        <v>82592</v>
      </c>
      <c r="G6322">
        <v>1970</v>
      </c>
      <c r="H6322">
        <f>AVERAGEIFS(Table1[value],Table1[IndicatorCode],Table1[[#This Row],[IndicatorCode]])</f>
        <v>24902.88753799392</v>
      </c>
      <c r="I6322" cm="1">
        <f t="array" ref="I6322">_xlfn.STDEV.P(IF(Table1[IndicatorCode]=Table1[[#This Row],[IndicatorCode]],Table1[value]))</f>
        <v>26324.778297809873</v>
      </c>
      <c r="J6322">
        <f>(Table1[[#This Row],[value]] - Table1[[#This Row],[mean]]) / Table1[[#This Row],[std_dev]]</f>
        <v>2.191437732518553</v>
      </c>
      <c r="K6322">
        <f>AVERAGEIF(Table1[CountryCode],Table1[[#This Row],[CountryCode]],Table1[z-score])</f>
        <v>1.8607276946173743</v>
      </c>
      <c r="L6322" t="e">
        <f>VLOOKUP(Table1[[#This Row],[CountryCode]],[1]!Table1[#All],1,FALSE)</f>
        <v>#REF!</v>
      </c>
    </row>
    <row r="6323" spans="1:12" hidden="1" x14ac:dyDescent="0.3">
      <c r="A6323" t="s">
        <v>83</v>
      </c>
      <c r="B6323" t="s">
        <v>84</v>
      </c>
      <c r="C6323" t="s">
        <v>127</v>
      </c>
      <c r="D6323" t="s">
        <v>128</v>
      </c>
      <c r="E6323">
        <v>1974</v>
      </c>
      <c r="F6323" s="1">
        <v>85730</v>
      </c>
      <c r="G6323">
        <v>1970</v>
      </c>
      <c r="H6323">
        <f>AVERAGEIFS(Table1[value],Table1[IndicatorCode],Table1[[#This Row],[IndicatorCode]])</f>
        <v>24902.88753799392</v>
      </c>
      <c r="I6323" cm="1">
        <f t="array" ref="I6323">_xlfn.STDEV.P(IF(Table1[IndicatorCode]=Table1[[#This Row],[IndicatorCode]],Table1[value]))</f>
        <v>26324.778297809873</v>
      </c>
      <c r="J6323">
        <f>(Table1[[#This Row],[value]] - Table1[[#This Row],[mean]]) / Table1[[#This Row],[std_dev]]</f>
        <v>2.3106410156193671</v>
      </c>
      <c r="K6323">
        <f>AVERAGEIF(Table1[CountryCode],Table1[[#This Row],[CountryCode]],Table1[z-score])</f>
        <v>1.8607276946173743</v>
      </c>
      <c r="L6323" t="e">
        <f>VLOOKUP(Table1[[#This Row],[CountryCode]],[1]!Table1[#All],1,FALSE)</f>
        <v>#REF!</v>
      </c>
    </row>
    <row r="6324" spans="1:12" hidden="1" x14ac:dyDescent="0.3">
      <c r="A6324" t="s">
        <v>83</v>
      </c>
      <c r="B6324" t="s">
        <v>84</v>
      </c>
      <c r="C6324" t="s">
        <v>127</v>
      </c>
      <c r="D6324" t="s">
        <v>128</v>
      </c>
      <c r="E6324">
        <v>1975</v>
      </c>
      <c r="F6324" s="1">
        <v>84014</v>
      </c>
      <c r="G6324">
        <v>1970</v>
      </c>
      <c r="H6324">
        <f>AVERAGEIFS(Table1[value],Table1[IndicatorCode],Table1[[#This Row],[IndicatorCode]])</f>
        <v>24902.88753799392</v>
      </c>
      <c r="I6324" cm="1">
        <f t="array" ref="I6324">_xlfn.STDEV.P(IF(Table1[IndicatorCode]=Table1[[#This Row],[IndicatorCode]],Table1[value]))</f>
        <v>26324.778297809873</v>
      </c>
      <c r="J6324">
        <f>(Table1[[#This Row],[value]] - Table1[[#This Row],[mean]]) / Table1[[#This Row],[std_dev]]</f>
        <v>2.2454552814571627</v>
      </c>
      <c r="K6324">
        <f>AVERAGEIF(Table1[CountryCode],Table1[[#This Row],[CountryCode]],Table1[z-score])</f>
        <v>1.8607276946173743</v>
      </c>
      <c r="L6324" t="e">
        <f>VLOOKUP(Table1[[#This Row],[CountryCode]],[1]!Table1[#All],1,FALSE)</f>
        <v>#REF!</v>
      </c>
    </row>
    <row r="6325" spans="1:12" hidden="1" x14ac:dyDescent="0.3">
      <c r="A6325" t="s">
        <v>83</v>
      </c>
      <c r="B6325" t="s">
        <v>84</v>
      </c>
      <c r="C6325" t="s">
        <v>127</v>
      </c>
      <c r="D6325" t="s">
        <v>128</v>
      </c>
      <c r="E6325">
        <v>1976</v>
      </c>
      <c r="F6325" s="1">
        <v>86382</v>
      </c>
      <c r="G6325">
        <v>1970</v>
      </c>
      <c r="H6325">
        <f>AVERAGEIFS(Table1[value],Table1[IndicatorCode],Table1[[#This Row],[IndicatorCode]])</f>
        <v>24902.88753799392</v>
      </c>
      <c r="I6325" cm="1">
        <f t="array" ref="I6325">_xlfn.STDEV.P(IF(Table1[IndicatorCode]=Table1[[#This Row],[IndicatorCode]],Table1[value]))</f>
        <v>26324.778297809873</v>
      </c>
      <c r="J6325">
        <f>(Table1[[#This Row],[value]] - Table1[[#This Row],[mean]]) / Table1[[#This Row],[std_dev]]</f>
        <v>2.3354085556390394</v>
      </c>
      <c r="K6325">
        <f>AVERAGEIF(Table1[CountryCode],Table1[[#This Row],[CountryCode]],Table1[z-score])</f>
        <v>1.8607276946173743</v>
      </c>
      <c r="L6325" t="e">
        <f>VLOOKUP(Table1[[#This Row],[CountryCode]],[1]!Table1[#All],1,FALSE)</f>
        <v>#REF!</v>
      </c>
    </row>
    <row r="6326" spans="1:12" hidden="1" x14ac:dyDescent="0.3">
      <c r="A6326" t="s">
        <v>83</v>
      </c>
      <c r="B6326" t="s">
        <v>84</v>
      </c>
      <c r="C6326" t="s">
        <v>127</v>
      </c>
      <c r="D6326" t="s">
        <v>128</v>
      </c>
      <c r="E6326">
        <v>1977</v>
      </c>
      <c r="F6326" s="1">
        <v>88164</v>
      </c>
      <c r="G6326">
        <v>1980</v>
      </c>
      <c r="H6326">
        <f>AVERAGEIFS(Table1[value],Table1[IndicatorCode],Table1[[#This Row],[IndicatorCode]])</f>
        <v>24902.88753799392</v>
      </c>
      <c r="I6326" cm="1">
        <f t="array" ref="I6326">_xlfn.STDEV.P(IF(Table1[IndicatorCode]=Table1[[#This Row],[IndicatorCode]],Table1[value]))</f>
        <v>26324.778297809873</v>
      </c>
      <c r="J6326">
        <f>(Table1[[#This Row],[value]] - Table1[[#This Row],[mean]]) / Table1[[#This Row],[std_dev]]</f>
        <v>2.4031014334228669</v>
      </c>
      <c r="K6326">
        <f>AVERAGEIF(Table1[CountryCode],Table1[[#This Row],[CountryCode]],Table1[z-score])</f>
        <v>1.8607276946173743</v>
      </c>
      <c r="L6326" t="e">
        <f>VLOOKUP(Table1[[#This Row],[CountryCode]],[1]!Table1[#All],1,FALSE)</f>
        <v>#REF!</v>
      </c>
    </row>
    <row r="6327" spans="1:12" hidden="1" x14ac:dyDescent="0.3">
      <c r="A6327" t="s">
        <v>83</v>
      </c>
      <c r="B6327" t="s">
        <v>84</v>
      </c>
      <c r="C6327" t="s">
        <v>127</v>
      </c>
      <c r="D6327" t="s">
        <v>128</v>
      </c>
      <c r="E6327">
        <v>1978</v>
      </c>
      <c r="F6327" s="1">
        <v>90506</v>
      </c>
      <c r="G6327">
        <v>1980</v>
      </c>
      <c r="H6327">
        <f>AVERAGEIFS(Table1[value],Table1[IndicatorCode],Table1[[#This Row],[IndicatorCode]])</f>
        <v>24902.88753799392</v>
      </c>
      <c r="I6327" cm="1">
        <f t="array" ref="I6327">_xlfn.STDEV.P(IF(Table1[IndicatorCode]=Table1[[#This Row],[IndicatorCode]],Table1[value]))</f>
        <v>26324.778297809873</v>
      </c>
      <c r="J6327">
        <f>(Table1[[#This Row],[value]] - Table1[[#This Row],[mean]]) / Table1[[#This Row],[std_dev]]</f>
        <v>2.4920670449659217</v>
      </c>
      <c r="K6327">
        <f>AVERAGEIF(Table1[CountryCode],Table1[[#This Row],[CountryCode]],Table1[z-score])</f>
        <v>1.8607276946173743</v>
      </c>
      <c r="L6327" t="e">
        <f>VLOOKUP(Table1[[#This Row],[CountryCode]],[1]!Table1[#All],1,FALSE)</f>
        <v>#REF!</v>
      </c>
    </row>
    <row r="6328" spans="1:12" hidden="1" x14ac:dyDescent="0.3">
      <c r="A6328" t="s">
        <v>83</v>
      </c>
      <c r="B6328" t="s">
        <v>84</v>
      </c>
      <c r="C6328" t="s">
        <v>127</v>
      </c>
      <c r="D6328" t="s">
        <v>128</v>
      </c>
      <c r="E6328">
        <v>1979</v>
      </c>
      <c r="F6328" s="1">
        <v>92705</v>
      </c>
      <c r="G6328">
        <v>1980</v>
      </c>
      <c r="H6328">
        <f>AVERAGEIFS(Table1[value],Table1[IndicatorCode],Table1[[#This Row],[IndicatorCode]])</f>
        <v>24902.88753799392</v>
      </c>
      <c r="I6328" cm="1">
        <f t="array" ref="I6328">_xlfn.STDEV.P(IF(Table1[IndicatorCode]=Table1[[#This Row],[IndicatorCode]],Table1[value]))</f>
        <v>26324.778297809873</v>
      </c>
      <c r="J6328">
        <f>(Table1[[#This Row],[value]] - Table1[[#This Row],[mean]]) / Table1[[#This Row],[std_dev]]</f>
        <v>2.5756005119954595</v>
      </c>
      <c r="K6328">
        <f>AVERAGEIF(Table1[CountryCode],Table1[[#This Row],[CountryCode]],Table1[z-score])</f>
        <v>1.8607276946173743</v>
      </c>
      <c r="L6328" t="e">
        <f>VLOOKUP(Table1[[#This Row],[CountryCode]],[1]!Table1[#All],1,FALSE)</f>
        <v>#REF!</v>
      </c>
    </row>
    <row r="6329" spans="1:12" hidden="1" x14ac:dyDescent="0.3">
      <c r="A6329" t="s">
        <v>83</v>
      </c>
      <c r="B6329" t="s">
        <v>84</v>
      </c>
      <c r="C6329" t="s">
        <v>127</v>
      </c>
      <c r="D6329" t="s">
        <v>128</v>
      </c>
      <c r="E6329">
        <v>1980</v>
      </c>
      <c r="F6329" s="1">
        <v>93468</v>
      </c>
      <c r="G6329">
        <v>1980</v>
      </c>
      <c r="H6329">
        <f>AVERAGEIFS(Table1[value],Table1[IndicatorCode],Table1[[#This Row],[IndicatorCode]])</f>
        <v>24902.88753799392</v>
      </c>
      <c r="I6329" cm="1">
        <f t="array" ref="I6329">_xlfn.STDEV.P(IF(Table1[IndicatorCode]=Table1[[#This Row],[IndicatorCode]],Table1[value]))</f>
        <v>26324.778297809873</v>
      </c>
      <c r="J6329">
        <f>(Table1[[#This Row],[value]] - Table1[[#This Row],[mean]]) / Table1[[#This Row],[std_dev]]</f>
        <v>2.604584611742407</v>
      </c>
      <c r="K6329">
        <f>AVERAGEIF(Table1[CountryCode],Table1[[#This Row],[CountryCode]],Table1[z-score])</f>
        <v>1.8607276946173743</v>
      </c>
      <c r="L6329" t="e">
        <f>VLOOKUP(Table1[[#This Row],[CountryCode]],[1]!Table1[#All],1,FALSE)</f>
        <v>#REF!</v>
      </c>
    </row>
    <row r="6330" spans="1:12" hidden="1" x14ac:dyDescent="0.3">
      <c r="A6330" t="s">
        <v>83</v>
      </c>
      <c r="B6330" t="s">
        <v>84</v>
      </c>
      <c r="C6330" t="s">
        <v>127</v>
      </c>
      <c r="D6330" t="s">
        <v>128</v>
      </c>
      <c r="E6330">
        <v>1981</v>
      </c>
      <c r="F6330" s="1">
        <v>93739</v>
      </c>
      <c r="G6330">
        <v>1980</v>
      </c>
      <c r="H6330">
        <f>AVERAGEIFS(Table1[value],Table1[IndicatorCode],Table1[[#This Row],[IndicatorCode]])</f>
        <v>24902.88753799392</v>
      </c>
      <c r="I6330" cm="1">
        <f t="array" ref="I6330">_xlfn.STDEV.P(IF(Table1[IndicatorCode]=Table1[[#This Row],[IndicatorCode]],Table1[value]))</f>
        <v>26324.778297809873</v>
      </c>
      <c r="J6330">
        <f>(Table1[[#This Row],[value]] - Table1[[#This Row],[mean]]) / Table1[[#This Row],[std_dev]]</f>
        <v>2.6148790954008905</v>
      </c>
      <c r="K6330">
        <f>AVERAGEIF(Table1[CountryCode],Table1[[#This Row],[CountryCode]],Table1[z-score])</f>
        <v>1.8607276946173743</v>
      </c>
      <c r="L6330" t="e">
        <f>VLOOKUP(Table1[[#This Row],[CountryCode]],[1]!Table1[#All],1,FALSE)</f>
        <v>#REF!</v>
      </c>
    </row>
    <row r="6331" spans="1:12" hidden="1" x14ac:dyDescent="0.3">
      <c r="A6331" t="s">
        <v>83</v>
      </c>
      <c r="B6331" t="s">
        <v>84</v>
      </c>
      <c r="C6331" t="s">
        <v>127</v>
      </c>
      <c r="D6331" t="s">
        <v>128</v>
      </c>
      <c r="E6331">
        <v>1982</v>
      </c>
      <c r="F6331" s="1">
        <v>95086</v>
      </c>
      <c r="G6331">
        <v>1980</v>
      </c>
      <c r="H6331">
        <f>AVERAGEIFS(Table1[value],Table1[IndicatorCode],Table1[[#This Row],[IndicatorCode]])</f>
        <v>24902.88753799392</v>
      </c>
      <c r="I6331" cm="1">
        <f t="array" ref="I6331">_xlfn.STDEV.P(IF(Table1[IndicatorCode]=Table1[[#This Row],[IndicatorCode]],Table1[value]))</f>
        <v>26324.778297809873</v>
      </c>
      <c r="J6331">
        <f>(Table1[[#This Row],[value]] - Table1[[#This Row],[mean]]) / Table1[[#This Row],[std_dev]]</f>
        <v>2.6660476174967465</v>
      </c>
      <c r="K6331">
        <f>AVERAGEIF(Table1[CountryCode],Table1[[#This Row],[CountryCode]],Table1[z-score])</f>
        <v>1.8607276946173743</v>
      </c>
      <c r="L6331" t="e">
        <f>VLOOKUP(Table1[[#This Row],[CountryCode]],[1]!Table1[#All],1,FALSE)</f>
        <v>#REF!</v>
      </c>
    </row>
    <row r="6332" spans="1:12" hidden="1" x14ac:dyDescent="0.3">
      <c r="A6332" t="s">
        <v>83</v>
      </c>
      <c r="B6332" t="s">
        <v>84</v>
      </c>
      <c r="C6332" t="s">
        <v>127</v>
      </c>
      <c r="D6332" t="s">
        <v>128</v>
      </c>
      <c r="E6332">
        <v>1983</v>
      </c>
      <c r="F6332" s="1">
        <v>94849</v>
      </c>
      <c r="G6332">
        <v>1980</v>
      </c>
      <c r="H6332">
        <f>AVERAGEIFS(Table1[value],Table1[IndicatorCode],Table1[[#This Row],[IndicatorCode]])</f>
        <v>24902.88753799392</v>
      </c>
      <c r="I6332" cm="1">
        <f t="array" ref="I6332">_xlfn.STDEV.P(IF(Table1[IndicatorCode]=Table1[[#This Row],[IndicatorCode]],Table1[value]))</f>
        <v>26324.778297809873</v>
      </c>
      <c r="J6332">
        <f>(Table1[[#This Row],[value]] - Table1[[#This Row],[mean]]) / Table1[[#This Row],[std_dev]]</f>
        <v>2.6570446926736451</v>
      </c>
      <c r="K6332">
        <f>AVERAGEIF(Table1[CountryCode],Table1[[#This Row],[CountryCode]],Table1[z-score])</f>
        <v>1.8607276946173743</v>
      </c>
      <c r="L6332" t="e">
        <f>VLOOKUP(Table1[[#This Row],[CountryCode]],[1]!Table1[#All],1,FALSE)</f>
        <v>#REF!</v>
      </c>
    </row>
    <row r="6333" spans="1:12" hidden="1" x14ac:dyDescent="0.3">
      <c r="A6333" t="s">
        <v>83</v>
      </c>
      <c r="B6333" t="s">
        <v>84</v>
      </c>
      <c r="C6333" t="s">
        <v>127</v>
      </c>
      <c r="D6333" t="s">
        <v>128</v>
      </c>
      <c r="E6333">
        <v>1984</v>
      </c>
      <c r="F6333" s="1">
        <v>94913</v>
      </c>
      <c r="G6333">
        <v>1980</v>
      </c>
      <c r="H6333">
        <f>AVERAGEIFS(Table1[value],Table1[IndicatorCode],Table1[[#This Row],[IndicatorCode]])</f>
        <v>24902.88753799392</v>
      </c>
      <c r="I6333" cm="1">
        <f t="array" ref="I6333">_xlfn.STDEV.P(IF(Table1[IndicatorCode]=Table1[[#This Row],[IndicatorCode]],Table1[value]))</f>
        <v>26324.778297809873</v>
      </c>
      <c r="J6333">
        <f>(Table1[[#This Row],[value]] - Table1[[#This Row],[mean]]) / Table1[[#This Row],[std_dev]]</f>
        <v>2.6594758622461283</v>
      </c>
      <c r="K6333">
        <f>AVERAGEIF(Table1[CountryCode],Table1[[#This Row],[CountryCode]],Table1[z-score])</f>
        <v>1.8607276946173743</v>
      </c>
      <c r="L6333" t="e">
        <f>VLOOKUP(Table1[[#This Row],[CountryCode]],[1]!Table1[#All],1,FALSE)</f>
        <v>#REF!</v>
      </c>
    </row>
    <row r="6334" spans="1:12" hidden="1" x14ac:dyDescent="0.3">
      <c r="A6334" t="s">
        <v>83</v>
      </c>
      <c r="B6334" t="s">
        <v>84</v>
      </c>
      <c r="C6334" t="s">
        <v>127</v>
      </c>
      <c r="D6334" t="s">
        <v>128</v>
      </c>
      <c r="E6334">
        <v>1985</v>
      </c>
      <c r="F6334" s="1">
        <v>95274</v>
      </c>
      <c r="G6334">
        <v>1980</v>
      </c>
      <c r="H6334">
        <f>AVERAGEIFS(Table1[value],Table1[IndicatorCode],Table1[[#This Row],[IndicatorCode]])</f>
        <v>24902.88753799392</v>
      </c>
      <c r="I6334" cm="1">
        <f t="array" ref="I6334">_xlfn.STDEV.P(IF(Table1[IndicatorCode]=Table1[[#This Row],[IndicatorCode]],Table1[value]))</f>
        <v>26324.778297809873</v>
      </c>
      <c r="J6334">
        <f>(Table1[[#This Row],[value]] - Table1[[#This Row],[mean]]) / Table1[[#This Row],[std_dev]]</f>
        <v>2.6731891781159161</v>
      </c>
      <c r="K6334">
        <f>AVERAGEIF(Table1[CountryCode],Table1[[#This Row],[CountryCode]],Table1[z-score])</f>
        <v>1.8607276946173743</v>
      </c>
      <c r="L6334" t="e">
        <f>VLOOKUP(Table1[[#This Row],[CountryCode]],[1]!Table1[#All],1,FALSE)</f>
        <v>#REF!</v>
      </c>
    </row>
    <row r="6335" spans="1:12" hidden="1" x14ac:dyDescent="0.3">
      <c r="A6335" t="s">
        <v>83</v>
      </c>
      <c r="B6335" t="s">
        <v>84</v>
      </c>
      <c r="C6335" t="s">
        <v>127</v>
      </c>
      <c r="D6335" t="s">
        <v>128</v>
      </c>
      <c r="E6335">
        <v>1986</v>
      </c>
      <c r="F6335" s="1">
        <v>96396</v>
      </c>
      <c r="G6335">
        <v>1980</v>
      </c>
      <c r="H6335">
        <f>AVERAGEIFS(Table1[value],Table1[IndicatorCode],Table1[[#This Row],[IndicatorCode]])</f>
        <v>24902.88753799392</v>
      </c>
      <c r="I6335" cm="1">
        <f t="array" ref="I6335">_xlfn.STDEV.P(IF(Table1[IndicatorCode]=Table1[[#This Row],[IndicatorCode]],Table1[value]))</f>
        <v>26324.778297809873</v>
      </c>
      <c r="J6335">
        <f>(Table1[[#This Row],[value]] - Table1[[#This Row],[mean]]) / Table1[[#This Row],[std_dev]]</f>
        <v>2.715810619683511</v>
      </c>
      <c r="K6335">
        <f>AVERAGEIF(Table1[CountryCode],Table1[[#This Row],[CountryCode]],Table1[z-score])</f>
        <v>1.8607276946173743</v>
      </c>
      <c r="L6335" t="e">
        <f>VLOOKUP(Table1[[#This Row],[CountryCode]],[1]!Table1[#All],1,FALSE)</f>
        <v>#REF!</v>
      </c>
    </row>
    <row r="6336" spans="1:12" hidden="1" x14ac:dyDescent="0.3">
      <c r="A6336" t="s">
        <v>83</v>
      </c>
      <c r="B6336" t="s">
        <v>84</v>
      </c>
      <c r="C6336" t="s">
        <v>127</v>
      </c>
      <c r="D6336" t="s">
        <v>128</v>
      </c>
      <c r="E6336">
        <v>1987</v>
      </c>
      <c r="F6336" s="1">
        <v>97607</v>
      </c>
      <c r="G6336">
        <v>1990</v>
      </c>
      <c r="H6336">
        <f>AVERAGEIFS(Table1[value],Table1[IndicatorCode],Table1[[#This Row],[IndicatorCode]])</f>
        <v>24902.88753799392</v>
      </c>
      <c r="I6336" cm="1">
        <f t="array" ref="I6336">_xlfn.STDEV.P(IF(Table1[IndicatorCode]=Table1[[#This Row],[IndicatorCode]],Table1[value]))</f>
        <v>26324.778297809873</v>
      </c>
      <c r="J6336">
        <f>(Table1[[#This Row],[value]] - Table1[[#This Row],[mean]]) / Table1[[#This Row],[std_dev]]</f>
        <v>2.7618129064378403</v>
      </c>
      <c r="K6336">
        <f>AVERAGEIF(Table1[CountryCode],Table1[[#This Row],[CountryCode]],Table1[z-score])</f>
        <v>1.8607276946173743</v>
      </c>
      <c r="L6336" t="e">
        <f>VLOOKUP(Table1[[#This Row],[CountryCode]],[1]!Table1[#All],1,FALSE)</f>
        <v>#REF!</v>
      </c>
    </row>
    <row r="6337" spans="1:12" hidden="1" x14ac:dyDescent="0.3">
      <c r="A6337" t="s">
        <v>83</v>
      </c>
      <c r="B6337" t="s">
        <v>84</v>
      </c>
      <c r="C6337" t="s">
        <v>127</v>
      </c>
      <c r="D6337" t="s">
        <v>128</v>
      </c>
      <c r="E6337">
        <v>1988</v>
      </c>
      <c r="F6337" s="1">
        <v>100947</v>
      </c>
      <c r="G6337">
        <v>1990</v>
      </c>
      <c r="H6337">
        <f>AVERAGEIFS(Table1[value],Table1[IndicatorCode],Table1[[#This Row],[IndicatorCode]])</f>
        <v>24902.88753799392</v>
      </c>
      <c r="I6337" cm="1">
        <f t="array" ref="I6337">_xlfn.STDEV.P(IF(Table1[IndicatorCode]=Table1[[#This Row],[IndicatorCode]],Table1[value]))</f>
        <v>26324.778297809873</v>
      </c>
      <c r="J6337">
        <f>(Table1[[#This Row],[value]] - Table1[[#This Row],[mean]]) / Table1[[#This Row],[std_dev]]</f>
        <v>2.8886895685018046</v>
      </c>
      <c r="K6337">
        <f>AVERAGEIF(Table1[CountryCode],Table1[[#This Row],[CountryCode]],Table1[z-score])</f>
        <v>1.8607276946173743</v>
      </c>
      <c r="L6337" t="e">
        <f>VLOOKUP(Table1[[#This Row],[CountryCode]],[1]!Table1[#All],1,FALSE)</f>
        <v>#REF!</v>
      </c>
    </row>
    <row r="6338" spans="1:12" hidden="1" x14ac:dyDescent="0.3">
      <c r="A6338" t="s">
        <v>83</v>
      </c>
      <c r="B6338" t="s">
        <v>84</v>
      </c>
      <c r="C6338" t="s">
        <v>127</v>
      </c>
      <c r="D6338" t="s">
        <v>128</v>
      </c>
      <c r="E6338">
        <v>1989</v>
      </c>
      <c r="F6338" s="1">
        <v>104091</v>
      </c>
      <c r="G6338">
        <v>1990</v>
      </c>
      <c r="H6338">
        <f>AVERAGEIFS(Table1[value],Table1[IndicatorCode],Table1[[#This Row],[IndicatorCode]])</f>
        <v>24902.88753799392</v>
      </c>
      <c r="I6338" cm="1">
        <f t="array" ref="I6338">_xlfn.STDEV.P(IF(Table1[IndicatorCode]=Table1[[#This Row],[IndicatorCode]],Table1[value]))</f>
        <v>26324.778297809873</v>
      </c>
      <c r="J6338">
        <f>(Table1[[#This Row],[value]] - Table1[[#This Row],[mean]]) / Table1[[#This Row],[std_dev]]</f>
        <v>3.0081207737500391</v>
      </c>
      <c r="K6338">
        <f>AVERAGEIF(Table1[CountryCode],Table1[[#This Row],[CountryCode]],Table1[z-score])</f>
        <v>1.8607276946173743</v>
      </c>
      <c r="L6338" t="e">
        <f>VLOOKUP(Table1[[#This Row],[CountryCode]],[1]!Table1[#All],1,FALSE)</f>
        <v>#REF!</v>
      </c>
    </row>
    <row r="6339" spans="1:12" hidden="1" x14ac:dyDescent="0.3">
      <c r="A6339" t="s">
        <v>83</v>
      </c>
      <c r="B6339" t="s">
        <v>84</v>
      </c>
      <c r="C6339" t="s">
        <v>127</v>
      </c>
      <c r="D6339" t="s">
        <v>128</v>
      </c>
      <c r="E6339">
        <v>1990</v>
      </c>
      <c r="F6339" s="1">
        <v>105878</v>
      </c>
      <c r="G6339">
        <v>1990</v>
      </c>
      <c r="H6339">
        <f>AVERAGEIFS(Table1[value],Table1[IndicatorCode],Table1[[#This Row],[IndicatorCode]])</f>
        <v>24902.88753799392</v>
      </c>
      <c r="I6339" cm="1">
        <f t="array" ref="I6339">_xlfn.STDEV.P(IF(Table1[IndicatorCode]=Table1[[#This Row],[IndicatorCode]],Table1[value]))</f>
        <v>26324.778297809873</v>
      </c>
      <c r="J6339">
        <f>(Table1[[#This Row],[value]] - Table1[[#This Row],[mean]]) / Table1[[#This Row],[std_dev]]</f>
        <v>3.076003586656717</v>
      </c>
      <c r="K6339">
        <f>AVERAGEIF(Table1[CountryCode],Table1[[#This Row],[CountryCode]],Table1[z-score])</f>
        <v>1.8607276946173743</v>
      </c>
      <c r="L6339" t="e">
        <f>VLOOKUP(Table1[[#This Row],[CountryCode]],[1]!Table1[#All],1,FALSE)</f>
        <v>#REF!</v>
      </c>
    </row>
    <row r="6340" spans="1:12" hidden="1" x14ac:dyDescent="0.3">
      <c r="A6340" t="s">
        <v>83</v>
      </c>
      <c r="B6340" t="s">
        <v>84</v>
      </c>
      <c r="C6340" t="s">
        <v>127</v>
      </c>
      <c r="D6340" t="s">
        <v>128</v>
      </c>
      <c r="E6340">
        <v>1991</v>
      </c>
      <c r="F6340" s="1">
        <v>106021</v>
      </c>
      <c r="G6340">
        <v>1990</v>
      </c>
      <c r="H6340">
        <f>AVERAGEIFS(Table1[value],Table1[IndicatorCode],Table1[[#This Row],[IndicatorCode]])</f>
        <v>24902.88753799392</v>
      </c>
      <c r="I6340" cm="1">
        <f t="array" ref="I6340">_xlfn.STDEV.P(IF(Table1[IndicatorCode]=Table1[[#This Row],[IndicatorCode]],Table1[value]))</f>
        <v>26324.778297809873</v>
      </c>
      <c r="J6340">
        <f>(Table1[[#This Row],[value]] - Table1[[#This Row],[mean]]) / Table1[[#This Row],[std_dev]]</f>
        <v>3.0814357311702341</v>
      </c>
      <c r="K6340">
        <f>AVERAGEIF(Table1[CountryCode],Table1[[#This Row],[CountryCode]],Table1[z-score])</f>
        <v>1.8607276946173743</v>
      </c>
      <c r="L6340" t="e">
        <f>VLOOKUP(Table1[[#This Row],[CountryCode]],[1]!Table1[#All],1,FALSE)</f>
        <v>#REF!</v>
      </c>
    </row>
    <row r="6341" spans="1:12" hidden="1" x14ac:dyDescent="0.3">
      <c r="A6341" t="s">
        <v>83</v>
      </c>
      <c r="B6341" t="s">
        <v>84</v>
      </c>
      <c r="C6341" t="s">
        <v>127</v>
      </c>
      <c r="D6341" t="s">
        <v>128</v>
      </c>
      <c r="E6341">
        <v>1992</v>
      </c>
      <c r="F6341" s="1">
        <v>106558</v>
      </c>
      <c r="G6341">
        <v>1990</v>
      </c>
      <c r="H6341">
        <f>AVERAGEIFS(Table1[value],Table1[IndicatorCode],Table1[[#This Row],[IndicatorCode]])</f>
        <v>24902.88753799392</v>
      </c>
      <c r="I6341" cm="1">
        <f t="array" ref="I6341">_xlfn.STDEV.P(IF(Table1[IndicatorCode]=Table1[[#This Row],[IndicatorCode]],Table1[value]))</f>
        <v>26324.778297809873</v>
      </c>
      <c r="J6341">
        <f>(Table1[[#This Row],[value]] - Table1[[#This Row],[mean]]) / Table1[[#This Row],[std_dev]]</f>
        <v>3.1018347633643502</v>
      </c>
      <c r="K6341">
        <f>AVERAGEIF(Table1[CountryCode],Table1[[#This Row],[CountryCode]],Table1[z-score])</f>
        <v>1.8607276946173743</v>
      </c>
      <c r="L6341" t="e">
        <f>VLOOKUP(Table1[[#This Row],[CountryCode]],[1]!Table1[#All],1,FALSE)</f>
        <v>#REF!</v>
      </c>
    </row>
    <row r="6342" spans="1:12" hidden="1" x14ac:dyDescent="0.3">
      <c r="A6342" t="s">
        <v>83</v>
      </c>
      <c r="B6342" t="s">
        <v>84</v>
      </c>
      <c r="C6342" t="s">
        <v>127</v>
      </c>
      <c r="D6342" t="s">
        <v>128</v>
      </c>
      <c r="E6342">
        <v>1993</v>
      </c>
      <c r="F6342" s="1">
        <v>104740</v>
      </c>
      <c r="G6342">
        <v>1990</v>
      </c>
      <c r="H6342">
        <f>AVERAGEIFS(Table1[value],Table1[IndicatorCode],Table1[[#This Row],[IndicatorCode]])</f>
        <v>24902.88753799392</v>
      </c>
      <c r="I6342" cm="1">
        <f t="array" ref="I6342">_xlfn.STDEV.P(IF(Table1[IndicatorCode]=Table1[[#This Row],[IndicatorCode]],Table1[value]))</f>
        <v>26324.778297809873</v>
      </c>
      <c r="J6342">
        <f>(Table1[[#This Row],[value]] - Table1[[#This Row],[mean]]) / Table1[[#This Row],[std_dev]]</f>
        <v>3.0327743526960012</v>
      </c>
      <c r="K6342">
        <f>AVERAGEIF(Table1[CountryCode],Table1[[#This Row],[CountryCode]],Table1[z-score])</f>
        <v>1.8607276946173743</v>
      </c>
      <c r="L6342" t="e">
        <f>VLOOKUP(Table1[[#This Row],[CountryCode]],[1]!Table1[#All],1,FALSE)</f>
        <v>#REF!</v>
      </c>
    </row>
    <row r="6343" spans="1:12" hidden="1" x14ac:dyDescent="0.3">
      <c r="A6343" t="s">
        <v>83</v>
      </c>
      <c r="B6343" t="s">
        <v>84</v>
      </c>
      <c r="C6343" t="s">
        <v>127</v>
      </c>
      <c r="D6343" t="s">
        <v>128</v>
      </c>
      <c r="E6343">
        <v>1994</v>
      </c>
      <c r="F6343" s="1">
        <v>106245</v>
      </c>
      <c r="G6343">
        <v>1990</v>
      </c>
      <c r="H6343">
        <f>AVERAGEIFS(Table1[value],Table1[IndicatorCode],Table1[[#This Row],[IndicatorCode]])</f>
        <v>24902.88753799392</v>
      </c>
      <c r="I6343" cm="1">
        <f t="array" ref="I6343">_xlfn.STDEV.P(IF(Table1[IndicatorCode]=Table1[[#This Row],[IndicatorCode]],Table1[value]))</f>
        <v>26324.778297809873</v>
      </c>
      <c r="J6343">
        <f>(Table1[[#This Row],[value]] - Table1[[#This Row],[mean]]) / Table1[[#This Row],[std_dev]]</f>
        <v>3.0899448246739252</v>
      </c>
      <c r="K6343">
        <f>AVERAGEIF(Table1[CountryCode],Table1[[#This Row],[CountryCode]],Table1[z-score])</f>
        <v>1.8607276946173743</v>
      </c>
      <c r="L6343" t="e">
        <f>VLOOKUP(Table1[[#This Row],[CountryCode]],[1]!Table1[#All],1,FALSE)</f>
        <v>#REF!</v>
      </c>
    </row>
    <row r="6344" spans="1:12" hidden="1" x14ac:dyDescent="0.3">
      <c r="A6344" t="s">
        <v>83</v>
      </c>
      <c r="B6344" t="s">
        <v>84</v>
      </c>
      <c r="C6344" t="s">
        <v>127</v>
      </c>
      <c r="D6344" t="s">
        <v>128</v>
      </c>
      <c r="E6344">
        <v>1995</v>
      </c>
      <c r="F6344" s="1">
        <v>107691</v>
      </c>
      <c r="G6344">
        <v>1990</v>
      </c>
      <c r="H6344">
        <f>AVERAGEIFS(Table1[value],Table1[IndicatorCode],Table1[[#This Row],[IndicatorCode]])</f>
        <v>24902.88753799392</v>
      </c>
      <c r="I6344" cm="1">
        <f t="array" ref="I6344">_xlfn.STDEV.P(IF(Table1[IndicatorCode]=Table1[[#This Row],[IndicatorCode]],Table1[value]))</f>
        <v>26324.778297809873</v>
      </c>
      <c r="J6344">
        <f>(Table1[[#This Row],[value]] - Table1[[#This Row],[mean]]) / Table1[[#This Row],[std_dev]]</f>
        <v>3.144874062202216</v>
      </c>
      <c r="K6344">
        <f>AVERAGEIF(Table1[CountryCode],Table1[[#This Row],[CountryCode]],Table1[z-score])</f>
        <v>1.8607276946173743</v>
      </c>
      <c r="L6344" t="e">
        <f>VLOOKUP(Table1[[#This Row],[CountryCode]],[1]!Table1[#All],1,FALSE)</f>
        <v>#REF!</v>
      </c>
    </row>
    <row r="6345" spans="1:12" hidden="1" x14ac:dyDescent="0.3">
      <c r="A6345" t="s">
        <v>83</v>
      </c>
      <c r="B6345" t="s">
        <v>84</v>
      </c>
      <c r="C6345" t="s">
        <v>127</v>
      </c>
      <c r="D6345" t="s">
        <v>128</v>
      </c>
      <c r="E6345">
        <v>1996</v>
      </c>
      <c r="F6345" s="1">
        <v>108107</v>
      </c>
      <c r="G6345">
        <v>1990</v>
      </c>
      <c r="H6345">
        <f>AVERAGEIFS(Table1[value],Table1[IndicatorCode],Table1[[#This Row],[IndicatorCode]])</f>
        <v>24902.88753799392</v>
      </c>
      <c r="I6345" cm="1">
        <f t="array" ref="I6345">_xlfn.STDEV.P(IF(Table1[IndicatorCode]=Table1[[#This Row],[IndicatorCode]],Table1[value]))</f>
        <v>26324.778297809873</v>
      </c>
      <c r="J6345">
        <f>(Table1[[#This Row],[value]] - Table1[[#This Row],[mean]]) / Table1[[#This Row],[std_dev]]</f>
        <v>3.1606766644233564</v>
      </c>
      <c r="K6345">
        <f>AVERAGEIF(Table1[CountryCode],Table1[[#This Row],[CountryCode]],Table1[z-score])</f>
        <v>1.8607276946173743</v>
      </c>
      <c r="L6345" t="e">
        <f>VLOOKUP(Table1[[#This Row],[CountryCode]],[1]!Table1[#All],1,FALSE)</f>
        <v>#REF!</v>
      </c>
    </row>
    <row r="6346" spans="1:12" hidden="1" x14ac:dyDescent="0.3">
      <c r="A6346" t="s">
        <v>83</v>
      </c>
      <c r="B6346" t="s">
        <v>84</v>
      </c>
      <c r="C6346" t="s">
        <v>127</v>
      </c>
      <c r="D6346" t="s">
        <v>128</v>
      </c>
      <c r="E6346">
        <v>1997</v>
      </c>
      <c r="F6346" s="1">
        <v>109747</v>
      </c>
      <c r="G6346">
        <v>2000</v>
      </c>
      <c r="H6346">
        <f>AVERAGEIFS(Table1[value],Table1[IndicatorCode],Table1[[#This Row],[IndicatorCode]])</f>
        <v>24902.88753799392</v>
      </c>
      <c r="I6346" cm="1">
        <f t="array" ref="I6346">_xlfn.STDEV.P(IF(Table1[IndicatorCode]=Table1[[#This Row],[IndicatorCode]],Table1[value]))</f>
        <v>26324.778297809873</v>
      </c>
      <c r="J6346">
        <f>(Table1[[#This Row],[value]] - Table1[[#This Row],[mean]]) / Table1[[#This Row],[std_dev]]</f>
        <v>3.2229753847182372</v>
      </c>
      <c r="K6346">
        <f>AVERAGEIF(Table1[CountryCode],Table1[[#This Row],[CountryCode]],Table1[z-score])</f>
        <v>1.8607276946173743</v>
      </c>
      <c r="L6346" t="e">
        <f>VLOOKUP(Table1[[#This Row],[CountryCode]],[1]!Table1[#All],1,FALSE)</f>
        <v>#REF!</v>
      </c>
    </row>
    <row r="6347" spans="1:12" hidden="1" x14ac:dyDescent="0.3">
      <c r="A6347" t="s">
        <v>83</v>
      </c>
      <c r="B6347" t="s">
        <v>84</v>
      </c>
      <c r="C6347" t="s">
        <v>127</v>
      </c>
      <c r="D6347" t="s">
        <v>128</v>
      </c>
      <c r="E6347">
        <v>1998</v>
      </c>
      <c r="F6347" s="1">
        <v>112874</v>
      </c>
      <c r="G6347">
        <v>2000</v>
      </c>
      <c r="H6347">
        <f>AVERAGEIFS(Table1[value],Table1[IndicatorCode],Table1[[#This Row],[IndicatorCode]])</f>
        <v>24902.88753799392</v>
      </c>
      <c r="I6347" cm="1">
        <f t="array" ref="I6347">_xlfn.STDEV.P(IF(Table1[IndicatorCode]=Table1[[#This Row],[IndicatorCode]],Table1[value]))</f>
        <v>26324.778297809873</v>
      </c>
      <c r="J6347">
        <f>(Table1[[#This Row],[value]] - Table1[[#This Row],[mean]]) / Table1[[#This Row],[std_dev]]</f>
        <v>3.3417608105487808</v>
      </c>
      <c r="K6347">
        <f>AVERAGEIF(Table1[CountryCode],Table1[[#This Row],[CountryCode]],Table1[z-score])</f>
        <v>1.8607276946173743</v>
      </c>
      <c r="L6347" t="e">
        <f>VLOOKUP(Table1[[#This Row],[CountryCode]],[1]!Table1[#All],1,FALSE)</f>
        <v>#REF!</v>
      </c>
    </row>
    <row r="6348" spans="1:12" hidden="1" x14ac:dyDescent="0.3">
      <c r="A6348" t="s">
        <v>83</v>
      </c>
      <c r="B6348" t="s">
        <v>84</v>
      </c>
      <c r="C6348" t="s">
        <v>127</v>
      </c>
      <c r="D6348" t="s">
        <v>128</v>
      </c>
      <c r="E6348">
        <v>1999</v>
      </c>
      <c r="F6348" s="1">
        <v>116085</v>
      </c>
      <c r="G6348">
        <v>2000</v>
      </c>
      <c r="H6348">
        <f>AVERAGEIFS(Table1[value],Table1[IndicatorCode],Table1[[#This Row],[IndicatorCode]])</f>
        <v>24902.88753799392</v>
      </c>
      <c r="I6348" cm="1">
        <f t="array" ref="I6348">_xlfn.STDEV.P(IF(Table1[IndicatorCode]=Table1[[#This Row],[IndicatorCode]],Table1[value]))</f>
        <v>26324.778297809873</v>
      </c>
      <c r="J6348">
        <f>(Table1[[#This Row],[value]] - Table1[[#This Row],[mean]]) / Table1[[#This Row],[std_dev]]</f>
        <v>3.4637371464432083</v>
      </c>
      <c r="K6348">
        <f>AVERAGEIF(Table1[CountryCode],Table1[[#This Row],[CountryCode]],Table1[z-score])</f>
        <v>1.8607276946173743</v>
      </c>
      <c r="L6348" t="e">
        <f>VLOOKUP(Table1[[#This Row],[CountryCode]],[1]!Table1[#All],1,FALSE)</f>
        <v>#REF!</v>
      </c>
    </row>
    <row r="6349" spans="1:12" hidden="1" x14ac:dyDescent="0.3">
      <c r="A6349" t="s">
        <v>83</v>
      </c>
      <c r="B6349" t="s">
        <v>84</v>
      </c>
      <c r="C6349" t="s">
        <v>127</v>
      </c>
      <c r="D6349" t="s">
        <v>128</v>
      </c>
      <c r="E6349">
        <v>2000</v>
      </c>
      <c r="F6349" s="1">
        <v>120457</v>
      </c>
      <c r="G6349">
        <v>2000</v>
      </c>
      <c r="H6349">
        <f>AVERAGEIFS(Table1[value],Table1[IndicatorCode],Table1[[#This Row],[IndicatorCode]])</f>
        <v>24902.88753799392</v>
      </c>
      <c r="I6349" cm="1">
        <f t="array" ref="I6349">_xlfn.STDEV.P(IF(Table1[IndicatorCode]=Table1[[#This Row],[IndicatorCode]],Table1[value]))</f>
        <v>26324.778297809873</v>
      </c>
      <c r="J6349">
        <f>(Table1[[#This Row],[value]] - Table1[[#This Row],[mean]]) / Table1[[#This Row],[std_dev]]</f>
        <v>3.6298164178634633</v>
      </c>
      <c r="K6349">
        <f>AVERAGEIF(Table1[CountryCode],Table1[[#This Row],[CountryCode]],Table1[z-score])</f>
        <v>1.8607276946173743</v>
      </c>
      <c r="L6349" t="e">
        <f>VLOOKUP(Table1[[#This Row],[CountryCode]],[1]!Table1[#All],1,FALSE)</f>
        <v>#REF!</v>
      </c>
    </row>
    <row r="6350" spans="1:12" hidden="1" x14ac:dyDescent="0.3">
      <c r="A6350" t="s">
        <v>83</v>
      </c>
      <c r="B6350" t="s">
        <v>84</v>
      </c>
      <c r="C6350" t="s">
        <v>127</v>
      </c>
      <c r="D6350" t="s">
        <v>128</v>
      </c>
      <c r="E6350">
        <v>2001</v>
      </c>
      <c r="F6350" s="1">
        <v>123122</v>
      </c>
      <c r="G6350">
        <v>2000</v>
      </c>
      <c r="H6350">
        <f>AVERAGEIFS(Table1[value],Table1[IndicatorCode],Table1[[#This Row],[IndicatorCode]])</f>
        <v>24902.88753799392</v>
      </c>
      <c r="I6350" cm="1">
        <f t="array" ref="I6350">_xlfn.STDEV.P(IF(Table1[IndicatorCode]=Table1[[#This Row],[IndicatorCode]],Table1[value]))</f>
        <v>26324.778297809873</v>
      </c>
      <c r="J6350">
        <f>(Table1[[#This Row],[value]] - Table1[[#This Row],[mean]]) / Table1[[#This Row],[std_dev]]</f>
        <v>3.7310518383426441</v>
      </c>
      <c r="K6350">
        <f>AVERAGEIF(Table1[CountryCode],Table1[[#This Row],[CountryCode]],Table1[z-score])</f>
        <v>1.8607276946173743</v>
      </c>
      <c r="L6350" t="e">
        <f>VLOOKUP(Table1[[#This Row],[CountryCode]],[1]!Table1[#All],1,FALSE)</f>
        <v>#REF!</v>
      </c>
    </row>
    <row r="6351" spans="1:12" hidden="1" x14ac:dyDescent="0.3">
      <c r="A6351" t="s">
        <v>83</v>
      </c>
      <c r="B6351" t="s">
        <v>84</v>
      </c>
      <c r="C6351" t="s">
        <v>127</v>
      </c>
      <c r="D6351" t="s">
        <v>128</v>
      </c>
      <c r="E6351">
        <v>2002</v>
      </c>
      <c r="F6351" s="1">
        <v>124482</v>
      </c>
      <c r="G6351">
        <v>2000</v>
      </c>
      <c r="H6351">
        <f>AVERAGEIFS(Table1[value],Table1[IndicatorCode],Table1[[#This Row],[IndicatorCode]])</f>
        <v>24902.88753799392</v>
      </c>
      <c r="I6351" cm="1">
        <f t="array" ref="I6351">_xlfn.STDEV.P(IF(Table1[IndicatorCode]=Table1[[#This Row],[IndicatorCode]],Table1[value]))</f>
        <v>26324.778297809873</v>
      </c>
      <c r="J6351">
        <f>(Table1[[#This Row],[value]] - Table1[[#This Row],[mean]]) / Table1[[#This Row],[std_dev]]</f>
        <v>3.7827141917579112</v>
      </c>
      <c r="K6351">
        <f>AVERAGEIF(Table1[CountryCode],Table1[[#This Row],[CountryCode]],Table1[z-score])</f>
        <v>1.8607276946173743</v>
      </c>
      <c r="L6351" t="e">
        <f>VLOOKUP(Table1[[#This Row],[CountryCode]],[1]!Table1[#All],1,FALSE)</f>
        <v>#REF!</v>
      </c>
    </row>
    <row r="6352" spans="1:12" hidden="1" x14ac:dyDescent="0.3">
      <c r="A6352" t="s">
        <v>83</v>
      </c>
      <c r="B6352" t="s">
        <v>84</v>
      </c>
      <c r="C6352" t="s">
        <v>127</v>
      </c>
      <c r="D6352" t="s">
        <v>128</v>
      </c>
      <c r="E6352">
        <v>2003</v>
      </c>
      <c r="F6352" s="1">
        <v>126022</v>
      </c>
      <c r="G6352">
        <v>2000</v>
      </c>
      <c r="H6352">
        <f>AVERAGEIFS(Table1[value],Table1[IndicatorCode],Table1[[#This Row],[IndicatorCode]])</f>
        <v>24902.88753799392</v>
      </c>
      <c r="I6352" cm="1">
        <f t="array" ref="I6352">_xlfn.STDEV.P(IF(Table1[IndicatorCode]=Table1[[#This Row],[IndicatorCode]],Table1[value]))</f>
        <v>26324.778297809873</v>
      </c>
      <c r="J6352">
        <f>(Table1[[#This Row],[value]] - Table1[[#This Row],[mean]]) / Table1[[#This Row],[std_dev]]</f>
        <v>3.8412142095957869</v>
      </c>
      <c r="K6352">
        <f>AVERAGEIF(Table1[CountryCode],Table1[[#This Row],[CountryCode]],Table1[z-score])</f>
        <v>1.8607276946173743</v>
      </c>
      <c r="L6352" t="e">
        <f>VLOOKUP(Table1[[#This Row],[CountryCode]],[1]!Table1[#All],1,FALSE)</f>
        <v>#REF!</v>
      </c>
    </row>
    <row r="6353" spans="1:12" hidden="1" x14ac:dyDescent="0.3">
      <c r="A6353" t="s">
        <v>83</v>
      </c>
      <c r="B6353" t="s">
        <v>84</v>
      </c>
      <c r="C6353" t="s">
        <v>127</v>
      </c>
      <c r="D6353" t="s">
        <v>128</v>
      </c>
      <c r="E6353">
        <v>2004</v>
      </c>
      <c r="F6353" s="1">
        <v>129403</v>
      </c>
      <c r="G6353">
        <v>2000</v>
      </c>
      <c r="H6353">
        <f>AVERAGEIFS(Table1[value],Table1[IndicatorCode],Table1[[#This Row],[IndicatorCode]])</f>
        <v>24902.88753799392</v>
      </c>
      <c r="I6353" cm="1">
        <f t="array" ref="I6353">_xlfn.STDEV.P(IF(Table1[IndicatorCode]=Table1[[#This Row],[IndicatorCode]],Table1[value]))</f>
        <v>26324.778297809873</v>
      </c>
      <c r="J6353">
        <f>(Table1[[#This Row],[value]] - Table1[[#This Row],[mean]]) / Table1[[#This Row],[std_dev]]</f>
        <v>3.9696483396671227</v>
      </c>
      <c r="K6353">
        <f>AVERAGEIF(Table1[CountryCode],Table1[[#This Row],[CountryCode]],Table1[z-score])</f>
        <v>1.8607276946173743</v>
      </c>
      <c r="L6353" t="e">
        <f>VLOOKUP(Table1[[#This Row],[CountryCode]],[1]!Table1[#All],1,FALSE)</f>
        <v>#REF!</v>
      </c>
    </row>
    <row r="6354" spans="1:12" hidden="1" x14ac:dyDescent="0.3">
      <c r="A6354" t="s">
        <v>83</v>
      </c>
      <c r="B6354" t="s">
        <v>84</v>
      </c>
      <c r="C6354" t="s">
        <v>127</v>
      </c>
      <c r="D6354" t="s">
        <v>128</v>
      </c>
      <c r="E6354">
        <v>2005</v>
      </c>
      <c r="F6354" s="1">
        <v>132253</v>
      </c>
      <c r="G6354">
        <v>2000</v>
      </c>
      <c r="H6354">
        <f>AVERAGEIFS(Table1[value],Table1[IndicatorCode],Table1[[#This Row],[IndicatorCode]])</f>
        <v>24902.88753799392</v>
      </c>
      <c r="I6354" cm="1">
        <f t="array" ref="I6354">_xlfn.STDEV.P(IF(Table1[IndicatorCode]=Table1[[#This Row],[IndicatorCode]],Table1[value]))</f>
        <v>26324.778297809873</v>
      </c>
      <c r="J6354">
        <f>(Table1[[#This Row],[value]] - Table1[[#This Row],[mean]]) / Table1[[#This Row],[std_dev]]</f>
        <v>4.0779113596917629</v>
      </c>
      <c r="K6354">
        <f>AVERAGEIF(Table1[CountryCode],Table1[[#This Row],[CountryCode]],Table1[z-score])</f>
        <v>1.8607276946173743</v>
      </c>
      <c r="L6354" t="e">
        <f>VLOOKUP(Table1[[#This Row],[CountryCode]],[1]!Table1[#All],1,FALSE)</f>
        <v>#REF!</v>
      </c>
    </row>
    <row r="6355" spans="1:12" hidden="1" x14ac:dyDescent="0.3">
      <c r="A6355" t="s">
        <v>83</v>
      </c>
      <c r="B6355" t="s">
        <v>84</v>
      </c>
      <c r="C6355" t="s">
        <v>127</v>
      </c>
      <c r="D6355" t="s">
        <v>128</v>
      </c>
      <c r="E6355">
        <v>2006</v>
      </c>
      <c r="F6355" s="1">
        <v>140615</v>
      </c>
      <c r="G6355">
        <v>2000</v>
      </c>
      <c r="H6355">
        <f>AVERAGEIFS(Table1[value],Table1[IndicatorCode],Table1[[#This Row],[IndicatorCode]])</f>
        <v>24902.88753799392</v>
      </c>
      <c r="I6355" cm="1">
        <f t="array" ref="I6355">_xlfn.STDEV.P(IF(Table1[IndicatorCode]=Table1[[#This Row],[IndicatorCode]],Table1[value]))</f>
        <v>26324.778297809873</v>
      </c>
      <c r="J6355">
        <f>(Table1[[#This Row],[value]] - Table1[[#This Row],[mean]]) / Table1[[#This Row],[std_dev]]</f>
        <v>4.3955588591465142</v>
      </c>
      <c r="K6355">
        <f>AVERAGEIF(Table1[CountryCode],Table1[[#This Row],[CountryCode]],Table1[z-score])</f>
        <v>1.8607276946173743</v>
      </c>
      <c r="L6355" t="e">
        <f>VLOOKUP(Table1[[#This Row],[CountryCode]],[1]!Table1[#All],1,FALSE)</f>
        <v>#REF!</v>
      </c>
    </row>
    <row r="6356" spans="1:12" hidden="1" x14ac:dyDescent="0.3">
      <c r="A6356" t="s">
        <v>83</v>
      </c>
      <c r="B6356" t="s">
        <v>84</v>
      </c>
      <c r="C6356" t="s">
        <v>127</v>
      </c>
      <c r="D6356" t="s">
        <v>128</v>
      </c>
      <c r="E6356">
        <v>2007</v>
      </c>
      <c r="F6356" s="1">
        <v>162028</v>
      </c>
      <c r="G6356">
        <v>2010</v>
      </c>
      <c r="H6356">
        <f>AVERAGEIFS(Table1[value],Table1[IndicatorCode],Table1[[#This Row],[IndicatorCode]])</f>
        <v>24902.88753799392</v>
      </c>
      <c r="I6356" cm="1">
        <f t="array" ref="I6356">_xlfn.STDEV.P(IF(Table1[IndicatorCode]=Table1[[#This Row],[IndicatorCode]],Table1[value]))</f>
        <v>26324.778297809873</v>
      </c>
      <c r="J6356">
        <f>(Table1[[#This Row],[value]] - Table1[[#This Row],[mean]]) / Table1[[#This Row],[std_dev]]</f>
        <v>5.2089750162649757</v>
      </c>
      <c r="K6356">
        <f>AVERAGEIF(Table1[CountryCode],Table1[[#This Row],[CountryCode]],Table1[z-score])</f>
        <v>1.8607276946173743</v>
      </c>
      <c r="L6356" t="e">
        <f>VLOOKUP(Table1[[#This Row],[CountryCode]],[1]!Table1[#All],1,FALSE)</f>
        <v>#REF!</v>
      </c>
    </row>
    <row r="6357" spans="1:12" hidden="1" x14ac:dyDescent="0.3">
      <c r="A6357" t="s">
        <v>83</v>
      </c>
      <c r="B6357" t="s">
        <v>84</v>
      </c>
      <c r="C6357" t="s">
        <v>127</v>
      </c>
      <c r="D6357" t="s">
        <v>128</v>
      </c>
      <c r="E6357">
        <v>2008</v>
      </c>
      <c r="F6357" s="1">
        <v>163244</v>
      </c>
      <c r="G6357">
        <v>2010</v>
      </c>
      <c r="H6357">
        <f>AVERAGEIFS(Table1[value],Table1[IndicatorCode],Table1[[#This Row],[IndicatorCode]])</f>
        <v>24902.88753799392</v>
      </c>
      <c r="I6357" cm="1">
        <f t="array" ref="I6357">_xlfn.STDEV.P(IF(Table1[IndicatorCode]=Table1[[#This Row],[IndicatorCode]],Table1[value]))</f>
        <v>26324.778297809873</v>
      </c>
      <c r="J6357">
        <f>(Table1[[#This Row],[value]] - Table1[[#This Row],[mean]]) / Table1[[#This Row],[std_dev]]</f>
        <v>5.2551672381421559</v>
      </c>
      <c r="K6357">
        <f>AVERAGEIF(Table1[CountryCode],Table1[[#This Row],[CountryCode]],Table1[z-score])</f>
        <v>1.8607276946173743</v>
      </c>
      <c r="L6357" t="e">
        <f>VLOOKUP(Table1[[#This Row],[CountryCode]],[1]!Table1[#All],1,FALSE)</f>
        <v>#REF!</v>
      </c>
    </row>
    <row r="6358" spans="1:12" hidden="1" x14ac:dyDescent="0.3">
      <c r="A6358" t="s">
        <v>83</v>
      </c>
      <c r="B6358" t="s">
        <v>84</v>
      </c>
      <c r="C6358" t="s">
        <v>127</v>
      </c>
      <c r="D6358" t="s">
        <v>128</v>
      </c>
      <c r="E6358">
        <v>2009</v>
      </c>
      <c r="F6358" s="1">
        <v>142376</v>
      </c>
      <c r="G6358">
        <v>2010</v>
      </c>
      <c r="H6358">
        <f>AVERAGEIFS(Table1[value],Table1[IndicatorCode],Table1[[#This Row],[IndicatorCode]])</f>
        <v>24902.88753799392</v>
      </c>
      <c r="I6358" cm="1">
        <f t="array" ref="I6358">_xlfn.STDEV.P(IF(Table1[IndicatorCode]=Table1[[#This Row],[IndicatorCode]],Table1[value]))</f>
        <v>26324.778297809873</v>
      </c>
      <c r="J6358">
        <f>(Table1[[#This Row],[value]] - Table1[[#This Row],[mean]]) / Table1[[#This Row],[std_dev]]</f>
        <v>4.4624540094143708</v>
      </c>
      <c r="K6358">
        <f>AVERAGEIF(Table1[CountryCode],Table1[[#This Row],[CountryCode]],Table1[z-score])</f>
        <v>1.8607276946173743</v>
      </c>
      <c r="L6358" t="e">
        <f>VLOOKUP(Table1[[#This Row],[CountryCode]],[1]!Table1[#All],1,FALSE)</f>
        <v>#REF!</v>
      </c>
    </row>
    <row r="6359" spans="1:12" hidden="1" x14ac:dyDescent="0.3">
      <c r="A6359" t="s">
        <v>83</v>
      </c>
      <c r="B6359" t="s">
        <v>84</v>
      </c>
      <c r="C6359" t="s">
        <v>127</v>
      </c>
      <c r="D6359" t="s">
        <v>128</v>
      </c>
      <c r="E6359">
        <v>2010</v>
      </c>
      <c r="F6359" s="1">
        <v>141815</v>
      </c>
      <c r="G6359">
        <v>2010</v>
      </c>
      <c r="H6359">
        <f>AVERAGEIFS(Table1[value],Table1[IndicatorCode],Table1[[#This Row],[IndicatorCode]])</f>
        <v>24902.88753799392</v>
      </c>
      <c r="I6359" cm="1">
        <f t="array" ref="I6359">_xlfn.STDEV.P(IF(Table1[IndicatorCode]=Table1[[#This Row],[IndicatorCode]],Table1[value]))</f>
        <v>26324.778297809873</v>
      </c>
      <c r="J6359">
        <f>(Table1[[#This Row],[value]] - Table1[[#This Row],[mean]]) / Table1[[#This Row],[std_dev]]</f>
        <v>4.4411432886305731</v>
      </c>
      <c r="K6359">
        <f>AVERAGEIF(Table1[CountryCode],Table1[[#This Row],[CountryCode]],Table1[z-score])</f>
        <v>1.8607276946173743</v>
      </c>
      <c r="L6359" t="e">
        <f>VLOOKUP(Table1[[#This Row],[CountryCode]],[1]!Table1[#All],1,FALSE)</f>
        <v>#REF!</v>
      </c>
    </row>
    <row r="6360" spans="1:12" hidden="1" x14ac:dyDescent="0.3">
      <c r="A6360" t="s">
        <v>83</v>
      </c>
      <c r="B6360" t="s">
        <v>84</v>
      </c>
      <c r="C6360" t="s">
        <v>127</v>
      </c>
      <c r="D6360" t="s">
        <v>128</v>
      </c>
      <c r="E6360">
        <v>2011</v>
      </c>
      <c r="F6360" s="1">
        <v>148273</v>
      </c>
      <c r="G6360">
        <v>2010</v>
      </c>
      <c r="H6360">
        <f>AVERAGEIFS(Table1[value],Table1[IndicatorCode],Table1[[#This Row],[IndicatorCode]])</f>
        <v>24902.88753799392</v>
      </c>
      <c r="I6360" cm="1">
        <f t="array" ref="I6360">_xlfn.STDEV.P(IF(Table1[IndicatorCode]=Table1[[#This Row],[IndicatorCode]],Table1[value]))</f>
        <v>26324.778297809873</v>
      </c>
      <c r="J6360">
        <f>(Table1[[#This Row],[value]] - Table1[[#This Row],[mean]]) / Table1[[#This Row],[std_dev]]</f>
        <v>4.6864634933039504</v>
      </c>
      <c r="K6360">
        <f>AVERAGEIF(Table1[CountryCode],Table1[[#This Row],[CountryCode]],Table1[z-score])</f>
        <v>1.8607276946173743</v>
      </c>
      <c r="L6360" t="e">
        <f>VLOOKUP(Table1[[#This Row],[CountryCode]],[1]!Table1[#All],1,FALSE)</f>
        <v>#REF!</v>
      </c>
    </row>
    <row r="6361" spans="1:12" hidden="1" x14ac:dyDescent="0.3">
      <c r="A6361" t="s">
        <v>83</v>
      </c>
      <c r="B6361" t="s">
        <v>84</v>
      </c>
      <c r="C6361" t="s">
        <v>127</v>
      </c>
      <c r="D6361" t="s">
        <v>128</v>
      </c>
      <c r="E6361">
        <v>2012</v>
      </c>
      <c r="F6361" s="1">
        <v>146473</v>
      </c>
      <c r="G6361">
        <v>2010</v>
      </c>
      <c r="H6361">
        <f>AVERAGEIFS(Table1[value],Table1[IndicatorCode],Table1[[#This Row],[IndicatorCode]])</f>
        <v>24902.88753799392</v>
      </c>
      <c r="I6361" cm="1">
        <f t="array" ref="I6361">_xlfn.STDEV.P(IF(Table1[IndicatorCode]=Table1[[#This Row],[IndicatorCode]],Table1[value]))</f>
        <v>26324.778297809873</v>
      </c>
      <c r="J6361">
        <f>(Table1[[#This Row],[value]] - Table1[[#This Row],[mean]]) / Table1[[#This Row],[std_dev]]</f>
        <v>4.6180868490778622</v>
      </c>
      <c r="K6361">
        <f>AVERAGEIF(Table1[CountryCode],Table1[[#This Row],[CountryCode]],Table1[z-score])</f>
        <v>1.8607276946173743</v>
      </c>
      <c r="L6361" t="e">
        <f>VLOOKUP(Table1[[#This Row],[CountryCode]],[1]!Table1[#All],1,FALSE)</f>
        <v>#REF!</v>
      </c>
    </row>
    <row r="6362" spans="1:12" hidden="1" x14ac:dyDescent="0.3">
      <c r="A6362" t="s">
        <v>83</v>
      </c>
      <c r="B6362" t="s">
        <v>84</v>
      </c>
      <c r="C6362" t="s">
        <v>127</v>
      </c>
      <c r="D6362" t="s">
        <v>128</v>
      </c>
      <c r="E6362">
        <v>2013</v>
      </c>
      <c r="F6362" s="1">
        <v>157168</v>
      </c>
      <c r="G6362">
        <v>2010</v>
      </c>
      <c r="H6362">
        <f>AVERAGEIFS(Table1[value],Table1[IndicatorCode],Table1[[#This Row],[IndicatorCode]])</f>
        <v>24902.88753799392</v>
      </c>
      <c r="I6362" cm="1">
        <f t="array" ref="I6362">_xlfn.STDEV.P(IF(Table1[IndicatorCode]=Table1[[#This Row],[IndicatorCode]],Table1[value]))</f>
        <v>26324.778297809873</v>
      </c>
      <c r="J6362">
        <f>(Table1[[#This Row],[value]] - Table1[[#This Row],[mean]]) / Table1[[#This Row],[std_dev]]</f>
        <v>5.0243580768545373</v>
      </c>
      <c r="K6362">
        <f>AVERAGEIF(Table1[CountryCode],Table1[[#This Row],[CountryCode]],Table1[z-score])</f>
        <v>1.8607276946173743</v>
      </c>
      <c r="L6362" t="e">
        <f>VLOOKUP(Table1[[#This Row],[CountryCode]],[1]!Table1[#All],1,FALSE)</f>
        <v>#REF!</v>
      </c>
    </row>
    <row r="6363" spans="1:12" hidden="1" x14ac:dyDescent="0.3">
      <c r="A6363" t="s">
        <v>83</v>
      </c>
      <c r="B6363" t="s">
        <v>84</v>
      </c>
      <c r="C6363" t="s">
        <v>127</v>
      </c>
      <c r="D6363" t="s">
        <v>128</v>
      </c>
      <c r="E6363">
        <v>2014</v>
      </c>
      <c r="F6363" s="1">
        <v>165288</v>
      </c>
      <c r="G6363">
        <v>2010</v>
      </c>
      <c r="H6363">
        <f>AVERAGEIFS(Table1[value],Table1[IndicatorCode],Table1[[#This Row],[IndicatorCode]])</f>
        <v>24902.88753799392</v>
      </c>
      <c r="I6363" cm="1">
        <f t="array" ref="I6363">_xlfn.STDEV.P(IF(Table1[IndicatorCode]=Table1[[#This Row],[IndicatorCode]],Table1[value]))</f>
        <v>26324.778297809873</v>
      </c>
      <c r="J6363">
        <f>(Table1[[#This Row],[value]] - Table1[[#This Row],[mean]]) / Table1[[#This Row],[std_dev]]</f>
        <v>5.3328127163633363</v>
      </c>
      <c r="K6363">
        <f>AVERAGEIF(Table1[CountryCode],Table1[[#This Row],[CountryCode]],Table1[z-score])</f>
        <v>1.8607276946173743</v>
      </c>
      <c r="L6363" t="e">
        <f>VLOOKUP(Table1[[#This Row],[CountryCode]],[1]!Table1[#All],1,FALSE)</f>
        <v>#REF!</v>
      </c>
    </row>
    <row r="6364" spans="1:12" hidden="1" x14ac:dyDescent="0.3">
      <c r="A6364" t="s">
        <v>83</v>
      </c>
      <c r="B6364" t="s">
        <v>84</v>
      </c>
      <c r="C6364" t="s">
        <v>127</v>
      </c>
      <c r="D6364" t="s">
        <v>128</v>
      </c>
      <c r="E6364">
        <v>2015</v>
      </c>
      <c r="F6364" s="1">
        <v>170437</v>
      </c>
      <c r="G6364">
        <v>2010</v>
      </c>
      <c r="H6364">
        <f>AVERAGEIFS(Table1[value],Table1[IndicatorCode],Table1[[#This Row],[IndicatorCode]])</f>
        <v>24902.88753799392</v>
      </c>
      <c r="I6364" cm="1">
        <f t="array" ref="I6364">_xlfn.STDEV.P(IF(Table1[IndicatorCode]=Table1[[#This Row],[IndicatorCode]],Table1[value]))</f>
        <v>26324.778297809873</v>
      </c>
      <c r="J6364">
        <f>(Table1[[#This Row],[value]] - Table1[[#This Row],[mean]]) / Table1[[#This Row],[std_dev]]</f>
        <v>5.528407905874519</v>
      </c>
      <c r="K6364">
        <f>AVERAGEIF(Table1[CountryCode],Table1[[#This Row],[CountryCode]],Table1[z-score])</f>
        <v>1.8607276946173743</v>
      </c>
      <c r="L6364" t="e">
        <f>VLOOKUP(Table1[[#This Row],[CountryCode]],[1]!Table1[#All],1,FALSE)</f>
        <v>#REF!</v>
      </c>
    </row>
    <row r="6365" spans="1:12" hidden="1" x14ac:dyDescent="0.3">
      <c r="A6365" t="s">
        <v>83</v>
      </c>
      <c r="B6365" t="s">
        <v>84</v>
      </c>
      <c r="C6365" t="s">
        <v>127</v>
      </c>
      <c r="D6365" t="s">
        <v>128</v>
      </c>
      <c r="E6365">
        <v>2016</v>
      </c>
      <c r="F6365" s="1">
        <v>173120</v>
      </c>
      <c r="G6365">
        <v>2010</v>
      </c>
      <c r="H6365">
        <f>AVERAGEIFS(Table1[value],Table1[IndicatorCode],Table1[[#This Row],[IndicatorCode]])</f>
        <v>24902.88753799392</v>
      </c>
      <c r="I6365" cm="1">
        <f t="array" ref="I6365">_xlfn.STDEV.P(IF(Table1[IndicatorCode]=Table1[[#This Row],[IndicatorCode]],Table1[value]))</f>
        <v>26324.778297809873</v>
      </c>
      <c r="J6365">
        <f>(Table1[[#This Row],[value]] - Table1[[#This Row],[mean]]) / Table1[[#This Row],[std_dev]]</f>
        <v>5.6303270927959614</v>
      </c>
      <c r="K6365">
        <f>AVERAGEIF(Table1[CountryCode],Table1[[#This Row],[CountryCode]],Table1[z-score])</f>
        <v>1.8607276946173743</v>
      </c>
      <c r="L6365" t="e">
        <f>VLOOKUP(Table1[[#This Row],[CountryCode]],[1]!Table1[#All],1,FALSE)</f>
        <v>#REF!</v>
      </c>
    </row>
    <row r="6366" spans="1:12" hidden="1" x14ac:dyDescent="0.3">
      <c r="A6366" t="s">
        <v>83</v>
      </c>
      <c r="B6366" t="s">
        <v>84</v>
      </c>
      <c r="C6366" t="s">
        <v>127</v>
      </c>
      <c r="D6366" t="s">
        <v>128</v>
      </c>
      <c r="E6366">
        <v>2017</v>
      </c>
      <c r="F6366" s="1">
        <v>165782</v>
      </c>
      <c r="G6366">
        <v>2020</v>
      </c>
      <c r="H6366">
        <f>AVERAGEIFS(Table1[value],Table1[IndicatorCode],Table1[[#This Row],[IndicatorCode]])</f>
        <v>24902.88753799392</v>
      </c>
      <c r="I6366" cm="1">
        <f t="array" ref="I6366">_xlfn.STDEV.P(IF(Table1[IndicatorCode]=Table1[[#This Row],[IndicatorCode]],Table1[value]))</f>
        <v>26324.778297809873</v>
      </c>
      <c r="J6366">
        <f>(Table1[[#This Row],[value]] - Table1[[#This Row],[mean]]) / Table1[[#This Row],[std_dev]]</f>
        <v>5.3515783065009401</v>
      </c>
      <c r="K6366">
        <f>AVERAGEIF(Table1[CountryCode],Table1[[#This Row],[CountryCode]],Table1[z-score])</f>
        <v>1.8607276946173743</v>
      </c>
      <c r="L6366" t="e">
        <f>VLOOKUP(Table1[[#This Row],[CountryCode]],[1]!Table1[#All],1,FALSE)</f>
        <v>#REF!</v>
      </c>
    </row>
    <row r="6367" spans="1:12" hidden="1" x14ac:dyDescent="0.3">
      <c r="A6367" t="s">
        <v>83</v>
      </c>
      <c r="B6367" t="s">
        <v>84</v>
      </c>
      <c r="C6367" t="s">
        <v>127</v>
      </c>
      <c r="D6367" t="s">
        <v>128</v>
      </c>
      <c r="E6367">
        <v>2018</v>
      </c>
      <c r="F6367" s="1">
        <v>173042</v>
      </c>
      <c r="G6367">
        <v>2020</v>
      </c>
      <c r="H6367">
        <f>AVERAGEIFS(Table1[value],Table1[IndicatorCode],Table1[[#This Row],[IndicatorCode]])</f>
        <v>24902.88753799392</v>
      </c>
      <c r="I6367" cm="1">
        <f t="array" ref="I6367">_xlfn.STDEV.P(IF(Table1[IndicatorCode]=Table1[[#This Row],[IndicatorCode]],Table1[value]))</f>
        <v>26324.778297809873</v>
      </c>
      <c r="J6367">
        <f>(Table1[[#This Row],[value]] - Table1[[#This Row],[mean]]) / Table1[[#This Row],[std_dev]]</f>
        <v>5.6273641048794971</v>
      </c>
      <c r="K6367">
        <f>AVERAGEIF(Table1[CountryCode],Table1[[#This Row],[CountryCode]],Table1[z-score])</f>
        <v>1.8607276946173743</v>
      </c>
      <c r="L6367" t="e">
        <f>VLOOKUP(Table1[[#This Row],[CountryCode]],[1]!Table1[#All],1,FALSE)</f>
        <v>#REF!</v>
      </c>
    </row>
    <row r="6368" spans="1:12" hidden="1" x14ac:dyDescent="0.3">
      <c r="A6368" t="s">
        <v>83</v>
      </c>
      <c r="B6368" t="s">
        <v>84</v>
      </c>
      <c r="C6368" t="s">
        <v>127</v>
      </c>
      <c r="D6368" t="s">
        <v>128</v>
      </c>
      <c r="E6368">
        <v>2019</v>
      </c>
      <c r="F6368" s="1">
        <v>185583</v>
      </c>
      <c r="G6368">
        <v>2020</v>
      </c>
      <c r="H6368">
        <f>AVERAGEIFS(Table1[value],Table1[IndicatorCode],Table1[[#This Row],[IndicatorCode]])</f>
        <v>24902.88753799392</v>
      </c>
      <c r="I6368" cm="1">
        <f t="array" ref="I6368">_xlfn.STDEV.P(IF(Table1[IndicatorCode]=Table1[[#This Row],[IndicatorCode]],Table1[value]))</f>
        <v>26324.778297809873</v>
      </c>
      <c r="J6368">
        <f>(Table1[[#This Row],[value]] - Table1[[#This Row],[mean]]) / Table1[[#This Row],[std_dev]]</f>
        <v>6.1037593800124839</v>
      </c>
      <c r="K6368">
        <f>AVERAGEIF(Table1[CountryCode],Table1[[#This Row],[CountryCode]],Table1[z-score])</f>
        <v>1.8607276946173743</v>
      </c>
      <c r="L6368" t="e">
        <f>VLOOKUP(Table1[[#This Row],[CountryCode]],[1]!Table1[#All],1,FALSE)</f>
        <v>#REF!</v>
      </c>
    </row>
    <row r="6369" spans="1:12" x14ac:dyDescent="0.3">
      <c r="A6369" t="s">
        <v>11</v>
      </c>
      <c r="B6369" t="s">
        <v>12</v>
      </c>
      <c r="C6369" t="s">
        <v>127</v>
      </c>
      <c r="D6369" t="s">
        <v>128</v>
      </c>
      <c r="E6369">
        <v>2020</v>
      </c>
      <c r="F6369" s="1">
        <v>34537</v>
      </c>
      <c r="G6369">
        <v>2020</v>
      </c>
      <c r="H6369">
        <f>AVERAGEIFS(Table1[value],Table1[IndicatorCode],Table1[[#This Row],[IndicatorCode]])</f>
        <v>24902.88753799392</v>
      </c>
      <c r="I6369" cm="1">
        <f t="array" ref="I6369">_xlfn.STDEV.P(IF(Table1[IndicatorCode]=Table1[[#This Row],[IndicatorCode]],Table1[value]))</f>
        <v>26324.778297809873</v>
      </c>
      <c r="J6369">
        <f>(Table1[[#This Row],[value]] - Table1[[#This Row],[mean]]) / Table1[[#This Row],[std_dev]]</f>
        <v>0.36597126680484154</v>
      </c>
      <c r="K6369">
        <f>AVERAGEIF(Table1[CountryCode],Table1[[#This Row],[CountryCode]],Table1[z-score])</f>
        <v>0.63319255148184794</v>
      </c>
    </row>
    <row r="6370" spans="1:12" hidden="1" x14ac:dyDescent="0.3">
      <c r="A6370" t="s">
        <v>83</v>
      </c>
      <c r="B6370" t="s">
        <v>84</v>
      </c>
      <c r="C6370" t="s">
        <v>127</v>
      </c>
      <c r="D6370" t="s">
        <v>128</v>
      </c>
      <c r="E6370">
        <v>2021</v>
      </c>
      <c r="F6370" s="1">
        <v>194675</v>
      </c>
      <c r="G6370">
        <v>2020</v>
      </c>
      <c r="H6370">
        <f>AVERAGEIFS(Table1[value],Table1[IndicatorCode],Table1[[#This Row],[IndicatorCode]])</f>
        <v>24902.88753799392</v>
      </c>
      <c r="I6370" cm="1">
        <f t="array" ref="I6370">_xlfn.STDEV.P(IF(Table1[IndicatorCode]=Table1[[#This Row],[IndicatorCode]],Table1[value]))</f>
        <v>26324.778297809873</v>
      </c>
      <c r="J6370">
        <f>(Table1[[#This Row],[value]] - Table1[[#This Row],[mean]]) / Table1[[#This Row],[std_dev]]</f>
        <v>6.44913740740337</v>
      </c>
      <c r="K6370">
        <f>AVERAGEIF(Table1[CountryCode],Table1[[#This Row],[CountryCode]],Table1[z-score])</f>
        <v>1.8607276946173743</v>
      </c>
      <c r="L6370" t="e">
        <f>VLOOKUP(Table1[[#This Row],[CountryCode]],[1]!Table1[#All],1,FALSE)</f>
        <v>#REF!</v>
      </c>
    </row>
    <row r="6371" spans="1:12" hidden="1" x14ac:dyDescent="0.3">
      <c r="A6371" t="s">
        <v>83</v>
      </c>
      <c r="B6371" t="s">
        <v>84</v>
      </c>
      <c r="C6371" t="s">
        <v>127</v>
      </c>
      <c r="D6371" t="s">
        <v>128</v>
      </c>
      <c r="E6371">
        <v>2022</v>
      </c>
      <c r="F6371" s="1">
        <v>214360</v>
      </c>
      <c r="G6371">
        <v>1990</v>
      </c>
      <c r="H6371">
        <f>AVERAGEIFS(Table1[value],Table1[IndicatorCode],Table1[[#This Row],[IndicatorCode]])</f>
        <v>24902.88753799392</v>
      </c>
      <c r="I6371" cm="1">
        <f t="array" ref="I6371">_xlfn.STDEV.P(IF(Table1[IndicatorCode]=Table1[[#This Row],[IndicatorCode]],Table1[value]))</f>
        <v>26324.778297809873</v>
      </c>
      <c r="J6371">
        <f>(Table1[[#This Row],[value]] - Table1[[#This Row],[mean]]) / Table1[[#This Row],[std_dev]]</f>
        <v>7.1969119860647872</v>
      </c>
      <c r="K6371">
        <f>AVERAGEIF(Table1[CountryCode],Table1[[#This Row],[CountryCode]],Table1[z-score])</f>
        <v>1.8607276946173743</v>
      </c>
      <c r="L6371" t="e">
        <f>VLOOKUP(Table1[[#This Row],[CountryCode]],[1]!Table1[#All],1,FALSE)</f>
        <v>#REF!</v>
      </c>
    </row>
    <row r="6372" spans="1:12" hidden="1" x14ac:dyDescent="0.3">
      <c r="A6372" t="s">
        <v>83</v>
      </c>
      <c r="B6372" t="s">
        <v>84</v>
      </c>
      <c r="C6372" t="s">
        <v>127</v>
      </c>
      <c r="D6372" t="s">
        <v>128</v>
      </c>
      <c r="E6372">
        <v>2023</v>
      </c>
      <c r="F6372" s="1">
        <v>225884</v>
      </c>
      <c r="G6372">
        <v>1990</v>
      </c>
      <c r="H6372">
        <f>AVERAGEIFS(Table1[value],Table1[IndicatorCode],Table1[[#This Row],[IndicatorCode]])</f>
        <v>24902.88753799392</v>
      </c>
      <c r="I6372" cm="1">
        <f t="array" ref="I6372">_xlfn.STDEV.P(IF(Table1[IndicatorCode]=Table1[[#This Row],[IndicatorCode]],Table1[value]))</f>
        <v>26324.778297809873</v>
      </c>
      <c r="J6372">
        <f>(Table1[[#This Row],[value]] - Table1[[#This Row],[mean]]) / Table1[[#This Row],[std_dev]]</f>
        <v>7.6346744572100338</v>
      </c>
      <c r="K6372">
        <f>AVERAGEIF(Table1[CountryCode],Table1[[#This Row],[CountryCode]],Table1[z-score])</f>
        <v>1.8607276946173743</v>
      </c>
      <c r="L6372" t="e">
        <f>VLOOKUP(Table1[[#This Row],[CountryCode]],[1]!Table1[#All],1,FALSE)</f>
        <v>#REF!</v>
      </c>
    </row>
    <row r="6373" spans="1:12" hidden="1" x14ac:dyDescent="0.3">
      <c r="A6373" t="s">
        <v>83</v>
      </c>
      <c r="B6373" t="s">
        <v>84</v>
      </c>
      <c r="C6373" t="s">
        <v>127</v>
      </c>
      <c r="D6373" t="s">
        <v>128</v>
      </c>
      <c r="E6373">
        <v>2024</v>
      </c>
      <c r="F6373" s="1">
        <v>247170</v>
      </c>
      <c r="G6373">
        <v>1990</v>
      </c>
      <c r="H6373">
        <f>AVERAGEIFS(Table1[value],Table1[IndicatorCode],Table1[[#This Row],[IndicatorCode]])</f>
        <v>24902.88753799392</v>
      </c>
      <c r="I6373" cm="1">
        <f t="array" ref="I6373">_xlfn.STDEV.P(IF(Table1[IndicatorCode]=Table1[[#This Row],[IndicatorCode]],Table1[value]))</f>
        <v>26324.778297809873</v>
      </c>
      <c r="J6373">
        <f>(Table1[[#This Row],[value]] - Table1[[#This Row],[mean]]) / Table1[[#This Row],[std_dev]]</f>
        <v>8.4432662622081001</v>
      </c>
      <c r="K6373">
        <f>AVERAGEIF(Table1[CountryCode],Table1[[#This Row],[CountryCode]],Table1[z-score])</f>
        <v>1.8607276946173743</v>
      </c>
      <c r="L6373" t="e">
        <f>VLOOKUP(Table1[[#This Row],[CountryCode]],[1]!Table1[#All],1,FALSE)</f>
        <v>#REF!</v>
      </c>
    </row>
    <row r="6374" spans="1:12" hidden="1" x14ac:dyDescent="0.3">
      <c r="A6374" t="s">
        <v>85</v>
      </c>
      <c r="B6374" t="s">
        <v>86</v>
      </c>
      <c r="C6374" t="s">
        <v>127</v>
      </c>
      <c r="D6374" t="s">
        <v>128</v>
      </c>
      <c r="E6374">
        <v>1990</v>
      </c>
      <c r="F6374" s="1">
        <v>3740</v>
      </c>
      <c r="G6374">
        <v>1990</v>
      </c>
      <c r="H6374">
        <f>AVERAGEIFS(Table1[value],Table1[IndicatorCode],Table1[[#This Row],[IndicatorCode]])</f>
        <v>24902.88753799392</v>
      </c>
      <c r="I6374" cm="1">
        <f t="array" ref="I6374">_xlfn.STDEV.P(IF(Table1[IndicatorCode]=Table1[[#This Row],[IndicatorCode]],Table1[value]))</f>
        <v>26324.778297809873</v>
      </c>
      <c r="J6374">
        <f>(Table1[[#This Row],[value]] - Table1[[#This Row],[mean]]) / Table1[[#This Row],[std_dev]]</f>
        <v>-0.80391512887896177</v>
      </c>
      <c r="K6374">
        <f>AVERAGEIF(Table1[CountryCode],Table1[[#This Row],[CountryCode]],Table1[z-score])</f>
        <v>-0.61357720348444234</v>
      </c>
      <c r="L6374" t="e">
        <f>VLOOKUP(Table1[[#This Row],[CountryCode]],[1]!Table1[#All],1,FALSE)</f>
        <v>#REF!</v>
      </c>
    </row>
    <row r="6375" spans="1:12" hidden="1" x14ac:dyDescent="0.3">
      <c r="A6375" t="s">
        <v>85</v>
      </c>
      <c r="B6375" t="s">
        <v>86</v>
      </c>
      <c r="C6375" t="s">
        <v>127</v>
      </c>
      <c r="D6375" t="s">
        <v>128</v>
      </c>
      <c r="E6375">
        <v>1991</v>
      </c>
      <c r="F6375" s="1">
        <v>3138</v>
      </c>
      <c r="G6375">
        <v>1990</v>
      </c>
      <c r="H6375">
        <f>AVERAGEIFS(Table1[value],Table1[IndicatorCode],Table1[[#This Row],[IndicatorCode]])</f>
        <v>24902.88753799392</v>
      </c>
      <c r="I6375" cm="1">
        <f t="array" ref="I6375">_xlfn.STDEV.P(IF(Table1[IndicatorCode]=Table1[[#This Row],[IndicatorCode]],Table1[value]))</f>
        <v>26324.778297809873</v>
      </c>
      <c r="J6375">
        <f>(Table1[[#This Row],[value]] - Table1[[#This Row],[mean]]) / Table1[[#This Row],[std_dev]]</f>
        <v>-0.82678331767013136</v>
      </c>
      <c r="K6375">
        <f>AVERAGEIF(Table1[CountryCode],Table1[[#This Row],[CountryCode]],Table1[z-score])</f>
        <v>-0.61357720348444234</v>
      </c>
      <c r="L6375" t="e">
        <f>VLOOKUP(Table1[[#This Row],[CountryCode]],[1]!Table1[#All],1,FALSE)</f>
        <v>#REF!</v>
      </c>
    </row>
    <row r="6376" spans="1:12" hidden="1" x14ac:dyDescent="0.3">
      <c r="A6376" t="s">
        <v>85</v>
      </c>
      <c r="B6376" t="s">
        <v>86</v>
      </c>
      <c r="C6376" t="s">
        <v>127</v>
      </c>
      <c r="D6376" t="s">
        <v>128</v>
      </c>
      <c r="E6376">
        <v>1992</v>
      </c>
      <c r="F6376" s="1">
        <v>2225</v>
      </c>
      <c r="G6376">
        <v>1990</v>
      </c>
      <c r="H6376">
        <f>AVERAGEIFS(Table1[value],Table1[IndicatorCode],Table1[[#This Row],[IndicatorCode]])</f>
        <v>24902.88753799392</v>
      </c>
      <c r="I6376" cm="1">
        <f t="array" ref="I6376">_xlfn.STDEV.P(IF(Table1[IndicatorCode]=Table1[[#This Row],[IndicatorCode]],Table1[value]))</f>
        <v>26324.778297809873</v>
      </c>
      <c r="J6376">
        <f>(Table1[[#This Row],[value]] - Table1[[#This Row],[mean]]) / Table1[[#This Row],[std_dev]]</f>
        <v>-0.8614654711025862</v>
      </c>
      <c r="K6376">
        <f>AVERAGEIF(Table1[CountryCode],Table1[[#This Row],[CountryCode]],Table1[z-score])</f>
        <v>-0.61357720348444234</v>
      </c>
      <c r="L6376" t="e">
        <f>VLOOKUP(Table1[[#This Row],[CountryCode]],[1]!Table1[#All],1,FALSE)</f>
        <v>#REF!</v>
      </c>
    </row>
    <row r="6377" spans="1:12" hidden="1" x14ac:dyDescent="0.3">
      <c r="A6377" t="s">
        <v>85</v>
      </c>
      <c r="B6377" t="s">
        <v>86</v>
      </c>
      <c r="C6377" t="s">
        <v>127</v>
      </c>
      <c r="D6377" t="s">
        <v>128</v>
      </c>
      <c r="E6377">
        <v>1993</v>
      </c>
      <c r="F6377" s="1">
        <v>2202</v>
      </c>
      <c r="G6377">
        <v>1990</v>
      </c>
      <c r="H6377">
        <f>AVERAGEIFS(Table1[value],Table1[IndicatorCode],Table1[[#This Row],[IndicatorCode]])</f>
        <v>24902.88753799392</v>
      </c>
      <c r="I6377" cm="1">
        <f t="array" ref="I6377">_xlfn.STDEV.P(IF(Table1[IndicatorCode]=Table1[[#This Row],[IndicatorCode]],Table1[value]))</f>
        <v>26324.778297809873</v>
      </c>
      <c r="J6377">
        <f>(Table1[[#This Row],[value]] - Table1[[#This Row],[mean]]) / Table1[[#This Row],[std_dev]]</f>
        <v>-0.86233917266769733</v>
      </c>
      <c r="K6377">
        <f>AVERAGEIF(Table1[CountryCode],Table1[[#This Row],[CountryCode]],Table1[z-score])</f>
        <v>-0.61357720348444234</v>
      </c>
      <c r="L6377" t="e">
        <f>VLOOKUP(Table1[[#This Row],[CountryCode]],[1]!Table1[#All],1,FALSE)</f>
        <v>#REF!</v>
      </c>
    </row>
    <row r="6378" spans="1:12" hidden="1" x14ac:dyDescent="0.3">
      <c r="A6378" t="s">
        <v>85</v>
      </c>
      <c r="B6378" t="s">
        <v>86</v>
      </c>
      <c r="C6378" t="s">
        <v>127</v>
      </c>
      <c r="D6378" t="s">
        <v>128</v>
      </c>
      <c r="E6378">
        <v>1994</v>
      </c>
      <c r="F6378" s="1">
        <v>1526</v>
      </c>
      <c r="G6378">
        <v>1990</v>
      </c>
      <c r="H6378">
        <f>AVERAGEIFS(Table1[value],Table1[IndicatorCode],Table1[[#This Row],[IndicatorCode]])</f>
        <v>24902.88753799392</v>
      </c>
      <c r="I6378" cm="1">
        <f t="array" ref="I6378">_xlfn.STDEV.P(IF(Table1[IndicatorCode]=Table1[[#This Row],[IndicatorCode]],Table1[value]))</f>
        <v>26324.778297809873</v>
      </c>
      <c r="J6378">
        <f>(Table1[[#This Row],[value]] - Table1[[#This Row],[mean]]) / Table1[[#This Row],[std_dev]]</f>
        <v>-0.88801840127705056</v>
      </c>
      <c r="K6378">
        <f>AVERAGEIF(Table1[CountryCode],Table1[[#This Row],[CountryCode]],Table1[z-score])</f>
        <v>-0.61357720348444234</v>
      </c>
      <c r="L6378" t="e">
        <f>VLOOKUP(Table1[[#This Row],[CountryCode]],[1]!Table1[#All],1,FALSE)</f>
        <v>#REF!</v>
      </c>
    </row>
    <row r="6379" spans="1:12" hidden="1" x14ac:dyDescent="0.3">
      <c r="A6379" t="s">
        <v>85</v>
      </c>
      <c r="B6379" t="s">
        <v>86</v>
      </c>
      <c r="C6379" t="s">
        <v>127</v>
      </c>
      <c r="D6379" t="s">
        <v>128</v>
      </c>
      <c r="E6379">
        <v>1995</v>
      </c>
      <c r="F6379" s="1">
        <v>1512</v>
      </c>
      <c r="G6379">
        <v>1990</v>
      </c>
      <c r="H6379">
        <f>AVERAGEIFS(Table1[value],Table1[IndicatorCode],Table1[[#This Row],[IndicatorCode]])</f>
        <v>24902.88753799392</v>
      </c>
      <c r="I6379" cm="1">
        <f t="array" ref="I6379">_xlfn.STDEV.P(IF(Table1[IndicatorCode]=Table1[[#This Row],[IndicatorCode]],Table1[value]))</f>
        <v>26324.778297809873</v>
      </c>
      <c r="J6379">
        <f>(Table1[[#This Row],[value]] - Table1[[#This Row],[mean]]) / Table1[[#This Row],[std_dev]]</f>
        <v>-0.8885502196210312</v>
      </c>
      <c r="K6379">
        <f>AVERAGEIF(Table1[CountryCode],Table1[[#This Row],[CountryCode]],Table1[z-score])</f>
        <v>-0.61357720348444234</v>
      </c>
      <c r="L6379" t="e">
        <f>VLOOKUP(Table1[[#This Row],[CountryCode]],[1]!Table1[#All],1,FALSE)</f>
        <v>#REF!</v>
      </c>
    </row>
    <row r="6380" spans="1:12" hidden="1" x14ac:dyDescent="0.3">
      <c r="A6380" t="s">
        <v>85</v>
      </c>
      <c r="B6380" t="s">
        <v>86</v>
      </c>
      <c r="C6380" t="s">
        <v>127</v>
      </c>
      <c r="D6380" t="s">
        <v>128</v>
      </c>
      <c r="E6380">
        <v>1996</v>
      </c>
      <c r="F6380" s="1">
        <v>1426</v>
      </c>
      <c r="G6380">
        <v>1990</v>
      </c>
      <c r="H6380">
        <f>AVERAGEIFS(Table1[value],Table1[IndicatorCode],Table1[[#This Row],[IndicatorCode]])</f>
        <v>24902.88753799392</v>
      </c>
      <c r="I6380" cm="1">
        <f t="array" ref="I6380">_xlfn.STDEV.P(IF(Table1[IndicatorCode]=Table1[[#This Row],[IndicatorCode]],Table1[value]))</f>
        <v>26324.778297809873</v>
      </c>
      <c r="J6380">
        <f>(Table1[[#This Row],[value]] - Table1[[#This Row],[mean]]) / Table1[[#This Row],[std_dev]]</f>
        <v>-0.89181710373405543</v>
      </c>
      <c r="K6380">
        <f>AVERAGEIF(Table1[CountryCode],Table1[[#This Row],[CountryCode]],Table1[z-score])</f>
        <v>-0.61357720348444234</v>
      </c>
      <c r="L6380" t="e">
        <f>VLOOKUP(Table1[[#This Row],[CountryCode]],[1]!Table1[#All],1,FALSE)</f>
        <v>#REF!</v>
      </c>
    </row>
    <row r="6381" spans="1:12" hidden="1" x14ac:dyDescent="0.3">
      <c r="A6381" t="s">
        <v>85</v>
      </c>
      <c r="B6381" t="s">
        <v>86</v>
      </c>
      <c r="C6381" t="s">
        <v>127</v>
      </c>
      <c r="D6381" t="s">
        <v>128</v>
      </c>
      <c r="E6381">
        <v>1997</v>
      </c>
      <c r="F6381" s="1">
        <v>1455</v>
      </c>
      <c r="G6381">
        <v>2000</v>
      </c>
      <c r="H6381">
        <f>AVERAGEIFS(Table1[value],Table1[IndicatorCode],Table1[[#This Row],[IndicatorCode]])</f>
        <v>24902.88753799392</v>
      </c>
      <c r="I6381" cm="1">
        <f t="array" ref="I6381">_xlfn.STDEV.P(IF(Table1[IndicatorCode]=Table1[[#This Row],[IndicatorCode]],Table1[value]))</f>
        <v>26324.778297809873</v>
      </c>
      <c r="J6381">
        <f>(Table1[[#This Row],[value]] - Table1[[#This Row],[mean]]) / Table1[[#This Row],[std_dev]]</f>
        <v>-0.89071548002152401</v>
      </c>
      <c r="K6381">
        <f>AVERAGEIF(Table1[CountryCode],Table1[[#This Row],[CountryCode]],Table1[z-score])</f>
        <v>-0.61357720348444234</v>
      </c>
      <c r="L6381" t="e">
        <f>VLOOKUP(Table1[[#This Row],[CountryCode]],[1]!Table1[#All],1,FALSE)</f>
        <v>#REF!</v>
      </c>
    </row>
    <row r="6382" spans="1:12" hidden="1" x14ac:dyDescent="0.3">
      <c r="A6382" t="s">
        <v>85</v>
      </c>
      <c r="B6382" t="s">
        <v>86</v>
      </c>
      <c r="C6382" t="s">
        <v>127</v>
      </c>
      <c r="D6382" t="s">
        <v>128</v>
      </c>
      <c r="E6382">
        <v>1998</v>
      </c>
      <c r="F6382" s="1">
        <v>1360</v>
      </c>
      <c r="G6382">
        <v>2000</v>
      </c>
      <c r="H6382">
        <f>AVERAGEIFS(Table1[value],Table1[IndicatorCode],Table1[[#This Row],[IndicatorCode]])</f>
        <v>24902.88753799392</v>
      </c>
      <c r="I6382" cm="1">
        <f t="array" ref="I6382">_xlfn.STDEV.P(IF(Table1[IndicatorCode]=Table1[[#This Row],[IndicatorCode]],Table1[value]))</f>
        <v>26324.778297809873</v>
      </c>
      <c r="J6382">
        <f>(Table1[[#This Row],[value]] - Table1[[#This Row],[mean]]) / Table1[[#This Row],[std_dev]]</f>
        <v>-0.89432424735567873</v>
      </c>
      <c r="K6382">
        <f>AVERAGEIF(Table1[CountryCode],Table1[[#This Row],[CountryCode]],Table1[z-score])</f>
        <v>-0.61357720348444234</v>
      </c>
      <c r="L6382" t="e">
        <f>VLOOKUP(Table1[[#This Row],[CountryCode]],[1]!Table1[#All],1,FALSE)</f>
        <v>#REF!</v>
      </c>
    </row>
    <row r="6383" spans="1:12" hidden="1" x14ac:dyDescent="0.3">
      <c r="A6383" t="s">
        <v>85</v>
      </c>
      <c r="B6383" t="s">
        <v>86</v>
      </c>
      <c r="C6383" t="s">
        <v>127</v>
      </c>
      <c r="D6383" t="s">
        <v>128</v>
      </c>
      <c r="E6383">
        <v>1999</v>
      </c>
      <c r="F6383" s="1">
        <v>1316</v>
      </c>
      <c r="G6383">
        <v>2000</v>
      </c>
      <c r="H6383">
        <f>AVERAGEIFS(Table1[value],Table1[IndicatorCode],Table1[[#This Row],[IndicatorCode]])</f>
        <v>24902.88753799392</v>
      </c>
      <c r="I6383" cm="1">
        <f t="array" ref="I6383">_xlfn.STDEV.P(IF(Table1[IndicatorCode]=Table1[[#This Row],[IndicatorCode]],Table1[value]))</f>
        <v>26324.778297809873</v>
      </c>
      <c r="J6383">
        <f>(Table1[[#This Row],[value]] - Table1[[#This Row],[mean]]) / Table1[[#This Row],[std_dev]]</f>
        <v>-0.89599567643676092</v>
      </c>
      <c r="K6383">
        <f>AVERAGEIF(Table1[CountryCode],Table1[[#This Row],[CountryCode]],Table1[z-score])</f>
        <v>-0.61357720348444234</v>
      </c>
      <c r="L6383" t="e">
        <f>VLOOKUP(Table1[[#This Row],[CountryCode]],[1]!Table1[#All],1,FALSE)</f>
        <v>#REF!</v>
      </c>
    </row>
    <row r="6384" spans="1:12" hidden="1" x14ac:dyDescent="0.3">
      <c r="A6384" t="s">
        <v>85</v>
      </c>
      <c r="B6384" t="s">
        <v>86</v>
      </c>
      <c r="C6384" t="s">
        <v>127</v>
      </c>
      <c r="D6384" t="s">
        <v>128</v>
      </c>
      <c r="E6384">
        <v>2000</v>
      </c>
      <c r="F6384" s="1">
        <v>1347</v>
      </c>
      <c r="G6384">
        <v>2000</v>
      </c>
      <c r="H6384">
        <f>AVERAGEIFS(Table1[value],Table1[IndicatorCode],Table1[[#This Row],[IndicatorCode]])</f>
        <v>24902.88753799392</v>
      </c>
      <c r="I6384" cm="1">
        <f t="array" ref="I6384">_xlfn.STDEV.P(IF(Table1[IndicatorCode]=Table1[[#This Row],[IndicatorCode]],Table1[value]))</f>
        <v>26324.778297809873</v>
      </c>
      <c r="J6384">
        <f>(Table1[[#This Row],[value]] - Table1[[#This Row],[mean]]) / Table1[[#This Row],[std_dev]]</f>
        <v>-0.89481807867508933</v>
      </c>
      <c r="K6384">
        <f>AVERAGEIF(Table1[CountryCode],Table1[[#This Row],[CountryCode]],Table1[z-score])</f>
        <v>-0.61357720348444234</v>
      </c>
      <c r="L6384" t="e">
        <f>VLOOKUP(Table1[[#This Row],[CountryCode]],[1]!Table1[#All],1,FALSE)</f>
        <v>#REF!</v>
      </c>
    </row>
    <row r="6385" spans="1:12" hidden="1" x14ac:dyDescent="0.3">
      <c r="A6385" t="s">
        <v>85</v>
      </c>
      <c r="B6385" t="s">
        <v>86</v>
      </c>
      <c r="C6385" t="s">
        <v>127</v>
      </c>
      <c r="D6385" t="s">
        <v>128</v>
      </c>
      <c r="E6385">
        <v>2001</v>
      </c>
      <c r="F6385" s="1">
        <v>1432</v>
      </c>
      <c r="G6385">
        <v>2000</v>
      </c>
      <c r="H6385">
        <f>AVERAGEIFS(Table1[value],Table1[IndicatorCode],Table1[[#This Row],[IndicatorCode]])</f>
        <v>24902.88753799392</v>
      </c>
      <c r="I6385" cm="1">
        <f t="array" ref="I6385">_xlfn.STDEV.P(IF(Table1[IndicatorCode]=Table1[[#This Row],[IndicatorCode]],Table1[value]))</f>
        <v>26324.778297809873</v>
      </c>
      <c r="J6385">
        <f>(Table1[[#This Row],[value]] - Table1[[#This Row],[mean]]) / Table1[[#This Row],[std_dev]]</f>
        <v>-0.89158918158663514</v>
      </c>
      <c r="K6385">
        <f>AVERAGEIF(Table1[CountryCode],Table1[[#This Row],[CountryCode]],Table1[z-score])</f>
        <v>-0.61357720348444234</v>
      </c>
      <c r="L6385" t="e">
        <f>VLOOKUP(Table1[[#This Row],[CountryCode]],[1]!Table1[#All],1,FALSE)</f>
        <v>#REF!</v>
      </c>
    </row>
    <row r="6386" spans="1:12" hidden="1" x14ac:dyDescent="0.3">
      <c r="A6386" t="s">
        <v>85</v>
      </c>
      <c r="B6386" t="s">
        <v>86</v>
      </c>
      <c r="C6386" t="s">
        <v>127</v>
      </c>
      <c r="D6386" t="s">
        <v>128</v>
      </c>
      <c r="E6386">
        <v>2002</v>
      </c>
      <c r="F6386" s="1">
        <v>1548</v>
      </c>
      <c r="G6386">
        <v>2000</v>
      </c>
      <c r="H6386">
        <f>AVERAGEIFS(Table1[value],Table1[IndicatorCode],Table1[[#This Row],[IndicatorCode]])</f>
        <v>24902.88753799392</v>
      </c>
      <c r="I6386" cm="1">
        <f t="array" ref="I6386">_xlfn.STDEV.P(IF(Table1[IndicatorCode]=Table1[[#This Row],[IndicatorCode]],Table1[value]))</f>
        <v>26324.778297809873</v>
      </c>
      <c r="J6386">
        <f>(Table1[[#This Row],[value]] - Table1[[#This Row],[mean]]) / Table1[[#This Row],[std_dev]]</f>
        <v>-0.88718268673650946</v>
      </c>
      <c r="K6386">
        <f>AVERAGEIF(Table1[CountryCode],Table1[[#This Row],[CountryCode]],Table1[z-score])</f>
        <v>-0.61357720348444234</v>
      </c>
      <c r="L6386" t="e">
        <f>VLOOKUP(Table1[[#This Row],[CountryCode]],[1]!Table1[#All],1,FALSE)</f>
        <v>#REF!</v>
      </c>
    </row>
    <row r="6387" spans="1:12" hidden="1" x14ac:dyDescent="0.3">
      <c r="A6387" t="s">
        <v>85</v>
      </c>
      <c r="B6387" t="s">
        <v>86</v>
      </c>
      <c r="C6387" t="s">
        <v>127</v>
      </c>
      <c r="D6387" t="s">
        <v>128</v>
      </c>
      <c r="E6387">
        <v>2003</v>
      </c>
      <c r="F6387" s="1">
        <v>1654</v>
      </c>
      <c r="G6387">
        <v>2000</v>
      </c>
      <c r="H6387">
        <f>AVERAGEIFS(Table1[value],Table1[IndicatorCode],Table1[[#This Row],[IndicatorCode]])</f>
        <v>24902.88753799392</v>
      </c>
      <c r="I6387" cm="1">
        <f t="array" ref="I6387">_xlfn.STDEV.P(IF(Table1[IndicatorCode]=Table1[[#This Row],[IndicatorCode]],Table1[value]))</f>
        <v>26324.778297809873</v>
      </c>
      <c r="J6387">
        <f>(Table1[[#This Row],[value]] - Table1[[#This Row],[mean]]) / Table1[[#This Row],[std_dev]]</f>
        <v>-0.88315606213208431</v>
      </c>
      <c r="K6387">
        <f>AVERAGEIF(Table1[CountryCode],Table1[[#This Row],[CountryCode]],Table1[z-score])</f>
        <v>-0.61357720348444234</v>
      </c>
      <c r="L6387" t="e">
        <f>VLOOKUP(Table1[[#This Row],[CountryCode]],[1]!Table1[#All],1,FALSE)</f>
        <v>#REF!</v>
      </c>
    </row>
    <row r="6388" spans="1:12" hidden="1" x14ac:dyDescent="0.3">
      <c r="A6388" t="s">
        <v>85</v>
      </c>
      <c r="B6388" t="s">
        <v>86</v>
      </c>
      <c r="C6388" t="s">
        <v>127</v>
      </c>
      <c r="D6388" t="s">
        <v>128</v>
      </c>
      <c r="E6388">
        <v>2004</v>
      </c>
      <c r="F6388" s="1">
        <v>1781</v>
      </c>
      <c r="G6388">
        <v>2000</v>
      </c>
      <c r="H6388">
        <f>AVERAGEIFS(Table1[value],Table1[IndicatorCode],Table1[[#This Row],[IndicatorCode]])</f>
        <v>24902.88753799392</v>
      </c>
      <c r="I6388" cm="1">
        <f t="array" ref="I6388">_xlfn.STDEV.P(IF(Table1[IndicatorCode]=Table1[[#This Row],[IndicatorCode]],Table1[value]))</f>
        <v>26324.778297809873</v>
      </c>
      <c r="J6388">
        <f>(Table1[[#This Row],[value]] - Table1[[#This Row],[mean]]) / Table1[[#This Row],[std_dev]]</f>
        <v>-0.87833171001168808</v>
      </c>
      <c r="K6388">
        <f>AVERAGEIF(Table1[CountryCode],Table1[[#This Row],[CountryCode]],Table1[z-score])</f>
        <v>-0.61357720348444234</v>
      </c>
      <c r="L6388" t="e">
        <f>VLOOKUP(Table1[[#This Row],[CountryCode]],[1]!Table1[#All],1,FALSE)</f>
        <v>#REF!</v>
      </c>
    </row>
    <row r="6389" spans="1:12" hidden="1" x14ac:dyDescent="0.3">
      <c r="A6389" t="s">
        <v>85</v>
      </c>
      <c r="B6389" t="s">
        <v>86</v>
      </c>
      <c r="C6389" t="s">
        <v>127</v>
      </c>
      <c r="D6389" t="s">
        <v>128</v>
      </c>
      <c r="E6389">
        <v>2005</v>
      </c>
      <c r="F6389" s="1">
        <v>1919</v>
      </c>
      <c r="G6389">
        <v>2000</v>
      </c>
      <c r="H6389">
        <f>AVERAGEIFS(Table1[value],Table1[IndicatorCode],Table1[[#This Row],[IndicatorCode]])</f>
        <v>24902.88753799392</v>
      </c>
      <c r="I6389" cm="1">
        <f t="array" ref="I6389">_xlfn.STDEV.P(IF(Table1[IndicatorCode]=Table1[[#This Row],[IndicatorCode]],Table1[value]))</f>
        <v>26324.778297809873</v>
      </c>
      <c r="J6389">
        <f>(Table1[[#This Row],[value]] - Table1[[#This Row],[mean]]) / Table1[[#This Row],[std_dev]]</f>
        <v>-0.87308950062102131</v>
      </c>
      <c r="K6389">
        <f>AVERAGEIF(Table1[CountryCode],Table1[[#This Row],[CountryCode]],Table1[z-score])</f>
        <v>-0.61357720348444234</v>
      </c>
      <c r="L6389" t="e">
        <f>VLOOKUP(Table1[[#This Row],[CountryCode]],[1]!Table1[#All],1,FALSE)</f>
        <v>#REF!</v>
      </c>
    </row>
    <row r="6390" spans="1:12" hidden="1" x14ac:dyDescent="0.3">
      <c r="A6390" t="s">
        <v>85</v>
      </c>
      <c r="B6390" t="s">
        <v>86</v>
      </c>
      <c r="C6390" t="s">
        <v>127</v>
      </c>
      <c r="D6390" t="s">
        <v>128</v>
      </c>
      <c r="E6390">
        <v>2006</v>
      </c>
      <c r="F6390" s="1">
        <v>2017</v>
      </c>
      <c r="G6390">
        <v>2000</v>
      </c>
      <c r="H6390">
        <f>AVERAGEIFS(Table1[value],Table1[IndicatorCode],Table1[[#This Row],[IndicatorCode]])</f>
        <v>24902.88753799392</v>
      </c>
      <c r="I6390" cm="1">
        <f t="array" ref="I6390">_xlfn.STDEV.P(IF(Table1[IndicatorCode]=Table1[[#This Row],[IndicatorCode]],Table1[value]))</f>
        <v>26324.778297809873</v>
      </c>
      <c r="J6390">
        <f>(Table1[[#This Row],[value]] - Table1[[#This Row],[mean]]) / Table1[[#This Row],[std_dev]]</f>
        <v>-0.86936677221315639</v>
      </c>
      <c r="K6390">
        <f>AVERAGEIF(Table1[CountryCode],Table1[[#This Row],[CountryCode]],Table1[z-score])</f>
        <v>-0.61357720348444234</v>
      </c>
      <c r="L6390" t="e">
        <f>VLOOKUP(Table1[[#This Row],[CountryCode]],[1]!Table1[#All],1,FALSE)</f>
        <v>#REF!</v>
      </c>
    </row>
    <row r="6391" spans="1:12" hidden="1" x14ac:dyDescent="0.3">
      <c r="A6391" t="s">
        <v>85</v>
      </c>
      <c r="B6391" t="s">
        <v>86</v>
      </c>
      <c r="C6391" t="s">
        <v>127</v>
      </c>
      <c r="D6391" t="s">
        <v>128</v>
      </c>
      <c r="E6391">
        <v>2007</v>
      </c>
      <c r="F6391" s="1">
        <v>2083</v>
      </c>
      <c r="G6391">
        <v>2010</v>
      </c>
      <c r="H6391">
        <f>AVERAGEIFS(Table1[value],Table1[IndicatorCode],Table1[[#This Row],[IndicatorCode]])</f>
        <v>24902.88753799392</v>
      </c>
      <c r="I6391" cm="1">
        <f t="array" ref="I6391">_xlfn.STDEV.P(IF(Table1[IndicatorCode]=Table1[[#This Row],[IndicatorCode]],Table1[value]))</f>
        <v>26324.778297809873</v>
      </c>
      <c r="J6391">
        <f>(Table1[[#This Row],[value]] - Table1[[#This Row],[mean]]) / Table1[[#This Row],[std_dev]]</f>
        <v>-0.8668596285915332</v>
      </c>
      <c r="K6391">
        <f>AVERAGEIF(Table1[CountryCode],Table1[[#This Row],[CountryCode]],Table1[z-score])</f>
        <v>-0.61357720348444234</v>
      </c>
      <c r="L6391" t="e">
        <f>VLOOKUP(Table1[[#This Row],[CountryCode]],[1]!Table1[#All],1,FALSE)</f>
        <v>#REF!</v>
      </c>
    </row>
    <row r="6392" spans="1:12" hidden="1" x14ac:dyDescent="0.3">
      <c r="A6392" t="s">
        <v>85</v>
      </c>
      <c r="B6392" t="s">
        <v>86</v>
      </c>
      <c r="C6392" t="s">
        <v>127</v>
      </c>
      <c r="D6392" t="s">
        <v>128</v>
      </c>
      <c r="E6392">
        <v>2008</v>
      </c>
      <c r="F6392" s="1">
        <v>2249</v>
      </c>
      <c r="G6392">
        <v>2010</v>
      </c>
      <c r="H6392">
        <f>AVERAGEIFS(Table1[value],Table1[IndicatorCode],Table1[[#This Row],[IndicatorCode]])</f>
        <v>24902.88753799392</v>
      </c>
      <c r="I6392" cm="1">
        <f t="array" ref="I6392">_xlfn.STDEV.P(IF(Table1[IndicatorCode]=Table1[[#This Row],[IndicatorCode]],Table1[value]))</f>
        <v>26324.778297809873</v>
      </c>
      <c r="J6392">
        <f>(Table1[[#This Row],[value]] - Table1[[#This Row],[mean]]) / Table1[[#This Row],[std_dev]]</f>
        <v>-0.86055378251290504</v>
      </c>
      <c r="K6392">
        <f>AVERAGEIF(Table1[CountryCode],Table1[[#This Row],[CountryCode]],Table1[z-score])</f>
        <v>-0.61357720348444234</v>
      </c>
      <c r="L6392" t="e">
        <f>VLOOKUP(Table1[[#This Row],[CountryCode]],[1]!Table1[#All],1,FALSE)</f>
        <v>#REF!</v>
      </c>
    </row>
    <row r="6393" spans="1:12" hidden="1" x14ac:dyDescent="0.3">
      <c r="A6393" t="s">
        <v>85</v>
      </c>
      <c r="B6393" t="s">
        <v>86</v>
      </c>
      <c r="C6393" t="s">
        <v>127</v>
      </c>
      <c r="D6393" t="s">
        <v>128</v>
      </c>
      <c r="E6393">
        <v>2009</v>
      </c>
      <c r="F6393" s="1">
        <v>2117</v>
      </c>
      <c r="G6393">
        <v>2010</v>
      </c>
      <c r="H6393">
        <f>AVERAGEIFS(Table1[value],Table1[IndicatorCode],Table1[[#This Row],[IndicatorCode]])</f>
        <v>24902.88753799392</v>
      </c>
      <c r="I6393" cm="1">
        <f t="array" ref="I6393">_xlfn.STDEV.P(IF(Table1[IndicatorCode]=Table1[[#This Row],[IndicatorCode]],Table1[value]))</f>
        <v>26324.778297809873</v>
      </c>
      <c r="J6393">
        <f>(Table1[[#This Row],[value]] - Table1[[#This Row],[mean]]) / Table1[[#This Row],[std_dev]]</f>
        <v>-0.86556806975615153</v>
      </c>
      <c r="K6393">
        <f>AVERAGEIF(Table1[CountryCode],Table1[[#This Row],[CountryCode]],Table1[z-score])</f>
        <v>-0.61357720348444234</v>
      </c>
      <c r="L6393" t="e">
        <f>VLOOKUP(Table1[[#This Row],[CountryCode]],[1]!Table1[#All],1,FALSE)</f>
        <v>#REF!</v>
      </c>
    </row>
    <row r="6394" spans="1:12" hidden="1" x14ac:dyDescent="0.3">
      <c r="A6394" t="s">
        <v>85</v>
      </c>
      <c r="B6394" t="s">
        <v>86</v>
      </c>
      <c r="C6394" t="s">
        <v>127</v>
      </c>
      <c r="D6394" t="s">
        <v>128</v>
      </c>
      <c r="E6394">
        <v>2010</v>
      </c>
      <c r="F6394" s="1">
        <v>2270</v>
      </c>
      <c r="G6394">
        <v>2010</v>
      </c>
      <c r="H6394">
        <f>AVERAGEIFS(Table1[value],Table1[IndicatorCode],Table1[[#This Row],[IndicatorCode]])</f>
        <v>24902.88753799392</v>
      </c>
      <c r="I6394" cm="1">
        <f t="array" ref="I6394">_xlfn.STDEV.P(IF(Table1[IndicatorCode]=Table1[[#This Row],[IndicatorCode]],Table1[value]))</f>
        <v>26324.778297809873</v>
      </c>
      <c r="J6394">
        <f>(Table1[[#This Row],[value]] - Table1[[#This Row],[mean]]) / Table1[[#This Row],[std_dev]]</f>
        <v>-0.85975605499693397</v>
      </c>
      <c r="K6394">
        <f>AVERAGEIF(Table1[CountryCode],Table1[[#This Row],[CountryCode]],Table1[z-score])</f>
        <v>-0.61357720348444234</v>
      </c>
      <c r="L6394" t="e">
        <f>VLOOKUP(Table1[[#This Row],[CountryCode]],[1]!Table1[#All],1,FALSE)</f>
        <v>#REF!</v>
      </c>
    </row>
    <row r="6395" spans="1:12" hidden="1" x14ac:dyDescent="0.3">
      <c r="A6395" t="s">
        <v>85</v>
      </c>
      <c r="B6395" t="s">
        <v>86</v>
      </c>
      <c r="C6395" t="s">
        <v>127</v>
      </c>
      <c r="D6395" t="s">
        <v>128</v>
      </c>
      <c r="E6395">
        <v>2011</v>
      </c>
      <c r="F6395" s="1">
        <v>2403</v>
      </c>
      <c r="G6395">
        <v>2010</v>
      </c>
      <c r="H6395">
        <f>AVERAGEIFS(Table1[value],Table1[IndicatorCode],Table1[[#This Row],[IndicatorCode]])</f>
        <v>24902.88753799392</v>
      </c>
      <c r="I6395" cm="1">
        <f t="array" ref="I6395">_xlfn.STDEV.P(IF(Table1[IndicatorCode]=Table1[[#This Row],[IndicatorCode]],Table1[value]))</f>
        <v>26324.778297809873</v>
      </c>
      <c r="J6395">
        <f>(Table1[[#This Row],[value]] - Table1[[#This Row],[mean]]) / Table1[[#This Row],[std_dev]]</f>
        <v>-0.85470378072911746</v>
      </c>
      <c r="K6395">
        <f>AVERAGEIF(Table1[CountryCode],Table1[[#This Row],[CountryCode]],Table1[z-score])</f>
        <v>-0.61357720348444234</v>
      </c>
      <c r="L6395" t="e">
        <f>VLOOKUP(Table1[[#This Row],[CountryCode]],[1]!Table1[#All],1,FALSE)</f>
        <v>#REF!</v>
      </c>
    </row>
    <row r="6396" spans="1:12" hidden="1" x14ac:dyDescent="0.3">
      <c r="A6396" t="s">
        <v>85</v>
      </c>
      <c r="B6396" t="s">
        <v>86</v>
      </c>
      <c r="C6396" t="s">
        <v>127</v>
      </c>
      <c r="D6396" t="s">
        <v>128</v>
      </c>
      <c r="E6396">
        <v>2012</v>
      </c>
      <c r="F6396" s="1">
        <v>2389</v>
      </c>
      <c r="G6396">
        <v>2010</v>
      </c>
      <c r="H6396">
        <f>AVERAGEIFS(Table1[value],Table1[IndicatorCode],Table1[[#This Row],[IndicatorCode]])</f>
        <v>24902.88753799392</v>
      </c>
      <c r="I6396" cm="1">
        <f t="array" ref="I6396">_xlfn.STDEV.P(IF(Table1[IndicatorCode]=Table1[[#This Row],[IndicatorCode]],Table1[value]))</f>
        <v>26324.778297809873</v>
      </c>
      <c r="J6396">
        <f>(Table1[[#This Row],[value]] - Table1[[#This Row],[mean]]) / Table1[[#This Row],[std_dev]]</f>
        <v>-0.85523559907309821</v>
      </c>
      <c r="K6396">
        <f>AVERAGEIF(Table1[CountryCode],Table1[[#This Row],[CountryCode]],Table1[z-score])</f>
        <v>-0.61357720348444234</v>
      </c>
      <c r="L6396" t="e">
        <f>VLOOKUP(Table1[[#This Row],[CountryCode]],[1]!Table1[#All],1,FALSE)</f>
        <v>#REF!</v>
      </c>
    </row>
    <row r="6397" spans="1:12" hidden="1" x14ac:dyDescent="0.3">
      <c r="A6397" t="s">
        <v>85</v>
      </c>
      <c r="B6397" t="s">
        <v>86</v>
      </c>
      <c r="C6397" t="s">
        <v>127</v>
      </c>
      <c r="D6397" t="s">
        <v>128</v>
      </c>
      <c r="E6397">
        <v>2013</v>
      </c>
      <c r="F6397" s="1">
        <v>2606</v>
      </c>
      <c r="G6397">
        <v>2010</v>
      </c>
      <c r="H6397">
        <f>AVERAGEIFS(Table1[value],Table1[IndicatorCode],Table1[[#This Row],[IndicatorCode]])</f>
        <v>24902.88753799392</v>
      </c>
      <c r="I6397" cm="1">
        <f t="array" ref="I6397">_xlfn.STDEV.P(IF(Table1[IndicatorCode]=Table1[[#This Row],[IndicatorCode]],Table1[value]))</f>
        <v>26324.778297809873</v>
      </c>
      <c r="J6397">
        <f>(Table1[[#This Row],[value]] - Table1[[#This Row],[mean]]) / Table1[[#This Row],[std_dev]]</f>
        <v>-0.84699241474139753</v>
      </c>
      <c r="K6397">
        <f>AVERAGEIF(Table1[CountryCode],Table1[[#This Row],[CountryCode]],Table1[z-score])</f>
        <v>-0.61357720348444234</v>
      </c>
      <c r="L6397" t="e">
        <f>VLOOKUP(Table1[[#This Row],[CountryCode]],[1]!Table1[#All],1,FALSE)</f>
        <v>#REF!</v>
      </c>
    </row>
    <row r="6398" spans="1:12" hidden="1" x14ac:dyDescent="0.3">
      <c r="A6398" t="s">
        <v>85</v>
      </c>
      <c r="B6398" t="s">
        <v>86</v>
      </c>
      <c r="C6398" t="s">
        <v>127</v>
      </c>
      <c r="D6398" t="s">
        <v>128</v>
      </c>
      <c r="E6398">
        <v>2014</v>
      </c>
      <c r="F6398" s="1">
        <v>2738</v>
      </c>
      <c r="G6398">
        <v>2010</v>
      </c>
      <c r="H6398">
        <f>AVERAGEIFS(Table1[value],Table1[IndicatorCode],Table1[[#This Row],[IndicatorCode]])</f>
        <v>24902.88753799392</v>
      </c>
      <c r="I6398" cm="1">
        <f t="array" ref="I6398">_xlfn.STDEV.P(IF(Table1[IndicatorCode]=Table1[[#This Row],[IndicatorCode]],Table1[value]))</f>
        <v>26324.778297809873</v>
      </c>
      <c r="J6398">
        <f>(Table1[[#This Row],[value]] - Table1[[#This Row],[mean]]) / Table1[[#This Row],[std_dev]]</f>
        <v>-0.84197812749815104</v>
      </c>
      <c r="K6398">
        <f>AVERAGEIF(Table1[CountryCode],Table1[[#This Row],[CountryCode]],Table1[z-score])</f>
        <v>-0.61357720348444234</v>
      </c>
      <c r="L6398" t="e">
        <f>VLOOKUP(Table1[[#This Row],[CountryCode]],[1]!Table1[#All],1,FALSE)</f>
        <v>#REF!</v>
      </c>
    </row>
    <row r="6399" spans="1:12" hidden="1" x14ac:dyDescent="0.3">
      <c r="A6399" t="s">
        <v>85</v>
      </c>
      <c r="B6399" t="s">
        <v>86</v>
      </c>
      <c r="C6399" t="s">
        <v>127</v>
      </c>
      <c r="D6399" t="s">
        <v>128</v>
      </c>
      <c r="E6399">
        <v>2015</v>
      </c>
      <c r="F6399" s="1">
        <v>2750</v>
      </c>
      <c r="G6399">
        <v>2010</v>
      </c>
      <c r="H6399">
        <f>AVERAGEIFS(Table1[value],Table1[IndicatorCode],Table1[[#This Row],[IndicatorCode]])</f>
        <v>24902.88753799392</v>
      </c>
      <c r="I6399" cm="1">
        <f t="array" ref="I6399">_xlfn.STDEV.P(IF(Table1[IndicatorCode]=Table1[[#This Row],[IndicatorCode]],Table1[value]))</f>
        <v>26324.778297809873</v>
      </c>
      <c r="J6399">
        <f>(Table1[[#This Row],[value]] - Table1[[#This Row],[mean]]) / Table1[[#This Row],[std_dev]]</f>
        <v>-0.84152228320331046</v>
      </c>
      <c r="K6399">
        <f>AVERAGEIF(Table1[CountryCode],Table1[[#This Row],[CountryCode]],Table1[z-score])</f>
        <v>-0.61357720348444234</v>
      </c>
      <c r="L6399" t="e">
        <f>VLOOKUP(Table1[[#This Row],[CountryCode]],[1]!Table1[#All],1,FALSE)</f>
        <v>#REF!</v>
      </c>
    </row>
    <row r="6400" spans="1:12" hidden="1" x14ac:dyDescent="0.3">
      <c r="A6400" t="s">
        <v>85</v>
      </c>
      <c r="B6400" t="s">
        <v>86</v>
      </c>
      <c r="C6400" t="s">
        <v>127</v>
      </c>
      <c r="D6400" t="s">
        <v>128</v>
      </c>
      <c r="E6400">
        <v>2016</v>
      </c>
      <c r="F6400" s="1">
        <v>2911</v>
      </c>
      <c r="G6400">
        <v>2010</v>
      </c>
      <c r="H6400">
        <f>AVERAGEIFS(Table1[value],Table1[IndicatorCode],Table1[[#This Row],[IndicatorCode]])</f>
        <v>24902.88753799392</v>
      </c>
      <c r="I6400" cm="1">
        <f t="array" ref="I6400">_xlfn.STDEV.P(IF(Table1[IndicatorCode]=Table1[[#This Row],[IndicatorCode]],Table1[value]))</f>
        <v>26324.778297809873</v>
      </c>
      <c r="J6400">
        <f>(Table1[[#This Row],[value]] - Table1[[#This Row],[mean]]) / Table1[[#This Row],[std_dev]]</f>
        <v>-0.83540637224753256</v>
      </c>
      <c r="K6400">
        <f>AVERAGEIF(Table1[CountryCode],Table1[[#This Row],[CountryCode]],Table1[z-score])</f>
        <v>-0.61357720348444234</v>
      </c>
      <c r="L6400" t="e">
        <f>VLOOKUP(Table1[[#This Row],[CountryCode]],[1]!Table1[#All],1,FALSE)</f>
        <v>#REF!</v>
      </c>
    </row>
    <row r="6401" spans="1:12" hidden="1" x14ac:dyDescent="0.3">
      <c r="A6401" t="s">
        <v>85</v>
      </c>
      <c r="B6401" t="s">
        <v>86</v>
      </c>
      <c r="C6401" t="s">
        <v>127</v>
      </c>
      <c r="D6401" t="s">
        <v>128</v>
      </c>
      <c r="E6401">
        <v>2017</v>
      </c>
      <c r="F6401" s="1">
        <v>3085</v>
      </c>
      <c r="G6401">
        <v>2020</v>
      </c>
      <c r="H6401">
        <f>AVERAGEIFS(Table1[value],Table1[IndicatorCode],Table1[[#This Row],[IndicatorCode]])</f>
        <v>24902.88753799392</v>
      </c>
      <c r="I6401" cm="1">
        <f t="array" ref="I6401">_xlfn.STDEV.P(IF(Table1[IndicatorCode]=Table1[[#This Row],[IndicatorCode]],Table1[value]))</f>
        <v>26324.778297809873</v>
      </c>
      <c r="J6401">
        <f>(Table1[[#This Row],[value]] - Table1[[#This Row],[mean]]) / Table1[[#This Row],[std_dev]]</f>
        <v>-0.82879662997234393</v>
      </c>
      <c r="K6401">
        <f>AVERAGEIF(Table1[CountryCode],Table1[[#This Row],[CountryCode]],Table1[z-score])</f>
        <v>-0.61357720348444234</v>
      </c>
      <c r="L6401" t="e">
        <f>VLOOKUP(Table1[[#This Row],[CountryCode]],[1]!Table1[#All],1,FALSE)</f>
        <v>#REF!</v>
      </c>
    </row>
    <row r="6402" spans="1:12" hidden="1" x14ac:dyDescent="0.3">
      <c r="A6402" t="s">
        <v>85</v>
      </c>
      <c r="B6402" t="s">
        <v>86</v>
      </c>
      <c r="C6402" t="s">
        <v>127</v>
      </c>
      <c r="D6402" t="s">
        <v>128</v>
      </c>
      <c r="E6402">
        <v>2018</v>
      </c>
      <c r="F6402" s="1">
        <v>3268</v>
      </c>
      <c r="G6402">
        <v>2020</v>
      </c>
      <c r="H6402">
        <f>AVERAGEIFS(Table1[value],Table1[IndicatorCode],Table1[[#This Row],[IndicatorCode]])</f>
        <v>24902.88753799392</v>
      </c>
      <c r="I6402" cm="1">
        <f t="array" ref="I6402">_xlfn.STDEV.P(IF(Table1[IndicatorCode]=Table1[[#This Row],[IndicatorCode]],Table1[value]))</f>
        <v>26324.778297809873</v>
      </c>
      <c r="J6402">
        <f>(Table1[[#This Row],[value]] - Table1[[#This Row],[mean]]) / Table1[[#This Row],[std_dev]]</f>
        <v>-0.82184500447602493</v>
      </c>
      <c r="K6402">
        <f>AVERAGEIF(Table1[CountryCode],Table1[[#This Row],[CountryCode]],Table1[z-score])</f>
        <v>-0.61357720348444234</v>
      </c>
      <c r="L6402" t="e">
        <f>VLOOKUP(Table1[[#This Row],[CountryCode]],[1]!Table1[#All],1,FALSE)</f>
        <v>#REF!</v>
      </c>
    </row>
    <row r="6403" spans="1:12" hidden="1" x14ac:dyDescent="0.3">
      <c r="A6403" t="s">
        <v>85</v>
      </c>
      <c r="B6403" t="s">
        <v>86</v>
      </c>
      <c r="C6403" t="s">
        <v>127</v>
      </c>
      <c r="D6403" t="s">
        <v>128</v>
      </c>
      <c r="E6403">
        <v>2019</v>
      </c>
      <c r="F6403" s="1">
        <v>3439</v>
      </c>
      <c r="G6403">
        <v>2020</v>
      </c>
      <c r="H6403">
        <f>AVERAGEIFS(Table1[value],Table1[IndicatorCode],Table1[[#This Row],[IndicatorCode]])</f>
        <v>24902.88753799392</v>
      </c>
      <c r="I6403" cm="1">
        <f t="array" ref="I6403">_xlfn.STDEV.P(IF(Table1[IndicatorCode]=Table1[[#This Row],[IndicatorCode]],Table1[value]))</f>
        <v>26324.778297809873</v>
      </c>
      <c r="J6403">
        <f>(Table1[[#This Row],[value]] - Table1[[#This Row],[mean]]) / Table1[[#This Row],[std_dev]]</f>
        <v>-0.81534922327454651</v>
      </c>
      <c r="K6403">
        <f>AVERAGEIF(Table1[CountryCode],Table1[[#This Row],[CountryCode]],Table1[z-score])</f>
        <v>-0.61357720348444234</v>
      </c>
      <c r="L6403" t="e">
        <f>VLOOKUP(Table1[[#This Row],[CountryCode]],[1]!Table1[#All],1,FALSE)</f>
        <v>#REF!</v>
      </c>
    </row>
    <row r="6404" spans="1:12" x14ac:dyDescent="0.3">
      <c r="A6404" t="s">
        <v>45</v>
      </c>
      <c r="B6404" t="s">
        <v>46</v>
      </c>
      <c r="C6404" t="s">
        <v>127</v>
      </c>
      <c r="D6404" t="s">
        <v>128</v>
      </c>
      <c r="E6404">
        <v>2020</v>
      </c>
      <c r="F6404" s="1">
        <v>35709</v>
      </c>
      <c r="G6404">
        <v>2020</v>
      </c>
      <c r="H6404">
        <f>AVERAGEIFS(Table1[value],Table1[IndicatorCode],Table1[[#This Row],[IndicatorCode]])</f>
        <v>24902.88753799392</v>
      </c>
      <c r="I6404" cm="1">
        <f t="array" ref="I6404">_xlfn.STDEV.P(IF(Table1[IndicatorCode]=Table1[[#This Row],[IndicatorCode]],Table1[value]))</f>
        <v>26324.778297809873</v>
      </c>
      <c r="J6404">
        <f>(Table1[[#This Row],[value]] - Table1[[#This Row],[mean]]) / Table1[[#This Row],[std_dev]]</f>
        <v>0.41049205960093915</v>
      </c>
      <c r="K6404">
        <f>AVERAGEIF(Table1[CountryCode],Table1[[#This Row],[CountryCode]],Table1[z-score])</f>
        <v>0.21233679132661218</v>
      </c>
    </row>
    <row r="6405" spans="1:12" hidden="1" x14ac:dyDescent="0.3">
      <c r="A6405" t="s">
        <v>85</v>
      </c>
      <c r="B6405" t="s">
        <v>86</v>
      </c>
      <c r="C6405" t="s">
        <v>127</v>
      </c>
      <c r="D6405" t="s">
        <v>128</v>
      </c>
      <c r="E6405">
        <v>2021</v>
      </c>
      <c r="F6405" s="1">
        <v>3688</v>
      </c>
      <c r="G6405">
        <v>2020</v>
      </c>
      <c r="H6405">
        <f>AVERAGEIFS(Table1[value],Table1[IndicatorCode],Table1[[#This Row],[IndicatorCode]])</f>
        <v>24902.88753799392</v>
      </c>
      <c r="I6405" cm="1">
        <f t="array" ref="I6405">_xlfn.STDEV.P(IF(Table1[IndicatorCode]=Table1[[#This Row],[IndicatorCode]],Table1[value]))</f>
        <v>26324.778297809873</v>
      </c>
      <c r="J6405">
        <f>(Table1[[#This Row],[value]] - Table1[[#This Row],[mean]]) / Table1[[#This Row],[std_dev]]</f>
        <v>-0.80589045415660432</v>
      </c>
      <c r="K6405">
        <f>AVERAGEIF(Table1[CountryCode],Table1[[#This Row],[CountryCode]],Table1[z-score])</f>
        <v>-0.61357720348444234</v>
      </c>
      <c r="L6405" t="e">
        <f>VLOOKUP(Table1[[#This Row],[CountryCode]],[1]!Table1[#All],1,FALSE)</f>
        <v>#REF!</v>
      </c>
    </row>
    <row r="6406" spans="1:12" hidden="1" x14ac:dyDescent="0.3">
      <c r="A6406" t="s">
        <v>85</v>
      </c>
      <c r="B6406" t="s">
        <v>86</v>
      </c>
      <c r="C6406" t="s">
        <v>127</v>
      </c>
      <c r="D6406" t="s">
        <v>128</v>
      </c>
      <c r="E6406">
        <v>2022</v>
      </c>
      <c r="F6406" s="1">
        <v>3612</v>
      </c>
      <c r="G6406">
        <v>1990</v>
      </c>
      <c r="H6406">
        <f>AVERAGEIFS(Table1[value],Table1[IndicatorCode],Table1[[#This Row],[IndicatorCode]])</f>
        <v>24902.88753799392</v>
      </c>
      <c r="I6406" cm="1">
        <f t="array" ref="I6406">_xlfn.STDEV.P(IF(Table1[IndicatorCode]=Table1[[#This Row],[IndicatorCode]],Table1[value]))</f>
        <v>26324.778297809873</v>
      </c>
      <c r="J6406">
        <f>(Table1[[#This Row],[value]] - Table1[[#This Row],[mean]]) / Table1[[#This Row],[std_dev]]</f>
        <v>-0.80877746802392803</v>
      </c>
      <c r="K6406">
        <f>AVERAGEIF(Table1[CountryCode],Table1[[#This Row],[CountryCode]],Table1[z-score])</f>
        <v>-0.61357720348444234</v>
      </c>
      <c r="L6406" t="e">
        <f>VLOOKUP(Table1[[#This Row],[CountryCode]],[1]!Table1[#All],1,FALSE)</f>
        <v>#REF!</v>
      </c>
    </row>
    <row r="6407" spans="1:12" hidden="1" x14ac:dyDescent="0.3">
      <c r="A6407" t="s">
        <v>85</v>
      </c>
      <c r="B6407" t="s">
        <v>86</v>
      </c>
      <c r="C6407" t="s">
        <v>127</v>
      </c>
      <c r="D6407" t="s">
        <v>128</v>
      </c>
      <c r="E6407">
        <v>2023</v>
      </c>
      <c r="F6407" s="1">
        <v>3761</v>
      </c>
      <c r="G6407">
        <v>1990</v>
      </c>
      <c r="H6407">
        <f>AVERAGEIFS(Table1[value],Table1[IndicatorCode],Table1[[#This Row],[IndicatorCode]])</f>
        <v>24902.88753799392</v>
      </c>
      <c r="I6407" cm="1">
        <f t="array" ref="I6407">_xlfn.STDEV.P(IF(Table1[IndicatorCode]=Table1[[#This Row],[IndicatorCode]],Table1[value]))</f>
        <v>26324.778297809873</v>
      </c>
      <c r="J6407">
        <f>(Table1[[#This Row],[value]] - Table1[[#This Row],[mean]]) / Table1[[#This Row],[std_dev]]</f>
        <v>-0.8031174013629907</v>
      </c>
      <c r="K6407">
        <f>AVERAGEIF(Table1[CountryCode],Table1[[#This Row],[CountryCode]],Table1[z-score])</f>
        <v>-0.61357720348444234</v>
      </c>
      <c r="L6407" t="e">
        <f>VLOOKUP(Table1[[#This Row],[CountryCode]],[1]!Table1[#All],1,FALSE)</f>
        <v>#REF!</v>
      </c>
    </row>
    <row r="6408" spans="1:12" hidden="1" x14ac:dyDescent="0.3">
      <c r="A6408" t="s">
        <v>85</v>
      </c>
      <c r="B6408" t="s">
        <v>86</v>
      </c>
      <c r="C6408" t="s">
        <v>127</v>
      </c>
      <c r="D6408" t="s">
        <v>128</v>
      </c>
      <c r="E6408">
        <v>2024</v>
      </c>
      <c r="F6408" s="1">
        <v>3852</v>
      </c>
      <c r="G6408">
        <v>1990</v>
      </c>
      <c r="H6408">
        <f>AVERAGEIFS(Table1[value],Table1[IndicatorCode],Table1[[#This Row],[IndicatorCode]])</f>
        <v>24902.88753799392</v>
      </c>
      <c r="I6408" cm="1">
        <f t="array" ref="I6408">_xlfn.STDEV.P(IF(Table1[IndicatorCode]=Table1[[#This Row],[IndicatorCode]],Table1[value]))</f>
        <v>26324.778297809873</v>
      </c>
      <c r="J6408">
        <f>(Table1[[#This Row],[value]] - Table1[[#This Row],[mean]]) / Table1[[#This Row],[std_dev]]</f>
        <v>-0.79966058212711622</v>
      </c>
      <c r="K6408">
        <f>AVERAGEIF(Table1[CountryCode],Table1[[#This Row],[CountryCode]],Table1[z-score])</f>
        <v>-0.61357720348444234</v>
      </c>
      <c r="L6408" t="e">
        <f>VLOOKUP(Table1[[#This Row],[CountryCode]],[1]!Table1[#All],1,FALSE)</f>
        <v>#REF!</v>
      </c>
    </row>
    <row r="6409" spans="1:12" hidden="1" x14ac:dyDescent="0.3">
      <c r="A6409" t="s">
        <v>87</v>
      </c>
      <c r="B6409" t="s">
        <v>88</v>
      </c>
      <c r="C6409" t="s">
        <v>127</v>
      </c>
      <c r="D6409" t="s">
        <v>128</v>
      </c>
      <c r="E6409">
        <v>1990</v>
      </c>
      <c r="F6409" s="1">
        <v>3534</v>
      </c>
      <c r="G6409">
        <v>1990</v>
      </c>
      <c r="H6409">
        <f>AVERAGEIFS(Table1[value],Table1[IndicatorCode],Table1[[#This Row],[IndicatorCode]])</f>
        <v>24902.88753799392</v>
      </c>
      <c r="I6409" cm="1">
        <f t="array" ref="I6409">_xlfn.STDEV.P(IF(Table1[IndicatorCode]=Table1[[#This Row],[IndicatorCode]],Table1[value]))</f>
        <v>26324.778297809873</v>
      </c>
      <c r="J6409">
        <f>(Table1[[#This Row],[value]] - Table1[[#This Row],[mean]]) / Table1[[#This Row],[std_dev]]</f>
        <v>-0.8117404559403919</v>
      </c>
      <c r="K6409">
        <f>AVERAGEIF(Table1[CountryCode],Table1[[#This Row],[CountryCode]],Table1[z-score])</f>
        <v>-0.44487406992812789</v>
      </c>
      <c r="L6409" t="e">
        <f>VLOOKUP(Table1[[#This Row],[CountryCode]],[1]!Table1[#All],1,FALSE)</f>
        <v>#REF!</v>
      </c>
    </row>
    <row r="6410" spans="1:12" hidden="1" x14ac:dyDescent="0.3">
      <c r="A6410" t="s">
        <v>87</v>
      </c>
      <c r="B6410" t="s">
        <v>88</v>
      </c>
      <c r="C6410" t="s">
        <v>127</v>
      </c>
      <c r="D6410" t="s">
        <v>128</v>
      </c>
      <c r="E6410">
        <v>1991</v>
      </c>
      <c r="F6410" s="1">
        <v>3329</v>
      </c>
      <c r="G6410">
        <v>1990</v>
      </c>
      <c r="H6410">
        <f>AVERAGEIFS(Table1[value],Table1[IndicatorCode],Table1[[#This Row],[IndicatorCode]])</f>
        <v>24902.88753799392</v>
      </c>
      <c r="I6410" cm="1">
        <f t="array" ref="I6410">_xlfn.STDEV.P(IF(Table1[IndicatorCode]=Table1[[#This Row],[IndicatorCode]],Table1[value]))</f>
        <v>26324.778297809873</v>
      </c>
      <c r="J6410">
        <f>(Table1[[#This Row],[value]] - Table1[[#This Row],[mean]]) / Table1[[#This Row],[std_dev]]</f>
        <v>-0.819527795977252</v>
      </c>
      <c r="K6410">
        <f>AVERAGEIF(Table1[CountryCode],Table1[[#This Row],[CountryCode]],Table1[z-score])</f>
        <v>-0.44487406992812789</v>
      </c>
      <c r="L6410" t="e">
        <f>VLOOKUP(Table1[[#This Row],[CountryCode]],[1]!Table1[#All],1,FALSE)</f>
        <v>#REF!</v>
      </c>
    </row>
    <row r="6411" spans="1:12" hidden="1" x14ac:dyDescent="0.3">
      <c r="A6411" t="s">
        <v>87</v>
      </c>
      <c r="B6411" t="s">
        <v>88</v>
      </c>
      <c r="C6411" t="s">
        <v>127</v>
      </c>
      <c r="D6411" t="s">
        <v>128</v>
      </c>
      <c r="E6411">
        <v>1992</v>
      </c>
      <c r="F6411" s="1">
        <v>3146</v>
      </c>
      <c r="G6411">
        <v>1990</v>
      </c>
      <c r="H6411">
        <f>AVERAGEIFS(Table1[value],Table1[IndicatorCode],Table1[[#This Row],[IndicatorCode]])</f>
        <v>24902.88753799392</v>
      </c>
      <c r="I6411" cm="1">
        <f t="array" ref="I6411">_xlfn.STDEV.P(IF(Table1[IndicatorCode]=Table1[[#This Row],[IndicatorCode]],Table1[value]))</f>
        <v>26324.778297809873</v>
      </c>
      <c r="J6411">
        <f>(Table1[[#This Row],[value]] - Table1[[#This Row],[mean]]) / Table1[[#This Row],[std_dev]]</f>
        <v>-0.82647942147357101</v>
      </c>
      <c r="K6411">
        <f>AVERAGEIF(Table1[CountryCode],Table1[[#This Row],[CountryCode]],Table1[z-score])</f>
        <v>-0.44487406992812789</v>
      </c>
      <c r="L6411" t="e">
        <f>VLOOKUP(Table1[[#This Row],[CountryCode]],[1]!Table1[#All],1,FALSE)</f>
        <v>#REF!</v>
      </c>
    </row>
    <row r="6412" spans="1:12" hidden="1" x14ac:dyDescent="0.3">
      <c r="A6412" t="s">
        <v>87</v>
      </c>
      <c r="B6412" t="s">
        <v>88</v>
      </c>
      <c r="C6412" t="s">
        <v>127</v>
      </c>
      <c r="D6412" t="s">
        <v>128</v>
      </c>
      <c r="E6412">
        <v>1993</v>
      </c>
      <c r="F6412" s="1">
        <v>2948</v>
      </c>
      <c r="G6412">
        <v>1990</v>
      </c>
      <c r="H6412">
        <f>AVERAGEIFS(Table1[value],Table1[IndicatorCode],Table1[[#This Row],[IndicatorCode]])</f>
        <v>24902.88753799392</v>
      </c>
      <c r="I6412" cm="1">
        <f t="array" ref="I6412">_xlfn.STDEV.P(IF(Table1[IndicatorCode]=Table1[[#This Row],[IndicatorCode]],Table1[value]))</f>
        <v>26324.778297809873</v>
      </c>
      <c r="J6412">
        <f>(Table1[[#This Row],[value]] - Table1[[#This Row],[mean]]) / Table1[[#This Row],[std_dev]]</f>
        <v>-0.83400085233844068</v>
      </c>
      <c r="K6412">
        <f>AVERAGEIF(Table1[CountryCode],Table1[[#This Row],[CountryCode]],Table1[z-score])</f>
        <v>-0.44487406992812789</v>
      </c>
      <c r="L6412" t="e">
        <f>VLOOKUP(Table1[[#This Row],[CountryCode]],[1]!Table1[#All],1,FALSE)</f>
        <v>#REF!</v>
      </c>
    </row>
    <row r="6413" spans="1:12" hidden="1" x14ac:dyDescent="0.3">
      <c r="A6413" t="s">
        <v>87</v>
      </c>
      <c r="B6413" t="s">
        <v>88</v>
      </c>
      <c r="C6413" t="s">
        <v>127</v>
      </c>
      <c r="D6413" t="s">
        <v>128</v>
      </c>
      <c r="E6413">
        <v>1994</v>
      </c>
      <c r="F6413" s="1">
        <v>2917</v>
      </c>
      <c r="G6413">
        <v>1990</v>
      </c>
      <c r="H6413">
        <f>AVERAGEIFS(Table1[value],Table1[IndicatorCode],Table1[[#This Row],[IndicatorCode]])</f>
        <v>24902.88753799392</v>
      </c>
      <c r="I6413" cm="1">
        <f t="array" ref="I6413">_xlfn.STDEV.P(IF(Table1[IndicatorCode]=Table1[[#This Row],[IndicatorCode]],Table1[value]))</f>
        <v>26324.778297809873</v>
      </c>
      <c r="J6413">
        <f>(Table1[[#This Row],[value]] - Table1[[#This Row],[mean]]) / Table1[[#This Row],[std_dev]]</f>
        <v>-0.83517845010011227</v>
      </c>
      <c r="K6413">
        <f>AVERAGEIF(Table1[CountryCode],Table1[[#This Row],[CountryCode]],Table1[z-score])</f>
        <v>-0.44487406992812789</v>
      </c>
      <c r="L6413" t="e">
        <f>VLOOKUP(Table1[[#This Row],[CountryCode]],[1]!Table1[#All],1,FALSE)</f>
        <v>#REF!</v>
      </c>
    </row>
    <row r="6414" spans="1:12" hidden="1" x14ac:dyDescent="0.3">
      <c r="A6414" t="s">
        <v>87</v>
      </c>
      <c r="B6414" t="s">
        <v>88</v>
      </c>
      <c r="C6414" t="s">
        <v>127</v>
      </c>
      <c r="D6414" t="s">
        <v>128</v>
      </c>
      <c r="E6414">
        <v>1995</v>
      </c>
      <c r="F6414" s="1">
        <v>2876</v>
      </c>
      <c r="G6414">
        <v>1990</v>
      </c>
      <c r="H6414">
        <f>AVERAGEIFS(Table1[value],Table1[IndicatorCode],Table1[[#This Row],[IndicatorCode]])</f>
        <v>24902.88753799392</v>
      </c>
      <c r="I6414" cm="1">
        <f t="array" ref="I6414">_xlfn.STDEV.P(IF(Table1[IndicatorCode]=Table1[[#This Row],[IndicatorCode]],Table1[value]))</f>
        <v>26324.778297809873</v>
      </c>
      <c r="J6414">
        <f>(Table1[[#This Row],[value]] - Table1[[#This Row],[mean]]) / Table1[[#This Row],[std_dev]]</f>
        <v>-0.83673591810748427</v>
      </c>
      <c r="K6414">
        <f>AVERAGEIF(Table1[CountryCode],Table1[[#This Row],[CountryCode]],Table1[z-score])</f>
        <v>-0.44487406992812789</v>
      </c>
      <c r="L6414" t="e">
        <f>VLOOKUP(Table1[[#This Row],[CountryCode]],[1]!Table1[#All],1,FALSE)</f>
        <v>#REF!</v>
      </c>
    </row>
    <row r="6415" spans="1:12" hidden="1" x14ac:dyDescent="0.3">
      <c r="A6415" t="s">
        <v>87</v>
      </c>
      <c r="B6415" t="s">
        <v>88</v>
      </c>
      <c r="C6415" t="s">
        <v>127</v>
      </c>
      <c r="D6415" t="s">
        <v>128</v>
      </c>
      <c r="E6415">
        <v>1996</v>
      </c>
      <c r="F6415" s="1">
        <v>2890</v>
      </c>
      <c r="G6415">
        <v>1990</v>
      </c>
      <c r="H6415">
        <f>AVERAGEIFS(Table1[value],Table1[IndicatorCode],Table1[[#This Row],[IndicatorCode]])</f>
        <v>24902.88753799392</v>
      </c>
      <c r="I6415" cm="1">
        <f t="array" ref="I6415">_xlfn.STDEV.P(IF(Table1[IndicatorCode]=Table1[[#This Row],[IndicatorCode]],Table1[value]))</f>
        <v>26324.778297809873</v>
      </c>
      <c r="J6415">
        <f>(Table1[[#This Row],[value]] - Table1[[#This Row],[mean]]) / Table1[[#This Row],[std_dev]]</f>
        <v>-0.83620409976350352</v>
      </c>
      <c r="K6415">
        <f>AVERAGEIF(Table1[CountryCode],Table1[[#This Row],[CountryCode]],Table1[z-score])</f>
        <v>-0.44487406992812789</v>
      </c>
      <c r="L6415" t="e">
        <f>VLOOKUP(Table1[[#This Row],[CountryCode]],[1]!Table1[#All],1,FALSE)</f>
        <v>#REF!</v>
      </c>
    </row>
    <row r="6416" spans="1:12" hidden="1" x14ac:dyDescent="0.3">
      <c r="A6416" t="s">
        <v>87</v>
      </c>
      <c r="B6416" t="s">
        <v>88</v>
      </c>
      <c r="C6416" t="s">
        <v>127</v>
      </c>
      <c r="D6416" t="s">
        <v>128</v>
      </c>
      <c r="E6416">
        <v>1997</v>
      </c>
      <c r="F6416" s="1">
        <v>2955</v>
      </c>
      <c r="G6416">
        <v>2000</v>
      </c>
      <c r="H6416">
        <f>AVERAGEIFS(Table1[value],Table1[IndicatorCode],Table1[[#This Row],[IndicatorCode]])</f>
        <v>24902.88753799392</v>
      </c>
      <c r="I6416" cm="1">
        <f t="array" ref="I6416">_xlfn.STDEV.P(IF(Table1[IndicatorCode]=Table1[[#This Row],[IndicatorCode]],Table1[value]))</f>
        <v>26324.778297809873</v>
      </c>
      <c r="J6416">
        <f>(Table1[[#This Row],[value]] - Table1[[#This Row],[mean]]) / Table1[[#This Row],[std_dev]]</f>
        <v>-0.83373494316645036</v>
      </c>
      <c r="K6416">
        <f>AVERAGEIF(Table1[CountryCode],Table1[[#This Row],[CountryCode]],Table1[z-score])</f>
        <v>-0.44487406992812789</v>
      </c>
      <c r="L6416" t="e">
        <f>VLOOKUP(Table1[[#This Row],[CountryCode]],[1]!Table1[#All],1,FALSE)</f>
        <v>#REF!</v>
      </c>
    </row>
    <row r="6417" spans="1:12" hidden="1" x14ac:dyDescent="0.3">
      <c r="A6417" t="s">
        <v>87</v>
      </c>
      <c r="B6417" t="s">
        <v>88</v>
      </c>
      <c r="C6417" t="s">
        <v>127</v>
      </c>
      <c r="D6417" t="s">
        <v>128</v>
      </c>
      <c r="E6417">
        <v>1998</v>
      </c>
      <c r="F6417" s="1">
        <v>3038</v>
      </c>
      <c r="G6417">
        <v>2000</v>
      </c>
      <c r="H6417">
        <f>AVERAGEIFS(Table1[value],Table1[IndicatorCode],Table1[[#This Row],[IndicatorCode]])</f>
        <v>24902.88753799392</v>
      </c>
      <c r="I6417" cm="1">
        <f t="array" ref="I6417">_xlfn.STDEV.P(IF(Table1[IndicatorCode]=Table1[[#This Row],[IndicatorCode]],Table1[value]))</f>
        <v>26324.778297809873</v>
      </c>
      <c r="J6417">
        <f>(Table1[[#This Row],[value]] - Table1[[#This Row],[mean]]) / Table1[[#This Row],[std_dev]]</f>
        <v>-0.83058202012713622</v>
      </c>
      <c r="K6417">
        <f>AVERAGEIF(Table1[CountryCode],Table1[[#This Row],[CountryCode]],Table1[z-score])</f>
        <v>-0.44487406992812789</v>
      </c>
      <c r="L6417" t="e">
        <f>VLOOKUP(Table1[[#This Row],[CountryCode]],[1]!Table1[#All],1,FALSE)</f>
        <v>#REF!</v>
      </c>
    </row>
    <row r="6418" spans="1:12" hidden="1" x14ac:dyDescent="0.3">
      <c r="A6418" t="s">
        <v>87</v>
      </c>
      <c r="B6418" t="s">
        <v>88</v>
      </c>
      <c r="C6418" t="s">
        <v>127</v>
      </c>
      <c r="D6418" t="s">
        <v>128</v>
      </c>
      <c r="E6418">
        <v>1999</v>
      </c>
      <c r="F6418" s="1">
        <v>3155</v>
      </c>
      <c r="G6418">
        <v>2000</v>
      </c>
      <c r="H6418">
        <f>AVERAGEIFS(Table1[value],Table1[IndicatorCode],Table1[[#This Row],[IndicatorCode]])</f>
        <v>24902.88753799392</v>
      </c>
      <c r="I6418" cm="1">
        <f t="array" ref="I6418">_xlfn.STDEV.P(IF(Table1[IndicatorCode]=Table1[[#This Row],[IndicatorCode]],Table1[value]))</f>
        <v>26324.778297809873</v>
      </c>
      <c r="J6418">
        <f>(Table1[[#This Row],[value]] - Table1[[#This Row],[mean]]) / Table1[[#This Row],[std_dev]]</f>
        <v>-0.82613753825244052</v>
      </c>
      <c r="K6418">
        <f>AVERAGEIF(Table1[CountryCode],Table1[[#This Row],[CountryCode]],Table1[z-score])</f>
        <v>-0.44487406992812789</v>
      </c>
      <c r="L6418" t="e">
        <f>VLOOKUP(Table1[[#This Row],[CountryCode]],[1]!Table1[#All],1,FALSE)</f>
        <v>#REF!</v>
      </c>
    </row>
    <row r="6419" spans="1:12" hidden="1" x14ac:dyDescent="0.3">
      <c r="A6419" t="s">
        <v>87</v>
      </c>
      <c r="B6419" t="s">
        <v>88</v>
      </c>
      <c r="C6419" t="s">
        <v>127</v>
      </c>
      <c r="D6419" t="s">
        <v>128</v>
      </c>
      <c r="E6419">
        <v>2000</v>
      </c>
      <c r="F6419" s="1">
        <v>3283</v>
      </c>
      <c r="G6419">
        <v>2000</v>
      </c>
      <c r="H6419">
        <f>AVERAGEIFS(Table1[value],Table1[IndicatorCode],Table1[[#This Row],[IndicatorCode]])</f>
        <v>24902.88753799392</v>
      </c>
      <c r="I6419" cm="1">
        <f t="array" ref="I6419">_xlfn.STDEV.P(IF(Table1[IndicatorCode]=Table1[[#This Row],[IndicatorCode]],Table1[value]))</f>
        <v>26324.778297809873</v>
      </c>
      <c r="J6419">
        <f>(Table1[[#This Row],[value]] - Table1[[#This Row],[mean]]) / Table1[[#This Row],[std_dev]]</f>
        <v>-0.82127519910747426</v>
      </c>
      <c r="K6419">
        <f>AVERAGEIF(Table1[CountryCode],Table1[[#This Row],[CountryCode]],Table1[z-score])</f>
        <v>-0.44487406992812789</v>
      </c>
      <c r="L6419" t="e">
        <f>VLOOKUP(Table1[[#This Row],[CountryCode]],[1]!Table1[#All],1,FALSE)</f>
        <v>#REF!</v>
      </c>
    </row>
    <row r="6420" spans="1:12" hidden="1" x14ac:dyDescent="0.3">
      <c r="A6420" t="s">
        <v>87</v>
      </c>
      <c r="B6420" t="s">
        <v>88</v>
      </c>
      <c r="C6420" t="s">
        <v>127</v>
      </c>
      <c r="D6420" t="s">
        <v>128</v>
      </c>
      <c r="E6420">
        <v>2001</v>
      </c>
      <c r="F6420" s="1">
        <v>3169</v>
      </c>
      <c r="G6420">
        <v>2000</v>
      </c>
      <c r="H6420">
        <f>AVERAGEIFS(Table1[value],Table1[IndicatorCode],Table1[[#This Row],[IndicatorCode]])</f>
        <v>24902.88753799392</v>
      </c>
      <c r="I6420" cm="1">
        <f t="array" ref="I6420">_xlfn.STDEV.P(IF(Table1[IndicatorCode]=Table1[[#This Row],[IndicatorCode]],Table1[value]))</f>
        <v>26324.778297809873</v>
      </c>
      <c r="J6420">
        <f>(Table1[[#This Row],[value]] - Table1[[#This Row],[mean]]) / Table1[[#This Row],[std_dev]]</f>
        <v>-0.82560571990845988</v>
      </c>
      <c r="K6420">
        <f>AVERAGEIF(Table1[CountryCode],Table1[[#This Row],[CountryCode]],Table1[z-score])</f>
        <v>-0.44487406992812789</v>
      </c>
      <c r="L6420" t="e">
        <f>VLOOKUP(Table1[[#This Row],[CountryCode]],[1]!Table1[#All],1,FALSE)</f>
        <v>#REF!</v>
      </c>
    </row>
    <row r="6421" spans="1:12" hidden="1" x14ac:dyDescent="0.3">
      <c r="A6421" t="s">
        <v>87</v>
      </c>
      <c r="B6421" t="s">
        <v>88</v>
      </c>
      <c r="C6421" t="s">
        <v>127</v>
      </c>
      <c r="D6421" t="s">
        <v>128</v>
      </c>
      <c r="E6421">
        <v>2002</v>
      </c>
      <c r="F6421" s="1">
        <v>3240</v>
      </c>
      <c r="G6421">
        <v>2000</v>
      </c>
      <c r="H6421">
        <f>AVERAGEIFS(Table1[value],Table1[IndicatorCode],Table1[[#This Row],[IndicatorCode]])</f>
        <v>24902.88753799392</v>
      </c>
      <c r="I6421" cm="1">
        <f t="array" ref="I6421">_xlfn.STDEV.P(IF(Table1[IndicatorCode]=Table1[[#This Row],[IndicatorCode]],Table1[value]))</f>
        <v>26324.778297809873</v>
      </c>
      <c r="J6421">
        <f>(Table1[[#This Row],[value]] - Table1[[#This Row],[mean]]) / Table1[[#This Row],[std_dev]]</f>
        <v>-0.82290864116398632</v>
      </c>
      <c r="K6421">
        <f>AVERAGEIF(Table1[CountryCode],Table1[[#This Row],[CountryCode]],Table1[z-score])</f>
        <v>-0.44487406992812789</v>
      </c>
      <c r="L6421" t="e">
        <f>VLOOKUP(Table1[[#This Row],[CountryCode]],[1]!Table1[#All],1,FALSE)</f>
        <v>#REF!</v>
      </c>
    </row>
    <row r="6422" spans="1:12" hidden="1" x14ac:dyDescent="0.3">
      <c r="A6422" t="s">
        <v>87</v>
      </c>
      <c r="B6422" t="s">
        <v>88</v>
      </c>
      <c r="C6422" t="s">
        <v>127</v>
      </c>
      <c r="D6422" t="s">
        <v>128</v>
      </c>
      <c r="E6422">
        <v>2003</v>
      </c>
      <c r="F6422" s="1">
        <v>3308</v>
      </c>
      <c r="G6422">
        <v>2000</v>
      </c>
      <c r="H6422">
        <f>AVERAGEIFS(Table1[value],Table1[IndicatorCode],Table1[[#This Row],[IndicatorCode]])</f>
        <v>24902.88753799392</v>
      </c>
      <c r="I6422" cm="1">
        <f t="array" ref="I6422">_xlfn.STDEV.P(IF(Table1[IndicatorCode]=Table1[[#This Row],[IndicatorCode]],Table1[value]))</f>
        <v>26324.778297809873</v>
      </c>
      <c r="J6422">
        <f>(Table1[[#This Row],[value]] - Table1[[#This Row],[mean]]) / Table1[[#This Row],[std_dev]]</f>
        <v>-0.82032552349322296</v>
      </c>
      <c r="K6422">
        <f>AVERAGEIF(Table1[CountryCode],Table1[[#This Row],[CountryCode]],Table1[z-score])</f>
        <v>-0.44487406992812789</v>
      </c>
      <c r="L6422" t="e">
        <f>VLOOKUP(Table1[[#This Row],[CountryCode]],[1]!Table1[#All],1,FALSE)</f>
        <v>#REF!</v>
      </c>
    </row>
    <row r="6423" spans="1:12" hidden="1" x14ac:dyDescent="0.3">
      <c r="A6423" t="s">
        <v>87</v>
      </c>
      <c r="B6423" t="s">
        <v>88</v>
      </c>
      <c r="C6423" t="s">
        <v>127</v>
      </c>
      <c r="D6423" t="s">
        <v>128</v>
      </c>
      <c r="E6423">
        <v>2004</v>
      </c>
      <c r="F6423" s="1">
        <v>3474</v>
      </c>
      <c r="G6423">
        <v>2000</v>
      </c>
      <c r="H6423">
        <f>AVERAGEIFS(Table1[value],Table1[IndicatorCode],Table1[[#This Row],[IndicatorCode]])</f>
        <v>24902.88753799392</v>
      </c>
      <c r="I6423" cm="1">
        <f t="array" ref="I6423">_xlfn.STDEV.P(IF(Table1[IndicatorCode]=Table1[[#This Row],[IndicatorCode]],Table1[value]))</f>
        <v>26324.778297809873</v>
      </c>
      <c r="J6423">
        <f>(Table1[[#This Row],[value]] - Table1[[#This Row],[mean]]) / Table1[[#This Row],[std_dev]]</f>
        <v>-0.8140196774145948</v>
      </c>
      <c r="K6423">
        <f>AVERAGEIF(Table1[CountryCode],Table1[[#This Row],[CountryCode]],Table1[z-score])</f>
        <v>-0.44487406992812789</v>
      </c>
      <c r="L6423" t="e">
        <f>VLOOKUP(Table1[[#This Row],[CountryCode]],[1]!Table1[#All],1,FALSE)</f>
        <v>#REF!</v>
      </c>
    </row>
    <row r="6424" spans="1:12" hidden="1" x14ac:dyDescent="0.3">
      <c r="A6424" t="s">
        <v>87</v>
      </c>
      <c r="B6424" t="s">
        <v>88</v>
      </c>
      <c r="C6424" t="s">
        <v>127</v>
      </c>
      <c r="D6424" t="s">
        <v>128</v>
      </c>
      <c r="E6424">
        <v>2005</v>
      </c>
      <c r="F6424" s="1">
        <v>3658</v>
      </c>
      <c r="G6424">
        <v>2000</v>
      </c>
      <c r="H6424">
        <f>AVERAGEIFS(Table1[value],Table1[IndicatorCode],Table1[[#This Row],[IndicatorCode]])</f>
        <v>24902.88753799392</v>
      </c>
      <c r="I6424" cm="1">
        <f t="array" ref="I6424">_xlfn.STDEV.P(IF(Table1[IndicatorCode]=Table1[[#This Row],[IndicatorCode]],Table1[value]))</f>
        <v>26324.778297809873</v>
      </c>
      <c r="J6424">
        <f>(Table1[[#This Row],[value]] - Table1[[#This Row],[mean]]) / Table1[[#This Row],[std_dev]]</f>
        <v>-0.80703006489370577</v>
      </c>
      <c r="K6424">
        <f>AVERAGEIF(Table1[CountryCode],Table1[[#This Row],[CountryCode]],Table1[z-score])</f>
        <v>-0.44487406992812789</v>
      </c>
      <c r="L6424" t="e">
        <f>VLOOKUP(Table1[[#This Row],[CountryCode]],[1]!Table1[#All],1,FALSE)</f>
        <v>#REF!</v>
      </c>
    </row>
    <row r="6425" spans="1:12" hidden="1" x14ac:dyDescent="0.3">
      <c r="A6425" t="s">
        <v>87</v>
      </c>
      <c r="B6425" t="s">
        <v>88</v>
      </c>
      <c r="C6425" t="s">
        <v>127</v>
      </c>
      <c r="D6425" t="s">
        <v>128</v>
      </c>
      <c r="E6425">
        <v>2006</v>
      </c>
      <c r="F6425" s="1">
        <v>3867</v>
      </c>
      <c r="G6425">
        <v>2000</v>
      </c>
      <c r="H6425">
        <f>AVERAGEIFS(Table1[value],Table1[IndicatorCode],Table1[[#This Row],[IndicatorCode]])</f>
        <v>24902.88753799392</v>
      </c>
      <c r="I6425" cm="1">
        <f t="array" ref="I6425">_xlfn.STDEV.P(IF(Table1[IndicatorCode]=Table1[[#This Row],[IndicatorCode]],Table1[value]))</f>
        <v>26324.778297809873</v>
      </c>
      <c r="J6425">
        <f>(Table1[[#This Row],[value]] - Table1[[#This Row],[mean]]) / Table1[[#This Row],[std_dev]]</f>
        <v>-0.79909077675856555</v>
      </c>
      <c r="K6425">
        <f>AVERAGEIF(Table1[CountryCode],Table1[[#This Row],[CountryCode]],Table1[z-score])</f>
        <v>-0.44487406992812789</v>
      </c>
      <c r="L6425" t="e">
        <f>VLOOKUP(Table1[[#This Row],[CountryCode]],[1]!Table1[#All],1,FALSE)</f>
        <v>#REF!</v>
      </c>
    </row>
    <row r="6426" spans="1:12" hidden="1" x14ac:dyDescent="0.3">
      <c r="A6426" t="s">
        <v>87</v>
      </c>
      <c r="B6426" t="s">
        <v>88</v>
      </c>
      <c r="C6426" t="s">
        <v>127</v>
      </c>
      <c r="D6426" t="s">
        <v>128</v>
      </c>
      <c r="E6426">
        <v>2007</v>
      </c>
      <c r="F6426" s="1">
        <v>4141</v>
      </c>
      <c r="G6426">
        <v>2010</v>
      </c>
      <c r="H6426">
        <f>AVERAGEIFS(Table1[value],Table1[IndicatorCode],Table1[[#This Row],[IndicatorCode]])</f>
        <v>24902.88753799392</v>
      </c>
      <c r="I6426" cm="1">
        <f t="array" ref="I6426">_xlfn.STDEV.P(IF(Table1[IndicatorCode]=Table1[[#This Row],[IndicatorCode]],Table1[value]))</f>
        <v>26324.778297809873</v>
      </c>
      <c r="J6426">
        <f>(Table1[[#This Row],[value]] - Table1[[#This Row],[mean]]) / Table1[[#This Row],[std_dev]]</f>
        <v>-0.78868233202637206</v>
      </c>
      <c r="K6426">
        <f>AVERAGEIF(Table1[CountryCode],Table1[[#This Row],[CountryCode]],Table1[z-score])</f>
        <v>-0.44487406992812789</v>
      </c>
      <c r="L6426" t="e">
        <f>VLOOKUP(Table1[[#This Row],[CountryCode]],[1]!Table1[#All],1,FALSE)</f>
        <v>#REF!</v>
      </c>
    </row>
    <row r="6427" spans="1:12" hidden="1" x14ac:dyDescent="0.3">
      <c r="A6427" t="s">
        <v>87</v>
      </c>
      <c r="B6427" t="s">
        <v>88</v>
      </c>
      <c r="C6427" t="s">
        <v>127</v>
      </c>
      <c r="D6427" t="s">
        <v>128</v>
      </c>
      <c r="E6427">
        <v>2008</v>
      </c>
      <c r="F6427" s="1">
        <v>4393</v>
      </c>
      <c r="G6427">
        <v>2010</v>
      </c>
      <c r="H6427">
        <f>AVERAGEIFS(Table1[value],Table1[IndicatorCode],Table1[[#This Row],[IndicatorCode]])</f>
        <v>24902.88753799392</v>
      </c>
      <c r="I6427" cm="1">
        <f t="array" ref="I6427">_xlfn.STDEV.P(IF(Table1[IndicatorCode]=Table1[[#This Row],[IndicatorCode]],Table1[value]))</f>
        <v>26324.778297809873</v>
      </c>
      <c r="J6427">
        <f>(Table1[[#This Row],[value]] - Table1[[#This Row],[mean]]) / Table1[[#This Row],[std_dev]]</f>
        <v>-0.77910960183471967</v>
      </c>
      <c r="K6427">
        <f>AVERAGEIF(Table1[CountryCode],Table1[[#This Row],[CountryCode]],Table1[z-score])</f>
        <v>-0.44487406992812789</v>
      </c>
      <c r="L6427" t="e">
        <f>VLOOKUP(Table1[[#This Row],[CountryCode]],[1]!Table1[#All],1,FALSE)</f>
        <v>#REF!</v>
      </c>
    </row>
    <row r="6428" spans="1:12" hidden="1" x14ac:dyDescent="0.3">
      <c r="A6428" t="s">
        <v>87</v>
      </c>
      <c r="B6428" t="s">
        <v>88</v>
      </c>
      <c r="C6428" t="s">
        <v>127</v>
      </c>
      <c r="D6428" t="s">
        <v>128</v>
      </c>
      <c r="E6428">
        <v>2009</v>
      </c>
      <c r="F6428" s="1">
        <v>4405</v>
      </c>
      <c r="G6428">
        <v>2010</v>
      </c>
      <c r="H6428">
        <f>AVERAGEIFS(Table1[value],Table1[IndicatorCode],Table1[[#This Row],[IndicatorCode]])</f>
        <v>24902.88753799392</v>
      </c>
      <c r="I6428" cm="1">
        <f t="array" ref="I6428">_xlfn.STDEV.P(IF(Table1[IndicatorCode]=Table1[[#This Row],[IndicatorCode]],Table1[value]))</f>
        <v>26324.778297809873</v>
      </c>
      <c r="J6428">
        <f>(Table1[[#This Row],[value]] - Table1[[#This Row],[mean]]) / Table1[[#This Row],[std_dev]]</f>
        <v>-0.77865375753987909</v>
      </c>
      <c r="K6428">
        <f>AVERAGEIF(Table1[CountryCode],Table1[[#This Row],[CountryCode]],Table1[z-score])</f>
        <v>-0.44487406992812789</v>
      </c>
      <c r="L6428" t="e">
        <f>VLOOKUP(Table1[[#This Row],[CountryCode]],[1]!Table1[#All],1,FALSE)</f>
        <v>#REF!</v>
      </c>
    </row>
    <row r="6429" spans="1:12" hidden="1" x14ac:dyDescent="0.3">
      <c r="A6429" t="s">
        <v>87</v>
      </c>
      <c r="B6429" t="s">
        <v>88</v>
      </c>
      <c r="C6429" t="s">
        <v>127</v>
      </c>
      <c r="D6429" t="s">
        <v>128</v>
      </c>
      <c r="E6429">
        <v>2010</v>
      </c>
      <c r="F6429" s="1">
        <v>4582</v>
      </c>
      <c r="G6429">
        <v>2010</v>
      </c>
      <c r="H6429">
        <f>AVERAGEIFS(Table1[value],Table1[IndicatorCode],Table1[[#This Row],[IndicatorCode]])</f>
        <v>24902.88753799392</v>
      </c>
      <c r="I6429" cm="1">
        <f t="array" ref="I6429">_xlfn.STDEV.P(IF(Table1[IndicatorCode]=Table1[[#This Row],[IndicatorCode]],Table1[value]))</f>
        <v>26324.778297809873</v>
      </c>
      <c r="J6429">
        <f>(Table1[[#This Row],[value]] - Table1[[#This Row],[mean]]) / Table1[[#This Row],[std_dev]]</f>
        <v>-0.77193005419098037</v>
      </c>
      <c r="K6429">
        <f>AVERAGEIF(Table1[CountryCode],Table1[[#This Row],[CountryCode]],Table1[z-score])</f>
        <v>-0.44487406992812789</v>
      </c>
      <c r="L6429" t="e">
        <f>VLOOKUP(Table1[[#This Row],[CountryCode]],[1]!Table1[#All],1,FALSE)</f>
        <v>#REF!</v>
      </c>
    </row>
    <row r="6430" spans="1:12" hidden="1" x14ac:dyDescent="0.3">
      <c r="A6430" t="s">
        <v>87</v>
      </c>
      <c r="B6430" t="s">
        <v>88</v>
      </c>
      <c r="C6430" t="s">
        <v>127</v>
      </c>
      <c r="D6430" t="s">
        <v>128</v>
      </c>
      <c r="E6430">
        <v>2011</v>
      </c>
      <c r="F6430" s="1">
        <v>4711</v>
      </c>
      <c r="G6430">
        <v>2010</v>
      </c>
      <c r="H6430">
        <f>AVERAGEIFS(Table1[value],Table1[IndicatorCode],Table1[[#This Row],[IndicatorCode]])</f>
        <v>24902.88753799392</v>
      </c>
      <c r="I6430" cm="1">
        <f t="array" ref="I6430">_xlfn.STDEV.P(IF(Table1[IndicatorCode]=Table1[[#This Row],[IndicatorCode]],Table1[value]))</f>
        <v>26324.778297809873</v>
      </c>
      <c r="J6430">
        <f>(Table1[[#This Row],[value]] - Table1[[#This Row],[mean]]) / Table1[[#This Row],[std_dev]]</f>
        <v>-0.76702972802144409</v>
      </c>
      <c r="K6430">
        <f>AVERAGEIF(Table1[CountryCode],Table1[[#This Row],[CountryCode]],Table1[z-score])</f>
        <v>-0.44487406992812789</v>
      </c>
      <c r="L6430" t="e">
        <f>VLOOKUP(Table1[[#This Row],[CountryCode]],[1]!Table1[#All],1,FALSE)</f>
        <v>#REF!</v>
      </c>
    </row>
    <row r="6431" spans="1:12" hidden="1" x14ac:dyDescent="0.3">
      <c r="A6431" t="s">
        <v>87</v>
      </c>
      <c r="B6431" t="s">
        <v>88</v>
      </c>
      <c r="C6431" t="s">
        <v>127</v>
      </c>
      <c r="D6431" t="s">
        <v>128</v>
      </c>
      <c r="E6431">
        <v>2012</v>
      </c>
      <c r="F6431" s="1">
        <v>4708</v>
      </c>
      <c r="G6431">
        <v>2010</v>
      </c>
      <c r="H6431">
        <f>AVERAGEIFS(Table1[value],Table1[IndicatorCode],Table1[[#This Row],[IndicatorCode]])</f>
        <v>24902.88753799392</v>
      </c>
      <c r="I6431" cm="1">
        <f t="array" ref="I6431">_xlfn.STDEV.P(IF(Table1[IndicatorCode]=Table1[[#This Row],[IndicatorCode]],Table1[value]))</f>
        <v>26324.778297809873</v>
      </c>
      <c r="J6431">
        <f>(Table1[[#This Row],[value]] - Table1[[#This Row],[mean]]) / Table1[[#This Row],[std_dev]]</f>
        <v>-0.76714368909515418</v>
      </c>
      <c r="K6431">
        <f>AVERAGEIF(Table1[CountryCode],Table1[[#This Row],[CountryCode]],Table1[z-score])</f>
        <v>-0.44487406992812789</v>
      </c>
      <c r="L6431" t="e">
        <f>VLOOKUP(Table1[[#This Row],[CountryCode]],[1]!Table1[#All],1,FALSE)</f>
        <v>#REF!</v>
      </c>
    </row>
    <row r="6432" spans="1:12" hidden="1" x14ac:dyDescent="0.3">
      <c r="A6432" t="s">
        <v>87</v>
      </c>
      <c r="B6432" t="s">
        <v>88</v>
      </c>
      <c r="C6432" t="s">
        <v>127</v>
      </c>
      <c r="D6432" t="s">
        <v>128</v>
      </c>
      <c r="E6432">
        <v>2013</v>
      </c>
      <c r="F6432" s="1">
        <v>4864</v>
      </c>
      <c r="G6432">
        <v>2010</v>
      </c>
      <c r="H6432">
        <f>AVERAGEIFS(Table1[value],Table1[IndicatorCode],Table1[[#This Row],[IndicatorCode]])</f>
        <v>24902.88753799392</v>
      </c>
      <c r="I6432" cm="1">
        <f t="array" ref="I6432">_xlfn.STDEV.P(IF(Table1[IndicatorCode]=Table1[[#This Row],[IndicatorCode]],Table1[value]))</f>
        <v>26324.778297809873</v>
      </c>
      <c r="J6432">
        <f>(Table1[[#This Row],[value]] - Table1[[#This Row],[mean]]) / Table1[[#This Row],[std_dev]]</f>
        <v>-0.76121771326222654</v>
      </c>
      <c r="K6432">
        <f>AVERAGEIF(Table1[CountryCode],Table1[[#This Row],[CountryCode]],Table1[z-score])</f>
        <v>-0.44487406992812789</v>
      </c>
      <c r="L6432" t="e">
        <f>VLOOKUP(Table1[[#This Row],[CountryCode]],[1]!Table1[#All],1,FALSE)</f>
        <v>#REF!</v>
      </c>
    </row>
    <row r="6433" spans="1:12" hidden="1" x14ac:dyDescent="0.3">
      <c r="A6433" t="s">
        <v>87</v>
      </c>
      <c r="B6433" t="s">
        <v>88</v>
      </c>
      <c r="C6433" t="s">
        <v>127</v>
      </c>
      <c r="D6433" t="s">
        <v>128</v>
      </c>
      <c r="E6433">
        <v>2014</v>
      </c>
      <c r="F6433" s="1">
        <v>5054</v>
      </c>
      <c r="G6433">
        <v>2010</v>
      </c>
      <c r="H6433">
        <f>AVERAGEIFS(Table1[value],Table1[IndicatorCode],Table1[[#This Row],[IndicatorCode]])</f>
        <v>24902.88753799392</v>
      </c>
      <c r="I6433" cm="1">
        <f t="array" ref="I6433">_xlfn.STDEV.P(IF(Table1[IndicatorCode]=Table1[[#This Row],[IndicatorCode]],Table1[value]))</f>
        <v>26324.778297809873</v>
      </c>
      <c r="J6433">
        <f>(Table1[[#This Row],[value]] - Table1[[#This Row],[mean]]) / Table1[[#This Row],[std_dev]]</f>
        <v>-0.75400017859391721</v>
      </c>
      <c r="K6433">
        <f>AVERAGEIF(Table1[CountryCode],Table1[[#This Row],[CountryCode]],Table1[z-score])</f>
        <v>-0.44487406992812789</v>
      </c>
      <c r="L6433" t="e">
        <f>VLOOKUP(Table1[[#This Row],[CountryCode]],[1]!Table1[#All],1,FALSE)</f>
        <v>#REF!</v>
      </c>
    </row>
    <row r="6434" spans="1:12" hidden="1" x14ac:dyDescent="0.3">
      <c r="A6434" t="s">
        <v>87</v>
      </c>
      <c r="B6434" t="s">
        <v>88</v>
      </c>
      <c r="C6434" t="s">
        <v>127</v>
      </c>
      <c r="D6434" t="s">
        <v>128</v>
      </c>
      <c r="E6434">
        <v>2015</v>
      </c>
      <c r="F6434" s="1">
        <v>5263</v>
      </c>
      <c r="G6434">
        <v>2010</v>
      </c>
      <c r="H6434">
        <f>AVERAGEIFS(Table1[value],Table1[IndicatorCode],Table1[[#This Row],[IndicatorCode]])</f>
        <v>24902.88753799392</v>
      </c>
      <c r="I6434" cm="1">
        <f t="array" ref="I6434">_xlfn.STDEV.P(IF(Table1[IndicatorCode]=Table1[[#This Row],[IndicatorCode]],Table1[value]))</f>
        <v>26324.778297809873</v>
      </c>
      <c r="J6434">
        <f>(Table1[[#This Row],[value]] - Table1[[#This Row],[mean]]) / Table1[[#This Row],[std_dev]]</f>
        <v>-0.74606089045877688</v>
      </c>
      <c r="K6434">
        <f>AVERAGEIF(Table1[CountryCode],Table1[[#This Row],[CountryCode]],Table1[z-score])</f>
        <v>-0.44487406992812789</v>
      </c>
      <c r="L6434" t="e">
        <f>VLOOKUP(Table1[[#This Row],[CountryCode]],[1]!Table1[#All],1,FALSE)</f>
        <v>#REF!</v>
      </c>
    </row>
    <row r="6435" spans="1:12" hidden="1" x14ac:dyDescent="0.3">
      <c r="A6435" t="s">
        <v>87</v>
      </c>
      <c r="B6435" t="s">
        <v>88</v>
      </c>
      <c r="C6435" t="s">
        <v>127</v>
      </c>
      <c r="D6435" t="s">
        <v>128</v>
      </c>
      <c r="E6435">
        <v>2016</v>
      </c>
      <c r="F6435" s="1">
        <v>5430</v>
      </c>
      <c r="G6435">
        <v>2010</v>
      </c>
      <c r="H6435">
        <f>AVERAGEIFS(Table1[value],Table1[IndicatorCode],Table1[[#This Row],[IndicatorCode]])</f>
        <v>24902.88753799392</v>
      </c>
      <c r="I6435" cm="1">
        <f t="array" ref="I6435">_xlfn.STDEV.P(IF(Table1[IndicatorCode]=Table1[[#This Row],[IndicatorCode]],Table1[value]))</f>
        <v>26324.778297809873</v>
      </c>
      <c r="J6435">
        <f>(Table1[[#This Row],[value]] - Table1[[#This Row],[mean]]) / Table1[[#This Row],[std_dev]]</f>
        <v>-0.73971705735557869</v>
      </c>
      <c r="K6435">
        <f>AVERAGEIF(Table1[CountryCode],Table1[[#This Row],[CountryCode]],Table1[z-score])</f>
        <v>-0.44487406992812789</v>
      </c>
      <c r="L6435" t="e">
        <f>VLOOKUP(Table1[[#This Row],[CountryCode]],[1]!Table1[#All],1,FALSE)</f>
        <v>#REF!</v>
      </c>
    </row>
    <row r="6436" spans="1:12" hidden="1" x14ac:dyDescent="0.3">
      <c r="A6436" t="s">
        <v>87</v>
      </c>
      <c r="B6436" t="s">
        <v>88</v>
      </c>
      <c r="C6436" t="s">
        <v>127</v>
      </c>
      <c r="D6436" t="s">
        <v>128</v>
      </c>
      <c r="E6436">
        <v>2017</v>
      </c>
      <c r="F6436" s="1">
        <v>5511</v>
      </c>
      <c r="G6436">
        <v>2020</v>
      </c>
      <c r="H6436">
        <f>AVERAGEIFS(Table1[value],Table1[IndicatorCode],Table1[[#This Row],[IndicatorCode]])</f>
        <v>24902.88753799392</v>
      </c>
      <c r="I6436" cm="1">
        <f t="array" ref="I6436">_xlfn.STDEV.P(IF(Table1[IndicatorCode]=Table1[[#This Row],[IndicatorCode]],Table1[value]))</f>
        <v>26324.778297809873</v>
      </c>
      <c r="J6436">
        <f>(Table1[[#This Row],[value]] - Table1[[#This Row],[mean]]) / Table1[[#This Row],[std_dev]]</f>
        <v>-0.73664010836540472</v>
      </c>
      <c r="K6436">
        <f>AVERAGEIF(Table1[CountryCode],Table1[[#This Row],[CountryCode]],Table1[z-score])</f>
        <v>-0.44487406992812789</v>
      </c>
      <c r="L6436" t="e">
        <f>VLOOKUP(Table1[[#This Row],[CountryCode]],[1]!Table1[#All],1,FALSE)</f>
        <v>#REF!</v>
      </c>
    </row>
    <row r="6437" spans="1:12" hidden="1" x14ac:dyDescent="0.3">
      <c r="A6437" t="s">
        <v>87</v>
      </c>
      <c r="B6437" t="s">
        <v>88</v>
      </c>
      <c r="C6437" t="s">
        <v>127</v>
      </c>
      <c r="D6437" t="s">
        <v>128</v>
      </c>
      <c r="E6437">
        <v>2018</v>
      </c>
      <c r="F6437" s="1">
        <v>5698</v>
      </c>
      <c r="G6437">
        <v>2020</v>
      </c>
      <c r="H6437">
        <f>AVERAGEIFS(Table1[value],Table1[IndicatorCode],Table1[[#This Row],[IndicatorCode]])</f>
        <v>24902.88753799392</v>
      </c>
      <c r="I6437" cm="1">
        <f t="array" ref="I6437">_xlfn.STDEV.P(IF(Table1[IndicatorCode]=Table1[[#This Row],[IndicatorCode]],Table1[value]))</f>
        <v>26324.778297809873</v>
      </c>
      <c r="J6437">
        <f>(Table1[[#This Row],[value]] - Table1[[#This Row],[mean]]) / Table1[[#This Row],[std_dev]]</f>
        <v>-0.7295365347708056</v>
      </c>
      <c r="K6437">
        <f>AVERAGEIF(Table1[CountryCode],Table1[[#This Row],[CountryCode]],Table1[z-score])</f>
        <v>-0.44487406992812789</v>
      </c>
      <c r="L6437" t="e">
        <f>VLOOKUP(Table1[[#This Row],[CountryCode]],[1]!Table1[#All],1,FALSE)</f>
        <v>#REF!</v>
      </c>
    </row>
    <row r="6438" spans="1:12" hidden="1" x14ac:dyDescent="0.3">
      <c r="A6438" t="s">
        <v>87</v>
      </c>
      <c r="B6438" t="s">
        <v>88</v>
      </c>
      <c r="C6438" t="s">
        <v>127</v>
      </c>
      <c r="D6438" t="s">
        <v>128</v>
      </c>
      <c r="E6438">
        <v>2019</v>
      </c>
      <c r="F6438" s="1">
        <v>5962</v>
      </c>
      <c r="G6438">
        <v>2020</v>
      </c>
      <c r="H6438">
        <f>AVERAGEIFS(Table1[value],Table1[IndicatorCode],Table1[[#This Row],[IndicatorCode]])</f>
        <v>24902.88753799392</v>
      </c>
      <c r="I6438" cm="1">
        <f t="array" ref="I6438">_xlfn.STDEV.P(IF(Table1[IndicatorCode]=Table1[[#This Row],[IndicatorCode]],Table1[value]))</f>
        <v>26324.778297809873</v>
      </c>
      <c r="J6438">
        <f>(Table1[[#This Row],[value]] - Table1[[#This Row],[mean]]) / Table1[[#This Row],[std_dev]]</f>
        <v>-0.71950796028431263</v>
      </c>
      <c r="K6438">
        <f>AVERAGEIF(Table1[CountryCode],Table1[[#This Row],[CountryCode]],Table1[z-score])</f>
        <v>-0.44487406992812789</v>
      </c>
      <c r="L6438" t="e">
        <f>VLOOKUP(Table1[[#This Row],[CountryCode]],[1]!Table1[#All],1,FALSE)</f>
        <v>#REF!</v>
      </c>
    </row>
    <row r="6439" spans="1:12" x14ac:dyDescent="0.3">
      <c r="A6439" t="s">
        <v>103</v>
      </c>
      <c r="B6439" t="s">
        <v>104</v>
      </c>
      <c r="C6439" t="s">
        <v>127</v>
      </c>
      <c r="D6439" t="s">
        <v>128</v>
      </c>
      <c r="E6439">
        <v>2020</v>
      </c>
      <c r="F6439" s="1">
        <v>40507</v>
      </c>
      <c r="G6439">
        <v>2020</v>
      </c>
      <c r="H6439">
        <f>AVERAGEIFS(Table1[value],Table1[IndicatorCode],Table1[[#This Row],[IndicatorCode]])</f>
        <v>24902.88753799392</v>
      </c>
      <c r="I6439" cm="1">
        <f t="array" ref="I6439">_xlfn.STDEV.P(IF(Table1[IndicatorCode]=Table1[[#This Row],[IndicatorCode]],Table1[value]))</f>
        <v>26324.778297809873</v>
      </c>
      <c r="J6439">
        <f>(Table1[[#This Row],[value]] - Table1[[#This Row],[mean]]) / Table1[[#This Row],[std_dev]]</f>
        <v>0.59275380348803497</v>
      </c>
      <c r="K6439">
        <f>AVERAGEIF(Table1[CountryCode],Table1[[#This Row],[CountryCode]],Table1[z-score])</f>
        <v>0.77730634815106903</v>
      </c>
    </row>
    <row r="6440" spans="1:12" hidden="1" x14ac:dyDescent="0.3">
      <c r="A6440" t="s">
        <v>87</v>
      </c>
      <c r="B6440" t="s">
        <v>88</v>
      </c>
      <c r="C6440" t="s">
        <v>127</v>
      </c>
      <c r="D6440" t="s">
        <v>128</v>
      </c>
      <c r="E6440">
        <v>2021</v>
      </c>
      <c r="F6440" s="1">
        <v>6065</v>
      </c>
      <c r="G6440">
        <v>2020</v>
      </c>
      <c r="H6440">
        <f>AVERAGEIFS(Table1[value],Table1[IndicatorCode],Table1[[#This Row],[IndicatorCode]])</f>
        <v>24902.88753799392</v>
      </c>
      <c r="I6440" cm="1">
        <f t="array" ref="I6440">_xlfn.STDEV.P(IF(Table1[IndicatorCode]=Table1[[#This Row],[IndicatorCode]],Table1[value]))</f>
        <v>26324.778297809873</v>
      </c>
      <c r="J6440">
        <f>(Table1[[#This Row],[value]] - Table1[[#This Row],[mean]]) / Table1[[#This Row],[std_dev]]</f>
        <v>-0.71559529675359757</v>
      </c>
      <c r="K6440">
        <f>AVERAGEIF(Table1[CountryCode],Table1[[#This Row],[CountryCode]],Table1[z-score])</f>
        <v>-0.44487406992812789</v>
      </c>
      <c r="L6440" t="e">
        <f>VLOOKUP(Table1[[#This Row],[CountryCode]],[1]!Table1[#All],1,FALSE)</f>
        <v>#REF!</v>
      </c>
    </row>
    <row r="6441" spans="1:12" hidden="1" x14ac:dyDescent="0.3">
      <c r="A6441" t="s">
        <v>87</v>
      </c>
      <c r="B6441" t="s">
        <v>88</v>
      </c>
      <c r="C6441" t="s">
        <v>127</v>
      </c>
      <c r="D6441" t="s">
        <v>128</v>
      </c>
      <c r="E6441">
        <v>2022</v>
      </c>
      <c r="F6441" s="1">
        <v>6251</v>
      </c>
      <c r="G6441">
        <v>1990</v>
      </c>
      <c r="H6441">
        <f>AVERAGEIFS(Table1[value],Table1[IndicatorCode],Table1[[#This Row],[IndicatorCode]])</f>
        <v>24902.88753799392</v>
      </c>
      <c r="I6441" cm="1">
        <f t="array" ref="I6441">_xlfn.STDEV.P(IF(Table1[IndicatorCode]=Table1[[#This Row],[IndicatorCode]],Table1[value]))</f>
        <v>26324.778297809873</v>
      </c>
      <c r="J6441">
        <f>(Table1[[#This Row],[value]] - Table1[[#This Row],[mean]]) / Table1[[#This Row],[std_dev]]</f>
        <v>-0.70852971018356836</v>
      </c>
      <c r="K6441">
        <f>AVERAGEIF(Table1[CountryCode],Table1[[#This Row],[CountryCode]],Table1[z-score])</f>
        <v>-0.44487406992812789</v>
      </c>
      <c r="L6441" t="e">
        <f>VLOOKUP(Table1[[#This Row],[CountryCode]],[1]!Table1[#All],1,FALSE)</f>
        <v>#REF!</v>
      </c>
    </row>
    <row r="6442" spans="1:12" hidden="1" x14ac:dyDescent="0.3">
      <c r="A6442" t="s">
        <v>87</v>
      </c>
      <c r="B6442" t="s">
        <v>88</v>
      </c>
      <c r="C6442" t="s">
        <v>127</v>
      </c>
      <c r="D6442" t="s">
        <v>128</v>
      </c>
      <c r="E6442">
        <v>2023</v>
      </c>
      <c r="F6442" s="1">
        <v>6424</v>
      </c>
      <c r="G6442">
        <v>1990</v>
      </c>
      <c r="H6442">
        <f>AVERAGEIFS(Table1[value],Table1[IndicatorCode],Table1[[#This Row],[IndicatorCode]])</f>
        <v>24902.88753799392</v>
      </c>
      <c r="I6442" cm="1">
        <f t="array" ref="I6442">_xlfn.STDEV.P(IF(Table1[IndicatorCode]=Table1[[#This Row],[IndicatorCode]],Table1[value]))</f>
        <v>26324.778297809873</v>
      </c>
      <c r="J6442">
        <f>(Table1[[#This Row],[value]] - Table1[[#This Row],[mean]]) / Table1[[#This Row],[std_dev]]</f>
        <v>-0.70195795493294988</v>
      </c>
      <c r="K6442">
        <f>AVERAGEIF(Table1[CountryCode],Table1[[#This Row],[CountryCode]],Table1[z-score])</f>
        <v>-0.44487406992812789</v>
      </c>
      <c r="L6442" t="e">
        <f>VLOOKUP(Table1[[#This Row],[CountryCode]],[1]!Table1[#All],1,FALSE)</f>
        <v>#REF!</v>
      </c>
    </row>
    <row r="6443" spans="1:12" hidden="1" x14ac:dyDescent="0.3">
      <c r="A6443" t="s">
        <v>87</v>
      </c>
      <c r="B6443" t="s">
        <v>88</v>
      </c>
      <c r="C6443" t="s">
        <v>127</v>
      </c>
      <c r="D6443" t="s">
        <v>128</v>
      </c>
      <c r="E6443">
        <v>2024</v>
      </c>
      <c r="F6443" s="1">
        <v>6629</v>
      </c>
      <c r="G6443">
        <v>1990</v>
      </c>
      <c r="H6443">
        <f>AVERAGEIFS(Table1[value],Table1[IndicatorCode],Table1[[#This Row],[IndicatorCode]])</f>
        <v>24902.88753799392</v>
      </c>
      <c r="I6443" cm="1">
        <f t="array" ref="I6443">_xlfn.STDEV.P(IF(Table1[IndicatorCode]=Table1[[#This Row],[IndicatorCode]],Table1[value]))</f>
        <v>26324.778297809873</v>
      </c>
      <c r="J6443">
        <f>(Table1[[#This Row],[value]] - Table1[[#This Row],[mean]]) / Table1[[#This Row],[std_dev]]</f>
        <v>-0.69417061489608978</v>
      </c>
      <c r="K6443">
        <f>AVERAGEIF(Table1[CountryCode],Table1[[#This Row],[CountryCode]],Table1[z-score])</f>
        <v>-0.44487406992812789</v>
      </c>
      <c r="L6443" t="e">
        <f>VLOOKUP(Table1[[#This Row],[CountryCode]],[1]!Table1[#All],1,FALSE)</f>
        <v>#REF!</v>
      </c>
    </row>
    <row r="6444" spans="1:12" hidden="1" x14ac:dyDescent="0.3">
      <c r="A6444" t="s">
        <v>89</v>
      </c>
      <c r="B6444" t="s">
        <v>90</v>
      </c>
      <c r="C6444" t="s">
        <v>127</v>
      </c>
      <c r="D6444" t="s">
        <v>128</v>
      </c>
      <c r="E6444">
        <v>1997</v>
      </c>
      <c r="F6444" s="1">
        <v>4448</v>
      </c>
      <c r="G6444">
        <v>2000</v>
      </c>
      <c r="H6444">
        <f>AVERAGEIFS(Table1[value],Table1[IndicatorCode],Table1[[#This Row],[IndicatorCode]])</f>
        <v>24902.88753799392</v>
      </c>
      <c r="I6444" cm="1">
        <f t="array" ref="I6444">_xlfn.STDEV.P(IF(Table1[IndicatorCode]=Table1[[#This Row],[IndicatorCode]],Table1[value]))</f>
        <v>26324.778297809873</v>
      </c>
      <c r="J6444">
        <f>(Table1[[#This Row],[value]] - Table1[[#This Row],[mean]]) / Table1[[#This Row],[std_dev]]</f>
        <v>-0.77702031548336703</v>
      </c>
      <c r="K6444">
        <f>AVERAGEIF(Table1[CountryCode],Table1[[#This Row],[CountryCode]],Table1[z-score])</f>
        <v>-0.18785287830584751</v>
      </c>
      <c r="L6444" t="e">
        <f>VLOOKUP(Table1[[#This Row],[CountryCode]],[1]!Table1[#All],1,FALSE)</f>
        <v>#REF!</v>
      </c>
    </row>
    <row r="6445" spans="1:12" hidden="1" x14ac:dyDescent="0.3">
      <c r="A6445" t="s">
        <v>89</v>
      </c>
      <c r="B6445" t="s">
        <v>90</v>
      </c>
      <c r="C6445" t="s">
        <v>127</v>
      </c>
      <c r="D6445" t="s">
        <v>128</v>
      </c>
      <c r="E6445">
        <v>1998</v>
      </c>
      <c r="F6445" s="1">
        <v>4680</v>
      </c>
      <c r="G6445">
        <v>2000</v>
      </c>
      <c r="H6445">
        <f>AVERAGEIFS(Table1[value],Table1[IndicatorCode],Table1[[#This Row],[IndicatorCode]])</f>
        <v>24902.88753799392</v>
      </c>
      <c r="I6445" cm="1">
        <f t="array" ref="I6445">_xlfn.STDEV.P(IF(Table1[IndicatorCode]=Table1[[#This Row],[IndicatorCode]],Table1[value]))</f>
        <v>26324.778297809873</v>
      </c>
      <c r="J6445">
        <f>(Table1[[#This Row],[value]] - Table1[[#This Row],[mean]]) / Table1[[#This Row],[std_dev]]</f>
        <v>-0.76820732578311557</v>
      </c>
      <c r="K6445">
        <f>AVERAGEIF(Table1[CountryCode],Table1[[#This Row],[CountryCode]],Table1[z-score])</f>
        <v>-0.18785287830584751</v>
      </c>
      <c r="L6445" t="e">
        <f>VLOOKUP(Table1[[#This Row],[CountryCode]],[1]!Table1[#All],1,FALSE)</f>
        <v>#REF!</v>
      </c>
    </row>
    <row r="6446" spans="1:12" hidden="1" x14ac:dyDescent="0.3">
      <c r="A6446" t="s">
        <v>89</v>
      </c>
      <c r="B6446" t="s">
        <v>90</v>
      </c>
      <c r="C6446" t="s">
        <v>127</v>
      </c>
      <c r="D6446" t="s">
        <v>128</v>
      </c>
      <c r="E6446">
        <v>1999</v>
      </c>
      <c r="F6446" s="1">
        <v>4252</v>
      </c>
      <c r="G6446">
        <v>2000</v>
      </c>
      <c r="H6446">
        <f>AVERAGEIFS(Table1[value],Table1[IndicatorCode],Table1[[#This Row],[IndicatorCode]])</f>
        <v>24902.88753799392</v>
      </c>
      <c r="I6446" cm="1">
        <f t="array" ref="I6446">_xlfn.STDEV.P(IF(Table1[IndicatorCode]=Table1[[#This Row],[IndicatorCode]],Table1[value]))</f>
        <v>26324.778297809873</v>
      </c>
      <c r="J6446">
        <f>(Table1[[#This Row],[value]] - Table1[[#This Row],[mean]]) / Table1[[#This Row],[std_dev]]</f>
        <v>-0.78446577229909664</v>
      </c>
      <c r="K6446">
        <f>AVERAGEIF(Table1[CountryCode],Table1[[#This Row],[CountryCode]],Table1[z-score])</f>
        <v>-0.18785287830584751</v>
      </c>
      <c r="L6446" t="e">
        <f>VLOOKUP(Table1[[#This Row],[CountryCode]],[1]!Table1[#All],1,FALSE)</f>
        <v>#REF!</v>
      </c>
    </row>
    <row r="6447" spans="1:12" hidden="1" x14ac:dyDescent="0.3">
      <c r="A6447" t="s">
        <v>89</v>
      </c>
      <c r="B6447" t="s">
        <v>90</v>
      </c>
      <c r="C6447" t="s">
        <v>127</v>
      </c>
      <c r="D6447" t="s">
        <v>128</v>
      </c>
      <c r="E6447">
        <v>2000</v>
      </c>
      <c r="F6447" s="1">
        <v>4391</v>
      </c>
      <c r="G6447">
        <v>2000</v>
      </c>
      <c r="H6447">
        <f>AVERAGEIFS(Table1[value],Table1[IndicatorCode],Table1[[#This Row],[IndicatorCode]])</f>
        <v>24902.88753799392</v>
      </c>
      <c r="I6447" cm="1">
        <f t="array" ref="I6447">_xlfn.STDEV.P(IF(Table1[IndicatorCode]=Table1[[#This Row],[IndicatorCode]],Table1[value]))</f>
        <v>26324.778297809873</v>
      </c>
      <c r="J6447">
        <f>(Table1[[#This Row],[value]] - Table1[[#This Row],[mean]]) / Table1[[#This Row],[std_dev]]</f>
        <v>-0.77918557588385973</v>
      </c>
      <c r="K6447">
        <f>AVERAGEIF(Table1[CountryCode],Table1[[#This Row],[CountryCode]],Table1[z-score])</f>
        <v>-0.18785287830584751</v>
      </c>
      <c r="L6447" t="e">
        <f>VLOOKUP(Table1[[#This Row],[CountryCode]],[1]!Table1[#All],1,FALSE)</f>
        <v>#REF!</v>
      </c>
    </row>
    <row r="6448" spans="1:12" hidden="1" x14ac:dyDescent="0.3">
      <c r="A6448" t="s">
        <v>89</v>
      </c>
      <c r="B6448" t="s">
        <v>90</v>
      </c>
      <c r="C6448" t="s">
        <v>127</v>
      </c>
      <c r="D6448" t="s">
        <v>128</v>
      </c>
      <c r="E6448">
        <v>2001</v>
      </c>
      <c r="F6448" s="1">
        <v>4422</v>
      </c>
      <c r="G6448">
        <v>2000</v>
      </c>
      <c r="H6448">
        <f>AVERAGEIFS(Table1[value],Table1[IndicatorCode],Table1[[#This Row],[IndicatorCode]])</f>
        <v>24902.88753799392</v>
      </c>
      <c r="I6448" cm="1">
        <f t="array" ref="I6448">_xlfn.STDEV.P(IF(Table1[IndicatorCode]=Table1[[#This Row],[IndicatorCode]],Table1[value]))</f>
        <v>26324.778297809873</v>
      </c>
      <c r="J6448">
        <f>(Table1[[#This Row],[value]] - Table1[[#This Row],[mean]]) / Table1[[#This Row],[std_dev]]</f>
        <v>-0.77800797812218825</v>
      </c>
      <c r="K6448">
        <f>AVERAGEIF(Table1[CountryCode],Table1[[#This Row],[CountryCode]],Table1[z-score])</f>
        <v>-0.18785287830584751</v>
      </c>
      <c r="L6448" t="e">
        <f>VLOOKUP(Table1[[#This Row],[CountryCode]],[1]!Table1[#All],1,FALSE)</f>
        <v>#REF!</v>
      </c>
    </row>
    <row r="6449" spans="1:12" hidden="1" x14ac:dyDescent="0.3">
      <c r="A6449" t="s">
        <v>89</v>
      </c>
      <c r="B6449" t="s">
        <v>90</v>
      </c>
      <c r="C6449" t="s">
        <v>127</v>
      </c>
      <c r="D6449" t="s">
        <v>128</v>
      </c>
      <c r="E6449">
        <v>2002</v>
      </c>
      <c r="F6449" s="1">
        <v>4488</v>
      </c>
      <c r="G6449">
        <v>2000</v>
      </c>
      <c r="H6449">
        <f>AVERAGEIFS(Table1[value],Table1[IndicatorCode],Table1[[#This Row],[IndicatorCode]])</f>
        <v>24902.88753799392</v>
      </c>
      <c r="I6449" cm="1">
        <f t="array" ref="I6449">_xlfn.STDEV.P(IF(Table1[IndicatorCode]=Table1[[#This Row],[IndicatorCode]],Table1[value]))</f>
        <v>26324.778297809873</v>
      </c>
      <c r="J6449">
        <f>(Table1[[#This Row],[value]] - Table1[[#This Row],[mean]]) / Table1[[#This Row],[std_dev]]</f>
        <v>-0.77550083450056506</v>
      </c>
      <c r="K6449">
        <f>AVERAGEIF(Table1[CountryCode],Table1[[#This Row],[CountryCode]],Table1[z-score])</f>
        <v>-0.18785287830584751</v>
      </c>
      <c r="L6449" t="e">
        <f>VLOOKUP(Table1[[#This Row],[CountryCode]],[1]!Table1[#All],1,FALSE)</f>
        <v>#REF!</v>
      </c>
    </row>
    <row r="6450" spans="1:12" hidden="1" x14ac:dyDescent="0.3">
      <c r="A6450" t="s">
        <v>89</v>
      </c>
      <c r="B6450" t="s">
        <v>90</v>
      </c>
      <c r="C6450" t="s">
        <v>127</v>
      </c>
      <c r="D6450" t="s">
        <v>128</v>
      </c>
      <c r="E6450">
        <v>2003</v>
      </c>
      <c r="F6450" s="1">
        <v>4581</v>
      </c>
      <c r="G6450">
        <v>2000</v>
      </c>
      <c r="H6450">
        <f>AVERAGEIFS(Table1[value],Table1[IndicatorCode],Table1[[#This Row],[IndicatorCode]])</f>
        <v>24902.88753799392</v>
      </c>
      <c r="I6450" cm="1">
        <f t="array" ref="I6450">_xlfn.STDEV.P(IF(Table1[IndicatorCode]=Table1[[#This Row],[IndicatorCode]],Table1[value]))</f>
        <v>26324.778297809873</v>
      </c>
      <c r="J6450">
        <f>(Table1[[#This Row],[value]] - Table1[[#This Row],[mean]]) / Table1[[#This Row],[std_dev]]</f>
        <v>-0.7719680412155504</v>
      </c>
      <c r="K6450">
        <f>AVERAGEIF(Table1[CountryCode],Table1[[#This Row],[CountryCode]],Table1[z-score])</f>
        <v>-0.18785287830584751</v>
      </c>
      <c r="L6450" t="e">
        <f>VLOOKUP(Table1[[#This Row],[CountryCode]],[1]!Table1[#All],1,FALSE)</f>
        <v>#REF!</v>
      </c>
    </row>
    <row r="6451" spans="1:12" hidden="1" x14ac:dyDescent="0.3">
      <c r="A6451" t="s">
        <v>89</v>
      </c>
      <c r="B6451" t="s">
        <v>90</v>
      </c>
      <c r="C6451" t="s">
        <v>127</v>
      </c>
      <c r="D6451" t="s">
        <v>128</v>
      </c>
      <c r="E6451">
        <v>2004</v>
      </c>
      <c r="F6451" s="1">
        <v>4775</v>
      </c>
      <c r="G6451">
        <v>2000</v>
      </c>
      <c r="H6451">
        <f>AVERAGEIFS(Table1[value],Table1[IndicatorCode],Table1[[#This Row],[IndicatorCode]])</f>
        <v>24902.88753799392</v>
      </c>
      <c r="I6451" cm="1">
        <f t="array" ref="I6451">_xlfn.STDEV.P(IF(Table1[IndicatorCode]=Table1[[#This Row],[IndicatorCode]],Table1[value]))</f>
        <v>26324.778297809873</v>
      </c>
      <c r="J6451">
        <f>(Table1[[#This Row],[value]] - Table1[[#This Row],[mean]]) / Table1[[#This Row],[std_dev]]</f>
        <v>-0.76459855844896096</v>
      </c>
      <c r="K6451">
        <f>AVERAGEIF(Table1[CountryCode],Table1[[#This Row],[CountryCode]],Table1[z-score])</f>
        <v>-0.18785287830584751</v>
      </c>
      <c r="L6451" t="e">
        <f>VLOOKUP(Table1[[#This Row],[CountryCode]],[1]!Table1[#All],1,FALSE)</f>
        <v>#REF!</v>
      </c>
    </row>
    <row r="6452" spans="1:12" hidden="1" x14ac:dyDescent="0.3">
      <c r="A6452" t="s">
        <v>89</v>
      </c>
      <c r="B6452" t="s">
        <v>90</v>
      </c>
      <c r="C6452" t="s">
        <v>127</v>
      </c>
      <c r="D6452" t="s">
        <v>128</v>
      </c>
      <c r="E6452">
        <v>2005</v>
      </c>
      <c r="F6452" s="1">
        <v>4968</v>
      </c>
      <c r="G6452">
        <v>2000</v>
      </c>
      <c r="H6452">
        <f>AVERAGEIFS(Table1[value],Table1[IndicatorCode],Table1[[#This Row],[IndicatorCode]])</f>
        <v>24902.88753799392</v>
      </c>
      <c r="I6452" cm="1">
        <f t="array" ref="I6452">_xlfn.STDEV.P(IF(Table1[IndicatorCode]=Table1[[#This Row],[IndicatorCode]],Table1[value]))</f>
        <v>26324.778297809873</v>
      </c>
      <c r="J6452">
        <f>(Table1[[#This Row],[value]] - Table1[[#This Row],[mean]]) / Table1[[#This Row],[std_dev]]</f>
        <v>-0.75726706270694144</v>
      </c>
      <c r="K6452">
        <f>AVERAGEIF(Table1[CountryCode],Table1[[#This Row],[CountryCode]],Table1[z-score])</f>
        <v>-0.18785287830584751</v>
      </c>
      <c r="L6452" t="e">
        <f>VLOOKUP(Table1[[#This Row],[CountryCode]],[1]!Table1[#All],1,FALSE)</f>
        <v>#REF!</v>
      </c>
    </row>
    <row r="6453" spans="1:12" hidden="1" x14ac:dyDescent="0.3">
      <c r="A6453" t="s">
        <v>89</v>
      </c>
      <c r="B6453" t="s">
        <v>90</v>
      </c>
      <c r="C6453" t="s">
        <v>127</v>
      </c>
      <c r="D6453" t="s">
        <v>128</v>
      </c>
      <c r="E6453">
        <v>2006</v>
      </c>
      <c r="F6453" s="1">
        <v>5387</v>
      </c>
      <c r="G6453">
        <v>2000</v>
      </c>
      <c r="H6453">
        <f>AVERAGEIFS(Table1[value],Table1[IndicatorCode],Table1[[#This Row],[IndicatorCode]])</f>
        <v>24902.88753799392</v>
      </c>
      <c r="I6453" cm="1">
        <f t="array" ref="I6453">_xlfn.STDEV.P(IF(Table1[IndicatorCode]=Table1[[#This Row],[IndicatorCode]],Table1[value]))</f>
        <v>26324.778297809873</v>
      </c>
      <c r="J6453">
        <f>(Table1[[#This Row],[value]] - Table1[[#This Row],[mean]]) / Table1[[#This Row],[std_dev]]</f>
        <v>-0.74135049941209086</v>
      </c>
      <c r="K6453">
        <f>AVERAGEIF(Table1[CountryCode],Table1[[#This Row],[CountryCode]],Table1[z-score])</f>
        <v>-0.18785287830584751</v>
      </c>
      <c r="L6453" t="e">
        <f>VLOOKUP(Table1[[#This Row],[CountryCode]],[1]!Table1[#All],1,FALSE)</f>
        <v>#REF!</v>
      </c>
    </row>
    <row r="6454" spans="1:12" hidden="1" x14ac:dyDescent="0.3">
      <c r="A6454" t="s">
        <v>89</v>
      </c>
      <c r="B6454" t="s">
        <v>90</v>
      </c>
      <c r="C6454" t="s">
        <v>127</v>
      </c>
      <c r="D6454" t="s">
        <v>128</v>
      </c>
      <c r="E6454">
        <v>2007</v>
      </c>
      <c r="F6454" s="1">
        <v>5763</v>
      </c>
      <c r="G6454">
        <v>2010</v>
      </c>
      <c r="H6454">
        <f>AVERAGEIFS(Table1[value],Table1[IndicatorCode],Table1[[#This Row],[IndicatorCode]])</f>
        <v>24902.88753799392</v>
      </c>
      <c r="I6454" cm="1">
        <f t="array" ref="I6454">_xlfn.STDEV.P(IF(Table1[IndicatorCode]=Table1[[#This Row],[IndicatorCode]],Table1[value]))</f>
        <v>26324.778297809873</v>
      </c>
      <c r="J6454">
        <f>(Table1[[#This Row],[value]] - Table1[[#This Row],[mean]]) / Table1[[#This Row],[std_dev]]</f>
        <v>-0.72706737817375233</v>
      </c>
      <c r="K6454">
        <f>AVERAGEIF(Table1[CountryCode],Table1[[#This Row],[CountryCode]],Table1[z-score])</f>
        <v>-0.18785287830584751</v>
      </c>
      <c r="L6454" t="e">
        <f>VLOOKUP(Table1[[#This Row],[CountryCode]],[1]!Table1[#All],1,FALSE)</f>
        <v>#REF!</v>
      </c>
    </row>
    <row r="6455" spans="1:12" hidden="1" x14ac:dyDescent="0.3">
      <c r="A6455" t="s">
        <v>89</v>
      </c>
      <c r="B6455" t="s">
        <v>90</v>
      </c>
      <c r="C6455" t="s">
        <v>127</v>
      </c>
      <c r="D6455" t="s">
        <v>128</v>
      </c>
      <c r="E6455">
        <v>2008</v>
      </c>
      <c r="F6455" s="1">
        <v>6150</v>
      </c>
      <c r="G6455">
        <v>2010</v>
      </c>
      <c r="H6455">
        <f>AVERAGEIFS(Table1[value],Table1[IndicatorCode],Table1[[#This Row],[IndicatorCode]])</f>
        <v>24902.88753799392</v>
      </c>
      <c r="I6455" cm="1">
        <f t="array" ref="I6455">_xlfn.STDEV.P(IF(Table1[IndicatorCode]=Table1[[#This Row],[IndicatorCode]],Table1[value]))</f>
        <v>26324.778297809873</v>
      </c>
      <c r="J6455">
        <f>(Table1[[#This Row],[value]] - Table1[[#This Row],[mean]]) / Table1[[#This Row],[std_dev]]</f>
        <v>-0.71236639966514337</v>
      </c>
      <c r="K6455">
        <f>AVERAGEIF(Table1[CountryCode],Table1[[#This Row],[CountryCode]],Table1[z-score])</f>
        <v>-0.18785287830584751</v>
      </c>
      <c r="L6455" t="e">
        <f>VLOOKUP(Table1[[#This Row],[CountryCode]],[1]!Table1[#All],1,FALSE)</f>
        <v>#REF!</v>
      </c>
    </row>
    <row r="6456" spans="1:12" hidden="1" x14ac:dyDescent="0.3">
      <c r="A6456" t="s">
        <v>89</v>
      </c>
      <c r="B6456" t="s">
        <v>90</v>
      </c>
      <c r="C6456" t="s">
        <v>127</v>
      </c>
      <c r="D6456" t="s">
        <v>128</v>
      </c>
      <c r="E6456">
        <v>2009</v>
      </c>
      <c r="F6456" s="1">
        <v>5769</v>
      </c>
      <c r="G6456">
        <v>2010</v>
      </c>
      <c r="H6456">
        <f>AVERAGEIFS(Table1[value],Table1[IndicatorCode],Table1[[#This Row],[IndicatorCode]])</f>
        <v>24902.88753799392</v>
      </c>
      <c r="I6456" cm="1">
        <f t="array" ref="I6456">_xlfn.STDEV.P(IF(Table1[IndicatorCode]=Table1[[#This Row],[IndicatorCode]],Table1[value]))</f>
        <v>26324.778297809873</v>
      </c>
      <c r="J6456">
        <f>(Table1[[#This Row],[value]] - Table1[[#This Row],[mean]]) / Table1[[#This Row],[std_dev]]</f>
        <v>-0.72683945602633204</v>
      </c>
      <c r="K6456">
        <f>AVERAGEIF(Table1[CountryCode],Table1[[#This Row],[CountryCode]],Table1[z-score])</f>
        <v>-0.18785287830584751</v>
      </c>
      <c r="L6456" t="e">
        <f>VLOOKUP(Table1[[#This Row],[CountryCode]],[1]!Table1[#All],1,FALSE)</f>
        <v>#REF!</v>
      </c>
    </row>
    <row r="6457" spans="1:12" hidden="1" x14ac:dyDescent="0.3">
      <c r="A6457" t="s">
        <v>89</v>
      </c>
      <c r="B6457" t="s">
        <v>90</v>
      </c>
      <c r="C6457" t="s">
        <v>127</v>
      </c>
      <c r="D6457" t="s">
        <v>128</v>
      </c>
      <c r="E6457">
        <v>2010</v>
      </c>
      <c r="F6457" s="1">
        <v>5918</v>
      </c>
      <c r="G6457">
        <v>2010</v>
      </c>
      <c r="H6457">
        <f>AVERAGEIFS(Table1[value],Table1[IndicatorCode],Table1[[#This Row],[IndicatorCode]])</f>
        <v>24902.88753799392</v>
      </c>
      <c r="I6457" cm="1">
        <f t="array" ref="I6457">_xlfn.STDEV.P(IF(Table1[IndicatorCode]=Table1[[#This Row],[IndicatorCode]],Table1[value]))</f>
        <v>26324.778297809873</v>
      </c>
      <c r="J6457">
        <f>(Table1[[#This Row],[value]] - Table1[[#This Row],[mean]]) / Table1[[#This Row],[std_dev]]</f>
        <v>-0.72117938936539472</v>
      </c>
      <c r="K6457">
        <f>AVERAGEIF(Table1[CountryCode],Table1[[#This Row],[CountryCode]],Table1[z-score])</f>
        <v>-0.18785287830584751</v>
      </c>
      <c r="L6457" t="e">
        <f>VLOOKUP(Table1[[#This Row],[CountryCode]],[1]!Table1[#All],1,FALSE)</f>
        <v>#REF!</v>
      </c>
    </row>
    <row r="6458" spans="1:12" hidden="1" x14ac:dyDescent="0.3">
      <c r="A6458" t="s">
        <v>89</v>
      </c>
      <c r="B6458" t="s">
        <v>90</v>
      </c>
      <c r="C6458" t="s">
        <v>127</v>
      </c>
      <c r="D6458" t="s">
        <v>128</v>
      </c>
      <c r="E6458">
        <v>2011</v>
      </c>
      <c r="F6458" s="1">
        <v>6111</v>
      </c>
      <c r="G6458">
        <v>2010</v>
      </c>
      <c r="H6458">
        <f>AVERAGEIFS(Table1[value],Table1[IndicatorCode],Table1[[#This Row],[IndicatorCode]])</f>
        <v>24902.88753799392</v>
      </c>
      <c r="I6458" cm="1">
        <f t="array" ref="I6458">_xlfn.STDEV.P(IF(Table1[IndicatorCode]=Table1[[#This Row],[IndicatorCode]],Table1[value]))</f>
        <v>26324.778297809873</v>
      </c>
      <c r="J6458">
        <f>(Table1[[#This Row],[value]] - Table1[[#This Row],[mean]]) / Table1[[#This Row],[std_dev]]</f>
        <v>-0.71384789362337531</v>
      </c>
      <c r="K6458">
        <f>AVERAGEIF(Table1[CountryCode],Table1[[#This Row],[CountryCode]],Table1[z-score])</f>
        <v>-0.18785287830584751</v>
      </c>
      <c r="L6458" t="e">
        <f>VLOOKUP(Table1[[#This Row],[CountryCode]],[1]!Table1[#All],1,FALSE)</f>
        <v>#REF!</v>
      </c>
    </row>
    <row r="6459" spans="1:12" hidden="1" x14ac:dyDescent="0.3">
      <c r="A6459" t="s">
        <v>89</v>
      </c>
      <c r="B6459" t="s">
        <v>90</v>
      </c>
      <c r="C6459" t="s">
        <v>127</v>
      </c>
      <c r="D6459" t="s">
        <v>128</v>
      </c>
      <c r="E6459">
        <v>2012</v>
      </c>
      <c r="F6459" s="1">
        <v>5948</v>
      </c>
      <c r="G6459">
        <v>2010</v>
      </c>
      <c r="H6459">
        <f>AVERAGEIFS(Table1[value],Table1[IndicatorCode],Table1[[#This Row],[IndicatorCode]])</f>
        <v>24902.88753799392</v>
      </c>
      <c r="I6459" cm="1">
        <f t="array" ref="I6459">_xlfn.STDEV.P(IF(Table1[IndicatorCode]=Table1[[#This Row],[IndicatorCode]],Table1[value]))</f>
        <v>26324.778297809873</v>
      </c>
      <c r="J6459">
        <f>(Table1[[#This Row],[value]] - Table1[[#This Row],[mean]]) / Table1[[#This Row],[std_dev]]</f>
        <v>-0.72003977862829327</v>
      </c>
      <c r="K6459">
        <f>AVERAGEIF(Table1[CountryCode],Table1[[#This Row],[CountryCode]],Table1[z-score])</f>
        <v>-0.18785287830584751</v>
      </c>
      <c r="L6459" t="e">
        <f>VLOOKUP(Table1[[#This Row],[CountryCode]],[1]!Table1[#All],1,FALSE)</f>
        <v>#REF!</v>
      </c>
    </row>
    <row r="6460" spans="1:12" hidden="1" x14ac:dyDescent="0.3">
      <c r="A6460" t="s">
        <v>89</v>
      </c>
      <c r="B6460" t="s">
        <v>90</v>
      </c>
      <c r="C6460" t="s">
        <v>127</v>
      </c>
      <c r="D6460" t="s">
        <v>128</v>
      </c>
      <c r="E6460">
        <v>2013</v>
      </c>
      <c r="F6460" s="1">
        <v>6138</v>
      </c>
      <c r="G6460">
        <v>2010</v>
      </c>
      <c r="H6460">
        <f>AVERAGEIFS(Table1[value],Table1[IndicatorCode],Table1[[#This Row],[IndicatorCode]])</f>
        <v>24902.88753799392</v>
      </c>
      <c r="I6460" cm="1">
        <f t="array" ref="I6460">_xlfn.STDEV.P(IF(Table1[IndicatorCode]=Table1[[#This Row],[IndicatorCode]],Table1[value]))</f>
        <v>26324.778297809873</v>
      </c>
      <c r="J6460">
        <f>(Table1[[#This Row],[value]] - Table1[[#This Row],[mean]]) / Table1[[#This Row],[std_dev]]</f>
        <v>-0.71282224395998395</v>
      </c>
      <c r="K6460">
        <f>AVERAGEIF(Table1[CountryCode],Table1[[#This Row],[CountryCode]],Table1[z-score])</f>
        <v>-0.18785287830584751</v>
      </c>
      <c r="L6460" t="e">
        <f>VLOOKUP(Table1[[#This Row],[CountryCode]],[1]!Table1[#All],1,FALSE)</f>
        <v>#REF!</v>
      </c>
    </row>
    <row r="6461" spans="1:12" hidden="1" x14ac:dyDescent="0.3">
      <c r="A6461" t="s">
        <v>89</v>
      </c>
      <c r="B6461" t="s">
        <v>90</v>
      </c>
      <c r="C6461" t="s">
        <v>127</v>
      </c>
      <c r="D6461" t="s">
        <v>128</v>
      </c>
      <c r="E6461">
        <v>2014</v>
      </c>
      <c r="F6461" s="1">
        <v>6272</v>
      </c>
      <c r="G6461">
        <v>2010</v>
      </c>
      <c r="H6461">
        <f>AVERAGEIFS(Table1[value],Table1[IndicatorCode],Table1[[#This Row],[IndicatorCode]])</f>
        <v>24902.88753799392</v>
      </c>
      <c r="I6461" cm="1">
        <f t="array" ref="I6461">_xlfn.STDEV.P(IF(Table1[IndicatorCode]=Table1[[#This Row],[IndicatorCode]],Table1[value]))</f>
        <v>26324.778297809873</v>
      </c>
      <c r="J6461">
        <f>(Table1[[#This Row],[value]] - Table1[[#This Row],[mean]]) / Table1[[#This Row],[std_dev]]</f>
        <v>-0.7077319826675974</v>
      </c>
      <c r="K6461">
        <f>AVERAGEIF(Table1[CountryCode],Table1[[#This Row],[CountryCode]],Table1[z-score])</f>
        <v>-0.18785287830584751</v>
      </c>
      <c r="L6461" t="e">
        <f>VLOOKUP(Table1[[#This Row],[CountryCode]],[1]!Table1[#All],1,FALSE)</f>
        <v>#REF!</v>
      </c>
    </row>
    <row r="6462" spans="1:12" hidden="1" x14ac:dyDescent="0.3">
      <c r="A6462" t="s">
        <v>89</v>
      </c>
      <c r="B6462" t="s">
        <v>90</v>
      </c>
      <c r="C6462" t="s">
        <v>127</v>
      </c>
      <c r="D6462" t="s">
        <v>128</v>
      </c>
      <c r="E6462">
        <v>2015</v>
      </c>
      <c r="F6462" s="1">
        <v>6421</v>
      </c>
      <c r="G6462">
        <v>2010</v>
      </c>
      <c r="H6462">
        <f>AVERAGEIFS(Table1[value],Table1[IndicatorCode],Table1[[#This Row],[IndicatorCode]])</f>
        <v>24902.88753799392</v>
      </c>
      <c r="I6462" cm="1">
        <f t="array" ref="I6462">_xlfn.STDEV.P(IF(Table1[IndicatorCode]=Table1[[#This Row],[IndicatorCode]],Table1[value]))</f>
        <v>26324.778297809873</v>
      </c>
      <c r="J6462">
        <f>(Table1[[#This Row],[value]] - Table1[[#This Row],[mean]]) / Table1[[#This Row],[std_dev]]</f>
        <v>-0.70207191600666008</v>
      </c>
      <c r="K6462">
        <f>AVERAGEIF(Table1[CountryCode],Table1[[#This Row],[CountryCode]],Table1[z-score])</f>
        <v>-0.18785287830584751</v>
      </c>
      <c r="L6462" t="e">
        <f>VLOOKUP(Table1[[#This Row],[CountryCode]],[1]!Table1[#All],1,FALSE)</f>
        <v>#REF!</v>
      </c>
    </row>
    <row r="6463" spans="1:12" hidden="1" x14ac:dyDescent="0.3">
      <c r="A6463" t="s">
        <v>89</v>
      </c>
      <c r="B6463" t="s">
        <v>90</v>
      </c>
      <c r="C6463" t="s">
        <v>127</v>
      </c>
      <c r="D6463" t="s">
        <v>128</v>
      </c>
      <c r="E6463">
        <v>2016</v>
      </c>
      <c r="F6463" s="1">
        <v>6634</v>
      </c>
      <c r="G6463">
        <v>2010</v>
      </c>
      <c r="H6463">
        <f>AVERAGEIFS(Table1[value],Table1[IndicatorCode],Table1[[#This Row],[IndicatorCode]])</f>
        <v>24902.88753799392</v>
      </c>
      <c r="I6463" cm="1">
        <f t="array" ref="I6463">_xlfn.STDEV.P(IF(Table1[IndicatorCode]=Table1[[#This Row],[IndicatorCode]],Table1[value]))</f>
        <v>26324.778297809873</v>
      </c>
      <c r="J6463">
        <f>(Table1[[#This Row],[value]] - Table1[[#This Row],[mean]]) / Table1[[#This Row],[std_dev]]</f>
        <v>-0.69398067977323952</v>
      </c>
      <c r="K6463">
        <f>AVERAGEIF(Table1[CountryCode],Table1[[#This Row],[CountryCode]],Table1[z-score])</f>
        <v>-0.18785287830584751</v>
      </c>
      <c r="L6463" t="e">
        <f>VLOOKUP(Table1[[#This Row],[CountryCode]],[1]!Table1[#All],1,FALSE)</f>
        <v>#REF!</v>
      </c>
    </row>
    <row r="6464" spans="1:12" hidden="1" x14ac:dyDescent="0.3">
      <c r="A6464" t="s">
        <v>89</v>
      </c>
      <c r="B6464" t="s">
        <v>90</v>
      </c>
      <c r="C6464" t="s">
        <v>127</v>
      </c>
      <c r="D6464" t="s">
        <v>128</v>
      </c>
      <c r="E6464">
        <v>2017</v>
      </c>
      <c r="F6464" s="1">
        <v>6841</v>
      </c>
      <c r="G6464">
        <v>2020</v>
      </c>
      <c r="H6464">
        <f>AVERAGEIFS(Table1[value],Table1[IndicatorCode],Table1[[#This Row],[IndicatorCode]])</f>
        <v>24902.88753799392</v>
      </c>
      <c r="I6464" cm="1">
        <f t="array" ref="I6464">_xlfn.STDEV.P(IF(Table1[IndicatorCode]=Table1[[#This Row],[IndicatorCode]],Table1[value]))</f>
        <v>26324.778297809873</v>
      </c>
      <c r="J6464">
        <f>(Table1[[#This Row],[value]] - Table1[[#This Row],[mean]]) / Table1[[#This Row],[std_dev]]</f>
        <v>-0.68611736568723936</v>
      </c>
      <c r="K6464">
        <f>AVERAGEIF(Table1[CountryCode],Table1[[#This Row],[CountryCode]],Table1[z-score])</f>
        <v>-0.18785287830584751</v>
      </c>
      <c r="L6464" t="e">
        <f>VLOOKUP(Table1[[#This Row],[CountryCode]],[1]!Table1[#All],1,FALSE)</f>
        <v>#REF!</v>
      </c>
    </row>
    <row r="6465" spans="1:12" hidden="1" x14ac:dyDescent="0.3">
      <c r="A6465" t="s">
        <v>89</v>
      </c>
      <c r="B6465" t="s">
        <v>90</v>
      </c>
      <c r="C6465" t="s">
        <v>127</v>
      </c>
      <c r="D6465" t="s">
        <v>128</v>
      </c>
      <c r="E6465">
        <v>2018</v>
      </c>
      <c r="F6465" s="1">
        <v>7159</v>
      </c>
      <c r="G6465">
        <v>2020</v>
      </c>
      <c r="H6465">
        <f>AVERAGEIFS(Table1[value],Table1[IndicatorCode],Table1[[#This Row],[IndicatorCode]])</f>
        <v>24902.88753799392</v>
      </c>
      <c r="I6465" cm="1">
        <f t="array" ref="I6465">_xlfn.STDEV.P(IF(Table1[IndicatorCode]=Table1[[#This Row],[IndicatorCode]],Table1[value]))</f>
        <v>26324.778297809873</v>
      </c>
      <c r="J6465">
        <f>(Table1[[#This Row],[value]] - Table1[[#This Row],[mean]]) / Table1[[#This Row],[std_dev]]</f>
        <v>-0.67403749187396378</v>
      </c>
      <c r="K6465">
        <f>AVERAGEIF(Table1[CountryCode],Table1[[#This Row],[CountryCode]],Table1[z-score])</f>
        <v>-0.18785287830584751</v>
      </c>
      <c r="L6465" t="e">
        <f>VLOOKUP(Table1[[#This Row],[CountryCode]],[1]!Table1[#All],1,FALSE)</f>
        <v>#REF!</v>
      </c>
    </row>
    <row r="6466" spans="1:12" hidden="1" x14ac:dyDescent="0.3">
      <c r="A6466" t="s">
        <v>89</v>
      </c>
      <c r="B6466" t="s">
        <v>90</v>
      </c>
      <c r="C6466" t="s">
        <v>127</v>
      </c>
      <c r="D6466" t="s">
        <v>128</v>
      </c>
      <c r="E6466">
        <v>2019</v>
      </c>
      <c r="F6466" s="1">
        <v>7470</v>
      </c>
      <c r="G6466">
        <v>2020</v>
      </c>
      <c r="H6466">
        <f>AVERAGEIFS(Table1[value],Table1[IndicatorCode],Table1[[#This Row],[IndicatorCode]])</f>
        <v>24902.88753799392</v>
      </c>
      <c r="I6466" cm="1">
        <f t="array" ref="I6466">_xlfn.STDEV.P(IF(Table1[IndicatorCode]=Table1[[#This Row],[IndicatorCode]],Table1[value]))</f>
        <v>26324.778297809873</v>
      </c>
      <c r="J6466">
        <f>(Table1[[#This Row],[value]] - Table1[[#This Row],[mean]]) / Table1[[#This Row],[std_dev]]</f>
        <v>-0.66222352723267852</v>
      </c>
      <c r="K6466">
        <f>AVERAGEIF(Table1[CountryCode],Table1[[#This Row],[CountryCode]],Table1[z-score])</f>
        <v>-0.18785287830584751</v>
      </c>
      <c r="L6466" t="e">
        <f>VLOOKUP(Table1[[#This Row],[CountryCode]],[1]!Table1[#All],1,FALSE)</f>
        <v>#REF!</v>
      </c>
    </row>
    <row r="6467" spans="1:12" x14ac:dyDescent="0.3">
      <c r="A6467" t="s">
        <v>19</v>
      </c>
      <c r="B6467" t="s">
        <v>20</v>
      </c>
      <c r="C6467" t="s">
        <v>127</v>
      </c>
      <c r="D6467" t="s">
        <v>128</v>
      </c>
      <c r="E6467">
        <v>2020</v>
      </c>
      <c r="F6467" s="1">
        <v>40769</v>
      </c>
      <c r="G6467">
        <v>2020</v>
      </c>
      <c r="H6467">
        <f>AVERAGEIFS(Table1[value],Table1[IndicatorCode],Table1[[#This Row],[IndicatorCode]])</f>
        <v>24902.88753799392</v>
      </c>
      <c r="I6467" cm="1">
        <f t="array" ref="I6467">_xlfn.STDEV.P(IF(Table1[IndicatorCode]=Table1[[#This Row],[IndicatorCode]],Table1[value]))</f>
        <v>26324.778297809873</v>
      </c>
      <c r="J6467">
        <f>(Table1[[#This Row],[value]] - Table1[[#This Row],[mean]]) / Table1[[#This Row],[std_dev]]</f>
        <v>0.60270640392538777</v>
      </c>
      <c r="K6467">
        <f>AVERAGEIF(Table1[CountryCode],Table1[[#This Row],[CountryCode]],Table1[z-score])</f>
        <v>0.41927804487804637</v>
      </c>
    </row>
    <row r="6468" spans="1:12" hidden="1" x14ac:dyDescent="0.3">
      <c r="A6468" t="s">
        <v>89</v>
      </c>
      <c r="B6468" t="s">
        <v>90</v>
      </c>
      <c r="C6468" t="s">
        <v>127</v>
      </c>
      <c r="D6468" t="s">
        <v>128</v>
      </c>
      <c r="E6468">
        <v>2021</v>
      </c>
      <c r="F6468" s="1">
        <v>7198</v>
      </c>
      <c r="G6468">
        <v>2020</v>
      </c>
      <c r="H6468">
        <f>AVERAGEIFS(Table1[value],Table1[IndicatorCode],Table1[[#This Row],[IndicatorCode]])</f>
        <v>24902.88753799392</v>
      </c>
      <c r="I6468" cm="1">
        <f t="array" ref="I6468">_xlfn.STDEV.P(IF(Table1[IndicatorCode]=Table1[[#This Row],[IndicatorCode]],Table1[value]))</f>
        <v>26324.778297809873</v>
      </c>
      <c r="J6468">
        <f>(Table1[[#This Row],[value]] - Table1[[#This Row],[mean]]) / Table1[[#This Row],[std_dev]]</f>
        <v>-0.67255599791573184</v>
      </c>
      <c r="K6468">
        <f>AVERAGEIF(Table1[CountryCode],Table1[[#This Row],[CountryCode]],Table1[z-score])</f>
        <v>-0.18785287830584751</v>
      </c>
      <c r="L6468" t="e">
        <f>VLOOKUP(Table1[[#This Row],[CountryCode]],[1]!Table1[#All],1,FALSE)</f>
        <v>#REF!</v>
      </c>
    </row>
    <row r="6469" spans="1:12" hidden="1" x14ac:dyDescent="0.3">
      <c r="A6469" t="s">
        <v>89</v>
      </c>
      <c r="B6469" t="s">
        <v>90</v>
      </c>
      <c r="C6469" t="s">
        <v>127</v>
      </c>
      <c r="D6469" t="s">
        <v>128</v>
      </c>
      <c r="E6469">
        <v>2022</v>
      </c>
      <c r="F6469" s="1">
        <v>7774</v>
      </c>
      <c r="G6469">
        <v>1960</v>
      </c>
      <c r="H6469">
        <f>AVERAGEIFS(Table1[value],Table1[IndicatorCode],Table1[[#This Row],[IndicatorCode]])</f>
        <v>24902.88753799392</v>
      </c>
      <c r="I6469" cm="1">
        <f t="array" ref="I6469">_xlfn.STDEV.P(IF(Table1[IndicatorCode]=Table1[[#This Row],[IndicatorCode]],Table1[value]))</f>
        <v>26324.778297809873</v>
      </c>
      <c r="J6469">
        <f>(Table1[[#This Row],[value]] - Table1[[#This Row],[mean]]) / Table1[[#This Row],[std_dev]]</f>
        <v>-0.65067547176338358</v>
      </c>
      <c r="K6469">
        <f>AVERAGEIF(Table1[CountryCode],Table1[[#This Row],[CountryCode]],Table1[z-score])</f>
        <v>-0.18785287830584751</v>
      </c>
      <c r="L6469" t="e">
        <f>VLOOKUP(Table1[[#This Row],[CountryCode]],[1]!Table1[#All],1,FALSE)</f>
        <v>#REF!</v>
      </c>
    </row>
    <row r="6470" spans="1:12" hidden="1" x14ac:dyDescent="0.3">
      <c r="A6470" t="s">
        <v>89</v>
      </c>
      <c r="B6470" t="s">
        <v>90</v>
      </c>
      <c r="C6470" t="s">
        <v>127</v>
      </c>
      <c r="D6470" t="s">
        <v>128</v>
      </c>
      <c r="E6470">
        <v>2023</v>
      </c>
      <c r="F6470" s="1">
        <v>8278</v>
      </c>
      <c r="G6470">
        <v>1960</v>
      </c>
      <c r="H6470">
        <f>AVERAGEIFS(Table1[value],Table1[IndicatorCode],Table1[[#This Row],[IndicatorCode]])</f>
        <v>24902.88753799392</v>
      </c>
      <c r="I6470" cm="1">
        <f t="array" ref="I6470">_xlfn.STDEV.P(IF(Table1[IndicatorCode]=Table1[[#This Row],[IndicatorCode]],Table1[value]))</f>
        <v>26324.778297809873</v>
      </c>
      <c r="J6470">
        <f>(Table1[[#This Row],[value]] - Table1[[#This Row],[mean]]) / Table1[[#This Row],[std_dev]]</f>
        <v>-0.6315300113800788</v>
      </c>
      <c r="K6470">
        <f>AVERAGEIF(Table1[CountryCode],Table1[[#This Row],[CountryCode]],Table1[z-score])</f>
        <v>-0.18785287830584751</v>
      </c>
      <c r="L6470" t="e">
        <f>VLOOKUP(Table1[[#This Row],[CountryCode]],[1]!Table1[#All],1,FALSE)</f>
        <v>#REF!</v>
      </c>
    </row>
    <row r="6471" spans="1:12" hidden="1" x14ac:dyDescent="0.3">
      <c r="A6471" t="s">
        <v>89</v>
      </c>
      <c r="B6471" t="s">
        <v>90</v>
      </c>
      <c r="C6471" t="s">
        <v>127</v>
      </c>
      <c r="D6471" t="s">
        <v>128</v>
      </c>
      <c r="E6471">
        <v>2024</v>
      </c>
      <c r="F6471" s="1">
        <v>8540</v>
      </c>
      <c r="G6471">
        <v>1960</v>
      </c>
      <c r="H6471">
        <f>AVERAGEIFS(Table1[value],Table1[IndicatorCode],Table1[[#This Row],[IndicatorCode]])</f>
        <v>24902.88753799392</v>
      </c>
      <c r="I6471" cm="1">
        <f t="array" ref="I6471">_xlfn.STDEV.P(IF(Table1[IndicatorCode]=Table1[[#This Row],[IndicatorCode]],Table1[value]))</f>
        <v>26324.778297809873</v>
      </c>
      <c r="J6471">
        <f>(Table1[[#This Row],[value]] - Table1[[#This Row],[mean]]) / Table1[[#This Row],[std_dev]]</f>
        <v>-0.62157741094272589</v>
      </c>
      <c r="K6471">
        <f>AVERAGEIF(Table1[CountryCode],Table1[[#This Row],[CountryCode]],Table1[z-score])</f>
        <v>-0.18785287830584751</v>
      </c>
      <c r="L6471" t="e">
        <f>VLOOKUP(Table1[[#This Row],[CountryCode]],[1]!Table1[#All],1,FALSE)</f>
        <v>#REF!</v>
      </c>
    </row>
    <row r="6472" spans="1:12" hidden="1" x14ac:dyDescent="0.3">
      <c r="A6472" t="s">
        <v>91</v>
      </c>
      <c r="B6472" t="s">
        <v>92</v>
      </c>
      <c r="C6472" t="s">
        <v>127</v>
      </c>
      <c r="D6472" t="s">
        <v>128</v>
      </c>
      <c r="E6472">
        <v>1960</v>
      </c>
      <c r="F6472" s="1">
        <v>14370</v>
      </c>
      <c r="G6472">
        <v>1960</v>
      </c>
      <c r="H6472">
        <f>AVERAGEIFS(Table1[value],Table1[IndicatorCode],Table1[[#This Row],[IndicatorCode]])</f>
        <v>24902.88753799392</v>
      </c>
      <c r="I6472" cm="1">
        <f t="array" ref="I6472">_xlfn.STDEV.P(IF(Table1[IndicatorCode]=Table1[[#This Row],[IndicatorCode]],Table1[value]))</f>
        <v>26324.778297809873</v>
      </c>
      <c r="J6472">
        <f>(Table1[[#This Row],[value]] - Table1[[#This Row],[mean]]) / Table1[[#This Row],[std_dev]]</f>
        <v>-0.40011305769933941</v>
      </c>
      <c r="K6472">
        <f>AVERAGEIF(Table1[CountryCode],Table1[[#This Row],[CountryCode]],Table1[z-score])</f>
        <v>0.48073633366786628</v>
      </c>
      <c r="L6472" t="e">
        <f>VLOOKUP(Table1[[#This Row],[CountryCode]],[1]!Table1[#All],1,FALSE)</f>
        <v>#REF!</v>
      </c>
    </row>
    <row r="6473" spans="1:12" hidden="1" x14ac:dyDescent="0.3">
      <c r="A6473" t="s">
        <v>91</v>
      </c>
      <c r="B6473" t="s">
        <v>92</v>
      </c>
      <c r="C6473" t="s">
        <v>127</v>
      </c>
      <c r="D6473" t="s">
        <v>128</v>
      </c>
      <c r="E6473">
        <v>1961</v>
      </c>
      <c r="F6473" s="1">
        <v>14224</v>
      </c>
      <c r="G6473">
        <v>1960</v>
      </c>
      <c r="H6473">
        <f>AVERAGEIFS(Table1[value],Table1[IndicatorCode],Table1[[#This Row],[IndicatorCode]])</f>
        <v>24902.88753799392</v>
      </c>
      <c r="I6473" cm="1">
        <f t="array" ref="I6473">_xlfn.STDEV.P(IF(Table1[IndicatorCode]=Table1[[#This Row],[IndicatorCode]],Table1[value]))</f>
        <v>26324.778297809873</v>
      </c>
      <c r="J6473">
        <f>(Table1[[#This Row],[value]] - Table1[[#This Row],[mean]]) / Table1[[#This Row],[std_dev]]</f>
        <v>-0.40565916328656659</v>
      </c>
      <c r="K6473">
        <f>AVERAGEIF(Table1[CountryCode],Table1[[#This Row],[CountryCode]],Table1[z-score])</f>
        <v>0.48073633366786628</v>
      </c>
      <c r="L6473" t="e">
        <f>VLOOKUP(Table1[[#This Row],[CountryCode]],[1]!Table1[#All],1,FALSE)</f>
        <v>#REF!</v>
      </c>
    </row>
    <row r="6474" spans="1:12" hidden="1" x14ac:dyDescent="0.3">
      <c r="A6474" t="s">
        <v>91</v>
      </c>
      <c r="B6474" t="s">
        <v>92</v>
      </c>
      <c r="C6474" t="s">
        <v>127</v>
      </c>
      <c r="D6474" t="s">
        <v>128</v>
      </c>
      <c r="E6474">
        <v>1962</v>
      </c>
      <c r="F6474" s="1">
        <v>14983</v>
      </c>
      <c r="G6474">
        <v>1960</v>
      </c>
      <c r="H6474">
        <f>AVERAGEIFS(Table1[value],Table1[IndicatorCode],Table1[[#This Row],[IndicatorCode]])</f>
        <v>24902.88753799392</v>
      </c>
      <c r="I6474" cm="1">
        <f t="array" ref="I6474">_xlfn.STDEV.P(IF(Table1[IndicatorCode]=Table1[[#This Row],[IndicatorCode]],Table1[value]))</f>
        <v>26324.778297809873</v>
      </c>
      <c r="J6474">
        <f>(Table1[[#This Row],[value]] - Table1[[#This Row],[mean]]) / Table1[[#This Row],[std_dev]]</f>
        <v>-0.37682701163789928</v>
      </c>
      <c r="K6474">
        <f>AVERAGEIF(Table1[CountryCode],Table1[[#This Row],[CountryCode]],Table1[z-score])</f>
        <v>0.48073633366786628</v>
      </c>
      <c r="L6474" t="e">
        <f>VLOOKUP(Table1[[#This Row],[CountryCode]],[1]!Table1[#All],1,FALSE)</f>
        <v>#REF!</v>
      </c>
    </row>
    <row r="6475" spans="1:12" hidden="1" x14ac:dyDescent="0.3">
      <c r="A6475" t="s">
        <v>91</v>
      </c>
      <c r="B6475" t="s">
        <v>92</v>
      </c>
      <c r="C6475" t="s">
        <v>127</v>
      </c>
      <c r="D6475" t="s">
        <v>128</v>
      </c>
      <c r="E6475">
        <v>1963</v>
      </c>
      <c r="F6475" s="1">
        <v>15318</v>
      </c>
      <c r="G6475">
        <v>1960</v>
      </c>
      <c r="H6475">
        <f>AVERAGEIFS(Table1[value],Table1[IndicatorCode],Table1[[#This Row],[IndicatorCode]])</f>
        <v>24902.88753799392</v>
      </c>
      <c r="I6475" cm="1">
        <f t="array" ref="I6475">_xlfn.STDEV.P(IF(Table1[IndicatorCode]=Table1[[#This Row],[IndicatorCode]],Table1[value]))</f>
        <v>26324.778297809873</v>
      </c>
      <c r="J6475">
        <f>(Table1[[#This Row],[value]] - Table1[[#This Row],[mean]]) / Table1[[#This Row],[std_dev]]</f>
        <v>-0.36410135840693286</v>
      </c>
      <c r="K6475">
        <f>AVERAGEIF(Table1[CountryCode],Table1[[#This Row],[CountryCode]],Table1[z-score])</f>
        <v>0.48073633366786628</v>
      </c>
      <c r="L6475" t="e">
        <f>VLOOKUP(Table1[[#This Row],[CountryCode]],[1]!Table1[#All],1,FALSE)</f>
        <v>#REF!</v>
      </c>
    </row>
    <row r="6476" spans="1:12" hidden="1" x14ac:dyDescent="0.3">
      <c r="A6476" t="s">
        <v>91</v>
      </c>
      <c r="B6476" t="s">
        <v>92</v>
      </c>
      <c r="C6476" t="s">
        <v>127</v>
      </c>
      <c r="D6476" t="s">
        <v>128</v>
      </c>
      <c r="E6476">
        <v>1964</v>
      </c>
      <c r="F6476" s="1">
        <v>16365</v>
      </c>
      <c r="G6476">
        <v>1960</v>
      </c>
      <c r="H6476">
        <f>AVERAGEIFS(Table1[value],Table1[IndicatorCode],Table1[[#This Row],[IndicatorCode]])</f>
        <v>24902.88753799392</v>
      </c>
      <c r="I6476" cm="1">
        <f t="array" ref="I6476">_xlfn.STDEV.P(IF(Table1[IndicatorCode]=Table1[[#This Row],[IndicatorCode]],Table1[value]))</f>
        <v>26324.778297809873</v>
      </c>
      <c r="J6476">
        <f>(Table1[[#This Row],[value]] - Table1[[#This Row],[mean]]) / Table1[[#This Row],[std_dev]]</f>
        <v>-0.32432894368209136</v>
      </c>
      <c r="K6476">
        <f>AVERAGEIF(Table1[CountryCode],Table1[[#This Row],[CountryCode]],Table1[z-score])</f>
        <v>0.48073633366786628</v>
      </c>
      <c r="L6476" t="e">
        <f>VLOOKUP(Table1[[#This Row],[CountryCode]],[1]!Table1[#All],1,FALSE)</f>
        <v>#REF!</v>
      </c>
    </row>
    <row r="6477" spans="1:12" hidden="1" x14ac:dyDescent="0.3">
      <c r="A6477" t="s">
        <v>91</v>
      </c>
      <c r="B6477" t="s">
        <v>92</v>
      </c>
      <c r="C6477" t="s">
        <v>127</v>
      </c>
      <c r="D6477" t="s">
        <v>128</v>
      </c>
      <c r="E6477">
        <v>1965</v>
      </c>
      <c r="F6477" s="1">
        <v>17537</v>
      </c>
      <c r="G6477">
        <v>1960</v>
      </c>
      <c r="H6477">
        <f>AVERAGEIFS(Table1[value],Table1[IndicatorCode],Table1[[#This Row],[IndicatorCode]])</f>
        <v>24902.88753799392</v>
      </c>
      <c r="I6477" cm="1">
        <f t="array" ref="I6477">_xlfn.STDEV.P(IF(Table1[IndicatorCode]=Table1[[#This Row],[IndicatorCode]],Table1[value]))</f>
        <v>26324.778297809873</v>
      </c>
      <c r="J6477">
        <f>(Table1[[#This Row],[value]] - Table1[[#This Row],[mean]]) / Table1[[#This Row],[std_dev]]</f>
        <v>-0.27980815088599381</v>
      </c>
      <c r="K6477">
        <f>AVERAGEIF(Table1[CountryCode],Table1[[#This Row],[CountryCode]],Table1[z-score])</f>
        <v>0.48073633366786628</v>
      </c>
      <c r="L6477" t="e">
        <f>VLOOKUP(Table1[[#This Row],[CountryCode]],[1]!Table1[#All],1,FALSE)</f>
        <v>#REF!</v>
      </c>
    </row>
    <row r="6478" spans="1:12" hidden="1" x14ac:dyDescent="0.3">
      <c r="A6478" t="s">
        <v>91</v>
      </c>
      <c r="B6478" t="s">
        <v>92</v>
      </c>
      <c r="C6478" t="s">
        <v>127</v>
      </c>
      <c r="D6478" t="s">
        <v>128</v>
      </c>
      <c r="E6478">
        <v>1966</v>
      </c>
      <c r="F6478" s="1">
        <v>17784</v>
      </c>
      <c r="G6478">
        <v>1960</v>
      </c>
      <c r="H6478">
        <f>AVERAGEIFS(Table1[value],Table1[IndicatorCode],Table1[[#This Row],[IndicatorCode]])</f>
        <v>24902.88753799392</v>
      </c>
      <c r="I6478" cm="1">
        <f t="array" ref="I6478">_xlfn.STDEV.P(IF(Table1[IndicatorCode]=Table1[[#This Row],[IndicatorCode]],Table1[value]))</f>
        <v>26324.778297809873</v>
      </c>
      <c r="J6478">
        <f>(Table1[[#This Row],[value]] - Table1[[#This Row],[mean]]) / Table1[[#This Row],[std_dev]]</f>
        <v>-0.27042535581719168</v>
      </c>
      <c r="K6478">
        <f>AVERAGEIF(Table1[CountryCode],Table1[[#This Row],[CountryCode]],Table1[z-score])</f>
        <v>0.48073633366786628</v>
      </c>
      <c r="L6478" t="e">
        <f>VLOOKUP(Table1[[#This Row],[CountryCode]],[1]!Table1[#All],1,FALSE)</f>
        <v>#REF!</v>
      </c>
    </row>
    <row r="6479" spans="1:12" hidden="1" x14ac:dyDescent="0.3">
      <c r="A6479" t="s">
        <v>91</v>
      </c>
      <c r="B6479" t="s">
        <v>92</v>
      </c>
      <c r="C6479" t="s">
        <v>127</v>
      </c>
      <c r="D6479" t="s">
        <v>128</v>
      </c>
      <c r="E6479">
        <v>1967</v>
      </c>
      <c r="F6479" s="1">
        <v>18512</v>
      </c>
      <c r="G6479">
        <v>1970</v>
      </c>
      <c r="H6479">
        <f>AVERAGEIFS(Table1[value],Table1[IndicatorCode],Table1[[#This Row],[IndicatorCode]])</f>
        <v>24902.88753799392</v>
      </c>
      <c r="I6479" cm="1">
        <f t="array" ref="I6479">_xlfn.STDEV.P(IF(Table1[IndicatorCode]=Table1[[#This Row],[IndicatorCode]],Table1[value]))</f>
        <v>26324.778297809873</v>
      </c>
      <c r="J6479">
        <f>(Table1[[#This Row],[value]] - Table1[[#This Row],[mean]]) / Table1[[#This Row],[std_dev]]</f>
        <v>-0.2427708019301959</v>
      </c>
      <c r="K6479">
        <f>AVERAGEIF(Table1[CountryCode],Table1[[#This Row],[CountryCode]],Table1[z-score])</f>
        <v>0.48073633366786628</v>
      </c>
      <c r="L6479" t="e">
        <f>VLOOKUP(Table1[[#This Row],[CountryCode]],[1]!Table1[#All],1,FALSE)</f>
        <v>#REF!</v>
      </c>
    </row>
    <row r="6480" spans="1:12" hidden="1" x14ac:dyDescent="0.3">
      <c r="A6480" t="s">
        <v>91</v>
      </c>
      <c r="B6480" t="s">
        <v>92</v>
      </c>
      <c r="C6480" t="s">
        <v>127</v>
      </c>
      <c r="D6480" t="s">
        <v>128</v>
      </c>
      <c r="E6480">
        <v>1968</v>
      </c>
      <c r="F6480" s="1">
        <v>19496</v>
      </c>
      <c r="G6480">
        <v>1970</v>
      </c>
      <c r="H6480">
        <f>AVERAGEIFS(Table1[value],Table1[IndicatorCode],Table1[[#This Row],[IndicatorCode]])</f>
        <v>24902.88753799392</v>
      </c>
      <c r="I6480" cm="1">
        <f t="array" ref="I6480">_xlfn.STDEV.P(IF(Table1[IndicatorCode]=Table1[[#This Row],[IndicatorCode]],Table1[value]))</f>
        <v>26324.778297809873</v>
      </c>
      <c r="J6480">
        <f>(Table1[[#This Row],[value]] - Table1[[#This Row],[mean]]) / Table1[[#This Row],[std_dev]]</f>
        <v>-0.20539156975326753</v>
      </c>
      <c r="K6480">
        <f>AVERAGEIF(Table1[CountryCode],Table1[[#This Row],[CountryCode]],Table1[z-score])</f>
        <v>0.48073633366786628</v>
      </c>
      <c r="L6480" t="e">
        <f>VLOOKUP(Table1[[#This Row],[CountryCode]],[1]!Table1[#All],1,FALSE)</f>
        <v>#REF!</v>
      </c>
    </row>
    <row r="6481" spans="1:12" hidden="1" x14ac:dyDescent="0.3">
      <c r="A6481" t="s">
        <v>91</v>
      </c>
      <c r="B6481" t="s">
        <v>92</v>
      </c>
      <c r="C6481" t="s">
        <v>127</v>
      </c>
      <c r="D6481" t="s">
        <v>128</v>
      </c>
      <c r="E6481">
        <v>1969</v>
      </c>
      <c r="F6481" s="1">
        <v>20511</v>
      </c>
      <c r="G6481">
        <v>1970</v>
      </c>
      <c r="H6481">
        <f>AVERAGEIFS(Table1[value],Table1[IndicatorCode],Table1[[#This Row],[IndicatorCode]])</f>
        <v>24902.88753799392</v>
      </c>
      <c r="I6481" cm="1">
        <f t="array" ref="I6481">_xlfn.STDEV.P(IF(Table1[IndicatorCode]=Table1[[#This Row],[IndicatorCode]],Table1[value]))</f>
        <v>26324.778297809873</v>
      </c>
      <c r="J6481">
        <f>(Table1[[#This Row],[value]] - Table1[[#This Row],[mean]]) / Table1[[#This Row],[std_dev]]</f>
        <v>-0.16683473981466765</v>
      </c>
      <c r="K6481">
        <f>AVERAGEIF(Table1[CountryCode],Table1[[#This Row],[CountryCode]],Table1[z-score])</f>
        <v>0.48073633366786628</v>
      </c>
      <c r="L6481" t="e">
        <f>VLOOKUP(Table1[[#This Row],[CountryCode]],[1]!Table1[#All],1,FALSE)</f>
        <v>#REF!</v>
      </c>
    </row>
    <row r="6482" spans="1:12" hidden="1" x14ac:dyDescent="0.3">
      <c r="A6482" t="s">
        <v>91</v>
      </c>
      <c r="B6482" t="s">
        <v>92</v>
      </c>
      <c r="C6482" t="s">
        <v>127</v>
      </c>
      <c r="D6482" t="s">
        <v>128</v>
      </c>
      <c r="E6482">
        <v>1970</v>
      </c>
      <c r="F6482" s="1">
        <v>21502</v>
      </c>
      <c r="G6482">
        <v>1970</v>
      </c>
      <c r="H6482">
        <f>AVERAGEIFS(Table1[value],Table1[IndicatorCode],Table1[[#This Row],[IndicatorCode]])</f>
        <v>24902.88753799392</v>
      </c>
      <c r="I6482" cm="1">
        <f t="array" ref="I6482">_xlfn.STDEV.P(IF(Table1[IndicatorCode]=Table1[[#This Row],[IndicatorCode]],Table1[value]))</f>
        <v>26324.778297809873</v>
      </c>
      <c r="J6482">
        <f>(Table1[[#This Row],[value]] - Table1[[#This Row],[mean]]) / Table1[[#This Row],[std_dev]]</f>
        <v>-0.12918959846574896</v>
      </c>
      <c r="K6482">
        <f>AVERAGEIF(Table1[CountryCode],Table1[[#This Row],[CountryCode]],Table1[z-score])</f>
        <v>0.48073633366786628</v>
      </c>
      <c r="L6482" t="e">
        <f>VLOOKUP(Table1[[#This Row],[CountryCode]],[1]!Table1[#All],1,FALSE)</f>
        <v>#REF!</v>
      </c>
    </row>
    <row r="6483" spans="1:12" hidden="1" x14ac:dyDescent="0.3">
      <c r="A6483" t="s">
        <v>91</v>
      </c>
      <c r="B6483" t="s">
        <v>92</v>
      </c>
      <c r="C6483" t="s">
        <v>127</v>
      </c>
      <c r="D6483" t="s">
        <v>128</v>
      </c>
      <c r="E6483">
        <v>1971</v>
      </c>
      <c r="F6483" s="1">
        <v>22165</v>
      </c>
      <c r="G6483">
        <v>1970</v>
      </c>
      <c r="H6483">
        <f>AVERAGEIFS(Table1[value],Table1[IndicatorCode],Table1[[#This Row],[IndicatorCode]])</f>
        <v>24902.88753799392</v>
      </c>
      <c r="I6483" cm="1">
        <f t="array" ref="I6483">_xlfn.STDEV.P(IF(Table1[IndicatorCode]=Table1[[#This Row],[IndicatorCode]],Table1[value]))</f>
        <v>26324.778297809873</v>
      </c>
      <c r="J6483">
        <f>(Table1[[#This Row],[value]] - Table1[[#This Row],[mean]]) / Table1[[#This Row],[std_dev]]</f>
        <v>-0.10400420117580639</v>
      </c>
      <c r="K6483">
        <f>AVERAGEIF(Table1[CountryCode],Table1[[#This Row],[CountryCode]],Table1[z-score])</f>
        <v>0.48073633366786628</v>
      </c>
      <c r="L6483" t="e">
        <f>VLOOKUP(Table1[[#This Row],[CountryCode]],[1]!Table1[#All],1,FALSE)</f>
        <v>#REF!</v>
      </c>
    </row>
    <row r="6484" spans="1:12" hidden="1" x14ac:dyDescent="0.3">
      <c r="A6484" t="s">
        <v>91</v>
      </c>
      <c r="B6484" t="s">
        <v>92</v>
      </c>
      <c r="C6484" t="s">
        <v>127</v>
      </c>
      <c r="D6484" t="s">
        <v>128</v>
      </c>
      <c r="E6484">
        <v>1972</v>
      </c>
      <c r="F6484" s="1">
        <v>22718</v>
      </c>
      <c r="G6484">
        <v>1970</v>
      </c>
      <c r="H6484">
        <f>AVERAGEIFS(Table1[value],Table1[IndicatorCode],Table1[[#This Row],[IndicatorCode]])</f>
        <v>24902.88753799392</v>
      </c>
      <c r="I6484" cm="1">
        <f t="array" ref="I6484">_xlfn.STDEV.P(IF(Table1[IndicatorCode]=Table1[[#This Row],[IndicatorCode]],Table1[value]))</f>
        <v>26324.778297809873</v>
      </c>
      <c r="J6484">
        <f>(Table1[[#This Row],[value]] - Table1[[#This Row],[mean]]) / Table1[[#This Row],[std_dev]]</f>
        <v>-8.2997376588569205E-2</v>
      </c>
      <c r="K6484">
        <f>AVERAGEIF(Table1[CountryCode],Table1[[#This Row],[CountryCode]],Table1[z-score])</f>
        <v>0.48073633366786628</v>
      </c>
      <c r="L6484" t="e">
        <f>VLOOKUP(Table1[[#This Row],[CountryCode]],[1]!Table1[#All],1,FALSE)</f>
        <v>#REF!</v>
      </c>
    </row>
    <row r="6485" spans="1:12" hidden="1" x14ac:dyDescent="0.3">
      <c r="A6485" t="s">
        <v>91</v>
      </c>
      <c r="B6485" t="s">
        <v>92</v>
      </c>
      <c r="C6485" t="s">
        <v>127</v>
      </c>
      <c r="D6485" t="s">
        <v>128</v>
      </c>
      <c r="E6485">
        <v>1973</v>
      </c>
      <c r="F6485" s="1">
        <v>23757</v>
      </c>
      <c r="G6485">
        <v>1970</v>
      </c>
      <c r="H6485">
        <f>AVERAGEIFS(Table1[value],Table1[IndicatorCode],Table1[[#This Row],[IndicatorCode]])</f>
        <v>24902.88753799392</v>
      </c>
      <c r="I6485" cm="1">
        <f t="array" ref="I6485">_xlfn.STDEV.P(IF(Table1[IndicatorCode]=Table1[[#This Row],[IndicatorCode]],Table1[value]))</f>
        <v>26324.778297809873</v>
      </c>
      <c r="J6485">
        <f>(Table1[[#This Row],[value]] - Table1[[#This Row],[mean]]) / Table1[[#This Row],[std_dev]]</f>
        <v>-4.3528858060288153E-2</v>
      </c>
      <c r="K6485">
        <f>AVERAGEIF(Table1[CountryCode],Table1[[#This Row],[CountryCode]],Table1[z-score])</f>
        <v>0.48073633366786628</v>
      </c>
      <c r="L6485" t="e">
        <f>VLOOKUP(Table1[[#This Row],[CountryCode]],[1]!Table1[#All],1,FALSE)</f>
        <v>#REF!</v>
      </c>
    </row>
    <row r="6486" spans="1:12" hidden="1" x14ac:dyDescent="0.3">
      <c r="A6486" t="s">
        <v>91</v>
      </c>
      <c r="B6486" t="s">
        <v>92</v>
      </c>
      <c r="C6486" t="s">
        <v>127</v>
      </c>
      <c r="D6486" t="s">
        <v>128</v>
      </c>
      <c r="E6486">
        <v>1974</v>
      </c>
      <c r="F6486" s="1">
        <v>24382</v>
      </c>
      <c r="G6486">
        <v>1970</v>
      </c>
      <c r="H6486">
        <f>AVERAGEIFS(Table1[value],Table1[IndicatorCode],Table1[[#This Row],[IndicatorCode]])</f>
        <v>24902.88753799392</v>
      </c>
      <c r="I6486" cm="1">
        <f t="array" ref="I6486">_xlfn.STDEV.P(IF(Table1[IndicatorCode]=Table1[[#This Row],[IndicatorCode]],Table1[value]))</f>
        <v>26324.778297809873</v>
      </c>
      <c r="J6486">
        <f>(Table1[[#This Row],[value]] - Table1[[#This Row],[mean]]) / Table1[[#This Row],[std_dev]]</f>
        <v>-1.9786967704007442E-2</v>
      </c>
      <c r="K6486">
        <f>AVERAGEIF(Table1[CountryCode],Table1[[#This Row],[CountryCode]],Table1[z-score])</f>
        <v>0.48073633366786628</v>
      </c>
      <c r="L6486" t="e">
        <f>VLOOKUP(Table1[[#This Row],[CountryCode]],[1]!Table1[#All],1,FALSE)</f>
        <v>#REF!</v>
      </c>
    </row>
    <row r="6487" spans="1:12" hidden="1" x14ac:dyDescent="0.3">
      <c r="A6487" t="s">
        <v>91</v>
      </c>
      <c r="B6487" t="s">
        <v>92</v>
      </c>
      <c r="C6487" t="s">
        <v>127</v>
      </c>
      <c r="D6487" t="s">
        <v>128</v>
      </c>
      <c r="E6487">
        <v>1975</v>
      </c>
      <c r="F6487" s="1">
        <v>24166</v>
      </c>
      <c r="G6487">
        <v>1970</v>
      </c>
      <c r="H6487">
        <f>AVERAGEIFS(Table1[value],Table1[IndicatorCode],Table1[[#This Row],[IndicatorCode]])</f>
        <v>24902.88753799392</v>
      </c>
      <c r="I6487" cm="1">
        <f t="array" ref="I6487">_xlfn.STDEV.P(IF(Table1[IndicatorCode]=Table1[[#This Row],[IndicatorCode]],Table1[value]))</f>
        <v>26324.778297809873</v>
      </c>
      <c r="J6487">
        <f>(Table1[[#This Row],[value]] - Table1[[#This Row],[mean]]) / Table1[[#This Row],[std_dev]]</f>
        <v>-2.7992165011138055E-2</v>
      </c>
      <c r="K6487">
        <f>AVERAGEIF(Table1[CountryCode],Table1[[#This Row],[CountryCode]],Table1[z-score])</f>
        <v>0.48073633366786628</v>
      </c>
      <c r="L6487" t="e">
        <f>VLOOKUP(Table1[[#This Row],[CountryCode]],[1]!Table1[#All],1,FALSE)</f>
        <v>#REF!</v>
      </c>
    </row>
    <row r="6488" spans="1:12" hidden="1" x14ac:dyDescent="0.3">
      <c r="A6488" t="s">
        <v>91</v>
      </c>
      <c r="B6488" t="s">
        <v>92</v>
      </c>
      <c r="C6488" t="s">
        <v>127</v>
      </c>
      <c r="D6488" t="s">
        <v>128</v>
      </c>
      <c r="E6488">
        <v>1976</v>
      </c>
      <c r="F6488" s="1">
        <v>25046</v>
      </c>
      <c r="G6488">
        <v>1970</v>
      </c>
      <c r="H6488">
        <f>AVERAGEIFS(Table1[value],Table1[IndicatorCode],Table1[[#This Row],[IndicatorCode]])</f>
        <v>24902.88753799392</v>
      </c>
      <c r="I6488" cm="1">
        <f t="array" ref="I6488">_xlfn.STDEV.P(IF(Table1[IndicatorCode]=Table1[[#This Row],[IndicatorCode]],Table1[value]))</f>
        <v>26324.778297809873</v>
      </c>
      <c r="J6488">
        <f>(Table1[[#This Row],[value]] - Table1[[#This Row],[mean]]) / Table1[[#This Row],[std_dev]]</f>
        <v>5.4364166105051858E-3</v>
      </c>
      <c r="K6488">
        <f>AVERAGEIF(Table1[CountryCode],Table1[[#This Row],[CountryCode]],Table1[z-score])</f>
        <v>0.48073633366786628</v>
      </c>
      <c r="L6488" t="e">
        <f>VLOOKUP(Table1[[#This Row],[CountryCode]],[1]!Table1[#All],1,FALSE)</f>
        <v>#REF!</v>
      </c>
    </row>
    <row r="6489" spans="1:12" hidden="1" x14ac:dyDescent="0.3">
      <c r="A6489" t="s">
        <v>91</v>
      </c>
      <c r="B6489" t="s">
        <v>92</v>
      </c>
      <c r="C6489" t="s">
        <v>127</v>
      </c>
      <c r="D6489" t="s">
        <v>128</v>
      </c>
      <c r="E6489">
        <v>1977</v>
      </c>
      <c r="F6489" s="1">
        <v>25525</v>
      </c>
      <c r="G6489">
        <v>1980</v>
      </c>
      <c r="H6489">
        <f>AVERAGEIFS(Table1[value],Table1[IndicatorCode],Table1[[#This Row],[IndicatorCode]])</f>
        <v>24902.88753799392</v>
      </c>
      <c r="I6489" cm="1">
        <f t="array" ref="I6489">_xlfn.STDEV.P(IF(Table1[IndicatorCode]=Table1[[#This Row],[IndicatorCode]],Table1[value]))</f>
        <v>26324.778297809873</v>
      </c>
      <c r="J6489">
        <f>(Table1[[#This Row],[value]] - Table1[[#This Row],[mean]]) / Table1[[#This Row],[std_dev]]</f>
        <v>2.3632201379558723E-2</v>
      </c>
      <c r="K6489">
        <f>AVERAGEIF(Table1[CountryCode],Table1[[#This Row],[CountryCode]],Table1[z-score])</f>
        <v>0.48073633366786628</v>
      </c>
      <c r="L6489" t="e">
        <f>VLOOKUP(Table1[[#This Row],[CountryCode]],[1]!Table1[#All],1,FALSE)</f>
        <v>#REF!</v>
      </c>
    </row>
    <row r="6490" spans="1:12" hidden="1" x14ac:dyDescent="0.3">
      <c r="A6490" t="s">
        <v>91</v>
      </c>
      <c r="B6490" t="s">
        <v>92</v>
      </c>
      <c r="C6490" t="s">
        <v>127</v>
      </c>
      <c r="D6490" t="s">
        <v>128</v>
      </c>
      <c r="E6490">
        <v>1978</v>
      </c>
      <c r="F6490" s="1">
        <v>26052</v>
      </c>
      <c r="G6490">
        <v>1980</v>
      </c>
      <c r="H6490">
        <f>AVERAGEIFS(Table1[value],Table1[IndicatorCode],Table1[[#This Row],[IndicatorCode]])</f>
        <v>24902.88753799392</v>
      </c>
      <c r="I6490" cm="1">
        <f t="array" ref="I6490">_xlfn.STDEV.P(IF(Table1[IndicatorCode]=Table1[[#This Row],[IndicatorCode]],Table1[value]))</f>
        <v>26324.778297809873</v>
      </c>
      <c r="J6490">
        <f>(Table1[[#This Row],[value]] - Table1[[#This Row],[mean]]) / Table1[[#This Row],[std_dev]]</f>
        <v>4.3651363327974618E-2</v>
      </c>
      <c r="K6490">
        <f>AVERAGEIF(Table1[CountryCode],Table1[[#This Row],[CountryCode]],Table1[z-score])</f>
        <v>0.48073633366786628</v>
      </c>
      <c r="L6490" t="e">
        <f>VLOOKUP(Table1[[#This Row],[CountryCode]],[1]!Table1[#All],1,FALSE)</f>
        <v>#REF!</v>
      </c>
    </row>
    <row r="6491" spans="1:12" hidden="1" x14ac:dyDescent="0.3">
      <c r="A6491" t="s">
        <v>91</v>
      </c>
      <c r="B6491" t="s">
        <v>92</v>
      </c>
      <c r="C6491" t="s">
        <v>127</v>
      </c>
      <c r="D6491" t="s">
        <v>128</v>
      </c>
      <c r="E6491">
        <v>1979</v>
      </c>
      <c r="F6491" s="1">
        <v>26394</v>
      </c>
      <c r="G6491">
        <v>1980</v>
      </c>
      <c r="H6491">
        <f>AVERAGEIFS(Table1[value],Table1[IndicatorCode],Table1[[#This Row],[IndicatorCode]])</f>
        <v>24902.88753799392</v>
      </c>
      <c r="I6491" cm="1">
        <f t="array" ref="I6491">_xlfn.STDEV.P(IF(Table1[IndicatorCode]=Table1[[#This Row],[IndicatorCode]],Table1[value]))</f>
        <v>26324.778297809873</v>
      </c>
      <c r="J6491">
        <f>(Table1[[#This Row],[value]] - Table1[[#This Row],[mean]]) / Table1[[#This Row],[std_dev]]</f>
        <v>5.6642925730931423E-2</v>
      </c>
      <c r="K6491">
        <f>AVERAGEIF(Table1[CountryCode],Table1[[#This Row],[CountryCode]],Table1[z-score])</f>
        <v>0.48073633366786628</v>
      </c>
      <c r="L6491" t="e">
        <f>VLOOKUP(Table1[[#This Row],[CountryCode]],[1]!Table1[#All],1,FALSE)</f>
        <v>#REF!</v>
      </c>
    </row>
    <row r="6492" spans="1:12" hidden="1" x14ac:dyDescent="0.3">
      <c r="A6492" t="s">
        <v>91</v>
      </c>
      <c r="B6492" t="s">
        <v>92</v>
      </c>
      <c r="C6492" t="s">
        <v>127</v>
      </c>
      <c r="D6492" t="s">
        <v>128</v>
      </c>
      <c r="E6492">
        <v>1980</v>
      </c>
      <c r="F6492" s="1">
        <v>26538</v>
      </c>
      <c r="G6492">
        <v>1980</v>
      </c>
      <c r="H6492">
        <f>AVERAGEIFS(Table1[value],Table1[IndicatorCode],Table1[[#This Row],[IndicatorCode]])</f>
        <v>24902.88753799392</v>
      </c>
      <c r="I6492" cm="1">
        <f t="array" ref="I6492">_xlfn.STDEV.P(IF(Table1[IndicatorCode]=Table1[[#This Row],[IndicatorCode]],Table1[value]))</f>
        <v>26324.778297809873</v>
      </c>
      <c r="J6492">
        <f>(Table1[[#This Row],[value]] - Table1[[#This Row],[mean]]) / Table1[[#This Row],[std_dev]]</f>
        <v>6.2113057269018501E-2</v>
      </c>
      <c r="K6492">
        <f>AVERAGEIF(Table1[CountryCode],Table1[[#This Row],[CountryCode]],Table1[z-score])</f>
        <v>0.48073633366786628</v>
      </c>
      <c r="L6492" t="e">
        <f>VLOOKUP(Table1[[#This Row],[CountryCode]],[1]!Table1[#All],1,FALSE)</f>
        <v>#REF!</v>
      </c>
    </row>
    <row r="6493" spans="1:12" hidden="1" x14ac:dyDescent="0.3">
      <c r="A6493" t="s">
        <v>91</v>
      </c>
      <c r="B6493" t="s">
        <v>92</v>
      </c>
      <c r="C6493" t="s">
        <v>127</v>
      </c>
      <c r="D6493" t="s">
        <v>128</v>
      </c>
      <c r="E6493">
        <v>1981</v>
      </c>
      <c r="F6493" s="1">
        <v>26150</v>
      </c>
      <c r="G6493">
        <v>1980</v>
      </c>
      <c r="H6493">
        <f>AVERAGEIFS(Table1[value],Table1[IndicatorCode],Table1[[#This Row],[IndicatorCode]])</f>
        <v>24902.88753799392</v>
      </c>
      <c r="I6493" cm="1">
        <f t="array" ref="I6493">_xlfn.STDEV.P(IF(Table1[IndicatorCode]=Table1[[#This Row],[IndicatorCode]],Table1[value]))</f>
        <v>26324.778297809873</v>
      </c>
      <c r="J6493">
        <f>(Table1[[#This Row],[value]] - Table1[[#This Row],[mean]]) / Table1[[#This Row],[std_dev]]</f>
        <v>4.7374091735839438E-2</v>
      </c>
      <c r="K6493">
        <f>AVERAGEIF(Table1[CountryCode],Table1[[#This Row],[CountryCode]],Table1[z-score])</f>
        <v>0.48073633366786628</v>
      </c>
      <c r="L6493" t="e">
        <f>VLOOKUP(Table1[[#This Row],[CountryCode]],[1]!Table1[#All],1,FALSE)</f>
        <v>#REF!</v>
      </c>
    </row>
    <row r="6494" spans="1:12" hidden="1" x14ac:dyDescent="0.3">
      <c r="A6494" t="s">
        <v>91</v>
      </c>
      <c r="B6494" t="s">
        <v>92</v>
      </c>
      <c r="C6494" t="s">
        <v>127</v>
      </c>
      <c r="D6494" t="s">
        <v>128</v>
      </c>
      <c r="E6494">
        <v>1982</v>
      </c>
      <c r="F6494" s="1">
        <v>25707</v>
      </c>
      <c r="G6494">
        <v>1980</v>
      </c>
      <c r="H6494">
        <f>AVERAGEIFS(Table1[value],Table1[IndicatorCode],Table1[[#This Row],[IndicatorCode]])</f>
        <v>24902.88753799392</v>
      </c>
      <c r="I6494" cm="1">
        <f t="array" ref="I6494">_xlfn.STDEV.P(IF(Table1[IndicatorCode]=Table1[[#This Row],[IndicatorCode]],Table1[value]))</f>
        <v>26324.778297809873</v>
      </c>
      <c r="J6494">
        <f>(Table1[[#This Row],[value]] - Table1[[#This Row],[mean]]) / Table1[[#This Row],[std_dev]]</f>
        <v>3.0545839851307665E-2</v>
      </c>
      <c r="K6494">
        <f>AVERAGEIF(Table1[CountryCode],Table1[[#This Row],[CountryCode]],Table1[z-score])</f>
        <v>0.48073633366786628</v>
      </c>
      <c r="L6494" t="e">
        <f>VLOOKUP(Table1[[#This Row],[CountryCode]],[1]!Table1[#All],1,FALSE)</f>
        <v>#REF!</v>
      </c>
    </row>
    <row r="6495" spans="1:12" hidden="1" x14ac:dyDescent="0.3">
      <c r="A6495" t="s">
        <v>91</v>
      </c>
      <c r="B6495" t="s">
        <v>92</v>
      </c>
      <c r="C6495" t="s">
        <v>127</v>
      </c>
      <c r="D6495" t="s">
        <v>128</v>
      </c>
      <c r="E6495">
        <v>1983</v>
      </c>
      <c r="F6495" s="1">
        <v>26140</v>
      </c>
      <c r="G6495">
        <v>1980</v>
      </c>
      <c r="H6495">
        <f>AVERAGEIFS(Table1[value],Table1[IndicatorCode],Table1[[#This Row],[IndicatorCode]])</f>
        <v>24902.88753799392</v>
      </c>
      <c r="I6495" cm="1">
        <f t="array" ref="I6495">_xlfn.STDEV.P(IF(Table1[IndicatorCode]=Table1[[#This Row],[IndicatorCode]],Table1[value]))</f>
        <v>26324.778297809873</v>
      </c>
      <c r="J6495">
        <f>(Table1[[#This Row],[value]] - Table1[[#This Row],[mean]]) / Table1[[#This Row],[std_dev]]</f>
        <v>4.6994221490138946E-2</v>
      </c>
      <c r="K6495">
        <f>AVERAGEIF(Table1[CountryCode],Table1[[#This Row],[CountryCode]],Table1[z-score])</f>
        <v>0.48073633366786628</v>
      </c>
      <c r="L6495" t="e">
        <f>VLOOKUP(Table1[[#This Row],[CountryCode]],[1]!Table1[#All],1,FALSE)</f>
        <v>#REF!</v>
      </c>
    </row>
    <row r="6496" spans="1:12" hidden="1" x14ac:dyDescent="0.3">
      <c r="A6496" t="s">
        <v>91</v>
      </c>
      <c r="B6496" t="s">
        <v>92</v>
      </c>
      <c r="C6496" t="s">
        <v>127</v>
      </c>
      <c r="D6496" t="s">
        <v>128</v>
      </c>
      <c r="E6496">
        <v>1984</v>
      </c>
      <c r="F6496" s="1">
        <v>26833</v>
      </c>
      <c r="G6496">
        <v>1980</v>
      </c>
      <c r="H6496">
        <f>AVERAGEIFS(Table1[value],Table1[IndicatorCode],Table1[[#This Row],[IndicatorCode]])</f>
        <v>24902.88753799392</v>
      </c>
      <c r="I6496" cm="1">
        <f t="array" ref="I6496">_xlfn.STDEV.P(IF(Table1[IndicatorCode]=Table1[[#This Row],[IndicatorCode]],Table1[value]))</f>
        <v>26324.778297809873</v>
      </c>
      <c r="J6496">
        <f>(Table1[[#This Row],[value]] - Table1[[#This Row],[mean]]) / Table1[[#This Row],[std_dev]]</f>
        <v>7.3319229517182991E-2</v>
      </c>
      <c r="K6496">
        <f>AVERAGEIF(Table1[CountryCode],Table1[[#This Row],[CountryCode]],Table1[z-score])</f>
        <v>0.48073633366786628</v>
      </c>
      <c r="L6496" t="e">
        <f>VLOOKUP(Table1[[#This Row],[CountryCode]],[1]!Table1[#All],1,FALSE)</f>
        <v>#REF!</v>
      </c>
    </row>
    <row r="6497" spans="1:12" hidden="1" x14ac:dyDescent="0.3">
      <c r="A6497" t="s">
        <v>91</v>
      </c>
      <c r="B6497" t="s">
        <v>92</v>
      </c>
      <c r="C6497" t="s">
        <v>127</v>
      </c>
      <c r="D6497" t="s">
        <v>128</v>
      </c>
      <c r="E6497">
        <v>1985</v>
      </c>
      <c r="F6497" s="1">
        <v>27398</v>
      </c>
      <c r="G6497">
        <v>1980</v>
      </c>
      <c r="H6497">
        <f>AVERAGEIFS(Table1[value],Table1[IndicatorCode],Table1[[#This Row],[IndicatorCode]])</f>
        <v>24902.88753799392</v>
      </c>
      <c r="I6497" cm="1">
        <f t="array" ref="I6497">_xlfn.STDEV.P(IF(Table1[IndicatorCode]=Table1[[#This Row],[IndicatorCode]],Table1[value]))</f>
        <v>26324.778297809873</v>
      </c>
      <c r="J6497">
        <f>(Table1[[#This Row],[value]] - Table1[[#This Row],[mean]]) / Table1[[#This Row],[std_dev]]</f>
        <v>9.4781898399260767E-2</v>
      </c>
      <c r="K6497">
        <f>AVERAGEIF(Table1[CountryCode],Table1[[#This Row],[CountryCode]],Table1[z-score])</f>
        <v>0.48073633366786628</v>
      </c>
      <c r="L6497" t="e">
        <f>VLOOKUP(Table1[[#This Row],[CountryCode]],[1]!Table1[#All],1,FALSE)</f>
        <v>#REF!</v>
      </c>
    </row>
    <row r="6498" spans="1:12" hidden="1" x14ac:dyDescent="0.3">
      <c r="A6498" t="s">
        <v>91</v>
      </c>
      <c r="B6498" t="s">
        <v>92</v>
      </c>
      <c r="C6498" t="s">
        <v>127</v>
      </c>
      <c r="D6498" t="s">
        <v>128</v>
      </c>
      <c r="E6498">
        <v>1986</v>
      </c>
      <c r="F6498" s="1">
        <v>28005</v>
      </c>
      <c r="G6498">
        <v>1980</v>
      </c>
      <c r="H6498">
        <f>AVERAGEIFS(Table1[value],Table1[IndicatorCode],Table1[[#This Row],[IndicatorCode]])</f>
        <v>24902.88753799392</v>
      </c>
      <c r="I6498" cm="1">
        <f t="array" ref="I6498">_xlfn.STDEV.P(IF(Table1[IndicatorCode]=Table1[[#This Row],[IndicatorCode]],Table1[value]))</f>
        <v>26324.778297809873</v>
      </c>
      <c r="J6498">
        <f>(Table1[[#This Row],[value]] - Table1[[#This Row],[mean]]) / Table1[[#This Row],[std_dev]]</f>
        <v>0.11784002231328058</v>
      </c>
      <c r="K6498">
        <f>AVERAGEIF(Table1[CountryCode],Table1[[#This Row],[CountryCode]],Table1[z-score])</f>
        <v>0.48073633366786628</v>
      </c>
      <c r="L6498" t="e">
        <f>VLOOKUP(Table1[[#This Row],[CountryCode]],[1]!Table1[#All],1,FALSE)</f>
        <v>#REF!</v>
      </c>
    </row>
    <row r="6499" spans="1:12" hidden="1" x14ac:dyDescent="0.3">
      <c r="A6499" t="s">
        <v>91</v>
      </c>
      <c r="B6499" t="s">
        <v>92</v>
      </c>
      <c r="C6499" t="s">
        <v>127</v>
      </c>
      <c r="D6499" t="s">
        <v>128</v>
      </c>
      <c r="E6499">
        <v>1987</v>
      </c>
      <c r="F6499" s="1">
        <v>28366</v>
      </c>
      <c r="G6499">
        <v>1990</v>
      </c>
      <c r="H6499">
        <f>AVERAGEIFS(Table1[value],Table1[IndicatorCode],Table1[[#This Row],[IndicatorCode]])</f>
        <v>24902.88753799392</v>
      </c>
      <c r="I6499" cm="1">
        <f t="array" ref="I6499">_xlfn.STDEV.P(IF(Table1[IndicatorCode]=Table1[[#This Row],[IndicatorCode]],Table1[value]))</f>
        <v>26324.778297809873</v>
      </c>
      <c r="J6499">
        <f>(Table1[[#This Row],[value]] - Table1[[#This Row],[mean]]) / Table1[[#This Row],[std_dev]]</f>
        <v>0.13155333818306833</v>
      </c>
      <c r="K6499">
        <f>AVERAGEIF(Table1[CountryCode],Table1[[#This Row],[CountryCode]],Table1[z-score])</f>
        <v>0.48073633366786628</v>
      </c>
      <c r="L6499" t="e">
        <f>VLOOKUP(Table1[[#This Row],[CountryCode]],[1]!Table1[#All],1,FALSE)</f>
        <v>#REF!</v>
      </c>
    </row>
    <row r="6500" spans="1:12" hidden="1" x14ac:dyDescent="0.3">
      <c r="A6500" t="s">
        <v>91</v>
      </c>
      <c r="B6500" t="s">
        <v>92</v>
      </c>
      <c r="C6500" t="s">
        <v>127</v>
      </c>
      <c r="D6500" t="s">
        <v>128</v>
      </c>
      <c r="E6500">
        <v>1988</v>
      </c>
      <c r="F6500" s="1">
        <v>29153</v>
      </c>
      <c r="G6500">
        <v>1990</v>
      </c>
      <c r="H6500">
        <f>AVERAGEIFS(Table1[value],Table1[IndicatorCode],Table1[[#This Row],[IndicatorCode]])</f>
        <v>24902.88753799392</v>
      </c>
      <c r="I6500" cm="1">
        <f t="array" ref="I6500">_xlfn.STDEV.P(IF(Table1[IndicatorCode]=Table1[[#This Row],[IndicatorCode]],Table1[value]))</f>
        <v>26324.778297809873</v>
      </c>
      <c r="J6500">
        <f>(Table1[[#This Row],[value]] - Table1[[#This Row],[mean]]) / Table1[[#This Row],[std_dev]]</f>
        <v>0.16144912651969701</v>
      </c>
      <c r="K6500">
        <f>AVERAGEIF(Table1[CountryCode],Table1[[#This Row],[CountryCode]],Table1[z-score])</f>
        <v>0.48073633366786628</v>
      </c>
      <c r="L6500" t="e">
        <f>VLOOKUP(Table1[[#This Row],[CountryCode]],[1]!Table1[#All],1,FALSE)</f>
        <v>#REF!</v>
      </c>
    </row>
    <row r="6501" spans="1:12" hidden="1" x14ac:dyDescent="0.3">
      <c r="A6501" t="s">
        <v>91</v>
      </c>
      <c r="B6501" t="s">
        <v>92</v>
      </c>
      <c r="C6501" t="s">
        <v>127</v>
      </c>
      <c r="D6501" t="s">
        <v>128</v>
      </c>
      <c r="E6501">
        <v>1989</v>
      </c>
      <c r="F6501" s="1">
        <v>30259</v>
      </c>
      <c r="G6501">
        <v>1990</v>
      </c>
      <c r="H6501">
        <f>AVERAGEIFS(Table1[value],Table1[IndicatorCode],Table1[[#This Row],[IndicatorCode]])</f>
        <v>24902.88753799392</v>
      </c>
      <c r="I6501" cm="1">
        <f t="array" ref="I6501">_xlfn.STDEV.P(IF(Table1[IndicatorCode]=Table1[[#This Row],[IndicatorCode]],Table1[value]))</f>
        <v>26324.778297809873</v>
      </c>
      <c r="J6501">
        <f>(Table1[[#This Row],[value]] - Table1[[#This Row],[mean]]) / Table1[[#This Row],[std_dev]]</f>
        <v>0.20346277569417134</v>
      </c>
      <c r="K6501">
        <f>AVERAGEIF(Table1[CountryCode],Table1[[#This Row],[CountryCode]],Table1[z-score])</f>
        <v>0.48073633366786628</v>
      </c>
      <c r="L6501" t="e">
        <f>VLOOKUP(Table1[[#This Row],[CountryCode]],[1]!Table1[#All],1,FALSE)</f>
        <v>#REF!</v>
      </c>
    </row>
    <row r="6502" spans="1:12" hidden="1" x14ac:dyDescent="0.3">
      <c r="A6502" t="s">
        <v>91</v>
      </c>
      <c r="B6502" t="s">
        <v>92</v>
      </c>
      <c r="C6502" t="s">
        <v>127</v>
      </c>
      <c r="D6502" t="s">
        <v>128</v>
      </c>
      <c r="E6502">
        <v>1990</v>
      </c>
      <c r="F6502" s="1">
        <v>31309</v>
      </c>
      <c r="G6502">
        <v>1990</v>
      </c>
      <c r="H6502">
        <f>AVERAGEIFS(Table1[value],Table1[IndicatorCode],Table1[[#This Row],[IndicatorCode]])</f>
        <v>24902.88753799392</v>
      </c>
      <c r="I6502" cm="1">
        <f t="array" ref="I6502">_xlfn.STDEV.P(IF(Table1[IndicatorCode]=Table1[[#This Row],[IndicatorCode]],Table1[value]))</f>
        <v>26324.778297809873</v>
      </c>
      <c r="J6502">
        <f>(Table1[[#This Row],[value]] - Table1[[#This Row],[mean]]) / Table1[[#This Row],[std_dev]]</f>
        <v>0.24334915149272293</v>
      </c>
      <c r="K6502">
        <f>AVERAGEIF(Table1[CountryCode],Table1[[#This Row],[CountryCode]],Table1[z-score])</f>
        <v>0.48073633366786628</v>
      </c>
      <c r="L6502" t="e">
        <f>VLOOKUP(Table1[[#This Row],[CountryCode]],[1]!Table1[#All],1,FALSE)</f>
        <v>#REF!</v>
      </c>
    </row>
    <row r="6503" spans="1:12" hidden="1" x14ac:dyDescent="0.3">
      <c r="A6503" t="s">
        <v>91</v>
      </c>
      <c r="B6503" t="s">
        <v>92</v>
      </c>
      <c r="C6503" t="s">
        <v>127</v>
      </c>
      <c r="D6503" t="s">
        <v>128</v>
      </c>
      <c r="E6503">
        <v>1991</v>
      </c>
      <c r="F6503" s="1">
        <v>31821</v>
      </c>
      <c r="G6503">
        <v>1990</v>
      </c>
      <c r="H6503">
        <f>AVERAGEIFS(Table1[value],Table1[IndicatorCode],Table1[[#This Row],[IndicatorCode]])</f>
        <v>24902.88753799392</v>
      </c>
      <c r="I6503" cm="1">
        <f t="array" ref="I6503">_xlfn.STDEV.P(IF(Table1[IndicatorCode]=Table1[[#This Row],[IndicatorCode]],Table1[value]))</f>
        <v>26324.778297809873</v>
      </c>
      <c r="J6503">
        <f>(Table1[[#This Row],[value]] - Table1[[#This Row],[mean]]) / Table1[[#This Row],[std_dev]]</f>
        <v>0.26279850807258809</v>
      </c>
      <c r="K6503">
        <f>AVERAGEIF(Table1[CountryCode],Table1[[#This Row],[CountryCode]],Table1[z-score])</f>
        <v>0.48073633366786628</v>
      </c>
      <c r="L6503" t="e">
        <f>VLOOKUP(Table1[[#This Row],[CountryCode]],[1]!Table1[#All],1,FALSE)</f>
        <v>#REF!</v>
      </c>
    </row>
    <row r="6504" spans="1:12" hidden="1" x14ac:dyDescent="0.3">
      <c r="A6504" t="s">
        <v>91</v>
      </c>
      <c r="B6504" t="s">
        <v>92</v>
      </c>
      <c r="C6504" t="s">
        <v>127</v>
      </c>
      <c r="D6504" t="s">
        <v>128</v>
      </c>
      <c r="E6504">
        <v>1992</v>
      </c>
      <c r="F6504" s="1">
        <v>32120</v>
      </c>
      <c r="G6504">
        <v>1990</v>
      </c>
      <c r="H6504">
        <f>AVERAGEIFS(Table1[value],Table1[IndicatorCode],Table1[[#This Row],[IndicatorCode]])</f>
        <v>24902.88753799392</v>
      </c>
      <c r="I6504" cm="1">
        <f t="array" ref="I6504">_xlfn.STDEV.P(IF(Table1[IndicatorCode]=Table1[[#This Row],[IndicatorCode]],Table1[value]))</f>
        <v>26324.778297809873</v>
      </c>
      <c r="J6504">
        <f>(Table1[[#This Row],[value]] - Table1[[#This Row],[mean]]) / Table1[[#This Row],[std_dev]]</f>
        <v>0.27415662841903282</v>
      </c>
      <c r="K6504">
        <f>AVERAGEIF(Table1[CountryCode],Table1[[#This Row],[CountryCode]],Table1[z-score])</f>
        <v>0.48073633366786628</v>
      </c>
      <c r="L6504" t="e">
        <f>VLOOKUP(Table1[[#This Row],[CountryCode]],[1]!Table1[#All],1,FALSE)</f>
        <v>#REF!</v>
      </c>
    </row>
    <row r="6505" spans="1:12" hidden="1" x14ac:dyDescent="0.3">
      <c r="A6505" t="s">
        <v>91</v>
      </c>
      <c r="B6505" t="s">
        <v>92</v>
      </c>
      <c r="C6505" t="s">
        <v>127</v>
      </c>
      <c r="D6505" t="s">
        <v>128</v>
      </c>
      <c r="E6505">
        <v>1993</v>
      </c>
      <c r="F6505" s="1">
        <v>32298</v>
      </c>
      <c r="G6505">
        <v>1990</v>
      </c>
      <c r="H6505">
        <f>AVERAGEIFS(Table1[value],Table1[IndicatorCode],Table1[[#This Row],[IndicatorCode]])</f>
        <v>24902.88753799392</v>
      </c>
      <c r="I6505" cm="1">
        <f t="array" ref="I6505">_xlfn.STDEV.P(IF(Table1[IndicatorCode]=Table1[[#This Row],[IndicatorCode]],Table1[value]))</f>
        <v>26324.778297809873</v>
      </c>
      <c r="J6505">
        <f>(Table1[[#This Row],[value]] - Table1[[#This Row],[mean]]) / Table1[[#This Row],[std_dev]]</f>
        <v>0.28091831879250156</v>
      </c>
      <c r="K6505">
        <f>AVERAGEIF(Table1[CountryCode],Table1[[#This Row],[CountryCode]],Table1[z-score])</f>
        <v>0.48073633366786628</v>
      </c>
      <c r="L6505" t="e">
        <f>VLOOKUP(Table1[[#This Row],[CountryCode]],[1]!Table1[#All],1,FALSE)</f>
        <v>#REF!</v>
      </c>
    </row>
    <row r="6506" spans="1:12" hidden="1" x14ac:dyDescent="0.3">
      <c r="A6506" t="s">
        <v>91</v>
      </c>
      <c r="B6506" t="s">
        <v>92</v>
      </c>
      <c r="C6506" t="s">
        <v>127</v>
      </c>
      <c r="D6506" t="s">
        <v>128</v>
      </c>
      <c r="E6506">
        <v>1994</v>
      </c>
      <c r="F6506" s="1">
        <v>33054</v>
      </c>
      <c r="G6506">
        <v>1990</v>
      </c>
      <c r="H6506">
        <f>AVERAGEIFS(Table1[value],Table1[IndicatorCode],Table1[[#This Row],[IndicatorCode]])</f>
        <v>24902.88753799392</v>
      </c>
      <c r="I6506" cm="1">
        <f t="array" ref="I6506">_xlfn.STDEV.P(IF(Table1[IndicatorCode]=Table1[[#This Row],[IndicatorCode]],Table1[value]))</f>
        <v>26324.778297809873</v>
      </c>
      <c r="J6506">
        <f>(Table1[[#This Row],[value]] - Table1[[#This Row],[mean]]) / Table1[[#This Row],[std_dev]]</f>
        <v>0.30963650936745868</v>
      </c>
      <c r="K6506">
        <f>AVERAGEIF(Table1[CountryCode],Table1[[#This Row],[CountryCode]],Table1[z-score])</f>
        <v>0.48073633366786628</v>
      </c>
      <c r="L6506" t="e">
        <f>VLOOKUP(Table1[[#This Row],[CountryCode]],[1]!Table1[#All],1,FALSE)</f>
        <v>#REF!</v>
      </c>
    </row>
    <row r="6507" spans="1:12" hidden="1" x14ac:dyDescent="0.3">
      <c r="A6507" t="s">
        <v>91</v>
      </c>
      <c r="B6507" t="s">
        <v>92</v>
      </c>
      <c r="C6507" t="s">
        <v>127</v>
      </c>
      <c r="D6507" t="s">
        <v>128</v>
      </c>
      <c r="E6507">
        <v>1995</v>
      </c>
      <c r="F6507" s="1">
        <v>33917</v>
      </c>
      <c r="G6507">
        <v>1990</v>
      </c>
      <c r="H6507">
        <f>AVERAGEIFS(Table1[value],Table1[IndicatorCode],Table1[[#This Row],[IndicatorCode]])</f>
        <v>24902.88753799392</v>
      </c>
      <c r="I6507" cm="1">
        <f t="array" ref="I6507">_xlfn.STDEV.P(IF(Table1[IndicatorCode]=Table1[[#This Row],[IndicatorCode]],Table1[value]))</f>
        <v>26324.778297809873</v>
      </c>
      <c r="J6507">
        <f>(Table1[[#This Row],[value]] - Table1[[#This Row],[mean]]) / Table1[[#This Row],[std_dev]]</f>
        <v>0.34241931157141109</v>
      </c>
      <c r="K6507">
        <f>AVERAGEIF(Table1[CountryCode],Table1[[#This Row],[CountryCode]],Table1[z-score])</f>
        <v>0.48073633366786628</v>
      </c>
      <c r="L6507" t="e">
        <f>VLOOKUP(Table1[[#This Row],[CountryCode]],[1]!Table1[#All],1,FALSE)</f>
        <v>#REF!</v>
      </c>
    </row>
    <row r="6508" spans="1:12" hidden="1" x14ac:dyDescent="0.3">
      <c r="A6508" t="s">
        <v>91</v>
      </c>
      <c r="B6508" t="s">
        <v>92</v>
      </c>
      <c r="C6508" t="s">
        <v>127</v>
      </c>
      <c r="D6508" t="s">
        <v>128</v>
      </c>
      <c r="E6508">
        <v>1996</v>
      </c>
      <c r="F6508" s="1">
        <v>34915</v>
      </c>
      <c r="G6508">
        <v>1990</v>
      </c>
      <c r="H6508">
        <f>AVERAGEIFS(Table1[value],Table1[IndicatorCode],Table1[[#This Row],[IndicatorCode]])</f>
        <v>24902.88753799392</v>
      </c>
      <c r="I6508" cm="1">
        <f t="array" ref="I6508">_xlfn.STDEV.P(IF(Table1[IndicatorCode]=Table1[[#This Row],[IndicatorCode]],Table1[value]))</f>
        <v>26324.778297809873</v>
      </c>
      <c r="J6508">
        <f>(Table1[[#This Row],[value]] - Table1[[#This Row],[mean]]) / Table1[[#This Row],[std_dev]]</f>
        <v>0.38033036209232013</v>
      </c>
      <c r="K6508">
        <f>AVERAGEIF(Table1[CountryCode],Table1[[#This Row],[CountryCode]],Table1[z-score])</f>
        <v>0.48073633366786628</v>
      </c>
      <c r="L6508" t="e">
        <f>VLOOKUP(Table1[[#This Row],[CountryCode]],[1]!Table1[#All],1,FALSE)</f>
        <v>#REF!</v>
      </c>
    </row>
    <row r="6509" spans="1:12" hidden="1" x14ac:dyDescent="0.3">
      <c r="A6509" t="s">
        <v>91</v>
      </c>
      <c r="B6509" t="s">
        <v>92</v>
      </c>
      <c r="C6509" t="s">
        <v>127</v>
      </c>
      <c r="D6509" t="s">
        <v>128</v>
      </c>
      <c r="E6509">
        <v>1997</v>
      </c>
      <c r="F6509" s="1">
        <v>36212</v>
      </c>
      <c r="G6509">
        <v>2000</v>
      </c>
      <c r="H6509">
        <f>AVERAGEIFS(Table1[value],Table1[IndicatorCode],Table1[[#This Row],[IndicatorCode]])</f>
        <v>24902.88753799392</v>
      </c>
      <c r="I6509" cm="1">
        <f t="array" ref="I6509">_xlfn.STDEV.P(IF(Table1[IndicatorCode]=Table1[[#This Row],[IndicatorCode]],Table1[value]))</f>
        <v>26324.778297809873</v>
      </c>
      <c r="J6509">
        <f>(Table1[[#This Row],[value]] - Table1[[#This Row],[mean]]) / Table1[[#This Row],[std_dev]]</f>
        <v>0.42959953295967385</v>
      </c>
      <c r="K6509">
        <f>AVERAGEIF(Table1[CountryCode],Table1[[#This Row],[CountryCode]],Table1[z-score])</f>
        <v>0.48073633366786628</v>
      </c>
      <c r="L6509" t="e">
        <f>VLOOKUP(Table1[[#This Row],[CountryCode]],[1]!Table1[#All],1,FALSE)</f>
        <v>#REF!</v>
      </c>
    </row>
    <row r="6510" spans="1:12" hidden="1" x14ac:dyDescent="0.3">
      <c r="A6510" t="s">
        <v>91</v>
      </c>
      <c r="B6510" t="s">
        <v>92</v>
      </c>
      <c r="C6510" t="s">
        <v>127</v>
      </c>
      <c r="D6510" t="s">
        <v>128</v>
      </c>
      <c r="E6510">
        <v>1998</v>
      </c>
      <c r="F6510" s="1">
        <v>37662</v>
      </c>
      <c r="G6510">
        <v>2000</v>
      </c>
      <c r="H6510">
        <f>AVERAGEIFS(Table1[value],Table1[IndicatorCode],Table1[[#This Row],[IndicatorCode]])</f>
        <v>24902.88753799392</v>
      </c>
      <c r="I6510" cm="1">
        <f t="array" ref="I6510">_xlfn.STDEV.P(IF(Table1[IndicatorCode]=Table1[[#This Row],[IndicatorCode]],Table1[value]))</f>
        <v>26324.778297809873</v>
      </c>
      <c r="J6510">
        <f>(Table1[[#This Row],[value]] - Table1[[#This Row],[mean]]) / Table1[[#This Row],[std_dev]]</f>
        <v>0.48468071858624512</v>
      </c>
      <c r="K6510">
        <f>AVERAGEIF(Table1[CountryCode],Table1[[#This Row],[CountryCode]],Table1[z-score])</f>
        <v>0.48073633366786628</v>
      </c>
      <c r="L6510" t="e">
        <f>VLOOKUP(Table1[[#This Row],[CountryCode]],[1]!Table1[#All],1,FALSE)</f>
        <v>#REF!</v>
      </c>
    </row>
    <row r="6511" spans="1:12" hidden="1" x14ac:dyDescent="0.3">
      <c r="A6511" t="s">
        <v>91</v>
      </c>
      <c r="B6511" t="s">
        <v>92</v>
      </c>
      <c r="C6511" t="s">
        <v>127</v>
      </c>
      <c r="D6511" t="s">
        <v>128</v>
      </c>
      <c r="E6511">
        <v>1999</v>
      </c>
      <c r="F6511" s="1">
        <v>39299</v>
      </c>
      <c r="G6511">
        <v>2000</v>
      </c>
      <c r="H6511">
        <f>AVERAGEIFS(Table1[value],Table1[IndicatorCode],Table1[[#This Row],[IndicatorCode]])</f>
        <v>24902.88753799392</v>
      </c>
      <c r="I6511" cm="1">
        <f t="array" ref="I6511">_xlfn.STDEV.P(IF(Table1[IndicatorCode]=Table1[[#This Row],[IndicatorCode]],Table1[value]))</f>
        <v>26324.778297809873</v>
      </c>
      <c r="J6511">
        <f>(Table1[[#This Row],[value]] - Table1[[#This Row],[mean]]) / Table1[[#This Row],[std_dev]]</f>
        <v>0.54686547780741557</v>
      </c>
      <c r="K6511">
        <f>AVERAGEIF(Table1[CountryCode],Table1[[#This Row],[CountryCode]],Table1[z-score])</f>
        <v>0.48073633366786628</v>
      </c>
      <c r="L6511" t="e">
        <f>VLOOKUP(Table1[[#This Row],[CountryCode]],[1]!Table1[#All],1,FALSE)</f>
        <v>#REF!</v>
      </c>
    </row>
    <row r="6512" spans="1:12" hidden="1" x14ac:dyDescent="0.3">
      <c r="A6512" t="s">
        <v>91</v>
      </c>
      <c r="B6512" t="s">
        <v>92</v>
      </c>
      <c r="C6512" t="s">
        <v>127</v>
      </c>
      <c r="D6512" t="s">
        <v>128</v>
      </c>
      <c r="E6512">
        <v>2000</v>
      </c>
      <c r="F6512" s="1">
        <v>40665</v>
      </c>
      <c r="G6512">
        <v>2000</v>
      </c>
      <c r="H6512">
        <f>AVERAGEIFS(Table1[value],Table1[IndicatorCode],Table1[[#This Row],[IndicatorCode]])</f>
        <v>24902.88753799392</v>
      </c>
      <c r="I6512" cm="1">
        <f t="array" ref="I6512">_xlfn.STDEV.P(IF(Table1[IndicatorCode]=Table1[[#This Row],[IndicatorCode]],Table1[value]))</f>
        <v>26324.778297809873</v>
      </c>
      <c r="J6512">
        <f>(Table1[[#This Row],[value]] - Table1[[#This Row],[mean]]) / Table1[[#This Row],[std_dev]]</f>
        <v>0.59875575337010267</v>
      </c>
      <c r="K6512">
        <f>AVERAGEIF(Table1[CountryCode],Table1[[#This Row],[CountryCode]],Table1[z-score])</f>
        <v>0.48073633366786628</v>
      </c>
      <c r="L6512" t="e">
        <f>VLOOKUP(Table1[[#This Row],[CountryCode]],[1]!Table1[#All],1,FALSE)</f>
        <v>#REF!</v>
      </c>
    </row>
    <row r="6513" spans="1:12" hidden="1" x14ac:dyDescent="0.3">
      <c r="A6513" t="s">
        <v>91</v>
      </c>
      <c r="B6513" t="s">
        <v>92</v>
      </c>
      <c r="C6513" t="s">
        <v>127</v>
      </c>
      <c r="D6513" t="s">
        <v>128</v>
      </c>
      <c r="E6513">
        <v>2001</v>
      </c>
      <c r="F6513" s="1">
        <v>41297</v>
      </c>
      <c r="G6513">
        <v>2000</v>
      </c>
      <c r="H6513">
        <f>AVERAGEIFS(Table1[value],Table1[IndicatorCode],Table1[[#This Row],[IndicatorCode]])</f>
        <v>24902.88753799392</v>
      </c>
      <c r="I6513" cm="1">
        <f t="array" ref="I6513">_xlfn.STDEV.P(IF(Table1[IndicatorCode]=Table1[[#This Row],[IndicatorCode]],Table1[value]))</f>
        <v>26324.778297809873</v>
      </c>
      <c r="J6513">
        <f>(Table1[[#This Row],[value]] - Table1[[#This Row],[mean]]) / Table1[[#This Row],[std_dev]]</f>
        <v>0.62276355289837371</v>
      </c>
      <c r="K6513">
        <f>AVERAGEIF(Table1[CountryCode],Table1[[#This Row],[CountryCode]],Table1[z-score])</f>
        <v>0.48073633366786628</v>
      </c>
      <c r="L6513" t="e">
        <f>VLOOKUP(Table1[[#This Row],[CountryCode]],[1]!Table1[#All],1,FALSE)</f>
        <v>#REF!</v>
      </c>
    </row>
    <row r="6514" spans="1:12" hidden="1" x14ac:dyDescent="0.3">
      <c r="A6514" t="s">
        <v>91</v>
      </c>
      <c r="B6514" t="s">
        <v>92</v>
      </c>
      <c r="C6514" t="s">
        <v>127</v>
      </c>
      <c r="D6514" t="s">
        <v>128</v>
      </c>
      <c r="E6514">
        <v>2002</v>
      </c>
      <c r="F6514" s="1">
        <v>41135</v>
      </c>
      <c r="G6514">
        <v>2000</v>
      </c>
      <c r="H6514">
        <f>AVERAGEIFS(Table1[value],Table1[IndicatorCode],Table1[[#This Row],[IndicatorCode]])</f>
        <v>24902.88753799392</v>
      </c>
      <c r="I6514" cm="1">
        <f t="array" ref="I6514">_xlfn.STDEV.P(IF(Table1[IndicatorCode]=Table1[[#This Row],[IndicatorCode]],Table1[value]))</f>
        <v>26324.778297809873</v>
      </c>
      <c r="J6514">
        <f>(Table1[[#This Row],[value]] - Table1[[#This Row],[mean]]) / Table1[[#This Row],[std_dev]]</f>
        <v>0.61660965491802577</v>
      </c>
      <c r="K6514">
        <f>AVERAGEIF(Table1[CountryCode],Table1[[#This Row],[CountryCode]],Table1[z-score])</f>
        <v>0.48073633366786628</v>
      </c>
      <c r="L6514" t="e">
        <f>VLOOKUP(Table1[[#This Row],[CountryCode]],[1]!Table1[#All],1,FALSE)</f>
        <v>#REF!</v>
      </c>
    </row>
    <row r="6515" spans="1:12" hidden="1" x14ac:dyDescent="0.3">
      <c r="A6515" t="s">
        <v>91</v>
      </c>
      <c r="B6515" t="s">
        <v>92</v>
      </c>
      <c r="C6515" t="s">
        <v>127</v>
      </c>
      <c r="D6515" t="s">
        <v>128</v>
      </c>
      <c r="E6515">
        <v>2003</v>
      </c>
      <c r="F6515" s="1">
        <v>40982</v>
      </c>
      <c r="G6515">
        <v>2000</v>
      </c>
      <c r="H6515">
        <f>AVERAGEIFS(Table1[value],Table1[IndicatorCode],Table1[[#This Row],[IndicatorCode]])</f>
        <v>24902.88753799392</v>
      </c>
      <c r="I6515" cm="1">
        <f t="array" ref="I6515">_xlfn.STDEV.P(IF(Table1[IndicatorCode]=Table1[[#This Row],[IndicatorCode]],Table1[value]))</f>
        <v>26324.778297809873</v>
      </c>
      <c r="J6515">
        <f>(Table1[[#This Row],[value]] - Table1[[#This Row],[mean]]) / Table1[[#This Row],[std_dev]]</f>
        <v>0.61079764015880822</v>
      </c>
      <c r="K6515">
        <f>AVERAGEIF(Table1[CountryCode],Table1[[#This Row],[CountryCode]],Table1[z-score])</f>
        <v>0.48073633366786628</v>
      </c>
      <c r="L6515" t="e">
        <f>VLOOKUP(Table1[[#This Row],[CountryCode]],[1]!Table1[#All],1,FALSE)</f>
        <v>#REF!</v>
      </c>
    </row>
    <row r="6516" spans="1:12" hidden="1" x14ac:dyDescent="0.3">
      <c r="A6516" t="s">
        <v>91</v>
      </c>
      <c r="B6516" t="s">
        <v>92</v>
      </c>
      <c r="C6516" t="s">
        <v>127</v>
      </c>
      <c r="D6516" t="s">
        <v>128</v>
      </c>
      <c r="E6516">
        <v>2004</v>
      </c>
      <c r="F6516" s="1">
        <v>41663</v>
      </c>
      <c r="G6516">
        <v>2000</v>
      </c>
      <c r="H6516">
        <f>AVERAGEIFS(Table1[value],Table1[IndicatorCode],Table1[[#This Row],[IndicatorCode]])</f>
        <v>24902.88753799392</v>
      </c>
      <c r="I6516" cm="1">
        <f t="array" ref="I6516">_xlfn.STDEV.P(IF(Table1[IndicatorCode]=Table1[[#This Row],[IndicatorCode]],Table1[value]))</f>
        <v>26324.778297809873</v>
      </c>
      <c r="J6516">
        <f>(Table1[[#This Row],[value]] - Table1[[#This Row],[mean]]) / Table1[[#This Row],[std_dev]]</f>
        <v>0.63666680389101171</v>
      </c>
      <c r="K6516">
        <f>AVERAGEIF(Table1[CountryCode],Table1[[#This Row],[CountryCode]],Table1[z-score])</f>
        <v>0.48073633366786628</v>
      </c>
      <c r="L6516" t="e">
        <f>VLOOKUP(Table1[[#This Row],[CountryCode]],[1]!Table1[#All],1,FALSE)</f>
        <v>#REF!</v>
      </c>
    </row>
    <row r="6517" spans="1:12" hidden="1" x14ac:dyDescent="0.3">
      <c r="A6517" t="s">
        <v>91</v>
      </c>
      <c r="B6517" t="s">
        <v>92</v>
      </c>
      <c r="C6517" t="s">
        <v>127</v>
      </c>
      <c r="D6517" t="s">
        <v>128</v>
      </c>
      <c r="E6517">
        <v>2005</v>
      </c>
      <c r="F6517" s="1">
        <v>42411</v>
      </c>
      <c r="G6517">
        <v>2000</v>
      </c>
      <c r="H6517">
        <f>AVERAGEIFS(Table1[value],Table1[IndicatorCode],Table1[[#This Row],[IndicatorCode]])</f>
        <v>24902.88753799392</v>
      </c>
      <c r="I6517" cm="1">
        <f t="array" ref="I6517">_xlfn.STDEV.P(IF(Table1[IndicatorCode]=Table1[[#This Row],[IndicatorCode]],Table1[value]))</f>
        <v>26324.778297809873</v>
      </c>
      <c r="J6517">
        <f>(Table1[[#This Row],[value]] - Table1[[#This Row],[mean]]) / Table1[[#This Row],[std_dev]]</f>
        <v>0.66508109826940853</v>
      </c>
      <c r="K6517">
        <f>AVERAGEIF(Table1[CountryCode],Table1[[#This Row],[CountryCode]],Table1[z-score])</f>
        <v>0.48073633366786628</v>
      </c>
      <c r="L6517" t="e">
        <f>VLOOKUP(Table1[[#This Row],[CountryCode]],[1]!Table1[#All],1,FALSE)</f>
        <v>#REF!</v>
      </c>
    </row>
    <row r="6518" spans="1:12" hidden="1" x14ac:dyDescent="0.3">
      <c r="A6518" t="s">
        <v>91</v>
      </c>
      <c r="B6518" t="s">
        <v>92</v>
      </c>
      <c r="C6518" t="s">
        <v>127</v>
      </c>
      <c r="D6518" t="s">
        <v>128</v>
      </c>
      <c r="E6518">
        <v>2006</v>
      </c>
      <c r="F6518" s="1">
        <v>43841</v>
      </c>
      <c r="G6518">
        <v>2000</v>
      </c>
      <c r="H6518">
        <f>AVERAGEIFS(Table1[value],Table1[IndicatorCode],Table1[[#This Row],[IndicatorCode]])</f>
        <v>24902.88753799392</v>
      </c>
      <c r="I6518" cm="1">
        <f t="array" ref="I6518">_xlfn.STDEV.P(IF(Table1[IndicatorCode]=Table1[[#This Row],[IndicatorCode]],Table1[value]))</f>
        <v>26324.778297809873</v>
      </c>
      <c r="J6518">
        <f>(Table1[[#This Row],[value]] - Table1[[#This Row],[mean]]) / Table1[[#This Row],[std_dev]]</f>
        <v>0.71940254340457876</v>
      </c>
      <c r="K6518">
        <f>AVERAGEIF(Table1[CountryCode],Table1[[#This Row],[CountryCode]],Table1[z-score])</f>
        <v>0.48073633366786628</v>
      </c>
      <c r="L6518" t="e">
        <f>VLOOKUP(Table1[[#This Row],[CountryCode]],[1]!Table1[#All],1,FALSE)</f>
        <v>#REF!</v>
      </c>
    </row>
    <row r="6519" spans="1:12" hidden="1" x14ac:dyDescent="0.3">
      <c r="A6519" t="s">
        <v>91</v>
      </c>
      <c r="B6519" t="s">
        <v>92</v>
      </c>
      <c r="C6519" t="s">
        <v>127</v>
      </c>
      <c r="D6519" t="s">
        <v>128</v>
      </c>
      <c r="E6519">
        <v>2007</v>
      </c>
      <c r="F6519" s="1">
        <v>45446</v>
      </c>
      <c r="G6519">
        <v>2010</v>
      </c>
      <c r="H6519">
        <f>AVERAGEIFS(Table1[value],Table1[IndicatorCode],Table1[[#This Row],[IndicatorCode]])</f>
        <v>24902.88753799392</v>
      </c>
      <c r="I6519" cm="1">
        <f t="array" ref="I6519">_xlfn.STDEV.P(IF(Table1[IndicatorCode]=Table1[[#This Row],[IndicatorCode]],Table1[value]))</f>
        <v>26324.778297809873</v>
      </c>
      <c r="J6519">
        <f>(Table1[[#This Row],[value]] - Table1[[#This Row],[mean]]) / Table1[[#This Row],[std_dev]]</f>
        <v>0.78037171783950765</v>
      </c>
      <c r="K6519">
        <f>AVERAGEIF(Table1[CountryCode],Table1[[#This Row],[CountryCode]],Table1[z-score])</f>
        <v>0.48073633366786628</v>
      </c>
      <c r="L6519" t="e">
        <f>VLOOKUP(Table1[[#This Row],[CountryCode]],[1]!Table1[#All],1,FALSE)</f>
        <v>#REF!</v>
      </c>
    </row>
    <row r="6520" spans="1:12" hidden="1" x14ac:dyDescent="0.3">
      <c r="A6520" t="s">
        <v>91</v>
      </c>
      <c r="B6520" t="s">
        <v>92</v>
      </c>
      <c r="C6520" t="s">
        <v>127</v>
      </c>
      <c r="D6520" t="s">
        <v>128</v>
      </c>
      <c r="E6520">
        <v>2008</v>
      </c>
      <c r="F6520" s="1">
        <v>46227</v>
      </c>
      <c r="G6520">
        <v>2010</v>
      </c>
      <c r="H6520">
        <f>AVERAGEIFS(Table1[value],Table1[IndicatorCode],Table1[[#This Row],[IndicatorCode]])</f>
        <v>24902.88753799392</v>
      </c>
      <c r="I6520" cm="1">
        <f t="array" ref="I6520">_xlfn.STDEV.P(IF(Table1[IndicatorCode]=Table1[[#This Row],[IndicatorCode]],Table1[value]))</f>
        <v>26324.778297809873</v>
      </c>
      <c r="J6520">
        <f>(Table1[[#This Row],[value]] - Table1[[#This Row],[mean]]) / Table1[[#This Row],[std_dev]]</f>
        <v>0.81003958402871601</v>
      </c>
      <c r="K6520">
        <f>AVERAGEIF(Table1[CountryCode],Table1[[#This Row],[CountryCode]],Table1[z-score])</f>
        <v>0.48073633366786628</v>
      </c>
      <c r="L6520" t="e">
        <f>VLOOKUP(Table1[[#This Row],[CountryCode]],[1]!Table1[#All],1,FALSE)</f>
        <v>#REF!</v>
      </c>
    </row>
    <row r="6521" spans="1:12" hidden="1" x14ac:dyDescent="0.3">
      <c r="A6521" t="s">
        <v>91</v>
      </c>
      <c r="B6521" t="s">
        <v>92</v>
      </c>
      <c r="C6521" t="s">
        <v>127</v>
      </c>
      <c r="D6521" t="s">
        <v>128</v>
      </c>
      <c r="E6521">
        <v>2009</v>
      </c>
      <c r="F6521" s="1">
        <v>44304</v>
      </c>
      <c r="G6521">
        <v>2010</v>
      </c>
      <c r="H6521">
        <f>AVERAGEIFS(Table1[value],Table1[IndicatorCode],Table1[[#This Row],[IndicatorCode]])</f>
        <v>24902.88753799392</v>
      </c>
      <c r="I6521" cm="1">
        <f t="array" ref="I6521">_xlfn.STDEV.P(IF(Table1[IndicatorCode]=Table1[[#This Row],[IndicatorCode]],Table1[value]))</f>
        <v>26324.778297809873</v>
      </c>
      <c r="J6521">
        <f>(Table1[[#This Row],[value]] - Table1[[#This Row],[mean]]) / Table1[[#This Row],[std_dev]]</f>
        <v>0.73699053578051155</v>
      </c>
      <c r="K6521">
        <f>AVERAGEIF(Table1[CountryCode],Table1[[#This Row],[CountryCode]],Table1[z-score])</f>
        <v>0.48073633366786628</v>
      </c>
      <c r="L6521" t="e">
        <f>VLOOKUP(Table1[[#This Row],[CountryCode]],[1]!Table1[#All],1,FALSE)</f>
        <v>#REF!</v>
      </c>
    </row>
    <row r="6522" spans="1:12" hidden="1" x14ac:dyDescent="0.3">
      <c r="A6522" t="s">
        <v>91</v>
      </c>
      <c r="B6522" t="s">
        <v>92</v>
      </c>
      <c r="C6522" t="s">
        <v>127</v>
      </c>
      <c r="D6522" t="s">
        <v>128</v>
      </c>
      <c r="E6522">
        <v>2010</v>
      </c>
      <c r="F6522" s="1">
        <v>44659</v>
      </c>
      <c r="G6522">
        <v>2010</v>
      </c>
      <c r="H6522">
        <f>AVERAGEIFS(Table1[value],Table1[IndicatorCode],Table1[[#This Row],[IndicatorCode]])</f>
        <v>24902.88753799392</v>
      </c>
      <c r="I6522" cm="1">
        <f t="array" ref="I6522">_xlfn.STDEV.P(IF(Table1[IndicatorCode]=Table1[[#This Row],[IndicatorCode]],Table1[value]))</f>
        <v>26324.778297809873</v>
      </c>
      <c r="J6522">
        <f>(Table1[[#This Row],[value]] - Table1[[#This Row],[mean]]) / Table1[[#This Row],[std_dev]]</f>
        <v>0.750475929502879</v>
      </c>
      <c r="K6522">
        <f>AVERAGEIF(Table1[CountryCode],Table1[[#This Row],[CountryCode]],Table1[z-score])</f>
        <v>0.48073633366786628</v>
      </c>
      <c r="L6522" t="e">
        <f>VLOOKUP(Table1[[#This Row],[CountryCode]],[1]!Table1[#All],1,FALSE)</f>
        <v>#REF!</v>
      </c>
    </row>
    <row r="6523" spans="1:12" hidden="1" x14ac:dyDescent="0.3">
      <c r="A6523" t="s">
        <v>91</v>
      </c>
      <c r="B6523" t="s">
        <v>92</v>
      </c>
      <c r="C6523" t="s">
        <v>127</v>
      </c>
      <c r="D6523" t="s">
        <v>128</v>
      </c>
      <c r="E6523">
        <v>2011</v>
      </c>
      <c r="F6523" s="1">
        <v>45240</v>
      </c>
      <c r="G6523">
        <v>2010</v>
      </c>
      <c r="H6523">
        <f>AVERAGEIFS(Table1[value],Table1[IndicatorCode],Table1[[#This Row],[IndicatorCode]])</f>
        <v>24902.88753799392</v>
      </c>
      <c r="I6523" cm="1">
        <f t="array" ref="I6523">_xlfn.STDEV.P(IF(Table1[IndicatorCode]=Table1[[#This Row],[IndicatorCode]],Table1[value]))</f>
        <v>26324.778297809873</v>
      </c>
      <c r="J6523">
        <f>(Table1[[#This Row],[value]] - Table1[[#This Row],[mean]]) / Table1[[#This Row],[std_dev]]</f>
        <v>0.77254639077807752</v>
      </c>
      <c r="K6523">
        <f>AVERAGEIF(Table1[CountryCode],Table1[[#This Row],[CountryCode]],Table1[z-score])</f>
        <v>0.48073633366786628</v>
      </c>
      <c r="L6523" t="e">
        <f>VLOOKUP(Table1[[#This Row],[CountryCode]],[1]!Table1[#All],1,FALSE)</f>
        <v>#REF!</v>
      </c>
    </row>
    <row r="6524" spans="1:12" hidden="1" x14ac:dyDescent="0.3">
      <c r="A6524" t="s">
        <v>91</v>
      </c>
      <c r="B6524" t="s">
        <v>92</v>
      </c>
      <c r="C6524" t="s">
        <v>127</v>
      </c>
      <c r="D6524" t="s">
        <v>128</v>
      </c>
      <c r="E6524">
        <v>2012</v>
      </c>
      <c r="F6524" s="1">
        <v>44632</v>
      </c>
      <c r="G6524">
        <v>2010</v>
      </c>
      <c r="H6524">
        <f>AVERAGEIFS(Table1[value],Table1[IndicatorCode],Table1[[#This Row],[IndicatorCode]])</f>
        <v>24902.88753799392</v>
      </c>
      <c r="I6524" cm="1">
        <f t="array" ref="I6524">_xlfn.STDEV.P(IF(Table1[IndicatorCode]=Table1[[#This Row],[IndicatorCode]],Table1[value]))</f>
        <v>26324.778297809873</v>
      </c>
      <c r="J6524">
        <f>(Table1[[#This Row],[value]] - Table1[[#This Row],[mean]]) / Table1[[#This Row],[std_dev]]</f>
        <v>0.74945027983948764</v>
      </c>
      <c r="K6524">
        <f>AVERAGEIF(Table1[CountryCode],Table1[[#This Row],[CountryCode]],Table1[z-score])</f>
        <v>0.48073633366786628</v>
      </c>
      <c r="L6524" t="e">
        <f>VLOOKUP(Table1[[#This Row],[CountryCode]],[1]!Table1[#All],1,FALSE)</f>
        <v>#REF!</v>
      </c>
    </row>
    <row r="6525" spans="1:12" hidden="1" x14ac:dyDescent="0.3">
      <c r="A6525" t="s">
        <v>91</v>
      </c>
      <c r="B6525" t="s">
        <v>92</v>
      </c>
      <c r="C6525" t="s">
        <v>127</v>
      </c>
      <c r="D6525" t="s">
        <v>128</v>
      </c>
      <c r="E6525">
        <v>2013</v>
      </c>
      <c r="F6525" s="1">
        <v>44487</v>
      </c>
      <c r="G6525">
        <v>2010</v>
      </c>
      <c r="H6525">
        <f>AVERAGEIFS(Table1[value],Table1[IndicatorCode],Table1[[#This Row],[IndicatorCode]])</f>
        <v>24902.88753799392</v>
      </c>
      <c r="I6525" cm="1">
        <f t="array" ref="I6525">_xlfn.STDEV.P(IF(Table1[IndicatorCode]=Table1[[#This Row],[IndicatorCode]],Table1[value]))</f>
        <v>26324.778297809873</v>
      </c>
      <c r="J6525">
        <f>(Table1[[#This Row],[value]] - Table1[[#This Row],[mean]]) / Table1[[#This Row],[std_dev]]</f>
        <v>0.74394216127683055</v>
      </c>
      <c r="K6525">
        <f>AVERAGEIF(Table1[CountryCode],Table1[[#This Row],[CountryCode]],Table1[z-score])</f>
        <v>0.48073633366786628</v>
      </c>
      <c r="L6525" t="e">
        <f>VLOOKUP(Table1[[#This Row],[CountryCode]],[1]!Table1[#All],1,FALSE)</f>
        <v>#REF!</v>
      </c>
    </row>
    <row r="6526" spans="1:12" hidden="1" x14ac:dyDescent="0.3">
      <c r="A6526" t="s">
        <v>91</v>
      </c>
      <c r="B6526" t="s">
        <v>92</v>
      </c>
      <c r="C6526" t="s">
        <v>127</v>
      </c>
      <c r="D6526" t="s">
        <v>128</v>
      </c>
      <c r="E6526">
        <v>2014</v>
      </c>
      <c r="F6526" s="1">
        <v>45042</v>
      </c>
      <c r="G6526">
        <v>2010</v>
      </c>
      <c r="H6526">
        <f>AVERAGEIFS(Table1[value],Table1[IndicatorCode],Table1[[#This Row],[IndicatorCode]])</f>
        <v>24902.88753799392</v>
      </c>
      <c r="I6526" cm="1">
        <f t="array" ref="I6526">_xlfn.STDEV.P(IF(Table1[IndicatorCode]=Table1[[#This Row],[IndicatorCode]],Table1[value]))</f>
        <v>26324.778297809873</v>
      </c>
      <c r="J6526">
        <f>(Table1[[#This Row],[value]] - Table1[[#This Row],[mean]]) / Table1[[#This Row],[std_dev]]</f>
        <v>0.76502495991320774</v>
      </c>
      <c r="K6526">
        <f>AVERAGEIF(Table1[CountryCode],Table1[[#This Row],[CountryCode]],Table1[z-score])</f>
        <v>0.48073633366786628</v>
      </c>
      <c r="L6526" t="e">
        <f>VLOOKUP(Table1[[#This Row],[CountryCode]],[1]!Table1[#All],1,FALSE)</f>
        <v>#REF!</v>
      </c>
    </row>
    <row r="6527" spans="1:12" hidden="1" x14ac:dyDescent="0.3">
      <c r="A6527" t="s">
        <v>91</v>
      </c>
      <c r="B6527" t="s">
        <v>92</v>
      </c>
      <c r="C6527" t="s">
        <v>127</v>
      </c>
      <c r="D6527" t="s">
        <v>128</v>
      </c>
      <c r="E6527">
        <v>2015</v>
      </c>
      <c r="F6527" s="1">
        <v>45794</v>
      </c>
      <c r="G6527">
        <v>2010</v>
      </c>
      <c r="H6527">
        <f>AVERAGEIFS(Table1[value],Table1[IndicatorCode],Table1[[#This Row],[IndicatorCode]])</f>
        <v>24902.88753799392</v>
      </c>
      <c r="I6527" cm="1">
        <f t="array" ref="I6527">_xlfn.STDEV.P(IF(Table1[IndicatorCode]=Table1[[#This Row],[IndicatorCode]],Table1[value]))</f>
        <v>26324.778297809873</v>
      </c>
      <c r="J6527">
        <f>(Table1[[#This Row],[value]] - Table1[[#This Row],[mean]]) / Table1[[#This Row],[std_dev]]</f>
        <v>0.79359120238988468</v>
      </c>
      <c r="K6527">
        <f>AVERAGEIF(Table1[CountryCode],Table1[[#This Row],[CountryCode]],Table1[z-score])</f>
        <v>0.48073633366786628</v>
      </c>
      <c r="L6527" t="e">
        <f>VLOOKUP(Table1[[#This Row],[CountryCode]],[1]!Table1[#All],1,FALSE)</f>
        <v>#REF!</v>
      </c>
    </row>
    <row r="6528" spans="1:12" hidden="1" x14ac:dyDescent="0.3">
      <c r="A6528" t="s">
        <v>91</v>
      </c>
      <c r="B6528" t="s">
        <v>92</v>
      </c>
      <c r="C6528" t="s">
        <v>127</v>
      </c>
      <c r="D6528" t="s">
        <v>128</v>
      </c>
      <c r="E6528">
        <v>2016</v>
      </c>
      <c r="F6528" s="1">
        <v>46655</v>
      </c>
      <c r="G6528">
        <v>2010</v>
      </c>
      <c r="H6528">
        <f>AVERAGEIFS(Table1[value],Table1[IndicatorCode],Table1[[#This Row],[IndicatorCode]])</f>
        <v>24902.88753799392</v>
      </c>
      <c r="I6528" cm="1">
        <f t="array" ref="I6528">_xlfn.STDEV.P(IF(Table1[IndicatorCode]=Table1[[#This Row],[IndicatorCode]],Table1[value]))</f>
        <v>26324.778297809873</v>
      </c>
      <c r="J6528">
        <f>(Table1[[#This Row],[value]] - Table1[[#This Row],[mean]]) / Table1[[#This Row],[std_dev]]</f>
        <v>0.82629803054469708</v>
      </c>
      <c r="K6528">
        <f>AVERAGEIF(Table1[CountryCode],Table1[[#This Row],[CountryCode]],Table1[z-score])</f>
        <v>0.48073633366786628</v>
      </c>
      <c r="L6528" t="e">
        <f>VLOOKUP(Table1[[#This Row],[CountryCode]],[1]!Table1[#All],1,FALSE)</f>
        <v>#REF!</v>
      </c>
    </row>
    <row r="6529" spans="1:12" hidden="1" x14ac:dyDescent="0.3">
      <c r="A6529" t="s">
        <v>91</v>
      </c>
      <c r="B6529" t="s">
        <v>92</v>
      </c>
      <c r="C6529" t="s">
        <v>127</v>
      </c>
      <c r="D6529" t="s">
        <v>128</v>
      </c>
      <c r="E6529">
        <v>2017</v>
      </c>
      <c r="F6529" s="1">
        <v>47670</v>
      </c>
      <c r="G6529">
        <v>2020</v>
      </c>
      <c r="H6529">
        <f>AVERAGEIFS(Table1[value],Table1[IndicatorCode],Table1[[#This Row],[IndicatorCode]])</f>
        <v>24902.88753799392</v>
      </c>
      <c r="I6529" cm="1">
        <f t="array" ref="I6529">_xlfn.STDEV.P(IF(Table1[IndicatorCode]=Table1[[#This Row],[IndicatorCode]],Table1[value]))</f>
        <v>26324.778297809873</v>
      </c>
      <c r="J6529">
        <f>(Table1[[#This Row],[value]] - Table1[[#This Row],[mean]]) / Table1[[#This Row],[std_dev]]</f>
        <v>0.86485486048329696</v>
      </c>
      <c r="K6529">
        <f>AVERAGEIF(Table1[CountryCode],Table1[[#This Row],[CountryCode]],Table1[z-score])</f>
        <v>0.48073633366786628</v>
      </c>
      <c r="L6529" t="e">
        <f>VLOOKUP(Table1[[#This Row],[CountryCode]],[1]!Table1[#All],1,FALSE)</f>
        <v>#REF!</v>
      </c>
    </row>
    <row r="6530" spans="1:12" hidden="1" x14ac:dyDescent="0.3">
      <c r="A6530" t="s">
        <v>91</v>
      </c>
      <c r="B6530" t="s">
        <v>92</v>
      </c>
      <c r="C6530" t="s">
        <v>127</v>
      </c>
      <c r="D6530" t="s">
        <v>128</v>
      </c>
      <c r="E6530">
        <v>2018</v>
      </c>
      <c r="F6530" s="1">
        <v>48463</v>
      </c>
      <c r="G6530">
        <v>2020</v>
      </c>
      <c r="H6530">
        <f>AVERAGEIFS(Table1[value],Table1[IndicatorCode],Table1[[#This Row],[IndicatorCode]])</f>
        <v>24902.88753799392</v>
      </c>
      <c r="I6530" cm="1">
        <f t="array" ref="I6530">_xlfn.STDEV.P(IF(Table1[IndicatorCode]=Table1[[#This Row],[IndicatorCode]],Table1[value]))</f>
        <v>26324.778297809873</v>
      </c>
      <c r="J6530">
        <f>(Table1[[#This Row],[value]] - Table1[[#This Row],[mean]]) / Table1[[#This Row],[std_dev]]</f>
        <v>0.8949785709673459</v>
      </c>
      <c r="K6530">
        <f>AVERAGEIF(Table1[CountryCode],Table1[[#This Row],[CountryCode]],Table1[z-score])</f>
        <v>0.48073633366786628</v>
      </c>
      <c r="L6530" t="e">
        <f>VLOOKUP(Table1[[#This Row],[CountryCode]],[1]!Table1[#All],1,FALSE)</f>
        <v>#REF!</v>
      </c>
    </row>
    <row r="6531" spans="1:12" hidden="1" x14ac:dyDescent="0.3">
      <c r="A6531" t="s">
        <v>91</v>
      </c>
      <c r="B6531" t="s">
        <v>92</v>
      </c>
      <c r="C6531" t="s">
        <v>127</v>
      </c>
      <c r="D6531" t="s">
        <v>128</v>
      </c>
      <c r="E6531">
        <v>2019</v>
      </c>
      <c r="F6531" s="1">
        <v>49254</v>
      </c>
      <c r="G6531">
        <v>2020</v>
      </c>
      <c r="H6531">
        <f>AVERAGEIFS(Table1[value],Table1[IndicatorCode],Table1[[#This Row],[IndicatorCode]])</f>
        <v>24902.88753799392</v>
      </c>
      <c r="I6531" cm="1">
        <f t="array" ref="I6531">_xlfn.STDEV.P(IF(Table1[IndicatorCode]=Table1[[#This Row],[IndicatorCode]],Table1[value]))</f>
        <v>26324.778297809873</v>
      </c>
      <c r="J6531">
        <f>(Table1[[#This Row],[value]] - Table1[[#This Row],[mean]]) / Table1[[#This Row],[std_dev]]</f>
        <v>0.92502630740225478</v>
      </c>
      <c r="K6531">
        <f>AVERAGEIF(Table1[CountryCode],Table1[[#This Row],[CountryCode]],Table1[z-score])</f>
        <v>0.48073633366786628</v>
      </c>
      <c r="L6531" t="e">
        <f>VLOOKUP(Table1[[#This Row],[CountryCode]],[1]!Table1[#All],1,FALSE)</f>
        <v>#REF!</v>
      </c>
    </row>
    <row r="6532" spans="1:12" x14ac:dyDescent="0.3">
      <c r="A6532" t="s">
        <v>35</v>
      </c>
      <c r="B6532" t="s">
        <v>36</v>
      </c>
      <c r="C6532" t="s">
        <v>127</v>
      </c>
      <c r="D6532" t="s">
        <v>128</v>
      </c>
      <c r="E6532">
        <v>2020</v>
      </c>
      <c r="F6532" s="1">
        <v>42373</v>
      </c>
      <c r="G6532">
        <v>2020</v>
      </c>
      <c r="H6532">
        <f>AVERAGEIFS(Table1[value],Table1[IndicatorCode],Table1[[#This Row],[IndicatorCode]])</f>
        <v>24902.88753799392</v>
      </c>
      <c r="I6532" cm="1">
        <f t="array" ref="I6532">_xlfn.STDEV.P(IF(Table1[IndicatorCode]=Table1[[#This Row],[IndicatorCode]],Table1[value]))</f>
        <v>26324.778297809873</v>
      </c>
      <c r="J6532">
        <f>(Table1[[#This Row],[value]] - Table1[[#This Row],[mean]]) / Table1[[#This Row],[std_dev]]</f>
        <v>0.66363759133574662</v>
      </c>
      <c r="K6532">
        <f>AVERAGEIF(Table1[CountryCode],Table1[[#This Row],[CountryCode]],Table1[z-score])</f>
        <v>0.40817616735273116</v>
      </c>
    </row>
    <row r="6533" spans="1:12" hidden="1" x14ac:dyDescent="0.3">
      <c r="A6533" t="s">
        <v>91</v>
      </c>
      <c r="B6533" t="s">
        <v>92</v>
      </c>
      <c r="C6533" t="s">
        <v>127</v>
      </c>
      <c r="D6533" t="s">
        <v>128</v>
      </c>
      <c r="E6533">
        <v>2021</v>
      </c>
      <c r="F6533" s="1">
        <v>49781</v>
      </c>
      <c r="G6533">
        <v>2020</v>
      </c>
      <c r="H6533">
        <f>AVERAGEIFS(Table1[value],Table1[IndicatorCode],Table1[[#This Row],[IndicatorCode]])</f>
        <v>24902.88753799392</v>
      </c>
      <c r="I6533" cm="1">
        <f t="array" ref="I6533">_xlfn.STDEV.P(IF(Table1[IndicatorCode]=Table1[[#This Row],[IndicatorCode]],Table1[value]))</f>
        <v>26324.778297809873</v>
      </c>
      <c r="J6533">
        <f>(Table1[[#This Row],[value]] - Table1[[#This Row],[mean]]) / Table1[[#This Row],[std_dev]]</f>
        <v>0.94504546935067069</v>
      </c>
      <c r="K6533">
        <f>AVERAGEIF(Table1[CountryCode],Table1[[#This Row],[CountryCode]],Table1[z-score])</f>
        <v>0.48073633366786628</v>
      </c>
      <c r="L6533" t="e">
        <f>VLOOKUP(Table1[[#This Row],[CountryCode]],[1]!Table1[#All],1,FALSE)</f>
        <v>#REF!</v>
      </c>
    </row>
    <row r="6534" spans="1:12" hidden="1" x14ac:dyDescent="0.3">
      <c r="A6534" t="s">
        <v>91</v>
      </c>
      <c r="B6534" t="s">
        <v>92</v>
      </c>
      <c r="C6534" t="s">
        <v>127</v>
      </c>
      <c r="D6534" t="s">
        <v>128</v>
      </c>
      <c r="E6534">
        <v>2022</v>
      </c>
      <c r="F6534" s="1">
        <v>51778</v>
      </c>
      <c r="G6534">
        <v>1960</v>
      </c>
      <c r="H6534">
        <f>AVERAGEIFS(Table1[value],Table1[IndicatorCode],Table1[[#This Row],[IndicatorCode]])</f>
        <v>24902.88753799392</v>
      </c>
      <c r="I6534" cm="1">
        <f t="array" ref="I6534">_xlfn.STDEV.P(IF(Table1[IndicatorCode]=Table1[[#This Row],[IndicatorCode]],Table1[value]))</f>
        <v>26324.778297809873</v>
      </c>
      <c r="J6534">
        <f>(Table1[[#This Row],[value]] - Table1[[#This Row],[mean]]) / Table1[[#This Row],[std_dev]]</f>
        <v>1.0209055574170587</v>
      </c>
      <c r="K6534">
        <f>AVERAGEIF(Table1[CountryCode],Table1[[#This Row],[CountryCode]],Table1[z-score])</f>
        <v>0.48073633366786628</v>
      </c>
      <c r="L6534" t="e">
        <f>VLOOKUP(Table1[[#This Row],[CountryCode]],[1]!Table1[#All],1,FALSE)</f>
        <v>#REF!</v>
      </c>
    </row>
    <row r="6535" spans="1:12" hidden="1" x14ac:dyDescent="0.3">
      <c r="A6535" t="s">
        <v>91</v>
      </c>
      <c r="B6535" t="s">
        <v>92</v>
      </c>
      <c r="C6535" t="s">
        <v>127</v>
      </c>
      <c r="D6535" t="s">
        <v>128</v>
      </c>
      <c r="E6535">
        <v>2023</v>
      </c>
      <c r="F6535" s="1">
        <v>50961</v>
      </c>
      <c r="G6535">
        <v>1960</v>
      </c>
      <c r="H6535">
        <f>AVERAGEIFS(Table1[value],Table1[IndicatorCode],Table1[[#This Row],[IndicatorCode]])</f>
        <v>24902.88753799392</v>
      </c>
      <c r="I6535" cm="1">
        <f t="array" ref="I6535">_xlfn.STDEV.P(IF(Table1[IndicatorCode]=Table1[[#This Row],[IndicatorCode]],Table1[value]))</f>
        <v>26324.778297809873</v>
      </c>
      <c r="J6535">
        <f>(Table1[[#This Row],[value]] - Table1[[#This Row],[mean]]) / Table1[[#This Row],[std_dev]]</f>
        <v>0.98987015834332859</v>
      </c>
      <c r="K6535">
        <f>AVERAGEIF(Table1[CountryCode],Table1[[#This Row],[CountryCode]],Table1[z-score])</f>
        <v>0.48073633366786628</v>
      </c>
      <c r="L6535" t="e">
        <f>VLOOKUP(Table1[[#This Row],[CountryCode]],[1]!Table1[#All],1,FALSE)</f>
        <v>#REF!</v>
      </c>
    </row>
    <row r="6536" spans="1:12" hidden="1" x14ac:dyDescent="0.3">
      <c r="A6536" t="s">
        <v>91</v>
      </c>
      <c r="B6536" t="s">
        <v>92</v>
      </c>
      <c r="C6536" t="s">
        <v>127</v>
      </c>
      <c r="D6536" t="s">
        <v>128</v>
      </c>
      <c r="E6536">
        <v>2024</v>
      </c>
      <c r="F6536" s="1">
        <v>51179</v>
      </c>
      <c r="G6536">
        <v>1960</v>
      </c>
      <c r="H6536">
        <f>AVERAGEIFS(Table1[value],Table1[IndicatorCode],Table1[[#This Row],[IndicatorCode]])</f>
        <v>24902.88753799392</v>
      </c>
      <c r="I6536" cm="1">
        <f t="array" ref="I6536">_xlfn.STDEV.P(IF(Table1[IndicatorCode]=Table1[[#This Row],[IndicatorCode]],Table1[value]))</f>
        <v>26324.778297809873</v>
      </c>
      <c r="J6536">
        <f>(Table1[[#This Row],[value]] - Table1[[#This Row],[mean]]) / Table1[[#This Row],[std_dev]]</f>
        <v>0.9981513296995993</v>
      </c>
      <c r="K6536">
        <f>AVERAGEIF(Table1[CountryCode],Table1[[#This Row],[CountryCode]],Table1[z-score])</f>
        <v>0.48073633366786628</v>
      </c>
      <c r="L6536" t="e">
        <f>VLOOKUP(Table1[[#This Row],[CountryCode]],[1]!Table1[#All],1,FALSE)</f>
        <v>#REF!</v>
      </c>
    </row>
    <row r="6537" spans="1:12" hidden="1" x14ac:dyDescent="0.3">
      <c r="A6537" t="s">
        <v>93</v>
      </c>
      <c r="B6537" t="s">
        <v>94</v>
      </c>
      <c r="C6537" t="s">
        <v>127</v>
      </c>
      <c r="D6537" t="s">
        <v>128</v>
      </c>
      <c r="E6537">
        <v>1960</v>
      </c>
      <c r="F6537" s="1">
        <v>19209</v>
      </c>
      <c r="G6537">
        <v>1960</v>
      </c>
      <c r="H6537">
        <f>AVERAGEIFS(Table1[value],Table1[IndicatorCode],Table1[[#This Row],[IndicatorCode]])</f>
        <v>24902.88753799392</v>
      </c>
      <c r="I6537" cm="1">
        <f t="array" ref="I6537">_xlfn.STDEV.P(IF(Table1[IndicatorCode]=Table1[[#This Row],[IndicatorCode]],Table1[value]))</f>
        <v>26324.778297809873</v>
      </c>
      <c r="J6537">
        <f>(Table1[[#This Row],[value]] - Table1[[#This Row],[mean]]) / Table1[[#This Row],[std_dev]]</f>
        <v>-0.21629384580487163</v>
      </c>
      <c r="K6537">
        <f>AVERAGEIF(Table1[CountryCode],Table1[[#This Row],[CountryCode]],Table1[z-score])</f>
        <v>0.64774457538517582</v>
      </c>
      <c r="L6537" t="e">
        <f>VLOOKUP(Table1[[#This Row],[CountryCode]],[1]!Table1[#All],1,FALSE)</f>
        <v>#REF!</v>
      </c>
    </row>
    <row r="6538" spans="1:12" hidden="1" x14ac:dyDescent="0.3">
      <c r="A6538" t="s">
        <v>93</v>
      </c>
      <c r="B6538" t="s">
        <v>94</v>
      </c>
      <c r="C6538" t="s">
        <v>127</v>
      </c>
      <c r="D6538" t="s">
        <v>128</v>
      </c>
      <c r="E6538">
        <v>1961</v>
      </c>
      <c r="F6538" s="1">
        <v>20253</v>
      </c>
      <c r="G6538">
        <v>1960</v>
      </c>
      <c r="H6538">
        <f>AVERAGEIFS(Table1[value],Table1[IndicatorCode],Table1[[#This Row],[IndicatorCode]])</f>
        <v>24902.88753799392</v>
      </c>
      <c r="I6538" cm="1">
        <f t="array" ref="I6538">_xlfn.STDEV.P(IF(Table1[IndicatorCode]=Table1[[#This Row],[IndicatorCode]],Table1[value]))</f>
        <v>26324.778297809873</v>
      </c>
      <c r="J6538">
        <f>(Table1[[#This Row],[value]] - Table1[[#This Row],[mean]]) / Table1[[#This Row],[std_dev]]</f>
        <v>-0.17663539215374033</v>
      </c>
      <c r="K6538">
        <f>AVERAGEIF(Table1[CountryCode],Table1[[#This Row],[CountryCode]],Table1[z-score])</f>
        <v>0.64774457538517582</v>
      </c>
      <c r="L6538" t="e">
        <f>VLOOKUP(Table1[[#This Row],[CountryCode]],[1]!Table1[#All],1,FALSE)</f>
        <v>#REF!</v>
      </c>
    </row>
    <row r="6539" spans="1:12" hidden="1" x14ac:dyDescent="0.3">
      <c r="A6539" t="s">
        <v>93</v>
      </c>
      <c r="B6539" t="s">
        <v>94</v>
      </c>
      <c r="C6539" t="s">
        <v>127</v>
      </c>
      <c r="D6539" t="s">
        <v>128</v>
      </c>
      <c r="E6539">
        <v>1962</v>
      </c>
      <c r="F6539" s="1">
        <v>20656</v>
      </c>
      <c r="G6539">
        <v>1960</v>
      </c>
      <c r="H6539">
        <f>AVERAGEIFS(Table1[value],Table1[IndicatorCode],Table1[[#This Row],[IndicatorCode]])</f>
        <v>24902.88753799392</v>
      </c>
      <c r="I6539" cm="1">
        <f t="array" ref="I6539">_xlfn.STDEV.P(IF(Table1[IndicatorCode]=Table1[[#This Row],[IndicatorCode]],Table1[value]))</f>
        <v>26324.778297809873</v>
      </c>
      <c r="J6539">
        <f>(Table1[[#This Row],[value]] - Table1[[#This Row],[mean]]) / Table1[[#This Row],[std_dev]]</f>
        <v>-0.16132662125201053</v>
      </c>
      <c r="K6539">
        <f>AVERAGEIF(Table1[CountryCode],Table1[[#This Row],[CountryCode]],Table1[z-score])</f>
        <v>0.64774457538517582</v>
      </c>
      <c r="L6539" t="e">
        <f>VLOOKUP(Table1[[#This Row],[CountryCode]],[1]!Table1[#All],1,FALSE)</f>
        <v>#REF!</v>
      </c>
    </row>
    <row r="6540" spans="1:12" hidden="1" x14ac:dyDescent="0.3">
      <c r="A6540" t="s">
        <v>93</v>
      </c>
      <c r="B6540" t="s">
        <v>94</v>
      </c>
      <c r="C6540" t="s">
        <v>127</v>
      </c>
      <c r="D6540" t="s">
        <v>128</v>
      </c>
      <c r="E6540">
        <v>1963</v>
      </c>
      <c r="F6540" s="1">
        <v>21277</v>
      </c>
      <c r="G6540">
        <v>1960</v>
      </c>
      <c r="H6540">
        <f>AVERAGEIFS(Table1[value],Table1[IndicatorCode],Table1[[#This Row],[IndicatorCode]])</f>
        <v>24902.88753799392</v>
      </c>
      <c r="I6540" cm="1">
        <f t="array" ref="I6540">_xlfn.STDEV.P(IF(Table1[IndicatorCode]=Table1[[#This Row],[IndicatorCode]],Table1[value]))</f>
        <v>26324.778297809873</v>
      </c>
      <c r="J6540">
        <f>(Table1[[#This Row],[value]] - Table1[[#This Row],[mean]]) / Table1[[#This Row],[std_dev]]</f>
        <v>-0.13773667899401001</v>
      </c>
      <c r="K6540">
        <f>AVERAGEIF(Table1[CountryCode],Table1[[#This Row],[CountryCode]],Table1[z-score])</f>
        <v>0.64774457538517582</v>
      </c>
      <c r="L6540" t="e">
        <f>VLOOKUP(Table1[[#This Row],[CountryCode]],[1]!Table1[#All],1,FALSE)</f>
        <v>#REF!</v>
      </c>
    </row>
    <row r="6541" spans="1:12" hidden="1" x14ac:dyDescent="0.3">
      <c r="A6541" t="s">
        <v>93</v>
      </c>
      <c r="B6541" t="s">
        <v>94</v>
      </c>
      <c r="C6541" t="s">
        <v>127</v>
      </c>
      <c r="D6541" t="s">
        <v>128</v>
      </c>
      <c r="E6541">
        <v>1964</v>
      </c>
      <c r="F6541" s="1">
        <v>22174</v>
      </c>
      <c r="G6541">
        <v>1960</v>
      </c>
      <c r="H6541">
        <f>AVERAGEIFS(Table1[value],Table1[IndicatorCode],Table1[[#This Row],[IndicatorCode]])</f>
        <v>24902.88753799392</v>
      </c>
      <c r="I6541" cm="1">
        <f t="array" ref="I6541">_xlfn.STDEV.P(IF(Table1[IndicatorCode]=Table1[[#This Row],[IndicatorCode]],Table1[value]))</f>
        <v>26324.778297809873</v>
      </c>
      <c r="J6541">
        <f>(Table1[[#This Row],[value]] - Table1[[#This Row],[mean]]) / Table1[[#This Row],[std_dev]]</f>
        <v>-0.10366231795467594</v>
      </c>
      <c r="K6541">
        <f>AVERAGEIF(Table1[CountryCode],Table1[[#This Row],[CountryCode]],Table1[z-score])</f>
        <v>0.64774457538517582</v>
      </c>
      <c r="L6541" t="e">
        <f>VLOOKUP(Table1[[#This Row],[CountryCode]],[1]!Table1[#All],1,FALSE)</f>
        <v>#REF!</v>
      </c>
    </row>
    <row r="6542" spans="1:12" hidden="1" x14ac:dyDescent="0.3">
      <c r="A6542" t="s">
        <v>93</v>
      </c>
      <c r="B6542" t="s">
        <v>94</v>
      </c>
      <c r="C6542" t="s">
        <v>127</v>
      </c>
      <c r="D6542" t="s">
        <v>128</v>
      </c>
      <c r="E6542">
        <v>1965</v>
      </c>
      <c r="F6542" s="1">
        <v>23166</v>
      </c>
      <c r="G6542">
        <v>1960</v>
      </c>
      <c r="H6542">
        <f>AVERAGEIFS(Table1[value],Table1[IndicatorCode],Table1[[#This Row],[IndicatorCode]])</f>
        <v>24902.88753799392</v>
      </c>
      <c r="I6542" cm="1">
        <f t="array" ref="I6542">_xlfn.STDEV.P(IF(Table1[IndicatorCode]=Table1[[#This Row],[IndicatorCode]],Table1[value]))</f>
        <v>26324.778297809873</v>
      </c>
      <c r="J6542">
        <f>(Table1[[#This Row],[value]] - Table1[[#This Row],[mean]]) / Table1[[#This Row],[std_dev]]</f>
        <v>-6.5979189581187189E-2</v>
      </c>
      <c r="K6542">
        <f>AVERAGEIF(Table1[CountryCode],Table1[[#This Row],[CountryCode]],Table1[z-score])</f>
        <v>0.64774457538517582</v>
      </c>
      <c r="L6542" t="e">
        <f>VLOOKUP(Table1[[#This Row],[CountryCode]],[1]!Table1[#All],1,FALSE)</f>
        <v>#REF!</v>
      </c>
    </row>
    <row r="6543" spans="1:12" hidden="1" x14ac:dyDescent="0.3">
      <c r="A6543" t="s">
        <v>93</v>
      </c>
      <c r="B6543" t="s">
        <v>94</v>
      </c>
      <c r="C6543" t="s">
        <v>127</v>
      </c>
      <c r="D6543" t="s">
        <v>128</v>
      </c>
      <c r="E6543">
        <v>1966</v>
      </c>
      <c r="F6543" s="1">
        <v>23852</v>
      </c>
      <c r="G6543">
        <v>1960</v>
      </c>
      <c r="H6543">
        <f>AVERAGEIFS(Table1[value],Table1[IndicatorCode],Table1[[#This Row],[IndicatorCode]])</f>
        <v>24902.88753799392</v>
      </c>
      <c r="I6543" cm="1">
        <f t="array" ref="I6543">_xlfn.STDEV.P(IF(Table1[IndicatorCode]=Table1[[#This Row],[IndicatorCode]],Table1[value]))</f>
        <v>26324.778297809873</v>
      </c>
      <c r="J6543">
        <f>(Table1[[#This Row],[value]] - Table1[[#This Row],[mean]]) / Table1[[#This Row],[std_dev]]</f>
        <v>-3.9920090726133485E-2</v>
      </c>
      <c r="K6543">
        <f>AVERAGEIF(Table1[CountryCode],Table1[[#This Row],[CountryCode]],Table1[z-score])</f>
        <v>0.64774457538517582</v>
      </c>
      <c r="L6543" t="e">
        <f>VLOOKUP(Table1[[#This Row],[CountryCode]],[1]!Table1[#All],1,FALSE)</f>
        <v>#REF!</v>
      </c>
    </row>
    <row r="6544" spans="1:12" hidden="1" x14ac:dyDescent="0.3">
      <c r="A6544" t="s">
        <v>93</v>
      </c>
      <c r="B6544" t="s">
        <v>94</v>
      </c>
      <c r="C6544" t="s">
        <v>127</v>
      </c>
      <c r="D6544" t="s">
        <v>128</v>
      </c>
      <c r="E6544">
        <v>1967</v>
      </c>
      <c r="F6544" s="1">
        <v>25133</v>
      </c>
      <c r="G6544">
        <v>1970</v>
      </c>
      <c r="H6544">
        <f>AVERAGEIFS(Table1[value],Table1[IndicatorCode],Table1[[#This Row],[IndicatorCode]])</f>
        <v>24902.88753799392</v>
      </c>
      <c r="I6544" cm="1">
        <f t="array" ref="I6544">_xlfn.STDEV.P(IF(Table1[IndicatorCode]=Table1[[#This Row],[IndicatorCode]],Table1[value]))</f>
        <v>26324.778297809873</v>
      </c>
      <c r="J6544">
        <f>(Table1[[#This Row],[value]] - Table1[[#This Row],[mean]]) / Table1[[#This Row],[std_dev]]</f>
        <v>8.7412877480994612E-3</v>
      </c>
      <c r="K6544">
        <f>AVERAGEIF(Table1[CountryCode],Table1[[#This Row],[CountryCode]],Table1[z-score])</f>
        <v>0.64774457538517582</v>
      </c>
      <c r="L6544" t="e">
        <f>VLOOKUP(Table1[[#This Row],[CountryCode]],[1]!Table1[#All],1,FALSE)</f>
        <v>#REF!</v>
      </c>
    </row>
    <row r="6545" spans="1:12" hidden="1" x14ac:dyDescent="0.3">
      <c r="A6545" t="s">
        <v>93</v>
      </c>
      <c r="B6545" t="s">
        <v>94</v>
      </c>
      <c r="C6545" t="s">
        <v>127</v>
      </c>
      <c r="D6545" t="s">
        <v>128</v>
      </c>
      <c r="E6545">
        <v>1968</v>
      </c>
      <c r="F6545" s="1">
        <v>25485</v>
      </c>
      <c r="G6545">
        <v>1970</v>
      </c>
      <c r="H6545">
        <f>AVERAGEIFS(Table1[value],Table1[IndicatorCode],Table1[[#This Row],[IndicatorCode]])</f>
        <v>24902.88753799392</v>
      </c>
      <c r="I6545" cm="1">
        <f t="array" ref="I6545">_xlfn.STDEV.P(IF(Table1[IndicatorCode]=Table1[[#This Row],[IndicatorCode]],Table1[value]))</f>
        <v>26324.778297809873</v>
      </c>
      <c r="J6545">
        <f>(Table1[[#This Row],[value]] - Table1[[#This Row],[mean]]) / Table1[[#This Row],[std_dev]]</f>
        <v>2.2112720396756758E-2</v>
      </c>
      <c r="K6545">
        <f>AVERAGEIF(Table1[CountryCode],Table1[[#This Row],[CountryCode]],Table1[z-score])</f>
        <v>0.64774457538517582</v>
      </c>
      <c r="L6545" t="e">
        <f>VLOOKUP(Table1[[#This Row],[CountryCode]],[1]!Table1[#All],1,FALSE)</f>
        <v>#REF!</v>
      </c>
    </row>
    <row r="6546" spans="1:12" hidden="1" x14ac:dyDescent="0.3">
      <c r="A6546" t="s">
        <v>93</v>
      </c>
      <c r="B6546" t="s">
        <v>94</v>
      </c>
      <c r="C6546" t="s">
        <v>127</v>
      </c>
      <c r="D6546" t="s">
        <v>128</v>
      </c>
      <c r="E6546">
        <v>1969</v>
      </c>
      <c r="F6546" s="1">
        <v>26417</v>
      </c>
      <c r="G6546">
        <v>1970</v>
      </c>
      <c r="H6546">
        <f>AVERAGEIFS(Table1[value],Table1[IndicatorCode],Table1[[#This Row],[IndicatorCode]])</f>
        <v>24902.88753799392</v>
      </c>
      <c r="I6546" cm="1">
        <f t="array" ref="I6546">_xlfn.STDEV.P(IF(Table1[IndicatorCode]=Table1[[#This Row],[IndicatorCode]],Table1[value]))</f>
        <v>26324.778297809873</v>
      </c>
      <c r="J6546">
        <f>(Table1[[#This Row],[value]] - Table1[[#This Row],[mean]]) / Table1[[#This Row],[std_dev]]</f>
        <v>5.7516627296042552E-2</v>
      </c>
      <c r="K6546">
        <f>AVERAGEIF(Table1[CountryCode],Table1[[#This Row],[CountryCode]],Table1[z-score])</f>
        <v>0.64774457538517582</v>
      </c>
      <c r="L6546" t="e">
        <f>VLOOKUP(Table1[[#This Row],[CountryCode]],[1]!Table1[#All],1,FALSE)</f>
        <v>#REF!</v>
      </c>
    </row>
    <row r="6547" spans="1:12" hidden="1" x14ac:dyDescent="0.3">
      <c r="A6547" t="s">
        <v>93</v>
      </c>
      <c r="B6547" t="s">
        <v>94</v>
      </c>
      <c r="C6547" t="s">
        <v>127</v>
      </c>
      <c r="D6547" t="s">
        <v>128</v>
      </c>
      <c r="E6547">
        <v>1970</v>
      </c>
      <c r="F6547" s="1">
        <v>26736</v>
      </c>
      <c r="G6547">
        <v>1970</v>
      </c>
      <c r="H6547">
        <f>AVERAGEIFS(Table1[value],Table1[IndicatorCode],Table1[[#This Row],[IndicatorCode]])</f>
        <v>24902.88753799392</v>
      </c>
      <c r="I6547" cm="1">
        <f t="array" ref="I6547">_xlfn.STDEV.P(IF(Table1[IndicatorCode]=Table1[[#This Row],[IndicatorCode]],Table1[value]))</f>
        <v>26324.778297809873</v>
      </c>
      <c r="J6547">
        <f>(Table1[[#This Row],[value]] - Table1[[#This Row],[mean]]) / Table1[[#This Row],[std_dev]]</f>
        <v>6.9634488133888228E-2</v>
      </c>
      <c r="K6547">
        <f>AVERAGEIF(Table1[CountryCode],Table1[[#This Row],[CountryCode]],Table1[z-score])</f>
        <v>0.64774457538517582</v>
      </c>
      <c r="L6547" t="e">
        <f>VLOOKUP(Table1[[#This Row],[CountryCode]],[1]!Table1[#All],1,FALSE)</f>
        <v>#REF!</v>
      </c>
    </row>
    <row r="6548" spans="1:12" hidden="1" x14ac:dyDescent="0.3">
      <c r="A6548" t="s">
        <v>93</v>
      </c>
      <c r="B6548" t="s">
        <v>94</v>
      </c>
      <c r="C6548" t="s">
        <v>127</v>
      </c>
      <c r="D6548" t="s">
        <v>128</v>
      </c>
      <c r="E6548">
        <v>1971</v>
      </c>
      <c r="F6548" s="1">
        <v>28055</v>
      </c>
      <c r="G6548">
        <v>1970</v>
      </c>
      <c r="H6548">
        <f>AVERAGEIFS(Table1[value],Table1[IndicatorCode],Table1[[#This Row],[IndicatorCode]])</f>
        <v>24902.88753799392</v>
      </c>
      <c r="I6548" cm="1">
        <f t="array" ref="I6548">_xlfn.STDEV.P(IF(Table1[IndicatorCode]=Table1[[#This Row],[IndicatorCode]],Table1[value]))</f>
        <v>26324.778297809873</v>
      </c>
      <c r="J6548">
        <f>(Table1[[#This Row],[value]] - Table1[[#This Row],[mean]]) / Table1[[#This Row],[std_dev]]</f>
        <v>0.11973937354178305</v>
      </c>
      <c r="K6548">
        <f>AVERAGEIF(Table1[CountryCode],Table1[[#This Row],[CountryCode]],Table1[z-score])</f>
        <v>0.64774457538517582</v>
      </c>
      <c r="L6548" t="e">
        <f>VLOOKUP(Table1[[#This Row],[CountryCode]],[1]!Table1[#All],1,FALSE)</f>
        <v>#REF!</v>
      </c>
    </row>
    <row r="6549" spans="1:12" hidden="1" x14ac:dyDescent="0.3">
      <c r="A6549" t="s">
        <v>93</v>
      </c>
      <c r="B6549" t="s">
        <v>94</v>
      </c>
      <c r="C6549" t="s">
        <v>127</v>
      </c>
      <c r="D6549" t="s">
        <v>128</v>
      </c>
      <c r="E6549">
        <v>1972</v>
      </c>
      <c r="F6549" s="1">
        <v>29326</v>
      </c>
      <c r="G6549">
        <v>1970</v>
      </c>
      <c r="H6549">
        <f>AVERAGEIFS(Table1[value],Table1[IndicatorCode],Table1[[#This Row],[IndicatorCode]])</f>
        <v>24902.88753799392</v>
      </c>
      <c r="I6549" cm="1">
        <f t="array" ref="I6549">_xlfn.STDEV.P(IF(Table1[IndicatorCode]=Table1[[#This Row],[IndicatorCode]],Table1[value]))</f>
        <v>26324.778297809873</v>
      </c>
      <c r="J6549">
        <f>(Table1[[#This Row],[value]] - Table1[[#This Row],[mean]]) / Table1[[#This Row],[std_dev]]</f>
        <v>0.16802088177031549</v>
      </c>
      <c r="K6549">
        <f>AVERAGEIF(Table1[CountryCode],Table1[[#This Row],[CountryCode]],Table1[z-score])</f>
        <v>0.64774457538517582</v>
      </c>
      <c r="L6549" t="e">
        <f>VLOOKUP(Table1[[#This Row],[CountryCode]],[1]!Table1[#All],1,FALSE)</f>
        <v>#REF!</v>
      </c>
    </row>
    <row r="6550" spans="1:12" hidden="1" x14ac:dyDescent="0.3">
      <c r="A6550" t="s">
        <v>93</v>
      </c>
      <c r="B6550" t="s">
        <v>94</v>
      </c>
      <c r="C6550" t="s">
        <v>127</v>
      </c>
      <c r="D6550" t="s">
        <v>128</v>
      </c>
      <c r="E6550">
        <v>1973</v>
      </c>
      <c r="F6550" s="1">
        <v>30441</v>
      </c>
      <c r="G6550">
        <v>1970</v>
      </c>
      <c r="H6550">
        <f>AVERAGEIFS(Table1[value],Table1[IndicatorCode],Table1[[#This Row],[IndicatorCode]])</f>
        <v>24902.88753799392</v>
      </c>
      <c r="I6550" cm="1">
        <f t="array" ref="I6550">_xlfn.STDEV.P(IF(Table1[IndicatorCode]=Table1[[#This Row],[IndicatorCode]],Table1[value]))</f>
        <v>26324.778297809873</v>
      </c>
      <c r="J6550">
        <f>(Table1[[#This Row],[value]] - Table1[[#This Row],[mean]]) / Table1[[#This Row],[std_dev]]</f>
        <v>0.21037641416592029</v>
      </c>
      <c r="K6550">
        <f>AVERAGEIF(Table1[CountryCode],Table1[[#This Row],[CountryCode]],Table1[z-score])</f>
        <v>0.64774457538517582</v>
      </c>
      <c r="L6550" t="e">
        <f>VLOOKUP(Table1[[#This Row],[CountryCode]],[1]!Table1[#All],1,FALSE)</f>
        <v>#REF!</v>
      </c>
    </row>
    <row r="6551" spans="1:12" hidden="1" x14ac:dyDescent="0.3">
      <c r="A6551" t="s">
        <v>93</v>
      </c>
      <c r="B6551" t="s">
        <v>94</v>
      </c>
      <c r="C6551" t="s">
        <v>127</v>
      </c>
      <c r="D6551" t="s">
        <v>128</v>
      </c>
      <c r="E6551">
        <v>1974</v>
      </c>
      <c r="F6551" s="1">
        <v>31440</v>
      </c>
      <c r="G6551">
        <v>1970</v>
      </c>
      <c r="H6551">
        <f>AVERAGEIFS(Table1[value],Table1[IndicatorCode],Table1[[#This Row],[IndicatorCode]])</f>
        <v>24902.88753799392</v>
      </c>
      <c r="I6551" cm="1">
        <f t="array" ref="I6551">_xlfn.STDEV.P(IF(Table1[IndicatorCode]=Table1[[#This Row],[IndicatorCode]],Table1[value]))</f>
        <v>26324.778297809873</v>
      </c>
      <c r="J6551">
        <f>(Table1[[#This Row],[value]] - Table1[[#This Row],[mean]]) / Table1[[#This Row],[std_dev]]</f>
        <v>0.24832545171139939</v>
      </c>
      <c r="K6551">
        <f>AVERAGEIF(Table1[CountryCode],Table1[[#This Row],[CountryCode]],Table1[z-score])</f>
        <v>0.64774457538517582</v>
      </c>
      <c r="L6551" t="e">
        <f>VLOOKUP(Table1[[#This Row],[CountryCode]],[1]!Table1[#All],1,FALSE)</f>
        <v>#REF!</v>
      </c>
    </row>
    <row r="6552" spans="1:12" hidden="1" x14ac:dyDescent="0.3">
      <c r="A6552" t="s">
        <v>93</v>
      </c>
      <c r="B6552" t="s">
        <v>94</v>
      </c>
      <c r="C6552" t="s">
        <v>127</v>
      </c>
      <c r="D6552" t="s">
        <v>128</v>
      </c>
      <c r="E6552">
        <v>1975</v>
      </c>
      <c r="F6552" s="1">
        <v>32815</v>
      </c>
      <c r="G6552">
        <v>1970</v>
      </c>
      <c r="H6552">
        <f>AVERAGEIFS(Table1[value],Table1[IndicatorCode],Table1[[#This Row],[IndicatorCode]])</f>
        <v>24902.88753799392</v>
      </c>
      <c r="I6552" cm="1">
        <f t="array" ref="I6552">_xlfn.STDEV.P(IF(Table1[IndicatorCode]=Table1[[#This Row],[IndicatorCode]],Table1[value]))</f>
        <v>26324.778297809873</v>
      </c>
      <c r="J6552">
        <f>(Table1[[#This Row],[value]] - Table1[[#This Row],[mean]]) / Table1[[#This Row],[std_dev]]</f>
        <v>0.30055761049521695</v>
      </c>
      <c r="K6552">
        <f>AVERAGEIF(Table1[CountryCode],Table1[[#This Row],[CountryCode]],Table1[z-score])</f>
        <v>0.64774457538517582</v>
      </c>
      <c r="L6552" t="e">
        <f>VLOOKUP(Table1[[#This Row],[CountryCode]],[1]!Table1[#All],1,FALSE)</f>
        <v>#REF!</v>
      </c>
    </row>
    <row r="6553" spans="1:12" hidden="1" x14ac:dyDescent="0.3">
      <c r="A6553" t="s">
        <v>93</v>
      </c>
      <c r="B6553" t="s">
        <v>94</v>
      </c>
      <c r="C6553" t="s">
        <v>127</v>
      </c>
      <c r="D6553" t="s">
        <v>128</v>
      </c>
      <c r="E6553">
        <v>1976</v>
      </c>
      <c r="F6553" s="1">
        <v>34564</v>
      </c>
      <c r="G6553">
        <v>1970</v>
      </c>
      <c r="H6553">
        <f>AVERAGEIFS(Table1[value],Table1[IndicatorCode],Table1[[#This Row],[IndicatorCode]])</f>
        <v>24902.88753799392</v>
      </c>
      <c r="I6553" cm="1">
        <f t="array" ref="I6553">_xlfn.STDEV.P(IF(Table1[IndicatorCode]=Table1[[#This Row],[IndicatorCode]],Table1[value]))</f>
        <v>26324.778297809873</v>
      </c>
      <c r="J6553">
        <f>(Table1[[#This Row],[value]] - Table1[[#This Row],[mean]]) / Table1[[#This Row],[std_dev]]</f>
        <v>0.3669969164682329</v>
      </c>
      <c r="K6553">
        <f>AVERAGEIF(Table1[CountryCode],Table1[[#This Row],[CountryCode]],Table1[z-score])</f>
        <v>0.64774457538517582</v>
      </c>
      <c r="L6553" t="e">
        <f>VLOOKUP(Table1[[#This Row],[CountryCode]],[1]!Table1[#All],1,FALSE)</f>
        <v>#REF!</v>
      </c>
    </row>
    <row r="6554" spans="1:12" hidden="1" x14ac:dyDescent="0.3">
      <c r="A6554" t="s">
        <v>93</v>
      </c>
      <c r="B6554" t="s">
        <v>94</v>
      </c>
      <c r="C6554" t="s">
        <v>127</v>
      </c>
      <c r="D6554" t="s">
        <v>128</v>
      </c>
      <c r="E6554">
        <v>1977</v>
      </c>
      <c r="F6554" s="1">
        <v>35850</v>
      </c>
      <c r="G6554">
        <v>1980</v>
      </c>
      <c r="H6554">
        <f>AVERAGEIFS(Table1[value],Table1[IndicatorCode],Table1[[#This Row],[IndicatorCode]])</f>
        <v>24902.88753799392</v>
      </c>
      <c r="I6554" cm="1">
        <f t="array" ref="I6554">_xlfn.STDEV.P(IF(Table1[IndicatorCode]=Table1[[#This Row],[IndicatorCode]],Table1[value]))</f>
        <v>26324.778297809873</v>
      </c>
      <c r="J6554">
        <f>(Table1[[#This Row],[value]] - Table1[[#This Row],[mean]]) / Table1[[#This Row],[std_dev]]</f>
        <v>0.41584823006531607</v>
      </c>
      <c r="K6554">
        <f>AVERAGEIF(Table1[CountryCode],Table1[[#This Row],[CountryCode]],Table1[z-score])</f>
        <v>0.64774457538517582</v>
      </c>
      <c r="L6554" t="e">
        <f>VLOOKUP(Table1[[#This Row],[CountryCode]],[1]!Table1[#All],1,FALSE)</f>
        <v>#REF!</v>
      </c>
    </row>
    <row r="6555" spans="1:12" hidden="1" x14ac:dyDescent="0.3">
      <c r="A6555" t="s">
        <v>93</v>
      </c>
      <c r="B6555" t="s">
        <v>94</v>
      </c>
      <c r="C6555" t="s">
        <v>127</v>
      </c>
      <c r="D6555" t="s">
        <v>128</v>
      </c>
      <c r="E6555">
        <v>1978</v>
      </c>
      <c r="F6555" s="1">
        <v>37096</v>
      </c>
      <c r="G6555">
        <v>1980</v>
      </c>
      <c r="H6555">
        <f>AVERAGEIFS(Table1[value],Table1[IndicatorCode],Table1[[#This Row],[IndicatorCode]])</f>
        <v>24902.88753799392</v>
      </c>
      <c r="I6555" cm="1">
        <f t="array" ref="I6555">_xlfn.STDEV.P(IF(Table1[IndicatorCode]=Table1[[#This Row],[IndicatorCode]],Table1[value]))</f>
        <v>26324.778297809873</v>
      </c>
      <c r="J6555">
        <f>(Table1[[#This Row],[value]] - Table1[[#This Row],[mean]]) / Table1[[#This Row],[std_dev]]</f>
        <v>0.46318006267959733</v>
      </c>
      <c r="K6555">
        <f>AVERAGEIF(Table1[CountryCode],Table1[[#This Row],[CountryCode]],Table1[z-score])</f>
        <v>0.64774457538517582</v>
      </c>
      <c r="L6555" t="e">
        <f>VLOOKUP(Table1[[#This Row],[CountryCode]],[1]!Table1[#All],1,FALSE)</f>
        <v>#REF!</v>
      </c>
    </row>
    <row r="6556" spans="1:12" hidden="1" x14ac:dyDescent="0.3">
      <c r="A6556" t="s">
        <v>93</v>
      </c>
      <c r="B6556" t="s">
        <v>94</v>
      </c>
      <c r="C6556" t="s">
        <v>127</v>
      </c>
      <c r="D6556" t="s">
        <v>128</v>
      </c>
      <c r="E6556">
        <v>1979</v>
      </c>
      <c r="F6556" s="1">
        <v>38586</v>
      </c>
      <c r="G6556">
        <v>1980</v>
      </c>
      <c r="H6556">
        <f>AVERAGEIFS(Table1[value],Table1[IndicatorCode],Table1[[#This Row],[IndicatorCode]])</f>
        <v>24902.88753799392</v>
      </c>
      <c r="I6556" cm="1">
        <f t="array" ref="I6556">_xlfn.STDEV.P(IF(Table1[IndicatorCode]=Table1[[#This Row],[IndicatorCode]],Table1[value]))</f>
        <v>26324.778297809873</v>
      </c>
      <c r="J6556">
        <f>(Table1[[#This Row],[value]] - Table1[[#This Row],[mean]]) / Table1[[#This Row],[std_dev]]</f>
        <v>0.51978072928897057</v>
      </c>
      <c r="K6556">
        <f>AVERAGEIF(Table1[CountryCode],Table1[[#This Row],[CountryCode]],Table1[z-score])</f>
        <v>0.64774457538517582</v>
      </c>
      <c r="L6556" t="e">
        <f>VLOOKUP(Table1[[#This Row],[CountryCode]],[1]!Table1[#All],1,FALSE)</f>
        <v>#REF!</v>
      </c>
    </row>
    <row r="6557" spans="1:12" hidden="1" x14ac:dyDescent="0.3">
      <c r="A6557" t="s">
        <v>93</v>
      </c>
      <c r="B6557" t="s">
        <v>94</v>
      </c>
      <c r="C6557" t="s">
        <v>127</v>
      </c>
      <c r="D6557" t="s">
        <v>128</v>
      </c>
      <c r="E6557">
        <v>1980</v>
      </c>
      <c r="F6557" s="1">
        <v>40218</v>
      </c>
      <c r="G6557">
        <v>1980</v>
      </c>
      <c r="H6557">
        <f>AVERAGEIFS(Table1[value],Table1[IndicatorCode],Table1[[#This Row],[IndicatorCode]])</f>
        <v>24902.88753799392</v>
      </c>
      <c r="I6557" cm="1">
        <f t="array" ref="I6557">_xlfn.STDEV.P(IF(Table1[IndicatorCode]=Table1[[#This Row],[IndicatorCode]],Table1[value]))</f>
        <v>26324.778297809873</v>
      </c>
      <c r="J6557">
        <f>(Table1[[#This Row],[value]] - Table1[[#This Row],[mean]]) / Table1[[#This Row],[std_dev]]</f>
        <v>0.5817755533872907</v>
      </c>
      <c r="K6557">
        <f>AVERAGEIF(Table1[CountryCode],Table1[[#This Row],[CountryCode]],Table1[z-score])</f>
        <v>0.64774457538517582</v>
      </c>
      <c r="L6557" t="e">
        <f>VLOOKUP(Table1[[#This Row],[CountryCode]],[1]!Table1[#All],1,FALSE)</f>
        <v>#REF!</v>
      </c>
    </row>
    <row r="6558" spans="1:12" hidden="1" x14ac:dyDescent="0.3">
      <c r="A6558" t="s">
        <v>93</v>
      </c>
      <c r="B6558" t="s">
        <v>94</v>
      </c>
      <c r="C6558" t="s">
        <v>127</v>
      </c>
      <c r="D6558" t="s">
        <v>128</v>
      </c>
      <c r="E6558">
        <v>1981</v>
      </c>
      <c r="F6558" s="1">
        <v>40720</v>
      </c>
      <c r="G6558">
        <v>1980</v>
      </c>
      <c r="H6558">
        <f>AVERAGEIFS(Table1[value],Table1[IndicatorCode],Table1[[#This Row],[IndicatorCode]])</f>
        <v>24902.88753799392</v>
      </c>
      <c r="I6558" cm="1">
        <f t="array" ref="I6558">_xlfn.STDEV.P(IF(Table1[IndicatorCode]=Table1[[#This Row],[IndicatorCode]],Table1[value]))</f>
        <v>26324.778297809873</v>
      </c>
      <c r="J6558">
        <f>(Table1[[#This Row],[value]] - Table1[[#This Row],[mean]]) / Table1[[#This Row],[std_dev]]</f>
        <v>0.60084503972145542</v>
      </c>
      <c r="K6558">
        <f>AVERAGEIF(Table1[CountryCode],Table1[[#This Row],[CountryCode]],Table1[z-score])</f>
        <v>0.64774457538517582</v>
      </c>
      <c r="L6558" t="e">
        <f>VLOOKUP(Table1[[#This Row],[CountryCode]],[1]!Table1[#All],1,FALSE)</f>
        <v>#REF!</v>
      </c>
    </row>
    <row r="6559" spans="1:12" hidden="1" x14ac:dyDescent="0.3">
      <c r="A6559" t="s">
        <v>93</v>
      </c>
      <c r="B6559" t="s">
        <v>94</v>
      </c>
      <c r="C6559" t="s">
        <v>127</v>
      </c>
      <c r="D6559" t="s">
        <v>128</v>
      </c>
      <c r="E6559">
        <v>1982</v>
      </c>
      <c r="F6559" s="1">
        <v>40666</v>
      </c>
      <c r="G6559">
        <v>1980</v>
      </c>
      <c r="H6559">
        <f>AVERAGEIFS(Table1[value],Table1[IndicatorCode],Table1[[#This Row],[IndicatorCode]])</f>
        <v>24902.88753799392</v>
      </c>
      <c r="I6559" cm="1">
        <f t="array" ref="I6559">_xlfn.STDEV.P(IF(Table1[IndicatorCode]=Table1[[#This Row],[IndicatorCode]],Table1[value]))</f>
        <v>26324.778297809873</v>
      </c>
      <c r="J6559">
        <f>(Table1[[#This Row],[value]] - Table1[[#This Row],[mean]]) / Table1[[#This Row],[std_dev]]</f>
        <v>0.5987937403946727</v>
      </c>
      <c r="K6559">
        <f>AVERAGEIF(Table1[CountryCode],Table1[[#This Row],[CountryCode]],Table1[z-score])</f>
        <v>0.64774457538517582</v>
      </c>
      <c r="L6559" t="e">
        <f>VLOOKUP(Table1[[#This Row],[CountryCode]],[1]!Table1[#All],1,FALSE)</f>
        <v>#REF!</v>
      </c>
    </row>
    <row r="6560" spans="1:12" hidden="1" x14ac:dyDescent="0.3">
      <c r="A6560" t="s">
        <v>93</v>
      </c>
      <c r="B6560" t="s">
        <v>94</v>
      </c>
      <c r="C6560" t="s">
        <v>127</v>
      </c>
      <c r="D6560" t="s">
        <v>128</v>
      </c>
      <c r="E6560">
        <v>1983</v>
      </c>
      <c r="F6560" s="1">
        <v>42142</v>
      </c>
      <c r="G6560">
        <v>1980</v>
      </c>
      <c r="H6560">
        <f>AVERAGEIFS(Table1[value],Table1[IndicatorCode],Table1[[#This Row],[IndicatorCode]])</f>
        <v>24902.88753799392</v>
      </c>
      <c r="I6560" cm="1">
        <f t="array" ref="I6560">_xlfn.STDEV.P(IF(Table1[IndicatorCode]=Table1[[#This Row],[IndicatorCode]],Table1[value]))</f>
        <v>26324.778297809873</v>
      </c>
      <c r="J6560">
        <f>(Table1[[#This Row],[value]] - Table1[[#This Row],[mean]]) / Table1[[#This Row],[std_dev]]</f>
        <v>0.6548625886600653</v>
      </c>
      <c r="K6560">
        <f>AVERAGEIF(Table1[CountryCode],Table1[[#This Row],[CountryCode]],Table1[z-score])</f>
        <v>0.64774457538517582</v>
      </c>
      <c r="L6560" t="e">
        <f>VLOOKUP(Table1[[#This Row],[CountryCode]],[1]!Table1[#All],1,FALSE)</f>
        <v>#REF!</v>
      </c>
    </row>
    <row r="6561" spans="1:12" hidden="1" x14ac:dyDescent="0.3">
      <c r="A6561" t="s">
        <v>93</v>
      </c>
      <c r="B6561" t="s">
        <v>94</v>
      </c>
      <c r="C6561" t="s">
        <v>127</v>
      </c>
      <c r="D6561" t="s">
        <v>128</v>
      </c>
      <c r="E6561">
        <v>1984</v>
      </c>
      <c r="F6561" s="1">
        <v>44567</v>
      </c>
      <c r="G6561">
        <v>1980</v>
      </c>
      <c r="H6561">
        <f>AVERAGEIFS(Table1[value],Table1[IndicatorCode],Table1[[#This Row],[IndicatorCode]])</f>
        <v>24902.88753799392</v>
      </c>
      <c r="I6561" cm="1">
        <f t="array" ref="I6561">_xlfn.STDEV.P(IF(Table1[IndicatorCode]=Table1[[#This Row],[IndicatorCode]],Table1[value]))</f>
        <v>26324.778297809873</v>
      </c>
      <c r="J6561">
        <f>(Table1[[#This Row],[value]] - Table1[[#This Row],[mean]]) / Table1[[#This Row],[std_dev]]</f>
        <v>0.74698112324243437</v>
      </c>
      <c r="K6561">
        <f>AVERAGEIF(Table1[CountryCode],Table1[[#This Row],[CountryCode]],Table1[z-score])</f>
        <v>0.64774457538517582</v>
      </c>
      <c r="L6561" t="e">
        <f>VLOOKUP(Table1[[#This Row],[CountryCode]],[1]!Table1[#All],1,FALSE)</f>
        <v>#REF!</v>
      </c>
    </row>
    <row r="6562" spans="1:12" hidden="1" x14ac:dyDescent="0.3">
      <c r="A6562" t="s">
        <v>93</v>
      </c>
      <c r="B6562" t="s">
        <v>94</v>
      </c>
      <c r="C6562" t="s">
        <v>127</v>
      </c>
      <c r="D6562" t="s">
        <v>128</v>
      </c>
      <c r="E6562">
        <v>1985</v>
      </c>
      <c r="F6562" s="1">
        <v>46901</v>
      </c>
      <c r="G6562">
        <v>1980</v>
      </c>
      <c r="H6562">
        <f>AVERAGEIFS(Table1[value],Table1[IndicatorCode],Table1[[#This Row],[IndicatorCode]])</f>
        <v>24902.88753799392</v>
      </c>
      <c r="I6562" cm="1">
        <f t="array" ref="I6562">_xlfn.STDEV.P(IF(Table1[IndicatorCode]=Table1[[#This Row],[IndicatorCode]],Table1[value]))</f>
        <v>26324.778297809873</v>
      </c>
      <c r="J6562">
        <f>(Table1[[#This Row],[value]] - Table1[[#This Row],[mean]]) / Table1[[#This Row],[std_dev]]</f>
        <v>0.83564283858892907</v>
      </c>
      <c r="K6562">
        <f>AVERAGEIF(Table1[CountryCode],Table1[[#This Row],[CountryCode]],Table1[z-score])</f>
        <v>0.64774457538517582</v>
      </c>
      <c r="L6562" t="e">
        <f>VLOOKUP(Table1[[#This Row],[CountryCode]],[1]!Table1[#All],1,FALSE)</f>
        <v>#REF!</v>
      </c>
    </row>
    <row r="6563" spans="1:12" hidden="1" x14ac:dyDescent="0.3">
      <c r="A6563" t="s">
        <v>93</v>
      </c>
      <c r="B6563" t="s">
        <v>94</v>
      </c>
      <c r="C6563" t="s">
        <v>127</v>
      </c>
      <c r="D6563" t="s">
        <v>128</v>
      </c>
      <c r="E6563">
        <v>1986</v>
      </c>
      <c r="F6563" s="1">
        <v>48623</v>
      </c>
      <c r="G6563">
        <v>1980</v>
      </c>
      <c r="H6563">
        <f>AVERAGEIFS(Table1[value],Table1[IndicatorCode],Table1[[#This Row],[IndicatorCode]])</f>
        <v>24902.88753799392</v>
      </c>
      <c r="I6563" cm="1">
        <f t="array" ref="I6563">_xlfn.STDEV.P(IF(Table1[IndicatorCode]=Table1[[#This Row],[IndicatorCode]],Table1[value]))</f>
        <v>26324.778297809873</v>
      </c>
      <c r="J6563">
        <f>(Table1[[#This Row],[value]] - Table1[[#This Row],[mean]]) / Table1[[#This Row],[std_dev]]</f>
        <v>0.90105649489855377</v>
      </c>
      <c r="K6563">
        <f>AVERAGEIF(Table1[CountryCode],Table1[[#This Row],[CountryCode]],Table1[z-score])</f>
        <v>0.64774457538517582</v>
      </c>
      <c r="L6563" t="e">
        <f>VLOOKUP(Table1[[#This Row],[CountryCode]],[1]!Table1[#All],1,FALSE)</f>
        <v>#REF!</v>
      </c>
    </row>
    <row r="6564" spans="1:12" hidden="1" x14ac:dyDescent="0.3">
      <c r="A6564" t="s">
        <v>93</v>
      </c>
      <c r="B6564" t="s">
        <v>94</v>
      </c>
      <c r="C6564" t="s">
        <v>127</v>
      </c>
      <c r="D6564" t="s">
        <v>128</v>
      </c>
      <c r="E6564">
        <v>1987</v>
      </c>
      <c r="F6564" s="1">
        <v>49245</v>
      </c>
      <c r="G6564">
        <v>1990</v>
      </c>
      <c r="H6564">
        <f>AVERAGEIFS(Table1[value],Table1[IndicatorCode],Table1[[#This Row],[IndicatorCode]])</f>
        <v>24902.88753799392</v>
      </c>
      <c r="I6564" cm="1">
        <f t="array" ref="I6564">_xlfn.STDEV.P(IF(Table1[IndicatorCode]=Table1[[#This Row],[IndicatorCode]],Table1[value]))</f>
        <v>26324.778297809873</v>
      </c>
      <c r="J6564">
        <f>(Table1[[#This Row],[value]] - Table1[[#This Row],[mean]]) / Table1[[#This Row],[std_dev]]</f>
        <v>0.92468442418112429</v>
      </c>
      <c r="K6564">
        <f>AVERAGEIF(Table1[CountryCode],Table1[[#This Row],[CountryCode]],Table1[z-score])</f>
        <v>0.64774457538517582</v>
      </c>
      <c r="L6564" t="e">
        <f>VLOOKUP(Table1[[#This Row],[CountryCode]],[1]!Table1[#All],1,FALSE)</f>
        <v>#REF!</v>
      </c>
    </row>
    <row r="6565" spans="1:12" hidden="1" x14ac:dyDescent="0.3">
      <c r="A6565" t="s">
        <v>93</v>
      </c>
      <c r="B6565" t="s">
        <v>94</v>
      </c>
      <c r="C6565" t="s">
        <v>127</v>
      </c>
      <c r="D6565" t="s">
        <v>128</v>
      </c>
      <c r="E6565">
        <v>1988</v>
      </c>
      <c r="F6565" s="1">
        <v>48856</v>
      </c>
      <c r="G6565">
        <v>1990</v>
      </c>
      <c r="H6565">
        <f>AVERAGEIFS(Table1[value],Table1[IndicatorCode],Table1[[#This Row],[IndicatorCode]])</f>
        <v>24902.88753799392</v>
      </c>
      <c r="I6565" cm="1">
        <f t="array" ref="I6565">_xlfn.STDEV.P(IF(Table1[IndicatorCode]=Table1[[#This Row],[IndicatorCode]],Table1[value]))</f>
        <v>26324.778297809873</v>
      </c>
      <c r="J6565">
        <f>(Table1[[#This Row],[value]] - Table1[[#This Row],[mean]]) / Table1[[#This Row],[std_dev]]</f>
        <v>0.90990747162337515</v>
      </c>
      <c r="K6565">
        <f>AVERAGEIF(Table1[CountryCode],Table1[[#This Row],[CountryCode]],Table1[z-score])</f>
        <v>0.64774457538517582</v>
      </c>
      <c r="L6565" t="e">
        <f>VLOOKUP(Table1[[#This Row],[CountryCode]],[1]!Table1[#All],1,FALSE)</f>
        <v>#REF!</v>
      </c>
    </row>
    <row r="6566" spans="1:12" hidden="1" x14ac:dyDescent="0.3">
      <c r="A6566" t="s">
        <v>93</v>
      </c>
      <c r="B6566" t="s">
        <v>94</v>
      </c>
      <c r="C6566" t="s">
        <v>127</v>
      </c>
      <c r="D6566" t="s">
        <v>128</v>
      </c>
      <c r="E6566">
        <v>1989</v>
      </c>
      <c r="F6566" s="1">
        <v>49160</v>
      </c>
      <c r="G6566">
        <v>1990</v>
      </c>
      <c r="H6566">
        <f>AVERAGEIFS(Table1[value],Table1[IndicatorCode],Table1[[#This Row],[IndicatorCode]])</f>
        <v>24902.88753799392</v>
      </c>
      <c r="I6566" cm="1">
        <f t="array" ref="I6566">_xlfn.STDEV.P(IF(Table1[IndicatorCode]=Table1[[#This Row],[IndicatorCode]],Table1[value]))</f>
        <v>26324.778297809873</v>
      </c>
      <c r="J6566">
        <f>(Table1[[#This Row],[value]] - Table1[[#This Row],[mean]]) / Table1[[#This Row],[std_dev]]</f>
        <v>0.92145552709267009</v>
      </c>
      <c r="K6566">
        <f>AVERAGEIF(Table1[CountryCode],Table1[[#This Row],[CountryCode]],Table1[z-score])</f>
        <v>0.64774457538517582</v>
      </c>
      <c r="L6566" t="e">
        <f>VLOOKUP(Table1[[#This Row],[CountryCode]],[1]!Table1[#All],1,FALSE)</f>
        <v>#REF!</v>
      </c>
    </row>
    <row r="6567" spans="1:12" hidden="1" x14ac:dyDescent="0.3">
      <c r="A6567" t="s">
        <v>93</v>
      </c>
      <c r="B6567" t="s">
        <v>94</v>
      </c>
      <c r="C6567" t="s">
        <v>127</v>
      </c>
      <c r="D6567" t="s">
        <v>128</v>
      </c>
      <c r="E6567">
        <v>1990</v>
      </c>
      <c r="F6567" s="1">
        <v>49937</v>
      </c>
      <c r="G6567">
        <v>1990</v>
      </c>
      <c r="H6567">
        <f>AVERAGEIFS(Table1[value],Table1[IndicatorCode],Table1[[#This Row],[IndicatorCode]])</f>
        <v>24902.88753799392</v>
      </c>
      <c r="I6567" cm="1">
        <f t="array" ref="I6567">_xlfn.STDEV.P(IF(Table1[IndicatorCode]=Table1[[#This Row],[IndicatorCode]],Table1[value]))</f>
        <v>26324.778297809873</v>
      </c>
      <c r="J6567">
        <f>(Table1[[#This Row],[value]] - Table1[[#This Row],[mean]]) / Table1[[#This Row],[std_dev]]</f>
        <v>0.95097144518359833</v>
      </c>
      <c r="K6567">
        <f>AVERAGEIF(Table1[CountryCode],Table1[[#This Row],[CountryCode]],Table1[z-score])</f>
        <v>0.64774457538517582</v>
      </c>
      <c r="L6567" t="e">
        <f>VLOOKUP(Table1[[#This Row],[CountryCode]],[1]!Table1[#All],1,FALSE)</f>
        <v>#REF!</v>
      </c>
    </row>
    <row r="6568" spans="1:12" hidden="1" x14ac:dyDescent="0.3">
      <c r="A6568" t="s">
        <v>93</v>
      </c>
      <c r="B6568" t="s">
        <v>94</v>
      </c>
      <c r="C6568" t="s">
        <v>127</v>
      </c>
      <c r="D6568" t="s">
        <v>128</v>
      </c>
      <c r="E6568">
        <v>1991</v>
      </c>
      <c r="F6568" s="1">
        <v>51233</v>
      </c>
      <c r="G6568">
        <v>1990</v>
      </c>
      <c r="H6568">
        <f>AVERAGEIFS(Table1[value],Table1[IndicatorCode],Table1[[#This Row],[IndicatorCode]])</f>
        <v>24902.88753799392</v>
      </c>
      <c r="I6568" cm="1">
        <f t="array" ref="I6568">_xlfn.STDEV.P(IF(Table1[IndicatorCode]=Table1[[#This Row],[IndicatorCode]],Table1[value]))</f>
        <v>26324.778297809873</v>
      </c>
      <c r="J6568">
        <f>(Table1[[#This Row],[value]] - Table1[[#This Row],[mean]]) / Table1[[#This Row],[std_dev]]</f>
        <v>1.0002026290263819</v>
      </c>
      <c r="K6568">
        <f>AVERAGEIF(Table1[CountryCode],Table1[[#This Row],[CountryCode]],Table1[z-score])</f>
        <v>0.64774457538517582</v>
      </c>
      <c r="L6568" t="e">
        <f>VLOOKUP(Table1[[#This Row],[CountryCode]],[1]!Table1[#All],1,FALSE)</f>
        <v>#REF!</v>
      </c>
    </row>
    <row r="6569" spans="1:12" hidden="1" x14ac:dyDescent="0.3">
      <c r="A6569" t="s">
        <v>93</v>
      </c>
      <c r="B6569" t="s">
        <v>94</v>
      </c>
      <c r="C6569" t="s">
        <v>127</v>
      </c>
      <c r="D6569" t="s">
        <v>128</v>
      </c>
      <c r="E6569">
        <v>1992</v>
      </c>
      <c r="F6569" s="1">
        <v>52759</v>
      </c>
      <c r="G6569">
        <v>1990</v>
      </c>
      <c r="H6569">
        <f>AVERAGEIFS(Table1[value],Table1[IndicatorCode],Table1[[#This Row],[IndicatorCode]])</f>
        <v>24902.88753799392</v>
      </c>
      <c r="I6569" cm="1">
        <f t="array" ref="I6569">_xlfn.STDEV.P(IF(Table1[IndicatorCode]=Table1[[#This Row],[IndicatorCode]],Table1[value]))</f>
        <v>26324.778297809873</v>
      </c>
      <c r="J6569">
        <f>(Table1[[#This Row],[value]] - Table1[[#This Row],[mean]]) / Table1[[#This Row],[std_dev]]</f>
        <v>1.0581708285202769</v>
      </c>
      <c r="K6569">
        <f>AVERAGEIF(Table1[CountryCode],Table1[[#This Row],[CountryCode]],Table1[z-score])</f>
        <v>0.64774457538517582</v>
      </c>
      <c r="L6569" t="e">
        <f>VLOOKUP(Table1[[#This Row],[CountryCode]],[1]!Table1[#All],1,FALSE)</f>
        <v>#REF!</v>
      </c>
    </row>
    <row r="6570" spans="1:12" hidden="1" x14ac:dyDescent="0.3">
      <c r="A6570" t="s">
        <v>93</v>
      </c>
      <c r="B6570" t="s">
        <v>94</v>
      </c>
      <c r="C6570" t="s">
        <v>127</v>
      </c>
      <c r="D6570" t="s">
        <v>128</v>
      </c>
      <c r="E6570">
        <v>1993</v>
      </c>
      <c r="F6570" s="1">
        <v>53938</v>
      </c>
      <c r="G6570">
        <v>1990</v>
      </c>
      <c r="H6570">
        <f>AVERAGEIFS(Table1[value],Table1[IndicatorCode],Table1[[#This Row],[IndicatorCode]])</f>
        <v>24902.88753799392</v>
      </c>
      <c r="I6570" cm="1">
        <f t="array" ref="I6570">_xlfn.STDEV.P(IF(Table1[IndicatorCode]=Table1[[#This Row],[IndicatorCode]],Table1[value]))</f>
        <v>26324.778297809873</v>
      </c>
      <c r="J6570">
        <f>(Table1[[#This Row],[value]] - Table1[[#This Row],[mean]]) / Table1[[#This Row],[std_dev]]</f>
        <v>1.102957530488365</v>
      </c>
      <c r="K6570">
        <f>AVERAGEIF(Table1[CountryCode],Table1[[#This Row],[CountryCode]],Table1[z-score])</f>
        <v>0.64774457538517582</v>
      </c>
      <c r="L6570" t="e">
        <f>VLOOKUP(Table1[[#This Row],[CountryCode]],[1]!Table1[#All],1,FALSE)</f>
        <v>#REF!</v>
      </c>
    </row>
    <row r="6571" spans="1:12" hidden="1" x14ac:dyDescent="0.3">
      <c r="A6571" t="s">
        <v>93</v>
      </c>
      <c r="B6571" t="s">
        <v>94</v>
      </c>
      <c r="C6571" t="s">
        <v>127</v>
      </c>
      <c r="D6571" t="s">
        <v>128</v>
      </c>
      <c r="E6571">
        <v>1994</v>
      </c>
      <c r="F6571" s="1">
        <v>56343</v>
      </c>
      <c r="G6571">
        <v>1990</v>
      </c>
      <c r="H6571">
        <f>AVERAGEIFS(Table1[value],Table1[IndicatorCode],Table1[[#This Row],[IndicatorCode]])</f>
        <v>24902.88753799392</v>
      </c>
      <c r="I6571" cm="1">
        <f t="array" ref="I6571">_xlfn.STDEV.P(IF(Table1[IndicatorCode]=Table1[[#This Row],[IndicatorCode]],Table1[value]))</f>
        <v>26324.778297809873</v>
      </c>
      <c r="J6571">
        <f>(Table1[[#This Row],[value]] - Table1[[#This Row],[mean]]) / Table1[[#This Row],[std_dev]]</f>
        <v>1.1943163245793331</v>
      </c>
      <c r="K6571">
        <f>AVERAGEIF(Table1[CountryCode],Table1[[#This Row],[CountryCode]],Table1[z-score])</f>
        <v>0.64774457538517582</v>
      </c>
      <c r="L6571" t="e">
        <f>VLOOKUP(Table1[[#This Row],[CountryCode]],[1]!Table1[#All],1,FALSE)</f>
        <v>#REF!</v>
      </c>
    </row>
    <row r="6572" spans="1:12" hidden="1" x14ac:dyDescent="0.3">
      <c r="A6572" t="s">
        <v>93</v>
      </c>
      <c r="B6572" t="s">
        <v>94</v>
      </c>
      <c r="C6572" t="s">
        <v>127</v>
      </c>
      <c r="D6572" t="s">
        <v>128</v>
      </c>
      <c r="E6572">
        <v>1995</v>
      </c>
      <c r="F6572" s="1">
        <v>58381</v>
      </c>
      <c r="G6572">
        <v>1990</v>
      </c>
      <c r="H6572">
        <f>AVERAGEIFS(Table1[value],Table1[IndicatorCode],Table1[[#This Row],[IndicatorCode]])</f>
        <v>24902.88753799392</v>
      </c>
      <c r="I6572" cm="1">
        <f t="array" ref="I6572">_xlfn.STDEV.P(IF(Table1[IndicatorCode]=Table1[[#This Row],[IndicatorCode]],Table1[value]))</f>
        <v>26324.778297809873</v>
      </c>
      <c r="J6572">
        <f>(Table1[[#This Row],[value]] - Table1[[#This Row],[mean]]) / Table1[[#This Row],[std_dev]]</f>
        <v>1.2717338806530933</v>
      </c>
      <c r="K6572">
        <f>AVERAGEIF(Table1[CountryCode],Table1[[#This Row],[CountryCode]],Table1[z-score])</f>
        <v>0.64774457538517582</v>
      </c>
      <c r="L6572" t="e">
        <f>VLOOKUP(Table1[[#This Row],[CountryCode]],[1]!Table1[#All],1,FALSE)</f>
        <v>#REF!</v>
      </c>
    </row>
    <row r="6573" spans="1:12" hidden="1" x14ac:dyDescent="0.3">
      <c r="A6573" t="s">
        <v>93</v>
      </c>
      <c r="B6573" t="s">
        <v>94</v>
      </c>
      <c r="C6573" t="s">
        <v>127</v>
      </c>
      <c r="D6573" t="s">
        <v>128</v>
      </c>
      <c r="E6573">
        <v>1996</v>
      </c>
      <c r="F6573" s="1">
        <v>61006</v>
      </c>
      <c r="G6573">
        <v>1990</v>
      </c>
      <c r="H6573">
        <f>AVERAGEIFS(Table1[value],Table1[IndicatorCode],Table1[[#This Row],[IndicatorCode]])</f>
        <v>24902.88753799392</v>
      </c>
      <c r="I6573" cm="1">
        <f t="array" ref="I6573">_xlfn.STDEV.P(IF(Table1[IndicatorCode]=Table1[[#This Row],[IndicatorCode]],Table1[value]))</f>
        <v>26324.778297809873</v>
      </c>
      <c r="J6573">
        <f>(Table1[[#This Row],[value]] - Table1[[#This Row],[mean]]) / Table1[[#This Row],[std_dev]]</f>
        <v>1.3714498201494723</v>
      </c>
      <c r="K6573">
        <f>AVERAGEIF(Table1[CountryCode],Table1[[#This Row],[CountryCode]],Table1[z-score])</f>
        <v>0.64774457538517582</v>
      </c>
      <c r="L6573" t="e">
        <f>VLOOKUP(Table1[[#This Row],[CountryCode]],[1]!Table1[#All],1,FALSE)</f>
        <v>#REF!</v>
      </c>
    </row>
    <row r="6574" spans="1:12" hidden="1" x14ac:dyDescent="0.3">
      <c r="A6574" t="s">
        <v>93</v>
      </c>
      <c r="B6574" t="s">
        <v>94</v>
      </c>
      <c r="C6574" t="s">
        <v>127</v>
      </c>
      <c r="D6574" t="s">
        <v>128</v>
      </c>
      <c r="E6574">
        <v>1997</v>
      </c>
      <c r="F6574" s="1">
        <v>63882</v>
      </c>
      <c r="G6574">
        <v>2000</v>
      </c>
      <c r="H6574">
        <f>AVERAGEIFS(Table1[value],Table1[IndicatorCode],Table1[[#This Row],[IndicatorCode]])</f>
        <v>24902.88753799392</v>
      </c>
      <c r="I6574" cm="1">
        <f t="array" ref="I6574">_xlfn.STDEV.P(IF(Table1[IndicatorCode]=Table1[[#This Row],[IndicatorCode]],Table1[value]))</f>
        <v>26324.778297809873</v>
      </c>
      <c r="J6574">
        <f>(Table1[[#This Row],[value]] - Table1[[#This Row],[mean]]) / Table1[[#This Row],[std_dev]]</f>
        <v>1.4807005028129336</v>
      </c>
      <c r="K6574">
        <f>AVERAGEIF(Table1[CountryCode],Table1[[#This Row],[CountryCode]],Table1[z-score])</f>
        <v>0.64774457538517582</v>
      </c>
      <c r="L6574" t="e">
        <f>VLOOKUP(Table1[[#This Row],[CountryCode]],[1]!Table1[#All],1,FALSE)</f>
        <v>#REF!</v>
      </c>
    </row>
    <row r="6575" spans="1:12" hidden="1" x14ac:dyDescent="0.3">
      <c r="A6575" t="s">
        <v>93</v>
      </c>
      <c r="B6575" t="s">
        <v>94</v>
      </c>
      <c r="C6575" t="s">
        <v>127</v>
      </c>
      <c r="D6575" t="s">
        <v>128</v>
      </c>
      <c r="E6575">
        <v>1998</v>
      </c>
      <c r="F6575" s="1">
        <v>65198</v>
      </c>
      <c r="G6575">
        <v>2000</v>
      </c>
      <c r="H6575">
        <f>AVERAGEIFS(Table1[value],Table1[IndicatorCode],Table1[[#This Row],[IndicatorCode]])</f>
        <v>24902.88753799392</v>
      </c>
      <c r="I6575" cm="1">
        <f t="array" ref="I6575">_xlfn.STDEV.P(IF(Table1[IndicatorCode]=Table1[[#This Row],[IndicatorCode]],Table1[value]))</f>
        <v>26324.778297809873</v>
      </c>
      <c r="J6575">
        <f>(Table1[[#This Row],[value]] - Table1[[#This Row],[mean]]) / Table1[[#This Row],[std_dev]]</f>
        <v>1.5306914271471181</v>
      </c>
      <c r="K6575">
        <f>AVERAGEIF(Table1[CountryCode],Table1[[#This Row],[CountryCode]],Table1[z-score])</f>
        <v>0.64774457538517582</v>
      </c>
      <c r="L6575" t="e">
        <f>VLOOKUP(Table1[[#This Row],[CountryCode]],[1]!Table1[#All],1,FALSE)</f>
        <v>#REF!</v>
      </c>
    </row>
    <row r="6576" spans="1:12" hidden="1" x14ac:dyDescent="0.3">
      <c r="A6576" t="s">
        <v>93</v>
      </c>
      <c r="B6576" t="s">
        <v>94</v>
      </c>
      <c r="C6576" t="s">
        <v>127</v>
      </c>
      <c r="D6576" t="s">
        <v>128</v>
      </c>
      <c r="E6576">
        <v>1999</v>
      </c>
      <c r="F6576" s="1">
        <v>66095</v>
      </c>
      <c r="G6576">
        <v>2000</v>
      </c>
      <c r="H6576">
        <f>AVERAGEIFS(Table1[value],Table1[IndicatorCode],Table1[[#This Row],[IndicatorCode]])</f>
        <v>24902.88753799392</v>
      </c>
      <c r="I6576" cm="1">
        <f t="array" ref="I6576">_xlfn.STDEV.P(IF(Table1[IndicatorCode]=Table1[[#This Row],[IndicatorCode]],Table1[value]))</f>
        <v>26324.778297809873</v>
      </c>
      <c r="J6576">
        <f>(Table1[[#This Row],[value]] - Table1[[#This Row],[mean]]) / Table1[[#This Row],[std_dev]]</f>
        <v>1.5647657881864523</v>
      </c>
      <c r="K6576">
        <f>AVERAGEIF(Table1[CountryCode],Table1[[#This Row],[CountryCode]],Table1[z-score])</f>
        <v>0.64774457538517582</v>
      </c>
      <c r="L6576" t="e">
        <f>VLOOKUP(Table1[[#This Row],[CountryCode]],[1]!Table1[#All],1,FALSE)</f>
        <v>#REF!</v>
      </c>
    </row>
    <row r="6577" spans="1:12" hidden="1" x14ac:dyDescent="0.3">
      <c r="A6577" t="s">
        <v>93</v>
      </c>
      <c r="B6577" t="s">
        <v>94</v>
      </c>
      <c r="C6577" t="s">
        <v>127</v>
      </c>
      <c r="D6577" t="s">
        <v>128</v>
      </c>
      <c r="E6577">
        <v>2000</v>
      </c>
      <c r="F6577" s="1">
        <v>67847</v>
      </c>
      <c r="G6577">
        <v>2000</v>
      </c>
      <c r="H6577">
        <f>AVERAGEIFS(Table1[value],Table1[IndicatorCode],Table1[[#This Row],[IndicatorCode]])</f>
        <v>24902.88753799392</v>
      </c>
      <c r="I6577" cm="1">
        <f t="array" ref="I6577">_xlfn.STDEV.P(IF(Table1[IndicatorCode]=Table1[[#This Row],[IndicatorCode]],Table1[value]))</f>
        <v>26324.778297809873</v>
      </c>
      <c r="J6577">
        <f>(Table1[[#This Row],[value]] - Table1[[#This Row],[mean]]) / Table1[[#This Row],[std_dev]]</f>
        <v>1.6313190552331784</v>
      </c>
      <c r="K6577">
        <f>AVERAGEIF(Table1[CountryCode],Table1[[#This Row],[CountryCode]],Table1[z-score])</f>
        <v>0.64774457538517582</v>
      </c>
      <c r="L6577" t="e">
        <f>VLOOKUP(Table1[[#This Row],[CountryCode]],[1]!Table1[#All],1,FALSE)</f>
        <v>#REF!</v>
      </c>
    </row>
    <row r="6578" spans="1:12" hidden="1" x14ac:dyDescent="0.3">
      <c r="A6578" t="s">
        <v>93</v>
      </c>
      <c r="B6578" t="s">
        <v>94</v>
      </c>
      <c r="C6578" t="s">
        <v>127</v>
      </c>
      <c r="D6578" t="s">
        <v>128</v>
      </c>
      <c r="E6578">
        <v>2001</v>
      </c>
      <c r="F6578" s="1">
        <v>68900</v>
      </c>
      <c r="G6578">
        <v>2000</v>
      </c>
      <c r="H6578">
        <f>AVERAGEIFS(Table1[value],Table1[IndicatorCode],Table1[[#This Row],[IndicatorCode]])</f>
        <v>24902.88753799392</v>
      </c>
      <c r="I6578" cm="1">
        <f t="array" ref="I6578">_xlfn.STDEV.P(IF(Table1[IndicatorCode]=Table1[[#This Row],[IndicatorCode]],Table1[value]))</f>
        <v>26324.778297809873</v>
      </c>
      <c r="J6578">
        <f>(Table1[[#This Row],[value]] - Table1[[#This Row],[mean]]) / Table1[[#This Row],[std_dev]]</f>
        <v>1.6713193921054401</v>
      </c>
      <c r="K6578">
        <f>AVERAGEIF(Table1[CountryCode],Table1[[#This Row],[CountryCode]],Table1[z-score])</f>
        <v>0.64774457538517582</v>
      </c>
      <c r="L6578" t="e">
        <f>VLOOKUP(Table1[[#This Row],[CountryCode]],[1]!Table1[#All],1,FALSE)</f>
        <v>#REF!</v>
      </c>
    </row>
    <row r="6579" spans="1:12" hidden="1" x14ac:dyDescent="0.3">
      <c r="A6579" t="s">
        <v>93</v>
      </c>
      <c r="B6579" t="s">
        <v>94</v>
      </c>
      <c r="C6579" t="s">
        <v>127</v>
      </c>
      <c r="D6579" t="s">
        <v>128</v>
      </c>
      <c r="E6579">
        <v>2002</v>
      </c>
      <c r="F6579" s="1">
        <v>69473</v>
      </c>
      <c r="G6579">
        <v>2000</v>
      </c>
      <c r="H6579">
        <f>AVERAGEIFS(Table1[value],Table1[IndicatorCode],Table1[[#This Row],[IndicatorCode]])</f>
        <v>24902.88753799392</v>
      </c>
      <c r="I6579" cm="1">
        <f t="array" ref="I6579">_xlfn.STDEV.P(IF(Table1[IndicatorCode]=Table1[[#This Row],[IndicatorCode]],Table1[value]))</f>
        <v>26324.778297809873</v>
      </c>
      <c r="J6579">
        <f>(Table1[[#This Row],[value]] - Table1[[#This Row],[mean]]) / Table1[[#This Row],[std_dev]]</f>
        <v>1.6930859571840784</v>
      </c>
      <c r="K6579">
        <f>AVERAGEIF(Table1[CountryCode],Table1[[#This Row],[CountryCode]],Table1[z-score])</f>
        <v>0.64774457538517582</v>
      </c>
      <c r="L6579" t="e">
        <f>VLOOKUP(Table1[[#This Row],[CountryCode]],[1]!Table1[#All],1,FALSE)</f>
        <v>#REF!</v>
      </c>
    </row>
    <row r="6580" spans="1:12" hidden="1" x14ac:dyDescent="0.3">
      <c r="A6580" t="s">
        <v>93</v>
      </c>
      <c r="B6580" t="s">
        <v>94</v>
      </c>
      <c r="C6580" t="s">
        <v>127</v>
      </c>
      <c r="D6580" t="s">
        <v>128</v>
      </c>
      <c r="E6580">
        <v>2003</v>
      </c>
      <c r="F6580" s="1">
        <v>69719</v>
      </c>
      <c r="G6580">
        <v>2000</v>
      </c>
      <c r="H6580">
        <f>AVERAGEIFS(Table1[value],Table1[IndicatorCode],Table1[[#This Row],[IndicatorCode]])</f>
        <v>24902.88753799392</v>
      </c>
      <c r="I6580" cm="1">
        <f t="array" ref="I6580">_xlfn.STDEV.P(IF(Table1[IndicatorCode]=Table1[[#This Row],[IndicatorCode]],Table1[value]))</f>
        <v>26324.778297809873</v>
      </c>
      <c r="J6580">
        <f>(Table1[[#This Row],[value]] - Table1[[#This Row],[mean]]) / Table1[[#This Row],[std_dev]]</f>
        <v>1.7024307652283104</v>
      </c>
      <c r="K6580">
        <f>AVERAGEIF(Table1[CountryCode],Table1[[#This Row],[CountryCode]],Table1[z-score])</f>
        <v>0.64774457538517582</v>
      </c>
      <c r="L6580" t="e">
        <f>VLOOKUP(Table1[[#This Row],[CountryCode]],[1]!Table1[#All],1,FALSE)</f>
        <v>#REF!</v>
      </c>
    </row>
    <row r="6581" spans="1:12" hidden="1" x14ac:dyDescent="0.3">
      <c r="A6581" t="s">
        <v>93</v>
      </c>
      <c r="B6581" t="s">
        <v>94</v>
      </c>
      <c r="C6581" t="s">
        <v>127</v>
      </c>
      <c r="D6581" t="s">
        <v>128</v>
      </c>
      <c r="E6581">
        <v>2004</v>
      </c>
      <c r="F6581" s="1">
        <v>72091</v>
      </c>
      <c r="G6581">
        <v>2000</v>
      </c>
      <c r="H6581">
        <f>AVERAGEIFS(Table1[value],Table1[IndicatorCode],Table1[[#This Row],[IndicatorCode]])</f>
        <v>24902.88753799392</v>
      </c>
      <c r="I6581" cm="1">
        <f t="array" ref="I6581">_xlfn.STDEV.P(IF(Table1[IndicatorCode]=Table1[[#This Row],[IndicatorCode]],Table1[value]))</f>
        <v>26324.778297809873</v>
      </c>
      <c r="J6581">
        <f>(Table1[[#This Row],[value]] - Table1[[#This Row],[mean]]) / Table1[[#This Row],[std_dev]]</f>
        <v>1.792535987508467</v>
      </c>
      <c r="K6581">
        <f>AVERAGEIF(Table1[CountryCode],Table1[[#This Row],[CountryCode]],Table1[z-score])</f>
        <v>0.64774457538517582</v>
      </c>
      <c r="L6581" t="e">
        <f>VLOOKUP(Table1[[#This Row],[CountryCode]],[1]!Table1[#All],1,FALSE)</f>
        <v>#REF!</v>
      </c>
    </row>
    <row r="6582" spans="1:12" hidden="1" x14ac:dyDescent="0.3">
      <c r="A6582" t="s">
        <v>93</v>
      </c>
      <c r="B6582" t="s">
        <v>94</v>
      </c>
      <c r="C6582" t="s">
        <v>127</v>
      </c>
      <c r="D6582" t="s">
        <v>128</v>
      </c>
      <c r="E6582">
        <v>2005</v>
      </c>
      <c r="F6582" s="1">
        <v>73524</v>
      </c>
      <c r="G6582">
        <v>2000</v>
      </c>
      <c r="H6582">
        <f>AVERAGEIFS(Table1[value],Table1[IndicatorCode],Table1[[#This Row],[IndicatorCode]])</f>
        <v>24902.88753799392</v>
      </c>
      <c r="I6582" cm="1">
        <f t="array" ref="I6582">_xlfn.STDEV.P(IF(Table1[IndicatorCode]=Table1[[#This Row],[IndicatorCode]],Table1[value]))</f>
        <v>26324.778297809873</v>
      </c>
      <c r="J6582">
        <f>(Table1[[#This Row],[value]] - Table1[[#This Row],[mean]]) / Table1[[#This Row],[std_dev]]</f>
        <v>1.8469713937173473</v>
      </c>
      <c r="K6582">
        <f>AVERAGEIF(Table1[CountryCode],Table1[[#This Row],[CountryCode]],Table1[z-score])</f>
        <v>0.64774457538517582</v>
      </c>
      <c r="L6582" t="e">
        <f>VLOOKUP(Table1[[#This Row],[CountryCode]],[1]!Table1[#All],1,FALSE)</f>
        <v>#REF!</v>
      </c>
    </row>
    <row r="6583" spans="1:12" hidden="1" x14ac:dyDescent="0.3">
      <c r="A6583" t="s">
        <v>93</v>
      </c>
      <c r="B6583" t="s">
        <v>94</v>
      </c>
      <c r="C6583" t="s">
        <v>127</v>
      </c>
      <c r="D6583" t="s">
        <v>128</v>
      </c>
      <c r="E6583">
        <v>2006</v>
      </c>
      <c r="F6583" s="1">
        <v>74730</v>
      </c>
      <c r="G6583">
        <v>2000</v>
      </c>
      <c r="H6583">
        <f>AVERAGEIFS(Table1[value],Table1[IndicatorCode],Table1[[#This Row],[IndicatorCode]])</f>
        <v>24902.88753799392</v>
      </c>
      <c r="I6583" cm="1">
        <f t="array" ref="I6583">_xlfn.STDEV.P(IF(Table1[IndicatorCode]=Table1[[#This Row],[IndicatorCode]],Table1[value]))</f>
        <v>26324.778297809873</v>
      </c>
      <c r="J6583">
        <f>(Table1[[#This Row],[value]] - Table1[[#This Row],[mean]]) / Table1[[#This Row],[std_dev]]</f>
        <v>1.8927837453488265</v>
      </c>
      <c r="K6583">
        <f>AVERAGEIF(Table1[CountryCode],Table1[[#This Row],[CountryCode]],Table1[z-score])</f>
        <v>0.64774457538517582</v>
      </c>
      <c r="L6583" t="e">
        <f>VLOOKUP(Table1[[#This Row],[CountryCode]],[1]!Table1[#All],1,FALSE)</f>
        <v>#REF!</v>
      </c>
    </row>
    <row r="6584" spans="1:12" hidden="1" x14ac:dyDescent="0.3">
      <c r="A6584" t="s">
        <v>93</v>
      </c>
      <c r="B6584" t="s">
        <v>94</v>
      </c>
      <c r="C6584" t="s">
        <v>127</v>
      </c>
      <c r="D6584" t="s">
        <v>128</v>
      </c>
      <c r="E6584">
        <v>2007</v>
      </c>
      <c r="F6584" s="1">
        <v>76116</v>
      </c>
      <c r="G6584">
        <v>2010</v>
      </c>
      <c r="H6584">
        <f>AVERAGEIFS(Table1[value],Table1[IndicatorCode],Table1[[#This Row],[IndicatorCode]])</f>
        <v>24902.88753799392</v>
      </c>
      <c r="I6584" cm="1">
        <f t="array" ref="I6584">_xlfn.STDEV.P(IF(Table1[IndicatorCode]=Table1[[#This Row],[IndicatorCode]],Table1[value]))</f>
        <v>26324.778297809873</v>
      </c>
      <c r="J6584">
        <f>(Table1[[#This Row],[value]] - Table1[[#This Row],[mean]]) / Table1[[#This Row],[std_dev]]</f>
        <v>1.9454337614029147</v>
      </c>
      <c r="K6584">
        <f>AVERAGEIF(Table1[CountryCode],Table1[[#This Row],[CountryCode]],Table1[z-score])</f>
        <v>0.64774457538517582</v>
      </c>
      <c r="L6584" t="e">
        <f>VLOOKUP(Table1[[#This Row],[CountryCode]],[1]!Table1[#All],1,FALSE)</f>
        <v>#REF!</v>
      </c>
    </row>
    <row r="6585" spans="1:12" hidden="1" x14ac:dyDescent="0.3">
      <c r="A6585" t="s">
        <v>93</v>
      </c>
      <c r="B6585" t="s">
        <v>94</v>
      </c>
      <c r="C6585" t="s">
        <v>127</v>
      </c>
      <c r="D6585" t="s">
        <v>128</v>
      </c>
      <c r="E6585">
        <v>2008</v>
      </c>
      <c r="F6585" s="1">
        <v>75535</v>
      </c>
      <c r="G6585">
        <v>2010</v>
      </c>
      <c r="H6585">
        <f>AVERAGEIFS(Table1[value],Table1[IndicatorCode],Table1[[#This Row],[IndicatorCode]])</f>
        <v>24902.88753799392</v>
      </c>
      <c r="I6585" cm="1">
        <f t="array" ref="I6585">_xlfn.STDEV.P(IF(Table1[IndicatorCode]=Table1[[#This Row],[IndicatorCode]],Table1[value]))</f>
        <v>26324.778297809873</v>
      </c>
      <c r="J6585">
        <f>(Table1[[#This Row],[value]] - Table1[[#This Row],[mean]]) / Table1[[#This Row],[std_dev]]</f>
        <v>1.9233633001277162</v>
      </c>
      <c r="K6585">
        <f>AVERAGEIF(Table1[CountryCode],Table1[[#This Row],[CountryCode]],Table1[z-score])</f>
        <v>0.64774457538517582</v>
      </c>
      <c r="L6585" t="e">
        <f>VLOOKUP(Table1[[#This Row],[CountryCode]],[1]!Table1[#All],1,FALSE)</f>
        <v>#REF!</v>
      </c>
    </row>
    <row r="6586" spans="1:12" hidden="1" x14ac:dyDescent="0.3">
      <c r="A6586" t="s">
        <v>93</v>
      </c>
      <c r="B6586" t="s">
        <v>94</v>
      </c>
      <c r="C6586" t="s">
        <v>127</v>
      </c>
      <c r="D6586" t="s">
        <v>128</v>
      </c>
      <c r="E6586">
        <v>2009</v>
      </c>
      <c r="F6586" s="1">
        <v>73141</v>
      </c>
      <c r="G6586">
        <v>2010</v>
      </c>
      <c r="H6586">
        <f>AVERAGEIFS(Table1[value],Table1[IndicatorCode],Table1[[#This Row],[IndicatorCode]])</f>
        <v>24902.88753799392</v>
      </c>
      <c r="I6586" cm="1">
        <f t="array" ref="I6586">_xlfn.STDEV.P(IF(Table1[IndicatorCode]=Table1[[#This Row],[IndicatorCode]],Table1[value]))</f>
        <v>26324.778297809873</v>
      </c>
      <c r="J6586">
        <f>(Table1[[#This Row],[value]] - Table1[[#This Row],[mean]]) / Table1[[#This Row],[std_dev]]</f>
        <v>1.8324223633070185</v>
      </c>
      <c r="K6586">
        <f>AVERAGEIF(Table1[CountryCode],Table1[[#This Row],[CountryCode]],Table1[z-score])</f>
        <v>0.64774457538517582</v>
      </c>
      <c r="L6586" t="e">
        <f>VLOOKUP(Table1[[#This Row],[CountryCode]],[1]!Table1[#All],1,FALSE)</f>
        <v>#REF!</v>
      </c>
    </row>
    <row r="6587" spans="1:12" hidden="1" x14ac:dyDescent="0.3">
      <c r="A6587" t="s">
        <v>93</v>
      </c>
      <c r="B6587" t="s">
        <v>94</v>
      </c>
      <c r="C6587" t="s">
        <v>127</v>
      </c>
      <c r="D6587" t="s">
        <v>128</v>
      </c>
      <c r="E6587">
        <v>2010</v>
      </c>
      <c r="F6587" s="1">
        <v>72804</v>
      </c>
      <c r="G6587">
        <v>2010</v>
      </c>
      <c r="H6587">
        <f>AVERAGEIFS(Table1[value],Table1[IndicatorCode],Table1[[#This Row],[IndicatorCode]])</f>
        <v>24902.88753799392</v>
      </c>
      <c r="I6587" cm="1">
        <f t="array" ref="I6587">_xlfn.STDEV.P(IF(Table1[IndicatorCode]=Table1[[#This Row],[IndicatorCode]],Table1[value]))</f>
        <v>26324.778297809873</v>
      </c>
      <c r="J6587">
        <f>(Table1[[#This Row],[value]] - Table1[[#This Row],[mean]]) / Table1[[#This Row],[std_dev]]</f>
        <v>1.8196207360269119</v>
      </c>
      <c r="K6587">
        <f>AVERAGEIF(Table1[CountryCode],Table1[[#This Row],[CountryCode]],Table1[z-score])</f>
        <v>0.64774457538517582</v>
      </c>
      <c r="L6587" t="e">
        <f>VLOOKUP(Table1[[#This Row],[CountryCode]],[1]!Table1[#All],1,FALSE)</f>
        <v>#REF!</v>
      </c>
    </row>
    <row r="6588" spans="1:12" hidden="1" x14ac:dyDescent="0.3">
      <c r="A6588" t="s">
        <v>93</v>
      </c>
      <c r="B6588" t="s">
        <v>94</v>
      </c>
      <c r="C6588" t="s">
        <v>127</v>
      </c>
      <c r="D6588" t="s">
        <v>128</v>
      </c>
      <c r="E6588">
        <v>2011</v>
      </c>
      <c r="F6588" s="1">
        <v>72661</v>
      </c>
      <c r="G6588">
        <v>2010</v>
      </c>
      <c r="H6588">
        <f>AVERAGEIFS(Table1[value],Table1[IndicatorCode],Table1[[#This Row],[IndicatorCode]])</f>
        <v>24902.88753799392</v>
      </c>
      <c r="I6588" cm="1">
        <f t="array" ref="I6588">_xlfn.STDEV.P(IF(Table1[IndicatorCode]=Table1[[#This Row],[IndicatorCode]],Table1[value]))</f>
        <v>26324.778297809873</v>
      </c>
      <c r="J6588">
        <f>(Table1[[#This Row],[value]] - Table1[[#This Row],[mean]]) / Table1[[#This Row],[std_dev]]</f>
        <v>1.8141885915133948</v>
      </c>
      <c r="K6588">
        <f>AVERAGEIF(Table1[CountryCode],Table1[[#This Row],[CountryCode]],Table1[z-score])</f>
        <v>0.64774457538517582</v>
      </c>
      <c r="L6588" t="e">
        <f>VLOOKUP(Table1[[#This Row],[CountryCode]],[1]!Table1[#All],1,FALSE)</f>
        <v>#REF!</v>
      </c>
    </row>
    <row r="6589" spans="1:12" hidden="1" x14ac:dyDescent="0.3">
      <c r="A6589" t="s">
        <v>93</v>
      </c>
      <c r="B6589" t="s">
        <v>94</v>
      </c>
      <c r="C6589" t="s">
        <v>127</v>
      </c>
      <c r="D6589" t="s">
        <v>128</v>
      </c>
      <c r="E6589">
        <v>2012</v>
      </c>
      <c r="F6589" s="1">
        <v>73662</v>
      </c>
      <c r="G6589">
        <v>2010</v>
      </c>
      <c r="H6589">
        <f>AVERAGEIFS(Table1[value],Table1[IndicatorCode],Table1[[#This Row],[IndicatorCode]])</f>
        <v>24902.88753799392</v>
      </c>
      <c r="I6589" cm="1">
        <f t="array" ref="I6589">_xlfn.STDEV.P(IF(Table1[IndicatorCode]=Table1[[#This Row],[IndicatorCode]],Table1[value]))</f>
        <v>26324.778297809873</v>
      </c>
      <c r="J6589">
        <f>(Table1[[#This Row],[value]] - Table1[[#This Row],[mean]]) / Table1[[#This Row],[std_dev]]</f>
        <v>1.8522136031080141</v>
      </c>
      <c r="K6589">
        <f>AVERAGEIF(Table1[CountryCode],Table1[[#This Row],[CountryCode]],Table1[z-score])</f>
        <v>0.64774457538517582</v>
      </c>
      <c r="L6589" t="e">
        <f>VLOOKUP(Table1[[#This Row],[CountryCode]],[1]!Table1[#All],1,FALSE)</f>
        <v>#REF!</v>
      </c>
    </row>
    <row r="6590" spans="1:12" hidden="1" x14ac:dyDescent="0.3">
      <c r="A6590" t="s">
        <v>93</v>
      </c>
      <c r="B6590" t="s">
        <v>94</v>
      </c>
      <c r="C6590" t="s">
        <v>127</v>
      </c>
      <c r="D6590" t="s">
        <v>128</v>
      </c>
      <c r="E6590">
        <v>2013</v>
      </c>
      <c r="F6590" s="1">
        <v>73516</v>
      </c>
      <c r="G6590">
        <v>2010</v>
      </c>
      <c r="H6590">
        <f>AVERAGEIFS(Table1[value],Table1[IndicatorCode],Table1[[#This Row],[IndicatorCode]])</f>
        <v>24902.88753799392</v>
      </c>
      <c r="I6590" cm="1">
        <f t="array" ref="I6590">_xlfn.STDEV.P(IF(Table1[IndicatorCode]=Table1[[#This Row],[IndicatorCode]],Table1[value]))</f>
        <v>26324.778297809873</v>
      </c>
      <c r="J6590">
        <f>(Table1[[#This Row],[value]] - Table1[[#This Row],[mean]]) / Table1[[#This Row],[std_dev]]</f>
        <v>1.8466674975207868</v>
      </c>
      <c r="K6590">
        <f>AVERAGEIF(Table1[CountryCode],Table1[[#This Row],[CountryCode]],Table1[z-score])</f>
        <v>0.64774457538517582</v>
      </c>
      <c r="L6590" t="e">
        <f>VLOOKUP(Table1[[#This Row],[CountryCode]],[1]!Table1[#All],1,FALSE)</f>
        <v>#REF!</v>
      </c>
    </row>
    <row r="6591" spans="1:12" hidden="1" x14ac:dyDescent="0.3">
      <c r="A6591" t="s">
        <v>93</v>
      </c>
      <c r="B6591" t="s">
        <v>94</v>
      </c>
      <c r="C6591" t="s">
        <v>127</v>
      </c>
      <c r="D6591" t="s">
        <v>128</v>
      </c>
      <c r="E6591">
        <v>2014</v>
      </c>
      <c r="F6591" s="1">
        <v>74180</v>
      </c>
      <c r="G6591">
        <v>2010</v>
      </c>
      <c r="H6591">
        <f>AVERAGEIFS(Table1[value],Table1[IndicatorCode],Table1[[#This Row],[IndicatorCode]])</f>
        <v>24902.88753799392</v>
      </c>
      <c r="I6591" cm="1">
        <f t="array" ref="I6591">_xlfn.STDEV.P(IF(Table1[IndicatorCode]=Table1[[#This Row],[IndicatorCode]],Table1[value]))</f>
        <v>26324.778297809873</v>
      </c>
      <c r="J6591">
        <f>(Table1[[#This Row],[value]] - Table1[[#This Row],[mean]]) / Table1[[#This Row],[std_dev]]</f>
        <v>1.8718908818352995</v>
      </c>
      <c r="K6591">
        <f>AVERAGEIF(Table1[CountryCode],Table1[[#This Row],[CountryCode]],Table1[z-score])</f>
        <v>0.64774457538517582</v>
      </c>
      <c r="L6591" t="e">
        <f>VLOOKUP(Table1[[#This Row],[CountryCode]],[1]!Table1[#All],1,FALSE)</f>
        <v>#REF!</v>
      </c>
    </row>
    <row r="6592" spans="1:12" hidden="1" x14ac:dyDescent="0.3">
      <c r="A6592" t="s">
        <v>93</v>
      </c>
      <c r="B6592" t="s">
        <v>94</v>
      </c>
      <c r="C6592" t="s">
        <v>127</v>
      </c>
      <c r="D6592" t="s">
        <v>128</v>
      </c>
      <c r="E6592">
        <v>2015</v>
      </c>
      <c r="F6592" s="1">
        <v>74810</v>
      </c>
      <c r="G6592">
        <v>2010</v>
      </c>
      <c r="H6592">
        <f>AVERAGEIFS(Table1[value],Table1[IndicatorCode],Table1[[#This Row],[IndicatorCode]])</f>
        <v>24902.88753799392</v>
      </c>
      <c r="I6592" cm="1">
        <f t="array" ref="I6592">_xlfn.STDEV.P(IF(Table1[IndicatorCode]=Table1[[#This Row],[IndicatorCode]],Table1[value]))</f>
        <v>26324.778297809873</v>
      </c>
      <c r="J6592">
        <f>(Table1[[#This Row],[value]] - Table1[[#This Row],[mean]]) / Table1[[#This Row],[std_dev]]</f>
        <v>1.8958227073144305</v>
      </c>
      <c r="K6592">
        <f>AVERAGEIF(Table1[CountryCode],Table1[[#This Row],[CountryCode]],Table1[z-score])</f>
        <v>0.64774457538517582</v>
      </c>
      <c r="L6592" t="e">
        <f>VLOOKUP(Table1[[#This Row],[CountryCode]],[1]!Table1[#All],1,FALSE)</f>
        <v>#REF!</v>
      </c>
    </row>
    <row r="6593" spans="1:12" hidden="1" x14ac:dyDescent="0.3">
      <c r="A6593" t="s">
        <v>93</v>
      </c>
      <c r="B6593" t="s">
        <v>94</v>
      </c>
      <c r="C6593" t="s">
        <v>127</v>
      </c>
      <c r="D6593" t="s">
        <v>128</v>
      </c>
      <c r="E6593">
        <v>2016</v>
      </c>
      <c r="F6593" s="1">
        <v>75017</v>
      </c>
      <c r="G6593">
        <v>2010</v>
      </c>
      <c r="H6593">
        <f>AVERAGEIFS(Table1[value],Table1[IndicatorCode],Table1[[#This Row],[IndicatorCode]])</f>
        <v>24902.88753799392</v>
      </c>
      <c r="I6593" cm="1">
        <f t="array" ref="I6593">_xlfn.STDEV.P(IF(Table1[IndicatorCode]=Table1[[#This Row],[IndicatorCode]],Table1[value]))</f>
        <v>26324.778297809873</v>
      </c>
      <c r="J6593">
        <f>(Table1[[#This Row],[value]] - Table1[[#This Row],[mean]]) / Table1[[#This Row],[std_dev]]</f>
        <v>1.9036860214004308</v>
      </c>
      <c r="K6593">
        <f>AVERAGEIF(Table1[CountryCode],Table1[[#This Row],[CountryCode]],Table1[z-score])</f>
        <v>0.64774457538517582</v>
      </c>
      <c r="L6593" t="e">
        <f>VLOOKUP(Table1[[#This Row],[CountryCode]],[1]!Table1[#All],1,FALSE)</f>
        <v>#REF!</v>
      </c>
    </row>
    <row r="6594" spans="1:12" hidden="1" x14ac:dyDescent="0.3">
      <c r="A6594" t="s">
        <v>93</v>
      </c>
      <c r="B6594" t="s">
        <v>94</v>
      </c>
      <c r="C6594" t="s">
        <v>127</v>
      </c>
      <c r="D6594" t="s">
        <v>128</v>
      </c>
      <c r="E6594">
        <v>2017</v>
      </c>
      <c r="F6594" s="1">
        <v>76247</v>
      </c>
      <c r="G6594">
        <v>2020</v>
      </c>
      <c r="H6594">
        <f>AVERAGEIFS(Table1[value],Table1[IndicatorCode],Table1[[#This Row],[IndicatorCode]])</f>
        <v>24902.88753799392</v>
      </c>
      <c r="I6594" cm="1">
        <f t="array" ref="I6594">_xlfn.STDEV.P(IF(Table1[IndicatorCode]=Table1[[#This Row],[IndicatorCode]],Table1[value]))</f>
        <v>26324.778297809873</v>
      </c>
      <c r="J6594">
        <f>(Table1[[#This Row],[value]] - Table1[[#This Row],[mean]]) / Table1[[#This Row],[std_dev]]</f>
        <v>1.9504100616215911</v>
      </c>
      <c r="K6594">
        <f>AVERAGEIF(Table1[CountryCode],Table1[[#This Row],[CountryCode]],Table1[z-score])</f>
        <v>0.64774457538517582</v>
      </c>
      <c r="L6594" t="e">
        <f>VLOOKUP(Table1[[#This Row],[CountryCode]],[1]!Table1[#All],1,FALSE)</f>
        <v>#REF!</v>
      </c>
    </row>
    <row r="6595" spans="1:12" hidden="1" x14ac:dyDescent="0.3">
      <c r="A6595" t="s">
        <v>93</v>
      </c>
      <c r="B6595" t="s">
        <v>94</v>
      </c>
      <c r="C6595" t="s">
        <v>127</v>
      </c>
      <c r="D6595" t="s">
        <v>128</v>
      </c>
      <c r="E6595">
        <v>2018</v>
      </c>
      <c r="F6595" s="1">
        <v>76374</v>
      </c>
      <c r="G6595">
        <v>2020</v>
      </c>
      <c r="H6595">
        <f>AVERAGEIFS(Table1[value],Table1[IndicatorCode],Table1[[#This Row],[IndicatorCode]])</f>
        <v>24902.88753799392</v>
      </c>
      <c r="I6595" cm="1">
        <f t="array" ref="I6595">_xlfn.STDEV.P(IF(Table1[IndicatorCode]=Table1[[#This Row],[IndicatorCode]],Table1[value]))</f>
        <v>26324.778297809873</v>
      </c>
      <c r="J6595">
        <f>(Table1[[#This Row],[value]] - Table1[[#This Row],[mean]]) / Table1[[#This Row],[std_dev]]</f>
        <v>1.9552344137419875</v>
      </c>
      <c r="K6595">
        <f>AVERAGEIF(Table1[CountryCode],Table1[[#This Row],[CountryCode]],Table1[z-score])</f>
        <v>0.64774457538517582</v>
      </c>
      <c r="L6595" t="e">
        <f>VLOOKUP(Table1[[#This Row],[CountryCode]],[1]!Table1[#All],1,FALSE)</f>
        <v>#REF!</v>
      </c>
    </row>
    <row r="6596" spans="1:12" hidden="1" x14ac:dyDescent="0.3">
      <c r="A6596" t="s">
        <v>93</v>
      </c>
      <c r="B6596" t="s">
        <v>94</v>
      </c>
      <c r="C6596" t="s">
        <v>127</v>
      </c>
      <c r="D6596" t="s">
        <v>128</v>
      </c>
      <c r="E6596">
        <v>2019</v>
      </c>
      <c r="F6596" s="1">
        <v>76712</v>
      </c>
      <c r="G6596">
        <v>2020</v>
      </c>
      <c r="H6596">
        <f>AVERAGEIFS(Table1[value],Table1[IndicatorCode],Table1[[#This Row],[IndicatorCode]])</f>
        <v>24902.88753799392</v>
      </c>
      <c r="I6596" cm="1">
        <f t="array" ref="I6596">_xlfn.STDEV.P(IF(Table1[IndicatorCode]=Table1[[#This Row],[IndicatorCode]],Table1[value]))</f>
        <v>26324.778297809873</v>
      </c>
      <c r="J6596">
        <f>(Table1[[#This Row],[value]] - Table1[[#This Row],[mean]]) / Table1[[#This Row],[std_dev]]</f>
        <v>1.968074028046664</v>
      </c>
      <c r="K6596">
        <f>AVERAGEIF(Table1[CountryCode],Table1[[#This Row],[CountryCode]],Table1[z-score])</f>
        <v>0.64774457538517582</v>
      </c>
      <c r="L6596" t="e">
        <f>VLOOKUP(Table1[[#This Row],[CountryCode]],[1]!Table1[#All],1,FALSE)</f>
        <v>#REF!</v>
      </c>
    </row>
    <row r="6597" spans="1:12" x14ac:dyDescent="0.3">
      <c r="A6597" t="s">
        <v>49</v>
      </c>
      <c r="B6597" t="s">
        <v>50</v>
      </c>
      <c r="C6597" t="s">
        <v>127</v>
      </c>
      <c r="D6597" t="s">
        <v>128</v>
      </c>
      <c r="E6597">
        <v>2020</v>
      </c>
      <c r="F6597" s="1">
        <v>42982</v>
      </c>
      <c r="G6597">
        <v>2020</v>
      </c>
      <c r="H6597">
        <f>AVERAGEIFS(Table1[value],Table1[IndicatorCode],Table1[[#This Row],[IndicatorCode]])</f>
        <v>24902.88753799392</v>
      </c>
      <c r="I6597" cm="1">
        <f t="array" ref="I6597">_xlfn.STDEV.P(IF(Table1[IndicatorCode]=Table1[[#This Row],[IndicatorCode]],Table1[value]))</f>
        <v>26324.778297809873</v>
      </c>
      <c r="J6597">
        <f>(Table1[[#This Row],[value]] - Table1[[#This Row],[mean]]) / Table1[[#This Row],[std_dev]]</f>
        <v>0.68677168929890653</v>
      </c>
      <c r="K6597">
        <f>AVERAGEIF(Table1[CountryCode],Table1[[#This Row],[CountryCode]],Table1[z-score])</f>
        <v>0.3375502618800939</v>
      </c>
    </row>
    <row r="6598" spans="1:12" hidden="1" x14ac:dyDescent="0.3">
      <c r="A6598" t="s">
        <v>93</v>
      </c>
      <c r="B6598" t="s">
        <v>94</v>
      </c>
      <c r="C6598" t="s">
        <v>127</v>
      </c>
      <c r="D6598" t="s">
        <v>128</v>
      </c>
      <c r="E6598">
        <v>2021</v>
      </c>
      <c r="F6598" s="1">
        <v>77813</v>
      </c>
      <c r="G6598">
        <v>2020</v>
      </c>
      <c r="H6598">
        <f>AVERAGEIFS(Table1[value],Table1[IndicatorCode],Table1[[#This Row],[IndicatorCode]])</f>
        <v>24902.88753799392</v>
      </c>
      <c r="I6598" cm="1">
        <f t="array" ref="I6598">_xlfn.STDEV.P(IF(Table1[IndicatorCode]=Table1[[#This Row],[IndicatorCode]],Table1[value]))</f>
        <v>26324.778297809873</v>
      </c>
      <c r="J6598">
        <f>(Table1[[#This Row],[value]] - Table1[[#This Row],[mean]]) / Table1[[#This Row],[std_dev]]</f>
        <v>2.0098977420982882</v>
      </c>
      <c r="K6598">
        <f>AVERAGEIF(Table1[CountryCode],Table1[[#This Row],[CountryCode]],Table1[z-score])</f>
        <v>0.64774457538517582</v>
      </c>
      <c r="L6598" t="e">
        <f>VLOOKUP(Table1[[#This Row],[CountryCode]],[1]!Table1[#All],1,FALSE)</f>
        <v>#REF!</v>
      </c>
    </row>
    <row r="6599" spans="1:12" hidden="1" x14ac:dyDescent="0.3">
      <c r="A6599" t="s">
        <v>93</v>
      </c>
      <c r="B6599" t="s">
        <v>94</v>
      </c>
      <c r="C6599" t="s">
        <v>127</v>
      </c>
      <c r="D6599" t="s">
        <v>128</v>
      </c>
      <c r="E6599">
        <v>2022</v>
      </c>
      <c r="F6599" s="1">
        <v>79620</v>
      </c>
      <c r="G6599">
        <v>1990</v>
      </c>
      <c r="H6599">
        <f>AVERAGEIFS(Table1[value],Table1[IndicatorCode],Table1[[#This Row],[IndicatorCode]])</f>
        <v>24902.88753799392</v>
      </c>
      <c r="I6599" cm="1">
        <f t="array" ref="I6599">_xlfn.STDEV.P(IF(Table1[IndicatorCode]=Table1[[#This Row],[IndicatorCode]],Table1[value]))</f>
        <v>26324.778297809873</v>
      </c>
      <c r="J6599">
        <f>(Table1[[#This Row],[value]] - Table1[[#This Row],[mean]]) / Table1[[#This Row],[std_dev]]</f>
        <v>2.0785402954963668</v>
      </c>
      <c r="K6599">
        <f>AVERAGEIF(Table1[CountryCode],Table1[[#This Row],[CountryCode]],Table1[z-score])</f>
        <v>0.64774457538517582</v>
      </c>
      <c r="L6599" t="e">
        <f>VLOOKUP(Table1[[#This Row],[CountryCode]],[1]!Table1[#All],1,FALSE)</f>
        <v>#REF!</v>
      </c>
    </row>
    <row r="6600" spans="1:12" hidden="1" x14ac:dyDescent="0.3">
      <c r="A6600" t="s">
        <v>93</v>
      </c>
      <c r="B6600" t="s">
        <v>94</v>
      </c>
      <c r="C6600" t="s">
        <v>127</v>
      </c>
      <c r="D6600" t="s">
        <v>128</v>
      </c>
      <c r="E6600">
        <v>2023</v>
      </c>
      <c r="F6600" s="1">
        <v>78776</v>
      </c>
      <c r="G6600">
        <v>1990</v>
      </c>
      <c r="H6600">
        <f>AVERAGEIFS(Table1[value],Table1[IndicatorCode],Table1[[#This Row],[IndicatorCode]])</f>
        <v>24902.88753799392</v>
      </c>
      <c r="I6600" cm="1">
        <f t="array" ref="I6600">_xlfn.STDEV.P(IF(Table1[IndicatorCode]=Table1[[#This Row],[IndicatorCode]],Table1[value]))</f>
        <v>26324.778297809873</v>
      </c>
      <c r="J6600">
        <f>(Table1[[#This Row],[value]] - Table1[[#This Row],[mean]]) / Table1[[#This Row],[std_dev]]</f>
        <v>2.0464792467592456</v>
      </c>
      <c r="K6600">
        <f>AVERAGEIF(Table1[CountryCode],Table1[[#This Row],[CountryCode]],Table1[z-score])</f>
        <v>0.64774457538517582</v>
      </c>
      <c r="L6600" t="e">
        <f>VLOOKUP(Table1[[#This Row],[CountryCode]],[1]!Table1[#All],1,FALSE)</f>
        <v>#REF!</v>
      </c>
    </row>
    <row r="6601" spans="1:12" hidden="1" x14ac:dyDescent="0.3">
      <c r="A6601" t="s">
        <v>93</v>
      </c>
      <c r="B6601" t="s">
        <v>94</v>
      </c>
      <c r="C6601" t="s">
        <v>127</v>
      </c>
      <c r="D6601" t="s">
        <v>128</v>
      </c>
      <c r="E6601">
        <v>2024</v>
      </c>
      <c r="F6601" s="1">
        <v>79668</v>
      </c>
      <c r="G6601">
        <v>1990</v>
      </c>
      <c r="H6601">
        <f>AVERAGEIFS(Table1[value],Table1[IndicatorCode],Table1[[#This Row],[IndicatorCode]])</f>
        <v>24902.88753799392</v>
      </c>
      <c r="I6601" cm="1">
        <f t="array" ref="I6601">_xlfn.STDEV.P(IF(Table1[IndicatorCode]=Table1[[#This Row],[IndicatorCode]],Table1[value]))</f>
        <v>26324.778297809873</v>
      </c>
      <c r="J6601">
        <f>(Table1[[#This Row],[value]] - Table1[[#This Row],[mean]]) / Table1[[#This Row],[std_dev]]</f>
        <v>2.0803636726757291</v>
      </c>
      <c r="K6601">
        <f>AVERAGEIF(Table1[CountryCode],Table1[[#This Row],[CountryCode]],Table1[z-score])</f>
        <v>0.64774457538517582</v>
      </c>
      <c r="L6601" t="e">
        <f>VLOOKUP(Table1[[#This Row],[CountryCode]],[1]!Table1[#All],1,FALSE)</f>
        <v>#REF!</v>
      </c>
    </row>
    <row r="6602" spans="1:12" hidden="1" x14ac:dyDescent="0.3">
      <c r="A6602" t="s">
        <v>95</v>
      </c>
      <c r="B6602" t="s">
        <v>96</v>
      </c>
      <c r="C6602" t="s">
        <v>127</v>
      </c>
      <c r="D6602" t="s">
        <v>128</v>
      </c>
      <c r="E6602">
        <v>1990</v>
      </c>
      <c r="F6602" s="1">
        <v>5111</v>
      </c>
      <c r="G6602">
        <v>1990</v>
      </c>
      <c r="H6602">
        <f>AVERAGEIFS(Table1[value],Table1[IndicatorCode],Table1[[#This Row],[IndicatorCode]])</f>
        <v>24902.88753799392</v>
      </c>
      <c r="I6602" cm="1">
        <f t="array" ref="I6602">_xlfn.STDEV.P(IF(Table1[IndicatorCode]=Table1[[#This Row],[IndicatorCode]],Table1[value]))</f>
        <v>26324.778297809873</v>
      </c>
      <c r="J6602">
        <f>(Table1[[#This Row],[value]] - Table1[[#This Row],[mean]]) / Table1[[#This Row],[std_dev]]</f>
        <v>-0.75183491819342441</v>
      </c>
      <c r="K6602">
        <f>AVERAGEIF(Table1[CountryCode],Table1[[#This Row],[CountryCode]],Table1[z-score])</f>
        <v>4.9319686102583721E-2</v>
      </c>
      <c r="L6602" t="e">
        <f>VLOOKUP(Table1[[#This Row],[CountryCode]],[1]!Table1[#All],1,FALSE)</f>
        <v>#REF!</v>
      </c>
    </row>
    <row r="6603" spans="1:12" hidden="1" x14ac:dyDescent="0.3">
      <c r="A6603" t="s">
        <v>95</v>
      </c>
      <c r="B6603" t="s">
        <v>96</v>
      </c>
      <c r="C6603" t="s">
        <v>127</v>
      </c>
      <c r="D6603" t="s">
        <v>128</v>
      </c>
      <c r="E6603">
        <v>1991</v>
      </c>
      <c r="F6603" s="1">
        <v>4736</v>
      </c>
      <c r="G6603">
        <v>1990</v>
      </c>
      <c r="H6603">
        <f>AVERAGEIFS(Table1[value],Table1[IndicatorCode],Table1[[#This Row],[IndicatorCode]])</f>
        <v>24902.88753799392</v>
      </c>
      <c r="I6603" cm="1">
        <f t="array" ref="I6603">_xlfn.STDEV.P(IF(Table1[IndicatorCode]=Table1[[#This Row],[IndicatorCode]],Table1[value]))</f>
        <v>26324.778297809873</v>
      </c>
      <c r="J6603">
        <f>(Table1[[#This Row],[value]] - Table1[[#This Row],[mean]]) / Table1[[#This Row],[std_dev]]</f>
        <v>-0.76608005240719279</v>
      </c>
      <c r="K6603">
        <f>AVERAGEIF(Table1[CountryCode],Table1[[#This Row],[CountryCode]],Table1[z-score])</f>
        <v>4.9319686102583721E-2</v>
      </c>
      <c r="L6603" t="e">
        <f>VLOOKUP(Table1[[#This Row],[CountryCode]],[1]!Table1[#All],1,FALSE)</f>
        <v>#REF!</v>
      </c>
    </row>
    <row r="6604" spans="1:12" hidden="1" x14ac:dyDescent="0.3">
      <c r="A6604" t="s">
        <v>95</v>
      </c>
      <c r="B6604" t="s">
        <v>96</v>
      </c>
      <c r="C6604" t="s">
        <v>127</v>
      </c>
      <c r="D6604" t="s">
        <v>128</v>
      </c>
      <c r="E6604">
        <v>1992</v>
      </c>
      <c r="F6604" s="1">
        <v>4840</v>
      </c>
      <c r="G6604">
        <v>1990</v>
      </c>
      <c r="H6604">
        <f>AVERAGEIFS(Table1[value],Table1[IndicatorCode],Table1[[#This Row],[IndicatorCode]])</f>
        <v>24902.88753799392</v>
      </c>
      <c r="I6604" cm="1">
        <f t="array" ref="I6604">_xlfn.STDEV.P(IF(Table1[IndicatorCode]=Table1[[#This Row],[IndicatorCode]],Table1[value]))</f>
        <v>26324.778297809873</v>
      </c>
      <c r="J6604">
        <f>(Table1[[#This Row],[value]] - Table1[[#This Row],[mean]]) / Table1[[#This Row],[std_dev]]</f>
        <v>-0.7621294018519077</v>
      </c>
      <c r="K6604">
        <f>AVERAGEIF(Table1[CountryCode],Table1[[#This Row],[CountryCode]],Table1[z-score])</f>
        <v>4.9319686102583721E-2</v>
      </c>
      <c r="L6604" t="e">
        <f>VLOOKUP(Table1[[#This Row],[CountryCode]],[1]!Table1[#All],1,FALSE)</f>
        <v>#REF!</v>
      </c>
    </row>
    <row r="6605" spans="1:12" hidden="1" x14ac:dyDescent="0.3">
      <c r="A6605" t="s">
        <v>95</v>
      </c>
      <c r="B6605" t="s">
        <v>96</v>
      </c>
      <c r="C6605" t="s">
        <v>127</v>
      </c>
      <c r="D6605" t="s">
        <v>128</v>
      </c>
      <c r="E6605">
        <v>1993</v>
      </c>
      <c r="F6605" s="1">
        <v>5008</v>
      </c>
      <c r="G6605">
        <v>1990</v>
      </c>
      <c r="H6605">
        <f>AVERAGEIFS(Table1[value],Table1[IndicatorCode],Table1[[#This Row],[IndicatorCode]])</f>
        <v>24902.88753799392</v>
      </c>
      <c r="I6605" cm="1">
        <f t="array" ref="I6605">_xlfn.STDEV.P(IF(Table1[IndicatorCode]=Table1[[#This Row],[IndicatorCode]],Table1[value]))</f>
        <v>26324.778297809873</v>
      </c>
      <c r="J6605">
        <f>(Table1[[#This Row],[value]] - Table1[[#This Row],[mean]]) / Table1[[#This Row],[std_dev]]</f>
        <v>-0.75574758172413947</v>
      </c>
      <c r="K6605">
        <f>AVERAGEIF(Table1[CountryCode],Table1[[#This Row],[CountryCode]],Table1[z-score])</f>
        <v>4.9319686102583721E-2</v>
      </c>
      <c r="L6605" t="e">
        <f>VLOOKUP(Table1[[#This Row],[CountryCode]],[1]!Table1[#All],1,FALSE)</f>
        <v>#REF!</v>
      </c>
    </row>
    <row r="6606" spans="1:12" hidden="1" x14ac:dyDescent="0.3">
      <c r="A6606" t="s">
        <v>95</v>
      </c>
      <c r="B6606" t="s">
        <v>96</v>
      </c>
      <c r="C6606" t="s">
        <v>127</v>
      </c>
      <c r="D6606" t="s">
        <v>128</v>
      </c>
      <c r="E6606">
        <v>1994</v>
      </c>
      <c r="F6606" s="1">
        <v>5262</v>
      </c>
      <c r="G6606">
        <v>1990</v>
      </c>
      <c r="H6606">
        <f>AVERAGEIFS(Table1[value],Table1[IndicatorCode],Table1[[#This Row],[IndicatorCode]])</f>
        <v>24902.88753799392</v>
      </c>
      <c r="I6606" cm="1">
        <f t="array" ref="I6606">_xlfn.STDEV.P(IF(Table1[IndicatorCode]=Table1[[#This Row],[IndicatorCode]],Table1[value]))</f>
        <v>26324.778297809873</v>
      </c>
      <c r="J6606">
        <f>(Table1[[#This Row],[value]] - Table1[[#This Row],[mean]]) / Table1[[#This Row],[std_dev]]</f>
        <v>-0.74609887748334702</v>
      </c>
      <c r="K6606">
        <f>AVERAGEIF(Table1[CountryCode],Table1[[#This Row],[CountryCode]],Table1[z-score])</f>
        <v>4.9319686102583721E-2</v>
      </c>
      <c r="L6606" t="e">
        <f>VLOOKUP(Table1[[#This Row],[CountryCode]],[1]!Table1[#All],1,FALSE)</f>
        <v>#REF!</v>
      </c>
    </row>
    <row r="6607" spans="1:12" hidden="1" x14ac:dyDescent="0.3">
      <c r="A6607" t="s">
        <v>95</v>
      </c>
      <c r="B6607" t="s">
        <v>96</v>
      </c>
      <c r="C6607" t="s">
        <v>127</v>
      </c>
      <c r="D6607" t="s">
        <v>128</v>
      </c>
      <c r="E6607">
        <v>1995</v>
      </c>
      <c r="F6607" s="1">
        <v>5672</v>
      </c>
      <c r="G6607">
        <v>1990</v>
      </c>
      <c r="H6607">
        <f>AVERAGEIFS(Table1[value],Table1[IndicatorCode],Table1[[#This Row],[IndicatorCode]])</f>
        <v>24902.88753799392</v>
      </c>
      <c r="I6607" cm="1">
        <f t="array" ref="I6607">_xlfn.STDEV.P(IF(Table1[IndicatorCode]=Table1[[#This Row],[IndicatorCode]],Table1[value]))</f>
        <v>26324.778297809873</v>
      </c>
      <c r="J6607">
        <f>(Table1[[#This Row],[value]] - Table1[[#This Row],[mean]]) / Table1[[#This Row],[std_dev]]</f>
        <v>-0.73052419740962682</v>
      </c>
      <c r="K6607">
        <f>AVERAGEIF(Table1[CountryCode],Table1[[#This Row],[CountryCode]],Table1[z-score])</f>
        <v>4.9319686102583721E-2</v>
      </c>
      <c r="L6607" t="e">
        <f>VLOOKUP(Table1[[#This Row],[CountryCode]],[1]!Table1[#All],1,FALSE)</f>
        <v>#REF!</v>
      </c>
    </row>
    <row r="6608" spans="1:12" hidden="1" x14ac:dyDescent="0.3">
      <c r="A6608" t="s">
        <v>95</v>
      </c>
      <c r="B6608" t="s">
        <v>96</v>
      </c>
      <c r="C6608" t="s">
        <v>127</v>
      </c>
      <c r="D6608" t="s">
        <v>128</v>
      </c>
      <c r="E6608">
        <v>1996</v>
      </c>
      <c r="F6608" s="1">
        <v>6013</v>
      </c>
      <c r="G6608">
        <v>1990</v>
      </c>
      <c r="H6608">
        <f>AVERAGEIFS(Table1[value],Table1[IndicatorCode],Table1[[#This Row],[IndicatorCode]])</f>
        <v>24902.88753799392</v>
      </c>
      <c r="I6608" cm="1">
        <f t="array" ref="I6608">_xlfn.STDEV.P(IF(Table1[IndicatorCode]=Table1[[#This Row],[IndicatorCode]],Table1[value]))</f>
        <v>26324.778297809873</v>
      </c>
      <c r="J6608">
        <f>(Table1[[#This Row],[value]] - Table1[[#This Row],[mean]]) / Table1[[#This Row],[std_dev]]</f>
        <v>-0.71757062203124011</v>
      </c>
      <c r="K6608">
        <f>AVERAGEIF(Table1[CountryCode],Table1[[#This Row],[CountryCode]],Table1[z-score])</f>
        <v>4.9319686102583721E-2</v>
      </c>
      <c r="L6608" t="e">
        <f>VLOOKUP(Table1[[#This Row],[CountryCode]],[1]!Table1[#All],1,FALSE)</f>
        <v>#REF!</v>
      </c>
    </row>
    <row r="6609" spans="1:12" hidden="1" x14ac:dyDescent="0.3">
      <c r="A6609" t="s">
        <v>95</v>
      </c>
      <c r="B6609" t="s">
        <v>96</v>
      </c>
      <c r="C6609" t="s">
        <v>127</v>
      </c>
      <c r="D6609" t="s">
        <v>128</v>
      </c>
      <c r="E6609">
        <v>1997</v>
      </c>
      <c r="F6609" s="1">
        <v>6391</v>
      </c>
      <c r="G6609">
        <v>2000</v>
      </c>
      <c r="H6609">
        <f>AVERAGEIFS(Table1[value],Table1[IndicatorCode],Table1[[#This Row],[IndicatorCode]])</f>
        <v>24902.88753799392</v>
      </c>
      <c r="I6609" cm="1">
        <f t="array" ref="I6609">_xlfn.STDEV.P(IF(Table1[IndicatorCode]=Table1[[#This Row],[IndicatorCode]],Table1[value]))</f>
        <v>26324.778297809873</v>
      </c>
      <c r="J6609">
        <f>(Table1[[#This Row],[value]] - Table1[[#This Row],[mean]]) / Table1[[#This Row],[std_dev]]</f>
        <v>-0.70321152674376153</v>
      </c>
      <c r="K6609">
        <f>AVERAGEIF(Table1[CountryCode],Table1[[#This Row],[CountryCode]],Table1[z-score])</f>
        <v>4.9319686102583721E-2</v>
      </c>
      <c r="L6609" t="e">
        <f>VLOOKUP(Table1[[#This Row],[CountryCode]],[1]!Table1[#All],1,FALSE)</f>
        <v>#REF!</v>
      </c>
    </row>
    <row r="6610" spans="1:12" hidden="1" x14ac:dyDescent="0.3">
      <c r="A6610" t="s">
        <v>95</v>
      </c>
      <c r="B6610" t="s">
        <v>96</v>
      </c>
      <c r="C6610" t="s">
        <v>127</v>
      </c>
      <c r="D6610" t="s">
        <v>128</v>
      </c>
      <c r="E6610">
        <v>1998</v>
      </c>
      <c r="F6610" s="1">
        <v>6684</v>
      </c>
      <c r="G6610">
        <v>2000</v>
      </c>
      <c r="H6610">
        <f>AVERAGEIFS(Table1[value],Table1[IndicatorCode],Table1[[#This Row],[IndicatorCode]])</f>
        <v>24902.88753799392</v>
      </c>
      <c r="I6610" cm="1">
        <f t="array" ref="I6610">_xlfn.STDEV.P(IF(Table1[IndicatorCode]=Table1[[#This Row],[IndicatorCode]],Table1[value]))</f>
        <v>26324.778297809873</v>
      </c>
      <c r="J6610">
        <f>(Table1[[#This Row],[value]] - Table1[[#This Row],[mean]]) / Table1[[#This Row],[std_dev]]</f>
        <v>-0.69208132854473714</v>
      </c>
      <c r="K6610">
        <f>AVERAGEIF(Table1[CountryCode],Table1[[#This Row],[CountryCode]],Table1[z-score])</f>
        <v>4.9319686102583721E-2</v>
      </c>
      <c r="L6610" t="e">
        <f>VLOOKUP(Table1[[#This Row],[CountryCode]],[1]!Table1[#All],1,FALSE)</f>
        <v>#REF!</v>
      </c>
    </row>
    <row r="6611" spans="1:12" hidden="1" x14ac:dyDescent="0.3">
      <c r="A6611" t="s">
        <v>95</v>
      </c>
      <c r="B6611" t="s">
        <v>96</v>
      </c>
      <c r="C6611" t="s">
        <v>127</v>
      </c>
      <c r="D6611" t="s">
        <v>128</v>
      </c>
      <c r="E6611">
        <v>1999</v>
      </c>
      <c r="F6611" s="1">
        <v>6999</v>
      </c>
      <c r="G6611">
        <v>2000</v>
      </c>
      <c r="H6611">
        <f>AVERAGEIFS(Table1[value],Table1[IndicatorCode],Table1[[#This Row],[IndicatorCode]])</f>
        <v>24902.88753799392</v>
      </c>
      <c r="I6611" cm="1">
        <f t="array" ref="I6611">_xlfn.STDEV.P(IF(Table1[IndicatorCode]=Table1[[#This Row],[IndicatorCode]],Table1[value]))</f>
        <v>26324.778297809873</v>
      </c>
      <c r="J6611">
        <f>(Table1[[#This Row],[value]] - Table1[[#This Row],[mean]]) / Table1[[#This Row],[std_dev]]</f>
        <v>-0.68011541580517165</v>
      </c>
      <c r="K6611">
        <f>AVERAGEIF(Table1[CountryCode],Table1[[#This Row],[CountryCode]],Table1[z-score])</f>
        <v>4.9319686102583721E-2</v>
      </c>
      <c r="L6611" t="e">
        <f>VLOOKUP(Table1[[#This Row],[CountryCode]],[1]!Table1[#All],1,FALSE)</f>
        <v>#REF!</v>
      </c>
    </row>
    <row r="6612" spans="1:12" hidden="1" x14ac:dyDescent="0.3">
      <c r="A6612" t="s">
        <v>95</v>
      </c>
      <c r="B6612" t="s">
        <v>96</v>
      </c>
      <c r="C6612" t="s">
        <v>127</v>
      </c>
      <c r="D6612" t="s">
        <v>128</v>
      </c>
      <c r="E6612">
        <v>2000</v>
      </c>
      <c r="F6612" s="1">
        <v>7402</v>
      </c>
      <c r="G6612">
        <v>2000</v>
      </c>
      <c r="H6612">
        <f>AVERAGEIFS(Table1[value],Table1[IndicatorCode],Table1[[#This Row],[IndicatorCode]])</f>
        <v>24902.88753799392</v>
      </c>
      <c r="I6612" cm="1">
        <f t="array" ref="I6612">_xlfn.STDEV.P(IF(Table1[IndicatorCode]=Table1[[#This Row],[IndicatorCode]],Table1[value]))</f>
        <v>26324.778297809873</v>
      </c>
      <c r="J6612">
        <f>(Table1[[#This Row],[value]] - Table1[[#This Row],[mean]]) / Table1[[#This Row],[std_dev]]</f>
        <v>-0.66480664490344188</v>
      </c>
      <c r="K6612">
        <f>AVERAGEIF(Table1[CountryCode],Table1[[#This Row],[CountryCode]],Table1[z-score])</f>
        <v>4.9319686102583721E-2</v>
      </c>
      <c r="L6612" t="e">
        <f>VLOOKUP(Table1[[#This Row],[CountryCode]],[1]!Table1[#All],1,FALSE)</f>
        <v>#REF!</v>
      </c>
    </row>
    <row r="6613" spans="1:12" hidden="1" x14ac:dyDescent="0.3">
      <c r="A6613" t="s">
        <v>95</v>
      </c>
      <c r="B6613" t="s">
        <v>96</v>
      </c>
      <c r="C6613" t="s">
        <v>127</v>
      </c>
      <c r="D6613" t="s">
        <v>128</v>
      </c>
      <c r="E6613">
        <v>2001</v>
      </c>
      <c r="F6613" s="1">
        <v>7495</v>
      </c>
      <c r="G6613">
        <v>2000</v>
      </c>
      <c r="H6613">
        <f>AVERAGEIFS(Table1[value],Table1[IndicatorCode],Table1[[#This Row],[IndicatorCode]])</f>
        <v>24902.88753799392</v>
      </c>
      <c r="I6613" cm="1">
        <f t="array" ref="I6613">_xlfn.STDEV.P(IF(Table1[IndicatorCode]=Table1[[#This Row],[IndicatorCode]],Table1[value]))</f>
        <v>26324.778297809873</v>
      </c>
      <c r="J6613">
        <f>(Table1[[#This Row],[value]] - Table1[[#This Row],[mean]]) / Table1[[#This Row],[std_dev]]</f>
        <v>-0.66127385161842722</v>
      </c>
      <c r="K6613">
        <f>AVERAGEIF(Table1[CountryCode],Table1[[#This Row],[CountryCode]],Table1[z-score])</f>
        <v>4.9319686102583721E-2</v>
      </c>
      <c r="L6613" t="e">
        <f>VLOOKUP(Table1[[#This Row],[CountryCode]],[1]!Table1[#All],1,FALSE)</f>
        <v>#REF!</v>
      </c>
    </row>
    <row r="6614" spans="1:12" hidden="1" x14ac:dyDescent="0.3">
      <c r="A6614" t="s">
        <v>95</v>
      </c>
      <c r="B6614" t="s">
        <v>96</v>
      </c>
      <c r="C6614" t="s">
        <v>127</v>
      </c>
      <c r="D6614" t="s">
        <v>128</v>
      </c>
      <c r="E6614">
        <v>2002</v>
      </c>
      <c r="F6614" s="1">
        <v>7641</v>
      </c>
      <c r="G6614">
        <v>2000</v>
      </c>
      <c r="H6614">
        <f>AVERAGEIFS(Table1[value],Table1[IndicatorCode],Table1[[#This Row],[IndicatorCode]])</f>
        <v>24902.88753799392</v>
      </c>
      <c r="I6614" cm="1">
        <f t="array" ref="I6614">_xlfn.STDEV.P(IF(Table1[IndicatorCode]=Table1[[#This Row],[IndicatorCode]],Table1[value]))</f>
        <v>26324.778297809873</v>
      </c>
      <c r="J6614">
        <f>(Table1[[#This Row],[value]] - Table1[[#This Row],[mean]]) / Table1[[#This Row],[std_dev]]</f>
        <v>-0.6557277460312001</v>
      </c>
      <c r="K6614">
        <f>AVERAGEIF(Table1[CountryCode],Table1[[#This Row],[CountryCode]],Table1[z-score])</f>
        <v>4.9319686102583721E-2</v>
      </c>
      <c r="L6614" t="e">
        <f>VLOOKUP(Table1[[#This Row],[CountryCode]],[1]!Table1[#All],1,FALSE)</f>
        <v>#REF!</v>
      </c>
    </row>
    <row r="6615" spans="1:12" hidden="1" x14ac:dyDescent="0.3">
      <c r="A6615" t="s">
        <v>95</v>
      </c>
      <c r="B6615" t="s">
        <v>96</v>
      </c>
      <c r="C6615" t="s">
        <v>127</v>
      </c>
      <c r="D6615" t="s">
        <v>128</v>
      </c>
      <c r="E6615">
        <v>2003</v>
      </c>
      <c r="F6615" s="1">
        <v>7916</v>
      </c>
      <c r="G6615">
        <v>2000</v>
      </c>
      <c r="H6615">
        <f>AVERAGEIFS(Table1[value],Table1[IndicatorCode],Table1[[#This Row],[IndicatorCode]])</f>
        <v>24902.88753799392</v>
      </c>
      <c r="I6615" cm="1">
        <f t="array" ref="I6615">_xlfn.STDEV.P(IF(Table1[IndicatorCode]=Table1[[#This Row],[IndicatorCode]],Table1[value]))</f>
        <v>26324.778297809873</v>
      </c>
      <c r="J6615">
        <f>(Table1[[#This Row],[value]] - Table1[[#This Row],[mean]]) / Table1[[#This Row],[std_dev]]</f>
        <v>-0.64528131427443658</v>
      </c>
      <c r="K6615">
        <f>AVERAGEIF(Table1[CountryCode],Table1[[#This Row],[CountryCode]],Table1[z-score])</f>
        <v>4.9319686102583721E-2</v>
      </c>
      <c r="L6615" t="e">
        <f>VLOOKUP(Table1[[#This Row],[CountryCode]],[1]!Table1[#All],1,FALSE)</f>
        <v>#REF!</v>
      </c>
    </row>
    <row r="6616" spans="1:12" hidden="1" x14ac:dyDescent="0.3">
      <c r="A6616" t="s">
        <v>95</v>
      </c>
      <c r="B6616" t="s">
        <v>96</v>
      </c>
      <c r="C6616" t="s">
        <v>127</v>
      </c>
      <c r="D6616" t="s">
        <v>128</v>
      </c>
      <c r="E6616">
        <v>2004</v>
      </c>
      <c r="F6616" s="1">
        <v>8323</v>
      </c>
      <c r="G6616">
        <v>2000</v>
      </c>
      <c r="H6616">
        <f>AVERAGEIFS(Table1[value],Table1[IndicatorCode],Table1[[#This Row],[IndicatorCode]])</f>
        <v>24902.88753799392</v>
      </c>
      <c r="I6616" cm="1">
        <f t="array" ref="I6616">_xlfn.STDEV.P(IF(Table1[IndicatorCode]=Table1[[#This Row],[IndicatorCode]],Table1[value]))</f>
        <v>26324.778297809873</v>
      </c>
      <c r="J6616">
        <f>(Table1[[#This Row],[value]] - Table1[[#This Row],[mean]]) / Table1[[#This Row],[std_dev]]</f>
        <v>-0.62982059527442658</v>
      </c>
      <c r="K6616">
        <f>AVERAGEIF(Table1[CountryCode],Table1[[#This Row],[CountryCode]],Table1[z-score])</f>
        <v>4.9319686102583721E-2</v>
      </c>
      <c r="L6616" t="e">
        <f>VLOOKUP(Table1[[#This Row],[CountryCode]],[1]!Table1[#All],1,FALSE)</f>
        <v>#REF!</v>
      </c>
    </row>
    <row r="6617" spans="1:12" hidden="1" x14ac:dyDescent="0.3">
      <c r="A6617" t="s">
        <v>95</v>
      </c>
      <c r="B6617" t="s">
        <v>96</v>
      </c>
      <c r="C6617" t="s">
        <v>127</v>
      </c>
      <c r="D6617" t="s">
        <v>128</v>
      </c>
      <c r="E6617">
        <v>2005</v>
      </c>
      <c r="F6617" s="1">
        <v>8599</v>
      </c>
      <c r="G6617">
        <v>2000</v>
      </c>
      <c r="H6617">
        <f>AVERAGEIFS(Table1[value],Table1[IndicatorCode],Table1[[#This Row],[IndicatorCode]])</f>
        <v>24902.88753799392</v>
      </c>
      <c r="I6617" cm="1">
        <f t="array" ref="I6617">_xlfn.STDEV.P(IF(Table1[IndicatorCode]=Table1[[#This Row],[IndicatorCode]],Table1[value]))</f>
        <v>26324.778297809873</v>
      </c>
      <c r="J6617">
        <f>(Table1[[#This Row],[value]] - Table1[[#This Row],[mean]]) / Table1[[#This Row],[std_dev]]</f>
        <v>-0.61933617649309303</v>
      </c>
      <c r="K6617">
        <f>AVERAGEIF(Table1[CountryCode],Table1[[#This Row],[CountryCode]],Table1[z-score])</f>
        <v>4.9319686102583721E-2</v>
      </c>
      <c r="L6617" t="e">
        <f>VLOOKUP(Table1[[#This Row],[CountryCode]],[1]!Table1[#All],1,FALSE)</f>
        <v>#REF!</v>
      </c>
    </row>
    <row r="6618" spans="1:12" hidden="1" x14ac:dyDescent="0.3">
      <c r="A6618" t="s">
        <v>95</v>
      </c>
      <c r="B6618" t="s">
        <v>96</v>
      </c>
      <c r="C6618" t="s">
        <v>127</v>
      </c>
      <c r="D6618" t="s">
        <v>128</v>
      </c>
      <c r="E6618">
        <v>2006</v>
      </c>
      <c r="F6618" s="1">
        <v>9138</v>
      </c>
      <c r="G6618">
        <v>2000</v>
      </c>
      <c r="H6618">
        <f>AVERAGEIFS(Table1[value],Table1[IndicatorCode],Table1[[#This Row],[IndicatorCode]])</f>
        <v>24902.88753799392</v>
      </c>
      <c r="I6618" cm="1">
        <f t="array" ref="I6618">_xlfn.STDEV.P(IF(Table1[IndicatorCode]=Table1[[#This Row],[IndicatorCode]],Table1[value]))</f>
        <v>26324.778297809873</v>
      </c>
      <c r="J6618">
        <f>(Table1[[#This Row],[value]] - Table1[[#This Row],[mean]]) / Table1[[#This Row],[std_dev]]</f>
        <v>-0.59886117024983654</v>
      </c>
      <c r="K6618">
        <f>AVERAGEIF(Table1[CountryCode],Table1[[#This Row],[CountryCode]],Table1[z-score])</f>
        <v>4.9319686102583721E-2</v>
      </c>
      <c r="L6618" t="e">
        <f>VLOOKUP(Table1[[#This Row],[CountryCode]],[1]!Table1[#All],1,FALSE)</f>
        <v>#REF!</v>
      </c>
    </row>
    <row r="6619" spans="1:12" hidden="1" x14ac:dyDescent="0.3">
      <c r="A6619" t="s">
        <v>95</v>
      </c>
      <c r="B6619" t="s">
        <v>96</v>
      </c>
      <c r="C6619" t="s">
        <v>127</v>
      </c>
      <c r="D6619" t="s">
        <v>128</v>
      </c>
      <c r="E6619">
        <v>2007</v>
      </c>
      <c r="F6619" s="1">
        <v>9761</v>
      </c>
      <c r="G6619">
        <v>2010</v>
      </c>
      <c r="H6619">
        <f>AVERAGEIFS(Table1[value],Table1[IndicatorCode],Table1[[#This Row],[IndicatorCode]])</f>
        <v>24902.88753799392</v>
      </c>
      <c r="I6619" cm="1">
        <f t="array" ref="I6619">_xlfn.STDEV.P(IF(Table1[IndicatorCode]=Table1[[#This Row],[IndicatorCode]],Table1[value]))</f>
        <v>26324.778297809873</v>
      </c>
      <c r="J6619">
        <f>(Table1[[#This Row],[value]] - Table1[[#This Row],[mean]]) / Table1[[#This Row],[std_dev]]</f>
        <v>-0.57519525394269588</v>
      </c>
      <c r="K6619">
        <f>AVERAGEIF(Table1[CountryCode],Table1[[#This Row],[CountryCode]],Table1[z-score])</f>
        <v>4.9319686102583721E-2</v>
      </c>
      <c r="L6619" t="e">
        <f>VLOOKUP(Table1[[#This Row],[CountryCode]],[1]!Table1[#All],1,FALSE)</f>
        <v>#REF!</v>
      </c>
    </row>
    <row r="6620" spans="1:12" hidden="1" x14ac:dyDescent="0.3">
      <c r="A6620" t="s">
        <v>95</v>
      </c>
      <c r="B6620" t="s">
        <v>96</v>
      </c>
      <c r="C6620" t="s">
        <v>127</v>
      </c>
      <c r="D6620" t="s">
        <v>128</v>
      </c>
      <c r="E6620">
        <v>2008</v>
      </c>
      <c r="F6620" s="1">
        <v>10187</v>
      </c>
      <c r="G6620">
        <v>2010</v>
      </c>
      <c r="H6620">
        <f>AVERAGEIFS(Table1[value],Table1[IndicatorCode],Table1[[#This Row],[IndicatorCode]])</f>
        <v>24902.88753799392</v>
      </c>
      <c r="I6620" cm="1">
        <f t="array" ref="I6620">_xlfn.STDEV.P(IF(Table1[IndicatorCode]=Table1[[#This Row],[IndicatorCode]],Table1[value]))</f>
        <v>26324.778297809873</v>
      </c>
      <c r="J6620">
        <f>(Table1[[#This Row],[value]] - Table1[[#This Row],[mean]]) / Table1[[#This Row],[std_dev]]</f>
        <v>-0.55901278147585498</v>
      </c>
      <c r="K6620">
        <f>AVERAGEIF(Table1[CountryCode],Table1[[#This Row],[CountryCode]],Table1[z-score])</f>
        <v>4.9319686102583721E-2</v>
      </c>
      <c r="L6620" t="e">
        <f>VLOOKUP(Table1[[#This Row],[CountryCode]],[1]!Table1[#All],1,FALSE)</f>
        <v>#REF!</v>
      </c>
    </row>
    <row r="6621" spans="1:12" hidden="1" x14ac:dyDescent="0.3">
      <c r="A6621" t="s">
        <v>95</v>
      </c>
      <c r="B6621" t="s">
        <v>96</v>
      </c>
      <c r="C6621" t="s">
        <v>127</v>
      </c>
      <c r="D6621" t="s">
        <v>128</v>
      </c>
      <c r="E6621">
        <v>2009</v>
      </c>
      <c r="F6621" s="1">
        <v>10447</v>
      </c>
      <c r="G6621">
        <v>2010</v>
      </c>
      <c r="H6621">
        <f>AVERAGEIFS(Table1[value],Table1[IndicatorCode],Table1[[#This Row],[IndicatorCode]])</f>
        <v>24902.88753799392</v>
      </c>
      <c r="I6621" cm="1">
        <f t="array" ref="I6621">_xlfn.STDEV.P(IF(Table1[IndicatorCode]=Table1[[#This Row],[IndicatorCode]],Table1[value]))</f>
        <v>26324.778297809873</v>
      </c>
      <c r="J6621">
        <f>(Table1[[#This Row],[value]] - Table1[[#This Row],[mean]]) / Table1[[#This Row],[std_dev]]</f>
        <v>-0.54913615508764224</v>
      </c>
      <c r="K6621">
        <f>AVERAGEIF(Table1[CountryCode],Table1[[#This Row],[CountryCode]],Table1[z-score])</f>
        <v>4.9319686102583721E-2</v>
      </c>
      <c r="L6621" t="e">
        <f>VLOOKUP(Table1[[#This Row],[CountryCode]],[1]!Table1[#All],1,FALSE)</f>
        <v>#REF!</v>
      </c>
    </row>
    <row r="6622" spans="1:12" hidden="1" x14ac:dyDescent="0.3">
      <c r="A6622" t="s">
        <v>95</v>
      </c>
      <c r="B6622" t="s">
        <v>96</v>
      </c>
      <c r="C6622" t="s">
        <v>127</v>
      </c>
      <c r="D6622" t="s">
        <v>128</v>
      </c>
      <c r="E6622">
        <v>2010</v>
      </c>
      <c r="F6622" s="1">
        <v>10808</v>
      </c>
      <c r="G6622">
        <v>2010</v>
      </c>
      <c r="H6622">
        <f>AVERAGEIFS(Table1[value],Table1[IndicatorCode],Table1[[#This Row],[IndicatorCode]])</f>
        <v>24902.88753799392</v>
      </c>
      <c r="I6622" cm="1">
        <f t="array" ref="I6622">_xlfn.STDEV.P(IF(Table1[IndicatorCode]=Table1[[#This Row],[IndicatorCode]],Table1[value]))</f>
        <v>26324.778297809873</v>
      </c>
      <c r="J6622">
        <f>(Table1[[#This Row],[value]] - Table1[[#This Row],[mean]]) / Table1[[#This Row],[std_dev]]</f>
        <v>-0.5354228392178545</v>
      </c>
      <c r="K6622">
        <f>AVERAGEIF(Table1[CountryCode],Table1[[#This Row],[CountryCode]],Table1[z-score])</f>
        <v>4.9319686102583721E-2</v>
      </c>
      <c r="L6622" t="e">
        <f>VLOOKUP(Table1[[#This Row],[CountryCode]],[1]!Table1[#All],1,FALSE)</f>
        <v>#REF!</v>
      </c>
    </row>
    <row r="6623" spans="1:12" hidden="1" x14ac:dyDescent="0.3">
      <c r="A6623" t="s">
        <v>95</v>
      </c>
      <c r="B6623" t="s">
        <v>96</v>
      </c>
      <c r="C6623" t="s">
        <v>127</v>
      </c>
      <c r="D6623" t="s">
        <v>128</v>
      </c>
      <c r="E6623">
        <v>2011</v>
      </c>
      <c r="F6623" s="1">
        <v>11370</v>
      </c>
      <c r="G6623">
        <v>2010</v>
      </c>
      <c r="H6623">
        <f>AVERAGEIFS(Table1[value],Table1[IndicatorCode],Table1[[#This Row],[IndicatorCode]])</f>
        <v>24902.88753799392</v>
      </c>
      <c r="I6623" cm="1">
        <f t="array" ref="I6623">_xlfn.STDEV.P(IF(Table1[IndicatorCode]=Table1[[#This Row],[IndicatorCode]],Table1[value]))</f>
        <v>26324.778297809873</v>
      </c>
      <c r="J6623">
        <f>(Table1[[#This Row],[value]] - Table1[[#This Row],[mean]]) / Table1[[#This Row],[std_dev]]</f>
        <v>-0.51407413140948688</v>
      </c>
      <c r="K6623">
        <f>AVERAGEIF(Table1[CountryCode],Table1[[#This Row],[CountryCode]],Table1[z-score])</f>
        <v>4.9319686102583721E-2</v>
      </c>
      <c r="L6623" t="e">
        <f>VLOOKUP(Table1[[#This Row],[CountryCode]],[1]!Table1[#All],1,FALSE)</f>
        <v>#REF!</v>
      </c>
    </row>
    <row r="6624" spans="1:12" hidden="1" x14ac:dyDescent="0.3">
      <c r="A6624" t="s">
        <v>95</v>
      </c>
      <c r="B6624" t="s">
        <v>96</v>
      </c>
      <c r="C6624" t="s">
        <v>127</v>
      </c>
      <c r="D6624" t="s">
        <v>128</v>
      </c>
      <c r="E6624">
        <v>2012</v>
      </c>
      <c r="F6624" s="1">
        <v>11542</v>
      </c>
      <c r="G6624">
        <v>2010</v>
      </c>
      <c r="H6624">
        <f>AVERAGEIFS(Table1[value],Table1[IndicatorCode],Table1[[#This Row],[IndicatorCode]])</f>
        <v>24902.88753799392</v>
      </c>
      <c r="I6624" cm="1">
        <f t="array" ref="I6624">_xlfn.STDEV.P(IF(Table1[IndicatorCode]=Table1[[#This Row],[IndicatorCode]],Table1[value]))</f>
        <v>26324.778297809873</v>
      </c>
      <c r="J6624">
        <f>(Table1[[#This Row],[value]] - Table1[[#This Row],[mean]]) / Table1[[#This Row],[std_dev]]</f>
        <v>-0.50754036318343843</v>
      </c>
      <c r="K6624">
        <f>AVERAGEIF(Table1[CountryCode],Table1[[#This Row],[CountryCode]],Table1[z-score])</f>
        <v>4.9319686102583721E-2</v>
      </c>
      <c r="L6624" t="e">
        <f>VLOOKUP(Table1[[#This Row],[CountryCode]],[1]!Table1[#All],1,FALSE)</f>
        <v>#REF!</v>
      </c>
    </row>
    <row r="6625" spans="1:12" hidden="1" x14ac:dyDescent="0.3">
      <c r="A6625" t="s">
        <v>95</v>
      </c>
      <c r="B6625" t="s">
        <v>96</v>
      </c>
      <c r="C6625" t="s">
        <v>127</v>
      </c>
      <c r="D6625" t="s">
        <v>128</v>
      </c>
      <c r="E6625">
        <v>2013</v>
      </c>
      <c r="F6625" s="1">
        <v>11628</v>
      </c>
      <c r="G6625">
        <v>2010</v>
      </c>
      <c r="H6625">
        <f>AVERAGEIFS(Table1[value],Table1[IndicatorCode],Table1[[#This Row],[IndicatorCode]])</f>
        <v>24902.88753799392</v>
      </c>
      <c r="I6625" cm="1">
        <f t="array" ref="I6625">_xlfn.STDEV.P(IF(Table1[IndicatorCode]=Table1[[#This Row],[IndicatorCode]],Table1[value]))</f>
        <v>26324.778297809873</v>
      </c>
      <c r="J6625">
        <f>(Table1[[#This Row],[value]] - Table1[[#This Row],[mean]]) / Table1[[#This Row],[std_dev]]</f>
        <v>-0.5042734790704142</v>
      </c>
      <c r="K6625">
        <f>AVERAGEIF(Table1[CountryCode],Table1[[#This Row],[CountryCode]],Table1[z-score])</f>
        <v>4.9319686102583721E-2</v>
      </c>
      <c r="L6625" t="e">
        <f>VLOOKUP(Table1[[#This Row],[CountryCode]],[1]!Table1[#All],1,FALSE)</f>
        <v>#REF!</v>
      </c>
    </row>
    <row r="6626" spans="1:12" hidden="1" x14ac:dyDescent="0.3">
      <c r="A6626" t="s">
        <v>95</v>
      </c>
      <c r="B6626" t="s">
        <v>96</v>
      </c>
      <c r="C6626" t="s">
        <v>127</v>
      </c>
      <c r="D6626" t="s">
        <v>128</v>
      </c>
      <c r="E6626">
        <v>2014</v>
      </c>
      <c r="F6626" s="1">
        <v>12093</v>
      </c>
      <c r="G6626">
        <v>2010</v>
      </c>
      <c r="H6626">
        <f>AVERAGEIFS(Table1[value],Table1[IndicatorCode],Table1[[#This Row],[IndicatorCode]])</f>
        <v>24902.88753799392</v>
      </c>
      <c r="I6626" cm="1">
        <f t="array" ref="I6626">_xlfn.STDEV.P(IF(Table1[IndicatorCode]=Table1[[#This Row],[IndicatorCode]],Table1[value]))</f>
        <v>26324.778297809873</v>
      </c>
      <c r="J6626">
        <f>(Table1[[#This Row],[value]] - Table1[[#This Row],[mean]]) / Table1[[#This Row],[std_dev]]</f>
        <v>-0.4866095126453413</v>
      </c>
      <c r="K6626">
        <f>AVERAGEIF(Table1[CountryCode],Table1[[#This Row],[CountryCode]],Table1[z-score])</f>
        <v>4.9319686102583721E-2</v>
      </c>
      <c r="L6626" t="e">
        <f>VLOOKUP(Table1[[#This Row],[CountryCode]],[1]!Table1[#All],1,FALSE)</f>
        <v>#REF!</v>
      </c>
    </row>
    <row r="6627" spans="1:12" hidden="1" x14ac:dyDescent="0.3">
      <c r="A6627" t="s">
        <v>95</v>
      </c>
      <c r="B6627" t="s">
        <v>96</v>
      </c>
      <c r="C6627" t="s">
        <v>127</v>
      </c>
      <c r="D6627" t="s">
        <v>128</v>
      </c>
      <c r="E6627">
        <v>2015</v>
      </c>
      <c r="F6627" s="1">
        <v>12638</v>
      </c>
      <c r="G6627">
        <v>2010</v>
      </c>
      <c r="H6627">
        <f>AVERAGEIFS(Table1[value],Table1[IndicatorCode],Table1[[#This Row],[IndicatorCode]])</f>
        <v>24902.88753799392</v>
      </c>
      <c r="I6627" cm="1">
        <f t="array" ref="I6627">_xlfn.STDEV.P(IF(Table1[IndicatorCode]=Table1[[#This Row],[IndicatorCode]],Table1[value]))</f>
        <v>26324.778297809873</v>
      </c>
      <c r="J6627">
        <f>(Table1[[#This Row],[value]] - Table1[[#This Row],[mean]]) / Table1[[#This Row],[std_dev]]</f>
        <v>-0.46590658425466452</v>
      </c>
      <c r="K6627">
        <f>AVERAGEIF(Table1[CountryCode],Table1[[#This Row],[CountryCode]],Table1[z-score])</f>
        <v>4.9319686102583721E-2</v>
      </c>
      <c r="L6627" t="e">
        <f>VLOOKUP(Table1[[#This Row],[CountryCode]],[1]!Table1[#All],1,FALSE)</f>
        <v>#REF!</v>
      </c>
    </row>
    <row r="6628" spans="1:12" hidden="1" x14ac:dyDescent="0.3">
      <c r="A6628" t="s">
        <v>95</v>
      </c>
      <c r="B6628" t="s">
        <v>96</v>
      </c>
      <c r="C6628" t="s">
        <v>127</v>
      </c>
      <c r="D6628" t="s">
        <v>128</v>
      </c>
      <c r="E6628">
        <v>2016</v>
      </c>
      <c r="F6628" s="1">
        <v>13026</v>
      </c>
      <c r="G6628">
        <v>2010</v>
      </c>
      <c r="H6628">
        <f>AVERAGEIFS(Table1[value],Table1[IndicatorCode],Table1[[#This Row],[IndicatorCode]])</f>
        <v>24902.88753799392</v>
      </c>
      <c r="I6628" cm="1">
        <f t="array" ref="I6628">_xlfn.STDEV.P(IF(Table1[IndicatorCode]=Table1[[#This Row],[IndicatorCode]],Table1[value]))</f>
        <v>26324.778297809873</v>
      </c>
      <c r="J6628">
        <f>(Table1[[#This Row],[value]] - Table1[[#This Row],[mean]]) / Table1[[#This Row],[std_dev]]</f>
        <v>-0.45116761872148547</v>
      </c>
      <c r="K6628">
        <f>AVERAGEIF(Table1[CountryCode],Table1[[#This Row],[CountryCode]],Table1[z-score])</f>
        <v>4.9319686102583721E-2</v>
      </c>
      <c r="L6628" t="e">
        <f>VLOOKUP(Table1[[#This Row],[CountryCode]],[1]!Table1[#All],1,FALSE)</f>
        <v>#REF!</v>
      </c>
    </row>
    <row r="6629" spans="1:12" hidden="1" x14ac:dyDescent="0.3">
      <c r="A6629" t="s">
        <v>95</v>
      </c>
      <c r="B6629" t="s">
        <v>96</v>
      </c>
      <c r="C6629" t="s">
        <v>127</v>
      </c>
      <c r="D6629" t="s">
        <v>128</v>
      </c>
      <c r="E6629">
        <v>2017</v>
      </c>
      <c r="F6629" s="1">
        <v>13696</v>
      </c>
      <c r="G6629">
        <v>2020</v>
      </c>
      <c r="H6629">
        <f>AVERAGEIFS(Table1[value],Table1[IndicatorCode],Table1[[#This Row],[IndicatorCode]])</f>
        <v>24902.88753799392</v>
      </c>
      <c r="I6629" cm="1">
        <f t="array" ref="I6629">_xlfn.STDEV.P(IF(Table1[IndicatorCode]=Table1[[#This Row],[IndicatorCode]],Table1[value]))</f>
        <v>26324.778297809873</v>
      </c>
      <c r="J6629">
        <f>(Table1[[#This Row],[value]] - Table1[[#This Row],[mean]]) / Table1[[#This Row],[std_dev]]</f>
        <v>-0.42571631225955253</v>
      </c>
      <c r="K6629">
        <f>AVERAGEIF(Table1[CountryCode],Table1[[#This Row],[CountryCode]],Table1[z-score])</f>
        <v>4.9319686102583721E-2</v>
      </c>
      <c r="L6629" t="e">
        <f>VLOOKUP(Table1[[#This Row],[CountryCode]],[1]!Table1[#All],1,FALSE)</f>
        <v>#REF!</v>
      </c>
    </row>
    <row r="6630" spans="1:12" hidden="1" x14ac:dyDescent="0.3">
      <c r="A6630" t="s">
        <v>95</v>
      </c>
      <c r="B6630" t="s">
        <v>96</v>
      </c>
      <c r="C6630" t="s">
        <v>127</v>
      </c>
      <c r="D6630" t="s">
        <v>128</v>
      </c>
      <c r="E6630">
        <v>2018</v>
      </c>
      <c r="F6630" s="1">
        <v>14551</v>
      </c>
      <c r="G6630">
        <v>2020</v>
      </c>
      <c r="H6630">
        <f>AVERAGEIFS(Table1[value],Table1[IndicatorCode],Table1[[#This Row],[IndicatorCode]])</f>
        <v>24902.88753799392</v>
      </c>
      <c r="I6630" cm="1">
        <f t="array" ref="I6630">_xlfn.STDEV.P(IF(Table1[IndicatorCode]=Table1[[#This Row],[IndicatorCode]],Table1[value]))</f>
        <v>26324.778297809873</v>
      </c>
      <c r="J6630">
        <f>(Table1[[#This Row],[value]] - Table1[[#This Row],[mean]]) / Table1[[#This Row],[std_dev]]</f>
        <v>-0.39323740625216053</v>
      </c>
      <c r="K6630">
        <f>AVERAGEIF(Table1[CountryCode],Table1[[#This Row],[CountryCode]],Table1[z-score])</f>
        <v>4.9319686102583721E-2</v>
      </c>
      <c r="L6630" t="e">
        <f>VLOOKUP(Table1[[#This Row],[CountryCode]],[1]!Table1[#All],1,FALSE)</f>
        <v>#REF!</v>
      </c>
    </row>
    <row r="6631" spans="1:12" hidden="1" x14ac:dyDescent="0.3">
      <c r="A6631" t="s">
        <v>95</v>
      </c>
      <c r="B6631" t="s">
        <v>96</v>
      </c>
      <c r="C6631" t="s">
        <v>127</v>
      </c>
      <c r="D6631" t="s">
        <v>128</v>
      </c>
      <c r="E6631">
        <v>2019</v>
      </c>
      <c r="F6631" s="1">
        <v>15221</v>
      </c>
      <c r="G6631">
        <v>2020</v>
      </c>
      <c r="H6631">
        <f>AVERAGEIFS(Table1[value],Table1[IndicatorCode],Table1[[#This Row],[IndicatorCode]])</f>
        <v>24902.88753799392</v>
      </c>
      <c r="I6631" cm="1">
        <f t="array" ref="I6631">_xlfn.STDEV.P(IF(Table1[IndicatorCode]=Table1[[#This Row],[IndicatorCode]],Table1[value]))</f>
        <v>26324.778297809873</v>
      </c>
      <c r="J6631">
        <f>(Table1[[#This Row],[value]] - Table1[[#This Row],[mean]]) / Table1[[#This Row],[std_dev]]</f>
        <v>-0.36778609979022758</v>
      </c>
      <c r="K6631">
        <f>AVERAGEIF(Table1[CountryCode],Table1[[#This Row],[CountryCode]],Table1[z-score])</f>
        <v>4.9319686102583721E-2</v>
      </c>
      <c r="L6631" t="e">
        <f>VLOOKUP(Table1[[#This Row],[CountryCode]],[1]!Table1[#All],1,FALSE)</f>
        <v>#REF!</v>
      </c>
    </row>
    <row r="6632" spans="1:12" x14ac:dyDescent="0.3">
      <c r="A6632" t="s">
        <v>15</v>
      </c>
      <c r="B6632" t="s">
        <v>16</v>
      </c>
      <c r="C6632" t="s">
        <v>127</v>
      </c>
      <c r="D6632" t="s">
        <v>128</v>
      </c>
      <c r="E6632">
        <v>2020</v>
      </c>
      <c r="F6632" s="1">
        <v>43429</v>
      </c>
      <c r="G6632">
        <v>2020</v>
      </c>
      <c r="H6632">
        <f>AVERAGEIFS(Table1[value],Table1[IndicatorCode],Table1[[#This Row],[IndicatorCode]])</f>
        <v>24902.88753799392</v>
      </c>
      <c r="I6632" cm="1">
        <f t="array" ref="I6632">_xlfn.STDEV.P(IF(Table1[IndicatorCode]=Table1[[#This Row],[IndicatorCode]],Table1[value]))</f>
        <v>26324.778297809873</v>
      </c>
      <c r="J6632">
        <f>(Table1[[#This Row],[value]] - Table1[[#This Row],[mean]]) / Table1[[#This Row],[std_dev]]</f>
        <v>0.7037518892817185</v>
      </c>
      <c r="K6632">
        <f>AVERAGEIF(Table1[CountryCode],Table1[[#This Row],[CountryCode]],Table1[z-score])</f>
        <v>0.26765264295626828</v>
      </c>
    </row>
    <row r="6633" spans="1:12" hidden="1" x14ac:dyDescent="0.3">
      <c r="A6633" t="s">
        <v>95</v>
      </c>
      <c r="B6633" t="s">
        <v>96</v>
      </c>
      <c r="C6633" t="s">
        <v>127</v>
      </c>
      <c r="D6633" t="s">
        <v>128</v>
      </c>
      <c r="E6633">
        <v>2021</v>
      </c>
      <c r="F6633" s="1">
        <v>16369</v>
      </c>
      <c r="G6633">
        <v>2020</v>
      </c>
      <c r="H6633">
        <f>AVERAGEIFS(Table1[value],Table1[IndicatorCode],Table1[[#This Row],[IndicatorCode]])</f>
        <v>24902.88753799392</v>
      </c>
      <c r="I6633" cm="1">
        <f t="array" ref="I6633">_xlfn.STDEV.P(IF(Table1[IndicatorCode]=Table1[[#This Row],[IndicatorCode]],Table1[value]))</f>
        <v>26324.778297809873</v>
      </c>
      <c r="J6633">
        <f>(Table1[[#This Row],[value]] - Table1[[#This Row],[mean]]) / Table1[[#This Row],[std_dev]]</f>
        <v>-0.32417699558381119</v>
      </c>
      <c r="K6633">
        <f>AVERAGEIF(Table1[CountryCode],Table1[[#This Row],[CountryCode]],Table1[z-score])</f>
        <v>4.9319686102583721E-2</v>
      </c>
      <c r="L6633" t="e">
        <f>VLOOKUP(Table1[[#This Row],[CountryCode]],[1]!Table1[#All],1,FALSE)</f>
        <v>#REF!</v>
      </c>
    </row>
    <row r="6634" spans="1:12" hidden="1" x14ac:dyDescent="0.3">
      <c r="A6634" t="s">
        <v>95</v>
      </c>
      <c r="B6634" t="s">
        <v>96</v>
      </c>
      <c r="C6634" t="s">
        <v>127</v>
      </c>
      <c r="D6634" t="s">
        <v>128</v>
      </c>
      <c r="E6634">
        <v>2022</v>
      </c>
      <c r="F6634" s="1">
        <v>17304</v>
      </c>
      <c r="G6634">
        <v>1960</v>
      </c>
      <c r="H6634">
        <f>AVERAGEIFS(Table1[value],Table1[IndicatorCode],Table1[[#This Row],[IndicatorCode]])</f>
        <v>24902.88753799392</v>
      </c>
      <c r="I6634" cm="1">
        <f t="array" ref="I6634">_xlfn.STDEV.P(IF(Table1[IndicatorCode]=Table1[[#This Row],[IndicatorCode]],Table1[value]))</f>
        <v>26324.778297809873</v>
      </c>
      <c r="J6634">
        <f>(Table1[[#This Row],[value]] - Table1[[#This Row],[mean]]) / Table1[[#This Row],[std_dev]]</f>
        <v>-0.28865912761081525</v>
      </c>
      <c r="K6634">
        <f>AVERAGEIF(Table1[CountryCode],Table1[[#This Row],[CountryCode]],Table1[z-score])</f>
        <v>4.9319686102583721E-2</v>
      </c>
      <c r="L6634" t="e">
        <f>VLOOKUP(Table1[[#This Row],[CountryCode]],[1]!Table1[#All],1,FALSE)</f>
        <v>#REF!</v>
      </c>
    </row>
    <row r="6635" spans="1:12" hidden="1" x14ac:dyDescent="0.3">
      <c r="A6635" t="s">
        <v>95</v>
      </c>
      <c r="B6635" t="s">
        <v>96</v>
      </c>
      <c r="C6635" t="s">
        <v>127</v>
      </c>
      <c r="D6635" t="s">
        <v>128</v>
      </c>
      <c r="E6635">
        <v>2023</v>
      </c>
      <c r="F6635" s="1">
        <v>17410</v>
      </c>
      <c r="G6635">
        <v>1960</v>
      </c>
      <c r="H6635">
        <f>AVERAGEIFS(Table1[value],Table1[IndicatorCode],Table1[[#This Row],[IndicatorCode]])</f>
        <v>24902.88753799392</v>
      </c>
      <c r="I6635" cm="1">
        <f t="array" ref="I6635">_xlfn.STDEV.P(IF(Table1[IndicatorCode]=Table1[[#This Row],[IndicatorCode]],Table1[value]))</f>
        <v>26324.778297809873</v>
      </c>
      <c r="J6635">
        <f>(Table1[[#This Row],[value]] - Table1[[#This Row],[mean]]) / Table1[[#This Row],[std_dev]]</f>
        <v>-0.28463250300639004</v>
      </c>
      <c r="K6635">
        <f>AVERAGEIF(Table1[CountryCode],Table1[[#This Row],[CountryCode]],Table1[z-score])</f>
        <v>4.9319686102583721E-2</v>
      </c>
      <c r="L6635" t="e">
        <f>VLOOKUP(Table1[[#This Row],[CountryCode]],[1]!Table1[#All],1,FALSE)</f>
        <v>#REF!</v>
      </c>
    </row>
    <row r="6636" spans="1:12" hidden="1" x14ac:dyDescent="0.3">
      <c r="A6636" t="s">
        <v>95</v>
      </c>
      <c r="B6636" t="s">
        <v>96</v>
      </c>
      <c r="C6636" t="s">
        <v>127</v>
      </c>
      <c r="D6636" t="s">
        <v>128</v>
      </c>
      <c r="E6636">
        <v>2024</v>
      </c>
      <c r="F6636" s="1">
        <v>18001</v>
      </c>
      <c r="G6636">
        <v>1960</v>
      </c>
      <c r="H6636">
        <f>AVERAGEIFS(Table1[value],Table1[IndicatorCode],Table1[[#This Row],[IndicatorCode]])</f>
        <v>24902.88753799392</v>
      </c>
      <c r="I6636" cm="1">
        <f t="array" ref="I6636">_xlfn.STDEV.P(IF(Table1[IndicatorCode]=Table1[[#This Row],[IndicatorCode]],Table1[value]))</f>
        <v>26324.778297809873</v>
      </c>
      <c r="J6636">
        <f>(Table1[[#This Row],[value]] - Table1[[#This Row],[mean]]) / Table1[[#This Row],[std_dev]]</f>
        <v>-0.262182171485491</v>
      </c>
      <c r="K6636">
        <f>AVERAGEIF(Table1[CountryCode],Table1[[#This Row],[CountryCode]],Table1[z-score])</f>
        <v>4.9319686102583721E-2</v>
      </c>
      <c r="L6636" t="e">
        <f>VLOOKUP(Table1[[#This Row],[CountryCode]],[1]!Table1[#All],1,FALSE)</f>
        <v>#REF!</v>
      </c>
    </row>
    <row r="6637" spans="1:12" hidden="1" x14ac:dyDescent="0.3">
      <c r="A6637" t="s">
        <v>97</v>
      </c>
      <c r="B6637" t="s">
        <v>98</v>
      </c>
      <c r="C6637" t="s">
        <v>127</v>
      </c>
      <c r="D6637" t="s">
        <v>128</v>
      </c>
      <c r="E6637">
        <v>1960</v>
      </c>
      <c r="F6637" s="1">
        <v>4067</v>
      </c>
      <c r="G6637">
        <v>1960</v>
      </c>
      <c r="H6637">
        <f>AVERAGEIFS(Table1[value],Table1[IndicatorCode],Table1[[#This Row],[IndicatorCode]])</f>
        <v>24902.88753799392</v>
      </c>
      <c r="I6637" cm="1">
        <f t="array" ref="I6637">_xlfn.STDEV.P(IF(Table1[IndicatorCode]=Table1[[#This Row],[IndicatorCode]],Table1[value]))</f>
        <v>26324.778297809873</v>
      </c>
      <c r="J6637">
        <f>(Table1[[#This Row],[value]] - Table1[[#This Row],[mean]]) / Table1[[#This Row],[std_dev]]</f>
        <v>-0.7914933718445557</v>
      </c>
      <c r="K6637">
        <f>AVERAGEIF(Table1[CountryCode],Table1[[#This Row],[CountryCode]],Table1[z-score])</f>
        <v>-0.19691915896687051</v>
      </c>
      <c r="L6637" t="e">
        <f>VLOOKUP(Table1[[#This Row],[CountryCode]],[1]!Table1[#All],1,FALSE)</f>
        <v>#REF!</v>
      </c>
    </row>
    <row r="6638" spans="1:12" hidden="1" x14ac:dyDescent="0.3">
      <c r="A6638" t="s">
        <v>97</v>
      </c>
      <c r="B6638" t="s">
        <v>98</v>
      </c>
      <c r="C6638" t="s">
        <v>127</v>
      </c>
      <c r="D6638" t="s">
        <v>128</v>
      </c>
      <c r="E6638">
        <v>1961</v>
      </c>
      <c r="F6638" s="1">
        <v>4258</v>
      </c>
      <c r="G6638">
        <v>1960</v>
      </c>
      <c r="H6638">
        <f>AVERAGEIFS(Table1[value],Table1[IndicatorCode],Table1[[#This Row],[IndicatorCode]])</f>
        <v>24902.88753799392</v>
      </c>
      <c r="I6638" cm="1">
        <f t="array" ref="I6638">_xlfn.STDEV.P(IF(Table1[IndicatorCode]=Table1[[#This Row],[IndicatorCode]],Table1[value]))</f>
        <v>26324.778297809873</v>
      </c>
      <c r="J6638">
        <f>(Table1[[#This Row],[value]] - Table1[[#This Row],[mean]]) / Table1[[#This Row],[std_dev]]</f>
        <v>-0.78423785015167635</v>
      </c>
      <c r="K6638">
        <f>AVERAGEIF(Table1[CountryCode],Table1[[#This Row],[CountryCode]],Table1[z-score])</f>
        <v>-0.19691915896687051</v>
      </c>
      <c r="L6638" t="e">
        <f>VLOOKUP(Table1[[#This Row],[CountryCode]],[1]!Table1[#All],1,FALSE)</f>
        <v>#REF!</v>
      </c>
    </row>
    <row r="6639" spans="1:12" hidden="1" x14ac:dyDescent="0.3">
      <c r="A6639" t="s">
        <v>97</v>
      </c>
      <c r="B6639" t="s">
        <v>98</v>
      </c>
      <c r="C6639" t="s">
        <v>127</v>
      </c>
      <c r="D6639" t="s">
        <v>128</v>
      </c>
      <c r="E6639">
        <v>1962</v>
      </c>
      <c r="F6639" s="1">
        <v>4507</v>
      </c>
      <c r="G6639">
        <v>1960</v>
      </c>
      <c r="H6639">
        <f>AVERAGEIFS(Table1[value],Table1[IndicatorCode],Table1[[#This Row],[IndicatorCode]])</f>
        <v>24902.88753799392</v>
      </c>
      <c r="I6639" cm="1">
        <f t="array" ref="I6639">_xlfn.STDEV.P(IF(Table1[IndicatorCode]=Table1[[#This Row],[IndicatorCode]],Table1[value]))</f>
        <v>26324.778297809873</v>
      </c>
      <c r="J6639">
        <f>(Table1[[#This Row],[value]] - Table1[[#This Row],[mean]]) / Table1[[#This Row],[std_dev]]</f>
        <v>-0.77477908103373405</v>
      </c>
      <c r="K6639">
        <f>AVERAGEIF(Table1[CountryCode],Table1[[#This Row],[CountryCode]],Table1[z-score])</f>
        <v>-0.19691915896687051</v>
      </c>
      <c r="L6639" t="e">
        <f>VLOOKUP(Table1[[#This Row],[CountryCode]],[1]!Table1[#All],1,FALSE)</f>
        <v>#REF!</v>
      </c>
    </row>
    <row r="6640" spans="1:12" hidden="1" x14ac:dyDescent="0.3">
      <c r="A6640" t="s">
        <v>97</v>
      </c>
      <c r="B6640" t="s">
        <v>98</v>
      </c>
      <c r="C6640" t="s">
        <v>127</v>
      </c>
      <c r="D6640" t="s">
        <v>128</v>
      </c>
      <c r="E6640">
        <v>1963</v>
      </c>
      <c r="F6640" s="1">
        <v>4752</v>
      </c>
      <c r="G6640">
        <v>1960</v>
      </c>
      <c r="H6640">
        <f>AVERAGEIFS(Table1[value],Table1[IndicatorCode],Table1[[#This Row],[IndicatorCode]])</f>
        <v>24902.88753799392</v>
      </c>
      <c r="I6640" cm="1">
        <f t="array" ref="I6640">_xlfn.STDEV.P(IF(Table1[IndicatorCode]=Table1[[#This Row],[IndicatorCode]],Table1[value]))</f>
        <v>26324.778297809873</v>
      </c>
      <c r="J6640">
        <f>(Table1[[#This Row],[value]] - Table1[[#This Row],[mean]]) / Table1[[#This Row],[std_dev]]</f>
        <v>-0.76547226001407209</v>
      </c>
      <c r="K6640">
        <f>AVERAGEIF(Table1[CountryCode],Table1[[#This Row],[CountryCode]],Table1[z-score])</f>
        <v>-0.19691915896687051</v>
      </c>
      <c r="L6640" t="e">
        <f>VLOOKUP(Table1[[#This Row],[CountryCode]],[1]!Table1[#All],1,FALSE)</f>
        <v>#REF!</v>
      </c>
    </row>
    <row r="6641" spans="1:12" hidden="1" x14ac:dyDescent="0.3">
      <c r="A6641" t="s">
        <v>97</v>
      </c>
      <c r="B6641" t="s">
        <v>98</v>
      </c>
      <c r="C6641" t="s">
        <v>127</v>
      </c>
      <c r="D6641" t="s">
        <v>128</v>
      </c>
      <c r="E6641">
        <v>1964</v>
      </c>
      <c r="F6641" s="1">
        <v>5049</v>
      </c>
      <c r="G6641">
        <v>1960</v>
      </c>
      <c r="H6641">
        <f>AVERAGEIFS(Table1[value],Table1[IndicatorCode],Table1[[#This Row],[IndicatorCode]])</f>
        <v>24902.88753799392</v>
      </c>
      <c r="I6641" cm="1">
        <f t="array" ref="I6641">_xlfn.STDEV.P(IF(Table1[IndicatorCode]=Table1[[#This Row],[IndicatorCode]],Table1[value]))</f>
        <v>26324.778297809873</v>
      </c>
      <c r="J6641">
        <f>(Table1[[#This Row],[value]] - Table1[[#This Row],[mean]]) / Table1[[#This Row],[std_dev]]</f>
        <v>-0.75419011371676747</v>
      </c>
      <c r="K6641">
        <f>AVERAGEIF(Table1[CountryCode],Table1[[#This Row],[CountryCode]],Table1[z-score])</f>
        <v>-0.19691915896687051</v>
      </c>
      <c r="L6641" t="e">
        <f>VLOOKUP(Table1[[#This Row],[CountryCode]],[1]!Table1[#All],1,FALSE)</f>
        <v>#REF!</v>
      </c>
    </row>
    <row r="6642" spans="1:12" hidden="1" x14ac:dyDescent="0.3">
      <c r="A6642" t="s">
        <v>97</v>
      </c>
      <c r="B6642" t="s">
        <v>98</v>
      </c>
      <c r="C6642" t="s">
        <v>127</v>
      </c>
      <c r="D6642" t="s">
        <v>128</v>
      </c>
      <c r="E6642">
        <v>1965</v>
      </c>
      <c r="F6642" s="1">
        <v>5449</v>
      </c>
      <c r="G6642">
        <v>1960</v>
      </c>
      <c r="H6642">
        <f>AVERAGEIFS(Table1[value],Table1[IndicatorCode],Table1[[#This Row],[IndicatorCode]])</f>
        <v>24902.88753799392</v>
      </c>
      <c r="I6642" cm="1">
        <f t="array" ref="I6642">_xlfn.STDEV.P(IF(Table1[IndicatorCode]=Table1[[#This Row],[IndicatorCode]],Table1[value]))</f>
        <v>26324.778297809873</v>
      </c>
      <c r="J6642">
        <f>(Table1[[#This Row],[value]] - Table1[[#This Row],[mean]]) / Table1[[#This Row],[std_dev]]</f>
        <v>-0.73899530388874779</v>
      </c>
      <c r="K6642">
        <f>AVERAGEIF(Table1[CountryCode],Table1[[#This Row],[CountryCode]],Table1[z-score])</f>
        <v>-0.19691915896687051</v>
      </c>
      <c r="L6642" t="e">
        <f>VLOOKUP(Table1[[#This Row],[CountryCode]],[1]!Table1[#All],1,FALSE)</f>
        <v>#REF!</v>
      </c>
    </row>
    <row r="6643" spans="1:12" hidden="1" x14ac:dyDescent="0.3">
      <c r="A6643" t="s">
        <v>97</v>
      </c>
      <c r="B6643" t="s">
        <v>98</v>
      </c>
      <c r="C6643" t="s">
        <v>127</v>
      </c>
      <c r="D6643" t="s">
        <v>128</v>
      </c>
      <c r="E6643">
        <v>1966</v>
      </c>
      <c r="F6643" s="1">
        <v>5714</v>
      </c>
      <c r="G6643">
        <v>1960</v>
      </c>
      <c r="H6643">
        <f>AVERAGEIFS(Table1[value],Table1[IndicatorCode],Table1[[#This Row],[IndicatorCode]])</f>
        <v>24902.88753799392</v>
      </c>
      <c r="I6643" cm="1">
        <f t="array" ref="I6643">_xlfn.STDEV.P(IF(Table1[IndicatorCode]=Table1[[#This Row],[IndicatorCode]],Table1[value]))</f>
        <v>26324.778297809873</v>
      </c>
      <c r="J6643">
        <f>(Table1[[#This Row],[value]] - Table1[[#This Row],[mean]]) / Table1[[#This Row],[std_dev]]</f>
        <v>-0.72892874237768479</v>
      </c>
      <c r="K6643">
        <f>AVERAGEIF(Table1[CountryCode],Table1[[#This Row],[CountryCode]],Table1[z-score])</f>
        <v>-0.19691915896687051</v>
      </c>
      <c r="L6643" t="e">
        <f>VLOOKUP(Table1[[#This Row],[CountryCode]],[1]!Table1[#All],1,FALSE)</f>
        <v>#REF!</v>
      </c>
    </row>
    <row r="6644" spans="1:12" hidden="1" x14ac:dyDescent="0.3">
      <c r="A6644" t="s">
        <v>97</v>
      </c>
      <c r="B6644" t="s">
        <v>98</v>
      </c>
      <c r="C6644" t="s">
        <v>127</v>
      </c>
      <c r="D6644" t="s">
        <v>128</v>
      </c>
      <c r="E6644">
        <v>1967</v>
      </c>
      <c r="F6644" s="1">
        <v>6184</v>
      </c>
      <c r="G6644">
        <v>1970</v>
      </c>
      <c r="H6644">
        <f>AVERAGEIFS(Table1[value],Table1[IndicatorCode],Table1[[#This Row],[IndicatorCode]])</f>
        <v>24902.88753799392</v>
      </c>
      <c r="I6644" cm="1">
        <f t="array" ref="I6644">_xlfn.STDEV.P(IF(Table1[IndicatorCode]=Table1[[#This Row],[IndicatorCode]],Table1[value]))</f>
        <v>26324.778297809873</v>
      </c>
      <c r="J6644">
        <f>(Table1[[#This Row],[value]] - Table1[[#This Row],[mean]]) / Table1[[#This Row],[std_dev]]</f>
        <v>-0.71107484082976169</v>
      </c>
      <c r="K6644">
        <f>AVERAGEIF(Table1[CountryCode],Table1[[#This Row],[CountryCode]],Table1[z-score])</f>
        <v>-0.19691915896687051</v>
      </c>
      <c r="L6644" t="e">
        <f>VLOOKUP(Table1[[#This Row],[CountryCode]],[1]!Table1[#All],1,FALSE)</f>
        <v>#REF!</v>
      </c>
    </row>
    <row r="6645" spans="1:12" hidden="1" x14ac:dyDescent="0.3">
      <c r="A6645" t="s">
        <v>97</v>
      </c>
      <c r="B6645" t="s">
        <v>98</v>
      </c>
      <c r="C6645" t="s">
        <v>127</v>
      </c>
      <c r="D6645" t="s">
        <v>128</v>
      </c>
      <c r="E6645">
        <v>1968</v>
      </c>
      <c r="F6645" s="1">
        <v>6761</v>
      </c>
      <c r="G6645">
        <v>1970</v>
      </c>
      <c r="H6645">
        <f>AVERAGEIFS(Table1[value],Table1[IndicatorCode],Table1[[#This Row],[IndicatorCode]])</f>
        <v>24902.88753799392</v>
      </c>
      <c r="I6645" cm="1">
        <f t="array" ref="I6645">_xlfn.STDEV.P(IF(Table1[IndicatorCode]=Table1[[#This Row],[IndicatorCode]],Table1[value]))</f>
        <v>26324.778297809873</v>
      </c>
      <c r="J6645">
        <f>(Table1[[#This Row],[value]] - Table1[[#This Row],[mean]]) / Table1[[#This Row],[std_dev]]</f>
        <v>-0.68915632765284329</v>
      </c>
      <c r="K6645">
        <f>AVERAGEIF(Table1[CountryCode],Table1[[#This Row],[CountryCode]],Table1[z-score])</f>
        <v>-0.19691915896687051</v>
      </c>
      <c r="L6645" t="e">
        <f>VLOOKUP(Table1[[#This Row],[CountryCode]],[1]!Table1[#All],1,FALSE)</f>
        <v>#REF!</v>
      </c>
    </row>
    <row r="6646" spans="1:12" hidden="1" x14ac:dyDescent="0.3">
      <c r="A6646" t="s">
        <v>97</v>
      </c>
      <c r="B6646" t="s">
        <v>98</v>
      </c>
      <c r="C6646" t="s">
        <v>127</v>
      </c>
      <c r="D6646" t="s">
        <v>128</v>
      </c>
      <c r="E6646">
        <v>1969</v>
      </c>
      <c r="F6646" s="1">
        <v>6967</v>
      </c>
      <c r="G6646">
        <v>1970</v>
      </c>
      <c r="H6646">
        <f>AVERAGEIFS(Table1[value],Table1[IndicatorCode],Table1[[#This Row],[IndicatorCode]])</f>
        <v>24902.88753799392</v>
      </c>
      <c r="I6646" cm="1">
        <f t="array" ref="I6646">_xlfn.STDEV.P(IF(Table1[IndicatorCode]=Table1[[#This Row],[IndicatorCode]],Table1[value]))</f>
        <v>26324.778297809873</v>
      </c>
      <c r="J6646">
        <f>(Table1[[#This Row],[value]] - Table1[[#This Row],[mean]]) / Table1[[#This Row],[std_dev]]</f>
        <v>-0.68133100059141316</v>
      </c>
      <c r="K6646">
        <f>AVERAGEIF(Table1[CountryCode],Table1[[#This Row],[CountryCode]],Table1[z-score])</f>
        <v>-0.19691915896687051</v>
      </c>
      <c r="L6646" t="e">
        <f>VLOOKUP(Table1[[#This Row],[CountryCode]],[1]!Table1[#All],1,FALSE)</f>
        <v>#REF!</v>
      </c>
    </row>
    <row r="6647" spans="1:12" hidden="1" x14ac:dyDescent="0.3">
      <c r="A6647" t="s">
        <v>97</v>
      </c>
      <c r="B6647" t="s">
        <v>98</v>
      </c>
      <c r="C6647" t="s">
        <v>127</v>
      </c>
      <c r="D6647" t="s">
        <v>128</v>
      </c>
      <c r="E6647">
        <v>1970</v>
      </c>
      <c r="F6647" s="1">
        <v>7670</v>
      </c>
      <c r="G6647">
        <v>1970</v>
      </c>
      <c r="H6647">
        <f>AVERAGEIFS(Table1[value],Table1[IndicatorCode],Table1[[#This Row],[IndicatorCode]])</f>
        <v>24902.88753799392</v>
      </c>
      <c r="I6647" cm="1">
        <f t="array" ref="I6647">_xlfn.STDEV.P(IF(Table1[IndicatorCode]=Table1[[#This Row],[IndicatorCode]],Table1[value]))</f>
        <v>26324.778297809873</v>
      </c>
      <c r="J6647">
        <f>(Table1[[#This Row],[value]] - Table1[[#This Row],[mean]]) / Table1[[#This Row],[std_dev]]</f>
        <v>-0.65462612231866868</v>
      </c>
      <c r="K6647">
        <f>AVERAGEIF(Table1[CountryCode],Table1[[#This Row],[CountryCode]],Table1[z-score])</f>
        <v>-0.19691915896687051</v>
      </c>
      <c r="L6647" t="e">
        <f>VLOOKUP(Table1[[#This Row],[CountryCode]],[1]!Table1[#All],1,FALSE)</f>
        <v>#REF!</v>
      </c>
    </row>
    <row r="6648" spans="1:12" hidden="1" x14ac:dyDescent="0.3">
      <c r="A6648" t="s">
        <v>97</v>
      </c>
      <c r="B6648" t="s">
        <v>98</v>
      </c>
      <c r="C6648" t="s">
        <v>127</v>
      </c>
      <c r="D6648" t="s">
        <v>128</v>
      </c>
      <c r="E6648">
        <v>1971</v>
      </c>
      <c r="F6648" s="1">
        <v>8213</v>
      </c>
      <c r="G6648">
        <v>1970</v>
      </c>
      <c r="H6648">
        <f>AVERAGEIFS(Table1[value],Table1[IndicatorCode],Table1[[#This Row],[IndicatorCode]])</f>
        <v>24902.88753799392</v>
      </c>
      <c r="I6648" cm="1">
        <f t="array" ref="I6648">_xlfn.STDEV.P(IF(Table1[IndicatorCode]=Table1[[#This Row],[IndicatorCode]],Table1[value]))</f>
        <v>26324.778297809873</v>
      </c>
      <c r="J6648">
        <f>(Table1[[#This Row],[value]] - Table1[[#This Row],[mean]]) / Table1[[#This Row],[std_dev]]</f>
        <v>-0.63399916797713196</v>
      </c>
      <c r="K6648">
        <f>AVERAGEIF(Table1[CountryCode],Table1[[#This Row],[CountryCode]],Table1[z-score])</f>
        <v>-0.19691915896687051</v>
      </c>
      <c r="L6648" t="e">
        <f>VLOOKUP(Table1[[#This Row],[CountryCode]],[1]!Table1[#All],1,FALSE)</f>
        <v>#REF!</v>
      </c>
    </row>
    <row r="6649" spans="1:12" hidden="1" x14ac:dyDescent="0.3">
      <c r="A6649" t="s">
        <v>97</v>
      </c>
      <c r="B6649" t="s">
        <v>98</v>
      </c>
      <c r="C6649" t="s">
        <v>127</v>
      </c>
      <c r="D6649" t="s">
        <v>128</v>
      </c>
      <c r="E6649">
        <v>1972</v>
      </c>
      <c r="F6649" s="1">
        <v>8885</v>
      </c>
      <c r="G6649">
        <v>1970</v>
      </c>
      <c r="H6649">
        <f>AVERAGEIFS(Table1[value],Table1[IndicatorCode],Table1[[#This Row],[IndicatorCode]])</f>
        <v>24902.88753799392</v>
      </c>
      <c r="I6649" cm="1">
        <f t="array" ref="I6649">_xlfn.STDEV.P(IF(Table1[IndicatorCode]=Table1[[#This Row],[IndicatorCode]],Table1[value]))</f>
        <v>26324.778297809873</v>
      </c>
      <c r="J6649">
        <f>(Table1[[#This Row],[value]] - Table1[[#This Row],[mean]]) / Table1[[#This Row],[std_dev]]</f>
        <v>-0.60847188746605896</v>
      </c>
      <c r="K6649">
        <f>AVERAGEIF(Table1[CountryCode],Table1[[#This Row],[CountryCode]],Table1[z-score])</f>
        <v>-0.19691915896687051</v>
      </c>
      <c r="L6649" t="e">
        <f>VLOOKUP(Table1[[#This Row],[CountryCode]],[1]!Table1[#All],1,FALSE)</f>
        <v>#REF!</v>
      </c>
    </row>
    <row r="6650" spans="1:12" hidden="1" x14ac:dyDescent="0.3">
      <c r="A6650" t="s">
        <v>97</v>
      </c>
      <c r="B6650" t="s">
        <v>98</v>
      </c>
      <c r="C6650" t="s">
        <v>127</v>
      </c>
      <c r="D6650" t="s">
        <v>128</v>
      </c>
      <c r="E6650">
        <v>1973</v>
      </c>
      <c r="F6650" s="1">
        <v>9877</v>
      </c>
      <c r="G6650">
        <v>1970</v>
      </c>
      <c r="H6650">
        <f>AVERAGEIFS(Table1[value],Table1[IndicatorCode],Table1[[#This Row],[IndicatorCode]])</f>
        <v>24902.88753799392</v>
      </c>
      <c r="I6650" cm="1">
        <f t="array" ref="I6650">_xlfn.STDEV.P(IF(Table1[IndicatorCode]=Table1[[#This Row],[IndicatorCode]],Table1[value]))</f>
        <v>26324.778297809873</v>
      </c>
      <c r="J6650">
        <f>(Table1[[#This Row],[value]] - Table1[[#This Row],[mean]]) / Table1[[#This Row],[std_dev]]</f>
        <v>-0.57078875909257021</v>
      </c>
      <c r="K6650">
        <f>AVERAGEIF(Table1[CountryCode],Table1[[#This Row],[CountryCode]],Table1[z-score])</f>
        <v>-0.19691915896687051</v>
      </c>
      <c r="L6650" t="e">
        <f>VLOOKUP(Table1[[#This Row],[CountryCode]],[1]!Table1[#All],1,FALSE)</f>
        <v>#REF!</v>
      </c>
    </row>
    <row r="6651" spans="1:12" hidden="1" x14ac:dyDescent="0.3">
      <c r="A6651" t="s">
        <v>97</v>
      </c>
      <c r="B6651" t="s">
        <v>98</v>
      </c>
      <c r="C6651" t="s">
        <v>127</v>
      </c>
      <c r="D6651" t="s">
        <v>128</v>
      </c>
      <c r="E6651">
        <v>1974</v>
      </c>
      <c r="F6651" s="1">
        <v>9852</v>
      </c>
      <c r="G6651">
        <v>1970</v>
      </c>
      <c r="H6651">
        <f>AVERAGEIFS(Table1[value],Table1[IndicatorCode],Table1[[#This Row],[IndicatorCode]])</f>
        <v>24902.88753799392</v>
      </c>
      <c r="I6651" cm="1">
        <f t="array" ref="I6651">_xlfn.STDEV.P(IF(Table1[IndicatorCode]=Table1[[#This Row],[IndicatorCode]],Table1[value]))</f>
        <v>26324.778297809873</v>
      </c>
      <c r="J6651">
        <f>(Table1[[#This Row],[value]] - Table1[[#This Row],[mean]]) / Table1[[#This Row],[std_dev]]</f>
        <v>-0.5717384347068214</v>
      </c>
      <c r="K6651">
        <f>AVERAGEIF(Table1[CountryCode],Table1[[#This Row],[CountryCode]],Table1[z-score])</f>
        <v>-0.19691915896687051</v>
      </c>
      <c r="L6651" t="e">
        <f>VLOOKUP(Table1[[#This Row],[CountryCode]],[1]!Table1[#All],1,FALSE)</f>
        <v>#REF!</v>
      </c>
    </row>
    <row r="6652" spans="1:12" hidden="1" x14ac:dyDescent="0.3">
      <c r="A6652" t="s">
        <v>97</v>
      </c>
      <c r="B6652" t="s">
        <v>98</v>
      </c>
      <c r="C6652" t="s">
        <v>127</v>
      </c>
      <c r="D6652" t="s">
        <v>128</v>
      </c>
      <c r="E6652">
        <v>1975</v>
      </c>
      <c r="F6652" s="1">
        <v>9072</v>
      </c>
      <c r="G6652">
        <v>1970</v>
      </c>
      <c r="H6652">
        <f>AVERAGEIFS(Table1[value],Table1[IndicatorCode],Table1[[#This Row],[IndicatorCode]])</f>
        <v>24902.88753799392</v>
      </c>
      <c r="I6652" cm="1">
        <f t="array" ref="I6652">_xlfn.STDEV.P(IF(Table1[IndicatorCode]=Table1[[#This Row],[IndicatorCode]],Table1[value]))</f>
        <v>26324.778297809873</v>
      </c>
      <c r="J6652">
        <f>(Table1[[#This Row],[value]] - Table1[[#This Row],[mean]]) / Table1[[#This Row],[std_dev]]</f>
        <v>-0.60136831387145973</v>
      </c>
      <c r="K6652">
        <f>AVERAGEIF(Table1[CountryCode],Table1[[#This Row],[CountryCode]],Table1[z-score])</f>
        <v>-0.19691915896687051</v>
      </c>
      <c r="L6652" t="e">
        <f>VLOOKUP(Table1[[#This Row],[CountryCode]],[1]!Table1[#All],1,FALSE)</f>
        <v>#REF!</v>
      </c>
    </row>
    <row r="6653" spans="1:12" hidden="1" x14ac:dyDescent="0.3">
      <c r="A6653" t="s">
        <v>97</v>
      </c>
      <c r="B6653" t="s">
        <v>98</v>
      </c>
      <c r="C6653" t="s">
        <v>127</v>
      </c>
      <c r="D6653" t="s">
        <v>128</v>
      </c>
      <c r="E6653">
        <v>1976</v>
      </c>
      <c r="F6653" s="1">
        <v>9426</v>
      </c>
      <c r="G6653">
        <v>1970</v>
      </c>
      <c r="H6653">
        <f>AVERAGEIFS(Table1[value],Table1[IndicatorCode],Table1[[#This Row],[IndicatorCode]])</f>
        <v>24902.88753799392</v>
      </c>
      <c r="I6653" cm="1">
        <f t="array" ref="I6653">_xlfn.STDEV.P(IF(Table1[IndicatorCode]=Table1[[#This Row],[IndicatorCode]],Table1[value]))</f>
        <v>26324.778297809873</v>
      </c>
      <c r="J6653">
        <f>(Table1[[#This Row],[value]] - Table1[[#This Row],[mean]]) / Table1[[#This Row],[std_dev]]</f>
        <v>-0.58792090717366241</v>
      </c>
      <c r="K6653">
        <f>AVERAGEIF(Table1[CountryCode],Table1[[#This Row],[CountryCode]],Table1[z-score])</f>
        <v>-0.19691915896687051</v>
      </c>
      <c r="L6653" t="e">
        <f>VLOOKUP(Table1[[#This Row],[CountryCode]],[1]!Table1[#All],1,FALSE)</f>
        <v>#REF!</v>
      </c>
    </row>
    <row r="6654" spans="1:12" hidden="1" x14ac:dyDescent="0.3">
      <c r="A6654" t="s">
        <v>97</v>
      </c>
      <c r="B6654" t="s">
        <v>98</v>
      </c>
      <c r="C6654" t="s">
        <v>127</v>
      </c>
      <c r="D6654" t="s">
        <v>128</v>
      </c>
      <c r="E6654">
        <v>1977</v>
      </c>
      <c r="F6654" s="1">
        <v>9849</v>
      </c>
      <c r="G6654">
        <v>1980</v>
      </c>
      <c r="H6654">
        <f>AVERAGEIFS(Table1[value],Table1[IndicatorCode],Table1[[#This Row],[IndicatorCode]])</f>
        <v>24902.88753799392</v>
      </c>
      <c r="I6654" cm="1">
        <f t="array" ref="I6654">_xlfn.STDEV.P(IF(Table1[IndicatorCode]=Table1[[#This Row],[IndicatorCode]],Table1[value]))</f>
        <v>26324.778297809873</v>
      </c>
      <c r="J6654">
        <f>(Table1[[#This Row],[value]] - Table1[[#This Row],[mean]]) / Table1[[#This Row],[std_dev]]</f>
        <v>-0.5718523957805316</v>
      </c>
      <c r="K6654">
        <f>AVERAGEIF(Table1[CountryCode],Table1[[#This Row],[CountryCode]],Table1[z-score])</f>
        <v>-0.19691915896687051</v>
      </c>
      <c r="L6654" t="e">
        <f>VLOOKUP(Table1[[#This Row],[CountryCode]],[1]!Table1[#All],1,FALSE)</f>
        <v>#REF!</v>
      </c>
    </row>
    <row r="6655" spans="1:12" hidden="1" x14ac:dyDescent="0.3">
      <c r="A6655" t="s">
        <v>97</v>
      </c>
      <c r="B6655" t="s">
        <v>98</v>
      </c>
      <c r="C6655" t="s">
        <v>127</v>
      </c>
      <c r="D6655" t="s">
        <v>128</v>
      </c>
      <c r="E6655">
        <v>1978</v>
      </c>
      <c r="F6655" s="1">
        <v>10018</v>
      </c>
      <c r="G6655">
        <v>1980</v>
      </c>
      <c r="H6655">
        <f>AVERAGEIFS(Table1[value],Table1[IndicatorCode],Table1[[#This Row],[IndicatorCode]])</f>
        <v>24902.88753799392</v>
      </c>
      <c r="I6655" cm="1">
        <f t="array" ref="I6655">_xlfn.STDEV.P(IF(Table1[IndicatorCode]=Table1[[#This Row],[IndicatorCode]],Table1[value]))</f>
        <v>26324.778297809873</v>
      </c>
      <c r="J6655">
        <f>(Table1[[#This Row],[value]] - Table1[[#This Row],[mean]]) / Table1[[#This Row],[std_dev]]</f>
        <v>-0.56543258862819323</v>
      </c>
      <c r="K6655">
        <f>AVERAGEIF(Table1[CountryCode],Table1[[#This Row],[CountryCode]],Table1[z-score])</f>
        <v>-0.19691915896687051</v>
      </c>
      <c r="L6655" t="e">
        <f>VLOOKUP(Table1[[#This Row],[CountryCode]],[1]!Table1[#All],1,FALSE)</f>
        <v>#REF!</v>
      </c>
    </row>
    <row r="6656" spans="1:12" hidden="1" x14ac:dyDescent="0.3">
      <c r="A6656" t="s">
        <v>97</v>
      </c>
      <c r="B6656" t="s">
        <v>98</v>
      </c>
      <c r="C6656" t="s">
        <v>127</v>
      </c>
      <c r="D6656" t="s">
        <v>128</v>
      </c>
      <c r="E6656">
        <v>1979</v>
      </c>
      <c r="F6656" s="1">
        <v>10470</v>
      </c>
      <c r="G6656">
        <v>1980</v>
      </c>
      <c r="H6656">
        <f>AVERAGEIFS(Table1[value],Table1[IndicatorCode],Table1[[#This Row],[IndicatorCode]])</f>
        <v>24902.88753799392</v>
      </c>
      <c r="I6656" cm="1">
        <f t="array" ref="I6656">_xlfn.STDEV.P(IF(Table1[IndicatorCode]=Table1[[#This Row],[IndicatorCode]],Table1[value]))</f>
        <v>26324.778297809873</v>
      </c>
      <c r="J6656">
        <f>(Table1[[#This Row],[value]] - Table1[[#This Row],[mean]]) / Table1[[#This Row],[std_dev]]</f>
        <v>-0.54826245352253111</v>
      </c>
      <c r="K6656">
        <f>AVERAGEIF(Table1[CountryCode],Table1[[#This Row],[CountryCode]],Table1[z-score])</f>
        <v>-0.19691915896687051</v>
      </c>
      <c r="L6656" t="e">
        <f>VLOOKUP(Table1[[#This Row],[CountryCode]],[1]!Table1[#All],1,FALSE)</f>
        <v>#REF!</v>
      </c>
    </row>
    <row r="6657" spans="1:12" hidden="1" x14ac:dyDescent="0.3">
      <c r="A6657" t="s">
        <v>97</v>
      </c>
      <c r="B6657" t="s">
        <v>98</v>
      </c>
      <c r="C6657" t="s">
        <v>127</v>
      </c>
      <c r="D6657" t="s">
        <v>128</v>
      </c>
      <c r="E6657">
        <v>1980</v>
      </c>
      <c r="F6657" s="1">
        <v>10833</v>
      </c>
      <c r="G6657">
        <v>1980</v>
      </c>
      <c r="H6657">
        <f>AVERAGEIFS(Table1[value],Table1[IndicatorCode],Table1[[#This Row],[IndicatorCode]])</f>
        <v>24902.88753799392</v>
      </c>
      <c r="I6657" cm="1">
        <f t="array" ref="I6657">_xlfn.STDEV.P(IF(Table1[IndicatorCode]=Table1[[#This Row],[IndicatorCode]],Table1[value]))</f>
        <v>26324.778297809873</v>
      </c>
      <c r="J6657">
        <f>(Table1[[#This Row],[value]] - Table1[[#This Row],[mean]]) / Table1[[#This Row],[std_dev]]</f>
        <v>-0.5344731636036032</v>
      </c>
      <c r="K6657">
        <f>AVERAGEIF(Table1[CountryCode],Table1[[#This Row],[CountryCode]],Table1[z-score])</f>
        <v>-0.19691915896687051</v>
      </c>
      <c r="L6657" t="e">
        <f>VLOOKUP(Table1[[#This Row],[CountryCode]],[1]!Table1[#All],1,FALSE)</f>
        <v>#REF!</v>
      </c>
    </row>
    <row r="6658" spans="1:12" hidden="1" x14ac:dyDescent="0.3">
      <c r="A6658" t="s">
        <v>97</v>
      </c>
      <c r="B6658" t="s">
        <v>98</v>
      </c>
      <c r="C6658" t="s">
        <v>127</v>
      </c>
      <c r="D6658" t="s">
        <v>128</v>
      </c>
      <c r="E6658">
        <v>1981</v>
      </c>
      <c r="F6658" s="1">
        <v>10913</v>
      </c>
      <c r="G6658">
        <v>1980</v>
      </c>
      <c r="H6658">
        <f>AVERAGEIFS(Table1[value],Table1[IndicatorCode],Table1[[#This Row],[IndicatorCode]])</f>
        <v>24902.88753799392</v>
      </c>
      <c r="I6658" cm="1">
        <f t="array" ref="I6658">_xlfn.STDEV.P(IF(Table1[IndicatorCode]=Table1[[#This Row],[IndicatorCode]],Table1[value]))</f>
        <v>26324.778297809873</v>
      </c>
      <c r="J6658">
        <f>(Table1[[#This Row],[value]] - Table1[[#This Row],[mean]]) / Table1[[#This Row],[std_dev]]</f>
        <v>-0.53143420163799926</v>
      </c>
      <c r="K6658">
        <f>AVERAGEIF(Table1[CountryCode],Table1[[#This Row],[CountryCode]],Table1[z-score])</f>
        <v>-0.19691915896687051</v>
      </c>
      <c r="L6658" t="e">
        <f>VLOOKUP(Table1[[#This Row],[CountryCode]],[1]!Table1[#All],1,FALSE)</f>
        <v>#REF!</v>
      </c>
    </row>
    <row r="6659" spans="1:12" hidden="1" x14ac:dyDescent="0.3">
      <c r="A6659" t="s">
        <v>97</v>
      </c>
      <c r="B6659" t="s">
        <v>98</v>
      </c>
      <c r="C6659" t="s">
        <v>127</v>
      </c>
      <c r="D6659" t="s">
        <v>128</v>
      </c>
      <c r="E6659">
        <v>1982</v>
      </c>
      <c r="F6659" s="1">
        <v>11078</v>
      </c>
      <c r="G6659">
        <v>1980</v>
      </c>
      <c r="H6659">
        <f>AVERAGEIFS(Table1[value],Table1[IndicatorCode],Table1[[#This Row],[IndicatorCode]])</f>
        <v>24902.88753799392</v>
      </c>
      <c r="I6659" cm="1">
        <f t="array" ref="I6659">_xlfn.STDEV.P(IF(Table1[IndicatorCode]=Table1[[#This Row],[IndicatorCode]],Table1[value]))</f>
        <v>26324.778297809873</v>
      </c>
      <c r="J6659">
        <f>(Table1[[#This Row],[value]] - Table1[[#This Row],[mean]]) / Table1[[#This Row],[std_dev]]</f>
        <v>-0.52516634258394124</v>
      </c>
      <c r="K6659">
        <f>AVERAGEIF(Table1[CountryCode],Table1[[#This Row],[CountryCode]],Table1[z-score])</f>
        <v>-0.19691915896687051</v>
      </c>
      <c r="L6659" t="e">
        <f>VLOOKUP(Table1[[#This Row],[CountryCode]],[1]!Table1[#All],1,FALSE)</f>
        <v>#REF!</v>
      </c>
    </row>
    <row r="6660" spans="1:12" hidden="1" x14ac:dyDescent="0.3">
      <c r="A6660" t="s">
        <v>97</v>
      </c>
      <c r="B6660" t="s">
        <v>98</v>
      </c>
      <c r="C6660" t="s">
        <v>127</v>
      </c>
      <c r="D6660" t="s">
        <v>128</v>
      </c>
      <c r="E6660">
        <v>1983</v>
      </c>
      <c r="F6660" s="1">
        <v>11008</v>
      </c>
      <c r="G6660">
        <v>1980</v>
      </c>
      <c r="H6660">
        <f>AVERAGEIFS(Table1[value],Table1[IndicatorCode],Table1[[#This Row],[IndicatorCode]])</f>
        <v>24902.88753799392</v>
      </c>
      <c r="I6660" cm="1">
        <f t="array" ref="I6660">_xlfn.STDEV.P(IF(Table1[IndicatorCode]=Table1[[#This Row],[IndicatorCode]],Table1[value]))</f>
        <v>26324.778297809873</v>
      </c>
      <c r="J6660">
        <f>(Table1[[#This Row],[value]] - Table1[[#This Row],[mean]]) / Table1[[#This Row],[std_dev]]</f>
        <v>-0.52782543430384465</v>
      </c>
      <c r="K6660">
        <f>AVERAGEIF(Table1[CountryCode],Table1[[#This Row],[CountryCode]],Table1[z-score])</f>
        <v>-0.19691915896687051</v>
      </c>
      <c r="L6660" t="e">
        <f>VLOOKUP(Table1[[#This Row],[CountryCode]],[1]!Table1[#All],1,FALSE)</f>
        <v>#REF!</v>
      </c>
    </row>
    <row r="6661" spans="1:12" hidden="1" x14ac:dyDescent="0.3">
      <c r="A6661" t="s">
        <v>97</v>
      </c>
      <c r="B6661" t="s">
        <v>98</v>
      </c>
      <c r="C6661" t="s">
        <v>127</v>
      </c>
      <c r="D6661" t="s">
        <v>128</v>
      </c>
      <c r="E6661">
        <v>1984</v>
      </c>
      <c r="F6661" s="1">
        <v>10759</v>
      </c>
      <c r="G6661">
        <v>1980</v>
      </c>
      <c r="H6661">
        <f>AVERAGEIFS(Table1[value],Table1[IndicatorCode],Table1[[#This Row],[IndicatorCode]])</f>
        <v>24902.88753799392</v>
      </c>
      <c r="I6661" cm="1">
        <f t="array" ref="I6661">_xlfn.STDEV.P(IF(Table1[IndicatorCode]=Table1[[#This Row],[IndicatorCode]],Table1[value]))</f>
        <v>26324.778297809873</v>
      </c>
      <c r="J6661">
        <f>(Table1[[#This Row],[value]] - Table1[[#This Row],[mean]]) / Table1[[#This Row],[std_dev]]</f>
        <v>-0.53728420342178684</v>
      </c>
      <c r="K6661">
        <f>AVERAGEIF(Table1[CountryCode],Table1[[#This Row],[CountryCode]],Table1[z-score])</f>
        <v>-0.19691915896687051</v>
      </c>
      <c r="L6661" t="e">
        <f>VLOOKUP(Table1[[#This Row],[CountryCode]],[1]!Table1[#All],1,FALSE)</f>
        <v>#REF!</v>
      </c>
    </row>
    <row r="6662" spans="1:12" hidden="1" x14ac:dyDescent="0.3">
      <c r="A6662" t="s">
        <v>97</v>
      </c>
      <c r="B6662" t="s">
        <v>98</v>
      </c>
      <c r="C6662" t="s">
        <v>127</v>
      </c>
      <c r="D6662" t="s">
        <v>128</v>
      </c>
      <c r="E6662">
        <v>1985</v>
      </c>
      <c r="F6662" s="1">
        <v>11031</v>
      </c>
      <c r="G6662">
        <v>1980</v>
      </c>
      <c r="H6662">
        <f>AVERAGEIFS(Table1[value],Table1[IndicatorCode],Table1[[#This Row],[IndicatorCode]])</f>
        <v>24902.88753799392</v>
      </c>
      <c r="I6662" cm="1">
        <f t="array" ref="I6662">_xlfn.STDEV.P(IF(Table1[IndicatorCode]=Table1[[#This Row],[IndicatorCode]],Table1[value]))</f>
        <v>26324.778297809873</v>
      </c>
      <c r="J6662">
        <f>(Table1[[#This Row],[value]] - Table1[[#This Row],[mean]]) / Table1[[#This Row],[std_dev]]</f>
        <v>-0.52695173273873352</v>
      </c>
      <c r="K6662">
        <f>AVERAGEIF(Table1[CountryCode],Table1[[#This Row],[CountryCode]],Table1[z-score])</f>
        <v>-0.19691915896687051</v>
      </c>
      <c r="L6662" t="e">
        <f>VLOOKUP(Table1[[#This Row],[CountryCode]],[1]!Table1[#All],1,FALSE)</f>
        <v>#REF!</v>
      </c>
    </row>
    <row r="6663" spans="1:12" hidden="1" x14ac:dyDescent="0.3">
      <c r="A6663" t="s">
        <v>97</v>
      </c>
      <c r="B6663" t="s">
        <v>98</v>
      </c>
      <c r="C6663" t="s">
        <v>127</v>
      </c>
      <c r="D6663" t="s">
        <v>128</v>
      </c>
      <c r="E6663">
        <v>1986</v>
      </c>
      <c r="F6663" s="1">
        <v>11477</v>
      </c>
      <c r="G6663">
        <v>1980</v>
      </c>
      <c r="H6663">
        <f>AVERAGEIFS(Table1[value],Table1[IndicatorCode],Table1[[#This Row],[IndicatorCode]])</f>
        <v>24902.88753799392</v>
      </c>
      <c r="I6663" cm="1">
        <f t="array" ref="I6663">_xlfn.STDEV.P(IF(Table1[IndicatorCode]=Table1[[#This Row],[IndicatorCode]],Table1[value]))</f>
        <v>26324.778297809873</v>
      </c>
      <c r="J6663">
        <f>(Table1[[#This Row],[value]] - Table1[[#This Row],[mean]]) / Table1[[#This Row],[std_dev]]</f>
        <v>-0.51000951978049158</v>
      </c>
      <c r="K6663">
        <f>AVERAGEIF(Table1[CountryCode],Table1[[#This Row],[CountryCode]],Table1[z-score])</f>
        <v>-0.19691915896687051</v>
      </c>
      <c r="L6663" t="e">
        <f>VLOOKUP(Table1[[#This Row],[CountryCode]],[1]!Table1[#All],1,FALSE)</f>
        <v>#REF!</v>
      </c>
    </row>
    <row r="6664" spans="1:12" hidden="1" x14ac:dyDescent="0.3">
      <c r="A6664" t="s">
        <v>97</v>
      </c>
      <c r="B6664" t="s">
        <v>98</v>
      </c>
      <c r="C6664" t="s">
        <v>127</v>
      </c>
      <c r="D6664" t="s">
        <v>128</v>
      </c>
      <c r="E6664">
        <v>1987</v>
      </c>
      <c r="F6664" s="1">
        <v>12213</v>
      </c>
      <c r="G6664">
        <v>1990</v>
      </c>
      <c r="H6664">
        <f>AVERAGEIFS(Table1[value],Table1[IndicatorCode],Table1[[#This Row],[IndicatorCode]])</f>
        <v>24902.88753799392</v>
      </c>
      <c r="I6664" cm="1">
        <f t="array" ref="I6664">_xlfn.STDEV.P(IF(Table1[IndicatorCode]=Table1[[#This Row],[IndicatorCode]],Table1[value]))</f>
        <v>26324.778297809873</v>
      </c>
      <c r="J6664">
        <f>(Table1[[#This Row],[value]] - Table1[[#This Row],[mean]]) / Table1[[#This Row],[std_dev]]</f>
        <v>-0.4820510696969354</v>
      </c>
      <c r="K6664">
        <f>AVERAGEIF(Table1[CountryCode],Table1[[#This Row],[CountryCode]],Table1[z-score])</f>
        <v>-0.19691915896687051</v>
      </c>
      <c r="L6664" t="e">
        <f>VLOOKUP(Table1[[#This Row],[CountryCode]],[1]!Table1[#All],1,FALSE)</f>
        <v>#REF!</v>
      </c>
    </row>
    <row r="6665" spans="1:12" hidden="1" x14ac:dyDescent="0.3">
      <c r="A6665" t="s">
        <v>97</v>
      </c>
      <c r="B6665" t="s">
        <v>98</v>
      </c>
      <c r="C6665" t="s">
        <v>127</v>
      </c>
      <c r="D6665" t="s">
        <v>128</v>
      </c>
      <c r="E6665">
        <v>1988</v>
      </c>
      <c r="F6665" s="1">
        <v>13141</v>
      </c>
      <c r="G6665">
        <v>1990</v>
      </c>
      <c r="H6665">
        <f>AVERAGEIFS(Table1[value],Table1[IndicatorCode],Table1[[#This Row],[IndicatorCode]])</f>
        <v>24902.88753799392</v>
      </c>
      <c r="I6665" cm="1">
        <f t="array" ref="I6665">_xlfn.STDEV.P(IF(Table1[IndicatorCode]=Table1[[#This Row],[IndicatorCode]],Table1[value]))</f>
        <v>26324.778297809873</v>
      </c>
      <c r="J6665">
        <f>(Table1[[#This Row],[value]] - Table1[[#This Row],[mean]]) / Table1[[#This Row],[std_dev]]</f>
        <v>-0.44679911089592983</v>
      </c>
      <c r="K6665">
        <f>AVERAGEIF(Table1[CountryCode],Table1[[#This Row],[CountryCode]],Table1[z-score])</f>
        <v>-0.19691915896687051</v>
      </c>
      <c r="L6665" t="e">
        <f>VLOOKUP(Table1[[#This Row],[CountryCode]],[1]!Table1[#All],1,FALSE)</f>
        <v>#REF!</v>
      </c>
    </row>
    <row r="6666" spans="1:12" hidden="1" x14ac:dyDescent="0.3">
      <c r="A6666" t="s">
        <v>97</v>
      </c>
      <c r="B6666" t="s">
        <v>98</v>
      </c>
      <c r="C6666" t="s">
        <v>127</v>
      </c>
      <c r="D6666" t="s">
        <v>128</v>
      </c>
      <c r="E6666">
        <v>1989</v>
      </c>
      <c r="F6666" s="1">
        <v>14008</v>
      </c>
      <c r="G6666">
        <v>1990</v>
      </c>
      <c r="H6666">
        <f>AVERAGEIFS(Table1[value],Table1[IndicatorCode],Table1[[#This Row],[IndicatorCode]])</f>
        <v>24902.88753799392</v>
      </c>
      <c r="I6666" cm="1">
        <f t="array" ref="I6666">_xlfn.STDEV.P(IF(Table1[IndicatorCode]=Table1[[#This Row],[IndicatorCode]],Table1[value]))</f>
        <v>26324.778297809873</v>
      </c>
      <c r="J6666">
        <f>(Table1[[#This Row],[value]] - Table1[[#This Row],[mean]]) / Table1[[#This Row],[std_dev]]</f>
        <v>-0.41386436059369719</v>
      </c>
      <c r="K6666">
        <f>AVERAGEIF(Table1[CountryCode],Table1[[#This Row],[CountryCode]],Table1[z-score])</f>
        <v>-0.19691915896687051</v>
      </c>
      <c r="L6666" t="e">
        <f>VLOOKUP(Table1[[#This Row],[CountryCode]],[1]!Table1[#All],1,FALSE)</f>
        <v>#REF!</v>
      </c>
    </row>
    <row r="6667" spans="1:12" hidden="1" x14ac:dyDescent="0.3">
      <c r="A6667" t="s">
        <v>97</v>
      </c>
      <c r="B6667" t="s">
        <v>98</v>
      </c>
      <c r="C6667" t="s">
        <v>127</v>
      </c>
      <c r="D6667" t="s">
        <v>128</v>
      </c>
      <c r="E6667">
        <v>1990</v>
      </c>
      <c r="F6667" s="1">
        <v>14593</v>
      </c>
      <c r="G6667">
        <v>1990</v>
      </c>
      <c r="H6667">
        <f>AVERAGEIFS(Table1[value],Table1[IndicatorCode],Table1[[#This Row],[IndicatorCode]])</f>
        <v>24902.88753799392</v>
      </c>
      <c r="I6667" cm="1">
        <f t="array" ref="I6667">_xlfn.STDEV.P(IF(Table1[IndicatorCode]=Table1[[#This Row],[IndicatorCode]],Table1[value]))</f>
        <v>26324.778297809873</v>
      </c>
      <c r="J6667">
        <f>(Table1[[#This Row],[value]] - Table1[[#This Row],[mean]]) / Table1[[#This Row],[std_dev]]</f>
        <v>-0.39164195122021844</v>
      </c>
      <c r="K6667">
        <f>AVERAGEIF(Table1[CountryCode],Table1[[#This Row],[CountryCode]],Table1[z-score])</f>
        <v>-0.19691915896687051</v>
      </c>
      <c r="L6667" t="e">
        <f>VLOOKUP(Table1[[#This Row],[CountryCode]],[1]!Table1[#All],1,FALSE)</f>
        <v>#REF!</v>
      </c>
    </row>
    <row r="6668" spans="1:12" hidden="1" x14ac:dyDescent="0.3">
      <c r="A6668" t="s">
        <v>97</v>
      </c>
      <c r="B6668" t="s">
        <v>98</v>
      </c>
      <c r="C6668" t="s">
        <v>127</v>
      </c>
      <c r="D6668" t="s">
        <v>128</v>
      </c>
      <c r="E6668">
        <v>1991</v>
      </c>
      <c r="F6668" s="1">
        <v>15266</v>
      </c>
      <c r="G6668">
        <v>1990</v>
      </c>
      <c r="H6668">
        <f>AVERAGEIFS(Table1[value],Table1[IndicatorCode],Table1[[#This Row],[IndicatorCode]])</f>
        <v>24902.88753799392</v>
      </c>
      <c r="I6668" cm="1">
        <f t="array" ref="I6668">_xlfn.STDEV.P(IF(Table1[IndicatorCode]=Table1[[#This Row],[IndicatorCode]],Table1[value]))</f>
        <v>26324.778297809873</v>
      </c>
      <c r="J6668">
        <f>(Table1[[#This Row],[value]] - Table1[[#This Row],[mean]]) / Table1[[#This Row],[std_dev]]</f>
        <v>-0.36607668368457541</v>
      </c>
      <c r="K6668">
        <f>AVERAGEIF(Table1[CountryCode],Table1[[#This Row],[CountryCode]],Table1[z-score])</f>
        <v>-0.19691915896687051</v>
      </c>
      <c r="L6668" t="e">
        <f>VLOOKUP(Table1[[#This Row],[CountryCode]],[1]!Table1[#All],1,FALSE)</f>
        <v>#REF!</v>
      </c>
    </row>
    <row r="6669" spans="1:12" hidden="1" x14ac:dyDescent="0.3">
      <c r="A6669" t="s">
        <v>97</v>
      </c>
      <c r="B6669" t="s">
        <v>98</v>
      </c>
      <c r="C6669" t="s">
        <v>127</v>
      </c>
      <c r="D6669" t="s">
        <v>128</v>
      </c>
      <c r="E6669">
        <v>1992</v>
      </c>
      <c r="F6669" s="1">
        <v>15444</v>
      </c>
      <c r="G6669">
        <v>1990</v>
      </c>
      <c r="H6669">
        <f>AVERAGEIFS(Table1[value],Table1[IndicatorCode],Table1[[#This Row],[IndicatorCode]])</f>
        <v>24902.88753799392</v>
      </c>
      <c r="I6669" cm="1">
        <f t="array" ref="I6669">_xlfn.STDEV.P(IF(Table1[IndicatorCode]=Table1[[#This Row],[IndicatorCode]],Table1[value]))</f>
        <v>26324.778297809873</v>
      </c>
      <c r="J6669">
        <f>(Table1[[#This Row],[value]] - Table1[[#This Row],[mean]]) / Table1[[#This Row],[std_dev]]</f>
        <v>-0.35931499331110667</v>
      </c>
      <c r="K6669">
        <f>AVERAGEIF(Table1[CountryCode],Table1[[#This Row],[CountryCode]],Table1[z-score])</f>
        <v>-0.19691915896687051</v>
      </c>
      <c r="L6669" t="e">
        <f>VLOOKUP(Table1[[#This Row],[CountryCode]],[1]!Table1[#All],1,FALSE)</f>
        <v>#REF!</v>
      </c>
    </row>
    <row r="6670" spans="1:12" hidden="1" x14ac:dyDescent="0.3">
      <c r="A6670" t="s">
        <v>97</v>
      </c>
      <c r="B6670" t="s">
        <v>98</v>
      </c>
      <c r="C6670" t="s">
        <v>127</v>
      </c>
      <c r="D6670" t="s">
        <v>128</v>
      </c>
      <c r="E6670">
        <v>1993</v>
      </c>
      <c r="F6670" s="1">
        <v>15110</v>
      </c>
      <c r="G6670">
        <v>1990</v>
      </c>
      <c r="H6670">
        <f>AVERAGEIFS(Table1[value],Table1[IndicatorCode],Table1[[#This Row],[IndicatorCode]])</f>
        <v>24902.88753799392</v>
      </c>
      <c r="I6670" cm="1">
        <f t="array" ref="I6670">_xlfn.STDEV.P(IF(Table1[IndicatorCode]=Table1[[#This Row],[IndicatorCode]],Table1[value]))</f>
        <v>26324.778297809873</v>
      </c>
      <c r="J6670">
        <f>(Table1[[#This Row],[value]] - Table1[[#This Row],[mean]]) / Table1[[#This Row],[std_dev]]</f>
        <v>-0.37200265951750305</v>
      </c>
      <c r="K6670">
        <f>AVERAGEIF(Table1[CountryCode],Table1[[#This Row],[CountryCode]],Table1[z-score])</f>
        <v>-0.19691915896687051</v>
      </c>
      <c r="L6670" t="e">
        <f>VLOOKUP(Table1[[#This Row],[CountryCode]],[1]!Table1[#All],1,FALSE)</f>
        <v>#REF!</v>
      </c>
    </row>
    <row r="6671" spans="1:12" hidden="1" x14ac:dyDescent="0.3">
      <c r="A6671" t="s">
        <v>97</v>
      </c>
      <c r="B6671" t="s">
        <v>98</v>
      </c>
      <c r="C6671" t="s">
        <v>127</v>
      </c>
      <c r="D6671" t="s">
        <v>128</v>
      </c>
      <c r="E6671">
        <v>1994</v>
      </c>
      <c r="F6671" s="1">
        <v>15215</v>
      </c>
      <c r="G6671">
        <v>1990</v>
      </c>
      <c r="H6671">
        <f>AVERAGEIFS(Table1[value],Table1[IndicatorCode],Table1[[#This Row],[IndicatorCode]])</f>
        <v>24902.88753799392</v>
      </c>
      <c r="I6671" cm="1">
        <f t="array" ref="I6671">_xlfn.STDEV.P(IF(Table1[IndicatorCode]=Table1[[#This Row],[IndicatorCode]],Table1[value]))</f>
        <v>26324.778297809873</v>
      </c>
      <c r="J6671">
        <f>(Table1[[#This Row],[value]] - Table1[[#This Row],[mean]]) / Table1[[#This Row],[std_dev]]</f>
        <v>-0.36801402193764793</v>
      </c>
      <c r="K6671">
        <f>AVERAGEIF(Table1[CountryCode],Table1[[#This Row],[CountryCode]],Table1[z-score])</f>
        <v>-0.19691915896687051</v>
      </c>
      <c r="L6671" t="e">
        <f>VLOOKUP(Table1[[#This Row],[CountryCode]],[1]!Table1[#All],1,FALSE)</f>
        <v>#REF!</v>
      </c>
    </row>
    <row r="6672" spans="1:12" hidden="1" x14ac:dyDescent="0.3">
      <c r="A6672" t="s">
        <v>97</v>
      </c>
      <c r="B6672" t="s">
        <v>98</v>
      </c>
      <c r="C6672" t="s">
        <v>127</v>
      </c>
      <c r="D6672" t="s">
        <v>128</v>
      </c>
      <c r="E6672">
        <v>1995</v>
      </c>
      <c r="F6672" s="1">
        <v>15812</v>
      </c>
      <c r="G6672">
        <v>1990</v>
      </c>
      <c r="H6672">
        <f>AVERAGEIFS(Table1[value],Table1[IndicatorCode],Table1[[#This Row],[IndicatorCode]])</f>
        <v>24902.88753799392</v>
      </c>
      <c r="I6672" cm="1">
        <f t="array" ref="I6672">_xlfn.STDEV.P(IF(Table1[IndicatorCode]=Table1[[#This Row],[IndicatorCode]],Table1[value]))</f>
        <v>26324.778297809873</v>
      </c>
      <c r="J6672">
        <f>(Table1[[#This Row],[value]] - Table1[[#This Row],[mean]]) / Table1[[#This Row],[std_dev]]</f>
        <v>-0.34533576826932855</v>
      </c>
      <c r="K6672">
        <f>AVERAGEIF(Table1[CountryCode],Table1[[#This Row],[CountryCode]],Table1[z-score])</f>
        <v>-0.19691915896687051</v>
      </c>
      <c r="L6672" t="e">
        <f>VLOOKUP(Table1[[#This Row],[CountryCode]],[1]!Table1[#All],1,FALSE)</f>
        <v>#REF!</v>
      </c>
    </row>
    <row r="6673" spans="1:12" hidden="1" x14ac:dyDescent="0.3">
      <c r="A6673" t="s">
        <v>97</v>
      </c>
      <c r="B6673" t="s">
        <v>98</v>
      </c>
      <c r="C6673" t="s">
        <v>127</v>
      </c>
      <c r="D6673" t="s">
        <v>128</v>
      </c>
      <c r="E6673">
        <v>1996</v>
      </c>
      <c r="F6673" s="1">
        <v>16304</v>
      </c>
      <c r="G6673">
        <v>1990</v>
      </c>
      <c r="H6673">
        <f>AVERAGEIFS(Table1[value],Table1[IndicatorCode],Table1[[#This Row],[IndicatorCode]])</f>
        <v>24902.88753799392</v>
      </c>
      <c r="I6673" cm="1">
        <f t="array" ref="I6673">_xlfn.STDEV.P(IF(Table1[IndicatorCode]=Table1[[#This Row],[IndicatorCode]],Table1[value]))</f>
        <v>26324.778297809873</v>
      </c>
      <c r="J6673">
        <f>(Table1[[#This Row],[value]] - Table1[[#This Row],[mean]]) / Table1[[#This Row],[std_dev]]</f>
        <v>-0.3266461521808644</v>
      </c>
      <c r="K6673">
        <f>AVERAGEIF(Table1[CountryCode],Table1[[#This Row],[CountryCode]],Table1[z-score])</f>
        <v>-0.19691915896687051</v>
      </c>
      <c r="L6673" t="e">
        <f>VLOOKUP(Table1[[#This Row],[CountryCode]],[1]!Table1[#All],1,FALSE)</f>
        <v>#REF!</v>
      </c>
    </row>
    <row r="6674" spans="1:12" hidden="1" x14ac:dyDescent="0.3">
      <c r="A6674" t="s">
        <v>97</v>
      </c>
      <c r="B6674" t="s">
        <v>98</v>
      </c>
      <c r="C6674" t="s">
        <v>127</v>
      </c>
      <c r="D6674" t="s">
        <v>128</v>
      </c>
      <c r="E6674">
        <v>1997</v>
      </c>
      <c r="F6674" s="1">
        <v>16946</v>
      </c>
      <c r="G6674">
        <v>2000</v>
      </c>
      <c r="H6674">
        <f>AVERAGEIFS(Table1[value],Table1[IndicatorCode],Table1[[#This Row],[IndicatorCode]])</f>
        <v>24902.88753799392</v>
      </c>
      <c r="I6674" cm="1">
        <f t="array" ref="I6674">_xlfn.STDEV.P(IF(Table1[IndicatorCode]=Table1[[#This Row],[IndicatorCode]],Table1[value]))</f>
        <v>26324.778297809873</v>
      </c>
      <c r="J6674">
        <f>(Table1[[#This Row],[value]] - Table1[[#This Row],[mean]]) / Table1[[#This Row],[std_dev]]</f>
        <v>-0.30225848240689285</v>
      </c>
      <c r="K6674">
        <f>AVERAGEIF(Table1[CountryCode],Table1[[#This Row],[CountryCode]],Table1[z-score])</f>
        <v>-0.19691915896687051</v>
      </c>
      <c r="L6674" t="e">
        <f>VLOOKUP(Table1[[#This Row],[CountryCode]],[1]!Table1[#All],1,FALSE)</f>
        <v>#REF!</v>
      </c>
    </row>
    <row r="6675" spans="1:12" hidden="1" x14ac:dyDescent="0.3">
      <c r="A6675" t="s">
        <v>97</v>
      </c>
      <c r="B6675" t="s">
        <v>98</v>
      </c>
      <c r="C6675" t="s">
        <v>127</v>
      </c>
      <c r="D6675" t="s">
        <v>128</v>
      </c>
      <c r="E6675">
        <v>1998</v>
      </c>
      <c r="F6675" s="1">
        <v>17671</v>
      </c>
      <c r="G6675">
        <v>2000</v>
      </c>
      <c r="H6675">
        <f>AVERAGEIFS(Table1[value],Table1[IndicatorCode],Table1[[#This Row],[IndicatorCode]])</f>
        <v>24902.88753799392</v>
      </c>
      <c r="I6675" cm="1">
        <f t="array" ref="I6675">_xlfn.STDEV.P(IF(Table1[IndicatorCode]=Table1[[#This Row],[IndicatorCode]],Table1[value]))</f>
        <v>26324.778297809873</v>
      </c>
      <c r="J6675">
        <f>(Table1[[#This Row],[value]] - Table1[[#This Row],[mean]]) / Table1[[#This Row],[std_dev]]</f>
        <v>-0.27471788959360721</v>
      </c>
      <c r="K6675">
        <f>AVERAGEIF(Table1[CountryCode],Table1[[#This Row],[CountryCode]],Table1[z-score])</f>
        <v>-0.19691915896687051</v>
      </c>
      <c r="L6675" t="e">
        <f>VLOOKUP(Table1[[#This Row],[CountryCode]],[1]!Table1[#All],1,FALSE)</f>
        <v>#REF!</v>
      </c>
    </row>
    <row r="6676" spans="1:12" hidden="1" x14ac:dyDescent="0.3">
      <c r="A6676" t="s">
        <v>97</v>
      </c>
      <c r="B6676" t="s">
        <v>98</v>
      </c>
      <c r="C6676" t="s">
        <v>127</v>
      </c>
      <c r="D6676" t="s">
        <v>128</v>
      </c>
      <c r="E6676">
        <v>1999</v>
      </c>
      <c r="F6676" s="1">
        <v>18258</v>
      </c>
      <c r="G6676">
        <v>2000</v>
      </c>
      <c r="H6676">
        <f>AVERAGEIFS(Table1[value],Table1[IndicatorCode],Table1[[#This Row],[IndicatorCode]])</f>
        <v>24902.88753799392</v>
      </c>
      <c r="I6676" cm="1">
        <f t="array" ref="I6676">_xlfn.STDEV.P(IF(Table1[IndicatorCode]=Table1[[#This Row],[IndicatorCode]],Table1[value]))</f>
        <v>26324.778297809873</v>
      </c>
      <c r="J6676">
        <f>(Table1[[#This Row],[value]] - Table1[[#This Row],[mean]]) / Table1[[#This Row],[std_dev]]</f>
        <v>-0.25241950617098835</v>
      </c>
      <c r="K6676">
        <f>AVERAGEIF(Table1[CountryCode],Table1[[#This Row],[CountryCode]],Table1[z-score])</f>
        <v>-0.19691915896687051</v>
      </c>
      <c r="L6676" t="e">
        <f>VLOOKUP(Table1[[#This Row],[CountryCode]],[1]!Table1[#All],1,FALSE)</f>
        <v>#REF!</v>
      </c>
    </row>
    <row r="6677" spans="1:12" hidden="1" x14ac:dyDescent="0.3">
      <c r="A6677" t="s">
        <v>97</v>
      </c>
      <c r="B6677" t="s">
        <v>98</v>
      </c>
      <c r="C6677" t="s">
        <v>127</v>
      </c>
      <c r="D6677" t="s">
        <v>128</v>
      </c>
      <c r="E6677">
        <v>2000</v>
      </c>
      <c r="F6677" s="1">
        <v>18822</v>
      </c>
      <c r="G6677">
        <v>2000</v>
      </c>
      <c r="H6677">
        <f>AVERAGEIFS(Table1[value],Table1[IndicatorCode],Table1[[#This Row],[IndicatorCode]])</f>
        <v>24902.88753799392</v>
      </c>
      <c r="I6677" cm="1">
        <f t="array" ref="I6677">_xlfn.STDEV.P(IF(Table1[IndicatorCode]=Table1[[#This Row],[IndicatorCode]],Table1[value]))</f>
        <v>26324.778297809873</v>
      </c>
      <c r="J6677">
        <f>(Table1[[#This Row],[value]] - Table1[[#This Row],[mean]]) / Table1[[#This Row],[std_dev]]</f>
        <v>-0.23099482431348065</v>
      </c>
      <c r="K6677">
        <f>AVERAGEIF(Table1[CountryCode],Table1[[#This Row],[CountryCode]],Table1[z-score])</f>
        <v>-0.19691915896687051</v>
      </c>
      <c r="L6677" t="e">
        <f>VLOOKUP(Table1[[#This Row],[CountryCode]],[1]!Table1[#All],1,FALSE)</f>
        <v>#REF!</v>
      </c>
    </row>
    <row r="6678" spans="1:12" hidden="1" x14ac:dyDescent="0.3">
      <c r="A6678" t="s">
        <v>97</v>
      </c>
      <c r="B6678" t="s">
        <v>98</v>
      </c>
      <c r="C6678" t="s">
        <v>127</v>
      </c>
      <c r="D6678" t="s">
        <v>128</v>
      </c>
      <c r="E6678">
        <v>2001</v>
      </c>
      <c r="F6678" s="1">
        <v>19053</v>
      </c>
      <c r="G6678">
        <v>2000</v>
      </c>
      <c r="H6678">
        <f>AVERAGEIFS(Table1[value],Table1[IndicatorCode],Table1[[#This Row],[IndicatorCode]])</f>
        <v>24902.88753799392</v>
      </c>
      <c r="I6678" cm="1">
        <f t="array" ref="I6678">_xlfn.STDEV.P(IF(Table1[IndicatorCode]=Table1[[#This Row],[IndicatorCode]],Table1[value]))</f>
        <v>26324.778297809873</v>
      </c>
      <c r="J6678">
        <f>(Table1[[#This Row],[value]] - Table1[[#This Row],[mean]]) / Table1[[#This Row],[std_dev]]</f>
        <v>-0.2222198216377993</v>
      </c>
      <c r="K6678">
        <f>AVERAGEIF(Table1[CountryCode],Table1[[#This Row],[CountryCode]],Table1[z-score])</f>
        <v>-0.19691915896687051</v>
      </c>
      <c r="L6678" t="e">
        <f>VLOOKUP(Table1[[#This Row],[CountryCode]],[1]!Table1[#All],1,FALSE)</f>
        <v>#REF!</v>
      </c>
    </row>
    <row r="6679" spans="1:12" hidden="1" x14ac:dyDescent="0.3">
      <c r="A6679" t="s">
        <v>97</v>
      </c>
      <c r="B6679" t="s">
        <v>98</v>
      </c>
      <c r="C6679" t="s">
        <v>127</v>
      </c>
      <c r="D6679" t="s">
        <v>128</v>
      </c>
      <c r="E6679">
        <v>2002</v>
      </c>
      <c r="F6679" s="1">
        <v>19095</v>
      </c>
      <c r="G6679">
        <v>2000</v>
      </c>
      <c r="H6679">
        <f>AVERAGEIFS(Table1[value],Table1[IndicatorCode],Table1[[#This Row],[IndicatorCode]])</f>
        <v>24902.88753799392</v>
      </c>
      <c r="I6679" cm="1">
        <f t="array" ref="I6679">_xlfn.STDEV.P(IF(Table1[IndicatorCode]=Table1[[#This Row],[IndicatorCode]],Table1[value]))</f>
        <v>26324.778297809873</v>
      </c>
      <c r="J6679">
        <f>(Table1[[#This Row],[value]] - Table1[[#This Row],[mean]]) / Table1[[#This Row],[std_dev]]</f>
        <v>-0.22062436660585724</v>
      </c>
      <c r="K6679">
        <f>AVERAGEIF(Table1[CountryCode],Table1[[#This Row],[CountryCode]],Table1[z-score])</f>
        <v>-0.19691915896687051</v>
      </c>
      <c r="L6679" t="e">
        <f>VLOOKUP(Table1[[#This Row],[CountryCode]],[1]!Table1[#All],1,FALSE)</f>
        <v>#REF!</v>
      </c>
    </row>
    <row r="6680" spans="1:12" hidden="1" x14ac:dyDescent="0.3">
      <c r="A6680" t="s">
        <v>97</v>
      </c>
      <c r="B6680" t="s">
        <v>98</v>
      </c>
      <c r="C6680" t="s">
        <v>127</v>
      </c>
      <c r="D6680" t="s">
        <v>128</v>
      </c>
      <c r="E6680">
        <v>2003</v>
      </c>
      <c r="F6680" s="1">
        <v>18847</v>
      </c>
      <c r="G6680">
        <v>2000</v>
      </c>
      <c r="H6680">
        <f>AVERAGEIFS(Table1[value],Table1[IndicatorCode],Table1[[#This Row],[IndicatorCode]])</f>
        <v>24902.88753799392</v>
      </c>
      <c r="I6680" cm="1">
        <f t="array" ref="I6680">_xlfn.STDEV.P(IF(Table1[IndicatorCode]=Table1[[#This Row],[IndicatorCode]],Table1[value]))</f>
        <v>26324.778297809873</v>
      </c>
      <c r="J6680">
        <f>(Table1[[#This Row],[value]] - Table1[[#This Row],[mean]]) / Table1[[#This Row],[std_dev]]</f>
        <v>-0.23004514869922943</v>
      </c>
      <c r="K6680">
        <f>AVERAGEIF(Table1[CountryCode],Table1[[#This Row],[CountryCode]],Table1[z-score])</f>
        <v>-0.19691915896687051</v>
      </c>
      <c r="L6680" t="e">
        <f>VLOOKUP(Table1[[#This Row],[CountryCode]],[1]!Table1[#All],1,FALSE)</f>
        <v>#REF!</v>
      </c>
    </row>
    <row r="6681" spans="1:12" hidden="1" x14ac:dyDescent="0.3">
      <c r="A6681" t="s">
        <v>97</v>
      </c>
      <c r="B6681" t="s">
        <v>98</v>
      </c>
      <c r="C6681" t="s">
        <v>127</v>
      </c>
      <c r="D6681" t="s">
        <v>128</v>
      </c>
      <c r="E6681">
        <v>2004</v>
      </c>
      <c r="F6681" s="1">
        <v>19138</v>
      </c>
      <c r="G6681">
        <v>2000</v>
      </c>
      <c r="H6681">
        <f>AVERAGEIFS(Table1[value],Table1[IndicatorCode],Table1[[#This Row],[IndicatorCode]])</f>
        <v>24902.88753799392</v>
      </c>
      <c r="I6681" cm="1">
        <f t="array" ref="I6681">_xlfn.STDEV.P(IF(Table1[IndicatorCode]=Table1[[#This Row],[IndicatorCode]],Table1[value]))</f>
        <v>26324.778297809873</v>
      </c>
      <c r="J6681">
        <f>(Table1[[#This Row],[value]] - Table1[[#This Row],[mean]]) / Table1[[#This Row],[std_dev]]</f>
        <v>-0.21899092454934513</v>
      </c>
      <c r="K6681">
        <f>AVERAGEIF(Table1[CountryCode],Table1[[#This Row],[CountryCode]],Table1[z-score])</f>
        <v>-0.19691915896687051</v>
      </c>
      <c r="L6681" t="e">
        <f>VLOOKUP(Table1[[#This Row],[CountryCode]],[1]!Table1[#All],1,FALSE)</f>
        <v>#REF!</v>
      </c>
    </row>
    <row r="6682" spans="1:12" hidden="1" x14ac:dyDescent="0.3">
      <c r="A6682" t="s">
        <v>97</v>
      </c>
      <c r="B6682" t="s">
        <v>98</v>
      </c>
      <c r="C6682" t="s">
        <v>127</v>
      </c>
      <c r="D6682" t="s">
        <v>128</v>
      </c>
      <c r="E6682">
        <v>2005</v>
      </c>
      <c r="F6682" s="1">
        <v>19252</v>
      </c>
      <c r="G6682">
        <v>2000</v>
      </c>
      <c r="H6682">
        <f>AVERAGEIFS(Table1[value],Table1[IndicatorCode],Table1[[#This Row],[IndicatorCode]])</f>
        <v>24902.88753799392</v>
      </c>
      <c r="I6682" cm="1">
        <f t="array" ref="I6682">_xlfn.STDEV.P(IF(Table1[IndicatorCode]=Table1[[#This Row],[IndicatorCode]],Table1[value]))</f>
        <v>26324.778297809873</v>
      </c>
      <c r="J6682">
        <f>(Table1[[#This Row],[value]] - Table1[[#This Row],[mean]]) / Table1[[#This Row],[std_dev]]</f>
        <v>-0.21466040374835951</v>
      </c>
      <c r="K6682">
        <f>AVERAGEIF(Table1[CountryCode],Table1[[#This Row],[CountryCode]],Table1[z-score])</f>
        <v>-0.19691915896687051</v>
      </c>
      <c r="L6682" t="e">
        <f>VLOOKUP(Table1[[#This Row],[CountryCode]],[1]!Table1[#All],1,FALSE)</f>
        <v>#REF!</v>
      </c>
    </row>
    <row r="6683" spans="1:12" hidden="1" x14ac:dyDescent="0.3">
      <c r="A6683" t="s">
        <v>97</v>
      </c>
      <c r="B6683" t="s">
        <v>98</v>
      </c>
      <c r="C6683" t="s">
        <v>127</v>
      </c>
      <c r="D6683" t="s">
        <v>128</v>
      </c>
      <c r="E6683">
        <v>2006</v>
      </c>
      <c r="F6683" s="1">
        <v>19529</v>
      </c>
      <c r="G6683">
        <v>2000</v>
      </c>
      <c r="H6683">
        <f>AVERAGEIFS(Table1[value],Table1[IndicatorCode],Table1[[#This Row],[IndicatorCode]])</f>
        <v>24902.88753799392</v>
      </c>
      <c r="I6683" cm="1">
        <f t="array" ref="I6683">_xlfn.STDEV.P(IF(Table1[IndicatorCode]=Table1[[#This Row],[IndicatorCode]],Table1[value]))</f>
        <v>26324.778297809873</v>
      </c>
      <c r="J6683">
        <f>(Table1[[#This Row],[value]] - Table1[[#This Row],[mean]]) / Table1[[#This Row],[std_dev]]</f>
        <v>-0.20413799794245591</v>
      </c>
      <c r="K6683">
        <f>AVERAGEIF(Table1[CountryCode],Table1[[#This Row],[CountryCode]],Table1[z-score])</f>
        <v>-0.19691915896687051</v>
      </c>
      <c r="L6683" t="e">
        <f>VLOOKUP(Table1[[#This Row],[CountryCode]],[1]!Table1[#All],1,FALSE)</f>
        <v>#REF!</v>
      </c>
    </row>
    <row r="6684" spans="1:12" hidden="1" x14ac:dyDescent="0.3">
      <c r="A6684" t="s">
        <v>97</v>
      </c>
      <c r="B6684" t="s">
        <v>98</v>
      </c>
      <c r="C6684" t="s">
        <v>127</v>
      </c>
      <c r="D6684" t="s">
        <v>128</v>
      </c>
      <c r="E6684">
        <v>2007</v>
      </c>
      <c r="F6684" s="1">
        <v>19980</v>
      </c>
      <c r="G6684">
        <v>2010</v>
      </c>
      <c r="H6684">
        <f>AVERAGEIFS(Table1[value],Table1[IndicatorCode],Table1[[#This Row],[IndicatorCode]])</f>
        <v>24902.88753799392</v>
      </c>
      <c r="I6684" cm="1">
        <f t="array" ref="I6684">_xlfn.STDEV.P(IF(Table1[IndicatorCode]=Table1[[#This Row],[IndicatorCode]],Table1[value]))</f>
        <v>26324.778297809873</v>
      </c>
      <c r="J6684">
        <f>(Table1[[#This Row],[value]] - Table1[[#This Row],[mean]]) / Table1[[#This Row],[std_dev]]</f>
        <v>-0.18700584986136376</v>
      </c>
      <c r="K6684">
        <f>AVERAGEIF(Table1[CountryCode],Table1[[#This Row],[CountryCode]],Table1[z-score])</f>
        <v>-0.19691915896687051</v>
      </c>
      <c r="L6684" t="e">
        <f>VLOOKUP(Table1[[#This Row],[CountryCode]],[1]!Table1[#All],1,FALSE)</f>
        <v>#REF!</v>
      </c>
    </row>
    <row r="6685" spans="1:12" hidden="1" x14ac:dyDescent="0.3">
      <c r="A6685" t="s">
        <v>97</v>
      </c>
      <c r="B6685" t="s">
        <v>98</v>
      </c>
      <c r="C6685" t="s">
        <v>127</v>
      </c>
      <c r="D6685" t="s">
        <v>128</v>
      </c>
      <c r="E6685">
        <v>2008</v>
      </c>
      <c r="F6685" s="1">
        <v>20014</v>
      </c>
      <c r="G6685">
        <v>2010</v>
      </c>
      <c r="H6685">
        <f>AVERAGEIFS(Table1[value],Table1[IndicatorCode],Table1[[#This Row],[IndicatorCode]])</f>
        <v>24902.88753799392</v>
      </c>
      <c r="I6685" cm="1">
        <f t="array" ref="I6685">_xlfn.STDEV.P(IF(Table1[IndicatorCode]=Table1[[#This Row],[IndicatorCode]],Table1[value]))</f>
        <v>26324.778297809873</v>
      </c>
      <c r="J6685">
        <f>(Table1[[#This Row],[value]] - Table1[[#This Row],[mean]]) / Table1[[#This Row],[std_dev]]</f>
        <v>-0.18571429102598208</v>
      </c>
      <c r="K6685">
        <f>AVERAGEIF(Table1[CountryCode],Table1[[#This Row],[CountryCode]],Table1[z-score])</f>
        <v>-0.19691915896687051</v>
      </c>
      <c r="L6685" t="e">
        <f>VLOOKUP(Table1[[#This Row],[CountryCode]],[1]!Table1[#All],1,FALSE)</f>
        <v>#REF!</v>
      </c>
    </row>
    <row r="6686" spans="1:12" hidden="1" x14ac:dyDescent="0.3">
      <c r="A6686" t="s">
        <v>97</v>
      </c>
      <c r="B6686" t="s">
        <v>98</v>
      </c>
      <c r="C6686" t="s">
        <v>127</v>
      </c>
      <c r="D6686" t="s">
        <v>128</v>
      </c>
      <c r="E6686">
        <v>2009</v>
      </c>
      <c r="F6686" s="1">
        <v>19371</v>
      </c>
      <c r="G6686">
        <v>2010</v>
      </c>
      <c r="H6686">
        <f>AVERAGEIFS(Table1[value],Table1[IndicatorCode],Table1[[#This Row],[IndicatorCode]])</f>
        <v>24902.88753799392</v>
      </c>
      <c r="I6686" cm="1">
        <f t="array" ref="I6686">_xlfn.STDEV.P(IF(Table1[IndicatorCode]=Table1[[#This Row],[IndicatorCode]],Table1[value]))</f>
        <v>26324.778297809873</v>
      </c>
      <c r="J6686">
        <f>(Table1[[#This Row],[value]] - Table1[[#This Row],[mean]]) / Table1[[#This Row],[std_dev]]</f>
        <v>-0.21013994782452367</v>
      </c>
      <c r="K6686">
        <f>AVERAGEIF(Table1[CountryCode],Table1[[#This Row],[CountryCode]],Table1[z-score])</f>
        <v>-0.19691915896687051</v>
      </c>
      <c r="L6686" t="e">
        <f>VLOOKUP(Table1[[#This Row],[CountryCode]],[1]!Table1[#All],1,FALSE)</f>
        <v>#REF!</v>
      </c>
    </row>
    <row r="6687" spans="1:12" hidden="1" x14ac:dyDescent="0.3">
      <c r="A6687" t="s">
        <v>97</v>
      </c>
      <c r="B6687" t="s">
        <v>98</v>
      </c>
      <c r="C6687" t="s">
        <v>127</v>
      </c>
      <c r="D6687" t="s">
        <v>128</v>
      </c>
      <c r="E6687">
        <v>2010</v>
      </c>
      <c r="F6687" s="1">
        <v>19699</v>
      </c>
      <c r="G6687">
        <v>2010</v>
      </c>
      <c r="H6687">
        <f>AVERAGEIFS(Table1[value],Table1[IndicatorCode],Table1[[#This Row],[IndicatorCode]])</f>
        <v>24902.88753799392</v>
      </c>
      <c r="I6687" cm="1">
        <f t="array" ref="I6687">_xlfn.STDEV.P(IF(Table1[IndicatorCode]=Table1[[#This Row],[IndicatorCode]],Table1[value]))</f>
        <v>26324.778297809873</v>
      </c>
      <c r="J6687">
        <f>(Table1[[#This Row],[value]] - Table1[[#This Row],[mean]]) / Table1[[#This Row],[std_dev]]</f>
        <v>-0.19768020376554757</v>
      </c>
      <c r="K6687">
        <f>AVERAGEIF(Table1[CountryCode],Table1[[#This Row],[CountryCode]],Table1[z-score])</f>
        <v>-0.19691915896687051</v>
      </c>
      <c r="L6687" t="e">
        <f>VLOOKUP(Table1[[#This Row],[CountryCode]],[1]!Table1[#All],1,FALSE)</f>
        <v>#REF!</v>
      </c>
    </row>
    <row r="6688" spans="1:12" hidden="1" x14ac:dyDescent="0.3">
      <c r="A6688" t="s">
        <v>97</v>
      </c>
      <c r="B6688" t="s">
        <v>98</v>
      </c>
      <c r="C6688" t="s">
        <v>127</v>
      </c>
      <c r="D6688" t="s">
        <v>128</v>
      </c>
      <c r="E6688">
        <v>2011</v>
      </c>
      <c r="F6688" s="1">
        <v>19390</v>
      </c>
      <c r="G6688">
        <v>2010</v>
      </c>
      <c r="H6688">
        <f>AVERAGEIFS(Table1[value],Table1[IndicatorCode],Table1[[#This Row],[IndicatorCode]])</f>
        <v>24902.88753799392</v>
      </c>
      <c r="I6688" cm="1">
        <f t="array" ref="I6688">_xlfn.STDEV.P(IF(Table1[IndicatorCode]=Table1[[#This Row],[IndicatorCode]],Table1[value]))</f>
        <v>26324.778297809873</v>
      </c>
      <c r="J6688">
        <f>(Table1[[#This Row],[value]] - Table1[[#This Row],[mean]]) / Table1[[#This Row],[std_dev]]</f>
        <v>-0.20941819435769274</v>
      </c>
      <c r="K6688">
        <f>AVERAGEIF(Table1[CountryCode],Table1[[#This Row],[CountryCode]],Table1[z-score])</f>
        <v>-0.19691915896687051</v>
      </c>
      <c r="L6688" t="e">
        <f>VLOOKUP(Table1[[#This Row],[CountryCode]],[1]!Table1[#All],1,FALSE)</f>
        <v>#REF!</v>
      </c>
    </row>
    <row r="6689" spans="1:12" hidden="1" x14ac:dyDescent="0.3">
      <c r="A6689" t="s">
        <v>97</v>
      </c>
      <c r="B6689" t="s">
        <v>98</v>
      </c>
      <c r="C6689" t="s">
        <v>127</v>
      </c>
      <c r="D6689" t="s">
        <v>128</v>
      </c>
      <c r="E6689">
        <v>2012</v>
      </c>
      <c r="F6689" s="1">
        <v>18680</v>
      </c>
      <c r="G6689">
        <v>2010</v>
      </c>
      <c r="H6689">
        <f>AVERAGEIFS(Table1[value],Table1[IndicatorCode],Table1[[#This Row],[IndicatorCode]])</f>
        <v>24902.88753799392</v>
      </c>
      <c r="I6689" cm="1">
        <f t="array" ref="I6689">_xlfn.STDEV.P(IF(Table1[IndicatorCode]=Table1[[#This Row],[IndicatorCode]],Table1[value]))</f>
        <v>26324.778297809873</v>
      </c>
      <c r="J6689">
        <f>(Table1[[#This Row],[value]] - Table1[[#This Row],[mean]]) / Table1[[#This Row],[std_dev]]</f>
        <v>-0.23638898180242762</v>
      </c>
      <c r="K6689">
        <f>AVERAGEIF(Table1[CountryCode],Table1[[#This Row],[CountryCode]],Table1[z-score])</f>
        <v>-0.19691915896687051</v>
      </c>
      <c r="L6689" t="e">
        <f>VLOOKUP(Table1[[#This Row],[CountryCode]],[1]!Table1[#All],1,FALSE)</f>
        <v>#REF!</v>
      </c>
    </row>
    <row r="6690" spans="1:12" hidden="1" x14ac:dyDescent="0.3">
      <c r="A6690" t="s">
        <v>97</v>
      </c>
      <c r="B6690" t="s">
        <v>98</v>
      </c>
      <c r="C6690" t="s">
        <v>127</v>
      </c>
      <c r="D6690" t="s">
        <v>128</v>
      </c>
      <c r="E6690">
        <v>2013</v>
      </c>
      <c r="F6690" s="1">
        <v>18598</v>
      </c>
      <c r="G6690">
        <v>2010</v>
      </c>
      <c r="H6690">
        <f>AVERAGEIFS(Table1[value],Table1[IndicatorCode],Table1[[#This Row],[IndicatorCode]])</f>
        <v>24902.88753799392</v>
      </c>
      <c r="I6690" cm="1">
        <f t="array" ref="I6690">_xlfn.STDEV.P(IF(Table1[IndicatorCode]=Table1[[#This Row],[IndicatorCode]],Table1[value]))</f>
        <v>26324.778297809873</v>
      </c>
      <c r="J6690">
        <f>(Table1[[#This Row],[value]] - Table1[[#This Row],[mean]]) / Table1[[#This Row],[std_dev]]</f>
        <v>-0.23950391781717167</v>
      </c>
      <c r="K6690">
        <f>AVERAGEIF(Table1[CountryCode],Table1[[#This Row],[CountryCode]],Table1[z-score])</f>
        <v>-0.19691915896687051</v>
      </c>
      <c r="L6690" t="e">
        <f>VLOOKUP(Table1[[#This Row],[CountryCode]],[1]!Table1[#All],1,FALSE)</f>
        <v>#REF!</v>
      </c>
    </row>
    <row r="6691" spans="1:12" hidden="1" x14ac:dyDescent="0.3">
      <c r="A6691" t="s">
        <v>97</v>
      </c>
      <c r="B6691" t="s">
        <v>98</v>
      </c>
      <c r="C6691" t="s">
        <v>127</v>
      </c>
      <c r="D6691" t="s">
        <v>128</v>
      </c>
      <c r="E6691">
        <v>2014</v>
      </c>
      <c r="F6691" s="1">
        <v>18837</v>
      </c>
      <c r="G6691">
        <v>2010</v>
      </c>
      <c r="H6691">
        <f>AVERAGEIFS(Table1[value],Table1[IndicatorCode],Table1[[#This Row],[IndicatorCode]])</f>
        <v>24902.88753799392</v>
      </c>
      <c r="I6691" cm="1">
        <f t="array" ref="I6691">_xlfn.STDEV.P(IF(Table1[IndicatorCode]=Table1[[#This Row],[IndicatorCode]],Table1[value]))</f>
        <v>26324.778297809873</v>
      </c>
      <c r="J6691">
        <f>(Table1[[#This Row],[value]] - Table1[[#This Row],[mean]]) / Table1[[#This Row],[std_dev]]</f>
        <v>-0.23042501894492992</v>
      </c>
      <c r="K6691">
        <f>AVERAGEIF(Table1[CountryCode],Table1[[#This Row],[CountryCode]],Table1[z-score])</f>
        <v>-0.19691915896687051</v>
      </c>
      <c r="L6691" t="e">
        <f>VLOOKUP(Table1[[#This Row],[CountryCode]],[1]!Table1[#All],1,FALSE)</f>
        <v>#REF!</v>
      </c>
    </row>
    <row r="6692" spans="1:12" hidden="1" x14ac:dyDescent="0.3">
      <c r="A6692" t="s">
        <v>97</v>
      </c>
      <c r="B6692" t="s">
        <v>98</v>
      </c>
      <c r="C6692" t="s">
        <v>127</v>
      </c>
      <c r="D6692" t="s">
        <v>128</v>
      </c>
      <c r="E6692">
        <v>2015</v>
      </c>
      <c r="F6692" s="1">
        <v>19216</v>
      </c>
      <c r="G6692">
        <v>2010</v>
      </c>
      <c r="H6692">
        <f>AVERAGEIFS(Table1[value],Table1[IndicatorCode],Table1[[#This Row],[IndicatorCode]])</f>
        <v>24902.88753799392</v>
      </c>
      <c r="I6692" cm="1">
        <f t="array" ref="I6692">_xlfn.STDEV.P(IF(Table1[IndicatorCode]=Table1[[#This Row],[IndicatorCode]],Table1[value]))</f>
        <v>26324.778297809873</v>
      </c>
      <c r="J6692">
        <f>(Table1[[#This Row],[value]] - Table1[[#This Row],[mean]]) / Table1[[#This Row],[std_dev]]</f>
        <v>-0.21602793663288131</v>
      </c>
      <c r="K6692">
        <f>AVERAGEIF(Table1[CountryCode],Table1[[#This Row],[CountryCode]],Table1[z-score])</f>
        <v>-0.19691915896687051</v>
      </c>
      <c r="L6692" t="e">
        <f>VLOOKUP(Table1[[#This Row],[CountryCode]],[1]!Table1[#All],1,FALSE)</f>
        <v>#REF!</v>
      </c>
    </row>
    <row r="6693" spans="1:12" hidden="1" x14ac:dyDescent="0.3">
      <c r="A6693" t="s">
        <v>97</v>
      </c>
      <c r="B6693" t="s">
        <v>98</v>
      </c>
      <c r="C6693" t="s">
        <v>127</v>
      </c>
      <c r="D6693" t="s">
        <v>128</v>
      </c>
      <c r="E6693">
        <v>2016</v>
      </c>
      <c r="F6693" s="1">
        <v>19663</v>
      </c>
      <c r="G6693">
        <v>2010</v>
      </c>
      <c r="H6693">
        <f>AVERAGEIFS(Table1[value],Table1[IndicatorCode],Table1[[#This Row],[IndicatorCode]])</f>
        <v>24902.88753799392</v>
      </c>
      <c r="I6693" cm="1">
        <f t="array" ref="I6693">_xlfn.STDEV.P(IF(Table1[IndicatorCode]=Table1[[#This Row],[IndicatorCode]],Table1[value]))</f>
        <v>26324.778297809873</v>
      </c>
      <c r="J6693">
        <f>(Table1[[#This Row],[value]] - Table1[[#This Row],[mean]]) / Table1[[#This Row],[std_dev]]</f>
        <v>-0.19904773665006933</v>
      </c>
      <c r="K6693">
        <f>AVERAGEIF(Table1[CountryCode],Table1[[#This Row],[CountryCode]],Table1[z-score])</f>
        <v>-0.19691915896687051</v>
      </c>
      <c r="L6693" t="e">
        <f>VLOOKUP(Table1[[#This Row],[CountryCode]],[1]!Table1[#All],1,FALSE)</f>
        <v>#REF!</v>
      </c>
    </row>
    <row r="6694" spans="1:12" hidden="1" x14ac:dyDescent="0.3">
      <c r="A6694" t="s">
        <v>97</v>
      </c>
      <c r="B6694" t="s">
        <v>98</v>
      </c>
      <c r="C6694" t="s">
        <v>127</v>
      </c>
      <c r="D6694" t="s">
        <v>128</v>
      </c>
      <c r="E6694">
        <v>2017</v>
      </c>
      <c r="F6694" s="1">
        <v>20364</v>
      </c>
      <c r="G6694">
        <v>2020</v>
      </c>
      <c r="H6694">
        <f>AVERAGEIFS(Table1[value],Table1[IndicatorCode],Table1[[#This Row],[IndicatorCode]])</f>
        <v>24902.88753799392</v>
      </c>
      <c r="I6694" cm="1">
        <f t="array" ref="I6694">_xlfn.STDEV.P(IF(Table1[IndicatorCode]=Table1[[#This Row],[IndicatorCode]],Table1[value]))</f>
        <v>26324.778297809873</v>
      </c>
      <c r="J6694">
        <f>(Table1[[#This Row],[value]] - Table1[[#This Row],[mean]]) / Table1[[#This Row],[std_dev]]</f>
        <v>-0.17241883242646489</v>
      </c>
      <c r="K6694">
        <f>AVERAGEIF(Table1[CountryCode],Table1[[#This Row],[CountryCode]],Table1[z-score])</f>
        <v>-0.19691915896687051</v>
      </c>
      <c r="L6694" t="e">
        <f>VLOOKUP(Table1[[#This Row],[CountryCode]],[1]!Table1[#All],1,FALSE)</f>
        <v>#REF!</v>
      </c>
    </row>
    <row r="6695" spans="1:12" hidden="1" x14ac:dyDescent="0.3">
      <c r="A6695" t="s">
        <v>97</v>
      </c>
      <c r="B6695" t="s">
        <v>98</v>
      </c>
      <c r="C6695" t="s">
        <v>127</v>
      </c>
      <c r="D6695" t="s">
        <v>128</v>
      </c>
      <c r="E6695">
        <v>2018</v>
      </c>
      <c r="F6695" s="1">
        <v>20998</v>
      </c>
      <c r="G6695">
        <v>2020</v>
      </c>
      <c r="H6695">
        <f>AVERAGEIFS(Table1[value],Table1[IndicatorCode],Table1[[#This Row],[IndicatorCode]])</f>
        <v>24902.88753799392</v>
      </c>
      <c r="I6695" cm="1">
        <f t="array" ref="I6695">_xlfn.STDEV.P(IF(Table1[IndicatorCode]=Table1[[#This Row],[IndicatorCode]],Table1[value]))</f>
        <v>26324.778297809873</v>
      </c>
      <c r="J6695">
        <f>(Table1[[#This Row],[value]] - Table1[[#This Row],[mean]]) / Table1[[#This Row],[std_dev]]</f>
        <v>-0.14833505884905374</v>
      </c>
      <c r="K6695">
        <f>AVERAGEIF(Table1[CountryCode],Table1[[#This Row],[CountryCode]],Table1[z-score])</f>
        <v>-0.19691915896687051</v>
      </c>
      <c r="L6695" t="e">
        <f>VLOOKUP(Table1[[#This Row],[CountryCode]],[1]!Table1[#All],1,FALSE)</f>
        <v>#REF!</v>
      </c>
    </row>
    <row r="6696" spans="1:12" hidden="1" x14ac:dyDescent="0.3">
      <c r="A6696" t="s">
        <v>97</v>
      </c>
      <c r="B6696" t="s">
        <v>98</v>
      </c>
      <c r="C6696" t="s">
        <v>127</v>
      </c>
      <c r="D6696" t="s">
        <v>128</v>
      </c>
      <c r="E6696">
        <v>2019</v>
      </c>
      <c r="F6696" s="1">
        <v>21569</v>
      </c>
      <c r="G6696">
        <v>2020</v>
      </c>
      <c r="H6696">
        <f>AVERAGEIFS(Table1[value],Table1[IndicatorCode],Table1[[#This Row],[IndicatorCode]])</f>
        <v>24902.88753799392</v>
      </c>
      <c r="I6696" cm="1">
        <f t="array" ref="I6696">_xlfn.STDEV.P(IF(Table1[IndicatorCode]=Table1[[#This Row],[IndicatorCode]],Table1[value]))</f>
        <v>26324.778297809873</v>
      </c>
      <c r="J6696">
        <f>(Table1[[#This Row],[value]] - Table1[[#This Row],[mean]]) / Table1[[#This Row],[std_dev]]</f>
        <v>-0.12664446781955568</v>
      </c>
      <c r="K6696">
        <f>AVERAGEIF(Table1[CountryCode],Table1[[#This Row],[CountryCode]],Table1[z-score])</f>
        <v>-0.19691915896687051</v>
      </c>
      <c r="L6696" t="e">
        <f>VLOOKUP(Table1[[#This Row],[CountryCode]],[1]!Table1[#All],1,FALSE)</f>
        <v>#REF!</v>
      </c>
    </row>
    <row r="6697" spans="1:12" x14ac:dyDescent="0.3">
      <c r="A6697" t="s">
        <v>43</v>
      </c>
      <c r="B6697" t="s">
        <v>44</v>
      </c>
      <c r="C6697" t="s">
        <v>127</v>
      </c>
      <c r="D6697" t="s">
        <v>128</v>
      </c>
      <c r="E6697">
        <v>2020</v>
      </c>
      <c r="F6697" s="1">
        <v>44691</v>
      </c>
      <c r="G6697">
        <v>2020</v>
      </c>
      <c r="H6697">
        <f>AVERAGEIFS(Table1[value],Table1[IndicatorCode],Table1[[#This Row],[IndicatorCode]])</f>
        <v>24902.88753799392</v>
      </c>
      <c r="I6697" cm="1">
        <f t="array" ref="I6697">_xlfn.STDEV.P(IF(Table1[IndicatorCode]=Table1[[#This Row],[IndicatorCode]],Table1[value]))</f>
        <v>26324.778297809873</v>
      </c>
      <c r="J6697">
        <f>(Table1[[#This Row],[value]] - Table1[[#This Row],[mean]]) / Table1[[#This Row],[std_dev]]</f>
        <v>0.75169151428912051</v>
      </c>
      <c r="K6697">
        <f>AVERAGEIF(Table1[CountryCode],Table1[[#This Row],[CountryCode]],Table1[z-score])</f>
        <v>0.36646997985615637</v>
      </c>
    </row>
    <row r="6698" spans="1:12" hidden="1" x14ac:dyDescent="0.3">
      <c r="A6698" t="s">
        <v>97</v>
      </c>
      <c r="B6698" t="s">
        <v>98</v>
      </c>
      <c r="C6698" t="s">
        <v>127</v>
      </c>
      <c r="D6698" t="s">
        <v>128</v>
      </c>
      <c r="E6698">
        <v>2021</v>
      </c>
      <c r="F6698" s="1">
        <v>20748</v>
      </c>
      <c r="G6698">
        <v>2020</v>
      </c>
      <c r="H6698">
        <f>AVERAGEIFS(Table1[value],Table1[IndicatorCode],Table1[[#This Row],[IndicatorCode]])</f>
        <v>24902.88753799392</v>
      </c>
      <c r="I6698" cm="1">
        <f t="array" ref="I6698">_xlfn.STDEV.P(IF(Table1[IndicatorCode]=Table1[[#This Row],[IndicatorCode]],Table1[value]))</f>
        <v>26324.778297809873</v>
      </c>
      <c r="J6698">
        <f>(Table1[[#This Row],[value]] - Table1[[#This Row],[mean]]) / Table1[[#This Row],[std_dev]]</f>
        <v>-0.15783181499156601</v>
      </c>
      <c r="K6698">
        <f>AVERAGEIF(Table1[CountryCode],Table1[[#This Row],[CountryCode]],Table1[z-score])</f>
        <v>-0.19691915896687051</v>
      </c>
      <c r="L6698" t="e">
        <f>VLOOKUP(Table1[[#This Row],[CountryCode]],[1]!Table1[#All],1,FALSE)</f>
        <v>#REF!</v>
      </c>
    </row>
    <row r="6699" spans="1:12" hidden="1" x14ac:dyDescent="0.3">
      <c r="A6699" t="s">
        <v>97</v>
      </c>
      <c r="B6699" t="s">
        <v>98</v>
      </c>
      <c r="C6699" t="s">
        <v>127</v>
      </c>
      <c r="D6699" t="s">
        <v>128</v>
      </c>
      <c r="E6699">
        <v>2022</v>
      </c>
      <c r="F6699" s="1">
        <v>22043</v>
      </c>
      <c r="G6699">
        <v>1990</v>
      </c>
      <c r="H6699">
        <f>AVERAGEIFS(Table1[value],Table1[IndicatorCode],Table1[[#This Row],[IndicatorCode]])</f>
        <v>24902.88753799392</v>
      </c>
      <c r="I6699" cm="1">
        <f t="array" ref="I6699">_xlfn.STDEV.P(IF(Table1[IndicatorCode]=Table1[[#This Row],[IndicatorCode]],Table1[value]))</f>
        <v>26324.778297809873</v>
      </c>
      <c r="J6699">
        <f>(Table1[[#This Row],[value]] - Table1[[#This Row],[mean]]) / Table1[[#This Row],[std_dev]]</f>
        <v>-0.10863861817335238</v>
      </c>
      <c r="K6699">
        <f>AVERAGEIF(Table1[CountryCode],Table1[[#This Row],[CountryCode]],Table1[z-score])</f>
        <v>-0.19691915896687051</v>
      </c>
      <c r="L6699" t="e">
        <f>VLOOKUP(Table1[[#This Row],[CountryCode]],[1]!Table1[#All],1,FALSE)</f>
        <v>#REF!</v>
      </c>
    </row>
    <row r="6700" spans="1:12" hidden="1" x14ac:dyDescent="0.3">
      <c r="A6700" t="s">
        <v>97</v>
      </c>
      <c r="B6700" t="s">
        <v>98</v>
      </c>
      <c r="C6700" t="s">
        <v>127</v>
      </c>
      <c r="D6700" t="s">
        <v>128</v>
      </c>
      <c r="E6700">
        <v>2023</v>
      </c>
      <c r="F6700" s="1">
        <v>22417</v>
      </c>
      <c r="G6700">
        <v>1990</v>
      </c>
      <c r="H6700">
        <f>AVERAGEIFS(Table1[value],Table1[IndicatorCode],Table1[[#This Row],[IndicatorCode]])</f>
        <v>24902.88753799392</v>
      </c>
      <c r="I6700" cm="1">
        <f t="array" ref="I6700">_xlfn.STDEV.P(IF(Table1[IndicatorCode]=Table1[[#This Row],[IndicatorCode]],Table1[value]))</f>
        <v>26324.778297809873</v>
      </c>
      <c r="J6700">
        <f>(Table1[[#This Row],[value]] - Table1[[#This Row],[mean]]) / Table1[[#This Row],[std_dev]]</f>
        <v>-9.4431470984153998E-2</v>
      </c>
      <c r="K6700">
        <f>AVERAGEIF(Table1[CountryCode],Table1[[#This Row],[CountryCode]],Table1[z-score])</f>
        <v>-0.19691915896687051</v>
      </c>
      <c r="L6700" t="e">
        <f>VLOOKUP(Table1[[#This Row],[CountryCode]],[1]!Table1[#All],1,FALSE)</f>
        <v>#REF!</v>
      </c>
    </row>
    <row r="6701" spans="1:12" hidden="1" x14ac:dyDescent="0.3">
      <c r="A6701" t="s">
        <v>97</v>
      </c>
      <c r="B6701" t="s">
        <v>98</v>
      </c>
      <c r="C6701" t="s">
        <v>127</v>
      </c>
      <c r="D6701" t="s">
        <v>128</v>
      </c>
      <c r="E6701">
        <v>2024</v>
      </c>
      <c r="F6701" s="1">
        <v>22647</v>
      </c>
      <c r="G6701">
        <v>1990</v>
      </c>
      <c r="H6701">
        <f>AVERAGEIFS(Table1[value],Table1[IndicatorCode],Table1[[#This Row],[IndicatorCode]])</f>
        <v>24902.88753799392</v>
      </c>
      <c r="I6701" cm="1">
        <f t="array" ref="I6701">_xlfn.STDEV.P(IF(Table1[IndicatorCode]=Table1[[#This Row],[IndicatorCode]],Table1[value]))</f>
        <v>26324.778297809873</v>
      </c>
      <c r="J6701">
        <f>(Table1[[#This Row],[value]] - Table1[[#This Row],[mean]]) / Table1[[#This Row],[std_dev]]</f>
        <v>-8.5694455333042693E-2</v>
      </c>
      <c r="K6701">
        <f>AVERAGEIF(Table1[CountryCode],Table1[[#This Row],[CountryCode]],Table1[z-score])</f>
        <v>-0.19691915896687051</v>
      </c>
      <c r="L6701" t="e">
        <f>VLOOKUP(Table1[[#This Row],[CountryCode]],[1]!Table1[#All],1,FALSE)</f>
        <v>#REF!</v>
      </c>
    </row>
    <row r="6702" spans="1:12" hidden="1" x14ac:dyDescent="0.3">
      <c r="A6702" t="s">
        <v>99</v>
      </c>
      <c r="B6702" t="s">
        <v>100</v>
      </c>
      <c r="C6702" t="s">
        <v>127</v>
      </c>
      <c r="D6702" t="s">
        <v>128</v>
      </c>
      <c r="E6702">
        <v>1990</v>
      </c>
      <c r="F6702" s="1">
        <v>5019</v>
      </c>
      <c r="G6702">
        <v>1990</v>
      </c>
      <c r="H6702">
        <f>AVERAGEIFS(Table1[value],Table1[IndicatorCode],Table1[[#This Row],[IndicatorCode]])</f>
        <v>24902.88753799392</v>
      </c>
      <c r="I6702" cm="1">
        <f t="array" ref="I6702">_xlfn.STDEV.P(IF(Table1[IndicatorCode]=Table1[[#This Row],[IndicatorCode]],Table1[value]))</f>
        <v>26324.778297809873</v>
      </c>
      <c r="J6702">
        <f>(Table1[[#This Row],[value]] - Table1[[#This Row],[mean]]) / Table1[[#This Row],[std_dev]]</f>
        <v>-0.75532972445386892</v>
      </c>
      <c r="K6702">
        <f>AVERAGEIF(Table1[CountryCode],Table1[[#This Row],[CountryCode]],Table1[z-score])</f>
        <v>-0.56629310735046812</v>
      </c>
      <c r="L6702" t="e">
        <f>VLOOKUP(Table1[[#This Row],[CountryCode]],[1]!Table1[#All],1,FALSE)</f>
        <v>#REF!</v>
      </c>
    </row>
    <row r="6703" spans="1:12" hidden="1" x14ac:dyDescent="0.3">
      <c r="A6703" t="s">
        <v>99</v>
      </c>
      <c r="B6703" t="s">
        <v>100</v>
      </c>
      <c r="C6703" t="s">
        <v>127</v>
      </c>
      <c r="D6703" t="s">
        <v>128</v>
      </c>
      <c r="E6703">
        <v>1991</v>
      </c>
      <c r="F6703" s="1">
        <v>4409</v>
      </c>
      <c r="G6703">
        <v>1990</v>
      </c>
      <c r="H6703">
        <f>AVERAGEIFS(Table1[value],Table1[IndicatorCode],Table1[[#This Row],[IndicatorCode]])</f>
        <v>24902.88753799392</v>
      </c>
      <c r="I6703" cm="1">
        <f t="array" ref="I6703">_xlfn.STDEV.P(IF(Table1[IndicatorCode]=Table1[[#This Row],[IndicatorCode]],Table1[value]))</f>
        <v>26324.778297809873</v>
      </c>
      <c r="J6703">
        <f>(Table1[[#This Row],[value]] - Table1[[#This Row],[mean]]) / Table1[[#This Row],[std_dev]]</f>
        <v>-0.77850180944159886</v>
      </c>
      <c r="K6703">
        <f>AVERAGEIF(Table1[CountryCode],Table1[[#This Row],[CountryCode]],Table1[z-score])</f>
        <v>-0.56629310735046812</v>
      </c>
      <c r="L6703" t="e">
        <f>VLOOKUP(Table1[[#This Row],[CountryCode]],[1]!Table1[#All],1,FALSE)</f>
        <v>#REF!</v>
      </c>
    </row>
    <row r="6704" spans="1:12" hidden="1" x14ac:dyDescent="0.3">
      <c r="A6704" t="s">
        <v>99</v>
      </c>
      <c r="B6704" t="s">
        <v>100</v>
      </c>
      <c r="C6704" t="s">
        <v>127</v>
      </c>
      <c r="D6704" t="s">
        <v>128</v>
      </c>
      <c r="E6704">
        <v>1992</v>
      </c>
      <c r="F6704" s="1">
        <v>4059</v>
      </c>
      <c r="G6704">
        <v>1990</v>
      </c>
      <c r="H6704">
        <f>AVERAGEIFS(Table1[value],Table1[IndicatorCode],Table1[[#This Row],[IndicatorCode]])</f>
        <v>24902.88753799392</v>
      </c>
      <c r="I6704" cm="1">
        <f t="array" ref="I6704">_xlfn.STDEV.P(IF(Table1[IndicatorCode]=Table1[[#This Row],[IndicatorCode]],Table1[value]))</f>
        <v>26324.778297809873</v>
      </c>
      <c r="J6704">
        <f>(Table1[[#This Row],[value]] - Table1[[#This Row],[mean]]) / Table1[[#This Row],[std_dev]]</f>
        <v>-0.79179726804111605</v>
      </c>
      <c r="K6704">
        <f>AVERAGEIF(Table1[CountryCode],Table1[[#This Row],[CountryCode]],Table1[z-score])</f>
        <v>-0.56629310735046812</v>
      </c>
      <c r="L6704" t="e">
        <f>VLOOKUP(Table1[[#This Row],[CountryCode]],[1]!Table1[#All],1,FALSE)</f>
        <v>#REF!</v>
      </c>
    </row>
    <row r="6705" spans="1:12" hidden="1" x14ac:dyDescent="0.3">
      <c r="A6705" t="s">
        <v>99</v>
      </c>
      <c r="B6705" t="s">
        <v>100</v>
      </c>
      <c r="C6705" t="s">
        <v>127</v>
      </c>
      <c r="D6705" t="s">
        <v>128</v>
      </c>
      <c r="E6705">
        <v>1993</v>
      </c>
      <c r="F6705" s="1">
        <v>4127</v>
      </c>
      <c r="G6705">
        <v>1990</v>
      </c>
      <c r="H6705">
        <f>AVERAGEIFS(Table1[value],Table1[IndicatorCode],Table1[[#This Row],[IndicatorCode]])</f>
        <v>24902.88753799392</v>
      </c>
      <c r="I6705" cm="1">
        <f t="array" ref="I6705">_xlfn.STDEV.P(IF(Table1[IndicatorCode]=Table1[[#This Row],[IndicatorCode]],Table1[value]))</f>
        <v>26324.778297809873</v>
      </c>
      <c r="J6705">
        <f>(Table1[[#This Row],[value]] - Table1[[#This Row],[mean]]) / Table1[[#This Row],[std_dev]]</f>
        <v>-0.78921415037035281</v>
      </c>
      <c r="K6705">
        <f>AVERAGEIF(Table1[CountryCode],Table1[[#This Row],[CountryCode]],Table1[z-score])</f>
        <v>-0.56629310735046812</v>
      </c>
      <c r="L6705" t="e">
        <f>VLOOKUP(Table1[[#This Row],[CountryCode]],[1]!Table1[#All],1,FALSE)</f>
        <v>#REF!</v>
      </c>
    </row>
    <row r="6706" spans="1:12" hidden="1" x14ac:dyDescent="0.3">
      <c r="A6706" t="s">
        <v>99</v>
      </c>
      <c r="B6706" t="s">
        <v>100</v>
      </c>
      <c r="C6706" t="s">
        <v>127</v>
      </c>
      <c r="D6706" t="s">
        <v>128</v>
      </c>
      <c r="E6706">
        <v>1994</v>
      </c>
      <c r="F6706" s="1">
        <v>4295</v>
      </c>
      <c r="G6706">
        <v>1990</v>
      </c>
      <c r="H6706">
        <f>AVERAGEIFS(Table1[value],Table1[IndicatorCode],Table1[[#This Row],[IndicatorCode]])</f>
        <v>24902.88753799392</v>
      </c>
      <c r="I6706" cm="1">
        <f t="array" ref="I6706">_xlfn.STDEV.P(IF(Table1[IndicatorCode]=Table1[[#This Row],[IndicatorCode]],Table1[value]))</f>
        <v>26324.778297809873</v>
      </c>
      <c r="J6706">
        <f>(Table1[[#This Row],[value]] - Table1[[#This Row],[mean]]) / Table1[[#This Row],[std_dev]]</f>
        <v>-0.78283233024258447</v>
      </c>
      <c r="K6706">
        <f>AVERAGEIF(Table1[CountryCode],Table1[[#This Row],[CountryCode]],Table1[z-score])</f>
        <v>-0.56629310735046812</v>
      </c>
      <c r="L6706" t="e">
        <f>VLOOKUP(Table1[[#This Row],[CountryCode]],[1]!Table1[#All],1,FALSE)</f>
        <v>#REF!</v>
      </c>
    </row>
    <row r="6707" spans="1:12" hidden="1" x14ac:dyDescent="0.3">
      <c r="A6707" t="s">
        <v>99</v>
      </c>
      <c r="B6707" t="s">
        <v>100</v>
      </c>
      <c r="C6707" t="s">
        <v>127</v>
      </c>
      <c r="D6707" t="s">
        <v>128</v>
      </c>
      <c r="E6707">
        <v>1995</v>
      </c>
      <c r="F6707" s="1">
        <v>4572</v>
      </c>
      <c r="G6707">
        <v>1990</v>
      </c>
      <c r="H6707">
        <f>AVERAGEIFS(Table1[value],Table1[IndicatorCode],Table1[[#This Row],[IndicatorCode]])</f>
        <v>24902.88753799392</v>
      </c>
      <c r="I6707" cm="1">
        <f t="array" ref="I6707">_xlfn.STDEV.P(IF(Table1[IndicatorCode]=Table1[[#This Row],[IndicatorCode]],Table1[value]))</f>
        <v>26324.778297809873</v>
      </c>
      <c r="J6707">
        <f>(Table1[[#This Row],[value]] - Table1[[#This Row],[mean]]) / Table1[[#This Row],[std_dev]]</f>
        <v>-0.77230992443668089</v>
      </c>
      <c r="K6707">
        <f>AVERAGEIF(Table1[CountryCode],Table1[[#This Row],[CountryCode]],Table1[z-score])</f>
        <v>-0.56629310735046812</v>
      </c>
      <c r="L6707" t="e">
        <f>VLOOKUP(Table1[[#This Row],[CountryCode]],[1]!Table1[#All],1,FALSE)</f>
        <v>#REF!</v>
      </c>
    </row>
    <row r="6708" spans="1:12" hidden="1" x14ac:dyDescent="0.3">
      <c r="A6708" t="s">
        <v>99</v>
      </c>
      <c r="B6708" t="s">
        <v>100</v>
      </c>
      <c r="C6708" t="s">
        <v>127</v>
      </c>
      <c r="D6708" t="s">
        <v>128</v>
      </c>
      <c r="E6708">
        <v>1996</v>
      </c>
      <c r="F6708" s="1">
        <v>4765</v>
      </c>
      <c r="G6708">
        <v>1990</v>
      </c>
      <c r="H6708">
        <f>AVERAGEIFS(Table1[value],Table1[IndicatorCode],Table1[[#This Row],[IndicatorCode]])</f>
        <v>24902.88753799392</v>
      </c>
      <c r="I6708" cm="1">
        <f t="array" ref="I6708">_xlfn.STDEV.P(IF(Table1[IndicatorCode]=Table1[[#This Row],[IndicatorCode]],Table1[value]))</f>
        <v>26324.778297809873</v>
      </c>
      <c r="J6708">
        <f>(Table1[[#This Row],[value]] - Table1[[#This Row],[mean]]) / Table1[[#This Row],[std_dev]]</f>
        <v>-0.76497842869466137</v>
      </c>
      <c r="K6708">
        <f>AVERAGEIF(Table1[CountryCode],Table1[[#This Row],[CountryCode]],Table1[z-score])</f>
        <v>-0.56629310735046812</v>
      </c>
      <c r="L6708" t="e">
        <f>VLOOKUP(Table1[[#This Row],[CountryCode]],[1]!Table1[#All],1,FALSE)</f>
        <v>#REF!</v>
      </c>
    </row>
    <row r="6709" spans="1:12" hidden="1" x14ac:dyDescent="0.3">
      <c r="A6709" t="s">
        <v>99</v>
      </c>
      <c r="B6709" t="s">
        <v>100</v>
      </c>
      <c r="C6709" t="s">
        <v>127</v>
      </c>
      <c r="D6709" t="s">
        <v>128</v>
      </c>
      <c r="E6709">
        <v>1997</v>
      </c>
      <c r="F6709" s="1">
        <v>4547</v>
      </c>
      <c r="G6709">
        <v>2000</v>
      </c>
      <c r="H6709">
        <f>AVERAGEIFS(Table1[value],Table1[IndicatorCode],Table1[[#This Row],[IndicatorCode]])</f>
        <v>24902.88753799392</v>
      </c>
      <c r="I6709" cm="1">
        <f t="array" ref="I6709">_xlfn.STDEV.P(IF(Table1[IndicatorCode]=Table1[[#This Row],[IndicatorCode]],Table1[value]))</f>
        <v>26324.778297809873</v>
      </c>
      <c r="J6709">
        <f>(Table1[[#This Row],[value]] - Table1[[#This Row],[mean]]) / Table1[[#This Row],[std_dev]]</f>
        <v>-0.77325960005093208</v>
      </c>
      <c r="K6709">
        <f>AVERAGEIF(Table1[CountryCode],Table1[[#This Row],[CountryCode]],Table1[z-score])</f>
        <v>-0.56629310735046812</v>
      </c>
      <c r="L6709" t="e">
        <f>VLOOKUP(Table1[[#This Row],[CountryCode]],[1]!Table1[#All],1,FALSE)</f>
        <v>#REF!</v>
      </c>
    </row>
    <row r="6710" spans="1:12" hidden="1" x14ac:dyDescent="0.3">
      <c r="A6710" t="s">
        <v>99</v>
      </c>
      <c r="B6710" t="s">
        <v>100</v>
      </c>
      <c r="C6710" t="s">
        <v>127</v>
      </c>
      <c r="D6710" t="s">
        <v>128</v>
      </c>
      <c r="E6710">
        <v>1998</v>
      </c>
      <c r="F6710" s="1">
        <v>4464</v>
      </c>
      <c r="G6710">
        <v>2000</v>
      </c>
      <c r="H6710">
        <f>AVERAGEIFS(Table1[value],Table1[IndicatorCode],Table1[[#This Row],[IndicatorCode]])</f>
        <v>24902.88753799392</v>
      </c>
      <c r="I6710" cm="1">
        <f t="array" ref="I6710">_xlfn.STDEV.P(IF(Table1[IndicatorCode]=Table1[[#This Row],[IndicatorCode]],Table1[value]))</f>
        <v>26324.778297809873</v>
      </c>
      <c r="J6710">
        <f>(Table1[[#This Row],[value]] - Table1[[#This Row],[mean]]) / Table1[[#This Row],[std_dev]]</f>
        <v>-0.77641252309024622</v>
      </c>
      <c r="K6710">
        <f>AVERAGEIF(Table1[CountryCode],Table1[[#This Row],[CountryCode]],Table1[z-score])</f>
        <v>-0.56629310735046812</v>
      </c>
      <c r="L6710" t="e">
        <f>VLOOKUP(Table1[[#This Row],[CountryCode]],[1]!Table1[#All],1,FALSE)</f>
        <v>#REF!</v>
      </c>
    </row>
    <row r="6711" spans="1:12" hidden="1" x14ac:dyDescent="0.3">
      <c r="A6711" t="s">
        <v>99</v>
      </c>
      <c r="B6711" t="s">
        <v>100</v>
      </c>
      <c r="C6711" t="s">
        <v>127</v>
      </c>
      <c r="D6711" t="s">
        <v>128</v>
      </c>
      <c r="E6711">
        <v>1999</v>
      </c>
      <c r="F6711" s="1">
        <v>4454</v>
      </c>
      <c r="G6711">
        <v>2000</v>
      </c>
      <c r="H6711">
        <f>AVERAGEIFS(Table1[value],Table1[IndicatorCode],Table1[[#This Row],[IndicatorCode]])</f>
        <v>24902.88753799392</v>
      </c>
      <c r="I6711" cm="1">
        <f t="array" ref="I6711">_xlfn.STDEV.P(IF(Table1[IndicatorCode]=Table1[[#This Row],[IndicatorCode]],Table1[value]))</f>
        <v>26324.778297809873</v>
      </c>
      <c r="J6711">
        <f>(Table1[[#This Row],[value]] - Table1[[#This Row],[mean]]) / Table1[[#This Row],[std_dev]]</f>
        <v>-0.77679239333594674</v>
      </c>
      <c r="K6711">
        <f>AVERAGEIF(Table1[CountryCode],Table1[[#This Row],[CountryCode]],Table1[z-score])</f>
        <v>-0.56629310735046812</v>
      </c>
      <c r="L6711" t="e">
        <f>VLOOKUP(Table1[[#This Row],[CountryCode]],[1]!Table1[#All],1,FALSE)</f>
        <v>#REF!</v>
      </c>
    </row>
    <row r="6712" spans="1:12" hidden="1" x14ac:dyDescent="0.3">
      <c r="A6712" t="s">
        <v>99</v>
      </c>
      <c r="B6712" t="s">
        <v>100</v>
      </c>
      <c r="C6712" t="s">
        <v>127</v>
      </c>
      <c r="D6712" t="s">
        <v>128</v>
      </c>
      <c r="E6712">
        <v>2000</v>
      </c>
      <c r="F6712" s="1">
        <v>4569</v>
      </c>
      <c r="G6712">
        <v>2000</v>
      </c>
      <c r="H6712">
        <f>AVERAGEIFS(Table1[value],Table1[IndicatorCode],Table1[[#This Row],[IndicatorCode]])</f>
        <v>24902.88753799392</v>
      </c>
      <c r="I6712" cm="1">
        <f t="array" ref="I6712">_xlfn.STDEV.P(IF(Table1[IndicatorCode]=Table1[[#This Row],[IndicatorCode]],Table1[value]))</f>
        <v>26324.778297809873</v>
      </c>
      <c r="J6712">
        <f>(Table1[[#This Row],[value]] - Table1[[#This Row],[mean]]) / Table1[[#This Row],[std_dev]]</f>
        <v>-0.77242388551039098</v>
      </c>
      <c r="K6712">
        <f>AVERAGEIF(Table1[CountryCode],Table1[[#This Row],[CountryCode]],Table1[z-score])</f>
        <v>-0.56629310735046812</v>
      </c>
      <c r="L6712" t="e">
        <f>VLOOKUP(Table1[[#This Row],[CountryCode]],[1]!Table1[#All],1,FALSE)</f>
        <v>#REF!</v>
      </c>
    </row>
    <row r="6713" spans="1:12" hidden="1" x14ac:dyDescent="0.3">
      <c r="A6713" t="s">
        <v>99</v>
      </c>
      <c r="B6713" t="s">
        <v>100</v>
      </c>
      <c r="C6713" t="s">
        <v>127</v>
      </c>
      <c r="D6713" t="s">
        <v>128</v>
      </c>
      <c r="E6713">
        <v>2001</v>
      </c>
      <c r="F6713" s="1">
        <v>4875</v>
      </c>
      <c r="G6713">
        <v>2000</v>
      </c>
      <c r="H6713">
        <f>AVERAGEIFS(Table1[value],Table1[IndicatorCode],Table1[[#This Row],[IndicatorCode]])</f>
        <v>24902.88753799392</v>
      </c>
      <c r="I6713" cm="1">
        <f t="array" ref="I6713">_xlfn.STDEV.P(IF(Table1[IndicatorCode]=Table1[[#This Row],[IndicatorCode]],Table1[value]))</f>
        <v>26324.778297809873</v>
      </c>
      <c r="J6713">
        <f>(Table1[[#This Row],[value]] - Table1[[#This Row],[mean]]) / Table1[[#This Row],[std_dev]]</f>
        <v>-0.76079985599195599</v>
      </c>
      <c r="K6713">
        <f>AVERAGEIF(Table1[CountryCode],Table1[[#This Row],[CountryCode]],Table1[z-score])</f>
        <v>-0.56629310735046812</v>
      </c>
      <c r="L6713" t="e">
        <f>VLOOKUP(Table1[[#This Row],[CountryCode]],[1]!Table1[#All],1,FALSE)</f>
        <v>#REF!</v>
      </c>
    </row>
    <row r="6714" spans="1:12" hidden="1" x14ac:dyDescent="0.3">
      <c r="A6714" t="s">
        <v>99</v>
      </c>
      <c r="B6714" t="s">
        <v>100</v>
      </c>
      <c r="C6714" t="s">
        <v>127</v>
      </c>
      <c r="D6714" t="s">
        <v>128</v>
      </c>
      <c r="E6714">
        <v>2002</v>
      </c>
      <c r="F6714" s="1">
        <v>5249</v>
      </c>
      <c r="G6714">
        <v>2000</v>
      </c>
      <c r="H6714">
        <f>AVERAGEIFS(Table1[value],Table1[IndicatorCode],Table1[[#This Row],[IndicatorCode]])</f>
        <v>24902.88753799392</v>
      </c>
      <c r="I6714" cm="1">
        <f t="array" ref="I6714">_xlfn.STDEV.P(IF(Table1[IndicatorCode]=Table1[[#This Row],[IndicatorCode]],Table1[value]))</f>
        <v>26324.778297809873</v>
      </c>
      <c r="J6714">
        <f>(Table1[[#This Row],[value]] - Table1[[#This Row],[mean]]) / Table1[[#This Row],[std_dev]]</f>
        <v>-0.74659270880275763</v>
      </c>
      <c r="K6714">
        <f>AVERAGEIF(Table1[CountryCode],Table1[[#This Row],[CountryCode]],Table1[z-score])</f>
        <v>-0.56629310735046812</v>
      </c>
      <c r="L6714" t="e">
        <f>VLOOKUP(Table1[[#This Row],[CountryCode]],[1]!Table1[#All],1,FALSE)</f>
        <v>#REF!</v>
      </c>
    </row>
    <row r="6715" spans="1:12" hidden="1" x14ac:dyDescent="0.3">
      <c r="A6715" t="s">
        <v>99</v>
      </c>
      <c r="B6715" t="s">
        <v>100</v>
      </c>
      <c r="C6715" t="s">
        <v>127</v>
      </c>
      <c r="D6715" t="s">
        <v>128</v>
      </c>
      <c r="E6715">
        <v>2003</v>
      </c>
      <c r="F6715" s="1">
        <v>5410</v>
      </c>
      <c r="G6715">
        <v>2000</v>
      </c>
      <c r="H6715">
        <f>AVERAGEIFS(Table1[value],Table1[IndicatorCode],Table1[[#This Row],[IndicatorCode]])</f>
        <v>24902.88753799392</v>
      </c>
      <c r="I6715" cm="1">
        <f t="array" ref="I6715">_xlfn.STDEV.P(IF(Table1[IndicatorCode]=Table1[[#This Row],[IndicatorCode]],Table1[value]))</f>
        <v>26324.778297809873</v>
      </c>
      <c r="J6715">
        <f>(Table1[[#This Row],[value]] - Table1[[#This Row],[mean]]) / Table1[[#This Row],[std_dev]]</f>
        <v>-0.74047679784697973</v>
      </c>
      <c r="K6715">
        <f>AVERAGEIF(Table1[CountryCode],Table1[[#This Row],[CountryCode]],Table1[z-score])</f>
        <v>-0.56629310735046812</v>
      </c>
      <c r="L6715" t="e">
        <f>VLOOKUP(Table1[[#This Row],[CountryCode]],[1]!Table1[#All],1,FALSE)</f>
        <v>#REF!</v>
      </c>
    </row>
    <row r="6716" spans="1:12" hidden="1" x14ac:dyDescent="0.3">
      <c r="A6716" t="s">
        <v>99</v>
      </c>
      <c r="B6716" t="s">
        <v>100</v>
      </c>
      <c r="C6716" t="s">
        <v>127</v>
      </c>
      <c r="D6716" t="s">
        <v>128</v>
      </c>
      <c r="E6716">
        <v>2004</v>
      </c>
      <c r="F6716" s="1">
        <v>6009</v>
      </c>
      <c r="G6716">
        <v>2000</v>
      </c>
      <c r="H6716">
        <f>AVERAGEIFS(Table1[value],Table1[IndicatorCode],Table1[[#This Row],[IndicatorCode]])</f>
        <v>24902.88753799392</v>
      </c>
      <c r="I6716" cm="1">
        <f t="array" ref="I6716">_xlfn.STDEV.P(IF(Table1[IndicatorCode]=Table1[[#This Row],[IndicatorCode]],Table1[value]))</f>
        <v>26324.778297809873</v>
      </c>
      <c r="J6716">
        <f>(Table1[[#This Row],[value]] - Table1[[#This Row],[mean]]) / Table1[[#This Row],[std_dev]]</f>
        <v>-0.71772257012952023</v>
      </c>
      <c r="K6716">
        <f>AVERAGEIF(Table1[CountryCode],Table1[[#This Row],[CountryCode]],Table1[z-score])</f>
        <v>-0.56629310735046812</v>
      </c>
      <c r="L6716" t="e">
        <f>VLOOKUP(Table1[[#This Row],[CountryCode]],[1]!Table1[#All],1,FALSE)</f>
        <v>#REF!</v>
      </c>
    </row>
    <row r="6717" spans="1:12" hidden="1" x14ac:dyDescent="0.3">
      <c r="A6717" t="s">
        <v>99</v>
      </c>
      <c r="B6717" t="s">
        <v>100</v>
      </c>
      <c r="C6717" t="s">
        <v>127</v>
      </c>
      <c r="D6717" t="s">
        <v>128</v>
      </c>
      <c r="E6717">
        <v>2005</v>
      </c>
      <c r="F6717" s="1">
        <v>6328</v>
      </c>
      <c r="G6717">
        <v>2000</v>
      </c>
      <c r="H6717">
        <f>AVERAGEIFS(Table1[value],Table1[IndicatorCode],Table1[[#This Row],[IndicatorCode]])</f>
        <v>24902.88753799392</v>
      </c>
      <c r="I6717" cm="1">
        <f t="array" ref="I6717">_xlfn.STDEV.P(IF(Table1[IndicatorCode]=Table1[[#This Row],[IndicatorCode]],Table1[value]))</f>
        <v>26324.778297809873</v>
      </c>
      <c r="J6717">
        <f>(Table1[[#This Row],[value]] - Table1[[#This Row],[mean]]) / Table1[[#This Row],[std_dev]]</f>
        <v>-0.70560470929167463</v>
      </c>
      <c r="K6717">
        <f>AVERAGEIF(Table1[CountryCode],Table1[[#This Row],[CountryCode]],Table1[z-score])</f>
        <v>-0.56629310735046812</v>
      </c>
      <c r="L6717" t="e">
        <f>VLOOKUP(Table1[[#This Row],[CountryCode]],[1]!Table1[#All],1,FALSE)</f>
        <v>#REF!</v>
      </c>
    </row>
    <row r="6718" spans="1:12" hidden="1" x14ac:dyDescent="0.3">
      <c r="A6718" t="s">
        <v>99</v>
      </c>
      <c r="B6718" t="s">
        <v>100</v>
      </c>
      <c r="C6718" t="s">
        <v>127</v>
      </c>
      <c r="D6718" t="s">
        <v>128</v>
      </c>
      <c r="E6718">
        <v>2006</v>
      </c>
      <c r="F6718" s="1">
        <v>6877</v>
      </c>
      <c r="G6718">
        <v>2000</v>
      </c>
      <c r="H6718">
        <f>AVERAGEIFS(Table1[value],Table1[IndicatorCode],Table1[[#This Row],[IndicatorCode]])</f>
        <v>24902.88753799392</v>
      </c>
      <c r="I6718" cm="1">
        <f t="array" ref="I6718">_xlfn.STDEV.P(IF(Table1[IndicatorCode]=Table1[[#This Row],[IndicatorCode]],Table1[value]))</f>
        <v>26324.778297809873</v>
      </c>
      <c r="J6718">
        <f>(Table1[[#This Row],[value]] - Table1[[#This Row],[mean]]) / Table1[[#This Row],[std_dev]]</f>
        <v>-0.68474983280271762</v>
      </c>
      <c r="K6718">
        <f>AVERAGEIF(Table1[CountryCode],Table1[[#This Row],[CountryCode]],Table1[z-score])</f>
        <v>-0.56629310735046812</v>
      </c>
      <c r="L6718" t="e">
        <f>VLOOKUP(Table1[[#This Row],[CountryCode]],[1]!Table1[#All],1,FALSE)</f>
        <v>#REF!</v>
      </c>
    </row>
    <row r="6719" spans="1:12" hidden="1" x14ac:dyDescent="0.3">
      <c r="A6719" t="s">
        <v>99</v>
      </c>
      <c r="B6719" t="s">
        <v>100</v>
      </c>
      <c r="C6719" t="s">
        <v>127</v>
      </c>
      <c r="D6719" t="s">
        <v>128</v>
      </c>
      <c r="E6719">
        <v>2007</v>
      </c>
      <c r="F6719" s="1">
        <v>7484</v>
      </c>
      <c r="G6719">
        <v>2010</v>
      </c>
      <c r="H6719">
        <f>AVERAGEIFS(Table1[value],Table1[IndicatorCode],Table1[[#This Row],[IndicatorCode]])</f>
        <v>24902.88753799392</v>
      </c>
      <c r="I6719" cm="1">
        <f t="array" ref="I6719">_xlfn.STDEV.P(IF(Table1[IndicatorCode]=Table1[[#This Row],[IndicatorCode]],Table1[value]))</f>
        <v>26324.778297809873</v>
      </c>
      <c r="J6719">
        <f>(Table1[[#This Row],[value]] - Table1[[#This Row],[mean]]) / Table1[[#This Row],[std_dev]]</f>
        <v>-0.66169170888869777</v>
      </c>
      <c r="K6719">
        <f>AVERAGEIF(Table1[CountryCode],Table1[[#This Row],[CountryCode]],Table1[z-score])</f>
        <v>-0.56629310735046812</v>
      </c>
      <c r="L6719" t="e">
        <f>VLOOKUP(Table1[[#This Row],[CountryCode]],[1]!Table1[#All],1,FALSE)</f>
        <v>#REF!</v>
      </c>
    </row>
    <row r="6720" spans="1:12" hidden="1" x14ac:dyDescent="0.3">
      <c r="A6720" t="s">
        <v>99</v>
      </c>
      <c r="B6720" t="s">
        <v>100</v>
      </c>
      <c r="C6720" t="s">
        <v>127</v>
      </c>
      <c r="D6720" t="s">
        <v>128</v>
      </c>
      <c r="E6720">
        <v>2008</v>
      </c>
      <c r="F6720" s="1">
        <v>8318</v>
      </c>
      <c r="G6720">
        <v>2010</v>
      </c>
      <c r="H6720">
        <f>AVERAGEIFS(Table1[value],Table1[IndicatorCode],Table1[[#This Row],[IndicatorCode]])</f>
        <v>24902.88753799392</v>
      </c>
      <c r="I6720" cm="1">
        <f t="array" ref="I6720">_xlfn.STDEV.P(IF(Table1[IndicatorCode]=Table1[[#This Row],[IndicatorCode]],Table1[value]))</f>
        <v>26324.778297809873</v>
      </c>
      <c r="J6720">
        <f>(Table1[[#This Row],[value]] - Table1[[#This Row],[mean]]) / Table1[[#This Row],[std_dev]]</f>
        <v>-0.63001053039727684</v>
      </c>
      <c r="K6720">
        <f>AVERAGEIF(Table1[CountryCode],Table1[[#This Row],[CountryCode]],Table1[z-score])</f>
        <v>-0.56629310735046812</v>
      </c>
      <c r="L6720" t="e">
        <f>VLOOKUP(Table1[[#This Row],[CountryCode]],[1]!Table1[#All],1,FALSE)</f>
        <v>#REF!</v>
      </c>
    </row>
    <row r="6721" spans="1:12" hidden="1" x14ac:dyDescent="0.3">
      <c r="A6721" t="s">
        <v>99</v>
      </c>
      <c r="B6721" t="s">
        <v>100</v>
      </c>
      <c r="C6721" t="s">
        <v>127</v>
      </c>
      <c r="D6721" t="s">
        <v>128</v>
      </c>
      <c r="E6721">
        <v>2009</v>
      </c>
      <c r="F6721" s="1">
        <v>7925</v>
      </c>
      <c r="G6721">
        <v>2010</v>
      </c>
      <c r="H6721">
        <f>AVERAGEIFS(Table1[value],Table1[IndicatorCode],Table1[[#This Row],[IndicatorCode]])</f>
        <v>24902.88753799392</v>
      </c>
      <c r="I6721" cm="1">
        <f t="array" ref="I6721">_xlfn.STDEV.P(IF(Table1[IndicatorCode]=Table1[[#This Row],[IndicatorCode]],Table1[value]))</f>
        <v>26324.778297809873</v>
      </c>
      <c r="J6721">
        <f>(Table1[[#This Row],[value]] - Table1[[#This Row],[mean]]) / Table1[[#This Row],[std_dev]]</f>
        <v>-0.64493943105330609</v>
      </c>
      <c r="K6721">
        <f>AVERAGEIF(Table1[CountryCode],Table1[[#This Row],[CountryCode]],Table1[z-score])</f>
        <v>-0.56629310735046812</v>
      </c>
      <c r="L6721" t="e">
        <f>VLOOKUP(Table1[[#This Row],[CountryCode]],[1]!Table1[#All],1,FALSE)</f>
        <v>#REF!</v>
      </c>
    </row>
    <row r="6722" spans="1:12" hidden="1" x14ac:dyDescent="0.3">
      <c r="A6722" t="s">
        <v>99</v>
      </c>
      <c r="B6722" t="s">
        <v>100</v>
      </c>
      <c r="C6722" t="s">
        <v>127</v>
      </c>
      <c r="D6722" t="s">
        <v>128</v>
      </c>
      <c r="E6722">
        <v>2010</v>
      </c>
      <c r="F6722" s="1">
        <v>7661</v>
      </c>
      <c r="G6722">
        <v>2010</v>
      </c>
      <c r="H6722">
        <f>AVERAGEIFS(Table1[value],Table1[IndicatorCode],Table1[[#This Row],[IndicatorCode]])</f>
        <v>24902.88753799392</v>
      </c>
      <c r="I6722" cm="1">
        <f t="array" ref="I6722">_xlfn.STDEV.P(IF(Table1[IndicatorCode]=Table1[[#This Row],[IndicatorCode]],Table1[value]))</f>
        <v>26324.778297809873</v>
      </c>
      <c r="J6722">
        <f>(Table1[[#This Row],[value]] - Table1[[#This Row],[mean]]) / Table1[[#This Row],[std_dev]]</f>
        <v>-0.65496800553979906</v>
      </c>
      <c r="K6722">
        <f>AVERAGEIF(Table1[CountryCode],Table1[[#This Row],[CountryCode]],Table1[z-score])</f>
        <v>-0.56629310735046812</v>
      </c>
      <c r="L6722" t="e">
        <f>VLOOKUP(Table1[[#This Row],[CountryCode]],[1]!Table1[#All],1,FALSE)</f>
        <v>#REF!</v>
      </c>
    </row>
    <row r="6723" spans="1:12" hidden="1" x14ac:dyDescent="0.3">
      <c r="A6723" t="s">
        <v>99</v>
      </c>
      <c r="B6723" t="s">
        <v>100</v>
      </c>
      <c r="C6723" t="s">
        <v>127</v>
      </c>
      <c r="D6723" t="s">
        <v>128</v>
      </c>
      <c r="E6723">
        <v>2011</v>
      </c>
      <c r="F6723" s="1">
        <v>8045</v>
      </c>
      <c r="G6723">
        <v>2010</v>
      </c>
      <c r="H6723">
        <f>AVERAGEIFS(Table1[value],Table1[IndicatorCode],Table1[[#This Row],[IndicatorCode]])</f>
        <v>24902.88753799392</v>
      </c>
      <c r="I6723" cm="1">
        <f t="array" ref="I6723">_xlfn.STDEV.P(IF(Table1[IndicatorCode]=Table1[[#This Row],[IndicatorCode]],Table1[value]))</f>
        <v>26324.778297809873</v>
      </c>
      <c r="J6723">
        <f>(Table1[[#This Row],[value]] - Table1[[#This Row],[mean]]) / Table1[[#This Row],[std_dev]]</f>
        <v>-0.64038098810490018</v>
      </c>
      <c r="K6723">
        <f>AVERAGEIF(Table1[CountryCode],Table1[[#This Row],[CountryCode]],Table1[z-score])</f>
        <v>-0.56629310735046812</v>
      </c>
      <c r="L6723" t="e">
        <f>VLOOKUP(Table1[[#This Row],[CountryCode]],[1]!Table1[#All],1,FALSE)</f>
        <v>#REF!</v>
      </c>
    </row>
    <row r="6724" spans="1:12" hidden="1" x14ac:dyDescent="0.3">
      <c r="A6724" t="s">
        <v>99</v>
      </c>
      <c r="B6724" t="s">
        <v>100</v>
      </c>
      <c r="C6724" t="s">
        <v>127</v>
      </c>
      <c r="D6724" t="s">
        <v>128</v>
      </c>
      <c r="E6724">
        <v>2012</v>
      </c>
      <c r="F6724" s="1">
        <v>8234</v>
      </c>
      <c r="G6724">
        <v>2010</v>
      </c>
      <c r="H6724">
        <f>AVERAGEIFS(Table1[value],Table1[IndicatorCode],Table1[[#This Row],[IndicatorCode]])</f>
        <v>24902.88753799392</v>
      </c>
      <c r="I6724" cm="1">
        <f t="array" ref="I6724">_xlfn.STDEV.P(IF(Table1[IndicatorCode]=Table1[[#This Row],[IndicatorCode]],Table1[value]))</f>
        <v>26324.778297809873</v>
      </c>
      <c r="J6724">
        <f>(Table1[[#This Row],[value]] - Table1[[#This Row],[mean]]) / Table1[[#This Row],[std_dev]]</f>
        <v>-0.63320144046116089</v>
      </c>
      <c r="K6724">
        <f>AVERAGEIF(Table1[CountryCode],Table1[[#This Row],[CountryCode]],Table1[z-score])</f>
        <v>-0.56629310735046812</v>
      </c>
      <c r="L6724" t="e">
        <f>VLOOKUP(Table1[[#This Row],[CountryCode]],[1]!Table1[#All],1,FALSE)</f>
        <v>#REF!</v>
      </c>
    </row>
    <row r="6725" spans="1:12" hidden="1" x14ac:dyDescent="0.3">
      <c r="A6725" t="s">
        <v>99</v>
      </c>
      <c r="B6725" t="s">
        <v>100</v>
      </c>
      <c r="C6725" t="s">
        <v>127</v>
      </c>
      <c r="D6725" t="s">
        <v>128</v>
      </c>
      <c r="E6725">
        <v>2013</v>
      </c>
      <c r="F6725" s="1">
        <v>8288</v>
      </c>
      <c r="G6725">
        <v>2010</v>
      </c>
      <c r="H6725">
        <f>AVERAGEIFS(Table1[value],Table1[IndicatorCode],Table1[[#This Row],[IndicatorCode]])</f>
        <v>24902.88753799392</v>
      </c>
      <c r="I6725" cm="1">
        <f t="array" ref="I6725">_xlfn.STDEV.P(IF(Table1[IndicatorCode]=Table1[[#This Row],[IndicatorCode]],Table1[value]))</f>
        <v>26324.778297809873</v>
      </c>
      <c r="J6725">
        <f>(Table1[[#This Row],[value]] - Table1[[#This Row],[mean]]) / Table1[[#This Row],[std_dev]]</f>
        <v>-0.63115014113437828</v>
      </c>
      <c r="K6725">
        <f>AVERAGEIF(Table1[CountryCode],Table1[[#This Row],[CountryCode]],Table1[z-score])</f>
        <v>-0.56629310735046812</v>
      </c>
      <c r="L6725" t="e">
        <f>VLOOKUP(Table1[[#This Row],[CountryCode]],[1]!Table1[#All],1,FALSE)</f>
        <v>#REF!</v>
      </c>
    </row>
    <row r="6726" spans="1:12" hidden="1" x14ac:dyDescent="0.3">
      <c r="A6726" t="s">
        <v>99</v>
      </c>
      <c r="B6726" t="s">
        <v>100</v>
      </c>
      <c r="C6726" t="s">
        <v>127</v>
      </c>
      <c r="D6726" t="s">
        <v>128</v>
      </c>
      <c r="E6726">
        <v>2014</v>
      </c>
      <c r="F6726" s="1">
        <v>8661</v>
      </c>
      <c r="G6726">
        <v>2010</v>
      </c>
      <c r="H6726">
        <f>AVERAGEIFS(Table1[value],Table1[IndicatorCode],Table1[[#This Row],[IndicatorCode]])</f>
        <v>24902.88753799392</v>
      </c>
      <c r="I6726" cm="1">
        <f t="array" ref="I6726">_xlfn.STDEV.P(IF(Table1[IndicatorCode]=Table1[[#This Row],[IndicatorCode]],Table1[value]))</f>
        <v>26324.778297809873</v>
      </c>
      <c r="J6726">
        <f>(Table1[[#This Row],[value]] - Table1[[#This Row],[mean]]) / Table1[[#This Row],[std_dev]]</f>
        <v>-0.61698098096974996</v>
      </c>
      <c r="K6726">
        <f>AVERAGEIF(Table1[CountryCode],Table1[[#This Row],[CountryCode]],Table1[z-score])</f>
        <v>-0.56629310735046812</v>
      </c>
      <c r="L6726" t="e">
        <f>VLOOKUP(Table1[[#This Row],[CountryCode]],[1]!Table1[#All],1,FALSE)</f>
        <v>#REF!</v>
      </c>
    </row>
    <row r="6727" spans="1:12" hidden="1" x14ac:dyDescent="0.3">
      <c r="A6727" t="s">
        <v>99</v>
      </c>
      <c r="B6727" t="s">
        <v>100</v>
      </c>
      <c r="C6727" t="s">
        <v>127</v>
      </c>
      <c r="D6727" t="s">
        <v>128</v>
      </c>
      <c r="E6727">
        <v>2015</v>
      </c>
      <c r="F6727" s="1">
        <v>8977</v>
      </c>
      <c r="G6727">
        <v>2010</v>
      </c>
      <c r="H6727">
        <f>AVERAGEIFS(Table1[value],Table1[IndicatorCode],Table1[[#This Row],[IndicatorCode]])</f>
        <v>24902.88753799392</v>
      </c>
      <c r="I6727" cm="1">
        <f t="array" ref="I6727">_xlfn.STDEV.P(IF(Table1[IndicatorCode]=Table1[[#This Row],[IndicatorCode]],Table1[value]))</f>
        <v>26324.778297809873</v>
      </c>
      <c r="J6727">
        <f>(Table1[[#This Row],[value]] - Table1[[#This Row],[mean]]) / Table1[[#This Row],[std_dev]]</f>
        <v>-0.60497708120561444</v>
      </c>
      <c r="K6727">
        <f>AVERAGEIF(Table1[CountryCode],Table1[[#This Row],[CountryCode]],Table1[z-score])</f>
        <v>-0.56629310735046812</v>
      </c>
      <c r="L6727" t="e">
        <f>VLOOKUP(Table1[[#This Row],[CountryCode]],[1]!Table1[#All],1,FALSE)</f>
        <v>#REF!</v>
      </c>
    </row>
    <row r="6728" spans="1:12" hidden="1" x14ac:dyDescent="0.3">
      <c r="A6728" t="s">
        <v>99</v>
      </c>
      <c r="B6728" t="s">
        <v>100</v>
      </c>
      <c r="C6728" t="s">
        <v>127</v>
      </c>
      <c r="D6728" t="s">
        <v>128</v>
      </c>
      <c r="E6728">
        <v>2016</v>
      </c>
      <c r="F6728" s="1">
        <v>9287</v>
      </c>
      <c r="G6728">
        <v>2010</v>
      </c>
      <c r="H6728">
        <f>AVERAGEIFS(Table1[value],Table1[IndicatorCode],Table1[[#This Row],[IndicatorCode]])</f>
        <v>24902.88753799392</v>
      </c>
      <c r="I6728" cm="1">
        <f t="array" ref="I6728">_xlfn.STDEV.P(IF(Table1[IndicatorCode]=Table1[[#This Row],[IndicatorCode]],Table1[value]))</f>
        <v>26324.778297809873</v>
      </c>
      <c r="J6728">
        <f>(Table1[[#This Row],[value]] - Table1[[#This Row],[mean]]) / Table1[[#This Row],[std_dev]]</f>
        <v>-0.59320110358889921</v>
      </c>
      <c r="K6728">
        <f>AVERAGEIF(Table1[CountryCode],Table1[[#This Row],[CountryCode]],Table1[z-score])</f>
        <v>-0.56629310735046812</v>
      </c>
      <c r="L6728" t="e">
        <f>VLOOKUP(Table1[[#This Row],[CountryCode]],[1]!Table1[#All],1,FALSE)</f>
        <v>#REF!</v>
      </c>
    </row>
    <row r="6729" spans="1:12" hidden="1" x14ac:dyDescent="0.3">
      <c r="A6729" t="s">
        <v>99</v>
      </c>
      <c r="B6729" t="s">
        <v>100</v>
      </c>
      <c r="C6729" t="s">
        <v>127</v>
      </c>
      <c r="D6729" t="s">
        <v>128</v>
      </c>
      <c r="E6729">
        <v>2017</v>
      </c>
      <c r="F6729" s="1">
        <v>10106</v>
      </c>
      <c r="G6729">
        <v>2020</v>
      </c>
      <c r="H6729">
        <f>AVERAGEIFS(Table1[value],Table1[IndicatorCode],Table1[[#This Row],[IndicatorCode]])</f>
        <v>24902.88753799392</v>
      </c>
      <c r="I6729" cm="1">
        <f t="array" ref="I6729">_xlfn.STDEV.P(IF(Table1[IndicatorCode]=Table1[[#This Row],[IndicatorCode]],Table1[value]))</f>
        <v>26324.778297809873</v>
      </c>
      <c r="J6729">
        <f>(Table1[[#This Row],[value]] - Table1[[#This Row],[mean]]) / Table1[[#This Row],[std_dev]]</f>
        <v>-0.56208973046602895</v>
      </c>
      <c r="K6729">
        <f>AVERAGEIF(Table1[CountryCode],Table1[[#This Row],[CountryCode]],Table1[z-score])</f>
        <v>-0.56629310735046812</v>
      </c>
      <c r="L6729" t="e">
        <f>VLOOKUP(Table1[[#This Row],[CountryCode]],[1]!Table1[#All],1,FALSE)</f>
        <v>#REF!</v>
      </c>
    </row>
    <row r="6730" spans="1:12" hidden="1" x14ac:dyDescent="0.3">
      <c r="A6730" t="s">
        <v>99</v>
      </c>
      <c r="B6730" t="s">
        <v>100</v>
      </c>
      <c r="C6730" t="s">
        <v>127</v>
      </c>
      <c r="D6730" t="s">
        <v>128</v>
      </c>
      <c r="E6730">
        <v>2018</v>
      </c>
      <c r="F6730" s="1">
        <v>10714</v>
      </c>
      <c r="G6730">
        <v>2020</v>
      </c>
      <c r="H6730">
        <f>AVERAGEIFS(Table1[value],Table1[IndicatorCode],Table1[[#This Row],[IndicatorCode]])</f>
        <v>24902.88753799392</v>
      </c>
      <c r="I6730" cm="1">
        <f t="array" ref="I6730">_xlfn.STDEV.P(IF(Table1[IndicatorCode]=Table1[[#This Row],[IndicatorCode]],Table1[value]))</f>
        <v>26324.778297809873</v>
      </c>
      <c r="J6730">
        <f>(Table1[[#This Row],[value]] - Table1[[#This Row],[mean]]) / Table1[[#This Row],[std_dev]]</f>
        <v>-0.53899361952743907</v>
      </c>
      <c r="K6730">
        <f>AVERAGEIF(Table1[CountryCode],Table1[[#This Row],[CountryCode]],Table1[z-score])</f>
        <v>-0.56629310735046812</v>
      </c>
      <c r="L6730" t="e">
        <f>VLOOKUP(Table1[[#This Row],[CountryCode]],[1]!Table1[#All],1,FALSE)</f>
        <v>#REF!</v>
      </c>
    </row>
    <row r="6731" spans="1:12" hidden="1" x14ac:dyDescent="0.3">
      <c r="A6731" t="s">
        <v>99</v>
      </c>
      <c r="B6731" t="s">
        <v>100</v>
      </c>
      <c r="C6731" t="s">
        <v>127</v>
      </c>
      <c r="D6731" t="s">
        <v>128</v>
      </c>
      <c r="E6731">
        <v>2019</v>
      </c>
      <c r="F6731" s="1">
        <v>11197</v>
      </c>
      <c r="G6731">
        <v>2020</v>
      </c>
      <c r="H6731">
        <f>AVERAGEIFS(Table1[value],Table1[IndicatorCode],Table1[[#This Row],[IndicatorCode]])</f>
        <v>24902.88753799392</v>
      </c>
      <c r="I6731" cm="1">
        <f t="array" ref="I6731">_xlfn.STDEV.P(IF(Table1[IndicatorCode]=Table1[[#This Row],[IndicatorCode]],Table1[value]))</f>
        <v>26324.778297809873</v>
      </c>
      <c r="J6731">
        <f>(Table1[[#This Row],[value]] - Table1[[#This Row],[mean]]) / Table1[[#This Row],[std_dev]]</f>
        <v>-0.52064588666010536</v>
      </c>
      <c r="K6731">
        <f>AVERAGEIF(Table1[CountryCode],Table1[[#This Row],[CountryCode]],Table1[z-score])</f>
        <v>-0.56629310735046812</v>
      </c>
      <c r="L6731" t="e">
        <f>VLOOKUP(Table1[[#This Row],[CountryCode]],[1]!Table1[#All],1,FALSE)</f>
        <v>#REF!</v>
      </c>
    </row>
    <row r="6732" spans="1:12" x14ac:dyDescent="0.3">
      <c r="A6732" t="s">
        <v>91</v>
      </c>
      <c r="B6732" t="s">
        <v>92</v>
      </c>
      <c r="C6732" t="s">
        <v>127</v>
      </c>
      <c r="D6732" t="s">
        <v>128</v>
      </c>
      <c r="E6732">
        <v>2020</v>
      </c>
      <c r="F6732" s="1">
        <v>47087</v>
      </c>
      <c r="G6732">
        <v>2020</v>
      </c>
      <c r="H6732">
        <f>AVERAGEIFS(Table1[value],Table1[IndicatorCode],Table1[[#This Row],[IndicatorCode]])</f>
        <v>24902.88753799392</v>
      </c>
      <c r="I6732" cm="1">
        <f t="array" ref="I6732">_xlfn.STDEV.P(IF(Table1[IndicatorCode]=Table1[[#This Row],[IndicatorCode]],Table1[value]))</f>
        <v>26324.778297809873</v>
      </c>
      <c r="J6732">
        <f>(Table1[[#This Row],[value]] - Table1[[#This Row],[mean]]) / Table1[[#This Row],[std_dev]]</f>
        <v>0.84270842515895827</v>
      </c>
      <c r="K6732">
        <f>AVERAGEIF(Table1[CountryCode],Table1[[#This Row],[CountryCode]],Table1[z-score])</f>
        <v>0.48073633366786628</v>
      </c>
    </row>
    <row r="6733" spans="1:12" hidden="1" x14ac:dyDescent="0.3">
      <c r="A6733" t="s">
        <v>99</v>
      </c>
      <c r="B6733" t="s">
        <v>100</v>
      </c>
      <c r="C6733" t="s">
        <v>127</v>
      </c>
      <c r="D6733" t="s">
        <v>128</v>
      </c>
      <c r="E6733">
        <v>2021</v>
      </c>
      <c r="F6733" s="1">
        <v>11546</v>
      </c>
      <c r="G6733">
        <v>2020</v>
      </c>
      <c r="H6733">
        <f>AVERAGEIFS(Table1[value],Table1[IndicatorCode],Table1[[#This Row],[IndicatorCode]])</f>
        <v>24902.88753799392</v>
      </c>
      <c r="I6733" cm="1">
        <f t="array" ref="I6733">_xlfn.STDEV.P(IF(Table1[IndicatorCode]=Table1[[#This Row],[IndicatorCode]],Table1[value]))</f>
        <v>26324.778297809873</v>
      </c>
      <c r="J6733">
        <f>(Table1[[#This Row],[value]] - Table1[[#This Row],[mean]]) / Table1[[#This Row],[std_dev]]</f>
        <v>-0.5073884150851582</v>
      </c>
      <c r="K6733">
        <f>AVERAGEIF(Table1[CountryCode],Table1[[#This Row],[CountryCode]],Table1[z-score])</f>
        <v>-0.56629310735046812</v>
      </c>
      <c r="L6733" t="e">
        <f>VLOOKUP(Table1[[#This Row],[CountryCode]],[1]!Table1[#All],1,FALSE)</f>
        <v>#REF!</v>
      </c>
    </row>
    <row r="6734" spans="1:12" hidden="1" x14ac:dyDescent="0.3">
      <c r="A6734" t="s">
        <v>99</v>
      </c>
      <c r="B6734" t="s">
        <v>100</v>
      </c>
      <c r="C6734" t="s">
        <v>127</v>
      </c>
      <c r="D6734" t="s">
        <v>128</v>
      </c>
      <c r="E6734">
        <v>2022</v>
      </c>
      <c r="F6734" s="1">
        <v>12076</v>
      </c>
      <c r="G6734">
        <v>1980</v>
      </c>
      <c r="H6734">
        <f>AVERAGEIFS(Table1[value],Table1[IndicatorCode],Table1[[#This Row],[IndicatorCode]])</f>
        <v>24902.88753799392</v>
      </c>
      <c r="I6734" cm="1">
        <f t="array" ref="I6734">_xlfn.STDEV.P(IF(Table1[IndicatorCode]=Table1[[#This Row],[IndicatorCode]],Table1[value]))</f>
        <v>26324.778297809873</v>
      </c>
      <c r="J6734">
        <f>(Table1[[#This Row],[value]] - Table1[[#This Row],[mean]]) / Table1[[#This Row],[std_dev]]</f>
        <v>-0.48725529206303214</v>
      </c>
      <c r="K6734">
        <f>AVERAGEIF(Table1[CountryCode],Table1[[#This Row],[CountryCode]],Table1[z-score])</f>
        <v>-0.56629310735046812</v>
      </c>
      <c r="L6734" t="e">
        <f>VLOOKUP(Table1[[#This Row],[CountryCode]],[1]!Table1[#All],1,FALSE)</f>
        <v>#REF!</v>
      </c>
    </row>
    <row r="6735" spans="1:12" hidden="1" x14ac:dyDescent="0.3">
      <c r="A6735" t="s">
        <v>99</v>
      </c>
      <c r="B6735" t="s">
        <v>100</v>
      </c>
      <c r="C6735" t="s">
        <v>127</v>
      </c>
      <c r="D6735" t="s">
        <v>128</v>
      </c>
      <c r="E6735">
        <v>2023</v>
      </c>
      <c r="F6735" s="1">
        <v>12341</v>
      </c>
      <c r="G6735">
        <v>1990</v>
      </c>
      <c r="H6735">
        <f>AVERAGEIFS(Table1[value],Table1[IndicatorCode],Table1[[#This Row],[IndicatorCode]])</f>
        <v>24902.88753799392</v>
      </c>
      <c r="I6735" cm="1">
        <f t="array" ref="I6735">_xlfn.STDEV.P(IF(Table1[IndicatorCode]=Table1[[#This Row],[IndicatorCode]],Table1[value]))</f>
        <v>26324.778297809873</v>
      </c>
      <c r="J6735">
        <f>(Table1[[#This Row],[value]] - Table1[[#This Row],[mean]]) / Table1[[#This Row],[std_dev]]</f>
        <v>-0.47718873055196914</v>
      </c>
      <c r="K6735">
        <f>AVERAGEIF(Table1[CountryCode],Table1[[#This Row],[CountryCode]],Table1[z-score])</f>
        <v>-0.56629310735046812</v>
      </c>
      <c r="L6735" t="e">
        <f>VLOOKUP(Table1[[#This Row],[CountryCode]],[1]!Table1[#All],1,FALSE)</f>
        <v>#REF!</v>
      </c>
    </row>
    <row r="6736" spans="1:12" hidden="1" x14ac:dyDescent="0.3">
      <c r="A6736" t="s">
        <v>99</v>
      </c>
      <c r="B6736" t="s">
        <v>100</v>
      </c>
      <c r="C6736" t="s">
        <v>127</v>
      </c>
      <c r="D6736" t="s">
        <v>128</v>
      </c>
      <c r="E6736">
        <v>2024</v>
      </c>
      <c r="F6736" s="1">
        <v>12460</v>
      </c>
      <c r="G6736">
        <v>1990</v>
      </c>
      <c r="H6736">
        <f>AVERAGEIFS(Table1[value],Table1[IndicatorCode],Table1[[#This Row],[IndicatorCode]])</f>
        <v>24902.88753799392</v>
      </c>
      <c r="I6736" cm="1">
        <f t="array" ref="I6736">_xlfn.STDEV.P(IF(Table1[IndicatorCode]=Table1[[#This Row],[IndicatorCode]],Table1[value]))</f>
        <v>26324.778297809873</v>
      </c>
      <c r="J6736">
        <f>(Table1[[#This Row],[value]] - Table1[[#This Row],[mean]]) / Table1[[#This Row],[std_dev]]</f>
        <v>-0.47266827462813327</v>
      </c>
      <c r="K6736">
        <f>AVERAGEIF(Table1[CountryCode],Table1[[#This Row],[CountryCode]],Table1[z-score])</f>
        <v>-0.56629310735046812</v>
      </c>
      <c r="L6736" t="e">
        <f>VLOOKUP(Table1[[#This Row],[CountryCode]],[1]!Table1[#All],1,FALSE)</f>
        <v>#REF!</v>
      </c>
    </row>
    <row r="6737" spans="1:12" hidden="1" x14ac:dyDescent="0.3">
      <c r="A6737" t="s">
        <v>101</v>
      </c>
      <c r="B6737" t="s">
        <v>102</v>
      </c>
      <c r="C6737" t="s">
        <v>127</v>
      </c>
      <c r="D6737" t="s">
        <v>128</v>
      </c>
      <c r="E6737">
        <v>1989</v>
      </c>
      <c r="F6737" s="1">
        <v>8106</v>
      </c>
      <c r="G6737">
        <v>1990</v>
      </c>
      <c r="H6737">
        <f>AVERAGEIFS(Table1[value],Table1[IndicatorCode],Table1[[#This Row],[IndicatorCode]])</f>
        <v>24902.88753799392</v>
      </c>
      <c r="I6737" cm="1">
        <f t="array" ref="I6737">_xlfn.STDEV.P(IF(Table1[IndicatorCode]=Table1[[#This Row],[IndicatorCode]],Table1[value]))</f>
        <v>26324.778297809873</v>
      </c>
      <c r="J6737">
        <f>(Table1[[#This Row],[value]] - Table1[[#This Row],[mean]]) / Table1[[#This Row],[std_dev]]</f>
        <v>-0.63806377960612726</v>
      </c>
      <c r="K6737">
        <f>AVERAGEIF(Table1[CountryCode],Table1[[#This Row],[CountryCode]],Table1[z-score])</f>
        <v>-0.17256201820971051</v>
      </c>
      <c r="L6737" t="e">
        <f>VLOOKUP(Table1[[#This Row],[CountryCode]],[1]!Table1[#All],1,FALSE)</f>
        <v>#REF!</v>
      </c>
    </row>
    <row r="6738" spans="1:12" hidden="1" x14ac:dyDescent="0.3">
      <c r="A6738" t="s">
        <v>101</v>
      </c>
      <c r="B6738" t="s">
        <v>102</v>
      </c>
      <c r="C6738" t="s">
        <v>127</v>
      </c>
      <c r="D6738" t="s">
        <v>128</v>
      </c>
      <c r="E6738">
        <v>1990</v>
      </c>
      <c r="F6738" s="1">
        <v>7850</v>
      </c>
      <c r="G6738">
        <v>1990</v>
      </c>
      <c r="H6738">
        <f>AVERAGEIFS(Table1[value],Table1[IndicatorCode],Table1[[#This Row],[IndicatorCode]])</f>
        <v>24902.88753799392</v>
      </c>
      <c r="I6738" cm="1">
        <f t="array" ref="I6738">_xlfn.STDEV.P(IF(Table1[IndicatorCode]=Table1[[#This Row],[IndicatorCode]],Table1[value]))</f>
        <v>26324.778297809873</v>
      </c>
      <c r="J6738">
        <f>(Table1[[#This Row],[value]] - Table1[[#This Row],[mean]]) / Table1[[#This Row],[std_dev]]</f>
        <v>-0.64778845789605977</v>
      </c>
      <c r="K6738">
        <f>AVERAGEIF(Table1[CountryCode],Table1[[#This Row],[CountryCode]],Table1[z-score])</f>
        <v>-0.17256201820971051</v>
      </c>
      <c r="L6738" t="e">
        <f>VLOOKUP(Table1[[#This Row],[CountryCode]],[1]!Table1[#All],1,FALSE)</f>
        <v>#REF!</v>
      </c>
    </row>
    <row r="6739" spans="1:12" hidden="1" x14ac:dyDescent="0.3">
      <c r="A6739" t="s">
        <v>101</v>
      </c>
      <c r="B6739" t="s">
        <v>102</v>
      </c>
      <c r="C6739" t="s">
        <v>127</v>
      </c>
      <c r="D6739" t="s">
        <v>128</v>
      </c>
      <c r="E6739">
        <v>1991</v>
      </c>
      <c r="F6739" s="1">
        <v>7432</v>
      </c>
      <c r="G6739">
        <v>1990</v>
      </c>
      <c r="H6739">
        <f>AVERAGEIFS(Table1[value],Table1[IndicatorCode],Table1[[#This Row],[IndicatorCode]])</f>
        <v>24902.88753799392</v>
      </c>
      <c r="I6739" cm="1">
        <f t="array" ref="I6739">_xlfn.STDEV.P(IF(Table1[IndicatorCode]=Table1[[#This Row],[IndicatorCode]],Table1[value]))</f>
        <v>26324.778297809873</v>
      </c>
      <c r="J6739">
        <f>(Table1[[#This Row],[value]] - Table1[[#This Row],[mean]]) / Table1[[#This Row],[std_dev]]</f>
        <v>-0.66366703416634032</v>
      </c>
      <c r="K6739">
        <f>AVERAGEIF(Table1[CountryCode],Table1[[#This Row],[CountryCode]],Table1[z-score])</f>
        <v>-0.17256201820971051</v>
      </c>
      <c r="L6739" t="e">
        <f>VLOOKUP(Table1[[#This Row],[CountryCode]],[1]!Table1[#All],1,FALSE)</f>
        <v>#REF!</v>
      </c>
    </row>
    <row r="6740" spans="1:12" hidden="1" x14ac:dyDescent="0.3">
      <c r="A6740" t="s">
        <v>101</v>
      </c>
      <c r="B6740" t="s">
        <v>102</v>
      </c>
      <c r="C6740" t="s">
        <v>127</v>
      </c>
      <c r="D6740" t="s">
        <v>128</v>
      </c>
      <c r="E6740">
        <v>1992</v>
      </c>
      <c r="F6740" s="1">
        <v>6346</v>
      </c>
      <c r="G6740">
        <v>1990</v>
      </c>
      <c r="H6740">
        <f>AVERAGEIFS(Table1[value],Table1[IndicatorCode],Table1[[#This Row],[IndicatorCode]])</f>
        <v>24902.88753799392</v>
      </c>
      <c r="I6740" cm="1">
        <f t="array" ref="I6740">_xlfn.STDEV.P(IF(Table1[IndicatorCode]=Table1[[#This Row],[IndicatorCode]],Table1[value]))</f>
        <v>26324.778297809873</v>
      </c>
      <c r="J6740">
        <f>(Table1[[#This Row],[value]] - Table1[[#This Row],[mean]]) / Table1[[#This Row],[std_dev]]</f>
        <v>-0.70492094284941376</v>
      </c>
      <c r="K6740">
        <f>AVERAGEIF(Table1[CountryCode],Table1[[#This Row],[CountryCode]],Table1[z-score])</f>
        <v>-0.17256201820971051</v>
      </c>
      <c r="L6740" t="e">
        <f>VLOOKUP(Table1[[#This Row],[CountryCode]],[1]!Table1[#All],1,FALSE)</f>
        <v>#REF!</v>
      </c>
    </row>
    <row r="6741" spans="1:12" hidden="1" x14ac:dyDescent="0.3">
      <c r="A6741" t="s">
        <v>101</v>
      </c>
      <c r="B6741" t="s">
        <v>102</v>
      </c>
      <c r="C6741" t="s">
        <v>127</v>
      </c>
      <c r="D6741" t="s">
        <v>128</v>
      </c>
      <c r="E6741">
        <v>1993</v>
      </c>
      <c r="F6741" s="1">
        <v>5799</v>
      </c>
      <c r="G6741">
        <v>1990</v>
      </c>
      <c r="H6741">
        <f>AVERAGEIFS(Table1[value],Table1[IndicatorCode],Table1[[#This Row],[IndicatorCode]])</f>
        <v>24902.88753799392</v>
      </c>
      <c r="I6741" cm="1">
        <f t="array" ref="I6741">_xlfn.STDEV.P(IF(Table1[IndicatorCode]=Table1[[#This Row],[IndicatorCode]],Table1[value]))</f>
        <v>26324.778297809873</v>
      </c>
      <c r="J6741">
        <f>(Table1[[#This Row],[value]] - Table1[[#This Row],[mean]]) / Table1[[#This Row],[std_dev]]</f>
        <v>-0.72569984528923059</v>
      </c>
      <c r="K6741">
        <f>AVERAGEIF(Table1[CountryCode],Table1[[#This Row],[CountryCode]],Table1[z-score])</f>
        <v>-0.17256201820971051</v>
      </c>
      <c r="L6741" t="e">
        <f>VLOOKUP(Table1[[#This Row],[CountryCode]],[1]!Table1[#All],1,FALSE)</f>
        <v>#REF!</v>
      </c>
    </row>
    <row r="6742" spans="1:12" hidden="1" x14ac:dyDescent="0.3">
      <c r="A6742" t="s">
        <v>101</v>
      </c>
      <c r="B6742" t="s">
        <v>102</v>
      </c>
      <c r="C6742" t="s">
        <v>127</v>
      </c>
      <c r="D6742" t="s">
        <v>128</v>
      </c>
      <c r="E6742">
        <v>1994</v>
      </c>
      <c r="F6742" s="1">
        <v>5072</v>
      </c>
      <c r="G6742">
        <v>1990</v>
      </c>
      <c r="H6742">
        <f>AVERAGEIFS(Table1[value],Table1[IndicatorCode],Table1[[#This Row],[IndicatorCode]])</f>
        <v>24902.88753799392</v>
      </c>
      <c r="I6742" cm="1">
        <f t="array" ref="I6742">_xlfn.STDEV.P(IF(Table1[IndicatorCode]=Table1[[#This Row],[IndicatorCode]],Table1[value]))</f>
        <v>26324.778297809873</v>
      </c>
      <c r="J6742">
        <f>(Table1[[#This Row],[value]] - Table1[[#This Row],[mean]]) / Table1[[#This Row],[std_dev]]</f>
        <v>-0.75331641215165634</v>
      </c>
      <c r="K6742">
        <f>AVERAGEIF(Table1[CountryCode],Table1[[#This Row],[CountryCode]],Table1[z-score])</f>
        <v>-0.17256201820971051</v>
      </c>
      <c r="L6742" t="e">
        <f>VLOOKUP(Table1[[#This Row],[CountryCode]],[1]!Table1[#All],1,FALSE)</f>
        <v>#REF!</v>
      </c>
    </row>
    <row r="6743" spans="1:12" hidden="1" x14ac:dyDescent="0.3">
      <c r="A6743" t="s">
        <v>101</v>
      </c>
      <c r="B6743" t="s">
        <v>102</v>
      </c>
      <c r="C6743" t="s">
        <v>127</v>
      </c>
      <c r="D6743" t="s">
        <v>128</v>
      </c>
      <c r="E6743">
        <v>1995</v>
      </c>
      <c r="F6743" s="1">
        <v>4863</v>
      </c>
      <c r="G6743">
        <v>1990</v>
      </c>
      <c r="H6743">
        <f>AVERAGEIFS(Table1[value],Table1[IndicatorCode],Table1[[#This Row],[IndicatorCode]])</f>
        <v>24902.88753799392</v>
      </c>
      <c r="I6743" cm="1">
        <f t="array" ref="I6743">_xlfn.STDEV.P(IF(Table1[IndicatorCode]=Table1[[#This Row],[IndicatorCode]],Table1[value]))</f>
        <v>26324.778297809873</v>
      </c>
      <c r="J6743">
        <f>(Table1[[#This Row],[value]] - Table1[[#This Row],[mean]]) / Table1[[#This Row],[std_dev]]</f>
        <v>-0.76125570028679657</v>
      </c>
      <c r="K6743">
        <f>AVERAGEIF(Table1[CountryCode],Table1[[#This Row],[CountryCode]],Table1[z-score])</f>
        <v>-0.17256201820971051</v>
      </c>
      <c r="L6743" t="e">
        <f>VLOOKUP(Table1[[#This Row],[CountryCode]],[1]!Table1[#All],1,FALSE)</f>
        <v>#REF!</v>
      </c>
    </row>
    <row r="6744" spans="1:12" hidden="1" x14ac:dyDescent="0.3">
      <c r="A6744" t="s">
        <v>101</v>
      </c>
      <c r="B6744" t="s">
        <v>102</v>
      </c>
      <c r="C6744" t="s">
        <v>127</v>
      </c>
      <c r="D6744" t="s">
        <v>128</v>
      </c>
      <c r="E6744">
        <v>1996</v>
      </c>
      <c r="F6744" s="1">
        <v>4687</v>
      </c>
      <c r="G6744">
        <v>1990</v>
      </c>
      <c r="H6744">
        <f>AVERAGEIFS(Table1[value],Table1[IndicatorCode],Table1[[#This Row],[IndicatorCode]])</f>
        <v>24902.88753799392</v>
      </c>
      <c r="I6744" cm="1">
        <f t="array" ref="I6744">_xlfn.STDEV.P(IF(Table1[IndicatorCode]=Table1[[#This Row],[IndicatorCode]],Table1[value]))</f>
        <v>26324.778297809873</v>
      </c>
      <c r="J6744">
        <f>(Table1[[#This Row],[value]] - Table1[[#This Row],[mean]]) / Table1[[#This Row],[std_dev]]</f>
        <v>-0.76794141661112525</v>
      </c>
      <c r="K6744">
        <f>AVERAGEIF(Table1[CountryCode],Table1[[#This Row],[CountryCode]],Table1[z-score])</f>
        <v>-0.17256201820971051</v>
      </c>
      <c r="L6744" t="e">
        <f>VLOOKUP(Table1[[#This Row],[CountryCode]],[1]!Table1[#All],1,FALSE)</f>
        <v>#REF!</v>
      </c>
    </row>
    <row r="6745" spans="1:12" hidden="1" x14ac:dyDescent="0.3">
      <c r="A6745" t="s">
        <v>101</v>
      </c>
      <c r="B6745" t="s">
        <v>102</v>
      </c>
      <c r="C6745" t="s">
        <v>127</v>
      </c>
      <c r="D6745" t="s">
        <v>128</v>
      </c>
      <c r="E6745">
        <v>1997</v>
      </c>
      <c r="F6745" s="1">
        <v>4760</v>
      </c>
      <c r="G6745">
        <v>2000</v>
      </c>
      <c r="H6745">
        <f>AVERAGEIFS(Table1[value],Table1[IndicatorCode],Table1[[#This Row],[IndicatorCode]])</f>
        <v>24902.88753799392</v>
      </c>
      <c r="I6745" cm="1">
        <f t="array" ref="I6745">_xlfn.STDEV.P(IF(Table1[IndicatorCode]=Table1[[#This Row],[IndicatorCode]],Table1[value]))</f>
        <v>26324.778297809873</v>
      </c>
      <c r="J6745">
        <f>(Table1[[#This Row],[value]] - Table1[[#This Row],[mean]]) / Table1[[#This Row],[std_dev]]</f>
        <v>-0.76516836381751163</v>
      </c>
      <c r="K6745">
        <f>AVERAGEIF(Table1[CountryCode],Table1[[#This Row],[CountryCode]],Table1[z-score])</f>
        <v>-0.17256201820971051</v>
      </c>
      <c r="L6745" t="e">
        <f>VLOOKUP(Table1[[#This Row],[CountryCode]],[1]!Table1[#All],1,FALSE)</f>
        <v>#REF!</v>
      </c>
    </row>
    <row r="6746" spans="1:12" hidden="1" x14ac:dyDescent="0.3">
      <c r="A6746" t="s">
        <v>101</v>
      </c>
      <c r="B6746" t="s">
        <v>102</v>
      </c>
      <c r="C6746" t="s">
        <v>127</v>
      </c>
      <c r="D6746" t="s">
        <v>128</v>
      </c>
      <c r="E6746">
        <v>1998</v>
      </c>
      <c r="F6746" s="1">
        <v>4516</v>
      </c>
      <c r="G6746">
        <v>2000</v>
      </c>
      <c r="H6746">
        <f>AVERAGEIFS(Table1[value],Table1[IndicatorCode],Table1[[#This Row],[IndicatorCode]])</f>
        <v>24902.88753799392</v>
      </c>
      <c r="I6746" cm="1">
        <f t="array" ref="I6746">_xlfn.STDEV.P(IF(Table1[IndicatorCode]=Table1[[#This Row],[IndicatorCode]],Table1[value]))</f>
        <v>26324.778297809873</v>
      </c>
      <c r="J6746">
        <f>(Table1[[#This Row],[value]] - Table1[[#This Row],[mean]]) / Table1[[#This Row],[std_dev]]</f>
        <v>-0.77443719781260367</v>
      </c>
      <c r="K6746">
        <f>AVERAGEIF(Table1[CountryCode],Table1[[#This Row],[CountryCode]],Table1[z-score])</f>
        <v>-0.17256201820971051</v>
      </c>
      <c r="L6746" t="e">
        <f>VLOOKUP(Table1[[#This Row],[CountryCode]],[1]!Table1[#All],1,FALSE)</f>
        <v>#REF!</v>
      </c>
    </row>
    <row r="6747" spans="1:12" hidden="1" x14ac:dyDescent="0.3">
      <c r="A6747" t="s">
        <v>101</v>
      </c>
      <c r="B6747" t="s">
        <v>102</v>
      </c>
      <c r="C6747" t="s">
        <v>127</v>
      </c>
      <c r="D6747" t="s">
        <v>128</v>
      </c>
      <c r="E6747">
        <v>1999</v>
      </c>
      <c r="F6747" s="1">
        <v>4819</v>
      </c>
      <c r="G6747">
        <v>2000</v>
      </c>
      <c r="H6747">
        <f>AVERAGEIFS(Table1[value],Table1[IndicatorCode],Table1[[#This Row],[IndicatorCode]])</f>
        <v>24902.88753799392</v>
      </c>
      <c r="I6747" cm="1">
        <f t="array" ref="I6747">_xlfn.STDEV.P(IF(Table1[IndicatorCode]=Table1[[#This Row],[IndicatorCode]],Table1[value]))</f>
        <v>26324.778297809873</v>
      </c>
      <c r="J6747">
        <f>(Table1[[#This Row],[value]] - Table1[[#This Row],[mean]]) / Table1[[#This Row],[std_dev]]</f>
        <v>-0.76292712936787876</v>
      </c>
      <c r="K6747">
        <f>AVERAGEIF(Table1[CountryCode],Table1[[#This Row],[CountryCode]],Table1[z-score])</f>
        <v>-0.17256201820971051</v>
      </c>
      <c r="L6747" t="e">
        <f>VLOOKUP(Table1[[#This Row],[CountryCode]],[1]!Table1[#All],1,FALSE)</f>
        <v>#REF!</v>
      </c>
    </row>
    <row r="6748" spans="1:12" hidden="1" x14ac:dyDescent="0.3">
      <c r="A6748" t="s">
        <v>101</v>
      </c>
      <c r="B6748" t="s">
        <v>102</v>
      </c>
      <c r="C6748" t="s">
        <v>127</v>
      </c>
      <c r="D6748" t="s">
        <v>128</v>
      </c>
      <c r="E6748">
        <v>2000</v>
      </c>
      <c r="F6748" s="1">
        <v>5324</v>
      </c>
      <c r="G6748">
        <v>2000</v>
      </c>
      <c r="H6748">
        <f>AVERAGEIFS(Table1[value],Table1[IndicatorCode],Table1[[#This Row],[IndicatorCode]])</f>
        <v>24902.88753799392</v>
      </c>
      <c r="I6748" cm="1">
        <f t="array" ref="I6748">_xlfn.STDEV.P(IF(Table1[IndicatorCode]=Table1[[#This Row],[IndicatorCode]],Table1[value]))</f>
        <v>26324.778297809873</v>
      </c>
      <c r="J6748">
        <f>(Table1[[#This Row],[value]] - Table1[[#This Row],[mean]]) / Table1[[#This Row],[std_dev]]</f>
        <v>-0.74374368196000396</v>
      </c>
      <c r="K6748">
        <f>AVERAGEIF(Table1[CountryCode],Table1[[#This Row],[CountryCode]],Table1[z-score])</f>
        <v>-0.17256201820971051</v>
      </c>
      <c r="L6748" t="e">
        <f>VLOOKUP(Table1[[#This Row],[CountryCode]],[1]!Table1[#All],1,FALSE)</f>
        <v>#REF!</v>
      </c>
    </row>
    <row r="6749" spans="1:12" hidden="1" x14ac:dyDescent="0.3">
      <c r="A6749" t="s">
        <v>101</v>
      </c>
      <c r="B6749" t="s">
        <v>102</v>
      </c>
      <c r="C6749" t="s">
        <v>127</v>
      </c>
      <c r="D6749" t="s">
        <v>128</v>
      </c>
      <c r="E6749">
        <v>2001</v>
      </c>
      <c r="F6749" s="1">
        <v>5619</v>
      </c>
      <c r="G6749">
        <v>2000</v>
      </c>
      <c r="H6749">
        <f>AVERAGEIFS(Table1[value],Table1[IndicatorCode],Table1[[#This Row],[IndicatorCode]])</f>
        <v>24902.88753799392</v>
      </c>
      <c r="I6749" cm="1">
        <f t="array" ref="I6749">_xlfn.STDEV.P(IF(Table1[IndicatorCode]=Table1[[#This Row],[IndicatorCode]],Table1[value]))</f>
        <v>26324.778297809873</v>
      </c>
      <c r="J6749">
        <f>(Table1[[#This Row],[value]] - Table1[[#This Row],[mean]]) / Table1[[#This Row],[std_dev]]</f>
        <v>-0.7325375097118394</v>
      </c>
      <c r="K6749">
        <f>AVERAGEIF(Table1[CountryCode],Table1[[#This Row],[CountryCode]],Table1[z-score])</f>
        <v>-0.17256201820971051</v>
      </c>
      <c r="L6749" t="e">
        <f>VLOOKUP(Table1[[#This Row],[CountryCode]],[1]!Table1[#All],1,FALSE)</f>
        <v>#REF!</v>
      </c>
    </row>
    <row r="6750" spans="1:12" hidden="1" x14ac:dyDescent="0.3">
      <c r="A6750" t="s">
        <v>101</v>
      </c>
      <c r="B6750" t="s">
        <v>102</v>
      </c>
      <c r="C6750" t="s">
        <v>127</v>
      </c>
      <c r="D6750" t="s">
        <v>128</v>
      </c>
      <c r="E6750">
        <v>2002</v>
      </c>
      <c r="F6750" s="1">
        <v>5910</v>
      </c>
      <c r="G6750">
        <v>2000</v>
      </c>
      <c r="H6750">
        <f>AVERAGEIFS(Table1[value],Table1[IndicatorCode],Table1[[#This Row],[IndicatorCode]])</f>
        <v>24902.88753799392</v>
      </c>
      <c r="I6750" cm="1">
        <f t="array" ref="I6750">_xlfn.STDEV.P(IF(Table1[IndicatorCode]=Table1[[#This Row],[IndicatorCode]],Table1[value]))</f>
        <v>26324.778297809873</v>
      </c>
      <c r="J6750">
        <f>(Table1[[#This Row],[value]] - Table1[[#This Row],[mean]]) / Table1[[#This Row],[std_dev]]</f>
        <v>-0.72148328556195518</v>
      </c>
      <c r="K6750">
        <f>AVERAGEIF(Table1[CountryCode],Table1[[#This Row],[CountryCode]],Table1[z-score])</f>
        <v>-0.17256201820971051</v>
      </c>
      <c r="L6750" t="e">
        <f>VLOOKUP(Table1[[#This Row],[CountryCode]],[1]!Table1[#All],1,FALSE)</f>
        <v>#REF!</v>
      </c>
    </row>
    <row r="6751" spans="1:12" hidden="1" x14ac:dyDescent="0.3">
      <c r="A6751" t="s">
        <v>101</v>
      </c>
      <c r="B6751" t="s">
        <v>102</v>
      </c>
      <c r="C6751" t="s">
        <v>127</v>
      </c>
      <c r="D6751" t="s">
        <v>128</v>
      </c>
      <c r="E6751">
        <v>2003</v>
      </c>
      <c r="F6751" s="1">
        <v>6370</v>
      </c>
      <c r="G6751">
        <v>2000</v>
      </c>
      <c r="H6751">
        <f>AVERAGEIFS(Table1[value],Table1[IndicatorCode],Table1[[#This Row],[IndicatorCode]])</f>
        <v>24902.88753799392</v>
      </c>
      <c r="I6751" cm="1">
        <f t="array" ref="I6751">_xlfn.STDEV.P(IF(Table1[IndicatorCode]=Table1[[#This Row],[IndicatorCode]],Table1[value]))</f>
        <v>26324.778297809873</v>
      </c>
      <c r="J6751">
        <f>(Table1[[#This Row],[value]] - Table1[[#This Row],[mean]]) / Table1[[#This Row],[std_dev]]</f>
        <v>-0.70400925425973249</v>
      </c>
      <c r="K6751">
        <f>AVERAGEIF(Table1[CountryCode],Table1[[#This Row],[CountryCode]],Table1[z-score])</f>
        <v>-0.17256201820971051</v>
      </c>
      <c r="L6751" t="e">
        <f>VLOOKUP(Table1[[#This Row],[CountryCode]],[1]!Table1[#All],1,FALSE)</f>
        <v>#REF!</v>
      </c>
    </row>
    <row r="6752" spans="1:12" hidden="1" x14ac:dyDescent="0.3">
      <c r="A6752" t="s">
        <v>101</v>
      </c>
      <c r="B6752" t="s">
        <v>102</v>
      </c>
      <c r="C6752" t="s">
        <v>127</v>
      </c>
      <c r="D6752" t="s">
        <v>128</v>
      </c>
      <c r="E6752">
        <v>2004</v>
      </c>
      <c r="F6752" s="1">
        <v>6857</v>
      </c>
      <c r="G6752">
        <v>2000</v>
      </c>
      <c r="H6752">
        <f>AVERAGEIFS(Table1[value],Table1[IndicatorCode],Table1[[#This Row],[IndicatorCode]])</f>
        <v>24902.88753799392</v>
      </c>
      <c r="I6752" cm="1">
        <f t="array" ref="I6752">_xlfn.STDEV.P(IF(Table1[IndicatorCode]=Table1[[#This Row],[IndicatorCode]],Table1[value]))</f>
        <v>26324.778297809873</v>
      </c>
      <c r="J6752">
        <f>(Table1[[#This Row],[value]] - Table1[[#This Row],[mean]]) / Table1[[#This Row],[std_dev]]</f>
        <v>-0.68550957329411866</v>
      </c>
      <c r="K6752">
        <f>AVERAGEIF(Table1[CountryCode],Table1[[#This Row],[CountryCode]],Table1[z-score])</f>
        <v>-0.17256201820971051</v>
      </c>
      <c r="L6752" t="e">
        <f>VLOOKUP(Table1[[#This Row],[CountryCode]],[1]!Table1[#All],1,FALSE)</f>
        <v>#REF!</v>
      </c>
    </row>
    <row r="6753" spans="1:12" hidden="1" x14ac:dyDescent="0.3">
      <c r="A6753" t="s">
        <v>101</v>
      </c>
      <c r="B6753" t="s">
        <v>102</v>
      </c>
      <c r="C6753" t="s">
        <v>127</v>
      </c>
      <c r="D6753" t="s">
        <v>128</v>
      </c>
      <c r="E6753">
        <v>2005</v>
      </c>
      <c r="F6753" s="1">
        <v>7323</v>
      </c>
      <c r="G6753">
        <v>2000</v>
      </c>
      <c r="H6753">
        <f>AVERAGEIFS(Table1[value],Table1[IndicatorCode],Table1[[#This Row],[IndicatorCode]])</f>
        <v>24902.88753799392</v>
      </c>
      <c r="I6753" cm="1">
        <f t="array" ref="I6753">_xlfn.STDEV.P(IF(Table1[IndicatorCode]=Table1[[#This Row],[IndicatorCode]],Table1[value]))</f>
        <v>26324.778297809873</v>
      </c>
      <c r="J6753">
        <f>(Table1[[#This Row],[value]] - Table1[[#This Row],[mean]]) / Table1[[#This Row],[std_dev]]</f>
        <v>-0.66780761984447568</v>
      </c>
      <c r="K6753">
        <f>AVERAGEIF(Table1[CountryCode],Table1[[#This Row],[CountryCode]],Table1[z-score])</f>
        <v>-0.17256201820971051</v>
      </c>
      <c r="L6753" t="e">
        <f>VLOOKUP(Table1[[#This Row],[CountryCode]],[1]!Table1[#All],1,FALSE)</f>
        <v>#REF!</v>
      </c>
    </row>
    <row r="6754" spans="1:12" hidden="1" x14ac:dyDescent="0.3">
      <c r="A6754" t="s">
        <v>101</v>
      </c>
      <c r="B6754" t="s">
        <v>102</v>
      </c>
      <c r="C6754" t="s">
        <v>127</v>
      </c>
      <c r="D6754" t="s">
        <v>128</v>
      </c>
      <c r="E6754">
        <v>2006</v>
      </c>
      <c r="F6754" s="1">
        <v>7950</v>
      </c>
      <c r="G6754">
        <v>2000</v>
      </c>
      <c r="H6754">
        <f>AVERAGEIFS(Table1[value],Table1[IndicatorCode],Table1[[#This Row],[IndicatorCode]])</f>
        <v>24902.88753799392</v>
      </c>
      <c r="I6754" cm="1">
        <f t="array" ref="I6754">_xlfn.STDEV.P(IF(Table1[IndicatorCode]=Table1[[#This Row],[IndicatorCode]],Table1[value]))</f>
        <v>26324.778297809873</v>
      </c>
      <c r="J6754">
        <f>(Table1[[#This Row],[value]] - Table1[[#This Row],[mean]]) / Table1[[#This Row],[std_dev]]</f>
        <v>-0.6439897554390549</v>
      </c>
      <c r="K6754">
        <f>AVERAGEIF(Table1[CountryCode],Table1[[#This Row],[CountryCode]],Table1[z-score])</f>
        <v>-0.17256201820971051</v>
      </c>
      <c r="L6754" t="e">
        <f>VLOOKUP(Table1[[#This Row],[CountryCode]],[1]!Table1[#All],1,FALSE)</f>
        <v>#REF!</v>
      </c>
    </row>
    <row r="6755" spans="1:12" hidden="1" x14ac:dyDescent="0.3">
      <c r="A6755" t="s">
        <v>101</v>
      </c>
      <c r="B6755" t="s">
        <v>102</v>
      </c>
      <c r="C6755" t="s">
        <v>127</v>
      </c>
      <c r="D6755" t="s">
        <v>128</v>
      </c>
      <c r="E6755">
        <v>2007</v>
      </c>
      <c r="F6755" s="1">
        <v>8640</v>
      </c>
      <c r="G6755">
        <v>2010</v>
      </c>
      <c r="H6755">
        <f>AVERAGEIFS(Table1[value],Table1[IndicatorCode],Table1[[#This Row],[IndicatorCode]])</f>
        <v>24902.88753799392</v>
      </c>
      <c r="I6755" cm="1">
        <f t="array" ref="I6755">_xlfn.STDEV.P(IF(Table1[IndicatorCode]=Table1[[#This Row],[IndicatorCode]],Table1[value]))</f>
        <v>26324.778297809873</v>
      </c>
      <c r="J6755">
        <f>(Table1[[#This Row],[value]] - Table1[[#This Row],[mean]]) / Table1[[#This Row],[std_dev]]</f>
        <v>-0.61777870848572103</v>
      </c>
      <c r="K6755">
        <f>AVERAGEIF(Table1[CountryCode],Table1[[#This Row],[CountryCode]],Table1[z-score])</f>
        <v>-0.17256201820971051</v>
      </c>
      <c r="L6755" t="e">
        <f>VLOOKUP(Table1[[#This Row],[CountryCode]],[1]!Table1[#All],1,FALSE)</f>
        <v>#REF!</v>
      </c>
    </row>
    <row r="6756" spans="1:12" hidden="1" x14ac:dyDescent="0.3">
      <c r="A6756" t="s">
        <v>101</v>
      </c>
      <c r="B6756" t="s">
        <v>102</v>
      </c>
      <c r="C6756" t="s">
        <v>127</v>
      </c>
      <c r="D6756" t="s">
        <v>128</v>
      </c>
      <c r="E6756">
        <v>2008</v>
      </c>
      <c r="F6756" s="1">
        <v>9094</v>
      </c>
      <c r="G6756">
        <v>2010</v>
      </c>
      <c r="H6756">
        <f>AVERAGEIFS(Table1[value],Table1[IndicatorCode],Table1[[#This Row],[IndicatorCode]])</f>
        <v>24902.88753799392</v>
      </c>
      <c r="I6756" cm="1">
        <f t="array" ref="I6756">_xlfn.STDEV.P(IF(Table1[IndicatorCode]=Table1[[#This Row],[IndicatorCode]],Table1[value]))</f>
        <v>26324.778297809873</v>
      </c>
      <c r="J6756">
        <f>(Table1[[#This Row],[value]] - Table1[[#This Row],[mean]]) / Table1[[#This Row],[std_dev]]</f>
        <v>-0.60053259933091863</v>
      </c>
      <c r="K6756">
        <f>AVERAGEIF(Table1[CountryCode],Table1[[#This Row],[CountryCode]],Table1[z-score])</f>
        <v>-0.17256201820971051</v>
      </c>
      <c r="L6756" t="e">
        <f>VLOOKUP(Table1[[#This Row],[CountryCode]],[1]!Table1[#All],1,FALSE)</f>
        <v>#REF!</v>
      </c>
    </row>
    <row r="6757" spans="1:12" hidden="1" x14ac:dyDescent="0.3">
      <c r="A6757" t="s">
        <v>101</v>
      </c>
      <c r="B6757" t="s">
        <v>102</v>
      </c>
      <c r="C6757" t="s">
        <v>127</v>
      </c>
      <c r="D6757" t="s">
        <v>128</v>
      </c>
      <c r="E6757">
        <v>2009</v>
      </c>
      <c r="F6757" s="1">
        <v>8382</v>
      </c>
      <c r="G6757">
        <v>2010</v>
      </c>
      <c r="H6757">
        <f>AVERAGEIFS(Table1[value],Table1[IndicatorCode],Table1[[#This Row],[IndicatorCode]])</f>
        <v>24902.88753799392</v>
      </c>
      <c r="I6757" cm="1">
        <f t="array" ref="I6757">_xlfn.STDEV.P(IF(Table1[IndicatorCode]=Table1[[#This Row],[IndicatorCode]],Table1[value]))</f>
        <v>26324.778297809873</v>
      </c>
      <c r="J6757">
        <f>(Table1[[#This Row],[value]] - Table1[[#This Row],[mean]]) / Table1[[#This Row],[std_dev]]</f>
        <v>-0.62757936082479371</v>
      </c>
      <c r="K6757">
        <f>AVERAGEIF(Table1[CountryCode],Table1[[#This Row],[CountryCode]],Table1[z-score])</f>
        <v>-0.17256201820971051</v>
      </c>
      <c r="L6757" t="e">
        <f>VLOOKUP(Table1[[#This Row],[CountryCode]],[1]!Table1[#All],1,FALSE)</f>
        <v>#REF!</v>
      </c>
    </row>
    <row r="6758" spans="1:12" hidden="1" x14ac:dyDescent="0.3">
      <c r="A6758" t="s">
        <v>101</v>
      </c>
      <c r="B6758" t="s">
        <v>102</v>
      </c>
      <c r="C6758" t="s">
        <v>127</v>
      </c>
      <c r="D6758" t="s">
        <v>128</v>
      </c>
      <c r="E6758">
        <v>2010</v>
      </c>
      <c r="F6758" s="1">
        <v>8755</v>
      </c>
      <c r="G6758">
        <v>2010</v>
      </c>
      <c r="H6758">
        <f>AVERAGEIFS(Table1[value],Table1[IndicatorCode],Table1[[#This Row],[IndicatorCode]])</f>
        <v>24902.88753799392</v>
      </c>
      <c r="I6758" cm="1">
        <f t="array" ref="I6758">_xlfn.STDEV.P(IF(Table1[IndicatorCode]=Table1[[#This Row],[IndicatorCode]],Table1[value]))</f>
        <v>26324.778297809873</v>
      </c>
      <c r="J6758">
        <f>(Table1[[#This Row],[value]] - Table1[[#This Row],[mean]]) / Table1[[#This Row],[std_dev]]</f>
        <v>-0.61341020066016538</v>
      </c>
      <c r="K6758">
        <f>AVERAGEIF(Table1[CountryCode],Table1[[#This Row],[CountryCode]],Table1[z-score])</f>
        <v>-0.17256201820971051</v>
      </c>
      <c r="L6758" t="e">
        <f>VLOOKUP(Table1[[#This Row],[CountryCode]],[1]!Table1[#All],1,FALSE)</f>
        <v>#REF!</v>
      </c>
    </row>
    <row r="6759" spans="1:12" hidden="1" x14ac:dyDescent="0.3">
      <c r="A6759" t="s">
        <v>101</v>
      </c>
      <c r="B6759" t="s">
        <v>102</v>
      </c>
      <c r="C6759" t="s">
        <v>127</v>
      </c>
      <c r="D6759" t="s">
        <v>128</v>
      </c>
      <c r="E6759">
        <v>2011</v>
      </c>
      <c r="F6759" s="1">
        <v>9121</v>
      </c>
      <c r="G6759">
        <v>2010</v>
      </c>
      <c r="H6759">
        <f>AVERAGEIFS(Table1[value],Table1[IndicatorCode],Table1[[#This Row],[IndicatorCode]])</f>
        <v>24902.88753799392</v>
      </c>
      <c r="I6759" cm="1">
        <f t="array" ref="I6759">_xlfn.STDEV.P(IF(Table1[IndicatorCode]=Table1[[#This Row],[IndicatorCode]],Table1[value]))</f>
        <v>26324.778297809873</v>
      </c>
      <c r="J6759">
        <f>(Table1[[#This Row],[value]] - Table1[[#This Row],[mean]]) / Table1[[#This Row],[std_dev]]</f>
        <v>-0.59950694966752738</v>
      </c>
      <c r="K6759">
        <f>AVERAGEIF(Table1[CountryCode],Table1[[#This Row],[CountryCode]],Table1[z-score])</f>
        <v>-0.17256201820971051</v>
      </c>
      <c r="L6759" t="e">
        <f>VLOOKUP(Table1[[#This Row],[CountryCode]],[1]!Table1[#All],1,FALSE)</f>
        <v>#REF!</v>
      </c>
    </row>
    <row r="6760" spans="1:12" hidden="1" x14ac:dyDescent="0.3">
      <c r="A6760" t="s">
        <v>101</v>
      </c>
      <c r="B6760" t="s">
        <v>102</v>
      </c>
      <c r="C6760" t="s">
        <v>127</v>
      </c>
      <c r="D6760" t="s">
        <v>128</v>
      </c>
      <c r="E6760">
        <v>2012</v>
      </c>
      <c r="F6760" s="1">
        <v>9464</v>
      </c>
      <c r="G6760">
        <v>2010</v>
      </c>
      <c r="H6760">
        <f>AVERAGEIFS(Table1[value],Table1[IndicatorCode],Table1[[#This Row],[IndicatorCode]])</f>
        <v>24902.88753799392</v>
      </c>
      <c r="I6760" cm="1">
        <f t="array" ref="I6760">_xlfn.STDEV.P(IF(Table1[IndicatorCode]=Table1[[#This Row],[IndicatorCode]],Table1[value]))</f>
        <v>26324.778297809873</v>
      </c>
      <c r="J6760">
        <f>(Table1[[#This Row],[value]] - Table1[[#This Row],[mean]]) / Table1[[#This Row],[std_dev]]</f>
        <v>-0.5864774002400005</v>
      </c>
      <c r="K6760">
        <f>AVERAGEIF(Table1[CountryCode],Table1[[#This Row],[CountryCode]],Table1[z-score])</f>
        <v>-0.17256201820971051</v>
      </c>
      <c r="L6760" t="e">
        <f>VLOOKUP(Table1[[#This Row],[CountryCode]],[1]!Table1[#All],1,FALSE)</f>
        <v>#REF!</v>
      </c>
    </row>
    <row r="6761" spans="1:12" hidden="1" x14ac:dyDescent="0.3">
      <c r="A6761" t="s">
        <v>101</v>
      </c>
      <c r="B6761" t="s">
        <v>102</v>
      </c>
      <c r="C6761" t="s">
        <v>127</v>
      </c>
      <c r="D6761" t="s">
        <v>128</v>
      </c>
      <c r="E6761">
        <v>2013</v>
      </c>
      <c r="F6761" s="1">
        <v>9602</v>
      </c>
      <c r="G6761">
        <v>2010</v>
      </c>
      <c r="H6761">
        <f>AVERAGEIFS(Table1[value],Table1[IndicatorCode],Table1[[#This Row],[IndicatorCode]])</f>
        <v>24902.88753799392</v>
      </c>
      <c r="I6761" cm="1">
        <f t="array" ref="I6761">_xlfn.STDEV.P(IF(Table1[IndicatorCode]=Table1[[#This Row],[IndicatorCode]],Table1[value]))</f>
        <v>26324.778297809873</v>
      </c>
      <c r="J6761">
        <f>(Table1[[#This Row],[value]] - Table1[[#This Row],[mean]]) / Table1[[#This Row],[std_dev]]</f>
        <v>-0.58123519084933373</v>
      </c>
      <c r="K6761">
        <f>AVERAGEIF(Table1[CountryCode],Table1[[#This Row],[CountryCode]],Table1[z-score])</f>
        <v>-0.17256201820971051</v>
      </c>
      <c r="L6761" t="e">
        <f>VLOOKUP(Table1[[#This Row],[CountryCode]],[1]!Table1[#All],1,FALSE)</f>
        <v>#REF!</v>
      </c>
    </row>
    <row r="6762" spans="1:12" hidden="1" x14ac:dyDescent="0.3">
      <c r="A6762" t="s">
        <v>101</v>
      </c>
      <c r="B6762" t="s">
        <v>102</v>
      </c>
      <c r="C6762" t="s">
        <v>127</v>
      </c>
      <c r="D6762" t="s">
        <v>128</v>
      </c>
      <c r="E6762">
        <v>2014</v>
      </c>
      <c r="F6762" s="1">
        <v>9494</v>
      </c>
      <c r="G6762">
        <v>2010</v>
      </c>
      <c r="H6762">
        <f>AVERAGEIFS(Table1[value],Table1[IndicatorCode],Table1[[#This Row],[IndicatorCode]])</f>
        <v>24902.88753799392</v>
      </c>
      <c r="I6762" cm="1">
        <f t="array" ref="I6762">_xlfn.STDEV.P(IF(Table1[IndicatorCode]=Table1[[#This Row],[IndicatorCode]],Table1[value]))</f>
        <v>26324.778297809873</v>
      </c>
      <c r="J6762">
        <f>(Table1[[#This Row],[value]] - Table1[[#This Row],[mean]]) / Table1[[#This Row],[std_dev]]</f>
        <v>-0.58533778950289905</v>
      </c>
      <c r="K6762">
        <f>AVERAGEIF(Table1[CountryCode],Table1[[#This Row],[CountryCode]],Table1[z-score])</f>
        <v>-0.17256201820971051</v>
      </c>
      <c r="L6762" t="e">
        <f>VLOOKUP(Table1[[#This Row],[CountryCode]],[1]!Table1[#All],1,FALSE)</f>
        <v>#REF!</v>
      </c>
    </row>
    <row r="6763" spans="1:12" hidden="1" x14ac:dyDescent="0.3">
      <c r="A6763" t="s">
        <v>101</v>
      </c>
      <c r="B6763" t="s">
        <v>102</v>
      </c>
      <c r="C6763" t="s">
        <v>127</v>
      </c>
      <c r="D6763" t="s">
        <v>128</v>
      </c>
      <c r="E6763">
        <v>2015</v>
      </c>
      <c r="F6763" s="1">
        <v>9278</v>
      </c>
      <c r="G6763">
        <v>2010</v>
      </c>
      <c r="H6763">
        <f>AVERAGEIFS(Table1[value],Table1[IndicatorCode],Table1[[#This Row],[IndicatorCode]])</f>
        <v>24902.88753799392</v>
      </c>
      <c r="I6763" cm="1">
        <f t="array" ref="I6763">_xlfn.STDEV.P(IF(Table1[IndicatorCode]=Table1[[#This Row],[IndicatorCode]],Table1[value]))</f>
        <v>26324.778297809873</v>
      </c>
      <c r="J6763">
        <f>(Table1[[#This Row],[value]] - Table1[[#This Row],[mean]]) / Table1[[#This Row],[std_dev]]</f>
        <v>-0.59354298681002959</v>
      </c>
      <c r="K6763">
        <f>AVERAGEIF(Table1[CountryCode],Table1[[#This Row],[CountryCode]],Table1[z-score])</f>
        <v>-0.17256201820971051</v>
      </c>
      <c r="L6763" t="e">
        <f>VLOOKUP(Table1[[#This Row],[CountryCode]],[1]!Table1[#All],1,FALSE)</f>
        <v>#REF!</v>
      </c>
    </row>
    <row r="6764" spans="1:12" hidden="1" x14ac:dyDescent="0.3">
      <c r="A6764" t="s">
        <v>101</v>
      </c>
      <c r="B6764" t="s">
        <v>102</v>
      </c>
      <c r="C6764" t="s">
        <v>127</v>
      </c>
      <c r="D6764" t="s">
        <v>128</v>
      </c>
      <c r="E6764">
        <v>2016</v>
      </c>
      <c r="F6764" s="1">
        <v>9269</v>
      </c>
      <c r="G6764">
        <v>2010</v>
      </c>
      <c r="H6764">
        <f>AVERAGEIFS(Table1[value],Table1[IndicatorCode],Table1[[#This Row],[IndicatorCode]])</f>
        <v>24902.88753799392</v>
      </c>
      <c r="I6764" cm="1">
        <f t="array" ref="I6764">_xlfn.STDEV.P(IF(Table1[IndicatorCode]=Table1[[#This Row],[IndicatorCode]],Table1[value]))</f>
        <v>26324.778297809873</v>
      </c>
      <c r="J6764">
        <f>(Table1[[#This Row],[value]] - Table1[[#This Row],[mean]]) / Table1[[#This Row],[std_dev]]</f>
        <v>-0.59388487003116008</v>
      </c>
      <c r="K6764">
        <f>AVERAGEIF(Table1[CountryCode],Table1[[#This Row],[CountryCode]],Table1[z-score])</f>
        <v>-0.17256201820971051</v>
      </c>
      <c r="L6764" t="e">
        <f>VLOOKUP(Table1[[#This Row],[CountryCode]],[1]!Table1[#All],1,FALSE)</f>
        <v>#REF!</v>
      </c>
    </row>
    <row r="6765" spans="1:12" hidden="1" x14ac:dyDescent="0.3">
      <c r="A6765" t="s">
        <v>101</v>
      </c>
      <c r="B6765" t="s">
        <v>102</v>
      </c>
      <c r="C6765" t="s">
        <v>127</v>
      </c>
      <c r="D6765" t="s">
        <v>128</v>
      </c>
      <c r="E6765">
        <v>2017</v>
      </c>
      <c r="F6765" s="1">
        <v>9419</v>
      </c>
      <c r="G6765">
        <v>2020</v>
      </c>
      <c r="H6765">
        <f>AVERAGEIFS(Table1[value],Table1[IndicatorCode],Table1[[#This Row],[IndicatorCode]])</f>
        <v>24902.88753799392</v>
      </c>
      <c r="I6765" cm="1">
        <f t="array" ref="I6765">_xlfn.STDEV.P(IF(Table1[IndicatorCode]=Table1[[#This Row],[IndicatorCode]],Table1[value]))</f>
        <v>26324.778297809873</v>
      </c>
      <c r="J6765">
        <f>(Table1[[#This Row],[value]] - Table1[[#This Row],[mean]]) / Table1[[#This Row],[std_dev]]</f>
        <v>-0.58818681634565273</v>
      </c>
      <c r="K6765">
        <f>AVERAGEIF(Table1[CountryCode],Table1[[#This Row],[CountryCode]],Table1[z-score])</f>
        <v>-0.17256201820971051</v>
      </c>
      <c r="L6765" t="e">
        <f>VLOOKUP(Table1[[#This Row],[CountryCode]],[1]!Table1[#All],1,FALSE)</f>
        <v>#REF!</v>
      </c>
    </row>
    <row r="6766" spans="1:12" hidden="1" x14ac:dyDescent="0.3">
      <c r="A6766" t="s">
        <v>101</v>
      </c>
      <c r="B6766" t="s">
        <v>102</v>
      </c>
      <c r="C6766" t="s">
        <v>127</v>
      </c>
      <c r="D6766" t="s">
        <v>128</v>
      </c>
      <c r="E6766">
        <v>2018</v>
      </c>
      <c r="F6766" s="1">
        <v>9675</v>
      </c>
      <c r="G6766">
        <v>2020</v>
      </c>
      <c r="H6766">
        <f>AVERAGEIFS(Table1[value],Table1[IndicatorCode],Table1[[#This Row],[IndicatorCode]])</f>
        <v>24902.88753799392</v>
      </c>
      <c r="I6766" cm="1">
        <f t="array" ref="I6766">_xlfn.STDEV.P(IF(Table1[IndicatorCode]=Table1[[#This Row],[IndicatorCode]],Table1[value]))</f>
        <v>26324.778297809873</v>
      </c>
      <c r="J6766">
        <f>(Table1[[#This Row],[value]] - Table1[[#This Row],[mean]]) / Table1[[#This Row],[std_dev]]</f>
        <v>-0.57846213805572011</v>
      </c>
      <c r="K6766">
        <f>AVERAGEIF(Table1[CountryCode],Table1[[#This Row],[CountryCode]],Table1[z-score])</f>
        <v>-0.17256201820971051</v>
      </c>
      <c r="L6766" t="e">
        <f>VLOOKUP(Table1[[#This Row],[CountryCode]],[1]!Table1[#All],1,FALSE)</f>
        <v>#REF!</v>
      </c>
    </row>
    <row r="6767" spans="1:12" hidden="1" x14ac:dyDescent="0.3">
      <c r="A6767" t="s">
        <v>101</v>
      </c>
      <c r="B6767" t="s">
        <v>102</v>
      </c>
      <c r="C6767" t="s">
        <v>127</v>
      </c>
      <c r="D6767" t="s">
        <v>128</v>
      </c>
      <c r="E6767">
        <v>2019</v>
      </c>
      <c r="F6767" s="1">
        <v>9882</v>
      </c>
      <c r="G6767">
        <v>2020</v>
      </c>
      <c r="H6767">
        <f>AVERAGEIFS(Table1[value],Table1[IndicatorCode],Table1[[#This Row],[IndicatorCode]])</f>
        <v>24902.88753799392</v>
      </c>
      <c r="I6767" cm="1">
        <f t="array" ref="I6767">_xlfn.STDEV.P(IF(Table1[IndicatorCode]=Table1[[#This Row],[IndicatorCode]],Table1[value]))</f>
        <v>26324.778297809873</v>
      </c>
      <c r="J6767">
        <f>(Table1[[#This Row],[value]] - Table1[[#This Row],[mean]]) / Table1[[#This Row],[std_dev]]</f>
        <v>-0.57059882396971995</v>
      </c>
      <c r="K6767">
        <f>AVERAGEIF(Table1[CountryCode],Table1[[#This Row],[CountryCode]],Table1[z-score])</f>
        <v>-0.17256201820971051</v>
      </c>
      <c r="L6767" t="e">
        <f>VLOOKUP(Table1[[#This Row],[CountryCode]],[1]!Table1[#All],1,FALSE)</f>
        <v>#REF!</v>
      </c>
    </row>
    <row r="6768" spans="1:12" x14ac:dyDescent="0.3">
      <c r="A6768" t="s">
        <v>57</v>
      </c>
      <c r="B6768" t="s">
        <v>58</v>
      </c>
      <c r="C6768" t="s">
        <v>127</v>
      </c>
      <c r="D6768" t="s">
        <v>128</v>
      </c>
      <c r="E6768">
        <v>2020</v>
      </c>
      <c r="F6768" s="1">
        <v>48170</v>
      </c>
      <c r="G6768">
        <v>2020</v>
      </c>
      <c r="H6768">
        <f>AVERAGEIFS(Table1[value],Table1[IndicatorCode],Table1[[#This Row],[IndicatorCode]])</f>
        <v>24902.88753799392</v>
      </c>
      <c r="I6768" cm="1">
        <f t="array" ref="I6768">_xlfn.STDEV.P(IF(Table1[IndicatorCode]=Table1[[#This Row],[IndicatorCode]],Table1[value]))</f>
        <v>26324.778297809873</v>
      </c>
      <c r="J6768">
        <f>(Table1[[#This Row],[value]] - Table1[[#This Row],[mean]]) / Table1[[#This Row],[std_dev]]</f>
        <v>0.88384837276832151</v>
      </c>
      <c r="K6768">
        <f>AVERAGEIF(Table1[CountryCode],Table1[[#This Row],[CountryCode]],Table1[z-score])</f>
        <v>-0.42188835181926676</v>
      </c>
    </row>
    <row r="6769" spans="1:12" hidden="1" x14ac:dyDescent="0.3">
      <c r="A6769" t="s">
        <v>101</v>
      </c>
      <c r="B6769" t="s">
        <v>102</v>
      </c>
      <c r="C6769" t="s">
        <v>127</v>
      </c>
      <c r="D6769" t="s">
        <v>128</v>
      </c>
      <c r="E6769">
        <v>2021</v>
      </c>
      <c r="F6769" s="1">
        <v>10231</v>
      </c>
      <c r="G6769">
        <v>2020</v>
      </c>
      <c r="H6769">
        <f>AVERAGEIFS(Table1[value],Table1[IndicatorCode],Table1[[#This Row],[IndicatorCode]])</f>
        <v>24902.88753799392</v>
      </c>
      <c r="I6769" cm="1">
        <f t="array" ref="I6769">_xlfn.STDEV.P(IF(Table1[IndicatorCode]=Table1[[#This Row],[IndicatorCode]],Table1[value]))</f>
        <v>26324.778297809873</v>
      </c>
      <c r="J6769">
        <f>(Table1[[#This Row],[value]] - Table1[[#This Row],[mean]]) / Table1[[#This Row],[std_dev]]</f>
        <v>-0.55734135239477278</v>
      </c>
      <c r="K6769">
        <f>AVERAGEIF(Table1[CountryCode],Table1[[#This Row],[CountryCode]],Table1[z-score])</f>
        <v>-0.17256201820971051</v>
      </c>
      <c r="L6769" t="e">
        <f>VLOOKUP(Table1[[#This Row],[CountryCode]],[1]!Table1[#All],1,FALSE)</f>
        <v>#REF!</v>
      </c>
    </row>
    <row r="6770" spans="1:12" hidden="1" x14ac:dyDescent="0.3">
      <c r="A6770" t="s">
        <v>101</v>
      </c>
      <c r="B6770" t="s">
        <v>102</v>
      </c>
      <c r="C6770" t="s">
        <v>127</v>
      </c>
      <c r="D6770" t="s">
        <v>128</v>
      </c>
      <c r="E6770">
        <v>2022</v>
      </c>
      <c r="F6770" s="1">
        <v>10119</v>
      </c>
      <c r="G6770">
        <v>1990</v>
      </c>
      <c r="H6770">
        <f>AVERAGEIFS(Table1[value],Table1[IndicatorCode],Table1[[#This Row],[IndicatorCode]])</f>
        <v>24902.88753799392</v>
      </c>
      <c r="I6770" cm="1">
        <f t="array" ref="I6770">_xlfn.STDEV.P(IF(Table1[IndicatorCode]=Table1[[#This Row],[IndicatorCode]],Table1[value]))</f>
        <v>26324.778297809873</v>
      </c>
      <c r="J6770">
        <f>(Table1[[#This Row],[value]] - Table1[[#This Row],[mean]]) / Table1[[#This Row],[std_dev]]</f>
        <v>-0.56159589914661834</v>
      </c>
      <c r="K6770">
        <f>AVERAGEIF(Table1[CountryCode],Table1[[#This Row],[CountryCode]],Table1[z-score])</f>
        <v>-0.17256201820971051</v>
      </c>
      <c r="L6770" t="e">
        <f>VLOOKUP(Table1[[#This Row],[CountryCode]],[1]!Table1[#All],1,FALSE)</f>
        <v>#REF!</v>
      </c>
    </row>
    <row r="6771" spans="1:12" hidden="1" x14ac:dyDescent="0.3">
      <c r="A6771" t="s">
        <v>101</v>
      </c>
      <c r="B6771" t="s">
        <v>102</v>
      </c>
      <c r="C6771" t="s">
        <v>127</v>
      </c>
      <c r="D6771" t="s">
        <v>128</v>
      </c>
      <c r="E6771">
        <v>2023</v>
      </c>
      <c r="F6771" s="1">
        <v>10562</v>
      </c>
      <c r="G6771">
        <v>1990</v>
      </c>
      <c r="H6771">
        <f>AVERAGEIFS(Table1[value],Table1[IndicatorCode],Table1[[#This Row],[IndicatorCode]])</f>
        <v>24902.88753799392</v>
      </c>
      <c r="I6771" cm="1">
        <f t="array" ref="I6771">_xlfn.STDEV.P(IF(Table1[IndicatorCode]=Table1[[#This Row],[IndicatorCode]],Table1[value]))</f>
        <v>26324.778297809873</v>
      </c>
      <c r="J6771">
        <f>(Table1[[#This Row],[value]] - Table1[[#This Row],[mean]]) / Table1[[#This Row],[std_dev]]</f>
        <v>-0.5447676472620866</v>
      </c>
      <c r="K6771">
        <f>AVERAGEIF(Table1[CountryCode],Table1[[#This Row],[CountryCode]],Table1[z-score])</f>
        <v>-0.17256201820971051</v>
      </c>
      <c r="L6771" t="e">
        <f>VLOOKUP(Table1[[#This Row],[CountryCode]],[1]!Table1[#All],1,FALSE)</f>
        <v>#REF!</v>
      </c>
    </row>
    <row r="6772" spans="1:12" hidden="1" x14ac:dyDescent="0.3">
      <c r="A6772" t="s">
        <v>101</v>
      </c>
      <c r="B6772" t="s">
        <v>102</v>
      </c>
      <c r="C6772" t="s">
        <v>127</v>
      </c>
      <c r="D6772" t="s">
        <v>128</v>
      </c>
      <c r="E6772">
        <v>2024</v>
      </c>
      <c r="F6772" s="1">
        <v>11043</v>
      </c>
      <c r="G6772">
        <v>1990</v>
      </c>
      <c r="H6772">
        <f>AVERAGEIFS(Table1[value],Table1[IndicatorCode],Table1[[#This Row],[IndicatorCode]])</f>
        <v>24902.88753799392</v>
      </c>
      <c r="I6772" cm="1">
        <f t="array" ref="I6772">_xlfn.STDEV.P(IF(Table1[IndicatorCode]=Table1[[#This Row],[IndicatorCode]],Table1[value]))</f>
        <v>26324.778297809873</v>
      </c>
      <c r="J6772">
        <f>(Table1[[#This Row],[value]] - Table1[[#This Row],[mean]]) / Table1[[#This Row],[std_dev]]</f>
        <v>-0.52649588844389295</v>
      </c>
      <c r="K6772">
        <f>AVERAGEIF(Table1[CountryCode],Table1[[#This Row],[CountryCode]],Table1[z-score])</f>
        <v>-0.17256201820971051</v>
      </c>
      <c r="L6772" t="e">
        <f>VLOOKUP(Table1[[#This Row],[CountryCode]],[1]!Table1[#All],1,FALSE)</f>
        <v>#REF!</v>
      </c>
    </row>
    <row r="6773" spans="1:12" hidden="1" x14ac:dyDescent="0.3">
      <c r="A6773" t="s">
        <v>103</v>
      </c>
      <c r="B6773" t="s">
        <v>104</v>
      </c>
      <c r="C6773" t="s">
        <v>127</v>
      </c>
      <c r="D6773" t="s">
        <v>128</v>
      </c>
      <c r="E6773">
        <v>1997</v>
      </c>
      <c r="F6773" s="1">
        <v>48410</v>
      </c>
      <c r="G6773">
        <v>2000</v>
      </c>
      <c r="H6773">
        <f>AVERAGEIFS(Table1[value],Table1[IndicatorCode],Table1[[#This Row],[IndicatorCode]])</f>
        <v>24902.88753799392</v>
      </c>
      <c r="I6773" cm="1">
        <f t="array" ref="I6773">_xlfn.STDEV.P(IF(Table1[IndicatorCode]=Table1[[#This Row],[IndicatorCode]],Table1[value]))</f>
        <v>26324.778297809873</v>
      </c>
      <c r="J6773">
        <f>(Table1[[#This Row],[value]] - Table1[[#This Row],[mean]]) / Table1[[#This Row],[std_dev]]</f>
        <v>0.89296525866513332</v>
      </c>
      <c r="K6773">
        <f>AVERAGEIF(Table1[CountryCode],Table1[[#This Row],[CountryCode]],Table1[z-score])</f>
        <v>0.77730634815106903</v>
      </c>
      <c r="L6773" t="e">
        <f>VLOOKUP(Table1[[#This Row],[CountryCode]],[1]!Table1[#All],1,FALSE)</f>
        <v>#REF!</v>
      </c>
    </row>
    <row r="6774" spans="1:12" hidden="1" x14ac:dyDescent="0.3">
      <c r="A6774" t="s">
        <v>103</v>
      </c>
      <c r="B6774" t="s">
        <v>104</v>
      </c>
      <c r="C6774" t="s">
        <v>127</v>
      </c>
      <c r="D6774" t="s">
        <v>128</v>
      </c>
      <c r="E6774">
        <v>1998</v>
      </c>
      <c r="F6774" s="1">
        <v>51376</v>
      </c>
      <c r="G6774">
        <v>2000</v>
      </c>
      <c r="H6774">
        <f>AVERAGEIFS(Table1[value],Table1[IndicatorCode],Table1[[#This Row],[IndicatorCode]])</f>
        <v>24902.88753799392</v>
      </c>
      <c r="I6774" cm="1">
        <f t="array" ref="I6774">_xlfn.STDEV.P(IF(Table1[IndicatorCode]=Table1[[#This Row],[IndicatorCode]],Table1[value]))</f>
        <v>26324.778297809873</v>
      </c>
      <c r="J6774">
        <f>(Table1[[#This Row],[value]] - Table1[[#This Row],[mean]]) / Table1[[#This Row],[std_dev]]</f>
        <v>1.0056347735398989</v>
      </c>
      <c r="K6774">
        <f>AVERAGEIF(Table1[CountryCode],Table1[[#This Row],[CountryCode]],Table1[z-score])</f>
        <v>0.77730634815106903</v>
      </c>
      <c r="L6774" t="e">
        <f>VLOOKUP(Table1[[#This Row],[CountryCode]],[1]!Table1[#All],1,FALSE)</f>
        <v>#REF!</v>
      </c>
    </row>
    <row r="6775" spans="1:12" hidden="1" x14ac:dyDescent="0.3">
      <c r="A6775" t="s">
        <v>103</v>
      </c>
      <c r="B6775" t="s">
        <v>104</v>
      </c>
      <c r="C6775" t="s">
        <v>127</v>
      </c>
      <c r="D6775" t="s">
        <v>128</v>
      </c>
      <c r="E6775">
        <v>1999</v>
      </c>
      <c r="F6775" s="1">
        <v>55318</v>
      </c>
      <c r="G6775">
        <v>2000</v>
      </c>
      <c r="H6775">
        <f>AVERAGEIFS(Table1[value],Table1[IndicatorCode],Table1[[#This Row],[IndicatorCode]])</f>
        <v>24902.88753799392</v>
      </c>
      <c r="I6775" cm="1">
        <f t="array" ref="I6775">_xlfn.STDEV.P(IF(Table1[IndicatorCode]=Table1[[#This Row],[IndicatorCode]],Table1[value]))</f>
        <v>26324.778297809873</v>
      </c>
      <c r="J6775">
        <f>(Table1[[#This Row],[value]] - Table1[[#This Row],[mean]]) / Table1[[#This Row],[std_dev]]</f>
        <v>1.1553796243950327</v>
      </c>
      <c r="K6775">
        <f>AVERAGEIF(Table1[CountryCode],Table1[[#This Row],[CountryCode]],Table1[z-score])</f>
        <v>0.77730634815106903</v>
      </c>
      <c r="L6775" t="e">
        <f>VLOOKUP(Table1[[#This Row],[CountryCode]],[1]!Table1[#All],1,FALSE)</f>
        <v>#REF!</v>
      </c>
    </row>
    <row r="6776" spans="1:12" hidden="1" x14ac:dyDescent="0.3">
      <c r="A6776" t="s">
        <v>103</v>
      </c>
      <c r="B6776" t="s">
        <v>104</v>
      </c>
      <c r="C6776" t="s">
        <v>127</v>
      </c>
      <c r="D6776" t="s">
        <v>128</v>
      </c>
      <c r="E6776">
        <v>2000</v>
      </c>
      <c r="F6776" s="1">
        <v>55807</v>
      </c>
      <c r="G6776">
        <v>2000</v>
      </c>
      <c r="H6776">
        <f>AVERAGEIFS(Table1[value],Table1[IndicatorCode],Table1[[#This Row],[IndicatorCode]])</f>
        <v>24902.88753799392</v>
      </c>
      <c r="I6776" cm="1">
        <f t="array" ref="I6776">_xlfn.STDEV.P(IF(Table1[IndicatorCode]=Table1[[#This Row],[IndicatorCode]],Table1[value]))</f>
        <v>26324.778297809873</v>
      </c>
      <c r="J6776">
        <f>(Table1[[#This Row],[value]] - Table1[[#This Row],[mean]]) / Table1[[#This Row],[std_dev]]</f>
        <v>1.1739552794097867</v>
      </c>
      <c r="K6776">
        <f>AVERAGEIF(Table1[CountryCode],Table1[[#This Row],[CountryCode]],Table1[z-score])</f>
        <v>0.77730634815106903</v>
      </c>
      <c r="L6776" t="e">
        <f>VLOOKUP(Table1[[#This Row],[CountryCode]],[1]!Table1[#All],1,FALSE)</f>
        <v>#REF!</v>
      </c>
    </row>
    <row r="6777" spans="1:12" hidden="1" x14ac:dyDescent="0.3">
      <c r="A6777" t="s">
        <v>103</v>
      </c>
      <c r="B6777" t="s">
        <v>104</v>
      </c>
      <c r="C6777" t="s">
        <v>127</v>
      </c>
      <c r="D6777" t="s">
        <v>128</v>
      </c>
      <c r="E6777">
        <v>2001</v>
      </c>
      <c r="F6777" s="1">
        <v>58173</v>
      </c>
      <c r="G6777">
        <v>2000</v>
      </c>
      <c r="H6777">
        <f>AVERAGEIFS(Table1[value],Table1[IndicatorCode],Table1[[#This Row],[IndicatorCode]])</f>
        <v>24902.88753799392</v>
      </c>
      <c r="I6777" cm="1">
        <f t="array" ref="I6777">_xlfn.STDEV.P(IF(Table1[IndicatorCode]=Table1[[#This Row],[IndicatorCode]],Table1[value]))</f>
        <v>26324.778297809873</v>
      </c>
      <c r="J6777">
        <f>(Table1[[#This Row],[value]] - Table1[[#This Row],[mean]]) / Table1[[#This Row],[std_dev]]</f>
        <v>1.2638325795425229</v>
      </c>
      <c r="K6777">
        <f>AVERAGEIF(Table1[CountryCode],Table1[[#This Row],[CountryCode]],Table1[z-score])</f>
        <v>0.77730634815106903</v>
      </c>
      <c r="L6777" t="e">
        <f>VLOOKUP(Table1[[#This Row],[CountryCode]],[1]!Table1[#All],1,FALSE)</f>
        <v>#REF!</v>
      </c>
    </row>
    <row r="6778" spans="1:12" hidden="1" x14ac:dyDescent="0.3">
      <c r="A6778" t="s">
        <v>103</v>
      </c>
      <c r="B6778" t="s">
        <v>104</v>
      </c>
      <c r="C6778" t="s">
        <v>127</v>
      </c>
      <c r="D6778" t="s">
        <v>128</v>
      </c>
      <c r="E6778">
        <v>2002</v>
      </c>
      <c r="F6778" s="1">
        <v>57615</v>
      </c>
      <c r="G6778">
        <v>2000</v>
      </c>
      <c r="H6778">
        <f>AVERAGEIFS(Table1[value],Table1[IndicatorCode],Table1[[#This Row],[IndicatorCode]])</f>
        <v>24902.88753799392</v>
      </c>
      <c r="I6778" cm="1">
        <f t="array" ref="I6778">_xlfn.STDEV.P(IF(Table1[IndicatorCode]=Table1[[#This Row],[IndicatorCode]],Table1[value]))</f>
        <v>26324.778297809873</v>
      </c>
      <c r="J6778">
        <f>(Table1[[#This Row],[value]] - Table1[[#This Row],[mean]]) / Table1[[#This Row],[std_dev]]</f>
        <v>1.2426358198324357</v>
      </c>
      <c r="K6778">
        <f>AVERAGEIF(Table1[CountryCode],Table1[[#This Row],[CountryCode]],Table1[z-score])</f>
        <v>0.77730634815106903</v>
      </c>
      <c r="L6778" t="e">
        <f>VLOOKUP(Table1[[#This Row],[CountryCode]],[1]!Table1[#All],1,FALSE)</f>
        <v>#REF!</v>
      </c>
    </row>
    <row r="6779" spans="1:12" hidden="1" x14ac:dyDescent="0.3">
      <c r="A6779" t="s">
        <v>103</v>
      </c>
      <c r="B6779" t="s">
        <v>104</v>
      </c>
      <c r="C6779" t="s">
        <v>127</v>
      </c>
      <c r="D6779" t="s">
        <v>128</v>
      </c>
      <c r="E6779">
        <v>2003</v>
      </c>
      <c r="F6779" s="1">
        <v>59090</v>
      </c>
      <c r="G6779">
        <v>2000</v>
      </c>
      <c r="H6779">
        <f>AVERAGEIFS(Table1[value],Table1[IndicatorCode],Table1[[#This Row],[IndicatorCode]])</f>
        <v>24902.88753799392</v>
      </c>
      <c r="I6779" cm="1">
        <f t="array" ref="I6779">_xlfn.STDEV.P(IF(Table1[IndicatorCode]=Table1[[#This Row],[IndicatorCode]],Table1[value]))</f>
        <v>26324.778297809873</v>
      </c>
      <c r="J6779">
        <f>(Table1[[#This Row],[value]] - Table1[[#This Row],[mean]]) / Table1[[#This Row],[std_dev]]</f>
        <v>1.2986666810732581</v>
      </c>
      <c r="K6779">
        <f>AVERAGEIF(Table1[CountryCode],Table1[[#This Row],[CountryCode]],Table1[z-score])</f>
        <v>0.77730634815106903</v>
      </c>
      <c r="L6779" t="e">
        <f>VLOOKUP(Table1[[#This Row],[CountryCode]],[1]!Table1[#All],1,FALSE)</f>
        <v>#REF!</v>
      </c>
    </row>
    <row r="6780" spans="1:12" hidden="1" x14ac:dyDescent="0.3">
      <c r="A6780" t="s">
        <v>103</v>
      </c>
      <c r="B6780" t="s">
        <v>104</v>
      </c>
      <c r="C6780" t="s">
        <v>127</v>
      </c>
      <c r="D6780" t="s">
        <v>128</v>
      </c>
      <c r="E6780">
        <v>2004</v>
      </c>
      <c r="F6780" s="1">
        <v>58393</v>
      </c>
      <c r="G6780">
        <v>2000</v>
      </c>
      <c r="H6780">
        <f>AVERAGEIFS(Table1[value],Table1[IndicatorCode],Table1[[#This Row],[IndicatorCode]])</f>
        <v>24902.88753799392</v>
      </c>
      <c r="I6780" cm="1">
        <f t="array" ref="I6780">_xlfn.STDEV.P(IF(Table1[IndicatorCode]=Table1[[#This Row],[IndicatorCode]],Table1[value]))</f>
        <v>26324.778297809873</v>
      </c>
      <c r="J6780">
        <f>(Table1[[#This Row],[value]] - Table1[[#This Row],[mean]]) / Table1[[#This Row],[std_dev]]</f>
        <v>1.2721897249479339</v>
      </c>
      <c r="K6780">
        <f>AVERAGEIF(Table1[CountryCode],Table1[[#This Row],[CountryCode]],Table1[z-score])</f>
        <v>0.77730634815106903</v>
      </c>
      <c r="L6780" t="e">
        <f>VLOOKUP(Table1[[#This Row],[CountryCode]],[1]!Table1[#All],1,FALSE)</f>
        <v>#REF!</v>
      </c>
    </row>
    <row r="6781" spans="1:12" hidden="1" x14ac:dyDescent="0.3">
      <c r="A6781" t="s">
        <v>103</v>
      </c>
      <c r="B6781" t="s">
        <v>104</v>
      </c>
      <c r="C6781" t="s">
        <v>127</v>
      </c>
      <c r="D6781" t="s">
        <v>128</v>
      </c>
      <c r="E6781">
        <v>2005</v>
      </c>
      <c r="F6781" s="1">
        <v>59050</v>
      </c>
      <c r="G6781">
        <v>2000</v>
      </c>
      <c r="H6781">
        <f>AVERAGEIFS(Table1[value],Table1[IndicatorCode],Table1[[#This Row],[IndicatorCode]])</f>
        <v>24902.88753799392</v>
      </c>
      <c r="I6781" cm="1">
        <f t="array" ref="I6781">_xlfn.STDEV.P(IF(Table1[IndicatorCode]=Table1[[#This Row],[IndicatorCode]],Table1[value]))</f>
        <v>26324.778297809873</v>
      </c>
      <c r="J6781">
        <f>(Table1[[#This Row],[value]] - Table1[[#This Row],[mean]]) / Table1[[#This Row],[std_dev]]</f>
        <v>1.297147200090456</v>
      </c>
      <c r="K6781">
        <f>AVERAGEIF(Table1[CountryCode],Table1[[#This Row],[CountryCode]],Table1[z-score])</f>
        <v>0.77730634815106903</v>
      </c>
      <c r="L6781" t="e">
        <f>VLOOKUP(Table1[[#This Row],[CountryCode]],[1]!Table1[#All],1,FALSE)</f>
        <v>#REF!</v>
      </c>
    </row>
    <row r="6782" spans="1:12" hidden="1" x14ac:dyDescent="0.3">
      <c r="A6782" t="s">
        <v>103</v>
      </c>
      <c r="B6782" t="s">
        <v>104</v>
      </c>
      <c r="C6782" t="s">
        <v>127</v>
      </c>
      <c r="D6782" t="s">
        <v>128</v>
      </c>
      <c r="E6782">
        <v>2006</v>
      </c>
      <c r="F6782" s="1">
        <v>60604</v>
      </c>
      <c r="G6782">
        <v>2000</v>
      </c>
      <c r="H6782">
        <f>AVERAGEIFS(Table1[value],Table1[IndicatorCode],Table1[[#This Row],[IndicatorCode]])</f>
        <v>24902.88753799392</v>
      </c>
      <c r="I6782" cm="1">
        <f t="array" ref="I6782">_xlfn.STDEV.P(IF(Table1[IndicatorCode]=Table1[[#This Row],[IndicatorCode]],Table1[value]))</f>
        <v>26324.778297809873</v>
      </c>
      <c r="J6782">
        <f>(Table1[[#This Row],[value]] - Table1[[#This Row],[mean]]) / Table1[[#This Row],[std_dev]]</f>
        <v>1.3561790362723125</v>
      </c>
      <c r="K6782">
        <f>AVERAGEIF(Table1[CountryCode],Table1[[#This Row],[CountryCode]],Table1[z-score])</f>
        <v>0.77730634815106903</v>
      </c>
      <c r="L6782" t="e">
        <f>VLOOKUP(Table1[[#This Row],[CountryCode]],[1]!Table1[#All],1,FALSE)</f>
        <v>#REF!</v>
      </c>
    </row>
    <row r="6783" spans="1:12" hidden="1" x14ac:dyDescent="0.3">
      <c r="A6783" t="s">
        <v>103</v>
      </c>
      <c r="B6783" t="s">
        <v>104</v>
      </c>
      <c r="C6783" t="s">
        <v>127</v>
      </c>
      <c r="D6783" t="s">
        <v>128</v>
      </c>
      <c r="E6783">
        <v>2007</v>
      </c>
      <c r="F6783" s="1">
        <v>62777</v>
      </c>
      <c r="G6783">
        <v>2010</v>
      </c>
      <c r="H6783">
        <f>AVERAGEIFS(Table1[value],Table1[IndicatorCode],Table1[[#This Row],[IndicatorCode]])</f>
        <v>24902.88753799392</v>
      </c>
      <c r="I6783" cm="1">
        <f t="array" ref="I6783">_xlfn.STDEV.P(IF(Table1[IndicatorCode]=Table1[[#This Row],[IndicatorCode]],Table1[value]))</f>
        <v>26324.778297809873</v>
      </c>
      <c r="J6783">
        <f>(Table1[[#This Row],[value]] - Table1[[#This Row],[mean]]) / Table1[[#This Row],[std_dev]]</f>
        <v>1.4387248406630293</v>
      </c>
      <c r="K6783">
        <f>AVERAGEIF(Table1[CountryCode],Table1[[#This Row],[CountryCode]],Table1[z-score])</f>
        <v>0.77730634815106903</v>
      </c>
      <c r="L6783" t="e">
        <f>VLOOKUP(Table1[[#This Row],[CountryCode]],[1]!Table1[#All],1,FALSE)</f>
        <v>#REF!</v>
      </c>
    </row>
    <row r="6784" spans="1:12" hidden="1" x14ac:dyDescent="0.3">
      <c r="A6784" t="s">
        <v>103</v>
      </c>
      <c r="B6784" t="s">
        <v>104</v>
      </c>
      <c r="C6784" t="s">
        <v>127</v>
      </c>
      <c r="D6784" t="s">
        <v>128</v>
      </c>
      <c r="E6784">
        <v>2008</v>
      </c>
      <c r="F6784" s="1">
        <v>61573</v>
      </c>
      <c r="G6784">
        <v>2010</v>
      </c>
      <c r="H6784">
        <f>AVERAGEIFS(Table1[value],Table1[IndicatorCode],Table1[[#This Row],[IndicatorCode]])</f>
        <v>24902.88753799392</v>
      </c>
      <c r="I6784" cm="1">
        <f t="array" ref="I6784">_xlfn.STDEV.P(IF(Table1[IndicatorCode]=Table1[[#This Row],[IndicatorCode]],Table1[value]))</f>
        <v>26324.778297809873</v>
      </c>
      <c r="J6784">
        <f>(Table1[[#This Row],[value]] - Table1[[#This Row],[mean]]) / Table1[[#This Row],[std_dev]]</f>
        <v>1.3929884630806901</v>
      </c>
      <c r="K6784">
        <f>AVERAGEIF(Table1[CountryCode],Table1[[#This Row],[CountryCode]],Table1[z-score])</f>
        <v>0.77730634815106903</v>
      </c>
      <c r="L6784" t="e">
        <f>VLOOKUP(Table1[[#This Row],[CountryCode]],[1]!Table1[#All],1,FALSE)</f>
        <v>#REF!</v>
      </c>
    </row>
    <row r="6785" spans="1:12" hidden="1" x14ac:dyDescent="0.3">
      <c r="A6785" t="s">
        <v>103</v>
      </c>
      <c r="B6785" t="s">
        <v>104</v>
      </c>
      <c r="C6785" t="s">
        <v>127</v>
      </c>
      <c r="D6785" t="s">
        <v>128</v>
      </c>
      <c r="E6785">
        <v>2009</v>
      </c>
      <c r="F6785" s="1">
        <v>52873</v>
      </c>
      <c r="G6785">
        <v>2010</v>
      </c>
      <c r="H6785">
        <f>AVERAGEIFS(Table1[value],Table1[IndicatorCode],Table1[[#This Row],[IndicatorCode]])</f>
        <v>24902.88753799392</v>
      </c>
      <c r="I6785" cm="1">
        <f t="array" ref="I6785">_xlfn.STDEV.P(IF(Table1[IndicatorCode]=Table1[[#This Row],[IndicatorCode]],Table1[value]))</f>
        <v>26324.778297809873</v>
      </c>
      <c r="J6785">
        <f>(Table1[[#This Row],[value]] - Table1[[#This Row],[mean]]) / Table1[[#This Row],[std_dev]]</f>
        <v>1.0625013493212625</v>
      </c>
      <c r="K6785">
        <f>AVERAGEIF(Table1[CountryCode],Table1[[#This Row],[CountryCode]],Table1[z-score])</f>
        <v>0.77730634815106903</v>
      </c>
      <c r="L6785" t="e">
        <f>VLOOKUP(Table1[[#This Row],[CountryCode]],[1]!Table1[#All],1,FALSE)</f>
        <v>#REF!</v>
      </c>
    </row>
    <row r="6786" spans="1:12" hidden="1" x14ac:dyDescent="0.3">
      <c r="A6786" t="s">
        <v>103</v>
      </c>
      <c r="B6786" t="s">
        <v>104</v>
      </c>
      <c r="C6786" t="s">
        <v>127</v>
      </c>
      <c r="D6786" t="s">
        <v>128</v>
      </c>
      <c r="E6786">
        <v>2010</v>
      </c>
      <c r="F6786" s="1">
        <v>49673</v>
      </c>
      <c r="G6786">
        <v>2010</v>
      </c>
      <c r="H6786">
        <f>AVERAGEIFS(Table1[value],Table1[IndicatorCode],Table1[[#This Row],[IndicatorCode]])</f>
        <v>24902.88753799392</v>
      </c>
      <c r="I6786" cm="1">
        <f t="array" ref="I6786">_xlfn.STDEV.P(IF(Table1[IndicatorCode]=Table1[[#This Row],[IndicatorCode]],Table1[value]))</f>
        <v>26324.778297809873</v>
      </c>
      <c r="J6786">
        <f>(Table1[[#This Row],[value]] - Table1[[#This Row],[mean]]) / Table1[[#This Row],[std_dev]]</f>
        <v>0.94094287069710536</v>
      </c>
      <c r="K6786">
        <f>AVERAGEIF(Table1[CountryCode],Table1[[#This Row],[CountryCode]],Table1[z-score])</f>
        <v>0.77730634815106903</v>
      </c>
      <c r="L6786" t="e">
        <f>VLOOKUP(Table1[[#This Row],[CountryCode]],[1]!Table1[#All],1,FALSE)</f>
        <v>#REF!</v>
      </c>
    </row>
    <row r="6787" spans="1:12" hidden="1" x14ac:dyDescent="0.3">
      <c r="A6787" t="s">
        <v>103</v>
      </c>
      <c r="B6787" t="s">
        <v>104</v>
      </c>
      <c r="C6787" t="s">
        <v>127</v>
      </c>
      <c r="D6787" t="s">
        <v>128</v>
      </c>
      <c r="E6787">
        <v>2011</v>
      </c>
      <c r="F6787" s="1">
        <v>46450</v>
      </c>
      <c r="G6787">
        <v>2010</v>
      </c>
      <c r="H6787">
        <f>AVERAGEIFS(Table1[value],Table1[IndicatorCode],Table1[[#This Row],[IndicatorCode]])</f>
        <v>24902.88753799392</v>
      </c>
      <c r="I6787" cm="1">
        <f t="array" ref="I6787">_xlfn.STDEV.P(IF(Table1[IndicatorCode]=Table1[[#This Row],[IndicatorCode]],Table1[value]))</f>
        <v>26324.778297809873</v>
      </c>
      <c r="J6787">
        <f>(Table1[[#This Row],[value]] - Table1[[#This Row],[mean]]) / Table1[[#This Row],[std_dev]]</f>
        <v>0.81851069050783698</v>
      </c>
      <c r="K6787">
        <f>AVERAGEIF(Table1[CountryCode],Table1[[#This Row],[CountryCode]],Table1[z-score])</f>
        <v>0.77730634815106903</v>
      </c>
      <c r="L6787" t="e">
        <f>VLOOKUP(Table1[[#This Row],[CountryCode]],[1]!Table1[#All],1,FALSE)</f>
        <v>#REF!</v>
      </c>
    </row>
    <row r="6788" spans="1:12" hidden="1" x14ac:dyDescent="0.3">
      <c r="A6788" t="s">
        <v>103</v>
      </c>
      <c r="B6788" t="s">
        <v>104</v>
      </c>
      <c r="C6788" t="s">
        <v>127</v>
      </c>
      <c r="D6788" t="s">
        <v>128</v>
      </c>
      <c r="E6788">
        <v>2012</v>
      </c>
      <c r="F6788" s="1">
        <v>42083</v>
      </c>
      <c r="G6788">
        <v>2010</v>
      </c>
      <c r="H6788">
        <f>AVERAGEIFS(Table1[value],Table1[IndicatorCode],Table1[[#This Row],[IndicatorCode]])</f>
        <v>24902.88753799392</v>
      </c>
      <c r="I6788" cm="1">
        <f t="array" ref="I6788">_xlfn.STDEV.P(IF(Table1[IndicatorCode]=Table1[[#This Row],[IndicatorCode]],Table1[value]))</f>
        <v>26324.778297809873</v>
      </c>
      <c r="J6788">
        <f>(Table1[[#This Row],[value]] - Table1[[#This Row],[mean]]) / Table1[[#This Row],[std_dev]]</f>
        <v>0.65262135421043233</v>
      </c>
      <c r="K6788">
        <f>AVERAGEIF(Table1[CountryCode],Table1[[#This Row],[CountryCode]],Table1[z-score])</f>
        <v>0.77730634815106903</v>
      </c>
      <c r="L6788" t="e">
        <f>VLOOKUP(Table1[[#This Row],[CountryCode]],[1]!Table1[#All],1,FALSE)</f>
        <v>#REF!</v>
      </c>
    </row>
    <row r="6789" spans="1:12" hidden="1" x14ac:dyDescent="0.3">
      <c r="A6789" t="s">
        <v>103</v>
      </c>
      <c r="B6789" t="s">
        <v>104</v>
      </c>
      <c r="C6789" t="s">
        <v>127</v>
      </c>
      <c r="D6789" t="s">
        <v>128</v>
      </c>
      <c r="E6789">
        <v>2013</v>
      </c>
      <c r="F6789" s="1">
        <v>42293</v>
      </c>
      <c r="G6789">
        <v>2010</v>
      </c>
      <c r="H6789">
        <f>AVERAGEIFS(Table1[value],Table1[IndicatorCode],Table1[[#This Row],[IndicatorCode]])</f>
        <v>24902.88753799392</v>
      </c>
      <c r="I6789" cm="1">
        <f t="array" ref="I6789">_xlfn.STDEV.P(IF(Table1[IndicatorCode]=Table1[[#This Row],[IndicatorCode]],Table1[value]))</f>
        <v>26324.778297809873</v>
      </c>
      <c r="J6789">
        <f>(Table1[[#This Row],[value]] - Table1[[#This Row],[mean]]) / Table1[[#This Row],[std_dev]]</f>
        <v>0.66059862937014269</v>
      </c>
      <c r="K6789">
        <f>AVERAGEIF(Table1[CountryCode],Table1[[#This Row],[CountryCode]],Table1[z-score])</f>
        <v>0.77730634815106903</v>
      </c>
      <c r="L6789" t="e">
        <f>VLOOKUP(Table1[[#This Row],[CountryCode]],[1]!Table1[#All],1,FALSE)</f>
        <v>#REF!</v>
      </c>
    </row>
    <row r="6790" spans="1:12" hidden="1" x14ac:dyDescent="0.3">
      <c r="A6790" t="s">
        <v>103</v>
      </c>
      <c r="B6790" t="s">
        <v>104</v>
      </c>
      <c r="C6790" t="s">
        <v>127</v>
      </c>
      <c r="D6790" t="s">
        <v>128</v>
      </c>
      <c r="E6790">
        <v>2014</v>
      </c>
      <c r="F6790" s="1">
        <v>42493</v>
      </c>
      <c r="G6790">
        <v>2010</v>
      </c>
      <c r="H6790">
        <f>AVERAGEIFS(Table1[value],Table1[IndicatorCode],Table1[[#This Row],[IndicatorCode]])</f>
        <v>24902.88753799392</v>
      </c>
      <c r="I6790" cm="1">
        <f t="array" ref="I6790">_xlfn.STDEV.P(IF(Table1[IndicatorCode]=Table1[[#This Row],[IndicatorCode]],Table1[value]))</f>
        <v>26324.778297809873</v>
      </c>
      <c r="J6790">
        <f>(Table1[[#This Row],[value]] - Table1[[#This Row],[mean]]) / Table1[[#This Row],[std_dev]]</f>
        <v>0.66819603428415253</v>
      </c>
      <c r="K6790">
        <f>AVERAGEIF(Table1[CountryCode],Table1[[#This Row],[CountryCode]],Table1[z-score])</f>
        <v>0.77730634815106903</v>
      </c>
      <c r="L6790" t="e">
        <f>VLOOKUP(Table1[[#This Row],[CountryCode]],[1]!Table1[#All],1,FALSE)</f>
        <v>#REF!</v>
      </c>
    </row>
    <row r="6791" spans="1:12" hidden="1" x14ac:dyDescent="0.3">
      <c r="A6791" t="s">
        <v>103</v>
      </c>
      <c r="B6791" t="s">
        <v>104</v>
      </c>
      <c r="C6791" t="s">
        <v>127</v>
      </c>
      <c r="D6791" t="s">
        <v>128</v>
      </c>
      <c r="E6791">
        <v>2015</v>
      </c>
      <c r="F6791" s="1">
        <v>43147</v>
      </c>
      <c r="G6791">
        <v>2010</v>
      </c>
      <c r="H6791">
        <f>AVERAGEIFS(Table1[value],Table1[IndicatorCode],Table1[[#This Row],[IndicatorCode]])</f>
        <v>24902.88753799392</v>
      </c>
      <c r="I6791" cm="1">
        <f t="array" ref="I6791">_xlfn.STDEV.P(IF(Table1[IndicatorCode]=Table1[[#This Row],[IndicatorCode]],Table1[value]))</f>
        <v>26324.778297809873</v>
      </c>
      <c r="J6791">
        <f>(Table1[[#This Row],[value]] - Table1[[#This Row],[mean]]) / Table1[[#This Row],[std_dev]]</f>
        <v>0.69303954835296466</v>
      </c>
      <c r="K6791">
        <f>AVERAGEIF(Table1[CountryCode],Table1[[#This Row],[CountryCode]],Table1[z-score])</f>
        <v>0.77730634815106903</v>
      </c>
      <c r="L6791" t="e">
        <f>VLOOKUP(Table1[[#This Row],[CountryCode]],[1]!Table1[#All],1,FALSE)</f>
        <v>#REF!</v>
      </c>
    </row>
    <row r="6792" spans="1:12" hidden="1" x14ac:dyDescent="0.3">
      <c r="A6792" t="s">
        <v>103</v>
      </c>
      <c r="B6792" t="s">
        <v>104</v>
      </c>
      <c r="C6792" t="s">
        <v>127</v>
      </c>
      <c r="D6792" t="s">
        <v>128</v>
      </c>
      <c r="E6792">
        <v>2016</v>
      </c>
      <c r="F6792" s="1">
        <v>43886</v>
      </c>
      <c r="G6792">
        <v>2010</v>
      </c>
      <c r="H6792">
        <f>AVERAGEIFS(Table1[value],Table1[IndicatorCode],Table1[[#This Row],[IndicatorCode]])</f>
        <v>24902.88753799392</v>
      </c>
      <c r="I6792" cm="1">
        <f t="array" ref="I6792">_xlfn.STDEV.P(IF(Table1[IndicatorCode]=Table1[[#This Row],[IndicatorCode]],Table1[value]))</f>
        <v>26324.778297809873</v>
      </c>
      <c r="J6792">
        <f>(Table1[[#This Row],[value]] - Table1[[#This Row],[mean]]) / Table1[[#This Row],[std_dev]]</f>
        <v>0.72111195951023099</v>
      </c>
      <c r="K6792">
        <f>AVERAGEIF(Table1[CountryCode],Table1[[#This Row],[CountryCode]],Table1[z-score])</f>
        <v>0.77730634815106903</v>
      </c>
      <c r="L6792" t="e">
        <f>VLOOKUP(Table1[[#This Row],[CountryCode]],[1]!Table1[#All],1,FALSE)</f>
        <v>#REF!</v>
      </c>
    </row>
    <row r="6793" spans="1:12" hidden="1" x14ac:dyDescent="0.3">
      <c r="A6793" t="s">
        <v>103</v>
      </c>
      <c r="B6793" t="s">
        <v>104</v>
      </c>
      <c r="C6793" t="s">
        <v>127</v>
      </c>
      <c r="D6793" t="s">
        <v>128</v>
      </c>
      <c r="E6793">
        <v>2017</v>
      </c>
      <c r="F6793" s="1">
        <v>43058</v>
      </c>
      <c r="G6793">
        <v>2020</v>
      </c>
      <c r="H6793">
        <f>AVERAGEIFS(Table1[value],Table1[IndicatorCode],Table1[[#This Row],[IndicatorCode]])</f>
        <v>24902.88753799392</v>
      </c>
      <c r="I6793" cm="1">
        <f t="array" ref="I6793">_xlfn.STDEV.P(IF(Table1[IndicatorCode]=Table1[[#This Row],[IndicatorCode]],Table1[value]))</f>
        <v>26324.778297809873</v>
      </c>
      <c r="J6793">
        <f>(Table1[[#This Row],[value]] - Table1[[#This Row],[mean]]) / Table1[[#This Row],[std_dev]]</f>
        <v>0.68965870316623024</v>
      </c>
      <c r="K6793">
        <f>AVERAGEIF(Table1[CountryCode],Table1[[#This Row],[CountryCode]],Table1[z-score])</f>
        <v>0.77730634815106903</v>
      </c>
      <c r="L6793" t="e">
        <f>VLOOKUP(Table1[[#This Row],[CountryCode]],[1]!Table1[#All],1,FALSE)</f>
        <v>#REF!</v>
      </c>
    </row>
    <row r="6794" spans="1:12" hidden="1" x14ac:dyDescent="0.3">
      <c r="A6794" t="s">
        <v>103</v>
      </c>
      <c r="B6794" t="s">
        <v>104</v>
      </c>
      <c r="C6794" t="s">
        <v>127</v>
      </c>
      <c r="D6794" t="s">
        <v>128</v>
      </c>
      <c r="E6794">
        <v>2018</v>
      </c>
      <c r="F6794" s="1">
        <v>42819</v>
      </c>
      <c r="G6794">
        <v>2020</v>
      </c>
      <c r="H6794">
        <f>AVERAGEIFS(Table1[value],Table1[IndicatorCode],Table1[[#This Row],[IndicatorCode]])</f>
        <v>24902.88753799392</v>
      </c>
      <c r="I6794" cm="1">
        <f t="array" ref="I6794">_xlfn.STDEV.P(IF(Table1[IndicatorCode]=Table1[[#This Row],[IndicatorCode]],Table1[value]))</f>
        <v>26324.778297809873</v>
      </c>
      <c r="J6794">
        <f>(Table1[[#This Row],[value]] - Table1[[#This Row],[mean]]) / Table1[[#This Row],[std_dev]]</f>
        <v>0.68057980429398857</v>
      </c>
      <c r="K6794">
        <f>AVERAGEIF(Table1[CountryCode],Table1[[#This Row],[CountryCode]],Table1[z-score])</f>
        <v>0.77730634815106903</v>
      </c>
      <c r="L6794" t="e">
        <f>VLOOKUP(Table1[[#This Row],[CountryCode]],[1]!Table1[#All],1,FALSE)</f>
        <v>#REF!</v>
      </c>
    </row>
    <row r="6795" spans="1:12" hidden="1" x14ac:dyDescent="0.3">
      <c r="A6795" t="s">
        <v>103</v>
      </c>
      <c r="B6795" t="s">
        <v>104</v>
      </c>
      <c r="C6795" t="s">
        <v>127</v>
      </c>
      <c r="D6795" t="s">
        <v>128</v>
      </c>
      <c r="E6795">
        <v>2019</v>
      </c>
      <c r="F6795" s="1">
        <v>43525</v>
      </c>
      <c r="G6795">
        <v>2020</v>
      </c>
      <c r="H6795">
        <f>AVERAGEIFS(Table1[value],Table1[IndicatorCode],Table1[[#This Row],[IndicatorCode]])</f>
        <v>24902.88753799392</v>
      </c>
      <c r="I6795" cm="1">
        <f t="array" ref="I6795">_xlfn.STDEV.P(IF(Table1[IndicatorCode]=Table1[[#This Row],[IndicatorCode]],Table1[value]))</f>
        <v>26324.778297809873</v>
      </c>
      <c r="J6795">
        <f>(Table1[[#This Row],[value]] - Table1[[#This Row],[mean]]) / Table1[[#This Row],[std_dev]]</f>
        <v>0.70739864364044325</v>
      </c>
      <c r="K6795">
        <f>AVERAGEIF(Table1[CountryCode],Table1[[#This Row],[CountryCode]],Table1[z-score])</f>
        <v>0.77730634815106903</v>
      </c>
      <c r="L6795" t="e">
        <f>VLOOKUP(Table1[[#This Row],[CountryCode]],[1]!Table1[#All],1,FALSE)</f>
        <v>#REF!</v>
      </c>
    </row>
    <row r="6796" spans="1:12" x14ac:dyDescent="0.3">
      <c r="A6796" t="s">
        <v>111</v>
      </c>
      <c r="B6796" t="s">
        <v>112</v>
      </c>
      <c r="C6796" t="s">
        <v>127</v>
      </c>
      <c r="D6796" t="s">
        <v>128</v>
      </c>
      <c r="E6796">
        <v>2020</v>
      </c>
      <c r="F6796" s="1">
        <v>51625</v>
      </c>
      <c r="G6796">
        <v>2020</v>
      </c>
      <c r="H6796">
        <f>AVERAGEIFS(Table1[value],Table1[IndicatorCode],Table1[[#This Row],[IndicatorCode]])</f>
        <v>24902.88753799392</v>
      </c>
      <c r="I6796" cm="1">
        <f t="array" ref="I6796">_xlfn.STDEV.P(IF(Table1[IndicatorCode]=Table1[[#This Row],[IndicatorCode]],Table1[value]))</f>
        <v>26324.778297809873</v>
      </c>
      <c r="J6796">
        <f>(Table1[[#This Row],[value]] - Table1[[#This Row],[mean]]) / Table1[[#This Row],[std_dev]]</f>
        <v>1.0150935426578414</v>
      </c>
      <c r="K6796">
        <f>AVERAGEIF(Table1[CountryCode],Table1[[#This Row],[CountryCode]],Table1[z-score])</f>
        <v>0.37952535202791182</v>
      </c>
    </row>
    <row r="6797" spans="1:12" hidden="1" x14ac:dyDescent="0.3">
      <c r="A6797" t="s">
        <v>103</v>
      </c>
      <c r="B6797" t="s">
        <v>104</v>
      </c>
      <c r="C6797" t="s">
        <v>127</v>
      </c>
      <c r="D6797" t="s">
        <v>128</v>
      </c>
      <c r="E6797">
        <v>2021</v>
      </c>
      <c r="F6797" s="1">
        <v>46834</v>
      </c>
      <c r="G6797">
        <v>1990</v>
      </c>
      <c r="H6797">
        <f>AVERAGEIFS(Table1[value],Table1[IndicatorCode],Table1[[#This Row],[IndicatorCode]])</f>
        <v>24902.88753799392</v>
      </c>
      <c r="I6797" cm="1">
        <f t="array" ref="I6797">_xlfn.STDEV.P(IF(Table1[IndicatorCode]=Table1[[#This Row],[IndicatorCode]],Table1[value]))</f>
        <v>26324.778297809873</v>
      </c>
      <c r="J6797">
        <f>(Table1[[#This Row],[value]] - Table1[[#This Row],[mean]]) / Table1[[#This Row],[std_dev]]</f>
        <v>0.83309770794273585</v>
      </c>
      <c r="K6797">
        <f>AVERAGEIF(Table1[CountryCode],Table1[[#This Row],[CountryCode]],Table1[z-score])</f>
        <v>0.77730634815106903</v>
      </c>
      <c r="L6797" t="e">
        <f>VLOOKUP(Table1[[#This Row],[CountryCode]],[1]!Table1[#All],1,FALSE)</f>
        <v>#REF!</v>
      </c>
    </row>
    <row r="6798" spans="1:12" hidden="1" x14ac:dyDescent="0.3">
      <c r="A6798" t="s">
        <v>103</v>
      </c>
      <c r="B6798" t="s">
        <v>104</v>
      </c>
      <c r="C6798" t="s">
        <v>127</v>
      </c>
      <c r="D6798" t="s">
        <v>128</v>
      </c>
      <c r="E6798">
        <v>2022</v>
      </c>
      <c r="F6798" s="1">
        <v>51277</v>
      </c>
      <c r="G6798">
        <v>1990</v>
      </c>
      <c r="H6798">
        <f>AVERAGEIFS(Table1[value],Table1[IndicatorCode],Table1[[#This Row],[IndicatorCode]])</f>
        <v>24902.88753799392</v>
      </c>
      <c r="I6798" cm="1">
        <f t="array" ref="I6798">_xlfn.STDEV.P(IF(Table1[IndicatorCode]=Table1[[#This Row],[IndicatorCode]],Table1[value]))</f>
        <v>26324.778297809873</v>
      </c>
      <c r="J6798">
        <f>(Table1[[#This Row],[value]] - Table1[[#This Row],[mean]]) / Table1[[#This Row],[std_dev]]</f>
        <v>1.0018740581074641</v>
      </c>
      <c r="K6798">
        <f>AVERAGEIF(Table1[CountryCode],Table1[[#This Row],[CountryCode]],Table1[z-score])</f>
        <v>0.77730634815106903</v>
      </c>
      <c r="L6798" t="e">
        <f>VLOOKUP(Table1[[#This Row],[CountryCode]],[1]!Table1[#All],1,FALSE)</f>
        <v>#REF!</v>
      </c>
    </row>
    <row r="6799" spans="1:12" hidden="1" x14ac:dyDescent="0.3">
      <c r="A6799" t="s">
        <v>103</v>
      </c>
      <c r="B6799" t="s">
        <v>104</v>
      </c>
      <c r="C6799" t="s">
        <v>127</v>
      </c>
      <c r="D6799" t="s">
        <v>128</v>
      </c>
      <c r="E6799">
        <v>2023</v>
      </c>
      <c r="F6799" s="1">
        <v>51324</v>
      </c>
      <c r="G6799">
        <v>1990</v>
      </c>
      <c r="H6799">
        <f>AVERAGEIFS(Table1[value],Table1[IndicatorCode],Table1[[#This Row],[IndicatorCode]])</f>
        <v>24902.88753799392</v>
      </c>
      <c r="I6799" cm="1">
        <f t="array" ref="I6799">_xlfn.STDEV.P(IF(Table1[IndicatorCode]=Table1[[#This Row],[IndicatorCode]],Table1[value]))</f>
        <v>26324.778297809873</v>
      </c>
      <c r="J6799">
        <f>(Table1[[#This Row],[value]] - Table1[[#This Row],[mean]]) / Table1[[#This Row],[std_dev]]</f>
        <v>1.0036594482622565</v>
      </c>
      <c r="K6799">
        <f>AVERAGEIF(Table1[CountryCode],Table1[[#This Row],[CountryCode]],Table1[z-score])</f>
        <v>0.77730634815106903</v>
      </c>
      <c r="L6799" t="e">
        <f>VLOOKUP(Table1[[#This Row],[CountryCode]],[1]!Table1[#All],1,FALSE)</f>
        <v>#REF!</v>
      </c>
    </row>
    <row r="6800" spans="1:12" hidden="1" x14ac:dyDescent="0.3">
      <c r="A6800" t="s">
        <v>105</v>
      </c>
      <c r="B6800" t="s">
        <v>106</v>
      </c>
      <c r="C6800" t="s">
        <v>127</v>
      </c>
      <c r="D6800" t="s">
        <v>128</v>
      </c>
      <c r="E6800">
        <v>1995</v>
      </c>
      <c r="F6800" s="1">
        <v>3012</v>
      </c>
      <c r="G6800">
        <v>1990</v>
      </c>
      <c r="H6800">
        <f>AVERAGEIFS(Table1[value],Table1[IndicatorCode],Table1[[#This Row],[IndicatorCode]])</f>
        <v>24902.88753799392</v>
      </c>
      <c r="I6800" cm="1">
        <f t="array" ref="I6800">_xlfn.STDEV.P(IF(Table1[IndicatorCode]=Table1[[#This Row],[IndicatorCode]],Table1[value]))</f>
        <v>26324.778297809873</v>
      </c>
      <c r="J6800">
        <f>(Table1[[#This Row],[value]] - Table1[[#This Row],[mean]]) / Table1[[#This Row],[std_dev]]</f>
        <v>-0.83156968276595755</v>
      </c>
      <c r="K6800">
        <f>AVERAGEIF(Table1[CountryCode],Table1[[#This Row],[CountryCode]],Table1[z-score])</f>
        <v>-0.17106074072717981</v>
      </c>
      <c r="L6800" t="e">
        <f>VLOOKUP(Table1[[#This Row],[CountryCode]],[1]!Table1[#All],1,FALSE)</f>
        <v>#REF!</v>
      </c>
    </row>
    <row r="6801" spans="1:12" hidden="1" x14ac:dyDescent="0.3">
      <c r="A6801" t="s">
        <v>105</v>
      </c>
      <c r="B6801" t="s">
        <v>106</v>
      </c>
      <c r="C6801" t="s">
        <v>127</v>
      </c>
      <c r="D6801" t="s">
        <v>128</v>
      </c>
      <c r="E6801">
        <v>1996</v>
      </c>
      <c r="F6801" s="1">
        <v>3201</v>
      </c>
      <c r="G6801">
        <v>1990</v>
      </c>
      <c r="H6801">
        <f>AVERAGEIFS(Table1[value],Table1[IndicatorCode],Table1[[#This Row],[IndicatorCode]])</f>
        <v>24902.88753799392</v>
      </c>
      <c r="I6801" cm="1">
        <f t="array" ref="I6801">_xlfn.STDEV.P(IF(Table1[IndicatorCode]=Table1[[#This Row],[IndicatorCode]],Table1[value]))</f>
        <v>26324.778297809873</v>
      </c>
      <c r="J6801">
        <f>(Table1[[#This Row],[value]] - Table1[[#This Row],[mean]]) / Table1[[#This Row],[std_dev]]</f>
        <v>-0.82439013512221826</v>
      </c>
      <c r="K6801">
        <f>AVERAGEIF(Table1[CountryCode],Table1[[#This Row],[CountryCode]],Table1[z-score])</f>
        <v>-0.17106074072717981</v>
      </c>
      <c r="L6801" t="e">
        <f>VLOOKUP(Table1[[#This Row],[CountryCode]],[1]!Table1[#All],1,FALSE)</f>
        <v>#REF!</v>
      </c>
    </row>
    <row r="6802" spans="1:12" hidden="1" x14ac:dyDescent="0.3">
      <c r="A6802" t="s">
        <v>105</v>
      </c>
      <c r="B6802" t="s">
        <v>106</v>
      </c>
      <c r="C6802" t="s">
        <v>127</v>
      </c>
      <c r="D6802" t="s">
        <v>128</v>
      </c>
      <c r="E6802">
        <v>1997</v>
      </c>
      <c r="F6802" s="1">
        <v>3498</v>
      </c>
      <c r="G6802">
        <v>2000</v>
      </c>
      <c r="H6802">
        <f>AVERAGEIFS(Table1[value],Table1[IndicatorCode],Table1[[#This Row],[IndicatorCode]])</f>
        <v>24902.88753799392</v>
      </c>
      <c r="I6802" cm="1">
        <f t="array" ref="I6802">_xlfn.STDEV.P(IF(Table1[IndicatorCode]=Table1[[#This Row],[IndicatorCode]],Table1[value]))</f>
        <v>26324.778297809873</v>
      </c>
      <c r="J6802">
        <f>(Table1[[#This Row],[value]] - Table1[[#This Row],[mean]]) / Table1[[#This Row],[std_dev]]</f>
        <v>-0.81310798882491364</v>
      </c>
      <c r="K6802">
        <f>AVERAGEIF(Table1[CountryCode],Table1[[#This Row],[CountryCode]],Table1[z-score])</f>
        <v>-0.17106074072717981</v>
      </c>
      <c r="L6802" t="e">
        <f>VLOOKUP(Table1[[#This Row],[CountryCode]],[1]!Table1[#All],1,FALSE)</f>
        <v>#REF!</v>
      </c>
    </row>
    <row r="6803" spans="1:12" hidden="1" x14ac:dyDescent="0.3">
      <c r="A6803" t="s">
        <v>105</v>
      </c>
      <c r="B6803" t="s">
        <v>106</v>
      </c>
      <c r="C6803" t="s">
        <v>127</v>
      </c>
      <c r="D6803" t="s">
        <v>128</v>
      </c>
      <c r="E6803">
        <v>1998</v>
      </c>
      <c r="F6803" s="1">
        <v>3699</v>
      </c>
      <c r="G6803">
        <v>2000</v>
      </c>
      <c r="H6803">
        <f>AVERAGEIFS(Table1[value],Table1[IndicatorCode],Table1[[#This Row],[IndicatorCode]])</f>
        <v>24902.88753799392</v>
      </c>
      <c r="I6803" cm="1">
        <f t="array" ref="I6803">_xlfn.STDEV.P(IF(Table1[IndicatorCode]=Table1[[#This Row],[IndicatorCode]],Table1[value]))</f>
        <v>26324.778297809873</v>
      </c>
      <c r="J6803">
        <f>(Table1[[#This Row],[value]] - Table1[[#This Row],[mean]]) / Table1[[#This Row],[std_dev]]</f>
        <v>-0.80547259688633377</v>
      </c>
      <c r="K6803">
        <f>AVERAGEIF(Table1[CountryCode],Table1[[#This Row],[CountryCode]],Table1[z-score])</f>
        <v>-0.17106074072717981</v>
      </c>
      <c r="L6803" t="e">
        <f>VLOOKUP(Table1[[#This Row],[CountryCode]],[1]!Table1[#All],1,FALSE)</f>
        <v>#REF!</v>
      </c>
    </row>
    <row r="6804" spans="1:12" hidden="1" x14ac:dyDescent="0.3">
      <c r="A6804" t="s">
        <v>105</v>
      </c>
      <c r="B6804" t="s">
        <v>106</v>
      </c>
      <c r="C6804" t="s">
        <v>127</v>
      </c>
      <c r="D6804" t="s">
        <v>128</v>
      </c>
      <c r="E6804">
        <v>1999</v>
      </c>
      <c r="F6804" s="1">
        <v>3329</v>
      </c>
      <c r="G6804">
        <v>2000</v>
      </c>
      <c r="H6804">
        <f>AVERAGEIFS(Table1[value],Table1[IndicatorCode],Table1[[#This Row],[IndicatorCode]])</f>
        <v>24902.88753799392</v>
      </c>
      <c r="I6804" cm="1">
        <f t="array" ref="I6804">_xlfn.STDEV.P(IF(Table1[IndicatorCode]=Table1[[#This Row],[IndicatorCode]],Table1[value]))</f>
        <v>26324.778297809873</v>
      </c>
      <c r="J6804">
        <f>(Table1[[#This Row],[value]] - Table1[[#This Row],[mean]]) / Table1[[#This Row],[std_dev]]</f>
        <v>-0.819527795977252</v>
      </c>
      <c r="K6804">
        <f>AVERAGEIF(Table1[CountryCode],Table1[[#This Row],[CountryCode]],Table1[z-score])</f>
        <v>-0.17106074072717981</v>
      </c>
      <c r="L6804" t="e">
        <f>VLOOKUP(Table1[[#This Row],[CountryCode]],[1]!Table1[#All],1,FALSE)</f>
        <v>#REF!</v>
      </c>
    </row>
    <row r="6805" spans="1:12" hidden="1" x14ac:dyDescent="0.3">
      <c r="A6805" t="s">
        <v>105</v>
      </c>
      <c r="B6805" t="s">
        <v>106</v>
      </c>
      <c r="C6805" t="s">
        <v>127</v>
      </c>
      <c r="D6805" t="s">
        <v>128</v>
      </c>
      <c r="E6805">
        <v>2000</v>
      </c>
      <c r="F6805" s="1">
        <v>3542</v>
      </c>
      <c r="G6805">
        <v>2000</v>
      </c>
      <c r="H6805">
        <f>AVERAGEIFS(Table1[value],Table1[IndicatorCode],Table1[[#This Row],[IndicatorCode]])</f>
        <v>24902.88753799392</v>
      </c>
      <c r="I6805" cm="1">
        <f t="array" ref="I6805">_xlfn.STDEV.P(IF(Table1[IndicatorCode]=Table1[[#This Row],[IndicatorCode]],Table1[value]))</f>
        <v>26324.778297809873</v>
      </c>
      <c r="J6805">
        <f>(Table1[[#This Row],[value]] - Table1[[#This Row],[mean]]) / Table1[[#This Row],[std_dev]]</f>
        <v>-0.81143655974383155</v>
      </c>
      <c r="K6805">
        <f>AVERAGEIF(Table1[CountryCode],Table1[[#This Row],[CountryCode]],Table1[z-score])</f>
        <v>-0.17106074072717981</v>
      </c>
      <c r="L6805" t="e">
        <f>VLOOKUP(Table1[[#This Row],[CountryCode]],[1]!Table1[#All],1,FALSE)</f>
        <v>#REF!</v>
      </c>
    </row>
    <row r="6806" spans="1:12" hidden="1" x14ac:dyDescent="0.3">
      <c r="A6806" t="s">
        <v>105</v>
      </c>
      <c r="B6806" t="s">
        <v>106</v>
      </c>
      <c r="C6806" t="s">
        <v>127</v>
      </c>
      <c r="D6806" t="s">
        <v>128</v>
      </c>
      <c r="E6806">
        <v>2001</v>
      </c>
      <c r="F6806" s="1">
        <v>3789</v>
      </c>
      <c r="G6806">
        <v>2000</v>
      </c>
      <c r="H6806">
        <f>AVERAGEIFS(Table1[value],Table1[IndicatorCode],Table1[[#This Row],[IndicatorCode]])</f>
        <v>24902.88753799392</v>
      </c>
      <c r="I6806" cm="1">
        <f t="array" ref="I6806">_xlfn.STDEV.P(IF(Table1[IndicatorCode]=Table1[[#This Row],[IndicatorCode]],Table1[value]))</f>
        <v>26324.778297809873</v>
      </c>
      <c r="J6806">
        <f>(Table1[[#This Row],[value]] - Table1[[#This Row],[mean]]) / Table1[[#This Row],[std_dev]]</f>
        <v>-0.80205376467502931</v>
      </c>
      <c r="K6806">
        <f>AVERAGEIF(Table1[CountryCode],Table1[[#This Row],[CountryCode]],Table1[z-score])</f>
        <v>-0.17106074072717981</v>
      </c>
      <c r="L6806" t="e">
        <f>VLOOKUP(Table1[[#This Row],[CountryCode]],[1]!Table1[#All],1,FALSE)</f>
        <v>#REF!</v>
      </c>
    </row>
    <row r="6807" spans="1:12" hidden="1" x14ac:dyDescent="0.3">
      <c r="A6807" t="s">
        <v>105</v>
      </c>
      <c r="B6807" t="s">
        <v>106</v>
      </c>
      <c r="C6807" t="s">
        <v>127</v>
      </c>
      <c r="D6807" t="s">
        <v>128</v>
      </c>
      <c r="E6807">
        <v>2002</v>
      </c>
      <c r="F6807" s="1">
        <v>4039</v>
      </c>
      <c r="G6807">
        <v>2000</v>
      </c>
      <c r="H6807">
        <f>AVERAGEIFS(Table1[value],Table1[IndicatorCode],Table1[[#This Row],[IndicatorCode]])</f>
        <v>24902.88753799392</v>
      </c>
      <c r="I6807" cm="1">
        <f t="array" ref="I6807">_xlfn.STDEV.P(IF(Table1[IndicatorCode]=Table1[[#This Row],[IndicatorCode]],Table1[value]))</f>
        <v>26324.778297809873</v>
      </c>
      <c r="J6807">
        <f>(Table1[[#This Row],[value]] - Table1[[#This Row],[mean]]) / Table1[[#This Row],[std_dev]]</f>
        <v>-0.79255700853251709</v>
      </c>
      <c r="K6807">
        <f>AVERAGEIF(Table1[CountryCode],Table1[[#This Row],[CountryCode]],Table1[z-score])</f>
        <v>-0.17106074072717981</v>
      </c>
      <c r="L6807" t="e">
        <f>VLOOKUP(Table1[[#This Row],[CountryCode]],[1]!Table1[#All],1,FALSE)</f>
        <v>#REF!</v>
      </c>
    </row>
    <row r="6808" spans="1:12" hidden="1" x14ac:dyDescent="0.3">
      <c r="A6808" t="s">
        <v>105</v>
      </c>
      <c r="B6808" t="s">
        <v>106</v>
      </c>
      <c r="C6808" t="s">
        <v>127</v>
      </c>
      <c r="D6808" t="s">
        <v>128</v>
      </c>
      <c r="E6808">
        <v>2003</v>
      </c>
      <c r="F6808" s="1">
        <v>4234</v>
      </c>
      <c r="G6808">
        <v>2000</v>
      </c>
      <c r="H6808">
        <f>AVERAGEIFS(Table1[value],Table1[IndicatorCode],Table1[[#This Row],[IndicatorCode]])</f>
        <v>24902.88753799392</v>
      </c>
      <c r="I6808" cm="1">
        <f t="array" ref="I6808">_xlfn.STDEV.P(IF(Table1[IndicatorCode]=Table1[[#This Row],[IndicatorCode]],Table1[value]))</f>
        <v>26324.778297809873</v>
      </c>
      <c r="J6808">
        <f>(Table1[[#This Row],[value]] - Table1[[#This Row],[mean]]) / Table1[[#This Row],[std_dev]]</f>
        <v>-0.78514953874135751</v>
      </c>
      <c r="K6808">
        <f>AVERAGEIF(Table1[CountryCode],Table1[[#This Row],[CountryCode]],Table1[z-score])</f>
        <v>-0.17106074072717981</v>
      </c>
      <c r="L6808" t="e">
        <f>VLOOKUP(Table1[[#This Row],[CountryCode]],[1]!Table1[#All],1,FALSE)</f>
        <v>#REF!</v>
      </c>
    </row>
    <row r="6809" spans="1:12" hidden="1" x14ac:dyDescent="0.3">
      <c r="A6809" t="s">
        <v>105</v>
      </c>
      <c r="B6809" t="s">
        <v>106</v>
      </c>
      <c r="C6809" t="s">
        <v>127</v>
      </c>
      <c r="D6809" t="s">
        <v>128</v>
      </c>
      <c r="E6809">
        <v>2004</v>
      </c>
      <c r="F6809" s="1">
        <v>4527</v>
      </c>
      <c r="G6809">
        <v>2000</v>
      </c>
      <c r="H6809">
        <f>AVERAGEIFS(Table1[value],Table1[IndicatorCode],Table1[[#This Row],[IndicatorCode]])</f>
        <v>24902.88753799392</v>
      </c>
      <c r="I6809" cm="1">
        <f t="array" ref="I6809">_xlfn.STDEV.P(IF(Table1[IndicatorCode]=Table1[[#This Row],[IndicatorCode]],Table1[value]))</f>
        <v>26324.778297809873</v>
      </c>
      <c r="J6809">
        <f>(Table1[[#This Row],[value]] - Table1[[#This Row],[mean]]) / Table1[[#This Row],[std_dev]]</f>
        <v>-0.77401934054233312</v>
      </c>
      <c r="K6809">
        <f>AVERAGEIF(Table1[CountryCode],Table1[[#This Row],[CountryCode]],Table1[z-score])</f>
        <v>-0.17106074072717981</v>
      </c>
      <c r="L6809" t="e">
        <f>VLOOKUP(Table1[[#This Row],[CountryCode]],[1]!Table1[#All],1,FALSE)</f>
        <v>#REF!</v>
      </c>
    </row>
    <row r="6810" spans="1:12" hidden="1" x14ac:dyDescent="0.3">
      <c r="A6810" t="s">
        <v>105</v>
      </c>
      <c r="B6810" t="s">
        <v>106</v>
      </c>
      <c r="C6810" t="s">
        <v>127</v>
      </c>
      <c r="D6810" t="s">
        <v>128</v>
      </c>
      <c r="E6810">
        <v>2005</v>
      </c>
      <c r="F6810" s="1">
        <v>4809</v>
      </c>
      <c r="G6810">
        <v>2000</v>
      </c>
      <c r="H6810">
        <f>AVERAGEIFS(Table1[value],Table1[IndicatorCode],Table1[[#This Row],[IndicatorCode]])</f>
        <v>24902.88753799392</v>
      </c>
      <c r="I6810" cm="1">
        <f t="array" ref="I6810">_xlfn.STDEV.P(IF(Table1[IndicatorCode]=Table1[[#This Row],[IndicatorCode]],Table1[value]))</f>
        <v>26324.778297809873</v>
      </c>
      <c r="J6810">
        <f>(Table1[[#This Row],[value]] - Table1[[#This Row],[mean]]) / Table1[[#This Row],[std_dev]]</f>
        <v>-0.76330699961357928</v>
      </c>
      <c r="K6810">
        <f>AVERAGEIF(Table1[CountryCode],Table1[[#This Row],[CountryCode]],Table1[z-score])</f>
        <v>-0.17106074072717981</v>
      </c>
      <c r="L6810" t="e">
        <f>VLOOKUP(Table1[[#This Row],[CountryCode]],[1]!Table1[#All],1,FALSE)</f>
        <v>#REF!</v>
      </c>
    </row>
    <row r="6811" spans="1:12" hidden="1" x14ac:dyDescent="0.3">
      <c r="A6811" t="s">
        <v>105</v>
      </c>
      <c r="B6811" t="s">
        <v>106</v>
      </c>
      <c r="C6811" t="s">
        <v>127</v>
      </c>
      <c r="D6811" t="s">
        <v>128</v>
      </c>
      <c r="E6811">
        <v>2006</v>
      </c>
      <c r="F6811" s="1">
        <v>5016</v>
      </c>
      <c r="G6811">
        <v>2000</v>
      </c>
      <c r="H6811">
        <f>AVERAGEIFS(Table1[value],Table1[IndicatorCode],Table1[[#This Row],[IndicatorCode]])</f>
        <v>24902.88753799392</v>
      </c>
      <c r="I6811" cm="1">
        <f t="array" ref="I6811">_xlfn.STDEV.P(IF(Table1[IndicatorCode]=Table1[[#This Row],[IndicatorCode]],Table1[value]))</f>
        <v>26324.778297809873</v>
      </c>
      <c r="J6811">
        <f>(Table1[[#This Row],[value]] - Table1[[#This Row],[mean]]) / Table1[[#This Row],[std_dev]]</f>
        <v>-0.75544368552757912</v>
      </c>
      <c r="K6811">
        <f>AVERAGEIF(Table1[CountryCode],Table1[[#This Row],[CountryCode]],Table1[z-score])</f>
        <v>-0.17106074072717981</v>
      </c>
      <c r="L6811" t="e">
        <f>VLOOKUP(Table1[[#This Row],[CountryCode]],[1]!Table1[#All],1,FALSE)</f>
        <v>#REF!</v>
      </c>
    </row>
    <row r="6812" spans="1:12" hidden="1" x14ac:dyDescent="0.3">
      <c r="A6812" t="s">
        <v>105</v>
      </c>
      <c r="B6812" t="s">
        <v>106</v>
      </c>
      <c r="C6812" t="s">
        <v>127</v>
      </c>
      <c r="D6812" t="s">
        <v>128</v>
      </c>
      <c r="E6812">
        <v>2007</v>
      </c>
      <c r="F6812" s="1">
        <v>5431</v>
      </c>
      <c r="G6812">
        <v>2010</v>
      </c>
      <c r="H6812">
        <f>AVERAGEIFS(Table1[value],Table1[IndicatorCode],Table1[[#This Row],[IndicatorCode]])</f>
        <v>24902.88753799392</v>
      </c>
      <c r="I6812" cm="1">
        <f t="array" ref="I6812">_xlfn.STDEV.P(IF(Table1[IndicatorCode]=Table1[[#This Row],[IndicatorCode]],Table1[value]))</f>
        <v>26324.778297809873</v>
      </c>
      <c r="J6812">
        <f>(Table1[[#This Row],[value]] - Table1[[#This Row],[mean]]) / Table1[[#This Row],[std_dev]]</f>
        <v>-0.73967907033100866</v>
      </c>
      <c r="K6812">
        <f>AVERAGEIF(Table1[CountryCode],Table1[[#This Row],[CountryCode]],Table1[z-score])</f>
        <v>-0.17106074072717981</v>
      </c>
      <c r="L6812" t="e">
        <f>VLOOKUP(Table1[[#This Row],[CountryCode]],[1]!Table1[#All],1,FALSE)</f>
        <v>#REF!</v>
      </c>
    </row>
    <row r="6813" spans="1:12" hidden="1" x14ac:dyDescent="0.3">
      <c r="A6813" t="s">
        <v>105</v>
      </c>
      <c r="B6813" t="s">
        <v>106</v>
      </c>
      <c r="C6813" t="s">
        <v>127</v>
      </c>
      <c r="D6813" t="s">
        <v>128</v>
      </c>
      <c r="E6813">
        <v>2008</v>
      </c>
      <c r="F6813" s="1">
        <v>5736</v>
      </c>
      <c r="G6813">
        <v>2010</v>
      </c>
      <c r="H6813">
        <f>AVERAGEIFS(Table1[value],Table1[IndicatorCode],Table1[[#This Row],[IndicatorCode]])</f>
        <v>24902.88753799392</v>
      </c>
      <c r="I6813" cm="1">
        <f t="array" ref="I6813">_xlfn.STDEV.P(IF(Table1[IndicatorCode]=Table1[[#This Row],[IndicatorCode]],Table1[value]))</f>
        <v>26324.778297809873</v>
      </c>
      <c r="J6813">
        <f>(Table1[[#This Row],[value]] - Table1[[#This Row],[mean]]) / Table1[[#This Row],[std_dev]]</f>
        <v>-0.72809302783714369</v>
      </c>
      <c r="K6813">
        <f>AVERAGEIF(Table1[CountryCode],Table1[[#This Row],[CountryCode]],Table1[z-score])</f>
        <v>-0.17106074072717981</v>
      </c>
      <c r="L6813" t="e">
        <f>VLOOKUP(Table1[[#This Row],[CountryCode]],[1]!Table1[#All],1,FALSE)</f>
        <v>#REF!</v>
      </c>
    </row>
    <row r="6814" spans="1:12" hidden="1" x14ac:dyDescent="0.3">
      <c r="A6814" t="s">
        <v>105</v>
      </c>
      <c r="B6814" t="s">
        <v>106</v>
      </c>
      <c r="C6814" t="s">
        <v>127</v>
      </c>
      <c r="D6814" t="s">
        <v>128</v>
      </c>
      <c r="E6814">
        <v>2009</v>
      </c>
      <c r="F6814" s="1">
        <v>5578</v>
      </c>
      <c r="G6814">
        <v>2010</v>
      </c>
      <c r="H6814">
        <f>AVERAGEIFS(Table1[value],Table1[IndicatorCode],Table1[[#This Row],[IndicatorCode]])</f>
        <v>24902.88753799392</v>
      </c>
      <c r="I6814" cm="1">
        <f t="array" ref="I6814">_xlfn.STDEV.P(IF(Table1[IndicatorCode]=Table1[[#This Row],[IndicatorCode]],Table1[value]))</f>
        <v>26324.778297809873</v>
      </c>
      <c r="J6814">
        <f>(Table1[[#This Row],[value]] - Table1[[#This Row],[mean]]) / Table1[[#This Row],[std_dev]]</f>
        <v>-0.73409497771921151</v>
      </c>
      <c r="K6814">
        <f>AVERAGEIF(Table1[CountryCode],Table1[[#This Row],[CountryCode]],Table1[z-score])</f>
        <v>-0.17106074072717981</v>
      </c>
      <c r="L6814" t="e">
        <f>VLOOKUP(Table1[[#This Row],[CountryCode]],[1]!Table1[#All],1,FALSE)</f>
        <v>#REF!</v>
      </c>
    </row>
    <row r="6815" spans="1:12" hidden="1" x14ac:dyDescent="0.3">
      <c r="A6815" t="s">
        <v>105</v>
      </c>
      <c r="B6815" t="s">
        <v>106</v>
      </c>
      <c r="C6815" t="s">
        <v>127</v>
      </c>
      <c r="D6815" t="s">
        <v>128</v>
      </c>
      <c r="E6815">
        <v>2010</v>
      </c>
      <c r="F6815" s="1">
        <v>5691</v>
      </c>
      <c r="G6815">
        <v>2010</v>
      </c>
      <c r="H6815">
        <f>AVERAGEIFS(Table1[value],Table1[IndicatorCode],Table1[[#This Row],[IndicatorCode]])</f>
        <v>24902.88753799392</v>
      </c>
      <c r="I6815" cm="1">
        <f t="array" ref="I6815">_xlfn.STDEV.P(IF(Table1[IndicatorCode]=Table1[[#This Row],[IndicatorCode]],Table1[value]))</f>
        <v>26324.778297809873</v>
      </c>
      <c r="J6815">
        <f>(Table1[[#This Row],[value]] - Table1[[#This Row],[mean]]) / Table1[[#This Row],[std_dev]]</f>
        <v>-0.72980244394279592</v>
      </c>
      <c r="K6815">
        <f>AVERAGEIF(Table1[CountryCode],Table1[[#This Row],[CountryCode]],Table1[z-score])</f>
        <v>-0.17106074072717981</v>
      </c>
      <c r="L6815" t="e">
        <f>VLOOKUP(Table1[[#This Row],[CountryCode]],[1]!Table1[#All],1,FALSE)</f>
        <v>#REF!</v>
      </c>
    </row>
    <row r="6816" spans="1:12" hidden="1" x14ac:dyDescent="0.3">
      <c r="A6816" t="s">
        <v>105</v>
      </c>
      <c r="B6816" t="s">
        <v>106</v>
      </c>
      <c r="C6816" t="s">
        <v>127</v>
      </c>
      <c r="D6816" t="s">
        <v>128</v>
      </c>
      <c r="E6816">
        <v>2011</v>
      </c>
      <c r="F6816" s="1">
        <v>5737</v>
      </c>
      <c r="G6816">
        <v>2010</v>
      </c>
      <c r="H6816">
        <f>AVERAGEIFS(Table1[value],Table1[IndicatorCode],Table1[[#This Row],[IndicatorCode]])</f>
        <v>24902.88753799392</v>
      </c>
      <c r="I6816" cm="1">
        <f t="array" ref="I6816">_xlfn.STDEV.P(IF(Table1[IndicatorCode]=Table1[[#This Row],[IndicatorCode]],Table1[value]))</f>
        <v>26324.778297809873</v>
      </c>
      <c r="J6816">
        <f>(Table1[[#This Row],[value]] - Table1[[#This Row],[mean]]) / Table1[[#This Row],[std_dev]]</f>
        <v>-0.72805504081257366</v>
      </c>
      <c r="K6816">
        <f>AVERAGEIF(Table1[CountryCode],Table1[[#This Row],[CountryCode]],Table1[z-score])</f>
        <v>-0.17106074072717981</v>
      </c>
      <c r="L6816" t="e">
        <f>VLOOKUP(Table1[[#This Row],[CountryCode]],[1]!Table1[#All],1,FALSE)</f>
        <v>#REF!</v>
      </c>
    </row>
    <row r="6817" spans="1:12" hidden="1" x14ac:dyDescent="0.3">
      <c r="A6817" t="s">
        <v>105</v>
      </c>
      <c r="B6817" t="s">
        <v>106</v>
      </c>
      <c r="C6817" t="s">
        <v>127</v>
      </c>
      <c r="D6817" t="s">
        <v>128</v>
      </c>
      <c r="E6817">
        <v>2012</v>
      </c>
      <c r="F6817" s="1">
        <v>5739</v>
      </c>
      <c r="G6817">
        <v>2010</v>
      </c>
      <c r="H6817">
        <f>AVERAGEIFS(Table1[value],Table1[IndicatorCode],Table1[[#This Row],[IndicatorCode]])</f>
        <v>24902.88753799392</v>
      </c>
      <c r="I6817" cm="1">
        <f t="array" ref="I6817">_xlfn.STDEV.P(IF(Table1[IndicatorCode]=Table1[[#This Row],[IndicatorCode]],Table1[value]))</f>
        <v>26324.778297809873</v>
      </c>
      <c r="J6817">
        <f>(Table1[[#This Row],[value]] - Table1[[#This Row],[mean]]) / Table1[[#This Row],[std_dev]]</f>
        <v>-0.72797906676343349</v>
      </c>
      <c r="K6817">
        <f>AVERAGEIF(Table1[CountryCode],Table1[[#This Row],[CountryCode]],Table1[z-score])</f>
        <v>-0.17106074072717981</v>
      </c>
      <c r="L6817" t="e">
        <f>VLOOKUP(Table1[[#This Row],[CountryCode]],[1]!Table1[#All],1,FALSE)</f>
        <v>#REF!</v>
      </c>
    </row>
    <row r="6818" spans="1:12" hidden="1" x14ac:dyDescent="0.3">
      <c r="A6818" t="s">
        <v>105</v>
      </c>
      <c r="B6818" t="s">
        <v>106</v>
      </c>
      <c r="C6818" t="s">
        <v>127</v>
      </c>
      <c r="D6818" t="s">
        <v>128</v>
      </c>
      <c r="E6818">
        <v>2013</v>
      </c>
      <c r="F6818" s="1">
        <v>5793</v>
      </c>
      <c r="G6818">
        <v>2010</v>
      </c>
      <c r="H6818">
        <f>AVERAGEIFS(Table1[value],Table1[IndicatorCode],Table1[[#This Row],[IndicatorCode]])</f>
        <v>24902.88753799392</v>
      </c>
      <c r="I6818" cm="1">
        <f t="array" ref="I6818">_xlfn.STDEV.P(IF(Table1[IndicatorCode]=Table1[[#This Row],[IndicatorCode]],Table1[value]))</f>
        <v>26324.778297809873</v>
      </c>
      <c r="J6818">
        <f>(Table1[[#This Row],[value]] - Table1[[#This Row],[mean]]) / Table1[[#This Row],[std_dev]]</f>
        <v>-0.72592776743665088</v>
      </c>
      <c r="K6818">
        <f>AVERAGEIF(Table1[CountryCode],Table1[[#This Row],[CountryCode]],Table1[z-score])</f>
        <v>-0.17106074072717981</v>
      </c>
      <c r="L6818" t="e">
        <f>VLOOKUP(Table1[[#This Row],[CountryCode]],[1]!Table1[#All],1,FALSE)</f>
        <v>#REF!</v>
      </c>
    </row>
    <row r="6819" spans="1:12" hidden="1" x14ac:dyDescent="0.3">
      <c r="A6819" t="s">
        <v>105</v>
      </c>
      <c r="B6819" t="s">
        <v>106</v>
      </c>
      <c r="C6819" t="s">
        <v>127</v>
      </c>
      <c r="D6819" t="s">
        <v>128</v>
      </c>
      <c r="E6819">
        <v>2014</v>
      </c>
      <c r="F6819" s="1">
        <v>5717</v>
      </c>
      <c r="G6819">
        <v>2010</v>
      </c>
      <c r="H6819">
        <f>AVERAGEIFS(Table1[value],Table1[IndicatorCode],Table1[[#This Row],[IndicatorCode]])</f>
        <v>24902.88753799392</v>
      </c>
      <c r="I6819" cm="1">
        <f t="array" ref="I6819">_xlfn.STDEV.P(IF(Table1[IndicatorCode]=Table1[[#This Row],[IndicatorCode]],Table1[value]))</f>
        <v>26324.778297809873</v>
      </c>
      <c r="J6819">
        <f>(Table1[[#This Row],[value]] - Table1[[#This Row],[mean]]) / Table1[[#This Row],[std_dev]]</f>
        <v>-0.72881478130397459</v>
      </c>
      <c r="K6819">
        <f>AVERAGEIF(Table1[CountryCode],Table1[[#This Row],[CountryCode]],Table1[z-score])</f>
        <v>-0.17106074072717981</v>
      </c>
      <c r="L6819" t="e">
        <f>VLOOKUP(Table1[[#This Row],[CountryCode]],[1]!Table1[#All],1,FALSE)</f>
        <v>#REF!</v>
      </c>
    </row>
    <row r="6820" spans="1:12" hidden="1" x14ac:dyDescent="0.3">
      <c r="A6820" t="s">
        <v>105</v>
      </c>
      <c r="B6820" t="s">
        <v>106</v>
      </c>
      <c r="C6820" t="s">
        <v>127</v>
      </c>
      <c r="D6820" t="s">
        <v>128</v>
      </c>
      <c r="E6820">
        <v>2015</v>
      </c>
      <c r="F6820" s="1">
        <v>5820</v>
      </c>
      <c r="G6820">
        <v>2010</v>
      </c>
      <c r="H6820">
        <f>AVERAGEIFS(Table1[value],Table1[IndicatorCode],Table1[[#This Row],[IndicatorCode]])</f>
        <v>24902.88753799392</v>
      </c>
      <c r="I6820" cm="1">
        <f t="array" ref="I6820">_xlfn.STDEV.P(IF(Table1[IndicatorCode]=Table1[[#This Row],[IndicatorCode]],Table1[value]))</f>
        <v>26324.778297809873</v>
      </c>
      <c r="J6820">
        <f>(Table1[[#This Row],[value]] - Table1[[#This Row],[mean]]) / Table1[[#This Row],[std_dev]]</f>
        <v>-0.72490211777325952</v>
      </c>
      <c r="K6820">
        <f>AVERAGEIF(Table1[CountryCode],Table1[[#This Row],[CountryCode]],Table1[z-score])</f>
        <v>-0.17106074072717981</v>
      </c>
      <c r="L6820" t="e">
        <f>VLOOKUP(Table1[[#This Row],[CountryCode]],[1]!Table1[#All],1,FALSE)</f>
        <v>#REF!</v>
      </c>
    </row>
    <row r="6821" spans="1:12" hidden="1" x14ac:dyDescent="0.3">
      <c r="A6821" t="s">
        <v>105</v>
      </c>
      <c r="B6821" t="s">
        <v>106</v>
      </c>
      <c r="C6821" t="s">
        <v>127</v>
      </c>
      <c r="D6821" t="s">
        <v>128</v>
      </c>
      <c r="E6821">
        <v>2016</v>
      </c>
      <c r="F6821" s="1">
        <v>6025</v>
      </c>
      <c r="G6821">
        <v>2010</v>
      </c>
      <c r="H6821">
        <f>AVERAGEIFS(Table1[value],Table1[IndicatorCode],Table1[[#This Row],[IndicatorCode]])</f>
        <v>24902.88753799392</v>
      </c>
      <c r="I6821" cm="1">
        <f t="array" ref="I6821">_xlfn.STDEV.P(IF(Table1[IndicatorCode]=Table1[[#This Row],[IndicatorCode]],Table1[value]))</f>
        <v>26324.778297809873</v>
      </c>
      <c r="J6821">
        <f>(Table1[[#This Row],[value]] - Table1[[#This Row],[mean]]) / Table1[[#This Row],[std_dev]]</f>
        <v>-0.71711477773639953</v>
      </c>
      <c r="K6821">
        <f>AVERAGEIF(Table1[CountryCode],Table1[[#This Row],[CountryCode]],Table1[z-score])</f>
        <v>-0.17106074072717981</v>
      </c>
      <c r="L6821" t="e">
        <f>VLOOKUP(Table1[[#This Row],[CountryCode]],[1]!Table1[#All],1,FALSE)</f>
        <v>#REF!</v>
      </c>
    </row>
    <row r="6822" spans="1:12" hidden="1" x14ac:dyDescent="0.3">
      <c r="A6822" t="s">
        <v>105</v>
      </c>
      <c r="B6822" t="s">
        <v>106</v>
      </c>
      <c r="C6822" t="s">
        <v>127</v>
      </c>
      <c r="D6822" t="s">
        <v>128</v>
      </c>
      <c r="E6822">
        <v>2017</v>
      </c>
      <c r="F6822" s="1">
        <v>6200</v>
      </c>
      <c r="G6822">
        <v>2020</v>
      </c>
      <c r="H6822">
        <f>AVERAGEIFS(Table1[value],Table1[IndicatorCode],Table1[[#This Row],[IndicatorCode]])</f>
        <v>24902.88753799392</v>
      </c>
      <c r="I6822" cm="1">
        <f t="array" ref="I6822">_xlfn.STDEV.P(IF(Table1[IndicatorCode]=Table1[[#This Row],[IndicatorCode]],Table1[value]))</f>
        <v>26324.778297809873</v>
      </c>
      <c r="J6822">
        <f>(Table1[[#This Row],[value]] - Table1[[#This Row],[mean]]) / Table1[[#This Row],[std_dev]]</f>
        <v>-0.71046704843664088</v>
      </c>
      <c r="K6822">
        <f>AVERAGEIF(Table1[CountryCode],Table1[[#This Row],[CountryCode]],Table1[z-score])</f>
        <v>-0.17106074072717981</v>
      </c>
      <c r="L6822" t="e">
        <f>VLOOKUP(Table1[[#This Row],[CountryCode]],[1]!Table1[#All],1,FALSE)</f>
        <v>#REF!</v>
      </c>
    </row>
    <row r="6823" spans="1:12" hidden="1" x14ac:dyDescent="0.3">
      <c r="A6823" t="s">
        <v>105</v>
      </c>
      <c r="B6823" t="s">
        <v>106</v>
      </c>
      <c r="C6823" t="s">
        <v>127</v>
      </c>
      <c r="D6823" t="s">
        <v>128</v>
      </c>
      <c r="E6823">
        <v>2018</v>
      </c>
      <c r="F6823" s="1">
        <v>6524</v>
      </c>
      <c r="G6823">
        <v>2020</v>
      </c>
      <c r="H6823">
        <f>AVERAGEIFS(Table1[value],Table1[IndicatorCode],Table1[[#This Row],[IndicatorCode]])</f>
        <v>24902.88753799392</v>
      </c>
      <c r="I6823" cm="1">
        <f t="array" ref="I6823">_xlfn.STDEV.P(IF(Table1[IndicatorCode]=Table1[[#This Row],[IndicatorCode]],Table1[value]))</f>
        <v>26324.778297809873</v>
      </c>
      <c r="J6823">
        <f>(Table1[[#This Row],[value]] - Table1[[#This Row],[mean]]) / Table1[[#This Row],[std_dev]]</f>
        <v>-0.69815925247594501</v>
      </c>
      <c r="K6823">
        <f>AVERAGEIF(Table1[CountryCode],Table1[[#This Row],[CountryCode]],Table1[z-score])</f>
        <v>-0.17106074072717981</v>
      </c>
      <c r="L6823" t="e">
        <f>VLOOKUP(Table1[[#This Row],[CountryCode]],[1]!Table1[#All],1,FALSE)</f>
        <v>#REF!</v>
      </c>
    </row>
    <row r="6824" spans="1:12" hidden="1" x14ac:dyDescent="0.3">
      <c r="A6824" t="s">
        <v>105</v>
      </c>
      <c r="B6824" t="s">
        <v>106</v>
      </c>
      <c r="C6824" t="s">
        <v>127</v>
      </c>
      <c r="D6824" t="s">
        <v>128</v>
      </c>
      <c r="E6824">
        <v>2019</v>
      </c>
      <c r="F6824" s="1">
        <v>6871</v>
      </c>
      <c r="G6824">
        <v>2020</v>
      </c>
      <c r="H6824">
        <f>AVERAGEIFS(Table1[value],Table1[IndicatorCode],Table1[[#This Row],[IndicatorCode]])</f>
        <v>24902.88753799392</v>
      </c>
      <c r="I6824" cm="1">
        <f t="array" ref="I6824">_xlfn.STDEV.P(IF(Table1[IndicatorCode]=Table1[[#This Row],[IndicatorCode]],Table1[value]))</f>
        <v>26324.778297809873</v>
      </c>
      <c r="J6824">
        <f>(Table1[[#This Row],[value]] - Table1[[#This Row],[mean]]) / Table1[[#This Row],[std_dev]]</f>
        <v>-0.68497775495013791</v>
      </c>
      <c r="K6824">
        <f>AVERAGEIF(Table1[CountryCode],Table1[[#This Row],[CountryCode]],Table1[z-score])</f>
        <v>-0.17106074072717981</v>
      </c>
      <c r="L6824" t="e">
        <f>VLOOKUP(Table1[[#This Row],[CountryCode]],[1]!Table1[#All],1,FALSE)</f>
        <v>#REF!</v>
      </c>
    </row>
    <row r="6825" spans="1:12" x14ac:dyDescent="0.3">
      <c r="A6825" t="s">
        <v>67</v>
      </c>
      <c r="B6825" t="s">
        <v>68</v>
      </c>
      <c r="C6825" t="s">
        <v>127</v>
      </c>
      <c r="D6825" t="s">
        <v>128</v>
      </c>
      <c r="E6825">
        <v>2020</v>
      </c>
      <c r="F6825" s="1">
        <v>52464</v>
      </c>
      <c r="G6825">
        <v>2020</v>
      </c>
      <c r="H6825">
        <f>AVERAGEIFS(Table1[value],Table1[IndicatorCode],Table1[[#This Row],[IndicatorCode]])</f>
        <v>24902.88753799392</v>
      </c>
      <c r="I6825" cm="1">
        <f t="array" ref="I6825">_xlfn.STDEV.P(IF(Table1[IndicatorCode]=Table1[[#This Row],[IndicatorCode]],Table1[value]))</f>
        <v>26324.778297809873</v>
      </c>
      <c r="J6825">
        <f>(Table1[[#This Row],[value]] - Table1[[#This Row],[mean]]) / Table1[[#This Row],[std_dev]]</f>
        <v>1.0469646562721124</v>
      </c>
      <c r="K6825">
        <f>AVERAGEIF(Table1[CountryCode],Table1[[#This Row],[CountryCode]],Table1[z-score])</f>
        <v>0.55967304374969629</v>
      </c>
    </row>
    <row r="6826" spans="1:12" hidden="1" x14ac:dyDescent="0.3">
      <c r="A6826" t="s">
        <v>105</v>
      </c>
      <c r="B6826" t="s">
        <v>106</v>
      </c>
      <c r="C6826" t="s">
        <v>127</v>
      </c>
      <c r="D6826" t="s">
        <v>128</v>
      </c>
      <c r="E6826">
        <v>2021</v>
      </c>
      <c r="F6826" s="1">
        <v>7466</v>
      </c>
      <c r="G6826">
        <v>2020</v>
      </c>
      <c r="H6826">
        <f>AVERAGEIFS(Table1[value],Table1[IndicatorCode],Table1[[#This Row],[IndicatorCode]])</f>
        <v>24902.88753799392</v>
      </c>
      <c r="I6826" cm="1">
        <f t="array" ref="I6826">_xlfn.STDEV.P(IF(Table1[IndicatorCode]=Table1[[#This Row],[IndicatorCode]],Table1[value]))</f>
        <v>26324.778297809873</v>
      </c>
      <c r="J6826">
        <f>(Table1[[#This Row],[value]] - Table1[[#This Row],[mean]]) / Table1[[#This Row],[std_dev]]</f>
        <v>-0.66237547533095864</v>
      </c>
      <c r="K6826">
        <f>AVERAGEIF(Table1[CountryCode],Table1[[#This Row],[CountryCode]],Table1[z-score])</f>
        <v>-0.17106074072717981</v>
      </c>
      <c r="L6826" t="e">
        <f>VLOOKUP(Table1[[#This Row],[CountryCode]],[1]!Table1[#All],1,FALSE)</f>
        <v>#REF!</v>
      </c>
    </row>
    <row r="6827" spans="1:12" hidden="1" x14ac:dyDescent="0.3">
      <c r="A6827" t="s">
        <v>105</v>
      </c>
      <c r="B6827" t="s">
        <v>106</v>
      </c>
      <c r="C6827" t="s">
        <v>127</v>
      </c>
      <c r="D6827" t="s">
        <v>128</v>
      </c>
      <c r="E6827">
        <v>2022</v>
      </c>
      <c r="F6827" s="1">
        <v>7863</v>
      </c>
      <c r="G6827">
        <v>1990</v>
      </c>
      <c r="H6827">
        <f>AVERAGEIFS(Table1[value],Table1[IndicatorCode],Table1[[#This Row],[IndicatorCode]])</f>
        <v>24902.88753799392</v>
      </c>
      <c r="I6827" cm="1">
        <f t="array" ref="I6827">_xlfn.STDEV.P(IF(Table1[IndicatorCode]=Table1[[#This Row],[IndicatorCode]],Table1[value]))</f>
        <v>26324.778297809873</v>
      </c>
      <c r="J6827">
        <f>(Table1[[#This Row],[value]] - Table1[[#This Row],[mean]]) / Table1[[#This Row],[std_dev]]</f>
        <v>-0.64729462657664916</v>
      </c>
      <c r="K6827">
        <f>AVERAGEIF(Table1[CountryCode],Table1[[#This Row],[CountryCode]],Table1[z-score])</f>
        <v>-0.17106074072717981</v>
      </c>
      <c r="L6827" t="e">
        <f>VLOOKUP(Table1[[#This Row],[CountryCode]],[1]!Table1[#All],1,FALSE)</f>
        <v>#REF!</v>
      </c>
    </row>
    <row r="6828" spans="1:12" hidden="1" x14ac:dyDescent="0.3">
      <c r="A6828" t="s">
        <v>105</v>
      </c>
      <c r="B6828" t="s">
        <v>106</v>
      </c>
      <c r="C6828" t="s">
        <v>127</v>
      </c>
      <c r="D6828" t="s">
        <v>128</v>
      </c>
      <c r="E6828">
        <v>2023</v>
      </c>
      <c r="F6828" s="1">
        <v>8208</v>
      </c>
      <c r="G6828">
        <v>1990</v>
      </c>
      <c r="H6828">
        <f>AVERAGEIFS(Table1[value],Table1[IndicatorCode],Table1[[#This Row],[IndicatorCode]])</f>
        <v>24902.88753799392</v>
      </c>
      <c r="I6828" cm="1">
        <f t="array" ref="I6828">_xlfn.STDEV.P(IF(Table1[IndicatorCode]=Table1[[#This Row],[IndicatorCode]],Table1[value]))</f>
        <v>26324.778297809873</v>
      </c>
      <c r="J6828">
        <f>(Table1[[#This Row],[value]] - Table1[[#This Row],[mean]]) / Table1[[#This Row],[std_dev]]</f>
        <v>-0.63418910309998222</v>
      </c>
      <c r="K6828">
        <f>AVERAGEIF(Table1[CountryCode],Table1[[#This Row],[CountryCode]],Table1[z-score])</f>
        <v>-0.17106074072717981</v>
      </c>
      <c r="L6828" t="e">
        <f>VLOOKUP(Table1[[#This Row],[CountryCode]],[1]!Table1[#All],1,FALSE)</f>
        <v>#REF!</v>
      </c>
    </row>
    <row r="6829" spans="1:12" hidden="1" x14ac:dyDescent="0.3">
      <c r="A6829" t="s">
        <v>105</v>
      </c>
      <c r="B6829" t="s">
        <v>106</v>
      </c>
      <c r="C6829" t="s">
        <v>127</v>
      </c>
      <c r="D6829" t="s">
        <v>128</v>
      </c>
      <c r="E6829">
        <v>2024</v>
      </c>
      <c r="F6829" s="1">
        <v>8580</v>
      </c>
      <c r="G6829">
        <v>1990</v>
      </c>
      <c r="H6829">
        <f>AVERAGEIFS(Table1[value],Table1[IndicatorCode],Table1[[#This Row],[IndicatorCode]])</f>
        <v>24902.88753799392</v>
      </c>
      <c r="I6829" cm="1">
        <f t="array" ref="I6829">_xlfn.STDEV.P(IF(Table1[IndicatorCode]=Table1[[#This Row],[IndicatorCode]],Table1[value]))</f>
        <v>26324.778297809873</v>
      </c>
      <c r="J6829">
        <f>(Table1[[#This Row],[value]] - Table1[[#This Row],[mean]]) / Table1[[#This Row],[std_dev]]</f>
        <v>-0.62005792995992393</v>
      </c>
      <c r="K6829">
        <f>AVERAGEIF(Table1[CountryCode],Table1[[#This Row],[CountryCode]],Table1[z-score])</f>
        <v>-0.17106074072717981</v>
      </c>
      <c r="L6829" t="e">
        <f>VLOOKUP(Table1[[#This Row],[CountryCode]],[1]!Table1[#All],1,FALSE)</f>
        <v>#REF!</v>
      </c>
    </row>
    <row r="6830" spans="1:12" hidden="1" x14ac:dyDescent="0.3">
      <c r="A6830" t="s">
        <v>107</v>
      </c>
      <c r="B6830" t="s">
        <v>108</v>
      </c>
      <c r="C6830" t="s">
        <v>127</v>
      </c>
      <c r="D6830" t="s">
        <v>128</v>
      </c>
      <c r="E6830">
        <v>1990</v>
      </c>
      <c r="F6830" s="1">
        <v>8597</v>
      </c>
      <c r="G6830">
        <v>1990</v>
      </c>
      <c r="H6830">
        <f>AVERAGEIFS(Table1[value],Table1[IndicatorCode],Table1[[#This Row],[IndicatorCode]])</f>
        <v>24902.88753799392</v>
      </c>
      <c r="I6830" cm="1">
        <f t="array" ref="I6830">_xlfn.STDEV.P(IF(Table1[IndicatorCode]=Table1[[#This Row],[IndicatorCode]],Table1[value]))</f>
        <v>26324.778297809873</v>
      </c>
      <c r="J6830">
        <f>(Table1[[#This Row],[value]] - Table1[[#This Row],[mean]]) / Table1[[#This Row],[std_dev]]</f>
        <v>-0.61941215054223309</v>
      </c>
      <c r="K6830">
        <f>AVERAGEIF(Table1[CountryCode],Table1[[#This Row],[CountryCode]],Table1[z-score])</f>
        <v>1.9919220601134553E-2</v>
      </c>
      <c r="L6830" t="e">
        <f>VLOOKUP(Table1[[#This Row],[CountryCode]],[1]!Table1[#All],1,FALSE)</f>
        <v>#REF!</v>
      </c>
    </row>
    <row r="6831" spans="1:12" hidden="1" x14ac:dyDescent="0.3">
      <c r="A6831" t="s">
        <v>107</v>
      </c>
      <c r="B6831" t="s">
        <v>108</v>
      </c>
      <c r="C6831" t="s">
        <v>127</v>
      </c>
      <c r="D6831" t="s">
        <v>128</v>
      </c>
      <c r="E6831">
        <v>1991</v>
      </c>
      <c r="F6831" s="1">
        <v>7339</v>
      </c>
      <c r="G6831">
        <v>1990</v>
      </c>
      <c r="H6831">
        <f>AVERAGEIFS(Table1[value],Table1[IndicatorCode],Table1[[#This Row],[IndicatorCode]])</f>
        <v>24902.88753799392</v>
      </c>
      <c r="I6831" cm="1">
        <f t="array" ref="I6831">_xlfn.STDEV.P(IF(Table1[IndicatorCode]=Table1[[#This Row],[IndicatorCode]],Table1[value]))</f>
        <v>26324.778297809873</v>
      </c>
      <c r="J6831">
        <f>(Table1[[#This Row],[value]] - Table1[[#This Row],[mean]]) / Table1[[#This Row],[std_dev]]</f>
        <v>-0.66719982745135487</v>
      </c>
      <c r="K6831">
        <f>AVERAGEIF(Table1[CountryCode],Table1[[#This Row],[CountryCode]],Table1[z-score])</f>
        <v>1.9919220601134553E-2</v>
      </c>
      <c r="L6831" t="e">
        <f>VLOOKUP(Table1[[#This Row],[CountryCode]],[1]!Table1[#All],1,FALSE)</f>
        <v>#REF!</v>
      </c>
    </row>
    <row r="6832" spans="1:12" hidden="1" x14ac:dyDescent="0.3">
      <c r="A6832" t="s">
        <v>107</v>
      </c>
      <c r="B6832" t="s">
        <v>108</v>
      </c>
      <c r="C6832" t="s">
        <v>127</v>
      </c>
      <c r="D6832" t="s">
        <v>128</v>
      </c>
      <c r="E6832">
        <v>1992</v>
      </c>
      <c r="F6832" s="1">
        <v>6843</v>
      </c>
      <c r="G6832">
        <v>1990</v>
      </c>
      <c r="H6832">
        <f>AVERAGEIFS(Table1[value],Table1[IndicatorCode],Table1[[#This Row],[IndicatorCode]])</f>
        <v>24902.88753799392</v>
      </c>
      <c r="I6832" cm="1">
        <f t="array" ref="I6832">_xlfn.STDEV.P(IF(Table1[IndicatorCode]=Table1[[#This Row],[IndicatorCode]],Table1[value]))</f>
        <v>26324.778297809873</v>
      </c>
      <c r="J6832">
        <f>(Table1[[#This Row],[value]] - Table1[[#This Row],[mean]]) / Table1[[#This Row],[std_dev]]</f>
        <v>-0.6860413916380993</v>
      </c>
      <c r="K6832">
        <f>AVERAGEIF(Table1[CountryCode],Table1[[#This Row],[CountryCode]],Table1[z-score])</f>
        <v>1.9919220601134553E-2</v>
      </c>
      <c r="L6832" t="e">
        <f>VLOOKUP(Table1[[#This Row],[CountryCode]],[1]!Table1[#All],1,FALSE)</f>
        <v>#REF!</v>
      </c>
    </row>
    <row r="6833" spans="1:12" hidden="1" x14ac:dyDescent="0.3">
      <c r="A6833" t="s">
        <v>107</v>
      </c>
      <c r="B6833" t="s">
        <v>108</v>
      </c>
      <c r="C6833" t="s">
        <v>127</v>
      </c>
      <c r="D6833" t="s">
        <v>128</v>
      </c>
      <c r="E6833">
        <v>1993</v>
      </c>
      <c r="F6833" s="1">
        <v>6947</v>
      </c>
      <c r="G6833">
        <v>1990</v>
      </c>
      <c r="H6833">
        <f>AVERAGEIFS(Table1[value],Table1[IndicatorCode],Table1[[#This Row],[IndicatorCode]])</f>
        <v>24902.88753799392</v>
      </c>
      <c r="I6833" cm="1">
        <f t="array" ref="I6833">_xlfn.STDEV.P(IF(Table1[IndicatorCode]=Table1[[#This Row],[IndicatorCode]],Table1[value]))</f>
        <v>26324.778297809873</v>
      </c>
      <c r="J6833">
        <f>(Table1[[#This Row],[value]] - Table1[[#This Row],[mean]]) / Table1[[#This Row],[std_dev]]</f>
        <v>-0.6820907410828142</v>
      </c>
      <c r="K6833">
        <f>AVERAGEIF(Table1[CountryCode],Table1[[#This Row],[CountryCode]],Table1[z-score])</f>
        <v>1.9919220601134553E-2</v>
      </c>
      <c r="L6833" t="e">
        <f>VLOOKUP(Table1[[#This Row],[CountryCode]],[1]!Table1[#All],1,FALSE)</f>
        <v>#REF!</v>
      </c>
    </row>
    <row r="6834" spans="1:12" hidden="1" x14ac:dyDescent="0.3">
      <c r="A6834" t="s">
        <v>107</v>
      </c>
      <c r="B6834" t="s">
        <v>108</v>
      </c>
      <c r="C6834" t="s">
        <v>127</v>
      </c>
      <c r="D6834" t="s">
        <v>128</v>
      </c>
      <c r="E6834">
        <v>1994</v>
      </c>
      <c r="F6834" s="1">
        <v>7349</v>
      </c>
      <c r="G6834">
        <v>1990</v>
      </c>
      <c r="H6834">
        <f>AVERAGEIFS(Table1[value],Table1[IndicatorCode],Table1[[#This Row],[IndicatorCode]])</f>
        <v>24902.88753799392</v>
      </c>
      <c r="I6834" cm="1">
        <f t="array" ref="I6834">_xlfn.STDEV.P(IF(Table1[IndicatorCode]=Table1[[#This Row],[IndicatorCode]],Table1[value]))</f>
        <v>26324.778297809873</v>
      </c>
      <c r="J6834">
        <f>(Table1[[#This Row],[value]] - Table1[[#This Row],[mean]]) / Table1[[#This Row],[std_dev]]</f>
        <v>-0.66681995720565446</v>
      </c>
      <c r="K6834">
        <f>AVERAGEIF(Table1[CountryCode],Table1[[#This Row],[CountryCode]],Table1[z-score])</f>
        <v>1.9919220601134553E-2</v>
      </c>
      <c r="L6834" t="e">
        <f>VLOOKUP(Table1[[#This Row],[CountryCode]],[1]!Table1[#All],1,FALSE)</f>
        <v>#REF!</v>
      </c>
    </row>
    <row r="6835" spans="1:12" hidden="1" x14ac:dyDescent="0.3">
      <c r="A6835" t="s">
        <v>107</v>
      </c>
      <c r="B6835" t="s">
        <v>108</v>
      </c>
      <c r="C6835" t="s">
        <v>127</v>
      </c>
      <c r="D6835" t="s">
        <v>128</v>
      </c>
      <c r="E6835">
        <v>1995</v>
      </c>
      <c r="F6835" s="1">
        <v>7756</v>
      </c>
      <c r="G6835">
        <v>1990</v>
      </c>
      <c r="H6835">
        <f>AVERAGEIFS(Table1[value],Table1[IndicatorCode],Table1[[#This Row],[IndicatorCode]])</f>
        <v>24902.88753799392</v>
      </c>
      <c r="I6835" cm="1">
        <f t="array" ref="I6835">_xlfn.STDEV.P(IF(Table1[IndicatorCode]=Table1[[#This Row],[IndicatorCode]],Table1[value]))</f>
        <v>26324.778297809873</v>
      </c>
      <c r="J6835">
        <f>(Table1[[#This Row],[value]] - Table1[[#This Row],[mean]]) / Table1[[#This Row],[std_dev]]</f>
        <v>-0.65135923820564445</v>
      </c>
      <c r="K6835">
        <f>AVERAGEIF(Table1[CountryCode],Table1[[#This Row],[CountryCode]],Table1[z-score])</f>
        <v>1.9919220601134553E-2</v>
      </c>
      <c r="L6835" t="e">
        <f>VLOOKUP(Table1[[#This Row],[CountryCode]],[1]!Table1[#All],1,FALSE)</f>
        <v>#REF!</v>
      </c>
    </row>
    <row r="6836" spans="1:12" hidden="1" x14ac:dyDescent="0.3">
      <c r="A6836" t="s">
        <v>107</v>
      </c>
      <c r="B6836" t="s">
        <v>108</v>
      </c>
      <c r="C6836" t="s">
        <v>127</v>
      </c>
      <c r="D6836" t="s">
        <v>128</v>
      </c>
      <c r="E6836">
        <v>1996</v>
      </c>
      <c r="F6836" s="1">
        <v>8213</v>
      </c>
      <c r="G6836">
        <v>1990</v>
      </c>
      <c r="H6836">
        <f>AVERAGEIFS(Table1[value],Table1[IndicatorCode],Table1[[#This Row],[IndicatorCode]])</f>
        <v>24902.88753799392</v>
      </c>
      <c r="I6836" cm="1">
        <f t="array" ref="I6836">_xlfn.STDEV.P(IF(Table1[IndicatorCode]=Table1[[#This Row],[IndicatorCode]],Table1[value]))</f>
        <v>26324.778297809873</v>
      </c>
      <c r="J6836">
        <f>(Table1[[#This Row],[value]] - Table1[[#This Row],[mean]]) / Table1[[#This Row],[std_dev]]</f>
        <v>-0.63399916797713196</v>
      </c>
      <c r="K6836">
        <f>AVERAGEIF(Table1[CountryCode],Table1[[#This Row],[CountryCode]],Table1[z-score])</f>
        <v>1.9919220601134553E-2</v>
      </c>
      <c r="L6836" t="e">
        <f>VLOOKUP(Table1[[#This Row],[CountryCode]],[1]!Table1[#All],1,FALSE)</f>
        <v>#REF!</v>
      </c>
    </row>
    <row r="6837" spans="1:12" hidden="1" x14ac:dyDescent="0.3">
      <c r="A6837" t="s">
        <v>107</v>
      </c>
      <c r="B6837" t="s">
        <v>108</v>
      </c>
      <c r="C6837" t="s">
        <v>127</v>
      </c>
      <c r="D6837" t="s">
        <v>128</v>
      </c>
      <c r="E6837">
        <v>1997</v>
      </c>
      <c r="F6837" s="1">
        <v>8647</v>
      </c>
      <c r="G6837">
        <v>2000</v>
      </c>
      <c r="H6837">
        <f>AVERAGEIFS(Table1[value],Table1[IndicatorCode],Table1[[#This Row],[IndicatorCode]])</f>
        <v>24902.88753799392</v>
      </c>
      <c r="I6837" cm="1">
        <f t="array" ref="I6837">_xlfn.STDEV.P(IF(Table1[IndicatorCode]=Table1[[#This Row],[IndicatorCode]],Table1[value]))</f>
        <v>26324.778297809873</v>
      </c>
      <c r="J6837">
        <f>(Table1[[#This Row],[value]] - Table1[[#This Row],[mean]]) / Table1[[#This Row],[std_dev]]</f>
        <v>-0.6175127993137306</v>
      </c>
      <c r="K6837">
        <f>AVERAGEIF(Table1[CountryCode],Table1[[#This Row],[CountryCode]],Table1[z-score])</f>
        <v>1.9919220601134553E-2</v>
      </c>
      <c r="L6837" t="e">
        <f>VLOOKUP(Table1[[#This Row],[CountryCode]],[1]!Table1[#All],1,FALSE)</f>
        <v>#REF!</v>
      </c>
    </row>
    <row r="6838" spans="1:12" hidden="1" x14ac:dyDescent="0.3">
      <c r="A6838" t="s">
        <v>107</v>
      </c>
      <c r="B6838" t="s">
        <v>108</v>
      </c>
      <c r="C6838" t="s">
        <v>127</v>
      </c>
      <c r="D6838" t="s">
        <v>128</v>
      </c>
      <c r="E6838">
        <v>1998</v>
      </c>
      <c r="F6838" s="1">
        <v>8966</v>
      </c>
      <c r="G6838">
        <v>2000</v>
      </c>
      <c r="H6838">
        <f>AVERAGEIFS(Table1[value],Table1[IndicatorCode],Table1[[#This Row],[IndicatorCode]])</f>
        <v>24902.88753799392</v>
      </c>
      <c r="I6838" cm="1">
        <f t="array" ref="I6838">_xlfn.STDEV.P(IF(Table1[IndicatorCode]=Table1[[#This Row],[IndicatorCode]],Table1[value]))</f>
        <v>26324.778297809873</v>
      </c>
      <c r="J6838">
        <f>(Table1[[#This Row],[value]] - Table1[[#This Row],[mean]]) / Table1[[#This Row],[std_dev]]</f>
        <v>-0.60539493847588499</v>
      </c>
      <c r="K6838">
        <f>AVERAGEIF(Table1[CountryCode],Table1[[#This Row],[CountryCode]],Table1[z-score])</f>
        <v>1.9919220601134553E-2</v>
      </c>
      <c r="L6838" t="e">
        <f>VLOOKUP(Table1[[#This Row],[CountryCode]],[1]!Table1[#All],1,FALSE)</f>
        <v>#REF!</v>
      </c>
    </row>
    <row r="6839" spans="1:12" hidden="1" x14ac:dyDescent="0.3">
      <c r="A6839" t="s">
        <v>107</v>
      </c>
      <c r="B6839" t="s">
        <v>108</v>
      </c>
      <c r="C6839" t="s">
        <v>127</v>
      </c>
      <c r="D6839" t="s">
        <v>128</v>
      </c>
      <c r="E6839">
        <v>1999</v>
      </c>
      <c r="F6839" s="1">
        <v>8915</v>
      </c>
      <c r="G6839">
        <v>2000</v>
      </c>
      <c r="H6839">
        <f>AVERAGEIFS(Table1[value],Table1[IndicatorCode],Table1[[#This Row],[IndicatorCode]])</f>
        <v>24902.88753799392</v>
      </c>
      <c r="I6839" cm="1">
        <f t="array" ref="I6839">_xlfn.STDEV.P(IF(Table1[IndicatorCode]=Table1[[#This Row],[IndicatorCode]],Table1[value]))</f>
        <v>26324.778297809873</v>
      </c>
      <c r="J6839">
        <f>(Table1[[#This Row],[value]] - Table1[[#This Row],[mean]]) / Table1[[#This Row],[std_dev]]</f>
        <v>-0.60733227672895751</v>
      </c>
      <c r="K6839">
        <f>AVERAGEIF(Table1[CountryCode],Table1[[#This Row],[CountryCode]],Table1[z-score])</f>
        <v>1.9919220601134553E-2</v>
      </c>
      <c r="L6839" t="e">
        <f>VLOOKUP(Table1[[#This Row],[CountryCode]],[1]!Table1[#All],1,FALSE)</f>
        <v>#REF!</v>
      </c>
    </row>
    <row r="6840" spans="1:12" hidden="1" x14ac:dyDescent="0.3">
      <c r="A6840" t="s">
        <v>107</v>
      </c>
      <c r="B6840" t="s">
        <v>108</v>
      </c>
      <c r="C6840" t="s">
        <v>127</v>
      </c>
      <c r="D6840" t="s">
        <v>128</v>
      </c>
      <c r="E6840">
        <v>2000</v>
      </c>
      <c r="F6840" s="1">
        <v>8997</v>
      </c>
      <c r="G6840">
        <v>2000</v>
      </c>
      <c r="H6840">
        <f>AVERAGEIFS(Table1[value],Table1[IndicatorCode],Table1[[#This Row],[IndicatorCode]])</f>
        <v>24902.88753799392</v>
      </c>
      <c r="I6840" cm="1">
        <f t="array" ref="I6840">_xlfn.STDEV.P(IF(Table1[IndicatorCode]=Table1[[#This Row],[IndicatorCode]],Table1[value]))</f>
        <v>26324.778297809873</v>
      </c>
      <c r="J6840">
        <f>(Table1[[#This Row],[value]] - Table1[[#This Row],[mean]]) / Table1[[#This Row],[std_dev]]</f>
        <v>-0.6042173407142134</v>
      </c>
      <c r="K6840">
        <f>AVERAGEIF(Table1[CountryCode],Table1[[#This Row],[CountryCode]],Table1[z-score])</f>
        <v>1.9919220601134553E-2</v>
      </c>
      <c r="L6840" t="e">
        <f>VLOOKUP(Table1[[#This Row],[CountryCode]],[1]!Table1[#All],1,FALSE)</f>
        <v>#REF!</v>
      </c>
    </row>
    <row r="6841" spans="1:12" hidden="1" x14ac:dyDescent="0.3">
      <c r="A6841" t="s">
        <v>107</v>
      </c>
      <c r="B6841" t="s">
        <v>108</v>
      </c>
      <c r="C6841" t="s">
        <v>127</v>
      </c>
      <c r="D6841" t="s">
        <v>128</v>
      </c>
      <c r="E6841">
        <v>2001</v>
      </c>
      <c r="F6841" s="1">
        <v>9277</v>
      </c>
      <c r="G6841">
        <v>2000</v>
      </c>
      <c r="H6841">
        <f>AVERAGEIFS(Table1[value],Table1[IndicatorCode],Table1[[#This Row],[IndicatorCode]])</f>
        <v>24902.88753799392</v>
      </c>
      <c r="I6841" cm="1">
        <f t="array" ref="I6841">_xlfn.STDEV.P(IF(Table1[IndicatorCode]=Table1[[#This Row],[IndicatorCode]],Table1[value]))</f>
        <v>26324.778297809873</v>
      </c>
      <c r="J6841">
        <f>(Table1[[#This Row],[value]] - Table1[[#This Row],[mean]]) / Table1[[#This Row],[std_dev]]</f>
        <v>-0.59358097383459973</v>
      </c>
      <c r="K6841">
        <f>AVERAGEIF(Table1[CountryCode],Table1[[#This Row],[CountryCode]],Table1[z-score])</f>
        <v>1.9919220601134553E-2</v>
      </c>
      <c r="L6841" t="e">
        <f>VLOOKUP(Table1[[#This Row],[CountryCode]],[1]!Table1[#All],1,FALSE)</f>
        <v>#REF!</v>
      </c>
    </row>
    <row r="6842" spans="1:12" hidden="1" x14ac:dyDescent="0.3">
      <c r="A6842" t="s">
        <v>107</v>
      </c>
      <c r="B6842" t="s">
        <v>108</v>
      </c>
      <c r="C6842" t="s">
        <v>127</v>
      </c>
      <c r="D6842" t="s">
        <v>128</v>
      </c>
      <c r="E6842">
        <v>2002</v>
      </c>
      <c r="F6842" s="1">
        <v>9691</v>
      </c>
      <c r="G6842">
        <v>2000</v>
      </c>
      <c r="H6842">
        <f>AVERAGEIFS(Table1[value],Table1[IndicatorCode],Table1[[#This Row],[IndicatorCode]])</f>
        <v>24902.88753799392</v>
      </c>
      <c r="I6842" cm="1">
        <f t="array" ref="I6842">_xlfn.STDEV.P(IF(Table1[IndicatorCode]=Table1[[#This Row],[IndicatorCode]],Table1[value]))</f>
        <v>26324.778297809873</v>
      </c>
      <c r="J6842">
        <f>(Table1[[#This Row],[value]] - Table1[[#This Row],[mean]]) / Table1[[#This Row],[std_dev]]</f>
        <v>-0.5778543456625993</v>
      </c>
      <c r="K6842">
        <f>AVERAGEIF(Table1[CountryCode],Table1[[#This Row],[CountryCode]],Table1[z-score])</f>
        <v>1.9919220601134553E-2</v>
      </c>
      <c r="L6842" t="e">
        <f>VLOOKUP(Table1[[#This Row],[CountryCode]],[1]!Table1[#All],1,FALSE)</f>
        <v>#REF!</v>
      </c>
    </row>
    <row r="6843" spans="1:12" hidden="1" x14ac:dyDescent="0.3">
      <c r="A6843" t="s">
        <v>107</v>
      </c>
      <c r="B6843" t="s">
        <v>108</v>
      </c>
      <c r="C6843" t="s">
        <v>127</v>
      </c>
      <c r="D6843" t="s">
        <v>128</v>
      </c>
      <c r="E6843">
        <v>2003</v>
      </c>
      <c r="F6843" s="1">
        <v>10168</v>
      </c>
      <c r="G6843">
        <v>2000</v>
      </c>
      <c r="H6843">
        <f>AVERAGEIFS(Table1[value],Table1[IndicatorCode],Table1[[#This Row],[IndicatorCode]])</f>
        <v>24902.88753799392</v>
      </c>
      <c r="I6843" cm="1">
        <f t="array" ref="I6843">_xlfn.STDEV.P(IF(Table1[IndicatorCode]=Table1[[#This Row],[IndicatorCode]],Table1[value]))</f>
        <v>26324.778297809873</v>
      </c>
      <c r="J6843">
        <f>(Table1[[#This Row],[value]] - Table1[[#This Row],[mean]]) / Table1[[#This Row],[std_dev]]</f>
        <v>-0.55973453494268588</v>
      </c>
      <c r="K6843">
        <f>AVERAGEIF(Table1[CountryCode],Table1[[#This Row],[CountryCode]],Table1[z-score])</f>
        <v>1.9919220601134553E-2</v>
      </c>
      <c r="L6843" t="e">
        <f>VLOOKUP(Table1[[#This Row],[CountryCode]],[1]!Table1[#All],1,FALSE)</f>
        <v>#REF!</v>
      </c>
    </row>
    <row r="6844" spans="1:12" hidden="1" x14ac:dyDescent="0.3">
      <c r="A6844" t="s">
        <v>107</v>
      </c>
      <c r="B6844" t="s">
        <v>108</v>
      </c>
      <c r="C6844" t="s">
        <v>127</v>
      </c>
      <c r="D6844" t="s">
        <v>128</v>
      </c>
      <c r="E6844">
        <v>2004</v>
      </c>
      <c r="F6844" s="1">
        <v>10718</v>
      </c>
      <c r="G6844">
        <v>2000</v>
      </c>
      <c r="H6844">
        <f>AVERAGEIFS(Table1[value],Table1[IndicatorCode],Table1[[#This Row],[IndicatorCode]])</f>
        <v>24902.88753799392</v>
      </c>
      <c r="I6844" cm="1">
        <f t="array" ref="I6844">_xlfn.STDEV.P(IF(Table1[IndicatorCode]=Table1[[#This Row],[IndicatorCode]],Table1[value]))</f>
        <v>26324.778297809873</v>
      </c>
      <c r="J6844">
        <f>(Table1[[#This Row],[value]] - Table1[[#This Row],[mean]]) / Table1[[#This Row],[std_dev]]</f>
        <v>-0.53884167142915884</v>
      </c>
      <c r="K6844">
        <f>AVERAGEIF(Table1[CountryCode],Table1[[#This Row],[CountryCode]],Table1[z-score])</f>
        <v>1.9919220601134553E-2</v>
      </c>
      <c r="L6844" t="e">
        <f>VLOOKUP(Table1[[#This Row],[CountryCode]],[1]!Table1[#All],1,FALSE)</f>
        <v>#REF!</v>
      </c>
    </row>
    <row r="6845" spans="1:12" hidden="1" x14ac:dyDescent="0.3">
      <c r="A6845" t="s">
        <v>107</v>
      </c>
      <c r="B6845" t="s">
        <v>108</v>
      </c>
      <c r="C6845" t="s">
        <v>127</v>
      </c>
      <c r="D6845" t="s">
        <v>128</v>
      </c>
      <c r="E6845">
        <v>2005</v>
      </c>
      <c r="F6845" s="1">
        <v>11412</v>
      </c>
      <c r="G6845">
        <v>2000</v>
      </c>
      <c r="H6845">
        <f>AVERAGEIFS(Table1[value],Table1[IndicatorCode],Table1[[#This Row],[IndicatorCode]])</f>
        <v>24902.88753799392</v>
      </c>
      <c r="I6845" cm="1">
        <f t="array" ref="I6845">_xlfn.STDEV.P(IF(Table1[IndicatorCode]=Table1[[#This Row],[IndicatorCode]],Table1[value]))</f>
        <v>26324.778297809873</v>
      </c>
      <c r="J6845">
        <f>(Table1[[#This Row],[value]] - Table1[[#This Row],[mean]]) / Table1[[#This Row],[std_dev]]</f>
        <v>-0.51247867637754474</v>
      </c>
      <c r="K6845">
        <f>AVERAGEIF(Table1[CountryCode],Table1[[#This Row],[CountryCode]],Table1[z-score])</f>
        <v>1.9919220601134553E-2</v>
      </c>
      <c r="L6845" t="e">
        <f>VLOOKUP(Table1[[#This Row],[CountryCode]],[1]!Table1[#All],1,FALSE)</f>
        <v>#REF!</v>
      </c>
    </row>
    <row r="6846" spans="1:12" hidden="1" x14ac:dyDescent="0.3">
      <c r="A6846" t="s">
        <v>107</v>
      </c>
      <c r="B6846" t="s">
        <v>108</v>
      </c>
      <c r="C6846" t="s">
        <v>127</v>
      </c>
      <c r="D6846" t="s">
        <v>128</v>
      </c>
      <c r="E6846">
        <v>2006</v>
      </c>
      <c r="F6846" s="1">
        <v>12430</v>
      </c>
      <c r="G6846">
        <v>2000</v>
      </c>
      <c r="H6846">
        <f>AVERAGEIFS(Table1[value],Table1[IndicatorCode],Table1[[#This Row],[IndicatorCode]])</f>
        <v>24902.88753799392</v>
      </c>
      <c r="I6846" cm="1">
        <f t="array" ref="I6846">_xlfn.STDEV.P(IF(Table1[IndicatorCode]=Table1[[#This Row],[IndicatorCode]],Table1[value]))</f>
        <v>26324.778297809873</v>
      </c>
      <c r="J6846">
        <f>(Table1[[#This Row],[value]] - Table1[[#This Row],[mean]]) / Table1[[#This Row],[std_dev]]</f>
        <v>-0.47380788536523477</v>
      </c>
      <c r="K6846">
        <f>AVERAGEIF(Table1[CountryCode],Table1[[#This Row],[CountryCode]],Table1[z-score])</f>
        <v>1.9919220601134553E-2</v>
      </c>
      <c r="L6846" t="e">
        <f>VLOOKUP(Table1[[#This Row],[CountryCode]],[1]!Table1[#All],1,FALSE)</f>
        <v>#REF!</v>
      </c>
    </row>
    <row r="6847" spans="1:12" hidden="1" x14ac:dyDescent="0.3">
      <c r="A6847" t="s">
        <v>107</v>
      </c>
      <c r="B6847" t="s">
        <v>108</v>
      </c>
      <c r="C6847" t="s">
        <v>127</v>
      </c>
      <c r="D6847" t="s">
        <v>128</v>
      </c>
      <c r="E6847">
        <v>2007</v>
      </c>
      <c r="F6847" s="1">
        <v>13771</v>
      </c>
      <c r="G6847">
        <v>2010</v>
      </c>
      <c r="H6847">
        <f>AVERAGEIFS(Table1[value],Table1[IndicatorCode],Table1[[#This Row],[IndicatorCode]])</f>
        <v>24902.88753799392</v>
      </c>
      <c r="I6847" cm="1">
        <f t="array" ref="I6847">_xlfn.STDEV.P(IF(Table1[IndicatorCode]=Table1[[#This Row],[IndicatorCode]],Table1[value]))</f>
        <v>26324.778297809873</v>
      </c>
      <c r="J6847">
        <f>(Table1[[#This Row],[value]] - Table1[[#This Row],[mean]]) / Table1[[#This Row],[std_dev]]</f>
        <v>-0.42286728541679885</v>
      </c>
      <c r="K6847">
        <f>AVERAGEIF(Table1[CountryCode],Table1[[#This Row],[CountryCode]],Table1[z-score])</f>
        <v>1.9919220601134553E-2</v>
      </c>
      <c r="L6847" t="e">
        <f>VLOOKUP(Table1[[#This Row],[CountryCode]],[1]!Table1[#All],1,FALSE)</f>
        <v>#REF!</v>
      </c>
    </row>
    <row r="6848" spans="1:12" hidden="1" x14ac:dyDescent="0.3">
      <c r="A6848" t="s">
        <v>107</v>
      </c>
      <c r="B6848" t="s">
        <v>108</v>
      </c>
      <c r="C6848" t="s">
        <v>127</v>
      </c>
      <c r="D6848" t="s">
        <v>128</v>
      </c>
      <c r="E6848">
        <v>2008</v>
      </c>
      <c r="F6848" s="1">
        <v>14497</v>
      </c>
      <c r="G6848">
        <v>2010</v>
      </c>
      <c r="H6848">
        <f>AVERAGEIFS(Table1[value],Table1[IndicatorCode],Table1[[#This Row],[IndicatorCode]])</f>
        <v>24902.88753799392</v>
      </c>
      <c r="I6848" cm="1">
        <f t="array" ref="I6848">_xlfn.STDEV.P(IF(Table1[IndicatorCode]=Table1[[#This Row],[IndicatorCode]],Table1[value]))</f>
        <v>26324.778297809873</v>
      </c>
      <c r="J6848">
        <f>(Table1[[#This Row],[value]] - Table1[[#This Row],[mean]]) / Table1[[#This Row],[std_dev]]</f>
        <v>-0.39528870557894319</v>
      </c>
      <c r="K6848">
        <f>AVERAGEIF(Table1[CountryCode],Table1[[#This Row],[CountryCode]],Table1[z-score])</f>
        <v>1.9919220601134553E-2</v>
      </c>
      <c r="L6848" t="e">
        <f>VLOOKUP(Table1[[#This Row],[CountryCode]],[1]!Table1[#All],1,FALSE)</f>
        <v>#REF!</v>
      </c>
    </row>
    <row r="6849" spans="1:12" hidden="1" x14ac:dyDescent="0.3">
      <c r="A6849" t="s">
        <v>107</v>
      </c>
      <c r="B6849" t="s">
        <v>108</v>
      </c>
      <c r="C6849" t="s">
        <v>127</v>
      </c>
      <c r="D6849" t="s">
        <v>128</v>
      </c>
      <c r="E6849">
        <v>2009</v>
      </c>
      <c r="F6849" s="1">
        <v>13681</v>
      </c>
      <c r="G6849">
        <v>2010</v>
      </c>
      <c r="H6849">
        <f>AVERAGEIFS(Table1[value],Table1[IndicatorCode],Table1[[#This Row],[IndicatorCode]])</f>
        <v>24902.88753799392</v>
      </c>
      <c r="I6849" cm="1">
        <f t="array" ref="I6849">_xlfn.STDEV.P(IF(Table1[IndicatorCode]=Table1[[#This Row],[IndicatorCode]],Table1[value]))</f>
        <v>26324.778297809873</v>
      </c>
      <c r="J6849">
        <f>(Table1[[#This Row],[value]] - Table1[[#This Row],[mean]]) / Table1[[#This Row],[std_dev]]</f>
        <v>-0.42628611762810326</v>
      </c>
      <c r="K6849">
        <f>AVERAGEIF(Table1[CountryCode],Table1[[#This Row],[CountryCode]],Table1[z-score])</f>
        <v>1.9919220601134553E-2</v>
      </c>
      <c r="L6849" t="e">
        <f>VLOOKUP(Table1[[#This Row],[CountryCode]],[1]!Table1[#All],1,FALSE)</f>
        <v>#REF!</v>
      </c>
    </row>
    <row r="6850" spans="1:12" hidden="1" x14ac:dyDescent="0.3">
      <c r="A6850" t="s">
        <v>107</v>
      </c>
      <c r="B6850" t="s">
        <v>108</v>
      </c>
      <c r="C6850" t="s">
        <v>127</v>
      </c>
      <c r="D6850" t="s">
        <v>128</v>
      </c>
      <c r="E6850">
        <v>2010</v>
      </c>
      <c r="F6850" s="1">
        <v>14596</v>
      </c>
      <c r="G6850">
        <v>2010</v>
      </c>
      <c r="H6850">
        <f>AVERAGEIFS(Table1[value],Table1[IndicatorCode],Table1[[#This Row],[IndicatorCode]])</f>
        <v>24902.88753799392</v>
      </c>
      <c r="I6850" cm="1">
        <f t="array" ref="I6850">_xlfn.STDEV.P(IF(Table1[IndicatorCode]=Table1[[#This Row],[IndicatorCode]],Table1[value]))</f>
        <v>26324.778297809873</v>
      </c>
      <c r="J6850">
        <f>(Table1[[#This Row],[value]] - Table1[[#This Row],[mean]]) / Table1[[#This Row],[std_dev]]</f>
        <v>-0.3915279901465083</v>
      </c>
      <c r="K6850">
        <f>AVERAGEIF(Table1[CountryCode],Table1[[#This Row],[CountryCode]],Table1[z-score])</f>
        <v>1.9919220601134553E-2</v>
      </c>
      <c r="L6850" t="e">
        <f>VLOOKUP(Table1[[#This Row],[CountryCode]],[1]!Table1[#All],1,FALSE)</f>
        <v>#REF!</v>
      </c>
    </row>
    <row r="6851" spans="1:12" hidden="1" x14ac:dyDescent="0.3">
      <c r="A6851" t="s">
        <v>107</v>
      </c>
      <c r="B6851" t="s">
        <v>108</v>
      </c>
      <c r="C6851" t="s">
        <v>127</v>
      </c>
      <c r="D6851" t="s">
        <v>128</v>
      </c>
      <c r="E6851">
        <v>2011</v>
      </c>
      <c r="F6851" s="1">
        <v>14951</v>
      </c>
      <c r="G6851">
        <v>2010</v>
      </c>
      <c r="H6851">
        <f>AVERAGEIFS(Table1[value],Table1[IndicatorCode],Table1[[#This Row],[IndicatorCode]])</f>
        <v>24902.88753799392</v>
      </c>
      <c r="I6851" cm="1">
        <f t="array" ref="I6851">_xlfn.STDEV.P(IF(Table1[IndicatorCode]=Table1[[#This Row],[IndicatorCode]],Table1[value]))</f>
        <v>26324.778297809873</v>
      </c>
      <c r="J6851">
        <f>(Table1[[#This Row],[value]] - Table1[[#This Row],[mean]]) / Table1[[#This Row],[std_dev]]</f>
        <v>-0.3780425964241409</v>
      </c>
      <c r="K6851">
        <f>AVERAGEIF(Table1[CountryCode],Table1[[#This Row],[CountryCode]],Table1[z-score])</f>
        <v>1.9919220601134553E-2</v>
      </c>
      <c r="L6851" t="e">
        <f>VLOOKUP(Table1[[#This Row],[CountryCode]],[1]!Table1[#All],1,FALSE)</f>
        <v>#REF!</v>
      </c>
    </row>
    <row r="6852" spans="1:12" hidden="1" x14ac:dyDescent="0.3">
      <c r="A6852" t="s">
        <v>107</v>
      </c>
      <c r="B6852" t="s">
        <v>108</v>
      </c>
      <c r="C6852" t="s">
        <v>127</v>
      </c>
      <c r="D6852" t="s">
        <v>128</v>
      </c>
      <c r="E6852">
        <v>2012</v>
      </c>
      <c r="F6852" s="1">
        <v>15160</v>
      </c>
      <c r="G6852">
        <v>2010</v>
      </c>
      <c r="H6852">
        <f>AVERAGEIFS(Table1[value],Table1[IndicatorCode],Table1[[#This Row],[IndicatorCode]])</f>
        <v>24902.88753799392</v>
      </c>
      <c r="I6852" cm="1">
        <f t="array" ref="I6852">_xlfn.STDEV.P(IF(Table1[IndicatorCode]=Table1[[#This Row],[IndicatorCode]],Table1[value]))</f>
        <v>26324.778297809873</v>
      </c>
      <c r="J6852">
        <f>(Table1[[#This Row],[value]] - Table1[[#This Row],[mean]]) / Table1[[#This Row],[std_dev]]</f>
        <v>-0.37010330828900062</v>
      </c>
      <c r="K6852">
        <f>AVERAGEIF(Table1[CountryCode],Table1[[#This Row],[CountryCode]],Table1[z-score])</f>
        <v>1.9919220601134553E-2</v>
      </c>
      <c r="L6852" t="e">
        <f>VLOOKUP(Table1[[#This Row],[CountryCode]],[1]!Table1[#All],1,FALSE)</f>
        <v>#REF!</v>
      </c>
    </row>
    <row r="6853" spans="1:12" hidden="1" x14ac:dyDescent="0.3">
      <c r="A6853" t="s">
        <v>107</v>
      </c>
      <c r="B6853" t="s">
        <v>108</v>
      </c>
      <c r="C6853" t="s">
        <v>127</v>
      </c>
      <c r="D6853" t="s">
        <v>128</v>
      </c>
      <c r="E6853">
        <v>2013</v>
      </c>
      <c r="F6853" s="1">
        <v>15250</v>
      </c>
      <c r="G6853">
        <v>2010</v>
      </c>
      <c r="H6853">
        <f>AVERAGEIFS(Table1[value],Table1[IndicatorCode],Table1[[#This Row],[IndicatorCode]])</f>
        <v>24902.88753799392</v>
      </c>
      <c r="I6853" cm="1">
        <f t="array" ref="I6853">_xlfn.STDEV.P(IF(Table1[IndicatorCode]=Table1[[#This Row],[IndicatorCode]],Table1[value]))</f>
        <v>26324.778297809873</v>
      </c>
      <c r="J6853">
        <f>(Table1[[#This Row],[value]] - Table1[[#This Row],[mean]]) / Table1[[#This Row],[std_dev]]</f>
        <v>-0.36668447607769616</v>
      </c>
      <c r="K6853">
        <f>AVERAGEIF(Table1[CountryCode],Table1[[#This Row],[CountryCode]],Table1[z-score])</f>
        <v>1.9919220601134553E-2</v>
      </c>
      <c r="L6853" t="e">
        <f>VLOOKUP(Table1[[#This Row],[CountryCode]],[1]!Table1[#All],1,FALSE)</f>
        <v>#REF!</v>
      </c>
    </row>
    <row r="6854" spans="1:12" hidden="1" x14ac:dyDescent="0.3">
      <c r="A6854" t="s">
        <v>107</v>
      </c>
      <c r="B6854" t="s">
        <v>108</v>
      </c>
      <c r="C6854" t="s">
        <v>127</v>
      </c>
      <c r="D6854" t="s">
        <v>128</v>
      </c>
      <c r="E6854">
        <v>2014</v>
      </c>
      <c r="F6854" s="1">
        <v>15648</v>
      </c>
      <c r="G6854">
        <v>2010</v>
      </c>
      <c r="H6854">
        <f>AVERAGEIFS(Table1[value],Table1[IndicatorCode],Table1[[#This Row],[IndicatorCode]])</f>
        <v>24902.88753799392</v>
      </c>
      <c r="I6854" cm="1">
        <f t="array" ref="I6854">_xlfn.STDEV.P(IF(Table1[IndicatorCode]=Table1[[#This Row],[IndicatorCode]],Table1[value]))</f>
        <v>26324.778297809873</v>
      </c>
      <c r="J6854">
        <f>(Table1[[#This Row],[value]] - Table1[[#This Row],[mean]]) / Table1[[#This Row],[std_dev]]</f>
        <v>-0.35156564029881665</v>
      </c>
      <c r="K6854">
        <f>AVERAGEIF(Table1[CountryCode],Table1[[#This Row],[CountryCode]],Table1[z-score])</f>
        <v>1.9919220601134553E-2</v>
      </c>
      <c r="L6854" t="e">
        <f>VLOOKUP(Table1[[#This Row],[CountryCode]],[1]!Table1[#All],1,FALSE)</f>
        <v>#REF!</v>
      </c>
    </row>
    <row r="6855" spans="1:12" hidden="1" x14ac:dyDescent="0.3">
      <c r="A6855" t="s">
        <v>107</v>
      </c>
      <c r="B6855" t="s">
        <v>108</v>
      </c>
      <c r="C6855" t="s">
        <v>127</v>
      </c>
      <c r="D6855" t="s">
        <v>128</v>
      </c>
      <c r="E6855">
        <v>2015</v>
      </c>
      <c r="F6855" s="1">
        <v>16442</v>
      </c>
      <c r="G6855">
        <v>2010</v>
      </c>
      <c r="H6855">
        <f>AVERAGEIFS(Table1[value],Table1[IndicatorCode],Table1[[#This Row],[IndicatorCode]])</f>
        <v>24902.88753799392</v>
      </c>
      <c r="I6855" cm="1">
        <f t="array" ref="I6855">_xlfn.STDEV.P(IF(Table1[IndicatorCode]=Table1[[#This Row],[IndicatorCode]],Table1[value]))</f>
        <v>26324.778297809873</v>
      </c>
      <c r="J6855">
        <f>(Table1[[#This Row],[value]] - Table1[[#This Row],[mean]]) / Table1[[#This Row],[std_dev]]</f>
        <v>-0.32140394279019763</v>
      </c>
      <c r="K6855">
        <f>AVERAGEIF(Table1[CountryCode],Table1[[#This Row],[CountryCode]],Table1[z-score])</f>
        <v>1.9919220601134553E-2</v>
      </c>
      <c r="L6855" t="e">
        <f>VLOOKUP(Table1[[#This Row],[CountryCode]],[1]!Table1[#All],1,FALSE)</f>
        <v>#REF!</v>
      </c>
    </row>
    <row r="6856" spans="1:12" hidden="1" x14ac:dyDescent="0.3">
      <c r="A6856" t="s">
        <v>107</v>
      </c>
      <c r="B6856" t="s">
        <v>108</v>
      </c>
      <c r="C6856" t="s">
        <v>127</v>
      </c>
      <c r="D6856" t="s">
        <v>128</v>
      </c>
      <c r="E6856">
        <v>2016</v>
      </c>
      <c r="F6856" s="1">
        <v>16741</v>
      </c>
      <c r="G6856">
        <v>2010</v>
      </c>
      <c r="H6856">
        <f>AVERAGEIFS(Table1[value],Table1[IndicatorCode],Table1[[#This Row],[IndicatorCode]])</f>
        <v>24902.88753799392</v>
      </c>
      <c r="I6856" cm="1">
        <f t="array" ref="I6856">_xlfn.STDEV.P(IF(Table1[IndicatorCode]=Table1[[#This Row],[IndicatorCode]],Table1[value]))</f>
        <v>26324.778297809873</v>
      </c>
      <c r="J6856">
        <f>(Table1[[#This Row],[value]] - Table1[[#This Row],[mean]]) / Table1[[#This Row],[std_dev]]</f>
        <v>-0.31004582244375289</v>
      </c>
      <c r="K6856">
        <f>AVERAGEIF(Table1[CountryCode],Table1[[#This Row],[CountryCode]],Table1[z-score])</f>
        <v>1.9919220601134553E-2</v>
      </c>
      <c r="L6856" t="e">
        <f>VLOOKUP(Table1[[#This Row],[CountryCode]],[1]!Table1[#All],1,FALSE)</f>
        <v>#REF!</v>
      </c>
    </row>
    <row r="6857" spans="1:12" hidden="1" x14ac:dyDescent="0.3">
      <c r="A6857" t="s">
        <v>107</v>
      </c>
      <c r="B6857" t="s">
        <v>108</v>
      </c>
      <c r="C6857" t="s">
        <v>127</v>
      </c>
      <c r="D6857" t="s">
        <v>128</v>
      </c>
      <c r="E6857">
        <v>2017</v>
      </c>
      <c r="F6857" s="1">
        <v>17195</v>
      </c>
      <c r="G6857">
        <v>2020</v>
      </c>
      <c r="H6857">
        <f>AVERAGEIFS(Table1[value],Table1[IndicatorCode],Table1[[#This Row],[IndicatorCode]])</f>
        <v>24902.88753799392</v>
      </c>
      <c r="I6857" cm="1">
        <f t="array" ref="I6857">_xlfn.STDEV.P(IF(Table1[IndicatorCode]=Table1[[#This Row],[IndicatorCode]],Table1[value]))</f>
        <v>26324.778297809873</v>
      </c>
      <c r="J6857">
        <f>(Table1[[#This Row],[value]] - Table1[[#This Row],[mean]]) / Table1[[#This Row],[std_dev]]</f>
        <v>-0.2927997132889506</v>
      </c>
      <c r="K6857">
        <f>AVERAGEIF(Table1[CountryCode],Table1[[#This Row],[CountryCode]],Table1[z-score])</f>
        <v>1.9919220601134553E-2</v>
      </c>
      <c r="L6857" t="e">
        <f>VLOOKUP(Table1[[#This Row],[CountryCode]],[1]!Table1[#All],1,FALSE)</f>
        <v>#REF!</v>
      </c>
    </row>
    <row r="6858" spans="1:12" hidden="1" x14ac:dyDescent="0.3">
      <c r="A6858" t="s">
        <v>107</v>
      </c>
      <c r="B6858" t="s">
        <v>108</v>
      </c>
      <c r="C6858" t="s">
        <v>127</v>
      </c>
      <c r="D6858" t="s">
        <v>128</v>
      </c>
      <c r="E6858">
        <v>2018</v>
      </c>
      <c r="F6858" s="1">
        <v>17869</v>
      </c>
      <c r="G6858">
        <v>2020</v>
      </c>
      <c r="H6858">
        <f>AVERAGEIFS(Table1[value],Table1[IndicatorCode],Table1[[#This Row],[IndicatorCode]])</f>
        <v>24902.88753799392</v>
      </c>
      <c r="I6858" cm="1">
        <f t="array" ref="I6858">_xlfn.STDEV.P(IF(Table1[IndicatorCode]=Table1[[#This Row],[IndicatorCode]],Table1[value]))</f>
        <v>26324.778297809873</v>
      </c>
      <c r="J6858">
        <f>(Table1[[#This Row],[value]] - Table1[[#This Row],[mean]]) / Table1[[#This Row],[std_dev]]</f>
        <v>-0.26719645872873748</v>
      </c>
      <c r="K6858">
        <f>AVERAGEIF(Table1[CountryCode],Table1[[#This Row],[CountryCode]],Table1[z-score])</f>
        <v>1.9919220601134553E-2</v>
      </c>
      <c r="L6858" t="e">
        <f>VLOOKUP(Table1[[#This Row],[CountryCode]],[1]!Table1[#All],1,FALSE)</f>
        <v>#REF!</v>
      </c>
    </row>
    <row r="6859" spans="1:12" hidden="1" x14ac:dyDescent="0.3">
      <c r="A6859" t="s">
        <v>107</v>
      </c>
      <c r="B6859" t="s">
        <v>108</v>
      </c>
      <c r="C6859" t="s">
        <v>127</v>
      </c>
      <c r="D6859" t="s">
        <v>128</v>
      </c>
      <c r="E6859">
        <v>2019</v>
      </c>
      <c r="F6859" s="1">
        <v>18251</v>
      </c>
      <c r="G6859">
        <v>2020</v>
      </c>
      <c r="H6859">
        <f>AVERAGEIFS(Table1[value],Table1[IndicatorCode],Table1[[#This Row],[IndicatorCode]])</f>
        <v>24902.88753799392</v>
      </c>
      <c r="I6859" cm="1">
        <f t="array" ref="I6859">_xlfn.STDEV.P(IF(Table1[IndicatorCode]=Table1[[#This Row],[IndicatorCode]],Table1[value]))</f>
        <v>26324.778297809873</v>
      </c>
      <c r="J6859">
        <f>(Table1[[#This Row],[value]] - Table1[[#This Row],[mean]]) / Table1[[#This Row],[std_dev]]</f>
        <v>-0.25268541534297873</v>
      </c>
      <c r="K6859">
        <f>AVERAGEIF(Table1[CountryCode],Table1[[#This Row],[CountryCode]],Table1[z-score])</f>
        <v>1.9919220601134553E-2</v>
      </c>
      <c r="L6859" t="e">
        <f>VLOOKUP(Table1[[#This Row],[CountryCode]],[1]!Table1[#All],1,FALSE)</f>
        <v>#REF!</v>
      </c>
    </row>
    <row r="6860" spans="1:12" x14ac:dyDescent="0.3">
      <c r="A6860" t="s">
        <v>47</v>
      </c>
      <c r="B6860" t="s">
        <v>48</v>
      </c>
      <c r="C6860" t="s">
        <v>127</v>
      </c>
      <c r="D6860" t="s">
        <v>128</v>
      </c>
      <c r="E6860">
        <v>2020</v>
      </c>
      <c r="F6860" s="1">
        <v>54302</v>
      </c>
      <c r="G6860">
        <v>2020</v>
      </c>
      <c r="H6860">
        <f>AVERAGEIFS(Table1[value],Table1[IndicatorCode],Table1[[#This Row],[IndicatorCode]])</f>
        <v>24902.88753799392</v>
      </c>
      <c r="I6860" cm="1">
        <f t="array" ref="I6860">_xlfn.STDEV.P(IF(Table1[IndicatorCode]=Table1[[#This Row],[IndicatorCode]],Table1[value]))</f>
        <v>26324.778297809873</v>
      </c>
      <c r="J6860">
        <f>(Table1[[#This Row],[value]] - Table1[[#This Row],[mean]]) / Table1[[#This Row],[std_dev]]</f>
        <v>1.1167848074318627</v>
      </c>
      <c r="K6860">
        <f>AVERAGEIF(Table1[CountryCode],Table1[[#This Row],[CountryCode]],Table1[z-score])</f>
        <v>-3.9589438634764836E-2</v>
      </c>
    </row>
    <row r="6861" spans="1:12" hidden="1" x14ac:dyDescent="0.3">
      <c r="A6861" t="s">
        <v>107</v>
      </c>
      <c r="B6861" t="s">
        <v>108</v>
      </c>
      <c r="C6861" t="s">
        <v>127</v>
      </c>
      <c r="D6861" t="s">
        <v>128</v>
      </c>
      <c r="E6861">
        <v>2021</v>
      </c>
      <c r="F6861" s="1">
        <v>18808</v>
      </c>
      <c r="G6861">
        <v>2020</v>
      </c>
      <c r="H6861">
        <f>AVERAGEIFS(Table1[value],Table1[IndicatorCode],Table1[[#This Row],[IndicatorCode]])</f>
        <v>24902.88753799392</v>
      </c>
      <c r="I6861" cm="1">
        <f t="array" ref="I6861">_xlfn.STDEV.P(IF(Table1[IndicatorCode]=Table1[[#This Row],[IndicatorCode]],Table1[value]))</f>
        <v>26324.778297809873</v>
      </c>
      <c r="J6861">
        <f>(Table1[[#This Row],[value]] - Table1[[#This Row],[mean]]) / Table1[[#This Row],[std_dev]]</f>
        <v>-0.23152664265746134</v>
      </c>
      <c r="K6861">
        <f>AVERAGEIF(Table1[CountryCode],Table1[[#This Row],[CountryCode]],Table1[z-score])</f>
        <v>1.9919220601134553E-2</v>
      </c>
      <c r="L6861" t="e">
        <f>VLOOKUP(Table1[[#This Row],[CountryCode]],[1]!Table1[#All],1,FALSE)</f>
        <v>#REF!</v>
      </c>
    </row>
    <row r="6862" spans="1:12" hidden="1" x14ac:dyDescent="0.3">
      <c r="A6862" t="s">
        <v>107</v>
      </c>
      <c r="B6862" t="s">
        <v>108</v>
      </c>
      <c r="C6862" t="s">
        <v>127</v>
      </c>
      <c r="D6862" t="s">
        <v>128</v>
      </c>
      <c r="E6862">
        <v>2022</v>
      </c>
      <c r="F6862" s="1">
        <v>18965</v>
      </c>
      <c r="G6862">
        <v>1990</v>
      </c>
      <c r="H6862">
        <f>AVERAGEIFS(Table1[value],Table1[IndicatorCode],Table1[[#This Row],[IndicatorCode]])</f>
        <v>24902.88753799392</v>
      </c>
      <c r="I6862" cm="1">
        <f t="array" ref="I6862">_xlfn.STDEV.P(IF(Table1[IndicatorCode]=Table1[[#This Row],[IndicatorCode]],Table1[value]))</f>
        <v>26324.778297809873</v>
      </c>
      <c r="J6862">
        <f>(Table1[[#This Row],[value]] - Table1[[#This Row],[mean]]) / Table1[[#This Row],[std_dev]]</f>
        <v>-0.22556267979996364</v>
      </c>
      <c r="K6862">
        <f>AVERAGEIF(Table1[CountryCode],Table1[[#This Row],[CountryCode]],Table1[z-score])</f>
        <v>1.9919220601134553E-2</v>
      </c>
      <c r="L6862" t="e">
        <f>VLOOKUP(Table1[[#This Row],[CountryCode]],[1]!Table1[#All],1,FALSE)</f>
        <v>#REF!</v>
      </c>
    </row>
    <row r="6863" spans="1:12" hidden="1" x14ac:dyDescent="0.3">
      <c r="A6863" t="s">
        <v>107</v>
      </c>
      <c r="B6863" t="s">
        <v>108</v>
      </c>
      <c r="C6863" t="s">
        <v>127</v>
      </c>
      <c r="D6863" t="s">
        <v>128</v>
      </c>
      <c r="E6863">
        <v>2023</v>
      </c>
      <c r="F6863" s="1">
        <v>19383</v>
      </c>
      <c r="G6863">
        <v>1990</v>
      </c>
      <c r="H6863">
        <f>AVERAGEIFS(Table1[value],Table1[IndicatorCode],Table1[[#This Row],[IndicatorCode]])</f>
        <v>24902.88753799392</v>
      </c>
      <c r="I6863" cm="1">
        <f t="array" ref="I6863">_xlfn.STDEV.P(IF(Table1[IndicatorCode]=Table1[[#This Row],[IndicatorCode]],Table1[value]))</f>
        <v>26324.778297809873</v>
      </c>
      <c r="J6863">
        <f>(Table1[[#This Row],[value]] - Table1[[#This Row],[mean]]) / Table1[[#This Row],[std_dev]]</f>
        <v>-0.20968410352968309</v>
      </c>
      <c r="K6863">
        <f>AVERAGEIF(Table1[CountryCode],Table1[[#This Row],[CountryCode]],Table1[z-score])</f>
        <v>1.9919220601134553E-2</v>
      </c>
      <c r="L6863" t="e">
        <f>VLOOKUP(Table1[[#This Row],[CountryCode]],[1]!Table1[#All],1,FALSE)</f>
        <v>#REF!</v>
      </c>
    </row>
    <row r="6864" spans="1:12" hidden="1" x14ac:dyDescent="0.3">
      <c r="A6864" t="s">
        <v>107</v>
      </c>
      <c r="B6864" t="s">
        <v>108</v>
      </c>
      <c r="C6864" t="s">
        <v>127</v>
      </c>
      <c r="D6864" t="s">
        <v>128</v>
      </c>
      <c r="E6864">
        <v>2024</v>
      </c>
      <c r="F6864" s="1">
        <v>19776</v>
      </c>
      <c r="G6864">
        <v>1990</v>
      </c>
      <c r="H6864">
        <f>AVERAGEIFS(Table1[value],Table1[IndicatorCode],Table1[[#This Row],[IndicatorCode]])</f>
        <v>24902.88753799392</v>
      </c>
      <c r="I6864" cm="1">
        <f t="array" ref="I6864">_xlfn.STDEV.P(IF(Table1[IndicatorCode]=Table1[[#This Row],[IndicatorCode]],Table1[value]))</f>
        <v>26324.778297809873</v>
      </c>
      <c r="J6864">
        <f>(Table1[[#This Row],[value]] - Table1[[#This Row],[mean]]) / Table1[[#This Row],[std_dev]]</f>
        <v>-0.19475520287365378</v>
      </c>
      <c r="K6864">
        <f>AVERAGEIF(Table1[CountryCode],Table1[[#This Row],[CountryCode]],Table1[z-score])</f>
        <v>1.9919220601134553E-2</v>
      </c>
      <c r="L6864" t="e">
        <f>VLOOKUP(Table1[[#This Row],[CountryCode]],[1]!Table1[#All],1,FALSE)</f>
        <v>#REF!</v>
      </c>
    </row>
    <row r="6865" spans="1:12" hidden="1" x14ac:dyDescent="0.3">
      <c r="A6865" t="s">
        <v>109</v>
      </c>
      <c r="B6865" t="s">
        <v>110</v>
      </c>
      <c r="C6865" t="s">
        <v>127</v>
      </c>
      <c r="D6865" t="s">
        <v>128</v>
      </c>
      <c r="E6865">
        <v>1990</v>
      </c>
      <c r="F6865" s="1">
        <v>13616</v>
      </c>
      <c r="G6865">
        <v>1990</v>
      </c>
      <c r="H6865">
        <f>AVERAGEIFS(Table1[value],Table1[IndicatorCode],Table1[[#This Row],[IndicatorCode]])</f>
        <v>24902.88753799392</v>
      </c>
      <c r="I6865" cm="1">
        <f t="array" ref="I6865">_xlfn.STDEV.P(IF(Table1[IndicatorCode]=Table1[[#This Row],[IndicatorCode]],Table1[value]))</f>
        <v>26324.778297809873</v>
      </c>
      <c r="J6865">
        <f>(Table1[[#This Row],[value]] - Table1[[#This Row],[mean]]) / Table1[[#This Row],[std_dev]]</f>
        <v>-0.42875527422515647</v>
      </c>
      <c r="K6865">
        <f>AVERAGEIF(Table1[CountryCode],Table1[[#This Row],[CountryCode]],Table1[z-score])</f>
        <v>5.4192965202863402E-2</v>
      </c>
      <c r="L6865" t="e">
        <f>VLOOKUP(Table1[[#This Row],[CountryCode]],[1]!Table1[#All],1,FALSE)</f>
        <v>#REF!</v>
      </c>
    </row>
    <row r="6866" spans="1:12" hidden="1" x14ac:dyDescent="0.3">
      <c r="A6866" t="s">
        <v>109</v>
      </c>
      <c r="B6866" t="s">
        <v>110</v>
      </c>
      <c r="C6866" t="s">
        <v>127</v>
      </c>
      <c r="D6866" t="s">
        <v>128</v>
      </c>
      <c r="E6866">
        <v>1991</v>
      </c>
      <c r="F6866" s="1">
        <v>12396</v>
      </c>
      <c r="G6866">
        <v>1990</v>
      </c>
      <c r="H6866">
        <f>AVERAGEIFS(Table1[value],Table1[IndicatorCode],Table1[[#This Row],[IndicatorCode]])</f>
        <v>24902.88753799392</v>
      </c>
      <c r="I6866" cm="1">
        <f t="array" ref="I6866">_xlfn.STDEV.P(IF(Table1[IndicatorCode]=Table1[[#This Row],[IndicatorCode]],Table1[value]))</f>
        <v>26324.778297809873</v>
      </c>
      <c r="J6866">
        <f>(Table1[[#This Row],[value]] - Table1[[#This Row],[mean]]) / Table1[[#This Row],[std_dev]]</f>
        <v>-0.47509944420061645</v>
      </c>
      <c r="K6866">
        <f>AVERAGEIF(Table1[CountryCode],Table1[[#This Row],[CountryCode]],Table1[z-score])</f>
        <v>5.4192965202863402E-2</v>
      </c>
      <c r="L6866" t="e">
        <f>VLOOKUP(Table1[[#This Row],[CountryCode]],[1]!Table1[#All],1,FALSE)</f>
        <v>#REF!</v>
      </c>
    </row>
    <row r="6867" spans="1:12" hidden="1" x14ac:dyDescent="0.3">
      <c r="A6867" t="s">
        <v>109</v>
      </c>
      <c r="B6867" t="s">
        <v>110</v>
      </c>
      <c r="C6867" t="s">
        <v>127</v>
      </c>
      <c r="D6867" t="s">
        <v>128</v>
      </c>
      <c r="E6867">
        <v>1992</v>
      </c>
      <c r="F6867" s="1">
        <v>11736</v>
      </c>
      <c r="G6867">
        <v>1990</v>
      </c>
      <c r="H6867">
        <f>AVERAGEIFS(Table1[value],Table1[IndicatorCode],Table1[[#This Row],[IndicatorCode]])</f>
        <v>24902.88753799392</v>
      </c>
      <c r="I6867" cm="1">
        <f t="array" ref="I6867">_xlfn.STDEV.P(IF(Table1[IndicatorCode]=Table1[[#This Row],[IndicatorCode]],Table1[value]))</f>
        <v>26324.778297809873</v>
      </c>
      <c r="J6867">
        <f>(Table1[[#This Row],[value]] - Table1[[#This Row],[mean]]) / Table1[[#This Row],[std_dev]]</f>
        <v>-0.50017088041684887</v>
      </c>
      <c r="K6867">
        <f>AVERAGEIF(Table1[CountryCode],Table1[[#This Row],[CountryCode]],Table1[z-score])</f>
        <v>5.4192965202863402E-2</v>
      </c>
      <c r="L6867" t="e">
        <f>VLOOKUP(Table1[[#This Row],[CountryCode]],[1]!Table1[#All],1,FALSE)</f>
        <v>#REF!</v>
      </c>
    </row>
    <row r="6868" spans="1:12" hidden="1" x14ac:dyDescent="0.3">
      <c r="A6868" t="s">
        <v>109</v>
      </c>
      <c r="B6868" t="s">
        <v>110</v>
      </c>
      <c r="C6868" t="s">
        <v>127</v>
      </c>
      <c r="D6868" t="s">
        <v>128</v>
      </c>
      <c r="E6868">
        <v>1993</v>
      </c>
      <c r="F6868" s="1">
        <v>12098</v>
      </c>
      <c r="G6868">
        <v>1990</v>
      </c>
      <c r="H6868">
        <f>AVERAGEIFS(Table1[value],Table1[IndicatorCode],Table1[[#This Row],[IndicatorCode]])</f>
        <v>24902.88753799392</v>
      </c>
      <c r="I6868" cm="1">
        <f t="array" ref="I6868">_xlfn.STDEV.P(IF(Table1[IndicatorCode]=Table1[[#This Row],[IndicatorCode]],Table1[value]))</f>
        <v>26324.778297809873</v>
      </c>
      <c r="J6868">
        <f>(Table1[[#This Row],[value]] - Table1[[#This Row],[mean]]) / Table1[[#This Row],[std_dev]]</f>
        <v>-0.48641957752249104</v>
      </c>
      <c r="K6868">
        <f>AVERAGEIF(Table1[CountryCode],Table1[[#This Row],[CountryCode]],Table1[z-score])</f>
        <v>5.4192965202863402E-2</v>
      </c>
      <c r="L6868" t="e">
        <f>VLOOKUP(Table1[[#This Row],[CountryCode]],[1]!Table1[#All],1,FALSE)</f>
        <v>#REF!</v>
      </c>
    </row>
    <row r="6869" spans="1:12" hidden="1" x14ac:dyDescent="0.3">
      <c r="A6869" t="s">
        <v>109</v>
      </c>
      <c r="B6869" t="s">
        <v>110</v>
      </c>
      <c r="C6869" t="s">
        <v>127</v>
      </c>
      <c r="D6869" t="s">
        <v>128</v>
      </c>
      <c r="E6869">
        <v>1994</v>
      </c>
      <c r="F6869" s="1">
        <v>12758</v>
      </c>
      <c r="G6869">
        <v>1990</v>
      </c>
      <c r="H6869">
        <f>AVERAGEIFS(Table1[value],Table1[IndicatorCode],Table1[[#This Row],[IndicatorCode]])</f>
        <v>24902.88753799392</v>
      </c>
      <c r="I6869" cm="1">
        <f t="array" ref="I6869">_xlfn.STDEV.P(IF(Table1[IndicatorCode]=Table1[[#This Row],[IndicatorCode]],Table1[value]))</f>
        <v>26324.778297809873</v>
      </c>
      <c r="J6869">
        <f>(Table1[[#This Row],[value]] - Table1[[#This Row],[mean]]) / Table1[[#This Row],[std_dev]]</f>
        <v>-0.46134814130625862</v>
      </c>
      <c r="K6869">
        <f>AVERAGEIF(Table1[CountryCode],Table1[[#This Row],[CountryCode]],Table1[z-score])</f>
        <v>5.4192965202863402E-2</v>
      </c>
      <c r="L6869" t="e">
        <f>VLOOKUP(Table1[[#This Row],[CountryCode]],[1]!Table1[#All],1,FALSE)</f>
        <v>#REF!</v>
      </c>
    </row>
    <row r="6870" spans="1:12" hidden="1" x14ac:dyDescent="0.3">
      <c r="A6870" t="s">
        <v>109</v>
      </c>
      <c r="B6870" t="s">
        <v>110</v>
      </c>
      <c r="C6870" t="s">
        <v>127</v>
      </c>
      <c r="D6870" t="s">
        <v>128</v>
      </c>
      <c r="E6870">
        <v>1995</v>
      </c>
      <c r="F6870" s="1">
        <v>13279</v>
      </c>
      <c r="G6870">
        <v>1990</v>
      </c>
      <c r="H6870">
        <f>AVERAGEIFS(Table1[value],Table1[IndicatorCode],Table1[[#This Row],[IndicatorCode]])</f>
        <v>24902.88753799392</v>
      </c>
      <c r="I6870" cm="1">
        <f t="array" ref="I6870">_xlfn.STDEV.P(IF(Table1[IndicatorCode]=Table1[[#This Row],[IndicatorCode]],Table1[value]))</f>
        <v>26324.778297809873</v>
      </c>
      <c r="J6870">
        <f>(Table1[[#This Row],[value]] - Table1[[#This Row],[mean]]) / Table1[[#This Row],[std_dev]]</f>
        <v>-0.44155690150526306</v>
      </c>
      <c r="K6870">
        <f>AVERAGEIF(Table1[CountryCode],Table1[[#This Row],[CountryCode]],Table1[z-score])</f>
        <v>5.4192965202863402E-2</v>
      </c>
      <c r="L6870" t="e">
        <f>VLOOKUP(Table1[[#This Row],[CountryCode]],[1]!Table1[#All],1,FALSE)</f>
        <v>#REF!</v>
      </c>
    </row>
    <row r="6871" spans="1:12" hidden="1" x14ac:dyDescent="0.3">
      <c r="A6871" t="s">
        <v>109</v>
      </c>
      <c r="B6871" t="s">
        <v>110</v>
      </c>
      <c r="C6871" t="s">
        <v>127</v>
      </c>
      <c r="D6871" t="s">
        <v>128</v>
      </c>
      <c r="E6871">
        <v>1996</v>
      </c>
      <c r="F6871" s="1">
        <v>13674</v>
      </c>
      <c r="G6871">
        <v>1990</v>
      </c>
      <c r="H6871">
        <f>AVERAGEIFS(Table1[value],Table1[IndicatorCode],Table1[[#This Row],[IndicatorCode]])</f>
        <v>24902.88753799392</v>
      </c>
      <c r="I6871" cm="1">
        <f t="array" ref="I6871">_xlfn.STDEV.P(IF(Table1[IndicatorCode]=Table1[[#This Row],[IndicatorCode]],Table1[value]))</f>
        <v>26324.778297809873</v>
      </c>
      <c r="J6871">
        <f>(Table1[[#This Row],[value]] - Table1[[#This Row],[mean]]) / Table1[[#This Row],[std_dev]]</f>
        <v>-0.42655202680009363</v>
      </c>
      <c r="K6871">
        <f>AVERAGEIF(Table1[CountryCode],Table1[[#This Row],[CountryCode]],Table1[z-score])</f>
        <v>5.4192965202863402E-2</v>
      </c>
      <c r="L6871" t="e">
        <f>VLOOKUP(Table1[[#This Row],[CountryCode]],[1]!Table1[#All],1,FALSE)</f>
        <v>#REF!</v>
      </c>
    </row>
    <row r="6872" spans="1:12" hidden="1" x14ac:dyDescent="0.3">
      <c r="A6872" t="s">
        <v>109</v>
      </c>
      <c r="B6872" t="s">
        <v>110</v>
      </c>
      <c r="C6872" t="s">
        <v>127</v>
      </c>
      <c r="D6872" t="s">
        <v>128</v>
      </c>
      <c r="E6872">
        <v>1997</v>
      </c>
      <c r="F6872" s="1">
        <v>14401</v>
      </c>
      <c r="G6872">
        <v>2000</v>
      </c>
      <c r="H6872">
        <f>AVERAGEIFS(Table1[value],Table1[IndicatorCode],Table1[[#This Row],[IndicatorCode]])</f>
        <v>24902.88753799392</v>
      </c>
      <c r="I6872" cm="1">
        <f t="array" ref="I6872">_xlfn.STDEV.P(IF(Table1[IndicatorCode]=Table1[[#This Row],[IndicatorCode]],Table1[value]))</f>
        <v>26324.778297809873</v>
      </c>
      <c r="J6872">
        <f>(Table1[[#This Row],[value]] - Table1[[#This Row],[mean]]) / Table1[[#This Row],[std_dev]]</f>
        <v>-0.39893545993766788</v>
      </c>
      <c r="K6872">
        <f>AVERAGEIF(Table1[CountryCode],Table1[[#This Row],[CountryCode]],Table1[z-score])</f>
        <v>5.4192965202863402E-2</v>
      </c>
      <c r="L6872" t="e">
        <f>VLOOKUP(Table1[[#This Row],[CountryCode]],[1]!Table1[#All],1,FALSE)</f>
        <v>#REF!</v>
      </c>
    </row>
    <row r="6873" spans="1:12" hidden="1" x14ac:dyDescent="0.3">
      <c r="A6873" t="s">
        <v>109</v>
      </c>
      <c r="B6873" t="s">
        <v>110</v>
      </c>
      <c r="C6873" t="s">
        <v>127</v>
      </c>
      <c r="D6873" t="s">
        <v>128</v>
      </c>
      <c r="E6873">
        <v>1998</v>
      </c>
      <c r="F6873" s="1">
        <v>14874</v>
      </c>
      <c r="G6873">
        <v>2000</v>
      </c>
      <c r="H6873">
        <f>AVERAGEIFS(Table1[value],Table1[IndicatorCode],Table1[[#This Row],[IndicatorCode]])</f>
        <v>24902.88753799392</v>
      </c>
      <c r="I6873" cm="1">
        <f t="array" ref="I6873">_xlfn.STDEV.P(IF(Table1[IndicatorCode]=Table1[[#This Row],[IndicatorCode]],Table1[value]))</f>
        <v>26324.778297809873</v>
      </c>
      <c r="J6873">
        <f>(Table1[[#This Row],[value]] - Table1[[#This Row],[mean]]) / Table1[[#This Row],[std_dev]]</f>
        <v>-0.38096759731603463</v>
      </c>
      <c r="K6873">
        <f>AVERAGEIF(Table1[CountryCode],Table1[[#This Row],[CountryCode]],Table1[z-score])</f>
        <v>5.4192965202863402E-2</v>
      </c>
      <c r="L6873" t="e">
        <f>VLOOKUP(Table1[[#This Row],[CountryCode]],[1]!Table1[#All],1,FALSE)</f>
        <v>#REF!</v>
      </c>
    </row>
    <row r="6874" spans="1:12" hidden="1" x14ac:dyDescent="0.3">
      <c r="A6874" t="s">
        <v>109</v>
      </c>
      <c r="B6874" t="s">
        <v>110</v>
      </c>
      <c r="C6874" t="s">
        <v>127</v>
      </c>
      <c r="D6874" t="s">
        <v>128</v>
      </c>
      <c r="E6874">
        <v>1999</v>
      </c>
      <c r="F6874" s="1">
        <v>15647</v>
      </c>
      <c r="G6874">
        <v>2000</v>
      </c>
      <c r="H6874">
        <f>AVERAGEIFS(Table1[value],Table1[IndicatorCode],Table1[[#This Row],[IndicatorCode]])</f>
        <v>24902.88753799392</v>
      </c>
      <c r="I6874" cm="1">
        <f t="array" ref="I6874">_xlfn.STDEV.P(IF(Table1[IndicatorCode]=Table1[[#This Row],[IndicatorCode]],Table1[value]))</f>
        <v>26324.778297809873</v>
      </c>
      <c r="J6874">
        <f>(Table1[[#This Row],[value]] - Table1[[#This Row],[mean]]) / Table1[[#This Row],[std_dev]]</f>
        <v>-0.35160362732338668</v>
      </c>
      <c r="K6874">
        <f>AVERAGEIF(Table1[CountryCode],Table1[[#This Row],[CountryCode]],Table1[z-score])</f>
        <v>5.4192965202863402E-2</v>
      </c>
      <c r="L6874" t="e">
        <f>VLOOKUP(Table1[[#This Row],[CountryCode]],[1]!Table1[#All],1,FALSE)</f>
        <v>#REF!</v>
      </c>
    </row>
    <row r="6875" spans="1:12" hidden="1" x14ac:dyDescent="0.3">
      <c r="A6875" t="s">
        <v>109</v>
      </c>
      <c r="B6875" t="s">
        <v>110</v>
      </c>
      <c r="C6875" t="s">
        <v>127</v>
      </c>
      <c r="D6875" t="s">
        <v>128</v>
      </c>
      <c r="E6875">
        <v>2000</v>
      </c>
      <c r="F6875" s="1">
        <v>16146</v>
      </c>
      <c r="G6875">
        <v>2000</v>
      </c>
      <c r="H6875">
        <f>AVERAGEIFS(Table1[value],Table1[IndicatorCode],Table1[[#This Row],[IndicatorCode]])</f>
        <v>24902.88753799392</v>
      </c>
      <c r="I6875" cm="1">
        <f t="array" ref="I6875">_xlfn.STDEV.P(IF(Table1[IndicatorCode]=Table1[[#This Row],[IndicatorCode]],Table1[value]))</f>
        <v>26324.778297809873</v>
      </c>
      <c r="J6875">
        <f>(Table1[[#This Row],[value]] - Table1[[#This Row],[mean]]) / Table1[[#This Row],[std_dev]]</f>
        <v>-0.33264810206293216</v>
      </c>
      <c r="K6875">
        <f>AVERAGEIF(Table1[CountryCode],Table1[[#This Row],[CountryCode]],Table1[z-score])</f>
        <v>5.4192965202863402E-2</v>
      </c>
      <c r="L6875" t="e">
        <f>VLOOKUP(Table1[[#This Row],[CountryCode]],[1]!Table1[#All],1,FALSE)</f>
        <v>#REF!</v>
      </c>
    </row>
    <row r="6876" spans="1:12" hidden="1" x14ac:dyDescent="0.3">
      <c r="A6876" t="s">
        <v>109</v>
      </c>
      <c r="B6876" t="s">
        <v>110</v>
      </c>
      <c r="C6876" t="s">
        <v>127</v>
      </c>
      <c r="D6876" t="s">
        <v>128</v>
      </c>
      <c r="E6876">
        <v>2001</v>
      </c>
      <c r="F6876" s="1">
        <v>16577</v>
      </c>
      <c r="G6876">
        <v>2000</v>
      </c>
      <c r="H6876">
        <f>AVERAGEIFS(Table1[value],Table1[IndicatorCode],Table1[[#This Row],[IndicatorCode]])</f>
        <v>24902.88753799392</v>
      </c>
      <c r="I6876" cm="1">
        <f t="array" ref="I6876">_xlfn.STDEV.P(IF(Table1[IndicatorCode]=Table1[[#This Row],[IndicatorCode]],Table1[value]))</f>
        <v>26324.778297809873</v>
      </c>
      <c r="J6876">
        <f>(Table1[[#This Row],[value]] - Table1[[#This Row],[mean]]) / Table1[[#This Row],[std_dev]]</f>
        <v>-0.316275694473241</v>
      </c>
      <c r="K6876">
        <f>AVERAGEIF(Table1[CountryCode],Table1[[#This Row],[CountryCode]],Table1[z-score])</f>
        <v>5.4192965202863402E-2</v>
      </c>
      <c r="L6876" t="e">
        <f>VLOOKUP(Table1[[#This Row],[CountryCode]],[1]!Table1[#All],1,FALSE)</f>
        <v>#REF!</v>
      </c>
    </row>
    <row r="6877" spans="1:12" hidden="1" x14ac:dyDescent="0.3">
      <c r="A6877" t="s">
        <v>109</v>
      </c>
      <c r="B6877" t="s">
        <v>110</v>
      </c>
      <c r="C6877" t="s">
        <v>127</v>
      </c>
      <c r="D6877" t="s">
        <v>128</v>
      </c>
      <c r="E6877">
        <v>2002</v>
      </c>
      <c r="F6877" s="1">
        <v>17100</v>
      </c>
      <c r="G6877">
        <v>2000</v>
      </c>
      <c r="H6877">
        <f>AVERAGEIFS(Table1[value],Table1[IndicatorCode],Table1[[#This Row],[IndicatorCode]])</f>
        <v>24902.88753799392</v>
      </c>
      <c r="I6877" cm="1">
        <f t="array" ref="I6877">_xlfn.STDEV.P(IF(Table1[IndicatorCode]=Table1[[#This Row],[IndicatorCode]],Table1[value]))</f>
        <v>26324.778297809873</v>
      </c>
      <c r="J6877">
        <f>(Table1[[#This Row],[value]] - Table1[[#This Row],[mean]]) / Table1[[#This Row],[std_dev]]</f>
        <v>-0.29640848062310526</v>
      </c>
      <c r="K6877">
        <f>AVERAGEIF(Table1[CountryCode],Table1[[#This Row],[CountryCode]],Table1[z-score])</f>
        <v>5.4192965202863402E-2</v>
      </c>
      <c r="L6877" t="e">
        <f>VLOOKUP(Table1[[#This Row],[CountryCode]],[1]!Table1[#All],1,FALSE)</f>
        <v>#REF!</v>
      </c>
    </row>
    <row r="6878" spans="1:12" hidden="1" x14ac:dyDescent="0.3">
      <c r="A6878" t="s">
        <v>109</v>
      </c>
      <c r="B6878" t="s">
        <v>110</v>
      </c>
      <c r="C6878" t="s">
        <v>127</v>
      </c>
      <c r="D6878" t="s">
        <v>128</v>
      </c>
      <c r="E6878">
        <v>2003</v>
      </c>
      <c r="F6878" s="1">
        <v>17635</v>
      </c>
      <c r="G6878">
        <v>2000</v>
      </c>
      <c r="H6878">
        <f>AVERAGEIFS(Table1[value],Table1[IndicatorCode],Table1[[#This Row],[IndicatorCode]])</f>
        <v>24902.88753799392</v>
      </c>
      <c r="I6878" cm="1">
        <f t="array" ref="I6878">_xlfn.STDEV.P(IF(Table1[IndicatorCode]=Table1[[#This Row],[IndicatorCode]],Table1[value]))</f>
        <v>26324.778297809873</v>
      </c>
      <c r="J6878">
        <f>(Table1[[#This Row],[value]] - Table1[[#This Row],[mean]]) / Table1[[#This Row],[std_dev]]</f>
        <v>-0.27608542247812901</v>
      </c>
      <c r="K6878">
        <f>AVERAGEIF(Table1[CountryCode],Table1[[#This Row],[CountryCode]],Table1[z-score])</f>
        <v>5.4192965202863402E-2</v>
      </c>
      <c r="L6878" t="e">
        <f>VLOOKUP(Table1[[#This Row],[CountryCode]],[1]!Table1[#All],1,FALSE)</f>
        <v>#REF!</v>
      </c>
    </row>
    <row r="6879" spans="1:12" hidden="1" x14ac:dyDescent="0.3">
      <c r="A6879" t="s">
        <v>109</v>
      </c>
      <c r="B6879" t="s">
        <v>110</v>
      </c>
      <c r="C6879" t="s">
        <v>127</v>
      </c>
      <c r="D6879" t="s">
        <v>128</v>
      </c>
      <c r="E6879">
        <v>2004</v>
      </c>
      <c r="F6879" s="1">
        <v>18425</v>
      </c>
      <c r="G6879">
        <v>2000</v>
      </c>
      <c r="H6879">
        <f>AVERAGEIFS(Table1[value],Table1[IndicatorCode],Table1[[#This Row],[IndicatorCode]])</f>
        <v>24902.88753799392</v>
      </c>
      <c r="I6879" cm="1">
        <f t="array" ref="I6879">_xlfn.STDEV.P(IF(Table1[IndicatorCode]=Table1[[#This Row],[IndicatorCode]],Table1[value]))</f>
        <v>26324.778297809873</v>
      </c>
      <c r="J6879">
        <f>(Table1[[#This Row],[value]] - Table1[[#This Row],[mean]]) / Table1[[#This Row],[std_dev]]</f>
        <v>-0.24607567306779016</v>
      </c>
      <c r="K6879">
        <f>AVERAGEIF(Table1[CountryCode],Table1[[#This Row],[CountryCode]],Table1[z-score])</f>
        <v>5.4192965202863402E-2</v>
      </c>
      <c r="L6879" t="e">
        <f>VLOOKUP(Table1[[#This Row],[CountryCode]],[1]!Table1[#All],1,FALSE)</f>
        <v>#REF!</v>
      </c>
    </row>
    <row r="6880" spans="1:12" hidden="1" x14ac:dyDescent="0.3">
      <c r="A6880" t="s">
        <v>109</v>
      </c>
      <c r="B6880" t="s">
        <v>110</v>
      </c>
      <c r="C6880" t="s">
        <v>127</v>
      </c>
      <c r="D6880" t="s">
        <v>128</v>
      </c>
      <c r="E6880">
        <v>2005</v>
      </c>
      <c r="F6880" s="1">
        <v>19102</v>
      </c>
      <c r="G6880">
        <v>2000</v>
      </c>
      <c r="H6880">
        <f>AVERAGEIFS(Table1[value],Table1[IndicatorCode],Table1[[#This Row],[IndicatorCode]])</f>
        <v>24902.88753799392</v>
      </c>
      <c r="I6880" cm="1">
        <f t="array" ref="I6880">_xlfn.STDEV.P(IF(Table1[IndicatorCode]=Table1[[#This Row],[IndicatorCode]],Table1[value]))</f>
        <v>26324.778297809873</v>
      </c>
      <c r="J6880">
        <f>(Table1[[#This Row],[value]] - Table1[[#This Row],[mean]]) / Table1[[#This Row],[std_dev]]</f>
        <v>-0.22035845743386689</v>
      </c>
      <c r="K6880">
        <f>AVERAGEIF(Table1[CountryCode],Table1[[#This Row],[CountryCode]],Table1[z-score])</f>
        <v>5.4192965202863402E-2</v>
      </c>
      <c r="L6880" t="e">
        <f>VLOOKUP(Table1[[#This Row],[CountryCode]],[1]!Table1[#All],1,FALSE)</f>
        <v>#REF!</v>
      </c>
    </row>
    <row r="6881" spans="1:12" hidden="1" x14ac:dyDescent="0.3">
      <c r="A6881" t="s">
        <v>109</v>
      </c>
      <c r="B6881" t="s">
        <v>110</v>
      </c>
      <c r="C6881" t="s">
        <v>127</v>
      </c>
      <c r="D6881" t="s">
        <v>128</v>
      </c>
      <c r="E6881">
        <v>2006</v>
      </c>
      <c r="F6881" s="1">
        <v>20167</v>
      </c>
      <c r="G6881">
        <v>2000</v>
      </c>
      <c r="H6881">
        <f>AVERAGEIFS(Table1[value],Table1[IndicatorCode],Table1[[#This Row],[IndicatorCode]])</f>
        <v>24902.88753799392</v>
      </c>
      <c r="I6881" cm="1">
        <f t="array" ref="I6881">_xlfn.STDEV.P(IF(Table1[IndicatorCode]=Table1[[#This Row],[IndicatorCode]],Table1[value]))</f>
        <v>26324.778297809873</v>
      </c>
      <c r="J6881">
        <f>(Table1[[#This Row],[value]] - Table1[[#This Row],[mean]]) / Table1[[#This Row],[std_dev]]</f>
        <v>-0.17990227626676455</v>
      </c>
      <c r="K6881">
        <f>AVERAGEIF(Table1[CountryCode],Table1[[#This Row],[CountryCode]],Table1[z-score])</f>
        <v>5.4192965202863402E-2</v>
      </c>
      <c r="L6881" t="e">
        <f>VLOOKUP(Table1[[#This Row],[CountryCode]],[1]!Table1[#All],1,FALSE)</f>
        <v>#REF!</v>
      </c>
    </row>
    <row r="6882" spans="1:12" hidden="1" x14ac:dyDescent="0.3">
      <c r="A6882" t="s">
        <v>109</v>
      </c>
      <c r="B6882" t="s">
        <v>110</v>
      </c>
      <c r="C6882" t="s">
        <v>127</v>
      </c>
      <c r="D6882" t="s">
        <v>128</v>
      </c>
      <c r="E6882">
        <v>2007</v>
      </c>
      <c r="F6882" s="1">
        <v>21486</v>
      </c>
      <c r="G6882">
        <v>2010</v>
      </c>
      <c r="H6882">
        <f>AVERAGEIFS(Table1[value],Table1[IndicatorCode],Table1[[#This Row],[IndicatorCode]])</f>
        <v>24902.88753799392</v>
      </c>
      <c r="I6882" cm="1">
        <f t="array" ref="I6882">_xlfn.STDEV.P(IF(Table1[IndicatorCode]=Table1[[#This Row],[IndicatorCode]],Table1[value]))</f>
        <v>26324.778297809873</v>
      </c>
      <c r="J6882">
        <f>(Table1[[#This Row],[value]] - Table1[[#This Row],[mean]]) / Table1[[#This Row],[std_dev]]</f>
        <v>-0.12979739085886974</v>
      </c>
      <c r="K6882">
        <f>AVERAGEIF(Table1[CountryCode],Table1[[#This Row],[CountryCode]],Table1[z-score])</f>
        <v>5.4192965202863402E-2</v>
      </c>
      <c r="L6882" t="e">
        <f>VLOOKUP(Table1[[#This Row],[CountryCode]],[1]!Table1[#All],1,FALSE)</f>
        <v>#REF!</v>
      </c>
    </row>
    <row r="6883" spans="1:12" hidden="1" x14ac:dyDescent="0.3">
      <c r="A6883" t="s">
        <v>109</v>
      </c>
      <c r="B6883" t="s">
        <v>110</v>
      </c>
      <c r="C6883" t="s">
        <v>127</v>
      </c>
      <c r="D6883" t="s">
        <v>128</v>
      </c>
      <c r="E6883">
        <v>2008</v>
      </c>
      <c r="F6883" s="1">
        <v>22175</v>
      </c>
      <c r="G6883">
        <v>2010</v>
      </c>
      <c r="H6883">
        <f>AVERAGEIFS(Table1[value],Table1[IndicatorCode],Table1[[#This Row],[IndicatorCode]])</f>
        <v>24902.88753799392</v>
      </c>
      <c r="I6883" cm="1">
        <f t="array" ref="I6883">_xlfn.STDEV.P(IF(Table1[IndicatorCode]=Table1[[#This Row],[IndicatorCode]],Table1[value]))</f>
        <v>26324.778297809873</v>
      </c>
      <c r="J6883">
        <f>(Table1[[#This Row],[value]] - Table1[[#This Row],[mean]]) / Table1[[#This Row],[std_dev]]</f>
        <v>-0.1036243309301059</v>
      </c>
      <c r="K6883">
        <f>AVERAGEIF(Table1[CountryCode],Table1[[#This Row],[CountryCode]],Table1[z-score])</f>
        <v>5.4192965202863402E-2</v>
      </c>
      <c r="L6883" t="e">
        <f>VLOOKUP(Table1[[#This Row],[CountryCode]],[1]!Table1[#All],1,FALSE)</f>
        <v>#REF!</v>
      </c>
    </row>
    <row r="6884" spans="1:12" hidden="1" x14ac:dyDescent="0.3">
      <c r="A6884" t="s">
        <v>109</v>
      </c>
      <c r="B6884" t="s">
        <v>110</v>
      </c>
      <c r="C6884" t="s">
        <v>127</v>
      </c>
      <c r="D6884" t="s">
        <v>128</v>
      </c>
      <c r="E6884">
        <v>2009</v>
      </c>
      <c r="F6884" s="1">
        <v>20308</v>
      </c>
      <c r="G6884">
        <v>2010</v>
      </c>
      <c r="H6884">
        <f>AVERAGEIFS(Table1[value],Table1[IndicatorCode],Table1[[#This Row],[IndicatorCode]])</f>
        <v>24902.88753799392</v>
      </c>
      <c r="I6884" cm="1">
        <f t="array" ref="I6884">_xlfn.STDEV.P(IF(Table1[IndicatorCode]=Table1[[#This Row],[IndicatorCode]],Table1[value]))</f>
        <v>26324.778297809873</v>
      </c>
      <c r="J6884">
        <f>(Table1[[#This Row],[value]] - Table1[[#This Row],[mean]]) / Table1[[#This Row],[std_dev]]</f>
        <v>-0.17454610580238764</v>
      </c>
      <c r="K6884">
        <f>AVERAGEIF(Table1[CountryCode],Table1[[#This Row],[CountryCode]],Table1[z-score])</f>
        <v>5.4192965202863402E-2</v>
      </c>
      <c r="L6884" t="e">
        <f>VLOOKUP(Table1[[#This Row],[CountryCode]],[1]!Table1[#All],1,FALSE)</f>
        <v>#REF!</v>
      </c>
    </row>
    <row r="6885" spans="1:12" hidden="1" x14ac:dyDescent="0.3">
      <c r="A6885" t="s">
        <v>109</v>
      </c>
      <c r="B6885" t="s">
        <v>110</v>
      </c>
      <c r="C6885" t="s">
        <v>127</v>
      </c>
      <c r="D6885" t="s">
        <v>128</v>
      </c>
      <c r="E6885">
        <v>2010</v>
      </c>
      <c r="F6885" s="1">
        <v>20444</v>
      </c>
      <c r="G6885">
        <v>2010</v>
      </c>
      <c r="H6885">
        <f>AVERAGEIFS(Table1[value],Table1[IndicatorCode],Table1[[#This Row],[IndicatorCode]])</f>
        <v>24902.88753799392</v>
      </c>
      <c r="I6885" cm="1">
        <f t="array" ref="I6885">_xlfn.STDEV.P(IF(Table1[IndicatorCode]=Table1[[#This Row],[IndicatorCode]],Table1[value]))</f>
        <v>26324.778297809873</v>
      </c>
      <c r="J6885">
        <f>(Table1[[#This Row],[value]] - Table1[[#This Row],[mean]]) / Table1[[#This Row],[std_dev]]</f>
        <v>-0.16937987046086095</v>
      </c>
      <c r="K6885">
        <f>AVERAGEIF(Table1[CountryCode],Table1[[#This Row],[CountryCode]],Table1[z-score])</f>
        <v>5.4192965202863402E-2</v>
      </c>
      <c r="L6885" t="e">
        <f>VLOOKUP(Table1[[#This Row],[CountryCode]],[1]!Table1[#All],1,FALSE)</f>
        <v>#REF!</v>
      </c>
    </row>
    <row r="6886" spans="1:12" hidden="1" x14ac:dyDescent="0.3">
      <c r="A6886" t="s">
        <v>109</v>
      </c>
      <c r="B6886" t="s">
        <v>110</v>
      </c>
      <c r="C6886" t="s">
        <v>127</v>
      </c>
      <c r="D6886" t="s">
        <v>128</v>
      </c>
      <c r="E6886">
        <v>2011</v>
      </c>
      <c r="F6886" s="1">
        <v>20535</v>
      </c>
      <c r="G6886">
        <v>2010</v>
      </c>
      <c r="H6886">
        <f>AVERAGEIFS(Table1[value],Table1[IndicatorCode],Table1[[#This Row],[IndicatorCode]])</f>
        <v>24902.88753799392</v>
      </c>
      <c r="I6886" cm="1">
        <f t="array" ref="I6886">_xlfn.STDEV.P(IF(Table1[IndicatorCode]=Table1[[#This Row],[IndicatorCode]],Table1[value]))</f>
        <v>26324.778297809873</v>
      </c>
      <c r="J6886">
        <f>(Table1[[#This Row],[value]] - Table1[[#This Row],[mean]]) / Table1[[#This Row],[std_dev]]</f>
        <v>-0.16592305122498649</v>
      </c>
      <c r="K6886">
        <f>AVERAGEIF(Table1[CountryCode],Table1[[#This Row],[CountryCode]],Table1[z-score])</f>
        <v>5.4192965202863402E-2</v>
      </c>
      <c r="L6886" t="e">
        <f>VLOOKUP(Table1[[#This Row],[CountryCode]],[1]!Table1[#All],1,FALSE)</f>
        <v>#REF!</v>
      </c>
    </row>
    <row r="6887" spans="1:12" hidden="1" x14ac:dyDescent="0.3">
      <c r="A6887" t="s">
        <v>109</v>
      </c>
      <c r="B6887" t="s">
        <v>110</v>
      </c>
      <c r="C6887" t="s">
        <v>127</v>
      </c>
      <c r="D6887" t="s">
        <v>128</v>
      </c>
      <c r="E6887">
        <v>2012</v>
      </c>
      <c r="F6887" s="1">
        <v>19895</v>
      </c>
      <c r="G6887">
        <v>2010</v>
      </c>
      <c r="H6887">
        <f>AVERAGEIFS(Table1[value],Table1[IndicatorCode],Table1[[#This Row],[IndicatorCode]])</f>
        <v>24902.88753799392</v>
      </c>
      <c r="I6887" cm="1">
        <f t="array" ref="I6887">_xlfn.STDEV.P(IF(Table1[IndicatorCode]=Table1[[#This Row],[IndicatorCode]],Table1[value]))</f>
        <v>26324.778297809873</v>
      </c>
      <c r="J6887">
        <f>(Table1[[#This Row],[value]] - Table1[[#This Row],[mean]]) / Table1[[#This Row],[std_dev]]</f>
        <v>-0.19023474694981793</v>
      </c>
      <c r="K6887">
        <f>AVERAGEIF(Table1[CountryCode],Table1[[#This Row],[CountryCode]],Table1[z-score])</f>
        <v>5.4192965202863402E-2</v>
      </c>
      <c r="L6887" t="e">
        <f>VLOOKUP(Table1[[#This Row],[CountryCode]],[1]!Table1[#All],1,FALSE)</f>
        <v>#REF!</v>
      </c>
    </row>
    <row r="6888" spans="1:12" hidden="1" x14ac:dyDescent="0.3">
      <c r="A6888" t="s">
        <v>109</v>
      </c>
      <c r="B6888" t="s">
        <v>110</v>
      </c>
      <c r="C6888" t="s">
        <v>127</v>
      </c>
      <c r="D6888" t="s">
        <v>128</v>
      </c>
      <c r="E6888">
        <v>2013</v>
      </c>
      <c r="F6888" s="1">
        <v>19704</v>
      </c>
      <c r="G6888">
        <v>2010</v>
      </c>
      <c r="H6888">
        <f>AVERAGEIFS(Table1[value],Table1[IndicatorCode],Table1[[#This Row],[IndicatorCode]])</f>
        <v>24902.88753799392</v>
      </c>
      <c r="I6888" cm="1">
        <f t="array" ref="I6888">_xlfn.STDEV.P(IF(Table1[IndicatorCode]=Table1[[#This Row],[IndicatorCode]],Table1[value]))</f>
        <v>26324.778297809873</v>
      </c>
      <c r="J6888">
        <f>(Table1[[#This Row],[value]] - Table1[[#This Row],[mean]]) / Table1[[#This Row],[std_dev]]</f>
        <v>-0.19749026864269731</v>
      </c>
      <c r="K6888">
        <f>AVERAGEIF(Table1[CountryCode],Table1[[#This Row],[CountryCode]],Table1[z-score])</f>
        <v>5.4192965202863402E-2</v>
      </c>
      <c r="L6888" t="e">
        <f>VLOOKUP(Table1[[#This Row],[CountryCode]],[1]!Table1[#All],1,FALSE)</f>
        <v>#REF!</v>
      </c>
    </row>
    <row r="6889" spans="1:12" hidden="1" x14ac:dyDescent="0.3">
      <c r="A6889" t="s">
        <v>109</v>
      </c>
      <c r="B6889" t="s">
        <v>110</v>
      </c>
      <c r="C6889" t="s">
        <v>127</v>
      </c>
      <c r="D6889" t="s">
        <v>128</v>
      </c>
      <c r="E6889">
        <v>2014</v>
      </c>
      <c r="F6889" s="1">
        <v>20229</v>
      </c>
      <c r="G6889">
        <v>2010</v>
      </c>
      <c r="H6889">
        <f>AVERAGEIFS(Table1[value],Table1[IndicatorCode],Table1[[#This Row],[IndicatorCode]])</f>
        <v>24902.88753799392</v>
      </c>
      <c r="I6889" cm="1">
        <f t="array" ref="I6889">_xlfn.STDEV.P(IF(Table1[IndicatorCode]=Table1[[#This Row],[IndicatorCode]],Table1[value]))</f>
        <v>26324.778297809873</v>
      </c>
      <c r="J6889">
        <f>(Table1[[#This Row],[value]] - Table1[[#This Row],[mean]]) / Table1[[#This Row],[std_dev]]</f>
        <v>-0.17754708074342151</v>
      </c>
      <c r="K6889">
        <f>AVERAGEIF(Table1[CountryCode],Table1[[#This Row],[CountryCode]],Table1[z-score])</f>
        <v>5.4192965202863402E-2</v>
      </c>
      <c r="L6889" t="e">
        <f>VLOOKUP(Table1[[#This Row],[CountryCode]],[1]!Table1[#All],1,FALSE)</f>
        <v>#REF!</v>
      </c>
    </row>
    <row r="6890" spans="1:12" hidden="1" x14ac:dyDescent="0.3">
      <c r="A6890" t="s">
        <v>109</v>
      </c>
      <c r="B6890" t="s">
        <v>110</v>
      </c>
      <c r="C6890" t="s">
        <v>127</v>
      </c>
      <c r="D6890" t="s">
        <v>128</v>
      </c>
      <c r="E6890">
        <v>2015</v>
      </c>
      <c r="F6890" s="1">
        <v>20697</v>
      </c>
      <c r="G6890">
        <v>2010</v>
      </c>
      <c r="H6890">
        <f>AVERAGEIFS(Table1[value],Table1[IndicatorCode],Table1[[#This Row],[IndicatorCode]])</f>
        <v>24902.88753799392</v>
      </c>
      <c r="I6890" cm="1">
        <f t="array" ref="I6890">_xlfn.STDEV.P(IF(Table1[IndicatorCode]=Table1[[#This Row],[IndicatorCode]],Table1[value]))</f>
        <v>26324.778297809873</v>
      </c>
      <c r="J6890">
        <f>(Table1[[#This Row],[value]] - Table1[[#This Row],[mean]]) / Table1[[#This Row],[std_dev]]</f>
        <v>-0.15976915324463853</v>
      </c>
      <c r="K6890">
        <f>AVERAGEIF(Table1[CountryCode],Table1[[#This Row],[CountryCode]],Table1[z-score])</f>
        <v>5.4192965202863402E-2</v>
      </c>
      <c r="L6890" t="e">
        <f>VLOOKUP(Table1[[#This Row],[CountryCode]],[1]!Table1[#All],1,FALSE)</f>
        <v>#REF!</v>
      </c>
    </row>
    <row r="6891" spans="1:12" hidden="1" x14ac:dyDescent="0.3">
      <c r="A6891" t="s">
        <v>109</v>
      </c>
      <c r="B6891" t="s">
        <v>110</v>
      </c>
      <c r="C6891" t="s">
        <v>127</v>
      </c>
      <c r="D6891" t="s">
        <v>128</v>
      </c>
      <c r="E6891">
        <v>2016</v>
      </c>
      <c r="F6891" s="1">
        <v>21310</v>
      </c>
      <c r="G6891">
        <v>2010</v>
      </c>
      <c r="H6891">
        <f>AVERAGEIFS(Table1[value],Table1[IndicatorCode],Table1[[#This Row],[IndicatorCode]])</f>
        <v>24902.88753799392</v>
      </c>
      <c r="I6891" cm="1">
        <f t="array" ref="I6891">_xlfn.STDEV.P(IF(Table1[IndicatorCode]=Table1[[#This Row],[IndicatorCode]],Table1[value]))</f>
        <v>26324.778297809873</v>
      </c>
      <c r="J6891">
        <f>(Table1[[#This Row],[value]] - Table1[[#This Row],[mean]]) / Table1[[#This Row],[std_dev]]</f>
        <v>-0.13648310718319839</v>
      </c>
      <c r="K6891">
        <f>AVERAGEIF(Table1[CountryCode],Table1[[#This Row],[CountryCode]],Table1[z-score])</f>
        <v>5.4192965202863402E-2</v>
      </c>
      <c r="L6891" t="e">
        <f>VLOOKUP(Table1[[#This Row],[CountryCode]],[1]!Table1[#All],1,FALSE)</f>
        <v>#REF!</v>
      </c>
    </row>
    <row r="6892" spans="1:12" hidden="1" x14ac:dyDescent="0.3">
      <c r="A6892" t="s">
        <v>109</v>
      </c>
      <c r="B6892" t="s">
        <v>110</v>
      </c>
      <c r="C6892" t="s">
        <v>127</v>
      </c>
      <c r="D6892" t="s">
        <v>128</v>
      </c>
      <c r="E6892">
        <v>2017</v>
      </c>
      <c r="F6892" s="1">
        <v>22398</v>
      </c>
      <c r="G6892">
        <v>2020</v>
      </c>
      <c r="H6892">
        <f>AVERAGEIFS(Table1[value],Table1[IndicatorCode],Table1[[#This Row],[IndicatorCode]])</f>
        <v>24902.88753799392</v>
      </c>
      <c r="I6892" cm="1">
        <f t="array" ref="I6892">_xlfn.STDEV.P(IF(Table1[IndicatorCode]=Table1[[#This Row],[IndicatorCode]],Table1[value]))</f>
        <v>26324.778297809873</v>
      </c>
      <c r="J6892">
        <f>(Table1[[#This Row],[value]] - Table1[[#This Row],[mean]]) / Table1[[#This Row],[std_dev]]</f>
        <v>-9.5153224450984938E-2</v>
      </c>
      <c r="K6892">
        <f>AVERAGEIF(Table1[CountryCode],Table1[[#This Row],[CountryCode]],Table1[z-score])</f>
        <v>5.4192965202863402E-2</v>
      </c>
      <c r="L6892" t="e">
        <f>VLOOKUP(Table1[[#This Row],[CountryCode]],[1]!Table1[#All],1,FALSE)</f>
        <v>#REF!</v>
      </c>
    </row>
    <row r="6893" spans="1:12" hidden="1" x14ac:dyDescent="0.3">
      <c r="A6893" t="s">
        <v>109</v>
      </c>
      <c r="B6893" t="s">
        <v>110</v>
      </c>
      <c r="C6893" t="s">
        <v>127</v>
      </c>
      <c r="D6893" t="s">
        <v>128</v>
      </c>
      <c r="E6893">
        <v>2018</v>
      </c>
      <c r="F6893" s="1">
        <v>23294</v>
      </c>
      <c r="G6893">
        <v>2020</v>
      </c>
      <c r="H6893">
        <f>AVERAGEIFS(Table1[value],Table1[IndicatorCode],Table1[[#This Row],[IndicatorCode]])</f>
        <v>24902.88753799392</v>
      </c>
      <c r="I6893" cm="1">
        <f t="array" ref="I6893">_xlfn.STDEV.P(IF(Table1[IndicatorCode]=Table1[[#This Row],[IndicatorCode]],Table1[value]))</f>
        <v>26324.778297809873</v>
      </c>
      <c r="J6893">
        <f>(Table1[[#This Row],[value]] - Table1[[#This Row],[mean]]) / Table1[[#This Row],[std_dev]]</f>
        <v>-6.1116850436220907E-2</v>
      </c>
      <c r="K6893">
        <f>AVERAGEIF(Table1[CountryCode],Table1[[#This Row],[CountryCode]],Table1[z-score])</f>
        <v>5.4192965202863402E-2</v>
      </c>
      <c r="L6893" t="e">
        <f>VLOOKUP(Table1[[#This Row],[CountryCode]],[1]!Table1[#All],1,FALSE)</f>
        <v>#REF!</v>
      </c>
    </row>
    <row r="6894" spans="1:12" hidden="1" x14ac:dyDescent="0.3">
      <c r="A6894" t="s">
        <v>109</v>
      </c>
      <c r="B6894" t="s">
        <v>110</v>
      </c>
      <c r="C6894" t="s">
        <v>127</v>
      </c>
      <c r="D6894" t="s">
        <v>128</v>
      </c>
      <c r="E6894">
        <v>2019</v>
      </c>
      <c r="F6894" s="1">
        <v>23943</v>
      </c>
      <c r="G6894">
        <v>2020</v>
      </c>
      <c r="H6894">
        <f>AVERAGEIFS(Table1[value],Table1[IndicatorCode],Table1[[#This Row],[IndicatorCode]])</f>
        <v>24902.88753799392</v>
      </c>
      <c r="I6894" cm="1">
        <f t="array" ref="I6894">_xlfn.STDEV.P(IF(Table1[IndicatorCode]=Table1[[#This Row],[IndicatorCode]],Table1[value]))</f>
        <v>26324.778297809873</v>
      </c>
      <c r="J6894">
        <f>(Table1[[#This Row],[value]] - Table1[[#This Row],[mean]]) / Table1[[#This Row],[std_dev]]</f>
        <v>-3.6463271490259012E-2</v>
      </c>
      <c r="K6894">
        <f>AVERAGEIF(Table1[CountryCode],Table1[[#This Row],[CountryCode]],Table1[z-score])</f>
        <v>5.4192965202863402E-2</v>
      </c>
      <c r="L6894" t="e">
        <f>VLOOKUP(Table1[[#This Row],[CountryCode]],[1]!Table1[#All],1,FALSE)</f>
        <v>#REF!</v>
      </c>
    </row>
    <row r="6895" spans="1:12" x14ac:dyDescent="0.3">
      <c r="A6895" t="s">
        <v>37</v>
      </c>
      <c r="B6895" t="s">
        <v>38</v>
      </c>
      <c r="C6895" t="s">
        <v>127</v>
      </c>
      <c r="D6895" t="s">
        <v>128</v>
      </c>
      <c r="E6895">
        <v>2020</v>
      </c>
      <c r="F6895" s="1">
        <v>55935</v>
      </c>
      <c r="G6895">
        <v>2020</v>
      </c>
      <c r="H6895">
        <f>AVERAGEIFS(Table1[value],Table1[IndicatorCode],Table1[[#This Row],[IndicatorCode]])</f>
        <v>24902.88753799392</v>
      </c>
      <c r="I6895" cm="1">
        <f t="array" ref="I6895">_xlfn.STDEV.P(IF(Table1[IndicatorCode]=Table1[[#This Row],[IndicatorCode]],Table1[value]))</f>
        <v>26324.778297809873</v>
      </c>
      <c r="J6895">
        <f>(Table1[[#This Row],[value]] - Table1[[#This Row],[mean]]) / Table1[[#This Row],[std_dev]]</f>
        <v>1.178817618554753</v>
      </c>
      <c r="K6895">
        <f>AVERAGEIF(Table1[CountryCode],Table1[[#This Row],[CountryCode]],Table1[z-score])</f>
        <v>0.4680674202807556</v>
      </c>
    </row>
    <row r="6896" spans="1:12" hidden="1" x14ac:dyDescent="0.3">
      <c r="A6896" t="s">
        <v>109</v>
      </c>
      <c r="B6896" t="s">
        <v>110</v>
      </c>
      <c r="C6896" t="s">
        <v>127</v>
      </c>
      <c r="D6896" t="s">
        <v>128</v>
      </c>
      <c r="E6896">
        <v>2021</v>
      </c>
      <c r="F6896" s="1">
        <v>24665</v>
      </c>
      <c r="G6896">
        <v>2020</v>
      </c>
      <c r="H6896">
        <f>AVERAGEIFS(Table1[value],Table1[IndicatorCode],Table1[[#This Row],[IndicatorCode]])</f>
        <v>24902.88753799392</v>
      </c>
      <c r="I6896" cm="1">
        <f t="array" ref="I6896">_xlfn.STDEV.P(IF(Table1[IndicatorCode]=Table1[[#This Row],[IndicatorCode]],Table1[value]))</f>
        <v>26324.778297809873</v>
      </c>
      <c r="J6896">
        <f>(Table1[[#This Row],[value]] - Table1[[#This Row],[mean]]) / Table1[[#This Row],[std_dev]]</f>
        <v>-9.036639750683537E-3</v>
      </c>
      <c r="K6896">
        <f>AVERAGEIF(Table1[CountryCode],Table1[[#This Row],[CountryCode]],Table1[z-score])</f>
        <v>5.4192965202863402E-2</v>
      </c>
      <c r="L6896" t="e">
        <f>VLOOKUP(Table1[[#This Row],[CountryCode]],[1]!Table1[#All],1,FALSE)</f>
        <v>#REF!</v>
      </c>
    </row>
    <row r="6897" spans="1:12" hidden="1" x14ac:dyDescent="0.3">
      <c r="A6897" t="s">
        <v>109</v>
      </c>
      <c r="B6897" t="s">
        <v>110</v>
      </c>
      <c r="C6897" t="s">
        <v>127</v>
      </c>
      <c r="D6897" t="s">
        <v>128</v>
      </c>
      <c r="E6897">
        <v>2022</v>
      </c>
      <c r="F6897" s="1">
        <v>25276</v>
      </c>
      <c r="G6897">
        <v>1960</v>
      </c>
      <c r="H6897">
        <f>AVERAGEIFS(Table1[value],Table1[IndicatorCode],Table1[[#This Row],[IndicatorCode]])</f>
        <v>24902.88753799392</v>
      </c>
      <c r="I6897" cm="1">
        <f t="array" ref="I6897">_xlfn.STDEV.P(IF(Table1[IndicatorCode]=Table1[[#This Row],[IndicatorCode]],Table1[value]))</f>
        <v>26324.778297809873</v>
      </c>
      <c r="J6897">
        <f>(Table1[[#This Row],[value]] - Table1[[#This Row],[mean]]) / Table1[[#This Row],[std_dev]]</f>
        <v>1.4173432261616487E-2</v>
      </c>
      <c r="K6897">
        <f>AVERAGEIF(Table1[CountryCode],Table1[[#This Row],[CountryCode]],Table1[z-score])</f>
        <v>5.4192965202863402E-2</v>
      </c>
      <c r="L6897" t="e">
        <f>VLOOKUP(Table1[[#This Row],[CountryCode]],[1]!Table1[#All],1,FALSE)</f>
        <v>#REF!</v>
      </c>
    </row>
    <row r="6898" spans="1:12" hidden="1" x14ac:dyDescent="0.3">
      <c r="A6898" t="s">
        <v>109</v>
      </c>
      <c r="B6898" t="s">
        <v>110</v>
      </c>
      <c r="C6898" t="s">
        <v>127</v>
      </c>
      <c r="D6898" t="s">
        <v>128</v>
      </c>
      <c r="E6898">
        <v>2023</v>
      </c>
      <c r="F6898" s="1">
        <v>25774</v>
      </c>
      <c r="G6898">
        <v>1960</v>
      </c>
      <c r="H6898">
        <f>AVERAGEIFS(Table1[value],Table1[IndicatorCode],Table1[[#This Row],[IndicatorCode]])</f>
        <v>24902.88753799392</v>
      </c>
      <c r="I6898" cm="1">
        <f t="array" ref="I6898">_xlfn.STDEV.P(IF(Table1[IndicatorCode]=Table1[[#This Row],[IndicatorCode]],Table1[value]))</f>
        <v>26324.778297809873</v>
      </c>
      <c r="J6898">
        <f>(Table1[[#This Row],[value]] - Table1[[#This Row],[mean]]) / Table1[[#This Row],[std_dev]]</f>
        <v>3.3090970497500961E-2</v>
      </c>
      <c r="K6898">
        <f>AVERAGEIF(Table1[CountryCode],Table1[[#This Row],[CountryCode]],Table1[z-score])</f>
        <v>5.4192965202863402E-2</v>
      </c>
      <c r="L6898" t="e">
        <f>VLOOKUP(Table1[[#This Row],[CountryCode]],[1]!Table1[#All],1,FALSE)</f>
        <v>#REF!</v>
      </c>
    </row>
    <row r="6899" spans="1:12" hidden="1" x14ac:dyDescent="0.3">
      <c r="A6899" t="s">
        <v>109</v>
      </c>
      <c r="B6899" t="s">
        <v>110</v>
      </c>
      <c r="C6899" t="s">
        <v>127</v>
      </c>
      <c r="D6899" t="s">
        <v>128</v>
      </c>
      <c r="E6899">
        <v>2024</v>
      </c>
      <c r="F6899" s="1">
        <v>26135</v>
      </c>
      <c r="G6899">
        <v>1960</v>
      </c>
      <c r="H6899">
        <f>AVERAGEIFS(Table1[value],Table1[IndicatorCode],Table1[[#This Row],[IndicatorCode]])</f>
        <v>24902.88753799392</v>
      </c>
      <c r="I6899" cm="1">
        <f t="array" ref="I6899">_xlfn.STDEV.P(IF(Table1[IndicatorCode]=Table1[[#This Row],[IndicatorCode]],Table1[value]))</f>
        <v>26324.778297809873</v>
      </c>
      <c r="J6899">
        <f>(Table1[[#This Row],[value]] - Table1[[#This Row],[mean]]) / Table1[[#This Row],[std_dev]]</f>
        <v>4.68042863672887E-2</v>
      </c>
      <c r="K6899">
        <f>AVERAGEIF(Table1[CountryCode],Table1[[#This Row],[CountryCode]],Table1[z-score])</f>
        <v>5.4192965202863402E-2</v>
      </c>
      <c r="L6899" t="e">
        <f>VLOOKUP(Table1[[#This Row],[CountryCode]],[1]!Table1[#All],1,FALSE)</f>
        <v>#REF!</v>
      </c>
    </row>
    <row r="6900" spans="1:12" hidden="1" x14ac:dyDescent="0.3">
      <c r="A6900" t="s">
        <v>111</v>
      </c>
      <c r="B6900" t="s">
        <v>112</v>
      </c>
      <c r="C6900" t="s">
        <v>127</v>
      </c>
      <c r="D6900" t="s">
        <v>128</v>
      </c>
      <c r="E6900">
        <v>1960</v>
      </c>
      <c r="F6900" s="1">
        <v>16812</v>
      </c>
      <c r="G6900">
        <v>1960</v>
      </c>
      <c r="H6900">
        <f>AVERAGEIFS(Table1[value],Table1[IndicatorCode],Table1[[#This Row],[IndicatorCode]])</f>
        <v>24902.88753799392</v>
      </c>
      <c r="I6900" cm="1">
        <f t="array" ref="I6900">_xlfn.STDEV.P(IF(Table1[IndicatorCode]=Table1[[#This Row],[IndicatorCode]],Table1[value]))</f>
        <v>26324.778297809873</v>
      </c>
      <c r="J6900">
        <f>(Table1[[#This Row],[value]] - Table1[[#This Row],[mean]]) / Table1[[#This Row],[std_dev]]</f>
        <v>-0.30734874369927945</v>
      </c>
      <c r="K6900">
        <f>AVERAGEIF(Table1[CountryCode],Table1[[#This Row],[CountryCode]],Table1[z-score])</f>
        <v>0.37952535202791182</v>
      </c>
      <c r="L6900" t="e">
        <f>VLOOKUP(Table1[[#This Row],[CountryCode]],[1]!Table1[#All],1,FALSE)</f>
        <v>#REF!</v>
      </c>
    </row>
    <row r="6901" spans="1:12" hidden="1" x14ac:dyDescent="0.3">
      <c r="A6901" t="s">
        <v>111</v>
      </c>
      <c r="B6901" t="s">
        <v>112</v>
      </c>
      <c r="C6901" t="s">
        <v>127</v>
      </c>
      <c r="D6901" t="s">
        <v>128</v>
      </c>
      <c r="E6901">
        <v>1961</v>
      </c>
      <c r="F6901" s="1">
        <v>17684</v>
      </c>
      <c r="G6901">
        <v>1960</v>
      </c>
      <c r="H6901">
        <f>AVERAGEIFS(Table1[value],Table1[IndicatorCode],Table1[[#This Row],[IndicatorCode]])</f>
        <v>24902.88753799392</v>
      </c>
      <c r="I6901" cm="1">
        <f t="array" ref="I6901">_xlfn.STDEV.P(IF(Table1[IndicatorCode]=Table1[[#This Row],[IndicatorCode]],Table1[value]))</f>
        <v>26324.778297809873</v>
      </c>
      <c r="J6901">
        <f>(Table1[[#This Row],[value]] - Table1[[#This Row],[mean]]) / Table1[[#This Row],[std_dev]]</f>
        <v>-0.2742240582741966</v>
      </c>
      <c r="K6901">
        <f>AVERAGEIF(Table1[CountryCode],Table1[[#This Row],[CountryCode]],Table1[z-score])</f>
        <v>0.37952535202791182</v>
      </c>
      <c r="L6901" t="e">
        <f>VLOOKUP(Table1[[#This Row],[CountryCode]],[1]!Table1[#All],1,FALSE)</f>
        <v>#REF!</v>
      </c>
    </row>
    <row r="6902" spans="1:12" hidden="1" x14ac:dyDescent="0.3">
      <c r="A6902" t="s">
        <v>111</v>
      </c>
      <c r="B6902" t="s">
        <v>112</v>
      </c>
      <c r="C6902" t="s">
        <v>127</v>
      </c>
      <c r="D6902" t="s">
        <v>128</v>
      </c>
      <c r="E6902">
        <v>1962</v>
      </c>
      <c r="F6902" s="1">
        <v>18336</v>
      </c>
      <c r="G6902">
        <v>1960</v>
      </c>
      <c r="H6902">
        <f>AVERAGEIFS(Table1[value],Table1[IndicatorCode],Table1[[#This Row],[IndicatorCode]])</f>
        <v>24902.88753799392</v>
      </c>
      <c r="I6902" cm="1">
        <f t="array" ref="I6902">_xlfn.STDEV.P(IF(Table1[IndicatorCode]=Table1[[#This Row],[IndicatorCode]],Table1[value]))</f>
        <v>26324.778297809873</v>
      </c>
      <c r="J6902">
        <f>(Table1[[#This Row],[value]] - Table1[[#This Row],[mean]]) / Table1[[#This Row],[std_dev]]</f>
        <v>-0.24945651825452453</v>
      </c>
      <c r="K6902">
        <f>AVERAGEIF(Table1[CountryCode],Table1[[#This Row],[CountryCode]],Table1[z-score])</f>
        <v>0.37952535202791182</v>
      </c>
      <c r="L6902" t="e">
        <f>VLOOKUP(Table1[[#This Row],[CountryCode]],[1]!Table1[#All],1,FALSE)</f>
        <v>#REF!</v>
      </c>
    </row>
    <row r="6903" spans="1:12" hidden="1" x14ac:dyDescent="0.3">
      <c r="A6903" t="s">
        <v>111</v>
      </c>
      <c r="B6903" t="s">
        <v>112</v>
      </c>
      <c r="C6903" t="s">
        <v>127</v>
      </c>
      <c r="D6903" t="s">
        <v>128</v>
      </c>
      <c r="E6903">
        <v>1963</v>
      </c>
      <c r="F6903" s="1">
        <v>19204</v>
      </c>
      <c r="G6903">
        <v>1960</v>
      </c>
      <c r="H6903">
        <f>AVERAGEIFS(Table1[value],Table1[IndicatorCode],Table1[[#This Row],[IndicatorCode]])</f>
        <v>24902.88753799392</v>
      </c>
      <c r="I6903" cm="1">
        <f t="array" ref="I6903">_xlfn.STDEV.P(IF(Table1[IndicatorCode]=Table1[[#This Row],[IndicatorCode]],Table1[value]))</f>
        <v>26324.778297809873</v>
      </c>
      <c r="J6903">
        <f>(Table1[[#This Row],[value]] - Table1[[#This Row],[mean]]) / Table1[[#This Row],[std_dev]]</f>
        <v>-0.21648378092772189</v>
      </c>
      <c r="K6903">
        <f>AVERAGEIF(Table1[CountryCode],Table1[[#This Row],[CountryCode]],Table1[z-score])</f>
        <v>0.37952535202791182</v>
      </c>
      <c r="L6903" t="e">
        <f>VLOOKUP(Table1[[#This Row],[CountryCode]],[1]!Table1[#All],1,FALSE)</f>
        <v>#REF!</v>
      </c>
    </row>
    <row r="6904" spans="1:12" hidden="1" x14ac:dyDescent="0.3">
      <c r="A6904" t="s">
        <v>111</v>
      </c>
      <c r="B6904" t="s">
        <v>112</v>
      </c>
      <c r="C6904" t="s">
        <v>127</v>
      </c>
      <c r="D6904" t="s">
        <v>128</v>
      </c>
      <c r="E6904">
        <v>1964</v>
      </c>
      <c r="F6904" s="1">
        <v>20361</v>
      </c>
      <c r="G6904">
        <v>1960</v>
      </c>
      <c r="H6904">
        <f>AVERAGEIFS(Table1[value],Table1[IndicatorCode],Table1[[#This Row],[IndicatorCode]])</f>
        <v>24902.88753799392</v>
      </c>
      <c r="I6904" cm="1">
        <f t="array" ref="I6904">_xlfn.STDEV.P(IF(Table1[IndicatorCode]=Table1[[#This Row],[IndicatorCode]],Table1[value]))</f>
        <v>26324.778297809873</v>
      </c>
      <c r="J6904">
        <f>(Table1[[#This Row],[value]] - Table1[[#This Row],[mean]]) / Table1[[#This Row],[std_dev]]</f>
        <v>-0.17253279350017503</v>
      </c>
      <c r="K6904">
        <f>AVERAGEIF(Table1[CountryCode],Table1[[#This Row],[CountryCode]],Table1[z-score])</f>
        <v>0.37952535202791182</v>
      </c>
      <c r="L6904" t="e">
        <f>VLOOKUP(Table1[[#This Row],[CountryCode]],[1]!Table1[#All],1,FALSE)</f>
        <v>#REF!</v>
      </c>
    </row>
    <row r="6905" spans="1:12" hidden="1" x14ac:dyDescent="0.3">
      <c r="A6905" t="s">
        <v>111</v>
      </c>
      <c r="B6905" t="s">
        <v>112</v>
      </c>
      <c r="C6905" t="s">
        <v>127</v>
      </c>
      <c r="D6905" t="s">
        <v>128</v>
      </c>
      <c r="E6905">
        <v>1965</v>
      </c>
      <c r="F6905" s="1">
        <v>20941</v>
      </c>
      <c r="G6905">
        <v>1960</v>
      </c>
      <c r="H6905">
        <f>AVERAGEIFS(Table1[value],Table1[IndicatorCode],Table1[[#This Row],[IndicatorCode]])</f>
        <v>24902.88753799392</v>
      </c>
      <c r="I6905" cm="1">
        <f t="array" ref="I6905">_xlfn.STDEV.P(IF(Table1[IndicatorCode]=Table1[[#This Row],[IndicatorCode]],Table1[value]))</f>
        <v>26324.778297809873</v>
      </c>
      <c r="J6905">
        <f>(Table1[[#This Row],[value]] - Table1[[#This Row],[mean]]) / Table1[[#This Row],[std_dev]]</f>
        <v>-0.15050031924954654</v>
      </c>
      <c r="K6905">
        <f>AVERAGEIF(Table1[CountryCode],Table1[[#This Row],[CountryCode]],Table1[z-score])</f>
        <v>0.37952535202791182</v>
      </c>
      <c r="L6905" t="e">
        <f>VLOOKUP(Table1[[#This Row],[CountryCode]],[1]!Table1[#All],1,FALSE)</f>
        <v>#REF!</v>
      </c>
    </row>
    <row r="6906" spans="1:12" hidden="1" x14ac:dyDescent="0.3">
      <c r="A6906" t="s">
        <v>111</v>
      </c>
      <c r="B6906" t="s">
        <v>112</v>
      </c>
      <c r="C6906" t="s">
        <v>127</v>
      </c>
      <c r="D6906" t="s">
        <v>128</v>
      </c>
      <c r="E6906">
        <v>1966</v>
      </c>
      <c r="F6906" s="1">
        <v>21177</v>
      </c>
      <c r="G6906">
        <v>1960</v>
      </c>
      <c r="H6906">
        <f>AVERAGEIFS(Table1[value],Table1[IndicatorCode],Table1[[#This Row],[IndicatorCode]])</f>
        <v>24902.88753799392</v>
      </c>
      <c r="I6906" cm="1">
        <f t="array" ref="I6906">_xlfn.STDEV.P(IF(Table1[IndicatorCode]=Table1[[#This Row],[IndicatorCode]],Table1[value]))</f>
        <v>26324.778297809873</v>
      </c>
      <c r="J6906">
        <f>(Table1[[#This Row],[value]] - Table1[[#This Row],[mean]]) / Table1[[#This Row],[std_dev]]</f>
        <v>-0.14153538145101494</v>
      </c>
      <c r="K6906">
        <f>AVERAGEIF(Table1[CountryCode],Table1[[#This Row],[CountryCode]],Table1[z-score])</f>
        <v>0.37952535202791182</v>
      </c>
      <c r="L6906" t="e">
        <f>VLOOKUP(Table1[[#This Row],[CountryCode]],[1]!Table1[#All],1,FALSE)</f>
        <v>#REF!</v>
      </c>
    </row>
    <row r="6907" spans="1:12" hidden="1" x14ac:dyDescent="0.3">
      <c r="A6907" t="s">
        <v>111</v>
      </c>
      <c r="B6907" t="s">
        <v>112</v>
      </c>
      <c r="C6907" t="s">
        <v>127</v>
      </c>
      <c r="D6907" t="s">
        <v>128</v>
      </c>
      <c r="E6907">
        <v>1967</v>
      </c>
      <c r="F6907" s="1">
        <v>21722</v>
      </c>
      <c r="G6907">
        <v>1970</v>
      </c>
      <c r="H6907">
        <f>AVERAGEIFS(Table1[value],Table1[IndicatorCode],Table1[[#This Row],[IndicatorCode]])</f>
        <v>24902.88753799392</v>
      </c>
      <c r="I6907" cm="1">
        <f t="array" ref="I6907">_xlfn.STDEV.P(IF(Table1[IndicatorCode]=Table1[[#This Row],[IndicatorCode]],Table1[value]))</f>
        <v>26324.778297809873</v>
      </c>
      <c r="J6907">
        <f>(Table1[[#This Row],[value]] - Table1[[#This Row],[mean]]) / Table1[[#This Row],[std_dev]]</f>
        <v>-0.12083245306033816</v>
      </c>
      <c r="K6907">
        <f>AVERAGEIF(Table1[CountryCode],Table1[[#This Row],[CountryCode]],Table1[z-score])</f>
        <v>0.37952535202791182</v>
      </c>
      <c r="L6907" t="e">
        <f>VLOOKUP(Table1[[#This Row],[CountryCode]],[1]!Table1[#All],1,FALSE)</f>
        <v>#REF!</v>
      </c>
    </row>
    <row r="6908" spans="1:12" hidden="1" x14ac:dyDescent="0.3">
      <c r="A6908" t="s">
        <v>111</v>
      </c>
      <c r="B6908" t="s">
        <v>112</v>
      </c>
      <c r="C6908" t="s">
        <v>127</v>
      </c>
      <c r="D6908" t="s">
        <v>128</v>
      </c>
      <c r="E6908">
        <v>1968</v>
      </c>
      <c r="F6908" s="1">
        <v>22386</v>
      </c>
      <c r="G6908">
        <v>1970</v>
      </c>
      <c r="H6908">
        <f>AVERAGEIFS(Table1[value],Table1[IndicatorCode],Table1[[#This Row],[IndicatorCode]])</f>
        <v>24902.88753799392</v>
      </c>
      <c r="I6908" cm="1">
        <f t="array" ref="I6908">_xlfn.STDEV.P(IF(Table1[IndicatorCode]=Table1[[#This Row],[IndicatorCode]],Table1[value]))</f>
        <v>26324.778297809873</v>
      </c>
      <c r="J6908">
        <f>(Table1[[#This Row],[value]] - Table1[[#This Row],[mean]]) / Table1[[#This Row],[std_dev]]</f>
        <v>-9.5609068745825518E-2</v>
      </c>
      <c r="K6908">
        <f>AVERAGEIF(Table1[CountryCode],Table1[[#This Row],[CountryCode]],Table1[z-score])</f>
        <v>0.37952535202791182</v>
      </c>
      <c r="L6908" t="e">
        <f>VLOOKUP(Table1[[#This Row],[CountryCode]],[1]!Table1[#All],1,FALSE)</f>
        <v>#REF!</v>
      </c>
    </row>
    <row r="6909" spans="1:12" hidden="1" x14ac:dyDescent="0.3">
      <c r="A6909" t="s">
        <v>111</v>
      </c>
      <c r="B6909" t="s">
        <v>112</v>
      </c>
      <c r="C6909" t="s">
        <v>127</v>
      </c>
      <c r="D6909" t="s">
        <v>128</v>
      </c>
      <c r="E6909">
        <v>1969</v>
      </c>
      <c r="F6909" s="1">
        <v>23343</v>
      </c>
      <c r="G6909">
        <v>1970</v>
      </c>
      <c r="H6909">
        <f>AVERAGEIFS(Table1[value],Table1[IndicatorCode],Table1[[#This Row],[IndicatorCode]])</f>
        <v>24902.88753799392</v>
      </c>
      <c r="I6909" cm="1">
        <f t="array" ref="I6909">_xlfn.STDEV.P(IF(Table1[IndicatorCode]=Table1[[#This Row],[IndicatorCode]],Table1[value]))</f>
        <v>26324.778297809873</v>
      </c>
      <c r="J6909">
        <f>(Table1[[#This Row],[value]] - Table1[[#This Row],[mean]]) / Table1[[#This Row],[std_dev]]</f>
        <v>-5.9255486232288497E-2</v>
      </c>
      <c r="K6909">
        <f>AVERAGEIF(Table1[CountryCode],Table1[[#This Row],[CountryCode]],Table1[z-score])</f>
        <v>0.37952535202791182</v>
      </c>
      <c r="L6909" t="e">
        <f>VLOOKUP(Table1[[#This Row],[CountryCode]],[1]!Table1[#All],1,FALSE)</f>
        <v>#REF!</v>
      </c>
    </row>
    <row r="6910" spans="1:12" hidden="1" x14ac:dyDescent="0.3">
      <c r="A6910" t="s">
        <v>111</v>
      </c>
      <c r="B6910" t="s">
        <v>112</v>
      </c>
      <c r="C6910" t="s">
        <v>127</v>
      </c>
      <c r="D6910" t="s">
        <v>128</v>
      </c>
      <c r="E6910">
        <v>1970</v>
      </c>
      <c r="F6910" s="1">
        <v>24623</v>
      </c>
      <c r="G6910">
        <v>1970</v>
      </c>
      <c r="H6910">
        <f>AVERAGEIFS(Table1[value],Table1[IndicatorCode],Table1[[#This Row],[IndicatorCode]])</f>
        <v>24902.88753799392</v>
      </c>
      <c r="I6910" cm="1">
        <f t="array" ref="I6910">_xlfn.STDEV.P(IF(Table1[IndicatorCode]=Table1[[#This Row],[IndicatorCode]],Table1[value]))</f>
        <v>26324.778297809873</v>
      </c>
      <c r="J6910">
        <f>(Table1[[#This Row],[value]] - Table1[[#This Row],[mean]]) / Table1[[#This Row],[std_dev]]</f>
        <v>-1.06320947826256E-2</v>
      </c>
      <c r="K6910">
        <f>AVERAGEIF(Table1[CountryCode],Table1[[#This Row],[CountryCode]],Table1[z-score])</f>
        <v>0.37952535202791182</v>
      </c>
      <c r="L6910" t="e">
        <f>VLOOKUP(Table1[[#This Row],[CountryCode]],[1]!Table1[#All],1,FALSE)</f>
        <v>#REF!</v>
      </c>
    </row>
    <row r="6911" spans="1:12" hidden="1" x14ac:dyDescent="0.3">
      <c r="A6911" t="s">
        <v>111</v>
      </c>
      <c r="B6911" t="s">
        <v>112</v>
      </c>
      <c r="C6911" t="s">
        <v>127</v>
      </c>
      <c r="D6911" t="s">
        <v>128</v>
      </c>
      <c r="E6911">
        <v>1971</v>
      </c>
      <c r="F6911" s="1">
        <v>24685</v>
      </c>
      <c r="G6911">
        <v>1970</v>
      </c>
      <c r="H6911">
        <f>AVERAGEIFS(Table1[value],Table1[IndicatorCode],Table1[[#This Row],[IndicatorCode]])</f>
        <v>24902.88753799392</v>
      </c>
      <c r="I6911" cm="1">
        <f t="array" ref="I6911">_xlfn.STDEV.P(IF(Table1[IndicatorCode]=Table1[[#This Row],[IndicatorCode]],Table1[value]))</f>
        <v>26324.778297809873</v>
      </c>
      <c r="J6911">
        <f>(Table1[[#This Row],[value]] - Table1[[#This Row],[mean]]) / Table1[[#This Row],[std_dev]]</f>
        <v>-8.2768992592825528E-3</v>
      </c>
      <c r="K6911">
        <f>AVERAGEIF(Table1[CountryCode],Table1[[#This Row],[CountryCode]],Table1[z-score])</f>
        <v>0.37952535202791182</v>
      </c>
      <c r="L6911" t="e">
        <f>VLOOKUP(Table1[[#This Row],[CountryCode]],[1]!Table1[#All],1,FALSE)</f>
        <v>#REF!</v>
      </c>
    </row>
    <row r="6912" spans="1:12" hidden="1" x14ac:dyDescent="0.3">
      <c r="A6912" t="s">
        <v>111</v>
      </c>
      <c r="B6912" t="s">
        <v>112</v>
      </c>
      <c r="C6912" t="s">
        <v>127</v>
      </c>
      <c r="D6912" t="s">
        <v>128</v>
      </c>
      <c r="E6912">
        <v>1972</v>
      </c>
      <c r="F6912" s="1">
        <v>25176</v>
      </c>
      <c r="G6912">
        <v>1970</v>
      </c>
      <c r="H6912">
        <f>AVERAGEIFS(Table1[value],Table1[IndicatorCode],Table1[[#This Row],[IndicatorCode]])</f>
        <v>24902.88753799392</v>
      </c>
      <c r="I6912" cm="1">
        <f t="array" ref="I6912">_xlfn.STDEV.P(IF(Table1[IndicatorCode]=Table1[[#This Row],[IndicatorCode]],Table1[value]))</f>
        <v>26324.778297809873</v>
      </c>
      <c r="J6912">
        <f>(Table1[[#This Row],[value]] - Table1[[#This Row],[mean]]) / Table1[[#This Row],[std_dev]]</f>
        <v>1.0374729804611574E-2</v>
      </c>
      <c r="K6912">
        <f>AVERAGEIF(Table1[CountryCode],Table1[[#This Row],[CountryCode]],Table1[z-score])</f>
        <v>0.37952535202791182</v>
      </c>
      <c r="L6912" t="e">
        <f>VLOOKUP(Table1[[#This Row],[CountryCode]],[1]!Table1[#All],1,FALSE)</f>
        <v>#REF!</v>
      </c>
    </row>
    <row r="6913" spans="1:12" hidden="1" x14ac:dyDescent="0.3">
      <c r="A6913" t="s">
        <v>111</v>
      </c>
      <c r="B6913" t="s">
        <v>112</v>
      </c>
      <c r="C6913" t="s">
        <v>127</v>
      </c>
      <c r="D6913" t="s">
        <v>128</v>
      </c>
      <c r="E6913">
        <v>1973</v>
      </c>
      <c r="F6913" s="1">
        <v>26130</v>
      </c>
      <c r="G6913">
        <v>1970</v>
      </c>
      <c r="H6913">
        <f>AVERAGEIFS(Table1[value],Table1[IndicatorCode],Table1[[#This Row],[IndicatorCode]])</f>
        <v>24902.88753799392</v>
      </c>
      <c r="I6913" cm="1">
        <f t="array" ref="I6913">_xlfn.STDEV.P(IF(Table1[IndicatorCode]=Table1[[#This Row],[IndicatorCode]],Table1[value]))</f>
        <v>26324.778297809873</v>
      </c>
      <c r="J6913">
        <f>(Table1[[#This Row],[value]] - Table1[[#This Row],[mean]]) / Table1[[#This Row],[std_dev]]</f>
        <v>4.6614351244438454E-2</v>
      </c>
      <c r="K6913">
        <f>AVERAGEIF(Table1[CountryCode],Table1[[#This Row],[CountryCode]],Table1[z-score])</f>
        <v>0.37952535202791182</v>
      </c>
      <c r="L6913" t="e">
        <f>VLOOKUP(Table1[[#This Row],[CountryCode]],[1]!Table1[#All],1,FALSE)</f>
        <v>#REF!</v>
      </c>
    </row>
    <row r="6914" spans="1:12" hidden="1" x14ac:dyDescent="0.3">
      <c r="A6914" t="s">
        <v>111</v>
      </c>
      <c r="B6914" t="s">
        <v>112</v>
      </c>
      <c r="C6914" t="s">
        <v>127</v>
      </c>
      <c r="D6914" t="s">
        <v>128</v>
      </c>
      <c r="E6914">
        <v>1974</v>
      </c>
      <c r="F6914" s="1">
        <v>26887</v>
      </c>
      <c r="G6914">
        <v>1970</v>
      </c>
      <c r="H6914">
        <f>AVERAGEIFS(Table1[value],Table1[IndicatorCode],Table1[[#This Row],[IndicatorCode]])</f>
        <v>24902.88753799392</v>
      </c>
      <c r="I6914" cm="1">
        <f t="array" ref="I6914">_xlfn.STDEV.P(IF(Table1[IndicatorCode]=Table1[[#This Row],[IndicatorCode]],Table1[value]))</f>
        <v>26324.778297809873</v>
      </c>
      <c r="J6914">
        <f>(Table1[[#This Row],[value]] - Table1[[#This Row],[mean]]) / Table1[[#This Row],[std_dev]]</f>
        <v>7.5370528843965653E-2</v>
      </c>
      <c r="K6914">
        <f>AVERAGEIF(Table1[CountryCode],Table1[[#This Row],[CountryCode]],Table1[z-score])</f>
        <v>0.37952535202791182</v>
      </c>
      <c r="L6914" t="e">
        <f>VLOOKUP(Table1[[#This Row],[CountryCode]],[1]!Table1[#All],1,FALSE)</f>
        <v>#REF!</v>
      </c>
    </row>
    <row r="6915" spans="1:12" hidden="1" x14ac:dyDescent="0.3">
      <c r="A6915" t="s">
        <v>111</v>
      </c>
      <c r="B6915" t="s">
        <v>112</v>
      </c>
      <c r="C6915" t="s">
        <v>127</v>
      </c>
      <c r="D6915" t="s">
        <v>128</v>
      </c>
      <c r="E6915">
        <v>1975</v>
      </c>
      <c r="F6915" s="1">
        <v>27464</v>
      </c>
      <c r="G6915">
        <v>1970</v>
      </c>
      <c r="H6915">
        <f>AVERAGEIFS(Table1[value],Table1[IndicatorCode],Table1[[#This Row],[IndicatorCode]])</f>
        <v>24902.88753799392</v>
      </c>
      <c r="I6915" cm="1">
        <f t="array" ref="I6915">_xlfn.STDEV.P(IF(Table1[IndicatorCode]=Table1[[#This Row],[IndicatorCode]],Table1[value]))</f>
        <v>26324.778297809873</v>
      </c>
      <c r="J6915">
        <f>(Table1[[#This Row],[value]] - Table1[[#This Row],[mean]]) / Table1[[#This Row],[std_dev]]</f>
        <v>9.7289042020884009E-2</v>
      </c>
      <c r="K6915">
        <f>AVERAGEIF(Table1[CountryCode],Table1[[#This Row],[CountryCode]],Table1[z-score])</f>
        <v>0.37952535202791182</v>
      </c>
      <c r="L6915" t="e">
        <f>VLOOKUP(Table1[[#This Row],[CountryCode]],[1]!Table1[#All],1,FALSE)</f>
        <v>#REF!</v>
      </c>
    </row>
    <row r="6916" spans="1:12" hidden="1" x14ac:dyDescent="0.3">
      <c r="A6916" t="s">
        <v>111</v>
      </c>
      <c r="B6916" t="s">
        <v>112</v>
      </c>
      <c r="C6916" t="s">
        <v>127</v>
      </c>
      <c r="D6916" t="s">
        <v>128</v>
      </c>
      <c r="E6916">
        <v>1976</v>
      </c>
      <c r="F6916" s="1">
        <v>27654</v>
      </c>
      <c r="G6916">
        <v>1970</v>
      </c>
      <c r="H6916">
        <f>AVERAGEIFS(Table1[value],Table1[IndicatorCode],Table1[[#This Row],[IndicatorCode]])</f>
        <v>24902.88753799392</v>
      </c>
      <c r="I6916" cm="1">
        <f t="array" ref="I6916">_xlfn.STDEV.P(IF(Table1[IndicatorCode]=Table1[[#This Row],[IndicatorCode]],Table1[value]))</f>
        <v>26324.778297809873</v>
      </c>
      <c r="J6916">
        <f>(Table1[[#This Row],[value]] - Table1[[#This Row],[mean]]) / Table1[[#This Row],[std_dev]]</f>
        <v>0.10450657668919335</v>
      </c>
      <c r="K6916">
        <f>AVERAGEIF(Table1[CountryCode],Table1[[#This Row],[CountryCode]],Table1[z-score])</f>
        <v>0.37952535202791182</v>
      </c>
      <c r="L6916" t="e">
        <f>VLOOKUP(Table1[[#This Row],[CountryCode]],[1]!Table1[#All],1,FALSE)</f>
        <v>#REF!</v>
      </c>
    </row>
    <row r="6917" spans="1:12" hidden="1" x14ac:dyDescent="0.3">
      <c r="A6917" t="s">
        <v>111</v>
      </c>
      <c r="B6917" t="s">
        <v>112</v>
      </c>
      <c r="C6917" t="s">
        <v>127</v>
      </c>
      <c r="D6917" t="s">
        <v>128</v>
      </c>
      <c r="E6917">
        <v>1977</v>
      </c>
      <c r="F6917" s="1">
        <v>27116</v>
      </c>
      <c r="G6917">
        <v>1980</v>
      </c>
      <c r="H6917">
        <f>AVERAGEIFS(Table1[value],Table1[IndicatorCode],Table1[[#This Row],[IndicatorCode]])</f>
        <v>24902.88753799392</v>
      </c>
      <c r="I6917" cm="1">
        <f t="array" ref="I6917">_xlfn.STDEV.P(IF(Table1[IndicatorCode]=Table1[[#This Row],[IndicatorCode]],Table1[value]))</f>
        <v>26324.778297809873</v>
      </c>
      <c r="J6917">
        <f>(Table1[[#This Row],[value]] - Table1[[#This Row],[mean]]) / Table1[[#This Row],[std_dev]]</f>
        <v>8.40695574705069E-2</v>
      </c>
      <c r="K6917">
        <f>AVERAGEIF(Table1[CountryCode],Table1[[#This Row],[CountryCode]],Table1[z-score])</f>
        <v>0.37952535202791182</v>
      </c>
      <c r="L6917" t="e">
        <f>VLOOKUP(Table1[[#This Row],[CountryCode]],[1]!Table1[#All],1,FALSE)</f>
        <v>#REF!</v>
      </c>
    </row>
    <row r="6918" spans="1:12" hidden="1" x14ac:dyDescent="0.3">
      <c r="A6918" t="s">
        <v>111</v>
      </c>
      <c r="B6918" t="s">
        <v>112</v>
      </c>
      <c r="C6918" t="s">
        <v>127</v>
      </c>
      <c r="D6918" t="s">
        <v>128</v>
      </c>
      <c r="E6918">
        <v>1978</v>
      </c>
      <c r="F6918" s="1">
        <v>27511</v>
      </c>
      <c r="G6918">
        <v>1980</v>
      </c>
      <c r="H6918">
        <f>AVERAGEIFS(Table1[value],Table1[IndicatorCode],Table1[[#This Row],[IndicatorCode]])</f>
        <v>24902.88753799392</v>
      </c>
      <c r="I6918" cm="1">
        <f t="array" ref="I6918">_xlfn.STDEV.P(IF(Table1[IndicatorCode]=Table1[[#This Row],[IndicatorCode]],Table1[value]))</f>
        <v>26324.778297809873</v>
      </c>
      <c r="J6918">
        <f>(Table1[[#This Row],[value]] - Table1[[#This Row],[mean]]) / Table1[[#This Row],[std_dev]]</f>
        <v>9.9074432175676311E-2</v>
      </c>
      <c r="K6918">
        <f>AVERAGEIF(Table1[CountryCode],Table1[[#This Row],[CountryCode]],Table1[z-score])</f>
        <v>0.37952535202791182</v>
      </c>
      <c r="L6918" t="e">
        <f>VLOOKUP(Table1[[#This Row],[CountryCode]],[1]!Table1[#All],1,FALSE)</f>
        <v>#REF!</v>
      </c>
    </row>
    <row r="6919" spans="1:12" hidden="1" x14ac:dyDescent="0.3">
      <c r="A6919" t="s">
        <v>111</v>
      </c>
      <c r="B6919" t="s">
        <v>112</v>
      </c>
      <c r="C6919" t="s">
        <v>127</v>
      </c>
      <c r="D6919" t="s">
        <v>128</v>
      </c>
      <c r="E6919">
        <v>1979</v>
      </c>
      <c r="F6919" s="1">
        <v>28505</v>
      </c>
      <c r="G6919">
        <v>1980</v>
      </c>
      <c r="H6919">
        <f>AVERAGEIFS(Table1[value],Table1[IndicatorCode],Table1[[#This Row],[IndicatorCode]])</f>
        <v>24902.88753799392</v>
      </c>
      <c r="I6919" cm="1">
        <f t="array" ref="I6919">_xlfn.STDEV.P(IF(Table1[IndicatorCode]=Table1[[#This Row],[IndicatorCode]],Table1[value]))</f>
        <v>26324.778297809873</v>
      </c>
      <c r="J6919">
        <f>(Table1[[#This Row],[value]] - Table1[[#This Row],[mean]]) / Table1[[#This Row],[std_dev]]</f>
        <v>0.13683353459830516</v>
      </c>
      <c r="K6919">
        <f>AVERAGEIF(Table1[CountryCode],Table1[[#This Row],[CountryCode]],Table1[z-score])</f>
        <v>0.37952535202791182</v>
      </c>
      <c r="L6919" t="e">
        <f>VLOOKUP(Table1[[#This Row],[CountryCode]],[1]!Table1[#All],1,FALSE)</f>
        <v>#REF!</v>
      </c>
    </row>
    <row r="6920" spans="1:12" hidden="1" x14ac:dyDescent="0.3">
      <c r="A6920" t="s">
        <v>111</v>
      </c>
      <c r="B6920" t="s">
        <v>112</v>
      </c>
      <c r="C6920" t="s">
        <v>127</v>
      </c>
      <c r="D6920" t="s">
        <v>128</v>
      </c>
      <c r="E6920">
        <v>1980</v>
      </c>
      <c r="F6920" s="1">
        <v>28931</v>
      </c>
      <c r="G6920">
        <v>1980</v>
      </c>
      <c r="H6920">
        <f>AVERAGEIFS(Table1[value],Table1[IndicatorCode],Table1[[#This Row],[IndicatorCode]])</f>
        <v>24902.88753799392</v>
      </c>
      <c r="I6920" cm="1">
        <f t="array" ref="I6920">_xlfn.STDEV.P(IF(Table1[IndicatorCode]=Table1[[#This Row],[IndicatorCode]],Table1[value]))</f>
        <v>26324.778297809873</v>
      </c>
      <c r="J6920">
        <f>(Table1[[#This Row],[value]] - Table1[[#This Row],[mean]]) / Table1[[#This Row],[std_dev]]</f>
        <v>0.15301600706514609</v>
      </c>
      <c r="K6920">
        <f>AVERAGEIF(Table1[CountryCode],Table1[[#This Row],[CountryCode]],Table1[z-score])</f>
        <v>0.37952535202791182</v>
      </c>
      <c r="L6920" t="e">
        <f>VLOOKUP(Table1[[#This Row],[CountryCode]],[1]!Table1[#All],1,FALSE)</f>
        <v>#REF!</v>
      </c>
    </row>
    <row r="6921" spans="1:12" hidden="1" x14ac:dyDescent="0.3">
      <c r="A6921" t="s">
        <v>111</v>
      </c>
      <c r="B6921" t="s">
        <v>112</v>
      </c>
      <c r="C6921" t="s">
        <v>127</v>
      </c>
      <c r="D6921" t="s">
        <v>128</v>
      </c>
      <c r="E6921">
        <v>1981</v>
      </c>
      <c r="F6921" s="1">
        <v>29028</v>
      </c>
      <c r="G6921">
        <v>1980</v>
      </c>
      <c r="H6921">
        <f>AVERAGEIFS(Table1[value],Table1[IndicatorCode],Table1[[#This Row],[IndicatorCode]])</f>
        <v>24902.88753799392</v>
      </c>
      <c r="I6921" cm="1">
        <f t="array" ref="I6921">_xlfn.STDEV.P(IF(Table1[IndicatorCode]=Table1[[#This Row],[IndicatorCode]],Table1[value]))</f>
        <v>26324.778297809873</v>
      </c>
      <c r="J6921">
        <f>(Table1[[#This Row],[value]] - Table1[[#This Row],[mean]]) / Table1[[#This Row],[std_dev]]</f>
        <v>0.15670074844844087</v>
      </c>
      <c r="K6921">
        <f>AVERAGEIF(Table1[CountryCode],Table1[[#This Row],[CountryCode]],Table1[z-score])</f>
        <v>0.37952535202791182</v>
      </c>
      <c r="L6921" t="e">
        <f>VLOOKUP(Table1[[#This Row],[CountryCode]],[1]!Table1[#All],1,FALSE)</f>
        <v>#REF!</v>
      </c>
    </row>
    <row r="6922" spans="1:12" hidden="1" x14ac:dyDescent="0.3">
      <c r="A6922" t="s">
        <v>111</v>
      </c>
      <c r="B6922" t="s">
        <v>112</v>
      </c>
      <c r="C6922" t="s">
        <v>127</v>
      </c>
      <c r="D6922" t="s">
        <v>128</v>
      </c>
      <c r="E6922">
        <v>1982</v>
      </c>
      <c r="F6922" s="1">
        <v>29373</v>
      </c>
      <c r="G6922">
        <v>1980</v>
      </c>
      <c r="H6922">
        <f>AVERAGEIFS(Table1[value],Table1[IndicatorCode],Table1[[#This Row],[IndicatorCode]])</f>
        <v>24902.88753799392</v>
      </c>
      <c r="I6922" cm="1">
        <f t="array" ref="I6922">_xlfn.STDEV.P(IF(Table1[IndicatorCode]=Table1[[#This Row],[IndicatorCode]],Table1[value]))</f>
        <v>26324.778297809873</v>
      </c>
      <c r="J6922">
        <f>(Table1[[#This Row],[value]] - Table1[[#This Row],[mean]]) / Table1[[#This Row],[std_dev]]</f>
        <v>0.1698062719251078</v>
      </c>
      <c r="K6922">
        <f>AVERAGEIF(Table1[CountryCode],Table1[[#This Row],[CountryCode]],Table1[z-score])</f>
        <v>0.37952535202791182</v>
      </c>
      <c r="L6922" t="e">
        <f>VLOOKUP(Table1[[#This Row],[CountryCode]],[1]!Table1[#All],1,FALSE)</f>
        <v>#REF!</v>
      </c>
    </row>
    <row r="6923" spans="1:12" hidden="1" x14ac:dyDescent="0.3">
      <c r="A6923" t="s">
        <v>111</v>
      </c>
      <c r="B6923" t="s">
        <v>112</v>
      </c>
      <c r="C6923" t="s">
        <v>127</v>
      </c>
      <c r="D6923" t="s">
        <v>128</v>
      </c>
      <c r="E6923">
        <v>1983</v>
      </c>
      <c r="F6923" s="1">
        <v>29918</v>
      </c>
      <c r="G6923">
        <v>1980</v>
      </c>
      <c r="H6923">
        <f>AVERAGEIFS(Table1[value],Table1[IndicatorCode],Table1[[#This Row],[IndicatorCode]])</f>
        <v>24902.88753799392</v>
      </c>
      <c r="I6923" cm="1">
        <f t="array" ref="I6923">_xlfn.STDEV.P(IF(Table1[IndicatorCode]=Table1[[#This Row],[IndicatorCode]],Table1[value]))</f>
        <v>26324.778297809873</v>
      </c>
      <c r="J6923">
        <f>(Table1[[#This Row],[value]] - Table1[[#This Row],[mean]]) / Table1[[#This Row],[std_dev]]</f>
        <v>0.19050920031578458</v>
      </c>
      <c r="K6923">
        <f>AVERAGEIF(Table1[CountryCode],Table1[[#This Row],[CountryCode]],Table1[z-score])</f>
        <v>0.37952535202791182</v>
      </c>
      <c r="L6923" t="e">
        <f>VLOOKUP(Table1[[#This Row],[CountryCode]],[1]!Table1[#All],1,FALSE)</f>
        <v>#REF!</v>
      </c>
    </row>
    <row r="6924" spans="1:12" hidden="1" x14ac:dyDescent="0.3">
      <c r="A6924" t="s">
        <v>111</v>
      </c>
      <c r="B6924" t="s">
        <v>112</v>
      </c>
      <c r="C6924" t="s">
        <v>127</v>
      </c>
      <c r="D6924" t="s">
        <v>128</v>
      </c>
      <c r="E6924">
        <v>1984</v>
      </c>
      <c r="F6924" s="1">
        <v>31155</v>
      </c>
      <c r="G6924">
        <v>1980</v>
      </c>
      <c r="H6924">
        <f>AVERAGEIFS(Table1[value],Table1[IndicatorCode],Table1[[#This Row],[IndicatorCode]])</f>
        <v>24902.88753799392</v>
      </c>
      <c r="I6924" cm="1">
        <f t="array" ref="I6924">_xlfn.STDEV.P(IF(Table1[IndicatorCode]=Table1[[#This Row],[IndicatorCode]],Table1[value]))</f>
        <v>26324.778297809873</v>
      </c>
      <c r="J6924">
        <f>(Table1[[#This Row],[value]] - Table1[[#This Row],[mean]]) / Table1[[#This Row],[std_dev]]</f>
        <v>0.23749914970893538</v>
      </c>
      <c r="K6924">
        <f>AVERAGEIF(Table1[CountryCode],Table1[[#This Row],[CountryCode]],Table1[z-score])</f>
        <v>0.37952535202791182</v>
      </c>
      <c r="L6924" t="e">
        <f>VLOOKUP(Table1[[#This Row],[CountryCode]],[1]!Table1[#All],1,FALSE)</f>
        <v>#REF!</v>
      </c>
    </row>
    <row r="6925" spans="1:12" hidden="1" x14ac:dyDescent="0.3">
      <c r="A6925" t="s">
        <v>111</v>
      </c>
      <c r="B6925" t="s">
        <v>112</v>
      </c>
      <c r="C6925" t="s">
        <v>127</v>
      </c>
      <c r="D6925" t="s">
        <v>128</v>
      </c>
      <c r="E6925">
        <v>1985</v>
      </c>
      <c r="F6925" s="1">
        <v>31776</v>
      </c>
      <c r="G6925">
        <v>1980</v>
      </c>
      <c r="H6925">
        <f>AVERAGEIFS(Table1[value],Table1[IndicatorCode],Table1[[#This Row],[IndicatorCode]])</f>
        <v>24902.88753799392</v>
      </c>
      <c r="I6925" cm="1">
        <f t="array" ref="I6925">_xlfn.STDEV.P(IF(Table1[IndicatorCode]=Table1[[#This Row],[IndicatorCode]],Table1[value]))</f>
        <v>26324.778297809873</v>
      </c>
      <c r="J6925">
        <f>(Table1[[#This Row],[value]] - Table1[[#This Row],[mean]]) / Table1[[#This Row],[std_dev]]</f>
        <v>0.26108909196693592</v>
      </c>
      <c r="K6925">
        <f>AVERAGEIF(Table1[CountryCode],Table1[[#This Row],[CountryCode]],Table1[z-score])</f>
        <v>0.37952535202791182</v>
      </c>
      <c r="L6925" t="e">
        <f>VLOOKUP(Table1[[#This Row],[CountryCode]],[1]!Table1[#All],1,FALSE)</f>
        <v>#REF!</v>
      </c>
    </row>
    <row r="6926" spans="1:12" hidden="1" x14ac:dyDescent="0.3">
      <c r="A6926" t="s">
        <v>111</v>
      </c>
      <c r="B6926" t="s">
        <v>112</v>
      </c>
      <c r="C6926" t="s">
        <v>127</v>
      </c>
      <c r="D6926" t="s">
        <v>128</v>
      </c>
      <c r="E6926">
        <v>1986</v>
      </c>
      <c r="F6926" s="1">
        <v>32555</v>
      </c>
      <c r="G6926">
        <v>1980</v>
      </c>
      <c r="H6926">
        <f>AVERAGEIFS(Table1[value],Table1[IndicatorCode],Table1[[#This Row],[IndicatorCode]])</f>
        <v>24902.88753799392</v>
      </c>
      <c r="I6926" cm="1">
        <f t="array" ref="I6926">_xlfn.STDEV.P(IF(Table1[IndicatorCode]=Table1[[#This Row],[IndicatorCode]],Table1[value]))</f>
        <v>26324.778297809873</v>
      </c>
      <c r="J6926">
        <f>(Table1[[#This Row],[value]] - Table1[[#This Row],[mean]]) / Table1[[#This Row],[std_dev]]</f>
        <v>0.29068098410700416</v>
      </c>
      <c r="K6926">
        <f>AVERAGEIF(Table1[CountryCode],Table1[[#This Row],[CountryCode]],Table1[z-score])</f>
        <v>0.37952535202791182</v>
      </c>
      <c r="L6926" t="e">
        <f>VLOOKUP(Table1[[#This Row],[CountryCode]],[1]!Table1[#All],1,FALSE)</f>
        <v>#REF!</v>
      </c>
    </row>
    <row r="6927" spans="1:12" hidden="1" x14ac:dyDescent="0.3">
      <c r="A6927" t="s">
        <v>111</v>
      </c>
      <c r="B6927" t="s">
        <v>112</v>
      </c>
      <c r="C6927" t="s">
        <v>127</v>
      </c>
      <c r="D6927" t="s">
        <v>128</v>
      </c>
      <c r="E6927">
        <v>1987</v>
      </c>
      <c r="F6927" s="1">
        <v>33535</v>
      </c>
      <c r="G6927">
        <v>1990</v>
      </c>
      <c r="H6927">
        <f>AVERAGEIFS(Table1[value],Table1[IndicatorCode],Table1[[#This Row],[IndicatorCode]])</f>
        <v>24902.88753799392</v>
      </c>
      <c r="I6927" cm="1">
        <f t="array" ref="I6927">_xlfn.STDEV.P(IF(Table1[IndicatorCode]=Table1[[#This Row],[IndicatorCode]],Table1[value]))</f>
        <v>26324.778297809873</v>
      </c>
      <c r="J6927">
        <f>(Table1[[#This Row],[value]] - Table1[[#This Row],[mean]]) / Table1[[#This Row],[std_dev]]</f>
        <v>0.32790826818565233</v>
      </c>
      <c r="K6927">
        <f>AVERAGEIF(Table1[CountryCode],Table1[[#This Row],[CountryCode]],Table1[z-score])</f>
        <v>0.37952535202791182</v>
      </c>
      <c r="L6927" t="e">
        <f>VLOOKUP(Table1[[#This Row],[CountryCode]],[1]!Table1[#All],1,FALSE)</f>
        <v>#REF!</v>
      </c>
    </row>
    <row r="6928" spans="1:12" hidden="1" x14ac:dyDescent="0.3">
      <c r="A6928" t="s">
        <v>111</v>
      </c>
      <c r="B6928" t="s">
        <v>112</v>
      </c>
      <c r="C6928" t="s">
        <v>127</v>
      </c>
      <c r="D6928" t="s">
        <v>128</v>
      </c>
      <c r="E6928">
        <v>1988</v>
      </c>
      <c r="F6928" s="1">
        <v>34235</v>
      </c>
      <c r="G6928">
        <v>1990</v>
      </c>
      <c r="H6928">
        <f>AVERAGEIFS(Table1[value],Table1[IndicatorCode],Table1[[#This Row],[IndicatorCode]])</f>
        <v>24902.88753799392</v>
      </c>
      <c r="I6928" cm="1">
        <f t="array" ref="I6928">_xlfn.STDEV.P(IF(Table1[IndicatorCode]=Table1[[#This Row],[IndicatorCode]],Table1[value]))</f>
        <v>26324.778297809873</v>
      </c>
      <c r="J6928">
        <f>(Table1[[#This Row],[value]] - Table1[[#This Row],[mean]]) / Table1[[#This Row],[std_dev]]</f>
        <v>0.35449918538468672</v>
      </c>
      <c r="K6928">
        <f>AVERAGEIF(Table1[CountryCode],Table1[[#This Row],[CountryCode]],Table1[z-score])</f>
        <v>0.37952535202791182</v>
      </c>
      <c r="L6928" t="e">
        <f>VLOOKUP(Table1[[#This Row],[CountryCode]],[1]!Table1[#All],1,FALSE)</f>
        <v>#REF!</v>
      </c>
    </row>
    <row r="6929" spans="1:12" hidden="1" x14ac:dyDescent="0.3">
      <c r="A6929" t="s">
        <v>111</v>
      </c>
      <c r="B6929" t="s">
        <v>112</v>
      </c>
      <c r="C6929" t="s">
        <v>127</v>
      </c>
      <c r="D6929" t="s">
        <v>128</v>
      </c>
      <c r="E6929">
        <v>1989</v>
      </c>
      <c r="F6929" s="1">
        <v>34911</v>
      </c>
      <c r="G6929">
        <v>1990</v>
      </c>
      <c r="H6929">
        <f>AVERAGEIFS(Table1[value],Table1[IndicatorCode],Table1[[#This Row],[IndicatorCode]])</f>
        <v>24902.88753799392</v>
      </c>
      <c r="I6929" cm="1">
        <f t="array" ref="I6929">_xlfn.STDEV.P(IF(Table1[IndicatorCode]=Table1[[#This Row],[IndicatorCode]],Table1[value]))</f>
        <v>26324.778297809873</v>
      </c>
      <c r="J6929">
        <f>(Table1[[#This Row],[value]] - Table1[[#This Row],[mean]]) / Table1[[#This Row],[std_dev]]</f>
        <v>0.38017841399403995</v>
      </c>
      <c r="K6929">
        <f>AVERAGEIF(Table1[CountryCode],Table1[[#This Row],[CountryCode]],Table1[z-score])</f>
        <v>0.37952535202791182</v>
      </c>
      <c r="L6929" t="e">
        <f>VLOOKUP(Table1[[#This Row],[CountryCode]],[1]!Table1[#All],1,FALSE)</f>
        <v>#REF!</v>
      </c>
    </row>
    <row r="6930" spans="1:12" hidden="1" x14ac:dyDescent="0.3">
      <c r="A6930" t="s">
        <v>111</v>
      </c>
      <c r="B6930" t="s">
        <v>112</v>
      </c>
      <c r="C6930" t="s">
        <v>127</v>
      </c>
      <c r="D6930" t="s">
        <v>128</v>
      </c>
      <c r="E6930">
        <v>1990</v>
      </c>
      <c r="F6930" s="1">
        <v>34903</v>
      </c>
      <c r="G6930">
        <v>1990</v>
      </c>
      <c r="H6930">
        <f>AVERAGEIFS(Table1[value],Table1[IndicatorCode],Table1[[#This Row],[IndicatorCode]])</f>
        <v>24902.88753799392</v>
      </c>
      <c r="I6930" cm="1">
        <f t="array" ref="I6930">_xlfn.STDEV.P(IF(Table1[IndicatorCode]=Table1[[#This Row],[IndicatorCode]],Table1[value]))</f>
        <v>26324.778297809873</v>
      </c>
      <c r="J6930">
        <f>(Table1[[#This Row],[value]] - Table1[[#This Row],[mean]]) / Table1[[#This Row],[std_dev]]</f>
        <v>0.37987451779747955</v>
      </c>
      <c r="K6930">
        <f>AVERAGEIF(Table1[CountryCode],Table1[[#This Row],[CountryCode]],Table1[z-score])</f>
        <v>0.37952535202791182</v>
      </c>
      <c r="L6930" t="e">
        <f>VLOOKUP(Table1[[#This Row],[CountryCode]],[1]!Table1[#All],1,FALSE)</f>
        <v>#REF!</v>
      </c>
    </row>
    <row r="6931" spans="1:12" hidden="1" x14ac:dyDescent="0.3">
      <c r="A6931" t="s">
        <v>111</v>
      </c>
      <c r="B6931" t="s">
        <v>112</v>
      </c>
      <c r="C6931" t="s">
        <v>127</v>
      </c>
      <c r="D6931" t="s">
        <v>128</v>
      </c>
      <c r="E6931">
        <v>1991</v>
      </c>
      <c r="F6931" s="1">
        <v>34269</v>
      </c>
      <c r="G6931">
        <v>1990</v>
      </c>
      <c r="H6931">
        <f>AVERAGEIFS(Table1[value],Table1[IndicatorCode],Table1[[#This Row],[IndicatorCode]])</f>
        <v>24902.88753799392</v>
      </c>
      <c r="I6931" cm="1">
        <f t="array" ref="I6931">_xlfn.STDEV.P(IF(Table1[IndicatorCode]=Table1[[#This Row],[IndicatorCode]],Table1[value]))</f>
        <v>26324.778297809873</v>
      </c>
      <c r="J6931">
        <f>(Table1[[#This Row],[value]] - Table1[[#This Row],[mean]]) / Table1[[#This Row],[std_dev]]</f>
        <v>0.3557907442200684</v>
      </c>
      <c r="K6931">
        <f>AVERAGEIF(Table1[CountryCode],Table1[[#This Row],[CountryCode]],Table1[z-score])</f>
        <v>0.37952535202791182</v>
      </c>
      <c r="L6931" t="e">
        <f>VLOOKUP(Table1[[#This Row],[CountryCode]],[1]!Table1[#All],1,FALSE)</f>
        <v>#REF!</v>
      </c>
    </row>
    <row r="6932" spans="1:12" hidden="1" x14ac:dyDescent="0.3">
      <c r="A6932" t="s">
        <v>111</v>
      </c>
      <c r="B6932" t="s">
        <v>112</v>
      </c>
      <c r="C6932" t="s">
        <v>127</v>
      </c>
      <c r="D6932" t="s">
        <v>128</v>
      </c>
      <c r="E6932">
        <v>1992</v>
      </c>
      <c r="F6932" s="1">
        <v>33674</v>
      </c>
      <c r="G6932">
        <v>1990</v>
      </c>
      <c r="H6932">
        <f>AVERAGEIFS(Table1[value],Table1[IndicatorCode],Table1[[#This Row],[IndicatorCode]])</f>
        <v>24902.88753799392</v>
      </c>
      <c r="I6932" cm="1">
        <f t="array" ref="I6932">_xlfn.STDEV.P(IF(Table1[IndicatorCode]=Table1[[#This Row],[IndicatorCode]],Table1[value]))</f>
        <v>26324.778297809873</v>
      </c>
      <c r="J6932">
        <f>(Table1[[#This Row],[value]] - Table1[[#This Row],[mean]]) / Table1[[#This Row],[std_dev]]</f>
        <v>0.33318846460088913</v>
      </c>
      <c r="K6932">
        <f>AVERAGEIF(Table1[CountryCode],Table1[[#This Row],[CountryCode]],Table1[z-score])</f>
        <v>0.37952535202791182</v>
      </c>
      <c r="L6932" t="e">
        <f>VLOOKUP(Table1[[#This Row],[CountryCode]],[1]!Table1[#All],1,FALSE)</f>
        <v>#REF!</v>
      </c>
    </row>
    <row r="6933" spans="1:12" hidden="1" x14ac:dyDescent="0.3">
      <c r="A6933" t="s">
        <v>111</v>
      </c>
      <c r="B6933" t="s">
        <v>112</v>
      </c>
      <c r="C6933" t="s">
        <v>127</v>
      </c>
      <c r="D6933" t="s">
        <v>128</v>
      </c>
      <c r="E6933">
        <v>1993</v>
      </c>
      <c r="F6933" s="1">
        <v>32787</v>
      </c>
      <c r="G6933">
        <v>1990</v>
      </c>
      <c r="H6933">
        <f>AVERAGEIFS(Table1[value],Table1[IndicatorCode],Table1[[#This Row],[IndicatorCode]])</f>
        <v>24902.88753799392</v>
      </c>
      <c r="I6933" cm="1">
        <f t="array" ref="I6933">_xlfn.STDEV.P(IF(Table1[IndicatorCode]=Table1[[#This Row],[IndicatorCode]],Table1[value]))</f>
        <v>26324.778297809873</v>
      </c>
      <c r="J6933">
        <f>(Table1[[#This Row],[value]] - Table1[[#This Row],[mean]]) / Table1[[#This Row],[std_dev]]</f>
        <v>0.29949397380725556</v>
      </c>
      <c r="K6933">
        <f>AVERAGEIF(Table1[CountryCode],Table1[[#This Row],[CountryCode]],Table1[z-score])</f>
        <v>0.37952535202791182</v>
      </c>
      <c r="L6933" t="e">
        <f>VLOOKUP(Table1[[#This Row],[CountryCode]],[1]!Table1[#All],1,FALSE)</f>
        <v>#REF!</v>
      </c>
    </row>
    <row r="6934" spans="1:12" hidden="1" x14ac:dyDescent="0.3">
      <c r="A6934" t="s">
        <v>111</v>
      </c>
      <c r="B6934" t="s">
        <v>112</v>
      </c>
      <c r="C6934" t="s">
        <v>127</v>
      </c>
      <c r="D6934" t="s">
        <v>128</v>
      </c>
      <c r="E6934">
        <v>1994</v>
      </c>
      <c r="F6934" s="1">
        <v>33862</v>
      </c>
      <c r="G6934">
        <v>1990</v>
      </c>
      <c r="H6934">
        <f>AVERAGEIFS(Table1[value],Table1[IndicatorCode],Table1[[#This Row],[IndicatorCode]])</f>
        <v>24902.88753799392</v>
      </c>
      <c r="I6934" cm="1">
        <f t="array" ref="I6934">_xlfn.STDEV.P(IF(Table1[IndicatorCode]=Table1[[#This Row],[IndicatorCode]],Table1[value]))</f>
        <v>26324.778297809873</v>
      </c>
      <c r="J6934">
        <f>(Table1[[#This Row],[value]] - Table1[[#This Row],[mean]]) / Table1[[#This Row],[std_dev]]</f>
        <v>0.3403300252200584</v>
      </c>
      <c r="K6934">
        <f>AVERAGEIF(Table1[CountryCode],Table1[[#This Row],[CountryCode]],Table1[z-score])</f>
        <v>0.37952535202791182</v>
      </c>
      <c r="L6934" t="e">
        <f>VLOOKUP(Table1[[#This Row],[CountryCode]],[1]!Table1[#All],1,FALSE)</f>
        <v>#REF!</v>
      </c>
    </row>
    <row r="6935" spans="1:12" hidden="1" x14ac:dyDescent="0.3">
      <c r="A6935" t="s">
        <v>111</v>
      </c>
      <c r="B6935" t="s">
        <v>112</v>
      </c>
      <c r="C6935" t="s">
        <v>127</v>
      </c>
      <c r="D6935" t="s">
        <v>128</v>
      </c>
      <c r="E6935">
        <v>1995</v>
      </c>
      <c r="F6935" s="1">
        <v>35064</v>
      </c>
      <c r="G6935">
        <v>1990</v>
      </c>
      <c r="H6935">
        <f>AVERAGEIFS(Table1[value],Table1[IndicatorCode],Table1[[#This Row],[IndicatorCode]])</f>
        <v>24902.88753799392</v>
      </c>
      <c r="I6935" cm="1">
        <f t="array" ref="I6935">_xlfn.STDEV.P(IF(Table1[IndicatorCode]=Table1[[#This Row],[IndicatorCode]],Table1[value]))</f>
        <v>26324.778297809873</v>
      </c>
      <c r="J6935">
        <f>(Table1[[#This Row],[value]] - Table1[[#This Row],[mean]]) / Table1[[#This Row],[std_dev]]</f>
        <v>0.38599042875325745</v>
      </c>
      <c r="K6935">
        <f>AVERAGEIF(Table1[CountryCode],Table1[[#This Row],[CountryCode]],Table1[z-score])</f>
        <v>0.37952535202791182</v>
      </c>
      <c r="L6935" t="e">
        <f>VLOOKUP(Table1[[#This Row],[CountryCode]],[1]!Table1[#All],1,FALSE)</f>
        <v>#REF!</v>
      </c>
    </row>
    <row r="6936" spans="1:12" hidden="1" x14ac:dyDescent="0.3">
      <c r="A6936" t="s">
        <v>111</v>
      </c>
      <c r="B6936" t="s">
        <v>112</v>
      </c>
      <c r="C6936" t="s">
        <v>127</v>
      </c>
      <c r="D6936" t="s">
        <v>128</v>
      </c>
      <c r="E6936">
        <v>1996</v>
      </c>
      <c r="F6936" s="1">
        <v>35605</v>
      </c>
      <c r="G6936">
        <v>1990</v>
      </c>
      <c r="H6936">
        <f>AVERAGEIFS(Table1[value],Table1[IndicatorCode],Table1[[#This Row],[IndicatorCode]])</f>
        <v>24902.88753799392</v>
      </c>
      <c r="I6936" cm="1">
        <f t="array" ref="I6936">_xlfn.STDEV.P(IF(Table1[IndicatorCode]=Table1[[#This Row],[IndicatorCode]],Table1[value]))</f>
        <v>26324.778297809873</v>
      </c>
      <c r="J6936">
        <f>(Table1[[#This Row],[value]] - Table1[[#This Row],[mean]]) / Table1[[#This Row],[std_dev]]</f>
        <v>0.40654140904565406</v>
      </c>
      <c r="K6936">
        <f>AVERAGEIF(Table1[CountryCode],Table1[[#This Row],[CountryCode]],Table1[z-score])</f>
        <v>0.37952535202791182</v>
      </c>
      <c r="L6936" t="e">
        <f>VLOOKUP(Table1[[#This Row],[CountryCode]],[1]!Table1[#All],1,FALSE)</f>
        <v>#REF!</v>
      </c>
    </row>
    <row r="6937" spans="1:12" hidden="1" x14ac:dyDescent="0.3">
      <c r="A6937" t="s">
        <v>111</v>
      </c>
      <c r="B6937" t="s">
        <v>112</v>
      </c>
      <c r="C6937" t="s">
        <v>127</v>
      </c>
      <c r="D6937" t="s">
        <v>128</v>
      </c>
      <c r="E6937">
        <v>1997</v>
      </c>
      <c r="F6937" s="1">
        <v>36676</v>
      </c>
      <c r="G6937">
        <v>2000</v>
      </c>
      <c r="H6937">
        <f>AVERAGEIFS(Table1[value],Table1[IndicatorCode],Table1[[#This Row],[IndicatorCode]])</f>
        <v>24902.88753799392</v>
      </c>
      <c r="I6937" cm="1">
        <f t="array" ref="I6937">_xlfn.STDEV.P(IF(Table1[IndicatorCode]=Table1[[#This Row],[IndicatorCode]],Table1[value]))</f>
        <v>26324.778297809873</v>
      </c>
      <c r="J6937">
        <f>(Table1[[#This Row],[value]] - Table1[[#This Row],[mean]]) / Table1[[#This Row],[std_dev]]</f>
        <v>0.44722551236017666</v>
      </c>
      <c r="K6937">
        <f>AVERAGEIF(Table1[CountryCode],Table1[[#This Row],[CountryCode]],Table1[z-score])</f>
        <v>0.37952535202791182</v>
      </c>
      <c r="L6937" t="e">
        <f>VLOOKUP(Table1[[#This Row],[CountryCode]],[1]!Table1[#All],1,FALSE)</f>
        <v>#REF!</v>
      </c>
    </row>
    <row r="6938" spans="1:12" hidden="1" x14ac:dyDescent="0.3">
      <c r="A6938" t="s">
        <v>111</v>
      </c>
      <c r="B6938" t="s">
        <v>112</v>
      </c>
      <c r="C6938" t="s">
        <v>127</v>
      </c>
      <c r="D6938" t="s">
        <v>128</v>
      </c>
      <c r="E6938">
        <v>1998</v>
      </c>
      <c r="F6938" s="1">
        <v>38212</v>
      </c>
      <c r="G6938">
        <v>2000</v>
      </c>
      <c r="H6938">
        <f>AVERAGEIFS(Table1[value],Table1[IndicatorCode],Table1[[#This Row],[IndicatorCode]])</f>
        <v>24902.88753799392</v>
      </c>
      <c r="I6938" cm="1">
        <f t="array" ref="I6938">_xlfn.STDEV.P(IF(Table1[IndicatorCode]=Table1[[#This Row],[IndicatorCode]],Table1[value]))</f>
        <v>26324.778297809873</v>
      </c>
      <c r="J6938">
        <f>(Table1[[#This Row],[value]] - Table1[[#This Row],[mean]]) / Table1[[#This Row],[std_dev]]</f>
        <v>0.5055735820997721</v>
      </c>
      <c r="K6938">
        <f>AVERAGEIF(Table1[CountryCode],Table1[[#This Row],[CountryCode]],Table1[z-score])</f>
        <v>0.37952535202791182</v>
      </c>
      <c r="L6938" t="e">
        <f>VLOOKUP(Table1[[#This Row],[CountryCode]],[1]!Table1[#All],1,FALSE)</f>
        <v>#REF!</v>
      </c>
    </row>
    <row r="6939" spans="1:12" hidden="1" x14ac:dyDescent="0.3">
      <c r="A6939" t="s">
        <v>111</v>
      </c>
      <c r="B6939" t="s">
        <v>112</v>
      </c>
      <c r="C6939" t="s">
        <v>127</v>
      </c>
      <c r="D6939" t="s">
        <v>128</v>
      </c>
      <c r="E6939">
        <v>1999</v>
      </c>
      <c r="F6939" s="1">
        <v>39786</v>
      </c>
      <c r="G6939">
        <v>2000</v>
      </c>
      <c r="H6939">
        <f>AVERAGEIFS(Table1[value],Table1[IndicatorCode],Table1[[#This Row],[IndicatorCode]])</f>
        <v>24902.88753799392</v>
      </c>
      <c r="I6939" cm="1">
        <f t="array" ref="I6939">_xlfn.STDEV.P(IF(Table1[IndicatorCode]=Table1[[#This Row],[IndicatorCode]],Table1[value]))</f>
        <v>26324.778297809873</v>
      </c>
      <c r="J6939">
        <f>(Table1[[#This Row],[value]] - Table1[[#This Row],[mean]]) / Table1[[#This Row],[std_dev]]</f>
        <v>0.56536515877302951</v>
      </c>
      <c r="K6939">
        <f>AVERAGEIF(Table1[CountryCode],Table1[[#This Row],[CountryCode]],Table1[z-score])</f>
        <v>0.37952535202791182</v>
      </c>
      <c r="L6939" t="e">
        <f>VLOOKUP(Table1[[#This Row],[CountryCode]],[1]!Table1[#All],1,FALSE)</f>
        <v>#REF!</v>
      </c>
    </row>
    <row r="6940" spans="1:12" hidden="1" x14ac:dyDescent="0.3">
      <c r="A6940" t="s">
        <v>111</v>
      </c>
      <c r="B6940" t="s">
        <v>112</v>
      </c>
      <c r="C6940" t="s">
        <v>127</v>
      </c>
      <c r="D6940" t="s">
        <v>128</v>
      </c>
      <c r="E6940">
        <v>2000</v>
      </c>
      <c r="F6940" s="1">
        <v>41562</v>
      </c>
      <c r="G6940">
        <v>2000</v>
      </c>
      <c r="H6940">
        <f>AVERAGEIFS(Table1[value],Table1[IndicatorCode],Table1[[#This Row],[IndicatorCode]])</f>
        <v>24902.88753799392</v>
      </c>
      <c r="I6940" cm="1">
        <f t="array" ref="I6940">_xlfn.STDEV.P(IF(Table1[IndicatorCode]=Table1[[#This Row],[IndicatorCode]],Table1[value]))</f>
        <v>26324.778297809873</v>
      </c>
      <c r="J6940">
        <f>(Table1[[#This Row],[value]] - Table1[[#This Row],[mean]]) / Table1[[#This Row],[std_dev]]</f>
        <v>0.63283011440943682</v>
      </c>
      <c r="K6940">
        <f>AVERAGEIF(Table1[CountryCode],Table1[[#This Row],[CountryCode]],Table1[z-score])</f>
        <v>0.37952535202791182</v>
      </c>
      <c r="L6940" t="e">
        <f>VLOOKUP(Table1[[#This Row],[CountryCode]],[1]!Table1[#All],1,FALSE)</f>
        <v>#REF!</v>
      </c>
    </row>
    <row r="6941" spans="1:12" hidden="1" x14ac:dyDescent="0.3">
      <c r="A6941" t="s">
        <v>111</v>
      </c>
      <c r="B6941" t="s">
        <v>112</v>
      </c>
      <c r="C6941" t="s">
        <v>127</v>
      </c>
      <c r="D6941" t="s">
        <v>128</v>
      </c>
      <c r="E6941">
        <v>2001</v>
      </c>
      <c r="F6941" s="1">
        <v>42014</v>
      </c>
      <c r="G6941">
        <v>2000</v>
      </c>
      <c r="H6941">
        <f>AVERAGEIFS(Table1[value],Table1[IndicatorCode],Table1[[#This Row],[IndicatorCode]])</f>
        <v>24902.88753799392</v>
      </c>
      <c r="I6941" cm="1">
        <f t="array" ref="I6941">_xlfn.STDEV.P(IF(Table1[IndicatorCode]=Table1[[#This Row],[IndicatorCode]],Table1[value]))</f>
        <v>26324.778297809873</v>
      </c>
      <c r="J6941">
        <f>(Table1[[#This Row],[value]] - Table1[[#This Row],[mean]]) / Table1[[#This Row],[std_dev]]</f>
        <v>0.65000024951509894</v>
      </c>
      <c r="K6941">
        <f>AVERAGEIF(Table1[CountryCode],Table1[[#This Row],[CountryCode]],Table1[z-score])</f>
        <v>0.37952535202791182</v>
      </c>
      <c r="L6941" t="e">
        <f>VLOOKUP(Table1[[#This Row],[CountryCode]],[1]!Table1[#All],1,FALSE)</f>
        <v>#REF!</v>
      </c>
    </row>
    <row r="6942" spans="1:12" hidden="1" x14ac:dyDescent="0.3">
      <c r="A6942" t="s">
        <v>111</v>
      </c>
      <c r="B6942" t="s">
        <v>112</v>
      </c>
      <c r="C6942" t="s">
        <v>127</v>
      </c>
      <c r="D6942" t="s">
        <v>128</v>
      </c>
      <c r="E6942">
        <v>2002</v>
      </c>
      <c r="F6942" s="1">
        <v>42832</v>
      </c>
      <c r="G6942">
        <v>2000</v>
      </c>
      <c r="H6942">
        <f>AVERAGEIFS(Table1[value],Table1[IndicatorCode],Table1[[#This Row],[IndicatorCode]])</f>
        <v>24902.88753799392</v>
      </c>
      <c r="I6942" cm="1">
        <f t="array" ref="I6942">_xlfn.STDEV.P(IF(Table1[IndicatorCode]=Table1[[#This Row],[IndicatorCode]],Table1[value]))</f>
        <v>26324.778297809873</v>
      </c>
      <c r="J6942">
        <f>(Table1[[#This Row],[value]] - Table1[[#This Row],[mean]]) / Table1[[#This Row],[std_dev]]</f>
        <v>0.68107363561339918</v>
      </c>
      <c r="K6942">
        <f>AVERAGEIF(Table1[CountryCode],Table1[[#This Row],[CountryCode]],Table1[z-score])</f>
        <v>0.37952535202791182</v>
      </c>
      <c r="L6942" t="e">
        <f>VLOOKUP(Table1[[#This Row],[CountryCode]],[1]!Table1[#All],1,FALSE)</f>
        <v>#REF!</v>
      </c>
    </row>
    <row r="6943" spans="1:12" hidden="1" x14ac:dyDescent="0.3">
      <c r="A6943" t="s">
        <v>111</v>
      </c>
      <c r="B6943" t="s">
        <v>112</v>
      </c>
      <c r="C6943" t="s">
        <v>127</v>
      </c>
      <c r="D6943" t="s">
        <v>128</v>
      </c>
      <c r="E6943">
        <v>2003</v>
      </c>
      <c r="F6943" s="1">
        <v>43475</v>
      </c>
      <c r="G6943">
        <v>2000</v>
      </c>
      <c r="H6943">
        <f>AVERAGEIFS(Table1[value],Table1[IndicatorCode],Table1[[#This Row],[IndicatorCode]])</f>
        <v>24902.88753799392</v>
      </c>
      <c r="I6943" cm="1">
        <f t="array" ref="I6943">_xlfn.STDEV.P(IF(Table1[IndicatorCode]=Table1[[#This Row],[IndicatorCode]],Table1[value]))</f>
        <v>26324.778297809873</v>
      </c>
      <c r="J6943">
        <f>(Table1[[#This Row],[value]] - Table1[[#This Row],[mean]]) / Table1[[#This Row],[std_dev]]</f>
        <v>0.70549929241194076</v>
      </c>
      <c r="K6943">
        <f>AVERAGEIF(Table1[CountryCode],Table1[[#This Row],[CountryCode]],Table1[z-score])</f>
        <v>0.37952535202791182</v>
      </c>
      <c r="L6943" t="e">
        <f>VLOOKUP(Table1[[#This Row],[CountryCode]],[1]!Table1[#All],1,FALSE)</f>
        <v>#REF!</v>
      </c>
    </row>
    <row r="6944" spans="1:12" hidden="1" x14ac:dyDescent="0.3">
      <c r="A6944" t="s">
        <v>111</v>
      </c>
      <c r="B6944" t="s">
        <v>112</v>
      </c>
      <c r="C6944" t="s">
        <v>127</v>
      </c>
      <c r="D6944" t="s">
        <v>128</v>
      </c>
      <c r="E6944">
        <v>2004</v>
      </c>
      <c r="F6944" s="1">
        <v>45115</v>
      </c>
      <c r="G6944">
        <v>2000</v>
      </c>
      <c r="H6944">
        <f>AVERAGEIFS(Table1[value],Table1[IndicatorCode],Table1[[#This Row],[IndicatorCode]])</f>
        <v>24902.88753799392</v>
      </c>
      <c r="I6944" cm="1">
        <f t="array" ref="I6944">_xlfn.STDEV.P(IF(Table1[IndicatorCode]=Table1[[#This Row],[IndicatorCode]],Table1[value]))</f>
        <v>26324.778297809873</v>
      </c>
      <c r="J6944">
        <f>(Table1[[#This Row],[value]] - Table1[[#This Row],[mean]]) / Table1[[#This Row],[std_dev]]</f>
        <v>0.76779801270682135</v>
      </c>
      <c r="K6944">
        <f>AVERAGEIF(Table1[CountryCode],Table1[[#This Row],[CountryCode]],Table1[z-score])</f>
        <v>0.37952535202791182</v>
      </c>
      <c r="L6944" t="e">
        <f>VLOOKUP(Table1[[#This Row],[CountryCode]],[1]!Table1[#All],1,FALSE)</f>
        <v>#REF!</v>
      </c>
    </row>
    <row r="6945" spans="1:12" hidden="1" x14ac:dyDescent="0.3">
      <c r="A6945" t="s">
        <v>111</v>
      </c>
      <c r="B6945" t="s">
        <v>112</v>
      </c>
      <c r="C6945" t="s">
        <v>127</v>
      </c>
      <c r="D6945" t="s">
        <v>128</v>
      </c>
      <c r="E6945">
        <v>2005</v>
      </c>
      <c r="F6945" s="1">
        <v>46190</v>
      </c>
      <c r="G6945">
        <v>2000</v>
      </c>
      <c r="H6945">
        <f>AVERAGEIFS(Table1[value],Table1[IndicatorCode],Table1[[#This Row],[IndicatorCode]])</f>
        <v>24902.88753799392</v>
      </c>
      <c r="I6945" cm="1">
        <f t="array" ref="I6945">_xlfn.STDEV.P(IF(Table1[IndicatorCode]=Table1[[#This Row],[IndicatorCode]],Table1[value]))</f>
        <v>26324.778297809873</v>
      </c>
      <c r="J6945">
        <f>(Table1[[#This Row],[value]] - Table1[[#This Row],[mean]]) / Table1[[#This Row],[std_dev]]</f>
        <v>0.80863406411962413</v>
      </c>
      <c r="K6945">
        <f>AVERAGEIF(Table1[CountryCode],Table1[[#This Row],[CountryCode]],Table1[z-score])</f>
        <v>0.37952535202791182</v>
      </c>
      <c r="L6945" t="e">
        <f>VLOOKUP(Table1[[#This Row],[CountryCode]],[1]!Table1[#All],1,FALSE)</f>
        <v>#REF!</v>
      </c>
    </row>
    <row r="6946" spans="1:12" hidden="1" x14ac:dyDescent="0.3">
      <c r="A6946" t="s">
        <v>111</v>
      </c>
      <c r="B6946" t="s">
        <v>112</v>
      </c>
      <c r="C6946" t="s">
        <v>127</v>
      </c>
      <c r="D6946" t="s">
        <v>128</v>
      </c>
      <c r="E6946">
        <v>2006</v>
      </c>
      <c r="F6946" s="1">
        <v>48078</v>
      </c>
      <c r="G6946">
        <v>2000</v>
      </c>
      <c r="H6946">
        <f>AVERAGEIFS(Table1[value],Table1[IndicatorCode],Table1[[#This Row],[IndicatorCode]])</f>
        <v>24902.88753799392</v>
      </c>
      <c r="I6946" cm="1">
        <f t="array" ref="I6946">_xlfn.STDEV.P(IF(Table1[IndicatorCode]=Table1[[#This Row],[IndicatorCode]],Table1[value]))</f>
        <v>26324.778297809873</v>
      </c>
      <c r="J6946">
        <f>(Table1[[#This Row],[value]] - Table1[[#This Row],[mean]]) / Table1[[#This Row],[std_dev]]</f>
        <v>0.88035356650787699</v>
      </c>
      <c r="K6946">
        <f>AVERAGEIF(Table1[CountryCode],Table1[[#This Row],[CountryCode]],Table1[z-score])</f>
        <v>0.37952535202791182</v>
      </c>
      <c r="L6946" t="e">
        <f>VLOOKUP(Table1[[#This Row],[CountryCode]],[1]!Table1[#All],1,FALSE)</f>
        <v>#REF!</v>
      </c>
    </row>
    <row r="6947" spans="1:12" hidden="1" x14ac:dyDescent="0.3">
      <c r="A6947" t="s">
        <v>111</v>
      </c>
      <c r="B6947" t="s">
        <v>112</v>
      </c>
      <c r="C6947" t="s">
        <v>127</v>
      </c>
      <c r="D6947" t="s">
        <v>128</v>
      </c>
      <c r="E6947">
        <v>2007</v>
      </c>
      <c r="F6947" s="1">
        <v>49262</v>
      </c>
      <c r="G6947">
        <v>2010</v>
      </c>
      <c r="H6947">
        <f>AVERAGEIFS(Table1[value],Table1[IndicatorCode],Table1[[#This Row],[IndicatorCode]])</f>
        <v>24902.88753799392</v>
      </c>
      <c r="I6947" cm="1">
        <f t="array" ref="I6947">_xlfn.STDEV.P(IF(Table1[IndicatorCode]=Table1[[#This Row],[IndicatorCode]],Table1[value]))</f>
        <v>26324.778297809873</v>
      </c>
      <c r="J6947">
        <f>(Table1[[#This Row],[value]] - Table1[[#This Row],[mean]]) / Table1[[#This Row],[std_dev]]</f>
        <v>0.92533020359881513</v>
      </c>
      <c r="K6947">
        <f>AVERAGEIF(Table1[CountryCode],Table1[[#This Row],[CountryCode]],Table1[z-score])</f>
        <v>0.37952535202791182</v>
      </c>
      <c r="L6947" t="e">
        <f>VLOOKUP(Table1[[#This Row],[CountryCode]],[1]!Table1[#All],1,FALSE)</f>
        <v>#REF!</v>
      </c>
    </row>
    <row r="6948" spans="1:12" hidden="1" x14ac:dyDescent="0.3">
      <c r="A6948" t="s">
        <v>111</v>
      </c>
      <c r="B6948" t="s">
        <v>112</v>
      </c>
      <c r="C6948" t="s">
        <v>127</v>
      </c>
      <c r="D6948" t="s">
        <v>128</v>
      </c>
      <c r="E6948">
        <v>2008</v>
      </c>
      <c r="F6948" s="1">
        <v>48429</v>
      </c>
      <c r="G6948">
        <v>2010</v>
      </c>
      <c r="H6948">
        <f>AVERAGEIFS(Table1[value],Table1[IndicatorCode],Table1[[#This Row],[IndicatorCode]])</f>
        <v>24902.88753799392</v>
      </c>
      <c r="I6948" cm="1">
        <f t="array" ref="I6948">_xlfn.STDEV.P(IF(Table1[IndicatorCode]=Table1[[#This Row],[IndicatorCode]],Table1[value]))</f>
        <v>26324.778297809873</v>
      </c>
      <c r="J6948">
        <f>(Table1[[#This Row],[value]] - Table1[[#This Row],[mean]]) / Table1[[#This Row],[std_dev]]</f>
        <v>0.89368701213196422</v>
      </c>
      <c r="K6948">
        <f>AVERAGEIF(Table1[CountryCode],Table1[[#This Row],[CountryCode]],Table1[z-score])</f>
        <v>0.37952535202791182</v>
      </c>
      <c r="L6948" t="e">
        <f>VLOOKUP(Table1[[#This Row],[CountryCode]],[1]!Table1[#All],1,FALSE)</f>
        <v>#REF!</v>
      </c>
    </row>
    <row r="6949" spans="1:12" hidden="1" x14ac:dyDescent="0.3">
      <c r="A6949" t="s">
        <v>111</v>
      </c>
      <c r="B6949" t="s">
        <v>112</v>
      </c>
      <c r="C6949" t="s">
        <v>127</v>
      </c>
      <c r="D6949" t="s">
        <v>128</v>
      </c>
      <c r="E6949">
        <v>2009</v>
      </c>
      <c r="F6949" s="1">
        <v>45974</v>
      </c>
      <c r="G6949">
        <v>2010</v>
      </c>
      <c r="H6949">
        <f>AVERAGEIFS(Table1[value],Table1[IndicatorCode],Table1[[#This Row],[IndicatorCode]])</f>
        <v>24902.88753799392</v>
      </c>
      <c r="I6949" cm="1">
        <f t="array" ref="I6949">_xlfn.STDEV.P(IF(Table1[IndicatorCode]=Table1[[#This Row],[IndicatorCode]],Table1[value]))</f>
        <v>26324.778297809873</v>
      </c>
      <c r="J6949">
        <f>(Table1[[#This Row],[value]] - Table1[[#This Row],[mean]]) / Table1[[#This Row],[std_dev]]</f>
        <v>0.80042886681249359</v>
      </c>
      <c r="K6949">
        <f>AVERAGEIF(Table1[CountryCode],Table1[[#This Row],[CountryCode]],Table1[z-score])</f>
        <v>0.37952535202791182</v>
      </c>
      <c r="L6949" t="e">
        <f>VLOOKUP(Table1[[#This Row],[CountryCode]],[1]!Table1[#All],1,FALSE)</f>
        <v>#REF!</v>
      </c>
    </row>
    <row r="6950" spans="1:12" hidden="1" x14ac:dyDescent="0.3">
      <c r="A6950" t="s">
        <v>111</v>
      </c>
      <c r="B6950" t="s">
        <v>112</v>
      </c>
      <c r="C6950" t="s">
        <v>127</v>
      </c>
      <c r="D6950" t="s">
        <v>128</v>
      </c>
      <c r="E6950">
        <v>2010</v>
      </c>
      <c r="F6950" s="1">
        <v>48206</v>
      </c>
      <c r="G6950">
        <v>2010</v>
      </c>
      <c r="H6950">
        <f>AVERAGEIFS(Table1[value],Table1[IndicatorCode],Table1[[#This Row],[IndicatorCode]])</f>
        <v>24902.88753799392</v>
      </c>
      <c r="I6950" cm="1">
        <f t="array" ref="I6950">_xlfn.STDEV.P(IF(Table1[IndicatorCode]=Table1[[#This Row],[IndicatorCode]],Table1[value]))</f>
        <v>26324.778297809873</v>
      </c>
      <c r="J6950">
        <f>(Table1[[#This Row],[value]] - Table1[[#This Row],[mean]]) / Table1[[#This Row],[std_dev]]</f>
        <v>0.88521590565284325</v>
      </c>
      <c r="K6950">
        <f>AVERAGEIF(Table1[CountryCode],Table1[[#This Row],[CountryCode]],Table1[z-score])</f>
        <v>0.37952535202791182</v>
      </c>
      <c r="L6950" t="e">
        <f>VLOOKUP(Table1[[#This Row],[CountryCode]],[1]!Table1[#All],1,FALSE)</f>
        <v>#REF!</v>
      </c>
    </row>
    <row r="6951" spans="1:12" hidden="1" x14ac:dyDescent="0.3">
      <c r="A6951" t="s">
        <v>111</v>
      </c>
      <c r="B6951" t="s">
        <v>112</v>
      </c>
      <c r="C6951" t="s">
        <v>127</v>
      </c>
      <c r="D6951" t="s">
        <v>128</v>
      </c>
      <c r="E6951">
        <v>2011</v>
      </c>
      <c r="F6951" s="1">
        <v>49357</v>
      </c>
      <c r="G6951">
        <v>2010</v>
      </c>
      <c r="H6951">
        <f>AVERAGEIFS(Table1[value],Table1[IndicatorCode],Table1[[#This Row],[IndicatorCode]])</f>
        <v>24902.88753799392</v>
      </c>
      <c r="I6951" cm="1">
        <f t="array" ref="I6951">_xlfn.STDEV.P(IF(Table1[IndicatorCode]=Table1[[#This Row],[IndicatorCode]],Table1[value]))</f>
        <v>26324.778297809873</v>
      </c>
      <c r="J6951">
        <f>(Table1[[#This Row],[value]] - Table1[[#This Row],[mean]]) / Table1[[#This Row],[std_dev]]</f>
        <v>0.92893897093296984</v>
      </c>
      <c r="K6951">
        <f>AVERAGEIF(Table1[CountryCode],Table1[[#This Row],[CountryCode]],Table1[z-score])</f>
        <v>0.37952535202791182</v>
      </c>
      <c r="L6951" t="e">
        <f>VLOOKUP(Table1[[#This Row],[CountryCode]],[1]!Table1[#All],1,FALSE)</f>
        <v>#REF!</v>
      </c>
    </row>
    <row r="6952" spans="1:12" hidden="1" x14ac:dyDescent="0.3">
      <c r="A6952" t="s">
        <v>111</v>
      </c>
      <c r="B6952" t="s">
        <v>112</v>
      </c>
      <c r="C6952" t="s">
        <v>127</v>
      </c>
      <c r="D6952" t="s">
        <v>128</v>
      </c>
      <c r="E6952">
        <v>2012</v>
      </c>
      <c r="F6952" s="1">
        <v>48790</v>
      </c>
      <c r="G6952">
        <v>2010</v>
      </c>
      <c r="H6952">
        <f>AVERAGEIFS(Table1[value],Table1[IndicatorCode],Table1[[#This Row],[IndicatorCode]])</f>
        <v>24902.88753799392</v>
      </c>
      <c r="I6952" cm="1">
        <f t="array" ref="I6952">_xlfn.STDEV.P(IF(Table1[IndicatorCode]=Table1[[#This Row],[IndicatorCode]],Table1[value]))</f>
        <v>26324.778297809873</v>
      </c>
      <c r="J6952">
        <f>(Table1[[#This Row],[value]] - Table1[[#This Row],[mean]]) / Table1[[#This Row],[std_dev]]</f>
        <v>0.90740032800175197</v>
      </c>
      <c r="K6952">
        <f>AVERAGEIF(Table1[CountryCode],Table1[[#This Row],[CountryCode]],Table1[z-score])</f>
        <v>0.37952535202791182</v>
      </c>
      <c r="L6952" t="e">
        <f>VLOOKUP(Table1[[#This Row],[CountryCode]],[1]!Table1[#All],1,FALSE)</f>
        <v>#REF!</v>
      </c>
    </row>
    <row r="6953" spans="1:12" hidden="1" x14ac:dyDescent="0.3">
      <c r="A6953" t="s">
        <v>111</v>
      </c>
      <c r="B6953" t="s">
        <v>112</v>
      </c>
      <c r="C6953" t="s">
        <v>127</v>
      </c>
      <c r="D6953" t="s">
        <v>128</v>
      </c>
      <c r="E6953">
        <v>2013</v>
      </c>
      <c r="F6953" s="1">
        <v>48928</v>
      </c>
      <c r="G6953">
        <v>2010</v>
      </c>
      <c r="H6953">
        <f>AVERAGEIFS(Table1[value],Table1[IndicatorCode],Table1[[#This Row],[IndicatorCode]])</f>
        <v>24902.88753799392</v>
      </c>
      <c r="I6953" cm="1">
        <f t="array" ref="I6953">_xlfn.STDEV.P(IF(Table1[IndicatorCode]=Table1[[#This Row],[IndicatorCode]],Table1[value]))</f>
        <v>26324.778297809873</v>
      </c>
      <c r="J6953">
        <f>(Table1[[#This Row],[value]] - Table1[[#This Row],[mean]]) / Table1[[#This Row],[std_dev]]</f>
        <v>0.91264253739241874</v>
      </c>
      <c r="K6953">
        <f>AVERAGEIF(Table1[CountryCode],Table1[[#This Row],[CountryCode]],Table1[z-score])</f>
        <v>0.37952535202791182</v>
      </c>
      <c r="L6953" t="e">
        <f>VLOOKUP(Table1[[#This Row],[CountryCode]],[1]!Table1[#All],1,FALSE)</f>
        <v>#REF!</v>
      </c>
    </row>
    <row r="6954" spans="1:12" hidden="1" x14ac:dyDescent="0.3">
      <c r="A6954" t="s">
        <v>111</v>
      </c>
      <c r="B6954" t="s">
        <v>112</v>
      </c>
      <c r="C6954" t="s">
        <v>127</v>
      </c>
      <c r="D6954" t="s">
        <v>128</v>
      </c>
      <c r="E6954">
        <v>2014</v>
      </c>
      <c r="F6954" s="1">
        <v>49558</v>
      </c>
      <c r="G6954">
        <v>2010</v>
      </c>
      <c r="H6954">
        <f>AVERAGEIFS(Table1[value],Table1[IndicatorCode],Table1[[#This Row],[IndicatorCode]])</f>
        <v>24902.88753799392</v>
      </c>
      <c r="I6954" cm="1">
        <f t="array" ref="I6954">_xlfn.STDEV.P(IF(Table1[IndicatorCode]=Table1[[#This Row],[IndicatorCode]],Table1[value]))</f>
        <v>26324.778297809873</v>
      </c>
      <c r="J6954">
        <f>(Table1[[#This Row],[value]] - Table1[[#This Row],[mean]]) / Table1[[#This Row],[std_dev]]</f>
        <v>0.93657436287154971</v>
      </c>
      <c r="K6954">
        <f>AVERAGEIF(Table1[CountryCode],Table1[[#This Row],[CountryCode]],Table1[z-score])</f>
        <v>0.37952535202791182</v>
      </c>
      <c r="L6954" t="e">
        <f>VLOOKUP(Table1[[#This Row],[CountryCode]],[1]!Table1[#All],1,FALSE)</f>
        <v>#REF!</v>
      </c>
    </row>
    <row r="6955" spans="1:12" hidden="1" x14ac:dyDescent="0.3">
      <c r="A6955" t="s">
        <v>111</v>
      </c>
      <c r="B6955" t="s">
        <v>112</v>
      </c>
      <c r="C6955" t="s">
        <v>127</v>
      </c>
      <c r="D6955" t="s">
        <v>128</v>
      </c>
      <c r="E6955">
        <v>2015</v>
      </c>
      <c r="F6955" s="1">
        <v>51188</v>
      </c>
      <c r="G6955">
        <v>2010</v>
      </c>
      <c r="H6955">
        <f>AVERAGEIFS(Table1[value],Table1[IndicatorCode],Table1[[#This Row],[IndicatorCode]])</f>
        <v>24902.88753799392</v>
      </c>
      <c r="I6955" cm="1">
        <f t="array" ref="I6955">_xlfn.STDEV.P(IF(Table1[IndicatorCode]=Table1[[#This Row],[IndicatorCode]],Table1[value]))</f>
        <v>26324.778297809873</v>
      </c>
      <c r="J6955">
        <f>(Table1[[#This Row],[value]] - Table1[[#This Row],[mean]]) / Table1[[#This Row],[std_dev]]</f>
        <v>0.99849321292072979</v>
      </c>
      <c r="K6955">
        <f>AVERAGEIF(Table1[CountryCode],Table1[[#This Row],[CountryCode]],Table1[z-score])</f>
        <v>0.37952535202791182</v>
      </c>
      <c r="L6955" t="e">
        <f>VLOOKUP(Table1[[#This Row],[CountryCode]],[1]!Table1[#All],1,FALSE)</f>
        <v>#REF!</v>
      </c>
    </row>
    <row r="6956" spans="1:12" hidden="1" x14ac:dyDescent="0.3">
      <c r="A6956" t="s">
        <v>111</v>
      </c>
      <c r="B6956" t="s">
        <v>112</v>
      </c>
      <c r="C6956" t="s">
        <v>127</v>
      </c>
      <c r="D6956" t="s">
        <v>128</v>
      </c>
      <c r="E6956">
        <v>2016</v>
      </c>
      <c r="F6956" s="1">
        <v>51626</v>
      </c>
      <c r="G6956">
        <v>2010</v>
      </c>
      <c r="H6956">
        <f>AVERAGEIFS(Table1[value],Table1[IndicatorCode],Table1[[#This Row],[IndicatorCode]])</f>
        <v>24902.88753799392</v>
      </c>
      <c r="I6956" cm="1">
        <f t="array" ref="I6956">_xlfn.STDEV.P(IF(Table1[IndicatorCode]=Table1[[#This Row],[IndicatorCode]],Table1[value]))</f>
        <v>26324.778297809873</v>
      </c>
      <c r="J6956">
        <f>(Table1[[#This Row],[value]] - Table1[[#This Row],[mean]]) / Table1[[#This Row],[std_dev]]</f>
        <v>1.0151315296824113</v>
      </c>
      <c r="K6956">
        <f>AVERAGEIF(Table1[CountryCode],Table1[[#This Row],[CountryCode]],Table1[z-score])</f>
        <v>0.37952535202791182</v>
      </c>
      <c r="L6956" t="e">
        <f>VLOOKUP(Table1[[#This Row],[CountryCode]],[1]!Table1[#All],1,FALSE)</f>
        <v>#REF!</v>
      </c>
    </row>
    <row r="6957" spans="1:12" hidden="1" x14ac:dyDescent="0.3">
      <c r="A6957" t="s">
        <v>111</v>
      </c>
      <c r="B6957" t="s">
        <v>112</v>
      </c>
      <c r="C6957" t="s">
        <v>127</v>
      </c>
      <c r="D6957" t="s">
        <v>128</v>
      </c>
      <c r="E6957">
        <v>2017</v>
      </c>
      <c r="F6957" s="1">
        <v>51894</v>
      </c>
      <c r="G6957">
        <v>2020</v>
      </c>
      <c r="H6957">
        <f>AVERAGEIFS(Table1[value],Table1[IndicatorCode],Table1[[#This Row],[IndicatorCode]])</f>
        <v>24902.88753799392</v>
      </c>
      <c r="I6957" cm="1">
        <f t="array" ref="I6957">_xlfn.STDEV.P(IF(Table1[IndicatorCode]=Table1[[#This Row],[IndicatorCode]],Table1[value]))</f>
        <v>26324.778297809873</v>
      </c>
      <c r="J6957">
        <f>(Table1[[#This Row],[value]] - Table1[[#This Row],[mean]]) / Table1[[#This Row],[std_dev]]</f>
        <v>1.0253120522671846</v>
      </c>
      <c r="K6957">
        <f>AVERAGEIF(Table1[CountryCode],Table1[[#This Row],[CountryCode]],Table1[z-score])</f>
        <v>0.37952535202791182</v>
      </c>
      <c r="L6957" t="e">
        <f>VLOOKUP(Table1[[#This Row],[CountryCode]],[1]!Table1[#All],1,FALSE)</f>
        <v>#REF!</v>
      </c>
    </row>
    <row r="6958" spans="1:12" hidden="1" x14ac:dyDescent="0.3">
      <c r="A6958" t="s">
        <v>111</v>
      </c>
      <c r="B6958" t="s">
        <v>112</v>
      </c>
      <c r="C6958" t="s">
        <v>127</v>
      </c>
      <c r="D6958" t="s">
        <v>128</v>
      </c>
      <c r="E6958">
        <v>2018</v>
      </c>
      <c r="F6958" s="1">
        <v>52203</v>
      </c>
      <c r="G6958">
        <v>2020</v>
      </c>
      <c r="H6958">
        <f>AVERAGEIFS(Table1[value],Table1[IndicatorCode],Table1[[#This Row],[IndicatorCode]])</f>
        <v>24902.88753799392</v>
      </c>
      <c r="I6958" cm="1">
        <f t="array" ref="I6958">_xlfn.STDEV.P(IF(Table1[IndicatorCode]=Table1[[#This Row],[IndicatorCode]],Table1[value]))</f>
        <v>26324.778297809873</v>
      </c>
      <c r="J6958">
        <f>(Table1[[#This Row],[value]] - Table1[[#This Row],[mean]]) / Table1[[#This Row],[std_dev]]</f>
        <v>1.0370500428593297</v>
      </c>
      <c r="K6958">
        <f>AVERAGEIF(Table1[CountryCode],Table1[[#This Row],[CountryCode]],Table1[z-score])</f>
        <v>0.37952535202791182</v>
      </c>
      <c r="L6958" t="e">
        <f>VLOOKUP(Table1[[#This Row],[CountryCode]],[1]!Table1[#All],1,FALSE)</f>
        <v>#REF!</v>
      </c>
    </row>
    <row r="6959" spans="1:12" hidden="1" x14ac:dyDescent="0.3">
      <c r="A6959" t="s">
        <v>111</v>
      </c>
      <c r="B6959" t="s">
        <v>112</v>
      </c>
      <c r="C6959" t="s">
        <v>127</v>
      </c>
      <c r="D6959" t="s">
        <v>128</v>
      </c>
      <c r="E6959">
        <v>2019</v>
      </c>
      <c r="F6959" s="1">
        <v>53024</v>
      </c>
      <c r="G6959">
        <v>2020</v>
      </c>
      <c r="H6959">
        <f>AVERAGEIFS(Table1[value],Table1[IndicatorCode],Table1[[#This Row],[IndicatorCode]])</f>
        <v>24902.88753799392</v>
      </c>
      <c r="I6959" cm="1">
        <f t="array" ref="I6959">_xlfn.STDEV.P(IF(Table1[IndicatorCode]=Table1[[#This Row],[IndicatorCode]],Table1[value]))</f>
        <v>26324.778297809873</v>
      </c>
      <c r="J6959">
        <f>(Table1[[#This Row],[value]] - Table1[[#This Row],[mean]]) / Table1[[#This Row],[std_dev]]</f>
        <v>1.06823739003134</v>
      </c>
      <c r="K6959">
        <f>AVERAGEIF(Table1[CountryCode],Table1[[#This Row],[CountryCode]],Table1[z-score])</f>
        <v>0.37952535202791182</v>
      </c>
      <c r="L6959" t="e">
        <f>VLOOKUP(Table1[[#This Row],[CountryCode]],[1]!Table1[#All],1,FALSE)</f>
        <v>#REF!</v>
      </c>
    </row>
    <row r="6960" spans="1:12" x14ac:dyDescent="0.3">
      <c r="A6960" t="s">
        <v>29</v>
      </c>
      <c r="B6960" t="s">
        <v>30</v>
      </c>
      <c r="C6960" t="s">
        <v>127</v>
      </c>
      <c r="D6960" t="s">
        <v>128</v>
      </c>
      <c r="E6960">
        <v>2020</v>
      </c>
      <c r="F6960" s="1">
        <v>58637</v>
      </c>
      <c r="G6960">
        <v>2020</v>
      </c>
      <c r="H6960">
        <f>AVERAGEIFS(Table1[value],Table1[IndicatorCode],Table1[[#This Row],[IndicatorCode]])</f>
        <v>24902.88753799392</v>
      </c>
      <c r="I6960" cm="1">
        <f t="array" ref="I6960">_xlfn.STDEV.P(IF(Table1[IndicatorCode]=Table1[[#This Row],[IndicatorCode]],Table1[value]))</f>
        <v>26324.778297809873</v>
      </c>
      <c r="J6960">
        <f>(Table1[[#This Row],[value]] - Table1[[#This Row],[mean]]) / Table1[[#This Row],[std_dev]]</f>
        <v>1.2814585589430258</v>
      </c>
      <c r="K6960">
        <f>AVERAGEIF(Table1[CountryCode],Table1[[#This Row],[CountryCode]],Table1[z-score])</f>
        <v>0.62183816728032393</v>
      </c>
    </row>
    <row r="6961" spans="1:12" hidden="1" x14ac:dyDescent="0.3">
      <c r="A6961" t="s">
        <v>111</v>
      </c>
      <c r="B6961" t="s">
        <v>112</v>
      </c>
      <c r="C6961" t="s">
        <v>127</v>
      </c>
      <c r="D6961" t="s">
        <v>128</v>
      </c>
      <c r="E6961">
        <v>2021</v>
      </c>
      <c r="F6961" s="1">
        <v>53997</v>
      </c>
      <c r="G6961">
        <v>2020</v>
      </c>
      <c r="H6961">
        <f>AVERAGEIFS(Table1[value],Table1[IndicatorCode],Table1[[#This Row],[IndicatorCode]])</f>
        <v>24902.88753799392</v>
      </c>
      <c r="I6961" cm="1">
        <f t="array" ref="I6961">_xlfn.STDEV.P(IF(Table1[IndicatorCode]=Table1[[#This Row],[IndicatorCode]],Table1[value]))</f>
        <v>26324.778297809873</v>
      </c>
      <c r="J6961">
        <f>(Table1[[#This Row],[value]] - Table1[[#This Row],[mean]]) / Table1[[#This Row],[std_dev]]</f>
        <v>1.1051987649379977</v>
      </c>
      <c r="K6961">
        <f>AVERAGEIF(Table1[CountryCode],Table1[[#This Row],[CountryCode]],Table1[z-score])</f>
        <v>0.37952535202791182</v>
      </c>
      <c r="L6961" t="e">
        <f>VLOOKUP(Table1[[#This Row],[CountryCode]],[1]!Table1[#All],1,FALSE)</f>
        <v>#REF!</v>
      </c>
    </row>
    <row r="6962" spans="1:12" hidden="1" x14ac:dyDescent="0.3">
      <c r="A6962" t="s">
        <v>111</v>
      </c>
      <c r="B6962" t="s">
        <v>112</v>
      </c>
      <c r="C6962" t="s">
        <v>127</v>
      </c>
      <c r="D6962" t="s">
        <v>128</v>
      </c>
      <c r="E6962">
        <v>2022</v>
      </c>
      <c r="F6962" s="1">
        <v>54304</v>
      </c>
      <c r="G6962">
        <v>1980</v>
      </c>
      <c r="H6962">
        <f>AVERAGEIFS(Table1[value],Table1[IndicatorCode],Table1[[#This Row],[IndicatorCode]])</f>
        <v>24902.88753799392</v>
      </c>
      <c r="I6962" cm="1">
        <f t="array" ref="I6962">_xlfn.STDEV.P(IF(Table1[IndicatorCode]=Table1[[#This Row],[IndicatorCode]],Table1[value]))</f>
        <v>26324.778297809873</v>
      </c>
      <c r="J6962">
        <f>(Table1[[#This Row],[value]] - Table1[[#This Row],[mean]]) / Table1[[#This Row],[std_dev]]</f>
        <v>1.116860781481003</v>
      </c>
      <c r="K6962">
        <f>AVERAGEIF(Table1[CountryCode],Table1[[#This Row],[CountryCode]],Table1[z-score])</f>
        <v>0.37952535202791182</v>
      </c>
      <c r="L6962" t="e">
        <f>VLOOKUP(Table1[[#This Row],[CountryCode]],[1]!Table1[#All],1,FALSE)</f>
        <v>#REF!</v>
      </c>
    </row>
    <row r="6963" spans="1:12" hidden="1" x14ac:dyDescent="0.3">
      <c r="A6963" t="s">
        <v>111</v>
      </c>
      <c r="B6963" t="s">
        <v>112</v>
      </c>
      <c r="C6963" t="s">
        <v>127</v>
      </c>
      <c r="D6963" t="s">
        <v>128</v>
      </c>
      <c r="E6963">
        <v>2023</v>
      </c>
      <c r="F6963" s="1">
        <v>53938</v>
      </c>
      <c r="G6963">
        <v>1980</v>
      </c>
      <c r="H6963">
        <f>AVERAGEIFS(Table1[value],Table1[IndicatorCode],Table1[[#This Row],[IndicatorCode]])</f>
        <v>24902.88753799392</v>
      </c>
      <c r="I6963" cm="1">
        <f t="array" ref="I6963">_xlfn.STDEV.P(IF(Table1[IndicatorCode]=Table1[[#This Row],[IndicatorCode]],Table1[value]))</f>
        <v>26324.778297809873</v>
      </c>
      <c r="J6963">
        <f>(Table1[[#This Row],[value]] - Table1[[#This Row],[mean]]) / Table1[[#This Row],[std_dev]]</f>
        <v>1.102957530488365</v>
      </c>
      <c r="K6963">
        <f>AVERAGEIF(Table1[CountryCode],Table1[[#This Row],[CountryCode]],Table1[z-score])</f>
        <v>0.37952535202791182</v>
      </c>
      <c r="L6963" t="e">
        <f>VLOOKUP(Table1[[#This Row],[CountryCode]],[1]!Table1[#All],1,FALSE)</f>
        <v>#REF!</v>
      </c>
    </row>
    <row r="6964" spans="1:12" hidden="1" x14ac:dyDescent="0.3">
      <c r="A6964" t="s">
        <v>111</v>
      </c>
      <c r="B6964" t="s">
        <v>112</v>
      </c>
      <c r="C6964" t="s">
        <v>127</v>
      </c>
      <c r="D6964" t="s">
        <v>128</v>
      </c>
      <c r="E6964">
        <v>2024</v>
      </c>
      <c r="F6964" s="1">
        <v>54210</v>
      </c>
      <c r="G6964">
        <v>1980</v>
      </c>
      <c r="H6964">
        <f>AVERAGEIFS(Table1[value],Table1[IndicatorCode],Table1[[#This Row],[IndicatorCode]])</f>
        <v>24902.88753799392</v>
      </c>
      <c r="I6964" cm="1">
        <f t="array" ref="I6964">_xlfn.STDEV.P(IF(Table1[IndicatorCode]=Table1[[#This Row],[IndicatorCode]],Table1[value]))</f>
        <v>26324.778297809873</v>
      </c>
      <c r="J6964">
        <f>(Table1[[#This Row],[value]] - Table1[[#This Row],[mean]]) / Table1[[#This Row],[std_dev]]</f>
        <v>1.1132900011714182</v>
      </c>
      <c r="K6964">
        <f>AVERAGEIF(Table1[CountryCode],Table1[[#This Row],[CountryCode]],Table1[z-score])</f>
        <v>0.37952535202791182</v>
      </c>
      <c r="L6964" t="e">
        <f>VLOOKUP(Table1[[#This Row],[CountryCode]],[1]!Table1[#All],1,FALSE)</f>
        <v>#REF!</v>
      </c>
    </row>
    <row r="6965" spans="1:12" hidden="1" x14ac:dyDescent="0.3">
      <c r="A6965" t="s">
        <v>113</v>
      </c>
      <c r="B6965" t="s">
        <v>114</v>
      </c>
      <c r="C6965" t="s">
        <v>127</v>
      </c>
      <c r="D6965" t="s">
        <v>128</v>
      </c>
      <c r="E6965">
        <v>1985</v>
      </c>
      <c r="F6965" s="1">
        <v>1418</v>
      </c>
      <c r="G6965">
        <v>1980</v>
      </c>
      <c r="H6965">
        <f>AVERAGEIFS(Table1[value],Table1[IndicatorCode],Table1[[#This Row],[IndicatorCode]])</f>
        <v>24902.88753799392</v>
      </c>
      <c r="I6965" cm="1">
        <f t="array" ref="I6965">_xlfn.STDEV.P(IF(Table1[IndicatorCode]=Table1[[#This Row],[IndicatorCode]],Table1[value]))</f>
        <v>26324.778297809873</v>
      </c>
      <c r="J6965">
        <f>(Table1[[#This Row],[value]] - Table1[[#This Row],[mean]]) / Table1[[#This Row],[std_dev]]</f>
        <v>-0.89212099993061589</v>
      </c>
      <c r="K6965">
        <f>AVERAGEIF(Table1[CountryCode],Table1[[#This Row],[CountryCode]],Table1[z-score])</f>
        <v>-1.2093107186394518</v>
      </c>
      <c r="L6965" t="e">
        <f>VLOOKUP(Table1[[#This Row],[CountryCode]],[1]!Table1[#All],1,FALSE)</f>
        <v>#REF!</v>
      </c>
    </row>
    <row r="6966" spans="1:12" hidden="1" x14ac:dyDescent="0.3">
      <c r="A6966" t="s">
        <v>113</v>
      </c>
      <c r="B6966" t="s">
        <v>114</v>
      </c>
      <c r="C6966" t="s">
        <v>127</v>
      </c>
      <c r="D6966" t="s">
        <v>128</v>
      </c>
      <c r="E6966">
        <v>1986</v>
      </c>
      <c r="F6966" s="1">
        <v>1420</v>
      </c>
      <c r="G6966">
        <v>1980</v>
      </c>
      <c r="H6966">
        <f>AVERAGEIFS(Table1[value],Table1[IndicatorCode],Table1[[#This Row],[IndicatorCode]])</f>
        <v>24902.88753799392</v>
      </c>
      <c r="I6966" cm="1">
        <f t="array" ref="I6966">_xlfn.STDEV.P(IF(Table1[IndicatorCode]=Table1[[#This Row],[IndicatorCode]],Table1[value]))</f>
        <v>26324.778297809873</v>
      </c>
      <c r="J6966">
        <f>(Table1[[#This Row],[value]] - Table1[[#This Row],[mean]]) / Table1[[#This Row],[std_dev]]</f>
        <v>-0.89204502588147583</v>
      </c>
      <c r="K6966">
        <f>AVERAGEIF(Table1[CountryCode],Table1[[#This Row],[CountryCode]],Table1[z-score])</f>
        <v>-1.2093107186394518</v>
      </c>
      <c r="L6966" t="e">
        <f>VLOOKUP(Table1[[#This Row],[CountryCode]],[1]!Table1[#All],1,FALSE)</f>
        <v>#REF!</v>
      </c>
    </row>
    <row r="6967" spans="1:12" hidden="1" x14ac:dyDescent="0.3">
      <c r="A6967" t="s">
        <v>113</v>
      </c>
      <c r="B6967" t="s">
        <v>114</v>
      </c>
      <c r="C6967" t="s">
        <v>127</v>
      </c>
      <c r="D6967" t="s">
        <v>128</v>
      </c>
      <c r="E6967">
        <v>1987</v>
      </c>
      <c r="F6967" s="1">
        <v>1356</v>
      </c>
      <c r="G6967">
        <v>1990</v>
      </c>
      <c r="H6967">
        <f>AVERAGEIFS(Table1[value],Table1[IndicatorCode],Table1[[#This Row],[IndicatorCode]])</f>
        <v>24902.88753799392</v>
      </c>
      <c r="I6967" cm="1">
        <f t="array" ref="I6967">_xlfn.STDEV.P(IF(Table1[IndicatorCode]=Table1[[#This Row],[IndicatorCode]],Table1[value]))</f>
        <v>26324.778297809873</v>
      </c>
      <c r="J6967">
        <f>(Table1[[#This Row],[value]] - Table1[[#This Row],[mean]]) / Table1[[#This Row],[std_dev]]</f>
        <v>-0.89447619545395896</v>
      </c>
      <c r="K6967">
        <f>AVERAGEIF(Table1[CountryCode],Table1[[#This Row],[CountryCode]],Table1[z-score])</f>
        <v>-1.2093107186394518</v>
      </c>
      <c r="L6967" t="e">
        <f>VLOOKUP(Table1[[#This Row],[CountryCode]],[1]!Table1[#All],1,FALSE)</f>
        <v>#REF!</v>
      </c>
    </row>
    <row r="6968" spans="1:12" hidden="1" x14ac:dyDescent="0.3">
      <c r="A6968" t="s">
        <v>113</v>
      </c>
      <c r="B6968" t="s">
        <v>114</v>
      </c>
      <c r="C6968" t="s">
        <v>127</v>
      </c>
      <c r="D6968" t="s">
        <v>128</v>
      </c>
      <c r="E6968">
        <v>1988</v>
      </c>
      <c r="F6968" s="1">
        <v>1491</v>
      </c>
      <c r="G6968">
        <v>1990</v>
      </c>
      <c r="H6968">
        <f>AVERAGEIFS(Table1[value],Table1[IndicatorCode],Table1[[#This Row],[IndicatorCode]])</f>
        <v>24902.88753799392</v>
      </c>
      <c r="I6968" cm="1">
        <f t="array" ref="I6968">_xlfn.STDEV.P(IF(Table1[IndicatorCode]=Table1[[#This Row],[IndicatorCode]],Table1[value]))</f>
        <v>26324.778297809873</v>
      </c>
      <c r="J6968">
        <f>(Table1[[#This Row],[value]] - Table1[[#This Row],[mean]]) / Table1[[#This Row],[std_dev]]</f>
        <v>-0.88934794713700227</v>
      </c>
      <c r="K6968">
        <f>AVERAGEIF(Table1[CountryCode],Table1[[#This Row],[CountryCode]],Table1[z-score])</f>
        <v>-1.2093107186394518</v>
      </c>
      <c r="L6968" t="e">
        <f>VLOOKUP(Table1[[#This Row],[CountryCode]],[1]!Table1[#All],1,FALSE)</f>
        <v>#REF!</v>
      </c>
    </row>
    <row r="6969" spans="1:12" hidden="1" x14ac:dyDescent="0.3">
      <c r="A6969" t="s">
        <v>113</v>
      </c>
      <c r="B6969" t="s">
        <v>114</v>
      </c>
      <c r="C6969" t="s">
        <v>127</v>
      </c>
      <c r="D6969" t="s">
        <v>128</v>
      </c>
      <c r="E6969">
        <v>1989</v>
      </c>
      <c r="F6969" s="1">
        <v>1354</v>
      </c>
      <c r="G6969">
        <v>1990</v>
      </c>
      <c r="H6969">
        <f>AVERAGEIFS(Table1[value],Table1[IndicatorCode],Table1[[#This Row],[IndicatorCode]])</f>
        <v>24902.88753799392</v>
      </c>
      <c r="I6969" cm="1">
        <f t="array" ref="I6969">_xlfn.STDEV.P(IF(Table1[IndicatorCode]=Table1[[#This Row],[IndicatorCode]],Table1[value]))</f>
        <v>26324.778297809873</v>
      </c>
      <c r="J6969">
        <f>(Table1[[#This Row],[value]] - Table1[[#This Row],[mean]]) / Table1[[#This Row],[std_dev]]</f>
        <v>-0.89455216950309902</v>
      </c>
      <c r="K6969">
        <f>AVERAGEIF(Table1[CountryCode],Table1[[#This Row],[CountryCode]],Table1[z-score])</f>
        <v>-1.2093107186394518</v>
      </c>
      <c r="L6969" t="e">
        <f>VLOOKUP(Table1[[#This Row],[CountryCode]],[1]!Table1[#All],1,FALSE)</f>
        <v>#REF!</v>
      </c>
    </row>
    <row r="6970" spans="1:12" hidden="1" x14ac:dyDescent="0.3">
      <c r="A6970" t="s">
        <v>113</v>
      </c>
      <c r="B6970" t="s">
        <v>114</v>
      </c>
      <c r="C6970" t="s">
        <v>127</v>
      </c>
      <c r="D6970" t="s">
        <v>128</v>
      </c>
      <c r="E6970">
        <v>1990</v>
      </c>
      <c r="F6970" s="1">
        <v>1313</v>
      </c>
      <c r="G6970">
        <v>1990</v>
      </c>
      <c r="H6970">
        <f>AVERAGEIFS(Table1[value],Table1[IndicatorCode],Table1[[#This Row],[IndicatorCode]])</f>
        <v>24902.88753799392</v>
      </c>
      <c r="I6970" cm="1">
        <f t="array" ref="I6970">_xlfn.STDEV.P(IF(Table1[IndicatorCode]=Table1[[#This Row],[IndicatorCode]],Table1[value]))</f>
        <v>26324.778297809873</v>
      </c>
      <c r="J6970">
        <f>(Table1[[#This Row],[value]] - Table1[[#This Row],[mean]]) / Table1[[#This Row],[std_dev]]</f>
        <v>-0.89610963751047101</v>
      </c>
      <c r="K6970">
        <f>AVERAGEIF(Table1[CountryCode],Table1[[#This Row],[CountryCode]],Table1[z-score])</f>
        <v>-1.2093107186394518</v>
      </c>
      <c r="L6970" t="e">
        <f>VLOOKUP(Table1[[#This Row],[CountryCode]],[1]!Table1[#All],1,FALSE)</f>
        <v>#REF!</v>
      </c>
    </row>
    <row r="6971" spans="1:12" hidden="1" x14ac:dyDescent="0.3">
      <c r="A6971" t="s">
        <v>113</v>
      </c>
      <c r="B6971" t="s">
        <v>114</v>
      </c>
      <c r="C6971" t="s">
        <v>127</v>
      </c>
      <c r="D6971" t="s">
        <v>128</v>
      </c>
      <c r="E6971">
        <v>1991</v>
      </c>
      <c r="F6971" s="1">
        <v>1188</v>
      </c>
      <c r="G6971">
        <v>1990</v>
      </c>
      <c r="H6971">
        <f>AVERAGEIFS(Table1[value],Table1[IndicatorCode],Table1[[#This Row],[IndicatorCode]])</f>
        <v>24902.88753799392</v>
      </c>
      <c r="I6971" cm="1">
        <f t="array" ref="I6971">_xlfn.STDEV.P(IF(Table1[IndicatorCode]=Table1[[#This Row],[IndicatorCode]],Table1[value]))</f>
        <v>26324.778297809873</v>
      </c>
      <c r="J6971">
        <f>(Table1[[#This Row],[value]] - Table1[[#This Row],[mean]]) / Table1[[#This Row],[std_dev]]</f>
        <v>-0.90085801558172718</v>
      </c>
      <c r="K6971">
        <f>AVERAGEIF(Table1[CountryCode],Table1[[#This Row],[CountryCode]],Table1[z-score])</f>
        <v>-1.2093107186394518</v>
      </c>
      <c r="L6971" t="e">
        <f>VLOOKUP(Table1[[#This Row],[CountryCode]],[1]!Table1[#All],1,FALSE)</f>
        <v>#REF!</v>
      </c>
    </row>
    <row r="6972" spans="1:12" hidden="1" x14ac:dyDescent="0.3">
      <c r="A6972" t="s">
        <v>113</v>
      </c>
      <c r="B6972" t="s">
        <v>114</v>
      </c>
      <c r="C6972" t="s">
        <v>127</v>
      </c>
      <c r="D6972" t="s">
        <v>128</v>
      </c>
      <c r="E6972">
        <v>1992</v>
      </c>
      <c r="F6972" s="1">
        <v>828</v>
      </c>
      <c r="G6972">
        <v>1990</v>
      </c>
      <c r="H6972">
        <f>AVERAGEIFS(Table1[value],Table1[IndicatorCode],Table1[[#This Row],[IndicatorCode]])</f>
        <v>24902.88753799392</v>
      </c>
      <c r="I6972" cm="1">
        <f t="array" ref="I6972">_xlfn.STDEV.P(IF(Table1[IndicatorCode]=Table1[[#This Row],[IndicatorCode]],Table1[value]))</f>
        <v>26324.778297809873</v>
      </c>
      <c r="J6972">
        <f>(Table1[[#This Row],[value]] - Table1[[#This Row],[mean]]) / Table1[[#This Row],[std_dev]]</f>
        <v>-0.91453334442694489</v>
      </c>
      <c r="K6972">
        <f>AVERAGEIF(Table1[CountryCode],Table1[[#This Row],[CountryCode]],Table1[z-score])</f>
        <v>-1.2093107186394518</v>
      </c>
      <c r="L6972" t="e">
        <f>VLOOKUP(Table1[[#This Row],[CountryCode]],[1]!Table1[#All],1,FALSE)</f>
        <v>#REF!</v>
      </c>
    </row>
    <row r="6973" spans="1:12" hidden="1" x14ac:dyDescent="0.3">
      <c r="A6973" t="s">
        <v>113</v>
      </c>
      <c r="B6973" t="s">
        <v>114</v>
      </c>
      <c r="C6973" t="s">
        <v>127</v>
      </c>
      <c r="D6973" t="s">
        <v>128</v>
      </c>
      <c r="E6973">
        <v>1993</v>
      </c>
      <c r="F6973" s="1">
        <v>683</v>
      </c>
      <c r="G6973">
        <v>1990</v>
      </c>
      <c r="H6973">
        <f>AVERAGEIFS(Table1[value],Table1[IndicatorCode],Table1[[#This Row],[IndicatorCode]])</f>
        <v>24902.88753799392</v>
      </c>
      <c r="I6973" cm="1">
        <f t="array" ref="I6973">_xlfn.STDEV.P(IF(Table1[IndicatorCode]=Table1[[#This Row],[IndicatorCode]],Table1[value]))</f>
        <v>26324.778297809873</v>
      </c>
      <c r="J6973">
        <f>(Table1[[#This Row],[value]] - Table1[[#This Row],[mean]]) / Table1[[#This Row],[std_dev]]</f>
        <v>-0.92004146298960199</v>
      </c>
      <c r="K6973">
        <f>AVERAGEIF(Table1[CountryCode],Table1[[#This Row],[CountryCode]],Table1[z-score])</f>
        <v>-1.2093107186394518</v>
      </c>
      <c r="L6973" t="e">
        <f>VLOOKUP(Table1[[#This Row],[CountryCode]],[1]!Table1[#All],1,FALSE)</f>
        <v>#REF!</v>
      </c>
    </row>
    <row r="6974" spans="1:12" hidden="1" x14ac:dyDescent="0.3">
      <c r="A6974" t="s">
        <v>113</v>
      </c>
      <c r="B6974" t="s">
        <v>114</v>
      </c>
      <c r="C6974" t="s">
        <v>127</v>
      </c>
      <c r="D6974" t="s">
        <v>128</v>
      </c>
      <c r="E6974">
        <v>1994</v>
      </c>
      <c r="F6974" s="1">
        <v>528</v>
      </c>
      <c r="G6974">
        <v>1990</v>
      </c>
      <c r="H6974">
        <f>AVERAGEIFS(Table1[value],Table1[IndicatorCode],Table1[[#This Row],[IndicatorCode]])</f>
        <v>24902.88753799392</v>
      </c>
      <c r="I6974" cm="1">
        <f t="array" ref="I6974">_xlfn.STDEV.P(IF(Table1[IndicatorCode]=Table1[[#This Row],[IndicatorCode]],Table1[value]))</f>
        <v>26324.778297809873</v>
      </c>
      <c r="J6974">
        <f>(Table1[[#This Row],[value]] - Table1[[#This Row],[mean]]) / Table1[[#This Row],[std_dev]]</f>
        <v>-0.9259294517979596</v>
      </c>
      <c r="K6974">
        <f>AVERAGEIF(Table1[CountryCode],Table1[[#This Row],[CountryCode]],Table1[z-score])</f>
        <v>-1.2093107186394518</v>
      </c>
      <c r="L6974" t="e">
        <f>VLOOKUP(Table1[[#This Row],[CountryCode]],[1]!Table1[#All],1,FALSE)</f>
        <v>#REF!</v>
      </c>
    </row>
    <row r="6975" spans="1:12" hidden="1" x14ac:dyDescent="0.3">
      <c r="A6975" t="s">
        <v>113</v>
      </c>
      <c r="B6975" t="s">
        <v>114</v>
      </c>
      <c r="C6975" t="s">
        <v>127</v>
      </c>
      <c r="D6975" t="s">
        <v>128</v>
      </c>
      <c r="E6975">
        <v>1995</v>
      </c>
      <c r="F6975" s="1">
        <v>453</v>
      </c>
      <c r="G6975">
        <v>1990</v>
      </c>
      <c r="H6975">
        <f>AVERAGEIFS(Table1[value],Table1[IndicatorCode],Table1[[#This Row],[IndicatorCode]])</f>
        <v>24902.88753799392</v>
      </c>
      <c r="I6975" cm="1">
        <f t="array" ref="I6975">_xlfn.STDEV.P(IF(Table1[IndicatorCode]=Table1[[#This Row],[IndicatorCode]],Table1[value]))</f>
        <v>26324.778297809873</v>
      </c>
      <c r="J6975">
        <f>(Table1[[#This Row],[value]] - Table1[[#This Row],[mean]]) / Table1[[#This Row],[std_dev]]</f>
        <v>-0.92877847864071328</v>
      </c>
      <c r="K6975">
        <f>AVERAGEIF(Table1[CountryCode],Table1[[#This Row],[CountryCode]],Table1[z-score])</f>
        <v>-1.2093107186394518</v>
      </c>
      <c r="L6975" t="e">
        <f>VLOOKUP(Table1[[#This Row],[CountryCode]],[1]!Table1[#All],1,FALSE)</f>
        <v>#REF!</v>
      </c>
    </row>
    <row r="6976" spans="1:12" hidden="1" x14ac:dyDescent="0.3">
      <c r="A6976" t="s">
        <v>113</v>
      </c>
      <c r="B6976" t="s">
        <v>114</v>
      </c>
      <c r="C6976" t="s">
        <v>127</v>
      </c>
      <c r="D6976" t="s">
        <v>128</v>
      </c>
      <c r="E6976">
        <v>1996</v>
      </c>
      <c r="F6976" s="1">
        <v>370</v>
      </c>
      <c r="G6976">
        <v>1990</v>
      </c>
      <c r="H6976">
        <f>AVERAGEIFS(Table1[value],Table1[IndicatorCode],Table1[[#This Row],[IndicatorCode]])</f>
        <v>24902.88753799392</v>
      </c>
      <c r="I6976" cm="1">
        <f t="array" ref="I6976">_xlfn.STDEV.P(IF(Table1[IndicatorCode]=Table1[[#This Row],[IndicatorCode]],Table1[value]))</f>
        <v>26324.778297809873</v>
      </c>
      <c r="J6976">
        <f>(Table1[[#This Row],[value]] - Table1[[#This Row],[mean]]) / Table1[[#This Row],[std_dev]]</f>
        <v>-0.93193140168002742</v>
      </c>
      <c r="K6976">
        <f>AVERAGEIF(Table1[CountryCode],Table1[[#This Row],[CountryCode]],Table1[z-score])</f>
        <v>-1.2093107186394518</v>
      </c>
      <c r="L6976" t="e">
        <f>VLOOKUP(Table1[[#This Row],[CountryCode]],[1]!Table1[#All],1,FALSE)</f>
        <v>#REF!</v>
      </c>
    </row>
    <row r="6977" spans="1:12" hidden="1" x14ac:dyDescent="0.3">
      <c r="A6977" t="s">
        <v>113</v>
      </c>
      <c r="B6977" t="s">
        <v>114</v>
      </c>
      <c r="C6977" t="s">
        <v>127</v>
      </c>
      <c r="D6977" t="s">
        <v>128</v>
      </c>
      <c r="E6977">
        <v>1997</v>
      </c>
      <c r="F6977" s="1">
        <v>372</v>
      </c>
      <c r="G6977">
        <v>2000</v>
      </c>
      <c r="H6977">
        <f>AVERAGEIFS(Table1[value],Table1[IndicatorCode],Table1[[#This Row],[IndicatorCode]])</f>
        <v>24902.88753799392</v>
      </c>
      <c r="I6977" cm="1">
        <f t="array" ref="I6977">_xlfn.STDEV.P(IF(Table1[IndicatorCode]=Table1[[#This Row],[IndicatorCode]],Table1[value]))</f>
        <v>26324.778297809873</v>
      </c>
      <c r="J6977">
        <f>(Table1[[#This Row],[value]] - Table1[[#This Row],[mean]]) / Table1[[#This Row],[std_dev]]</f>
        <v>-0.93185542763088725</v>
      </c>
      <c r="K6977">
        <f>AVERAGEIF(Table1[CountryCode],Table1[[#This Row],[CountryCode]],Table1[z-score])</f>
        <v>-1.2093107186394518</v>
      </c>
      <c r="L6977" t="e">
        <f>VLOOKUP(Table1[[#This Row],[CountryCode]],[1]!Table1[#All],1,FALSE)</f>
        <v>#REF!</v>
      </c>
    </row>
    <row r="6978" spans="1:12" hidden="1" x14ac:dyDescent="0.3">
      <c r="A6978" t="s">
        <v>113</v>
      </c>
      <c r="B6978" t="s">
        <v>114</v>
      </c>
      <c r="C6978" t="s">
        <v>127</v>
      </c>
      <c r="D6978" t="s">
        <v>128</v>
      </c>
      <c r="E6978">
        <v>1998</v>
      </c>
      <c r="F6978" s="1">
        <v>389</v>
      </c>
      <c r="G6978">
        <v>2000</v>
      </c>
      <c r="H6978">
        <f>AVERAGEIFS(Table1[value],Table1[IndicatorCode],Table1[[#This Row],[IndicatorCode]])</f>
        <v>24902.88753799392</v>
      </c>
      <c r="I6978" cm="1">
        <f t="array" ref="I6978">_xlfn.STDEV.P(IF(Table1[IndicatorCode]=Table1[[#This Row],[IndicatorCode]],Table1[value]))</f>
        <v>26324.778297809873</v>
      </c>
      <c r="J6978">
        <f>(Table1[[#This Row],[value]] - Table1[[#This Row],[mean]]) / Table1[[#This Row],[std_dev]]</f>
        <v>-0.93120964821319641</v>
      </c>
      <c r="K6978">
        <f>AVERAGEIF(Table1[CountryCode],Table1[[#This Row],[CountryCode]],Table1[z-score])</f>
        <v>-1.2093107186394518</v>
      </c>
      <c r="L6978" t="e">
        <f>VLOOKUP(Table1[[#This Row],[CountryCode]],[1]!Table1[#All],1,FALSE)</f>
        <v>#REF!</v>
      </c>
    </row>
    <row r="6979" spans="1:12" hidden="1" x14ac:dyDescent="0.3">
      <c r="A6979" t="s">
        <v>113</v>
      </c>
      <c r="B6979" t="s">
        <v>114</v>
      </c>
      <c r="C6979" t="s">
        <v>127</v>
      </c>
      <c r="D6979" t="s">
        <v>128</v>
      </c>
      <c r="E6979">
        <v>1999</v>
      </c>
      <c r="F6979" s="1">
        <v>401</v>
      </c>
      <c r="G6979">
        <v>2000</v>
      </c>
      <c r="H6979">
        <f>AVERAGEIFS(Table1[value],Table1[IndicatorCode],Table1[[#This Row],[IndicatorCode]])</f>
        <v>24902.88753799392</v>
      </c>
      <c r="I6979" cm="1">
        <f t="array" ref="I6979">_xlfn.STDEV.P(IF(Table1[IndicatorCode]=Table1[[#This Row],[IndicatorCode]],Table1[value]))</f>
        <v>26324.778297809873</v>
      </c>
      <c r="J6979">
        <f>(Table1[[#This Row],[value]] - Table1[[#This Row],[mean]]) / Table1[[#This Row],[std_dev]]</f>
        <v>-0.93075380391835583</v>
      </c>
      <c r="K6979">
        <f>AVERAGEIF(Table1[CountryCode],Table1[[#This Row],[CountryCode]],Table1[z-score])</f>
        <v>-1.2093107186394518</v>
      </c>
      <c r="L6979" t="e">
        <f>VLOOKUP(Table1[[#This Row],[CountryCode]],[1]!Table1[#All],1,FALSE)</f>
        <v>#REF!</v>
      </c>
    </row>
    <row r="6980" spans="1:12" hidden="1" x14ac:dyDescent="0.3">
      <c r="A6980" t="s">
        <v>113</v>
      </c>
      <c r="B6980" t="s">
        <v>114</v>
      </c>
      <c r="C6980" t="s">
        <v>127</v>
      </c>
      <c r="D6980" t="s">
        <v>128</v>
      </c>
      <c r="E6980">
        <v>2000</v>
      </c>
      <c r="F6980" s="1">
        <v>430</v>
      </c>
      <c r="G6980">
        <v>2000</v>
      </c>
      <c r="H6980">
        <f>AVERAGEIFS(Table1[value],Table1[IndicatorCode],Table1[[#This Row],[IndicatorCode]])</f>
        <v>24902.88753799392</v>
      </c>
      <c r="I6980" cm="1">
        <f t="array" ref="I6980">_xlfn.STDEV.P(IF(Table1[IndicatorCode]=Table1[[#This Row],[IndicatorCode]],Table1[value]))</f>
        <v>26324.778297809873</v>
      </c>
      <c r="J6980">
        <f>(Table1[[#This Row],[value]] - Table1[[#This Row],[mean]]) / Table1[[#This Row],[std_dev]]</f>
        <v>-0.92965218020582441</v>
      </c>
      <c r="K6980">
        <f>AVERAGEIF(Table1[CountryCode],Table1[[#This Row],[CountryCode]],Table1[z-score])</f>
        <v>-1.2093107186394518</v>
      </c>
      <c r="L6980" t="e">
        <f>VLOOKUP(Table1[[#This Row],[CountryCode]],[1]!Table1[#All],1,FALSE)</f>
        <v>#REF!</v>
      </c>
    </row>
    <row r="6981" spans="1:12" hidden="1" x14ac:dyDescent="0.3">
      <c r="A6981" t="s">
        <v>113</v>
      </c>
      <c r="B6981" t="s">
        <v>114</v>
      </c>
      <c r="C6981" t="s">
        <v>127</v>
      </c>
      <c r="D6981" t="s">
        <v>128</v>
      </c>
      <c r="E6981">
        <v>2001</v>
      </c>
      <c r="F6981" s="1">
        <v>462</v>
      </c>
      <c r="G6981">
        <v>2000</v>
      </c>
      <c r="H6981">
        <f>AVERAGEIFS(Table1[value],Table1[IndicatorCode],Table1[[#This Row],[IndicatorCode]])</f>
        <v>24902.88753799392</v>
      </c>
      <c r="I6981" cm="1">
        <f t="array" ref="I6981">_xlfn.STDEV.P(IF(Table1[IndicatorCode]=Table1[[#This Row],[IndicatorCode]],Table1[value]))</f>
        <v>26324.778297809873</v>
      </c>
      <c r="J6981">
        <f>(Table1[[#This Row],[value]] - Table1[[#This Row],[mean]]) / Table1[[#This Row],[std_dev]]</f>
        <v>-0.9284365954195829</v>
      </c>
      <c r="K6981">
        <f>AVERAGEIF(Table1[CountryCode],Table1[[#This Row],[CountryCode]],Table1[z-score])</f>
        <v>-1.2093107186394518</v>
      </c>
      <c r="L6981" t="e">
        <f>VLOOKUP(Table1[[#This Row],[CountryCode]],[1]!Table1[#All],1,FALSE)</f>
        <v>#REF!</v>
      </c>
    </row>
    <row r="6982" spans="1:12" hidden="1" x14ac:dyDescent="0.3">
      <c r="A6982" t="s">
        <v>113</v>
      </c>
      <c r="B6982" t="s">
        <v>114</v>
      </c>
      <c r="C6982" t="s">
        <v>127</v>
      </c>
      <c r="D6982" t="s">
        <v>128</v>
      </c>
      <c r="E6982">
        <v>2002</v>
      </c>
      <c r="F6982" s="1">
        <v>502</v>
      </c>
      <c r="G6982">
        <v>2000</v>
      </c>
      <c r="H6982">
        <f>AVERAGEIFS(Table1[value],Table1[IndicatorCode],Table1[[#This Row],[IndicatorCode]])</f>
        <v>24902.88753799392</v>
      </c>
      <c r="I6982" cm="1">
        <f t="array" ref="I6982">_xlfn.STDEV.P(IF(Table1[IndicatorCode]=Table1[[#This Row],[IndicatorCode]],Table1[value]))</f>
        <v>26324.778297809873</v>
      </c>
      <c r="J6982">
        <f>(Table1[[#This Row],[value]] - Table1[[#This Row],[mean]]) / Table1[[#This Row],[std_dev]]</f>
        <v>-0.92691711443678093</v>
      </c>
      <c r="K6982">
        <f>AVERAGEIF(Table1[CountryCode],Table1[[#This Row],[CountryCode]],Table1[z-score])</f>
        <v>-1.2093107186394518</v>
      </c>
      <c r="L6982" t="e">
        <f>VLOOKUP(Table1[[#This Row],[CountryCode]],[1]!Table1[#All],1,FALSE)</f>
        <v>#REF!</v>
      </c>
    </row>
    <row r="6983" spans="1:12" hidden="1" x14ac:dyDescent="0.3">
      <c r="A6983" t="s">
        <v>113</v>
      </c>
      <c r="B6983" t="s">
        <v>114</v>
      </c>
      <c r="C6983" t="s">
        <v>127</v>
      </c>
      <c r="D6983" t="s">
        <v>128</v>
      </c>
      <c r="E6983">
        <v>2003</v>
      </c>
      <c r="F6983" s="1">
        <v>546</v>
      </c>
      <c r="G6983">
        <v>2000</v>
      </c>
      <c r="H6983">
        <f>AVERAGEIFS(Table1[value],Table1[IndicatorCode],Table1[[#This Row],[IndicatorCode]])</f>
        <v>24902.88753799392</v>
      </c>
      <c r="I6983" cm="1">
        <f t="array" ref="I6983">_xlfn.STDEV.P(IF(Table1[IndicatorCode]=Table1[[#This Row],[IndicatorCode]],Table1[value]))</f>
        <v>26324.778297809873</v>
      </c>
      <c r="J6983">
        <f>(Table1[[#This Row],[value]] - Table1[[#This Row],[mean]]) / Table1[[#This Row],[std_dev]]</f>
        <v>-0.92524568535569873</v>
      </c>
      <c r="K6983">
        <f>AVERAGEIF(Table1[CountryCode],Table1[[#This Row],[CountryCode]],Table1[z-score])</f>
        <v>-1.2093107186394518</v>
      </c>
      <c r="L6983" t="e">
        <f>VLOOKUP(Table1[[#This Row],[CountryCode]],[1]!Table1[#All],1,FALSE)</f>
        <v>#REF!</v>
      </c>
    </row>
    <row r="6984" spans="1:12" hidden="1" x14ac:dyDescent="0.3">
      <c r="A6984" t="s">
        <v>113</v>
      </c>
      <c r="B6984" t="s">
        <v>114</v>
      </c>
      <c r="C6984" t="s">
        <v>127</v>
      </c>
      <c r="D6984" t="s">
        <v>128</v>
      </c>
      <c r="E6984">
        <v>2004</v>
      </c>
      <c r="F6984" s="1">
        <v>591</v>
      </c>
      <c r="G6984">
        <v>2000</v>
      </c>
      <c r="H6984">
        <f>AVERAGEIFS(Table1[value],Table1[IndicatorCode],Table1[[#This Row],[IndicatorCode]])</f>
        <v>24902.88753799392</v>
      </c>
      <c r="I6984" cm="1">
        <f t="array" ref="I6984">_xlfn.STDEV.P(IF(Table1[IndicatorCode]=Table1[[#This Row],[IndicatorCode]],Table1[value]))</f>
        <v>26324.778297809873</v>
      </c>
      <c r="J6984">
        <f>(Table1[[#This Row],[value]] - Table1[[#This Row],[mean]]) / Table1[[#This Row],[std_dev]]</f>
        <v>-0.9235362692500465</v>
      </c>
      <c r="K6984">
        <f>AVERAGEIF(Table1[CountryCode],Table1[[#This Row],[CountryCode]],Table1[z-score])</f>
        <v>-1.2093107186394518</v>
      </c>
      <c r="L6984" t="e">
        <f>VLOOKUP(Table1[[#This Row],[CountryCode]],[1]!Table1[#All],1,FALSE)</f>
        <v>#REF!</v>
      </c>
    </row>
    <row r="6985" spans="1:12" hidden="1" x14ac:dyDescent="0.3">
      <c r="A6985" t="s">
        <v>113</v>
      </c>
      <c r="B6985" t="s">
        <v>114</v>
      </c>
      <c r="C6985" t="s">
        <v>127</v>
      </c>
      <c r="D6985" t="s">
        <v>128</v>
      </c>
      <c r="E6985">
        <v>2005</v>
      </c>
      <c r="F6985" s="1">
        <v>618</v>
      </c>
      <c r="G6985">
        <v>2000</v>
      </c>
      <c r="H6985">
        <f>AVERAGEIFS(Table1[value],Table1[IndicatorCode],Table1[[#This Row],[IndicatorCode]])</f>
        <v>24902.88753799392</v>
      </c>
      <c r="I6985" cm="1">
        <f t="array" ref="I6985">_xlfn.STDEV.P(IF(Table1[IndicatorCode]=Table1[[#This Row],[IndicatorCode]],Table1[value]))</f>
        <v>26324.778297809873</v>
      </c>
      <c r="J6985">
        <f>(Table1[[#This Row],[value]] - Table1[[#This Row],[mean]]) / Table1[[#This Row],[std_dev]]</f>
        <v>-0.92251061958665515</v>
      </c>
      <c r="K6985">
        <f>AVERAGEIF(Table1[CountryCode],Table1[[#This Row],[CountryCode]],Table1[z-score])</f>
        <v>-1.2093107186394518</v>
      </c>
      <c r="L6985" t="e">
        <f>VLOOKUP(Table1[[#This Row],[CountryCode]],[1]!Table1[#All],1,FALSE)</f>
        <v>#REF!</v>
      </c>
    </row>
    <row r="6986" spans="1:12" hidden="1" x14ac:dyDescent="0.3">
      <c r="A6986" t="s">
        <v>113</v>
      </c>
      <c r="B6986" t="s">
        <v>114</v>
      </c>
      <c r="C6986" t="s">
        <v>127</v>
      </c>
      <c r="D6986" t="s">
        <v>128</v>
      </c>
      <c r="E6986">
        <v>2006</v>
      </c>
      <c r="F6986" s="1">
        <v>649</v>
      </c>
      <c r="G6986">
        <v>2000</v>
      </c>
      <c r="H6986">
        <f>AVERAGEIFS(Table1[value],Table1[IndicatorCode],Table1[[#This Row],[IndicatorCode]])</f>
        <v>24902.88753799392</v>
      </c>
      <c r="I6986" cm="1">
        <f t="array" ref="I6986">_xlfn.STDEV.P(IF(Table1[IndicatorCode]=Table1[[#This Row],[IndicatorCode]],Table1[value]))</f>
        <v>26324.778297809873</v>
      </c>
      <c r="J6986">
        <f>(Table1[[#This Row],[value]] - Table1[[#This Row],[mean]]) / Table1[[#This Row],[std_dev]]</f>
        <v>-0.92133302182498367</v>
      </c>
      <c r="K6986">
        <f>AVERAGEIF(Table1[CountryCode],Table1[[#This Row],[CountryCode]],Table1[z-score])</f>
        <v>-1.2093107186394518</v>
      </c>
      <c r="L6986" t="e">
        <f>VLOOKUP(Table1[[#This Row],[CountryCode]],[1]!Table1[#All],1,FALSE)</f>
        <v>#REF!</v>
      </c>
    </row>
    <row r="6987" spans="1:12" hidden="1" x14ac:dyDescent="0.3">
      <c r="A6987" t="s">
        <v>113</v>
      </c>
      <c r="B6987" t="s">
        <v>114</v>
      </c>
      <c r="C6987" t="s">
        <v>127</v>
      </c>
      <c r="D6987" t="s">
        <v>128</v>
      </c>
      <c r="E6987">
        <v>2007</v>
      </c>
      <c r="F6987" s="1">
        <v>686</v>
      </c>
      <c r="G6987">
        <v>2010</v>
      </c>
      <c r="H6987">
        <f>AVERAGEIFS(Table1[value],Table1[IndicatorCode],Table1[[#This Row],[IndicatorCode]])</f>
        <v>24902.88753799392</v>
      </c>
      <c r="I6987" cm="1">
        <f t="array" ref="I6987">_xlfn.STDEV.P(IF(Table1[IndicatorCode]=Table1[[#This Row],[IndicatorCode]],Table1[value]))</f>
        <v>26324.778297809873</v>
      </c>
      <c r="J6987">
        <f>(Table1[[#This Row],[value]] - Table1[[#This Row],[mean]]) / Table1[[#This Row],[std_dev]]</f>
        <v>-0.91992750191589179</v>
      </c>
      <c r="K6987">
        <f>AVERAGEIF(Table1[CountryCode],Table1[[#This Row],[CountryCode]],Table1[z-score])</f>
        <v>-1.2093107186394518</v>
      </c>
      <c r="L6987" t="e">
        <f>VLOOKUP(Table1[[#This Row],[CountryCode]],[1]!Table1[#All],1,FALSE)</f>
        <v>#REF!</v>
      </c>
    </row>
    <row r="6988" spans="1:12" hidden="1" x14ac:dyDescent="0.3">
      <c r="A6988" t="s">
        <v>113</v>
      </c>
      <c r="B6988" t="s">
        <v>114</v>
      </c>
      <c r="C6988" t="s">
        <v>127</v>
      </c>
      <c r="D6988" t="s">
        <v>128</v>
      </c>
      <c r="E6988">
        <v>2008</v>
      </c>
      <c r="F6988" s="1">
        <v>726</v>
      </c>
      <c r="G6988">
        <v>2010</v>
      </c>
      <c r="H6988">
        <f>AVERAGEIFS(Table1[value],Table1[IndicatorCode],Table1[[#This Row],[IndicatorCode]])</f>
        <v>24902.88753799392</v>
      </c>
      <c r="I6988" cm="1">
        <f t="array" ref="I6988">_xlfn.STDEV.P(IF(Table1[IndicatorCode]=Table1[[#This Row],[IndicatorCode]],Table1[value]))</f>
        <v>26324.778297809873</v>
      </c>
      <c r="J6988">
        <f>(Table1[[#This Row],[value]] - Table1[[#This Row],[mean]]) / Table1[[#This Row],[std_dev]]</f>
        <v>-0.91840802093308993</v>
      </c>
      <c r="K6988">
        <f>AVERAGEIF(Table1[CountryCode],Table1[[#This Row],[CountryCode]],Table1[z-score])</f>
        <v>-1.2093107186394518</v>
      </c>
      <c r="L6988" t="e">
        <f>VLOOKUP(Table1[[#This Row],[CountryCode]],[1]!Table1[#All],1,FALSE)</f>
        <v>#REF!</v>
      </c>
    </row>
    <row r="6989" spans="1:12" hidden="1" x14ac:dyDescent="0.3">
      <c r="A6989" t="s">
        <v>113</v>
      </c>
      <c r="B6989" t="s">
        <v>114</v>
      </c>
      <c r="C6989" t="s">
        <v>127</v>
      </c>
      <c r="D6989" t="s">
        <v>128</v>
      </c>
      <c r="E6989">
        <v>2009</v>
      </c>
      <c r="F6989" s="1">
        <v>739</v>
      </c>
      <c r="G6989">
        <v>2010</v>
      </c>
      <c r="H6989">
        <f>AVERAGEIFS(Table1[value],Table1[IndicatorCode],Table1[[#This Row],[IndicatorCode]])</f>
        <v>24902.88753799392</v>
      </c>
      <c r="I6989" cm="1">
        <f t="array" ref="I6989">_xlfn.STDEV.P(IF(Table1[IndicatorCode]=Table1[[#This Row],[IndicatorCode]],Table1[value]))</f>
        <v>26324.778297809873</v>
      </c>
      <c r="J6989">
        <f>(Table1[[#This Row],[value]] - Table1[[#This Row],[mean]]) / Table1[[#This Row],[std_dev]]</f>
        <v>-0.91791418961367921</v>
      </c>
      <c r="K6989">
        <f>AVERAGEIF(Table1[CountryCode],Table1[[#This Row],[CountryCode]],Table1[z-score])</f>
        <v>-1.2093107186394518</v>
      </c>
      <c r="L6989" t="e">
        <f>VLOOKUP(Table1[[#This Row],[CountryCode]],[1]!Table1[#All],1,FALSE)</f>
        <v>#REF!</v>
      </c>
    </row>
    <row r="6990" spans="1:12" hidden="1" x14ac:dyDescent="0.3">
      <c r="A6990" t="s">
        <v>113</v>
      </c>
      <c r="B6990" t="s">
        <v>114</v>
      </c>
      <c r="C6990" t="s">
        <v>127</v>
      </c>
      <c r="D6990" t="s">
        <v>128</v>
      </c>
      <c r="E6990">
        <v>2010</v>
      </c>
      <c r="F6990" s="1">
        <v>771</v>
      </c>
      <c r="G6990">
        <v>2010</v>
      </c>
      <c r="H6990">
        <f>AVERAGEIFS(Table1[value],Table1[IndicatorCode],Table1[[#This Row],[IndicatorCode]])</f>
        <v>24902.88753799392</v>
      </c>
      <c r="I6990" cm="1">
        <f t="array" ref="I6990">_xlfn.STDEV.P(IF(Table1[IndicatorCode]=Table1[[#This Row],[IndicatorCode]],Table1[value]))</f>
        <v>26324.778297809873</v>
      </c>
      <c r="J6990">
        <f>(Table1[[#This Row],[value]] - Table1[[#This Row],[mean]]) / Table1[[#This Row],[std_dev]]</f>
        <v>-0.9166986048274377</v>
      </c>
      <c r="K6990">
        <f>AVERAGEIF(Table1[CountryCode],Table1[[#This Row],[CountryCode]],Table1[z-score])</f>
        <v>-1.2093107186394518</v>
      </c>
      <c r="L6990" t="e">
        <f>VLOOKUP(Table1[[#This Row],[CountryCode]],[1]!Table1[#All],1,FALSE)</f>
        <v>#REF!</v>
      </c>
    </row>
    <row r="6991" spans="1:12" hidden="1" x14ac:dyDescent="0.3">
      <c r="A6991" t="s">
        <v>113</v>
      </c>
      <c r="B6991" t="s">
        <v>114</v>
      </c>
      <c r="C6991" t="s">
        <v>127</v>
      </c>
      <c r="D6991" t="s">
        <v>128</v>
      </c>
      <c r="E6991">
        <v>2011</v>
      </c>
      <c r="F6991" s="1">
        <v>809</v>
      </c>
      <c r="G6991">
        <v>2010</v>
      </c>
      <c r="H6991">
        <f>AVERAGEIFS(Table1[value],Table1[IndicatorCode],Table1[[#This Row],[IndicatorCode]])</f>
        <v>24902.88753799392</v>
      </c>
      <c r="I6991" cm="1">
        <f t="array" ref="I6991">_xlfn.STDEV.P(IF(Table1[IndicatorCode]=Table1[[#This Row],[IndicatorCode]],Table1[value]))</f>
        <v>26324.778297809873</v>
      </c>
      <c r="J6991">
        <f>(Table1[[#This Row],[value]] - Table1[[#This Row],[mean]]) / Table1[[#This Row],[std_dev]]</f>
        <v>-0.91525509789377579</v>
      </c>
      <c r="K6991">
        <f>AVERAGEIF(Table1[CountryCode],Table1[[#This Row],[CountryCode]],Table1[z-score])</f>
        <v>-1.2093107186394518</v>
      </c>
      <c r="L6991" t="e">
        <f>VLOOKUP(Table1[[#This Row],[CountryCode]],[1]!Table1[#All],1,FALSE)</f>
        <v>#REF!</v>
      </c>
    </row>
    <row r="6992" spans="1:12" hidden="1" x14ac:dyDescent="0.3">
      <c r="A6992" t="s">
        <v>113</v>
      </c>
      <c r="B6992" t="s">
        <v>114</v>
      </c>
      <c r="C6992" t="s">
        <v>127</v>
      </c>
      <c r="D6992" t="s">
        <v>128</v>
      </c>
      <c r="E6992">
        <v>2012</v>
      </c>
      <c r="F6992" s="1">
        <v>850</v>
      </c>
      <c r="G6992">
        <v>2010</v>
      </c>
      <c r="H6992">
        <f>AVERAGEIFS(Table1[value],Table1[IndicatorCode],Table1[[#This Row],[IndicatorCode]])</f>
        <v>24902.88753799392</v>
      </c>
      <c r="I6992" cm="1">
        <f t="array" ref="I6992">_xlfn.STDEV.P(IF(Table1[IndicatorCode]=Table1[[#This Row],[IndicatorCode]],Table1[value]))</f>
        <v>26324.778297809873</v>
      </c>
      <c r="J6992">
        <f>(Table1[[#This Row],[value]] - Table1[[#This Row],[mean]]) / Table1[[#This Row],[std_dev]]</f>
        <v>-0.91369762988640379</v>
      </c>
      <c r="K6992">
        <f>AVERAGEIF(Table1[CountryCode],Table1[[#This Row],[CountryCode]],Table1[z-score])</f>
        <v>-1.2093107186394518</v>
      </c>
      <c r="L6992" t="e">
        <f>VLOOKUP(Table1[[#This Row],[CountryCode]],[1]!Table1[#All],1,FALSE)</f>
        <v>#REF!</v>
      </c>
    </row>
    <row r="6993" spans="1:12" hidden="1" x14ac:dyDescent="0.3">
      <c r="A6993" t="s">
        <v>113</v>
      </c>
      <c r="B6993" t="s">
        <v>114</v>
      </c>
      <c r="C6993" t="s">
        <v>127</v>
      </c>
      <c r="D6993" t="s">
        <v>128</v>
      </c>
      <c r="E6993">
        <v>2013</v>
      </c>
      <c r="F6993" s="1">
        <v>890</v>
      </c>
      <c r="G6993">
        <v>2010</v>
      </c>
      <c r="H6993">
        <f>AVERAGEIFS(Table1[value],Table1[IndicatorCode],Table1[[#This Row],[IndicatorCode]])</f>
        <v>24902.88753799392</v>
      </c>
      <c r="I6993" cm="1">
        <f t="array" ref="I6993">_xlfn.STDEV.P(IF(Table1[IndicatorCode]=Table1[[#This Row],[IndicatorCode]],Table1[value]))</f>
        <v>26324.778297809873</v>
      </c>
      <c r="J6993">
        <f>(Table1[[#This Row],[value]] - Table1[[#This Row],[mean]]) / Table1[[#This Row],[std_dev]]</f>
        <v>-0.91217814890360183</v>
      </c>
      <c r="K6993">
        <f>AVERAGEIF(Table1[CountryCode],Table1[[#This Row],[CountryCode]],Table1[z-score])</f>
        <v>-1.2093107186394518</v>
      </c>
      <c r="L6993" t="e">
        <f>VLOOKUP(Table1[[#This Row],[CountryCode]],[1]!Table1[#All],1,FALSE)</f>
        <v>#REF!</v>
      </c>
    </row>
    <row r="6994" spans="1:12" hidden="1" x14ac:dyDescent="0.3">
      <c r="A6994" t="s">
        <v>113</v>
      </c>
      <c r="B6994" t="s">
        <v>114</v>
      </c>
      <c r="C6994" t="s">
        <v>127</v>
      </c>
      <c r="D6994" t="s">
        <v>128</v>
      </c>
      <c r="E6994">
        <v>2014</v>
      </c>
      <c r="F6994" s="1">
        <v>926</v>
      </c>
      <c r="G6994">
        <v>2010</v>
      </c>
      <c r="H6994">
        <f>AVERAGEIFS(Table1[value],Table1[IndicatorCode],Table1[[#This Row],[IndicatorCode]])</f>
        <v>24902.88753799392</v>
      </c>
      <c r="I6994" cm="1">
        <f t="array" ref="I6994">_xlfn.STDEV.P(IF(Table1[IndicatorCode]=Table1[[#This Row],[IndicatorCode]],Table1[value]))</f>
        <v>26324.778297809873</v>
      </c>
      <c r="J6994">
        <f>(Table1[[#This Row],[value]] - Table1[[#This Row],[mean]]) / Table1[[#This Row],[std_dev]]</f>
        <v>-0.91081061601908009</v>
      </c>
      <c r="K6994">
        <f>AVERAGEIF(Table1[CountryCode],Table1[[#This Row],[CountryCode]],Table1[z-score])</f>
        <v>-1.2093107186394518</v>
      </c>
      <c r="L6994" t="e">
        <f>VLOOKUP(Table1[[#This Row],[CountryCode]],[1]!Table1[#All],1,FALSE)</f>
        <v>#REF!</v>
      </c>
    </row>
    <row r="6995" spans="1:12" hidden="1" x14ac:dyDescent="0.3">
      <c r="A6995" t="s">
        <v>113</v>
      </c>
      <c r="B6995" t="s">
        <v>114</v>
      </c>
      <c r="C6995" t="s">
        <v>127</v>
      </c>
      <c r="D6995" t="s">
        <v>128</v>
      </c>
      <c r="E6995">
        <v>2015</v>
      </c>
      <c r="F6995" s="1">
        <v>957</v>
      </c>
      <c r="G6995">
        <v>2010</v>
      </c>
      <c r="H6995">
        <f>AVERAGEIFS(Table1[value],Table1[IndicatorCode],Table1[[#This Row],[IndicatorCode]])</f>
        <v>24902.88753799392</v>
      </c>
      <c r="I6995" cm="1">
        <f t="array" ref="I6995">_xlfn.STDEV.P(IF(Table1[IndicatorCode]=Table1[[#This Row],[IndicatorCode]],Table1[value]))</f>
        <v>26324.778297809873</v>
      </c>
      <c r="J6995">
        <f>(Table1[[#This Row],[value]] - Table1[[#This Row],[mean]]) / Table1[[#This Row],[std_dev]]</f>
        <v>-0.9096330182574085</v>
      </c>
      <c r="K6995">
        <f>AVERAGEIF(Table1[CountryCode],Table1[[#This Row],[CountryCode]],Table1[z-score])</f>
        <v>-1.2093107186394518</v>
      </c>
      <c r="L6995" t="e">
        <f>VLOOKUP(Table1[[#This Row],[CountryCode]],[1]!Table1[#All],1,FALSE)</f>
        <v>#REF!</v>
      </c>
    </row>
    <row r="6996" spans="1:12" hidden="1" x14ac:dyDescent="0.3">
      <c r="A6996" t="s">
        <v>113</v>
      </c>
      <c r="B6996" t="s">
        <v>114</v>
      </c>
      <c r="C6996" t="s">
        <v>127</v>
      </c>
      <c r="D6996" t="s">
        <v>128</v>
      </c>
      <c r="E6996">
        <v>2016</v>
      </c>
      <c r="F6996" s="1">
        <v>997</v>
      </c>
      <c r="G6996">
        <v>2010</v>
      </c>
      <c r="H6996">
        <f>AVERAGEIFS(Table1[value],Table1[IndicatorCode],Table1[[#This Row],[IndicatorCode]])</f>
        <v>24902.88753799392</v>
      </c>
      <c r="I6996" cm="1">
        <f t="array" ref="I6996">_xlfn.STDEV.P(IF(Table1[IndicatorCode]=Table1[[#This Row],[IndicatorCode]],Table1[value]))</f>
        <v>26324.778297809873</v>
      </c>
      <c r="J6996">
        <f>(Table1[[#This Row],[value]] - Table1[[#This Row],[mean]]) / Table1[[#This Row],[std_dev]]</f>
        <v>-0.90811353727460653</v>
      </c>
      <c r="K6996">
        <f>AVERAGEIF(Table1[CountryCode],Table1[[#This Row],[CountryCode]],Table1[z-score])</f>
        <v>-1.2093107186394518</v>
      </c>
      <c r="L6996" t="e">
        <f>VLOOKUP(Table1[[#This Row],[CountryCode]],[1]!Table1[#All],1,FALSE)</f>
        <v>#REF!</v>
      </c>
    </row>
    <row r="6997" spans="1:12" hidden="1" x14ac:dyDescent="0.3">
      <c r="A6997" t="s">
        <v>113</v>
      </c>
      <c r="B6997" t="s">
        <v>114</v>
      </c>
      <c r="C6997" t="s">
        <v>127</v>
      </c>
      <c r="D6997" t="s">
        <v>128</v>
      </c>
      <c r="E6997">
        <v>2017</v>
      </c>
      <c r="F6997" s="1">
        <v>1042</v>
      </c>
      <c r="G6997">
        <v>2020</v>
      </c>
      <c r="H6997">
        <f>AVERAGEIFS(Table1[value],Table1[IndicatorCode],Table1[[#This Row],[IndicatorCode]])</f>
        <v>24902.88753799392</v>
      </c>
      <c r="I6997" cm="1">
        <f t="array" ref="I6997">_xlfn.STDEV.P(IF(Table1[IndicatorCode]=Table1[[#This Row],[IndicatorCode]],Table1[value]))</f>
        <v>26324.778297809873</v>
      </c>
      <c r="J6997">
        <f>(Table1[[#This Row],[value]] - Table1[[#This Row],[mean]]) / Table1[[#This Row],[std_dev]]</f>
        <v>-0.9064041211689543</v>
      </c>
      <c r="K6997">
        <f>AVERAGEIF(Table1[CountryCode],Table1[[#This Row],[CountryCode]],Table1[z-score])</f>
        <v>-1.2093107186394518</v>
      </c>
      <c r="L6997" t="e">
        <f>VLOOKUP(Table1[[#This Row],[CountryCode]],[1]!Table1[#All],1,FALSE)</f>
        <v>#REF!</v>
      </c>
    </row>
    <row r="6998" spans="1:12" hidden="1" x14ac:dyDescent="0.3">
      <c r="A6998" t="s">
        <v>113</v>
      </c>
      <c r="B6998" t="s">
        <v>114</v>
      </c>
      <c r="C6998" t="s">
        <v>127</v>
      </c>
      <c r="D6998" t="s">
        <v>128</v>
      </c>
      <c r="E6998">
        <v>2018</v>
      </c>
      <c r="F6998" s="1">
        <v>1095</v>
      </c>
      <c r="G6998">
        <v>2020</v>
      </c>
      <c r="H6998">
        <f>AVERAGEIFS(Table1[value],Table1[IndicatorCode],Table1[[#This Row],[IndicatorCode]])</f>
        <v>24902.88753799392</v>
      </c>
      <c r="I6998" cm="1">
        <f t="array" ref="I6998">_xlfn.STDEV.P(IF(Table1[IndicatorCode]=Table1[[#This Row],[IndicatorCode]],Table1[value]))</f>
        <v>26324.778297809873</v>
      </c>
      <c r="J6998">
        <f>(Table1[[#This Row],[value]] - Table1[[#This Row],[mean]]) / Table1[[#This Row],[std_dev]]</f>
        <v>-0.90439080886674172</v>
      </c>
      <c r="K6998">
        <f>AVERAGEIF(Table1[CountryCode],Table1[[#This Row],[CountryCode]],Table1[z-score])</f>
        <v>-1.2093107186394518</v>
      </c>
      <c r="L6998" t="e">
        <f>VLOOKUP(Table1[[#This Row],[CountryCode]],[1]!Table1[#All],1,FALSE)</f>
        <v>#REF!</v>
      </c>
    </row>
    <row r="6999" spans="1:12" hidden="1" x14ac:dyDescent="0.3">
      <c r="A6999" t="s">
        <v>113</v>
      </c>
      <c r="B6999" t="s">
        <v>114</v>
      </c>
      <c r="C6999" t="s">
        <v>127</v>
      </c>
      <c r="D6999" t="s">
        <v>128</v>
      </c>
      <c r="E6999">
        <v>2019</v>
      </c>
      <c r="F6999" s="1">
        <v>1148</v>
      </c>
      <c r="G6999">
        <v>2020</v>
      </c>
      <c r="H6999">
        <f>AVERAGEIFS(Table1[value],Table1[IndicatorCode],Table1[[#This Row],[IndicatorCode]])</f>
        <v>24902.88753799392</v>
      </c>
      <c r="I6999" cm="1">
        <f t="array" ref="I6999">_xlfn.STDEV.P(IF(Table1[IndicatorCode]=Table1[[#This Row],[IndicatorCode]],Table1[value]))</f>
        <v>26324.778297809873</v>
      </c>
      <c r="J6999">
        <f>(Table1[[#This Row],[value]] - Table1[[#This Row],[mean]]) / Table1[[#This Row],[std_dev]]</f>
        <v>-0.90237749656452915</v>
      </c>
      <c r="K6999">
        <f>AVERAGEIF(Table1[CountryCode],Table1[[#This Row],[CountryCode]],Table1[z-score])</f>
        <v>-1.2093107186394518</v>
      </c>
      <c r="L6999" t="e">
        <f>VLOOKUP(Table1[[#This Row],[CountryCode]],[1]!Table1[#All],1,FALSE)</f>
        <v>#REF!</v>
      </c>
    </row>
    <row r="7000" spans="1:12" x14ac:dyDescent="0.3">
      <c r="A7000" t="s">
        <v>93</v>
      </c>
      <c r="B7000" t="s">
        <v>94</v>
      </c>
      <c r="C7000" t="s">
        <v>127</v>
      </c>
      <c r="D7000" t="s">
        <v>128</v>
      </c>
      <c r="E7000">
        <v>2020</v>
      </c>
      <c r="F7000" s="1">
        <v>75287</v>
      </c>
      <c r="G7000">
        <v>2020</v>
      </c>
      <c r="H7000">
        <f>AVERAGEIFS(Table1[value],Table1[IndicatorCode],Table1[[#This Row],[IndicatorCode]])</f>
        <v>24902.88753799392</v>
      </c>
      <c r="I7000" cm="1">
        <f t="array" ref="I7000">_xlfn.STDEV.P(IF(Table1[IndicatorCode]=Table1[[#This Row],[IndicatorCode]],Table1[value]))</f>
        <v>26324.778297809873</v>
      </c>
      <c r="J7000">
        <f>(Table1[[#This Row],[value]] - Table1[[#This Row],[mean]]) / Table1[[#This Row],[std_dev]]</f>
        <v>1.9139425180343439</v>
      </c>
      <c r="K7000">
        <f>AVERAGEIF(Table1[CountryCode],Table1[[#This Row],[CountryCode]],Table1[z-score])</f>
        <v>0.64774457538517582</v>
      </c>
    </row>
    <row r="7001" spans="1:12" hidden="1" x14ac:dyDescent="0.3">
      <c r="A7001" t="s">
        <v>113</v>
      </c>
      <c r="B7001" t="s">
        <v>114</v>
      </c>
      <c r="C7001" t="s">
        <v>127</v>
      </c>
      <c r="D7001" t="s">
        <v>128</v>
      </c>
      <c r="E7001">
        <v>2021</v>
      </c>
      <c r="F7001" s="1">
        <v>1254</v>
      </c>
      <c r="G7001">
        <v>2020</v>
      </c>
      <c r="H7001">
        <f>AVERAGEIFS(Table1[value],Table1[IndicatorCode],Table1[[#This Row],[IndicatorCode]])</f>
        <v>24902.88753799392</v>
      </c>
      <c r="I7001" cm="1">
        <f t="array" ref="I7001">_xlfn.STDEV.P(IF(Table1[IndicatorCode]=Table1[[#This Row],[IndicatorCode]],Table1[value]))</f>
        <v>26324.778297809873</v>
      </c>
      <c r="J7001">
        <f>(Table1[[#This Row],[value]] - Table1[[#This Row],[mean]]) / Table1[[#This Row],[std_dev]]</f>
        <v>-0.89835087196010388</v>
      </c>
      <c r="K7001">
        <f>AVERAGEIF(Table1[CountryCode],Table1[[#This Row],[CountryCode]],Table1[z-score])</f>
        <v>-1.2093107186394518</v>
      </c>
      <c r="L7001" t="e">
        <f>VLOOKUP(Table1[[#This Row],[CountryCode]],[1]!Table1[#All],1,FALSE)</f>
        <v>#REF!</v>
      </c>
    </row>
    <row r="7002" spans="1:12" hidden="1" x14ac:dyDescent="0.3">
      <c r="A7002" t="s">
        <v>113</v>
      </c>
      <c r="B7002" t="s">
        <v>114</v>
      </c>
      <c r="C7002" t="s">
        <v>127</v>
      </c>
      <c r="D7002" t="s">
        <v>128</v>
      </c>
      <c r="E7002">
        <v>2022</v>
      </c>
      <c r="F7002" s="1">
        <v>1326</v>
      </c>
      <c r="G7002">
        <v>1980</v>
      </c>
      <c r="H7002">
        <f>AVERAGEIFS(Table1[value],Table1[IndicatorCode],Table1[[#This Row],[IndicatorCode]])</f>
        <v>24902.88753799392</v>
      </c>
      <c r="I7002" cm="1">
        <f t="array" ref="I7002">_xlfn.STDEV.P(IF(Table1[IndicatorCode]=Table1[[#This Row],[IndicatorCode]],Table1[value]))</f>
        <v>26324.778297809873</v>
      </c>
      <c r="J7002">
        <f>(Table1[[#This Row],[value]] - Table1[[#This Row],[mean]]) / Table1[[#This Row],[std_dev]]</f>
        <v>-0.8956158061910604</v>
      </c>
      <c r="K7002">
        <f>AVERAGEIF(Table1[CountryCode],Table1[[#This Row],[CountryCode]],Table1[z-score])</f>
        <v>-1.2093107186394518</v>
      </c>
      <c r="L7002" t="e">
        <f>VLOOKUP(Table1[[#This Row],[CountryCode]],[1]!Table1[#All],1,FALSE)</f>
        <v>#REF!</v>
      </c>
    </row>
    <row r="7003" spans="1:12" hidden="1" x14ac:dyDescent="0.3">
      <c r="A7003" t="s">
        <v>113</v>
      </c>
      <c r="B7003" t="s">
        <v>114</v>
      </c>
      <c r="C7003" t="s">
        <v>127</v>
      </c>
      <c r="D7003" t="s">
        <v>128</v>
      </c>
      <c r="E7003">
        <v>2023</v>
      </c>
      <c r="F7003" s="1">
        <v>1407</v>
      </c>
      <c r="G7003">
        <v>1980</v>
      </c>
      <c r="H7003">
        <f>AVERAGEIFS(Table1[value],Table1[IndicatorCode],Table1[[#This Row],[IndicatorCode]])</f>
        <v>24902.88753799392</v>
      </c>
      <c r="I7003" cm="1">
        <f t="array" ref="I7003">_xlfn.STDEV.P(IF(Table1[IndicatorCode]=Table1[[#This Row],[IndicatorCode]],Table1[value]))</f>
        <v>26324.778297809873</v>
      </c>
      <c r="J7003">
        <f>(Table1[[#This Row],[value]] - Table1[[#This Row],[mean]]) / Table1[[#This Row],[std_dev]]</f>
        <v>-0.89253885720088644</v>
      </c>
      <c r="K7003">
        <f>AVERAGEIF(Table1[CountryCode],Table1[[#This Row],[CountryCode]],Table1[z-score])</f>
        <v>-1.2093107186394518</v>
      </c>
      <c r="L7003" t="e">
        <f>VLOOKUP(Table1[[#This Row],[CountryCode]],[1]!Table1[#All],1,FALSE)</f>
        <v>#REF!</v>
      </c>
    </row>
    <row r="7004" spans="1:12" hidden="1" x14ac:dyDescent="0.3">
      <c r="A7004" t="s">
        <v>113</v>
      </c>
      <c r="B7004" t="s">
        <v>114</v>
      </c>
      <c r="C7004" t="s">
        <v>127</v>
      </c>
      <c r="D7004" t="s">
        <v>128</v>
      </c>
      <c r="E7004">
        <v>2024</v>
      </c>
      <c r="F7004" s="1">
        <v>1496</v>
      </c>
      <c r="G7004">
        <v>1980</v>
      </c>
      <c r="H7004">
        <f>AVERAGEIFS(Table1[value],Table1[IndicatorCode],Table1[[#This Row],[IndicatorCode]])</f>
        <v>24902.88753799392</v>
      </c>
      <c r="I7004" cm="1">
        <f t="array" ref="I7004">_xlfn.STDEV.P(IF(Table1[IndicatorCode]=Table1[[#This Row],[IndicatorCode]],Table1[value]))</f>
        <v>26324.778297809873</v>
      </c>
      <c r="J7004">
        <f>(Table1[[#This Row],[value]] - Table1[[#This Row],[mean]]) / Table1[[#This Row],[std_dev]]</f>
        <v>-0.88915801201415201</v>
      </c>
      <c r="K7004">
        <f>AVERAGEIF(Table1[CountryCode],Table1[[#This Row],[CountryCode]],Table1[z-score])</f>
        <v>-1.2093107186394518</v>
      </c>
      <c r="L7004" t="e">
        <f>VLOOKUP(Table1[[#This Row],[CountryCode]],[1]!Table1[#All],1,FALSE)</f>
        <v>#REF!</v>
      </c>
    </row>
    <row r="7005" spans="1:12" hidden="1" x14ac:dyDescent="0.3">
      <c r="A7005" t="s">
        <v>115</v>
      </c>
      <c r="B7005" t="s">
        <v>116</v>
      </c>
      <c r="C7005" t="s">
        <v>127</v>
      </c>
      <c r="D7005" t="s">
        <v>128</v>
      </c>
      <c r="E7005">
        <v>1987</v>
      </c>
      <c r="F7005" s="1">
        <v>2646</v>
      </c>
      <c r="G7005">
        <v>1990</v>
      </c>
      <c r="H7005">
        <f>AVERAGEIFS(Table1[value],Table1[IndicatorCode],Table1[[#This Row],[IndicatorCode]])</f>
        <v>24902.88753799392</v>
      </c>
      <c r="I7005" cm="1">
        <f t="array" ref="I7005">_xlfn.STDEV.P(IF(Table1[IndicatorCode]=Table1[[#This Row],[IndicatorCode]],Table1[value]))</f>
        <v>26324.778297809873</v>
      </c>
      <c r="J7005">
        <f>(Table1[[#This Row],[value]] - Table1[[#This Row],[mean]]) / Table1[[#This Row],[std_dev]]</f>
        <v>-0.84547293375859556</v>
      </c>
      <c r="K7005">
        <f>AVERAGEIF(Table1[CountryCode],Table1[[#This Row],[CountryCode]],Table1[z-score])</f>
        <v>-0.55461759774946673</v>
      </c>
      <c r="L7005" t="e">
        <f>VLOOKUP(Table1[[#This Row],[CountryCode]],[1]!Table1[#All],1,FALSE)</f>
        <v>#REF!</v>
      </c>
    </row>
    <row r="7006" spans="1:12" hidden="1" x14ac:dyDescent="0.3">
      <c r="A7006" t="s">
        <v>115</v>
      </c>
      <c r="B7006" t="s">
        <v>116</v>
      </c>
      <c r="C7006" t="s">
        <v>127</v>
      </c>
      <c r="D7006" t="s">
        <v>128</v>
      </c>
      <c r="E7006">
        <v>1988</v>
      </c>
      <c r="F7006" s="1">
        <v>2849</v>
      </c>
      <c r="G7006">
        <v>1990</v>
      </c>
      <c r="H7006">
        <f>AVERAGEIFS(Table1[value],Table1[IndicatorCode],Table1[[#This Row],[IndicatorCode]])</f>
        <v>24902.88753799392</v>
      </c>
      <c r="I7006" cm="1">
        <f t="array" ref="I7006">_xlfn.STDEV.P(IF(Table1[IndicatorCode]=Table1[[#This Row],[IndicatorCode]],Table1[value]))</f>
        <v>26324.778297809873</v>
      </c>
      <c r="J7006">
        <f>(Table1[[#This Row],[value]] - Table1[[#This Row],[mean]]) / Table1[[#This Row],[std_dev]]</f>
        <v>-0.83776156777087551</v>
      </c>
      <c r="K7006">
        <f>AVERAGEIF(Table1[CountryCode],Table1[[#This Row],[CountryCode]],Table1[z-score])</f>
        <v>-0.55461759774946673</v>
      </c>
      <c r="L7006" t="e">
        <f>VLOOKUP(Table1[[#This Row],[CountryCode]],[1]!Table1[#All],1,FALSE)</f>
        <v>#REF!</v>
      </c>
    </row>
    <row r="7007" spans="1:12" hidden="1" x14ac:dyDescent="0.3">
      <c r="A7007" t="s">
        <v>115</v>
      </c>
      <c r="B7007" t="s">
        <v>116</v>
      </c>
      <c r="C7007" t="s">
        <v>127</v>
      </c>
      <c r="D7007" t="s">
        <v>128</v>
      </c>
      <c r="E7007">
        <v>1989</v>
      </c>
      <c r="F7007" s="1">
        <v>2651</v>
      </c>
      <c r="G7007">
        <v>1990</v>
      </c>
      <c r="H7007">
        <f>AVERAGEIFS(Table1[value],Table1[IndicatorCode],Table1[[#This Row],[IndicatorCode]])</f>
        <v>24902.88753799392</v>
      </c>
      <c r="I7007" cm="1">
        <f t="array" ref="I7007">_xlfn.STDEV.P(IF(Table1[IndicatorCode]=Table1[[#This Row],[IndicatorCode]],Table1[value]))</f>
        <v>26324.778297809873</v>
      </c>
      <c r="J7007">
        <f>(Table1[[#This Row],[value]] - Table1[[#This Row],[mean]]) / Table1[[#This Row],[std_dev]]</f>
        <v>-0.8452829986357453</v>
      </c>
      <c r="K7007">
        <f>AVERAGEIF(Table1[CountryCode],Table1[[#This Row],[CountryCode]],Table1[z-score])</f>
        <v>-0.55461759774946673</v>
      </c>
      <c r="L7007" t="e">
        <f>VLOOKUP(Table1[[#This Row],[CountryCode]],[1]!Table1[#All],1,FALSE)</f>
        <v>#REF!</v>
      </c>
    </row>
    <row r="7008" spans="1:12" hidden="1" x14ac:dyDescent="0.3">
      <c r="A7008" t="s">
        <v>115</v>
      </c>
      <c r="B7008" t="s">
        <v>116</v>
      </c>
      <c r="C7008" t="s">
        <v>127</v>
      </c>
      <c r="D7008" t="s">
        <v>128</v>
      </c>
      <c r="E7008">
        <v>1990</v>
      </c>
      <c r="F7008" s="1">
        <v>3496</v>
      </c>
      <c r="G7008">
        <v>1990</v>
      </c>
      <c r="H7008">
        <f>AVERAGEIFS(Table1[value],Table1[IndicatorCode],Table1[[#This Row],[IndicatorCode]])</f>
        <v>24902.88753799392</v>
      </c>
      <c r="I7008" cm="1">
        <f t="array" ref="I7008">_xlfn.STDEV.P(IF(Table1[IndicatorCode]=Table1[[#This Row],[IndicatorCode]],Table1[value]))</f>
        <v>26324.778297809873</v>
      </c>
      <c r="J7008">
        <f>(Table1[[#This Row],[value]] - Table1[[#This Row],[mean]]) / Table1[[#This Row],[std_dev]]</f>
        <v>-0.81318396287405381</v>
      </c>
      <c r="K7008">
        <f>AVERAGEIF(Table1[CountryCode],Table1[[#This Row],[CountryCode]],Table1[z-score])</f>
        <v>-0.55461759774946673</v>
      </c>
      <c r="L7008" t="e">
        <f>VLOOKUP(Table1[[#This Row],[CountryCode]],[1]!Table1[#All],1,FALSE)</f>
        <v>#REF!</v>
      </c>
    </row>
    <row r="7009" spans="1:12" hidden="1" x14ac:dyDescent="0.3">
      <c r="A7009" t="s">
        <v>115</v>
      </c>
      <c r="B7009" t="s">
        <v>116</v>
      </c>
      <c r="C7009" t="s">
        <v>127</v>
      </c>
      <c r="D7009" t="s">
        <v>128</v>
      </c>
      <c r="E7009">
        <v>1991</v>
      </c>
      <c r="F7009" s="1">
        <v>3252</v>
      </c>
      <c r="G7009">
        <v>1990</v>
      </c>
      <c r="H7009">
        <f>AVERAGEIFS(Table1[value],Table1[IndicatorCode],Table1[[#This Row],[IndicatorCode]])</f>
        <v>24902.88753799392</v>
      </c>
      <c r="I7009" cm="1">
        <f t="array" ref="I7009">_xlfn.STDEV.P(IF(Table1[IndicatorCode]=Table1[[#This Row],[IndicatorCode]],Table1[value]))</f>
        <v>26324.778297809873</v>
      </c>
      <c r="J7009">
        <f>(Table1[[#This Row],[value]] - Table1[[#This Row],[mean]]) / Table1[[#This Row],[std_dev]]</f>
        <v>-0.82245279686914574</v>
      </c>
      <c r="K7009">
        <f>AVERAGEIF(Table1[CountryCode],Table1[[#This Row],[CountryCode]],Table1[z-score])</f>
        <v>-0.55461759774946673</v>
      </c>
      <c r="L7009" t="e">
        <f>VLOOKUP(Table1[[#This Row],[CountryCode]],[1]!Table1[#All],1,FALSE)</f>
        <v>#REF!</v>
      </c>
    </row>
    <row r="7010" spans="1:12" hidden="1" x14ac:dyDescent="0.3">
      <c r="A7010" t="s">
        <v>115</v>
      </c>
      <c r="B7010" t="s">
        <v>116</v>
      </c>
      <c r="C7010" t="s">
        <v>127</v>
      </c>
      <c r="D7010" t="s">
        <v>128</v>
      </c>
      <c r="E7010">
        <v>1992</v>
      </c>
      <c r="F7010" s="1">
        <v>2703</v>
      </c>
      <c r="G7010">
        <v>1990</v>
      </c>
      <c r="H7010">
        <f>AVERAGEIFS(Table1[value],Table1[IndicatorCode],Table1[[#This Row],[IndicatorCode]])</f>
        <v>24902.88753799392</v>
      </c>
      <c r="I7010" cm="1">
        <f t="array" ref="I7010">_xlfn.STDEV.P(IF(Table1[IndicatorCode]=Table1[[#This Row],[IndicatorCode]],Table1[value]))</f>
        <v>26324.778297809873</v>
      </c>
      <c r="J7010">
        <f>(Table1[[#This Row],[value]] - Table1[[#This Row],[mean]]) / Table1[[#This Row],[std_dev]]</f>
        <v>-0.84330767335810275</v>
      </c>
      <c r="K7010">
        <f>AVERAGEIF(Table1[CountryCode],Table1[[#This Row],[CountryCode]],Table1[z-score])</f>
        <v>-0.55461759774946673</v>
      </c>
      <c r="L7010" t="e">
        <f>VLOOKUP(Table1[[#This Row],[CountryCode]],[1]!Table1[#All],1,FALSE)</f>
        <v>#REF!</v>
      </c>
    </row>
    <row r="7011" spans="1:12" hidden="1" x14ac:dyDescent="0.3">
      <c r="A7011" t="s">
        <v>115</v>
      </c>
      <c r="B7011" t="s">
        <v>116</v>
      </c>
      <c r="C7011" t="s">
        <v>127</v>
      </c>
      <c r="D7011" t="s">
        <v>128</v>
      </c>
      <c r="E7011">
        <v>1993</v>
      </c>
      <c r="F7011" s="1">
        <v>2684</v>
      </c>
      <c r="G7011">
        <v>1990</v>
      </c>
      <c r="H7011">
        <f>AVERAGEIFS(Table1[value],Table1[IndicatorCode],Table1[[#This Row],[IndicatorCode]])</f>
        <v>24902.88753799392</v>
      </c>
      <c r="I7011" cm="1">
        <f t="array" ref="I7011">_xlfn.STDEV.P(IF(Table1[IndicatorCode]=Table1[[#This Row],[IndicatorCode]],Table1[value]))</f>
        <v>26324.778297809873</v>
      </c>
      <c r="J7011">
        <f>(Table1[[#This Row],[value]] - Table1[[#This Row],[mean]]) / Table1[[#This Row],[std_dev]]</f>
        <v>-0.84402942682493365</v>
      </c>
      <c r="K7011">
        <f>AVERAGEIF(Table1[CountryCode],Table1[[#This Row],[CountryCode]],Table1[z-score])</f>
        <v>-0.55461759774946673</v>
      </c>
      <c r="L7011" t="e">
        <f>VLOOKUP(Table1[[#This Row],[CountryCode]],[1]!Table1[#All],1,FALSE)</f>
        <v>#REF!</v>
      </c>
    </row>
    <row r="7012" spans="1:12" hidden="1" x14ac:dyDescent="0.3">
      <c r="A7012" t="s">
        <v>115</v>
      </c>
      <c r="B7012" t="s">
        <v>116</v>
      </c>
      <c r="C7012" t="s">
        <v>127</v>
      </c>
      <c r="D7012" t="s">
        <v>128</v>
      </c>
      <c r="E7012">
        <v>1994</v>
      </c>
      <c r="F7012" s="1">
        <v>2174</v>
      </c>
      <c r="G7012">
        <v>1990</v>
      </c>
      <c r="H7012">
        <f>AVERAGEIFS(Table1[value],Table1[IndicatorCode],Table1[[#This Row],[IndicatorCode]])</f>
        <v>24902.88753799392</v>
      </c>
      <c r="I7012" cm="1">
        <f t="array" ref="I7012">_xlfn.STDEV.P(IF(Table1[IndicatorCode]=Table1[[#This Row],[IndicatorCode]],Table1[value]))</f>
        <v>26324.778297809873</v>
      </c>
      <c r="J7012">
        <f>(Table1[[#This Row],[value]] - Table1[[#This Row],[mean]]) / Table1[[#This Row],[std_dev]]</f>
        <v>-0.86340280935565872</v>
      </c>
      <c r="K7012">
        <f>AVERAGEIF(Table1[CountryCode],Table1[[#This Row],[CountryCode]],Table1[z-score])</f>
        <v>-0.55461759774946673</v>
      </c>
      <c r="L7012" t="e">
        <f>VLOOKUP(Table1[[#This Row],[CountryCode]],[1]!Table1[#All],1,FALSE)</f>
        <v>#REF!</v>
      </c>
    </row>
    <row r="7013" spans="1:12" hidden="1" x14ac:dyDescent="0.3">
      <c r="A7013" t="s">
        <v>115</v>
      </c>
      <c r="B7013" t="s">
        <v>116</v>
      </c>
      <c r="C7013" t="s">
        <v>127</v>
      </c>
      <c r="D7013" t="s">
        <v>128</v>
      </c>
      <c r="E7013">
        <v>1995</v>
      </c>
      <c r="F7013" s="1">
        <v>1982</v>
      </c>
      <c r="G7013">
        <v>1990</v>
      </c>
      <c r="H7013">
        <f>AVERAGEIFS(Table1[value],Table1[IndicatorCode],Table1[[#This Row],[IndicatorCode]])</f>
        <v>24902.88753799392</v>
      </c>
      <c r="I7013" cm="1">
        <f t="array" ref="I7013">_xlfn.STDEV.P(IF(Table1[IndicatorCode]=Table1[[#This Row],[IndicatorCode]],Table1[value]))</f>
        <v>26324.778297809873</v>
      </c>
      <c r="J7013">
        <f>(Table1[[#This Row],[value]] - Table1[[#This Row],[mean]]) / Table1[[#This Row],[std_dev]]</f>
        <v>-0.87069631807310821</v>
      </c>
      <c r="K7013">
        <f>AVERAGEIF(Table1[CountryCode],Table1[[#This Row],[CountryCode]],Table1[z-score])</f>
        <v>-0.55461759774946673</v>
      </c>
      <c r="L7013" t="e">
        <f>VLOOKUP(Table1[[#This Row],[CountryCode]],[1]!Table1[#All],1,FALSE)</f>
        <v>#REF!</v>
      </c>
    </row>
    <row r="7014" spans="1:12" hidden="1" x14ac:dyDescent="0.3">
      <c r="A7014" t="s">
        <v>115</v>
      </c>
      <c r="B7014" t="s">
        <v>116</v>
      </c>
      <c r="C7014" t="s">
        <v>127</v>
      </c>
      <c r="D7014" t="s">
        <v>128</v>
      </c>
      <c r="E7014">
        <v>1996</v>
      </c>
      <c r="F7014" s="1">
        <v>2079</v>
      </c>
      <c r="G7014">
        <v>1990</v>
      </c>
      <c r="H7014">
        <f>AVERAGEIFS(Table1[value],Table1[IndicatorCode],Table1[[#This Row],[IndicatorCode]])</f>
        <v>24902.88753799392</v>
      </c>
      <c r="I7014" cm="1">
        <f t="array" ref="I7014">_xlfn.STDEV.P(IF(Table1[IndicatorCode]=Table1[[#This Row],[IndicatorCode]],Table1[value]))</f>
        <v>26324.778297809873</v>
      </c>
      <c r="J7014">
        <f>(Table1[[#This Row],[value]] - Table1[[#This Row],[mean]]) / Table1[[#This Row],[std_dev]]</f>
        <v>-0.86701157668981343</v>
      </c>
      <c r="K7014">
        <f>AVERAGEIF(Table1[CountryCode],Table1[[#This Row],[CountryCode]],Table1[z-score])</f>
        <v>-0.55461759774946673</v>
      </c>
      <c r="L7014" t="e">
        <f>VLOOKUP(Table1[[#This Row],[CountryCode]],[1]!Table1[#All],1,FALSE)</f>
        <v>#REF!</v>
      </c>
    </row>
    <row r="7015" spans="1:12" hidden="1" x14ac:dyDescent="0.3">
      <c r="A7015" t="s">
        <v>115</v>
      </c>
      <c r="B7015" t="s">
        <v>116</v>
      </c>
      <c r="C7015" t="s">
        <v>127</v>
      </c>
      <c r="D7015" t="s">
        <v>128</v>
      </c>
      <c r="E7015">
        <v>1997</v>
      </c>
      <c r="F7015" s="1">
        <v>1811</v>
      </c>
      <c r="G7015">
        <v>2000</v>
      </c>
      <c r="H7015">
        <f>AVERAGEIFS(Table1[value],Table1[IndicatorCode],Table1[[#This Row],[IndicatorCode]])</f>
        <v>24902.88753799392</v>
      </c>
      <c r="I7015" cm="1">
        <f t="array" ref="I7015">_xlfn.STDEV.P(IF(Table1[IndicatorCode]=Table1[[#This Row],[IndicatorCode]],Table1[value]))</f>
        <v>26324.778297809873</v>
      </c>
      <c r="J7015">
        <f>(Table1[[#This Row],[value]] - Table1[[#This Row],[mean]]) / Table1[[#This Row],[std_dev]]</f>
        <v>-0.87719209927458652</v>
      </c>
      <c r="K7015">
        <f>AVERAGEIF(Table1[CountryCode],Table1[[#This Row],[CountryCode]],Table1[z-score])</f>
        <v>-0.55461759774946673</v>
      </c>
      <c r="L7015" t="e">
        <f>VLOOKUP(Table1[[#This Row],[CountryCode]],[1]!Table1[#All],1,FALSE)</f>
        <v>#REF!</v>
      </c>
    </row>
    <row r="7016" spans="1:12" hidden="1" x14ac:dyDescent="0.3">
      <c r="A7016" t="s">
        <v>115</v>
      </c>
      <c r="B7016" t="s">
        <v>116</v>
      </c>
      <c r="C7016" t="s">
        <v>127</v>
      </c>
      <c r="D7016" t="s">
        <v>128</v>
      </c>
      <c r="E7016">
        <v>1998</v>
      </c>
      <c r="F7016" s="1">
        <v>1907</v>
      </c>
      <c r="G7016">
        <v>2000</v>
      </c>
      <c r="H7016">
        <f>AVERAGEIFS(Table1[value],Table1[IndicatorCode],Table1[[#This Row],[IndicatorCode]])</f>
        <v>24902.88753799392</v>
      </c>
      <c r="I7016" cm="1">
        <f t="array" ref="I7016">_xlfn.STDEV.P(IF(Table1[IndicatorCode]=Table1[[#This Row],[IndicatorCode]],Table1[value]))</f>
        <v>26324.778297809873</v>
      </c>
      <c r="J7016">
        <f>(Table1[[#This Row],[value]] - Table1[[#This Row],[mean]]) / Table1[[#This Row],[std_dev]]</f>
        <v>-0.87354534491586189</v>
      </c>
      <c r="K7016">
        <f>AVERAGEIF(Table1[CountryCode],Table1[[#This Row],[CountryCode]],Table1[z-score])</f>
        <v>-0.55461759774946673</v>
      </c>
      <c r="L7016" t="e">
        <f>VLOOKUP(Table1[[#This Row],[CountryCode]],[1]!Table1[#All],1,FALSE)</f>
        <v>#REF!</v>
      </c>
    </row>
    <row r="7017" spans="1:12" hidden="1" x14ac:dyDescent="0.3">
      <c r="A7017" t="s">
        <v>115</v>
      </c>
      <c r="B7017" t="s">
        <v>116</v>
      </c>
      <c r="C7017" t="s">
        <v>127</v>
      </c>
      <c r="D7017" t="s">
        <v>128</v>
      </c>
      <c r="E7017">
        <v>1999</v>
      </c>
      <c r="F7017" s="1">
        <v>2181</v>
      </c>
      <c r="G7017">
        <v>2000</v>
      </c>
      <c r="H7017">
        <f>AVERAGEIFS(Table1[value],Table1[IndicatorCode],Table1[[#This Row],[IndicatorCode]])</f>
        <v>24902.88753799392</v>
      </c>
      <c r="I7017" cm="1">
        <f t="array" ref="I7017">_xlfn.STDEV.P(IF(Table1[IndicatorCode]=Table1[[#This Row],[IndicatorCode]],Table1[value]))</f>
        <v>26324.778297809873</v>
      </c>
      <c r="J7017">
        <f>(Table1[[#This Row],[value]] - Table1[[#This Row],[mean]]) / Table1[[#This Row],[std_dev]]</f>
        <v>-0.8631369001836684</v>
      </c>
      <c r="K7017">
        <f>AVERAGEIF(Table1[CountryCode],Table1[[#This Row],[CountryCode]],Table1[z-score])</f>
        <v>-0.55461759774946673</v>
      </c>
      <c r="L7017" t="e">
        <f>VLOOKUP(Table1[[#This Row],[CountryCode]],[1]!Table1[#All],1,FALSE)</f>
        <v>#REF!</v>
      </c>
    </row>
    <row r="7018" spans="1:12" hidden="1" x14ac:dyDescent="0.3">
      <c r="A7018" t="s">
        <v>115</v>
      </c>
      <c r="B7018" t="s">
        <v>116</v>
      </c>
      <c r="C7018" t="s">
        <v>127</v>
      </c>
      <c r="D7018" t="s">
        <v>128</v>
      </c>
      <c r="E7018">
        <v>2000</v>
      </c>
      <c r="F7018" s="1">
        <v>2255</v>
      </c>
      <c r="G7018">
        <v>2000</v>
      </c>
      <c r="H7018">
        <f>AVERAGEIFS(Table1[value],Table1[IndicatorCode],Table1[[#This Row],[IndicatorCode]])</f>
        <v>24902.88753799392</v>
      </c>
      <c r="I7018" cm="1">
        <f t="array" ref="I7018">_xlfn.STDEV.P(IF(Table1[IndicatorCode]=Table1[[#This Row],[IndicatorCode]],Table1[value]))</f>
        <v>26324.778297809873</v>
      </c>
      <c r="J7018">
        <f>(Table1[[#This Row],[value]] - Table1[[#This Row],[mean]]) / Table1[[#This Row],[std_dev]]</f>
        <v>-0.86032586036548475</v>
      </c>
      <c r="K7018">
        <f>AVERAGEIF(Table1[CountryCode],Table1[[#This Row],[CountryCode]],Table1[z-score])</f>
        <v>-0.55461759774946673</v>
      </c>
      <c r="L7018" t="e">
        <f>VLOOKUP(Table1[[#This Row],[CountryCode]],[1]!Table1[#All],1,FALSE)</f>
        <v>#REF!</v>
      </c>
    </row>
    <row r="7019" spans="1:12" hidden="1" x14ac:dyDescent="0.3">
      <c r="A7019" t="s">
        <v>115</v>
      </c>
      <c r="B7019" t="s">
        <v>116</v>
      </c>
      <c r="C7019" t="s">
        <v>127</v>
      </c>
      <c r="D7019" t="s">
        <v>128</v>
      </c>
      <c r="E7019">
        <v>2001</v>
      </c>
      <c r="F7019" s="1">
        <v>2306</v>
      </c>
      <c r="G7019">
        <v>2000</v>
      </c>
      <c r="H7019">
        <f>AVERAGEIFS(Table1[value],Table1[IndicatorCode],Table1[[#This Row],[IndicatorCode]])</f>
        <v>24902.88753799392</v>
      </c>
      <c r="I7019" cm="1">
        <f t="array" ref="I7019">_xlfn.STDEV.P(IF(Table1[IndicatorCode]=Table1[[#This Row],[IndicatorCode]],Table1[value]))</f>
        <v>26324.778297809873</v>
      </c>
      <c r="J7019">
        <f>(Table1[[#This Row],[value]] - Table1[[#This Row],[mean]]) / Table1[[#This Row],[std_dev]]</f>
        <v>-0.85838852211241223</v>
      </c>
      <c r="K7019">
        <f>AVERAGEIF(Table1[CountryCode],Table1[[#This Row],[CountryCode]],Table1[z-score])</f>
        <v>-0.55461759774946673</v>
      </c>
      <c r="L7019" t="e">
        <f>VLOOKUP(Table1[[#This Row],[CountryCode]],[1]!Table1[#All],1,FALSE)</f>
        <v>#REF!</v>
      </c>
    </row>
    <row r="7020" spans="1:12" hidden="1" x14ac:dyDescent="0.3">
      <c r="A7020" t="s">
        <v>115</v>
      </c>
      <c r="B7020" t="s">
        <v>116</v>
      </c>
      <c r="C7020" t="s">
        <v>127</v>
      </c>
      <c r="D7020" t="s">
        <v>128</v>
      </c>
      <c r="E7020">
        <v>2002</v>
      </c>
      <c r="F7020" s="1">
        <v>2267</v>
      </c>
      <c r="G7020">
        <v>2000</v>
      </c>
      <c r="H7020">
        <f>AVERAGEIFS(Table1[value],Table1[IndicatorCode],Table1[[#This Row],[IndicatorCode]])</f>
        <v>24902.88753799392</v>
      </c>
      <c r="I7020" cm="1">
        <f t="array" ref="I7020">_xlfn.STDEV.P(IF(Table1[IndicatorCode]=Table1[[#This Row],[IndicatorCode]],Table1[value]))</f>
        <v>26324.778297809873</v>
      </c>
      <c r="J7020">
        <f>(Table1[[#This Row],[value]] - Table1[[#This Row],[mean]]) / Table1[[#This Row],[std_dev]]</f>
        <v>-0.85987001607064417</v>
      </c>
      <c r="K7020">
        <f>AVERAGEIF(Table1[CountryCode],Table1[[#This Row],[CountryCode]],Table1[z-score])</f>
        <v>-0.55461759774946673</v>
      </c>
      <c r="L7020" t="e">
        <f>VLOOKUP(Table1[[#This Row],[CountryCode]],[1]!Table1[#All],1,FALSE)</f>
        <v>#REF!</v>
      </c>
    </row>
    <row r="7021" spans="1:12" hidden="1" x14ac:dyDescent="0.3">
      <c r="A7021" t="s">
        <v>115</v>
      </c>
      <c r="B7021" t="s">
        <v>116</v>
      </c>
      <c r="C7021" t="s">
        <v>127</v>
      </c>
      <c r="D7021" t="s">
        <v>128</v>
      </c>
      <c r="E7021">
        <v>2003</v>
      </c>
      <c r="F7021" s="1">
        <v>2295</v>
      </c>
      <c r="G7021">
        <v>2000</v>
      </c>
      <c r="H7021">
        <f>AVERAGEIFS(Table1[value],Table1[IndicatorCode],Table1[[#This Row],[IndicatorCode]])</f>
        <v>24902.88753799392</v>
      </c>
      <c r="I7021" cm="1">
        <f t="array" ref="I7021">_xlfn.STDEV.P(IF(Table1[IndicatorCode]=Table1[[#This Row],[IndicatorCode]],Table1[value]))</f>
        <v>26324.778297809873</v>
      </c>
      <c r="J7021">
        <f>(Table1[[#This Row],[value]] - Table1[[#This Row],[mean]]) / Table1[[#This Row],[std_dev]]</f>
        <v>-0.85880637938268278</v>
      </c>
      <c r="K7021">
        <f>AVERAGEIF(Table1[CountryCode],Table1[[#This Row],[CountryCode]],Table1[z-score])</f>
        <v>-0.55461759774946673</v>
      </c>
      <c r="L7021" t="e">
        <f>VLOOKUP(Table1[[#This Row],[CountryCode]],[1]!Table1[#All],1,FALSE)</f>
        <v>#REF!</v>
      </c>
    </row>
    <row r="7022" spans="1:12" hidden="1" x14ac:dyDescent="0.3">
      <c r="A7022" t="s">
        <v>115</v>
      </c>
      <c r="B7022" t="s">
        <v>116</v>
      </c>
      <c r="C7022" t="s">
        <v>127</v>
      </c>
      <c r="D7022" t="s">
        <v>128</v>
      </c>
      <c r="E7022">
        <v>2004</v>
      </c>
      <c r="F7022" s="1">
        <v>2364</v>
      </c>
      <c r="G7022">
        <v>2000</v>
      </c>
      <c r="H7022">
        <f>AVERAGEIFS(Table1[value],Table1[IndicatorCode],Table1[[#This Row],[IndicatorCode]])</f>
        <v>24902.88753799392</v>
      </c>
      <c r="I7022" cm="1">
        <f t="array" ref="I7022">_xlfn.STDEV.P(IF(Table1[IndicatorCode]=Table1[[#This Row],[IndicatorCode]],Table1[value]))</f>
        <v>26324.778297809873</v>
      </c>
      <c r="J7022">
        <f>(Table1[[#This Row],[value]] - Table1[[#This Row],[mean]]) / Table1[[#This Row],[std_dev]]</f>
        <v>-0.8561852746873494</v>
      </c>
      <c r="K7022">
        <f>AVERAGEIF(Table1[CountryCode],Table1[[#This Row],[CountryCode]],Table1[z-score])</f>
        <v>-0.55461759774946673</v>
      </c>
      <c r="L7022" t="e">
        <f>VLOOKUP(Table1[[#This Row],[CountryCode]],[1]!Table1[#All],1,FALSE)</f>
        <v>#REF!</v>
      </c>
    </row>
    <row r="7023" spans="1:12" hidden="1" x14ac:dyDescent="0.3">
      <c r="A7023" t="s">
        <v>115</v>
      </c>
      <c r="B7023" t="s">
        <v>116</v>
      </c>
      <c r="C7023" t="s">
        <v>127</v>
      </c>
      <c r="D7023" t="s">
        <v>128</v>
      </c>
      <c r="E7023">
        <v>2005</v>
      </c>
      <c r="F7023" s="1">
        <v>2623</v>
      </c>
      <c r="G7023">
        <v>2000</v>
      </c>
      <c r="H7023">
        <f>AVERAGEIFS(Table1[value],Table1[IndicatorCode],Table1[[#This Row],[IndicatorCode]])</f>
        <v>24902.88753799392</v>
      </c>
      <c r="I7023" cm="1">
        <f t="array" ref="I7023">_xlfn.STDEV.P(IF(Table1[IndicatorCode]=Table1[[#This Row],[IndicatorCode]],Table1[value]))</f>
        <v>26324.778297809873</v>
      </c>
      <c r="J7023">
        <f>(Table1[[#This Row],[value]] - Table1[[#This Row],[mean]]) / Table1[[#This Row],[std_dev]]</f>
        <v>-0.84634663532370669</v>
      </c>
      <c r="K7023">
        <f>AVERAGEIF(Table1[CountryCode],Table1[[#This Row],[CountryCode]],Table1[z-score])</f>
        <v>-0.55461759774946673</v>
      </c>
      <c r="L7023" t="e">
        <f>VLOOKUP(Table1[[#This Row],[CountryCode]],[1]!Table1[#All],1,FALSE)</f>
        <v>#REF!</v>
      </c>
    </row>
    <row r="7024" spans="1:12" hidden="1" x14ac:dyDescent="0.3">
      <c r="A7024" t="s">
        <v>115</v>
      </c>
      <c r="B7024" t="s">
        <v>116</v>
      </c>
      <c r="C7024" t="s">
        <v>127</v>
      </c>
      <c r="D7024" t="s">
        <v>128</v>
      </c>
      <c r="E7024">
        <v>2006</v>
      </c>
      <c r="F7024" s="1">
        <v>2857</v>
      </c>
      <c r="G7024">
        <v>2000</v>
      </c>
      <c r="H7024">
        <f>AVERAGEIFS(Table1[value],Table1[IndicatorCode],Table1[[#This Row],[IndicatorCode]])</f>
        <v>24902.88753799392</v>
      </c>
      <c r="I7024" cm="1">
        <f t="array" ref="I7024">_xlfn.STDEV.P(IF(Table1[IndicatorCode]=Table1[[#This Row],[IndicatorCode]],Table1[value]))</f>
        <v>26324.778297809873</v>
      </c>
      <c r="J7024">
        <f>(Table1[[#This Row],[value]] - Table1[[#This Row],[mean]]) / Table1[[#This Row],[std_dev]]</f>
        <v>-0.83745767157431517</v>
      </c>
      <c r="K7024">
        <f>AVERAGEIF(Table1[CountryCode],Table1[[#This Row],[CountryCode]],Table1[z-score])</f>
        <v>-0.55461759774946673</v>
      </c>
      <c r="L7024" t="e">
        <f>VLOOKUP(Table1[[#This Row],[CountryCode]],[1]!Table1[#All],1,FALSE)</f>
        <v>#REF!</v>
      </c>
    </row>
    <row r="7025" spans="1:12" hidden="1" x14ac:dyDescent="0.3">
      <c r="A7025" t="s">
        <v>115</v>
      </c>
      <c r="B7025" t="s">
        <v>116</v>
      </c>
      <c r="C7025" t="s">
        <v>127</v>
      </c>
      <c r="D7025" t="s">
        <v>128</v>
      </c>
      <c r="E7025">
        <v>2007</v>
      </c>
      <c r="F7025" s="1">
        <v>3114</v>
      </c>
      <c r="G7025">
        <v>2010</v>
      </c>
      <c r="H7025">
        <f>AVERAGEIFS(Table1[value],Table1[IndicatorCode],Table1[[#This Row],[IndicatorCode]])</f>
        <v>24902.88753799392</v>
      </c>
      <c r="I7025" cm="1">
        <f t="array" ref="I7025">_xlfn.STDEV.P(IF(Table1[IndicatorCode]=Table1[[#This Row],[IndicatorCode]],Table1[value]))</f>
        <v>26324.778297809873</v>
      </c>
      <c r="J7025">
        <f>(Table1[[#This Row],[value]] - Table1[[#This Row],[mean]]) / Table1[[#This Row],[std_dev]]</f>
        <v>-0.82769500625981252</v>
      </c>
      <c r="K7025">
        <f>AVERAGEIF(Table1[CountryCode],Table1[[#This Row],[CountryCode]],Table1[z-score])</f>
        <v>-0.55461759774946673</v>
      </c>
      <c r="L7025" t="e">
        <f>VLOOKUP(Table1[[#This Row],[CountryCode]],[1]!Table1[#All],1,FALSE)</f>
        <v>#REF!</v>
      </c>
    </row>
    <row r="7026" spans="1:12" hidden="1" x14ac:dyDescent="0.3">
      <c r="A7026" t="s">
        <v>115</v>
      </c>
      <c r="B7026" t="s">
        <v>116</v>
      </c>
      <c r="C7026" t="s">
        <v>127</v>
      </c>
      <c r="D7026" t="s">
        <v>128</v>
      </c>
      <c r="E7026">
        <v>2008</v>
      </c>
      <c r="F7026" s="1">
        <v>3504</v>
      </c>
      <c r="G7026">
        <v>2010</v>
      </c>
      <c r="H7026">
        <f>AVERAGEIFS(Table1[value],Table1[IndicatorCode],Table1[[#This Row],[IndicatorCode]])</f>
        <v>24902.88753799392</v>
      </c>
      <c r="I7026" cm="1">
        <f t="array" ref="I7026">_xlfn.STDEV.P(IF(Table1[IndicatorCode]=Table1[[#This Row],[IndicatorCode]],Table1[value]))</f>
        <v>26324.778297809873</v>
      </c>
      <c r="J7026">
        <f>(Table1[[#This Row],[value]] - Table1[[#This Row],[mean]]) / Table1[[#This Row],[std_dev]]</f>
        <v>-0.81288006667749335</v>
      </c>
      <c r="K7026">
        <f>AVERAGEIF(Table1[CountryCode],Table1[[#This Row],[CountryCode]],Table1[z-score])</f>
        <v>-0.55461759774946673</v>
      </c>
      <c r="L7026" t="e">
        <f>VLOOKUP(Table1[[#This Row],[CountryCode]],[1]!Table1[#All],1,FALSE)</f>
        <v>#REF!</v>
      </c>
    </row>
    <row r="7027" spans="1:12" hidden="1" x14ac:dyDescent="0.3">
      <c r="A7027" t="s">
        <v>115</v>
      </c>
      <c r="B7027" t="s">
        <v>116</v>
      </c>
      <c r="C7027" t="s">
        <v>127</v>
      </c>
      <c r="D7027" t="s">
        <v>128</v>
      </c>
      <c r="E7027">
        <v>2009</v>
      </c>
      <c r="F7027" s="1">
        <v>3645</v>
      </c>
      <c r="G7027">
        <v>2010</v>
      </c>
      <c r="H7027">
        <f>AVERAGEIFS(Table1[value],Table1[IndicatorCode],Table1[[#This Row],[IndicatorCode]])</f>
        <v>24902.88753799392</v>
      </c>
      <c r="I7027" cm="1">
        <f t="array" ref="I7027">_xlfn.STDEV.P(IF(Table1[IndicatorCode]=Table1[[#This Row],[IndicatorCode]],Table1[value]))</f>
        <v>26324.778297809873</v>
      </c>
      <c r="J7027">
        <f>(Table1[[#This Row],[value]] - Table1[[#This Row],[mean]]) / Table1[[#This Row],[std_dev]]</f>
        <v>-0.80752389621311649</v>
      </c>
      <c r="K7027">
        <f>AVERAGEIF(Table1[CountryCode],Table1[[#This Row],[CountryCode]],Table1[z-score])</f>
        <v>-0.55461759774946673</v>
      </c>
      <c r="L7027" t="e">
        <f>VLOOKUP(Table1[[#This Row],[CountryCode]],[1]!Table1[#All],1,FALSE)</f>
        <v>#REF!</v>
      </c>
    </row>
    <row r="7028" spans="1:12" hidden="1" x14ac:dyDescent="0.3">
      <c r="A7028" t="s">
        <v>115</v>
      </c>
      <c r="B7028" t="s">
        <v>116</v>
      </c>
      <c r="C7028" t="s">
        <v>127</v>
      </c>
      <c r="D7028" t="s">
        <v>128</v>
      </c>
      <c r="E7028">
        <v>2010</v>
      </c>
      <c r="F7028" s="1">
        <v>3900</v>
      </c>
      <c r="G7028">
        <v>2010</v>
      </c>
      <c r="H7028">
        <f>AVERAGEIFS(Table1[value],Table1[IndicatorCode],Table1[[#This Row],[IndicatorCode]])</f>
        <v>24902.88753799392</v>
      </c>
      <c r="I7028" cm="1">
        <f t="array" ref="I7028">_xlfn.STDEV.P(IF(Table1[IndicatorCode]=Table1[[#This Row],[IndicatorCode]],Table1[value]))</f>
        <v>26324.778297809873</v>
      </c>
      <c r="J7028">
        <f>(Table1[[#This Row],[value]] - Table1[[#This Row],[mean]]) / Table1[[#This Row],[std_dev]]</f>
        <v>-0.7978372049477539</v>
      </c>
      <c r="K7028">
        <f>AVERAGEIF(Table1[CountryCode],Table1[[#This Row],[CountryCode]],Table1[z-score])</f>
        <v>-0.55461759774946673</v>
      </c>
      <c r="L7028" t="e">
        <f>VLOOKUP(Table1[[#This Row],[CountryCode]],[1]!Table1[#All],1,FALSE)</f>
        <v>#REF!</v>
      </c>
    </row>
    <row r="7029" spans="1:12" hidden="1" x14ac:dyDescent="0.3">
      <c r="A7029" t="s">
        <v>115</v>
      </c>
      <c r="B7029" t="s">
        <v>116</v>
      </c>
      <c r="C7029" t="s">
        <v>127</v>
      </c>
      <c r="D7029" t="s">
        <v>128</v>
      </c>
      <c r="E7029">
        <v>2011</v>
      </c>
      <c r="F7029" s="1">
        <v>4380</v>
      </c>
      <c r="G7029">
        <v>2010</v>
      </c>
      <c r="H7029">
        <f>AVERAGEIFS(Table1[value],Table1[IndicatorCode],Table1[[#This Row],[IndicatorCode]])</f>
        <v>24902.88753799392</v>
      </c>
      <c r="I7029" cm="1">
        <f t="array" ref="I7029">_xlfn.STDEV.P(IF(Table1[IndicatorCode]=Table1[[#This Row],[IndicatorCode]],Table1[value]))</f>
        <v>26324.778297809873</v>
      </c>
      <c r="J7029">
        <f>(Table1[[#This Row],[value]] - Table1[[#This Row],[mean]]) / Table1[[#This Row],[std_dev]]</f>
        <v>-0.77960343315413028</v>
      </c>
      <c r="K7029">
        <f>AVERAGEIF(Table1[CountryCode],Table1[[#This Row],[CountryCode]],Table1[z-score])</f>
        <v>-0.55461759774946673</v>
      </c>
      <c r="L7029" t="e">
        <f>VLOOKUP(Table1[[#This Row],[CountryCode]],[1]!Table1[#All],1,FALSE)</f>
        <v>#REF!</v>
      </c>
    </row>
    <row r="7030" spans="1:12" hidden="1" x14ac:dyDescent="0.3">
      <c r="A7030" t="s">
        <v>115</v>
      </c>
      <c r="B7030" t="s">
        <v>116</v>
      </c>
      <c r="C7030" t="s">
        <v>127</v>
      </c>
      <c r="D7030" t="s">
        <v>128</v>
      </c>
      <c r="E7030">
        <v>2012</v>
      </c>
      <c r="F7030" s="1">
        <v>4761</v>
      </c>
      <c r="G7030">
        <v>2010</v>
      </c>
      <c r="H7030">
        <f>AVERAGEIFS(Table1[value],Table1[IndicatorCode],Table1[[#This Row],[IndicatorCode]])</f>
        <v>24902.88753799392</v>
      </c>
      <c r="I7030" cm="1">
        <f t="array" ref="I7030">_xlfn.STDEV.P(IF(Table1[IndicatorCode]=Table1[[#This Row],[IndicatorCode]],Table1[value]))</f>
        <v>26324.778297809873</v>
      </c>
      <c r="J7030">
        <f>(Table1[[#This Row],[value]] - Table1[[#This Row],[mean]]) / Table1[[#This Row],[std_dev]]</f>
        <v>-0.7651303767929416</v>
      </c>
      <c r="K7030">
        <f>AVERAGEIF(Table1[CountryCode],Table1[[#This Row],[CountryCode]],Table1[z-score])</f>
        <v>-0.55461759774946673</v>
      </c>
      <c r="L7030" t="e">
        <f>VLOOKUP(Table1[[#This Row],[CountryCode]],[1]!Table1[#All],1,FALSE)</f>
        <v>#REF!</v>
      </c>
    </row>
    <row r="7031" spans="1:12" hidden="1" x14ac:dyDescent="0.3">
      <c r="A7031" t="s">
        <v>115</v>
      </c>
      <c r="B7031" t="s">
        <v>116</v>
      </c>
      <c r="C7031" t="s">
        <v>127</v>
      </c>
      <c r="D7031" t="s">
        <v>128</v>
      </c>
      <c r="E7031">
        <v>2013</v>
      </c>
      <c r="F7031" s="1">
        <v>5131</v>
      </c>
      <c r="G7031">
        <v>2010</v>
      </c>
      <c r="H7031">
        <f>AVERAGEIFS(Table1[value],Table1[IndicatorCode],Table1[[#This Row],[IndicatorCode]])</f>
        <v>24902.88753799392</v>
      </c>
      <c r="I7031" cm="1">
        <f t="array" ref="I7031">_xlfn.STDEV.P(IF(Table1[IndicatorCode]=Table1[[#This Row],[IndicatorCode]],Table1[value]))</f>
        <v>26324.778297809873</v>
      </c>
      <c r="J7031">
        <f>(Table1[[#This Row],[value]] - Table1[[#This Row],[mean]]) / Table1[[#This Row],[std_dev]]</f>
        <v>-0.75107517770202337</v>
      </c>
      <c r="K7031">
        <f>AVERAGEIF(Table1[CountryCode],Table1[[#This Row],[CountryCode]],Table1[z-score])</f>
        <v>-0.55461759774946673</v>
      </c>
      <c r="L7031" t="e">
        <f>VLOOKUP(Table1[[#This Row],[CountryCode]],[1]!Table1[#All],1,FALSE)</f>
        <v>#REF!</v>
      </c>
    </row>
    <row r="7032" spans="1:12" hidden="1" x14ac:dyDescent="0.3">
      <c r="A7032" t="s">
        <v>115</v>
      </c>
      <c r="B7032" t="s">
        <v>116</v>
      </c>
      <c r="C7032" t="s">
        <v>127</v>
      </c>
      <c r="D7032" t="s">
        <v>128</v>
      </c>
      <c r="E7032">
        <v>2014</v>
      </c>
      <c r="F7032" s="1">
        <v>5533</v>
      </c>
      <c r="G7032">
        <v>2010</v>
      </c>
      <c r="H7032">
        <f>AVERAGEIFS(Table1[value],Table1[IndicatorCode],Table1[[#This Row],[IndicatorCode]])</f>
        <v>24902.88753799392</v>
      </c>
      <c r="I7032" cm="1">
        <f t="array" ref="I7032">_xlfn.STDEV.P(IF(Table1[IndicatorCode]=Table1[[#This Row],[IndicatorCode]],Table1[value]))</f>
        <v>26324.778297809873</v>
      </c>
      <c r="J7032">
        <f>(Table1[[#This Row],[value]] - Table1[[#This Row],[mean]]) / Table1[[#This Row],[std_dev]]</f>
        <v>-0.73580439382486362</v>
      </c>
      <c r="K7032">
        <f>AVERAGEIF(Table1[CountryCode],Table1[[#This Row],[CountryCode]],Table1[z-score])</f>
        <v>-0.55461759774946673</v>
      </c>
      <c r="L7032" t="e">
        <f>VLOOKUP(Table1[[#This Row],[CountryCode]],[1]!Table1[#All],1,FALSE)</f>
        <v>#REF!</v>
      </c>
    </row>
    <row r="7033" spans="1:12" hidden="1" x14ac:dyDescent="0.3">
      <c r="A7033" t="s">
        <v>115</v>
      </c>
      <c r="B7033" t="s">
        <v>116</v>
      </c>
      <c r="C7033" t="s">
        <v>127</v>
      </c>
      <c r="D7033" t="s">
        <v>128</v>
      </c>
      <c r="E7033">
        <v>2015</v>
      </c>
      <c r="F7033" s="1">
        <v>5759</v>
      </c>
      <c r="G7033">
        <v>2010</v>
      </c>
      <c r="H7033">
        <f>AVERAGEIFS(Table1[value],Table1[IndicatorCode],Table1[[#This Row],[IndicatorCode]])</f>
        <v>24902.88753799392</v>
      </c>
      <c r="I7033" cm="1">
        <f t="array" ref="I7033">_xlfn.STDEV.P(IF(Table1[IndicatorCode]=Table1[[#This Row],[IndicatorCode]],Table1[value]))</f>
        <v>26324.778297809873</v>
      </c>
      <c r="J7033">
        <f>(Table1[[#This Row],[value]] - Table1[[#This Row],[mean]]) / Table1[[#This Row],[std_dev]]</f>
        <v>-0.72721932627203256</v>
      </c>
      <c r="K7033">
        <f>AVERAGEIF(Table1[CountryCode],Table1[[#This Row],[CountryCode]],Table1[z-score])</f>
        <v>-0.55461759774946673</v>
      </c>
      <c r="L7033" t="e">
        <f>VLOOKUP(Table1[[#This Row],[CountryCode]],[1]!Table1[#All],1,FALSE)</f>
        <v>#REF!</v>
      </c>
    </row>
    <row r="7034" spans="1:12" hidden="1" x14ac:dyDescent="0.3">
      <c r="A7034" t="s">
        <v>115</v>
      </c>
      <c r="B7034" t="s">
        <v>116</v>
      </c>
      <c r="C7034" t="s">
        <v>127</v>
      </c>
      <c r="D7034" t="s">
        <v>128</v>
      </c>
      <c r="E7034">
        <v>2016</v>
      </c>
      <c r="F7034" s="1">
        <v>5978</v>
      </c>
      <c r="G7034">
        <v>2010</v>
      </c>
      <c r="H7034">
        <f>AVERAGEIFS(Table1[value],Table1[IndicatorCode],Table1[[#This Row],[IndicatorCode]])</f>
        <v>24902.88753799392</v>
      </c>
      <c r="I7034" cm="1">
        <f t="array" ref="I7034">_xlfn.STDEV.P(IF(Table1[IndicatorCode]=Table1[[#This Row],[IndicatorCode]],Table1[value]))</f>
        <v>26324.778297809873</v>
      </c>
      <c r="J7034">
        <f>(Table1[[#This Row],[value]] - Table1[[#This Row],[mean]]) / Table1[[#This Row],[std_dev]]</f>
        <v>-0.71890016789119182</v>
      </c>
      <c r="K7034">
        <f>AVERAGEIF(Table1[CountryCode],Table1[[#This Row],[CountryCode]],Table1[z-score])</f>
        <v>-0.55461759774946673</v>
      </c>
      <c r="L7034" t="e">
        <f>VLOOKUP(Table1[[#This Row],[CountryCode]],[1]!Table1[#All],1,FALSE)</f>
        <v>#REF!</v>
      </c>
    </row>
    <row r="7035" spans="1:12" hidden="1" x14ac:dyDescent="0.3">
      <c r="A7035" t="s">
        <v>115</v>
      </c>
      <c r="B7035" t="s">
        <v>116</v>
      </c>
      <c r="C7035" t="s">
        <v>127</v>
      </c>
      <c r="D7035" t="s">
        <v>128</v>
      </c>
      <c r="E7035">
        <v>2017</v>
      </c>
      <c r="F7035" s="1">
        <v>6223</v>
      </c>
      <c r="G7035">
        <v>2020</v>
      </c>
      <c r="H7035">
        <f>AVERAGEIFS(Table1[value],Table1[IndicatorCode],Table1[[#This Row],[IndicatorCode]])</f>
        <v>24902.88753799392</v>
      </c>
      <c r="I7035" cm="1">
        <f t="array" ref="I7035">_xlfn.STDEV.P(IF(Table1[IndicatorCode]=Table1[[#This Row],[IndicatorCode]],Table1[value]))</f>
        <v>26324.778297809873</v>
      </c>
      <c r="J7035">
        <f>(Table1[[#This Row],[value]] - Table1[[#This Row],[mean]]) / Table1[[#This Row],[std_dev]]</f>
        <v>-0.70959334687152975</v>
      </c>
      <c r="K7035">
        <f>AVERAGEIF(Table1[CountryCode],Table1[[#This Row],[CountryCode]],Table1[z-score])</f>
        <v>-0.55461759774946673</v>
      </c>
      <c r="L7035" t="e">
        <f>VLOOKUP(Table1[[#This Row],[CountryCode]],[1]!Table1[#All],1,FALSE)</f>
        <v>#REF!</v>
      </c>
    </row>
    <row r="7036" spans="1:12" hidden="1" x14ac:dyDescent="0.3">
      <c r="A7036" t="s">
        <v>115</v>
      </c>
      <c r="B7036" t="s">
        <v>116</v>
      </c>
      <c r="C7036" t="s">
        <v>127</v>
      </c>
      <c r="D7036" t="s">
        <v>128</v>
      </c>
      <c r="E7036">
        <v>2018</v>
      </c>
      <c r="F7036" s="1">
        <v>6461</v>
      </c>
      <c r="G7036">
        <v>2020</v>
      </c>
      <c r="H7036">
        <f>AVERAGEIFS(Table1[value],Table1[IndicatorCode],Table1[[#This Row],[IndicatorCode]])</f>
        <v>24902.88753799392</v>
      </c>
      <c r="I7036" cm="1">
        <f t="array" ref="I7036">_xlfn.STDEV.P(IF(Table1[IndicatorCode]=Table1[[#This Row],[IndicatorCode]],Table1[value]))</f>
        <v>26324.778297809873</v>
      </c>
      <c r="J7036">
        <f>(Table1[[#This Row],[value]] - Table1[[#This Row],[mean]]) / Table1[[#This Row],[std_dev]]</f>
        <v>-0.70055243502385811</v>
      </c>
      <c r="K7036">
        <f>AVERAGEIF(Table1[CountryCode],Table1[[#This Row],[CountryCode]],Table1[z-score])</f>
        <v>-0.55461759774946673</v>
      </c>
      <c r="L7036" t="e">
        <f>VLOOKUP(Table1[[#This Row],[CountryCode]],[1]!Table1[#All],1,FALSE)</f>
        <v>#REF!</v>
      </c>
    </row>
    <row r="7037" spans="1:12" hidden="1" x14ac:dyDescent="0.3">
      <c r="A7037" t="s">
        <v>115</v>
      </c>
      <c r="B7037" t="s">
        <v>116</v>
      </c>
      <c r="C7037" t="s">
        <v>127</v>
      </c>
      <c r="D7037" t="s">
        <v>128</v>
      </c>
      <c r="E7037">
        <v>2019</v>
      </c>
      <c r="F7037" s="1">
        <v>6718</v>
      </c>
      <c r="G7037">
        <v>2020</v>
      </c>
      <c r="H7037">
        <f>AVERAGEIFS(Table1[value],Table1[IndicatorCode],Table1[[#This Row],[IndicatorCode]])</f>
        <v>24902.88753799392</v>
      </c>
      <c r="I7037" cm="1">
        <f t="array" ref="I7037">_xlfn.STDEV.P(IF(Table1[IndicatorCode]=Table1[[#This Row],[IndicatorCode]],Table1[value]))</f>
        <v>26324.778297809873</v>
      </c>
      <c r="J7037">
        <f>(Table1[[#This Row],[value]] - Table1[[#This Row],[mean]]) / Table1[[#This Row],[std_dev]]</f>
        <v>-0.69078976970935546</v>
      </c>
      <c r="K7037">
        <f>AVERAGEIF(Table1[CountryCode],Table1[[#This Row],[CountryCode]],Table1[z-score])</f>
        <v>-0.55461759774946673</v>
      </c>
      <c r="L7037" t="e">
        <f>VLOOKUP(Table1[[#This Row],[CountryCode]],[1]!Table1[#All],1,FALSE)</f>
        <v>#REF!</v>
      </c>
    </row>
    <row r="7038" spans="1:12" x14ac:dyDescent="0.3">
      <c r="A7038" t="s">
        <v>65</v>
      </c>
      <c r="B7038" t="s">
        <v>66</v>
      </c>
      <c r="C7038" t="s">
        <v>127</v>
      </c>
      <c r="D7038" t="s">
        <v>128</v>
      </c>
      <c r="E7038">
        <v>2020</v>
      </c>
      <c r="F7038" s="1">
        <v>80928</v>
      </c>
      <c r="G7038">
        <v>2020</v>
      </c>
      <c r="H7038">
        <f>AVERAGEIFS(Table1[value],Table1[IndicatorCode],Table1[[#This Row],[IndicatorCode]])</f>
        <v>24902.88753799392</v>
      </c>
      <c r="I7038" cm="1">
        <f t="array" ref="I7038">_xlfn.STDEV.P(IF(Table1[IndicatorCode]=Table1[[#This Row],[IndicatorCode]],Table1[value]))</f>
        <v>26324.778297809873</v>
      </c>
      <c r="J7038">
        <f>(Table1[[#This Row],[value]] - Table1[[#This Row],[mean]]) / Table1[[#This Row],[std_dev]]</f>
        <v>2.128227323633991</v>
      </c>
      <c r="K7038">
        <f>AVERAGEIF(Table1[CountryCode],Table1[[#This Row],[CountryCode]],Table1[z-score])</f>
        <v>0.33171547334985529</v>
      </c>
    </row>
    <row r="7039" spans="1:12" hidden="1" x14ac:dyDescent="0.3">
      <c r="A7039" t="s">
        <v>115</v>
      </c>
      <c r="B7039" t="s">
        <v>116</v>
      </c>
      <c r="C7039" t="s">
        <v>127</v>
      </c>
      <c r="D7039" t="s">
        <v>128</v>
      </c>
      <c r="E7039">
        <v>2021</v>
      </c>
      <c r="F7039" s="1">
        <v>7249</v>
      </c>
      <c r="G7039">
        <v>2020</v>
      </c>
      <c r="H7039">
        <f>AVERAGEIFS(Table1[value],Table1[IndicatorCode],Table1[[#This Row],[IndicatorCode]])</f>
        <v>24902.88753799392</v>
      </c>
      <c r="I7039" cm="1">
        <f t="array" ref="I7039">_xlfn.STDEV.P(IF(Table1[IndicatorCode]=Table1[[#This Row],[IndicatorCode]],Table1[value]))</f>
        <v>26324.778297809873</v>
      </c>
      <c r="J7039">
        <f>(Table1[[#This Row],[value]] - Table1[[#This Row],[mean]]) / Table1[[#This Row],[std_dev]]</f>
        <v>-0.67061865966265932</v>
      </c>
      <c r="K7039">
        <f>AVERAGEIF(Table1[CountryCode],Table1[[#This Row],[CountryCode]],Table1[z-score])</f>
        <v>-0.55461759774946673</v>
      </c>
      <c r="L7039" t="e">
        <f>VLOOKUP(Table1[[#This Row],[CountryCode]],[1]!Table1[#All],1,FALSE)</f>
        <v>#REF!</v>
      </c>
    </row>
    <row r="7040" spans="1:12" hidden="1" x14ac:dyDescent="0.3">
      <c r="A7040" t="s">
        <v>115</v>
      </c>
      <c r="B7040" t="s">
        <v>116</v>
      </c>
      <c r="C7040" t="s">
        <v>127</v>
      </c>
      <c r="D7040" t="s">
        <v>128</v>
      </c>
      <c r="E7040">
        <v>2022</v>
      </c>
      <c r="F7040" s="1">
        <v>7551</v>
      </c>
      <c r="G7040">
        <v>1960</v>
      </c>
      <c r="H7040">
        <f>AVERAGEIFS(Table1[value],Table1[IndicatorCode],Table1[[#This Row],[IndicatorCode]])</f>
        <v>24902.88753799392</v>
      </c>
      <c r="I7040" cm="1">
        <f t="array" ref="I7040">_xlfn.STDEV.P(IF(Table1[IndicatorCode]=Table1[[#This Row],[IndicatorCode]],Table1[value]))</f>
        <v>26324.778297809873</v>
      </c>
      <c r="J7040">
        <f>(Table1[[#This Row],[value]] - Table1[[#This Row],[mean]]) / Table1[[#This Row],[std_dev]]</f>
        <v>-0.65914657824250455</v>
      </c>
      <c r="K7040">
        <f>AVERAGEIF(Table1[CountryCode],Table1[[#This Row],[CountryCode]],Table1[z-score])</f>
        <v>-0.55461759774946673</v>
      </c>
      <c r="L7040" t="e">
        <f>VLOOKUP(Table1[[#This Row],[CountryCode]],[1]!Table1[#All],1,FALSE)</f>
        <v>#REF!</v>
      </c>
    </row>
    <row r="7041" spans="1:12" hidden="1" x14ac:dyDescent="0.3">
      <c r="A7041" t="s">
        <v>115</v>
      </c>
      <c r="B7041" t="s">
        <v>116</v>
      </c>
      <c r="C7041" t="s">
        <v>127</v>
      </c>
      <c r="D7041" t="s">
        <v>128</v>
      </c>
      <c r="E7041">
        <v>2023</v>
      </c>
      <c r="F7041" s="1">
        <v>7880</v>
      </c>
      <c r="G7041">
        <v>1960</v>
      </c>
      <c r="H7041">
        <f>AVERAGEIFS(Table1[value],Table1[IndicatorCode],Table1[[#This Row],[IndicatorCode]])</f>
        <v>24902.88753799392</v>
      </c>
      <c r="I7041" cm="1">
        <f t="array" ref="I7041">_xlfn.STDEV.P(IF(Table1[IndicatorCode]=Table1[[#This Row],[IndicatorCode]],Table1[value]))</f>
        <v>26324.778297809873</v>
      </c>
      <c r="J7041">
        <f>(Table1[[#This Row],[value]] - Table1[[#This Row],[mean]]) / Table1[[#This Row],[std_dev]]</f>
        <v>-0.64664884715895832</v>
      </c>
      <c r="K7041">
        <f>AVERAGEIF(Table1[CountryCode],Table1[[#This Row],[CountryCode]],Table1[z-score])</f>
        <v>-0.55461759774946673</v>
      </c>
      <c r="L7041" t="e">
        <f>VLOOKUP(Table1[[#This Row],[CountryCode]],[1]!Table1[#All],1,FALSE)</f>
        <v>#REF!</v>
      </c>
    </row>
    <row r="7042" spans="1:12" hidden="1" x14ac:dyDescent="0.3">
      <c r="A7042" t="s">
        <v>115</v>
      </c>
      <c r="B7042" t="s">
        <v>116</v>
      </c>
      <c r="C7042" t="s">
        <v>127</v>
      </c>
      <c r="D7042" t="s">
        <v>128</v>
      </c>
      <c r="E7042">
        <v>2024</v>
      </c>
      <c r="F7042" s="1">
        <v>8231</v>
      </c>
      <c r="G7042">
        <v>1960</v>
      </c>
      <c r="H7042">
        <f>AVERAGEIFS(Table1[value],Table1[IndicatorCode],Table1[[#This Row],[IndicatorCode]])</f>
        <v>24902.88753799392</v>
      </c>
      <c r="I7042" cm="1">
        <f t="array" ref="I7042">_xlfn.STDEV.P(IF(Table1[IndicatorCode]=Table1[[#This Row],[IndicatorCode]],Table1[value]))</f>
        <v>26324.778297809873</v>
      </c>
      <c r="J7042">
        <f>(Table1[[#This Row],[value]] - Table1[[#This Row],[mean]]) / Table1[[#This Row],[std_dev]]</f>
        <v>-0.63331540153487109</v>
      </c>
      <c r="K7042">
        <f>AVERAGEIF(Table1[CountryCode],Table1[[#This Row],[CountryCode]],Table1[z-score])</f>
        <v>-0.55461759774946673</v>
      </c>
      <c r="L7042" t="e">
        <f>VLOOKUP(Table1[[#This Row],[CountryCode]],[1]!Table1[#All],1,FALSE)</f>
        <v>#REF!</v>
      </c>
    </row>
    <row r="7043" spans="1:12" hidden="1" x14ac:dyDescent="0.3">
      <c r="A7043" t="s">
        <v>117</v>
      </c>
      <c r="B7043" t="s">
        <v>118</v>
      </c>
      <c r="C7043" t="s">
        <v>127</v>
      </c>
      <c r="D7043" t="s">
        <v>128</v>
      </c>
      <c r="E7043">
        <v>1960</v>
      </c>
      <c r="F7043" s="1">
        <v>2449</v>
      </c>
      <c r="G7043">
        <v>1960</v>
      </c>
      <c r="H7043">
        <f>AVERAGEIFS(Table1[value],Table1[IndicatorCode],Table1[[#This Row],[IndicatorCode]])</f>
        <v>24902.88753799392</v>
      </c>
      <c r="I7043" cm="1">
        <f t="array" ref="I7043">_xlfn.STDEV.P(IF(Table1[IndicatorCode]=Table1[[#This Row],[IndicatorCode]],Table1[value]))</f>
        <v>26324.778297809873</v>
      </c>
      <c r="J7043">
        <f>(Table1[[#This Row],[value]] - Table1[[#This Row],[mean]]) / Table1[[#This Row],[std_dev]]</f>
        <v>-0.8529563775988952</v>
      </c>
      <c r="K7043">
        <f>AVERAGEIF(Table1[CountryCode],Table1[[#This Row],[CountryCode]],Table1[z-score])</f>
        <v>-0.69917556524739866</v>
      </c>
      <c r="L7043" t="e">
        <f>VLOOKUP(Table1[[#This Row],[CountryCode]],[1]!Table1[#All],1,FALSE)</f>
        <v>#REF!</v>
      </c>
    </row>
    <row r="7044" spans="1:12" hidden="1" x14ac:dyDescent="0.3">
      <c r="A7044" t="s">
        <v>117</v>
      </c>
      <c r="B7044" t="s">
        <v>118</v>
      </c>
      <c r="C7044" t="s">
        <v>127</v>
      </c>
      <c r="D7044" t="s">
        <v>128</v>
      </c>
      <c r="E7044">
        <v>1961</v>
      </c>
      <c r="F7044" s="1">
        <v>2411</v>
      </c>
      <c r="G7044">
        <v>1960</v>
      </c>
      <c r="H7044">
        <f>AVERAGEIFS(Table1[value],Table1[IndicatorCode],Table1[[#This Row],[IndicatorCode]])</f>
        <v>24902.88753799392</v>
      </c>
      <c r="I7044" cm="1">
        <f t="array" ref="I7044">_xlfn.STDEV.P(IF(Table1[IndicatorCode]=Table1[[#This Row],[IndicatorCode]],Table1[value]))</f>
        <v>26324.778297809873</v>
      </c>
      <c r="J7044">
        <f>(Table1[[#This Row],[value]] - Table1[[#This Row],[mean]]) / Table1[[#This Row],[std_dev]]</f>
        <v>-0.85439988453255711</v>
      </c>
      <c r="K7044">
        <f>AVERAGEIF(Table1[CountryCode],Table1[[#This Row],[CountryCode]],Table1[z-score])</f>
        <v>-0.69917556524739866</v>
      </c>
      <c r="L7044" t="e">
        <f>VLOOKUP(Table1[[#This Row],[CountryCode]],[1]!Table1[#All],1,FALSE)</f>
        <v>#REF!</v>
      </c>
    </row>
    <row r="7045" spans="1:12" hidden="1" x14ac:dyDescent="0.3">
      <c r="A7045" t="s">
        <v>117</v>
      </c>
      <c r="B7045" t="s">
        <v>118</v>
      </c>
      <c r="C7045" t="s">
        <v>127</v>
      </c>
      <c r="D7045" t="s">
        <v>128</v>
      </c>
      <c r="E7045">
        <v>1962</v>
      </c>
      <c r="F7045" s="1">
        <v>2477</v>
      </c>
      <c r="G7045">
        <v>1960</v>
      </c>
      <c r="H7045">
        <f>AVERAGEIFS(Table1[value],Table1[IndicatorCode],Table1[[#This Row],[IndicatorCode]])</f>
        <v>24902.88753799392</v>
      </c>
      <c r="I7045" cm="1">
        <f t="array" ref="I7045">_xlfn.STDEV.P(IF(Table1[IndicatorCode]=Table1[[#This Row],[IndicatorCode]],Table1[value]))</f>
        <v>26324.778297809873</v>
      </c>
      <c r="J7045">
        <f>(Table1[[#This Row],[value]] - Table1[[#This Row],[mean]]) / Table1[[#This Row],[std_dev]]</f>
        <v>-0.85189274091093381</v>
      </c>
      <c r="K7045">
        <f>AVERAGEIF(Table1[CountryCode],Table1[[#This Row],[CountryCode]],Table1[z-score])</f>
        <v>-0.69917556524739866</v>
      </c>
      <c r="L7045" t="e">
        <f>VLOOKUP(Table1[[#This Row],[CountryCode]],[1]!Table1[#All],1,FALSE)</f>
        <v>#REF!</v>
      </c>
    </row>
    <row r="7046" spans="1:12" hidden="1" x14ac:dyDescent="0.3">
      <c r="A7046" t="s">
        <v>117</v>
      </c>
      <c r="B7046" t="s">
        <v>118</v>
      </c>
      <c r="C7046" t="s">
        <v>127</v>
      </c>
      <c r="D7046" t="s">
        <v>128</v>
      </c>
      <c r="E7046">
        <v>1963</v>
      </c>
      <c r="F7046" s="1">
        <v>2630</v>
      </c>
      <c r="G7046">
        <v>1960</v>
      </c>
      <c r="H7046">
        <f>AVERAGEIFS(Table1[value],Table1[IndicatorCode],Table1[[#This Row],[IndicatorCode]])</f>
        <v>24902.88753799392</v>
      </c>
      <c r="I7046" cm="1">
        <f t="array" ref="I7046">_xlfn.STDEV.P(IF(Table1[IndicatorCode]=Table1[[#This Row],[IndicatorCode]],Table1[value]))</f>
        <v>26324.778297809873</v>
      </c>
      <c r="J7046">
        <f>(Table1[[#This Row],[value]] - Table1[[#This Row],[mean]]) / Table1[[#This Row],[std_dev]]</f>
        <v>-0.84608072615171637</v>
      </c>
      <c r="K7046">
        <f>AVERAGEIF(Table1[CountryCode],Table1[[#This Row],[CountryCode]],Table1[z-score])</f>
        <v>-0.69917556524739866</v>
      </c>
      <c r="L7046" t="e">
        <f>VLOOKUP(Table1[[#This Row],[CountryCode]],[1]!Table1[#All],1,FALSE)</f>
        <v>#REF!</v>
      </c>
    </row>
    <row r="7047" spans="1:12" hidden="1" x14ac:dyDescent="0.3">
      <c r="A7047" t="s">
        <v>117</v>
      </c>
      <c r="B7047" t="s">
        <v>118</v>
      </c>
      <c r="C7047" t="s">
        <v>127</v>
      </c>
      <c r="D7047" t="s">
        <v>128</v>
      </c>
      <c r="E7047">
        <v>1964</v>
      </c>
      <c r="F7047" s="1">
        <v>2702</v>
      </c>
      <c r="G7047">
        <v>1960</v>
      </c>
      <c r="H7047">
        <f>AVERAGEIFS(Table1[value],Table1[IndicatorCode],Table1[[#This Row],[IndicatorCode]])</f>
        <v>24902.88753799392</v>
      </c>
      <c r="I7047" cm="1">
        <f t="array" ref="I7047">_xlfn.STDEV.P(IF(Table1[IndicatorCode]=Table1[[#This Row],[IndicatorCode]],Table1[value]))</f>
        <v>26324.778297809873</v>
      </c>
      <c r="J7047">
        <f>(Table1[[#This Row],[value]] - Table1[[#This Row],[mean]]) / Table1[[#This Row],[std_dev]]</f>
        <v>-0.84334566038267278</v>
      </c>
      <c r="K7047">
        <f>AVERAGEIF(Table1[CountryCode],Table1[[#This Row],[CountryCode]],Table1[z-score])</f>
        <v>-0.69917556524739866</v>
      </c>
      <c r="L7047" t="e">
        <f>VLOOKUP(Table1[[#This Row],[CountryCode]],[1]!Table1[#All],1,FALSE)</f>
        <v>#REF!</v>
      </c>
    </row>
    <row r="7048" spans="1:12" hidden="1" x14ac:dyDescent="0.3">
      <c r="A7048" t="s">
        <v>117</v>
      </c>
      <c r="B7048" t="s">
        <v>118</v>
      </c>
      <c r="C7048" t="s">
        <v>127</v>
      </c>
      <c r="D7048" t="s">
        <v>128</v>
      </c>
      <c r="E7048">
        <v>1965</v>
      </c>
      <c r="F7048" s="1">
        <v>2710</v>
      </c>
      <c r="G7048">
        <v>1960</v>
      </c>
      <c r="H7048">
        <f>AVERAGEIFS(Table1[value],Table1[IndicatorCode],Table1[[#This Row],[IndicatorCode]])</f>
        <v>24902.88753799392</v>
      </c>
      <c r="I7048" cm="1">
        <f t="array" ref="I7048">_xlfn.STDEV.P(IF(Table1[IndicatorCode]=Table1[[#This Row],[IndicatorCode]],Table1[value]))</f>
        <v>26324.778297809873</v>
      </c>
      <c r="J7048">
        <f>(Table1[[#This Row],[value]] - Table1[[#This Row],[mean]]) / Table1[[#This Row],[std_dev]]</f>
        <v>-0.84304176418611243</v>
      </c>
      <c r="K7048">
        <f>AVERAGEIF(Table1[CountryCode],Table1[[#This Row],[CountryCode]],Table1[z-score])</f>
        <v>-0.69917556524739866</v>
      </c>
      <c r="L7048" t="e">
        <f>VLOOKUP(Table1[[#This Row],[CountryCode]],[1]!Table1[#All],1,FALSE)</f>
        <v>#REF!</v>
      </c>
    </row>
    <row r="7049" spans="1:12" hidden="1" x14ac:dyDescent="0.3">
      <c r="A7049" t="s">
        <v>117</v>
      </c>
      <c r="B7049" t="s">
        <v>118</v>
      </c>
      <c r="C7049" t="s">
        <v>127</v>
      </c>
      <c r="D7049" t="s">
        <v>128</v>
      </c>
      <c r="E7049">
        <v>1966</v>
      </c>
      <c r="F7049" s="1">
        <v>2938</v>
      </c>
      <c r="G7049">
        <v>1960</v>
      </c>
      <c r="H7049">
        <f>AVERAGEIFS(Table1[value],Table1[IndicatorCode],Table1[[#This Row],[IndicatorCode]])</f>
        <v>24902.88753799392</v>
      </c>
      <c r="I7049" cm="1">
        <f t="array" ref="I7049">_xlfn.STDEV.P(IF(Table1[IndicatorCode]=Table1[[#This Row],[IndicatorCode]],Table1[value]))</f>
        <v>26324.778297809873</v>
      </c>
      <c r="J7049">
        <f>(Table1[[#This Row],[value]] - Table1[[#This Row],[mean]]) / Table1[[#This Row],[std_dev]]</f>
        <v>-0.8343807225841412</v>
      </c>
      <c r="K7049">
        <f>AVERAGEIF(Table1[CountryCode],Table1[[#This Row],[CountryCode]],Table1[z-score])</f>
        <v>-0.69917556524739866</v>
      </c>
      <c r="L7049" t="e">
        <f>VLOOKUP(Table1[[#This Row],[CountryCode]],[1]!Table1[#All],1,FALSE)</f>
        <v>#REF!</v>
      </c>
    </row>
    <row r="7050" spans="1:12" hidden="1" x14ac:dyDescent="0.3">
      <c r="A7050" t="s">
        <v>117</v>
      </c>
      <c r="B7050" t="s">
        <v>118</v>
      </c>
      <c r="C7050" t="s">
        <v>127</v>
      </c>
      <c r="D7050" t="s">
        <v>128</v>
      </c>
      <c r="E7050">
        <v>1967</v>
      </c>
      <c r="F7050" s="1">
        <v>2998</v>
      </c>
      <c r="G7050">
        <v>1970</v>
      </c>
      <c r="H7050">
        <f>AVERAGEIFS(Table1[value],Table1[IndicatorCode],Table1[[#This Row],[IndicatorCode]])</f>
        <v>24902.88753799392</v>
      </c>
      <c r="I7050" cm="1">
        <f t="array" ref="I7050">_xlfn.STDEV.P(IF(Table1[IndicatorCode]=Table1[[#This Row],[IndicatorCode]],Table1[value]))</f>
        <v>26324.778297809873</v>
      </c>
      <c r="J7050">
        <f>(Table1[[#This Row],[value]] - Table1[[#This Row],[mean]]) / Table1[[#This Row],[std_dev]]</f>
        <v>-0.83210150110993819</v>
      </c>
      <c r="K7050">
        <f>AVERAGEIF(Table1[CountryCode],Table1[[#This Row],[CountryCode]],Table1[z-score])</f>
        <v>-0.69917556524739866</v>
      </c>
      <c r="L7050" t="e">
        <f>VLOOKUP(Table1[[#This Row],[CountryCode]],[1]!Table1[#All],1,FALSE)</f>
        <v>#REF!</v>
      </c>
    </row>
    <row r="7051" spans="1:12" hidden="1" x14ac:dyDescent="0.3">
      <c r="A7051" t="s">
        <v>117</v>
      </c>
      <c r="B7051" t="s">
        <v>118</v>
      </c>
      <c r="C7051" t="s">
        <v>127</v>
      </c>
      <c r="D7051" t="s">
        <v>128</v>
      </c>
      <c r="E7051">
        <v>1968</v>
      </c>
      <c r="F7051" s="1">
        <v>3121</v>
      </c>
      <c r="G7051">
        <v>1970</v>
      </c>
      <c r="H7051">
        <f>AVERAGEIFS(Table1[value],Table1[IndicatorCode],Table1[[#This Row],[IndicatorCode]])</f>
        <v>24902.88753799392</v>
      </c>
      <c r="I7051" cm="1">
        <f t="array" ref="I7051">_xlfn.STDEV.P(IF(Table1[IndicatorCode]=Table1[[#This Row],[IndicatorCode]],Table1[value]))</f>
        <v>26324.778297809873</v>
      </c>
      <c r="J7051">
        <f>(Table1[[#This Row],[value]] - Table1[[#This Row],[mean]]) / Table1[[#This Row],[std_dev]]</f>
        <v>-0.8274290970878222</v>
      </c>
      <c r="K7051">
        <f>AVERAGEIF(Table1[CountryCode],Table1[[#This Row],[CountryCode]],Table1[z-score])</f>
        <v>-0.69917556524739866</v>
      </c>
      <c r="L7051" t="e">
        <f>VLOOKUP(Table1[[#This Row],[CountryCode]],[1]!Table1[#All],1,FALSE)</f>
        <v>#REF!</v>
      </c>
    </row>
    <row r="7052" spans="1:12" hidden="1" x14ac:dyDescent="0.3">
      <c r="A7052" t="s">
        <v>117</v>
      </c>
      <c r="B7052" t="s">
        <v>118</v>
      </c>
      <c r="C7052" t="s">
        <v>127</v>
      </c>
      <c r="D7052" t="s">
        <v>128</v>
      </c>
      <c r="E7052">
        <v>1969</v>
      </c>
      <c r="F7052" s="1">
        <v>3170</v>
      </c>
      <c r="G7052">
        <v>1970</v>
      </c>
      <c r="H7052">
        <f>AVERAGEIFS(Table1[value],Table1[IndicatorCode],Table1[[#This Row],[IndicatorCode]])</f>
        <v>24902.88753799392</v>
      </c>
      <c r="I7052" cm="1">
        <f t="array" ref="I7052">_xlfn.STDEV.P(IF(Table1[IndicatorCode]=Table1[[#This Row],[IndicatorCode]],Table1[value]))</f>
        <v>26324.778297809873</v>
      </c>
      <c r="J7052">
        <f>(Table1[[#This Row],[value]] - Table1[[#This Row],[mean]]) / Table1[[#This Row],[std_dev]]</f>
        <v>-0.82556773288388974</v>
      </c>
      <c r="K7052">
        <f>AVERAGEIF(Table1[CountryCode],Table1[[#This Row],[CountryCode]],Table1[z-score])</f>
        <v>-0.69917556524739866</v>
      </c>
      <c r="L7052" t="e">
        <f>VLOOKUP(Table1[[#This Row],[CountryCode]],[1]!Table1[#All],1,FALSE)</f>
        <v>#REF!</v>
      </c>
    </row>
    <row r="7053" spans="1:12" hidden="1" x14ac:dyDescent="0.3">
      <c r="A7053" t="s">
        <v>117</v>
      </c>
      <c r="B7053" t="s">
        <v>118</v>
      </c>
      <c r="C7053" t="s">
        <v>127</v>
      </c>
      <c r="D7053" t="s">
        <v>128</v>
      </c>
      <c r="E7053">
        <v>1970</v>
      </c>
      <c r="F7053" s="1">
        <v>3197</v>
      </c>
      <c r="G7053">
        <v>1970</v>
      </c>
      <c r="H7053">
        <f>AVERAGEIFS(Table1[value],Table1[IndicatorCode],Table1[[#This Row],[IndicatorCode]])</f>
        <v>24902.88753799392</v>
      </c>
      <c r="I7053" cm="1">
        <f t="array" ref="I7053">_xlfn.STDEV.P(IF(Table1[IndicatorCode]=Table1[[#This Row],[IndicatorCode]],Table1[value]))</f>
        <v>26324.778297809873</v>
      </c>
      <c r="J7053">
        <f>(Table1[[#This Row],[value]] - Table1[[#This Row],[mean]]) / Table1[[#This Row],[std_dev]]</f>
        <v>-0.82454208322049849</v>
      </c>
      <c r="K7053">
        <f>AVERAGEIF(Table1[CountryCode],Table1[[#This Row],[CountryCode]],Table1[z-score])</f>
        <v>-0.69917556524739866</v>
      </c>
      <c r="L7053" t="e">
        <f>VLOOKUP(Table1[[#This Row],[CountryCode]],[1]!Table1[#All],1,FALSE)</f>
        <v>#REF!</v>
      </c>
    </row>
    <row r="7054" spans="1:12" hidden="1" x14ac:dyDescent="0.3">
      <c r="A7054" t="s">
        <v>117</v>
      </c>
      <c r="B7054" t="s">
        <v>118</v>
      </c>
      <c r="C7054" t="s">
        <v>127</v>
      </c>
      <c r="D7054" t="s">
        <v>128</v>
      </c>
      <c r="E7054">
        <v>1971</v>
      </c>
      <c r="F7054" s="1">
        <v>3295</v>
      </c>
      <c r="G7054">
        <v>1970</v>
      </c>
      <c r="H7054">
        <f>AVERAGEIFS(Table1[value],Table1[IndicatorCode],Table1[[#This Row],[IndicatorCode]])</f>
        <v>24902.88753799392</v>
      </c>
      <c r="I7054" cm="1">
        <f t="array" ref="I7054">_xlfn.STDEV.P(IF(Table1[IndicatorCode]=Table1[[#This Row],[IndicatorCode]],Table1[value]))</f>
        <v>26324.778297809873</v>
      </c>
      <c r="J7054">
        <f>(Table1[[#This Row],[value]] - Table1[[#This Row],[mean]]) / Table1[[#This Row],[std_dev]]</f>
        <v>-0.82081935481263368</v>
      </c>
      <c r="K7054">
        <f>AVERAGEIF(Table1[CountryCode],Table1[[#This Row],[CountryCode]],Table1[z-score])</f>
        <v>-0.69917556524739866</v>
      </c>
      <c r="L7054" t="e">
        <f>VLOOKUP(Table1[[#This Row],[CountryCode]],[1]!Table1[#All],1,FALSE)</f>
        <v>#REF!</v>
      </c>
    </row>
    <row r="7055" spans="1:12" hidden="1" x14ac:dyDescent="0.3">
      <c r="A7055" t="s">
        <v>117</v>
      </c>
      <c r="B7055" t="s">
        <v>118</v>
      </c>
      <c r="C7055" t="s">
        <v>127</v>
      </c>
      <c r="D7055" t="s">
        <v>128</v>
      </c>
      <c r="E7055">
        <v>1972</v>
      </c>
      <c r="F7055" s="1">
        <v>3456</v>
      </c>
      <c r="G7055">
        <v>1970</v>
      </c>
      <c r="H7055">
        <f>AVERAGEIFS(Table1[value],Table1[IndicatorCode],Table1[[#This Row],[IndicatorCode]])</f>
        <v>24902.88753799392</v>
      </c>
      <c r="I7055" cm="1">
        <f t="array" ref="I7055">_xlfn.STDEV.P(IF(Table1[IndicatorCode]=Table1[[#This Row],[IndicatorCode]],Table1[value]))</f>
        <v>26324.778297809873</v>
      </c>
      <c r="J7055">
        <f>(Table1[[#This Row],[value]] - Table1[[#This Row],[mean]]) / Table1[[#This Row],[std_dev]]</f>
        <v>-0.81470344385685578</v>
      </c>
      <c r="K7055">
        <f>AVERAGEIF(Table1[CountryCode],Table1[[#This Row],[CountryCode]],Table1[z-score])</f>
        <v>-0.69917556524739866</v>
      </c>
      <c r="L7055" t="e">
        <f>VLOOKUP(Table1[[#This Row],[CountryCode]],[1]!Table1[#All],1,FALSE)</f>
        <v>#REF!</v>
      </c>
    </row>
    <row r="7056" spans="1:12" hidden="1" x14ac:dyDescent="0.3">
      <c r="A7056" t="s">
        <v>117</v>
      </c>
      <c r="B7056" t="s">
        <v>118</v>
      </c>
      <c r="C7056" t="s">
        <v>127</v>
      </c>
      <c r="D7056" t="s">
        <v>128</v>
      </c>
      <c r="E7056">
        <v>1973</v>
      </c>
      <c r="F7056" s="1">
        <v>3487</v>
      </c>
      <c r="G7056">
        <v>1970</v>
      </c>
      <c r="H7056">
        <f>AVERAGEIFS(Table1[value],Table1[IndicatorCode],Table1[[#This Row],[IndicatorCode]])</f>
        <v>24902.88753799392</v>
      </c>
      <c r="I7056" cm="1">
        <f t="array" ref="I7056">_xlfn.STDEV.P(IF(Table1[IndicatorCode]=Table1[[#This Row],[IndicatorCode]],Table1[value]))</f>
        <v>26324.778297809873</v>
      </c>
      <c r="J7056">
        <f>(Table1[[#This Row],[value]] - Table1[[#This Row],[mean]]) / Table1[[#This Row],[std_dev]]</f>
        <v>-0.81352584609518419</v>
      </c>
      <c r="K7056">
        <f>AVERAGEIF(Table1[CountryCode],Table1[[#This Row],[CountryCode]],Table1[z-score])</f>
        <v>-0.69917556524739866</v>
      </c>
      <c r="L7056" t="e">
        <f>VLOOKUP(Table1[[#This Row],[CountryCode]],[1]!Table1[#All],1,FALSE)</f>
        <v>#REF!</v>
      </c>
    </row>
    <row r="7057" spans="1:12" hidden="1" x14ac:dyDescent="0.3">
      <c r="A7057" t="s">
        <v>117</v>
      </c>
      <c r="B7057" t="s">
        <v>118</v>
      </c>
      <c r="C7057" t="s">
        <v>127</v>
      </c>
      <c r="D7057" t="s">
        <v>128</v>
      </c>
      <c r="E7057">
        <v>1974</v>
      </c>
      <c r="F7057" s="1">
        <v>3602</v>
      </c>
      <c r="G7057">
        <v>1970</v>
      </c>
      <c r="H7057">
        <f>AVERAGEIFS(Table1[value],Table1[IndicatorCode],Table1[[#This Row],[IndicatorCode]])</f>
        <v>24902.88753799392</v>
      </c>
      <c r="I7057" cm="1">
        <f t="array" ref="I7057">_xlfn.STDEV.P(IF(Table1[IndicatorCode]=Table1[[#This Row],[IndicatorCode]],Table1[value]))</f>
        <v>26324.778297809873</v>
      </c>
      <c r="J7057">
        <f>(Table1[[#This Row],[value]] - Table1[[#This Row],[mean]]) / Table1[[#This Row],[std_dev]]</f>
        <v>-0.80915733826962855</v>
      </c>
      <c r="K7057">
        <f>AVERAGEIF(Table1[CountryCode],Table1[[#This Row],[CountryCode]],Table1[z-score])</f>
        <v>-0.69917556524739866</v>
      </c>
      <c r="L7057" t="e">
        <f>VLOOKUP(Table1[[#This Row],[CountryCode]],[1]!Table1[#All],1,FALSE)</f>
        <v>#REF!</v>
      </c>
    </row>
    <row r="7058" spans="1:12" hidden="1" x14ac:dyDescent="0.3">
      <c r="A7058" t="s">
        <v>117</v>
      </c>
      <c r="B7058" t="s">
        <v>118</v>
      </c>
      <c r="C7058" t="s">
        <v>127</v>
      </c>
      <c r="D7058" t="s">
        <v>128</v>
      </c>
      <c r="E7058">
        <v>1975</v>
      </c>
      <c r="F7058" s="1">
        <v>3781</v>
      </c>
      <c r="G7058">
        <v>1970</v>
      </c>
      <c r="H7058">
        <f>AVERAGEIFS(Table1[value],Table1[IndicatorCode],Table1[[#This Row],[IndicatorCode]])</f>
        <v>24902.88753799392</v>
      </c>
      <c r="I7058" cm="1">
        <f t="array" ref="I7058">_xlfn.STDEV.P(IF(Table1[IndicatorCode]=Table1[[#This Row],[IndicatorCode]],Table1[value]))</f>
        <v>26324.778297809873</v>
      </c>
      <c r="J7058">
        <f>(Table1[[#This Row],[value]] - Table1[[#This Row],[mean]]) / Table1[[#This Row],[std_dev]]</f>
        <v>-0.80235766087158977</v>
      </c>
      <c r="K7058">
        <f>AVERAGEIF(Table1[CountryCode],Table1[[#This Row],[CountryCode]],Table1[z-score])</f>
        <v>-0.69917556524739866</v>
      </c>
      <c r="L7058" t="e">
        <f>VLOOKUP(Table1[[#This Row],[CountryCode]],[1]!Table1[#All],1,FALSE)</f>
        <v>#REF!</v>
      </c>
    </row>
    <row r="7059" spans="1:12" hidden="1" x14ac:dyDescent="0.3">
      <c r="A7059" t="s">
        <v>117</v>
      </c>
      <c r="B7059" t="s">
        <v>118</v>
      </c>
      <c r="C7059" t="s">
        <v>127</v>
      </c>
      <c r="D7059" t="s">
        <v>128</v>
      </c>
      <c r="E7059">
        <v>1976</v>
      </c>
      <c r="F7059" s="1">
        <v>4092</v>
      </c>
      <c r="G7059">
        <v>1970</v>
      </c>
      <c r="H7059">
        <f>AVERAGEIFS(Table1[value],Table1[IndicatorCode],Table1[[#This Row],[IndicatorCode]])</f>
        <v>24902.88753799392</v>
      </c>
      <c r="I7059" cm="1">
        <f t="array" ref="I7059">_xlfn.STDEV.P(IF(Table1[IndicatorCode]=Table1[[#This Row],[IndicatorCode]],Table1[value]))</f>
        <v>26324.778297809873</v>
      </c>
      <c r="J7059">
        <f>(Table1[[#This Row],[value]] - Table1[[#This Row],[mean]]) / Table1[[#This Row],[std_dev]]</f>
        <v>-0.79054369623030452</v>
      </c>
      <c r="K7059">
        <f>AVERAGEIF(Table1[CountryCode],Table1[[#This Row],[CountryCode]],Table1[z-score])</f>
        <v>-0.69917556524739866</v>
      </c>
      <c r="L7059" t="e">
        <f>VLOOKUP(Table1[[#This Row],[CountryCode]],[1]!Table1[#All],1,FALSE)</f>
        <v>#REF!</v>
      </c>
    </row>
    <row r="7060" spans="1:12" hidden="1" x14ac:dyDescent="0.3">
      <c r="A7060" t="s">
        <v>117</v>
      </c>
      <c r="B7060" t="s">
        <v>118</v>
      </c>
      <c r="C7060" t="s">
        <v>127</v>
      </c>
      <c r="D7060" t="s">
        <v>128</v>
      </c>
      <c r="E7060">
        <v>1977</v>
      </c>
      <c r="F7060" s="1">
        <v>4145</v>
      </c>
      <c r="G7060">
        <v>1980</v>
      </c>
      <c r="H7060">
        <f>AVERAGEIFS(Table1[value],Table1[IndicatorCode],Table1[[#This Row],[IndicatorCode]])</f>
        <v>24902.88753799392</v>
      </c>
      <c r="I7060" cm="1">
        <f t="array" ref="I7060">_xlfn.STDEV.P(IF(Table1[IndicatorCode]=Table1[[#This Row],[IndicatorCode]],Table1[value]))</f>
        <v>26324.778297809873</v>
      </c>
      <c r="J7060">
        <f>(Table1[[#This Row],[value]] - Table1[[#This Row],[mean]]) / Table1[[#This Row],[std_dev]]</f>
        <v>-0.78853038392809183</v>
      </c>
      <c r="K7060">
        <f>AVERAGEIF(Table1[CountryCode],Table1[[#This Row],[CountryCode]],Table1[z-score])</f>
        <v>-0.69917556524739866</v>
      </c>
      <c r="L7060" t="e">
        <f>VLOOKUP(Table1[[#This Row],[CountryCode]],[1]!Table1[#All],1,FALSE)</f>
        <v>#REF!</v>
      </c>
    </row>
    <row r="7061" spans="1:12" hidden="1" x14ac:dyDescent="0.3">
      <c r="A7061" t="s">
        <v>117</v>
      </c>
      <c r="B7061" t="s">
        <v>118</v>
      </c>
      <c r="C7061" t="s">
        <v>127</v>
      </c>
      <c r="D7061" t="s">
        <v>128</v>
      </c>
      <c r="E7061">
        <v>1978</v>
      </c>
      <c r="F7061" s="1">
        <v>4123</v>
      </c>
      <c r="G7061">
        <v>1980</v>
      </c>
      <c r="H7061">
        <f>AVERAGEIFS(Table1[value],Table1[IndicatorCode],Table1[[#This Row],[IndicatorCode]])</f>
        <v>24902.88753799392</v>
      </c>
      <c r="I7061" cm="1">
        <f t="array" ref="I7061">_xlfn.STDEV.P(IF(Table1[IndicatorCode]=Table1[[#This Row],[IndicatorCode]],Table1[value]))</f>
        <v>26324.778297809873</v>
      </c>
      <c r="J7061">
        <f>(Table1[[#This Row],[value]] - Table1[[#This Row],[mean]]) / Table1[[#This Row],[std_dev]]</f>
        <v>-0.78936609846863293</v>
      </c>
      <c r="K7061">
        <f>AVERAGEIF(Table1[CountryCode],Table1[[#This Row],[CountryCode]],Table1[z-score])</f>
        <v>-0.69917556524739866</v>
      </c>
      <c r="L7061" t="e">
        <f>VLOOKUP(Table1[[#This Row],[CountryCode]],[1]!Table1[#All],1,FALSE)</f>
        <v>#REF!</v>
      </c>
    </row>
    <row r="7062" spans="1:12" hidden="1" x14ac:dyDescent="0.3">
      <c r="A7062" t="s">
        <v>117</v>
      </c>
      <c r="B7062" t="s">
        <v>118</v>
      </c>
      <c r="C7062" t="s">
        <v>127</v>
      </c>
      <c r="D7062" t="s">
        <v>128</v>
      </c>
      <c r="E7062">
        <v>1979</v>
      </c>
      <c r="F7062" s="1">
        <v>4018</v>
      </c>
      <c r="G7062">
        <v>1980</v>
      </c>
      <c r="H7062">
        <f>AVERAGEIFS(Table1[value],Table1[IndicatorCode],Table1[[#This Row],[IndicatorCode]])</f>
        <v>24902.88753799392</v>
      </c>
      <c r="I7062" cm="1">
        <f t="array" ref="I7062">_xlfn.STDEV.P(IF(Table1[IndicatorCode]=Table1[[#This Row],[IndicatorCode]],Table1[value]))</f>
        <v>26324.778297809873</v>
      </c>
      <c r="J7062">
        <f>(Table1[[#This Row],[value]] - Table1[[#This Row],[mean]]) / Table1[[#This Row],[std_dev]]</f>
        <v>-0.79335473604848816</v>
      </c>
      <c r="K7062">
        <f>AVERAGEIF(Table1[CountryCode],Table1[[#This Row],[CountryCode]],Table1[z-score])</f>
        <v>-0.69917556524739866</v>
      </c>
      <c r="L7062" t="e">
        <f>VLOOKUP(Table1[[#This Row],[CountryCode]],[1]!Table1[#All],1,FALSE)</f>
        <v>#REF!</v>
      </c>
    </row>
    <row r="7063" spans="1:12" hidden="1" x14ac:dyDescent="0.3">
      <c r="A7063" t="s">
        <v>117</v>
      </c>
      <c r="B7063" t="s">
        <v>118</v>
      </c>
      <c r="C7063" t="s">
        <v>127</v>
      </c>
      <c r="D7063" t="s">
        <v>128</v>
      </c>
      <c r="E7063">
        <v>1980</v>
      </c>
      <c r="F7063" s="1">
        <v>3842</v>
      </c>
      <c r="G7063">
        <v>1980</v>
      </c>
      <c r="H7063">
        <f>AVERAGEIFS(Table1[value],Table1[IndicatorCode],Table1[[#This Row],[IndicatorCode]])</f>
        <v>24902.88753799392</v>
      </c>
      <c r="I7063" cm="1">
        <f t="array" ref="I7063">_xlfn.STDEV.P(IF(Table1[IndicatorCode]=Table1[[#This Row],[IndicatorCode]],Table1[value]))</f>
        <v>26324.778297809873</v>
      </c>
      <c r="J7063">
        <f>(Table1[[#This Row],[value]] - Table1[[#This Row],[mean]]) / Table1[[#This Row],[std_dev]]</f>
        <v>-0.80004045237281673</v>
      </c>
      <c r="K7063">
        <f>AVERAGEIF(Table1[CountryCode],Table1[[#This Row],[CountryCode]],Table1[z-score])</f>
        <v>-0.69917556524739866</v>
      </c>
      <c r="L7063" t="e">
        <f>VLOOKUP(Table1[[#This Row],[CountryCode]],[1]!Table1[#All],1,FALSE)</f>
        <v>#REF!</v>
      </c>
    </row>
    <row r="7064" spans="1:12" hidden="1" x14ac:dyDescent="0.3">
      <c r="A7064" t="s">
        <v>117</v>
      </c>
      <c r="B7064" t="s">
        <v>118</v>
      </c>
      <c r="C7064" t="s">
        <v>127</v>
      </c>
      <c r="D7064" t="s">
        <v>128</v>
      </c>
      <c r="E7064">
        <v>1981</v>
      </c>
      <c r="F7064" s="1">
        <v>3949</v>
      </c>
      <c r="G7064">
        <v>1980</v>
      </c>
      <c r="H7064">
        <f>AVERAGEIFS(Table1[value],Table1[IndicatorCode],Table1[[#This Row],[IndicatorCode]])</f>
        <v>24902.88753799392</v>
      </c>
      <c r="I7064" cm="1">
        <f t="array" ref="I7064">_xlfn.STDEV.P(IF(Table1[IndicatorCode]=Table1[[#This Row],[IndicatorCode]],Table1[value]))</f>
        <v>26324.778297809873</v>
      </c>
      <c r="J7064">
        <f>(Table1[[#This Row],[value]] - Table1[[#This Row],[mean]]) / Table1[[#This Row],[std_dev]]</f>
        <v>-0.79597584074382155</v>
      </c>
      <c r="K7064">
        <f>AVERAGEIF(Table1[CountryCode],Table1[[#This Row],[CountryCode]],Table1[z-score])</f>
        <v>-0.69917556524739866</v>
      </c>
      <c r="L7064" t="e">
        <f>VLOOKUP(Table1[[#This Row],[CountryCode]],[1]!Table1[#All],1,FALSE)</f>
        <v>#REF!</v>
      </c>
    </row>
    <row r="7065" spans="1:12" hidden="1" x14ac:dyDescent="0.3">
      <c r="A7065" t="s">
        <v>117</v>
      </c>
      <c r="B7065" t="s">
        <v>118</v>
      </c>
      <c r="C7065" t="s">
        <v>127</v>
      </c>
      <c r="D7065" t="s">
        <v>128</v>
      </c>
      <c r="E7065">
        <v>1982</v>
      </c>
      <c r="F7065" s="1">
        <v>4004</v>
      </c>
      <c r="G7065">
        <v>1980</v>
      </c>
      <c r="H7065">
        <f>AVERAGEIFS(Table1[value],Table1[IndicatorCode],Table1[[#This Row],[IndicatorCode]])</f>
        <v>24902.88753799392</v>
      </c>
      <c r="I7065" cm="1">
        <f t="array" ref="I7065">_xlfn.STDEV.P(IF(Table1[IndicatorCode]=Table1[[#This Row],[IndicatorCode]],Table1[value]))</f>
        <v>26324.778297809873</v>
      </c>
      <c r="J7065">
        <f>(Table1[[#This Row],[value]] - Table1[[#This Row],[mean]]) / Table1[[#This Row],[std_dev]]</f>
        <v>-0.7938865543924688</v>
      </c>
      <c r="K7065">
        <f>AVERAGEIF(Table1[CountryCode],Table1[[#This Row],[CountryCode]],Table1[z-score])</f>
        <v>-0.69917556524739866</v>
      </c>
      <c r="L7065" t="e">
        <f>VLOOKUP(Table1[[#This Row],[CountryCode]],[1]!Table1[#All],1,FALSE)</f>
        <v>#REF!</v>
      </c>
    </row>
    <row r="7066" spans="1:12" hidden="1" x14ac:dyDescent="0.3">
      <c r="A7066" t="s">
        <v>117</v>
      </c>
      <c r="B7066" t="s">
        <v>118</v>
      </c>
      <c r="C7066" t="s">
        <v>127</v>
      </c>
      <c r="D7066" t="s">
        <v>128</v>
      </c>
      <c r="E7066">
        <v>1983</v>
      </c>
      <c r="F7066" s="1">
        <v>4105</v>
      </c>
      <c r="G7066">
        <v>1980</v>
      </c>
      <c r="H7066">
        <f>AVERAGEIFS(Table1[value],Table1[IndicatorCode],Table1[[#This Row],[IndicatorCode]])</f>
        <v>24902.88753799392</v>
      </c>
      <c r="I7066" cm="1">
        <f t="array" ref="I7066">_xlfn.STDEV.P(IF(Table1[IndicatorCode]=Table1[[#This Row],[IndicatorCode]],Table1[value]))</f>
        <v>26324.778297809873</v>
      </c>
      <c r="J7066">
        <f>(Table1[[#This Row],[value]] - Table1[[#This Row],[mean]]) / Table1[[#This Row],[std_dev]]</f>
        <v>-0.7900498649108938</v>
      </c>
      <c r="K7066">
        <f>AVERAGEIF(Table1[CountryCode],Table1[[#This Row],[CountryCode]],Table1[z-score])</f>
        <v>-0.69917556524739866</v>
      </c>
      <c r="L7066" t="e">
        <f>VLOOKUP(Table1[[#This Row],[CountryCode]],[1]!Table1[#All],1,FALSE)</f>
        <v>#REF!</v>
      </c>
    </row>
    <row r="7067" spans="1:12" hidden="1" x14ac:dyDescent="0.3">
      <c r="A7067" t="s">
        <v>117</v>
      </c>
      <c r="B7067" t="s">
        <v>118</v>
      </c>
      <c r="C7067" t="s">
        <v>127</v>
      </c>
      <c r="D7067" t="s">
        <v>128</v>
      </c>
      <c r="E7067">
        <v>1984</v>
      </c>
      <c r="F7067" s="1">
        <v>4281</v>
      </c>
      <c r="G7067">
        <v>1980</v>
      </c>
      <c r="H7067">
        <f>AVERAGEIFS(Table1[value],Table1[IndicatorCode],Table1[[#This Row],[IndicatorCode]])</f>
        <v>24902.88753799392</v>
      </c>
      <c r="I7067" cm="1">
        <f t="array" ref="I7067">_xlfn.STDEV.P(IF(Table1[IndicatorCode]=Table1[[#This Row],[IndicatorCode]],Table1[value]))</f>
        <v>26324.778297809873</v>
      </c>
      <c r="J7067">
        <f>(Table1[[#This Row],[value]] - Table1[[#This Row],[mean]]) / Table1[[#This Row],[std_dev]]</f>
        <v>-0.78336414858656522</v>
      </c>
      <c r="K7067">
        <f>AVERAGEIF(Table1[CountryCode],Table1[[#This Row],[CountryCode]],Table1[z-score])</f>
        <v>-0.69917556524739866</v>
      </c>
      <c r="L7067" t="e">
        <f>VLOOKUP(Table1[[#This Row],[CountryCode]],[1]!Table1[#All],1,FALSE)</f>
        <v>#REF!</v>
      </c>
    </row>
    <row r="7068" spans="1:12" hidden="1" x14ac:dyDescent="0.3">
      <c r="A7068" t="s">
        <v>117</v>
      </c>
      <c r="B7068" t="s">
        <v>118</v>
      </c>
      <c r="C7068" t="s">
        <v>127</v>
      </c>
      <c r="D7068" t="s">
        <v>128</v>
      </c>
      <c r="E7068">
        <v>1985</v>
      </c>
      <c r="F7068" s="1">
        <v>4364</v>
      </c>
      <c r="G7068">
        <v>1980</v>
      </c>
      <c r="H7068">
        <f>AVERAGEIFS(Table1[value],Table1[IndicatorCode],Table1[[#This Row],[IndicatorCode]])</f>
        <v>24902.88753799392</v>
      </c>
      <c r="I7068" cm="1">
        <f t="array" ref="I7068">_xlfn.STDEV.P(IF(Table1[IndicatorCode]=Table1[[#This Row],[IndicatorCode]],Table1[value]))</f>
        <v>26324.778297809873</v>
      </c>
      <c r="J7068">
        <f>(Table1[[#This Row],[value]] - Table1[[#This Row],[mean]]) / Table1[[#This Row],[std_dev]]</f>
        <v>-0.78021122554725109</v>
      </c>
      <c r="K7068">
        <f>AVERAGEIF(Table1[CountryCode],Table1[[#This Row],[CountryCode]],Table1[z-score])</f>
        <v>-0.69917556524739866</v>
      </c>
      <c r="L7068" t="e">
        <f>VLOOKUP(Table1[[#This Row],[CountryCode]],[1]!Table1[#All],1,FALSE)</f>
        <v>#REF!</v>
      </c>
    </row>
    <row r="7069" spans="1:12" hidden="1" x14ac:dyDescent="0.3">
      <c r="A7069" t="s">
        <v>117</v>
      </c>
      <c r="B7069" t="s">
        <v>118</v>
      </c>
      <c r="C7069" t="s">
        <v>127</v>
      </c>
      <c r="D7069" t="s">
        <v>128</v>
      </c>
      <c r="E7069">
        <v>1986</v>
      </c>
      <c r="F7069" s="1">
        <v>4572</v>
      </c>
      <c r="G7069">
        <v>1980</v>
      </c>
      <c r="H7069">
        <f>AVERAGEIFS(Table1[value],Table1[IndicatorCode],Table1[[#This Row],[IndicatorCode]])</f>
        <v>24902.88753799392</v>
      </c>
      <c r="I7069" cm="1">
        <f t="array" ref="I7069">_xlfn.STDEV.P(IF(Table1[IndicatorCode]=Table1[[#This Row],[IndicatorCode]],Table1[value]))</f>
        <v>26324.778297809873</v>
      </c>
      <c r="J7069">
        <f>(Table1[[#This Row],[value]] - Table1[[#This Row],[mean]]) / Table1[[#This Row],[std_dev]]</f>
        <v>-0.77230992443668089</v>
      </c>
      <c r="K7069">
        <f>AVERAGEIF(Table1[CountryCode],Table1[[#This Row],[CountryCode]],Table1[z-score])</f>
        <v>-0.69917556524739866</v>
      </c>
      <c r="L7069" t="e">
        <f>VLOOKUP(Table1[[#This Row],[CountryCode]],[1]!Table1[#All],1,FALSE)</f>
        <v>#REF!</v>
      </c>
    </row>
    <row r="7070" spans="1:12" hidden="1" x14ac:dyDescent="0.3">
      <c r="A7070" t="s">
        <v>117</v>
      </c>
      <c r="B7070" t="s">
        <v>118</v>
      </c>
      <c r="C7070" t="s">
        <v>127</v>
      </c>
      <c r="D7070" t="s">
        <v>128</v>
      </c>
      <c r="E7070">
        <v>1987</v>
      </c>
      <c r="F7070" s="1">
        <v>4905</v>
      </c>
      <c r="G7070">
        <v>1990</v>
      </c>
      <c r="H7070">
        <f>AVERAGEIFS(Table1[value],Table1[IndicatorCode],Table1[[#This Row],[IndicatorCode]])</f>
        <v>24902.88753799392</v>
      </c>
      <c r="I7070" cm="1">
        <f t="array" ref="I7070">_xlfn.STDEV.P(IF(Table1[IndicatorCode]=Table1[[#This Row],[IndicatorCode]],Table1[value]))</f>
        <v>26324.778297809873</v>
      </c>
      <c r="J7070">
        <f>(Table1[[#This Row],[value]] - Table1[[#This Row],[mean]]) / Table1[[#This Row],[std_dev]]</f>
        <v>-0.75966024525485454</v>
      </c>
      <c r="K7070">
        <f>AVERAGEIF(Table1[CountryCode],Table1[[#This Row],[CountryCode]],Table1[z-score])</f>
        <v>-0.69917556524739866</v>
      </c>
      <c r="L7070" t="e">
        <f>VLOOKUP(Table1[[#This Row],[CountryCode]],[1]!Table1[#All],1,FALSE)</f>
        <v>#REF!</v>
      </c>
    </row>
    <row r="7071" spans="1:12" hidden="1" x14ac:dyDescent="0.3">
      <c r="A7071" t="s">
        <v>117</v>
      </c>
      <c r="B7071" t="s">
        <v>118</v>
      </c>
      <c r="C7071" t="s">
        <v>127</v>
      </c>
      <c r="D7071" t="s">
        <v>128</v>
      </c>
      <c r="E7071">
        <v>1988</v>
      </c>
      <c r="F7071" s="1">
        <v>4919</v>
      </c>
      <c r="G7071">
        <v>1990</v>
      </c>
      <c r="H7071">
        <f>AVERAGEIFS(Table1[value],Table1[IndicatorCode],Table1[[#This Row],[IndicatorCode]])</f>
        <v>24902.88753799392</v>
      </c>
      <c r="I7071" cm="1">
        <f t="array" ref="I7071">_xlfn.STDEV.P(IF(Table1[IndicatorCode]=Table1[[#This Row],[IndicatorCode]],Table1[value]))</f>
        <v>26324.778297809873</v>
      </c>
      <c r="J7071">
        <f>(Table1[[#This Row],[value]] - Table1[[#This Row],[mean]]) / Table1[[#This Row],[std_dev]]</f>
        <v>-0.75912842691087379</v>
      </c>
      <c r="K7071">
        <f>AVERAGEIF(Table1[CountryCode],Table1[[#This Row],[CountryCode]],Table1[z-score])</f>
        <v>-0.69917556524739866</v>
      </c>
      <c r="L7071" t="e">
        <f>VLOOKUP(Table1[[#This Row],[CountryCode]],[1]!Table1[#All],1,FALSE)</f>
        <v>#REF!</v>
      </c>
    </row>
    <row r="7072" spans="1:12" hidden="1" x14ac:dyDescent="0.3">
      <c r="A7072" t="s">
        <v>117</v>
      </c>
      <c r="B7072" t="s">
        <v>118</v>
      </c>
      <c r="C7072" t="s">
        <v>127</v>
      </c>
      <c r="D7072" t="s">
        <v>128</v>
      </c>
      <c r="E7072">
        <v>1989</v>
      </c>
      <c r="F7072" s="1">
        <v>4838</v>
      </c>
      <c r="G7072">
        <v>1990</v>
      </c>
      <c r="H7072">
        <f>AVERAGEIFS(Table1[value],Table1[IndicatorCode],Table1[[#This Row],[IndicatorCode]])</f>
        <v>24902.88753799392</v>
      </c>
      <c r="I7072" cm="1">
        <f t="array" ref="I7072">_xlfn.STDEV.P(IF(Table1[IndicatorCode]=Table1[[#This Row],[IndicatorCode]],Table1[value]))</f>
        <v>26324.778297809873</v>
      </c>
      <c r="J7072">
        <f>(Table1[[#This Row],[value]] - Table1[[#This Row],[mean]]) / Table1[[#This Row],[std_dev]]</f>
        <v>-0.76220537590104787</v>
      </c>
      <c r="K7072">
        <f>AVERAGEIF(Table1[CountryCode],Table1[[#This Row],[CountryCode]],Table1[z-score])</f>
        <v>-0.69917556524739866</v>
      </c>
      <c r="L7072" t="e">
        <f>VLOOKUP(Table1[[#This Row],[CountryCode]],[1]!Table1[#All],1,FALSE)</f>
        <v>#REF!</v>
      </c>
    </row>
    <row r="7073" spans="1:12" hidden="1" x14ac:dyDescent="0.3">
      <c r="A7073" t="s">
        <v>117</v>
      </c>
      <c r="B7073" t="s">
        <v>118</v>
      </c>
      <c r="C7073" t="s">
        <v>127</v>
      </c>
      <c r="D7073" t="s">
        <v>128</v>
      </c>
      <c r="E7073">
        <v>1990</v>
      </c>
      <c r="F7073" s="1">
        <v>5188</v>
      </c>
      <c r="G7073">
        <v>1990</v>
      </c>
      <c r="H7073">
        <f>AVERAGEIFS(Table1[value],Table1[IndicatorCode],Table1[[#This Row],[IndicatorCode]])</f>
        <v>24902.88753799392</v>
      </c>
      <c r="I7073" cm="1">
        <f t="array" ref="I7073">_xlfn.STDEV.P(IF(Table1[IndicatorCode]=Table1[[#This Row],[IndicatorCode]],Table1[value]))</f>
        <v>26324.778297809873</v>
      </c>
      <c r="J7073">
        <f>(Table1[[#This Row],[value]] - Table1[[#This Row],[mean]]) / Table1[[#This Row],[std_dev]]</f>
        <v>-0.74890991730153067</v>
      </c>
      <c r="K7073">
        <f>AVERAGEIF(Table1[CountryCode],Table1[[#This Row],[CountryCode]],Table1[z-score])</f>
        <v>-0.69917556524739866</v>
      </c>
      <c r="L7073" t="e">
        <f>VLOOKUP(Table1[[#This Row],[CountryCode]],[1]!Table1[#All],1,FALSE)</f>
        <v>#REF!</v>
      </c>
    </row>
    <row r="7074" spans="1:12" hidden="1" x14ac:dyDescent="0.3">
      <c r="A7074" t="s">
        <v>117</v>
      </c>
      <c r="B7074" t="s">
        <v>118</v>
      </c>
      <c r="C7074" t="s">
        <v>127</v>
      </c>
      <c r="D7074" t="s">
        <v>128</v>
      </c>
      <c r="E7074">
        <v>1991</v>
      </c>
      <c r="F7074" s="1">
        <v>5134</v>
      </c>
      <c r="G7074">
        <v>1990</v>
      </c>
      <c r="H7074">
        <f>AVERAGEIFS(Table1[value],Table1[IndicatorCode],Table1[[#This Row],[IndicatorCode]])</f>
        <v>24902.88753799392</v>
      </c>
      <c r="I7074" cm="1">
        <f t="array" ref="I7074">_xlfn.STDEV.P(IF(Table1[IndicatorCode]=Table1[[#This Row],[IndicatorCode]],Table1[value]))</f>
        <v>26324.778297809873</v>
      </c>
      <c r="J7074">
        <f>(Table1[[#This Row],[value]] - Table1[[#This Row],[mean]]) / Table1[[#This Row],[std_dev]]</f>
        <v>-0.75096121662831328</v>
      </c>
      <c r="K7074">
        <f>AVERAGEIF(Table1[CountryCode],Table1[[#This Row],[CountryCode]],Table1[z-score])</f>
        <v>-0.69917556524739866</v>
      </c>
      <c r="L7074" t="e">
        <f>VLOOKUP(Table1[[#This Row],[CountryCode]],[1]!Table1[#All],1,FALSE)</f>
        <v>#REF!</v>
      </c>
    </row>
    <row r="7075" spans="1:12" hidden="1" x14ac:dyDescent="0.3">
      <c r="A7075" t="s">
        <v>117</v>
      </c>
      <c r="B7075" t="s">
        <v>118</v>
      </c>
      <c r="C7075" t="s">
        <v>127</v>
      </c>
      <c r="D7075" t="s">
        <v>128</v>
      </c>
      <c r="E7075">
        <v>1992</v>
      </c>
      <c r="F7075" s="1">
        <v>5302</v>
      </c>
      <c r="G7075">
        <v>1990</v>
      </c>
      <c r="H7075">
        <f>AVERAGEIFS(Table1[value],Table1[IndicatorCode],Table1[[#This Row],[IndicatorCode]])</f>
        <v>24902.88753799392</v>
      </c>
      <c r="I7075" cm="1">
        <f t="array" ref="I7075">_xlfn.STDEV.P(IF(Table1[IndicatorCode]=Table1[[#This Row],[IndicatorCode]],Table1[value]))</f>
        <v>26324.778297809873</v>
      </c>
      <c r="J7075">
        <f>(Table1[[#This Row],[value]] - Table1[[#This Row],[mean]]) / Table1[[#This Row],[std_dev]]</f>
        <v>-0.74457939650054505</v>
      </c>
      <c r="K7075">
        <f>AVERAGEIF(Table1[CountryCode],Table1[[#This Row],[CountryCode]],Table1[z-score])</f>
        <v>-0.69917556524739866</v>
      </c>
      <c r="L7075" t="e">
        <f>VLOOKUP(Table1[[#This Row],[CountryCode]],[1]!Table1[#All],1,FALSE)</f>
        <v>#REF!</v>
      </c>
    </row>
    <row r="7076" spans="1:12" hidden="1" x14ac:dyDescent="0.3">
      <c r="A7076" t="s">
        <v>117</v>
      </c>
      <c r="B7076" t="s">
        <v>118</v>
      </c>
      <c r="C7076" t="s">
        <v>127</v>
      </c>
      <c r="D7076" t="s">
        <v>128</v>
      </c>
      <c r="E7076">
        <v>1993</v>
      </c>
      <c r="F7076" s="1">
        <v>5610</v>
      </c>
      <c r="G7076">
        <v>1990</v>
      </c>
      <c r="H7076">
        <f>AVERAGEIFS(Table1[value],Table1[IndicatorCode],Table1[[#This Row],[IndicatorCode]])</f>
        <v>24902.88753799392</v>
      </c>
      <c r="I7076" cm="1">
        <f t="array" ref="I7076">_xlfn.STDEV.P(IF(Table1[IndicatorCode]=Table1[[#This Row],[IndicatorCode]],Table1[value]))</f>
        <v>26324.778297809873</v>
      </c>
      <c r="J7076">
        <f>(Table1[[#This Row],[value]] - Table1[[#This Row],[mean]]) / Table1[[#This Row],[std_dev]]</f>
        <v>-0.73287939293296989</v>
      </c>
      <c r="K7076">
        <f>AVERAGEIF(Table1[CountryCode],Table1[[#This Row],[CountryCode]],Table1[z-score])</f>
        <v>-0.69917556524739866</v>
      </c>
      <c r="L7076" t="e">
        <f>VLOOKUP(Table1[[#This Row],[CountryCode]],[1]!Table1[#All],1,FALSE)</f>
        <v>#REF!</v>
      </c>
    </row>
    <row r="7077" spans="1:12" hidden="1" x14ac:dyDescent="0.3">
      <c r="A7077" t="s">
        <v>117</v>
      </c>
      <c r="B7077" t="s">
        <v>118</v>
      </c>
      <c r="C7077" t="s">
        <v>127</v>
      </c>
      <c r="D7077" t="s">
        <v>128</v>
      </c>
      <c r="E7077">
        <v>1994</v>
      </c>
      <c r="F7077" s="1">
        <v>5256</v>
      </c>
      <c r="G7077">
        <v>1990</v>
      </c>
      <c r="H7077">
        <f>AVERAGEIFS(Table1[value],Table1[IndicatorCode],Table1[[#This Row],[IndicatorCode]])</f>
        <v>24902.88753799392</v>
      </c>
      <c r="I7077" cm="1">
        <f t="array" ref="I7077">_xlfn.STDEV.P(IF(Table1[IndicatorCode]=Table1[[#This Row],[IndicatorCode]],Table1[value]))</f>
        <v>26324.778297809873</v>
      </c>
      <c r="J7077">
        <f>(Table1[[#This Row],[value]] - Table1[[#This Row],[mean]]) / Table1[[#This Row],[std_dev]]</f>
        <v>-0.74632679963076731</v>
      </c>
      <c r="K7077">
        <f>AVERAGEIF(Table1[CountryCode],Table1[[#This Row],[CountryCode]],Table1[z-score])</f>
        <v>-0.69917556524739866</v>
      </c>
      <c r="L7077" t="e">
        <f>VLOOKUP(Table1[[#This Row],[CountryCode]],[1]!Table1[#All],1,FALSE)</f>
        <v>#REF!</v>
      </c>
    </row>
    <row r="7078" spans="1:12" hidden="1" x14ac:dyDescent="0.3">
      <c r="A7078" t="s">
        <v>117</v>
      </c>
      <c r="B7078" t="s">
        <v>118</v>
      </c>
      <c r="C7078" t="s">
        <v>127</v>
      </c>
      <c r="D7078" t="s">
        <v>128</v>
      </c>
      <c r="E7078">
        <v>1995</v>
      </c>
      <c r="F7078" s="1">
        <v>5578</v>
      </c>
      <c r="G7078">
        <v>1990</v>
      </c>
      <c r="H7078">
        <f>AVERAGEIFS(Table1[value],Table1[IndicatorCode],Table1[[#This Row],[IndicatorCode]])</f>
        <v>24902.88753799392</v>
      </c>
      <c r="I7078" cm="1">
        <f t="array" ref="I7078">_xlfn.STDEV.P(IF(Table1[IndicatorCode]=Table1[[#This Row],[IndicatorCode]],Table1[value]))</f>
        <v>26324.778297809873</v>
      </c>
      <c r="J7078">
        <f>(Table1[[#This Row],[value]] - Table1[[#This Row],[mean]]) / Table1[[#This Row],[std_dev]]</f>
        <v>-0.73409497771921151</v>
      </c>
      <c r="K7078">
        <f>AVERAGEIF(Table1[CountryCode],Table1[[#This Row],[CountryCode]],Table1[z-score])</f>
        <v>-0.69917556524739866</v>
      </c>
      <c r="L7078" t="e">
        <f>VLOOKUP(Table1[[#This Row],[CountryCode]],[1]!Table1[#All],1,FALSE)</f>
        <v>#REF!</v>
      </c>
    </row>
    <row r="7079" spans="1:12" hidden="1" x14ac:dyDescent="0.3">
      <c r="A7079" t="s">
        <v>117</v>
      </c>
      <c r="B7079" t="s">
        <v>118</v>
      </c>
      <c r="C7079" t="s">
        <v>127</v>
      </c>
      <c r="D7079" t="s">
        <v>128</v>
      </c>
      <c r="E7079">
        <v>1996</v>
      </c>
      <c r="F7079" s="1">
        <v>5888</v>
      </c>
      <c r="G7079">
        <v>1990</v>
      </c>
      <c r="H7079">
        <f>AVERAGEIFS(Table1[value],Table1[IndicatorCode],Table1[[#This Row],[IndicatorCode]])</f>
        <v>24902.88753799392</v>
      </c>
      <c r="I7079" cm="1">
        <f t="array" ref="I7079">_xlfn.STDEV.P(IF(Table1[IndicatorCode]=Table1[[#This Row],[IndicatorCode]],Table1[value]))</f>
        <v>26324.778297809873</v>
      </c>
      <c r="J7079">
        <f>(Table1[[#This Row],[value]] - Table1[[#This Row],[mean]]) / Table1[[#This Row],[std_dev]]</f>
        <v>-0.72231900010249617</v>
      </c>
      <c r="K7079">
        <f>AVERAGEIF(Table1[CountryCode],Table1[[#This Row],[CountryCode]],Table1[z-score])</f>
        <v>-0.69917556524739866</v>
      </c>
      <c r="L7079" t="e">
        <f>VLOOKUP(Table1[[#This Row],[CountryCode]],[1]!Table1[#All],1,FALSE)</f>
        <v>#REF!</v>
      </c>
    </row>
    <row r="7080" spans="1:12" hidden="1" x14ac:dyDescent="0.3">
      <c r="A7080" t="s">
        <v>117</v>
      </c>
      <c r="B7080" t="s">
        <v>118</v>
      </c>
      <c r="C7080" t="s">
        <v>127</v>
      </c>
      <c r="D7080" t="s">
        <v>128</v>
      </c>
      <c r="E7080">
        <v>1997</v>
      </c>
      <c r="F7080" s="1">
        <v>6230</v>
      </c>
      <c r="G7080">
        <v>2000</v>
      </c>
      <c r="H7080">
        <f>AVERAGEIFS(Table1[value],Table1[IndicatorCode],Table1[[#This Row],[IndicatorCode]])</f>
        <v>24902.88753799392</v>
      </c>
      <c r="I7080" cm="1">
        <f t="array" ref="I7080">_xlfn.STDEV.P(IF(Table1[IndicatorCode]=Table1[[#This Row],[IndicatorCode]],Table1[value]))</f>
        <v>26324.778297809873</v>
      </c>
      <c r="J7080">
        <f>(Table1[[#This Row],[value]] - Table1[[#This Row],[mean]]) / Table1[[#This Row],[std_dev]]</f>
        <v>-0.70932743769953943</v>
      </c>
      <c r="K7080">
        <f>AVERAGEIF(Table1[CountryCode],Table1[[#This Row],[CountryCode]],Table1[z-score])</f>
        <v>-0.69917556524739866</v>
      </c>
      <c r="L7080" t="e">
        <f>VLOOKUP(Table1[[#This Row],[CountryCode]],[1]!Table1[#All],1,FALSE)</f>
        <v>#REF!</v>
      </c>
    </row>
    <row r="7081" spans="1:12" hidden="1" x14ac:dyDescent="0.3">
      <c r="A7081" t="s">
        <v>117</v>
      </c>
      <c r="B7081" t="s">
        <v>118</v>
      </c>
      <c r="C7081" t="s">
        <v>127</v>
      </c>
      <c r="D7081" t="s">
        <v>128</v>
      </c>
      <c r="E7081">
        <v>1998</v>
      </c>
      <c r="F7081" s="1">
        <v>6261</v>
      </c>
      <c r="G7081">
        <v>2000</v>
      </c>
      <c r="H7081">
        <f>AVERAGEIFS(Table1[value],Table1[IndicatorCode],Table1[[#This Row],[IndicatorCode]])</f>
        <v>24902.88753799392</v>
      </c>
      <c r="I7081" cm="1">
        <f t="array" ref="I7081">_xlfn.STDEV.P(IF(Table1[IndicatorCode]=Table1[[#This Row],[IndicatorCode]],Table1[value]))</f>
        <v>26324.778297809873</v>
      </c>
      <c r="J7081">
        <f>(Table1[[#This Row],[value]] - Table1[[#This Row],[mean]]) / Table1[[#This Row],[std_dev]]</f>
        <v>-0.70814983993786784</v>
      </c>
      <c r="K7081">
        <f>AVERAGEIF(Table1[CountryCode],Table1[[#This Row],[CountryCode]],Table1[z-score])</f>
        <v>-0.69917556524739866</v>
      </c>
      <c r="L7081" t="e">
        <f>VLOOKUP(Table1[[#This Row],[CountryCode]],[1]!Table1[#All],1,FALSE)</f>
        <v>#REF!</v>
      </c>
    </row>
    <row r="7082" spans="1:12" hidden="1" x14ac:dyDescent="0.3">
      <c r="A7082" t="s">
        <v>117</v>
      </c>
      <c r="B7082" t="s">
        <v>118</v>
      </c>
      <c r="C7082" t="s">
        <v>127</v>
      </c>
      <c r="D7082" t="s">
        <v>128</v>
      </c>
      <c r="E7082">
        <v>1999</v>
      </c>
      <c r="F7082" s="1">
        <v>5990</v>
      </c>
      <c r="G7082">
        <v>2000</v>
      </c>
      <c r="H7082">
        <f>AVERAGEIFS(Table1[value],Table1[IndicatorCode],Table1[[#This Row],[IndicatorCode]])</f>
        <v>24902.88753799392</v>
      </c>
      <c r="I7082" cm="1">
        <f t="array" ref="I7082">_xlfn.STDEV.P(IF(Table1[IndicatorCode]=Table1[[#This Row],[IndicatorCode]],Table1[value]))</f>
        <v>26324.778297809873</v>
      </c>
      <c r="J7082">
        <f>(Table1[[#This Row],[value]] - Table1[[#This Row],[mean]]) / Table1[[#This Row],[std_dev]]</f>
        <v>-0.71844432359635124</v>
      </c>
      <c r="K7082">
        <f>AVERAGEIF(Table1[CountryCode],Table1[[#This Row],[CountryCode]],Table1[z-score])</f>
        <v>-0.69917556524739866</v>
      </c>
      <c r="L7082" t="e">
        <f>VLOOKUP(Table1[[#This Row],[CountryCode]],[1]!Table1[#All],1,FALSE)</f>
        <v>#REF!</v>
      </c>
    </row>
    <row r="7083" spans="1:12" hidden="1" x14ac:dyDescent="0.3">
      <c r="A7083" t="s">
        <v>117</v>
      </c>
      <c r="B7083" t="s">
        <v>118</v>
      </c>
      <c r="C7083" t="s">
        <v>127</v>
      </c>
      <c r="D7083" t="s">
        <v>128</v>
      </c>
      <c r="E7083">
        <v>2000</v>
      </c>
      <c r="F7083" s="1">
        <v>6326</v>
      </c>
      <c r="G7083">
        <v>2000</v>
      </c>
      <c r="H7083">
        <f>AVERAGEIFS(Table1[value],Table1[IndicatorCode],Table1[[#This Row],[IndicatorCode]])</f>
        <v>24902.88753799392</v>
      </c>
      <c r="I7083" cm="1">
        <f t="array" ref="I7083">_xlfn.STDEV.P(IF(Table1[IndicatorCode]=Table1[[#This Row],[IndicatorCode]],Table1[value]))</f>
        <v>26324.778297809873</v>
      </c>
      <c r="J7083">
        <f>(Table1[[#This Row],[value]] - Table1[[#This Row],[mean]]) / Table1[[#This Row],[std_dev]]</f>
        <v>-0.70568068334081469</v>
      </c>
      <c r="K7083">
        <f>AVERAGEIF(Table1[CountryCode],Table1[[#This Row],[CountryCode]],Table1[z-score])</f>
        <v>-0.69917556524739866</v>
      </c>
      <c r="L7083" t="e">
        <f>VLOOKUP(Table1[[#This Row],[CountryCode]],[1]!Table1[#All],1,FALSE)</f>
        <v>#REF!</v>
      </c>
    </row>
    <row r="7084" spans="1:12" hidden="1" x14ac:dyDescent="0.3">
      <c r="A7084" t="s">
        <v>117</v>
      </c>
      <c r="B7084" t="s">
        <v>118</v>
      </c>
      <c r="C7084" t="s">
        <v>127</v>
      </c>
      <c r="D7084" t="s">
        <v>128</v>
      </c>
      <c r="E7084">
        <v>2001</v>
      </c>
      <c r="F7084" s="1">
        <v>5907</v>
      </c>
      <c r="G7084">
        <v>2000</v>
      </c>
      <c r="H7084">
        <f>AVERAGEIFS(Table1[value],Table1[IndicatorCode],Table1[[#This Row],[IndicatorCode]])</f>
        <v>24902.88753799392</v>
      </c>
      <c r="I7084" cm="1">
        <f t="array" ref="I7084">_xlfn.STDEV.P(IF(Table1[IndicatorCode]=Table1[[#This Row],[IndicatorCode]],Table1[value]))</f>
        <v>26324.778297809873</v>
      </c>
      <c r="J7084">
        <f>(Table1[[#This Row],[value]] - Table1[[#This Row],[mean]]) / Table1[[#This Row],[std_dev]]</f>
        <v>-0.72159724663566527</v>
      </c>
      <c r="K7084">
        <f>AVERAGEIF(Table1[CountryCode],Table1[[#This Row],[CountryCode]],Table1[z-score])</f>
        <v>-0.69917556524739866</v>
      </c>
      <c r="L7084" t="e">
        <f>VLOOKUP(Table1[[#This Row],[CountryCode]],[1]!Table1[#All],1,FALSE)</f>
        <v>#REF!</v>
      </c>
    </row>
    <row r="7085" spans="1:12" hidden="1" x14ac:dyDescent="0.3">
      <c r="A7085" t="s">
        <v>117</v>
      </c>
      <c r="B7085" t="s">
        <v>118</v>
      </c>
      <c r="C7085" t="s">
        <v>127</v>
      </c>
      <c r="D7085" t="s">
        <v>128</v>
      </c>
      <c r="E7085">
        <v>2002</v>
      </c>
      <c r="F7085" s="1">
        <v>6212</v>
      </c>
      <c r="G7085">
        <v>2000</v>
      </c>
      <c r="H7085">
        <f>AVERAGEIFS(Table1[value],Table1[IndicatorCode],Table1[[#This Row],[IndicatorCode]])</f>
        <v>24902.88753799392</v>
      </c>
      <c r="I7085" cm="1">
        <f t="array" ref="I7085">_xlfn.STDEV.P(IF(Table1[IndicatorCode]=Table1[[#This Row],[IndicatorCode]],Table1[value]))</f>
        <v>26324.778297809873</v>
      </c>
      <c r="J7085">
        <f>(Table1[[#This Row],[value]] - Table1[[#This Row],[mean]]) / Table1[[#This Row],[std_dev]]</f>
        <v>-0.7100112041418003</v>
      </c>
      <c r="K7085">
        <f>AVERAGEIF(Table1[CountryCode],Table1[[#This Row],[CountryCode]],Table1[z-score])</f>
        <v>-0.69917556524739866</v>
      </c>
      <c r="L7085" t="e">
        <f>VLOOKUP(Table1[[#This Row],[CountryCode]],[1]!Table1[#All],1,FALSE)</f>
        <v>#REF!</v>
      </c>
    </row>
    <row r="7086" spans="1:12" hidden="1" x14ac:dyDescent="0.3">
      <c r="A7086" t="s">
        <v>117</v>
      </c>
      <c r="B7086" t="s">
        <v>118</v>
      </c>
      <c r="C7086" t="s">
        <v>127</v>
      </c>
      <c r="D7086" t="s">
        <v>128</v>
      </c>
      <c r="E7086">
        <v>2003</v>
      </c>
      <c r="F7086" s="1">
        <v>6496</v>
      </c>
      <c r="G7086">
        <v>2000</v>
      </c>
      <c r="H7086">
        <f>AVERAGEIFS(Table1[value],Table1[IndicatorCode],Table1[[#This Row],[IndicatorCode]])</f>
        <v>24902.88753799392</v>
      </c>
      <c r="I7086" cm="1">
        <f t="array" ref="I7086">_xlfn.STDEV.P(IF(Table1[IndicatorCode]=Table1[[#This Row],[IndicatorCode]],Table1[value]))</f>
        <v>26324.778297809873</v>
      </c>
      <c r="J7086">
        <f>(Table1[[#This Row],[value]] - Table1[[#This Row],[mean]]) / Table1[[#This Row],[std_dev]]</f>
        <v>-0.69922288916390629</v>
      </c>
      <c r="K7086">
        <f>AVERAGEIF(Table1[CountryCode],Table1[[#This Row],[CountryCode]],Table1[z-score])</f>
        <v>-0.69917556524739866</v>
      </c>
      <c r="L7086" t="e">
        <f>VLOOKUP(Table1[[#This Row],[CountryCode]],[1]!Table1[#All],1,FALSE)</f>
        <v>#REF!</v>
      </c>
    </row>
    <row r="7087" spans="1:12" hidden="1" x14ac:dyDescent="0.3">
      <c r="A7087" t="s">
        <v>117</v>
      </c>
      <c r="B7087" t="s">
        <v>118</v>
      </c>
      <c r="C7087" t="s">
        <v>127</v>
      </c>
      <c r="D7087" t="s">
        <v>128</v>
      </c>
      <c r="E7087">
        <v>2004</v>
      </c>
      <c r="F7087" s="1">
        <v>7062</v>
      </c>
      <c r="G7087">
        <v>2000</v>
      </c>
      <c r="H7087">
        <f>AVERAGEIFS(Table1[value],Table1[IndicatorCode],Table1[[#This Row],[IndicatorCode]])</f>
        <v>24902.88753799392</v>
      </c>
      <c r="I7087" cm="1">
        <f t="array" ref="I7087">_xlfn.STDEV.P(IF(Table1[IndicatorCode]=Table1[[#This Row],[IndicatorCode]],Table1[value]))</f>
        <v>26324.778297809873</v>
      </c>
      <c r="J7087">
        <f>(Table1[[#This Row],[value]] - Table1[[#This Row],[mean]]) / Table1[[#This Row],[std_dev]]</f>
        <v>-0.67772223325725856</v>
      </c>
      <c r="K7087">
        <f>AVERAGEIF(Table1[CountryCode],Table1[[#This Row],[CountryCode]],Table1[z-score])</f>
        <v>-0.69917556524739866</v>
      </c>
      <c r="L7087" t="e">
        <f>VLOOKUP(Table1[[#This Row],[CountryCode]],[1]!Table1[#All],1,FALSE)</f>
        <v>#REF!</v>
      </c>
    </row>
    <row r="7088" spans="1:12" hidden="1" x14ac:dyDescent="0.3">
      <c r="A7088" t="s">
        <v>117</v>
      </c>
      <c r="B7088" t="s">
        <v>118</v>
      </c>
      <c r="C7088" t="s">
        <v>127</v>
      </c>
      <c r="D7088" t="s">
        <v>128</v>
      </c>
      <c r="E7088">
        <v>2005</v>
      </c>
      <c r="F7088" s="1">
        <v>7623</v>
      </c>
      <c r="G7088">
        <v>2000</v>
      </c>
      <c r="H7088">
        <f>AVERAGEIFS(Table1[value],Table1[IndicatorCode],Table1[[#This Row],[IndicatorCode]])</f>
        <v>24902.88753799392</v>
      </c>
      <c r="I7088" cm="1">
        <f t="array" ref="I7088">_xlfn.STDEV.P(IF(Table1[IndicatorCode]=Table1[[#This Row],[IndicatorCode]],Table1[value]))</f>
        <v>26324.778297809873</v>
      </c>
      <c r="J7088">
        <f>(Table1[[#This Row],[value]] - Table1[[#This Row],[mean]]) / Table1[[#This Row],[std_dev]]</f>
        <v>-0.65641151247346097</v>
      </c>
      <c r="K7088">
        <f>AVERAGEIF(Table1[CountryCode],Table1[[#This Row],[CountryCode]],Table1[z-score])</f>
        <v>-0.69917556524739866</v>
      </c>
      <c r="L7088" t="e">
        <f>VLOOKUP(Table1[[#This Row],[CountryCode]],[1]!Table1[#All],1,FALSE)</f>
        <v>#REF!</v>
      </c>
    </row>
    <row r="7089" spans="1:12" hidden="1" x14ac:dyDescent="0.3">
      <c r="A7089" t="s">
        <v>117</v>
      </c>
      <c r="B7089" t="s">
        <v>118</v>
      </c>
      <c r="C7089" t="s">
        <v>127</v>
      </c>
      <c r="D7089" t="s">
        <v>128</v>
      </c>
      <c r="E7089">
        <v>2006</v>
      </c>
      <c r="F7089" s="1">
        <v>8079</v>
      </c>
      <c r="G7089">
        <v>2000</v>
      </c>
      <c r="H7089">
        <f>AVERAGEIFS(Table1[value],Table1[IndicatorCode],Table1[[#This Row],[IndicatorCode]])</f>
        <v>24902.88753799392</v>
      </c>
      <c r="I7089" cm="1">
        <f t="array" ref="I7089">_xlfn.STDEV.P(IF(Table1[IndicatorCode]=Table1[[#This Row],[IndicatorCode]],Table1[value]))</f>
        <v>26324.778297809873</v>
      </c>
      <c r="J7089">
        <f>(Table1[[#This Row],[value]] - Table1[[#This Row],[mean]]) / Table1[[#This Row],[std_dev]]</f>
        <v>-0.63908942926951851</v>
      </c>
      <c r="K7089">
        <f>AVERAGEIF(Table1[CountryCode],Table1[[#This Row],[CountryCode]],Table1[z-score])</f>
        <v>-0.69917556524739866</v>
      </c>
      <c r="L7089" t="e">
        <f>VLOOKUP(Table1[[#This Row],[CountryCode]],[1]!Table1[#All],1,FALSE)</f>
        <v>#REF!</v>
      </c>
    </row>
    <row r="7090" spans="1:12" hidden="1" x14ac:dyDescent="0.3">
      <c r="A7090" t="s">
        <v>117</v>
      </c>
      <c r="B7090" t="s">
        <v>118</v>
      </c>
      <c r="C7090" t="s">
        <v>127</v>
      </c>
      <c r="D7090" t="s">
        <v>128</v>
      </c>
      <c r="E7090">
        <v>2007</v>
      </c>
      <c r="F7090" s="1">
        <v>8478</v>
      </c>
      <c r="G7090">
        <v>2010</v>
      </c>
      <c r="H7090">
        <f>AVERAGEIFS(Table1[value],Table1[IndicatorCode],Table1[[#This Row],[IndicatorCode]])</f>
        <v>24902.88753799392</v>
      </c>
      <c r="I7090" cm="1">
        <f t="array" ref="I7090">_xlfn.STDEV.P(IF(Table1[IndicatorCode]=Table1[[#This Row],[IndicatorCode]],Table1[value]))</f>
        <v>26324.778297809873</v>
      </c>
      <c r="J7090">
        <f>(Table1[[#This Row],[value]] - Table1[[#This Row],[mean]]) / Table1[[#This Row],[std_dev]]</f>
        <v>-0.62393260646606896</v>
      </c>
      <c r="K7090">
        <f>AVERAGEIF(Table1[CountryCode],Table1[[#This Row],[CountryCode]],Table1[z-score])</f>
        <v>-0.69917556524739866</v>
      </c>
      <c r="L7090" t="e">
        <f>VLOOKUP(Table1[[#This Row],[CountryCode]],[1]!Table1[#All],1,FALSE)</f>
        <v>#REF!</v>
      </c>
    </row>
    <row r="7091" spans="1:12" hidden="1" x14ac:dyDescent="0.3">
      <c r="A7091" t="s">
        <v>117</v>
      </c>
      <c r="B7091" t="s">
        <v>118</v>
      </c>
      <c r="C7091" t="s">
        <v>127</v>
      </c>
      <c r="D7091" t="s">
        <v>128</v>
      </c>
      <c r="E7091">
        <v>2008</v>
      </c>
      <c r="F7091" s="1">
        <v>8448</v>
      </c>
      <c r="G7091">
        <v>2010</v>
      </c>
      <c r="H7091">
        <f>AVERAGEIFS(Table1[value],Table1[IndicatorCode],Table1[[#This Row],[IndicatorCode]])</f>
        <v>24902.88753799392</v>
      </c>
      <c r="I7091" cm="1">
        <f t="array" ref="I7091">_xlfn.STDEV.P(IF(Table1[IndicatorCode]=Table1[[#This Row],[IndicatorCode]],Table1[value]))</f>
        <v>26324.778297809873</v>
      </c>
      <c r="J7091">
        <f>(Table1[[#This Row],[value]] - Table1[[#This Row],[mean]]) / Table1[[#This Row],[std_dev]]</f>
        <v>-0.62507221720317041</v>
      </c>
      <c r="K7091">
        <f>AVERAGEIF(Table1[CountryCode],Table1[[#This Row],[CountryCode]],Table1[z-score])</f>
        <v>-0.69917556524739866</v>
      </c>
      <c r="L7091" t="e">
        <f>VLOOKUP(Table1[[#This Row],[CountryCode]],[1]!Table1[#All],1,FALSE)</f>
        <v>#REF!</v>
      </c>
    </row>
    <row r="7092" spans="1:12" hidden="1" x14ac:dyDescent="0.3">
      <c r="A7092" t="s">
        <v>117</v>
      </c>
      <c r="B7092" t="s">
        <v>118</v>
      </c>
      <c r="C7092" t="s">
        <v>127</v>
      </c>
      <c r="D7092" t="s">
        <v>128</v>
      </c>
      <c r="E7092">
        <v>2009</v>
      </c>
      <c r="F7092" s="1">
        <v>7925</v>
      </c>
      <c r="G7092">
        <v>2010</v>
      </c>
      <c r="H7092">
        <f>AVERAGEIFS(Table1[value],Table1[IndicatorCode],Table1[[#This Row],[IndicatorCode]])</f>
        <v>24902.88753799392</v>
      </c>
      <c r="I7092" cm="1">
        <f t="array" ref="I7092">_xlfn.STDEV.P(IF(Table1[IndicatorCode]=Table1[[#This Row],[IndicatorCode]],Table1[value]))</f>
        <v>26324.778297809873</v>
      </c>
      <c r="J7092">
        <f>(Table1[[#This Row],[value]] - Table1[[#This Row],[mean]]) / Table1[[#This Row],[std_dev]]</f>
        <v>-0.64493943105330609</v>
      </c>
      <c r="K7092">
        <f>AVERAGEIF(Table1[CountryCode],Table1[[#This Row],[CountryCode]],Table1[z-score])</f>
        <v>-0.69917556524739866</v>
      </c>
      <c r="L7092" t="e">
        <f>VLOOKUP(Table1[[#This Row],[CountryCode]],[1]!Table1[#All],1,FALSE)</f>
        <v>#REF!</v>
      </c>
    </row>
    <row r="7093" spans="1:12" hidden="1" x14ac:dyDescent="0.3">
      <c r="A7093" t="s">
        <v>117</v>
      </c>
      <c r="B7093" t="s">
        <v>118</v>
      </c>
      <c r="C7093" t="s">
        <v>127</v>
      </c>
      <c r="D7093" t="s">
        <v>128</v>
      </c>
      <c r="E7093">
        <v>2010</v>
      </c>
      <c r="F7093" s="1">
        <v>8473</v>
      </c>
      <c r="G7093">
        <v>2010</v>
      </c>
      <c r="H7093">
        <f>AVERAGEIFS(Table1[value],Table1[IndicatorCode],Table1[[#This Row],[IndicatorCode]])</f>
        <v>24902.88753799392</v>
      </c>
      <c r="I7093" cm="1">
        <f t="array" ref="I7093">_xlfn.STDEV.P(IF(Table1[IndicatorCode]=Table1[[#This Row],[IndicatorCode]],Table1[value]))</f>
        <v>26324.778297809873</v>
      </c>
      <c r="J7093">
        <f>(Table1[[#This Row],[value]] - Table1[[#This Row],[mean]]) / Table1[[#This Row],[std_dev]]</f>
        <v>-0.62412254158891922</v>
      </c>
      <c r="K7093">
        <f>AVERAGEIF(Table1[CountryCode],Table1[[#This Row],[CountryCode]],Table1[z-score])</f>
        <v>-0.69917556524739866</v>
      </c>
      <c r="L7093" t="e">
        <f>VLOOKUP(Table1[[#This Row],[CountryCode]],[1]!Table1[#All],1,FALSE)</f>
        <v>#REF!</v>
      </c>
    </row>
    <row r="7094" spans="1:12" hidden="1" x14ac:dyDescent="0.3">
      <c r="A7094" t="s">
        <v>117</v>
      </c>
      <c r="B7094" t="s">
        <v>118</v>
      </c>
      <c r="C7094" t="s">
        <v>127</v>
      </c>
      <c r="D7094" t="s">
        <v>128</v>
      </c>
      <c r="E7094">
        <v>2011</v>
      </c>
      <c r="F7094" s="1">
        <v>9266</v>
      </c>
      <c r="G7094">
        <v>2010</v>
      </c>
      <c r="H7094">
        <f>AVERAGEIFS(Table1[value],Table1[IndicatorCode],Table1[[#This Row],[IndicatorCode]])</f>
        <v>24902.88753799392</v>
      </c>
      <c r="I7094" cm="1">
        <f t="array" ref="I7094">_xlfn.STDEV.P(IF(Table1[IndicatorCode]=Table1[[#This Row],[IndicatorCode]],Table1[value]))</f>
        <v>26324.778297809873</v>
      </c>
      <c r="J7094">
        <f>(Table1[[#This Row],[value]] - Table1[[#This Row],[mean]]) / Table1[[#This Row],[std_dev]]</f>
        <v>-0.59399883110487028</v>
      </c>
      <c r="K7094">
        <f>AVERAGEIF(Table1[CountryCode],Table1[[#This Row],[CountryCode]],Table1[z-score])</f>
        <v>-0.69917556524739866</v>
      </c>
      <c r="L7094" t="e">
        <f>VLOOKUP(Table1[[#This Row],[CountryCode]],[1]!Table1[#All],1,FALSE)</f>
        <v>#REF!</v>
      </c>
    </row>
    <row r="7095" spans="1:12" hidden="1" x14ac:dyDescent="0.3">
      <c r="A7095" t="s">
        <v>117</v>
      </c>
      <c r="B7095" t="s">
        <v>118</v>
      </c>
      <c r="C7095" t="s">
        <v>127</v>
      </c>
      <c r="D7095" t="s">
        <v>128</v>
      </c>
      <c r="E7095">
        <v>2012</v>
      </c>
      <c r="F7095" s="1">
        <v>9588</v>
      </c>
      <c r="G7095">
        <v>2010</v>
      </c>
      <c r="H7095">
        <f>AVERAGEIFS(Table1[value],Table1[IndicatorCode],Table1[[#This Row],[IndicatorCode]])</f>
        <v>24902.88753799392</v>
      </c>
      <c r="I7095" cm="1">
        <f t="array" ref="I7095">_xlfn.STDEV.P(IF(Table1[IndicatorCode]=Table1[[#This Row],[IndicatorCode]],Table1[value]))</f>
        <v>26324.778297809873</v>
      </c>
      <c r="J7095">
        <f>(Table1[[#This Row],[value]] - Table1[[#This Row],[mean]]) / Table1[[#This Row],[std_dev]]</f>
        <v>-0.58176700919331437</v>
      </c>
      <c r="K7095">
        <f>AVERAGEIF(Table1[CountryCode],Table1[[#This Row],[CountryCode]],Table1[z-score])</f>
        <v>-0.69917556524739866</v>
      </c>
      <c r="L7095" t="e">
        <f>VLOOKUP(Table1[[#This Row],[CountryCode]],[1]!Table1[#All],1,FALSE)</f>
        <v>#REF!</v>
      </c>
    </row>
    <row r="7096" spans="1:12" hidden="1" x14ac:dyDescent="0.3">
      <c r="A7096" t="s">
        <v>117</v>
      </c>
      <c r="B7096" t="s">
        <v>118</v>
      </c>
      <c r="C7096" t="s">
        <v>127</v>
      </c>
      <c r="D7096" t="s">
        <v>128</v>
      </c>
      <c r="E7096">
        <v>2013</v>
      </c>
      <c r="F7096" s="1">
        <v>10269</v>
      </c>
      <c r="G7096">
        <v>2010</v>
      </c>
      <c r="H7096">
        <f>AVERAGEIFS(Table1[value],Table1[IndicatorCode],Table1[[#This Row],[IndicatorCode]])</f>
        <v>24902.88753799392</v>
      </c>
      <c r="I7096" cm="1">
        <f t="array" ref="I7096">_xlfn.STDEV.P(IF(Table1[IndicatorCode]=Table1[[#This Row],[IndicatorCode]],Table1[value]))</f>
        <v>26324.778297809873</v>
      </c>
      <c r="J7096">
        <f>(Table1[[#This Row],[value]] - Table1[[#This Row],[mean]]) / Table1[[#This Row],[std_dev]]</f>
        <v>-0.55589784546111098</v>
      </c>
      <c r="K7096">
        <f>AVERAGEIF(Table1[CountryCode],Table1[[#This Row],[CountryCode]],Table1[z-score])</f>
        <v>-0.69917556524739866</v>
      </c>
      <c r="L7096" t="e">
        <f>VLOOKUP(Table1[[#This Row],[CountryCode]],[1]!Table1[#All],1,FALSE)</f>
        <v>#REF!</v>
      </c>
    </row>
    <row r="7097" spans="1:12" hidden="1" x14ac:dyDescent="0.3">
      <c r="A7097" t="s">
        <v>117</v>
      </c>
      <c r="B7097" t="s">
        <v>118</v>
      </c>
      <c r="C7097" t="s">
        <v>127</v>
      </c>
      <c r="D7097" t="s">
        <v>128</v>
      </c>
      <c r="E7097">
        <v>2014</v>
      </c>
      <c r="F7097" s="1">
        <v>10598</v>
      </c>
      <c r="G7097">
        <v>2010</v>
      </c>
      <c r="H7097">
        <f>AVERAGEIFS(Table1[value],Table1[IndicatorCode],Table1[[#This Row],[IndicatorCode]])</f>
        <v>24902.88753799392</v>
      </c>
      <c r="I7097" cm="1">
        <f t="array" ref="I7097">_xlfn.STDEV.P(IF(Table1[IndicatorCode]=Table1[[#This Row],[IndicatorCode]],Table1[value]))</f>
        <v>26324.778297809873</v>
      </c>
      <c r="J7097">
        <f>(Table1[[#This Row],[value]] - Table1[[#This Row],[mean]]) / Table1[[#This Row],[std_dev]]</f>
        <v>-0.54340011437756475</v>
      </c>
      <c r="K7097">
        <f>AVERAGEIF(Table1[CountryCode],Table1[[#This Row],[CountryCode]],Table1[z-score])</f>
        <v>-0.69917556524739866</v>
      </c>
      <c r="L7097" t="e">
        <f>VLOOKUP(Table1[[#This Row],[CountryCode]],[1]!Table1[#All],1,FALSE)</f>
        <v>#REF!</v>
      </c>
    </row>
    <row r="7098" spans="1:12" hidden="1" x14ac:dyDescent="0.3">
      <c r="A7098" t="s">
        <v>117</v>
      </c>
      <c r="B7098" t="s">
        <v>118</v>
      </c>
      <c r="C7098" t="s">
        <v>127</v>
      </c>
      <c r="D7098" t="s">
        <v>128</v>
      </c>
      <c r="E7098">
        <v>2015</v>
      </c>
      <c r="F7098" s="1">
        <v>11065</v>
      </c>
      <c r="G7098">
        <v>2010</v>
      </c>
      <c r="H7098">
        <f>AVERAGEIFS(Table1[value],Table1[IndicatorCode],Table1[[#This Row],[IndicatorCode]])</f>
        <v>24902.88753799392</v>
      </c>
      <c r="I7098" cm="1">
        <f t="array" ref="I7098">_xlfn.STDEV.P(IF(Table1[IndicatorCode]=Table1[[#This Row],[IndicatorCode]],Table1[value]))</f>
        <v>26324.778297809873</v>
      </c>
      <c r="J7098">
        <f>(Table1[[#This Row],[value]] - Table1[[#This Row],[mean]]) / Table1[[#This Row],[std_dev]]</f>
        <v>-0.52566017390335185</v>
      </c>
      <c r="K7098">
        <f>AVERAGEIF(Table1[CountryCode],Table1[[#This Row],[CountryCode]],Table1[z-score])</f>
        <v>-0.69917556524739866</v>
      </c>
      <c r="L7098" t="e">
        <f>VLOOKUP(Table1[[#This Row],[CountryCode]],[1]!Table1[#All],1,FALSE)</f>
        <v>#REF!</v>
      </c>
    </row>
    <row r="7099" spans="1:12" hidden="1" x14ac:dyDescent="0.3">
      <c r="A7099" t="s">
        <v>117</v>
      </c>
      <c r="B7099" t="s">
        <v>118</v>
      </c>
      <c r="C7099" t="s">
        <v>127</v>
      </c>
      <c r="D7099" t="s">
        <v>128</v>
      </c>
      <c r="E7099">
        <v>2016</v>
      </c>
      <c r="F7099" s="1">
        <v>11280</v>
      </c>
      <c r="G7099">
        <v>2010</v>
      </c>
      <c r="H7099">
        <f>AVERAGEIFS(Table1[value],Table1[IndicatorCode],Table1[[#This Row],[IndicatorCode]])</f>
        <v>24902.88753799392</v>
      </c>
      <c r="I7099" cm="1">
        <f t="array" ref="I7099">_xlfn.STDEV.P(IF(Table1[IndicatorCode]=Table1[[#This Row],[IndicatorCode]],Table1[value]))</f>
        <v>26324.778297809873</v>
      </c>
      <c r="J7099">
        <f>(Table1[[#This Row],[value]] - Table1[[#This Row],[mean]]) / Table1[[#This Row],[std_dev]]</f>
        <v>-0.51749296362079122</v>
      </c>
      <c r="K7099">
        <f>AVERAGEIF(Table1[CountryCode],Table1[[#This Row],[CountryCode]],Table1[z-score])</f>
        <v>-0.69917556524739866</v>
      </c>
      <c r="L7099" t="e">
        <f>VLOOKUP(Table1[[#This Row],[CountryCode]],[1]!Table1[#All],1,FALSE)</f>
        <v>#REF!</v>
      </c>
    </row>
    <row r="7100" spans="1:12" hidden="1" x14ac:dyDescent="0.3">
      <c r="A7100" t="s">
        <v>117</v>
      </c>
      <c r="B7100" t="s">
        <v>118</v>
      </c>
      <c r="C7100" t="s">
        <v>127</v>
      </c>
      <c r="D7100" t="s">
        <v>128</v>
      </c>
      <c r="E7100">
        <v>2017</v>
      </c>
      <c r="F7100" s="1">
        <v>12006</v>
      </c>
      <c r="G7100">
        <v>2020</v>
      </c>
      <c r="H7100">
        <f>AVERAGEIFS(Table1[value],Table1[IndicatorCode],Table1[[#This Row],[IndicatorCode]])</f>
        <v>24902.88753799392</v>
      </c>
      <c r="I7100" cm="1">
        <f t="array" ref="I7100">_xlfn.STDEV.P(IF(Table1[IndicatorCode]=Table1[[#This Row],[IndicatorCode]],Table1[value]))</f>
        <v>26324.778297809873</v>
      </c>
      <c r="J7100">
        <f>(Table1[[#This Row],[value]] - Table1[[#This Row],[mean]]) / Table1[[#This Row],[std_dev]]</f>
        <v>-0.48991438378293561</v>
      </c>
      <c r="K7100">
        <f>AVERAGEIF(Table1[CountryCode],Table1[[#This Row],[CountryCode]],Table1[z-score])</f>
        <v>-0.69917556524739866</v>
      </c>
      <c r="L7100" t="e">
        <f>VLOOKUP(Table1[[#This Row],[CountryCode]],[1]!Table1[#All],1,FALSE)</f>
        <v>#REF!</v>
      </c>
    </row>
    <row r="7101" spans="1:12" hidden="1" x14ac:dyDescent="0.3">
      <c r="A7101" t="s">
        <v>117</v>
      </c>
      <c r="B7101" t="s">
        <v>118</v>
      </c>
      <c r="C7101" t="s">
        <v>127</v>
      </c>
      <c r="D7101" t="s">
        <v>128</v>
      </c>
      <c r="E7101">
        <v>2018</v>
      </c>
      <c r="F7101" s="1">
        <v>12255</v>
      </c>
      <c r="G7101">
        <v>2020</v>
      </c>
      <c r="H7101">
        <f>AVERAGEIFS(Table1[value],Table1[IndicatorCode],Table1[[#This Row],[IndicatorCode]])</f>
        <v>24902.88753799392</v>
      </c>
      <c r="I7101" cm="1">
        <f t="array" ref="I7101">_xlfn.STDEV.P(IF(Table1[IndicatorCode]=Table1[[#This Row],[IndicatorCode]],Table1[value]))</f>
        <v>26324.778297809873</v>
      </c>
      <c r="J7101">
        <f>(Table1[[#This Row],[value]] - Table1[[#This Row],[mean]]) / Table1[[#This Row],[std_dev]]</f>
        <v>-0.48045561466499337</v>
      </c>
      <c r="K7101">
        <f>AVERAGEIF(Table1[CountryCode],Table1[[#This Row],[CountryCode]],Table1[z-score])</f>
        <v>-0.69917556524739866</v>
      </c>
      <c r="L7101" t="e">
        <f>VLOOKUP(Table1[[#This Row],[CountryCode]],[1]!Table1[#All],1,FALSE)</f>
        <v>#REF!</v>
      </c>
    </row>
    <row r="7102" spans="1:12" hidden="1" x14ac:dyDescent="0.3">
      <c r="A7102" t="s">
        <v>117</v>
      </c>
      <c r="B7102" t="s">
        <v>118</v>
      </c>
      <c r="C7102" t="s">
        <v>127</v>
      </c>
      <c r="D7102" t="s">
        <v>128</v>
      </c>
      <c r="E7102">
        <v>2019</v>
      </c>
      <c r="F7102" s="1">
        <v>12238</v>
      </c>
      <c r="G7102">
        <v>2020</v>
      </c>
      <c r="H7102">
        <f>AVERAGEIFS(Table1[value],Table1[IndicatorCode],Table1[[#This Row],[IndicatorCode]])</f>
        <v>24902.88753799392</v>
      </c>
      <c r="I7102" cm="1">
        <f t="array" ref="I7102">_xlfn.STDEV.P(IF(Table1[IndicatorCode]=Table1[[#This Row],[IndicatorCode]],Table1[value]))</f>
        <v>26324.778297809873</v>
      </c>
      <c r="J7102">
        <f>(Table1[[#This Row],[value]] - Table1[[#This Row],[mean]]) / Table1[[#This Row],[std_dev]]</f>
        <v>-0.48110139408268421</v>
      </c>
      <c r="K7102">
        <f>AVERAGEIF(Table1[CountryCode],Table1[[#This Row],[CountryCode]],Table1[z-score])</f>
        <v>-0.69917556524739866</v>
      </c>
      <c r="L7102" t="e">
        <f>VLOOKUP(Table1[[#This Row],[CountryCode]],[1]!Table1[#All],1,FALSE)</f>
        <v>#REF!</v>
      </c>
    </row>
    <row r="7103" spans="1:12" x14ac:dyDescent="0.3">
      <c r="A7103" t="s">
        <v>27</v>
      </c>
      <c r="B7103" t="s">
        <v>28</v>
      </c>
      <c r="C7103" t="s">
        <v>127</v>
      </c>
      <c r="D7103" t="s">
        <v>128</v>
      </c>
      <c r="E7103">
        <v>2020</v>
      </c>
      <c r="F7103" s="1">
        <v>84637</v>
      </c>
      <c r="G7103">
        <v>2020</v>
      </c>
      <c r="H7103">
        <f>AVERAGEIFS(Table1[value],Table1[IndicatorCode],Table1[[#This Row],[IndicatorCode]])</f>
        <v>24902.88753799392</v>
      </c>
      <c r="I7103" cm="1">
        <f t="array" ref="I7103">_xlfn.STDEV.P(IF(Table1[IndicatorCode]=Table1[[#This Row],[IndicatorCode]],Table1[value]))</f>
        <v>26324.778297809873</v>
      </c>
      <c r="J7103">
        <f>(Table1[[#This Row],[value]] - Table1[[#This Row],[mean]]) / Table1[[#This Row],[std_dev]]</f>
        <v>2.2691211977643033</v>
      </c>
      <c r="K7103">
        <f>AVERAGEIF(Table1[CountryCode],Table1[[#This Row],[CountryCode]],Table1[z-score])</f>
        <v>0.68174026806790211</v>
      </c>
    </row>
    <row r="7104" spans="1:12" hidden="1" x14ac:dyDescent="0.3">
      <c r="A7104" t="s">
        <v>117</v>
      </c>
      <c r="B7104" t="s">
        <v>118</v>
      </c>
      <c r="C7104" t="s">
        <v>127</v>
      </c>
      <c r="D7104" t="s">
        <v>128</v>
      </c>
      <c r="E7104">
        <v>2021</v>
      </c>
      <c r="F7104" s="1">
        <v>13671</v>
      </c>
      <c r="G7104">
        <v>2020</v>
      </c>
      <c r="H7104">
        <f>AVERAGEIFS(Table1[value],Table1[IndicatorCode],Table1[[#This Row],[IndicatorCode]])</f>
        <v>24902.88753799392</v>
      </c>
      <c r="I7104" cm="1">
        <f t="array" ref="I7104">_xlfn.STDEV.P(IF(Table1[IndicatorCode]=Table1[[#This Row],[IndicatorCode]],Table1[value]))</f>
        <v>26324.778297809873</v>
      </c>
      <c r="J7104">
        <f>(Table1[[#This Row],[value]] - Table1[[#This Row],[mean]]) / Table1[[#This Row],[std_dev]]</f>
        <v>-0.42666598787380378</v>
      </c>
      <c r="K7104">
        <f>AVERAGEIF(Table1[CountryCode],Table1[[#This Row],[CountryCode]],Table1[z-score])</f>
        <v>-0.69917556524739866</v>
      </c>
      <c r="L7104" t="e">
        <f>VLOOKUP(Table1[[#This Row],[CountryCode]],[1]!Table1[#All],1,FALSE)</f>
        <v>#REF!</v>
      </c>
    </row>
    <row r="7105" spans="1:12" hidden="1" x14ac:dyDescent="0.3">
      <c r="A7105" t="s">
        <v>117</v>
      </c>
      <c r="B7105" t="s">
        <v>118</v>
      </c>
      <c r="C7105" t="s">
        <v>127</v>
      </c>
      <c r="D7105" t="s">
        <v>128</v>
      </c>
      <c r="E7105">
        <v>2022</v>
      </c>
      <c r="F7105" s="1">
        <v>14274</v>
      </c>
      <c r="G7105">
        <v>1980</v>
      </c>
      <c r="H7105">
        <f>AVERAGEIFS(Table1[value],Table1[IndicatorCode],Table1[[#This Row],[IndicatorCode]])</f>
        <v>24902.88753799392</v>
      </c>
      <c r="I7105" cm="1">
        <f t="array" ref="I7105">_xlfn.STDEV.P(IF(Table1[IndicatorCode]=Table1[[#This Row],[IndicatorCode]],Table1[value]))</f>
        <v>26324.778297809873</v>
      </c>
      <c r="J7105">
        <f>(Table1[[#This Row],[value]] - Table1[[#This Row],[mean]]) / Table1[[#This Row],[std_dev]]</f>
        <v>-0.40375981205806416</v>
      </c>
      <c r="K7105">
        <f>AVERAGEIF(Table1[CountryCode],Table1[[#This Row],[CountryCode]],Table1[z-score])</f>
        <v>-0.69917556524739866</v>
      </c>
      <c r="L7105" t="e">
        <f>VLOOKUP(Table1[[#This Row],[CountryCode]],[1]!Table1[#All],1,FALSE)</f>
        <v>#REF!</v>
      </c>
    </row>
    <row r="7106" spans="1:12" hidden="1" x14ac:dyDescent="0.3">
      <c r="A7106" t="s">
        <v>117</v>
      </c>
      <c r="B7106" t="s">
        <v>118</v>
      </c>
      <c r="C7106" t="s">
        <v>127</v>
      </c>
      <c r="D7106" t="s">
        <v>128</v>
      </c>
      <c r="E7106">
        <v>2023</v>
      </c>
      <c r="F7106" s="1">
        <v>14933</v>
      </c>
      <c r="G7106">
        <v>1980</v>
      </c>
      <c r="H7106">
        <f>AVERAGEIFS(Table1[value],Table1[IndicatorCode],Table1[[#This Row],[IndicatorCode]])</f>
        <v>24902.88753799392</v>
      </c>
      <c r="I7106" cm="1">
        <f t="array" ref="I7106">_xlfn.STDEV.P(IF(Table1[IndicatorCode]=Table1[[#This Row],[IndicatorCode]],Table1[value]))</f>
        <v>26324.778297809873</v>
      </c>
      <c r="J7106">
        <f>(Table1[[#This Row],[value]] - Table1[[#This Row],[mean]]) / Table1[[#This Row],[std_dev]]</f>
        <v>-0.37872636286640177</v>
      </c>
      <c r="K7106">
        <f>AVERAGEIF(Table1[CountryCode],Table1[[#This Row],[CountryCode]],Table1[z-score])</f>
        <v>-0.69917556524739866</v>
      </c>
      <c r="L7106" t="e">
        <f>VLOOKUP(Table1[[#This Row],[CountryCode]],[1]!Table1[#All],1,FALSE)</f>
        <v>#REF!</v>
      </c>
    </row>
    <row r="7107" spans="1:12" hidden="1" x14ac:dyDescent="0.3">
      <c r="A7107" t="s">
        <v>117</v>
      </c>
      <c r="B7107" t="s">
        <v>118</v>
      </c>
      <c r="C7107" t="s">
        <v>127</v>
      </c>
      <c r="D7107" t="s">
        <v>128</v>
      </c>
      <c r="E7107">
        <v>2024</v>
      </c>
      <c r="F7107" s="1">
        <v>15395</v>
      </c>
      <c r="G7107">
        <v>1980</v>
      </c>
      <c r="H7107">
        <f>AVERAGEIFS(Table1[value],Table1[IndicatorCode],Table1[[#This Row],[IndicatorCode]])</f>
        <v>24902.88753799392</v>
      </c>
      <c r="I7107" cm="1">
        <f t="array" ref="I7107">_xlfn.STDEV.P(IF(Table1[IndicatorCode]=Table1[[#This Row],[IndicatorCode]],Table1[value]))</f>
        <v>26324.778297809873</v>
      </c>
      <c r="J7107">
        <f>(Table1[[#This Row],[value]] - Table1[[#This Row],[mean]]) / Table1[[#This Row],[std_dev]]</f>
        <v>-0.36117635751503907</v>
      </c>
      <c r="K7107">
        <f>AVERAGEIF(Table1[CountryCode],Table1[[#This Row],[CountryCode]],Table1[z-score])</f>
        <v>-0.69917556524739866</v>
      </c>
      <c r="L7107" t="e">
        <f>VLOOKUP(Table1[[#This Row],[CountryCode]],[1]!Table1[#All],1,FALSE)</f>
        <v>#REF!</v>
      </c>
    </row>
    <row r="7108" spans="1:12" hidden="1" x14ac:dyDescent="0.3">
      <c r="A7108" t="s">
        <v>119</v>
      </c>
      <c r="B7108" t="s">
        <v>120</v>
      </c>
      <c r="C7108" t="s">
        <v>127</v>
      </c>
      <c r="D7108" t="s">
        <v>128</v>
      </c>
      <c r="E7108">
        <v>1987</v>
      </c>
      <c r="F7108" s="1">
        <v>3142</v>
      </c>
      <c r="G7108">
        <v>1990</v>
      </c>
      <c r="H7108">
        <f>AVERAGEIFS(Table1[value],Table1[IndicatorCode],Table1[[#This Row],[IndicatorCode]])</f>
        <v>24902.88753799392</v>
      </c>
      <c r="I7108" cm="1">
        <f t="array" ref="I7108">_xlfn.STDEV.P(IF(Table1[IndicatorCode]=Table1[[#This Row],[IndicatorCode]],Table1[value]))</f>
        <v>26324.778297809873</v>
      </c>
      <c r="J7108">
        <f>(Table1[[#This Row],[value]] - Table1[[#This Row],[mean]]) / Table1[[#This Row],[std_dev]]</f>
        <v>-0.82663136957185113</v>
      </c>
      <c r="K7108">
        <f>AVERAGEIF(Table1[CountryCode],Table1[[#This Row],[CountryCode]],Table1[z-score])</f>
        <v>-0.21176470411950787</v>
      </c>
      <c r="L7108" t="e">
        <f>VLOOKUP(Table1[[#This Row],[CountryCode]],[1]!Table1[#All],1,FALSE)</f>
        <v>#REF!</v>
      </c>
    </row>
    <row r="7109" spans="1:12" hidden="1" x14ac:dyDescent="0.3">
      <c r="A7109" t="s">
        <v>119</v>
      </c>
      <c r="B7109" t="s">
        <v>120</v>
      </c>
      <c r="C7109" t="s">
        <v>127</v>
      </c>
      <c r="D7109" t="s">
        <v>128</v>
      </c>
      <c r="E7109">
        <v>1988</v>
      </c>
      <c r="F7109" s="1">
        <v>3209</v>
      </c>
      <c r="G7109">
        <v>1990</v>
      </c>
      <c r="H7109">
        <f>AVERAGEIFS(Table1[value],Table1[IndicatorCode],Table1[[#This Row],[IndicatorCode]])</f>
        <v>24902.88753799392</v>
      </c>
      <c r="I7109" cm="1">
        <f t="array" ref="I7109">_xlfn.STDEV.P(IF(Table1[IndicatorCode]=Table1[[#This Row],[IndicatorCode]],Table1[value]))</f>
        <v>26324.778297809873</v>
      </c>
      <c r="J7109">
        <f>(Table1[[#This Row],[value]] - Table1[[#This Row],[mean]]) / Table1[[#This Row],[std_dev]]</f>
        <v>-0.82408623892565791</v>
      </c>
      <c r="K7109">
        <f>AVERAGEIF(Table1[CountryCode],Table1[[#This Row],[CountryCode]],Table1[z-score])</f>
        <v>-0.21176470411950787</v>
      </c>
      <c r="L7109" t="e">
        <f>VLOOKUP(Table1[[#This Row],[CountryCode]],[1]!Table1[#All],1,FALSE)</f>
        <v>#REF!</v>
      </c>
    </row>
    <row r="7110" spans="1:12" hidden="1" x14ac:dyDescent="0.3">
      <c r="A7110" t="s">
        <v>119</v>
      </c>
      <c r="B7110" t="s">
        <v>120</v>
      </c>
      <c r="C7110" t="s">
        <v>127</v>
      </c>
      <c r="D7110" t="s">
        <v>128</v>
      </c>
      <c r="E7110">
        <v>1989</v>
      </c>
      <c r="F7110" s="1">
        <v>3321</v>
      </c>
      <c r="G7110">
        <v>1990</v>
      </c>
      <c r="H7110">
        <f>AVERAGEIFS(Table1[value],Table1[IndicatorCode],Table1[[#This Row],[IndicatorCode]])</f>
        <v>24902.88753799392</v>
      </c>
      <c r="I7110" cm="1">
        <f t="array" ref="I7110">_xlfn.STDEV.P(IF(Table1[IndicatorCode]=Table1[[#This Row],[IndicatorCode]],Table1[value]))</f>
        <v>26324.778297809873</v>
      </c>
      <c r="J7110">
        <f>(Table1[[#This Row],[value]] - Table1[[#This Row],[mean]]) / Table1[[#This Row],[std_dev]]</f>
        <v>-0.81983169217381235</v>
      </c>
      <c r="K7110">
        <f>AVERAGEIF(Table1[CountryCode],Table1[[#This Row],[CountryCode]],Table1[z-score])</f>
        <v>-0.21176470411950787</v>
      </c>
      <c r="L7110" t="e">
        <f>VLOOKUP(Table1[[#This Row],[CountryCode]],[1]!Table1[#All],1,FALSE)</f>
        <v>#REF!</v>
      </c>
    </row>
    <row r="7111" spans="1:12" hidden="1" x14ac:dyDescent="0.3">
      <c r="A7111" t="s">
        <v>119</v>
      </c>
      <c r="B7111" t="s">
        <v>120</v>
      </c>
      <c r="C7111" t="s">
        <v>127</v>
      </c>
      <c r="D7111" t="s">
        <v>128</v>
      </c>
      <c r="E7111">
        <v>1990</v>
      </c>
      <c r="F7111" s="1">
        <v>3102</v>
      </c>
      <c r="G7111">
        <v>1990</v>
      </c>
      <c r="H7111">
        <f>AVERAGEIFS(Table1[value],Table1[IndicatorCode],Table1[[#This Row],[IndicatorCode]])</f>
        <v>24902.88753799392</v>
      </c>
      <c r="I7111" cm="1">
        <f t="array" ref="I7111">_xlfn.STDEV.P(IF(Table1[IndicatorCode]=Table1[[#This Row],[IndicatorCode]],Table1[value]))</f>
        <v>26324.778297809873</v>
      </c>
      <c r="J7111">
        <f>(Table1[[#This Row],[value]] - Table1[[#This Row],[mean]]) / Table1[[#This Row],[std_dev]]</f>
        <v>-0.8281508505546531</v>
      </c>
      <c r="K7111">
        <f>AVERAGEIF(Table1[CountryCode],Table1[[#This Row],[CountryCode]],Table1[z-score])</f>
        <v>-0.21176470411950787</v>
      </c>
      <c r="L7111" t="e">
        <f>VLOOKUP(Table1[[#This Row],[CountryCode]],[1]!Table1[#All],1,FALSE)</f>
        <v>#REF!</v>
      </c>
    </row>
    <row r="7112" spans="1:12" hidden="1" x14ac:dyDescent="0.3">
      <c r="A7112" t="s">
        <v>119</v>
      </c>
      <c r="B7112" t="s">
        <v>120</v>
      </c>
      <c r="C7112" t="s">
        <v>127</v>
      </c>
      <c r="D7112" t="s">
        <v>128</v>
      </c>
      <c r="E7112">
        <v>1991</v>
      </c>
      <c r="F7112" s="1">
        <v>2826</v>
      </c>
      <c r="G7112">
        <v>1990</v>
      </c>
      <c r="H7112">
        <f>AVERAGEIFS(Table1[value],Table1[IndicatorCode],Table1[[#This Row],[IndicatorCode]])</f>
        <v>24902.88753799392</v>
      </c>
      <c r="I7112" cm="1">
        <f t="array" ref="I7112">_xlfn.STDEV.P(IF(Table1[IndicatorCode]=Table1[[#This Row],[IndicatorCode]],Table1[value]))</f>
        <v>26324.778297809873</v>
      </c>
      <c r="J7112">
        <f>(Table1[[#This Row],[value]] - Table1[[#This Row],[mean]]) / Table1[[#This Row],[std_dev]]</f>
        <v>-0.83863526933598664</v>
      </c>
      <c r="K7112">
        <f>AVERAGEIF(Table1[CountryCode],Table1[[#This Row],[CountryCode]],Table1[z-score])</f>
        <v>-0.21176470411950787</v>
      </c>
      <c r="L7112" t="e">
        <f>VLOOKUP(Table1[[#This Row],[CountryCode]],[1]!Table1[#All],1,FALSE)</f>
        <v>#REF!</v>
      </c>
    </row>
    <row r="7113" spans="1:12" hidden="1" x14ac:dyDescent="0.3">
      <c r="A7113" t="s">
        <v>119</v>
      </c>
      <c r="B7113" t="s">
        <v>120</v>
      </c>
      <c r="C7113" t="s">
        <v>127</v>
      </c>
      <c r="D7113" t="s">
        <v>128</v>
      </c>
      <c r="E7113">
        <v>1992</v>
      </c>
      <c r="F7113" s="1">
        <v>2539</v>
      </c>
      <c r="G7113">
        <v>1990</v>
      </c>
      <c r="H7113">
        <f>AVERAGEIFS(Table1[value],Table1[IndicatorCode],Table1[[#This Row],[IndicatorCode]])</f>
        <v>24902.88753799392</v>
      </c>
      <c r="I7113" cm="1">
        <f t="array" ref="I7113">_xlfn.STDEV.P(IF(Table1[IndicatorCode]=Table1[[#This Row],[IndicatorCode]],Table1[value]))</f>
        <v>26324.778297809873</v>
      </c>
      <c r="J7113">
        <f>(Table1[[#This Row],[value]] - Table1[[#This Row],[mean]]) / Table1[[#This Row],[std_dev]]</f>
        <v>-0.84953754538759074</v>
      </c>
      <c r="K7113">
        <f>AVERAGEIF(Table1[CountryCode],Table1[[#This Row],[CountryCode]],Table1[z-score])</f>
        <v>-0.21176470411950787</v>
      </c>
      <c r="L7113" t="e">
        <f>VLOOKUP(Table1[[#This Row],[CountryCode]],[1]!Table1[#All],1,FALSE)</f>
        <v>#REF!</v>
      </c>
    </row>
    <row r="7114" spans="1:12" hidden="1" x14ac:dyDescent="0.3">
      <c r="A7114" t="s">
        <v>119</v>
      </c>
      <c r="B7114" t="s">
        <v>120</v>
      </c>
      <c r="C7114" t="s">
        <v>127</v>
      </c>
      <c r="D7114" t="s">
        <v>128</v>
      </c>
      <c r="E7114">
        <v>1993</v>
      </c>
      <c r="F7114" s="1">
        <v>2177</v>
      </c>
      <c r="G7114">
        <v>1990</v>
      </c>
      <c r="H7114">
        <f>AVERAGEIFS(Table1[value],Table1[IndicatorCode],Table1[[#This Row],[IndicatorCode]])</f>
        <v>24902.88753799392</v>
      </c>
      <c r="I7114" cm="1">
        <f t="array" ref="I7114">_xlfn.STDEV.P(IF(Table1[IndicatorCode]=Table1[[#This Row],[IndicatorCode]],Table1[value]))</f>
        <v>26324.778297809873</v>
      </c>
      <c r="J7114">
        <f>(Table1[[#This Row],[value]] - Table1[[#This Row],[mean]]) / Table1[[#This Row],[std_dev]]</f>
        <v>-0.86328884828194863</v>
      </c>
      <c r="K7114">
        <f>AVERAGEIF(Table1[CountryCode],Table1[[#This Row],[CountryCode]],Table1[z-score])</f>
        <v>-0.21176470411950787</v>
      </c>
      <c r="L7114" t="e">
        <f>VLOOKUP(Table1[[#This Row],[CountryCode]],[1]!Table1[#All],1,FALSE)</f>
        <v>#REF!</v>
      </c>
    </row>
    <row r="7115" spans="1:12" hidden="1" x14ac:dyDescent="0.3">
      <c r="A7115" t="s">
        <v>119</v>
      </c>
      <c r="B7115" t="s">
        <v>120</v>
      </c>
      <c r="C7115" t="s">
        <v>127</v>
      </c>
      <c r="D7115" t="s">
        <v>128</v>
      </c>
      <c r="E7115">
        <v>1994</v>
      </c>
      <c r="F7115" s="1">
        <v>1687</v>
      </c>
      <c r="G7115">
        <v>1990</v>
      </c>
      <c r="H7115">
        <f>AVERAGEIFS(Table1[value],Table1[IndicatorCode],Table1[[#This Row],[IndicatorCode]])</f>
        <v>24902.88753799392</v>
      </c>
      <c r="I7115" cm="1">
        <f t="array" ref="I7115">_xlfn.STDEV.P(IF(Table1[IndicatorCode]=Table1[[#This Row],[IndicatorCode]],Table1[value]))</f>
        <v>26324.778297809873</v>
      </c>
      <c r="J7115">
        <f>(Table1[[#This Row],[value]] - Table1[[#This Row],[mean]]) / Table1[[#This Row],[std_dev]]</f>
        <v>-0.88190249032127266</v>
      </c>
      <c r="K7115">
        <f>AVERAGEIF(Table1[CountryCode],Table1[[#This Row],[CountryCode]],Table1[z-score])</f>
        <v>-0.21176470411950787</v>
      </c>
      <c r="L7115" t="e">
        <f>VLOOKUP(Table1[[#This Row],[CountryCode]],[1]!Table1[#All],1,FALSE)</f>
        <v>#REF!</v>
      </c>
    </row>
    <row r="7116" spans="1:12" hidden="1" x14ac:dyDescent="0.3">
      <c r="A7116" t="s">
        <v>119</v>
      </c>
      <c r="B7116" t="s">
        <v>120</v>
      </c>
      <c r="C7116" t="s">
        <v>127</v>
      </c>
      <c r="D7116" t="s">
        <v>128</v>
      </c>
      <c r="E7116">
        <v>1995</v>
      </c>
      <c r="F7116" s="1">
        <v>1493</v>
      </c>
      <c r="G7116">
        <v>1990</v>
      </c>
      <c r="H7116">
        <f>AVERAGEIFS(Table1[value],Table1[IndicatorCode],Table1[[#This Row],[IndicatorCode]])</f>
        <v>24902.88753799392</v>
      </c>
      <c r="I7116" cm="1">
        <f t="array" ref="I7116">_xlfn.STDEV.P(IF(Table1[IndicatorCode]=Table1[[#This Row],[IndicatorCode]],Table1[value]))</f>
        <v>26324.778297809873</v>
      </c>
      <c r="J7116">
        <f>(Table1[[#This Row],[value]] - Table1[[#This Row],[mean]]) / Table1[[#This Row],[std_dev]]</f>
        <v>-0.88927197308786221</v>
      </c>
      <c r="K7116">
        <f>AVERAGEIF(Table1[CountryCode],Table1[[#This Row],[CountryCode]],Table1[z-score])</f>
        <v>-0.21176470411950787</v>
      </c>
      <c r="L7116" t="e">
        <f>VLOOKUP(Table1[[#This Row],[CountryCode]],[1]!Table1[#All],1,FALSE)</f>
        <v>#REF!</v>
      </c>
    </row>
    <row r="7117" spans="1:12" hidden="1" x14ac:dyDescent="0.3">
      <c r="A7117" t="s">
        <v>119</v>
      </c>
      <c r="B7117" t="s">
        <v>120</v>
      </c>
      <c r="C7117" t="s">
        <v>127</v>
      </c>
      <c r="D7117" t="s">
        <v>128</v>
      </c>
      <c r="E7117">
        <v>1996</v>
      </c>
      <c r="F7117" s="1">
        <v>1356</v>
      </c>
      <c r="G7117">
        <v>1990</v>
      </c>
      <c r="H7117">
        <f>AVERAGEIFS(Table1[value],Table1[IndicatorCode],Table1[[#This Row],[IndicatorCode]])</f>
        <v>24902.88753799392</v>
      </c>
      <c r="I7117" cm="1">
        <f t="array" ref="I7117">_xlfn.STDEV.P(IF(Table1[IndicatorCode]=Table1[[#This Row],[IndicatorCode]],Table1[value]))</f>
        <v>26324.778297809873</v>
      </c>
      <c r="J7117">
        <f>(Table1[[#This Row],[value]] - Table1[[#This Row],[mean]]) / Table1[[#This Row],[std_dev]]</f>
        <v>-0.89447619545395896</v>
      </c>
      <c r="K7117">
        <f>AVERAGEIF(Table1[CountryCode],Table1[[#This Row],[CountryCode]],Table1[z-score])</f>
        <v>-0.21176470411950787</v>
      </c>
      <c r="L7117" t="e">
        <f>VLOOKUP(Table1[[#This Row],[CountryCode]],[1]!Table1[#All],1,FALSE)</f>
        <v>#REF!</v>
      </c>
    </row>
    <row r="7118" spans="1:12" hidden="1" x14ac:dyDescent="0.3">
      <c r="A7118" t="s">
        <v>119</v>
      </c>
      <c r="B7118" t="s">
        <v>120</v>
      </c>
      <c r="C7118" t="s">
        <v>127</v>
      </c>
      <c r="D7118" t="s">
        <v>128</v>
      </c>
      <c r="E7118">
        <v>1997</v>
      </c>
      <c r="F7118" s="1">
        <v>1326</v>
      </c>
      <c r="G7118">
        <v>2000</v>
      </c>
      <c r="H7118">
        <f>AVERAGEIFS(Table1[value],Table1[IndicatorCode],Table1[[#This Row],[IndicatorCode]])</f>
        <v>24902.88753799392</v>
      </c>
      <c r="I7118" cm="1">
        <f t="array" ref="I7118">_xlfn.STDEV.P(IF(Table1[IndicatorCode]=Table1[[#This Row],[IndicatorCode]],Table1[value]))</f>
        <v>26324.778297809873</v>
      </c>
      <c r="J7118">
        <f>(Table1[[#This Row],[value]] - Table1[[#This Row],[mean]]) / Table1[[#This Row],[std_dev]]</f>
        <v>-0.8956158061910604</v>
      </c>
      <c r="K7118">
        <f>AVERAGEIF(Table1[CountryCode],Table1[[#This Row],[CountryCode]],Table1[z-score])</f>
        <v>-0.21176470411950787</v>
      </c>
      <c r="L7118" t="e">
        <f>VLOOKUP(Table1[[#This Row],[CountryCode]],[1]!Table1[#All],1,FALSE)</f>
        <v>#REF!</v>
      </c>
    </row>
    <row r="7119" spans="1:12" hidden="1" x14ac:dyDescent="0.3">
      <c r="A7119" t="s">
        <v>119</v>
      </c>
      <c r="B7119" t="s">
        <v>120</v>
      </c>
      <c r="C7119" t="s">
        <v>127</v>
      </c>
      <c r="D7119" t="s">
        <v>128</v>
      </c>
      <c r="E7119">
        <v>1998</v>
      </c>
      <c r="F7119" s="1">
        <v>1312</v>
      </c>
      <c r="G7119">
        <v>2000</v>
      </c>
      <c r="H7119">
        <f>AVERAGEIFS(Table1[value],Table1[IndicatorCode],Table1[[#This Row],[IndicatorCode]])</f>
        <v>24902.88753799392</v>
      </c>
      <c r="I7119" cm="1">
        <f t="array" ref="I7119">_xlfn.STDEV.P(IF(Table1[IndicatorCode]=Table1[[#This Row],[IndicatorCode]],Table1[value]))</f>
        <v>26324.778297809873</v>
      </c>
      <c r="J7119">
        <f>(Table1[[#This Row],[value]] - Table1[[#This Row],[mean]]) / Table1[[#This Row],[std_dev]]</f>
        <v>-0.89614762453504104</v>
      </c>
      <c r="K7119">
        <f>AVERAGEIF(Table1[CountryCode],Table1[[#This Row],[CountryCode]],Table1[z-score])</f>
        <v>-0.21176470411950787</v>
      </c>
      <c r="L7119" t="e">
        <f>VLOOKUP(Table1[[#This Row],[CountryCode]],[1]!Table1[#All],1,FALSE)</f>
        <v>#REF!</v>
      </c>
    </row>
    <row r="7120" spans="1:12" hidden="1" x14ac:dyDescent="0.3">
      <c r="A7120" t="s">
        <v>119</v>
      </c>
      <c r="B7120" t="s">
        <v>120</v>
      </c>
      <c r="C7120" t="s">
        <v>127</v>
      </c>
      <c r="D7120" t="s">
        <v>128</v>
      </c>
      <c r="E7120">
        <v>1999</v>
      </c>
      <c r="F7120" s="1">
        <v>1320</v>
      </c>
      <c r="G7120">
        <v>2000</v>
      </c>
      <c r="H7120">
        <f>AVERAGEIFS(Table1[value],Table1[IndicatorCode],Table1[[#This Row],[IndicatorCode]])</f>
        <v>24902.88753799392</v>
      </c>
      <c r="I7120" cm="1">
        <f t="array" ref="I7120">_xlfn.STDEV.P(IF(Table1[IndicatorCode]=Table1[[#This Row],[IndicatorCode]],Table1[value]))</f>
        <v>26324.778297809873</v>
      </c>
      <c r="J7120">
        <f>(Table1[[#This Row],[value]] - Table1[[#This Row],[mean]]) / Table1[[#This Row],[std_dev]]</f>
        <v>-0.89584372833848069</v>
      </c>
      <c r="K7120">
        <f>AVERAGEIF(Table1[CountryCode],Table1[[#This Row],[CountryCode]],Table1[z-score])</f>
        <v>-0.21176470411950787</v>
      </c>
      <c r="L7120" t="e">
        <f>VLOOKUP(Table1[[#This Row],[CountryCode]],[1]!Table1[#All],1,FALSE)</f>
        <v>#REF!</v>
      </c>
    </row>
    <row r="7121" spans="1:12" hidden="1" x14ac:dyDescent="0.3">
      <c r="A7121" t="s">
        <v>119</v>
      </c>
      <c r="B7121" t="s">
        <v>120</v>
      </c>
      <c r="C7121" t="s">
        <v>127</v>
      </c>
      <c r="D7121" t="s">
        <v>128</v>
      </c>
      <c r="E7121">
        <v>2000</v>
      </c>
      <c r="F7121" s="1">
        <v>1409</v>
      </c>
      <c r="G7121">
        <v>2000</v>
      </c>
      <c r="H7121">
        <f>AVERAGEIFS(Table1[value],Table1[IndicatorCode],Table1[[#This Row],[IndicatorCode]])</f>
        <v>24902.88753799392</v>
      </c>
      <c r="I7121" cm="1">
        <f t="array" ref="I7121">_xlfn.STDEV.P(IF(Table1[IndicatorCode]=Table1[[#This Row],[IndicatorCode]],Table1[value]))</f>
        <v>26324.778297809873</v>
      </c>
      <c r="J7121">
        <f>(Table1[[#This Row],[value]] - Table1[[#This Row],[mean]]) / Table1[[#This Row],[std_dev]]</f>
        <v>-0.89246288315174627</v>
      </c>
      <c r="K7121">
        <f>AVERAGEIF(Table1[CountryCode],Table1[[#This Row],[CountryCode]],Table1[z-score])</f>
        <v>-0.21176470411950787</v>
      </c>
      <c r="L7121" t="e">
        <f>VLOOKUP(Table1[[#This Row],[CountryCode]],[1]!Table1[#All],1,FALSE)</f>
        <v>#REF!</v>
      </c>
    </row>
    <row r="7122" spans="1:12" hidden="1" x14ac:dyDescent="0.3">
      <c r="A7122" t="s">
        <v>119</v>
      </c>
      <c r="B7122" t="s">
        <v>120</v>
      </c>
      <c r="C7122" t="s">
        <v>127</v>
      </c>
      <c r="D7122" t="s">
        <v>128</v>
      </c>
      <c r="E7122">
        <v>2001</v>
      </c>
      <c r="F7122" s="1">
        <v>1547</v>
      </c>
      <c r="G7122">
        <v>2000</v>
      </c>
      <c r="H7122">
        <f>AVERAGEIFS(Table1[value],Table1[IndicatorCode],Table1[[#This Row],[IndicatorCode]])</f>
        <v>24902.88753799392</v>
      </c>
      <c r="I7122" cm="1">
        <f t="array" ref="I7122">_xlfn.STDEV.P(IF(Table1[IndicatorCode]=Table1[[#This Row],[IndicatorCode]],Table1[value]))</f>
        <v>26324.778297809873</v>
      </c>
      <c r="J7122">
        <f>(Table1[[#This Row],[value]] - Table1[[#This Row],[mean]]) / Table1[[#This Row],[std_dev]]</f>
        <v>-0.88722067376107949</v>
      </c>
      <c r="K7122">
        <f>AVERAGEIF(Table1[CountryCode],Table1[[#This Row],[CountryCode]],Table1[z-score])</f>
        <v>-0.21176470411950787</v>
      </c>
      <c r="L7122" t="e">
        <f>VLOOKUP(Table1[[#This Row],[CountryCode]],[1]!Table1[#All],1,FALSE)</f>
        <v>#REF!</v>
      </c>
    </row>
    <row r="7123" spans="1:12" hidden="1" x14ac:dyDescent="0.3">
      <c r="A7123" t="s">
        <v>119</v>
      </c>
      <c r="B7123" t="s">
        <v>120</v>
      </c>
      <c r="C7123" t="s">
        <v>127</v>
      </c>
      <c r="D7123" t="s">
        <v>128</v>
      </c>
      <c r="E7123">
        <v>2002</v>
      </c>
      <c r="F7123" s="1">
        <v>1644</v>
      </c>
      <c r="G7123">
        <v>2000</v>
      </c>
      <c r="H7123">
        <f>AVERAGEIFS(Table1[value],Table1[IndicatorCode],Table1[[#This Row],[IndicatorCode]])</f>
        <v>24902.88753799392</v>
      </c>
      <c r="I7123" cm="1">
        <f t="array" ref="I7123">_xlfn.STDEV.P(IF(Table1[IndicatorCode]=Table1[[#This Row],[IndicatorCode]],Table1[value]))</f>
        <v>26324.778297809873</v>
      </c>
      <c r="J7123">
        <f>(Table1[[#This Row],[value]] - Table1[[#This Row],[mean]]) / Table1[[#This Row],[std_dev]]</f>
        <v>-0.88353593237778472</v>
      </c>
      <c r="K7123">
        <f>AVERAGEIF(Table1[CountryCode],Table1[[#This Row],[CountryCode]],Table1[z-score])</f>
        <v>-0.21176470411950787</v>
      </c>
      <c r="L7123" t="e">
        <f>VLOOKUP(Table1[[#This Row],[CountryCode]],[1]!Table1[#All],1,FALSE)</f>
        <v>#REF!</v>
      </c>
    </row>
    <row r="7124" spans="1:12" hidden="1" x14ac:dyDescent="0.3">
      <c r="A7124" t="s">
        <v>119</v>
      </c>
      <c r="B7124" t="s">
        <v>120</v>
      </c>
      <c r="C7124" t="s">
        <v>127</v>
      </c>
      <c r="D7124" t="s">
        <v>128</v>
      </c>
      <c r="E7124">
        <v>2003</v>
      </c>
      <c r="F7124" s="1">
        <v>1814</v>
      </c>
      <c r="G7124">
        <v>2000</v>
      </c>
      <c r="H7124">
        <f>AVERAGEIFS(Table1[value],Table1[IndicatorCode],Table1[[#This Row],[IndicatorCode]])</f>
        <v>24902.88753799392</v>
      </c>
      <c r="I7124" cm="1">
        <f t="array" ref="I7124">_xlfn.STDEV.P(IF(Table1[IndicatorCode]=Table1[[#This Row],[IndicatorCode]],Table1[value]))</f>
        <v>26324.778297809873</v>
      </c>
      <c r="J7124">
        <f>(Table1[[#This Row],[value]] - Table1[[#This Row],[mean]]) / Table1[[#This Row],[std_dev]]</f>
        <v>-0.87707813820087643</v>
      </c>
      <c r="K7124">
        <f>AVERAGEIF(Table1[CountryCode],Table1[[#This Row],[CountryCode]],Table1[z-score])</f>
        <v>-0.21176470411950787</v>
      </c>
      <c r="L7124" t="e">
        <f>VLOOKUP(Table1[[#This Row],[CountryCode]],[1]!Table1[#All],1,FALSE)</f>
        <v>#REF!</v>
      </c>
    </row>
    <row r="7125" spans="1:12" hidden="1" x14ac:dyDescent="0.3">
      <c r="A7125" t="s">
        <v>119</v>
      </c>
      <c r="B7125" t="s">
        <v>120</v>
      </c>
      <c r="C7125" t="s">
        <v>127</v>
      </c>
      <c r="D7125" t="s">
        <v>128</v>
      </c>
      <c r="E7125">
        <v>2004</v>
      </c>
      <c r="F7125" s="1">
        <v>2042</v>
      </c>
      <c r="G7125">
        <v>2000</v>
      </c>
      <c r="H7125">
        <f>AVERAGEIFS(Table1[value],Table1[IndicatorCode],Table1[[#This Row],[IndicatorCode]])</f>
        <v>24902.88753799392</v>
      </c>
      <c r="I7125" cm="1">
        <f t="array" ref="I7125">_xlfn.STDEV.P(IF(Table1[IndicatorCode]=Table1[[#This Row],[IndicatorCode]],Table1[value]))</f>
        <v>26324.778297809873</v>
      </c>
      <c r="J7125">
        <f>(Table1[[#This Row],[value]] - Table1[[#This Row],[mean]]) / Table1[[#This Row],[std_dev]]</f>
        <v>-0.8684170965989052</v>
      </c>
      <c r="K7125">
        <f>AVERAGEIF(Table1[CountryCode],Table1[[#This Row],[CountryCode]],Table1[z-score])</f>
        <v>-0.21176470411950787</v>
      </c>
      <c r="L7125" t="e">
        <f>VLOOKUP(Table1[[#This Row],[CountryCode]],[1]!Table1[#All],1,FALSE)</f>
        <v>#REF!</v>
      </c>
    </row>
    <row r="7126" spans="1:12" hidden="1" x14ac:dyDescent="0.3">
      <c r="A7126" t="s">
        <v>119</v>
      </c>
      <c r="B7126" t="s">
        <v>120</v>
      </c>
      <c r="C7126" t="s">
        <v>127</v>
      </c>
      <c r="D7126" t="s">
        <v>128</v>
      </c>
      <c r="E7126">
        <v>2005</v>
      </c>
      <c r="F7126" s="1">
        <v>2123</v>
      </c>
      <c r="G7126">
        <v>2000</v>
      </c>
      <c r="H7126">
        <f>AVERAGEIFS(Table1[value],Table1[IndicatorCode],Table1[[#This Row],[IndicatorCode]])</f>
        <v>24902.88753799392</v>
      </c>
      <c r="I7126" cm="1">
        <f t="array" ref="I7126">_xlfn.STDEV.P(IF(Table1[IndicatorCode]=Table1[[#This Row],[IndicatorCode]],Table1[value]))</f>
        <v>26324.778297809873</v>
      </c>
      <c r="J7126">
        <f>(Table1[[#This Row],[value]] - Table1[[#This Row],[mean]]) / Table1[[#This Row],[std_dev]]</f>
        <v>-0.86534014760873124</v>
      </c>
      <c r="K7126">
        <f>AVERAGEIF(Table1[CountryCode],Table1[[#This Row],[CountryCode]],Table1[z-score])</f>
        <v>-0.21176470411950787</v>
      </c>
      <c r="L7126" t="e">
        <f>VLOOKUP(Table1[[#This Row],[CountryCode]],[1]!Table1[#All],1,FALSE)</f>
        <v>#REF!</v>
      </c>
    </row>
    <row r="7127" spans="1:12" hidden="1" x14ac:dyDescent="0.3">
      <c r="A7127" t="s">
        <v>119</v>
      </c>
      <c r="B7127" t="s">
        <v>120</v>
      </c>
      <c r="C7127" t="s">
        <v>127</v>
      </c>
      <c r="D7127" t="s">
        <v>128</v>
      </c>
      <c r="E7127">
        <v>2006</v>
      </c>
      <c r="F7127" s="1">
        <v>2298</v>
      </c>
      <c r="G7127">
        <v>2000</v>
      </c>
      <c r="H7127">
        <f>AVERAGEIFS(Table1[value],Table1[IndicatorCode],Table1[[#This Row],[IndicatorCode]])</f>
        <v>24902.88753799392</v>
      </c>
      <c r="I7127" cm="1">
        <f t="array" ref="I7127">_xlfn.STDEV.P(IF(Table1[IndicatorCode]=Table1[[#This Row],[IndicatorCode]],Table1[value]))</f>
        <v>26324.778297809873</v>
      </c>
      <c r="J7127">
        <f>(Table1[[#This Row],[value]] - Table1[[#This Row],[mean]]) / Table1[[#This Row],[std_dev]]</f>
        <v>-0.85869241830897258</v>
      </c>
      <c r="K7127">
        <f>AVERAGEIF(Table1[CountryCode],Table1[[#This Row],[CountryCode]],Table1[z-score])</f>
        <v>-0.21176470411950787</v>
      </c>
      <c r="L7127" t="e">
        <f>VLOOKUP(Table1[[#This Row],[CountryCode]],[1]!Table1[#All],1,FALSE)</f>
        <v>#REF!</v>
      </c>
    </row>
    <row r="7128" spans="1:12" hidden="1" x14ac:dyDescent="0.3">
      <c r="A7128" t="s">
        <v>119</v>
      </c>
      <c r="B7128" t="s">
        <v>120</v>
      </c>
      <c r="C7128" t="s">
        <v>127</v>
      </c>
      <c r="D7128" t="s">
        <v>128</v>
      </c>
      <c r="E7128">
        <v>2007</v>
      </c>
      <c r="F7128" s="1">
        <v>2498</v>
      </c>
      <c r="G7128">
        <v>2010</v>
      </c>
      <c r="H7128">
        <f>AVERAGEIFS(Table1[value],Table1[IndicatorCode],Table1[[#This Row],[IndicatorCode]])</f>
        <v>24902.88753799392</v>
      </c>
      <c r="I7128" cm="1">
        <f t="array" ref="I7128">_xlfn.STDEV.P(IF(Table1[IndicatorCode]=Table1[[#This Row],[IndicatorCode]],Table1[value]))</f>
        <v>26324.778297809873</v>
      </c>
      <c r="J7128">
        <f>(Table1[[#This Row],[value]] - Table1[[#This Row],[mean]]) / Table1[[#This Row],[std_dev]]</f>
        <v>-0.85109501339496285</v>
      </c>
      <c r="K7128">
        <f>AVERAGEIF(Table1[CountryCode],Table1[[#This Row],[CountryCode]],Table1[z-score])</f>
        <v>-0.21176470411950787</v>
      </c>
      <c r="L7128" t="e">
        <f>VLOOKUP(Table1[[#This Row],[CountryCode]],[1]!Table1[#All],1,FALSE)</f>
        <v>#REF!</v>
      </c>
    </row>
    <row r="7129" spans="1:12" hidden="1" x14ac:dyDescent="0.3">
      <c r="A7129" t="s">
        <v>119</v>
      </c>
      <c r="B7129" t="s">
        <v>120</v>
      </c>
      <c r="C7129" t="s">
        <v>127</v>
      </c>
      <c r="D7129" t="s">
        <v>128</v>
      </c>
      <c r="E7129">
        <v>2008</v>
      </c>
      <c r="F7129" s="1">
        <v>2568</v>
      </c>
      <c r="G7129">
        <v>2010</v>
      </c>
      <c r="H7129">
        <f>AVERAGEIFS(Table1[value],Table1[IndicatorCode],Table1[[#This Row],[IndicatorCode]])</f>
        <v>24902.88753799392</v>
      </c>
      <c r="I7129" cm="1">
        <f t="array" ref="I7129">_xlfn.STDEV.P(IF(Table1[IndicatorCode]=Table1[[#This Row],[IndicatorCode]],Table1[value]))</f>
        <v>26324.778297809873</v>
      </c>
      <c r="J7129">
        <f>(Table1[[#This Row],[value]] - Table1[[#This Row],[mean]]) / Table1[[#This Row],[std_dev]]</f>
        <v>-0.84843592167505932</v>
      </c>
      <c r="K7129">
        <f>AVERAGEIF(Table1[CountryCode],Table1[[#This Row],[CountryCode]],Table1[z-score])</f>
        <v>-0.21176470411950787</v>
      </c>
      <c r="L7129" t="e">
        <f>VLOOKUP(Table1[[#This Row],[CountryCode]],[1]!Table1[#All],1,FALSE)</f>
        <v>#REF!</v>
      </c>
    </row>
    <row r="7130" spans="1:12" hidden="1" x14ac:dyDescent="0.3">
      <c r="A7130" t="s">
        <v>119</v>
      </c>
      <c r="B7130" t="s">
        <v>120</v>
      </c>
      <c r="C7130" t="s">
        <v>127</v>
      </c>
      <c r="D7130" t="s">
        <v>128</v>
      </c>
      <c r="E7130">
        <v>2009</v>
      </c>
      <c r="F7130" s="1">
        <v>2188</v>
      </c>
      <c r="G7130">
        <v>2010</v>
      </c>
      <c r="H7130">
        <f>AVERAGEIFS(Table1[value],Table1[IndicatorCode],Table1[[#This Row],[IndicatorCode]])</f>
        <v>24902.88753799392</v>
      </c>
      <c r="I7130" cm="1">
        <f t="array" ref="I7130">_xlfn.STDEV.P(IF(Table1[IndicatorCode]=Table1[[#This Row],[IndicatorCode]],Table1[value]))</f>
        <v>26324.778297809873</v>
      </c>
      <c r="J7130">
        <f>(Table1[[#This Row],[value]] - Table1[[#This Row],[mean]]) / Table1[[#This Row],[std_dev]]</f>
        <v>-0.86287099101167808</v>
      </c>
      <c r="K7130">
        <f>AVERAGEIF(Table1[CountryCode],Table1[[#This Row],[CountryCode]],Table1[z-score])</f>
        <v>-0.21176470411950787</v>
      </c>
      <c r="L7130" t="e">
        <f>VLOOKUP(Table1[[#This Row],[CountryCode]],[1]!Table1[#All],1,FALSE)</f>
        <v>#REF!</v>
      </c>
    </row>
    <row r="7131" spans="1:12" hidden="1" x14ac:dyDescent="0.3">
      <c r="A7131" t="s">
        <v>119</v>
      </c>
      <c r="B7131" t="s">
        <v>120</v>
      </c>
      <c r="C7131" t="s">
        <v>127</v>
      </c>
      <c r="D7131" t="s">
        <v>128</v>
      </c>
      <c r="E7131">
        <v>2010</v>
      </c>
      <c r="F7131" s="1">
        <v>2286</v>
      </c>
      <c r="G7131">
        <v>2010</v>
      </c>
      <c r="H7131">
        <f>AVERAGEIFS(Table1[value],Table1[IndicatorCode],Table1[[#This Row],[IndicatorCode]])</f>
        <v>24902.88753799392</v>
      </c>
      <c r="I7131" cm="1">
        <f t="array" ref="I7131">_xlfn.STDEV.P(IF(Table1[IndicatorCode]=Table1[[#This Row],[IndicatorCode]],Table1[value]))</f>
        <v>26324.778297809873</v>
      </c>
      <c r="J7131">
        <f>(Table1[[#This Row],[value]] - Table1[[#This Row],[mean]]) / Table1[[#This Row],[std_dev]]</f>
        <v>-0.85914826260381327</v>
      </c>
      <c r="K7131">
        <f>AVERAGEIF(Table1[CountryCode],Table1[[#This Row],[CountryCode]],Table1[z-score])</f>
        <v>-0.21176470411950787</v>
      </c>
      <c r="L7131" t="e">
        <f>VLOOKUP(Table1[[#This Row],[CountryCode]],[1]!Table1[#All],1,FALSE)</f>
        <v>#REF!</v>
      </c>
    </row>
    <row r="7132" spans="1:12" hidden="1" x14ac:dyDescent="0.3">
      <c r="A7132" t="s">
        <v>119</v>
      </c>
      <c r="B7132" t="s">
        <v>120</v>
      </c>
      <c r="C7132" t="s">
        <v>127</v>
      </c>
      <c r="D7132" t="s">
        <v>128</v>
      </c>
      <c r="E7132">
        <v>2011</v>
      </c>
      <c r="F7132" s="1">
        <v>2418</v>
      </c>
      <c r="G7132">
        <v>2010</v>
      </c>
      <c r="H7132">
        <f>AVERAGEIFS(Table1[value],Table1[IndicatorCode],Table1[[#This Row],[IndicatorCode]])</f>
        <v>24902.88753799392</v>
      </c>
      <c r="I7132" cm="1">
        <f t="array" ref="I7132">_xlfn.STDEV.P(IF(Table1[IndicatorCode]=Table1[[#This Row],[IndicatorCode]],Table1[value]))</f>
        <v>26324.778297809873</v>
      </c>
      <c r="J7132">
        <f>(Table1[[#This Row],[value]] - Table1[[#This Row],[mean]]) / Table1[[#This Row],[std_dev]]</f>
        <v>-0.85413397536056679</v>
      </c>
      <c r="K7132">
        <f>AVERAGEIF(Table1[CountryCode],Table1[[#This Row],[CountryCode]],Table1[z-score])</f>
        <v>-0.21176470411950787</v>
      </c>
      <c r="L7132" t="e">
        <f>VLOOKUP(Table1[[#This Row],[CountryCode]],[1]!Table1[#All],1,FALSE)</f>
        <v>#REF!</v>
      </c>
    </row>
    <row r="7133" spans="1:12" hidden="1" x14ac:dyDescent="0.3">
      <c r="A7133" t="s">
        <v>119</v>
      </c>
      <c r="B7133" t="s">
        <v>120</v>
      </c>
      <c r="C7133" t="s">
        <v>127</v>
      </c>
      <c r="D7133" t="s">
        <v>128</v>
      </c>
      <c r="E7133">
        <v>2012</v>
      </c>
      <c r="F7133" s="1">
        <v>2427</v>
      </c>
      <c r="G7133">
        <v>2010</v>
      </c>
      <c r="H7133">
        <f>AVERAGEIFS(Table1[value],Table1[IndicatorCode],Table1[[#This Row],[IndicatorCode]])</f>
        <v>24902.88753799392</v>
      </c>
      <c r="I7133" cm="1">
        <f t="array" ref="I7133">_xlfn.STDEV.P(IF(Table1[IndicatorCode]=Table1[[#This Row],[IndicatorCode]],Table1[value]))</f>
        <v>26324.778297809873</v>
      </c>
      <c r="J7133">
        <f>(Table1[[#This Row],[value]] - Table1[[#This Row],[mean]]) / Table1[[#This Row],[std_dev]]</f>
        <v>-0.8537920921394363</v>
      </c>
      <c r="K7133">
        <f>AVERAGEIF(Table1[CountryCode],Table1[[#This Row],[CountryCode]],Table1[z-score])</f>
        <v>-0.21176470411950787</v>
      </c>
      <c r="L7133" t="e">
        <f>VLOOKUP(Table1[[#This Row],[CountryCode]],[1]!Table1[#All],1,FALSE)</f>
        <v>#REF!</v>
      </c>
    </row>
    <row r="7134" spans="1:12" hidden="1" x14ac:dyDescent="0.3">
      <c r="A7134" t="s">
        <v>119</v>
      </c>
      <c r="B7134" t="s">
        <v>120</v>
      </c>
      <c r="C7134" t="s">
        <v>127</v>
      </c>
      <c r="D7134" t="s">
        <v>128</v>
      </c>
      <c r="E7134">
        <v>2013</v>
      </c>
      <c r="F7134" s="1">
        <v>2432</v>
      </c>
      <c r="G7134">
        <v>2010</v>
      </c>
      <c r="H7134">
        <f>AVERAGEIFS(Table1[value],Table1[IndicatorCode],Table1[[#This Row],[IndicatorCode]])</f>
        <v>24902.88753799392</v>
      </c>
      <c r="I7134" cm="1">
        <f t="array" ref="I7134">_xlfn.STDEV.P(IF(Table1[IndicatorCode]=Table1[[#This Row],[IndicatorCode]],Table1[value]))</f>
        <v>26324.778297809873</v>
      </c>
      <c r="J7134">
        <f>(Table1[[#This Row],[value]] - Table1[[#This Row],[mean]]) / Table1[[#This Row],[std_dev]]</f>
        <v>-0.85360215701658604</v>
      </c>
      <c r="K7134">
        <f>AVERAGEIF(Table1[CountryCode],Table1[[#This Row],[CountryCode]],Table1[z-score])</f>
        <v>-0.21176470411950787</v>
      </c>
      <c r="L7134" t="e">
        <f>VLOOKUP(Table1[[#This Row],[CountryCode]],[1]!Table1[#All],1,FALSE)</f>
        <v>#REF!</v>
      </c>
    </row>
    <row r="7135" spans="1:12" hidden="1" x14ac:dyDescent="0.3">
      <c r="A7135" t="s">
        <v>119</v>
      </c>
      <c r="B7135" t="s">
        <v>120</v>
      </c>
      <c r="C7135" t="s">
        <v>127</v>
      </c>
      <c r="D7135" t="s">
        <v>128</v>
      </c>
      <c r="E7135">
        <v>2014</v>
      </c>
      <c r="F7135" s="1">
        <v>2309</v>
      </c>
      <c r="G7135">
        <v>2010</v>
      </c>
      <c r="H7135">
        <f>AVERAGEIFS(Table1[value],Table1[IndicatorCode],Table1[[#This Row],[IndicatorCode]])</f>
        <v>24902.88753799392</v>
      </c>
      <c r="I7135" cm="1">
        <f t="array" ref="I7135">_xlfn.STDEV.P(IF(Table1[IndicatorCode]=Table1[[#This Row],[IndicatorCode]],Table1[value]))</f>
        <v>26324.778297809873</v>
      </c>
      <c r="J7135">
        <f>(Table1[[#This Row],[value]] - Table1[[#This Row],[mean]]) / Table1[[#This Row],[std_dev]]</f>
        <v>-0.85827456103870214</v>
      </c>
      <c r="K7135">
        <f>AVERAGEIF(Table1[CountryCode],Table1[[#This Row],[CountryCode]],Table1[z-score])</f>
        <v>-0.21176470411950787</v>
      </c>
      <c r="L7135" t="e">
        <f>VLOOKUP(Table1[[#This Row],[CountryCode]],[1]!Table1[#All],1,FALSE)</f>
        <v>#REF!</v>
      </c>
    </row>
    <row r="7136" spans="1:12" hidden="1" x14ac:dyDescent="0.3">
      <c r="A7136" t="s">
        <v>119</v>
      </c>
      <c r="B7136" t="s">
        <v>120</v>
      </c>
      <c r="C7136" t="s">
        <v>127</v>
      </c>
      <c r="D7136" t="s">
        <v>128</v>
      </c>
      <c r="E7136">
        <v>2015</v>
      </c>
      <c r="F7136" s="1">
        <v>2094</v>
      </c>
      <c r="G7136">
        <v>2010</v>
      </c>
      <c r="H7136">
        <f>AVERAGEIFS(Table1[value],Table1[IndicatorCode],Table1[[#This Row],[IndicatorCode]])</f>
        <v>24902.88753799392</v>
      </c>
      <c r="I7136" cm="1">
        <f t="array" ref="I7136">_xlfn.STDEV.P(IF(Table1[IndicatorCode]=Table1[[#This Row],[IndicatorCode]],Table1[value]))</f>
        <v>26324.778297809873</v>
      </c>
      <c r="J7136">
        <f>(Table1[[#This Row],[value]] - Table1[[#This Row],[mean]]) / Table1[[#This Row],[std_dev]]</f>
        <v>-0.86644177132126265</v>
      </c>
      <c r="K7136">
        <f>AVERAGEIF(Table1[CountryCode],Table1[[#This Row],[CountryCode]],Table1[z-score])</f>
        <v>-0.21176470411950787</v>
      </c>
      <c r="L7136" t="e">
        <f>VLOOKUP(Table1[[#This Row],[CountryCode]],[1]!Table1[#All],1,FALSE)</f>
        <v>#REF!</v>
      </c>
    </row>
    <row r="7137" spans="1:12" hidden="1" x14ac:dyDescent="0.3">
      <c r="A7137" t="s">
        <v>119</v>
      </c>
      <c r="B7137" t="s">
        <v>120</v>
      </c>
      <c r="C7137" t="s">
        <v>127</v>
      </c>
      <c r="D7137" t="s">
        <v>128</v>
      </c>
      <c r="E7137">
        <v>2016</v>
      </c>
      <c r="F7137" s="1">
        <v>2156</v>
      </c>
      <c r="G7137">
        <v>2010</v>
      </c>
      <c r="H7137">
        <f>AVERAGEIFS(Table1[value],Table1[IndicatorCode],Table1[[#This Row],[IndicatorCode]])</f>
        <v>24902.88753799392</v>
      </c>
      <c r="I7137" cm="1">
        <f t="array" ref="I7137">_xlfn.STDEV.P(IF(Table1[IndicatorCode]=Table1[[#This Row],[IndicatorCode]],Table1[value]))</f>
        <v>26324.778297809873</v>
      </c>
      <c r="J7137">
        <f>(Table1[[#This Row],[value]] - Table1[[#This Row],[mean]]) / Table1[[#This Row],[std_dev]]</f>
        <v>-0.86408657579791959</v>
      </c>
      <c r="K7137">
        <f>AVERAGEIF(Table1[CountryCode],Table1[[#This Row],[CountryCode]],Table1[z-score])</f>
        <v>-0.21176470411950787</v>
      </c>
      <c r="L7137" t="e">
        <f>VLOOKUP(Table1[[#This Row],[CountryCode]],[1]!Table1[#All],1,FALSE)</f>
        <v>#REF!</v>
      </c>
    </row>
    <row r="7138" spans="1:12" hidden="1" x14ac:dyDescent="0.3">
      <c r="A7138" t="s">
        <v>119</v>
      </c>
      <c r="B7138" t="s">
        <v>120</v>
      </c>
      <c r="C7138" t="s">
        <v>127</v>
      </c>
      <c r="D7138" t="s">
        <v>128</v>
      </c>
      <c r="E7138">
        <v>2017</v>
      </c>
      <c r="F7138" s="1">
        <v>2218</v>
      </c>
      <c r="G7138">
        <v>2020</v>
      </c>
      <c r="H7138">
        <f>AVERAGEIFS(Table1[value],Table1[IndicatorCode],Table1[[#This Row],[IndicatorCode]])</f>
        <v>24902.88753799392</v>
      </c>
      <c r="I7138" cm="1">
        <f t="array" ref="I7138">_xlfn.STDEV.P(IF(Table1[IndicatorCode]=Table1[[#This Row],[IndicatorCode]],Table1[value]))</f>
        <v>26324.778297809873</v>
      </c>
      <c r="J7138">
        <f>(Table1[[#This Row],[value]] - Table1[[#This Row],[mean]]) / Table1[[#This Row],[std_dev]]</f>
        <v>-0.86173138027457652</v>
      </c>
      <c r="K7138">
        <f>AVERAGEIF(Table1[CountryCode],Table1[[#This Row],[CountryCode]],Table1[z-score])</f>
        <v>-0.21176470411950787</v>
      </c>
      <c r="L7138" t="e">
        <f>VLOOKUP(Table1[[#This Row],[CountryCode]],[1]!Table1[#All],1,FALSE)</f>
        <v>#REF!</v>
      </c>
    </row>
    <row r="7139" spans="1:12" hidden="1" x14ac:dyDescent="0.3">
      <c r="A7139" t="s">
        <v>119</v>
      </c>
      <c r="B7139" t="s">
        <v>120</v>
      </c>
      <c r="C7139" t="s">
        <v>127</v>
      </c>
      <c r="D7139" t="s">
        <v>128</v>
      </c>
      <c r="E7139">
        <v>2018</v>
      </c>
      <c r="F7139" s="1">
        <v>2309</v>
      </c>
      <c r="G7139">
        <v>2020</v>
      </c>
      <c r="H7139">
        <f>AVERAGEIFS(Table1[value],Table1[IndicatorCode],Table1[[#This Row],[IndicatorCode]])</f>
        <v>24902.88753799392</v>
      </c>
      <c r="I7139" cm="1">
        <f t="array" ref="I7139">_xlfn.STDEV.P(IF(Table1[IndicatorCode]=Table1[[#This Row],[IndicatorCode]],Table1[value]))</f>
        <v>26324.778297809873</v>
      </c>
      <c r="J7139">
        <f>(Table1[[#This Row],[value]] - Table1[[#This Row],[mean]]) / Table1[[#This Row],[std_dev]]</f>
        <v>-0.85827456103870214</v>
      </c>
      <c r="K7139">
        <f>AVERAGEIF(Table1[CountryCode],Table1[[#This Row],[CountryCode]],Table1[z-score])</f>
        <v>-0.21176470411950787</v>
      </c>
      <c r="L7139" t="e">
        <f>VLOOKUP(Table1[[#This Row],[CountryCode]],[1]!Table1[#All],1,FALSE)</f>
        <v>#REF!</v>
      </c>
    </row>
    <row r="7140" spans="1:12" hidden="1" x14ac:dyDescent="0.3">
      <c r="A7140" t="s">
        <v>119</v>
      </c>
      <c r="B7140" t="s">
        <v>120</v>
      </c>
      <c r="C7140" t="s">
        <v>127</v>
      </c>
      <c r="D7140" t="s">
        <v>128</v>
      </c>
      <c r="E7140">
        <v>2019</v>
      </c>
      <c r="F7140" s="1">
        <v>2398</v>
      </c>
      <c r="G7140">
        <v>2020</v>
      </c>
      <c r="H7140">
        <f>AVERAGEIFS(Table1[value],Table1[IndicatorCode],Table1[[#This Row],[IndicatorCode]])</f>
        <v>24902.88753799392</v>
      </c>
      <c r="I7140" cm="1">
        <f t="array" ref="I7140">_xlfn.STDEV.P(IF(Table1[IndicatorCode]=Table1[[#This Row],[IndicatorCode]],Table1[value]))</f>
        <v>26324.778297809873</v>
      </c>
      <c r="J7140">
        <f>(Table1[[#This Row],[value]] - Table1[[#This Row],[mean]]) / Table1[[#This Row],[std_dev]]</f>
        <v>-0.85489371585196772</v>
      </c>
      <c r="K7140">
        <f>AVERAGEIF(Table1[CountryCode],Table1[[#This Row],[CountryCode]],Table1[z-score])</f>
        <v>-0.21176470411950787</v>
      </c>
      <c r="L7140" t="e">
        <f>VLOOKUP(Table1[[#This Row],[CountryCode]],[1]!Table1[#All],1,FALSE)</f>
        <v>#REF!</v>
      </c>
    </row>
    <row r="7141" spans="1:12" x14ac:dyDescent="0.3">
      <c r="A7141" t="s">
        <v>63</v>
      </c>
      <c r="B7141" t="s">
        <v>64</v>
      </c>
      <c r="C7141" t="s">
        <v>127</v>
      </c>
      <c r="D7141" t="s">
        <v>128</v>
      </c>
      <c r="E7141">
        <v>2020</v>
      </c>
      <c r="F7141" s="1">
        <v>86595</v>
      </c>
      <c r="G7141">
        <v>2020</v>
      </c>
      <c r="H7141">
        <f>AVERAGEIFS(Table1[value],Table1[IndicatorCode],Table1[[#This Row],[IndicatorCode]])</f>
        <v>24902.88753799392</v>
      </c>
      <c r="I7141" cm="1">
        <f t="array" ref="I7141">_xlfn.STDEV.P(IF(Table1[IndicatorCode]=Table1[[#This Row],[IndicatorCode]],Table1[value]))</f>
        <v>26324.778297809873</v>
      </c>
      <c r="J7141">
        <f>(Table1[[#This Row],[value]] - Table1[[#This Row],[mean]]) / Table1[[#This Row],[std_dev]]</f>
        <v>2.3434997918724596</v>
      </c>
      <c r="K7141">
        <f>AVERAGEIF(Table1[CountryCode],Table1[[#This Row],[CountryCode]],Table1[z-score])</f>
        <v>0.37045001694562285</v>
      </c>
    </row>
    <row r="7142" spans="1:12" hidden="1" x14ac:dyDescent="0.3">
      <c r="A7142" t="s">
        <v>119</v>
      </c>
      <c r="B7142" t="s">
        <v>120</v>
      </c>
      <c r="C7142" t="s">
        <v>127</v>
      </c>
      <c r="D7142" t="s">
        <v>128</v>
      </c>
      <c r="E7142">
        <v>2021</v>
      </c>
      <c r="F7142" s="1">
        <v>2427</v>
      </c>
      <c r="G7142">
        <v>2020</v>
      </c>
      <c r="H7142">
        <f>AVERAGEIFS(Table1[value],Table1[IndicatorCode],Table1[[#This Row],[IndicatorCode]])</f>
        <v>24902.88753799392</v>
      </c>
      <c r="I7142" cm="1">
        <f t="array" ref="I7142">_xlfn.STDEV.P(IF(Table1[IndicatorCode]=Table1[[#This Row],[IndicatorCode]],Table1[value]))</f>
        <v>26324.778297809873</v>
      </c>
      <c r="J7142">
        <f>(Table1[[#This Row],[value]] - Table1[[#This Row],[mean]]) / Table1[[#This Row],[std_dev]]</f>
        <v>-0.8537920921394363</v>
      </c>
      <c r="K7142">
        <f>AVERAGEIF(Table1[CountryCode],Table1[[#This Row],[CountryCode]],Table1[z-score])</f>
        <v>-0.21176470411950787</v>
      </c>
      <c r="L7142" t="e">
        <f>VLOOKUP(Table1[[#This Row],[CountryCode]],[1]!Table1[#All],1,FALSE)</f>
        <v>#REF!</v>
      </c>
    </row>
    <row r="7143" spans="1:12" hidden="1" x14ac:dyDescent="0.3">
      <c r="A7143" t="s">
        <v>119</v>
      </c>
      <c r="B7143" t="s">
        <v>120</v>
      </c>
      <c r="C7143" t="s">
        <v>127</v>
      </c>
      <c r="D7143" t="s">
        <v>128</v>
      </c>
      <c r="E7143">
        <v>2022</v>
      </c>
      <c r="F7143" s="1">
        <v>1875</v>
      </c>
      <c r="G7143">
        <v>1980</v>
      </c>
      <c r="H7143">
        <f>AVERAGEIFS(Table1[value],Table1[IndicatorCode],Table1[[#This Row],[IndicatorCode]])</f>
        <v>24902.88753799392</v>
      </c>
      <c r="I7143" cm="1">
        <f t="array" ref="I7143">_xlfn.STDEV.P(IF(Table1[IndicatorCode]=Table1[[#This Row],[IndicatorCode]],Table1[value]))</f>
        <v>26324.778297809873</v>
      </c>
      <c r="J7143">
        <f>(Table1[[#This Row],[value]] - Table1[[#This Row],[mean]]) / Table1[[#This Row],[std_dev]]</f>
        <v>-0.8747609297021034</v>
      </c>
      <c r="K7143">
        <f>AVERAGEIF(Table1[CountryCode],Table1[[#This Row],[CountryCode]],Table1[z-score])</f>
        <v>-0.21176470411950787</v>
      </c>
      <c r="L7143" t="e">
        <f>VLOOKUP(Table1[[#This Row],[CountryCode]],[1]!Table1[#All],1,FALSE)</f>
        <v>#REF!</v>
      </c>
    </row>
    <row r="7144" spans="1:12" hidden="1" x14ac:dyDescent="0.3">
      <c r="A7144" t="s">
        <v>119</v>
      </c>
      <c r="B7144" t="s">
        <v>120</v>
      </c>
      <c r="C7144" t="s">
        <v>127</v>
      </c>
      <c r="D7144" t="s">
        <v>128</v>
      </c>
      <c r="E7144">
        <v>2023</v>
      </c>
      <c r="F7144" s="1">
        <v>2164</v>
      </c>
      <c r="G7144">
        <v>1980</v>
      </c>
      <c r="H7144">
        <f>AVERAGEIFS(Table1[value],Table1[IndicatorCode],Table1[[#This Row],[IndicatorCode]])</f>
        <v>24902.88753799392</v>
      </c>
      <c r="I7144" cm="1">
        <f t="array" ref="I7144">_xlfn.STDEV.P(IF(Table1[IndicatorCode]=Table1[[#This Row],[IndicatorCode]],Table1[value]))</f>
        <v>26324.778297809873</v>
      </c>
      <c r="J7144">
        <f>(Table1[[#This Row],[value]] - Table1[[#This Row],[mean]]) / Table1[[#This Row],[std_dev]]</f>
        <v>-0.86378267960135924</v>
      </c>
      <c r="K7144">
        <f>AVERAGEIF(Table1[CountryCode],Table1[[#This Row],[CountryCode]],Table1[z-score])</f>
        <v>-0.21176470411950787</v>
      </c>
      <c r="L7144" t="e">
        <f>VLOOKUP(Table1[[#This Row],[CountryCode]],[1]!Table1[#All],1,FALSE)</f>
        <v>#REF!</v>
      </c>
    </row>
    <row r="7145" spans="1:12" hidden="1" x14ac:dyDescent="0.3">
      <c r="A7145" t="s">
        <v>119</v>
      </c>
      <c r="B7145" t="s">
        <v>120</v>
      </c>
      <c r="C7145" t="s">
        <v>127</v>
      </c>
      <c r="D7145" t="s">
        <v>128</v>
      </c>
      <c r="E7145">
        <v>2024</v>
      </c>
      <c r="F7145" s="1">
        <v>2219</v>
      </c>
      <c r="G7145">
        <v>1980</v>
      </c>
      <c r="H7145">
        <f>AVERAGEIFS(Table1[value],Table1[IndicatorCode],Table1[[#This Row],[IndicatorCode]])</f>
        <v>24902.88753799392</v>
      </c>
      <c r="I7145" cm="1">
        <f t="array" ref="I7145">_xlfn.STDEV.P(IF(Table1[IndicatorCode]=Table1[[#This Row],[IndicatorCode]],Table1[value]))</f>
        <v>26324.778297809873</v>
      </c>
      <c r="J7145">
        <f>(Table1[[#This Row],[value]] - Table1[[#This Row],[mean]]) / Table1[[#This Row],[std_dev]]</f>
        <v>-0.86169339325000649</v>
      </c>
      <c r="K7145">
        <f>AVERAGEIF(Table1[CountryCode],Table1[[#This Row],[CountryCode]],Table1[z-score])</f>
        <v>-0.21176470411950787</v>
      </c>
      <c r="L7145" t="e">
        <f>VLOOKUP(Table1[[#This Row],[CountryCode]],[1]!Table1[#All],1,FALSE)</f>
        <v>#REF!</v>
      </c>
    </row>
    <row r="7146" spans="1:12" hidden="1" x14ac:dyDescent="0.3">
      <c r="A7146" t="s">
        <v>121</v>
      </c>
      <c r="B7146" t="s">
        <v>122</v>
      </c>
      <c r="C7146" t="s">
        <v>127</v>
      </c>
      <c r="D7146" t="s">
        <v>128</v>
      </c>
      <c r="E7146">
        <v>1987</v>
      </c>
      <c r="F7146" s="1">
        <v>1484</v>
      </c>
      <c r="G7146">
        <v>1990</v>
      </c>
      <c r="H7146">
        <f>AVERAGEIFS(Table1[value],Table1[IndicatorCode],Table1[[#This Row],[IndicatorCode]])</f>
        <v>24902.88753799392</v>
      </c>
      <c r="I7146" cm="1">
        <f t="array" ref="I7146">_xlfn.STDEV.P(IF(Table1[IndicatorCode]=Table1[[#This Row],[IndicatorCode]],Table1[value]))</f>
        <v>26324.778297809873</v>
      </c>
      <c r="J7146">
        <f>(Table1[[#This Row],[value]] - Table1[[#This Row],[mean]]) / Table1[[#This Row],[std_dev]]</f>
        <v>-0.88961385630899259</v>
      </c>
      <c r="K7146">
        <f>AVERAGEIF(Table1[CountryCode],Table1[[#This Row],[CountryCode]],Table1[z-score])</f>
        <v>-0.73322176935075789</v>
      </c>
      <c r="L7146" t="e">
        <f>VLOOKUP(Table1[[#This Row],[CountryCode]],[1]!Table1[#All],1,FALSE)</f>
        <v>#REF!</v>
      </c>
    </row>
    <row r="7147" spans="1:12" hidden="1" x14ac:dyDescent="0.3">
      <c r="A7147" t="s">
        <v>121</v>
      </c>
      <c r="B7147" t="s">
        <v>122</v>
      </c>
      <c r="C7147" t="s">
        <v>127</v>
      </c>
      <c r="D7147" t="s">
        <v>128</v>
      </c>
      <c r="E7147">
        <v>1988</v>
      </c>
      <c r="F7147" s="1">
        <v>1575</v>
      </c>
      <c r="G7147">
        <v>1990</v>
      </c>
      <c r="H7147">
        <f>AVERAGEIFS(Table1[value],Table1[IndicatorCode],Table1[[#This Row],[IndicatorCode]])</f>
        <v>24902.88753799392</v>
      </c>
      <c r="I7147" cm="1">
        <f t="array" ref="I7147">_xlfn.STDEV.P(IF(Table1[IndicatorCode]=Table1[[#This Row],[IndicatorCode]],Table1[value]))</f>
        <v>26324.778297809873</v>
      </c>
      <c r="J7147">
        <f>(Table1[[#This Row],[value]] - Table1[[#This Row],[mean]]) / Table1[[#This Row],[std_dev]]</f>
        <v>-0.8861570370731181</v>
      </c>
      <c r="K7147">
        <f>AVERAGEIF(Table1[CountryCode],Table1[[#This Row],[CountryCode]],Table1[z-score])</f>
        <v>-0.73322176935075789</v>
      </c>
      <c r="L7147" t="e">
        <f>VLOOKUP(Table1[[#This Row],[CountryCode]],[1]!Table1[#All],1,FALSE)</f>
        <v>#REF!</v>
      </c>
    </row>
    <row r="7148" spans="1:12" hidden="1" x14ac:dyDescent="0.3">
      <c r="A7148" t="s">
        <v>121</v>
      </c>
      <c r="B7148" t="s">
        <v>122</v>
      </c>
      <c r="C7148" t="s">
        <v>127</v>
      </c>
      <c r="D7148" t="s">
        <v>128</v>
      </c>
      <c r="E7148">
        <v>1989</v>
      </c>
      <c r="F7148" s="1">
        <v>1582</v>
      </c>
      <c r="G7148">
        <v>1990</v>
      </c>
      <c r="H7148">
        <f>AVERAGEIFS(Table1[value],Table1[IndicatorCode],Table1[[#This Row],[IndicatorCode]])</f>
        <v>24902.88753799392</v>
      </c>
      <c r="I7148" cm="1">
        <f t="array" ref="I7148">_xlfn.STDEV.P(IF(Table1[IndicatorCode]=Table1[[#This Row],[IndicatorCode]],Table1[value]))</f>
        <v>26324.778297809873</v>
      </c>
      <c r="J7148">
        <f>(Table1[[#This Row],[value]] - Table1[[#This Row],[mean]]) / Table1[[#This Row],[std_dev]]</f>
        <v>-0.88589112790112778</v>
      </c>
      <c r="K7148">
        <f>AVERAGEIF(Table1[CountryCode],Table1[[#This Row],[CountryCode]],Table1[z-score])</f>
        <v>-0.73322176935075789</v>
      </c>
      <c r="L7148" t="e">
        <f>VLOOKUP(Table1[[#This Row],[CountryCode]],[1]!Table1[#All],1,FALSE)</f>
        <v>#REF!</v>
      </c>
    </row>
    <row r="7149" spans="1:12" hidden="1" x14ac:dyDescent="0.3">
      <c r="A7149" t="s">
        <v>121</v>
      </c>
      <c r="B7149" t="s">
        <v>122</v>
      </c>
      <c r="C7149" t="s">
        <v>127</v>
      </c>
      <c r="D7149" t="s">
        <v>128</v>
      </c>
      <c r="E7149">
        <v>1990</v>
      </c>
      <c r="F7149" s="1">
        <v>1569</v>
      </c>
      <c r="G7149">
        <v>1990</v>
      </c>
      <c r="H7149">
        <f>AVERAGEIFS(Table1[value],Table1[IndicatorCode],Table1[[#This Row],[IndicatorCode]])</f>
        <v>24902.88753799392</v>
      </c>
      <c r="I7149" cm="1">
        <f t="array" ref="I7149">_xlfn.STDEV.P(IF(Table1[IndicatorCode]=Table1[[#This Row],[IndicatorCode]],Table1[value]))</f>
        <v>26324.778297809873</v>
      </c>
      <c r="J7149">
        <f>(Table1[[#This Row],[value]] - Table1[[#This Row],[mean]]) / Table1[[#This Row],[std_dev]]</f>
        <v>-0.8863849592205385</v>
      </c>
      <c r="K7149">
        <f>AVERAGEIF(Table1[CountryCode],Table1[[#This Row],[CountryCode]],Table1[z-score])</f>
        <v>-0.73322176935075789</v>
      </c>
      <c r="L7149" t="e">
        <f>VLOOKUP(Table1[[#This Row],[CountryCode]],[1]!Table1[#All],1,FALSE)</f>
        <v>#REF!</v>
      </c>
    </row>
    <row r="7150" spans="1:12" hidden="1" x14ac:dyDescent="0.3">
      <c r="A7150" t="s">
        <v>121</v>
      </c>
      <c r="B7150" t="s">
        <v>122</v>
      </c>
      <c r="C7150" t="s">
        <v>127</v>
      </c>
      <c r="D7150" t="s">
        <v>128</v>
      </c>
      <c r="E7150">
        <v>1991</v>
      </c>
      <c r="F7150" s="1">
        <v>1524</v>
      </c>
      <c r="G7150">
        <v>1990</v>
      </c>
      <c r="H7150">
        <f>AVERAGEIFS(Table1[value],Table1[IndicatorCode],Table1[[#This Row],[IndicatorCode]])</f>
        <v>24902.88753799392</v>
      </c>
      <c r="I7150" cm="1">
        <f t="array" ref="I7150">_xlfn.STDEV.P(IF(Table1[IndicatorCode]=Table1[[#This Row],[IndicatorCode]],Table1[value]))</f>
        <v>26324.778297809873</v>
      </c>
      <c r="J7150">
        <f>(Table1[[#This Row],[value]] - Table1[[#This Row],[mean]]) / Table1[[#This Row],[std_dev]]</f>
        <v>-0.88809437532619062</v>
      </c>
      <c r="K7150">
        <f>AVERAGEIF(Table1[CountryCode],Table1[[#This Row],[CountryCode]],Table1[z-score])</f>
        <v>-0.73322176935075789</v>
      </c>
      <c r="L7150" t="e">
        <f>VLOOKUP(Table1[[#This Row],[CountryCode]],[1]!Table1[#All],1,FALSE)</f>
        <v>#REF!</v>
      </c>
    </row>
    <row r="7151" spans="1:12" hidden="1" x14ac:dyDescent="0.3">
      <c r="A7151" t="s">
        <v>121</v>
      </c>
      <c r="B7151" t="s">
        <v>122</v>
      </c>
      <c r="C7151" t="s">
        <v>127</v>
      </c>
      <c r="D7151" t="s">
        <v>128</v>
      </c>
      <c r="E7151">
        <v>1992</v>
      </c>
      <c r="F7151" s="1">
        <v>1321</v>
      </c>
      <c r="G7151">
        <v>1990</v>
      </c>
      <c r="H7151">
        <f>AVERAGEIFS(Table1[value],Table1[IndicatorCode],Table1[[#This Row],[IndicatorCode]])</f>
        <v>24902.88753799392</v>
      </c>
      <c r="I7151" cm="1">
        <f t="array" ref="I7151">_xlfn.STDEV.P(IF(Table1[IndicatorCode]=Table1[[#This Row],[IndicatorCode]],Table1[value]))</f>
        <v>26324.778297809873</v>
      </c>
      <c r="J7151">
        <f>(Table1[[#This Row],[value]] - Table1[[#This Row],[mean]]) / Table1[[#This Row],[std_dev]]</f>
        <v>-0.89580574131391066</v>
      </c>
      <c r="K7151">
        <f>AVERAGEIF(Table1[CountryCode],Table1[[#This Row],[CountryCode]],Table1[z-score])</f>
        <v>-0.73322176935075789</v>
      </c>
      <c r="L7151" t="e">
        <f>VLOOKUP(Table1[[#This Row],[CountryCode]],[1]!Table1[#All],1,FALSE)</f>
        <v>#REF!</v>
      </c>
    </row>
    <row r="7152" spans="1:12" hidden="1" x14ac:dyDescent="0.3">
      <c r="A7152" t="s">
        <v>121</v>
      </c>
      <c r="B7152" t="s">
        <v>122</v>
      </c>
      <c r="C7152" t="s">
        <v>127</v>
      </c>
      <c r="D7152" t="s">
        <v>128</v>
      </c>
      <c r="E7152">
        <v>1993</v>
      </c>
      <c r="F7152" s="1">
        <v>1261</v>
      </c>
      <c r="G7152">
        <v>1990</v>
      </c>
      <c r="H7152">
        <f>AVERAGEIFS(Table1[value],Table1[IndicatorCode],Table1[[#This Row],[IndicatorCode]])</f>
        <v>24902.88753799392</v>
      </c>
      <c r="I7152" cm="1">
        <f t="array" ref="I7152">_xlfn.STDEV.P(IF(Table1[IndicatorCode]=Table1[[#This Row],[IndicatorCode]],Table1[value]))</f>
        <v>26324.778297809873</v>
      </c>
      <c r="J7152">
        <f>(Table1[[#This Row],[value]] - Table1[[#This Row],[mean]]) / Table1[[#This Row],[std_dev]]</f>
        <v>-0.89808496278811356</v>
      </c>
      <c r="K7152">
        <f>AVERAGEIF(Table1[CountryCode],Table1[[#This Row],[CountryCode]],Table1[z-score])</f>
        <v>-0.73322176935075789</v>
      </c>
      <c r="L7152" t="e">
        <f>VLOOKUP(Table1[[#This Row],[CountryCode]],[1]!Table1[#All],1,FALSE)</f>
        <v>#REF!</v>
      </c>
    </row>
    <row r="7153" spans="1:12" hidden="1" x14ac:dyDescent="0.3">
      <c r="A7153" t="s">
        <v>121</v>
      </c>
      <c r="B7153" t="s">
        <v>122</v>
      </c>
      <c r="C7153" t="s">
        <v>127</v>
      </c>
      <c r="D7153" t="s">
        <v>128</v>
      </c>
      <c r="E7153">
        <v>1994</v>
      </c>
      <c r="F7153" s="1">
        <v>1170</v>
      </c>
      <c r="G7153">
        <v>1990</v>
      </c>
      <c r="H7153">
        <f>AVERAGEIFS(Table1[value],Table1[IndicatorCode],Table1[[#This Row],[IndicatorCode]])</f>
        <v>24902.88753799392</v>
      </c>
      <c r="I7153" cm="1">
        <f t="array" ref="I7153">_xlfn.STDEV.P(IF(Table1[IndicatorCode]=Table1[[#This Row],[IndicatorCode]],Table1[value]))</f>
        <v>26324.778297809873</v>
      </c>
      <c r="J7153">
        <f>(Table1[[#This Row],[value]] - Table1[[#This Row],[mean]]) / Table1[[#This Row],[std_dev]]</f>
        <v>-0.90154178202398805</v>
      </c>
      <c r="K7153">
        <f>AVERAGEIF(Table1[CountryCode],Table1[[#This Row],[CountryCode]],Table1[z-score])</f>
        <v>-0.73322176935075789</v>
      </c>
      <c r="L7153" t="e">
        <f>VLOOKUP(Table1[[#This Row],[CountryCode]],[1]!Table1[#All],1,FALSE)</f>
        <v>#REF!</v>
      </c>
    </row>
    <row r="7154" spans="1:12" hidden="1" x14ac:dyDescent="0.3">
      <c r="A7154" t="s">
        <v>121</v>
      </c>
      <c r="B7154" t="s">
        <v>122</v>
      </c>
      <c r="C7154" t="s">
        <v>127</v>
      </c>
      <c r="D7154" t="s">
        <v>128</v>
      </c>
      <c r="E7154">
        <v>1995</v>
      </c>
      <c r="F7154" s="1">
        <v>1136</v>
      </c>
      <c r="G7154">
        <v>1990</v>
      </c>
      <c r="H7154">
        <f>AVERAGEIFS(Table1[value],Table1[IndicatorCode],Table1[[#This Row],[IndicatorCode]])</f>
        <v>24902.88753799392</v>
      </c>
      <c r="I7154" cm="1">
        <f t="array" ref="I7154">_xlfn.STDEV.P(IF(Table1[IndicatorCode]=Table1[[#This Row],[IndicatorCode]],Table1[value]))</f>
        <v>26324.778297809873</v>
      </c>
      <c r="J7154">
        <f>(Table1[[#This Row],[value]] - Table1[[#This Row],[mean]]) / Table1[[#This Row],[std_dev]]</f>
        <v>-0.90283334085936973</v>
      </c>
      <c r="K7154">
        <f>AVERAGEIF(Table1[CountryCode],Table1[[#This Row],[CountryCode]],Table1[z-score])</f>
        <v>-0.73322176935075789</v>
      </c>
      <c r="L7154" t="e">
        <f>VLOOKUP(Table1[[#This Row],[CountryCode]],[1]!Table1[#All],1,FALSE)</f>
        <v>#REF!</v>
      </c>
    </row>
    <row r="7155" spans="1:12" hidden="1" x14ac:dyDescent="0.3">
      <c r="A7155" t="s">
        <v>121</v>
      </c>
      <c r="B7155" t="s">
        <v>122</v>
      </c>
      <c r="C7155" t="s">
        <v>127</v>
      </c>
      <c r="D7155" t="s">
        <v>128</v>
      </c>
      <c r="E7155">
        <v>1996</v>
      </c>
      <c r="F7155" s="1">
        <v>1134</v>
      </c>
      <c r="G7155">
        <v>1990</v>
      </c>
      <c r="H7155">
        <f>AVERAGEIFS(Table1[value],Table1[IndicatorCode],Table1[[#This Row],[IndicatorCode]])</f>
        <v>24902.88753799392</v>
      </c>
      <c r="I7155" cm="1">
        <f t="array" ref="I7155">_xlfn.STDEV.P(IF(Table1[IndicatorCode]=Table1[[#This Row],[IndicatorCode]],Table1[value]))</f>
        <v>26324.778297809873</v>
      </c>
      <c r="J7155">
        <f>(Table1[[#This Row],[value]] - Table1[[#This Row],[mean]]) / Table1[[#This Row],[std_dev]]</f>
        <v>-0.90290931490850979</v>
      </c>
      <c r="K7155">
        <f>AVERAGEIF(Table1[CountryCode],Table1[[#This Row],[CountryCode]],Table1[z-score])</f>
        <v>-0.73322176935075789</v>
      </c>
      <c r="L7155" t="e">
        <f>VLOOKUP(Table1[[#This Row],[CountryCode]],[1]!Table1[#All],1,FALSE)</f>
        <v>#REF!</v>
      </c>
    </row>
    <row r="7156" spans="1:12" hidden="1" x14ac:dyDescent="0.3">
      <c r="A7156" t="s">
        <v>121</v>
      </c>
      <c r="B7156" t="s">
        <v>122</v>
      </c>
      <c r="C7156" t="s">
        <v>127</v>
      </c>
      <c r="D7156" t="s">
        <v>128</v>
      </c>
      <c r="E7156">
        <v>1997</v>
      </c>
      <c r="F7156" s="1">
        <v>1173</v>
      </c>
      <c r="G7156">
        <v>2000</v>
      </c>
      <c r="H7156">
        <f>AVERAGEIFS(Table1[value],Table1[IndicatorCode],Table1[[#This Row],[IndicatorCode]])</f>
        <v>24902.88753799392</v>
      </c>
      <c r="I7156" cm="1">
        <f t="array" ref="I7156">_xlfn.STDEV.P(IF(Table1[IndicatorCode]=Table1[[#This Row],[IndicatorCode]],Table1[value]))</f>
        <v>26324.778297809873</v>
      </c>
      <c r="J7156">
        <f>(Table1[[#This Row],[value]] - Table1[[#This Row],[mean]]) / Table1[[#This Row],[std_dev]]</f>
        <v>-0.90142782095027796</v>
      </c>
      <c r="K7156">
        <f>AVERAGEIF(Table1[CountryCode],Table1[[#This Row],[CountryCode]],Table1[z-score])</f>
        <v>-0.73322176935075789</v>
      </c>
      <c r="L7156" t="e">
        <f>VLOOKUP(Table1[[#This Row],[CountryCode]],[1]!Table1[#All],1,FALSE)</f>
        <v>#REF!</v>
      </c>
    </row>
    <row r="7157" spans="1:12" hidden="1" x14ac:dyDescent="0.3">
      <c r="A7157" t="s">
        <v>121</v>
      </c>
      <c r="B7157" t="s">
        <v>122</v>
      </c>
      <c r="C7157" t="s">
        <v>127</v>
      </c>
      <c r="D7157" t="s">
        <v>128</v>
      </c>
      <c r="E7157">
        <v>1998</v>
      </c>
      <c r="F7157" s="1">
        <v>1204</v>
      </c>
      <c r="G7157">
        <v>2000</v>
      </c>
      <c r="H7157">
        <f>AVERAGEIFS(Table1[value],Table1[IndicatorCode],Table1[[#This Row],[IndicatorCode]])</f>
        <v>24902.88753799392</v>
      </c>
      <c r="I7157" cm="1">
        <f t="array" ref="I7157">_xlfn.STDEV.P(IF(Table1[IndicatorCode]=Table1[[#This Row],[IndicatorCode]],Table1[value]))</f>
        <v>26324.778297809873</v>
      </c>
      <c r="J7157">
        <f>(Table1[[#This Row],[value]] - Table1[[#This Row],[mean]]) / Table1[[#This Row],[std_dev]]</f>
        <v>-0.90025022318860637</v>
      </c>
      <c r="K7157">
        <f>AVERAGEIF(Table1[CountryCode],Table1[[#This Row],[CountryCode]],Table1[z-score])</f>
        <v>-0.73322176935075789</v>
      </c>
      <c r="L7157" t="e">
        <f>VLOOKUP(Table1[[#This Row],[CountryCode]],[1]!Table1[#All],1,FALSE)</f>
        <v>#REF!</v>
      </c>
    </row>
    <row r="7158" spans="1:12" hidden="1" x14ac:dyDescent="0.3">
      <c r="A7158" t="s">
        <v>121</v>
      </c>
      <c r="B7158" t="s">
        <v>122</v>
      </c>
      <c r="C7158" t="s">
        <v>127</v>
      </c>
      <c r="D7158" t="s">
        <v>128</v>
      </c>
      <c r="E7158">
        <v>1999</v>
      </c>
      <c r="F7158" s="1">
        <v>1238</v>
      </c>
      <c r="G7158">
        <v>2000</v>
      </c>
      <c r="H7158">
        <f>AVERAGEIFS(Table1[value],Table1[IndicatorCode],Table1[[#This Row],[IndicatorCode]])</f>
        <v>24902.88753799392</v>
      </c>
      <c r="I7158" cm="1">
        <f t="array" ref="I7158">_xlfn.STDEV.P(IF(Table1[IndicatorCode]=Table1[[#This Row],[IndicatorCode]],Table1[value]))</f>
        <v>26324.778297809873</v>
      </c>
      <c r="J7158">
        <f>(Table1[[#This Row],[value]] - Table1[[#This Row],[mean]]) / Table1[[#This Row],[std_dev]]</f>
        <v>-0.89895866435322469</v>
      </c>
      <c r="K7158">
        <f>AVERAGEIF(Table1[CountryCode],Table1[[#This Row],[CountryCode]],Table1[z-score])</f>
        <v>-0.73322176935075789</v>
      </c>
      <c r="L7158" t="e">
        <f>VLOOKUP(Table1[[#This Row],[CountryCode]],[1]!Table1[#All],1,FALSE)</f>
        <v>#REF!</v>
      </c>
    </row>
    <row r="7159" spans="1:12" hidden="1" x14ac:dyDescent="0.3">
      <c r="A7159" t="s">
        <v>121</v>
      </c>
      <c r="B7159" t="s">
        <v>122</v>
      </c>
      <c r="C7159" t="s">
        <v>127</v>
      </c>
      <c r="D7159" t="s">
        <v>128</v>
      </c>
      <c r="E7159">
        <v>2000</v>
      </c>
      <c r="F7159" s="1">
        <v>1270</v>
      </c>
      <c r="G7159">
        <v>2000</v>
      </c>
      <c r="H7159">
        <f>AVERAGEIFS(Table1[value],Table1[IndicatorCode],Table1[[#This Row],[IndicatorCode]])</f>
        <v>24902.88753799392</v>
      </c>
      <c r="I7159" cm="1">
        <f t="array" ref="I7159">_xlfn.STDEV.P(IF(Table1[IndicatorCode]=Table1[[#This Row],[IndicatorCode]],Table1[value]))</f>
        <v>26324.778297809873</v>
      </c>
      <c r="J7159">
        <f>(Table1[[#This Row],[value]] - Table1[[#This Row],[mean]]) / Table1[[#This Row],[std_dev]]</f>
        <v>-0.89774307956698318</v>
      </c>
      <c r="K7159">
        <f>AVERAGEIF(Table1[CountryCode],Table1[[#This Row],[CountryCode]],Table1[z-score])</f>
        <v>-0.73322176935075789</v>
      </c>
      <c r="L7159" t="e">
        <f>VLOOKUP(Table1[[#This Row],[CountryCode]],[1]!Table1[#All],1,FALSE)</f>
        <v>#REF!</v>
      </c>
    </row>
    <row r="7160" spans="1:12" hidden="1" x14ac:dyDescent="0.3">
      <c r="A7160" t="s">
        <v>121</v>
      </c>
      <c r="B7160" t="s">
        <v>122</v>
      </c>
      <c r="C7160" t="s">
        <v>127</v>
      </c>
      <c r="D7160" t="s">
        <v>128</v>
      </c>
      <c r="E7160">
        <v>2001</v>
      </c>
      <c r="F7160" s="1">
        <v>1307</v>
      </c>
      <c r="G7160">
        <v>2000</v>
      </c>
      <c r="H7160">
        <f>AVERAGEIFS(Table1[value],Table1[IndicatorCode],Table1[[#This Row],[IndicatorCode]])</f>
        <v>24902.88753799392</v>
      </c>
      <c r="I7160" cm="1">
        <f t="array" ref="I7160">_xlfn.STDEV.P(IF(Table1[IndicatorCode]=Table1[[#This Row],[IndicatorCode]],Table1[value]))</f>
        <v>26324.778297809873</v>
      </c>
      <c r="J7160">
        <f>(Table1[[#This Row],[value]] - Table1[[#This Row],[mean]]) / Table1[[#This Row],[std_dev]]</f>
        <v>-0.8963375596578913</v>
      </c>
      <c r="K7160">
        <f>AVERAGEIF(Table1[CountryCode],Table1[[#This Row],[CountryCode]],Table1[z-score])</f>
        <v>-0.73322176935075789</v>
      </c>
      <c r="L7160" t="e">
        <f>VLOOKUP(Table1[[#This Row],[CountryCode]],[1]!Table1[#All],1,FALSE)</f>
        <v>#REF!</v>
      </c>
    </row>
    <row r="7161" spans="1:12" hidden="1" x14ac:dyDescent="0.3">
      <c r="A7161" t="s">
        <v>121</v>
      </c>
      <c r="B7161" t="s">
        <v>122</v>
      </c>
      <c r="C7161" t="s">
        <v>127</v>
      </c>
      <c r="D7161" t="s">
        <v>128</v>
      </c>
      <c r="E7161">
        <v>2002</v>
      </c>
      <c r="F7161" s="1">
        <v>1342</v>
      </c>
      <c r="G7161">
        <v>2000</v>
      </c>
      <c r="H7161">
        <f>AVERAGEIFS(Table1[value],Table1[IndicatorCode],Table1[[#This Row],[IndicatorCode]])</f>
        <v>24902.88753799392</v>
      </c>
      <c r="I7161" cm="1">
        <f t="array" ref="I7161">_xlfn.STDEV.P(IF(Table1[IndicatorCode]=Table1[[#This Row],[IndicatorCode]],Table1[value]))</f>
        <v>26324.778297809873</v>
      </c>
      <c r="J7161">
        <f>(Table1[[#This Row],[value]] - Table1[[#This Row],[mean]]) / Table1[[#This Row],[std_dev]]</f>
        <v>-0.89500801379793959</v>
      </c>
      <c r="K7161">
        <f>AVERAGEIF(Table1[CountryCode],Table1[[#This Row],[CountryCode]],Table1[z-score])</f>
        <v>-0.73322176935075789</v>
      </c>
      <c r="L7161" t="e">
        <f>VLOOKUP(Table1[[#This Row],[CountryCode]],[1]!Table1[#All],1,FALSE)</f>
        <v>#REF!</v>
      </c>
    </row>
    <row r="7162" spans="1:12" hidden="1" x14ac:dyDescent="0.3">
      <c r="A7162" t="s">
        <v>121</v>
      </c>
      <c r="B7162" t="s">
        <v>122</v>
      </c>
      <c r="C7162" t="s">
        <v>127</v>
      </c>
      <c r="D7162" t="s">
        <v>128</v>
      </c>
      <c r="E7162">
        <v>2003</v>
      </c>
      <c r="F7162" s="1">
        <v>1382</v>
      </c>
      <c r="G7162">
        <v>2000</v>
      </c>
      <c r="H7162">
        <f>AVERAGEIFS(Table1[value],Table1[IndicatorCode],Table1[[#This Row],[IndicatorCode]])</f>
        <v>24902.88753799392</v>
      </c>
      <c r="I7162" cm="1">
        <f t="array" ref="I7162">_xlfn.STDEV.P(IF(Table1[IndicatorCode]=Table1[[#This Row],[IndicatorCode]],Table1[value]))</f>
        <v>26324.778297809873</v>
      </c>
      <c r="J7162">
        <f>(Table1[[#This Row],[value]] - Table1[[#This Row],[mean]]) / Table1[[#This Row],[std_dev]]</f>
        <v>-0.89348853281513763</v>
      </c>
      <c r="K7162">
        <f>AVERAGEIF(Table1[CountryCode],Table1[[#This Row],[CountryCode]],Table1[z-score])</f>
        <v>-0.73322176935075789</v>
      </c>
      <c r="L7162" t="e">
        <f>VLOOKUP(Table1[[#This Row],[CountryCode]],[1]!Table1[#All],1,FALSE)</f>
        <v>#REF!</v>
      </c>
    </row>
    <row r="7163" spans="1:12" hidden="1" x14ac:dyDescent="0.3">
      <c r="A7163" t="s">
        <v>121</v>
      </c>
      <c r="B7163" t="s">
        <v>122</v>
      </c>
      <c r="C7163" t="s">
        <v>127</v>
      </c>
      <c r="D7163" t="s">
        <v>128</v>
      </c>
      <c r="E7163">
        <v>2004</v>
      </c>
      <c r="F7163" s="1">
        <v>1467</v>
      </c>
      <c r="G7163">
        <v>2000</v>
      </c>
      <c r="H7163">
        <f>AVERAGEIFS(Table1[value],Table1[IndicatorCode],Table1[[#This Row],[IndicatorCode]])</f>
        <v>24902.88753799392</v>
      </c>
      <c r="I7163" cm="1">
        <f t="array" ref="I7163">_xlfn.STDEV.P(IF(Table1[IndicatorCode]=Table1[[#This Row],[IndicatorCode]],Table1[value]))</f>
        <v>26324.778297809873</v>
      </c>
      <c r="J7163">
        <f>(Table1[[#This Row],[value]] - Table1[[#This Row],[mean]]) / Table1[[#This Row],[std_dev]]</f>
        <v>-0.89025963572668343</v>
      </c>
      <c r="K7163">
        <f>AVERAGEIF(Table1[CountryCode],Table1[[#This Row],[CountryCode]],Table1[z-score])</f>
        <v>-0.73322176935075789</v>
      </c>
      <c r="L7163" t="e">
        <f>VLOOKUP(Table1[[#This Row],[CountryCode]],[1]!Table1[#All],1,FALSE)</f>
        <v>#REF!</v>
      </c>
    </row>
    <row r="7164" spans="1:12" hidden="1" x14ac:dyDescent="0.3">
      <c r="A7164" t="s">
        <v>121</v>
      </c>
      <c r="B7164" t="s">
        <v>122</v>
      </c>
      <c r="C7164" t="s">
        <v>127</v>
      </c>
      <c r="D7164" t="s">
        <v>128</v>
      </c>
      <c r="E7164">
        <v>2005</v>
      </c>
      <c r="F7164" s="1">
        <v>1549</v>
      </c>
      <c r="G7164">
        <v>2000</v>
      </c>
      <c r="H7164">
        <f>AVERAGEIFS(Table1[value],Table1[IndicatorCode],Table1[[#This Row],[IndicatorCode]])</f>
        <v>24902.88753799392</v>
      </c>
      <c r="I7164" cm="1">
        <f t="array" ref="I7164">_xlfn.STDEV.P(IF(Table1[IndicatorCode]=Table1[[#This Row],[IndicatorCode]],Table1[value]))</f>
        <v>26324.778297809873</v>
      </c>
      <c r="J7164">
        <f>(Table1[[#This Row],[value]] - Table1[[#This Row],[mean]]) / Table1[[#This Row],[std_dev]]</f>
        <v>-0.88714469971193943</v>
      </c>
      <c r="K7164">
        <f>AVERAGEIF(Table1[CountryCode],Table1[[#This Row],[CountryCode]],Table1[z-score])</f>
        <v>-0.73322176935075789</v>
      </c>
      <c r="L7164" t="e">
        <f>VLOOKUP(Table1[[#This Row],[CountryCode]],[1]!Table1[#All],1,FALSE)</f>
        <v>#REF!</v>
      </c>
    </row>
    <row r="7165" spans="1:12" hidden="1" x14ac:dyDescent="0.3">
      <c r="A7165" t="s">
        <v>121</v>
      </c>
      <c r="B7165" t="s">
        <v>122</v>
      </c>
      <c r="C7165" t="s">
        <v>127</v>
      </c>
      <c r="D7165" t="s">
        <v>128</v>
      </c>
      <c r="E7165">
        <v>2006</v>
      </c>
      <c r="F7165" s="1">
        <v>1643</v>
      </c>
      <c r="G7165">
        <v>2000</v>
      </c>
      <c r="H7165">
        <f>AVERAGEIFS(Table1[value],Table1[IndicatorCode],Table1[[#This Row],[IndicatorCode]])</f>
        <v>24902.88753799392</v>
      </c>
      <c r="I7165" cm="1">
        <f t="array" ref="I7165">_xlfn.STDEV.P(IF(Table1[IndicatorCode]=Table1[[#This Row],[IndicatorCode]],Table1[value]))</f>
        <v>26324.778297809873</v>
      </c>
      <c r="J7165">
        <f>(Table1[[#This Row],[value]] - Table1[[#This Row],[mean]]) / Table1[[#This Row],[std_dev]]</f>
        <v>-0.88357391940235486</v>
      </c>
      <c r="K7165">
        <f>AVERAGEIF(Table1[CountryCode],Table1[[#This Row],[CountryCode]],Table1[z-score])</f>
        <v>-0.73322176935075789</v>
      </c>
      <c r="L7165" t="e">
        <f>VLOOKUP(Table1[[#This Row],[CountryCode]],[1]!Table1[#All],1,FALSE)</f>
        <v>#REF!</v>
      </c>
    </row>
    <row r="7166" spans="1:12" hidden="1" x14ac:dyDescent="0.3">
      <c r="A7166" t="s">
        <v>121</v>
      </c>
      <c r="B7166" t="s">
        <v>122</v>
      </c>
      <c r="C7166" t="s">
        <v>127</v>
      </c>
      <c r="D7166" t="s">
        <v>128</v>
      </c>
      <c r="E7166">
        <v>2007</v>
      </c>
      <c r="F7166" s="1">
        <v>1774</v>
      </c>
      <c r="G7166">
        <v>2010</v>
      </c>
      <c r="H7166">
        <f>AVERAGEIFS(Table1[value],Table1[IndicatorCode],Table1[[#This Row],[IndicatorCode]])</f>
        <v>24902.88753799392</v>
      </c>
      <c r="I7166" cm="1">
        <f t="array" ref="I7166">_xlfn.STDEV.P(IF(Table1[IndicatorCode]=Table1[[#This Row],[IndicatorCode]],Table1[value]))</f>
        <v>26324.778297809873</v>
      </c>
      <c r="J7166">
        <f>(Table1[[#This Row],[value]] - Table1[[#This Row],[mean]]) / Table1[[#This Row],[std_dev]]</f>
        <v>-0.8785976191836784</v>
      </c>
      <c r="K7166">
        <f>AVERAGEIF(Table1[CountryCode],Table1[[#This Row],[CountryCode]],Table1[z-score])</f>
        <v>-0.73322176935075789</v>
      </c>
      <c r="L7166" t="e">
        <f>VLOOKUP(Table1[[#This Row],[CountryCode]],[1]!Table1[#All],1,FALSE)</f>
        <v>#REF!</v>
      </c>
    </row>
    <row r="7167" spans="1:12" hidden="1" x14ac:dyDescent="0.3">
      <c r="A7167" t="s">
        <v>121</v>
      </c>
      <c r="B7167" t="s">
        <v>122</v>
      </c>
      <c r="C7167" t="s">
        <v>127</v>
      </c>
      <c r="D7167" t="s">
        <v>128</v>
      </c>
      <c r="E7167">
        <v>2008</v>
      </c>
      <c r="F7167" s="1">
        <v>1904</v>
      </c>
      <c r="G7167">
        <v>2010</v>
      </c>
      <c r="H7167">
        <f>AVERAGEIFS(Table1[value],Table1[IndicatorCode],Table1[[#This Row],[IndicatorCode]])</f>
        <v>24902.88753799392</v>
      </c>
      <c r="I7167" cm="1">
        <f t="array" ref="I7167">_xlfn.STDEV.P(IF(Table1[IndicatorCode]=Table1[[#This Row],[IndicatorCode]],Table1[value]))</f>
        <v>26324.778297809873</v>
      </c>
      <c r="J7167">
        <f>(Table1[[#This Row],[value]] - Table1[[#This Row],[mean]]) / Table1[[#This Row],[std_dev]]</f>
        <v>-0.87365930598957198</v>
      </c>
      <c r="K7167">
        <f>AVERAGEIF(Table1[CountryCode],Table1[[#This Row],[CountryCode]],Table1[z-score])</f>
        <v>-0.73322176935075789</v>
      </c>
      <c r="L7167" t="e">
        <f>VLOOKUP(Table1[[#This Row],[CountryCode]],[1]!Table1[#All],1,FALSE)</f>
        <v>#REF!</v>
      </c>
    </row>
    <row r="7168" spans="1:12" hidden="1" x14ac:dyDescent="0.3">
      <c r="A7168" t="s">
        <v>121</v>
      </c>
      <c r="B7168" t="s">
        <v>122</v>
      </c>
      <c r="C7168" t="s">
        <v>127</v>
      </c>
      <c r="D7168" t="s">
        <v>128</v>
      </c>
      <c r="E7168">
        <v>2009</v>
      </c>
      <c r="F7168" s="1">
        <v>2025</v>
      </c>
      <c r="G7168">
        <v>2010</v>
      </c>
      <c r="H7168">
        <f>AVERAGEIFS(Table1[value],Table1[IndicatorCode],Table1[[#This Row],[IndicatorCode]])</f>
        <v>24902.88753799392</v>
      </c>
      <c r="I7168" cm="1">
        <f t="array" ref="I7168">_xlfn.STDEV.P(IF(Table1[IndicatorCode]=Table1[[#This Row],[IndicatorCode]],Table1[value]))</f>
        <v>26324.778297809873</v>
      </c>
      <c r="J7168">
        <f>(Table1[[#This Row],[value]] - Table1[[#This Row],[mean]]) / Table1[[#This Row],[std_dev]]</f>
        <v>-0.86906287601659604</v>
      </c>
      <c r="K7168">
        <f>AVERAGEIF(Table1[CountryCode],Table1[[#This Row],[CountryCode]],Table1[z-score])</f>
        <v>-0.73322176935075789</v>
      </c>
      <c r="L7168" t="e">
        <f>VLOOKUP(Table1[[#This Row],[CountryCode]],[1]!Table1[#All],1,FALSE)</f>
        <v>#REF!</v>
      </c>
    </row>
    <row r="7169" spans="1:12" hidden="1" x14ac:dyDescent="0.3">
      <c r="A7169" t="s">
        <v>121</v>
      </c>
      <c r="B7169" t="s">
        <v>122</v>
      </c>
      <c r="C7169" t="s">
        <v>127</v>
      </c>
      <c r="D7169" t="s">
        <v>128</v>
      </c>
      <c r="E7169">
        <v>2010</v>
      </c>
      <c r="F7169" s="1">
        <v>2145</v>
      </c>
      <c r="G7169">
        <v>2010</v>
      </c>
      <c r="H7169">
        <f>AVERAGEIFS(Table1[value],Table1[IndicatorCode],Table1[[#This Row],[IndicatorCode]])</f>
        <v>24902.88753799392</v>
      </c>
      <c r="I7169" cm="1">
        <f t="array" ref="I7169">_xlfn.STDEV.P(IF(Table1[IndicatorCode]=Table1[[#This Row],[IndicatorCode]],Table1[value]))</f>
        <v>26324.778297809873</v>
      </c>
      <c r="J7169">
        <f>(Table1[[#This Row],[value]] - Table1[[#This Row],[mean]]) / Table1[[#This Row],[std_dev]]</f>
        <v>-0.86450443306819014</v>
      </c>
      <c r="K7169">
        <f>AVERAGEIF(Table1[CountryCode],Table1[[#This Row],[CountryCode]],Table1[z-score])</f>
        <v>-0.73322176935075789</v>
      </c>
      <c r="L7169" t="e">
        <f>VLOOKUP(Table1[[#This Row],[CountryCode]],[1]!Table1[#All],1,FALSE)</f>
        <v>#REF!</v>
      </c>
    </row>
    <row r="7170" spans="1:12" hidden="1" x14ac:dyDescent="0.3">
      <c r="A7170" t="s">
        <v>121</v>
      </c>
      <c r="B7170" t="s">
        <v>122</v>
      </c>
      <c r="C7170" t="s">
        <v>127</v>
      </c>
      <c r="D7170" t="s">
        <v>128</v>
      </c>
      <c r="E7170">
        <v>2011</v>
      </c>
      <c r="F7170" s="1">
        <v>2271</v>
      </c>
      <c r="G7170">
        <v>2010</v>
      </c>
      <c r="H7170">
        <f>AVERAGEIFS(Table1[value],Table1[IndicatorCode],Table1[[#This Row],[IndicatorCode]])</f>
        <v>24902.88753799392</v>
      </c>
      <c r="I7170" cm="1">
        <f t="array" ref="I7170">_xlfn.STDEV.P(IF(Table1[IndicatorCode]=Table1[[#This Row],[IndicatorCode]],Table1[value]))</f>
        <v>26324.778297809873</v>
      </c>
      <c r="J7170">
        <f>(Table1[[#This Row],[value]] - Table1[[#This Row],[mean]]) / Table1[[#This Row],[std_dev]]</f>
        <v>-0.85971806797236394</v>
      </c>
      <c r="K7170">
        <f>AVERAGEIF(Table1[CountryCode],Table1[[#This Row],[CountryCode]],Table1[z-score])</f>
        <v>-0.73322176935075789</v>
      </c>
      <c r="L7170" t="e">
        <f>VLOOKUP(Table1[[#This Row],[CountryCode]],[1]!Table1[#All],1,FALSE)</f>
        <v>#REF!</v>
      </c>
    </row>
    <row r="7171" spans="1:12" hidden="1" x14ac:dyDescent="0.3">
      <c r="A7171" t="s">
        <v>121</v>
      </c>
      <c r="B7171" t="s">
        <v>122</v>
      </c>
      <c r="C7171" t="s">
        <v>127</v>
      </c>
      <c r="D7171" t="s">
        <v>128</v>
      </c>
      <c r="E7171">
        <v>2012</v>
      </c>
      <c r="F7171" s="1">
        <v>2396</v>
      </c>
      <c r="G7171">
        <v>2010</v>
      </c>
      <c r="H7171">
        <f>AVERAGEIFS(Table1[value],Table1[IndicatorCode],Table1[[#This Row],[IndicatorCode]])</f>
        <v>24902.88753799392</v>
      </c>
      <c r="I7171" cm="1">
        <f t="array" ref="I7171">_xlfn.STDEV.P(IF(Table1[IndicatorCode]=Table1[[#This Row],[IndicatorCode]],Table1[value]))</f>
        <v>26324.778297809873</v>
      </c>
      <c r="J7171">
        <f>(Table1[[#This Row],[value]] - Table1[[#This Row],[mean]]) / Table1[[#This Row],[std_dev]]</f>
        <v>-0.85496968990110778</v>
      </c>
      <c r="K7171">
        <f>AVERAGEIF(Table1[CountryCode],Table1[[#This Row],[CountryCode]],Table1[z-score])</f>
        <v>-0.73322176935075789</v>
      </c>
      <c r="L7171" t="e">
        <f>VLOOKUP(Table1[[#This Row],[CountryCode]],[1]!Table1[#All],1,FALSE)</f>
        <v>#REF!</v>
      </c>
    </row>
    <row r="7172" spans="1:12" hidden="1" x14ac:dyDescent="0.3">
      <c r="A7172" t="s">
        <v>121</v>
      </c>
      <c r="B7172" t="s">
        <v>122</v>
      </c>
      <c r="C7172" t="s">
        <v>127</v>
      </c>
      <c r="D7172" t="s">
        <v>128</v>
      </c>
      <c r="E7172">
        <v>2013</v>
      </c>
      <c r="F7172" s="1">
        <v>2531</v>
      </c>
      <c r="G7172">
        <v>2010</v>
      </c>
      <c r="H7172">
        <f>AVERAGEIFS(Table1[value],Table1[IndicatorCode],Table1[[#This Row],[IndicatorCode]])</f>
        <v>24902.88753799392</v>
      </c>
      <c r="I7172" cm="1">
        <f t="array" ref="I7172">_xlfn.STDEV.P(IF(Table1[IndicatorCode]=Table1[[#This Row],[IndicatorCode]],Table1[value]))</f>
        <v>26324.778297809873</v>
      </c>
      <c r="J7172">
        <f>(Table1[[#This Row],[value]] - Table1[[#This Row],[mean]]) / Table1[[#This Row],[std_dev]]</f>
        <v>-0.8498414415841512</v>
      </c>
      <c r="K7172">
        <f>AVERAGEIF(Table1[CountryCode],Table1[[#This Row],[CountryCode]],Table1[z-score])</f>
        <v>-0.73322176935075789</v>
      </c>
      <c r="L7172" t="e">
        <f>VLOOKUP(Table1[[#This Row],[CountryCode]],[1]!Table1[#All],1,FALSE)</f>
        <v>#REF!</v>
      </c>
    </row>
    <row r="7173" spans="1:12" hidden="1" x14ac:dyDescent="0.3">
      <c r="A7173" t="s">
        <v>121</v>
      </c>
      <c r="B7173" t="s">
        <v>122</v>
      </c>
      <c r="C7173" t="s">
        <v>127</v>
      </c>
      <c r="D7173" t="s">
        <v>128</v>
      </c>
      <c r="E7173">
        <v>2014</v>
      </c>
      <c r="F7173" s="1">
        <v>2660</v>
      </c>
      <c r="G7173">
        <v>2010</v>
      </c>
      <c r="H7173">
        <f>AVERAGEIFS(Table1[value],Table1[IndicatorCode],Table1[[#This Row],[IndicatorCode]])</f>
        <v>24902.88753799392</v>
      </c>
      <c r="I7173" cm="1">
        <f t="array" ref="I7173">_xlfn.STDEV.P(IF(Table1[IndicatorCode]=Table1[[#This Row],[IndicatorCode]],Table1[value]))</f>
        <v>26324.778297809873</v>
      </c>
      <c r="J7173">
        <f>(Table1[[#This Row],[value]] - Table1[[#This Row],[mean]]) / Table1[[#This Row],[std_dev]]</f>
        <v>-0.84494111541461481</v>
      </c>
      <c r="K7173">
        <f>AVERAGEIF(Table1[CountryCode],Table1[[#This Row],[CountryCode]],Table1[z-score])</f>
        <v>-0.73322176935075789</v>
      </c>
      <c r="L7173" t="e">
        <f>VLOOKUP(Table1[[#This Row],[CountryCode]],[1]!Table1[#All],1,FALSE)</f>
        <v>#REF!</v>
      </c>
    </row>
    <row r="7174" spans="1:12" hidden="1" x14ac:dyDescent="0.3">
      <c r="A7174" t="s">
        <v>121</v>
      </c>
      <c r="B7174" t="s">
        <v>122</v>
      </c>
      <c r="C7174" t="s">
        <v>127</v>
      </c>
      <c r="D7174" t="s">
        <v>128</v>
      </c>
      <c r="E7174">
        <v>2015</v>
      </c>
      <c r="F7174" s="1">
        <v>2803</v>
      </c>
      <c r="G7174">
        <v>2010</v>
      </c>
      <c r="H7174">
        <f>AVERAGEIFS(Table1[value],Table1[IndicatorCode],Table1[[#This Row],[IndicatorCode]])</f>
        <v>24902.88753799392</v>
      </c>
      <c r="I7174" cm="1">
        <f t="array" ref="I7174">_xlfn.STDEV.P(IF(Table1[IndicatorCode]=Table1[[#This Row],[IndicatorCode]],Table1[value]))</f>
        <v>26324.778297809873</v>
      </c>
      <c r="J7174">
        <f>(Table1[[#This Row],[value]] - Table1[[#This Row],[mean]]) / Table1[[#This Row],[std_dev]]</f>
        <v>-0.83950897090109777</v>
      </c>
      <c r="K7174">
        <f>AVERAGEIF(Table1[CountryCode],Table1[[#This Row],[CountryCode]],Table1[z-score])</f>
        <v>-0.73322176935075789</v>
      </c>
      <c r="L7174" t="e">
        <f>VLOOKUP(Table1[[#This Row],[CountryCode]],[1]!Table1[#All],1,FALSE)</f>
        <v>#REF!</v>
      </c>
    </row>
    <row r="7175" spans="1:12" hidden="1" x14ac:dyDescent="0.3">
      <c r="A7175" t="s">
        <v>121</v>
      </c>
      <c r="B7175" t="s">
        <v>122</v>
      </c>
      <c r="C7175" t="s">
        <v>127</v>
      </c>
      <c r="D7175" t="s">
        <v>128</v>
      </c>
      <c r="E7175">
        <v>2016</v>
      </c>
      <c r="F7175" s="1">
        <v>2919</v>
      </c>
      <c r="G7175">
        <v>2010</v>
      </c>
      <c r="H7175">
        <f>AVERAGEIFS(Table1[value],Table1[IndicatorCode],Table1[[#This Row],[IndicatorCode]])</f>
        <v>24902.88753799392</v>
      </c>
      <c r="I7175" cm="1">
        <f t="array" ref="I7175">_xlfn.STDEV.P(IF(Table1[IndicatorCode]=Table1[[#This Row],[IndicatorCode]],Table1[value]))</f>
        <v>26324.778297809873</v>
      </c>
      <c r="J7175">
        <f>(Table1[[#This Row],[value]] - Table1[[#This Row],[mean]]) / Table1[[#This Row],[std_dev]]</f>
        <v>-0.8351024760509721</v>
      </c>
      <c r="K7175">
        <f>AVERAGEIF(Table1[CountryCode],Table1[[#This Row],[CountryCode]],Table1[z-score])</f>
        <v>-0.73322176935075789</v>
      </c>
      <c r="L7175" t="e">
        <f>VLOOKUP(Table1[[#This Row],[CountryCode]],[1]!Table1[#All],1,FALSE)</f>
        <v>#REF!</v>
      </c>
    </row>
    <row r="7176" spans="1:12" hidden="1" x14ac:dyDescent="0.3">
      <c r="A7176" t="s">
        <v>121</v>
      </c>
      <c r="B7176" t="s">
        <v>122</v>
      </c>
      <c r="C7176" t="s">
        <v>127</v>
      </c>
      <c r="D7176" t="s">
        <v>128</v>
      </c>
      <c r="E7176">
        <v>2017</v>
      </c>
      <c r="F7176" s="1">
        <v>2996</v>
      </c>
      <c r="G7176">
        <v>2020</v>
      </c>
      <c r="H7176">
        <f>AVERAGEIFS(Table1[value],Table1[IndicatorCode],Table1[[#This Row],[IndicatorCode]])</f>
        <v>24902.88753799392</v>
      </c>
      <c r="I7176" cm="1">
        <f t="array" ref="I7176">_xlfn.STDEV.P(IF(Table1[IndicatorCode]=Table1[[#This Row],[IndicatorCode]],Table1[value]))</f>
        <v>26324.778297809873</v>
      </c>
      <c r="J7176">
        <f>(Table1[[#This Row],[value]] - Table1[[#This Row],[mean]]) / Table1[[#This Row],[std_dev]]</f>
        <v>-0.83217747515907836</v>
      </c>
      <c r="K7176">
        <f>AVERAGEIF(Table1[CountryCode],Table1[[#This Row],[CountryCode]],Table1[z-score])</f>
        <v>-0.73322176935075789</v>
      </c>
      <c r="L7176" t="e">
        <f>VLOOKUP(Table1[[#This Row],[CountryCode]],[1]!Table1[#All],1,FALSE)</f>
        <v>#REF!</v>
      </c>
    </row>
    <row r="7177" spans="1:12" hidden="1" x14ac:dyDescent="0.3">
      <c r="A7177" t="s">
        <v>121</v>
      </c>
      <c r="B7177" t="s">
        <v>122</v>
      </c>
      <c r="C7177" t="s">
        <v>127</v>
      </c>
      <c r="D7177" t="s">
        <v>128</v>
      </c>
      <c r="E7177">
        <v>2018</v>
      </c>
      <c r="F7177" s="1">
        <v>3108</v>
      </c>
      <c r="G7177">
        <v>2020</v>
      </c>
      <c r="H7177">
        <f>AVERAGEIFS(Table1[value],Table1[IndicatorCode],Table1[[#This Row],[IndicatorCode]])</f>
        <v>24902.88753799392</v>
      </c>
      <c r="I7177" cm="1">
        <f t="array" ref="I7177">_xlfn.STDEV.P(IF(Table1[IndicatorCode]=Table1[[#This Row],[IndicatorCode]],Table1[value]))</f>
        <v>26324.778297809873</v>
      </c>
      <c r="J7177">
        <f>(Table1[[#This Row],[value]] - Table1[[#This Row],[mean]]) / Table1[[#This Row],[std_dev]]</f>
        <v>-0.82792292840723281</v>
      </c>
      <c r="K7177">
        <f>AVERAGEIF(Table1[CountryCode],Table1[[#This Row],[CountryCode]],Table1[z-score])</f>
        <v>-0.73322176935075789</v>
      </c>
      <c r="L7177" t="e">
        <f>VLOOKUP(Table1[[#This Row],[CountryCode]],[1]!Table1[#All],1,FALSE)</f>
        <v>#REF!</v>
      </c>
    </row>
    <row r="7178" spans="1:12" hidden="1" x14ac:dyDescent="0.3">
      <c r="A7178" t="s">
        <v>121</v>
      </c>
      <c r="B7178" t="s">
        <v>122</v>
      </c>
      <c r="C7178" t="s">
        <v>127</v>
      </c>
      <c r="D7178" t="s">
        <v>128</v>
      </c>
      <c r="E7178">
        <v>2019</v>
      </c>
      <c r="F7178" s="1">
        <v>3259</v>
      </c>
      <c r="G7178">
        <v>2020</v>
      </c>
      <c r="H7178">
        <f>AVERAGEIFS(Table1[value],Table1[IndicatorCode],Table1[[#This Row],[IndicatorCode]])</f>
        <v>24902.88753799392</v>
      </c>
      <c r="I7178" cm="1">
        <f t="array" ref="I7178">_xlfn.STDEV.P(IF(Table1[IndicatorCode]=Table1[[#This Row],[IndicatorCode]],Table1[value]))</f>
        <v>26324.778297809873</v>
      </c>
      <c r="J7178">
        <f>(Table1[[#This Row],[value]] - Table1[[#This Row],[mean]]) / Table1[[#This Row],[std_dev]]</f>
        <v>-0.82218688769715542</v>
      </c>
      <c r="K7178">
        <f>AVERAGEIF(Table1[CountryCode],Table1[[#This Row],[CountryCode]],Table1[z-score])</f>
        <v>-0.73322176935075789</v>
      </c>
      <c r="L7178" t="e">
        <f>VLOOKUP(Table1[[#This Row],[CountryCode]],[1]!Table1[#All],1,FALSE)</f>
        <v>#REF!</v>
      </c>
    </row>
    <row r="7179" spans="1:12" x14ac:dyDescent="0.3">
      <c r="A7179" t="s">
        <v>79</v>
      </c>
      <c r="B7179" t="s">
        <v>80</v>
      </c>
      <c r="C7179" t="s">
        <v>127</v>
      </c>
      <c r="D7179" t="s">
        <v>128</v>
      </c>
      <c r="E7179">
        <v>2020</v>
      </c>
      <c r="F7179" s="1">
        <v>105274</v>
      </c>
      <c r="G7179">
        <v>2020</v>
      </c>
      <c r="H7179">
        <f>AVERAGEIFS(Table1[value],Table1[IndicatorCode],Table1[[#This Row],[IndicatorCode]])</f>
        <v>24902.88753799392</v>
      </c>
      <c r="I7179" cm="1">
        <f t="array" ref="I7179">_xlfn.STDEV.P(IF(Table1[IndicatorCode]=Table1[[#This Row],[IndicatorCode]],Table1[value]))</f>
        <v>26324.778297809873</v>
      </c>
      <c r="J7179">
        <f>(Table1[[#This Row],[value]] - Table1[[#This Row],[mean]]) / Table1[[#This Row],[std_dev]]</f>
        <v>3.053059423816407</v>
      </c>
      <c r="K7179">
        <f>AVERAGEIF(Table1[CountryCode],Table1[[#This Row],[CountryCode]],Table1[z-score])</f>
        <v>1.6213099703277349</v>
      </c>
    </row>
    <row r="7180" spans="1:12" hidden="1" x14ac:dyDescent="0.3">
      <c r="A7180" t="s">
        <v>121</v>
      </c>
      <c r="B7180" t="s">
        <v>122</v>
      </c>
      <c r="C7180" t="s">
        <v>127</v>
      </c>
      <c r="D7180" t="s">
        <v>128</v>
      </c>
      <c r="E7180">
        <v>2021</v>
      </c>
      <c r="F7180" s="1">
        <v>3443</v>
      </c>
      <c r="G7180">
        <v>2020</v>
      </c>
      <c r="H7180">
        <f>AVERAGEIFS(Table1[value],Table1[IndicatorCode],Table1[[#This Row],[IndicatorCode]])</f>
        <v>24902.88753799392</v>
      </c>
      <c r="I7180" cm="1">
        <f t="array" ref="I7180">_xlfn.STDEV.P(IF(Table1[IndicatorCode]=Table1[[#This Row],[IndicatorCode]],Table1[value]))</f>
        <v>26324.778297809873</v>
      </c>
      <c r="J7180">
        <f>(Table1[[#This Row],[value]] - Table1[[#This Row],[mean]]) / Table1[[#This Row],[std_dev]]</f>
        <v>-0.81519727517626639</v>
      </c>
      <c r="K7180">
        <f>AVERAGEIF(Table1[CountryCode],Table1[[#This Row],[CountryCode]],Table1[z-score])</f>
        <v>-0.73322176935075789</v>
      </c>
      <c r="L7180" t="e">
        <f>VLOOKUP(Table1[[#This Row],[CountryCode]],[1]!Table1[#All],1,FALSE)</f>
        <v>#REF!</v>
      </c>
    </row>
    <row r="7181" spans="1:12" hidden="1" x14ac:dyDescent="0.3">
      <c r="A7181" t="s">
        <v>121</v>
      </c>
      <c r="B7181" t="s">
        <v>122</v>
      </c>
      <c r="C7181" t="s">
        <v>127</v>
      </c>
      <c r="D7181" t="s">
        <v>128</v>
      </c>
      <c r="E7181">
        <v>2022</v>
      </c>
      <c r="F7181" s="1">
        <v>3577</v>
      </c>
      <c r="G7181">
        <v>2000</v>
      </c>
      <c r="H7181">
        <f>AVERAGEIFS(Table1[value],Table1[IndicatorCode],Table1[[#This Row],[IndicatorCode]])</f>
        <v>24902.88753799392</v>
      </c>
      <c r="I7181" cm="1">
        <f t="array" ref="I7181">_xlfn.STDEV.P(IF(Table1[IndicatorCode]=Table1[[#This Row],[IndicatorCode]],Table1[value]))</f>
        <v>26324.778297809873</v>
      </c>
      <c r="J7181">
        <f>(Table1[[#This Row],[value]] - Table1[[#This Row],[mean]]) / Table1[[#This Row],[std_dev]]</f>
        <v>-0.81010701388387973</v>
      </c>
      <c r="K7181">
        <f>AVERAGEIF(Table1[CountryCode],Table1[[#This Row],[CountryCode]],Table1[z-score])</f>
        <v>-0.73322176935075789</v>
      </c>
      <c r="L7181" t="e">
        <f>VLOOKUP(Table1[[#This Row],[CountryCode]],[1]!Table1[#All],1,FALSE)</f>
        <v>#REF!</v>
      </c>
    </row>
    <row r="7182" spans="1:12" hidden="1" x14ac:dyDescent="0.3">
      <c r="A7182" t="s">
        <v>121</v>
      </c>
      <c r="B7182" t="s">
        <v>122</v>
      </c>
      <c r="C7182" t="s">
        <v>127</v>
      </c>
      <c r="D7182" t="s">
        <v>128</v>
      </c>
      <c r="E7182">
        <v>2023</v>
      </c>
      <c r="F7182" s="1">
        <v>3726</v>
      </c>
      <c r="G7182">
        <v>2000</v>
      </c>
      <c r="H7182">
        <f>AVERAGEIFS(Table1[value],Table1[IndicatorCode],Table1[[#This Row],[IndicatorCode]])</f>
        <v>24902.88753799392</v>
      </c>
      <c r="I7182" cm="1">
        <f t="array" ref="I7182">_xlfn.STDEV.P(IF(Table1[IndicatorCode]=Table1[[#This Row],[IndicatorCode]],Table1[value]))</f>
        <v>26324.778297809873</v>
      </c>
      <c r="J7182">
        <f>(Table1[[#This Row],[value]] - Table1[[#This Row],[mean]]) / Table1[[#This Row],[std_dev]]</f>
        <v>-0.80444694722294241</v>
      </c>
      <c r="K7182">
        <f>AVERAGEIF(Table1[CountryCode],Table1[[#This Row],[CountryCode]],Table1[z-score])</f>
        <v>-0.73322176935075789</v>
      </c>
      <c r="L7182" t="e">
        <f>VLOOKUP(Table1[[#This Row],[CountryCode]],[1]!Table1[#All],1,FALSE)</f>
        <v>#REF!</v>
      </c>
    </row>
    <row r="7183" spans="1:12" hidden="1" x14ac:dyDescent="0.3">
      <c r="A7183" t="s">
        <v>121</v>
      </c>
      <c r="B7183" t="s">
        <v>122</v>
      </c>
      <c r="C7183" t="s">
        <v>127</v>
      </c>
      <c r="D7183" t="s">
        <v>128</v>
      </c>
      <c r="E7183">
        <v>2024</v>
      </c>
      <c r="F7183" s="1">
        <v>3890</v>
      </c>
      <c r="G7183">
        <v>2010</v>
      </c>
      <c r="H7183">
        <f>AVERAGEIFS(Table1[value],Table1[IndicatorCode],Table1[[#This Row],[IndicatorCode]])</f>
        <v>24902.88753799392</v>
      </c>
      <c r="I7183" cm="1">
        <f t="array" ref="I7183">_xlfn.STDEV.P(IF(Table1[IndicatorCode]=Table1[[#This Row],[IndicatorCode]],Table1[value]))</f>
        <v>26324.778297809873</v>
      </c>
      <c r="J7183">
        <f>(Table1[[#This Row],[value]] - Table1[[#This Row],[mean]]) / Table1[[#This Row],[std_dev]]</f>
        <v>-0.79821707519345442</v>
      </c>
      <c r="K7183">
        <f>AVERAGEIF(Table1[CountryCode],Table1[[#This Row],[CountryCode]],Table1[z-score])</f>
        <v>-0.73322176935075789</v>
      </c>
      <c r="L7183" t="e">
        <f>VLOOKUP(Table1[[#This Row],[CountryCode]],[1]!Table1[#All],1,FALSE)</f>
        <v>#REF!</v>
      </c>
    </row>
    <row r="7184" spans="1:12" hidden="1" x14ac:dyDescent="0.3">
      <c r="A7184" t="s">
        <v>123</v>
      </c>
      <c r="B7184" t="s">
        <v>124</v>
      </c>
      <c r="C7184" t="s">
        <v>127</v>
      </c>
      <c r="D7184" t="s">
        <v>128</v>
      </c>
      <c r="E7184">
        <v>2008</v>
      </c>
      <c r="F7184" s="1">
        <v>2544</v>
      </c>
      <c r="G7184">
        <v>2010</v>
      </c>
      <c r="H7184">
        <f>AVERAGEIFS(Table1[value],Table1[IndicatorCode],Table1[[#This Row],[IndicatorCode]])</f>
        <v>24902.88753799392</v>
      </c>
      <c r="I7184" cm="1">
        <f t="array" ref="I7184">_xlfn.STDEV.P(IF(Table1[IndicatorCode]=Table1[[#This Row],[IndicatorCode]],Table1[value]))</f>
        <v>26324.778297809873</v>
      </c>
      <c r="J7184">
        <f>(Table1[[#This Row],[value]] - Table1[[#This Row],[mean]]) / Table1[[#This Row],[std_dev]]</f>
        <v>-0.84934761026474059</v>
      </c>
      <c r="K7184">
        <f>AVERAGEIF(Table1[CountryCode],Table1[[#This Row],[CountryCode]],Table1[z-score])</f>
        <v>-0.96047002154562466</v>
      </c>
      <c r="L7184" t="e">
        <f>VLOOKUP(Table1[[#This Row],[CountryCode]],[1]!Table1[#All],1,FALSE)</f>
        <v>#REF!</v>
      </c>
    </row>
    <row r="7185" spans="1:12" hidden="1" x14ac:dyDescent="0.3">
      <c r="A7185" t="s">
        <v>123</v>
      </c>
      <c r="B7185" t="s">
        <v>124</v>
      </c>
      <c r="C7185" t="s">
        <v>127</v>
      </c>
      <c r="D7185" t="s">
        <v>128</v>
      </c>
      <c r="E7185">
        <v>2009</v>
      </c>
      <c r="F7185" s="1">
        <v>2681</v>
      </c>
      <c r="G7185">
        <v>2010</v>
      </c>
      <c r="H7185">
        <f>AVERAGEIFS(Table1[value],Table1[IndicatorCode],Table1[[#This Row],[IndicatorCode]])</f>
        <v>24902.88753799392</v>
      </c>
      <c r="I7185" cm="1">
        <f t="array" ref="I7185">_xlfn.STDEV.P(IF(Table1[IndicatorCode]=Table1[[#This Row],[IndicatorCode]],Table1[value]))</f>
        <v>26324.778297809873</v>
      </c>
      <c r="J7185">
        <f>(Table1[[#This Row],[value]] - Table1[[#This Row],[mean]]) / Table1[[#This Row],[std_dev]]</f>
        <v>-0.84414338789864385</v>
      </c>
      <c r="K7185">
        <f>AVERAGEIF(Table1[CountryCode],Table1[[#This Row],[CountryCode]],Table1[z-score])</f>
        <v>-0.96047002154562466</v>
      </c>
      <c r="L7185" t="e">
        <f>VLOOKUP(Table1[[#This Row],[CountryCode]],[1]!Table1[#All],1,FALSE)</f>
        <v>#REF!</v>
      </c>
    </row>
    <row r="7186" spans="1:12" hidden="1" x14ac:dyDescent="0.3">
      <c r="A7186" t="s">
        <v>123</v>
      </c>
      <c r="B7186" t="s">
        <v>124</v>
      </c>
      <c r="C7186" t="s">
        <v>127</v>
      </c>
      <c r="D7186" t="s">
        <v>128</v>
      </c>
      <c r="E7186">
        <v>2010</v>
      </c>
      <c r="F7186" s="1">
        <v>2823</v>
      </c>
      <c r="G7186">
        <v>2010</v>
      </c>
      <c r="H7186">
        <f>AVERAGEIFS(Table1[value],Table1[IndicatorCode],Table1[[#This Row],[IndicatorCode]])</f>
        <v>24902.88753799392</v>
      </c>
      <c r="I7186" cm="1">
        <f t="array" ref="I7186">_xlfn.STDEV.P(IF(Table1[IndicatorCode]=Table1[[#This Row],[IndicatorCode]],Table1[value]))</f>
        <v>26324.778297809873</v>
      </c>
      <c r="J7186">
        <f>(Table1[[#This Row],[value]] - Table1[[#This Row],[mean]]) / Table1[[#This Row],[std_dev]]</f>
        <v>-0.83874923040969684</v>
      </c>
      <c r="K7186">
        <f>AVERAGEIF(Table1[CountryCode],Table1[[#This Row],[CountryCode]],Table1[z-score])</f>
        <v>-0.96047002154562466</v>
      </c>
      <c r="L7186" t="e">
        <f>VLOOKUP(Table1[[#This Row],[CountryCode]],[1]!Table1[#All],1,FALSE)</f>
        <v>#REF!</v>
      </c>
    </row>
    <row r="7187" spans="1:12" hidden="1" x14ac:dyDescent="0.3">
      <c r="A7187" t="s">
        <v>123</v>
      </c>
      <c r="B7187" t="s">
        <v>124</v>
      </c>
      <c r="C7187" t="s">
        <v>127</v>
      </c>
      <c r="D7187" t="s">
        <v>128</v>
      </c>
      <c r="E7187">
        <v>2011</v>
      </c>
      <c r="F7187" s="1">
        <v>2996</v>
      </c>
      <c r="G7187">
        <v>2010</v>
      </c>
      <c r="H7187">
        <f>AVERAGEIFS(Table1[value],Table1[IndicatorCode],Table1[[#This Row],[IndicatorCode]])</f>
        <v>24902.88753799392</v>
      </c>
      <c r="I7187" cm="1">
        <f t="array" ref="I7187">_xlfn.STDEV.P(IF(Table1[IndicatorCode]=Table1[[#This Row],[IndicatorCode]],Table1[value]))</f>
        <v>26324.778297809873</v>
      </c>
      <c r="J7187">
        <f>(Table1[[#This Row],[value]] - Table1[[#This Row],[mean]]) / Table1[[#This Row],[std_dev]]</f>
        <v>-0.83217747515907836</v>
      </c>
      <c r="K7187">
        <f>AVERAGEIF(Table1[CountryCode],Table1[[#This Row],[CountryCode]],Table1[z-score])</f>
        <v>-0.96047002154562466</v>
      </c>
      <c r="L7187" t="e">
        <f>VLOOKUP(Table1[[#This Row],[CountryCode]],[1]!Table1[#All],1,FALSE)</f>
        <v>#REF!</v>
      </c>
    </row>
    <row r="7188" spans="1:12" hidden="1" x14ac:dyDescent="0.3">
      <c r="A7188" t="s">
        <v>123</v>
      </c>
      <c r="B7188" t="s">
        <v>124</v>
      </c>
      <c r="C7188" t="s">
        <v>127</v>
      </c>
      <c r="D7188" t="s">
        <v>128</v>
      </c>
      <c r="E7188">
        <v>2012</v>
      </c>
      <c r="F7188" s="1">
        <v>3021</v>
      </c>
      <c r="G7188">
        <v>2010</v>
      </c>
      <c r="H7188">
        <f>AVERAGEIFS(Table1[value],Table1[IndicatorCode],Table1[[#This Row],[IndicatorCode]])</f>
        <v>24902.88753799392</v>
      </c>
      <c r="I7188" cm="1">
        <f t="array" ref="I7188">_xlfn.STDEV.P(IF(Table1[IndicatorCode]=Table1[[#This Row],[IndicatorCode]],Table1[value]))</f>
        <v>26324.778297809873</v>
      </c>
      <c r="J7188">
        <f>(Table1[[#This Row],[value]] - Table1[[#This Row],[mean]]) / Table1[[#This Row],[std_dev]]</f>
        <v>-0.83122779954482706</v>
      </c>
      <c r="K7188">
        <f>AVERAGEIF(Table1[CountryCode],Table1[[#This Row],[CountryCode]],Table1[z-score])</f>
        <v>-0.96047002154562466</v>
      </c>
      <c r="L7188" t="e">
        <f>VLOOKUP(Table1[[#This Row],[CountryCode]],[1]!Table1[#All],1,FALSE)</f>
        <v>#REF!</v>
      </c>
    </row>
    <row r="7189" spans="1:12" hidden="1" x14ac:dyDescent="0.3">
      <c r="A7189" t="s">
        <v>123</v>
      </c>
      <c r="B7189" t="s">
        <v>124</v>
      </c>
      <c r="C7189" t="s">
        <v>127</v>
      </c>
      <c r="D7189" t="s">
        <v>128</v>
      </c>
      <c r="E7189">
        <v>2013</v>
      </c>
      <c r="F7189" s="1">
        <v>3163</v>
      </c>
      <c r="G7189">
        <v>2010</v>
      </c>
      <c r="H7189">
        <f>AVERAGEIFS(Table1[value],Table1[IndicatorCode],Table1[[#This Row],[IndicatorCode]])</f>
        <v>24902.88753799392</v>
      </c>
      <c r="I7189" cm="1">
        <f t="array" ref="I7189">_xlfn.STDEV.P(IF(Table1[IndicatorCode]=Table1[[#This Row],[IndicatorCode]],Table1[value]))</f>
        <v>26324.778297809873</v>
      </c>
      <c r="J7189">
        <f>(Table1[[#This Row],[value]] - Table1[[#This Row],[mean]]) / Table1[[#This Row],[std_dev]]</f>
        <v>-0.82583364205588017</v>
      </c>
      <c r="K7189">
        <f>AVERAGEIF(Table1[CountryCode],Table1[[#This Row],[CountryCode]],Table1[z-score])</f>
        <v>-0.96047002154562466</v>
      </c>
      <c r="L7189" t="e">
        <f>VLOOKUP(Table1[[#This Row],[CountryCode]],[1]!Table1[#All],1,FALSE)</f>
        <v>#REF!</v>
      </c>
    </row>
    <row r="7190" spans="1:12" hidden="1" x14ac:dyDescent="0.3">
      <c r="A7190" t="s">
        <v>123</v>
      </c>
      <c r="B7190" t="s">
        <v>124</v>
      </c>
      <c r="C7190" t="s">
        <v>127</v>
      </c>
      <c r="D7190" t="s">
        <v>128</v>
      </c>
      <c r="E7190">
        <v>2014</v>
      </c>
      <c r="F7190" s="1">
        <v>3279</v>
      </c>
      <c r="G7190">
        <v>2010</v>
      </c>
      <c r="H7190">
        <f>AVERAGEIFS(Table1[value],Table1[IndicatorCode],Table1[[#This Row],[IndicatorCode]])</f>
        <v>24902.88753799392</v>
      </c>
      <c r="I7190" cm="1">
        <f t="array" ref="I7190">_xlfn.STDEV.P(IF(Table1[IndicatorCode]=Table1[[#This Row],[IndicatorCode]],Table1[value]))</f>
        <v>26324.778297809873</v>
      </c>
      <c r="J7190">
        <f>(Table1[[#This Row],[value]] - Table1[[#This Row],[mean]]) / Table1[[#This Row],[std_dev]]</f>
        <v>-0.82142714720575438</v>
      </c>
      <c r="K7190">
        <f>AVERAGEIF(Table1[CountryCode],Table1[[#This Row],[CountryCode]],Table1[z-score])</f>
        <v>-0.96047002154562466</v>
      </c>
      <c r="L7190" t="e">
        <f>VLOOKUP(Table1[[#This Row],[CountryCode]],[1]!Table1[#All],1,FALSE)</f>
        <v>#REF!</v>
      </c>
    </row>
    <row r="7191" spans="1:12" hidden="1" x14ac:dyDescent="0.3">
      <c r="A7191" t="s">
        <v>123</v>
      </c>
      <c r="B7191" t="s">
        <v>124</v>
      </c>
      <c r="C7191" t="s">
        <v>127</v>
      </c>
      <c r="D7191" t="s">
        <v>128</v>
      </c>
      <c r="E7191">
        <v>2015</v>
      </c>
      <c r="F7191" s="1">
        <v>3521</v>
      </c>
      <c r="G7191">
        <v>2010</v>
      </c>
      <c r="H7191">
        <f>AVERAGEIFS(Table1[value],Table1[IndicatorCode],Table1[[#This Row],[IndicatorCode]])</f>
        <v>24902.88753799392</v>
      </c>
      <c r="I7191" cm="1">
        <f t="array" ref="I7191">_xlfn.STDEV.P(IF(Table1[IndicatorCode]=Table1[[#This Row],[IndicatorCode]],Table1[value]))</f>
        <v>26324.778297809873</v>
      </c>
      <c r="J7191">
        <f>(Table1[[#This Row],[value]] - Table1[[#This Row],[mean]]) / Table1[[#This Row],[std_dev]]</f>
        <v>-0.81223428725980251</v>
      </c>
      <c r="K7191">
        <f>AVERAGEIF(Table1[CountryCode],Table1[[#This Row],[CountryCode]],Table1[z-score])</f>
        <v>-0.96047002154562466</v>
      </c>
      <c r="L7191" t="e">
        <f>VLOOKUP(Table1[[#This Row],[CountryCode]],[1]!Table1[#All],1,FALSE)</f>
        <v>#REF!</v>
      </c>
    </row>
    <row r="7192" spans="1:12" hidden="1" x14ac:dyDescent="0.3">
      <c r="A7192" t="s">
        <v>123</v>
      </c>
      <c r="B7192" t="s">
        <v>124</v>
      </c>
      <c r="C7192" t="s">
        <v>127</v>
      </c>
      <c r="D7192" t="s">
        <v>128</v>
      </c>
      <c r="E7192">
        <v>2016</v>
      </c>
      <c r="F7192" s="1">
        <v>3739</v>
      </c>
      <c r="G7192">
        <v>2010</v>
      </c>
      <c r="H7192">
        <f>AVERAGEIFS(Table1[value],Table1[IndicatorCode],Table1[[#This Row],[IndicatorCode]])</f>
        <v>24902.88753799392</v>
      </c>
      <c r="I7192" cm="1">
        <f t="array" ref="I7192">_xlfn.STDEV.P(IF(Table1[IndicatorCode]=Table1[[#This Row],[IndicatorCode]],Table1[value]))</f>
        <v>26324.778297809873</v>
      </c>
      <c r="J7192">
        <f>(Table1[[#This Row],[value]] - Table1[[#This Row],[mean]]) / Table1[[#This Row],[std_dev]]</f>
        <v>-0.8039531159035318</v>
      </c>
      <c r="K7192">
        <f>AVERAGEIF(Table1[CountryCode],Table1[[#This Row],[CountryCode]],Table1[z-score])</f>
        <v>-0.96047002154562466</v>
      </c>
      <c r="L7192" t="e">
        <f>VLOOKUP(Table1[[#This Row],[CountryCode]],[1]!Table1[#All],1,FALSE)</f>
        <v>#REF!</v>
      </c>
    </row>
    <row r="7193" spans="1:12" hidden="1" x14ac:dyDescent="0.3">
      <c r="A7193" t="s">
        <v>123</v>
      </c>
      <c r="B7193" t="s">
        <v>124</v>
      </c>
      <c r="C7193" t="s">
        <v>127</v>
      </c>
      <c r="D7193" t="s">
        <v>128</v>
      </c>
      <c r="E7193">
        <v>2017</v>
      </c>
      <c r="F7193" s="1">
        <v>3890</v>
      </c>
      <c r="G7193">
        <v>2020</v>
      </c>
      <c r="H7193">
        <f>AVERAGEIFS(Table1[value],Table1[IndicatorCode],Table1[[#This Row],[IndicatorCode]])</f>
        <v>24902.88753799392</v>
      </c>
      <c r="I7193" cm="1">
        <f t="array" ref="I7193">_xlfn.STDEV.P(IF(Table1[IndicatorCode]=Table1[[#This Row],[IndicatorCode]],Table1[value]))</f>
        <v>26324.778297809873</v>
      </c>
      <c r="J7193">
        <f>(Table1[[#This Row],[value]] - Table1[[#This Row],[mean]]) / Table1[[#This Row],[std_dev]]</f>
        <v>-0.79821707519345442</v>
      </c>
      <c r="K7193">
        <f>AVERAGEIF(Table1[CountryCode],Table1[[#This Row],[CountryCode]],Table1[z-score])</f>
        <v>-0.96047002154562466</v>
      </c>
      <c r="L7193" t="e">
        <f>VLOOKUP(Table1[[#This Row],[CountryCode]],[1]!Table1[#All],1,FALSE)</f>
        <v>#REF!</v>
      </c>
    </row>
    <row r="7194" spans="1:12" hidden="1" x14ac:dyDescent="0.3">
      <c r="A7194" t="s">
        <v>123</v>
      </c>
      <c r="B7194" t="s">
        <v>124</v>
      </c>
      <c r="C7194" t="s">
        <v>127</v>
      </c>
      <c r="D7194" t="s">
        <v>128</v>
      </c>
      <c r="E7194">
        <v>2018</v>
      </c>
      <c r="F7194" s="1">
        <v>4009</v>
      </c>
      <c r="G7194">
        <v>2020</v>
      </c>
      <c r="H7194">
        <f>AVERAGEIFS(Table1[value],Table1[IndicatorCode],Table1[[#This Row],[IndicatorCode]])</f>
        <v>24902.88753799392</v>
      </c>
      <c r="I7194" cm="1">
        <f t="array" ref="I7194">_xlfn.STDEV.P(IF(Table1[IndicatorCode]=Table1[[#This Row],[IndicatorCode]],Table1[value]))</f>
        <v>26324.778297809873</v>
      </c>
      <c r="J7194">
        <f>(Table1[[#This Row],[value]] - Table1[[#This Row],[mean]]) / Table1[[#This Row],[std_dev]]</f>
        <v>-0.79369661926961854</v>
      </c>
      <c r="K7194">
        <f>AVERAGEIF(Table1[CountryCode],Table1[[#This Row],[CountryCode]],Table1[z-score])</f>
        <v>-0.96047002154562466</v>
      </c>
      <c r="L7194" t="e">
        <f>VLOOKUP(Table1[[#This Row],[CountryCode]],[1]!Table1[#All],1,FALSE)</f>
        <v>#REF!</v>
      </c>
    </row>
    <row r="7195" spans="1:12" hidden="1" x14ac:dyDescent="0.3">
      <c r="A7195" t="s">
        <v>123</v>
      </c>
      <c r="B7195" t="s">
        <v>124</v>
      </c>
      <c r="C7195" t="s">
        <v>127</v>
      </c>
      <c r="D7195" t="s">
        <v>128</v>
      </c>
      <c r="E7195">
        <v>2019</v>
      </c>
      <c r="F7195" s="1">
        <v>4219</v>
      </c>
      <c r="G7195">
        <v>2020</v>
      </c>
      <c r="H7195">
        <f>AVERAGEIFS(Table1[value],Table1[IndicatorCode],Table1[[#This Row],[IndicatorCode]])</f>
        <v>24902.88753799392</v>
      </c>
      <c r="I7195" cm="1">
        <f t="array" ref="I7195">_xlfn.STDEV.P(IF(Table1[IndicatorCode]=Table1[[#This Row],[IndicatorCode]],Table1[value]))</f>
        <v>26324.778297809873</v>
      </c>
      <c r="J7195">
        <f>(Table1[[#This Row],[value]] - Table1[[#This Row],[mean]]) / Table1[[#This Row],[std_dev]]</f>
        <v>-0.78571934410990818</v>
      </c>
      <c r="K7195">
        <f>AVERAGEIF(Table1[CountryCode],Table1[[#This Row],[CountryCode]],Table1[z-score])</f>
        <v>-0.96047002154562466</v>
      </c>
      <c r="L7195" t="e">
        <f>VLOOKUP(Table1[[#This Row],[CountryCode]],[1]!Table1[#All],1,FALSE)</f>
        <v>#REF!</v>
      </c>
    </row>
    <row r="7196" spans="1:12" x14ac:dyDescent="0.3">
      <c r="A7196" t="s">
        <v>83</v>
      </c>
      <c r="B7196" t="s">
        <v>84</v>
      </c>
      <c r="C7196" t="s">
        <v>127</v>
      </c>
      <c r="D7196" t="s">
        <v>128</v>
      </c>
      <c r="E7196">
        <v>2020</v>
      </c>
      <c r="F7196" s="1">
        <v>161263</v>
      </c>
      <c r="G7196">
        <v>2020</v>
      </c>
      <c r="H7196">
        <f>AVERAGEIFS(Table1[value],Table1[IndicatorCode],Table1[[#This Row],[IndicatorCode]])</f>
        <v>24902.88753799392</v>
      </c>
      <c r="I7196" cm="1">
        <f t="array" ref="I7196">_xlfn.STDEV.P(IF(Table1[IndicatorCode]=Table1[[#This Row],[IndicatorCode]],Table1[value]))</f>
        <v>26324.778297809873</v>
      </c>
      <c r="J7196">
        <f>(Table1[[#This Row],[value]] - Table1[[#This Row],[mean]]) / Table1[[#This Row],[std_dev]]</f>
        <v>5.1799149424688888</v>
      </c>
      <c r="K7196">
        <f>AVERAGEIF(Table1[CountryCode],Table1[[#This Row],[CountryCode]],Table1[z-score])</f>
        <v>1.8607276946173743</v>
      </c>
    </row>
    <row r="7197" spans="1:12" hidden="1" x14ac:dyDescent="0.3">
      <c r="A7197" t="s">
        <v>123</v>
      </c>
      <c r="B7197" t="s">
        <v>124</v>
      </c>
      <c r="C7197" t="s">
        <v>127</v>
      </c>
      <c r="D7197" t="s">
        <v>128</v>
      </c>
      <c r="E7197">
        <v>2021</v>
      </c>
      <c r="F7197" s="1">
        <v>4430</v>
      </c>
      <c r="G7197">
        <v>2020</v>
      </c>
      <c r="H7197">
        <f>AVERAGEIFS(Table1[value],Table1[IndicatorCode],Table1[[#This Row],[IndicatorCode]])</f>
        <v>24902.88753799392</v>
      </c>
      <c r="I7197" cm="1">
        <f t="array" ref="I7197">_xlfn.STDEV.P(IF(Table1[IndicatorCode]=Table1[[#This Row],[IndicatorCode]],Table1[value]))</f>
        <v>26324.778297809873</v>
      </c>
      <c r="J7197">
        <f>(Table1[[#This Row],[value]] - Table1[[#This Row],[mean]]) / Table1[[#This Row],[std_dev]]</f>
        <v>-0.7777040819256279</v>
      </c>
      <c r="K7197">
        <f>AVERAGEIF(Table1[CountryCode],Table1[[#This Row],[CountryCode]],Table1[z-score])</f>
        <v>-0.96047002154562466</v>
      </c>
      <c r="L7197" t="e">
        <f>VLOOKUP(Table1[[#This Row],[CountryCode]],[1]!Table1[#All],1,FALSE)</f>
        <v>#REF!</v>
      </c>
    </row>
    <row r="7198" spans="1:12" hidden="1" x14ac:dyDescent="0.3">
      <c r="A7198" t="s">
        <v>123</v>
      </c>
      <c r="B7198" t="s">
        <v>124</v>
      </c>
      <c r="C7198" t="s">
        <v>127</v>
      </c>
      <c r="D7198" t="s">
        <v>128</v>
      </c>
      <c r="E7198">
        <v>2022</v>
      </c>
      <c r="F7198" s="1">
        <v>4666</v>
      </c>
      <c r="G7198">
        <v>1960</v>
      </c>
      <c r="H7198">
        <f>AVERAGEIFS(Table1[value],Table1[IndicatorCode],Table1[[#This Row],[IndicatorCode]])</f>
        <v>24902.88753799392</v>
      </c>
      <c r="I7198" cm="1">
        <f t="array" ref="I7198">_xlfn.STDEV.P(IF(Table1[IndicatorCode]=Table1[[#This Row],[IndicatorCode]],Table1[value]))</f>
        <v>26324.778297809873</v>
      </c>
      <c r="J7198">
        <f>(Table1[[#This Row],[value]] - Table1[[#This Row],[mean]]) / Table1[[#This Row],[std_dev]]</f>
        <v>-0.76873914412709632</v>
      </c>
      <c r="K7198">
        <f>AVERAGEIF(Table1[CountryCode],Table1[[#This Row],[CountryCode]],Table1[z-score])</f>
        <v>-0.96047002154562466</v>
      </c>
      <c r="L7198" t="e">
        <f>VLOOKUP(Table1[[#This Row],[CountryCode]],[1]!Table1[#All],1,FALSE)</f>
        <v>#REF!</v>
      </c>
    </row>
    <row r="7199" spans="1:12" hidden="1" x14ac:dyDescent="0.3">
      <c r="A7199" t="s">
        <v>123</v>
      </c>
      <c r="B7199" t="s">
        <v>124</v>
      </c>
      <c r="C7199" t="s">
        <v>127</v>
      </c>
      <c r="D7199" t="s">
        <v>128</v>
      </c>
      <c r="E7199">
        <v>2023</v>
      </c>
      <c r="F7199" s="1">
        <v>5103</v>
      </c>
      <c r="G7199">
        <v>1960</v>
      </c>
      <c r="H7199">
        <f>AVERAGEIFS(Table1[value],Table1[IndicatorCode],Table1[[#This Row],[IndicatorCode]])</f>
        <v>24902.88753799392</v>
      </c>
      <c r="I7199" cm="1">
        <f t="array" ref="I7199">_xlfn.STDEV.P(IF(Table1[IndicatorCode]=Table1[[#This Row],[IndicatorCode]],Table1[value]))</f>
        <v>26324.778297809873</v>
      </c>
      <c r="J7199">
        <f>(Table1[[#This Row],[value]] - Table1[[#This Row],[mean]]) / Table1[[#This Row],[std_dev]]</f>
        <v>-0.75213881438998476</v>
      </c>
      <c r="K7199">
        <f>AVERAGEIF(Table1[CountryCode],Table1[[#This Row],[CountryCode]],Table1[z-score])</f>
        <v>-0.96047002154562466</v>
      </c>
      <c r="L7199" t="e">
        <f>VLOOKUP(Table1[[#This Row],[CountryCode]],[1]!Table1[#All],1,FALSE)</f>
        <v>#REF!</v>
      </c>
    </row>
    <row r="7200" spans="1:12" hidden="1" x14ac:dyDescent="0.3">
      <c r="A7200" t="s">
        <v>123</v>
      </c>
      <c r="B7200" t="s">
        <v>124</v>
      </c>
      <c r="C7200" t="s">
        <v>127</v>
      </c>
      <c r="D7200" t="s">
        <v>128</v>
      </c>
      <c r="E7200">
        <v>2024</v>
      </c>
      <c r="F7200" s="1">
        <v>5632</v>
      </c>
      <c r="G7200">
        <v>1960</v>
      </c>
      <c r="H7200">
        <f>AVERAGEIFS(Table1[value],Table1[IndicatorCode],Table1[[#This Row],[IndicatorCode]])</f>
        <v>24902.88753799392</v>
      </c>
      <c r="I7200" cm="1">
        <f t="array" ref="I7200">_xlfn.STDEV.P(IF(Table1[IndicatorCode]=Table1[[#This Row],[IndicatorCode]],Table1[value]))</f>
        <v>26324.778297809873</v>
      </c>
      <c r="J7200">
        <f>(Table1[[#This Row],[value]] - Table1[[#This Row],[mean]]) / Table1[[#This Row],[std_dev]]</f>
        <v>-0.73204367839242879</v>
      </c>
      <c r="K7200">
        <f>AVERAGEIF(Table1[CountryCode],Table1[[#This Row],[CountryCode]],Table1[z-score])</f>
        <v>-0.96047002154562466</v>
      </c>
      <c r="L7200" t="e">
        <f>VLOOKUP(Table1[[#This Row],[CountryCode]],[1]!Table1[#All],1,FALSE)</f>
        <v>#REF!</v>
      </c>
    </row>
    <row r="7201" spans="1:12" hidden="1" x14ac:dyDescent="0.3">
      <c r="A7201" t="s">
        <v>7</v>
      </c>
      <c r="B7201" t="s">
        <v>8</v>
      </c>
      <c r="C7201" t="s">
        <v>129</v>
      </c>
      <c r="D7201" t="s">
        <v>130</v>
      </c>
      <c r="E7201">
        <v>1960</v>
      </c>
      <c r="F7201" s="1">
        <v>56</v>
      </c>
      <c r="G7201">
        <v>1960</v>
      </c>
      <c r="H7201">
        <f>AVERAGEIFS(Table1[value],Table1[IndicatorCode],Table1[[#This Row],[IndicatorCode]])</f>
        <v>72.66514008620689</v>
      </c>
      <c r="I7201" cm="1">
        <f t="array" ref="I7201">_xlfn.STDEV.P(IF(Table1[IndicatorCode]=Table1[[#This Row],[IndicatorCode]],Table1[value]))</f>
        <v>6.3409496564024987</v>
      </c>
      <c r="J7201">
        <f>(Table1[[#This Row],[value]] - Table1[[#This Row],[mean]]) / Table1[[#This Row],[std_dev]]</f>
        <v>-2.6281773218905764</v>
      </c>
      <c r="K7201">
        <f>AVERAGEIF(Table1[CountryCode],Table1[[#This Row],[CountryCode]],Table1[z-score])</f>
        <v>-0.54328248635894838</v>
      </c>
      <c r="L7201" t="e">
        <f>VLOOKUP(Table1[[#This Row],[CountryCode]],[1]!Table1[#All],1,FALSE)</f>
        <v>#REF!</v>
      </c>
    </row>
    <row r="7202" spans="1:12" hidden="1" x14ac:dyDescent="0.3">
      <c r="A7202" t="s">
        <v>7</v>
      </c>
      <c r="B7202" t="s">
        <v>8</v>
      </c>
      <c r="C7202" t="s">
        <v>129</v>
      </c>
      <c r="D7202" t="s">
        <v>130</v>
      </c>
      <c r="E7202">
        <v>1961</v>
      </c>
      <c r="F7202" s="1">
        <v>57</v>
      </c>
      <c r="G7202">
        <v>1960</v>
      </c>
      <c r="H7202">
        <f>AVERAGEIFS(Table1[value],Table1[IndicatorCode],Table1[[#This Row],[IndicatorCode]])</f>
        <v>72.66514008620689</v>
      </c>
      <c r="I7202" cm="1">
        <f t="array" ref="I7202">_xlfn.STDEV.P(IF(Table1[IndicatorCode]=Table1[[#This Row],[IndicatorCode]],Table1[value]))</f>
        <v>6.3409496564024987</v>
      </c>
      <c r="J7202">
        <f>(Table1[[#This Row],[value]] - Table1[[#This Row],[mean]]) / Table1[[#This Row],[std_dev]]</f>
        <v>-2.4704722376071375</v>
      </c>
      <c r="K7202">
        <f>AVERAGEIF(Table1[CountryCode],Table1[[#This Row],[CountryCode]],Table1[z-score])</f>
        <v>-0.54328248635894838</v>
      </c>
      <c r="L7202" t="e">
        <f>VLOOKUP(Table1[[#This Row],[CountryCode]],[1]!Table1[#All],1,FALSE)</f>
        <v>#REF!</v>
      </c>
    </row>
    <row r="7203" spans="1:12" hidden="1" x14ac:dyDescent="0.3">
      <c r="A7203" t="s">
        <v>7</v>
      </c>
      <c r="B7203" t="s">
        <v>8</v>
      </c>
      <c r="C7203" t="s">
        <v>129</v>
      </c>
      <c r="D7203" t="s">
        <v>130</v>
      </c>
      <c r="E7203">
        <v>1962</v>
      </c>
      <c r="F7203" s="1">
        <v>58</v>
      </c>
      <c r="G7203">
        <v>1960</v>
      </c>
      <c r="H7203">
        <f>AVERAGEIFS(Table1[value],Table1[IndicatorCode],Table1[[#This Row],[IndicatorCode]])</f>
        <v>72.66514008620689</v>
      </c>
      <c r="I7203" cm="1">
        <f t="array" ref="I7203">_xlfn.STDEV.P(IF(Table1[IndicatorCode]=Table1[[#This Row],[IndicatorCode]],Table1[value]))</f>
        <v>6.3409496564024987</v>
      </c>
      <c r="J7203">
        <f>(Table1[[#This Row],[value]] - Table1[[#This Row],[mean]]) / Table1[[#This Row],[std_dev]]</f>
        <v>-2.3127671533236982</v>
      </c>
      <c r="K7203">
        <f>AVERAGEIF(Table1[CountryCode],Table1[[#This Row],[CountryCode]],Table1[z-score])</f>
        <v>-0.54328248635894838</v>
      </c>
      <c r="L7203" t="e">
        <f>VLOOKUP(Table1[[#This Row],[CountryCode]],[1]!Table1[#All],1,FALSE)</f>
        <v>#REF!</v>
      </c>
    </row>
    <row r="7204" spans="1:12" hidden="1" x14ac:dyDescent="0.3">
      <c r="A7204" t="s">
        <v>7</v>
      </c>
      <c r="B7204" t="s">
        <v>8</v>
      </c>
      <c r="C7204" t="s">
        <v>129</v>
      </c>
      <c r="D7204" t="s">
        <v>130</v>
      </c>
      <c r="E7204">
        <v>1963</v>
      </c>
      <c r="F7204" s="1">
        <v>59</v>
      </c>
      <c r="G7204">
        <v>1960</v>
      </c>
      <c r="H7204">
        <f>AVERAGEIFS(Table1[value],Table1[IndicatorCode],Table1[[#This Row],[IndicatorCode]])</f>
        <v>72.66514008620689</v>
      </c>
      <c r="I7204" cm="1">
        <f t="array" ref="I7204">_xlfn.STDEV.P(IF(Table1[IndicatorCode]=Table1[[#This Row],[IndicatorCode]],Table1[value]))</f>
        <v>6.3409496564024987</v>
      </c>
      <c r="J7204">
        <f>(Table1[[#This Row],[value]] - Table1[[#This Row],[mean]]) / Table1[[#This Row],[std_dev]]</f>
        <v>-2.1550620690402593</v>
      </c>
      <c r="K7204">
        <f>AVERAGEIF(Table1[CountryCode],Table1[[#This Row],[CountryCode]],Table1[z-score])</f>
        <v>-0.54328248635894838</v>
      </c>
      <c r="L7204" t="e">
        <f>VLOOKUP(Table1[[#This Row],[CountryCode]],[1]!Table1[#All],1,FALSE)</f>
        <v>#REF!</v>
      </c>
    </row>
    <row r="7205" spans="1:12" hidden="1" x14ac:dyDescent="0.3">
      <c r="A7205" t="s">
        <v>7</v>
      </c>
      <c r="B7205" t="s">
        <v>8</v>
      </c>
      <c r="C7205" t="s">
        <v>129</v>
      </c>
      <c r="D7205" t="s">
        <v>130</v>
      </c>
      <c r="E7205">
        <v>1964</v>
      </c>
      <c r="F7205" s="1">
        <v>60</v>
      </c>
      <c r="G7205">
        <v>1960</v>
      </c>
      <c r="H7205">
        <f>AVERAGEIFS(Table1[value],Table1[IndicatorCode],Table1[[#This Row],[IndicatorCode]])</f>
        <v>72.66514008620689</v>
      </c>
      <c r="I7205" cm="1">
        <f t="array" ref="I7205">_xlfn.STDEV.P(IF(Table1[IndicatorCode]=Table1[[#This Row],[IndicatorCode]],Table1[value]))</f>
        <v>6.3409496564024987</v>
      </c>
      <c r="J7205">
        <f>(Table1[[#This Row],[value]] - Table1[[#This Row],[mean]]) / Table1[[#This Row],[std_dev]]</f>
        <v>-1.9973569847568202</v>
      </c>
      <c r="K7205">
        <f>AVERAGEIF(Table1[CountryCode],Table1[[#This Row],[CountryCode]],Table1[z-score])</f>
        <v>-0.54328248635894838</v>
      </c>
      <c r="L7205" t="e">
        <f>VLOOKUP(Table1[[#This Row],[CountryCode]],[1]!Table1[#All],1,FALSE)</f>
        <v>#REF!</v>
      </c>
    </row>
    <row r="7206" spans="1:12" hidden="1" x14ac:dyDescent="0.3">
      <c r="A7206" t="s">
        <v>7</v>
      </c>
      <c r="B7206" t="s">
        <v>8</v>
      </c>
      <c r="C7206" t="s">
        <v>129</v>
      </c>
      <c r="D7206" t="s">
        <v>130</v>
      </c>
      <c r="E7206">
        <v>1965</v>
      </c>
      <c r="F7206" s="1">
        <v>61</v>
      </c>
      <c r="G7206">
        <v>1960</v>
      </c>
      <c r="H7206">
        <f>AVERAGEIFS(Table1[value],Table1[IndicatorCode],Table1[[#This Row],[IndicatorCode]])</f>
        <v>72.66514008620689</v>
      </c>
      <c r="I7206" cm="1">
        <f t="array" ref="I7206">_xlfn.STDEV.P(IF(Table1[IndicatorCode]=Table1[[#This Row],[IndicatorCode]],Table1[value]))</f>
        <v>6.3409496564024987</v>
      </c>
      <c r="J7206">
        <f>(Table1[[#This Row],[value]] - Table1[[#This Row],[mean]]) / Table1[[#This Row],[std_dev]]</f>
        <v>-1.8396519004733811</v>
      </c>
      <c r="K7206">
        <f>AVERAGEIF(Table1[CountryCode],Table1[[#This Row],[CountryCode]],Table1[z-score])</f>
        <v>-0.54328248635894838</v>
      </c>
      <c r="L7206" t="e">
        <f>VLOOKUP(Table1[[#This Row],[CountryCode]],[1]!Table1[#All],1,FALSE)</f>
        <v>#REF!</v>
      </c>
    </row>
    <row r="7207" spans="1:12" hidden="1" x14ac:dyDescent="0.3">
      <c r="A7207" t="s">
        <v>7</v>
      </c>
      <c r="B7207" t="s">
        <v>8</v>
      </c>
      <c r="C7207" t="s">
        <v>129</v>
      </c>
      <c r="D7207" t="s">
        <v>130</v>
      </c>
      <c r="E7207">
        <v>1966</v>
      </c>
      <c r="F7207" s="1">
        <v>62</v>
      </c>
      <c r="G7207">
        <v>1960</v>
      </c>
      <c r="H7207">
        <f>AVERAGEIFS(Table1[value],Table1[IndicatorCode],Table1[[#This Row],[IndicatorCode]])</f>
        <v>72.66514008620689</v>
      </c>
      <c r="I7207" cm="1">
        <f t="array" ref="I7207">_xlfn.STDEV.P(IF(Table1[IndicatorCode]=Table1[[#This Row],[IndicatorCode]],Table1[value]))</f>
        <v>6.3409496564024987</v>
      </c>
      <c r="J7207">
        <f>(Table1[[#This Row],[value]] - Table1[[#This Row],[mean]]) / Table1[[#This Row],[std_dev]]</f>
        <v>-1.681946816189942</v>
      </c>
      <c r="K7207">
        <f>AVERAGEIF(Table1[CountryCode],Table1[[#This Row],[CountryCode]],Table1[z-score])</f>
        <v>-0.54328248635894838</v>
      </c>
      <c r="L7207" t="e">
        <f>VLOOKUP(Table1[[#This Row],[CountryCode]],[1]!Table1[#All],1,FALSE)</f>
        <v>#REF!</v>
      </c>
    </row>
    <row r="7208" spans="1:12" hidden="1" x14ac:dyDescent="0.3">
      <c r="A7208" t="s">
        <v>7</v>
      </c>
      <c r="B7208" t="s">
        <v>8</v>
      </c>
      <c r="C7208" t="s">
        <v>129</v>
      </c>
      <c r="D7208" t="s">
        <v>130</v>
      </c>
      <c r="E7208">
        <v>1967</v>
      </c>
      <c r="F7208" s="1">
        <v>63</v>
      </c>
      <c r="G7208">
        <v>1970</v>
      </c>
      <c r="H7208">
        <f>AVERAGEIFS(Table1[value],Table1[IndicatorCode],Table1[[#This Row],[IndicatorCode]])</f>
        <v>72.66514008620689</v>
      </c>
      <c r="I7208" cm="1">
        <f t="array" ref="I7208">_xlfn.STDEV.P(IF(Table1[IndicatorCode]=Table1[[#This Row],[IndicatorCode]],Table1[value]))</f>
        <v>6.3409496564024987</v>
      </c>
      <c r="J7208">
        <f>(Table1[[#This Row],[value]] - Table1[[#This Row],[mean]]) / Table1[[#This Row],[std_dev]]</f>
        <v>-1.5242417319065029</v>
      </c>
      <c r="K7208">
        <f>AVERAGEIF(Table1[CountryCode],Table1[[#This Row],[CountryCode]],Table1[z-score])</f>
        <v>-0.54328248635894838</v>
      </c>
      <c r="L7208" t="e">
        <f>VLOOKUP(Table1[[#This Row],[CountryCode]],[1]!Table1[#All],1,FALSE)</f>
        <v>#REF!</v>
      </c>
    </row>
    <row r="7209" spans="1:12" hidden="1" x14ac:dyDescent="0.3">
      <c r="A7209" t="s">
        <v>7</v>
      </c>
      <c r="B7209" t="s">
        <v>8</v>
      </c>
      <c r="C7209" t="s">
        <v>129</v>
      </c>
      <c r="D7209" t="s">
        <v>130</v>
      </c>
      <c r="E7209">
        <v>1968</v>
      </c>
      <c r="F7209" s="1">
        <v>64</v>
      </c>
      <c r="G7209">
        <v>1970</v>
      </c>
      <c r="H7209">
        <f>AVERAGEIFS(Table1[value],Table1[IndicatorCode],Table1[[#This Row],[IndicatorCode]])</f>
        <v>72.66514008620689</v>
      </c>
      <c r="I7209" cm="1">
        <f t="array" ref="I7209">_xlfn.STDEV.P(IF(Table1[IndicatorCode]=Table1[[#This Row],[IndicatorCode]],Table1[value]))</f>
        <v>6.3409496564024987</v>
      </c>
      <c r="J7209">
        <f>(Table1[[#This Row],[value]] - Table1[[#This Row],[mean]]) / Table1[[#This Row],[std_dev]]</f>
        <v>-1.3665366476230638</v>
      </c>
      <c r="K7209">
        <f>AVERAGEIF(Table1[CountryCode],Table1[[#This Row],[CountryCode]],Table1[z-score])</f>
        <v>-0.54328248635894838</v>
      </c>
      <c r="L7209" t="e">
        <f>VLOOKUP(Table1[[#This Row],[CountryCode]],[1]!Table1[#All],1,FALSE)</f>
        <v>#REF!</v>
      </c>
    </row>
    <row r="7210" spans="1:12" hidden="1" x14ac:dyDescent="0.3">
      <c r="A7210" t="s">
        <v>7</v>
      </c>
      <c r="B7210" t="s">
        <v>8</v>
      </c>
      <c r="C7210" t="s">
        <v>129</v>
      </c>
      <c r="D7210" t="s">
        <v>130</v>
      </c>
      <c r="E7210">
        <v>1969</v>
      </c>
      <c r="F7210" s="1">
        <v>65</v>
      </c>
      <c r="G7210">
        <v>1970</v>
      </c>
      <c r="H7210">
        <f>AVERAGEIFS(Table1[value],Table1[IndicatorCode],Table1[[#This Row],[IndicatorCode]])</f>
        <v>72.66514008620689</v>
      </c>
      <c r="I7210" cm="1">
        <f t="array" ref="I7210">_xlfn.STDEV.P(IF(Table1[IndicatorCode]=Table1[[#This Row],[IndicatorCode]],Table1[value]))</f>
        <v>6.3409496564024987</v>
      </c>
      <c r="J7210">
        <f>(Table1[[#This Row],[value]] - Table1[[#This Row],[mean]]) / Table1[[#This Row],[std_dev]]</f>
        <v>-1.2088315633396249</v>
      </c>
      <c r="K7210">
        <f>AVERAGEIF(Table1[CountryCode],Table1[[#This Row],[CountryCode]],Table1[z-score])</f>
        <v>-0.54328248635894838</v>
      </c>
      <c r="L7210" t="e">
        <f>VLOOKUP(Table1[[#This Row],[CountryCode]],[1]!Table1[#All],1,FALSE)</f>
        <v>#REF!</v>
      </c>
    </row>
    <row r="7211" spans="1:12" hidden="1" x14ac:dyDescent="0.3">
      <c r="A7211" t="s">
        <v>7</v>
      </c>
      <c r="B7211" t="s">
        <v>8</v>
      </c>
      <c r="C7211" t="s">
        <v>129</v>
      </c>
      <c r="D7211" t="s">
        <v>130</v>
      </c>
      <c r="E7211">
        <v>1970</v>
      </c>
      <c r="F7211" s="1">
        <v>65</v>
      </c>
      <c r="G7211">
        <v>1970</v>
      </c>
      <c r="H7211">
        <f>AVERAGEIFS(Table1[value],Table1[IndicatorCode],Table1[[#This Row],[IndicatorCode]])</f>
        <v>72.66514008620689</v>
      </c>
      <c r="I7211" cm="1">
        <f t="array" ref="I7211">_xlfn.STDEV.P(IF(Table1[IndicatorCode]=Table1[[#This Row],[IndicatorCode]],Table1[value]))</f>
        <v>6.3409496564024987</v>
      </c>
      <c r="J7211">
        <f>(Table1[[#This Row],[value]] - Table1[[#This Row],[mean]]) / Table1[[#This Row],[std_dev]]</f>
        <v>-1.2088315633396249</v>
      </c>
      <c r="K7211">
        <f>AVERAGEIF(Table1[CountryCode],Table1[[#This Row],[CountryCode]],Table1[z-score])</f>
        <v>-0.54328248635894838</v>
      </c>
      <c r="L7211" t="e">
        <f>VLOOKUP(Table1[[#This Row],[CountryCode]],[1]!Table1[#All],1,FALSE)</f>
        <v>#REF!</v>
      </c>
    </row>
    <row r="7212" spans="1:12" hidden="1" x14ac:dyDescent="0.3">
      <c r="A7212" t="s">
        <v>7</v>
      </c>
      <c r="B7212" t="s">
        <v>8</v>
      </c>
      <c r="C7212" t="s">
        <v>129</v>
      </c>
      <c r="D7212" t="s">
        <v>130</v>
      </c>
      <c r="E7212">
        <v>1971</v>
      </c>
      <c r="F7212" s="1">
        <v>66</v>
      </c>
      <c r="G7212">
        <v>1970</v>
      </c>
      <c r="H7212">
        <f>AVERAGEIFS(Table1[value],Table1[IndicatorCode],Table1[[#This Row],[IndicatorCode]])</f>
        <v>72.66514008620689</v>
      </c>
      <c r="I7212" cm="1">
        <f t="array" ref="I7212">_xlfn.STDEV.P(IF(Table1[IndicatorCode]=Table1[[#This Row],[IndicatorCode]],Table1[value]))</f>
        <v>6.3409496564024987</v>
      </c>
      <c r="J7212">
        <f>(Table1[[#This Row],[value]] - Table1[[#This Row],[mean]]) / Table1[[#This Row],[std_dev]]</f>
        <v>-1.0511264790561858</v>
      </c>
      <c r="K7212">
        <f>AVERAGEIF(Table1[CountryCode],Table1[[#This Row],[CountryCode]],Table1[z-score])</f>
        <v>-0.54328248635894838</v>
      </c>
      <c r="L7212" t="e">
        <f>VLOOKUP(Table1[[#This Row],[CountryCode]],[1]!Table1[#All],1,FALSE)</f>
        <v>#REF!</v>
      </c>
    </row>
    <row r="7213" spans="1:12" hidden="1" x14ac:dyDescent="0.3">
      <c r="A7213" t="s">
        <v>7</v>
      </c>
      <c r="B7213" t="s">
        <v>8</v>
      </c>
      <c r="C7213" t="s">
        <v>129</v>
      </c>
      <c r="D7213" t="s">
        <v>130</v>
      </c>
      <c r="E7213">
        <v>1972</v>
      </c>
      <c r="F7213" s="1">
        <v>67</v>
      </c>
      <c r="G7213">
        <v>1970</v>
      </c>
      <c r="H7213">
        <f>AVERAGEIFS(Table1[value],Table1[IndicatorCode],Table1[[#This Row],[IndicatorCode]])</f>
        <v>72.66514008620689</v>
      </c>
      <c r="I7213" cm="1">
        <f t="array" ref="I7213">_xlfn.STDEV.P(IF(Table1[IndicatorCode]=Table1[[#This Row],[IndicatorCode]],Table1[value]))</f>
        <v>6.3409496564024987</v>
      </c>
      <c r="J7213">
        <f>(Table1[[#This Row],[value]] - Table1[[#This Row],[mean]]) / Table1[[#This Row],[std_dev]]</f>
        <v>-0.89342139477274674</v>
      </c>
      <c r="K7213">
        <f>AVERAGEIF(Table1[CountryCode],Table1[[#This Row],[CountryCode]],Table1[z-score])</f>
        <v>-0.54328248635894838</v>
      </c>
      <c r="L7213" t="e">
        <f>VLOOKUP(Table1[[#This Row],[CountryCode]],[1]!Table1[#All],1,FALSE)</f>
        <v>#REF!</v>
      </c>
    </row>
    <row r="7214" spans="1:12" hidden="1" x14ac:dyDescent="0.3">
      <c r="A7214" t="s">
        <v>7</v>
      </c>
      <c r="B7214" t="s">
        <v>8</v>
      </c>
      <c r="C7214" t="s">
        <v>129</v>
      </c>
      <c r="D7214" t="s">
        <v>130</v>
      </c>
      <c r="E7214">
        <v>1973</v>
      </c>
      <c r="F7214" s="1">
        <v>67</v>
      </c>
      <c r="G7214">
        <v>1970</v>
      </c>
      <c r="H7214">
        <f>AVERAGEIFS(Table1[value],Table1[IndicatorCode],Table1[[#This Row],[IndicatorCode]])</f>
        <v>72.66514008620689</v>
      </c>
      <c r="I7214" cm="1">
        <f t="array" ref="I7214">_xlfn.STDEV.P(IF(Table1[IndicatorCode]=Table1[[#This Row],[IndicatorCode]],Table1[value]))</f>
        <v>6.3409496564024987</v>
      </c>
      <c r="J7214">
        <f>(Table1[[#This Row],[value]] - Table1[[#This Row],[mean]]) / Table1[[#This Row],[std_dev]]</f>
        <v>-0.89342139477274674</v>
      </c>
      <c r="K7214">
        <f>AVERAGEIF(Table1[CountryCode],Table1[[#This Row],[CountryCode]],Table1[z-score])</f>
        <v>-0.54328248635894838</v>
      </c>
      <c r="L7214" t="e">
        <f>VLOOKUP(Table1[[#This Row],[CountryCode]],[1]!Table1[#All],1,FALSE)</f>
        <v>#REF!</v>
      </c>
    </row>
    <row r="7215" spans="1:12" hidden="1" x14ac:dyDescent="0.3">
      <c r="A7215" t="s">
        <v>7</v>
      </c>
      <c r="B7215" t="s">
        <v>8</v>
      </c>
      <c r="C7215" t="s">
        <v>129</v>
      </c>
      <c r="D7215" t="s">
        <v>130</v>
      </c>
      <c r="E7215">
        <v>1974</v>
      </c>
      <c r="F7215" s="1">
        <v>68</v>
      </c>
      <c r="G7215">
        <v>1970</v>
      </c>
      <c r="H7215">
        <f>AVERAGEIFS(Table1[value],Table1[IndicatorCode],Table1[[#This Row],[IndicatorCode]])</f>
        <v>72.66514008620689</v>
      </c>
      <c r="I7215" cm="1">
        <f t="array" ref="I7215">_xlfn.STDEV.P(IF(Table1[IndicatorCode]=Table1[[#This Row],[IndicatorCode]],Table1[value]))</f>
        <v>6.3409496564024987</v>
      </c>
      <c r="J7215">
        <f>(Table1[[#This Row],[value]] - Table1[[#This Row],[mean]]) / Table1[[#This Row],[std_dev]]</f>
        <v>-0.73571631048930775</v>
      </c>
      <c r="K7215">
        <f>AVERAGEIF(Table1[CountryCode],Table1[[#This Row],[CountryCode]],Table1[z-score])</f>
        <v>-0.54328248635894838</v>
      </c>
      <c r="L7215" t="e">
        <f>VLOOKUP(Table1[[#This Row],[CountryCode]],[1]!Table1[#All],1,FALSE)</f>
        <v>#REF!</v>
      </c>
    </row>
    <row r="7216" spans="1:12" hidden="1" x14ac:dyDescent="0.3">
      <c r="A7216" t="s">
        <v>7</v>
      </c>
      <c r="B7216" t="s">
        <v>8</v>
      </c>
      <c r="C7216" t="s">
        <v>129</v>
      </c>
      <c r="D7216" t="s">
        <v>130</v>
      </c>
      <c r="E7216">
        <v>1975</v>
      </c>
      <c r="F7216" s="1">
        <v>68</v>
      </c>
      <c r="G7216">
        <v>1970</v>
      </c>
      <c r="H7216">
        <f>AVERAGEIFS(Table1[value],Table1[IndicatorCode],Table1[[#This Row],[IndicatorCode]])</f>
        <v>72.66514008620689</v>
      </c>
      <c r="I7216" cm="1">
        <f t="array" ref="I7216">_xlfn.STDEV.P(IF(Table1[IndicatorCode]=Table1[[#This Row],[IndicatorCode]],Table1[value]))</f>
        <v>6.3409496564024987</v>
      </c>
      <c r="J7216">
        <f>(Table1[[#This Row],[value]] - Table1[[#This Row],[mean]]) / Table1[[#This Row],[std_dev]]</f>
        <v>-0.73571631048930775</v>
      </c>
      <c r="K7216">
        <f>AVERAGEIF(Table1[CountryCode],Table1[[#This Row],[CountryCode]],Table1[z-score])</f>
        <v>-0.54328248635894838</v>
      </c>
      <c r="L7216" t="e">
        <f>VLOOKUP(Table1[[#This Row],[CountryCode]],[1]!Table1[#All],1,FALSE)</f>
        <v>#REF!</v>
      </c>
    </row>
    <row r="7217" spans="1:12" hidden="1" x14ac:dyDescent="0.3">
      <c r="A7217" t="s">
        <v>7</v>
      </c>
      <c r="B7217" t="s">
        <v>8</v>
      </c>
      <c r="C7217" t="s">
        <v>129</v>
      </c>
      <c r="D7217" t="s">
        <v>130</v>
      </c>
      <c r="E7217">
        <v>1976</v>
      </c>
      <c r="F7217" s="1">
        <v>69</v>
      </c>
      <c r="G7217">
        <v>1970</v>
      </c>
      <c r="H7217">
        <f>AVERAGEIFS(Table1[value],Table1[IndicatorCode],Table1[[#This Row],[IndicatorCode]])</f>
        <v>72.66514008620689</v>
      </c>
      <c r="I7217" cm="1">
        <f t="array" ref="I7217">_xlfn.STDEV.P(IF(Table1[IndicatorCode]=Table1[[#This Row],[IndicatorCode]],Table1[value]))</f>
        <v>6.3409496564024987</v>
      </c>
      <c r="J7217">
        <f>(Table1[[#This Row],[value]] - Table1[[#This Row],[mean]]) / Table1[[#This Row],[std_dev]]</f>
        <v>-0.57801122620586864</v>
      </c>
      <c r="K7217">
        <f>AVERAGEIF(Table1[CountryCode],Table1[[#This Row],[CountryCode]],Table1[z-score])</f>
        <v>-0.54328248635894838</v>
      </c>
      <c r="L7217" t="e">
        <f>VLOOKUP(Table1[[#This Row],[CountryCode]],[1]!Table1[#All],1,FALSE)</f>
        <v>#REF!</v>
      </c>
    </row>
    <row r="7218" spans="1:12" hidden="1" x14ac:dyDescent="0.3">
      <c r="A7218" t="s">
        <v>7</v>
      </c>
      <c r="B7218" t="s">
        <v>8</v>
      </c>
      <c r="C7218" t="s">
        <v>129</v>
      </c>
      <c r="D7218" t="s">
        <v>130</v>
      </c>
      <c r="E7218">
        <v>1977</v>
      </c>
      <c r="F7218" s="1">
        <v>69</v>
      </c>
      <c r="G7218">
        <v>1980</v>
      </c>
      <c r="H7218">
        <f>AVERAGEIFS(Table1[value],Table1[IndicatorCode],Table1[[#This Row],[IndicatorCode]])</f>
        <v>72.66514008620689</v>
      </c>
      <c r="I7218" cm="1">
        <f t="array" ref="I7218">_xlfn.STDEV.P(IF(Table1[IndicatorCode]=Table1[[#This Row],[IndicatorCode]],Table1[value]))</f>
        <v>6.3409496564024987</v>
      </c>
      <c r="J7218">
        <f>(Table1[[#This Row],[value]] - Table1[[#This Row],[mean]]) / Table1[[#This Row],[std_dev]]</f>
        <v>-0.57801122620586864</v>
      </c>
      <c r="K7218">
        <f>AVERAGEIF(Table1[CountryCode],Table1[[#This Row],[CountryCode]],Table1[z-score])</f>
        <v>-0.54328248635894838</v>
      </c>
      <c r="L7218" t="e">
        <f>VLOOKUP(Table1[[#This Row],[CountryCode]],[1]!Table1[#All],1,FALSE)</f>
        <v>#REF!</v>
      </c>
    </row>
    <row r="7219" spans="1:12" hidden="1" x14ac:dyDescent="0.3">
      <c r="A7219" t="s">
        <v>7</v>
      </c>
      <c r="B7219" t="s">
        <v>8</v>
      </c>
      <c r="C7219" t="s">
        <v>129</v>
      </c>
      <c r="D7219" t="s">
        <v>130</v>
      </c>
      <c r="E7219">
        <v>1978</v>
      </c>
      <c r="F7219" s="1">
        <v>69</v>
      </c>
      <c r="G7219">
        <v>1980</v>
      </c>
      <c r="H7219">
        <f>AVERAGEIFS(Table1[value],Table1[IndicatorCode],Table1[[#This Row],[IndicatorCode]])</f>
        <v>72.66514008620689</v>
      </c>
      <c r="I7219" cm="1">
        <f t="array" ref="I7219">_xlfn.STDEV.P(IF(Table1[IndicatorCode]=Table1[[#This Row],[IndicatorCode]],Table1[value]))</f>
        <v>6.3409496564024987</v>
      </c>
      <c r="J7219">
        <f>(Table1[[#This Row],[value]] - Table1[[#This Row],[mean]]) / Table1[[#This Row],[std_dev]]</f>
        <v>-0.57801122620586864</v>
      </c>
      <c r="K7219">
        <f>AVERAGEIF(Table1[CountryCode],Table1[[#This Row],[CountryCode]],Table1[z-score])</f>
        <v>-0.54328248635894838</v>
      </c>
      <c r="L7219" t="e">
        <f>VLOOKUP(Table1[[#This Row],[CountryCode]],[1]!Table1[#All],1,FALSE)</f>
        <v>#REF!</v>
      </c>
    </row>
    <row r="7220" spans="1:12" hidden="1" x14ac:dyDescent="0.3">
      <c r="A7220" t="s">
        <v>7</v>
      </c>
      <c r="B7220" t="s">
        <v>8</v>
      </c>
      <c r="C7220" t="s">
        <v>129</v>
      </c>
      <c r="D7220" t="s">
        <v>130</v>
      </c>
      <c r="E7220">
        <v>1979</v>
      </c>
      <c r="F7220" s="1">
        <v>70</v>
      </c>
      <c r="G7220">
        <v>1980</v>
      </c>
      <c r="H7220">
        <f>AVERAGEIFS(Table1[value],Table1[IndicatorCode],Table1[[#This Row],[IndicatorCode]])</f>
        <v>72.66514008620689</v>
      </c>
      <c r="I7220" cm="1">
        <f t="array" ref="I7220">_xlfn.STDEV.P(IF(Table1[IndicatorCode]=Table1[[#This Row],[IndicatorCode]],Table1[value]))</f>
        <v>6.3409496564024987</v>
      </c>
      <c r="J7220">
        <f>(Table1[[#This Row],[value]] - Table1[[#This Row],[mean]]) / Table1[[#This Row],[std_dev]]</f>
        <v>-0.4203061419224296</v>
      </c>
      <c r="K7220">
        <f>AVERAGEIF(Table1[CountryCode],Table1[[#This Row],[CountryCode]],Table1[z-score])</f>
        <v>-0.54328248635894838</v>
      </c>
      <c r="L7220" t="e">
        <f>VLOOKUP(Table1[[#This Row],[CountryCode]],[1]!Table1[#All],1,FALSE)</f>
        <v>#REF!</v>
      </c>
    </row>
    <row r="7221" spans="1:12" hidden="1" x14ac:dyDescent="0.3">
      <c r="A7221" t="s">
        <v>7</v>
      </c>
      <c r="B7221" t="s">
        <v>8</v>
      </c>
      <c r="C7221" t="s">
        <v>129</v>
      </c>
      <c r="D7221" t="s">
        <v>130</v>
      </c>
      <c r="E7221">
        <v>1980</v>
      </c>
      <c r="F7221" s="1">
        <v>70</v>
      </c>
      <c r="G7221">
        <v>1980</v>
      </c>
      <c r="H7221">
        <f>AVERAGEIFS(Table1[value],Table1[IndicatorCode],Table1[[#This Row],[IndicatorCode]])</f>
        <v>72.66514008620689</v>
      </c>
      <c r="I7221" cm="1">
        <f t="array" ref="I7221">_xlfn.STDEV.P(IF(Table1[IndicatorCode]=Table1[[#This Row],[IndicatorCode]],Table1[value]))</f>
        <v>6.3409496564024987</v>
      </c>
      <c r="J7221">
        <f>(Table1[[#This Row],[value]] - Table1[[#This Row],[mean]]) / Table1[[#This Row],[std_dev]]</f>
        <v>-0.4203061419224296</v>
      </c>
      <c r="K7221">
        <f>AVERAGEIF(Table1[CountryCode],Table1[[#This Row],[CountryCode]],Table1[z-score])</f>
        <v>-0.54328248635894838</v>
      </c>
      <c r="L7221" t="e">
        <f>VLOOKUP(Table1[[#This Row],[CountryCode]],[1]!Table1[#All],1,FALSE)</f>
        <v>#REF!</v>
      </c>
    </row>
    <row r="7222" spans="1:12" hidden="1" x14ac:dyDescent="0.3">
      <c r="A7222" t="s">
        <v>7</v>
      </c>
      <c r="B7222" t="s">
        <v>8</v>
      </c>
      <c r="C7222" t="s">
        <v>129</v>
      </c>
      <c r="D7222" t="s">
        <v>130</v>
      </c>
      <c r="E7222">
        <v>1981</v>
      </c>
      <c r="F7222" s="1">
        <v>70</v>
      </c>
      <c r="G7222">
        <v>1980</v>
      </c>
      <c r="H7222">
        <f>AVERAGEIFS(Table1[value],Table1[IndicatorCode],Table1[[#This Row],[IndicatorCode]])</f>
        <v>72.66514008620689</v>
      </c>
      <c r="I7222" cm="1">
        <f t="array" ref="I7222">_xlfn.STDEV.P(IF(Table1[IndicatorCode]=Table1[[#This Row],[IndicatorCode]],Table1[value]))</f>
        <v>6.3409496564024987</v>
      </c>
      <c r="J7222">
        <f>(Table1[[#This Row],[value]] - Table1[[#This Row],[mean]]) / Table1[[#This Row],[std_dev]]</f>
        <v>-0.4203061419224296</v>
      </c>
      <c r="K7222">
        <f>AVERAGEIF(Table1[CountryCode],Table1[[#This Row],[CountryCode]],Table1[z-score])</f>
        <v>-0.54328248635894838</v>
      </c>
      <c r="L7222" t="e">
        <f>VLOOKUP(Table1[[#This Row],[CountryCode]],[1]!Table1[#All],1,FALSE)</f>
        <v>#REF!</v>
      </c>
    </row>
    <row r="7223" spans="1:12" hidden="1" x14ac:dyDescent="0.3">
      <c r="A7223" t="s">
        <v>7</v>
      </c>
      <c r="B7223" t="s">
        <v>8</v>
      </c>
      <c r="C7223" t="s">
        <v>129</v>
      </c>
      <c r="D7223" t="s">
        <v>130</v>
      </c>
      <c r="E7223">
        <v>1982</v>
      </c>
      <c r="F7223" s="1">
        <v>70</v>
      </c>
      <c r="G7223">
        <v>1980</v>
      </c>
      <c r="H7223">
        <f>AVERAGEIFS(Table1[value],Table1[IndicatorCode],Table1[[#This Row],[IndicatorCode]])</f>
        <v>72.66514008620689</v>
      </c>
      <c r="I7223" cm="1">
        <f t="array" ref="I7223">_xlfn.STDEV.P(IF(Table1[IndicatorCode]=Table1[[#This Row],[IndicatorCode]],Table1[value]))</f>
        <v>6.3409496564024987</v>
      </c>
      <c r="J7223">
        <f>(Table1[[#This Row],[value]] - Table1[[#This Row],[mean]]) / Table1[[#This Row],[std_dev]]</f>
        <v>-0.4203061419224296</v>
      </c>
      <c r="K7223">
        <f>AVERAGEIF(Table1[CountryCode],Table1[[#This Row],[CountryCode]],Table1[z-score])</f>
        <v>-0.54328248635894838</v>
      </c>
      <c r="L7223" t="e">
        <f>VLOOKUP(Table1[[#This Row],[CountryCode]],[1]!Table1[#All],1,FALSE)</f>
        <v>#REF!</v>
      </c>
    </row>
    <row r="7224" spans="1:12" hidden="1" x14ac:dyDescent="0.3">
      <c r="A7224" t="s">
        <v>7</v>
      </c>
      <c r="B7224" t="s">
        <v>8</v>
      </c>
      <c r="C7224" t="s">
        <v>129</v>
      </c>
      <c r="D7224" t="s">
        <v>130</v>
      </c>
      <c r="E7224">
        <v>1983</v>
      </c>
      <c r="F7224" s="1">
        <v>71</v>
      </c>
      <c r="G7224">
        <v>1980</v>
      </c>
      <c r="H7224">
        <f>AVERAGEIFS(Table1[value],Table1[IndicatorCode],Table1[[#This Row],[IndicatorCode]])</f>
        <v>72.66514008620689</v>
      </c>
      <c r="I7224" cm="1">
        <f t="array" ref="I7224">_xlfn.STDEV.P(IF(Table1[IndicatorCode]=Table1[[#This Row],[IndicatorCode]],Table1[value]))</f>
        <v>6.3409496564024987</v>
      </c>
      <c r="J7224">
        <f>(Table1[[#This Row],[value]] - Table1[[#This Row],[mean]]) / Table1[[#This Row],[std_dev]]</f>
        <v>-0.2626010576389905</v>
      </c>
      <c r="K7224">
        <f>AVERAGEIF(Table1[CountryCode],Table1[[#This Row],[CountryCode]],Table1[z-score])</f>
        <v>-0.54328248635894838</v>
      </c>
      <c r="L7224" t="e">
        <f>VLOOKUP(Table1[[#This Row],[CountryCode]],[1]!Table1[#All],1,FALSE)</f>
        <v>#REF!</v>
      </c>
    </row>
    <row r="7225" spans="1:12" hidden="1" x14ac:dyDescent="0.3">
      <c r="A7225" t="s">
        <v>7</v>
      </c>
      <c r="B7225" t="s">
        <v>8</v>
      </c>
      <c r="C7225" t="s">
        <v>129</v>
      </c>
      <c r="D7225" t="s">
        <v>130</v>
      </c>
      <c r="E7225">
        <v>1984</v>
      </c>
      <c r="F7225" s="1">
        <v>71</v>
      </c>
      <c r="G7225">
        <v>1980</v>
      </c>
      <c r="H7225">
        <f>AVERAGEIFS(Table1[value],Table1[IndicatorCode],Table1[[#This Row],[IndicatorCode]])</f>
        <v>72.66514008620689</v>
      </c>
      <c r="I7225" cm="1">
        <f t="array" ref="I7225">_xlfn.STDEV.P(IF(Table1[IndicatorCode]=Table1[[#This Row],[IndicatorCode]],Table1[value]))</f>
        <v>6.3409496564024987</v>
      </c>
      <c r="J7225">
        <f>(Table1[[#This Row],[value]] - Table1[[#This Row],[mean]]) / Table1[[#This Row],[std_dev]]</f>
        <v>-0.2626010576389905</v>
      </c>
      <c r="K7225">
        <f>AVERAGEIF(Table1[CountryCode],Table1[[#This Row],[CountryCode]],Table1[z-score])</f>
        <v>-0.54328248635894838</v>
      </c>
      <c r="L7225" t="e">
        <f>VLOOKUP(Table1[[#This Row],[CountryCode]],[1]!Table1[#All],1,FALSE)</f>
        <v>#REF!</v>
      </c>
    </row>
    <row r="7226" spans="1:12" hidden="1" x14ac:dyDescent="0.3">
      <c r="A7226" t="s">
        <v>7</v>
      </c>
      <c r="B7226" t="s">
        <v>8</v>
      </c>
      <c r="C7226" t="s">
        <v>129</v>
      </c>
      <c r="D7226" t="s">
        <v>130</v>
      </c>
      <c r="E7226">
        <v>1985</v>
      </c>
      <c r="F7226" s="1">
        <v>71</v>
      </c>
      <c r="G7226">
        <v>1980</v>
      </c>
      <c r="H7226">
        <f>AVERAGEIFS(Table1[value],Table1[IndicatorCode],Table1[[#This Row],[IndicatorCode]])</f>
        <v>72.66514008620689</v>
      </c>
      <c r="I7226" cm="1">
        <f t="array" ref="I7226">_xlfn.STDEV.P(IF(Table1[IndicatorCode]=Table1[[#This Row],[IndicatorCode]],Table1[value]))</f>
        <v>6.3409496564024987</v>
      </c>
      <c r="J7226">
        <f>(Table1[[#This Row],[value]] - Table1[[#This Row],[mean]]) / Table1[[#This Row],[std_dev]]</f>
        <v>-0.2626010576389905</v>
      </c>
      <c r="K7226">
        <f>AVERAGEIF(Table1[CountryCode],Table1[[#This Row],[CountryCode]],Table1[z-score])</f>
        <v>-0.54328248635894838</v>
      </c>
      <c r="L7226" t="e">
        <f>VLOOKUP(Table1[[#This Row],[CountryCode]],[1]!Table1[#All],1,FALSE)</f>
        <v>#REF!</v>
      </c>
    </row>
    <row r="7227" spans="1:12" hidden="1" x14ac:dyDescent="0.3">
      <c r="A7227" t="s">
        <v>7</v>
      </c>
      <c r="B7227" t="s">
        <v>8</v>
      </c>
      <c r="C7227" t="s">
        <v>129</v>
      </c>
      <c r="D7227" t="s">
        <v>130</v>
      </c>
      <c r="E7227">
        <v>1986</v>
      </c>
      <c r="F7227" s="1">
        <v>72</v>
      </c>
      <c r="G7227">
        <v>1980</v>
      </c>
      <c r="H7227">
        <f>AVERAGEIFS(Table1[value],Table1[IndicatorCode],Table1[[#This Row],[IndicatorCode]])</f>
        <v>72.66514008620689</v>
      </c>
      <c r="I7227" cm="1">
        <f t="array" ref="I7227">_xlfn.STDEV.P(IF(Table1[IndicatorCode]=Table1[[#This Row],[IndicatorCode]],Table1[value]))</f>
        <v>6.3409496564024987</v>
      </c>
      <c r="J7227">
        <f>(Table1[[#This Row],[value]] - Table1[[#This Row],[mean]]) / Table1[[#This Row],[std_dev]]</f>
        <v>-0.10489597335555145</v>
      </c>
      <c r="K7227">
        <f>AVERAGEIF(Table1[CountryCode],Table1[[#This Row],[CountryCode]],Table1[z-score])</f>
        <v>-0.54328248635894838</v>
      </c>
      <c r="L7227" t="e">
        <f>VLOOKUP(Table1[[#This Row],[CountryCode]],[1]!Table1[#All],1,FALSE)</f>
        <v>#REF!</v>
      </c>
    </row>
    <row r="7228" spans="1:12" hidden="1" x14ac:dyDescent="0.3">
      <c r="A7228" t="s">
        <v>7</v>
      </c>
      <c r="B7228" t="s">
        <v>8</v>
      </c>
      <c r="C7228" t="s">
        <v>129</v>
      </c>
      <c r="D7228" t="s">
        <v>130</v>
      </c>
      <c r="E7228">
        <v>1987</v>
      </c>
      <c r="F7228" s="1">
        <v>72</v>
      </c>
      <c r="G7228">
        <v>1990</v>
      </c>
      <c r="H7228">
        <f>AVERAGEIFS(Table1[value],Table1[IndicatorCode],Table1[[#This Row],[IndicatorCode]])</f>
        <v>72.66514008620689</v>
      </c>
      <c r="I7228" cm="1">
        <f t="array" ref="I7228">_xlfn.STDEV.P(IF(Table1[IndicatorCode]=Table1[[#This Row],[IndicatorCode]],Table1[value]))</f>
        <v>6.3409496564024987</v>
      </c>
      <c r="J7228">
        <f>(Table1[[#This Row],[value]] - Table1[[#This Row],[mean]]) / Table1[[#This Row],[std_dev]]</f>
        <v>-0.10489597335555145</v>
      </c>
      <c r="K7228">
        <f>AVERAGEIF(Table1[CountryCode],Table1[[#This Row],[CountryCode]],Table1[z-score])</f>
        <v>-0.54328248635894838</v>
      </c>
      <c r="L7228" t="e">
        <f>VLOOKUP(Table1[[#This Row],[CountryCode]],[1]!Table1[#All],1,FALSE)</f>
        <v>#REF!</v>
      </c>
    </row>
    <row r="7229" spans="1:12" hidden="1" x14ac:dyDescent="0.3">
      <c r="A7229" t="s">
        <v>7</v>
      </c>
      <c r="B7229" t="s">
        <v>8</v>
      </c>
      <c r="C7229" t="s">
        <v>129</v>
      </c>
      <c r="D7229" t="s">
        <v>130</v>
      </c>
      <c r="E7229">
        <v>1988</v>
      </c>
      <c r="F7229" s="1">
        <v>72</v>
      </c>
      <c r="G7229">
        <v>1990</v>
      </c>
      <c r="H7229">
        <f>AVERAGEIFS(Table1[value],Table1[IndicatorCode],Table1[[#This Row],[IndicatorCode]])</f>
        <v>72.66514008620689</v>
      </c>
      <c r="I7229" cm="1">
        <f t="array" ref="I7229">_xlfn.STDEV.P(IF(Table1[IndicatorCode]=Table1[[#This Row],[IndicatorCode]],Table1[value]))</f>
        <v>6.3409496564024987</v>
      </c>
      <c r="J7229">
        <f>(Table1[[#This Row],[value]] - Table1[[#This Row],[mean]]) / Table1[[#This Row],[std_dev]]</f>
        <v>-0.10489597335555145</v>
      </c>
      <c r="K7229">
        <f>AVERAGEIF(Table1[CountryCode],Table1[[#This Row],[CountryCode]],Table1[z-score])</f>
        <v>-0.54328248635894838</v>
      </c>
      <c r="L7229" t="e">
        <f>VLOOKUP(Table1[[#This Row],[CountryCode]],[1]!Table1[#All],1,FALSE)</f>
        <v>#REF!</v>
      </c>
    </row>
    <row r="7230" spans="1:12" hidden="1" x14ac:dyDescent="0.3">
      <c r="A7230" t="s">
        <v>7</v>
      </c>
      <c r="B7230" t="s">
        <v>8</v>
      </c>
      <c r="C7230" t="s">
        <v>129</v>
      </c>
      <c r="D7230" t="s">
        <v>130</v>
      </c>
      <c r="E7230">
        <v>1989</v>
      </c>
      <c r="F7230" s="1">
        <v>72</v>
      </c>
      <c r="G7230">
        <v>1990</v>
      </c>
      <c r="H7230">
        <f>AVERAGEIFS(Table1[value],Table1[IndicatorCode],Table1[[#This Row],[IndicatorCode]])</f>
        <v>72.66514008620689</v>
      </c>
      <c r="I7230" cm="1">
        <f t="array" ref="I7230">_xlfn.STDEV.P(IF(Table1[IndicatorCode]=Table1[[#This Row],[IndicatorCode]],Table1[value]))</f>
        <v>6.3409496564024987</v>
      </c>
      <c r="J7230">
        <f>(Table1[[#This Row],[value]] - Table1[[#This Row],[mean]]) / Table1[[#This Row],[std_dev]]</f>
        <v>-0.10489597335555145</v>
      </c>
      <c r="K7230">
        <f>AVERAGEIF(Table1[CountryCode],Table1[[#This Row],[CountryCode]],Table1[z-score])</f>
        <v>-0.54328248635894838</v>
      </c>
      <c r="L7230" t="e">
        <f>VLOOKUP(Table1[[#This Row],[CountryCode]],[1]!Table1[#All],1,FALSE)</f>
        <v>#REF!</v>
      </c>
    </row>
    <row r="7231" spans="1:12" hidden="1" x14ac:dyDescent="0.3">
      <c r="A7231" t="s">
        <v>7</v>
      </c>
      <c r="B7231" t="s">
        <v>8</v>
      </c>
      <c r="C7231" t="s">
        <v>129</v>
      </c>
      <c r="D7231" t="s">
        <v>130</v>
      </c>
      <c r="E7231">
        <v>1990</v>
      </c>
      <c r="F7231" s="1">
        <v>73</v>
      </c>
      <c r="G7231">
        <v>1990</v>
      </c>
      <c r="H7231">
        <f>AVERAGEIFS(Table1[value],Table1[IndicatorCode],Table1[[#This Row],[IndicatorCode]])</f>
        <v>72.66514008620689</v>
      </c>
      <c r="I7231" cm="1">
        <f t="array" ref="I7231">_xlfn.STDEV.P(IF(Table1[IndicatorCode]=Table1[[#This Row],[IndicatorCode]],Table1[value]))</f>
        <v>6.3409496564024987</v>
      </c>
      <c r="J7231">
        <f>(Table1[[#This Row],[value]] - Table1[[#This Row],[mean]]) / Table1[[#This Row],[std_dev]]</f>
        <v>5.2809110927887599E-2</v>
      </c>
      <c r="K7231">
        <f>AVERAGEIF(Table1[CountryCode],Table1[[#This Row],[CountryCode]],Table1[z-score])</f>
        <v>-0.54328248635894838</v>
      </c>
      <c r="L7231" t="e">
        <f>VLOOKUP(Table1[[#This Row],[CountryCode]],[1]!Table1[#All],1,FALSE)</f>
        <v>#REF!</v>
      </c>
    </row>
    <row r="7232" spans="1:12" hidden="1" x14ac:dyDescent="0.3">
      <c r="A7232" t="s">
        <v>7</v>
      </c>
      <c r="B7232" t="s">
        <v>8</v>
      </c>
      <c r="C7232" t="s">
        <v>129</v>
      </c>
      <c r="D7232" t="s">
        <v>130</v>
      </c>
      <c r="E7232">
        <v>1991</v>
      </c>
      <c r="F7232" s="1">
        <v>73</v>
      </c>
      <c r="G7232">
        <v>1990</v>
      </c>
      <c r="H7232">
        <f>AVERAGEIFS(Table1[value],Table1[IndicatorCode],Table1[[#This Row],[IndicatorCode]])</f>
        <v>72.66514008620689</v>
      </c>
      <c r="I7232" cm="1">
        <f t="array" ref="I7232">_xlfn.STDEV.P(IF(Table1[IndicatorCode]=Table1[[#This Row],[IndicatorCode]],Table1[value]))</f>
        <v>6.3409496564024987</v>
      </c>
      <c r="J7232">
        <f>(Table1[[#This Row],[value]] - Table1[[#This Row],[mean]]) / Table1[[#This Row],[std_dev]]</f>
        <v>5.2809110927887599E-2</v>
      </c>
      <c r="K7232">
        <f>AVERAGEIF(Table1[CountryCode],Table1[[#This Row],[CountryCode]],Table1[z-score])</f>
        <v>-0.54328248635894838</v>
      </c>
      <c r="L7232" t="e">
        <f>VLOOKUP(Table1[[#This Row],[CountryCode]],[1]!Table1[#All],1,FALSE)</f>
        <v>#REF!</v>
      </c>
    </row>
    <row r="7233" spans="1:12" hidden="1" x14ac:dyDescent="0.3">
      <c r="A7233" t="s">
        <v>7</v>
      </c>
      <c r="B7233" t="s">
        <v>8</v>
      </c>
      <c r="C7233" t="s">
        <v>129</v>
      </c>
      <c r="D7233" t="s">
        <v>130</v>
      </c>
      <c r="E7233">
        <v>1992</v>
      </c>
      <c r="F7233" s="1">
        <v>73</v>
      </c>
      <c r="G7233">
        <v>1990</v>
      </c>
      <c r="H7233">
        <f>AVERAGEIFS(Table1[value],Table1[IndicatorCode],Table1[[#This Row],[IndicatorCode]])</f>
        <v>72.66514008620689</v>
      </c>
      <c r="I7233" cm="1">
        <f t="array" ref="I7233">_xlfn.STDEV.P(IF(Table1[IndicatorCode]=Table1[[#This Row],[IndicatorCode]],Table1[value]))</f>
        <v>6.3409496564024987</v>
      </c>
      <c r="J7233">
        <f>(Table1[[#This Row],[value]] - Table1[[#This Row],[mean]]) / Table1[[#This Row],[std_dev]]</f>
        <v>5.2809110927887599E-2</v>
      </c>
      <c r="K7233">
        <f>AVERAGEIF(Table1[CountryCode],Table1[[#This Row],[CountryCode]],Table1[z-score])</f>
        <v>-0.54328248635894838</v>
      </c>
      <c r="L7233" t="e">
        <f>VLOOKUP(Table1[[#This Row],[CountryCode]],[1]!Table1[#All],1,FALSE)</f>
        <v>#REF!</v>
      </c>
    </row>
    <row r="7234" spans="1:12" hidden="1" x14ac:dyDescent="0.3">
      <c r="A7234" t="s">
        <v>7</v>
      </c>
      <c r="B7234" t="s">
        <v>8</v>
      </c>
      <c r="C7234" t="s">
        <v>129</v>
      </c>
      <c r="D7234" t="s">
        <v>130</v>
      </c>
      <c r="E7234">
        <v>1993</v>
      </c>
      <c r="F7234" s="1">
        <v>74</v>
      </c>
      <c r="G7234">
        <v>1990</v>
      </c>
      <c r="H7234">
        <f>AVERAGEIFS(Table1[value],Table1[IndicatorCode],Table1[[#This Row],[IndicatorCode]])</f>
        <v>72.66514008620689</v>
      </c>
      <c r="I7234" cm="1">
        <f t="array" ref="I7234">_xlfn.STDEV.P(IF(Table1[IndicatorCode]=Table1[[#This Row],[IndicatorCode]],Table1[value]))</f>
        <v>6.3409496564024987</v>
      </c>
      <c r="J7234">
        <f>(Table1[[#This Row],[value]] - Table1[[#This Row],[mean]]) / Table1[[#This Row],[std_dev]]</f>
        <v>0.21051419521132667</v>
      </c>
      <c r="K7234">
        <f>AVERAGEIF(Table1[CountryCode],Table1[[#This Row],[CountryCode]],Table1[z-score])</f>
        <v>-0.54328248635894838</v>
      </c>
      <c r="L7234" t="e">
        <f>VLOOKUP(Table1[[#This Row],[CountryCode]],[1]!Table1[#All],1,FALSE)</f>
        <v>#REF!</v>
      </c>
    </row>
    <row r="7235" spans="1:12" hidden="1" x14ac:dyDescent="0.3">
      <c r="A7235" t="s">
        <v>7</v>
      </c>
      <c r="B7235" t="s">
        <v>8</v>
      </c>
      <c r="C7235" t="s">
        <v>129</v>
      </c>
      <c r="D7235" t="s">
        <v>130</v>
      </c>
      <c r="E7235">
        <v>1994</v>
      </c>
      <c r="F7235" s="1">
        <v>74</v>
      </c>
      <c r="G7235">
        <v>1990</v>
      </c>
      <c r="H7235">
        <f>AVERAGEIFS(Table1[value],Table1[IndicatorCode],Table1[[#This Row],[IndicatorCode]])</f>
        <v>72.66514008620689</v>
      </c>
      <c r="I7235" cm="1">
        <f t="array" ref="I7235">_xlfn.STDEV.P(IF(Table1[IndicatorCode]=Table1[[#This Row],[IndicatorCode]],Table1[value]))</f>
        <v>6.3409496564024987</v>
      </c>
      <c r="J7235">
        <f>(Table1[[#This Row],[value]] - Table1[[#This Row],[mean]]) / Table1[[#This Row],[std_dev]]</f>
        <v>0.21051419521132667</v>
      </c>
      <c r="K7235">
        <f>AVERAGEIF(Table1[CountryCode],Table1[[#This Row],[CountryCode]],Table1[z-score])</f>
        <v>-0.54328248635894838</v>
      </c>
      <c r="L7235" t="e">
        <f>VLOOKUP(Table1[[#This Row],[CountryCode]],[1]!Table1[#All],1,FALSE)</f>
        <v>#REF!</v>
      </c>
    </row>
    <row r="7236" spans="1:12" hidden="1" x14ac:dyDescent="0.3">
      <c r="A7236" t="s">
        <v>7</v>
      </c>
      <c r="B7236" t="s">
        <v>8</v>
      </c>
      <c r="C7236" t="s">
        <v>129</v>
      </c>
      <c r="D7236" t="s">
        <v>130</v>
      </c>
      <c r="E7236">
        <v>1995</v>
      </c>
      <c r="F7236" s="1">
        <v>74</v>
      </c>
      <c r="G7236">
        <v>1990</v>
      </c>
      <c r="H7236">
        <f>AVERAGEIFS(Table1[value],Table1[IndicatorCode],Table1[[#This Row],[IndicatorCode]])</f>
        <v>72.66514008620689</v>
      </c>
      <c r="I7236" cm="1">
        <f t="array" ref="I7236">_xlfn.STDEV.P(IF(Table1[IndicatorCode]=Table1[[#This Row],[IndicatorCode]],Table1[value]))</f>
        <v>6.3409496564024987</v>
      </c>
      <c r="J7236">
        <f>(Table1[[#This Row],[value]] - Table1[[#This Row],[mean]]) / Table1[[#This Row],[std_dev]]</f>
        <v>0.21051419521132667</v>
      </c>
      <c r="K7236">
        <f>AVERAGEIF(Table1[CountryCode],Table1[[#This Row],[CountryCode]],Table1[z-score])</f>
        <v>-0.54328248635894838</v>
      </c>
      <c r="L7236" t="e">
        <f>VLOOKUP(Table1[[#This Row],[CountryCode]],[1]!Table1[#All],1,FALSE)</f>
        <v>#REF!</v>
      </c>
    </row>
    <row r="7237" spans="1:12" hidden="1" x14ac:dyDescent="0.3">
      <c r="A7237" t="s">
        <v>7</v>
      </c>
      <c r="B7237" t="s">
        <v>8</v>
      </c>
      <c r="C7237" t="s">
        <v>129</v>
      </c>
      <c r="D7237" t="s">
        <v>130</v>
      </c>
      <c r="E7237">
        <v>1996</v>
      </c>
      <c r="F7237" s="1">
        <v>74</v>
      </c>
      <c r="G7237">
        <v>1990</v>
      </c>
      <c r="H7237">
        <f>AVERAGEIFS(Table1[value],Table1[IndicatorCode],Table1[[#This Row],[IndicatorCode]])</f>
        <v>72.66514008620689</v>
      </c>
      <c r="I7237" cm="1">
        <f t="array" ref="I7237">_xlfn.STDEV.P(IF(Table1[IndicatorCode]=Table1[[#This Row],[IndicatorCode]],Table1[value]))</f>
        <v>6.3409496564024987</v>
      </c>
      <c r="J7237">
        <f>(Table1[[#This Row],[value]] - Table1[[#This Row],[mean]]) / Table1[[#This Row],[std_dev]]</f>
        <v>0.21051419521132667</v>
      </c>
      <c r="K7237">
        <f>AVERAGEIF(Table1[CountryCode],Table1[[#This Row],[CountryCode]],Table1[z-score])</f>
        <v>-0.54328248635894838</v>
      </c>
      <c r="L7237" t="e">
        <f>VLOOKUP(Table1[[#This Row],[CountryCode]],[1]!Table1[#All],1,FALSE)</f>
        <v>#REF!</v>
      </c>
    </row>
    <row r="7238" spans="1:12" hidden="1" x14ac:dyDescent="0.3">
      <c r="A7238" t="s">
        <v>7</v>
      </c>
      <c r="B7238" t="s">
        <v>8</v>
      </c>
      <c r="C7238" t="s">
        <v>129</v>
      </c>
      <c r="D7238" t="s">
        <v>130</v>
      </c>
      <c r="E7238">
        <v>1997</v>
      </c>
      <c r="F7238" s="1">
        <v>73</v>
      </c>
      <c r="G7238">
        <v>2000</v>
      </c>
      <c r="H7238">
        <f>AVERAGEIFS(Table1[value],Table1[IndicatorCode],Table1[[#This Row],[IndicatorCode]])</f>
        <v>72.66514008620689</v>
      </c>
      <c r="I7238" cm="1">
        <f t="array" ref="I7238">_xlfn.STDEV.P(IF(Table1[IndicatorCode]=Table1[[#This Row],[IndicatorCode]],Table1[value]))</f>
        <v>6.3409496564024987</v>
      </c>
      <c r="J7238">
        <f>(Table1[[#This Row],[value]] - Table1[[#This Row],[mean]]) / Table1[[#This Row],[std_dev]]</f>
        <v>5.2809110927887599E-2</v>
      </c>
      <c r="K7238">
        <f>AVERAGEIF(Table1[CountryCode],Table1[[#This Row],[CountryCode]],Table1[z-score])</f>
        <v>-0.54328248635894838</v>
      </c>
      <c r="L7238" t="e">
        <f>VLOOKUP(Table1[[#This Row],[CountryCode]],[1]!Table1[#All],1,FALSE)</f>
        <v>#REF!</v>
      </c>
    </row>
    <row r="7239" spans="1:12" hidden="1" x14ac:dyDescent="0.3">
      <c r="A7239" t="s">
        <v>7</v>
      </c>
      <c r="B7239" t="s">
        <v>8</v>
      </c>
      <c r="C7239" t="s">
        <v>129</v>
      </c>
      <c r="D7239" t="s">
        <v>130</v>
      </c>
      <c r="E7239">
        <v>1998</v>
      </c>
      <c r="F7239" s="1">
        <v>74</v>
      </c>
      <c r="G7239">
        <v>2000</v>
      </c>
      <c r="H7239">
        <f>AVERAGEIFS(Table1[value],Table1[IndicatorCode],Table1[[#This Row],[IndicatorCode]])</f>
        <v>72.66514008620689</v>
      </c>
      <c r="I7239" cm="1">
        <f t="array" ref="I7239">_xlfn.STDEV.P(IF(Table1[IndicatorCode]=Table1[[#This Row],[IndicatorCode]],Table1[value]))</f>
        <v>6.3409496564024987</v>
      </c>
      <c r="J7239">
        <f>(Table1[[#This Row],[value]] - Table1[[#This Row],[mean]]) / Table1[[#This Row],[std_dev]]</f>
        <v>0.21051419521132667</v>
      </c>
      <c r="K7239">
        <f>AVERAGEIF(Table1[CountryCode],Table1[[#This Row],[CountryCode]],Table1[z-score])</f>
        <v>-0.54328248635894838</v>
      </c>
      <c r="L7239" t="e">
        <f>VLOOKUP(Table1[[#This Row],[CountryCode]],[1]!Table1[#All],1,FALSE)</f>
        <v>#REF!</v>
      </c>
    </row>
    <row r="7240" spans="1:12" hidden="1" x14ac:dyDescent="0.3">
      <c r="A7240" t="s">
        <v>7</v>
      </c>
      <c r="B7240" t="s">
        <v>8</v>
      </c>
      <c r="C7240" t="s">
        <v>129</v>
      </c>
      <c r="D7240" t="s">
        <v>130</v>
      </c>
      <c r="E7240">
        <v>1999</v>
      </c>
      <c r="F7240" s="1">
        <v>75</v>
      </c>
      <c r="G7240">
        <v>2000</v>
      </c>
      <c r="H7240">
        <f>AVERAGEIFS(Table1[value],Table1[IndicatorCode],Table1[[#This Row],[IndicatorCode]])</f>
        <v>72.66514008620689</v>
      </c>
      <c r="I7240" cm="1">
        <f t="array" ref="I7240">_xlfn.STDEV.P(IF(Table1[IndicatorCode]=Table1[[#This Row],[IndicatorCode]],Table1[value]))</f>
        <v>6.3409496564024987</v>
      </c>
      <c r="J7240">
        <f>(Table1[[#This Row],[value]] - Table1[[#This Row],[mean]]) / Table1[[#This Row],[std_dev]]</f>
        <v>0.36821927949476574</v>
      </c>
      <c r="K7240">
        <f>AVERAGEIF(Table1[CountryCode],Table1[[#This Row],[CountryCode]],Table1[z-score])</f>
        <v>-0.54328248635894838</v>
      </c>
      <c r="L7240" t="e">
        <f>VLOOKUP(Table1[[#This Row],[CountryCode]],[1]!Table1[#All],1,FALSE)</f>
        <v>#REF!</v>
      </c>
    </row>
    <row r="7241" spans="1:12" hidden="1" x14ac:dyDescent="0.3">
      <c r="A7241" t="s">
        <v>7</v>
      </c>
      <c r="B7241" t="s">
        <v>8</v>
      </c>
      <c r="C7241" t="s">
        <v>129</v>
      </c>
      <c r="D7241" t="s">
        <v>130</v>
      </c>
      <c r="E7241">
        <v>2000</v>
      </c>
      <c r="F7241" s="1">
        <v>75</v>
      </c>
      <c r="G7241">
        <v>2000</v>
      </c>
      <c r="H7241">
        <f>AVERAGEIFS(Table1[value],Table1[IndicatorCode],Table1[[#This Row],[IndicatorCode]])</f>
        <v>72.66514008620689</v>
      </c>
      <c r="I7241" cm="1">
        <f t="array" ref="I7241">_xlfn.STDEV.P(IF(Table1[IndicatorCode]=Table1[[#This Row],[IndicatorCode]],Table1[value]))</f>
        <v>6.3409496564024987</v>
      </c>
      <c r="J7241">
        <f>(Table1[[#This Row],[value]] - Table1[[#This Row],[mean]]) / Table1[[#This Row],[std_dev]]</f>
        <v>0.36821927949476574</v>
      </c>
      <c r="K7241">
        <f>AVERAGEIF(Table1[CountryCode],Table1[[#This Row],[CountryCode]],Table1[z-score])</f>
        <v>-0.54328248635894838</v>
      </c>
      <c r="L7241" t="e">
        <f>VLOOKUP(Table1[[#This Row],[CountryCode]],[1]!Table1[#All],1,FALSE)</f>
        <v>#REF!</v>
      </c>
    </row>
    <row r="7242" spans="1:12" hidden="1" x14ac:dyDescent="0.3">
      <c r="A7242" t="s">
        <v>7</v>
      </c>
      <c r="B7242" t="s">
        <v>8</v>
      </c>
      <c r="C7242" t="s">
        <v>129</v>
      </c>
      <c r="D7242" t="s">
        <v>130</v>
      </c>
      <c r="E7242">
        <v>2001</v>
      </c>
      <c r="F7242" s="1">
        <v>75</v>
      </c>
      <c r="G7242">
        <v>2000</v>
      </c>
      <c r="H7242">
        <f>AVERAGEIFS(Table1[value],Table1[IndicatorCode],Table1[[#This Row],[IndicatorCode]])</f>
        <v>72.66514008620689</v>
      </c>
      <c r="I7242" cm="1">
        <f t="array" ref="I7242">_xlfn.STDEV.P(IF(Table1[IndicatorCode]=Table1[[#This Row],[IndicatorCode]],Table1[value]))</f>
        <v>6.3409496564024987</v>
      </c>
      <c r="J7242">
        <f>(Table1[[#This Row],[value]] - Table1[[#This Row],[mean]]) / Table1[[#This Row],[std_dev]]</f>
        <v>0.36821927949476574</v>
      </c>
      <c r="K7242">
        <f>AVERAGEIF(Table1[CountryCode],Table1[[#This Row],[CountryCode]],Table1[z-score])</f>
        <v>-0.54328248635894838</v>
      </c>
      <c r="L7242" t="e">
        <f>VLOOKUP(Table1[[#This Row],[CountryCode]],[1]!Table1[#All],1,FALSE)</f>
        <v>#REF!</v>
      </c>
    </row>
    <row r="7243" spans="1:12" hidden="1" x14ac:dyDescent="0.3">
      <c r="A7243" t="s">
        <v>7</v>
      </c>
      <c r="B7243" t="s">
        <v>8</v>
      </c>
      <c r="C7243" t="s">
        <v>129</v>
      </c>
      <c r="D7243" t="s">
        <v>130</v>
      </c>
      <c r="E7243">
        <v>2002</v>
      </c>
      <c r="F7243" s="1">
        <v>75</v>
      </c>
      <c r="G7243">
        <v>2000</v>
      </c>
      <c r="H7243">
        <f>AVERAGEIFS(Table1[value],Table1[IndicatorCode],Table1[[#This Row],[IndicatorCode]])</f>
        <v>72.66514008620689</v>
      </c>
      <c r="I7243" cm="1">
        <f t="array" ref="I7243">_xlfn.STDEV.P(IF(Table1[IndicatorCode]=Table1[[#This Row],[IndicatorCode]],Table1[value]))</f>
        <v>6.3409496564024987</v>
      </c>
      <c r="J7243">
        <f>(Table1[[#This Row],[value]] - Table1[[#This Row],[mean]]) / Table1[[#This Row],[std_dev]]</f>
        <v>0.36821927949476574</v>
      </c>
      <c r="K7243">
        <f>AVERAGEIF(Table1[CountryCode],Table1[[#This Row],[CountryCode]],Table1[z-score])</f>
        <v>-0.54328248635894838</v>
      </c>
      <c r="L7243" t="e">
        <f>VLOOKUP(Table1[[#This Row],[CountryCode]],[1]!Table1[#All],1,FALSE)</f>
        <v>#REF!</v>
      </c>
    </row>
    <row r="7244" spans="1:12" hidden="1" x14ac:dyDescent="0.3">
      <c r="A7244" t="s">
        <v>7</v>
      </c>
      <c r="B7244" t="s">
        <v>8</v>
      </c>
      <c r="C7244" t="s">
        <v>129</v>
      </c>
      <c r="D7244" t="s">
        <v>130</v>
      </c>
      <c r="E7244">
        <v>2003</v>
      </c>
      <c r="F7244" s="1">
        <v>76</v>
      </c>
      <c r="G7244">
        <v>2000</v>
      </c>
      <c r="H7244">
        <f>AVERAGEIFS(Table1[value],Table1[IndicatorCode],Table1[[#This Row],[IndicatorCode]])</f>
        <v>72.66514008620689</v>
      </c>
      <c r="I7244" cm="1">
        <f t="array" ref="I7244">_xlfn.STDEV.P(IF(Table1[IndicatorCode]=Table1[[#This Row],[IndicatorCode]],Table1[value]))</f>
        <v>6.3409496564024987</v>
      </c>
      <c r="J7244">
        <f>(Table1[[#This Row],[value]] - Table1[[#This Row],[mean]]) / Table1[[#This Row],[std_dev]]</f>
        <v>0.52592436377820473</v>
      </c>
      <c r="K7244">
        <f>AVERAGEIF(Table1[CountryCode],Table1[[#This Row],[CountryCode]],Table1[z-score])</f>
        <v>-0.54328248635894838</v>
      </c>
      <c r="L7244" t="e">
        <f>VLOOKUP(Table1[[#This Row],[CountryCode]],[1]!Table1[#All],1,FALSE)</f>
        <v>#REF!</v>
      </c>
    </row>
    <row r="7245" spans="1:12" hidden="1" x14ac:dyDescent="0.3">
      <c r="A7245" t="s">
        <v>7</v>
      </c>
      <c r="B7245" t="s">
        <v>8</v>
      </c>
      <c r="C7245" t="s">
        <v>129</v>
      </c>
      <c r="D7245" t="s">
        <v>130</v>
      </c>
      <c r="E7245">
        <v>2004</v>
      </c>
      <c r="F7245" s="1">
        <v>76</v>
      </c>
      <c r="G7245">
        <v>2000</v>
      </c>
      <c r="H7245">
        <f>AVERAGEIFS(Table1[value],Table1[IndicatorCode],Table1[[#This Row],[IndicatorCode]])</f>
        <v>72.66514008620689</v>
      </c>
      <c r="I7245" cm="1">
        <f t="array" ref="I7245">_xlfn.STDEV.P(IF(Table1[IndicatorCode]=Table1[[#This Row],[IndicatorCode]],Table1[value]))</f>
        <v>6.3409496564024987</v>
      </c>
      <c r="J7245">
        <f>(Table1[[#This Row],[value]] - Table1[[#This Row],[mean]]) / Table1[[#This Row],[std_dev]]</f>
        <v>0.52592436377820473</v>
      </c>
      <c r="K7245">
        <f>AVERAGEIF(Table1[CountryCode],Table1[[#This Row],[CountryCode]],Table1[z-score])</f>
        <v>-0.54328248635894838</v>
      </c>
      <c r="L7245" t="e">
        <f>VLOOKUP(Table1[[#This Row],[CountryCode]],[1]!Table1[#All],1,FALSE)</f>
        <v>#REF!</v>
      </c>
    </row>
    <row r="7246" spans="1:12" hidden="1" x14ac:dyDescent="0.3">
      <c r="A7246" t="s">
        <v>7</v>
      </c>
      <c r="B7246" t="s">
        <v>8</v>
      </c>
      <c r="C7246" t="s">
        <v>129</v>
      </c>
      <c r="D7246" t="s">
        <v>130</v>
      </c>
      <c r="E7246">
        <v>2005</v>
      </c>
      <c r="F7246" s="1">
        <v>76</v>
      </c>
      <c r="G7246">
        <v>2000</v>
      </c>
      <c r="H7246">
        <f>AVERAGEIFS(Table1[value],Table1[IndicatorCode],Table1[[#This Row],[IndicatorCode]])</f>
        <v>72.66514008620689</v>
      </c>
      <c r="I7246" cm="1">
        <f t="array" ref="I7246">_xlfn.STDEV.P(IF(Table1[IndicatorCode]=Table1[[#This Row],[IndicatorCode]],Table1[value]))</f>
        <v>6.3409496564024987</v>
      </c>
      <c r="J7246">
        <f>(Table1[[#This Row],[value]] - Table1[[#This Row],[mean]]) / Table1[[#This Row],[std_dev]]</f>
        <v>0.52592436377820473</v>
      </c>
      <c r="K7246">
        <f>AVERAGEIF(Table1[CountryCode],Table1[[#This Row],[CountryCode]],Table1[z-score])</f>
        <v>-0.54328248635894838</v>
      </c>
      <c r="L7246" t="e">
        <f>VLOOKUP(Table1[[#This Row],[CountryCode]],[1]!Table1[#All],1,FALSE)</f>
        <v>#REF!</v>
      </c>
    </row>
    <row r="7247" spans="1:12" hidden="1" x14ac:dyDescent="0.3">
      <c r="A7247" t="s">
        <v>7</v>
      </c>
      <c r="B7247" t="s">
        <v>8</v>
      </c>
      <c r="C7247" t="s">
        <v>129</v>
      </c>
      <c r="D7247" t="s">
        <v>130</v>
      </c>
      <c r="E7247">
        <v>2006</v>
      </c>
      <c r="F7247" s="1">
        <v>77</v>
      </c>
      <c r="G7247">
        <v>2000</v>
      </c>
      <c r="H7247">
        <f>AVERAGEIFS(Table1[value],Table1[IndicatorCode],Table1[[#This Row],[IndicatorCode]])</f>
        <v>72.66514008620689</v>
      </c>
      <c r="I7247" cm="1">
        <f t="array" ref="I7247">_xlfn.STDEV.P(IF(Table1[IndicatorCode]=Table1[[#This Row],[IndicatorCode]],Table1[value]))</f>
        <v>6.3409496564024987</v>
      </c>
      <c r="J7247">
        <f>(Table1[[#This Row],[value]] - Table1[[#This Row],[mean]]) / Table1[[#This Row],[std_dev]]</f>
        <v>0.68362944806164383</v>
      </c>
      <c r="K7247">
        <f>AVERAGEIF(Table1[CountryCode],Table1[[#This Row],[CountryCode]],Table1[z-score])</f>
        <v>-0.54328248635894838</v>
      </c>
      <c r="L7247" t="e">
        <f>VLOOKUP(Table1[[#This Row],[CountryCode]],[1]!Table1[#All],1,FALSE)</f>
        <v>#REF!</v>
      </c>
    </row>
    <row r="7248" spans="1:12" hidden="1" x14ac:dyDescent="0.3">
      <c r="A7248" t="s">
        <v>7</v>
      </c>
      <c r="B7248" t="s">
        <v>8</v>
      </c>
      <c r="C7248" t="s">
        <v>129</v>
      </c>
      <c r="D7248" t="s">
        <v>130</v>
      </c>
      <c r="E7248">
        <v>2007</v>
      </c>
      <c r="F7248" s="1">
        <v>78</v>
      </c>
      <c r="G7248">
        <v>2010</v>
      </c>
      <c r="H7248">
        <f>AVERAGEIFS(Table1[value],Table1[IndicatorCode],Table1[[#This Row],[IndicatorCode]])</f>
        <v>72.66514008620689</v>
      </c>
      <c r="I7248" cm="1">
        <f t="array" ref="I7248">_xlfn.STDEV.P(IF(Table1[IndicatorCode]=Table1[[#This Row],[IndicatorCode]],Table1[value]))</f>
        <v>6.3409496564024987</v>
      </c>
      <c r="J7248">
        <f>(Table1[[#This Row],[value]] - Table1[[#This Row],[mean]]) / Table1[[#This Row],[std_dev]]</f>
        <v>0.84133453234508293</v>
      </c>
      <c r="K7248">
        <f>AVERAGEIF(Table1[CountryCode],Table1[[#This Row],[CountryCode]],Table1[z-score])</f>
        <v>-0.54328248635894838</v>
      </c>
      <c r="L7248" t="e">
        <f>VLOOKUP(Table1[[#This Row],[CountryCode]],[1]!Table1[#All],1,FALSE)</f>
        <v>#REF!</v>
      </c>
    </row>
    <row r="7249" spans="1:12" hidden="1" x14ac:dyDescent="0.3">
      <c r="A7249" t="s">
        <v>7</v>
      </c>
      <c r="B7249" t="s">
        <v>8</v>
      </c>
      <c r="C7249" t="s">
        <v>129</v>
      </c>
      <c r="D7249" t="s">
        <v>130</v>
      </c>
      <c r="E7249">
        <v>2008</v>
      </c>
      <c r="F7249" s="1">
        <v>78</v>
      </c>
      <c r="G7249">
        <v>2010</v>
      </c>
      <c r="H7249">
        <f>AVERAGEIFS(Table1[value],Table1[IndicatorCode],Table1[[#This Row],[IndicatorCode]])</f>
        <v>72.66514008620689</v>
      </c>
      <c r="I7249" cm="1">
        <f t="array" ref="I7249">_xlfn.STDEV.P(IF(Table1[IndicatorCode]=Table1[[#This Row],[IndicatorCode]],Table1[value]))</f>
        <v>6.3409496564024987</v>
      </c>
      <c r="J7249">
        <f>(Table1[[#This Row],[value]] - Table1[[#This Row],[mean]]) / Table1[[#This Row],[std_dev]]</f>
        <v>0.84133453234508293</v>
      </c>
      <c r="K7249">
        <f>AVERAGEIF(Table1[CountryCode],Table1[[#This Row],[CountryCode]],Table1[z-score])</f>
        <v>-0.54328248635894838</v>
      </c>
      <c r="L7249" t="e">
        <f>VLOOKUP(Table1[[#This Row],[CountryCode]],[1]!Table1[#All],1,FALSE)</f>
        <v>#REF!</v>
      </c>
    </row>
    <row r="7250" spans="1:12" hidden="1" x14ac:dyDescent="0.3">
      <c r="A7250" t="s">
        <v>7</v>
      </c>
      <c r="B7250" t="s">
        <v>8</v>
      </c>
      <c r="C7250" t="s">
        <v>129</v>
      </c>
      <c r="D7250" t="s">
        <v>130</v>
      </c>
      <c r="E7250">
        <v>2009</v>
      </c>
      <c r="F7250" s="1">
        <v>79</v>
      </c>
      <c r="G7250">
        <v>2010</v>
      </c>
      <c r="H7250">
        <f>AVERAGEIFS(Table1[value],Table1[IndicatorCode],Table1[[#This Row],[IndicatorCode]])</f>
        <v>72.66514008620689</v>
      </c>
      <c r="I7250" cm="1">
        <f t="array" ref="I7250">_xlfn.STDEV.P(IF(Table1[IndicatorCode]=Table1[[#This Row],[IndicatorCode]],Table1[value]))</f>
        <v>6.3409496564024987</v>
      </c>
      <c r="J7250">
        <f>(Table1[[#This Row],[value]] - Table1[[#This Row],[mean]]) / Table1[[#This Row],[std_dev]]</f>
        <v>0.99903961662852192</v>
      </c>
      <c r="K7250">
        <f>AVERAGEIF(Table1[CountryCode],Table1[[#This Row],[CountryCode]],Table1[z-score])</f>
        <v>-0.54328248635894838</v>
      </c>
      <c r="L7250" t="e">
        <f>VLOOKUP(Table1[[#This Row],[CountryCode]],[1]!Table1[#All],1,FALSE)</f>
        <v>#REF!</v>
      </c>
    </row>
    <row r="7251" spans="1:12" hidden="1" x14ac:dyDescent="0.3">
      <c r="A7251" t="s">
        <v>7</v>
      </c>
      <c r="B7251" t="s">
        <v>8</v>
      </c>
      <c r="C7251" t="s">
        <v>129</v>
      </c>
      <c r="D7251" t="s">
        <v>130</v>
      </c>
      <c r="E7251">
        <v>2010</v>
      </c>
      <c r="F7251" s="1">
        <v>78</v>
      </c>
      <c r="G7251">
        <v>2010</v>
      </c>
      <c r="H7251">
        <f>AVERAGEIFS(Table1[value],Table1[IndicatorCode],Table1[[#This Row],[IndicatorCode]])</f>
        <v>72.66514008620689</v>
      </c>
      <c r="I7251" cm="1">
        <f t="array" ref="I7251">_xlfn.STDEV.P(IF(Table1[IndicatorCode]=Table1[[#This Row],[IndicatorCode]],Table1[value]))</f>
        <v>6.3409496564024987</v>
      </c>
      <c r="J7251">
        <f>(Table1[[#This Row],[value]] - Table1[[#This Row],[mean]]) / Table1[[#This Row],[std_dev]]</f>
        <v>0.84133453234508293</v>
      </c>
      <c r="K7251">
        <f>AVERAGEIF(Table1[CountryCode],Table1[[#This Row],[CountryCode]],Table1[z-score])</f>
        <v>-0.54328248635894838</v>
      </c>
      <c r="L7251" t="e">
        <f>VLOOKUP(Table1[[#This Row],[CountryCode]],[1]!Table1[#All],1,FALSE)</f>
        <v>#REF!</v>
      </c>
    </row>
    <row r="7252" spans="1:12" hidden="1" x14ac:dyDescent="0.3">
      <c r="A7252" t="s">
        <v>7</v>
      </c>
      <c r="B7252" t="s">
        <v>8</v>
      </c>
      <c r="C7252" t="s">
        <v>129</v>
      </c>
      <c r="D7252" t="s">
        <v>130</v>
      </c>
      <c r="E7252">
        <v>2011</v>
      </c>
      <c r="F7252" s="1">
        <v>78</v>
      </c>
      <c r="G7252">
        <v>2010</v>
      </c>
      <c r="H7252">
        <f>AVERAGEIFS(Table1[value],Table1[IndicatorCode],Table1[[#This Row],[IndicatorCode]])</f>
        <v>72.66514008620689</v>
      </c>
      <c r="I7252" cm="1">
        <f t="array" ref="I7252">_xlfn.STDEV.P(IF(Table1[IndicatorCode]=Table1[[#This Row],[IndicatorCode]],Table1[value]))</f>
        <v>6.3409496564024987</v>
      </c>
      <c r="J7252">
        <f>(Table1[[#This Row],[value]] - Table1[[#This Row],[mean]]) / Table1[[#This Row],[std_dev]]</f>
        <v>0.84133453234508293</v>
      </c>
      <c r="K7252">
        <f>AVERAGEIF(Table1[CountryCode],Table1[[#This Row],[CountryCode]],Table1[z-score])</f>
        <v>-0.54328248635894838</v>
      </c>
      <c r="L7252" t="e">
        <f>VLOOKUP(Table1[[#This Row],[CountryCode]],[1]!Table1[#All],1,FALSE)</f>
        <v>#REF!</v>
      </c>
    </row>
    <row r="7253" spans="1:12" hidden="1" x14ac:dyDescent="0.3">
      <c r="A7253" t="s">
        <v>7</v>
      </c>
      <c r="B7253" t="s">
        <v>8</v>
      </c>
      <c r="C7253" t="s">
        <v>129</v>
      </c>
      <c r="D7253" t="s">
        <v>130</v>
      </c>
      <c r="E7253">
        <v>2012</v>
      </c>
      <c r="F7253" s="1">
        <v>78</v>
      </c>
      <c r="G7253">
        <v>2010</v>
      </c>
      <c r="H7253">
        <f>AVERAGEIFS(Table1[value],Table1[IndicatorCode],Table1[[#This Row],[IndicatorCode]])</f>
        <v>72.66514008620689</v>
      </c>
      <c r="I7253" cm="1">
        <f t="array" ref="I7253">_xlfn.STDEV.P(IF(Table1[IndicatorCode]=Table1[[#This Row],[IndicatorCode]],Table1[value]))</f>
        <v>6.3409496564024987</v>
      </c>
      <c r="J7253">
        <f>(Table1[[#This Row],[value]] - Table1[[#This Row],[mean]]) / Table1[[#This Row],[std_dev]]</f>
        <v>0.84133453234508293</v>
      </c>
      <c r="K7253">
        <f>AVERAGEIF(Table1[CountryCode],Table1[[#This Row],[CountryCode]],Table1[z-score])</f>
        <v>-0.54328248635894838</v>
      </c>
      <c r="L7253" t="e">
        <f>VLOOKUP(Table1[[#This Row],[CountryCode]],[1]!Table1[#All],1,FALSE)</f>
        <v>#REF!</v>
      </c>
    </row>
    <row r="7254" spans="1:12" hidden="1" x14ac:dyDescent="0.3">
      <c r="A7254" t="s">
        <v>7</v>
      </c>
      <c r="B7254" t="s">
        <v>8</v>
      </c>
      <c r="C7254" t="s">
        <v>129</v>
      </c>
      <c r="D7254" t="s">
        <v>130</v>
      </c>
      <c r="E7254">
        <v>2013</v>
      </c>
      <c r="F7254" s="1">
        <v>78</v>
      </c>
      <c r="G7254">
        <v>2010</v>
      </c>
      <c r="H7254">
        <f>AVERAGEIFS(Table1[value],Table1[IndicatorCode],Table1[[#This Row],[IndicatorCode]])</f>
        <v>72.66514008620689</v>
      </c>
      <c r="I7254" cm="1">
        <f t="array" ref="I7254">_xlfn.STDEV.P(IF(Table1[IndicatorCode]=Table1[[#This Row],[IndicatorCode]],Table1[value]))</f>
        <v>6.3409496564024987</v>
      </c>
      <c r="J7254">
        <f>(Table1[[#This Row],[value]] - Table1[[#This Row],[mean]]) / Table1[[#This Row],[std_dev]]</f>
        <v>0.84133453234508293</v>
      </c>
      <c r="K7254">
        <f>AVERAGEIF(Table1[CountryCode],Table1[[#This Row],[CountryCode]],Table1[z-score])</f>
        <v>-0.54328248635894838</v>
      </c>
      <c r="L7254" t="e">
        <f>VLOOKUP(Table1[[#This Row],[CountryCode]],[1]!Table1[#All],1,FALSE)</f>
        <v>#REF!</v>
      </c>
    </row>
    <row r="7255" spans="1:12" hidden="1" x14ac:dyDescent="0.3">
      <c r="A7255" t="s">
        <v>7</v>
      </c>
      <c r="B7255" t="s">
        <v>8</v>
      </c>
      <c r="C7255" t="s">
        <v>129</v>
      </c>
      <c r="D7255" t="s">
        <v>130</v>
      </c>
      <c r="E7255">
        <v>2014</v>
      </c>
      <c r="F7255" s="1">
        <v>78</v>
      </c>
      <c r="G7255">
        <v>2010</v>
      </c>
      <c r="H7255">
        <f>AVERAGEIFS(Table1[value],Table1[IndicatorCode],Table1[[#This Row],[IndicatorCode]])</f>
        <v>72.66514008620689</v>
      </c>
      <c r="I7255" cm="1">
        <f t="array" ref="I7255">_xlfn.STDEV.P(IF(Table1[IndicatorCode]=Table1[[#This Row],[IndicatorCode]],Table1[value]))</f>
        <v>6.3409496564024987</v>
      </c>
      <c r="J7255">
        <f>(Table1[[#This Row],[value]] - Table1[[#This Row],[mean]]) / Table1[[#This Row],[std_dev]]</f>
        <v>0.84133453234508293</v>
      </c>
      <c r="K7255">
        <f>AVERAGEIF(Table1[CountryCode],Table1[[#This Row],[CountryCode]],Table1[z-score])</f>
        <v>-0.54328248635894838</v>
      </c>
      <c r="L7255" t="e">
        <f>VLOOKUP(Table1[[#This Row],[CountryCode]],[1]!Table1[#All],1,FALSE)</f>
        <v>#REF!</v>
      </c>
    </row>
    <row r="7256" spans="1:12" hidden="1" x14ac:dyDescent="0.3">
      <c r="A7256" t="s">
        <v>7</v>
      </c>
      <c r="B7256" t="s">
        <v>8</v>
      </c>
      <c r="C7256" t="s">
        <v>129</v>
      </c>
      <c r="D7256" t="s">
        <v>130</v>
      </c>
      <c r="E7256">
        <v>2015</v>
      </c>
      <c r="F7256" s="1">
        <v>78</v>
      </c>
      <c r="G7256">
        <v>2010</v>
      </c>
      <c r="H7256">
        <f>AVERAGEIFS(Table1[value],Table1[IndicatorCode],Table1[[#This Row],[IndicatorCode]])</f>
        <v>72.66514008620689</v>
      </c>
      <c r="I7256" cm="1">
        <f t="array" ref="I7256">_xlfn.STDEV.P(IF(Table1[IndicatorCode]=Table1[[#This Row],[IndicatorCode]],Table1[value]))</f>
        <v>6.3409496564024987</v>
      </c>
      <c r="J7256">
        <f>(Table1[[#This Row],[value]] - Table1[[#This Row],[mean]]) / Table1[[#This Row],[std_dev]]</f>
        <v>0.84133453234508293</v>
      </c>
      <c r="K7256">
        <f>AVERAGEIF(Table1[CountryCode],Table1[[#This Row],[CountryCode]],Table1[z-score])</f>
        <v>-0.54328248635894838</v>
      </c>
      <c r="L7256" t="e">
        <f>VLOOKUP(Table1[[#This Row],[CountryCode]],[1]!Table1[#All],1,FALSE)</f>
        <v>#REF!</v>
      </c>
    </row>
    <row r="7257" spans="1:12" hidden="1" x14ac:dyDescent="0.3">
      <c r="A7257" t="s">
        <v>7</v>
      </c>
      <c r="B7257" t="s">
        <v>8</v>
      </c>
      <c r="C7257" t="s">
        <v>129</v>
      </c>
      <c r="D7257" t="s">
        <v>130</v>
      </c>
      <c r="E7257">
        <v>2016</v>
      </c>
      <c r="F7257" s="1">
        <v>79</v>
      </c>
      <c r="G7257">
        <v>2010</v>
      </c>
      <c r="H7257">
        <f>AVERAGEIFS(Table1[value],Table1[IndicatorCode],Table1[[#This Row],[IndicatorCode]])</f>
        <v>72.66514008620689</v>
      </c>
      <c r="I7257" cm="1">
        <f t="array" ref="I7257">_xlfn.STDEV.P(IF(Table1[IndicatorCode]=Table1[[#This Row],[IndicatorCode]],Table1[value]))</f>
        <v>6.3409496564024987</v>
      </c>
      <c r="J7257">
        <f>(Table1[[#This Row],[value]] - Table1[[#This Row],[mean]]) / Table1[[#This Row],[std_dev]]</f>
        <v>0.99903961662852192</v>
      </c>
      <c r="K7257">
        <f>AVERAGEIF(Table1[CountryCode],Table1[[#This Row],[CountryCode]],Table1[z-score])</f>
        <v>-0.54328248635894838</v>
      </c>
      <c r="L7257" t="e">
        <f>VLOOKUP(Table1[[#This Row],[CountryCode]],[1]!Table1[#All],1,FALSE)</f>
        <v>#REF!</v>
      </c>
    </row>
    <row r="7258" spans="1:12" hidden="1" x14ac:dyDescent="0.3">
      <c r="A7258" t="s">
        <v>7</v>
      </c>
      <c r="B7258" t="s">
        <v>8</v>
      </c>
      <c r="C7258" t="s">
        <v>129</v>
      </c>
      <c r="D7258" t="s">
        <v>130</v>
      </c>
      <c r="E7258">
        <v>2017</v>
      </c>
      <c r="F7258" s="1">
        <v>79</v>
      </c>
      <c r="G7258">
        <v>2020</v>
      </c>
      <c r="H7258">
        <f>AVERAGEIFS(Table1[value],Table1[IndicatorCode],Table1[[#This Row],[IndicatorCode]])</f>
        <v>72.66514008620689</v>
      </c>
      <c r="I7258" cm="1">
        <f t="array" ref="I7258">_xlfn.STDEV.P(IF(Table1[IndicatorCode]=Table1[[#This Row],[IndicatorCode]],Table1[value]))</f>
        <v>6.3409496564024987</v>
      </c>
      <c r="J7258">
        <f>(Table1[[#This Row],[value]] - Table1[[#This Row],[mean]]) / Table1[[#This Row],[std_dev]]</f>
        <v>0.99903961662852192</v>
      </c>
      <c r="K7258">
        <f>AVERAGEIF(Table1[CountryCode],Table1[[#This Row],[CountryCode]],Table1[z-score])</f>
        <v>-0.54328248635894838</v>
      </c>
      <c r="L7258" t="e">
        <f>VLOOKUP(Table1[[#This Row],[CountryCode]],[1]!Table1[#All],1,FALSE)</f>
        <v>#REF!</v>
      </c>
    </row>
    <row r="7259" spans="1:12" hidden="1" x14ac:dyDescent="0.3">
      <c r="A7259" t="s">
        <v>7</v>
      </c>
      <c r="B7259" t="s">
        <v>8</v>
      </c>
      <c r="C7259" t="s">
        <v>129</v>
      </c>
      <c r="D7259" t="s">
        <v>130</v>
      </c>
      <c r="E7259">
        <v>2018</v>
      </c>
      <c r="F7259" s="1">
        <v>79</v>
      </c>
      <c r="G7259">
        <v>2020</v>
      </c>
      <c r="H7259">
        <f>AVERAGEIFS(Table1[value],Table1[IndicatorCode],Table1[[#This Row],[IndicatorCode]])</f>
        <v>72.66514008620689</v>
      </c>
      <c r="I7259" cm="1">
        <f t="array" ref="I7259">_xlfn.STDEV.P(IF(Table1[IndicatorCode]=Table1[[#This Row],[IndicatorCode]],Table1[value]))</f>
        <v>6.3409496564024987</v>
      </c>
      <c r="J7259">
        <f>(Table1[[#This Row],[value]] - Table1[[#This Row],[mean]]) / Table1[[#This Row],[std_dev]]</f>
        <v>0.99903961662852192</v>
      </c>
      <c r="K7259">
        <f>AVERAGEIF(Table1[CountryCode],Table1[[#This Row],[CountryCode]],Table1[z-score])</f>
        <v>-0.54328248635894838</v>
      </c>
      <c r="L7259" t="e">
        <f>VLOOKUP(Table1[[#This Row],[CountryCode]],[1]!Table1[#All],1,FALSE)</f>
        <v>#REF!</v>
      </c>
    </row>
    <row r="7260" spans="1:12" hidden="1" x14ac:dyDescent="0.3">
      <c r="A7260" t="s">
        <v>7</v>
      </c>
      <c r="B7260" t="s">
        <v>8</v>
      </c>
      <c r="C7260" t="s">
        <v>129</v>
      </c>
      <c r="D7260" t="s">
        <v>130</v>
      </c>
      <c r="E7260">
        <v>2019</v>
      </c>
      <c r="F7260" s="1">
        <v>79</v>
      </c>
      <c r="G7260">
        <v>2020</v>
      </c>
      <c r="H7260">
        <f>AVERAGEIFS(Table1[value],Table1[IndicatorCode],Table1[[#This Row],[IndicatorCode]])</f>
        <v>72.66514008620689</v>
      </c>
      <c r="I7260" cm="1">
        <f t="array" ref="I7260">_xlfn.STDEV.P(IF(Table1[IndicatorCode]=Table1[[#This Row],[IndicatorCode]],Table1[value]))</f>
        <v>6.3409496564024987</v>
      </c>
      <c r="J7260">
        <f>(Table1[[#This Row],[value]] - Table1[[#This Row],[mean]]) / Table1[[#This Row],[std_dev]]</f>
        <v>0.99903961662852192</v>
      </c>
      <c r="K7260">
        <f>AVERAGEIF(Table1[CountryCode],Table1[[#This Row],[CountryCode]],Table1[z-score])</f>
        <v>-0.54328248635894838</v>
      </c>
      <c r="L7260" t="e">
        <f>VLOOKUP(Table1[[#This Row],[CountryCode]],[1]!Table1[#All],1,FALSE)</f>
        <v>#REF!</v>
      </c>
    </row>
    <row r="7261" spans="1:12" x14ac:dyDescent="0.3">
      <c r="A7261" t="s">
        <v>7</v>
      </c>
      <c r="B7261" t="s">
        <v>8</v>
      </c>
      <c r="C7261" t="s">
        <v>129</v>
      </c>
      <c r="D7261" t="s">
        <v>130</v>
      </c>
      <c r="E7261">
        <v>2020</v>
      </c>
      <c r="F7261" s="1">
        <v>78</v>
      </c>
      <c r="G7261">
        <v>2020</v>
      </c>
      <c r="H7261">
        <f>AVERAGEIFS(Table1[value],Table1[IndicatorCode],Table1[[#This Row],[IndicatorCode]])</f>
        <v>72.66514008620689</v>
      </c>
      <c r="I7261" cm="1">
        <f t="array" ref="I7261">_xlfn.STDEV.P(IF(Table1[IndicatorCode]=Table1[[#This Row],[IndicatorCode]],Table1[value]))</f>
        <v>6.3409496564024987</v>
      </c>
      <c r="J7261">
        <f>(Table1[[#This Row],[value]] - Table1[[#This Row],[mean]]) / Table1[[#This Row],[std_dev]]</f>
        <v>0.84133453234508293</v>
      </c>
      <c r="K7261">
        <f>AVERAGEIF(Table1[CountryCode],Table1[[#This Row],[CountryCode]],Table1[z-score])</f>
        <v>-0.54328248635894838</v>
      </c>
    </row>
    <row r="7262" spans="1:12" hidden="1" x14ac:dyDescent="0.3">
      <c r="A7262" t="s">
        <v>7</v>
      </c>
      <c r="B7262" t="s">
        <v>8</v>
      </c>
      <c r="C7262" t="s">
        <v>129</v>
      </c>
      <c r="D7262" t="s">
        <v>130</v>
      </c>
      <c r="E7262">
        <v>2021</v>
      </c>
      <c r="F7262" s="1">
        <v>77</v>
      </c>
      <c r="G7262">
        <v>1960</v>
      </c>
      <c r="H7262">
        <f>AVERAGEIFS(Table1[value],Table1[IndicatorCode],Table1[[#This Row],[IndicatorCode]])</f>
        <v>72.66514008620689</v>
      </c>
      <c r="I7262" cm="1">
        <f t="array" ref="I7262">_xlfn.STDEV.P(IF(Table1[IndicatorCode]=Table1[[#This Row],[IndicatorCode]],Table1[value]))</f>
        <v>6.3409496564024987</v>
      </c>
      <c r="J7262">
        <f>(Table1[[#This Row],[value]] - Table1[[#This Row],[mean]]) / Table1[[#This Row],[std_dev]]</f>
        <v>0.68362944806164383</v>
      </c>
      <c r="K7262">
        <f>AVERAGEIF(Table1[CountryCode],Table1[[#This Row],[CountryCode]],Table1[z-score])</f>
        <v>-0.54328248635894838</v>
      </c>
      <c r="L7262" t="e">
        <f>VLOOKUP(Table1[[#This Row],[CountryCode]],[1]!Table1[#All],1,FALSE)</f>
        <v>#REF!</v>
      </c>
    </row>
    <row r="7263" spans="1:12" hidden="1" x14ac:dyDescent="0.3">
      <c r="A7263" t="s">
        <v>7</v>
      </c>
      <c r="B7263" t="s">
        <v>8</v>
      </c>
      <c r="C7263" t="s">
        <v>129</v>
      </c>
      <c r="D7263" t="s">
        <v>130</v>
      </c>
      <c r="E7263">
        <v>2022</v>
      </c>
      <c r="F7263" s="1">
        <v>79</v>
      </c>
      <c r="G7263">
        <v>1960</v>
      </c>
      <c r="H7263">
        <f>AVERAGEIFS(Table1[value],Table1[IndicatorCode],Table1[[#This Row],[IndicatorCode]])</f>
        <v>72.66514008620689</v>
      </c>
      <c r="I7263" cm="1">
        <f t="array" ref="I7263">_xlfn.STDEV.P(IF(Table1[IndicatorCode]=Table1[[#This Row],[IndicatorCode]],Table1[value]))</f>
        <v>6.3409496564024987</v>
      </c>
      <c r="J7263">
        <f>(Table1[[#This Row],[value]] - Table1[[#This Row],[mean]]) / Table1[[#This Row],[std_dev]]</f>
        <v>0.99903961662852192</v>
      </c>
      <c r="K7263">
        <f>AVERAGEIF(Table1[CountryCode],Table1[[#This Row],[CountryCode]],Table1[z-score])</f>
        <v>-0.54328248635894838</v>
      </c>
      <c r="L7263" t="e">
        <f>VLOOKUP(Table1[[#This Row],[CountryCode]],[1]!Table1[#All],1,FALSE)</f>
        <v>#REF!</v>
      </c>
    </row>
    <row r="7264" spans="1:12" hidden="1" x14ac:dyDescent="0.3">
      <c r="A7264" t="s">
        <v>7</v>
      </c>
      <c r="B7264" t="s">
        <v>8</v>
      </c>
      <c r="C7264" t="s">
        <v>129</v>
      </c>
      <c r="D7264" t="s">
        <v>130</v>
      </c>
      <c r="E7264">
        <v>2023</v>
      </c>
      <c r="F7264" s="1">
        <v>80</v>
      </c>
      <c r="G7264">
        <v>1960</v>
      </c>
      <c r="H7264">
        <f>AVERAGEIFS(Table1[value],Table1[IndicatorCode],Table1[[#This Row],[IndicatorCode]])</f>
        <v>72.66514008620689</v>
      </c>
      <c r="I7264" cm="1">
        <f t="array" ref="I7264">_xlfn.STDEV.P(IF(Table1[IndicatorCode]=Table1[[#This Row],[IndicatorCode]],Table1[value]))</f>
        <v>6.3409496564024987</v>
      </c>
      <c r="J7264">
        <f>(Table1[[#This Row],[value]] - Table1[[#This Row],[mean]]) / Table1[[#This Row],[std_dev]]</f>
        <v>1.1567447009119609</v>
      </c>
      <c r="K7264">
        <f>AVERAGEIF(Table1[CountryCode],Table1[[#This Row],[CountryCode]],Table1[z-score])</f>
        <v>-0.54328248635894838</v>
      </c>
      <c r="L7264" t="e">
        <f>VLOOKUP(Table1[[#This Row],[CountryCode]],[1]!Table1[#All],1,FALSE)</f>
        <v>#REF!</v>
      </c>
    </row>
    <row r="7265" spans="1:12" hidden="1" x14ac:dyDescent="0.3">
      <c r="A7265" t="s">
        <v>11</v>
      </c>
      <c r="B7265" t="s">
        <v>12</v>
      </c>
      <c r="C7265" t="s">
        <v>129</v>
      </c>
      <c r="D7265" t="s">
        <v>130</v>
      </c>
      <c r="E7265">
        <v>1960</v>
      </c>
      <c r="F7265" s="1">
        <v>72</v>
      </c>
      <c r="G7265">
        <v>1960</v>
      </c>
      <c r="H7265">
        <f>AVERAGEIFS(Table1[value],Table1[IndicatorCode],Table1[[#This Row],[IndicatorCode]])</f>
        <v>72.66514008620689</v>
      </c>
      <c r="I7265" cm="1">
        <f t="array" ref="I7265">_xlfn.STDEV.P(IF(Table1[IndicatorCode]=Table1[[#This Row],[IndicatorCode]],Table1[value]))</f>
        <v>6.3409496564024987</v>
      </c>
      <c r="J7265">
        <f>(Table1[[#This Row],[value]] - Table1[[#This Row],[mean]]) / Table1[[#This Row],[std_dev]]</f>
        <v>-0.10489597335555145</v>
      </c>
      <c r="K7265">
        <f>AVERAGEIF(Table1[CountryCode],Table1[[#This Row],[CountryCode]],Table1[z-score])</f>
        <v>0.63319255148184794</v>
      </c>
      <c r="L7265" t="e">
        <f>VLOOKUP(Table1[[#This Row],[CountryCode]],[1]!Table1[#All],1,FALSE)</f>
        <v>#REF!</v>
      </c>
    </row>
    <row r="7266" spans="1:12" hidden="1" x14ac:dyDescent="0.3">
      <c r="A7266" t="s">
        <v>11</v>
      </c>
      <c r="B7266" t="s">
        <v>12</v>
      </c>
      <c r="C7266" t="s">
        <v>129</v>
      </c>
      <c r="D7266" t="s">
        <v>130</v>
      </c>
      <c r="E7266">
        <v>1961</v>
      </c>
      <c r="F7266" s="1">
        <v>73</v>
      </c>
      <c r="G7266">
        <v>1960</v>
      </c>
      <c r="H7266">
        <f>AVERAGEIFS(Table1[value],Table1[IndicatorCode],Table1[[#This Row],[IndicatorCode]])</f>
        <v>72.66514008620689</v>
      </c>
      <c r="I7266" cm="1">
        <f t="array" ref="I7266">_xlfn.STDEV.P(IF(Table1[IndicatorCode]=Table1[[#This Row],[IndicatorCode]],Table1[value]))</f>
        <v>6.3409496564024987</v>
      </c>
      <c r="J7266">
        <f>(Table1[[#This Row],[value]] - Table1[[#This Row],[mean]]) / Table1[[#This Row],[std_dev]]</f>
        <v>5.2809110927887599E-2</v>
      </c>
      <c r="K7266">
        <f>AVERAGEIF(Table1[CountryCode],Table1[[#This Row],[CountryCode]],Table1[z-score])</f>
        <v>0.63319255148184794</v>
      </c>
      <c r="L7266" t="e">
        <f>VLOOKUP(Table1[[#This Row],[CountryCode]],[1]!Table1[#All],1,FALSE)</f>
        <v>#REF!</v>
      </c>
    </row>
    <row r="7267" spans="1:12" hidden="1" x14ac:dyDescent="0.3">
      <c r="A7267" t="s">
        <v>11</v>
      </c>
      <c r="B7267" t="s">
        <v>12</v>
      </c>
      <c r="C7267" t="s">
        <v>129</v>
      </c>
      <c r="D7267" t="s">
        <v>130</v>
      </c>
      <c r="E7267">
        <v>1962</v>
      </c>
      <c r="F7267" s="1">
        <v>73</v>
      </c>
      <c r="G7267">
        <v>1960</v>
      </c>
      <c r="H7267">
        <f>AVERAGEIFS(Table1[value],Table1[IndicatorCode],Table1[[#This Row],[IndicatorCode]])</f>
        <v>72.66514008620689</v>
      </c>
      <c r="I7267" cm="1">
        <f t="array" ref="I7267">_xlfn.STDEV.P(IF(Table1[IndicatorCode]=Table1[[#This Row],[IndicatorCode]],Table1[value]))</f>
        <v>6.3409496564024987</v>
      </c>
      <c r="J7267">
        <f>(Table1[[#This Row],[value]] - Table1[[#This Row],[mean]]) / Table1[[#This Row],[std_dev]]</f>
        <v>5.2809110927887599E-2</v>
      </c>
      <c r="K7267">
        <f>AVERAGEIF(Table1[CountryCode],Table1[[#This Row],[CountryCode]],Table1[z-score])</f>
        <v>0.63319255148184794</v>
      </c>
      <c r="L7267" t="e">
        <f>VLOOKUP(Table1[[#This Row],[CountryCode]],[1]!Table1[#All],1,FALSE)</f>
        <v>#REF!</v>
      </c>
    </row>
    <row r="7268" spans="1:12" hidden="1" x14ac:dyDescent="0.3">
      <c r="A7268" t="s">
        <v>11</v>
      </c>
      <c r="B7268" t="s">
        <v>12</v>
      </c>
      <c r="C7268" t="s">
        <v>129</v>
      </c>
      <c r="D7268" t="s">
        <v>130</v>
      </c>
      <c r="E7268">
        <v>1963</v>
      </c>
      <c r="F7268" s="1">
        <v>73</v>
      </c>
      <c r="G7268">
        <v>1960</v>
      </c>
      <c r="H7268">
        <f>AVERAGEIFS(Table1[value],Table1[IndicatorCode],Table1[[#This Row],[IndicatorCode]])</f>
        <v>72.66514008620689</v>
      </c>
      <c r="I7268" cm="1">
        <f t="array" ref="I7268">_xlfn.STDEV.P(IF(Table1[IndicatorCode]=Table1[[#This Row],[IndicatorCode]],Table1[value]))</f>
        <v>6.3409496564024987</v>
      </c>
      <c r="J7268">
        <f>(Table1[[#This Row],[value]] - Table1[[#This Row],[mean]]) / Table1[[#This Row],[std_dev]]</f>
        <v>5.2809110927887599E-2</v>
      </c>
      <c r="K7268">
        <f>AVERAGEIF(Table1[CountryCode],Table1[[#This Row],[CountryCode]],Table1[z-score])</f>
        <v>0.63319255148184794</v>
      </c>
      <c r="L7268" t="e">
        <f>VLOOKUP(Table1[[#This Row],[CountryCode]],[1]!Table1[#All],1,FALSE)</f>
        <v>#REF!</v>
      </c>
    </row>
    <row r="7269" spans="1:12" hidden="1" x14ac:dyDescent="0.3">
      <c r="A7269" t="s">
        <v>11</v>
      </c>
      <c r="B7269" t="s">
        <v>12</v>
      </c>
      <c r="C7269" t="s">
        <v>129</v>
      </c>
      <c r="D7269" t="s">
        <v>130</v>
      </c>
      <c r="E7269">
        <v>1964</v>
      </c>
      <c r="F7269" s="1">
        <v>74</v>
      </c>
      <c r="G7269">
        <v>1960</v>
      </c>
      <c r="H7269">
        <f>AVERAGEIFS(Table1[value],Table1[IndicatorCode],Table1[[#This Row],[IndicatorCode]])</f>
        <v>72.66514008620689</v>
      </c>
      <c r="I7269" cm="1">
        <f t="array" ref="I7269">_xlfn.STDEV.P(IF(Table1[IndicatorCode]=Table1[[#This Row],[IndicatorCode]],Table1[value]))</f>
        <v>6.3409496564024987</v>
      </c>
      <c r="J7269">
        <f>(Table1[[#This Row],[value]] - Table1[[#This Row],[mean]]) / Table1[[#This Row],[std_dev]]</f>
        <v>0.21051419521132667</v>
      </c>
      <c r="K7269">
        <f>AVERAGEIF(Table1[CountryCode],Table1[[#This Row],[CountryCode]],Table1[z-score])</f>
        <v>0.63319255148184794</v>
      </c>
      <c r="L7269" t="e">
        <f>VLOOKUP(Table1[[#This Row],[CountryCode]],[1]!Table1[#All],1,FALSE)</f>
        <v>#REF!</v>
      </c>
    </row>
    <row r="7270" spans="1:12" hidden="1" x14ac:dyDescent="0.3">
      <c r="A7270" t="s">
        <v>11</v>
      </c>
      <c r="B7270" t="s">
        <v>12</v>
      </c>
      <c r="C7270" t="s">
        <v>129</v>
      </c>
      <c r="D7270" t="s">
        <v>130</v>
      </c>
      <c r="E7270">
        <v>1965</v>
      </c>
      <c r="F7270" s="1">
        <v>74</v>
      </c>
      <c r="G7270">
        <v>1960</v>
      </c>
      <c r="H7270">
        <f>AVERAGEIFS(Table1[value],Table1[IndicatorCode],Table1[[#This Row],[IndicatorCode]])</f>
        <v>72.66514008620689</v>
      </c>
      <c r="I7270" cm="1">
        <f t="array" ref="I7270">_xlfn.STDEV.P(IF(Table1[IndicatorCode]=Table1[[#This Row],[IndicatorCode]],Table1[value]))</f>
        <v>6.3409496564024987</v>
      </c>
      <c r="J7270">
        <f>(Table1[[#This Row],[value]] - Table1[[#This Row],[mean]]) / Table1[[#This Row],[std_dev]]</f>
        <v>0.21051419521132667</v>
      </c>
      <c r="K7270">
        <f>AVERAGEIF(Table1[CountryCode],Table1[[#This Row],[CountryCode]],Table1[z-score])</f>
        <v>0.63319255148184794</v>
      </c>
      <c r="L7270" t="e">
        <f>VLOOKUP(Table1[[#This Row],[CountryCode]],[1]!Table1[#All],1,FALSE)</f>
        <v>#REF!</v>
      </c>
    </row>
    <row r="7271" spans="1:12" hidden="1" x14ac:dyDescent="0.3">
      <c r="A7271" t="s">
        <v>11</v>
      </c>
      <c r="B7271" t="s">
        <v>12</v>
      </c>
      <c r="C7271" t="s">
        <v>129</v>
      </c>
      <c r="D7271" t="s">
        <v>130</v>
      </c>
      <c r="E7271">
        <v>1966</v>
      </c>
      <c r="F7271" s="1">
        <v>74</v>
      </c>
      <c r="G7271">
        <v>1960</v>
      </c>
      <c r="H7271">
        <f>AVERAGEIFS(Table1[value],Table1[IndicatorCode],Table1[[#This Row],[IndicatorCode]])</f>
        <v>72.66514008620689</v>
      </c>
      <c r="I7271" cm="1">
        <f t="array" ref="I7271">_xlfn.STDEV.P(IF(Table1[IndicatorCode]=Table1[[#This Row],[IndicatorCode]],Table1[value]))</f>
        <v>6.3409496564024987</v>
      </c>
      <c r="J7271">
        <f>(Table1[[#This Row],[value]] - Table1[[#This Row],[mean]]) / Table1[[#This Row],[std_dev]]</f>
        <v>0.21051419521132667</v>
      </c>
      <c r="K7271">
        <f>AVERAGEIF(Table1[CountryCode],Table1[[#This Row],[CountryCode]],Table1[z-score])</f>
        <v>0.63319255148184794</v>
      </c>
      <c r="L7271" t="e">
        <f>VLOOKUP(Table1[[#This Row],[CountryCode]],[1]!Table1[#All],1,FALSE)</f>
        <v>#REF!</v>
      </c>
    </row>
    <row r="7272" spans="1:12" hidden="1" x14ac:dyDescent="0.3">
      <c r="A7272" t="s">
        <v>11</v>
      </c>
      <c r="B7272" t="s">
        <v>12</v>
      </c>
      <c r="C7272" t="s">
        <v>129</v>
      </c>
      <c r="D7272" t="s">
        <v>130</v>
      </c>
      <c r="E7272">
        <v>1967</v>
      </c>
      <c r="F7272" s="1">
        <v>74</v>
      </c>
      <c r="G7272">
        <v>1970</v>
      </c>
      <c r="H7272">
        <f>AVERAGEIFS(Table1[value],Table1[IndicatorCode],Table1[[#This Row],[IndicatorCode]])</f>
        <v>72.66514008620689</v>
      </c>
      <c r="I7272" cm="1">
        <f t="array" ref="I7272">_xlfn.STDEV.P(IF(Table1[IndicatorCode]=Table1[[#This Row],[IndicatorCode]],Table1[value]))</f>
        <v>6.3409496564024987</v>
      </c>
      <c r="J7272">
        <f>(Table1[[#This Row],[value]] - Table1[[#This Row],[mean]]) / Table1[[#This Row],[std_dev]]</f>
        <v>0.21051419521132667</v>
      </c>
      <c r="K7272">
        <f>AVERAGEIF(Table1[CountryCode],Table1[[#This Row],[CountryCode]],Table1[z-score])</f>
        <v>0.63319255148184794</v>
      </c>
      <c r="L7272" t="e">
        <f>VLOOKUP(Table1[[#This Row],[CountryCode]],[1]!Table1[#All],1,FALSE)</f>
        <v>#REF!</v>
      </c>
    </row>
    <row r="7273" spans="1:12" hidden="1" x14ac:dyDescent="0.3">
      <c r="A7273" t="s">
        <v>11</v>
      </c>
      <c r="B7273" t="s">
        <v>12</v>
      </c>
      <c r="C7273" t="s">
        <v>129</v>
      </c>
      <c r="D7273" t="s">
        <v>130</v>
      </c>
      <c r="E7273">
        <v>1968</v>
      </c>
      <c r="F7273" s="1">
        <v>74</v>
      </c>
      <c r="G7273">
        <v>1970</v>
      </c>
      <c r="H7273">
        <f>AVERAGEIFS(Table1[value],Table1[IndicatorCode],Table1[[#This Row],[IndicatorCode]])</f>
        <v>72.66514008620689</v>
      </c>
      <c r="I7273" cm="1">
        <f t="array" ref="I7273">_xlfn.STDEV.P(IF(Table1[IndicatorCode]=Table1[[#This Row],[IndicatorCode]],Table1[value]))</f>
        <v>6.3409496564024987</v>
      </c>
      <c r="J7273">
        <f>(Table1[[#This Row],[value]] - Table1[[#This Row],[mean]]) / Table1[[#This Row],[std_dev]]</f>
        <v>0.21051419521132667</v>
      </c>
      <c r="K7273">
        <f>AVERAGEIF(Table1[CountryCode],Table1[[#This Row],[CountryCode]],Table1[z-score])</f>
        <v>0.63319255148184794</v>
      </c>
      <c r="L7273" t="e">
        <f>VLOOKUP(Table1[[#This Row],[CountryCode]],[1]!Table1[#All],1,FALSE)</f>
        <v>#REF!</v>
      </c>
    </row>
    <row r="7274" spans="1:12" hidden="1" x14ac:dyDescent="0.3">
      <c r="A7274" t="s">
        <v>11</v>
      </c>
      <c r="B7274" t="s">
        <v>12</v>
      </c>
      <c r="C7274" t="s">
        <v>129</v>
      </c>
      <c r="D7274" t="s">
        <v>130</v>
      </c>
      <c r="E7274">
        <v>1969</v>
      </c>
      <c r="F7274" s="1">
        <v>74</v>
      </c>
      <c r="G7274">
        <v>1970</v>
      </c>
      <c r="H7274">
        <f>AVERAGEIFS(Table1[value],Table1[IndicatorCode],Table1[[#This Row],[IndicatorCode]])</f>
        <v>72.66514008620689</v>
      </c>
      <c r="I7274" cm="1">
        <f t="array" ref="I7274">_xlfn.STDEV.P(IF(Table1[IndicatorCode]=Table1[[#This Row],[IndicatorCode]],Table1[value]))</f>
        <v>6.3409496564024987</v>
      </c>
      <c r="J7274">
        <f>(Table1[[#This Row],[value]] - Table1[[#This Row],[mean]]) / Table1[[#This Row],[std_dev]]</f>
        <v>0.21051419521132667</v>
      </c>
      <c r="K7274">
        <f>AVERAGEIF(Table1[CountryCode],Table1[[#This Row],[CountryCode]],Table1[z-score])</f>
        <v>0.63319255148184794</v>
      </c>
      <c r="L7274" t="e">
        <f>VLOOKUP(Table1[[#This Row],[CountryCode]],[1]!Table1[#All],1,FALSE)</f>
        <v>#REF!</v>
      </c>
    </row>
    <row r="7275" spans="1:12" hidden="1" x14ac:dyDescent="0.3">
      <c r="A7275" t="s">
        <v>11</v>
      </c>
      <c r="B7275" t="s">
        <v>12</v>
      </c>
      <c r="C7275" t="s">
        <v>129</v>
      </c>
      <c r="D7275" t="s">
        <v>130</v>
      </c>
      <c r="E7275">
        <v>1970</v>
      </c>
      <c r="F7275" s="1">
        <v>74</v>
      </c>
      <c r="G7275">
        <v>1970</v>
      </c>
      <c r="H7275">
        <f>AVERAGEIFS(Table1[value],Table1[IndicatorCode],Table1[[#This Row],[IndicatorCode]])</f>
        <v>72.66514008620689</v>
      </c>
      <c r="I7275" cm="1">
        <f t="array" ref="I7275">_xlfn.STDEV.P(IF(Table1[IndicatorCode]=Table1[[#This Row],[IndicatorCode]],Table1[value]))</f>
        <v>6.3409496564024987</v>
      </c>
      <c r="J7275">
        <f>(Table1[[#This Row],[value]] - Table1[[#This Row],[mean]]) / Table1[[#This Row],[std_dev]]</f>
        <v>0.21051419521132667</v>
      </c>
      <c r="K7275">
        <f>AVERAGEIF(Table1[CountryCode],Table1[[#This Row],[CountryCode]],Table1[z-score])</f>
        <v>0.63319255148184794</v>
      </c>
      <c r="L7275" t="e">
        <f>VLOOKUP(Table1[[#This Row],[CountryCode]],[1]!Table1[#All],1,FALSE)</f>
        <v>#REF!</v>
      </c>
    </row>
    <row r="7276" spans="1:12" hidden="1" x14ac:dyDescent="0.3">
      <c r="A7276" t="s">
        <v>11</v>
      </c>
      <c r="B7276" t="s">
        <v>12</v>
      </c>
      <c r="C7276" t="s">
        <v>129</v>
      </c>
      <c r="D7276" t="s">
        <v>130</v>
      </c>
      <c r="E7276">
        <v>1971</v>
      </c>
      <c r="F7276" s="1">
        <v>75</v>
      </c>
      <c r="G7276">
        <v>1970</v>
      </c>
      <c r="H7276">
        <f>AVERAGEIFS(Table1[value],Table1[IndicatorCode],Table1[[#This Row],[IndicatorCode]])</f>
        <v>72.66514008620689</v>
      </c>
      <c r="I7276" cm="1">
        <f t="array" ref="I7276">_xlfn.STDEV.P(IF(Table1[IndicatorCode]=Table1[[#This Row],[IndicatorCode]],Table1[value]))</f>
        <v>6.3409496564024987</v>
      </c>
      <c r="J7276">
        <f>(Table1[[#This Row],[value]] - Table1[[#This Row],[mean]]) / Table1[[#This Row],[std_dev]]</f>
        <v>0.36821927949476574</v>
      </c>
      <c r="K7276">
        <f>AVERAGEIF(Table1[CountryCode],Table1[[#This Row],[CountryCode]],Table1[z-score])</f>
        <v>0.63319255148184794</v>
      </c>
      <c r="L7276" t="e">
        <f>VLOOKUP(Table1[[#This Row],[CountryCode]],[1]!Table1[#All],1,FALSE)</f>
        <v>#REF!</v>
      </c>
    </row>
    <row r="7277" spans="1:12" hidden="1" x14ac:dyDescent="0.3">
      <c r="A7277" t="s">
        <v>11</v>
      </c>
      <c r="B7277" t="s">
        <v>12</v>
      </c>
      <c r="C7277" t="s">
        <v>129</v>
      </c>
      <c r="D7277" t="s">
        <v>130</v>
      </c>
      <c r="E7277">
        <v>1972</v>
      </c>
      <c r="F7277" s="1">
        <v>75</v>
      </c>
      <c r="G7277">
        <v>1970</v>
      </c>
      <c r="H7277">
        <f>AVERAGEIFS(Table1[value],Table1[IndicatorCode],Table1[[#This Row],[IndicatorCode]])</f>
        <v>72.66514008620689</v>
      </c>
      <c r="I7277" cm="1">
        <f t="array" ref="I7277">_xlfn.STDEV.P(IF(Table1[IndicatorCode]=Table1[[#This Row],[IndicatorCode]],Table1[value]))</f>
        <v>6.3409496564024987</v>
      </c>
      <c r="J7277">
        <f>(Table1[[#This Row],[value]] - Table1[[#This Row],[mean]]) / Table1[[#This Row],[std_dev]]</f>
        <v>0.36821927949476574</v>
      </c>
      <c r="K7277">
        <f>AVERAGEIF(Table1[CountryCode],Table1[[#This Row],[CountryCode]],Table1[z-score])</f>
        <v>0.63319255148184794</v>
      </c>
      <c r="L7277" t="e">
        <f>VLOOKUP(Table1[[#This Row],[CountryCode]],[1]!Table1[#All],1,FALSE)</f>
        <v>#REF!</v>
      </c>
    </row>
    <row r="7278" spans="1:12" hidden="1" x14ac:dyDescent="0.3">
      <c r="A7278" t="s">
        <v>11</v>
      </c>
      <c r="B7278" t="s">
        <v>12</v>
      </c>
      <c r="C7278" t="s">
        <v>129</v>
      </c>
      <c r="D7278" t="s">
        <v>130</v>
      </c>
      <c r="E7278">
        <v>1973</v>
      </c>
      <c r="F7278" s="1">
        <v>75</v>
      </c>
      <c r="G7278">
        <v>1970</v>
      </c>
      <c r="H7278">
        <f>AVERAGEIFS(Table1[value],Table1[IndicatorCode],Table1[[#This Row],[IndicatorCode]])</f>
        <v>72.66514008620689</v>
      </c>
      <c r="I7278" cm="1">
        <f t="array" ref="I7278">_xlfn.STDEV.P(IF(Table1[IndicatorCode]=Table1[[#This Row],[IndicatorCode]],Table1[value]))</f>
        <v>6.3409496564024987</v>
      </c>
      <c r="J7278">
        <f>(Table1[[#This Row],[value]] - Table1[[#This Row],[mean]]) / Table1[[#This Row],[std_dev]]</f>
        <v>0.36821927949476574</v>
      </c>
      <c r="K7278">
        <f>AVERAGEIF(Table1[CountryCode],Table1[[#This Row],[CountryCode]],Table1[z-score])</f>
        <v>0.63319255148184794</v>
      </c>
      <c r="L7278" t="e">
        <f>VLOOKUP(Table1[[#This Row],[CountryCode]],[1]!Table1[#All],1,FALSE)</f>
        <v>#REF!</v>
      </c>
    </row>
    <row r="7279" spans="1:12" hidden="1" x14ac:dyDescent="0.3">
      <c r="A7279" t="s">
        <v>11</v>
      </c>
      <c r="B7279" t="s">
        <v>12</v>
      </c>
      <c r="C7279" t="s">
        <v>129</v>
      </c>
      <c r="D7279" t="s">
        <v>130</v>
      </c>
      <c r="E7279">
        <v>1974</v>
      </c>
      <c r="F7279" s="1">
        <v>75</v>
      </c>
      <c r="G7279">
        <v>1970</v>
      </c>
      <c r="H7279">
        <f>AVERAGEIFS(Table1[value],Table1[IndicatorCode],Table1[[#This Row],[IndicatorCode]])</f>
        <v>72.66514008620689</v>
      </c>
      <c r="I7279" cm="1">
        <f t="array" ref="I7279">_xlfn.STDEV.P(IF(Table1[IndicatorCode]=Table1[[#This Row],[IndicatorCode]],Table1[value]))</f>
        <v>6.3409496564024987</v>
      </c>
      <c r="J7279">
        <f>(Table1[[#This Row],[value]] - Table1[[#This Row],[mean]]) / Table1[[#This Row],[std_dev]]</f>
        <v>0.36821927949476574</v>
      </c>
      <c r="K7279">
        <f>AVERAGEIF(Table1[CountryCode],Table1[[#This Row],[CountryCode]],Table1[z-score])</f>
        <v>0.63319255148184794</v>
      </c>
      <c r="L7279" t="e">
        <f>VLOOKUP(Table1[[#This Row],[CountryCode]],[1]!Table1[#All],1,FALSE)</f>
        <v>#REF!</v>
      </c>
    </row>
    <row r="7280" spans="1:12" hidden="1" x14ac:dyDescent="0.3">
      <c r="A7280" t="s">
        <v>11</v>
      </c>
      <c r="B7280" t="s">
        <v>12</v>
      </c>
      <c r="C7280" t="s">
        <v>129</v>
      </c>
      <c r="D7280" t="s">
        <v>130</v>
      </c>
      <c r="E7280">
        <v>1975</v>
      </c>
      <c r="F7280" s="1">
        <v>76</v>
      </c>
      <c r="G7280">
        <v>1970</v>
      </c>
      <c r="H7280">
        <f>AVERAGEIFS(Table1[value],Table1[IndicatorCode],Table1[[#This Row],[IndicatorCode]])</f>
        <v>72.66514008620689</v>
      </c>
      <c r="I7280" cm="1">
        <f t="array" ref="I7280">_xlfn.STDEV.P(IF(Table1[IndicatorCode]=Table1[[#This Row],[IndicatorCode]],Table1[value]))</f>
        <v>6.3409496564024987</v>
      </c>
      <c r="J7280">
        <f>(Table1[[#This Row],[value]] - Table1[[#This Row],[mean]]) / Table1[[#This Row],[std_dev]]</f>
        <v>0.52592436377820473</v>
      </c>
      <c r="K7280">
        <f>AVERAGEIF(Table1[CountryCode],Table1[[#This Row],[CountryCode]],Table1[z-score])</f>
        <v>0.63319255148184794</v>
      </c>
      <c r="L7280" t="e">
        <f>VLOOKUP(Table1[[#This Row],[CountryCode]],[1]!Table1[#All],1,FALSE)</f>
        <v>#REF!</v>
      </c>
    </row>
    <row r="7281" spans="1:12" hidden="1" x14ac:dyDescent="0.3">
      <c r="A7281" t="s">
        <v>11</v>
      </c>
      <c r="B7281" t="s">
        <v>12</v>
      </c>
      <c r="C7281" t="s">
        <v>129</v>
      </c>
      <c r="D7281" t="s">
        <v>130</v>
      </c>
      <c r="E7281">
        <v>1976</v>
      </c>
      <c r="F7281" s="1">
        <v>76</v>
      </c>
      <c r="G7281">
        <v>1970</v>
      </c>
      <c r="H7281">
        <f>AVERAGEIFS(Table1[value],Table1[IndicatorCode],Table1[[#This Row],[IndicatorCode]])</f>
        <v>72.66514008620689</v>
      </c>
      <c r="I7281" cm="1">
        <f t="array" ref="I7281">_xlfn.STDEV.P(IF(Table1[IndicatorCode]=Table1[[#This Row],[IndicatorCode]],Table1[value]))</f>
        <v>6.3409496564024987</v>
      </c>
      <c r="J7281">
        <f>(Table1[[#This Row],[value]] - Table1[[#This Row],[mean]]) / Table1[[#This Row],[std_dev]]</f>
        <v>0.52592436377820473</v>
      </c>
      <c r="K7281">
        <f>AVERAGEIF(Table1[CountryCode],Table1[[#This Row],[CountryCode]],Table1[z-score])</f>
        <v>0.63319255148184794</v>
      </c>
      <c r="L7281" t="e">
        <f>VLOOKUP(Table1[[#This Row],[CountryCode]],[1]!Table1[#All],1,FALSE)</f>
        <v>#REF!</v>
      </c>
    </row>
    <row r="7282" spans="1:12" hidden="1" x14ac:dyDescent="0.3">
      <c r="A7282" t="s">
        <v>11</v>
      </c>
      <c r="B7282" t="s">
        <v>12</v>
      </c>
      <c r="C7282" t="s">
        <v>129</v>
      </c>
      <c r="D7282" t="s">
        <v>130</v>
      </c>
      <c r="E7282">
        <v>1977</v>
      </c>
      <c r="F7282" s="1">
        <v>76</v>
      </c>
      <c r="G7282">
        <v>1980</v>
      </c>
      <c r="H7282">
        <f>AVERAGEIFS(Table1[value],Table1[IndicatorCode],Table1[[#This Row],[IndicatorCode]])</f>
        <v>72.66514008620689</v>
      </c>
      <c r="I7282" cm="1">
        <f t="array" ref="I7282">_xlfn.STDEV.P(IF(Table1[IndicatorCode]=Table1[[#This Row],[IndicatorCode]],Table1[value]))</f>
        <v>6.3409496564024987</v>
      </c>
      <c r="J7282">
        <f>(Table1[[#This Row],[value]] - Table1[[#This Row],[mean]]) / Table1[[#This Row],[std_dev]]</f>
        <v>0.52592436377820473</v>
      </c>
      <c r="K7282">
        <f>AVERAGEIF(Table1[CountryCode],Table1[[#This Row],[CountryCode]],Table1[z-score])</f>
        <v>0.63319255148184794</v>
      </c>
      <c r="L7282" t="e">
        <f>VLOOKUP(Table1[[#This Row],[CountryCode]],[1]!Table1[#All],1,FALSE)</f>
        <v>#REF!</v>
      </c>
    </row>
    <row r="7283" spans="1:12" hidden="1" x14ac:dyDescent="0.3">
      <c r="A7283" t="s">
        <v>11</v>
      </c>
      <c r="B7283" t="s">
        <v>12</v>
      </c>
      <c r="C7283" t="s">
        <v>129</v>
      </c>
      <c r="D7283" t="s">
        <v>130</v>
      </c>
      <c r="E7283">
        <v>1978</v>
      </c>
      <c r="F7283" s="1">
        <v>76</v>
      </c>
      <c r="G7283">
        <v>1980</v>
      </c>
      <c r="H7283">
        <f>AVERAGEIFS(Table1[value],Table1[IndicatorCode],Table1[[#This Row],[IndicatorCode]])</f>
        <v>72.66514008620689</v>
      </c>
      <c r="I7283" cm="1">
        <f t="array" ref="I7283">_xlfn.STDEV.P(IF(Table1[IndicatorCode]=Table1[[#This Row],[IndicatorCode]],Table1[value]))</f>
        <v>6.3409496564024987</v>
      </c>
      <c r="J7283">
        <f>(Table1[[#This Row],[value]] - Table1[[#This Row],[mean]]) / Table1[[#This Row],[std_dev]]</f>
        <v>0.52592436377820473</v>
      </c>
      <c r="K7283">
        <f>AVERAGEIF(Table1[CountryCode],Table1[[#This Row],[CountryCode]],Table1[z-score])</f>
        <v>0.63319255148184794</v>
      </c>
      <c r="L7283" t="e">
        <f>VLOOKUP(Table1[[#This Row],[CountryCode]],[1]!Table1[#All],1,FALSE)</f>
        <v>#REF!</v>
      </c>
    </row>
    <row r="7284" spans="1:12" hidden="1" x14ac:dyDescent="0.3">
      <c r="A7284" t="s">
        <v>11</v>
      </c>
      <c r="B7284" t="s">
        <v>12</v>
      </c>
      <c r="C7284" t="s">
        <v>129</v>
      </c>
      <c r="D7284" t="s">
        <v>130</v>
      </c>
      <c r="E7284">
        <v>1979</v>
      </c>
      <c r="F7284" s="1">
        <v>77</v>
      </c>
      <c r="G7284">
        <v>1980</v>
      </c>
      <c r="H7284">
        <f>AVERAGEIFS(Table1[value],Table1[IndicatorCode],Table1[[#This Row],[IndicatorCode]])</f>
        <v>72.66514008620689</v>
      </c>
      <c r="I7284" cm="1">
        <f t="array" ref="I7284">_xlfn.STDEV.P(IF(Table1[IndicatorCode]=Table1[[#This Row],[IndicatorCode]],Table1[value]))</f>
        <v>6.3409496564024987</v>
      </c>
      <c r="J7284">
        <f>(Table1[[#This Row],[value]] - Table1[[#This Row],[mean]]) / Table1[[#This Row],[std_dev]]</f>
        <v>0.68362944806164383</v>
      </c>
      <c r="K7284">
        <f>AVERAGEIF(Table1[CountryCode],Table1[[#This Row],[CountryCode]],Table1[z-score])</f>
        <v>0.63319255148184794</v>
      </c>
      <c r="L7284" t="e">
        <f>VLOOKUP(Table1[[#This Row],[CountryCode]],[1]!Table1[#All],1,FALSE)</f>
        <v>#REF!</v>
      </c>
    </row>
    <row r="7285" spans="1:12" hidden="1" x14ac:dyDescent="0.3">
      <c r="A7285" t="s">
        <v>11</v>
      </c>
      <c r="B7285" t="s">
        <v>12</v>
      </c>
      <c r="C7285" t="s">
        <v>129</v>
      </c>
      <c r="D7285" t="s">
        <v>130</v>
      </c>
      <c r="E7285">
        <v>1980</v>
      </c>
      <c r="F7285" s="1">
        <v>77</v>
      </c>
      <c r="G7285">
        <v>1980</v>
      </c>
      <c r="H7285">
        <f>AVERAGEIFS(Table1[value],Table1[IndicatorCode],Table1[[#This Row],[IndicatorCode]])</f>
        <v>72.66514008620689</v>
      </c>
      <c r="I7285" cm="1">
        <f t="array" ref="I7285">_xlfn.STDEV.P(IF(Table1[IndicatorCode]=Table1[[#This Row],[IndicatorCode]],Table1[value]))</f>
        <v>6.3409496564024987</v>
      </c>
      <c r="J7285">
        <f>(Table1[[#This Row],[value]] - Table1[[#This Row],[mean]]) / Table1[[#This Row],[std_dev]]</f>
        <v>0.68362944806164383</v>
      </c>
      <c r="K7285">
        <f>AVERAGEIF(Table1[CountryCode],Table1[[#This Row],[CountryCode]],Table1[z-score])</f>
        <v>0.63319255148184794</v>
      </c>
      <c r="L7285" t="e">
        <f>VLOOKUP(Table1[[#This Row],[CountryCode]],[1]!Table1[#All],1,FALSE)</f>
        <v>#REF!</v>
      </c>
    </row>
    <row r="7286" spans="1:12" hidden="1" x14ac:dyDescent="0.3">
      <c r="A7286" t="s">
        <v>11</v>
      </c>
      <c r="B7286" t="s">
        <v>12</v>
      </c>
      <c r="C7286" t="s">
        <v>129</v>
      </c>
      <c r="D7286" t="s">
        <v>130</v>
      </c>
      <c r="E7286">
        <v>1981</v>
      </c>
      <c r="F7286" s="1">
        <v>77</v>
      </c>
      <c r="G7286">
        <v>1980</v>
      </c>
      <c r="H7286">
        <f>AVERAGEIFS(Table1[value],Table1[IndicatorCode],Table1[[#This Row],[IndicatorCode]])</f>
        <v>72.66514008620689</v>
      </c>
      <c r="I7286" cm="1">
        <f t="array" ref="I7286">_xlfn.STDEV.P(IF(Table1[IndicatorCode]=Table1[[#This Row],[IndicatorCode]],Table1[value]))</f>
        <v>6.3409496564024987</v>
      </c>
      <c r="J7286">
        <f>(Table1[[#This Row],[value]] - Table1[[#This Row],[mean]]) / Table1[[#This Row],[std_dev]]</f>
        <v>0.68362944806164383</v>
      </c>
      <c r="K7286">
        <f>AVERAGEIF(Table1[CountryCode],Table1[[#This Row],[CountryCode]],Table1[z-score])</f>
        <v>0.63319255148184794</v>
      </c>
      <c r="L7286" t="e">
        <f>VLOOKUP(Table1[[#This Row],[CountryCode]],[1]!Table1[#All],1,FALSE)</f>
        <v>#REF!</v>
      </c>
    </row>
    <row r="7287" spans="1:12" hidden="1" x14ac:dyDescent="0.3">
      <c r="A7287" t="s">
        <v>11</v>
      </c>
      <c r="B7287" t="s">
        <v>12</v>
      </c>
      <c r="C7287" t="s">
        <v>129</v>
      </c>
      <c r="D7287" t="s">
        <v>130</v>
      </c>
      <c r="E7287">
        <v>1982</v>
      </c>
      <c r="F7287" s="1">
        <v>78</v>
      </c>
      <c r="G7287">
        <v>1980</v>
      </c>
      <c r="H7287">
        <f>AVERAGEIFS(Table1[value],Table1[IndicatorCode],Table1[[#This Row],[IndicatorCode]])</f>
        <v>72.66514008620689</v>
      </c>
      <c r="I7287" cm="1">
        <f t="array" ref="I7287">_xlfn.STDEV.P(IF(Table1[IndicatorCode]=Table1[[#This Row],[IndicatorCode]],Table1[value]))</f>
        <v>6.3409496564024987</v>
      </c>
      <c r="J7287">
        <f>(Table1[[#This Row],[value]] - Table1[[#This Row],[mean]]) / Table1[[#This Row],[std_dev]]</f>
        <v>0.84133453234508293</v>
      </c>
      <c r="K7287">
        <f>AVERAGEIF(Table1[CountryCode],Table1[[#This Row],[CountryCode]],Table1[z-score])</f>
        <v>0.63319255148184794</v>
      </c>
      <c r="L7287" t="e">
        <f>VLOOKUP(Table1[[#This Row],[CountryCode]],[1]!Table1[#All],1,FALSE)</f>
        <v>#REF!</v>
      </c>
    </row>
    <row r="7288" spans="1:12" hidden="1" x14ac:dyDescent="0.3">
      <c r="A7288" t="s">
        <v>11</v>
      </c>
      <c r="B7288" t="s">
        <v>12</v>
      </c>
      <c r="C7288" t="s">
        <v>129</v>
      </c>
      <c r="D7288" t="s">
        <v>130</v>
      </c>
      <c r="E7288">
        <v>1983</v>
      </c>
      <c r="F7288" s="1">
        <v>78</v>
      </c>
      <c r="G7288">
        <v>1980</v>
      </c>
      <c r="H7288">
        <f>AVERAGEIFS(Table1[value],Table1[IndicatorCode],Table1[[#This Row],[IndicatorCode]])</f>
        <v>72.66514008620689</v>
      </c>
      <c r="I7288" cm="1">
        <f t="array" ref="I7288">_xlfn.STDEV.P(IF(Table1[IndicatorCode]=Table1[[#This Row],[IndicatorCode]],Table1[value]))</f>
        <v>6.3409496564024987</v>
      </c>
      <c r="J7288">
        <f>(Table1[[#This Row],[value]] - Table1[[#This Row],[mean]]) / Table1[[#This Row],[std_dev]]</f>
        <v>0.84133453234508293</v>
      </c>
      <c r="K7288">
        <f>AVERAGEIF(Table1[CountryCode],Table1[[#This Row],[CountryCode]],Table1[z-score])</f>
        <v>0.63319255148184794</v>
      </c>
      <c r="L7288" t="e">
        <f>VLOOKUP(Table1[[#This Row],[CountryCode]],[1]!Table1[#All],1,FALSE)</f>
        <v>#REF!</v>
      </c>
    </row>
    <row r="7289" spans="1:12" hidden="1" x14ac:dyDescent="0.3">
      <c r="A7289" t="s">
        <v>11</v>
      </c>
      <c r="B7289" t="s">
        <v>12</v>
      </c>
      <c r="C7289" t="s">
        <v>129</v>
      </c>
      <c r="D7289" t="s">
        <v>130</v>
      </c>
      <c r="E7289">
        <v>1984</v>
      </c>
      <c r="F7289" s="1">
        <v>78</v>
      </c>
      <c r="G7289">
        <v>1980</v>
      </c>
      <c r="H7289">
        <f>AVERAGEIFS(Table1[value],Table1[IndicatorCode],Table1[[#This Row],[IndicatorCode]])</f>
        <v>72.66514008620689</v>
      </c>
      <c r="I7289" cm="1">
        <f t="array" ref="I7289">_xlfn.STDEV.P(IF(Table1[IndicatorCode]=Table1[[#This Row],[IndicatorCode]],Table1[value]))</f>
        <v>6.3409496564024987</v>
      </c>
      <c r="J7289">
        <f>(Table1[[#This Row],[value]] - Table1[[#This Row],[mean]]) / Table1[[#This Row],[std_dev]]</f>
        <v>0.84133453234508293</v>
      </c>
      <c r="K7289">
        <f>AVERAGEIF(Table1[CountryCode],Table1[[#This Row],[CountryCode]],Table1[z-score])</f>
        <v>0.63319255148184794</v>
      </c>
      <c r="L7289" t="e">
        <f>VLOOKUP(Table1[[#This Row],[CountryCode]],[1]!Table1[#All],1,FALSE)</f>
        <v>#REF!</v>
      </c>
    </row>
    <row r="7290" spans="1:12" hidden="1" x14ac:dyDescent="0.3">
      <c r="A7290" t="s">
        <v>11</v>
      </c>
      <c r="B7290" t="s">
        <v>12</v>
      </c>
      <c r="C7290" t="s">
        <v>129</v>
      </c>
      <c r="D7290" t="s">
        <v>130</v>
      </c>
      <c r="E7290">
        <v>1985</v>
      </c>
      <c r="F7290" s="1">
        <v>78</v>
      </c>
      <c r="G7290">
        <v>1980</v>
      </c>
      <c r="H7290">
        <f>AVERAGEIFS(Table1[value],Table1[IndicatorCode],Table1[[#This Row],[IndicatorCode]])</f>
        <v>72.66514008620689</v>
      </c>
      <c r="I7290" cm="1">
        <f t="array" ref="I7290">_xlfn.STDEV.P(IF(Table1[IndicatorCode]=Table1[[#This Row],[IndicatorCode]],Table1[value]))</f>
        <v>6.3409496564024987</v>
      </c>
      <c r="J7290">
        <f>(Table1[[#This Row],[value]] - Table1[[#This Row],[mean]]) / Table1[[#This Row],[std_dev]]</f>
        <v>0.84133453234508293</v>
      </c>
      <c r="K7290">
        <f>AVERAGEIF(Table1[CountryCode],Table1[[#This Row],[CountryCode]],Table1[z-score])</f>
        <v>0.63319255148184794</v>
      </c>
      <c r="L7290" t="e">
        <f>VLOOKUP(Table1[[#This Row],[CountryCode]],[1]!Table1[#All],1,FALSE)</f>
        <v>#REF!</v>
      </c>
    </row>
    <row r="7291" spans="1:12" hidden="1" x14ac:dyDescent="0.3">
      <c r="A7291" t="s">
        <v>11</v>
      </c>
      <c r="B7291" t="s">
        <v>12</v>
      </c>
      <c r="C7291" t="s">
        <v>129</v>
      </c>
      <c r="D7291" t="s">
        <v>130</v>
      </c>
      <c r="E7291">
        <v>1986</v>
      </c>
      <c r="F7291" s="1">
        <v>78</v>
      </c>
      <c r="G7291">
        <v>1980</v>
      </c>
      <c r="H7291">
        <f>AVERAGEIFS(Table1[value],Table1[IndicatorCode],Table1[[#This Row],[IndicatorCode]])</f>
        <v>72.66514008620689</v>
      </c>
      <c r="I7291" cm="1">
        <f t="array" ref="I7291">_xlfn.STDEV.P(IF(Table1[IndicatorCode]=Table1[[#This Row],[IndicatorCode]],Table1[value]))</f>
        <v>6.3409496564024987</v>
      </c>
      <c r="J7291">
        <f>(Table1[[#This Row],[value]] - Table1[[#This Row],[mean]]) / Table1[[#This Row],[std_dev]]</f>
        <v>0.84133453234508293</v>
      </c>
      <c r="K7291">
        <f>AVERAGEIF(Table1[CountryCode],Table1[[#This Row],[CountryCode]],Table1[z-score])</f>
        <v>0.63319255148184794</v>
      </c>
      <c r="L7291" t="e">
        <f>VLOOKUP(Table1[[#This Row],[CountryCode]],[1]!Table1[#All],1,FALSE)</f>
        <v>#REF!</v>
      </c>
    </row>
    <row r="7292" spans="1:12" hidden="1" x14ac:dyDescent="0.3">
      <c r="A7292" t="s">
        <v>11</v>
      </c>
      <c r="B7292" t="s">
        <v>12</v>
      </c>
      <c r="C7292" t="s">
        <v>129</v>
      </c>
      <c r="D7292" t="s">
        <v>130</v>
      </c>
      <c r="E7292">
        <v>1987</v>
      </c>
      <c r="F7292" s="1">
        <v>78</v>
      </c>
      <c r="G7292">
        <v>1990</v>
      </c>
      <c r="H7292">
        <f>AVERAGEIFS(Table1[value],Table1[IndicatorCode],Table1[[#This Row],[IndicatorCode]])</f>
        <v>72.66514008620689</v>
      </c>
      <c r="I7292" cm="1">
        <f t="array" ref="I7292">_xlfn.STDEV.P(IF(Table1[IndicatorCode]=Table1[[#This Row],[IndicatorCode]],Table1[value]))</f>
        <v>6.3409496564024987</v>
      </c>
      <c r="J7292">
        <f>(Table1[[#This Row],[value]] - Table1[[#This Row],[mean]]) / Table1[[#This Row],[std_dev]]</f>
        <v>0.84133453234508293</v>
      </c>
      <c r="K7292">
        <f>AVERAGEIF(Table1[CountryCode],Table1[[#This Row],[CountryCode]],Table1[z-score])</f>
        <v>0.63319255148184794</v>
      </c>
      <c r="L7292" t="e">
        <f>VLOOKUP(Table1[[#This Row],[CountryCode]],[1]!Table1[#All],1,FALSE)</f>
        <v>#REF!</v>
      </c>
    </row>
    <row r="7293" spans="1:12" hidden="1" x14ac:dyDescent="0.3">
      <c r="A7293" t="s">
        <v>11</v>
      </c>
      <c r="B7293" t="s">
        <v>12</v>
      </c>
      <c r="C7293" t="s">
        <v>129</v>
      </c>
      <c r="D7293" t="s">
        <v>130</v>
      </c>
      <c r="E7293">
        <v>1988</v>
      </c>
      <c r="F7293" s="1">
        <v>78</v>
      </c>
      <c r="G7293">
        <v>1990</v>
      </c>
      <c r="H7293">
        <f>AVERAGEIFS(Table1[value],Table1[IndicatorCode],Table1[[#This Row],[IndicatorCode]])</f>
        <v>72.66514008620689</v>
      </c>
      <c r="I7293" cm="1">
        <f t="array" ref="I7293">_xlfn.STDEV.P(IF(Table1[IndicatorCode]=Table1[[#This Row],[IndicatorCode]],Table1[value]))</f>
        <v>6.3409496564024987</v>
      </c>
      <c r="J7293">
        <f>(Table1[[#This Row],[value]] - Table1[[#This Row],[mean]]) / Table1[[#This Row],[std_dev]]</f>
        <v>0.84133453234508293</v>
      </c>
      <c r="K7293">
        <f>AVERAGEIF(Table1[CountryCode],Table1[[#This Row],[CountryCode]],Table1[z-score])</f>
        <v>0.63319255148184794</v>
      </c>
      <c r="L7293" t="e">
        <f>VLOOKUP(Table1[[#This Row],[CountryCode]],[1]!Table1[#All],1,FALSE)</f>
        <v>#REF!</v>
      </c>
    </row>
    <row r="7294" spans="1:12" hidden="1" x14ac:dyDescent="0.3">
      <c r="A7294" t="s">
        <v>11</v>
      </c>
      <c r="B7294" t="s">
        <v>12</v>
      </c>
      <c r="C7294" t="s">
        <v>129</v>
      </c>
      <c r="D7294" t="s">
        <v>130</v>
      </c>
      <c r="E7294">
        <v>1989</v>
      </c>
      <c r="F7294" s="1">
        <v>79</v>
      </c>
      <c r="G7294">
        <v>1990</v>
      </c>
      <c r="H7294">
        <f>AVERAGEIFS(Table1[value],Table1[IndicatorCode],Table1[[#This Row],[IndicatorCode]])</f>
        <v>72.66514008620689</v>
      </c>
      <c r="I7294" cm="1">
        <f t="array" ref="I7294">_xlfn.STDEV.P(IF(Table1[IndicatorCode]=Table1[[#This Row],[IndicatorCode]],Table1[value]))</f>
        <v>6.3409496564024987</v>
      </c>
      <c r="J7294">
        <f>(Table1[[#This Row],[value]] - Table1[[#This Row],[mean]]) / Table1[[#This Row],[std_dev]]</f>
        <v>0.99903961662852192</v>
      </c>
      <c r="K7294">
        <f>AVERAGEIF(Table1[CountryCode],Table1[[#This Row],[CountryCode]],Table1[z-score])</f>
        <v>0.63319255148184794</v>
      </c>
      <c r="L7294" t="e">
        <f>VLOOKUP(Table1[[#This Row],[CountryCode]],[1]!Table1[#All],1,FALSE)</f>
        <v>#REF!</v>
      </c>
    </row>
    <row r="7295" spans="1:12" hidden="1" x14ac:dyDescent="0.3">
      <c r="A7295" t="s">
        <v>11</v>
      </c>
      <c r="B7295" t="s">
        <v>12</v>
      </c>
      <c r="C7295" t="s">
        <v>129</v>
      </c>
      <c r="D7295" t="s">
        <v>130</v>
      </c>
      <c r="E7295">
        <v>1990</v>
      </c>
      <c r="F7295" s="1">
        <v>79</v>
      </c>
      <c r="G7295">
        <v>1990</v>
      </c>
      <c r="H7295">
        <f>AVERAGEIFS(Table1[value],Table1[IndicatorCode],Table1[[#This Row],[IndicatorCode]])</f>
        <v>72.66514008620689</v>
      </c>
      <c r="I7295" cm="1">
        <f t="array" ref="I7295">_xlfn.STDEV.P(IF(Table1[IndicatorCode]=Table1[[#This Row],[IndicatorCode]],Table1[value]))</f>
        <v>6.3409496564024987</v>
      </c>
      <c r="J7295">
        <f>(Table1[[#This Row],[value]] - Table1[[#This Row],[mean]]) / Table1[[#This Row],[std_dev]]</f>
        <v>0.99903961662852192</v>
      </c>
      <c r="K7295">
        <f>AVERAGEIF(Table1[CountryCode],Table1[[#This Row],[CountryCode]],Table1[z-score])</f>
        <v>0.63319255148184794</v>
      </c>
      <c r="L7295" t="e">
        <f>VLOOKUP(Table1[[#This Row],[CountryCode]],[1]!Table1[#All],1,FALSE)</f>
        <v>#REF!</v>
      </c>
    </row>
    <row r="7296" spans="1:12" hidden="1" x14ac:dyDescent="0.3">
      <c r="A7296" t="s">
        <v>11</v>
      </c>
      <c r="B7296" t="s">
        <v>12</v>
      </c>
      <c r="C7296" t="s">
        <v>129</v>
      </c>
      <c r="D7296" t="s">
        <v>130</v>
      </c>
      <c r="E7296">
        <v>1991</v>
      </c>
      <c r="F7296" s="1">
        <v>79</v>
      </c>
      <c r="G7296">
        <v>1990</v>
      </c>
      <c r="H7296">
        <f>AVERAGEIFS(Table1[value],Table1[IndicatorCode],Table1[[#This Row],[IndicatorCode]])</f>
        <v>72.66514008620689</v>
      </c>
      <c r="I7296" cm="1">
        <f t="array" ref="I7296">_xlfn.STDEV.P(IF(Table1[IndicatorCode]=Table1[[#This Row],[IndicatorCode]],Table1[value]))</f>
        <v>6.3409496564024987</v>
      </c>
      <c r="J7296">
        <f>(Table1[[#This Row],[value]] - Table1[[#This Row],[mean]]) / Table1[[#This Row],[std_dev]]</f>
        <v>0.99903961662852192</v>
      </c>
      <c r="K7296">
        <f>AVERAGEIF(Table1[CountryCode],Table1[[#This Row],[CountryCode]],Table1[z-score])</f>
        <v>0.63319255148184794</v>
      </c>
      <c r="L7296" t="e">
        <f>VLOOKUP(Table1[[#This Row],[CountryCode]],[1]!Table1[#All],1,FALSE)</f>
        <v>#REF!</v>
      </c>
    </row>
    <row r="7297" spans="1:12" hidden="1" x14ac:dyDescent="0.3">
      <c r="A7297" t="s">
        <v>11</v>
      </c>
      <c r="B7297" t="s">
        <v>12</v>
      </c>
      <c r="C7297" t="s">
        <v>129</v>
      </c>
      <c r="D7297" t="s">
        <v>130</v>
      </c>
      <c r="E7297">
        <v>1992</v>
      </c>
      <c r="F7297" s="1">
        <v>80</v>
      </c>
      <c r="G7297">
        <v>1990</v>
      </c>
      <c r="H7297">
        <f>AVERAGEIFS(Table1[value],Table1[IndicatorCode],Table1[[#This Row],[IndicatorCode]])</f>
        <v>72.66514008620689</v>
      </c>
      <c r="I7297" cm="1">
        <f t="array" ref="I7297">_xlfn.STDEV.P(IF(Table1[IndicatorCode]=Table1[[#This Row],[IndicatorCode]],Table1[value]))</f>
        <v>6.3409496564024987</v>
      </c>
      <c r="J7297">
        <f>(Table1[[#This Row],[value]] - Table1[[#This Row],[mean]]) / Table1[[#This Row],[std_dev]]</f>
        <v>1.1567447009119609</v>
      </c>
      <c r="K7297">
        <f>AVERAGEIF(Table1[CountryCode],Table1[[#This Row],[CountryCode]],Table1[z-score])</f>
        <v>0.63319255148184794</v>
      </c>
      <c r="L7297" t="e">
        <f>VLOOKUP(Table1[[#This Row],[CountryCode]],[1]!Table1[#All],1,FALSE)</f>
        <v>#REF!</v>
      </c>
    </row>
    <row r="7298" spans="1:12" hidden="1" x14ac:dyDescent="0.3">
      <c r="A7298" t="s">
        <v>11</v>
      </c>
      <c r="B7298" t="s">
        <v>12</v>
      </c>
      <c r="C7298" t="s">
        <v>129</v>
      </c>
      <c r="D7298" t="s">
        <v>130</v>
      </c>
      <c r="E7298">
        <v>1993</v>
      </c>
      <c r="F7298" s="1">
        <v>80</v>
      </c>
      <c r="G7298">
        <v>1990</v>
      </c>
      <c r="H7298">
        <f>AVERAGEIFS(Table1[value],Table1[IndicatorCode],Table1[[#This Row],[IndicatorCode]])</f>
        <v>72.66514008620689</v>
      </c>
      <c r="I7298" cm="1">
        <f t="array" ref="I7298">_xlfn.STDEV.P(IF(Table1[IndicatorCode]=Table1[[#This Row],[IndicatorCode]],Table1[value]))</f>
        <v>6.3409496564024987</v>
      </c>
      <c r="J7298">
        <f>(Table1[[#This Row],[value]] - Table1[[#This Row],[mean]]) / Table1[[#This Row],[std_dev]]</f>
        <v>1.1567447009119609</v>
      </c>
      <c r="K7298">
        <f>AVERAGEIF(Table1[CountryCode],Table1[[#This Row],[CountryCode]],Table1[z-score])</f>
        <v>0.63319255148184794</v>
      </c>
      <c r="L7298" t="e">
        <f>VLOOKUP(Table1[[#This Row],[CountryCode]],[1]!Table1[#All],1,FALSE)</f>
        <v>#REF!</v>
      </c>
    </row>
    <row r="7299" spans="1:12" hidden="1" x14ac:dyDescent="0.3">
      <c r="A7299" t="s">
        <v>11</v>
      </c>
      <c r="B7299" t="s">
        <v>12</v>
      </c>
      <c r="C7299" t="s">
        <v>129</v>
      </c>
      <c r="D7299" t="s">
        <v>130</v>
      </c>
      <c r="E7299">
        <v>1994</v>
      </c>
      <c r="F7299" s="1">
        <v>81</v>
      </c>
      <c r="G7299">
        <v>1990</v>
      </c>
      <c r="H7299">
        <f>AVERAGEIFS(Table1[value],Table1[IndicatorCode],Table1[[#This Row],[IndicatorCode]])</f>
        <v>72.66514008620689</v>
      </c>
      <c r="I7299" cm="1">
        <f t="array" ref="I7299">_xlfn.STDEV.P(IF(Table1[IndicatorCode]=Table1[[#This Row],[IndicatorCode]],Table1[value]))</f>
        <v>6.3409496564024987</v>
      </c>
      <c r="J7299">
        <f>(Table1[[#This Row],[value]] - Table1[[#This Row],[mean]]) / Table1[[#This Row],[std_dev]]</f>
        <v>1.3144497851954</v>
      </c>
      <c r="K7299">
        <f>AVERAGEIF(Table1[CountryCode],Table1[[#This Row],[CountryCode]],Table1[z-score])</f>
        <v>0.63319255148184794</v>
      </c>
      <c r="L7299" t="e">
        <f>VLOOKUP(Table1[[#This Row],[CountryCode]],[1]!Table1[#All],1,FALSE)</f>
        <v>#REF!</v>
      </c>
    </row>
    <row r="7300" spans="1:12" hidden="1" x14ac:dyDescent="0.3">
      <c r="A7300" t="s">
        <v>11</v>
      </c>
      <c r="B7300" t="s">
        <v>12</v>
      </c>
      <c r="C7300" t="s">
        <v>129</v>
      </c>
      <c r="D7300" t="s">
        <v>130</v>
      </c>
      <c r="E7300">
        <v>1995</v>
      </c>
      <c r="F7300" s="1">
        <v>81</v>
      </c>
      <c r="G7300">
        <v>1990</v>
      </c>
      <c r="H7300">
        <f>AVERAGEIFS(Table1[value],Table1[IndicatorCode],Table1[[#This Row],[IndicatorCode]])</f>
        <v>72.66514008620689</v>
      </c>
      <c r="I7300" cm="1">
        <f t="array" ref="I7300">_xlfn.STDEV.P(IF(Table1[IndicatorCode]=Table1[[#This Row],[IndicatorCode]],Table1[value]))</f>
        <v>6.3409496564024987</v>
      </c>
      <c r="J7300">
        <f>(Table1[[#This Row],[value]] - Table1[[#This Row],[mean]]) / Table1[[#This Row],[std_dev]]</f>
        <v>1.3144497851954</v>
      </c>
      <c r="K7300">
        <f>AVERAGEIF(Table1[CountryCode],Table1[[#This Row],[CountryCode]],Table1[z-score])</f>
        <v>0.63319255148184794</v>
      </c>
      <c r="L7300" t="e">
        <f>VLOOKUP(Table1[[#This Row],[CountryCode]],[1]!Table1[#All],1,FALSE)</f>
        <v>#REF!</v>
      </c>
    </row>
    <row r="7301" spans="1:12" hidden="1" x14ac:dyDescent="0.3">
      <c r="A7301" t="s">
        <v>11</v>
      </c>
      <c r="B7301" t="s">
        <v>12</v>
      </c>
      <c r="C7301" t="s">
        <v>129</v>
      </c>
      <c r="D7301" t="s">
        <v>130</v>
      </c>
      <c r="E7301">
        <v>1996</v>
      </c>
      <c r="F7301" s="1">
        <v>81</v>
      </c>
      <c r="G7301">
        <v>1990</v>
      </c>
      <c r="H7301">
        <f>AVERAGEIFS(Table1[value],Table1[IndicatorCode],Table1[[#This Row],[IndicatorCode]])</f>
        <v>72.66514008620689</v>
      </c>
      <c r="I7301" cm="1">
        <f t="array" ref="I7301">_xlfn.STDEV.P(IF(Table1[IndicatorCode]=Table1[[#This Row],[IndicatorCode]],Table1[value]))</f>
        <v>6.3409496564024987</v>
      </c>
      <c r="J7301">
        <f>(Table1[[#This Row],[value]] - Table1[[#This Row],[mean]]) / Table1[[#This Row],[std_dev]]</f>
        <v>1.3144497851954</v>
      </c>
      <c r="K7301">
        <f>AVERAGEIF(Table1[CountryCode],Table1[[#This Row],[CountryCode]],Table1[z-score])</f>
        <v>0.63319255148184794</v>
      </c>
      <c r="L7301" t="e">
        <f>VLOOKUP(Table1[[#This Row],[CountryCode]],[1]!Table1[#All],1,FALSE)</f>
        <v>#REF!</v>
      </c>
    </row>
    <row r="7302" spans="1:12" hidden="1" x14ac:dyDescent="0.3">
      <c r="A7302" t="s">
        <v>11</v>
      </c>
      <c r="B7302" t="s">
        <v>12</v>
      </c>
      <c r="C7302" t="s">
        <v>129</v>
      </c>
      <c r="D7302" t="s">
        <v>130</v>
      </c>
      <c r="E7302">
        <v>1997</v>
      </c>
      <c r="F7302" s="1">
        <v>81</v>
      </c>
      <c r="G7302">
        <v>2000</v>
      </c>
      <c r="H7302">
        <f>AVERAGEIFS(Table1[value],Table1[IndicatorCode],Table1[[#This Row],[IndicatorCode]])</f>
        <v>72.66514008620689</v>
      </c>
      <c r="I7302" cm="1">
        <f t="array" ref="I7302">_xlfn.STDEV.P(IF(Table1[IndicatorCode]=Table1[[#This Row],[IndicatorCode]],Table1[value]))</f>
        <v>6.3409496564024987</v>
      </c>
      <c r="J7302">
        <f>(Table1[[#This Row],[value]] - Table1[[#This Row],[mean]]) / Table1[[#This Row],[std_dev]]</f>
        <v>1.3144497851954</v>
      </c>
      <c r="K7302">
        <f>AVERAGEIF(Table1[CountryCode],Table1[[#This Row],[CountryCode]],Table1[z-score])</f>
        <v>0.63319255148184794</v>
      </c>
      <c r="L7302" t="e">
        <f>VLOOKUP(Table1[[#This Row],[CountryCode]],[1]!Table1[#All],1,FALSE)</f>
        <v>#REF!</v>
      </c>
    </row>
    <row r="7303" spans="1:12" hidden="1" x14ac:dyDescent="0.3">
      <c r="A7303" t="s">
        <v>11</v>
      </c>
      <c r="B7303" t="s">
        <v>12</v>
      </c>
      <c r="C7303" t="s">
        <v>129</v>
      </c>
      <c r="D7303" t="s">
        <v>130</v>
      </c>
      <c r="E7303">
        <v>1998</v>
      </c>
      <c r="F7303" s="1">
        <v>81</v>
      </c>
      <c r="G7303">
        <v>2000</v>
      </c>
      <c r="H7303">
        <f>AVERAGEIFS(Table1[value],Table1[IndicatorCode],Table1[[#This Row],[IndicatorCode]])</f>
        <v>72.66514008620689</v>
      </c>
      <c r="I7303" cm="1">
        <f t="array" ref="I7303">_xlfn.STDEV.P(IF(Table1[IndicatorCode]=Table1[[#This Row],[IndicatorCode]],Table1[value]))</f>
        <v>6.3409496564024987</v>
      </c>
      <c r="J7303">
        <f>(Table1[[#This Row],[value]] - Table1[[#This Row],[mean]]) / Table1[[#This Row],[std_dev]]</f>
        <v>1.3144497851954</v>
      </c>
      <c r="K7303">
        <f>AVERAGEIF(Table1[CountryCode],Table1[[#This Row],[CountryCode]],Table1[z-score])</f>
        <v>0.63319255148184794</v>
      </c>
      <c r="L7303" t="e">
        <f>VLOOKUP(Table1[[#This Row],[CountryCode]],[1]!Table1[#All],1,FALSE)</f>
        <v>#REF!</v>
      </c>
    </row>
    <row r="7304" spans="1:12" hidden="1" x14ac:dyDescent="0.3">
      <c r="A7304" t="s">
        <v>11</v>
      </c>
      <c r="B7304" t="s">
        <v>12</v>
      </c>
      <c r="C7304" t="s">
        <v>129</v>
      </c>
      <c r="D7304" t="s">
        <v>130</v>
      </c>
      <c r="E7304">
        <v>1999</v>
      </c>
      <c r="F7304" s="1">
        <v>82</v>
      </c>
      <c r="G7304">
        <v>2000</v>
      </c>
      <c r="H7304">
        <f>AVERAGEIFS(Table1[value],Table1[IndicatorCode],Table1[[#This Row],[IndicatorCode]])</f>
        <v>72.66514008620689</v>
      </c>
      <c r="I7304" cm="1">
        <f t="array" ref="I7304">_xlfn.STDEV.P(IF(Table1[IndicatorCode]=Table1[[#This Row],[IndicatorCode]],Table1[value]))</f>
        <v>6.3409496564024987</v>
      </c>
      <c r="J7304">
        <f>(Table1[[#This Row],[value]] - Table1[[#This Row],[mean]]) / Table1[[#This Row],[std_dev]]</f>
        <v>1.4721548694788391</v>
      </c>
      <c r="K7304">
        <f>AVERAGEIF(Table1[CountryCode],Table1[[#This Row],[CountryCode]],Table1[z-score])</f>
        <v>0.63319255148184794</v>
      </c>
      <c r="L7304" t="e">
        <f>VLOOKUP(Table1[[#This Row],[CountryCode]],[1]!Table1[#All],1,FALSE)</f>
        <v>#REF!</v>
      </c>
    </row>
    <row r="7305" spans="1:12" hidden="1" x14ac:dyDescent="0.3">
      <c r="A7305" t="s">
        <v>11</v>
      </c>
      <c r="B7305" t="s">
        <v>12</v>
      </c>
      <c r="C7305" t="s">
        <v>129</v>
      </c>
      <c r="D7305" t="s">
        <v>130</v>
      </c>
      <c r="E7305">
        <v>2000</v>
      </c>
      <c r="F7305" s="1">
        <v>82</v>
      </c>
      <c r="G7305">
        <v>2000</v>
      </c>
      <c r="H7305">
        <f>AVERAGEIFS(Table1[value],Table1[IndicatorCode],Table1[[#This Row],[IndicatorCode]])</f>
        <v>72.66514008620689</v>
      </c>
      <c r="I7305" cm="1">
        <f t="array" ref="I7305">_xlfn.STDEV.P(IF(Table1[IndicatorCode]=Table1[[#This Row],[IndicatorCode]],Table1[value]))</f>
        <v>6.3409496564024987</v>
      </c>
      <c r="J7305">
        <f>(Table1[[#This Row],[value]] - Table1[[#This Row],[mean]]) / Table1[[#This Row],[std_dev]]</f>
        <v>1.4721548694788391</v>
      </c>
      <c r="K7305">
        <f>AVERAGEIF(Table1[CountryCode],Table1[[#This Row],[CountryCode]],Table1[z-score])</f>
        <v>0.63319255148184794</v>
      </c>
      <c r="L7305" t="e">
        <f>VLOOKUP(Table1[[#This Row],[CountryCode]],[1]!Table1[#All],1,FALSE)</f>
        <v>#REF!</v>
      </c>
    </row>
    <row r="7306" spans="1:12" hidden="1" x14ac:dyDescent="0.3">
      <c r="A7306" t="s">
        <v>11</v>
      </c>
      <c r="B7306" t="s">
        <v>12</v>
      </c>
      <c r="C7306" t="s">
        <v>129</v>
      </c>
      <c r="D7306" t="s">
        <v>130</v>
      </c>
      <c r="E7306">
        <v>2001</v>
      </c>
      <c r="F7306" s="1">
        <v>82</v>
      </c>
      <c r="G7306">
        <v>2000</v>
      </c>
      <c r="H7306">
        <f>AVERAGEIFS(Table1[value],Table1[IndicatorCode],Table1[[#This Row],[IndicatorCode]])</f>
        <v>72.66514008620689</v>
      </c>
      <c r="I7306" cm="1">
        <f t="array" ref="I7306">_xlfn.STDEV.P(IF(Table1[IndicatorCode]=Table1[[#This Row],[IndicatorCode]],Table1[value]))</f>
        <v>6.3409496564024987</v>
      </c>
      <c r="J7306">
        <f>(Table1[[#This Row],[value]] - Table1[[#This Row],[mean]]) / Table1[[#This Row],[std_dev]]</f>
        <v>1.4721548694788391</v>
      </c>
      <c r="K7306">
        <f>AVERAGEIF(Table1[CountryCode],Table1[[#This Row],[CountryCode]],Table1[z-score])</f>
        <v>0.63319255148184794</v>
      </c>
      <c r="L7306" t="e">
        <f>VLOOKUP(Table1[[#This Row],[CountryCode]],[1]!Table1[#All],1,FALSE)</f>
        <v>#REF!</v>
      </c>
    </row>
    <row r="7307" spans="1:12" hidden="1" x14ac:dyDescent="0.3">
      <c r="A7307" t="s">
        <v>11</v>
      </c>
      <c r="B7307" t="s">
        <v>12</v>
      </c>
      <c r="C7307" t="s">
        <v>129</v>
      </c>
      <c r="D7307" t="s">
        <v>130</v>
      </c>
      <c r="E7307">
        <v>2002</v>
      </c>
      <c r="F7307" s="1">
        <v>82</v>
      </c>
      <c r="G7307">
        <v>2000</v>
      </c>
      <c r="H7307">
        <f>AVERAGEIFS(Table1[value],Table1[IndicatorCode],Table1[[#This Row],[IndicatorCode]])</f>
        <v>72.66514008620689</v>
      </c>
      <c r="I7307" cm="1">
        <f t="array" ref="I7307">_xlfn.STDEV.P(IF(Table1[IndicatorCode]=Table1[[#This Row],[IndicatorCode]],Table1[value]))</f>
        <v>6.3409496564024987</v>
      </c>
      <c r="J7307">
        <f>(Table1[[#This Row],[value]] - Table1[[#This Row],[mean]]) / Table1[[#This Row],[std_dev]]</f>
        <v>1.4721548694788391</v>
      </c>
      <c r="K7307">
        <f>AVERAGEIF(Table1[CountryCode],Table1[[#This Row],[CountryCode]],Table1[z-score])</f>
        <v>0.63319255148184794</v>
      </c>
      <c r="L7307" t="e">
        <f>VLOOKUP(Table1[[#This Row],[CountryCode]],[1]!Table1[#All],1,FALSE)</f>
        <v>#REF!</v>
      </c>
    </row>
    <row r="7308" spans="1:12" hidden="1" x14ac:dyDescent="0.3">
      <c r="A7308" t="s">
        <v>11</v>
      </c>
      <c r="B7308" t="s">
        <v>12</v>
      </c>
      <c r="C7308" t="s">
        <v>129</v>
      </c>
      <c r="D7308" t="s">
        <v>130</v>
      </c>
      <c r="E7308">
        <v>2003</v>
      </c>
      <c r="F7308" s="1">
        <v>83</v>
      </c>
      <c r="G7308">
        <v>2000</v>
      </c>
      <c r="H7308">
        <f>AVERAGEIFS(Table1[value],Table1[IndicatorCode],Table1[[#This Row],[IndicatorCode]])</f>
        <v>72.66514008620689</v>
      </c>
      <c r="I7308" cm="1">
        <f t="array" ref="I7308">_xlfn.STDEV.P(IF(Table1[IndicatorCode]=Table1[[#This Row],[IndicatorCode]],Table1[value]))</f>
        <v>6.3409496564024987</v>
      </c>
      <c r="J7308">
        <f>(Table1[[#This Row],[value]] - Table1[[#This Row],[mean]]) / Table1[[#This Row],[std_dev]]</f>
        <v>1.6298599537622782</v>
      </c>
      <c r="K7308">
        <f>AVERAGEIF(Table1[CountryCode],Table1[[#This Row],[CountryCode]],Table1[z-score])</f>
        <v>0.63319255148184794</v>
      </c>
      <c r="L7308" t="e">
        <f>VLOOKUP(Table1[[#This Row],[CountryCode]],[1]!Table1[#All],1,FALSE)</f>
        <v>#REF!</v>
      </c>
    </row>
    <row r="7309" spans="1:12" hidden="1" x14ac:dyDescent="0.3">
      <c r="A7309" t="s">
        <v>11</v>
      </c>
      <c r="B7309" t="s">
        <v>12</v>
      </c>
      <c r="C7309" t="s">
        <v>129</v>
      </c>
      <c r="D7309" t="s">
        <v>130</v>
      </c>
      <c r="E7309">
        <v>2004</v>
      </c>
      <c r="F7309" s="1">
        <v>83</v>
      </c>
      <c r="G7309">
        <v>2000</v>
      </c>
      <c r="H7309">
        <f>AVERAGEIFS(Table1[value],Table1[IndicatorCode],Table1[[#This Row],[IndicatorCode]])</f>
        <v>72.66514008620689</v>
      </c>
      <c r="I7309" cm="1">
        <f t="array" ref="I7309">_xlfn.STDEV.P(IF(Table1[IndicatorCode]=Table1[[#This Row],[IndicatorCode]],Table1[value]))</f>
        <v>6.3409496564024987</v>
      </c>
      <c r="J7309">
        <f>(Table1[[#This Row],[value]] - Table1[[#This Row],[mean]]) / Table1[[#This Row],[std_dev]]</f>
        <v>1.6298599537622782</v>
      </c>
      <c r="K7309">
        <f>AVERAGEIF(Table1[CountryCode],Table1[[#This Row],[CountryCode]],Table1[z-score])</f>
        <v>0.63319255148184794</v>
      </c>
      <c r="L7309" t="e">
        <f>VLOOKUP(Table1[[#This Row],[CountryCode]],[1]!Table1[#All],1,FALSE)</f>
        <v>#REF!</v>
      </c>
    </row>
    <row r="7310" spans="1:12" hidden="1" x14ac:dyDescent="0.3">
      <c r="A7310" t="s">
        <v>11</v>
      </c>
      <c r="B7310" t="s">
        <v>12</v>
      </c>
      <c r="C7310" t="s">
        <v>129</v>
      </c>
      <c r="D7310" t="s">
        <v>130</v>
      </c>
      <c r="E7310">
        <v>2005</v>
      </c>
      <c r="F7310" s="1">
        <v>83</v>
      </c>
      <c r="G7310">
        <v>2000</v>
      </c>
      <c r="H7310">
        <f>AVERAGEIFS(Table1[value],Table1[IndicatorCode],Table1[[#This Row],[IndicatorCode]])</f>
        <v>72.66514008620689</v>
      </c>
      <c r="I7310" cm="1">
        <f t="array" ref="I7310">_xlfn.STDEV.P(IF(Table1[IndicatorCode]=Table1[[#This Row],[IndicatorCode]],Table1[value]))</f>
        <v>6.3409496564024987</v>
      </c>
      <c r="J7310">
        <f>(Table1[[#This Row],[value]] - Table1[[#This Row],[mean]]) / Table1[[#This Row],[std_dev]]</f>
        <v>1.6298599537622782</v>
      </c>
      <c r="K7310">
        <f>AVERAGEIF(Table1[CountryCode],Table1[[#This Row],[CountryCode]],Table1[z-score])</f>
        <v>0.63319255148184794</v>
      </c>
      <c r="L7310" t="e">
        <f>VLOOKUP(Table1[[#This Row],[CountryCode]],[1]!Table1[#All],1,FALSE)</f>
        <v>#REF!</v>
      </c>
    </row>
    <row r="7311" spans="1:12" hidden="1" x14ac:dyDescent="0.3">
      <c r="A7311" t="s">
        <v>11</v>
      </c>
      <c r="B7311" t="s">
        <v>12</v>
      </c>
      <c r="C7311" t="s">
        <v>129</v>
      </c>
      <c r="D7311" t="s">
        <v>130</v>
      </c>
      <c r="E7311">
        <v>2006</v>
      </c>
      <c r="F7311" s="1">
        <v>83</v>
      </c>
      <c r="G7311">
        <v>2000</v>
      </c>
      <c r="H7311">
        <f>AVERAGEIFS(Table1[value],Table1[IndicatorCode],Table1[[#This Row],[IndicatorCode]])</f>
        <v>72.66514008620689</v>
      </c>
      <c r="I7311" cm="1">
        <f t="array" ref="I7311">_xlfn.STDEV.P(IF(Table1[IndicatorCode]=Table1[[#This Row],[IndicatorCode]],Table1[value]))</f>
        <v>6.3409496564024987</v>
      </c>
      <c r="J7311">
        <f>(Table1[[#This Row],[value]] - Table1[[#This Row],[mean]]) / Table1[[#This Row],[std_dev]]</f>
        <v>1.6298599537622782</v>
      </c>
      <c r="K7311">
        <f>AVERAGEIF(Table1[CountryCode],Table1[[#This Row],[CountryCode]],Table1[z-score])</f>
        <v>0.63319255148184794</v>
      </c>
      <c r="L7311" t="e">
        <f>VLOOKUP(Table1[[#This Row],[CountryCode]],[1]!Table1[#All],1,FALSE)</f>
        <v>#REF!</v>
      </c>
    </row>
    <row r="7312" spans="1:12" hidden="1" x14ac:dyDescent="0.3">
      <c r="A7312" t="s">
        <v>11</v>
      </c>
      <c r="B7312" t="s">
        <v>12</v>
      </c>
      <c r="C7312" t="s">
        <v>129</v>
      </c>
      <c r="D7312" t="s">
        <v>130</v>
      </c>
      <c r="E7312">
        <v>2007</v>
      </c>
      <c r="F7312" s="1">
        <v>84</v>
      </c>
      <c r="G7312">
        <v>2010</v>
      </c>
      <c r="H7312">
        <f>AVERAGEIFS(Table1[value],Table1[IndicatorCode],Table1[[#This Row],[IndicatorCode]])</f>
        <v>72.66514008620689</v>
      </c>
      <c r="I7312" cm="1">
        <f t="array" ref="I7312">_xlfn.STDEV.P(IF(Table1[IndicatorCode]=Table1[[#This Row],[IndicatorCode]],Table1[value]))</f>
        <v>6.3409496564024987</v>
      </c>
      <c r="J7312">
        <f>(Table1[[#This Row],[value]] - Table1[[#This Row],[mean]]) / Table1[[#This Row],[std_dev]]</f>
        <v>1.7875650380457173</v>
      </c>
      <c r="K7312">
        <f>AVERAGEIF(Table1[CountryCode],Table1[[#This Row],[CountryCode]],Table1[z-score])</f>
        <v>0.63319255148184794</v>
      </c>
      <c r="L7312" t="e">
        <f>VLOOKUP(Table1[[#This Row],[CountryCode]],[1]!Table1[#All],1,FALSE)</f>
        <v>#REF!</v>
      </c>
    </row>
    <row r="7313" spans="1:12" hidden="1" x14ac:dyDescent="0.3">
      <c r="A7313" t="s">
        <v>11</v>
      </c>
      <c r="B7313" t="s">
        <v>12</v>
      </c>
      <c r="C7313" t="s">
        <v>129</v>
      </c>
      <c r="D7313" t="s">
        <v>130</v>
      </c>
      <c r="E7313">
        <v>2008</v>
      </c>
      <c r="F7313" s="1">
        <v>84</v>
      </c>
      <c r="G7313">
        <v>2010</v>
      </c>
      <c r="H7313">
        <f>AVERAGEIFS(Table1[value],Table1[IndicatorCode],Table1[[#This Row],[IndicatorCode]])</f>
        <v>72.66514008620689</v>
      </c>
      <c r="I7313" cm="1">
        <f t="array" ref="I7313">_xlfn.STDEV.P(IF(Table1[IndicatorCode]=Table1[[#This Row],[IndicatorCode]],Table1[value]))</f>
        <v>6.3409496564024987</v>
      </c>
      <c r="J7313">
        <f>(Table1[[#This Row],[value]] - Table1[[#This Row],[mean]]) / Table1[[#This Row],[std_dev]]</f>
        <v>1.7875650380457173</v>
      </c>
      <c r="K7313">
        <f>AVERAGEIF(Table1[CountryCode],Table1[[#This Row],[CountryCode]],Table1[z-score])</f>
        <v>0.63319255148184794</v>
      </c>
      <c r="L7313" t="e">
        <f>VLOOKUP(Table1[[#This Row],[CountryCode]],[1]!Table1[#All],1,FALSE)</f>
        <v>#REF!</v>
      </c>
    </row>
    <row r="7314" spans="1:12" hidden="1" x14ac:dyDescent="0.3">
      <c r="A7314" t="s">
        <v>11</v>
      </c>
      <c r="B7314" t="s">
        <v>12</v>
      </c>
      <c r="C7314" t="s">
        <v>129</v>
      </c>
      <c r="D7314" t="s">
        <v>130</v>
      </c>
      <c r="E7314">
        <v>2009</v>
      </c>
      <c r="F7314" s="1">
        <v>84</v>
      </c>
      <c r="G7314">
        <v>2010</v>
      </c>
      <c r="H7314">
        <f>AVERAGEIFS(Table1[value],Table1[IndicatorCode],Table1[[#This Row],[IndicatorCode]])</f>
        <v>72.66514008620689</v>
      </c>
      <c r="I7314" cm="1">
        <f t="array" ref="I7314">_xlfn.STDEV.P(IF(Table1[IndicatorCode]=Table1[[#This Row],[IndicatorCode]],Table1[value]))</f>
        <v>6.3409496564024987</v>
      </c>
      <c r="J7314">
        <f>(Table1[[#This Row],[value]] - Table1[[#This Row],[mean]]) / Table1[[#This Row],[std_dev]]</f>
        <v>1.7875650380457173</v>
      </c>
      <c r="K7314">
        <f>AVERAGEIF(Table1[CountryCode],Table1[[#This Row],[CountryCode]],Table1[z-score])</f>
        <v>0.63319255148184794</v>
      </c>
      <c r="L7314" t="e">
        <f>VLOOKUP(Table1[[#This Row],[CountryCode]],[1]!Table1[#All],1,FALSE)</f>
        <v>#REF!</v>
      </c>
    </row>
    <row r="7315" spans="1:12" hidden="1" x14ac:dyDescent="0.3">
      <c r="A7315" t="s">
        <v>11</v>
      </c>
      <c r="B7315" t="s">
        <v>12</v>
      </c>
      <c r="C7315" t="s">
        <v>129</v>
      </c>
      <c r="D7315" t="s">
        <v>130</v>
      </c>
      <c r="E7315">
        <v>2010</v>
      </c>
      <c r="F7315" s="1">
        <v>84</v>
      </c>
      <c r="G7315">
        <v>2010</v>
      </c>
      <c r="H7315">
        <f>AVERAGEIFS(Table1[value],Table1[IndicatorCode],Table1[[#This Row],[IndicatorCode]])</f>
        <v>72.66514008620689</v>
      </c>
      <c r="I7315" cm="1">
        <f t="array" ref="I7315">_xlfn.STDEV.P(IF(Table1[IndicatorCode]=Table1[[#This Row],[IndicatorCode]],Table1[value]))</f>
        <v>6.3409496564024987</v>
      </c>
      <c r="J7315">
        <f>(Table1[[#This Row],[value]] - Table1[[#This Row],[mean]]) / Table1[[#This Row],[std_dev]]</f>
        <v>1.7875650380457173</v>
      </c>
      <c r="K7315">
        <f>AVERAGEIF(Table1[CountryCode],Table1[[#This Row],[CountryCode]],Table1[z-score])</f>
        <v>0.63319255148184794</v>
      </c>
      <c r="L7315" t="e">
        <f>VLOOKUP(Table1[[#This Row],[CountryCode]],[1]!Table1[#All],1,FALSE)</f>
        <v>#REF!</v>
      </c>
    </row>
    <row r="7316" spans="1:12" hidden="1" x14ac:dyDescent="0.3">
      <c r="A7316" t="s">
        <v>11</v>
      </c>
      <c r="B7316" t="s">
        <v>12</v>
      </c>
      <c r="C7316" t="s">
        <v>129</v>
      </c>
      <c r="D7316" t="s">
        <v>130</v>
      </c>
      <c r="E7316">
        <v>2011</v>
      </c>
      <c r="F7316" s="1">
        <v>84</v>
      </c>
      <c r="G7316">
        <v>2010</v>
      </c>
      <c r="H7316">
        <f>AVERAGEIFS(Table1[value],Table1[IndicatorCode],Table1[[#This Row],[IndicatorCode]])</f>
        <v>72.66514008620689</v>
      </c>
      <c r="I7316" cm="1">
        <f t="array" ref="I7316">_xlfn.STDEV.P(IF(Table1[IndicatorCode]=Table1[[#This Row],[IndicatorCode]],Table1[value]))</f>
        <v>6.3409496564024987</v>
      </c>
      <c r="J7316">
        <f>(Table1[[#This Row],[value]] - Table1[[#This Row],[mean]]) / Table1[[#This Row],[std_dev]]</f>
        <v>1.7875650380457173</v>
      </c>
      <c r="K7316">
        <f>AVERAGEIF(Table1[CountryCode],Table1[[#This Row],[CountryCode]],Table1[z-score])</f>
        <v>0.63319255148184794</v>
      </c>
      <c r="L7316" t="e">
        <f>VLOOKUP(Table1[[#This Row],[CountryCode]],[1]!Table1[#All],1,FALSE)</f>
        <v>#REF!</v>
      </c>
    </row>
    <row r="7317" spans="1:12" hidden="1" x14ac:dyDescent="0.3">
      <c r="A7317" t="s">
        <v>11</v>
      </c>
      <c r="B7317" t="s">
        <v>12</v>
      </c>
      <c r="C7317" t="s">
        <v>129</v>
      </c>
      <c r="D7317" t="s">
        <v>130</v>
      </c>
      <c r="E7317">
        <v>2012</v>
      </c>
      <c r="F7317" s="1">
        <v>84</v>
      </c>
      <c r="G7317">
        <v>2010</v>
      </c>
      <c r="H7317">
        <f>AVERAGEIFS(Table1[value],Table1[IndicatorCode],Table1[[#This Row],[IndicatorCode]])</f>
        <v>72.66514008620689</v>
      </c>
      <c r="I7317" cm="1">
        <f t="array" ref="I7317">_xlfn.STDEV.P(IF(Table1[IndicatorCode]=Table1[[#This Row],[IndicatorCode]],Table1[value]))</f>
        <v>6.3409496564024987</v>
      </c>
      <c r="J7317">
        <f>(Table1[[#This Row],[value]] - Table1[[#This Row],[mean]]) / Table1[[#This Row],[std_dev]]</f>
        <v>1.7875650380457173</v>
      </c>
      <c r="K7317">
        <f>AVERAGEIF(Table1[CountryCode],Table1[[#This Row],[CountryCode]],Table1[z-score])</f>
        <v>0.63319255148184794</v>
      </c>
      <c r="L7317" t="e">
        <f>VLOOKUP(Table1[[#This Row],[CountryCode]],[1]!Table1[#All],1,FALSE)</f>
        <v>#REF!</v>
      </c>
    </row>
    <row r="7318" spans="1:12" hidden="1" x14ac:dyDescent="0.3">
      <c r="A7318" t="s">
        <v>11</v>
      </c>
      <c r="B7318" t="s">
        <v>12</v>
      </c>
      <c r="C7318" t="s">
        <v>129</v>
      </c>
      <c r="D7318" t="s">
        <v>130</v>
      </c>
      <c r="E7318">
        <v>2013</v>
      </c>
      <c r="F7318" s="1">
        <v>84</v>
      </c>
      <c r="G7318">
        <v>2010</v>
      </c>
      <c r="H7318">
        <f>AVERAGEIFS(Table1[value],Table1[IndicatorCode],Table1[[#This Row],[IndicatorCode]])</f>
        <v>72.66514008620689</v>
      </c>
      <c r="I7318" cm="1">
        <f t="array" ref="I7318">_xlfn.STDEV.P(IF(Table1[IndicatorCode]=Table1[[#This Row],[IndicatorCode]],Table1[value]))</f>
        <v>6.3409496564024987</v>
      </c>
      <c r="J7318">
        <f>(Table1[[#This Row],[value]] - Table1[[#This Row],[mean]]) / Table1[[#This Row],[std_dev]]</f>
        <v>1.7875650380457173</v>
      </c>
      <c r="K7318">
        <f>AVERAGEIF(Table1[CountryCode],Table1[[#This Row],[CountryCode]],Table1[z-score])</f>
        <v>0.63319255148184794</v>
      </c>
      <c r="L7318" t="e">
        <f>VLOOKUP(Table1[[#This Row],[CountryCode]],[1]!Table1[#All],1,FALSE)</f>
        <v>#REF!</v>
      </c>
    </row>
    <row r="7319" spans="1:12" hidden="1" x14ac:dyDescent="0.3">
      <c r="A7319" t="s">
        <v>11</v>
      </c>
      <c r="B7319" t="s">
        <v>12</v>
      </c>
      <c r="C7319" t="s">
        <v>129</v>
      </c>
      <c r="D7319" t="s">
        <v>130</v>
      </c>
      <c r="E7319">
        <v>2014</v>
      </c>
      <c r="F7319" s="1">
        <v>84</v>
      </c>
      <c r="G7319">
        <v>2010</v>
      </c>
      <c r="H7319">
        <f>AVERAGEIFS(Table1[value],Table1[IndicatorCode],Table1[[#This Row],[IndicatorCode]])</f>
        <v>72.66514008620689</v>
      </c>
      <c r="I7319" cm="1">
        <f t="array" ref="I7319">_xlfn.STDEV.P(IF(Table1[IndicatorCode]=Table1[[#This Row],[IndicatorCode]],Table1[value]))</f>
        <v>6.3409496564024987</v>
      </c>
      <c r="J7319">
        <f>(Table1[[#This Row],[value]] - Table1[[#This Row],[mean]]) / Table1[[#This Row],[std_dev]]</f>
        <v>1.7875650380457173</v>
      </c>
      <c r="K7319">
        <f>AVERAGEIF(Table1[CountryCode],Table1[[#This Row],[CountryCode]],Table1[z-score])</f>
        <v>0.63319255148184794</v>
      </c>
      <c r="L7319" t="e">
        <f>VLOOKUP(Table1[[#This Row],[CountryCode]],[1]!Table1[#All],1,FALSE)</f>
        <v>#REF!</v>
      </c>
    </row>
    <row r="7320" spans="1:12" hidden="1" x14ac:dyDescent="0.3">
      <c r="A7320" t="s">
        <v>11</v>
      </c>
      <c r="B7320" t="s">
        <v>12</v>
      </c>
      <c r="C7320" t="s">
        <v>129</v>
      </c>
      <c r="D7320" t="s">
        <v>130</v>
      </c>
      <c r="E7320">
        <v>2015</v>
      </c>
      <c r="F7320" s="1">
        <v>85</v>
      </c>
      <c r="G7320">
        <v>2010</v>
      </c>
      <c r="H7320">
        <f>AVERAGEIFS(Table1[value],Table1[IndicatorCode],Table1[[#This Row],[IndicatorCode]])</f>
        <v>72.66514008620689</v>
      </c>
      <c r="I7320" cm="1">
        <f t="array" ref="I7320">_xlfn.STDEV.P(IF(Table1[IndicatorCode]=Table1[[#This Row],[IndicatorCode]],Table1[value]))</f>
        <v>6.3409496564024987</v>
      </c>
      <c r="J7320">
        <f>(Table1[[#This Row],[value]] - Table1[[#This Row],[mean]]) / Table1[[#This Row],[std_dev]]</f>
        <v>1.9452701223291562</v>
      </c>
      <c r="K7320">
        <f>AVERAGEIF(Table1[CountryCode],Table1[[#This Row],[CountryCode]],Table1[z-score])</f>
        <v>0.63319255148184794</v>
      </c>
      <c r="L7320" t="e">
        <f>VLOOKUP(Table1[[#This Row],[CountryCode]],[1]!Table1[#All],1,FALSE)</f>
        <v>#REF!</v>
      </c>
    </row>
    <row r="7321" spans="1:12" hidden="1" x14ac:dyDescent="0.3">
      <c r="A7321" t="s">
        <v>11</v>
      </c>
      <c r="B7321" t="s">
        <v>12</v>
      </c>
      <c r="C7321" t="s">
        <v>129</v>
      </c>
      <c r="D7321" t="s">
        <v>130</v>
      </c>
      <c r="E7321">
        <v>2016</v>
      </c>
      <c r="F7321" s="1">
        <v>84</v>
      </c>
      <c r="G7321">
        <v>2010</v>
      </c>
      <c r="H7321">
        <f>AVERAGEIFS(Table1[value],Table1[IndicatorCode],Table1[[#This Row],[IndicatorCode]])</f>
        <v>72.66514008620689</v>
      </c>
      <c r="I7321" cm="1">
        <f t="array" ref="I7321">_xlfn.STDEV.P(IF(Table1[IndicatorCode]=Table1[[#This Row],[IndicatorCode]],Table1[value]))</f>
        <v>6.3409496564024987</v>
      </c>
      <c r="J7321">
        <f>(Table1[[#This Row],[value]] - Table1[[#This Row],[mean]]) / Table1[[#This Row],[std_dev]]</f>
        <v>1.7875650380457173</v>
      </c>
      <c r="K7321">
        <f>AVERAGEIF(Table1[CountryCode],Table1[[#This Row],[CountryCode]],Table1[z-score])</f>
        <v>0.63319255148184794</v>
      </c>
      <c r="L7321" t="e">
        <f>VLOOKUP(Table1[[#This Row],[CountryCode]],[1]!Table1[#All],1,FALSE)</f>
        <v>#REF!</v>
      </c>
    </row>
    <row r="7322" spans="1:12" hidden="1" x14ac:dyDescent="0.3">
      <c r="A7322" t="s">
        <v>11</v>
      </c>
      <c r="B7322" t="s">
        <v>12</v>
      </c>
      <c r="C7322" t="s">
        <v>129</v>
      </c>
      <c r="D7322" t="s">
        <v>130</v>
      </c>
      <c r="E7322">
        <v>2017</v>
      </c>
      <c r="F7322" s="1">
        <v>84</v>
      </c>
      <c r="G7322">
        <v>2020</v>
      </c>
      <c r="H7322">
        <f>AVERAGEIFS(Table1[value],Table1[IndicatorCode],Table1[[#This Row],[IndicatorCode]])</f>
        <v>72.66514008620689</v>
      </c>
      <c r="I7322" cm="1">
        <f t="array" ref="I7322">_xlfn.STDEV.P(IF(Table1[IndicatorCode]=Table1[[#This Row],[IndicatorCode]],Table1[value]))</f>
        <v>6.3409496564024987</v>
      </c>
      <c r="J7322">
        <f>(Table1[[#This Row],[value]] - Table1[[#This Row],[mean]]) / Table1[[#This Row],[std_dev]]</f>
        <v>1.7875650380457173</v>
      </c>
      <c r="K7322">
        <f>AVERAGEIF(Table1[CountryCode],Table1[[#This Row],[CountryCode]],Table1[z-score])</f>
        <v>0.63319255148184794</v>
      </c>
      <c r="L7322" t="e">
        <f>VLOOKUP(Table1[[#This Row],[CountryCode]],[1]!Table1[#All],1,FALSE)</f>
        <v>#REF!</v>
      </c>
    </row>
    <row r="7323" spans="1:12" hidden="1" x14ac:dyDescent="0.3">
      <c r="A7323" t="s">
        <v>11</v>
      </c>
      <c r="B7323" t="s">
        <v>12</v>
      </c>
      <c r="C7323" t="s">
        <v>129</v>
      </c>
      <c r="D7323" t="s">
        <v>130</v>
      </c>
      <c r="E7323">
        <v>2018</v>
      </c>
      <c r="F7323" s="1">
        <v>84</v>
      </c>
      <c r="G7323">
        <v>2020</v>
      </c>
      <c r="H7323">
        <f>AVERAGEIFS(Table1[value],Table1[IndicatorCode],Table1[[#This Row],[IndicatorCode]])</f>
        <v>72.66514008620689</v>
      </c>
      <c r="I7323" cm="1">
        <f t="array" ref="I7323">_xlfn.STDEV.P(IF(Table1[IndicatorCode]=Table1[[#This Row],[IndicatorCode]],Table1[value]))</f>
        <v>6.3409496564024987</v>
      </c>
      <c r="J7323">
        <f>(Table1[[#This Row],[value]] - Table1[[#This Row],[mean]]) / Table1[[#This Row],[std_dev]]</f>
        <v>1.7875650380457173</v>
      </c>
      <c r="K7323">
        <f>AVERAGEIF(Table1[CountryCode],Table1[[#This Row],[CountryCode]],Table1[z-score])</f>
        <v>0.63319255148184794</v>
      </c>
      <c r="L7323" t="e">
        <f>VLOOKUP(Table1[[#This Row],[CountryCode]],[1]!Table1[#All],1,FALSE)</f>
        <v>#REF!</v>
      </c>
    </row>
    <row r="7324" spans="1:12" hidden="1" x14ac:dyDescent="0.3">
      <c r="A7324" t="s">
        <v>11</v>
      </c>
      <c r="B7324" t="s">
        <v>12</v>
      </c>
      <c r="C7324" t="s">
        <v>129</v>
      </c>
      <c r="D7324" t="s">
        <v>130</v>
      </c>
      <c r="E7324">
        <v>2019</v>
      </c>
      <c r="F7324" s="1">
        <v>84</v>
      </c>
      <c r="G7324">
        <v>2020</v>
      </c>
      <c r="H7324">
        <f>AVERAGEIFS(Table1[value],Table1[IndicatorCode],Table1[[#This Row],[IndicatorCode]])</f>
        <v>72.66514008620689</v>
      </c>
      <c r="I7324" cm="1">
        <f t="array" ref="I7324">_xlfn.STDEV.P(IF(Table1[IndicatorCode]=Table1[[#This Row],[IndicatorCode]],Table1[value]))</f>
        <v>6.3409496564024987</v>
      </c>
      <c r="J7324">
        <f>(Table1[[#This Row],[value]] - Table1[[#This Row],[mean]]) / Table1[[#This Row],[std_dev]]</f>
        <v>1.7875650380457173</v>
      </c>
      <c r="K7324">
        <f>AVERAGEIF(Table1[CountryCode],Table1[[#This Row],[CountryCode]],Table1[z-score])</f>
        <v>0.63319255148184794</v>
      </c>
      <c r="L7324" t="e">
        <f>VLOOKUP(Table1[[#This Row],[CountryCode]],[1]!Table1[#All],1,FALSE)</f>
        <v>#REF!</v>
      </c>
    </row>
    <row r="7325" spans="1:12" x14ac:dyDescent="0.3">
      <c r="A7325" t="s">
        <v>11</v>
      </c>
      <c r="B7325" t="s">
        <v>12</v>
      </c>
      <c r="C7325" t="s">
        <v>129</v>
      </c>
      <c r="D7325" t="s">
        <v>130</v>
      </c>
      <c r="E7325">
        <v>2020</v>
      </c>
      <c r="F7325" s="1">
        <v>79</v>
      </c>
      <c r="G7325">
        <v>2020</v>
      </c>
      <c r="H7325">
        <f>AVERAGEIFS(Table1[value],Table1[IndicatorCode],Table1[[#This Row],[IndicatorCode]])</f>
        <v>72.66514008620689</v>
      </c>
      <c r="I7325" cm="1">
        <f t="array" ref="I7325">_xlfn.STDEV.P(IF(Table1[IndicatorCode]=Table1[[#This Row],[IndicatorCode]],Table1[value]))</f>
        <v>6.3409496564024987</v>
      </c>
      <c r="J7325">
        <f>(Table1[[#This Row],[value]] - Table1[[#This Row],[mean]]) / Table1[[#This Row],[std_dev]]</f>
        <v>0.99903961662852192</v>
      </c>
      <c r="K7325">
        <f>AVERAGEIF(Table1[CountryCode],Table1[[#This Row],[CountryCode]],Table1[z-score])</f>
        <v>0.63319255148184794</v>
      </c>
    </row>
    <row r="7326" spans="1:12" hidden="1" x14ac:dyDescent="0.3">
      <c r="A7326" t="s">
        <v>11</v>
      </c>
      <c r="B7326" t="s">
        <v>12</v>
      </c>
      <c r="C7326" t="s">
        <v>129</v>
      </c>
      <c r="D7326" t="s">
        <v>130</v>
      </c>
      <c r="E7326">
        <v>2021</v>
      </c>
      <c r="F7326" s="1">
        <v>82</v>
      </c>
      <c r="G7326">
        <v>1960</v>
      </c>
      <c r="H7326">
        <f>AVERAGEIFS(Table1[value],Table1[IndicatorCode],Table1[[#This Row],[IndicatorCode]])</f>
        <v>72.66514008620689</v>
      </c>
      <c r="I7326" cm="1">
        <f t="array" ref="I7326">_xlfn.STDEV.P(IF(Table1[IndicatorCode]=Table1[[#This Row],[IndicatorCode]],Table1[value]))</f>
        <v>6.3409496564024987</v>
      </c>
      <c r="J7326">
        <f>(Table1[[#This Row],[value]] - Table1[[#This Row],[mean]]) / Table1[[#This Row],[std_dev]]</f>
        <v>1.4721548694788391</v>
      </c>
      <c r="K7326">
        <f>AVERAGEIF(Table1[CountryCode],Table1[[#This Row],[CountryCode]],Table1[z-score])</f>
        <v>0.63319255148184794</v>
      </c>
      <c r="L7326" t="e">
        <f>VLOOKUP(Table1[[#This Row],[CountryCode]],[1]!Table1[#All],1,FALSE)</f>
        <v>#REF!</v>
      </c>
    </row>
    <row r="7327" spans="1:12" hidden="1" x14ac:dyDescent="0.3">
      <c r="A7327" t="s">
        <v>11</v>
      </c>
      <c r="B7327" t="s">
        <v>12</v>
      </c>
      <c r="C7327" t="s">
        <v>129</v>
      </c>
      <c r="D7327" t="s">
        <v>130</v>
      </c>
      <c r="E7327">
        <v>2022</v>
      </c>
      <c r="F7327" s="1">
        <v>84</v>
      </c>
      <c r="G7327">
        <v>1960</v>
      </c>
      <c r="H7327">
        <f>AVERAGEIFS(Table1[value],Table1[IndicatorCode],Table1[[#This Row],[IndicatorCode]])</f>
        <v>72.66514008620689</v>
      </c>
      <c r="I7327" cm="1">
        <f t="array" ref="I7327">_xlfn.STDEV.P(IF(Table1[IndicatorCode]=Table1[[#This Row],[IndicatorCode]],Table1[value]))</f>
        <v>6.3409496564024987</v>
      </c>
      <c r="J7327">
        <f>(Table1[[#This Row],[value]] - Table1[[#This Row],[mean]]) / Table1[[#This Row],[std_dev]]</f>
        <v>1.7875650380457173</v>
      </c>
      <c r="K7327">
        <f>AVERAGEIF(Table1[CountryCode],Table1[[#This Row],[CountryCode]],Table1[z-score])</f>
        <v>0.63319255148184794</v>
      </c>
      <c r="L7327" t="e">
        <f>VLOOKUP(Table1[[#This Row],[CountryCode]],[1]!Table1[#All],1,FALSE)</f>
        <v>#REF!</v>
      </c>
    </row>
    <row r="7328" spans="1:12" hidden="1" x14ac:dyDescent="0.3">
      <c r="A7328" t="s">
        <v>11</v>
      </c>
      <c r="B7328" t="s">
        <v>12</v>
      </c>
      <c r="C7328" t="s">
        <v>129</v>
      </c>
      <c r="D7328" t="s">
        <v>130</v>
      </c>
      <c r="E7328">
        <v>2023</v>
      </c>
      <c r="F7328" s="1">
        <v>84</v>
      </c>
      <c r="G7328">
        <v>1960</v>
      </c>
      <c r="H7328">
        <f>AVERAGEIFS(Table1[value],Table1[IndicatorCode],Table1[[#This Row],[IndicatorCode]])</f>
        <v>72.66514008620689</v>
      </c>
      <c r="I7328" cm="1">
        <f t="array" ref="I7328">_xlfn.STDEV.P(IF(Table1[IndicatorCode]=Table1[[#This Row],[IndicatorCode]],Table1[value]))</f>
        <v>6.3409496564024987</v>
      </c>
      <c r="J7328">
        <f>(Table1[[#This Row],[value]] - Table1[[#This Row],[mean]]) / Table1[[#This Row],[std_dev]]</f>
        <v>1.7875650380457173</v>
      </c>
      <c r="K7328">
        <f>AVERAGEIF(Table1[CountryCode],Table1[[#This Row],[CountryCode]],Table1[z-score])</f>
        <v>0.63319255148184794</v>
      </c>
      <c r="L7328" t="e">
        <f>VLOOKUP(Table1[[#This Row],[CountryCode]],[1]!Table1[#All],1,FALSE)</f>
        <v>#REF!</v>
      </c>
    </row>
    <row r="7329" spans="1:12" hidden="1" x14ac:dyDescent="0.3">
      <c r="A7329" t="s">
        <v>13</v>
      </c>
      <c r="B7329" t="s">
        <v>14</v>
      </c>
      <c r="C7329" t="s">
        <v>129</v>
      </c>
      <c r="D7329" t="s">
        <v>130</v>
      </c>
      <c r="E7329">
        <v>1960</v>
      </c>
      <c r="F7329" s="1">
        <v>59</v>
      </c>
      <c r="G7329">
        <v>1960</v>
      </c>
      <c r="H7329">
        <f>AVERAGEIFS(Table1[value],Table1[IndicatorCode],Table1[[#This Row],[IndicatorCode]])</f>
        <v>72.66514008620689</v>
      </c>
      <c r="I7329" cm="1">
        <f t="array" ref="I7329">_xlfn.STDEV.P(IF(Table1[IndicatorCode]=Table1[[#This Row],[IndicatorCode]],Table1[value]))</f>
        <v>6.3409496564024987</v>
      </c>
      <c r="J7329">
        <f>(Table1[[#This Row],[value]] - Table1[[#This Row],[mean]]) / Table1[[#This Row],[std_dev]]</f>
        <v>-2.1550620690402593</v>
      </c>
      <c r="K7329">
        <f>AVERAGEIF(Table1[CountryCode],Table1[[#This Row],[CountryCode]],Table1[z-score])</f>
        <v>-0.71856813961256161</v>
      </c>
      <c r="L7329" t="e">
        <f>VLOOKUP(Table1[[#This Row],[CountryCode]],[1]!Table1[#All],1,FALSE)</f>
        <v>#REF!</v>
      </c>
    </row>
    <row r="7330" spans="1:12" hidden="1" x14ac:dyDescent="0.3">
      <c r="A7330" t="s">
        <v>13</v>
      </c>
      <c r="B7330" t="s">
        <v>14</v>
      </c>
      <c r="C7330" t="s">
        <v>129</v>
      </c>
      <c r="D7330" t="s">
        <v>130</v>
      </c>
      <c r="E7330">
        <v>1961</v>
      </c>
      <c r="F7330" s="1">
        <v>59</v>
      </c>
      <c r="G7330">
        <v>1960</v>
      </c>
      <c r="H7330">
        <f>AVERAGEIFS(Table1[value],Table1[IndicatorCode],Table1[[#This Row],[IndicatorCode]])</f>
        <v>72.66514008620689</v>
      </c>
      <c r="I7330" cm="1">
        <f t="array" ref="I7330">_xlfn.STDEV.P(IF(Table1[IndicatorCode]=Table1[[#This Row],[IndicatorCode]],Table1[value]))</f>
        <v>6.3409496564024987</v>
      </c>
      <c r="J7330">
        <f>(Table1[[#This Row],[value]] - Table1[[#This Row],[mean]]) / Table1[[#This Row],[std_dev]]</f>
        <v>-2.1550620690402593</v>
      </c>
      <c r="K7330">
        <f>AVERAGEIF(Table1[CountryCode],Table1[[#This Row],[CountryCode]],Table1[z-score])</f>
        <v>-0.71856813961256161</v>
      </c>
      <c r="L7330" t="e">
        <f>VLOOKUP(Table1[[#This Row],[CountryCode]],[1]!Table1[#All],1,FALSE)</f>
        <v>#REF!</v>
      </c>
    </row>
    <row r="7331" spans="1:12" hidden="1" x14ac:dyDescent="0.3">
      <c r="A7331" t="s">
        <v>13</v>
      </c>
      <c r="B7331" t="s">
        <v>14</v>
      </c>
      <c r="C7331" t="s">
        <v>129</v>
      </c>
      <c r="D7331" t="s">
        <v>130</v>
      </c>
      <c r="E7331">
        <v>1962</v>
      </c>
      <c r="F7331" s="1">
        <v>60</v>
      </c>
      <c r="G7331">
        <v>1960</v>
      </c>
      <c r="H7331">
        <f>AVERAGEIFS(Table1[value],Table1[IndicatorCode],Table1[[#This Row],[IndicatorCode]])</f>
        <v>72.66514008620689</v>
      </c>
      <c r="I7331" cm="1">
        <f t="array" ref="I7331">_xlfn.STDEV.P(IF(Table1[IndicatorCode]=Table1[[#This Row],[IndicatorCode]],Table1[value]))</f>
        <v>6.3409496564024987</v>
      </c>
      <c r="J7331">
        <f>(Table1[[#This Row],[value]] - Table1[[#This Row],[mean]]) / Table1[[#This Row],[std_dev]]</f>
        <v>-1.9973569847568202</v>
      </c>
      <c r="K7331">
        <f>AVERAGEIF(Table1[CountryCode],Table1[[#This Row],[CountryCode]],Table1[z-score])</f>
        <v>-0.71856813961256161</v>
      </c>
      <c r="L7331" t="e">
        <f>VLOOKUP(Table1[[#This Row],[CountryCode]],[1]!Table1[#All],1,FALSE)</f>
        <v>#REF!</v>
      </c>
    </row>
    <row r="7332" spans="1:12" hidden="1" x14ac:dyDescent="0.3">
      <c r="A7332" t="s">
        <v>13</v>
      </c>
      <c r="B7332" t="s">
        <v>14</v>
      </c>
      <c r="C7332" t="s">
        <v>129</v>
      </c>
      <c r="D7332" t="s">
        <v>130</v>
      </c>
      <c r="E7332">
        <v>1963</v>
      </c>
      <c r="F7332" s="1">
        <v>60</v>
      </c>
      <c r="G7332">
        <v>1960</v>
      </c>
      <c r="H7332">
        <f>AVERAGEIFS(Table1[value],Table1[IndicatorCode],Table1[[#This Row],[IndicatorCode]])</f>
        <v>72.66514008620689</v>
      </c>
      <c r="I7332" cm="1">
        <f t="array" ref="I7332">_xlfn.STDEV.P(IF(Table1[IndicatorCode]=Table1[[#This Row],[IndicatorCode]],Table1[value]))</f>
        <v>6.3409496564024987</v>
      </c>
      <c r="J7332">
        <f>(Table1[[#This Row],[value]] - Table1[[#This Row],[mean]]) / Table1[[#This Row],[std_dev]]</f>
        <v>-1.9973569847568202</v>
      </c>
      <c r="K7332">
        <f>AVERAGEIF(Table1[CountryCode],Table1[[#This Row],[CountryCode]],Table1[z-score])</f>
        <v>-0.71856813961256161</v>
      </c>
      <c r="L7332" t="e">
        <f>VLOOKUP(Table1[[#This Row],[CountryCode]],[1]!Table1[#All],1,FALSE)</f>
        <v>#REF!</v>
      </c>
    </row>
    <row r="7333" spans="1:12" hidden="1" x14ac:dyDescent="0.3">
      <c r="A7333" t="s">
        <v>13</v>
      </c>
      <c r="B7333" t="s">
        <v>14</v>
      </c>
      <c r="C7333" t="s">
        <v>129</v>
      </c>
      <c r="D7333" t="s">
        <v>130</v>
      </c>
      <c r="E7333">
        <v>1964</v>
      </c>
      <c r="F7333" s="1">
        <v>61</v>
      </c>
      <c r="G7333">
        <v>1960</v>
      </c>
      <c r="H7333">
        <f>AVERAGEIFS(Table1[value],Table1[IndicatorCode],Table1[[#This Row],[IndicatorCode]])</f>
        <v>72.66514008620689</v>
      </c>
      <c r="I7333" cm="1">
        <f t="array" ref="I7333">_xlfn.STDEV.P(IF(Table1[IndicatorCode]=Table1[[#This Row],[IndicatorCode]],Table1[value]))</f>
        <v>6.3409496564024987</v>
      </c>
      <c r="J7333">
        <f>(Table1[[#This Row],[value]] - Table1[[#This Row],[mean]]) / Table1[[#This Row],[std_dev]]</f>
        <v>-1.8396519004733811</v>
      </c>
      <c r="K7333">
        <f>AVERAGEIF(Table1[CountryCode],Table1[[#This Row],[CountryCode]],Table1[z-score])</f>
        <v>-0.71856813961256161</v>
      </c>
      <c r="L7333" t="e">
        <f>VLOOKUP(Table1[[#This Row],[CountryCode]],[1]!Table1[#All],1,FALSE)</f>
        <v>#REF!</v>
      </c>
    </row>
    <row r="7334" spans="1:12" hidden="1" x14ac:dyDescent="0.3">
      <c r="A7334" t="s">
        <v>13</v>
      </c>
      <c r="B7334" t="s">
        <v>14</v>
      </c>
      <c r="C7334" t="s">
        <v>129</v>
      </c>
      <c r="D7334" t="s">
        <v>130</v>
      </c>
      <c r="E7334">
        <v>1965</v>
      </c>
      <c r="F7334" s="1">
        <v>61</v>
      </c>
      <c r="G7334">
        <v>1960</v>
      </c>
      <c r="H7334">
        <f>AVERAGEIFS(Table1[value],Table1[IndicatorCode],Table1[[#This Row],[IndicatorCode]])</f>
        <v>72.66514008620689</v>
      </c>
      <c r="I7334" cm="1">
        <f t="array" ref="I7334">_xlfn.STDEV.P(IF(Table1[IndicatorCode]=Table1[[#This Row],[IndicatorCode]],Table1[value]))</f>
        <v>6.3409496564024987</v>
      </c>
      <c r="J7334">
        <f>(Table1[[#This Row],[value]] - Table1[[#This Row],[mean]]) / Table1[[#This Row],[std_dev]]</f>
        <v>-1.8396519004733811</v>
      </c>
      <c r="K7334">
        <f>AVERAGEIF(Table1[CountryCode],Table1[[#This Row],[CountryCode]],Table1[z-score])</f>
        <v>-0.71856813961256161</v>
      </c>
      <c r="L7334" t="e">
        <f>VLOOKUP(Table1[[#This Row],[CountryCode]],[1]!Table1[#All],1,FALSE)</f>
        <v>#REF!</v>
      </c>
    </row>
    <row r="7335" spans="1:12" hidden="1" x14ac:dyDescent="0.3">
      <c r="A7335" t="s">
        <v>13</v>
      </c>
      <c r="B7335" t="s">
        <v>14</v>
      </c>
      <c r="C7335" t="s">
        <v>129</v>
      </c>
      <c r="D7335" t="s">
        <v>130</v>
      </c>
      <c r="E7335">
        <v>1966</v>
      </c>
      <c r="F7335" s="1">
        <v>61</v>
      </c>
      <c r="G7335">
        <v>1960</v>
      </c>
      <c r="H7335">
        <f>AVERAGEIFS(Table1[value],Table1[IndicatorCode],Table1[[#This Row],[IndicatorCode]])</f>
        <v>72.66514008620689</v>
      </c>
      <c r="I7335" cm="1">
        <f t="array" ref="I7335">_xlfn.STDEV.P(IF(Table1[IndicatorCode]=Table1[[#This Row],[IndicatorCode]],Table1[value]))</f>
        <v>6.3409496564024987</v>
      </c>
      <c r="J7335">
        <f>(Table1[[#This Row],[value]] - Table1[[#This Row],[mean]]) / Table1[[#This Row],[std_dev]]</f>
        <v>-1.8396519004733811</v>
      </c>
      <c r="K7335">
        <f>AVERAGEIF(Table1[CountryCode],Table1[[#This Row],[CountryCode]],Table1[z-score])</f>
        <v>-0.71856813961256161</v>
      </c>
      <c r="L7335" t="e">
        <f>VLOOKUP(Table1[[#This Row],[CountryCode]],[1]!Table1[#All],1,FALSE)</f>
        <v>#REF!</v>
      </c>
    </row>
    <row r="7336" spans="1:12" hidden="1" x14ac:dyDescent="0.3">
      <c r="A7336" t="s">
        <v>13</v>
      </c>
      <c r="B7336" t="s">
        <v>14</v>
      </c>
      <c r="C7336" t="s">
        <v>129</v>
      </c>
      <c r="D7336" t="s">
        <v>130</v>
      </c>
      <c r="E7336">
        <v>1967</v>
      </c>
      <c r="F7336" s="1">
        <v>62</v>
      </c>
      <c r="G7336">
        <v>1970</v>
      </c>
      <c r="H7336">
        <f>AVERAGEIFS(Table1[value],Table1[IndicatorCode],Table1[[#This Row],[IndicatorCode]])</f>
        <v>72.66514008620689</v>
      </c>
      <c r="I7336" cm="1">
        <f t="array" ref="I7336">_xlfn.STDEV.P(IF(Table1[IndicatorCode]=Table1[[#This Row],[IndicatorCode]],Table1[value]))</f>
        <v>6.3409496564024987</v>
      </c>
      <c r="J7336">
        <f>(Table1[[#This Row],[value]] - Table1[[#This Row],[mean]]) / Table1[[#This Row],[std_dev]]</f>
        <v>-1.681946816189942</v>
      </c>
      <c r="K7336">
        <f>AVERAGEIF(Table1[CountryCode],Table1[[#This Row],[CountryCode]],Table1[z-score])</f>
        <v>-0.71856813961256161</v>
      </c>
      <c r="L7336" t="e">
        <f>VLOOKUP(Table1[[#This Row],[CountryCode]],[1]!Table1[#All],1,FALSE)</f>
        <v>#REF!</v>
      </c>
    </row>
    <row r="7337" spans="1:12" hidden="1" x14ac:dyDescent="0.3">
      <c r="A7337" t="s">
        <v>13</v>
      </c>
      <c r="B7337" t="s">
        <v>14</v>
      </c>
      <c r="C7337" t="s">
        <v>129</v>
      </c>
      <c r="D7337" t="s">
        <v>130</v>
      </c>
      <c r="E7337">
        <v>1968</v>
      </c>
      <c r="F7337" s="1">
        <v>62</v>
      </c>
      <c r="G7337">
        <v>1970</v>
      </c>
      <c r="H7337">
        <f>AVERAGEIFS(Table1[value],Table1[IndicatorCode],Table1[[#This Row],[IndicatorCode]])</f>
        <v>72.66514008620689</v>
      </c>
      <c r="I7337" cm="1">
        <f t="array" ref="I7337">_xlfn.STDEV.P(IF(Table1[IndicatorCode]=Table1[[#This Row],[IndicatorCode]],Table1[value]))</f>
        <v>6.3409496564024987</v>
      </c>
      <c r="J7337">
        <f>(Table1[[#This Row],[value]] - Table1[[#This Row],[mean]]) / Table1[[#This Row],[std_dev]]</f>
        <v>-1.681946816189942</v>
      </c>
      <c r="K7337">
        <f>AVERAGEIF(Table1[CountryCode],Table1[[#This Row],[CountryCode]],Table1[z-score])</f>
        <v>-0.71856813961256161</v>
      </c>
      <c r="L7337" t="e">
        <f>VLOOKUP(Table1[[#This Row],[CountryCode]],[1]!Table1[#All],1,FALSE)</f>
        <v>#REF!</v>
      </c>
    </row>
    <row r="7338" spans="1:12" hidden="1" x14ac:dyDescent="0.3">
      <c r="A7338" t="s">
        <v>13</v>
      </c>
      <c r="B7338" t="s">
        <v>14</v>
      </c>
      <c r="C7338" t="s">
        <v>129</v>
      </c>
      <c r="D7338" t="s">
        <v>130</v>
      </c>
      <c r="E7338">
        <v>1969</v>
      </c>
      <c r="F7338" s="1">
        <v>62</v>
      </c>
      <c r="G7338">
        <v>1970</v>
      </c>
      <c r="H7338">
        <f>AVERAGEIFS(Table1[value],Table1[IndicatorCode],Table1[[#This Row],[IndicatorCode]])</f>
        <v>72.66514008620689</v>
      </c>
      <c r="I7338" cm="1">
        <f t="array" ref="I7338">_xlfn.STDEV.P(IF(Table1[IndicatorCode]=Table1[[#This Row],[IndicatorCode]],Table1[value]))</f>
        <v>6.3409496564024987</v>
      </c>
      <c r="J7338">
        <f>(Table1[[#This Row],[value]] - Table1[[#This Row],[mean]]) / Table1[[#This Row],[std_dev]]</f>
        <v>-1.681946816189942</v>
      </c>
      <c r="K7338">
        <f>AVERAGEIF(Table1[CountryCode],Table1[[#This Row],[CountryCode]],Table1[z-score])</f>
        <v>-0.71856813961256161</v>
      </c>
      <c r="L7338" t="e">
        <f>VLOOKUP(Table1[[#This Row],[CountryCode]],[1]!Table1[#All],1,FALSE)</f>
        <v>#REF!</v>
      </c>
    </row>
    <row r="7339" spans="1:12" hidden="1" x14ac:dyDescent="0.3">
      <c r="A7339" t="s">
        <v>13</v>
      </c>
      <c r="B7339" t="s">
        <v>14</v>
      </c>
      <c r="C7339" t="s">
        <v>129</v>
      </c>
      <c r="D7339" t="s">
        <v>130</v>
      </c>
      <c r="E7339">
        <v>1970</v>
      </c>
      <c r="F7339" s="1">
        <v>63</v>
      </c>
      <c r="G7339">
        <v>1970</v>
      </c>
      <c r="H7339">
        <f>AVERAGEIFS(Table1[value],Table1[IndicatorCode],Table1[[#This Row],[IndicatorCode]])</f>
        <v>72.66514008620689</v>
      </c>
      <c r="I7339" cm="1">
        <f t="array" ref="I7339">_xlfn.STDEV.P(IF(Table1[IndicatorCode]=Table1[[#This Row],[IndicatorCode]],Table1[value]))</f>
        <v>6.3409496564024987</v>
      </c>
      <c r="J7339">
        <f>(Table1[[#This Row],[value]] - Table1[[#This Row],[mean]]) / Table1[[#This Row],[std_dev]]</f>
        <v>-1.5242417319065029</v>
      </c>
      <c r="K7339">
        <f>AVERAGEIF(Table1[CountryCode],Table1[[#This Row],[CountryCode]],Table1[z-score])</f>
        <v>-0.71856813961256161</v>
      </c>
      <c r="L7339" t="e">
        <f>VLOOKUP(Table1[[#This Row],[CountryCode]],[1]!Table1[#All],1,FALSE)</f>
        <v>#REF!</v>
      </c>
    </row>
    <row r="7340" spans="1:12" hidden="1" x14ac:dyDescent="0.3">
      <c r="A7340" t="s">
        <v>13</v>
      </c>
      <c r="B7340" t="s">
        <v>14</v>
      </c>
      <c r="C7340" t="s">
        <v>129</v>
      </c>
      <c r="D7340" t="s">
        <v>130</v>
      </c>
      <c r="E7340">
        <v>1971</v>
      </c>
      <c r="F7340" s="1">
        <v>63</v>
      </c>
      <c r="G7340">
        <v>1970</v>
      </c>
      <c r="H7340">
        <f>AVERAGEIFS(Table1[value],Table1[IndicatorCode],Table1[[#This Row],[IndicatorCode]])</f>
        <v>72.66514008620689</v>
      </c>
      <c r="I7340" cm="1">
        <f t="array" ref="I7340">_xlfn.STDEV.P(IF(Table1[IndicatorCode]=Table1[[#This Row],[IndicatorCode]],Table1[value]))</f>
        <v>6.3409496564024987</v>
      </c>
      <c r="J7340">
        <f>(Table1[[#This Row],[value]] - Table1[[#This Row],[mean]]) / Table1[[#This Row],[std_dev]]</f>
        <v>-1.5242417319065029</v>
      </c>
      <c r="K7340">
        <f>AVERAGEIF(Table1[CountryCode],Table1[[#This Row],[CountryCode]],Table1[z-score])</f>
        <v>-0.71856813961256161</v>
      </c>
      <c r="L7340" t="e">
        <f>VLOOKUP(Table1[[#This Row],[CountryCode]],[1]!Table1[#All],1,FALSE)</f>
        <v>#REF!</v>
      </c>
    </row>
    <row r="7341" spans="1:12" hidden="1" x14ac:dyDescent="0.3">
      <c r="A7341" t="s">
        <v>13</v>
      </c>
      <c r="B7341" t="s">
        <v>14</v>
      </c>
      <c r="C7341" t="s">
        <v>129</v>
      </c>
      <c r="D7341" t="s">
        <v>130</v>
      </c>
      <c r="E7341">
        <v>1972</v>
      </c>
      <c r="F7341" s="1">
        <v>63</v>
      </c>
      <c r="G7341">
        <v>1970</v>
      </c>
      <c r="H7341">
        <f>AVERAGEIFS(Table1[value],Table1[IndicatorCode],Table1[[#This Row],[IndicatorCode]])</f>
        <v>72.66514008620689</v>
      </c>
      <c r="I7341" cm="1">
        <f t="array" ref="I7341">_xlfn.STDEV.P(IF(Table1[IndicatorCode]=Table1[[#This Row],[IndicatorCode]],Table1[value]))</f>
        <v>6.3409496564024987</v>
      </c>
      <c r="J7341">
        <f>(Table1[[#This Row],[value]] - Table1[[#This Row],[mean]]) / Table1[[#This Row],[std_dev]]</f>
        <v>-1.5242417319065029</v>
      </c>
      <c r="K7341">
        <f>AVERAGEIF(Table1[CountryCode],Table1[[#This Row],[CountryCode]],Table1[z-score])</f>
        <v>-0.71856813961256161</v>
      </c>
      <c r="L7341" t="e">
        <f>VLOOKUP(Table1[[#This Row],[CountryCode]],[1]!Table1[#All],1,FALSE)</f>
        <v>#REF!</v>
      </c>
    </row>
    <row r="7342" spans="1:12" hidden="1" x14ac:dyDescent="0.3">
      <c r="A7342" t="s">
        <v>13</v>
      </c>
      <c r="B7342" t="s">
        <v>14</v>
      </c>
      <c r="C7342" t="s">
        <v>129</v>
      </c>
      <c r="D7342" t="s">
        <v>130</v>
      </c>
      <c r="E7342">
        <v>1973</v>
      </c>
      <c r="F7342" s="1">
        <v>63</v>
      </c>
      <c r="G7342">
        <v>1970</v>
      </c>
      <c r="H7342">
        <f>AVERAGEIFS(Table1[value],Table1[IndicatorCode],Table1[[#This Row],[IndicatorCode]])</f>
        <v>72.66514008620689</v>
      </c>
      <c r="I7342" cm="1">
        <f t="array" ref="I7342">_xlfn.STDEV.P(IF(Table1[IndicatorCode]=Table1[[#This Row],[IndicatorCode]],Table1[value]))</f>
        <v>6.3409496564024987</v>
      </c>
      <c r="J7342">
        <f>(Table1[[#This Row],[value]] - Table1[[#This Row],[mean]]) / Table1[[#This Row],[std_dev]]</f>
        <v>-1.5242417319065029</v>
      </c>
      <c r="K7342">
        <f>AVERAGEIF(Table1[CountryCode],Table1[[#This Row],[CountryCode]],Table1[z-score])</f>
        <v>-0.71856813961256161</v>
      </c>
      <c r="L7342" t="e">
        <f>VLOOKUP(Table1[[#This Row],[CountryCode]],[1]!Table1[#All],1,FALSE)</f>
        <v>#REF!</v>
      </c>
    </row>
    <row r="7343" spans="1:12" hidden="1" x14ac:dyDescent="0.3">
      <c r="A7343" t="s">
        <v>13</v>
      </c>
      <c r="B7343" t="s">
        <v>14</v>
      </c>
      <c r="C7343" t="s">
        <v>129</v>
      </c>
      <c r="D7343" t="s">
        <v>130</v>
      </c>
      <c r="E7343">
        <v>1974</v>
      </c>
      <c r="F7343" s="1">
        <v>64</v>
      </c>
      <c r="G7343">
        <v>1970</v>
      </c>
      <c r="H7343">
        <f>AVERAGEIFS(Table1[value],Table1[IndicatorCode],Table1[[#This Row],[IndicatorCode]])</f>
        <v>72.66514008620689</v>
      </c>
      <c r="I7343" cm="1">
        <f t="array" ref="I7343">_xlfn.STDEV.P(IF(Table1[IndicatorCode]=Table1[[#This Row],[IndicatorCode]],Table1[value]))</f>
        <v>6.3409496564024987</v>
      </c>
      <c r="J7343">
        <f>(Table1[[#This Row],[value]] - Table1[[#This Row],[mean]]) / Table1[[#This Row],[std_dev]]</f>
        <v>-1.3665366476230638</v>
      </c>
      <c r="K7343">
        <f>AVERAGEIF(Table1[CountryCode],Table1[[#This Row],[CountryCode]],Table1[z-score])</f>
        <v>-0.71856813961256161</v>
      </c>
      <c r="L7343" t="e">
        <f>VLOOKUP(Table1[[#This Row],[CountryCode]],[1]!Table1[#All],1,FALSE)</f>
        <v>#REF!</v>
      </c>
    </row>
    <row r="7344" spans="1:12" hidden="1" x14ac:dyDescent="0.3">
      <c r="A7344" t="s">
        <v>13</v>
      </c>
      <c r="B7344" t="s">
        <v>14</v>
      </c>
      <c r="C7344" t="s">
        <v>129</v>
      </c>
      <c r="D7344" t="s">
        <v>130</v>
      </c>
      <c r="E7344">
        <v>1975</v>
      </c>
      <c r="F7344" s="1">
        <v>64</v>
      </c>
      <c r="G7344">
        <v>1970</v>
      </c>
      <c r="H7344">
        <f>AVERAGEIFS(Table1[value],Table1[IndicatorCode],Table1[[#This Row],[IndicatorCode]])</f>
        <v>72.66514008620689</v>
      </c>
      <c r="I7344" cm="1">
        <f t="array" ref="I7344">_xlfn.STDEV.P(IF(Table1[IndicatorCode]=Table1[[#This Row],[IndicatorCode]],Table1[value]))</f>
        <v>6.3409496564024987</v>
      </c>
      <c r="J7344">
        <f>(Table1[[#This Row],[value]] - Table1[[#This Row],[mean]]) / Table1[[#This Row],[std_dev]]</f>
        <v>-1.3665366476230638</v>
      </c>
      <c r="K7344">
        <f>AVERAGEIF(Table1[CountryCode],Table1[[#This Row],[CountryCode]],Table1[z-score])</f>
        <v>-0.71856813961256161</v>
      </c>
      <c r="L7344" t="e">
        <f>VLOOKUP(Table1[[#This Row],[CountryCode]],[1]!Table1[#All],1,FALSE)</f>
        <v>#REF!</v>
      </c>
    </row>
    <row r="7345" spans="1:12" hidden="1" x14ac:dyDescent="0.3">
      <c r="A7345" t="s">
        <v>13</v>
      </c>
      <c r="B7345" t="s">
        <v>14</v>
      </c>
      <c r="C7345" t="s">
        <v>129</v>
      </c>
      <c r="D7345" t="s">
        <v>130</v>
      </c>
      <c r="E7345">
        <v>1976</v>
      </c>
      <c r="F7345" s="1">
        <v>64</v>
      </c>
      <c r="G7345">
        <v>1970</v>
      </c>
      <c r="H7345">
        <f>AVERAGEIFS(Table1[value],Table1[IndicatorCode],Table1[[#This Row],[IndicatorCode]])</f>
        <v>72.66514008620689</v>
      </c>
      <c r="I7345" cm="1">
        <f t="array" ref="I7345">_xlfn.STDEV.P(IF(Table1[IndicatorCode]=Table1[[#This Row],[IndicatorCode]],Table1[value]))</f>
        <v>6.3409496564024987</v>
      </c>
      <c r="J7345">
        <f>(Table1[[#This Row],[value]] - Table1[[#This Row],[mean]]) / Table1[[#This Row],[std_dev]]</f>
        <v>-1.3665366476230638</v>
      </c>
      <c r="K7345">
        <f>AVERAGEIF(Table1[CountryCode],Table1[[#This Row],[CountryCode]],Table1[z-score])</f>
        <v>-0.71856813961256161</v>
      </c>
      <c r="L7345" t="e">
        <f>VLOOKUP(Table1[[#This Row],[CountryCode]],[1]!Table1[#All],1,FALSE)</f>
        <v>#REF!</v>
      </c>
    </row>
    <row r="7346" spans="1:12" hidden="1" x14ac:dyDescent="0.3">
      <c r="A7346" t="s">
        <v>13</v>
      </c>
      <c r="B7346" t="s">
        <v>14</v>
      </c>
      <c r="C7346" t="s">
        <v>129</v>
      </c>
      <c r="D7346" t="s">
        <v>130</v>
      </c>
      <c r="E7346">
        <v>1977</v>
      </c>
      <c r="F7346" s="1">
        <v>64</v>
      </c>
      <c r="G7346">
        <v>1980</v>
      </c>
      <c r="H7346">
        <f>AVERAGEIFS(Table1[value],Table1[IndicatorCode],Table1[[#This Row],[IndicatorCode]])</f>
        <v>72.66514008620689</v>
      </c>
      <c r="I7346" cm="1">
        <f t="array" ref="I7346">_xlfn.STDEV.P(IF(Table1[IndicatorCode]=Table1[[#This Row],[IndicatorCode]],Table1[value]))</f>
        <v>6.3409496564024987</v>
      </c>
      <c r="J7346">
        <f>(Table1[[#This Row],[value]] - Table1[[#This Row],[mean]]) / Table1[[#This Row],[std_dev]]</f>
        <v>-1.3665366476230638</v>
      </c>
      <c r="K7346">
        <f>AVERAGEIF(Table1[CountryCode],Table1[[#This Row],[CountryCode]],Table1[z-score])</f>
        <v>-0.71856813961256161</v>
      </c>
      <c r="L7346" t="e">
        <f>VLOOKUP(Table1[[#This Row],[CountryCode]],[1]!Table1[#All],1,FALSE)</f>
        <v>#REF!</v>
      </c>
    </row>
    <row r="7347" spans="1:12" hidden="1" x14ac:dyDescent="0.3">
      <c r="A7347" t="s">
        <v>13</v>
      </c>
      <c r="B7347" t="s">
        <v>14</v>
      </c>
      <c r="C7347" t="s">
        <v>129</v>
      </c>
      <c r="D7347" t="s">
        <v>130</v>
      </c>
      <c r="E7347">
        <v>1978</v>
      </c>
      <c r="F7347" s="1">
        <v>65</v>
      </c>
      <c r="G7347">
        <v>1980</v>
      </c>
      <c r="H7347">
        <f>AVERAGEIFS(Table1[value],Table1[IndicatorCode],Table1[[#This Row],[IndicatorCode]])</f>
        <v>72.66514008620689</v>
      </c>
      <c r="I7347" cm="1">
        <f t="array" ref="I7347">_xlfn.STDEV.P(IF(Table1[IndicatorCode]=Table1[[#This Row],[IndicatorCode]],Table1[value]))</f>
        <v>6.3409496564024987</v>
      </c>
      <c r="J7347">
        <f>(Table1[[#This Row],[value]] - Table1[[#This Row],[mean]]) / Table1[[#This Row],[std_dev]]</f>
        <v>-1.2088315633396249</v>
      </c>
      <c r="K7347">
        <f>AVERAGEIF(Table1[CountryCode],Table1[[#This Row],[CountryCode]],Table1[z-score])</f>
        <v>-0.71856813961256161</v>
      </c>
      <c r="L7347" t="e">
        <f>VLOOKUP(Table1[[#This Row],[CountryCode]],[1]!Table1[#All],1,FALSE)</f>
        <v>#REF!</v>
      </c>
    </row>
    <row r="7348" spans="1:12" hidden="1" x14ac:dyDescent="0.3">
      <c r="A7348" t="s">
        <v>13</v>
      </c>
      <c r="B7348" t="s">
        <v>14</v>
      </c>
      <c r="C7348" t="s">
        <v>129</v>
      </c>
      <c r="D7348" t="s">
        <v>130</v>
      </c>
      <c r="E7348">
        <v>1979</v>
      </c>
      <c r="F7348" s="1">
        <v>65</v>
      </c>
      <c r="G7348">
        <v>1980</v>
      </c>
      <c r="H7348">
        <f>AVERAGEIFS(Table1[value],Table1[IndicatorCode],Table1[[#This Row],[IndicatorCode]])</f>
        <v>72.66514008620689</v>
      </c>
      <c r="I7348" cm="1">
        <f t="array" ref="I7348">_xlfn.STDEV.P(IF(Table1[IndicatorCode]=Table1[[#This Row],[IndicatorCode]],Table1[value]))</f>
        <v>6.3409496564024987</v>
      </c>
      <c r="J7348">
        <f>(Table1[[#This Row],[value]] - Table1[[#This Row],[mean]]) / Table1[[#This Row],[std_dev]]</f>
        <v>-1.2088315633396249</v>
      </c>
      <c r="K7348">
        <f>AVERAGEIF(Table1[CountryCode],Table1[[#This Row],[CountryCode]],Table1[z-score])</f>
        <v>-0.71856813961256161</v>
      </c>
      <c r="L7348" t="e">
        <f>VLOOKUP(Table1[[#This Row],[CountryCode]],[1]!Table1[#All],1,FALSE)</f>
        <v>#REF!</v>
      </c>
    </row>
    <row r="7349" spans="1:12" hidden="1" x14ac:dyDescent="0.3">
      <c r="A7349" t="s">
        <v>13</v>
      </c>
      <c r="B7349" t="s">
        <v>14</v>
      </c>
      <c r="C7349" t="s">
        <v>129</v>
      </c>
      <c r="D7349" t="s">
        <v>130</v>
      </c>
      <c r="E7349">
        <v>1980</v>
      </c>
      <c r="F7349" s="1">
        <v>65</v>
      </c>
      <c r="G7349">
        <v>1980</v>
      </c>
      <c r="H7349">
        <f>AVERAGEIFS(Table1[value],Table1[IndicatorCode],Table1[[#This Row],[IndicatorCode]])</f>
        <v>72.66514008620689</v>
      </c>
      <c r="I7349" cm="1">
        <f t="array" ref="I7349">_xlfn.STDEV.P(IF(Table1[IndicatorCode]=Table1[[#This Row],[IndicatorCode]],Table1[value]))</f>
        <v>6.3409496564024987</v>
      </c>
      <c r="J7349">
        <f>(Table1[[#This Row],[value]] - Table1[[#This Row],[mean]]) / Table1[[#This Row],[std_dev]]</f>
        <v>-1.2088315633396249</v>
      </c>
      <c r="K7349">
        <f>AVERAGEIF(Table1[CountryCode],Table1[[#This Row],[CountryCode]],Table1[z-score])</f>
        <v>-0.71856813961256161</v>
      </c>
      <c r="L7349" t="e">
        <f>VLOOKUP(Table1[[#This Row],[CountryCode]],[1]!Table1[#All],1,FALSE)</f>
        <v>#REF!</v>
      </c>
    </row>
    <row r="7350" spans="1:12" hidden="1" x14ac:dyDescent="0.3">
      <c r="A7350" t="s">
        <v>13</v>
      </c>
      <c r="B7350" t="s">
        <v>14</v>
      </c>
      <c r="C7350" t="s">
        <v>129</v>
      </c>
      <c r="D7350" t="s">
        <v>130</v>
      </c>
      <c r="E7350">
        <v>1981</v>
      </c>
      <c r="F7350" s="1">
        <v>65</v>
      </c>
      <c r="G7350">
        <v>1980</v>
      </c>
      <c r="H7350">
        <f>AVERAGEIFS(Table1[value],Table1[IndicatorCode],Table1[[#This Row],[IndicatorCode]])</f>
        <v>72.66514008620689</v>
      </c>
      <c r="I7350" cm="1">
        <f t="array" ref="I7350">_xlfn.STDEV.P(IF(Table1[IndicatorCode]=Table1[[#This Row],[IndicatorCode]],Table1[value]))</f>
        <v>6.3409496564024987</v>
      </c>
      <c r="J7350">
        <f>(Table1[[#This Row],[value]] - Table1[[#This Row],[mean]]) / Table1[[#This Row],[std_dev]]</f>
        <v>-1.2088315633396249</v>
      </c>
      <c r="K7350">
        <f>AVERAGEIF(Table1[CountryCode],Table1[[#This Row],[CountryCode]],Table1[z-score])</f>
        <v>-0.71856813961256161</v>
      </c>
      <c r="L7350" t="e">
        <f>VLOOKUP(Table1[[#This Row],[CountryCode]],[1]!Table1[#All],1,FALSE)</f>
        <v>#REF!</v>
      </c>
    </row>
    <row r="7351" spans="1:12" hidden="1" x14ac:dyDescent="0.3">
      <c r="A7351" t="s">
        <v>13</v>
      </c>
      <c r="B7351" t="s">
        <v>14</v>
      </c>
      <c r="C7351" t="s">
        <v>129</v>
      </c>
      <c r="D7351" t="s">
        <v>130</v>
      </c>
      <c r="E7351">
        <v>1982</v>
      </c>
      <c r="F7351" s="1">
        <v>66</v>
      </c>
      <c r="G7351">
        <v>1980</v>
      </c>
      <c r="H7351">
        <f>AVERAGEIFS(Table1[value],Table1[IndicatorCode],Table1[[#This Row],[IndicatorCode]])</f>
        <v>72.66514008620689</v>
      </c>
      <c r="I7351" cm="1">
        <f t="array" ref="I7351">_xlfn.STDEV.P(IF(Table1[IndicatorCode]=Table1[[#This Row],[IndicatorCode]],Table1[value]))</f>
        <v>6.3409496564024987</v>
      </c>
      <c r="J7351">
        <f>(Table1[[#This Row],[value]] - Table1[[#This Row],[mean]]) / Table1[[#This Row],[std_dev]]</f>
        <v>-1.0511264790561858</v>
      </c>
      <c r="K7351">
        <f>AVERAGEIF(Table1[CountryCode],Table1[[#This Row],[CountryCode]],Table1[z-score])</f>
        <v>-0.71856813961256161</v>
      </c>
      <c r="L7351" t="e">
        <f>VLOOKUP(Table1[[#This Row],[CountryCode]],[1]!Table1[#All],1,FALSE)</f>
        <v>#REF!</v>
      </c>
    </row>
    <row r="7352" spans="1:12" hidden="1" x14ac:dyDescent="0.3">
      <c r="A7352" t="s">
        <v>13</v>
      </c>
      <c r="B7352" t="s">
        <v>14</v>
      </c>
      <c r="C7352" t="s">
        <v>129</v>
      </c>
      <c r="D7352" t="s">
        <v>130</v>
      </c>
      <c r="E7352">
        <v>1983</v>
      </c>
      <c r="F7352" s="1">
        <v>66</v>
      </c>
      <c r="G7352">
        <v>1980</v>
      </c>
      <c r="H7352">
        <f>AVERAGEIFS(Table1[value],Table1[IndicatorCode],Table1[[#This Row],[IndicatorCode]])</f>
        <v>72.66514008620689</v>
      </c>
      <c r="I7352" cm="1">
        <f t="array" ref="I7352">_xlfn.STDEV.P(IF(Table1[IndicatorCode]=Table1[[#This Row],[IndicatorCode]],Table1[value]))</f>
        <v>6.3409496564024987</v>
      </c>
      <c r="J7352">
        <f>(Table1[[#This Row],[value]] - Table1[[#This Row],[mean]]) / Table1[[#This Row],[std_dev]]</f>
        <v>-1.0511264790561858</v>
      </c>
      <c r="K7352">
        <f>AVERAGEIF(Table1[CountryCode],Table1[[#This Row],[CountryCode]],Table1[z-score])</f>
        <v>-0.71856813961256161</v>
      </c>
      <c r="L7352" t="e">
        <f>VLOOKUP(Table1[[#This Row],[CountryCode]],[1]!Table1[#All],1,FALSE)</f>
        <v>#REF!</v>
      </c>
    </row>
    <row r="7353" spans="1:12" hidden="1" x14ac:dyDescent="0.3">
      <c r="A7353" t="s">
        <v>13</v>
      </c>
      <c r="B7353" t="s">
        <v>14</v>
      </c>
      <c r="C7353" t="s">
        <v>129</v>
      </c>
      <c r="D7353" t="s">
        <v>130</v>
      </c>
      <c r="E7353">
        <v>1984</v>
      </c>
      <c r="F7353" s="1">
        <v>67</v>
      </c>
      <c r="G7353">
        <v>1980</v>
      </c>
      <c r="H7353">
        <f>AVERAGEIFS(Table1[value],Table1[IndicatorCode],Table1[[#This Row],[IndicatorCode]])</f>
        <v>72.66514008620689</v>
      </c>
      <c r="I7353" cm="1">
        <f t="array" ref="I7353">_xlfn.STDEV.P(IF(Table1[IndicatorCode]=Table1[[#This Row],[IndicatorCode]],Table1[value]))</f>
        <v>6.3409496564024987</v>
      </c>
      <c r="J7353">
        <f>(Table1[[#This Row],[value]] - Table1[[#This Row],[mean]]) / Table1[[#This Row],[std_dev]]</f>
        <v>-0.89342139477274674</v>
      </c>
      <c r="K7353">
        <f>AVERAGEIF(Table1[CountryCode],Table1[[#This Row],[CountryCode]],Table1[z-score])</f>
        <v>-0.71856813961256161</v>
      </c>
      <c r="L7353" t="e">
        <f>VLOOKUP(Table1[[#This Row],[CountryCode]],[1]!Table1[#All],1,FALSE)</f>
        <v>#REF!</v>
      </c>
    </row>
    <row r="7354" spans="1:12" hidden="1" x14ac:dyDescent="0.3">
      <c r="A7354" t="s">
        <v>13</v>
      </c>
      <c r="B7354" t="s">
        <v>14</v>
      </c>
      <c r="C7354" t="s">
        <v>129</v>
      </c>
      <c r="D7354" t="s">
        <v>130</v>
      </c>
      <c r="E7354">
        <v>1985</v>
      </c>
      <c r="F7354" s="1">
        <v>67</v>
      </c>
      <c r="G7354">
        <v>1980</v>
      </c>
      <c r="H7354">
        <f>AVERAGEIFS(Table1[value],Table1[IndicatorCode],Table1[[#This Row],[IndicatorCode]])</f>
        <v>72.66514008620689</v>
      </c>
      <c r="I7354" cm="1">
        <f t="array" ref="I7354">_xlfn.STDEV.P(IF(Table1[IndicatorCode]=Table1[[#This Row],[IndicatorCode]],Table1[value]))</f>
        <v>6.3409496564024987</v>
      </c>
      <c r="J7354">
        <f>(Table1[[#This Row],[value]] - Table1[[#This Row],[mean]]) / Table1[[#This Row],[std_dev]]</f>
        <v>-0.89342139477274674</v>
      </c>
      <c r="K7354">
        <f>AVERAGEIF(Table1[CountryCode],Table1[[#This Row],[CountryCode]],Table1[z-score])</f>
        <v>-0.71856813961256161</v>
      </c>
      <c r="L7354" t="e">
        <f>VLOOKUP(Table1[[#This Row],[CountryCode]],[1]!Table1[#All],1,FALSE)</f>
        <v>#REF!</v>
      </c>
    </row>
    <row r="7355" spans="1:12" hidden="1" x14ac:dyDescent="0.3">
      <c r="A7355" t="s">
        <v>13</v>
      </c>
      <c r="B7355" t="s">
        <v>14</v>
      </c>
      <c r="C7355" t="s">
        <v>129</v>
      </c>
      <c r="D7355" t="s">
        <v>130</v>
      </c>
      <c r="E7355">
        <v>1986</v>
      </c>
      <c r="F7355" s="1">
        <v>67</v>
      </c>
      <c r="G7355">
        <v>1980</v>
      </c>
      <c r="H7355">
        <f>AVERAGEIFS(Table1[value],Table1[IndicatorCode],Table1[[#This Row],[IndicatorCode]])</f>
        <v>72.66514008620689</v>
      </c>
      <c r="I7355" cm="1">
        <f t="array" ref="I7355">_xlfn.STDEV.P(IF(Table1[IndicatorCode]=Table1[[#This Row],[IndicatorCode]],Table1[value]))</f>
        <v>6.3409496564024987</v>
      </c>
      <c r="J7355">
        <f>(Table1[[#This Row],[value]] - Table1[[#This Row],[mean]]) / Table1[[#This Row],[std_dev]]</f>
        <v>-0.89342139477274674</v>
      </c>
      <c r="K7355">
        <f>AVERAGEIF(Table1[CountryCode],Table1[[#This Row],[CountryCode]],Table1[z-score])</f>
        <v>-0.71856813961256161</v>
      </c>
      <c r="L7355" t="e">
        <f>VLOOKUP(Table1[[#This Row],[CountryCode]],[1]!Table1[#All],1,FALSE)</f>
        <v>#REF!</v>
      </c>
    </row>
    <row r="7356" spans="1:12" hidden="1" x14ac:dyDescent="0.3">
      <c r="A7356" t="s">
        <v>13</v>
      </c>
      <c r="B7356" t="s">
        <v>14</v>
      </c>
      <c r="C7356" t="s">
        <v>129</v>
      </c>
      <c r="D7356" t="s">
        <v>130</v>
      </c>
      <c r="E7356">
        <v>1987</v>
      </c>
      <c r="F7356" s="1">
        <v>67</v>
      </c>
      <c r="G7356">
        <v>1990</v>
      </c>
      <c r="H7356">
        <f>AVERAGEIFS(Table1[value],Table1[IndicatorCode],Table1[[#This Row],[IndicatorCode]])</f>
        <v>72.66514008620689</v>
      </c>
      <c r="I7356" cm="1">
        <f t="array" ref="I7356">_xlfn.STDEV.P(IF(Table1[IndicatorCode]=Table1[[#This Row],[IndicatorCode]],Table1[value]))</f>
        <v>6.3409496564024987</v>
      </c>
      <c r="J7356">
        <f>(Table1[[#This Row],[value]] - Table1[[#This Row],[mean]]) / Table1[[#This Row],[std_dev]]</f>
        <v>-0.89342139477274674</v>
      </c>
      <c r="K7356">
        <f>AVERAGEIF(Table1[CountryCode],Table1[[#This Row],[CountryCode]],Table1[z-score])</f>
        <v>-0.71856813961256161</v>
      </c>
      <c r="L7356" t="e">
        <f>VLOOKUP(Table1[[#This Row],[CountryCode]],[1]!Table1[#All],1,FALSE)</f>
        <v>#REF!</v>
      </c>
    </row>
    <row r="7357" spans="1:12" hidden="1" x14ac:dyDescent="0.3">
      <c r="A7357" t="s">
        <v>13</v>
      </c>
      <c r="B7357" t="s">
        <v>14</v>
      </c>
      <c r="C7357" t="s">
        <v>129</v>
      </c>
      <c r="D7357" t="s">
        <v>130</v>
      </c>
      <c r="E7357">
        <v>1988</v>
      </c>
      <c r="F7357" s="1">
        <v>53</v>
      </c>
      <c r="G7357">
        <v>1990</v>
      </c>
      <c r="H7357">
        <f>AVERAGEIFS(Table1[value],Table1[IndicatorCode],Table1[[#This Row],[IndicatorCode]])</f>
        <v>72.66514008620689</v>
      </c>
      <c r="I7357" cm="1">
        <f t="array" ref="I7357">_xlfn.STDEV.P(IF(Table1[IndicatorCode]=Table1[[#This Row],[IndicatorCode]],Table1[value]))</f>
        <v>6.3409496564024987</v>
      </c>
      <c r="J7357">
        <f>(Table1[[#This Row],[value]] - Table1[[#This Row],[mean]]) / Table1[[#This Row],[std_dev]]</f>
        <v>-3.1012925747408935</v>
      </c>
      <c r="K7357">
        <f>AVERAGEIF(Table1[CountryCode],Table1[[#This Row],[CountryCode]],Table1[z-score])</f>
        <v>-0.71856813961256161</v>
      </c>
      <c r="L7357" t="e">
        <f>VLOOKUP(Table1[[#This Row],[CountryCode]],[1]!Table1[#All],1,FALSE)</f>
        <v>#REF!</v>
      </c>
    </row>
    <row r="7358" spans="1:12" hidden="1" x14ac:dyDescent="0.3">
      <c r="A7358" t="s">
        <v>13</v>
      </c>
      <c r="B7358" t="s">
        <v>14</v>
      </c>
      <c r="C7358" t="s">
        <v>129</v>
      </c>
      <c r="D7358" t="s">
        <v>130</v>
      </c>
      <c r="E7358">
        <v>1989</v>
      </c>
      <c r="F7358" s="1">
        <v>68</v>
      </c>
      <c r="G7358">
        <v>1990</v>
      </c>
      <c r="H7358">
        <f>AVERAGEIFS(Table1[value],Table1[IndicatorCode],Table1[[#This Row],[IndicatorCode]])</f>
        <v>72.66514008620689</v>
      </c>
      <c r="I7358" cm="1">
        <f t="array" ref="I7358">_xlfn.STDEV.P(IF(Table1[IndicatorCode]=Table1[[#This Row],[IndicatorCode]],Table1[value]))</f>
        <v>6.3409496564024987</v>
      </c>
      <c r="J7358">
        <f>(Table1[[#This Row],[value]] - Table1[[#This Row],[mean]]) / Table1[[#This Row],[std_dev]]</f>
        <v>-0.73571631048930775</v>
      </c>
      <c r="K7358">
        <f>AVERAGEIF(Table1[CountryCode],Table1[[#This Row],[CountryCode]],Table1[z-score])</f>
        <v>-0.71856813961256161</v>
      </c>
      <c r="L7358" t="e">
        <f>VLOOKUP(Table1[[#This Row],[CountryCode]],[1]!Table1[#All],1,FALSE)</f>
        <v>#REF!</v>
      </c>
    </row>
    <row r="7359" spans="1:12" hidden="1" x14ac:dyDescent="0.3">
      <c r="A7359" t="s">
        <v>13</v>
      </c>
      <c r="B7359" t="s">
        <v>14</v>
      </c>
      <c r="C7359" t="s">
        <v>129</v>
      </c>
      <c r="D7359" t="s">
        <v>130</v>
      </c>
      <c r="E7359">
        <v>1990</v>
      </c>
      <c r="F7359" s="1">
        <v>68</v>
      </c>
      <c r="G7359">
        <v>1990</v>
      </c>
      <c r="H7359">
        <f>AVERAGEIFS(Table1[value],Table1[IndicatorCode],Table1[[#This Row],[IndicatorCode]])</f>
        <v>72.66514008620689</v>
      </c>
      <c r="I7359" cm="1">
        <f t="array" ref="I7359">_xlfn.STDEV.P(IF(Table1[IndicatorCode]=Table1[[#This Row],[IndicatorCode]],Table1[value]))</f>
        <v>6.3409496564024987</v>
      </c>
      <c r="J7359">
        <f>(Table1[[#This Row],[value]] - Table1[[#This Row],[mean]]) / Table1[[#This Row],[std_dev]]</f>
        <v>-0.73571631048930775</v>
      </c>
      <c r="K7359">
        <f>AVERAGEIF(Table1[CountryCode],Table1[[#This Row],[CountryCode]],Table1[z-score])</f>
        <v>-0.71856813961256161</v>
      </c>
      <c r="L7359" t="e">
        <f>VLOOKUP(Table1[[#This Row],[CountryCode]],[1]!Table1[#All],1,FALSE)</f>
        <v>#REF!</v>
      </c>
    </row>
    <row r="7360" spans="1:12" hidden="1" x14ac:dyDescent="0.3">
      <c r="A7360" t="s">
        <v>13</v>
      </c>
      <c r="B7360" t="s">
        <v>14</v>
      </c>
      <c r="C7360" t="s">
        <v>129</v>
      </c>
      <c r="D7360" t="s">
        <v>130</v>
      </c>
      <c r="E7360">
        <v>1991</v>
      </c>
      <c r="F7360" s="1">
        <v>68</v>
      </c>
      <c r="G7360">
        <v>1990</v>
      </c>
      <c r="H7360">
        <f>AVERAGEIFS(Table1[value],Table1[IndicatorCode],Table1[[#This Row],[IndicatorCode]])</f>
        <v>72.66514008620689</v>
      </c>
      <c r="I7360" cm="1">
        <f t="array" ref="I7360">_xlfn.STDEV.P(IF(Table1[IndicatorCode]=Table1[[#This Row],[IndicatorCode]],Table1[value]))</f>
        <v>6.3409496564024987</v>
      </c>
      <c r="J7360">
        <f>(Table1[[#This Row],[value]] - Table1[[#This Row],[mean]]) / Table1[[#This Row],[std_dev]]</f>
        <v>-0.73571631048930775</v>
      </c>
      <c r="K7360">
        <f>AVERAGEIF(Table1[CountryCode],Table1[[#This Row],[CountryCode]],Table1[z-score])</f>
        <v>-0.71856813961256161</v>
      </c>
      <c r="L7360" t="e">
        <f>VLOOKUP(Table1[[#This Row],[CountryCode]],[1]!Table1[#All],1,FALSE)</f>
        <v>#REF!</v>
      </c>
    </row>
    <row r="7361" spans="1:12" hidden="1" x14ac:dyDescent="0.3">
      <c r="A7361" t="s">
        <v>13</v>
      </c>
      <c r="B7361" t="s">
        <v>14</v>
      </c>
      <c r="C7361" t="s">
        <v>129</v>
      </c>
      <c r="D7361" t="s">
        <v>130</v>
      </c>
      <c r="E7361">
        <v>1992</v>
      </c>
      <c r="F7361" s="1">
        <v>68</v>
      </c>
      <c r="G7361">
        <v>1990</v>
      </c>
      <c r="H7361">
        <f>AVERAGEIFS(Table1[value],Table1[IndicatorCode],Table1[[#This Row],[IndicatorCode]])</f>
        <v>72.66514008620689</v>
      </c>
      <c r="I7361" cm="1">
        <f t="array" ref="I7361">_xlfn.STDEV.P(IF(Table1[IndicatorCode]=Table1[[#This Row],[IndicatorCode]],Table1[value]))</f>
        <v>6.3409496564024987</v>
      </c>
      <c r="J7361">
        <f>(Table1[[#This Row],[value]] - Table1[[#This Row],[mean]]) / Table1[[#This Row],[std_dev]]</f>
        <v>-0.73571631048930775</v>
      </c>
      <c r="K7361">
        <f>AVERAGEIF(Table1[CountryCode],Table1[[#This Row],[CountryCode]],Table1[z-score])</f>
        <v>-0.71856813961256161</v>
      </c>
      <c r="L7361" t="e">
        <f>VLOOKUP(Table1[[#This Row],[CountryCode]],[1]!Table1[#All],1,FALSE)</f>
        <v>#REF!</v>
      </c>
    </row>
    <row r="7362" spans="1:12" hidden="1" x14ac:dyDescent="0.3">
      <c r="A7362" t="s">
        <v>13</v>
      </c>
      <c r="B7362" t="s">
        <v>14</v>
      </c>
      <c r="C7362" t="s">
        <v>129</v>
      </c>
      <c r="D7362" t="s">
        <v>130</v>
      </c>
      <c r="E7362">
        <v>1993</v>
      </c>
      <c r="F7362" s="1">
        <v>68</v>
      </c>
      <c r="G7362">
        <v>1990</v>
      </c>
      <c r="H7362">
        <f>AVERAGEIFS(Table1[value],Table1[IndicatorCode],Table1[[#This Row],[IndicatorCode]])</f>
        <v>72.66514008620689</v>
      </c>
      <c r="I7362" cm="1">
        <f t="array" ref="I7362">_xlfn.STDEV.P(IF(Table1[IndicatorCode]=Table1[[#This Row],[IndicatorCode]],Table1[value]))</f>
        <v>6.3409496564024987</v>
      </c>
      <c r="J7362">
        <f>(Table1[[#This Row],[value]] - Table1[[#This Row],[mean]]) / Table1[[#This Row],[std_dev]]</f>
        <v>-0.73571631048930775</v>
      </c>
      <c r="K7362">
        <f>AVERAGEIF(Table1[CountryCode],Table1[[#This Row],[CountryCode]],Table1[z-score])</f>
        <v>-0.71856813961256161</v>
      </c>
      <c r="L7362" t="e">
        <f>VLOOKUP(Table1[[#This Row],[CountryCode]],[1]!Table1[#All],1,FALSE)</f>
        <v>#REF!</v>
      </c>
    </row>
    <row r="7363" spans="1:12" hidden="1" x14ac:dyDescent="0.3">
      <c r="A7363" t="s">
        <v>13</v>
      </c>
      <c r="B7363" t="s">
        <v>14</v>
      </c>
      <c r="C7363" t="s">
        <v>129</v>
      </c>
      <c r="D7363" t="s">
        <v>130</v>
      </c>
      <c r="E7363">
        <v>1994</v>
      </c>
      <c r="F7363" s="1">
        <v>68</v>
      </c>
      <c r="G7363">
        <v>1990</v>
      </c>
      <c r="H7363">
        <f>AVERAGEIFS(Table1[value],Table1[IndicatorCode],Table1[[#This Row],[IndicatorCode]])</f>
        <v>72.66514008620689</v>
      </c>
      <c r="I7363" cm="1">
        <f t="array" ref="I7363">_xlfn.STDEV.P(IF(Table1[IndicatorCode]=Table1[[#This Row],[IndicatorCode]],Table1[value]))</f>
        <v>6.3409496564024987</v>
      </c>
      <c r="J7363">
        <f>(Table1[[#This Row],[value]] - Table1[[#This Row],[mean]]) / Table1[[#This Row],[std_dev]]</f>
        <v>-0.73571631048930775</v>
      </c>
      <c r="K7363">
        <f>AVERAGEIF(Table1[CountryCode],Table1[[#This Row],[CountryCode]],Table1[z-score])</f>
        <v>-0.71856813961256161</v>
      </c>
      <c r="L7363" t="e">
        <f>VLOOKUP(Table1[[#This Row],[CountryCode]],[1]!Table1[#All],1,FALSE)</f>
        <v>#REF!</v>
      </c>
    </row>
    <row r="7364" spans="1:12" hidden="1" x14ac:dyDescent="0.3">
      <c r="A7364" t="s">
        <v>13</v>
      </c>
      <c r="B7364" t="s">
        <v>14</v>
      </c>
      <c r="C7364" t="s">
        <v>129</v>
      </c>
      <c r="D7364" t="s">
        <v>130</v>
      </c>
      <c r="E7364">
        <v>1995</v>
      </c>
      <c r="F7364" s="1">
        <v>69</v>
      </c>
      <c r="G7364">
        <v>1990</v>
      </c>
      <c r="H7364">
        <f>AVERAGEIFS(Table1[value],Table1[IndicatorCode],Table1[[#This Row],[IndicatorCode]])</f>
        <v>72.66514008620689</v>
      </c>
      <c r="I7364" cm="1">
        <f t="array" ref="I7364">_xlfn.STDEV.P(IF(Table1[IndicatorCode]=Table1[[#This Row],[IndicatorCode]],Table1[value]))</f>
        <v>6.3409496564024987</v>
      </c>
      <c r="J7364">
        <f>(Table1[[#This Row],[value]] - Table1[[#This Row],[mean]]) / Table1[[#This Row],[std_dev]]</f>
        <v>-0.57801122620586864</v>
      </c>
      <c r="K7364">
        <f>AVERAGEIF(Table1[CountryCode],Table1[[#This Row],[CountryCode]],Table1[z-score])</f>
        <v>-0.71856813961256161</v>
      </c>
      <c r="L7364" t="e">
        <f>VLOOKUP(Table1[[#This Row],[CountryCode]],[1]!Table1[#All],1,FALSE)</f>
        <v>#REF!</v>
      </c>
    </row>
    <row r="7365" spans="1:12" hidden="1" x14ac:dyDescent="0.3">
      <c r="A7365" t="s">
        <v>13</v>
      </c>
      <c r="B7365" t="s">
        <v>14</v>
      </c>
      <c r="C7365" t="s">
        <v>129</v>
      </c>
      <c r="D7365" t="s">
        <v>130</v>
      </c>
      <c r="E7365">
        <v>1996</v>
      </c>
      <c r="F7365" s="1">
        <v>69</v>
      </c>
      <c r="G7365">
        <v>1990</v>
      </c>
      <c r="H7365">
        <f>AVERAGEIFS(Table1[value],Table1[IndicatorCode],Table1[[#This Row],[IndicatorCode]])</f>
        <v>72.66514008620689</v>
      </c>
      <c r="I7365" cm="1">
        <f t="array" ref="I7365">_xlfn.STDEV.P(IF(Table1[IndicatorCode]=Table1[[#This Row],[IndicatorCode]],Table1[value]))</f>
        <v>6.3409496564024987</v>
      </c>
      <c r="J7365">
        <f>(Table1[[#This Row],[value]] - Table1[[#This Row],[mean]]) / Table1[[#This Row],[std_dev]]</f>
        <v>-0.57801122620586864</v>
      </c>
      <c r="K7365">
        <f>AVERAGEIF(Table1[CountryCode],Table1[[#This Row],[CountryCode]],Table1[z-score])</f>
        <v>-0.71856813961256161</v>
      </c>
      <c r="L7365" t="e">
        <f>VLOOKUP(Table1[[#This Row],[CountryCode]],[1]!Table1[#All],1,FALSE)</f>
        <v>#REF!</v>
      </c>
    </row>
    <row r="7366" spans="1:12" hidden="1" x14ac:dyDescent="0.3">
      <c r="A7366" t="s">
        <v>13</v>
      </c>
      <c r="B7366" t="s">
        <v>14</v>
      </c>
      <c r="C7366" t="s">
        <v>129</v>
      </c>
      <c r="D7366" t="s">
        <v>130</v>
      </c>
      <c r="E7366">
        <v>1997</v>
      </c>
      <c r="F7366" s="1">
        <v>69</v>
      </c>
      <c r="G7366">
        <v>2000</v>
      </c>
      <c r="H7366">
        <f>AVERAGEIFS(Table1[value],Table1[IndicatorCode],Table1[[#This Row],[IndicatorCode]])</f>
        <v>72.66514008620689</v>
      </c>
      <c r="I7366" cm="1">
        <f t="array" ref="I7366">_xlfn.STDEV.P(IF(Table1[IndicatorCode]=Table1[[#This Row],[IndicatorCode]],Table1[value]))</f>
        <v>6.3409496564024987</v>
      </c>
      <c r="J7366">
        <f>(Table1[[#This Row],[value]] - Table1[[#This Row],[mean]]) / Table1[[#This Row],[std_dev]]</f>
        <v>-0.57801122620586864</v>
      </c>
      <c r="K7366">
        <f>AVERAGEIF(Table1[CountryCode],Table1[[#This Row],[CountryCode]],Table1[z-score])</f>
        <v>-0.71856813961256161</v>
      </c>
      <c r="L7366" t="e">
        <f>VLOOKUP(Table1[[#This Row],[CountryCode]],[1]!Table1[#All],1,FALSE)</f>
        <v>#REF!</v>
      </c>
    </row>
    <row r="7367" spans="1:12" hidden="1" x14ac:dyDescent="0.3">
      <c r="A7367" t="s">
        <v>13</v>
      </c>
      <c r="B7367" t="s">
        <v>14</v>
      </c>
      <c r="C7367" t="s">
        <v>129</v>
      </c>
      <c r="D7367" t="s">
        <v>130</v>
      </c>
      <c r="E7367">
        <v>1998</v>
      </c>
      <c r="F7367" s="1">
        <v>70</v>
      </c>
      <c r="G7367">
        <v>2000</v>
      </c>
      <c r="H7367">
        <f>AVERAGEIFS(Table1[value],Table1[IndicatorCode],Table1[[#This Row],[IndicatorCode]])</f>
        <v>72.66514008620689</v>
      </c>
      <c r="I7367" cm="1">
        <f t="array" ref="I7367">_xlfn.STDEV.P(IF(Table1[IndicatorCode]=Table1[[#This Row],[IndicatorCode]],Table1[value]))</f>
        <v>6.3409496564024987</v>
      </c>
      <c r="J7367">
        <f>(Table1[[#This Row],[value]] - Table1[[#This Row],[mean]]) / Table1[[#This Row],[std_dev]]</f>
        <v>-0.4203061419224296</v>
      </c>
      <c r="K7367">
        <f>AVERAGEIF(Table1[CountryCode],Table1[[#This Row],[CountryCode]],Table1[z-score])</f>
        <v>-0.71856813961256161</v>
      </c>
      <c r="L7367" t="e">
        <f>VLOOKUP(Table1[[#This Row],[CountryCode]],[1]!Table1[#All],1,FALSE)</f>
        <v>#REF!</v>
      </c>
    </row>
    <row r="7368" spans="1:12" hidden="1" x14ac:dyDescent="0.3">
      <c r="A7368" t="s">
        <v>13</v>
      </c>
      <c r="B7368" t="s">
        <v>14</v>
      </c>
      <c r="C7368" t="s">
        <v>129</v>
      </c>
      <c r="D7368" t="s">
        <v>130</v>
      </c>
      <c r="E7368">
        <v>1999</v>
      </c>
      <c r="F7368" s="1">
        <v>70</v>
      </c>
      <c r="G7368">
        <v>2000</v>
      </c>
      <c r="H7368">
        <f>AVERAGEIFS(Table1[value],Table1[IndicatorCode],Table1[[#This Row],[IndicatorCode]])</f>
        <v>72.66514008620689</v>
      </c>
      <c r="I7368" cm="1">
        <f t="array" ref="I7368">_xlfn.STDEV.P(IF(Table1[IndicatorCode]=Table1[[#This Row],[IndicatorCode]],Table1[value]))</f>
        <v>6.3409496564024987</v>
      </c>
      <c r="J7368">
        <f>(Table1[[#This Row],[value]] - Table1[[#This Row],[mean]]) / Table1[[#This Row],[std_dev]]</f>
        <v>-0.4203061419224296</v>
      </c>
      <c r="K7368">
        <f>AVERAGEIF(Table1[CountryCode],Table1[[#This Row],[CountryCode]],Table1[z-score])</f>
        <v>-0.71856813961256161</v>
      </c>
      <c r="L7368" t="e">
        <f>VLOOKUP(Table1[[#This Row],[CountryCode]],[1]!Table1[#All],1,FALSE)</f>
        <v>#REF!</v>
      </c>
    </row>
    <row r="7369" spans="1:12" hidden="1" x14ac:dyDescent="0.3">
      <c r="A7369" t="s">
        <v>13</v>
      </c>
      <c r="B7369" t="s">
        <v>14</v>
      </c>
      <c r="C7369" t="s">
        <v>129</v>
      </c>
      <c r="D7369" t="s">
        <v>130</v>
      </c>
      <c r="E7369">
        <v>2000</v>
      </c>
      <c r="F7369" s="1">
        <v>73</v>
      </c>
      <c r="G7369">
        <v>2000</v>
      </c>
      <c r="H7369">
        <f>AVERAGEIFS(Table1[value],Table1[IndicatorCode],Table1[[#This Row],[IndicatorCode]])</f>
        <v>72.66514008620689</v>
      </c>
      <c r="I7369" cm="1">
        <f t="array" ref="I7369">_xlfn.STDEV.P(IF(Table1[IndicatorCode]=Table1[[#This Row],[IndicatorCode]],Table1[value]))</f>
        <v>6.3409496564024987</v>
      </c>
      <c r="J7369">
        <f>(Table1[[#This Row],[value]] - Table1[[#This Row],[mean]]) / Table1[[#This Row],[std_dev]]</f>
        <v>5.2809110927887599E-2</v>
      </c>
      <c r="K7369">
        <f>AVERAGEIF(Table1[CountryCode],Table1[[#This Row],[CountryCode]],Table1[z-score])</f>
        <v>-0.71856813961256161</v>
      </c>
      <c r="L7369" t="e">
        <f>VLOOKUP(Table1[[#This Row],[CountryCode]],[1]!Table1[#All],1,FALSE)</f>
        <v>#REF!</v>
      </c>
    </row>
    <row r="7370" spans="1:12" hidden="1" x14ac:dyDescent="0.3">
      <c r="A7370" t="s">
        <v>13</v>
      </c>
      <c r="B7370" t="s">
        <v>14</v>
      </c>
      <c r="C7370" t="s">
        <v>129</v>
      </c>
      <c r="D7370" t="s">
        <v>130</v>
      </c>
      <c r="E7370">
        <v>2001</v>
      </c>
      <c r="F7370" s="1">
        <v>73</v>
      </c>
      <c r="G7370">
        <v>2000</v>
      </c>
      <c r="H7370">
        <f>AVERAGEIFS(Table1[value],Table1[IndicatorCode],Table1[[#This Row],[IndicatorCode]])</f>
        <v>72.66514008620689</v>
      </c>
      <c r="I7370" cm="1">
        <f t="array" ref="I7370">_xlfn.STDEV.P(IF(Table1[IndicatorCode]=Table1[[#This Row],[IndicatorCode]],Table1[value]))</f>
        <v>6.3409496564024987</v>
      </c>
      <c r="J7370">
        <f>(Table1[[#This Row],[value]] - Table1[[#This Row],[mean]]) / Table1[[#This Row],[std_dev]]</f>
        <v>5.2809110927887599E-2</v>
      </c>
      <c r="K7370">
        <f>AVERAGEIF(Table1[CountryCode],Table1[[#This Row],[CountryCode]],Table1[z-score])</f>
        <v>-0.71856813961256161</v>
      </c>
      <c r="L7370" t="e">
        <f>VLOOKUP(Table1[[#This Row],[CountryCode]],[1]!Table1[#All],1,FALSE)</f>
        <v>#REF!</v>
      </c>
    </row>
    <row r="7371" spans="1:12" hidden="1" x14ac:dyDescent="0.3">
      <c r="A7371" t="s">
        <v>13</v>
      </c>
      <c r="B7371" t="s">
        <v>14</v>
      </c>
      <c r="C7371" t="s">
        <v>129</v>
      </c>
      <c r="D7371" t="s">
        <v>130</v>
      </c>
      <c r="E7371">
        <v>2002</v>
      </c>
      <c r="F7371" s="1">
        <v>73</v>
      </c>
      <c r="G7371">
        <v>2000</v>
      </c>
      <c r="H7371">
        <f>AVERAGEIFS(Table1[value],Table1[IndicatorCode],Table1[[#This Row],[IndicatorCode]])</f>
        <v>72.66514008620689</v>
      </c>
      <c r="I7371" cm="1">
        <f t="array" ref="I7371">_xlfn.STDEV.P(IF(Table1[IndicatorCode]=Table1[[#This Row],[IndicatorCode]],Table1[value]))</f>
        <v>6.3409496564024987</v>
      </c>
      <c r="J7371">
        <f>(Table1[[#This Row],[value]] - Table1[[#This Row],[mean]]) / Table1[[#This Row],[std_dev]]</f>
        <v>5.2809110927887599E-2</v>
      </c>
      <c r="K7371">
        <f>AVERAGEIF(Table1[CountryCode],Table1[[#This Row],[CountryCode]],Table1[z-score])</f>
        <v>-0.71856813961256161</v>
      </c>
      <c r="L7371" t="e">
        <f>VLOOKUP(Table1[[#This Row],[CountryCode]],[1]!Table1[#All],1,FALSE)</f>
        <v>#REF!</v>
      </c>
    </row>
    <row r="7372" spans="1:12" hidden="1" x14ac:dyDescent="0.3">
      <c r="A7372" t="s">
        <v>13</v>
      </c>
      <c r="B7372" t="s">
        <v>14</v>
      </c>
      <c r="C7372" t="s">
        <v>129</v>
      </c>
      <c r="D7372" t="s">
        <v>130</v>
      </c>
      <c r="E7372">
        <v>2003</v>
      </c>
      <c r="F7372" s="1">
        <v>73</v>
      </c>
      <c r="G7372">
        <v>2000</v>
      </c>
      <c r="H7372">
        <f>AVERAGEIFS(Table1[value],Table1[IndicatorCode],Table1[[#This Row],[IndicatorCode]])</f>
        <v>72.66514008620689</v>
      </c>
      <c r="I7372" cm="1">
        <f t="array" ref="I7372">_xlfn.STDEV.P(IF(Table1[IndicatorCode]=Table1[[#This Row],[IndicatorCode]],Table1[value]))</f>
        <v>6.3409496564024987</v>
      </c>
      <c r="J7372">
        <f>(Table1[[#This Row],[value]] - Table1[[#This Row],[mean]]) / Table1[[#This Row],[std_dev]]</f>
        <v>5.2809110927887599E-2</v>
      </c>
      <c r="K7372">
        <f>AVERAGEIF(Table1[CountryCode],Table1[[#This Row],[CountryCode]],Table1[z-score])</f>
        <v>-0.71856813961256161</v>
      </c>
      <c r="L7372" t="e">
        <f>VLOOKUP(Table1[[#This Row],[CountryCode]],[1]!Table1[#All],1,FALSE)</f>
        <v>#REF!</v>
      </c>
    </row>
    <row r="7373" spans="1:12" hidden="1" x14ac:dyDescent="0.3">
      <c r="A7373" t="s">
        <v>13</v>
      </c>
      <c r="B7373" t="s">
        <v>14</v>
      </c>
      <c r="C7373" t="s">
        <v>129</v>
      </c>
      <c r="D7373" t="s">
        <v>130</v>
      </c>
      <c r="E7373">
        <v>2004</v>
      </c>
      <c r="F7373" s="1">
        <v>73</v>
      </c>
      <c r="G7373">
        <v>2000</v>
      </c>
      <c r="H7373">
        <f>AVERAGEIFS(Table1[value],Table1[IndicatorCode],Table1[[#This Row],[IndicatorCode]])</f>
        <v>72.66514008620689</v>
      </c>
      <c r="I7373" cm="1">
        <f t="array" ref="I7373">_xlfn.STDEV.P(IF(Table1[IndicatorCode]=Table1[[#This Row],[IndicatorCode]],Table1[value]))</f>
        <v>6.3409496564024987</v>
      </c>
      <c r="J7373">
        <f>(Table1[[#This Row],[value]] - Table1[[#This Row],[mean]]) / Table1[[#This Row],[std_dev]]</f>
        <v>5.2809110927887599E-2</v>
      </c>
      <c r="K7373">
        <f>AVERAGEIF(Table1[CountryCode],Table1[[#This Row],[CountryCode]],Table1[z-score])</f>
        <v>-0.71856813961256161</v>
      </c>
      <c r="L7373" t="e">
        <f>VLOOKUP(Table1[[#This Row],[CountryCode]],[1]!Table1[#All],1,FALSE)</f>
        <v>#REF!</v>
      </c>
    </row>
    <row r="7374" spans="1:12" hidden="1" x14ac:dyDescent="0.3">
      <c r="A7374" t="s">
        <v>13</v>
      </c>
      <c r="B7374" t="s">
        <v>14</v>
      </c>
      <c r="C7374" t="s">
        <v>129</v>
      </c>
      <c r="D7374" t="s">
        <v>130</v>
      </c>
      <c r="E7374">
        <v>2005</v>
      </c>
      <c r="F7374" s="1">
        <v>73</v>
      </c>
      <c r="G7374">
        <v>2000</v>
      </c>
      <c r="H7374">
        <f>AVERAGEIFS(Table1[value],Table1[IndicatorCode],Table1[[#This Row],[IndicatorCode]])</f>
        <v>72.66514008620689</v>
      </c>
      <c r="I7374" cm="1">
        <f t="array" ref="I7374">_xlfn.STDEV.P(IF(Table1[IndicatorCode]=Table1[[#This Row],[IndicatorCode]],Table1[value]))</f>
        <v>6.3409496564024987</v>
      </c>
      <c r="J7374">
        <f>(Table1[[#This Row],[value]] - Table1[[#This Row],[mean]]) / Table1[[#This Row],[std_dev]]</f>
        <v>5.2809110927887599E-2</v>
      </c>
      <c r="K7374">
        <f>AVERAGEIF(Table1[CountryCode],Table1[[#This Row],[CountryCode]],Table1[z-score])</f>
        <v>-0.71856813961256161</v>
      </c>
      <c r="L7374" t="e">
        <f>VLOOKUP(Table1[[#This Row],[CountryCode]],[1]!Table1[#All],1,FALSE)</f>
        <v>#REF!</v>
      </c>
    </row>
    <row r="7375" spans="1:12" hidden="1" x14ac:dyDescent="0.3">
      <c r="A7375" t="s">
        <v>13</v>
      </c>
      <c r="B7375" t="s">
        <v>14</v>
      </c>
      <c r="C7375" t="s">
        <v>129</v>
      </c>
      <c r="D7375" t="s">
        <v>130</v>
      </c>
      <c r="E7375">
        <v>2006</v>
      </c>
      <c r="F7375" s="1">
        <v>73</v>
      </c>
      <c r="G7375">
        <v>2000</v>
      </c>
      <c r="H7375">
        <f>AVERAGEIFS(Table1[value],Table1[IndicatorCode],Table1[[#This Row],[IndicatorCode]])</f>
        <v>72.66514008620689</v>
      </c>
      <c r="I7375" cm="1">
        <f t="array" ref="I7375">_xlfn.STDEV.P(IF(Table1[IndicatorCode]=Table1[[#This Row],[IndicatorCode]],Table1[value]))</f>
        <v>6.3409496564024987</v>
      </c>
      <c r="J7375">
        <f>(Table1[[#This Row],[value]] - Table1[[#This Row],[mean]]) / Table1[[#This Row],[std_dev]]</f>
        <v>5.2809110927887599E-2</v>
      </c>
      <c r="K7375">
        <f>AVERAGEIF(Table1[CountryCode],Table1[[#This Row],[CountryCode]],Table1[z-score])</f>
        <v>-0.71856813961256161</v>
      </c>
      <c r="L7375" t="e">
        <f>VLOOKUP(Table1[[#This Row],[CountryCode]],[1]!Table1[#All],1,FALSE)</f>
        <v>#REF!</v>
      </c>
    </row>
    <row r="7376" spans="1:12" hidden="1" x14ac:dyDescent="0.3">
      <c r="A7376" t="s">
        <v>13</v>
      </c>
      <c r="B7376" t="s">
        <v>14</v>
      </c>
      <c r="C7376" t="s">
        <v>129</v>
      </c>
      <c r="D7376" t="s">
        <v>130</v>
      </c>
      <c r="E7376">
        <v>2007</v>
      </c>
      <c r="F7376" s="1">
        <v>73</v>
      </c>
      <c r="G7376">
        <v>2010</v>
      </c>
      <c r="H7376">
        <f>AVERAGEIFS(Table1[value],Table1[IndicatorCode],Table1[[#This Row],[IndicatorCode]])</f>
        <v>72.66514008620689</v>
      </c>
      <c r="I7376" cm="1">
        <f t="array" ref="I7376">_xlfn.STDEV.P(IF(Table1[IndicatorCode]=Table1[[#This Row],[IndicatorCode]],Table1[value]))</f>
        <v>6.3409496564024987</v>
      </c>
      <c r="J7376">
        <f>(Table1[[#This Row],[value]] - Table1[[#This Row],[mean]]) / Table1[[#This Row],[std_dev]]</f>
        <v>5.2809110927887599E-2</v>
      </c>
      <c r="K7376">
        <f>AVERAGEIF(Table1[CountryCode],Table1[[#This Row],[CountryCode]],Table1[z-score])</f>
        <v>-0.71856813961256161</v>
      </c>
      <c r="L7376" t="e">
        <f>VLOOKUP(Table1[[#This Row],[CountryCode]],[1]!Table1[#All],1,FALSE)</f>
        <v>#REF!</v>
      </c>
    </row>
    <row r="7377" spans="1:12" hidden="1" x14ac:dyDescent="0.3">
      <c r="A7377" t="s">
        <v>13</v>
      </c>
      <c r="B7377" t="s">
        <v>14</v>
      </c>
      <c r="C7377" t="s">
        <v>129</v>
      </c>
      <c r="D7377" t="s">
        <v>130</v>
      </c>
      <c r="E7377">
        <v>2008</v>
      </c>
      <c r="F7377" s="1">
        <v>73</v>
      </c>
      <c r="G7377">
        <v>2010</v>
      </c>
      <c r="H7377">
        <f>AVERAGEIFS(Table1[value],Table1[IndicatorCode],Table1[[#This Row],[IndicatorCode]])</f>
        <v>72.66514008620689</v>
      </c>
      <c r="I7377" cm="1">
        <f t="array" ref="I7377">_xlfn.STDEV.P(IF(Table1[IndicatorCode]=Table1[[#This Row],[IndicatorCode]],Table1[value]))</f>
        <v>6.3409496564024987</v>
      </c>
      <c r="J7377">
        <f>(Table1[[#This Row],[value]] - Table1[[#This Row],[mean]]) / Table1[[#This Row],[std_dev]]</f>
        <v>5.2809110927887599E-2</v>
      </c>
      <c r="K7377">
        <f>AVERAGEIF(Table1[CountryCode],Table1[[#This Row],[CountryCode]],Table1[z-score])</f>
        <v>-0.71856813961256161</v>
      </c>
      <c r="L7377" t="e">
        <f>VLOOKUP(Table1[[#This Row],[CountryCode]],[1]!Table1[#All],1,FALSE)</f>
        <v>#REF!</v>
      </c>
    </row>
    <row r="7378" spans="1:12" hidden="1" x14ac:dyDescent="0.3">
      <c r="A7378" t="s">
        <v>13</v>
      </c>
      <c r="B7378" t="s">
        <v>14</v>
      </c>
      <c r="C7378" t="s">
        <v>129</v>
      </c>
      <c r="D7378" t="s">
        <v>130</v>
      </c>
      <c r="E7378">
        <v>2009</v>
      </c>
      <c r="F7378" s="1">
        <v>73</v>
      </c>
      <c r="G7378">
        <v>2010</v>
      </c>
      <c r="H7378">
        <f>AVERAGEIFS(Table1[value],Table1[IndicatorCode],Table1[[#This Row],[IndicatorCode]])</f>
        <v>72.66514008620689</v>
      </c>
      <c r="I7378" cm="1">
        <f t="array" ref="I7378">_xlfn.STDEV.P(IF(Table1[IndicatorCode]=Table1[[#This Row],[IndicatorCode]],Table1[value]))</f>
        <v>6.3409496564024987</v>
      </c>
      <c r="J7378">
        <f>(Table1[[#This Row],[value]] - Table1[[#This Row],[mean]]) / Table1[[#This Row],[std_dev]]</f>
        <v>5.2809110927887599E-2</v>
      </c>
      <c r="K7378">
        <f>AVERAGEIF(Table1[CountryCode],Table1[[#This Row],[CountryCode]],Table1[z-score])</f>
        <v>-0.71856813961256161</v>
      </c>
      <c r="L7378" t="e">
        <f>VLOOKUP(Table1[[#This Row],[CountryCode]],[1]!Table1[#All],1,FALSE)</f>
        <v>#REF!</v>
      </c>
    </row>
    <row r="7379" spans="1:12" hidden="1" x14ac:dyDescent="0.3">
      <c r="A7379" t="s">
        <v>13</v>
      </c>
      <c r="B7379" t="s">
        <v>14</v>
      </c>
      <c r="C7379" t="s">
        <v>129</v>
      </c>
      <c r="D7379" t="s">
        <v>130</v>
      </c>
      <c r="E7379">
        <v>2010</v>
      </c>
      <c r="F7379" s="1">
        <v>73</v>
      </c>
      <c r="G7379">
        <v>2010</v>
      </c>
      <c r="H7379">
        <f>AVERAGEIFS(Table1[value],Table1[IndicatorCode],Table1[[#This Row],[IndicatorCode]])</f>
        <v>72.66514008620689</v>
      </c>
      <c r="I7379" cm="1">
        <f t="array" ref="I7379">_xlfn.STDEV.P(IF(Table1[IndicatorCode]=Table1[[#This Row],[IndicatorCode]],Table1[value]))</f>
        <v>6.3409496564024987</v>
      </c>
      <c r="J7379">
        <f>(Table1[[#This Row],[value]] - Table1[[#This Row],[mean]]) / Table1[[#This Row],[std_dev]]</f>
        <v>5.2809110927887599E-2</v>
      </c>
      <c r="K7379">
        <f>AVERAGEIF(Table1[CountryCode],Table1[[#This Row],[CountryCode]],Table1[z-score])</f>
        <v>-0.71856813961256161</v>
      </c>
      <c r="L7379" t="e">
        <f>VLOOKUP(Table1[[#This Row],[CountryCode]],[1]!Table1[#All],1,FALSE)</f>
        <v>#REF!</v>
      </c>
    </row>
    <row r="7380" spans="1:12" hidden="1" x14ac:dyDescent="0.3">
      <c r="A7380" t="s">
        <v>13</v>
      </c>
      <c r="B7380" t="s">
        <v>14</v>
      </c>
      <c r="C7380" t="s">
        <v>129</v>
      </c>
      <c r="D7380" t="s">
        <v>130</v>
      </c>
      <c r="E7380">
        <v>2011</v>
      </c>
      <c r="F7380" s="1">
        <v>74</v>
      </c>
      <c r="G7380">
        <v>2010</v>
      </c>
      <c r="H7380">
        <f>AVERAGEIFS(Table1[value],Table1[IndicatorCode],Table1[[#This Row],[IndicatorCode]])</f>
        <v>72.66514008620689</v>
      </c>
      <c r="I7380" cm="1">
        <f t="array" ref="I7380">_xlfn.STDEV.P(IF(Table1[IndicatorCode]=Table1[[#This Row],[IndicatorCode]],Table1[value]))</f>
        <v>6.3409496564024987</v>
      </c>
      <c r="J7380">
        <f>(Table1[[#This Row],[value]] - Table1[[#This Row],[mean]]) / Table1[[#This Row],[std_dev]]</f>
        <v>0.21051419521132667</v>
      </c>
      <c r="K7380">
        <f>AVERAGEIF(Table1[CountryCode],Table1[[#This Row],[CountryCode]],Table1[z-score])</f>
        <v>-0.71856813961256161</v>
      </c>
      <c r="L7380" t="e">
        <f>VLOOKUP(Table1[[#This Row],[CountryCode]],[1]!Table1[#All],1,FALSE)</f>
        <v>#REF!</v>
      </c>
    </row>
    <row r="7381" spans="1:12" hidden="1" x14ac:dyDescent="0.3">
      <c r="A7381" t="s">
        <v>13</v>
      </c>
      <c r="B7381" t="s">
        <v>14</v>
      </c>
      <c r="C7381" t="s">
        <v>129</v>
      </c>
      <c r="D7381" t="s">
        <v>130</v>
      </c>
      <c r="E7381">
        <v>2012</v>
      </c>
      <c r="F7381" s="1">
        <v>74</v>
      </c>
      <c r="G7381">
        <v>2010</v>
      </c>
      <c r="H7381">
        <f>AVERAGEIFS(Table1[value],Table1[IndicatorCode],Table1[[#This Row],[IndicatorCode]])</f>
        <v>72.66514008620689</v>
      </c>
      <c r="I7381" cm="1">
        <f t="array" ref="I7381">_xlfn.STDEV.P(IF(Table1[IndicatorCode]=Table1[[#This Row],[IndicatorCode]],Table1[value]))</f>
        <v>6.3409496564024987</v>
      </c>
      <c r="J7381">
        <f>(Table1[[#This Row],[value]] - Table1[[#This Row],[mean]]) / Table1[[#This Row],[std_dev]]</f>
        <v>0.21051419521132667</v>
      </c>
      <c r="K7381">
        <f>AVERAGEIF(Table1[CountryCode],Table1[[#This Row],[CountryCode]],Table1[z-score])</f>
        <v>-0.71856813961256161</v>
      </c>
      <c r="L7381" t="e">
        <f>VLOOKUP(Table1[[#This Row],[CountryCode]],[1]!Table1[#All],1,FALSE)</f>
        <v>#REF!</v>
      </c>
    </row>
    <row r="7382" spans="1:12" hidden="1" x14ac:dyDescent="0.3">
      <c r="A7382" t="s">
        <v>13</v>
      </c>
      <c r="B7382" t="s">
        <v>14</v>
      </c>
      <c r="C7382" t="s">
        <v>129</v>
      </c>
      <c r="D7382" t="s">
        <v>130</v>
      </c>
      <c r="E7382">
        <v>2013</v>
      </c>
      <c r="F7382" s="1">
        <v>75</v>
      </c>
      <c r="G7382">
        <v>2010</v>
      </c>
      <c r="H7382">
        <f>AVERAGEIFS(Table1[value],Table1[IndicatorCode],Table1[[#This Row],[IndicatorCode]])</f>
        <v>72.66514008620689</v>
      </c>
      <c r="I7382" cm="1">
        <f t="array" ref="I7382">_xlfn.STDEV.P(IF(Table1[IndicatorCode]=Table1[[#This Row],[IndicatorCode]],Table1[value]))</f>
        <v>6.3409496564024987</v>
      </c>
      <c r="J7382">
        <f>(Table1[[#This Row],[value]] - Table1[[#This Row],[mean]]) / Table1[[#This Row],[std_dev]]</f>
        <v>0.36821927949476574</v>
      </c>
      <c r="K7382">
        <f>AVERAGEIF(Table1[CountryCode],Table1[[#This Row],[CountryCode]],Table1[z-score])</f>
        <v>-0.71856813961256161</v>
      </c>
      <c r="L7382" t="e">
        <f>VLOOKUP(Table1[[#This Row],[CountryCode]],[1]!Table1[#All],1,FALSE)</f>
        <v>#REF!</v>
      </c>
    </row>
    <row r="7383" spans="1:12" hidden="1" x14ac:dyDescent="0.3">
      <c r="A7383" t="s">
        <v>13</v>
      </c>
      <c r="B7383" t="s">
        <v>14</v>
      </c>
      <c r="C7383" t="s">
        <v>129</v>
      </c>
      <c r="D7383" t="s">
        <v>130</v>
      </c>
      <c r="E7383">
        <v>2014</v>
      </c>
      <c r="F7383" s="1">
        <v>75</v>
      </c>
      <c r="G7383">
        <v>2010</v>
      </c>
      <c r="H7383">
        <f>AVERAGEIFS(Table1[value],Table1[IndicatorCode],Table1[[#This Row],[IndicatorCode]])</f>
        <v>72.66514008620689</v>
      </c>
      <c r="I7383" cm="1">
        <f t="array" ref="I7383">_xlfn.STDEV.P(IF(Table1[IndicatorCode]=Table1[[#This Row],[IndicatorCode]],Table1[value]))</f>
        <v>6.3409496564024987</v>
      </c>
      <c r="J7383">
        <f>(Table1[[#This Row],[value]] - Table1[[#This Row],[mean]]) / Table1[[#This Row],[std_dev]]</f>
        <v>0.36821927949476574</v>
      </c>
      <c r="K7383">
        <f>AVERAGEIF(Table1[CountryCode],Table1[[#This Row],[CountryCode]],Table1[z-score])</f>
        <v>-0.71856813961256161</v>
      </c>
      <c r="L7383" t="e">
        <f>VLOOKUP(Table1[[#This Row],[CountryCode]],[1]!Table1[#All],1,FALSE)</f>
        <v>#REF!</v>
      </c>
    </row>
    <row r="7384" spans="1:12" hidden="1" x14ac:dyDescent="0.3">
      <c r="A7384" t="s">
        <v>13</v>
      </c>
      <c r="B7384" t="s">
        <v>14</v>
      </c>
      <c r="C7384" t="s">
        <v>129</v>
      </c>
      <c r="D7384" t="s">
        <v>130</v>
      </c>
      <c r="E7384">
        <v>2015</v>
      </c>
      <c r="F7384" s="1">
        <v>75</v>
      </c>
      <c r="G7384">
        <v>2010</v>
      </c>
      <c r="H7384">
        <f>AVERAGEIFS(Table1[value],Table1[IndicatorCode],Table1[[#This Row],[IndicatorCode]])</f>
        <v>72.66514008620689</v>
      </c>
      <c r="I7384" cm="1">
        <f t="array" ref="I7384">_xlfn.STDEV.P(IF(Table1[IndicatorCode]=Table1[[#This Row],[IndicatorCode]],Table1[value]))</f>
        <v>6.3409496564024987</v>
      </c>
      <c r="J7384">
        <f>(Table1[[#This Row],[value]] - Table1[[#This Row],[mean]]) / Table1[[#This Row],[std_dev]]</f>
        <v>0.36821927949476574</v>
      </c>
      <c r="K7384">
        <f>AVERAGEIF(Table1[CountryCode],Table1[[#This Row],[CountryCode]],Table1[z-score])</f>
        <v>-0.71856813961256161</v>
      </c>
      <c r="L7384" t="e">
        <f>VLOOKUP(Table1[[#This Row],[CountryCode]],[1]!Table1[#All],1,FALSE)</f>
        <v>#REF!</v>
      </c>
    </row>
    <row r="7385" spans="1:12" hidden="1" x14ac:dyDescent="0.3">
      <c r="A7385" t="s">
        <v>13</v>
      </c>
      <c r="B7385" t="s">
        <v>14</v>
      </c>
      <c r="C7385" t="s">
        <v>129</v>
      </c>
      <c r="D7385" t="s">
        <v>130</v>
      </c>
      <c r="E7385">
        <v>2016</v>
      </c>
      <c r="F7385" s="1">
        <v>75</v>
      </c>
      <c r="G7385">
        <v>2010</v>
      </c>
      <c r="H7385">
        <f>AVERAGEIFS(Table1[value],Table1[IndicatorCode],Table1[[#This Row],[IndicatorCode]])</f>
        <v>72.66514008620689</v>
      </c>
      <c r="I7385" cm="1">
        <f t="array" ref="I7385">_xlfn.STDEV.P(IF(Table1[IndicatorCode]=Table1[[#This Row],[IndicatorCode]],Table1[value]))</f>
        <v>6.3409496564024987</v>
      </c>
      <c r="J7385">
        <f>(Table1[[#This Row],[value]] - Table1[[#This Row],[mean]]) / Table1[[#This Row],[std_dev]]</f>
        <v>0.36821927949476574</v>
      </c>
      <c r="K7385">
        <f>AVERAGEIF(Table1[CountryCode],Table1[[#This Row],[CountryCode]],Table1[z-score])</f>
        <v>-0.71856813961256161</v>
      </c>
      <c r="L7385" t="e">
        <f>VLOOKUP(Table1[[#This Row],[CountryCode]],[1]!Table1[#All],1,FALSE)</f>
        <v>#REF!</v>
      </c>
    </row>
    <row r="7386" spans="1:12" hidden="1" x14ac:dyDescent="0.3">
      <c r="A7386" t="s">
        <v>13</v>
      </c>
      <c r="B7386" t="s">
        <v>14</v>
      </c>
      <c r="C7386" t="s">
        <v>129</v>
      </c>
      <c r="D7386" t="s">
        <v>130</v>
      </c>
      <c r="E7386">
        <v>2017</v>
      </c>
      <c r="F7386" s="1">
        <v>75</v>
      </c>
      <c r="G7386">
        <v>2020</v>
      </c>
      <c r="H7386">
        <f>AVERAGEIFS(Table1[value],Table1[IndicatorCode],Table1[[#This Row],[IndicatorCode]])</f>
        <v>72.66514008620689</v>
      </c>
      <c r="I7386" cm="1">
        <f t="array" ref="I7386">_xlfn.STDEV.P(IF(Table1[IndicatorCode]=Table1[[#This Row],[IndicatorCode]],Table1[value]))</f>
        <v>6.3409496564024987</v>
      </c>
      <c r="J7386">
        <f>(Table1[[#This Row],[value]] - Table1[[#This Row],[mean]]) / Table1[[#This Row],[std_dev]]</f>
        <v>0.36821927949476574</v>
      </c>
      <c r="K7386">
        <f>AVERAGEIF(Table1[CountryCode],Table1[[#This Row],[CountryCode]],Table1[z-score])</f>
        <v>-0.71856813961256161</v>
      </c>
      <c r="L7386" t="e">
        <f>VLOOKUP(Table1[[#This Row],[CountryCode]],[1]!Table1[#All],1,FALSE)</f>
        <v>#REF!</v>
      </c>
    </row>
    <row r="7387" spans="1:12" hidden="1" x14ac:dyDescent="0.3">
      <c r="A7387" t="s">
        <v>13</v>
      </c>
      <c r="B7387" t="s">
        <v>14</v>
      </c>
      <c r="C7387" t="s">
        <v>129</v>
      </c>
      <c r="D7387" t="s">
        <v>130</v>
      </c>
      <c r="E7387">
        <v>2018</v>
      </c>
      <c r="F7387" s="1">
        <v>76</v>
      </c>
      <c r="G7387">
        <v>2020</v>
      </c>
      <c r="H7387">
        <f>AVERAGEIFS(Table1[value],Table1[IndicatorCode],Table1[[#This Row],[IndicatorCode]])</f>
        <v>72.66514008620689</v>
      </c>
      <c r="I7387" cm="1">
        <f t="array" ref="I7387">_xlfn.STDEV.P(IF(Table1[IndicatorCode]=Table1[[#This Row],[IndicatorCode]],Table1[value]))</f>
        <v>6.3409496564024987</v>
      </c>
      <c r="J7387">
        <f>(Table1[[#This Row],[value]] - Table1[[#This Row],[mean]]) / Table1[[#This Row],[std_dev]]</f>
        <v>0.52592436377820473</v>
      </c>
      <c r="K7387">
        <f>AVERAGEIF(Table1[CountryCode],Table1[[#This Row],[CountryCode]],Table1[z-score])</f>
        <v>-0.71856813961256161</v>
      </c>
      <c r="L7387" t="e">
        <f>VLOOKUP(Table1[[#This Row],[CountryCode]],[1]!Table1[#All],1,FALSE)</f>
        <v>#REF!</v>
      </c>
    </row>
    <row r="7388" spans="1:12" hidden="1" x14ac:dyDescent="0.3">
      <c r="A7388" t="s">
        <v>13</v>
      </c>
      <c r="B7388" t="s">
        <v>14</v>
      </c>
      <c r="C7388" t="s">
        <v>129</v>
      </c>
      <c r="D7388" t="s">
        <v>130</v>
      </c>
      <c r="E7388">
        <v>2019</v>
      </c>
      <c r="F7388" s="1">
        <v>76</v>
      </c>
      <c r="G7388">
        <v>2020</v>
      </c>
      <c r="H7388">
        <f>AVERAGEIFS(Table1[value],Table1[IndicatorCode],Table1[[#This Row],[IndicatorCode]])</f>
        <v>72.66514008620689</v>
      </c>
      <c r="I7388" cm="1">
        <f t="array" ref="I7388">_xlfn.STDEV.P(IF(Table1[IndicatorCode]=Table1[[#This Row],[IndicatorCode]],Table1[value]))</f>
        <v>6.3409496564024987</v>
      </c>
      <c r="J7388">
        <f>(Table1[[#This Row],[value]] - Table1[[#This Row],[mean]]) / Table1[[#This Row],[std_dev]]</f>
        <v>0.52592436377820473</v>
      </c>
      <c r="K7388">
        <f>AVERAGEIF(Table1[CountryCode],Table1[[#This Row],[CountryCode]],Table1[z-score])</f>
        <v>-0.71856813961256161</v>
      </c>
      <c r="L7388" t="e">
        <f>VLOOKUP(Table1[[#This Row],[CountryCode]],[1]!Table1[#All],1,FALSE)</f>
        <v>#REF!</v>
      </c>
    </row>
    <row r="7389" spans="1:12" x14ac:dyDescent="0.3">
      <c r="A7389" t="s">
        <v>13</v>
      </c>
      <c r="B7389" t="s">
        <v>14</v>
      </c>
      <c r="C7389" t="s">
        <v>129</v>
      </c>
      <c r="D7389" t="s">
        <v>130</v>
      </c>
      <c r="E7389">
        <v>2020</v>
      </c>
      <c r="F7389" s="1">
        <v>73</v>
      </c>
      <c r="G7389">
        <v>2020</v>
      </c>
      <c r="H7389">
        <f>AVERAGEIFS(Table1[value],Table1[IndicatorCode],Table1[[#This Row],[IndicatorCode]])</f>
        <v>72.66514008620689</v>
      </c>
      <c r="I7389" cm="1">
        <f t="array" ref="I7389">_xlfn.STDEV.P(IF(Table1[IndicatorCode]=Table1[[#This Row],[IndicatorCode]],Table1[value]))</f>
        <v>6.3409496564024987</v>
      </c>
      <c r="J7389">
        <f>(Table1[[#This Row],[value]] - Table1[[#This Row],[mean]]) / Table1[[#This Row],[std_dev]]</f>
        <v>5.2809110927887599E-2</v>
      </c>
      <c r="K7389">
        <f>AVERAGEIF(Table1[CountryCode],Table1[[#This Row],[CountryCode]],Table1[z-score])</f>
        <v>-0.71856813961256161</v>
      </c>
    </row>
    <row r="7390" spans="1:12" hidden="1" x14ac:dyDescent="0.3">
      <c r="A7390" t="s">
        <v>13</v>
      </c>
      <c r="B7390" t="s">
        <v>14</v>
      </c>
      <c r="C7390" t="s">
        <v>129</v>
      </c>
      <c r="D7390" t="s">
        <v>130</v>
      </c>
      <c r="E7390">
        <v>2021</v>
      </c>
      <c r="F7390" s="1">
        <v>72</v>
      </c>
      <c r="G7390">
        <v>1960</v>
      </c>
      <c r="H7390">
        <f>AVERAGEIFS(Table1[value],Table1[IndicatorCode],Table1[[#This Row],[IndicatorCode]])</f>
        <v>72.66514008620689</v>
      </c>
      <c r="I7390" cm="1">
        <f t="array" ref="I7390">_xlfn.STDEV.P(IF(Table1[IndicatorCode]=Table1[[#This Row],[IndicatorCode]],Table1[value]))</f>
        <v>6.3409496564024987</v>
      </c>
      <c r="J7390">
        <f>(Table1[[#This Row],[value]] - Table1[[#This Row],[mean]]) / Table1[[#This Row],[std_dev]]</f>
        <v>-0.10489597335555145</v>
      </c>
      <c r="K7390">
        <f>AVERAGEIF(Table1[CountryCode],Table1[[#This Row],[CountryCode]],Table1[z-score])</f>
        <v>-0.71856813961256161</v>
      </c>
      <c r="L7390" t="e">
        <f>VLOOKUP(Table1[[#This Row],[CountryCode]],[1]!Table1[#All],1,FALSE)</f>
        <v>#REF!</v>
      </c>
    </row>
    <row r="7391" spans="1:12" hidden="1" x14ac:dyDescent="0.3">
      <c r="A7391" t="s">
        <v>13</v>
      </c>
      <c r="B7391" t="s">
        <v>14</v>
      </c>
      <c r="C7391" t="s">
        <v>129</v>
      </c>
      <c r="D7391" t="s">
        <v>130</v>
      </c>
      <c r="E7391">
        <v>2022</v>
      </c>
      <c r="F7391" s="1">
        <v>75</v>
      </c>
      <c r="G7391">
        <v>1960</v>
      </c>
      <c r="H7391">
        <f>AVERAGEIFS(Table1[value],Table1[IndicatorCode],Table1[[#This Row],[IndicatorCode]])</f>
        <v>72.66514008620689</v>
      </c>
      <c r="I7391" cm="1">
        <f t="array" ref="I7391">_xlfn.STDEV.P(IF(Table1[IndicatorCode]=Table1[[#This Row],[IndicatorCode]],Table1[value]))</f>
        <v>6.3409496564024987</v>
      </c>
      <c r="J7391">
        <f>(Table1[[#This Row],[value]] - Table1[[#This Row],[mean]]) / Table1[[#This Row],[std_dev]]</f>
        <v>0.36821927949476574</v>
      </c>
      <c r="K7391">
        <f>AVERAGEIF(Table1[CountryCode],Table1[[#This Row],[CountryCode]],Table1[z-score])</f>
        <v>-0.71856813961256161</v>
      </c>
      <c r="L7391" t="e">
        <f>VLOOKUP(Table1[[#This Row],[CountryCode]],[1]!Table1[#All],1,FALSE)</f>
        <v>#REF!</v>
      </c>
    </row>
    <row r="7392" spans="1:12" hidden="1" x14ac:dyDescent="0.3">
      <c r="A7392" t="s">
        <v>13</v>
      </c>
      <c r="B7392" t="s">
        <v>14</v>
      </c>
      <c r="C7392" t="s">
        <v>129</v>
      </c>
      <c r="D7392" t="s">
        <v>130</v>
      </c>
      <c r="E7392">
        <v>2023</v>
      </c>
      <c r="F7392" s="1">
        <v>77</v>
      </c>
      <c r="G7392">
        <v>1960</v>
      </c>
      <c r="H7392">
        <f>AVERAGEIFS(Table1[value],Table1[IndicatorCode],Table1[[#This Row],[IndicatorCode]])</f>
        <v>72.66514008620689</v>
      </c>
      <c r="I7392" cm="1">
        <f t="array" ref="I7392">_xlfn.STDEV.P(IF(Table1[IndicatorCode]=Table1[[#This Row],[IndicatorCode]],Table1[value]))</f>
        <v>6.3409496564024987</v>
      </c>
      <c r="J7392">
        <f>(Table1[[#This Row],[value]] - Table1[[#This Row],[mean]]) / Table1[[#This Row],[std_dev]]</f>
        <v>0.68362944806164383</v>
      </c>
      <c r="K7392">
        <f>AVERAGEIF(Table1[CountryCode],Table1[[#This Row],[CountryCode]],Table1[z-score])</f>
        <v>-0.71856813961256161</v>
      </c>
      <c r="L7392" t="e">
        <f>VLOOKUP(Table1[[#This Row],[CountryCode]],[1]!Table1[#All],1,FALSE)</f>
        <v>#REF!</v>
      </c>
    </row>
    <row r="7393" spans="1:12" hidden="1" x14ac:dyDescent="0.3">
      <c r="A7393" t="s">
        <v>15</v>
      </c>
      <c r="B7393" t="s">
        <v>16</v>
      </c>
      <c r="C7393" t="s">
        <v>129</v>
      </c>
      <c r="D7393" t="s">
        <v>130</v>
      </c>
      <c r="E7393">
        <v>1960</v>
      </c>
      <c r="F7393" s="1">
        <v>69</v>
      </c>
      <c r="G7393">
        <v>1960</v>
      </c>
      <c r="H7393">
        <f>AVERAGEIFS(Table1[value],Table1[IndicatorCode],Table1[[#This Row],[IndicatorCode]])</f>
        <v>72.66514008620689</v>
      </c>
      <c r="I7393" cm="1">
        <f t="array" ref="I7393">_xlfn.STDEV.P(IF(Table1[IndicatorCode]=Table1[[#This Row],[IndicatorCode]],Table1[value]))</f>
        <v>6.3409496564024987</v>
      </c>
      <c r="J7393">
        <f>(Table1[[#This Row],[value]] - Table1[[#This Row],[mean]]) / Table1[[#This Row],[std_dev]]</f>
        <v>-0.57801122620586864</v>
      </c>
      <c r="K7393">
        <f>AVERAGEIF(Table1[CountryCode],Table1[[#This Row],[CountryCode]],Table1[z-score])</f>
        <v>0.26765264295626828</v>
      </c>
      <c r="L7393" t="e">
        <f>VLOOKUP(Table1[[#This Row],[CountryCode]],[1]!Table1[#All],1,FALSE)</f>
        <v>#REF!</v>
      </c>
    </row>
    <row r="7394" spans="1:12" hidden="1" x14ac:dyDescent="0.3">
      <c r="A7394" t="s">
        <v>15</v>
      </c>
      <c r="B7394" t="s">
        <v>16</v>
      </c>
      <c r="C7394" t="s">
        <v>129</v>
      </c>
      <c r="D7394" t="s">
        <v>130</v>
      </c>
      <c r="E7394">
        <v>1961</v>
      </c>
      <c r="F7394" s="1">
        <v>70</v>
      </c>
      <c r="G7394">
        <v>1960</v>
      </c>
      <c r="H7394">
        <f>AVERAGEIFS(Table1[value],Table1[IndicatorCode],Table1[[#This Row],[IndicatorCode]])</f>
        <v>72.66514008620689</v>
      </c>
      <c r="I7394" cm="1">
        <f t="array" ref="I7394">_xlfn.STDEV.P(IF(Table1[IndicatorCode]=Table1[[#This Row],[IndicatorCode]],Table1[value]))</f>
        <v>6.3409496564024987</v>
      </c>
      <c r="J7394">
        <f>(Table1[[#This Row],[value]] - Table1[[#This Row],[mean]]) / Table1[[#This Row],[std_dev]]</f>
        <v>-0.4203061419224296</v>
      </c>
      <c r="K7394">
        <f>AVERAGEIF(Table1[CountryCode],Table1[[#This Row],[CountryCode]],Table1[z-score])</f>
        <v>0.26765264295626828</v>
      </c>
      <c r="L7394" t="e">
        <f>VLOOKUP(Table1[[#This Row],[CountryCode]],[1]!Table1[#All],1,FALSE)</f>
        <v>#REF!</v>
      </c>
    </row>
    <row r="7395" spans="1:12" hidden="1" x14ac:dyDescent="0.3">
      <c r="A7395" t="s">
        <v>15</v>
      </c>
      <c r="B7395" t="s">
        <v>16</v>
      </c>
      <c r="C7395" t="s">
        <v>129</v>
      </c>
      <c r="D7395" t="s">
        <v>130</v>
      </c>
      <c r="E7395">
        <v>1962</v>
      </c>
      <c r="F7395" s="1">
        <v>69</v>
      </c>
      <c r="G7395">
        <v>1960</v>
      </c>
      <c r="H7395">
        <f>AVERAGEIFS(Table1[value],Table1[IndicatorCode],Table1[[#This Row],[IndicatorCode]])</f>
        <v>72.66514008620689</v>
      </c>
      <c r="I7395" cm="1">
        <f t="array" ref="I7395">_xlfn.STDEV.P(IF(Table1[IndicatorCode]=Table1[[#This Row],[IndicatorCode]],Table1[value]))</f>
        <v>6.3409496564024987</v>
      </c>
      <c r="J7395">
        <f>(Table1[[#This Row],[value]] - Table1[[#This Row],[mean]]) / Table1[[#This Row],[std_dev]]</f>
        <v>-0.57801122620586864</v>
      </c>
      <c r="K7395">
        <f>AVERAGEIF(Table1[CountryCode],Table1[[#This Row],[CountryCode]],Table1[z-score])</f>
        <v>0.26765264295626828</v>
      </c>
      <c r="L7395" t="e">
        <f>VLOOKUP(Table1[[#This Row],[CountryCode]],[1]!Table1[#All],1,FALSE)</f>
        <v>#REF!</v>
      </c>
    </row>
    <row r="7396" spans="1:12" hidden="1" x14ac:dyDescent="0.3">
      <c r="A7396" t="s">
        <v>15</v>
      </c>
      <c r="B7396" t="s">
        <v>16</v>
      </c>
      <c r="C7396" t="s">
        <v>129</v>
      </c>
      <c r="D7396" t="s">
        <v>130</v>
      </c>
      <c r="E7396">
        <v>1963</v>
      </c>
      <c r="F7396" s="1">
        <v>69</v>
      </c>
      <c r="G7396">
        <v>1960</v>
      </c>
      <c r="H7396">
        <f>AVERAGEIFS(Table1[value],Table1[IndicatorCode],Table1[[#This Row],[IndicatorCode]])</f>
        <v>72.66514008620689</v>
      </c>
      <c r="I7396" cm="1">
        <f t="array" ref="I7396">_xlfn.STDEV.P(IF(Table1[IndicatorCode]=Table1[[#This Row],[IndicatorCode]],Table1[value]))</f>
        <v>6.3409496564024987</v>
      </c>
      <c r="J7396">
        <f>(Table1[[#This Row],[value]] - Table1[[#This Row],[mean]]) / Table1[[#This Row],[std_dev]]</f>
        <v>-0.57801122620586864</v>
      </c>
      <c r="K7396">
        <f>AVERAGEIF(Table1[CountryCode],Table1[[#This Row],[CountryCode]],Table1[z-score])</f>
        <v>0.26765264295626828</v>
      </c>
      <c r="L7396" t="e">
        <f>VLOOKUP(Table1[[#This Row],[CountryCode]],[1]!Table1[#All],1,FALSE)</f>
        <v>#REF!</v>
      </c>
    </row>
    <row r="7397" spans="1:12" hidden="1" x14ac:dyDescent="0.3">
      <c r="A7397" t="s">
        <v>15</v>
      </c>
      <c r="B7397" t="s">
        <v>16</v>
      </c>
      <c r="C7397" t="s">
        <v>129</v>
      </c>
      <c r="D7397" t="s">
        <v>130</v>
      </c>
      <c r="E7397">
        <v>1964</v>
      </c>
      <c r="F7397" s="1">
        <v>70</v>
      </c>
      <c r="G7397">
        <v>1960</v>
      </c>
      <c r="H7397">
        <f>AVERAGEIFS(Table1[value],Table1[IndicatorCode],Table1[[#This Row],[IndicatorCode]])</f>
        <v>72.66514008620689</v>
      </c>
      <c r="I7397" cm="1">
        <f t="array" ref="I7397">_xlfn.STDEV.P(IF(Table1[IndicatorCode]=Table1[[#This Row],[IndicatorCode]],Table1[value]))</f>
        <v>6.3409496564024987</v>
      </c>
      <c r="J7397">
        <f>(Table1[[#This Row],[value]] - Table1[[#This Row],[mean]]) / Table1[[#This Row],[std_dev]]</f>
        <v>-0.4203061419224296</v>
      </c>
      <c r="K7397">
        <f>AVERAGEIF(Table1[CountryCode],Table1[[#This Row],[CountryCode]],Table1[z-score])</f>
        <v>0.26765264295626828</v>
      </c>
      <c r="L7397" t="e">
        <f>VLOOKUP(Table1[[#This Row],[CountryCode]],[1]!Table1[#All],1,FALSE)</f>
        <v>#REF!</v>
      </c>
    </row>
    <row r="7398" spans="1:12" hidden="1" x14ac:dyDescent="0.3">
      <c r="A7398" t="s">
        <v>15</v>
      </c>
      <c r="B7398" t="s">
        <v>16</v>
      </c>
      <c r="C7398" t="s">
        <v>129</v>
      </c>
      <c r="D7398" t="s">
        <v>130</v>
      </c>
      <c r="E7398">
        <v>1965</v>
      </c>
      <c r="F7398" s="1">
        <v>70</v>
      </c>
      <c r="G7398">
        <v>1960</v>
      </c>
      <c r="H7398">
        <f>AVERAGEIFS(Table1[value],Table1[IndicatorCode],Table1[[#This Row],[IndicatorCode]])</f>
        <v>72.66514008620689</v>
      </c>
      <c r="I7398" cm="1">
        <f t="array" ref="I7398">_xlfn.STDEV.P(IF(Table1[IndicatorCode]=Table1[[#This Row],[IndicatorCode]],Table1[value]))</f>
        <v>6.3409496564024987</v>
      </c>
      <c r="J7398">
        <f>(Table1[[#This Row],[value]] - Table1[[#This Row],[mean]]) / Table1[[#This Row],[std_dev]]</f>
        <v>-0.4203061419224296</v>
      </c>
      <c r="K7398">
        <f>AVERAGEIF(Table1[CountryCode],Table1[[#This Row],[CountryCode]],Table1[z-score])</f>
        <v>0.26765264295626828</v>
      </c>
      <c r="L7398" t="e">
        <f>VLOOKUP(Table1[[#This Row],[CountryCode]],[1]!Table1[#All],1,FALSE)</f>
        <v>#REF!</v>
      </c>
    </row>
    <row r="7399" spans="1:12" hidden="1" x14ac:dyDescent="0.3">
      <c r="A7399" t="s">
        <v>15</v>
      </c>
      <c r="B7399" t="s">
        <v>16</v>
      </c>
      <c r="C7399" t="s">
        <v>129</v>
      </c>
      <c r="D7399" t="s">
        <v>130</v>
      </c>
      <c r="E7399">
        <v>1966</v>
      </c>
      <c r="F7399" s="1">
        <v>70</v>
      </c>
      <c r="G7399">
        <v>1960</v>
      </c>
      <c r="H7399">
        <f>AVERAGEIFS(Table1[value],Table1[IndicatorCode],Table1[[#This Row],[IndicatorCode]])</f>
        <v>72.66514008620689</v>
      </c>
      <c r="I7399" cm="1">
        <f t="array" ref="I7399">_xlfn.STDEV.P(IF(Table1[IndicatorCode]=Table1[[#This Row],[IndicatorCode]],Table1[value]))</f>
        <v>6.3409496564024987</v>
      </c>
      <c r="J7399">
        <f>(Table1[[#This Row],[value]] - Table1[[#This Row],[mean]]) / Table1[[#This Row],[std_dev]]</f>
        <v>-0.4203061419224296</v>
      </c>
      <c r="K7399">
        <f>AVERAGEIF(Table1[CountryCode],Table1[[#This Row],[CountryCode]],Table1[z-score])</f>
        <v>0.26765264295626828</v>
      </c>
      <c r="L7399" t="e">
        <f>VLOOKUP(Table1[[#This Row],[CountryCode]],[1]!Table1[#All],1,FALSE)</f>
        <v>#REF!</v>
      </c>
    </row>
    <row r="7400" spans="1:12" hidden="1" x14ac:dyDescent="0.3">
      <c r="A7400" t="s">
        <v>15</v>
      </c>
      <c r="B7400" t="s">
        <v>16</v>
      </c>
      <c r="C7400" t="s">
        <v>129</v>
      </c>
      <c r="D7400" t="s">
        <v>130</v>
      </c>
      <c r="E7400">
        <v>1967</v>
      </c>
      <c r="F7400" s="1">
        <v>70</v>
      </c>
      <c r="G7400">
        <v>1970</v>
      </c>
      <c r="H7400">
        <f>AVERAGEIFS(Table1[value],Table1[IndicatorCode],Table1[[#This Row],[IndicatorCode]])</f>
        <v>72.66514008620689</v>
      </c>
      <c r="I7400" cm="1">
        <f t="array" ref="I7400">_xlfn.STDEV.P(IF(Table1[IndicatorCode]=Table1[[#This Row],[IndicatorCode]],Table1[value]))</f>
        <v>6.3409496564024987</v>
      </c>
      <c r="J7400">
        <f>(Table1[[#This Row],[value]] - Table1[[#This Row],[mean]]) / Table1[[#This Row],[std_dev]]</f>
        <v>-0.4203061419224296</v>
      </c>
      <c r="K7400">
        <f>AVERAGEIF(Table1[CountryCode],Table1[[#This Row],[CountryCode]],Table1[z-score])</f>
        <v>0.26765264295626828</v>
      </c>
      <c r="L7400" t="e">
        <f>VLOOKUP(Table1[[#This Row],[CountryCode]],[1]!Table1[#All],1,FALSE)</f>
        <v>#REF!</v>
      </c>
    </row>
    <row r="7401" spans="1:12" hidden="1" x14ac:dyDescent="0.3">
      <c r="A7401" t="s">
        <v>15</v>
      </c>
      <c r="B7401" t="s">
        <v>16</v>
      </c>
      <c r="C7401" t="s">
        <v>129</v>
      </c>
      <c r="D7401" t="s">
        <v>130</v>
      </c>
      <c r="E7401">
        <v>1968</v>
      </c>
      <c r="F7401" s="1">
        <v>70</v>
      </c>
      <c r="G7401">
        <v>1970</v>
      </c>
      <c r="H7401">
        <f>AVERAGEIFS(Table1[value],Table1[IndicatorCode],Table1[[#This Row],[IndicatorCode]])</f>
        <v>72.66514008620689</v>
      </c>
      <c r="I7401" cm="1">
        <f t="array" ref="I7401">_xlfn.STDEV.P(IF(Table1[IndicatorCode]=Table1[[#This Row],[IndicatorCode]],Table1[value]))</f>
        <v>6.3409496564024987</v>
      </c>
      <c r="J7401">
        <f>(Table1[[#This Row],[value]] - Table1[[#This Row],[mean]]) / Table1[[#This Row],[std_dev]]</f>
        <v>-0.4203061419224296</v>
      </c>
      <c r="K7401">
        <f>AVERAGEIF(Table1[CountryCode],Table1[[#This Row],[CountryCode]],Table1[z-score])</f>
        <v>0.26765264295626828</v>
      </c>
      <c r="L7401" t="e">
        <f>VLOOKUP(Table1[[#This Row],[CountryCode]],[1]!Table1[#All],1,FALSE)</f>
        <v>#REF!</v>
      </c>
    </row>
    <row r="7402" spans="1:12" hidden="1" x14ac:dyDescent="0.3">
      <c r="A7402" t="s">
        <v>15</v>
      </c>
      <c r="B7402" t="s">
        <v>16</v>
      </c>
      <c r="C7402" t="s">
        <v>129</v>
      </c>
      <c r="D7402" t="s">
        <v>130</v>
      </c>
      <c r="E7402">
        <v>1969</v>
      </c>
      <c r="F7402" s="1">
        <v>70</v>
      </c>
      <c r="G7402">
        <v>1970</v>
      </c>
      <c r="H7402">
        <f>AVERAGEIFS(Table1[value],Table1[IndicatorCode],Table1[[#This Row],[IndicatorCode]])</f>
        <v>72.66514008620689</v>
      </c>
      <c r="I7402" cm="1">
        <f t="array" ref="I7402">_xlfn.STDEV.P(IF(Table1[IndicatorCode]=Table1[[#This Row],[IndicatorCode]],Table1[value]))</f>
        <v>6.3409496564024987</v>
      </c>
      <c r="J7402">
        <f>(Table1[[#This Row],[value]] - Table1[[#This Row],[mean]]) / Table1[[#This Row],[std_dev]]</f>
        <v>-0.4203061419224296</v>
      </c>
      <c r="K7402">
        <f>AVERAGEIF(Table1[CountryCode],Table1[[#This Row],[CountryCode]],Table1[z-score])</f>
        <v>0.26765264295626828</v>
      </c>
      <c r="L7402" t="e">
        <f>VLOOKUP(Table1[[#This Row],[CountryCode]],[1]!Table1[#All],1,FALSE)</f>
        <v>#REF!</v>
      </c>
    </row>
    <row r="7403" spans="1:12" hidden="1" x14ac:dyDescent="0.3">
      <c r="A7403" t="s">
        <v>15</v>
      </c>
      <c r="B7403" t="s">
        <v>16</v>
      </c>
      <c r="C7403" t="s">
        <v>129</v>
      </c>
      <c r="D7403" t="s">
        <v>130</v>
      </c>
      <c r="E7403">
        <v>1970</v>
      </c>
      <c r="F7403" s="1">
        <v>70</v>
      </c>
      <c r="G7403">
        <v>1970</v>
      </c>
      <c r="H7403">
        <f>AVERAGEIFS(Table1[value],Table1[IndicatorCode],Table1[[#This Row],[IndicatorCode]])</f>
        <v>72.66514008620689</v>
      </c>
      <c r="I7403" cm="1">
        <f t="array" ref="I7403">_xlfn.STDEV.P(IF(Table1[IndicatorCode]=Table1[[#This Row],[IndicatorCode]],Table1[value]))</f>
        <v>6.3409496564024987</v>
      </c>
      <c r="J7403">
        <f>(Table1[[#This Row],[value]] - Table1[[#This Row],[mean]]) / Table1[[#This Row],[std_dev]]</f>
        <v>-0.4203061419224296</v>
      </c>
      <c r="K7403">
        <f>AVERAGEIF(Table1[CountryCode],Table1[[#This Row],[CountryCode]],Table1[z-score])</f>
        <v>0.26765264295626828</v>
      </c>
      <c r="L7403" t="e">
        <f>VLOOKUP(Table1[[#This Row],[CountryCode]],[1]!Table1[#All],1,FALSE)</f>
        <v>#REF!</v>
      </c>
    </row>
    <row r="7404" spans="1:12" hidden="1" x14ac:dyDescent="0.3">
      <c r="A7404" t="s">
        <v>15</v>
      </c>
      <c r="B7404" t="s">
        <v>16</v>
      </c>
      <c r="C7404" t="s">
        <v>129</v>
      </c>
      <c r="D7404" t="s">
        <v>130</v>
      </c>
      <c r="E7404">
        <v>1971</v>
      </c>
      <c r="F7404" s="1">
        <v>70</v>
      </c>
      <c r="G7404">
        <v>1970</v>
      </c>
      <c r="H7404">
        <f>AVERAGEIFS(Table1[value],Table1[IndicatorCode],Table1[[#This Row],[IndicatorCode]])</f>
        <v>72.66514008620689</v>
      </c>
      <c r="I7404" cm="1">
        <f t="array" ref="I7404">_xlfn.STDEV.P(IF(Table1[IndicatorCode]=Table1[[#This Row],[IndicatorCode]],Table1[value]))</f>
        <v>6.3409496564024987</v>
      </c>
      <c r="J7404">
        <f>(Table1[[#This Row],[value]] - Table1[[#This Row],[mean]]) / Table1[[#This Row],[std_dev]]</f>
        <v>-0.4203061419224296</v>
      </c>
      <c r="K7404">
        <f>AVERAGEIF(Table1[CountryCode],Table1[[#This Row],[CountryCode]],Table1[z-score])</f>
        <v>0.26765264295626828</v>
      </c>
      <c r="L7404" t="e">
        <f>VLOOKUP(Table1[[#This Row],[CountryCode]],[1]!Table1[#All],1,FALSE)</f>
        <v>#REF!</v>
      </c>
    </row>
    <row r="7405" spans="1:12" hidden="1" x14ac:dyDescent="0.3">
      <c r="A7405" t="s">
        <v>15</v>
      </c>
      <c r="B7405" t="s">
        <v>16</v>
      </c>
      <c r="C7405" t="s">
        <v>129</v>
      </c>
      <c r="D7405" t="s">
        <v>130</v>
      </c>
      <c r="E7405">
        <v>1972</v>
      </c>
      <c r="F7405" s="1">
        <v>70</v>
      </c>
      <c r="G7405">
        <v>1970</v>
      </c>
      <c r="H7405">
        <f>AVERAGEIFS(Table1[value],Table1[IndicatorCode],Table1[[#This Row],[IndicatorCode]])</f>
        <v>72.66514008620689</v>
      </c>
      <c r="I7405" cm="1">
        <f t="array" ref="I7405">_xlfn.STDEV.P(IF(Table1[IndicatorCode]=Table1[[#This Row],[IndicatorCode]],Table1[value]))</f>
        <v>6.3409496564024987</v>
      </c>
      <c r="J7405">
        <f>(Table1[[#This Row],[value]] - Table1[[#This Row],[mean]]) / Table1[[#This Row],[std_dev]]</f>
        <v>-0.4203061419224296</v>
      </c>
      <c r="K7405">
        <f>AVERAGEIF(Table1[CountryCode],Table1[[#This Row],[CountryCode]],Table1[z-score])</f>
        <v>0.26765264295626828</v>
      </c>
      <c r="L7405" t="e">
        <f>VLOOKUP(Table1[[#This Row],[CountryCode]],[1]!Table1[#All],1,FALSE)</f>
        <v>#REF!</v>
      </c>
    </row>
    <row r="7406" spans="1:12" hidden="1" x14ac:dyDescent="0.3">
      <c r="A7406" t="s">
        <v>15</v>
      </c>
      <c r="B7406" t="s">
        <v>16</v>
      </c>
      <c r="C7406" t="s">
        <v>129</v>
      </c>
      <c r="D7406" t="s">
        <v>130</v>
      </c>
      <c r="E7406">
        <v>1973</v>
      </c>
      <c r="F7406" s="1">
        <v>71</v>
      </c>
      <c r="G7406">
        <v>1970</v>
      </c>
      <c r="H7406">
        <f>AVERAGEIFS(Table1[value],Table1[IndicatorCode],Table1[[#This Row],[IndicatorCode]])</f>
        <v>72.66514008620689</v>
      </c>
      <c r="I7406" cm="1">
        <f t="array" ref="I7406">_xlfn.STDEV.P(IF(Table1[IndicatorCode]=Table1[[#This Row],[IndicatorCode]],Table1[value]))</f>
        <v>6.3409496564024987</v>
      </c>
      <c r="J7406">
        <f>(Table1[[#This Row],[value]] - Table1[[#This Row],[mean]]) / Table1[[#This Row],[std_dev]]</f>
        <v>-0.2626010576389905</v>
      </c>
      <c r="K7406">
        <f>AVERAGEIF(Table1[CountryCode],Table1[[#This Row],[CountryCode]],Table1[z-score])</f>
        <v>0.26765264295626828</v>
      </c>
      <c r="L7406" t="e">
        <f>VLOOKUP(Table1[[#This Row],[CountryCode]],[1]!Table1[#All],1,FALSE)</f>
        <v>#REF!</v>
      </c>
    </row>
    <row r="7407" spans="1:12" hidden="1" x14ac:dyDescent="0.3">
      <c r="A7407" t="s">
        <v>15</v>
      </c>
      <c r="B7407" t="s">
        <v>16</v>
      </c>
      <c r="C7407" t="s">
        <v>129</v>
      </c>
      <c r="D7407" t="s">
        <v>130</v>
      </c>
      <c r="E7407">
        <v>1974</v>
      </c>
      <c r="F7407" s="1">
        <v>71</v>
      </c>
      <c r="G7407">
        <v>1970</v>
      </c>
      <c r="H7407">
        <f>AVERAGEIFS(Table1[value],Table1[IndicatorCode],Table1[[#This Row],[IndicatorCode]])</f>
        <v>72.66514008620689</v>
      </c>
      <c r="I7407" cm="1">
        <f t="array" ref="I7407">_xlfn.STDEV.P(IF(Table1[IndicatorCode]=Table1[[#This Row],[IndicatorCode]],Table1[value]))</f>
        <v>6.3409496564024987</v>
      </c>
      <c r="J7407">
        <f>(Table1[[#This Row],[value]] - Table1[[#This Row],[mean]]) / Table1[[#This Row],[std_dev]]</f>
        <v>-0.2626010576389905</v>
      </c>
      <c r="K7407">
        <f>AVERAGEIF(Table1[CountryCode],Table1[[#This Row],[CountryCode]],Table1[z-score])</f>
        <v>0.26765264295626828</v>
      </c>
      <c r="L7407" t="e">
        <f>VLOOKUP(Table1[[#This Row],[CountryCode]],[1]!Table1[#All],1,FALSE)</f>
        <v>#REF!</v>
      </c>
    </row>
    <row r="7408" spans="1:12" hidden="1" x14ac:dyDescent="0.3">
      <c r="A7408" t="s">
        <v>15</v>
      </c>
      <c r="B7408" t="s">
        <v>16</v>
      </c>
      <c r="C7408" t="s">
        <v>129</v>
      </c>
      <c r="D7408" t="s">
        <v>130</v>
      </c>
      <c r="E7408">
        <v>1975</v>
      </c>
      <c r="F7408" s="1">
        <v>71</v>
      </c>
      <c r="G7408">
        <v>1970</v>
      </c>
      <c r="H7408">
        <f>AVERAGEIFS(Table1[value],Table1[IndicatorCode],Table1[[#This Row],[IndicatorCode]])</f>
        <v>72.66514008620689</v>
      </c>
      <c r="I7408" cm="1">
        <f t="array" ref="I7408">_xlfn.STDEV.P(IF(Table1[IndicatorCode]=Table1[[#This Row],[IndicatorCode]],Table1[value]))</f>
        <v>6.3409496564024987</v>
      </c>
      <c r="J7408">
        <f>(Table1[[#This Row],[value]] - Table1[[#This Row],[mean]]) / Table1[[#This Row],[std_dev]]</f>
        <v>-0.2626010576389905</v>
      </c>
      <c r="K7408">
        <f>AVERAGEIF(Table1[CountryCode],Table1[[#This Row],[CountryCode]],Table1[z-score])</f>
        <v>0.26765264295626828</v>
      </c>
      <c r="L7408" t="e">
        <f>VLOOKUP(Table1[[#This Row],[CountryCode]],[1]!Table1[#All],1,FALSE)</f>
        <v>#REF!</v>
      </c>
    </row>
    <row r="7409" spans="1:12" hidden="1" x14ac:dyDescent="0.3">
      <c r="A7409" t="s">
        <v>15</v>
      </c>
      <c r="B7409" t="s">
        <v>16</v>
      </c>
      <c r="C7409" t="s">
        <v>129</v>
      </c>
      <c r="D7409" t="s">
        <v>130</v>
      </c>
      <c r="E7409">
        <v>1976</v>
      </c>
      <c r="F7409" s="1">
        <v>72</v>
      </c>
      <c r="G7409">
        <v>1970</v>
      </c>
      <c r="H7409">
        <f>AVERAGEIFS(Table1[value],Table1[IndicatorCode],Table1[[#This Row],[IndicatorCode]])</f>
        <v>72.66514008620689</v>
      </c>
      <c r="I7409" cm="1">
        <f t="array" ref="I7409">_xlfn.STDEV.P(IF(Table1[IndicatorCode]=Table1[[#This Row],[IndicatorCode]],Table1[value]))</f>
        <v>6.3409496564024987</v>
      </c>
      <c r="J7409">
        <f>(Table1[[#This Row],[value]] - Table1[[#This Row],[mean]]) / Table1[[#This Row],[std_dev]]</f>
        <v>-0.10489597335555145</v>
      </c>
      <c r="K7409">
        <f>AVERAGEIF(Table1[CountryCode],Table1[[#This Row],[CountryCode]],Table1[z-score])</f>
        <v>0.26765264295626828</v>
      </c>
      <c r="L7409" t="e">
        <f>VLOOKUP(Table1[[#This Row],[CountryCode]],[1]!Table1[#All],1,FALSE)</f>
        <v>#REF!</v>
      </c>
    </row>
    <row r="7410" spans="1:12" hidden="1" x14ac:dyDescent="0.3">
      <c r="A7410" t="s">
        <v>15</v>
      </c>
      <c r="B7410" t="s">
        <v>16</v>
      </c>
      <c r="C7410" t="s">
        <v>129</v>
      </c>
      <c r="D7410" t="s">
        <v>130</v>
      </c>
      <c r="E7410">
        <v>1977</v>
      </c>
      <c r="F7410" s="1">
        <v>72</v>
      </c>
      <c r="G7410">
        <v>1980</v>
      </c>
      <c r="H7410">
        <f>AVERAGEIFS(Table1[value],Table1[IndicatorCode],Table1[[#This Row],[IndicatorCode]])</f>
        <v>72.66514008620689</v>
      </c>
      <c r="I7410" cm="1">
        <f t="array" ref="I7410">_xlfn.STDEV.P(IF(Table1[IndicatorCode]=Table1[[#This Row],[IndicatorCode]],Table1[value]))</f>
        <v>6.3409496564024987</v>
      </c>
      <c r="J7410">
        <f>(Table1[[#This Row],[value]] - Table1[[#This Row],[mean]]) / Table1[[#This Row],[std_dev]]</f>
        <v>-0.10489597335555145</v>
      </c>
      <c r="K7410">
        <f>AVERAGEIF(Table1[CountryCode],Table1[[#This Row],[CountryCode]],Table1[z-score])</f>
        <v>0.26765264295626828</v>
      </c>
      <c r="L7410" t="e">
        <f>VLOOKUP(Table1[[#This Row],[CountryCode]],[1]!Table1[#All],1,FALSE)</f>
        <v>#REF!</v>
      </c>
    </row>
    <row r="7411" spans="1:12" hidden="1" x14ac:dyDescent="0.3">
      <c r="A7411" t="s">
        <v>15</v>
      </c>
      <c r="B7411" t="s">
        <v>16</v>
      </c>
      <c r="C7411" t="s">
        <v>129</v>
      </c>
      <c r="D7411" t="s">
        <v>130</v>
      </c>
      <c r="E7411">
        <v>1978</v>
      </c>
      <c r="F7411" s="1">
        <v>72</v>
      </c>
      <c r="G7411">
        <v>1980</v>
      </c>
      <c r="H7411">
        <f>AVERAGEIFS(Table1[value],Table1[IndicatorCode],Table1[[#This Row],[IndicatorCode]])</f>
        <v>72.66514008620689</v>
      </c>
      <c r="I7411" cm="1">
        <f t="array" ref="I7411">_xlfn.STDEV.P(IF(Table1[IndicatorCode]=Table1[[#This Row],[IndicatorCode]],Table1[value]))</f>
        <v>6.3409496564024987</v>
      </c>
      <c r="J7411">
        <f>(Table1[[#This Row],[value]] - Table1[[#This Row],[mean]]) / Table1[[#This Row],[std_dev]]</f>
        <v>-0.10489597335555145</v>
      </c>
      <c r="K7411">
        <f>AVERAGEIF(Table1[CountryCode],Table1[[#This Row],[CountryCode]],Table1[z-score])</f>
        <v>0.26765264295626828</v>
      </c>
      <c r="L7411" t="e">
        <f>VLOOKUP(Table1[[#This Row],[CountryCode]],[1]!Table1[#All],1,FALSE)</f>
        <v>#REF!</v>
      </c>
    </row>
    <row r="7412" spans="1:12" hidden="1" x14ac:dyDescent="0.3">
      <c r="A7412" t="s">
        <v>15</v>
      </c>
      <c r="B7412" t="s">
        <v>16</v>
      </c>
      <c r="C7412" t="s">
        <v>129</v>
      </c>
      <c r="D7412" t="s">
        <v>130</v>
      </c>
      <c r="E7412">
        <v>1979</v>
      </c>
      <c r="F7412" s="1">
        <v>72</v>
      </c>
      <c r="G7412">
        <v>1980</v>
      </c>
      <c r="H7412">
        <f>AVERAGEIFS(Table1[value],Table1[IndicatorCode],Table1[[#This Row],[IndicatorCode]])</f>
        <v>72.66514008620689</v>
      </c>
      <c r="I7412" cm="1">
        <f t="array" ref="I7412">_xlfn.STDEV.P(IF(Table1[IndicatorCode]=Table1[[#This Row],[IndicatorCode]],Table1[value]))</f>
        <v>6.3409496564024987</v>
      </c>
      <c r="J7412">
        <f>(Table1[[#This Row],[value]] - Table1[[#This Row],[mean]]) / Table1[[#This Row],[std_dev]]</f>
        <v>-0.10489597335555145</v>
      </c>
      <c r="K7412">
        <f>AVERAGEIF(Table1[CountryCode],Table1[[#This Row],[CountryCode]],Table1[z-score])</f>
        <v>0.26765264295626828</v>
      </c>
      <c r="L7412" t="e">
        <f>VLOOKUP(Table1[[#This Row],[CountryCode]],[1]!Table1[#All],1,FALSE)</f>
        <v>#REF!</v>
      </c>
    </row>
    <row r="7413" spans="1:12" hidden="1" x14ac:dyDescent="0.3">
      <c r="A7413" t="s">
        <v>15</v>
      </c>
      <c r="B7413" t="s">
        <v>16</v>
      </c>
      <c r="C7413" t="s">
        <v>129</v>
      </c>
      <c r="D7413" t="s">
        <v>130</v>
      </c>
      <c r="E7413">
        <v>1980</v>
      </c>
      <c r="F7413" s="1">
        <v>72</v>
      </c>
      <c r="G7413">
        <v>1980</v>
      </c>
      <c r="H7413">
        <f>AVERAGEIFS(Table1[value],Table1[IndicatorCode],Table1[[#This Row],[IndicatorCode]])</f>
        <v>72.66514008620689</v>
      </c>
      <c r="I7413" cm="1">
        <f t="array" ref="I7413">_xlfn.STDEV.P(IF(Table1[IndicatorCode]=Table1[[#This Row],[IndicatorCode]],Table1[value]))</f>
        <v>6.3409496564024987</v>
      </c>
      <c r="J7413">
        <f>(Table1[[#This Row],[value]] - Table1[[#This Row],[mean]]) / Table1[[#This Row],[std_dev]]</f>
        <v>-0.10489597335555145</v>
      </c>
      <c r="K7413">
        <f>AVERAGEIF(Table1[CountryCode],Table1[[#This Row],[CountryCode]],Table1[z-score])</f>
        <v>0.26765264295626828</v>
      </c>
      <c r="L7413" t="e">
        <f>VLOOKUP(Table1[[#This Row],[CountryCode]],[1]!Table1[#All],1,FALSE)</f>
        <v>#REF!</v>
      </c>
    </row>
    <row r="7414" spans="1:12" hidden="1" x14ac:dyDescent="0.3">
      <c r="A7414" t="s">
        <v>15</v>
      </c>
      <c r="B7414" t="s">
        <v>16</v>
      </c>
      <c r="C7414" t="s">
        <v>129</v>
      </c>
      <c r="D7414" t="s">
        <v>130</v>
      </c>
      <c r="E7414">
        <v>1981</v>
      </c>
      <c r="F7414" s="1">
        <v>73</v>
      </c>
      <c r="G7414">
        <v>1980</v>
      </c>
      <c r="H7414">
        <f>AVERAGEIFS(Table1[value],Table1[IndicatorCode],Table1[[#This Row],[IndicatorCode]])</f>
        <v>72.66514008620689</v>
      </c>
      <c r="I7414" cm="1">
        <f t="array" ref="I7414">_xlfn.STDEV.P(IF(Table1[IndicatorCode]=Table1[[#This Row],[IndicatorCode]],Table1[value]))</f>
        <v>6.3409496564024987</v>
      </c>
      <c r="J7414">
        <f>(Table1[[#This Row],[value]] - Table1[[#This Row],[mean]]) / Table1[[#This Row],[std_dev]]</f>
        <v>5.2809110927887599E-2</v>
      </c>
      <c r="K7414">
        <f>AVERAGEIF(Table1[CountryCode],Table1[[#This Row],[CountryCode]],Table1[z-score])</f>
        <v>0.26765264295626828</v>
      </c>
      <c r="L7414" t="e">
        <f>VLOOKUP(Table1[[#This Row],[CountryCode]],[1]!Table1[#All],1,FALSE)</f>
        <v>#REF!</v>
      </c>
    </row>
    <row r="7415" spans="1:12" hidden="1" x14ac:dyDescent="0.3">
      <c r="A7415" t="s">
        <v>15</v>
      </c>
      <c r="B7415" t="s">
        <v>16</v>
      </c>
      <c r="C7415" t="s">
        <v>129</v>
      </c>
      <c r="D7415" t="s">
        <v>130</v>
      </c>
      <c r="E7415">
        <v>1982</v>
      </c>
      <c r="F7415" s="1">
        <v>73</v>
      </c>
      <c r="G7415">
        <v>1980</v>
      </c>
      <c r="H7415">
        <f>AVERAGEIFS(Table1[value],Table1[IndicatorCode],Table1[[#This Row],[IndicatorCode]])</f>
        <v>72.66514008620689</v>
      </c>
      <c r="I7415" cm="1">
        <f t="array" ref="I7415">_xlfn.STDEV.P(IF(Table1[IndicatorCode]=Table1[[#This Row],[IndicatorCode]],Table1[value]))</f>
        <v>6.3409496564024987</v>
      </c>
      <c r="J7415">
        <f>(Table1[[#This Row],[value]] - Table1[[#This Row],[mean]]) / Table1[[#This Row],[std_dev]]</f>
        <v>5.2809110927887599E-2</v>
      </c>
      <c r="K7415">
        <f>AVERAGEIF(Table1[CountryCode],Table1[[#This Row],[CountryCode]],Table1[z-score])</f>
        <v>0.26765264295626828</v>
      </c>
      <c r="L7415" t="e">
        <f>VLOOKUP(Table1[[#This Row],[CountryCode]],[1]!Table1[#All],1,FALSE)</f>
        <v>#REF!</v>
      </c>
    </row>
    <row r="7416" spans="1:12" hidden="1" x14ac:dyDescent="0.3">
      <c r="A7416" t="s">
        <v>15</v>
      </c>
      <c r="B7416" t="s">
        <v>16</v>
      </c>
      <c r="C7416" t="s">
        <v>129</v>
      </c>
      <c r="D7416" t="s">
        <v>130</v>
      </c>
      <c r="E7416">
        <v>1983</v>
      </c>
      <c r="F7416" s="1">
        <v>73</v>
      </c>
      <c r="G7416">
        <v>1980</v>
      </c>
      <c r="H7416">
        <f>AVERAGEIFS(Table1[value],Table1[IndicatorCode],Table1[[#This Row],[IndicatorCode]])</f>
        <v>72.66514008620689</v>
      </c>
      <c r="I7416" cm="1">
        <f t="array" ref="I7416">_xlfn.STDEV.P(IF(Table1[IndicatorCode]=Table1[[#This Row],[IndicatorCode]],Table1[value]))</f>
        <v>6.3409496564024987</v>
      </c>
      <c r="J7416">
        <f>(Table1[[#This Row],[value]] - Table1[[#This Row],[mean]]) / Table1[[#This Row],[std_dev]]</f>
        <v>5.2809110927887599E-2</v>
      </c>
      <c r="K7416">
        <f>AVERAGEIF(Table1[CountryCode],Table1[[#This Row],[CountryCode]],Table1[z-score])</f>
        <v>0.26765264295626828</v>
      </c>
      <c r="L7416" t="e">
        <f>VLOOKUP(Table1[[#This Row],[CountryCode]],[1]!Table1[#All],1,FALSE)</f>
        <v>#REF!</v>
      </c>
    </row>
    <row r="7417" spans="1:12" hidden="1" x14ac:dyDescent="0.3">
      <c r="A7417" t="s">
        <v>15</v>
      </c>
      <c r="B7417" t="s">
        <v>16</v>
      </c>
      <c r="C7417" t="s">
        <v>129</v>
      </c>
      <c r="D7417" t="s">
        <v>130</v>
      </c>
      <c r="E7417">
        <v>1984</v>
      </c>
      <c r="F7417" s="1">
        <v>74</v>
      </c>
      <c r="G7417">
        <v>1980</v>
      </c>
      <c r="H7417">
        <f>AVERAGEIFS(Table1[value],Table1[IndicatorCode],Table1[[#This Row],[IndicatorCode]])</f>
        <v>72.66514008620689</v>
      </c>
      <c r="I7417" cm="1">
        <f t="array" ref="I7417">_xlfn.STDEV.P(IF(Table1[IndicatorCode]=Table1[[#This Row],[IndicatorCode]],Table1[value]))</f>
        <v>6.3409496564024987</v>
      </c>
      <c r="J7417">
        <f>(Table1[[#This Row],[value]] - Table1[[#This Row],[mean]]) / Table1[[#This Row],[std_dev]]</f>
        <v>0.21051419521132667</v>
      </c>
      <c r="K7417">
        <f>AVERAGEIF(Table1[CountryCode],Table1[[#This Row],[CountryCode]],Table1[z-score])</f>
        <v>0.26765264295626828</v>
      </c>
      <c r="L7417" t="e">
        <f>VLOOKUP(Table1[[#This Row],[CountryCode]],[1]!Table1[#All],1,FALSE)</f>
        <v>#REF!</v>
      </c>
    </row>
    <row r="7418" spans="1:12" hidden="1" x14ac:dyDescent="0.3">
      <c r="A7418" t="s">
        <v>15</v>
      </c>
      <c r="B7418" t="s">
        <v>16</v>
      </c>
      <c r="C7418" t="s">
        <v>129</v>
      </c>
      <c r="D7418" t="s">
        <v>130</v>
      </c>
      <c r="E7418">
        <v>1985</v>
      </c>
      <c r="F7418" s="1">
        <v>74</v>
      </c>
      <c r="G7418">
        <v>1980</v>
      </c>
      <c r="H7418">
        <f>AVERAGEIFS(Table1[value],Table1[IndicatorCode],Table1[[#This Row],[IndicatorCode]])</f>
        <v>72.66514008620689</v>
      </c>
      <c r="I7418" cm="1">
        <f t="array" ref="I7418">_xlfn.STDEV.P(IF(Table1[IndicatorCode]=Table1[[#This Row],[IndicatorCode]],Table1[value]))</f>
        <v>6.3409496564024987</v>
      </c>
      <c r="J7418">
        <f>(Table1[[#This Row],[value]] - Table1[[#This Row],[mean]]) / Table1[[#This Row],[std_dev]]</f>
        <v>0.21051419521132667</v>
      </c>
      <c r="K7418">
        <f>AVERAGEIF(Table1[CountryCode],Table1[[#This Row],[CountryCode]],Table1[z-score])</f>
        <v>0.26765264295626828</v>
      </c>
      <c r="L7418" t="e">
        <f>VLOOKUP(Table1[[#This Row],[CountryCode]],[1]!Table1[#All],1,FALSE)</f>
        <v>#REF!</v>
      </c>
    </row>
    <row r="7419" spans="1:12" hidden="1" x14ac:dyDescent="0.3">
      <c r="A7419" t="s">
        <v>15</v>
      </c>
      <c r="B7419" t="s">
        <v>16</v>
      </c>
      <c r="C7419" t="s">
        <v>129</v>
      </c>
      <c r="D7419" t="s">
        <v>130</v>
      </c>
      <c r="E7419">
        <v>1986</v>
      </c>
      <c r="F7419" s="1">
        <v>74</v>
      </c>
      <c r="G7419">
        <v>1980</v>
      </c>
      <c r="H7419">
        <f>AVERAGEIFS(Table1[value],Table1[IndicatorCode],Table1[[#This Row],[IndicatorCode]])</f>
        <v>72.66514008620689</v>
      </c>
      <c r="I7419" cm="1">
        <f t="array" ref="I7419">_xlfn.STDEV.P(IF(Table1[IndicatorCode]=Table1[[#This Row],[IndicatorCode]],Table1[value]))</f>
        <v>6.3409496564024987</v>
      </c>
      <c r="J7419">
        <f>(Table1[[#This Row],[value]] - Table1[[#This Row],[mean]]) / Table1[[#This Row],[std_dev]]</f>
        <v>0.21051419521132667</v>
      </c>
      <c r="K7419">
        <f>AVERAGEIF(Table1[CountryCode],Table1[[#This Row],[CountryCode]],Table1[z-score])</f>
        <v>0.26765264295626828</v>
      </c>
      <c r="L7419" t="e">
        <f>VLOOKUP(Table1[[#This Row],[CountryCode]],[1]!Table1[#All],1,FALSE)</f>
        <v>#REF!</v>
      </c>
    </row>
    <row r="7420" spans="1:12" hidden="1" x14ac:dyDescent="0.3">
      <c r="A7420" t="s">
        <v>15</v>
      </c>
      <c r="B7420" t="s">
        <v>16</v>
      </c>
      <c r="C7420" t="s">
        <v>129</v>
      </c>
      <c r="D7420" t="s">
        <v>130</v>
      </c>
      <c r="E7420">
        <v>1987</v>
      </c>
      <c r="F7420" s="1">
        <v>75</v>
      </c>
      <c r="G7420">
        <v>1990</v>
      </c>
      <c r="H7420">
        <f>AVERAGEIFS(Table1[value],Table1[IndicatorCode],Table1[[#This Row],[IndicatorCode]])</f>
        <v>72.66514008620689</v>
      </c>
      <c r="I7420" cm="1">
        <f t="array" ref="I7420">_xlfn.STDEV.P(IF(Table1[IndicatorCode]=Table1[[#This Row],[IndicatorCode]],Table1[value]))</f>
        <v>6.3409496564024987</v>
      </c>
      <c r="J7420">
        <f>(Table1[[#This Row],[value]] - Table1[[#This Row],[mean]]) / Table1[[#This Row],[std_dev]]</f>
        <v>0.36821927949476574</v>
      </c>
      <c r="K7420">
        <f>AVERAGEIF(Table1[CountryCode],Table1[[#This Row],[CountryCode]],Table1[z-score])</f>
        <v>0.26765264295626828</v>
      </c>
      <c r="L7420" t="e">
        <f>VLOOKUP(Table1[[#This Row],[CountryCode]],[1]!Table1[#All],1,FALSE)</f>
        <v>#REF!</v>
      </c>
    </row>
    <row r="7421" spans="1:12" hidden="1" x14ac:dyDescent="0.3">
      <c r="A7421" t="s">
        <v>15</v>
      </c>
      <c r="B7421" t="s">
        <v>16</v>
      </c>
      <c r="C7421" t="s">
        <v>129</v>
      </c>
      <c r="D7421" t="s">
        <v>130</v>
      </c>
      <c r="E7421">
        <v>1988</v>
      </c>
      <c r="F7421" s="1">
        <v>75</v>
      </c>
      <c r="G7421">
        <v>1990</v>
      </c>
      <c r="H7421">
        <f>AVERAGEIFS(Table1[value],Table1[IndicatorCode],Table1[[#This Row],[IndicatorCode]])</f>
        <v>72.66514008620689</v>
      </c>
      <c r="I7421" cm="1">
        <f t="array" ref="I7421">_xlfn.STDEV.P(IF(Table1[IndicatorCode]=Table1[[#This Row],[IndicatorCode]],Table1[value]))</f>
        <v>6.3409496564024987</v>
      </c>
      <c r="J7421">
        <f>(Table1[[#This Row],[value]] - Table1[[#This Row],[mean]]) / Table1[[#This Row],[std_dev]]</f>
        <v>0.36821927949476574</v>
      </c>
      <c r="K7421">
        <f>AVERAGEIF(Table1[CountryCode],Table1[[#This Row],[CountryCode]],Table1[z-score])</f>
        <v>0.26765264295626828</v>
      </c>
      <c r="L7421" t="e">
        <f>VLOOKUP(Table1[[#This Row],[CountryCode]],[1]!Table1[#All],1,FALSE)</f>
        <v>#REF!</v>
      </c>
    </row>
    <row r="7422" spans="1:12" hidden="1" x14ac:dyDescent="0.3">
      <c r="A7422" t="s">
        <v>15</v>
      </c>
      <c r="B7422" t="s">
        <v>16</v>
      </c>
      <c r="C7422" t="s">
        <v>129</v>
      </c>
      <c r="D7422" t="s">
        <v>130</v>
      </c>
      <c r="E7422">
        <v>1989</v>
      </c>
      <c r="F7422" s="1">
        <v>75</v>
      </c>
      <c r="G7422">
        <v>1990</v>
      </c>
      <c r="H7422">
        <f>AVERAGEIFS(Table1[value],Table1[IndicatorCode],Table1[[#This Row],[IndicatorCode]])</f>
        <v>72.66514008620689</v>
      </c>
      <c r="I7422" cm="1">
        <f t="array" ref="I7422">_xlfn.STDEV.P(IF(Table1[IndicatorCode]=Table1[[#This Row],[IndicatorCode]],Table1[value]))</f>
        <v>6.3409496564024987</v>
      </c>
      <c r="J7422">
        <f>(Table1[[#This Row],[value]] - Table1[[#This Row],[mean]]) / Table1[[#This Row],[std_dev]]</f>
        <v>0.36821927949476574</v>
      </c>
      <c r="K7422">
        <f>AVERAGEIF(Table1[CountryCode],Table1[[#This Row],[CountryCode]],Table1[z-score])</f>
        <v>0.26765264295626828</v>
      </c>
      <c r="L7422" t="e">
        <f>VLOOKUP(Table1[[#This Row],[CountryCode]],[1]!Table1[#All],1,FALSE)</f>
        <v>#REF!</v>
      </c>
    </row>
    <row r="7423" spans="1:12" hidden="1" x14ac:dyDescent="0.3">
      <c r="A7423" t="s">
        <v>15</v>
      </c>
      <c r="B7423" t="s">
        <v>16</v>
      </c>
      <c r="C7423" t="s">
        <v>129</v>
      </c>
      <c r="D7423" t="s">
        <v>130</v>
      </c>
      <c r="E7423">
        <v>1990</v>
      </c>
      <c r="F7423" s="1">
        <v>76</v>
      </c>
      <c r="G7423">
        <v>1990</v>
      </c>
      <c r="H7423">
        <f>AVERAGEIFS(Table1[value],Table1[IndicatorCode],Table1[[#This Row],[IndicatorCode]])</f>
        <v>72.66514008620689</v>
      </c>
      <c r="I7423" cm="1">
        <f t="array" ref="I7423">_xlfn.STDEV.P(IF(Table1[IndicatorCode]=Table1[[#This Row],[IndicatorCode]],Table1[value]))</f>
        <v>6.3409496564024987</v>
      </c>
      <c r="J7423">
        <f>(Table1[[#This Row],[value]] - Table1[[#This Row],[mean]]) / Table1[[#This Row],[std_dev]]</f>
        <v>0.52592436377820473</v>
      </c>
      <c r="K7423">
        <f>AVERAGEIF(Table1[CountryCode],Table1[[#This Row],[CountryCode]],Table1[z-score])</f>
        <v>0.26765264295626828</v>
      </c>
      <c r="L7423" t="e">
        <f>VLOOKUP(Table1[[#This Row],[CountryCode]],[1]!Table1[#All],1,FALSE)</f>
        <v>#REF!</v>
      </c>
    </row>
    <row r="7424" spans="1:12" hidden="1" x14ac:dyDescent="0.3">
      <c r="A7424" t="s">
        <v>15</v>
      </c>
      <c r="B7424" t="s">
        <v>16</v>
      </c>
      <c r="C7424" t="s">
        <v>129</v>
      </c>
      <c r="D7424" t="s">
        <v>130</v>
      </c>
      <c r="E7424">
        <v>1991</v>
      </c>
      <c r="F7424" s="1">
        <v>76</v>
      </c>
      <c r="G7424">
        <v>1990</v>
      </c>
      <c r="H7424">
        <f>AVERAGEIFS(Table1[value],Table1[IndicatorCode],Table1[[#This Row],[IndicatorCode]])</f>
        <v>72.66514008620689</v>
      </c>
      <c r="I7424" cm="1">
        <f t="array" ref="I7424">_xlfn.STDEV.P(IF(Table1[IndicatorCode]=Table1[[#This Row],[IndicatorCode]],Table1[value]))</f>
        <v>6.3409496564024987</v>
      </c>
      <c r="J7424">
        <f>(Table1[[#This Row],[value]] - Table1[[#This Row],[mean]]) / Table1[[#This Row],[std_dev]]</f>
        <v>0.52592436377820473</v>
      </c>
      <c r="K7424">
        <f>AVERAGEIF(Table1[CountryCode],Table1[[#This Row],[CountryCode]],Table1[z-score])</f>
        <v>0.26765264295626828</v>
      </c>
      <c r="L7424" t="e">
        <f>VLOOKUP(Table1[[#This Row],[CountryCode]],[1]!Table1[#All],1,FALSE)</f>
        <v>#REF!</v>
      </c>
    </row>
    <row r="7425" spans="1:12" hidden="1" x14ac:dyDescent="0.3">
      <c r="A7425" t="s">
        <v>15</v>
      </c>
      <c r="B7425" t="s">
        <v>16</v>
      </c>
      <c r="C7425" t="s">
        <v>129</v>
      </c>
      <c r="D7425" t="s">
        <v>130</v>
      </c>
      <c r="E7425">
        <v>1992</v>
      </c>
      <c r="F7425" s="1">
        <v>76</v>
      </c>
      <c r="G7425">
        <v>1990</v>
      </c>
      <c r="H7425">
        <f>AVERAGEIFS(Table1[value],Table1[IndicatorCode],Table1[[#This Row],[IndicatorCode]])</f>
        <v>72.66514008620689</v>
      </c>
      <c r="I7425" cm="1">
        <f t="array" ref="I7425">_xlfn.STDEV.P(IF(Table1[IndicatorCode]=Table1[[#This Row],[IndicatorCode]],Table1[value]))</f>
        <v>6.3409496564024987</v>
      </c>
      <c r="J7425">
        <f>(Table1[[#This Row],[value]] - Table1[[#This Row],[mean]]) / Table1[[#This Row],[std_dev]]</f>
        <v>0.52592436377820473</v>
      </c>
      <c r="K7425">
        <f>AVERAGEIF(Table1[CountryCode],Table1[[#This Row],[CountryCode]],Table1[z-score])</f>
        <v>0.26765264295626828</v>
      </c>
      <c r="L7425" t="e">
        <f>VLOOKUP(Table1[[#This Row],[CountryCode]],[1]!Table1[#All],1,FALSE)</f>
        <v>#REF!</v>
      </c>
    </row>
    <row r="7426" spans="1:12" hidden="1" x14ac:dyDescent="0.3">
      <c r="A7426" t="s">
        <v>15</v>
      </c>
      <c r="B7426" t="s">
        <v>16</v>
      </c>
      <c r="C7426" t="s">
        <v>129</v>
      </c>
      <c r="D7426" t="s">
        <v>130</v>
      </c>
      <c r="E7426">
        <v>1993</v>
      </c>
      <c r="F7426" s="1">
        <v>76</v>
      </c>
      <c r="G7426">
        <v>1990</v>
      </c>
      <c r="H7426">
        <f>AVERAGEIFS(Table1[value],Table1[IndicatorCode],Table1[[#This Row],[IndicatorCode]])</f>
        <v>72.66514008620689</v>
      </c>
      <c r="I7426" cm="1">
        <f t="array" ref="I7426">_xlfn.STDEV.P(IF(Table1[IndicatorCode]=Table1[[#This Row],[IndicatorCode]],Table1[value]))</f>
        <v>6.3409496564024987</v>
      </c>
      <c r="J7426">
        <f>(Table1[[#This Row],[value]] - Table1[[#This Row],[mean]]) / Table1[[#This Row],[std_dev]]</f>
        <v>0.52592436377820473</v>
      </c>
      <c r="K7426">
        <f>AVERAGEIF(Table1[CountryCode],Table1[[#This Row],[CountryCode]],Table1[z-score])</f>
        <v>0.26765264295626828</v>
      </c>
      <c r="L7426" t="e">
        <f>VLOOKUP(Table1[[#This Row],[CountryCode]],[1]!Table1[#All],1,FALSE)</f>
        <v>#REF!</v>
      </c>
    </row>
    <row r="7427" spans="1:12" hidden="1" x14ac:dyDescent="0.3">
      <c r="A7427" t="s">
        <v>15</v>
      </c>
      <c r="B7427" t="s">
        <v>16</v>
      </c>
      <c r="C7427" t="s">
        <v>129</v>
      </c>
      <c r="D7427" t="s">
        <v>130</v>
      </c>
      <c r="E7427">
        <v>1994</v>
      </c>
      <c r="F7427" s="1">
        <v>76</v>
      </c>
      <c r="G7427">
        <v>1990</v>
      </c>
      <c r="H7427">
        <f>AVERAGEIFS(Table1[value],Table1[IndicatorCode],Table1[[#This Row],[IndicatorCode]])</f>
        <v>72.66514008620689</v>
      </c>
      <c r="I7427" cm="1">
        <f t="array" ref="I7427">_xlfn.STDEV.P(IF(Table1[IndicatorCode]=Table1[[#This Row],[IndicatorCode]],Table1[value]))</f>
        <v>6.3409496564024987</v>
      </c>
      <c r="J7427">
        <f>(Table1[[#This Row],[value]] - Table1[[#This Row],[mean]]) / Table1[[#This Row],[std_dev]]</f>
        <v>0.52592436377820473</v>
      </c>
      <c r="K7427">
        <f>AVERAGEIF(Table1[CountryCode],Table1[[#This Row],[CountryCode]],Table1[z-score])</f>
        <v>0.26765264295626828</v>
      </c>
      <c r="L7427" t="e">
        <f>VLOOKUP(Table1[[#This Row],[CountryCode]],[1]!Table1[#All],1,FALSE)</f>
        <v>#REF!</v>
      </c>
    </row>
    <row r="7428" spans="1:12" hidden="1" x14ac:dyDescent="0.3">
      <c r="A7428" t="s">
        <v>15</v>
      </c>
      <c r="B7428" t="s">
        <v>16</v>
      </c>
      <c r="C7428" t="s">
        <v>129</v>
      </c>
      <c r="D7428" t="s">
        <v>130</v>
      </c>
      <c r="E7428">
        <v>1995</v>
      </c>
      <c r="F7428" s="1">
        <v>77</v>
      </c>
      <c r="G7428">
        <v>1990</v>
      </c>
      <c r="H7428">
        <f>AVERAGEIFS(Table1[value],Table1[IndicatorCode],Table1[[#This Row],[IndicatorCode]])</f>
        <v>72.66514008620689</v>
      </c>
      <c r="I7428" cm="1">
        <f t="array" ref="I7428">_xlfn.STDEV.P(IF(Table1[IndicatorCode]=Table1[[#This Row],[IndicatorCode]],Table1[value]))</f>
        <v>6.3409496564024987</v>
      </c>
      <c r="J7428">
        <f>(Table1[[#This Row],[value]] - Table1[[#This Row],[mean]]) / Table1[[#This Row],[std_dev]]</f>
        <v>0.68362944806164383</v>
      </c>
      <c r="K7428">
        <f>AVERAGEIF(Table1[CountryCode],Table1[[#This Row],[CountryCode]],Table1[z-score])</f>
        <v>0.26765264295626828</v>
      </c>
      <c r="L7428" t="e">
        <f>VLOOKUP(Table1[[#This Row],[CountryCode]],[1]!Table1[#All],1,FALSE)</f>
        <v>#REF!</v>
      </c>
    </row>
    <row r="7429" spans="1:12" hidden="1" x14ac:dyDescent="0.3">
      <c r="A7429" t="s">
        <v>15</v>
      </c>
      <c r="B7429" t="s">
        <v>16</v>
      </c>
      <c r="C7429" t="s">
        <v>129</v>
      </c>
      <c r="D7429" t="s">
        <v>130</v>
      </c>
      <c r="E7429">
        <v>1996</v>
      </c>
      <c r="F7429" s="1">
        <v>77</v>
      </c>
      <c r="G7429">
        <v>1990</v>
      </c>
      <c r="H7429">
        <f>AVERAGEIFS(Table1[value],Table1[IndicatorCode],Table1[[#This Row],[IndicatorCode]])</f>
        <v>72.66514008620689</v>
      </c>
      <c r="I7429" cm="1">
        <f t="array" ref="I7429">_xlfn.STDEV.P(IF(Table1[IndicatorCode]=Table1[[#This Row],[IndicatorCode]],Table1[value]))</f>
        <v>6.3409496564024987</v>
      </c>
      <c r="J7429">
        <f>(Table1[[#This Row],[value]] - Table1[[#This Row],[mean]]) / Table1[[#This Row],[std_dev]]</f>
        <v>0.68362944806164383</v>
      </c>
      <c r="K7429">
        <f>AVERAGEIF(Table1[CountryCode],Table1[[#This Row],[CountryCode]],Table1[z-score])</f>
        <v>0.26765264295626828</v>
      </c>
      <c r="L7429" t="e">
        <f>VLOOKUP(Table1[[#This Row],[CountryCode]],[1]!Table1[#All],1,FALSE)</f>
        <v>#REF!</v>
      </c>
    </row>
    <row r="7430" spans="1:12" hidden="1" x14ac:dyDescent="0.3">
      <c r="A7430" t="s">
        <v>15</v>
      </c>
      <c r="B7430" t="s">
        <v>16</v>
      </c>
      <c r="C7430" t="s">
        <v>129</v>
      </c>
      <c r="D7430" t="s">
        <v>130</v>
      </c>
      <c r="E7430">
        <v>1997</v>
      </c>
      <c r="F7430" s="1">
        <v>77</v>
      </c>
      <c r="G7430">
        <v>2000</v>
      </c>
      <c r="H7430">
        <f>AVERAGEIFS(Table1[value],Table1[IndicatorCode],Table1[[#This Row],[IndicatorCode]])</f>
        <v>72.66514008620689</v>
      </c>
      <c r="I7430" cm="1">
        <f t="array" ref="I7430">_xlfn.STDEV.P(IF(Table1[IndicatorCode]=Table1[[#This Row],[IndicatorCode]],Table1[value]))</f>
        <v>6.3409496564024987</v>
      </c>
      <c r="J7430">
        <f>(Table1[[#This Row],[value]] - Table1[[#This Row],[mean]]) / Table1[[#This Row],[std_dev]]</f>
        <v>0.68362944806164383</v>
      </c>
      <c r="K7430">
        <f>AVERAGEIF(Table1[CountryCode],Table1[[#This Row],[CountryCode]],Table1[z-score])</f>
        <v>0.26765264295626828</v>
      </c>
      <c r="L7430" t="e">
        <f>VLOOKUP(Table1[[#This Row],[CountryCode]],[1]!Table1[#All],1,FALSE)</f>
        <v>#REF!</v>
      </c>
    </row>
    <row r="7431" spans="1:12" hidden="1" x14ac:dyDescent="0.3">
      <c r="A7431" t="s">
        <v>15</v>
      </c>
      <c r="B7431" t="s">
        <v>16</v>
      </c>
      <c r="C7431" t="s">
        <v>129</v>
      </c>
      <c r="D7431" t="s">
        <v>130</v>
      </c>
      <c r="E7431">
        <v>1998</v>
      </c>
      <c r="F7431" s="1">
        <v>78</v>
      </c>
      <c r="G7431">
        <v>2000</v>
      </c>
      <c r="H7431">
        <f>AVERAGEIFS(Table1[value],Table1[IndicatorCode],Table1[[#This Row],[IndicatorCode]])</f>
        <v>72.66514008620689</v>
      </c>
      <c r="I7431" cm="1">
        <f t="array" ref="I7431">_xlfn.STDEV.P(IF(Table1[IndicatorCode]=Table1[[#This Row],[IndicatorCode]],Table1[value]))</f>
        <v>6.3409496564024987</v>
      </c>
      <c r="J7431">
        <f>(Table1[[#This Row],[value]] - Table1[[#This Row],[mean]]) / Table1[[#This Row],[std_dev]]</f>
        <v>0.84133453234508293</v>
      </c>
      <c r="K7431">
        <f>AVERAGEIF(Table1[CountryCode],Table1[[#This Row],[CountryCode]],Table1[z-score])</f>
        <v>0.26765264295626828</v>
      </c>
      <c r="L7431" t="e">
        <f>VLOOKUP(Table1[[#This Row],[CountryCode]],[1]!Table1[#All],1,FALSE)</f>
        <v>#REF!</v>
      </c>
    </row>
    <row r="7432" spans="1:12" hidden="1" x14ac:dyDescent="0.3">
      <c r="A7432" t="s">
        <v>15</v>
      </c>
      <c r="B7432" t="s">
        <v>16</v>
      </c>
      <c r="C7432" t="s">
        <v>129</v>
      </c>
      <c r="D7432" t="s">
        <v>130</v>
      </c>
      <c r="E7432">
        <v>1999</v>
      </c>
      <c r="F7432" s="1">
        <v>78</v>
      </c>
      <c r="G7432">
        <v>2000</v>
      </c>
      <c r="H7432">
        <f>AVERAGEIFS(Table1[value],Table1[IndicatorCode],Table1[[#This Row],[IndicatorCode]])</f>
        <v>72.66514008620689</v>
      </c>
      <c r="I7432" cm="1">
        <f t="array" ref="I7432">_xlfn.STDEV.P(IF(Table1[IndicatorCode]=Table1[[#This Row],[IndicatorCode]],Table1[value]))</f>
        <v>6.3409496564024987</v>
      </c>
      <c r="J7432">
        <f>(Table1[[#This Row],[value]] - Table1[[#This Row],[mean]]) / Table1[[#This Row],[std_dev]]</f>
        <v>0.84133453234508293</v>
      </c>
      <c r="K7432">
        <f>AVERAGEIF(Table1[CountryCode],Table1[[#This Row],[CountryCode]],Table1[z-score])</f>
        <v>0.26765264295626828</v>
      </c>
      <c r="L7432" t="e">
        <f>VLOOKUP(Table1[[#This Row],[CountryCode]],[1]!Table1[#All],1,FALSE)</f>
        <v>#REF!</v>
      </c>
    </row>
    <row r="7433" spans="1:12" hidden="1" x14ac:dyDescent="0.3">
      <c r="A7433" t="s">
        <v>15</v>
      </c>
      <c r="B7433" t="s">
        <v>16</v>
      </c>
      <c r="C7433" t="s">
        <v>129</v>
      </c>
      <c r="D7433" t="s">
        <v>130</v>
      </c>
      <c r="E7433">
        <v>2000</v>
      </c>
      <c r="F7433" s="1">
        <v>78</v>
      </c>
      <c r="G7433">
        <v>2000</v>
      </c>
      <c r="H7433">
        <f>AVERAGEIFS(Table1[value],Table1[IndicatorCode],Table1[[#This Row],[IndicatorCode]])</f>
        <v>72.66514008620689</v>
      </c>
      <c r="I7433" cm="1">
        <f t="array" ref="I7433">_xlfn.STDEV.P(IF(Table1[IndicatorCode]=Table1[[#This Row],[IndicatorCode]],Table1[value]))</f>
        <v>6.3409496564024987</v>
      </c>
      <c r="J7433">
        <f>(Table1[[#This Row],[value]] - Table1[[#This Row],[mean]]) / Table1[[#This Row],[std_dev]]</f>
        <v>0.84133453234508293</v>
      </c>
      <c r="K7433">
        <f>AVERAGEIF(Table1[CountryCode],Table1[[#This Row],[CountryCode]],Table1[z-score])</f>
        <v>0.26765264295626828</v>
      </c>
      <c r="L7433" t="e">
        <f>VLOOKUP(Table1[[#This Row],[CountryCode]],[1]!Table1[#All],1,FALSE)</f>
        <v>#REF!</v>
      </c>
    </row>
    <row r="7434" spans="1:12" hidden="1" x14ac:dyDescent="0.3">
      <c r="A7434" t="s">
        <v>15</v>
      </c>
      <c r="B7434" t="s">
        <v>16</v>
      </c>
      <c r="C7434" t="s">
        <v>129</v>
      </c>
      <c r="D7434" t="s">
        <v>130</v>
      </c>
      <c r="E7434">
        <v>2001</v>
      </c>
      <c r="F7434" s="1">
        <v>79</v>
      </c>
      <c r="G7434">
        <v>2000</v>
      </c>
      <c r="H7434">
        <f>AVERAGEIFS(Table1[value],Table1[IndicatorCode],Table1[[#This Row],[IndicatorCode]])</f>
        <v>72.66514008620689</v>
      </c>
      <c r="I7434" cm="1">
        <f t="array" ref="I7434">_xlfn.STDEV.P(IF(Table1[IndicatorCode]=Table1[[#This Row],[IndicatorCode]],Table1[value]))</f>
        <v>6.3409496564024987</v>
      </c>
      <c r="J7434">
        <f>(Table1[[#This Row],[value]] - Table1[[#This Row],[mean]]) / Table1[[#This Row],[std_dev]]</f>
        <v>0.99903961662852192</v>
      </c>
      <c r="K7434">
        <f>AVERAGEIF(Table1[CountryCode],Table1[[#This Row],[CountryCode]],Table1[z-score])</f>
        <v>0.26765264295626828</v>
      </c>
      <c r="L7434" t="e">
        <f>VLOOKUP(Table1[[#This Row],[CountryCode]],[1]!Table1[#All],1,FALSE)</f>
        <v>#REF!</v>
      </c>
    </row>
    <row r="7435" spans="1:12" hidden="1" x14ac:dyDescent="0.3">
      <c r="A7435" t="s">
        <v>15</v>
      </c>
      <c r="B7435" t="s">
        <v>16</v>
      </c>
      <c r="C7435" t="s">
        <v>129</v>
      </c>
      <c r="D7435" t="s">
        <v>130</v>
      </c>
      <c r="E7435">
        <v>2002</v>
      </c>
      <c r="F7435" s="1">
        <v>79</v>
      </c>
      <c r="G7435">
        <v>2000</v>
      </c>
      <c r="H7435">
        <f>AVERAGEIFS(Table1[value],Table1[IndicatorCode],Table1[[#This Row],[IndicatorCode]])</f>
        <v>72.66514008620689</v>
      </c>
      <c r="I7435" cm="1">
        <f t="array" ref="I7435">_xlfn.STDEV.P(IF(Table1[IndicatorCode]=Table1[[#This Row],[IndicatorCode]],Table1[value]))</f>
        <v>6.3409496564024987</v>
      </c>
      <c r="J7435">
        <f>(Table1[[#This Row],[value]] - Table1[[#This Row],[mean]]) / Table1[[#This Row],[std_dev]]</f>
        <v>0.99903961662852192</v>
      </c>
      <c r="K7435">
        <f>AVERAGEIF(Table1[CountryCode],Table1[[#This Row],[CountryCode]],Table1[z-score])</f>
        <v>0.26765264295626828</v>
      </c>
      <c r="L7435" t="e">
        <f>VLOOKUP(Table1[[#This Row],[CountryCode]],[1]!Table1[#All],1,FALSE)</f>
        <v>#REF!</v>
      </c>
    </row>
    <row r="7436" spans="1:12" hidden="1" x14ac:dyDescent="0.3">
      <c r="A7436" t="s">
        <v>15</v>
      </c>
      <c r="B7436" t="s">
        <v>16</v>
      </c>
      <c r="C7436" t="s">
        <v>129</v>
      </c>
      <c r="D7436" t="s">
        <v>130</v>
      </c>
      <c r="E7436">
        <v>2003</v>
      </c>
      <c r="F7436" s="1">
        <v>79</v>
      </c>
      <c r="G7436">
        <v>2000</v>
      </c>
      <c r="H7436">
        <f>AVERAGEIFS(Table1[value],Table1[IndicatorCode],Table1[[#This Row],[IndicatorCode]])</f>
        <v>72.66514008620689</v>
      </c>
      <c r="I7436" cm="1">
        <f t="array" ref="I7436">_xlfn.STDEV.P(IF(Table1[IndicatorCode]=Table1[[#This Row],[IndicatorCode]],Table1[value]))</f>
        <v>6.3409496564024987</v>
      </c>
      <c r="J7436">
        <f>(Table1[[#This Row],[value]] - Table1[[#This Row],[mean]]) / Table1[[#This Row],[std_dev]]</f>
        <v>0.99903961662852192</v>
      </c>
      <c r="K7436">
        <f>AVERAGEIF(Table1[CountryCode],Table1[[#This Row],[CountryCode]],Table1[z-score])</f>
        <v>0.26765264295626828</v>
      </c>
      <c r="L7436" t="e">
        <f>VLOOKUP(Table1[[#This Row],[CountryCode]],[1]!Table1[#All],1,FALSE)</f>
        <v>#REF!</v>
      </c>
    </row>
    <row r="7437" spans="1:12" hidden="1" x14ac:dyDescent="0.3">
      <c r="A7437" t="s">
        <v>15</v>
      </c>
      <c r="B7437" t="s">
        <v>16</v>
      </c>
      <c r="C7437" t="s">
        <v>129</v>
      </c>
      <c r="D7437" t="s">
        <v>130</v>
      </c>
      <c r="E7437">
        <v>2004</v>
      </c>
      <c r="F7437" s="1">
        <v>79</v>
      </c>
      <c r="G7437">
        <v>2000</v>
      </c>
      <c r="H7437">
        <f>AVERAGEIFS(Table1[value],Table1[IndicatorCode],Table1[[#This Row],[IndicatorCode]])</f>
        <v>72.66514008620689</v>
      </c>
      <c r="I7437" cm="1">
        <f t="array" ref="I7437">_xlfn.STDEV.P(IF(Table1[IndicatorCode]=Table1[[#This Row],[IndicatorCode]],Table1[value]))</f>
        <v>6.3409496564024987</v>
      </c>
      <c r="J7437">
        <f>(Table1[[#This Row],[value]] - Table1[[#This Row],[mean]]) / Table1[[#This Row],[std_dev]]</f>
        <v>0.99903961662852192</v>
      </c>
      <c r="K7437">
        <f>AVERAGEIF(Table1[CountryCode],Table1[[#This Row],[CountryCode]],Table1[z-score])</f>
        <v>0.26765264295626828</v>
      </c>
      <c r="L7437" t="e">
        <f>VLOOKUP(Table1[[#This Row],[CountryCode]],[1]!Table1[#All],1,FALSE)</f>
        <v>#REF!</v>
      </c>
    </row>
    <row r="7438" spans="1:12" hidden="1" x14ac:dyDescent="0.3">
      <c r="A7438" t="s">
        <v>15</v>
      </c>
      <c r="B7438" t="s">
        <v>16</v>
      </c>
      <c r="C7438" t="s">
        <v>129</v>
      </c>
      <c r="D7438" t="s">
        <v>130</v>
      </c>
      <c r="E7438">
        <v>2005</v>
      </c>
      <c r="F7438" s="1">
        <v>79</v>
      </c>
      <c r="G7438">
        <v>2000</v>
      </c>
      <c r="H7438">
        <f>AVERAGEIFS(Table1[value],Table1[IndicatorCode],Table1[[#This Row],[IndicatorCode]])</f>
        <v>72.66514008620689</v>
      </c>
      <c r="I7438" cm="1">
        <f t="array" ref="I7438">_xlfn.STDEV.P(IF(Table1[IndicatorCode]=Table1[[#This Row],[IndicatorCode]],Table1[value]))</f>
        <v>6.3409496564024987</v>
      </c>
      <c r="J7438">
        <f>(Table1[[#This Row],[value]] - Table1[[#This Row],[mean]]) / Table1[[#This Row],[std_dev]]</f>
        <v>0.99903961662852192</v>
      </c>
      <c r="K7438">
        <f>AVERAGEIF(Table1[CountryCode],Table1[[#This Row],[CountryCode]],Table1[z-score])</f>
        <v>0.26765264295626828</v>
      </c>
      <c r="L7438" t="e">
        <f>VLOOKUP(Table1[[#This Row],[CountryCode]],[1]!Table1[#All],1,FALSE)</f>
        <v>#REF!</v>
      </c>
    </row>
    <row r="7439" spans="1:12" hidden="1" x14ac:dyDescent="0.3">
      <c r="A7439" t="s">
        <v>15</v>
      </c>
      <c r="B7439" t="s">
        <v>16</v>
      </c>
      <c r="C7439" t="s">
        <v>129</v>
      </c>
      <c r="D7439" t="s">
        <v>130</v>
      </c>
      <c r="E7439">
        <v>2006</v>
      </c>
      <c r="F7439" s="1">
        <v>80</v>
      </c>
      <c r="G7439">
        <v>2000</v>
      </c>
      <c r="H7439">
        <f>AVERAGEIFS(Table1[value],Table1[IndicatorCode],Table1[[#This Row],[IndicatorCode]])</f>
        <v>72.66514008620689</v>
      </c>
      <c r="I7439" cm="1">
        <f t="array" ref="I7439">_xlfn.STDEV.P(IF(Table1[IndicatorCode]=Table1[[#This Row],[IndicatorCode]],Table1[value]))</f>
        <v>6.3409496564024987</v>
      </c>
      <c r="J7439">
        <f>(Table1[[#This Row],[value]] - Table1[[#This Row],[mean]]) / Table1[[#This Row],[std_dev]]</f>
        <v>1.1567447009119609</v>
      </c>
      <c r="K7439">
        <f>AVERAGEIF(Table1[CountryCode],Table1[[#This Row],[CountryCode]],Table1[z-score])</f>
        <v>0.26765264295626828</v>
      </c>
      <c r="L7439" t="e">
        <f>VLOOKUP(Table1[[#This Row],[CountryCode]],[1]!Table1[#All],1,FALSE)</f>
        <v>#REF!</v>
      </c>
    </row>
    <row r="7440" spans="1:12" hidden="1" x14ac:dyDescent="0.3">
      <c r="A7440" t="s">
        <v>15</v>
      </c>
      <c r="B7440" t="s">
        <v>16</v>
      </c>
      <c r="C7440" t="s">
        <v>129</v>
      </c>
      <c r="D7440" t="s">
        <v>130</v>
      </c>
      <c r="E7440">
        <v>2007</v>
      </c>
      <c r="F7440" s="1">
        <v>80</v>
      </c>
      <c r="G7440">
        <v>2010</v>
      </c>
      <c r="H7440">
        <f>AVERAGEIFS(Table1[value],Table1[IndicatorCode],Table1[[#This Row],[IndicatorCode]])</f>
        <v>72.66514008620689</v>
      </c>
      <c r="I7440" cm="1">
        <f t="array" ref="I7440">_xlfn.STDEV.P(IF(Table1[IndicatorCode]=Table1[[#This Row],[IndicatorCode]],Table1[value]))</f>
        <v>6.3409496564024987</v>
      </c>
      <c r="J7440">
        <f>(Table1[[#This Row],[value]] - Table1[[#This Row],[mean]]) / Table1[[#This Row],[std_dev]]</f>
        <v>1.1567447009119609</v>
      </c>
      <c r="K7440">
        <f>AVERAGEIF(Table1[CountryCode],Table1[[#This Row],[CountryCode]],Table1[z-score])</f>
        <v>0.26765264295626828</v>
      </c>
      <c r="L7440" t="e">
        <f>VLOOKUP(Table1[[#This Row],[CountryCode]],[1]!Table1[#All],1,FALSE)</f>
        <v>#REF!</v>
      </c>
    </row>
    <row r="7441" spans="1:12" hidden="1" x14ac:dyDescent="0.3">
      <c r="A7441" t="s">
        <v>15</v>
      </c>
      <c r="B7441" t="s">
        <v>16</v>
      </c>
      <c r="C7441" t="s">
        <v>129</v>
      </c>
      <c r="D7441" t="s">
        <v>130</v>
      </c>
      <c r="E7441">
        <v>2008</v>
      </c>
      <c r="F7441" s="1">
        <v>80</v>
      </c>
      <c r="G7441">
        <v>2010</v>
      </c>
      <c r="H7441">
        <f>AVERAGEIFS(Table1[value],Table1[IndicatorCode],Table1[[#This Row],[IndicatorCode]])</f>
        <v>72.66514008620689</v>
      </c>
      <c r="I7441" cm="1">
        <f t="array" ref="I7441">_xlfn.STDEV.P(IF(Table1[IndicatorCode]=Table1[[#This Row],[IndicatorCode]],Table1[value]))</f>
        <v>6.3409496564024987</v>
      </c>
      <c r="J7441">
        <f>(Table1[[#This Row],[value]] - Table1[[#This Row],[mean]]) / Table1[[#This Row],[std_dev]]</f>
        <v>1.1567447009119609</v>
      </c>
      <c r="K7441">
        <f>AVERAGEIF(Table1[CountryCode],Table1[[#This Row],[CountryCode]],Table1[z-score])</f>
        <v>0.26765264295626828</v>
      </c>
      <c r="L7441" t="e">
        <f>VLOOKUP(Table1[[#This Row],[CountryCode]],[1]!Table1[#All],1,FALSE)</f>
        <v>#REF!</v>
      </c>
    </row>
    <row r="7442" spans="1:12" hidden="1" x14ac:dyDescent="0.3">
      <c r="A7442" t="s">
        <v>15</v>
      </c>
      <c r="B7442" t="s">
        <v>16</v>
      </c>
      <c r="C7442" t="s">
        <v>129</v>
      </c>
      <c r="D7442" t="s">
        <v>130</v>
      </c>
      <c r="E7442">
        <v>2009</v>
      </c>
      <c r="F7442" s="1">
        <v>80</v>
      </c>
      <c r="G7442">
        <v>2010</v>
      </c>
      <c r="H7442">
        <f>AVERAGEIFS(Table1[value],Table1[IndicatorCode],Table1[[#This Row],[IndicatorCode]])</f>
        <v>72.66514008620689</v>
      </c>
      <c r="I7442" cm="1">
        <f t="array" ref="I7442">_xlfn.STDEV.P(IF(Table1[IndicatorCode]=Table1[[#This Row],[IndicatorCode]],Table1[value]))</f>
        <v>6.3409496564024987</v>
      </c>
      <c r="J7442">
        <f>(Table1[[#This Row],[value]] - Table1[[#This Row],[mean]]) / Table1[[#This Row],[std_dev]]</f>
        <v>1.1567447009119609</v>
      </c>
      <c r="K7442">
        <f>AVERAGEIF(Table1[CountryCode],Table1[[#This Row],[CountryCode]],Table1[z-score])</f>
        <v>0.26765264295626828</v>
      </c>
      <c r="L7442" t="e">
        <f>VLOOKUP(Table1[[#This Row],[CountryCode]],[1]!Table1[#All],1,FALSE)</f>
        <v>#REF!</v>
      </c>
    </row>
    <row r="7443" spans="1:12" hidden="1" x14ac:dyDescent="0.3">
      <c r="A7443" t="s">
        <v>15</v>
      </c>
      <c r="B7443" t="s">
        <v>16</v>
      </c>
      <c r="C7443" t="s">
        <v>129</v>
      </c>
      <c r="D7443" t="s">
        <v>130</v>
      </c>
      <c r="E7443">
        <v>2010</v>
      </c>
      <c r="F7443" s="1">
        <v>81</v>
      </c>
      <c r="G7443">
        <v>2010</v>
      </c>
      <c r="H7443">
        <f>AVERAGEIFS(Table1[value],Table1[IndicatorCode],Table1[[#This Row],[IndicatorCode]])</f>
        <v>72.66514008620689</v>
      </c>
      <c r="I7443" cm="1">
        <f t="array" ref="I7443">_xlfn.STDEV.P(IF(Table1[IndicatorCode]=Table1[[#This Row],[IndicatorCode]],Table1[value]))</f>
        <v>6.3409496564024987</v>
      </c>
      <c r="J7443">
        <f>(Table1[[#This Row],[value]] - Table1[[#This Row],[mean]]) / Table1[[#This Row],[std_dev]]</f>
        <v>1.3144497851954</v>
      </c>
      <c r="K7443">
        <f>AVERAGEIF(Table1[CountryCode],Table1[[#This Row],[CountryCode]],Table1[z-score])</f>
        <v>0.26765264295626828</v>
      </c>
      <c r="L7443" t="e">
        <f>VLOOKUP(Table1[[#This Row],[CountryCode]],[1]!Table1[#All],1,FALSE)</f>
        <v>#REF!</v>
      </c>
    </row>
    <row r="7444" spans="1:12" hidden="1" x14ac:dyDescent="0.3">
      <c r="A7444" t="s">
        <v>15</v>
      </c>
      <c r="B7444" t="s">
        <v>16</v>
      </c>
      <c r="C7444" t="s">
        <v>129</v>
      </c>
      <c r="D7444" t="s">
        <v>130</v>
      </c>
      <c r="E7444">
        <v>2011</v>
      </c>
      <c r="F7444" s="1">
        <v>81</v>
      </c>
      <c r="G7444">
        <v>2010</v>
      </c>
      <c r="H7444">
        <f>AVERAGEIFS(Table1[value],Table1[IndicatorCode],Table1[[#This Row],[IndicatorCode]])</f>
        <v>72.66514008620689</v>
      </c>
      <c r="I7444" cm="1">
        <f t="array" ref="I7444">_xlfn.STDEV.P(IF(Table1[IndicatorCode]=Table1[[#This Row],[IndicatorCode]],Table1[value]))</f>
        <v>6.3409496564024987</v>
      </c>
      <c r="J7444">
        <f>(Table1[[#This Row],[value]] - Table1[[#This Row],[mean]]) / Table1[[#This Row],[std_dev]]</f>
        <v>1.3144497851954</v>
      </c>
      <c r="K7444">
        <f>AVERAGEIF(Table1[CountryCode],Table1[[#This Row],[CountryCode]],Table1[z-score])</f>
        <v>0.26765264295626828</v>
      </c>
      <c r="L7444" t="e">
        <f>VLOOKUP(Table1[[#This Row],[CountryCode]],[1]!Table1[#All],1,FALSE)</f>
        <v>#REF!</v>
      </c>
    </row>
    <row r="7445" spans="1:12" hidden="1" x14ac:dyDescent="0.3">
      <c r="A7445" t="s">
        <v>15</v>
      </c>
      <c r="B7445" t="s">
        <v>16</v>
      </c>
      <c r="C7445" t="s">
        <v>129</v>
      </c>
      <c r="D7445" t="s">
        <v>130</v>
      </c>
      <c r="E7445">
        <v>2012</v>
      </c>
      <c r="F7445" s="1">
        <v>81</v>
      </c>
      <c r="G7445">
        <v>2010</v>
      </c>
      <c r="H7445">
        <f>AVERAGEIFS(Table1[value],Table1[IndicatorCode],Table1[[#This Row],[IndicatorCode]])</f>
        <v>72.66514008620689</v>
      </c>
      <c r="I7445" cm="1">
        <f t="array" ref="I7445">_xlfn.STDEV.P(IF(Table1[IndicatorCode]=Table1[[#This Row],[IndicatorCode]],Table1[value]))</f>
        <v>6.3409496564024987</v>
      </c>
      <c r="J7445">
        <f>(Table1[[#This Row],[value]] - Table1[[#This Row],[mean]]) / Table1[[#This Row],[std_dev]]</f>
        <v>1.3144497851954</v>
      </c>
      <c r="K7445">
        <f>AVERAGEIF(Table1[CountryCode],Table1[[#This Row],[CountryCode]],Table1[z-score])</f>
        <v>0.26765264295626828</v>
      </c>
      <c r="L7445" t="e">
        <f>VLOOKUP(Table1[[#This Row],[CountryCode]],[1]!Table1[#All],1,FALSE)</f>
        <v>#REF!</v>
      </c>
    </row>
    <row r="7446" spans="1:12" hidden="1" x14ac:dyDescent="0.3">
      <c r="A7446" t="s">
        <v>15</v>
      </c>
      <c r="B7446" t="s">
        <v>16</v>
      </c>
      <c r="C7446" t="s">
        <v>129</v>
      </c>
      <c r="D7446" t="s">
        <v>130</v>
      </c>
      <c r="E7446">
        <v>2013</v>
      </c>
      <c r="F7446" s="1">
        <v>81</v>
      </c>
      <c r="G7446">
        <v>2010</v>
      </c>
      <c r="H7446">
        <f>AVERAGEIFS(Table1[value],Table1[IndicatorCode],Table1[[#This Row],[IndicatorCode]])</f>
        <v>72.66514008620689</v>
      </c>
      <c r="I7446" cm="1">
        <f t="array" ref="I7446">_xlfn.STDEV.P(IF(Table1[IndicatorCode]=Table1[[#This Row],[IndicatorCode]],Table1[value]))</f>
        <v>6.3409496564024987</v>
      </c>
      <c r="J7446">
        <f>(Table1[[#This Row],[value]] - Table1[[#This Row],[mean]]) / Table1[[#This Row],[std_dev]]</f>
        <v>1.3144497851954</v>
      </c>
      <c r="K7446">
        <f>AVERAGEIF(Table1[CountryCode],Table1[[#This Row],[CountryCode]],Table1[z-score])</f>
        <v>0.26765264295626828</v>
      </c>
      <c r="L7446" t="e">
        <f>VLOOKUP(Table1[[#This Row],[CountryCode]],[1]!Table1[#All],1,FALSE)</f>
        <v>#REF!</v>
      </c>
    </row>
    <row r="7447" spans="1:12" hidden="1" x14ac:dyDescent="0.3">
      <c r="A7447" t="s">
        <v>15</v>
      </c>
      <c r="B7447" t="s">
        <v>16</v>
      </c>
      <c r="C7447" t="s">
        <v>129</v>
      </c>
      <c r="D7447" t="s">
        <v>130</v>
      </c>
      <c r="E7447">
        <v>2014</v>
      </c>
      <c r="F7447" s="1">
        <v>81</v>
      </c>
      <c r="G7447">
        <v>2010</v>
      </c>
      <c r="H7447">
        <f>AVERAGEIFS(Table1[value],Table1[IndicatorCode],Table1[[#This Row],[IndicatorCode]])</f>
        <v>72.66514008620689</v>
      </c>
      <c r="I7447" cm="1">
        <f t="array" ref="I7447">_xlfn.STDEV.P(IF(Table1[IndicatorCode]=Table1[[#This Row],[IndicatorCode]],Table1[value]))</f>
        <v>6.3409496564024987</v>
      </c>
      <c r="J7447">
        <f>(Table1[[#This Row],[value]] - Table1[[#This Row],[mean]]) / Table1[[#This Row],[std_dev]]</f>
        <v>1.3144497851954</v>
      </c>
      <c r="K7447">
        <f>AVERAGEIF(Table1[CountryCode],Table1[[#This Row],[CountryCode]],Table1[z-score])</f>
        <v>0.26765264295626828</v>
      </c>
      <c r="L7447" t="e">
        <f>VLOOKUP(Table1[[#This Row],[CountryCode]],[1]!Table1[#All],1,FALSE)</f>
        <v>#REF!</v>
      </c>
    </row>
    <row r="7448" spans="1:12" hidden="1" x14ac:dyDescent="0.3">
      <c r="A7448" t="s">
        <v>15</v>
      </c>
      <c r="B7448" t="s">
        <v>16</v>
      </c>
      <c r="C7448" t="s">
        <v>129</v>
      </c>
      <c r="D7448" t="s">
        <v>130</v>
      </c>
      <c r="E7448">
        <v>2015</v>
      </c>
      <c r="F7448" s="1">
        <v>81</v>
      </c>
      <c r="G7448">
        <v>2010</v>
      </c>
      <c r="H7448">
        <f>AVERAGEIFS(Table1[value],Table1[IndicatorCode],Table1[[#This Row],[IndicatorCode]])</f>
        <v>72.66514008620689</v>
      </c>
      <c r="I7448" cm="1">
        <f t="array" ref="I7448">_xlfn.STDEV.P(IF(Table1[IndicatorCode]=Table1[[#This Row],[IndicatorCode]],Table1[value]))</f>
        <v>6.3409496564024987</v>
      </c>
      <c r="J7448">
        <f>(Table1[[#This Row],[value]] - Table1[[#This Row],[mean]]) / Table1[[#This Row],[std_dev]]</f>
        <v>1.3144497851954</v>
      </c>
      <c r="K7448">
        <f>AVERAGEIF(Table1[CountryCode],Table1[[#This Row],[CountryCode]],Table1[z-score])</f>
        <v>0.26765264295626828</v>
      </c>
      <c r="L7448" t="e">
        <f>VLOOKUP(Table1[[#This Row],[CountryCode]],[1]!Table1[#All],1,FALSE)</f>
        <v>#REF!</v>
      </c>
    </row>
    <row r="7449" spans="1:12" hidden="1" x14ac:dyDescent="0.3">
      <c r="A7449" t="s">
        <v>15</v>
      </c>
      <c r="B7449" t="s">
        <v>16</v>
      </c>
      <c r="C7449" t="s">
        <v>129</v>
      </c>
      <c r="D7449" t="s">
        <v>130</v>
      </c>
      <c r="E7449">
        <v>2016</v>
      </c>
      <c r="F7449" s="1">
        <v>82</v>
      </c>
      <c r="G7449">
        <v>2010</v>
      </c>
      <c r="H7449">
        <f>AVERAGEIFS(Table1[value],Table1[IndicatorCode],Table1[[#This Row],[IndicatorCode]])</f>
        <v>72.66514008620689</v>
      </c>
      <c r="I7449" cm="1">
        <f t="array" ref="I7449">_xlfn.STDEV.P(IF(Table1[IndicatorCode]=Table1[[#This Row],[IndicatorCode]],Table1[value]))</f>
        <v>6.3409496564024987</v>
      </c>
      <c r="J7449">
        <f>(Table1[[#This Row],[value]] - Table1[[#This Row],[mean]]) / Table1[[#This Row],[std_dev]]</f>
        <v>1.4721548694788391</v>
      </c>
      <c r="K7449">
        <f>AVERAGEIF(Table1[CountryCode],Table1[[#This Row],[CountryCode]],Table1[z-score])</f>
        <v>0.26765264295626828</v>
      </c>
      <c r="L7449" t="e">
        <f>VLOOKUP(Table1[[#This Row],[CountryCode]],[1]!Table1[#All],1,FALSE)</f>
        <v>#REF!</v>
      </c>
    </row>
    <row r="7450" spans="1:12" hidden="1" x14ac:dyDescent="0.3">
      <c r="A7450" t="s">
        <v>15</v>
      </c>
      <c r="B7450" t="s">
        <v>16</v>
      </c>
      <c r="C7450" t="s">
        <v>129</v>
      </c>
      <c r="D7450" t="s">
        <v>130</v>
      </c>
      <c r="E7450">
        <v>2017</v>
      </c>
      <c r="F7450" s="1">
        <v>82</v>
      </c>
      <c r="G7450">
        <v>2020</v>
      </c>
      <c r="H7450">
        <f>AVERAGEIFS(Table1[value],Table1[IndicatorCode],Table1[[#This Row],[IndicatorCode]])</f>
        <v>72.66514008620689</v>
      </c>
      <c r="I7450" cm="1">
        <f t="array" ref="I7450">_xlfn.STDEV.P(IF(Table1[IndicatorCode]=Table1[[#This Row],[IndicatorCode]],Table1[value]))</f>
        <v>6.3409496564024987</v>
      </c>
      <c r="J7450">
        <f>(Table1[[#This Row],[value]] - Table1[[#This Row],[mean]]) / Table1[[#This Row],[std_dev]]</f>
        <v>1.4721548694788391</v>
      </c>
      <c r="K7450">
        <f>AVERAGEIF(Table1[CountryCode],Table1[[#This Row],[CountryCode]],Table1[z-score])</f>
        <v>0.26765264295626828</v>
      </c>
      <c r="L7450" t="e">
        <f>VLOOKUP(Table1[[#This Row],[CountryCode]],[1]!Table1[#All],1,FALSE)</f>
        <v>#REF!</v>
      </c>
    </row>
    <row r="7451" spans="1:12" hidden="1" x14ac:dyDescent="0.3">
      <c r="A7451" t="s">
        <v>15</v>
      </c>
      <c r="B7451" t="s">
        <v>16</v>
      </c>
      <c r="C7451" t="s">
        <v>129</v>
      </c>
      <c r="D7451" t="s">
        <v>130</v>
      </c>
      <c r="E7451">
        <v>2018</v>
      </c>
      <c r="F7451" s="1">
        <v>82</v>
      </c>
      <c r="G7451">
        <v>2020</v>
      </c>
      <c r="H7451">
        <f>AVERAGEIFS(Table1[value],Table1[IndicatorCode],Table1[[#This Row],[IndicatorCode]])</f>
        <v>72.66514008620689</v>
      </c>
      <c r="I7451" cm="1">
        <f t="array" ref="I7451">_xlfn.STDEV.P(IF(Table1[IndicatorCode]=Table1[[#This Row],[IndicatorCode]],Table1[value]))</f>
        <v>6.3409496564024987</v>
      </c>
      <c r="J7451">
        <f>(Table1[[#This Row],[value]] - Table1[[#This Row],[mean]]) / Table1[[#This Row],[std_dev]]</f>
        <v>1.4721548694788391</v>
      </c>
      <c r="K7451">
        <f>AVERAGEIF(Table1[CountryCode],Table1[[#This Row],[CountryCode]],Table1[z-score])</f>
        <v>0.26765264295626828</v>
      </c>
      <c r="L7451" t="e">
        <f>VLOOKUP(Table1[[#This Row],[CountryCode]],[1]!Table1[#All],1,FALSE)</f>
        <v>#REF!</v>
      </c>
    </row>
    <row r="7452" spans="1:12" hidden="1" x14ac:dyDescent="0.3">
      <c r="A7452" t="s">
        <v>15</v>
      </c>
      <c r="B7452" t="s">
        <v>16</v>
      </c>
      <c r="C7452" t="s">
        <v>129</v>
      </c>
      <c r="D7452" t="s">
        <v>130</v>
      </c>
      <c r="E7452">
        <v>2019</v>
      </c>
      <c r="F7452" s="1">
        <v>82</v>
      </c>
      <c r="G7452">
        <v>2020</v>
      </c>
      <c r="H7452">
        <f>AVERAGEIFS(Table1[value],Table1[IndicatorCode],Table1[[#This Row],[IndicatorCode]])</f>
        <v>72.66514008620689</v>
      </c>
      <c r="I7452" cm="1">
        <f t="array" ref="I7452">_xlfn.STDEV.P(IF(Table1[IndicatorCode]=Table1[[#This Row],[IndicatorCode]],Table1[value]))</f>
        <v>6.3409496564024987</v>
      </c>
      <c r="J7452">
        <f>(Table1[[#This Row],[value]] - Table1[[#This Row],[mean]]) / Table1[[#This Row],[std_dev]]</f>
        <v>1.4721548694788391</v>
      </c>
      <c r="K7452">
        <f>AVERAGEIF(Table1[CountryCode],Table1[[#This Row],[CountryCode]],Table1[z-score])</f>
        <v>0.26765264295626828</v>
      </c>
      <c r="L7452" t="e">
        <f>VLOOKUP(Table1[[#This Row],[CountryCode]],[1]!Table1[#All],1,FALSE)</f>
        <v>#REF!</v>
      </c>
    </row>
    <row r="7453" spans="1:12" x14ac:dyDescent="0.3">
      <c r="A7453" t="s">
        <v>15</v>
      </c>
      <c r="B7453" t="s">
        <v>16</v>
      </c>
      <c r="C7453" t="s">
        <v>129</v>
      </c>
      <c r="D7453" t="s">
        <v>130</v>
      </c>
      <c r="E7453">
        <v>2020</v>
      </c>
      <c r="F7453" s="1">
        <v>81</v>
      </c>
      <c r="G7453">
        <v>2020</v>
      </c>
      <c r="H7453">
        <f>AVERAGEIFS(Table1[value],Table1[IndicatorCode],Table1[[#This Row],[IndicatorCode]])</f>
        <v>72.66514008620689</v>
      </c>
      <c r="I7453" cm="1">
        <f t="array" ref="I7453">_xlfn.STDEV.P(IF(Table1[IndicatorCode]=Table1[[#This Row],[IndicatorCode]],Table1[value]))</f>
        <v>6.3409496564024987</v>
      </c>
      <c r="J7453">
        <f>(Table1[[#This Row],[value]] - Table1[[#This Row],[mean]]) / Table1[[#This Row],[std_dev]]</f>
        <v>1.3144497851954</v>
      </c>
      <c r="K7453">
        <f>AVERAGEIF(Table1[CountryCode],Table1[[#This Row],[CountryCode]],Table1[z-score])</f>
        <v>0.26765264295626828</v>
      </c>
    </row>
    <row r="7454" spans="1:12" hidden="1" x14ac:dyDescent="0.3">
      <c r="A7454" t="s">
        <v>15</v>
      </c>
      <c r="B7454" t="s">
        <v>16</v>
      </c>
      <c r="C7454" t="s">
        <v>129</v>
      </c>
      <c r="D7454" t="s">
        <v>130</v>
      </c>
      <c r="E7454">
        <v>2021</v>
      </c>
      <c r="F7454" s="1">
        <v>81</v>
      </c>
      <c r="G7454">
        <v>1960</v>
      </c>
      <c r="H7454">
        <f>AVERAGEIFS(Table1[value],Table1[IndicatorCode],Table1[[#This Row],[IndicatorCode]])</f>
        <v>72.66514008620689</v>
      </c>
      <c r="I7454" cm="1">
        <f t="array" ref="I7454">_xlfn.STDEV.P(IF(Table1[IndicatorCode]=Table1[[#This Row],[IndicatorCode]],Table1[value]))</f>
        <v>6.3409496564024987</v>
      </c>
      <c r="J7454">
        <f>(Table1[[#This Row],[value]] - Table1[[#This Row],[mean]]) / Table1[[#This Row],[std_dev]]</f>
        <v>1.3144497851954</v>
      </c>
      <c r="K7454">
        <f>AVERAGEIF(Table1[CountryCode],Table1[[#This Row],[CountryCode]],Table1[z-score])</f>
        <v>0.26765264295626828</v>
      </c>
      <c r="L7454" t="e">
        <f>VLOOKUP(Table1[[#This Row],[CountryCode]],[1]!Table1[#All],1,FALSE)</f>
        <v>#REF!</v>
      </c>
    </row>
    <row r="7455" spans="1:12" hidden="1" x14ac:dyDescent="0.3">
      <c r="A7455" t="s">
        <v>15</v>
      </c>
      <c r="B7455" t="s">
        <v>16</v>
      </c>
      <c r="C7455" t="s">
        <v>129</v>
      </c>
      <c r="D7455" t="s">
        <v>130</v>
      </c>
      <c r="E7455">
        <v>2022</v>
      </c>
      <c r="F7455" s="1">
        <v>81</v>
      </c>
      <c r="G7455">
        <v>1960</v>
      </c>
      <c r="H7455">
        <f>AVERAGEIFS(Table1[value],Table1[IndicatorCode],Table1[[#This Row],[IndicatorCode]])</f>
        <v>72.66514008620689</v>
      </c>
      <c r="I7455" cm="1">
        <f t="array" ref="I7455">_xlfn.STDEV.P(IF(Table1[IndicatorCode]=Table1[[#This Row],[IndicatorCode]],Table1[value]))</f>
        <v>6.3409496564024987</v>
      </c>
      <c r="J7455">
        <f>(Table1[[#This Row],[value]] - Table1[[#This Row],[mean]]) / Table1[[#This Row],[std_dev]]</f>
        <v>1.3144497851954</v>
      </c>
      <c r="K7455">
        <f>AVERAGEIF(Table1[CountryCode],Table1[[#This Row],[CountryCode]],Table1[z-score])</f>
        <v>0.26765264295626828</v>
      </c>
      <c r="L7455" t="e">
        <f>VLOOKUP(Table1[[#This Row],[CountryCode]],[1]!Table1[#All],1,FALSE)</f>
        <v>#REF!</v>
      </c>
    </row>
    <row r="7456" spans="1:12" hidden="1" x14ac:dyDescent="0.3">
      <c r="A7456" t="s">
        <v>15</v>
      </c>
      <c r="B7456" t="s">
        <v>16</v>
      </c>
      <c r="C7456" t="s">
        <v>129</v>
      </c>
      <c r="D7456" t="s">
        <v>130</v>
      </c>
      <c r="E7456">
        <v>2023</v>
      </c>
      <c r="F7456" s="1">
        <v>82</v>
      </c>
      <c r="G7456">
        <v>1960</v>
      </c>
      <c r="H7456">
        <f>AVERAGEIFS(Table1[value],Table1[IndicatorCode],Table1[[#This Row],[IndicatorCode]])</f>
        <v>72.66514008620689</v>
      </c>
      <c r="I7456" cm="1">
        <f t="array" ref="I7456">_xlfn.STDEV.P(IF(Table1[IndicatorCode]=Table1[[#This Row],[IndicatorCode]],Table1[value]))</f>
        <v>6.3409496564024987</v>
      </c>
      <c r="J7456">
        <f>(Table1[[#This Row],[value]] - Table1[[#This Row],[mean]]) / Table1[[#This Row],[std_dev]]</f>
        <v>1.4721548694788391</v>
      </c>
      <c r="K7456">
        <f>AVERAGEIF(Table1[CountryCode],Table1[[#This Row],[CountryCode]],Table1[z-score])</f>
        <v>0.26765264295626828</v>
      </c>
      <c r="L7456" t="e">
        <f>VLOOKUP(Table1[[#This Row],[CountryCode]],[1]!Table1[#All],1,FALSE)</f>
        <v>#REF!</v>
      </c>
    </row>
    <row r="7457" spans="1:12" hidden="1" x14ac:dyDescent="0.3">
      <c r="A7457" t="s">
        <v>17</v>
      </c>
      <c r="B7457" t="s">
        <v>18</v>
      </c>
      <c r="C7457" t="s">
        <v>129</v>
      </c>
      <c r="D7457" t="s">
        <v>130</v>
      </c>
      <c r="E7457">
        <v>1960</v>
      </c>
      <c r="F7457" s="1">
        <v>51</v>
      </c>
      <c r="G7457">
        <v>1960</v>
      </c>
      <c r="H7457">
        <f>AVERAGEIFS(Table1[value],Table1[IndicatorCode],Table1[[#This Row],[IndicatorCode]])</f>
        <v>72.66514008620689</v>
      </c>
      <c r="I7457" cm="1">
        <f t="array" ref="I7457">_xlfn.STDEV.P(IF(Table1[IndicatorCode]=Table1[[#This Row],[IndicatorCode]],Table1[value]))</f>
        <v>6.3409496564024987</v>
      </c>
      <c r="J7457">
        <f>(Table1[[#This Row],[value]] - Table1[[#This Row],[mean]]) / Table1[[#This Row],[std_dev]]</f>
        <v>-3.4167027433077717</v>
      </c>
      <c r="K7457">
        <f>AVERAGEIF(Table1[CountryCode],Table1[[#This Row],[CountryCode]],Table1[z-score])</f>
        <v>-0.86099801634454787</v>
      </c>
      <c r="L7457" t="e">
        <f>VLOOKUP(Table1[[#This Row],[CountryCode]],[1]!Table1[#All],1,FALSE)</f>
        <v>#REF!</v>
      </c>
    </row>
    <row r="7458" spans="1:12" hidden="1" x14ac:dyDescent="0.3">
      <c r="A7458" t="s">
        <v>17</v>
      </c>
      <c r="B7458" t="s">
        <v>18</v>
      </c>
      <c r="C7458" t="s">
        <v>129</v>
      </c>
      <c r="D7458" t="s">
        <v>130</v>
      </c>
      <c r="E7458">
        <v>1961</v>
      </c>
      <c r="F7458" s="1">
        <v>51</v>
      </c>
      <c r="G7458">
        <v>1960</v>
      </c>
      <c r="H7458">
        <f>AVERAGEIFS(Table1[value],Table1[IndicatorCode],Table1[[#This Row],[IndicatorCode]])</f>
        <v>72.66514008620689</v>
      </c>
      <c r="I7458" cm="1">
        <f t="array" ref="I7458">_xlfn.STDEV.P(IF(Table1[IndicatorCode]=Table1[[#This Row],[IndicatorCode]],Table1[value]))</f>
        <v>6.3409496564024987</v>
      </c>
      <c r="J7458">
        <f>(Table1[[#This Row],[value]] - Table1[[#This Row],[mean]]) / Table1[[#This Row],[std_dev]]</f>
        <v>-3.4167027433077717</v>
      </c>
      <c r="K7458">
        <f>AVERAGEIF(Table1[CountryCode],Table1[[#This Row],[CountryCode]],Table1[z-score])</f>
        <v>-0.86099801634454787</v>
      </c>
      <c r="L7458" t="e">
        <f>VLOOKUP(Table1[[#This Row],[CountryCode]],[1]!Table1[#All],1,FALSE)</f>
        <v>#REF!</v>
      </c>
    </row>
    <row r="7459" spans="1:12" hidden="1" x14ac:dyDescent="0.3">
      <c r="A7459" t="s">
        <v>17</v>
      </c>
      <c r="B7459" t="s">
        <v>18</v>
      </c>
      <c r="C7459" t="s">
        <v>129</v>
      </c>
      <c r="D7459" t="s">
        <v>130</v>
      </c>
      <c r="E7459">
        <v>1962</v>
      </c>
      <c r="F7459" s="1">
        <v>52</v>
      </c>
      <c r="G7459">
        <v>1960</v>
      </c>
      <c r="H7459">
        <f>AVERAGEIFS(Table1[value],Table1[IndicatorCode],Table1[[#This Row],[IndicatorCode]])</f>
        <v>72.66514008620689</v>
      </c>
      <c r="I7459" cm="1">
        <f t="array" ref="I7459">_xlfn.STDEV.P(IF(Table1[IndicatorCode]=Table1[[#This Row],[IndicatorCode]],Table1[value]))</f>
        <v>6.3409496564024987</v>
      </c>
      <c r="J7459">
        <f>(Table1[[#This Row],[value]] - Table1[[#This Row],[mean]]) / Table1[[#This Row],[std_dev]]</f>
        <v>-3.2589976590243328</v>
      </c>
      <c r="K7459">
        <f>AVERAGEIF(Table1[CountryCode],Table1[[#This Row],[CountryCode]],Table1[z-score])</f>
        <v>-0.86099801634454787</v>
      </c>
      <c r="L7459" t="e">
        <f>VLOOKUP(Table1[[#This Row],[CountryCode]],[1]!Table1[#All],1,FALSE)</f>
        <v>#REF!</v>
      </c>
    </row>
    <row r="7460" spans="1:12" hidden="1" x14ac:dyDescent="0.3">
      <c r="A7460" t="s">
        <v>17</v>
      </c>
      <c r="B7460" t="s">
        <v>18</v>
      </c>
      <c r="C7460" t="s">
        <v>129</v>
      </c>
      <c r="D7460" t="s">
        <v>130</v>
      </c>
      <c r="E7460">
        <v>1963</v>
      </c>
      <c r="F7460" s="1">
        <v>53</v>
      </c>
      <c r="G7460">
        <v>1960</v>
      </c>
      <c r="H7460">
        <f>AVERAGEIFS(Table1[value],Table1[IndicatorCode],Table1[[#This Row],[IndicatorCode]])</f>
        <v>72.66514008620689</v>
      </c>
      <c r="I7460" cm="1">
        <f t="array" ref="I7460">_xlfn.STDEV.P(IF(Table1[IndicatorCode]=Table1[[#This Row],[IndicatorCode]],Table1[value]))</f>
        <v>6.3409496564024987</v>
      </c>
      <c r="J7460">
        <f>(Table1[[#This Row],[value]] - Table1[[#This Row],[mean]]) / Table1[[#This Row],[std_dev]]</f>
        <v>-3.1012925747408935</v>
      </c>
      <c r="K7460">
        <f>AVERAGEIF(Table1[CountryCode],Table1[[#This Row],[CountryCode]],Table1[z-score])</f>
        <v>-0.86099801634454787</v>
      </c>
      <c r="L7460" t="e">
        <f>VLOOKUP(Table1[[#This Row],[CountryCode]],[1]!Table1[#All],1,FALSE)</f>
        <v>#REF!</v>
      </c>
    </row>
    <row r="7461" spans="1:12" hidden="1" x14ac:dyDescent="0.3">
      <c r="A7461" t="s">
        <v>17</v>
      </c>
      <c r="B7461" t="s">
        <v>18</v>
      </c>
      <c r="C7461" t="s">
        <v>129</v>
      </c>
      <c r="D7461" t="s">
        <v>130</v>
      </c>
      <c r="E7461">
        <v>1964</v>
      </c>
      <c r="F7461" s="1">
        <v>53</v>
      </c>
      <c r="G7461">
        <v>1960</v>
      </c>
      <c r="H7461">
        <f>AVERAGEIFS(Table1[value],Table1[IndicatorCode],Table1[[#This Row],[IndicatorCode]])</f>
        <v>72.66514008620689</v>
      </c>
      <c r="I7461" cm="1">
        <f t="array" ref="I7461">_xlfn.STDEV.P(IF(Table1[IndicatorCode]=Table1[[#This Row],[IndicatorCode]],Table1[value]))</f>
        <v>6.3409496564024987</v>
      </c>
      <c r="J7461">
        <f>(Table1[[#This Row],[value]] - Table1[[#This Row],[mean]]) / Table1[[#This Row],[std_dev]]</f>
        <v>-3.1012925747408935</v>
      </c>
      <c r="K7461">
        <f>AVERAGEIF(Table1[CountryCode],Table1[[#This Row],[CountryCode]],Table1[z-score])</f>
        <v>-0.86099801634454787</v>
      </c>
      <c r="L7461" t="e">
        <f>VLOOKUP(Table1[[#This Row],[CountryCode]],[1]!Table1[#All],1,FALSE)</f>
        <v>#REF!</v>
      </c>
    </row>
    <row r="7462" spans="1:12" hidden="1" x14ac:dyDescent="0.3">
      <c r="A7462" t="s">
        <v>17</v>
      </c>
      <c r="B7462" t="s">
        <v>18</v>
      </c>
      <c r="C7462" t="s">
        <v>129</v>
      </c>
      <c r="D7462" t="s">
        <v>130</v>
      </c>
      <c r="E7462">
        <v>1965</v>
      </c>
      <c r="F7462" s="1">
        <v>54</v>
      </c>
      <c r="G7462">
        <v>1960</v>
      </c>
      <c r="H7462">
        <f>AVERAGEIFS(Table1[value],Table1[IndicatorCode],Table1[[#This Row],[IndicatorCode]])</f>
        <v>72.66514008620689</v>
      </c>
      <c r="I7462" cm="1">
        <f t="array" ref="I7462">_xlfn.STDEV.P(IF(Table1[IndicatorCode]=Table1[[#This Row],[IndicatorCode]],Table1[value]))</f>
        <v>6.3409496564024987</v>
      </c>
      <c r="J7462">
        <f>(Table1[[#This Row],[value]] - Table1[[#This Row],[mean]]) / Table1[[#This Row],[std_dev]]</f>
        <v>-2.9435874904574546</v>
      </c>
      <c r="K7462">
        <f>AVERAGEIF(Table1[CountryCode],Table1[[#This Row],[CountryCode]],Table1[z-score])</f>
        <v>-0.86099801634454787</v>
      </c>
      <c r="L7462" t="e">
        <f>VLOOKUP(Table1[[#This Row],[CountryCode]],[1]!Table1[#All],1,FALSE)</f>
        <v>#REF!</v>
      </c>
    </row>
    <row r="7463" spans="1:12" hidden="1" x14ac:dyDescent="0.3">
      <c r="A7463" t="s">
        <v>17</v>
      </c>
      <c r="B7463" t="s">
        <v>18</v>
      </c>
      <c r="C7463" t="s">
        <v>129</v>
      </c>
      <c r="D7463" t="s">
        <v>130</v>
      </c>
      <c r="E7463">
        <v>1966</v>
      </c>
      <c r="F7463" s="1">
        <v>54</v>
      </c>
      <c r="G7463">
        <v>1960</v>
      </c>
      <c r="H7463">
        <f>AVERAGEIFS(Table1[value],Table1[IndicatorCode],Table1[[#This Row],[IndicatorCode]])</f>
        <v>72.66514008620689</v>
      </c>
      <c r="I7463" cm="1">
        <f t="array" ref="I7463">_xlfn.STDEV.P(IF(Table1[IndicatorCode]=Table1[[#This Row],[IndicatorCode]],Table1[value]))</f>
        <v>6.3409496564024987</v>
      </c>
      <c r="J7463">
        <f>(Table1[[#This Row],[value]] - Table1[[#This Row],[mean]]) / Table1[[#This Row],[std_dev]]</f>
        <v>-2.9435874904574546</v>
      </c>
      <c r="K7463">
        <f>AVERAGEIF(Table1[CountryCode],Table1[[#This Row],[CountryCode]],Table1[z-score])</f>
        <v>-0.86099801634454787</v>
      </c>
      <c r="L7463" t="e">
        <f>VLOOKUP(Table1[[#This Row],[CountryCode]],[1]!Table1[#All],1,FALSE)</f>
        <v>#REF!</v>
      </c>
    </row>
    <row r="7464" spans="1:12" hidden="1" x14ac:dyDescent="0.3">
      <c r="A7464" t="s">
        <v>17</v>
      </c>
      <c r="B7464" t="s">
        <v>18</v>
      </c>
      <c r="C7464" t="s">
        <v>129</v>
      </c>
      <c r="D7464" t="s">
        <v>130</v>
      </c>
      <c r="E7464">
        <v>1967</v>
      </c>
      <c r="F7464" s="1">
        <v>55</v>
      </c>
      <c r="G7464">
        <v>1970</v>
      </c>
      <c r="H7464">
        <f>AVERAGEIFS(Table1[value],Table1[IndicatorCode],Table1[[#This Row],[IndicatorCode]])</f>
        <v>72.66514008620689</v>
      </c>
      <c r="I7464" cm="1">
        <f t="array" ref="I7464">_xlfn.STDEV.P(IF(Table1[IndicatorCode]=Table1[[#This Row],[IndicatorCode]],Table1[value]))</f>
        <v>6.3409496564024987</v>
      </c>
      <c r="J7464">
        <f>(Table1[[#This Row],[value]] - Table1[[#This Row],[mean]]) / Table1[[#This Row],[std_dev]]</f>
        <v>-2.7858824061740153</v>
      </c>
      <c r="K7464">
        <f>AVERAGEIF(Table1[CountryCode],Table1[[#This Row],[CountryCode]],Table1[z-score])</f>
        <v>-0.86099801634454787</v>
      </c>
      <c r="L7464" t="e">
        <f>VLOOKUP(Table1[[#This Row],[CountryCode]],[1]!Table1[#All],1,FALSE)</f>
        <v>#REF!</v>
      </c>
    </row>
    <row r="7465" spans="1:12" hidden="1" x14ac:dyDescent="0.3">
      <c r="A7465" t="s">
        <v>17</v>
      </c>
      <c r="B7465" t="s">
        <v>18</v>
      </c>
      <c r="C7465" t="s">
        <v>129</v>
      </c>
      <c r="D7465" t="s">
        <v>130</v>
      </c>
      <c r="E7465">
        <v>1968</v>
      </c>
      <c r="F7465" s="1">
        <v>56</v>
      </c>
      <c r="G7465">
        <v>1970</v>
      </c>
      <c r="H7465">
        <f>AVERAGEIFS(Table1[value],Table1[IndicatorCode],Table1[[#This Row],[IndicatorCode]])</f>
        <v>72.66514008620689</v>
      </c>
      <c r="I7465" cm="1">
        <f t="array" ref="I7465">_xlfn.STDEV.P(IF(Table1[IndicatorCode]=Table1[[#This Row],[IndicatorCode]],Table1[value]))</f>
        <v>6.3409496564024987</v>
      </c>
      <c r="J7465">
        <f>(Table1[[#This Row],[value]] - Table1[[#This Row],[mean]]) / Table1[[#This Row],[std_dev]]</f>
        <v>-2.6281773218905764</v>
      </c>
      <c r="K7465">
        <f>AVERAGEIF(Table1[CountryCode],Table1[[#This Row],[CountryCode]],Table1[z-score])</f>
        <v>-0.86099801634454787</v>
      </c>
      <c r="L7465" t="e">
        <f>VLOOKUP(Table1[[#This Row],[CountryCode]],[1]!Table1[#All],1,FALSE)</f>
        <v>#REF!</v>
      </c>
    </row>
    <row r="7466" spans="1:12" hidden="1" x14ac:dyDescent="0.3">
      <c r="A7466" t="s">
        <v>17</v>
      </c>
      <c r="B7466" t="s">
        <v>18</v>
      </c>
      <c r="C7466" t="s">
        <v>129</v>
      </c>
      <c r="D7466" t="s">
        <v>130</v>
      </c>
      <c r="E7466">
        <v>1969</v>
      </c>
      <c r="F7466" s="1">
        <v>56</v>
      </c>
      <c r="G7466">
        <v>1970</v>
      </c>
      <c r="H7466">
        <f>AVERAGEIFS(Table1[value],Table1[IndicatorCode],Table1[[#This Row],[IndicatorCode]])</f>
        <v>72.66514008620689</v>
      </c>
      <c r="I7466" cm="1">
        <f t="array" ref="I7466">_xlfn.STDEV.P(IF(Table1[IndicatorCode]=Table1[[#This Row],[IndicatorCode]],Table1[value]))</f>
        <v>6.3409496564024987</v>
      </c>
      <c r="J7466">
        <f>(Table1[[#This Row],[value]] - Table1[[#This Row],[mean]]) / Table1[[#This Row],[std_dev]]</f>
        <v>-2.6281773218905764</v>
      </c>
      <c r="K7466">
        <f>AVERAGEIF(Table1[CountryCode],Table1[[#This Row],[CountryCode]],Table1[z-score])</f>
        <v>-0.86099801634454787</v>
      </c>
      <c r="L7466" t="e">
        <f>VLOOKUP(Table1[[#This Row],[CountryCode]],[1]!Table1[#All],1,FALSE)</f>
        <v>#REF!</v>
      </c>
    </row>
    <row r="7467" spans="1:12" hidden="1" x14ac:dyDescent="0.3">
      <c r="A7467" t="s">
        <v>17</v>
      </c>
      <c r="B7467" t="s">
        <v>18</v>
      </c>
      <c r="C7467" t="s">
        <v>129</v>
      </c>
      <c r="D7467" t="s">
        <v>130</v>
      </c>
      <c r="E7467">
        <v>1970</v>
      </c>
      <c r="F7467" s="1">
        <v>57</v>
      </c>
      <c r="G7467">
        <v>1970</v>
      </c>
      <c r="H7467">
        <f>AVERAGEIFS(Table1[value],Table1[IndicatorCode],Table1[[#This Row],[IndicatorCode]])</f>
        <v>72.66514008620689</v>
      </c>
      <c r="I7467" cm="1">
        <f t="array" ref="I7467">_xlfn.STDEV.P(IF(Table1[IndicatorCode]=Table1[[#This Row],[IndicatorCode]],Table1[value]))</f>
        <v>6.3409496564024987</v>
      </c>
      <c r="J7467">
        <f>(Table1[[#This Row],[value]] - Table1[[#This Row],[mean]]) / Table1[[#This Row],[std_dev]]</f>
        <v>-2.4704722376071375</v>
      </c>
      <c r="K7467">
        <f>AVERAGEIF(Table1[CountryCode],Table1[[#This Row],[CountryCode]],Table1[z-score])</f>
        <v>-0.86099801634454787</v>
      </c>
      <c r="L7467" t="e">
        <f>VLOOKUP(Table1[[#This Row],[CountryCode]],[1]!Table1[#All],1,FALSE)</f>
        <v>#REF!</v>
      </c>
    </row>
    <row r="7468" spans="1:12" hidden="1" x14ac:dyDescent="0.3">
      <c r="A7468" t="s">
        <v>17</v>
      </c>
      <c r="B7468" t="s">
        <v>18</v>
      </c>
      <c r="C7468" t="s">
        <v>129</v>
      </c>
      <c r="D7468" t="s">
        <v>130</v>
      </c>
      <c r="E7468">
        <v>1971</v>
      </c>
      <c r="F7468" s="1">
        <v>57</v>
      </c>
      <c r="G7468">
        <v>1970</v>
      </c>
      <c r="H7468">
        <f>AVERAGEIFS(Table1[value],Table1[IndicatorCode],Table1[[#This Row],[IndicatorCode]])</f>
        <v>72.66514008620689</v>
      </c>
      <c r="I7468" cm="1">
        <f t="array" ref="I7468">_xlfn.STDEV.P(IF(Table1[IndicatorCode]=Table1[[#This Row],[IndicatorCode]],Table1[value]))</f>
        <v>6.3409496564024987</v>
      </c>
      <c r="J7468">
        <f>(Table1[[#This Row],[value]] - Table1[[#This Row],[mean]]) / Table1[[#This Row],[std_dev]]</f>
        <v>-2.4704722376071375</v>
      </c>
      <c r="K7468">
        <f>AVERAGEIF(Table1[CountryCode],Table1[[#This Row],[CountryCode]],Table1[z-score])</f>
        <v>-0.86099801634454787</v>
      </c>
      <c r="L7468" t="e">
        <f>VLOOKUP(Table1[[#This Row],[CountryCode]],[1]!Table1[#All],1,FALSE)</f>
        <v>#REF!</v>
      </c>
    </row>
    <row r="7469" spans="1:12" hidden="1" x14ac:dyDescent="0.3">
      <c r="A7469" t="s">
        <v>17</v>
      </c>
      <c r="B7469" t="s">
        <v>18</v>
      </c>
      <c r="C7469" t="s">
        <v>129</v>
      </c>
      <c r="D7469" t="s">
        <v>130</v>
      </c>
      <c r="E7469">
        <v>1972</v>
      </c>
      <c r="F7469" s="1">
        <v>58</v>
      </c>
      <c r="G7469">
        <v>1970</v>
      </c>
      <c r="H7469">
        <f>AVERAGEIFS(Table1[value],Table1[IndicatorCode],Table1[[#This Row],[IndicatorCode]])</f>
        <v>72.66514008620689</v>
      </c>
      <c r="I7469" cm="1">
        <f t="array" ref="I7469">_xlfn.STDEV.P(IF(Table1[IndicatorCode]=Table1[[#This Row],[IndicatorCode]],Table1[value]))</f>
        <v>6.3409496564024987</v>
      </c>
      <c r="J7469">
        <f>(Table1[[#This Row],[value]] - Table1[[#This Row],[mean]]) / Table1[[#This Row],[std_dev]]</f>
        <v>-2.3127671533236982</v>
      </c>
      <c r="K7469">
        <f>AVERAGEIF(Table1[CountryCode],Table1[[#This Row],[CountryCode]],Table1[z-score])</f>
        <v>-0.86099801634454787</v>
      </c>
      <c r="L7469" t="e">
        <f>VLOOKUP(Table1[[#This Row],[CountryCode]],[1]!Table1[#All],1,FALSE)</f>
        <v>#REF!</v>
      </c>
    </row>
    <row r="7470" spans="1:12" hidden="1" x14ac:dyDescent="0.3">
      <c r="A7470" t="s">
        <v>17</v>
      </c>
      <c r="B7470" t="s">
        <v>18</v>
      </c>
      <c r="C7470" t="s">
        <v>129</v>
      </c>
      <c r="D7470" t="s">
        <v>130</v>
      </c>
      <c r="E7470">
        <v>1973</v>
      </c>
      <c r="F7470" s="1">
        <v>58</v>
      </c>
      <c r="G7470">
        <v>1970</v>
      </c>
      <c r="H7470">
        <f>AVERAGEIFS(Table1[value],Table1[IndicatorCode],Table1[[#This Row],[IndicatorCode]])</f>
        <v>72.66514008620689</v>
      </c>
      <c r="I7470" cm="1">
        <f t="array" ref="I7470">_xlfn.STDEV.P(IF(Table1[IndicatorCode]=Table1[[#This Row],[IndicatorCode]],Table1[value]))</f>
        <v>6.3409496564024987</v>
      </c>
      <c r="J7470">
        <f>(Table1[[#This Row],[value]] - Table1[[#This Row],[mean]]) / Table1[[#This Row],[std_dev]]</f>
        <v>-2.3127671533236982</v>
      </c>
      <c r="K7470">
        <f>AVERAGEIF(Table1[CountryCode],Table1[[#This Row],[CountryCode]],Table1[z-score])</f>
        <v>-0.86099801634454787</v>
      </c>
      <c r="L7470" t="e">
        <f>VLOOKUP(Table1[[#This Row],[CountryCode]],[1]!Table1[#All],1,FALSE)</f>
        <v>#REF!</v>
      </c>
    </row>
    <row r="7471" spans="1:12" hidden="1" x14ac:dyDescent="0.3">
      <c r="A7471" t="s">
        <v>17</v>
      </c>
      <c r="B7471" t="s">
        <v>18</v>
      </c>
      <c r="C7471" t="s">
        <v>129</v>
      </c>
      <c r="D7471" t="s">
        <v>130</v>
      </c>
      <c r="E7471">
        <v>1974</v>
      </c>
      <c r="F7471" s="1">
        <v>58</v>
      </c>
      <c r="G7471">
        <v>1970</v>
      </c>
      <c r="H7471">
        <f>AVERAGEIFS(Table1[value],Table1[IndicatorCode],Table1[[#This Row],[IndicatorCode]])</f>
        <v>72.66514008620689</v>
      </c>
      <c r="I7471" cm="1">
        <f t="array" ref="I7471">_xlfn.STDEV.P(IF(Table1[IndicatorCode]=Table1[[#This Row],[IndicatorCode]],Table1[value]))</f>
        <v>6.3409496564024987</v>
      </c>
      <c r="J7471">
        <f>(Table1[[#This Row],[value]] - Table1[[#This Row],[mean]]) / Table1[[#This Row],[std_dev]]</f>
        <v>-2.3127671533236982</v>
      </c>
      <c r="K7471">
        <f>AVERAGEIF(Table1[CountryCode],Table1[[#This Row],[CountryCode]],Table1[z-score])</f>
        <v>-0.86099801634454787</v>
      </c>
      <c r="L7471" t="e">
        <f>VLOOKUP(Table1[[#This Row],[CountryCode]],[1]!Table1[#All],1,FALSE)</f>
        <v>#REF!</v>
      </c>
    </row>
    <row r="7472" spans="1:12" hidden="1" x14ac:dyDescent="0.3">
      <c r="A7472" t="s">
        <v>17</v>
      </c>
      <c r="B7472" t="s">
        <v>18</v>
      </c>
      <c r="C7472" t="s">
        <v>129</v>
      </c>
      <c r="D7472" t="s">
        <v>130</v>
      </c>
      <c r="E7472">
        <v>1975</v>
      </c>
      <c r="F7472" s="1">
        <v>59</v>
      </c>
      <c r="G7472">
        <v>1970</v>
      </c>
      <c r="H7472">
        <f>AVERAGEIFS(Table1[value],Table1[IndicatorCode],Table1[[#This Row],[IndicatorCode]])</f>
        <v>72.66514008620689</v>
      </c>
      <c r="I7472" cm="1">
        <f t="array" ref="I7472">_xlfn.STDEV.P(IF(Table1[IndicatorCode]=Table1[[#This Row],[IndicatorCode]],Table1[value]))</f>
        <v>6.3409496564024987</v>
      </c>
      <c r="J7472">
        <f>(Table1[[#This Row],[value]] - Table1[[#This Row],[mean]]) / Table1[[#This Row],[std_dev]]</f>
        <v>-2.1550620690402593</v>
      </c>
      <c r="K7472">
        <f>AVERAGEIF(Table1[CountryCode],Table1[[#This Row],[CountryCode]],Table1[z-score])</f>
        <v>-0.86099801634454787</v>
      </c>
      <c r="L7472" t="e">
        <f>VLOOKUP(Table1[[#This Row],[CountryCode]],[1]!Table1[#All],1,FALSE)</f>
        <v>#REF!</v>
      </c>
    </row>
    <row r="7473" spans="1:12" hidden="1" x14ac:dyDescent="0.3">
      <c r="A7473" t="s">
        <v>17</v>
      </c>
      <c r="B7473" t="s">
        <v>18</v>
      </c>
      <c r="C7473" t="s">
        <v>129</v>
      </c>
      <c r="D7473" t="s">
        <v>130</v>
      </c>
      <c r="E7473">
        <v>1976</v>
      </c>
      <c r="F7473" s="1">
        <v>59</v>
      </c>
      <c r="G7473">
        <v>1970</v>
      </c>
      <c r="H7473">
        <f>AVERAGEIFS(Table1[value],Table1[IndicatorCode],Table1[[#This Row],[IndicatorCode]])</f>
        <v>72.66514008620689</v>
      </c>
      <c r="I7473" cm="1">
        <f t="array" ref="I7473">_xlfn.STDEV.P(IF(Table1[IndicatorCode]=Table1[[#This Row],[IndicatorCode]],Table1[value]))</f>
        <v>6.3409496564024987</v>
      </c>
      <c r="J7473">
        <f>(Table1[[#This Row],[value]] - Table1[[#This Row],[mean]]) / Table1[[#This Row],[std_dev]]</f>
        <v>-2.1550620690402593</v>
      </c>
      <c r="K7473">
        <f>AVERAGEIF(Table1[CountryCode],Table1[[#This Row],[CountryCode]],Table1[z-score])</f>
        <v>-0.86099801634454787</v>
      </c>
      <c r="L7473" t="e">
        <f>VLOOKUP(Table1[[#This Row],[CountryCode]],[1]!Table1[#All],1,FALSE)</f>
        <v>#REF!</v>
      </c>
    </row>
    <row r="7474" spans="1:12" hidden="1" x14ac:dyDescent="0.3">
      <c r="A7474" t="s">
        <v>17</v>
      </c>
      <c r="B7474" t="s">
        <v>18</v>
      </c>
      <c r="C7474" t="s">
        <v>129</v>
      </c>
      <c r="D7474" t="s">
        <v>130</v>
      </c>
      <c r="E7474">
        <v>1977</v>
      </c>
      <c r="F7474" s="1">
        <v>60</v>
      </c>
      <c r="G7474">
        <v>1980</v>
      </c>
      <c r="H7474">
        <f>AVERAGEIFS(Table1[value],Table1[IndicatorCode],Table1[[#This Row],[IndicatorCode]])</f>
        <v>72.66514008620689</v>
      </c>
      <c r="I7474" cm="1">
        <f t="array" ref="I7474">_xlfn.STDEV.P(IF(Table1[IndicatorCode]=Table1[[#This Row],[IndicatorCode]],Table1[value]))</f>
        <v>6.3409496564024987</v>
      </c>
      <c r="J7474">
        <f>(Table1[[#This Row],[value]] - Table1[[#This Row],[mean]]) / Table1[[#This Row],[std_dev]]</f>
        <v>-1.9973569847568202</v>
      </c>
      <c r="K7474">
        <f>AVERAGEIF(Table1[CountryCode],Table1[[#This Row],[CountryCode]],Table1[z-score])</f>
        <v>-0.86099801634454787</v>
      </c>
      <c r="L7474" t="e">
        <f>VLOOKUP(Table1[[#This Row],[CountryCode]],[1]!Table1[#All],1,FALSE)</f>
        <v>#REF!</v>
      </c>
    </row>
    <row r="7475" spans="1:12" hidden="1" x14ac:dyDescent="0.3">
      <c r="A7475" t="s">
        <v>17</v>
      </c>
      <c r="B7475" t="s">
        <v>18</v>
      </c>
      <c r="C7475" t="s">
        <v>129</v>
      </c>
      <c r="D7475" t="s">
        <v>130</v>
      </c>
      <c r="E7475">
        <v>1978</v>
      </c>
      <c r="F7475" s="1">
        <v>60</v>
      </c>
      <c r="G7475">
        <v>1980</v>
      </c>
      <c r="H7475">
        <f>AVERAGEIFS(Table1[value],Table1[IndicatorCode],Table1[[#This Row],[IndicatorCode]])</f>
        <v>72.66514008620689</v>
      </c>
      <c r="I7475" cm="1">
        <f t="array" ref="I7475">_xlfn.STDEV.P(IF(Table1[IndicatorCode]=Table1[[#This Row],[IndicatorCode]],Table1[value]))</f>
        <v>6.3409496564024987</v>
      </c>
      <c r="J7475">
        <f>(Table1[[#This Row],[value]] - Table1[[#This Row],[mean]]) / Table1[[#This Row],[std_dev]]</f>
        <v>-1.9973569847568202</v>
      </c>
      <c r="K7475">
        <f>AVERAGEIF(Table1[CountryCode],Table1[[#This Row],[CountryCode]],Table1[z-score])</f>
        <v>-0.86099801634454787</v>
      </c>
      <c r="L7475" t="e">
        <f>VLOOKUP(Table1[[#This Row],[CountryCode]],[1]!Table1[#All],1,FALSE)</f>
        <v>#REF!</v>
      </c>
    </row>
    <row r="7476" spans="1:12" hidden="1" x14ac:dyDescent="0.3">
      <c r="A7476" t="s">
        <v>17</v>
      </c>
      <c r="B7476" t="s">
        <v>18</v>
      </c>
      <c r="C7476" t="s">
        <v>129</v>
      </c>
      <c r="D7476" t="s">
        <v>130</v>
      </c>
      <c r="E7476">
        <v>1979</v>
      </c>
      <c r="F7476" s="1">
        <v>61</v>
      </c>
      <c r="G7476">
        <v>1980</v>
      </c>
      <c r="H7476">
        <f>AVERAGEIFS(Table1[value],Table1[IndicatorCode],Table1[[#This Row],[IndicatorCode]])</f>
        <v>72.66514008620689</v>
      </c>
      <c r="I7476" cm="1">
        <f t="array" ref="I7476">_xlfn.STDEV.P(IF(Table1[IndicatorCode]=Table1[[#This Row],[IndicatorCode]],Table1[value]))</f>
        <v>6.3409496564024987</v>
      </c>
      <c r="J7476">
        <f>(Table1[[#This Row],[value]] - Table1[[#This Row],[mean]]) / Table1[[#This Row],[std_dev]]</f>
        <v>-1.8396519004733811</v>
      </c>
      <c r="K7476">
        <f>AVERAGEIF(Table1[CountryCode],Table1[[#This Row],[CountryCode]],Table1[z-score])</f>
        <v>-0.86099801634454787</v>
      </c>
      <c r="L7476" t="e">
        <f>VLOOKUP(Table1[[#This Row],[CountryCode]],[1]!Table1[#All],1,FALSE)</f>
        <v>#REF!</v>
      </c>
    </row>
    <row r="7477" spans="1:12" hidden="1" x14ac:dyDescent="0.3">
      <c r="A7477" t="s">
        <v>17</v>
      </c>
      <c r="B7477" t="s">
        <v>18</v>
      </c>
      <c r="C7477" t="s">
        <v>129</v>
      </c>
      <c r="D7477" t="s">
        <v>130</v>
      </c>
      <c r="E7477">
        <v>1980</v>
      </c>
      <c r="F7477" s="1">
        <v>61</v>
      </c>
      <c r="G7477">
        <v>1980</v>
      </c>
      <c r="H7477">
        <f>AVERAGEIFS(Table1[value],Table1[IndicatorCode],Table1[[#This Row],[IndicatorCode]])</f>
        <v>72.66514008620689</v>
      </c>
      <c r="I7477" cm="1">
        <f t="array" ref="I7477">_xlfn.STDEV.P(IF(Table1[IndicatorCode]=Table1[[#This Row],[IndicatorCode]],Table1[value]))</f>
        <v>6.3409496564024987</v>
      </c>
      <c r="J7477">
        <f>(Table1[[#This Row],[value]] - Table1[[#This Row],[mean]]) / Table1[[#This Row],[std_dev]]</f>
        <v>-1.8396519004733811</v>
      </c>
      <c r="K7477">
        <f>AVERAGEIF(Table1[CountryCode],Table1[[#This Row],[CountryCode]],Table1[z-score])</f>
        <v>-0.86099801634454787</v>
      </c>
      <c r="L7477" t="e">
        <f>VLOOKUP(Table1[[#This Row],[CountryCode]],[1]!Table1[#All],1,FALSE)</f>
        <v>#REF!</v>
      </c>
    </row>
    <row r="7478" spans="1:12" hidden="1" x14ac:dyDescent="0.3">
      <c r="A7478" t="s">
        <v>17</v>
      </c>
      <c r="B7478" t="s">
        <v>18</v>
      </c>
      <c r="C7478" t="s">
        <v>129</v>
      </c>
      <c r="D7478" t="s">
        <v>130</v>
      </c>
      <c r="E7478">
        <v>1981</v>
      </c>
      <c r="F7478" s="1">
        <v>62</v>
      </c>
      <c r="G7478">
        <v>1980</v>
      </c>
      <c r="H7478">
        <f>AVERAGEIFS(Table1[value],Table1[IndicatorCode],Table1[[#This Row],[IndicatorCode]])</f>
        <v>72.66514008620689</v>
      </c>
      <c r="I7478" cm="1">
        <f t="array" ref="I7478">_xlfn.STDEV.P(IF(Table1[IndicatorCode]=Table1[[#This Row],[IndicatorCode]],Table1[value]))</f>
        <v>6.3409496564024987</v>
      </c>
      <c r="J7478">
        <f>(Table1[[#This Row],[value]] - Table1[[#This Row],[mean]]) / Table1[[#This Row],[std_dev]]</f>
        <v>-1.681946816189942</v>
      </c>
      <c r="K7478">
        <f>AVERAGEIF(Table1[CountryCode],Table1[[#This Row],[CountryCode]],Table1[z-score])</f>
        <v>-0.86099801634454787</v>
      </c>
      <c r="L7478" t="e">
        <f>VLOOKUP(Table1[[#This Row],[CountryCode]],[1]!Table1[#All],1,FALSE)</f>
        <v>#REF!</v>
      </c>
    </row>
    <row r="7479" spans="1:12" hidden="1" x14ac:dyDescent="0.3">
      <c r="A7479" t="s">
        <v>17</v>
      </c>
      <c r="B7479" t="s">
        <v>18</v>
      </c>
      <c r="C7479" t="s">
        <v>129</v>
      </c>
      <c r="D7479" t="s">
        <v>130</v>
      </c>
      <c r="E7479">
        <v>1982</v>
      </c>
      <c r="F7479" s="1">
        <v>62</v>
      </c>
      <c r="G7479">
        <v>1980</v>
      </c>
      <c r="H7479">
        <f>AVERAGEIFS(Table1[value],Table1[IndicatorCode],Table1[[#This Row],[IndicatorCode]])</f>
        <v>72.66514008620689</v>
      </c>
      <c r="I7479" cm="1">
        <f t="array" ref="I7479">_xlfn.STDEV.P(IF(Table1[IndicatorCode]=Table1[[#This Row],[IndicatorCode]],Table1[value]))</f>
        <v>6.3409496564024987</v>
      </c>
      <c r="J7479">
        <f>(Table1[[#This Row],[value]] - Table1[[#This Row],[mean]]) / Table1[[#This Row],[std_dev]]</f>
        <v>-1.681946816189942</v>
      </c>
      <c r="K7479">
        <f>AVERAGEIF(Table1[CountryCode],Table1[[#This Row],[CountryCode]],Table1[z-score])</f>
        <v>-0.86099801634454787</v>
      </c>
      <c r="L7479" t="e">
        <f>VLOOKUP(Table1[[#This Row],[CountryCode]],[1]!Table1[#All],1,FALSE)</f>
        <v>#REF!</v>
      </c>
    </row>
    <row r="7480" spans="1:12" hidden="1" x14ac:dyDescent="0.3">
      <c r="A7480" t="s">
        <v>17</v>
      </c>
      <c r="B7480" t="s">
        <v>18</v>
      </c>
      <c r="C7480" t="s">
        <v>129</v>
      </c>
      <c r="D7480" t="s">
        <v>130</v>
      </c>
      <c r="E7480">
        <v>1983</v>
      </c>
      <c r="F7480" s="1">
        <v>62</v>
      </c>
      <c r="G7480">
        <v>1980</v>
      </c>
      <c r="H7480">
        <f>AVERAGEIFS(Table1[value],Table1[IndicatorCode],Table1[[#This Row],[IndicatorCode]])</f>
        <v>72.66514008620689</v>
      </c>
      <c r="I7480" cm="1">
        <f t="array" ref="I7480">_xlfn.STDEV.P(IF(Table1[IndicatorCode]=Table1[[#This Row],[IndicatorCode]],Table1[value]))</f>
        <v>6.3409496564024987</v>
      </c>
      <c r="J7480">
        <f>(Table1[[#This Row],[value]] - Table1[[#This Row],[mean]]) / Table1[[#This Row],[std_dev]]</f>
        <v>-1.681946816189942</v>
      </c>
      <c r="K7480">
        <f>AVERAGEIF(Table1[CountryCode],Table1[[#This Row],[CountryCode]],Table1[z-score])</f>
        <v>-0.86099801634454787</v>
      </c>
      <c r="L7480" t="e">
        <f>VLOOKUP(Table1[[#This Row],[CountryCode]],[1]!Table1[#All],1,FALSE)</f>
        <v>#REF!</v>
      </c>
    </row>
    <row r="7481" spans="1:12" hidden="1" x14ac:dyDescent="0.3">
      <c r="A7481" t="s">
        <v>17</v>
      </c>
      <c r="B7481" t="s">
        <v>18</v>
      </c>
      <c r="C7481" t="s">
        <v>129</v>
      </c>
      <c r="D7481" t="s">
        <v>130</v>
      </c>
      <c r="E7481">
        <v>1984</v>
      </c>
      <c r="F7481" s="1">
        <v>62</v>
      </c>
      <c r="G7481">
        <v>1980</v>
      </c>
      <c r="H7481">
        <f>AVERAGEIFS(Table1[value],Table1[IndicatorCode],Table1[[#This Row],[IndicatorCode]])</f>
        <v>72.66514008620689</v>
      </c>
      <c r="I7481" cm="1">
        <f t="array" ref="I7481">_xlfn.STDEV.P(IF(Table1[IndicatorCode]=Table1[[#This Row],[IndicatorCode]],Table1[value]))</f>
        <v>6.3409496564024987</v>
      </c>
      <c r="J7481">
        <f>(Table1[[#This Row],[value]] - Table1[[#This Row],[mean]]) / Table1[[#This Row],[std_dev]]</f>
        <v>-1.681946816189942</v>
      </c>
      <c r="K7481">
        <f>AVERAGEIF(Table1[CountryCode],Table1[[#This Row],[CountryCode]],Table1[z-score])</f>
        <v>-0.86099801634454787</v>
      </c>
      <c r="L7481" t="e">
        <f>VLOOKUP(Table1[[#This Row],[CountryCode]],[1]!Table1[#All],1,FALSE)</f>
        <v>#REF!</v>
      </c>
    </row>
    <row r="7482" spans="1:12" hidden="1" x14ac:dyDescent="0.3">
      <c r="A7482" t="s">
        <v>17</v>
      </c>
      <c r="B7482" t="s">
        <v>18</v>
      </c>
      <c r="C7482" t="s">
        <v>129</v>
      </c>
      <c r="D7482" t="s">
        <v>130</v>
      </c>
      <c r="E7482">
        <v>1985</v>
      </c>
      <c r="F7482" s="1">
        <v>63</v>
      </c>
      <c r="G7482">
        <v>1980</v>
      </c>
      <c r="H7482">
        <f>AVERAGEIFS(Table1[value],Table1[IndicatorCode],Table1[[#This Row],[IndicatorCode]])</f>
        <v>72.66514008620689</v>
      </c>
      <c r="I7482" cm="1">
        <f t="array" ref="I7482">_xlfn.STDEV.P(IF(Table1[IndicatorCode]=Table1[[#This Row],[IndicatorCode]],Table1[value]))</f>
        <v>6.3409496564024987</v>
      </c>
      <c r="J7482">
        <f>(Table1[[#This Row],[value]] - Table1[[#This Row],[mean]]) / Table1[[#This Row],[std_dev]]</f>
        <v>-1.5242417319065029</v>
      </c>
      <c r="K7482">
        <f>AVERAGEIF(Table1[CountryCode],Table1[[#This Row],[CountryCode]],Table1[z-score])</f>
        <v>-0.86099801634454787</v>
      </c>
      <c r="L7482" t="e">
        <f>VLOOKUP(Table1[[#This Row],[CountryCode]],[1]!Table1[#All],1,FALSE)</f>
        <v>#REF!</v>
      </c>
    </row>
    <row r="7483" spans="1:12" hidden="1" x14ac:dyDescent="0.3">
      <c r="A7483" t="s">
        <v>17</v>
      </c>
      <c r="B7483" t="s">
        <v>18</v>
      </c>
      <c r="C7483" t="s">
        <v>129</v>
      </c>
      <c r="D7483" t="s">
        <v>130</v>
      </c>
      <c r="E7483">
        <v>1986</v>
      </c>
      <c r="F7483" s="1">
        <v>63</v>
      </c>
      <c r="G7483">
        <v>1980</v>
      </c>
      <c r="H7483">
        <f>AVERAGEIFS(Table1[value],Table1[IndicatorCode],Table1[[#This Row],[IndicatorCode]])</f>
        <v>72.66514008620689</v>
      </c>
      <c r="I7483" cm="1">
        <f t="array" ref="I7483">_xlfn.STDEV.P(IF(Table1[IndicatorCode]=Table1[[#This Row],[IndicatorCode]],Table1[value]))</f>
        <v>6.3409496564024987</v>
      </c>
      <c r="J7483">
        <f>(Table1[[#This Row],[value]] - Table1[[#This Row],[mean]]) / Table1[[#This Row],[std_dev]]</f>
        <v>-1.5242417319065029</v>
      </c>
      <c r="K7483">
        <f>AVERAGEIF(Table1[CountryCode],Table1[[#This Row],[CountryCode]],Table1[z-score])</f>
        <v>-0.86099801634454787</v>
      </c>
      <c r="L7483" t="e">
        <f>VLOOKUP(Table1[[#This Row],[CountryCode]],[1]!Table1[#All],1,FALSE)</f>
        <v>#REF!</v>
      </c>
    </row>
    <row r="7484" spans="1:12" hidden="1" x14ac:dyDescent="0.3">
      <c r="A7484" t="s">
        <v>17</v>
      </c>
      <c r="B7484" t="s">
        <v>18</v>
      </c>
      <c r="C7484" t="s">
        <v>129</v>
      </c>
      <c r="D7484" t="s">
        <v>130</v>
      </c>
      <c r="E7484">
        <v>1987</v>
      </c>
      <c r="F7484" s="1">
        <v>63</v>
      </c>
      <c r="G7484">
        <v>1990</v>
      </c>
      <c r="H7484">
        <f>AVERAGEIFS(Table1[value],Table1[IndicatorCode],Table1[[#This Row],[IndicatorCode]])</f>
        <v>72.66514008620689</v>
      </c>
      <c r="I7484" cm="1">
        <f t="array" ref="I7484">_xlfn.STDEV.P(IF(Table1[IndicatorCode]=Table1[[#This Row],[IndicatorCode]],Table1[value]))</f>
        <v>6.3409496564024987</v>
      </c>
      <c r="J7484">
        <f>(Table1[[#This Row],[value]] - Table1[[#This Row],[mean]]) / Table1[[#This Row],[std_dev]]</f>
        <v>-1.5242417319065029</v>
      </c>
      <c r="K7484">
        <f>AVERAGEIF(Table1[CountryCode],Table1[[#This Row],[CountryCode]],Table1[z-score])</f>
        <v>-0.86099801634454787</v>
      </c>
      <c r="L7484" t="e">
        <f>VLOOKUP(Table1[[#This Row],[CountryCode]],[1]!Table1[#All],1,FALSE)</f>
        <v>#REF!</v>
      </c>
    </row>
    <row r="7485" spans="1:12" hidden="1" x14ac:dyDescent="0.3">
      <c r="A7485" t="s">
        <v>17</v>
      </c>
      <c r="B7485" t="s">
        <v>18</v>
      </c>
      <c r="C7485" t="s">
        <v>129</v>
      </c>
      <c r="D7485" t="s">
        <v>130</v>
      </c>
      <c r="E7485">
        <v>1988</v>
      </c>
      <c r="F7485" s="1">
        <v>63</v>
      </c>
      <c r="G7485">
        <v>1990</v>
      </c>
      <c r="H7485">
        <f>AVERAGEIFS(Table1[value],Table1[IndicatorCode],Table1[[#This Row],[IndicatorCode]])</f>
        <v>72.66514008620689</v>
      </c>
      <c r="I7485" cm="1">
        <f t="array" ref="I7485">_xlfn.STDEV.P(IF(Table1[IndicatorCode]=Table1[[#This Row],[IndicatorCode]],Table1[value]))</f>
        <v>6.3409496564024987</v>
      </c>
      <c r="J7485">
        <f>(Table1[[#This Row],[value]] - Table1[[#This Row],[mean]]) / Table1[[#This Row],[std_dev]]</f>
        <v>-1.5242417319065029</v>
      </c>
      <c r="K7485">
        <f>AVERAGEIF(Table1[CountryCode],Table1[[#This Row],[CountryCode]],Table1[z-score])</f>
        <v>-0.86099801634454787</v>
      </c>
      <c r="L7485" t="e">
        <f>VLOOKUP(Table1[[#This Row],[CountryCode]],[1]!Table1[#All],1,FALSE)</f>
        <v>#REF!</v>
      </c>
    </row>
    <row r="7486" spans="1:12" hidden="1" x14ac:dyDescent="0.3">
      <c r="A7486" t="s">
        <v>17</v>
      </c>
      <c r="B7486" t="s">
        <v>18</v>
      </c>
      <c r="C7486" t="s">
        <v>129</v>
      </c>
      <c r="D7486" t="s">
        <v>130</v>
      </c>
      <c r="E7486">
        <v>1989</v>
      </c>
      <c r="F7486" s="1">
        <v>63</v>
      </c>
      <c r="G7486">
        <v>1990</v>
      </c>
      <c r="H7486">
        <f>AVERAGEIFS(Table1[value],Table1[IndicatorCode],Table1[[#This Row],[IndicatorCode]])</f>
        <v>72.66514008620689</v>
      </c>
      <c r="I7486" cm="1">
        <f t="array" ref="I7486">_xlfn.STDEV.P(IF(Table1[IndicatorCode]=Table1[[#This Row],[IndicatorCode]],Table1[value]))</f>
        <v>6.3409496564024987</v>
      </c>
      <c r="J7486">
        <f>(Table1[[#This Row],[value]] - Table1[[#This Row],[mean]]) / Table1[[#This Row],[std_dev]]</f>
        <v>-1.5242417319065029</v>
      </c>
      <c r="K7486">
        <f>AVERAGEIF(Table1[CountryCode],Table1[[#This Row],[CountryCode]],Table1[z-score])</f>
        <v>-0.86099801634454787</v>
      </c>
      <c r="L7486" t="e">
        <f>VLOOKUP(Table1[[#This Row],[CountryCode]],[1]!Table1[#All],1,FALSE)</f>
        <v>#REF!</v>
      </c>
    </row>
    <row r="7487" spans="1:12" hidden="1" x14ac:dyDescent="0.3">
      <c r="A7487" t="s">
        <v>17</v>
      </c>
      <c r="B7487" t="s">
        <v>18</v>
      </c>
      <c r="C7487" t="s">
        <v>129</v>
      </c>
      <c r="D7487" t="s">
        <v>130</v>
      </c>
      <c r="E7487">
        <v>1990</v>
      </c>
      <c r="F7487" s="1">
        <v>63</v>
      </c>
      <c r="G7487">
        <v>1990</v>
      </c>
      <c r="H7487">
        <f>AVERAGEIFS(Table1[value],Table1[IndicatorCode],Table1[[#This Row],[IndicatorCode]])</f>
        <v>72.66514008620689</v>
      </c>
      <c r="I7487" cm="1">
        <f t="array" ref="I7487">_xlfn.STDEV.P(IF(Table1[IndicatorCode]=Table1[[#This Row],[IndicatorCode]],Table1[value]))</f>
        <v>6.3409496564024987</v>
      </c>
      <c r="J7487">
        <f>(Table1[[#This Row],[value]] - Table1[[#This Row],[mean]]) / Table1[[#This Row],[std_dev]]</f>
        <v>-1.5242417319065029</v>
      </c>
      <c r="K7487">
        <f>AVERAGEIF(Table1[CountryCode],Table1[[#This Row],[CountryCode]],Table1[z-score])</f>
        <v>-0.86099801634454787</v>
      </c>
      <c r="L7487" t="e">
        <f>VLOOKUP(Table1[[#This Row],[CountryCode]],[1]!Table1[#All],1,FALSE)</f>
        <v>#REF!</v>
      </c>
    </row>
    <row r="7488" spans="1:12" hidden="1" x14ac:dyDescent="0.3">
      <c r="A7488" t="s">
        <v>17</v>
      </c>
      <c r="B7488" t="s">
        <v>18</v>
      </c>
      <c r="C7488" t="s">
        <v>129</v>
      </c>
      <c r="D7488" t="s">
        <v>130</v>
      </c>
      <c r="E7488">
        <v>1991</v>
      </c>
      <c r="F7488" s="1">
        <v>63</v>
      </c>
      <c r="G7488">
        <v>1990</v>
      </c>
      <c r="H7488">
        <f>AVERAGEIFS(Table1[value],Table1[IndicatorCode],Table1[[#This Row],[IndicatorCode]])</f>
        <v>72.66514008620689</v>
      </c>
      <c r="I7488" cm="1">
        <f t="array" ref="I7488">_xlfn.STDEV.P(IF(Table1[IndicatorCode]=Table1[[#This Row],[IndicatorCode]],Table1[value]))</f>
        <v>6.3409496564024987</v>
      </c>
      <c r="J7488">
        <f>(Table1[[#This Row],[value]] - Table1[[#This Row],[mean]]) / Table1[[#This Row],[std_dev]]</f>
        <v>-1.5242417319065029</v>
      </c>
      <c r="K7488">
        <f>AVERAGEIF(Table1[CountryCode],Table1[[#This Row],[CountryCode]],Table1[z-score])</f>
        <v>-0.86099801634454787</v>
      </c>
      <c r="L7488" t="e">
        <f>VLOOKUP(Table1[[#This Row],[CountryCode]],[1]!Table1[#All],1,FALSE)</f>
        <v>#REF!</v>
      </c>
    </row>
    <row r="7489" spans="1:12" hidden="1" x14ac:dyDescent="0.3">
      <c r="A7489" t="s">
        <v>17</v>
      </c>
      <c r="B7489" t="s">
        <v>18</v>
      </c>
      <c r="C7489" t="s">
        <v>129</v>
      </c>
      <c r="D7489" t="s">
        <v>130</v>
      </c>
      <c r="E7489">
        <v>1992</v>
      </c>
      <c r="F7489" s="1">
        <v>61</v>
      </c>
      <c r="G7489">
        <v>1990</v>
      </c>
      <c r="H7489">
        <f>AVERAGEIFS(Table1[value],Table1[IndicatorCode],Table1[[#This Row],[IndicatorCode]])</f>
        <v>72.66514008620689</v>
      </c>
      <c r="I7489" cm="1">
        <f t="array" ref="I7489">_xlfn.STDEV.P(IF(Table1[IndicatorCode]=Table1[[#This Row],[IndicatorCode]],Table1[value]))</f>
        <v>6.3409496564024987</v>
      </c>
      <c r="J7489">
        <f>(Table1[[#This Row],[value]] - Table1[[#This Row],[mean]]) / Table1[[#This Row],[std_dev]]</f>
        <v>-1.8396519004733811</v>
      </c>
      <c r="K7489">
        <f>AVERAGEIF(Table1[CountryCode],Table1[[#This Row],[CountryCode]],Table1[z-score])</f>
        <v>-0.86099801634454787</v>
      </c>
      <c r="L7489" t="e">
        <f>VLOOKUP(Table1[[#This Row],[CountryCode]],[1]!Table1[#All],1,FALSE)</f>
        <v>#REF!</v>
      </c>
    </row>
    <row r="7490" spans="1:12" hidden="1" x14ac:dyDescent="0.3">
      <c r="A7490" t="s">
        <v>17</v>
      </c>
      <c r="B7490" t="s">
        <v>18</v>
      </c>
      <c r="C7490" t="s">
        <v>129</v>
      </c>
      <c r="D7490" t="s">
        <v>130</v>
      </c>
      <c r="E7490">
        <v>1993</v>
      </c>
      <c r="F7490" s="1">
        <v>61</v>
      </c>
      <c r="G7490">
        <v>1990</v>
      </c>
      <c r="H7490">
        <f>AVERAGEIFS(Table1[value],Table1[IndicatorCode],Table1[[#This Row],[IndicatorCode]])</f>
        <v>72.66514008620689</v>
      </c>
      <c r="I7490" cm="1">
        <f t="array" ref="I7490">_xlfn.STDEV.P(IF(Table1[IndicatorCode]=Table1[[#This Row],[IndicatorCode]],Table1[value]))</f>
        <v>6.3409496564024987</v>
      </c>
      <c r="J7490">
        <f>(Table1[[#This Row],[value]] - Table1[[#This Row],[mean]]) / Table1[[#This Row],[std_dev]]</f>
        <v>-1.8396519004733811</v>
      </c>
      <c r="K7490">
        <f>AVERAGEIF(Table1[CountryCode],Table1[[#This Row],[CountryCode]],Table1[z-score])</f>
        <v>-0.86099801634454787</v>
      </c>
      <c r="L7490" t="e">
        <f>VLOOKUP(Table1[[#This Row],[CountryCode]],[1]!Table1[#All],1,FALSE)</f>
        <v>#REF!</v>
      </c>
    </row>
    <row r="7491" spans="1:12" hidden="1" x14ac:dyDescent="0.3">
      <c r="A7491" t="s">
        <v>17</v>
      </c>
      <c r="B7491" t="s">
        <v>18</v>
      </c>
      <c r="C7491" t="s">
        <v>129</v>
      </c>
      <c r="D7491" t="s">
        <v>130</v>
      </c>
      <c r="E7491">
        <v>1994</v>
      </c>
      <c r="F7491" s="1">
        <v>60</v>
      </c>
      <c r="G7491">
        <v>1990</v>
      </c>
      <c r="H7491">
        <f>AVERAGEIFS(Table1[value],Table1[IndicatorCode],Table1[[#This Row],[IndicatorCode]])</f>
        <v>72.66514008620689</v>
      </c>
      <c r="I7491" cm="1">
        <f t="array" ref="I7491">_xlfn.STDEV.P(IF(Table1[IndicatorCode]=Table1[[#This Row],[IndicatorCode]],Table1[value]))</f>
        <v>6.3409496564024987</v>
      </c>
      <c r="J7491">
        <f>(Table1[[#This Row],[value]] - Table1[[#This Row],[mean]]) / Table1[[#This Row],[std_dev]]</f>
        <v>-1.9973569847568202</v>
      </c>
      <c r="K7491">
        <f>AVERAGEIF(Table1[CountryCode],Table1[[#This Row],[CountryCode]],Table1[z-score])</f>
        <v>-0.86099801634454787</v>
      </c>
      <c r="L7491" t="e">
        <f>VLOOKUP(Table1[[#This Row],[CountryCode]],[1]!Table1[#All],1,FALSE)</f>
        <v>#REF!</v>
      </c>
    </row>
    <row r="7492" spans="1:12" hidden="1" x14ac:dyDescent="0.3">
      <c r="A7492" t="s">
        <v>17</v>
      </c>
      <c r="B7492" t="s">
        <v>18</v>
      </c>
      <c r="C7492" t="s">
        <v>129</v>
      </c>
      <c r="D7492" t="s">
        <v>130</v>
      </c>
      <c r="E7492">
        <v>1995</v>
      </c>
      <c r="F7492" s="1">
        <v>62</v>
      </c>
      <c r="G7492">
        <v>1990</v>
      </c>
      <c r="H7492">
        <f>AVERAGEIFS(Table1[value],Table1[IndicatorCode],Table1[[#This Row],[IndicatorCode]])</f>
        <v>72.66514008620689</v>
      </c>
      <c r="I7492" cm="1">
        <f t="array" ref="I7492">_xlfn.STDEV.P(IF(Table1[IndicatorCode]=Table1[[#This Row],[IndicatorCode]],Table1[value]))</f>
        <v>6.3409496564024987</v>
      </c>
      <c r="J7492">
        <f>(Table1[[#This Row],[value]] - Table1[[#This Row],[mean]]) / Table1[[#This Row],[std_dev]]</f>
        <v>-1.681946816189942</v>
      </c>
      <c r="K7492">
        <f>AVERAGEIF(Table1[CountryCode],Table1[[#This Row],[CountryCode]],Table1[z-score])</f>
        <v>-0.86099801634454787</v>
      </c>
      <c r="L7492" t="e">
        <f>VLOOKUP(Table1[[#This Row],[CountryCode]],[1]!Table1[#All],1,FALSE)</f>
        <v>#REF!</v>
      </c>
    </row>
    <row r="7493" spans="1:12" hidden="1" x14ac:dyDescent="0.3">
      <c r="A7493" t="s">
        <v>17</v>
      </c>
      <c r="B7493" t="s">
        <v>18</v>
      </c>
      <c r="C7493" t="s">
        <v>129</v>
      </c>
      <c r="D7493" t="s">
        <v>130</v>
      </c>
      <c r="E7493">
        <v>1996</v>
      </c>
      <c r="F7493" s="1">
        <v>63</v>
      </c>
      <c r="G7493">
        <v>1990</v>
      </c>
      <c r="H7493">
        <f>AVERAGEIFS(Table1[value],Table1[IndicatorCode],Table1[[#This Row],[IndicatorCode]])</f>
        <v>72.66514008620689</v>
      </c>
      <c r="I7493" cm="1">
        <f t="array" ref="I7493">_xlfn.STDEV.P(IF(Table1[IndicatorCode]=Table1[[#This Row],[IndicatorCode]],Table1[value]))</f>
        <v>6.3409496564024987</v>
      </c>
      <c r="J7493">
        <f>(Table1[[#This Row],[value]] - Table1[[#This Row],[mean]]) / Table1[[#This Row],[std_dev]]</f>
        <v>-1.5242417319065029</v>
      </c>
      <c r="K7493">
        <f>AVERAGEIF(Table1[CountryCode],Table1[[#This Row],[CountryCode]],Table1[z-score])</f>
        <v>-0.86099801634454787</v>
      </c>
      <c r="L7493" t="e">
        <f>VLOOKUP(Table1[[#This Row],[CountryCode]],[1]!Table1[#All],1,FALSE)</f>
        <v>#REF!</v>
      </c>
    </row>
    <row r="7494" spans="1:12" hidden="1" x14ac:dyDescent="0.3">
      <c r="A7494" t="s">
        <v>17</v>
      </c>
      <c r="B7494" t="s">
        <v>18</v>
      </c>
      <c r="C7494" t="s">
        <v>129</v>
      </c>
      <c r="D7494" t="s">
        <v>130</v>
      </c>
      <c r="E7494">
        <v>1997</v>
      </c>
      <c r="F7494" s="1">
        <v>63</v>
      </c>
      <c r="G7494">
        <v>2000</v>
      </c>
      <c r="H7494">
        <f>AVERAGEIFS(Table1[value],Table1[IndicatorCode],Table1[[#This Row],[IndicatorCode]])</f>
        <v>72.66514008620689</v>
      </c>
      <c r="I7494" cm="1">
        <f t="array" ref="I7494">_xlfn.STDEV.P(IF(Table1[IndicatorCode]=Table1[[#This Row],[IndicatorCode]],Table1[value]))</f>
        <v>6.3409496564024987</v>
      </c>
      <c r="J7494">
        <f>(Table1[[#This Row],[value]] - Table1[[#This Row],[mean]]) / Table1[[#This Row],[std_dev]]</f>
        <v>-1.5242417319065029</v>
      </c>
      <c r="K7494">
        <f>AVERAGEIF(Table1[CountryCode],Table1[[#This Row],[CountryCode]],Table1[z-score])</f>
        <v>-0.86099801634454787</v>
      </c>
      <c r="L7494" t="e">
        <f>VLOOKUP(Table1[[#This Row],[CountryCode]],[1]!Table1[#All],1,FALSE)</f>
        <v>#REF!</v>
      </c>
    </row>
    <row r="7495" spans="1:12" hidden="1" x14ac:dyDescent="0.3">
      <c r="A7495" t="s">
        <v>17</v>
      </c>
      <c r="B7495" t="s">
        <v>18</v>
      </c>
      <c r="C7495" t="s">
        <v>129</v>
      </c>
      <c r="D7495" t="s">
        <v>130</v>
      </c>
      <c r="E7495">
        <v>1998</v>
      </c>
      <c r="F7495" s="1">
        <v>64</v>
      </c>
      <c r="G7495">
        <v>2000</v>
      </c>
      <c r="H7495">
        <f>AVERAGEIFS(Table1[value],Table1[IndicatorCode],Table1[[#This Row],[IndicatorCode]])</f>
        <v>72.66514008620689</v>
      </c>
      <c r="I7495" cm="1">
        <f t="array" ref="I7495">_xlfn.STDEV.P(IF(Table1[IndicatorCode]=Table1[[#This Row],[IndicatorCode]],Table1[value]))</f>
        <v>6.3409496564024987</v>
      </c>
      <c r="J7495">
        <f>(Table1[[#This Row],[value]] - Table1[[#This Row],[mean]]) / Table1[[#This Row],[std_dev]]</f>
        <v>-1.3665366476230638</v>
      </c>
      <c r="K7495">
        <f>AVERAGEIF(Table1[CountryCode],Table1[[#This Row],[CountryCode]],Table1[z-score])</f>
        <v>-0.86099801634454787</v>
      </c>
      <c r="L7495" t="e">
        <f>VLOOKUP(Table1[[#This Row],[CountryCode]],[1]!Table1[#All],1,FALSE)</f>
        <v>#REF!</v>
      </c>
    </row>
    <row r="7496" spans="1:12" hidden="1" x14ac:dyDescent="0.3">
      <c r="A7496" t="s">
        <v>17</v>
      </c>
      <c r="B7496" t="s">
        <v>18</v>
      </c>
      <c r="C7496" t="s">
        <v>129</v>
      </c>
      <c r="D7496" t="s">
        <v>130</v>
      </c>
      <c r="E7496">
        <v>1999</v>
      </c>
      <c r="F7496" s="1">
        <v>65</v>
      </c>
      <c r="G7496">
        <v>2000</v>
      </c>
      <c r="H7496">
        <f>AVERAGEIFS(Table1[value],Table1[IndicatorCode],Table1[[#This Row],[IndicatorCode]])</f>
        <v>72.66514008620689</v>
      </c>
      <c r="I7496" cm="1">
        <f t="array" ref="I7496">_xlfn.STDEV.P(IF(Table1[IndicatorCode]=Table1[[#This Row],[IndicatorCode]],Table1[value]))</f>
        <v>6.3409496564024987</v>
      </c>
      <c r="J7496">
        <f>(Table1[[#This Row],[value]] - Table1[[#This Row],[mean]]) / Table1[[#This Row],[std_dev]]</f>
        <v>-1.2088315633396249</v>
      </c>
      <c r="K7496">
        <f>AVERAGEIF(Table1[CountryCode],Table1[[#This Row],[CountryCode]],Table1[z-score])</f>
        <v>-0.86099801634454787</v>
      </c>
      <c r="L7496" t="e">
        <f>VLOOKUP(Table1[[#This Row],[CountryCode]],[1]!Table1[#All],1,FALSE)</f>
        <v>#REF!</v>
      </c>
    </row>
    <row r="7497" spans="1:12" hidden="1" x14ac:dyDescent="0.3">
      <c r="A7497" t="s">
        <v>17</v>
      </c>
      <c r="B7497" t="s">
        <v>18</v>
      </c>
      <c r="C7497" t="s">
        <v>129</v>
      </c>
      <c r="D7497" t="s">
        <v>130</v>
      </c>
      <c r="E7497">
        <v>2000</v>
      </c>
      <c r="F7497" s="1">
        <v>65</v>
      </c>
      <c r="G7497">
        <v>2000</v>
      </c>
      <c r="H7497">
        <f>AVERAGEIFS(Table1[value],Table1[IndicatorCode],Table1[[#This Row],[IndicatorCode]])</f>
        <v>72.66514008620689</v>
      </c>
      <c r="I7497" cm="1">
        <f t="array" ref="I7497">_xlfn.STDEV.P(IF(Table1[IndicatorCode]=Table1[[#This Row],[IndicatorCode]],Table1[value]))</f>
        <v>6.3409496564024987</v>
      </c>
      <c r="J7497">
        <f>(Table1[[#This Row],[value]] - Table1[[#This Row],[mean]]) / Table1[[#This Row],[std_dev]]</f>
        <v>-1.2088315633396249</v>
      </c>
      <c r="K7497">
        <f>AVERAGEIF(Table1[CountryCode],Table1[[#This Row],[CountryCode]],Table1[z-score])</f>
        <v>-0.86099801634454787</v>
      </c>
      <c r="L7497" t="e">
        <f>VLOOKUP(Table1[[#This Row],[CountryCode]],[1]!Table1[#All],1,FALSE)</f>
        <v>#REF!</v>
      </c>
    </row>
    <row r="7498" spans="1:12" hidden="1" x14ac:dyDescent="0.3">
      <c r="A7498" t="s">
        <v>17</v>
      </c>
      <c r="B7498" t="s">
        <v>18</v>
      </c>
      <c r="C7498" t="s">
        <v>129</v>
      </c>
      <c r="D7498" t="s">
        <v>130</v>
      </c>
      <c r="E7498">
        <v>2001</v>
      </c>
      <c r="F7498" s="1">
        <v>66</v>
      </c>
      <c r="G7498">
        <v>2000</v>
      </c>
      <c r="H7498">
        <f>AVERAGEIFS(Table1[value],Table1[IndicatorCode],Table1[[#This Row],[IndicatorCode]])</f>
        <v>72.66514008620689</v>
      </c>
      <c r="I7498" cm="1">
        <f t="array" ref="I7498">_xlfn.STDEV.P(IF(Table1[IndicatorCode]=Table1[[#This Row],[IndicatorCode]],Table1[value]))</f>
        <v>6.3409496564024987</v>
      </c>
      <c r="J7498">
        <f>(Table1[[#This Row],[value]] - Table1[[#This Row],[mean]]) / Table1[[#This Row],[std_dev]]</f>
        <v>-1.0511264790561858</v>
      </c>
      <c r="K7498">
        <f>AVERAGEIF(Table1[CountryCode],Table1[[#This Row],[CountryCode]],Table1[z-score])</f>
        <v>-0.86099801634454787</v>
      </c>
      <c r="L7498" t="e">
        <f>VLOOKUP(Table1[[#This Row],[CountryCode]],[1]!Table1[#All],1,FALSE)</f>
        <v>#REF!</v>
      </c>
    </row>
    <row r="7499" spans="1:12" hidden="1" x14ac:dyDescent="0.3">
      <c r="A7499" t="s">
        <v>17</v>
      </c>
      <c r="B7499" t="s">
        <v>18</v>
      </c>
      <c r="C7499" t="s">
        <v>129</v>
      </c>
      <c r="D7499" t="s">
        <v>130</v>
      </c>
      <c r="E7499">
        <v>2002</v>
      </c>
      <c r="F7499" s="1">
        <v>67</v>
      </c>
      <c r="G7499">
        <v>2000</v>
      </c>
      <c r="H7499">
        <f>AVERAGEIFS(Table1[value],Table1[IndicatorCode],Table1[[#This Row],[IndicatorCode]])</f>
        <v>72.66514008620689</v>
      </c>
      <c r="I7499" cm="1">
        <f t="array" ref="I7499">_xlfn.STDEV.P(IF(Table1[IndicatorCode]=Table1[[#This Row],[IndicatorCode]],Table1[value]))</f>
        <v>6.3409496564024987</v>
      </c>
      <c r="J7499">
        <f>(Table1[[#This Row],[value]] - Table1[[#This Row],[mean]]) / Table1[[#This Row],[std_dev]]</f>
        <v>-0.89342139477274674</v>
      </c>
      <c r="K7499">
        <f>AVERAGEIF(Table1[CountryCode],Table1[[#This Row],[CountryCode]],Table1[z-score])</f>
        <v>-0.86099801634454787</v>
      </c>
      <c r="L7499" t="e">
        <f>VLOOKUP(Table1[[#This Row],[CountryCode]],[1]!Table1[#All],1,FALSE)</f>
        <v>#REF!</v>
      </c>
    </row>
    <row r="7500" spans="1:12" hidden="1" x14ac:dyDescent="0.3">
      <c r="A7500" t="s">
        <v>17</v>
      </c>
      <c r="B7500" t="s">
        <v>18</v>
      </c>
      <c r="C7500" t="s">
        <v>129</v>
      </c>
      <c r="D7500" t="s">
        <v>130</v>
      </c>
      <c r="E7500">
        <v>2003</v>
      </c>
      <c r="F7500" s="1">
        <v>67</v>
      </c>
      <c r="G7500">
        <v>2000</v>
      </c>
      <c r="H7500">
        <f>AVERAGEIFS(Table1[value],Table1[IndicatorCode],Table1[[#This Row],[IndicatorCode]])</f>
        <v>72.66514008620689</v>
      </c>
      <c r="I7500" cm="1">
        <f t="array" ref="I7500">_xlfn.STDEV.P(IF(Table1[IndicatorCode]=Table1[[#This Row],[IndicatorCode]],Table1[value]))</f>
        <v>6.3409496564024987</v>
      </c>
      <c r="J7500">
        <f>(Table1[[#This Row],[value]] - Table1[[#This Row],[mean]]) / Table1[[#This Row],[std_dev]]</f>
        <v>-0.89342139477274674</v>
      </c>
      <c r="K7500">
        <f>AVERAGEIF(Table1[CountryCode],Table1[[#This Row],[CountryCode]],Table1[z-score])</f>
        <v>-0.86099801634454787</v>
      </c>
      <c r="L7500" t="e">
        <f>VLOOKUP(Table1[[#This Row],[CountryCode]],[1]!Table1[#All],1,FALSE)</f>
        <v>#REF!</v>
      </c>
    </row>
    <row r="7501" spans="1:12" hidden="1" x14ac:dyDescent="0.3">
      <c r="A7501" t="s">
        <v>17</v>
      </c>
      <c r="B7501" t="s">
        <v>18</v>
      </c>
      <c r="C7501" t="s">
        <v>129</v>
      </c>
      <c r="D7501" t="s">
        <v>130</v>
      </c>
      <c r="E7501">
        <v>2004</v>
      </c>
      <c r="F7501" s="1">
        <v>67</v>
      </c>
      <c r="G7501">
        <v>2000</v>
      </c>
      <c r="H7501">
        <f>AVERAGEIFS(Table1[value],Table1[IndicatorCode],Table1[[#This Row],[IndicatorCode]])</f>
        <v>72.66514008620689</v>
      </c>
      <c r="I7501" cm="1">
        <f t="array" ref="I7501">_xlfn.STDEV.P(IF(Table1[IndicatorCode]=Table1[[#This Row],[IndicatorCode]],Table1[value]))</f>
        <v>6.3409496564024987</v>
      </c>
      <c r="J7501">
        <f>(Table1[[#This Row],[value]] - Table1[[#This Row],[mean]]) / Table1[[#This Row],[std_dev]]</f>
        <v>-0.89342139477274674</v>
      </c>
      <c r="K7501">
        <f>AVERAGEIF(Table1[CountryCode],Table1[[#This Row],[CountryCode]],Table1[z-score])</f>
        <v>-0.86099801634454787</v>
      </c>
      <c r="L7501" t="e">
        <f>VLOOKUP(Table1[[#This Row],[CountryCode]],[1]!Table1[#All],1,FALSE)</f>
        <v>#REF!</v>
      </c>
    </row>
    <row r="7502" spans="1:12" hidden="1" x14ac:dyDescent="0.3">
      <c r="A7502" t="s">
        <v>17</v>
      </c>
      <c r="B7502" t="s">
        <v>18</v>
      </c>
      <c r="C7502" t="s">
        <v>129</v>
      </c>
      <c r="D7502" t="s">
        <v>130</v>
      </c>
      <c r="E7502">
        <v>2005</v>
      </c>
      <c r="F7502" s="1">
        <v>68</v>
      </c>
      <c r="G7502">
        <v>2000</v>
      </c>
      <c r="H7502">
        <f>AVERAGEIFS(Table1[value],Table1[IndicatorCode],Table1[[#This Row],[IndicatorCode]])</f>
        <v>72.66514008620689</v>
      </c>
      <c r="I7502" cm="1">
        <f t="array" ref="I7502">_xlfn.STDEV.P(IF(Table1[IndicatorCode]=Table1[[#This Row],[IndicatorCode]],Table1[value]))</f>
        <v>6.3409496564024987</v>
      </c>
      <c r="J7502">
        <f>(Table1[[#This Row],[value]] - Table1[[#This Row],[mean]]) / Table1[[#This Row],[std_dev]]</f>
        <v>-0.73571631048930775</v>
      </c>
      <c r="K7502">
        <f>AVERAGEIF(Table1[CountryCode],Table1[[#This Row],[CountryCode]],Table1[z-score])</f>
        <v>-0.86099801634454787</v>
      </c>
      <c r="L7502" t="e">
        <f>VLOOKUP(Table1[[#This Row],[CountryCode]],[1]!Table1[#All],1,FALSE)</f>
        <v>#REF!</v>
      </c>
    </row>
    <row r="7503" spans="1:12" hidden="1" x14ac:dyDescent="0.3">
      <c r="A7503" t="s">
        <v>17</v>
      </c>
      <c r="B7503" t="s">
        <v>18</v>
      </c>
      <c r="C7503" t="s">
        <v>129</v>
      </c>
      <c r="D7503" t="s">
        <v>130</v>
      </c>
      <c r="E7503">
        <v>2006</v>
      </c>
      <c r="F7503" s="1">
        <v>68</v>
      </c>
      <c r="G7503">
        <v>2000</v>
      </c>
      <c r="H7503">
        <f>AVERAGEIFS(Table1[value],Table1[IndicatorCode],Table1[[#This Row],[IndicatorCode]])</f>
        <v>72.66514008620689</v>
      </c>
      <c r="I7503" cm="1">
        <f t="array" ref="I7503">_xlfn.STDEV.P(IF(Table1[IndicatorCode]=Table1[[#This Row],[IndicatorCode]],Table1[value]))</f>
        <v>6.3409496564024987</v>
      </c>
      <c r="J7503">
        <f>(Table1[[#This Row],[value]] - Table1[[#This Row],[mean]]) / Table1[[#This Row],[std_dev]]</f>
        <v>-0.73571631048930775</v>
      </c>
      <c r="K7503">
        <f>AVERAGEIF(Table1[CountryCode],Table1[[#This Row],[CountryCode]],Table1[z-score])</f>
        <v>-0.86099801634454787</v>
      </c>
      <c r="L7503" t="e">
        <f>VLOOKUP(Table1[[#This Row],[CountryCode]],[1]!Table1[#All],1,FALSE)</f>
        <v>#REF!</v>
      </c>
    </row>
    <row r="7504" spans="1:12" hidden="1" x14ac:dyDescent="0.3">
      <c r="A7504" t="s">
        <v>17</v>
      </c>
      <c r="B7504" t="s">
        <v>18</v>
      </c>
      <c r="C7504" t="s">
        <v>129</v>
      </c>
      <c r="D7504" t="s">
        <v>130</v>
      </c>
      <c r="E7504">
        <v>2007</v>
      </c>
      <c r="F7504" s="1">
        <v>69</v>
      </c>
      <c r="G7504">
        <v>2010</v>
      </c>
      <c r="H7504">
        <f>AVERAGEIFS(Table1[value],Table1[IndicatorCode],Table1[[#This Row],[IndicatorCode]])</f>
        <v>72.66514008620689</v>
      </c>
      <c r="I7504" cm="1">
        <f t="array" ref="I7504">_xlfn.STDEV.P(IF(Table1[IndicatorCode]=Table1[[#This Row],[IndicatorCode]],Table1[value]))</f>
        <v>6.3409496564024987</v>
      </c>
      <c r="J7504">
        <f>(Table1[[#This Row],[value]] - Table1[[#This Row],[mean]]) / Table1[[#This Row],[std_dev]]</f>
        <v>-0.57801122620586864</v>
      </c>
      <c r="K7504">
        <f>AVERAGEIF(Table1[CountryCode],Table1[[#This Row],[CountryCode]],Table1[z-score])</f>
        <v>-0.86099801634454787</v>
      </c>
      <c r="L7504" t="e">
        <f>VLOOKUP(Table1[[#This Row],[CountryCode]],[1]!Table1[#All],1,FALSE)</f>
        <v>#REF!</v>
      </c>
    </row>
    <row r="7505" spans="1:12" hidden="1" x14ac:dyDescent="0.3">
      <c r="A7505" t="s">
        <v>17</v>
      </c>
      <c r="B7505" t="s">
        <v>18</v>
      </c>
      <c r="C7505" t="s">
        <v>129</v>
      </c>
      <c r="D7505" t="s">
        <v>130</v>
      </c>
      <c r="E7505">
        <v>2008</v>
      </c>
      <c r="F7505" s="1">
        <v>69</v>
      </c>
      <c r="G7505">
        <v>2010</v>
      </c>
      <c r="H7505">
        <f>AVERAGEIFS(Table1[value],Table1[IndicatorCode],Table1[[#This Row],[IndicatorCode]])</f>
        <v>72.66514008620689</v>
      </c>
      <c r="I7505" cm="1">
        <f t="array" ref="I7505">_xlfn.STDEV.P(IF(Table1[IndicatorCode]=Table1[[#This Row],[IndicatorCode]],Table1[value]))</f>
        <v>6.3409496564024987</v>
      </c>
      <c r="J7505">
        <f>(Table1[[#This Row],[value]] - Table1[[#This Row],[mean]]) / Table1[[#This Row],[std_dev]]</f>
        <v>-0.57801122620586864</v>
      </c>
      <c r="K7505">
        <f>AVERAGEIF(Table1[CountryCode],Table1[[#This Row],[CountryCode]],Table1[z-score])</f>
        <v>-0.86099801634454787</v>
      </c>
      <c r="L7505" t="e">
        <f>VLOOKUP(Table1[[#This Row],[CountryCode]],[1]!Table1[#All],1,FALSE)</f>
        <v>#REF!</v>
      </c>
    </row>
    <row r="7506" spans="1:12" hidden="1" x14ac:dyDescent="0.3">
      <c r="A7506" t="s">
        <v>17</v>
      </c>
      <c r="B7506" t="s">
        <v>18</v>
      </c>
      <c r="C7506" t="s">
        <v>129</v>
      </c>
      <c r="D7506" t="s">
        <v>130</v>
      </c>
      <c r="E7506">
        <v>2009</v>
      </c>
      <c r="F7506" s="1">
        <v>70</v>
      </c>
      <c r="G7506">
        <v>2010</v>
      </c>
      <c r="H7506">
        <f>AVERAGEIFS(Table1[value],Table1[IndicatorCode],Table1[[#This Row],[IndicatorCode]])</f>
        <v>72.66514008620689</v>
      </c>
      <c r="I7506" cm="1">
        <f t="array" ref="I7506">_xlfn.STDEV.P(IF(Table1[IndicatorCode]=Table1[[#This Row],[IndicatorCode]],Table1[value]))</f>
        <v>6.3409496564024987</v>
      </c>
      <c r="J7506">
        <f>(Table1[[#This Row],[value]] - Table1[[#This Row],[mean]]) / Table1[[#This Row],[std_dev]]</f>
        <v>-0.4203061419224296</v>
      </c>
      <c r="K7506">
        <f>AVERAGEIF(Table1[CountryCode],Table1[[#This Row],[CountryCode]],Table1[z-score])</f>
        <v>-0.86099801634454787</v>
      </c>
      <c r="L7506" t="e">
        <f>VLOOKUP(Table1[[#This Row],[CountryCode]],[1]!Table1[#All],1,FALSE)</f>
        <v>#REF!</v>
      </c>
    </row>
    <row r="7507" spans="1:12" hidden="1" x14ac:dyDescent="0.3">
      <c r="A7507" t="s">
        <v>17</v>
      </c>
      <c r="B7507" t="s">
        <v>18</v>
      </c>
      <c r="C7507" t="s">
        <v>129</v>
      </c>
      <c r="D7507" t="s">
        <v>130</v>
      </c>
      <c r="E7507">
        <v>2010</v>
      </c>
      <c r="F7507" s="1">
        <v>70</v>
      </c>
      <c r="G7507">
        <v>2010</v>
      </c>
      <c r="H7507">
        <f>AVERAGEIFS(Table1[value],Table1[IndicatorCode],Table1[[#This Row],[IndicatorCode]])</f>
        <v>72.66514008620689</v>
      </c>
      <c r="I7507" cm="1">
        <f t="array" ref="I7507">_xlfn.STDEV.P(IF(Table1[IndicatorCode]=Table1[[#This Row],[IndicatorCode]],Table1[value]))</f>
        <v>6.3409496564024987</v>
      </c>
      <c r="J7507">
        <f>(Table1[[#This Row],[value]] - Table1[[#This Row],[mean]]) / Table1[[#This Row],[std_dev]]</f>
        <v>-0.4203061419224296</v>
      </c>
      <c r="K7507">
        <f>AVERAGEIF(Table1[CountryCode],Table1[[#This Row],[CountryCode]],Table1[z-score])</f>
        <v>-0.86099801634454787</v>
      </c>
      <c r="L7507" t="e">
        <f>VLOOKUP(Table1[[#This Row],[CountryCode]],[1]!Table1[#All],1,FALSE)</f>
        <v>#REF!</v>
      </c>
    </row>
    <row r="7508" spans="1:12" hidden="1" x14ac:dyDescent="0.3">
      <c r="A7508" t="s">
        <v>17</v>
      </c>
      <c r="B7508" t="s">
        <v>18</v>
      </c>
      <c r="C7508" t="s">
        <v>129</v>
      </c>
      <c r="D7508" t="s">
        <v>130</v>
      </c>
      <c r="E7508">
        <v>2011</v>
      </c>
      <c r="F7508" s="1">
        <v>71</v>
      </c>
      <c r="G7508">
        <v>2010</v>
      </c>
      <c r="H7508">
        <f>AVERAGEIFS(Table1[value],Table1[IndicatorCode],Table1[[#This Row],[IndicatorCode]])</f>
        <v>72.66514008620689</v>
      </c>
      <c r="I7508" cm="1">
        <f t="array" ref="I7508">_xlfn.STDEV.P(IF(Table1[IndicatorCode]=Table1[[#This Row],[IndicatorCode]],Table1[value]))</f>
        <v>6.3409496564024987</v>
      </c>
      <c r="J7508">
        <f>(Table1[[#This Row],[value]] - Table1[[#This Row],[mean]]) / Table1[[#This Row],[std_dev]]</f>
        <v>-0.2626010576389905</v>
      </c>
      <c r="K7508">
        <f>AVERAGEIF(Table1[CountryCode],Table1[[#This Row],[CountryCode]],Table1[z-score])</f>
        <v>-0.86099801634454787</v>
      </c>
      <c r="L7508" t="e">
        <f>VLOOKUP(Table1[[#This Row],[CountryCode]],[1]!Table1[#All],1,FALSE)</f>
        <v>#REF!</v>
      </c>
    </row>
    <row r="7509" spans="1:12" hidden="1" x14ac:dyDescent="0.3">
      <c r="A7509" t="s">
        <v>17</v>
      </c>
      <c r="B7509" t="s">
        <v>18</v>
      </c>
      <c r="C7509" t="s">
        <v>129</v>
      </c>
      <c r="D7509" t="s">
        <v>130</v>
      </c>
      <c r="E7509">
        <v>2012</v>
      </c>
      <c r="F7509" s="1">
        <v>71</v>
      </c>
      <c r="G7509">
        <v>2010</v>
      </c>
      <c r="H7509">
        <f>AVERAGEIFS(Table1[value],Table1[IndicatorCode],Table1[[#This Row],[IndicatorCode]])</f>
        <v>72.66514008620689</v>
      </c>
      <c r="I7509" cm="1">
        <f t="array" ref="I7509">_xlfn.STDEV.P(IF(Table1[IndicatorCode]=Table1[[#This Row],[IndicatorCode]],Table1[value]))</f>
        <v>6.3409496564024987</v>
      </c>
      <c r="J7509">
        <f>(Table1[[#This Row],[value]] - Table1[[#This Row],[mean]]) / Table1[[#This Row],[std_dev]]</f>
        <v>-0.2626010576389905</v>
      </c>
      <c r="K7509">
        <f>AVERAGEIF(Table1[CountryCode],Table1[[#This Row],[CountryCode]],Table1[z-score])</f>
        <v>-0.86099801634454787</v>
      </c>
      <c r="L7509" t="e">
        <f>VLOOKUP(Table1[[#This Row],[CountryCode]],[1]!Table1[#All],1,FALSE)</f>
        <v>#REF!</v>
      </c>
    </row>
    <row r="7510" spans="1:12" hidden="1" x14ac:dyDescent="0.3">
      <c r="A7510" t="s">
        <v>17</v>
      </c>
      <c r="B7510" t="s">
        <v>18</v>
      </c>
      <c r="C7510" t="s">
        <v>129</v>
      </c>
      <c r="D7510" t="s">
        <v>130</v>
      </c>
      <c r="E7510">
        <v>2013</v>
      </c>
      <c r="F7510" s="1">
        <v>71</v>
      </c>
      <c r="G7510">
        <v>2010</v>
      </c>
      <c r="H7510">
        <f>AVERAGEIFS(Table1[value],Table1[IndicatorCode],Table1[[#This Row],[IndicatorCode]])</f>
        <v>72.66514008620689</v>
      </c>
      <c r="I7510" cm="1">
        <f t="array" ref="I7510">_xlfn.STDEV.P(IF(Table1[IndicatorCode]=Table1[[#This Row],[IndicatorCode]],Table1[value]))</f>
        <v>6.3409496564024987</v>
      </c>
      <c r="J7510">
        <f>(Table1[[#This Row],[value]] - Table1[[#This Row],[mean]]) / Table1[[#This Row],[std_dev]]</f>
        <v>-0.2626010576389905</v>
      </c>
      <c r="K7510">
        <f>AVERAGEIF(Table1[CountryCode],Table1[[#This Row],[CountryCode]],Table1[z-score])</f>
        <v>-0.86099801634454787</v>
      </c>
      <c r="L7510" t="e">
        <f>VLOOKUP(Table1[[#This Row],[CountryCode]],[1]!Table1[#All],1,FALSE)</f>
        <v>#REF!</v>
      </c>
    </row>
    <row r="7511" spans="1:12" hidden="1" x14ac:dyDescent="0.3">
      <c r="A7511" t="s">
        <v>17</v>
      </c>
      <c r="B7511" t="s">
        <v>18</v>
      </c>
      <c r="C7511" t="s">
        <v>129</v>
      </c>
      <c r="D7511" t="s">
        <v>130</v>
      </c>
      <c r="E7511">
        <v>2014</v>
      </c>
      <c r="F7511" s="1">
        <v>72</v>
      </c>
      <c r="G7511">
        <v>2010</v>
      </c>
      <c r="H7511">
        <f>AVERAGEIFS(Table1[value],Table1[IndicatorCode],Table1[[#This Row],[IndicatorCode]])</f>
        <v>72.66514008620689</v>
      </c>
      <c r="I7511" cm="1">
        <f t="array" ref="I7511">_xlfn.STDEV.P(IF(Table1[IndicatorCode]=Table1[[#This Row],[IndicatorCode]],Table1[value]))</f>
        <v>6.3409496564024987</v>
      </c>
      <c r="J7511">
        <f>(Table1[[#This Row],[value]] - Table1[[#This Row],[mean]]) / Table1[[#This Row],[std_dev]]</f>
        <v>-0.10489597335555145</v>
      </c>
      <c r="K7511">
        <f>AVERAGEIF(Table1[CountryCode],Table1[[#This Row],[CountryCode]],Table1[z-score])</f>
        <v>-0.86099801634454787</v>
      </c>
      <c r="L7511" t="e">
        <f>VLOOKUP(Table1[[#This Row],[CountryCode]],[1]!Table1[#All],1,FALSE)</f>
        <v>#REF!</v>
      </c>
    </row>
    <row r="7512" spans="1:12" hidden="1" x14ac:dyDescent="0.3">
      <c r="A7512" t="s">
        <v>17</v>
      </c>
      <c r="B7512" t="s">
        <v>18</v>
      </c>
      <c r="C7512" t="s">
        <v>129</v>
      </c>
      <c r="D7512" t="s">
        <v>130</v>
      </c>
      <c r="E7512">
        <v>2015</v>
      </c>
      <c r="F7512" s="1">
        <v>72</v>
      </c>
      <c r="G7512">
        <v>2010</v>
      </c>
      <c r="H7512">
        <f>AVERAGEIFS(Table1[value],Table1[IndicatorCode],Table1[[#This Row],[IndicatorCode]])</f>
        <v>72.66514008620689</v>
      </c>
      <c r="I7512" cm="1">
        <f t="array" ref="I7512">_xlfn.STDEV.P(IF(Table1[IndicatorCode]=Table1[[#This Row],[IndicatorCode]],Table1[value]))</f>
        <v>6.3409496564024987</v>
      </c>
      <c r="J7512">
        <f>(Table1[[#This Row],[value]] - Table1[[#This Row],[mean]]) / Table1[[#This Row],[std_dev]]</f>
        <v>-0.10489597335555145</v>
      </c>
      <c r="K7512">
        <f>AVERAGEIF(Table1[CountryCode],Table1[[#This Row],[CountryCode]],Table1[z-score])</f>
        <v>-0.86099801634454787</v>
      </c>
      <c r="L7512" t="e">
        <f>VLOOKUP(Table1[[#This Row],[CountryCode]],[1]!Table1[#All],1,FALSE)</f>
        <v>#REF!</v>
      </c>
    </row>
    <row r="7513" spans="1:12" hidden="1" x14ac:dyDescent="0.3">
      <c r="A7513" t="s">
        <v>17</v>
      </c>
      <c r="B7513" t="s">
        <v>18</v>
      </c>
      <c r="C7513" t="s">
        <v>129</v>
      </c>
      <c r="D7513" t="s">
        <v>130</v>
      </c>
      <c r="E7513">
        <v>2016</v>
      </c>
      <c r="F7513" s="1">
        <v>73</v>
      </c>
      <c r="G7513">
        <v>2010</v>
      </c>
      <c r="H7513">
        <f>AVERAGEIFS(Table1[value],Table1[IndicatorCode],Table1[[#This Row],[IndicatorCode]])</f>
        <v>72.66514008620689</v>
      </c>
      <c r="I7513" cm="1">
        <f t="array" ref="I7513">_xlfn.STDEV.P(IF(Table1[IndicatorCode]=Table1[[#This Row],[IndicatorCode]],Table1[value]))</f>
        <v>6.3409496564024987</v>
      </c>
      <c r="J7513">
        <f>(Table1[[#This Row],[value]] - Table1[[#This Row],[mean]]) / Table1[[#This Row],[std_dev]]</f>
        <v>5.2809110927887599E-2</v>
      </c>
      <c r="K7513">
        <f>AVERAGEIF(Table1[CountryCode],Table1[[#This Row],[CountryCode]],Table1[z-score])</f>
        <v>-0.86099801634454787</v>
      </c>
      <c r="L7513" t="e">
        <f>VLOOKUP(Table1[[#This Row],[CountryCode]],[1]!Table1[#All],1,FALSE)</f>
        <v>#REF!</v>
      </c>
    </row>
    <row r="7514" spans="1:12" hidden="1" x14ac:dyDescent="0.3">
      <c r="A7514" t="s">
        <v>17</v>
      </c>
      <c r="B7514" t="s">
        <v>18</v>
      </c>
      <c r="C7514" t="s">
        <v>129</v>
      </c>
      <c r="D7514" t="s">
        <v>130</v>
      </c>
      <c r="E7514">
        <v>2017</v>
      </c>
      <c r="F7514" s="1">
        <v>73</v>
      </c>
      <c r="G7514">
        <v>2020</v>
      </c>
      <c r="H7514">
        <f>AVERAGEIFS(Table1[value],Table1[IndicatorCode],Table1[[#This Row],[IndicatorCode]])</f>
        <v>72.66514008620689</v>
      </c>
      <c r="I7514" cm="1">
        <f t="array" ref="I7514">_xlfn.STDEV.P(IF(Table1[IndicatorCode]=Table1[[#This Row],[IndicatorCode]],Table1[value]))</f>
        <v>6.3409496564024987</v>
      </c>
      <c r="J7514">
        <f>(Table1[[#This Row],[value]] - Table1[[#This Row],[mean]]) / Table1[[#This Row],[std_dev]]</f>
        <v>5.2809110927887599E-2</v>
      </c>
      <c r="K7514">
        <f>AVERAGEIF(Table1[CountryCode],Table1[[#This Row],[CountryCode]],Table1[z-score])</f>
        <v>-0.86099801634454787</v>
      </c>
      <c r="L7514" t="e">
        <f>VLOOKUP(Table1[[#This Row],[CountryCode]],[1]!Table1[#All],1,FALSE)</f>
        <v>#REF!</v>
      </c>
    </row>
    <row r="7515" spans="1:12" hidden="1" x14ac:dyDescent="0.3">
      <c r="A7515" t="s">
        <v>17</v>
      </c>
      <c r="B7515" t="s">
        <v>18</v>
      </c>
      <c r="C7515" t="s">
        <v>129</v>
      </c>
      <c r="D7515" t="s">
        <v>130</v>
      </c>
      <c r="E7515">
        <v>2018</v>
      </c>
      <c r="F7515" s="1">
        <v>73</v>
      </c>
      <c r="G7515">
        <v>2020</v>
      </c>
      <c r="H7515">
        <f>AVERAGEIFS(Table1[value],Table1[IndicatorCode],Table1[[#This Row],[IndicatorCode]])</f>
        <v>72.66514008620689</v>
      </c>
      <c r="I7515" cm="1">
        <f t="array" ref="I7515">_xlfn.STDEV.P(IF(Table1[IndicatorCode]=Table1[[#This Row],[IndicatorCode]],Table1[value]))</f>
        <v>6.3409496564024987</v>
      </c>
      <c r="J7515">
        <f>(Table1[[#This Row],[value]] - Table1[[#This Row],[mean]]) / Table1[[#This Row],[std_dev]]</f>
        <v>5.2809110927887599E-2</v>
      </c>
      <c r="K7515">
        <f>AVERAGEIF(Table1[CountryCode],Table1[[#This Row],[CountryCode]],Table1[z-score])</f>
        <v>-0.86099801634454787</v>
      </c>
      <c r="L7515" t="e">
        <f>VLOOKUP(Table1[[#This Row],[CountryCode]],[1]!Table1[#All],1,FALSE)</f>
        <v>#REF!</v>
      </c>
    </row>
    <row r="7516" spans="1:12" hidden="1" x14ac:dyDescent="0.3">
      <c r="A7516" t="s">
        <v>17</v>
      </c>
      <c r="B7516" t="s">
        <v>18</v>
      </c>
      <c r="C7516" t="s">
        <v>129</v>
      </c>
      <c r="D7516" t="s">
        <v>130</v>
      </c>
      <c r="E7516">
        <v>2019</v>
      </c>
      <c r="F7516" s="1">
        <v>73</v>
      </c>
      <c r="G7516">
        <v>2020</v>
      </c>
      <c r="H7516">
        <f>AVERAGEIFS(Table1[value],Table1[IndicatorCode],Table1[[#This Row],[IndicatorCode]])</f>
        <v>72.66514008620689</v>
      </c>
      <c r="I7516" cm="1">
        <f t="array" ref="I7516">_xlfn.STDEV.P(IF(Table1[IndicatorCode]=Table1[[#This Row],[IndicatorCode]],Table1[value]))</f>
        <v>6.3409496564024987</v>
      </c>
      <c r="J7516">
        <f>(Table1[[#This Row],[value]] - Table1[[#This Row],[mean]]) / Table1[[#This Row],[std_dev]]</f>
        <v>5.2809110927887599E-2</v>
      </c>
      <c r="K7516">
        <f>AVERAGEIF(Table1[CountryCode],Table1[[#This Row],[CountryCode]],Table1[z-score])</f>
        <v>-0.86099801634454787</v>
      </c>
      <c r="L7516" t="e">
        <f>VLOOKUP(Table1[[#This Row],[CountryCode]],[1]!Table1[#All],1,FALSE)</f>
        <v>#REF!</v>
      </c>
    </row>
    <row r="7517" spans="1:12" x14ac:dyDescent="0.3">
      <c r="A7517" t="s">
        <v>17</v>
      </c>
      <c r="B7517" t="s">
        <v>18</v>
      </c>
      <c r="C7517" t="s">
        <v>129</v>
      </c>
      <c r="D7517" t="s">
        <v>130</v>
      </c>
      <c r="E7517">
        <v>2020</v>
      </c>
      <c r="F7517" s="1">
        <v>70</v>
      </c>
      <c r="G7517">
        <v>2020</v>
      </c>
      <c r="H7517">
        <f>AVERAGEIFS(Table1[value],Table1[IndicatorCode],Table1[[#This Row],[IndicatorCode]])</f>
        <v>72.66514008620689</v>
      </c>
      <c r="I7517" cm="1">
        <f t="array" ref="I7517">_xlfn.STDEV.P(IF(Table1[IndicatorCode]=Table1[[#This Row],[IndicatorCode]],Table1[value]))</f>
        <v>6.3409496564024987</v>
      </c>
      <c r="J7517">
        <f>(Table1[[#This Row],[value]] - Table1[[#This Row],[mean]]) / Table1[[#This Row],[std_dev]]</f>
        <v>-0.4203061419224296</v>
      </c>
      <c r="K7517">
        <f>AVERAGEIF(Table1[CountryCode],Table1[[#This Row],[CountryCode]],Table1[z-score])</f>
        <v>-0.86099801634454787</v>
      </c>
    </row>
    <row r="7518" spans="1:12" hidden="1" x14ac:dyDescent="0.3">
      <c r="A7518" t="s">
        <v>17</v>
      </c>
      <c r="B7518" t="s">
        <v>18</v>
      </c>
      <c r="C7518" t="s">
        <v>129</v>
      </c>
      <c r="D7518" t="s">
        <v>130</v>
      </c>
      <c r="E7518">
        <v>2021</v>
      </c>
      <c r="F7518" s="1">
        <v>71</v>
      </c>
      <c r="G7518">
        <v>1960</v>
      </c>
      <c r="H7518">
        <f>AVERAGEIFS(Table1[value],Table1[IndicatorCode],Table1[[#This Row],[IndicatorCode]])</f>
        <v>72.66514008620689</v>
      </c>
      <c r="I7518" cm="1">
        <f t="array" ref="I7518">_xlfn.STDEV.P(IF(Table1[IndicatorCode]=Table1[[#This Row],[IndicatorCode]],Table1[value]))</f>
        <v>6.3409496564024987</v>
      </c>
      <c r="J7518">
        <f>(Table1[[#This Row],[value]] - Table1[[#This Row],[mean]]) / Table1[[#This Row],[std_dev]]</f>
        <v>-0.2626010576389905</v>
      </c>
      <c r="K7518">
        <f>AVERAGEIF(Table1[CountryCode],Table1[[#This Row],[CountryCode]],Table1[z-score])</f>
        <v>-0.86099801634454787</v>
      </c>
      <c r="L7518" t="e">
        <f>VLOOKUP(Table1[[#This Row],[CountryCode]],[1]!Table1[#All],1,FALSE)</f>
        <v>#REF!</v>
      </c>
    </row>
    <row r="7519" spans="1:12" hidden="1" x14ac:dyDescent="0.3">
      <c r="A7519" t="s">
        <v>17</v>
      </c>
      <c r="B7519" t="s">
        <v>18</v>
      </c>
      <c r="C7519" t="s">
        <v>129</v>
      </c>
      <c r="D7519" t="s">
        <v>130</v>
      </c>
      <c r="E7519">
        <v>2022</v>
      </c>
      <c r="F7519" s="1">
        <v>74</v>
      </c>
      <c r="G7519">
        <v>1960</v>
      </c>
      <c r="H7519">
        <f>AVERAGEIFS(Table1[value],Table1[IndicatorCode],Table1[[#This Row],[IndicatorCode]])</f>
        <v>72.66514008620689</v>
      </c>
      <c r="I7519" cm="1">
        <f t="array" ref="I7519">_xlfn.STDEV.P(IF(Table1[IndicatorCode]=Table1[[#This Row],[IndicatorCode]],Table1[value]))</f>
        <v>6.3409496564024987</v>
      </c>
      <c r="J7519">
        <f>(Table1[[#This Row],[value]] - Table1[[#This Row],[mean]]) / Table1[[#This Row],[std_dev]]</f>
        <v>0.21051419521132667</v>
      </c>
      <c r="K7519">
        <f>AVERAGEIF(Table1[CountryCode],Table1[[#This Row],[CountryCode]],Table1[z-score])</f>
        <v>-0.86099801634454787</v>
      </c>
      <c r="L7519" t="e">
        <f>VLOOKUP(Table1[[#This Row],[CountryCode]],[1]!Table1[#All],1,FALSE)</f>
        <v>#REF!</v>
      </c>
    </row>
    <row r="7520" spans="1:12" hidden="1" x14ac:dyDescent="0.3">
      <c r="A7520" t="s">
        <v>17</v>
      </c>
      <c r="B7520" t="s">
        <v>18</v>
      </c>
      <c r="C7520" t="s">
        <v>129</v>
      </c>
      <c r="D7520" t="s">
        <v>130</v>
      </c>
      <c r="E7520">
        <v>2023</v>
      </c>
      <c r="F7520" s="1">
        <v>74</v>
      </c>
      <c r="G7520">
        <v>1960</v>
      </c>
      <c r="H7520">
        <f>AVERAGEIFS(Table1[value],Table1[IndicatorCode],Table1[[#This Row],[IndicatorCode]])</f>
        <v>72.66514008620689</v>
      </c>
      <c r="I7520" cm="1">
        <f t="array" ref="I7520">_xlfn.STDEV.P(IF(Table1[IndicatorCode]=Table1[[#This Row],[IndicatorCode]],Table1[value]))</f>
        <v>6.3409496564024987</v>
      </c>
      <c r="J7520">
        <f>(Table1[[#This Row],[value]] - Table1[[#This Row],[mean]]) / Table1[[#This Row],[std_dev]]</f>
        <v>0.21051419521132667</v>
      </c>
      <c r="K7520">
        <f>AVERAGEIF(Table1[CountryCode],Table1[[#This Row],[CountryCode]],Table1[z-score])</f>
        <v>-0.86099801634454787</v>
      </c>
      <c r="L7520" t="e">
        <f>VLOOKUP(Table1[[#This Row],[CountryCode]],[1]!Table1[#All],1,FALSE)</f>
        <v>#REF!</v>
      </c>
    </row>
    <row r="7521" spans="1:12" hidden="1" x14ac:dyDescent="0.3">
      <c r="A7521" t="s">
        <v>19</v>
      </c>
      <c r="B7521" t="s">
        <v>20</v>
      </c>
      <c r="C7521" t="s">
        <v>129</v>
      </c>
      <c r="D7521" t="s">
        <v>130</v>
      </c>
      <c r="E7521">
        <v>1960</v>
      </c>
      <c r="F7521" s="1">
        <v>70</v>
      </c>
      <c r="G7521">
        <v>1960</v>
      </c>
      <c r="H7521">
        <f>AVERAGEIFS(Table1[value],Table1[IndicatorCode],Table1[[#This Row],[IndicatorCode]])</f>
        <v>72.66514008620689</v>
      </c>
      <c r="I7521" cm="1">
        <f t="array" ref="I7521">_xlfn.STDEV.P(IF(Table1[IndicatorCode]=Table1[[#This Row],[IndicatorCode]],Table1[value]))</f>
        <v>6.3409496564024987</v>
      </c>
      <c r="J7521">
        <f>(Table1[[#This Row],[value]] - Table1[[#This Row],[mean]]) / Table1[[#This Row],[std_dev]]</f>
        <v>-0.4203061419224296</v>
      </c>
      <c r="K7521">
        <f>AVERAGEIF(Table1[CountryCode],Table1[[#This Row],[CountryCode]],Table1[z-score])</f>
        <v>0.41927804487804637</v>
      </c>
      <c r="L7521" t="e">
        <f>VLOOKUP(Table1[[#This Row],[CountryCode]],[1]!Table1[#All],1,FALSE)</f>
        <v>#REF!</v>
      </c>
    </row>
    <row r="7522" spans="1:12" hidden="1" x14ac:dyDescent="0.3">
      <c r="A7522" t="s">
        <v>19</v>
      </c>
      <c r="B7522" t="s">
        <v>20</v>
      </c>
      <c r="C7522" t="s">
        <v>129</v>
      </c>
      <c r="D7522" t="s">
        <v>130</v>
      </c>
      <c r="E7522">
        <v>1961</v>
      </c>
      <c r="F7522" s="1">
        <v>71</v>
      </c>
      <c r="G7522">
        <v>1960</v>
      </c>
      <c r="H7522">
        <f>AVERAGEIFS(Table1[value],Table1[IndicatorCode],Table1[[#This Row],[IndicatorCode]])</f>
        <v>72.66514008620689</v>
      </c>
      <c r="I7522" cm="1">
        <f t="array" ref="I7522">_xlfn.STDEV.P(IF(Table1[IndicatorCode]=Table1[[#This Row],[IndicatorCode]],Table1[value]))</f>
        <v>6.3409496564024987</v>
      </c>
      <c r="J7522">
        <f>(Table1[[#This Row],[value]] - Table1[[#This Row],[mean]]) / Table1[[#This Row],[std_dev]]</f>
        <v>-0.2626010576389905</v>
      </c>
      <c r="K7522">
        <f>AVERAGEIF(Table1[CountryCode],Table1[[#This Row],[CountryCode]],Table1[z-score])</f>
        <v>0.41927804487804637</v>
      </c>
      <c r="L7522" t="e">
        <f>VLOOKUP(Table1[[#This Row],[CountryCode]],[1]!Table1[#All],1,FALSE)</f>
        <v>#REF!</v>
      </c>
    </row>
    <row r="7523" spans="1:12" hidden="1" x14ac:dyDescent="0.3">
      <c r="A7523" t="s">
        <v>19</v>
      </c>
      <c r="B7523" t="s">
        <v>20</v>
      </c>
      <c r="C7523" t="s">
        <v>129</v>
      </c>
      <c r="D7523" t="s">
        <v>130</v>
      </c>
      <c r="E7523">
        <v>1962</v>
      </c>
      <c r="F7523" s="1">
        <v>70</v>
      </c>
      <c r="G7523">
        <v>1960</v>
      </c>
      <c r="H7523">
        <f>AVERAGEIFS(Table1[value],Table1[IndicatorCode],Table1[[#This Row],[IndicatorCode]])</f>
        <v>72.66514008620689</v>
      </c>
      <c r="I7523" cm="1">
        <f t="array" ref="I7523">_xlfn.STDEV.P(IF(Table1[IndicatorCode]=Table1[[#This Row],[IndicatorCode]],Table1[value]))</f>
        <v>6.3409496564024987</v>
      </c>
      <c r="J7523">
        <f>(Table1[[#This Row],[value]] - Table1[[#This Row],[mean]]) / Table1[[#This Row],[std_dev]]</f>
        <v>-0.4203061419224296</v>
      </c>
      <c r="K7523">
        <f>AVERAGEIF(Table1[CountryCode],Table1[[#This Row],[CountryCode]],Table1[z-score])</f>
        <v>0.41927804487804637</v>
      </c>
      <c r="L7523" t="e">
        <f>VLOOKUP(Table1[[#This Row],[CountryCode]],[1]!Table1[#All],1,FALSE)</f>
        <v>#REF!</v>
      </c>
    </row>
    <row r="7524" spans="1:12" hidden="1" x14ac:dyDescent="0.3">
      <c r="A7524" t="s">
        <v>19</v>
      </c>
      <c r="B7524" t="s">
        <v>20</v>
      </c>
      <c r="C7524" t="s">
        <v>129</v>
      </c>
      <c r="D7524" t="s">
        <v>130</v>
      </c>
      <c r="E7524">
        <v>1963</v>
      </c>
      <c r="F7524" s="1">
        <v>70</v>
      </c>
      <c r="G7524">
        <v>1960</v>
      </c>
      <c r="H7524">
        <f>AVERAGEIFS(Table1[value],Table1[IndicatorCode],Table1[[#This Row],[IndicatorCode]])</f>
        <v>72.66514008620689</v>
      </c>
      <c r="I7524" cm="1">
        <f t="array" ref="I7524">_xlfn.STDEV.P(IF(Table1[IndicatorCode]=Table1[[#This Row],[IndicatorCode]],Table1[value]))</f>
        <v>6.3409496564024987</v>
      </c>
      <c r="J7524">
        <f>(Table1[[#This Row],[value]] - Table1[[#This Row],[mean]]) / Table1[[#This Row],[std_dev]]</f>
        <v>-0.4203061419224296</v>
      </c>
      <c r="K7524">
        <f>AVERAGEIF(Table1[CountryCode],Table1[[#This Row],[CountryCode]],Table1[z-score])</f>
        <v>0.41927804487804637</v>
      </c>
      <c r="L7524" t="e">
        <f>VLOOKUP(Table1[[#This Row],[CountryCode]],[1]!Table1[#All],1,FALSE)</f>
        <v>#REF!</v>
      </c>
    </row>
    <row r="7525" spans="1:12" hidden="1" x14ac:dyDescent="0.3">
      <c r="A7525" t="s">
        <v>19</v>
      </c>
      <c r="B7525" t="s">
        <v>20</v>
      </c>
      <c r="C7525" t="s">
        <v>129</v>
      </c>
      <c r="D7525" t="s">
        <v>130</v>
      </c>
      <c r="E7525">
        <v>1964</v>
      </c>
      <c r="F7525" s="1">
        <v>71</v>
      </c>
      <c r="G7525">
        <v>1960</v>
      </c>
      <c r="H7525">
        <f>AVERAGEIFS(Table1[value],Table1[IndicatorCode],Table1[[#This Row],[IndicatorCode]])</f>
        <v>72.66514008620689</v>
      </c>
      <c r="I7525" cm="1">
        <f t="array" ref="I7525">_xlfn.STDEV.P(IF(Table1[IndicatorCode]=Table1[[#This Row],[IndicatorCode]],Table1[value]))</f>
        <v>6.3409496564024987</v>
      </c>
      <c r="J7525">
        <f>(Table1[[#This Row],[value]] - Table1[[#This Row],[mean]]) / Table1[[#This Row],[std_dev]]</f>
        <v>-0.2626010576389905</v>
      </c>
      <c r="K7525">
        <f>AVERAGEIF(Table1[CountryCode],Table1[[#This Row],[CountryCode]],Table1[z-score])</f>
        <v>0.41927804487804637</v>
      </c>
      <c r="L7525" t="e">
        <f>VLOOKUP(Table1[[#This Row],[CountryCode]],[1]!Table1[#All],1,FALSE)</f>
        <v>#REF!</v>
      </c>
    </row>
    <row r="7526" spans="1:12" hidden="1" x14ac:dyDescent="0.3">
      <c r="A7526" t="s">
        <v>19</v>
      </c>
      <c r="B7526" t="s">
        <v>20</v>
      </c>
      <c r="C7526" t="s">
        <v>129</v>
      </c>
      <c r="D7526" t="s">
        <v>130</v>
      </c>
      <c r="E7526">
        <v>1965</v>
      </c>
      <c r="F7526" s="1">
        <v>71</v>
      </c>
      <c r="G7526">
        <v>1960</v>
      </c>
      <c r="H7526">
        <f>AVERAGEIFS(Table1[value],Table1[IndicatorCode],Table1[[#This Row],[IndicatorCode]])</f>
        <v>72.66514008620689</v>
      </c>
      <c r="I7526" cm="1">
        <f t="array" ref="I7526">_xlfn.STDEV.P(IF(Table1[IndicatorCode]=Table1[[#This Row],[IndicatorCode]],Table1[value]))</f>
        <v>6.3409496564024987</v>
      </c>
      <c r="J7526">
        <f>(Table1[[#This Row],[value]] - Table1[[#This Row],[mean]]) / Table1[[#This Row],[std_dev]]</f>
        <v>-0.2626010576389905</v>
      </c>
      <c r="K7526">
        <f>AVERAGEIF(Table1[CountryCode],Table1[[#This Row],[CountryCode]],Table1[z-score])</f>
        <v>0.41927804487804637</v>
      </c>
      <c r="L7526" t="e">
        <f>VLOOKUP(Table1[[#This Row],[CountryCode]],[1]!Table1[#All],1,FALSE)</f>
        <v>#REF!</v>
      </c>
    </row>
    <row r="7527" spans="1:12" hidden="1" x14ac:dyDescent="0.3">
      <c r="A7527" t="s">
        <v>19</v>
      </c>
      <c r="B7527" t="s">
        <v>20</v>
      </c>
      <c r="C7527" t="s">
        <v>129</v>
      </c>
      <c r="D7527" t="s">
        <v>130</v>
      </c>
      <c r="E7527">
        <v>1966</v>
      </c>
      <c r="F7527" s="1">
        <v>71</v>
      </c>
      <c r="G7527">
        <v>1960</v>
      </c>
      <c r="H7527">
        <f>AVERAGEIFS(Table1[value],Table1[IndicatorCode],Table1[[#This Row],[IndicatorCode]])</f>
        <v>72.66514008620689</v>
      </c>
      <c r="I7527" cm="1">
        <f t="array" ref="I7527">_xlfn.STDEV.P(IF(Table1[IndicatorCode]=Table1[[#This Row],[IndicatorCode]],Table1[value]))</f>
        <v>6.3409496564024987</v>
      </c>
      <c r="J7527">
        <f>(Table1[[#This Row],[value]] - Table1[[#This Row],[mean]]) / Table1[[#This Row],[std_dev]]</f>
        <v>-0.2626010576389905</v>
      </c>
      <c r="K7527">
        <f>AVERAGEIF(Table1[CountryCode],Table1[[#This Row],[CountryCode]],Table1[z-score])</f>
        <v>0.41927804487804637</v>
      </c>
      <c r="L7527" t="e">
        <f>VLOOKUP(Table1[[#This Row],[CountryCode]],[1]!Table1[#All],1,FALSE)</f>
        <v>#REF!</v>
      </c>
    </row>
    <row r="7528" spans="1:12" hidden="1" x14ac:dyDescent="0.3">
      <c r="A7528" t="s">
        <v>19</v>
      </c>
      <c r="B7528" t="s">
        <v>20</v>
      </c>
      <c r="C7528" t="s">
        <v>129</v>
      </c>
      <c r="D7528" t="s">
        <v>130</v>
      </c>
      <c r="E7528">
        <v>1967</v>
      </c>
      <c r="F7528" s="1">
        <v>71</v>
      </c>
      <c r="G7528">
        <v>1970</v>
      </c>
      <c r="H7528">
        <f>AVERAGEIFS(Table1[value],Table1[IndicatorCode],Table1[[#This Row],[IndicatorCode]])</f>
        <v>72.66514008620689</v>
      </c>
      <c r="I7528" cm="1">
        <f t="array" ref="I7528">_xlfn.STDEV.P(IF(Table1[IndicatorCode]=Table1[[#This Row],[IndicatorCode]],Table1[value]))</f>
        <v>6.3409496564024987</v>
      </c>
      <c r="J7528">
        <f>(Table1[[#This Row],[value]] - Table1[[#This Row],[mean]]) / Table1[[#This Row],[std_dev]]</f>
        <v>-0.2626010576389905</v>
      </c>
      <c r="K7528">
        <f>AVERAGEIF(Table1[CountryCode],Table1[[#This Row],[CountryCode]],Table1[z-score])</f>
        <v>0.41927804487804637</v>
      </c>
      <c r="L7528" t="e">
        <f>VLOOKUP(Table1[[#This Row],[CountryCode]],[1]!Table1[#All],1,FALSE)</f>
        <v>#REF!</v>
      </c>
    </row>
    <row r="7529" spans="1:12" hidden="1" x14ac:dyDescent="0.3">
      <c r="A7529" t="s">
        <v>19</v>
      </c>
      <c r="B7529" t="s">
        <v>20</v>
      </c>
      <c r="C7529" t="s">
        <v>129</v>
      </c>
      <c r="D7529" t="s">
        <v>130</v>
      </c>
      <c r="E7529">
        <v>1968</v>
      </c>
      <c r="F7529" s="1">
        <v>71</v>
      </c>
      <c r="G7529">
        <v>1970</v>
      </c>
      <c r="H7529">
        <f>AVERAGEIFS(Table1[value],Table1[IndicatorCode],Table1[[#This Row],[IndicatorCode]])</f>
        <v>72.66514008620689</v>
      </c>
      <c r="I7529" cm="1">
        <f t="array" ref="I7529">_xlfn.STDEV.P(IF(Table1[IndicatorCode]=Table1[[#This Row],[IndicatorCode]],Table1[value]))</f>
        <v>6.3409496564024987</v>
      </c>
      <c r="J7529">
        <f>(Table1[[#This Row],[value]] - Table1[[#This Row],[mean]]) / Table1[[#This Row],[std_dev]]</f>
        <v>-0.2626010576389905</v>
      </c>
      <c r="K7529">
        <f>AVERAGEIF(Table1[CountryCode],Table1[[#This Row],[CountryCode]],Table1[z-score])</f>
        <v>0.41927804487804637</v>
      </c>
      <c r="L7529" t="e">
        <f>VLOOKUP(Table1[[#This Row],[CountryCode]],[1]!Table1[#All],1,FALSE)</f>
        <v>#REF!</v>
      </c>
    </row>
    <row r="7530" spans="1:12" hidden="1" x14ac:dyDescent="0.3">
      <c r="A7530" t="s">
        <v>19</v>
      </c>
      <c r="B7530" t="s">
        <v>20</v>
      </c>
      <c r="C7530" t="s">
        <v>129</v>
      </c>
      <c r="D7530" t="s">
        <v>130</v>
      </c>
      <c r="E7530">
        <v>1969</v>
      </c>
      <c r="F7530" s="1">
        <v>71</v>
      </c>
      <c r="G7530">
        <v>1970</v>
      </c>
      <c r="H7530">
        <f>AVERAGEIFS(Table1[value],Table1[IndicatorCode],Table1[[#This Row],[IndicatorCode]])</f>
        <v>72.66514008620689</v>
      </c>
      <c r="I7530" cm="1">
        <f t="array" ref="I7530">_xlfn.STDEV.P(IF(Table1[IndicatorCode]=Table1[[#This Row],[IndicatorCode]],Table1[value]))</f>
        <v>6.3409496564024987</v>
      </c>
      <c r="J7530">
        <f>(Table1[[#This Row],[value]] - Table1[[#This Row],[mean]]) / Table1[[#This Row],[std_dev]]</f>
        <v>-0.2626010576389905</v>
      </c>
      <c r="K7530">
        <f>AVERAGEIF(Table1[CountryCode],Table1[[#This Row],[CountryCode]],Table1[z-score])</f>
        <v>0.41927804487804637</v>
      </c>
      <c r="L7530" t="e">
        <f>VLOOKUP(Table1[[#This Row],[CountryCode]],[1]!Table1[#All],1,FALSE)</f>
        <v>#REF!</v>
      </c>
    </row>
    <row r="7531" spans="1:12" hidden="1" x14ac:dyDescent="0.3">
      <c r="A7531" t="s">
        <v>19</v>
      </c>
      <c r="B7531" t="s">
        <v>20</v>
      </c>
      <c r="C7531" t="s">
        <v>129</v>
      </c>
      <c r="D7531" t="s">
        <v>130</v>
      </c>
      <c r="E7531">
        <v>1970</v>
      </c>
      <c r="F7531" s="1">
        <v>71</v>
      </c>
      <c r="G7531">
        <v>1970</v>
      </c>
      <c r="H7531">
        <f>AVERAGEIFS(Table1[value],Table1[IndicatorCode],Table1[[#This Row],[IndicatorCode]])</f>
        <v>72.66514008620689</v>
      </c>
      <c r="I7531" cm="1">
        <f t="array" ref="I7531">_xlfn.STDEV.P(IF(Table1[IndicatorCode]=Table1[[#This Row],[IndicatorCode]],Table1[value]))</f>
        <v>6.3409496564024987</v>
      </c>
      <c r="J7531">
        <f>(Table1[[#This Row],[value]] - Table1[[#This Row],[mean]]) / Table1[[#This Row],[std_dev]]</f>
        <v>-0.2626010576389905</v>
      </c>
      <c r="K7531">
        <f>AVERAGEIF(Table1[CountryCode],Table1[[#This Row],[CountryCode]],Table1[z-score])</f>
        <v>0.41927804487804637</v>
      </c>
      <c r="L7531" t="e">
        <f>VLOOKUP(Table1[[#This Row],[CountryCode]],[1]!Table1[#All],1,FALSE)</f>
        <v>#REF!</v>
      </c>
    </row>
    <row r="7532" spans="1:12" hidden="1" x14ac:dyDescent="0.3">
      <c r="A7532" t="s">
        <v>19</v>
      </c>
      <c r="B7532" t="s">
        <v>20</v>
      </c>
      <c r="C7532" t="s">
        <v>129</v>
      </c>
      <c r="D7532" t="s">
        <v>130</v>
      </c>
      <c r="E7532">
        <v>1971</v>
      </c>
      <c r="F7532" s="1">
        <v>71</v>
      </c>
      <c r="G7532">
        <v>1970</v>
      </c>
      <c r="H7532">
        <f>AVERAGEIFS(Table1[value],Table1[IndicatorCode],Table1[[#This Row],[IndicatorCode]])</f>
        <v>72.66514008620689</v>
      </c>
      <c r="I7532" cm="1">
        <f t="array" ref="I7532">_xlfn.STDEV.P(IF(Table1[IndicatorCode]=Table1[[#This Row],[IndicatorCode]],Table1[value]))</f>
        <v>6.3409496564024987</v>
      </c>
      <c r="J7532">
        <f>(Table1[[#This Row],[value]] - Table1[[#This Row],[mean]]) / Table1[[#This Row],[std_dev]]</f>
        <v>-0.2626010576389905</v>
      </c>
      <c r="K7532">
        <f>AVERAGEIF(Table1[CountryCode],Table1[[#This Row],[CountryCode]],Table1[z-score])</f>
        <v>0.41927804487804637</v>
      </c>
      <c r="L7532" t="e">
        <f>VLOOKUP(Table1[[#This Row],[CountryCode]],[1]!Table1[#All],1,FALSE)</f>
        <v>#REF!</v>
      </c>
    </row>
    <row r="7533" spans="1:12" hidden="1" x14ac:dyDescent="0.3">
      <c r="A7533" t="s">
        <v>19</v>
      </c>
      <c r="B7533" t="s">
        <v>20</v>
      </c>
      <c r="C7533" t="s">
        <v>129</v>
      </c>
      <c r="D7533" t="s">
        <v>130</v>
      </c>
      <c r="E7533">
        <v>1972</v>
      </c>
      <c r="F7533" s="1">
        <v>71</v>
      </c>
      <c r="G7533">
        <v>1970</v>
      </c>
      <c r="H7533">
        <f>AVERAGEIFS(Table1[value],Table1[IndicatorCode],Table1[[#This Row],[IndicatorCode]])</f>
        <v>72.66514008620689</v>
      </c>
      <c r="I7533" cm="1">
        <f t="array" ref="I7533">_xlfn.STDEV.P(IF(Table1[IndicatorCode]=Table1[[#This Row],[IndicatorCode]],Table1[value]))</f>
        <v>6.3409496564024987</v>
      </c>
      <c r="J7533">
        <f>(Table1[[#This Row],[value]] - Table1[[#This Row],[mean]]) / Table1[[#This Row],[std_dev]]</f>
        <v>-0.2626010576389905</v>
      </c>
      <c r="K7533">
        <f>AVERAGEIF(Table1[CountryCode],Table1[[#This Row],[CountryCode]],Table1[z-score])</f>
        <v>0.41927804487804637</v>
      </c>
      <c r="L7533" t="e">
        <f>VLOOKUP(Table1[[#This Row],[CountryCode]],[1]!Table1[#All],1,FALSE)</f>
        <v>#REF!</v>
      </c>
    </row>
    <row r="7534" spans="1:12" hidden="1" x14ac:dyDescent="0.3">
      <c r="A7534" t="s">
        <v>19</v>
      </c>
      <c r="B7534" t="s">
        <v>20</v>
      </c>
      <c r="C7534" t="s">
        <v>129</v>
      </c>
      <c r="D7534" t="s">
        <v>130</v>
      </c>
      <c r="E7534">
        <v>1973</v>
      </c>
      <c r="F7534" s="1">
        <v>72</v>
      </c>
      <c r="G7534">
        <v>1970</v>
      </c>
      <c r="H7534">
        <f>AVERAGEIFS(Table1[value],Table1[IndicatorCode],Table1[[#This Row],[IndicatorCode]])</f>
        <v>72.66514008620689</v>
      </c>
      <c r="I7534" cm="1">
        <f t="array" ref="I7534">_xlfn.STDEV.P(IF(Table1[IndicatorCode]=Table1[[#This Row],[IndicatorCode]],Table1[value]))</f>
        <v>6.3409496564024987</v>
      </c>
      <c r="J7534">
        <f>(Table1[[#This Row],[value]] - Table1[[#This Row],[mean]]) / Table1[[#This Row],[std_dev]]</f>
        <v>-0.10489597335555145</v>
      </c>
      <c r="K7534">
        <f>AVERAGEIF(Table1[CountryCode],Table1[[#This Row],[CountryCode]],Table1[z-score])</f>
        <v>0.41927804487804637</v>
      </c>
      <c r="L7534" t="e">
        <f>VLOOKUP(Table1[[#This Row],[CountryCode]],[1]!Table1[#All],1,FALSE)</f>
        <v>#REF!</v>
      </c>
    </row>
    <row r="7535" spans="1:12" hidden="1" x14ac:dyDescent="0.3">
      <c r="A7535" t="s">
        <v>19</v>
      </c>
      <c r="B7535" t="s">
        <v>20</v>
      </c>
      <c r="C7535" t="s">
        <v>129</v>
      </c>
      <c r="D7535" t="s">
        <v>130</v>
      </c>
      <c r="E7535">
        <v>1974</v>
      </c>
      <c r="F7535" s="1">
        <v>72</v>
      </c>
      <c r="G7535">
        <v>1970</v>
      </c>
      <c r="H7535">
        <f>AVERAGEIFS(Table1[value],Table1[IndicatorCode],Table1[[#This Row],[IndicatorCode]])</f>
        <v>72.66514008620689</v>
      </c>
      <c r="I7535" cm="1">
        <f t="array" ref="I7535">_xlfn.STDEV.P(IF(Table1[IndicatorCode]=Table1[[#This Row],[IndicatorCode]],Table1[value]))</f>
        <v>6.3409496564024987</v>
      </c>
      <c r="J7535">
        <f>(Table1[[#This Row],[value]] - Table1[[#This Row],[mean]]) / Table1[[#This Row],[std_dev]]</f>
        <v>-0.10489597335555145</v>
      </c>
      <c r="K7535">
        <f>AVERAGEIF(Table1[CountryCode],Table1[[#This Row],[CountryCode]],Table1[z-score])</f>
        <v>0.41927804487804637</v>
      </c>
      <c r="L7535" t="e">
        <f>VLOOKUP(Table1[[#This Row],[CountryCode]],[1]!Table1[#All],1,FALSE)</f>
        <v>#REF!</v>
      </c>
    </row>
    <row r="7536" spans="1:12" hidden="1" x14ac:dyDescent="0.3">
      <c r="A7536" t="s">
        <v>19</v>
      </c>
      <c r="B7536" t="s">
        <v>20</v>
      </c>
      <c r="C7536" t="s">
        <v>129</v>
      </c>
      <c r="D7536" t="s">
        <v>130</v>
      </c>
      <c r="E7536">
        <v>1975</v>
      </c>
      <c r="F7536" s="1">
        <v>72</v>
      </c>
      <c r="G7536">
        <v>1970</v>
      </c>
      <c r="H7536">
        <f>AVERAGEIFS(Table1[value],Table1[IndicatorCode],Table1[[#This Row],[IndicatorCode]])</f>
        <v>72.66514008620689</v>
      </c>
      <c r="I7536" cm="1">
        <f t="array" ref="I7536">_xlfn.STDEV.P(IF(Table1[IndicatorCode]=Table1[[#This Row],[IndicatorCode]],Table1[value]))</f>
        <v>6.3409496564024987</v>
      </c>
      <c r="J7536">
        <f>(Table1[[#This Row],[value]] - Table1[[#This Row],[mean]]) / Table1[[#This Row],[std_dev]]</f>
        <v>-0.10489597335555145</v>
      </c>
      <c r="K7536">
        <f>AVERAGEIF(Table1[CountryCode],Table1[[#This Row],[CountryCode]],Table1[z-score])</f>
        <v>0.41927804487804637</v>
      </c>
      <c r="L7536" t="e">
        <f>VLOOKUP(Table1[[#This Row],[CountryCode]],[1]!Table1[#All],1,FALSE)</f>
        <v>#REF!</v>
      </c>
    </row>
    <row r="7537" spans="1:12" hidden="1" x14ac:dyDescent="0.3">
      <c r="A7537" t="s">
        <v>19</v>
      </c>
      <c r="B7537" t="s">
        <v>20</v>
      </c>
      <c r="C7537" t="s">
        <v>129</v>
      </c>
      <c r="D7537" t="s">
        <v>130</v>
      </c>
      <c r="E7537">
        <v>1976</v>
      </c>
      <c r="F7537" s="1">
        <v>72</v>
      </c>
      <c r="G7537">
        <v>1970</v>
      </c>
      <c r="H7537">
        <f>AVERAGEIFS(Table1[value],Table1[IndicatorCode],Table1[[#This Row],[IndicatorCode]])</f>
        <v>72.66514008620689</v>
      </c>
      <c r="I7537" cm="1">
        <f t="array" ref="I7537">_xlfn.STDEV.P(IF(Table1[IndicatorCode]=Table1[[#This Row],[IndicatorCode]],Table1[value]))</f>
        <v>6.3409496564024987</v>
      </c>
      <c r="J7537">
        <f>(Table1[[#This Row],[value]] - Table1[[#This Row],[mean]]) / Table1[[#This Row],[std_dev]]</f>
        <v>-0.10489597335555145</v>
      </c>
      <c r="K7537">
        <f>AVERAGEIF(Table1[CountryCode],Table1[[#This Row],[CountryCode]],Table1[z-score])</f>
        <v>0.41927804487804637</v>
      </c>
      <c r="L7537" t="e">
        <f>VLOOKUP(Table1[[#This Row],[CountryCode]],[1]!Table1[#All],1,FALSE)</f>
        <v>#REF!</v>
      </c>
    </row>
    <row r="7538" spans="1:12" hidden="1" x14ac:dyDescent="0.3">
      <c r="A7538" t="s">
        <v>19</v>
      </c>
      <c r="B7538" t="s">
        <v>20</v>
      </c>
      <c r="C7538" t="s">
        <v>129</v>
      </c>
      <c r="D7538" t="s">
        <v>130</v>
      </c>
      <c r="E7538">
        <v>1977</v>
      </c>
      <c r="F7538" s="1">
        <v>73</v>
      </c>
      <c r="G7538">
        <v>1980</v>
      </c>
      <c r="H7538">
        <f>AVERAGEIFS(Table1[value],Table1[IndicatorCode],Table1[[#This Row],[IndicatorCode]])</f>
        <v>72.66514008620689</v>
      </c>
      <c r="I7538" cm="1">
        <f t="array" ref="I7538">_xlfn.STDEV.P(IF(Table1[IndicatorCode]=Table1[[#This Row],[IndicatorCode]],Table1[value]))</f>
        <v>6.3409496564024987</v>
      </c>
      <c r="J7538">
        <f>(Table1[[#This Row],[value]] - Table1[[#This Row],[mean]]) / Table1[[#This Row],[std_dev]]</f>
        <v>5.2809110927887599E-2</v>
      </c>
      <c r="K7538">
        <f>AVERAGEIF(Table1[CountryCode],Table1[[#This Row],[CountryCode]],Table1[z-score])</f>
        <v>0.41927804487804637</v>
      </c>
      <c r="L7538" t="e">
        <f>VLOOKUP(Table1[[#This Row],[CountryCode]],[1]!Table1[#All],1,FALSE)</f>
        <v>#REF!</v>
      </c>
    </row>
    <row r="7539" spans="1:12" hidden="1" x14ac:dyDescent="0.3">
      <c r="A7539" t="s">
        <v>19</v>
      </c>
      <c r="B7539" t="s">
        <v>20</v>
      </c>
      <c r="C7539" t="s">
        <v>129</v>
      </c>
      <c r="D7539" t="s">
        <v>130</v>
      </c>
      <c r="E7539">
        <v>1978</v>
      </c>
      <c r="F7539" s="1">
        <v>73</v>
      </c>
      <c r="G7539">
        <v>1980</v>
      </c>
      <c r="H7539">
        <f>AVERAGEIFS(Table1[value],Table1[IndicatorCode],Table1[[#This Row],[IndicatorCode]])</f>
        <v>72.66514008620689</v>
      </c>
      <c r="I7539" cm="1">
        <f t="array" ref="I7539">_xlfn.STDEV.P(IF(Table1[IndicatorCode]=Table1[[#This Row],[IndicatorCode]],Table1[value]))</f>
        <v>6.3409496564024987</v>
      </c>
      <c r="J7539">
        <f>(Table1[[#This Row],[value]] - Table1[[#This Row],[mean]]) / Table1[[#This Row],[std_dev]]</f>
        <v>5.2809110927887599E-2</v>
      </c>
      <c r="K7539">
        <f>AVERAGEIF(Table1[CountryCode],Table1[[#This Row],[CountryCode]],Table1[z-score])</f>
        <v>0.41927804487804637</v>
      </c>
      <c r="L7539" t="e">
        <f>VLOOKUP(Table1[[#This Row],[CountryCode]],[1]!Table1[#All],1,FALSE)</f>
        <v>#REF!</v>
      </c>
    </row>
    <row r="7540" spans="1:12" hidden="1" x14ac:dyDescent="0.3">
      <c r="A7540" t="s">
        <v>19</v>
      </c>
      <c r="B7540" t="s">
        <v>20</v>
      </c>
      <c r="C7540" t="s">
        <v>129</v>
      </c>
      <c r="D7540" t="s">
        <v>130</v>
      </c>
      <c r="E7540">
        <v>1979</v>
      </c>
      <c r="F7540" s="1">
        <v>73</v>
      </c>
      <c r="G7540">
        <v>1980</v>
      </c>
      <c r="H7540">
        <f>AVERAGEIFS(Table1[value],Table1[IndicatorCode],Table1[[#This Row],[IndicatorCode]])</f>
        <v>72.66514008620689</v>
      </c>
      <c r="I7540" cm="1">
        <f t="array" ref="I7540">_xlfn.STDEV.P(IF(Table1[IndicatorCode]=Table1[[#This Row],[IndicatorCode]],Table1[value]))</f>
        <v>6.3409496564024987</v>
      </c>
      <c r="J7540">
        <f>(Table1[[#This Row],[value]] - Table1[[#This Row],[mean]]) / Table1[[#This Row],[std_dev]]</f>
        <v>5.2809110927887599E-2</v>
      </c>
      <c r="K7540">
        <f>AVERAGEIF(Table1[CountryCode],Table1[[#This Row],[CountryCode]],Table1[z-score])</f>
        <v>0.41927804487804637</v>
      </c>
      <c r="L7540" t="e">
        <f>VLOOKUP(Table1[[#This Row],[CountryCode]],[1]!Table1[#All],1,FALSE)</f>
        <v>#REF!</v>
      </c>
    </row>
    <row r="7541" spans="1:12" hidden="1" x14ac:dyDescent="0.3">
      <c r="A7541" t="s">
        <v>19</v>
      </c>
      <c r="B7541" t="s">
        <v>20</v>
      </c>
      <c r="C7541" t="s">
        <v>129</v>
      </c>
      <c r="D7541" t="s">
        <v>130</v>
      </c>
      <c r="E7541">
        <v>1980</v>
      </c>
      <c r="F7541" s="1">
        <v>73</v>
      </c>
      <c r="G7541">
        <v>1980</v>
      </c>
      <c r="H7541">
        <f>AVERAGEIFS(Table1[value],Table1[IndicatorCode],Table1[[#This Row],[IndicatorCode]])</f>
        <v>72.66514008620689</v>
      </c>
      <c r="I7541" cm="1">
        <f t="array" ref="I7541">_xlfn.STDEV.P(IF(Table1[IndicatorCode]=Table1[[#This Row],[IndicatorCode]],Table1[value]))</f>
        <v>6.3409496564024987</v>
      </c>
      <c r="J7541">
        <f>(Table1[[#This Row],[value]] - Table1[[#This Row],[mean]]) / Table1[[#This Row],[std_dev]]</f>
        <v>5.2809110927887599E-2</v>
      </c>
      <c r="K7541">
        <f>AVERAGEIF(Table1[CountryCode],Table1[[#This Row],[CountryCode]],Table1[z-score])</f>
        <v>0.41927804487804637</v>
      </c>
      <c r="L7541" t="e">
        <f>VLOOKUP(Table1[[#This Row],[CountryCode]],[1]!Table1[#All],1,FALSE)</f>
        <v>#REF!</v>
      </c>
    </row>
    <row r="7542" spans="1:12" hidden="1" x14ac:dyDescent="0.3">
      <c r="A7542" t="s">
        <v>19</v>
      </c>
      <c r="B7542" t="s">
        <v>20</v>
      </c>
      <c r="C7542" t="s">
        <v>129</v>
      </c>
      <c r="D7542" t="s">
        <v>130</v>
      </c>
      <c r="E7542">
        <v>1981</v>
      </c>
      <c r="F7542" s="1">
        <v>74</v>
      </c>
      <c r="G7542">
        <v>1980</v>
      </c>
      <c r="H7542">
        <f>AVERAGEIFS(Table1[value],Table1[IndicatorCode],Table1[[#This Row],[IndicatorCode]])</f>
        <v>72.66514008620689</v>
      </c>
      <c r="I7542" cm="1">
        <f t="array" ref="I7542">_xlfn.STDEV.P(IF(Table1[IndicatorCode]=Table1[[#This Row],[IndicatorCode]],Table1[value]))</f>
        <v>6.3409496564024987</v>
      </c>
      <c r="J7542">
        <f>(Table1[[#This Row],[value]] - Table1[[#This Row],[mean]]) / Table1[[#This Row],[std_dev]]</f>
        <v>0.21051419521132667</v>
      </c>
      <c r="K7542">
        <f>AVERAGEIF(Table1[CountryCode],Table1[[#This Row],[CountryCode]],Table1[z-score])</f>
        <v>0.41927804487804637</v>
      </c>
      <c r="L7542" t="e">
        <f>VLOOKUP(Table1[[#This Row],[CountryCode]],[1]!Table1[#All],1,FALSE)</f>
        <v>#REF!</v>
      </c>
    </row>
    <row r="7543" spans="1:12" hidden="1" x14ac:dyDescent="0.3">
      <c r="A7543" t="s">
        <v>19</v>
      </c>
      <c r="B7543" t="s">
        <v>20</v>
      </c>
      <c r="C7543" t="s">
        <v>129</v>
      </c>
      <c r="D7543" t="s">
        <v>130</v>
      </c>
      <c r="E7543">
        <v>1982</v>
      </c>
      <c r="F7543" s="1">
        <v>74</v>
      </c>
      <c r="G7543">
        <v>1980</v>
      </c>
      <c r="H7543">
        <f>AVERAGEIFS(Table1[value],Table1[IndicatorCode],Table1[[#This Row],[IndicatorCode]])</f>
        <v>72.66514008620689</v>
      </c>
      <c r="I7543" cm="1">
        <f t="array" ref="I7543">_xlfn.STDEV.P(IF(Table1[IndicatorCode]=Table1[[#This Row],[IndicatorCode]],Table1[value]))</f>
        <v>6.3409496564024987</v>
      </c>
      <c r="J7543">
        <f>(Table1[[#This Row],[value]] - Table1[[#This Row],[mean]]) / Table1[[#This Row],[std_dev]]</f>
        <v>0.21051419521132667</v>
      </c>
      <c r="K7543">
        <f>AVERAGEIF(Table1[CountryCode],Table1[[#This Row],[CountryCode]],Table1[z-score])</f>
        <v>0.41927804487804637</v>
      </c>
      <c r="L7543" t="e">
        <f>VLOOKUP(Table1[[#This Row],[CountryCode]],[1]!Table1[#All],1,FALSE)</f>
        <v>#REF!</v>
      </c>
    </row>
    <row r="7544" spans="1:12" hidden="1" x14ac:dyDescent="0.3">
      <c r="A7544" t="s">
        <v>19</v>
      </c>
      <c r="B7544" t="s">
        <v>20</v>
      </c>
      <c r="C7544" t="s">
        <v>129</v>
      </c>
      <c r="D7544" t="s">
        <v>130</v>
      </c>
      <c r="E7544">
        <v>1983</v>
      </c>
      <c r="F7544" s="1">
        <v>74</v>
      </c>
      <c r="G7544">
        <v>1980</v>
      </c>
      <c r="H7544">
        <f>AVERAGEIFS(Table1[value],Table1[IndicatorCode],Table1[[#This Row],[IndicatorCode]])</f>
        <v>72.66514008620689</v>
      </c>
      <c r="I7544" cm="1">
        <f t="array" ref="I7544">_xlfn.STDEV.P(IF(Table1[IndicatorCode]=Table1[[#This Row],[IndicatorCode]],Table1[value]))</f>
        <v>6.3409496564024987</v>
      </c>
      <c r="J7544">
        <f>(Table1[[#This Row],[value]] - Table1[[#This Row],[mean]]) / Table1[[#This Row],[std_dev]]</f>
        <v>0.21051419521132667</v>
      </c>
      <c r="K7544">
        <f>AVERAGEIF(Table1[CountryCode],Table1[[#This Row],[CountryCode]],Table1[z-score])</f>
        <v>0.41927804487804637</v>
      </c>
      <c r="L7544" t="e">
        <f>VLOOKUP(Table1[[#This Row],[CountryCode]],[1]!Table1[#All],1,FALSE)</f>
        <v>#REF!</v>
      </c>
    </row>
    <row r="7545" spans="1:12" hidden="1" x14ac:dyDescent="0.3">
      <c r="A7545" t="s">
        <v>19</v>
      </c>
      <c r="B7545" t="s">
        <v>20</v>
      </c>
      <c r="C7545" t="s">
        <v>129</v>
      </c>
      <c r="D7545" t="s">
        <v>130</v>
      </c>
      <c r="E7545">
        <v>1984</v>
      </c>
      <c r="F7545" s="1">
        <v>74</v>
      </c>
      <c r="G7545">
        <v>1980</v>
      </c>
      <c r="H7545">
        <f>AVERAGEIFS(Table1[value],Table1[IndicatorCode],Table1[[#This Row],[IndicatorCode]])</f>
        <v>72.66514008620689</v>
      </c>
      <c r="I7545" cm="1">
        <f t="array" ref="I7545">_xlfn.STDEV.P(IF(Table1[IndicatorCode]=Table1[[#This Row],[IndicatorCode]],Table1[value]))</f>
        <v>6.3409496564024987</v>
      </c>
      <c r="J7545">
        <f>(Table1[[#This Row],[value]] - Table1[[#This Row],[mean]]) / Table1[[#This Row],[std_dev]]</f>
        <v>0.21051419521132667</v>
      </c>
      <c r="K7545">
        <f>AVERAGEIF(Table1[CountryCode],Table1[[#This Row],[CountryCode]],Table1[z-score])</f>
        <v>0.41927804487804637</v>
      </c>
      <c r="L7545" t="e">
        <f>VLOOKUP(Table1[[#This Row],[CountryCode]],[1]!Table1[#All],1,FALSE)</f>
        <v>#REF!</v>
      </c>
    </row>
    <row r="7546" spans="1:12" hidden="1" x14ac:dyDescent="0.3">
      <c r="A7546" t="s">
        <v>19</v>
      </c>
      <c r="B7546" t="s">
        <v>20</v>
      </c>
      <c r="C7546" t="s">
        <v>129</v>
      </c>
      <c r="D7546" t="s">
        <v>130</v>
      </c>
      <c r="E7546">
        <v>1985</v>
      </c>
      <c r="F7546" s="1">
        <v>75</v>
      </c>
      <c r="G7546">
        <v>1980</v>
      </c>
      <c r="H7546">
        <f>AVERAGEIFS(Table1[value],Table1[IndicatorCode],Table1[[#This Row],[IndicatorCode]])</f>
        <v>72.66514008620689</v>
      </c>
      <c r="I7546" cm="1">
        <f t="array" ref="I7546">_xlfn.STDEV.P(IF(Table1[IndicatorCode]=Table1[[#This Row],[IndicatorCode]],Table1[value]))</f>
        <v>6.3409496564024987</v>
      </c>
      <c r="J7546">
        <f>(Table1[[#This Row],[value]] - Table1[[#This Row],[mean]]) / Table1[[#This Row],[std_dev]]</f>
        <v>0.36821927949476574</v>
      </c>
      <c r="K7546">
        <f>AVERAGEIF(Table1[CountryCode],Table1[[#This Row],[CountryCode]],Table1[z-score])</f>
        <v>0.41927804487804637</v>
      </c>
      <c r="L7546" t="e">
        <f>VLOOKUP(Table1[[#This Row],[CountryCode]],[1]!Table1[#All],1,FALSE)</f>
        <v>#REF!</v>
      </c>
    </row>
    <row r="7547" spans="1:12" hidden="1" x14ac:dyDescent="0.3">
      <c r="A7547" t="s">
        <v>19</v>
      </c>
      <c r="B7547" t="s">
        <v>20</v>
      </c>
      <c r="C7547" t="s">
        <v>129</v>
      </c>
      <c r="D7547" t="s">
        <v>130</v>
      </c>
      <c r="E7547">
        <v>1986</v>
      </c>
      <c r="F7547" s="1">
        <v>75</v>
      </c>
      <c r="G7547">
        <v>1980</v>
      </c>
      <c r="H7547">
        <f>AVERAGEIFS(Table1[value],Table1[IndicatorCode],Table1[[#This Row],[IndicatorCode]])</f>
        <v>72.66514008620689</v>
      </c>
      <c r="I7547" cm="1">
        <f t="array" ref="I7547">_xlfn.STDEV.P(IF(Table1[IndicatorCode]=Table1[[#This Row],[IndicatorCode]],Table1[value]))</f>
        <v>6.3409496564024987</v>
      </c>
      <c r="J7547">
        <f>(Table1[[#This Row],[value]] - Table1[[#This Row],[mean]]) / Table1[[#This Row],[std_dev]]</f>
        <v>0.36821927949476574</v>
      </c>
      <c r="K7547">
        <f>AVERAGEIF(Table1[CountryCode],Table1[[#This Row],[CountryCode]],Table1[z-score])</f>
        <v>0.41927804487804637</v>
      </c>
      <c r="L7547" t="e">
        <f>VLOOKUP(Table1[[#This Row],[CountryCode]],[1]!Table1[#All],1,FALSE)</f>
        <v>#REF!</v>
      </c>
    </row>
    <row r="7548" spans="1:12" hidden="1" x14ac:dyDescent="0.3">
      <c r="A7548" t="s">
        <v>19</v>
      </c>
      <c r="B7548" t="s">
        <v>20</v>
      </c>
      <c r="C7548" t="s">
        <v>129</v>
      </c>
      <c r="D7548" t="s">
        <v>130</v>
      </c>
      <c r="E7548">
        <v>1987</v>
      </c>
      <c r="F7548" s="1">
        <v>75</v>
      </c>
      <c r="G7548">
        <v>1990</v>
      </c>
      <c r="H7548">
        <f>AVERAGEIFS(Table1[value],Table1[IndicatorCode],Table1[[#This Row],[IndicatorCode]])</f>
        <v>72.66514008620689</v>
      </c>
      <c r="I7548" cm="1">
        <f t="array" ref="I7548">_xlfn.STDEV.P(IF(Table1[IndicatorCode]=Table1[[#This Row],[IndicatorCode]],Table1[value]))</f>
        <v>6.3409496564024987</v>
      </c>
      <c r="J7548">
        <f>(Table1[[#This Row],[value]] - Table1[[#This Row],[mean]]) / Table1[[#This Row],[std_dev]]</f>
        <v>0.36821927949476574</v>
      </c>
      <c r="K7548">
        <f>AVERAGEIF(Table1[CountryCode],Table1[[#This Row],[CountryCode]],Table1[z-score])</f>
        <v>0.41927804487804637</v>
      </c>
      <c r="L7548" t="e">
        <f>VLOOKUP(Table1[[#This Row],[CountryCode]],[1]!Table1[#All],1,FALSE)</f>
        <v>#REF!</v>
      </c>
    </row>
    <row r="7549" spans="1:12" hidden="1" x14ac:dyDescent="0.3">
      <c r="A7549" t="s">
        <v>19</v>
      </c>
      <c r="B7549" t="s">
        <v>20</v>
      </c>
      <c r="C7549" t="s">
        <v>129</v>
      </c>
      <c r="D7549" t="s">
        <v>130</v>
      </c>
      <c r="E7549">
        <v>1988</v>
      </c>
      <c r="F7549" s="1">
        <v>76</v>
      </c>
      <c r="G7549">
        <v>1990</v>
      </c>
      <c r="H7549">
        <f>AVERAGEIFS(Table1[value],Table1[IndicatorCode],Table1[[#This Row],[IndicatorCode]])</f>
        <v>72.66514008620689</v>
      </c>
      <c r="I7549" cm="1">
        <f t="array" ref="I7549">_xlfn.STDEV.P(IF(Table1[IndicatorCode]=Table1[[#This Row],[IndicatorCode]],Table1[value]))</f>
        <v>6.3409496564024987</v>
      </c>
      <c r="J7549">
        <f>(Table1[[#This Row],[value]] - Table1[[#This Row],[mean]]) / Table1[[#This Row],[std_dev]]</f>
        <v>0.52592436377820473</v>
      </c>
      <c r="K7549">
        <f>AVERAGEIF(Table1[CountryCode],Table1[[#This Row],[CountryCode]],Table1[z-score])</f>
        <v>0.41927804487804637</v>
      </c>
      <c r="L7549" t="e">
        <f>VLOOKUP(Table1[[#This Row],[CountryCode]],[1]!Table1[#All],1,FALSE)</f>
        <v>#REF!</v>
      </c>
    </row>
    <row r="7550" spans="1:12" hidden="1" x14ac:dyDescent="0.3">
      <c r="A7550" t="s">
        <v>19</v>
      </c>
      <c r="B7550" t="s">
        <v>20</v>
      </c>
      <c r="C7550" t="s">
        <v>129</v>
      </c>
      <c r="D7550" t="s">
        <v>130</v>
      </c>
      <c r="E7550">
        <v>1989</v>
      </c>
      <c r="F7550" s="1">
        <v>76</v>
      </c>
      <c r="G7550">
        <v>1990</v>
      </c>
      <c r="H7550">
        <f>AVERAGEIFS(Table1[value],Table1[IndicatorCode],Table1[[#This Row],[IndicatorCode]])</f>
        <v>72.66514008620689</v>
      </c>
      <c r="I7550" cm="1">
        <f t="array" ref="I7550">_xlfn.STDEV.P(IF(Table1[IndicatorCode]=Table1[[#This Row],[IndicatorCode]],Table1[value]))</f>
        <v>6.3409496564024987</v>
      </c>
      <c r="J7550">
        <f>(Table1[[#This Row],[value]] - Table1[[#This Row],[mean]]) / Table1[[#This Row],[std_dev]]</f>
        <v>0.52592436377820473</v>
      </c>
      <c r="K7550">
        <f>AVERAGEIF(Table1[CountryCode],Table1[[#This Row],[CountryCode]],Table1[z-score])</f>
        <v>0.41927804487804637</v>
      </c>
      <c r="L7550" t="e">
        <f>VLOOKUP(Table1[[#This Row],[CountryCode]],[1]!Table1[#All],1,FALSE)</f>
        <v>#REF!</v>
      </c>
    </row>
    <row r="7551" spans="1:12" hidden="1" x14ac:dyDescent="0.3">
      <c r="A7551" t="s">
        <v>19</v>
      </c>
      <c r="B7551" t="s">
        <v>20</v>
      </c>
      <c r="C7551" t="s">
        <v>129</v>
      </c>
      <c r="D7551" t="s">
        <v>130</v>
      </c>
      <c r="E7551">
        <v>1990</v>
      </c>
      <c r="F7551" s="1">
        <v>76</v>
      </c>
      <c r="G7551">
        <v>1990</v>
      </c>
      <c r="H7551">
        <f>AVERAGEIFS(Table1[value],Table1[IndicatorCode],Table1[[#This Row],[IndicatorCode]])</f>
        <v>72.66514008620689</v>
      </c>
      <c r="I7551" cm="1">
        <f t="array" ref="I7551">_xlfn.STDEV.P(IF(Table1[IndicatorCode]=Table1[[#This Row],[IndicatorCode]],Table1[value]))</f>
        <v>6.3409496564024987</v>
      </c>
      <c r="J7551">
        <f>(Table1[[#This Row],[value]] - Table1[[#This Row],[mean]]) / Table1[[#This Row],[std_dev]]</f>
        <v>0.52592436377820473</v>
      </c>
      <c r="K7551">
        <f>AVERAGEIF(Table1[CountryCode],Table1[[#This Row],[CountryCode]],Table1[z-score])</f>
        <v>0.41927804487804637</v>
      </c>
      <c r="L7551" t="e">
        <f>VLOOKUP(Table1[[#This Row],[CountryCode]],[1]!Table1[#All],1,FALSE)</f>
        <v>#REF!</v>
      </c>
    </row>
    <row r="7552" spans="1:12" hidden="1" x14ac:dyDescent="0.3">
      <c r="A7552" t="s">
        <v>19</v>
      </c>
      <c r="B7552" t="s">
        <v>20</v>
      </c>
      <c r="C7552" t="s">
        <v>129</v>
      </c>
      <c r="D7552" t="s">
        <v>130</v>
      </c>
      <c r="E7552">
        <v>1991</v>
      </c>
      <c r="F7552" s="1">
        <v>76</v>
      </c>
      <c r="G7552">
        <v>1990</v>
      </c>
      <c r="H7552">
        <f>AVERAGEIFS(Table1[value],Table1[IndicatorCode],Table1[[#This Row],[IndicatorCode]])</f>
        <v>72.66514008620689</v>
      </c>
      <c r="I7552" cm="1">
        <f t="array" ref="I7552">_xlfn.STDEV.P(IF(Table1[IndicatorCode]=Table1[[#This Row],[IndicatorCode]],Table1[value]))</f>
        <v>6.3409496564024987</v>
      </c>
      <c r="J7552">
        <f>(Table1[[#This Row],[value]] - Table1[[#This Row],[mean]]) / Table1[[#This Row],[std_dev]]</f>
        <v>0.52592436377820473</v>
      </c>
      <c r="K7552">
        <f>AVERAGEIF(Table1[CountryCode],Table1[[#This Row],[CountryCode]],Table1[z-score])</f>
        <v>0.41927804487804637</v>
      </c>
      <c r="L7552" t="e">
        <f>VLOOKUP(Table1[[#This Row],[CountryCode]],[1]!Table1[#All],1,FALSE)</f>
        <v>#REF!</v>
      </c>
    </row>
    <row r="7553" spans="1:12" hidden="1" x14ac:dyDescent="0.3">
      <c r="A7553" t="s">
        <v>19</v>
      </c>
      <c r="B7553" t="s">
        <v>20</v>
      </c>
      <c r="C7553" t="s">
        <v>129</v>
      </c>
      <c r="D7553" t="s">
        <v>130</v>
      </c>
      <c r="E7553">
        <v>1992</v>
      </c>
      <c r="F7553" s="1">
        <v>76</v>
      </c>
      <c r="G7553">
        <v>1990</v>
      </c>
      <c r="H7553">
        <f>AVERAGEIFS(Table1[value],Table1[IndicatorCode],Table1[[#This Row],[IndicatorCode]])</f>
        <v>72.66514008620689</v>
      </c>
      <c r="I7553" cm="1">
        <f t="array" ref="I7553">_xlfn.STDEV.P(IF(Table1[IndicatorCode]=Table1[[#This Row],[IndicatorCode]],Table1[value]))</f>
        <v>6.3409496564024987</v>
      </c>
      <c r="J7553">
        <f>(Table1[[#This Row],[value]] - Table1[[#This Row],[mean]]) / Table1[[#This Row],[std_dev]]</f>
        <v>0.52592436377820473</v>
      </c>
      <c r="K7553">
        <f>AVERAGEIF(Table1[CountryCode],Table1[[#This Row],[CountryCode]],Table1[z-score])</f>
        <v>0.41927804487804637</v>
      </c>
      <c r="L7553" t="e">
        <f>VLOOKUP(Table1[[#This Row],[CountryCode]],[1]!Table1[#All],1,FALSE)</f>
        <v>#REF!</v>
      </c>
    </row>
    <row r="7554" spans="1:12" hidden="1" x14ac:dyDescent="0.3">
      <c r="A7554" t="s">
        <v>19</v>
      </c>
      <c r="B7554" t="s">
        <v>20</v>
      </c>
      <c r="C7554" t="s">
        <v>129</v>
      </c>
      <c r="D7554" t="s">
        <v>130</v>
      </c>
      <c r="E7554">
        <v>1993</v>
      </c>
      <c r="F7554" s="1">
        <v>76</v>
      </c>
      <c r="G7554">
        <v>1990</v>
      </c>
      <c r="H7554">
        <f>AVERAGEIFS(Table1[value],Table1[IndicatorCode],Table1[[#This Row],[IndicatorCode]])</f>
        <v>72.66514008620689</v>
      </c>
      <c r="I7554" cm="1">
        <f t="array" ref="I7554">_xlfn.STDEV.P(IF(Table1[IndicatorCode]=Table1[[#This Row],[IndicatorCode]],Table1[value]))</f>
        <v>6.3409496564024987</v>
      </c>
      <c r="J7554">
        <f>(Table1[[#This Row],[value]] - Table1[[#This Row],[mean]]) / Table1[[#This Row],[std_dev]]</f>
        <v>0.52592436377820473</v>
      </c>
      <c r="K7554">
        <f>AVERAGEIF(Table1[CountryCode],Table1[[#This Row],[CountryCode]],Table1[z-score])</f>
        <v>0.41927804487804637</v>
      </c>
      <c r="L7554" t="e">
        <f>VLOOKUP(Table1[[#This Row],[CountryCode]],[1]!Table1[#All],1,FALSE)</f>
        <v>#REF!</v>
      </c>
    </row>
    <row r="7555" spans="1:12" hidden="1" x14ac:dyDescent="0.3">
      <c r="A7555" t="s">
        <v>19</v>
      </c>
      <c r="B7555" t="s">
        <v>20</v>
      </c>
      <c r="C7555" t="s">
        <v>129</v>
      </c>
      <c r="D7555" t="s">
        <v>130</v>
      </c>
      <c r="E7555">
        <v>1994</v>
      </c>
      <c r="F7555" s="1">
        <v>77</v>
      </c>
      <c r="G7555">
        <v>1990</v>
      </c>
      <c r="H7555">
        <f>AVERAGEIFS(Table1[value],Table1[IndicatorCode],Table1[[#This Row],[IndicatorCode]])</f>
        <v>72.66514008620689</v>
      </c>
      <c r="I7555" cm="1">
        <f t="array" ref="I7555">_xlfn.STDEV.P(IF(Table1[IndicatorCode]=Table1[[#This Row],[IndicatorCode]],Table1[value]))</f>
        <v>6.3409496564024987</v>
      </c>
      <c r="J7555">
        <f>(Table1[[#This Row],[value]] - Table1[[#This Row],[mean]]) / Table1[[#This Row],[std_dev]]</f>
        <v>0.68362944806164383</v>
      </c>
      <c r="K7555">
        <f>AVERAGEIF(Table1[CountryCode],Table1[[#This Row],[CountryCode]],Table1[z-score])</f>
        <v>0.41927804487804637</v>
      </c>
      <c r="L7555" t="e">
        <f>VLOOKUP(Table1[[#This Row],[CountryCode]],[1]!Table1[#All],1,FALSE)</f>
        <v>#REF!</v>
      </c>
    </row>
    <row r="7556" spans="1:12" hidden="1" x14ac:dyDescent="0.3">
      <c r="A7556" t="s">
        <v>19</v>
      </c>
      <c r="B7556" t="s">
        <v>20</v>
      </c>
      <c r="C7556" t="s">
        <v>129</v>
      </c>
      <c r="D7556" t="s">
        <v>130</v>
      </c>
      <c r="E7556">
        <v>1995</v>
      </c>
      <c r="F7556" s="1">
        <v>77</v>
      </c>
      <c r="G7556">
        <v>1990</v>
      </c>
      <c r="H7556">
        <f>AVERAGEIFS(Table1[value],Table1[IndicatorCode],Table1[[#This Row],[IndicatorCode]])</f>
        <v>72.66514008620689</v>
      </c>
      <c r="I7556" cm="1">
        <f t="array" ref="I7556">_xlfn.STDEV.P(IF(Table1[IndicatorCode]=Table1[[#This Row],[IndicatorCode]],Table1[value]))</f>
        <v>6.3409496564024987</v>
      </c>
      <c r="J7556">
        <f>(Table1[[#This Row],[value]] - Table1[[#This Row],[mean]]) / Table1[[#This Row],[std_dev]]</f>
        <v>0.68362944806164383</v>
      </c>
      <c r="K7556">
        <f>AVERAGEIF(Table1[CountryCode],Table1[[#This Row],[CountryCode]],Table1[z-score])</f>
        <v>0.41927804487804637</v>
      </c>
      <c r="L7556" t="e">
        <f>VLOOKUP(Table1[[#This Row],[CountryCode]],[1]!Table1[#All],1,FALSE)</f>
        <v>#REF!</v>
      </c>
    </row>
    <row r="7557" spans="1:12" hidden="1" x14ac:dyDescent="0.3">
      <c r="A7557" t="s">
        <v>19</v>
      </c>
      <c r="B7557" t="s">
        <v>20</v>
      </c>
      <c r="C7557" t="s">
        <v>129</v>
      </c>
      <c r="D7557" t="s">
        <v>130</v>
      </c>
      <c r="E7557">
        <v>1996</v>
      </c>
      <c r="F7557" s="1">
        <v>77</v>
      </c>
      <c r="G7557">
        <v>1990</v>
      </c>
      <c r="H7557">
        <f>AVERAGEIFS(Table1[value],Table1[IndicatorCode],Table1[[#This Row],[IndicatorCode]])</f>
        <v>72.66514008620689</v>
      </c>
      <c r="I7557" cm="1">
        <f t="array" ref="I7557">_xlfn.STDEV.P(IF(Table1[IndicatorCode]=Table1[[#This Row],[IndicatorCode]],Table1[value]))</f>
        <v>6.3409496564024987</v>
      </c>
      <c r="J7557">
        <f>(Table1[[#This Row],[value]] - Table1[[#This Row],[mean]]) / Table1[[#This Row],[std_dev]]</f>
        <v>0.68362944806164383</v>
      </c>
      <c r="K7557">
        <f>AVERAGEIF(Table1[CountryCode],Table1[[#This Row],[CountryCode]],Table1[z-score])</f>
        <v>0.41927804487804637</v>
      </c>
      <c r="L7557" t="e">
        <f>VLOOKUP(Table1[[#This Row],[CountryCode]],[1]!Table1[#All],1,FALSE)</f>
        <v>#REF!</v>
      </c>
    </row>
    <row r="7558" spans="1:12" hidden="1" x14ac:dyDescent="0.3">
      <c r="A7558" t="s">
        <v>19</v>
      </c>
      <c r="B7558" t="s">
        <v>20</v>
      </c>
      <c r="C7558" t="s">
        <v>129</v>
      </c>
      <c r="D7558" t="s">
        <v>130</v>
      </c>
      <c r="E7558">
        <v>1997</v>
      </c>
      <c r="F7558" s="1">
        <v>77</v>
      </c>
      <c r="G7558">
        <v>2000</v>
      </c>
      <c r="H7558">
        <f>AVERAGEIFS(Table1[value],Table1[IndicatorCode],Table1[[#This Row],[IndicatorCode]])</f>
        <v>72.66514008620689</v>
      </c>
      <c r="I7558" cm="1">
        <f t="array" ref="I7558">_xlfn.STDEV.P(IF(Table1[IndicatorCode]=Table1[[#This Row],[IndicatorCode]],Table1[value]))</f>
        <v>6.3409496564024987</v>
      </c>
      <c r="J7558">
        <f>(Table1[[#This Row],[value]] - Table1[[#This Row],[mean]]) / Table1[[#This Row],[std_dev]]</f>
        <v>0.68362944806164383</v>
      </c>
      <c r="K7558">
        <f>AVERAGEIF(Table1[CountryCode],Table1[[#This Row],[CountryCode]],Table1[z-score])</f>
        <v>0.41927804487804637</v>
      </c>
      <c r="L7558" t="e">
        <f>VLOOKUP(Table1[[#This Row],[CountryCode]],[1]!Table1[#All],1,FALSE)</f>
        <v>#REF!</v>
      </c>
    </row>
    <row r="7559" spans="1:12" hidden="1" x14ac:dyDescent="0.3">
      <c r="A7559" t="s">
        <v>19</v>
      </c>
      <c r="B7559" t="s">
        <v>20</v>
      </c>
      <c r="C7559" t="s">
        <v>129</v>
      </c>
      <c r="D7559" t="s">
        <v>130</v>
      </c>
      <c r="E7559">
        <v>1998</v>
      </c>
      <c r="F7559" s="1">
        <v>77</v>
      </c>
      <c r="G7559">
        <v>2000</v>
      </c>
      <c r="H7559">
        <f>AVERAGEIFS(Table1[value],Table1[IndicatorCode],Table1[[#This Row],[IndicatorCode]])</f>
        <v>72.66514008620689</v>
      </c>
      <c r="I7559" cm="1">
        <f t="array" ref="I7559">_xlfn.STDEV.P(IF(Table1[IndicatorCode]=Table1[[#This Row],[IndicatorCode]],Table1[value]))</f>
        <v>6.3409496564024987</v>
      </c>
      <c r="J7559">
        <f>(Table1[[#This Row],[value]] - Table1[[#This Row],[mean]]) / Table1[[#This Row],[std_dev]]</f>
        <v>0.68362944806164383</v>
      </c>
      <c r="K7559">
        <f>AVERAGEIF(Table1[CountryCode],Table1[[#This Row],[CountryCode]],Table1[z-score])</f>
        <v>0.41927804487804637</v>
      </c>
      <c r="L7559" t="e">
        <f>VLOOKUP(Table1[[#This Row],[CountryCode]],[1]!Table1[#All],1,FALSE)</f>
        <v>#REF!</v>
      </c>
    </row>
    <row r="7560" spans="1:12" hidden="1" x14ac:dyDescent="0.3">
      <c r="A7560" t="s">
        <v>19</v>
      </c>
      <c r="B7560" t="s">
        <v>20</v>
      </c>
      <c r="C7560" t="s">
        <v>129</v>
      </c>
      <c r="D7560" t="s">
        <v>130</v>
      </c>
      <c r="E7560">
        <v>1999</v>
      </c>
      <c r="F7560" s="1">
        <v>78</v>
      </c>
      <c r="G7560">
        <v>2000</v>
      </c>
      <c r="H7560">
        <f>AVERAGEIFS(Table1[value],Table1[IndicatorCode],Table1[[#This Row],[IndicatorCode]])</f>
        <v>72.66514008620689</v>
      </c>
      <c r="I7560" cm="1">
        <f t="array" ref="I7560">_xlfn.STDEV.P(IF(Table1[IndicatorCode]=Table1[[#This Row],[IndicatorCode]],Table1[value]))</f>
        <v>6.3409496564024987</v>
      </c>
      <c r="J7560">
        <f>(Table1[[#This Row],[value]] - Table1[[#This Row],[mean]]) / Table1[[#This Row],[std_dev]]</f>
        <v>0.84133453234508293</v>
      </c>
      <c r="K7560">
        <f>AVERAGEIF(Table1[CountryCode],Table1[[#This Row],[CountryCode]],Table1[z-score])</f>
        <v>0.41927804487804637</v>
      </c>
      <c r="L7560" t="e">
        <f>VLOOKUP(Table1[[#This Row],[CountryCode]],[1]!Table1[#All],1,FALSE)</f>
        <v>#REF!</v>
      </c>
    </row>
    <row r="7561" spans="1:12" hidden="1" x14ac:dyDescent="0.3">
      <c r="A7561" t="s">
        <v>19</v>
      </c>
      <c r="B7561" t="s">
        <v>20</v>
      </c>
      <c r="C7561" t="s">
        <v>129</v>
      </c>
      <c r="D7561" t="s">
        <v>130</v>
      </c>
      <c r="E7561">
        <v>2000</v>
      </c>
      <c r="F7561" s="1">
        <v>78</v>
      </c>
      <c r="G7561">
        <v>2000</v>
      </c>
      <c r="H7561">
        <f>AVERAGEIFS(Table1[value],Table1[IndicatorCode],Table1[[#This Row],[IndicatorCode]])</f>
        <v>72.66514008620689</v>
      </c>
      <c r="I7561" cm="1">
        <f t="array" ref="I7561">_xlfn.STDEV.P(IF(Table1[IndicatorCode]=Table1[[#This Row],[IndicatorCode]],Table1[value]))</f>
        <v>6.3409496564024987</v>
      </c>
      <c r="J7561">
        <f>(Table1[[#This Row],[value]] - Table1[[#This Row],[mean]]) / Table1[[#This Row],[std_dev]]</f>
        <v>0.84133453234508293</v>
      </c>
      <c r="K7561">
        <f>AVERAGEIF(Table1[CountryCode],Table1[[#This Row],[CountryCode]],Table1[z-score])</f>
        <v>0.41927804487804637</v>
      </c>
      <c r="L7561" t="e">
        <f>VLOOKUP(Table1[[#This Row],[CountryCode]],[1]!Table1[#All],1,FALSE)</f>
        <v>#REF!</v>
      </c>
    </row>
    <row r="7562" spans="1:12" hidden="1" x14ac:dyDescent="0.3">
      <c r="A7562" t="s">
        <v>19</v>
      </c>
      <c r="B7562" t="s">
        <v>20</v>
      </c>
      <c r="C7562" t="s">
        <v>129</v>
      </c>
      <c r="D7562" t="s">
        <v>130</v>
      </c>
      <c r="E7562">
        <v>2001</v>
      </c>
      <c r="F7562" s="1">
        <v>78</v>
      </c>
      <c r="G7562">
        <v>2000</v>
      </c>
      <c r="H7562">
        <f>AVERAGEIFS(Table1[value],Table1[IndicatorCode],Table1[[#This Row],[IndicatorCode]])</f>
        <v>72.66514008620689</v>
      </c>
      <c r="I7562" cm="1">
        <f t="array" ref="I7562">_xlfn.STDEV.P(IF(Table1[IndicatorCode]=Table1[[#This Row],[IndicatorCode]],Table1[value]))</f>
        <v>6.3409496564024987</v>
      </c>
      <c r="J7562">
        <f>(Table1[[#This Row],[value]] - Table1[[#This Row],[mean]]) / Table1[[#This Row],[std_dev]]</f>
        <v>0.84133453234508293</v>
      </c>
      <c r="K7562">
        <f>AVERAGEIF(Table1[CountryCode],Table1[[#This Row],[CountryCode]],Table1[z-score])</f>
        <v>0.41927804487804637</v>
      </c>
      <c r="L7562" t="e">
        <f>VLOOKUP(Table1[[#This Row],[CountryCode]],[1]!Table1[#All],1,FALSE)</f>
        <v>#REF!</v>
      </c>
    </row>
    <row r="7563" spans="1:12" hidden="1" x14ac:dyDescent="0.3">
      <c r="A7563" t="s">
        <v>19</v>
      </c>
      <c r="B7563" t="s">
        <v>20</v>
      </c>
      <c r="C7563" t="s">
        <v>129</v>
      </c>
      <c r="D7563" t="s">
        <v>130</v>
      </c>
      <c r="E7563">
        <v>2002</v>
      </c>
      <c r="F7563" s="1">
        <v>78</v>
      </c>
      <c r="G7563">
        <v>2000</v>
      </c>
      <c r="H7563">
        <f>AVERAGEIFS(Table1[value],Table1[IndicatorCode],Table1[[#This Row],[IndicatorCode]])</f>
        <v>72.66514008620689</v>
      </c>
      <c r="I7563" cm="1">
        <f t="array" ref="I7563">_xlfn.STDEV.P(IF(Table1[IndicatorCode]=Table1[[#This Row],[IndicatorCode]],Table1[value]))</f>
        <v>6.3409496564024987</v>
      </c>
      <c r="J7563">
        <f>(Table1[[#This Row],[value]] - Table1[[#This Row],[mean]]) / Table1[[#This Row],[std_dev]]</f>
        <v>0.84133453234508293</v>
      </c>
      <c r="K7563">
        <f>AVERAGEIF(Table1[CountryCode],Table1[[#This Row],[CountryCode]],Table1[z-score])</f>
        <v>0.41927804487804637</v>
      </c>
      <c r="L7563" t="e">
        <f>VLOOKUP(Table1[[#This Row],[CountryCode]],[1]!Table1[#All],1,FALSE)</f>
        <v>#REF!</v>
      </c>
    </row>
    <row r="7564" spans="1:12" hidden="1" x14ac:dyDescent="0.3">
      <c r="A7564" t="s">
        <v>19</v>
      </c>
      <c r="B7564" t="s">
        <v>20</v>
      </c>
      <c r="C7564" t="s">
        <v>129</v>
      </c>
      <c r="D7564" t="s">
        <v>130</v>
      </c>
      <c r="E7564">
        <v>2003</v>
      </c>
      <c r="F7564" s="1">
        <v>78</v>
      </c>
      <c r="G7564">
        <v>2000</v>
      </c>
      <c r="H7564">
        <f>AVERAGEIFS(Table1[value],Table1[IndicatorCode],Table1[[#This Row],[IndicatorCode]])</f>
        <v>72.66514008620689</v>
      </c>
      <c r="I7564" cm="1">
        <f t="array" ref="I7564">_xlfn.STDEV.P(IF(Table1[IndicatorCode]=Table1[[#This Row],[IndicatorCode]],Table1[value]))</f>
        <v>6.3409496564024987</v>
      </c>
      <c r="J7564">
        <f>(Table1[[#This Row],[value]] - Table1[[#This Row],[mean]]) / Table1[[#This Row],[std_dev]]</f>
        <v>0.84133453234508293</v>
      </c>
      <c r="K7564">
        <f>AVERAGEIF(Table1[CountryCode],Table1[[#This Row],[CountryCode]],Table1[z-score])</f>
        <v>0.41927804487804637</v>
      </c>
      <c r="L7564" t="e">
        <f>VLOOKUP(Table1[[#This Row],[CountryCode]],[1]!Table1[#All],1,FALSE)</f>
        <v>#REF!</v>
      </c>
    </row>
    <row r="7565" spans="1:12" hidden="1" x14ac:dyDescent="0.3">
      <c r="A7565" t="s">
        <v>19</v>
      </c>
      <c r="B7565" t="s">
        <v>20</v>
      </c>
      <c r="C7565" t="s">
        <v>129</v>
      </c>
      <c r="D7565" t="s">
        <v>130</v>
      </c>
      <c r="E7565">
        <v>2004</v>
      </c>
      <c r="F7565" s="1">
        <v>79</v>
      </c>
      <c r="G7565">
        <v>2000</v>
      </c>
      <c r="H7565">
        <f>AVERAGEIFS(Table1[value],Table1[IndicatorCode],Table1[[#This Row],[IndicatorCode]])</f>
        <v>72.66514008620689</v>
      </c>
      <c r="I7565" cm="1">
        <f t="array" ref="I7565">_xlfn.STDEV.P(IF(Table1[IndicatorCode]=Table1[[#This Row],[IndicatorCode]],Table1[value]))</f>
        <v>6.3409496564024987</v>
      </c>
      <c r="J7565">
        <f>(Table1[[#This Row],[value]] - Table1[[#This Row],[mean]]) / Table1[[#This Row],[std_dev]]</f>
        <v>0.99903961662852192</v>
      </c>
      <c r="K7565">
        <f>AVERAGEIF(Table1[CountryCode],Table1[[#This Row],[CountryCode]],Table1[z-score])</f>
        <v>0.41927804487804637</v>
      </c>
      <c r="L7565" t="e">
        <f>VLOOKUP(Table1[[#This Row],[CountryCode]],[1]!Table1[#All],1,FALSE)</f>
        <v>#REF!</v>
      </c>
    </row>
    <row r="7566" spans="1:12" hidden="1" x14ac:dyDescent="0.3">
      <c r="A7566" t="s">
        <v>19</v>
      </c>
      <c r="B7566" t="s">
        <v>20</v>
      </c>
      <c r="C7566" t="s">
        <v>129</v>
      </c>
      <c r="D7566" t="s">
        <v>130</v>
      </c>
      <c r="E7566">
        <v>2005</v>
      </c>
      <c r="F7566" s="1">
        <v>79</v>
      </c>
      <c r="G7566">
        <v>2000</v>
      </c>
      <c r="H7566">
        <f>AVERAGEIFS(Table1[value],Table1[IndicatorCode],Table1[[#This Row],[IndicatorCode]])</f>
        <v>72.66514008620689</v>
      </c>
      <c r="I7566" cm="1">
        <f t="array" ref="I7566">_xlfn.STDEV.P(IF(Table1[IndicatorCode]=Table1[[#This Row],[IndicatorCode]],Table1[value]))</f>
        <v>6.3409496564024987</v>
      </c>
      <c r="J7566">
        <f>(Table1[[#This Row],[value]] - Table1[[#This Row],[mean]]) / Table1[[#This Row],[std_dev]]</f>
        <v>0.99903961662852192</v>
      </c>
      <c r="K7566">
        <f>AVERAGEIF(Table1[CountryCode],Table1[[#This Row],[CountryCode]],Table1[z-score])</f>
        <v>0.41927804487804637</v>
      </c>
      <c r="L7566" t="e">
        <f>VLOOKUP(Table1[[#This Row],[CountryCode]],[1]!Table1[#All],1,FALSE)</f>
        <v>#REF!</v>
      </c>
    </row>
    <row r="7567" spans="1:12" hidden="1" x14ac:dyDescent="0.3">
      <c r="A7567" t="s">
        <v>19</v>
      </c>
      <c r="B7567" t="s">
        <v>20</v>
      </c>
      <c r="C7567" t="s">
        <v>129</v>
      </c>
      <c r="D7567" t="s">
        <v>130</v>
      </c>
      <c r="E7567">
        <v>2006</v>
      </c>
      <c r="F7567" s="1">
        <v>79</v>
      </c>
      <c r="G7567">
        <v>2000</v>
      </c>
      <c r="H7567">
        <f>AVERAGEIFS(Table1[value],Table1[IndicatorCode],Table1[[#This Row],[IndicatorCode]])</f>
        <v>72.66514008620689</v>
      </c>
      <c r="I7567" cm="1">
        <f t="array" ref="I7567">_xlfn.STDEV.P(IF(Table1[IndicatorCode]=Table1[[#This Row],[IndicatorCode]],Table1[value]))</f>
        <v>6.3409496564024987</v>
      </c>
      <c r="J7567">
        <f>(Table1[[#This Row],[value]] - Table1[[#This Row],[mean]]) / Table1[[#This Row],[std_dev]]</f>
        <v>0.99903961662852192</v>
      </c>
      <c r="K7567">
        <f>AVERAGEIF(Table1[CountryCode],Table1[[#This Row],[CountryCode]],Table1[z-score])</f>
        <v>0.41927804487804637</v>
      </c>
      <c r="L7567" t="e">
        <f>VLOOKUP(Table1[[#This Row],[CountryCode]],[1]!Table1[#All],1,FALSE)</f>
        <v>#REF!</v>
      </c>
    </row>
    <row r="7568" spans="1:12" hidden="1" x14ac:dyDescent="0.3">
      <c r="A7568" t="s">
        <v>19</v>
      </c>
      <c r="B7568" t="s">
        <v>20</v>
      </c>
      <c r="C7568" t="s">
        <v>129</v>
      </c>
      <c r="D7568" t="s">
        <v>130</v>
      </c>
      <c r="E7568">
        <v>2007</v>
      </c>
      <c r="F7568" s="1">
        <v>80</v>
      </c>
      <c r="G7568">
        <v>2010</v>
      </c>
      <c r="H7568">
        <f>AVERAGEIFS(Table1[value],Table1[IndicatorCode],Table1[[#This Row],[IndicatorCode]])</f>
        <v>72.66514008620689</v>
      </c>
      <c r="I7568" cm="1">
        <f t="array" ref="I7568">_xlfn.STDEV.P(IF(Table1[IndicatorCode]=Table1[[#This Row],[IndicatorCode]],Table1[value]))</f>
        <v>6.3409496564024987</v>
      </c>
      <c r="J7568">
        <f>(Table1[[#This Row],[value]] - Table1[[#This Row],[mean]]) / Table1[[#This Row],[std_dev]]</f>
        <v>1.1567447009119609</v>
      </c>
      <c r="K7568">
        <f>AVERAGEIF(Table1[CountryCode],Table1[[#This Row],[CountryCode]],Table1[z-score])</f>
        <v>0.41927804487804637</v>
      </c>
      <c r="L7568" t="e">
        <f>VLOOKUP(Table1[[#This Row],[CountryCode]],[1]!Table1[#All],1,FALSE)</f>
        <v>#REF!</v>
      </c>
    </row>
    <row r="7569" spans="1:12" hidden="1" x14ac:dyDescent="0.3">
      <c r="A7569" t="s">
        <v>19</v>
      </c>
      <c r="B7569" t="s">
        <v>20</v>
      </c>
      <c r="C7569" t="s">
        <v>129</v>
      </c>
      <c r="D7569" t="s">
        <v>130</v>
      </c>
      <c r="E7569">
        <v>2008</v>
      </c>
      <c r="F7569" s="1">
        <v>80</v>
      </c>
      <c r="G7569">
        <v>2010</v>
      </c>
      <c r="H7569">
        <f>AVERAGEIFS(Table1[value],Table1[IndicatorCode],Table1[[#This Row],[IndicatorCode]])</f>
        <v>72.66514008620689</v>
      </c>
      <c r="I7569" cm="1">
        <f t="array" ref="I7569">_xlfn.STDEV.P(IF(Table1[IndicatorCode]=Table1[[#This Row],[IndicatorCode]],Table1[value]))</f>
        <v>6.3409496564024987</v>
      </c>
      <c r="J7569">
        <f>(Table1[[#This Row],[value]] - Table1[[#This Row],[mean]]) / Table1[[#This Row],[std_dev]]</f>
        <v>1.1567447009119609</v>
      </c>
      <c r="K7569">
        <f>AVERAGEIF(Table1[CountryCode],Table1[[#This Row],[CountryCode]],Table1[z-score])</f>
        <v>0.41927804487804637</v>
      </c>
      <c r="L7569" t="e">
        <f>VLOOKUP(Table1[[#This Row],[CountryCode]],[1]!Table1[#All],1,FALSE)</f>
        <v>#REF!</v>
      </c>
    </row>
    <row r="7570" spans="1:12" hidden="1" x14ac:dyDescent="0.3">
      <c r="A7570" t="s">
        <v>19</v>
      </c>
      <c r="B7570" t="s">
        <v>20</v>
      </c>
      <c r="C7570" t="s">
        <v>129</v>
      </c>
      <c r="D7570" t="s">
        <v>130</v>
      </c>
      <c r="E7570">
        <v>2009</v>
      </c>
      <c r="F7570" s="1">
        <v>80</v>
      </c>
      <c r="G7570">
        <v>2010</v>
      </c>
      <c r="H7570">
        <f>AVERAGEIFS(Table1[value],Table1[IndicatorCode],Table1[[#This Row],[IndicatorCode]])</f>
        <v>72.66514008620689</v>
      </c>
      <c r="I7570" cm="1">
        <f t="array" ref="I7570">_xlfn.STDEV.P(IF(Table1[IndicatorCode]=Table1[[#This Row],[IndicatorCode]],Table1[value]))</f>
        <v>6.3409496564024987</v>
      </c>
      <c r="J7570">
        <f>(Table1[[#This Row],[value]] - Table1[[#This Row],[mean]]) / Table1[[#This Row],[std_dev]]</f>
        <v>1.1567447009119609</v>
      </c>
      <c r="K7570">
        <f>AVERAGEIF(Table1[CountryCode],Table1[[#This Row],[CountryCode]],Table1[z-score])</f>
        <v>0.41927804487804637</v>
      </c>
      <c r="L7570" t="e">
        <f>VLOOKUP(Table1[[#This Row],[CountryCode]],[1]!Table1[#All],1,FALSE)</f>
        <v>#REF!</v>
      </c>
    </row>
    <row r="7571" spans="1:12" hidden="1" x14ac:dyDescent="0.3">
      <c r="A7571" t="s">
        <v>19</v>
      </c>
      <c r="B7571" t="s">
        <v>20</v>
      </c>
      <c r="C7571" t="s">
        <v>129</v>
      </c>
      <c r="D7571" t="s">
        <v>130</v>
      </c>
      <c r="E7571">
        <v>2010</v>
      </c>
      <c r="F7571" s="1">
        <v>80</v>
      </c>
      <c r="G7571">
        <v>2010</v>
      </c>
      <c r="H7571">
        <f>AVERAGEIFS(Table1[value],Table1[IndicatorCode],Table1[[#This Row],[IndicatorCode]])</f>
        <v>72.66514008620689</v>
      </c>
      <c r="I7571" cm="1">
        <f t="array" ref="I7571">_xlfn.STDEV.P(IF(Table1[IndicatorCode]=Table1[[#This Row],[IndicatorCode]],Table1[value]))</f>
        <v>6.3409496564024987</v>
      </c>
      <c r="J7571">
        <f>(Table1[[#This Row],[value]] - Table1[[#This Row],[mean]]) / Table1[[#This Row],[std_dev]]</f>
        <v>1.1567447009119609</v>
      </c>
      <c r="K7571">
        <f>AVERAGEIF(Table1[CountryCode],Table1[[#This Row],[CountryCode]],Table1[z-score])</f>
        <v>0.41927804487804637</v>
      </c>
      <c r="L7571" t="e">
        <f>VLOOKUP(Table1[[#This Row],[CountryCode]],[1]!Table1[#All],1,FALSE)</f>
        <v>#REF!</v>
      </c>
    </row>
    <row r="7572" spans="1:12" hidden="1" x14ac:dyDescent="0.3">
      <c r="A7572" t="s">
        <v>19</v>
      </c>
      <c r="B7572" t="s">
        <v>20</v>
      </c>
      <c r="C7572" t="s">
        <v>129</v>
      </c>
      <c r="D7572" t="s">
        <v>130</v>
      </c>
      <c r="E7572">
        <v>2011</v>
      </c>
      <c r="F7572" s="1">
        <v>81</v>
      </c>
      <c r="G7572">
        <v>2010</v>
      </c>
      <c r="H7572">
        <f>AVERAGEIFS(Table1[value],Table1[IndicatorCode],Table1[[#This Row],[IndicatorCode]])</f>
        <v>72.66514008620689</v>
      </c>
      <c r="I7572" cm="1">
        <f t="array" ref="I7572">_xlfn.STDEV.P(IF(Table1[IndicatorCode]=Table1[[#This Row],[IndicatorCode]],Table1[value]))</f>
        <v>6.3409496564024987</v>
      </c>
      <c r="J7572">
        <f>(Table1[[#This Row],[value]] - Table1[[#This Row],[mean]]) / Table1[[#This Row],[std_dev]]</f>
        <v>1.3144497851954</v>
      </c>
      <c r="K7572">
        <f>AVERAGEIF(Table1[CountryCode],Table1[[#This Row],[CountryCode]],Table1[z-score])</f>
        <v>0.41927804487804637</v>
      </c>
      <c r="L7572" t="e">
        <f>VLOOKUP(Table1[[#This Row],[CountryCode]],[1]!Table1[#All],1,FALSE)</f>
        <v>#REF!</v>
      </c>
    </row>
    <row r="7573" spans="1:12" hidden="1" x14ac:dyDescent="0.3">
      <c r="A7573" t="s">
        <v>19</v>
      </c>
      <c r="B7573" t="s">
        <v>20</v>
      </c>
      <c r="C7573" t="s">
        <v>129</v>
      </c>
      <c r="D7573" t="s">
        <v>130</v>
      </c>
      <c r="E7573">
        <v>2012</v>
      </c>
      <c r="F7573" s="1">
        <v>80</v>
      </c>
      <c r="G7573">
        <v>2010</v>
      </c>
      <c r="H7573">
        <f>AVERAGEIFS(Table1[value],Table1[IndicatorCode],Table1[[#This Row],[IndicatorCode]])</f>
        <v>72.66514008620689</v>
      </c>
      <c r="I7573" cm="1">
        <f t="array" ref="I7573">_xlfn.STDEV.P(IF(Table1[IndicatorCode]=Table1[[#This Row],[IndicatorCode]],Table1[value]))</f>
        <v>6.3409496564024987</v>
      </c>
      <c r="J7573">
        <f>(Table1[[#This Row],[value]] - Table1[[#This Row],[mean]]) / Table1[[#This Row],[std_dev]]</f>
        <v>1.1567447009119609</v>
      </c>
      <c r="K7573">
        <f>AVERAGEIF(Table1[CountryCode],Table1[[#This Row],[CountryCode]],Table1[z-score])</f>
        <v>0.41927804487804637</v>
      </c>
      <c r="L7573" t="e">
        <f>VLOOKUP(Table1[[#This Row],[CountryCode]],[1]!Table1[#All],1,FALSE)</f>
        <v>#REF!</v>
      </c>
    </row>
    <row r="7574" spans="1:12" hidden="1" x14ac:dyDescent="0.3">
      <c r="A7574" t="s">
        <v>19</v>
      </c>
      <c r="B7574" t="s">
        <v>20</v>
      </c>
      <c r="C7574" t="s">
        <v>129</v>
      </c>
      <c r="D7574" t="s">
        <v>130</v>
      </c>
      <c r="E7574">
        <v>2013</v>
      </c>
      <c r="F7574" s="1">
        <v>81</v>
      </c>
      <c r="G7574">
        <v>2010</v>
      </c>
      <c r="H7574">
        <f>AVERAGEIFS(Table1[value],Table1[IndicatorCode],Table1[[#This Row],[IndicatorCode]])</f>
        <v>72.66514008620689</v>
      </c>
      <c r="I7574" cm="1">
        <f t="array" ref="I7574">_xlfn.STDEV.P(IF(Table1[IndicatorCode]=Table1[[#This Row],[IndicatorCode]],Table1[value]))</f>
        <v>6.3409496564024987</v>
      </c>
      <c r="J7574">
        <f>(Table1[[#This Row],[value]] - Table1[[#This Row],[mean]]) / Table1[[#This Row],[std_dev]]</f>
        <v>1.3144497851954</v>
      </c>
      <c r="K7574">
        <f>AVERAGEIF(Table1[CountryCode],Table1[[#This Row],[CountryCode]],Table1[z-score])</f>
        <v>0.41927804487804637</v>
      </c>
      <c r="L7574" t="e">
        <f>VLOOKUP(Table1[[#This Row],[CountryCode]],[1]!Table1[#All],1,FALSE)</f>
        <v>#REF!</v>
      </c>
    </row>
    <row r="7575" spans="1:12" hidden="1" x14ac:dyDescent="0.3">
      <c r="A7575" t="s">
        <v>19</v>
      </c>
      <c r="B7575" t="s">
        <v>20</v>
      </c>
      <c r="C7575" t="s">
        <v>129</v>
      </c>
      <c r="D7575" t="s">
        <v>130</v>
      </c>
      <c r="E7575">
        <v>2014</v>
      </c>
      <c r="F7575" s="1">
        <v>81</v>
      </c>
      <c r="G7575">
        <v>2010</v>
      </c>
      <c r="H7575">
        <f>AVERAGEIFS(Table1[value],Table1[IndicatorCode],Table1[[#This Row],[IndicatorCode]])</f>
        <v>72.66514008620689</v>
      </c>
      <c r="I7575" cm="1">
        <f t="array" ref="I7575">_xlfn.STDEV.P(IF(Table1[IndicatorCode]=Table1[[#This Row],[IndicatorCode]],Table1[value]))</f>
        <v>6.3409496564024987</v>
      </c>
      <c r="J7575">
        <f>(Table1[[#This Row],[value]] - Table1[[#This Row],[mean]]) / Table1[[#This Row],[std_dev]]</f>
        <v>1.3144497851954</v>
      </c>
      <c r="K7575">
        <f>AVERAGEIF(Table1[CountryCode],Table1[[#This Row],[CountryCode]],Table1[z-score])</f>
        <v>0.41927804487804637</v>
      </c>
      <c r="L7575" t="e">
        <f>VLOOKUP(Table1[[#This Row],[CountryCode]],[1]!Table1[#All],1,FALSE)</f>
        <v>#REF!</v>
      </c>
    </row>
    <row r="7576" spans="1:12" hidden="1" x14ac:dyDescent="0.3">
      <c r="A7576" t="s">
        <v>19</v>
      </c>
      <c r="B7576" t="s">
        <v>20</v>
      </c>
      <c r="C7576" t="s">
        <v>129</v>
      </c>
      <c r="D7576" t="s">
        <v>130</v>
      </c>
      <c r="E7576">
        <v>2015</v>
      </c>
      <c r="F7576" s="1">
        <v>81</v>
      </c>
      <c r="G7576">
        <v>2010</v>
      </c>
      <c r="H7576">
        <f>AVERAGEIFS(Table1[value],Table1[IndicatorCode],Table1[[#This Row],[IndicatorCode]])</f>
        <v>72.66514008620689</v>
      </c>
      <c r="I7576" cm="1">
        <f t="array" ref="I7576">_xlfn.STDEV.P(IF(Table1[IndicatorCode]=Table1[[#This Row],[IndicatorCode]],Table1[value]))</f>
        <v>6.3409496564024987</v>
      </c>
      <c r="J7576">
        <f>(Table1[[#This Row],[value]] - Table1[[#This Row],[mean]]) / Table1[[#This Row],[std_dev]]</f>
        <v>1.3144497851954</v>
      </c>
      <c r="K7576">
        <f>AVERAGEIF(Table1[CountryCode],Table1[[#This Row],[CountryCode]],Table1[z-score])</f>
        <v>0.41927804487804637</v>
      </c>
      <c r="L7576" t="e">
        <f>VLOOKUP(Table1[[#This Row],[CountryCode]],[1]!Table1[#All],1,FALSE)</f>
        <v>#REF!</v>
      </c>
    </row>
    <row r="7577" spans="1:12" hidden="1" x14ac:dyDescent="0.3">
      <c r="A7577" t="s">
        <v>19</v>
      </c>
      <c r="B7577" t="s">
        <v>20</v>
      </c>
      <c r="C7577" t="s">
        <v>129</v>
      </c>
      <c r="D7577" t="s">
        <v>130</v>
      </c>
      <c r="E7577">
        <v>2016</v>
      </c>
      <c r="F7577" s="1">
        <v>81</v>
      </c>
      <c r="G7577">
        <v>2010</v>
      </c>
      <c r="H7577">
        <f>AVERAGEIFS(Table1[value],Table1[IndicatorCode],Table1[[#This Row],[IndicatorCode]])</f>
        <v>72.66514008620689</v>
      </c>
      <c r="I7577" cm="1">
        <f t="array" ref="I7577">_xlfn.STDEV.P(IF(Table1[IndicatorCode]=Table1[[#This Row],[IndicatorCode]],Table1[value]))</f>
        <v>6.3409496564024987</v>
      </c>
      <c r="J7577">
        <f>(Table1[[#This Row],[value]] - Table1[[#This Row],[mean]]) / Table1[[#This Row],[std_dev]]</f>
        <v>1.3144497851954</v>
      </c>
      <c r="K7577">
        <f>AVERAGEIF(Table1[CountryCode],Table1[[#This Row],[CountryCode]],Table1[z-score])</f>
        <v>0.41927804487804637</v>
      </c>
      <c r="L7577" t="e">
        <f>VLOOKUP(Table1[[#This Row],[CountryCode]],[1]!Table1[#All],1,FALSE)</f>
        <v>#REF!</v>
      </c>
    </row>
    <row r="7578" spans="1:12" hidden="1" x14ac:dyDescent="0.3">
      <c r="A7578" t="s">
        <v>19</v>
      </c>
      <c r="B7578" t="s">
        <v>20</v>
      </c>
      <c r="C7578" t="s">
        <v>129</v>
      </c>
      <c r="D7578" t="s">
        <v>130</v>
      </c>
      <c r="E7578">
        <v>2017</v>
      </c>
      <c r="F7578" s="1">
        <v>81</v>
      </c>
      <c r="G7578">
        <v>2020</v>
      </c>
      <c r="H7578">
        <f>AVERAGEIFS(Table1[value],Table1[IndicatorCode],Table1[[#This Row],[IndicatorCode]])</f>
        <v>72.66514008620689</v>
      </c>
      <c r="I7578" cm="1">
        <f t="array" ref="I7578">_xlfn.STDEV.P(IF(Table1[IndicatorCode]=Table1[[#This Row],[IndicatorCode]],Table1[value]))</f>
        <v>6.3409496564024987</v>
      </c>
      <c r="J7578">
        <f>(Table1[[#This Row],[value]] - Table1[[#This Row],[mean]]) / Table1[[#This Row],[std_dev]]</f>
        <v>1.3144497851954</v>
      </c>
      <c r="K7578">
        <f>AVERAGEIF(Table1[CountryCode],Table1[[#This Row],[CountryCode]],Table1[z-score])</f>
        <v>0.41927804487804637</v>
      </c>
      <c r="L7578" t="e">
        <f>VLOOKUP(Table1[[#This Row],[CountryCode]],[1]!Table1[#All],1,FALSE)</f>
        <v>#REF!</v>
      </c>
    </row>
    <row r="7579" spans="1:12" hidden="1" x14ac:dyDescent="0.3">
      <c r="A7579" t="s">
        <v>19</v>
      </c>
      <c r="B7579" t="s">
        <v>20</v>
      </c>
      <c r="C7579" t="s">
        <v>129</v>
      </c>
      <c r="D7579" t="s">
        <v>130</v>
      </c>
      <c r="E7579">
        <v>2018</v>
      </c>
      <c r="F7579" s="1">
        <v>82</v>
      </c>
      <c r="G7579">
        <v>2020</v>
      </c>
      <c r="H7579">
        <f>AVERAGEIFS(Table1[value],Table1[IndicatorCode],Table1[[#This Row],[IndicatorCode]])</f>
        <v>72.66514008620689</v>
      </c>
      <c r="I7579" cm="1">
        <f t="array" ref="I7579">_xlfn.STDEV.P(IF(Table1[IndicatorCode]=Table1[[#This Row],[IndicatorCode]],Table1[value]))</f>
        <v>6.3409496564024987</v>
      </c>
      <c r="J7579">
        <f>(Table1[[#This Row],[value]] - Table1[[#This Row],[mean]]) / Table1[[#This Row],[std_dev]]</f>
        <v>1.4721548694788391</v>
      </c>
      <c r="K7579">
        <f>AVERAGEIF(Table1[CountryCode],Table1[[#This Row],[CountryCode]],Table1[z-score])</f>
        <v>0.41927804487804637</v>
      </c>
      <c r="L7579" t="e">
        <f>VLOOKUP(Table1[[#This Row],[CountryCode]],[1]!Table1[#All],1,FALSE)</f>
        <v>#REF!</v>
      </c>
    </row>
    <row r="7580" spans="1:12" hidden="1" x14ac:dyDescent="0.3">
      <c r="A7580" t="s">
        <v>19</v>
      </c>
      <c r="B7580" t="s">
        <v>20</v>
      </c>
      <c r="C7580" t="s">
        <v>129</v>
      </c>
      <c r="D7580" t="s">
        <v>130</v>
      </c>
      <c r="E7580">
        <v>2019</v>
      </c>
      <c r="F7580" s="1">
        <v>82</v>
      </c>
      <c r="G7580">
        <v>2020</v>
      </c>
      <c r="H7580">
        <f>AVERAGEIFS(Table1[value],Table1[IndicatorCode],Table1[[#This Row],[IndicatorCode]])</f>
        <v>72.66514008620689</v>
      </c>
      <c r="I7580" cm="1">
        <f t="array" ref="I7580">_xlfn.STDEV.P(IF(Table1[IndicatorCode]=Table1[[#This Row],[IndicatorCode]],Table1[value]))</f>
        <v>6.3409496564024987</v>
      </c>
      <c r="J7580">
        <f>(Table1[[#This Row],[value]] - Table1[[#This Row],[mean]]) / Table1[[#This Row],[std_dev]]</f>
        <v>1.4721548694788391</v>
      </c>
      <c r="K7580">
        <f>AVERAGEIF(Table1[CountryCode],Table1[[#This Row],[CountryCode]],Table1[z-score])</f>
        <v>0.41927804487804637</v>
      </c>
      <c r="L7580" t="e">
        <f>VLOOKUP(Table1[[#This Row],[CountryCode]],[1]!Table1[#All],1,FALSE)</f>
        <v>#REF!</v>
      </c>
    </row>
    <row r="7581" spans="1:12" x14ac:dyDescent="0.3">
      <c r="A7581" t="s">
        <v>19</v>
      </c>
      <c r="B7581" t="s">
        <v>20</v>
      </c>
      <c r="C7581" t="s">
        <v>129</v>
      </c>
      <c r="D7581" t="s">
        <v>130</v>
      </c>
      <c r="E7581">
        <v>2020</v>
      </c>
      <c r="F7581" s="1">
        <v>81</v>
      </c>
      <c r="G7581">
        <v>2020</v>
      </c>
      <c r="H7581">
        <f>AVERAGEIFS(Table1[value],Table1[IndicatorCode],Table1[[#This Row],[IndicatorCode]])</f>
        <v>72.66514008620689</v>
      </c>
      <c r="I7581" cm="1">
        <f t="array" ref="I7581">_xlfn.STDEV.P(IF(Table1[IndicatorCode]=Table1[[#This Row],[IndicatorCode]],Table1[value]))</f>
        <v>6.3409496564024987</v>
      </c>
      <c r="J7581">
        <f>(Table1[[#This Row],[value]] - Table1[[#This Row],[mean]]) / Table1[[#This Row],[std_dev]]</f>
        <v>1.3144497851954</v>
      </c>
      <c r="K7581">
        <f>AVERAGEIF(Table1[CountryCode],Table1[[#This Row],[CountryCode]],Table1[z-score])</f>
        <v>0.41927804487804637</v>
      </c>
    </row>
    <row r="7582" spans="1:12" hidden="1" x14ac:dyDescent="0.3">
      <c r="A7582" t="s">
        <v>19</v>
      </c>
      <c r="B7582" t="s">
        <v>20</v>
      </c>
      <c r="C7582" t="s">
        <v>129</v>
      </c>
      <c r="D7582" t="s">
        <v>130</v>
      </c>
      <c r="E7582">
        <v>2021</v>
      </c>
      <c r="F7582" s="1">
        <v>82</v>
      </c>
      <c r="G7582">
        <v>1960</v>
      </c>
      <c r="H7582">
        <f>AVERAGEIFS(Table1[value],Table1[IndicatorCode],Table1[[#This Row],[IndicatorCode]])</f>
        <v>72.66514008620689</v>
      </c>
      <c r="I7582" cm="1">
        <f t="array" ref="I7582">_xlfn.STDEV.P(IF(Table1[IndicatorCode]=Table1[[#This Row],[IndicatorCode]],Table1[value]))</f>
        <v>6.3409496564024987</v>
      </c>
      <c r="J7582">
        <f>(Table1[[#This Row],[value]] - Table1[[#This Row],[mean]]) / Table1[[#This Row],[std_dev]]</f>
        <v>1.4721548694788391</v>
      </c>
      <c r="K7582">
        <f>AVERAGEIF(Table1[CountryCode],Table1[[#This Row],[CountryCode]],Table1[z-score])</f>
        <v>0.41927804487804637</v>
      </c>
      <c r="L7582" t="e">
        <f>VLOOKUP(Table1[[#This Row],[CountryCode]],[1]!Table1[#All],1,FALSE)</f>
        <v>#REF!</v>
      </c>
    </row>
    <row r="7583" spans="1:12" hidden="1" x14ac:dyDescent="0.3">
      <c r="A7583" t="s">
        <v>19</v>
      </c>
      <c r="B7583" t="s">
        <v>20</v>
      </c>
      <c r="C7583" t="s">
        <v>129</v>
      </c>
      <c r="D7583" t="s">
        <v>130</v>
      </c>
      <c r="E7583">
        <v>2022</v>
      </c>
      <c r="F7583" s="1">
        <v>82</v>
      </c>
      <c r="G7583">
        <v>1960</v>
      </c>
      <c r="H7583">
        <f>AVERAGEIFS(Table1[value],Table1[IndicatorCode],Table1[[#This Row],[IndicatorCode]])</f>
        <v>72.66514008620689</v>
      </c>
      <c r="I7583" cm="1">
        <f t="array" ref="I7583">_xlfn.STDEV.P(IF(Table1[IndicatorCode]=Table1[[#This Row],[IndicatorCode]],Table1[value]))</f>
        <v>6.3409496564024987</v>
      </c>
      <c r="J7583">
        <f>(Table1[[#This Row],[value]] - Table1[[#This Row],[mean]]) / Table1[[#This Row],[std_dev]]</f>
        <v>1.4721548694788391</v>
      </c>
      <c r="K7583">
        <f>AVERAGEIF(Table1[CountryCode],Table1[[#This Row],[CountryCode]],Table1[z-score])</f>
        <v>0.41927804487804637</v>
      </c>
      <c r="L7583" t="e">
        <f>VLOOKUP(Table1[[#This Row],[CountryCode]],[1]!Table1[#All],1,FALSE)</f>
        <v>#REF!</v>
      </c>
    </row>
    <row r="7584" spans="1:12" hidden="1" x14ac:dyDescent="0.3">
      <c r="A7584" t="s">
        <v>19</v>
      </c>
      <c r="B7584" t="s">
        <v>20</v>
      </c>
      <c r="C7584" t="s">
        <v>129</v>
      </c>
      <c r="D7584" t="s">
        <v>130</v>
      </c>
      <c r="E7584">
        <v>2023</v>
      </c>
      <c r="F7584" s="1">
        <v>82</v>
      </c>
      <c r="G7584">
        <v>1960</v>
      </c>
      <c r="H7584">
        <f>AVERAGEIFS(Table1[value],Table1[IndicatorCode],Table1[[#This Row],[IndicatorCode]])</f>
        <v>72.66514008620689</v>
      </c>
      <c r="I7584" cm="1">
        <f t="array" ref="I7584">_xlfn.STDEV.P(IF(Table1[IndicatorCode]=Table1[[#This Row],[IndicatorCode]],Table1[value]))</f>
        <v>6.3409496564024987</v>
      </c>
      <c r="J7584">
        <f>(Table1[[#This Row],[value]] - Table1[[#This Row],[mean]]) / Table1[[#This Row],[std_dev]]</f>
        <v>1.4721548694788391</v>
      </c>
      <c r="K7584">
        <f>AVERAGEIF(Table1[CountryCode],Table1[[#This Row],[CountryCode]],Table1[z-score])</f>
        <v>0.41927804487804637</v>
      </c>
      <c r="L7584" t="e">
        <f>VLOOKUP(Table1[[#This Row],[CountryCode]],[1]!Table1[#All],1,FALSE)</f>
        <v>#REF!</v>
      </c>
    </row>
    <row r="7585" spans="1:12" hidden="1" x14ac:dyDescent="0.3">
      <c r="A7585" t="s">
        <v>21</v>
      </c>
      <c r="B7585" t="s">
        <v>22</v>
      </c>
      <c r="C7585" t="s">
        <v>129</v>
      </c>
      <c r="D7585" t="s">
        <v>130</v>
      </c>
      <c r="E7585">
        <v>1960</v>
      </c>
      <c r="F7585" s="1">
        <v>69</v>
      </c>
      <c r="G7585">
        <v>1960</v>
      </c>
      <c r="H7585">
        <f>AVERAGEIFS(Table1[value],Table1[IndicatorCode],Table1[[#This Row],[IndicatorCode]])</f>
        <v>72.66514008620689</v>
      </c>
      <c r="I7585" cm="1">
        <f t="array" ref="I7585">_xlfn.STDEV.P(IF(Table1[IndicatorCode]=Table1[[#This Row],[IndicatorCode]],Table1[value]))</f>
        <v>6.3409496564024987</v>
      </c>
      <c r="J7585">
        <f>(Table1[[#This Row],[value]] - Table1[[#This Row],[mean]]) / Table1[[#This Row],[std_dev]]</f>
        <v>-0.57801122620586864</v>
      </c>
      <c r="K7585">
        <f>AVERAGEIF(Table1[CountryCode],Table1[[#This Row],[CountryCode]],Table1[z-score])</f>
        <v>-0.76001533806857513</v>
      </c>
      <c r="L7585" t="e">
        <f>VLOOKUP(Table1[[#This Row],[CountryCode]],[1]!Table1[#All],1,FALSE)</f>
        <v>#REF!</v>
      </c>
    </row>
    <row r="7586" spans="1:12" hidden="1" x14ac:dyDescent="0.3">
      <c r="A7586" t="s">
        <v>21</v>
      </c>
      <c r="B7586" t="s">
        <v>22</v>
      </c>
      <c r="C7586" t="s">
        <v>129</v>
      </c>
      <c r="D7586" t="s">
        <v>130</v>
      </c>
      <c r="E7586">
        <v>1961</v>
      </c>
      <c r="F7586" s="1">
        <v>70</v>
      </c>
      <c r="G7586">
        <v>1960</v>
      </c>
      <c r="H7586">
        <f>AVERAGEIFS(Table1[value],Table1[IndicatorCode],Table1[[#This Row],[IndicatorCode]])</f>
        <v>72.66514008620689</v>
      </c>
      <c r="I7586" cm="1">
        <f t="array" ref="I7586">_xlfn.STDEV.P(IF(Table1[IndicatorCode]=Table1[[#This Row],[IndicatorCode]],Table1[value]))</f>
        <v>6.3409496564024987</v>
      </c>
      <c r="J7586">
        <f>(Table1[[#This Row],[value]] - Table1[[#This Row],[mean]]) / Table1[[#This Row],[std_dev]]</f>
        <v>-0.4203061419224296</v>
      </c>
      <c r="K7586">
        <f>AVERAGEIF(Table1[CountryCode],Table1[[#This Row],[CountryCode]],Table1[z-score])</f>
        <v>-0.76001533806857513</v>
      </c>
      <c r="L7586" t="e">
        <f>VLOOKUP(Table1[[#This Row],[CountryCode]],[1]!Table1[#All],1,FALSE)</f>
        <v>#REF!</v>
      </c>
    </row>
    <row r="7587" spans="1:12" hidden="1" x14ac:dyDescent="0.3">
      <c r="A7587" t="s">
        <v>21</v>
      </c>
      <c r="B7587" t="s">
        <v>22</v>
      </c>
      <c r="C7587" t="s">
        <v>129</v>
      </c>
      <c r="D7587" t="s">
        <v>130</v>
      </c>
      <c r="E7587">
        <v>1962</v>
      </c>
      <c r="F7587" s="1">
        <v>69</v>
      </c>
      <c r="G7587">
        <v>1960</v>
      </c>
      <c r="H7587">
        <f>AVERAGEIFS(Table1[value],Table1[IndicatorCode],Table1[[#This Row],[IndicatorCode]])</f>
        <v>72.66514008620689</v>
      </c>
      <c r="I7587" cm="1">
        <f t="array" ref="I7587">_xlfn.STDEV.P(IF(Table1[IndicatorCode]=Table1[[#This Row],[IndicatorCode]],Table1[value]))</f>
        <v>6.3409496564024987</v>
      </c>
      <c r="J7587">
        <f>(Table1[[#This Row],[value]] - Table1[[#This Row],[mean]]) / Table1[[#This Row],[std_dev]]</f>
        <v>-0.57801122620586864</v>
      </c>
      <c r="K7587">
        <f>AVERAGEIF(Table1[CountryCode],Table1[[#This Row],[CountryCode]],Table1[z-score])</f>
        <v>-0.76001533806857513</v>
      </c>
      <c r="L7587" t="e">
        <f>VLOOKUP(Table1[[#This Row],[CountryCode]],[1]!Table1[#All],1,FALSE)</f>
        <v>#REF!</v>
      </c>
    </row>
    <row r="7588" spans="1:12" hidden="1" x14ac:dyDescent="0.3">
      <c r="A7588" t="s">
        <v>21</v>
      </c>
      <c r="B7588" t="s">
        <v>22</v>
      </c>
      <c r="C7588" t="s">
        <v>129</v>
      </c>
      <c r="D7588" t="s">
        <v>130</v>
      </c>
      <c r="E7588">
        <v>1963</v>
      </c>
      <c r="F7588" s="1">
        <v>70</v>
      </c>
      <c r="G7588">
        <v>1960</v>
      </c>
      <c r="H7588">
        <f>AVERAGEIFS(Table1[value],Table1[IndicatorCode],Table1[[#This Row],[IndicatorCode]])</f>
        <v>72.66514008620689</v>
      </c>
      <c r="I7588" cm="1">
        <f t="array" ref="I7588">_xlfn.STDEV.P(IF(Table1[IndicatorCode]=Table1[[#This Row],[IndicatorCode]],Table1[value]))</f>
        <v>6.3409496564024987</v>
      </c>
      <c r="J7588">
        <f>(Table1[[#This Row],[value]] - Table1[[#This Row],[mean]]) / Table1[[#This Row],[std_dev]]</f>
        <v>-0.4203061419224296</v>
      </c>
      <c r="K7588">
        <f>AVERAGEIF(Table1[CountryCode],Table1[[#This Row],[CountryCode]],Table1[z-score])</f>
        <v>-0.76001533806857513</v>
      </c>
      <c r="L7588" t="e">
        <f>VLOOKUP(Table1[[#This Row],[CountryCode]],[1]!Table1[#All],1,FALSE)</f>
        <v>#REF!</v>
      </c>
    </row>
    <row r="7589" spans="1:12" hidden="1" x14ac:dyDescent="0.3">
      <c r="A7589" t="s">
        <v>21</v>
      </c>
      <c r="B7589" t="s">
        <v>22</v>
      </c>
      <c r="C7589" t="s">
        <v>129</v>
      </c>
      <c r="D7589" t="s">
        <v>130</v>
      </c>
      <c r="E7589">
        <v>1964</v>
      </c>
      <c r="F7589" s="1">
        <v>71</v>
      </c>
      <c r="G7589">
        <v>1960</v>
      </c>
      <c r="H7589">
        <f>AVERAGEIFS(Table1[value],Table1[IndicatorCode],Table1[[#This Row],[IndicatorCode]])</f>
        <v>72.66514008620689</v>
      </c>
      <c r="I7589" cm="1">
        <f t="array" ref="I7589">_xlfn.STDEV.P(IF(Table1[IndicatorCode]=Table1[[#This Row],[IndicatorCode]],Table1[value]))</f>
        <v>6.3409496564024987</v>
      </c>
      <c r="J7589">
        <f>(Table1[[#This Row],[value]] - Table1[[#This Row],[mean]]) / Table1[[#This Row],[std_dev]]</f>
        <v>-0.2626010576389905</v>
      </c>
      <c r="K7589">
        <f>AVERAGEIF(Table1[CountryCode],Table1[[#This Row],[CountryCode]],Table1[z-score])</f>
        <v>-0.76001533806857513</v>
      </c>
      <c r="L7589" t="e">
        <f>VLOOKUP(Table1[[#This Row],[CountryCode]],[1]!Table1[#All],1,FALSE)</f>
        <v>#REF!</v>
      </c>
    </row>
    <row r="7590" spans="1:12" hidden="1" x14ac:dyDescent="0.3">
      <c r="A7590" t="s">
        <v>21</v>
      </c>
      <c r="B7590" t="s">
        <v>22</v>
      </c>
      <c r="C7590" t="s">
        <v>129</v>
      </c>
      <c r="D7590" t="s">
        <v>130</v>
      </c>
      <c r="E7590">
        <v>1965</v>
      </c>
      <c r="F7590" s="1">
        <v>71</v>
      </c>
      <c r="G7590">
        <v>1960</v>
      </c>
      <c r="H7590">
        <f>AVERAGEIFS(Table1[value],Table1[IndicatorCode],Table1[[#This Row],[IndicatorCode]])</f>
        <v>72.66514008620689</v>
      </c>
      <c r="I7590" cm="1">
        <f t="array" ref="I7590">_xlfn.STDEV.P(IF(Table1[IndicatorCode]=Table1[[#This Row],[IndicatorCode]],Table1[value]))</f>
        <v>6.3409496564024987</v>
      </c>
      <c r="J7590">
        <f>(Table1[[#This Row],[value]] - Table1[[#This Row],[mean]]) / Table1[[#This Row],[std_dev]]</f>
        <v>-0.2626010576389905</v>
      </c>
      <c r="K7590">
        <f>AVERAGEIF(Table1[CountryCode],Table1[[#This Row],[CountryCode]],Table1[z-score])</f>
        <v>-0.76001533806857513</v>
      </c>
      <c r="L7590" t="e">
        <f>VLOOKUP(Table1[[#This Row],[CountryCode]],[1]!Table1[#All],1,FALSE)</f>
        <v>#REF!</v>
      </c>
    </row>
    <row r="7591" spans="1:12" hidden="1" x14ac:dyDescent="0.3">
      <c r="A7591" t="s">
        <v>21</v>
      </c>
      <c r="B7591" t="s">
        <v>22</v>
      </c>
      <c r="C7591" t="s">
        <v>129</v>
      </c>
      <c r="D7591" t="s">
        <v>130</v>
      </c>
      <c r="E7591">
        <v>1966</v>
      </c>
      <c r="F7591" s="1">
        <v>71</v>
      </c>
      <c r="G7591">
        <v>1960</v>
      </c>
      <c r="H7591">
        <f>AVERAGEIFS(Table1[value],Table1[IndicatorCode],Table1[[#This Row],[IndicatorCode]])</f>
        <v>72.66514008620689</v>
      </c>
      <c r="I7591" cm="1">
        <f t="array" ref="I7591">_xlfn.STDEV.P(IF(Table1[IndicatorCode]=Table1[[#This Row],[IndicatorCode]],Table1[value]))</f>
        <v>6.3409496564024987</v>
      </c>
      <c r="J7591">
        <f>(Table1[[#This Row],[value]] - Table1[[#This Row],[mean]]) / Table1[[#This Row],[std_dev]]</f>
        <v>-0.2626010576389905</v>
      </c>
      <c r="K7591">
        <f>AVERAGEIF(Table1[CountryCode],Table1[[#This Row],[CountryCode]],Table1[z-score])</f>
        <v>-0.76001533806857513</v>
      </c>
      <c r="L7591" t="e">
        <f>VLOOKUP(Table1[[#This Row],[CountryCode]],[1]!Table1[#All],1,FALSE)</f>
        <v>#REF!</v>
      </c>
    </row>
    <row r="7592" spans="1:12" hidden="1" x14ac:dyDescent="0.3">
      <c r="A7592" t="s">
        <v>21</v>
      </c>
      <c r="B7592" t="s">
        <v>22</v>
      </c>
      <c r="C7592" t="s">
        <v>129</v>
      </c>
      <c r="D7592" t="s">
        <v>130</v>
      </c>
      <c r="E7592">
        <v>1967</v>
      </c>
      <c r="F7592" s="1">
        <v>70</v>
      </c>
      <c r="G7592">
        <v>1970</v>
      </c>
      <c r="H7592">
        <f>AVERAGEIFS(Table1[value],Table1[IndicatorCode],Table1[[#This Row],[IndicatorCode]])</f>
        <v>72.66514008620689</v>
      </c>
      <c r="I7592" cm="1">
        <f t="array" ref="I7592">_xlfn.STDEV.P(IF(Table1[IndicatorCode]=Table1[[#This Row],[IndicatorCode]],Table1[value]))</f>
        <v>6.3409496564024987</v>
      </c>
      <c r="J7592">
        <f>(Table1[[#This Row],[value]] - Table1[[#This Row],[mean]]) / Table1[[#This Row],[std_dev]]</f>
        <v>-0.4203061419224296</v>
      </c>
      <c r="K7592">
        <f>AVERAGEIF(Table1[CountryCode],Table1[[#This Row],[CountryCode]],Table1[z-score])</f>
        <v>-0.76001533806857513</v>
      </c>
      <c r="L7592" t="e">
        <f>VLOOKUP(Table1[[#This Row],[CountryCode]],[1]!Table1[#All],1,FALSE)</f>
        <v>#REF!</v>
      </c>
    </row>
    <row r="7593" spans="1:12" hidden="1" x14ac:dyDescent="0.3">
      <c r="A7593" t="s">
        <v>21</v>
      </c>
      <c r="B7593" t="s">
        <v>22</v>
      </c>
      <c r="C7593" t="s">
        <v>129</v>
      </c>
      <c r="D7593" t="s">
        <v>130</v>
      </c>
      <c r="E7593">
        <v>1968</v>
      </c>
      <c r="F7593" s="1">
        <v>71</v>
      </c>
      <c r="G7593">
        <v>1970</v>
      </c>
      <c r="H7593">
        <f>AVERAGEIFS(Table1[value],Table1[IndicatorCode],Table1[[#This Row],[IndicatorCode]])</f>
        <v>72.66514008620689</v>
      </c>
      <c r="I7593" cm="1">
        <f t="array" ref="I7593">_xlfn.STDEV.P(IF(Table1[IndicatorCode]=Table1[[#This Row],[IndicatorCode]],Table1[value]))</f>
        <v>6.3409496564024987</v>
      </c>
      <c r="J7593">
        <f>(Table1[[#This Row],[value]] - Table1[[#This Row],[mean]]) / Table1[[#This Row],[std_dev]]</f>
        <v>-0.2626010576389905</v>
      </c>
      <c r="K7593">
        <f>AVERAGEIF(Table1[CountryCode],Table1[[#This Row],[CountryCode]],Table1[z-score])</f>
        <v>-0.76001533806857513</v>
      </c>
      <c r="L7593" t="e">
        <f>VLOOKUP(Table1[[#This Row],[CountryCode]],[1]!Table1[#All],1,FALSE)</f>
        <v>#REF!</v>
      </c>
    </row>
    <row r="7594" spans="1:12" hidden="1" x14ac:dyDescent="0.3">
      <c r="A7594" t="s">
        <v>21</v>
      </c>
      <c r="B7594" t="s">
        <v>22</v>
      </c>
      <c r="C7594" t="s">
        <v>129</v>
      </c>
      <c r="D7594" t="s">
        <v>130</v>
      </c>
      <c r="E7594">
        <v>1969</v>
      </c>
      <c r="F7594" s="1">
        <v>70</v>
      </c>
      <c r="G7594">
        <v>1970</v>
      </c>
      <c r="H7594">
        <f>AVERAGEIFS(Table1[value],Table1[IndicatorCode],Table1[[#This Row],[IndicatorCode]])</f>
        <v>72.66514008620689</v>
      </c>
      <c r="I7594" cm="1">
        <f t="array" ref="I7594">_xlfn.STDEV.P(IF(Table1[IndicatorCode]=Table1[[#This Row],[IndicatorCode]],Table1[value]))</f>
        <v>6.3409496564024987</v>
      </c>
      <c r="J7594">
        <f>(Table1[[#This Row],[value]] - Table1[[#This Row],[mean]]) / Table1[[#This Row],[std_dev]]</f>
        <v>-0.4203061419224296</v>
      </c>
      <c r="K7594">
        <f>AVERAGEIF(Table1[CountryCode],Table1[[#This Row],[CountryCode]],Table1[z-score])</f>
        <v>-0.76001533806857513</v>
      </c>
      <c r="L7594" t="e">
        <f>VLOOKUP(Table1[[#This Row],[CountryCode]],[1]!Table1[#All],1,FALSE)</f>
        <v>#REF!</v>
      </c>
    </row>
    <row r="7595" spans="1:12" hidden="1" x14ac:dyDescent="0.3">
      <c r="A7595" t="s">
        <v>21</v>
      </c>
      <c r="B7595" t="s">
        <v>22</v>
      </c>
      <c r="C7595" t="s">
        <v>129</v>
      </c>
      <c r="D7595" t="s">
        <v>130</v>
      </c>
      <c r="E7595">
        <v>1970</v>
      </c>
      <c r="F7595" s="1">
        <v>71</v>
      </c>
      <c r="G7595">
        <v>1970</v>
      </c>
      <c r="H7595">
        <f>AVERAGEIFS(Table1[value],Table1[IndicatorCode],Table1[[#This Row],[IndicatorCode]])</f>
        <v>72.66514008620689</v>
      </c>
      <c r="I7595" cm="1">
        <f t="array" ref="I7595">_xlfn.STDEV.P(IF(Table1[IndicatorCode]=Table1[[#This Row],[IndicatorCode]],Table1[value]))</f>
        <v>6.3409496564024987</v>
      </c>
      <c r="J7595">
        <f>(Table1[[#This Row],[value]] - Table1[[#This Row],[mean]]) / Table1[[#This Row],[std_dev]]</f>
        <v>-0.2626010576389905</v>
      </c>
      <c r="K7595">
        <f>AVERAGEIF(Table1[CountryCode],Table1[[#This Row],[CountryCode]],Table1[z-score])</f>
        <v>-0.76001533806857513</v>
      </c>
      <c r="L7595" t="e">
        <f>VLOOKUP(Table1[[#This Row],[CountryCode]],[1]!Table1[#All],1,FALSE)</f>
        <v>#REF!</v>
      </c>
    </row>
    <row r="7596" spans="1:12" hidden="1" x14ac:dyDescent="0.3">
      <c r="A7596" t="s">
        <v>21</v>
      </c>
      <c r="B7596" t="s">
        <v>22</v>
      </c>
      <c r="C7596" t="s">
        <v>129</v>
      </c>
      <c r="D7596" t="s">
        <v>130</v>
      </c>
      <c r="E7596">
        <v>1971</v>
      </c>
      <c r="F7596" s="1">
        <v>71</v>
      </c>
      <c r="G7596">
        <v>1970</v>
      </c>
      <c r="H7596">
        <f>AVERAGEIFS(Table1[value],Table1[IndicatorCode],Table1[[#This Row],[IndicatorCode]])</f>
        <v>72.66514008620689</v>
      </c>
      <c r="I7596" cm="1">
        <f t="array" ref="I7596">_xlfn.STDEV.P(IF(Table1[IndicatorCode]=Table1[[#This Row],[IndicatorCode]],Table1[value]))</f>
        <v>6.3409496564024987</v>
      </c>
      <c r="J7596">
        <f>(Table1[[#This Row],[value]] - Table1[[#This Row],[mean]]) / Table1[[#This Row],[std_dev]]</f>
        <v>-0.2626010576389905</v>
      </c>
      <c r="K7596">
        <f>AVERAGEIF(Table1[CountryCode],Table1[[#This Row],[CountryCode]],Table1[z-score])</f>
        <v>-0.76001533806857513</v>
      </c>
      <c r="L7596" t="e">
        <f>VLOOKUP(Table1[[#This Row],[CountryCode]],[1]!Table1[#All],1,FALSE)</f>
        <v>#REF!</v>
      </c>
    </row>
    <row r="7597" spans="1:12" hidden="1" x14ac:dyDescent="0.3">
      <c r="A7597" t="s">
        <v>21</v>
      </c>
      <c r="B7597" t="s">
        <v>22</v>
      </c>
      <c r="C7597" t="s">
        <v>129</v>
      </c>
      <c r="D7597" t="s">
        <v>130</v>
      </c>
      <c r="E7597">
        <v>1972</v>
      </c>
      <c r="F7597" s="1">
        <v>71</v>
      </c>
      <c r="G7597">
        <v>1970</v>
      </c>
      <c r="H7597">
        <f>AVERAGEIFS(Table1[value],Table1[IndicatorCode],Table1[[#This Row],[IndicatorCode]])</f>
        <v>72.66514008620689</v>
      </c>
      <c r="I7597" cm="1">
        <f t="array" ref="I7597">_xlfn.STDEV.P(IF(Table1[IndicatorCode]=Table1[[#This Row],[IndicatorCode]],Table1[value]))</f>
        <v>6.3409496564024987</v>
      </c>
      <c r="J7597">
        <f>(Table1[[#This Row],[value]] - Table1[[#This Row],[mean]]) / Table1[[#This Row],[std_dev]]</f>
        <v>-0.2626010576389905</v>
      </c>
      <c r="K7597">
        <f>AVERAGEIF(Table1[CountryCode],Table1[[#This Row],[CountryCode]],Table1[z-score])</f>
        <v>-0.76001533806857513</v>
      </c>
      <c r="L7597" t="e">
        <f>VLOOKUP(Table1[[#This Row],[CountryCode]],[1]!Table1[#All],1,FALSE)</f>
        <v>#REF!</v>
      </c>
    </row>
    <row r="7598" spans="1:12" hidden="1" x14ac:dyDescent="0.3">
      <c r="A7598" t="s">
        <v>21</v>
      </c>
      <c r="B7598" t="s">
        <v>22</v>
      </c>
      <c r="C7598" t="s">
        <v>129</v>
      </c>
      <c r="D7598" t="s">
        <v>130</v>
      </c>
      <c r="E7598">
        <v>1973</v>
      </c>
      <c r="F7598" s="1">
        <v>71</v>
      </c>
      <c r="G7598">
        <v>1970</v>
      </c>
      <c r="H7598">
        <f>AVERAGEIFS(Table1[value],Table1[IndicatorCode],Table1[[#This Row],[IndicatorCode]])</f>
        <v>72.66514008620689</v>
      </c>
      <c r="I7598" cm="1">
        <f t="array" ref="I7598">_xlfn.STDEV.P(IF(Table1[IndicatorCode]=Table1[[#This Row],[IndicatorCode]],Table1[value]))</f>
        <v>6.3409496564024987</v>
      </c>
      <c r="J7598">
        <f>(Table1[[#This Row],[value]] - Table1[[#This Row],[mean]]) / Table1[[#This Row],[std_dev]]</f>
        <v>-0.2626010576389905</v>
      </c>
      <c r="K7598">
        <f>AVERAGEIF(Table1[CountryCode],Table1[[#This Row],[CountryCode]],Table1[z-score])</f>
        <v>-0.76001533806857513</v>
      </c>
      <c r="L7598" t="e">
        <f>VLOOKUP(Table1[[#This Row],[CountryCode]],[1]!Table1[#All],1,FALSE)</f>
        <v>#REF!</v>
      </c>
    </row>
    <row r="7599" spans="1:12" hidden="1" x14ac:dyDescent="0.3">
      <c r="A7599" t="s">
        <v>21</v>
      </c>
      <c r="B7599" t="s">
        <v>22</v>
      </c>
      <c r="C7599" t="s">
        <v>129</v>
      </c>
      <c r="D7599" t="s">
        <v>130</v>
      </c>
      <c r="E7599">
        <v>1974</v>
      </c>
      <c r="F7599" s="1">
        <v>71</v>
      </c>
      <c r="G7599">
        <v>1970</v>
      </c>
      <c r="H7599">
        <f>AVERAGEIFS(Table1[value],Table1[IndicatorCode],Table1[[#This Row],[IndicatorCode]])</f>
        <v>72.66514008620689</v>
      </c>
      <c r="I7599" cm="1">
        <f t="array" ref="I7599">_xlfn.STDEV.P(IF(Table1[IndicatorCode]=Table1[[#This Row],[IndicatorCode]],Table1[value]))</f>
        <v>6.3409496564024987</v>
      </c>
      <c r="J7599">
        <f>(Table1[[#This Row],[value]] - Table1[[#This Row],[mean]]) / Table1[[#This Row],[std_dev]]</f>
        <v>-0.2626010576389905</v>
      </c>
      <c r="K7599">
        <f>AVERAGEIF(Table1[CountryCode],Table1[[#This Row],[CountryCode]],Table1[z-score])</f>
        <v>-0.76001533806857513</v>
      </c>
      <c r="L7599" t="e">
        <f>VLOOKUP(Table1[[#This Row],[CountryCode]],[1]!Table1[#All],1,FALSE)</f>
        <v>#REF!</v>
      </c>
    </row>
    <row r="7600" spans="1:12" hidden="1" x14ac:dyDescent="0.3">
      <c r="A7600" t="s">
        <v>21</v>
      </c>
      <c r="B7600" t="s">
        <v>22</v>
      </c>
      <c r="C7600" t="s">
        <v>129</v>
      </c>
      <c r="D7600" t="s">
        <v>130</v>
      </c>
      <c r="E7600">
        <v>1975</v>
      </c>
      <c r="F7600" s="1">
        <v>71</v>
      </c>
      <c r="G7600">
        <v>1970</v>
      </c>
      <c r="H7600">
        <f>AVERAGEIFS(Table1[value],Table1[IndicatorCode],Table1[[#This Row],[IndicatorCode]])</f>
        <v>72.66514008620689</v>
      </c>
      <c r="I7600" cm="1">
        <f t="array" ref="I7600">_xlfn.STDEV.P(IF(Table1[IndicatorCode]=Table1[[#This Row],[IndicatorCode]],Table1[value]))</f>
        <v>6.3409496564024987</v>
      </c>
      <c r="J7600">
        <f>(Table1[[#This Row],[value]] - Table1[[#This Row],[mean]]) / Table1[[#This Row],[std_dev]]</f>
        <v>-0.2626010576389905</v>
      </c>
      <c r="K7600">
        <f>AVERAGEIF(Table1[CountryCode],Table1[[#This Row],[CountryCode]],Table1[z-score])</f>
        <v>-0.76001533806857513</v>
      </c>
      <c r="L7600" t="e">
        <f>VLOOKUP(Table1[[#This Row],[CountryCode]],[1]!Table1[#All],1,FALSE)</f>
        <v>#REF!</v>
      </c>
    </row>
    <row r="7601" spans="1:12" hidden="1" x14ac:dyDescent="0.3">
      <c r="A7601" t="s">
        <v>21</v>
      </c>
      <c r="B7601" t="s">
        <v>22</v>
      </c>
      <c r="C7601" t="s">
        <v>129</v>
      </c>
      <c r="D7601" t="s">
        <v>130</v>
      </c>
      <c r="E7601">
        <v>1976</v>
      </c>
      <c r="F7601" s="1">
        <v>71</v>
      </c>
      <c r="G7601">
        <v>1970</v>
      </c>
      <c r="H7601">
        <f>AVERAGEIFS(Table1[value],Table1[IndicatorCode],Table1[[#This Row],[IndicatorCode]])</f>
        <v>72.66514008620689</v>
      </c>
      <c r="I7601" cm="1">
        <f t="array" ref="I7601">_xlfn.STDEV.P(IF(Table1[IndicatorCode]=Table1[[#This Row],[IndicatorCode]],Table1[value]))</f>
        <v>6.3409496564024987</v>
      </c>
      <c r="J7601">
        <f>(Table1[[#This Row],[value]] - Table1[[#This Row],[mean]]) / Table1[[#This Row],[std_dev]]</f>
        <v>-0.2626010576389905</v>
      </c>
      <c r="K7601">
        <f>AVERAGEIF(Table1[CountryCode],Table1[[#This Row],[CountryCode]],Table1[z-score])</f>
        <v>-0.76001533806857513</v>
      </c>
      <c r="L7601" t="e">
        <f>VLOOKUP(Table1[[#This Row],[CountryCode]],[1]!Table1[#All],1,FALSE)</f>
        <v>#REF!</v>
      </c>
    </row>
    <row r="7602" spans="1:12" hidden="1" x14ac:dyDescent="0.3">
      <c r="A7602" t="s">
        <v>21</v>
      </c>
      <c r="B7602" t="s">
        <v>22</v>
      </c>
      <c r="C7602" t="s">
        <v>129</v>
      </c>
      <c r="D7602" t="s">
        <v>130</v>
      </c>
      <c r="E7602">
        <v>1977</v>
      </c>
      <c r="F7602" s="1">
        <v>71</v>
      </c>
      <c r="G7602">
        <v>1980</v>
      </c>
      <c r="H7602">
        <f>AVERAGEIFS(Table1[value],Table1[IndicatorCode],Table1[[#This Row],[IndicatorCode]])</f>
        <v>72.66514008620689</v>
      </c>
      <c r="I7602" cm="1">
        <f t="array" ref="I7602">_xlfn.STDEV.P(IF(Table1[IndicatorCode]=Table1[[#This Row],[IndicatorCode]],Table1[value]))</f>
        <v>6.3409496564024987</v>
      </c>
      <c r="J7602">
        <f>(Table1[[#This Row],[value]] - Table1[[#This Row],[mean]]) / Table1[[#This Row],[std_dev]]</f>
        <v>-0.2626010576389905</v>
      </c>
      <c r="K7602">
        <f>AVERAGEIF(Table1[CountryCode],Table1[[#This Row],[CountryCode]],Table1[z-score])</f>
        <v>-0.76001533806857513</v>
      </c>
      <c r="L7602" t="e">
        <f>VLOOKUP(Table1[[#This Row],[CountryCode]],[1]!Table1[#All],1,FALSE)</f>
        <v>#REF!</v>
      </c>
    </row>
    <row r="7603" spans="1:12" hidden="1" x14ac:dyDescent="0.3">
      <c r="A7603" t="s">
        <v>21</v>
      </c>
      <c r="B7603" t="s">
        <v>22</v>
      </c>
      <c r="C7603" t="s">
        <v>129</v>
      </c>
      <c r="D7603" t="s">
        <v>130</v>
      </c>
      <c r="E7603">
        <v>1978</v>
      </c>
      <c r="F7603" s="1">
        <v>71</v>
      </c>
      <c r="G7603">
        <v>1980</v>
      </c>
      <c r="H7603">
        <f>AVERAGEIFS(Table1[value],Table1[IndicatorCode],Table1[[#This Row],[IndicatorCode]])</f>
        <v>72.66514008620689</v>
      </c>
      <c r="I7603" cm="1">
        <f t="array" ref="I7603">_xlfn.STDEV.P(IF(Table1[IndicatorCode]=Table1[[#This Row],[IndicatorCode]],Table1[value]))</f>
        <v>6.3409496564024987</v>
      </c>
      <c r="J7603">
        <f>(Table1[[#This Row],[value]] - Table1[[#This Row],[mean]]) / Table1[[#This Row],[std_dev]]</f>
        <v>-0.2626010576389905</v>
      </c>
      <c r="K7603">
        <f>AVERAGEIF(Table1[CountryCode],Table1[[#This Row],[CountryCode]],Table1[z-score])</f>
        <v>-0.76001533806857513</v>
      </c>
      <c r="L7603" t="e">
        <f>VLOOKUP(Table1[[#This Row],[CountryCode]],[1]!Table1[#All],1,FALSE)</f>
        <v>#REF!</v>
      </c>
    </row>
    <row r="7604" spans="1:12" hidden="1" x14ac:dyDescent="0.3">
      <c r="A7604" t="s">
        <v>21</v>
      </c>
      <c r="B7604" t="s">
        <v>22</v>
      </c>
      <c r="C7604" t="s">
        <v>129</v>
      </c>
      <c r="D7604" t="s">
        <v>130</v>
      </c>
      <c r="E7604">
        <v>1979</v>
      </c>
      <c r="F7604" s="1">
        <v>71</v>
      </c>
      <c r="G7604">
        <v>1980</v>
      </c>
      <c r="H7604">
        <f>AVERAGEIFS(Table1[value],Table1[IndicatorCode],Table1[[#This Row],[IndicatorCode]])</f>
        <v>72.66514008620689</v>
      </c>
      <c r="I7604" cm="1">
        <f t="array" ref="I7604">_xlfn.STDEV.P(IF(Table1[IndicatorCode]=Table1[[#This Row],[IndicatorCode]],Table1[value]))</f>
        <v>6.3409496564024987</v>
      </c>
      <c r="J7604">
        <f>(Table1[[#This Row],[value]] - Table1[[#This Row],[mean]]) / Table1[[#This Row],[std_dev]]</f>
        <v>-0.2626010576389905</v>
      </c>
      <c r="K7604">
        <f>AVERAGEIF(Table1[CountryCode],Table1[[#This Row],[CountryCode]],Table1[z-score])</f>
        <v>-0.76001533806857513</v>
      </c>
      <c r="L7604" t="e">
        <f>VLOOKUP(Table1[[#This Row],[CountryCode]],[1]!Table1[#All],1,FALSE)</f>
        <v>#REF!</v>
      </c>
    </row>
    <row r="7605" spans="1:12" hidden="1" x14ac:dyDescent="0.3">
      <c r="A7605" t="s">
        <v>21</v>
      </c>
      <c r="B7605" t="s">
        <v>22</v>
      </c>
      <c r="C7605" t="s">
        <v>129</v>
      </c>
      <c r="D7605" t="s">
        <v>130</v>
      </c>
      <c r="E7605">
        <v>1980</v>
      </c>
      <c r="F7605" s="1">
        <v>71</v>
      </c>
      <c r="G7605">
        <v>1980</v>
      </c>
      <c r="H7605">
        <f>AVERAGEIFS(Table1[value],Table1[IndicatorCode],Table1[[#This Row],[IndicatorCode]])</f>
        <v>72.66514008620689</v>
      </c>
      <c r="I7605" cm="1">
        <f t="array" ref="I7605">_xlfn.STDEV.P(IF(Table1[IndicatorCode]=Table1[[#This Row],[IndicatorCode]],Table1[value]))</f>
        <v>6.3409496564024987</v>
      </c>
      <c r="J7605">
        <f>(Table1[[#This Row],[value]] - Table1[[#This Row],[mean]]) / Table1[[#This Row],[std_dev]]</f>
        <v>-0.2626010576389905</v>
      </c>
      <c r="K7605">
        <f>AVERAGEIF(Table1[CountryCode],Table1[[#This Row],[CountryCode]],Table1[z-score])</f>
        <v>-0.76001533806857513</v>
      </c>
      <c r="L7605" t="e">
        <f>VLOOKUP(Table1[[#This Row],[CountryCode]],[1]!Table1[#All],1,FALSE)</f>
        <v>#REF!</v>
      </c>
    </row>
    <row r="7606" spans="1:12" hidden="1" x14ac:dyDescent="0.3">
      <c r="A7606" t="s">
        <v>21</v>
      </c>
      <c r="B7606" t="s">
        <v>22</v>
      </c>
      <c r="C7606" t="s">
        <v>129</v>
      </c>
      <c r="D7606" t="s">
        <v>130</v>
      </c>
      <c r="E7606">
        <v>1981</v>
      </c>
      <c r="F7606" s="1">
        <v>72</v>
      </c>
      <c r="G7606">
        <v>1980</v>
      </c>
      <c r="H7606">
        <f>AVERAGEIFS(Table1[value],Table1[IndicatorCode],Table1[[#This Row],[IndicatorCode]])</f>
        <v>72.66514008620689</v>
      </c>
      <c r="I7606" cm="1">
        <f t="array" ref="I7606">_xlfn.STDEV.P(IF(Table1[IndicatorCode]=Table1[[#This Row],[IndicatorCode]],Table1[value]))</f>
        <v>6.3409496564024987</v>
      </c>
      <c r="J7606">
        <f>(Table1[[#This Row],[value]] - Table1[[#This Row],[mean]]) / Table1[[#This Row],[std_dev]]</f>
        <v>-0.10489597335555145</v>
      </c>
      <c r="K7606">
        <f>AVERAGEIF(Table1[CountryCode],Table1[[#This Row],[CountryCode]],Table1[z-score])</f>
        <v>-0.76001533806857513</v>
      </c>
      <c r="L7606" t="e">
        <f>VLOOKUP(Table1[[#This Row],[CountryCode]],[1]!Table1[#All],1,FALSE)</f>
        <v>#REF!</v>
      </c>
    </row>
    <row r="7607" spans="1:12" hidden="1" x14ac:dyDescent="0.3">
      <c r="A7607" t="s">
        <v>21</v>
      </c>
      <c r="B7607" t="s">
        <v>22</v>
      </c>
      <c r="C7607" t="s">
        <v>129</v>
      </c>
      <c r="D7607" t="s">
        <v>130</v>
      </c>
      <c r="E7607">
        <v>1982</v>
      </c>
      <c r="F7607" s="1">
        <v>71</v>
      </c>
      <c r="G7607">
        <v>1980</v>
      </c>
      <c r="H7607">
        <f>AVERAGEIFS(Table1[value],Table1[IndicatorCode],Table1[[#This Row],[IndicatorCode]])</f>
        <v>72.66514008620689</v>
      </c>
      <c r="I7607" cm="1">
        <f t="array" ref="I7607">_xlfn.STDEV.P(IF(Table1[IndicatorCode]=Table1[[#This Row],[IndicatorCode]],Table1[value]))</f>
        <v>6.3409496564024987</v>
      </c>
      <c r="J7607">
        <f>(Table1[[#This Row],[value]] - Table1[[#This Row],[mean]]) / Table1[[#This Row],[std_dev]]</f>
        <v>-0.2626010576389905</v>
      </c>
      <c r="K7607">
        <f>AVERAGEIF(Table1[CountryCode],Table1[[#This Row],[CountryCode]],Table1[z-score])</f>
        <v>-0.76001533806857513</v>
      </c>
      <c r="L7607" t="e">
        <f>VLOOKUP(Table1[[#This Row],[CountryCode]],[1]!Table1[#All],1,FALSE)</f>
        <v>#REF!</v>
      </c>
    </row>
    <row r="7608" spans="1:12" hidden="1" x14ac:dyDescent="0.3">
      <c r="A7608" t="s">
        <v>21</v>
      </c>
      <c r="B7608" t="s">
        <v>22</v>
      </c>
      <c r="C7608" t="s">
        <v>129</v>
      </c>
      <c r="D7608" t="s">
        <v>130</v>
      </c>
      <c r="E7608">
        <v>1983</v>
      </c>
      <c r="F7608" s="1">
        <v>71</v>
      </c>
      <c r="G7608">
        <v>1980</v>
      </c>
      <c r="H7608">
        <f>AVERAGEIFS(Table1[value],Table1[IndicatorCode],Table1[[#This Row],[IndicatorCode]])</f>
        <v>72.66514008620689</v>
      </c>
      <c r="I7608" cm="1">
        <f t="array" ref="I7608">_xlfn.STDEV.P(IF(Table1[IndicatorCode]=Table1[[#This Row],[IndicatorCode]],Table1[value]))</f>
        <v>6.3409496564024987</v>
      </c>
      <c r="J7608">
        <f>(Table1[[#This Row],[value]] - Table1[[#This Row],[mean]]) / Table1[[#This Row],[std_dev]]</f>
        <v>-0.2626010576389905</v>
      </c>
      <c r="K7608">
        <f>AVERAGEIF(Table1[CountryCode],Table1[[#This Row],[CountryCode]],Table1[z-score])</f>
        <v>-0.76001533806857513</v>
      </c>
      <c r="L7608" t="e">
        <f>VLOOKUP(Table1[[#This Row],[CountryCode]],[1]!Table1[#All],1,FALSE)</f>
        <v>#REF!</v>
      </c>
    </row>
    <row r="7609" spans="1:12" hidden="1" x14ac:dyDescent="0.3">
      <c r="A7609" t="s">
        <v>21</v>
      </c>
      <c r="B7609" t="s">
        <v>22</v>
      </c>
      <c r="C7609" t="s">
        <v>129</v>
      </c>
      <c r="D7609" t="s">
        <v>130</v>
      </c>
      <c r="E7609">
        <v>1984</v>
      </c>
      <c r="F7609" s="1">
        <v>71</v>
      </c>
      <c r="G7609">
        <v>1980</v>
      </c>
      <c r="H7609">
        <f>AVERAGEIFS(Table1[value],Table1[IndicatorCode],Table1[[#This Row],[IndicatorCode]])</f>
        <v>72.66514008620689</v>
      </c>
      <c r="I7609" cm="1">
        <f t="array" ref="I7609">_xlfn.STDEV.P(IF(Table1[IndicatorCode]=Table1[[#This Row],[IndicatorCode]],Table1[value]))</f>
        <v>6.3409496564024987</v>
      </c>
      <c r="J7609">
        <f>(Table1[[#This Row],[value]] - Table1[[#This Row],[mean]]) / Table1[[#This Row],[std_dev]]</f>
        <v>-0.2626010576389905</v>
      </c>
      <c r="K7609">
        <f>AVERAGEIF(Table1[CountryCode],Table1[[#This Row],[CountryCode]],Table1[z-score])</f>
        <v>-0.76001533806857513</v>
      </c>
      <c r="L7609" t="e">
        <f>VLOOKUP(Table1[[#This Row],[CountryCode]],[1]!Table1[#All],1,FALSE)</f>
        <v>#REF!</v>
      </c>
    </row>
    <row r="7610" spans="1:12" hidden="1" x14ac:dyDescent="0.3">
      <c r="A7610" t="s">
        <v>21</v>
      </c>
      <c r="B7610" t="s">
        <v>22</v>
      </c>
      <c r="C7610" t="s">
        <v>129</v>
      </c>
      <c r="D7610" t="s">
        <v>130</v>
      </c>
      <c r="E7610">
        <v>1985</v>
      </c>
      <c r="F7610" s="1">
        <v>71</v>
      </c>
      <c r="G7610">
        <v>1980</v>
      </c>
      <c r="H7610">
        <f>AVERAGEIFS(Table1[value],Table1[IndicatorCode],Table1[[#This Row],[IndicatorCode]])</f>
        <v>72.66514008620689</v>
      </c>
      <c r="I7610" cm="1">
        <f t="array" ref="I7610">_xlfn.STDEV.P(IF(Table1[IndicatorCode]=Table1[[#This Row],[IndicatorCode]],Table1[value]))</f>
        <v>6.3409496564024987</v>
      </c>
      <c r="J7610">
        <f>(Table1[[#This Row],[value]] - Table1[[#This Row],[mean]]) / Table1[[#This Row],[std_dev]]</f>
        <v>-0.2626010576389905</v>
      </c>
      <c r="K7610">
        <f>AVERAGEIF(Table1[CountryCode],Table1[[#This Row],[CountryCode]],Table1[z-score])</f>
        <v>-0.76001533806857513</v>
      </c>
      <c r="L7610" t="e">
        <f>VLOOKUP(Table1[[#This Row],[CountryCode]],[1]!Table1[#All],1,FALSE)</f>
        <v>#REF!</v>
      </c>
    </row>
    <row r="7611" spans="1:12" hidden="1" x14ac:dyDescent="0.3">
      <c r="A7611" t="s">
        <v>21</v>
      </c>
      <c r="B7611" t="s">
        <v>22</v>
      </c>
      <c r="C7611" t="s">
        <v>129</v>
      </c>
      <c r="D7611" t="s">
        <v>130</v>
      </c>
      <c r="E7611">
        <v>1986</v>
      </c>
      <c r="F7611" s="1">
        <v>72</v>
      </c>
      <c r="G7611">
        <v>1980</v>
      </c>
      <c r="H7611">
        <f>AVERAGEIFS(Table1[value],Table1[IndicatorCode],Table1[[#This Row],[IndicatorCode]])</f>
        <v>72.66514008620689</v>
      </c>
      <c r="I7611" cm="1">
        <f t="array" ref="I7611">_xlfn.STDEV.P(IF(Table1[IndicatorCode]=Table1[[#This Row],[IndicatorCode]],Table1[value]))</f>
        <v>6.3409496564024987</v>
      </c>
      <c r="J7611">
        <f>(Table1[[#This Row],[value]] - Table1[[#This Row],[mean]]) / Table1[[#This Row],[std_dev]]</f>
        <v>-0.10489597335555145</v>
      </c>
      <c r="K7611">
        <f>AVERAGEIF(Table1[CountryCode],Table1[[#This Row],[CountryCode]],Table1[z-score])</f>
        <v>-0.76001533806857513</v>
      </c>
      <c r="L7611" t="e">
        <f>VLOOKUP(Table1[[#This Row],[CountryCode]],[1]!Table1[#All],1,FALSE)</f>
        <v>#REF!</v>
      </c>
    </row>
    <row r="7612" spans="1:12" hidden="1" x14ac:dyDescent="0.3">
      <c r="A7612" t="s">
        <v>21</v>
      </c>
      <c r="B7612" t="s">
        <v>22</v>
      </c>
      <c r="C7612" t="s">
        <v>129</v>
      </c>
      <c r="D7612" t="s">
        <v>130</v>
      </c>
      <c r="E7612">
        <v>1987</v>
      </c>
      <c r="F7612" s="1">
        <v>72</v>
      </c>
      <c r="G7612">
        <v>1990</v>
      </c>
      <c r="H7612">
        <f>AVERAGEIFS(Table1[value],Table1[IndicatorCode],Table1[[#This Row],[IndicatorCode]])</f>
        <v>72.66514008620689</v>
      </c>
      <c r="I7612" cm="1">
        <f t="array" ref="I7612">_xlfn.STDEV.P(IF(Table1[IndicatorCode]=Table1[[#This Row],[IndicatorCode]],Table1[value]))</f>
        <v>6.3409496564024987</v>
      </c>
      <c r="J7612">
        <f>(Table1[[#This Row],[value]] - Table1[[#This Row],[mean]]) / Table1[[#This Row],[std_dev]]</f>
        <v>-0.10489597335555145</v>
      </c>
      <c r="K7612">
        <f>AVERAGEIF(Table1[CountryCode],Table1[[#This Row],[CountryCode]],Table1[z-score])</f>
        <v>-0.76001533806857513</v>
      </c>
      <c r="L7612" t="e">
        <f>VLOOKUP(Table1[[#This Row],[CountryCode]],[1]!Table1[#All],1,FALSE)</f>
        <v>#REF!</v>
      </c>
    </row>
    <row r="7613" spans="1:12" hidden="1" x14ac:dyDescent="0.3">
      <c r="A7613" t="s">
        <v>21</v>
      </c>
      <c r="B7613" t="s">
        <v>22</v>
      </c>
      <c r="C7613" t="s">
        <v>129</v>
      </c>
      <c r="D7613" t="s">
        <v>130</v>
      </c>
      <c r="E7613">
        <v>1988</v>
      </c>
      <c r="F7613" s="1">
        <v>72</v>
      </c>
      <c r="G7613">
        <v>1990</v>
      </c>
      <c r="H7613">
        <f>AVERAGEIFS(Table1[value],Table1[IndicatorCode],Table1[[#This Row],[IndicatorCode]])</f>
        <v>72.66514008620689</v>
      </c>
      <c r="I7613" cm="1">
        <f t="array" ref="I7613">_xlfn.STDEV.P(IF(Table1[IndicatorCode]=Table1[[#This Row],[IndicatorCode]],Table1[value]))</f>
        <v>6.3409496564024987</v>
      </c>
      <c r="J7613">
        <f>(Table1[[#This Row],[value]] - Table1[[#This Row],[mean]]) / Table1[[#This Row],[std_dev]]</f>
        <v>-0.10489597335555145</v>
      </c>
      <c r="K7613">
        <f>AVERAGEIF(Table1[CountryCode],Table1[[#This Row],[CountryCode]],Table1[z-score])</f>
        <v>-0.76001533806857513</v>
      </c>
      <c r="L7613" t="e">
        <f>VLOOKUP(Table1[[#This Row],[CountryCode]],[1]!Table1[#All],1,FALSE)</f>
        <v>#REF!</v>
      </c>
    </row>
    <row r="7614" spans="1:12" hidden="1" x14ac:dyDescent="0.3">
      <c r="A7614" t="s">
        <v>21</v>
      </c>
      <c r="B7614" t="s">
        <v>22</v>
      </c>
      <c r="C7614" t="s">
        <v>129</v>
      </c>
      <c r="D7614" t="s">
        <v>130</v>
      </c>
      <c r="E7614">
        <v>1989</v>
      </c>
      <c r="F7614" s="1">
        <v>72</v>
      </c>
      <c r="G7614">
        <v>1990</v>
      </c>
      <c r="H7614">
        <f>AVERAGEIFS(Table1[value],Table1[IndicatorCode],Table1[[#This Row],[IndicatorCode]])</f>
        <v>72.66514008620689</v>
      </c>
      <c r="I7614" cm="1">
        <f t="array" ref="I7614">_xlfn.STDEV.P(IF(Table1[IndicatorCode]=Table1[[#This Row],[IndicatorCode]],Table1[value]))</f>
        <v>6.3409496564024987</v>
      </c>
      <c r="J7614">
        <f>(Table1[[#This Row],[value]] - Table1[[#This Row],[mean]]) / Table1[[#This Row],[std_dev]]</f>
        <v>-0.10489597335555145</v>
      </c>
      <c r="K7614">
        <f>AVERAGEIF(Table1[CountryCode],Table1[[#This Row],[CountryCode]],Table1[z-score])</f>
        <v>-0.76001533806857513</v>
      </c>
      <c r="L7614" t="e">
        <f>VLOOKUP(Table1[[#This Row],[CountryCode]],[1]!Table1[#All],1,FALSE)</f>
        <v>#REF!</v>
      </c>
    </row>
    <row r="7615" spans="1:12" hidden="1" x14ac:dyDescent="0.3">
      <c r="A7615" t="s">
        <v>21</v>
      </c>
      <c r="B7615" t="s">
        <v>22</v>
      </c>
      <c r="C7615" t="s">
        <v>129</v>
      </c>
      <c r="D7615" t="s">
        <v>130</v>
      </c>
      <c r="E7615">
        <v>1990</v>
      </c>
      <c r="F7615" s="1">
        <v>72</v>
      </c>
      <c r="G7615">
        <v>1990</v>
      </c>
      <c r="H7615">
        <f>AVERAGEIFS(Table1[value],Table1[IndicatorCode],Table1[[#This Row],[IndicatorCode]])</f>
        <v>72.66514008620689</v>
      </c>
      <c r="I7615" cm="1">
        <f t="array" ref="I7615">_xlfn.STDEV.P(IF(Table1[IndicatorCode]=Table1[[#This Row],[IndicatorCode]],Table1[value]))</f>
        <v>6.3409496564024987</v>
      </c>
      <c r="J7615">
        <f>(Table1[[#This Row],[value]] - Table1[[#This Row],[mean]]) / Table1[[#This Row],[std_dev]]</f>
        <v>-0.10489597335555145</v>
      </c>
      <c r="K7615">
        <f>AVERAGEIF(Table1[CountryCode],Table1[[#This Row],[CountryCode]],Table1[z-score])</f>
        <v>-0.76001533806857513</v>
      </c>
      <c r="L7615" t="e">
        <f>VLOOKUP(Table1[[#This Row],[CountryCode]],[1]!Table1[#All],1,FALSE)</f>
        <v>#REF!</v>
      </c>
    </row>
    <row r="7616" spans="1:12" hidden="1" x14ac:dyDescent="0.3">
      <c r="A7616" t="s">
        <v>21</v>
      </c>
      <c r="B7616" t="s">
        <v>22</v>
      </c>
      <c r="C7616" t="s">
        <v>129</v>
      </c>
      <c r="D7616" t="s">
        <v>130</v>
      </c>
      <c r="E7616">
        <v>1991</v>
      </c>
      <c r="F7616" s="1">
        <v>72</v>
      </c>
      <c r="G7616">
        <v>1990</v>
      </c>
      <c r="H7616">
        <f>AVERAGEIFS(Table1[value],Table1[IndicatorCode],Table1[[#This Row],[IndicatorCode]])</f>
        <v>72.66514008620689</v>
      </c>
      <c r="I7616" cm="1">
        <f t="array" ref="I7616">_xlfn.STDEV.P(IF(Table1[IndicatorCode]=Table1[[#This Row],[IndicatorCode]],Table1[value]))</f>
        <v>6.3409496564024987</v>
      </c>
      <c r="J7616">
        <f>(Table1[[#This Row],[value]] - Table1[[#This Row],[mean]]) / Table1[[#This Row],[std_dev]]</f>
        <v>-0.10489597335555145</v>
      </c>
      <c r="K7616">
        <f>AVERAGEIF(Table1[CountryCode],Table1[[#This Row],[CountryCode]],Table1[z-score])</f>
        <v>-0.76001533806857513</v>
      </c>
      <c r="L7616" t="e">
        <f>VLOOKUP(Table1[[#This Row],[CountryCode]],[1]!Table1[#All],1,FALSE)</f>
        <v>#REF!</v>
      </c>
    </row>
    <row r="7617" spans="1:12" hidden="1" x14ac:dyDescent="0.3">
      <c r="A7617" t="s">
        <v>21</v>
      </c>
      <c r="B7617" t="s">
        <v>22</v>
      </c>
      <c r="C7617" t="s">
        <v>129</v>
      </c>
      <c r="D7617" t="s">
        <v>130</v>
      </c>
      <c r="E7617">
        <v>1992</v>
      </c>
      <c r="F7617" s="1">
        <v>71</v>
      </c>
      <c r="G7617">
        <v>1990</v>
      </c>
      <c r="H7617">
        <f>AVERAGEIFS(Table1[value],Table1[IndicatorCode],Table1[[#This Row],[IndicatorCode]])</f>
        <v>72.66514008620689</v>
      </c>
      <c r="I7617" cm="1">
        <f t="array" ref="I7617">_xlfn.STDEV.P(IF(Table1[IndicatorCode]=Table1[[#This Row],[IndicatorCode]],Table1[value]))</f>
        <v>6.3409496564024987</v>
      </c>
      <c r="J7617">
        <f>(Table1[[#This Row],[value]] - Table1[[#This Row],[mean]]) / Table1[[#This Row],[std_dev]]</f>
        <v>-0.2626010576389905</v>
      </c>
      <c r="K7617">
        <f>AVERAGEIF(Table1[CountryCode],Table1[[#This Row],[CountryCode]],Table1[z-score])</f>
        <v>-0.76001533806857513</v>
      </c>
      <c r="L7617" t="e">
        <f>VLOOKUP(Table1[[#This Row],[CountryCode]],[1]!Table1[#All],1,FALSE)</f>
        <v>#REF!</v>
      </c>
    </row>
    <row r="7618" spans="1:12" hidden="1" x14ac:dyDescent="0.3">
      <c r="A7618" t="s">
        <v>21</v>
      </c>
      <c r="B7618" t="s">
        <v>22</v>
      </c>
      <c r="C7618" t="s">
        <v>129</v>
      </c>
      <c r="D7618" t="s">
        <v>130</v>
      </c>
      <c r="E7618">
        <v>1993</v>
      </c>
      <c r="F7618" s="1">
        <v>71</v>
      </c>
      <c r="G7618">
        <v>1990</v>
      </c>
      <c r="H7618">
        <f>AVERAGEIFS(Table1[value],Table1[IndicatorCode],Table1[[#This Row],[IndicatorCode]])</f>
        <v>72.66514008620689</v>
      </c>
      <c r="I7618" cm="1">
        <f t="array" ref="I7618">_xlfn.STDEV.P(IF(Table1[IndicatorCode]=Table1[[#This Row],[IndicatorCode]],Table1[value]))</f>
        <v>6.3409496564024987</v>
      </c>
      <c r="J7618">
        <f>(Table1[[#This Row],[value]] - Table1[[#This Row],[mean]]) / Table1[[#This Row],[std_dev]]</f>
        <v>-0.2626010576389905</v>
      </c>
      <c r="K7618">
        <f>AVERAGEIF(Table1[CountryCode],Table1[[#This Row],[CountryCode]],Table1[z-score])</f>
        <v>-0.76001533806857513</v>
      </c>
      <c r="L7618" t="e">
        <f>VLOOKUP(Table1[[#This Row],[CountryCode]],[1]!Table1[#All],1,FALSE)</f>
        <v>#REF!</v>
      </c>
    </row>
    <row r="7619" spans="1:12" hidden="1" x14ac:dyDescent="0.3">
      <c r="A7619" t="s">
        <v>21</v>
      </c>
      <c r="B7619" t="s">
        <v>22</v>
      </c>
      <c r="C7619" t="s">
        <v>129</v>
      </c>
      <c r="D7619" t="s">
        <v>130</v>
      </c>
      <c r="E7619">
        <v>1994</v>
      </c>
      <c r="F7619" s="1">
        <v>71</v>
      </c>
      <c r="G7619">
        <v>1990</v>
      </c>
      <c r="H7619">
        <f>AVERAGEIFS(Table1[value],Table1[IndicatorCode],Table1[[#This Row],[IndicatorCode]])</f>
        <v>72.66514008620689</v>
      </c>
      <c r="I7619" cm="1">
        <f t="array" ref="I7619">_xlfn.STDEV.P(IF(Table1[IndicatorCode]=Table1[[#This Row],[IndicatorCode]],Table1[value]))</f>
        <v>6.3409496564024987</v>
      </c>
      <c r="J7619">
        <f>(Table1[[#This Row],[value]] - Table1[[#This Row],[mean]]) / Table1[[#This Row],[std_dev]]</f>
        <v>-0.2626010576389905</v>
      </c>
      <c r="K7619">
        <f>AVERAGEIF(Table1[CountryCode],Table1[[#This Row],[CountryCode]],Table1[z-score])</f>
        <v>-0.76001533806857513</v>
      </c>
      <c r="L7619" t="e">
        <f>VLOOKUP(Table1[[#This Row],[CountryCode]],[1]!Table1[#All],1,FALSE)</f>
        <v>#REF!</v>
      </c>
    </row>
    <row r="7620" spans="1:12" hidden="1" x14ac:dyDescent="0.3">
      <c r="A7620" t="s">
        <v>21</v>
      </c>
      <c r="B7620" t="s">
        <v>22</v>
      </c>
      <c r="C7620" t="s">
        <v>129</v>
      </c>
      <c r="D7620" t="s">
        <v>130</v>
      </c>
      <c r="E7620">
        <v>1995</v>
      </c>
      <c r="F7620" s="1">
        <v>71</v>
      </c>
      <c r="G7620">
        <v>1990</v>
      </c>
      <c r="H7620">
        <f>AVERAGEIFS(Table1[value],Table1[IndicatorCode],Table1[[#This Row],[IndicatorCode]])</f>
        <v>72.66514008620689</v>
      </c>
      <c r="I7620" cm="1">
        <f t="array" ref="I7620">_xlfn.STDEV.P(IF(Table1[IndicatorCode]=Table1[[#This Row],[IndicatorCode]],Table1[value]))</f>
        <v>6.3409496564024987</v>
      </c>
      <c r="J7620">
        <f>(Table1[[#This Row],[value]] - Table1[[#This Row],[mean]]) / Table1[[#This Row],[std_dev]]</f>
        <v>-0.2626010576389905</v>
      </c>
      <c r="K7620">
        <f>AVERAGEIF(Table1[CountryCode],Table1[[#This Row],[CountryCode]],Table1[z-score])</f>
        <v>-0.76001533806857513</v>
      </c>
      <c r="L7620" t="e">
        <f>VLOOKUP(Table1[[#This Row],[CountryCode]],[1]!Table1[#All],1,FALSE)</f>
        <v>#REF!</v>
      </c>
    </row>
    <row r="7621" spans="1:12" hidden="1" x14ac:dyDescent="0.3">
      <c r="A7621" t="s">
        <v>21</v>
      </c>
      <c r="B7621" t="s">
        <v>22</v>
      </c>
      <c r="C7621" t="s">
        <v>129</v>
      </c>
      <c r="D7621" t="s">
        <v>130</v>
      </c>
      <c r="E7621">
        <v>1996</v>
      </c>
      <c r="F7621" s="1">
        <v>71</v>
      </c>
      <c r="G7621">
        <v>1990</v>
      </c>
      <c r="H7621">
        <f>AVERAGEIFS(Table1[value],Table1[IndicatorCode],Table1[[#This Row],[IndicatorCode]])</f>
        <v>72.66514008620689</v>
      </c>
      <c r="I7621" cm="1">
        <f t="array" ref="I7621">_xlfn.STDEV.P(IF(Table1[IndicatorCode]=Table1[[#This Row],[IndicatorCode]],Table1[value]))</f>
        <v>6.3409496564024987</v>
      </c>
      <c r="J7621">
        <f>(Table1[[#This Row],[value]] - Table1[[#This Row],[mean]]) / Table1[[#This Row],[std_dev]]</f>
        <v>-0.2626010576389905</v>
      </c>
      <c r="K7621">
        <f>AVERAGEIF(Table1[CountryCode],Table1[[#This Row],[CountryCode]],Table1[z-score])</f>
        <v>-0.76001533806857513</v>
      </c>
      <c r="L7621" t="e">
        <f>VLOOKUP(Table1[[#This Row],[CountryCode]],[1]!Table1[#All],1,FALSE)</f>
        <v>#REF!</v>
      </c>
    </row>
    <row r="7622" spans="1:12" hidden="1" x14ac:dyDescent="0.3">
      <c r="A7622" t="s">
        <v>21</v>
      </c>
      <c r="B7622" t="s">
        <v>22</v>
      </c>
      <c r="C7622" t="s">
        <v>129</v>
      </c>
      <c r="D7622" t="s">
        <v>130</v>
      </c>
      <c r="E7622">
        <v>1997</v>
      </c>
      <c r="F7622" s="1">
        <v>70</v>
      </c>
      <c r="G7622">
        <v>2000</v>
      </c>
      <c r="H7622">
        <f>AVERAGEIFS(Table1[value],Table1[IndicatorCode],Table1[[#This Row],[IndicatorCode]])</f>
        <v>72.66514008620689</v>
      </c>
      <c r="I7622" cm="1">
        <f t="array" ref="I7622">_xlfn.STDEV.P(IF(Table1[IndicatorCode]=Table1[[#This Row],[IndicatorCode]],Table1[value]))</f>
        <v>6.3409496564024987</v>
      </c>
      <c r="J7622">
        <f>(Table1[[#This Row],[value]] - Table1[[#This Row],[mean]]) / Table1[[#This Row],[std_dev]]</f>
        <v>-0.4203061419224296</v>
      </c>
      <c r="K7622">
        <f>AVERAGEIF(Table1[CountryCode],Table1[[#This Row],[CountryCode]],Table1[z-score])</f>
        <v>-0.76001533806857513</v>
      </c>
      <c r="L7622" t="e">
        <f>VLOOKUP(Table1[[#This Row],[CountryCode]],[1]!Table1[#All],1,FALSE)</f>
        <v>#REF!</v>
      </c>
    </row>
    <row r="7623" spans="1:12" hidden="1" x14ac:dyDescent="0.3">
      <c r="A7623" t="s">
        <v>21</v>
      </c>
      <c r="B7623" t="s">
        <v>22</v>
      </c>
      <c r="C7623" t="s">
        <v>129</v>
      </c>
      <c r="D7623" t="s">
        <v>130</v>
      </c>
      <c r="E7623">
        <v>1998</v>
      </c>
      <c r="F7623" s="1">
        <v>71</v>
      </c>
      <c r="G7623">
        <v>2000</v>
      </c>
      <c r="H7623">
        <f>AVERAGEIFS(Table1[value],Table1[IndicatorCode],Table1[[#This Row],[IndicatorCode]])</f>
        <v>72.66514008620689</v>
      </c>
      <c r="I7623" cm="1">
        <f t="array" ref="I7623">_xlfn.STDEV.P(IF(Table1[IndicatorCode]=Table1[[#This Row],[IndicatorCode]],Table1[value]))</f>
        <v>6.3409496564024987</v>
      </c>
      <c r="J7623">
        <f>(Table1[[#This Row],[value]] - Table1[[#This Row],[mean]]) / Table1[[#This Row],[std_dev]]</f>
        <v>-0.2626010576389905</v>
      </c>
      <c r="K7623">
        <f>AVERAGEIF(Table1[CountryCode],Table1[[#This Row],[CountryCode]],Table1[z-score])</f>
        <v>-0.76001533806857513</v>
      </c>
      <c r="L7623" t="e">
        <f>VLOOKUP(Table1[[#This Row],[CountryCode]],[1]!Table1[#All],1,FALSE)</f>
        <v>#REF!</v>
      </c>
    </row>
    <row r="7624" spans="1:12" hidden="1" x14ac:dyDescent="0.3">
      <c r="A7624" t="s">
        <v>21</v>
      </c>
      <c r="B7624" t="s">
        <v>22</v>
      </c>
      <c r="C7624" t="s">
        <v>129</v>
      </c>
      <c r="D7624" t="s">
        <v>130</v>
      </c>
      <c r="E7624">
        <v>1999</v>
      </c>
      <c r="F7624" s="1">
        <v>71</v>
      </c>
      <c r="G7624">
        <v>2000</v>
      </c>
      <c r="H7624">
        <f>AVERAGEIFS(Table1[value],Table1[IndicatorCode],Table1[[#This Row],[IndicatorCode]])</f>
        <v>72.66514008620689</v>
      </c>
      <c r="I7624" cm="1">
        <f t="array" ref="I7624">_xlfn.STDEV.P(IF(Table1[IndicatorCode]=Table1[[#This Row],[IndicatorCode]],Table1[value]))</f>
        <v>6.3409496564024987</v>
      </c>
      <c r="J7624">
        <f>(Table1[[#This Row],[value]] - Table1[[#This Row],[mean]]) / Table1[[#This Row],[std_dev]]</f>
        <v>-0.2626010576389905</v>
      </c>
      <c r="K7624">
        <f>AVERAGEIF(Table1[CountryCode],Table1[[#This Row],[CountryCode]],Table1[z-score])</f>
        <v>-0.76001533806857513</v>
      </c>
      <c r="L7624" t="e">
        <f>VLOOKUP(Table1[[#This Row],[CountryCode]],[1]!Table1[#All],1,FALSE)</f>
        <v>#REF!</v>
      </c>
    </row>
    <row r="7625" spans="1:12" hidden="1" x14ac:dyDescent="0.3">
      <c r="A7625" t="s">
        <v>21</v>
      </c>
      <c r="B7625" t="s">
        <v>22</v>
      </c>
      <c r="C7625" t="s">
        <v>129</v>
      </c>
      <c r="D7625" t="s">
        <v>130</v>
      </c>
      <c r="E7625">
        <v>2000</v>
      </c>
      <c r="F7625" s="1">
        <v>72</v>
      </c>
      <c r="G7625">
        <v>2000</v>
      </c>
      <c r="H7625">
        <f>AVERAGEIFS(Table1[value],Table1[IndicatorCode],Table1[[#This Row],[IndicatorCode]])</f>
        <v>72.66514008620689</v>
      </c>
      <c r="I7625" cm="1">
        <f t="array" ref="I7625">_xlfn.STDEV.P(IF(Table1[IndicatorCode]=Table1[[#This Row],[IndicatorCode]],Table1[value]))</f>
        <v>6.3409496564024987</v>
      </c>
      <c r="J7625">
        <f>(Table1[[#This Row],[value]] - Table1[[#This Row],[mean]]) / Table1[[#This Row],[std_dev]]</f>
        <v>-0.10489597335555145</v>
      </c>
      <c r="K7625">
        <f>AVERAGEIF(Table1[CountryCode],Table1[[#This Row],[CountryCode]],Table1[z-score])</f>
        <v>-0.76001533806857513</v>
      </c>
      <c r="L7625" t="e">
        <f>VLOOKUP(Table1[[#This Row],[CountryCode]],[1]!Table1[#All],1,FALSE)</f>
        <v>#REF!</v>
      </c>
    </row>
    <row r="7626" spans="1:12" hidden="1" x14ac:dyDescent="0.3">
      <c r="A7626" t="s">
        <v>21</v>
      </c>
      <c r="B7626" t="s">
        <v>22</v>
      </c>
      <c r="C7626" t="s">
        <v>129</v>
      </c>
      <c r="D7626" t="s">
        <v>130</v>
      </c>
      <c r="E7626">
        <v>2001</v>
      </c>
      <c r="F7626" s="1">
        <v>72</v>
      </c>
      <c r="G7626">
        <v>2000</v>
      </c>
      <c r="H7626">
        <f>AVERAGEIFS(Table1[value],Table1[IndicatorCode],Table1[[#This Row],[IndicatorCode]])</f>
        <v>72.66514008620689</v>
      </c>
      <c r="I7626" cm="1">
        <f t="array" ref="I7626">_xlfn.STDEV.P(IF(Table1[IndicatorCode]=Table1[[#This Row],[IndicatorCode]],Table1[value]))</f>
        <v>6.3409496564024987</v>
      </c>
      <c r="J7626">
        <f>(Table1[[#This Row],[value]] - Table1[[#This Row],[mean]]) / Table1[[#This Row],[std_dev]]</f>
        <v>-0.10489597335555145</v>
      </c>
      <c r="K7626">
        <f>AVERAGEIF(Table1[CountryCode],Table1[[#This Row],[CountryCode]],Table1[z-score])</f>
        <v>-0.76001533806857513</v>
      </c>
      <c r="L7626" t="e">
        <f>VLOOKUP(Table1[[#This Row],[CountryCode]],[1]!Table1[#All],1,FALSE)</f>
        <v>#REF!</v>
      </c>
    </row>
    <row r="7627" spans="1:12" hidden="1" x14ac:dyDescent="0.3">
      <c r="A7627" t="s">
        <v>21</v>
      </c>
      <c r="B7627" t="s">
        <v>22</v>
      </c>
      <c r="C7627" t="s">
        <v>129</v>
      </c>
      <c r="D7627" t="s">
        <v>130</v>
      </c>
      <c r="E7627">
        <v>2002</v>
      </c>
      <c r="F7627" s="1">
        <v>72</v>
      </c>
      <c r="G7627">
        <v>2000</v>
      </c>
      <c r="H7627">
        <f>AVERAGEIFS(Table1[value],Table1[IndicatorCode],Table1[[#This Row],[IndicatorCode]])</f>
        <v>72.66514008620689</v>
      </c>
      <c r="I7627" cm="1">
        <f t="array" ref="I7627">_xlfn.STDEV.P(IF(Table1[IndicatorCode]=Table1[[#This Row],[IndicatorCode]],Table1[value]))</f>
        <v>6.3409496564024987</v>
      </c>
      <c r="J7627">
        <f>(Table1[[#This Row],[value]] - Table1[[#This Row],[mean]]) / Table1[[#This Row],[std_dev]]</f>
        <v>-0.10489597335555145</v>
      </c>
      <c r="K7627">
        <f>AVERAGEIF(Table1[CountryCode],Table1[[#This Row],[CountryCode]],Table1[z-score])</f>
        <v>-0.76001533806857513</v>
      </c>
      <c r="L7627" t="e">
        <f>VLOOKUP(Table1[[#This Row],[CountryCode]],[1]!Table1[#All],1,FALSE)</f>
        <v>#REF!</v>
      </c>
    </row>
    <row r="7628" spans="1:12" hidden="1" x14ac:dyDescent="0.3">
      <c r="A7628" t="s">
        <v>21</v>
      </c>
      <c r="B7628" t="s">
        <v>22</v>
      </c>
      <c r="C7628" t="s">
        <v>129</v>
      </c>
      <c r="D7628" t="s">
        <v>130</v>
      </c>
      <c r="E7628">
        <v>2003</v>
      </c>
      <c r="F7628" s="1">
        <v>72</v>
      </c>
      <c r="G7628">
        <v>2000</v>
      </c>
      <c r="H7628">
        <f>AVERAGEIFS(Table1[value],Table1[IndicatorCode],Table1[[#This Row],[IndicatorCode]])</f>
        <v>72.66514008620689</v>
      </c>
      <c r="I7628" cm="1">
        <f t="array" ref="I7628">_xlfn.STDEV.P(IF(Table1[IndicatorCode]=Table1[[#This Row],[IndicatorCode]],Table1[value]))</f>
        <v>6.3409496564024987</v>
      </c>
      <c r="J7628">
        <f>(Table1[[#This Row],[value]] - Table1[[#This Row],[mean]]) / Table1[[#This Row],[std_dev]]</f>
        <v>-0.10489597335555145</v>
      </c>
      <c r="K7628">
        <f>AVERAGEIF(Table1[CountryCode],Table1[[#This Row],[CountryCode]],Table1[z-score])</f>
        <v>-0.76001533806857513</v>
      </c>
      <c r="L7628" t="e">
        <f>VLOOKUP(Table1[[#This Row],[CountryCode]],[1]!Table1[#All],1,FALSE)</f>
        <v>#REF!</v>
      </c>
    </row>
    <row r="7629" spans="1:12" hidden="1" x14ac:dyDescent="0.3">
      <c r="A7629" t="s">
        <v>21</v>
      </c>
      <c r="B7629" t="s">
        <v>22</v>
      </c>
      <c r="C7629" t="s">
        <v>129</v>
      </c>
      <c r="D7629" t="s">
        <v>130</v>
      </c>
      <c r="E7629">
        <v>2004</v>
      </c>
      <c r="F7629" s="1">
        <v>73</v>
      </c>
      <c r="G7629">
        <v>2000</v>
      </c>
      <c r="H7629">
        <f>AVERAGEIFS(Table1[value],Table1[IndicatorCode],Table1[[#This Row],[IndicatorCode]])</f>
        <v>72.66514008620689</v>
      </c>
      <c r="I7629" cm="1">
        <f t="array" ref="I7629">_xlfn.STDEV.P(IF(Table1[IndicatorCode]=Table1[[#This Row],[IndicatorCode]],Table1[value]))</f>
        <v>6.3409496564024987</v>
      </c>
      <c r="J7629">
        <f>(Table1[[#This Row],[value]] - Table1[[#This Row],[mean]]) / Table1[[#This Row],[std_dev]]</f>
        <v>5.2809110927887599E-2</v>
      </c>
      <c r="K7629">
        <f>AVERAGEIF(Table1[CountryCode],Table1[[#This Row],[CountryCode]],Table1[z-score])</f>
        <v>-0.76001533806857513</v>
      </c>
      <c r="L7629" t="e">
        <f>VLOOKUP(Table1[[#This Row],[CountryCode]],[1]!Table1[#All],1,FALSE)</f>
        <v>#REF!</v>
      </c>
    </row>
    <row r="7630" spans="1:12" hidden="1" x14ac:dyDescent="0.3">
      <c r="A7630" t="s">
        <v>21</v>
      </c>
      <c r="B7630" t="s">
        <v>22</v>
      </c>
      <c r="C7630" t="s">
        <v>129</v>
      </c>
      <c r="D7630" t="s">
        <v>130</v>
      </c>
      <c r="E7630">
        <v>2005</v>
      </c>
      <c r="F7630" s="1">
        <v>73</v>
      </c>
      <c r="G7630">
        <v>2000</v>
      </c>
      <c r="H7630">
        <f>AVERAGEIFS(Table1[value],Table1[IndicatorCode],Table1[[#This Row],[IndicatorCode]])</f>
        <v>72.66514008620689</v>
      </c>
      <c r="I7630" cm="1">
        <f t="array" ref="I7630">_xlfn.STDEV.P(IF(Table1[IndicatorCode]=Table1[[#This Row],[IndicatorCode]],Table1[value]))</f>
        <v>6.3409496564024987</v>
      </c>
      <c r="J7630">
        <f>(Table1[[#This Row],[value]] - Table1[[#This Row],[mean]]) / Table1[[#This Row],[std_dev]]</f>
        <v>5.2809110927887599E-2</v>
      </c>
      <c r="K7630">
        <f>AVERAGEIF(Table1[CountryCode],Table1[[#This Row],[CountryCode]],Table1[z-score])</f>
        <v>-0.76001533806857513</v>
      </c>
      <c r="L7630" t="e">
        <f>VLOOKUP(Table1[[#This Row],[CountryCode]],[1]!Table1[#All],1,FALSE)</f>
        <v>#REF!</v>
      </c>
    </row>
    <row r="7631" spans="1:12" hidden="1" x14ac:dyDescent="0.3">
      <c r="A7631" t="s">
        <v>21</v>
      </c>
      <c r="B7631" t="s">
        <v>22</v>
      </c>
      <c r="C7631" t="s">
        <v>129</v>
      </c>
      <c r="D7631" t="s">
        <v>130</v>
      </c>
      <c r="E7631">
        <v>2006</v>
      </c>
      <c r="F7631" s="1">
        <v>73</v>
      </c>
      <c r="G7631">
        <v>2000</v>
      </c>
      <c r="H7631">
        <f>AVERAGEIFS(Table1[value],Table1[IndicatorCode],Table1[[#This Row],[IndicatorCode]])</f>
        <v>72.66514008620689</v>
      </c>
      <c r="I7631" cm="1">
        <f t="array" ref="I7631">_xlfn.STDEV.P(IF(Table1[IndicatorCode]=Table1[[#This Row],[IndicatorCode]],Table1[value]))</f>
        <v>6.3409496564024987</v>
      </c>
      <c r="J7631">
        <f>(Table1[[#This Row],[value]] - Table1[[#This Row],[mean]]) / Table1[[#This Row],[std_dev]]</f>
        <v>5.2809110927887599E-2</v>
      </c>
      <c r="K7631">
        <f>AVERAGEIF(Table1[CountryCode],Table1[[#This Row],[CountryCode]],Table1[z-score])</f>
        <v>-0.76001533806857513</v>
      </c>
      <c r="L7631" t="e">
        <f>VLOOKUP(Table1[[#This Row],[CountryCode]],[1]!Table1[#All],1,FALSE)</f>
        <v>#REF!</v>
      </c>
    </row>
    <row r="7632" spans="1:12" hidden="1" x14ac:dyDescent="0.3">
      <c r="A7632" t="s">
        <v>21</v>
      </c>
      <c r="B7632" t="s">
        <v>22</v>
      </c>
      <c r="C7632" t="s">
        <v>129</v>
      </c>
      <c r="D7632" t="s">
        <v>130</v>
      </c>
      <c r="E7632">
        <v>2007</v>
      </c>
      <c r="F7632" s="1">
        <v>73</v>
      </c>
      <c r="G7632">
        <v>2010</v>
      </c>
      <c r="H7632">
        <f>AVERAGEIFS(Table1[value],Table1[IndicatorCode],Table1[[#This Row],[IndicatorCode]])</f>
        <v>72.66514008620689</v>
      </c>
      <c r="I7632" cm="1">
        <f t="array" ref="I7632">_xlfn.STDEV.P(IF(Table1[IndicatorCode]=Table1[[#This Row],[IndicatorCode]],Table1[value]))</f>
        <v>6.3409496564024987</v>
      </c>
      <c r="J7632">
        <f>(Table1[[#This Row],[value]] - Table1[[#This Row],[mean]]) / Table1[[#This Row],[std_dev]]</f>
        <v>5.2809110927887599E-2</v>
      </c>
      <c r="K7632">
        <f>AVERAGEIF(Table1[CountryCode],Table1[[#This Row],[CountryCode]],Table1[z-score])</f>
        <v>-0.76001533806857513</v>
      </c>
      <c r="L7632" t="e">
        <f>VLOOKUP(Table1[[#This Row],[CountryCode]],[1]!Table1[#All],1,FALSE)</f>
        <v>#REF!</v>
      </c>
    </row>
    <row r="7633" spans="1:12" hidden="1" x14ac:dyDescent="0.3">
      <c r="A7633" t="s">
        <v>21</v>
      </c>
      <c r="B7633" t="s">
        <v>22</v>
      </c>
      <c r="C7633" t="s">
        <v>129</v>
      </c>
      <c r="D7633" t="s">
        <v>130</v>
      </c>
      <c r="E7633">
        <v>2008</v>
      </c>
      <c r="F7633" s="1">
        <v>73</v>
      </c>
      <c r="G7633">
        <v>2010</v>
      </c>
      <c r="H7633">
        <f>AVERAGEIFS(Table1[value],Table1[IndicatorCode],Table1[[#This Row],[IndicatorCode]])</f>
        <v>72.66514008620689</v>
      </c>
      <c r="I7633" cm="1">
        <f t="array" ref="I7633">_xlfn.STDEV.P(IF(Table1[IndicatorCode]=Table1[[#This Row],[IndicatorCode]],Table1[value]))</f>
        <v>6.3409496564024987</v>
      </c>
      <c r="J7633">
        <f>(Table1[[#This Row],[value]] - Table1[[#This Row],[mean]]) / Table1[[#This Row],[std_dev]]</f>
        <v>5.2809110927887599E-2</v>
      </c>
      <c r="K7633">
        <f>AVERAGEIF(Table1[CountryCode],Table1[[#This Row],[CountryCode]],Table1[z-score])</f>
        <v>-0.76001533806857513</v>
      </c>
      <c r="L7633" t="e">
        <f>VLOOKUP(Table1[[#This Row],[CountryCode]],[1]!Table1[#All],1,FALSE)</f>
        <v>#REF!</v>
      </c>
    </row>
    <row r="7634" spans="1:12" hidden="1" x14ac:dyDescent="0.3">
      <c r="A7634" t="s">
        <v>21</v>
      </c>
      <c r="B7634" t="s">
        <v>22</v>
      </c>
      <c r="C7634" t="s">
        <v>129</v>
      </c>
      <c r="D7634" t="s">
        <v>130</v>
      </c>
      <c r="E7634">
        <v>2009</v>
      </c>
      <c r="F7634" s="1">
        <v>73</v>
      </c>
      <c r="G7634">
        <v>2010</v>
      </c>
      <c r="H7634">
        <f>AVERAGEIFS(Table1[value],Table1[IndicatorCode],Table1[[#This Row],[IndicatorCode]])</f>
        <v>72.66514008620689</v>
      </c>
      <c r="I7634" cm="1">
        <f t="array" ref="I7634">_xlfn.STDEV.P(IF(Table1[IndicatorCode]=Table1[[#This Row],[IndicatorCode]],Table1[value]))</f>
        <v>6.3409496564024987</v>
      </c>
      <c r="J7634">
        <f>(Table1[[#This Row],[value]] - Table1[[#This Row],[mean]]) / Table1[[#This Row],[std_dev]]</f>
        <v>5.2809110927887599E-2</v>
      </c>
      <c r="K7634">
        <f>AVERAGEIF(Table1[CountryCode],Table1[[#This Row],[CountryCode]],Table1[z-score])</f>
        <v>-0.76001533806857513</v>
      </c>
      <c r="L7634" t="e">
        <f>VLOOKUP(Table1[[#This Row],[CountryCode]],[1]!Table1[#All],1,FALSE)</f>
        <v>#REF!</v>
      </c>
    </row>
    <row r="7635" spans="1:12" hidden="1" x14ac:dyDescent="0.3">
      <c r="A7635" t="s">
        <v>21</v>
      </c>
      <c r="B7635" t="s">
        <v>22</v>
      </c>
      <c r="C7635" t="s">
        <v>129</v>
      </c>
      <c r="D7635" t="s">
        <v>130</v>
      </c>
      <c r="E7635">
        <v>2010</v>
      </c>
      <c r="F7635" s="1">
        <v>74</v>
      </c>
      <c r="G7635">
        <v>2010</v>
      </c>
      <c r="H7635">
        <f>AVERAGEIFS(Table1[value],Table1[IndicatorCode],Table1[[#This Row],[IndicatorCode]])</f>
        <v>72.66514008620689</v>
      </c>
      <c r="I7635" cm="1">
        <f t="array" ref="I7635">_xlfn.STDEV.P(IF(Table1[IndicatorCode]=Table1[[#This Row],[IndicatorCode]],Table1[value]))</f>
        <v>6.3409496564024987</v>
      </c>
      <c r="J7635">
        <f>(Table1[[#This Row],[value]] - Table1[[#This Row],[mean]]) / Table1[[#This Row],[std_dev]]</f>
        <v>0.21051419521132667</v>
      </c>
      <c r="K7635">
        <f>AVERAGEIF(Table1[CountryCode],Table1[[#This Row],[CountryCode]],Table1[z-score])</f>
        <v>-0.76001533806857513</v>
      </c>
      <c r="L7635" t="e">
        <f>VLOOKUP(Table1[[#This Row],[CountryCode]],[1]!Table1[#All],1,FALSE)</f>
        <v>#REF!</v>
      </c>
    </row>
    <row r="7636" spans="1:12" hidden="1" x14ac:dyDescent="0.3">
      <c r="A7636" t="s">
        <v>21</v>
      </c>
      <c r="B7636" t="s">
        <v>22</v>
      </c>
      <c r="C7636" t="s">
        <v>129</v>
      </c>
      <c r="D7636" t="s">
        <v>130</v>
      </c>
      <c r="E7636">
        <v>2011</v>
      </c>
      <c r="F7636" s="1">
        <v>74</v>
      </c>
      <c r="G7636">
        <v>2010</v>
      </c>
      <c r="H7636">
        <f>AVERAGEIFS(Table1[value],Table1[IndicatorCode],Table1[[#This Row],[IndicatorCode]])</f>
        <v>72.66514008620689</v>
      </c>
      <c r="I7636" cm="1">
        <f t="array" ref="I7636">_xlfn.STDEV.P(IF(Table1[IndicatorCode]=Table1[[#This Row],[IndicatorCode]],Table1[value]))</f>
        <v>6.3409496564024987</v>
      </c>
      <c r="J7636">
        <f>(Table1[[#This Row],[value]] - Table1[[#This Row],[mean]]) / Table1[[#This Row],[std_dev]]</f>
        <v>0.21051419521132667</v>
      </c>
      <c r="K7636">
        <f>AVERAGEIF(Table1[CountryCode],Table1[[#This Row],[CountryCode]],Table1[z-score])</f>
        <v>-0.76001533806857513</v>
      </c>
      <c r="L7636" t="e">
        <f>VLOOKUP(Table1[[#This Row],[CountryCode]],[1]!Table1[#All],1,FALSE)</f>
        <v>#REF!</v>
      </c>
    </row>
    <row r="7637" spans="1:12" hidden="1" x14ac:dyDescent="0.3">
      <c r="A7637" t="s">
        <v>21</v>
      </c>
      <c r="B7637" t="s">
        <v>22</v>
      </c>
      <c r="C7637" t="s">
        <v>129</v>
      </c>
      <c r="D7637" t="s">
        <v>130</v>
      </c>
      <c r="E7637">
        <v>2012</v>
      </c>
      <c r="F7637" s="1">
        <v>74</v>
      </c>
      <c r="G7637">
        <v>2010</v>
      </c>
      <c r="H7637">
        <f>AVERAGEIFS(Table1[value],Table1[IndicatorCode],Table1[[#This Row],[IndicatorCode]])</f>
        <v>72.66514008620689</v>
      </c>
      <c r="I7637" cm="1">
        <f t="array" ref="I7637">_xlfn.STDEV.P(IF(Table1[IndicatorCode]=Table1[[#This Row],[IndicatorCode]],Table1[value]))</f>
        <v>6.3409496564024987</v>
      </c>
      <c r="J7637">
        <f>(Table1[[#This Row],[value]] - Table1[[#This Row],[mean]]) / Table1[[#This Row],[std_dev]]</f>
        <v>0.21051419521132667</v>
      </c>
      <c r="K7637">
        <f>AVERAGEIF(Table1[CountryCode],Table1[[#This Row],[CountryCode]],Table1[z-score])</f>
        <v>-0.76001533806857513</v>
      </c>
      <c r="L7637" t="e">
        <f>VLOOKUP(Table1[[#This Row],[CountryCode]],[1]!Table1[#All],1,FALSE)</f>
        <v>#REF!</v>
      </c>
    </row>
    <row r="7638" spans="1:12" hidden="1" x14ac:dyDescent="0.3">
      <c r="A7638" t="s">
        <v>21</v>
      </c>
      <c r="B7638" t="s">
        <v>22</v>
      </c>
      <c r="C7638" t="s">
        <v>129</v>
      </c>
      <c r="D7638" t="s">
        <v>130</v>
      </c>
      <c r="E7638">
        <v>2013</v>
      </c>
      <c r="F7638" s="1">
        <v>75</v>
      </c>
      <c r="G7638">
        <v>2010</v>
      </c>
      <c r="H7638">
        <f>AVERAGEIFS(Table1[value],Table1[IndicatorCode],Table1[[#This Row],[IndicatorCode]])</f>
        <v>72.66514008620689</v>
      </c>
      <c r="I7638" cm="1">
        <f t="array" ref="I7638">_xlfn.STDEV.P(IF(Table1[IndicatorCode]=Table1[[#This Row],[IndicatorCode]],Table1[value]))</f>
        <v>6.3409496564024987</v>
      </c>
      <c r="J7638">
        <f>(Table1[[#This Row],[value]] - Table1[[#This Row],[mean]]) / Table1[[#This Row],[std_dev]]</f>
        <v>0.36821927949476574</v>
      </c>
      <c r="K7638">
        <f>AVERAGEIF(Table1[CountryCode],Table1[[#This Row],[CountryCode]],Table1[z-score])</f>
        <v>-0.76001533806857513</v>
      </c>
      <c r="L7638" t="e">
        <f>VLOOKUP(Table1[[#This Row],[CountryCode]],[1]!Table1[#All],1,FALSE)</f>
        <v>#REF!</v>
      </c>
    </row>
    <row r="7639" spans="1:12" hidden="1" x14ac:dyDescent="0.3">
      <c r="A7639" t="s">
        <v>21</v>
      </c>
      <c r="B7639" t="s">
        <v>22</v>
      </c>
      <c r="C7639" t="s">
        <v>129</v>
      </c>
      <c r="D7639" t="s">
        <v>130</v>
      </c>
      <c r="E7639">
        <v>2014</v>
      </c>
      <c r="F7639" s="1">
        <v>74</v>
      </c>
      <c r="G7639">
        <v>2010</v>
      </c>
      <c r="H7639">
        <f>AVERAGEIFS(Table1[value],Table1[IndicatorCode],Table1[[#This Row],[IndicatorCode]])</f>
        <v>72.66514008620689</v>
      </c>
      <c r="I7639" cm="1">
        <f t="array" ref="I7639">_xlfn.STDEV.P(IF(Table1[IndicatorCode]=Table1[[#This Row],[IndicatorCode]],Table1[value]))</f>
        <v>6.3409496564024987</v>
      </c>
      <c r="J7639">
        <f>(Table1[[#This Row],[value]] - Table1[[#This Row],[mean]]) / Table1[[#This Row],[std_dev]]</f>
        <v>0.21051419521132667</v>
      </c>
      <c r="K7639">
        <f>AVERAGEIF(Table1[CountryCode],Table1[[#This Row],[CountryCode]],Table1[z-score])</f>
        <v>-0.76001533806857513</v>
      </c>
      <c r="L7639" t="e">
        <f>VLOOKUP(Table1[[#This Row],[CountryCode]],[1]!Table1[#All],1,FALSE)</f>
        <v>#REF!</v>
      </c>
    </row>
    <row r="7640" spans="1:12" hidden="1" x14ac:dyDescent="0.3">
      <c r="A7640" t="s">
        <v>21</v>
      </c>
      <c r="B7640" t="s">
        <v>22</v>
      </c>
      <c r="C7640" t="s">
        <v>129</v>
      </c>
      <c r="D7640" t="s">
        <v>130</v>
      </c>
      <c r="E7640">
        <v>2015</v>
      </c>
      <c r="F7640" s="1">
        <v>75</v>
      </c>
      <c r="G7640">
        <v>2010</v>
      </c>
      <c r="H7640">
        <f>AVERAGEIFS(Table1[value],Table1[IndicatorCode],Table1[[#This Row],[IndicatorCode]])</f>
        <v>72.66514008620689</v>
      </c>
      <c r="I7640" cm="1">
        <f t="array" ref="I7640">_xlfn.STDEV.P(IF(Table1[IndicatorCode]=Table1[[#This Row],[IndicatorCode]],Table1[value]))</f>
        <v>6.3409496564024987</v>
      </c>
      <c r="J7640">
        <f>(Table1[[#This Row],[value]] - Table1[[#This Row],[mean]]) / Table1[[#This Row],[std_dev]]</f>
        <v>0.36821927949476574</v>
      </c>
      <c r="K7640">
        <f>AVERAGEIF(Table1[CountryCode],Table1[[#This Row],[CountryCode]],Table1[z-score])</f>
        <v>-0.76001533806857513</v>
      </c>
      <c r="L7640" t="e">
        <f>VLOOKUP(Table1[[#This Row],[CountryCode]],[1]!Table1[#All],1,FALSE)</f>
        <v>#REF!</v>
      </c>
    </row>
    <row r="7641" spans="1:12" hidden="1" x14ac:dyDescent="0.3">
      <c r="A7641" t="s">
        <v>21</v>
      </c>
      <c r="B7641" t="s">
        <v>22</v>
      </c>
      <c r="C7641" t="s">
        <v>129</v>
      </c>
      <c r="D7641" t="s">
        <v>130</v>
      </c>
      <c r="E7641">
        <v>2016</v>
      </c>
      <c r="F7641" s="1">
        <v>75</v>
      </c>
      <c r="G7641">
        <v>2010</v>
      </c>
      <c r="H7641">
        <f>AVERAGEIFS(Table1[value],Table1[IndicatorCode],Table1[[#This Row],[IndicatorCode]])</f>
        <v>72.66514008620689</v>
      </c>
      <c r="I7641" cm="1">
        <f t="array" ref="I7641">_xlfn.STDEV.P(IF(Table1[IndicatorCode]=Table1[[#This Row],[IndicatorCode]],Table1[value]))</f>
        <v>6.3409496564024987</v>
      </c>
      <c r="J7641">
        <f>(Table1[[#This Row],[value]] - Table1[[#This Row],[mean]]) / Table1[[#This Row],[std_dev]]</f>
        <v>0.36821927949476574</v>
      </c>
      <c r="K7641">
        <f>AVERAGEIF(Table1[CountryCode],Table1[[#This Row],[CountryCode]],Table1[z-score])</f>
        <v>-0.76001533806857513</v>
      </c>
      <c r="L7641" t="e">
        <f>VLOOKUP(Table1[[#This Row],[CountryCode]],[1]!Table1[#All],1,FALSE)</f>
        <v>#REF!</v>
      </c>
    </row>
    <row r="7642" spans="1:12" hidden="1" x14ac:dyDescent="0.3">
      <c r="A7642" t="s">
        <v>21</v>
      </c>
      <c r="B7642" t="s">
        <v>22</v>
      </c>
      <c r="C7642" t="s">
        <v>129</v>
      </c>
      <c r="D7642" t="s">
        <v>130</v>
      </c>
      <c r="E7642">
        <v>2017</v>
      </c>
      <c r="F7642" s="1">
        <v>75</v>
      </c>
      <c r="G7642">
        <v>2020</v>
      </c>
      <c r="H7642">
        <f>AVERAGEIFS(Table1[value],Table1[IndicatorCode],Table1[[#This Row],[IndicatorCode]])</f>
        <v>72.66514008620689</v>
      </c>
      <c r="I7642" cm="1">
        <f t="array" ref="I7642">_xlfn.STDEV.P(IF(Table1[IndicatorCode]=Table1[[#This Row],[IndicatorCode]],Table1[value]))</f>
        <v>6.3409496564024987</v>
      </c>
      <c r="J7642">
        <f>(Table1[[#This Row],[value]] - Table1[[#This Row],[mean]]) / Table1[[#This Row],[std_dev]]</f>
        <v>0.36821927949476574</v>
      </c>
      <c r="K7642">
        <f>AVERAGEIF(Table1[CountryCode],Table1[[#This Row],[CountryCode]],Table1[z-score])</f>
        <v>-0.76001533806857513</v>
      </c>
      <c r="L7642" t="e">
        <f>VLOOKUP(Table1[[#This Row],[CountryCode]],[1]!Table1[#All],1,FALSE)</f>
        <v>#REF!</v>
      </c>
    </row>
    <row r="7643" spans="1:12" hidden="1" x14ac:dyDescent="0.3">
      <c r="A7643" t="s">
        <v>21</v>
      </c>
      <c r="B7643" t="s">
        <v>22</v>
      </c>
      <c r="C7643" t="s">
        <v>129</v>
      </c>
      <c r="D7643" t="s">
        <v>130</v>
      </c>
      <c r="E7643">
        <v>2018</v>
      </c>
      <c r="F7643" s="1">
        <v>75</v>
      </c>
      <c r="G7643">
        <v>2020</v>
      </c>
      <c r="H7643">
        <f>AVERAGEIFS(Table1[value],Table1[IndicatorCode],Table1[[#This Row],[IndicatorCode]])</f>
        <v>72.66514008620689</v>
      </c>
      <c r="I7643" cm="1">
        <f t="array" ref="I7643">_xlfn.STDEV.P(IF(Table1[IndicatorCode]=Table1[[#This Row],[IndicatorCode]],Table1[value]))</f>
        <v>6.3409496564024987</v>
      </c>
      <c r="J7643">
        <f>(Table1[[#This Row],[value]] - Table1[[#This Row],[mean]]) / Table1[[#This Row],[std_dev]]</f>
        <v>0.36821927949476574</v>
      </c>
      <c r="K7643">
        <f>AVERAGEIF(Table1[CountryCode],Table1[[#This Row],[CountryCode]],Table1[z-score])</f>
        <v>-0.76001533806857513</v>
      </c>
      <c r="L7643" t="e">
        <f>VLOOKUP(Table1[[#This Row],[CountryCode]],[1]!Table1[#All],1,FALSE)</f>
        <v>#REF!</v>
      </c>
    </row>
    <row r="7644" spans="1:12" hidden="1" x14ac:dyDescent="0.3">
      <c r="A7644" t="s">
        <v>21</v>
      </c>
      <c r="B7644" t="s">
        <v>22</v>
      </c>
      <c r="C7644" t="s">
        <v>129</v>
      </c>
      <c r="D7644" t="s">
        <v>130</v>
      </c>
      <c r="E7644">
        <v>2019</v>
      </c>
      <c r="F7644" s="1">
        <v>75</v>
      </c>
      <c r="G7644">
        <v>2020</v>
      </c>
      <c r="H7644">
        <f>AVERAGEIFS(Table1[value],Table1[IndicatorCode],Table1[[#This Row],[IndicatorCode]])</f>
        <v>72.66514008620689</v>
      </c>
      <c r="I7644" cm="1">
        <f t="array" ref="I7644">_xlfn.STDEV.P(IF(Table1[IndicatorCode]=Table1[[#This Row],[IndicatorCode]],Table1[value]))</f>
        <v>6.3409496564024987</v>
      </c>
      <c r="J7644">
        <f>(Table1[[#This Row],[value]] - Table1[[#This Row],[mean]]) / Table1[[#This Row],[std_dev]]</f>
        <v>0.36821927949476574</v>
      </c>
      <c r="K7644">
        <f>AVERAGEIF(Table1[CountryCode],Table1[[#This Row],[CountryCode]],Table1[z-score])</f>
        <v>-0.76001533806857513</v>
      </c>
      <c r="L7644" t="e">
        <f>VLOOKUP(Table1[[#This Row],[CountryCode]],[1]!Table1[#All],1,FALSE)</f>
        <v>#REF!</v>
      </c>
    </row>
    <row r="7645" spans="1:12" x14ac:dyDescent="0.3">
      <c r="A7645" t="s">
        <v>21</v>
      </c>
      <c r="B7645" t="s">
        <v>22</v>
      </c>
      <c r="C7645" t="s">
        <v>129</v>
      </c>
      <c r="D7645" t="s">
        <v>130</v>
      </c>
      <c r="E7645">
        <v>2020</v>
      </c>
      <c r="F7645" s="1">
        <v>73</v>
      </c>
      <c r="G7645">
        <v>2020</v>
      </c>
      <c r="H7645">
        <f>AVERAGEIFS(Table1[value],Table1[IndicatorCode],Table1[[#This Row],[IndicatorCode]])</f>
        <v>72.66514008620689</v>
      </c>
      <c r="I7645" cm="1">
        <f t="array" ref="I7645">_xlfn.STDEV.P(IF(Table1[IndicatorCode]=Table1[[#This Row],[IndicatorCode]],Table1[value]))</f>
        <v>6.3409496564024987</v>
      </c>
      <c r="J7645">
        <f>(Table1[[#This Row],[value]] - Table1[[#This Row],[mean]]) / Table1[[#This Row],[std_dev]]</f>
        <v>5.2809110927887599E-2</v>
      </c>
      <c r="K7645">
        <f>AVERAGEIF(Table1[CountryCode],Table1[[#This Row],[CountryCode]],Table1[z-score])</f>
        <v>-0.76001533806857513</v>
      </c>
    </row>
    <row r="7646" spans="1:12" hidden="1" x14ac:dyDescent="0.3">
      <c r="A7646" t="s">
        <v>21</v>
      </c>
      <c r="B7646" t="s">
        <v>22</v>
      </c>
      <c r="C7646" t="s">
        <v>129</v>
      </c>
      <c r="D7646" t="s">
        <v>130</v>
      </c>
      <c r="E7646">
        <v>2021</v>
      </c>
      <c r="F7646" s="1">
        <v>71</v>
      </c>
      <c r="G7646">
        <v>1960</v>
      </c>
      <c r="H7646">
        <f>AVERAGEIFS(Table1[value],Table1[IndicatorCode],Table1[[#This Row],[IndicatorCode]])</f>
        <v>72.66514008620689</v>
      </c>
      <c r="I7646" cm="1">
        <f t="array" ref="I7646">_xlfn.STDEV.P(IF(Table1[IndicatorCode]=Table1[[#This Row],[IndicatorCode]],Table1[value]))</f>
        <v>6.3409496564024987</v>
      </c>
      <c r="J7646">
        <f>(Table1[[#This Row],[value]] - Table1[[#This Row],[mean]]) / Table1[[#This Row],[std_dev]]</f>
        <v>-0.2626010576389905</v>
      </c>
      <c r="K7646">
        <f>AVERAGEIF(Table1[CountryCode],Table1[[#This Row],[CountryCode]],Table1[z-score])</f>
        <v>-0.76001533806857513</v>
      </c>
      <c r="L7646" t="e">
        <f>VLOOKUP(Table1[[#This Row],[CountryCode]],[1]!Table1[#All],1,FALSE)</f>
        <v>#REF!</v>
      </c>
    </row>
    <row r="7647" spans="1:12" hidden="1" x14ac:dyDescent="0.3">
      <c r="A7647" t="s">
        <v>21</v>
      </c>
      <c r="B7647" t="s">
        <v>22</v>
      </c>
      <c r="C7647" t="s">
        <v>129</v>
      </c>
      <c r="D7647" t="s">
        <v>130</v>
      </c>
      <c r="E7647">
        <v>2022</v>
      </c>
      <c r="F7647" s="1">
        <v>74</v>
      </c>
      <c r="G7647">
        <v>1960</v>
      </c>
      <c r="H7647">
        <f>AVERAGEIFS(Table1[value],Table1[IndicatorCode],Table1[[#This Row],[IndicatorCode]])</f>
        <v>72.66514008620689</v>
      </c>
      <c r="I7647" cm="1">
        <f t="array" ref="I7647">_xlfn.STDEV.P(IF(Table1[IndicatorCode]=Table1[[#This Row],[IndicatorCode]],Table1[value]))</f>
        <v>6.3409496564024987</v>
      </c>
      <c r="J7647">
        <f>(Table1[[#This Row],[value]] - Table1[[#This Row],[mean]]) / Table1[[#This Row],[std_dev]]</f>
        <v>0.21051419521132667</v>
      </c>
      <c r="K7647">
        <f>AVERAGEIF(Table1[CountryCode],Table1[[#This Row],[CountryCode]],Table1[z-score])</f>
        <v>-0.76001533806857513</v>
      </c>
      <c r="L7647" t="e">
        <f>VLOOKUP(Table1[[#This Row],[CountryCode]],[1]!Table1[#All],1,FALSE)</f>
        <v>#REF!</v>
      </c>
    </row>
    <row r="7648" spans="1:12" hidden="1" x14ac:dyDescent="0.3">
      <c r="A7648" t="s">
        <v>21</v>
      </c>
      <c r="B7648" t="s">
        <v>22</v>
      </c>
      <c r="C7648" t="s">
        <v>129</v>
      </c>
      <c r="D7648" t="s">
        <v>130</v>
      </c>
      <c r="E7648">
        <v>2023</v>
      </c>
      <c r="F7648" s="1">
        <v>76</v>
      </c>
      <c r="G7648">
        <v>1960</v>
      </c>
      <c r="H7648">
        <f>AVERAGEIFS(Table1[value],Table1[IndicatorCode],Table1[[#This Row],[IndicatorCode]])</f>
        <v>72.66514008620689</v>
      </c>
      <c r="I7648" cm="1">
        <f t="array" ref="I7648">_xlfn.STDEV.P(IF(Table1[IndicatorCode]=Table1[[#This Row],[IndicatorCode]],Table1[value]))</f>
        <v>6.3409496564024987</v>
      </c>
      <c r="J7648">
        <f>(Table1[[#This Row],[value]] - Table1[[#This Row],[mean]]) / Table1[[#This Row],[std_dev]]</f>
        <v>0.52592436377820473</v>
      </c>
      <c r="K7648">
        <f>AVERAGEIF(Table1[CountryCode],Table1[[#This Row],[CountryCode]],Table1[z-score])</f>
        <v>-0.76001533806857513</v>
      </c>
      <c r="L7648" t="e">
        <f>VLOOKUP(Table1[[#This Row],[CountryCode]],[1]!Table1[#All],1,FALSE)</f>
        <v>#REF!</v>
      </c>
    </row>
    <row r="7649" spans="1:12" hidden="1" x14ac:dyDescent="0.3">
      <c r="A7649" t="s">
        <v>23</v>
      </c>
      <c r="B7649" t="s">
        <v>24</v>
      </c>
      <c r="C7649" t="s">
        <v>129</v>
      </c>
      <c r="D7649" t="s">
        <v>130</v>
      </c>
      <c r="E7649">
        <v>1960</v>
      </c>
      <c r="F7649" s="1">
        <v>59</v>
      </c>
      <c r="G7649">
        <v>1960</v>
      </c>
      <c r="H7649">
        <f>AVERAGEIFS(Table1[value],Table1[IndicatorCode],Table1[[#This Row],[IndicatorCode]])</f>
        <v>72.66514008620689</v>
      </c>
      <c r="I7649" cm="1">
        <f t="array" ref="I7649">_xlfn.STDEV.P(IF(Table1[IndicatorCode]=Table1[[#This Row],[IndicatorCode]],Table1[value]))</f>
        <v>6.3409496564024987</v>
      </c>
      <c r="J7649">
        <f>(Table1[[#This Row],[value]] - Table1[[#This Row],[mean]]) / Table1[[#This Row],[std_dev]]</f>
        <v>-2.1550620690402593</v>
      </c>
      <c r="K7649">
        <f>AVERAGEIF(Table1[CountryCode],Table1[[#This Row],[CountryCode]],Table1[z-score])</f>
        <v>-0.44941710005999458</v>
      </c>
      <c r="L7649" t="e">
        <f>VLOOKUP(Table1[[#This Row],[CountryCode]],[1]!Table1[#All],1,FALSE)</f>
        <v>#REF!</v>
      </c>
    </row>
    <row r="7650" spans="1:12" hidden="1" x14ac:dyDescent="0.3">
      <c r="A7650" t="s">
        <v>23</v>
      </c>
      <c r="B7650" t="s">
        <v>24</v>
      </c>
      <c r="C7650" t="s">
        <v>129</v>
      </c>
      <c r="D7650" t="s">
        <v>130</v>
      </c>
      <c r="E7650">
        <v>1961</v>
      </c>
      <c r="F7650" s="1">
        <v>59</v>
      </c>
      <c r="G7650">
        <v>1960</v>
      </c>
      <c r="H7650">
        <f>AVERAGEIFS(Table1[value],Table1[IndicatorCode],Table1[[#This Row],[IndicatorCode]])</f>
        <v>72.66514008620689</v>
      </c>
      <c r="I7650" cm="1">
        <f t="array" ref="I7650">_xlfn.STDEV.P(IF(Table1[IndicatorCode]=Table1[[#This Row],[IndicatorCode]],Table1[value]))</f>
        <v>6.3409496564024987</v>
      </c>
      <c r="J7650">
        <f>(Table1[[#This Row],[value]] - Table1[[#This Row],[mean]]) / Table1[[#This Row],[std_dev]]</f>
        <v>-2.1550620690402593</v>
      </c>
      <c r="K7650">
        <f>AVERAGEIF(Table1[CountryCode],Table1[[#This Row],[CountryCode]],Table1[z-score])</f>
        <v>-0.44941710005999458</v>
      </c>
      <c r="L7650" t="e">
        <f>VLOOKUP(Table1[[#This Row],[CountryCode]],[1]!Table1[#All],1,FALSE)</f>
        <v>#REF!</v>
      </c>
    </row>
    <row r="7651" spans="1:12" hidden="1" x14ac:dyDescent="0.3">
      <c r="A7651" t="s">
        <v>23</v>
      </c>
      <c r="B7651" t="s">
        <v>24</v>
      </c>
      <c r="C7651" t="s">
        <v>129</v>
      </c>
      <c r="D7651" t="s">
        <v>130</v>
      </c>
      <c r="E7651">
        <v>1962</v>
      </c>
      <c r="F7651" s="1">
        <v>60</v>
      </c>
      <c r="G7651">
        <v>1960</v>
      </c>
      <c r="H7651">
        <f>AVERAGEIFS(Table1[value],Table1[IndicatorCode],Table1[[#This Row],[IndicatorCode]])</f>
        <v>72.66514008620689</v>
      </c>
      <c r="I7651" cm="1">
        <f t="array" ref="I7651">_xlfn.STDEV.P(IF(Table1[IndicatorCode]=Table1[[#This Row],[IndicatorCode]],Table1[value]))</f>
        <v>6.3409496564024987</v>
      </c>
      <c r="J7651">
        <f>(Table1[[#This Row],[value]] - Table1[[#This Row],[mean]]) / Table1[[#This Row],[std_dev]]</f>
        <v>-1.9973569847568202</v>
      </c>
      <c r="K7651">
        <f>AVERAGEIF(Table1[CountryCode],Table1[[#This Row],[CountryCode]],Table1[z-score])</f>
        <v>-0.44941710005999458</v>
      </c>
      <c r="L7651" t="e">
        <f>VLOOKUP(Table1[[#This Row],[CountryCode]],[1]!Table1[#All],1,FALSE)</f>
        <v>#REF!</v>
      </c>
    </row>
    <row r="7652" spans="1:12" hidden="1" x14ac:dyDescent="0.3">
      <c r="A7652" t="s">
        <v>23</v>
      </c>
      <c r="B7652" t="s">
        <v>24</v>
      </c>
      <c r="C7652" t="s">
        <v>129</v>
      </c>
      <c r="D7652" t="s">
        <v>130</v>
      </c>
      <c r="E7652">
        <v>1963</v>
      </c>
      <c r="F7652" s="1">
        <v>61</v>
      </c>
      <c r="G7652">
        <v>1960</v>
      </c>
      <c r="H7652">
        <f>AVERAGEIFS(Table1[value],Table1[IndicatorCode],Table1[[#This Row],[IndicatorCode]])</f>
        <v>72.66514008620689</v>
      </c>
      <c r="I7652" cm="1">
        <f t="array" ref="I7652">_xlfn.STDEV.P(IF(Table1[IndicatorCode]=Table1[[#This Row],[IndicatorCode]],Table1[value]))</f>
        <v>6.3409496564024987</v>
      </c>
      <c r="J7652">
        <f>(Table1[[#This Row],[value]] - Table1[[#This Row],[mean]]) / Table1[[#This Row],[std_dev]]</f>
        <v>-1.8396519004733811</v>
      </c>
      <c r="K7652">
        <f>AVERAGEIF(Table1[CountryCode],Table1[[#This Row],[CountryCode]],Table1[z-score])</f>
        <v>-0.44941710005999458</v>
      </c>
      <c r="L7652" t="e">
        <f>VLOOKUP(Table1[[#This Row],[CountryCode]],[1]!Table1[#All],1,FALSE)</f>
        <v>#REF!</v>
      </c>
    </row>
    <row r="7653" spans="1:12" hidden="1" x14ac:dyDescent="0.3">
      <c r="A7653" t="s">
        <v>23</v>
      </c>
      <c r="B7653" t="s">
        <v>24</v>
      </c>
      <c r="C7653" t="s">
        <v>129</v>
      </c>
      <c r="D7653" t="s">
        <v>130</v>
      </c>
      <c r="E7653">
        <v>1964</v>
      </c>
      <c r="F7653" s="1">
        <v>62</v>
      </c>
      <c r="G7653">
        <v>1960</v>
      </c>
      <c r="H7653">
        <f>AVERAGEIFS(Table1[value],Table1[IndicatorCode],Table1[[#This Row],[IndicatorCode]])</f>
        <v>72.66514008620689</v>
      </c>
      <c r="I7653" cm="1">
        <f t="array" ref="I7653">_xlfn.STDEV.P(IF(Table1[IndicatorCode]=Table1[[#This Row],[IndicatorCode]],Table1[value]))</f>
        <v>6.3409496564024987</v>
      </c>
      <c r="J7653">
        <f>(Table1[[#This Row],[value]] - Table1[[#This Row],[mean]]) / Table1[[#This Row],[std_dev]]</f>
        <v>-1.681946816189942</v>
      </c>
      <c r="K7653">
        <f>AVERAGEIF(Table1[CountryCode],Table1[[#This Row],[CountryCode]],Table1[z-score])</f>
        <v>-0.44941710005999458</v>
      </c>
      <c r="L7653" t="e">
        <f>VLOOKUP(Table1[[#This Row],[CountryCode]],[1]!Table1[#All],1,FALSE)</f>
        <v>#REF!</v>
      </c>
    </row>
    <row r="7654" spans="1:12" hidden="1" x14ac:dyDescent="0.3">
      <c r="A7654" t="s">
        <v>23</v>
      </c>
      <c r="B7654" t="s">
        <v>24</v>
      </c>
      <c r="C7654" t="s">
        <v>129</v>
      </c>
      <c r="D7654" t="s">
        <v>130</v>
      </c>
      <c r="E7654">
        <v>1965</v>
      </c>
      <c r="F7654" s="1">
        <v>62</v>
      </c>
      <c r="G7654">
        <v>1960</v>
      </c>
      <c r="H7654">
        <f>AVERAGEIFS(Table1[value],Table1[IndicatorCode],Table1[[#This Row],[IndicatorCode]])</f>
        <v>72.66514008620689</v>
      </c>
      <c r="I7654" cm="1">
        <f t="array" ref="I7654">_xlfn.STDEV.P(IF(Table1[IndicatorCode]=Table1[[#This Row],[IndicatorCode]],Table1[value]))</f>
        <v>6.3409496564024987</v>
      </c>
      <c r="J7654">
        <f>(Table1[[#This Row],[value]] - Table1[[#This Row],[mean]]) / Table1[[#This Row],[std_dev]]</f>
        <v>-1.681946816189942</v>
      </c>
      <c r="K7654">
        <f>AVERAGEIF(Table1[CountryCode],Table1[[#This Row],[CountryCode]],Table1[z-score])</f>
        <v>-0.44941710005999458</v>
      </c>
      <c r="L7654" t="e">
        <f>VLOOKUP(Table1[[#This Row],[CountryCode]],[1]!Table1[#All],1,FALSE)</f>
        <v>#REF!</v>
      </c>
    </row>
    <row r="7655" spans="1:12" hidden="1" x14ac:dyDescent="0.3">
      <c r="A7655" t="s">
        <v>23</v>
      </c>
      <c r="B7655" t="s">
        <v>24</v>
      </c>
      <c r="C7655" t="s">
        <v>129</v>
      </c>
      <c r="D7655" t="s">
        <v>130</v>
      </c>
      <c r="E7655">
        <v>1966</v>
      </c>
      <c r="F7655" s="1">
        <v>63</v>
      </c>
      <c r="G7655">
        <v>1960</v>
      </c>
      <c r="H7655">
        <f>AVERAGEIFS(Table1[value],Table1[IndicatorCode],Table1[[#This Row],[IndicatorCode]])</f>
        <v>72.66514008620689</v>
      </c>
      <c r="I7655" cm="1">
        <f t="array" ref="I7655">_xlfn.STDEV.P(IF(Table1[IndicatorCode]=Table1[[#This Row],[IndicatorCode]],Table1[value]))</f>
        <v>6.3409496564024987</v>
      </c>
      <c r="J7655">
        <f>(Table1[[#This Row],[value]] - Table1[[#This Row],[mean]]) / Table1[[#This Row],[std_dev]]</f>
        <v>-1.5242417319065029</v>
      </c>
      <c r="K7655">
        <f>AVERAGEIF(Table1[CountryCode],Table1[[#This Row],[CountryCode]],Table1[z-score])</f>
        <v>-0.44941710005999458</v>
      </c>
      <c r="L7655" t="e">
        <f>VLOOKUP(Table1[[#This Row],[CountryCode]],[1]!Table1[#All],1,FALSE)</f>
        <v>#REF!</v>
      </c>
    </row>
    <row r="7656" spans="1:12" hidden="1" x14ac:dyDescent="0.3">
      <c r="A7656" t="s">
        <v>23</v>
      </c>
      <c r="B7656" t="s">
        <v>24</v>
      </c>
      <c r="C7656" t="s">
        <v>129</v>
      </c>
      <c r="D7656" t="s">
        <v>130</v>
      </c>
      <c r="E7656">
        <v>1967</v>
      </c>
      <c r="F7656" s="1">
        <v>64</v>
      </c>
      <c r="G7656">
        <v>1970</v>
      </c>
      <c r="H7656">
        <f>AVERAGEIFS(Table1[value],Table1[IndicatorCode],Table1[[#This Row],[IndicatorCode]])</f>
        <v>72.66514008620689</v>
      </c>
      <c r="I7656" cm="1">
        <f t="array" ref="I7656">_xlfn.STDEV.P(IF(Table1[IndicatorCode]=Table1[[#This Row],[IndicatorCode]],Table1[value]))</f>
        <v>6.3409496564024987</v>
      </c>
      <c r="J7656">
        <f>(Table1[[#This Row],[value]] - Table1[[#This Row],[mean]]) / Table1[[#This Row],[std_dev]]</f>
        <v>-1.3665366476230638</v>
      </c>
      <c r="K7656">
        <f>AVERAGEIF(Table1[CountryCode],Table1[[#This Row],[CountryCode]],Table1[z-score])</f>
        <v>-0.44941710005999458</v>
      </c>
      <c r="L7656" t="e">
        <f>VLOOKUP(Table1[[#This Row],[CountryCode]],[1]!Table1[#All],1,FALSE)</f>
        <v>#REF!</v>
      </c>
    </row>
    <row r="7657" spans="1:12" hidden="1" x14ac:dyDescent="0.3">
      <c r="A7657" t="s">
        <v>23</v>
      </c>
      <c r="B7657" t="s">
        <v>24</v>
      </c>
      <c r="C7657" t="s">
        <v>129</v>
      </c>
      <c r="D7657" t="s">
        <v>130</v>
      </c>
      <c r="E7657">
        <v>1968</v>
      </c>
      <c r="F7657" s="1">
        <v>64</v>
      </c>
      <c r="G7657">
        <v>1970</v>
      </c>
      <c r="H7657">
        <f>AVERAGEIFS(Table1[value],Table1[IndicatorCode],Table1[[#This Row],[IndicatorCode]])</f>
        <v>72.66514008620689</v>
      </c>
      <c r="I7657" cm="1">
        <f t="array" ref="I7657">_xlfn.STDEV.P(IF(Table1[IndicatorCode]=Table1[[#This Row],[IndicatorCode]],Table1[value]))</f>
        <v>6.3409496564024987</v>
      </c>
      <c r="J7657">
        <f>(Table1[[#This Row],[value]] - Table1[[#This Row],[mean]]) / Table1[[#This Row],[std_dev]]</f>
        <v>-1.3665366476230638</v>
      </c>
      <c r="K7657">
        <f>AVERAGEIF(Table1[CountryCode],Table1[[#This Row],[CountryCode]],Table1[z-score])</f>
        <v>-0.44941710005999458</v>
      </c>
      <c r="L7657" t="e">
        <f>VLOOKUP(Table1[[#This Row],[CountryCode]],[1]!Table1[#All],1,FALSE)</f>
        <v>#REF!</v>
      </c>
    </row>
    <row r="7658" spans="1:12" hidden="1" x14ac:dyDescent="0.3">
      <c r="A7658" t="s">
        <v>23</v>
      </c>
      <c r="B7658" t="s">
        <v>24</v>
      </c>
      <c r="C7658" t="s">
        <v>129</v>
      </c>
      <c r="D7658" t="s">
        <v>130</v>
      </c>
      <c r="E7658">
        <v>1969</v>
      </c>
      <c r="F7658" s="1">
        <v>64</v>
      </c>
      <c r="G7658">
        <v>1970</v>
      </c>
      <c r="H7658">
        <f>AVERAGEIFS(Table1[value],Table1[IndicatorCode],Table1[[#This Row],[IndicatorCode]])</f>
        <v>72.66514008620689</v>
      </c>
      <c r="I7658" cm="1">
        <f t="array" ref="I7658">_xlfn.STDEV.P(IF(Table1[IndicatorCode]=Table1[[#This Row],[IndicatorCode]],Table1[value]))</f>
        <v>6.3409496564024987</v>
      </c>
      <c r="J7658">
        <f>(Table1[[#This Row],[value]] - Table1[[#This Row],[mean]]) / Table1[[#This Row],[std_dev]]</f>
        <v>-1.3665366476230638</v>
      </c>
      <c r="K7658">
        <f>AVERAGEIF(Table1[CountryCode],Table1[[#This Row],[CountryCode]],Table1[z-score])</f>
        <v>-0.44941710005999458</v>
      </c>
      <c r="L7658" t="e">
        <f>VLOOKUP(Table1[[#This Row],[CountryCode]],[1]!Table1[#All],1,FALSE)</f>
        <v>#REF!</v>
      </c>
    </row>
    <row r="7659" spans="1:12" hidden="1" x14ac:dyDescent="0.3">
      <c r="A7659" t="s">
        <v>23</v>
      </c>
      <c r="B7659" t="s">
        <v>24</v>
      </c>
      <c r="C7659" t="s">
        <v>129</v>
      </c>
      <c r="D7659" t="s">
        <v>130</v>
      </c>
      <c r="E7659">
        <v>1970</v>
      </c>
      <c r="F7659" s="1">
        <v>65</v>
      </c>
      <c r="G7659">
        <v>1970</v>
      </c>
      <c r="H7659">
        <f>AVERAGEIFS(Table1[value],Table1[IndicatorCode],Table1[[#This Row],[IndicatorCode]])</f>
        <v>72.66514008620689</v>
      </c>
      <c r="I7659" cm="1">
        <f t="array" ref="I7659">_xlfn.STDEV.P(IF(Table1[IndicatorCode]=Table1[[#This Row],[IndicatorCode]],Table1[value]))</f>
        <v>6.3409496564024987</v>
      </c>
      <c r="J7659">
        <f>(Table1[[#This Row],[value]] - Table1[[#This Row],[mean]]) / Table1[[#This Row],[std_dev]]</f>
        <v>-1.2088315633396249</v>
      </c>
      <c r="K7659">
        <f>AVERAGEIF(Table1[CountryCode],Table1[[#This Row],[CountryCode]],Table1[z-score])</f>
        <v>-0.44941710005999458</v>
      </c>
      <c r="L7659" t="e">
        <f>VLOOKUP(Table1[[#This Row],[CountryCode]],[1]!Table1[#All],1,FALSE)</f>
        <v>#REF!</v>
      </c>
    </row>
    <row r="7660" spans="1:12" hidden="1" x14ac:dyDescent="0.3">
      <c r="A7660" t="s">
        <v>23</v>
      </c>
      <c r="B7660" t="s">
        <v>24</v>
      </c>
      <c r="C7660" t="s">
        <v>129</v>
      </c>
      <c r="D7660" t="s">
        <v>130</v>
      </c>
      <c r="E7660">
        <v>1971</v>
      </c>
      <c r="F7660" s="1">
        <v>65</v>
      </c>
      <c r="G7660">
        <v>1970</v>
      </c>
      <c r="H7660">
        <f>AVERAGEIFS(Table1[value],Table1[IndicatorCode],Table1[[#This Row],[IndicatorCode]])</f>
        <v>72.66514008620689</v>
      </c>
      <c r="I7660" cm="1">
        <f t="array" ref="I7660">_xlfn.STDEV.P(IF(Table1[IndicatorCode]=Table1[[#This Row],[IndicatorCode]],Table1[value]))</f>
        <v>6.3409496564024987</v>
      </c>
      <c r="J7660">
        <f>(Table1[[#This Row],[value]] - Table1[[#This Row],[mean]]) / Table1[[#This Row],[std_dev]]</f>
        <v>-1.2088315633396249</v>
      </c>
      <c r="K7660">
        <f>AVERAGEIF(Table1[CountryCode],Table1[[#This Row],[CountryCode]],Table1[z-score])</f>
        <v>-0.44941710005999458</v>
      </c>
      <c r="L7660" t="e">
        <f>VLOOKUP(Table1[[#This Row],[CountryCode]],[1]!Table1[#All],1,FALSE)</f>
        <v>#REF!</v>
      </c>
    </row>
    <row r="7661" spans="1:12" hidden="1" x14ac:dyDescent="0.3">
      <c r="A7661" t="s">
        <v>23</v>
      </c>
      <c r="B7661" t="s">
        <v>24</v>
      </c>
      <c r="C7661" t="s">
        <v>129</v>
      </c>
      <c r="D7661" t="s">
        <v>130</v>
      </c>
      <c r="E7661">
        <v>1972</v>
      </c>
      <c r="F7661" s="1">
        <v>66</v>
      </c>
      <c r="G7661">
        <v>1970</v>
      </c>
      <c r="H7661">
        <f>AVERAGEIFS(Table1[value],Table1[IndicatorCode],Table1[[#This Row],[IndicatorCode]])</f>
        <v>72.66514008620689</v>
      </c>
      <c r="I7661" cm="1">
        <f t="array" ref="I7661">_xlfn.STDEV.P(IF(Table1[IndicatorCode]=Table1[[#This Row],[IndicatorCode]],Table1[value]))</f>
        <v>6.3409496564024987</v>
      </c>
      <c r="J7661">
        <f>(Table1[[#This Row],[value]] - Table1[[#This Row],[mean]]) / Table1[[#This Row],[std_dev]]</f>
        <v>-1.0511264790561858</v>
      </c>
      <c r="K7661">
        <f>AVERAGEIF(Table1[CountryCode],Table1[[#This Row],[CountryCode]],Table1[z-score])</f>
        <v>-0.44941710005999458</v>
      </c>
      <c r="L7661" t="e">
        <f>VLOOKUP(Table1[[#This Row],[CountryCode]],[1]!Table1[#All],1,FALSE)</f>
        <v>#REF!</v>
      </c>
    </row>
    <row r="7662" spans="1:12" hidden="1" x14ac:dyDescent="0.3">
      <c r="A7662" t="s">
        <v>23</v>
      </c>
      <c r="B7662" t="s">
        <v>24</v>
      </c>
      <c r="C7662" t="s">
        <v>129</v>
      </c>
      <c r="D7662" t="s">
        <v>130</v>
      </c>
      <c r="E7662">
        <v>1973</v>
      </c>
      <c r="F7662" s="1">
        <v>67</v>
      </c>
      <c r="G7662">
        <v>1970</v>
      </c>
      <c r="H7662">
        <f>AVERAGEIFS(Table1[value],Table1[IndicatorCode],Table1[[#This Row],[IndicatorCode]])</f>
        <v>72.66514008620689</v>
      </c>
      <c r="I7662" cm="1">
        <f t="array" ref="I7662">_xlfn.STDEV.P(IF(Table1[IndicatorCode]=Table1[[#This Row],[IndicatorCode]],Table1[value]))</f>
        <v>6.3409496564024987</v>
      </c>
      <c r="J7662">
        <f>(Table1[[#This Row],[value]] - Table1[[#This Row],[mean]]) / Table1[[#This Row],[std_dev]]</f>
        <v>-0.89342139477274674</v>
      </c>
      <c r="K7662">
        <f>AVERAGEIF(Table1[CountryCode],Table1[[#This Row],[CountryCode]],Table1[z-score])</f>
        <v>-0.44941710005999458</v>
      </c>
      <c r="L7662" t="e">
        <f>VLOOKUP(Table1[[#This Row],[CountryCode]],[1]!Table1[#All],1,FALSE)</f>
        <v>#REF!</v>
      </c>
    </row>
    <row r="7663" spans="1:12" hidden="1" x14ac:dyDescent="0.3">
      <c r="A7663" t="s">
        <v>23</v>
      </c>
      <c r="B7663" t="s">
        <v>24</v>
      </c>
      <c r="C7663" t="s">
        <v>129</v>
      </c>
      <c r="D7663" t="s">
        <v>130</v>
      </c>
      <c r="E7663">
        <v>1974</v>
      </c>
      <c r="F7663" s="1">
        <v>68</v>
      </c>
      <c r="G7663">
        <v>1970</v>
      </c>
      <c r="H7663">
        <f>AVERAGEIFS(Table1[value],Table1[IndicatorCode],Table1[[#This Row],[IndicatorCode]])</f>
        <v>72.66514008620689</v>
      </c>
      <c r="I7663" cm="1">
        <f t="array" ref="I7663">_xlfn.STDEV.P(IF(Table1[IndicatorCode]=Table1[[#This Row],[IndicatorCode]],Table1[value]))</f>
        <v>6.3409496564024987</v>
      </c>
      <c r="J7663">
        <f>(Table1[[#This Row],[value]] - Table1[[#This Row],[mean]]) / Table1[[#This Row],[std_dev]]</f>
        <v>-0.73571631048930775</v>
      </c>
      <c r="K7663">
        <f>AVERAGEIF(Table1[CountryCode],Table1[[#This Row],[CountryCode]],Table1[z-score])</f>
        <v>-0.44941710005999458</v>
      </c>
      <c r="L7663" t="e">
        <f>VLOOKUP(Table1[[#This Row],[CountryCode]],[1]!Table1[#All],1,FALSE)</f>
        <v>#REF!</v>
      </c>
    </row>
    <row r="7664" spans="1:12" hidden="1" x14ac:dyDescent="0.3">
      <c r="A7664" t="s">
        <v>23</v>
      </c>
      <c r="B7664" t="s">
        <v>24</v>
      </c>
      <c r="C7664" t="s">
        <v>129</v>
      </c>
      <c r="D7664" t="s">
        <v>130</v>
      </c>
      <c r="E7664">
        <v>1975</v>
      </c>
      <c r="F7664" s="1">
        <v>68</v>
      </c>
      <c r="G7664">
        <v>1970</v>
      </c>
      <c r="H7664">
        <f>AVERAGEIFS(Table1[value],Table1[IndicatorCode],Table1[[#This Row],[IndicatorCode]])</f>
        <v>72.66514008620689</v>
      </c>
      <c r="I7664" cm="1">
        <f t="array" ref="I7664">_xlfn.STDEV.P(IF(Table1[IndicatorCode]=Table1[[#This Row],[IndicatorCode]],Table1[value]))</f>
        <v>6.3409496564024987</v>
      </c>
      <c r="J7664">
        <f>(Table1[[#This Row],[value]] - Table1[[#This Row],[mean]]) / Table1[[#This Row],[std_dev]]</f>
        <v>-0.73571631048930775</v>
      </c>
      <c r="K7664">
        <f>AVERAGEIF(Table1[CountryCode],Table1[[#This Row],[CountryCode]],Table1[z-score])</f>
        <v>-0.44941710005999458</v>
      </c>
      <c r="L7664" t="e">
        <f>VLOOKUP(Table1[[#This Row],[CountryCode]],[1]!Table1[#All],1,FALSE)</f>
        <v>#REF!</v>
      </c>
    </row>
    <row r="7665" spans="1:12" hidden="1" x14ac:dyDescent="0.3">
      <c r="A7665" t="s">
        <v>23</v>
      </c>
      <c r="B7665" t="s">
        <v>24</v>
      </c>
      <c r="C7665" t="s">
        <v>129</v>
      </c>
      <c r="D7665" t="s">
        <v>130</v>
      </c>
      <c r="E7665">
        <v>1976</v>
      </c>
      <c r="F7665" s="1">
        <v>69</v>
      </c>
      <c r="G7665">
        <v>1970</v>
      </c>
      <c r="H7665">
        <f>AVERAGEIFS(Table1[value],Table1[IndicatorCode],Table1[[#This Row],[IndicatorCode]])</f>
        <v>72.66514008620689</v>
      </c>
      <c r="I7665" cm="1">
        <f t="array" ref="I7665">_xlfn.STDEV.P(IF(Table1[IndicatorCode]=Table1[[#This Row],[IndicatorCode]],Table1[value]))</f>
        <v>6.3409496564024987</v>
      </c>
      <c r="J7665">
        <f>(Table1[[#This Row],[value]] - Table1[[#This Row],[mean]]) / Table1[[#This Row],[std_dev]]</f>
        <v>-0.57801122620586864</v>
      </c>
      <c r="K7665">
        <f>AVERAGEIF(Table1[CountryCode],Table1[[#This Row],[CountryCode]],Table1[z-score])</f>
        <v>-0.44941710005999458</v>
      </c>
      <c r="L7665" t="e">
        <f>VLOOKUP(Table1[[#This Row],[CountryCode]],[1]!Table1[#All],1,FALSE)</f>
        <v>#REF!</v>
      </c>
    </row>
    <row r="7666" spans="1:12" hidden="1" x14ac:dyDescent="0.3">
      <c r="A7666" t="s">
        <v>23</v>
      </c>
      <c r="B7666" t="s">
        <v>24</v>
      </c>
      <c r="C7666" t="s">
        <v>129</v>
      </c>
      <c r="D7666" t="s">
        <v>130</v>
      </c>
      <c r="E7666">
        <v>1977</v>
      </c>
      <c r="F7666" s="1">
        <v>69</v>
      </c>
      <c r="G7666">
        <v>1980</v>
      </c>
      <c r="H7666">
        <f>AVERAGEIFS(Table1[value],Table1[IndicatorCode],Table1[[#This Row],[IndicatorCode]])</f>
        <v>72.66514008620689</v>
      </c>
      <c r="I7666" cm="1">
        <f t="array" ref="I7666">_xlfn.STDEV.P(IF(Table1[IndicatorCode]=Table1[[#This Row],[IndicatorCode]],Table1[value]))</f>
        <v>6.3409496564024987</v>
      </c>
      <c r="J7666">
        <f>(Table1[[#This Row],[value]] - Table1[[#This Row],[mean]]) / Table1[[#This Row],[std_dev]]</f>
        <v>-0.57801122620586864</v>
      </c>
      <c r="K7666">
        <f>AVERAGEIF(Table1[CountryCode],Table1[[#This Row],[CountryCode]],Table1[z-score])</f>
        <v>-0.44941710005999458</v>
      </c>
      <c r="L7666" t="e">
        <f>VLOOKUP(Table1[[#This Row],[CountryCode]],[1]!Table1[#All],1,FALSE)</f>
        <v>#REF!</v>
      </c>
    </row>
    <row r="7667" spans="1:12" hidden="1" x14ac:dyDescent="0.3">
      <c r="A7667" t="s">
        <v>23</v>
      </c>
      <c r="B7667" t="s">
        <v>24</v>
      </c>
      <c r="C7667" t="s">
        <v>129</v>
      </c>
      <c r="D7667" t="s">
        <v>130</v>
      </c>
      <c r="E7667">
        <v>1978</v>
      </c>
      <c r="F7667" s="1">
        <v>69</v>
      </c>
      <c r="G7667">
        <v>1980</v>
      </c>
      <c r="H7667">
        <f>AVERAGEIFS(Table1[value],Table1[IndicatorCode],Table1[[#This Row],[IndicatorCode]])</f>
        <v>72.66514008620689</v>
      </c>
      <c r="I7667" cm="1">
        <f t="array" ref="I7667">_xlfn.STDEV.P(IF(Table1[IndicatorCode]=Table1[[#This Row],[IndicatorCode]],Table1[value]))</f>
        <v>6.3409496564024987</v>
      </c>
      <c r="J7667">
        <f>(Table1[[#This Row],[value]] - Table1[[#This Row],[mean]]) / Table1[[#This Row],[std_dev]]</f>
        <v>-0.57801122620586864</v>
      </c>
      <c r="K7667">
        <f>AVERAGEIF(Table1[CountryCode],Table1[[#This Row],[CountryCode]],Table1[z-score])</f>
        <v>-0.44941710005999458</v>
      </c>
      <c r="L7667" t="e">
        <f>VLOOKUP(Table1[[#This Row],[CountryCode]],[1]!Table1[#All],1,FALSE)</f>
        <v>#REF!</v>
      </c>
    </row>
    <row r="7668" spans="1:12" hidden="1" x14ac:dyDescent="0.3">
      <c r="A7668" t="s">
        <v>23</v>
      </c>
      <c r="B7668" t="s">
        <v>24</v>
      </c>
      <c r="C7668" t="s">
        <v>129</v>
      </c>
      <c r="D7668" t="s">
        <v>130</v>
      </c>
      <c r="E7668">
        <v>1979</v>
      </c>
      <c r="F7668" s="1">
        <v>69</v>
      </c>
      <c r="G7668">
        <v>1980</v>
      </c>
      <c r="H7668">
        <f>AVERAGEIFS(Table1[value],Table1[IndicatorCode],Table1[[#This Row],[IndicatorCode]])</f>
        <v>72.66514008620689</v>
      </c>
      <c r="I7668" cm="1">
        <f t="array" ref="I7668">_xlfn.STDEV.P(IF(Table1[IndicatorCode]=Table1[[#This Row],[IndicatorCode]],Table1[value]))</f>
        <v>6.3409496564024987</v>
      </c>
      <c r="J7668">
        <f>(Table1[[#This Row],[value]] - Table1[[#This Row],[mean]]) / Table1[[#This Row],[std_dev]]</f>
        <v>-0.57801122620586864</v>
      </c>
      <c r="K7668">
        <f>AVERAGEIF(Table1[CountryCode],Table1[[#This Row],[CountryCode]],Table1[z-score])</f>
        <v>-0.44941710005999458</v>
      </c>
      <c r="L7668" t="e">
        <f>VLOOKUP(Table1[[#This Row],[CountryCode]],[1]!Table1[#All],1,FALSE)</f>
        <v>#REF!</v>
      </c>
    </row>
    <row r="7669" spans="1:12" hidden="1" x14ac:dyDescent="0.3">
      <c r="A7669" t="s">
        <v>23</v>
      </c>
      <c r="B7669" t="s">
        <v>24</v>
      </c>
      <c r="C7669" t="s">
        <v>129</v>
      </c>
      <c r="D7669" t="s">
        <v>130</v>
      </c>
      <c r="E7669">
        <v>1980</v>
      </c>
      <c r="F7669" s="1">
        <v>70</v>
      </c>
      <c r="G7669">
        <v>1980</v>
      </c>
      <c r="H7669">
        <f>AVERAGEIFS(Table1[value],Table1[IndicatorCode],Table1[[#This Row],[IndicatorCode]])</f>
        <v>72.66514008620689</v>
      </c>
      <c r="I7669" cm="1">
        <f t="array" ref="I7669">_xlfn.STDEV.P(IF(Table1[IndicatorCode]=Table1[[#This Row],[IndicatorCode]],Table1[value]))</f>
        <v>6.3409496564024987</v>
      </c>
      <c r="J7669">
        <f>(Table1[[#This Row],[value]] - Table1[[#This Row],[mean]]) / Table1[[#This Row],[std_dev]]</f>
        <v>-0.4203061419224296</v>
      </c>
      <c r="K7669">
        <f>AVERAGEIF(Table1[CountryCode],Table1[[#This Row],[CountryCode]],Table1[z-score])</f>
        <v>-0.44941710005999458</v>
      </c>
      <c r="L7669" t="e">
        <f>VLOOKUP(Table1[[#This Row],[CountryCode]],[1]!Table1[#All],1,FALSE)</f>
        <v>#REF!</v>
      </c>
    </row>
    <row r="7670" spans="1:12" hidden="1" x14ac:dyDescent="0.3">
      <c r="A7670" t="s">
        <v>23</v>
      </c>
      <c r="B7670" t="s">
        <v>24</v>
      </c>
      <c r="C7670" t="s">
        <v>129</v>
      </c>
      <c r="D7670" t="s">
        <v>130</v>
      </c>
      <c r="E7670">
        <v>1981</v>
      </c>
      <c r="F7670" s="1">
        <v>70</v>
      </c>
      <c r="G7670">
        <v>1980</v>
      </c>
      <c r="H7670">
        <f>AVERAGEIFS(Table1[value],Table1[IndicatorCode],Table1[[#This Row],[IndicatorCode]])</f>
        <v>72.66514008620689</v>
      </c>
      <c r="I7670" cm="1">
        <f t="array" ref="I7670">_xlfn.STDEV.P(IF(Table1[IndicatorCode]=Table1[[#This Row],[IndicatorCode]],Table1[value]))</f>
        <v>6.3409496564024987</v>
      </c>
      <c r="J7670">
        <f>(Table1[[#This Row],[value]] - Table1[[#This Row],[mean]]) / Table1[[#This Row],[std_dev]]</f>
        <v>-0.4203061419224296</v>
      </c>
      <c r="K7670">
        <f>AVERAGEIF(Table1[CountryCode],Table1[[#This Row],[CountryCode]],Table1[z-score])</f>
        <v>-0.44941710005999458</v>
      </c>
      <c r="L7670" t="e">
        <f>VLOOKUP(Table1[[#This Row],[CountryCode]],[1]!Table1[#All],1,FALSE)</f>
        <v>#REF!</v>
      </c>
    </row>
    <row r="7671" spans="1:12" hidden="1" x14ac:dyDescent="0.3">
      <c r="A7671" t="s">
        <v>23</v>
      </c>
      <c r="B7671" t="s">
        <v>24</v>
      </c>
      <c r="C7671" t="s">
        <v>129</v>
      </c>
      <c r="D7671" t="s">
        <v>130</v>
      </c>
      <c r="E7671">
        <v>1982</v>
      </c>
      <c r="F7671" s="1">
        <v>70</v>
      </c>
      <c r="G7671">
        <v>1980</v>
      </c>
      <c r="H7671">
        <f>AVERAGEIFS(Table1[value],Table1[IndicatorCode],Table1[[#This Row],[IndicatorCode]])</f>
        <v>72.66514008620689</v>
      </c>
      <c r="I7671" cm="1">
        <f t="array" ref="I7671">_xlfn.STDEV.P(IF(Table1[IndicatorCode]=Table1[[#This Row],[IndicatorCode]],Table1[value]))</f>
        <v>6.3409496564024987</v>
      </c>
      <c r="J7671">
        <f>(Table1[[#This Row],[value]] - Table1[[#This Row],[mean]]) / Table1[[#This Row],[std_dev]]</f>
        <v>-0.4203061419224296</v>
      </c>
      <c r="K7671">
        <f>AVERAGEIF(Table1[CountryCode],Table1[[#This Row],[CountryCode]],Table1[z-score])</f>
        <v>-0.44941710005999458</v>
      </c>
      <c r="L7671" t="e">
        <f>VLOOKUP(Table1[[#This Row],[CountryCode]],[1]!Table1[#All],1,FALSE)</f>
        <v>#REF!</v>
      </c>
    </row>
    <row r="7672" spans="1:12" hidden="1" x14ac:dyDescent="0.3">
      <c r="A7672" t="s">
        <v>23</v>
      </c>
      <c r="B7672" t="s">
        <v>24</v>
      </c>
      <c r="C7672" t="s">
        <v>129</v>
      </c>
      <c r="D7672" t="s">
        <v>130</v>
      </c>
      <c r="E7672">
        <v>1983</v>
      </c>
      <c r="F7672" s="1">
        <v>70</v>
      </c>
      <c r="G7672">
        <v>1980</v>
      </c>
      <c r="H7672">
        <f>AVERAGEIFS(Table1[value],Table1[IndicatorCode],Table1[[#This Row],[IndicatorCode]])</f>
        <v>72.66514008620689</v>
      </c>
      <c r="I7672" cm="1">
        <f t="array" ref="I7672">_xlfn.STDEV.P(IF(Table1[IndicatorCode]=Table1[[#This Row],[IndicatorCode]],Table1[value]))</f>
        <v>6.3409496564024987</v>
      </c>
      <c r="J7672">
        <f>(Table1[[#This Row],[value]] - Table1[[#This Row],[mean]]) / Table1[[#This Row],[std_dev]]</f>
        <v>-0.4203061419224296</v>
      </c>
      <c r="K7672">
        <f>AVERAGEIF(Table1[CountryCode],Table1[[#This Row],[CountryCode]],Table1[z-score])</f>
        <v>-0.44941710005999458</v>
      </c>
      <c r="L7672" t="e">
        <f>VLOOKUP(Table1[[#This Row],[CountryCode]],[1]!Table1[#All],1,FALSE)</f>
        <v>#REF!</v>
      </c>
    </row>
    <row r="7673" spans="1:12" hidden="1" x14ac:dyDescent="0.3">
      <c r="A7673" t="s">
        <v>23</v>
      </c>
      <c r="B7673" t="s">
        <v>24</v>
      </c>
      <c r="C7673" t="s">
        <v>129</v>
      </c>
      <c r="D7673" t="s">
        <v>130</v>
      </c>
      <c r="E7673">
        <v>1984</v>
      </c>
      <c r="F7673" s="1">
        <v>70</v>
      </c>
      <c r="G7673">
        <v>1980</v>
      </c>
      <c r="H7673">
        <f>AVERAGEIFS(Table1[value],Table1[IndicatorCode],Table1[[#This Row],[IndicatorCode]])</f>
        <v>72.66514008620689</v>
      </c>
      <c r="I7673" cm="1">
        <f t="array" ref="I7673">_xlfn.STDEV.P(IF(Table1[IndicatorCode]=Table1[[#This Row],[IndicatorCode]],Table1[value]))</f>
        <v>6.3409496564024987</v>
      </c>
      <c r="J7673">
        <f>(Table1[[#This Row],[value]] - Table1[[#This Row],[mean]]) / Table1[[#This Row],[std_dev]]</f>
        <v>-0.4203061419224296</v>
      </c>
      <c r="K7673">
        <f>AVERAGEIF(Table1[CountryCode],Table1[[#This Row],[CountryCode]],Table1[z-score])</f>
        <v>-0.44941710005999458</v>
      </c>
      <c r="L7673" t="e">
        <f>VLOOKUP(Table1[[#This Row],[CountryCode]],[1]!Table1[#All],1,FALSE)</f>
        <v>#REF!</v>
      </c>
    </row>
    <row r="7674" spans="1:12" hidden="1" x14ac:dyDescent="0.3">
      <c r="A7674" t="s">
        <v>23</v>
      </c>
      <c r="B7674" t="s">
        <v>24</v>
      </c>
      <c r="C7674" t="s">
        <v>129</v>
      </c>
      <c r="D7674" t="s">
        <v>130</v>
      </c>
      <c r="E7674">
        <v>1985</v>
      </c>
      <c r="F7674" s="1">
        <v>71</v>
      </c>
      <c r="G7674">
        <v>1980</v>
      </c>
      <c r="H7674">
        <f>AVERAGEIFS(Table1[value],Table1[IndicatorCode],Table1[[#This Row],[IndicatorCode]])</f>
        <v>72.66514008620689</v>
      </c>
      <c r="I7674" cm="1">
        <f t="array" ref="I7674">_xlfn.STDEV.P(IF(Table1[IndicatorCode]=Table1[[#This Row],[IndicatorCode]],Table1[value]))</f>
        <v>6.3409496564024987</v>
      </c>
      <c r="J7674">
        <f>(Table1[[#This Row],[value]] - Table1[[#This Row],[mean]]) / Table1[[#This Row],[std_dev]]</f>
        <v>-0.2626010576389905</v>
      </c>
      <c r="K7674">
        <f>AVERAGEIF(Table1[CountryCode],Table1[[#This Row],[CountryCode]],Table1[z-score])</f>
        <v>-0.44941710005999458</v>
      </c>
      <c r="L7674" t="e">
        <f>VLOOKUP(Table1[[#This Row],[CountryCode]],[1]!Table1[#All],1,FALSE)</f>
        <v>#REF!</v>
      </c>
    </row>
    <row r="7675" spans="1:12" hidden="1" x14ac:dyDescent="0.3">
      <c r="A7675" t="s">
        <v>23</v>
      </c>
      <c r="B7675" t="s">
        <v>24</v>
      </c>
      <c r="C7675" t="s">
        <v>129</v>
      </c>
      <c r="D7675" t="s">
        <v>130</v>
      </c>
      <c r="E7675">
        <v>1986</v>
      </c>
      <c r="F7675" s="1">
        <v>71</v>
      </c>
      <c r="G7675">
        <v>1980</v>
      </c>
      <c r="H7675">
        <f>AVERAGEIFS(Table1[value],Table1[IndicatorCode],Table1[[#This Row],[IndicatorCode]])</f>
        <v>72.66514008620689</v>
      </c>
      <c r="I7675" cm="1">
        <f t="array" ref="I7675">_xlfn.STDEV.P(IF(Table1[IndicatorCode]=Table1[[#This Row],[IndicatorCode]],Table1[value]))</f>
        <v>6.3409496564024987</v>
      </c>
      <c r="J7675">
        <f>(Table1[[#This Row],[value]] - Table1[[#This Row],[mean]]) / Table1[[#This Row],[std_dev]]</f>
        <v>-0.2626010576389905</v>
      </c>
      <c r="K7675">
        <f>AVERAGEIF(Table1[CountryCode],Table1[[#This Row],[CountryCode]],Table1[z-score])</f>
        <v>-0.44941710005999458</v>
      </c>
      <c r="L7675" t="e">
        <f>VLOOKUP(Table1[[#This Row],[CountryCode]],[1]!Table1[#All],1,FALSE)</f>
        <v>#REF!</v>
      </c>
    </row>
    <row r="7676" spans="1:12" hidden="1" x14ac:dyDescent="0.3">
      <c r="A7676" t="s">
        <v>23</v>
      </c>
      <c r="B7676" t="s">
        <v>24</v>
      </c>
      <c r="C7676" t="s">
        <v>129</v>
      </c>
      <c r="D7676" t="s">
        <v>130</v>
      </c>
      <c r="E7676">
        <v>1987</v>
      </c>
      <c r="F7676" s="1">
        <v>71</v>
      </c>
      <c r="G7676">
        <v>1990</v>
      </c>
      <c r="H7676">
        <f>AVERAGEIFS(Table1[value],Table1[IndicatorCode],Table1[[#This Row],[IndicatorCode]])</f>
        <v>72.66514008620689</v>
      </c>
      <c r="I7676" cm="1">
        <f t="array" ref="I7676">_xlfn.STDEV.P(IF(Table1[IndicatorCode]=Table1[[#This Row],[IndicatorCode]],Table1[value]))</f>
        <v>6.3409496564024987</v>
      </c>
      <c r="J7676">
        <f>(Table1[[#This Row],[value]] - Table1[[#This Row],[mean]]) / Table1[[#This Row],[std_dev]]</f>
        <v>-0.2626010576389905</v>
      </c>
      <c r="K7676">
        <f>AVERAGEIF(Table1[CountryCode],Table1[[#This Row],[CountryCode]],Table1[z-score])</f>
        <v>-0.44941710005999458</v>
      </c>
      <c r="L7676" t="e">
        <f>VLOOKUP(Table1[[#This Row],[CountryCode]],[1]!Table1[#All],1,FALSE)</f>
        <v>#REF!</v>
      </c>
    </row>
    <row r="7677" spans="1:12" hidden="1" x14ac:dyDescent="0.3">
      <c r="A7677" t="s">
        <v>23</v>
      </c>
      <c r="B7677" t="s">
        <v>24</v>
      </c>
      <c r="C7677" t="s">
        <v>129</v>
      </c>
      <c r="D7677" t="s">
        <v>130</v>
      </c>
      <c r="E7677">
        <v>1988</v>
      </c>
      <c r="F7677" s="1">
        <v>71</v>
      </c>
      <c r="G7677">
        <v>1990</v>
      </c>
      <c r="H7677">
        <f>AVERAGEIFS(Table1[value],Table1[IndicatorCode],Table1[[#This Row],[IndicatorCode]])</f>
        <v>72.66514008620689</v>
      </c>
      <c r="I7677" cm="1">
        <f t="array" ref="I7677">_xlfn.STDEV.P(IF(Table1[IndicatorCode]=Table1[[#This Row],[IndicatorCode]],Table1[value]))</f>
        <v>6.3409496564024987</v>
      </c>
      <c r="J7677">
        <f>(Table1[[#This Row],[value]] - Table1[[#This Row],[mean]]) / Table1[[#This Row],[std_dev]]</f>
        <v>-0.2626010576389905</v>
      </c>
      <c r="K7677">
        <f>AVERAGEIF(Table1[CountryCode],Table1[[#This Row],[CountryCode]],Table1[z-score])</f>
        <v>-0.44941710005999458</v>
      </c>
      <c r="L7677" t="e">
        <f>VLOOKUP(Table1[[#This Row],[CountryCode]],[1]!Table1[#All],1,FALSE)</f>
        <v>#REF!</v>
      </c>
    </row>
    <row r="7678" spans="1:12" hidden="1" x14ac:dyDescent="0.3">
      <c r="A7678" t="s">
        <v>23</v>
      </c>
      <c r="B7678" t="s">
        <v>24</v>
      </c>
      <c r="C7678" t="s">
        <v>129</v>
      </c>
      <c r="D7678" t="s">
        <v>130</v>
      </c>
      <c r="E7678">
        <v>1989</v>
      </c>
      <c r="F7678" s="1">
        <v>71</v>
      </c>
      <c r="G7678">
        <v>1990</v>
      </c>
      <c r="H7678">
        <f>AVERAGEIFS(Table1[value],Table1[IndicatorCode],Table1[[#This Row],[IndicatorCode]])</f>
        <v>72.66514008620689</v>
      </c>
      <c r="I7678" cm="1">
        <f t="array" ref="I7678">_xlfn.STDEV.P(IF(Table1[IndicatorCode]=Table1[[#This Row],[IndicatorCode]],Table1[value]))</f>
        <v>6.3409496564024987</v>
      </c>
      <c r="J7678">
        <f>(Table1[[#This Row],[value]] - Table1[[#This Row],[mean]]) / Table1[[#This Row],[std_dev]]</f>
        <v>-0.2626010576389905</v>
      </c>
      <c r="K7678">
        <f>AVERAGEIF(Table1[CountryCode],Table1[[#This Row],[CountryCode]],Table1[z-score])</f>
        <v>-0.44941710005999458</v>
      </c>
      <c r="L7678" t="e">
        <f>VLOOKUP(Table1[[#This Row],[CountryCode]],[1]!Table1[#All],1,FALSE)</f>
        <v>#REF!</v>
      </c>
    </row>
    <row r="7679" spans="1:12" hidden="1" x14ac:dyDescent="0.3">
      <c r="A7679" t="s">
        <v>23</v>
      </c>
      <c r="B7679" t="s">
        <v>24</v>
      </c>
      <c r="C7679" t="s">
        <v>129</v>
      </c>
      <c r="D7679" t="s">
        <v>130</v>
      </c>
      <c r="E7679">
        <v>1990</v>
      </c>
      <c r="F7679" s="1">
        <v>72</v>
      </c>
      <c r="G7679">
        <v>1990</v>
      </c>
      <c r="H7679">
        <f>AVERAGEIFS(Table1[value],Table1[IndicatorCode],Table1[[#This Row],[IndicatorCode]])</f>
        <v>72.66514008620689</v>
      </c>
      <c r="I7679" cm="1">
        <f t="array" ref="I7679">_xlfn.STDEV.P(IF(Table1[IndicatorCode]=Table1[[#This Row],[IndicatorCode]],Table1[value]))</f>
        <v>6.3409496564024987</v>
      </c>
      <c r="J7679">
        <f>(Table1[[#This Row],[value]] - Table1[[#This Row],[mean]]) / Table1[[#This Row],[std_dev]]</f>
        <v>-0.10489597335555145</v>
      </c>
      <c r="K7679">
        <f>AVERAGEIF(Table1[CountryCode],Table1[[#This Row],[CountryCode]],Table1[z-score])</f>
        <v>-0.44941710005999458</v>
      </c>
      <c r="L7679" t="e">
        <f>VLOOKUP(Table1[[#This Row],[CountryCode]],[1]!Table1[#All],1,FALSE)</f>
        <v>#REF!</v>
      </c>
    </row>
    <row r="7680" spans="1:12" hidden="1" x14ac:dyDescent="0.3">
      <c r="A7680" t="s">
        <v>23</v>
      </c>
      <c r="B7680" t="s">
        <v>24</v>
      </c>
      <c r="C7680" t="s">
        <v>129</v>
      </c>
      <c r="D7680" t="s">
        <v>130</v>
      </c>
      <c r="E7680">
        <v>1991</v>
      </c>
      <c r="F7680" s="1">
        <v>72</v>
      </c>
      <c r="G7680">
        <v>1990</v>
      </c>
      <c r="H7680">
        <f>AVERAGEIFS(Table1[value],Table1[IndicatorCode],Table1[[#This Row],[IndicatorCode]])</f>
        <v>72.66514008620689</v>
      </c>
      <c r="I7680" cm="1">
        <f t="array" ref="I7680">_xlfn.STDEV.P(IF(Table1[IndicatorCode]=Table1[[#This Row],[IndicatorCode]],Table1[value]))</f>
        <v>6.3409496564024987</v>
      </c>
      <c r="J7680">
        <f>(Table1[[#This Row],[value]] - Table1[[#This Row],[mean]]) / Table1[[#This Row],[std_dev]]</f>
        <v>-0.10489597335555145</v>
      </c>
      <c r="K7680">
        <f>AVERAGEIF(Table1[CountryCode],Table1[[#This Row],[CountryCode]],Table1[z-score])</f>
        <v>-0.44941710005999458</v>
      </c>
      <c r="L7680" t="e">
        <f>VLOOKUP(Table1[[#This Row],[CountryCode]],[1]!Table1[#All],1,FALSE)</f>
        <v>#REF!</v>
      </c>
    </row>
    <row r="7681" spans="1:12" hidden="1" x14ac:dyDescent="0.3">
      <c r="A7681" t="s">
        <v>23</v>
      </c>
      <c r="B7681" t="s">
        <v>24</v>
      </c>
      <c r="C7681" t="s">
        <v>129</v>
      </c>
      <c r="D7681" t="s">
        <v>130</v>
      </c>
      <c r="E7681">
        <v>1992</v>
      </c>
      <c r="F7681" s="1">
        <v>52</v>
      </c>
      <c r="G7681">
        <v>1990</v>
      </c>
      <c r="H7681">
        <f>AVERAGEIFS(Table1[value],Table1[IndicatorCode],Table1[[#This Row],[IndicatorCode]])</f>
        <v>72.66514008620689</v>
      </c>
      <c r="I7681" cm="1">
        <f t="array" ref="I7681">_xlfn.STDEV.P(IF(Table1[IndicatorCode]=Table1[[#This Row],[IndicatorCode]],Table1[value]))</f>
        <v>6.3409496564024987</v>
      </c>
      <c r="J7681">
        <f>(Table1[[#This Row],[value]] - Table1[[#This Row],[mean]]) / Table1[[#This Row],[std_dev]]</f>
        <v>-3.2589976590243328</v>
      </c>
      <c r="K7681">
        <f>AVERAGEIF(Table1[CountryCode],Table1[[#This Row],[CountryCode]],Table1[z-score])</f>
        <v>-0.44941710005999458</v>
      </c>
      <c r="L7681" t="e">
        <f>VLOOKUP(Table1[[#This Row],[CountryCode]],[1]!Table1[#All],1,FALSE)</f>
        <v>#REF!</v>
      </c>
    </row>
    <row r="7682" spans="1:12" hidden="1" x14ac:dyDescent="0.3">
      <c r="A7682" t="s">
        <v>23</v>
      </c>
      <c r="B7682" t="s">
        <v>24</v>
      </c>
      <c r="C7682" t="s">
        <v>129</v>
      </c>
      <c r="D7682" t="s">
        <v>130</v>
      </c>
      <c r="E7682">
        <v>1993</v>
      </c>
      <c r="F7682" s="1">
        <v>51</v>
      </c>
      <c r="G7682">
        <v>1990</v>
      </c>
      <c r="H7682">
        <f>AVERAGEIFS(Table1[value],Table1[IndicatorCode],Table1[[#This Row],[IndicatorCode]])</f>
        <v>72.66514008620689</v>
      </c>
      <c r="I7682" cm="1">
        <f t="array" ref="I7682">_xlfn.STDEV.P(IF(Table1[IndicatorCode]=Table1[[#This Row],[IndicatorCode]],Table1[value]))</f>
        <v>6.3409496564024987</v>
      </c>
      <c r="J7682">
        <f>(Table1[[#This Row],[value]] - Table1[[#This Row],[mean]]) / Table1[[#This Row],[std_dev]]</f>
        <v>-3.4167027433077717</v>
      </c>
      <c r="K7682">
        <f>AVERAGEIF(Table1[CountryCode],Table1[[#This Row],[CountryCode]],Table1[z-score])</f>
        <v>-0.44941710005999458</v>
      </c>
      <c r="L7682" t="e">
        <f>VLOOKUP(Table1[[#This Row],[CountryCode]],[1]!Table1[#All],1,FALSE)</f>
        <v>#REF!</v>
      </c>
    </row>
    <row r="7683" spans="1:12" hidden="1" x14ac:dyDescent="0.3">
      <c r="A7683" t="s">
        <v>23</v>
      </c>
      <c r="B7683" t="s">
        <v>24</v>
      </c>
      <c r="C7683" t="s">
        <v>129</v>
      </c>
      <c r="D7683" t="s">
        <v>130</v>
      </c>
      <c r="E7683">
        <v>1994</v>
      </c>
      <c r="F7683" s="1">
        <v>67</v>
      </c>
      <c r="G7683">
        <v>1990</v>
      </c>
      <c r="H7683">
        <f>AVERAGEIFS(Table1[value],Table1[IndicatorCode],Table1[[#This Row],[IndicatorCode]])</f>
        <v>72.66514008620689</v>
      </c>
      <c r="I7683" cm="1">
        <f t="array" ref="I7683">_xlfn.STDEV.P(IF(Table1[IndicatorCode]=Table1[[#This Row],[IndicatorCode]],Table1[value]))</f>
        <v>6.3409496564024987</v>
      </c>
      <c r="J7683">
        <f>(Table1[[#This Row],[value]] - Table1[[#This Row],[mean]]) / Table1[[#This Row],[std_dev]]</f>
        <v>-0.89342139477274674</v>
      </c>
      <c r="K7683">
        <f>AVERAGEIF(Table1[CountryCode],Table1[[#This Row],[CountryCode]],Table1[z-score])</f>
        <v>-0.44941710005999458</v>
      </c>
      <c r="L7683" t="e">
        <f>VLOOKUP(Table1[[#This Row],[CountryCode]],[1]!Table1[#All],1,FALSE)</f>
        <v>#REF!</v>
      </c>
    </row>
    <row r="7684" spans="1:12" hidden="1" x14ac:dyDescent="0.3">
      <c r="A7684" t="s">
        <v>23</v>
      </c>
      <c r="B7684" t="s">
        <v>24</v>
      </c>
      <c r="C7684" t="s">
        <v>129</v>
      </c>
      <c r="D7684" t="s">
        <v>130</v>
      </c>
      <c r="E7684">
        <v>1995</v>
      </c>
      <c r="F7684" s="1">
        <v>70</v>
      </c>
      <c r="G7684">
        <v>1990</v>
      </c>
      <c r="H7684">
        <f>AVERAGEIFS(Table1[value],Table1[IndicatorCode],Table1[[#This Row],[IndicatorCode]])</f>
        <v>72.66514008620689</v>
      </c>
      <c r="I7684" cm="1">
        <f t="array" ref="I7684">_xlfn.STDEV.P(IF(Table1[IndicatorCode]=Table1[[#This Row],[IndicatorCode]],Table1[value]))</f>
        <v>6.3409496564024987</v>
      </c>
      <c r="J7684">
        <f>(Table1[[#This Row],[value]] - Table1[[#This Row],[mean]]) / Table1[[#This Row],[std_dev]]</f>
        <v>-0.4203061419224296</v>
      </c>
      <c r="K7684">
        <f>AVERAGEIF(Table1[CountryCode],Table1[[#This Row],[CountryCode]],Table1[z-score])</f>
        <v>-0.44941710005999458</v>
      </c>
      <c r="L7684" t="e">
        <f>VLOOKUP(Table1[[#This Row],[CountryCode]],[1]!Table1[#All],1,FALSE)</f>
        <v>#REF!</v>
      </c>
    </row>
    <row r="7685" spans="1:12" hidden="1" x14ac:dyDescent="0.3">
      <c r="A7685" t="s">
        <v>23</v>
      </c>
      <c r="B7685" t="s">
        <v>24</v>
      </c>
      <c r="C7685" t="s">
        <v>129</v>
      </c>
      <c r="D7685" t="s">
        <v>130</v>
      </c>
      <c r="E7685">
        <v>1996</v>
      </c>
      <c r="F7685" s="1">
        <v>73</v>
      </c>
      <c r="G7685">
        <v>1990</v>
      </c>
      <c r="H7685">
        <f>AVERAGEIFS(Table1[value],Table1[IndicatorCode],Table1[[#This Row],[IndicatorCode]])</f>
        <v>72.66514008620689</v>
      </c>
      <c r="I7685" cm="1">
        <f t="array" ref="I7685">_xlfn.STDEV.P(IF(Table1[IndicatorCode]=Table1[[#This Row],[IndicatorCode]],Table1[value]))</f>
        <v>6.3409496564024987</v>
      </c>
      <c r="J7685">
        <f>(Table1[[#This Row],[value]] - Table1[[#This Row],[mean]]) / Table1[[#This Row],[std_dev]]</f>
        <v>5.2809110927887599E-2</v>
      </c>
      <c r="K7685">
        <f>AVERAGEIF(Table1[CountryCode],Table1[[#This Row],[CountryCode]],Table1[z-score])</f>
        <v>-0.44941710005999458</v>
      </c>
      <c r="L7685" t="e">
        <f>VLOOKUP(Table1[[#This Row],[CountryCode]],[1]!Table1[#All],1,FALSE)</f>
        <v>#REF!</v>
      </c>
    </row>
    <row r="7686" spans="1:12" hidden="1" x14ac:dyDescent="0.3">
      <c r="A7686" t="s">
        <v>23</v>
      </c>
      <c r="B7686" t="s">
        <v>24</v>
      </c>
      <c r="C7686" t="s">
        <v>129</v>
      </c>
      <c r="D7686" t="s">
        <v>130</v>
      </c>
      <c r="E7686">
        <v>1997</v>
      </c>
      <c r="F7686" s="1">
        <v>74</v>
      </c>
      <c r="G7686">
        <v>2000</v>
      </c>
      <c r="H7686">
        <f>AVERAGEIFS(Table1[value],Table1[IndicatorCode],Table1[[#This Row],[IndicatorCode]])</f>
        <v>72.66514008620689</v>
      </c>
      <c r="I7686" cm="1">
        <f t="array" ref="I7686">_xlfn.STDEV.P(IF(Table1[IndicatorCode]=Table1[[#This Row],[IndicatorCode]],Table1[value]))</f>
        <v>6.3409496564024987</v>
      </c>
      <c r="J7686">
        <f>(Table1[[#This Row],[value]] - Table1[[#This Row],[mean]]) / Table1[[#This Row],[std_dev]]</f>
        <v>0.21051419521132667</v>
      </c>
      <c r="K7686">
        <f>AVERAGEIF(Table1[CountryCode],Table1[[#This Row],[CountryCode]],Table1[z-score])</f>
        <v>-0.44941710005999458</v>
      </c>
      <c r="L7686" t="e">
        <f>VLOOKUP(Table1[[#This Row],[CountryCode]],[1]!Table1[#All],1,FALSE)</f>
        <v>#REF!</v>
      </c>
    </row>
    <row r="7687" spans="1:12" hidden="1" x14ac:dyDescent="0.3">
      <c r="A7687" t="s">
        <v>23</v>
      </c>
      <c r="B7687" t="s">
        <v>24</v>
      </c>
      <c r="C7687" t="s">
        <v>129</v>
      </c>
      <c r="D7687" t="s">
        <v>130</v>
      </c>
      <c r="E7687">
        <v>1998</v>
      </c>
      <c r="F7687" s="1">
        <v>74</v>
      </c>
      <c r="G7687">
        <v>2000</v>
      </c>
      <c r="H7687">
        <f>AVERAGEIFS(Table1[value],Table1[IndicatorCode],Table1[[#This Row],[IndicatorCode]])</f>
        <v>72.66514008620689</v>
      </c>
      <c r="I7687" cm="1">
        <f t="array" ref="I7687">_xlfn.STDEV.P(IF(Table1[IndicatorCode]=Table1[[#This Row],[IndicatorCode]],Table1[value]))</f>
        <v>6.3409496564024987</v>
      </c>
      <c r="J7687">
        <f>(Table1[[#This Row],[value]] - Table1[[#This Row],[mean]]) / Table1[[#This Row],[std_dev]]</f>
        <v>0.21051419521132667</v>
      </c>
      <c r="K7687">
        <f>AVERAGEIF(Table1[CountryCode],Table1[[#This Row],[CountryCode]],Table1[z-score])</f>
        <v>-0.44941710005999458</v>
      </c>
      <c r="L7687" t="e">
        <f>VLOOKUP(Table1[[#This Row],[CountryCode]],[1]!Table1[#All],1,FALSE)</f>
        <v>#REF!</v>
      </c>
    </row>
    <row r="7688" spans="1:12" hidden="1" x14ac:dyDescent="0.3">
      <c r="A7688" t="s">
        <v>23</v>
      </c>
      <c r="B7688" t="s">
        <v>24</v>
      </c>
      <c r="C7688" t="s">
        <v>129</v>
      </c>
      <c r="D7688" t="s">
        <v>130</v>
      </c>
      <c r="E7688">
        <v>1999</v>
      </c>
      <c r="F7688" s="1">
        <v>75</v>
      </c>
      <c r="G7688">
        <v>2000</v>
      </c>
      <c r="H7688">
        <f>AVERAGEIFS(Table1[value],Table1[IndicatorCode],Table1[[#This Row],[IndicatorCode]])</f>
        <v>72.66514008620689</v>
      </c>
      <c r="I7688" cm="1">
        <f t="array" ref="I7688">_xlfn.STDEV.P(IF(Table1[IndicatorCode]=Table1[[#This Row],[IndicatorCode]],Table1[value]))</f>
        <v>6.3409496564024987</v>
      </c>
      <c r="J7688">
        <f>(Table1[[#This Row],[value]] - Table1[[#This Row],[mean]]) / Table1[[#This Row],[std_dev]]</f>
        <v>0.36821927949476574</v>
      </c>
      <c r="K7688">
        <f>AVERAGEIF(Table1[CountryCode],Table1[[#This Row],[CountryCode]],Table1[z-score])</f>
        <v>-0.44941710005999458</v>
      </c>
      <c r="L7688" t="e">
        <f>VLOOKUP(Table1[[#This Row],[CountryCode]],[1]!Table1[#All],1,FALSE)</f>
        <v>#REF!</v>
      </c>
    </row>
    <row r="7689" spans="1:12" hidden="1" x14ac:dyDescent="0.3">
      <c r="A7689" t="s">
        <v>23</v>
      </c>
      <c r="B7689" t="s">
        <v>24</v>
      </c>
      <c r="C7689" t="s">
        <v>129</v>
      </c>
      <c r="D7689" t="s">
        <v>130</v>
      </c>
      <c r="E7689">
        <v>2000</v>
      </c>
      <c r="F7689" s="1">
        <v>75</v>
      </c>
      <c r="G7689">
        <v>2000</v>
      </c>
      <c r="H7689">
        <f>AVERAGEIFS(Table1[value],Table1[IndicatorCode],Table1[[#This Row],[IndicatorCode]])</f>
        <v>72.66514008620689</v>
      </c>
      <c r="I7689" cm="1">
        <f t="array" ref="I7689">_xlfn.STDEV.P(IF(Table1[IndicatorCode]=Table1[[#This Row],[IndicatorCode]],Table1[value]))</f>
        <v>6.3409496564024987</v>
      </c>
      <c r="J7689">
        <f>(Table1[[#This Row],[value]] - Table1[[#This Row],[mean]]) / Table1[[#This Row],[std_dev]]</f>
        <v>0.36821927949476574</v>
      </c>
      <c r="K7689">
        <f>AVERAGEIF(Table1[CountryCode],Table1[[#This Row],[CountryCode]],Table1[z-score])</f>
        <v>-0.44941710005999458</v>
      </c>
      <c r="L7689" t="e">
        <f>VLOOKUP(Table1[[#This Row],[CountryCode]],[1]!Table1[#All],1,FALSE)</f>
        <v>#REF!</v>
      </c>
    </row>
    <row r="7690" spans="1:12" hidden="1" x14ac:dyDescent="0.3">
      <c r="A7690" t="s">
        <v>23</v>
      </c>
      <c r="B7690" t="s">
        <v>24</v>
      </c>
      <c r="C7690" t="s">
        <v>129</v>
      </c>
      <c r="D7690" t="s">
        <v>130</v>
      </c>
      <c r="E7690">
        <v>2001</v>
      </c>
      <c r="F7690" s="1">
        <v>76</v>
      </c>
      <c r="G7690">
        <v>2000</v>
      </c>
      <c r="H7690">
        <f>AVERAGEIFS(Table1[value],Table1[IndicatorCode],Table1[[#This Row],[IndicatorCode]])</f>
        <v>72.66514008620689</v>
      </c>
      <c r="I7690" cm="1">
        <f t="array" ref="I7690">_xlfn.STDEV.P(IF(Table1[IndicatorCode]=Table1[[#This Row],[IndicatorCode]],Table1[value]))</f>
        <v>6.3409496564024987</v>
      </c>
      <c r="J7690">
        <f>(Table1[[#This Row],[value]] - Table1[[#This Row],[mean]]) / Table1[[#This Row],[std_dev]]</f>
        <v>0.52592436377820473</v>
      </c>
      <c r="K7690">
        <f>AVERAGEIF(Table1[CountryCode],Table1[[#This Row],[CountryCode]],Table1[z-score])</f>
        <v>-0.44941710005999458</v>
      </c>
      <c r="L7690" t="e">
        <f>VLOOKUP(Table1[[#This Row],[CountryCode]],[1]!Table1[#All],1,FALSE)</f>
        <v>#REF!</v>
      </c>
    </row>
    <row r="7691" spans="1:12" hidden="1" x14ac:dyDescent="0.3">
      <c r="A7691" t="s">
        <v>23</v>
      </c>
      <c r="B7691" t="s">
        <v>24</v>
      </c>
      <c r="C7691" t="s">
        <v>129</v>
      </c>
      <c r="D7691" t="s">
        <v>130</v>
      </c>
      <c r="E7691">
        <v>2002</v>
      </c>
      <c r="F7691" s="1">
        <v>76</v>
      </c>
      <c r="G7691">
        <v>2000</v>
      </c>
      <c r="H7691">
        <f>AVERAGEIFS(Table1[value],Table1[IndicatorCode],Table1[[#This Row],[IndicatorCode]])</f>
        <v>72.66514008620689</v>
      </c>
      <c r="I7691" cm="1">
        <f t="array" ref="I7691">_xlfn.STDEV.P(IF(Table1[IndicatorCode]=Table1[[#This Row],[IndicatorCode]],Table1[value]))</f>
        <v>6.3409496564024987</v>
      </c>
      <c r="J7691">
        <f>(Table1[[#This Row],[value]] - Table1[[#This Row],[mean]]) / Table1[[#This Row],[std_dev]]</f>
        <v>0.52592436377820473</v>
      </c>
      <c r="K7691">
        <f>AVERAGEIF(Table1[CountryCode],Table1[[#This Row],[CountryCode]],Table1[z-score])</f>
        <v>-0.44941710005999458</v>
      </c>
      <c r="L7691" t="e">
        <f>VLOOKUP(Table1[[#This Row],[CountryCode]],[1]!Table1[#All],1,FALSE)</f>
        <v>#REF!</v>
      </c>
    </row>
    <row r="7692" spans="1:12" hidden="1" x14ac:dyDescent="0.3">
      <c r="A7692" t="s">
        <v>23</v>
      </c>
      <c r="B7692" t="s">
        <v>24</v>
      </c>
      <c r="C7692" t="s">
        <v>129</v>
      </c>
      <c r="D7692" t="s">
        <v>130</v>
      </c>
      <c r="E7692">
        <v>2003</v>
      </c>
      <c r="F7692" s="1">
        <v>76</v>
      </c>
      <c r="G7692">
        <v>2000</v>
      </c>
      <c r="H7692">
        <f>AVERAGEIFS(Table1[value],Table1[IndicatorCode],Table1[[#This Row],[IndicatorCode]])</f>
        <v>72.66514008620689</v>
      </c>
      <c r="I7692" cm="1">
        <f t="array" ref="I7692">_xlfn.STDEV.P(IF(Table1[IndicatorCode]=Table1[[#This Row],[IndicatorCode]],Table1[value]))</f>
        <v>6.3409496564024987</v>
      </c>
      <c r="J7692">
        <f>(Table1[[#This Row],[value]] - Table1[[#This Row],[mean]]) / Table1[[#This Row],[std_dev]]</f>
        <v>0.52592436377820473</v>
      </c>
      <c r="K7692">
        <f>AVERAGEIF(Table1[CountryCode],Table1[[#This Row],[CountryCode]],Table1[z-score])</f>
        <v>-0.44941710005999458</v>
      </c>
      <c r="L7692" t="e">
        <f>VLOOKUP(Table1[[#This Row],[CountryCode]],[1]!Table1[#All],1,FALSE)</f>
        <v>#REF!</v>
      </c>
    </row>
    <row r="7693" spans="1:12" hidden="1" x14ac:dyDescent="0.3">
      <c r="A7693" t="s">
        <v>23</v>
      </c>
      <c r="B7693" t="s">
        <v>24</v>
      </c>
      <c r="C7693" t="s">
        <v>129</v>
      </c>
      <c r="D7693" t="s">
        <v>130</v>
      </c>
      <c r="E7693">
        <v>2004</v>
      </c>
      <c r="F7693" s="1">
        <v>76</v>
      </c>
      <c r="G7693">
        <v>2000</v>
      </c>
      <c r="H7693">
        <f>AVERAGEIFS(Table1[value],Table1[IndicatorCode],Table1[[#This Row],[IndicatorCode]])</f>
        <v>72.66514008620689</v>
      </c>
      <c r="I7693" cm="1">
        <f t="array" ref="I7693">_xlfn.STDEV.P(IF(Table1[IndicatorCode]=Table1[[#This Row],[IndicatorCode]],Table1[value]))</f>
        <v>6.3409496564024987</v>
      </c>
      <c r="J7693">
        <f>(Table1[[#This Row],[value]] - Table1[[#This Row],[mean]]) / Table1[[#This Row],[std_dev]]</f>
        <v>0.52592436377820473</v>
      </c>
      <c r="K7693">
        <f>AVERAGEIF(Table1[CountryCode],Table1[[#This Row],[CountryCode]],Table1[z-score])</f>
        <v>-0.44941710005999458</v>
      </c>
      <c r="L7693" t="e">
        <f>VLOOKUP(Table1[[#This Row],[CountryCode]],[1]!Table1[#All],1,FALSE)</f>
        <v>#REF!</v>
      </c>
    </row>
    <row r="7694" spans="1:12" hidden="1" x14ac:dyDescent="0.3">
      <c r="A7694" t="s">
        <v>23</v>
      </c>
      <c r="B7694" t="s">
        <v>24</v>
      </c>
      <c r="C7694" t="s">
        <v>129</v>
      </c>
      <c r="D7694" t="s">
        <v>130</v>
      </c>
      <c r="E7694">
        <v>2005</v>
      </c>
      <c r="F7694" s="1">
        <v>76</v>
      </c>
      <c r="G7694">
        <v>2000</v>
      </c>
      <c r="H7694">
        <f>AVERAGEIFS(Table1[value],Table1[IndicatorCode],Table1[[#This Row],[IndicatorCode]])</f>
        <v>72.66514008620689</v>
      </c>
      <c r="I7694" cm="1">
        <f t="array" ref="I7694">_xlfn.STDEV.P(IF(Table1[IndicatorCode]=Table1[[#This Row],[IndicatorCode]],Table1[value]))</f>
        <v>6.3409496564024987</v>
      </c>
      <c r="J7694">
        <f>(Table1[[#This Row],[value]] - Table1[[#This Row],[mean]]) / Table1[[#This Row],[std_dev]]</f>
        <v>0.52592436377820473</v>
      </c>
      <c r="K7694">
        <f>AVERAGEIF(Table1[CountryCode],Table1[[#This Row],[CountryCode]],Table1[z-score])</f>
        <v>-0.44941710005999458</v>
      </c>
      <c r="L7694" t="e">
        <f>VLOOKUP(Table1[[#This Row],[CountryCode]],[1]!Table1[#All],1,FALSE)</f>
        <v>#REF!</v>
      </c>
    </row>
    <row r="7695" spans="1:12" hidden="1" x14ac:dyDescent="0.3">
      <c r="A7695" t="s">
        <v>23</v>
      </c>
      <c r="B7695" t="s">
        <v>24</v>
      </c>
      <c r="C7695" t="s">
        <v>129</v>
      </c>
      <c r="D7695" t="s">
        <v>130</v>
      </c>
      <c r="E7695">
        <v>2006</v>
      </c>
      <c r="F7695" s="1">
        <v>76</v>
      </c>
      <c r="G7695">
        <v>2000</v>
      </c>
      <c r="H7695">
        <f>AVERAGEIFS(Table1[value],Table1[IndicatorCode],Table1[[#This Row],[IndicatorCode]])</f>
        <v>72.66514008620689</v>
      </c>
      <c r="I7695" cm="1">
        <f t="array" ref="I7695">_xlfn.STDEV.P(IF(Table1[IndicatorCode]=Table1[[#This Row],[IndicatorCode]],Table1[value]))</f>
        <v>6.3409496564024987</v>
      </c>
      <c r="J7695">
        <f>(Table1[[#This Row],[value]] - Table1[[#This Row],[mean]]) / Table1[[#This Row],[std_dev]]</f>
        <v>0.52592436377820473</v>
      </c>
      <c r="K7695">
        <f>AVERAGEIF(Table1[CountryCode],Table1[[#This Row],[CountryCode]],Table1[z-score])</f>
        <v>-0.44941710005999458</v>
      </c>
      <c r="L7695" t="e">
        <f>VLOOKUP(Table1[[#This Row],[CountryCode]],[1]!Table1[#All],1,FALSE)</f>
        <v>#REF!</v>
      </c>
    </row>
    <row r="7696" spans="1:12" hidden="1" x14ac:dyDescent="0.3">
      <c r="A7696" t="s">
        <v>23</v>
      </c>
      <c r="B7696" t="s">
        <v>24</v>
      </c>
      <c r="C7696" t="s">
        <v>129</v>
      </c>
      <c r="D7696" t="s">
        <v>130</v>
      </c>
      <c r="E7696">
        <v>2007</v>
      </c>
      <c r="F7696" s="1">
        <v>76</v>
      </c>
      <c r="G7696">
        <v>2010</v>
      </c>
      <c r="H7696">
        <f>AVERAGEIFS(Table1[value],Table1[IndicatorCode],Table1[[#This Row],[IndicatorCode]])</f>
        <v>72.66514008620689</v>
      </c>
      <c r="I7696" cm="1">
        <f t="array" ref="I7696">_xlfn.STDEV.P(IF(Table1[IndicatorCode]=Table1[[#This Row],[IndicatorCode]],Table1[value]))</f>
        <v>6.3409496564024987</v>
      </c>
      <c r="J7696">
        <f>(Table1[[#This Row],[value]] - Table1[[#This Row],[mean]]) / Table1[[#This Row],[std_dev]]</f>
        <v>0.52592436377820473</v>
      </c>
      <c r="K7696">
        <f>AVERAGEIF(Table1[CountryCode],Table1[[#This Row],[CountryCode]],Table1[z-score])</f>
        <v>-0.44941710005999458</v>
      </c>
      <c r="L7696" t="e">
        <f>VLOOKUP(Table1[[#This Row],[CountryCode]],[1]!Table1[#All],1,FALSE)</f>
        <v>#REF!</v>
      </c>
    </row>
    <row r="7697" spans="1:12" hidden="1" x14ac:dyDescent="0.3">
      <c r="A7697" t="s">
        <v>23</v>
      </c>
      <c r="B7697" t="s">
        <v>24</v>
      </c>
      <c r="C7697" t="s">
        <v>129</v>
      </c>
      <c r="D7697" t="s">
        <v>130</v>
      </c>
      <c r="E7697">
        <v>2008</v>
      </c>
      <c r="F7697" s="1">
        <v>76</v>
      </c>
      <c r="G7697">
        <v>2010</v>
      </c>
      <c r="H7697">
        <f>AVERAGEIFS(Table1[value],Table1[IndicatorCode],Table1[[#This Row],[IndicatorCode]])</f>
        <v>72.66514008620689</v>
      </c>
      <c r="I7697" cm="1">
        <f t="array" ref="I7697">_xlfn.STDEV.P(IF(Table1[IndicatorCode]=Table1[[#This Row],[IndicatorCode]],Table1[value]))</f>
        <v>6.3409496564024987</v>
      </c>
      <c r="J7697">
        <f>(Table1[[#This Row],[value]] - Table1[[#This Row],[mean]]) / Table1[[#This Row],[std_dev]]</f>
        <v>0.52592436377820473</v>
      </c>
      <c r="K7697">
        <f>AVERAGEIF(Table1[CountryCode],Table1[[#This Row],[CountryCode]],Table1[z-score])</f>
        <v>-0.44941710005999458</v>
      </c>
      <c r="L7697" t="e">
        <f>VLOOKUP(Table1[[#This Row],[CountryCode]],[1]!Table1[#All],1,FALSE)</f>
        <v>#REF!</v>
      </c>
    </row>
    <row r="7698" spans="1:12" hidden="1" x14ac:dyDescent="0.3">
      <c r="A7698" t="s">
        <v>23</v>
      </c>
      <c r="B7698" t="s">
        <v>24</v>
      </c>
      <c r="C7698" t="s">
        <v>129</v>
      </c>
      <c r="D7698" t="s">
        <v>130</v>
      </c>
      <c r="E7698">
        <v>2009</v>
      </c>
      <c r="F7698" s="1">
        <v>77</v>
      </c>
      <c r="G7698">
        <v>2010</v>
      </c>
      <c r="H7698">
        <f>AVERAGEIFS(Table1[value],Table1[IndicatorCode],Table1[[#This Row],[IndicatorCode]])</f>
        <v>72.66514008620689</v>
      </c>
      <c r="I7698" cm="1">
        <f t="array" ref="I7698">_xlfn.STDEV.P(IF(Table1[IndicatorCode]=Table1[[#This Row],[IndicatorCode]],Table1[value]))</f>
        <v>6.3409496564024987</v>
      </c>
      <c r="J7698">
        <f>(Table1[[#This Row],[value]] - Table1[[#This Row],[mean]]) / Table1[[#This Row],[std_dev]]</f>
        <v>0.68362944806164383</v>
      </c>
      <c r="K7698">
        <f>AVERAGEIF(Table1[CountryCode],Table1[[#This Row],[CountryCode]],Table1[z-score])</f>
        <v>-0.44941710005999458</v>
      </c>
      <c r="L7698" t="e">
        <f>VLOOKUP(Table1[[#This Row],[CountryCode]],[1]!Table1[#All],1,FALSE)</f>
        <v>#REF!</v>
      </c>
    </row>
    <row r="7699" spans="1:12" hidden="1" x14ac:dyDescent="0.3">
      <c r="A7699" t="s">
        <v>23</v>
      </c>
      <c r="B7699" t="s">
        <v>24</v>
      </c>
      <c r="C7699" t="s">
        <v>129</v>
      </c>
      <c r="D7699" t="s">
        <v>130</v>
      </c>
      <c r="E7699">
        <v>2010</v>
      </c>
      <c r="F7699" s="1">
        <v>77</v>
      </c>
      <c r="G7699">
        <v>2010</v>
      </c>
      <c r="H7699">
        <f>AVERAGEIFS(Table1[value],Table1[IndicatorCode],Table1[[#This Row],[IndicatorCode]])</f>
        <v>72.66514008620689</v>
      </c>
      <c r="I7699" cm="1">
        <f t="array" ref="I7699">_xlfn.STDEV.P(IF(Table1[IndicatorCode]=Table1[[#This Row],[IndicatorCode]],Table1[value]))</f>
        <v>6.3409496564024987</v>
      </c>
      <c r="J7699">
        <f>(Table1[[#This Row],[value]] - Table1[[#This Row],[mean]]) / Table1[[#This Row],[std_dev]]</f>
        <v>0.68362944806164383</v>
      </c>
      <c r="K7699">
        <f>AVERAGEIF(Table1[CountryCode],Table1[[#This Row],[CountryCode]],Table1[z-score])</f>
        <v>-0.44941710005999458</v>
      </c>
      <c r="L7699" t="e">
        <f>VLOOKUP(Table1[[#This Row],[CountryCode]],[1]!Table1[#All],1,FALSE)</f>
        <v>#REF!</v>
      </c>
    </row>
    <row r="7700" spans="1:12" hidden="1" x14ac:dyDescent="0.3">
      <c r="A7700" t="s">
        <v>23</v>
      </c>
      <c r="B7700" t="s">
        <v>24</v>
      </c>
      <c r="C7700" t="s">
        <v>129</v>
      </c>
      <c r="D7700" t="s">
        <v>130</v>
      </c>
      <c r="E7700">
        <v>2011</v>
      </c>
      <c r="F7700" s="1">
        <v>77</v>
      </c>
      <c r="G7700">
        <v>2010</v>
      </c>
      <c r="H7700">
        <f>AVERAGEIFS(Table1[value],Table1[IndicatorCode],Table1[[#This Row],[IndicatorCode]])</f>
        <v>72.66514008620689</v>
      </c>
      <c r="I7700" cm="1">
        <f t="array" ref="I7700">_xlfn.STDEV.P(IF(Table1[IndicatorCode]=Table1[[#This Row],[IndicatorCode]],Table1[value]))</f>
        <v>6.3409496564024987</v>
      </c>
      <c r="J7700">
        <f>(Table1[[#This Row],[value]] - Table1[[#This Row],[mean]]) / Table1[[#This Row],[std_dev]]</f>
        <v>0.68362944806164383</v>
      </c>
      <c r="K7700">
        <f>AVERAGEIF(Table1[CountryCode],Table1[[#This Row],[CountryCode]],Table1[z-score])</f>
        <v>-0.44941710005999458</v>
      </c>
      <c r="L7700" t="e">
        <f>VLOOKUP(Table1[[#This Row],[CountryCode]],[1]!Table1[#All],1,FALSE)</f>
        <v>#REF!</v>
      </c>
    </row>
    <row r="7701" spans="1:12" hidden="1" x14ac:dyDescent="0.3">
      <c r="A7701" t="s">
        <v>23</v>
      </c>
      <c r="B7701" t="s">
        <v>24</v>
      </c>
      <c r="C7701" t="s">
        <v>129</v>
      </c>
      <c r="D7701" t="s">
        <v>130</v>
      </c>
      <c r="E7701">
        <v>2012</v>
      </c>
      <c r="F7701" s="1">
        <v>77</v>
      </c>
      <c r="G7701">
        <v>2010</v>
      </c>
      <c r="H7701">
        <f>AVERAGEIFS(Table1[value],Table1[IndicatorCode],Table1[[#This Row],[IndicatorCode]])</f>
        <v>72.66514008620689</v>
      </c>
      <c r="I7701" cm="1">
        <f t="array" ref="I7701">_xlfn.STDEV.P(IF(Table1[IndicatorCode]=Table1[[#This Row],[IndicatorCode]],Table1[value]))</f>
        <v>6.3409496564024987</v>
      </c>
      <c r="J7701">
        <f>(Table1[[#This Row],[value]] - Table1[[#This Row],[mean]]) / Table1[[#This Row],[std_dev]]</f>
        <v>0.68362944806164383</v>
      </c>
      <c r="K7701">
        <f>AVERAGEIF(Table1[CountryCode],Table1[[#This Row],[CountryCode]],Table1[z-score])</f>
        <v>-0.44941710005999458</v>
      </c>
      <c r="L7701" t="e">
        <f>VLOOKUP(Table1[[#This Row],[CountryCode]],[1]!Table1[#All],1,FALSE)</f>
        <v>#REF!</v>
      </c>
    </row>
    <row r="7702" spans="1:12" hidden="1" x14ac:dyDescent="0.3">
      <c r="A7702" t="s">
        <v>23</v>
      </c>
      <c r="B7702" t="s">
        <v>24</v>
      </c>
      <c r="C7702" t="s">
        <v>129</v>
      </c>
      <c r="D7702" t="s">
        <v>130</v>
      </c>
      <c r="E7702">
        <v>2013</v>
      </c>
      <c r="F7702" s="1">
        <v>77</v>
      </c>
      <c r="G7702">
        <v>2010</v>
      </c>
      <c r="H7702">
        <f>AVERAGEIFS(Table1[value],Table1[IndicatorCode],Table1[[#This Row],[IndicatorCode]])</f>
        <v>72.66514008620689</v>
      </c>
      <c r="I7702" cm="1">
        <f t="array" ref="I7702">_xlfn.STDEV.P(IF(Table1[IndicatorCode]=Table1[[#This Row],[IndicatorCode]],Table1[value]))</f>
        <v>6.3409496564024987</v>
      </c>
      <c r="J7702">
        <f>(Table1[[#This Row],[value]] - Table1[[#This Row],[mean]]) / Table1[[#This Row],[std_dev]]</f>
        <v>0.68362944806164383</v>
      </c>
      <c r="K7702">
        <f>AVERAGEIF(Table1[CountryCode],Table1[[#This Row],[CountryCode]],Table1[z-score])</f>
        <v>-0.44941710005999458</v>
      </c>
      <c r="L7702" t="e">
        <f>VLOOKUP(Table1[[#This Row],[CountryCode]],[1]!Table1[#All],1,FALSE)</f>
        <v>#REF!</v>
      </c>
    </row>
    <row r="7703" spans="1:12" hidden="1" x14ac:dyDescent="0.3">
      <c r="A7703" t="s">
        <v>23</v>
      </c>
      <c r="B7703" t="s">
        <v>24</v>
      </c>
      <c r="C7703" t="s">
        <v>129</v>
      </c>
      <c r="D7703" t="s">
        <v>130</v>
      </c>
      <c r="E7703">
        <v>2014</v>
      </c>
      <c r="F7703" s="1">
        <v>77</v>
      </c>
      <c r="G7703">
        <v>2010</v>
      </c>
      <c r="H7703">
        <f>AVERAGEIFS(Table1[value],Table1[IndicatorCode],Table1[[#This Row],[IndicatorCode]])</f>
        <v>72.66514008620689</v>
      </c>
      <c r="I7703" cm="1">
        <f t="array" ref="I7703">_xlfn.STDEV.P(IF(Table1[IndicatorCode]=Table1[[#This Row],[IndicatorCode]],Table1[value]))</f>
        <v>6.3409496564024987</v>
      </c>
      <c r="J7703">
        <f>(Table1[[#This Row],[value]] - Table1[[#This Row],[mean]]) / Table1[[#This Row],[std_dev]]</f>
        <v>0.68362944806164383</v>
      </c>
      <c r="K7703">
        <f>AVERAGEIF(Table1[CountryCode],Table1[[#This Row],[CountryCode]],Table1[z-score])</f>
        <v>-0.44941710005999458</v>
      </c>
      <c r="L7703" t="e">
        <f>VLOOKUP(Table1[[#This Row],[CountryCode]],[1]!Table1[#All],1,FALSE)</f>
        <v>#REF!</v>
      </c>
    </row>
    <row r="7704" spans="1:12" hidden="1" x14ac:dyDescent="0.3">
      <c r="A7704" t="s">
        <v>23</v>
      </c>
      <c r="B7704" t="s">
        <v>24</v>
      </c>
      <c r="C7704" t="s">
        <v>129</v>
      </c>
      <c r="D7704" t="s">
        <v>130</v>
      </c>
      <c r="E7704">
        <v>2015</v>
      </c>
      <c r="F7704" s="1">
        <v>77</v>
      </c>
      <c r="G7704">
        <v>2010</v>
      </c>
      <c r="H7704">
        <f>AVERAGEIFS(Table1[value],Table1[IndicatorCode],Table1[[#This Row],[IndicatorCode]])</f>
        <v>72.66514008620689</v>
      </c>
      <c r="I7704" cm="1">
        <f t="array" ref="I7704">_xlfn.STDEV.P(IF(Table1[IndicatorCode]=Table1[[#This Row],[IndicatorCode]],Table1[value]))</f>
        <v>6.3409496564024987</v>
      </c>
      <c r="J7704">
        <f>(Table1[[#This Row],[value]] - Table1[[#This Row],[mean]]) / Table1[[#This Row],[std_dev]]</f>
        <v>0.68362944806164383</v>
      </c>
      <c r="K7704">
        <f>AVERAGEIF(Table1[CountryCode],Table1[[#This Row],[CountryCode]],Table1[z-score])</f>
        <v>-0.44941710005999458</v>
      </c>
      <c r="L7704" t="e">
        <f>VLOOKUP(Table1[[#This Row],[CountryCode]],[1]!Table1[#All],1,FALSE)</f>
        <v>#REF!</v>
      </c>
    </row>
    <row r="7705" spans="1:12" hidden="1" x14ac:dyDescent="0.3">
      <c r="A7705" t="s">
        <v>23</v>
      </c>
      <c r="B7705" t="s">
        <v>24</v>
      </c>
      <c r="C7705" t="s">
        <v>129</v>
      </c>
      <c r="D7705" t="s">
        <v>130</v>
      </c>
      <c r="E7705">
        <v>2016</v>
      </c>
      <c r="F7705" s="1">
        <v>77</v>
      </c>
      <c r="G7705">
        <v>2010</v>
      </c>
      <c r="H7705">
        <f>AVERAGEIFS(Table1[value],Table1[IndicatorCode],Table1[[#This Row],[IndicatorCode]])</f>
        <v>72.66514008620689</v>
      </c>
      <c r="I7705" cm="1">
        <f t="array" ref="I7705">_xlfn.STDEV.P(IF(Table1[IndicatorCode]=Table1[[#This Row],[IndicatorCode]],Table1[value]))</f>
        <v>6.3409496564024987</v>
      </c>
      <c r="J7705">
        <f>(Table1[[#This Row],[value]] - Table1[[#This Row],[mean]]) / Table1[[#This Row],[std_dev]]</f>
        <v>0.68362944806164383</v>
      </c>
      <c r="K7705">
        <f>AVERAGEIF(Table1[CountryCode],Table1[[#This Row],[CountryCode]],Table1[z-score])</f>
        <v>-0.44941710005999458</v>
      </c>
      <c r="L7705" t="e">
        <f>VLOOKUP(Table1[[#This Row],[CountryCode]],[1]!Table1[#All],1,FALSE)</f>
        <v>#REF!</v>
      </c>
    </row>
    <row r="7706" spans="1:12" hidden="1" x14ac:dyDescent="0.3">
      <c r="A7706" t="s">
        <v>23</v>
      </c>
      <c r="B7706" t="s">
        <v>24</v>
      </c>
      <c r="C7706" t="s">
        <v>129</v>
      </c>
      <c r="D7706" t="s">
        <v>130</v>
      </c>
      <c r="E7706">
        <v>2017</v>
      </c>
      <c r="F7706" s="1">
        <v>77</v>
      </c>
      <c r="G7706">
        <v>2020</v>
      </c>
      <c r="H7706">
        <f>AVERAGEIFS(Table1[value],Table1[IndicatorCode],Table1[[#This Row],[IndicatorCode]])</f>
        <v>72.66514008620689</v>
      </c>
      <c r="I7706" cm="1">
        <f t="array" ref="I7706">_xlfn.STDEV.P(IF(Table1[IndicatorCode]=Table1[[#This Row],[IndicatorCode]],Table1[value]))</f>
        <v>6.3409496564024987</v>
      </c>
      <c r="J7706">
        <f>(Table1[[#This Row],[value]] - Table1[[#This Row],[mean]]) / Table1[[#This Row],[std_dev]]</f>
        <v>0.68362944806164383</v>
      </c>
      <c r="K7706">
        <f>AVERAGEIF(Table1[CountryCode],Table1[[#This Row],[CountryCode]],Table1[z-score])</f>
        <v>-0.44941710005999458</v>
      </c>
      <c r="L7706" t="e">
        <f>VLOOKUP(Table1[[#This Row],[CountryCode]],[1]!Table1[#All],1,FALSE)</f>
        <v>#REF!</v>
      </c>
    </row>
    <row r="7707" spans="1:12" hidden="1" x14ac:dyDescent="0.3">
      <c r="A7707" t="s">
        <v>23</v>
      </c>
      <c r="B7707" t="s">
        <v>24</v>
      </c>
      <c r="C7707" t="s">
        <v>129</v>
      </c>
      <c r="D7707" t="s">
        <v>130</v>
      </c>
      <c r="E7707">
        <v>2018</v>
      </c>
      <c r="F7707" s="1">
        <v>78</v>
      </c>
      <c r="G7707">
        <v>2020</v>
      </c>
      <c r="H7707">
        <f>AVERAGEIFS(Table1[value],Table1[IndicatorCode],Table1[[#This Row],[IndicatorCode]])</f>
        <v>72.66514008620689</v>
      </c>
      <c r="I7707" cm="1">
        <f t="array" ref="I7707">_xlfn.STDEV.P(IF(Table1[IndicatorCode]=Table1[[#This Row],[IndicatorCode]],Table1[value]))</f>
        <v>6.3409496564024987</v>
      </c>
      <c r="J7707">
        <f>(Table1[[#This Row],[value]] - Table1[[#This Row],[mean]]) / Table1[[#This Row],[std_dev]]</f>
        <v>0.84133453234508293</v>
      </c>
      <c r="K7707">
        <f>AVERAGEIF(Table1[CountryCode],Table1[[#This Row],[CountryCode]],Table1[z-score])</f>
        <v>-0.44941710005999458</v>
      </c>
      <c r="L7707" t="e">
        <f>VLOOKUP(Table1[[#This Row],[CountryCode]],[1]!Table1[#All],1,FALSE)</f>
        <v>#REF!</v>
      </c>
    </row>
    <row r="7708" spans="1:12" hidden="1" x14ac:dyDescent="0.3">
      <c r="A7708" t="s">
        <v>23</v>
      </c>
      <c r="B7708" t="s">
        <v>24</v>
      </c>
      <c r="C7708" t="s">
        <v>129</v>
      </c>
      <c r="D7708" t="s">
        <v>130</v>
      </c>
      <c r="E7708">
        <v>2019</v>
      </c>
      <c r="F7708" s="1">
        <v>77</v>
      </c>
      <c r="G7708">
        <v>2020</v>
      </c>
      <c r="H7708">
        <f>AVERAGEIFS(Table1[value],Table1[IndicatorCode],Table1[[#This Row],[IndicatorCode]])</f>
        <v>72.66514008620689</v>
      </c>
      <c r="I7708" cm="1">
        <f t="array" ref="I7708">_xlfn.STDEV.P(IF(Table1[IndicatorCode]=Table1[[#This Row],[IndicatorCode]],Table1[value]))</f>
        <v>6.3409496564024987</v>
      </c>
      <c r="J7708">
        <f>(Table1[[#This Row],[value]] - Table1[[#This Row],[mean]]) / Table1[[#This Row],[std_dev]]</f>
        <v>0.68362944806164383</v>
      </c>
      <c r="K7708">
        <f>AVERAGEIF(Table1[CountryCode],Table1[[#This Row],[CountryCode]],Table1[z-score])</f>
        <v>-0.44941710005999458</v>
      </c>
      <c r="L7708" t="e">
        <f>VLOOKUP(Table1[[#This Row],[CountryCode]],[1]!Table1[#All],1,FALSE)</f>
        <v>#REF!</v>
      </c>
    </row>
    <row r="7709" spans="1:12" x14ac:dyDescent="0.3">
      <c r="A7709" t="s">
        <v>23</v>
      </c>
      <c r="B7709" t="s">
        <v>24</v>
      </c>
      <c r="C7709" t="s">
        <v>129</v>
      </c>
      <c r="D7709" t="s">
        <v>130</v>
      </c>
      <c r="E7709">
        <v>2020</v>
      </c>
      <c r="F7709" s="1">
        <v>76</v>
      </c>
      <c r="G7709">
        <v>2020</v>
      </c>
      <c r="H7709">
        <f>AVERAGEIFS(Table1[value],Table1[IndicatorCode],Table1[[#This Row],[IndicatorCode]])</f>
        <v>72.66514008620689</v>
      </c>
      <c r="I7709" cm="1">
        <f t="array" ref="I7709">_xlfn.STDEV.P(IF(Table1[IndicatorCode]=Table1[[#This Row],[IndicatorCode]],Table1[value]))</f>
        <v>6.3409496564024987</v>
      </c>
      <c r="J7709">
        <f>(Table1[[#This Row],[value]] - Table1[[#This Row],[mean]]) / Table1[[#This Row],[std_dev]]</f>
        <v>0.52592436377820473</v>
      </c>
      <c r="K7709">
        <f>AVERAGEIF(Table1[CountryCode],Table1[[#This Row],[CountryCode]],Table1[z-score])</f>
        <v>-0.44941710005999458</v>
      </c>
    </row>
    <row r="7710" spans="1:12" hidden="1" x14ac:dyDescent="0.3">
      <c r="A7710" t="s">
        <v>23</v>
      </c>
      <c r="B7710" t="s">
        <v>24</v>
      </c>
      <c r="C7710" t="s">
        <v>129</v>
      </c>
      <c r="D7710" t="s">
        <v>130</v>
      </c>
      <c r="E7710">
        <v>2021</v>
      </c>
      <c r="F7710" s="1">
        <v>75</v>
      </c>
      <c r="G7710">
        <v>1960</v>
      </c>
      <c r="H7710">
        <f>AVERAGEIFS(Table1[value],Table1[IndicatorCode],Table1[[#This Row],[IndicatorCode]])</f>
        <v>72.66514008620689</v>
      </c>
      <c r="I7710" cm="1">
        <f t="array" ref="I7710">_xlfn.STDEV.P(IF(Table1[IndicatorCode]=Table1[[#This Row],[IndicatorCode]],Table1[value]))</f>
        <v>6.3409496564024987</v>
      </c>
      <c r="J7710">
        <f>(Table1[[#This Row],[value]] - Table1[[#This Row],[mean]]) / Table1[[#This Row],[std_dev]]</f>
        <v>0.36821927949476574</v>
      </c>
      <c r="K7710">
        <f>AVERAGEIF(Table1[CountryCode],Table1[[#This Row],[CountryCode]],Table1[z-score])</f>
        <v>-0.44941710005999458</v>
      </c>
      <c r="L7710" t="e">
        <f>VLOOKUP(Table1[[#This Row],[CountryCode]],[1]!Table1[#All],1,FALSE)</f>
        <v>#REF!</v>
      </c>
    </row>
    <row r="7711" spans="1:12" hidden="1" x14ac:dyDescent="0.3">
      <c r="A7711" t="s">
        <v>23</v>
      </c>
      <c r="B7711" t="s">
        <v>24</v>
      </c>
      <c r="C7711" t="s">
        <v>129</v>
      </c>
      <c r="D7711" t="s">
        <v>130</v>
      </c>
      <c r="E7711">
        <v>2022</v>
      </c>
      <c r="F7711" s="1">
        <v>77</v>
      </c>
      <c r="G7711">
        <v>1960</v>
      </c>
      <c r="H7711">
        <f>AVERAGEIFS(Table1[value],Table1[IndicatorCode],Table1[[#This Row],[IndicatorCode]])</f>
        <v>72.66514008620689</v>
      </c>
      <c r="I7711" cm="1">
        <f t="array" ref="I7711">_xlfn.STDEV.P(IF(Table1[IndicatorCode]=Table1[[#This Row],[IndicatorCode]],Table1[value]))</f>
        <v>6.3409496564024987</v>
      </c>
      <c r="J7711">
        <f>(Table1[[#This Row],[value]] - Table1[[#This Row],[mean]]) / Table1[[#This Row],[std_dev]]</f>
        <v>0.68362944806164383</v>
      </c>
      <c r="K7711">
        <f>AVERAGEIF(Table1[CountryCode],Table1[[#This Row],[CountryCode]],Table1[z-score])</f>
        <v>-0.44941710005999458</v>
      </c>
      <c r="L7711" t="e">
        <f>VLOOKUP(Table1[[#This Row],[CountryCode]],[1]!Table1[#All],1,FALSE)</f>
        <v>#REF!</v>
      </c>
    </row>
    <row r="7712" spans="1:12" hidden="1" x14ac:dyDescent="0.3">
      <c r="A7712" t="s">
        <v>23</v>
      </c>
      <c r="B7712" t="s">
        <v>24</v>
      </c>
      <c r="C7712" t="s">
        <v>129</v>
      </c>
      <c r="D7712" t="s">
        <v>130</v>
      </c>
      <c r="E7712">
        <v>2023</v>
      </c>
      <c r="F7712" s="1">
        <v>78</v>
      </c>
      <c r="G7712">
        <v>1960</v>
      </c>
      <c r="H7712">
        <f>AVERAGEIFS(Table1[value],Table1[IndicatorCode],Table1[[#This Row],[IndicatorCode]])</f>
        <v>72.66514008620689</v>
      </c>
      <c r="I7712" cm="1">
        <f t="array" ref="I7712">_xlfn.STDEV.P(IF(Table1[IndicatorCode]=Table1[[#This Row],[IndicatorCode]],Table1[value]))</f>
        <v>6.3409496564024987</v>
      </c>
      <c r="J7712">
        <f>(Table1[[#This Row],[value]] - Table1[[#This Row],[mean]]) / Table1[[#This Row],[std_dev]]</f>
        <v>0.84133453234508293</v>
      </c>
      <c r="K7712">
        <f>AVERAGEIF(Table1[CountryCode],Table1[[#This Row],[CountryCode]],Table1[z-score])</f>
        <v>-0.44941710005999458</v>
      </c>
      <c r="L7712" t="e">
        <f>VLOOKUP(Table1[[#This Row],[CountryCode]],[1]!Table1[#All],1,FALSE)</f>
        <v>#REF!</v>
      </c>
    </row>
    <row r="7713" spans="1:12" hidden="1" x14ac:dyDescent="0.3">
      <c r="A7713" t="s">
        <v>25</v>
      </c>
      <c r="B7713" t="s">
        <v>26</v>
      </c>
      <c r="C7713" t="s">
        <v>129</v>
      </c>
      <c r="D7713" t="s">
        <v>130</v>
      </c>
      <c r="E7713">
        <v>1960</v>
      </c>
      <c r="F7713" s="1">
        <v>69</v>
      </c>
      <c r="G7713">
        <v>1960</v>
      </c>
      <c r="H7713">
        <f>AVERAGEIFS(Table1[value],Table1[IndicatorCode],Table1[[#This Row],[IndicatorCode]])</f>
        <v>72.66514008620689</v>
      </c>
      <c r="I7713" cm="1">
        <f t="array" ref="I7713">_xlfn.STDEV.P(IF(Table1[IndicatorCode]=Table1[[#This Row],[IndicatorCode]],Table1[value]))</f>
        <v>6.3409496564024987</v>
      </c>
      <c r="J7713">
        <f>(Table1[[#This Row],[value]] - Table1[[#This Row],[mean]]) / Table1[[#This Row],[std_dev]]</f>
        <v>-0.57801122620586864</v>
      </c>
      <c r="K7713">
        <f>AVERAGEIF(Table1[CountryCode],Table1[[#This Row],[CountryCode]],Table1[z-score])</f>
        <v>-0.77202666663319364</v>
      </c>
      <c r="L7713" t="e">
        <f>VLOOKUP(Table1[[#This Row],[CountryCode]],[1]!Table1[#All],1,FALSE)</f>
        <v>#REF!</v>
      </c>
    </row>
    <row r="7714" spans="1:12" hidden="1" x14ac:dyDescent="0.3">
      <c r="A7714" t="s">
        <v>25</v>
      </c>
      <c r="B7714" t="s">
        <v>26</v>
      </c>
      <c r="C7714" t="s">
        <v>129</v>
      </c>
      <c r="D7714" t="s">
        <v>130</v>
      </c>
      <c r="E7714">
        <v>1961</v>
      </c>
      <c r="F7714" s="1">
        <v>70</v>
      </c>
      <c r="G7714">
        <v>1960</v>
      </c>
      <c r="H7714">
        <f>AVERAGEIFS(Table1[value],Table1[IndicatorCode],Table1[[#This Row],[IndicatorCode]])</f>
        <v>72.66514008620689</v>
      </c>
      <c r="I7714" cm="1">
        <f t="array" ref="I7714">_xlfn.STDEV.P(IF(Table1[IndicatorCode]=Table1[[#This Row],[IndicatorCode]],Table1[value]))</f>
        <v>6.3409496564024987</v>
      </c>
      <c r="J7714">
        <f>(Table1[[#This Row],[value]] - Table1[[#This Row],[mean]]) / Table1[[#This Row],[std_dev]]</f>
        <v>-0.4203061419224296</v>
      </c>
      <c r="K7714">
        <f>AVERAGEIF(Table1[CountryCode],Table1[[#This Row],[CountryCode]],Table1[z-score])</f>
        <v>-0.77202666663319364</v>
      </c>
      <c r="L7714" t="e">
        <f>VLOOKUP(Table1[[#This Row],[CountryCode]],[1]!Table1[#All],1,FALSE)</f>
        <v>#REF!</v>
      </c>
    </row>
    <row r="7715" spans="1:12" hidden="1" x14ac:dyDescent="0.3">
      <c r="A7715" t="s">
        <v>25</v>
      </c>
      <c r="B7715" t="s">
        <v>26</v>
      </c>
      <c r="C7715" t="s">
        <v>129</v>
      </c>
      <c r="D7715" t="s">
        <v>130</v>
      </c>
      <c r="E7715">
        <v>1962</v>
      </c>
      <c r="F7715" s="1">
        <v>69</v>
      </c>
      <c r="G7715">
        <v>1960</v>
      </c>
      <c r="H7715">
        <f>AVERAGEIFS(Table1[value],Table1[IndicatorCode],Table1[[#This Row],[IndicatorCode]])</f>
        <v>72.66514008620689</v>
      </c>
      <c r="I7715" cm="1">
        <f t="array" ref="I7715">_xlfn.STDEV.P(IF(Table1[IndicatorCode]=Table1[[#This Row],[IndicatorCode]],Table1[value]))</f>
        <v>6.3409496564024987</v>
      </c>
      <c r="J7715">
        <f>(Table1[[#This Row],[value]] - Table1[[#This Row],[mean]]) / Table1[[#This Row],[std_dev]]</f>
        <v>-0.57801122620586864</v>
      </c>
      <c r="K7715">
        <f>AVERAGEIF(Table1[CountryCode],Table1[[#This Row],[CountryCode]],Table1[z-score])</f>
        <v>-0.77202666663319364</v>
      </c>
      <c r="L7715" t="e">
        <f>VLOOKUP(Table1[[#This Row],[CountryCode]],[1]!Table1[#All],1,FALSE)</f>
        <v>#REF!</v>
      </c>
    </row>
    <row r="7716" spans="1:12" hidden="1" x14ac:dyDescent="0.3">
      <c r="A7716" t="s">
        <v>25</v>
      </c>
      <c r="B7716" t="s">
        <v>26</v>
      </c>
      <c r="C7716" t="s">
        <v>129</v>
      </c>
      <c r="D7716" t="s">
        <v>130</v>
      </c>
      <c r="E7716">
        <v>1963</v>
      </c>
      <c r="F7716" s="1">
        <v>70</v>
      </c>
      <c r="G7716">
        <v>1960</v>
      </c>
      <c r="H7716">
        <f>AVERAGEIFS(Table1[value],Table1[IndicatorCode],Table1[[#This Row],[IndicatorCode]])</f>
        <v>72.66514008620689</v>
      </c>
      <c r="I7716" cm="1">
        <f t="array" ref="I7716">_xlfn.STDEV.P(IF(Table1[IndicatorCode]=Table1[[#This Row],[IndicatorCode]],Table1[value]))</f>
        <v>6.3409496564024987</v>
      </c>
      <c r="J7716">
        <f>(Table1[[#This Row],[value]] - Table1[[#This Row],[mean]]) / Table1[[#This Row],[std_dev]]</f>
        <v>-0.4203061419224296</v>
      </c>
      <c r="K7716">
        <f>AVERAGEIF(Table1[CountryCode],Table1[[#This Row],[CountryCode]],Table1[z-score])</f>
        <v>-0.77202666663319364</v>
      </c>
      <c r="L7716" t="e">
        <f>VLOOKUP(Table1[[#This Row],[CountryCode]],[1]!Table1[#All],1,FALSE)</f>
        <v>#REF!</v>
      </c>
    </row>
    <row r="7717" spans="1:12" hidden="1" x14ac:dyDescent="0.3">
      <c r="A7717" t="s">
        <v>25</v>
      </c>
      <c r="B7717" t="s">
        <v>26</v>
      </c>
      <c r="C7717" t="s">
        <v>129</v>
      </c>
      <c r="D7717" t="s">
        <v>130</v>
      </c>
      <c r="E7717">
        <v>1964</v>
      </c>
      <c r="F7717" s="1">
        <v>71</v>
      </c>
      <c r="G7717">
        <v>1960</v>
      </c>
      <c r="H7717">
        <f>AVERAGEIFS(Table1[value],Table1[IndicatorCode],Table1[[#This Row],[IndicatorCode]])</f>
        <v>72.66514008620689</v>
      </c>
      <c r="I7717" cm="1">
        <f t="array" ref="I7717">_xlfn.STDEV.P(IF(Table1[IndicatorCode]=Table1[[#This Row],[IndicatorCode]],Table1[value]))</f>
        <v>6.3409496564024987</v>
      </c>
      <c r="J7717">
        <f>(Table1[[#This Row],[value]] - Table1[[#This Row],[mean]]) / Table1[[#This Row],[std_dev]]</f>
        <v>-0.2626010576389905</v>
      </c>
      <c r="K7717">
        <f>AVERAGEIF(Table1[CountryCode],Table1[[#This Row],[CountryCode]],Table1[z-score])</f>
        <v>-0.77202666663319364</v>
      </c>
      <c r="L7717" t="e">
        <f>VLOOKUP(Table1[[#This Row],[CountryCode]],[1]!Table1[#All],1,FALSE)</f>
        <v>#REF!</v>
      </c>
    </row>
    <row r="7718" spans="1:12" hidden="1" x14ac:dyDescent="0.3">
      <c r="A7718" t="s">
        <v>25</v>
      </c>
      <c r="B7718" t="s">
        <v>26</v>
      </c>
      <c r="C7718" t="s">
        <v>129</v>
      </c>
      <c r="D7718" t="s">
        <v>130</v>
      </c>
      <c r="E7718">
        <v>1965</v>
      </c>
      <c r="F7718" s="1">
        <v>71</v>
      </c>
      <c r="G7718">
        <v>1960</v>
      </c>
      <c r="H7718">
        <f>AVERAGEIFS(Table1[value],Table1[IndicatorCode],Table1[[#This Row],[IndicatorCode]])</f>
        <v>72.66514008620689</v>
      </c>
      <c r="I7718" cm="1">
        <f t="array" ref="I7718">_xlfn.STDEV.P(IF(Table1[IndicatorCode]=Table1[[#This Row],[IndicatorCode]],Table1[value]))</f>
        <v>6.3409496564024987</v>
      </c>
      <c r="J7718">
        <f>(Table1[[#This Row],[value]] - Table1[[#This Row],[mean]]) / Table1[[#This Row],[std_dev]]</f>
        <v>-0.2626010576389905</v>
      </c>
      <c r="K7718">
        <f>AVERAGEIF(Table1[CountryCode],Table1[[#This Row],[CountryCode]],Table1[z-score])</f>
        <v>-0.77202666663319364</v>
      </c>
      <c r="L7718" t="e">
        <f>VLOOKUP(Table1[[#This Row],[CountryCode]],[1]!Table1[#All],1,FALSE)</f>
        <v>#REF!</v>
      </c>
    </row>
    <row r="7719" spans="1:12" hidden="1" x14ac:dyDescent="0.3">
      <c r="A7719" t="s">
        <v>25</v>
      </c>
      <c r="B7719" t="s">
        <v>26</v>
      </c>
      <c r="C7719" t="s">
        <v>129</v>
      </c>
      <c r="D7719" t="s">
        <v>130</v>
      </c>
      <c r="E7719">
        <v>1966</v>
      </c>
      <c r="F7719" s="1">
        <v>71</v>
      </c>
      <c r="G7719">
        <v>1960</v>
      </c>
      <c r="H7719">
        <f>AVERAGEIFS(Table1[value],Table1[IndicatorCode],Table1[[#This Row],[IndicatorCode]])</f>
        <v>72.66514008620689</v>
      </c>
      <c r="I7719" cm="1">
        <f t="array" ref="I7719">_xlfn.STDEV.P(IF(Table1[IndicatorCode]=Table1[[#This Row],[IndicatorCode]],Table1[value]))</f>
        <v>6.3409496564024987</v>
      </c>
      <c r="J7719">
        <f>(Table1[[#This Row],[value]] - Table1[[#This Row],[mean]]) / Table1[[#This Row],[std_dev]]</f>
        <v>-0.2626010576389905</v>
      </c>
      <c r="K7719">
        <f>AVERAGEIF(Table1[CountryCode],Table1[[#This Row],[CountryCode]],Table1[z-score])</f>
        <v>-0.77202666663319364</v>
      </c>
      <c r="L7719" t="e">
        <f>VLOOKUP(Table1[[#This Row],[CountryCode]],[1]!Table1[#All],1,FALSE)</f>
        <v>#REF!</v>
      </c>
    </row>
    <row r="7720" spans="1:12" hidden="1" x14ac:dyDescent="0.3">
      <c r="A7720" t="s">
        <v>25</v>
      </c>
      <c r="B7720" t="s">
        <v>26</v>
      </c>
      <c r="C7720" t="s">
        <v>129</v>
      </c>
      <c r="D7720" t="s">
        <v>130</v>
      </c>
      <c r="E7720">
        <v>1967</v>
      </c>
      <c r="F7720" s="1">
        <v>71</v>
      </c>
      <c r="G7720">
        <v>1970</v>
      </c>
      <c r="H7720">
        <f>AVERAGEIFS(Table1[value],Table1[IndicatorCode],Table1[[#This Row],[IndicatorCode]])</f>
        <v>72.66514008620689</v>
      </c>
      <c r="I7720" cm="1">
        <f t="array" ref="I7720">_xlfn.STDEV.P(IF(Table1[IndicatorCode]=Table1[[#This Row],[IndicatorCode]],Table1[value]))</f>
        <v>6.3409496564024987</v>
      </c>
      <c r="J7720">
        <f>(Table1[[#This Row],[value]] - Table1[[#This Row],[mean]]) / Table1[[#This Row],[std_dev]]</f>
        <v>-0.2626010576389905</v>
      </c>
      <c r="K7720">
        <f>AVERAGEIF(Table1[CountryCode],Table1[[#This Row],[CountryCode]],Table1[z-score])</f>
        <v>-0.77202666663319364</v>
      </c>
      <c r="L7720" t="e">
        <f>VLOOKUP(Table1[[#This Row],[CountryCode]],[1]!Table1[#All],1,FALSE)</f>
        <v>#REF!</v>
      </c>
    </row>
    <row r="7721" spans="1:12" hidden="1" x14ac:dyDescent="0.3">
      <c r="A7721" t="s">
        <v>25</v>
      </c>
      <c r="B7721" t="s">
        <v>26</v>
      </c>
      <c r="C7721" t="s">
        <v>129</v>
      </c>
      <c r="D7721" t="s">
        <v>130</v>
      </c>
      <c r="E7721">
        <v>1968</v>
      </c>
      <c r="F7721" s="1">
        <v>71</v>
      </c>
      <c r="G7721">
        <v>1970</v>
      </c>
      <c r="H7721">
        <f>AVERAGEIFS(Table1[value],Table1[IndicatorCode],Table1[[#This Row],[IndicatorCode]])</f>
        <v>72.66514008620689</v>
      </c>
      <c r="I7721" cm="1">
        <f t="array" ref="I7721">_xlfn.STDEV.P(IF(Table1[IndicatorCode]=Table1[[#This Row],[IndicatorCode]],Table1[value]))</f>
        <v>6.3409496564024987</v>
      </c>
      <c r="J7721">
        <f>(Table1[[#This Row],[value]] - Table1[[#This Row],[mean]]) / Table1[[#This Row],[std_dev]]</f>
        <v>-0.2626010576389905</v>
      </c>
      <c r="K7721">
        <f>AVERAGEIF(Table1[CountryCode],Table1[[#This Row],[CountryCode]],Table1[z-score])</f>
        <v>-0.77202666663319364</v>
      </c>
      <c r="L7721" t="e">
        <f>VLOOKUP(Table1[[#This Row],[CountryCode]],[1]!Table1[#All],1,FALSE)</f>
        <v>#REF!</v>
      </c>
    </row>
    <row r="7722" spans="1:12" hidden="1" x14ac:dyDescent="0.3">
      <c r="A7722" t="s">
        <v>25</v>
      </c>
      <c r="B7722" t="s">
        <v>26</v>
      </c>
      <c r="C7722" t="s">
        <v>129</v>
      </c>
      <c r="D7722" t="s">
        <v>130</v>
      </c>
      <c r="E7722">
        <v>1969</v>
      </c>
      <c r="F7722" s="1">
        <v>71</v>
      </c>
      <c r="G7722">
        <v>1970</v>
      </c>
      <c r="H7722">
        <f>AVERAGEIFS(Table1[value],Table1[IndicatorCode],Table1[[#This Row],[IndicatorCode]])</f>
        <v>72.66514008620689</v>
      </c>
      <c r="I7722" cm="1">
        <f t="array" ref="I7722">_xlfn.STDEV.P(IF(Table1[IndicatorCode]=Table1[[#This Row],[IndicatorCode]],Table1[value]))</f>
        <v>6.3409496564024987</v>
      </c>
      <c r="J7722">
        <f>(Table1[[#This Row],[value]] - Table1[[#This Row],[mean]]) / Table1[[#This Row],[std_dev]]</f>
        <v>-0.2626010576389905</v>
      </c>
      <c r="K7722">
        <f>AVERAGEIF(Table1[CountryCode],Table1[[#This Row],[CountryCode]],Table1[z-score])</f>
        <v>-0.77202666663319364</v>
      </c>
      <c r="L7722" t="e">
        <f>VLOOKUP(Table1[[#This Row],[CountryCode]],[1]!Table1[#All],1,FALSE)</f>
        <v>#REF!</v>
      </c>
    </row>
    <row r="7723" spans="1:12" hidden="1" x14ac:dyDescent="0.3">
      <c r="A7723" t="s">
        <v>25</v>
      </c>
      <c r="B7723" t="s">
        <v>26</v>
      </c>
      <c r="C7723" t="s">
        <v>129</v>
      </c>
      <c r="D7723" t="s">
        <v>130</v>
      </c>
      <c r="E7723">
        <v>1970</v>
      </c>
      <c r="F7723" s="1">
        <v>71</v>
      </c>
      <c r="G7723">
        <v>1970</v>
      </c>
      <c r="H7723">
        <f>AVERAGEIFS(Table1[value],Table1[IndicatorCode],Table1[[#This Row],[IndicatorCode]])</f>
        <v>72.66514008620689</v>
      </c>
      <c r="I7723" cm="1">
        <f t="array" ref="I7723">_xlfn.STDEV.P(IF(Table1[IndicatorCode]=Table1[[#This Row],[IndicatorCode]],Table1[value]))</f>
        <v>6.3409496564024987</v>
      </c>
      <c r="J7723">
        <f>(Table1[[#This Row],[value]] - Table1[[#This Row],[mean]]) / Table1[[#This Row],[std_dev]]</f>
        <v>-0.2626010576389905</v>
      </c>
      <c r="K7723">
        <f>AVERAGEIF(Table1[CountryCode],Table1[[#This Row],[CountryCode]],Table1[z-score])</f>
        <v>-0.77202666663319364</v>
      </c>
      <c r="L7723" t="e">
        <f>VLOOKUP(Table1[[#This Row],[CountryCode]],[1]!Table1[#All],1,FALSE)</f>
        <v>#REF!</v>
      </c>
    </row>
    <row r="7724" spans="1:12" hidden="1" x14ac:dyDescent="0.3">
      <c r="A7724" t="s">
        <v>25</v>
      </c>
      <c r="B7724" t="s">
        <v>26</v>
      </c>
      <c r="C7724" t="s">
        <v>129</v>
      </c>
      <c r="D7724" t="s">
        <v>130</v>
      </c>
      <c r="E7724">
        <v>1971</v>
      </c>
      <c r="F7724" s="1">
        <v>71</v>
      </c>
      <c r="G7724">
        <v>1970</v>
      </c>
      <c r="H7724">
        <f>AVERAGEIFS(Table1[value],Table1[IndicatorCode],Table1[[#This Row],[IndicatorCode]])</f>
        <v>72.66514008620689</v>
      </c>
      <c r="I7724" cm="1">
        <f t="array" ref="I7724">_xlfn.STDEV.P(IF(Table1[IndicatorCode]=Table1[[#This Row],[IndicatorCode]],Table1[value]))</f>
        <v>6.3409496564024987</v>
      </c>
      <c r="J7724">
        <f>(Table1[[#This Row],[value]] - Table1[[#This Row],[mean]]) / Table1[[#This Row],[std_dev]]</f>
        <v>-0.2626010576389905</v>
      </c>
      <c r="K7724">
        <f>AVERAGEIF(Table1[CountryCode],Table1[[#This Row],[CountryCode]],Table1[z-score])</f>
        <v>-0.77202666663319364</v>
      </c>
      <c r="L7724" t="e">
        <f>VLOOKUP(Table1[[#This Row],[CountryCode]],[1]!Table1[#All],1,FALSE)</f>
        <v>#REF!</v>
      </c>
    </row>
    <row r="7725" spans="1:12" hidden="1" x14ac:dyDescent="0.3">
      <c r="A7725" t="s">
        <v>25</v>
      </c>
      <c r="B7725" t="s">
        <v>26</v>
      </c>
      <c r="C7725" t="s">
        <v>129</v>
      </c>
      <c r="D7725" t="s">
        <v>130</v>
      </c>
      <c r="E7725">
        <v>1972</v>
      </c>
      <c r="F7725" s="1">
        <v>71</v>
      </c>
      <c r="G7725">
        <v>1970</v>
      </c>
      <c r="H7725">
        <f>AVERAGEIFS(Table1[value],Table1[IndicatorCode],Table1[[#This Row],[IndicatorCode]])</f>
        <v>72.66514008620689</v>
      </c>
      <c r="I7725" cm="1">
        <f t="array" ref="I7725">_xlfn.STDEV.P(IF(Table1[IndicatorCode]=Table1[[#This Row],[IndicatorCode]],Table1[value]))</f>
        <v>6.3409496564024987</v>
      </c>
      <c r="J7725">
        <f>(Table1[[#This Row],[value]] - Table1[[#This Row],[mean]]) / Table1[[#This Row],[std_dev]]</f>
        <v>-0.2626010576389905</v>
      </c>
      <c r="K7725">
        <f>AVERAGEIF(Table1[CountryCode],Table1[[#This Row],[CountryCode]],Table1[z-score])</f>
        <v>-0.77202666663319364</v>
      </c>
      <c r="L7725" t="e">
        <f>VLOOKUP(Table1[[#This Row],[CountryCode]],[1]!Table1[#All],1,FALSE)</f>
        <v>#REF!</v>
      </c>
    </row>
    <row r="7726" spans="1:12" hidden="1" x14ac:dyDescent="0.3">
      <c r="A7726" t="s">
        <v>25</v>
      </c>
      <c r="B7726" t="s">
        <v>26</v>
      </c>
      <c r="C7726" t="s">
        <v>129</v>
      </c>
      <c r="D7726" t="s">
        <v>130</v>
      </c>
      <c r="E7726">
        <v>1973</v>
      </c>
      <c r="F7726" s="1">
        <v>71</v>
      </c>
      <c r="G7726">
        <v>1970</v>
      </c>
      <c r="H7726">
        <f>AVERAGEIFS(Table1[value],Table1[IndicatorCode],Table1[[#This Row],[IndicatorCode]])</f>
        <v>72.66514008620689</v>
      </c>
      <c r="I7726" cm="1">
        <f t="array" ref="I7726">_xlfn.STDEV.P(IF(Table1[IndicatorCode]=Table1[[#This Row],[IndicatorCode]],Table1[value]))</f>
        <v>6.3409496564024987</v>
      </c>
      <c r="J7726">
        <f>(Table1[[#This Row],[value]] - Table1[[#This Row],[mean]]) / Table1[[#This Row],[std_dev]]</f>
        <v>-0.2626010576389905</v>
      </c>
      <c r="K7726">
        <f>AVERAGEIF(Table1[CountryCode],Table1[[#This Row],[CountryCode]],Table1[z-score])</f>
        <v>-0.77202666663319364</v>
      </c>
      <c r="L7726" t="e">
        <f>VLOOKUP(Table1[[#This Row],[CountryCode]],[1]!Table1[#All],1,FALSE)</f>
        <v>#REF!</v>
      </c>
    </row>
    <row r="7727" spans="1:12" hidden="1" x14ac:dyDescent="0.3">
      <c r="A7727" t="s">
        <v>25</v>
      </c>
      <c r="B7727" t="s">
        <v>26</v>
      </c>
      <c r="C7727" t="s">
        <v>129</v>
      </c>
      <c r="D7727" t="s">
        <v>130</v>
      </c>
      <c r="E7727">
        <v>1974</v>
      </c>
      <c r="F7727" s="1">
        <v>71</v>
      </c>
      <c r="G7727">
        <v>1970</v>
      </c>
      <c r="H7727">
        <f>AVERAGEIFS(Table1[value],Table1[IndicatorCode],Table1[[#This Row],[IndicatorCode]])</f>
        <v>72.66514008620689</v>
      </c>
      <c r="I7727" cm="1">
        <f t="array" ref="I7727">_xlfn.STDEV.P(IF(Table1[IndicatorCode]=Table1[[#This Row],[IndicatorCode]],Table1[value]))</f>
        <v>6.3409496564024987</v>
      </c>
      <c r="J7727">
        <f>(Table1[[#This Row],[value]] - Table1[[#This Row],[mean]]) / Table1[[#This Row],[std_dev]]</f>
        <v>-0.2626010576389905</v>
      </c>
      <c r="K7727">
        <f>AVERAGEIF(Table1[CountryCode],Table1[[#This Row],[CountryCode]],Table1[z-score])</f>
        <v>-0.77202666663319364</v>
      </c>
      <c r="L7727" t="e">
        <f>VLOOKUP(Table1[[#This Row],[CountryCode]],[1]!Table1[#All],1,FALSE)</f>
        <v>#REF!</v>
      </c>
    </row>
    <row r="7728" spans="1:12" hidden="1" x14ac:dyDescent="0.3">
      <c r="A7728" t="s">
        <v>25</v>
      </c>
      <c r="B7728" t="s">
        <v>26</v>
      </c>
      <c r="C7728" t="s">
        <v>129</v>
      </c>
      <c r="D7728" t="s">
        <v>130</v>
      </c>
      <c r="E7728">
        <v>1975</v>
      </c>
      <c r="F7728" s="1">
        <v>70</v>
      </c>
      <c r="G7728">
        <v>1970</v>
      </c>
      <c r="H7728">
        <f>AVERAGEIFS(Table1[value],Table1[IndicatorCode],Table1[[#This Row],[IndicatorCode]])</f>
        <v>72.66514008620689</v>
      </c>
      <c r="I7728" cm="1">
        <f t="array" ref="I7728">_xlfn.STDEV.P(IF(Table1[IndicatorCode]=Table1[[#This Row],[IndicatorCode]],Table1[value]))</f>
        <v>6.3409496564024987</v>
      </c>
      <c r="J7728">
        <f>(Table1[[#This Row],[value]] - Table1[[#This Row],[mean]]) / Table1[[#This Row],[std_dev]]</f>
        <v>-0.4203061419224296</v>
      </c>
      <c r="K7728">
        <f>AVERAGEIF(Table1[CountryCode],Table1[[#This Row],[CountryCode]],Table1[z-score])</f>
        <v>-0.77202666663319364</v>
      </c>
      <c r="L7728" t="e">
        <f>VLOOKUP(Table1[[#This Row],[CountryCode]],[1]!Table1[#All],1,FALSE)</f>
        <v>#REF!</v>
      </c>
    </row>
    <row r="7729" spans="1:12" hidden="1" x14ac:dyDescent="0.3">
      <c r="A7729" t="s">
        <v>25</v>
      </c>
      <c r="B7729" t="s">
        <v>26</v>
      </c>
      <c r="C7729" t="s">
        <v>129</v>
      </c>
      <c r="D7729" t="s">
        <v>130</v>
      </c>
      <c r="E7729">
        <v>1976</v>
      </c>
      <c r="F7729" s="1">
        <v>70</v>
      </c>
      <c r="G7729">
        <v>1970</v>
      </c>
      <c r="H7729">
        <f>AVERAGEIFS(Table1[value],Table1[IndicatorCode],Table1[[#This Row],[IndicatorCode]])</f>
        <v>72.66514008620689</v>
      </c>
      <c r="I7729" cm="1">
        <f t="array" ref="I7729">_xlfn.STDEV.P(IF(Table1[IndicatorCode]=Table1[[#This Row],[IndicatorCode]],Table1[value]))</f>
        <v>6.3409496564024987</v>
      </c>
      <c r="J7729">
        <f>(Table1[[#This Row],[value]] - Table1[[#This Row],[mean]]) / Table1[[#This Row],[std_dev]]</f>
        <v>-0.4203061419224296</v>
      </c>
      <c r="K7729">
        <f>AVERAGEIF(Table1[CountryCode],Table1[[#This Row],[CountryCode]],Table1[z-score])</f>
        <v>-0.77202666663319364</v>
      </c>
      <c r="L7729" t="e">
        <f>VLOOKUP(Table1[[#This Row],[CountryCode]],[1]!Table1[#All],1,FALSE)</f>
        <v>#REF!</v>
      </c>
    </row>
    <row r="7730" spans="1:12" hidden="1" x14ac:dyDescent="0.3">
      <c r="A7730" t="s">
        <v>25</v>
      </c>
      <c r="B7730" t="s">
        <v>26</v>
      </c>
      <c r="C7730" t="s">
        <v>129</v>
      </c>
      <c r="D7730" t="s">
        <v>130</v>
      </c>
      <c r="E7730">
        <v>1977</v>
      </c>
      <c r="F7730" s="1">
        <v>70</v>
      </c>
      <c r="G7730">
        <v>1980</v>
      </c>
      <c r="H7730">
        <f>AVERAGEIFS(Table1[value],Table1[IndicatorCode],Table1[[#This Row],[IndicatorCode]])</f>
        <v>72.66514008620689</v>
      </c>
      <c r="I7730" cm="1">
        <f t="array" ref="I7730">_xlfn.STDEV.P(IF(Table1[IndicatorCode]=Table1[[#This Row],[IndicatorCode]],Table1[value]))</f>
        <v>6.3409496564024987</v>
      </c>
      <c r="J7730">
        <f>(Table1[[#This Row],[value]] - Table1[[#This Row],[mean]]) / Table1[[#This Row],[std_dev]]</f>
        <v>-0.4203061419224296</v>
      </c>
      <c r="K7730">
        <f>AVERAGEIF(Table1[CountryCode],Table1[[#This Row],[CountryCode]],Table1[z-score])</f>
        <v>-0.77202666663319364</v>
      </c>
      <c r="L7730" t="e">
        <f>VLOOKUP(Table1[[#This Row],[CountryCode]],[1]!Table1[#All],1,FALSE)</f>
        <v>#REF!</v>
      </c>
    </row>
    <row r="7731" spans="1:12" hidden="1" x14ac:dyDescent="0.3">
      <c r="A7731" t="s">
        <v>25</v>
      </c>
      <c r="B7731" t="s">
        <v>26</v>
      </c>
      <c r="C7731" t="s">
        <v>129</v>
      </c>
      <c r="D7731" t="s">
        <v>130</v>
      </c>
      <c r="E7731">
        <v>1978</v>
      </c>
      <c r="F7731" s="1">
        <v>70</v>
      </c>
      <c r="G7731">
        <v>1980</v>
      </c>
      <c r="H7731">
        <f>AVERAGEIFS(Table1[value],Table1[IndicatorCode],Table1[[#This Row],[IndicatorCode]])</f>
        <v>72.66514008620689</v>
      </c>
      <c r="I7731" cm="1">
        <f t="array" ref="I7731">_xlfn.STDEV.P(IF(Table1[IndicatorCode]=Table1[[#This Row],[IndicatorCode]],Table1[value]))</f>
        <v>6.3409496564024987</v>
      </c>
      <c r="J7731">
        <f>(Table1[[#This Row],[value]] - Table1[[#This Row],[mean]]) / Table1[[#This Row],[std_dev]]</f>
        <v>-0.4203061419224296</v>
      </c>
      <c r="K7731">
        <f>AVERAGEIF(Table1[CountryCode],Table1[[#This Row],[CountryCode]],Table1[z-score])</f>
        <v>-0.77202666663319364</v>
      </c>
      <c r="L7731" t="e">
        <f>VLOOKUP(Table1[[#This Row],[CountryCode]],[1]!Table1[#All],1,FALSE)</f>
        <v>#REF!</v>
      </c>
    </row>
    <row r="7732" spans="1:12" hidden="1" x14ac:dyDescent="0.3">
      <c r="A7732" t="s">
        <v>25</v>
      </c>
      <c r="B7732" t="s">
        <v>26</v>
      </c>
      <c r="C7732" t="s">
        <v>129</v>
      </c>
      <c r="D7732" t="s">
        <v>130</v>
      </c>
      <c r="E7732">
        <v>1979</v>
      </c>
      <c r="F7732" s="1">
        <v>70</v>
      </c>
      <c r="G7732">
        <v>1980</v>
      </c>
      <c r="H7732">
        <f>AVERAGEIFS(Table1[value],Table1[IndicatorCode],Table1[[#This Row],[IndicatorCode]])</f>
        <v>72.66514008620689</v>
      </c>
      <c r="I7732" cm="1">
        <f t="array" ref="I7732">_xlfn.STDEV.P(IF(Table1[IndicatorCode]=Table1[[#This Row],[IndicatorCode]],Table1[value]))</f>
        <v>6.3409496564024987</v>
      </c>
      <c r="J7732">
        <f>(Table1[[#This Row],[value]] - Table1[[#This Row],[mean]]) / Table1[[#This Row],[std_dev]]</f>
        <v>-0.4203061419224296</v>
      </c>
      <c r="K7732">
        <f>AVERAGEIF(Table1[CountryCode],Table1[[#This Row],[CountryCode]],Table1[z-score])</f>
        <v>-0.77202666663319364</v>
      </c>
      <c r="L7732" t="e">
        <f>VLOOKUP(Table1[[#This Row],[CountryCode]],[1]!Table1[#All],1,FALSE)</f>
        <v>#REF!</v>
      </c>
    </row>
    <row r="7733" spans="1:12" hidden="1" x14ac:dyDescent="0.3">
      <c r="A7733" t="s">
        <v>25</v>
      </c>
      <c r="B7733" t="s">
        <v>26</v>
      </c>
      <c r="C7733" t="s">
        <v>129</v>
      </c>
      <c r="D7733" t="s">
        <v>130</v>
      </c>
      <c r="E7733">
        <v>1980</v>
      </c>
      <c r="F7733" s="1">
        <v>70</v>
      </c>
      <c r="G7733">
        <v>1980</v>
      </c>
      <c r="H7733">
        <f>AVERAGEIFS(Table1[value],Table1[IndicatorCode],Table1[[#This Row],[IndicatorCode]])</f>
        <v>72.66514008620689</v>
      </c>
      <c r="I7733" cm="1">
        <f t="array" ref="I7733">_xlfn.STDEV.P(IF(Table1[IndicatorCode]=Table1[[#This Row],[IndicatorCode]],Table1[value]))</f>
        <v>6.3409496564024987</v>
      </c>
      <c r="J7733">
        <f>(Table1[[#This Row],[value]] - Table1[[#This Row],[mean]]) / Table1[[#This Row],[std_dev]]</f>
        <v>-0.4203061419224296</v>
      </c>
      <c r="K7733">
        <f>AVERAGEIF(Table1[CountryCode],Table1[[#This Row],[CountryCode]],Table1[z-score])</f>
        <v>-0.77202666663319364</v>
      </c>
      <c r="L7733" t="e">
        <f>VLOOKUP(Table1[[#This Row],[CountryCode]],[1]!Table1[#All],1,FALSE)</f>
        <v>#REF!</v>
      </c>
    </row>
    <row r="7734" spans="1:12" hidden="1" x14ac:dyDescent="0.3">
      <c r="A7734" t="s">
        <v>25</v>
      </c>
      <c r="B7734" t="s">
        <v>26</v>
      </c>
      <c r="C7734" t="s">
        <v>129</v>
      </c>
      <c r="D7734" t="s">
        <v>130</v>
      </c>
      <c r="E7734">
        <v>1981</v>
      </c>
      <c r="F7734" s="1">
        <v>70</v>
      </c>
      <c r="G7734">
        <v>1980</v>
      </c>
      <c r="H7734">
        <f>AVERAGEIFS(Table1[value],Table1[IndicatorCode],Table1[[#This Row],[IndicatorCode]])</f>
        <v>72.66514008620689</v>
      </c>
      <c r="I7734" cm="1">
        <f t="array" ref="I7734">_xlfn.STDEV.P(IF(Table1[IndicatorCode]=Table1[[#This Row],[IndicatorCode]],Table1[value]))</f>
        <v>6.3409496564024987</v>
      </c>
      <c r="J7734">
        <f>(Table1[[#This Row],[value]] - Table1[[#This Row],[mean]]) / Table1[[#This Row],[std_dev]]</f>
        <v>-0.4203061419224296</v>
      </c>
      <c r="K7734">
        <f>AVERAGEIF(Table1[CountryCode],Table1[[#This Row],[CountryCode]],Table1[z-score])</f>
        <v>-0.77202666663319364</v>
      </c>
      <c r="L7734" t="e">
        <f>VLOOKUP(Table1[[#This Row],[CountryCode]],[1]!Table1[#All],1,FALSE)</f>
        <v>#REF!</v>
      </c>
    </row>
    <row r="7735" spans="1:12" hidden="1" x14ac:dyDescent="0.3">
      <c r="A7735" t="s">
        <v>25</v>
      </c>
      <c r="B7735" t="s">
        <v>26</v>
      </c>
      <c r="C7735" t="s">
        <v>129</v>
      </c>
      <c r="D7735" t="s">
        <v>130</v>
      </c>
      <c r="E7735">
        <v>1982</v>
      </c>
      <c r="F7735" s="1">
        <v>70</v>
      </c>
      <c r="G7735">
        <v>1980</v>
      </c>
      <c r="H7735">
        <f>AVERAGEIFS(Table1[value],Table1[IndicatorCode],Table1[[#This Row],[IndicatorCode]])</f>
        <v>72.66514008620689</v>
      </c>
      <c r="I7735" cm="1">
        <f t="array" ref="I7735">_xlfn.STDEV.P(IF(Table1[IndicatorCode]=Table1[[#This Row],[IndicatorCode]],Table1[value]))</f>
        <v>6.3409496564024987</v>
      </c>
      <c r="J7735">
        <f>(Table1[[#This Row],[value]] - Table1[[#This Row],[mean]]) / Table1[[#This Row],[std_dev]]</f>
        <v>-0.4203061419224296</v>
      </c>
      <c r="K7735">
        <f>AVERAGEIF(Table1[CountryCode],Table1[[#This Row],[CountryCode]],Table1[z-score])</f>
        <v>-0.77202666663319364</v>
      </c>
      <c r="L7735" t="e">
        <f>VLOOKUP(Table1[[#This Row],[CountryCode]],[1]!Table1[#All],1,FALSE)</f>
        <v>#REF!</v>
      </c>
    </row>
    <row r="7736" spans="1:12" hidden="1" x14ac:dyDescent="0.3">
      <c r="A7736" t="s">
        <v>25</v>
      </c>
      <c r="B7736" t="s">
        <v>26</v>
      </c>
      <c r="C7736" t="s">
        <v>129</v>
      </c>
      <c r="D7736" t="s">
        <v>130</v>
      </c>
      <c r="E7736">
        <v>1983</v>
      </c>
      <c r="F7736" s="1">
        <v>70</v>
      </c>
      <c r="G7736">
        <v>1980</v>
      </c>
      <c r="H7736">
        <f>AVERAGEIFS(Table1[value],Table1[IndicatorCode],Table1[[#This Row],[IndicatorCode]])</f>
        <v>72.66514008620689</v>
      </c>
      <c r="I7736" cm="1">
        <f t="array" ref="I7736">_xlfn.STDEV.P(IF(Table1[IndicatorCode]=Table1[[#This Row],[IndicatorCode]],Table1[value]))</f>
        <v>6.3409496564024987</v>
      </c>
      <c r="J7736">
        <f>(Table1[[#This Row],[value]] - Table1[[#This Row],[mean]]) / Table1[[#This Row],[std_dev]]</f>
        <v>-0.4203061419224296</v>
      </c>
      <c r="K7736">
        <f>AVERAGEIF(Table1[CountryCode],Table1[[#This Row],[CountryCode]],Table1[z-score])</f>
        <v>-0.77202666663319364</v>
      </c>
      <c r="L7736" t="e">
        <f>VLOOKUP(Table1[[#This Row],[CountryCode]],[1]!Table1[#All],1,FALSE)</f>
        <v>#REF!</v>
      </c>
    </row>
    <row r="7737" spans="1:12" hidden="1" x14ac:dyDescent="0.3">
      <c r="A7737" t="s">
        <v>25</v>
      </c>
      <c r="B7737" t="s">
        <v>26</v>
      </c>
      <c r="C7737" t="s">
        <v>129</v>
      </c>
      <c r="D7737" t="s">
        <v>130</v>
      </c>
      <c r="E7737">
        <v>1984</v>
      </c>
      <c r="F7737" s="1">
        <v>70</v>
      </c>
      <c r="G7737">
        <v>1980</v>
      </c>
      <c r="H7737">
        <f>AVERAGEIFS(Table1[value],Table1[IndicatorCode],Table1[[#This Row],[IndicatorCode]])</f>
        <v>72.66514008620689</v>
      </c>
      <c r="I7737" cm="1">
        <f t="array" ref="I7737">_xlfn.STDEV.P(IF(Table1[IndicatorCode]=Table1[[#This Row],[IndicatorCode]],Table1[value]))</f>
        <v>6.3409496564024987</v>
      </c>
      <c r="J7737">
        <f>(Table1[[#This Row],[value]] - Table1[[#This Row],[mean]]) / Table1[[#This Row],[std_dev]]</f>
        <v>-0.4203061419224296</v>
      </c>
      <c r="K7737">
        <f>AVERAGEIF(Table1[CountryCode],Table1[[#This Row],[CountryCode]],Table1[z-score])</f>
        <v>-0.77202666663319364</v>
      </c>
      <c r="L7737" t="e">
        <f>VLOOKUP(Table1[[#This Row],[CountryCode]],[1]!Table1[#All],1,FALSE)</f>
        <v>#REF!</v>
      </c>
    </row>
    <row r="7738" spans="1:12" hidden="1" x14ac:dyDescent="0.3">
      <c r="A7738" t="s">
        <v>25</v>
      </c>
      <c r="B7738" t="s">
        <v>26</v>
      </c>
      <c r="C7738" t="s">
        <v>129</v>
      </c>
      <c r="D7738" t="s">
        <v>130</v>
      </c>
      <c r="E7738">
        <v>1985</v>
      </c>
      <c r="F7738" s="1">
        <v>71</v>
      </c>
      <c r="G7738">
        <v>1980</v>
      </c>
      <c r="H7738">
        <f>AVERAGEIFS(Table1[value],Table1[IndicatorCode],Table1[[#This Row],[IndicatorCode]])</f>
        <v>72.66514008620689</v>
      </c>
      <c r="I7738" cm="1">
        <f t="array" ref="I7738">_xlfn.STDEV.P(IF(Table1[IndicatorCode]=Table1[[#This Row],[IndicatorCode]],Table1[value]))</f>
        <v>6.3409496564024987</v>
      </c>
      <c r="J7738">
        <f>(Table1[[#This Row],[value]] - Table1[[#This Row],[mean]]) / Table1[[#This Row],[std_dev]]</f>
        <v>-0.2626010576389905</v>
      </c>
      <c r="K7738">
        <f>AVERAGEIF(Table1[CountryCode],Table1[[#This Row],[CountryCode]],Table1[z-score])</f>
        <v>-0.77202666663319364</v>
      </c>
      <c r="L7738" t="e">
        <f>VLOOKUP(Table1[[#This Row],[CountryCode]],[1]!Table1[#All],1,FALSE)</f>
        <v>#REF!</v>
      </c>
    </row>
    <row r="7739" spans="1:12" hidden="1" x14ac:dyDescent="0.3">
      <c r="A7739" t="s">
        <v>25</v>
      </c>
      <c r="B7739" t="s">
        <v>26</v>
      </c>
      <c r="C7739" t="s">
        <v>129</v>
      </c>
      <c r="D7739" t="s">
        <v>130</v>
      </c>
      <c r="E7739">
        <v>1986</v>
      </c>
      <c r="F7739" s="1">
        <v>72</v>
      </c>
      <c r="G7739">
        <v>1980</v>
      </c>
      <c r="H7739">
        <f>AVERAGEIFS(Table1[value],Table1[IndicatorCode],Table1[[#This Row],[IndicatorCode]])</f>
        <v>72.66514008620689</v>
      </c>
      <c r="I7739" cm="1">
        <f t="array" ref="I7739">_xlfn.STDEV.P(IF(Table1[IndicatorCode]=Table1[[#This Row],[IndicatorCode]],Table1[value]))</f>
        <v>6.3409496564024987</v>
      </c>
      <c r="J7739">
        <f>(Table1[[#This Row],[value]] - Table1[[#This Row],[mean]]) / Table1[[#This Row],[std_dev]]</f>
        <v>-0.10489597335555145</v>
      </c>
      <c r="K7739">
        <f>AVERAGEIF(Table1[CountryCode],Table1[[#This Row],[CountryCode]],Table1[z-score])</f>
        <v>-0.77202666663319364</v>
      </c>
      <c r="L7739" t="e">
        <f>VLOOKUP(Table1[[#This Row],[CountryCode]],[1]!Table1[#All],1,FALSE)</f>
        <v>#REF!</v>
      </c>
    </row>
    <row r="7740" spans="1:12" hidden="1" x14ac:dyDescent="0.3">
      <c r="A7740" t="s">
        <v>25</v>
      </c>
      <c r="B7740" t="s">
        <v>26</v>
      </c>
      <c r="C7740" t="s">
        <v>129</v>
      </c>
      <c r="D7740" t="s">
        <v>130</v>
      </c>
      <c r="E7740">
        <v>1987</v>
      </c>
      <c r="F7740" s="1">
        <v>71</v>
      </c>
      <c r="G7740">
        <v>1990</v>
      </c>
      <c r="H7740">
        <f>AVERAGEIFS(Table1[value],Table1[IndicatorCode],Table1[[#This Row],[IndicatorCode]])</f>
        <v>72.66514008620689</v>
      </c>
      <c r="I7740" cm="1">
        <f t="array" ref="I7740">_xlfn.STDEV.P(IF(Table1[IndicatorCode]=Table1[[#This Row],[IndicatorCode]],Table1[value]))</f>
        <v>6.3409496564024987</v>
      </c>
      <c r="J7740">
        <f>(Table1[[#This Row],[value]] - Table1[[#This Row],[mean]]) / Table1[[#This Row],[std_dev]]</f>
        <v>-0.2626010576389905</v>
      </c>
      <c r="K7740">
        <f>AVERAGEIF(Table1[CountryCode],Table1[[#This Row],[CountryCode]],Table1[z-score])</f>
        <v>-0.77202666663319364</v>
      </c>
      <c r="L7740" t="e">
        <f>VLOOKUP(Table1[[#This Row],[CountryCode]],[1]!Table1[#All],1,FALSE)</f>
        <v>#REF!</v>
      </c>
    </row>
    <row r="7741" spans="1:12" hidden="1" x14ac:dyDescent="0.3">
      <c r="A7741" t="s">
        <v>25</v>
      </c>
      <c r="B7741" t="s">
        <v>26</v>
      </c>
      <c r="C7741" t="s">
        <v>129</v>
      </c>
      <c r="D7741" t="s">
        <v>130</v>
      </c>
      <c r="E7741">
        <v>1988</v>
      </c>
      <c r="F7741" s="1">
        <v>71</v>
      </c>
      <c r="G7741">
        <v>1990</v>
      </c>
      <c r="H7741">
        <f>AVERAGEIFS(Table1[value],Table1[IndicatorCode],Table1[[#This Row],[IndicatorCode]])</f>
        <v>72.66514008620689</v>
      </c>
      <c r="I7741" cm="1">
        <f t="array" ref="I7741">_xlfn.STDEV.P(IF(Table1[IndicatorCode]=Table1[[#This Row],[IndicatorCode]],Table1[value]))</f>
        <v>6.3409496564024987</v>
      </c>
      <c r="J7741">
        <f>(Table1[[#This Row],[value]] - Table1[[#This Row],[mean]]) / Table1[[#This Row],[std_dev]]</f>
        <v>-0.2626010576389905</v>
      </c>
      <c r="K7741">
        <f>AVERAGEIF(Table1[CountryCode],Table1[[#This Row],[CountryCode]],Table1[z-score])</f>
        <v>-0.77202666663319364</v>
      </c>
      <c r="L7741" t="e">
        <f>VLOOKUP(Table1[[#This Row],[CountryCode]],[1]!Table1[#All],1,FALSE)</f>
        <v>#REF!</v>
      </c>
    </row>
    <row r="7742" spans="1:12" hidden="1" x14ac:dyDescent="0.3">
      <c r="A7742" t="s">
        <v>25</v>
      </c>
      <c r="B7742" t="s">
        <v>26</v>
      </c>
      <c r="C7742" t="s">
        <v>129</v>
      </c>
      <c r="D7742" t="s">
        <v>130</v>
      </c>
      <c r="E7742">
        <v>1989</v>
      </c>
      <c r="F7742" s="1">
        <v>71</v>
      </c>
      <c r="G7742">
        <v>1990</v>
      </c>
      <c r="H7742">
        <f>AVERAGEIFS(Table1[value],Table1[IndicatorCode],Table1[[#This Row],[IndicatorCode]])</f>
        <v>72.66514008620689</v>
      </c>
      <c r="I7742" cm="1">
        <f t="array" ref="I7742">_xlfn.STDEV.P(IF(Table1[IndicatorCode]=Table1[[#This Row],[IndicatorCode]],Table1[value]))</f>
        <v>6.3409496564024987</v>
      </c>
      <c r="J7742">
        <f>(Table1[[#This Row],[value]] - Table1[[#This Row],[mean]]) / Table1[[#This Row],[std_dev]]</f>
        <v>-0.2626010576389905</v>
      </c>
      <c r="K7742">
        <f>AVERAGEIF(Table1[CountryCode],Table1[[#This Row],[CountryCode]],Table1[z-score])</f>
        <v>-0.77202666663319364</v>
      </c>
      <c r="L7742" t="e">
        <f>VLOOKUP(Table1[[#This Row],[CountryCode]],[1]!Table1[#All],1,FALSE)</f>
        <v>#REF!</v>
      </c>
    </row>
    <row r="7743" spans="1:12" hidden="1" x14ac:dyDescent="0.3">
      <c r="A7743" t="s">
        <v>25</v>
      </c>
      <c r="B7743" t="s">
        <v>26</v>
      </c>
      <c r="C7743" t="s">
        <v>129</v>
      </c>
      <c r="D7743" t="s">
        <v>130</v>
      </c>
      <c r="E7743">
        <v>1990</v>
      </c>
      <c r="F7743" s="1">
        <v>71</v>
      </c>
      <c r="G7743">
        <v>1990</v>
      </c>
      <c r="H7743">
        <f>AVERAGEIFS(Table1[value],Table1[IndicatorCode],Table1[[#This Row],[IndicatorCode]])</f>
        <v>72.66514008620689</v>
      </c>
      <c r="I7743" cm="1">
        <f t="array" ref="I7743">_xlfn.STDEV.P(IF(Table1[IndicatorCode]=Table1[[#This Row],[IndicatorCode]],Table1[value]))</f>
        <v>6.3409496564024987</v>
      </c>
      <c r="J7743">
        <f>(Table1[[#This Row],[value]] - Table1[[#This Row],[mean]]) / Table1[[#This Row],[std_dev]]</f>
        <v>-0.2626010576389905</v>
      </c>
      <c r="K7743">
        <f>AVERAGEIF(Table1[CountryCode],Table1[[#This Row],[CountryCode]],Table1[z-score])</f>
        <v>-0.77202666663319364</v>
      </c>
      <c r="L7743" t="e">
        <f>VLOOKUP(Table1[[#This Row],[CountryCode]],[1]!Table1[#All],1,FALSE)</f>
        <v>#REF!</v>
      </c>
    </row>
    <row r="7744" spans="1:12" hidden="1" x14ac:dyDescent="0.3">
      <c r="A7744" t="s">
        <v>25</v>
      </c>
      <c r="B7744" t="s">
        <v>26</v>
      </c>
      <c r="C7744" t="s">
        <v>129</v>
      </c>
      <c r="D7744" t="s">
        <v>130</v>
      </c>
      <c r="E7744">
        <v>1991</v>
      </c>
      <c r="F7744" s="1">
        <v>70</v>
      </c>
      <c r="G7744">
        <v>1990</v>
      </c>
      <c r="H7744">
        <f>AVERAGEIFS(Table1[value],Table1[IndicatorCode],Table1[[#This Row],[IndicatorCode]])</f>
        <v>72.66514008620689</v>
      </c>
      <c r="I7744" cm="1">
        <f t="array" ref="I7744">_xlfn.STDEV.P(IF(Table1[IndicatorCode]=Table1[[#This Row],[IndicatorCode]],Table1[value]))</f>
        <v>6.3409496564024987</v>
      </c>
      <c r="J7744">
        <f>(Table1[[#This Row],[value]] - Table1[[#This Row],[mean]]) / Table1[[#This Row],[std_dev]]</f>
        <v>-0.4203061419224296</v>
      </c>
      <c r="K7744">
        <f>AVERAGEIF(Table1[CountryCode],Table1[[#This Row],[CountryCode]],Table1[z-score])</f>
        <v>-0.77202666663319364</v>
      </c>
      <c r="L7744" t="e">
        <f>VLOOKUP(Table1[[#This Row],[CountryCode]],[1]!Table1[#All],1,FALSE)</f>
        <v>#REF!</v>
      </c>
    </row>
    <row r="7745" spans="1:12" hidden="1" x14ac:dyDescent="0.3">
      <c r="A7745" t="s">
        <v>25</v>
      </c>
      <c r="B7745" t="s">
        <v>26</v>
      </c>
      <c r="C7745" t="s">
        <v>129</v>
      </c>
      <c r="D7745" t="s">
        <v>130</v>
      </c>
      <c r="E7745">
        <v>1992</v>
      </c>
      <c r="F7745" s="1">
        <v>70</v>
      </c>
      <c r="G7745">
        <v>1990</v>
      </c>
      <c r="H7745">
        <f>AVERAGEIFS(Table1[value],Table1[IndicatorCode],Table1[[#This Row],[IndicatorCode]])</f>
        <v>72.66514008620689</v>
      </c>
      <c r="I7745" cm="1">
        <f t="array" ref="I7745">_xlfn.STDEV.P(IF(Table1[IndicatorCode]=Table1[[#This Row],[IndicatorCode]],Table1[value]))</f>
        <v>6.3409496564024987</v>
      </c>
      <c r="J7745">
        <f>(Table1[[#This Row],[value]] - Table1[[#This Row],[mean]]) / Table1[[#This Row],[std_dev]]</f>
        <v>-0.4203061419224296</v>
      </c>
      <c r="K7745">
        <f>AVERAGEIF(Table1[CountryCode],Table1[[#This Row],[CountryCode]],Table1[z-score])</f>
        <v>-0.77202666663319364</v>
      </c>
      <c r="L7745" t="e">
        <f>VLOOKUP(Table1[[#This Row],[CountryCode]],[1]!Table1[#All],1,FALSE)</f>
        <v>#REF!</v>
      </c>
    </row>
    <row r="7746" spans="1:12" hidden="1" x14ac:dyDescent="0.3">
      <c r="A7746" t="s">
        <v>25</v>
      </c>
      <c r="B7746" t="s">
        <v>26</v>
      </c>
      <c r="C7746" t="s">
        <v>129</v>
      </c>
      <c r="D7746" t="s">
        <v>130</v>
      </c>
      <c r="E7746">
        <v>1993</v>
      </c>
      <c r="F7746" s="1">
        <v>69</v>
      </c>
      <c r="G7746">
        <v>1990</v>
      </c>
      <c r="H7746">
        <f>AVERAGEIFS(Table1[value],Table1[IndicatorCode],Table1[[#This Row],[IndicatorCode]])</f>
        <v>72.66514008620689</v>
      </c>
      <c r="I7746" cm="1">
        <f t="array" ref="I7746">_xlfn.STDEV.P(IF(Table1[IndicatorCode]=Table1[[#This Row],[IndicatorCode]],Table1[value]))</f>
        <v>6.3409496564024987</v>
      </c>
      <c r="J7746">
        <f>(Table1[[#This Row],[value]] - Table1[[#This Row],[mean]]) / Table1[[#This Row],[std_dev]]</f>
        <v>-0.57801122620586864</v>
      </c>
      <c r="K7746">
        <f>AVERAGEIF(Table1[CountryCode],Table1[[#This Row],[CountryCode]],Table1[z-score])</f>
        <v>-0.77202666663319364</v>
      </c>
      <c r="L7746" t="e">
        <f>VLOOKUP(Table1[[#This Row],[CountryCode]],[1]!Table1[#All],1,FALSE)</f>
        <v>#REF!</v>
      </c>
    </row>
    <row r="7747" spans="1:12" hidden="1" x14ac:dyDescent="0.3">
      <c r="A7747" t="s">
        <v>25</v>
      </c>
      <c r="B7747" t="s">
        <v>26</v>
      </c>
      <c r="C7747" t="s">
        <v>129</v>
      </c>
      <c r="D7747" t="s">
        <v>130</v>
      </c>
      <c r="E7747">
        <v>1994</v>
      </c>
      <c r="F7747" s="1">
        <v>69</v>
      </c>
      <c r="G7747">
        <v>1990</v>
      </c>
      <c r="H7747">
        <f>AVERAGEIFS(Table1[value],Table1[IndicatorCode],Table1[[#This Row],[IndicatorCode]])</f>
        <v>72.66514008620689</v>
      </c>
      <c r="I7747" cm="1">
        <f t="array" ref="I7747">_xlfn.STDEV.P(IF(Table1[IndicatorCode]=Table1[[#This Row],[IndicatorCode]],Table1[value]))</f>
        <v>6.3409496564024987</v>
      </c>
      <c r="J7747">
        <f>(Table1[[#This Row],[value]] - Table1[[#This Row],[mean]]) / Table1[[#This Row],[std_dev]]</f>
        <v>-0.57801122620586864</v>
      </c>
      <c r="K7747">
        <f>AVERAGEIF(Table1[CountryCode],Table1[[#This Row],[CountryCode]],Table1[z-score])</f>
        <v>-0.77202666663319364</v>
      </c>
      <c r="L7747" t="e">
        <f>VLOOKUP(Table1[[#This Row],[CountryCode]],[1]!Table1[#All],1,FALSE)</f>
        <v>#REF!</v>
      </c>
    </row>
    <row r="7748" spans="1:12" hidden="1" x14ac:dyDescent="0.3">
      <c r="A7748" t="s">
        <v>25</v>
      </c>
      <c r="B7748" t="s">
        <v>26</v>
      </c>
      <c r="C7748" t="s">
        <v>129</v>
      </c>
      <c r="D7748" t="s">
        <v>130</v>
      </c>
      <c r="E7748">
        <v>1995</v>
      </c>
      <c r="F7748" s="1">
        <v>68</v>
      </c>
      <c r="G7748">
        <v>1990</v>
      </c>
      <c r="H7748">
        <f>AVERAGEIFS(Table1[value],Table1[IndicatorCode],Table1[[#This Row],[IndicatorCode]])</f>
        <v>72.66514008620689</v>
      </c>
      <c r="I7748" cm="1">
        <f t="array" ref="I7748">_xlfn.STDEV.P(IF(Table1[IndicatorCode]=Table1[[#This Row],[IndicatorCode]],Table1[value]))</f>
        <v>6.3409496564024987</v>
      </c>
      <c r="J7748">
        <f>(Table1[[#This Row],[value]] - Table1[[#This Row],[mean]]) / Table1[[#This Row],[std_dev]]</f>
        <v>-0.73571631048930775</v>
      </c>
      <c r="K7748">
        <f>AVERAGEIF(Table1[CountryCode],Table1[[#This Row],[CountryCode]],Table1[z-score])</f>
        <v>-0.77202666663319364</v>
      </c>
      <c r="L7748" t="e">
        <f>VLOOKUP(Table1[[#This Row],[CountryCode]],[1]!Table1[#All],1,FALSE)</f>
        <v>#REF!</v>
      </c>
    </row>
    <row r="7749" spans="1:12" hidden="1" x14ac:dyDescent="0.3">
      <c r="A7749" t="s">
        <v>25</v>
      </c>
      <c r="B7749" t="s">
        <v>26</v>
      </c>
      <c r="C7749" t="s">
        <v>129</v>
      </c>
      <c r="D7749" t="s">
        <v>130</v>
      </c>
      <c r="E7749">
        <v>1996</v>
      </c>
      <c r="F7749" s="1">
        <v>69</v>
      </c>
      <c r="G7749">
        <v>1990</v>
      </c>
      <c r="H7749">
        <f>AVERAGEIFS(Table1[value],Table1[IndicatorCode],Table1[[#This Row],[IndicatorCode]])</f>
        <v>72.66514008620689</v>
      </c>
      <c r="I7749" cm="1">
        <f t="array" ref="I7749">_xlfn.STDEV.P(IF(Table1[IndicatorCode]=Table1[[#This Row],[IndicatorCode]],Table1[value]))</f>
        <v>6.3409496564024987</v>
      </c>
      <c r="J7749">
        <f>(Table1[[#This Row],[value]] - Table1[[#This Row],[mean]]) / Table1[[#This Row],[std_dev]]</f>
        <v>-0.57801122620586864</v>
      </c>
      <c r="K7749">
        <f>AVERAGEIF(Table1[CountryCode],Table1[[#This Row],[CountryCode]],Table1[z-score])</f>
        <v>-0.77202666663319364</v>
      </c>
      <c r="L7749" t="e">
        <f>VLOOKUP(Table1[[#This Row],[CountryCode]],[1]!Table1[#All],1,FALSE)</f>
        <v>#REF!</v>
      </c>
    </row>
    <row r="7750" spans="1:12" hidden="1" x14ac:dyDescent="0.3">
      <c r="A7750" t="s">
        <v>25</v>
      </c>
      <c r="B7750" t="s">
        <v>26</v>
      </c>
      <c r="C7750" t="s">
        <v>129</v>
      </c>
      <c r="D7750" t="s">
        <v>130</v>
      </c>
      <c r="E7750">
        <v>1997</v>
      </c>
      <c r="F7750" s="1">
        <v>68</v>
      </c>
      <c r="G7750">
        <v>2000</v>
      </c>
      <c r="H7750">
        <f>AVERAGEIFS(Table1[value],Table1[IndicatorCode],Table1[[#This Row],[IndicatorCode]])</f>
        <v>72.66514008620689</v>
      </c>
      <c r="I7750" cm="1">
        <f t="array" ref="I7750">_xlfn.STDEV.P(IF(Table1[IndicatorCode]=Table1[[#This Row],[IndicatorCode]],Table1[value]))</f>
        <v>6.3409496564024987</v>
      </c>
      <c r="J7750">
        <f>(Table1[[#This Row],[value]] - Table1[[#This Row],[mean]]) / Table1[[#This Row],[std_dev]]</f>
        <v>-0.73571631048930775</v>
      </c>
      <c r="K7750">
        <f>AVERAGEIF(Table1[CountryCode],Table1[[#This Row],[CountryCode]],Table1[z-score])</f>
        <v>-0.77202666663319364</v>
      </c>
      <c r="L7750" t="e">
        <f>VLOOKUP(Table1[[#This Row],[CountryCode]],[1]!Table1[#All],1,FALSE)</f>
        <v>#REF!</v>
      </c>
    </row>
    <row r="7751" spans="1:12" hidden="1" x14ac:dyDescent="0.3">
      <c r="A7751" t="s">
        <v>25</v>
      </c>
      <c r="B7751" t="s">
        <v>26</v>
      </c>
      <c r="C7751" t="s">
        <v>129</v>
      </c>
      <c r="D7751" t="s">
        <v>130</v>
      </c>
      <c r="E7751">
        <v>1998</v>
      </c>
      <c r="F7751" s="1">
        <v>68</v>
      </c>
      <c r="G7751">
        <v>2000</v>
      </c>
      <c r="H7751">
        <f>AVERAGEIFS(Table1[value],Table1[IndicatorCode],Table1[[#This Row],[IndicatorCode]])</f>
        <v>72.66514008620689</v>
      </c>
      <c r="I7751" cm="1">
        <f t="array" ref="I7751">_xlfn.STDEV.P(IF(Table1[IndicatorCode]=Table1[[#This Row],[IndicatorCode]],Table1[value]))</f>
        <v>6.3409496564024987</v>
      </c>
      <c r="J7751">
        <f>(Table1[[#This Row],[value]] - Table1[[#This Row],[mean]]) / Table1[[#This Row],[std_dev]]</f>
        <v>-0.73571631048930775</v>
      </c>
      <c r="K7751">
        <f>AVERAGEIF(Table1[CountryCode],Table1[[#This Row],[CountryCode]],Table1[z-score])</f>
        <v>-0.77202666663319364</v>
      </c>
      <c r="L7751" t="e">
        <f>VLOOKUP(Table1[[#This Row],[CountryCode]],[1]!Table1[#All],1,FALSE)</f>
        <v>#REF!</v>
      </c>
    </row>
    <row r="7752" spans="1:12" hidden="1" x14ac:dyDescent="0.3">
      <c r="A7752" t="s">
        <v>25</v>
      </c>
      <c r="B7752" t="s">
        <v>26</v>
      </c>
      <c r="C7752" t="s">
        <v>129</v>
      </c>
      <c r="D7752" t="s">
        <v>130</v>
      </c>
      <c r="E7752">
        <v>1999</v>
      </c>
      <c r="F7752" s="1">
        <v>68</v>
      </c>
      <c r="G7752">
        <v>2000</v>
      </c>
      <c r="H7752">
        <f>AVERAGEIFS(Table1[value],Table1[IndicatorCode],Table1[[#This Row],[IndicatorCode]])</f>
        <v>72.66514008620689</v>
      </c>
      <c r="I7752" cm="1">
        <f t="array" ref="I7752">_xlfn.STDEV.P(IF(Table1[IndicatorCode]=Table1[[#This Row],[IndicatorCode]],Table1[value]))</f>
        <v>6.3409496564024987</v>
      </c>
      <c r="J7752">
        <f>(Table1[[#This Row],[value]] - Table1[[#This Row],[mean]]) / Table1[[#This Row],[std_dev]]</f>
        <v>-0.73571631048930775</v>
      </c>
      <c r="K7752">
        <f>AVERAGEIF(Table1[CountryCode],Table1[[#This Row],[CountryCode]],Table1[z-score])</f>
        <v>-0.77202666663319364</v>
      </c>
      <c r="L7752" t="e">
        <f>VLOOKUP(Table1[[#This Row],[CountryCode]],[1]!Table1[#All],1,FALSE)</f>
        <v>#REF!</v>
      </c>
    </row>
    <row r="7753" spans="1:12" hidden="1" x14ac:dyDescent="0.3">
      <c r="A7753" t="s">
        <v>25</v>
      </c>
      <c r="B7753" t="s">
        <v>26</v>
      </c>
      <c r="C7753" t="s">
        <v>129</v>
      </c>
      <c r="D7753" t="s">
        <v>130</v>
      </c>
      <c r="E7753">
        <v>2000</v>
      </c>
      <c r="F7753" s="1">
        <v>69</v>
      </c>
      <c r="G7753">
        <v>2000</v>
      </c>
      <c r="H7753">
        <f>AVERAGEIFS(Table1[value],Table1[IndicatorCode],Table1[[#This Row],[IndicatorCode]])</f>
        <v>72.66514008620689</v>
      </c>
      <c r="I7753" cm="1">
        <f t="array" ref="I7753">_xlfn.STDEV.P(IF(Table1[IndicatorCode]=Table1[[#This Row],[IndicatorCode]],Table1[value]))</f>
        <v>6.3409496564024987</v>
      </c>
      <c r="J7753">
        <f>(Table1[[#This Row],[value]] - Table1[[#This Row],[mean]]) / Table1[[#This Row],[std_dev]]</f>
        <v>-0.57801122620586864</v>
      </c>
      <c r="K7753">
        <f>AVERAGEIF(Table1[CountryCode],Table1[[#This Row],[CountryCode]],Table1[z-score])</f>
        <v>-0.77202666663319364</v>
      </c>
      <c r="L7753" t="e">
        <f>VLOOKUP(Table1[[#This Row],[CountryCode]],[1]!Table1[#All],1,FALSE)</f>
        <v>#REF!</v>
      </c>
    </row>
    <row r="7754" spans="1:12" hidden="1" x14ac:dyDescent="0.3">
      <c r="A7754" t="s">
        <v>25</v>
      </c>
      <c r="B7754" t="s">
        <v>26</v>
      </c>
      <c r="C7754" t="s">
        <v>129</v>
      </c>
      <c r="D7754" t="s">
        <v>130</v>
      </c>
      <c r="E7754">
        <v>2001</v>
      </c>
      <c r="F7754" s="1">
        <v>69</v>
      </c>
      <c r="G7754">
        <v>2000</v>
      </c>
      <c r="H7754">
        <f>AVERAGEIFS(Table1[value],Table1[IndicatorCode],Table1[[#This Row],[IndicatorCode]])</f>
        <v>72.66514008620689</v>
      </c>
      <c r="I7754" cm="1">
        <f t="array" ref="I7754">_xlfn.STDEV.P(IF(Table1[IndicatorCode]=Table1[[#This Row],[IndicatorCode]],Table1[value]))</f>
        <v>6.3409496564024987</v>
      </c>
      <c r="J7754">
        <f>(Table1[[#This Row],[value]] - Table1[[#This Row],[mean]]) / Table1[[#This Row],[std_dev]]</f>
        <v>-0.57801122620586864</v>
      </c>
      <c r="K7754">
        <f>AVERAGEIF(Table1[CountryCode],Table1[[#This Row],[CountryCode]],Table1[z-score])</f>
        <v>-0.77202666663319364</v>
      </c>
      <c r="L7754" t="e">
        <f>VLOOKUP(Table1[[#This Row],[CountryCode]],[1]!Table1[#All],1,FALSE)</f>
        <v>#REF!</v>
      </c>
    </row>
    <row r="7755" spans="1:12" hidden="1" x14ac:dyDescent="0.3">
      <c r="A7755" t="s">
        <v>25</v>
      </c>
      <c r="B7755" t="s">
        <v>26</v>
      </c>
      <c r="C7755" t="s">
        <v>129</v>
      </c>
      <c r="D7755" t="s">
        <v>130</v>
      </c>
      <c r="E7755">
        <v>2002</v>
      </c>
      <c r="F7755" s="1">
        <v>68</v>
      </c>
      <c r="G7755">
        <v>2000</v>
      </c>
      <c r="H7755">
        <f>AVERAGEIFS(Table1[value],Table1[IndicatorCode],Table1[[#This Row],[IndicatorCode]])</f>
        <v>72.66514008620689</v>
      </c>
      <c r="I7755" cm="1">
        <f t="array" ref="I7755">_xlfn.STDEV.P(IF(Table1[IndicatorCode]=Table1[[#This Row],[IndicatorCode]],Table1[value]))</f>
        <v>6.3409496564024987</v>
      </c>
      <c r="J7755">
        <f>(Table1[[#This Row],[value]] - Table1[[#This Row],[mean]]) / Table1[[#This Row],[std_dev]]</f>
        <v>-0.73571631048930775</v>
      </c>
      <c r="K7755">
        <f>AVERAGEIF(Table1[CountryCode],Table1[[#This Row],[CountryCode]],Table1[z-score])</f>
        <v>-0.77202666663319364</v>
      </c>
      <c r="L7755" t="e">
        <f>VLOOKUP(Table1[[#This Row],[CountryCode]],[1]!Table1[#All],1,FALSE)</f>
        <v>#REF!</v>
      </c>
    </row>
    <row r="7756" spans="1:12" hidden="1" x14ac:dyDescent="0.3">
      <c r="A7756" t="s">
        <v>25</v>
      </c>
      <c r="B7756" t="s">
        <v>26</v>
      </c>
      <c r="C7756" t="s">
        <v>129</v>
      </c>
      <c r="D7756" t="s">
        <v>130</v>
      </c>
      <c r="E7756">
        <v>2003</v>
      </c>
      <c r="F7756" s="1">
        <v>69</v>
      </c>
      <c r="G7756">
        <v>2000</v>
      </c>
      <c r="H7756">
        <f>AVERAGEIFS(Table1[value],Table1[IndicatorCode],Table1[[#This Row],[IndicatorCode]])</f>
        <v>72.66514008620689</v>
      </c>
      <c r="I7756" cm="1">
        <f t="array" ref="I7756">_xlfn.STDEV.P(IF(Table1[IndicatorCode]=Table1[[#This Row],[IndicatorCode]],Table1[value]))</f>
        <v>6.3409496564024987</v>
      </c>
      <c r="J7756">
        <f>(Table1[[#This Row],[value]] - Table1[[#This Row],[mean]]) / Table1[[#This Row],[std_dev]]</f>
        <v>-0.57801122620586864</v>
      </c>
      <c r="K7756">
        <f>AVERAGEIF(Table1[CountryCode],Table1[[#This Row],[CountryCode]],Table1[z-score])</f>
        <v>-0.77202666663319364</v>
      </c>
      <c r="L7756" t="e">
        <f>VLOOKUP(Table1[[#This Row],[CountryCode]],[1]!Table1[#All],1,FALSE)</f>
        <v>#REF!</v>
      </c>
    </row>
    <row r="7757" spans="1:12" hidden="1" x14ac:dyDescent="0.3">
      <c r="A7757" t="s">
        <v>25</v>
      </c>
      <c r="B7757" t="s">
        <v>26</v>
      </c>
      <c r="C7757" t="s">
        <v>129</v>
      </c>
      <c r="D7757" t="s">
        <v>130</v>
      </c>
      <c r="E7757">
        <v>2004</v>
      </c>
      <c r="F7757" s="1">
        <v>69</v>
      </c>
      <c r="G7757">
        <v>2000</v>
      </c>
      <c r="H7757">
        <f>AVERAGEIFS(Table1[value],Table1[IndicatorCode],Table1[[#This Row],[IndicatorCode]])</f>
        <v>72.66514008620689</v>
      </c>
      <c r="I7757" cm="1">
        <f t="array" ref="I7757">_xlfn.STDEV.P(IF(Table1[IndicatorCode]=Table1[[#This Row],[IndicatorCode]],Table1[value]))</f>
        <v>6.3409496564024987</v>
      </c>
      <c r="J7757">
        <f>(Table1[[#This Row],[value]] - Table1[[#This Row],[mean]]) / Table1[[#This Row],[std_dev]]</f>
        <v>-0.57801122620586864</v>
      </c>
      <c r="K7757">
        <f>AVERAGEIF(Table1[CountryCode],Table1[[#This Row],[CountryCode]],Table1[z-score])</f>
        <v>-0.77202666663319364</v>
      </c>
      <c r="L7757" t="e">
        <f>VLOOKUP(Table1[[#This Row],[CountryCode]],[1]!Table1[#All],1,FALSE)</f>
        <v>#REF!</v>
      </c>
    </row>
    <row r="7758" spans="1:12" hidden="1" x14ac:dyDescent="0.3">
      <c r="A7758" t="s">
        <v>25</v>
      </c>
      <c r="B7758" t="s">
        <v>26</v>
      </c>
      <c r="C7758" t="s">
        <v>129</v>
      </c>
      <c r="D7758" t="s">
        <v>130</v>
      </c>
      <c r="E7758">
        <v>2005</v>
      </c>
      <c r="F7758" s="1">
        <v>69</v>
      </c>
      <c r="G7758">
        <v>2000</v>
      </c>
      <c r="H7758">
        <f>AVERAGEIFS(Table1[value],Table1[IndicatorCode],Table1[[#This Row],[IndicatorCode]])</f>
        <v>72.66514008620689</v>
      </c>
      <c r="I7758" cm="1">
        <f t="array" ref="I7758">_xlfn.STDEV.P(IF(Table1[IndicatorCode]=Table1[[#This Row],[IndicatorCode]],Table1[value]))</f>
        <v>6.3409496564024987</v>
      </c>
      <c r="J7758">
        <f>(Table1[[#This Row],[value]] - Table1[[#This Row],[mean]]) / Table1[[#This Row],[std_dev]]</f>
        <v>-0.57801122620586864</v>
      </c>
      <c r="K7758">
        <f>AVERAGEIF(Table1[CountryCode],Table1[[#This Row],[CountryCode]],Table1[z-score])</f>
        <v>-0.77202666663319364</v>
      </c>
      <c r="L7758" t="e">
        <f>VLOOKUP(Table1[[#This Row],[CountryCode]],[1]!Table1[#All],1,FALSE)</f>
        <v>#REF!</v>
      </c>
    </row>
    <row r="7759" spans="1:12" hidden="1" x14ac:dyDescent="0.3">
      <c r="A7759" t="s">
        <v>25</v>
      </c>
      <c r="B7759" t="s">
        <v>26</v>
      </c>
      <c r="C7759" t="s">
        <v>129</v>
      </c>
      <c r="D7759" t="s">
        <v>130</v>
      </c>
      <c r="E7759">
        <v>2006</v>
      </c>
      <c r="F7759" s="1">
        <v>69</v>
      </c>
      <c r="G7759">
        <v>2000</v>
      </c>
      <c r="H7759">
        <f>AVERAGEIFS(Table1[value],Table1[IndicatorCode],Table1[[#This Row],[IndicatorCode]])</f>
        <v>72.66514008620689</v>
      </c>
      <c r="I7759" cm="1">
        <f t="array" ref="I7759">_xlfn.STDEV.P(IF(Table1[IndicatorCode]=Table1[[#This Row],[IndicatorCode]],Table1[value]))</f>
        <v>6.3409496564024987</v>
      </c>
      <c r="J7759">
        <f>(Table1[[#This Row],[value]] - Table1[[#This Row],[mean]]) / Table1[[#This Row],[std_dev]]</f>
        <v>-0.57801122620586864</v>
      </c>
      <c r="K7759">
        <f>AVERAGEIF(Table1[CountryCode],Table1[[#This Row],[CountryCode]],Table1[z-score])</f>
        <v>-0.77202666663319364</v>
      </c>
      <c r="L7759" t="e">
        <f>VLOOKUP(Table1[[#This Row],[CountryCode]],[1]!Table1[#All],1,FALSE)</f>
        <v>#REF!</v>
      </c>
    </row>
    <row r="7760" spans="1:12" hidden="1" x14ac:dyDescent="0.3">
      <c r="A7760" t="s">
        <v>25</v>
      </c>
      <c r="B7760" t="s">
        <v>26</v>
      </c>
      <c r="C7760" t="s">
        <v>129</v>
      </c>
      <c r="D7760" t="s">
        <v>130</v>
      </c>
      <c r="E7760">
        <v>2007</v>
      </c>
      <c r="F7760" s="1">
        <v>70</v>
      </c>
      <c r="G7760">
        <v>2010</v>
      </c>
      <c r="H7760">
        <f>AVERAGEIFS(Table1[value],Table1[IndicatorCode],Table1[[#This Row],[IndicatorCode]])</f>
        <v>72.66514008620689</v>
      </c>
      <c r="I7760" cm="1">
        <f t="array" ref="I7760">_xlfn.STDEV.P(IF(Table1[IndicatorCode]=Table1[[#This Row],[IndicatorCode]],Table1[value]))</f>
        <v>6.3409496564024987</v>
      </c>
      <c r="J7760">
        <f>(Table1[[#This Row],[value]] - Table1[[#This Row],[mean]]) / Table1[[#This Row],[std_dev]]</f>
        <v>-0.4203061419224296</v>
      </c>
      <c r="K7760">
        <f>AVERAGEIF(Table1[CountryCode],Table1[[#This Row],[CountryCode]],Table1[z-score])</f>
        <v>-0.77202666663319364</v>
      </c>
      <c r="L7760" t="e">
        <f>VLOOKUP(Table1[[#This Row],[CountryCode]],[1]!Table1[#All],1,FALSE)</f>
        <v>#REF!</v>
      </c>
    </row>
    <row r="7761" spans="1:12" hidden="1" x14ac:dyDescent="0.3">
      <c r="A7761" t="s">
        <v>25</v>
      </c>
      <c r="B7761" t="s">
        <v>26</v>
      </c>
      <c r="C7761" t="s">
        <v>129</v>
      </c>
      <c r="D7761" t="s">
        <v>130</v>
      </c>
      <c r="E7761">
        <v>2008</v>
      </c>
      <c r="F7761" s="1">
        <v>70</v>
      </c>
      <c r="G7761">
        <v>2010</v>
      </c>
      <c r="H7761">
        <f>AVERAGEIFS(Table1[value],Table1[IndicatorCode],Table1[[#This Row],[IndicatorCode]])</f>
        <v>72.66514008620689</v>
      </c>
      <c r="I7761" cm="1">
        <f t="array" ref="I7761">_xlfn.STDEV.P(IF(Table1[IndicatorCode]=Table1[[#This Row],[IndicatorCode]],Table1[value]))</f>
        <v>6.3409496564024987</v>
      </c>
      <c r="J7761">
        <f>(Table1[[#This Row],[value]] - Table1[[#This Row],[mean]]) / Table1[[#This Row],[std_dev]]</f>
        <v>-0.4203061419224296</v>
      </c>
      <c r="K7761">
        <f>AVERAGEIF(Table1[CountryCode],Table1[[#This Row],[CountryCode]],Table1[z-score])</f>
        <v>-0.77202666663319364</v>
      </c>
      <c r="L7761" t="e">
        <f>VLOOKUP(Table1[[#This Row],[CountryCode]],[1]!Table1[#All],1,FALSE)</f>
        <v>#REF!</v>
      </c>
    </row>
    <row r="7762" spans="1:12" hidden="1" x14ac:dyDescent="0.3">
      <c r="A7762" t="s">
        <v>25</v>
      </c>
      <c r="B7762" t="s">
        <v>26</v>
      </c>
      <c r="C7762" t="s">
        <v>129</v>
      </c>
      <c r="D7762" t="s">
        <v>130</v>
      </c>
      <c r="E7762">
        <v>2009</v>
      </c>
      <c r="F7762" s="1">
        <v>70</v>
      </c>
      <c r="G7762">
        <v>2010</v>
      </c>
      <c r="H7762">
        <f>AVERAGEIFS(Table1[value],Table1[IndicatorCode],Table1[[#This Row],[IndicatorCode]])</f>
        <v>72.66514008620689</v>
      </c>
      <c r="I7762" cm="1">
        <f t="array" ref="I7762">_xlfn.STDEV.P(IF(Table1[IndicatorCode]=Table1[[#This Row],[IndicatorCode]],Table1[value]))</f>
        <v>6.3409496564024987</v>
      </c>
      <c r="J7762">
        <f>(Table1[[#This Row],[value]] - Table1[[#This Row],[mean]]) / Table1[[#This Row],[std_dev]]</f>
        <v>-0.4203061419224296</v>
      </c>
      <c r="K7762">
        <f>AVERAGEIF(Table1[CountryCode],Table1[[#This Row],[CountryCode]],Table1[z-score])</f>
        <v>-0.77202666663319364</v>
      </c>
      <c r="L7762" t="e">
        <f>VLOOKUP(Table1[[#This Row],[CountryCode]],[1]!Table1[#All],1,FALSE)</f>
        <v>#REF!</v>
      </c>
    </row>
    <row r="7763" spans="1:12" hidden="1" x14ac:dyDescent="0.3">
      <c r="A7763" t="s">
        <v>25</v>
      </c>
      <c r="B7763" t="s">
        <v>26</v>
      </c>
      <c r="C7763" t="s">
        <v>129</v>
      </c>
      <c r="D7763" t="s">
        <v>130</v>
      </c>
      <c r="E7763">
        <v>2010</v>
      </c>
      <c r="F7763" s="1">
        <v>70</v>
      </c>
      <c r="G7763">
        <v>2010</v>
      </c>
      <c r="H7763">
        <f>AVERAGEIFS(Table1[value],Table1[IndicatorCode],Table1[[#This Row],[IndicatorCode]])</f>
        <v>72.66514008620689</v>
      </c>
      <c r="I7763" cm="1">
        <f t="array" ref="I7763">_xlfn.STDEV.P(IF(Table1[IndicatorCode]=Table1[[#This Row],[IndicatorCode]],Table1[value]))</f>
        <v>6.3409496564024987</v>
      </c>
      <c r="J7763">
        <f>(Table1[[#This Row],[value]] - Table1[[#This Row],[mean]]) / Table1[[#This Row],[std_dev]]</f>
        <v>-0.4203061419224296</v>
      </c>
      <c r="K7763">
        <f>AVERAGEIF(Table1[CountryCode],Table1[[#This Row],[CountryCode]],Table1[z-score])</f>
        <v>-0.77202666663319364</v>
      </c>
      <c r="L7763" t="e">
        <f>VLOOKUP(Table1[[#This Row],[CountryCode]],[1]!Table1[#All],1,FALSE)</f>
        <v>#REF!</v>
      </c>
    </row>
    <row r="7764" spans="1:12" hidden="1" x14ac:dyDescent="0.3">
      <c r="A7764" t="s">
        <v>25</v>
      </c>
      <c r="B7764" t="s">
        <v>26</v>
      </c>
      <c r="C7764" t="s">
        <v>129</v>
      </c>
      <c r="D7764" t="s">
        <v>130</v>
      </c>
      <c r="E7764">
        <v>2011</v>
      </c>
      <c r="F7764" s="1">
        <v>71</v>
      </c>
      <c r="G7764">
        <v>2010</v>
      </c>
      <c r="H7764">
        <f>AVERAGEIFS(Table1[value],Table1[IndicatorCode],Table1[[#This Row],[IndicatorCode]])</f>
        <v>72.66514008620689</v>
      </c>
      <c r="I7764" cm="1">
        <f t="array" ref="I7764">_xlfn.STDEV.P(IF(Table1[IndicatorCode]=Table1[[#This Row],[IndicatorCode]],Table1[value]))</f>
        <v>6.3409496564024987</v>
      </c>
      <c r="J7764">
        <f>(Table1[[#This Row],[value]] - Table1[[#This Row],[mean]]) / Table1[[#This Row],[std_dev]]</f>
        <v>-0.2626010576389905</v>
      </c>
      <c r="K7764">
        <f>AVERAGEIF(Table1[CountryCode],Table1[[#This Row],[CountryCode]],Table1[z-score])</f>
        <v>-0.77202666663319364</v>
      </c>
      <c r="L7764" t="e">
        <f>VLOOKUP(Table1[[#This Row],[CountryCode]],[1]!Table1[#All],1,FALSE)</f>
        <v>#REF!</v>
      </c>
    </row>
    <row r="7765" spans="1:12" hidden="1" x14ac:dyDescent="0.3">
      <c r="A7765" t="s">
        <v>25</v>
      </c>
      <c r="B7765" t="s">
        <v>26</v>
      </c>
      <c r="C7765" t="s">
        <v>129</v>
      </c>
      <c r="D7765" t="s">
        <v>130</v>
      </c>
      <c r="E7765">
        <v>2012</v>
      </c>
      <c r="F7765" s="1">
        <v>72</v>
      </c>
      <c r="G7765">
        <v>2010</v>
      </c>
      <c r="H7765">
        <f>AVERAGEIFS(Table1[value],Table1[IndicatorCode],Table1[[#This Row],[IndicatorCode]])</f>
        <v>72.66514008620689</v>
      </c>
      <c r="I7765" cm="1">
        <f t="array" ref="I7765">_xlfn.STDEV.P(IF(Table1[IndicatorCode]=Table1[[#This Row],[IndicatorCode]],Table1[value]))</f>
        <v>6.3409496564024987</v>
      </c>
      <c r="J7765">
        <f>(Table1[[#This Row],[value]] - Table1[[#This Row],[mean]]) / Table1[[#This Row],[std_dev]]</f>
        <v>-0.10489597335555145</v>
      </c>
      <c r="K7765">
        <f>AVERAGEIF(Table1[CountryCode],Table1[[#This Row],[CountryCode]],Table1[z-score])</f>
        <v>-0.77202666663319364</v>
      </c>
      <c r="L7765" t="e">
        <f>VLOOKUP(Table1[[#This Row],[CountryCode]],[1]!Table1[#All],1,FALSE)</f>
        <v>#REF!</v>
      </c>
    </row>
    <row r="7766" spans="1:12" hidden="1" x14ac:dyDescent="0.3">
      <c r="A7766" t="s">
        <v>25</v>
      </c>
      <c r="B7766" t="s">
        <v>26</v>
      </c>
      <c r="C7766" t="s">
        <v>129</v>
      </c>
      <c r="D7766" t="s">
        <v>130</v>
      </c>
      <c r="E7766">
        <v>2013</v>
      </c>
      <c r="F7766" s="1">
        <v>72</v>
      </c>
      <c r="G7766">
        <v>2010</v>
      </c>
      <c r="H7766">
        <f>AVERAGEIFS(Table1[value],Table1[IndicatorCode],Table1[[#This Row],[IndicatorCode]])</f>
        <v>72.66514008620689</v>
      </c>
      <c r="I7766" cm="1">
        <f t="array" ref="I7766">_xlfn.STDEV.P(IF(Table1[IndicatorCode]=Table1[[#This Row],[IndicatorCode]],Table1[value]))</f>
        <v>6.3409496564024987</v>
      </c>
      <c r="J7766">
        <f>(Table1[[#This Row],[value]] - Table1[[#This Row],[mean]]) / Table1[[#This Row],[std_dev]]</f>
        <v>-0.10489597335555145</v>
      </c>
      <c r="K7766">
        <f>AVERAGEIF(Table1[CountryCode],Table1[[#This Row],[CountryCode]],Table1[z-score])</f>
        <v>-0.77202666663319364</v>
      </c>
      <c r="L7766" t="e">
        <f>VLOOKUP(Table1[[#This Row],[CountryCode]],[1]!Table1[#All],1,FALSE)</f>
        <v>#REF!</v>
      </c>
    </row>
    <row r="7767" spans="1:12" hidden="1" x14ac:dyDescent="0.3">
      <c r="A7767" t="s">
        <v>25</v>
      </c>
      <c r="B7767" t="s">
        <v>26</v>
      </c>
      <c r="C7767" t="s">
        <v>129</v>
      </c>
      <c r="D7767" t="s">
        <v>130</v>
      </c>
      <c r="E7767">
        <v>2014</v>
      </c>
      <c r="F7767" s="1">
        <v>73</v>
      </c>
      <c r="G7767">
        <v>2010</v>
      </c>
      <c r="H7767">
        <f>AVERAGEIFS(Table1[value],Table1[IndicatorCode],Table1[[#This Row],[IndicatorCode]])</f>
        <v>72.66514008620689</v>
      </c>
      <c r="I7767" cm="1">
        <f t="array" ref="I7767">_xlfn.STDEV.P(IF(Table1[IndicatorCode]=Table1[[#This Row],[IndicatorCode]],Table1[value]))</f>
        <v>6.3409496564024987</v>
      </c>
      <c r="J7767">
        <f>(Table1[[#This Row],[value]] - Table1[[#This Row],[mean]]) / Table1[[#This Row],[std_dev]]</f>
        <v>5.2809110927887599E-2</v>
      </c>
      <c r="K7767">
        <f>AVERAGEIF(Table1[CountryCode],Table1[[#This Row],[CountryCode]],Table1[z-score])</f>
        <v>-0.77202666663319364</v>
      </c>
      <c r="L7767" t="e">
        <f>VLOOKUP(Table1[[#This Row],[CountryCode]],[1]!Table1[#All],1,FALSE)</f>
        <v>#REF!</v>
      </c>
    </row>
    <row r="7768" spans="1:12" hidden="1" x14ac:dyDescent="0.3">
      <c r="A7768" t="s">
        <v>25</v>
      </c>
      <c r="B7768" t="s">
        <v>26</v>
      </c>
      <c r="C7768" t="s">
        <v>129</v>
      </c>
      <c r="D7768" t="s">
        <v>130</v>
      </c>
      <c r="E7768">
        <v>2015</v>
      </c>
      <c r="F7768" s="1">
        <v>74</v>
      </c>
      <c r="G7768">
        <v>2010</v>
      </c>
      <c r="H7768">
        <f>AVERAGEIFS(Table1[value],Table1[IndicatorCode],Table1[[#This Row],[IndicatorCode]])</f>
        <v>72.66514008620689</v>
      </c>
      <c r="I7768" cm="1">
        <f t="array" ref="I7768">_xlfn.STDEV.P(IF(Table1[IndicatorCode]=Table1[[#This Row],[IndicatorCode]],Table1[value]))</f>
        <v>6.3409496564024987</v>
      </c>
      <c r="J7768">
        <f>(Table1[[#This Row],[value]] - Table1[[#This Row],[mean]]) / Table1[[#This Row],[std_dev]]</f>
        <v>0.21051419521132667</v>
      </c>
      <c r="K7768">
        <f>AVERAGEIF(Table1[CountryCode],Table1[[#This Row],[CountryCode]],Table1[z-score])</f>
        <v>-0.77202666663319364</v>
      </c>
      <c r="L7768" t="e">
        <f>VLOOKUP(Table1[[#This Row],[CountryCode]],[1]!Table1[#All],1,FALSE)</f>
        <v>#REF!</v>
      </c>
    </row>
    <row r="7769" spans="1:12" hidden="1" x14ac:dyDescent="0.3">
      <c r="A7769" t="s">
        <v>25</v>
      </c>
      <c r="B7769" t="s">
        <v>26</v>
      </c>
      <c r="C7769" t="s">
        <v>129</v>
      </c>
      <c r="D7769" t="s">
        <v>130</v>
      </c>
      <c r="E7769">
        <v>2016</v>
      </c>
      <c r="F7769" s="1">
        <v>74</v>
      </c>
      <c r="G7769">
        <v>2010</v>
      </c>
      <c r="H7769">
        <f>AVERAGEIFS(Table1[value],Table1[IndicatorCode],Table1[[#This Row],[IndicatorCode]])</f>
        <v>72.66514008620689</v>
      </c>
      <c r="I7769" cm="1">
        <f t="array" ref="I7769">_xlfn.STDEV.P(IF(Table1[IndicatorCode]=Table1[[#This Row],[IndicatorCode]],Table1[value]))</f>
        <v>6.3409496564024987</v>
      </c>
      <c r="J7769">
        <f>(Table1[[#This Row],[value]] - Table1[[#This Row],[mean]]) / Table1[[#This Row],[std_dev]]</f>
        <v>0.21051419521132667</v>
      </c>
      <c r="K7769">
        <f>AVERAGEIF(Table1[CountryCode],Table1[[#This Row],[CountryCode]],Table1[z-score])</f>
        <v>-0.77202666663319364</v>
      </c>
      <c r="L7769" t="e">
        <f>VLOOKUP(Table1[[#This Row],[CountryCode]],[1]!Table1[#All],1,FALSE)</f>
        <v>#REF!</v>
      </c>
    </row>
    <row r="7770" spans="1:12" hidden="1" x14ac:dyDescent="0.3">
      <c r="A7770" t="s">
        <v>25</v>
      </c>
      <c r="B7770" t="s">
        <v>26</v>
      </c>
      <c r="C7770" t="s">
        <v>129</v>
      </c>
      <c r="D7770" t="s">
        <v>130</v>
      </c>
      <c r="E7770">
        <v>2017</v>
      </c>
      <c r="F7770" s="1">
        <v>74</v>
      </c>
      <c r="G7770">
        <v>2020</v>
      </c>
      <c r="H7770">
        <f>AVERAGEIFS(Table1[value],Table1[IndicatorCode],Table1[[#This Row],[IndicatorCode]])</f>
        <v>72.66514008620689</v>
      </c>
      <c r="I7770" cm="1">
        <f t="array" ref="I7770">_xlfn.STDEV.P(IF(Table1[IndicatorCode]=Table1[[#This Row],[IndicatorCode]],Table1[value]))</f>
        <v>6.3409496564024987</v>
      </c>
      <c r="J7770">
        <f>(Table1[[#This Row],[value]] - Table1[[#This Row],[mean]]) / Table1[[#This Row],[std_dev]]</f>
        <v>0.21051419521132667</v>
      </c>
      <c r="K7770">
        <f>AVERAGEIF(Table1[CountryCode],Table1[[#This Row],[CountryCode]],Table1[z-score])</f>
        <v>-0.77202666663319364</v>
      </c>
      <c r="L7770" t="e">
        <f>VLOOKUP(Table1[[#This Row],[CountryCode]],[1]!Table1[#All],1,FALSE)</f>
        <v>#REF!</v>
      </c>
    </row>
    <row r="7771" spans="1:12" hidden="1" x14ac:dyDescent="0.3">
      <c r="A7771" t="s">
        <v>25</v>
      </c>
      <c r="B7771" t="s">
        <v>26</v>
      </c>
      <c r="C7771" t="s">
        <v>129</v>
      </c>
      <c r="D7771" t="s">
        <v>130</v>
      </c>
      <c r="E7771">
        <v>2018</v>
      </c>
      <c r="F7771" s="1">
        <v>74</v>
      </c>
      <c r="G7771">
        <v>2020</v>
      </c>
      <c r="H7771">
        <f>AVERAGEIFS(Table1[value],Table1[IndicatorCode],Table1[[#This Row],[IndicatorCode]])</f>
        <v>72.66514008620689</v>
      </c>
      <c r="I7771" cm="1">
        <f t="array" ref="I7771">_xlfn.STDEV.P(IF(Table1[IndicatorCode]=Table1[[#This Row],[IndicatorCode]],Table1[value]))</f>
        <v>6.3409496564024987</v>
      </c>
      <c r="J7771">
        <f>(Table1[[#This Row],[value]] - Table1[[#This Row],[mean]]) / Table1[[#This Row],[std_dev]]</f>
        <v>0.21051419521132667</v>
      </c>
      <c r="K7771">
        <f>AVERAGEIF(Table1[CountryCode],Table1[[#This Row],[CountryCode]],Table1[z-score])</f>
        <v>-0.77202666663319364</v>
      </c>
      <c r="L7771" t="e">
        <f>VLOOKUP(Table1[[#This Row],[CountryCode]],[1]!Table1[#All],1,FALSE)</f>
        <v>#REF!</v>
      </c>
    </row>
    <row r="7772" spans="1:12" hidden="1" x14ac:dyDescent="0.3">
      <c r="A7772" t="s">
        <v>25</v>
      </c>
      <c r="B7772" t="s">
        <v>26</v>
      </c>
      <c r="C7772" t="s">
        <v>129</v>
      </c>
      <c r="D7772" t="s">
        <v>130</v>
      </c>
      <c r="E7772">
        <v>2019</v>
      </c>
      <c r="F7772" s="1">
        <v>74</v>
      </c>
      <c r="G7772">
        <v>2020</v>
      </c>
      <c r="H7772">
        <f>AVERAGEIFS(Table1[value],Table1[IndicatorCode],Table1[[#This Row],[IndicatorCode]])</f>
        <v>72.66514008620689</v>
      </c>
      <c r="I7772" cm="1">
        <f t="array" ref="I7772">_xlfn.STDEV.P(IF(Table1[IndicatorCode]=Table1[[#This Row],[IndicatorCode]],Table1[value]))</f>
        <v>6.3409496564024987</v>
      </c>
      <c r="J7772">
        <f>(Table1[[#This Row],[value]] - Table1[[#This Row],[mean]]) / Table1[[#This Row],[std_dev]]</f>
        <v>0.21051419521132667</v>
      </c>
      <c r="K7772">
        <f>AVERAGEIF(Table1[CountryCode],Table1[[#This Row],[CountryCode]],Table1[z-score])</f>
        <v>-0.77202666663319364</v>
      </c>
      <c r="L7772" t="e">
        <f>VLOOKUP(Table1[[#This Row],[CountryCode]],[1]!Table1[#All],1,FALSE)</f>
        <v>#REF!</v>
      </c>
    </row>
    <row r="7773" spans="1:12" x14ac:dyDescent="0.3">
      <c r="A7773" t="s">
        <v>25</v>
      </c>
      <c r="B7773" t="s">
        <v>26</v>
      </c>
      <c r="C7773" t="s">
        <v>129</v>
      </c>
      <c r="D7773" t="s">
        <v>130</v>
      </c>
      <c r="E7773">
        <v>2020</v>
      </c>
      <c r="F7773" s="1">
        <v>72</v>
      </c>
      <c r="G7773">
        <v>2020</v>
      </c>
      <c r="H7773">
        <f>AVERAGEIFS(Table1[value],Table1[IndicatorCode],Table1[[#This Row],[IndicatorCode]])</f>
        <v>72.66514008620689</v>
      </c>
      <c r="I7773" cm="1">
        <f t="array" ref="I7773">_xlfn.STDEV.P(IF(Table1[IndicatorCode]=Table1[[#This Row],[IndicatorCode]],Table1[value]))</f>
        <v>6.3409496564024987</v>
      </c>
      <c r="J7773">
        <f>(Table1[[#This Row],[value]] - Table1[[#This Row],[mean]]) / Table1[[#This Row],[std_dev]]</f>
        <v>-0.10489597335555145</v>
      </c>
      <c r="K7773">
        <f>AVERAGEIF(Table1[CountryCode],Table1[[#This Row],[CountryCode]],Table1[z-score])</f>
        <v>-0.77202666663319364</v>
      </c>
    </row>
    <row r="7774" spans="1:12" hidden="1" x14ac:dyDescent="0.3">
      <c r="A7774" t="s">
        <v>25</v>
      </c>
      <c r="B7774" t="s">
        <v>26</v>
      </c>
      <c r="C7774" t="s">
        <v>129</v>
      </c>
      <c r="D7774" t="s">
        <v>130</v>
      </c>
      <c r="E7774">
        <v>2021</v>
      </c>
      <c r="F7774" s="1">
        <v>72</v>
      </c>
      <c r="G7774">
        <v>1960</v>
      </c>
      <c r="H7774">
        <f>AVERAGEIFS(Table1[value],Table1[IndicatorCode],Table1[[#This Row],[IndicatorCode]])</f>
        <v>72.66514008620689</v>
      </c>
      <c r="I7774" cm="1">
        <f t="array" ref="I7774">_xlfn.STDEV.P(IF(Table1[IndicatorCode]=Table1[[#This Row],[IndicatorCode]],Table1[value]))</f>
        <v>6.3409496564024987</v>
      </c>
      <c r="J7774">
        <f>(Table1[[#This Row],[value]] - Table1[[#This Row],[mean]]) / Table1[[#This Row],[std_dev]]</f>
        <v>-0.10489597335555145</v>
      </c>
      <c r="K7774">
        <f>AVERAGEIF(Table1[CountryCode],Table1[[#This Row],[CountryCode]],Table1[z-score])</f>
        <v>-0.77202666663319364</v>
      </c>
      <c r="L7774" t="e">
        <f>VLOOKUP(Table1[[#This Row],[CountryCode]],[1]!Table1[#All],1,FALSE)</f>
        <v>#REF!</v>
      </c>
    </row>
    <row r="7775" spans="1:12" hidden="1" x14ac:dyDescent="0.3">
      <c r="A7775" t="s">
        <v>25</v>
      </c>
      <c r="B7775" t="s">
        <v>26</v>
      </c>
      <c r="C7775" t="s">
        <v>129</v>
      </c>
      <c r="D7775" t="s">
        <v>130</v>
      </c>
      <c r="E7775">
        <v>2022</v>
      </c>
      <c r="F7775" s="1">
        <v>74</v>
      </c>
      <c r="G7775">
        <v>1960</v>
      </c>
      <c r="H7775">
        <f>AVERAGEIFS(Table1[value],Table1[IndicatorCode],Table1[[#This Row],[IndicatorCode]])</f>
        <v>72.66514008620689</v>
      </c>
      <c r="I7775" cm="1">
        <f t="array" ref="I7775">_xlfn.STDEV.P(IF(Table1[IndicatorCode]=Table1[[#This Row],[IndicatorCode]],Table1[value]))</f>
        <v>6.3409496564024987</v>
      </c>
      <c r="J7775">
        <f>(Table1[[#This Row],[value]] - Table1[[#This Row],[mean]]) / Table1[[#This Row],[std_dev]]</f>
        <v>0.21051419521132667</v>
      </c>
      <c r="K7775">
        <f>AVERAGEIF(Table1[CountryCode],Table1[[#This Row],[CountryCode]],Table1[z-score])</f>
        <v>-0.77202666663319364</v>
      </c>
      <c r="L7775" t="e">
        <f>VLOOKUP(Table1[[#This Row],[CountryCode]],[1]!Table1[#All],1,FALSE)</f>
        <v>#REF!</v>
      </c>
    </row>
    <row r="7776" spans="1:12" hidden="1" x14ac:dyDescent="0.3">
      <c r="A7776" t="s">
        <v>25</v>
      </c>
      <c r="B7776" t="s">
        <v>26</v>
      </c>
      <c r="C7776" t="s">
        <v>129</v>
      </c>
      <c r="D7776" t="s">
        <v>130</v>
      </c>
      <c r="E7776">
        <v>2023</v>
      </c>
      <c r="F7776" s="1">
        <v>74</v>
      </c>
      <c r="G7776">
        <v>1960</v>
      </c>
      <c r="H7776">
        <f>AVERAGEIFS(Table1[value],Table1[IndicatorCode],Table1[[#This Row],[IndicatorCode]])</f>
        <v>72.66514008620689</v>
      </c>
      <c r="I7776" cm="1">
        <f t="array" ref="I7776">_xlfn.STDEV.P(IF(Table1[IndicatorCode]=Table1[[#This Row],[IndicatorCode]],Table1[value]))</f>
        <v>6.3409496564024987</v>
      </c>
      <c r="J7776">
        <f>(Table1[[#This Row],[value]] - Table1[[#This Row],[mean]]) / Table1[[#This Row],[std_dev]]</f>
        <v>0.21051419521132667</v>
      </c>
      <c r="K7776">
        <f>AVERAGEIF(Table1[CountryCode],Table1[[#This Row],[CountryCode]],Table1[z-score])</f>
        <v>-0.77202666663319364</v>
      </c>
      <c r="L7776" t="e">
        <f>VLOOKUP(Table1[[#This Row],[CountryCode]],[1]!Table1[#All],1,FALSE)</f>
        <v>#REF!</v>
      </c>
    </row>
    <row r="7777" spans="1:12" hidden="1" x14ac:dyDescent="0.3">
      <c r="A7777" t="s">
        <v>27</v>
      </c>
      <c r="B7777" t="s">
        <v>28</v>
      </c>
      <c r="C7777" t="s">
        <v>129</v>
      </c>
      <c r="D7777" t="s">
        <v>130</v>
      </c>
      <c r="E7777">
        <v>1960</v>
      </c>
      <c r="F7777" s="1">
        <v>71</v>
      </c>
      <c r="G7777">
        <v>1960</v>
      </c>
      <c r="H7777">
        <f>AVERAGEIFS(Table1[value],Table1[IndicatorCode],Table1[[#This Row],[IndicatorCode]])</f>
        <v>72.66514008620689</v>
      </c>
      <c r="I7777" cm="1">
        <f t="array" ref="I7777">_xlfn.STDEV.P(IF(Table1[IndicatorCode]=Table1[[#This Row],[IndicatorCode]],Table1[value]))</f>
        <v>6.3409496564024987</v>
      </c>
      <c r="J7777">
        <f>(Table1[[#This Row],[value]] - Table1[[#This Row],[mean]]) / Table1[[#This Row],[std_dev]]</f>
        <v>-0.2626010576389905</v>
      </c>
      <c r="K7777">
        <f>AVERAGEIF(Table1[CountryCode],Table1[[#This Row],[CountryCode]],Table1[z-score])</f>
        <v>0.68174026806790211</v>
      </c>
      <c r="L7777" t="e">
        <f>VLOOKUP(Table1[[#This Row],[CountryCode]],[1]!Table1[#All],1,FALSE)</f>
        <v>#REF!</v>
      </c>
    </row>
    <row r="7778" spans="1:12" hidden="1" x14ac:dyDescent="0.3">
      <c r="A7778" t="s">
        <v>27</v>
      </c>
      <c r="B7778" t="s">
        <v>28</v>
      </c>
      <c r="C7778" t="s">
        <v>129</v>
      </c>
      <c r="D7778" t="s">
        <v>130</v>
      </c>
      <c r="E7778">
        <v>1961</v>
      </c>
      <c r="F7778" s="1">
        <v>72</v>
      </c>
      <c r="G7778">
        <v>1960</v>
      </c>
      <c r="H7778">
        <f>AVERAGEIFS(Table1[value],Table1[IndicatorCode],Table1[[#This Row],[IndicatorCode]])</f>
        <v>72.66514008620689</v>
      </c>
      <c r="I7778" cm="1">
        <f t="array" ref="I7778">_xlfn.STDEV.P(IF(Table1[IndicatorCode]=Table1[[#This Row],[IndicatorCode]],Table1[value]))</f>
        <v>6.3409496564024987</v>
      </c>
      <c r="J7778">
        <f>(Table1[[#This Row],[value]] - Table1[[#This Row],[mean]]) / Table1[[#This Row],[std_dev]]</f>
        <v>-0.10489597335555145</v>
      </c>
      <c r="K7778">
        <f>AVERAGEIF(Table1[CountryCode],Table1[[#This Row],[CountryCode]],Table1[z-score])</f>
        <v>0.68174026806790211</v>
      </c>
      <c r="L7778" t="e">
        <f>VLOOKUP(Table1[[#This Row],[CountryCode]],[1]!Table1[#All],1,FALSE)</f>
        <v>#REF!</v>
      </c>
    </row>
    <row r="7779" spans="1:12" hidden="1" x14ac:dyDescent="0.3">
      <c r="A7779" t="s">
        <v>27</v>
      </c>
      <c r="B7779" t="s">
        <v>28</v>
      </c>
      <c r="C7779" t="s">
        <v>129</v>
      </c>
      <c r="D7779" t="s">
        <v>130</v>
      </c>
      <c r="E7779">
        <v>1962</v>
      </c>
      <c r="F7779" s="1">
        <v>71</v>
      </c>
      <c r="G7779">
        <v>1960</v>
      </c>
      <c r="H7779">
        <f>AVERAGEIFS(Table1[value],Table1[IndicatorCode],Table1[[#This Row],[IndicatorCode]])</f>
        <v>72.66514008620689</v>
      </c>
      <c r="I7779" cm="1">
        <f t="array" ref="I7779">_xlfn.STDEV.P(IF(Table1[IndicatorCode]=Table1[[#This Row],[IndicatorCode]],Table1[value]))</f>
        <v>6.3409496564024987</v>
      </c>
      <c r="J7779">
        <f>(Table1[[#This Row],[value]] - Table1[[#This Row],[mean]]) / Table1[[#This Row],[std_dev]]</f>
        <v>-0.2626010576389905</v>
      </c>
      <c r="K7779">
        <f>AVERAGEIF(Table1[CountryCode],Table1[[#This Row],[CountryCode]],Table1[z-score])</f>
        <v>0.68174026806790211</v>
      </c>
      <c r="L7779" t="e">
        <f>VLOOKUP(Table1[[#This Row],[CountryCode]],[1]!Table1[#All],1,FALSE)</f>
        <v>#REF!</v>
      </c>
    </row>
    <row r="7780" spans="1:12" hidden="1" x14ac:dyDescent="0.3">
      <c r="A7780" t="s">
        <v>27</v>
      </c>
      <c r="B7780" t="s">
        <v>28</v>
      </c>
      <c r="C7780" t="s">
        <v>129</v>
      </c>
      <c r="D7780" t="s">
        <v>130</v>
      </c>
      <c r="E7780">
        <v>1963</v>
      </c>
      <c r="F7780" s="1">
        <v>71</v>
      </c>
      <c r="G7780">
        <v>1960</v>
      </c>
      <c r="H7780">
        <f>AVERAGEIFS(Table1[value],Table1[IndicatorCode],Table1[[#This Row],[IndicatorCode]])</f>
        <v>72.66514008620689</v>
      </c>
      <c r="I7780" cm="1">
        <f t="array" ref="I7780">_xlfn.STDEV.P(IF(Table1[IndicatorCode]=Table1[[#This Row],[IndicatorCode]],Table1[value]))</f>
        <v>6.3409496564024987</v>
      </c>
      <c r="J7780">
        <f>(Table1[[#This Row],[value]] - Table1[[#This Row],[mean]]) / Table1[[#This Row],[std_dev]]</f>
        <v>-0.2626010576389905</v>
      </c>
      <c r="K7780">
        <f>AVERAGEIF(Table1[CountryCode],Table1[[#This Row],[CountryCode]],Table1[z-score])</f>
        <v>0.68174026806790211</v>
      </c>
      <c r="L7780" t="e">
        <f>VLOOKUP(Table1[[#This Row],[CountryCode]],[1]!Table1[#All],1,FALSE)</f>
        <v>#REF!</v>
      </c>
    </row>
    <row r="7781" spans="1:12" hidden="1" x14ac:dyDescent="0.3">
      <c r="A7781" t="s">
        <v>27</v>
      </c>
      <c r="B7781" t="s">
        <v>28</v>
      </c>
      <c r="C7781" t="s">
        <v>129</v>
      </c>
      <c r="D7781" t="s">
        <v>130</v>
      </c>
      <c r="E7781">
        <v>1964</v>
      </c>
      <c r="F7781" s="1">
        <v>72</v>
      </c>
      <c r="G7781">
        <v>1960</v>
      </c>
      <c r="H7781">
        <f>AVERAGEIFS(Table1[value],Table1[IndicatorCode],Table1[[#This Row],[IndicatorCode]])</f>
        <v>72.66514008620689</v>
      </c>
      <c r="I7781" cm="1">
        <f t="array" ref="I7781">_xlfn.STDEV.P(IF(Table1[IndicatorCode]=Table1[[#This Row],[IndicatorCode]],Table1[value]))</f>
        <v>6.3409496564024987</v>
      </c>
      <c r="J7781">
        <f>(Table1[[#This Row],[value]] - Table1[[#This Row],[mean]]) / Table1[[#This Row],[std_dev]]</f>
        <v>-0.10489597335555145</v>
      </c>
      <c r="K7781">
        <f>AVERAGEIF(Table1[CountryCode],Table1[[#This Row],[CountryCode]],Table1[z-score])</f>
        <v>0.68174026806790211</v>
      </c>
      <c r="L7781" t="e">
        <f>VLOOKUP(Table1[[#This Row],[CountryCode]],[1]!Table1[#All],1,FALSE)</f>
        <v>#REF!</v>
      </c>
    </row>
    <row r="7782" spans="1:12" hidden="1" x14ac:dyDescent="0.3">
      <c r="A7782" t="s">
        <v>27</v>
      </c>
      <c r="B7782" t="s">
        <v>28</v>
      </c>
      <c r="C7782" t="s">
        <v>129</v>
      </c>
      <c r="D7782" t="s">
        <v>130</v>
      </c>
      <c r="E7782">
        <v>1965</v>
      </c>
      <c r="F7782" s="1">
        <v>72</v>
      </c>
      <c r="G7782">
        <v>1960</v>
      </c>
      <c r="H7782">
        <f>AVERAGEIFS(Table1[value],Table1[IndicatorCode],Table1[[#This Row],[IndicatorCode]])</f>
        <v>72.66514008620689</v>
      </c>
      <c r="I7782" cm="1">
        <f t="array" ref="I7782">_xlfn.STDEV.P(IF(Table1[IndicatorCode]=Table1[[#This Row],[IndicatorCode]],Table1[value]))</f>
        <v>6.3409496564024987</v>
      </c>
      <c r="J7782">
        <f>(Table1[[#This Row],[value]] - Table1[[#This Row],[mean]]) / Table1[[#This Row],[std_dev]]</f>
        <v>-0.10489597335555145</v>
      </c>
      <c r="K7782">
        <f>AVERAGEIF(Table1[CountryCode],Table1[[#This Row],[CountryCode]],Table1[z-score])</f>
        <v>0.68174026806790211</v>
      </c>
      <c r="L7782" t="e">
        <f>VLOOKUP(Table1[[#This Row],[CountryCode]],[1]!Table1[#All],1,FALSE)</f>
        <v>#REF!</v>
      </c>
    </row>
    <row r="7783" spans="1:12" hidden="1" x14ac:dyDescent="0.3">
      <c r="A7783" t="s">
        <v>27</v>
      </c>
      <c r="B7783" t="s">
        <v>28</v>
      </c>
      <c r="C7783" t="s">
        <v>129</v>
      </c>
      <c r="D7783" t="s">
        <v>130</v>
      </c>
      <c r="E7783">
        <v>1966</v>
      </c>
      <c r="F7783" s="1">
        <v>72</v>
      </c>
      <c r="G7783">
        <v>1960</v>
      </c>
      <c r="H7783">
        <f>AVERAGEIFS(Table1[value],Table1[IndicatorCode],Table1[[#This Row],[IndicatorCode]])</f>
        <v>72.66514008620689</v>
      </c>
      <c r="I7783" cm="1">
        <f t="array" ref="I7783">_xlfn.STDEV.P(IF(Table1[IndicatorCode]=Table1[[#This Row],[IndicatorCode]],Table1[value]))</f>
        <v>6.3409496564024987</v>
      </c>
      <c r="J7783">
        <f>(Table1[[#This Row],[value]] - Table1[[#This Row],[mean]]) / Table1[[#This Row],[std_dev]]</f>
        <v>-0.10489597335555145</v>
      </c>
      <c r="K7783">
        <f>AVERAGEIF(Table1[CountryCode],Table1[[#This Row],[CountryCode]],Table1[z-score])</f>
        <v>0.68174026806790211</v>
      </c>
      <c r="L7783" t="e">
        <f>VLOOKUP(Table1[[#This Row],[CountryCode]],[1]!Table1[#All],1,FALSE)</f>
        <v>#REF!</v>
      </c>
    </row>
    <row r="7784" spans="1:12" hidden="1" x14ac:dyDescent="0.3">
      <c r="A7784" t="s">
        <v>27</v>
      </c>
      <c r="B7784" t="s">
        <v>28</v>
      </c>
      <c r="C7784" t="s">
        <v>129</v>
      </c>
      <c r="D7784" t="s">
        <v>130</v>
      </c>
      <c r="E7784">
        <v>1967</v>
      </c>
      <c r="F7784" s="1">
        <v>73</v>
      </c>
      <c r="G7784">
        <v>1970</v>
      </c>
      <c r="H7784">
        <f>AVERAGEIFS(Table1[value],Table1[IndicatorCode],Table1[[#This Row],[IndicatorCode]])</f>
        <v>72.66514008620689</v>
      </c>
      <c r="I7784" cm="1">
        <f t="array" ref="I7784">_xlfn.STDEV.P(IF(Table1[IndicatorCode]=Table1[[#This Row],[IndicatorCode]],Table1[value]))</f>
        <v>6.3409496564024987</v>
      </c>
      <c r="J7784">
        <f>(Table1[[#This Row],[value]] - Table1[[#This Row],[mean]]) / Table1[[#This Row],[std_dev]]</f>
        <v>5.2809110927887599E-2</v>
      </c>
      <c r="K7784">
        <f>AVERAGEIF(Table1[CountryCode],Table1[[#This Row],[CountryCode]],Table1[z-score])</f>
        <v>0.68174026806790211</v>
      </c>
      <c r="L7784" t="e">
        <f>VLOOKUP(Table1[[#This Row],[CountryCode]],[1]!Table1[#All],1,FALSE)</f>
        <v>#REF!</v>
      </c>
    </row>
    <row r="7785" spans="1:12" hidden="1" x14ac:dyDescent="0.3">
      <c r="A7785" t="s">
        <v>27</v>
      </c>
      <c r="B7785" t="s">
        <v>28</v>
      </c>
      <c r="C7785" t="s">
        <v>129</v>
      </c>
      <c r="D7785" t="s">
        <v>130</v>
      </c>
      <c r="E7785">
        <v>1968</v>
      </c>
      <c r="F7785" s="1">
        <v>73</v>
      </c>
      <c r="G7785">
        <v>1970</v>
      </c>
      <c r="H7785">
        <f>AVERAGEIFS(Table1[value],Table1[IndicatorCode],Table1[[#This Row],[IndicatorCode]])</f>
        <v>72.66514008620689</v>
      </c>
      <c r="I7785" cm="1">
        <f t="array" ref="I7785">_xlfn.STDEV.P(IF(Table1[IndicatorCode]=Table1[[#This Row],[IndicatorCode]],Table1[value]))</f>
        <v>6.3409496564024987</v>
      </c>
      <c r="J7785">
        <f>(Table1[[#This Row],[value]] - Table1[[#This Row],[mean]]) / Table1[[#This Row],[std_dev]]</f>
        <v>5.2809110927887599E-2</v>
      </c>
      <c r="K7785">
        <f>AVERAGEIF(Table1[CountryCode],Table1[[#This Row],[CountryCode]],Table1[z-score])</f>
        <v>0.68174026806790211</v>
      </c>
      <c r="L7785" t="e">
        <f>VLOOKUP(Table1[[#This Row],[CountryCode]],[1]!Table1[#All],1,FALSE)</f>
        <v>#REF!</v>
      </c>
    </row>
    <row r="7786" spans="1:12" hidden="1" x14ac:dyDescent="0.3">
      <c r="A7786" t="s">
        <v>27</v>
      </c>
      <c r="B7786" t="s">
        <v>28</v>
      </c>
      <c r="C7786" t="s">
        <v>129</v>
      </c>
      <c r="D7786" t="s">
        <v>130</v>
      </c>
      <c r="E7786">
        <v>1969</v>
      </c>
      <c r="F7786" s="1">
        <v>73</v>
      </c>
      <c r="G7786">
        <v>1970</v>
      </c>
      <c r="H7786">
        <f>AVERAGEIFS(Table1[value],Table1[IndicatorCode],Table1[[#This Row],[IndicatorCode]])</f>
        <v>72.66514008620689</v>
      </c>
      <c r="I7786" cm="1">
        <f t="array" ref="I7786">_xlfn.STDEV.P(IF(Table1[IndicatorCode]=Table1[[#This Row],[IndicatorCode]],Table1[value]))</f>
        <v>6.3409496564024987</v>
      </c>
      <c r="J7786">
        <f>(Table1[[#This Row],[value]] - Table1[[#This Row],[mean]]) / Table1[[#This Row],[std_dev]]</f>
        <v>5.2809110927887599E-2</v>
      </c>
      <c r="K7786">
        <f>AVERAGEIF(Table1[CountryCode],Table1[[#This Row],[CountryCode]],Table1[z-score])</f>
        <v>0.68174026806790211</v>
      </c>
      <c r="L7786" t="e">
        <f>VLOOKUP(Table1[[#This Row],[CountryCode]],[1]!Table1[#All],1,FALSE)</f>
        <v>#REF!</v>
      </c>
    </row>
    <row r="7787" spans="1:12" hidden="1" x14ac:dyDescent="0.3">
      <c r="A7787" t="s">
        <v>27</v>
      </c>
      <c r="B7787" t="s">
        <v>28</v>
      </c>
      <c r="C7787" t="s">
        <v>129</v>
      </c>
      <c r="D7787" t="s">
        <v>130</v>
      </c>
      <c r="E7787">
        <v>1970</v>
      </c>
      <c r="F7787" s="1">
        <v>73</v>
      </c>
      <c r="G7787">
        <v>1970</v>
      </c>
      <c r="H7787">
        <f>AVERAGEIFS(Table1[value],Table1[IndicatorCode],Table1[[#This Row],[IndicatorCode]])</f>
        <v>72.66514008620689</v>
      </c>
      <c r="I7787" cm="1">
        <f t="array" ref="I7787">_xlfn.STDEV.P(IF(Table1[IndicatorCode]=Table1[[#This Row],[IndicatorCode]],Table1[value]))</f>
        <v>6.3409496564024987</v>
      </c>
      <c r="J7787">
        <f>(Table1[[#This Row],[value]] - Table1[[#This Row],[mean]]) / Table1[[#This Row],[std_dev]]</f>
        <v>5.2809110927887599E-2</v>
      </c>
      <c r="K7787">
        <f>AVERAGEIF(Table1[CountryCode],Table1[[#This Row],[CountryCode]],Table1[z-score])</f>
        <v>0.68174026806790211</v>
      </c>
      <c r="L7787" t="e">
        <f>VLOOKUP(Table1[[#This Row],[CountryCode]],[1]!Table1[#All],1,FALSE)</f>
        <v>#REF!</v>
      </c>
    </row>
    <row r="7788" spans="1:12" hidden="1" x14ac:dyDescent="0.3">
      <c r="A7788" t="s">
        <v>27</v>
      </c>
      <c r="B7788" t="s">
        <v>28</v>
      </c>
      <c r="C7788" t="s">
        <v>129</v>
      </c>
      <c r="D7788" t="s">
        <v>130</v>
      </c>
      <c r="E7788">
        <v>1971</v>
      </c>
      <c r="F7788" s="1">
        <v>73</v>
      </c>
      <c r="G7788">
        <v>1970</v>
      </c>
      <c r="H7788">
        <f>AVERAGEIFS(Table1[value],Table1[IndicatorCode],Table1[[#This Row],[IndicatorCode]])</f>
        <v>72.66514008620689</v>
      </c>
      <c r="I7788" cm="1">
        <f t="array" ref="I7788">_xlfn.STDEV.P(IF(Table1[IndicatorCode]=Table1[[#This Row],[IndicatorCode]],Table1[value]))</f>
        <v>6.3409496564024987</v>
      </c>
      <c r="J7788">
        <f>(Table1[[#This Row],[value]] - Table1[[#This Row],[mean]]) / Table1[[#This Row],[std_dev]]</f>
        <v>5.2809110927887599E-2</v>
      </c>
      <c r="K7788">
        <f>AVERAGEIF(Table1[CountryCode],Table1[[#This Row],[CountryCode]],Table1[z-score])</f>
        <v>0.68174026806790211</v>
      </c>
      <c r="L7788" t="e">
        <f>VLOOKUP(Table1[[#This Row],[CountryCode]],[1]!Table1[#All],1,FALSE)</f>
        <v>#REF!</v>
      </c>
    </row>
    <row r="7789" spans="1:12" hidden="1" x14ac:dyDescent="0.3">
      <c r="A7789" t="s">
        <v>27</v>
      </c>
      <c r="B7789" t="s">
        <v>28</v>
      </c>
      <c r="C7789" t="s">
        <v>129</v>
      </c>
      <c r="D7789" t="s">
        <v>130</v>
      </c>
      <c r="E7789">
        <v>1972</v>
      </c>
      <c r="F7789" s="1">
        <v>74</v>
      </c>
      <c r="G7789">
        <v>1970</v>
      </c>
      <c r="H7789">
        <f>AVERAGEIFS(Table1[value],Table1[IndicatorCode],Table1[[#This Row],[IndicatorCode]])</f>
        <v>72.66514008620689</v>
      </c>
      <c r="I7789" cm="1">
        <f t="array" ref="I7789">_xlfn.STDEV.P(IF(Table1[IndicatorCode]=Table1[[#This Row],[IndicatorCode]],Table1[value]))</f>
        <v>6.3409496564024987</v>
      </c>
      <c r="J7789">
        <f>(Table1[[#This Row],[value]] - Table1[[#This Row],[mean]]) / Table1[[#This Row],[std_dev]]</f>
        <v>0.21051419521132667</v>
      </c>
      <c r="K7789">
        <f>AVERAGEIF(Table1[CountryCode],Table1[[#This Row],[CountryCode]],Table1[z-score])</f>
        <v>0.68174026806790211</v>
      </c>
      <c r="L7789" t="e">
        <f>VLOOKUP(Table1[[#This Row],[CountryCode]],[1]!Table1[#All],1,FALSE)</f>
        <v>#REF!</v>
      </c>
    </row>
    <row r="7790" spans="1:12" hidden="1" x14ac:dyDescent="0.3">
      <c r="A7790" t="s">
        <v>27</v>
      </c>
      <c r="B7790" t="s">
        <v>28</v>
      </c>
      <c r="C7790" t="s">
        <v>129</v>
      </c>
      <c r="D7790" t="s">
        <v>130</v>
      </c>
      <c r="E7790">
        <v>1973</v>
      </c>
      <c r="F7790" s="1">
        <v>74</v>
      </c>
      <c r="G7790">
        <v>1970</v>
      </c>
      <c r="H7790">
        <f>AVERAGEIFS(Table1[value],Table1[IndicatorCode],Table1[[#This Row],[IndicatorCode]])</f>
        <v>72.66514008620689</v>
      </c>
      <c r="I7790" cm="1">
        <f t="array" ref="I7790">_xlfn.STDEV.P(IF(Table1[IndicatorCode]=Table1[[#This Row],[IndicatorCode]],Table1[value]))</f>
        <v>6.3409496564024987</v>
      </c>
      <c r="J7790">
        <f>(Table1[[#This Row],[value]] - Table1[[#This Row],[mean]]) / Table1[[#This Row],[std_dev]]</f>
        <v>0.21051419521132667</v>
      </c>
      <c r="K7790">
        <f>AVERAGEIF(Table1[CountryCode],Table1[[#This Row],[CountryCode]],Table1[z-score])</f>
        <v>0.68174026806790211</v>
      </c>
      <c r="L7790" t="e">
        <f>VLOOKUP(Table1[[#This Row],[CountryCode]],[1]!Table1[#All],1,FALSE)</f>
        <v>#REF!</v>
      </c>
    </row>
    <row r="7791" spans="1:12" hidden="1" x14ac:dyDescent="0.3">
      <c r="A7791" t="s">
        <v>27</v>
      </c>
      <c r="B7791" t="s">
        <v>28</v>
      </c>
      <c r="C7791" t="s">
        <v>129</v>
      </c>
      <c r="D7791" t="s">
        <v>130</v>
      </c>
      <c r="E7791">
        <v>1974</v>
      </c>
      <c r="F7791" s="1">
        <v>74</v>
      </c>
      <c r="G7791">
        <v>1970</v>
      </c>
      <c r="H7791">
        <f>AVERAGEIFS(Table1[value],Table1[IndicatorCode],Table1[[#This Row],[IndicatorCode]])</f>
        <v>72.66514008620689</v>
      </c>
      <c r="I7791" cm="1">
        <f t="array" ref="I7791">_xlfn.STDEV.P(IF(Table1[IndicatorCode]=Table1[[#This Row],[IndicatorCode]],Table1[value]))</f>
        <v>6.3409496564024987</v>
      </c>
      <c r="J7791">
        <f>(Table1[[#This Row],[value]] - Table1[[#This Row],[mean]]) / Table1[[#This Row],[std_dev]]</f>
        <v>0.21051419521132667</v>
      </c>
      <c r="K7791">
        <f>AVERAGEIF(Table1[CountryCode],Table1[[#This Row],[CountryCode]],Table1[z-score])</f>
        <v>0.68174026806790211</v>
      </c>
      <c r="L7791" t="e">
        <f>VLOOKUP(Table1[[#This Row],[CountryCode]],[1]!Table1[#All],1,FALSE)</f>
        <v>#REF!</v>
      </c>
    </row>
    <row r="7792" spans="1:12" hidden="1" x14ac:dyDescent="0.3">
      <c r="A7792" t="s">
        <v>27</v>
      </c>
      <c r="B7792" t="s">
        <v>28</v>
      </c>
      <c r="C7792" t="s">
        <v>129</v>
      </c>
      <c r="D7792" t="s">
        <v>130</v>
      </c>
      <c r="E7792">
        <v>1975</v>
      </c>
      <c r="F7792" s="1">
        <v>75</v>
      </c>
      <c r="G7792">
        <v>1970</v>
      </c>
      <c r="H7792">
        <f>AVERAGEIFS(Table1[value],Table1[IndicatorCode],Table1[[#This Row],[IndicatorCode]])</f>
        <v>72.66514008620689</v>
      </c>
      <c r="I7792" cm="1">
        <f t="array" ref="I7792">_xlfn.STDEV.P(IF(Table1[IndicatorCode]=Table1[[#This Row],[IndicatorCode]],Table1[value]))</f>
        <v>6.3409496564024987</v>
      </c>
      <c r="J7792">
        <f>(Table1[[#This Row],[value]] - Table1[[#This Row],[mean]]) / Table1[[#This Row],[std_dev]]</f>
        <v>0.36821927949476574</v>
      </c>
      <c r="K7792">
        <f>AVERAGEIF(Table1[CountryCode],Table1[[#This Row],[CountryCode]],Table1[z-score])</f>
        <v>0.68174026806790211</v>
      </c>
      <c r="L7792" t="e">
        <f>VLOOKUP(Table1[[#This Row],[CountryCode]],[1]!Table1[#All],1,FALSE)</f>
        <v>#REF!</v>
      </c>
    </row>
    <row r="7793" spans="1:12" hidden="1" x14ac:dyDescent="0.3">
      <c r="A7793" t="s">
        <v>27</v>
      </c>
      <c r="B7793" t="s">
        <v>28</v>
      </c>
      <c r="C7793" t="s">
        <v>129</v>
      </c>
      <c r="D7793" t="s">
        <v>130</v>
      </c>
      <c r="E7793">
        <v>1976</v>
      </c>
      <c r="F7793" s="1">
        <v>75</v>
      </c>
      <c r="G7793">
        <v>1970</v>
      </c>
      <c r="H7793">
        <f>AVERAGEIFS(Table1[value],Table1[IndicatorCode],Table1[[#This Row],[IndicatorCode]])</f>
        <v>72.66514008620689</v>
      </c>
      <c r="I7793" cm="1">
        <f t="array" ref="I7793">_xlfn.STDEV.P(IF(Table1[IndicatorCode]=Table1[[#This Row],[IndicatorCode]],Table1[value]))</f>
        <v>6.3409496564024987</v>
      </c>
      <c r="J7793">
        <f>(Table1[[#This Row],[value]] - Table1[[#This Row],[mean]]) / Table1[[#This Row],[std_dev]]</f>
        <v>0.36821927949476574</v>
      </c>
      <c r="K7793">
        <f>AVERAGEIF(Table1[CountryCode],Table1[[#This Row],[CountryCode]],Table1[z-score])</f>
        <v>0.68174026806790211</v>
      </c>
      <c r="L7793" t="e">
        <f>VLOOKUP(Table1[[#This Row],[CountryCode]],[1]!Table1[#All],1,FALSE)</f>
        <v>#REF!</v>
      </c>
    </row>
    <row r="7794" spans="1:12" hidden="1" x14ac:dyDescent="0.3">
      <c r="A7794" t="s">
        <v>27</v>
      </c>
      <c r="B7794" t="s">
        <v>28</v>
      </c>
      <c r="C7794" t="s">
        <v>129</v>
      </c>
      <c r="D7794" t="s">
        <v>130</v>
      </c>
      <c r="E7794">
        <v>1977</v>
      </c>
      <c r="F7794" s="1">
        <v>75</v>
      </c>
      <c r="G7794">
        <v>1980</v>
      </c>
      <c r="H7794">
        <f>AVERAGEIFS(Table1[value],Table1[IndicatorCode],Table1[[#This Row],[IndicatorCode]])</f>
        <v>72.66514008620689</v>
      </c>
      <c r="I7794" cm="1">
        <f t="array" ref="I7794">_xlfn.STDEV.P(IF(Table1[IndicatorCode]=Table1[[#This Row],[IndicatorCode]],Table1[value]))</f>
        <v>6.3409496564024987</v>
      </c>
      <c r="J7794">
        <f>(Table1[[#This Row],[value]] - Table1[[#This Row],[mean]]) / Table1[[#This Row],[std_dev]]</f>
        <v>0.36821927949476574</v>
      </c>
      <c r="K7794">
        <f>AVERAGEIF(Table1[CountryCode],Table1[[#This Row],[CountryCode]],Table1[z-score])</f>
        <v>0.68174026806790211</v>
      </c>
      <c r="L7794" t="e">
        <f>VLOOKUP(Table1[[#This Row],[CountryCode]],[1]!Table1[#All],1,FALSE)</f>
        <v>#REF!</v>
      </c>
    </row>
    <row r="7795" spans="1:12" hidden="1" x14ac:dyDescent="0.3">
      <c r="A7795" t="s">
        <v>27</v>
      </c>
      <c r="B7795" t="s">
        <v>28</v>
      </c>
      <c r="C7795" t="s">
        <v>129</v>
      </c>
      <c r="D7795" t="s">
        <v>130</v>
      </c>
      <c r="E7795">
        <v>1978</v>
      </c>
      <c r="F7795" s="1">
        <v>75</v>
      </c>
      <c r="G7795">
        <v>1980</v>
      </c>
      <c r="H7795">
        <f>AVERAGEIFS(Table1[value],Table1[IndicatorCode],Table1[[#This Row],[IndicatorCode]])</f>
        <v>72.66514008620689</v>
      </c>
      <c r="I7795" cm="1">
        <f t="array" ref="I7795">_xlfn.STDEV.P(IF(Table1[IndicatorCode]=Table1[[#This Row],[IndicatorCode]],Table1[value]))</f>
        <v>6.3409496564024987</v>
      </c>
      <c r="J7795">
        <f>(Table1[[#This Row],[value]] - Table1[[#This Row],[mean]]) / Table1[[#This Row],[std_dev]]</f>
        <v>0.36821927949476574</v>
      </c>
      <c r="K7795">
        <f>AVERAGEIF(Table1[CountryCode],Table1[[#This Row],[CountryCode]],Table1[z-score])</f>
        <v>0.68174026806790211</v>
      </c>
      <c r="L7795" t="e">
        <f>VLOOKUP(Table1[[#This Row],[CountryCode]],[1]!Table1[#All],1,FALSE)</f>
        <v>#REF!</v>
      </c>
    </row>
    <row r="7796" spans="1:12" hidden="1" x14ac:dyDescent="0.3">
      <c r="A7796" t="s">
        <v>27</v>
      </c>
      <c r="B7796" t="s">
        <v>28</v>
      </c>
      <c r="C7796" t="s">
        <v>129</v>
      </c>
      <c r="D7796" t="s">
        <v>130</v>
      </c>
      <c r="E7796">
        <v>1979</v>
      </c>
      <c r="F7796" s="1">
        <v>75</v>
      </c>
      <c r="G7796">
        <v>1980</v>
      </c>
      <c r="H7796">
        <f>AVERAGEIFS(Table1[value],Table1[IndicatorCode],Table1[[#This Row],[IndicatorCode]])</f>
        <v>72.66514008620689</v>
      </c>
      <c r="I7796" cm="1">
        <f t="array" ref="I7796">_xlfn.STDEV.P(IF(Table1[IndicatorCode]=Table1[[#This Row],[IndicatorCode]],Table1[value]))</f>
        <v>6.3409496564024987</v>
      </c>
      <c r="J7796">
        <f>(Table1[[#This Row],[value]] - Table1[[#This Row],[mean]]) / Table1[[#This Row],[std_dev]]</f>
        <v>0.36821927949476574</v>
      </c>
      <c r="K7796">
        <f>AVERAGEIF(Table1[CountryCode],Table1[[#This Row],[CountryCode]],Table1[z-score])</f>
        <v>0.68174026806790211</v>
      </c>
      <c r="L7796" t="e">
        <f>VLOOKUP(Table1[[#This Row],[CountryCode]],[1]!Table1[#All],1,FALSE)</f>
        <v>#REF!</v>
      </c>
    </row>
    <row r="7797" spans="1:12" hidden="1" x14ac:dyDescent="0.3">
      <c r="A7797" t="s">
        <v>27</v>
      </c>
      <c r="B7797" t="s">
        <v>28</v>
      </c>
      <c r="C7797" t="s">
        <v>129</v>
      </c>
      <c r="D7797" t="s">
        <v>130</v>
      </c>
      <c r="E7797">
        <v>1980</v>
      </c>
      <c r="F7797" s="1">
        <v>75</v>
      </c>
      <c r="G7797">
        <v>1980</v>
      </c>
      <c r="H7797">
        <f>AVERAGEIFS(Table1[value],Table1[IndicatorCode],Table1[[#This Row],[IndicatorCode]])</f>
        <v>72.66514008620689</v>
      </c>
      <c r="I7797" cm="1">
        <f t="array" ref="I7797">_xlfn.STDEV.P(IF(Table1[IndicatorCode]=Table1[[#This Row],[IndicatorCode]],Table1[value]))</f>
        <v>6.3409496564024987</v>
      </c>
      <c r="J7797">
        <f>(Table1[[#This Row],[value]] - Table1[[#This Row],[mean]]) / Table1[[#This Row],[std_dev]]</f>
        <v>0.36821927949476574</v>
      </c>
      <c r="K7797">
        <f>AVERAGEIF(Table1[CountryCode],Table1[[#This Row],[CountryCode]],Table1[z-score])</f>
        <v>0.68174026806790211</v>
      </c>
      <c r="L7797" t="e">
        <f>VLOOKUP(Table1[[#This Row],[CountryCode]],[1]!Table1[#All],1,FALSE)</f>
        <v>#REF!</v>
      </c>
    </row>
    <row r="7798" spans="1:12" hidden="1" x14ac:dyDescent="0.3">
      <c r="A7798" t="s">
        <v>27</v>
      </c>
      <c r="B7798" t="s">
        <v>28</v>
      </c>
      <c r="C7798" t="s">
        <v>129</v>
      </c>
      <c r="D7798" t="s">
        <v>130</v>
      </c>
      <c r="E7798">
        <v>1981</v>
      </c>
      <c r="F7798" s="1">
        <v>76</v>
      </c>
      <c r="G7798">
        <v>1980</v>
      </c>
      <c r="H7798">
        <f>AVERAGEIFS(Table1[value],Table1[IndicatorCode],Table1[[#This Row],[IndicatorCode]])</f>
        <v>72.66514008620689</v>
      </c>
      <c r="I7798" cm="1">
        <f t="array" ref="I7798">_xlfn.STDEV.P(IF(Table1[IndicatorCode]=Table1[[#This Row],[IndicatorCode]],Table1[value]))</f>
        <v>6.3409496564024987</v>
      </c>
      <c r="J7798">
        <f>(Table1[[#This Row],[value]] - Table1[[#This Row],[mean]]) / Table1[[#This Row],[std_dev]]</f>
        <v>0.52592436377820473</v>
      </c>
      <c r="K7798">
        <f>AVERAGEIF(Table1[CountryCode],Table1[[#This Row],[CountryCode]],Table1[z-score])</f>
        <v>0.68174026806790211</v>
      </c>
      <c r="L7798" t="e">
        <f>VLOOKUP(Table1[[#This Row],[CountryCode]],[1]!Table1[#All],1,FALSE)</f>
        <v>#REF!</v>
      </c>
    </row>
    <row r="7799" spans="1:12" hidden="1" x14ac:dyDescent="0.3">
      <c r="A7799" t="s">
        <v>27</v>
      </c>
      <c r="B7799" t="s">
        <v>28</v>
      </c>
      <c r="C7799" t="s">
        <v>129</v>
      </c>
      <c r="D7799" t="s">
        <v>130</v>
      </c>
      <c r="E7799">
        <v>1982</v>
      </c>
      <c r="F7799" s="1">
        <v>76</v>
      </c>
      <c r="G7799">
        <v>1980</v>
      </c>
      <c r="H7799">
        <f>AVERAGEIFS(Table1[value],Table1[IndicatorCode],Table1[[#This Row],[IndicatorCode]])</f>
        <v>72.66514008620689</v>
      </c>
      <c r="I7799" cm="1">
        <f t="array" ref="I7799">_xlfn.STDEV.P(IF(Table1[IndicatorCode]=Table1[[#This Row],[IndicatorCode]],Table1[value]))</f>
        <v>6.3409496564024987</v>
      </c>
      <c r="J7799">
        <f>(Table1[[#This Row],[value]] - Table1[[#This Row],[mean]]) / Table1[[#This Row],[std_dev]]</f>
        <v>0.52592436377820473</v>
      </c>
      <c r="K7799">
        <f>AVERAGEIF(Table1[CountryCode],Table1[[#This Row],[CountryCode]],Table1[z-score])</f>
        <v>0.68174026806790211</v>
      </c>
      <c r="L7799" t="e">
        <f>VLOOKUP(Table1[[#This Row],[CountryCode]],[1]!Table1[#All],1,FALSE)</f>
        <v>#REF!</v>
      </c>
    </row>
    <row r="7800" spans="1:12" hidden="1" x14ac:dyDescent="0.3">
      <c r="A7800" t="s">
        <v>27</v>
      </c>
      <c r="B7800" t="s">
        <v>28</v>
      </c>
      <c r="C7800" t="s">
        <v>129</v>
      </c>
      <c r="D7800" t="s">
        <v>130</v>
      </c>
      <c r="E7800">
        <v>1983</v>
      </c>
      <c r="F7800" s="1">
        <v>76</v>
      </c>
      <c r="G7800">
        <v>1980</v>
      </c>
      <c r="H7800">
        <f>AVERAGEIFS(Table1[value],Table1[IndicatorCode],Table1[[#This Row],[IndicatorCode]])</f>
        <v>72.66514008620689</v>
      </c>
      <c r="I7800" cm="1">
        <f t="array" ref="I7800">_xlfn.STDEV.P(IF(Table1[IndicatorCode]=Table1[[#This Row],[IndicatorCode]],Table1[value]))</f>
        <v>6.3409496564024987</v>
      </c>
      <c r="J7800">
        <f>(Table1[[#This Row],[value]] - Table1[[#This Row],[mean]]) / Table1[[#This Row],[std_dev]]</f>
        <v>0.52592436377820473</v>
      </c>
      <c r="K7800">
        <f>AVERAGEIF(Table1[CountryCode],Table1[[#This Row],[CountryCode]],Table1[z-score])</f>
        <v>0.68174026806790211</v>
      </c>
      <c r="L7800" t="e">
        <f>VLOOKUP(Table1[[#This Row],[CountryCode]],[1]!Table1[#All],1,FALSE)</f>
        <v>#REF!</v>
      </c>
    </row>
    <row r="7801" spans="1:12" hidden="1" x14ac:dyDescent="0.3">
      <c r="A7801" t="s">
        <v>27</v>
      </c>
      <c r="B7801" t="s">
        <v>28</v>
      </c>
      <c r="C7801" t="s">
        <v>129</v>
      </c>
      <c r="D7801" t="s">
        <v>130</v>
      </c>
      <c r="E7801">
        <v>1984</v>
      </c>
      <c r="F7801" s="1">
        <v>77</v>
      </c>
      <c r="G7801">
        <v>1980</v>
      </c>
      <c r="H7801">
        <f>AVERAGEIFS(Table1[value],Table1[IndicatorCode],Table1[[#This Row],[IndicatorCode]])</f>
        <v>72.66514008620689</v>
      </c>
      <c r="I7801" cm="1">
        <f t="array" ref="I7801">_xlfn.STDEV.P(IF(Table1[IndicatorCode]=Table1[[#This Row],[IndicatorCode]],Table1[value]))</f>
        <v>6.3409496564024987</v>
      </c>
      <c r="J7801">
        <f>(Table1[[#This Row],[value]] - Table1[[#This Row],[mean]]) / Table1[[#This Row],[std_dev]]</f>
        <v>0.68362944806164383</v>
      </c>
      <c r="K7801">
        <f>AVERAGEIF(Table1[CountryCode],Table1[[#This Row],[CountryCode]],Table1[z-score])</f>
        <v>0.68174026806790211</v>
      </c>
      <c r="L7801" t="e">
        <f>VLOOKUP(Table1[[#This Row],[CountryCode]],[1]!Table1[#All],1,FALSE)</f>
        <v>#REF!</v>
      </c>
    </row>
    <row r="7802" spans="1:12" hidden="1" x14ac:dyDescent="0.3">
      <c r="A7802" t="s">
        <v>27</v>
      </c>
      <c r="B7802" t="s">
        <v>28</v>
      </c>
      <c r="C7802" t="s">
        <v>129</v>
      </c>
      <c r="D7802" t="s">
        <v>130</v>
      </c>
      <c r="E7802">
        <v>1985</v>
      </c>
      <c r="F7802" s="1">
        <v>77</v>
      </c>
      <c r="G7802">
        <v>1980</v>
      </c>
      <c r="H7802">
        <f>AVERAGEIFS(Table1[value],Table1[IndicatorCode],Table1[[#This Row],[IndicatorCode]])</f>
        <v>72.66514008620689</v>
      </c>
      <c r="I7802" cm="1">
        <f t="array" ref="I7802">_xlfn.STDEV.P(IF(Table1[IndicatorCode]=Table1[[#This Row],[IndicatorCode]],Table1[value]))</f>
        <v>6.3409496564024987</v>
      </c>
      <c r="J7802">
        <f>(Table1[[#This Row],[value]] - Table1[[#This Row],[mean]]) / Table1[[#This Row],[std_dev]]</f>
        <v>0.68362944806164383</v>
      </c>
      <c r="K7802">
        <f>AVERAGEIF(Table1[CountryCode],Table1[[#This Row],[CountryCode]],Table1[z-score])</f>
        <v>0.68174026806790211</v>
      </c>
      <c r="L7802" t="e">
        <f>VLOOKUP(Table1[[#This Row],[CountryCode]],[1]!Table1[#All],1,FALSE)</f>
        <v>#REF!</v>
      </c>
    </row>
    <row r="7803" spans="1:12" hidden="1" x14ac:dyDescent="0.3">
      <c r="A7803" t="s">
        <v>27</v>
      </c>
      <c r="B7803" t="s">
        <v>28</v>
      </c>
      <c r="C7803" t="s">
        <v>129</v>
      </c>
      <c r="D7803" t="s">
        <v>130</v>
      </c>
      <c r="E7803">
        <v>1986</v>
      </c>
      <c r="F7803" s="1">
        <v>77</v>
      </c>
      <c r="G7803">
        <v>1980</v>
      </c>
      <c r="H7803">
        <f>AVERAGEIFS(Table1[value],Table1[IndicatorCode],Table1[[#This Row],[IndicatorCode]])</f>
        <v>72.66514008620689</v>
      </c>
      <c r="I7803" cm="1">
        <f t="array" ref="I7803">_xlfn.STDEV.P(IF(Table1[IndicatorCode]=Table1[[#This Row],[IndicatorCode]],Table1[value]))</f>
        <v>6.3409496564024987</v>
      </c>
      <c r="J7803">
        <f>(Table1[[#This Row],[value]] - Table1[[#This Row],[mean]]) / Table1[[#This Row],[std_dev]]</f>
        <v>0.68362944806164383</v>
      </c>
      <c r="K7803">
        <f>AVERAGEIF(Table1[CountryCode],Table1[[#This Row],[CountryCode]],Table1[z-score])</f>
        <v>0.68174026806790211</v>
      </c>
      <c r="L7803" t="e">
        <f>VLOOKUP(Table1[[#This Row],[CountryCode]],[1]!Table1[#All],1,FALSE)</f>
        <v>#REF!</v>
      </c>
    </row>
    <row r="7804" spans="1:12" hidden="1" x14ac:dyDescent="0.3">
      <c r="A7804" t="s">
        <v>27</v>
      </c>
      <c r="B7804" t="s">
        <v>28</v>
      </c>
      <c r="C7804" t="s">
        <v>129</v>
      </c>
      <c r="D7804" t="s">
        <v>130</v>
      </c>
      <c r="E7804">
        <v>1987</v>
      </c>
      <c r="F7804" s="1">
        <v>77</v>
      </c>
      <c r="G7804">
        <v>1990</v>
      </c>
      <c r="H7804">
        <f>AVERAGEIFS(Table1[value],Table1[IndicatorCode],Table1[[#This Row],[IndicatorCode]])</f>
        <v>72.66514008620689</v>
      </c>
      <c r="I7804" cm="1">
        <f t="array" ref="I7804">_xlfn.STDEV.P(IF(Table1[IndicatorCode]=Table1[[#This Row],[IndicatorCode]],Table1[value]))</f>
        <v>6.3409496564024987</v>
      </c>
      <c r="J7804">
        <f>(Table1[[#This Row],[value]] - Table1[[#This Row],[mean]]) / Table1[[#This Row],[std_dev]]</f>
        <v>0.68362944806164383</v>
      </c>
      <c r="K7804">
        <f>AVERAGEIF(Table1[CountryCode],Table1[[#This Row],[CountryCode]],Table1[z-score])</f>
        <v>0.68174026806790211</v>
      </c>
      <c r="L7804" t="e">
        <f>VLOOKUP(Table1[[#This Row],[CountryCode]],[1]!Table1[#All],1,FALSE)</f>
        <v>#REF!</v>
      </c>
    </row>
    <row r="7805" spans="1:12" hidden="1" x14ac:dyDescent="0.3">
      <c r="A7805" t="s">
        <v>27</v>
      </c>
      <c r="B7805" t="s">
        <v>28</v>
      </c>
      <c r="C7805" t="s">
        <v>129</v>
      </c>
      <c r="D7805" t="s">
        <v>130</v>
      </c>
      <c r="E7805">
        <v>1988</v>
      </c>
      <c r="F7805" s="1">
        <v>77</v>
      </c>
      <c r="G7805">
        <v>1990</v>
      </c>
      <c r="H7805">
        <f>AVERAGEIFS(Table1[value],Table1[IndicatorCode],Table1[[#This Row],[IndicatorCode]])</f>
        <v>72.66514008620689</v>
      </c>
      <c r="I7805" cm="1">
        <f t="array" ref="I7805">_xlfn.STDEV.P(IF(Table1[IndicatorCode]=Table1[[#This Row],[IndicatorCode]],Table1[value]))</f>
        <v>6.3409496564024987</v>
      </c>
      <c r="J7805">
        <f>(Table1[[#This Row],[value]] - Table1[[#This Row],[mean]]) / Table1[[#This Row],[std_dev]]</f>
        <v>0.68362944806164383</v>
      </c>
      <c r="K7805">
        <f>AVERAGEIF(Table1[CountryCode],Table1[[#This Row],[CountryCode]],Table1[z-score])</f>
        <v>0.68174026806790211</v>
      </c>
      <c r="L7805" t="e">
        <f>VLOOKUP(Table1[[#This Row],[CountryCode]],[1]!Table1[#All],1,FALSE)</f>
        <v>#REF!</v>
      </c>
    </row>
    <row r="7806" spans="1:12" hidden="1" x14ac:dyDescent="0.3">
      <c r="A7806" t="s">
        <v>27</v>
      </c>
      <c r="B7806" t="s">
        <v>28</v>
      </c>
      <c r="C7806" t="s">
        <v>129</v>
      </c>
      <c r="D7806" t="s">
        <v>130</v>
      </c>
      <c r="E7806">
        <v>1989</v>
      </c>
      <c r="F7806" s="1">
        <v>77</v>
      </c>
      <c r="G7806">
        <v>1990</v>
      </c>
      <c r="H7806">
        <f>AVERAGEIFS(Table1[value],Table1[IndicatorCode],Table1[[#This Row],[IndicatorCode]])</f>
        <v>72.66514008620689</v>
      </c>
      <c r="I7806" cm="1">
        <f t="array" ref="I7806">_xlfn.STDEV.P(IF(Table1[IndicatorCode]=Table1[[#This Row],[IndicatorCode]],Table1[value]))</f>
        <v>6.3409496564024987</v>
      </c>
      <c r="J7806">
        <f>(Table1[[#This Row],[value]] - Table1[[#This Row],[mean]]) / Table1[[#This Row],[std_dev]]</f>
        <v>0.68362944806164383</v>
      </c>
      <c r="K7806">
        <f>AVERAGEIF(Table1[CountryCode],Table1[[#This Row],[CountryCode]],Table1[z-score])</f>
        <v>0.68174026806790211</v>
      </c>
      <c r="L7806" t="e">
        <f>VLOOKUP(Table1[[#This Row],[CountryCode]],[1]!Table1[#All],1,FALSE)</f>
        <v>#REF!</v>
      </c>
    </row>
    <row r="7807" spans="1:12" hidden="1" x14ac:dyDescent="0.3">
      <c r="A7807" t="s">
        <v>27</v>
      </c>
      <c r="B7807" t="s">
        <v>28</v>
      </c>
      <c r="C7807" t="s">
        <v>129</v>
      </c>
      <c r="D7807" t="s">
        <v>130</v>
      </c>
      <c r="E7807">
        <v>1990</v>
      </c>
      <c r="F7807" s="1">
        <v>77</v>
      </c>
      <c r="G7807">
        <v>1990</v>
      </c>
      <c r="H7807">
        <f>AVERAGEIFS(Table1[value],Table1[IndicatorCode],Table1[[#This Row],[IndicatorCode]])</f>
        <v>72.66514008620689</v>
      </c>
      <c r="I7807" cm="1">
        <f t="array" ref="I7807">_xlfn.STDEV.P(IF(Table1[IndicatorCode]=Table1[[#This Row],[IndicatorCode]],Table1[value]))</f>
        <v>6.3409496564024987</v>
      </c>
      <c r="J7807">
        <f>(Table1[[#This Row],[value]] - Table1[[#This Row],[mean]]) / Table1[[#This Row],[std_dev]]</f>
        <v>0.68362944806164383</v>
      </c>
      <c r="K7807">
        <f>AVERAGEIF(Table1[CountryCode],Table1[[#This Row],[CountryCode]],Table1[z-score])</f>
        <v>0.68174026806790211</v>
      </c>
      <c r="L7807" t="e">
        <f>VLOOKUP(Table1[[#This Row],[CountryCode]],[1]!Table1[#All],1,FALSE)</f>
        <v>#REF!</v>
      </c>
    </row>
    <row r="7808" spans="1:12" hidden="1" x14ac:dyDescent="0.3">
      <c r="A7808" t="s">
        <v>27</v>
      </c>
      <c r="B7808" t="s">
        <v>28</v>
      </c>
      <c r="C7808" t="s">
        <v>129</v>
      </c>
      <c r="D7808" t="s">
        <v>130</v>
      </c>
      <c r="E7808">
        <v>1991</v>
      </c>
      <c r="F7808" s="1">
        <v>78</v>
      </c>
      <c r="G7808">
        <v>1990</v>
      </c>
      <c r="H7808">
        <f>AVERAGEIFS(Table1[value],Table1[IndicatorCode],Table1[[#This Row],[IndicatorCode]])</f>
        <v>72.66514008620689</v>
      </c>
      <c r="I7808" cm="1">
        <f t="array" ref="I7808">_xlfn.STDEV.P(IF(Table1[IndicatorCode]=Table1[[#This Row],[IndicatorCode]],Table1[value]))</f>
        <v>6.3409496564024987</v>
      </c>
      <c r="J7808">
        <f>(Table1[[#This Row],[value]] - Table1[[#This Row],[mean]]) / Table1[[#This Row],[std_dev]]</f>
        <v>0.84133453234508293</v>
      </c>
      <c r="K7808">
        <f>AVERAGEIF(Table1[CountryCode],Table1[[#This Row],[CountryCode]],Table1[z-score])</f>
        <v>0.68174026806790211</v>
      </c>
      <c r="L7808" t="e">
        <f>VLOOKUP(Table1[[#This Row],[CountryCode]],[1]!Table1[#All],1,FALSE)</f>
        <v>#REF!</v>
      </c>
    </row>
    <row r="7809" spans="1:12" hidden="1" x14ac:dyDescent="0.3">
      <c r="A7809" t="s">
        <v>27</v>
      </c>
      <c r="B7809" t="s">
        <v>28</v>
      </c>
      <c r="C7809" t="s">
        <v>129</v>
      </c>
      <c r="D7809" t="s">
        <v>130</v>
      </c>
      <c r="E7809">
        <v>1992</v>
      </c>
      <c r="F7809" s="1">
        <v>78</v>
      </c>
      <c r="G7809">
        <v>1990</v>
      </c>
      <c r="H7809">
        <f>AVERAGEIFS(Table1[value],Table1[IndicatorCode],Table1[[#This Row],[IndicatorCode]])</f>
        <v>72.66514008620689</v>
      </c>
      <c r="I7809" cm="1">
        <f t="array" ref="I7809">_xlfn.STDEV.P(IF(Table1[IndicatorCode]=Table1[[#This Row],[IndicatorCode]],Table1[value]))</f>
        <v>6.3409496564024987</v>
      </c>
      <c r="J7809">
        <f>(Table1[[#This Row],[value]] - Table1[[#This Row],[mean]]) / Table1[[#This Row],[std_dev]]</f>
        <v>0.84133453234508293</v>
      </c>
      <c r="K7809">
        <f>AVERAGEIF(Table1[CountryCode],Table1[[#This Row],[CountryCode]],Table1[z-score])</f>
        <v>0.68174026806790211</v>
      </c>
      <c r="L7809" t="e">
        <f>VLOOKUP(Table1[[#This Row],[CountryCode]],[1]!Table1[#All],1,FALSE)</f>
        <v>#REF!</v>
      </c>
    </row>
    <row r="7810" spans="1:12" hidden="1" x14ac:dyDescent="0.3">
      <c r="A7810" t="s">
        <v>27</v>
      </c>
      <c r="B7810" t="s">
        <v>28</v>
      </c>
      <c r="C7810" t="s">
        <v>129</v>
      </c>
      <c r="D7810" t="s">
        <v>130</v>
      </c>
      <c r="E7810">
        <v>1993</v>
      </c>
      <c r="F7810" s="1">
        <v>78</v>
      </c>
      <c r="G7810">
        <v>1990</v>
      </c>
      <c r="H7810">
        <f>AVERAGEIFS(Table1[value],Table1[IndicatorCode],Table1[[#This Row],[IndicatorCode]])</f>
        <v>72.66514008620689</v>
      </c>
      <c r="I7810" cm="1">
        <f t="array" ref="I7810">_xlfn.STDEV.P(IF(Table1[IndicatorCode]=Table1[[#This Row],[IndicatorCode]],Table1[value]))</f>
        <v>6.3409496564024987</v>
      </c>
      <c r="J7810">
        <f>(Table1[[#This Row],[value]] - Table1[[#This Row],[mean]]) / Table1[[#This Row],[std_dev]]</f>
        <v>0.84133453234508293</v>
      </c>
      <c r="K7810">
        <f>AVERAGEIF(Table1[CountryCode],Table1[[#This Row],[CountryCode]],Table1[z-score])</f>
        <v>0.68174026806790211</v>
      </c>
      <c r="L7810" t="e">
        <f>VLOOKUP(Table1[[#This Row],[CountryCode]],[1]!Table1[#All],1,FALSE)</f>
        <v>#REF!</v>
      </c>
    </row>
    <row r="7811" spans="1:12" hidden="1" x14ac:dyDescent="0.3">
      <c r="A7811" t="s">
        <v>27</v>
      </c>
      <c r="B7811" t="s">
        <v>28</v>
      </c>
      <c r="C7811" t="s">
        <v>129</v>
      </c>
      <c r="D7811" t="s">
        <v>130</v>
      </c>
      <c r="E7811">
        <v>1994</v>
      </c>
      <c r="F7811" s="1">
        <v>78</v>
      </c>
      <c r="G7811">
        <v>1990</v>
      </c>
      <c r="H7811">
        <f>AVERAGEIFS(Table1[value],Table1[IndicatorCode],Table1[[#This Row],[IndicatorCode]])</f>
        <v>72.66514008620689</v>
      </c>
      <c r="I7811" cm="1">
        <f t="array" ref="I7811">_xlfn.STDEV.P(IF(Table1[IndicatorCode]=Table1[[#This Row],[IndicatorCode]],Table1[value]))</f>
        <v>6.3409496564024987</v>
      </c>
      <c r="J7811">
        <f>(Table1[[#This Row],[value]] - Table1[[#This Row],[mean]]) / Table1[[#This Row],[std_dev]]</f>
        <v>0.84133453234508293</v>
      </c>
      <c r="K7811">
        <f>AVERAGEIF(Table1[CountryCode],Table1[[#This Row],[CountryCode]],Table1[z-score])</f>
        <v>0.68174026806790211</v>
      </c>
      <c r="L7811" t="e">
        <f>VLOOKUP(Table1[[#This Row],[CountryCode]],[1]!Table1[#All],1,FALSE)</f>
        <v>#REF!</v>
      </c>
    </row>
    <row r="7812" spans="1:12" hidden="1" x14ac:dyDescent="0.3">
      <c r="A7812" t="s">
        <v>27</v>
      </c>
      <c r="B7812" t="s">
        <v>28</v>
      </c>
      <c r="C7812" t="s">
        <v>129</v>
      </c>
      <c r="D7812" t="s">
        <v>130</v>
      </c>
      <c r="E7812">
        <v>1995</v>
      </c>
      <c r="F7812" s="1">
        <v>78</v>
      </c>
      <c r="G7812">
        <v>1990</v>
      </c>
      <c r="H7812">
        <f>AVERAGEIFS(Table1[value],Table1[IndicatorCode],Table1[[#This Row],[IndicatorCode]])</f>
        <v>72.66514008620689</v>
      </c>
      <c r="I7812" cm="1">
        <f t="array" ref="I7812">_xlfn.STDEV.P(IF(Table1[IndicatorCode]=Table1[[#This Row],[IndicatorCode]],Table1[value]))</f>
        <v>6.3409496564024987</v>
      </c>
      <c r="J7812">
        <f>(Table1[[#This Row],[value]] - Table1[[#This Row],[mean]]) / Table1[[#This Row],[std_dev]]</f>
        <v>0.84133453234508293</v>
      </c>
      <c r="K7812">
        <f>AVERAGEIF(Table1[CountryCode],Table1[[#This Row],[CountryCode]],Table1[z-score])</f>
        <v>0.68174026806790211</v>
      </c>
      <c r="L7812" t="e">
        <f>VLOOKUP(Table1[[#This Row],[CountryCode]],[1]!Table1[#All],1,FALSE)</f>
        <v>#REF!</v>
      </c>
    </row>
    <row r="7813" spans="1:12" hidden="1" x14ac:dyDescent="0.3">
      <c r="A7813" t="s">
        <v>27</v>
      </c>
      <c r="B7813" t="s">
        <v>28</v>
      </c>
      <c r="C7813" t="s">
        <v>129</v>
      </c>
      <c r="D7813" t="s">
        <v>130</v>
      </c>
      <c r="E7813">
        <v>1996</v>
      </c>
      <c r="F7813" s="1">
        <v>79</v>
      </c>
      <c r="G7813">
        <v>1990</v>
      </c>
      <c r="H7813">
        <f>AVERAGEIFS(Table1[value],Table1[IndicatorCode],Table1[[#This Row],[IndicatorCode]])</f>
        <v>72.66514008620689</v>
      </c>
      <c r="I7813" cm="1">
        <f t="array" ref="I7813">_xlfn.STDEV.P(IF(Table1[IndicatorCode]=Table1[[#This Row],[IndicatorCode]],Table1[value]))</f>
        <v>6.3409496564024987</v>
      </c>
      <c r="J7813">
        <f>(Table1[[#This Row],[value]] - Table1[[#This Row],[mean]]) / Table1[[#This Row],[std_dev]]</f>
        <v>0.99903961662852192</v>
      </c>
      <c r="K7813">
        <f>AVERAGEIF(Table1[CountryCode],Table1[[#This Row],[CountryCode]],Table1[z-score])</f>
        <v>0.68174026806790211</v>
      </c>
      <c r="L7813" t="e">
        <f>VLOOKUP(Table1[[#This Row],[CountryCode]],[1]!Table1[#All],1,FALSE)</f>
        <v>#REF!</v>
      </c>
    </row>
    <row r="7814" spans="1:12" hidden="1" x14ac:dyDescent="0.3">
      <c r="A7814" t="s">
        <v>27</v>
      </c>
      <c r="B7814" t="s">
        <v>28</v>
      </c>
      <c r="C7814" t="s">
        <v>129</v>
      </c>
      <c r="D7814" t="s">
        <v>130</v>
      </c>
      <c r="E7814">
        <v>1997</v>
      </c>
      <c r="F7814" s="1">
        <v>79</v>
      </c>
      <c r="G7814">
        <v>2000</v>
      </c>
      <c r="H7814">
        <f>AVERAGEIFS(Table1[value],Table1[IndicatorCode],Table1[[#This Row],[IndicatorCode]])</f>
        <v>72.66514008620689</v>
      </c>
      <c r="I7814" cm="1">
        <f t="array" ref="I7814">_xlfn.STDEV.P(IF(Table1[IndicatorCode]=Table1[[#This Row],[IndicatorCode]],Table1[value]))</f>
        <v>6.3409496564024987</v>
      </c>
      <c r="J7814">
        <f>(Table1[[#This Row],[value]] - Table1[[#This Row],[mean]]) / Table1[[#This Row],[std_dev]]</f>
        <v>0.99903961662852192</v>
      </c>
      <c r="K7814">
        <f>AVERAGEIF(Table1[CountryCode],Table1[[#This Row],[CountryCode]],Table1[z-score])</f>
        <v>0.68174026806790211</v>
      </c>
      <c r="L7814" t="e">
        <f>VLOOKUP(Table1[[#This Row],[CountryCode]],[1]!Table1[#All],1,FALSE)</f>
        <v>#REF!</v>
      </c>
    </row>
    <row r="7815" spans="1:12" hidden="1" x14ac:dyDescent="0.3">
      <c r="A7815" t="s">
        <v>27</v>
      </c>
      <c r="B7815" t="s">
        <v>28</v>
      </c>
      <c r="C7815" t="s">
        <v>129</v>
      </c>
      <c r="D7815" t="s">
        <v>130</v>
      </c>
      <c r="E7815">
        <v>1998</v>
      </c>
      <c r="F7815" s="1">
        <v>79</v>
      </c>
      <c r="G7815">
        <v>2000</v>
      </c>
      <c r="H7815">
        <f>AVERAGEIFS(Table1[value],Table1[IndicatorCode],Table1[[#This Row],[IndicatorCode]])</f>
        <v>72.66514008620689</v>
      </c>
      <c r="I7815" cm="1">
        <f t="array" ref="I7815">_xlfn.STDEV.P(IF(Table1[IndicatorCode]=Table1[[#This Row],[IndicatorCode]],Table1[value]))</f>
        <v>6.3409496564024987</v>
      </c>
      <c r="J7815">
        <f>(Table1[[#This Row],[value]] - Table1[[#This Row],[mean]]) / Table1[[#This Row],[std_dev]]</f>
        <v>0.99903961662852192</v>
      </c>
      <c r="K7815">
        <f>AVERAGEIF(Table1[CountryCode],Table1[[#This Row],[CountryCode]],Table1[z-score])</f>
        <v>0.68174026806790211</v>
      </c>
      <c r="L7815" t="e">
        <f>VLOOKUP(Table1[[#This Row],[CountryCode]],[1]!Table1[#All],1,FALSE)</f>
        <v>#REF!</v>
      </c>
    </row>
    <row r="7816" spans="1:12" hidden="1" x14ac:dyDescent="0.3">
      <c r="A7816" t="s">
        <v>27</v>
      </c>
      <c r="B7816" t="s">
        <v>28</v>
      </c>
      <c r="C7816" t="s">
        <v>129</v>
      </c>
      <c r="D7816" t="s">
        <v>130</v>
      </c>
      <c r="E7816">
        <v>1999</v>
      </c>
      <c r="F7816" s="1">
        <v>80</v>
      </c>
      <c r="G7816">
        <v>2000</v>
      </c>
      <c r="H7816">
        <f>AVERAGEIFS(Table1[value],Table1[IndicatorCode],Table1[[#This Row],[IndicatorCode]])</f>
        <v>72.66514008620689</v>
      </c>
      <c r="I7816" cm="1">
        <f t="array" ref="I7816">_xlfn.STDEV.P(IF(Table1[IndicatorCode]=Table1[[#This Row],[IndicatorCode]],Table1[value]))</f>
        <v>6.3409496564024987</v>
      </c>
      <c r="J7816">
        <f>(Table1[[#This Row],[value]] - Table1[[#This Row],[mean]]) / Table1[[#This Row],[std_dev]]</f>
        <v>1.1567447009119609</v>
      </c>
      <c r="K7816">
        <f>AVERAGEIF(Table1[CountryCode],Table1[[#This Row],[CountryCode]],Table1[z-score])</f>
        <v>0.68174026806790211</v>
      </c>
      <c r="L7816" t="e">
        <f>VLOOKUP(Table1[[#This Row],[CountryCode]],[1]!Table1[#All],1,FALSE)</f>
        <v>#REF!</v>
      </c>
    </row>
    <row r="7817" spans="1:12" hidden="1" x14ac:dyDescent="0.3">
      <c r="A7817" t="s">
        <v>27</v>
      </c>
      <c r="B7817" t="s">
        <v>28</v>
      </c>
      <c r="C7817" t="s">
        <v>129</v>
      </c>
      <c r="D7817" t="s">
        <v>130</v>
      </c>
      <c r="E7817">
        <v>2000</v>
      </c>
      <c r="F7817" s="1">
        <v>80</v>
      </c>
      <c r="G7817">
        <v>2000</v>
      </c>
      <c r="H7817">
        <f>AVERAGEIFS(Table1[value],Table1[IndicatorCode],Table1[[#This Row],[IndicatorCode]])</f>
        <v>72.66514008620689</v>
      </c>
      <c r="I7817" cm="1">
        <f t="array" ref="I7817">_xlfn.STDEV.P(IF(Table1[IndicatorCode]=Table1[[#This Row],[IndicatorCode]],Table1[value]))</f>
        <v>6.3409496564024987</v>
      </c>
      <c r="J7817">
        <f>(Table1[[#This Row],[value]] - Table1[[#This Row],[mean]]) / Table1[[#This Row],[std_dev]]</f>
        <v>1.1567447009119609</v>
      </c>
      <c r="K7817">
        <f>AVERAGEIF(Table1[CountryCode],Table1[[#This Row],[CountryCode]],Table1[z-score])</f>
        <v>0.68174026806790211</v>
      </c>
      <c r="L7817" t="e">
        <f>VLOOKUP(Table1[[#This Row],[CountryCode]],[1]!Table1[#All],1,FALSE)</f>
        <v>#REF!</v>
      </c>
    </row>
    <row r="7818" spans="1:12" hidden="1" x14ac:dyDescent="0.3">
      <c r="A7818" t="s">
        <v>27</v>
      </c>
      <c r="B7818" t="s">
        <v>28</v>
      </c>
      <c r="C7818" t="s">
        <v>129</v>
      </c>
      <c r="D7818" t="s">
        <v>130</v>
      </c>
      <c r="E7818">
        <v>2001</v>
      </c>
      <c r="F7818" s="1">
        <v>80</v>
      </c>
      <c r="G7818">
        <v>2000</v>
      </c>
      <c r="H7818">
        <f>AVERAGEIFS(Table1[value],Table1[IndicatorCode],Table1[[#This Row],[IndicatorCode]])</f>
        <v>72.66514008620689</v>
      </c>
      <c r="I7818" cm="1">
        <f t="array" ref="I7818">_xlfn.STDEV.P(IF(Table1[IndicatorCode]=Table1[[#This Row],[IndicatorCode]],Table1[value]))</f>
        <v>6.3409496564024987</v>
      </c>
      <c r="J7818">
        <f>(Table1[[#This Row],[value]] - Table1[[#This Row],[mean]]) / Table1[[#This Row],[std_dev]]</f>
        <v>1.1567447009119609</v>
      </c>
      <c r="K7818">
        <f>AVERAGEIF(Table1[CountryCode],Table1[[#This Row],[CountryCode]],Table1[z-score])</f>
        <v>0.68174026806790211</v>
      </c>
      <c r="L7818" t="e">
        <f>VLOOKUP(Table1[[#This Row],[CountryCode]],[1]!Table1[#All],1,FALSE)</f>
        <v>#REF!</v>
      </c>
    </row>
    <row r="7819" spans="1:12" hidden="1" x14ac:dyDescent="0.3">
      <c r="A7819" t="s">
        <v>27</v>
      </c>
      <c r="B7819" t="s">
        <v>28</v>
      </c>
      <c r="C7819" t="s">
        <v>129</v>
      </c>
      <c r="D7819" t="s">
        <v>130</v>
      </c>
      <c r="E7819">
        <v>2002</v>
      </c>
      <c r="F7819" s="1">
        <v>80</v>
      </c>
      <c r="G7819">
        <v>2000</v>
      </c>
      <c r="H7819">
        <f>AVERAGEIFS(Table1[value],Table1[IndicatorCode],Table1[[#This Row],[IndicatorCode]])</f>
        <v>72.66514008620689</v>
      </c>
      <c r="I7819" cm="1">
        <f t="array" ref="I7819">_xlfn.STDEV.P(IF(Table1[IndicatorCode]=Table1[[#This Row],[IndicatorCode]],Table1[value]))</f>
        <v>6.3409496564024987</v>
      </c>
      <c r="J7819">
        <f>(Table1[[#This Row],[value]] - Table1[[#This Row],[mean]]) / Table1[[#This Row],[std_dev]]</f>
        <v>1.1567447009119609</v>
      </c>
      <c r="K7819">
        <f>AVERAGEIF(Table1[CountryCode],Table1[[#This Row],[CountryCode]],Table1[z-score])</f>
        <v>0.68174026806790211</v>
      </c>
      <c r="L7819" t="e">
        <f>VLOOKUP(Table1[[#This Row],[CountryCode]],[1]!Table1[#All],1,FALSE)</f>
        <v>#REF!</v>
      </c>
    </row>
    <row r="7820" spans="1:12" hidden="1" x14ac:dyDescent="0.3">
      <c r="A7820" t="s">
        <v>27</v>
      </c>
      <c r="B7820" t="s">
        <v>28</v>
      </c>
      <c r="C7820" t="s">
        <v>129</v>
      </c>
      <c r="D7820" t="s">
        <v>130</v>
      </c>
      <c r="E7820">
        <v>2003</v>
      </c>
      <c r="F7820" s="1">
        <v>81</v>
      </c>
      <c r="G7820">
        <v>2000</v>
      </c>
      <c r="H7820">
        <f>AVERAGEIFS(Table1[value],Table1[IndicatorCode],Table1[[#This Row],[IndicatorCode]])</f>
        <v>72.66514008620689</v>
      </c>
      <c r="I7820" cm="1">
        <f t="array" ref="I7820">_xlfn.STDEV.P(IF(Table1[IndicatorCode]=Table1[[#This Row],[IndicatorCode]],Table1[value]))</f>
        <v>6.3409496564024987</v>
      </c>
      <c r="J7820">
        <f>(Table1[[#This Row],[value]] - Table1[[#This Row],[mean]]) / Table1[[#This Row],[std_dev]]</f>
        <v>1.3144497851954</v>
      </c>
      <c r="K7820">
        <f>AVERAGEIF(Table1[CountryCode],Table1[[#This Row],[CountryCode]],Table1[z-score])</f>
        <v>0.68174026806790211</v>
      </c>
      <c r="L7820" t="e">
        <f>VLOOKUP(Table1[[#This Row],[CountryCode]],[1]!Table1[#All],1,FALSE)</f>
        <v>#REF!</v>
      </c>
    </row>
    <row r="7821" spans="1:12" hidden="1" x14ac:dyDescent="0.3">
      <c r="A7821" t="s">
        <v>27</v>
      </c>
      <c r="B7821" t="s">
        <v>28</v>
      </c>
      <c r="C7821" t="s">
        <v>129</v>
      </c>
      <c r="D7821" t="s">
        <v>130</v>
      </c>
      <c r="E7821">
        <v>2004</v>
      </c>
      <c r="F7821" s="1">
        <v>81</v>
      </c>
      <c r="G7821">
        <v>2000</v>
      </c>
      <c r="H7821">
        <f>AVERAGEIFS(Table1[value],Table1[IndicatorCode],Table1[[#This Row],[IndicatorCode]])</f>
        <v>72.66514008620689</v>
      </c>
      <c r="I7821" cm="1">
        <f t="array" ref="I7821">_xlfn.STDEV.P(IF(Table1[IndicatorCode]=Table1[[#This Row],[IndicatorCode]],Table1[value]))</f>
        <v>6.3409496564024987</v>
      </c>
      <c r="J7821">
        <f>(Table1[[#This Row],[value]] - Table1[[#This Row],[mean]]) / Table1[[#This Row],[std_dev]]</f>
        <v>1.3144497851954</v>
      </c>
      <c r="K7821">
        <f>AVERAGEIF(Table1[CountryCode],Table1[[#This Row],[CountryCode]],Table1[z-score])</f>
        <v>0.68174026806790211</v>
      </c>
      <c r="L7821" t="e">
        <f>VLOOKUP(Table1[[#This Row],[CountryCode]],[1]!Table1[#All],1,FALSE)</f>
        <v>#REF!</v>
      </c>
    </row>
    <row r="7822" spans="1:12" hidden="1" x14ac:dyDescent="0.3">
      <c r="A7822" t="s">
        <v>27</v>
      </c>
      <c r="B7822" t="s">
        <v>28</v>
      </c>
      <c r="C7822" t="s">
        <v>129</v>
      </c>
      <c r="D7822" t="s">
        <v>130</v>
      </c>
      <c r="E7822">
        <v>2005</v>
      </c>
      <c r="F7822" s="1">
        <v>81</v>
      </c>
      <c r="G7822">
        <v>2000</v>
      </c>
      <c r="H7822">
        <f>AVERAGEIFS(Table1[value],Table1[IndicatorCode],Table1[[#This Row],[IndicatorCode]])</f>
        <v>72.66514008620689</v>
      </c>
      <c r="I7822" cm="1">
        <f t="array" ref="I7822">_xlfn.STDEV.P(IF(Table1[IndicatorCode]=Table1[[#This Row],[IndicatorCode]],Table1[value]))</f>
        <v>6.3409496564024987</v>
      </c>
      <c r="J7822">
        <f>(Table1[[#This Row],[value]] - Table1[[#This Row],[mean]]) / Table1[[#This Row],[std_dev]]</f>
        <v>1.3144497851954</v>
      </c>
      <c r="K7822">
        <f>AVERAGEIF(Table1[CountryCode],Table1[[#This Row],[CountryCode]],Table1[z-score])</f>
        <v>0.68174026806790211</v>
      </c>
      <c r="L7822" t="e">
        <f>VLOOKUP(Table1[[#This Row],[CountryCode]],[1]!Table1[#All],1,FALSE)</f>
        <v>#REF!</v>
      </c>
    </row>
    <row r="7823" spans="1:12" hidden="1" x14ac:dyDescent="0.3">
      <c r="A7823" t="s">
        <v>27</v>
      </c>
      <c r="B7823" t="s">
        <v>28</v>
      </c>
      <c r="C7823" t="s">
        <v>129</v>
      </c>
      <c r="D7823" t="s">
        <v>130</v>
      </c>
      <c r="E7823">
        <v>2006</v>
      </c>
      <c r="F7823" s="1">
        <v>81</v>
      </c>
      <c r="G7823">
        <v>2000</v>
      </c>
      <c r="H7823">
        <f>AVERAGEIFS(Table1[value],Table1[IndicatorCode],Table1[[#This Row],[IndicatorCode]])</f>
        <v>72.66514008620689</v>
      </c>
      <c r="I7823" cm="1">
        <f t="array" ref="I7823">_xlfn.STDEV.P(IF(Table1[IndicatorCode]=Table1[[#This Row],[IndicatorCode]],Table1[value]))</f>
        <v>6.3409496564024987</v>
      </c>
      <c r="J7823">
        <f>(Table1[[#This Row],[value]] - Table1[[#This Row],[mean]]) / Table1[[#This Row],[std_dev]]</f>
        <v>1.3144497851954</v>
      </c>
      <c r="K7823">
        <f>AVERAGEIF(Table1[CountryCode],Table1[[#This Row],[CountryCode]],Table1[z-score])</f>
        <v>0.68174026806790211</v>
      </c>
      <c r="L7823" t="e">
        <f>VLOOKUP(Table1[[#This Row],[CountryCode]],[1]!Table1[#All],1,FALSE)</f>
        <v>#REF!</v>
      </c>
    </row>
    <row r="7824" spans="1:12" hidden="1" x14ac:dyDescent="0.3">
      <c r="A7824" t="s">
        <v>27</v>
      </c>
      <c r="B7824" t="s">
        <v>28</v>
      </c>
      <c r="C7824" t="s">
        <v>129</v>
      </c>
      <c r="D7824" t="s">
        <v>130</v>
      </c>
      <c r="E7824">
        <v>2007</v>
      </c>
      <c r="F7824" s="1">
        <v>82</v>
      </c>
      <c r="G7824">
        <v>2010</v>
      </c>
      <c r="H7824">
        <f>AVERAGEIFS(Table1[value],Table1[IndicatorCode],Table1[[#This Row],[IndicatorCode]])</f>
        <v>72.66514008620689</v>
      </c>
      <c r="I7824" cm="1">
        <f t="array" ref="I7824">_xlfn.STDEV.P(IF(Table1[IndicatorCode]=Table1[[#This Row],[IndicatorCode]],Table1[value]))</f>
        <v>6.3409496564024987</v>
      </c>
      <c r="J7824">
        <f>(Table1[[#This Row],[value]] - Table1[[#This Row],[mean]]) / Table1[[#This Row],[std_dev]]</f>
        <v>1.4721548694788391</v>
      </c>
      <c r="K7824">
        <f>AVERAGEIF(Table1[CountryCode],Table1[[#This Row],[CountryCode]],Table1[z-score])</f>
        <v>0.68174026806790211</v>
      </c>
      <c r="L7824" t="e">
        <f>VLOOKUP(Table1[[#This Row],[CountryCode]],[1]!Table1[#All],1,FALSE)</f>
        <v>#REF!</v>
      </c>
    </row>
    <row r="7825" spans="1:12" hidden="1" x14ac:dyDescent="0.3">
      <c r="A7825" t="s">
        <v>27</v>
      </c>
      <c r="B7825" t="s">
        <v>28</v>
      </c>
      <c r="C7825" t="s">
        <v>129</v>
      </c>
      <c r="D7825" t="s">
        <v>130</v>
      </c>
      <c r="E7825">
        <v>2008</v>
      </c>
      <c r="F7825" s="1">
        <v>82</v>
      </c>
      <c r="G7825">
        <v>2010</v>
      </c>
      <c r="H7825">
        <f>AVERAGEIFS(Table1[value],Table1[IndicatorCode],Table1[[#This Row],[IndicatorCode]])</f>
        <v>72.66514008620689</v>
      </c>
      <c r="I7825" cm="1">
        <f t="array" ref="I7825">_xlfn.STDEV.P(IF(Table1[IndicatorCode]=Table1[[#This Row],[IndicatorCode]],Table1[value]))</f>
        <v>6.3409496564024987</v>
      </c>
      <c r="J7825">
        <f>(Table1[[#This Row],[value]] - Table1[[#This Row],[mean]]) / Table1[[#This Row],[std_dev]]</f>
        <v>1.4721548694788391</v>
      </c>
      <c r="K7825">
        <f>AVERAGEIF(Table1[CountryCode],Table1[[#This Row],[CountryCode]],Table1[z-score])</f>
        <v>0.68174026806790211</v>
      </c>
      <c r="L7825" t="e">
        <f>VLOOKUP(Table1[[#This Row],[CountryCode]],[1]!Table1[#All],1,FALSE)</f>
        <v>#REF!</v>
      </c>
    </row>
    <row r="7826" spans="1:12" hidden="1" x14ac:dyDescent="0.3">
      <c r="A7826" t="s">
        <v>27</v>
      </c>
      <c r="B7826" t="s">
        <v>28</v>
      </c>
      <c r="C7826" t="s">
        <v>129</v>
      </c>
      <c r="D7826" t="s">
        <v>130</v>
      </c>
      <c r="E7826">
        <v>2009</v>
      </c>
      <c r="F7826" s="1">
        <v>82</v>
      </c>
      <c r="G7826">
        <v>2010</v>
      </c>
      <c r="H7826">
        <f>AVERAGEIFS(Table1[value],Table1[IndicatorCode],Table1[[#This Row],[IndicatorCode]])</f>
        <v>72.66514008620689</v>
      </c>
      <c r="I7826" cm="1">
        <f t="array" ref="I7826">_xlfn.STDEV.P(IF(Table1[IndicatorCode]=Table1[[#This Row],[IndicatorCode]],Table1[value]))</f>
        <v>6.3409496564024987</v>
      </c>
      <c r="J7826">
        <f>(Table1[[#This Row],[value]] - Table1[[#This Row],[mean]]) / Table1[[#This Row],[std_dev]]</f>
        <v>1.4721548694788391</v>
      </c>
      <c r="K7826">
        <f>AVERAGEIF(Table1[CountryCode],Table1[[#This Row],[CountryCode]],Table1[z-score])</f>
        <v>0.68174026806790211</v>
      </c>
      <c r="L7826" t="e">
        <f>VLOOKUP(Table1[[#This Row],[CountryCode]],[1]!Table1[#All],1,FALSE)</f>
        <v>#REF!</v>
      </c>
    </row>
    <row r="7827" spans="1:12" hidden="1" x14ac:dyDescent="0.3">
      <c r="A7827" t="s">
        <v>27</v>
      </c>
      <c r="B7827" t="s">
        <v>28</v>
      </c>
      <c r="C7827" t="s">
        <v>129</v>
      </c>
      <c r="D7827" t="s">
        <v>130</v>
      </c>
      <c r="E7827">
        <v>2010</v>
      </c>
      <c r="F7827" s="1">
        <v>82</v>
      </c>
      <c r="G7827">
        <v>2010</v>
      </c>
      <c r="H7827">
        <f>AVERAGEIFS(Table1[value],Table1[IndicatorCode],Table1[[#This Row],[IndicatorCode]])</f>
        <v>72.66514008620689</v>
      </c>
      <c r="I7827" cm="1">
        <f t="array" ref="I7827">_xlfn.STDEV.P(IF(Table1[IndicatorCode]=Table1[[#This Row],[IndicatorCode]],Table1[value]))</f>
        <v>6.3409496564024987</v>
      </c>
      <c r="J7827">
        <f>(Table1[[#This Row],[value]] - Table1[[#This Row],[mean]]) / Table1[[#This Row],[std_dev]]</f>
        <v>1.4721548694788391</v>
      </c>
      <c r="K7827">
        <f>AVERAGEIF(Table1[CountryCode],Table1[[#This Row],[CountryCode]],Table1[z-score])</f>
        <v>0.68174026806790211</v>
      </c>
      <c r="L7827" t="e">
        <f>VLOOKUP(Table1[[#This Row],[CountryCode]],[1]!Table1[#All],1,FALSE)</f>
        <v>#REF!</v>
      </c>
    </row>
    <row r="7828" spans="1:12" hidden="1" x14ac:dyDescent="0.3">
      <c r="A7828" t="s">
        <v>27</v>
      </c>
      <c r="B7828" t="s">
        <v>28</v>
      </c>
      <c r="C7828" t="s">
        <v>129</v>
      </c>
      <c r="D7828" t="s">
        <v>130</v>
      </c>
      <c r="E7828">
        <v>2011</v>
      </c>
      <c r="F7828" s="1">
        <v>83</v>
      </c>
      <c r="G7828">
        <v>2010</v>
      </c>
      <c r="H7828">
        <f>AVERAGEIFS(Table1[value],Table1[IndicatorCode],Table1[[#This Row],[IndicatorCode]])</f>
        <v>72.66514008620689</v>
      </c>
      <c r="I7828" cm="1">
        <f t="array" ref="I7828">_xlfn.STDEV.P(IF(Table1[IndicatorCode]=Table1[[#This Row],[IndicatorCode]],Table1[value]))</f>
        <v>6.3409496564024987</v>
      </c>
      <c r="J7828">
        <f>(Table1[[#This Row],[value]] - Table1[[#This Row],[mean]]) / Table1[[#This Row],[std_dev]]</f>
        <v>1.6298599537622782</v>
      </c>
      <c r="K7828">
        <f>AVERAGEIF(Table1[CountryCode],Table1[[#This Row],[CountryCode]],Table1[z-score])</f>
        <v>0.68174026806790211</v>
      </c>
      <c r="L7828" t="e">
        <f>VLOOKUP(Table1[[#This Row],[CountryCode]],[1]!Table1[#All],1,FALSE)</f>
        <v>#REF!</v>
      </c>
    </row>
    <row r="7829" spans="1:12" hidden="1" x14ac:dyDescent="0.3">
      <c r="A7829" t="s">
        <v>27</v>
      </c>
      <c r="B7829" t="s">
        <v>28</v>
      </c>
      <c r="C7829" t="s">
        <v>129</v>
      </c>
      <c r="D7829" t="s">
        <v>130</v>
      </c>
      <c r="E7829">
        <v>2012</v>
      </c>
      <c r="F7829" s="1">
        <v>83</v>
      </c>
      <c r="G7829">
        <v>2010</v>
      </c>
      <c r="H7829">
        <f>AVERAGEIFS(Table1[value],Table1[IndicatorCode],Table1[[#This Row],[IndicatorCode]])</f>
        <v>72.66514008620689</v>
      </c>
      <c r="I7829" cm="1">
        <f t="array" ref="I7829">_xlfn.STDEV.P(IF(Table1[IndicatorCode]=Table1[[#This Row],[IndicatorCode]],Table1[value]))</f>
        <v>6.3409496564024987</v>
      </c>
      <c r="J7829">
        <f>(Table1[[#This Row],[value]] - Table1[[#This Row],[mean]]) / Table1[[#This Row],[std_dev]]</f>
        <v>1.6298599537622782</v>
      </c>
      <c r="K7829">
        <f>AVERAGEIF(Table1[CountryCode],Table1[[#This Row],[CountryCode]],Table1[z-score])</f>
        <v>0.68174026806790211</v>
      </c>
      <c r="L7829" t="e">
        <f>VLOOKUP(Table1[[#This Row],[CountryCode]],[1]!Table1[#All],1,FALSE)</f>
        <v>#REF!</v>
      </c>
    </row>
    <row r="7830" spans="1:12" hidden="1" x14ac:dyDescent="0.3">
      <c r="A7830" t="s">
        <v>27</v>
      </c>
      <c r="B7830" t="s">
        <v>28</v>
      </c>
      <c r="C7830" t="s">
        <v>129</v>
      </c>
      <c r="D7830" t="s">
        <v>130</v>
      </c>
      <c r="E7830">
        <v>2013</v>
      </c>
      <c r="F7830" s="1">
        <v>83</v>
      </c>
      <c r="G7830">
        <v>2010</v>
      </c>
      <c r="H7830">
        <f>AVERAGEIFS(Table1[value],Table1[IndicatorCode],Table1[[#This Row],[IndicatorCode]])</f>
        <v>72.66514008620689</v>
      </c>
      <c r="I7830" cm="1">
        <f t="array" ref="I7830">_xlfn.STDEV.P(IF(Table1[IndicatorCode]=Table1[[#This Row],[IndicatorCode]],Table1[value]))</f>
        <v>6.3409496564024987</v>
      </c>
      <c r="J7830">
        <f>(Table1[[#This Row],[value]] - Table1[[#This Row],[mean]]) / Table1[[#This Row],[std_dev]]</f>
        <v>1.6298599537622782</v>
      </c>
      <c r="K7830">
        <f>AVERAGEIF(Table1[CountryCode],Table1[[#This Row],[CountryCode]],Table1[z-score])</f>
        <v>0.68174026806790211</v>
      </c>
      <c r="L7830" t="e">
        <f>VLOOKUP(Table1[[#This Row],[CountryCode]],[1]!Table1[#All],1,FALSE)</f>
        <v>#REF!</v>
      </c>
    </row>
    <row r="7831" spans="1:12" hidden="1" x14ac:dyDescent="0.3">
      <c r="A7831" t="s">
        <v>27</v>
      </c>
      <c r="B7831" t="s">
        <v>28</v>
      </c>
      <c r="C7831" t="s">
        <v>129</v>
      </c>
      <c r="D7831" t="s">
        <v>130</v>
      </c>
      <c r="E7831">
        <v>2014</v>
      </c>
      <c r="F7831" s="1">
        <v>83</v>
      </c>
      <c r="G7831">
        <v>2010</v>
      </c>
      <c r="H7831">
        <f>AVERAGEIFS(Table1[value],Table1[IndicatorCode],Table1[[#This Row],[IndicatorCode]])</f>
        <v>72.66514008620689</v>
      </c>
      <c r="I7831" cm="1">
        <f t="array" ref="I7831">_xlfn.STDEV.P(IF(Table1[IndicatorCode]=Table1[[#This Row],[IndicatorCode]],Table1[value]))</f>
        <v>6.3409496564024987</v>
      </c>
      <c r="J7831">
        <f>(Table1[[#This Row],[value]] - Table1[[#This Row],[mean]]) / Table1[[#This Row],[std_dev]]</f>
        <v>1.6298599537622782</v>
      </c>
      <c r="K7831">
        <f>AVERAGEIF(Table1[CountryCode],Table1[[#This Row],[CountryCode]],Table1[z-score])</f>
        <v>0.68174026806790211</v>
      </c>
      <c r="L7831" t="e">
        <f>VLOOKUP(Table1[[#This Row],[CountryCode]],[1]!Table1[#All],1,FALSE)</f>
        <v>#REF!</v>
      </c>
    </row>
    <row r="7832" spans="1:12" hidden="1" x14ac:dyDescent="0.3">
      <c r="A7832" t="s">
        <v>27</v>
      </c>
      <c r="B7832" t="s">
        <v>28</v>
      </c>
      <c r="C7832" t="s">
        <v>129</v>
      </c>
      <c r="D7832" t="s">
        <v>130</v>
      </c>
      <c r="E7832">
        <v>2015</v>
      </c>
      <c r="F7832" s="1">
        <v>83</v>
      </c>
      <c r="G7832">
        <v>2010</v>
      </c>
      <c r="H7832">
        <f>AVERAGEIFS(Table1[value],Table1[IndicatorCode],Table1[[#This Row],[IndicatorCode]])</f>
        <v>72.66514008620689</v>
      </c>
      <c r="I7832" cm="1">
        <f t="array" ref="I7832">_xlfn.STDEV.P(IF(Table1[IndicatorCode]=Table1[[#This Row],[IndicatorCode]],Table1[value]))</f>
        <v>6.3409496564024987</v>
      </c>
      <c r="J7832">
        <f>(Table1[[#This Row],[value]] - Table1[[#This Row],[mean]]) / Table1[[#This Row],[std_dev]]</f>
        <v>1.6298599537622782</v>
      </c>
      <c r="K7832">
        <f>AVERAGEIF(Table1[CountryCode],Table1[[#This Row],[CountryCode]],Table1[z-score])</f>
        <v>0.68174026806790211</v>
      </c>
      <c r="L7832" t="e">
        <f>VLOOKUP(Table1[[#This Row],[CountryCode]],[1]!Table1[#All],1,FALSE)</f>
        <v>#REF!</v>
      </c>
    </row>
    <row r="7833" spans="1:12" hidden="1" x14ac:dyDescent="0.3">
      <c r="A7833" t="s">
        <v>27</v>
      </c>
      <c r="B7833" t="s">
        <v>28</v>
      </c>
      <c r="C7833" t="s">
        <v>129</v>
      </c>
      <c r="D7833" t="s">
        <v>130</v>
      </c>
      <c r="E7833">
        <v>2016</v>
      </c>
      <c r="F7833" s="1">
        <v>84</v>
      </c>
      <c r="G7833">
        <v>2010</v>
      </c>
      <c r="H7833">
        <f>AVERAGEIFS(Table1[value],Table1[IndicatorCode],Table1[[#This Row],[IndicatorCode]])</f>
        <v>72.66514008620689</v>
      </c>
      <c r="I7833" cm="1">
        <f t="array" ref="I7833">_xlfn.STDEV.P(IF(Table1[IndicatorCode]=Table1[[#This Row],[IndicatorCode]],Table1[value]))</f>
        <v>6.3409496564024987</v>
      </c>
      <c r="J7833">
        <f>(Table1[[#This Row],[value]] - Table1[[#This Row],[mean]]) / Table1[[#This Row],[std_dev]]</f>
        <v>1.7875650380457173</v>
      </c>
      <c r="K7833">
        <f>AVERAGEIF(Table1[CountryCode],Table1[[#This Row],[CountryCode]],Table1[z-score])</f>
        <v>0.68174026806790211</v>
      </c>
      <c r="L7833" t="e">
        <f>VLOOKUP(Table1[[#This Row],[CountryCode]],[1]!Table1[#All],1,FALSE)</f>
        <v>#REF!</v>
      </c>
    </row>
    <row r="7834" spans="1:12" hidden="1" x14ac:dyDescent="0.3">
      <c r="A7834" t="s">
        <v>27</v>
      </c>
      <c r="B7834" t="s">
        <v>28</v>
      </c>
      <c r="C7834" t="s">
        <v>129</v>
      </c>
      <c r="D7834" t="s">
        <v>130</v>
      </c>
      <c r="E7834">
        <v>2017</v>
      </c>
      <c r="F7834" s="1">
        <v>84</v>
      </c>
      <c r="G7834">
        <v>2020</v>
      </c>
      <c r="H7834">
        <f>AVERAGEIFS(Table1[value],Table1[IndicatorCode],Table1[[#This Row],[IndicatorCode]])</f>
        <v>72.66514008620689</v>
      </c>
      <c r="I7834" cm="1">
        <f t="array" ref="I7834">_xlfn.STDEV.P(IF(Table1[IndicatorCode]=Table1[[#This Row],[IndicatorCode]],Table1[value]))</f>
        <v>6.3409496564024987</v>
      </c>
      <c r="J7834">
        <f>(Table1[[#This Row],[value]] - Table1[[#This Row],[mean]]) / Table1[[#This Row],[std_dev]]</f>
        <v>1.7875650380457173</v>
      </c>
      <c r="K7834">
        <f>AVERAGEIF(Table1[CountryCode],Table1[[#This Row],[CountryCode]],Table1[z-score])</f>
        <v>0.68174026806790211</v>
      </c>
      <c r="L7834" t="e">
        <f>VLOOKUP(Table1[[#This Row],[CountryCode]],[1]!Table1[#All],1,FALSE)</f>
        <v>#REF!</v>
      </c>
    </row>
    <row r="7835" spans="1:12" hidden="1" x14ac:dyDescent="0.3">
      <c r="A7835" t="s">
        <v>27</v>
      </c>
      <c r="B7835" t="s">
        <v>28</v>
      </c>
      <c r="C7835" t="s">
        <v>129</v>
      </c>
      <c r="D7835" t="s">
        <v>130</v>
      </c>
      <c r="E7835">
        <v>2018</v>
      </c>
      <c r="F7835" s="1">
        <v>84</v>
      </c>
      <c r="G7835">
        <v>2020</v>
      </c>
      <c r="H7835">
        <f>AVERAGEIFS(Table1[value],Table1[IndicatorCode],Table1[[#This Row],[IndicatorCode]])</f>
        <v>72.66514008620689</v>
      </c>
      <c r="I7835" cm="1">
        <f t="array" ref="I7835">_xlfn.STDEV.P(IF(Table1[IndicatorCode]=Table1[[#This Row],[IndicatorCode]],Table1[value]))</f>
        <v>6.3409496564024987</v>
      </c>
      <c r="J7835">
        <f>(Table1[[#This Row],[value]] - Table1[[#This Row],[mean]]) / Table1[[#This Row],[std_dev]]</f>
        <v>1.7875650380457173</v>
      </c>
      <c r="K7835">
        <f>AVERAGEIF(Table1[CountryCode],Table1[[#This Row],[CountryCode]],Table1[z-score])</f>
        <v>0.68174026806790211</v>
      </c>
      <c r="L7835" t="e">
        <f>VLOOKUP(Table1[[#This Row],[CountryCode]],[1]!Table1[#All],1,FALSE)</f>
        <v>#REF!</v>
      </c>
    </row>
    <row r="7836" spans="1:12" hidden="1" x14ac:dyDescent="0.3">
      <c r="A7836" t="s">
        <v>27</v>
      </c>
      <c r="B7836" t="s">
        <v>28</v>
      </c>
      <c r="C7836" t="s">
        <v>129</v>
      </c>
      <c r="D7836" t="s">
        <v>130</v>
      </c>
      <c r="E7836">
        <v>2019</v>
      </c>
      <c r="F7836" s="1">
        <v>84</v>
      </c>
      <c r="G7836">
        <v>2020</v>
      </c>
      <c r="H7836">
        <f>AVERAGEIFS(Table1[value],Table1[IndicatorCode],Table1[[#This Row],[IndicatorCode]])</f>
        <v>72.66514008620689</v>
      </c>
      <c r="I7836" cm="1">
        <f t="array" ref="I7836">_xlfn.STDEV.P(IF(Table1[IndicatorCode]=Table1[[#This Row],[IndicatorCode]],Table1[value]))</f>
        <v>6.3409496564024987</v>
      </c>
      <c r="J7836">
        <f>(Table1[[#This Row],[value]] - Table1[[#This Row],[mean]]) / Table1[[#This Row],[std_dev]]</f>
        <v>1.7875650380457173</v>
      </c>
      <c r="K7836">
        <f>AVERAGEIF(Table1[CountryCode],Table1[[#This Row],[CountryCode]],Table1[z-score])</f>
        <v>0.68174026806790211</v>
      </c>
      <c r="L7836" t="e">
        <f>VLOOKUP(Table1[[#This Row],[CountryCode]],[1]!Table1[#All],1,FALSE)</f>
        <v>#REF!</v>
      </c>
    </row>
    <row r="7837" spans="1:12" x14ac:dyDescent="0.3">
      <c r="A7837" t="s">
        <v>27</v>
      </c>
      <c r="B7837" t="s">
        <v>28</v>
      </c>
      <c r="C7837" t="s">
        <v>129</v>
      </c>
      <c r="D7837" t="s">
        <v>130</v>
      </c>
      <c r="E7837">
        <v>2020</v>
      </c>
      <c r="F7837" s="1">
        <v>83</v>
      </c>
      <c r="G7837">
        <v>2020</v>
      </c>
      <c r="H7837">
        <f>AVERAGEIFS(Table1[value],Table1[IndicatorCode],Table1[[#This Row],[IndicatorCode]])</f>
        <v>72.66514008620689</v>
      </c>
      <c r="I7837" cm="1">
        <f t="array" ref="I7837">_xlfn.STDEV.P(IF(Table1[IndicatorCode]=Table1[[#This Row],[IndicatorCode]],Table1[value]))</f>
        <v>6.3409496564024987</v>
      </c>
      <c r="J7837">
        <f>(Table1[[#This Row],[value]] - Table1[[#This Row],[mean]]) / Table1[[#This Row],[std_dev]]</f>
        <v>1.6298599537622782</v>
      </c>
      <c r="K7837">
        <f>AVERAGEIF(Table1[CountryCode],Table1[[#This Row],[CountryCode]],Table1[z-score])</f>
        <v>0.68174026806790211</v>
      </c>
    </row>
    <row r="7838" spans="1:12" hidden="1" x14ac:dyDescent="0.3">
      <c r="A7838" t="s">
        <v>27</v>
      </c>
      <c r="B7838" t="s">
        <v>28</v>
      </c>
      <c r="C7838" t="s">
        <v>129</v>
      </c>
      <c r="D7838" t="s">
        <v>130</v>
      </c>
      <c r="E7838">
        <v>2021</v>
      </c>
      <c r="F7838" s="1">
        <v>84</v>
      </c>
      <c r="G7838">
        <v>1960</v>
      </c>
      <c r="H7838">
        <f>AVERAGEIFS(Table1[value],Table1[IndicatorCode],Table1[[#This Row],[IndicatorCode]])</f>
        <v>72.66514008620689</v>
      </c>
      <c r="I7838" cm="1">
        <f t="array" ref="I7838">_xlfn.STDEV.P(IF(Table1[IndicatorCode]=Table1[[#This Row],[IndicatorCode]],Table1[value]))</f>
        <v>6.3409496564024987</v>
      </c>
      <c r="J7838">
        <f>(Table1[[#This Row],[value]] - Table1[[#This Row],[mean]]) / Table1[[#This Row],[std_dev]]</f>
        <v>1.7875650380457173</v>
      </c>
      <c r="K7838">
        <f>AVERAGEIF(Table1[CountryCode],Table1[[#This Row],[CountryCode]],Table1[z-score])</f>
        <v>0.68174026806790211</v>
      </c>
      <c r="L7838" t="e">
        <f>VLOOKUP(Table1[[#This Row],[CountryCode]],[1]!Table1[#All],1,FALSE)</f>
        <v>#REF!</v>
      </c>
    </row>
    <row r="7839" spans="1:12" hidden="1" x14ac:dyDescent="0.3">
      <c r="A7839" t="s">
        <v>27</v>
      </c>
      <c r="B7839" t="s">
        <v>28</v>
      </c>
      <c r="C7839" t="s">
        <v>129</v>
      </c>
      <c r="D7839" t="s">
        <v>130</v>
      </c>
      <c r="E7839">
        <v>2022</v>
      </c>
      <c r="F7839" s="1">
        <v>84</v>
      </c>
      <c r="G7839">
        <v>1960</v>
      </c>
      <c r="H7839">
        <f>AVERAGEIFS(Table1[value],Table1[IndicatorCode],Table1[[#This Row],[IndicatorCode]])</f>
        <v>72.66514008620689</v>
      </c>
      <c r="I7839" cm="1">
        <f t="array" ref="I7839">_xlfn.STDEV.P(IF(Table1[IndicatorCode]=Table1[[#This Row],[IndicatorCode]],Table1[value]))</f>
        <v>6.3409496564024987</v>
      </c>
      <c r="J7839">
        <f>(Table1[[#This Row],[value]] - Table1[[#This Row],[mean]]) / Table1[[#This Row],[std_dev]]</f>
        <v>1.7875650380457173</v>
      </c>
      <c r="K7839">
        <f>AVERAGEIF(Table1[CountryCode],Table1[[#This Row],[CountryCode]],Table1[z-score])</f>
        <v>0.68174026806790211</v>
      </c>
      <c r="L7839" t="e">
        <f>VLOOKUP(Table1[[#This Row],[CountryCode]],[1]!Table1[#All],1,FALSE)</f>
        <v>#REF!</v>
      </c>
    </row>
    <row r="7840" spans="1:12" hidden="1" x14ac:dyDescent="0.3">
      <c r="A7840" t="s">
        <v>27</v>
      </c>
      <c r="B7840" t="s">
        <v>28</v>
      </c>
      <c r="C7840" t="s">
        <v>129</v>
      </c>
      <c r="D7840" t="s">
        <v>130</v>
      </c>
      <c r="E7840">
        <v>2023</v>
      </c>
      <c r="F7840" s="1">
        <v>84</v>
      </c>
      <c r="G7840">
        <v>1960</v>
      </c>
      <c r="H7840">
        <f>AVERAGEIFS(Table1[value],Table1[IndicatorCode],Table1[[#This Row],[IndicatorCode]])</f>
        <v>72.66514008620689</v>
      </c>
      <c r="I7840" cm="1">
        <f t="array" ref="I7840">_xlfn.STDEV.P(IF(Table1[IndicatorCode]=Table1[[#This Row],[IndicatorCode]],Table1[value]))</f>
        <v>6.3409496564024987</v>
      </c>
      <c r="J7840">
        <f>(Table1[[#This Row],[value]] - Table1[[#This Row],[mean]]) / Table1[[#This Row],[std_dev]]</f>
        <v>1.7875650380457173</v>
      </c>
      <c r="K7840">
        <f>AVERAGEIF(Table1[CountryCode],Table1[[#This Row],[CountryCode]],Table1[z-score])</f>
        <v>0.68174026806790211</v>
      </c>
      <c r="L7840" t="e">
        <f>VLOOKUP(Table1[[#This Row],[CountryCode]],[1]!Table1[#All],1,FALSE)</f>
        <v>#REF!</v>
      </c>
    </row>
    <row r="7841" spans="1:12" hidden="1" x14ac:dyDescent="0.3">
      <c r="A7841" t="s">
        <v>29</v>
      </c>
      <c r="B7841" t="s">
        <v>30</v>
      </c>
      <c r="C7841" t="s">
        <v>129</v>
      </c>
      <c r="D7841" t="s">
        <v>130</v>
      </c>
      <c r="E7841">
        <v>1960</v>
      </c>
      <c r="F7841" s="1">
        <v>73</v>
      </c>
      <c r="G7841">
        <v>1960</v>
      </c>
      <c r="H7841">
        <f>AVERAGEIFS(Table1[value],Table1[IndicatorCode],Table1[[#This Row],[IndicatorCode]])</f>
        <v>72.66514008620689</v>
      </c>
      <c r="I7841" cm="1">
        <f t="array" ref="I7841">_xlfn.STDEV.P(IF(Table1[IndicatorCode]=Table1[[#This Row],[IndicatorCode]],Table1[value]))</f>
        <v>6.3409496564024987</v>
      </c>
      <c r="J7841">
        <f>(Table1[[#This Row],[value]] - Table1[[#This Row],[mean]]) / Table1[[#This Row],[std_dev]]</f>
        <v>5.2809110927887599E-2</v>
      </c>
      <c r="K7841">
        <f>AVERAGEIF(Table1[CountryCode],Table1[[#This Row],[CountryCode]],Table1[z-score])</f>
        <v>0.62183816728032393</v>
      </c>
      <c r="L7841" t="e">
        <f>VLOOKUP(Table1[[#This Row],[CountryCode]],[1]!Table1[#All],1,FALSE)</f>
        <v>#REF!</v>
      </c>
    </row>
    <row r="7842" spans="1:12" hidden="1" x14ac:dyDescent="0.3">
      <c r="A7842" t="s">
        <v>29</v>
      </c>
      <c r="B7842" t="s">
        <v>30</v>
      </c>
      <c r="C7842" t="s">
        <v>129</v>
      </c>
      <c r="D7842" t="s">
        <v>130</v>
      </c>
      <c r="E7842">
        <v>1961</v>
      </c>
      <c r="F7842" s="1">
        <v>72</v>
      </c>
      <c r="G7842">
        <v>1960</v>
      </c>
      <c r="H7842">
        <f>AVERAGEIFS(Table1[value],Table1[IndicatorCode],Table1[[#This Row],[IndicatorCode]])</f>
        <v>72.66514008620689</v>
      </c>
      <c r="I7842" cm="1">
        <f t="array" ref="I7842">_xlfn.STDEV.P(IF(Table1[IndicatorCode]=Table1[[#This Row],[IndicatorCode]],Table1[value]))</f>
        <v>6.3409496564024987</v>
      </c>
      <c r="J7842">
        <f>(Table1[[#This Row],[value]] - Table1[[#This Row],[mean]]) / Table1[[#This Row],[std_dev]]</f>
        <v>-0.10489597335555145</v>
      </c>
      <c r="K7842">
        <f>AVERAGEIF(Table1[CountryCode],Table1[[#This Row],[CountryCode]],Table1[z-score])</f>
        <v>0.62183816728032393</v>
      </c>
      <c r="L7842" t="e">
        <f>VLOOKUP(Table1[[#This Row],[CountryCode]],[1]!Table1[#All],1,FALSE)</f>
        <v>#REF!</v>
      </c>
    </row>
    <row r="7843" spans="1:12" hidden="1" x14ac:dyDescent="0.3">
      <c r="A7843" t="s">
        <v>29</v>
      </c>
      <c r="B7843" t="s">
        <v>30</v>
      </c>
      <c r="C7843" t="s">
        <v>129</v>
      </c>
      <c r="D7843" t="s">
        <v>130</v>
      </c>
      <c r="E7843">
        <v>1962</v>
      </c>
      <c r="F7843" s="1">
        <v>72</v>
      </c>
      <c r="G7843">
        <v>1960</v>
      </c>
      <c r="H7843">
        <f>AVERAGEIFS(Table1[value],Table1[IndicatorCode],Table1[[#This Row],[IndicatorCode]])</f>
        <v>72.66514008620689</v>
      </c>
      <c r="I7843" cm="1">
        <f t="array" ref="I7843">_xlfn.STDEV.P(IF(Table1[IndicatorCode]=Table1[[#This Row],[IndicatorCode]],Table1[value]))</f>
        <v>6.3409496564024987</v>
      </c>
      <c r="J7843">
        <f>(Table1[[#This Row],[value]] - Table1[[#This Row],[mean]]) / Table1[[#This Row],[std_dev]]</f>
        <v>-0.10489597335555145</v>
      </c>
      <c r="K7843">
        <f>AVERAGEIF(Table1[CountryCode],Table1[[#This Row],[CountryCode]],Table1[z-score])</f>
        <v>0.62183816728032393</v>
      </c>
      <c r="L7843" t="e">
        <f>VLOOKUP(Table1[[#This Row],[CountryCode]],[1]!Table1[#All],1,FALSE)</f>
        <v>#REF!</v>
      </c>
    </row>
    <row r="7844" spans="1:12" hidden="1" x14ac:dyDescent="0.3">
      <c r="A7844" t="s">
        <v>29</v>
      </c>
      <c r="B7844" t="s">
        <v>30</v>
      </c>
      <c r="C7844" t="s">
        <v>129</v>
      </c>
      <c r="D7844" t="s">
        <v>130</v>
      </c>
      <c r="E7844">
        <v>1963</v>
      </c>
      <c r="F7844" s="1">
        <v>72</v>
      </c>
      <c r="G7844">
        <v>1960</v>
      </c>
      <c r="H7844">
        <f>AVERAGEIFS(Table1[value],Table1[IndicatorCode],Table1[[#This Row],[IndicatorCode]])</f>
        <v>72.66514008620689</v>
      </c>
      <c r="I7844" cm="1">
        <f t="array" ref="I7844">_xlfn.STDEV.P(IF(Table1[IndicatorCode]=Table1[[#This Row],[IndicatorCode]],Table1[value]))</f>
        <v>6.3409496564024987</v>
      </c>
      <c r="J7844">
        <f>(Table1[[#This Row],[value]] - Table1[[#This Row],[mean]]) / Table1[[#This Row],[std_dev]]</f>
        <v>-0.10489597335555145</v>
      </c>
      <c r="K7844">
        <f>AVERAGEIF(Table1[CountryCode],Table1[[#This Row],[CountryCode]],Table1[z-score])</f>
        <v>0.62183816728032393</v>
      </c>
      <c r="L7844" t="e">
        <f>VLOOKUP(Table1[[#This Row],[CountryCode]],[1]!Table1[#All],1,FALSE)</f>
        <v>#REF!</v>
      </c>
    </row>
    <row r="7845" spans="1:12" hidden="1" x14ac:dyDescent="0.3">
      <c r="A7845" t="s">
        <v>29</v>
      </c>
      <c r="B7845" t="s">
        <v>30</v>
      </c>
      <c r="C7845" t="s">
        <v>129</v>
      </c>
      <c r="D7845" t="s">
        <v>130</v>
      </c>
      <c r="E7845">
        <v>1964</v>
      </c>
      <c r="F7845" s="1">
        <v>72</v>
      </c>
      <c r="G7845">
        <v>1960</v>
      </c>
      <c r="H7845">
        <f>AVERAGEIFS(Table1[value],Table1[IndicatorCode],Table1[[#This Row],[IndicatorCode]])</f>
        <v>72.66514008620689</v>
      </c>
      <c r="I7845" cm="1">
        <f t="array" ref="I7845">_xlfn.STDEV.P(IF(Table1[IndicatorCode]=Table1[[#This Row],[IndicatorCode]],Table1[value]))</f>
        <v>6.3409496564024987</v>
      </c>
      <c r="J7845">
        <f>(Table1[[#This Row],[value]] - Table1[[#This Row],[mean]]) / Table1[[#This Row],[std_dev]]</f>
        <v>-0.10489597335555145</v>
      </c>
      <c r="K7845">
        <f>AVERAGEIF(Table1[CountryCode],Table1[[#This Row],[CountryCode]],Table1[z-score])</f>
        <v>0.62183816728032393</v>
      </c>
      <c r="L7845" t="e">
        <f>VLOOKUP(Table1[[#This Row],[CountryCode]],[1]!Table1[#All],1,FALSE)</f>
        <v>#REF!</v>
      </c>
    </row>
    <row r="7846" spans="1:12" hidden="1" x14ac:dyDescent="0.3">
      <c r="A7846" t="s">
        <v>29</v>
      </c>
      <c r="B7846" t="s">
        <v>30</v>
      </c>
      <c r="C7846" t="s">
        <v>129</v>
      </c>
      <c r="D7846" t="s">
        <v>130</v>
      </c>
      <c r="E7846">
        <v>1965</v>
      </c>
      <c r="F7846" s="1">
        <v>72</v>
      </c>
      <c r="G7846">
        <v>1960</v>
      </c>
      <c r="H7846">
        <f>AVERAGEIFS(Table1[value],Table1[IndicatorCode],Table1[[#This Row],[IndicatorCode]])</f>
        <v>72.66514008620689</v>
      </c>
      <c r="I7846" cm="1">
        <f t="array" ref="I7846">_xlfn.STDEV.P(IF(Table1[IndicatorCode]=Table1[[#This Row],[IndicatorCode]],Table1[value]))</f>
        <v>6.3409496564024987</v>
      </c>
      <c r="J7846">
        <f>(Table1[[#This Row],[value]] - Table1[[#This Row],[mean]]) / Table1[[#This Row],[std_dev]]</f>
        <v>-0.10489597335555145</v>
      </c>
      <c r="K7846">
        <f>AVERAGEIF(Table1[CountryCode],Table1[[#This Row],[CountryCode]],Table1[z-score])</f>
        <v>0.62183816728032393</v>
      </c>
      <c r="L7846" t="e">
        <f>VLOOKUP(Table1[[#This Row],[CountryCode]],[1]!Table1[#All],1,FALSE)</f>
        <v>#REF!</v>
      </c>
    </row>
    <row r="7847" spans="1:12" hidden="1" x14ac:dyDescent="0.3">
      <c r="A7847" t="s">
        <v>29</v>
      </c>
      <c r="B7847" t="s">
        <v>30</v>
      </c>
      <c r="C7847" t="s">
        <v>129</v>
      </c>
      <c r="D7847" t="s">
        <v>130</v>
      </c>
      <c r="E7847">
        <v>1966</v>
      </c>
      <c r="F7847" s="1">
        <v>72</v>
      </c>
      <c r="G7847">
        <v>1960</v>
      </c>
      <c r="H7847">
        <f>AVERAGEIFS(Table1[value],Table1[IndicatorCode],Table1[[#This Row],[IndicatorCode]])</f>
        <v>72.66514008620689</v>
      </c>
      <c r="I7847" cm="1">
        <f t="array" ref="I7847">_xlfn.STDEV.P(IF(Table1[IndicatorCode]=Table1[[#This Row],[IndicatorCode]],Table1[value]))</f>
        <v>6.3409496564024987</v>
      </c>
      <c r="J7847">
        <f>(Table1[[#This Row],[value]] - Table1[[#This Row],[mean]]) / Table1[[#This Row],[std_dev]]</f>
        <v>-0.10489597335555145</v>
      </c>
      <c r="K7847">
        <f>AVERAGEIF(Table1[CountryCode],Table1[[#This Row],[CountryCode]],Table1[z-score])</f>
        <v>0.62183816728032393</v>
      </c>
      <c r="L7847" t="e">
        <f>VLOOKUP(Table1[[#This Row],[CountryCode]],[1]!Table1[#All],1,FALSE)</f>
        <v>#REF!</v>
      </c>
    </row>
    <row r="7848" spans="1:12" hidden="1" x14ac:dyDescent="0.3">
      <c r="A7848" t="s">
        <v>29</v>
      </c>
      <c r="B7848" t="s">
        <v>30</v>
      </c>
      <c r="C7848" t="s">
        <v>129</v>
      </c>
      <c r="D7848" t="s">
        <v>130</v>
      </c>
      <c r="E7848">
        <v>1967</v>
      </c>
      <c r="F7848" s="1">
        <v>72</v>
      </c>
      <c r="G7848">
        <v>1970</v>
      </c>
      <c r="H7848">
        <f>AVERAGEIFS(Table1[value],Table1[IndicatorCode],Table1[[#This Row],[IndicatorCode]])</f>
        <v>72.66514008620689</v>
      </c>
      <c r="I7848" cm="1">
        <f t="array" ref="I7848">_xlfn.STDEV.P(IF(Table1[IndicatorCode]=Table1[[#This Row],[IndicatorCode]],Table1[value]))</f>
        <v>6.3409496564024987</v>
      </c>
      <c r="J7848">
        <f>(Table1[[#This Row],[value]] - Table1[[#This Row],[mean]]) / Table1[[#This Row],[std_dev]]</f>
        <v>-0.10489597335555145</v>
      </c>
      <c r="K7848">
        <f>AVERAGEIF(Table1[CountryCode],Table1[[#This Row],[CountryCode]],Table1[z-score])</f>
        <v>0.62183816728032393</v>
      </c>
      <c r="L7848" t="e">
        <f>VLOOKUP(Table1[[#This Row],[CountryCode]],[1]!Table1[#All],1,FALSE)</f>
        <v>#REF!</v>
      </c>
    </row>
    <row r="7849" spans="1:12" hidden="1" x14ac:dyDescent="0.3">
      <c r="A7849" t="s">
        <v>29</v>
      </c>
      <c r="B7849" t="s">
        <v>30</v>
      </c>
      <c r="C7849" t="s">
        <v>129</v>
      </c>
      <c r="D7849" t="s">
        <v>130</v>
      </c>
      <c r="E7849">
        <v>1968</v>
      </c>
      <c r="F7849" s="1">
        <v>72</v>
      </c>
      <c r="G7849">
        <v>1970</v>
      </c>
      <c r="H7849">
        <f>AVERAGEIFS(Table1[value],Table1[IndicatorCode],Table1[[#This Row],[IndicatorCode]])</f>
        <v>72.66514008620689</v>
      </c>
      <c r="I7849" cm="1">
        <f t="array" ref="I7849">_xlfn.STDEV.P(IF(Table1[IndicatorCode]=Table1[[#This Row],[IndicatorCode]],Table1[value]))</f>
        <v>6.3409496564024987</v>
      </c>
      <c r="J7849">
        <f>(Table1[[#This Row],[value]] - Table1[[#This Row],[mean]]) / Table1[[#This Row],[std_dev]]</f>
        <v>-0.10489597335555145</v>
      </c>
      <c r="K7849">
        <f>AVERAGEIF(Table1[CountryCode],Table1[[#This Row],[CountryCode]],Table1[z-score])</f>
        <v>0.62183816728032393</v>
      </c>
      <c r="L7849" t="e">
        <f>VLOOKUP(Table1[[#This Row],[CountryCode]],[1]!Table1[#All],1,FALSE)</f>
        <v>#REF!</v>
      </c>
    </row>
    <row r="7850" spans="1:12" hidden="1" x14ac:dyDescent="0.3">
      <c r="A7850" t="s">
        <v>29</v>
      </c>
      <c r="B7850" t="s">
        <v>30</v>
      </c>
      <c r="C7850" t="s">
        <v>129</v>
      </c>
      <c r="D7850" t="s">
        <v>130</v>
      </c>
      <c r="E7850">
        <v>1969</v>
      </c>
      <c r="F7850" s="1">
        <v>72</v>
      </c>
      <c r="G7850">
        <v>1970</v>
      </c>
      <c r="H7850">
        <f>AVERAGEIFS(Table1[value],Table1[IndicatorCode],Table1[[#This Row],[IndicatorCode]])</f>
        <v>72.66514008620689</v>
      </c>
      <c r="I7850" cm="1">
        <f t="array" ref="I7850">_xlfn.STDEV.P(IF(Table1[IndicatorCode]=Table1[[#This Row],[IndicatorCode]],Table1[value]))</f>
        <v>6.3409496564024987</v>
      </c>
      <c r="J7850">
        <f>(Table1[[#This Row],[value]] - Table1[[#This Row],[mean]]) / Table1[[#This Row],[std_dev]]</f>
        <v>-0.10489597335555145</v>
      </c>
      <c r="K7850">
        <f>AVERAGEIF(Table1[CountryCode],Table1[[#This Row],[CountryCode]],Table1[z-score])</f>
        <v>0.62183816728032393</v>
      </c>
      <c r="L7850" t="e">
        <f>VLOOKUP(Table1[[#This Row],[CountryCode]],[1]!Table1[#All],1,FALSE)</f>
        <v>#REF!</v>
      </c>
    </row>
    <row r="7851" spans="1:12" hidden="1" x14ac:dyDescent="0.3">
      <c r="A7851" t="s">
        <v>29</v>
      </c>
      <c r="B7851" t="s">
        <v>30</v>
      </c>
      <c r="C7851" t="s">
        <v>129</v>
      </c>
      <c r="D7851" t="s">
        <v>130</v>
      </c>
      <c r="E7851">
        <v>1970</v>
      </c>
      <c r="F7851" s="1">
        <v>72</v>
      </c>
      <c r="G7851">
        <v>1970</v>
      </c>
      <c r="H7851">
        <f>AVERAGEIFS(Table1[value],Table1[IndicatorCode],Table1[[#This Row],[IndicatorCode]])</f>
        <v>72.66514008620689</v>
      </c>
      <c r="I7851" cm="1">
        <f t="array" ref="I7851">_xlfn.STDEV.P(IF(Table1[IndicatorCode]=Table1[[#This Row],[IndicatorCode]],Table1[value]))</f>
        <v>6.3409496564024987</v>
      </c>
      <c r="J7851">
        <f>(Table1[[#This Row],[value]] - Table1[[#This Row],[mean]]) / Table1[[#This Row],[std_dev]]</f>
        <v>-0.10489597335555145</v>
      </c>
      <c r="K7851">
        <f>AVERAGEIF(Table1[CountryCode],Table1[[#This Row],[CountryCode]],Table1[z-score])</f>
        <v>0.62183816728032393</v>
      </c>
      <c r="L7851" t="e">
        <f>VLOOKUP(Table1[[#This Row],[CountryCode]],[1]!Table1[#All],1,FALSE)</f>
        <v>#REF!</v>
      </c>
    </row>
    <row r="7852" spans="1:12" hidden="1" x14ac:dyDescent="0.3">
      <c r="A7852" t="s">
        <v>29</v>
      </c>
      <c r="B7852" t="s">
        <v>30</v>
      </c>
      <c r="C7852" t="s">
        <v>129</v>
      </c>
      <c r="D7852" t="s">
        <v>130</v>
      </c>
      <c r="E7852">
        <v>1971</v>
      </c>
      <c r="F7852" s="1">
        <v>72</v>
      </c>
      <c r="G7852">
        <v>1970</v>
      </c>
      <c r="H7852">
        <f>AVERAGEIFS(Table1[value],Table1[IndicatorCode],Table1[[#This Row],[IndicatorCode]])</f>
        <v>72.66514008620689</v>
      </c>
      <c r="I7852" cm="1">
        <f t="array" ref="I7852">_xlfn.STDEV.P(IF(Table1[IndicatorCode]=Table1[[#This Row],[IndicatorCode]],Table1[value]))</f>
        <v>6.3409496564024987</v>
      </c>
      <c r="J7852">
        <f>(Table1[[#This Row],[value]] - Table1[[#This Row],[mean]]) / Table1[[#This Row],[std_dev]]</f>
        <v>-0.10489597335555145</v>
      </c>
      <c r="K7852">
        <f>AVERAGEIF(Table1[CountryCode],Table1[[#This Row],[CountryCode]],Table1[z-score])</f>
        <v>0.62183816728032393</v>
      </c>
      <c r="L7852" t="e">
        <f>VLOOKUP(Table1[[#This Row],[CountryCode]],[1]!Table1[#All],1,FALSE)</f>
        <v>#REF!</v>
      </c>
    </row>
    <row r="7853" spans="1:12" hidden="1" x14ac:dyDescent="0.3">
      <c r="A7853" t="s">
        <v>29</v>
      </c>
      <c r="B7853" t="s">
        <v>30</v>
      </c>
      <c r="C7853" t="s">
        <v>129</v>
      </c>
      <c r="D7853" t="s">
        <v>130</v>
      </c>
      <c r="E7853">
        <v>1972</v>
      </c>
      <c r="F7853" s="1">
        <v>72</v>
      </c>
      <c r="G7853">
        <v>1970</v>
      </c>
      <c r="H7853">
        <f>AVERAGEIFS(Table1[value],Table1[IndicatorCode],Table1[[#This Row],[IndicatorCode]])</f>
        <v>72.66514008620689</v>
      </c>
      <c r="I7853" cm="1">
        <f t="array" ref="I7853">_xlfn.STDEV.P(IF(Table1[IndicatorCode]=Table1[[#This Row],[IndicatorCode]],Table1[value]))</f>
        <v>6.3409496564024987</v>
      </c>
      <c r="J7853">
        <f>(Table1[[#This Row],[value]] - Table1[[#This Row],[mean]]) / Table1[[#This Row],[std_dev]]</f>
        <v>-0.10489597335555145</v>
      </c>
      <c r="K7853">
        <f>AVERAGEIF(Table1[CountryCode],Table1[[#This Row],[CountryCode]],Table1[z-score])</f>
        <v>0.62183816728032393</v>
      </c>
      <c r="L7853" t="e">
        <f>VLOOKUP(Table1[[#This Row],[CountryCode]],[1]!Table1[#All],1,FALSE)</f>
        <v>#REF!</v>
      </c>
    </row>
    <row r="7854" spans="1:12" hidden="1" x14ac:dyDescent="0.3">
      <c r="A7854" t="s">
        <v>29</v>
      </c>
      <c r="B7854" t="s">
        <v>30</v>
      </c>
      <c r="C7854" t="s">
        <v>129</v>
      </c>
      <c r="D7854" t="s">
        <v>130</v>
      </c>
      <c r="E7854">
        <v>1973</v>
      </c>
      <c r="F7854" s="1">
        <v>73</v>
      </c>
      <c r="G7854">
        <v>1970</v>
      </c>
      <c r="H7854">
        <f>AVERAGEIFS(Table1[value],Table1[IndicatorCode],Table1[[#This Row],[IndicatorCode]])</f>
        <v>72.66514008620689</v>
      </c>
      <c r="I7854" cm="1">
        <f t="array" ref="I7854">_xlfn.STDEV.P(IF(Table1[IndicatorCode]=Table1[[#This Row],[IndicatorCode]],Table1[value]))</f>
        <v>6.3409496564024987</v>
      </c>
      <c r="J7854">
        <f>(Table1[[#This Row],[value]] - Table1[[#This Row],[mean]]) / Table1[[#This Row],[std_dev]]</f>
        <v>5.2809110927887599E-2</v>
      </c>
      <c r="K7854">
        <f>AVERAGEIF(Table1[CountryCode],Table1[[#This Row],[CountryCode]],Table1[z-score])</f>
        <v>0.62183816728032393</v>
      </c>
      <c r="L7854" t="e">
        <f>VLOOKUP(Table1[[#This Row],[CountryCode]],[1]!Table1[#All],1,FALSE)</f>
        <v>#REF!</v>
      </c>
    </row>
    <row r="7855" spans="1:12" hidden="1" x14ac:dyDescent="0.3">
      <c r="A7855" t="s">
        <v>29</v>
      </c>
      <c r="B7855" t="s">
        <v>30</v>
      </c>
      <c r="C7855" t="s">
        <v>129</v>
      </c>
      <c r="D7855" t="s">
        <v>130</v>
      </c>
      <c r="E7855">
        <v>1974</v>
      </c>
      <c r="F7855" s="1">
        <v>73</v>
      </c>
      <c r="G7855">
        <v>1970</v>
      </c>
      <c r="H7855">
        <f>AVERAGEIFS(Table1[value],Table1[IndicatorCode],Table1[[#This Row],[IndicatorCode]])</f>
        <v>72.66514008620689</v>
      </c>
      <c r="I7855" cm="1">
        <f t="array" ref="I7855">_xlfn.STDEV.P(IF(Table1[IndicatorCode]=Table1[[#This Row],[IndicatorCode]],Table1[value]))</f>
        <v>6.3409496564024987</v>
      </c>
      <c r="J7855">
        <f>(Table1[[#This Row],[value]] - Table1[[#This Row],[mean]]) / Table1[[#This Row],[std_dev]]</f>
        <v>5.2809110927887599E-2</v>
      </c>
      <c r="K7855">
        <f>AVERAGEIF(Table1[CountryCode],Table1[[#This Row],[CountryCode]],Table1[z-score])</f>
        <v>0.62183816728032393</v>
      </c>
      <c r="L7855" t="e">
        <f>VLOOKUP(Table1[[#This Row],[CountryCode]],[1]!Table1[#All],1,FALSE)</f>
        <v>#REF!</v>
      </c>
    </row>
    <row r="7856" spans="1:12" hidden="1" x14ac:dyDescent="0.3">
      <c r="A7856" t="s">
        <v>29</v>
      </c>
      <c r="B7856" t="s">
        <v>30</v>
      </c>
      <c r="C7856" t="s">
        <v>129</v>
      </c>
      <c r="D7856" t="s">
        <v>130</v>
      </c>
      <c r="E7856">
        <v>1975</v>
      </c>
      <c r="F7856" s="1">
        <v>73</v>
      </c>
      <c r="G7856">
        <v>1970</v>
      </c>
      <c r="H7856">
        <f>AVERAGEIFS(Table1[value],Table1[IndicatorCode],Table1[[#This Row],[IndicatorCode]])</f>
        <v>72.66514008620689</v>
      </c>
      <c r="I7856" cm="1">
        <f t="array" ref="I7856">_xlfn.STDEV.P(IF(Table1[IndicatorCode]=Table1[[#This Row],[IndicatorCode]],Table1[value]))</f>
        <v>6.3409496564024987</v>
      </c>
      <c r="J7856">
        <f>(Table1[[#This Row],[value]] - Table1[[#This Row],[mean]]) / Table1[[#This Row],[std_dev]]</f>
        <v>5.2809110927887599E-2</v>
      </c>
      <c r="K7856">
        <f>AVERAGEIF(Table1[CountryCode],Table1[[#This Row],[CountryCode]],Table1[z-score])</f>
        <v>0.62183816728032393</v>
      </c>
      <c r="L7856" t="e">
        <f>VLOOKUP(Table1[[#This Row],[CountryCode]],[1]!Table1[#All],1,FALSE)</f>
        <v>#REF!</v>
      </c>
    </row>
    <row r="7857" spans="1:12" hidden="1" x14ac:dyDescent="0.3">
      <c r="A7857" t="s">
        <v>29</v>
      </c>
      <c r="B7857" t="s">
        <v>30</v>
      </c>
      <c r="C7857" t="s">
        <v>129</v>
      </c>
      <c r="D7857" t="s">
        <v>130</v>
      </c>
      <c r="E7857">
        <v>1976</v>
      </c>
      <c r="F7857" s="1">
        <v>73</v>
      </c>
      <c r="G7857">
        <v>1970</v>
      </c>
      <c r="H7857">
        <f>AVERAGEIFS(Table1[value],Table1[IndicatorCode],Table1[[#This Row],[IndicatorCode]])</f>
        <v>72.66514008620689</v>
      </c>
      <c r="I7857" cm="1">
        <f t="array" ref="I7857">_xlfn.STDEV.P(IF(Table1[IndicatorCode]=Table1[[#This Row],[IndicatorCode]],Table1[value]))</f>
        <v>6.3409496564024987</v>
      </c>
      <c r="J7857">
        <f>(Table1[[#This Row],[value]] - Table1[[#This Row],[mean]]) / Table1[[#This Row],[std_dev]]</f>
        <v>5.2809110927887599E-2</v>
      </c>
      <c r="K7857">
        <f>AVERAGEIF(Table1[CountryCode],Table1[[#This Row],[CountryCode]],Table1[z-score])</f>
        <v>0.62183816728032393</v>
      </c>
      <c r="L7857" t="e">
        <f>VLOOKUP(Table1[[#This Row],[CountryCode]],[1]!Table1[#All],1,FALSE)</f>
        <v>#REF!</v>
      </c>
    </row>
    <row r="7858" spans="1:12" hidden="1" x14ac:dyDescent="0.3">
      <c r="A7858" t="s">
        <v>29</v>
      </c>
      <c r="B7858" t="s">
        <v>30</v>
      </c>
      <c r="C7858" t="s">
        <v>129</v>
      </c>
      <c r="D7858" t="s">
        <v>130</v>
      </c>
      <c r="E7858">
        <v>1977</v>
      </c>
      <c r="F7858" s="1">
        <v>73</v>
      </c>
      <c r="G7858">
        <v>1980</v>
      </c>
      <c r="H7858">
        <f>AVERAGEIFS(Table1[value],Table1[IndicatorCode],Table1[[#This Row],[IndicatorCode]])</f>
        <v>72.66514008620689</v>
      </c>
      <c r="I7858" cm="1">
        <f t="array" ref="I7858">_xlfn.STDEV.P(IF(Table1[IndicatorCode]=Table1[[#This Row],[IndicatorCode]],Table1[value]))</f>
        <v>6.3409496564024987</v>
      </c>
      <c r="J7858">
        <f>(Table1[[#This Row],[value]] - Table1[[#This Row],[mean]]) / Table1[[#This Row],[std_dev]]</f>
        <v>5.2809110927887599E-2</v>
      </c>
      <c r="K7858">
        <f>AVERAGEIF(Table1[CountryCode],Table1[[#This Row],[CountryCode]],Table1[z-score])</f>
        <v>0.62183816728032393</v>
      </c>
      <c r="L7858" t="e">
        <f>VLOOKUP(Table1[[#This Row],[CountryCode]],[1]!Table1[#All],1,FALSE)</f>
        <v>#REF!</v>
      </c>
    </row>
    <row r="7859" spans="1:12" hidden="1" x14ac:dyDescent="0.3">
      <c r="A7859" t="s">
        <v>29</v>
      </c>
      <c r="B7859" t="s">
        <v>30</v>
      </c>
      <c r="C7859" t="s">
        <v>129</v>
      </c>
      <c r="D7859" t="s">
        <v>130</v>
      </c>
      <c r="E7859">
        <v>1978</v>
      </c>
      <c r="F7859" s="1">
        <v>73</v>
      </c>
      <c r="G7859">
        <v>1980</v>
      </c>
      <c r="H7859">
        <f>AVERAGEIFS(Table1[value],Table1[IndicatorCode],Table1[[#This Row],[IndicatorCode]])</f>
        <v>72.66514008620689</v>
      </c>
      <c r="I7859" cm="1">
        <f t="array" ref="I7859">_xlfn.STDEV.P(IF(Table1[IndicatorCode]=Table1[[#This Row],[IndicatorCode]],Table1[value]))</f>
        <v>6.3409496564024987</v>
      </c>
      <c r="J7859">
        <f>(Table1[[#This Row],[value]] - Table1[[#This Row],[mean]]) / Table1[[#This Row],[std_dev]]</f>
        <v>5.2809110927887599E-2</v>
      </c>
      <c r="K7859">
        <f>AVERAGEIF(Table1[CountryCode],Table1[[#This Row],[CountryCode]],Table1[z-score])</f>
        <v>0.62183816728032393</v>
      </c>
      <c r="L7859" t="e">
        <f>VLOOKUP(Table1[[#This Row],[CountryCode]],[1]!Table1[#All],1,FALSE)</f>
        <v>#REF!</v>
      </c>
    </row>
    <row r="7860" spans="1:12" hidden="1" x14ac:dyDescent="0.3">
      <c r="A7860" t="s">
        <v>29</v>
      </c>
      <c r="B7860" t="s">
        <v>30</v>
      </c>
      <c r="C7860" t="s">
        <v>129</v>
      </c>
      <c r="D7860" t="s">
        <v>130</v>
      </c>
      <c r="E7860">
        <v>1979</v>
      </c>
      <c r="F7860" s="1">
        <v>73</v>
      </c>
      <c r="G7860">
        <v>1980</v>
      </c>
      <c r="H7860">
        <f>AVERAGEIFS(Table1[value],Table1[IndicatorCode],Table1[[#This Row],[IndicatorCode]])</f>
        <v>72.66514008620689</v>
      </c>
      <c r="I7860" cm="1">
        <f t="array" ref="I7860">_xlfn.STDEV.P(IF(Table1[IndicatorCode]=Table1[[#This Row],[IndicatorCode]],Table1[value]))</f>
        <v>6.3409496564024987</v>
      </c>
      <c r="J7860">
        <f>(Table1[[#This Row],[value]] - Table1[[#This Row],[mean]]) / Table1[[#This Row],[std_dev]]</f>
        <v>5.2809110927887599E-2</v>
      </c>
      <c r="K7860">
        <f>AVERAGEIF(Table1[CountryCode],Table1[[#This Row],[CountryCode]],Table1[z-score])</f>
        <v>0.62183816728032393</v>
      </c>
      <c r="L7860" t="e">
        <f>VLOOKUP(Table1[[#This Row],[CountryCode]],[1]!Table1[#All],1,FALSE)</f>
        <v>#REF!</v>
      </c>
    </row>
    <row r="7861" spans="1:12" hidden="1" x14ac:dyDescent="0.3">
      <c r="A7861" t="s">
        <v>29</v>
      </c>
      <c r="B7861" t="s">
        <v>30</v>
      </c>
      <c r="C7861" t="s">
        <v>129</v>
      </c>
      <c r="D7861" t="s">
        <v>130</v>
      </c>
      <c r="E7861">
        <v>1980</v>
      </c>
      <c r="F7861" s="1">
        <v>74</v>
      </c>
      <c r="G7861">
        <v>1980</v>
      </c>
      <c r="H7861">
        <f>AVERAGEIFS(Table1[value],Table1[IndicatorCode],Table1[[#This Row],[IndicatorCode]])</f>
        <v>72.66514008620689</v>
      </c>
      <c r="I7861" cm="1">
        <f t="array" ref="I7861">_xlfn.STDEV.P(IF(Table1[IndicatorCode]=Table1[[#This Row],[IndicatorCode]],Table1[value]))</f>
        <v>6.3409496564024987</v>
      </c>
      <c r="J7861">
        <f>(Table1[[#This Row],[value]] - Table1[[#This Row],[mean]]) / Table1[[#This Row],[std_dev]]</f>
        <v>0.21051419521132667</v>
      </c>
      <c r="K7861">
        <f>AVERAGEIF(Table1[CountryCode],Table1[[#This Row],[CountryCode]],Table1[z-score])</f>
        <v>0.62183816728032393</v>
      </c>
      <c r="L7861" t="e">
        <f>VLOOKUP(Table1[[#This Row],[CountryCode]],[1]!Table1[#All],1,FALSE)</f>
        <v>#REF!</v>
      </c>
    </row>
    <row r="7862" spans="1:12" hidden="1" x14ac:dyDescent="0.3">
      <c r="A7862" t="s">
        <v>29</v>
      </c>
      <c r="B7862" t="s">
        <v>30</v>
      </c>
      <c r="C7862" t="s">
        <v>129</v>
      </c>
      <c r="D7862" t="s">
        <v>130</v>
      </c>
      <c r="E7862">
        <v>1981</v>
      </c>
      <c r="F7862" s="1">
        <v>74</v>
      </c>
      <c r="G7862">
        <v>1980</v>
      </c>
      <c r="H7862">
        <f>AVERAGEIFS(Table1[value],Table1[IndicatorCode],Table1[[#This Row],[IndicatorCode]])</f>
        <v>72.66514008620689</v>
      </c>
      <c r="I7862" cm="1">
        <f t="array" ref="I7862">_xlfn.STDEV.P(IF(Table1[IndicatorCode]=Table1[[#This Row],[IndicatorCode]],Table1[value]))</f>
        <v>6.3409496564024987</v>
      </c>
      <c r="J7862">
        <f>(Table1[[#This Row],[value]] - Table1[[#This Row],[mean]]) / Table1[[#This Row],[std_dev]]</f>
        <v>0.21051419521132667</v>
      </c>
      <c r="K7862">
        <f>AVERAGEIF(Table1[CountryCode],Table1[[#This Row],[CountryCode]],Table1[z-score])</f>
        <v>0.62183816728032393</v>
      </c>
      <c r="L7862" t="e">
        <f>VLOOKUP(Table1[[#This Row],[CountryCode]],[1]!Table1[#All],1,FALSE)</f>
        <v>#REF!</v>
      </c>
    </row>
    <row r="7863" spans="1:12" hidden="1" x14ac:dyDescent="0.3">
      <c r="A7863" t="s">
        <v>29</v>
      </c>
      <c r="B7863" t="s">
        <v>30</v>
      </c>
      <c r="C7863" t="s">
        <v>129</v>
      </c>
      <c r="D7863" t="s">
        <v>130</v>
      </c>
      <c r="E7863">
        <v>1982</v>
      </c>
      <c r="F7863" s="1">
        <v>73</v>
      </c>
      <c r="G7863">
        <v>1980</v>
      </c>
      <c r="H7863">
        <f>AVERAGEIFS(Table1[value],Table1[IndicatorCode],Table1[[#This Row],[IndicatorCode]])</f>
        <v>72.66514008620689</v>
      </c>
      <c r="I7863" cm="1">
        <f t="array" ref="I7863">_xlfn.STDEV.P(IF(Table1[IndicatorCode]=Table1[[#This Row],[IndicatorCode]],Table1[value]))</f>
        <v>6.3409496564024987</v>
      </c>
      <c r="J7863">
        <f>(Table1[[#This Row],[value]] - Table1[[#This Row],[mean]]) / Table1[[#This Row],[std_dev]]</f>
        <v>5.2809110927887599E-2</v>
      </c>
      <c r="K7863">
        <f>AVERAGEIF(Table1[CountryCode],Table1[[#This Row],[CountryCode]],Table1[z-score])</f>
        <v>0.62183816728032393</v>
      </c>
      <c r="L7863" t="e">
        <f>VLOOKUP(Table1[[#This Row],[CountryCode]],[1]!Table1[#All],1,FALSE)</f>
        <v>#REF!</v>
      </c>
    </row>
    <row r="7864" spans="1:12" hidden="1" x14ac:dyDescent="0.3">
      <c r="A7864" t="s">
        <v>29</v>
      </c>
      <c r="B7864" t="s">
        <v>30</v>
      </c>
      <c r="C7864" t="s">
        <v>129</v>
      </c>
      <c r="D7864" t="s">
        <v>130</v>
      </c>
      <c r="E7864">
        <v>1983</v>
      </c>
      <c r="F7864" s="1">
        <v>75</v>
      </c>
      <c r="G7864">
        <v>1980</v>
      </c>
      <c r="H7864">
        <f>AVERAGEIFS(Table1[value],Table1[IndicatorCode],Table1[[#This Row],[IndicatorCode]])</f>
        <v>72.66514008620689</v>
      </c>
      <c r="I7864" cm="1">
        <f t="array" ref="I7864">_xlfn.STDEV.P(IF(Table1[IndicatorCode]=Table1[[#This Row],[IndicatorCode]],Table1[value]))</f>
        <v>6.3409496564024987</v>
      </c>
      <c r="J7864">
        <f>(Table1[[#This Row],[value]] - Table1[[#This Row],[mean]]) / Table1[[#This Row],[std_dev]]</f>
        <v>0.36821927949476574</v>
      </c>
      <c r="K7864">
        <f>AVERAGEIF(Table1[CountryCode],Table1[[#This Row],[CountryCode]],Table1[z-score])</f>
        <v>0.62183816728032393</v>
      </c>
      <c r="L7864" t="e">
        <f>VLOOKUP(Table1[[#This Row],[CountryCode]],[1]!Table1[#All],1,FALSE)</f>
        <v>#REF!</v>
      </c>
    </row>
    <row r="7865" spans="1:12" hidden="1" x14ac:dyDescent="0.3">
      <c r="A7865" t="s">
        <v>29</v>
      </c>
      <c r="B7865" t="s">
        <v>30</v>
      </c>
      <c r="C7865" t="s">
        <v>129</v>
      </c>
      <c r="D7865" t="s">
        <v>130</v>
      </c>
      <c r="E7865">
        <v>1984</v>
      </c>
      <c r="F7865" s="1">
        <v>75</v>
      </c>
      <c r="G7865">
        <v>1980</v>
      </c>
      <c r="H7865">
        <f>AVERAGEIFS(Table1[value],Table1[IndicatorCode],Table1[[#This Row],[IndicatorCode]])</f>
        <v>72.66514008620689</v>
      </c>
      <c r="I7865" cm="1">
        <f t="array" ref="I7865">_xlfn.STDEV.P(IF(Table1[IndicatorCode]=Table1[[#This Row],[IndicatorCode]],Table1[value]))</f>
        <v>6.3409496564024987</v>
      </c>
      <c r="J7865">
        <f>(Table1[[#This Row],[value]] - Table1[[#This Row],[mean]]) / Table1[[#This Row],[std_dev]]</f>
        <v>0.36821927949476574</v>
      </c>
      <c r="K7865">
        <f>AVERAGEIF(Table1[CountryCode],Table1[[#This Row],[CountryCode]],Table1[z-score])</f>
        <v>0.62183816728032393</v>
      </c>
      <c r="L7865" t="e">
        <f>VLOOKUP(Table1[[#This Row],[CountryCode]],[1]!Table1[#All],1,FALSE)</f>
        <v>#REF!</v>
      </c>
    </row>
    <row r="7866" spans="1:12" hidden="1" x14ac:dyDescent="0.3">
      <c r="A7866" t="s">
        <v>29</v>
      </c>
      <c r="B7866" t="s">
        <v>30</v>
      </c>
      <c r="C7866" t="s">
        <v>129</v>
      </c>
      <c r="D7866" t="s">
        <v>130</v>
      </c>
      <c r="E7866">
        <v>1985</v>
      </c>
      <c r="F7866" s="1">
        <v>75</v>
      </c>
      <c r="G7866">
        <v>1980</v>
      </c>
      <c r="H7866">
        <f>AVERAGEIFS(Table1[value],Table1[IndicatorCode],Table1[[#This Row],[IndicatorCode]])</f>
        <v>72.66514008620689</v>
      </c>
      <c r="I7866" cm="1">
        <f t="array" ref="I7866">_xlfn.STDEV.P(IF(Table1[IndicatorCode]=Table1[[#This Row],[IndicatorCode]],Table1[value]))</f>
        <v>6.3409496564024987</v>
      </c>
      <c r="J7866">
        <f>(Table1[[#This Row],[value]] - Table1[[#This Row],[mean]]) / Table1[[#This Row],[std_dev]]</f>
        <v>0.36821927949476574</v>
      </c>
      <c r="K7866">
        <f>AVERAGEIF(Table1[CountryCode],Table1[[#This Row],[CountryCode]],Table1[z-score])</f>
        <v>0.62183816728032393</v>
      </c>
      <c r="L7866" t="e">
        <f>VLOOKUP(Table1[[#This Row],[CountryCode]],[1]!Table1[#All],1,FALSE)</f>
        <v>#REF!</v>
      </c>
    </row>
    <row r="7867" spans="1:12" hidden="1" x14ac:dyDescent="0.3">
      <c r="A7867" t="s">
        <v>29</v>
      </c>
      <c r="B7867" t="s">
        <v>30</v>
      </c>
      <c r="C7867" t="s">
        <v>129</v>
      </c>
      <c r="D7867" t="s">
        <v>130</v>
      </c>
      <c r="E7867">
        <v>1986</v>
      </c>
      <c r="F7867" s="1">
        <v>75</v>
      </c>
      <c r="G7867">
        <v>1980</v>
      </c>
      <c r="H7867">
        <f>AVERAGEIFS(Table1[value],Table1[IndicatorCode],Table1[[#This Row],[IndicatorCode]])</f>
        <v>72.66514008620689</v>
      </c>
      <c r="I7867" cm="1">
        <f t="array" ref="I7867">_xlfn.STDEV.P(IF(Table1[IndicatorCode]=Table1[[#This Row],[IndicatorCode]],Table1[value]))</f>
        <v>6.3409496564024987</v>
      </c>
      <c r="J7867">
        <f>(Table1[[#This Row],[value]] - Table1[[#This Row],[mean]]) / Table1[[#This Row],[std_dev]]</f>
        <v>0.36821927949476574</v>
      </c>
      <c r="K7867">
        <f>AVERAGEIF(Table1[CountryCode],Table1[[#This Row],[CountryCode]],Table1[z-score])</f>
        <v>0.62183816728032393</v>
      </c>
      <c r="L7867" t="e">
        <f>VLOOKUP(Table1[[#This Row],[CountryCode]],[1]!Table1[#All],1,FALSE)</f>
        <v>#REF!</v>
      </c>
    </row>
    <row r="7868" spans="1:12" hidden="1" x14ac:dyDescent="0.3">
      <c r="A7868" t="s">
        <v>29</v>
      </c>
      <c r="B7868" t="s">
        <v>30</v>
      </c>
      <c r="C7868" t="s">
        <v>129</v>
      </c>
      <c r="D7868" t="s">
        <v>130</v>
      </c>
      <c r="E7868">
        <v>1987</v>
      </c>
      <c r="F7868" s="1">
        <v>76</v>
      </c>
      <c r="G7868">
        <v>1990</v>
      </c>
      <c r="H7868">
        <f>AVERAGEIFS(Table1[value],Table1[IndicatorCode],Table1[[#This Row],[IndicatorCode]])</f>
        <v>72.66514008620689</v>
      </c>
      <c r="I7868" cm="1">
        <f t="array" ref="I7868">_xlfn.STDEV.P(IF(Table1[IndicatorCode]=Table1[[#This Row],[IndicatorCode]],Table1[value]))</f>
        <v>6.3409496564024987</v>
      </c>
      <c r="J7868">
        <f>(Table1[[#This Row],[value]] - Table1[[#This Row],[mean]]) / Table1[[#This Row],[std_dev]]</f>
        <v>0.52592436377820473</v>
      </c>
      <c r="K7868">
        <f>AVERAGEIF(Table1[CountryCode],Table1[[#This Row],[CountryCode]],Table1[z-score])</f>
        <v>0.62183816728032393</v>
      </c>
      <c r="L7868" t="e">
        <f>VLOOKUP(Table1[[#This Row],[CountryCode]],[1]!Table1[#All],1,FALSE)</f>
        <v>#REF!</v>
      </c>
    </row>
    <row r="7869" spans="1:12" hidden="1" x14ac:dyDescent="0.3">
      <c r="A7869" t="s">
        <v>29</v>
      </c>
      <c r="B7869" t="s">
        <v>30</v>
      </c>
      <c r="C7869" t="s">
        <v>129</v>
      </c>
      <c r="D7869" t="s">
        <v>130</v>
      </c>
      <c r="E7869">
        <v>1988</v>
      </c>
      <c r="F7869" s="1">
        <v>76</v>
      </c>
      <c r="G7869">
        <v>1990</v>
      </c>
      <c r="H7869">
        <f>AVERAGEIFS(Table1[value],Table1[IndicatorCode],Table1[[#This Row],[IndicatorCode]])</f>
        <v>72.66514008620689</v>
      </c>
      <c r="I7869" cm="1">
        <f t="array" ref="I7869">_xlfn.STDEV.P(IF(Table1[IndicatorCode]=Table1[[#This Row],[IndicatorCode]],Table1[value]))</f>
        <v>6.3409496564024987</v>
      </c>
      <c r="J7869">
        <f>(Table1[[#This Row],[value]] - Table1[[#This Row],[mean]]) / Table1[[#This Row],[std_dev]]</f>
        <v>0.52592436377820473</v>
      </c>
      <c r="K7869">
        <f>AVERAGEIF(Table1[CountryCode],Table1[[#This Row],[CountryCode]],Table1[z-score])</f>
        <v>0.62183816728032393</v>
      </c>
      <c r="L7869" t="e">
        <f>VLOOKUP(Table1[[#This Row],[CountryCode]],[1]!Table1[#All],1,FALSE)</f>
        <v>#REF!</v>
      </c>
    </row>
    <row r="7870" spans="1:12" hidden="1" x14ac:dyDescent="0.3">
      <c r="A7870" t="s">
        <v>29</v>
      </c>
      <c r="B7870" t="s">
        <v>30</v>
      </c>
      <c r="C7870" t="s">
        <v>129</v>
      </c>
      <c r="D7870" t="s">
        <v>130</v>
      </c>
      <c r="E7870">
        <v>1989</v>
      </c>
      <c r="F7870" s="1">
        <v>77</v>
      </c>
      <c r="G7870">
        <v>1990</v>
      </c>
      <c r="H7870">
        <f>AVERAGEIFS(Table1[value],Table1[IndicatorCode],Table1[[#This Row],[IndicatorCode]])</f>
        <v>72.66514008620689</v>
      </c>
      <c r="I7870" cm="1">
        <f t="array" ref="I7870">_xlfn.STDEV.P(IF(Table1[IndicatorCode]=Table1[[#This Row],[IndicatorCode]],Table1[value]))</f>
        <v>6.3409496564024987</v>
      </c>
      <c r="J7870">
        <f>(Table1[[#This Row],[value]] - Table1[[#This Row],[mean]]) / Table1[[#This Row],[std_dev]]</f>
        <v>0.68362944806164383</v>
      </c>
      <c r="K7870">
        <f>AVERAGEIF(Table1[CountryCode],Table1[[#This Row],[CountryCode]],Table1[z-score])</f>
        <v>0.62183816728032393</v>
      </c>
      <c r="L7870" t="e">
        <f>VLOOKUP(Table1[[#This Row],[CountryCode]],[1]!Table1[#All],1,FALSE)</f>
        <v>#REF!</v>
      </c>
    </row>
    <row r="7871" spans="1:12" hidden="1" x14ac:dyDescent="0.3">
      <c r="A7871" t="s">
        <v>29</v>
      </c>
      <c r="B7871" t="s">
        <v>30</v>
      </c>
      <c r="C7871" t="s">
        <v>129</v>
      </c>
      <c r="D7871" t="s">
        <v>130</v>
      </c>
      <c r="E7871">
        <v>1990</v>
      </c>
      <c r="F7871" s="1">
        <v>76</v>
      </c>
      <c r="G7871">
        <v>1990</v>
      </c>
      <c r="H7871">
        <f>AVERAGEIFS(Table1[value],Table1[IndicatorCode],Table1[[#This Row],[IndicatorCode]])</f>
        <v>72.66514008620689</v>
      </c>
      <c r="I7871" cm="1">
        <f t="array" ref="I7871">_xlfn.STDEV.P(IF(Table1[IndicatorCode]=Table1[[#This Row],[IndicatorCode]],Table1[value]))</f>
        <v>6.3409496564024987</v>
      </c>
      <c r="J7871">
        <f>(Table1[[#This Row],[value]] - Table1[[#This Row],[mean]]) / Table1[[#This Row],[std_dev]]</f>
        <v>0.52592436377820473</v>
      </c>
      <c r="K7871">
        <f>AVERAGEIF(Table1[CountryCode],Table1[[#This Row],[CountryCode]],Table1[z-score])</f>
        <v>0.62183816728032393</v>
      </c>
      <c r="L7871" t="e">
        <f>VLOOKUP(Table1[[#This Row],[CountryCode]],[1]!Table1[#All],1,FALSE)</f>
        <v>#REF!</v>
      </c>
    </row>
    <row r="7872" spans="1:12" hidden="1" x14ac:dyDescent="0.3">
      <c r="A7872" t="s">
        <v>29</v>
      </c>
      <c r="B7872" t="s">
        <v>30</v>
      </c>
      <c r="C7872" t="s">
        <v>129</v>
      </c>
      <c r="D7872" t="s">
        <v>130</v>
      </c>
      <c r="E7872">
        <v>1991</v>
      </c>
      <c r="F7872" s="1">
        <v>77</v>
      </c>
      <c r="G7872">
        <v>1990</v>
      </c>
      <c r="H7872">
        <f>AVERAGEIFS(Table1[value],Table1[IndicatorCode],Table1[[#This Row],[IndicatorCode]])</f>
        <v>72.66514008620689</v>
      </c>
      <c r="I7872" cm="1">
        <f t="array" ref="I7872">_xlfn.STDEV.P(IF(Table1[IndicatorCode]=Table1[[#This Row],[IndicatorCode]],Table1[value]))</f>
        <v>6.3409496564024987</v>
      </c>
      <c r="J7872">
        <f>(Table1[[#This Row],[value]] - Table1[[#This Row],[mean]]) / Table1[[#This Row],[std_dev]]</f>
        <v>0.68362944806164383</v>
      </c>
      <c r="K7872">
        <f>AVERAGEIF(Table1[CountryCode],Table1[[#This Row],[CountryCode]],Table1[z-score])</f>
        <v>0.62183816728032393</v>
      </c>
      <c r="L7872" t="e">
        <f>VLOOKUP(Table1[[#This Row],[CountryCode]],[1]!Table1[#All],1,FALSE)</f>
        <v>#REF!</v>
      </c>
    </row>
    <row r="7873" spans="1:12" hidden="1" x14ac:dyDescent="0.3">
      <c r="A7873" t="s">
        <v>29</v>
      </c>
      <c r="B7873" t="s">
        <v>30</v>
      </c>
      <c r="C7873" t="s">
        <v>129</v>
      </c>
      <c r="D7873" t="s">
        <v>130</v>
      </c>
      <c r="E7873">
        <v>1992</v>
      </c>
      <c r="F7873" s="1">
        <v>77</v>
      </c>
      <c r="G7873">
        <v>1990</v>
      </c>
      <c r="H7873">
        <f>AVERAGEIFS(Table1[value],Table1[IndicatorCode],Table1[[#This Row],[IndicatorCode]])</f>
        <v>72.66514008620689</v>
      </c>
      <c r="I7873" cm="1">
        <f t="array" ref="I7873">_xlfn.STDEV.P(IF(Table1[IndicatorCode]=Table1[[#This Row],[IndicatorCode]],Table1[value]))</f>
        <v>6.3409496564024987</v>
      </c>
      <c r="J7873">
        <f>(Table1[[#This Row],[value]] - Table1[[#This Row],[mean]]) / Table1[[#This Row],[std_dev]]</f>
        <v>0.68362944806164383</v>
      </c>
      <c r="K7873">
        <f>AVERAGEIF(Table1[CountryCode],Table1[[#This Row],[CountryCode]],Table1[z-score])</f>
        <v>0.62183816728032393</v>
      </c>
      <c r="L7873" t="e">
        <f>VLOOKUP(Table1[[#This Row],[CountryCode]],[1]!Table1[#All],1,FALSE)</f>
        <v>#REF!</v>
      </c>
    </row>
    <row r="7874" spans="1:12" hidden="1" x14ac:dyDescent="0.3">
      <c r="A7874" t="s">
        <v>29</v>
      </c>
      <c r="B7874" t="s">
        <v>30</v>
      </c>
      <c r="C7874" t="s">
        <v>129</v>
      </c>
      <c r="D7874" t="s">
        <v>130</v>
      </c>
      <c r="E7874">
        <v>1993</v>
      </c>
      <c r="F7874" s="1">
        <v>77</v>
      </c>
      <c r="G7874">
        <v>1990</v>
      </c>
      <c r="H7874">
        <f>AVERAGEIFS(Table1[value],Table1[IndicatorCode],Table1[[#This Row],[IndicatorCode]])</f>
        <v>72.66514008620689</v>
      </c>
      <c r="I7874" cm="1">
        <f t="array" ref="I7874">_xlfn.STDEV.P(IF(Table1[IndicatorCode]=Table1[[#This Row],[IndicatorCode]],Table1[value]))</f>
        <v>6.3409496564024987</v>
      </c>
      <c r="J7874">
        <f>(Table1[[#This Row],[value]] - Table1[[#This Row],[mean]]) / Table1[[#This Row],[std_dev]]</f>
        <v>0.68362944806164383</v>
      </c>
      <c r="K7874">
        <f>AVERAGEIF(Table1[CountryCode],Table1[[#This Row],[CountryCode]],Table1[z-score])</f>
        <v>0.62183816728032393</v>
      </c>
      <c r="L7874" t="e">
        <f>VLOOKUP(Table1[[#This Row],[CountryCode]],[1]!Table1[#All],1,FALSE)</f>
        <v>#REF!</v>
      </c>
    </row>
    <row r="7875" spans="1:12" hidden="1" x14ac:dyDescent="0.3">
      <c r="A7875" t="s">
        <v>29</v>
      </c>
      <c r="B7875" t="s">
        <v>30</v>
      </c>
      <c r="C7875" t="s">
        <v>129</v>
      </c>
      <c r="D7875" t="s">
        <v>130</v>
      </c>
      <c r="E7875">
        <v>1994</v>
      </c>
      <c r="F7875" s="1">
        <v>77</v>
      </c>
      <c r="G7875">
        <v>1990</v>
      </c>
      <c r="H7875">
        <f>AVERAGEIFS(Table1[value],Table1[IndicatorCode],Table1[[#This Row],[IndicatorCode]])</f>
        <v>72.66514008620689</v>
      </c>
      <c r="I7875" cm="1">
        <f t="array" ref="I7875">_xlfn.STDEV.P(IF(Table1[IndicatorCode]=Table1[[#This Row],[IndicatorCode]],Table1[value]))</f>
        <v>6.3409496564024987</v>
      </c>
      <c r="J7875">
        <f>(Table1[[#This Row],[value]] - Table1[[#This Row],[mean]]) / Table1[[#This Row],[std_dev]]</f>
        <v>0.68362944806164383</v>
      </c>
      <c r="K7875">
        <f>AVERAGEIF(Table1[CountryCode],Table1[[#This Row],[CountryCode]],Table1[z-score])</f>
        <v>0.62183816728032393</v>
      </c>
      <c r="L7875" t="e">
        <f>VLOOKUP(Table1[[#This Row],[CountryCode]],[1]!Table1[#All],1,FALSE)</f>
        <v>#REF!</v>
      </c>
    </row>
    <row r="7876" spans="1:12" hidden="1" x14ac:dyDescent="0.3">
      <c r="A7876" t="s">
        <v>29</v>
      </c>
      <c r="B7876" t="s">
        <v>30</v>
      </c>
      <c r="C7876" t="s">
        <v>129</v>
      </c>
      <c r="D7876" t="s">
        <v>130</v>
      </c>
      <c r="E7876">
        <v>1995</v>
      </c>
      <c r="F7876" s="1">
        <v>78</v>
      </c>
      <c r="G7876">
        <v>1990</v>
      </c>
      <c r="H7876">
        <f>AVERAGEIFS(Table1[value],Table1[IndicatorCode],Table1[[#This Row],[IndicatorCode]])</f>
        <v>72.66514008620689</v>
      </c>
      <c r="I7876" cm="1">
        <f t="array" ref="I7876">_xlfn.STDEV.P(IF(Table1[IndicatorCode]=Table1[[#This Row],[IndicatorCode]],Table1[value]))</f>
        <v>6.3409496564024987</v>
      </c>
      <c r="J7876">
        <f>(Table1[[#This Row],[value]] - Table1[[#This Row],[mean]]) / Table1[[#This Row],[std_dev]]</f>
        <v>0.84133453234508293</v>
      </c>
      <c r="K7876">
        <f>AVERAGEIF(Table1[CountryCode],Table1[[#This Row],[CountryCode]],Table1[z-score])</f>
        <v>0.62183816728032393</v>
      </c>
      <c r="L7876" t="e">
        <f>VLOOKUP(Table1[[#This Row],[CountryCode]],[1]!Table1[#All],1,FALSE)</f>
        <v>#REF!</v>
      </c>
    </row>
    <row r="7877" spans="1:12" hidden="1" x14ac:dyDescent="0.3">
      <c r="A7877" t="s">
        <v>29</v>
      </c>
      <c r="B7877" t="s">
        <v>30</v>
      </c>
      <c r="C7877" t="s">
        <v>129</v>
      </c>
      <c r="D7877" t="s">
        <v>130</v>
      </c>
      <c r="E7877">
        <v>1996</v>
      </c>
      <c r="F7877" s="1">
        <v>78</v>
      </c>
      <c r="G7877">
        <v>1990</v>
      </c>
      <c r="H7877">
        <f>AVERAGEIFS(Table1[value],Table1[IndicatorCode],Table1[[#This Row],[IndicatorCode]])</f>
        <v>72.66514008620689</v>
      </c>
      <c r="I7877" cm="1">
        <f t="array" ref="I7877">_xlfn.STDEV.P(IF(Table1[IndicatorCode]=Table1[[#This Row],[IndicatorCode]],Table1[value]))</f>
        <v>6.3409496564024987</v>
      </c>
      <c r="J7877">
        <f>(Table1[[#This Row],[value]] - Table1[[#This Row],[mean]]) / Table1[[#This Row],[std_dev]]</f>
        <v>0.84133453234508293</v>
      </c>
      <c r="K7877">
        <f>AVERAGEIF(Table1[CountryCode],Table1[[#This Row],[CountryCode]],Table1[z-score])</f>
        <v>0.62183816728032393</v>
      </c>
      <c r="L7877" t="e">
        <f>VLOOKUP(Table1[[#This Row],[CountryCode]],[1]!Table1[#All],1,FALSE)</f>
        <v>#REF!</v>
      </c>
    </row>
    <row r="7878" spans="1:12" hidden="1" x14ac:dyDescent="0.3">
      <c r="A7878" t="s">
        <v>29</v>
      </c>
      <c r="B7878" t="s">
        <v>30</v>
      </c>
      <c r="C7878" t="s">
        <v>129</v>
      </c>
      <c r="D7878" t="s">
        <v>130</v>
      </c>
      <c r="E7878">
        <v>1997</v>
      </c>
      <c r="F7878" s="1">
        <v>78</v>
      </c>
      <c r="G7878">
        <v>2000</v>
      </c>
      <c r="H7878">
        <f>AVERAGEIFS(Table1[value],Table1[IndicatorCode],Table1[[#This Row],[IndicatorCode]])</f>
        <v>72.66514008620689</v>
      </c>
      <c r="I7878" cm="1">
        <f t="array" ref="I7878">_xlfn.STDEV.P(IF(Table1[IndicatorCode]=Table1[[#This Row],[IndicatorCode]],Table1[value]))</f>
        <v>6.3409496564024987</v>
      </c>
      <c r="J7878">
        <f>(Table1[[#This Row],[value]] - Table1[[#This Row],[mean]]) / Table1[[#This Row],[std_dev]]</f>
        <v>0.84133453234508293</v>
      </c>
      <c r="K7878">
        <f>AVERAGEIF(Table1[CountryCode],Table1[[#This Row],[CountryCode]],Table1[z-score])</f>
        <v>0.62183816728032393</v>
      </c>
      <c r="L7878" t="e">
        <f>VLOOKUP(Table1[[#This Row],[CountryCode]],[1]!Table1[#All],1,FALSE)</f>
        <v>#REF!</v>
      </c>
    </row>
    <row r="7879" spans="1:12" hidden="1" x14ac:dyDescent="0.3">
      <c r="A7879" t="s">
        <v>29</v>
      </c>
      <c r="B7879" t="s">
        <v>30</v>
      </c>
      <c r="C7879" t="s">
        <v>129</v>
      </c>
      <c r="D7879" t="s">
        <v>130</v>
      </c>
      <c r="E7879">
        <v>1998</v>
      </c>
      <c r="F7879" s="1">
        <v>79</v>
      </c>
      <c r="G7879">
        <v>2000</v>
      </c>
      <c r="H7879">
        <f>AVERAGEIFS(Table1[value],Table1[IndicatorCode],Table1[[#This Row],[IndicatorCode]])</f>
        <v>72.66514008620689</v>
      </c>
      <c r="I7879" cm="1">
        <f t="array" ref="I7879">_xlfn.STDEV.P(IF(Table1[IndicatorCode]=Table1[[#This Row],[IndicatorCode]],Table1[value]))</f>
        <v>6.3409496564024987</v>
      </c>
      <c r="J7879">
        <f>(Table1[[#This Row],[value]] - Table1[[#This Row],[mean]]) / Table1[[#This Row],[std_dev]]</f>
        <v>0.99903961662852192</v>
      </c>
      <c r="K7879">
        <f>AVERAGEIF(Table1[CountryCode],Table1[[#This Row],[CountryCode]],Table1[z-score])</f>
        <v>0.62183816728032393</v>
      </c>
      <c r="L7879" t="e">
        <f>VLOOKUP(Table1[[#This Row],[CountryCode]],[1]!Table1[#All],1,FALSE)</f>
        <v>#REF!</v>
      </c>
    </row>
    <row r="7880" spans="1:12" hidden="1" x14ac:dyDescent="0.3">
      <c r="A7880" t="s">
        <v>29</v>
      </c>
      <c r="B7880" t="s">
        <v>30</v>
      </c>
      <c r="C7880" t="s">
        <v>129</v>
      </c>
      <c r="D7880" t="s">
        <v>130</v>
      </c>
      <c r="E7880">
        <v>1999</v>
      </c>
      <c r="F7880" s="1">
        <v>79</v>
      </c>
      <c r="G7880">
        <v>2000</v>
      </c>
      <c r="H7880">
        <f>AVERAGEIFS(Table1[value],Table1[IndicatorCode],Table1[[#This Row],[IndicatorCode]])</f>
        <v>72.66514008620689</v>
      </c>
      <c r="I7880" cm="1">
        <f t="array" ref="I7880">_xlfn.STDEV.P(IF(Table1[IndicatorCode]=Table1[[#This Row],[IndicatorCode]],Table1[value]))</f>
        <v>6.3409496564024987</v>
      </c>
      <c r="J7880">
        <f>(Table1[[#This Row],[value]] - Table1[[#This Row],[mean]]) / Table1[[#This Row],[std_dev]]</f>
        <v>0.99903961662852192</v>
      </c>
      <c r="K7880">
        <f>AVERAGEIF(Table1[CountryCode],Table1[[#This Row],[CountryCode]],Table1[z-score])</f>
        <v>0.62183816728032393</v>
      </c>
      <c r="L7880" t="e">
        <f>VLOOKUP(Table1[[#This Row],[CountryCode]],[1]!Table1[#All],1,FALSE)</f>
        <v>#REF!</v>
      </c>
    </row>
    <row r="7881" spans="1:12" hidden="1" x14ac:dyDescent="0.3">
      <c r="A7881" t="s">
        <v>29</v>
      </c>
      <c r="B7881" t="s">
        <v>30</v>
      </c>
      <c r="C7881" t="s">
        <v>129</v>
      </c>
      <c r="D7881" t="s">
        <v>130</v>
      </c>
      <c r="E7881">
        <v>2000</v>
      </c>
      <c r="F7881" s="1">
        <v>79</v>
      </c>
      <c r="G7881">
        <v>2000</v>
      </c>
      <c r="H7881">
        <f>AVERAGEIFS(Table1[value],Table1[IndicatorCode],Table1[[#This Row],[IndicatorCode]])</f>
        <v>72.66514008620689</v>
      </c>
      <c r="I7881" cm="1">
        <f t="array" ref="I7881">_xlfn.STDEV.P(IF(Table1[IndicatorCode]=Table1[[#This Row],[IndicatorCode]],Table1[value]))</f>
        <v>6.3409496564024987</v>
      </c>
      <c r="J7881">
        <f>(Table1[[#This Row],[value]] - Table1[[#This Row],[mean]]) / Table1[[#This Row],[std_dev]]</f>
        <v>0.99903961662852192</v>
      </c>
      <c r="K7881">
        <f>AVERAGEIF(Table1[CountryCode],Table1[[#This Row],[CountryCode]],Table1[z-score])</f>
        <v>0.62183816728032393</v>
      </c>
      <c r="L7881" t="e">
        <f>VLOOKUP(Table1[[#This Row],[CountryCode]],[1]!Table1[#All],1,FALSE)</f>
        <v>#REF!</v>
      </c>
    </row>
    <row r="7882" spans="1:12" hidden="1" x14ac:dyDescent="0.3">
      <c r="A7882" t="s">
        <v>29</v>
      </c>
      <c r="B7882" t="s">
        <v>30</v>
      </c>
      <c r="C7882" t="s">
        <v>129</v>
      </c>
      <c r="D7882" t="s">
        <v>130</v>
      </c>
      <c r="E7882">
        <v>2001</v>
      </c>
      <c r="F7882" s="1">
        <v>79</v>
      </c>
      <c r="G7882">
        <v>2000</v>
      </c>
      <c r="H7882">
        <f>AVERAGEIFS(Table1[value],Table1[IndicatorCode],Table1[[#This Row],[IndicatorCode]])</f>
        <v>72.66514008620689</v>
      </c>
      <c r="I7882" cm="1">
        <f t="array" ref="I7882">_xlfn.STDEV.P(IF(Table1[IndicatorCode]=Table1[[#This Row],[IndicatorCode]],Table1[value]))</f>
        <v>6.3409496564024987</v>
      </c>
      <c r="J7882">
        <f>(Table1[[#This Row],[value]] - Table1[[#This Row],[mean]]) / Table1[[#This Row],[std_dev]]</f>
        <v>0.99903961662852192</v>
      </c>
      <c r="K7882">
        <f>AVERAGEIF(Table1[CountryCode],Table1[[#This Row],[CountryCode]],Table1[z-score])</f>
        <v>0.62183816728032393</v>
      </c>
      <c r="L7882" t="e">
        <f>VLOOKUP(Table1[[#This Row],[CountryCode]],[1]!Table1[#All],1,FALSE)</f>
        <v>#REF!</v>
      </c>
    </row>
    <row r="7883" spans="1:12" hidden="1" x14ac:dyDescent="0.3">
      <c r="A7883" t="s">
        <v>29</v>
      </c>
      <c r="B7883" t="s">
        <v>30</v>
      </c>
      <c r="C7883" t="s">
        <v>129</v>
      </c>
      <c r="D7883" t="s">
        <v>130</v>
      </c>
      <c r="E7883">
        <v>2002</v>
      </c>
      <c r="F7883" s="1">
        <v>79</v>
      </c>
      <c r="G7883">
        <v>2000</v>
      </c>
      <c r="H7883">
        <f>AVERAGEIFS(Table1[value],Table1[IndicatorCode],Table1[[#This Row],[IndicatorCode]])</f>
        <v>72.66514008620689</v>
      </c>
      <c r="I7883" cm="1">
        <f t="array" ref="I7883">_xlfn.STDEV.P(IF(Table1[IndicatorCode]=Table1[[#This Row],[IndicatorCode]],Table1[value]))</f>
        <v>6.3409496564024987</v>
      </c>
      <c r="J7883">
        <f>(Table1[[#This Row],[value]] - Table1[[#This Row],[mean]]) / Table1[[#This Row],[std_dev]]</f>
        <v>0.99903961662852192</v>
      </c>
      <c r="K7883">
        <f>AVERAGEIF(Table1[CountryCode],Table1[[#This Row],[CountryCode]],Table1[z-score])</f>
        <v>0.62183816728032393</v>
      </c>
      <c r="L7883" t="e">
        <f>VLOOKUP(Table1[[#This Row],[CountryCode]],[1]!Table1[#All],1,FALSE)</f>
        <v>#REF!</v>
      </c>
    </row>
    <row r="7884" spans="1:12" hidden="1" x14ac:dyDescent="0.3">
      <c r="A7884" t="s">
        <v>29</v>
      </c>
      <c r="B7884" t="s">
        <v>30</v>
      </c>
      <c r="C7884" t="s">
        <v>129</v>
      </c>
      <c r="D7884" t="s">
        <v>130</v>
      </c>
      <c r="E7884">
        <v>2003</v>
      </c>
      <c r="F7884" s="1">
        <v>79</v>
      </c>
      <c r="G7884">
        <v>2000</v>
      </c>
      <c r="H7884">
        <f>AVERAGEIFS(Table1[value],Table1[IndicatorCode],Table1[[#This Row],[IndicatorCode]])</f>
        <v>72.66514008620689</v>
      </c>
      <c r="I7884" cm="1">
        <f t="array" ref="I7884">_xlfn.STDEV.P(IF(Table1[IndicatorCode]=Table1[[#This Row],[IndicatorCode]],Table1[value]))</f>
        <v>6.3409496564024987</v>
      </c>
      <c r="J7884">
        <f>(Table1[[#This Row],[value]] - Table1[[#This Row],[mean]]) / Table1[[#This Row],[std_dev]]</f>
        <v>0.99903961662852192</v>
      </c>
      <c r="K7884">
        <f>AVERAGEIF(Table1[CountryCode],Table1[[#This Row],[CountryCode]],Table1[z-score])</f>
        <v>0.62183816728032393</v>
      </c>
      <c r="L7884" t="e">
        <f>VLOOKUP(Table1[[#This Row],[CountryCode]],[1]!Table1[#All],1,FALSE)</f>
        <v>#REF!</v>
      </c>
    </row>
    <row r="7885" spans="1:12" hidden="1" x14ac:dyDescent="0.3">
      <c r="A7885" t="s">
        <v>29</v>
      </c>
      <c r="B7885" t="s">
        <v>30</v>
      </c>
      <c r="C7885" t="s">
        <v>129</v>
      </c>
      <c r="D7885" t="s">
        <v>130</v>
      </c>
      <c r="E7885">
        <v>2004</v>
      </c>
      <c r="F7885" s="1">
        <v>80</v>
      </c>
      <c r="G7885">
        <v>2000</v>
      </c>
      <c r="H7885">
        <f>AVERAGEIFS(Table1[value],Table1[IndicatorCode],Table1[[#This Row],[IndicatorCode]])</f>
        <v>72.66514008620689</v>
      </c>
      <c r="I7885" cm="1">
        <f t="array" ref="I7885">_xlfn.STDEV.P(IF(Table1[IndicatorCode]=Table1[[#This Row],[IndicatorCode]],Table1[value]))</f>
        <v>6.3409496564024987</v>
      </c>
      <c r="J7885">
        <f>(Table1[[#This Row],[value]] - Table1[[#This Row],[mean]]) / Table1[[#This Row],[std_dev]]</f>
        <v>1.1567447009119609</v>
      </c>
      <c r="K7885">
        <f>AVERAGEIF(Table1[CountryCode],Table1[[#This Row],[CountryCode]],Table1[z-score])</f>
        <v>0.62183816728032393</v>
      </c>
      <c r="L7885" t="e">
        <f>VLOOKUP(Table1[[#This Row],[CountryCode]],[1]!Table1[#All],1,FALSE)</f>
        <v>#REF!</v>
      </c>
    </row>
    <row r="7886" spans="1:12" hidden="1" x14ac:dyDescent="0.3">
      <c r="A7886" t="s">
        <v>29</v>
      </c>
      <c r="B7886" t="s">
        <v>30</v>
      </c>
      <c r="C7886" t="s">
        <v>129</v>
      </c>
      <c r="D7886" t="s">
        <v>130</v>
      </c>
      <c r="E7886">
        <v>2005</v>
      </c>
      <c r="F7886" s="1">
        <v>80</v>
      </c>
      <c r="G7886">
        <v>2000</v>
      </c>
      <c r="H7886">
        <f>AVERAGEIFS(Table1[value],Table1[IndicatorCode],Table1[[#This Row],[IndicatorCode]])</f>
        <v>72.66514008620689</v>
      </c>
      <c r="I7886" cm="1">
        <f t="array" ref="I7886">_xlfn.STDEV.P(IF(Table1[IndicatorCode]=Table1[[#This Row],[IndicatorCode]],Table1[value]))</f>
        <v>6.3409496564024987</v>
      </c>
      <c r="J7886">
        <f>(Table1[[#This Row],[value]] - Table1[[#This Row],[mean]]) / Table1[[#This Row],[std_dev]]</f>
        <v>1.1567447009119609</v>
      </c>
      <c r="K7886">
        <f>AVERAGEIF(Table1[CountryCode],Table1[[#This Row],[CountryCode]],Table1[z-score])</f>
        <v>0.62183816728032393</v>
      </c>
      <c r="L7886" t="e">
        <f>VLOOKUP(Table1[[#This Row],[CountryCode]],[1]!Table1[#All],1,FALSE)</f>
        <v>#REF!</v>
      </c>
    </row>
    <row r="7887" spans="1:12" hidden="1" x14ac:dyDescent="0.3">
      <c r="A7887" t="s">
        <v>29</v>
      </c>
      <c r="B7887" t="s">
        <v>30</v>
      </c>
      <c r="C7887" t="s">
        <v>129</v>
      </c>
      <c r="D7887" t="s">
        <v>130</v>
      </c>
      <c r="E7887">
        <v>2006</v>
      </c>
      <c r="F7887" s="1">
        <v>80</v>
      </c>
      <c r="G7887">
        <v>2000</v>
      </c>
      <c r="H7887">
        <f>AVERAGEIFS(Table1[value],Table1[IndicatorCode],Table1[[#This Row],[IndicatorCode]])</f>
        <v>72.66514008620689</v>
      </c>
      <c r="I7887" cm="1">
        <f t="array" ref="I7887">_xlfn.STDEV.P(IF(Table1[IndicatorCode]=Table1[[#This Row],[IndicatorCode]],Table1[value]))</f>
        <v>6.3409496564024987</v>
      </c>
      <c r="J7887">
        <f>(Table1[[#This Row],[value]] - Table1[[#This Row],[mean]]) / Table1[[#This Row],[std_dev]]</f>
        <v>1.1567447009119609</v>
      </c>
      <c r="K7887">
        <f>AVERAGEIF(Table1[CountryCode],Table1[[#This Row],[CountryCode]],Table1[z-score])</f>
        <v>0.62183816728032393</v>
      </c>
      <c r="L7887" t="e">
        <f>VLOOKUP(Table1[[#This Row],[CountryCode]],[1]!Table1[#All],1,FALSE)</f>
        <v>#REF!</v>
      </c>
    </row>
    <row r="7888" spans="1:12" hidden="1" x14ac:dyDescent="0.3">
      <c r="A7888" t="s">
        <v>29</v>
      </c>
      <c r="B7888" t="s">
        <v>30</v>
      </c>
      <c r="C7888" t="s">
        <v>129</v>
      </c>
      <c r="D7888" t="s">
        <v>130</v>
      </c>
      <c r="E7888">
        <v>2007</v>
      </c>
      <c r="F7888" s="1">
        <v>81</v>
      </c>
      <c r="G7888">
        <v>2010</v>
      </c>
      <c r="H7888">
        <f>AVERAGEIFS(Table1[value],Table1[IndicatorCode],Table1[[#This Row],[IndicatorCode]])</f>
        <v>72.66514008620689</v>
      </c>
      <c r="I7888" cm="1">
        <f t="array" ref="I7888">_xlfn.STDEV.P(IF(Table1[IndicatorCode]=Table1[[#This Row],[IndicatorCode]],Table1[value]))</f>
        <v>6.3409496564024987</v>
      </c>
      <c r="J7888">
        <f>(Table1[[#This Row],[value]] - Table1[[#This Row],[mean]]) / Table1[[#This Row],[std_dev]]</f>
        <v>1.3144497851954</v>
      </c>
      <c r="K7888">
        <f>AVERAGEIF(Table1[CountryCode],Table1[[#This Row],[CountryCode]],Table1[z-score])</f>
        <v>0.62183816728032393</v>
      </c>
      <c r="L7888" t="e">
        <f>VLOOKUP(Table1[[#This Row],[CountryCode]],[1]!Table1[#All],1,FALSE)</f>
        <v>#REF!</v>
      </c>
    </row>
    <row r="7889" spans="1:12" hidden="1" x14ac:dyDescent="0.3">
      <c r="A7889" t="s">
        <v>29</v>
      </c>
      <c r="B7889" t="s">
        <v>30</v>
      </c>
      <c r="C7889" t="s">
        <v>129</v>
      </c>
      <c r="D7889" t="s">
        <v>130</v>
      </c>
      <c r="E7889">
        <v>2008</v>
      </c>
      <c r="F7889" s="1">
        <v>81</v>
      </c>
      <c r="G7889">
        <v>2010</v>
      </c>
      <c r="H7889">
        <f>AVERAGEIFS(Table1[value],Table1[IndicatorCode],Table1[[#This Row],[IndicatorCode]])</f>
        <v>72.66514008620689</v>
      </c>
      <c r="I7889" cm="1">
        <f t="array" ref="I7889">_xlfn.STDEV.P(IF(Table1[IndicatorCode]=Table1[[#This Row],[IndicatorCode]],Table1[value]))</f>
        <v>6.3409496564024987</v>
      </c>
      <c r="J7889">
        <f>(Table1[[#This Row],[value]] - Table1[[#This Row],[mean]]) / Table1[[#This Row],[std_dev]]</f>
        <v>1.3144497851954</v>
      </c>
      <c r="K7889">
        <f>AVERAGEIF(Table1[CountryCode],Table1[[#This Row],[CountryCode]],Table1[z-score])</f>
        <v>0.62183816728032393</v>
      </c>
      <c r="L7889" t="e">
        <f>VLOOKUP(Table1[[#This Row],[CountryCode]],[1]!Table1[#All],1,FALSE)</f>
        <v>#REF!</v>
      </c>
    </row>
    <row r="7890" spans="1:12" hidden="1" x14ac:dyDescent="0.3">
      <c r="A7890" t="s">
        <v>29</v>
      </c>
      <c r="B7890" t="s">
        <v>30</v>
      </c>
      <c r="C7890" t="s">
        <v>129</v>
      </c>
      <c r="D7890" t="s">
        <v>130</v>
      </c>
      <c r="E7890">
        <v>2009</v>
      </c>
      <c r="F7890" s="1">
        <v>81</v>
      </c>
      <c r="G7890">
        <v>2010</v>
      </c>
      <c r="H7890">
        <f>AVERAGEIFS(Table1[value],Table1[IndicatorCode],Table1[[#This Row],[IndicatorCode]])</f>
        <v>72.66514008620689</v>
      </c>
      <c r="I7890" cm="1">
        <f t="array" ref="I7890">_xlfn.STDEV.P(IF(Table1[IndicatorCode]=Table1[[#This Row],[IndicatorCode]],Table1[value]))</f>
        <v>6.3409496564024987</v>
      </c>
      <c r="J7890">
        <f>(Table1[[#This Row],[value]] - Table1[[#This Row],[mean]]) / Table1[[#This Row],[std_dev]]</f>
        <v>1.3144497851954</v>
      </c>
      <c r="K7890">
        <f>AVERAGEIF(Table1[CountryCode],Table1[[#This Row],[CountryCode]],Table1[z-score])</f>
        <v>0.62183816728032393</v>
      </c>
      <c r="L7890" t="e">
        <f>VLOOKUP(Table1[[#This Row],[CountryCode]],[1]!Table1[#All],1,FALSE)</f>
        <v>#REF!</v>
      </c>
    </row>
    <row r="7891" spans="1:12" hidden="1" x14ac:dyDescent="0.3">
      <c r="A7891" t="s">
        <v>29</v>
      </c>
      <c r="B7891" t="s">
        <v>30</v>
      </c>
      <c r="C7891" t="s">
        <v>129</v>
      </c>
      <c r="D7891" t="s">
        <v>130</v>
      </c>
      <c r="E7891">
        <v>2010</v>
      </c>
      <c r="F7891" s="1">
        <v>81</v>
      </c>
      <c r="G7891">
        <v>2010</v>
      </c>
      <c r="H7891">
        <f>AVERAGEIFS(Table1[value],Table1[IndicatorCode],Table1[[#This Row],[IndicatorCode]])</f>
        <v>72.66514008620689</v>
      </c>
      <c r="I7891" cm="1">
        <f t="array" ref="I7891">_xlfn.STDEV.P(IF(Table1[IndicatorCode]=Table1[[#This Row],[IndicatorCode]],Table1[value]))</f>
        <v>6.3409496564024987</v>
      </c>
      <c r="J7891">
        <f>(Table1[[#This Row],[value]] - Table1[[#This Row],[mean]]) / Table1[[#This Row],[std_dev]]</f>
        <v>1.3144497851954</v>
      </c>
      <c r="K7891">
        <f>AVERAGEIF(Table1[CountryCode],Table1[[#This Row],[CountryCode]],Table1[z-score])</f>
        <v>0.62183816728032393</v>
      </c>
      <c r="L7891" t="e">
        <f>VLOOKUP(Table1[[#This Row],[CountryCode]],[1]!Table1[#All],1,FALSE)</f>
        <v>#REF!</v>
      </c>
    </row>
    <row r="7892" spans="1:12" hidden="1" x14ac:dyDescent="0.3">
      <c r="A7892" t="s">
        <v>29</v>
      </c>
      <c r="B7892" t="s">
        <v>30</v>
      </c>
      <c r="C7892" t="s">
        <v>129</v>
      </c>
      <c r="D7892" t="s">
        <v>130</v>
      </c>
      <c r="E7892">
        <v>2011</v>
      </c>
      <c r="F7892" s="1">
        <v>81</v>
      </c>
      <c r="G7892">
        <v>2010</v>
      </c>
      <c r="H7892">
        <f>AVERAGEIFS(Table1[value],Table1[IndicatorCode],Table1[[#This Row],[IndicatorCode]])</f>
        <v>72.66514008620689</v>
      </c>
      <c r="I7892" cm="1">
        <f t="array" ref="I7892">_xlfn.STDEV.P(IF(Table1[IndicatorCode]=Table1[[#This Row],[IndicatorCode]],Table1[value]))</f>
        <v>6.3409496564024987</v>
      </c>
      <c r="J7892">
        <f>(Table1[[#This Row],[value]] - Table1[[#This Row],[mean]]) / Table1[[#This Row],[std_dev]]</f>
        <v>1.3144497851954</v>
      </c>
      <c r="K7892">
        <f>AVERAGEIF(Table1[CountryCode],Table1[[#This Row],[CountryCode]],Table1[z-score])</f>
        <v>0.62183816728032393</v>
      </c>
      <c r="L7892" t="e">
        <f>VLOOKUP(Table1[[#This Row],[CountryCode]],[1]!Table1[#All],1,FALSE)</f>
        <v>#REF!</v>
      </c>
    </row>
    <row r="7893" spans="1:12" hidden="1" x14ac:dyDescent="0.3">
      <c r="A7893" t="s">
        <v>29</v>
      </c>
      <c r="B7893" t="s">
        <v>30</v>
      </c>
      <c r="C7893" t="s">
        <v>129</v>
      </c>
      <c r="D7893" t="s">
        <v>130</v>
      </c>
      <c r="E7893">
        <v>2012</v>
      </c>
      <c r="F7893" s="1">
        <v>81</v>
      </c>
      <c r="G7893">
        <v>2010</v>
      </c>
      <c r="H7893">
        <f>AVERAGEIFS(Table1[value],Table1[IndicatorCode],Table1[[#This Row],[IndicatorCode]])</f>
        <v>72.66514008620689</v>
      </c>
      <c r="I7893" cm="1">
        <f t="array" ref="I7893">_xlfn.STDEV.P(IF(Table1[IndicatorCode]=Table1[[#This Row],[IndicatorCode]],Table1[value]))</f>
        <v>6.3409496564024987</v>
      </c>
      <c r="J7893">
        <f>(Table1[[#This Row],[value]] - Table1[[#This Row],[mean]]) / Table1[[#This Row],[std_dev]]</f>
        <v>1.3144497851954</v>
      </c>
      <c r="K7893">
        <f>AVERAGEIF(Table1[CountryCode],Table1[[#This Row],[CountryCode]],Table1[z-score])</f>
        <v>0.62183816728032393</v>
      </c>
      <c r="L7893" t="e">
        <f>VLOOKUP(Table1[[#This Row],[CountryCode]],[1]!Table1[#All],1,FALSE)</f>
        <v>#REF!</v>
      </c>
    </row>
    <row r="7894" spans="1:12" hidden="1" x14ac:dyDescent="0.3">
      <c r="A7894" t="s">
        <v>29</v>
      </c>
      <c r="B7894" t="s">
        <v>30</v>
      </c>
      <c r="C7894" t="s">
        <v>129</v>
      </c>
      <c r="D7894" t="s">
        <v>130</v>
      </c>
      <c r="E7894">
        <v>2013</v>
      </c>
      <c r="F7894" s="1">
        <v>82</v>
      </c>
      <c r="G7894">
        <v>2010</v>
      </c>
      <c r="H7894">
        <f>AVERAGEIFS(Table1[value],Table1[IndicatorCode],Table1[[#This Row],[IndicatorCode]])</f>
        <v>72.66514008620689</v>
      </c>
      <c r="I7894" cm="1">
        <f t="array" ref="I7894">_xlfn.STDEV.P(IF(Table1[IndicatorCode]=Table1[[#This Row],[IndicatorCode]],Table1[value]))</f>
        <v>6.3409496564024987</v>
      </c>
      <c r="J7894">
        <f>(Table1[[#This Row],[value]] - Table1[[#This Row],[mean]]) / Table1[[#This Row],[std_dev]]</f>
        <v>1.4721548694788391</v>
      </c>
      <c r="K7894">
        <f>AVERAGEIF(Table1[CountryCode],Table1[[#This Row],[CountryCode]],Table1[z-score])</f>
        <v>0.62183816728032393</v>
      </c>
      <c r="L7894" t="e">
        <f>VLOOKUP(Table1[[#This Row],[CountryCode]],[1]!Table1[#All],1,FALSE)</f>
        <v>#REF!</v>
      </c>
    </row>
    <row r="7895" spans="1:12" hidden="1" x14ac:dyDescent="0.3">
      <c r="A7895" t="s">
        <v>29</v>
      </c>
      <c r="B7895" t="s">
        <v>30</v>
      </c>
      <c r="C7895" t="s">
        <v>129</v>
      </c>
      <c r="D7895" t="s">
        <v>130</v>
      </c>
      <c r="E7895">
        <v>2014</v>
      </c>
      <c r="F7895" s="1">
        <v>82</v>
      </c>
      <c r="G7895">
        <v>2010</v>
      </c>
      <c r="H7895">
        <f>AVERAGEIFS(Table1[value],Table1[IndicatorCode],Table1[[#This Row],[IndicatorCode]])</f>
        <v>72.66514008620689</v>
      </c>
      <c r="I7895" cm="1">
        <f t="array" ref="I7895">_xlfn.STDEV.P(IF(Table1[IndicatorCode]=Table1[[#This Row],[IndicatorCode]],Table1[value]))</f>
        <v>6.3409496564024987</v>
      </c>
      <c r="J7895">
        <f>(Table1[[#This Row],[value]] - Table1[[#This Row],[mean]]) / Table1[[#This Row],[std_dev]]</f>
        <v>1.4721548694788391</v>
      </c>
      <c r="K7895">
        <f>AVERAGEIF(Table1[CountryCode],Table1[[#This Row],[CountryCode]],Table1[z-score])</f>
        <v>0.62183816728032393</v>
      </c>
      <c r="L7895" t="e">
        <f>VLOOKUP(Table1[[#This Row],[CountryCode]],[1]!Table1[#All],1,FALSE)</f>
        <v>#REF!</v>
      </c>
    </row>
    <row r="7896" spans="1:12" hidden="1" x14ac:dyDescent="0.3">
      <c r="A7896" t="s">
        <v>29</v>
      </c>
      <c r="B7896" t="s">
        <v>30</v>
      </c>
      <c r="C7896" t="s">
        <v>129</v>
      </c>
      <c r="D7896" t="s">
        <v>130</v>
      </c>
      <c r="E7896">
        <v>2015</v>
      </c>
      <c r="F7896" s="1">
        <v>81</v>
      </c>
      <c r="G7896">
        <v>2010</v>
      </c>
      <c r="H7896">
        <f>AVERAGEIFS(Table1[value],Table1[IndicatorCode],Table1[[#This Row],[IndicatorCode]])</f>
        <v>72.66514008620689</v>
      </c>
      <c r="I7896" cm="1">
        <f t="array" ref="I7896">_xlfn.STDEV.P(IF(Table1[IndicatorCode]=Table1[[#This Row],[IndicatorCode]],Table1[value]))</f>
        <v>6.3409496564024987</v>
      </c>
      <c r="J7896">
        <f>(Table1[[#This Row],[value]] - Table1[[#This Row],[mean]]) / Table1[[#This Row],[std_dev]]</f>
        <v>1.3144497851954</v>
      </c>
      <c r="K7896">
        <f>AVERAGEIF(Table1[CountryCode],Table1[[#This Row],[CountryCode]],Table1[z-score])</f>
        <v>0.62183816728032393</v>
      </c>
      <c r="L7896" t="e">
        <f>VLOOKUP(Table1[[#This Row],[CountryCode]],[1]!Table1[#All],1,FALSE)</f>
        <v>#REF!</v>
      </c>
    </row>
    <row r="7897" spans="1:12" hidden="1" x14ac:dyDescent="0.3">
      <c r="A7897" t="s">
        <v>29</v>
      </c>
      <c r="B7897" t="s">
        <v>30</v>
      </c>
      <c r="C7897" t="s">
        <v>129</v>
      </c>
      <c r="D7897" t="s">
        <v>130</v>
      </c>
      <c r="E7897">
        <v>2016</v>
      </c>
      <c r="F7897" s="1">
        <v>81</v>
      </c>
      <c r="G7897">
        <v>2010</v>
      </c>
      <c r="H7897">
        <f>AVERAGEIFS(Table1[value],Table1[IndicatorCode],Table1[[#This Row],[IndicatorCode]])</f>
        <v>72.66514008620689</v>
      </c>
      <c r="I7897" cm="1">
        <f t="array" ref="I7897">_xlfn.STDEV.P(IF(Table1[IndicatorCode]=Table1[[#This Row],[IndicatorCode]],Table1[value]))</f>
        <v>6.3409496564024987</v>
      </c>
      <c r="J7897">
        <f>(Table1[[#This Row],[value]] - Table1[[#This Row],[mean]]) / Table1[[#This Row],[std_dev]]</f>
        <v>1.3144497851954</v>
      </c>
      <c r="K7897">
        <f>AVERAGEIF(Table1[CountryCode],Table1[[#This Row],[CountryCode]],Table1[z-score])</f>
        <v>0.62183816728032393</v>
      </c>
      <c r="L7897" t="e">
        <f>VLOOKUP(Table1[[#This Row],[CountryCode]],[1]!Table1[#All],1,FALSE)</f>
        <v>#REF!</v>
      </c>
    </row>
    <row r="7898" spans="1:12" hidden="1" x14ac:dyDescent="0.3">
      <c r="A7898" t="s">
        <v>29</v>
      </c>
      <c r="B7898" t="s">
        <v>30</v>
      </c>
      <c r="C7898" t="s">
        <v>129</v>
      </c>
      <c r="D7898" t="s">
        <v>130</v>
      </c>
      <c r="E7898">
        <v>2017</v>
      </c>
      <c r="F7898" s="1">
        <v>81</v>
      </c>
      <c r="G7898">
        <v>2020</v>
      </c>
      <c r="H7898">
        <f>AVERAGEIFS(Table1[value],Table1[IndicatorCode],Table1[[#This Row],[IndicatorCode]])</f>
        <v>72.66514008620689</v>
      </c>
      <c r="I7898" cm="1">
        <f t="array" ref="I7898">_xlfn.STDEV.P(IF(Table1[IndicatorCode]=Table1[[#This Row],[IndicatorCode]],Table1[value]))</f>
        <v>6.3409496564024987</v>
      </c>
      <c r="J7898">
        <f>(Table1[[#This Row],[value]] - Table1[[#This Row],[mean]]) / Table1[[#This Row],[std_dev]]</f>
        <v>1.3144497851954</v>
      </c>
      <c r="K7898">
        <f>AVERAGEIF(Table1[CountryCode],Table1[[#This Row],[CountryCode]],Table1[z-score])</f>
        <v>0.62183816728032393</v>
      </c>
      <c r="L7898" t="e">
        <f>VLOOKUP(Table1[[#This Row],[CountryCode]],[1]!Table1[#All],1,FALSE)</f>
        <v>#REF!</v>
      </c>
    </row>
    <row r="7899" spans="1:12" hidden="1" x14ac:dyDescent="0.3">
      <c r="A7899" t="s">
        <v>29</v>
      </c>
      <c r="B7899" t="s">
        <v>30</v>
      </c>
      <c r="C7899" t="s">
        <v>129</v>
      </c>
      <c r="D7899" t="s">
        <v>130</v>
      </c>
      <c r="E7899">
        <v>2018</v>
      </c>
      <c r="F7899" s="1">
        <v>81</v>
      </c>
      <c r="G7899">
        <v>2020</v>
      </c>
      <c r="H7899">
        <f>AVERAGEIFS(Table1[value],Table1[IndicatorCode],Table1[[#This Row],[IndicatorCode]])</f>
        <v>72.66514008620689</v>
      </c>
      <c r="I7899" cm="1">
        <f t="array" ref="I7899">_xlfn.STDEV.P(IF(Table1[IndicatorCode]=Table1[[#This Row],[IndicatorCode]],Table1[value]))</f>
        <v>6.3409496564024987</v>
      </c>
      <c r="J7899">
        <f>(Table1[[#This Row],[value]] - Table1[[#This Row],[mean]]) / Table1[[#This Row],[std_dev]]</f>
        <v>1.3144497851954</v>
      </c>
      <c r="K7899">
        <f>AVERAGEIF(Table1[CountryCode],Table1[[#This Row],[CountryCode]],Table1[z-score])</f>
        <v>0.62183816728032393</v>
      </c>
      <c r="L7899" t="e">
        <f>VLOOKUP(Table1[[#This Row],[CountryCode]],[1]!Table1[#All],1,FALSE)</f>
        <v>#REF!</v>
      </c>
    </row>
    <row r="7900" spans="1:12" hidden="1" x14ac:dyDescent="0.3">
      <c r="A7900" t="s">
        <v>29</v>
      </c>
      <c r="B7900" t="s">
        <v>30</v>
      </c>
      <c r="C7900" t="s">
        <v>129</v>
      </c>
      <c r="D7900" t="s">
        <v>130</v>
      </c>
      <c r="E7900">
        <v>2019</v>
      </c>
      <c r="F7900" s="1">
        <v>81</v>
      </c>
      <c r="G7900">
        <v>2020</v>
      </c>
      <c r="H7900">
        <f>AVERAGEIFS(Table1[value],Table1[IndicatorCode],Table1[[#This Row],[IndicatorCode]])</f>
        <v>72.66514008620689</v>
      </c>
      <c r="I7900" cm="1">
        <f t="array" ref="I7900">_xlfn.STDEV.P(IF(Table1[IndicatorCode]=Table1[[#This Row],[IndicatorCode]],Table1[value]))</f>
        <v>6.3409496564024987</v>
      </c>
      <c r="J7900">
        <f>(Table1[[#This Row],[value]] - Table1[[#This Row],[mean]]) / Table1[[#This Row],[std_dev]]</f>
        <v>1.3144497851954</v>
      </c>
      <c r="K7900">
        <f>AVERAGEIF(Table1[CountryCode],Table1[[#This Row],[CountryCode]],Table1[z-score])</f>
        <v>0.62183816728032393</v>
      </c>
      <c r="L7900" t="e">
        <f>VLOOKUP(Table1[[#This Row],[CountryCode]],[1]!Table1[#All],1,FALSE)</f>
        <v>#REF!</v>
      </c>
    </row>
    <row r="7901" spans="1:12" x14ac:dyDescent="0.3">
      <c r="A7901" t="s">
        <v>29</v>
      </c>
      <c r="B7901" t="s">
        <v>30</v>
      </c>
      <c r="C7901" t="s">
        <v>129</v>
      </c>
      <c r="D7901" t="s">
        <v>130</v>
      </c>
      <c r="E7901">
        <v>2020</v>
      </c>
      <c r="F7901" s="1">
        <v>81</v>
      </c>
      <c r="G7901">
        <v>2020</v>
      </c>
      <c r="H7901">
        <f>AVERAGEIFS(Table1[value],Table1[IndicatorCode],Table1[[#This Row],[IndicatorCode]])</f>
        <v>72.66514008620689</v>
      </c>
      <c r="I7901" cm="1">
        <f t="array" ref="I7901">_xlfn.STDEV.P(IF(Table1[IndicatorCode]=Table1[[#This Row],[IndicatorCode]],Table1[value]))</f>
        <v>6.3409496564024987</v>
      </c>
      <c r="J7901">
        <f>(Table1[[#This Row],[value]] - Table1[[#This Row],[mean]]) / Table1[[#This Row],[std_dev]]</f>
        <v>1.3144497851954</v>
      </c>
      <c r="K7901">
        <f>AVERAGEIF(Table1[CountryCode],Table1[[#This Row],[CountryCode]],Table1[z-score])</f>
        <v>0.62183816728032393</v>
      </c>
    </row>
    <row r="7902" spans="1:12" hidden="1" x14ac:dyDescent="0.3">
      <c r="A7902" t="s">
        <v>29</v>
      </c>
      <c r="B7902" t="s">
        <v>30</v>
      </c>
      <c r="C7902" t="s">
        <v>129</v>
      </c>
      <c r="D7902" t="s">
        <v>130</v>
      </c>
      <c r="E7902">
        <v>2021</v>
      </c>
      <c r="F7902" s="1">
        <v>80</v>
      </c>
      <c r="G7902">
        <v>1960</v>
      </c>
      <c r="H7902">
        <f>AVERAGEIFS(Table1[value],Table1[IndicatorCode],Table1[[#This Row],[IndicatorCode]])</f>
        <v>72.66514008620689</v>
      </c>
      <c r="I7902" cm="1">
        <f t="array" ref="I7902">_xlfn.STDEV.P(IF(Table1[IndicatorCode]=Table1[[#This Row],[IndicatorCode]],Table1[value]))</f>
        <v>6.3409496564024987</v>
      </c>
      <c r="J7902">
        <f>(Table1[[#This Row],[value]] - Table1[[#This Row],[mean]]) / Table1[[#This Row],[std_dev]]</f>
        <v>1.1567447009119609</v>
      </c>
      <c r="K7902">
        <f>AVERAGEIF(Table1[CountryCode],Table1[[#This Row],[CountryCode]],Table1[z-score])</f>
        <v>0.62183816728032393</v>
      </c>
      <c r="L7902" t="e">
        <f>VLOOKUP(Table1[[#This Row],[CountryCode]],[1]!Table1[#All],1,FALSE)</f>
        <v>#REF!</v>
      </c>
    </row>
    <row r="7903" spans="1:12" hidden="1" x14ac:dyDescent="0.3">
      <c r="A7903" t="s">
        <v>29</v>
      </c>
      <c r="B7903" t="s">
        <v>30</v>
      </c>
      <c r="C7903" t="s">
        <v>129</v>
      </c>
      <c r="D7903" t="s">
        <v>130</v>
      </c>
      <c r="E7903">
        <v>2022</v>
      </c>
      <c r="F7903" s="1">
        <v>81</v>
      </c>
      <c r="G7903">
        <v>1960</v>
      </c>
      <c r="H7903">
        <f>AVERAGEIFS(Table1[value],Table1[IndicatorCode],Table1[[#This Row],[IndicatorCode]])</f>
        <v>72.66514008620689</v>
      </c>
      <c r="I7903" cm="1">
        <f t="array" ref="I7903">_xlfn.STDEV.P(IF(Table1[IndicatorCode]=Table1[[#This Row],[IndicatorCode]],Table1[value]))</f>
        <v>6.3409496564024987</v>
      </c>
      <c r="J7903">
        <f>(Table1[[#This Row],[value]] - Table1[[#This Row],[mean]]) / Table1[[#This Row],[std_dev]]</f>
        <v>1.3144497851954</v>
      </c>
      <c r="K7903">
        <f>AVERAGEIF(Table1[CountryCode],Table1[[#This Row],[CountryCode]],Table1[z-score])</f>
        <v>0.62183816728032393</v>
      </c>
      <c r="L7903" t="e">
        <f>VLOOKUP(Table1[[#This Row],[CountryCode]],[1]!Table1[#All],1,FALSE)</f>
        <v>#REF!</v>
      </c>
    </row>
    <row r="7904" spans="1:12" hidden="1" x14ac:dyDescent="0.3">
      <c r="A7904" t="s">
        <v>29</v>
      </c>
      <c r="B7904" t="s">
        <v>30</v>
      </c>
      <c r="C7904" t="s">
        <v>129</v>
      </c>
      <c r="D7904" t="s">
        <v>130</v>
      </c>
      <c r="E7904">
        <v>2023</v>
      </c>
      <c r="F7904" s="1">
        <v>81</v>
      </c>
      <c r="G7904">
        <v>1960</v>
      </c>
      <c r="H7904">
        <f>AVERAGEIFS(Table1[value],Table1[IndicatorCode],Table1[[#This Row],[IndicatorCode]])</f>
        <v>72.66514008620689</v>
      </c>
      <c r="I7904" cm="1">
        <f t="array" ref="I7904">_xlfn.STDEV.P(IF(Table1[IndicatorCode]=Table1[[#This Row],[IndicatorCode]],Table1[value]))</f>
        <v>6.3409496564024987</v>
      </c>
      <c r="J7904">
        <f>(Table1[[#This Row],[value]] - Table1[[#This Row],[mean]]) / Table1[[#This Row],[std_dev]]</f>
        <v>1.3144497851954</v>
      </c>
      <c r="K7904">
        <f>AVERAGEIF(Table1[CountryCode],Table1[[#This Row],[CountryCode]],Table1[z-score])</f>
        <v>0.62183816728032393</v>
      </c>
      <c r="L7904" t="e">
        <f>VLOOKUP(Table1[[#This Row],[CountryCode]],[1]!Table1[#All],1,FALSE)</f>
        <v>#REF!</v>
      </c>
    </row>
    <row r="7905" spans="1:12" hidden="1" x14ac:dyDescent="0.3">
      <c r="A7905" t="s">
        <v>31</v>
      </c>
      <c r="B7905" t="s">
        <v>32</v>
      </c>
      <c r="C7905" t="s">
        <v>129</v>
      </c>
      <c r="D7905" t="s">
        <v>130</v>
      </c>
      <c r="E7905">
        <v>1960</v>
      </c>
      <c r="F7905" s="1">
        <v>63</v>
      </c>
      <c r="G7905">
        <v>1960</v>
      </c>
      <c r="H7905">
        <f>AVERAGEIFS(Table1[value],Table1[IndicatorCode],Table1[[#This Row],[IndicatorCode]])</f>
        <v>72.66514008620689</v>
      </c>
      <c r="I7905" cm="1">
        <f t="array" ref="I7905">_xlfn.STDEV.P(IF(Table1[IndicatorCode]=Table1[[#This Row],[IndicatorCode]],Table1[value]))</f>
        <v>6.3409496564024987</v>
      </c>
      <c r="J7905">
        <f>(Table1[[#This Row],[value]] - Table1[[#This Row],[mean]]) / Table1[[#This Row],[std_dev]]</f>
        <v>-1.5242417319065029</v>
      </c>
      <c r="K7905">
        <f>AVERAGEIF(Table1[CountryCode],Table1[[#This Row],[CountryCode]],Table1[z-score])</f>
        <v>-1.226846632548898E-2</v>
      </c>
      <c r="L7905" t="e">
        <f>VLOOKUP(Table1[[#This Row],[CountryCode]],[1]!Table1[#All],1,FALSE)</f>
        <v>#REF!</v>
      </c>
    </row>
    <row r="7906" spans="1:12" hidden="1" x14ac:dyDescent="0.3">
      <c r="A7906" t="s">
        <v>31</v>
      </c>
      <c r="B7906" t="s">
        <v>32</v>
      </c>
      <c r="C7906" t="s">
        <v>129</v>
      </c>
      <c r="D7906" t="s">
        <v>130</v>
      </c>
      <c r="E7906">
        <v>1961</v>
      </c>
      <c r="F7906" s="1">
        <v>64</v>
      </c>
      <c r="G7906">
        <v>1960</v>
      </c>
      <c r="H7906">
        <f>AVERAGEIFS(Table1[value],Table1[IndicatorCode],Table1[[#This Row],[IndicatorCode]])</f>
        <v>72.66514008620689</v>
      </c>
      <c r="I7906" cm="1">
        <f t="array" ref="I7906">_xlfn.STDEV.P(IF(Table1[IndicatorCode]=Table1[[#This Row],[IndicatorCode]],Table1[value]))</f>
        <v>6.3409496564024987</v>
      </c>
      <c r="J7906">
        <f>(Table1[[#This Row],[value]] - Table1[[#This Row],[mean]]) / Table1[[#This Row],[std_dev]]</f>
        <v>-1.3665366476230638</v>
      </c>
      <c r="K7906">
        <f>AVERAGEIF(Table1[CountryCode],Table1[[#This Row],[CountryCode]],Table1[z-score])</f>
        <v>-1.226846632548898E-2</v>
      </c>
      <c r="L7906" t="e">
        <f>VLOOKUP(Table1[[#This Row],[CountryCode]],[1]!Table1[#All],1,FALSE)</f>
        <v>#REF!</v>
      </c>
    </row>
    <row r="7907" spans="1:12" hidden="1" x14ac:dyDescent="0.3">
      <c r="A7907" t="s">
        <v>31</v>
      </c>
      <c r="B7907" t="s">
        <v>32</v>
      </c>
      <c r="C7907" t="s">
        <v>129</v>
      </c>
      <c r="D7907" t="s">
        <v>130</v>
      </c>
      <c r="E7907">
        <v>1962</v>
      </c>
      <c r="F7907" s="1">
        <v>65</v>
      </c>
      <c r="G7907">
        <v>1960</v>
      </c>
      <c r="H7907">
        <f>AVERAGEIFS(Table1[value],Table1[IndicatorCode],Table1[[#This Row],[IndicatorCode]])</f>
        <v>72.66514008620689</v>
      </c>
      <c r="I7907" cm="1">
        <f t="array" ref="I7907">_xlfn.STDEV.P(IF(Table1[IndicatorCode]=Table1[[#This Row],[IndicatorCode]],Table1[value]))</f>
        <v>6.3409496564024987</v>
      </c>
      <c r="J7907">
        <f>(Table1[[#This Row],[value]] - Table1[[#This Row],[mean]]) / Table1[[#This Row],[std_dev]]</f>
        <v>-1.2088315633396249</v>
      </c>
      <c r="K7907">
        <f>AVERAGEIF(Table1[CountryCode],Table1[[#This Row],[CountryCode]],Table1[z-score])</f>
        <v>-1.226846632548898E-2</v>
      </c>
      <c r="L7907" t="e">
        <f>VLOOKUP(Table1[[#This Row],[CountryCode]],[1]!Table1[#All],1,FALSE)</f>
        <v>#REF!</v>
      </c>
    </row>
    <row r="7908" spans="1:12" hidden="1" x14ac:dyDescent="0.3">
      <c r="A7908" t="s">
        <v>31</v>
      </c>
      <c r="B7908" t="s">
        <v>32</v>
      </c>
      <c r="C7908" t="s">
        <v>129</v>
      </c>
      <c r="D7908" t="s">
        <v>130</v>
      </c>
      <c r="E7908">
        <v>1963</v>
      </c>
      <c r="F7908" s="1">
        <v>62</v>
      </c>
      <c r="G7908">
        <v>1960</v>
      </c>
      <c r="H7908">
        <f>AVERAGEIFS(Table1[value],Table1[IndicatorCode],Table1[[#This Row],[IndicatorCode]])</f>
        <v>72.66514008620689</v>
      </c>
      <c r="I7908" cm="1">
        <f t="array" ref="I7908">_xlfn.STDEV.P(IF(Table1[IndicatorCode]=Table1[[#This Row],[IndicatorCode]],Table1[value]))</f>
        <v>6.3409496564024987</v>
      </c>
      <c r="J7908">
        <f>(Table1[[#This Row],[value]] - Table1[[#This Row],[mean]]) / Table1[[#This Row],[std_dev]]</f>
        <v>-1.681946816189942</v>
      </c>
      <c r="K7908">
        <f>AVERAGEIF(Table1[CountryCode],Table1[[#This Row],[CountryCode]],Table1[z-score])</f>
        <v>-1.226846632548898E-2</v>
      </c>
      <c r="L7908" t="e">
        <f>VLOOKUP(Table1[[#This Row],[CountryCode]],[1]!Table1[#All],1,FALSE)</f>
        <v>#REF!</v>
      </c>
    </row>
    <row r="7909" spans="1:12" hidden="1" x14ac:dyDescent="0.3">
      <c r="A7909" t="s">
        <v>31</v>
      </c>
      <c r="B7909" t="s">
        <v>32</v>
      </c>
      <c r="C7909" t="s">
        <v>129</v>
      </c>
      <c r="D7909" t="s">
        <v>130</v>
      </c>
      <c r="E7909">
        <v>1964</v>
      </c>
      <c r="F7909" s="1">
        <v>62</v>
      </c>
      <c r="G7909">
        <v>1960</v>
      </c>
      <c r="H7909">
        <f>AVERAGEIFS(Table1[value],Table1[IndicatorCode],Table1[[#This Row],[IndicatorCode]])</f>
        <v>72.66514008620689</v>
      </c>
      <c r="I7909" cm="1">
        <f t="array" ref="I7909">_xlfn.STDEV.P(IF(Table1[IndicatorCode]=Table1[[#This Row],[IndicatorCode]],Table1[value]))</f>
        <v>6.3409496564024987</v>
      </c>
      <c r="J7909">
        <f>(Table1[[#This Row],[value]] - Table1[[#This Row],[mean]]) / Table1[[#This Row],[std_dev]]</f>
        <v>-1.681946816189942</v>
      </c>
      <c r="K7909">
        <f>AVERAGEIF(Table1[CountryCode],Table1[[#This Row],[CountryCode]],Table1[z-score])</f>
        <v>-1.226846632548898E-2</v>
      </c>
      <c r="L7909" t="e">
        <f>VLOOKUP(Table1[[#This Row],[CountryCode]],[1]!Table1[#All],1,FALSE)</f>
        <v>#REF!</v>
      </c>
    </row>
    <row r="7910" spans="1:12" hidden="1" x14ac:dyDescent="0.3">
      <c r="A7910" t="s">
        <v>31</v>
      </c>
      <c r="B7910" t="s">
        <v>32</v>
      </c>
      <c r="C7910" t="s">
        <v>129</v>
      </c>
      <c r="D7910" t="s">
        <v>130</v>
      </c>
      <c r="E7910">
        <v>1965</v>
      </c>
      <c r="F7910" s="1">
        <v>66</v>
      </c>
      <c r="G7910">
        <v>1960</v>
      </c>
      <c r="H7910">
        <f>AVERAGEIFS(Table1[value],Table1[IndicatorCode],Table1[[#This Row],[IndicatorCode]])</f>
        <v>72.66514008620689</v>
      </c>
      <c r="I7910" cm="1">
        <f t="array" ref="I7910">_xlfn.STDEV.P(IF(Table1[IndicatorCode]=Table1[[#This Row],[IndicatorCode]],Table1[value]))</f>
        <v>6.3409496564024987</v>
      </c>
      <c r="J7910">
        <f>(Table1[[#This Row],[value]] - Table1[[#This Row],[mean]]) / Table1[[#This Row],[std_dev]]</f>
        <v>-1.0511264790561858</v>
      </c>
      <c r="K7910">
        <f>AVERAGEIF(Table1[CountryCode],Table1[[#This Row],[CountryCode]],Table1[z-score])</f>
        <v>-1.226846632548898E-2</v>
      </c>
      <c r="L7910" t="e">
        <f>VLOOKUP(Table1[[#This Row],[CountryCode]],[1]!Table1[#All],1,FALSE)</f>
        <v>#REF!</v>
      </c>
    </row>
    <row r="7911" spans="1:12" hidden="1" x14ac:dyDescent="0.3">
      <c r="A7911" t="s">
        <v>31</v>
      </c>
      <c r="B7911" t="s">
        <v>32</v>
      </c>
      <c r="C7911" t="s">
        <v>129</v>
      </c>
      <c r="D7911" t="s">
        <v>130</v>
      </c>
      <c r="E7911">
        <v>1966</v>
      </c>
      <c r="F7911" s="1">
        <v>66</v>
      </c>
      <c r="G7911">
        <v>1960</v>
      </c>
      <c r="H7911">
        <f>AVERAGEIFS(Table1[value],Table1[IndicatorCode],Table1[[#This Row],[IndicatorCode]])</f>
        <v>72.66514008620689</v>
      </c>
      <c r="I7911" cm="1">
        <f t="array" ref="I7911">_xlfn.STDEV.P(IF(Table1[IndicatorCode]=Table1[[#This Row],[IndicatorCode]],Table1[value]))</f>
        <v>6.3409496564024987</v>
      </c>
      <c r="J7911">
        <f>(Table1[[#This Row],[value]] - Table1[[#This Row],[mean]]) / Table1[[#This Row],[std_dev]]</f>
        <v>-1.0511264790561858</v>
      </c>
      <c r="K7911">
        <f>AVERAGEIF(Table1[CountryCode],Table1[[#This Row],[CountryCode]],Table1[z-score])</f>
        <v>-1.226846632548898E-2</v>
      </c>
      <c r="L7911" t="e">
        <f>VLOOKUP(Table1[[#This Row],[CountryCode]],[1]!Table1[#All],1,FALSE)</f>
        <v>#REF!</v>
      </c>
    </row>
    <row r="7912" spans="1:12" hidden="1" x14ac:dyDescent="0.3">
      <c r="A7912" t="s">
        <v>31</v>
      </c>
      <c r="B7912" t="s">
        <v>32</v>
      </c>
      <c r="C7912" t="s">
        <v>129</v>
      </c>
      <c r="D7912" t="s">
        <v>130</v>
      </c>
      <c r="E7912">
        <v>1967</v>
      </c>
      <c r="F7912" s="1">
        <v>67</v>
      </c>
      <c r="G7912">
        <v>1970</v>
      </c>
      <c r="H7912">
        <f>AVERAGEIFS(Table1[value],Table1[IndicatorCode],Table1[[#This Row],[IndicatorCode]])</f>
        <v>72.66514008620689</v>
      </c>
      <c r="I7912" cm="1">
        <f t="array" ref="I7912">_xlfn.STDEV.P(IF(Table1[IndicatorCode]=Table1[[#This Row],[IndicatorCode]],Table1[value]))</f>
        <v>6.3409496564024987</v>
      </c>
      <c r="J7912">
        <f>(Table1[[#This Row],[value]] - Table1[[#This Row],[mean]]) / Table1[[#This Row],[std_dev]]</f>
        <v>-0.89342139477274674</v>
      </c>
      <c r="K7912">
        <f>AVERAGEIF(Table1[CountryCode],Table1[[#This Row],[CountryCode]],Table1[z-score])</f>
        <v>-1.226846632548898E-2</v>
      </c>
      <c r="L7912" t="e">
        <f>VLOOKUP(Table1[[#This Row],[CountryCode]],[1]!Table1[#All],1,FALSE)</f>
        <v>#REF!</v>
      </c>
    </row>
    <row r="7913" spans="1:12" hidden="1" x14ac:dyDescent="0.3">
      <c r="A7913" t="s">
        <v>31</v>
      </c>
      <c r="B7913" t="s">
        <v>32</v>
      </c>
      <c r="C7913" t="s">
        <v>129</v>
      </c>
      <c r="D7913" t="s">
        <v>130</v>
      </c>
      <c r="E7913">
        <v>1968</v>
      </c>
      <c r="F7913" s="1">
        <v>67</v>
      </c>
      <c r="G7913">
        <v>1970</v>
      </c>
      <c r="H7913">
        <f>AVERAGEIFS(Table1[value],Table1[IndicatorCode],Table1[[#This Row],[IndicatorCode]])</f>
        <v>72.66514008620689</v>
      </c>
      <c r="I7913" cm="1">
        <f t="array" ref="I7913">_xlfn.STDEV.P(IF(Table1[IndicatorCode]=Table1[[#This Row],[IndicatorCode]],Table1[value]))</f>
        <v>6.3409496564024987</v>
      </c>
      <c r="J7913">
        <f>(Table1[[#This Row],[value]] - Table1[[#This Row],[mean]]) / Table1[[#This Row],[std_dev]]</f>
        <v>-0.89342139477274674</v>
      </c>
      <c r="K7913">
        <f>AVERAGEIF(Table1[CountryCode],Table1[[#This Row],[CountryCode]],Table1[z-score])</f>
        <v>-1.226846632548898E-2</v>
      </c>
      <c r="L7913" t="e">
        <f>VLOOKUP(Table1[[#This Row],[CountryCode]],[1]!Table1[#All],1,FALSE)</f>
        <v>#REF!</v>
      </c>
    </row>
    <row r="7914" spans="1:12" hidden="1" x14ac:dyDescent="0.3">
      <c r="A7914" t="s">
        <v>31</v>
      </c>
      <c r="B7914" t="s">
        <v>32</v>
      </c>
      <c r="C7914" t="s">
        <v>129</v>
      </c>
      <c r="D7914" t="s">
        <v>130</v>
      </c>
      <c r="E7914">
        <v>1969</v>
      </c>
      <c r="F7914" s="1">
        <v>68</v>
      </c>
      <c r="G7914">
        <v>1970</v>
      </c>
      <c r="H7914">
        <f>AVERAGEIFS(Table1[value],Table1[IndicatorCode],Table1[[#This Row],[IndicatorCode]])</f>
        <v>72.66514008620689</v>
      </c>
      <c r="I7914" cm="1">
        <f t="array" ref="I7914">_xlfn.STDEV.P(IF(Table1[IndicatorCode]=Table1[[#This Row],[IndicatorCode]],Table1[value]))</f>
        <v>6.3409496564024987</v>
      </c>
      <c r="J7914">
        <f>(Table1[[#This Row],[value]] - Table1[[#This Row],[mean]]) / Table1[[#This Row],[std_dev]]</f>
        <v>-0.73571631048930775</v>
      </c>
      <c r="K7914">
        <f>AVERAGEIF(Table1[CountryCode],Table1[[#This Row],[CountryCode]],Table1[z-score])</f>
        <v>-1.226846632548898E-2</v>
      </c>
      <c r="L7914" t="e">
        <f>VLOOKUP(Table1[[#This Row],[CountryCode]],[1]!Table1[#All],1,FALSE)</f>
        <v>#REF!</v>
      </c>
    </row>
    <row r="7915" spans="1:12" hidden="1" x14ac:dyDescent="0.3">
      <c r="A7915" t="s">
        <v>31</v>
      </c>
      <c r="B7915" t="s">
        <v>32</v>
      </c>
      <c r="C7915" t="s">
        <v>129</v>
      </c>
      <c r="D7915" t="s">
        <v>130</v>
      </c>
      <c r="E7915">
        <v>1970</v>
      </c>
      <c r="F7915" s="1">
        <v>68</v>
      </c>
      <c r="G7915">
        <v>1970</v>
      </c>
      <c r="H7915">
        <f>AVERAGEIFS(Table1[value],Table1[IndicatorCode],Table1[[#This Row],[IndicatorCode]])</f>
        <v>72.66514008620689</v>
      </c>
      <c r="I7915" cm="1">
        <f t="array" ref="I7915">_xlfn.STDEV.P(IF(Table1[IndicatorCode]=Table1[[#This Row],[IndicatorCode]],Table1[value]))</f>
        <v>6.3409496564024987</v>
      </c>
      <c r="J7915">
        <f>(Table1[[#This Row],[value]] - Table1[[#This Row],[mean]]) / Table1[[#This Row],[std_dev]]</f>
        <v>-0.73571631048930775</v>
      </c>
      <c r="K7915">
        <f>AVERAGEIF(Table1[CountryCode],Table1[[#This Row],[CountryCode]],Table1[z-score])</f>
        <v>-1.226846632548898E-2</v>
      </c>
      <c r="L7915" t="e">
        <f>VLOOKUP(Table1[[#This Row],[CountryCode]],[1]!Table1[#All],1,FALSE)</f>
        <v>#REF!</v>
      </c>
    </row>
    <row r="7916" spans="1:12" hidden="1" x14ac:dyDescent="0.3">
      <c r="A7916" t="s">
        <v>31</v>
      </c>
      <c r="B7916" t="s">
        <v>32</v>
      </c>
      <c r="C7916" t="s">
        <v>129</v>
      </c>
      <c r="D7916" t="s">
        <v>130</v>
      </c>
      <c r="E7916">
        <v>1971</v>
      </c>
      <c r="F7916" s="1">
        <v>68</v>
      </c>
      <c r="G7916">
        <v>1970</v>
      </c>
      <c r="H7916">
        <f>AVERAGEIFS(Table1[value],Table1[IndicatorCode],Table1[[#This Row],[IndicatorCode]])</f>
        <v>72.66514008620689</v>
      </c>
      <c r="I7916" cm="1">
        <f t="array" ref="I7916">_xlfn.STDEV.P(IF(Table1[IndicatorCode]=Table1[[#This Row],[IndicatorCode]],Table1[value]))</f>
        <v>6.3409496564024987</v>
      </c>
      <c r="J7916">
        <f>(Table1[[#This Row],[value]] - Table1[[#This Row],[mean]]) / Table1[[#This Row],[std_dev]]</f>
        <v>-0.73571631048930775</v>
      </c>
      <c r="K7916">
        <f>AVERAGEIF(Table1[CountryCode],Table1[[#This Row],[CountryCode]],Table1[z-score])</f>
        <v>-1.226846632548898E-2</v>
      </c>
      <c r="L7916" t="e">
        <f>VLOOKUP(Table1[[#This Row],[CountryCode]],[1]!Table1[#All],1,FALSE)</f>
        <v>#REF!</v>
      </c>
    </row>
    <row r="7917" spans="1:12" hidden="1" x14ac:dyDescent="0.3">
      <c r="A7917" t="s">
        <v>31</v>
      </c>
      <c r="B7917" t="s">
        <v>32</v>
      </c>
      <c r="C7917" t="s">
        <v>129</v>
      </c>
      <c r="D7917" t="s">
        <v>130</v>
      </c>
      <c r="E7917">
        <v>1972</v>
      </c>
      <c r="F7917" s="1">
        <v>69</v>
      </c>
      <c r="G7917">
        <v>1970</v>
      </c>
      <c r="H7917">
        <f>AVERAGEIFS(Table1[value],Table1[IndicatorCode],Table1[[#This Row],[IndicatorCode]])</f>
        <v>72.66514008620689</v>
      </c>
      <c r="I7917" cm="1">
        <f t="array" ref="I7917">_xlfn.STDEV.P(IF(Table1[IndicatorCode]=Table1[[#This Row],[IndicatorCode]],Table1[value]))</f>
        <v>6.3409496564024987</v>
      </c>
      <c r="J7917">
        <f>(Table1[[#This Row],[value]] - Table1[[#This Row],[mean]]) / Table1[[#This Row],[std_dev]]</f>
        <v>-0.57801122620586864</v>
      </c>
      <c r="K7917">
        <f>AVERAGEIF(Table1[CountryCode],Table1[[#This Row],[CountryCode]],Table1[z-score])</f>
        <v>-1.226846632548898E-2</v>
      </c>
      <c r="L7917" t="e">
        <f>VLOOKUP(Table1[[#This Row],[CountryCode]],[1]!Table1[#All],1,FALSE)</f>
        <v>#REF!</v>
      </c>
    </row>
    <row r="7918" spans="1:12" hidden="1" x14ac:dyDescent="0.3">
      <c r="A7918" t="s">
        <v>31</v>
      </c>
      <c r="B7918" t="s">
        <v>32</v>
      </c>
      <c r="C7918" t="s">
        <v>129</v>
      </c>
      <c r="D7918" t="s">
        <v>130</v>
      </c>
      <c r="E7918">
        <v>1973</v>
      </c>
      <c r="F7918" s="1">
        <v>69</v>
      </c>
      <c r="G7918">
        <v>1970</v>
      </c>
      <c r="H7918">
        <f>AVERAGEIFS(Table1[value],Table1[IndicatorCode],Table1[[#This Row],[IndicatorCode]])</f>
        <v>72.66514008620689</v>
      </c>
      <c r="I7918" cm="1">
        <f t="array" ref="I7918">_xlfn.STDEV.P(IF(Table1[IndicatorCode]=Table1[[#This Row],[IndicatorCode]],Table1[value]))</f>
        <v>6.3409496564024987</v>
      </c>
      <c r="J7918">
        <f>(Table1[[#This Row],[value]] - Table1[[#This Row],[mean]]) / Table1[[#This Row],[std_dev]]</f>
        <v>-0.57801122620586864</v>
      </c>
      <c r="K7918">
        <f>AVERAGEIF(Table1[CountryCode],Table1[[#This Row],[CountryCode]],Table1[z-score])</f>
        <v>-1.226846632548898E-2</v>
      </c>
      <c r="L7918" t="e">
        <f>VLOOKUP(Table1[[#This Row],[CountryCode]],[1]!Table1[#All],1,FALSE)</f>
        <v>#REF!</v>
      </c>
    </row>
    <row r="7919" spans="1:12" hidden="1" x14ac:dyDescent="0.3">
      <c r="A7919" t="s">
        <v>31</v>
      </c>
      <c r="B7919" t="s">
        <v>32</v>
      </c>
      <c r="C7919" t="s">
        <v>129</v>
      </c>
      <c r="D7919" t="s">
        <v>130</v>
      </c>
      <c r="E7919">
        <v>1974</v>
      </c>
      <c r="F7919" s="1">
        <v>55</v>
      </c>
      <c r="G7919">
        <v>1970</v>
      </c>
      <c r="H7919">
        <f>AVERAGEIFS(Table1[value],Table1[IndicatorCode],Table1[[#This Row],[IndicatorCode]])</f>
        <v>72.66514008620689</v>
      </c>
      <c r="I7919" cm="1">
        <f t="array" ref="I7919">_xlfn.STDEV.P(IF(Table1[IndicatorCode]=Table1[[#This Row],[IndicatorCode]],Table1[value]))</f>
        <v>6.3409496564024987</v>
      </c>
      <c r="J7919">
        <f>(Table1[[#This Row],[value]] - Table1[[#This Row],[mean]]) / Table1[[#This Row],[std_dev]]</f>
        <v>-2.7858824061740153</v>
      </c>
      <c r="K7919">
        <f>AVERAGEIF(Table1[CountryCode],Table1[[#This Row],[CountryCode]],Table1[z-score])</f>
        <v>-1.226846632548898E-2</v>
      </c>
      <c r="L7919" t="e">
        <f>VLOOKUP(Table1[[#This Row],[CountryCode]],[1]!Table1[#All],1,FALSE)</f>
        <v>#REF!</v>
      </c>
    </row>
    <row r="7920" spans="1:12" hidden="1" x14ac:dyDescent="0.3">
      <c r="A7920" t="s">
        <v>31</v>
      </c>
      <c r="B7920" t="s">
        <v>32</v>
      </c>
      <c r="C7920" t="s">
        <v>129</v>
      </c>
      <c r="D7920" t="s">
        <v>130</v>
      </c>
      <c r="E7920">
        <v>1975</v>
      </c>
      <c r="F7920" s="1">
        <v>70</v>
      </c>
      <c r="G7920">
        <v>1970</v>
      </c>
      <c r="H7920">
        <f>AVERAGEIFS(Table1[value],Table1[IndicatorCode],Table1[[#This Row],[IndicatorCode]])</f>
        <v>72.66514008620689</v>
      </c>
      <c r="I7920" cm="1">
        <f t="array" ref="I7920">_xlfn.STDEV.P(IF(Table1[IndicatorCode]=Table1[[#This Row],[IndicatorCode]],Table1[value]))</f>
        <v>6.3409496564024987</v>
      </c>
      <c r="J7920">
        <f>(Table1[[#This Row],[value]] - Table1[[#This Row],[mean]]) / Table1[[#This Row],[std_dev]]</f>
        <v>-0.4203061419224296</v>
      </c>
      <c r="K7920">
        <f>AVERAGEIF(Table1[CountryCode],Table1[[#This Row],[CountryCode]],Table1[z-score])</f>
        <v>-1.226846632548898E-2</v>
      </c>
      <c r="L7920" t="e">
        <f>VLOOKUP(Table1[[#This Row],[CountryCode]],[1]!Table1[#All],1,FALSE)</f>
        <v>#REF!</v>
      </c>
    </row>
    <row r="7921" spans="1:12" hidden="1" x14ac:dyDescent="0.3">
      <c r="A7921" t="s">
        <v>31</v>
      </c>
      <c r="B7921" t="s">
        <v>32</v>
      </c>
      <c r="C7921" t="s">
        <v>129</v>
      </c>
      <c r="D7921" t="s">
        <v>130</v>
      </c>
      <c r="E7921">
        <v>1976</v>
      </c>
      <c r="F7921" s="1">
        <v>71</v>
      </c>
      <c r="G7921">
        <v>1970</v>
      </c>
      <c r="H7921">
        <f>AVERAGEIFS(Table1[value],Table1[IndicatorCode],Table1[[#This Row],[IndicatorCode]])</f>
        <v>72.66514008620689</v>
      </c>
      <c r="I7921" cm="1">
        <f t="array" ref="I7921">_xlfn.STDEV.P(IF(Table1[IndicatorCode]=Table1[[#This Row],[IndicatorCode]],Table1[value]))</f>
        <v>6.3409496564024987</v>
      </c>
      <c r="J7921">
        <f>(Table1[[#This Row],[value]] - Table1[[#This Row],[mean]]) / Table1[[#This Row],[std_dev]]</f>
        <v>-0.2626010576389905</v>
      </c>
      <c r="K7921">
        <f>AVERAGEIF(Table1[CountryCode],Table1[[#This Row],[CountryCode]],Table1[z-score])</f>
        <v>-1.226846632548898E-2</v>
      </c>
      <c r="L7921" t="e">
        <f>VLOOKUP(Table1[[#This Row],[CountryCode]],[1]!Table1[#All],1,FALSE)</f>
        <v>#REF!</v>
      </c>
    </row>
    <row r="7922" spans="1:12" hidden="1" x14ac:dyDescent="0.3">
      <c r="A7922" t="s">
        <v>31</v>
      </c>
      <c r="B7922" t="s">
        <v>32</v>
      </c>
      <c r="C7922" t="s">
        <v>129</v>
      </c>
      <c r="D7922" t="s">
        <v>130</v>
      </c>
      <c r="E7922">
        <v>1977</v>
      </c>
      <c r="F7922" s="1">
        <v>71</v>
      </c>
      <c r="G7922">
        <v>1980</v>
      </c>
      <c r="H7922">
        <f>AVERAGEIFS(Table1[value],Table1[IndicatorCode],Table1[[#This Row],[IndicatorCode]])</f>
        <v>72.66514008620689</v>
      </c>
      <c r="I7922" cm="1">
        <f t="array" ref="I7922">_xlfn.STDEV.P(IF(Table1[IndicatorCode]=Table1[[#This Row],[IndicatorCode]],Table1[value]))</f>
        <v>6.3409496564024987</v>
      </c>
      <c r="J7922">
        <f>(Table1[[#This Row],[value]] - Table1[[#This Row],[mean]]) / Table1[[#This Row],[std_dev]]</f>
        <v>-0.2626010576389905</v>
      </c>
      <c r="K7922">
        <f>AVERAGEIF(Table1[CountryCode],Table1[[#This Row],[CountryCode]],Table1[z-score])</f>
        <v>-1.226846632548898E-2</v>
      </c>
      <c r="L7922" t="e">
        <f>VLOOKUP(Table1[[#This Row],[CountryCode]],[1]!Table1[#All],1,FALSE)</f>
        <v>#REF!</v>
      </c>
    </row>
    <row r="7923" spans="1:12" hidden="1" x14ac:dyDescent="0.3">
      <c r="A7923" t="s">
        <v>31</v>
      </c>
      <c r="B7923" t="s">
        <v>32</v>
      </c>
      <c r="C7923" t="s">
        <v>129</v>
      </c>
      <c r="D7923" t="s">
        <v>130</v>
      </c>
      <c r="E7923">
        <v>1978</v>
      </c>
      <c r="F7923" s="1">
        <v>72</v>
      </c>
      <c r="G7923">
        <v>1980</v>
      </c>
      <c r="H7923">
        <f>AVERAGEIFS(Table1[value],Table1[IndicatorCode],Table1[[#This Row],[IndicatorCode]])</f>
        <v>72.66514008620689</v>
      </c>
      <c r="I7923" cm="1">
        <f t="array" ref="I7923">_xlfn.STDEV.P(IF(Table1[IndicatorCode]=Table1[[#This Row],[IndicatorCode]],Table1[value]))</f>
        <v>6.3409496564024987</v>
      </c>
      <c r="J7923">
        <f>(Table1[[#This Row],[value]] - Table1[[#This Row],[mean]]) / Table1[[#This Row],[std_dev]]</f>
        <v>-0.10489597335555145</v>
      </c>
      <c r="K7923">
        <f>AVERAGEIF(Table1[CountryCode],Table1[[#This Row],[CountryCode]],Table1[z-score])</f>
        <v>-1.226846632548898E-2</v>
      </c>
      <c r="L7923" t="e">
        <f>VLOOKUP(Table1[[#This Row],[CountryCode]],[1]!Table1[#All],1,FALSE)</f>
        <v>#REF!</v>
      </c>
    </row>
    <row r="7924" spans="1:12" hidden="1" x14ac:dyDescent="0.3">
      <c r="A7924" t="s">
        <v>31</v>
      </c>
      <c r="B7924" t="s">
        <v>32</v>
      </c>
      <c r="C7924" t="s">
        <v>129</v>
      </c>
      <c r="D7924" t="s">
        <v>130</v>
      </c>
      <c r="E7924">
        <v>1979</v>
      </c>
      <c r="F7924" s="1">
        <v>72</v>
      </c>
      <c r="G7924">
        <v>1980</v>
      </c>
      <c r="H7924">
        <f>AVERAGEIFS(Table1[value],Table1[IndicatorCode],Table1[[#This Row],[IndicatorCode]])</f>
        <v>72.66514008620689</v>
      </c>
      <c r="I7924" cm="1">
        <f t="array" ref="I7924">_xlfn.STDEV.P(IF(Table1[IndicatorCode]=Table1[[#This Row],[IndicatorCode]],Table1[value]))</f>
        <v>6.3409496564024987</v>
      </c>
      <c r="J7924">
        <f>(Table1[[#This Row],[value]] - Table1[[#This Row],[mean]]) / Table1[[#This Row],[std_dev]]</f>
        <v>-0.10489597335555145</v>
      </c>
      <c r="K7924">
        <f>AVERAGEIF(Table1[CountryCode],Table1[[#This Row],[CountryCode]],Table1[z-score])</f>
        <v>-1.226846632548898E-2</v>
      </c>
      <c r="L7924" t="e">
        <f>VLOOKUP(Table1[[#This Row],[CountryCode]],[1]!Table1[#All],1,FALSE)</f>
        <v>#REF!</v>
      </c>
    </row>
    <row r="7925" spans="1:12" hidden="1" x14ac:dyDescent="0.3">
      <c r="A7925" t="s">
        <v>31</v>
      </c>
      <c r="B7925" t="s">
        <v>32</v>
      </c>
      <c r="C7925" t="s">
        <v>129</v>
      </c>
      <c r="D7925" t="s">
        <v>130</v>
      </c>
      <c r="E7925">
        <v>1980</v>
      </c>
      <c r="F7925" s="1">
        <v>73</v>
      </c>
      <c r="G7925">
        <v>1980</v>
      </c>
      <c r="H7925">
        <f>AVERAGEIFS(Table1[value],Table1[IndicatorCode],Table1[[#This Row],[IndicatorCode]])</f>
        <v>72.66514008620689</v>
      </c>
      <c r="I7925" cm="1">
        <f t="array" ref="I7925">_xlfn.STDEV.P(IF(Table1[IndicatorCode]=Table1[[#This Row],[IndicatorCode]],Table1[value]))</f>
        <v>6.3409496564024987</v>
      </c>
      <c r="J7925">
        <f>(Table1[[#This Row],[value]] - Table1[[#This Row],[mean]]) / Table1[[#This Row],[std_dev]]</f>
        <v>5.2809110927887599E-2</v>
      </c>
      <c r="K7925">
        <f>AVERAGEIF(Table1[CountryCode],Table1[[#This Row],[CountryCode]],Table1[z-score])</f>
        <v>-1.226846632548898E-2</v>
      </c>
      <c r="L7925" t="e">
        <f>VLOOKUP(Table1[[#This Row],[CountryCode]],[1]!Table1[#All],1,FALSE)</f>
        <v>#REF!</v>
      </c>
    </row>
    <row r="7926" spans="1:12" hidden="1" x14ac:dyDescent="0.3">
      <c r="A7926" t="s">
        <v>31</v>
      </c>
      <c r="B7926" t="s">
        <v>32</v>
      </c>
      <c r="C7926" t="s">
        <v>129</v>
      </c>
      <c r="D7926" t="s">
        <v>130</v>
      </c>
      <c r="E7926">
        <v>1981</v>
      </c>
      <c r="F7926" s="1">
        <v>73</v>
      </c>
      <c r="G7926">
        <v>1980</v>
      </c>
      <c r="H7926">
        <f>AVERAGEIFS(Table1[value],Table1[IndicatorCode],Table1[[#This Row],[IndicatorCode]])</f>
        <v>72.66514008620689</v>
      </c>
      <c r="I7926" cm="1">
        <f t="array" ref="I7926">_xlfn.STDEV.P(IF(Table1[IndicatorCode]=Table1[[#This Row],[IndicatorCode]],Table1[value]))</f>
        <v>6.3409496564024987</v>
      </c>
      <c r="J7926">
        <f>(Table1[[#This Row],[value]] - Table1[[#This Row],[mean]]) / Table1[[#This Row],[std_dev]]</f>
        <v>5.2809110927887599E-2</v>
      </c>
      <c r="K7926">
        <f>AVERAGEIF(Table1[CountryCode],Table1[[#This Row],[CountryCode]],Table1[z-score])</f>
        <v>-1.226846632548898E-2</v>
      </c>
      <c r="L7926" t="e">
        <f>VLOOKUP(Table1[[#This Row],[CountryCode]],[1]!Table1[#All],1,FALSE)</f>
        <v>#REF!</v>
      </c>
    </row>
    <row r="7927" spans="1:12" hidden="1" x14ac:dyDescent="0.3">
      <c r="A7927" t="s">
        <v>31</v>
      </c>
      <c r="B7927" t="s">
        <v>32</v>
      </c>
      <c r="C7927" t="s">
        <v>129</v>
      </c>
      <c r="D7927" t="s">
        <v>130</v>
      </c>
      <c r="E7927">
        <v>1982</v>
      </c>
      <c r="F7927" s="1">
        <v>74</v>
      </c>
      <c r="G7927">
        <v>1980</v>
      </c>
      <c r="H7927">
        <f>AVERAGEIFS(Table1[value],Table1[IndicatorCode],Table1[[#This Row],[IndicatorCode]])</f>
        <v>72.66514008620689</v>
      </c>
      <c r="I7927" cm="1">
        <f t="array" ref="I7927">_xlfn.STDEV.P(IF(Table1[IndicatorCode]=Table1[[#This Row],[IndicatorCode]],Table1[value]))</f>
        <v>6.3409496564024987</v>
      </c>
      <c r="J7927">
        <f>(Table1[[#This Row],[value]] - Table1[[#This Row],[mean]]) / Table1[[#This Row],[std_dev]]</f>
        <v>0.21051419521132667</v>
      </c>
      <c r="K7927">
        <f>AVERAGEIF(Table1[CountryCode],Table1[[#This Row],[CountryCode]],Table1[z-score])</f>
        <v>-1.226846632548898E-2</v>
      </c>
      <c r="L7927" t="e">
        <f>VLOOKUP(Table1[[#This Row],[CountryCode]],[1]!Table1[#All],1,FALSE)</f>
        <v>#REF!</v>
      </c>
    </row>
    <row r="7928" spans="1:12" hidden="1" x14ac:dyDescent="0.3">
      <c r="A7928" t="s">
        <v>31</v>
      </c>
      <c r="B7928" t="s">
        <v>32</v>
      </c>
      <c r="C7928" t="s">
        <v>129</v>
      </c>
      <c r="D7928" t="s">
        <v>130</v>
      </c>
      <c r="E7928">
        <v>1983</v>
      </c>
      <c r="F7928" s="1">
        <v>74</v>
      </c>
      <c r="G7928">
        <v>1980</v>
      </c>
      <c r="H7928">
        <f>AVERAGEIFS(Table1[value],Table1[IndicatorCode],Table1[[#This Row],[IndicatorCode]])</f>
        <v>72.66514008620689</v>
      </c>
      <c r="I7928" cm="1">
        <f t="array" ref="I7928">_xlfn.STDEV.P(IF(Table1[IndicatorCode]=Table1[[#This Row],[IndicatorCode]],Table1[value]))</f>
        <v>6.3409496564024987</v>
      </c>
      <c r="J7928">
        <f>(Table1[[#This Row],[value]] - Table1[[#This Row],[mean]]) / Table1[[#This Row],[std_dev]]</f>
        <v>0.21051419521132667</v>
      </c>
      <c r="K7928">
        <f>AVERAGEIF(Table1[CountryCode],Table1[[#This Row],[CountryCode]],Table1[z-score])</f>
        <v>-1.226846632548898E-2</v>
      </c>
      <c r="L7928" t="e">
        <f>VLOOKUP(Table1[[#This Row],[CountryCode]],[1]!Table1[#All],1,FALSE)</f>
        <v>#REF!</v>
      </c>
    </row>
    <row r="7929" spans="1:12" hidden="1" x14ac:dyDescent="0.3">
      <c r="A7929" t="s">
        <v>31</v>
      </c>
      <c r="B7929" t="s">
        <v>32</v>
      </c>
      <c r="C7929" t="s">
        <v>129</v>
      </c>
      <c r="D7929" t="s">
        <v>130</v>
      </c>
      <c r="E7929">
        <v>1984</v>
      </c>
      <c r="F7929" s="1">
        <v>74</v>
      </c>
      <c r="G7929">
        <v>1980</v>
      </c>
      <c r="H7929">
        <f>AVERAGEIFS(Table1[value],Table1[IndicatorCode],Table1[[#This Row],[IndicatorCode]])</f>
        <v>72.66514008620689</v>
      </c>
      <c r="I7929" cm="1">
        <f t="array" ref="I7929">_xlfn.STDEV.P(IF(Table1[IndicatorCode]=Table1[[#This Row],[IndicatorCode]],Table1[value]))</f>
        <v>6.3409496564024987</v>
      </c>
      <c r="J7929">
        <f>(Table1[[#This Row],[value]] - Table1[[#This Row],[mean]]) / Table1[[#This Row],[std_dev]]</f>
        <v>0.21051419521132667</v>
      </c>
      <c r="K7929">
        <f>AVERAGEIF(Table1[CountryCode],Table1[[#This Row],[CountryCode]],Table1[z-score])</f>
        <v>-1.226846632548898E-2</v>
      </c>
      <c r="L7929" t="e">
        <f>VLOOKUP(Table1[[#This Row],[CountryCode]],[1]!Table1[#All],1,FALSE)</f>
        <v>#REF!</v>
      </c>
    </row>
    <row r="7930" spans="1:12" hidden="1" x14ac:dyDescent="0.3">
      <c r="A7930" t="s">
        <v>31</v>
      </c>
      <c r="B7930" t="s">
        <v>32</v>
      </c>
      <c r="C7930" t="s">
        <v>129</v>
      </c>
      <c r="D7930" t="s">
        <v>130</v>
      </c>
      <c r="E7930">
        <v>1985</v>
      </c>
      <c r="F7930" s="1">
        <v>75</v>
      </c>
      <c r="G7930">
        <v>1980</v>
      </c>
      <c r="H7930">
        <f>AVERAGEIFS(Table1[value],Table1[IndicatorCode],Table1[[#This Row],[IndicatorCode]])</f>
        <v>72.66514008620689</v>
      </c>
      <c r="I7930" cm="1">
        <f t="array" ref="I7930">_xlfn.STDEV.P(IF(Table1[IndicatorCode]=Table1[[#This Row],[IndicatorCode]],Table1[value]))</f>
        <v>6.3409496564024987</v>
      </c>
      <c r="J7930">
        <f>(Table1[[#This Row],[value]] - Table1[[#This Row],[mean]]) / Table1[[#This Row],[std_dev]]</f>
        <v>0.36821927949476574</v>
      </c>
      <c r="K7930">
        <f>AVERAGEIF(Table1[CountryCode],Table1[[#This Row],[CountryCode]],Table1[z-score])</f>
        <v>-1.226846632548898E-2</v>
      </c>
      <c r="L7930" t="e">
        <f>VLOOKUP(Table1[[#This Row],[CountryCode]],[1]!Table1[#All],1,FALSE)</f>
        <v>#REF!</v>
      </c>
    </row>
    <row r="7931" spans="1:12" hidden="1" x14ac:dyDescent="0.3">
      <c r="A7931" t="s">
        <v>31</v>
      </c>
      <c r="B7931" t="s">
        <v>32</v>
      </c>
      <c r="C7931" t="s">
        <v>129</v>
      </c>
      <c r="D7931" t="s">
        <v>130</v>
      </c>
      <c r="E7931">
        <v>1986</v>
      </c>
      <c r="F7931" s="1">
        <v>75</v>
      </c>
      <c r="G7931">
        <v>1980</v>
      </c>
      <c r="H7931">
        <f>AVERAGEIFS(Table1[value],Table1[IndicatorCode],Table1[[#This Row],[IndicatorCode]])</f>
        <v>72.66514008620689</v>
      </c>
      <c r="I7931" cm="1">
        <f t="array" ref="I7931">_xlfn.STDEV.P(IF(Table1[IndicatorCode]=Table1[[#This Row],[IndicatorCode]],Table1[value]))</f>
        <v>6.3409496564024987</v>
      </c>
      <c r="J7931">
        <f>(Table1[[#This Row],[value]] - Table1[[#This Row],[mean]]) / Table1[[#This Row],[std_dev]]</f>
        <v>0.36821927949476574</v>
      </c>
      <c r="K7931">
        <f>AVERAGEIF(Table1[CountryCode],Table1[[#This Row],[CountryCode]],Table1[z-score])</f>
        <v>-1.226846632548898E-2</v>
      </c>
      <c r="L7931" t="e">
        <f>VLOOKUP(Table1[[#This Row],[CountryCode]],[1]!Table1[#All],1,FALSE)</f>
        <v>#REF!</v>
      </c>
    </row>
    <row r="7932" spans="1:12" hidden="1" x14ac:dyDescent="0.3">
      <c r="A7932" t="s">
        <v>31</v>
      </c>
      <c r="B7932" t="s">
        <v>32</v>
      </c>
      <c r="C7932" t="s">
        <v>129</v>
      </c>
      <c r="D7932" t="s">
        <v>130</v>
      </c>
      <c r="E7932">
        <v>1987</v>
      </c>
      <c r="F7932" s="1">
        <v>75</v>
      </c>
      <c r="G7932">
        <v>1990</v>
      </c>
      <c r="H7932">
        <f>AVERAGEIFS(Table1[value],Table1[IndicatorCode],Table1[[#This Row],[IndicatorCode]])</f>
        <v>72.66514008620689</v>
      </c>
      <c r="I7932" cm="1">
        <f t="array" ref="I7932">_xlfn.STDEV.P(IF(Table1[IndicatorCode]=Table1[[#This Row],[IndicatorCode]],Table1[value]))</f>
        <v>6.3409496564024987</v>
      </c>
      <c r="J7932">
        <f>(Table1[[#This Row],[value]] - Table1[[#This Row],[mean]]) / Table1[[#This Row],[std_dev]]</f>
        <v>0.36821927949476574</v>
      </c>
      <c r="K7932">
        <f>AVERAGEIF(Table1[CountryCode],Table1[[#This Row],[CountryCode]],Table1[z-score])</f>
        <v>-1.226846632548898E-2</v>
      </c>
      <c r="L7932" t="e">
        <f>VLOOKUP(Table1[[#This Row],[CountryCode]],[1]!Table1[#All],1,FALSE)</f>
        <v>#REF!</v>
      </c>
    </row>
    <row r="7933" spans="1:12" hidden="1" x14ac:dyDescent="0.3">
      <c r="A7933" t="s">
        <v>31</v>
      </c>
      <c r="B7933" t="s">
        <v>32</v>
      </c>
      <c r="C7933" t="s">
        <v>129</v>
      </c>
      <c r="D7933" t="s">
        <v>130</v>
      </c>
      <c r="E7933">
        <v>1988</v>
      </c>
      <c r="F7933" s="1">
        <v>75</v>
      </c>
      <c r="G7933">
        <v>1990</v>
      </c>
      <c r="H7933">
        <f>AVERAGEIFS(Table1[value],Table1[IndicatorCode],Table1[[#This Row],[IndicatorCode]])</f>
        <v>72.66514008620689</v>
      </c>
      <c r="I7933" cm="1">
        <f t="array" ref="I7933">_xlfn.STDEV.P(IF(Table1[IndicatorCode]=Table1[[#This Row],[IndicatorCode]],Table1[value]))</f>
        <v>6.3409496564024987</v>
      </c>
      <c r="J7933">
        <f>(Table1[[#This Row],[value]] - Table1[[#This Row],[mean]]) / Table1[[#This Row],[std_dev]]</f>
        <v>0.36821927949476574</v>
      </c>
      <c r="K7933">
        <f>AVERAGEIF(Table1[CountryCode],Table1[[#This Row],[CountryCode]],Table1[z-score])</f>
        <v>-1.226846632548898E-2</v>
      </c>
      <c r="L7933" t="e">
        <f>VLOOKUP(Table1[[#This Row],[CountryCode]],[1]!Table1[#All],1,FALSE)</f>
        <v>#REF!</v>
      </c>
    </row>
    <row r="7934" spans="1:12" hidden="1" x14ac:dyDescent="0.3">
      <c r="A7934" t="s">
        <v>31</v>
      </c>
      <c r="B7934" t="s">
        <v>32</v>
      </c>
      <c r="C7934" t="s">
        <v>129</v>
      </c>
      <c r="D7934" t="s">
        <v>130</v>
      </c>
      <c r="E7934">
        <v>1989</v>
      </c>
      <c r="F7934" s="1">
        <v>76</v>
      </c>
      <c r="G7934">
        <v>1990</v>
      </c>
      <c r="H7934">
        <f>AVERAGEIFS(Table1[value],Table1[IndicatorCode],Table1[[#This Row],[IndicatorCode]])</f>
        <v>72.66514008620689</v>
      </c>
      <c r="I7934" cm="1">
        <f t="array" ref="I7934">_xlfn.STDEV.P(IF(Table1[IndicatorCode]=Table1[[#This Row],[IndicatorCode]],Table1[value]))</f>
        <v>6.3409496564024987</v>
      </c>
      <c r="J7934">
        <f>(Table1[[#This Row],[value]] - Table1[[#This Row],[mean]]) / Table1[[#This Row],[std_dev]]</f>
        <v>0.52592436377820473</v>
      </c>
      <c r="K7934">
        <f>AVERAGEIF(Table1[CountryCode],Table1[[#This Row],[CountryCode]],Table1[z-score])</f>
        <v>-1.226846632548898E-2</v>
      </c>
      <c r="L7934" t="e">
        <f>VLOOKUP(Table1[[#This Row],[CountryCode]],[1]!Table1[#All],1,FALSE)</f>
        <v>#REF!</v>
      </c>
    </row>
    <row r="7935" spans="1:12" hidden="1" x14ac:dyDescent="0.3">
      <c r="A7935" t="s">
        <v>31</v>
      </c>
      <c r="B7935" t="s">
        <v>32</v>
      </c>
      <c r="C7935" t="s">
        <v>129</v>
      </c>
      <c r="D7935" t="s">
        <v>130</v>
      </c>
      <c r="E7935">
        <v>1990</v>
      </c>
      <c r="F7935" s="1">
        <v>76</v>
      </c>
      <c r="G7935">
        <v>1990</v>
      </c>
      <c r="H7935">
        <f>AVERAGEIFS(Table1[value],Table1[IndicatorCode],Table1[[#This Row],[IndicatorCode]])</f>
        <v>72.66514008620689</v>
      </c>
      <c r="I7935" cm="1">
        <f t="array" ref="I7935">_xlfn.STDEV.P(IF(Table1[IndicatorCode]=Table1[[#This Row],[IndicatorCode]],Table1[value]))</f>
        <v>6.3409496564024987</v>
      </c>
      <c r="J7935">
        <f>(Table1[[#This Row],[value]] - Table1[[#This Row],[mean]]) / Table1[[#This Row],[std_dev]]</f>
        <v>0.52592436377820473</v>
      </c>
      <c r="K7935">
        <f>AVERAGEIF(Table1[CountryCode],Table1[[#This Row],[CountryCode]],Table1[z-score])</f>
        <v>-1.226846632548898E-2</v>
      </c>
      <c r="L7935" t="e">
        <f>VLOOKUP(Table1[[#This Row],[CountryCode]],[1]!Table1[#All],1,FALSE)</f>
        <v>#REF!</v>
      </c>
    </row>
    <row r="7936" spans="1:12" hidden="1" x14ac:dyDescent="0.3">
      <c r="A7936" t="s">
        <v>31</v>
      </c>
      <c r="B7936" t="s">
        <v>32</v>
      </c>
      <c r="C7936" t="s">
        <v>129</v>
      </c>
      <c r="D7936" t="s">
        <v>130</v>
      </c>
      <c r="E7936">
        <v>1991</v>
      </c>
      <c r="F7936" s="1">
        <v>76</v>
      </c>
      <c r="G7936">
        <v>1990</v>
      </c>
      <c r="H7936">
        <f>AVERAGEIFS(Table1[value],Table1[IndicatorCode],Table1[[#This Row],[IndicatorCode]])</f>
        <v>72.66514008620689</v>
      </c>
      <c r="I7936" cm="1">
        <f t="array" ref="I7936">_xlfn.STDEV.P(IF(Table1[IndicatorCode]=Table1[[#This Row],[IndicatorCode]],Table1[value]))</f>
        <v>6.3409496564024987</v>
      </c>
      <c r="J7936">
        <f>(Table1[[#This Row],[value]] - Table1[[#This Row],[mean]]) / Table1[[#This Row],[std_dev]]</f>
        <v>0.52592436377820473</v>
      </c>
      <c r="K7936">
        <f>AVERAGEIF(Table1[CountryCode],Table1[[#This Row],[CountryCode]],Table1[z-score])</f>
        <v>-1.226846632548898E-2</v>
      </c>
      <c r="L7936" t="e">
        <f>VLOOKUP(Table1[[#This Row],[CountryCode]],[1]!Table1[#All],1,FALSE)</f>
        <v>#REF!</v>
      </c>
    </row>
    <row r="7937" spans="1:12" hidden="1" x14ac:dyDescent="0.3">
      <c r="A7937" t="s">
        <v>31</v>
      </c>
      <c r="B7937" t="s">
        <v>32</v>
      </c>
      <c r="C7937" t="s">
        <v>129</v>
      </c>
      <c r="D7937" t="s">
        <v>130</v>
      </c>
      <c r="E7937">
        <v>1992</v>
      </c>
      <c r="F7937" s="1">
        <v>76</v>
      </c>
      <c r="G7937">
        <v>1990</v>
      </c>
      <c r="H7937">
        <f>AVERAGEIFS(Table1[value],Table1[IndicatorCode],Table1[[#This Row],[IndicatorCode]])</f>
        <v>72.66514008620689</v>
      </c>
      <c r="I7937" cm="1">
        <f t="array" ref="I7937">_xlfn.STDEV.P(IF(Table1[IndicatorCode]=Table1[[#This Row],[IndicatorCode]],Table1[value]))</f>
        <v>6.3409496564024987</v>
      </c>
      <c r="J7937">
        <f>(Table1[[#This Row],[value]] - Table1[[#This Row],[mean]]) / Table1[[#This Row],[std_dev]]</f>
        <v>0.52592436377820473</v>
      </c>
      <c r="K7937">
        <f>AVERAGEIF(Table1[CountryCode],Table1[[#This Row],[CountryCode]],Table1[z-score])</f>
        <v>-1.226846632548898E-2</v>
      </c>
      <c r="L7937" t="e">
        <f>VLOOKUP(Table1[[#This Row],[CountryCode]],[1]!Table1[#All],1,FALSE)</f>
        <v>#REF!</v>
      </c>
    </row>
    <row r="7938" spans="1:12" hidden="1" x14ac:dyDescent="0.3">
      <c r="A7938" t="s">
        <v>31</v>
      </c>
      <c r="B7938" t="s">
        <v>32</v>
      </c>
      <c r="C7938" t="s">
        <v>129</v>
      </c>
      <c r="D7938" t="s">
        <v>130</v>
      </c>
      <c r="E7938">
        <v>1993</v>
      </c>
      <c r="F7938" s="1">
        <v>76</v>
      </c>
      <c r="G7938">
        <v>1990</v>
      </c>
      <c r="H7938">
        <f>AVERAGEIFS(Table1[value],Table1[IndicatorCode],Table1[[#This Row],[IndicatorCode]])</f>
        <v>72.66514008620689</v>
      </c>
      <c r="I7938" cm="1">
        <f t="array" ref="I7938">_xlfn.STDEV.P(IF(Table1[IndicatorCode]=Table1[[#This Row],[IndicatorCode]],Table1[value]))</f>
        <v>6.3409496564024987</v>
      </c>
      <c r="J7938">
        <f>(Table1[[#This Row],[value]] - Table1[[#This Row],[mean]]) / Table1[[#This Row],[std_dev]]</f>
        <v>0.52592436377820473</v>
      </c>
      <c r="K7938">
        <f>AVERAGEIF(Table1[CountryCode],Table1[[#This Row],[CountryCode]],Table1[z-score])</f>
        <v>-1.226846632548898E-2</v>
      </c>
      <c r="L7938" t="e">
        <f>VLOOKUP(Table1[[#This Row],[CountryCode]],[1]!Table1[#All],1,FALSE)</f>
        <v>#REF!</v>
      </c>
    </row>
    <row r="7939" spans="1:12" hidden="1" x14ac:dyDescent="0.3">
      <c r="A7939" t="s">
        <v>31</v>
      </c>
      <c r="B7939" t="s">
        <v>32</v>
      </c>
      <c r="C7939" t="s">
        <v>129</v>
      </c>
      <c r="D7939" t="s">
        <v>130</v>
      </c>
      <c r="E7939">
        <v>1994</v>
      </c>
      <c r="F7939" s="1">
        <v>76</v>
      </c>
      <c r="G7939">
        <v>1990</v>
      </c>
      <c r="H7939">
        <f>AVERAGEIFS(Table1[value],Table1[IndicatorCode],Table1[[#This Row],[IndicatorCode]])</f>
        <v>72.66514008620689</v>
      </c>
      <c r="I7939" cm="1">
        <f t="array" ref="I7939">_xlfn.STDEV.P(IF(Table1[IndicatorCode]=Table1[[#This Row],[IndicatorCode]],Table1[value]))</f>
        <v>6.3409496564024987</v>
      </c>
      <c r="J7939">
        <f>(Table1[[#This Row],[value]] - Table1[[#This Row],[mean]]) / Table1[[#This Row],[std_dev]]</f>
        <v>0.52592436377820473</v>
      </c>
      <c r="K7939">
        <f>AVERAGEIF(Table1[CountryCode],Table1[[#This Row],[CountryCode]],Table1[z-score])</f>
        <v>-1.226846632548898E-2</v>
      </c>
      <c r="L7939" t="e">
        <f>VLOOKUP(Table1[[#This Row],[CountryCode]],[1]!Table1[#All],1,FALSE)</f>
        <v>#REF!</v>
      </c>
    </row>
    <row r="7940" spans="1:12" hidden="1" x14ac:dyDescent="0.3">
      <c r="A7940" t="s">
        <v>31</v>
      </c>
      <c r="B7940" t="s">
        <v>32</v>
      </c>
      <c r="C7940" t="s">
        <v>129</v>
      </c>
      <c r="D7940" t="s">
        <v>130</v>
      </c>
      <c r="E7940">
        <v>1995</v>
      </c>
      <c r="F7940" s="1">
        <v>77</v>
      </c>
      <c r="G7940">
        <v>1990</v>
      </c>
      <c r="H7940">
        <f>AVERAGEIFS(Table1[value],Table1[IndicatorCode],Table1[[#This Row],[IndicatorCode]])</f>
        <v>72.66514008620689</v>
      </c>
      <c r="I7940" cm="1">
        <f t="array" ref="I7940">_xlfn.STDEV.P(IF(Table1[IndicatorCode]=Table1[[#This Row],[IndicatorCode]],Table1[value]))</f>
        <v>6.3409496564024987</v>
      </c>
      <c r="J7940">
        <f>(Table1[[#This Row],[value]] - Table1[[#This Row],[mean]]) / Table1[[#This Row],[std_dev]]</f>
        <v>0.68362944806164383</v>
      </c>
      <c r="K7940">
        <f>AVERAGEIF(Table1[CountryCode],Table1[[#This Row],[CountryCode]],Table1[z-score])</f>
        <v>-1.226846632548898E-2</v>
      </c>
      <c r="L7940" t="e">
        <f>VLOOKUP(Table1[[#This Row],[CountryCode]],[1]!Table1[#All],1,FALSE)</f>
        <v>#REF!</v>
      </c>
    </row>
    <row r="7941" spans="1:12" hidden="1" x14ac:dyDescent="0.3">
      <c r="A7941" t="s">
        <v>31</v>
      </c>
      <c r="B7941" t="s">
        <v>32</v>
      </c>
      <c r="C7941" t="s">
        <v>129</v>
      </c>
      <c r="D7941" t="s">
        <v>130</v>
      </c>
      <c r="E7941">
        <v>1996</v>
      </c>
      <c r="F7941" s="1">
        <v>77</v>
      </c>
      <c r="G7941">
        <v>1990</v>
      </c>
      <c r="H7941">
        <f>AVERAGEIFS(Table1[value],Table1[IndicatorCode],Table1[[#This Row],[IndicatorCode]])</f>
        <v>72.66514008620689</v>
      </c>
      <c r="I7941" cm="1">
        <f t="array" ref="I7941">_xlfn.STDEV.P(IF(Table1[IndicatorCode]=Table1[[#This Row],[IndicatorCode]],Table1[value]))</f>
        <v>6.3409496564024987</v>
      </c>
      <c r="J7941">
        <f>(Table1[[#This Row],[value]] - Table1[[#This Row],[mean]]) / Table1[[#This Row],[std_dev]]</f>
        <v>0.68362944806164383</v>
      </c>
      <c r="K7941">
        <f>AVERAGEIF(Table1[CountryCode],Table1[[#This Row],[CountryCode]],Table1[z-score])</f>
        <v>-1.226846632548898E-2</v>
      </c>
      <c r="L7941" t="e">
        <f>VLOOKUP(Table1[[#This Row],[CountryCode]],[1]!Table1[#All],1,FALSE)</f>
        <v>#REF!</v>
      </c>
    </row>
    <row r="7942" spans="1:12" hidden="1" x14ac:dyDescent="0.3">
      <c r="A7942" t="s">
        <v>31</v>
      </c>
      <c r="B7942" t="s">
        <v>32</v>
      </c>
      <c r="C7942" t="s">
        <v>129</v>
      </c>
      <c r="D7942" t="s">
        <v>130</v>
      </c>
      <c r="E7942">
        <v>1997</v>
      </c>
      <c r="F7942" s="1">
        <v>77</v>
      </c>
      <c r="G7942">
        <v>2000</v>
      </c>
      <c r="H7942">
        <f>AVERAGEIFS(Table1[value],Table1[IndicatorCode],Table1[[#This Row],[IndicatorCode]])</f>
        <v>72.66514008620689</v>
      </c>
      <c r="I7942" cm="1">
        <f t="array" ref="I7942">_xlfn.STDEV.P(IF(Table1[IndicatorCode]=Table1[[#This Row],[IndicatorCode]],Table1[value]))</f>
        <v>6.3409496564024987</v>
      </c>
      <c r="J7942">
        <f>(Table1[[#This Row],[value]] - Table1[[#This Row],[mean]]) / Table1[[#This Row],[std_dev]]</f>
        <v>0.68362944806164383</v>
      </c>
      <c r="K7942">
        <f>AVERAGEIF(Table1[CountryCode],Table1[[#This Row],[CountryCode]],Table1[z-score])</f>
        <v>-1.226846632548898E-2</v>
      </c>
      <c r="L7942" t="e">
        <f>VLOOKUP(Table1[[#This Row],[CountryCode]],[1]!Table1[#All],1,FALSE)</f>
        <v>#REF!</v>
      </c>
    </row>
    <row r="7943" spans="1:12" hidden="1" x14ac:dyDescent="0.3">
      <c r="A7943" t="s">
        <v>31</v>
      </c>
      <c r="B7943" t="s">
        <v>32</v>
      </c>
      <c r="C7943" t="s">
        <v>129</v>
      </c>
      <c r="D7943" t="s">
        <v>130</v>
      </c>
      <c r="E7943">
        <v>1998</v>
      </c>
      <c r="F7943" s="1">
        <v>77</v>
      </c>
      <c r="G7943">
        <v>2000</v>
      </c>
      <c r="H7943">
        <f>AVERAGEIFS(Table1[value],Table1[IndicatorCode],Table1[[#This Row],[IndicatorCode]])</f>
        <v>72.66514008620689</v>
      </c>
      <c r="I7943" cm="1">
        <f t="array" ref="I7943">_xlfn.STDEV.P(IF(Table1[IndicatorCode]=Table1[[#This Row],[IndicatorCode]],Table1[value]))</f>
        <v>6.3409496564024987</v>
      </c>
      <c r="J7943">
        <f>(Table1[[#This Row],[value]] - Table1[[#This Row],[mean]]) / Table1[[#This Row],[std_dev]]</f>
        <v>0.68362944806164383</v>
      </c>
      <c r="K7943">
        <f>AVERAGEIF(Table1[CountryCode],Table1[[#This Row],[CountryCode]],Table1[z-score])</f>
        <v>-1.226846632548898E-2</v>
      </c>
      <c r="L7943" t="e">
        <f>VLOOKUP(Table1[[#This Row],[CountryCode]],[1]!Table1[#All],1,FALSE)</f>
        <v>#REF!</v>
      </c>
    </row>
    <row r="7944" spans="1:12" hidden="1" x14ac:dyDescent="0.3">
      <c r="A7944" t="s">
        <v>31</v>
      </c>
      <c r="B7944" t="s">
        <v>32</v>
      </c>
      <c r="C7944" t="s">
        <v>129</v>
      </c>
      <c r="D7944" t="s">
        <v>130</v>
      </c>
      <c r="E7944">
        <v>1999</v>
      </c>
      <c r="F7944" s="1">
        <v>78</v>
      </c>
      <c r="G7944">
        <v>2000</v>
      </c>
      <c r="H7944">
        <f>AVERAGEIFS(Table1[value],Table1[IndicatorCode],Table1[[#This Row],[IndicatorCode]])</f>
        <v>72.66514008620689</v>
      </c>
      <c r="I7944" cm="1">
        <f t="array" ref="I7944">_xlfn.STDEV.P(IF(Table1[IndicatorCode]=Table1[[#This Row],[IndicatorCode]],Table1[value]))</f>
        <v>6.3409496564024987</v>
      </c>
      <c r="J7944">
        <f>(Table1[[#This Row],[value]] - Table1[[#This Row],[mean]]) / Table1[[#This Row],[std_dev]]</f>
        <v>0.84133453234508293</v>
      </c>
      <c r="K7944">
        <f>AVERAGEIF(Table1[CountryCode],Table1[[#This Row],[CountryCode]],Table1[z-score])</f>
        <v>-1.226846632548898E-2</v>
      </c>
      <c r="L7944" t="e">
        <f>VLOOKUP(Table1[[#This Row],[CountryCode]],[1]!Table1[#All],1,FALSE)</f>
        <v>#REF!</v>
      </c>
    </row>
    <row r="7945" spans="1:12" hidden="1" x14ac:dyDescent="0.3">
      <c r="A7945" t="s">
        <v>31</v>
      </c>
      <c r="B7945" t="s">
        <v>32</v>
      </c>
      <c r="C7945" t="s">
        <v>129</v>
      </c>
      <c r="D7945" t="s">
        <v>130</v>
      </c>
      <c r="E7945">
        <v>2000</v>
      </c>
      <c r="F7945" s="1">
        <v>78</v>
      </c>
      <c r="G7945">
        <v>2000</v>
      </c>
      <c r="H7945">
        <f>AVERAGEIFS(Table1[value],Table1[IndicatorCode],Table1[[#This Row],[IndicatorCode]])</f>
        <v>72.66514008620689</v>
      </c>
      <c r="I7945" cm="1">
        <f t="array" ref="I7945">_xlfn.STDEV.P(IF(Table1[IndicatorCode]=Table1[[#This Row],[IndicatorCode]],Table1[value]))</f>
        <v>6.3409496564024987</v>
      </c>
      <c r="J7945">
        <f>(Table1[[#This Row],[value]] - Table1[[#This Row],[mean]]) / Table1[[#This Row],[std_dev]]</f>
        <v>0.84133453234508293</v>
      </c>
      <c r="K7945">
        <f>AVERAGEIF(Table1[CountryCode],Table1[[#This Row],[CountryCode]],Table1[z-score])</f>
        <v>-1.226846632548898E-2</v>
      </c>
      <c r="L7945" t="e">
        <f>VLOOKUP(Table1[[#This Row],[CountryCode]],[1]!Table1[#All],1,FALSE)</f>
        <v>#REF!</v>
      </c>
    </row>
    <row r="7946" spans="1:12" hidden="1" x14ac:dyDescent="0.3">
      <c r="A7946" t="s">
        <v>31</v>
      </c>
      <c r="B7946" t="s">
        <v>32</v>
      </c>
      <c r="C7946" t="s">
        <v>129</v>
      </c>
      <c r="D7946" t="s">
        <v>130</v>
      </c>
      <c r="E7946">
        <v>2001</v>
      </c>
      <c r="F7946" s="1">
        <v>78</v>
      </c>
      <c r="G7946">
        <v>2000</v>
      </c>
      <c r="H7946">
        <f>AVERAGEIFS(Table1[value],Table1[IndicatorCode],Table1[[#This Row],[IndicatorCode]])</f>
        <v>72.66514008620689</v>
      </c>
      <c r="I7946" cm="1">
        <f t="array" ref="I7946">_xlfn.STDEV.P(IF(Table1[IndicatorCode]=Table1[[#This Row],[IndicatorCode]],Table1[value]))</f>
        <v>6.3409496564024987</v>
      </c>
      <c r="J7946">
        <f>(Table1[[#This Row],[value]] - Table1[[#This Row],[mean]]) / Table1[[#This Row],[std_dev]]</f>
        <v>0.84133453234508293</v>
      </c>
      <c r="K7946">
        <f>AVERAGEIF(Table1[CountryCode],Table1[[#This Row],[CountryCode]],Table1[z-score])</f>
        <v>-1.226846632548898E-2</v>
      </c>
      <c r="L7946" t="e">
        <f>VLOOKUP(Table1[[#This Row],[CountryCode]],[1]!Table1[#All],1,FALSE)</f>
        <v>#REF!</v>
      </c>
    </row>
    <row r="7947" spans="1:12" hidden="1" x14ac:dyDescent="0.3">
      <c r="A7947" t="s">
        <v>31</v>
      </c>
      <c r="B7947" t="s">
        <v>32</v>
      </c>
      <c r="C7947" t="s">
        <v>129</v>
      </c>
      <c r="D7947" t="s">
        <v>130</v>
      </c>
      <c r="E7947">
        <v>2002</v>
      </c>
      <c r="F7947" s="1">
        <v>79</v>
      </c>
      <c r="G7947">
        <v>2000</v>
      </c>
      <c r="H7947">
        <f>AVERAGEIFS(Table1[value],Table1[IndicatorCode],Table1[[#This Row],[IndicatorCode]])</f>
        <v>72.66514008620689</v>
      </c>
      <c r="I7947" cm="1">
        <f t="array" ref="I7947">_xlfn.STDEV.P(IF(Table1[IndicatorCode]=Table1[[#This Row],[IndicatorCode]],Table1[value]))</f>
        <v>6.3409496564024987</v>
      </c>
      <c r="J7947">
        <f>(Table1[[#This Row],[value]] - Table1[[#This Row],[mean]]) / Table1[[#This Row],[std_dev]]</f>
        <v>0.99903961662852192</v>
      </c>
      <c r="K7947">
        <f>AVERAGEIF(Table1[CountryCode],Table1[[#This Row],[CountryCode]],Table1[z-score])</f>
        <v>-1.226846632548898E-2</v>
      </c>
      <c r="L7947" t="e">
        <f>VLOOKUP(Table1[[#This Row],[CountryCode]],[1]!Table1[#All],1,FALSE)</f>
        <v>#REF!</v>
      </c>
    </row>
    <row r="7948" spans="1:12" hidden="1" x14ac:dyDescent="0.3">
      <c r="A7948" t="s">
        <v>31</v>
      </c>
      <c r="B7948" t="s">
        <v>32</v>
      </c>
      <c r="C7948" t="s">
        <v>129</v>
      </c>
      <c r="D7948" t="s">
        <v>130</v>
      </c>
      <c r="E7948">
        <v>2003</v>
      </c>
      <c r="F7948" s="1">
        <v>79</v>
      </c>
      <c r="G7948">
        <v>2000</v>
      </c>
      <c r="H7948">
        <f>AVERAGEIFS(Table1[value],Table1[IndicatorCode],Table1[[#This Row],[IndicatorCode]])</f>
        <v>72.66514008620689</v>
      </c>
      <c r="I7948" cm="1">
        <f t="array" ref="I7948">_xlfn.STDEV.P(IF(Table1[IndicatorCode]=Table1[[#This Row],[IndicatorCode]],Table1[value]))</f>
        <v>6.3409496564024987</v>
      </c>
      <c r="J7948">
        <f>(Table1[[#This Row],[value]] - Table1[[#This Row],[mean]]) / Table1[[#This Row],[std_dev]]</f>
        <v>0.99903961662852192</v>
      </c>
      <c r="K7948">
        <f>AVERAGEIF(Table1[CountryCode],Table1[[#This Row],[CountryCode]],Table1[z-score])</f>
        <v>-1.226846632548898E-2</v>
      </c>
      <c r="L7948" t="e">
        <f>VLOOKUP(Table1[[#This Row],[CountryCode]],[1]!Table1[#All],1,FALSE)</f>
        <v>#REF!</v>
      </c>
    </row>
    <row r="7949" spans="1:12" hidden="1" x14ac:dyDescent="0.3">
      <c r="A7949" t="s">
        <v>31</v>
      </c>
      <c r="B7949" t="s">
        <v>32</v>
      </c>
      <c r="C7949" t="s">
        <v>129</v>
      </c>
      <c r="D7949" t="s">
        <v>130</v>
      </c>
      <c r="E7949">
        <v>2004</v>
      </c>
      <c r="F7949" s="1">
        <v>79</v>
      </c>
      <c r="G7949">
        <v>2000</v>
      </c>
      <c r="H7949">
        <f>AVERAGEIFS(Table1[value],Table1[IndicatorCode],Table1[[#This Row],[IndicatorCode]])</f>
        <v>72.66514008620689</v>
      </c>
      <c r="I7949" cm="1">
        <f t="array" ref="I7949">_xlfn.STDEV.P(IF(Table1[IndicatorCode]=Table1[[#This Row],[IndicatorCode]],Table1[value]))</f>
        <v>6.3409496564024987</v>
      </c>
      <c r="J7949">
        <f>(Table1[[#This Row],[value]] - Table1[[#This Row],[mean]]) / Table1[[#This Row],[std_dev]]</f>
        <v>0.99903961662852192</v>
      </c>
      <c r="K7949">
        <f>AVERAGEIF(Table1[CountryCode],Table1[[#This Row],[CountryCode]],Table1[z-score])</f>
        <v>-1.226846632548898E-2</v>
      </c>
      <c r="L7949" t="e">
        <f>VLOOKUP(Table1[[#This Row],[CountryCode]],[1]!Table1[#All],1,FALSE)</f>
        <v>#REF!</v>
      </c>
    </row>
    <row r="7950" spans="1:12" hidden="1" x14ac:dyDescent="0.3">
      <c r="A7950" t="s">
        <v>31</v>
      </c>
      <c r="B7950" t="s">
        <v>32</v>
      </c>
      <c r="C7950" t="s">
        <v>129</v>
      </c>
      <c r="D7950" t="s">
        <v>130</v>
      </c>
      <c r="E7950">
        <v>2005</v>
      </c>
      <c r="F7950" s="1">
        <v>79</v>
      </c>
      <c r="G7950">
        <v>2000</v>
      </c>
      <c r="H7950">
        <f>AVERAGEIFS(Table1[value],Table1[IndicatorCode],Table1[[#This Row],[IndicatorCode]])</f>
        <v>72.66514008620689</v>
      </c>
      <c r="I7950" cm="1">
        <f t="array" ref="I7950">_xlfn.STDEV.P(IF(Table1[IndicatorCode]=Table1[[#This Row],[IndicatorCode]],Table1[value]))</f>
        <v>6.3409496564024987</v>
      </c>
      <c r="J7950">
        <f>(Table1[[#This Row],[value]] - Table1[[#This Row],[mean]]) / Table1[[#This Row],[std_dev]]</f>
        <v>0.99903961662852192</v>
      </c>
      <c r="K7950">
        <f>AVERAGEIF(Table1[CountryCode],Table1[[#This Row],[CountryCode]],Table1[z-score])</f>
        <v>-1.226846632548898E-2</v>
      </c>
      <c r="L7950" t="e">
        <f>VLOOKUP(Table1[[#This Row],[CountryCode]],[1]!Table1[#All],1,FALSE)</f>
        <v>#REF!</v>
      </c>
    </row>
    <row r="7951" spans="1:12" hidden="1" x14ac:dyDescent="0.3">
      <c r="A7951" t="s">
        <v>31</v>
      </c>
      <c r="B7951" t="s">
        <v>32</v>
      </c>
      <c r="C7951" t="s">
        <v>129</v>
      </c>
      <c r="D7951" t="s">
        <v>130</v>
      </c>
      <c r="E7951">
        <v>2006</v>
      </c>
      <c r="F7951" s="1">
        <v>79</v>
      </c>
      <c r="G7951">
        <v>2000</v>
      </c>
      <c r="H7951">
        <f>AVERAGEIFS(Table1[value],Table1[IndicatorCode],Table1[[#This Row],[IndicatorCode]])</f>
        <v>72.66514008620689</v>
      </c>
      <c r="I7951" cm="1">
        <f t="array" ref="I7951">_xlfn.STDEV.P(IF(Table1[IndicatorCode]=Table1[[#This Row],[IndicatorCode]],Table1[value]))</f>
        <v>6.3409496564024987</v>
      </c>
      <c r="J7951">
        <f>(Table1[[#This Row],[value]] - Table1[[#This Row],[mean]]) / Table1[[#This Row],[std_dev]]</f>
        <v>0.99903961662852192</v>
      </c>
      <c r="K7951">
        <f>AVERAGEIF(Table1[CountryCode],Table1[[#This Row],[CountryCode]],Table1[z-score])</f>
        <v>-1.226846632548898E-2</v>
      </c>
      <c r="L7951" t="e">
        <f>VLOOKUP(Table1[[#This Row],[CountryCode]],[1]!Table1[#All],1,FALSE)</f>
        <v>#REF!</v>
      </c>
    </row>
    <row r="7952" spans="1:12" hidden="1" x14ac:dyDescent="0.3">
      <c r="A7952" t="s">
        <v>31</v>
      </c>
      <c r="B7952" t="s">
        <v>32</v>
      </c>
      <c r="C7952" t="s">
        <v>129</v>
      </c>
      <c r="D7952" t="s">
        <v>130</v>
      </c>
      <c r="E7952">
        <v>2007</v>
      </c>
      <c r="F7952" s="1">
        <v>80</v>
      </c>
      <c r="G7952">
        <v>2010</v>
      </c>
      <c r="H7952">
        <f>AVERAGEIFS(Table1[value],Table1[IndicatorCode],Table1[[#This Row],[IndicatorCode]])</f>
        <v>72.66514008620689</v>
      </c>
      <c r="I7952" cm="1">
        <f t="array" ref="I7952">_xlfn.STDEV.P(IF(Table1[IndicatorCode]=Table1[[#This Row],[IndicatorCode]],Table1[value]))</f>
        <v>6.3409496564024987</v>
      </c>
      <c r="J7952">
        <f>(Table1[[#This Row],[value]] - Table1[[#This Row],[mean]]) / Table1[[#This Row],[std_dev]]</f>
        <v>1.1567447009119609</v>
      </c>
      <c r="K7952">
        <f>AVERAGEIF(Table1[CountryCode],Table1[[#This Row],[CountryCode]],Table1[z-score])</f>
        <v>-1.226846632548898E-2</v>
      </c>
      <c r="L7952" t="e">
        <f>VLOOKUP(Table1[[#This Row],[CountryCode]],[1]!Table1[#All],1,FALSE)</f>
        <v>#REF!</v>
      </c>
    </row>
    <row r="7953" spans="1:12" hidden="1" x14ac:dyDescent="0.3">
      <c r="A7953" t="s">
        <v>31</v>
      </c>
      <c r="B7953" t="s">
        <v>32</v>
      </c>
      <c r="C7953" t="s">
        <v>129</v>
      </c>
      <c r="D7953" t="s">
        <v>130</v>
      </c>
      <c r="E7953">
        <v>2008</v>
      </c>
      <c r="F7953" s="1">
        <v>80</v>
      </c>
      <c r="G7953">
        <v>2010</v>
      </c>
      <c r="H7953">
        <f>AVERAGEIFS(Table1[value],Table1[IndicatorCode],Table1[[#This Row],[IndicatorCode]])</f>
        <v>72.66514008620689</v>
      </c>
      <c r="I7953" cm="1">
        <f t="array" ref="I7953">_xlfn.STDEV.P(IF(Table1[IndicatorCode]=Table1[[#This Row],[IndicatorCode]],Table1[value]))</f>
        <v>6.3409496564024987</v>
      </c>
      <c r="J7953">
        <f>(Table1[[#This Row],[value]] - Table1[[#This Row],[mean]]) / Table1[[#This Row],[std_dev]]</f>
        <v>1.1567447009119609</v>
      </c>
      <c r="K7953">
        <f>AVERAGEIF(Table1[CountryCode],Table1[[#This Row],[CountryCode]],Table1[z-score])</f>
        <v>-1.226846632548898E-2</v>
      </c>
      <c r="L7953" t="e">
        <f>VLOOKUP(Table1[[#This Row],[CountryCode]],[1]!Table1[#All],1,FALSE)</f>
        <v>#REF!</v>
      </c>
    </row>
    <row r="7954" spans="1:12" hidden="1" x14ac:dyDescent="0.3">
      <c r="A7954" t="s">
        <v>31</v>
      </c>
      <c r="B7954" t="s">
        <v>32</v>
      </c>
      <c r="C7954" t="s">
        <v>129</v>
      </c>
      <c r="D7954" t="s">
        <v>130</v>
      </c>
      <c r="E7954">
        <v>2009</v>
      </c>
      <c r="F7954" s="1">
        <v>80</v>
      </c>
      <c r="G7954">
        <v>2010</v>
      </c>
      <c r="H7954">
        <f>AVERAGEIFS(Table1[value],Table1[IndicatorCode],Table1[[#This Row],[IndicatorCode]])</f>
        <v>72.66514008620689</v>
      </c>
      <c r="I7954" cm="1">
        <f t="array" ref="I7954">_xlfn.STDEV.P(IF(Table1[IndicatorCode]=Table1[[#This Row],[IndicatorCode]],Table1[value]))</f>
        <v>6.3409496564024987</v>
      </c>
      <c r="J7954">
        <f>(Table1[[#This Row],[value]] - Table1[[#This Row],[mean]]) / Table1[[#This Row],[std_dev]]</f>
        <v>1.1567447009119609</v>
      </c>
      <c r="K7954">
        <f>AVERAGEIF(Table1[CountryCode],Table1[[#This Row],[CountryCode]],Table1[z-score])</f>
        <v>-1.226846632548898E-2</v>
      </c>
      <c r="L7954" t="e">
        <f>VLOOKUP(Table1[[#This Row],[CountryCode]],[1]!Table1[#All],1,FALSE)</f>
        <v>#REF!</v>
      </c>
    </row>
    <row r="7955" spans="1:12" hidden="1" x14ac:dyDescent="0.3">
      <c r="A7955" t="s">
        <v>31</v>
      </c>
      <c r="B7955" t="s">
        <v>32</v>
      </c>
      <c r="C7955" t="s">
        <v>129</v>
      </c>
      <c r="D7955" t="s">
        <v>130</v>
      </c>
      <c r="E7955">
        <v>2010</v>
      </c>
      <c r="F7955" s="1">
        <v>81</v>
      </c>
      <c r="G7955">
        <v>2010</v>
      </c>
      <c r="H7955">
        <f>AVERAGEIFS(Table1[value],Table1[IndicatorCode],Table1[[#This Row],[IndicatorCode]])</f>
        <v>72.66514008620689</v>
      </c>
      <c r="I7955" cm="1">
        <f t="array" ref="I7955">_xlfn.STDEV.P(IF(Table1[IndicatorCode]=Table1[[#This Row],[IndicatorCode]],Table1[value]))</f>
        <v>6.3409496564024987</v>
      </c>
      <c r="J7955">
        <f>(Table1[[#This Row],[value]] - Table1[[#This Row],[mean]]) / Table1[[#This Row],[std_dev]]</f>
        <v>1.3144497851954</v>
      </c>
      <c r="K7955">
        <f>AVERAGEIF(Table1[CountryCode],Table1[[#This Row],[CountryCode]],Table1[z-score])</f>
        <v>-1.226846632548898E-2</v>
      </c>
      <c r="L7955" t="e">
        <f>VLOOKUP(Table1[[#This Row],[CountryCode]],[1]!Table1[#All],1,FALSE)</f>
        <v>#REF!</v>
      </c>
    </row>
    <row r="7956" spans="1:12" hidden="1" x14ac:dyDescent="0.3">
      <c r="A7956" t="s">
        <v>31</v>
      </c>
      <c r="B7956" t="s">
        <v>32</v>
      </c>
      <c r="C7956" t="s">
        <v>129</v>
      </c>
      <c r="D7956" t="s">
        <v>130</v>
      </c>
      <c r="E7956">
        <v>2011</v>
      </c>
      <c r="F7956" s="1">
        <v>81</v>
      </c>
      <c r="G7956">
        <v>2010</v>
      </c>
      <c r="H7956">
        <f>AVERAGEIFS(Table1[value],Table1[IndicatorCode],Table1[[#This Row],[IndicatorCode]])</f>
        <v>72.66514008620689</v>
      </c>
      <c r="I7956" cm="1">
        <f t="array" ref="I7956">_xlfn.STDEV.P(IF(Table1[IndicatorCode]=Table1[[#This Row],[IndicatorCode]],Table1[value]))</f>
        <v>6.3409496564024987</v>
      </c>
      <c r="J7956">
        <f>(Table1[[#This Row],[value]] - Table1[[#This Row],[mean]]) / Table1[[#This Row],[std_dev]]</f>
        <v>1.3144497851954</v>
      </c>
      <c r="K7956">
        <f>AVERAGEIF(Table1[CountryCode],Table1[[#This Row],[CountryCode]],Table1[z-score])</f>
        <v>-1.226846632548898E-2</v>
      </c>
      <c r="L7956" t="e">
        <f>VLOOKUP(Table1[[#This Row],[CountryCode]],[1]!Table1[#All],1,FALSE)</f>
        <v>#REF!</v>
      </c>
    </row>
    <row r="7957" spans="1:12" hidden="1" x14ac:dyDescent="0.3">
      <c r="A7957" t="s">
        <v>31</v>
      </c>
      <c r="B7957" t="s">
        <v>32</v>
      </c>
      <c r="C7957" t="s">
        <v>129</v>
      </c>
      <c r="D7957" t="s">
        <v>130</v>
      </c>
      <c r="E7957">
        <v>2012</v>
      </c>
      <c r="F7957" s="1">
        <v>81</v>
      </c>
      <c r="G7957">
        <v>2010</v>
      </c>
      <c r="H7957">
        <f>AVERAGEIFS(Table1[value],Table1[IndicatorCode],Table1[[#This Row],[IndicatorCode]])</f>
        <v>72.66514008620689</v>
      </c>
      <c r="I7957" cm="1">
        <f t="array" ref="I7957">_xlfn.STDEV.P(IF(Table1[IndicatorCode]=Table1[[#This Row],[IndicatorCode]],Table1[value]))</f>
        <v>6.3409496564024987</v>
      </c>
      <c r="J7957">
        <f>(Table1[[#This Row],[value]] - Table1[[#This Row],[mean]]) / Table1[[#This Row],[std_dev]]</f>
        <v>1.3144497851954</v>
      </c>
      <c r="K7957">
        <f>AVERAGEIF(Table1[CountryCode],Table1[[#This Row],[CountryCode]],Table1[z-score])</f>
        <v>-1.226846632548898E-2</v>
      </c>
      <c r="L7957" t="e">
        <f>VLOOKUP(Table1[[#This Row],[CountryCode]],[1]!Table1[#All],1,FALSE)</f>
        <v>#REF!</v>
      </c>
    </row>
    <row r="7958" spans="1:12" hidden="1" x14ac:dyDescent="0.3">
      <c r="A7958" t="s">
        <v>31</v>
      </c>
      <c r="B7958" t="s">
        <v>32</v>
      </c>
      <c r="C7958" t="s">
        <v>129</v>
      </c>
      <c r="D7958" t="s">
        <v>130</v>
      </c>
      <c r="E7958">
        <v>2013</v>
      </c>
      <c r="F7958" s="1">
        <v>81</v>
      </c>
      <c r="G7958">
        <v>2010</v>
      </c>
      <c r="H7958">
        <f>AVERAGEIFS(Table1[value],Table1[IndicatorCode],Table1[[#This Row],[IndicatorCode]])</f>
        <v>72.66514008620689</v>
      </c>
      <c r="I7958" cm="1">
        <f t="array" ref="I7958">_xlfn.STDEV.P(IF(Table1[IndicatorCode]=Table1[[#This Row],[IndicatorCode]],Table1[value]))</f>
        <v>6.3409496564024987</v>
      </c>
      <c r="J7958">
        <f>(Table1[[#This Row],[value]] - Table1[[#This Row],[mean]]) / Table1[[#This Row],[std_dev]]</f>
        <v>1.3144497851954</v>
      </c>
      <c r="K7958">
        <f>AVERAGEIF(Table1[CountryCode],Table1[[#This Row],[CountryCode]],Table1[z-score])</f>
        <v>-1.226846632548898E-2</v>
      </c>
      <c r="L7958" t="e">
        <f>VLOOKUP(Table1[[#This Row],[CountryCode]],[1]!Table1[#All],1,FALSE)</f>
        <v>#REF!</v>
      </c>
    </row>
    <row r="7959" spans="1:12" hidden="1" x14ac:dyDescent="0.3">
      <c r="A7959" t="s">
        <v>31</v>
      </c>
      <c r="B7959" t="s">
        <v>32</v>
      </c>
      <c r="C7959" t="s">
        <v>129</v>
      </c>
      <c r="D7959" t="s">
        <v>130</v>
      </c>
      <c r="E7959">
        <v>2014</v>
      </c>
      <c r="F7959" s="1">
        <v>81</v>
      </c>
      <c r="G7959">
        <v>2010</v>
      </c>
      <c r="H7959">
        <f>AVERAGEIFS(Table1[value],Table1[IndicatorCode],Table1[[#This Row],[IndicatorCode]])</f>
        <v>72.66514008620689</v>
      </c>
      <c r="I7959" cm="1">
        <f t="array" ref="I7959">_xlfn.STDEV.P(IF(Table1[IndicatorCode]=Table1[[#This Row],[IndicatorCode]],Table1[value]))</f>
        <v>6.3409496564024987</v>
      </c>
      <c r="J7959">
        <f>(Table1[[#This Row],[value]] - Table1[[#This Row],[mean]]) / Table1[[#This Row],[std_dev]]</f>
        <v>1.3144497851954</v>
      </c>
      <c r="K7959">
        <f>AVERAGEIF(Table1[CountryCode],Table1[[#This Row],[CountryCode]],Table1[z-score])</f>
        <v>-1.226846632548898E-2</v>
      </c>
      <c r="L7959" t="e">
        <f>VLOOKUP(Table1[[#This Row],[CountryCode]],[1]!Table1[#All],1,FALSE)</f>
        <v>#REF!</v>
      </c>
    </row>
    <row r="7960" spans="1:12" hidden="1" x14ac:dyDescent="0.3">
      <c r="A7960" t="s">
        <v>31</v>
      </c>
      <c r="B7960" t="s">
        <v>32</v>
      </c>
      <c r="C7960" t="s">
        <v>129</v>
      </c>
      <c r="D7960" t="s">
        <v>130</v>
      </c>
      <c r="E7960">
        <v>2015</v>
      </c>
      <c r="F7960" s="1">
        <v>81</v>
      </c>
      <c r="G7960">
        <v>2010</v>
      </c>
      <c r="H7960">
        <f>AVERAGEIFS(Table1[value],Table1[IndicatorCode],Table1[[#This Row],[IndicatorCode]])</f>
        <v>72.66514008620689</v>
      </c>
      <c r="I7960" cm="1">
        <f t="array" ref="I7960">_xlfn.STDEV.P(IF(Table1[IndicatorCode]=Table1[[#This Row],[IndicatorCode]],Table1[value]))</f>
        <v>6.3409496564024987</v>
      </c>
      <c r="J7960">
        <f>(Table1[[#This Row],[value]] - Table1[[#This Row],[mean]]) / Table1[[#This Row],[std_dev]]</f>
        <v>1.3144497851954</v>
      </c>
      <c r="K7960">
        <f>AVERAGEIF(Table1[CountryCode],Table1[[#This Row],[CountryCode]],Table1[z-score])</f>
        <v>-1.226846632548898E-2</v>
      </c>
      <c r="L7960" t="e">
        <f>VLOOKUP(Table1[[#This Row],[CountryCode]],[1]!Table1[#All],1,FALSE)</f>
        <v>#REF!</v>
      </c>
    </row>
    <row r="7961" spans="1:12" hidden="1" x14ac:dyDescent="0.3">
      <c r="A7961" t="s">
        <v>31</v>
      </c>
      <c r="B7961" t="s">
        <v>32</v>
      </c>
      <c r="C7961" t="s">
        <v>129</v>
      </c>
      <c r="D7961" t="s">
        <v>130</v>
      </c>
      <c r="E7961">
        <v>2016</v>
      </c>
      <c r="F7961" s="1">
        <v>82</v>
      </c>
      <c r="G7961">
        <v>2010</v>
      </c>
      <c r="H7961">
        <f>AVERAGEIFS(Table1[value],Table1[IndicatorCode],Table1[[#This Row],[IndicatorCode]])</f>
        <v>72.66514008620689</v>
      </c>
      <c r="I7961" cm="1">
        <f t="array" ref="I7961">_xlfn.STDEV.P(IF(Table1[IndicatorCode]=Table1[[#This Row],[IndicatorCode]],Table1[value]))</f>
        <v>6.3409496564024987</v>
      </c>
      <c r="J7961">
        <f>(Table1[[#This Row],[value]] - Table1[[#This Row],[mean]]) / Table1[[#This Row],[std_dev]]</f>
        <v>1.4721548694788391</v>
      </c>
      <c r="K7961">
        <f>AVERAGEIF(Table1[CountryCode],Table1[[#This Row],[CountryCode]],Table1[z-score])</f>
        <v>-1.226846632548898E-2</v>
      </c>
      <c r="L7961" t="e">
        <f>VLOOKUP(Table1[[#This Row],[CountryCode]],[1]!Table1[#All],1,FALSE)</f>
        <v>#REF!</v>
      </c>
    </row>
    <row r="7962" spans="1:12" hidden="1" x14ac:dyDescent="0.3">
      <c r="A7962" t="s">
        <v>31</v>
      </c>
      <c r="B7962" t="s">
        <v>32</v>
      </c>
      <c r="C7962" t="s">
        <v>129</v>
      </c>
      <c r="D7962" t="s">
        <v>130</v>
      </c>
      <c r="E7962">
        <v>2017</v>
      </c>
      <c r="F7962" s="1">
        <v>82</v>
      </c>
      <c r="G7962">
        <v>2020</v>
      </c>
      <c r="H7962">
        <f>AVERAGEIFS(Table1[value],Table1[IndicatorCode],Table1[[#This Row],[IndicatorCode]])</f>
        <v>72.66514008620689</v>
      </c>
      <c r="I7962" cm="1">
        <f t="array" ref="I7962">_xlfn.STDEV.P(IF(Table1[IndicatorCode]=Table1[[#This Row],[IndicatorCode]],Table1[value]))</f>
        <v>6.3409496564024987</v>
      </c>
      <c r="J7962">
        <f>(Table1[[#This Row],[value]] - Table1[[#This Row],[mean]]) / Table1[[#This Row],[std_dev]]</f>
        <v>1.4721548694788391</v>
      </c>
      <c r="K7962">
        <f>AVERAGEIF(Table1[CountryCode],Table1[[#This Row],[CountryCode]],Table1[z-score])</f>
        <v>-1.226846632548898E-2</v>
      </c>
      <c r="L7962" t="e">
        <f>VLOOKUP(Table1[[#This Row],[CountryCode]],[1]!Table1[#All],1,FALSE)</f>
        <v>#REF!</v>
      </c>
    </row>
    <row r="7963" spans="1:12" hidden="1" x14ac:dyDescent="0.3">
      <c r="A7963" t="s">
        <v>31</v>
      </c>
      <c r="B7963" t="s">
        <v>32</v>
      </c>
      <c r="C7963" t="s">
        <v>129</v>
      </c>
      <c r="D7963" t="s">
        <v>130</v>
      </c>
      <c r="E7963">
        <v>2018</v>
      </c>
      <c r="F7963" s="1">
        <v>82</v>
      </c>
      <c r="G7963">
        <v>2020</v>
      </c>
      <c r="H7963">
        <f>AVERAGEIFS(Table1[value],Table1[IndicatorCode],Table1[[#This Row],[IndicatorCode]])</f>
        <v>72.66514008620689</v>
      </c>
      <c r="I7963" cm="1">
        <f t="array" ref="I7963">_xlfn.STDEV.P(IF(Table1[IndicatorCode]=Table1[[#This Row],[IndicatorCode]],Table1[value]))</f>
        <v>6.3409496564024987</v>
      </c>
      <c r="J7963">
        <f>(Table1[[#This Row],[value]] - Table1[[#This Row],[mean]]) / Table1[[#This Row],[std_dev]]</f>
        <v>1.4721548694788391</v>
      </c>
      <c r="K7963">
        <f>AVERAGEIF(Table1[CountryCode],Table1[[#This Row],[CountryCode]],Table1[z-score])</f>
        <v>-1.226846632548898E-2</v>
      </c>
      <c r="L7963" t="e">
        <f>VLOOKUP(Table1[[#This Row],[CountryCode]],[1]!Table1[#All],1,FALSE)</f>
        <v>#REF!</v>
      </c>
    </row>
    <row r="7964" spans="1:12" hidden="1" x14ac:dyDescent="0.3">
      <c r="A7964" t="s">
        <v>31</v>
      </c>
      <c r="B7964" t="s">
        <v>32</v>
      </c>
      <c r="C7964" t="s">
        <v>129</v>
      </c>
      <c r="D7964" t="s">
        <v>130</v>
      </c>
      <c r="E7964">
        <v>2019</v>
      </c>
      <c r="F7964" s="1">
        <v>81</v>
      </c>
      <c r="G7964">
        <v>2020</v>
      </c>
      <c r="H7964">
        <f>AVERAGEIFS(Table1[value],Table1[IndicatorCode],Table1[[#This Row],[IndicatorCode]])</f>
        <v>72.66514008620689</v>
      </c>
      <c r="I7964" cm="1">
        <f t="array" ref="I7964">_xlfn.STDEV.P(IF(Table1[IndicatorCode]=Table1[[#This Row],[IndicatorCode]],Table1[value]))</f>
        <v>6.3409496564024987</v>
      </c>
      <c r="J7964">
        <f>(Table1[[#This Row],[value]] - Table1[[#This Row],[mean]]) / Table1[[#This Row],[std_dev]]</f>
        <v>1.3144497851954</v>
      </c>
      <c r="K7964">
        <f>AVERAGEIF(Table1[CountryCode],Table1[[#This Row],[CountryCode]],Table1[z-score])</f>
        <v>-1.226846632548898E-2</v>
      </c>
      <c r="L7964" t="e">
        <f>VLOOKUP(Table1[[#This Row],[CountryCode]],[1]!Table1[#All],1,FALSE)</f>
        <v>#REF!</v>
      </c>
    </row>
    <row r="7965" spans="1:12" x14ac:dyDescent="0.3">
      <c r="A7965" t="s">
        <v>31</v>
      </c>
      <c r="B7965" t="s">
        <v>32</v>
      </c>
      <c r="C7965" t="s">
        <v>129</v>
      </c>
      <c r="D7965" t="s">
        <v>130</v>
      </c>
      <c r="E7965">
        <v>2020</v>
      </c>
      <c r="F7965" s="1">
        <v>81</v>
      </c>
      <c r="G7965">
        <v>2020</v>
      </c>
      <c r="H7965">
        <f>AVERAGEIFS(Table1[value],Table1[IndicatorCode],Table1[[#This Row],[IndicatorCode]])</f>
        <v>72.66514008620689</v>
      </c>
      <c r="I7965" cm="1">
        <f t="array" ref="I7965">_xlfn.STDEV.P(IF(Table1[IndicatorCode]=Table1[[#This Row],[IndicatorCode]],Table1[value]))</f>
        <v>6.3409496564024987</v>
      </c>
      <c r="J7965">
        <f>(Table1[[#This Row],[value]] - Table1[[#This Row],[mean]]) / Table1[[#This Row],[std_dev]]</f>
        <v>1.3144497851954</v>
      </c>
      <c r="K7965">
        <f>AVERAGEIF(Table1[CountryCode],Table1[[#This Row],[CountryCode]],Table1[z-score])</f>
        <v>-1.226846632548898E-2</v>
      </c>
    </row>
    <row r="7966" spans="1:12" hidden="1" x14ac:dyDescent="0.3">
      <c r="A7966" t="s">
        <v>31</v>
      </c>
      <c r="B7966" t="s">
        <v>32</v>
      </c>
      <c r="C7966" t="s">
        <v>129</v>
      </c>
      <c r="D7966" t="s">
        <v>130</v>
      </c>
      <c r="E7966">
        <v>2021</v>
      </c>
      <c r="F7966" s="1">
        <v>81</v>
      </c>
      <c r="G7966">
        <v>1960</v>
      </c>
      <c r="H7966">
        <f>AVERAGEIFS(Table1[value],Table1[IndicatorCode],Table1[[#This Row],[IndicatorCode]])</f>
        <v>72.66514008620689</v>
      </c>
      <c r="I7966" cm="1">
        <f t="array" ref="I7966">_xlfn.STDEV.P(IF(Table1[IndicatorCode]=Table1[[#This Row],[IndicatorCode]],Table1[value]))</f>
        <v>6.3409496564024987</v>
      </c>
      <c r="J7966">
        <f>(Table1[[#This Row],[value]] - Table1[[#This Row],[mean]]) / Table1[[#This Row],[std_dev]]</f>
        <v>1.3144497851954</v>
      </c>
      <c r="K7966">
        <f>AVERAGEIF(Table1[CountryCode],Table1[[#This Row],[CountryCode]],Table1[z-score])</f>
        <v>-1.226846632548898E-2</v>
      </c>
      <c r="L7966" t="e">
        <f>VLOOKUP(Table1[[#This Row],[CountryCode]],[1]!Table1[#All],1,FALSE)</f>
        <v>#REF!</v>
      </c>
    </row>
    <row r="7967" spans="1:12" hidden="1" x14ac:dyDescent="0.3">
      <c r="A7967" t="s">
        <v>31</v>
      </c>
      <c r="B7967" t="s">
        <v>32</v>
      </c>
      <c r="C7967" t="s">
        <v>129</v>
      </c>
      <c r="D7967" t="s">
        <v>130</v>
      </c>
      <c r="E7967">
        <v>2022</v>
      </c>
      <c r="F7967" s="1">
        <v>80</v>
      </c>
      <c r="G7967">
        <v>1960</v>
      </c>
      <c r="H7967">
        <f>AVERAGEIFS(Table1[value],Table1[IndicatorCode],Table1[[#This Row],[IndicatorCode]])</f>
        <v>72.66514008620689</v>
      </c>
      <c r="I7967" cm="1">
        <f t="array" ref="I7967">_xlfn.STDEV.P(IF(Table1[IndicatorCode]=Table1[[#This Row],[IndicatorCode]],Table1[value]))</f>
        <v>6.3409496564024987</v>
      </c>
      <c r="J7967">
        <f>(Table1[[#This Row],[value]] - Table1[[#This Row],[mean]]) / Table1[[#This Row],[std_dev]]</f>
        <v>1.1567447009119609</v>
      </c>
      <c r="K7967">
        <f>AVERAGEIF(Table1[CountryCode],Table1[[#This Row],[CountryCode]],Table1[z-score])</f>
        <v>-1.226846632548898E-2</v>
      </c>
      <c r="L7967" t="e">
        <f>VLOOKUP(Table1[[#This Row],[CountryCode]],[1]!Table1[#All],1,FALSE)</f>
        <v>#REF!</v>
      </c>
    </row>
    <row r="7968" spans="1:12" hidden="1" x14ac:dyDescent="0.3">
      <c r="A7968" t="s">
        <v>31</v>
      </c>
      <c r="B7968" t="s">
        <v>32</v>
      </c>
      <c r="C7968" t="s">
        <v>129</v>
      </c>
      <c r="D7968" t="s">
        <v>130</v>
      </c>
      <c r="E7968">
        <v>2023</v>
      </c>
      <c r="F7968" s="1">
        <v>82</v>
      </c>
      <c r="G7968">
        <v>1960</v>
      </c>
      <c r="H7968">
        <f>AVERAGEIFS(Table1[value],Table1[IndicatorCode],Table1[[#This Row],[IndicatorCode]])</f>
        <v>72.66514008620689</v>
      </c>
      <c r="I7968" cm="1">
        <f t="array" ref="I7968">_xlfn.STDEV.P(IF(Table1[IndicatorCode]=Table1[[#This Row],[IndicatorCode]],Table1[value]))</f>
        <v>6.3409496564024987</v>
      </c>
      <c r="J7968">
        <f>(Table1[[#This Row],[value]] - Table1[[#This Row],[mean]]) / Table1[[#This Row],[std_dev]]</f>
        <v>1.4721548694788391</v>
      </c>
      <c r="K7968">
        <f>AVERAGEIF(Table1[CountryCode],Table1[[#This Row],[CountryCode]],Table1[z-score])</f>
        <v>-1.226846632548898E-2</v>
      </c>
      <c r="L7968" t="e">
        <f>VLOOKUP(Table1[[#This Row],[CountryCode]],[1]!Table1[#All],1,FALSE)</f>
        <v>#REF!</v>
      </c>
    </row>
    <row r="7969" spans="1:12" hidden="1" x14ac:dyDescent="0.3">
      <c r="A7969" t="s">
        <v>33</v>
      </c>
      <c r="B7969" t="s">
        <v>34</v>
      </c>
      <c r="C7969" t="s">
        <v>129</v>
      </c>
      <c r="D7969" t="s">
        <v>130</v>
      </c>
      <c r="E7969">
        <v>1960</v>
      </c>
      <c r="F7969" s="1">
        <v>70</v>
      </c>
      <c r="G7969">
        <v>1960</v>
      </c>
      <c r="H7969">
        <f>AVERAGEIFS(Table1[value],Table1[IndicatorCode],Table1[[#This Row],[IndicatorCode]])</f>
        <v>72.66514008620689</v>
      </c>
      <c r="I7969" cm="1">
        <f t="array" ref="I7969">_xlfn.STDEV.P(IF(Table1[IndicatorCode]=Table1[[#This Row],[IndicatorCode]],Table1[value]))</f>
        <v>6.3409496564024987</v>
      </c>
      <c r="J7969">
        <f>(Table1[[#This Row],[value]] - Table1[[#This Row],[mean]]) / Table1[[#This Row],[std_dev]]</f>
        <v>-0.4203061419224296</v>
      </c>
      <c r="K7969">
        <f>AVERAGEIF(Table1[CountryCode],Table1[[#This Row],[CountryCode]],Table1[z-score])</f>
        <v>0.38305593592472742</v>
      </c>
      <c r="L7969" t="e">
        <f>VLOOKUP(Table1[[#This Row],[CountryCode]],[1]!Table1[#All],1,FALSE)</f>
        <v>#REF!</v>
      </c>
    </row>
    <row r="7970" spans="1:12" hidden="1" x14ac:dyDescent="0.3">
      <c r="A7970" t="s">
        <v>33</v>
      </c>
      <c r="B7970" t="s">
        <v>34</v>
      </c>
      <c r="C7970" t="s">
        <v>129</v>
      </c>
      <c r="D7970" t="s">
        <v>130</v>
      </c>
      <c r="E7970">
        <v>1961</v>
      </c>
      <c r="F7970" s="1">
        <v>71</v>
      </c>
      <c r="G7970">
        <v>1960</v>
      </c>
      <c r="H7970">
        <f>AVERAGEIFS(Table1[value],Table1[IndicatorCode],Table1[[#This Row],[IndicatorCode]])</f>
        <v>72.66514008620689</v>
      </c>
      <c r="I7970" cm="1">
        <f t="array" ref="I7970">_xlfn.STDEV.P(IF(Table1[IndicatorCode]=Table1[[#This Row],[IndicatorCode]],Table1[value]))</f>
        <v>6.3409496564024987</v>
      </c>
      <c r="J7970">
        <f>(Table1[[#This Row],[value]] - Table1[[#This Row],[mean]]) / Table1[[#This Row],[std_dev]]</f>
        <v>-0.2626010576389905</v>
      </c>
      <c r="K7970">
        <f>AVERAGEIF(Table1[CountryCode],Table1[[#This Row],[CountryCode]],Table1[z-score])</f>
        <v>0.38305593592472742</v>
      </c>
      <c r="L7970" t="e">
        <f>VLOOKUP(Table1[[#This Row],[CountryCode]],[1]!Table1[#All],1,FALSE)</f>
        <v>#REF!</v>
      </c>
    </row>
    <row r="7971" spans="1:12" hidden="1" x14ac:dyDescent="0.3">
      <c r="A7971" t="s">
        <v>33</v>
      </c>
      <c r="B7971" t="s">
        <v>34</v>
      </c>
      <c r="C7971" t="s">
        <v>129</v>
      </c>
      <c r="D7971" t="s">
        <v>130</v>
      </c>
      <c r="E7971">
        <v>1962</v>
      </c>
      <c r="F7971" s="1">
        <v>70</v>
      </c>
      <c r="G7971">
        <v>1960</v>
      </c>
      <c r="H7971">
        <f>AVERAGEIFS(Table1[value],Table1[IndicatorCode],Table1[[#This Row],[IndicatorCode]])</f>
        <v>72.66514008620689</v>
      </c>
      <c r="I7971" cm="1">
        <f t="array" ref="I7971">_xlfn.STDEV.P(IF(Table1[IndicatorCode]=Table1[[#This Row],[IndicatorCode]],Table1[value]))</f>
        <v>6.3409496564024987</v>
      </c>
      <c r="J7971">
        <f>(Table1[[#This Row],[value]] - Table1[[#This Row],[mean]]) / Table1[[#This Row],[std_dev]]</f>
        <v>-0.4203061419224296</v>
      </c>
      <c r="K7971">
        <f>AVERAGEIF(Table1[CountryCode],Table1[[#This Row],[CountryCode]],Table1[z-score])</f>
        <v>0.38305593592472742</v>
      </c>
      <c r="L7971" t="e">
        <f>VLOOKUP(Table1[[#This Row],[CountryCode]],[1]!Table1[#All],1,FALSE)</f>
        <v>#REF!</v>
      </c>
    </row>
    <row r="7972" spans="1:12" hidden="1" x14ac:dyDescent="0.3">
      <c r="A7972" t="s">
        <v>33</v>
      </c>
      <c r="B7972" t="s">
        <v>34</v>
      </c>
      <c r="C7972" t="s">
        <v>129</v>
      </c>
      <c r="D7972" t="s">
        <v>130</v>
      </c>
      <c r="E7972">
        <v>1963</v>
      </c>
      <c r="F7972" s="1">
        <v>70</v>
      </c>
      <c r="G7972">
        <v>1960</v>
      </c>
      <c r="H7972">
        <f>AVERAGEIFS(Table1[value],Table1[IndicatorCode],Table1[[#This Row],[IndicatorCode]])</f>
        <v>72.66514008620689</v>
      </c>
      <c r="I7972" cm="1">
        <f t="array" ref="I7972">_xlfn.STDEV.P(IF(Table1[IndicatorCode]=Table1[[#This Row],[IndicatorCode]],Table1[value]))</f>
        <v>6.3409496564024987</v>
      </c>
      <c r="J7972">
        <f>(Table1[[#This Row],[value]] - Table1[[#This Row],[mean]]) / Table1[[#This Row],[std_dev]]</f>
        <v>-0.4203061419224296</v>
      </c>
      <c r="K7972">
        <f>AVERAGEIF(Table1[CountryCode],Table1[[#This Row],[CountryCode]],Table1[z-score])</f>
        <v>0.38305593592472742</v>
      </c>
      <c r="L7972" t="e">
        <f>VLOOKUP(Table1[[#This Row],[CountryCode]],[1]!Table1[#All],1,FALSE)</f>
        <v>#REF!</v>
      </c>
    </row>
    <row r="7973" spans="1:12" hidden="1" x14ac:dyDescent="0.3">
      <c r="A7973" t="s">
        <v>33</v>
      </c>
      <c r="B7973" t="s">
        <v>34</v>
      </c>
      <c r="C7973" t="s">
        <v>129</v>
      </c>
      <c r="D7973" t="s">
        <v>130</v>
      </c>
      <c r="E7973">
        <v>1964</v>
      </c>
      <c r="F7973" s="1">
        <v>70</v>
      </c>
      <c r="G7973">
        <v>1960</v>
      </c>
      <c r="H7973">
        <f>AVERAGEIFS(Table1[value],Table1[IndicatorCode],Table1[[#This Row],[IndicatorCode]])</f>
        <v>72.66514008620689</v>
      </c>
      <c r="I7973" cm="1">
        <f t="array" ref="I7973">_xlfn.STDEV.P(IF(Table1[IndicatorCode]=Table1[[#This Row],[IndicatorCode]],Table1[value]))</f>
        <v>6.3409496564024987</v>
      </c>
      <c r="J7973">
        <f>(Table1[[#This Row],[value]] - Table1[[#This Row],[mean]]) / Table1[[#This Row],[std_dev]]</f>
        <v>-0.4203061419224296</v>
      </c>
      <c r="K7973">
        <f>AVERAGEIF(Table1[CountryCode],Table1[[#This Row],[CountryCode]],Table1[z-score])</f>
        <v>0.38305593592472742</v>
      </c>
      <c r="L7973" t="e">
        <f>VLOOKUP(Table1[[#This Row],[CountryCode]],[1]!Table1[#All],1,FALSE)</f>
        <v>#REF!</v>
      </c>
    </row>
    <row r="7974" spans="1:12" hidden="1" x14ac:dyDescent="0.3">
      <c r="A7974" t="s">
        <v>33</v>
      </c>
      <c r="B7974" t="s">
        <v>34</v>
      </c>
      <c r="C7974" t="s">
        <v>129</v>
      </c>
      <c r="D7974" t="s">
        <v>130</v>
      </c>
      <c r="E7974">
        <v>1965</v>
      </c>
      <c r="F7974" s="1">
        <v>70</v>
      </c>
      <c r="G7974">
        <v>1960</v>
      </c>
      <c r="H7974">
        <f>AVERAGEIFS(Table1[value],Table1[IndicatorCode],Table1[[#This Row],[IndicatorCode]])</f>
        <v>72.66514008620689</v>
      </c>
      <c r="I7974" cm="1">
        <f t="array" ref="I7974">_xlfn.STDEV.P(IF(Table1[IndicatorCode]=Table1[[#This Row],[IndicatorCode]],Table1[value]))</f>
        <v>6.3409496564024987</v>
      </c>
      <c r="J7974">
        <f>(Table1[[#This Row],[value]] - Table1[[#This Row],[mean]]) / Table1[[#This Row],[std_dev]]</f>
        <v>-0.4203061419224296</v>
      </c>
      <c r="K7974">
        <f>AVERAGEIF(Table1[CountryCode],Table1[[#This Row],[CountryCode]],Table1[z-score])</f>
        <v>0.38305593592472742</v>
      </c>
      <c r="L7974" t="e">
        <f>VLOOKUP(Table1[[#This Row],[CountryCode]],[1]!Table1[#All],1,FALSE)</f>
        <v>#REF!</v>
      </c>
    </row>
    <row r="7975" spans="1:12" hidden="1" x14ac:dyDescent="0.3">
      <c r="A7975" t="s">
        <v>33</v>
      </c>
      <c r="B7975" t="s">
        <v>34</v>
      </c>
      <c r="C7975" t="s">
        <v>129</v>
      </c>
      <c r="D7975" t="s">
        <v>130</v>
      </c>
      <c r="E7975">
        <v>1966</v>
      </c>
      <c r="F7975" s="1">
        <v>70</v>
      </c>
      <c r="G7975">
        <v>1960</v>
      </c>
      <c r="H7975">
        <f>AVERAGEIFS(Table1[value],Table1[IndicatorCode],Table1[[#This Row],[IndicatorCode]])</f>
        <v>72.66514008620689</v>
      </c>
      <c r="I7975" cm="1">
        <f t="array" ref="I7975">_xlfn.STDEV.P(IF(Table1[IndicatorCode]=Table1[[#This Row],[IndicatorCode]],Table1[value]))</f>
        <v>6.3409496564024987</v>
      </c>
      <c r="J7975">
        <f>(Table1[[#This Row],[value]] - Table1[[#This Row],[mean]]) / Table1[[#This Row],[std_dev]]</f>
        <v>-0.4203061419224296</v>
      </c>
      <c r="K7975">
        <f>AVERAGEIF(Table1[CountryCode],Table1[[#This Row],[CountryCode]],Table1[z-score])</f>
        <v>0.38305593592472742</v>
      </c>
      <c r="L7975" t="e">
        <f>VLOOKUP(Table1[[#This Row],[CountryCode]],[1]!Table1[#All],1,FALSE)</f>
        <v>#REF!</v>
      </c>
    </row>
    <row r="7976" spans="1:12" hidden="1" x14ac:dyDescent="0.3">
      <c r="A7976" t="s">
        <v>33</v>
      </c>
      <c r="B7976" t="s">
        <v>34</v>
      </c>
      <c r="C7976" t="s">
        <v>129</v>
      </c>
      <c r="D7976" t="s">
        <v>130</v>
      </c>
      <c r="E7976">
        <v>1967</v>
      </c>
      <c r="F7976" s="1">
        <v>70</v>
      </c>
      <c r="G7976">
        <v>1970</v>
      </c>
      <c r="H7976">
        <f>AVERAGEIFS(Table1[value],Table1[IndicatorCode],Table1[[#This Row],[IndicatorCode]])</f>
        <v>72.66514008620689</v>
      </c>
      <c r="I7976" cm="1">
        <f t="array" ref="I7976">_xlfn.STDEV.P(IF(Table1[IndicatorCode]=Table1[[#This Row],[IndicatorCode]],Table1[value]))</f>
        <v>6.3409496564024987</v>
      </c>
      <c r="J7976">
        <f>(Table1[[#This Row],[value]] - Table1[[#This Row],[mean]]) / Table1[[#This Row],[std_dev]]</f>
        <v>-0.4203061419224296</v>
      </c>
      <c r="K7976">
        <f>AVERAGEIF(Table1[CountryCode],Table1[[#This Row],[CountryCode]],Table1[z-score])</f>
        <v>0.38305593592472742</v>
      </c>
      <c r="L7976" t="e">
        <f>VLOOKUP(Table1[[#This Row],[CountryCode]],[1]!Table1[#All],1,FALSE)</f>
        <v>#REF!</v>
      </c>
    </row>
    <row r="7977" spans="1:12" hidden="1" x14ac:dyDescent="0.3">
      <c r="A7977" t="s">
        <v>33</v>
      </c>
      <c r="B7977" t="s">
        <v>34</v>
      </c>
      <c r="C7977" t="s">
        <v>129</v>
      </c>
      <c r="D7977" t="s">
        <v>130</v>
      </c>
      <c r="E7977">
        <v>1968</v>
      </c>
      <c r="F7977" s="1">
        <v>70</v>
      </c>
      <c r="G7977">
        <v>1970</v>
      </c>
      <c r="H7977">
        <f>AVERAGEIFS(Table1[value],Table1[IndicatorCode],Table1[[#This Row],[IndicatorCode]])</f>
        <v>72.66514008620689</v>
      </c>
      <c r="I7977" cm="1">
        <f t="array" ref="I7977">_xlfn.STDEV.P(IF(Table1[IndicatorCode]=Table1[[#This Row],[IndicatorCode]],Table1[value]))</f>
        <v>6.3409496564024987</v>
      </c>
      <c r="J7977">
        <f>(Table1[[#This Row],[value]] - Table1[[#This Row],[mean]]) / Table1[[#This Row],[std_dev]]</f>
        <v>-0.4203061419224296</v>
      </c>
      <c r="K7977">
        <f>AVERAGEIF(Table1[CountryCode],Table1[[#This Row],[CountryCode]],Table1[z-score])</f>
        <v>0.38305593592472742</v>
      </c>
      <c r="L7977" t="e">
        <f>VLOOKUP(Table1[[#This Row],[CountryCode]],[1]!Table1[#All],1,FALSE)</f>
        <v>#REF!</v>
      </c>
    </row>
    <row r="7978" spans="1:12" hidden="1" x14ac:dyDescent="0.3">
      <c r="A7978" t="s">
        <v>33</v>
      </c>
      <c r="B7978" t="s">
        <v>34</v>
      </c>
      <c r="C7978" t="s">
        <v>129</v>
      </c>
      <c r="D7978" t="s">
        <v>130</v>
      </c>
      <c r="E7978">
        <v>1969</v>
      </c>
      <c r="F7978" s="1">
        <v>69</v>
      </c>
      <c r="G7978">
        <v>1970</v>
      </c>
      <c r="H7978">
        <f>AVERAGEIFS(Table1[value],Table1[IndicatorCode],Table1[[#This Row],[IndicatorCode]])</f>
        <v>72.66514008620689</v>
      </c>
      <c r="I7978" cm="1">
        <f t="array" ref="I7978">_xlfn.STDEV.P(IF(Table1[IndicatorCode]=Table1[[#This Row],[IndicatorCode]],Table1[value]))</f>
        <v>6.3409496564024987</v>
      </c>
      <c r="J7978">
        <f>(Table1[[#This Row],[value]] - Table1[[#This Row],[mean]]) / Table1[[#This Row],[std_dev]]</f>
        <v>-0.57801122620586864</v>
      </c>
      <c r="K7978">
        <f>AVERAGEIF(Table1[CountryCode],Table1[[#This Row],[CountryCode]],Table1[z-score])</f>
        <v>0.38305593592472742</v>
      </c>
      <c r="L7978" t="e">
        <f>VLOOKUP(Table1[[#This Row],[CountryCode]],[1]!Table1[#All],1,FALSE)</f>
        <v>#REF!</v>
      </c>
    </row>
    <row r="7979" spans="1:12" hidden="1" x14ac:dyDescent="0.3">
      <c r="A7979" t="s">
        <v>33</v>
      </c>
      <c r="B7979" t="s">
        <v>34</v>
      </c>
      <c r="C7979" t="s">
        <v>129</v>
      </c>
      <c r="D7979" t="s">
        <v>130</v>
      </c>
      <c r="E7979">
        <v>1970</v>
      </c>
      <c r="F7979" s="1">
        <v>69</v>
      </c>
      <c r="G7979">
        <v>1970</v>
      </c>
      <c r="H7979">
        <f>AVERAGEIFS(Table1[value],Table1[IndicatorCode],Table1[[#This Row],[IndicatorCode]])</f>
        <v>72.66514008620689</v>
      </c>
      <c r="I7979" cm="1">
        <f t="array" ref="I7979">_xlfn.STDEV.P(IF(Table1[IndicatorCode]=Table1[[#This Row],[IndicatorCode]],Table1[value]))</f>
        <v>6.3409496564024987</v>
      </c>
      <c r="J7979">
        <f>(Table1[[#This Row],[value]] - Table1[[#This Row],[mean]]) / Table1[[#This Row],[std_dev]]</f>
        <v>-0.57801122620586864</v>
      </c>
      <c r="K7979">
        <f>AVERAGEIF(Table1[CountryCode],Table1[[#This Row],[CountryCode]],Table1[z-score])</f>
        <v>0.38305593592472742</v>
      </c>
      <c r="L7979" t="e">
        <f>VLOOKUP(Table1[[#This Row],[CountryCode]],[1]!Table1[#All],1,FALSE)</f>
        <v>#REF!</v>
      </c>
    </row>
    <row r="7980" spans="1:12" hidden="1" x14ac:dyDescent="0.3">
      <c r="A7980" t="s">
        <v>33</v>
      </c>
      <c r="B7980" t="s">
        <v>34</v>
      </c>
      <c r="C7980" t="s">
        <v>129</v>
      </c>
      <c r="D7980" t="s">
        <v>130</v>
      </c>
      <c r="E7980">
        <v>1971</v>
      </c>
      <c r="F7980" s="1">
        <v>70</v>
      </c>
      <c r="G7980">
        <v>1970</v>
      </c>
      <c r="H7980">
        <f>AVERAGEIFS(Table1[value],Table1[IndicatorCode],Table1[[#This Row],[IndicatorCode]])</f>
        <v>72.66514008620689</v>
      </c>
      <c r="I7980" cm="1">
        <f t="array" ref="I7980">_xlfn.STDEV.P(IF(Table1[IndicatorCode]=Table1[[#This Row],[IndicatorCode]],Table1[value]))</f>
        <v>6.3409496564024987</v>
      </c>
      <c r="J7980">
        <f>(Table1[[#This Row],[value]] - Table1[[#This Row],[mean]]) / Table1[[#This Row],[std_dev]]</f>
        <v>-0.4203061419224296</v>
      </c>
      <c r="K7980">
        <f>AVERAGEIF(Table1[CountryCode],Table1[[#This Row],[CountryCode]],Table1[z-score])</f>
        <v>0.38305593592472742</v>
      </c>
      <c r="L7980" t="e">
        <f>VLOOKUP(Table1[[#This Row],[CountryCode]],[1]!Table1[#All],1,FALSE)</f>
        <v>#REF!</v>
      </c>
    </row>
    <row r="7981" spans="1:12" hidden="1" x14ac:dyDescent="0.3">
      <c r="A7981" t="s">
        <v>33</v>
      </c>
      <c r="B7981" t="s">
        <v>34</v>
      </c>
      <c r="C7981" t="s">
        <v>129</v>
      </c>
      <c r="D7981" t="s">
        <v>130</v>
      </c>
      <c r="E7981">
        <v>1972</v>
      </c>
      <c r="F7981" s="1">
        <v>70</v>
      </c>
      <c r="G7981">
        <v>1970</v>
      </c>
      <c r="H7981">
        <f>AVERAGEIFS(Table1[value],Table1[IndicatorCode],Table1[[#This Row],[IndicatorCode]])</f>
        <v>72.66514008620689</v>
      </c>
      <c r="I7981" cm="1">
        <f t="array" ref="I7981">_xlfn.STDEV.P(IF(Table1[IndicatorCode]=Table1[[#This Row],[IndicatorCode]],Table1[value]))</f>
        <v>6.3409496564024987</v>
      </c>
      <c r="J7981">
        <f>(Table1[[#This Row],[value]] - Table1[[#This Row],[mean]]) / Table1[[#This Row],[std_dev]]</f>
        <v>-0.4203061419224296</v>
      </c>
      <c r="K7981">
        <f>AVERAGEIF(Table1[CountryCode],Table1[[#This Row],[CountryCode]],Table1[z-score])</f>
        <v>0.38305593592472742</v>
      </c>
      <c r="L7981" t="e">
        <f>VLOOKUP(Table1[[#This Row],[CountryCode]],[1]!Table1[#All],1,FALSE)</f>
        <v>#REF!</v>
      </c>
    </row>
    <row r="7982" spans="1:12" hidden="1" x14ac:dyDescent="0.3">
      <c r="A7982" t="s">
        <v>33</v>
      </c>
      <c r="B7982" t="s">
        <v>34</v>
      </c>
      <c r="C7982" t="s">
        <v>129</v>
      </c>
      <c r="D7982" t="s">
        <v>130</v>
      </c>
      <c r="E7982">
        <v>1973</v>
      </c>
      <c r="F7982" s="1">
        <v>70</v>
      </c>
      <c r="G7982">
        <v>1970</v>
      </c>
      <c r="H7982">
        <f>AVERAGEIFS(Table1[value],Table1[IndicatorCode],Table1[[#This Row],[IndicatorCode]])</f>
        <v>72.66514008620689</v>
      </c>
      <c r="I7982" cm="1">
        <f t="array" ref="I7982">_xlfn.STDEV.P(IF(Table1[IndicatorCode]=Table1[[#This Row],[IndicatorCode]],Table1[value]))</f>
        <v>6.3409496564024987</v>
      </c>
      <c r="J7982">
        <f>(Table1[[#This Row],[value]] - Table1[[#This Row],[mean]]) / Table1[[#This Row],[std_dev]]</f>
        <v>-0.4203061419224296</v>
      </c>
      <c r="K7982">
        <f>AVERAGEIF(Table1[CountryCode],Table1[[#This Row],[CountryCode]],Table1[z-score])</f>
        <v>0.38305593592472742</v>
      </c>
      <c r="L7982" t="e">
        <f>VLOOKUP(Table1[[#This Row],[CountryCode]],[1]!Table1[#All],1,FALSE)</f>
        <v>#REF!</v>
      </c>
    </row>
    <row r="7983" spans="1:12" hidden="1" x14ac:dyDescent="0.3">
      <c r="A7983" t="s">
        <v>33</v>
      </c>
      <c r="B7983" t="s">
        <v>34</v>
      </c>
      <c r="C7983" t="s">
        <v>129</v>
      </c>
      <c r="D7983" t="s">
        <v>130</v>
      </c>
      <c r="E7983">
        <v>1974</v>
      </c>
      <c r="F7983" s="1">
        <v>70</v>
      </c>
      <c r="G7983">
        <v>1970</v>
      </c>
      <c r="H7983">
        <f>AVERAGEIFS(Table1[value],Table1[IndicatorCode],Table1[[#This Row],[IndicatorCode]])</f>
        <v>72.66514008620689</v>
      </c>
      <c r="I7983" cm="1">
        <f t="array" ref="I7983">_xlfn.STDEV.P(IF(Table1[IndicatorCode]=Table1[[#This Row],[IndicatorCode]],Table1[value]))</f>
        <v>6.3409496564024987</v>
      </c>
      <c r="J7983">
        <f>(Table1[[#This Row],[value]] - Table1[[#This Row],[mean]]) / Table1[[#This Row],[std_dev]]</f>
        <v>-0.4203061419224296</v>
      </c>
      <c r="K7983">
        <f>AVERAGEIF(Table1[CountryCode],Table1[[#This Row],[CountryCode]],Table1[z-score])</f>
        <v>0.38305593592472742</v>
      </c>
      <c r="L7983" t="e">
        <f>VLOOKUP(Table1[[#This Row],[CountryCode]],[1]!Table1[#All],1,FALSE)</f>
        <v>#REF!</v>
      </c>
    </row>
    <row r="7984" spans="1:12" hidden="1" x14ac:dyDescent="0.3">
      <c r="A7984" t="s">
        <v>33</v>
      </c>
      <c r="B7984" t="s">
        <v>34</v>
      </c>
      <c r="C7984" t="s">
        <v>129</v>
      </c>
      <c r="D7984" t="s">
        <v>130</v>
      </c>
      <c r="E7984">
        <v>1975</v>
      </c>
      <c r="F7984" s="1">
        <v>70</v>
      </c>
      <c r="G7984">
        <v>1970</v>
      </c>
      <c r="H7984">
        <f>AVERAGEIFS(Table1[value],Table1[IndicatorCode],Table1[[#This Row],[IndicatorCode]])</f>
        <v>72.66514008620689</v>
      </c>
      <c r="I7984" cm="1">
        <f t="array" ref="I7984">_xlfn.STDEV.P(IF(Table1[IndicatorCode]=Table1[[#This Row],[IndicatorCode]],Table1[value]))</f>
        <v>6.3409496564024987</v>
      </c>
      <c r="J7984">
        <f>(Table1[[#This Row],[value]] - Table1[[#This Row],[mean]]) / Table1[[#This Row],[std_dev]]</f>
        <v>-0.4203061419224296</v>
      </c>
      <c r="K7984">
        <f>AVERAGEIF(Table1[CountryCode],Table1[[#This Row],[CountryCode]],Table1[z-score])</f>
        <v>0.38305593592472742</v>
      </c>
      <c r="L7984" t="e">
        <f>VLOOKUP(Table1[[#This Row],[CountryCode]],[1]!Table1[#All],1,FALSE)</f>
        <v>#REF!</v>
      </c>
    </row>
    <row r="7985" spans="1:12" hidden="1" x14ac:dyDescent="0.3">
      <c r="A7985" t="s">
        <v>33</v>
      </c>
      <c r="B7985" t="s">
        <v>34</v>
      </c>
      <c r="C7985" t="s">
        <v>129</v>
      </c>
      <c r="D7985" t="s">
        <v>130</v>
      </c>
      <c r="E7985">
        <v>1976</v>
      </c>
      <c r="F7985" s="1">
        <v>71</v>
      </c>
      <c r="G7985">
        <v>1970</v>
      </c>
      <c r="H7985">
        <f>AVERAGEIFS(Table1[value],Table1[IndicatorCode],Table1[[#This Row],[IndicatorCode]])</f>
        <v>72.66514008620689</v>
      </c>
      <c r="I7985" cm="1">
        <f t="array" ref="I7985">_xlfn.STDEV.P(IF(Table1[IndicatorCode]=Table1[[#This Row],[IndicatorCode]],Table1[value]))</f>
        <v>6.3409496564024987</v>
      </c>
      <c r="J7985">
        <f>(Table1[[#This Row],[value]] - Table1[[#This Row],[mean]]) / Table1[[#This Row],[std_dev]]</f>
        <v>-0.2626010576389905</v>
      </c>
      <c r="K7985">
        <f>AVERAGEIF(Table1[CountryCode],Table1[[#This Row],[CountryCode]],Table1[z-score])</f>
        <v>0.38305593592472742</v>
      </c>
      <c r="L7985" t="e">
        <f>VLOOKUP(Table1[[#This Row],[CountryCode]],[1]!Table1[#All],1,FALSE)</f>
        <v>#REF!</v>
      </c>
    </row>
    <row r="7986" spans="1:12" hidden="1" x14ac:dyDescent="0.3">
      <c r="A7986" t="s">
        <v>33</v>
      </c>
      <c r="B7986" t="s">
        <v>34</v>
      </c>
      <c r="C7986" t="s">
        <v>129</v>
      </c>
      <c r="D7986" t="s">
        <v>130</v>
      </c>
      <c r="E7986">
        <v>1977</v>
      </c>
      <c r="F7986" s="1">
        <v>71</v>
      </c>
      <c r="G7986">
        <v>1980</v>
      </c>
      <c r="H7986">
        <f>AVERAGEIFS(Table1[value],Table1[IndicatorCode],Table1[[#This Row],[IndicatorCode]])</f>
        <v>72.66514008620689</v>
      </c>
      <c r="I7986" cm="1">
        <f t="array" ref="I7986">_xlfn.STDEV.P(IF(Table1[IndicatorCode]=Table1[[#This Row],[IndicatorCode]],Table1[value]))</f>
        <v>6.3409496564024987</v>
      </c>
      <c r="J7986">
        <f>(Table1[[#This Row],[value]] - Table1[[#This Row],[mean]]) / Table1[[#This Row],[std_dev]]</f>
        <v>-0.2626010576389905</v>
      </c>
      <c r="K7986">
        <f>AVERAGEIF(Table1[CountryCode],Table1[[#This Row],[CountryCode]],Table1[z-score])</f>
        <v>0.38305593592472742</v>
      </c>
      <c r="L7986" t="e">
        <f>VLOOKUP(Table1[[#This Row],[CountryCode]],[1]!Table1[#All],1,FALSE)</f>
        <v>#REF!</v>
      </c>
    </row>
    <row r="7987" spans="1:12" hidden="1" x14ac:dyDescent="0.3">
      <c r="A7987" t="s">
        <v>33</v>
      </c>
      <c r="B7987" t="s">
        <v>34</v>
      </c>
      <c r="C7987" t="s">
        <v>129</v>
      </c>
      <c r="D7987" t="s">
        <v>130</v>
      </c>
      <c r="E7987">
        <v>1978</v>
      </c>
      <c r="F7987" s="1">
        <v>71</v>
      </c>
      <c r="G7987">
        <v>1980</v>
      </c>
      <c r="H7987">
        <f>AVERAGEIFS(Table1[value],Table1[IndicatorCode],Table1[[#This Row],[IndicatorCode]])</f>
        <v>72.66514008620689</v>
      </c>
      <c r="I7987" cm="1">
        <f t="array" ref="I7987">_xlfn.STDEV.P(IF(Table1[IndicatorCode]=Table1[[#This Row],[IndicatorCode]],Table1[value]))</f>
        <v>6.3409496564024987</v>
      </c>
      <c r="J7987">
        <f>(Table1[[#This Row],[value]] - Table1[[#This Row],[mean]]) / Table1[[#This Row],[std_dev]]</f>
        <v>-0.2626010576389905</v>
      </c>
      <c r="K7987">
        <f>AVERAGEIF(Table1[CountryCode],Table1[[#This Row],[CountryCode]],Table1[z-score])</f>
        <v>0.38305593592472742</v>
      </c>
      <c r="L7987" t="e">
        <f>VLOOKUP(Table1[[#This Row],[CountryCode]],[1]!Table1[#All],1,FALSE)</f>
        <v>#REF!</v>
      </c>
    </row>
    <row r="7988" spans="1:12" hidden="1" x14ac:dyDescent="0.3">
      <c r="A7988" t="s">
        <v>33</v>
      </c>
      <c r="B7988" t="s">
        <v>34</v>
      </c>
      <c r="C7988" t="s">
        <v>129</v>
      </c>
      <c r="D7988" t="s">
        <v>130</v>
      </c>
      <c r="E7988">
        <v>1979</v>
      </c>
      <c r="F7988" s="1">
        <v>71</v>
      </c>
      <c r="G7988">
        <v>1980</v>
      </c>
      <c r="H7988">
        <f>AVERAGEIFS(Table1[value],Table1[IndicatorCode],Table1[[#This Row],[IndicatorCode]])</f>
        <v>72.66514008620689</v>
      </c>
      <c r="I7988" cm="1">
        <f t="array" ref="I7988">_xlfn.STDEV.P(IF(Table1[IndicatorCode]=Table1[[#This Row],[IndicatorCode]],Table1[value]))</f>
        <v>6.3409496564024987</v>
      </c>
      <c r="J7988">
        <f>(Table1[[#This Row],[value]] - Table1[[#This Row],[mean]]) / Table1[[#This Row],[std_dev]]</f>
        <v>-0.2626010576389905</v>
      </c>
      <c r="K7988">
        <f>AVERAGEIF(Table1[CountryCode],Table1[[#This Row],[CountryCode]],Table1[z-score])</f>
        <v>0.38305593592472742</v>
      </c>
      <c r="L7988" t="e">
        <f>VLOOKUP(Table1[[#This Row],[CountryCode]],[1]!Table1[#All],1,FALSE)</f>
        <v>#REF!</v>
      </c>
    </row>
    <row r="7989" spans="1:12" hidden="1" x14ac:dyDescent="0.3">
      <c r="A7989" t="s">
        <v>33</v>
      </c>
      <c r="B7989" t="s">
        <v>34</v>
      </c>
      <c r="C7989" t="s">
        <v>129</v>
      </c>
      <c r="D7989" t="s">
        <v>130</v>
      </c>
      <c r="E7989">
        <v>1980</v>
      </c>
      <c r="F7989" s="1">
        <v>70</v>
      </c>
      <c r="G7989">
        <v>1980</v>
      </c>
      <c r="H7989">
        <f>AVERAGEIFS(Table1[value],Table1[IndicatorCode],Table1[[#This Row],[IndicatorCode]])</f>
        <v>72.66514008620689</v>
      </c>
      <c r="I7989" cm="1">
        <f t="array" ref="I7989">_xlfn.STDEV.P(IF(Table1[IndicatorCode]=Table1[[#This Row],[IndicatorCode]],Table1[value]))</f>
        <v>6.3409496564024987</v>
      </c>
      <c r="J7989">
        <f>(Table1[[#This Row],[value]] - Table1[[#This Row],[mean]]) / Table1[[#This Row],[std_dev]]</f>
        <v>-0.4203061419224296</v>
      </c>
      <c r="K7989">
        <f>AVERAGEIF(Table1[CountryCode],Table1[[#This Row],[CountryCode]],Table1[z-score])</f>
        <v>0.38305593592472742</v>
      </c>
      <c r="L7989" t="e">
        <f>VLOOKUP(Table1[[#This Row],[CountryCode]],[1]!Table1[#All],1,FALSE)</f>
        <v>#REF!</v>
      </c>
    </row>
    <row r="7990" spans="1:12" hidden="1" x14ac:dyDescent="0.3">
      <c r="A7990" t="s">
        <v>33</v>
      </c>
      <c r="B7990" t="s">
        <v>34</v>
      </c>
      <c r="C7990" t="s">
        <v>129</v>
      </c>
      <c r="D7990" t="s">
        <v>130</v>
      </c>
      <c r="E7990">
        <v>1981</v>
      </c>
      <c r="F7990" s="1">
        <v>71</v>
      </c>
      <c r="G7990">
        <v>1980</v>
      </c>
      <c r="H7990">
        <f>AVERAGEIFS(Table1[value],Table1[IndicatorCode],Table1[[#This Row],[IndicatorCode]])</f>
        <v>72.66514008620689</v>
      </c>
      <c r="I7990" cm="1">
        <f t="array" ref="I7990">_xlfn.STDEV.P(IF(Table1[IndicatorCode]=Table1[[#This Row],[IndicatorCode]],Table1[value]))</f>
        <v>6.3409496564024987</v>
      </c>
      <c r="J7990">
        <f>(Table1[[#This Row],[value]] - Table1[[#This Row],[mean]]) / Table1[[#This Row],[std_dev]]</f>
        <v>-0.2626010576389905</v>
      </c>
      <c r="K7990">
        <f>AVERAGEIF(Table1[CountryCode],Table1[[#This Row],[CountryCode]],Table1[z-score])</f>
        <v>0.38305593592472742</v>
      </c>
      <c r="L7990" t="e">
        <f>VLOOKUP(Table1[[#This Row],[CountryCode]],[1]!Table1[#All],1,FALSE)</f>
        <v>#REF!</v>
      </c>
    </row>
    <row r="7991" spans="1:12" hidden="1" x14ac:dyDescent="0.3">
      <c r="A7991" t="s">
        <v>33</v>
      </c>
      <c r="B7991" t="s">
        <v>34</v>
      </c>
      <c r="C7991" t="s">
        <v>129</v>
      </c>
      <c r="D7991" t="s">
        <v>130</v>
      </c>
      <c r="E7991">
        <v>1982</v>
      </c>
      <c r="F7991" s="1">
        <v>71</v>
      </c>
      <c r="G7991">
        <v>1980</v>
      </c>
      <c r="H7991">
        <f>AVERAGEIFS(Table1[value],Table1[IndicatorCode],Table1[[#This Row],[IndicatorCode]])</f>
        <v>72.66514008620689</v>
      </c>
      <c r="I7991" cm="1">
        <f t="array" ref="I7991">_xlfn.STDEV.P(IF(Table1[IndicatorCode]=Table1[[#This Row],[IndicatorCode]],Table1[value]))</f>
        <v>6.3409496564024987</v>
      </c>
      <c r="J7991">
        <f>(Table1[[#This Row],[value]] - Table1[[#This Row],[mean]]) / Table1[[#This Row],[std_dev]]</f>
        <v>-0.2626010576389905</v>
      </c>
      <c r="K7991">
        <f>AVERAGEIF(Table1[CountryCode],Table1[[#This Row],[CountryCode]],Table1[z-score])</f>
        <v>0.38305593592472742</v>
      </c>
      <c r="L7991" t="e">
        <f>VLOOKUP(Table1[[#This Row],[CountryCode]],[1]!Table1[#All],1,FALSE)</f>
        <v>#REF!</v>
      </c>
    </row>
    <row r="7992" spans="1:12" hidden="1" x14ac:dyDescent="0.3">
      <c r="A7992" t="s">
        <v>33</v>
      </c>
      <c r="B7992" t="s">
        <v>34</v>
      </c>
      <c r="C7992" t="s">
        <v>129</v>
      </c>
      <c r="D7992" t="s">
        <v>130</v>
      </c>
      <c r="E7992">
        <v>1983</v>
      </c>
      <c r="F7992" s="1">
        <v>71</v>
      </c>
      <c r="G7992">
        <v>1980</v>
      </c>
      <c r="H7992">
        <f>AVERAGEIFS(Table1[value],Table1[IndicatorCode],Table1[[#This Row],[IndicatorCode]])</f>
        <v>72.66514008620689</v>
      </c>
      <c r="I7992" cm="1">
        <f t="array" ref="I7992">_xlfn.STDEV.P(IF(Table1[IndicatorCode]=Table1[[#This Row],[IndicatorCode]],Table1[value]))</f>
        <v>6.3409496564024987</v>
      </c>
      <c r="J7992">
        <f>(Table1[[#This Row],[value]] - Table1[[#This Row],[mean]]) / Table1[[#This Row],[std_dev]]</f>
        <v>-0.2626010576389905</v>
      </c>
      <c r="K7992">
        <f>AVERAGEIF(Table1[CountryCode],Table1[[#This Row],[CountryCode]],Table1[z-score])</f>
        <v>0.38305593592472742</v>
      </c>
      <c r="L7992" t="e">
        <f>VLOOKUP(Table1[[#This Row],[CountryCode]],[1]!Table1[#All],1,FALSE)</f>
        <v>#REF!</v>
      </c>
    </row>
    <row r="7993" spans="1:12" hidden="1" x14ac:dyDescent="0.3">
      <c r="A7993" t="s">
        <v>33</v>
      </c>
      <c r="B7993" t="s">
        <v>34</v>
      </c>
      <c r="C7993" t="s">
        <v>129</v>
      </c>
      <c r="D7993" t="s">
        <v>130</v>
      </c>
      <c r="E7993">
        <v>1984</v>
      </c>
      <c r="F7993" s="1">
        <v>71</v>
      </c>
      <c r="G7993">
        <v>1980</v>
      </c>
      <c r="H7993">
        <f>AVERAGEIFS(Table1[value],Table1[IndicatorCode],Table1[[#This Row],[IndicatorCode]])</f>
        <v>72.66514008620689</v>
      </c>
      <c r="I7993" cm="1">
        <f t="array" ref="I7993">_xlfn.STDEV.P(IF(Table1[IndicatorCode]=Table1[[#This Row],[IndicatorCode]],Table1[value]))</f>
        <v>6.3409496564024987</v>
      </c>
      <c r="J7993">
        <f>(Table1[[#This Row],[value]] - Table1[[#This Row],[mean]]) / Table1[[#This Row],[std_dev]]</f>
        <v>-0.2626010576389905</v>
      </c>
      <c r="K7993">
        <f>AVERAGEIF(Table1[CountryCode],Table1[[#This Row],[CountryCode]],Table1[z-score])</f>
        <v>0.38305593592472742</v>
      </c>
      <c r="L7993" t="e">
        <f>VLOOKUP(Table1[[#This Row],[CountryCode]],[1]!Table1[#All],1,FALSE)</f>
        <v>#REF!</v>
      </c>
    </row>
    <row r="7994" spans="1:12" hidden="1" x14ac:dyDescent="0.3">
      <c r="A7994" t="s">
        <v>33</v>
      </c>
      <c r="B7994" t="s">
        <v>34</v>
      </c>
      <c r="C7994" t="s">
        <v>129</v>
      </c>
      <c r="D7994" t="s">
        <v>130</v>
      </c>
      <c r="E7994">
        <v>1985</v>
      </c>
      <c r="F7994" s="1">
        <v>71</v>
      </c>
      <c r="G7994">
        <v>1980</v>
      </c>
      <c r="H7994">
        <f>AVERAGEIFS(Table1[value],Table1[IndicatorCode],Table1[[#This Row],[IndicatorCode]])</f>
        <v>72.66514008620689</v>
      </c>
      <c r="I7994" cm="1">
        <f t="array" ref="I7994">_xlfn.STDEV.P(IF(Table1[IndicatorCode]=Table1[[#This Row],[IndicatorCode]],Table1[value]))</f>
        <v>6.3409496564024987</v>
      </c>
      <c r="J7994">
        <f>(Table1[[#This Row],[value]] - Table1[[#This Row],[mean]]) / Table1[[#This Row],[std_dev]]</f>
        <v>-0.2626010576389905</v>
      </c>
      <c r="K7994">
        <f>AVERAGEIF(Table1[CountryCode],Table1[[#This Row],[CountryCode]],Table1[z-score])</f>
        <v>0.38305593592472742</v>
      </c>
      <c r="L7994" t="e">
        <f>VLOOKUP(Table1[[#This Row],[CountryCode]],[1]!Table1[#All],1,FALSE)</f>
        <v>#REF!</v>
      </c>
    </row>
    <row r="7995" spans="1:12" hidden="1" x14ac:dyDescent="0.3">
      <c r="A7995" t="s">
        <v>33</v>
      </c>
      <c r="B7995" t="s">
        <v>34</v>
      </c>
      <c r="C7995" t="s">
        <v>129</v>
      </c>
      <c r="D7995" t="s">
        <v>130</v>
      </c>
      <c r="E7995">
        <v>1986</v>
      </c>
      <c r="F7995" s="1">
        <v>71</v>
      </c>
      <c r="G7995">
        <v>1980</v>
      </c>
      <c r="H7995">
        <f>AVERAGEIFS(Table1[value],Table1[IndicatorCode],Table1[[#This Row],[IndicatorCode]])</f>
        <v>72.66514008620689</v>
      </c>
      <c r="I7995" cm="1">
        <f t="array" ref="I7995">_xlfn.STDEV.P(IF(Table1[IndicatorCode]=Table1[[#This Row],[IndicatorCode]],Table1[value]))</f>
        <v>6.3409496564024987</v>
      </c>
      <c r="J7995">
        <f>(Table1[[#This Row],[value]] - Table1[[#This Row],[mean]]) / Table1[[#This Row],[std_dev]]</f>
        <v>-0.2626010576389905</v>
      </c>
      <c r="K7995">
        <f>AVERAGEIF(Table1[CountryCode],Table1[[#This Row],[CountryCode]],Table1[z-score])</f>
        <v>0.38305593592472742</v>
      </c>
      <c r="L7995" t="e">
        <f>VLOOKUP(Table1[[#This Row],[CountryCode]],[1]!Table1[#All],1,FALSE)</f>
        <v>#REF!</v>
      </c>
    </row>
    <row r="7996" spans="1:12" hidden="1" x14ac:dyDescent="0.3">
      <c r="A7996" t="s">
        <v>33</v>
      </c>
      <c r="B7996" t="s">
        <v>34</v>
      </c>
      <c r="C7996" t="s">
        <v>129</v>
      </c>
      <c r="D7996" t="s">
        <v>130</v>
      </c>
      <c r="E7996">
        <v>1987</v>
      </c>
      <c r="F7996" s="1">
        <v>71</v>
      </c>
      <c r="G7996">
        <v>1990</v>
      </c>
      <c r="H7996">
        <f>AVERAGEIFS(Table1[value],Table1[IndicatorCode],Table1[[#This Row],[IndicatorCode]])</f>
        <v>72.66514008620689</v>
      </c>
      <c r="I7996" cm="1">
        <f t="array" ref="I7996">_xlfn.STDEV.P(IF(Table1[IndicatorCode]=Table1[[#This Row],[IndicatorCode]],Table1[value]))</f>
        <v>6.3409496564024987</v>
      </c>
      <c r="J7996">
        <f>(Table1[[#This Row],[value]] - Table1[[#This Row],[mean]]) / Table1[[#This Row],[std_dev]]</f>
        <v>-0.2626010576389905</v>
      </c>
      <c r="K7996">
        <f>AVERAGEIF(Table1[CountryCode],Table1[[#This Row],[CountryCode]],Table1[z-score])</f>
        <v>0.38305593592472742</v>
      </c>
      <c r="L7996" t="e">
        <f>VLOOKUP(Table1[[#This Row],[CountryCode]],[1]!Table1[#All],1,FALSE)</f>
        <v>#REF!</v>
      </c>
    </row>
    <row r="7997" spans="1:12" hidden="1" x14ac:dyDescent="0.3">
      <c r="A7997" t="s">
        <v>33</v>
      </c>
      <c r="B7997" t="s">
        <v>34</v>
      </c>
      <c r="C7997" t="s">
        <v>129</v>
      </c>
      <c r="D7997" t="s">
        <v>130</v>
      </c>
      <c r="E7997">
        <v>1988</v>
      </c>
      <c r="F7997" s="1">
        <v>72</v>
      </c>
      <c r="G7997">
        <v>1990</v>
      </c>
      <c r="H7997">
        <f>AVERAGEIFS(Table1[value],Table1[IndicatorCode],Table1[[#This Row],[IndicatorCode]])</f>
        <v>72.66514008620689</v>
      </c>
      <c r="I7997" cm="1">
        <f t="array" ref="I7997">_xlfn.STDEV.P(IF(Table1[IndicatorCode]=Table1[[#This Row],[IndicatorCode]],Table1[value]))</f>
        <v>6.3409496564024987</v>
      </c>
      <c r="J7997">
        <f>(Table1[[#This Row],[value]] - Table1[[#This Row],[mean]]) / Table1[[#This Row],[std_dev]]</f>
        <v>-0.10489597335555145</v>
      </c>
      <c r="K7997">
        <f>AVERAGEIF(Table1[CountryCode],Table1[[#This Row],[CountryCode]],Table1[z-score])</f>
        <v>0.38305593592472742</v>
      </c>
      <c r="L7997" t="e">
        <f>VLOOKUP(Table1[[#This Row],[CountryCode]],[1]!Table1[#All],1,FALSE)</f>
        <v>#REF!</v>
      </c>
    </row>
    <row r="7998" spans="1:12" hidden="1" x14ac:dyDescent="0.3">
      <c r="A7998" t="s">
        <v>33</v>
      </c>
      <c r="B7998" t="s">
        <v>34</v>
      </c>
      <c r="C7998" t="s">
        <v>129</v>
      </c>
      <c r="D7998" t="s">
        <v>130</v>
      </c>
      <c r="E7998">
        <v>1989</v>
      </c>
      <c r="F7998" s="1">
        <v>72</v>
      </c>
      <c r="G7998">
        <v>1990</v>
      </c>
      <c r="H7998">
        <f>AVERAGEIFS(Table1[value],Table1[IndicatorCode],Table1[[#This Row],[IndicatorCode]])</f>
        <v>72.66514008620689</v>
      </c>
      <c r="I7998" cm="1">
        <f t="array" ref="I7998">_xlfn.STDEV.P(IF(Table1[IndicatorCode]=Table1[[#This Row],[IndicatorCode]],Table1[value]))</f>
        <v>6.3409496564024987</v>
      </c>
      <c r="J7998">
        <f>(Table1[[#This Row],[value]] - Table1[[#This Row],[mean]]) / Table1[[#This Row],[std_dev]]</f>
        <v>-0.10489597335555145</v>
      </c>
      <c r="K7998">
        <f>AVERAGEIF(Table1[CountryCode],Table1[[#This Row],[CountryCode]],Table1[z-score])</f>
        <v>0.38305593592472742</v>
      </c>
      <c r="L7998" t="e">
        <f>VLOOKUP(Table1[[#This Row],[CountryCode]],[1]!Table1[#All],1,FALSE)</f>
        <v>#REF!</v>
      </c>
    </row>
    <row r="7999" spans="1:12" hidden="1" x14ac:dyDescent="0.3">
      <c r="A7999" t="s">
        <v>33</v>
      </c>
      <c r="B7999" t="s">
        <v>34</v>
      </c>
      <c r="C7999" t="s">
        <v>129</v>
      </c>
      <c r="D7999" t="s">
        <v>130</v>
      </c>
      <c r="E7999">
        <v>1990</v>
      </c>
      <c r="F7999" s="1">
        <v>71</v>
      </c>
      <c r="G7999">
        <v>1990</v>
      </c>
      <c r="H7999">
        <f>AVERAGEIFS(Table1[value],Table1[IndicatorCode],Table1[[#This Row],[IndicatorCode]])</f>
        <v>72.66514008620689</v>
      </c>
      <c r="I7999" cm="1">
        <f t="array" ref="I7999">_xlfn.STDEV.P(IF(Table1[IndicatorCode]=Table1[[#This Row],[IndicatorCode]],Table1[value]))</f>
        <v>6.3409496564024987</v>
      </c>
      <c r="J7999">
        <f>(Table1[[#This Row],[value]] - Table1[[#This Row],[mean]]) / Table1[[#This Row],[std_dev]]</f>
        <v>-0.2626010576389905</v>
      </c>
      <c r="K7999">
        <f>AVERAGEIF(Table1[CountryCode],Table1[[#This Row],[CountryCode]],Table1[z-score])</f>
        <v>0.38305593592472742</v>
      </c>
      <c r="L7999" t="e">
        <f>VLOOKUP(Table1[[#This Row],[CountryCode]],[1]!Table1[#All],1,FALSE)</f>
        <v>#REF!</v>
      </c>
    </row>
    <row r="8000" spans="1:12" hidden="1" x14ac:dyDescent="0.3">
      <c r="A8000" t="s">
        <v>33</v>
      </c>
      <c r="B8000" t="s">
        <v>34</v>
      </c>
      <c r="C8000" t="s">
        <v>129</v>
      </c>
      <c r="D8000" t="s">
        <v>130</v>
      </c>
      <c r="E8000">
        <v>1991</v>
      </c>
      <c r="F8000" s="1">
        <v>72</v>
      </c>
      <c r="G8000">
        <v>1990</v>
      </c>
      <c r="H8000">
        <f>AVERAGEIFS(Table1[value],Table1[IndicatorCode],Table1[[#This Row],[IndicatorCode]])</f>
        <v>72.66514008620689</v>
      </c>
      <c r="I8000" cm="1">
        <f t="array" ref="I8000">_xlfn.STDEV.P(IF(Table1[IndicatorCode]=Table1[[#This Row],[IndicatorCode]],Table1[value]))</f>
        <v>6.3409496564024987</v>
      </c>
      <c r="J8000">
        <f>(Table1[[#This Row],[value]] - Table1[[#This Row],[mean]]) / Table1[[#This Row],[std_dev]]</f>
        <v>-0.10489597335555145</v>
      </c>
      <c r="K8000">
        <f>AVERAGEIF(Table1[CountryCode],Table1[[#This Row],[CountryCode]],Table1[z-score])</f>
        <v>0.38305593592472742</v>
      </c>
      <c r="L8000" t="e">
        <f>VLOOKUP(Table1[[#This Row],[CountryCode]],[1]!Table1[#All],1,FALSE)</f>
        <v>#REF!</v>
      </c>
    </row>
    <row r="8001" spans="1:12" hidden="1" x14ac:dyDescent="0.3">
      <c r="A8001" t="s">
        <v>33</v>
      </c>
      <c r="B8001" t="s">
        <v>34</v>
      </c>
      <c r="C8001" t="s">
        <v>129</v>
      </c>
      <c r="D8001" t="s">
        <v>130</v>
      </c>
      <c r="E8001">
        <v>1992</v>
      </c>
      <c r="F8001" s="1">
        <v>72</v>
      </c>
      <c r="G8001">
        <v>1990</v>
      </c>
      <c r="H8001">
        <f>AVERAGEIFS(Table1[value],Table1[IndicatorCode],Table1[[#This Row],[IndicatorCode]])</f>
        <v>72.66514008620689</v>
      </c>
      <c r="I8001" cm="1">
        <f t="array" ref="I8001">_xlfn.STDEV.P(IF(Table1[IndicatorCode]=Table1[[#This Row],[IndicatorCode]],Table1[value]))</f>
        <v>6.3409496564024987</v>
      </c>
      <c r="J8001">
        <f>(Table1[[#This Row],[value]] - Table1[[#This Row],[mean]]) / Table1[[#This Row],[std_dev]]</f>
        <v>-0.10489597335555145</v>
      </c>
      <c r="K8001">
        <f>AVERAGEIF(Table1[CountryCode],Table1[[#This Row],[CountryCode]],Table1[z-score])</f>
        <v>0.38305593592472742</v>
      </c>
      <c r="L8001" t="e">
        <f>VLOOKUP(Table1[[#This Row],[CountryCode]],[1]!Table1[#All],1,FALSE)</f>
        <v>#REF!</v>
      </c>
    </row>
    <row r="8002" spans="1:12" hidden="1" x14ac:dyDescent="0.3">
      <c r="A8002" t="s">
        <v>33</v>
      </c>
      <c r="B8002" t="s">
        <v>34</v>
      </c>
      <c r="C8002" t="s">
        <v>129</v>
      </c>
      <c r="D8002" t="s">
        <v>130</v>
      </c>
      <c r="E8002">
        <v>1993</v>
      </c>
      <c r="F8002" s="1">
        <v>73</v>
      </c>
      <c r="G8002">
        <v>1990</v>
      </c>
      <c r="H8002">
        <f>AVERAGEIFS(Table1[value],Table1[IndicatorCode],Table1[[#This Row],[IndicatorCode]])</f>
        <v>72.66514008620689</v>
      </c>
      <c r="I8002" cm="1">
        <f t="array" ref="I8002">_xlfn.STDEV.P(IF(Table1[IndicatorCode]=Table1[[#This Row],[IndicatorCode]],Table1[value]))</f>
        <v>6.3409496564024987</v>
      </c>
      <c r="J8002">
        <f>(Table1[[#This Row],[value]] - Table1[[#This Row],[mean]]) / Table1[[#This Row],[std_dev]]</f>
        <v>5.2809110927887599E-2</v>
      </c>
      <c r="K8002">
        <f>AVERAGEIF(Table1[CountryCode],Table1[[#This Row],[CountryCode]],Table1[z-score])</f>
        <v>0.38305593592472742</v>
      </c>
      <c r="L8002" t="e">
        <f>VLOOKUP(Table1[[#This Row],[CountryCode]],[1]!Table1[#All],1,FALSE)</f>
        <v>#REF!</v>
      </c>
    </row>
    <row r="8003" spans="1:12" hidden="1" x14ac:dyDescent="0.3">
      <c r="A8003" t="s">
        <v>33</v>
      </c>
      <c r="B8003" t="s">
        <v>34</v>
      </c>
      <c r="C8003" t="s">
        <v>129</v>
      </c>
      <c r="D8003" t="s">
        <v>130</v>
      </c>
      <c r="E8003">
        <v>1994</v>
      </c>
      <c r="F8003" s="1">
        <v>73</v>
      </c>
      <c r="G8003">
        <v>1990</v>
      </c>
      <c r="H8003">
        <f>AVERAGEIFS(Table1[value],Table1[IndicatorCode],Table1[[#This Row],[IndicatorCode]])</f>
        <v>72.66514008620689</v>
      </c>
      <c r="I8003" cm="1">
        <f t="array" ref="I8003">_xlfn.STDEV.P(IF(Table1[IndicatorCode]=Table1[[#This Row],[IndicatorCode]],Table1[value]))</f>
        <v>6.3409496564024987</v>
      </c>
      <c r="J8003">
        <f>(Table1[[#This Row],[value]] - Table1[[#This Row],[mean]]) / Table1[[#This Row],[std_dev]]</f>
        <v>5.2809110927887599E-2</v>
      </c>
      <c r="K8003">
        <f>AVERAGEIF(Table1[CountryCode],Table1[[#This Row],[CountryCode]],Table1[z-score])</f>
        <v>0.38305593592472742</v>
      </c>
      <c r="L8003" t="e">
        <f>VLOOKUP(Table1[[#This Row],[CountryCode]],[1]!Table1[#All],1,FALSE)</f>
        <v>#REF!</v>
      </c>
    </row>
    <row r="8004" spans="1:12" hidden="1" x14ac:dyDescent="0.3">
      <c r="A8004" t="s">
        <v>33</v>
      </c>
      <c r="B8004" t="s">
        <v>34</v>
      </c>
      <c r="C8004" t="s">
        <v>129</v>
      </c>
      <c r="D8004" t="s">
        <v>130</v>
      </c>
      <c r="E8004">
        <v>1995</v>
      </c>
      <c r="F8004" s="1">
        <v>73</v>
      </c>
      <c r="G8004">
        <v>1990</v>
      </c>
      <c r="H8004">
        <f>AVERAGEIFS(Table1[value],Table1[IndicatorCode],Table1[[#This Row],[IndicatorCode]])</f>
        <v>72.66514008620689</v>
      </c>
      <c r="I8004" cm="1">
        <f t="array" ref="I8004">_xlfn.STDEV.P(IF(Table1[IndicatorCode]=Table1[[#This Row],[IndicatorCode]],Table1[value]))</f>
        <v>6.3409496564024987</v>
      </c>
      <c r="J8004">
        <f>(Table1[[#This Row],[value]] - Table1[[#This Row],[mean]]) / Table1[[#This Row],[std_dev]]</f>
        <v>5.2809110927887599E-2</v>
      </c>
      <c r="K8004">
        <f>AVERAGEIF(Table1[CountryCode],Table1[[#This Row],[CountryCode]],Table1[z-score])</f>
        <v>0.38305593592472742</v>
      </c>
      <c r="L8004" t="e">
        <f>VLOOKUP(Table1[[#This Row],[CountryCode]],[1]!Table1[#All],1,FALSE)</f>
        <v>#REF!</v>
      </c>
    </row>
    <row r="8005" spans="1:12" hidden="1" x14ac:dyDescent="0.3">
      <c r="A8005" t="s">
        <v>33</v>
      </c>
      <c r="B8005" t="s">
        <v>34</v>
      </c>
      <c r="C8005" t="s">
        <v>129</v>
      </c>
      <c r="D8005" t="s">
        <v>130</v>
      </c>
      <c r="E8005">
        <v>1996</v>
      </c>
      <c r="F8005" s="1">
        <v>74</v>
      </c>
      <c r="G8005">
        <v>1990</v>
      </c>
      <c r="H8005">
        <f>AVERAGEIFS(Table1[value],Table1[IndicatorCode],Table1[[#This Row],[IndicatorCode]])</f>
        <v>72.66514008620689</v>
      </c>
      <c r="I8005" cm="1">
        <f t="array" ref="I8005">_xlfn.STDEV.P(IF(Table1[IndicatorCode]=Table1[[#This Row],[IndicatorCode]],Table1[value]))</f>
        <v>6.3409496564024987</v>
      </c>
      <c r="J8005">
        <f>(Table1[[#This Row],[value]] - Table1[[#This Row],[mean]]) / Table1[[#This Row],[std_dev]]</f>
        <v>0.21051419521132667</v>
      </c>
      <c r="K8005">
        <f>AVERAGEIF(Table1[CountryCode],Table1[[#This Row],[CountryCode]],Table1[z-score])</f>
        <v>0.38305593592472742</v>
      </c>
      <c r="L8005" t="e">
        <f>VLOOKUP(Table1[[#This Row],[CountryCode]],[1]!Table1[#All],1,FALSE)</f>
        <v>#REF!</v>
      </c>
    </row>
    <row r="8006" spans="1:12" hidden="1" x14ac:dyDescent="0.3">
      <c r="A8006" t="s">
        <v>33</v>
      </c>
      <c r="B8006" t="s">
        <v>34</v>
      </c>
      <c r="C8006" t="s">
        <v>129</v>
      </c>
      <c r="D8006" t="s">
        <v>130</v>
      </c>
      <c r="E8006">
        <v>1997</v>
      </c>
      <c r="F8006" s="1">
        <v>74</v>
      </c>
      <c r="G8006">
        <v>2000</v>
      </c>
      <c r="H8006">
        <f>AVERAGEIFS(Table1[value],Table1[IndicatorCode],Table1[[#This Row],[IndicatorCode]])</f>
        <v>72.66514008620689</v>
      </c>
      <c r="I8006" cm="1">
        <f t="array" ref="I8006">_xlfn.STDEV.P(IF(Table1[IndicatorCode]=Table1[[#This Row],[IndicatorCode]],Table1[value]))</f>
        <v>6.3409496564024987</v>
      </c>
      <c r="J8006">
        <f>(Table1[[#This Row],[value]] - Table1[[#This Row],[mean]]) / Table1[[#This Row],[std_dev]]</f>
        <v>0.21051419521132667</v>
      </c>
      <c r="K8006">
        <f>AVERAGEIF(Table1[CountryCode],Table1[[#This Row],[CountryCode]],Table1[z-score])</f>
        <v>0.38305593592472742</v>
      </c>
      <c r="L8006" t="e">
        <f>VLOOKUP(Table1[[#This Row],[CountryCode]],[1]!Table1[#All],1,FALSE)</f>
        <v>#REF!</v>
      </c>
    </row>
    <row r="8007" spans="1:12" hidden="1" x14ac:dyDescent="0.3">
      <c r="A8007" t="s">
        <v>33</v>
      </c>
      <c r="B8007" t="s">
        <v>34</v>
      </c>
      <c r="C8007" t="s">
        <v>129</v>
      </c>
      <c r="D8007" t="s">
        <v>130</v>
      </c>
      <c r="E8007">
        <v>1998</v>
      </c>
      <c r="F8007" s="1">
        <v>75</v>
      </c>
      <c r="G8007">
        <v>2000</v>
      </c>
      <c r="H8007">
        <f>AVERAGEIFS(Table1[value],Table1[IndicatorCode],Table1[[#This Row],[IndicatorCode]])</f>
        <v>72.66514008620689</v>
      </c>
      <c r="I8007" cm="1">
        <f t="array" ref="I8007">_xlfn.STDEV.P(IF(Table1[IndicatorCode]=Table1[[#This Row],[IndicatorCode]],Table1[value]))</f>
        <v>6.3409496564024987</v>
      </c>
      <c r="J8007">
        <f>(Table1[[#This Row],[value]] - Table1[[#This Row],[mean]]) / Table1[[#This Row],[std_dev]]</f>
        <v>0.36821927949476574</v>
      </c>
      <c r="K8007">
        <f>AVERAGEIF(Table1[CountryCode],Table1[[#This Row],[CountryCode]],Table1[z-score])</f>
        <v>0.38305593592472742</v>
      </c>
      <c r="L8007" t="e">
        <f>VLOOKUP(Table1[[#This Row],[CountryCode]],[1]!Table1[#All],1,FALSE)</f>
        <v>#REF!</v>
      </c>
    </row>
    <row r="8008" spans="1:12" hidden="1" x14ac:dyDescent="0.3">
      <c r="A8008" t="s">
        <v>33</v>
      </c>
      <c r="B8008" t="s">
        <v>34</v>
      </c>
      <c r="C8008" t="s">
        <v>129</v>
      </c>
      <c r="D8008" t="s">
        <v>130</v>
      </c>
      <c r="E8008">
        <v>1999</v>
      </c>
      <c r="F8008" s="1">
        <v>75</v>
      </c>
      <c r="G8008">
        <v>2000</v>
      </c>
      <c r="H8008">
        <f>AVERAGEIFS(Table1[value],Table1[IndicatorCode],Table1[[#This Row],[IndicatorCode]])</f>
        <v>72.66514008620689</v>
      </c>
      <c r="I8008" cm="1">
        <f t="array" ref="I8008">_xlfn.STDEV.P(IF(Table1[IndicatorCode]=Table1[[#This Row],[IndicatorCode]],Table1[value]))</f>
        <v>6.3409496564024987</v>
      </c>
      <c r="J8008">
        <f>(Table1[[#This Row],[value]] - Table1[[#This Row],[mean]]) / Table1[[#This Row],[std_dev]]</f>
        <v>0.36821927949476574</v>
      </c>
      <c r="K8008">
        <f>AVERAGEIF(Table1[CountryCode],Table1[[#This Row],[CountryCode]],Table1[z-score])</f>
        <v>0.38305593592472742</v>
      </c>
      <c r="L8008" t="e">
        <f>VLOOKUP(Table1[[#This Row],[CountryCode]],[1]!Table1[#All],1,FALSE)</f>
        <v>#REF!</v>
      </c>
    </row>
    <row r="8009" spans="1:12" hidden="1" x14ac:dyDescent="0.3">
      <c r="A8009" t="s">
        <v>33</v>
      </c>
      <c r="B8009" t="s">
        <v>34</v>
      </c>
      <c r="C8009" t="s">
        <v>129</v>
      </c>
      <c r="D8009" t="s">
        <v>130</v>
      </c>
      <c r="E8009">
        <v>2000</v>
      </c>
      <c r="F8009" s="1">
        <v>75</v>
      </c>
      <c r="G8009">
        <v>2000</v>
      </c>
      <c r="H8009">
        <f>AVERAGEIFS(Table1[value],Table1[IndicatorCode],Table1[[#This Row],[IndicatorCode]])</f>
        <v>72.66514008620689</v>
      </c>
      <c r="I8009" cm="1">
        <f t="array" ref="I8009">_xlfn.STDEV.P(IF(Table1[IndicatorCode]=Table1[[#This Row],[IndicatorCode]],Table1[value]))</f>
        <v>6.3409496564024987</v>
      </c>
      <c r="J8009">
        <f>(Table1[[#This Row],[value]] - Table1[[#This Row],[mean]]) / Table1[[#This Row],[std_dev]]</f>
        <v>0.36821927949476574</v>
      </c>
      <c r="K8009">
        <f>AVERAGEIF(Table1[CountryCode],Table1[[#This Row],[CountryCode]],Table1[z-score])</f>
        <v>0.38305593592472742</v>
      </c>
      <c r="L8009" t="e">
        <f>VLOOKUP(Table1[[#This Row],[CountryCode]],[1]!Table1[#All],1,FALSE)</f>
        <v>#REF!</v>
      </c>
    </row>
    <row r="8010" spans="1:12" hidden="1" x14ac:dyDescent="0.3">
      <c r="A8010" t="s">
        <v>33</v>
      </c>
      <c r="B8010" t="s">
        <v>34</v>
      </c>
      <c r="C8010" t="s">
        <v>129</v>
      </c>
      <c r="D8010" t="s">
        <v>130</v>
      </c>
      <c r="E8010">
        <v>2001</v>
      </c>
      <c r="F8010" s="1">
        <v>75</v>
      </c>
      <c r="G8010">
        <v>2000</v>
      </c>
      <c r="H8010">
        <f>AVERAGEIFS(Table1[value],Table1[IndicatorCode],Table1[[#This Row],[IndicatorCode]])</f>
        <v>72.66514008620689</v>
      </c>
      <c r="I8010" cm="1">
        <f t="array" ref="I8010">_xlfn.STDEV.P(IF(Table1[IndicatorCode]=Table1[[#This Row],[IndicatorCode]],Table1[value]))</f>
        <v>6.3409496564024987</v>
      </c>
      <c r="J8010">
        <f>(Table1[[#This Row],[value]] - Table1[[#This Row],[mean]]) / Table1[[#This Row],[std_dev]]</f>
        <v>0.36821927949476574</v>
      </c>
      <c r="K8010">
        <f>AVERAGEIF(Table1[CountryCode],Table1[[#This Row],[CountryCode]],Table1[z-score])</f>
        <v>0.38305593592472742</v>
      </c>
      <c r="L8010" t="e">
        <f>VLOOKUP(Table1[[#This Row],[CountryCode]],[1]!Table1[#All],1,FALSE)</f>
        <v>#REF!</v>
      </c>
    </row>
    <row r="8011" spans="1:12" hidden="1" x14ac:dyDescent="0.3">
      <c r="A8011" t="s">
        <v>33</v>
      </c>
      <c r="B8011" t="s">
        <v>34</v>
      </c>
      <c r="C8011" t="s">
        <v>129</v>
      </c>
      <c r="D8011" t="s">
        <v>130</v>
      </c>
      <c r="E8011">
        <v>2002</v>
      </c>
      <c r="F8011" s="1">
        <v>75</v>
      </c>
      <c r="G8011">
        <v>2000</v>
      </c>
      <c r="H8011">
        <f>AVERAGEIFS(Table1[value],Table1[IndicatorCode],Table1[[#This Row],[IndicatorCode]])</f>
        <v>72.66514008620689</v>
      </c>
      <c r="I8011" cm="1">
        <f t="array" ref="I8011">_xlfn.STDEV.P(IF(Table1[IndicatorCode]=Table1[[#This Row],[IndicatorCode]],Table1[value]))</f>
        <v>6.3409496564024987</v>
      </c>
      <c r="J8011">
        <f>(Table1[[#This Row],[value]] - Table1[[#This Row],[mean]]) / Table1[[#This Row],[std_dev]]</f>
        <v>0.36821927949476574</v>
      </c>
      <c r="K8011">
        <f>AVERAGEIF(Table1[CountryCode],Table1[[#This Row],[CountryCode]],Table1[z-score])</f>
        <v>0.38305593592472742</v>
      </c>
      <c r="L8011" t="e">
        <f>VLOOKUP(Table1[[#This Row],[CountryCode]],[1]!Table1[#All],1,FALSE)</f>
        <v>#REF!</v>
      </c>
    </row>
    <row r="8012" spans="1:12" hidden="1" x14ac:dyDescent="0.3">
      <c r="A8012" t="s">
        <v>33</v>
      </c>
      <c r="B8012" t="s">
        <v>34</v>
      </c>
      <c r="C8012" t="s">
        <v>129</v>
      </c>
      <c r="D8012" t="s">
        <v>130</v>
      </c>
      <c r="E8012">
        <v>2003</v>
      </c>
      <c r="F8012" s="1">
        <v>75</v>
      </c>
      <c r="G8012">
        <v>2000</v>
      </c>
      <c r="H8012">
        <f>AVERAGEIFS(Table1[value],Table1[IndicatorCode],Table1[[#This Row],[IndicatorCode]])</f>
        <v>72.66514008620689</v>
      </c>
      <c r="I8012" cm="1">
        <f t="array" ref="I8012">_xlfn.STDEV.P(IF(Table1[IndicatorCode]=Table1[[#This Row],[IndicatorCode]],Table1[value]))</f>
        <v>6.3409496564024987</v>
      </c>
      <c r="J8012">
        <f>(Table1[[#This Row],[value]] - Table1[[#This Row],[mean]]) / Table1[[#This Row],[std_dev]]</f>
        <v>0.36821927949476574</v>
      </c>
      <c r="K8012">
        <f>AVERAGEIF(Table1[CountryCode],Table1[[#This Row],[CountryCode]],Table1[z-score])</f>
        <v>0.38305593592472742</v>
      </c>
      <c r="L8012" t="e">
        <f>VLOOKUP(Table1[[#This Row],[CountryCode]],[1]!Table1[#All],1,FALSE)</f>
        <v>#REF!</v>
      </c>
    </row>
    <row r="8013" spans="1:12" hidden="1" x14ac:dyDescent="0.3">
      <c r="A8013" t="s">
        <v>33</v>
      </c>
      <c r="B8013" t="s">
        <v>34</v>
      </c>
      <c r="C8013" t="s">
        <v>129</v>
      </c>
      <c r="D8013" t="s">
        <v>130</v>
      </c>
      <c r="E8013">
        <v>2004</v>
      </c>
      <c r="F8013" s="1">
        <v>76</v>
      </c>
      <c r="G8013">
        <v>2000</v>
      </c>
      <c r="H8013">
        <f>AVERAGEIFS(Table1[value],Table1[IndicatorCode],Table1[[#This Row],[IndicatorCode]])</f>
        <v>72.66514008620689</v>
      </c>
      <c r="I8013" cm="1">
        <f t="array" ref="I8013">_xlfn.STDEV.P(IF(Table1[IndicatorCode]=Table1[[#This Row],[IndicatorCode]],Table1[value]))</f>
        <v>6.3409496564024987</v>
      </c>
      <c r="J8013">
        <f>(Table1[[#This Row],[value]] - Table1[[#This Row],[mean]]) / Table1[[#This Row],[std_dev]]</f>
        <v>0.52592436377820473</v>
      </c>
      <c r="K8013">
        <f>AVERAGEIF(Table1[CountryCode],Table1[[#This Row],[CountryCode]],Table1[z-score])</f>
        <v>0.38305593592472742</v>
      </c>
      <c r="L8013" t="e">
        <f>VLOOKUP(Table1[[#This Row],[CountryCode]],[1]!Table1[#All],1,FALSE)</f>
        <v>#REF!</v>
      </c>
    </row>
    <row r="8014" spans="1:12" hidden="1" x14ac:dyDescent="0.3">
      <c r="A8014" t="s">
        <v>33</v>
      </c>
      <c r="B8014" t="s">
        <v>34</v>
      </c>
      <c r="C8014" t="s">
        <v>129</v>
      </c>
      <c r="D8014" t="s">
        <v>130</v>
      </c>
      <c r="E8014">
        <v>2005</v>
      </c>
      <c r="F8014" s="1">
        <v>76</v>
      </c>
      <c r="G8014">
        <v>2000</v>
      </c>
      <c r="H8014">
        <f>AVERAGEIFS(Table1[value],Table1[IndicatorCode],Table1[[#This Row],[IndicatorCode]])</f>
        <v>72.66514008620689</v>
      </c>
      <c r="I8014" cm="1">
        <f t="array" ref="I8014">_xlfn.STDEV.P(IF(Table1[IndicatorCode]=Table1[[#This Row],[IndicatorCode]],Table1[value]))</f>
        <v>6.3409496564024987</v>
      </c>
      <c r="J8014">
        <f>(Table1[[#This Row],[value]] - Table1[[#This Row],[mean]]) / Table1[[#This Row],[std_dev]]</f>
        <v>0.52592436377820473</v>
      </c>
      <c r="K8014">
        <f>AVERAGEIF(Table1[CountryCode],Table1[[#This Row],[CountryCode]],Table1[z-score])</f>
        <v>0.38305593592472742</v>
      </c>
      <c r="L8014" t="e">
        <f>VLOOKUP(Table1[[#This Row],[CountryCode]],[1]!Table1[#All],1,FALSE)</f>
        <v>#REF!</v>
      </c>
    </row>
    <row r="8015" spans="1:12" hidden="1" x14ac:dyDescent="0.3">
      <c r="A8015" t="s">
        <v>33</v>
      </c>
      <c r="B8015" t="s">
        <v>34</v>
      </c>
      <c r="C8015" t="s">
        <v>129</v>
      </c>
      <c r="D8015" t="s">
        <v>130</v>
      </c>
      <c r="E8015">
        <v>2006</v>
      </c>
      <c r="F8015" s="1">
        <v>77</v>
      </c>
      <c r="G8015">
        <v>2000</v>
      </c>
      <c r="H8015">
        <f>AVERAGEIFS(Table1[value],Table1[IndicatorCode],Table1[[#This Row],[IndicatorCode]])</f>
        <v>72.66514008620689</v>
      </c>
      <c r="I8015" cm="1">
        <f t="array" ref="I8015">_xlfn.STDEV.P(IF(Table1[IndicatorCode]=Table1[[#This Row],[IndicatorCode]],Table1[value]))</f>
        <v>6.3409496564024987</v>
      </c>
      <c r="J8015">
        <f>(Table1[[#This Row],[value]] - Table1[[#This Row],[mean]]) / Table1[[#This Row],[std_dev]]</f>
        <v>0.68362944806164383</v>
      </c>
      <c r="K8015">
        <f>AVERAGEIF(Table1[CountryCode],Table1[[#This Row],[CountryCode]],Table1[z-score])</f>
        <v>0.38305593592472742</v>
      </c>
      <c r="L8015" t="e">
        <f>VLOOKUP(Table1[[#This Row],[CountryCode]],[1]!Table1[#All],1,FALSE)</f>
        <v>#REF!</v>
      </c>
    </row>
    <row r="8016" spans="1:12" hidden="1" x14ac:dyDescent="0.3">
      <c r="A8016" t="s">
        <v>33</v>
      </c>
      <c r="B8016" t="s">
        <v>34</v>
      </c>
      <c r="C8016" t="s">
        <v>129</v>
      </c>
      <c r="D8016" t="s">
        <v>130</v>
      </c>
      <c r="E8016">
        <v>2007</v>
      </c>
      <c r="F8016" s="1">
        <v>77</v>
      </c>
      <c r="G8016">
        <v>2010</v>
      </c>
      <c r="H8016">
        <f>AVERAGEIFS(Table1[value],Table1[IndicatorCode],Table1[[#This Row],[IndicatorCode]])</f>
        <v>72.66514008620689</v>
      </c>
      <c r="I8016" cm="1">
        <f t="array" ref="I8016">_xlfn.STDEV.P(IF(Table1[IndicatorCode]=Table1[[#This Row],[IndicatorCode]],Table1[value]))</f>
        <v>6.3409496564024987</v>
      </c>
      <c r="J8016">
        <f>(Table1[[#This Row],[value]] - Table1[[#This Row],[mean]]) / Table1[[#This Row],[std_dev]]</f>
        <v>0.68362944806164383</v>
      </c>
      <c r="K8016">
        <f>AVERAGEIF(Table1[CountryCode],Table1[[#This Row],[CountryCode]],Table1[z-score])</f>
        <v>0.38305593592472742</v>
      </c>
      <c r="L8016" t="e">
        <f>VLOOKUP(Table1[[#This Row],[CountryCode]],[1]!Table1[#All],1,FALSE)</f>
        <v>#REF!</v>
      </c>
    </row>
    <row r="8017" spans="1:12" hidden="1" x14ac:dyDescent="0.3">
      <c r="A8017" t="s">
        <v>33</v>
      </c>
      <c r="B8017" t="s">
        <v>34</v>
      </c>
      <c r="C8017" t="s">
        <v>129</v>
      </c>
      <c r="D8017" t="s">
        <v>130</v>
      </c>
      <c r="E8017">
        <v>2008</v>
      </c>
      <c r="F8017" s="1">
        <v>77</v>
      </c>
      <c r="G8017">
        <v>2010</v>
      </c>
      <c r="H8017">
        <f>AVERAGEIFS(Table1[value],Table1[IndicatorCode],Table1[[#This Row],[IndicatorCode]])</f>
        <v>72.66514008620689</v>
      </c>
      <c r="I8017" cm="1">
        <f t="array" ref="I8017">_xlfn.STDEV.P(IF(Table1[IndicatorCode]=Table1[[#This Row],[IndicatorCode]],Table1[value]))</f>
        <v>6.3409496564024987</v>
      </c>
      <c r="J8017">
        <f>(Table1[[#This Row],[value]] - Table1[[#This Row],[mean]]) / Table1[[#This Row],[std_dev]]</f>
        <v>0.68362944806164383</v>
      </c>
      <c r="K8017">
        <f>AVERAGEIF(Table1[CountryCode],Table1[[#This Row],[CountryCode]],Table1[z-score])</f>
        <v>0.38305593592472742</v>
      </c>
      <c r="L8017" t="e">
        <f>VLOOKUP(Table1[[#This Row],[CountryCode]],[1]!Table1[#All],1,FALSE)</f>
        <v>#REF!</v>
      </c>
    </row>
    <row r="8018" spans="1:12" hidden="1" x14ac:dyDescent="0.3">
      <c r="A8018" t="s">
        <v>33</v>
      </c>
      <c r="B8018" t="s">
        <v>34</v>
      </c>
      <c r="C8018" t="s">
        <v>129</v>
      </c>
      <c r="D8018" t="s">
        <v>130</v>
      </c>
      <c r="E8018">
        <v>2009</v>
      </c>
      <c r="F8018" s="1">
        <v>77</v>
      </c>
      <c r="G8018">
        <v>2010</v>
      </c>
      <c r="H8018">
        <f>AVERAGEIFS(Table1[value],Table1[IndicatorCode],Table1[[#This Row],[IndicatorCode]])</f>
        <v>72.66514008620689</v>
      </c>
      <c r="I8018" cm="1">
        <f t="array" ref="I8018">_xlfn.STDEV.P(IF(Table1[IndicatorCode]=Table1[[#This Row],[IndicatorCode]],Table1[value]))</f>
        <v>6.3409496564024987</v>
      </c>
      <c r="J8018">
        <f>(Table1[[#This Row],[value]] - Table1[[#This Row],[mean]]) / Table1[[#This Row],[std_dev]]</f>
        <v>0.68362944806164383</v>
      </c>
      <c r="K8018">
        <f>AVERAGEIF(Table1[CountryCode],Table1[[#This Row],[CountryCode]],Table1[z-score])</f>
        <v>0.38305593592472742</v>
      </c>
      <c r="L8018" t="e">
        <f>VLOOKUP(Table1[[#This Row],[CountryCode]],[1]!Table1[#All],1,FALSE)</f>
        <v>#REF!</v>
      </c>
    </row>
    <row r="8019" spans="1:12" hidden="1" x14ac:dyDescent="0.3">
      <c r="A8019" t="s">
        <v>33</v>
      </c>
      <c r="B8019" t="s">
        <v>34</v>
      </c>
      <c r="C8019" t="s">
        <v>129</v>
      </c>
      <c r="D8019" t="s">
        <v>130</v>
      </c>
      <c r="E8019">
        <v>2010</v>
      </c>
      <c r="F8019" s="1">
        <v>77</v>
      </c>
      <c r="G8019">
        <v>2010</v>
      </c>
      <c r="H8019">
        <f>AVERAGEIFS(Table1[value],Table1[IndicatorCode],Table1[[#This Row],[IndicatorCode]])</f>
        <v>72.66514008620689</v>
      </c>
      <c r="I8019" cm="1">
        <f t="array" ref="I8019">_xlfn.STDEV.P(IF(Table1[IndicatorCode]=Table1[[#This Row],[IndicatorCode]],Table1[value]))</f>
        <v>6.3409496564024987</v>
      </c>
      <c r="J8019">
        <f>(Table1[[#This Row],[value]] - Table1[[#This Row],[mean]]) / Table1[[#This Row],[std_dev]]</f>
        <v>0.68362944806164383</v>
      </c>
      <c r="K8019">
        <f>AVERAGEIF(Table1[CountryCode],Table1[[#This Row],[CountryCode]],Table1[z-score])</f>
        <v>0.38305593592472742</v>
      </c>
      <c r="L8019" t="e">
        <f>VLOOKUP(Table1[[#This Row],[CountryCode]],[1]!Table1[#All],1,FALSE)</f>
        <v>#REF!</v>
      </c>
    </row>
    <row r="8020" spans="1:12" hidden="1" x14ac:dyDescent="0.3">
      <c r="A8020" t="s">
        <v>33</v>
      </c>
      <c r="B8020" t="s">
        <v>34</v>
      </c>
      <c r="C8020" t="s">
        <v>129</v>
      </c>
      <c r="D8020" t="s">
        <v>130</v>
      </c>
      <c r="E8020">
        <v>2011</v>
      </c>
      <c r="F8020" s="1">
        <v>78</v>
      </c>
      <c r="G8020">
        <v>2010</v>
      </c>
      <c r="H8020">
        <f>AVERAGEIFS(Table1[value],Table1[IndicatorCode],Table1[[#This Row],[IndicatorCode]])</f>
        <v>72.66514008620689</v>
      </c>
      <c r="I8020" cm="1">
        <f t="array" ref="I8020">_xlfn.STDEV.P(IF(Table1[IndicatorCode]=Table1[[#This Row],[IndicatorCode]],Table1[value]))</f>
        <v>6.3409496564024987</v>
      </c>
      <c r="J8020">
        <f>(Table1[[#This Row],[value]] - Table1[[#This Row],[mean]]) / Table1[[#This Row],[std_dev]]</f>
        <v>0.84133453234508293</v>
      </c>
      <c r="K8020">
        <f>AVERAGEIF(Table1[CountryCode],Table1[[#This Row],[CountryCode]],Table1[z-score])</f>
        <v>0.38305593592472742</v>
      </c>
      <c r="L8020" t="e">
        <f>VLOOKUP(Table1[[#This Row],[CountryCode]],[1]!Table1[#All],1,FALSE)</f>
        <v>#REF!</v>
      </c>
    </row>
    <row r="8021" spans="1:12" hidden="1" x14ac:dyDescent="0.3">
      <c r="A8021" t="s">
        <v>33</v>
      </c>
      <c r="B8021" t="s">
        <v>34</v>
      </c>
      <c r="C8021" t="s">
        <v>129</v>
      </c>
      <c r="D8021" t="s">
        <v>130</v>
      </c>
      <c r="E8021">
        <v>2012</v>
      </c>
      <c r="F8021" s="1">
        <v>78</v>
      </c>
      <c r="G8021">
        <v>2010</v>
      </c>
      <c r="H8021">
        <f>AVERAGEIFS(Table1[value],Table1[IndicatorCode],Table1[[#This Row],[IndicatorCode]])</f>
        <v>72.66514008620689</v>
      </c>
      <c r="I8021" cm="1">
        <f t="array" ref="I8021">_xlfn.STDEV.P(IF(Table1[IndicatorCode]=Table1[[#This Row],[IndicatorCode]],Table1[value]))</f>
        <v>6.3409496564024987</v>
      </c>
      <c r="J8021">
        <f>(Table1[[#This Row],[value]] - Table1[[#This Row],[mean]]) / Table1[[#This Row],[std_dev]]</f>
        <v>0.84133453234508293</v>
      </c>
      <c r="K8021">
        <f>AVERAGEIF(Table1[CountryCode],Table1[[#This Row],[CountryCode]],Table1[z-score])</f>
        <v>0.38305593592472742</v>
      </c>
      <c r="L8021" t="e">
        <f>VLOOKUP(Table1[[#This Row],[CountryCode]],[1]!Table1[#All],1,FALSE)</f>
        <v>#REF!</v>
      </c>
    </row>
    <row r="8022" spans="1:12" hidden="1" x14ac:dyDescent="0.3">
      <c r="A8022" t="s">
        <v>33</v>
      </c>
      <c r="B8022" t="s">
        <v>34</v>
      </c>
      <c r="C8022" t="s">
        <v>129</v>
      </c>
      <c r="D8022" t="s">
        <v>130</v>
      </c>
      <c r="E8022">
        <v>2013</v>
      </c>
      <c r="F8022" s="1">
        <v>78</v>
      </c>
      <c r="G8022">
        <v>2010</v>
      </c>
      <c r="H8022">
        <f>AVERAGEIFS(Table1[value],Table1[IndicatorCode],Table1[[#This Row],[IndicatorCode]])</f>
        <v>72.66514008620689</v>
      </c>
      <c r="I8022" cm="1">
        <f t="array" ref="I8022">_xlfn.STDEV.P(IF(Table1[IndicatorCode]=Table1[[#This Row],[IndicatorCode]],Table1[value]))</f>
        <v>6.3409496564024987</v>
      </c>
      <c r="J8022">
        <f>(Table1[[#This Row],[value]] - Table1[[#This Row],[mean]]) / Table1[[#This Row],[std_dev]]</f>
        <v>0.84133453234508293</v>
      </c>
      <c r="K8022">
        <f>AVERAGEIF(Table1[CountryCode],Table1[[#This Row],[CountryCode]],Table1[z-score])</f>
        <v>0.38305593592472742</v>
      </c>
      <c r="L8022" t="e">
        <f>VLOOKUP(Table1[[#This Row],[CountryCode]],[1]!Table1[#All],1,FALSE)</f>
        <v>#REF!</v>
      </c>
    </row>
    <row r="8023" spans="1:12" hidden="1" x14ac:dyDescent="0.3">
      <c r="A8023" t="s">
        <v>33</v>
      </c>
      <c r="B8023" t="s">
        <v>34</v>
      </c>
      <c r="C8023" t="s">
        <v>129</v>
      </c>
      <c r="D8023" t="s">
        <v>130</v>
      </c>
      <c r="E8023">
        <v>2014</v>
      </c>
      <c r="F8023" s="1">
        <v>79</v>
      </c>
      <c r="G8023">
        <v>2010</v>
      </c>
      <c r="H8023">
        <f>AVERAGEIFS(Table1[value],Table1[IndicatorCode],Table1[[#This Row],[IndicatorCode]])</f>
        <v>72.66514008620689</v>
      </c>
      <c r="I8023" cm="1">
        <f t="array" ref="I8023">_xlfn.STDEV.P(IF(Table1[IndicatorCode]=Table1[[#This Row],[IndicatorCode]],Table1[value]))</f>
        <v>6.3409496564024987</v>
      </c>
      <c r="J8023">
        <f>(Table1[[#This Row],[value]] - Table1[[#This Row],[mean]]) / Table1[[#This Row],[std_dev]]</f>
        <v>0.99903961662852192</v>
      </c>
      <c r="K8023">
        <f>AVERAGEIF(Table1[CountryCode],Table1[[#This Row],[CountryCode]],Table1[z-score])</f>
        <v>0.38305593592472742</v>
      </c>
      <c r="L8023" t="e">
        <f>VLOOKUP(Table1[[#This Row],[CountryCode]],[1]!Table1[#All],1,FALSE)</f>
        <v>#REF!</v>
      </c>
    </row>
    <row r="8024" spans="1:12" hidden="1" x14ac:dyDescent="0.3">
      <c r="A8024" t="s">
        <v>33</v>
      </c>
      <c r="B8024" t="s">
        <v>34</v>
      </c>
      <c r="C8024" t="s">
        <v>129</v>
      </c>
      <c r="D8024" t="s">
        <v>130</v>
      </c>
      <c r="E8024">
        <v>2015</v>
      </c>
      <c r="F8024" s="1">
        <v>79</v>
      </c>
      <c r="G8024">
        <v>2010</v>
      </c>
      <c r="H8024">
        <f>AVERAGEIFS(Table1[value],Table1[IndicatorCode],Table1[[#This Row],[IndicatorCode]])</f>
        <v>72.66514008620689</v>
      </c>
      <c r="I8024" cm="1">
        <f t="array" ref="I8024">_xlfn.STDEV.P(IF(Table1[IndicatorCode]=Table1[[#This Row],[IndicatorCode]],Table1[value]))</f>
        <v>6.3409496564024987</v>
      </c>
      <c r="J8024">
        <f>(Table1[[#This Row],[value]] - Table1[[#This Row],[mean]]) / Table1[[#This Row],[std_dev]]</f>
        <v>0.99903961662852192</v>
      </c>
      <c r="K8024">
        <f>AVERAGEIF(Table1[CountryCode],Table1[[#This Row],[CountryCode]],Table1[z-score])</f>
        <v>0.38305593592472742</v>
      </c>
      <c r="L8024" t="e">
        <f>VLOOKUP(Table1[[#This Row],[CountryCode]],[1]!Table1[#All],1,FALSE)</f>
        <v>#REF!</v>
      </c>
    </row>
    <row r="8025" spans="1:12" hidden="1" x14ac:dyDescent="0.3">
      <c r="A8025" t="s">
        <v>33</v>
      </c>
      <c r="B8025" t="s">
        <v>34</v>
      </c>
      <c r="C8025" t="s">
        <v>129</v>
      </c>
      <c r="D8025" t="s">
        <v>130</v>
      </c>
      <c r="E8025">
        <v>2016</v>
      </c>
      <c r="F8025" s="1">
        <v>79</v>
      </c>
      <c r="G8025">
        <v>2010</v>
      </c>
      <c r="H8025">
        <f>AVERAGEIFS(Table1[value],Table1[IndicatorCode],Table1[[#This Row],[IndicatorCode]])</f>
        <v>72.66514008620689</v>
      </c>
      <c r="I8025" cm="1">
        <f t="array" ref="I8025">_xlfn.STDEV.P(IF(Table1[IndicatorCode]=Table1[[#This Row],[IndicatorCode]],Table1[value]))</f>
        <v>6.3409496564024987</v>
      </c>
      <c r="J8025">
        <f>(Table1[[#This Row],[value]] - Table1[[#This Row],[mean]]) / Table1[[#This Row],[std_dev]]</f>
        <v>0.99903961662852192</v>
      </c>
      <c r="K8025">
        <f>AVERAGEIF(Table1[CountryCode],Table1[[#This Row],[CountryCode]],Table1[z-score])</f>
        <v>0.38305593592472742</v>
      </c>
      <c r="L8025" t="e">
        <f>VLOOKUP(Table1[[#This Row],[CountryCode]],[1]!Table1[#All],1,FALSE)</f>
        <v>#REF!</v>
      </c>
    </row>
    <row r="8026" spans="1:12" hidden="1" x14ac:dyDescent="0.3">
      <c r="A8026" t="s">
        <v>33</v>
      </c>
      <c r="B8026" t="s">
        <v>34</v>
      </c>
      <c r="C8026" t="s">
        <v>129</v>
      </c>
      <c r="D8026" t="s">
        <v>130</v>
      </c>
      <c r="E8026">
        <v>2017</v>
      </c>
      <c r="F8026" s="1">
        <v>79</v>
      </c>
      <c r="G8026">
        <v>2020</v>
      </c>
      <c r="H8026">
        <f>AVERAGEIFS(Table1[value],Table1[IndicatorCode],Table1[[#This Row],[IndicatorCode]])</f>
        <v>72.66514008620689</v>
      </c>
      <c r="I8026" cm="1">
        <f t="array" ref="I8026">_xlfn.STDEV.P(IF(Table1[IndicatorCode]=Table1[[#This Row],[IndicatorCode]],Table1[value]))</f>
        <v>6.3409496564024987</v>
      </c>
      <c r="J8026">
        <f>(Table1[[#This Row],[value]] - Table1[[#This Row],[mean]]) / Table1[[#This Row],[std_dev]]</f>
        <v>0.99903961662852192</v>
      </c>
      <c r="K8026">
        <f>AVERAGEIF(Table1[CountryCode],Table1[[#This Row],[CountryCode]],Table1[z-score])</f>
        <v>0.38305593592472742</v>
      </c>
      <c r="L8026" t="e">
        <f>VLOOKUP(Table1[[#This Row],[CountryCode]],[1]!Table1[#All],1,FALSE)</f>
        <v>#REF!</v>
      </c>
    </row>
    <row r="8027" spans="1:12" hidden="1" x14ac:dyDescent="0.3">
      <c r="A8027" t="s">
        <v>33</v>
      </c>
      <c r="B8027" t="s">
        <v>34</v>
      </c>
      <c r="C8027" t="s">
        <v>129</v>
      </c>
      <c r="D8027" t="s">
        <v>130</v>
      </c>
      <c r="E8027">
        <v>2018</v>
      </c>
      <c r="F8027" s="1">
        <v>79</v>
      </c>
      <c r="G8027">
        <v>2020</v>
      </c>
      <c r="H8027">
        <f>AVERAGEIFS(Table1[value],Table1[IndicatorCode],Table1[[#This Row],[IndicatorCode]])</f>
        <v>72.66514008620689</v>
      </c>
      <c r="I8027" cm="1">
        <f t="array" ref="I8027">_xlfn.STDEV.P(IF(Table1[IndicatorCode]=Table1[[#This Row],[IndicatorCode]],Table1[value]))</f>
        <v>6.3409496564024987</v>
      </c>
      <c r="J8027">
        <f>(Table1[[#This Row],[value]] - Table1[[#This Row],[mean]]) / Table1[[#This Row],[std_dev]]</f>
        <v>0.99903961662852192</v>
      </c>
      <c r="K8027">
        <f>AVERAGEIF(Table1[CountryCode],Table1[[#This Row],[CountryCode]],Table1[z-score])</f>
        <v>0.38305593592472742</v>
      </c>
      <c r="L8027" t="e">
        <f>VLOOKUP(Table1[[#This Row],[CountryCode]],[1]!Table1[#All],1,FALSE)</f>
        <v>#REF!</v>
      </c>
    </row>
    <row r="8028" spans="1:12" hidden="1" x14ac:dyDescent="0.3">
      <c r="A8028" t="s">
        <v>33</v>
      </c>
      <c r="B8028" t="s">
        <v>34</v>
      </c>
      <c r="C8028" t="s">
        <v>129</v>
      </c>
      <c r="D8028" t="s">
        <v>130</v>
      </c>
      <c r="E8028">
        <v>2019</v>
      </c>
      <c r="F8028" s="1">
        <v>79</v>
      </c>
      <c r="G8028">
        <v>2020</v>
      </c>
      <c r="H8028">
        <f>AVERAGEIFS(Table1[value],Table1[IndicatorCode],Table1[[#This Row],[IndicatorCode]])</f>
        <v>72.66514008620689</v>
      </c>
      <c r="I8028" cm="1">
        <f t="array" ref="I8028">_xlfn.STDEV.P(IF(Table1[IndicatorCode]=Table1[[#This Row],[IndicatorCode]],Table1[value]))</f>
        <v>6.3409496564024987</v>
      </c>
      <c r="J8028">
        <f>(Table1[[#This Row],[value]] - Table1[[#This Row],[mean]]) / Table1[[#This Row],[std_dev]]</f>
        <v>0.99903961662852192</v>
      </c>
      <c r="K8028">
        <f>AVERAGEIF(Table1[CountryCode],Table1[[#This Row],[CountryCode]],Table1[z-score])</f>
        <v>0.38305593592472742</v>
      </c>
      <c r="L8028" t="e">
        <f>VLOOKUP(Table1[[#This Row],[CountryCode]],[1]!Table1[#All],1,FALSE)</f>
        <v>#REF!</v>
      </c>
    </row>
    <row r="8029" spans="1:12" x14ac:dyDescent="0.3">
      <c r="A8029" t="s">
        <v>33</v>
      </c>
      <c r="B8029" t="s">
        <v>34</v>
      </c>
      <c r="C8029" t="s">
        <v>129</v>
      </c>
      <c r="D8029" t="s">
        <v>130</v>
      </c>
      <c r="E8029">
        <v>2020</v>
      </c>
      <c r="F8029" s="1">
        <v>78</v>
      </c>
      <c r="G8029">
        <v>2020</v>
      </c>
      <c r="H8029">
        <f>AVERAGEIFS(Table1[value],Table1[IndicatorCode],Table1[[#This Row],[IndicatorCode]])</f>
        <v>72.66514008620689</v>
      </c>
      <c r="I8029" cm="1">
        <f t="array" ref="I8029">_xlfn.STDEV.P(IF(Table1[IndicatorCode]=Table1[[#This Row],[IndicatorCode]],Table1[value]))</f>
        <v>6.3409496564024987</v>
      </c>
      <c r="J8029">
        <f>(Table1[[#This Row],[value]] - Table1[[#This Row],[mean]]) / Table1[[#This Row],[std_dev]]</f>
        <v>0.84133453234508293</v>
      </c>
      <c r="K8029">
        <f>AVERAGEIF(Table1[CountryCode],Table1[[#This Row],[CountryCode]],Table1[z-score])</f>
        <v>0.38305593592472742</v>
      </c>
    </row>
    <row r="8030" spans="1:12" hidden="1" x14ac:dyDescent="0.3">
      <c r="A8030" t="s">
        <v>33</v>
      </c>
      <c r="B8030" t="s">
        <v>34</v>
      </c>
      <c r="C8030" t="s">
        <v>129</v>
      </c>
      <c r="D8030" t="s">
        <v>130</v>
      </c>
      <c r="E8030">
        <v>2021</v>
      </c>
      <c r="F8030" s="1">
        <v>77</v>
      </c>
      <c r="G8030">
        <v>1960</v>
      </c>
      <c r="H8030">
        <f>AVERAGEIFS(Table1[value],Table1[IndicatorCode],Table1[[#This Row],[IndicatorCode]])</f>
        <v>72.66514008620689</v>
      </c>
      <c r="I8030" cm="1">
        <f t="array" ref="I8030">_xlfn.STDEV.P(IF(Table1[IndicatorCode]=Table1[[#This Row],[IndicatorCode]],Table1[value]))</f>
        <v>6.3409496564024987</v>
      </c>
      <c r="J8030">
        <f>(Table1[[#This Row],[value]] - Table1[[#This Row],[mean]]) / Table1[[#This Row],[std_dev]]</f>
        <v>0.68362944806164383</v>
      </c>
      <c r="K8030">
        <f>AVERAGEIF(Table1[CountryCode],Table1[[#This Row],[CountryCode]],Table1[z-score])</f>
        <v>0.38305593592472742</v>
      </c>
      <c r="L8030" t="e">
        <f>VLOOKUP(Table1[[#This Row],[CountryCode]],[1]!Table1[#All],1,FALSE)</f>
        <v>#REF!</v>
      </c>
    </row>
    <row r="8031" spans="1:12" hidden="1" x14ac:dyDescent="0.3">
      <c r="A8031" t="s">
        <v>33</v>
      </c>
      <c r="B8031" t="s">
        <v>34</v>
      </c>
      <c r="C8031" t="s">
        <v>129</v>
      </c>
      <c r="D8031" t="s">
        <v>130</v>
      </c>
      <c r="E8031">
        <v>2022</v>
      </c>
      <c r="F8031" s="1">
        <v>79</v>
      </c>
      <c r="G8031">
        <v>1960</v>
      </c>
      <c r="H8031">
        <f>AVERAGEIFS(Table1[value],Table1[IndicatorCode],Table1[[#This Row],[IndicatorCode]])</f>
        <v>72.66514008620689</v>
      </c>
      <c r="I8031" cm="1">
        <f t="array" ref="I8031">_xlfn.STDEV.P(IF(Table1[IndicatorCode]=Table1[[#This Row],[IndicatorCode]],Table1[value]))</f>
        <v>6.3409496564024987</v>
      </c>
      <c r="J8031">
        <f>(Table1[[#This Row],[value]] - Table1[[#This Row],[mean]]) / Table1[[#This Row],[std_dev]]</f>
        <v>0.99903961662852192</v>
      </c>
      <c r="K8031">
        <f>AVERAGEIF(Table1[CountryCode],Table1[[#This Row],[CountryCode]],Table1[z-score])</f>
        <v>0.38305593592472742</v>
      </c>
      <c r="L8031" t="e">
        <f>VLOOKUP(Table1[[#This Row],[CountryCode]],[1]!Table1[#All],1,FALSE)</f>
        <v>#REF!</v>
      </c>
    </row>
    <row r="8032" spans="1:12" hidden="1" x14ac:dyDescent="0.3">
      <c r="A8032" t="s">
        <v>33</v>
      </c>
      <c r="B8032" t="s">
        <v>34</v>
      </c>
      <c r="C8032" t="s">
        <v>129</v>
      </c>
      <c r="D8032" t="s">
        <v>130</v>
      </c>
      <c r="E8032">
        <v>2023</v>
      </c>
      <c r="F8032" s="1">
        <v>80</v>
      </c>
      <c r="G8032">
        <v>1960</v>
      </c>
      <c r="H8032">
        <f>AVERAGEIFS(Table1[value],Table1[IndicatorCode],Table1[[#This Row],[IndicatorCode]])</f>
        <v>72.66514008620689</v>
      </c>
      <c r="I8032" cm="1">
        <f t="array" ref="I8032">_xlfn.STDEV.P(IF(Table1[IndicatorCode]=Table1[[#This Row],[IndicatorCode]],Table1[value]))</f>
        <v>6.3409496564024987</v>
      </c>
      <c r="J8032">
        <f>(Table1[[#This Row],[value]] - Table1[[#This Row],[mean]]) / Table1[[#This Row],[std_dev]]</f>
        <v>1.1567447009119609</v>
      </c>
      <c r="K8032">
        <f>AVERAGEIF(Table1[CountryCode],Table1[[#This Row],[CountryCode]],Table1[z-score])</f>
        <v>0.38305593592472742</v>
      </c>
      <c r="L8032" t="e">
        <f>VLOOKUP(Table1[[#This Row],[CountryCode]],[1]!Table1[#All],1,FALSE)</f>
        <v>#REF!</v>
      </c>
    </row>
    <row r="8033" spans="1:12" hidden="1" x14ac:dyDescent="0.3">
      <c r="A8033" t="s">
        <v>35</v>
      </c>
      <c r="B8033" t="s">
        <v>36</v>
      </c>
      <c r="C8033" t="s">
        <v>129</v>
      </c>
      <c r="D8033" t="s">
        <v>130</v>
      </c>
      <c r="E8033">
        <v>1960</v>
      </c>
      <c r="F8033" s="1">
        <v>69</v>
      </c>
      <c r="G8033">
        <v>1960</v>
      </c>
      <c r="H8033">
        <f>AVERAGEIFS(Table1[value],Table1[IndicatorCode],Table1[[#This Row],[IndicatorCode]])</f>
        <v>72.66514008620689</v>
      </c>
      <c r="I8033" cm="1">
        <f t="array" ref="I8033">_xlfn.STDEV.P(IF(Table1[IndicatorCode]=Table1[[#This Row],[IndicatorCode]],Table1[value]))</f>
        <v>6.3409496564024987</v>
      </c>
      <c r="J8033">
        <f>(Table1[[#This Row],[value]] - Table1[[#This Row],[mean]]) / Table1[[#This Row],[std_dev]]</f>
        <v>-0.57801122620586864</v>
      </c>
      <c r="K8033">
        <f>AVERAGEIF(Table1[CountryCode],Table1[[#This Row],[CountryCode]],Table1[z-score])</f>
        <v>0.40817616735273116</v>
      </c>
      <c r="L8033" t="e">
        <f>VLOOKUP(Table1[[#This Row],[CountryCode]],[1]!Table1[#All],1,FALSE)</f>
        <v>#REF!</v>
      </c>
    </row>
    <row r="8034" spans="1:12" hidden="1" x14ac:dyDescent="0.3">
      <c r="A8034" t="s">
        <v>35</v>
      </c>
      <c r="B8034" t="s">
        <v>36</v>
      </c>
      <c r="C8034" t="s">
        <v>129</v>
      </c>
      <c r="D8034" t="s">
        <v>130</v>
      </c>
      <c r="E8034">
        <v>1961</v>
      </c>
      <c r="F8034" s="1">
        <v>70</v>
      </c>
      <c r="G8034">
        <v>1960</v>
      </c>
      <c r="H8034">
        <f>AVERAGEIFS(Table1[value],Table1[IndicatorCode],Table1[[#This Row],[IndicatorCode]])</f>
        <v>72.66514008620689</v>
      </c>
      <c r="I8034" cm="1">
        <f t="array" ref="I8034">_xlfn.STDEV.P(IF(Table1[IndicatorCode]=Table1[[#This Row],[IndicatorCode]],Table1[value]))</f>
        <v>6.3409496564024987</v>
      </c>
      <c r="J8034">
        <f>(Table1[[#This Row],[value]] - Table1[[#This Row],[mean]]) / Table1[[#This Row],[std_dev]]</f>
        <v>-0.4203061419224296</v>
      </c>
      <c r="K8034">
        <f>AVERAGEIF(Table1[CountryCode],Table1[[#This Row],[CountryCode]],Table1[z-score])</f>
        <v>0.40817616735273116</v>
      </c>
      <c r="L8034" t="e">
        <f>VLOOKUP(Table1[[#This Row],[CountryCode]],[1]!Table1[#All],1,FALSE)</f>
        <v>#REF!</v>
      </c>
    </row>
    <row r="8035" spans="1:12" hidden="1" x14ac:dyDescent="0.3">
      <c r="A8035" t="s">
        <v>35</v>
      </c>
      <c r="B8035" t="s">
        <v>36</v>
      </c>
      <c r="C8035" t="s">
        <v>129</v>
      </c>
      <c r="D8035" t="s">
        <v>130</v>
      </c>
      <c r="E8035">
        <v>1962</v>
      </c>
      <c r="F8035" s="1">
        <v>70</v>
      </c>
      <c r="G8035">
        <v>1960</v>
      </c>
      <c r="H8035">
        <f>AVERAGEIFS(Table1[value],Table1[IndicatorCode],Table1[[#This Row],[IndicatorCode]])</f>
        <v>72.66514008620689</v>
      </c>
      <c r="I8035" cm="1">
        <f t="array" ref="I8035">_xlfn.STDEV.P(IF(Table1[IndicatorCode]=Table1[[#This Row],[IndicatorCode]],Table1[value]))</f>
        <v>6.3409496564024987</v>
      </c>
      <c r="J8035">
        <f>(Table1[[#This Row],[value]] - Table1[[#This Row],[mean]]) / Table1[[#This Row],[std_dev]]</f>
        <v>-0.4203061419224296</v>
      </c>
      <c r="K8035">
        <f>AVERAGEIF(Table1[CountryCode],Table1[[#This Row],[CountryCode]],Table1[z-score])</f>
        <v>0.40817616735273116</v>
      </c>
      <c r="L8035" t="e">
        <f>VLOOKUP(Table1[[#This Row],[CountryCode]],[1]!Table1[#All],1,FALSE)</f>
        <v>#REF!</v>
      </c>
    </row>
    <row r="8036" spans="1:12" hidden="1" x14ac:dyDescent="0.3">
      <c r="A8036" t="s">
        <v>35</v>
      </c>
      <c r="B8036" t="s">
        <v>36</v>
      </c>
      <c r="C8036" t="s">
        <v>129</v>
      </c>
      <c r="D8036" t="s">
        <v>130</v>
      </c>
      <c r="E8036">
        <v>1963</v>
      </c>
      <c r="F8036" s="1">
        <v>70</v>
      </c>
      <c r="G8036">
        <v>1960</v>
      </c>
      <c r="H8036">
        <f>AVERAGEIFS(Table1[value],Table1[IndicatorCode],Table1[[#This Row],[IndicatorCode]])</f>
        <v>72.66514008620689</v>
      </c>
      <c r="I8036" cm="1">
        <f t="array" ref="I8036">_xlfn.STDEV.P(IF(Table1[IndicatorCode]=Table1[[#This Row],[IndicatorCode]],Table1[value]))</f>
        <v>6.3409496564024987</v>
      </c>
      <c r="J8036">
        <f>(Table1[[#This Row],[value]] - Table1[[#This Row],[mean]]) / Table1[[#This Row],[std_dev]]</f>
        <v>-0.4203061419224296</v>
      </c>
      <c r="K8036">
        <f>AVERAGEIF(Table1[CountryCode],Table1[[#This Row],[CountryCode]],Table1[z-score])</f>
        <v>0.40817616735273116</v>
      </c>
      <c r="L8036" t="e">
        <f>VLOOKUP(Table1[[#This Row],[CountryCode]],[1]!Table1[#All],1,FALSE)</f>
        <v>#REF!</v>
      </c>
    </row>
    <row r="8037" spans="1:12" hidden="1" x14ac:dyDescent="0.3">
      <c r="A8037" t="s">
        <v>35</v>
      </c>
      <c r="B8037" t="s">
        <v>36</v>
      </c>
      <c r="C8037" t="s">
        <v>129</v>
      </c>
      <c r="D8037" t="s">
        <v>130</v>
      </c>
      <c r="E8037">
        <v>1964</v>
      </c>
      <c r="F8037" s="1">
        <v>70</v>
      </c>
      <c r="G8037">
        <v>1960</v>
      </c>
      <c r="H8037">
        <f>AVERAGEIFS(Table1[value],Table1[IndicatorCode],Table1[[#This Row],[IndicatorCode]])</f>
        <v>72.66514008620689</v>
      </c>
      <c r="I8037" cm="1">
        <f t="array" ref="I8037">_xlfn.STDEV.P(IF(Table1[IndicatorCode]=Table1[[#This Row],[IndicatorCode]],Table1[value]))</f>
        <v>6.3409496564024987</v>
      </c>
      <c r="J8037">
        <f>(Table1[[#This Row],[value]] - Table1[[#This Row],[mean]]) / Table1[[#This Row],[std_dev]]</f>
        <v>-0.4203061419224296</v>
      </c>
      <c r="K8037">
        <f>AVERAGEIF(Table1[CountryCode],Table1[[#This Row],[CountryCode]],Table1[z-score])</f>
        <v>0.40817616735273116</v>
      </c>
      <c r="L8037" t="e">
        <f>VLOOKUP(Table1[[#This Row],[CountryCode]],[1]!Table1[#All],1,FALSE)</f>
        <v>#REF!</v>
      </c>
    </row>
    <row r="8038" spans="1:12" hidden="1" x14ac:dyDescent="0.3">
      <c r="A8038" t="s">
        <v>35</v>
      </c>
      <c r="B8038" t="s">
        <v>36</v>
      </c>
      <c r="C8038" t="s">
        <v>129</v>
      </c>
      <c r="D8038" t="s">
        <v>130</v>
      </c>
      <c r="E8038">
        <v>1965</v>
      </c>
      <c r="F8038" s="1">
        <v>70</v>
      </c>
      <c r="G8038">
        <v>1960</v>
      </c>
      <c r="H8038">
        <f>AVERAGEIFS(Table1[value],Table1[IndicatorCode],Table1[[#This Row],[IndicatorCode]])</f>
        <v>72.66514008620689</v>
      </c>
      <c r="I8038" cm="1">
        <f t="array" ref="I8038">_xlfn.STDEV.P(IF(Table1[IndicatorCode]=Table1[[#This Row],[IndicatorCode]],Table1[value]))</f>
        <v>6.3409496564024987</v>
      </c>
      <c r="J8038">
        <f>(Table1[[#This Row],[value]] - Table1[[#This Row],[mean]]) / Table1[[#This Row],[std_dev]]</f>
        <v>-0.4203061419224296</v>
      </c>
      <c r="K8038">
        <f>AVERAGEIF(Table1[CountryCode],Table1[[#This Row],[CountryCode]],Table1[z-score])</f>
        <v>0.40817616735273116</v>
      </c>
      <c r="L8038" t="e">
        <f>VLOOKUP(Table1[[#This Row],[CountryCode]],[1]!Table1[#All],1,FALSE)</f>
        <v>#REF!</v>
      </c>
    </row>
    <row r="8039" spans="1:12" hidden="1" x14ac:dyDescent="0.3">
      <c r="A8039" t="s">
        <v>35</v>
      </c>
      <c r="B8039" t="s">
        <v>36</v>
      </c>
      <c r="C8039" t="s">
        <v>129</v>
      </c>
      <c r="D8039" t="s">
        <v>130</v>
      </c>
      <c r="E8039">
        <v>1966</v>
      </c>
      <c r="F8039" s="1">
        <v>71</v>
      </c>
      <c r="G8039">
        <v>1960</v>
      </c>
      <c r="H8039">
        <f>AVERAGEIFS(Table1[value],Table1[IndicatorCode],Table1[[#This Row],[IndicatorCode]])</f>
        <v>72.66514008620689</v>
      </c>
      <c r="I8039" cm="1">
        <f t="array" ref="I8039">_xlfn.STDEV.P(IF(Table1[IndicatorCode]=Table1[[#This Row],[IndicatorCode]],Table1[value]))</f>
        <v>6.3409496564024987</v>
      </c>
      <c r="J8039">
        <f>(Table1[[#This Row],[value]] - Table1[[#This Row],[mean]]) / Table1[[#This Row],[std_dev]]</f>
        <v>-0.2626010576389905</v>
      </c>
      <c r="K8039">
        <f>AVERAGEIF(Table1[CountryCode],Table1[[#This Row],[CountryCode]],Table1[z-score])</f>
        <v>0.40817616735273116</v>
      </c>
      <c r="L8039" t="e">
        <f>VLOOKUP(Table1[[#This Row],[CountryCode]],[1]!Table1[#All],1,FALSE)</f>
        <v>#REF!</v>
      </c>
    </row>
    <row r="8040" spans="1:12" hidden="1" x14ac:dyDescent="0.3">
      <c r="A8040" t="s">
        <v>35</v>
      </c>
      <c r="B8040" t="s">
        <v>36</v>
      </c>
      <c r="C8040" t="s">
        <v>129</v>
      </c>
      <c r="D8040" t="s">
        <v>130</v>
      </c>
      <c r="E8040">
        <v>1967</v>
      </c>
      <c r="F8040" s="1">
        <v>71</v>
      </c>
      <c r="G8040">
        <v>1970</v>
      </c>
      <c r="H8040">
        <f>AVERAGEIFS(Table1[value],Table1[IndicatorCode],Table1[[#This Row],[IndicatorCode]])</f>
        <v>72.66514008620689</v>
      </c>
      <c r="I8040" cm="1">
        <f t="array" ref="I8040">_xlfn.STDEV.P(IF(Table1[IndicatorCode]=Table1[[#This Row],[IndicatorCode]],Table1[value]))</f>
        <v>6.3409496564024987</v>
      </c>
      <c r="J8040">
        <f>(Table1[[#This Row],[value]] - Table1[[#This Row],[mean]]) / Table1[[#This Row],[std_dev]]</f>
        <v>-0.2626010576389905</v>
      </c>
      <c r="K8040">
        <f>AVERAGEIF(Table1[CountryCode],Table1[[#This Row],[CountryCode]],Table1[z-score])</f>
        <v>0.40817616735273116</v>
      </c>
      <c r="L8040" t="e">
        <f>VLOOKUP(Table1[[#This Row],[CountryCode]],[1]!Table1[#All],1,FALSE)</f>
        <v>#REF!</v>
      </c>
    </row>
    <row r="8041" spans="1:12" hidden="1" x14ac:dyDescent="0.3">
      <c r="A8041" t="s">
        <v>35</v>
      </c>
      <c r="B8041" t="s">
        <v>36</v>
      </c>
      <c r="C8041" t="s">
        <v>129</v>
      </c>
      <c r="D8041" t="s">
        <v>130</v>
      </c>
      <c r="E8041">
        <v>1968</v>
      </c>
      <c r="F8041" s="1">
        <v>70</v>
      </c>
      <c r="G8041">
        <v>1970</v>
      </c>
      <c r="H8041">
        <f>AVERAGEIFS(Table1[value],Table1[IndicatorCode],Table1[[#This Row],[IndicatorCode]])</f>
        <v>72.66514008620689</v>
      </c>
      <c r="I8041" cm="1">
        <f t="array" ref="I8041">_xlfn.STDEV.P(IF(Table1[IndicatorCode]=Table1[[#This Row],[IndicatorCode]],Table1[value]))</f>
        <v>6.3409496564024987</v>
      </c>
      <c r="J8041">
        <f>(Table1[[#This Row],[value]] - Table1[[#This Row],[mean]]) / Table1[[#This Row],[std_dev]]</f>
        <v>-0.4203061419224296</v>
      </c>
      <c r="K8041">
        <f>AVERAGEIF(Table1[CountryCode],Table1[[#This Row],[CountryCode]],Table1[z-score])</f>
        <v>0.40817616735273116</v>
      </c>
      <c r="L8041" t="e">
        <f>VLOOKUP(Table1[[#This Row],[CountryCode]],[1]!Table1[#All],1,FALSE)</f>
        <v>#REF!</v>
      </c>
    </row>
    <row r="8042" spans="1:12" hidden="1" x14ac:dyDescent="0.3">
      <c r="A8042" t="s">
        <v>35</v>
      </c>
      <c r="B8042" t="s">
        <v>36</v>
      </c>
      <c r="C8042" t="s">
        <v>129</v>
      </c>
      <c r="D8042" t="s">
        <v>130</v>
      </c>
      <c r="E8042">
        <v>1969</v>
      </c>
      <c r="F8042" s="1">
        <v>70</v>
      </c>
      <c r="G8042">
        <v>1970</v>
      </c>
      <c r="H8042">
        <f>AVERAGEIFS(Table1[value],Table1[IndicatorCode],Table1[[#This Row],[IndicatorCode]])</f>
        <v>72.66514008620689</v>
      </c>
      <c r="I8042" cm="1">
        <f t="array" ref="I8042">_xlfn.STDEV.P(IF(Table1[IndicatorCode]=Table1[[#This Row],[IndicatorCode]],Table1[value]))</f>
        <v>6.3409496564024987</v>
      </c>
      <c r="J8042">
        <f>(Table1[[#This Row],[value]] - Table1[[#This Row],[mean]]) / Table1[[#This Row],[std_dev]]</f>
        <v>-0.4203061419224296</v>
      </c>
      <c r="K8042">
        <f>AVERAGEIF(Table1[CountryCode],Table1[[#This Row],[CountryCode]],Table1[z-score])</f>
        <v>0.40817616735273116</v>
      </c>
      <c r="L8042" t="e">
        <f>VLOOKUP(Table1[[#This Row],[CountryCode]],[1]!Table1[#All],1,FALSE)</f>
        <v>#REF!</v>
      </c>
    </row>
    <row r="8043" spans="1:12" hidden="1" x14ac:dyDescent="0.3">
      <c r="A8043" t="s">
        <v>35</v>
      </c>
      <c r="B8043" t="s">
        <v>36</v>
      </c>
      <c r="C8043" t="s">
        <v>129</v>
      </c>
      <c r="D8043" t="s">
        <v>130</v>
      </c>
      <c r="E8043">
        <v>1970</v>
      </c>
      <c r="F8043" s="1">
        <v>70</v>
      </c>
      <c r="G8043">
        <v>1970</v>
      </c>
      <c r="H8043">
        <f>AVERAGEIFS(Table1[value],Table1[IndicatorCode],Table1[[#This Row],[IndicatorCode]])</f>
        <v>72.66514008620689</v>
      </c>
      <c r="I8043" cm="1">
        <f t="array" ref="I8043">_xlfn.STDEV.P(IF(Table1[IndicatorCode]=Table1[[#This Row],[IndicatorCode]],Table1[value]))</f>
        <v>6.3409496564024987</v>
      </c>
      <c r="J8043">
        <f>(Table1[[#This Row],[value]] - Table1[[#This Row],[mean]]) / Table1[[#This Row],[std_dev]]</f>
        <v>-0.4203061419224296</v>
      </c>
      <c r="K8043">
        <f>AVERAGEIF(Table1[CountryCode],Table1[[#This Row],[CountryCode]],Table1[z-score])</f>
        <v>0.40817616735273116</v>
      </c>
      <c r="L8043" t="e">
        <f>VLOOKUP(Table1[[#This Row],[CountryCode]],[1]!Table1[#All],1,FALSE)</f>
        <v>#REF!</v>
      </c>
    </row>
    <row r="8044" spans="1:12" hidden="1" x14ac:dyDescent="0.3">
      <c r="A8044" t="s">
        <v>35</v>
      </c>
      <c r="B8044" t="s">
        <v>36</v>
      </c>
      <c r="C8044" t="s">
        <v>129</v>
      </c>
      <c r="D8044" t="s">
        <v>130</v>
      </c>
      <c r="E8044">
        <v>1971</v>
      </c>
      <c r="F8044" s="1">
        <v>71</v>
      </c>
      <c r="G8044">
        <v>1970</v>
      </c>
      <c r="H8044">
        <f>AVERAGEIFS(Table1[value],Table1[IndicatorCode],Table1[[#This Row],[IndicatorCode]])</f>
        <v>72.66514008620689</v>
      </c>
      <c r="I8044" cm="1">
        <f t="array" ref="I8044">_xlfn.STDEV.P(IF(Table1[IndicatorCode]=Table1[[#This Row],[IndicatorCode]],Table1[value]))</f>
        <v>6.3409496564024987</v>
      </c>
      <c r="J8044">
        <f>(Table1[[#This Row],[value]] - Table1[[#This Row],[mean]]) / Table1[[#This Row],[std_dev]]</f>
        <v>-0.2626010576389905</v>
      </c>
      <c r="K8044">
        <f>AVERAGEIF(Table1[CountryCode],Table1[[#This Row],[CountryCode]],Table1[z-score])</f>
        <v>0.40817616735273116</v>
      </c>
      <c r="L8044" t="e">
        <f>VLOOKUP(Table1[[#This Row],[CountryCode]],[1]!Table1[#All],1,FALSE)</f>
        <v>#REF!</v>
      </c>
    </row>
    <row r="8045" spans="1:12" hidden="1" x14ac:dyDescent="0.3">
      <c r="A8045" t="s">
        <v>35</v>
      </c>
      <c r="B8045" t="s">
        <v>36</v>
      </c>
      <c r="C8045" t="s">
        <v>129</v>
      </c>
      <c r="D8045" t="s">
        <v>130</v>
      </c>
      <c r="E8045">
        <v>1972</v>
      </c>
      <c r="F8045" s="1">
        <v>71</v>
      </c>
      <c r="G8045">
        <v>1970</v>
      </c>
      <c r="H8045">
        <f>AVERAGEIFS(Table1[value],Table1[IndicatorCode],Table1[[#This Row],[IndicatorCode]])</f>
        <v>72.66514008620689</v>
      </c>
      <c r="I8045" cm="1">
        <f t="array" ref="I8045">_xlfn.STDEV.P(IF(Table1[IndicatorCode]=Table1[[#This Row],[IndicatorCode]],Table1[value]))</f>
        <v>6.3409496564024987</v>
      </c>
      <c r="J8045">
        <f>(Table1[[#This Row],[value]] - Table1[[#This Row],[mean]]) / Table1[[#This Row],[std_dev]]</f>
        <v>-0.2626010576389905</v>
      </c>
      <c r="K8045">
        <f>AVERAGEIF(Table1[CountryCode],Table1[[#This Row],[CountryCode]],Table1[z-score])</f>
        <v>0.40817616735273116</v>
      </c>
      <c r="L8045" t="e">
        <f>VLOOKUP(Table1[[#This Row],[CountryCode]],[1]!Table1[#All],1,FALSE)</f>
        <v>#REF!</v>
      </c>
    </row>
    <row r="8046" spans="1:12" hidden="1" x14ac:dyDescent="0.3">
      <c r="A8046" t="s">
        <v>35</v>
      </c>
      <c r="B8046" t="s">
        <v>36</v>
      </c>
      <c r="C8046" t="s">
        <v>129</v>
      </c>
      <c r="D8046" t="s">
        <v>130</v>
      </c>
      <c r="E8046">
        <v>1973</v>
      </c>
      <c r="F8046" s="1">
        <v>71</v>
      </c>
      <c r="G8046">
        <v>1970</v>
      </c>
      <c r="H8046">
        <f>AVERAGEIFS(Table1[value],Table1[IndicatorCode],Table1[[#This Row],[IndicatorCode]])</f>
        <v>72.66514008620689</v>
      </c>
      <c r="I8046" cm="1">
        <f t="array" ref="I8046">_xlfn.STDEV.P(IF(Table1[IndicatorCode]=Table1[[#This Row],[IndicatorCode]],Table1[value]))</f>
        <v>6.3409496564024987</v>
      </c>
      <c r="J8046">
        <f>(Table1[[#This Row],[value]] - Table1[[#This Row],[mean]]) / Table1[[#This Row],[std_dev]]</f>
        <v>-0.2626010576389905</v>
      </c>
      <c r="K8046">
        <f>AVERAGEIF(Table1[CountryCode],Table1[[#This Row],[CountryCode]],Table1[z-score])</f>
        <v>0.40817616735273116</v>
      </c>
      <c r="L8046" t="e">
        <f>VLOOKUP(Table1[[#This Row],[CountryCode]],[1]!Table1[#All],1,FALSE)</f>
        <v>#REF!</v>
      </c>
    </row>
    <row r="8047" spans="1:12" hidden="1" x14ac:dyDescent="0.3">
      <c r="A8047" t="s">
        <v>35</v>
      </c>
      <c r="B8047" t="s">
        <v>36</v>
      </c>
      <c r="C8047" t="s">
        <v>129</v>
      </c>
      <c r="D8047" t="s">
        <v>130</v>
      </c>
      <c r="E8047">
        <v>1974</v>
      </c>
      <c r="F8047" s="1">
        <v>71</v>
      </c>
      <c r="G8047">
        <v>1970</v>
      </c>
      <c r="H8047">
        <f>AVERAGEIFS(Table1[value],Table1[IndicatorCode],Table1[[#This Row],[IndicatorCode]])</f>
        <v>72.66514008620689</v>
      </c>
      <c r="I8047" cm="1">
        <f t="array" ref="I8047">_xlfn.STDEV.P(IF(Table1[IndicatorCode]=Table1[[#This Row],[IndicatorCode]],Table1[value]))</f>
        <v>6.3409496564024987</v>
      </c>
      <c r="J8047">
        <f>(Table1[[#This Row],[value]] - Table1[[#This Row],[mean]]) / Table1[[#This Row],[std_dev]]</f>
        <v>-0.2626010576389905</v>
      </c>
      <c r="K8047">
        <f>AVERAGEIF(Table1[CountryCode],Table1[[#This Row],[CountryCode]],Table1[z-score])</f>
        <v>0.40817616735273116</v>
      </c>
      <c r="L8047" t="e">
        <f>VLOOKUP(Table1[[#This Row],[CountryCode]],[1]!Table1[#All],1,FALSE)</f>
        <v>#REF!</v>
      </c>
    </row>
    <row r="8048" spans="1:12" hidden="1" x14ac:dyDescent="0.3">
      <c r="A8048" t="s">
        <v>35</v>
      </c>
      <c r="B8048" t="s">
        <v>36</v>
      </c>
      <c r="C8048" t="s">
        <v>129</v>
      </c>
      <c r="D8048" t="s">
        <v>130</v>
      </c>
      <c r="E8048">
        <v>1975</v>
      </c>
      <c r="F8048" s="1">
        <v>71</v>
      </c>
      <c r="G8048">
        <v>1970</v>
      </c>
      <c r="H8048">
        <f>AVERAGEIFS(Table1[value],Table1[IndicatorCode],Table1[[#This Row],[IndicatorCode]])</f>
        <v>72.66514008620689</v>
      </c>
      <c r="I8048" cm="1">
        <f t="array" ref="I8048">_xlfn.STDEV.P(IF(Table1[IndicatorCode]=Table1[[#This Row],[IndicatorCode]],Table1[value]))</f>
        <v>6.3409496564024987</v>
      </c>
      <c r="J8048">
        <f>(Table1[[#This Row],[value]] - Table1[[#This Row],[mean]]) / Table1[[#This Row],[std_dev]]</f>
        <v>-0.2626010576389905</v>
      </c>
      <c r="K8048">
        <f>AVERAGEIF(Table1[CountryCode],Table1[[#This Row],[CountryCode]],Table1[z-score])</f>
        <v>0.40817616735273116</v>
      </c>
      <c r="L8048" t="e">
        <f>VLOOKUP(Table1[[#This Row],[CountryCode]],[1]!Table1[#All],1,FALSE)</f>
        <v>#REF!</v>
      </c>
    </row>
    <row r="8049" spans="1:12" hidden="1" x14ac:dyDescent="0.3">
      <c r="A8049" t="s">
        <v>35</v>
      </c>
      <c r="B8049" t="s">
        <v>36</v>
      </c>
      <c r="C8049" t="s">
        <v>129</v>
      </c>
      <c r="D8049" t="s">
        <v>130</v>
      </c>
      <c r="E8049">
        <v>1976</v>
      </c>
      <c r="F8049" s="1">
        <v>72</v>
      </c>
      <c r="G8049">
        <v>1970</v>
      </c>
      <c r="H8049">
        <f>AVERAGEIFS(Table1[value],Table1[IndicatorCode],Table1[[#This Row],[IndicatorCode]])</f>
        <v>72.66514008620689</v>
      </c>
      <c r="I8049" cm="1">
        <f t="array" ref="I8049">_xlfn.STDEV.P(IF(Table1[IndicatorCode]=Table1[[#This Row],[IndicatorCode]],Table1[value]))</f>
        <v>6.3409496564024987</v>
      </c>
      <c r="J8049">
        <f>(Table1[[#This Row],[value]] - Table1[[#This Row],[mean]]) / Table1[[#This Row],[std_dev]]</f>
        <v>-0.10489597335555145</v>
      </c>
      <c r="K8049">
        <f>AVERAGEIF(Table1[CountryCode],Table1[[#This Row],[CountryCode]],Table1[z-score])</f>
        <v>0.40817616735273116</v>
      </c>
      <c r="L8049" t="e">
        <f>VLOOKUP(Table1[[#This Row],[CountryCode]],[1]!Table1[#All],1,FALSE)</f>
        <v>#REF!</v>
      </c>
    </row>
    <row r="8050" spans="1:12" hidden="1" x14ac:dyDescent="0.3">
      <c r="A8050" t="s">
        <v>35</v>
      </c>
      <c r="B8050" t="s">
        <v>36</v>
      </c>
      <c r="C8050" t="s">
        <v>129</v>
      </c>
      <c r="D8050" t="s">
        <v>130</v>
      </c>
      <c r="E8050">
        <v>1977</v>
      </c>
      <c r="F8050" s="1">
        <v>72</v>
      </c>
      <c r="G8050">
        <v>1980</v>
      </c>
      <c r="H8050">
        <f>AVERAGEIFS(Table1[value],Table1[IndicatorCode],Table1[[#This Row],[IndicatorCode]])</f>
        <v>72.66514008620689</v>
      </c>
      <c r="I8050" cm="1">
        <f t="array" ref="I8050">_xlfn.STDEV.P(IF(Table1[IndicatorCode]=Table1[[#This Row],[IndicatorCode]],Table1[value]))</f>
        <v>6.3409496564024987</v>
      </c>
      <c r="J8050">
        <f>(Table1[[#This Row],[value]] - Table1[[#This Row],[mean]]) / Table1[[#This Row],[std_dev]]</f>
        <v>-0.10489597335555145</v>
      </c>
      <c r="K8050">
        <f>AVERAGEIF(Table1[CountryCode],Table1[[#This Row],[CountryCode]],Table1[z-score])</f>
        <v>0.40817616735273116</v>
      </c>
      <c r="L8050" t="e">
        <f>VLOOKUP(Table1[[#This Row],[CountryCode]],[1]!Table1[#All],1,FALSE)</f>
        <v>#REF!</v>
      </c>
    </row>
    <row r="8051" spans="1:12" hidden="1" x14ac:dyDescent="0.3">
      <c r="A8051" t="s">
        <v>35</v>
      </c>
      <c r="B8051" t="s">
        <v>36</v>
      </c>
      <c r="C8051" t="s">
        <v>129</v>
      </c>
      <c r="D8051" t="s">
        <v>130</v>
      </c>
      <c r="E8051">
        <v>1978</v>
      </c>
      <c r="F8051" s="1">
        <v>72</v>
      </c>
      <c r="G8051">
        <v>1980</v>
      </c>
      <c r="H8051">
        <f>AVERAGEIFS(Table1[value],Table1[IndicatorCode],Table1[[#This Row],[IndicatorCode]])</f>
        <v>72.66514008620689</v>
      </c>
      <c r="I8051" cm="1">
        <f t="array" ref="I8051">_xlfn.STDEV.P(IF(Table1[IndicatorCode]=Table1[[#This Row],[IndicatorCode]],Table1[value]))</f>
        <v>6.3409496564024987</v>
      </c>
      <c r="J8051">
        <f>(Table1[[#This Row],[value]] - Table1[[#This Row],[mean]]) / Table1[[#This Row],[std_dev]]</f>
        <v>-0.10489597335555145</v>
      </c>
      <c r="K8051">
        <f>AVERAGEIF(Table1[CountryCode],Table1[[#This Row],[CountryCode]],Table1[z-score])</f>
        <v>0.40817616735273116</v>
      </c>
      <c r="L8051" t="e">
        <f>VLOOKUP(Table1[[#This Row],[CountryCode]],[1]!Table1[#All],1,FALSE)</f>
        <v>#REF!</v>
      </c>
    </row>
    <row r="8052" spans="1:12" hidden="1" x14ac:dyDescent="0.3">
      <c r="A8052" t="s">
        <v>35</v>
      </c>
      <c r="B8052" t="s">
        <v>36</v>
      </c>
      <c r="C8052" t="s">
        <v>129</v>
      </c>
      <c r="D8052" t="s">
        <v>130</v>
      </c>
      <c r="E8052">
        <v>1979</v>
      </c>
      <c r="F8052" s="1">
        <v>73</v>
      </c>
      <c r="G8052">
        <v>1980</v>
      </c>
      <c r="H8052">
        <f>AVERAGEIFS(Table1[value],Table1[IndicatorCode],Table1[[#This Row],[IndicatorCode]])</f>
        <v>72.66514008620689</v>
      </c>
      <c r="I8052" cm="1">
        <f t="array" ref="I8052">_xlfn.STDEV.P(IF(Table1[IndicatorCode]=Table1[[#This Row],[IndicatorCode]],Table1[value]))</f>
        <v>6.3409496564024987</v>
      </c>
      <c r="J8052">
        <f>(Table1[[#This Row],[value]] - Table1[[#This Row],[mean]]) / Table1[[#This Row],[std_dev]]</f>
        <v>5.2809110927887599E-2</v>
      </c>
      <c r="K8052">
        <f>AVERAGEIF(Table1[CountryCode],Table1[[#This Row],[CountryCode]],Table1[z-score])</f>
        <v>0.40817616735273116</v>
      </c>
      <c r="L8052" t="e">
        <f>VLOOKUP(Table1[[#This Row],[CountryCode]],[1]!Table1[#All],1,FALSE)</f>
        <v>#REF!</v>
      </c>
    </row>
    <row r="8053" spans="1:12" hidden="1" x14ac:dyDescent="0.3">
      <c r="A8053" t="s">
        <v>35</v>
      </c>
      <c r="B8053" t="s">
        <v>36</v>
      </c>
      <c r="C8053" t="s">
        <v>129</v>
      </c>
      <c r="D8053" t="s">
        <v>130</v>
      </c>
      <c r="E8053">
        <v>1980</v>
      </c>
      <c r="F8053" s="1">
        <v>73</v>
      </c>
      <c r="G8053">
        <v>1980</v>
      </c>
      <c r="H8053">
        <f>AVERAGEIFS(Table1[value],Table1[IndicatorCode],Table1[[#This Row],[IndicatorCode]])</f>
        <v>72.66514008620689</v>
      </c>
      <c r="I8053" cm="1">
        <f t="array" ref="I8053">_xlfn.STDEV.P(IF(Table1[IndicatorCode]=Table1[[#This Row],[IndicatorCode]],Table1[value]))</f>
        <v>6.3409496564024987</v>
      </c>
      <c r="J8053">
        <f>(Table1[[#This Row],[value]] - Table1[[#This Row],[mean]]) / Table1[[#This Row],[std_dev]]</f>
        <v>5.2809110927887599E-2</v>
      </c>
      <c r="K8053">
        <f>AVERAGEIF(Table1[CountryCode],Table1[[#This Row],[CountryCode]],Table1[z-score])</f>
        <v>0.40817616735273116</v>
      </c>
      <c r="L8053" t="e">
        <f>VLOOKUP(Table1[[#This Row],[CountryCode]],[1]!Table1[#All],1,FALSE)</f>
        <v>#REF!</v>
      </c>
    </row>
    <row r="8054" spans="1:12" hidden="1" x14ac:dyDescent="0.3">
      <c r="A8054" t="s">
        <v>35</v>
      </c>
      <c r="B8054" t="s">
        <v>36</v>
      </c>
      <c r="C8054" t="s">
        <v>129</v>
      </c>
      <c r="D8054" t="s">
        <v>130</v>
      </c>
      <c r="E8054">
        <v>1981</v>
      </c>
      <c r="F8054" s="1">
        <v>73</v>
      </c>
      <c r="G8054">
        <v>1980</v>
      </c>
      <c r="H8054">
        <f>AVERAGEIFS(Table1[value],Table1[IndicatorCode],Table1[[#This Row],[IndicatorCode]])</f>
        <v>72.66514008620689</v>
      </c>
      <c r="I8054" cm="1">
        <f t="array" ref="I8054">_xlfn.STDEV.P(IF(Table1[IndicatorCode]=Table1[[#This Row],[IndicatorCode]],Table1[value]))</f>
        <v>6.3409496564024987</v>
      </c>
      <c r="J8054">
        <f>(Table1[[#This Row],[value]] - Table1[[#This Row],[mean]]) / Table1[[#This Row],[std_dev]]</f>
        <v>5.2809110927887599E-2</v>
      </c>
      <c r="K8054">
        <f>AVERAGEIF(Table1[CountryCode],Table1[[#This Row],[CountryCode]],Table1[z-score])</f>
        <v>0.40817616735273116</v>
      </c>
      <c r="L8054" t="e">
        <f>VLOOKUP(Table1[[#This Row],[CountryCode]],[1]!Table1[#All],1,FALSE)</f>
        <v>#REF!</v>
      </c>
    </row>
    <row r="8055" spans="1:12" hidden="1" x14ac:dyDescent="0.3">
      <c r="A8055" t="s">
        <v>35</v>
      </c>
      <c r="B8055" t="s">
        <v>36</v>
      </c>
      <c r="C8055" t="s">
        <v>129</v>
      </c>
      <c r="D8055" t="s">
        <v>130</v>
      </c>
      <c r="E8055">
        <v>1982</v>
      </c>
      <c r="F8055" s="1">
        <v>73</v>
      </c>
      <c r="G8055">
        <v>1980</v>
      </c>
      <c r="H8055">
        <f>AVERAGEIFS(Table1[value],Table1[IndicatorCode],Table1[[#This Row],[IndicatorCode]])</f>
        <v>72.66514008620689</v>
      </c>
      <c r="I8055" cm="1">
        <f t="array" ref="I8055">_xlfn.STDEV.P(IF(Table1[IndicatorCode]=Table1[[#This Row],[IndicatorCode]],Table1[value]))</f>
        <v>6.3409496564024987</v>
      </c>
      <c r="J8055">
        <f>(Table1[[#This Row],[value]] - Table1[[#This Row],[mean]]) / Table1[[#This Row],[std_dev]]</f>
        <v>5.2809110927887599E-2</v>
      </c>
      <c r="K8055">
        <f>AVERAGEIF(Table1[CountryCode],Table1[[#This Row],[CountryCode]],Table1[z-score])</f>
        <v>0.40817616735273116</v>
      </c>
      <c r="L8055" t="e">
        <f>VLOOKUP(Table1[[#This Row],[CountryCode]],[1]!Table1[#All],1,FALSE)</f>
        <v>#REF!</v>
      </c>
    </row>
    <row r="8056" spans="1:12" hidden="1" x14ac:dyDescent="0.3">
      <c r="A8056" t="s">
        <v>35</v>
      </c>
      <c r="B8056" t="s">
        <v>36</v>
      </c>
      <c r="C8056" t="s">
        <v>129</v>
      </c>
      <c r="D8056" t="s">
        <v>130</v>
      </c>
      <c r="E8056">
        <v>1983</v>
      </c>
      <c r="F8056" s="1">
        <v>74</v>
      </c>
      <c r="G8056">
        <v>1980</v>
      </c>
      <c r="H8056">
        <f>AVERAGEIFS(Table1[value],Table1[IndicatorCode],Table1[[#This Row],[IndicatorCode]])</f>
        <v>72.66514008620689</v>
      </c>
      <c r="I8056" cm="1">
        <f t="array" ref="I8056">_xlfn.STDEV.P(IF(Table1[IndicatorCode]=Table1[[#This Row],[IndicatorCode]],Table1[value]))</f>
        <v>6.3409496564024987</v>
      </c>
      <c r="J8056">
        <f>(Table1[[#This Row],[value]] - Table1[[#This Row],[mean]]) / Table1[[#This Row],[std_dev]]</f>
        <v>0.21051419521132667</v>
      </c>
      <c r="K8056">
        <f>AVERAGEIF(Table1[CountryCode],Table1[[#This Row],[CountryCode]],Table1[z-score])</f>
        <v>0.40817616735273116</v>
      </c>
      <c r="L8056" t="e">
        <f>VLOOKUP(Table1[[#This Row],[CountryCode]],[1]!Table1[#All],1,FALSE)</f>
        <v>#REF!</v>
      </c>
    </row>
    <row r="8057" spans="1:12" hidden="1" x14ac:dyDescent="0.3">
      <c r="A8057" t="s">
        <v>35</v>
      </c>
      <c r="B8057" t="s">
        <v>36</v>
      </c>
      <c r="C8057" t="s">
        <v>129</v>
      </c>
      <c r="D8057" t="s">
        <v>130</v>
      </c>
      <c r="E8057">
        <v>1984</v>
      </c>
      <c r="F8057" s="1">
        <v>74</v>
      </c>
      <c r="G8057">
        <v>1980</v>
      </c>
      <c r="H8057">
        <f>AVERAGEIFS(Table1[value],Table1[IndicatorCode],Table1[[#This Row],[IndicatorCode]])</f>
        <v>72.66514008620689</v>
      </c>
      <c r="I8057" cm="1">
        <f t="array" ref="I8057">_xlfn.STDEV.P(IF(Table1[IndicatorCode]=Table1[[#This Row],[IndicatorCode]],Table1[value]))</f>
        <v>6.3409496564024987</v>
      </c>
      <c r="J8057">
        <f>(Table1[[#This Row],[value]] - Table1[[#This Row],[mean]]) / Table1[[#This Row],[std_dev]]</f>
        <v>0.21051419521132667</v>
      </c>
      <c r="K8057">
        <f>AVERAGEIF(Table1[CountryCode],Table1[[#This Row],[CountryCode]],Table1[z-score])</f>
        <v>0.40817616735273116</v>
      </c>
      <c r="L8057" t="e">
        <f>VLOOKUP(Table1[[#This Row],[CountryCode]],[1]!Table1[#All],1,FALSE)</f>
        <v>#REF!</v>
      </c>
    </row>
    <row r="8058" spans="1:12" hidden="1" x14ac:dyDescent="0.3">
      <c r="A8058" t="s">
        <v>35</v>
      </c>
      <c r="B8058" t="s">
        <v>36</v>
      </c>
      <c r="C8058" t="s">
        <v>129</v>
      </c>
      <c r="D8058" t="s">
        <v>130</v>
      </c>
      <c r="E8058">
        <v>1985</v>
      </c>
      <c r="F8058" s="1">
        <v>74</v>
      </c>
      <c r="G8058">
        <v>1980</v>
      </c>
      <c r="H8058">
        <f>AVERAGEIFS(Table1[value],Table1[IndicatorCode],Table1[[#This Row],[IndicatorCode]])</f>
        <v>72.66514008620689</v>
      </c>
      <c r="I8058" cm="1">
        <f t="array" ref="I8058">_xlfn.STDEV.P(IF(Table1[IndicatorCode]=Table1[[#This Row],[IndicatorCode]],Table1[value]))</f>
        <v>6.3409496564024987</v>
      </c>
      <c r="J8058">
        <f>(Table1[[#This Row],[value]] - Table1[[#This Row],[mean]]) / Table1[[#This Row],[std_dev]]</f>
        <v>0.21051419521132667</v>
      </c>
      <c r="K8058">
        <f>AVERAGEIF(Table1[CountryCode],Table1[[#This Row],[CountryCode]],Table1[z-score])</f>
        <v>0.40817616735273116</v>
      </c>
      <c r="L8058" t="e">
        <f>VLOOKUP(Table1[[#This Row],[CountryCode]],[1]!Table1[#All],1,FALSE)</f>
        <v>#REF!</v>
      </c>
    </row>
    <row r="8059" spans="1:12" hidden="1" x14ac:dyDescent="0.3">
      <c r="A8059" t="s">
        <v>35</v>
      </c>
      <c r="B8059" t="s">
        <v>36</v>
      </c>
      <c r="C8059" t="s">
        <v>129</v>
      </c>
      <c r="D8059" t="s">
        <v>130</v>
      </c>
      <c r="E8059">
        <v>1986</v>
      </c>
      <c r="F8059" s="1">
        <v>74</v>
      </c>
      <c r="G8059">
        <v>1980</v>
      </c>
      <c r="H8059">
        <f>AVERAGEIFS(Table1[value],Table1[IndicatorCode],Table1[[#This Row],[IndicatorCode]])</f>
        <v>72.66514008620689</v>
      </c>
      <c r="I8059" cm="1">
        <f t="array" ref="I8059">_xlfn.STDEV.P(IF(Table1[IndicatorCode]=Table1[[#This Row],[IndicatorCode]],Table1[value]))</f>
        <v>6.3409496564024987</v>
      </c>
      <c r="J8059">
        <f>(Table1[[#This Row],[value]] - Table1[[#This Row],[mean]]) / Table1[[#This Row],[std_dev]]</f>
        <v>0.21051419521132667</v>
      </c>
      <c r="K8059">
        <f>AVERAGEIF(Table1[CountryCode],Table1[[#This Row],[CountryCode]],Table1[z-score])</f>
        <v>0.40817616735273116</v>
      </c>
      <c r="L8059" t="e">
        <f>VLOOKUP(Table1[[#This Row],[CountryCode]],[1]!Table1[#All],1,FALSE)</f>
        <v>#REF!</v>
      </c>
    </row>
    <row r="8060" spans="1:12" hidden="1" x14ac:dyDescent="0.3">
      <c r="A8060" t="s">
        <v>35</v>
      </c>
      <c r="B8060" t="s">
        <v>36</v>
      </c>
      <c r="C8060" t="s">
        <v>129</v>
      </c>
      <c r="D8060" t="s">
        <v>130</v>
      </c>
      <c r="E8060">
        <v>1987</v>
      </c>
      <c r="F8060" s="1">
        <v>75</v>
      </c>
      <c r="G8060">
        <v>1990</v>
      </c>
      <c r="H8060">
        <f>AVERAGEIFS(Table1[value],Table1[IndicatorCode],Table1[[#This Row],[IndicatorCode]])</f>
        <v>72.66514008620689</v>
      </c>
      <c r="I8060" cm="1">
        <f t="array" ref="I8060">_xlfn.STDEV.P(IF(Table1[IndicatorCode]=Table1[[#This Row],[IndicatorCode]],Table1[value]))</f>
        <v>6.3409496564024987</v>
      </c>
      <c r="J8060">
        <f>(Table1[[#This Row],[value]] - Table1[[#This Row],[mean]]) / Table1[[#This Row],[std_dev]]</f>
        <v>0.36821927949476574</v>
      </c>
      <c r="K8060">
        <f>AVERAGEIF(Table1[CountryCode],Table1[[#This Row],[CountryCode]],Table1[z-score])</f>
        <v>0.40817616735273116</v>
      </c>
      <c r="L8060" t="e">
        <f>VLOOKUP(Table1[[#This Row],[CountryCode]],[1]!Table1[#All],1,FALSE)</f>
        <v>#REF!</v>
      </c>
    </row>
    <row r="8061" spans="1:12" hidden="1" x14ac:dyDescent="0.3">
      <c r="A8061" t="s">
        <v>35</v>
      </c>
      <c r="B8061" t="s">
        <v>36</v>
      </c>
      <c r="C8061" t="s">
        <v>129</v>
      </c>
      <c r="D8061" t="s">
        <v>130</v>
      </c>
      <c r="E8061">
        <v>1988</v>
      </c>
      <c r="F8061" s="1">
        <v>75</v>
      </c>
      <c r="G8061">
        <v>1990</v>
      </c>
      <c r="H8061">
        <f>AVERAGEIFS(Table1[value],Table1[IndicatorCode],Table1[[#This Row],[IndicatorCode]])</f>
        <v>72.66514008620689</v>
      </c>
      <c r="I8061" cm="1">
        <f t="array" ref="I8061">_xlfn.STDEV.P(IF(Table1[IndicatorCode]=Table1[[#This Row],[IndicatorCode]],Table1[value]))</f>
        <v>6.3409496564024987</v>
      </c>
      <c r="J8061">
        <f>(Table1[[#This Row],[value]] - Table1[[#This Row],[mean]]) / Table1[[#This Row],[std_dev]]</f>
        <v>0.36821927949476574</v>
      </c>
      <c r="K8061">
        <f>AVERAGEIF(Table1[CountryCode],Table1[[#This Row],[CountryCode]],Table1[z-score])</f>
        <v>0.40817616735273116</v>
      </c>
      <c r="L8061" t="e">
        <f>VLOOKUP(Table1[[#This Row],[CountryCode]],[1]!Table1[#All],1,FALSE)</f>
        <v>#REF!</v>
      </c>
    </row>
    <row r="8062" spans="1:12" hidden="1" x14ac:dyDescent="0.3">
      <c r="A8062" t="s">
        <v>35</v>
      </c>
      <c r="B8062" t="s">
        <v>36</v>
      </c>
      <c r="C8062" t="s">
        <v>129</v>
      </c>
      <c r="D8062" t="s">
        <v>130</v>
      </c>
      <c r="E8062">
        <v>1989</v>
      </c>
      <c r="F8062" s="1">
        <v>75</v>
      </c>
      <c r="G8062">
        <v>1990</v>
      </c>
      <c r="H8062">
        <f>AVERAGEIFS(Table1[value],Table1[IndicatorCode],Table1[[#This Row],[IndicatorCode]])</f>
        <v>72.66514008620689</v>
      </c>
      <c r="I8062" cm="1">
        <f t="array" ref="I8062">_xlfn.STDEV.P(IF(Table1[IndicatorCode]=Table1[[#This Row],[IndicatorCode]],Table1[value]))</f>
        <v>6.3409496564024987</v>
      </c>
      <c r="J8062">
        <f>(Table1[[#This Row],[value]] - Table1[[#This Row],[mean]]) / Table1[[#This Row],[std_dev]]</f>
        <v>0.36821927949476574</v>
      </c>
      <c r="K8062">
        <f>AVERAGEIF(Table1[CountryCode],Table1[[#This Row],[CountryCode]],Table1[z-score])</f>
        <v>0.40817616735273116</v>
      </c>
      <c r="L8062" t="e">
        <f>VLOOKUP(Table1[[#This Row],[CountryCode]],[1]!Table1[#All],1,FALSE)</f>
        <v>#REF!</v>
      </c>
    </row>
    <row r="8063" spans="1:12" hidden="1" x14ac:dyDescent="0.3">
      <c r="A8063" t="s">
        <v>35</v>
      </c>
      <c r="B8063" t="s">
        <v>36</v>
      </c>
      <c r="C8063" t="s">
        <v>129</v>
      </c>
      <c r="D8063" t="s">
        <v>130</v>
      </c>
      <c r="E8063">
        <v>1990</v>
      </c>
      <c r="F8063" s="1">
        <v>75</v>
      </c>
      <c r="G8063">
        <v>1990</v>
      </c>
      <c r="H8063">
        <f>AVERAGEIFS(Table1[value],Table1[IndicatorCode],Table1[[#This Row],[IndicatorCode]])</f>
        <v>72.66514008620689</v>
      </c>
      <c r="I8063" cm="1">
        <f t="array" ref="I8063">_xlfn.STDEV.P(IF(Table1[IndicatorCode]=Table1[[#This Row],[IndicatorCode]],Table1[value]))</f>
        <v>6.3409496564024987</v>
      </c>
      <c r="J8063">
        <f>(Table1[[#This Row],[value]] - Table1[[#This Row],[mean]]) / Table1[[#This Row],[std_dev]]</f>
        <v>0.36821927949476574</v>
      </c>
      <c r="K8063">
        <f>AVERAGEIF(Table1[CountryCode],Table1[[#This Row],[CountryCode]],Table1[z-score])</f>
        <v>0.40817616735273116</v>
      </c>
      <c r="L8063" t="e">
        <f>VLOOKUP(Table1[[#This Row],[CountryCode]],[1]!Table1[#All],1,FALSE)</f>
        <v>#REF!</v>
      </c>
    </row>
    <row r="8064" spans="1:12" hidden="1" x14ac:dyDescent="0.3">
      <c r="A8064" t="s">
        <v>35</v>
      </c>
      <c r="B8064" t="s">
        <v>36</v>
      </c>
      <c r="C8064" t="s">
        <v>129</v>
      </c>
      <c r="D8064" t="s">
        <v>130</v>
      </c>
      <c r="E8064">
        <v>1991</v>
      </c>
      <c r="F8064" s="1">
        <v>75</v>
      </c>
      <c r="G8064">
        <v>1990</v>
      </c>
      <c r="H8064">
        <f>AVERAGEIFS(Table1[value],Table1[IndicatorCode],Table1[[#This Row],[IndicatorCode]])</f>
        <v>72.66514008620689</v>
      </c>
      <c r="I8064" cm="1">
        <f t="array" ref="I8064">_xlfn.STDEV.P(IF(Table1[IndicatorCode]=Table1[[#This Row],[IndicatorCode]],Table1[value]))</f>
        <v>6.3409496564024987</v>
      </c>
      <c r="J8064">
        <f>(Table1[[#This Row],[value]] - Table1[[#This Row],[mean]]) / Table1[[#This Row],[std_dev]]</f>
        <v>0.36821927949476574</v>
      </c>
      <c r="K8064">
        <f>AVERAGEIF(Table1[CountryCode],Table1[[#This Row],[CountryCode]],Table1[z-score])</f>
        <v>0.40817616735273116</v>
      </c>
      <c r="L8064" t="e">
        <f>VLOOKUP(Table1[[#This Row],[CountryCode]],[1]!Table1[#All],1,FALSE)</f>
        <v>#REF!</v>
      </c>
    </row>
    <row r="8065" spans="1:12" hidden="1" x14ac:dyDescent="0.3">
      <c r="A8065" t="s">
        <v>35</v>
      </c>
      <c r="B8065" t="s">
        <v>36</v>
      </c>
      <c r="C8065" t="s">
        <v>129</v>
      </c>
      <c r="D8065" t="s">
        <v>130</v>
      </c>
      <c r="E8065">
        <v>1992</v>
      </c>
      <c r="F8065" s="1">
        <v>76</v>
      </c>
      <c r="G8065">
        <v>1990</v>
      </c>
      <c r="H8065">
        <f>AVERAGEIFS(Table1[value],Table1[IndicatorCode],Table1[[#This Row],[IndicatorCode]])</f>
        <v>72.66514008620689</v>
      </c>
      <c r="I8065" cm="1">
        <f t="array" ref="I8065">_xlfn.STDEV.P(IF(Table1[IndicatorCode]=Table1[[#This Row],[IndicatorCode]],Table1[value]))</f>
        <v>6.3409496564024987</v>
      </c>
      <c r="J8065">
        <f>(Table1[[#This Row],[value]] - Table1[[#This Row],[mean]]) / Table1[[#This Row],[std_dev]]</f>
        <v>0.52592436377820473</v>
      </c>
      <c r="K8065">
        <f>AVERAGEIF(Table1[CountryCode],Table1[[#This Row],[CountryCode]],Table1[z-score])</f>
        <v>0.40817616735273116</v>
      </c>
      <c r="L8065" t="e">
        <f>VLOOKUP(Table1[[#This Row],[CountryCode]],[1]!Table1[#All],1,FALSE)</f>
        <v>#REF!</v>
      </c>
    </row>
    <row r="8066" spans="1:12" hidden="1" x14ac:dyDescent="0.3">
      <c r="A8066" t="s">
        <v>35</v>
      </c>
      <c r="B8066" t="s">
        <v>36</v>
      </c>
      <c r="C8066" t="s">
        <v>129</v>
      </c>
      <c r="D8066" t="s">
        <v>130</v>
      </c>
      <c r="E8066">
        <v>1993</v>
      </c>
      <c r="F8066" s="1">
        <v>76</v>
      </c>
      <c r="G8066">
        <v>1990</v>
      </c>
      <c r="H8066">
        <f>AVERAGEIFS(Table1[value],Table1[IndicatorCode],Table1[[#This Row],[IndicatorCode]])</f>
        <v>72.66514008620689</v>
      </c>
      <c r="I8066" cm="1">
        <f t="array" ref="I8066">_xlfn.STDEV.P(IF(Table1[IndicatorCode]=Table1[[#This Row],[IndicatorCode]],Table1[value]))</f>
        <v>6.3409496564024987</v>
      </c>
      <c r="J8066">
        <f>(Table1[[#This Row],[value]] - Table1[[#This Row],[mean]]) / Table1[[#This Row],[std_dev]]</f>
        <v>0.52592436377820473</v>
      </c>
      <c r="K8066">
        <f>AVERAGEIF(Table1[CountryCode],Table1[[#This Row],[CountryCode]],Table1[z-score])</f>
        <v>0.40817616735273116</v>
      </c>
      <c r="L8066" t="e">
        <f>VLOOKUP(Table1[[#This Row],[CountryCode]],[1]!Table1[#All],1,FALSE)</f>
        <v>#REF!</v>
      </c>
    </row>
    <row r="8067" spans="1:12" hidden="1" x14ac:dyDescent="0.3">
      <c r="A8067" t="s">
        <v>35</v>
      </c>
      <c r="B8067" t="s">
        <v>36</v>
      </c>
      <c r="C8067" t="s">
        <v>129</v>
      </c>
      <c r="D8067" t="s">
        <v>130</v>
      </c>
      <c r="E8067">
        <v>1994</v>
      </c>
      <c r="F8067" s="1">
        <v>76</v>
      </c>
      <c r="G8067">
        <v>1990</v>
      </c>
      <c r="H8067">
        <f>AVERAGEIFS(Table1[value],Table1[IndicatorCode],Table1[[#This Row],[IndicatorCode]])</f>
        <v>72.66514008620689</v>
      </c>
      <c r="I8067" cm="1">
        <f t="array" ref="I8067">_xlfn.STDEV.P(IF(Table1[IndicatorCode]=Table1[[#This Row],[IndicatorCode]],Table1[value]))</f>
        <v>6.3409496564024987</v>
      </c>
      <c r="J8067">
        <f>(Table1[[#This Row],[value]] - Table1[[#This Row],[mean]]) / Table1[[#This Row],[std_dev]]</f>
        <v>0.52592436377820473</v>
      </c>
      <c r="K8067">
        <f>AVERAGEIF(Table1[CountryCode],Table1[[#This Row],[CountryCode]],Table1[z-score])</f>
        <v>0.40817616735273116</v>
      </c>
      <c r="L8067" t="e">
        <f>VLOOKUP(Table1[[#This Row],[CountryCode]],[1]!Table1[#All],1,FALSE)</f>
        <v>#REF!</v>
      </c>
    </row>
    <row r="8068" spans="1:12" hidden="1" x14ac:dyDescent="0.3">
      <c r="A8068" t="s">
        <v>35</v>
      </c>
      <c r="B8068" t="s">
        <v>36</v>
      </c>
      <c r="C8068" t="s">
        <v>129</v>
      </c>
      <c r="D8068" t="s">
        <v>130</v>
      </c>
      <c r="E8068">
        <v>1995</v>
      </c>
      <c r="F8068" s="1">
        <v>76</v>
      </c>
      <c r="G8068">
        <v>1990</v>
      </c>
      <c r="H8068">
        <f>AVERAGEIFS(Table1[value],Table1[IndicatorCode],Table1[[#This Row],[IndicatorCode]])</f>
        <v>72.66514008620689</v>
      </c>
      <c r="I8068" cm="1">
        <f t="array" ref="I8068">_xlfn.STDEV.P(IF(Table1[IndicatorCode]=Table1[[#This Row],[IndicatorCode]],Table1[value]))</f>
        <v>6.3409496564024987</v>
      </c>
      <c r="J8068">
        <f>(Table1[[#This Row],[value]] - Table1[[#This Row],[mean]]) / Table1[[#This Row],[std_dev]]</f>
        <v>0.52592436377820473</v>
      </c>
      <c r="K8068">
        <f>AVERAGEIF(Table1[CountryCode],Table1[[#This Row],[CountryCode]],Table1[z-score])</f>
        <v>0.40817616735273116</v>
      </c>
      <c r="L8068" t="e">
        <f>VLOOKUP(Table1[[#This Row],[CountryCode]],[1]!Table1[#All],1,FALSE)</f>
        <v>#REF!</v>
      </c>
    </row>
    <row r="8069" spans="1:12" hidden="1" x14ac:dyDescent="0.3">
      <c r="A8069" t="s">
        <v>35</v>
      </c>
      <c r="B8069" t="s">
        <v>36</v>
      </c>
      <c r="C8069" t="s">
        <v>129</v>
      </c>
      <c r="D8069" t="s">
        <v>130</v>
      </c>
      <c r="E8069">
        <v>1996</v>
      </c>
      <c r="F8069" s="1">
        <v>77</v>
      </c>
      <c r="G8069">
        <v>1990</v>
      </c>
      <c r="H8069">
        <f>AVERAGEIFS(Table1[value],Table1[IndicatorCode],Table1[[#This Row],[IndicatorCode]])</f>
        <v>72.66514008620689</v>
      </c>
      <c r="I8069" cm="1">
        <f t="array" ref="I8069">_xlfn.STDEV.P(IF(Table1[IndicatorCode]=Table1[[#This Row],[IndicatorCode]],Table1[value]))</f>
        <v>6.3409496564024987</v>
      </c>
      <c r="J8069">
        <f>(Table1[[#This Row],[value]] - Table1[[#This Row],[mean]]) / Table1[[#This Row],[std_dev]]</f>
        <v>0.68362944806164383</v>
      </c>
      <c r="K8069">
        <f>AVERAGEIF(Table1[CountryCode],Table1[[#This Row],[CountryCode]],Table1[z-score])</f>
        <v>0.40817616735273116</v>
      </c>
      <c r="L8069" t="e">
        <f>VLOOKUP(Table1[[#This Row],[CountryCode]],[1]!Table1[#All],1,FALSE)</f>
        <v>#REF!</v>
      </c>
    </row>
    <row r="8070" spans="1:12" hidden="1" x14ac:dyDescent="0.3">
      <c r="A8070" t="s">
        <v>35</v>
      </c>
      <c r="B8070" t="s">
        <v>36</v>
      </c>
      <c r="C8070" t="s">
        <v>129</v>
      </c>
      <c r="D8070" t="s">
        <v>130</v>
      </c>
      <c r="E8070">
        <v>1997</v>
      </c>
      <c r="F8070" s="1">
        <v>77</v>
      </c>
      <c r="G8070">
        <v>2000</v>
      </c>
      <c r="H8070">
        <f>AVERAGEIFS(Table1[value],Table1[IndicatorCode],Table1[[#This Row],[IndicatorCode]])</f>
        <v>72.66514008620689</v>
      </c>
      <c r="I8070" cm="1">
        <f t="array" ref="I8070">_xlfn.STDEV.P(IF(Table1[IndicatorCode]=Table1[[#This Row],[IndicatorCode]],Table1[value]))</f>
        <v>6.3409496564024987</v>
      </c>
      <c r="J8070">
        <f>(Table1[[#This Row],[value]] - Table1[[#This Row],[mean]]) / Table1[[#This Row],[std_dev]]</f>
        <v>0.68362944806164383</v>
      </c>
      <c r="K8070">
        <f>AVERAGEIF(Table1[CountryCode],Table1[[#This Row],[CountryCode]],Table1[z-score])</f>
        <v>0.40817616735273116</v>
      </c>
      <c r="L8070" t="e">
        <f>VLOOKUP(Table1[[#This Row],[CountryCode]],[1]!Table1[#All],1,FALSE)</f>
        <v>#REF!</v>
      </c>
    </row>
    <row r="8071" spans="1:12" hidden="1" x14ac:dyDescent="0.3">
      <c r="A8071" t="s">
        <v>35</v>
      </c>
      <c r="B8071" t="s">
        <v>36</v>
      </c>
      <c r="C8071" t="s">
        <v>129</v>
      </c>
      <c r="D8071" t="s">
        <v>130</v>
      </c>
      <c r="E8071">
        <v>1998</v>
      </c>
      <c r="F8071" s="1">
        <v>77</v>
      </c>
      <c r="G8071">
        <v>2000</v>
      </c>
      <c r="H8071">
        <f>AVERAGEIFS(Table1[value],Table1[IndicatorCode],Table1[[#This Row],[IndicatorCode]])</f>
        <v>72.66514008620689</v>
      </c>
      <c r="I8071" cm="1">
        <f t="array" ref="I8071">_xlfn.STDEV.P(IF(Table1[IndicatorCode]=Table1[[#This Row],[IndicatorCode]],Table1[value]))</f>
        <v>6.3409496564024987</v>
      </c>
      <c r="J8071">
        <f>(Table1[[#This Row],[value]] - Table1[[#This Row],[mean]]) / Table1[[#This Row],[std_dev]]</f>
        <v>0.68362944806164383</v>
      </c>
      <c r="K8071">
        <f>AVERAGEIF(Table1[CountryCode],Table1[[#This Row],[CountryCode]],Table1[z-score])</f>
        <v>0.40817616735273116</v>
      </c>
      <c r="L8071" t="e">
        <f>VLOOKUP(Table1[[#This Row],[CountryCode]],[1]!Table1[#All],1,FALSE)</f>
        <v>#REF!</v>
      </c>
    </row>
    <row r="8072" spans="1:12" hidden="1" x14ac:dyDescent="0.3">
      <c r="A8072" t="s">
        <v>35</v>
      </c>
      <c r="B8072" t="s">
        <v>36</v>
      </c>
      <c r="C8072" t="s">
        <v>129</v>
      </c>
      <c r="D8072" t="s">
        <v>130</v>
      </c>
      <c r="E8072">
        <v>1999</v>
      </c>
      <c r="F8072" s="1">
        <v>78</v>
      </c>
      <c r="G8072">
        <v>2000</v>
      </c>
      <c r="H8072">
        <f>AVERAGEIFS(Table1[value],Table1[IndicatorCode],Table1[[#This Row],[IndicatorCode]])</f>
        <v>72.66514008620689</v>
      </c>
      <c r="I8072" cm="1">
        <f t="array" ref="I8072">_xlfn.STDEV.P(IF(Table1[IndicatorCode]=Table1[[#This Row],[IndicatorCode]],Table1[value]))</f>
        <v>6.3409496564024987</v>
      </c>
      <c r="J8072">
        <f>(Table1[[#This Row],[value]] - Table1[[#This Row],[mean]]) / Table1[[#This Row],[std_dev]]</f>
        <v>0.84133453234508293</v>
      </c>
      <c r="K8072">
        <f>AVERAGEIF(Table1[CountryCode],Table1[[#This Row],[CountryCode]],Table1[z-score])</f>
        <v>0.40817616735273116</v>
      </c>
      <c r="L8072" t="e">
        <f>VLOOKUP(Table1[[#This Row],[CountryCode]],[1]!Table1[#All],1,FALSE)</f>
        <v>#REF!</v>
      </c>
    </row>
    <row r="8073" spans="1:12" hidden="1" x14ac:dyDescent="0.3">
      <c r="A8073" t="s">
        <v>35</v>
      </c>
      <c r="B8073" t="s">
        <v>36</v>
      </c>
      <c r="C8073" t="s">
        <v>129</v>
      </c>
      <c r="D8073" t="s">
        <v>130</v>
      </c>
      <c r="E8073">
        <v>2000</v>
      </c>
      <c r="F8073" s="1">
        <v>78</v>
      </c>
      <c r="G8073">
        <v>2000</v>
      </c>
      <c r="H8073">
        <f>AVERAGEIFS(Table1[value],Table1[IndicatorCode],Table1[[#This Row],[IndicatorCode]])</f>
        <v>72.66514008620689</v>
      </c>
      <c r="I8073" cm="1">
        <f t="array" ref="I8073">_xlfn.STDEV.P(IF(Table1[IndicatorCode]=Table1[[#This Row],[IndicatorCode]],Table1[value]))</f>
        <v>6.3409496564024987</v>
      </c>
      <c r="J8073">
        <f>(Table1[[#This Row],[value]] - Table1[[#This Row],[mean]]) / Table1[[#This Row],[std_dev]]</f>
        <v>0.84133453234508293</v>
      </c>
      <c r="K8073">
        <f>AVERAGEIF(Table1[CountryCode],Table1[[#This Row],[CountryCode]],Table1[z-score])</f>
        <v>0.40817616735273116</v>
      </c>
      <c r="L8073" t="e">
        <f>VLOOKUP(Table1[[#This Row],[CountryCode]],[1]!Table1[#All],1,FALSE)</f>
        <v>#REF!</v>
      </c>
    </row>
    <row r="8074" spans="1:12" hidden="1" x14ac:dyDescent="0.3">
      <c r="A8074" t="s">
        <v>35</v>
      </c>
      <c r="B8074" t="s">
        <v>36</v>
      </c>
      <c r="C8074" t="s">
        <v>129</v>
      </c>
      <c r="D8074" t="s">
        <v>130</v>
      </c>
      <c r="E8074">
        <v>2001</v>
      </c>
      <c r="F8074" s="1">
        <v>78</v>
      </c>
      <c r="G8074">
        <v>2000</v>
      </c>
      <c r="H8074">
        <f>AVERAGEIFS(Table1[value],Table1[IndicatorCode],Table1[[#This Row],[IndicatorCode]])</f>
        <v>72.66514008620689</v>
      </c>
      <c r="I8074" cm="1">
        <f t="array" ref="I8074">_xlfn.STDEV.P(IF(Table1[IndicatorCode]=Table1[[#This Row],[IndicatorCode]],Table1[value]))</f>
        <v>6.3409496564024987</v>
      </c>
      <c r="J8074">
        <f>(Table1[[#This Row],[value]] - Table1[[#This Row],[mean]]) / Table1[[#This Row],[std_dev]]</f>
        <v>0.84133453234508293</v>
      </c>
      <c r="K8074">
        <f>AVERAGEIF(Table1[CountryCode],Table1[[#This Row],[CountryCode]],Table1[z-score])</f>
        <v>0.40817616735273116</v>
      </c>
      <c r="L8074" t="e">
        <f>VLOOKUP(Table1[[#This Row],[CountryCode]],[1]!Table1[#All],1,FALSE)</f>
        <v>#REF!</v>
      </c>
    </row>
    <row r="8075" spans="1:12" hidden="1" x14ac:dyDescent="0.3">
      <c r="A8075" t="s">
        <v>35</v>
      </c>
      <c r="B8075" t="s">
        <v>36</v>
      </c>
      <c r="C8075" t="s">
        <v>129</v>
      </c>
      <c r="D8075" t="s">
        <v>130</v>
      </c>
      <c r="E8075">
        <v>2002</v>
      </c>
      <c r="F8075" s="1">
        <v>78</v>
      </c>
      <c r="G8075">
        <v>2000</v>
      </c>
      <c r="H8075">
        <f>AVERAGEIFS(Table1[value],Table1[IndicatorCode],Table1[[#This Row],[IndicatorCode]])</f>
        <v>72.66514008620689</v>
      </c>
      <c r="I8075" cm="1">
        <f t="array" ref="I8075">_xlfn.STDEV.P(IF(Table1[IndicatorCode]=Table1[[#This Row],[IndicatorCode]],Table1[value]))</f>
        <v>6.3409496564024987</v>
      </c>
      <c r="J8075">
        <f>(Table1[[#This Row],[value]] - Table1[[#This Row],[mean]]) / Table1[[#This Row],[std_dev]]</f>
        <v>0.84133453234508293</v>
      </c>
      <c r="K8075">
        <f>AVERAGEIF(Table1[CountryCode],Table1[[#This Row],[CountryCode]],Table1[z-score])</f>
        <v>0.40817616735273116</v>
      </c>
      <c r="L8075" t="e">
        <f>VLOOKUP(Table1[[#This Row],[CountryCode]],[1]!Table1[#All],1,FALSE)</f>
        <v>#REF!</v>
      </c>
    </row>
    <row r="8076" spans="1:12" hidden="1" x14ac:dyDescent="0.3">
      <c r="A8076" t="s">
        <v>35</v>
      </c>
      <c r="B8076" t="s">
        <v>36</v>
      </c>
      <c r="C8076" t="s">
        <v>129</v>
      </c>
      <c r="D8076" t="s">
        <v>130</v>
      </c>
      <c r="E8076">
        <v>2003</v>
      </c>
      <c r="F8076" s="1">
        <v>78</v>
      </c>
      <c r="G8076">
        <v>2000</v>
      </c>
      <c r="H8076">
        <f>AVERAGEIFS(Table1[value],Table1[IndicatorCode],Table1[[#This Row],[IndicatorCode]])</f>
        <v>72.66514008620689</v>
      </c>
      <c r="I8076" cm="1">
        <f t="array" ref="I8076">_xlfn.STDEV.P(IF(Table1[IndicatorCode]=Table1[[#This Row],[IndicatorCode]],Table1[value]))</f>
        <v>6.3409496564024987</v>
      </c>
      <c r="J8076">
        <f>(Table1[[#This Row],[value]] - Table1[[#This Row],[mean]]) / Table1[[#This Row],[std_dev]]</f>
        <v>0.84133453234508293</v>
      </c>
      <c r="K8076">
        <f>AVERAGEIF(Table1[CountryCode],Table1[[#This Row],[CountryCode]],Table1[z-score])</f>
        <v>0.40817616735273116</v>
      </c>
      <c r="L8076" t="e">
        <f>VLOOKUP(Table1[[#This Row],[CountryCode]],[1]!Table1[#All],1,FALSE)</f>
        <v>#REF!</v>
      </c>
    </row>
    <row r="8077" spans="1:12" hidden="1" x14ac:dyDescent="0.3">
      <c r="A8077" t="s">
        <v>35</v>
      </c>
      <c r="B8077" t="s">
        <v>36</v>
      </c>
      <c r="C8077" t="s">
        <v>129</v>
      </c>
      <c r="D8077" t="s">
        <v>130</v>
      </c>
      <c r="E8077">
        <v>2004</v>
      </c>
      <c r="F8077" s="1">
        <v>79</v>
      </c>
      <c r="G8077">
        <v>2000</v>
      </c>
      <c r="H8077">
        <f>AVERAGEIFS(Table1[value],Table1[IndicatorCode],Table1[[#This Row],[IndicatorCode]])</f>
        <v>72.66514008620689</v>
      </c>
      <c r="I8077" cm="1">
        <f t="array" ref="I8077">_xlfn.STDEV.P(IF(Table1[IndicatorCode]=Table1[[#This Row],[IndicatorCode]],Table1[value]))</f>
        <v>6.3409496564024987</v>
      </c>
      <c r="J8077">
        <f>(Table1[[#This Row],[value]] - Table1[[#This Row],[mean]]) / Table1[[#This Row],[std_dev]]</f>
        <v>0.99903961662852192</v>
      </c>
      <c r="K8077">
        <f>AVERAGEIF(Table1[CountryCode],Table1[[#This Row],[CountryCode]],Table1[z-score])</f>
        <v>0.40817616735273116</v>
      </c>
      <c r="L8077" t="e">
        <f>VLOOKUP(Table1[[#This Row],[CountryCode]],[1]!Table1[#All],1,FALSE)</f>
        <v>#REF!</v>
      </c>
    </row>
    <row r="8078" spans="1:12" hidden="1" x14ac:dyDescent="0.3">
      <c r="A8078" t="s">
        <v>35</v>
      </c>
      <c r="B8078" t="s">
        <v>36</v>
      </c>
      <c r="C8078" t="s">
        <v>129</v>
      </c>
      <c r="D8078" t="s">
        <v>130</v>
      </c>
      <c r="E8078">
        <v>2005</v>
      </c>
      <c r="F8078" s="1">
        <v>79</v>
      </c>
      <c r="G8078">
        <v>2000</v>
      </c>
      <c r="H8078">
        <f>AVERAGEIFS(Table1[value],Table1[IndicatorCode],Table1[[#This Row],[IndicatorCode]])</f>
        <v>72.66514008620689</v>
      </c>
      <c r="I8078" cm="1">
        <f t="array" ref="I8078">_xlfn.STDEV.P(IF(Table1[IndicatorCode]=Table1[[#This Row],[IndicatorCode]],Table1[value]))</f>
        <v>6.3409496564024987</v>
      </c>
      <c r="J8078">
        <f>(Table1[[#This Row],[value]] - Table1[[#This Row],[mean]]) / Table1[[#This Row],[std_dev]]</f>
        <v>0.99903961662852192</v>
      </c>
      <c r="K8078">
        <f>AVERAGEIF(Table1[CountryCode],Table1[[#This Row],[CountryCode]],Table1[z-score])</f>
        <v>0.40817616735273116</v>
      </c>
      <c r="L8078" t="e">
        <f>VLOOKUP(Table1[[#This Row],[CountryCode]],[1]!Table1[#All],1,FALSE)</f>
        <v>#REF!</v>
      </c>
    </row>
    <row r="8079" spans="1:12" hidden="1" x14ac:dyDescent="0.3">
      <c r="A8079" t="s">
        <v>35</v>
      </c>
      <c r="B8079" t="s">
        <v>36</v>
      </c>
      <c r="C8079" t="s">
        <v>129</v>
      </c>
      <c r="D8079" t="s">
        <v>130</v>
      </c>
      <c r="E8079">
        <v>2006</v>
      </c>
      <c r="F8079" s="1">
        <v>79</v>
      </c>
      <c r="G8079">
        <v>2000</v>
      </c>
      <c r="H8079">
        <f>AVERAGEIFS(Table1[value],Table1[IndicatorCode],Table1[[#This Row],[IndicatorCode]])</f>
        <v>72.66514008620689</v>
      </c>
      <c r="I8079" cm="1">
        <f t="array" ref="I8079">_xlfn.STDEV.P(IF(Table1[IndicatorCode]=Table1[[#This Row],[IndicatorCode]],Table1[value]))</f>
        <v>6.3409496564024987</v>
      </c>
      <c r="J8079">
        <f>(Table1[[#This Row],[value]] - Table1[[#This Row],[mean]]) / Table1[[#This Row],[std_dev]]</f>
        <v>0.99903961662852192</v>
      </c>
      <c r="K8079">
        <f>AVERAGEIF(Table1[CountryCode],Table1[[#This Row],[CountryCode]],Table1[z-score])</f>
        <v>0.40817616735273116</v>
      </c>
      <c r="L8079" t="e">
        <f>VLOOKUP(Table1[[#This Row],[CountryCode]],[1]!Table1[#All],1,FALSE)</f>
        <v>#REF!</v>
      </c>
    </row>
    <row r="8080" spans="1:12" hidden="1" x14ac:dyDescent="0.3">
      <c r="A8080" t="s">
        <v>35</v>
      </c>
      <c r="B8080" t="s">
        <v>36</v>
      </c>
      <c r="C8080" t="s">
        <v>129</v>
      </c>
      <c r="D8080" t="s">
        <v>130</v>
      </c>
      <c r="E8080">
        <v>2007</v>
      </c>
      <c r="F8080" s="1">
        <v>80</v>
      </c>
      <c r="G8080">
        <v>2010</v>
      </c>
      <c r="H8080">
        <f>AVERAGEIFS(Table1[value],Table1[IndicatorCode],Table1[[#This Row],[IndicatorCode]])</f>
        <v>72.66514008620689</v>
      </c>
      <c r="I8080" cm="1">
        <f t="array" ref="I8080">_xlfn.STDEV.P(IF(Table1[IndicatorCode]=Table1[[#This Row],[IndicatorCode]],Table1[value]))</f>
        <v>6.3409496564024987</v>
      </c>
      <c r="J8080">
        <f>(Table1[[#This Row],[value]] - Table1[[#This Row],[mean]]) / Table1[[#This Row],[std_dev]]</f>
        <v>1.1567447009119609</v>
      </c>
      <c r="K8080">
        <f>AVERAGEIF(Table1[CountryCode],Table1[[#This Row],[CountryCode]],Table1[z-score])</f>
        <v>0.40817616735273116</v>
      </c>
      <c r="L8080" t="e">
        <f>VLOOKUP(Table1[[#This Row],[CountryCode]],[1]!Table1[#All],1,FALSE)</f>
        <v>#REF!</v>
      </c>
    </row>
    <row r="8081" spans="1:12" hidden="1" x14ac:dyDescent="0.3">
      <c r="A8081" t="s">
        <v>35</v>
      </c>
      <c r="B8081" t="s">
        <v>36</v>
      </c>
      <c r="C8081" t="s">
        <v>129</v>
      </c>
      <c r="D8081" t="s">
        <v>130</v>
      </c>
      <c r="E8081">
        <v>2008</v>
      </c>
      <c r="F8081" s="1">
        <v>80</v>
      </c>
      <c r="G8081">
        <v>2010</v>
      </c>
      <c r="H8081">
        <f>AVERAGEIFS(Table1[value],Table1[IndicatorCode],Table1[[#This Row],[IndicatorCode]])</f>
        <v>72.66514008620689</v>
      </c>
      <c r="I8081" cm="1">
        <f t="array" ref="I8081">_xlfn.STDEV.P(IF(Table1[IndicatorCode]=Table1[[#This Row],[IndicatorCode]],Table1[value]))</f>
        <v>6.3409496564024987</v>
      </c>
      <c r="J8081">
        <f>(Table1[[#This Row],[value]] - Table1[[#This Row],[mean]]) / Table1[[#This Row],[std_dev]]</f>
        <v>1.1567447009119609</v>
      </c>
      <c r="K8081">
        <f>AVERAGEIF(Table1[CountryCode],Table1[[#This Row],[CountryCode]],Table1[z-score])</f>
        <v>0.40817616735273116</v>
      </c>
      <c r="L8081" t="e">
        <f>VLOOKUP(Table1[[#This Row],[CountryCode]],[1]!Table1[#All],1,FALSE)</f>
        <v>#REF!</v>
      </c>
    </row>
    <row r="8082" spans="1:12" hidden="1" x14ac:dyDescent="0.3">
      <c r="A8082" t="s">
        <v>35</v>
      </c>
      <c r="B8082" t="s">
        <v>36</v>
      </c>
      <c r="C8082" t="s">
        <v>129</v>
      </c>
      <c r="D8082" t="s">
        <v>130</v>
      </c>
      <c r="E8082">
        <v>2009</v>
      </c>
      <c r="F8082" s="1">
        <v>80</v>
      </c>
      <c r="G8082">
        <v>2010</v>
      </c>
      <c r="H8082">
        <f>AVERAGEIFS(Table1[value],Table1[IndicatorCode],Table1[[#This Row],[IndicatorCode]])</f>
        <v>72.66514008620689</v>
      </c>
      <c r="I8082" cm="1">
        <f t="array" ref="I8082">_xlfn.STDEV.P(IF(Table1[IndicatorCode]=Table1[[#This Row],[IndicatorCode]],Table1[value]))</f>
        <v>6.3409496564024987</v>
      </c>
      <c r="J8082">
        <f>(Table1[[#This Row],[value]] - Table1[[#This Row],[mean]]) / Table1[[#This Row],[std_dev]]</f>
        <v>1.1567447009119609</v>
      </c>
      <c r="K8082">
        <f>AVERAGEIF(Table1[CountryCode],Table1[[#This Row],[CountryCode]],Table1[z-score])</f>
        <v>0.40817616735273116</v>
      </c>
      <c r="L8082" t="e">
        <f>VLOOKUP(Table1[[#This Row],[CountryCode]],[1]!Table1[#All],1,FALSE)</f>
        <v>#REF!</v>
      </c>
    </row>
    <row r="8083" spans="1:12" hidden="1" x14ac:dyDescent="0.3">
      <c r="A8083" t="s">
        <v>35</v>
      </c>
      <c r="B8083" t="s">
        <v>36</v>
      </c>
      <c r="C8083" t="s">
        <v>129</v>
      </c>
      <c r="D8083" t="s">
        <v>130</v>
      </c>
      <c r="E8083">
        <v>2010</v>
      </c>
      <c r="F8083" s="1">
        <v>80</v>
      </c>
      <c r="G8083">
        <v>2010</v>
      </c>
      <c r="H8083">
        <f>AVERAGEIFS(Table1[value],Table1[IndicatorCode],Table1[[#This Row],[IndicatorCode]])</f>
        <v>72.66514008620689</v>
      </c>
      <c r="I8083" cm="1">
        <f t="array" ref="I8083">_xlfn.STDEV.P(IF(Table1[IndicatorCode]=Table1[[#This Row],[IndicatorCode]],Table1[value]))</f>
        <v>6.3409496564024987</v>
      </c>
      <c r="J8083">
        <f>(Table1[[#This Row],[value]] - Table1[[#This Row],[mean]]) / Table1[[#This Row],[std_dev]]</f>
        <v>1.1567447009119609</v>
      </c>
      <c r="K8083">
        <f>AVERAGEIF(Table1[CountryCode],Table1[[#This Row],[CountryCode]],Table1[z-score])</f>
        <v>0.40817616735273116</v>
      </c>
      <c r="L8083" t="e">
        <f>VLOOKUP(Table1[[#This Row],[CountryCode]],[1]!Table1[#All],1,FALSE)</f>
        <v>#REF!</v>
      </c>
    </row>
    <row r="8084" spans="1:12" hidden="1" x14ac:dyDescent="0.3">
      <c r="A8084" t="s">
        <v>35</v>
      </c>
      <c r="B8084" t="s">
        <v>36</v>
      </c>
      <c r="C8084" t="s">
        <v>129</v>
      </c>
      <c r="D8084" t="s">
        <v>130</v>
      </c>
      <c r="E8084">
        <v>2011</v>
      </c>
      <c r="F8084" s="1">
        <v>80</v>
      </c>
      <c r="G8084">
        <v>2010</v>
      </c>
      <c r="H8084">
        <f>AVERAGEIFS(Table1[value],Table1[IndicatorCode],Table1[[#This Row],[IndicatorCode]])</f>
        <v>72.66514008620689</v>
      </c>
      <c r="I8084" cm="1">
        <f t="array" ref="I8084">_xlfn.STDEV.P(IF(Table1[IndicatorCode]=Table1[[#This Row],[IndicatorCode]],Table1[value]))</f>
        <v>6.3409496564024987</v>
      </c>
      <c r="J8084">
        <f>(Table1[[#This Row],[value]] - Table1[[#This Row],[mean]]) / Table1[[#This Row],[std_dev]]</f>
        <v>1.1567447009119609</v>
      </c>
      <c r="K8084">
        <f>AVERAGEIF(Table1[CountryCode],Table1[[#This Row],[CountryCode]],Table1[z-score])</f>
        <v>0.40817616735273116</v>
      </c>
      <c r="L8084" t="e">
        <f>VLOOKUP(Table1[[#This Row],[CountryCode]],[1]!Table1[#All],1,FALSE)</f>
        <v>#REF!</v>
      </c>
    </row>
    <row r="8085" spans="1:12" hidden="1" x14ac:dyDescent="0.3">
      <c r="A8085" t="s">
        <v>35</v>
      </c>
      <c r="B8085" t="s">
        <v>36</v>
      </c>
      <c r="C8085" t="s">
        <v>129</v>
      </c>
      <c r="D8085" t="s">
        <v>130</v>
      </c>
      <c r="E8085">
        <v>2012</v>
      </c>
      <c r="F8085" s="1">
        <v>81</v>
      </c>
      <c r="G8085">
        <v>2010</v>
      </c>
      <c r="H8085">
        <f>AVERAGEIFS(Table1[value],Table1[IndicatorCode],Table1[[#This Row],[IndicatorCode]])</f>
        <v>72.66514008620689</v>
      </c>
      <c r="I8085" cm="1">
        <f t="array" ref="I8085">_xlfn.STDEV.P(IF(Table1[IndicatorCode]=Table1[[#This Row],[IndicatorCode]],Table1[value]))</f>
        <v>6.3409496564024987</v>
      </c>
      <c r="J8085">
        <f>(Table1[[#This Row],[value]] - Table1[[#This Row],[mean]]) / Table1[[#This Row],[std_dev]]</f>
        <v>1.3144497851954</v>
      </c>
      <c r="K8085">
        <f>AVERAGEIF(Table1[CountryCode],Table1[[#This Row],[CountryCode]],Table1[z-score])</f>
        <v>0.40817616735273116</v>
      </c>
      <c r="L8085" t="e">
        <f>VLOOKUP(Table1[[#This Row],[CountryCode]],[1]!Table1[#All],1,FALSE)</f>
        <v>#REF!</v>
      </c>
    </row>
    <row r="8086" spans="1:12" hidden="1" x14ac:dyDescent="0.3">
      <c r="A8086" t="s">
        <v>35</v>
      </c>
      <c r="B8086" t="s">
        <v>36</v>
      </c>
      <c r="C8086" t="s">
        <v>129</v>
      </c>
      <c r="D8086" t="s">
        <v>130</v>
      </c>
      <c r="E8086">
        <v>2013</v>
      </c>
      <c r="F8086" s="1">
        <v>80</v>
      </c>
      <c r="G8086">
        <v>2010</v>
      </c>
      <c r="H8086">
        <f>AVERAGEIFS(Table1[value],Table1[IndicatorCode],Table1[[#This Row],[IndicatorCode]])</f>
        <v>72.66514008620689</v>
      </c>
      <c r="I8086" cm="1">
        <f t="array" ref="I8086">_xlfn.STDEV.P(IF(Table1[IndicatorCode]=Table1[[#This Row],[IndicatorCode]],Table1[value]))</f>
        <v>6.3409496564024987</v>
      </c>
      <c r="J8086">
        <f>(Table1[[#This Row],[value]] - Table1[[#This Row],[mean]]) / Table1[[#This Row],[std_dev]]</f>
        <v>1.1567447009119609</v>
      </c>
      <c r="K8086">
        <f>AVERAGEIF(Table1[CountryCode],Table1[[#This Row],[CountryCode]],Table1[z-score])</f>
        <v>0.40817616735273116</v>
      </c>
      <c r="L8086" t="e">
        <f>VLOOKUP(Table1[[#This Row],[CountryCode]],[1]!Table1[#All],1,FALSE)</f>
        <v>#REF!</v>
      </c>
    </row>
    <row r="8087" spans="1:12" hidden="1" x14ac:dyDescent="0.3">
      <c r="A8087" t="s">
        <v>35</v>
      </c>
      <c r="B8087" t="s">
        <v>36</v>
      </c>
      <c r="C8087" t="s">
        <v>129</v>
      </c>
      <c r="D8087" t="s">
        <v>130</v>
      </c>
      <c r="E8087">
        <v>2014</v>
      </c>
      <c r="F8087" s="1">
        <v>81</v>
      </c>
      <c r="G8087">
        <v>2010</v>
      </c>
      <c r="H8087">
        <f>AVERAGEIFS(Table1[value],Table1[IndicatorCode],Table1[[#This Row],[IndicatorCode]])</f>
        <v>72.66514008620689</v>
      </c>
      <c r="I8087" cm="1">
        <f t="array" ref="I8087">_xlfn.STDEV.P(IF(Table1[IndicatorCode]=Table1[[#This Row],[IndicatorCode]],Table1[value]))</f>
        <v>6.3409496564024987</v>
      </c>
      <c r="J8087">
        <f>(Table1[[#This Row],[value]] - Table1[[#This Row],[mean]]) / Table1[[#This Row],[std_dev]]</f>
        <v>1.3144497851954</v>
      </c>
      <c r="K8087">
        <f>AVERAGEIF(Table1[CountryCode],Table1[[#This Row],[CountryCode]],Table1[z-score])</f>
        <v>0.40817616735273116</v>
      </c>
      <c r="L8087" t="e">
        <f>VLOOKUP(Table1[[#This Row],[CountryCode]],[1]!Table1[#All],1,FALSE)</f>
        <v>#REF!</v>
      </c>
    </row>
    <row r="8088" spans="1:12" hidden="1" x14ac:dyDescent="0.3">
      <c r="A8088" t="s">
        <v>35</v>
      </c>
      <c r="B8088" t="s">
        <v>36</v>
      </c>
      <c r="C8088" t="s">
        <v>129</v>
      </c>
      <c r="D8088" t="s">
        <v>130</v>
      </c>
      <c r="E8088">
        <v>2015</v>
      </c>
      <c r="F8088" s="1">
        <v>81</v>
      </c>
      <c r="G8088">
        <v>2010</v>
      </c>
      <c r="H8088">
        <f>AVERAGEIFS(Table1[value],Table1[IndicatorCode],Table1[[#This Row],[IndicatorCode]])</f>
        <v>72.66514008620689</v>
      </c>
      <c r="I8088" cm="1">
        <f t="array" ref="I8088">_xlfn.STDEV.P(IF(Table1[IndicatorCode]=Table1[[#This Row],[IndicatorCode]],Table1[value]))</f>
        <v>6.3409496564024987</v>
      </c>
      <c r="J8088">
        <f>(Table1[[#This Row],[value]] - Table1[[#This Row],[mean]]) / Table1[[#This Row],[std_dev]]</f>
        <v>1.3144497851954</v>
      </c>
      <c r="K8088">
        <f>AVERAGEIF(Table1[CountryCode],Table1[[#This Row],[CountryCode]],Table1[z-score])</f>
        <v>0.40817616735273116</v>
      </c>
      <c r="L8088" t="e">
        <f>VLOOKUP(Table1[[#This Row],[CountryCode]],[1]!Table1[#All],1,FALSE)</f>
        <v>#REF!</v>
      </c>
    </row>
    <row r="8089" spans="1:12" hidden="1" x14ac:dyDescent="0.3">
      <c r="A8089" t="s">
        <v>35</v>
      </c>
      <c r="B8089" t="s">
        <v>36</v>
      </c>
      <c r="C8089" t="s">
        <v>129</v>
      </c>
      <c r="D8089" t="s">
        <v>130</v>
      </c>
      <c r="E8089">
        <v>2016</v>
      </c>
      <c r="F8089" s="1">
        <v>81</v>
      </c>
      <c r="G8089">
        <v>2010</v>
      </c>
      <c r="H8089">
        <f>AVERAGEIFS(Table1[value],Table1[IndicatorCode],Table1[[#This Row],[IndicatorCode]])</f>
        <v>72.66514008620689</v>
      </c>
      <c r="I8089" cm="1">
        <f t="array" ref="I8089">_xlfn.STDEV.P(IF(Table1[IndicatorCode]=Table1[[#This Row],[IndicatorCode]],Table1[value]))</f>
        <v>6.3409496564024987</v>
      </c>
      <c r="J8089">
        <f>(Table1[[#This Row],[value]] - Table1[[#This Row],[mean]]) / Table1[[#This Row],[std_dev]]</f>
        <v>1.3144497851954</v>
      </c>
      <c r="K8089">
        <f>AVERAGEIF(Table1[CountryCode],Table1[[#This Row],[CountryCode]],Table1[z-score])</f>
        <v>0.40817616735273116</v>
      </c>
      <c r="L8089" t="e">
        <f>VLOOKUP(Table1[[#This Row],[CountryCode]],[1]!Table1[#All],1,FALSE)</f>
        <v>#REF!</v>
      </c>
    </row>
    <row r="8090" spans="1:12" hidden="1" x14ac:dyDescent="0.3">
      <c r="A8090" t="s">
        <v>35</v>
      </c>
      <c r="B8090" t="s">
        <v>36</v>
      </c>
      <c r="C8090" t="s">
        <v>129</v>
      </c>
      <c r="D8090" t="s">
        <v>130</v>
      </c>
      <c r="E8090">
        <v>2017</v>
      </c>
      <c r="F8090" s="1">
        <v>81</v>
      </c>
      <c r="G8090">
        <v>2020</v>
      </c>
      <c r="H8090">
        <f>AVERAGEIFS(Table1[value],Table1[IndicatorCode],Table1[[#This Row],[IndicatorCode]])</f>
        <v>72.66514008620689</v>
      </c>
      <c r="I8090" cm="1">
        <f t="array" ref="I8090">_xlfn.STDEV.P(IF(Table1[IndicatorCode]=Table1[[#This Row],[IndicatorCode]],Table1[value]))</f>
        <v>6.3409496564024987</v>
      </c>
      <c r="J8090">
        <f>(Table1[[#This Row],[value]] - Table1[[#This Row],[mean]]) / Table1[[#This Row],[std_dev]]</f>
        <v>1.3144497851954</v>
      </c>
      <c r="K8090">
        <f>AVERAGEIF(Table1[CountryCode],Table1[[#This Row],[CountryCode]],Table1[z-score])</f>
        <v>0.40817616735273116</v>
      </c>
      <c r="L8090" t="e">
        <f>VLOOKUP(Table1[[#This Row],[CountryCode]],[1]!Table1[#All],1,FALSE)</f>
        <v>#REF!</v>
      </c>
    </row>
    <row r="8091" spans="1:12" hidden="1" x14ac:dyDescent="0.3">
      <c r="A8091" t="s">
        <v>35</v>
      </c>
      <c r="B8091" t="s">
        <v>36</v>
      </c>
      <c r="C8091" t="s">
        <v>129</v>
      </c>
      <c r="D8091" t="s">
        <v>130</v>
      </c>
      <c r="E8091">
        <v>2018</v>
      </c>
      <c r="F8091" s="1">
        <v>81</v>
      </c>
      <c r="G8091">
        <v>2020</v>
      </c>
      <c r="H8091">
        <f>AVERAGEIFS(Table1[value],Table1[IndicatorCode],Table1[[#This Row],[IndicatorCode]])</f>
        <v>72.66514008620689</v>
      </c>
      <c r="I8091" cm="1">
        <f t="array" ref="I8091">_xlfn.STDEV.P(IF(Table1[IndicatorCode]=Table1[[#This Row],[IndicatorCode]],Table1[value]))</f>
        <v>6.3409496564024987</v>
      </c>
      <c r="J8091">
        <f>(Table1[[#This Row],[value]] - Table1[[#This Row],[mean]]) / Table1[[#This Row],[std_dev]]</f>
        <v>1.3144497851954</v>
      </c>
      <c r="K8091">
        <f>AVERAGEIF(Table1[CountryCode],Table1[[#This Row],[CountryCode]],Table1[z-score])</f>
        <v>0.40817616735273116</v>
      </c>
      <c r="L8091" t="e">
        <f>VLOOKUP(Table1[[#This Row],[CountryCode]],[1]!Table1[#All],1,FALSE)</f>
        <v>#REF!</v>
      </c>
    </row>
    <row r="8092" spans="1:12" hidden="1" x14ac:dyDescent="0.3">
      <c r="A8092" t="s">
        <v>35</v>
      </c>
      <c r="B8092" t="s">
        <v>36</v>
      </c>
      <c r="C8092" t="s">
        <v>129</v>
      </c>
      <c r="D8092" t="s">
        <v>130</v>
      </c>
      <c r="E8092">
        <v>2019</v>
      </c>
      <c r="F8092" s="1">
        <v>81</v>
      </c>
      <c r="G8092">
        <v>2020</v>
      </c>
      <c r="H8092">
        <f>AVERAGEIFS(Table1[value],Table1[IndicatorCode],Table1[[#This Row],[IndicatorCode]])</f>
        <v>72.66514008620689</v>
      </c>
      <c r="I8092" cm="1">
        <f t="array" ref="I8092">_xlfn.STDEV.P(IF(Table1[IndicatorCode]=Table1[[#This Row],[IndicatorCode]],Table1[value]))</f>
        <v>6.3409496564024987</v>
      </c>
      <c r="J8092">
        <f>(Table1[[#This Row],[value]] - Table1[[#This Row],[mean]]) / Table1[[#This Row],[std_dev]]</f>
        <v>1.3144497851954</v>
      </c>
      <c r="K8092">
        <f>AVERAGEIF(Table1[CountryCode],Table1[[#This Row],[CountryCode]],Table1[z-score])</f>
        <v>0.40817616735273116</v>
      </c>
      <c r="L8092" t="e">
        <f>VLOOKUP(Table1[[#This Row],[CountryCode]],[1]!Table1[#All],1,FALSE)</f>
        <v>#REF!</v>
      </c>
    </row>
    <row r="8093" spans="1:12" x14ac:dyDescent="0.3">
      <c r="A8093" t="s">
        <v>35</v>
      </c>
      <c r="B8093" t="s">
        <v>36</v>
      </c>
      <c r="C8093" t="s">
        <v>129</v>
      </c>
      <c r="D8093" t="s">
        <v>130</v>
      </c>
      <c r="E8093">
        <v>2020</v>
      </c>
      <c r="F8093" s="1">
        <v>81</v>
      </c>
      <c r="G8093">
        <v>2020</v>
      </c>
      <c r="H8093">
        <f>AVERAGEIFS(Table1[value],Table1[IndicatorCode],Table1[[#This Row],[IndicatorCode]])</f>
        <v>72.66514008620689</v>
      </c>
      <c r="I8093" cm="1">
        <f t="array" ref="I8093">_xlfn.STDEV.P(IF(Table1[IndicatorCode]=Table1[[#This Row],[IndicatorCode]],Table1[value]))</f>
        <v>6.3409496564024987</v>
      </c>
      <c r="J8093">
        <f>(Table1[[#This Row],[value]] - Table1[[#This Row],[mean]]) / Table1[[#This Row],[std_dev]]</f>
        <v>1.3144497851954</v>
      </c>
      <c r="K8093">
        <f>AVERAGEIF(Table1[CountryCode],Table1[[#This Row],[CountryCode]],Table1[z-score])</f>
        <v>0.40817616735273116</v>
      </c>
    </row>
    <row r="8094" spans="1:12" hidden="1" x14ac:dyDescent="0.3">
      <c r="A8094" t="s">
        <v>35</v>
      </c>
      <c r="B8094" t="s">
        <v>36</v>
      </c>
      <c r="C8094" t="s">
        <v>129</v>
      </c>
      <c r="D8094" t="s">
        <v>130</v>
      </c>
      <c r="E8094">
        <v>2021</v>
      </c>
      <c r="F8094" s="1">
        <v>81</v>
      </c>
      <c r="G8094">
        <v>1960</v>
      </c>
      <c r="H8094">
        <f>AVERAGEIFS(Table1[value],Table1[IndicatorCode],Table1[[#This Row],[IndicatorCode]])</f>
        <v>72.66514008620689</v>
      </c>
      <c r="I8094" cm="1">
        <f t="array" ref="I8094">_xlfn.STDEV.P(IF(Table1[IndicatorCode]=Table1[[#This Row],[IndicatorCode]],Table1[value]))</f>
        <v>6.3409496564024987</v>
      </c>
      <c r="J8094">
        <f>(Table1[[#This Row],[value]] - Table1[[#This Row],[mean]]) / Table1[[#This Row],[std_dev]]</f>
        <v>1.3144497851954</v>
      </c>
      <c r="K8094">
        <f>AVERAGEIF(Table1[CountryCode],Table1[[#This Row],[CountryCode]],Table1[z-score])</f>
        <v>0.40817616735273116</v>
      </c>
      <c r="L8094" t="e">
        <f>VLOOKUP(Table1[[#This Row],[CountryCode]],[1]!Table1[#All],1,FALSE)</f>
        <v>#REF!</v>
      </c>
    </row>
    <row r="8095" spans="1:12" hidden="1" x14ac:dyDescent="0.3">
      <c r="A8095" t="s">
        <v>35</v>
      </c>
      <c r="B8095" t="s">
        <v>36</v>
      </c>
      <c r="C8095" t="s">
        <v>129</v>
      </c>
      <c r="D8095" t="s">
        <v>130</v>
      </c>
      <c r="E8095">
        <v>2022</v>
      </c>
      <c r="F8095" s="1">
        <v>81</v>
      </c>
      <c r="G8095">
        <v>1960</v>
      </c>
      <c r="H8095">
        <f>AVERAGEIFS(Table1[value],Table1[IndicatorCode],Table1[[#This Row],[IndicatorCode]])</f>
        <v>72.66514008620689</v>
      </c>
      <c r="I8095" cm="1">
        <f t="array" ref="I8095">_xlfn.STDEV.P(IF(Table1[IndicatorCode]=Table1[[#This Row],[IndicatorCode]],Table1[value]))</f>
        <v>6.3409496564024987</v>
      </c>
      <c r="J8095">
        <f>(Table1[[#This Row],[value]] - Table1[[#This Row],[mean]]) / Table1[[#This Row],[std_dev]]</f>
        <v>1.3144497851954</v>
      </c>
      <c r="K8095">
        <f>AVERAGEIF(Table1[CountryCode],Table1[[#This Row],[CountryCode]],Table1[z-score])</f>
        <v>0.40817616735273116</v>
      </c>
      <c r="L8095" t="e">
        <f>VLOOKUP(Table1[[#This Row],[CountryCode]],[1]!Table1[#All],1,FALSE)</f>
        <v>#REF!</v>
      </c>
    </row>
    <row r="8096" spans="1:12" hidden="1" x14ac:dyDescent="0.3">
      <c r="A8096" t="s">
        <v>35</v>
      </c>
      <c r="B8096" t="s">
        <v>36</v>
      </c>
      <c r="C8096" t="s">
        <v>129</v>
      </c>
      <c r="D8096" t="s">
        <v>130</v>
      </c>
      <c r="E8096">
        <v>2023</v>
      </c>
      <c r="F8096" s="1">
        <v>81</v>
      </c>
      <c r="G8096">
        <v>1960</v>
      </c>
      <c r="H8096">
        <f>AVERAGEIFS(Table1[value],Table1[IndicatorCode],Table1[[#This Row],[IndicatorCode]])</f>
        <v>72.66514008620689</v>
      </c>
      <c r="I8096" cm="1">
        <f t="array" ref="I8096">_xlfn.STDEV.P(IF(Table1[IndicatorCode]=Table1[[#This Row],[IndicatorCode]],Table1[value]))</f>
        <v>6.3409496564024987</v>
      </c>
      <c r="J8096">
        <f>(Table1[[#This Row],[value]] - Table1[[#This Row],[mean]]) / Table1[[#This Row],[std_dev]]</f>
        <v>1.3144497851954</v>
      </c>
      <c r="K8096">
        <f>AVERAGEIF(Table1[CountryCode],Table1[[#This Row],[CountryCode]],Table1[z-score])</f>
        <v>0.40817616735273116</v>
      </c>
      <c r="L8096" t="e">
        <f>VLOOKUP(Table1[[#This Row],[CountryCode]],[1]!Table1[#All],1,FALSE)</f>
        <v>#REF!</v>
      </c>
    </row>
    <row r="8097" spans="1:12" hidden="1" x14ac:dyDescent="0.3">
      <c r="A8097" t="s">
        <v>37</v>
      </c>
      <c r="B8097" t="s">
        <v>38</v>
      </c>
      <c r="C8097" t="s">
        <v>129</v>
      </c>
      <c r="D8097" t="s">
        <v>130</v>
      </c>
      <c r="E8097">
        <v>1960</v>
      </c>
      <c r="F8097" s="1">
        <v>72</v>
      </c>
      <c r="G8097">
        <v>1960</v>
      </c>
      <c r="H8097">
        <f>AVERAGEIFS(Table1[value],Table1[IndicatorCode],Table1[[#This Row],[IndicatorCode]])</f>
        <v>72.66514008620689</v>
      </c>
      <c r="I8097" cm="1">
        <f t="array" ref="I8097">_xlfn.STDEV.P(IF(Table1[IndicatorCode]=Table1[[#This Row],[IndicatorCode]],Table1[value]))</f>
        <v>6.3409496564024987</v>
      </c>
      <c r="J8097">
        <f>(Table1[[#This Row],[value]] - Table1[[#This Row],[mean]]) / Table1[[#This Row],[std_dev]]</f>
        <v>-0.10489597335555145</v>
      </c>
      <c r="K8097">
        <f>AVERAGEIF(Table1[CountryCode],Table1[[#This Row],[CountryCode]],Table1[z-score])</f>
        <v>0.4680674202807556</v>
      </c>
      <c r="L8097" t="e">
        <f>VLOOKUP(Table1[[#This Row],[CountryCode]],[1]!Table1[#All],1,FALSE)</f>
        <v>#REF!</v>
      </c>
    </row>
    <row r="8098" spans="1:12" hidden="1" x14ac:dyDescent="0.3">
      <c r="A8098" t="s">
        <v>37</v>
      </c>
      <c r="B8098" t="s">
        <v>38</v>
      </c>
      <c r="C8098" t="s">
        <v>129</v>
      </c>
      <c r="D8098" t="s">
        <v>130</v>
      </c>
      <c r="E8098">
        <v>1961</v>
      </c>
      <c r="F8098" s="1">
        <v>72</v>
      </c>
      <c r="G8098">
        <v>1960</v>
      </c>
      <c r="H8098">
        <f>AVERAGEIFS(Table1[value],Table1[IndicatorCode],Table1[[#This Row],[IndicatorCode]])</f>
        <v>72.66514008620689</v>
      </c>
      <c r="I8098" cm="1">
        <f t="array" ref="I8098">_xlfn.STDEV.P(IF(Table1[IndicatorCode]=Table1[[#This Row],[IndicatorCode]],Table1[value]))</f>
        <v>6.3409496564024987</v>
      </c>
      <c r="J8098">
        <f>(Table1[[#This Row],[value]] - Table1[[#This Row],[mean]]) / Table1[[#This Row],[std_dev]]</f>
        <v>-0.10489597335555145</v>
      </c>
      <c r="K8098">
        <f>AVERAGEIF(Table1[CountryCode],Table1[[#This Row],[CountryCode]],Table1[z-score])</f>
        <v>0.4680674202807556</v>
      </c>
      <c r="L8098" t="e">
        <f>VLOOKUP(Table1[[#This Row],[CountryCode]],[1]!Table1[#All],1,FALSE)</f>
        <v>#REF!</v>
      </c>
    </row>
    <row r="8099" spans="1:12" hidden="1" x14ac:dyDescent="0.3">
      <c r="A8099" t="s">
        <v>37</v>
      </c>
      <c r="B8099" t="s">
        <v>38</v>
      </c>
      <c r="C8099" t="s">
        <v>129</v>
      </c>
      <c r="D8099" t="s">
        <v>130</v>
      </c>
      <c r="E8099">
        <v>1962</v>
      </c>
      <c r="F8099" s="1">
        <v>72</v>
      </c>
      <c r="G8099">
        <v>1960</v>
      </c>
      <c r="H8099">
        <f>AVERAGEIFS(Table1[value],Table1[IndicatorCode],Table1[[#This Row],[IndicatorCode]])</f>
        <v>72.66514008620689</v>
      </c>
      <c r="I8099" cm="1">
        <f t="array" ref="I8099">_xlfn.STDEV.P(IF(Table1[IndicatorCode]=Table1[[#This Row],[IndicatorCode]],Table1[value]))</f>
        <v>6.3409496564024987</v>
      </c>
      <c r="J8099">
        <f>(Table1[[#This Row],[value]] - Table1[[#This Row],[mean]]) / Table1[[#This Row],[std_dev]]</f>
        <v>-0.10489597335555145</v>
      </c>
      <c r="K8099">
        <f>AVERAGEIF(Table1[CountryCode],Table1[[#This Row],[CountryCode]],Table1[z-score])</f>
        <v>0.4680674202807556</v>
      </c>
      <c r="L8099" t="e">
        <f>VLOOKUP(Table1[[#This Row],[CountryCode]],[1]!Table1[#All],1,FALSE)</f>
        <v>#REF!</v>
      </c>
    </row>
    <row r="8100" spans="1:12" hidden="1" x14ac:dyDescent="0.3">
      <c r="A8100" t="s">
        <v>37</v>
      </c>
      <c r="B8100" t="s">
        <v>38</v>
      </c>
      <c r="C8100" t="s">
        <v>129</v>
      </c>
      <c r="D8100" t="s">
        <v>130</v>
      </c>
      <c r="E8100">
        <v>1963</v>
      </c>
      <c r="F8100" s="1">
        <v>72</v>
      </c>
      <c r="G8100">
        <v>1960</v>
      </c>
      <c r="H8100">
        <f>AVERAGEIFS(Table1[value],Table1[IndicatorCode],Table1[[#This Row],[IndicatorCode]])</f>
        <v>72.66514008620689</v>
      </c>
      <c r="I8100" cm="1">
        <f t="array" ref="I8100">_xlfn.STDEV.P(IF(Table1[IndicatorCode]=Table1[[#This Row],[IndicatorCode]],Table1[value]))</f>
        <v>6.3409496564024987</v>
      </c>
      <c r="J8100">
        <f>(Table1[[#This Row],[value]] - Table1[[#This Row],[mean]]) / Table1[[#This Row],[std_dev]]</f>
        <v>-0.10489597335555145</v>
      </c>
      <c r="K8100">
        <f>AVERAGEIF(Table1[CountryCode],Table1[[#This Row],[CountryCode]],Table1[z-score])</f>
        <v>0.4680674202807556</v>
      </c>
      <c r="L8100" t="e">
        <f>VLOOKUP(Table1[[#This Row],[CountryCode]],[1]!Table1[#All],1,FALSE)</f>
        <v>#REF!</v>
      </c>
    </row>
    <row r="8101" spans="1:12" hidden="1" x14ac:dyDescent="0.3">
      <c r="A8101" t="s">
        <v>37</v>
      </c>
      <c r="B8101" t="s">
        <v>38</v>
      </c>
      <c r="C8101" t="s">
        <v>129</v>
      </c>
      <c r="D8101" t="s">
        <v>130</v>
      </c>
      <c r="E8101">
        <v>1964</v>
      </c>
      <c r="F8101" s="1">
        <v>72</v>
      </c>
      <c r="G8101">
        <v>1960</v>
      </c>
      <c r="H8101">
        <f>AVERAGEIFS(Table1[value],Table1[IndicatorCode],Table1[[#This Row],[IndicatorCode]])</f>
        <v>72.66514008620689</v>
      </c>
      <c r="I8101" cm="1">
        <f t="array" ref="I8101">_xlfn.STDEV.P(IF(Table1[IndicatorCode]=Table1[[#This Row],[IndicatorCode]],Table1[value]))</f>
        <v>6.3409496564024987</v>
      </c>
      <c r="J8101">
        <f>(Table1[[#This Row],[value]] - Table1[[#This Row],[mean]]) / Table1[[#This Row],[std_dev]]</f>
        <v>-0.10489597335555145</v>
      </c>
      <c r="K8101">
        <f>AVERAGEIF(Table1[CountryCode],Table1[[#This Row],[CountryCode]],Table1[z-score])</f>
        <v>0.4680674202807556</v>
      </c>
      <c r="L8101" t="e">
        <f>VLOOKUP(Table1[[#This Row],[CountryCode]],[1]!Table1[#All],1,FALSE)</f>
        <v>#REF!</v>
      </c>
    </row>
    <row r="8102" spans="1:12" hidden="1" x14ac:dyDescent="0.3">
      <c r="A8102" t="s">
        <v>37</v>
      </c>
      <c r="B8102" t="s">
        <v>38</v>
      </c>
      <c r="C8102" t="s">
        <v>129</v>
      </c>
      <c r="D8102" t="s">
        <v>130</v>
      </c>
      <c r="E8102">
        <v>1965</v>
      </c>
      <c r="F8102" s="1">
        <v>72</v>
      </c>
      <c r="G8102">
        <v>1960</v>
      </c>
      <c r="H8102">
        <f>AVERAGEIFS(Table1[value],Table1[IndicatorCode],Table1[[#This Row],[IndicatorCode]])</f>
        <v>72.66514008620689</v>
      </c>
      <c r="I8102" cm="1">
        <f t="array" ref="I8102">_xlfn.STDEV.P(IF(Table1[IndicatorCode]=Table1[[#This Row],[IndicatorCode]],Table1[value]))</f>
        <v>6.3409496564024987</v>
      </c>
      <c r="J8102">
        <f>(Table1[[#This Row],[value]] - Table1[[#This Row],[mean]]) / Table1[[#This Row],[std_dev]]</f>
        <v>-0.10489597335555145</v>
      </c>
      <c r="K8102">
        <f>AVERAGEIF(Table1[CountryCode],Table1[[#This Row],[CountryCode]],Table1[z-score])</f>
        <v>0.4680674202807556</v>
      </c>
      <c r="L8102" t="e">
        <f>VLOOKUP(Table1[[#This Row],[CountryCode]],[1]!Table1[#All],1,FALSE)</f>
        <v>#REF!</v>
      </c>
    </row>
    <row r="8103" spans="1:12" hidden="1" x14ac:dyDescent="0.3">
      <c r="A8103" t="s">
        <v>37</v>
      </c>
      <c r="B8103" t="s">
        <v>38</v>
      </c>
      <c r="C8103" t="s">
        <v>129</v>
      </c>
      <c r="D8103" t="s">
        <v>130</v>
      </c>
      <c r="E8103">
        <v>1966</v>
      </c>
      <c r="F8103" s="1">
        <v>72</v>
      </c>
      <c r="G8103">
        <v>1960</v>
      </c>
      <c r="H8103">
        <f>AVERAGEIFS(Table1[value],Table1[IndicatorCode],Table1[[#This Row],[IndicatorCode]])</f>
        <v>72.66514008620689</v>
      </c>
      <c r="I8103" cm="1">
        <f t="array" ref="I8103">_xlfn.STDEV.P(IF(Table1[IndicatorCode]=Table1[[#This Row],[IndicatorCode]],Table1[value]))</f>
        <v>6.3409496564024987</v>
      </c>
      <c r="J8103">
        <f>(Table1[[#This Row],[value]] - Table1[[#This Row],[mean]]) / Table1[[#This Row],[std_dev]]</f>
        <v>-0.10489597335555145</v>
      </c>
      <c r="K8103">
        <f>AVERAGEIF(Table1[CountryCode],Table1[[#This Row],[CountryCode]],Table1[z-score])</f>
        <v>0.4680674202807556</v>
      </c>
      <c r="L8103" t="e">
        <f>VLOOKUP(Table1[[#This Row],[CountryCode]],[1]!Table1[#All],1,FALSE)</f>
        <v>#REF!</v>
      </c>
    </row>
    <row r="8104" spans="1:12" hidden="1" x14ac:dyDescent="0.3">
      <c r="A8104" t="s">
        <v>37</v>
      </c>
      <c r="B8104" t="s">
        <v>38</v>
      </c>
      <c r="C8104" t="s">
        <v>129</v>
      </c>
      <c r="D8104" t="s">
        <v>130</v>
      </c>
      <c r="E8104">
        <v>1967</v>
      </c>
      <c r="F8104" s="1">
        <v>73</v>
      </c>
      <c r="G8104">
        <v>1970</v>
      </c>
      <c r="H8104">
        <f>AVERAGEIFS(Table1[value],Table1[IndicatorCode],Table1[[#This Row],[IndicatorCode]])</f>
        <v>72.66514008620689</v>
      </c>
      <c r="I8104" cm="1">
        <f t="array" ref="I8104">_xlfn.STDEV.P(IF(Table1[IndicatorCode]=Table1[[#This Row],[IndicatorCode]],Table1[value]))</f>
        <v>6.3409496564024987</v>
      </c>
      <c r="J8104">
        <f>(Table1[[#This Row],[value]] - Table1[[#This Row],[mean]]) / Table1[[#This Row],[std_dev]]</f>
        <v>5.2809110927887599E-2</v>
      </c>
      <c r="K8104">
        <f>AVERAGEIF(Table1[CountryCode],Table1[[#This Row],[CountryCode]],Table1[z-score])</f>
        <v>0.4680674202807556</v>
      </c>
      <c r="L8104" t="e">
        <f>VLOOKUP(Table1[[#This Row],[CountryCode]],[1]!Table1[#All],1,FALSE)</f>
        <v>#REF!</v>
      </c>
    </row>
    <row r="8105" spans="1:12" hidden="1" x14ac:dyDescent="0.3">
      <c r="A8105" t="s">
        <v>37</v>
      </c>
      <c r="B8105" t="s">
        <v>38</v>
      </c>
      <c r="C8105" t="s">
        <v>129</v>
      </c>
      <c r="D8105" t="s">
        <v>130</v>
      </c>
      <c r="E8105">
        <v>1968</v>
      </c>
      <c r="F8105" s="1">
        <v>73</v>
      </c>
      <c r="G8105">
        <v>1970</v>
      </c>
      <c r="H8105">
        <f>AVERAGEIFS(Table1[value],Table1[IndicatorCode],Table1[[#This Row],[IndicatorCode]])</f>
        <v>72.66514008620689</v>
      </c>
      <c r="I8105" cm="1">
        <f t="array" ref="I8105">_xlfn.STDEV.P(IF(Table1[IndicatorCode]=Table1[[#This Row],[IndicatorCode]],Table1[value]))</f>
        <v>6.3409496564024987</v>
      </c>
      <c r="J8105">
        <f>(Table1[[#This Row],[value]] - Table1[[#This Row],[mean]]) / Table1[[#This Row],[std_dev]]</f>
        <v>5.2809110927887599E-2</v>
      </c>
      <c r="K8105">
        <f>AVERAGEIF(Table1[CountryCode],Table1[[#This Row],[CountryCode]],Table1[z-score])</f>
        <v>0.4680674202807556</v>
      </c>
      <c r="L8105" t="e">
        <f>VLOOKUP(Table1[[#This Row],[CountryCode]],[1]!Table1[#All],1,FALSE)</f>
        <v>#REF!</v>
      </c>
    </row>
    <row r="8106" spans="1:12" hidden="1" x14ac:dyDescent="0.3">
      <c r="A8106" t="s">
        <v>37</v>
      </c>
      <c r="B8106" t="s">
        <v>38</v>
      </c>
      <c r="C8106" t="s">
        <v>129</v>
      </c>
      <c r="D8106" t="s">
        <v>130</v>
      </c>
      <c r="E8106">
        <v>1969</v>
      </c>
      <c r="F8106" s="1">
        <v>73</v>
      </c>
      <c r="G8106">
        <v>1970</v>
      </c>
      <c r="H8106">
        <f>AVERAGEIFS(Table1[value],Table1[IndicatorCode],Table1[[#This Row],[IndicatorCode]])</f>
        <v>72.66514008620689</v>
      </c>
      <c r="I8106" cm="1">
        <f t="array" ref="I8106">_xlfn.STDEV.P(IF(Table1[IndicatorCode]=Table1[[#This Row],[IndicatorCode]],Table1[value]))</f>
        <v>6.3409496564024987</v>
      </c>
      <c r="J8106">
        <f>(Table1[[#This Row],[value]] - Table1[[#This Row],[mean]]) / Table1[[#This Row],[std_dev]]</f>
        <v>5.2809110927887599E-2</v>
      </c>
      <c r="K8106">
        <f>AVERAGEIF(Table1[CountryCode],Table1[[#This Row],[CountryCode]],Table1[z-score])</f>
        <v>0.4680674202807556</v>
      </c>
      <c r="L8106" t="e">
        <f>VLOOKUP(Table1[[#This Row],[CountryCode]],[1]!Table1[#All],1,FALSE)</f>
        <v>#REF!</v>
      </c>
    </row>
    <row r="8107" spans="1:12" hidden="1" x14ac:dyDescent="0.3">
      <c r="A8107" t="s">
        <v>37</v>
      </c>
      <c r="B8107" t="s">
        <v>38</v>
      </c>
      <c r="C8107" t="s">
        <v>129</v>
      </c>
      <c r="D8107" t="s">
        <v>130</v>
      </c>
      <c r="E8107">
        <v>1970</v>
      </c>
      <c r="F8107" s="1">
        <v>73</v>
      </c>
      <c r="G8107">
        <v>1970</v>
      </c>
      <c r="H8107">
        <f>AVERAGEIFS(Table1[value],Table1[IndicatorCode],Table1[[#This Row],[IndicatorCode]])</f>
        <v>72.66514008620689</v>
      </c>
      <c r="I8107" cm="1">
        <f t="array" ref="I8107">_xlfn.STDEV.P(IF(Table1[IndicatorCode]=Table1[[#This Row],[IndicatorCode]],Table1[value]))</f>
        <v>6.3409496564024987</v>
      </c>
      <c r="J8107">
        <f>(Table1[[#This Row],[value]] - Table1[[#This Row],[mean]]) / Table1[[#This Row],[std_dev]]</f>
        <v>5.2809110927887599E-2</v>
      </c>
      <c r="K8107">
        <f>AVERAGEIF(Table1[CountryCode],Table1[[#This Row],[CountryCode]],Table1[z-score])</f>
        <v>0.4680674202807556</v>
      </c>
      <c r="L8107" t="e">
        <f>VLOOKUP(Table1[[#This Row],[CountryCode]],[1]!Table1[#All],1,FALSE)</f>
        <v>#REF!</v>
      </c>
    </row>
    <row r="8108" spans="1:12" hidden="1" x14ac:dyDescent="0.3">
      <c r="A8108" t="s">
        <v>37</v>
      </c>
      <c r="B8108" t="s">
        <v>38</v>
      </c>
      <c r="C8108" t="s">
        <v>129</v>
      </c>
      <c r="D8108" t="s">
        <v>130</v>
      </c>
      <c r="E8108">
        <v>1971</v>
      </c>
      <c r="F8108" s="1">
        <v>73</v>
      </c>
      <c r="G8108">
        <v>1970</v>
      </c>
      <c r="H8108">
        <f>AVERAGEIFS(Table1[value],Table1[IndicatorCode],Table1[[#This Row],[IndicatorCode]])</f>
        <v>72.66514008620689</v>
      </c>
      <c r="I8108" cm="1">
        <f t="array" ref="I8108">_xlfn.STDEV.P(IF(Table1[IndicatorCode]=Table1[[#This Row],[IndicatorCode]],Table1[value]))</f>
        <v>6.3409496564024987</v>
      </c>
      <c r="J8108">
        <f>(Table1[[#This Row],[value]] - Table1[[#This Row],[mean]]) / Table1[[#This Row],[std_dev]]</f>
        <v>5.2809110927887599E-2</v>
      </c>
      <c r="K8108">
        <f>AVERAGEIF(Table1[CountryCode],Table1[[#This Row],[CountryCode]],Table1[z-score])</f>
        <v>0.4680674202807556</v>
      </c>
      <c r="L8108" t="e">
        <f>VLOOKUP(Table1[[#This Row],[CountryCode]],[1]!Table1[#All],1,FALSE)</f>
        <v>#REF!</v>
      </c>
    </row>
    <row r="8109" spans="1:12" hidden="1" x14ac:dyDescent="0.3">
      <c r="A8109" t="s">
        <v>37</v>
      </c>
      <c r="B8109" t="s">
        <v>38</v>
      </c>
      <c r="C8109" t="s">
        <v>129</v>
      </c>
      <c r="D8109" t="s">
        <v>130</v>
      </c>
      <c r="E8109">
        <v>1972</v>
      </c>
      <c r="F8109" s="1">
        <v>73</v>
      </c>
      <c r="G8109">
        <v>1970</v>
      </c>
      <c r="H8109">
        <f>AVERAGEIFS(Table1[value],Table1[IndicatorCode],Table1[[#This Row],[IndicatorCode]])</f>
        <v>72.66514008620689</v>
      </c>
      <c r="I8109" cm="1">
        <f t="array" ref="I8109">_xlfn.STDEV.P(IF(Table1[IndicatorCode]=Table1[[#This Row],[IndicatorCode]],Table1[value]))</f>
        <v>6.3409496564024987</v>
      </c>
      <c r="J8109">
        <f>(Table1[[#This Row],[value]] - Table1[[#This Row],[mean]]) / Table1[[#This Row],[std_dev]]</f>
        <v>5.2809110927887599E-2</v>
      </c>
      <c r="K8109">
        <f>AVERAGEIF(Table1[CountryCode],Table1[[#This Row],[CountryCode]],Table1[z-score])</f>
        <v>0.4680674202807556</v>
      </c>
      <c r="L8109" t="e">
        <f>VLOOKUP(Table1[[#This Row],[CountryCode]],[1]!Table1[#All],1,FALSE)</f>
        <v>#REF!</v>
      </c>
    </row>
    <row r="8110" spans="1:12" hidden="1" x14ac:dyDescent="0.3">
      <c r="A8110" t="s">
        <v>37</v>
      </c>
      <c r="B8110" t="s">
        <v>38</v>
      </c>
      <c r="C8110" t="s">
        <v>129</v>
      </c>
      <c r="D8110" t="s">
        <v>130</v>
      </c>
      <c r="E8110">
        <v>1973</v>
      </c>
      <c r="F8110" s="1">
        <v>74</v>
      </c>
      <c r="G8110">
        <v>1970</v>
      </c>
      <c r="H8110">
        <f>AVERAGEIFS(Table1[value],Table1[IndicatorCode],Table1[[#This Row],[IndicatorCode]])</f>
        <v>72.66514008620689</v>
      </c>
      <c r="I8110" cm="1">
        <f t="array" ref="I8110">_xlfn.STDEV.P(IF(Table1[IndicatorCode]=Table1[[#This Row],[IndicatorCode]],Table1[value]))</f>
        <v>6.3409496564024987</v>
      </c>
      <c r="J8110">
        <f>(Table1[[#This Row],[value]] - Table1[[#This Row],[mean]]) / Table1[[#This Row],[std_dev]]</f>
        <v>0.21051419521132667</v>
      </c>
      <c r="K8110">
        <f>AVERAGEIF(Table1[CountryCode],Table1[[#This Row],[CountryCode]],Table1[z-score])</f>
        <v>0.4680674202807556</v>
      </c>
      <c r="L8110" t="e">
        <f>VLOOKUP(Table1[[#This Row],[CountryCode]],[1]!Table1[#All],1,FALSE)</f>
        <v>#REF!</v>
      </c>
    </row>
    <row r="8111" spans="1:12" hidden="1" x14ac:dyDescent="0.3">
      <c r="A8111" t="s">
        <v>37</v>
      </c>
      <c r="B8111" t="s">
        <v>38</v>
      </c>
      <c r="C8111" t="s">
        <v>129</v>
      </c>
      <c r="D8111" t="s">
        <v>130</v>
      </c>
      <c r="E8111">
        <v>1974</v>
      </c>
      <c r="F8111" s="1">
        <v>74</v>
      </c>
      <c r="G8111">
        <v>1970</v>
      </c>
      <c r="H8111">
        <f>AVERAGEIFS(Table1[value],Table1[IndicatorCode],Table1[[#This Row],[IndicatorCode]])</f>
        <v>72.66514008620689</v>
      </c>
      <c r="I8111" cm="1">
        <f t="array" ref="I8111">_xlfn.STDEV.P(IF(Table1[IndicatorCode]=Table1[[#This Row],[IndicatorCode]],Table1[value]))</f>
        <v>6.3409496564024987</v>
      </c>
      <c r="J8111">
        <f>(Table1[[#This Row],[value]] - Table1[[#This Row],[mean]]) / Table1[[#This Row],[std_dev]]</f>
        <v>0.21051419521132667</v>
      </c>
      <c r="K8111">
        <f>AVERAGEIF(Table1[CountryCode],Table1[[#This Row],[CountryCode]],Table1[z-score])</f>
        <v>0.4680674202807556</v>
      </c>
      <c r="L8111" t="e">
        <f>VLOOKUP(Table1[[#This Row],[CountryCode]],[1]!Table1[#All],1,FALSE)</f>
        <v>#REF!</v>
      </c>
    </row>
    <row r="8112" spans="1:12" hidden="1" x14ac:dyDescent="0.3">
      <c r="A8112" t="s">
        <v>37</v>
      </c>
      <c r="B8112" t="s">
        <v>38</v>
      </c>
      <c r="C8112" t="s">
        <v>129</v>
      </c>
      <c r="D8112" t="s">
        <v>130</v>
      </c>
      <c r="E8112">
        <v>1975</v>
      </c>
      <c r="F8112" s="1">
        <v>74</v>
      </c>
      <c r="G8112">
        <v>1970</v>
      </c>
      <c r="H8112">
        <f>AVERAGEIFS(Table1[value],Table1[IndicatorCode],Table1[[#This Row],[IndicatorCode]])</f>
        <v>72.66514008620689</v>
      </c>
      <c r="I8112" cm="1">
        <f t="array" ref="I8112">_xlfn.STDEV.P(IF(Table1[IndicatorCode]=Table1[[#This Row],[IndicatorCode]],Table1[value]))</f>
        <v>6.3409496564024987</v>
      </c>
      <c r="J8112">
        <f>(Table1[[#This Row],[value]] - Table1[[#This Row],[mean]]) / Table1[[#This Row],[std_dev]]</f>
        <v>0.21051419521132667</v>
      </c>
      <c r="K8112">
        <f>AVERAGEIF(Table1[CountryCode],Table1[[#This Row],[CountryCode]],Table1[z-score])</f>
        <v>0.4680674202807556</v>
      </c>
      <c r="L8112" t="e">
        <f>VLOOKUP(Table1[[#This Row],[CountryCode]],[1]!Table1[#All],1,FALSE)</f>
        <v>#REF!</v>
      </c>
    </row>
    <row r="8113" spans="1:12" hidden="1" x14ac:dyDescent="0.3">
      <c r="A8113" t="s">
        <v>37</v>
      </c>
      <c r="B8113" t="s">
        <v>38</v>
      </c>
      <c r="C8113" t="s">
        <v>129</v>
      </c>
      <c r="D8113" t="s">
        <v>130</v>
      </c>
      <c r="E8113">
        <v>1976</v>
      </c>
      <c r="F8113" s="1">
        <v>74</v>
      </c>
      <c r="G8113">
        <v>1970</v>
      </c>
      <c r="H8113">
        <f>AVERAGEIFS(Table1[value],Table1[IndicatorCode],Table1[[#This Row],[IndicatorCode]])</f>
        <v>72.66514008620689</v>
      </c>
      <c r="I8113" cm="1">
        <f t="array" ref="I8113">_xlfn.STDEV.P(IF(Table1[IndicatorCode]=Table1[[#This Row],[IndicatorCode]],Table1[value]))</f>
        <v>6.3409496564024987</v>
      </c>
      <c r="J8113">
        <f>(Table1[[#This Row],[value]] - Table1[[#This Row],[mean]]) / Table1[[#This Row],[std_dev]]</f>
        <v>0.21051419521132667</v>
      </c>
      <c r="K8113">
        <f>AVERAGEIF(Table1[CountryCode],Table1[[#This Row],[CountryCode]],Table1[z-score])</f>
        <v>0.4680674202807556</v>
      </c>
      <c r="L8113" t="e">
        <f>VLOOKUP(Table1[[#This Row],[CountryCode]],[1]!Table1[#All],1,FALSE)</f>
        <v>#REF!</v>
      </c>
    </row>
    <row r="8114" spans="1:12" hidden="1" x14ac:dyDescent="0.3">
      <c r="A8114" t="s">
        <v>37</v>
      </c>
      <c r="B8114" t="s">
        <v>38</v>
      </c>
      <c r="C8114" t="s">
        <v>129</v>
      </c>
      <c r="D8114" t="s">
        <v>130</v>
      </c>
      <c r="E8114">
        <v>1977</v>
      </c>
      <c r="F8114" s="1">
        <v>75</v>
      </c>
      <c r="G8114">
        <v>1980</v>
      </c>
      <c r="H8114">
        <f>AVERAGEIFS(Table1[value],Table1[IndicatorCode],Table1[[#This Row],[IndicatorCode]])</f>
        <v>72.66514008620689</v>
      </c>
      <c r="I8114" cm="1">
        <f t="array" ref="I8114">_xlfn.STDEV.P(IF(Table1[IndicatorCode]=Table1[[#This Row],[IndicatorCode]],Table1[value]))</f>
        <v>6.3409496564024987</v>
      </c>
      <c r="J8114">
        <f>(Table1[[#This Row],[value]] - Table1[[#This Row],[mean]]) / Table1[[#This Row],[std_dev]]</f>
        <v>0.36821927949476574</v>
      </c>
      <c r="K8114">
        <f>AVERAGEIF(Table1[CountryCode],Table1[[#This Row],[CountryCode]],Table1[z-score])</f>
        <v>0.4680674202807556</v>
      </c>
      <c r="L8114" t="e">
        <f>VLOOKUP(Table1[[#This Row],[CountryCode]],[1]!Table1[#All],1,FALSE)</f>
        <v>#REF!</v>
      </c>
    </row>
    <row r="8115" spans="1:12" hidden="1" x14ac:dyDescent="0.3">
      <c r="A8115" t="s">
        <v>37</v>
      </c>
      <c r="B8115" t="s">
        <v>38</v>
      </c>
      <c r="C8115" t="s">
        <v>129</v>
      </c>
      <c r="D8115" t="s">
        <v>130</v>
      </c>
      <c r="E8115">
        <v>1978</v>
      </c>
      <c r="F8115" s="1">
        <v>74</v>
      </c>
      <c r="G8115">
        <v>1980</v>
      </c>
      <c r="H8115">
        <f>AVERAGEIFS(Table1[value],Table1[IndicatorCode],Table1[[#This Row],[IndicatorCode]])</f>
        <v>72.66514008620689</v>
      </c>
      <c r="I8115" cm="1">
        <f t="array" ref="I8115">_xlfn.STDEV.P(IF(Table1[IndicatorCode]=Table1[[#This Row],[IndicatorCode]],Table1[value]))</f>
        <v>6.3409496564024987</v>
      </c>
      <c r="J8115">
        <f>(Table1[[#This Row],[value]] - Table1[[#This Row],[mean]]) / Table1[[#This Row],[std_dev]]</f>
        <v>0.21051419521132667</v>
      </c>
      <c r="K8115">
        <f>AVERAGEIF(Table1[CountryCode],Table1[[#This Row],[CountryCode]],Table1[z-score])</f>
        <v>0.4680674202807556</v>
      </c>
      <c r="L8115" t="e">
        <f>VLOOKUP(Table1[[#This Row],[CountryCode]],[1]!Table1[#All],1,FALSE)</f>
        <v>#REF!</v>
      </c>
    </row>
    <row r="8116" spans="1:12" hidden="1" x14ac:dyDescent="0.3">
      <c r="A8116" t="s">
        <v>37</v>
      </c>
      <c r="B8116" t="s">
        <v>38</v>
      </c>
      <c r="C8116" t="s">
        <v>129</v>
      </c>
      <c r="D8116" t="s">
        <v>130</v>
      </c>
      <c r="E8116">
        <v>1979</v>
      </c>
      <c r="F8116" s="1">
        <v>74</v>
      </c>
      <c r="G8116">
        <v>1980</v>
      </c>
      <c r="H8116">
        <f>AVERAGEIFS(Table1[value],Table1[IndicatorCode],Table1[[#This Row],[IndicatorCode]])</f>
        <v>72.66514008620689</v>
      </c>
      <c r="I8116" cm="1">
        <f t="array" ref="I8116">_xlfn.STDEV.P(IF(Table1[IndicatorCode]=Table1[[#This Row],[IndicatorCode]],Table1[value]))</f>
        <v>6.3409496564024987</v>
      </c>
      <c r="J8116">
        <f>(Table1[[#This Row],[value]] - Table1[[#This Row],[mean]]) / Table1[[#This Row],[std_dev]]</f>
        <v>0.21051419521132667</v>
      </c>
      <c r="K8116">
        <f>AVERAGEIF(Table1[CountryCode],Table1[[#This Row],[CountryCode]],Table1[z-score])</f>
        <v>0.4680674202807556</v>
      </c>
      <c r="L8116" t="e">
        <f>VLOOKUP(Table1[[#This Row],[CountryCode]],[1]!Table1[#All],1,FALSE)</f>
        <v>#REF!</v>
      </c>
    </row>
    <row r="8117" spans="1:12" hidden="1" x14ac:dyDescent="0.3">
      <c r="A8117" t="s">
        <v>37</v>
      </c>
      <c r="B8117" t="s">
        <v>38</v>
      </c>
      <c r="C8117" t="s">
        <v>129</v>
      </c>
      <c r="D8117" t="s">
        <v>130</v>
      </c>
      <c r="E8117">
        <v>1980</v>
      </c>
      <c r="F8117" s="1">
        <v>74</v>
      </c>
      <c r="G8117">
        <v>1980</v>
      </c>
      <c r="H8117">
        <f>AVERAGEIFS(Table1[value],Table1[IndicatorCode],Table1[[#This Row],[IndicatorCode]])</f>
        <v>72.66514008620689</v>
      </c>
      <c r="I8117" cm="1">
        <f t="array" ref="I8117">_xlfn.STDEV.P(IF(Table1[IndicatorCode]=Table1[[#This Row],[IndicatorCode]],Table1[value]))</f>
        <v>6.3409496564024987</v>
      </c>
      <c r="J8117">
        <f>(Table1[[#This Row],[value]] - Table1[[#This Row],[mean]]) / Table1[[#This Row],[std_dev]]</f>
        <v>0.21051419521132667</v>
      </c>
      <c r="K8117">
        <f>AVERAGEIF(Table1[CountryCode],Table1[[#This Row],[CountryCode]],Table1[z-score])</f>
        <v>0.4680674202807556</v>
      </c>
      <c r="L8117" t="e">
        <f>VLOOKUP(Table1[[#This Row],[CountryCode]],[1]!Table1[#All],1,FALSE)</f>
        <v>#REF!</v>
      </c>
    </row>
    <row r="8118" spans="1:12" hidden="1" x14ac:dyDescent="0.3">
      <c r="A8118" t="s">
        <v>37</v>
      </c>
      <c r="B8118" t="s">
        <v>38</v>
      </c>
      <c r="C8118" t="s">
        <v>129</v>
      </c>
      <c r="D8118" t="s">
        <v>130</v>
      </c>
      <c r="E8118">
        <v>1981</v>
      </c>
      <c r="F8118" s="1">
        <v>74</v>
      </c>
      <c r="G8118">
        <v>1980</v>
      </c>
      <c r="H8118">
        <f>AVERAGEIFS(Table1[value],Table1[IndicatorCode],Table1[[#This Row],[IndicatorCode]])</f>
        <v>72.66514008620689</v>
      </c>
      <c r="I8118" cm="1">
        <f t="array" ref="I8118">_xlfn.STDEV.P(IF(Table1[IndicatorCode]=Table1[[#This Row],[IndicatorCode]],Table1[value]))</f>
        <v>6.3409496564024987</v>
      </c>
      <c r="J8118">
        <f>(Table1[[#This Row],[value]] - Table1[[#This Row],[mean]]) / Table1[[#This Row],[std_dev]]</f>
        <v>0.21051419521132667</v>
      </c>
      <c r="K8118">
        <f>AVERAGEIF(Table1[CountryCode],Table1[[#This Row],[CountryCode]],Table1[z-score])</f>
        <v>0.4680674202807556</v>
      </c>
      <c r="L8118" t="e">
        <f>VLOOKUP(Table1[[#This Row],[CountryCode]],[1]!Table1[#All],1,FALSE)</f>
        <v>#REF!</v>
      </c>
    </row>
    <row r="8119" spans="1:12" hidden="1" x14ac:dyDescent="0.3">
      <c r="A8119" t="s">
        <v>37</v>
      </c>
      <c r="B8119" t="s">
        <v>38</v>
      </c>
      <c r="C8119" t="s">
        <v>129</v>
      </c>
      <c r="D8119" t="s">
        <v>130</v>
      </c>
      <c r="E8119">
        <v>1982</v>
      </c>
      <c r="F8119" s="1">
        <v>75</v>
      </c>
      <c r="G8119">
        <v>1980</v>
      </c>
      <c r="H8119">
        <f>AVERAGEIFS(Table1[value],Table1[IndicatorCode],Table1[[#This Row],[IndicatorCode]])</f>
        <v>72.66514008620689</v>
      </c>
      <c r="I8119" cm="1">
        <f t="array" ref="I8119">_xlfn.STDEV.P(IF(Table1[IndicatorCode]=Table1[[#This Row],[IndicatorCode]],Table1[value]))</f>
        <v>6.3409496564024987</v>
      </c>
      <c r="J8119">
        <f>(Table1[[#This Row],[value]] - Table1[[#This Row],[mean]]) / Table1[[#This Row],[std_dev]]</f>
        <v>0.36821927949476574</v>
      </c>
      <c r="K8119">
        <f>AVERAGEIF(Table1[CountryCode],Table1[[#This Row],[CountryCode]],Table1[z-score])</f>
        <v>0.4680674202807556</v>
      </c>
      <c r="L8119" t="e">
        <f>VLOOKUP(Table1[[#This Row],[CountryCode]],[1]!Table1[#All],1,FALSE)</f>
        <v>#REF!</v>
      </c>
    </row>
    <row r="8120" spans="1:12" hidden="1" x14ac:dyDescent="0.3">
      <c r="A8120" t="s">
        <v>37</v>
      </c>
      <c r="B8120" t="s">
        <v>38</v>
      </c>
      <c r="C8120" t="s">
        <v>129</v>
      </c>
      <c r="D8120" t="s">
        <v>130</v>
      </c>
      <c r="E8120">
        <v>1983</v>
      </c>
      <c r="F8120" s="1">
        <v>74</v>
      </c>
      <c r="G8120">
        <v>1980</v>
      </c>
      <c r="H8120">
        <f>AVERAGEIFS(Table1[value],Table1[IndicatorCode],Table1[[#This Row],[IndicatorCode]])</f>
        <v>72.66514008620689</v>
      </c>
      <c r="I8120" cm="1">
        <f t="array" ref="I8120">_xlfn.STDEV.P(IF(Table1[IndicatorCode]=Table1[[#This Row],[IndicatorCode]],Table1[value]))</f>
        <v>6.3409496564024987</v>
      </c>
      <c r="J8120">
        <f>(Table1[[#This Row],[value]] - Table1[[#This Row],[mean]]) / Table1[[#This Row],[std_dev]]</f>
        <v>0.21051419521132667</v>
      </c>
      <c r="K8120">
        <f>AVERAGEIF(Table1[CountryCode],Table1[[#This Row],[CountryCode]],Table1[z-score])</f>
        <v>0.4680674202807556</v>
      </c>
      <c r="L8120" t="e">
        <f>VLOOKUP(Table1[[#This Row],[CountryCode]],[1]!Table1[#All],1,FALSE)</f>
        <v>#REF!</v>
      </c>
    </row>
    <row r="8121" spans="1:12" hidden="1" x14ac:dyDescent="0.3">
      <c r="A8121" t="s">
        <v>37</v>
      </c>
      <c r="B8121" t="s">
        <v>38</v>
      </c>
      <c r="C8121" t="s">
        <v>129</v>
      </c>
      <c r="D8121" t="s">
        <v>130</v>
      </c>
      <c r="E8121">
        <v>1984</v>
      </c>
      <c r="F8121" s="1">
        <v>75</v>
      </c>
      <c r="G8121">
        <v>1980</v>
      </c>
      <c r="H8121">
        <f>AVERAGEIFS(Table1[value],Table1[IndicatorCode],Table1[[#This Row],[IndicatorCode]])</f>
        <v>72.66514008620689</v>
      </c>
      <c r="I8121" cm="1">
        <f t="array" ref="I8121">_xlfn.STDEV.P(IF(Table1[IndicatorCode]=Table1[[#This Row],[IndicatorCode]],Table1[value]))</f>
        <v>6.3409496564024987</v>
      </c>
      <c r="J8121">
        <f>(Table1[[#This Row],[value]] - Table1[[#This Row],[mean]]) / Table1[[#This Row],[std_dev]]</f>
        <v>0.36821927949476574</v>
      </c>
      <c r="K8121">
        <f>AVERAGEIF(Table1[CountryCode],Table1[[#This Row],[CountryCode]],Table1[z-score])</f>
        <v>0.4680674202807556</v>
      </c>
      <c r="L8121" t="e">
        <f>VLOOKUP(Table1[[#This Row],[CountryCode]],[1]!Table1[#All],1,FALSE)</f>
        <v>#REF!</v>
      </c>
    </row>
    <row r="8122" spans="1:12" hidden="1" x14ac:dyDescent="0.3">
      <c r="A8122" t="s">
        <v>37</v>
      </c>
      <c r="B8122" t="s">
        <v>38</v>
      </c>
      <c r="C8122" t="s">
        <v>129</v>
      </c>
      <c r="D8122" t="s">
        <v>130</v>
      </c>
      <c r="E8122">
        <v>1985</v>
      </c>
      <c r="F8122" s="1">
        <v>74</v>
      </c>
      <c r="G8122">
        <v>1980</v>
      </c>
      <c r="H8122">
        <f>AVERAGEIFS(Table1[value],Table1[IndicatorCode],Table1[[#This Row],[IndicatorCode]])</f>
        <v>72.66514008620689</v>
      </c>
      <c r="I8122" cm="1">
        <f t="array" ref="I8122">_xlfn.STDEV.P(IF(Table1[IndicatorCode]=Table1[[#This Row],[IndicatorCode]],Table1[value]))</f>
        <v>6.3409496564024987</v>
      </c>
      <c r="J8122">
        <f>(Table1[[#This Row],[value]] - Table1[[#This Row],[mean]]) / Table1[[#This Row],[std_dev]]</f>
        <v>0.21051419521132667</v>
      </c>
      <c r="K8122">
        <f>AVERAGEIF(Table1[CountryCode],Table1[[#This Row],[CountryCode]],Table1[z-score])</f>
        <v>0.4680674202807556</v>
      </c>
      <c r="L8122" t="e">
        <f>VLOOKUP(Table1[[#This Row],[CountryCode]],[1]!Table1[#All],1,FALSE)</f>
        <v>#REF!</v>
      </c>
    </row>
    <row r="8123" spans="1:12" hidden="1" x14ac:dyDescent="0.3">
      <c r="A8123" t="s">
        <v>37</v>
      </c>
      <c r="B8123" t="s">
        <v>38</v>
      </c>
      <c r="C8123" t="s">
        <v>129</v>
      </c>
      <c r="D8123" t="s">
        <v>130</v>
      </c>
      <c r="E8123">
        <v>1986</v>
      </c>
      <c r="F8123" s="1">
        <v>75</v>
      </c>
      <c r="G8123">
        <v>1980</v>
      </c>
      <c r="H8123">
        <f>AVERAGEIFS(Table1[value],Table1[IndicatorCode],Table1[[#This Row],[IndicatorCode]])</f>
        <v>72.66514008620689</v>
      </c>
      <c r="I8123" cm="1">
        <f t="array" ref="I8123">_xlfn.STDEV.P(IF(Table1[IndicatorCode]=Table1[[#This Row],[IndicatorCode]],Table1[value]))</f>
        <v>6.3409496564024987</v>
      </c>
      <c r="J8123">
        <f>(Table1[[#This Row],[value]] - Table1[[#This Row],[mean]]) / Table1[[#This Row],[std_dev]]</f>
        <v>0.36821927949476574</v>
      </c>
      <c r="K8123">
        <f>AVERAGEIF(Table1[CountryCode],Table1[[#This Row],[CountryCode]],Table1[z-score])</f>
        <v>0.4680674202807556</v>
      </c>
      <c r="L8123" t="e">
        <f>VLOOKUP(Table1[[#This Row],[CountryCode]],[1]!Table1[#All],1,FALSE)</f>
        <v>#REF!</v>
      </c>
    </row>
    <row r="8124" spans="1:12" hidden="1" x14ac:dyDescent="0.3">
      <c r="A8124" t="s">
        <v>37</v>
      </c>
      <c r="B8124" t="s">
        <v>38</v>
      </c>
      <c r="C8124" t="s">
        <v>129</v>
      </c>
      <c r="D8124" t="s">
        <v>130</v>
      </c>
      <c r="E8124">
        <v>1987</v>
      </c>
      <c r="F8124" s="1">
        <v>75</v>
      </c>
      <c r="G8124">
        <v>1990</v>
      </c>
      <c r="H8124">
        <f>AVERAGEIFS(Table1[value],Table1[IndicatorCode],Table1[[#This Row],[IndicatorCode]])</f>
        <v>72.66514008620689</v>
      </c>
      <c r="I8124" cm="1">
        <f t="array" ref="I8124">_xlfn.STDEV.P(IF(Table1[IndicatorCode]=Table1[[#This Row],[IndicatorCode]],Table1[value]))</f>
        <v>6.3409496564024987</v>
      </c>
      <c r="J8124">
        <f>(Table1[[#This Row],[value]] - Table1[[#This Row],[mean]]) / Table1[[#This Row],[std_dev]]</f>
        <v>0.36821927949476574</v>
      </c>
      <c r="K8124">
        <f>AVERAGEIF(Table1[CountryCode],Table1[[#This Row],[CountryCode]],Table1[z-score])</f>
        <v>0.4680674202807556</v>
      </c>
      <c r="L8124" t="e">
        <f>VLOOKUP(Table1[[#This Row],[CountryCode]],[1]!Table1[#All],1,FALSE)</f>
        <v>#REF!</v>
      </c>
    </row>
    <row r="8125" spans="1:12" hidden="1" x14ac:dyDescent="0.3">
      <c r="A8125" t="s">
        <v>37</v>
      </c>
      <c r="B8125" t="s">
        <v>38</v>
      </c>
      <c r="C8125" t="s">
        <v>129</v>
      </c>
      <c r="D8125" t="s">
        <v>130</v>
      </c>
      <c r="E8125">
        <v>1988</v>
      </c>
      <c r="F8125" s="1">
        <v>75</v>
      </c>
      <c r="G8125">
        <v>1990</v>
      </c>
      <c r="H8125">
        <f>AVERAGEIFS(Table1[value],Table1[IndicatorCode],Table1[[#This Row],[IndicatorCode]])</f>
        <v>72.66514008620689</v>
      </c>
      <c r="I8125" cm="1">
        <f t="array" ref="I8125">_xlfn.STDEV.P(IF(Table1[IndicatorCode]=Table1[[#This Row],[IndicatorCode]],Table1[value]))</f>
        <v>6.3409496564024987</v>
      </c>
      <c r="J8125">
        <f>(Table1[[#This Row],[value]] - Table1[[#This Row],[mean]]) / Table1[[#This Row],[std_dev]]</f>
        <v>0.36821927949476574</v>
      </c>
      <c r="K8125">
        <f>AVERAGEIF(Table1[CountryCode],Table1[[#This Row],[CountryCode]],Table1[z-score])</f>
        <v>0.4680674202807556</v>
      </c>
      <c r="L8125" t="e">
        <f>VLOOKUP(Table1[[#This Row],[CountryCode]],[1]!Table1[#All],1,FALSE)</f>
        <v>#REF!</v>
      </c>
    </row>
    <row r="8126" spans="1:12" hidden="1" x14ac:dyDescent="0.3">
      <c r="A8126" t="s">
        <v>37</v>
      </c>
      <c r="B8126" t="s">
        <v>38</v>
      </c>
      <c r="C8126" t="s">
        <v>129</v>
      </c>
      <c r="D8126" t="s">
        <v>130</v>
      </c>
      <c r="E8126">
        <v>1989</v>
      </c>
      <c r="F8126" s="1">
        <v>75</v>
      </c>
      <c r="G8126">
        <v>1990</v>
      </c>
      <c r="H8126">
        <f>AVERAGEIFS(Table1[value],Table1[IndicatorCode],Table1[[#This Row],[IndicatorCode]])</f>
        <v>72.66514008620689</v>
      </c>
      <c r="I8126" cm="1">
        <f t="array" ref="I8126">_xlfn.STDEV.P(IF(Table1[IndicatorCode]=Table1[[#This Row],[IndicatorCode]],Table1[value]))</f>
        <v>6.3409496564024987</v>
      </c>
      <c r="J8126">
        <f>(Table1[[#This Row],[value]] - Table1[[#This Row],[mean]]) / Table1[[#This Row],[std_dev]]</f>
        <v>0.36821927949476574</v>
      </c>
      <c r="K8126">
        <f>AVERAGEIF(Table1[CountryCode],Table1[[#This Row],[CountryCode]],Table1[z-score])</f>
        <v>0.4680674202807556</v>
      </c>
      <c r="L8126" t="e">
        <f>VLOOKUP(Table1[[#This Row],[CountryCode]],[1]!Table1[#All],1,FALSE)</f>
        <v>#REF!</v>
      </c>
    </row>
    <row r="8127" spans="1:12" hidden="1" x14ac:dyDescent="0.3">
      <c r="A8127" t="s">
        <v>37</v>
      </c>
      <c r="B8127" t="s">
        <v>38</v>
      </c>
      <c r="C8127" t="s">
        <v>129</v>
      </c>
      <c r="D8127" t="s">
        <v>130</v>
      </c>
      <c r="E8127">
        <v>1990</v>
      </c>
      <c r="F8127" s="1">
        <v>75</v>
      </c>
      <c r="G8127">
        <v>1990</v>
      </c>
      <c r="H8127">
        <f>AVERAGEIFS(Table1[value],Table1[IndicatorCode],Table1[[#This Row],[IndicatorCode]])</f>
        <v>72.66514008620689</v>
      </c>
      <c r="I8127" cm="1">
        <f t="array" ref="I8127">_xlfn.STDEV.P(IF(Table1[IndicatorCode]=Table1[[#This Row],[IndicatorCode]],Table1[value]))</f>
        <v>6.3409496564024987</v>
      </c>
      <c r="J8127">
        <f>(Table1[[#This Row],[value]] - Table1[[#This Row],[mean]]) / Table1[[#This Row],[std_dev]]</f>
        <v>0.36821927949476574</v>
      </c>
      <c r="K8127">
        <f>AVERAGEIF(Table1[CountryCode],Table1[[#This Row],[CountryCode]],Table1[z-score])</f>
        <v>0.4680674202807556</v>
      </c>
      <c r="L8127" t="e">
        <f>VLOOKUP(Table1[[#This Row],[CountryCode]],[1]!Table1[#All],1,FALSE)</f>
        <v>#REF!</v>
      </c>
    </row>
    <row r="8128" spans="1:12" hidden="1" x14ac:dyDescent="0.3">
      <c r="A8128" t="s">
        <v>37</v>
      </c>
      <c r="B8128" t="s">
        <v>38</v>
      </c>
      <c r="C8128" t="s">
        <v>129</v>
      </c>
      <c r="D8128" t="s">
        <v>130</v>
      </c>
      <c r="E8128">
        <v>1991</v>
      </c>
      <c r="F8128" s="1">
        <v>75</v>
      </c>
      <c r="G8128">
        <v>1990</v>
      </c>
      <c r="H8128">
        <f>AVERAGEIFS(Table1[value],Table1[IndicatorCode],Table1[[#This Row],[IndicatorCode]])</f>
        <v>72.66514008620689</v>
      </c>
      <c r="I8128" cm="1">
        <f t="array" ref="I8128">_xlfn.STDEV.P(IF(Table1[IndicatorCode]=Table1[[#This Row],[IndicatorCode]],Table1[value]))</f>
        <v>6.3409496564024987</v>
      </c>
      <c r="J8128">
        <f>(Table1[[#This Row],[value]] - Table1[[#This Row],[mean]]) / Table1[[#This Row],[std_dev]]</f>
        <v>0.36821927949476574</v>
      </c>
      <c r="K8128">
        <f>AVERAGEIF(Table1[CountryCode],Table1[[#This Row],[CountryCode]],Table1[z-score])</f>
        <v>0.4680674202807556</v>
      </c>
      <c r="L8128" t="e">
        <f>VLOOKUP(Table1[[#This Row],[CountryCode]],[1]!Table1[#All],1,FALSE)</f>
        <v>#REF!</v>
      </c>
    </row>
    <row r="8129" spans="1:12" hidden="1" x14ac:dyDescent="0.3">
      <c r="A8129" t="s">
        <v>37</v>
      </c>
      <c r="B8129" t="s">
        <v>38</v>
      </c>
      <c r="C8129" t="s">
        <v>129</v>
      </c>
      <c r="D8129" t="s">
        <v>130</v>
      </c>
      <c r="E8129">
        <v>1992</v>
      </c>
      <c r="F8129" s="1">
        <v>75</v>
      </c>
      <c r="G8129">
        <v>1990</v>
      </c>
      <c r="H8129">
        <f>AVERAGEIFS(Table1[value],Table1[IndicatorCode],Table1[[#This Row],[IndicatorCode]])</f>
        <v>72.66514008620689</v>
      </c>
      <c r="I8129" cm="1">
        <f t="array" ref="I8129">_xlfn.STDEV.P(IF(Table1[IndicatorCode]=Table1[[#This Row],[IndicatorCode]],Table1[value]))</f>
        <v>6.3409496564024987</v>
      </c>
      <c r="J8129">
        <f>(Table1[[#This Row],[value]] - Table1[[#This Row],[mean]]) / Table1[[#This Row],[std_dev]]</f>
        <v>0.36821927949476574</v>
      </c>
      <c r="K8129">
        <f>AVERAGEIF(Table1[CountryCode],Table1[[#This Row],[CountryCode]],Table1[z-score])</f>
        <v>0.4680674202807556</v>
      </c>
      <c r="L8129" t="e">
        <f>VLOOKUP(Table1[[#This Row],[CountryCode]],[1]!Table1[#All],1,FALSE)</f>
        <v>#REF!</v>
      </c>
    </row>
    <row r="8130" spans="1:12" hidden="1" x14ac:dyDescent="0.3">
      <c r="A8130" t="s">
        <v>37</v>
      </c>
      <c r="B8130" t="s">
        <v>38</v>
      </c>
      <c r="C8130" t="s">
        <v>129</v>
      </c>
      <c r="D8130" t="s">
        <v>130</v>
      </c>
      <c r="E8130">
        <v>1993</v>
      </c>
      <c r="F8130" s="1">
        <v>75</v>
      </c>
      <c r="G8130">
        <v>1990</v>
      </c>
      <c r="H8130">
        <f>AVERAGEIFS(Table1[value],Table1[IndicatorCode],Table1[[#This Row],[IndicatorCode]])</f>
        <v>72.66514008620689</v>
      </c>
      <c r="I8130" cm="1">
        <f t="array" ref="I8130">_xlfn.STDEV.P(IF(Table1[IndicatorCode]=Table1[[#This Row],[IndicatorCode]],Table1[value]))</f>
        <v>6.3409496564024987</v>
      </c>
      <c r="J8130">
        <f>(Table1[[#This Row],[value]] - Table1[[#This Row],[mean]]) / Table1[[#This Row],[std_dev]]</f>
        <v>0.36821927949476574</v>
      </c>
      <c r="K8130">
        <f>AVERAGEIF(Table1[CountryCode],Table1[[#This Row],[CountryCode]],Table1[z-score])</f>
        <v>0.4680674202807556</v>
      </c>
      <c r="L8130" t="e">
        <f>VLOOKUP(Table1[[#This Row],[CountryCode]],[1]!Table1[#All],1,FALSE)</f>
        <v>#REF!</v>
      </c>
    </row>
    <row r="8131" spans="1:12" hidden="1" x14ac:dyDescent="0.3">
      <c r="A8131" t="s">
        <v>37</v>
      </c>
      <c r="B8131" t="s">
        <v>38</v>
      </c>
      <c r="C8131" t="s">
        <v>129</v>
      </c>
      <c r="D8131" t="s">
        <v>130</v>
      </c>
      <c r="E8131">
        <v>1994</v>
      </c>
      <c r="F8131" s="1">
        <v>75</v>
      </c>
      <c r="G8131">
        <v>1990</v>
      </c>
      <c r="H8131">
        <f>AVERAGEIFS(Table1[value],Table1[IndicatorCode],Table1[[#This Row],[IndicatorCode]])</f>
        <v>72.66514008620689</v>
      </c>
      <c r="I8131" cm="1">
        <f t="array" ref="I8131">_xlfn.STDEV.P(IF(Table1[IndicatorCode]=Table1[[#This Row],[IndicatorCode]],Table1[value]))</f>
        <v>6.3409496564024987</v>
      </c>
      <c r="J8131">
        <f>(Table1[[#This Row],[value]] - Table1[[#This Row],[mean]]) / Table1[[#This Row],[std_dev]]</f>
        <v>0.36821927949476574</v>
      </c>
      <c r="K8131">
        <f>AVERAGEIF(Table1[CountryCode],Table1[[#This Row],[CountryCode]],Table1[z-score])</f>
        <v>0.4680674202807556</v>
      </c>
      <c r="L8131" t="e">
        <f>VLOOKUP(Table1[[#This Row],[CountryCode]],[1]!Table1[#All],1,FALSE)</f>
        <v>#REF!</v>
      </c>
    </row>
    <row r="8132" spans="1:12" hidden="1" x14ac:dyDescent="0.3">
      <c r="A8132" t="s">
        <v>37</v>
      </c>
      <c r="B8132" t="s">
        <v>38</v>
      </c>
      <c r="C8132" t="s">
        <v>129</v>
      </c>
      <c r="D8132" t="s">
        <v>130</v>
      </c>
      <c r="E8132">
        <v>1995</v>
      </c>
      <c r="F8132" s="1">
        <v>75</v>
      </c>
      <c r="G8132">
        <v>1990</v>
      </c>
      <c r="H8132">
        <f>AVERAGEIFS(Table1[value],Table1[IndicatorCode],Table1[[#This Row],[IndicatorCode]])</f>
        <v>72.66514008620689</v>
      </c>
      <c r="I8132" cm="1">
        <f t="array" ref="I8132">_xlfn.STDEV.P(IF(Table1[IndicatorCode]=Table1[[#This Row],[IndicatorCode]],Table1[value]))</f>
        <v>6.3409496564024987</v>
      </c>
      <c r="J8132">
        <f>(Table1[[#This Row],[value]] - Table1[[#This Row],[mean]]) / Table1[[#This Row],[std_dev]]</f>
        <v>0.36821927949476574</v>
      </c>
      <c r="K8132">
        <f>AVERAGEIF(Table1[CountryCode],Table1[[#This Row],[CountryCode]],Table1[z-score])</f>
        <v>0.4680674202807556</v>
      </c>
      <c r="L8132" t="e">
        <f>VLOOKUP(Table1[[#This Row],[CountryCode]],[1]!Table1[#All],1,FALSE)</f>
        <v>#REF!</v>
      </c>
    </row>
    <row r="8133" spans="1:12" hidden="1" x14ac:dyDescent="0.3">
      <c r="A8133" t="s">
        <v>37</v>
      </c>
      <c r="B8133" t="s">
        <v>38</v>
      </c>
      <c r="C8133" t="s">
        <v>129</v>
      </c>
      <c r="D8133" t="s">
        <v>130</v>
      </c>
      <c r="E8133">
        <v>1996</v>
      </c>
      <c r="F8133" s="1">
        <v>76</v>
      </c>
      <c r="G8133">
        <v>1990</v>
      </c>
      <c r="H8133">
        <f>AVERAGEIFS(Table1[value],Table1[IndicatorCode],Table1[[#This Row],[IndicatorCode]])</f>
        <v>72.66514008620689</v>
      </c>
      <c r="I8133" cm="1">
        <f t="array" ref="I8133">_xlfn.STDEV.P(IF(Table1[IndicatorCode]=Table1[[#This Row],[IndicatorCode]],Table1[value]))</f>
        <v>6.3409496564024987</v>
      </c>
      <c r="J8133">
        <f>(Table1[[#This Row],[value]] - Table1[[#This Row],[mean]]) / Table1[[#This Row],[std_dev]]</f>
        <v>0.52592436377820473</v>
      </c>
      <c r="K8133">
        <f>AVERAGEIF(Table1[CountryCode],Table1[[#This Row],[CountryCode]],Table1[z-score])</f>
        <v>0.4680674202807556</v>
      </c>
      <c r="L8133" t="e">
        <f>VLOOKUP(Table1[[#This Row],[CountryCode]],[1]!Table1[#All],1,FALSE)</f>
        <v>#REF!</v>
      </c>
    </row>
    <row r="8134" spans="1:12" hidden="1" x14ac:dyDescent="0.3">
      <c r="A8134" t="s">
        <v>37</v>
      </c>
      <c r="B8134" t="s">
        <v>38</v>
      </c>
      <c r="C8134" t="s">
        <v>129</v>
      </c>
      <c r="D8134" t="s">
        <v>130</v>
      </c>
      <c r="E8134">
        <v>1997</v>
      </c>
      <c r="F8134" s="1">
        <v>76</v>
      </c>
      <c r="G8134">
        <v>2000</v>
      </c>
      <c r="H8134">
        <f>AVERAGEIFS(Table1[value],Table1[IndicatorCode],Table1[[#This Row],[IndicatorCode]])</f>
        <v>72.66514008620689</v>
      </c>
      <c r="I8134" cm="1">
        <f t="array" ref="I8134">_xlfn.STDEV.P(IF(Table1[IndicatorCode]=Table1[[#This Row],[IndicatorCode]],Table1[value]))</f>
        <v>6.3409496564024987</v>
      </c>
      <c r="J8134">
        <f>(Table1[[#This Row],[value]] - Table1[[#This Row],[mean]]) / Table1[[#This Row],[std_dev]]</f>
        <v>0.52592436377820473</v>
      </c>
      <c r="K8134">
        <f>AVERAGEIF(Table1[CountryCode],Table1[[#This Row],[CountryCode]],Table1[z-score])</f>
        <v>0.4680674202807556</v>
      </c>
      <c r="L8134" t="e">
        <f>VLOOKUP(Table1[[#This Row],[CountryCode]],[1]!Table1[#All],1,FALSE)</f>
        <v>#REF!</v>
      </c>
    </row>
    <row r="8135" spans="1:12" hidden="1" x14ac:dyDescent="0.3">
      <c r="A8135" t="s">
        <v>37</v>
      </c>
      <c r="B8135" t="s">
        <v>38</v>
      </c>
      <c r="C8135" t="s">
        <v>129</v>
      </c>
      <c r="D8135" t="s">
        <v>130</v>
      </c>
      <c r="E8135">
        <v>1998</v>
      </c>
      <c r="F8135" s="1">
        <v>76</v>
      </c>
      <c r="G8135">
        <v>2000</v>
      </c>
      <c r="H8135">
        <f>AVERAGEIFS(Table1[value],Table1[IndicatorCode],Table1[[#This Row],[IndicatorCode]])</f>
        <v>72.66514008620689</v>
      </c>
      <c r="I8135" cm="1">
        <f t="array" ref="I8135">_xlfn.STDEV.P(IF(Table1[IndicatorCode]=Table1[[#This Row],[IndicatorCode]],Table1[value]))</f>
        <v>6.3409496564024987</v>
      </c>
      <c r="J8135">
        <f>(Table1[[#This Row],[value]] - Table1[[#This Row],[mean]]) / Table1[[#This Row],[std_dev]]</f>
        <v>0.52592436377820473</v>
      </c>
      <c r="K8135">
        <f>AVERAGEIF(Table1[CountryCode],Table1[[#This Row],[CountryCode]],Table1[z-score])</f>
        <v>0.4680674202807556</v>
      </c>
      <c r="L8135" t="e">
        <f>VLOOKUP(Table1[[#This Row],[CountryCode]],[1]!Table1[#All],1,FALSE)</f>
        <v>#REF!</v>
      </c>
    </row>
    <row r="8136" spans="1:12" hidden="1" x14ac:dyDescent="0.3">
      <c r="A8136" t="s">
        <v>37</v>
      </c>
      <c r="B8136" t="s">
        <v>38</v>
      </c>
      <c r="C8136" t="s">
        <v>129</v>
      </c>
      <c r="D8136" t="s">
        <v>130</v>
      </c>
      <c r="E8136">
        <v>1999</v>
      </c>
      <c r="F8136" s="1">
        <v>76</v>
      </c>
      <c r="G8136">
        <v>2000</v>
      </c>
      <c r="H8136">
        <f>AVERAGEIFS(Table1[value],Table1[IndicatorCode],Table1[[#This Row],[IndicatorCode]])</f>
        <v>72.66514008620689</v>
      </c>
      <c r="I8136" cm="1">
        <f t="array" ref="I8136">_xlfn.STDEV.P(IF(Table1[IndicatorCode]=Table1[[#This Row],[IndicatorCode]],Table1[value]))</f>
        <v>6.3409496564024987</v>
      </c>
      <c r="J8136">
        <f>(Table1[[#This Row],[value]] - Table1[[#This Row],[mean]]) / Table1[[#This Row],[std_dev]]</f>
        <v>0.52592436377820473</v>
      </c>
      <c r="K8136">
        <f>AVERAGEIF(Table1[CountryCode],Table1[[#This Row],[CountryCode]],Table1[z-score])</f>
        <v>0.4680674202807556</v>
      </c>
      <c r="L8136" t="e">
        <f>VLOOKUP(Table1[[#This Row],[CountryCode]],[1]!Table1[#All],1,FALSE)</f>
        <v>#REF!</v>
      </c>
    </row>
    <row r="8137" spans="1:12" hidden="1" x14ac:dyDescent="0.3">
      <c r="A8137" t="s">
        <v>37</v>
      </c>
      <c r="B8137" t="s">
        <v>38</v>
      </c>
      <c r="C8137" t="s">
        <v>129</v>
      </c>
      <c r="D8137" t="s">
        <v>130</v>
      </c>
      <c r="E8137">
        <v>2000</v>
      </c>
      <c r="F8137" s="1">
        <v>77</v>
      </c>
      <c r="G8137">
        <v>2000</v>
      </c>
      <c r="H8137">
        <f>AVERAGEIFS(Table1[value],Table1[IndicatorCode],Table1[[#This Row],[IndicatorCode]])</f>
        <v>72.66514008620689</v>
      </c>
      <c r="I8137" cm="1">
        <f t="array" ref="I8137">_xlfn.STDEV.P(IF(Table1[IndicatorCode]=Table1[[#This Row],[IndicatorCode]],Table1[value]))</f>
        <v>6.3409496564024987</v>
      </c>
      <c r="J8137">
        <f>(Table1[[#This Row],[value]] - Table1[[#This Row],[mean]]) / Table1[[#This Row],[std_dev]]</f>
        <v>0.68362944806164383</v>
      </c>
      <c r="K8137">
        <f>AVERAGEIF(Table1[CountryCode],Table1[[#This Row],[CountryCode]],Table1[z-score])</f>
        <v>0.4680674202807556</v>
      </c>
      <c r="L8137" t="e">
        <f>VLOOKUP(Table1[[#This Row],[CountryCode]],[1]!Table1[#All],1,FALSE)</f>
        <v>#REF!</v>
      </c>
    </row>
    <row r="8138" spans="1:12" hidden="1" x14ac:dyDescent="0.3">
      <c r="A8138" t="s">
        <v>37</v>
      </c>
      <c r="B8138" t="s">
        <v>38</v>
      </c>
      <c r="C8138" t="s">
        <v>129</v>
      </c>
      <c r="D8138" t="s">
        <v>130</v>
      </c>
      <c r="E8138">
        <v>2001</v>
      </c>
      <c r="F8138" s="1">
        <v>77</v>
      </c>
      <c r="G8138">
        <v>2000</v>
      </c>
      <c r="H8138">
        <f>AVERAGEIFS(Table1[value],Table1[IndicatorCode],Table1[[#This Row],[IndicatorCode]])</f>
        <v>72.66514008620689</v>
      </c>
      <c r="I8138" cm="1">
        <f t="array" ref="I8138">_xlfn.STDEV.P(IF(Table1[IndicatorCode]=Table1[[#This Row],[IndicatorCode]],Table1[value]))</f>
        <v>6.3409496564024987</v>
      </c>
      <c r="J8138">
        <f>(Table1[[#This Row],[value]] - Table1[[#This Row],[mean]]) / Table1[[#This Row],[std_dev]]</f>
        <v>0.68362944806164383</v>
      </c>
      <c r="K8138">
        <f>AVERAGEIF(Table1[CountryCode],Table1[[#This Row],[CountryCode]],Table1[z-score])</f>
        <v>0.4680674202807556</v>
      </c>
      <c r="L8138" t="e">
        <f>VLOOKUP(Table1[[#This Row],[CountryCode]],[1]!Table1[#All],1,FALSE)</f>
        <v>#REF!</v>
      </c>
    </row>
    <row r="8139" spans="1:12" hidden="1" x14ac:dyDescent="0.3">
      <c r="A8139" t="s">
        <v>37</v>
      </c>
      <c r="B8139" t="s">
        <v>38</v>
      </c>
      <c r="C8139" t="s">
        <v>129</v>
      </c>
      <c r="D8139" t="s">
        <v>130</v>
      </c>
      <c r="E8139">
        <v>2002</v>
      </c>
      <c r="F8139" s="1">
        <v>77</v>
      </c>
      <c r="G8139">
        <v>2000</v>
      </c>
      <c r="H8139">
        <f>AVERAGEIFS(Table1[value],Table1[IndicatorCode],Table1[[#This Row],[IndicatorCode]])</f>
        <v>72.66514008620689</v>
      </c>
      <c r="I8139" cm="1">
        <f t="array" ref="I8139">_xlfn.STDEV.P(IF(Table1[IndicatorCode]=Table1[[#This Row],[IndicatorCode]],Table1[value]))</f>
        <v>6.3409496564024987</v>
      </c>
      <c r="J8139">
        <f>(Table1[[#This Row],[value]] - Table1[[#This Row],[mean]]) / Table1[[#This Row],[std_dev]]</f>
        <v>0.68362944806164383</v>
      </c>
      <c r="K8139">
        <f>AVERAGEIF(Table1[CountryCode],Table1[[#This Row],[CountryCode]],Table1[z-score])</f>
        <v>0.4680674202807556</v>
      </c>
      <c r="L8139" t="e">
        <f>VLOOKUP(Table1[[#This Row],[CountryCode]],[1]!Table1[#All],1,FALSE)</f>
        <v>#REF!</v>
      </c>
    </row>
    <row r="8140" spans="1:12" hidden="1" x14ac:dyDescent="0.3">
      <c r="A8140" t="s">
        <v>37</v>
      </c>
      <c r="B8140" t="s">
        <v>38</v>
      </c>
      <c r="C8140" t="s">
        <v>129</v>
      </c>
      <c r="D8140" t="s">
        <v>130</v>
      </c>
      <c r="E8140">
        <v>2003</v>
      </c>
      <c r="F8140" s="1">
        <v>77</v>
      </c>
      <c r="G8140">
        <v>2000</v>
      </c>
      <c r="H8140">
        <f>AVERAGEIFS(Table1[value],Table1[IndicatorCode],Table1[[#This Row],[IndicatorCode]])</f>
        <v>72.66514008620689</v>
      </c>
      <c r="I8140" cm="1">
        <f t="array" ref="I8140">_xlfn.STDEV.P(IF(Table1[IndicatorCode]=Table1[[#This Row],[IndicatorCode]],Table1[value]))</f>
        <v>6.3409496564024987</v>
      </c>
      <c r="J8140">
        <f>(Table1[[#This Row],[value]] - Table1[[#This Row],[mean]]) / Table1[[#This Row],[std_dev]]</f>
        <v>0.68362944806164383</v>
      </c>
      <c r="K8140">
        <f>AVERAGEIF(Table1[CountryCode],Table1[[#This Row],[CountryCode]],Table1[z-score])</f>
        <v>0.4680674202807556</v>
      </c>
      <c r="L8140" t="e">
        <f>VLOOKUP(Table1[[#This Row],[CountryCode]],[1]!Table1[#All],1,FALSE)</f>
        <v>#REF!</v>
      </c>
    </row>
    <row r="8141" spans="1:12" hidden="1" x14ac:dyDescent="0.3">
      <c r="A8141" t="s">
        <v>37</v>
      </c>
      <c r="B8141" t="s">
        <v>38</v>
      </c>
      <c r="C8141" t="s">
        <v>129</v>
      </c>
      <c r="D8141" t="s">
        <v>130</v>
      </c>
      <c r="E8141">
        <v>2004</v>
      </c>
      <c r="F8141" s="1">
        <v>77</v>
      </c>
      <c r="G8141">
        <v>2000</v>
      </c>
      <c r="H8141">
        <f>AVERAGEIFS(Table1[value],Table1[IndicatorCode],Table1[[#This Row],[IndicatorCode]])</f>
        <v>72.66514008620689</v>
      </c>
      <c r="I8141" cm="1">
        <f t="array" ref="I8141">_xlfn.STDEV.P(IF(Table1[IndicatorCode]=Table1[[#This Row],[IndicatorCode]],Table1[value]))</f>
        <v>6.3409496564024987</v>
      </c>
      <c r="J8141">
        <f>(Table1[[#This Row],[value]] - Table1[[#This Row],[mean]]) / Table1[[#This Row],[std_dev]]</f>
        <v>0.68362944806164383</v>
      </c>
      <c r="K8141">
        <f>AVERAGEIF(Table1[CountryCode],Table1[[#This Row],[CountryCode]],Table1[z-score])</f>
        <v>0.4680674202807556</v>
      </c>
      <c r="L8141" t="e">
        <f>VLOOKUP(Table1[[#This Row],[CountryCode]],[1]!Table1[#All],1,FALSE)</f>
        <v>#REF!</v>
      </c>
    </row>
    <row r="8142" spans="1:12" hidden="1" x14ac:dyDescent="0.3">
      <c r="A8142" t="s">
        <v>37</v>
      </c>
      <c r="B8142" t="s">
        <v>38</v>
      </c>
      <c r="C8142" t="s">
        <v>129</v>
      </c>
      <c r="D8142" t="s">
        <v>130</v>
      </c>
      <c r="E8142">
        <v>2005</v>
      </c>
      <c r="F8142" s="1">
        <v>78</v>
      </c>
      <c r="G8142">
        <v>2000</v>
      </c>
      <c r="H8142">
        <f>AVERAGEIFS(Table1[value],Table1[IndicatorCode],Table1[[#This Row],[IndicatorCode]])</f>
        <v>72.66514008620689</v>
      </c>
      <c r="I8142" cm="1">
        <f t="array" ref="I8142">_xlfn.STDEV.P(IF(Table1[IndicatorCode]=Table1[[#This Row],[IndicatorCode]],Table1[value]))</f>
        <v>6.3409496564024987</v>
      </c>
      <c r="J8142">
        <f>(Table1[[#This Row],[value]] - Table1[[#This Row],[mean]]) / Table1[[#This Row],[std_dev]]</f>
        <v>0.84133453234508293</v>
      </c>
      <c r="K8142">
        <f>AVERAGEIF(Table1[CountryCode],Table1[[#This Row],[CountryCode]],Table1[z-score])</f>
        <v>0.4680674202807556</v>
      </c>
      <c r="L8142" t="e">
        <f>VLOOKUP(Table1[[#This Row],[CountryCode]],[1]!Table1[#All],1,FALSE)</f>
        <v>#REF!</v>
      </c>
    </row>
    <row r="8143" spans="1:12" hidden="1" x14ac:dyDescent="0.3">
      <c r="A8143" t="s">
        <v>37</v>
      </c>
      <c r="B8143" t="s">
        <v>38</v>
      </c>
      <c r="C8143" t="s">
        <v>129</v>
      </c>
      <c r="D8143" t="s">
        <v>130</v>
      </c>
      <c r="E8143">
        <v>2006</v>
      </c>
      <c r="F8143" s="1">
        <v>78</v>
      </c>
      <c r="G8143">
        <v>2000</v>
      </c>
      <c r="H8143">
        <f>AVERAGEIFS(Table1[value],Table1[IndicatorCode],Table1[[#This Row],[IndicatorCode]])</f>
        <v>72.66514008620689</v>
      </c>
      <c r="I8143" cm="1">
        <f t="array" ref="I8143">_xlfn.STDEV.P(IF(Table1[IndicatorCode]=Table1[[#This Row],[IndicatorCode]],Table1[value]))</f>
        <v>6.3409496564024987</v>
      </c>
      <c r="J8143">
        <f>(Table1[[#This Row],[value]] - Table1[[#This Row],[mean]]) / Table1[[#This Row],[std_dev]]</f>
        <v>0.84133453234508293</v>
      </c>
      <c r="K8143">
        <f>AVERAGEIF(Table1[CountryCode],Table1[[#This Row],[CountryCode]],Table1[z-score])</f>
        <v>0.4680674202807556</v>
      </c>
      <c r="L8143" t="e">
        <f>VLOOKUP(Table1[[#This Row],[CountryCode]],[1]!Table1[#All],1,FALSE)</f>
        <v>#REF!</v>
      </c>
    </row>
    <row r="8144" spans="1:12" hidden="1" x14ac:dyDescent="0.3">
      <c r="A8144" t="s">
        <v>37</v>
      </c>
      <c r="B8144" t="s">
        <v>38</v>
      </c>
      <c r="C8144" t="s">
        <v>129</v>
      </c>
      <c r="D8144" t="s">
        <v>130</v>
      </c>
      <c r="E8144">
        <v>2007</v>
      </c>
      <c r="F8144" s="1">
        <v>78</v>
      </c>
      <c r="G8144">
        <v>2010</v>
      </c>
      <c r="H8144">
        <f>AVERAGEIFS(Table1[value],Table1[IndicatorCode],Table1[[#This Row],[IndicatorCode]])</f>
        <v>72.66514008620689</v>
      </c>
      <c r="I8144" cm="1">
        <f t="array" ref="I8144">_xlfn.STDEV.P(IF(Table1[IndicatorCode]=Table1[[#This Row],[IndicatorCode]],Table1[value]))</f>
        <v>6.3409496564024987</v>
      </c>
      <c r="J8144">
        <f>(Table1[[#This Row],[value]] - Table1[[#This Row],[mean]]) / Table1[[#This Row],[std_dev]]</f>
        <v>0.84133453234508293</v>
      </c>
      <c r="K8144">
        <f>AVERAGEIF(Table1[CountryCode],Table1[[#This Row],[CountryCode]],Table1[z-score])</f>
        <v>0.4680674202807556</v>
      </c>
      <c r="L8144" t="e">
        <f>VLOOKUP(Table1[[#This Row],[CountryCode]],[1]!Table1[#All],1,FALSE)</f>
        <v>#REF!</v>
      </c>
    </row>
    <row r="8145" spans="1:12" hidden="1" x14ac:dyDescent="0.3">
      <c r="A8145" t="s">
        <v>37</v>
      </c>
      <c r="B8145" t="s">
        <v>38</v>
      </c>
      <c r="C8145" t="s">
        <v>129</v>
      </c>
      <c r="D8145" t="s">
        <v>130</v>
      </c>
      <c r="E8145">
        <v>2008</v>
      </c>
      <c r="F8145" s="1">
        <v>78</v>
      </c>
      <c r="G8145">
        <v>2010</v>
      </c>
      <c r="H8145">
        <f>AVERAGEIFS(Table1[value],Table1[IndicatorCode],Table1[[#This Row],[IndicatorCode]])</f>
        <v>72.66514008620689</v>
      </c>
      <c r="I8145" cm="1">
        <f t="array" ref="I8145">_xlfn.STDEV.P(IF(Table1[IndicatorCode]=Table1[[#This Row],[IndicatorCode]],Table1[value]))</f>
        <v>6.3409496564024987</v>
      </c>
      <c r="J8145">
        <f>(Table1[[#This Row],[value]] - Table1[[#This Row],[mean]]) / Table1[[#This Row],[std_dev]]</f>
        <v>0.84133453234508293</v>
      </c>
      <c r="K8145">
        <f>AVERAGEIF(Table1[CountryCode],Table1[[#This Row],[CountryCode]],Table1[z-score])</f>
        <v>0.4680674202807556</v>
      </c>
      <c r="L8145" t="e">
        <f>VLOOKUP(Table1[[#This Row],[CountryCode]],[1]!Table1[#All],1,FALSE)</f>
        <v>#REF!</v>
      </c>
    </row>
    <row r="8146" spans="1:12" hidden="1" x14ac:dyDescent="0.3">
      <c r="A8146" t="s">
        <v>37</v>
      </c>
      <c r="B8146" t="s">
        <v>38</v>
      </c>
      <c r="C8146" t="s">
        <v>129</v>
      </c>
      <c r="D8146" t="s">
        <v>130</v>
      </c>
      <c r="E8146">
        <v>2009</v>
      </c>
      <c r="F8146" s="1">
        <v>79</v>
      </c>
      <c r="G8146">
        <v>2010</v>
      </c>
      <c r="H8146">
        <f>AVERAGEIFS(Table1[value],Table1[IndicatorCode],Table1[[#This Row],[IndicatorCode]])</f>
        <v>72.66514008620689</v>
      </c>
      <c r="I8146" cm="1">
        <f t="array" ref="I8146">_xlfn.STDEV.P(IF(Table1[IndicatorCode]=Table1[[#This Row],[IndicatorCode]],Table1[value]))</f>
        <v>6.3409496564024987</v>
      </c>
      <c r="J8146">
        <f>(Table1[[#This Row],[value]] - Table1[[#This Row],[mean]]) / Table1[[#This Row],[std_dev]]</f>
        <v>0.99903961662852192</v>
      </c>
      <c r="K8146">
        <f>AVERAGEIF(Table1[CountryCode],Table1[[#This Row],[CountryCode]],Table1[z-score])</f>
        <v>0.4680674202807556</v>
      </c>
      <c r="L8146" t="e">
        <f>VLOOKUP(Table1[[#This Row],[CountryCode]],[1]!Table1[#All],1,FALSE)</f>
        <v>#REF!</v>
      </c>
    </row>
    <row r="8147" spans="1:12" hidden="1" x14ac:dyDescent="0.3">
      <c r="A8147" t="s">
        <v>37</v>
      </c>
      <c r="B8147" t="s">
        <v>38</v>
      </c>
      <c r="C8147" t="s">
        <v>129</v>
      </c>
      <c r="D8147" t="s">
        <v>130</v>
      </c>
      <c r="E8147">
        <v>2010</v>
      </c>
      <c r="F8147" s="1">
        <v>79</v>
      </c>
      <c r="G8147">
        <v>2010</v>
      </c>
      <c r="H8147">
        <f>AVERAGEIFS(Table1[value],Table1[IndicatorCode],Table1[[#This Row],[IndicatorCode]])</f>
        <v>72.66514008620689</v>
      </c>
      <c r="I8147" cm="1">
        <f t="array" ref="I8147">_xlfn.STDEV.P(IF(Table1[IndicatorCode]=Table1[[#This Row],[IndicatorCode]],Table1[value]))</f>
        <v>6.3409496564024987</v>
      </c>
      <c r="J8147">
        <f>(Table1[[#This Row],[value]] - Table1[[#This Row],[mean]]) / Table1[[#This Row],[std_dev]]</f>
        <v>0.99903961662852192</v>
      </c>
      <c r="K8147">
        <f>AVERAGEIF(Table1[CountryCode],Table1[[#This Row],[CountryCode]],Table1[z-score])</f>
        <v>0.4680674202807556</v>
      </c>
      <c r="L8147" t="e">
        <f>VLOOKUP(Table1[[#This Row],[CountryCode]],[1]!Table1[#All],1,FALSE)</f>
        <v>#REF!</v>
      </c>
    </row>
    <row r="8148" spans="1:12" hidden="1" x14ac:dyDescent="0.3">
      <c r="A8148" t="s">
        <v>37</v>
      </c>
      <c r="B8148" t="s">
        <v>38</v>
      </c>
      <c r="C8148" t="s">
        <v>129</v>
      </c>
      <c r="D8148" t="s">
        <v>130</v>
      </c>
      <c r="E8148">
        <v>2011</v>
      </c>
      <c r="F8148" s="1">
        <v>80</v>
      </c>
      <c r="G8148">
        <v>2010</v>
      </c>
      <c r="H8148">
        <f>AVERAGEIFS(Table1[value],Table1[IndicatorCode],Table1[[#This Row],[IndicatorCode]])</f>
        <v>72.66514008620689</v>
      </c>
      <c r="I8148" cm="1">
        <f t="array" ref="I8148">_xlfn.STDEV.P(IF(Table1[IndicatorCode]=Table1[[#This Row],[IndicatorCode]],Table1[value]))</f>
        <v>6.3409496564024987</v>
      </c>
      <c r="J8148">
        <f>(Table1[[#This Row],[value]] - Table1[[#This Row],[mean]]) / Table1[[#This Row],[std_dev]]</f>
        <v>1.1567447009119609</v>
      </c>
      <c r="K8148">
        <f>AVERAGEIF(Table1[CountryCode],Table1[[#This Row],[CountryCode]],Table1[z-score])</f>
        <v>0.4680674202807556</v>
      </c>
      <c r="L8148" t="e">
        <f>VLOOKUP(Table1[[#This Row],[CountryCode]],[1]!Table1[#All],1,FALSE)</f>
        <v>#REF!</v>
      </c>
    </row>
    <row r="8149" spans="1:12" hidden="1" x14ac:dyDescent="0.3">
      <c r="A8149" t="s">
        <v>37</v>
      </c>
      <c r="B8149" t="s">
        <v>38</v>
      </c>
      <c r="C8149" t="s">
        <v>129</v>
      </c>
      <c r="D8149" t="s">
        <v>130</v>
      </c>
      <c r="E8149">
        <v>2012</v>
      </c>
      <c r="F8149" s="1">
        <v>80</v>
      </c>
      <c r="G8149">
        <v>2010</v>
      </c>
      <c r="H8149">
        <f>AVERAGEIFS(Table1[value],Table1[IndicatorCode],Table1[[#This Row],[IndicatorCode]])</f>
        <v>72.66514008620689</v>
      </c>
      <c r="I8149" cm="1">
        <f t="array" ref="I8149">_xlfn.STDEV.P(IF(Table1[IndicatorCode]=Table1[[#This Row],[IndicatorCode]],Table1[value]))</f>
        <v>6.3409496564024987</v>
      </c>
      <c r="J8149">
        <f>(Table1[[#This Row],[value]] - Table1[[#This Row],[mean]]) / Table1[[#This Row],[std_dev]]</f>
        <v>1.1567447009119609</v>
      </c>
      <c r="K8149">
        <f>AVERAGEIF(Table1[CountryCode],Table1[[#This Row],[CountryCode]],Table1[z-score])</f>
        <v>0.4680674202807556</v>
      </c>
      <c r="L8149" t="e">
        <f>VLOOKUP(Table1[[#This Row],[CountryCode]],[1]!Table1[#All],1,FALSE)</f>
        <v>#REF!</v>
      </c>
    </row>
    <row r="8150" spans="1:12" hidden="1" x14ac:dyDescent="0.3">
      <c r="A8150" t="s">
        <v>37</v>
      </c>
      <c r="B8150" t="s">
        <v>38</v>
      </c>
      <c r="C8150" t="s">
        <v>129</v>
      </c>
      <c r="D8150" t="s">
        <v>130</v>
      </c>
      <c r="E8150">
        <v>2013</v>
      </c>
      <c r="F8150" s="1">
        <v>80</v>
      </c>
      <c r="G8150">
        <v>2010</v>
      </c>
      <c r="H8150">
        <f>AVERAGEIFS(Table1[value],Table1[IndicatorCode],Table1[[#This Row],[IndicatorCode]])</f>
        <v>72.66514008620689</v>
      </c>
      <c r="I8150" cm="1">
        <f t="array" ref="I8150">_xlfn.STDEV.P(IF(Table1[IndicatorCode]=Table1[[#This Row],[IndicatorCode]],Table1[value]))</f>
        <v>6.3409496564024987</v>
      </c>
      <c r="J8150">
        <f>(Table1[[#This Row],[value]] - Table1[[#This Row],[mean]]) / Table1[[#This Row],[std_dev]]</f>
        <v>1.1567447009119609</v>
      </c>
      <c r="K8150">
        <f>AVERAGEIF(Table1[CountryCode],Table1[[#This Row],[CountryCode]],Table1[z-score])</f>
        <v>0.4680674202807556</v>
      </c>
      <c r="L8150" t="e">
        <f>VLOOKUP(Table1[[#This Row],[CountryCode]],[1]!Table1[#All],1,FALSE)</f>
        <v>#REF!</v>
      </c>
    </row>
    <row r="8151" spans="1:12" hidden="1" x14ac:dyDescent="0.3">
      <c r="A8151" t="s">
        <v>37</v>
      </c>
      <c r="B8151" t="s">
        <v>38</v>
      </c>
      <c r="C8151" t="s">
        <v>129</v>
      </c>
      <c r="D8151" t="s">
        <v>130</v>
      </c>
      <c r="E8151">
        <v>2014</v>
      </c>
      <c r="F8151" s="1">
        <v>81</v>
      </c>
      <c r="G8151">
        <v>2010</v>
      </c>
      <c r="H8151">
        <f>AVERAGEIFS(Table1[value],Table1[IndicatorCode],Table1[[#This Row],[IndicatorCode]])</f>
        <v>72.66514008620689</v>
      </c>
      <c r="I8151" cm="1">
        <f t="array" ref="I8151">_xlfn.STDEV.P(IF(Table1[IndicatorCode]=Table1[[#This Row],[IndicatorCode]],Table1[value]))</f>
        <v>6.3409496564024987</v>
      </c>
      <c r="J8151">
        <f>(Table1[[#This Row],[value]] - Table1[[#This Row],[mean]]) / Table1[[#This Row],[std_dev]]</f>
        <v>1.3144497851954</v>
      </c>
      <c r="K8151">
        <f>AVERAGEIF(Table1[CountryCode],Table1[[#This Row],[CountryCode]],Table1[z-score])</f>
        <v>0.4680674202807556</v>
      </c>
      <c r="L8151" t="e">
        <f>VLOOKUP(Table1[[#This Row],[CountryCode]],[1]!Table1[#All],1,FALSE)</f>
        <v>#REF!</v>
      </c>
    </row>
    <row r="8152" spans="1:12" hidden="1" x14ac:dyDescent="0.3">
      <c r="A8152" t="s">
        <v>37</v>
      </c>
      <c r="B8152" t="s">
        <v>38</v>
      </c>
      <c r="C8152" t="s">
        <v>129</v>
      </c>
      <c r="D8152" t="s">
        <v>130</v>
      </c>
      <c r="E8152">
        <v>2015</v>
      </c>
      <c r="F8152" s="1">
        <v>81</v>
      </c>
      <c r="G8152">
        <v>2010</v>
      </c>
      <c r="H8152">
        <f>AVERAGEIFS(Table1[value],Table1[IndicatorCode],Table1[[#This Row],[IndicatorCode]])</f>
        <v>72.66514008620689</v>
      </c>
      <c r="I8152" cm="1">
        <f t="array" ref="I8152">_xlfn.STDEV.P(IF(Table1[IndicatorCode]=Table1[[#This Row],[IndicatorCode]],Table1[value]))</f>
        <v>6.3409496564024987</v>
      </c>
      <c r="J8152">
        <f>(Table1[[#This Row],[value]] - Table1[[#This Row],[mean]]) / Table1[[#This Row],[std_dev]]</f>
        <v>1.3144497851954</v>
      </c>
      <c r="K8152">
        <f>AVERAGEIF(Table1[CountryCode],Table1[[#This Row],[CountryCode]],Table1[z-score])</f>
        <v>0.4680674202807556</v>
      </c>
      <c r="L8152" t="e">
        <f>VLOOKUP(Table1[[#This Row],[CountryCode]],[1]!Table1[#All],1,FALSE)</f>
        <v>#REF!</v>
      </c>
    </row>
    <row r="8153" spans="1:12" hidden="1" x14ac:dyDescent="0.3">
      <c r="A8153" t="s">
        <v>37</v>
      </c>
      <c r="B8153" t="s">
        <v>38</v>
      </c>
      <c r="C8153" t="s">
        <v>129</v>
      </c>
      <c r="D8153" t="s">
        <v>130</v>
      </c>
      <c r="E8153">
        <v>2016</v>
      </c>
      <c r="F8153" s="1">
        <v>81</v>
      </c>
      <c r="G8153">
        <v>2010</v>
      </c>
      <c r="H8153">
        <f>AVERAGEIFS(Table1[value],Table1[IndicatorCode],Table1[[#This Row],[IndicatorCode]])</f>
        <v>72.66514008620689</v>
      </c>
      <c r="I8153" cm="1">
        <f t="array" ref="I8153">_xlfn.STDEV.P(IF(Table1[IndicatorCode]=Table1[[#This Row],[IndicatorCode]],Table1[value]))</f>
        <v>6.3409496564024987</v>
      </c>
      <c r="J8153">
        <f>(Table1[[#This Row],[value]] - Table1[[#This Row],[mean]]) / Table1[[#This Row],[std_dev]]</f>
        <v>1.3144497851954</v>
      </c>
      <c r="K8153">
        <f>AVERAGEIF(Table1[CountryCode],Table1[[#This Row],[CountryCode]],Table1[z-score])</f>
        <v>0.4680674202807556</v>
      </c>
      <c r="L8153" t="e">
        <f>VLOOKUP(Table1[[#This Row],[CountryCode]],[1]!Table1[#All],1,FALSE)</f>
        <v>#REF!</v>
      </c>
    </row>
    <row r="8154" spans="1:12" hidden="1" x14ac:dyDescent="0.3">
      <c r="A8154" t="s">
        <v>37</v>
      </c>
      <c r="B8154" t="s">
        <v>38</v>
      </c>
      <c r="C8154" t="s">
        <v>129</v>
      </c>
      <c r="D8154" t="s">
        <v>130</v>
      </c>
      <c r="E8154">
        <v>2017</v>
      </c>
      <c r="F8154" s="1">
        <v>81</v>
      </c>
      <c r="G8154">
        <v>2020</v>
      </c>
      <c r="H8154">
        <f>AVERAGEIFS(Table1[value],Table1[IndicatorCode],Table1[[#This Row],[IndicatorCode]])</f>
        <v>72.66514008620689</v>
      </c>
      <c r="I8154" cm="1">
        <f t="array" ref="I8154">_xlfn.STDEV.P(IF(Table1[IndicatorCode]=Table1[[#This Row],[IndicatorCode]],Table1[value]))</f>
        <v>6.3409496564024987</v>
      </c>
      <c r="J8154">
        <f>(Table1[[#This Row],[value]] - Table1[[#This Row],[mean]]) / Table1[[#This Row],[std_dev]]</f>
        <v>1.3144497851954</v>
      </c>
      <c r="K8154">
        <f>AVERAGEIF(Table1[CountryCode],Table1[[#This Row],[CountryCode]],Table1[z-score])</f>
        <v>0.4680674202807556</v>
      </c>
      <c r="L8154" t="e">
        <f>VLOOKUP(Table1[[#This Row],[CountryCode]],[1]!Table1[#All],1,FALSE)</f>
        <v>#REF!</v>
      </c>
    </row>
    <row r="8155" spans="1:12" hidden="1" x14ac:dyDescent="0.3">
      <c r="A8155" t="s">
        <v>37</v>
      </c>
      <c r="B8155" t="s">
        <v>38</v>
      </c>
      <c r="C8155" t="s">
        <v>129</v>
      </c>
      <c r="D8155" t="s">
        <v>130</v>
      </c>
      <c r="E8155">
        <v>2018</v>
      </c>
      <c r="F8155" s="1">
        <v>81</v>
      </c>
      <c r="G8155">
        <v>2020</v>
      </c>
      <c r="H8155">
        <f>AVERAGEIFS(Table1[value],Table1[IndicatorCode],Table1[[#This Row],[IndicatorCode]])</f>
        <v>72.66514008620689</v>
      </c>
      <c r="I8155" cm="1">
        <f t="array" ref="I8155">_xlfn.STDEV.P(IF(Table1[IndicatorCode]=Table1[[#This Row],[IndicatorCode]],Table1[value]))</f>
        <v>6.3409496564024987</v>
      </c>
      <c r="J8155">
        <f>(Table1[[#This Row],[value]] - Table1[[#This Row],[mean]]) / Table1[[#This Row],[std_dev]]</f>
        <v>1.3144497851954</v>
      </c>
      <c r="K8155">
        <f>AVERAGEIF(Table1[CountryCode],Table1[[#This Row],[CountryCode]],Table1[z-score])</f>
        <v>0.4680674202807556</v>
      </c>
      <c r="L8155" t="e">
        <f>VLOOKUP(Table1[[#This Row],[CountryCode]],[1]!Table1[#All],1,FALSE)</f>
        <v>#REF!</v>
      </c>
    </row>
    <row r="8156" spans="1:12" hidden="1" x14ac:dyDescent="0.3">
      <c r="A8156" t="s">
        <v>37</v>
      </c>
      <c r="B8156" t="s">
        <v>38</v>
      </c>
      <c r="C8156" t="s">
        <v>129</v>
      </c>
      <c r="D8156" t="s">
        <v>130</v>
      </c>
      <c r="E8156">
        <v>2019</v>
      </c>
      <c r="F8156" s="1">
        <v>81</v>
      </c>
      <c r="G8156">
        <v>2020</v>
      </c>
      <c r="H8156">
        <f>AVERAGEIFS(Table1[value],Table1[IndicatorCode],Table1[[#This Row],[IndicatorCode]])</f>
        <v>72.66514008620689</v>
      </c>
      <c r="I8156" cm="1">
        <f t="array" ref="I8156">_xlfn.STDEV.P(IF(Table1[IndicatorCode]=Table1[[#This Row],[IndicatorCode]],Table1[value]))</f>
        <v>6.3409496564024987</v>
      </c>
      <c r="J8156">
        <f>(Table1[[#This Row],[value]] - Table1[[#This Row],[mean]]) / Table1[[#This Row],[std_dev]]</f>
        <v>1.3144497851954</v>
      </c>
      <c r="K8156">
        <f>AVERAGEIF(Table1[CountryCode],Table1[[#This Row],[CountryCode]],Table1[z-score])</f>
        <v>0.4680674202807556</v>
      </c>
      <c r="L8156" t="e">
        <f>VLOOKUP(Table1[[#This Row],[CountryCode]],[1]!Table1[#All],1,FALSE)</f>
        <v>#REF!</v>
      </c>
    </row>
    <row r="8157" spans="1:12" x14ac:dyDescent="0.3">
      <c r="A8157" t="s">
        <v>37</v>
      </c>
      <c r="B8157" t="s">
        <v>38</v>
      </c>
      <c r="C8157" t="s">
        <v>129</v>
      </c>
      <c r="D8157" t="s">
        <v>130</v>
      </c>
      <c r="E8157">
        <v>2020</v>
      </c>
      <c r="F8157" s="1">
        <v>82</v>
      </c>
      <c r="G8157">
        <v>2020</v>
      </c>
      <c r="H8157">
        <f>AVERAGEIFS(Table1[value],Table1[IndicatorCode],Table1[[#This Row],[IndicatorCode]])</f>
        <v>72.66514008620689</v>
      </c>
      <c r="I8157" cm="1">
        <f t="array" ref="I8157">_xlfn.STDEV.P(IF(Table1[IndicatorCode]=Table1[[#This Row],[IndicatorCode]],Table1[value]))</f>
        <v>6.3409496564024987</v>
      </c>
      <c r="J8157">
        <f>(Table1[[#This Row],[value]] - Table1[[#This Row],[mean]]) / Table1[[#This Row],[std_dev]]</f>
        <v>1.4721548694788391</v>
      </c>
      <c r="K8157">
        <f>AVERAGEIF(Table1[CountryCode],Table1[[#This Row],[CountryCode]],Table1[z-score])</f>
        <v>0.4680674202807556</v>
      </c>
    </row>
    <row r="8158" spans="1:12" hidden="1" x14ac:dyDescent="0.3">
      <c r="A8158" t="s">
        <v>37</v>
      </c>
      <c r="B8158" t="s">
        <v>38</v>
      </c>
      <c r="C8158" t="s">
        <v>129</v>
      </c>
      <c r="D8158" t="s">
        <v>130</v>
      </c>
      <c r="E8158">
        <v>2021</v>
      </c>
      <c r="F8158" s="1">
        <v>81</v>
      </c>
      <c r="G8158">
        <v>1960</v>
      </c>
      <c r="H8158">
        <f>AVERAGEIFS(Table1[value],Table1[IndicatorCode],Table1[[#This Row],[IndicatorCode]])</f>
        <v>72.66514008620689</v>
      </c>
      <c r="I8158" cm="1">
        <f t="array" ref="I8158">_xlfn.STDEV.P(IF(Table1[IndicatorCode]=Table1[[#This Row],[IndicatorCode]],Table1[value]))</f>
        <v>6.3409496564024987</v>
      </c>
      <c r="J8158">
        <f>(Table1[[#This Row],[value]] - Table1[[#This Row],[mean]]) / Table1[[#This Row],[std_dev]]</f>
        <v>1.3144497851954</v>
      </c>
      <c r="K8158">
        <f>AVERAGEIF(Table1[CountryCode],Table1[[#This Row],[CountryCode]],Table1[z-score])</f>
        <v>0.4680674202807556</v>
      </c>
      <c r="L8158" t="e">
        <f>VLOOKUP(Table1[[#This Row],[CountryCode]],[1]!Table1[#All],1,FALSE)</f>
        <v>#REF!</v>
      </c>
    </row>
    <row r="8159" spans="1:12" hidden="1" x14ac:dyDescent="0.3">
      <c r="A8159" t="s">
        <v>37</v>
      </c>
      <c r="B8159" t="s">
        <v>38</v>
      </c>
      <c r="C8159" t="s">
        <v>129</v>
      </c>
      <c r="D8159" t="s">
        <v>130</v>
      </c>
      <c r="E8159">
        <v>2022</v>
      </c>
      <c r="F8159" s="1">
        <v>81</v>
      </c>
      <c r="G8159">
        <v>1960</v>
      </c>
      <c r="H8159">
        <f>AVERAGEIFS(Table1[value],Table1[IndicatorCode],Table1[[#This Row],[IndicatorCode]])</f>
        <v>72.66514008620689</v>
      </c>
      <c r="I8159" cm="1">
        <f t="array" ref="I8159">_xlfn.STDEV.P(IF(Table1[IndicatorCode]=Table1[[#This Row],[IndicatorCode]],Table1[value]))</f>
        <v>6.3409496564024987</v>
      </c>
      <c r="J8159">
        <f>(Table1[[#This Row],[value]] - Table1[[#This Row],[mean]]) / Table1[[#This Row],[std_dev]]</f>
        <v>1.3144497851954</v>
      </c>
      <c r="K8159">
        <f>AVERAGEIF(Table1[CountryCode],Table1[[#This Row],[CountryCode]],Table1[z-score])</f>
        <v>0.4680674202807556</v>
      </c>
      <c r="L8159" t="e">
        <f>VLOOKUP(Table1[[#This Row],[CountryCode]],[1]!Table1[#All],1,FALSE)</f>
        <v>#REF!</v>
      </c>
    </row>
    <row r="8160" spans="1:12" hidden="1" x14ac:dyDescent="0.3">
      <c r="A8160" t="s">
        <v>37</v>
      </c>
      <c r="B8160" t="s">
        <v>38</v>
      </c>
      <c r="C8160" t="s">
        <v>129</v>
      </c>
      <c r="D8160" t="s">
        <v>130</v>
      </c>
      <c r="E8160">
        <v>2023</v>
      </c>
      <c r="F8160" s="1">
        <v>82</v>
      </c>
      <c r="G8160">
        <v>1960</v>
      </c>
      <c r="H8160">
        <f>AVERAGEIFS(Table1[value],Table1[IndicatorCode],Table1[[#This Row],[IndicatorCode]])</f>
        <v>72.66514008620689</v>
      </c>
      <c r="I8160" cm="1">
        <f t="array" ref="I8160">_xlfn.STDEV.P(IF(Table1[IndicatorCode]=Table1[[#This Row],[IndicatorCode]],Table1[value]))</f>
        <v>6.3409496564024987</v>
      </c>
      <c r="J8160">
        <f>(Table1[[#This Row],[value]] - Table1[[#This Row],[mean]]) / Table1[[#This Row],[std_dev]]</f>
        <v>1.4721548694788391</v>
      </c>
      <c r="K8160">
        <f>AVERAGEIF(Table1[CountryCode],Table1[[#This Row],[CountryCode]],Table1[z-score])</f>
        <v>0.4680674202807556</v>
      </c>
      <c r="L8160" t="e">
        <f>VLOOKUP(Table1[[#This Row],[CountryCode]],[1]!Table1[#All],1,FALSE)</f>
        <v>#REF!</v>
      </c>
    </row>
    <row r="8161" spans="1:12" hidden="1" x14ac:dyDescent="0.3">
      <c r="A8161" t="s">
        <v>39</v>
      </c>
      <c r="B8161" t="s">
        <v>40</v>
      </c>
      <c r="C8161" t="s">
        <v>129</v>
      </c>
      <c r="D8161" t="s">
        <v>130</v>
      </c>
      <c r="E8161">
        <v>1960</v>
      </c>
      <c r="F8161" s="1">
        <v>69</v>
      </c>
      <c r="G8161">
        <v>1960</v>
      </c>
      <c r="H8161">
        <f>AVERAGEIFS(Table1[value],Table1[IndicatorCode],Table1[[#This Row],[IndicatorCode]])</f>
        <v>72.66514008620689</v>
      </c>
      <c r="I8161" cm="1">
        <f t="array" ref="I8161">_xlfn.STDEV.P(IF(Table1[IndicatorCode]=Table1[[#This Row],[IndicatorCode]],Table1[value]))</f>
        <v>6.3409496564024987</v>
      </c>
      <c r="J8161">
        <f>(Table1[[#This Row],[value]] - Table1[[#This Row],[mean]]) / Table1[[#This Row],[std_dev]]</f>
        <v>-0.57801122620586864</v>
      </c>
      <c r="K8161">
        <f>AVERAGEIF(Table1[CountryCode],Table1[[#This Row],[CountryCode]],Table1[z-score])</f>
        <v>9.5615861938696506E-2</v>
      </c>
      <c r="L8161" t="e">
        <f>VLOOKUP(Table1[[#This Row],[CountryCode]],[1]!Table1[#All],1,FALSE)</f>
        <v>#REF!</v>
      </c>
    </row>
    <row r="8162" spans="1:12" hidden="1" x14ac:dyDescent="0.3">
      <c r="A8162" t="s">
        <v>39</v>
      </c>
      <c r="B8162" t="s">
        <v>40</v>
      </c>
      <c r="C8162" t="s">
        <v>129</v>
      </c>
      <c r="D8162" t="s">
        <v>130</v>
      </c>
      <c r="E8162">
        <v>1961</v>
      </c>
      <c r="F8162" s="1">
        <v>69</v>
      </c>
      <c r="G8162">
        <v>1960</v>
      </c>
      <c r="H8162">
        <f>AVERAGEIFS(Table1[value],Table1[IndicatorCode],Table1[[#This Row],[IndicatorCode]])</f>
        <v>72.66514008620689</v>
      </c>
      <c r="I8162" cm="1">
        <f t="array" ref="I8162">_xlfn.STDEV.P(IF(Table1[IndicatorCode]=Table1[[#This Row],[IndicatorCode]],Table1[value]))</f>
        <v>6.3409496564024987</v>
      </c>
      <c r="J8162">
        <f>(Table1[[#This Row],[value]] - Table1[[#This Row],[mean]]) / Table1[[#This Row],[std_dev]]</f>
        <v>-0.57801122620586864</v>
      </c>
      <c r="K8162">
        <f>AVERAGEIF(Table1[CountryCode],Table1[[#This Row],[CountryCode]],Table1[z-score])</f>
        <v>9.5615861938696506E-2</v>
      </c>
      <c r="L8162" t="e">
        <f>VLOOKUP(Table1[[#This Row],[CountryCode]],[1]!Table1[#All],1,FALSE)</f>
        <v>#REF!</v>
      </c>
    </row>
    <row r="8163" spans="1:12" hidden="1" x14ac:dyDescent="0.3">
      <c r="A8163" t="s">
        <v>39</v>
      </c>
      <c r="B8163" t="s">
        <v>40</v>
      </c>
      <c r="C8163" t="s">
        <v>129</v>
      </c>
      <c r="D8163" t="s">
        <v>130</v>
      </c>
      <c r="E8163">
        <v>1962</v>
      </c>
      <c r="F8163" s="1">
        <v>70</v>
      </c>
      <c r="G8163">
        <v>1960</v>
      </c>
      <c r="H8163">
        <f>AVERAGEIFS(Table1[value],Table1[IndicatorCode],Table1[[#This Row],[IndicatorCode]])</f>
        <v>72.66514008620689</v>
      </c>
      <c r="I8163" cm="1">
        <f t="array" ref="I8163">_xlfn.STDEV.P(IF(Table1[IndicatorCode]=Table1[[#This Row],[IndicatorCode]],Table1[value]))</f>
        <v>6.3409496564024987</v>
      </c>
      <c r="J8163">
        <f>(Table1[[#This Row],[value]] - Table1[[#This Row],[mean]]) / Table1[[#This Row],[std_dev]]</f>
        <v>-0.4203061419224296</v>
      </c>
      <c r="K8163">
        <f>AVERAGEIF(Table1[CountryCode],Table1[[#This Row],[CountryCode]],Table1[z-score])</f>
        <v>9.5615861938696506E-2</v>
      </c>
      <c r="L8163" t="e">
        <f>VLOOKUP(Table1[[#This Row],[CountryCode]],[1]!Table1[#All],1,FALSE)</f>
        <v>#REF!</v>
      </c>
    </row>
    <row r="8164" spans="1:12" hidden="1" x14ac:dyDescent="0.3">
      <c r="A8164" t="s">
        <v>39</v>
      </c>
      <c r="B8164" t="s">
        <v>40</v>
      </c>
      <c r="C8164" t="s">
        <v>129</v>
      </c>
      <c r="D8164" t="s">
        <v>130</v>
      </c>
      <c r="E8164">
        <v>1963</v>
      </c>
      <c r="F8164" s="1">
        <v>70</v>
      </c>
      <c r="G8164">
        <v>1960</v>
      </c>
      <c r="H8164">
        <f>AVERAGEIFS(Table1[value],Table1[IndicatorCode],Table1[[#This Row],[IndicatorCode]])</f>
        <v>72.66514008620689</v>
      </c>
      <c r="I8164" cm="1">
        <f t="array" ref="I8164">_xlfn.STDEV.P(IF(Table1[IndicatorCode]=Table1[[#This Row],[IndicatorCode]],Table1[value]))</f>
        <v>6.3409496564024987</v>
      </c>
      <c r="J8164">
        <f>(Table1[[#This Row],[value]] - Table1[[#This Row],[mean]]) / Table1[[#This Row],[std_dev]]</f>
        <v>-0.4203061419224296</v>
      </c>
      <c r="K8164">
        <f>AVERAGEIF(Table1[CountryCode],Table1[[#This Row],[CountryCode]],Table1[z-score])</f>
        <v>9.5615861938696506E-2</v>
      </c>
      <c r="L8164" t="e">
        <f>VLOOKUP(Table1[[#This Row],[CountryCode]],[1]!Table1[#All],1,FALSE)</f>
        <v>#REF!</v>
      </c>
    </row>
    <row r="8165" spans="1:12" hidden="1" x14ac:dyDescent="0.3">
      <c r="A8165" t="s">
        <v>39</v>
      </c>
      <c r="B8165" t="s">
        <v>40</v>
      </c>
      <c r="C8165" t="s">
        <v>129</v>
      </c>
      <c r="D8165" t="s">
        <v>130</v>
      </c>
      <c r="E8165">
        <v>1964</v>
      </c>
      <c r="F8165" s="1">
        <v>70</v>
      </c>
      <c r="G8165">
        <v>1960</v>
      </c>
      <c r="H8165">
        <f>AVERAGEIFS(Table1[value],Table1[IndicatorCode],Table1[[#This Row],[IndicatorCode]])</f>
        <v>72.66514008620689</v>
      </c>
      <c r="I8165" cm="1">
        <f t="array" ref="I8165">_xlfn.STDEV.P(IF(Table1[IndicatorCode]=Table1[[#This Row],[IndicatorCode]],Table1[value]))</f>
        <v>6.3409496564024987</v>
      </c>
      <c r="J8165">
        <f>(Table1[[#This Row],[value]] - Table1[[#This Row],[mean]]) / Table1[[#This Row],[std_dev]]</f>
        <v>-0.4203061419224296</v>
      </c>
      <c r="K8165">
        <f>AVERAGEIF(Table1[CountryCode],Table1[[#This Row],[CountryCode]],Table1[z-score])</f>
        <v>9.5615861938696506E-2</v>
      </c>
      <c r="L8165" t="e">
        <f>VLOOKUP(Table1[[#This Row],[CountryCode]],[1]!Table1[#All],1,FALSE)</f>
        <v>#REF!</v>
      </c>
    </row>
    <row r="8166" spans="1:12" hidden="1" x14ac:dyDescent="0.3">
      <c r="A8166" t="s">
        <v>39</v>
      </c>
      <c r="B8166" t="s">
        <v>40</v>
      </c>
      <c r="C8166" t="s">
        <v>129</v>
      </c>
      <c r="D8166" t="s">
        <v>130</v>
      </c>
      <c r="E8166">
        <v>1965</v>
      </c>
      <c r="F8166" s="1">
        <v>71</v>
      </c>
      <c r="G8166">
        <v>1960</v>
      </c>
      <c r="H8166">
        <f>AVERAGEIFS(Table1[value],Table1[IndicatorCode],Table1[[#This Row],[IndicatorCode]])</f>
        <v>72.66514008620689</v>
      </c>
      <c r="I8166" cm="1">
        <f t="array" ref="I8166">_xlfn.STDEV.P(IF(Table1[IndicatorCode]=Table1[[#This Row],[IndicatorCode]],Table1[value]))</f>
        <v>6.3409496564024987</v>
      </c>
      <c r="J8166">
        <f>(Table1[[#This Row],[value]] - Table1[[#This Row],[mean]]) / Table1[[#This Row],[std_dev]]</f>
        <v>-0.2626010576389905</v>
      </c>
      <c r="K8166">
        <f>AVERAGEIF(Table1[CountryCode],Table1[[#This Row],[CountryCode]],Table1[z-score])</f>
        <v>9.5615861938696506E-2</v>
      </c>
      <c r="L8166" t="e">
        <f>VLOOKUP(Table1[[#This Row],[CountryCode]],[1]!Table1[#All],1,FALSE)</f>
        <v>#REF!</v>
      </c>
    </row>
    <row r="8167" spans="1:12" hidden="1" x14ac:dyDescent="0.3">
      <c r="A8167" t="s">
        <v>39</v>
      </c>
      <c r="B8167" t="s">
        <v>40</v>
      </c>
      <c r="C8167" t="s">
        <v>129</v>
      </c>
      <c r="D8167" t="s">
        <v>130</v>
      </c>
      <c r="E8167">
        <v>1966</v>
      </c>
      <c r="F8167" s="1">
        <v>71</v>
      </c>
      <c r="G8167">
        <v>1960</v>
      </c>
      <c r="H8167">
        <f>AVERAGEIFS(Table1[value],Table1[IndicatorCode],Table1[[#This Row],[IndicatorCode]])</f>
        <v>72.66514008620689</v>
      </c>
      <c r="I8167" cm="1">
        <f t="array" ref="I8167">_xlfn.STDEV.P(IF(Table1[IndicatorCode]=Table1[[#This Row],[IndicatorCode]],Table1[value]))</f>
        <v>6.3409496564024987</v>
      </c>
      <c r="J8167">
        <f>(Table1[[#This Row],[value]] - Table1[[#This Row],[mean]]) / Table1[[#This Row],[std_dev]]</f>
        <v>-0.2626010576389905</v>
      </c>
      <c r="K8167">
        <f>AVERAGEIF(Table1[CountryCode],Table1[[#This Row],[CountryCode]],Table1[z-score])</f>
        <v>9.5615861938696506E-2</v>
      </c>
      <c r="L8167" t="e">
        <f>VLOOKUP(Table1[[#This Row],[CountryCode]],[1]!Table1[#All],1,FALSE)</f>
        <v>#REF!</v>
      </c>
    </row>
    <row r="8168" spans="1:12" hidden="1" x14ac:dyDescent="0.3">
      <c r="A8168" t="s">
        <v>39</v>
      </c>
      <c r="B8168" t="s">
        <v>40</v>
      </c>
      <c r="C8168" t="s">
        <v>129</v>
      </c>
      <c r="D8168" t="s">
        <v>130</v>
      </c>
      <c r="E8168">
        <v>1967</v>
      </c>
      <c r="F8168" s="1">
        <v>71</v>
      </c>
      <c r="G8168">
        <v>1970</v>
      </c>
      <c r="H8168">
        <f>AVERAGEIFS(Table1[value],Table1[IndicatorCode],Table1[[#This Row],[IndicatorCode]])</f>
        <v>72.66514008620689</v>
      </c>
      <c r="I8168" cm="1">
        <f t="array" ref="I8168">_xlfn.STDEV.P(IF(Table1[IndicatorCode]=Table1[[#This Row],[IndicatorCode]],Table1[value]))</f>
        <v>6.3409496564024987</v>
      </c>
      <c r="J8168">
        <f>(Table1[[#This Row],[value]] - Table1[[#This Row],[mean]]) / Table1[[#This Row],[std_dev]]</f>
        <v>-0.2626010576389905</v>
      </c>
      <c r="K8168">
        <f>AVERAGEIF(Table1[CountryCode],Table1[[#This Row],[CountryCode]],Table1[z-score])</f>
        <v>9.5615861938696506E-2</v>
      </c>
      <c r="L8168" t="e">
        <f>VLOOKUP(Table1[[#This Row],[CountryCode]],[1]!Table1[#All],1,FALSE)</f>
        <v>#REF!</v>
      </c>
    </row>
    <row r="8169" spans="1:12" hidden="1" x14ac:dyDescent="0.3">
      <c r="A8169" t="s">
        <v>39</v>
      </c>
      <c r="B8169" t="s">
        <v>40</v>
      </c>
      <c r="C8169" t="s">
        <v>129</v>
      </c>
      <c r="D8169" t="s">
        <v>130</v>
      </c>
      <c r="E8169">
        <v>1968</v>
      </c>
      <c r="F8169" s="1">
        <v>72</v>
      </c>
      <c r="G8169">
        <v>1970</v>
      </c>
      <c r="H8169">
        <f>AVERAGEIFS(Table1[value],Table1[IndicatorCode],Table1[[#This Row],[IndicatorCode]])</f>
        <v>72.66514008620689</v>
      </c>
      <c r="I8169" cm="1">
        <f t="array" ref="I8169">_xlfn.STDEV.P(IF(Table1[IndicatorCode]=Table1[[#This Row],[IndicatorCode]],Table1[value]))</f>
        <v>6.3409496564024987</v>
      </c>
      <c r="J8169">
        <f>(Table1[[#This Row],[value]] - Table1[[#This Row],[mean]]) / Table1[[#This Row],[std_dev]]</f>
        <v>-0.10489597335555145</v>
      </c>
      <c r="K8169">
        <f>AVERAGEIF(Table1[CountryCode],Table1[[#This Row],[CountryCode]],Table1[z-score])</f>
        <v>9.5615861938696506E-2</v>
      </c>
      <c r="L8169" t="e">
        <f>VLOOKUP(Table1[[#This Row],[CountryCode]],[1]!Table1[#All],1,FALSE)</f>
        <v>#REF!</v>
      </c>
    </row>
    <row r="8170" spans="1:12" hidden="1" x14ac:dyDescent="0.3">
      <c r="A8170" t="s">
        <v>39</v>
      </c>
      <c r="B8170" t="s">
        <v>40</v>
      </c>
      <c r="C8170" t="s">
        <v>129</v>
      </c>
      <c r="D8170" t="s">
        <v>130</v>
      </c>
      <c r="E8170">
        <v>1969</v>
      </c>
      <c r="F8170" s="1">
        <v>71</v>
      </c>
      <c r="G8170">
        <v>1970</v>
      </c>
      <c r="H8170">
        <f>AVERAGEIFS(Table1[value],Table1[IndicatorCode],Table1[[#This Row],[IndicatorCode]])</f>
        <v>72.66514008620689</v>
      </c>
      <c r="I8170" cm="1">
        <f t="array" ref="I8170">_xlfn.STDEV.P(IF(Table1[IndicatorCode]=Table1[[#This Row],[IndicatorCode]],Table1[value]))</f>
        <v>6.3409496564024987</v>
      </c>
      <c r="J8170">
        <f>(Table1[[#This Row],[value]] - Table1[[#This Row],[mean]]) / Table1[[#This Row],[std_dev]]</f>
        <v>-0.2626010576389905</v>
      </c>
      <c r="K8170">
        <f>AVERAGEIF(Table1[CountryCode],Table1[[#This Row],[CountryCode]],Table1[z-score])</f>
        <v>9.5615861938696506E-2</v>
      </c>
      <c r="L8170" t="e">
        <f>VLOOKUP(Table1[[#This Row],[CountryCode]],[1]!Table1[#All],1,FALSE)</f>
        <v>#REF!</v>
      </c>
    </row>
    <row r="8171" spans="1:12" hidden="1" x14ac:dyDescent="0.3">
      <c r="A8171" t="s">
        <v>39</v>
      </c>
      <c r="B8171" t="s">
        <v>40</v>
      </c>
      <c r="C8171" t="s">
        <v>129</v>
      </c>
      <c r="D8171" t="s">
        <v>130</v>
      </c>
      <c r="E8171">
        <v>1970</v>
      </c>
      <c r="F8171" s="1">
        <v>72</v>
      </c>
      <c r="G8171">
        <v>1970</v>
      </c>
      <c r="H8171">
        <f>AVERAGEIFS(Table1[value],Table1[IndicatorCode],Table1[[#This Row],[IndicatorCode]])</f>
        <v>72.66514008620689</v>
      </c>
      <c r="I8171" cm="1">
        <f t="array" ref="I8171">_xlfn.STDEV.P(IF(Table1[IndicatorCode]=Table1[[#This Row],[IndicatorCode]],Table1[value]))</f>
        <v>6.3409496564024987</v>
      </c>
      <c r="J8171">
        <f>(Table1[[#This Row],[value]] - Table1[[#This Row],[mean]]) / Table1[[#This Row],[std_dev]]</f>
        <v>-0.10489597335555145</v>
      </c>
      <c r="K8171">
        <f>AVERAGEIF(Table1[CountryCode],Table1[[#This Row],[CountryCode]],Table1[z-score])</f>
        <v>9.5615861938696506E-2</v>
      </c>
      <c r="L8171" t="e">
        <f>VLOOKUP(Table1[[#This Row],[CountryCode]],[1]!Table1[#All],1,FALSE)</f>
        <v>#REF!</v>
      </c>
    </row>
    <row r="8172" spans="1:12" hidden="1" x14ac:dyDescent="0.3">
      <c r="A8172" t="s">
        <v>39</v>
      </c>
      <c r="B8172" t="s">
        <v>40</v>
      </c>
      <c r="C8172" t="s">
        <v>129</v>
      </c>
      <c r="D8172" t="s">
        <v>130</v>
      </c>
      <c r="E8172">
        <v>1971</v>
      </c>
      <c r="F8172" s="1">
        <v>72</v>
      </c>
      <c r="G8172">
        <v>1970</v>
      </c>
      <c r="H8172">
        <f>AVERAGEIFS(Table1[value],Table1[IndicatorCode],Table1[[#This Row],[IndicatorCode]])</f>
        <v>72.66514008620689</v>
      </c>
      <c r="I8172" cm="1">
        <f t="array" ref="I8172">_xlfn.STDEV.P(IF(Table1[IndicatorCode]=Table1[[#This Row],[IndicatorCode]],Table1[value]))</f>
        <v>6.3409496564024987</v>
      </c>
      <c r="J8172">
        <f>(Table1[[#This Row],[value]] - Table1[[#This Row],[mean]]) / Table1[[#This Row],[std_dev]]</f>
        <v>-0.10489597335555145</v>
      </c>
      <c r="K8172">
        <f>AVERAGEIF(Table1[CountryCode],Table1[[#This Row],[CountryCode]],Table1[z-score])</f>
        <v>9.5615861938696506E-2</v>
      </c>
      <c r="L8172" t="e">
        <f>VLOOKUP(Table1[[#This Row],[CountryCode]],[1]!Table1[#All],1,FALSE)</f>
        <v>#REF!</v>
      </c>
    </row>
    <row r="8173" spans="1:12" hidden="1" x14ac:dyDescent="0.3">
      <c r="A8173" t="s">
        <v>39</v>
      </c>
      <c r="B8173" t="s">
        <v>40</v>
      </c>
      <c r="C8173" t="s">
        <v>129</v>
      </c>
      <c r="D8173" t="s">
        <v>130</v>
      </c>
      <c r="E8173">
        <v>1972</v>
      </c>
      <c r="F8173" s="1">
        <v>73</v>
      </c>
      <c r="G8173">
        <v>1970</v>
      </c>
      <c r="H8173">
        <f>AVERAGEIFS(Table1[value],Table1[IndicatorCode],Table1[[#This Row],[IndicatorCode]])</f>
        <v>72.66514008620689</v>
      </c>
      <c r="I8173" cm="1">
        <f t="array" ref="I8173">_xlfn.STDEV.P(IF(Table1[IndicatorCode]=Table1[[#This Row],[IndicatorCode]],Table1[value]))</f>
        <v>6.3409496564024987</v>
      </c>
      <c r="J8173">
        <f>(Table1[[#This Row],[value]] - Table1[[#This Row],[mean]]) / Table1[[#This Row],[std_dev]]</f>
        <v>5.2809110927887599E-2</v>
      </c>
      <c r="K8173">
        <f>AVERAGEIF(Table1[CountryCode],Table1[[#This Row],[CountryCode]],Table1[z-score])</f>
        <v>9.5615861938696506E-2</v>
      </c>
      <c r="L8173" t="e">
        <f>VLOOKUP(Table1[[#This Row],[CountryCode]],[1]!Table1[#All],1,FALSE)</f>
        <v>#REF!</v>
      </c>
    </row>
    <row r="8174" spans="1:12" hidden="1" x14ac:dyDescent="0.3">
      <c r="A8174" t="s">
        <v>39</v>
      </c>
      <c r="B8174" t="s">
        <v>40</v>
      </c>
      <c r="C8174" t="s">
        <v>129</v>
      </c>
      <c r="D8174" t="s">
        <v>130</v>
      </c>
      <c r="E8174">
        <v>1973</v>
      </c>
      <c r="F8174" s="1">
        <v>73</v>
      </c>
      <c r="G8174">
        <v>1970</v>
      </c>
      <c r="H8174">
        <f>AVERAGEIFS(Table1[value],Table1[IndicatorCode],Table1[[#This Row],[IndicatorCode]])</f>
        <v>72.66514008620689</v>
      </c>
      <c r="I8174" cm="1">
        <f t="array" ref="I8174">_xlfn.STDEV.P(IF(Table1[IndicatorCode]=Table1[[#This Row],[IndicatorCode]],Table1[value]))</f>
        <v>6.3409496564024987</v>
      </c>
      <c r="J8174">
        <f>(Table1[[#This Row],[value]] - Table1[[#This Row],[mean]]) / Table1[[#This Row],[std_dev]]</f>
        <v>5.2809110927887599E-2</v>
      </c>
      <c r="K8174">
        <f>AVERAGEIF(Table1[CountryCode],Table1[[#This Row],[CountryCode]],Table1[z-score])</f>
        <v>9.5615861938696506E-2</v>
      </c>
      <c r="L8174" t="e">
        <f>VLOOKUP(Table1[[#This Row],[CountryCode]],[1]!Table1[#All],1,FALSE)</f>
        <v>#REF!</v>
      </c>
    </row>
    <row r="8175" spans="1:12" hidden="1" x14ac:dyDescent="0.3">
      <c r="A8175" t="s">
        <v>39</v>
      </c>
      <c r="B8175" t="s">
        <v>40</v>
      </c>
      <c r="C8175" t="s">
        <v>129</v>
      </c>
      <c r="D8175" t="s">
        <v>130</v>
      </c>
      <c r="E8175">
        <v>1974</v>
      </c>
      <c r="F8175" s="1">
        <v>73</v>
      </c>
      <c r="G8175">
        <v>1970</v>
      </c>
      <c r="H8175">
        <f>AVERAGEIFS(Table1[value],Table1[IndicatorCode],Table1[[#This Row],[IndicatorCode]])</f>
        <v>72.66514008620689</v>
      </c>
      <c r="I8175" cm="1">
        <f t="array" ref="I8175">_xlfn.STDEV.P(IF(Table1[IndicatorCode]=Table1[[#This Row],[IndicatorCode]],Table1[value]))</f>
        <v>6.3409496564024987</v>
      </c>
      <c r="J8175">
        <f>(Table1[[#This Row],[value]] - Table1[[#This Row],[mean]]) / Table1[[#This Row],[std_dev]]</f>
        <v>5.2809110927887599E-2</v>
      </c>
      <c r="K8175">
        <f>AVERAGEIF(Table1[CountryCode],Table1[[#This Row],[CountryCode]],Table1[z-score])</f>
        <v>9.5615861938696506E-2</v>
      </c>
      <c r="L8175" t="e">
        <f>VLOOKUP(Table1[[#This Row],[CountryCode]],[1]!Table1[#All],1,FALSE)</f>
        <v>#REF!</v>
      </c>
    </row>
    <row r="8176" spans="1:12" hidden="1" x14ac:dyDescent="0.3">
      <c r="A8176" t="s">
        <v>39</v>
      </c>
      <c r="B8176" t="s">
        <v>40</v>
      </c>
      <c r="C8176" t="s">
        <v>129</v>
      </c>
      <c r="D8176" t="s">
        <v>130</v>
      </c>
      <c r="E8176">
        <v>1975</v>
      </c>
      <c r="F8176" s="1">
        <v>73</v>
      </c>
      <c r="G8176">
        <v>1970</v>
      </c>
      <c r="H8176">
        <f>AVERAGEIFS(Table1[value],Table1[IndicatorCode],Table1[[#This Row],[IndicatorCode]])</f>
        <v>72.66514008620689</v>
      </c>
      <c r="I8176" cm="1">
        <f t="array" ref="I8176">_xlfn.STDEV.P(IF(Table1[IndicatorCode]=Table1[[#This Row],[IndicatorCode]],Table1[value]))</f>
        <v>6.3409496564024987</v>
      </c>
      <c r="J8176">
        <f>(Table1[[#This Row],[value]] - Table1[[#This Row],[mean]]) / Table1[[#This Row],[std_dev]]</f>
        <v>5.2809110927887599E-2</v>
      </c>
      <c r="K8176">
        <f>AVERAGEIF(Table1[CountryCode],Table1[[#This Row],[CountryCode]],Table1[z-score])</f>
        <v>9.5615861938696506E-2</v>
      </c>
      <c r="L8176" t="e">
        <f>VLOOKUP(Table1[[#This Row],[CountryCode]],[1]!Table1[#All],1,FALSE)</f>
        <v>#REF!</v>
      </c>
    </row>
    <row r="8177" spans="1:12" hidden="1" x14ac:dyDescent="0.3">
      <c r="A8177" t="s">
        <v>39</v>
      </c>
      <c r="B8177" t="s">
        <v>40</v>
      </c>
      <c r="C8177" t="s">
        <v>129</v>
      </c>
      <c r="D8177" t="s">
        <v>130</v>
      </c>
      <c r="E8177">
        <v>1976</v>
      </c>
      <c r="F8177" s="1">
        <v>74</v>
      </c>
      <c r="G8177">
        <v>1970</v>
      </c>
      <c r="H8177">
        <f>AVERAGEIFS(Table1[value],Table1[IndicatorCode],Table1[[#This Row],[IndicatorCode]])</f>
        <v>72.66514008620689</v>
      </c>
      <c r="I8177" cm="1">
        <f t="array" ref="I8177">_xlfn.STDEV.P(IF(Table1[IndicatorCode]=Table1[[#This Row],[IndicatorCode]],Table1[value]))</f>
        <v>6.3409496564024987</v>
      </c>
      <c r="J8177">
        <f>(Table1[[#This Row],[value]] - Table1[[#This Row],[mean]]) / Table1[[#This Row],[std_dev]]</f>
        <v>0.21051419521132667</v>
      </c>
      <c r="K8177">
        <f>AVERAGEIF(Table1[CountryCode],Table1[[#This Row],[CountryCode]],Table1[z-score])</f>
        <v>9.5615861938696506E-2</v>
      </c>
      <c r="L8177" t="e">
        <f>VLOOKUP(Table1[[#This Row],[CountryCode]],[1]!Table1[#All],1,FALSE)</f>
        <v>#REF!</v>
      </c>
    </row>
    <row r="8178" spans="1:12" hidden="1" x14ac:dyDescent="0.3">
      <c r="A8178" t="s">
        <v>39</v>
      </c>
      <c r="B8178" t="s">
        <v>40</v>
      </c>
      <c r="C8178" t="s">
        <v>129</v>
      </c>
      <c r="D8178" t="s">
        <v>130</v>
      </c>
      <c r="E8178">
        <v>1977</v>
      </c>
      <c r="F8178" s="1">
        <v>74</v>
      </c>
      <c r="G8178">
        <v>1980</v>
      </c>
      <c r="H8178">
        <f>AVERAGEIFS(Table1[value],Table1[IndicatorCode],Table1[[#This Row],[IndicatorCode]])</f>
        <v>72.66514008620689</v>
      </c>
      <c r="I8178" cm="1">
        <f t="array" ref="I8178">_xlfn.STDEV.P(IF(Table1[IndicatorCode]=Table1[[#This Row],[IndicatorCode]],Table1[value]))</f>
        <v>6.3409496564024987</v>
      </c>
      <c r="J8178">
        <f>(Table1[[#This Row],[value]] - Table1[[#This Row],[mean]]) / Table1[[#This Row],[std_dev]]</f>
        <v>0.21051419521132667</v>
      </c>
      <c r="K8178">
        <f>AVERAGEIF(Table1[CountryCode],Table1[[#This Row],[CountryCode]],Table1[z-score])</f>
        <v>9.5615861938696506E-2</v>
      </c>
      <c r="L8178" t="e">
        <f>VLOOKUP(Table1[[#This Row],[CountryCode]],[1]!Table1[#All],1,FALSE)</f>
        <v>#REF!</v>
      </c>
    </row>
    <row r="8179" spans="1:12" hidden="1" x14ac:dyDescent="0.3">
      <c r="A8179" t="s">
        <v>39</v>
      </c>
      <c r="B8179" t="s">
        <v>40</v>
      </c>
      <c r="C8179" t="s">
        <v>129</v>
      </c>
      <c r="D8179" t="s">
        <v>130</v>
      </c>
      <c r="E8179">
        <v>1978</v>
      </c>
      <c r="F8179" s="1">
        <v>74</v>
      </c>
      <c r="G8179">
        <v>1980</v>
      </c>
      <c r="H8179">
        <f>AVERAGEIFS(Table1[value],Table1[IndicatorCode],Table1[[#This Row],[IndicatorCode]])</f>
        <v>72.66514008620689</v>
      </c>
      <c r="I8179" cm="1">
        <f t="array" ref="I8179">_xlfn.STDEV.P(IF(Table1[IndicatorCode]=Table1[[#This Row],[IndicatorCode]],Table1[value]))</f>
        <v>6.3409496564024987</v>
      </c>
      <c r="J8179">
        <f>(Table1[[#This Row],[value]] - Table1[[#This Row],[mean]]) / Table1[[#This Row],[std_dev]]</f>
        <v>0.21051419521132667</v>
      </c>
      <c r="K8179">
        <f>AVERAGEIF(Table1[CountryCode],Table1[[#This Row],[CountryCode]],Table1[z-score])</f>
        <v>9.5615861938696506E-2</v>
      </c>
      <c r="L8179" t="e">
        <f>VLOOKUP(Table1[[#This Row],[CountryCode]],[1]!Table1[#All],1,FALSE)</f>
        <v>#REF!</v>
      </c>
    </row>
    <row r="8180" spans="1:12" hidden="1" x14ac:dyDescent="0.3">
      <c r="A8180" t="s">
        <v>39</v>
      </c>
      <c r="B8180" t="s">
        <v>40</v>
      </c>
      <c r="C8180" t="s">
        <v>129</v>
      </c>
      <c r="D8180" t="s">
        <v>130</v>
      </c>
      <c r="E8180">
        <v>1979</v>
      </c>
      <c r="F8180" s="1">
        <v>75</v>
      </c>
      <c r="G8180">
        <v>1980</v>
      </c>
      <c r="H8180">
        <f>AVERAGEIFS(Table1[value],Table1[IndicatorCode],Table1[[#This Row],[IndicatorCode]])</f>
        <v>72.66514008620689</v>
      </c>
      <c r="I8180" cm="1">
        <f t="array" ref="I8180">_xlfn.STDEV.P(IF(Table1[IndicatorCode]=Table1[[#This Row],[IndicatorCode]],Table1[value]))</f>
        <v>6.3409496564024987</v>
      </c>
      <c r="J8180">
        <f>(Table1[[#This Row],[value]] - Table1[[#This Row],[mean]]) / Table1[[#This Row],[std_dev]]</f>
        <v>0.36821927949476574</v>
      </c>
      <c r="K8180">
        <f>AVERAGEIF(Table1[CountryCode],Table1[[#This Row],[CountryCode]],Table1[z-score])</f>
        <v>9.5615861938696506E-2</v>
      </c>
      <c r="L8180" t="e">
        <f>VLOOKUP(Table1[[#This Row],[CountryCode]],[1]!Table1[#All],1,FALSE)</f>
        <v>#REF!</v>
      </c>
    </row>
    <row r="8181" spans="1:12" hidden="1" x14ac:dyDescent="0.3">
      <c r="A8181" t="s">
        <v>39</v>
      </c>
      <c r="B8181" t="s">
        <v>40</v>
      </c>
      <c r="C8181" t="s">
        <v>129</v>
      </c>
      <c r="D8181" t="s">
        <v>130</v>
      </c>
      <c r="E8181">
        <v>1980</v>
      </c>
      <c r="F8181" s="1">
        <v>75</v>
      </c>
      <c r="G8181">
        <v>1980</v>
      </c>
      <c r="H8181">
        <f>AVERAGEIFS(Table1[value],Table1[IndicatorCode],Table1[[#This Row],[IndicatorCode]])</f>
        <v>72.66514008620689</v>
      </c>
      <c r="I8181" cm="1">
        <f t="array" ref="I8181">_xlfn.STDEV.P(IF(Table1[IndicatorCode]=Table1[[#This Row],[IndicatorCode]],Table1[value]))</f>
        <v>6.3409496564024987</v>
      </c>
      <c r="J8181">
        <f>(Table1[[#This Row],[value]] - Table1[[#This Row],[mean]]) / Table1[[#This Row],[std_dev]]</f>
        <v>0.36821927949476574</v>
      </c>
      <c r="K8181">
        <f>AVERAGEIF(Table1[CountryCode],Table1[[#This Row],[CountryCode]],Table1[z-score])</f>
        <v>9.5615861938696506E-2</v>
      </c>
      <c r="L8181" t="e">
        <f>VLOOKUP(Table1[[#This Row],[CountryCode]],[1]!Table1[#All],1,FALSE)</f>
        <v>#REF!</v>
      </c>
    </row>
    <row r="8182" spans="1:12" hidden="1" x14ac:dyDescent="0.3">
      <c r="A8182" t="s">
        <v>39</v>
      </c>
      <c r="B8182" t="s">
        <v>40</v>
      </c>
      <c r="C8182" t="s">
        <v>129</v>
      </c>
      <c r="D8182" t="s">
        <v>130</v>
      </c>
      <c r="E8182">
        <v>1981</v>
      </c>
      <c r="F8182" s="1">
        <v>76</v>
      </c>
      <c r="G8182">
        <v>1980</v>
      </c>
      <c r="H8182">
        <f>AVERAGEIFS(Table1[value],Table1[IndicatorCode],Table1[[#This Row],[IndicatorCode]])</f>
        <v>72.66514008620689</v>
      </c>
      <c r="I8182" cm="1">
        <f t="array" ref="I8182">_xlfn.STDEV.P(IF(Table1[IndicatorCode]=Table1[[#This Row],[IndicatorCode]],Table1[value]))</f>
        <v>6.3409496564024987</v>
      </c>
      <c r="J8182">
        <f>(Table1[[#This Row],[value]] - Table1[[#This Row],[mean]]) / Table1[[#This Row],[std_dev]]</f>
        <v>0.52592436377820473</v>
      </c>
      <c r="K8182">
        <f>AVERAGEIF(Table1[CountryCode],Table1[[#This Row],[CountryCode]],Table1[z-score])</f>
        <v>9.5615861938696506E-2</v>
      </c>
      <c r="L8182" t="e">
        <f>VLOOKUP(Table1[[#This Row],[CountryCode]],[1]!Table1[#All],1,FALSE)</f>
        <v>#REF!</v>
      </c>
    </row>
    <row r="8183" spans="1:12" hidden="1" x14ac:dyDescent="0.3">
      <c r="A8183" t="s">
        <v>39</v>
      </c>
      <c r="B8183" t="s">
        <v>40</v>
      </c>
      <c r="C8183" t="s">
        <v>129</v>
      </c>
      <c r="D8183" t="s">
        <v>130</v>
      </c>
      <c r="E8183">
        <v>1982</v>
      </c>
      <c r="F8183" s="1">
        <v>76</v>
      </c>
      <c r="G8183">
        <v>1980</v>
      </c>
      <c r="H8183">
        <f>AVERAGEIFS(Table1[value],Table1[IndicatorCode],Table1[[#This Row],[IndicatorCode]])</f>
        <v>72.66514008620689</v>
      </c>
      <c r="I8183" cm="1">
        <f t="array" ref="I8183">_xlfn.STDEV.P(IF(Table1[IndicatorCode]=Table1[[#This Row],[IndicatorCode]],Table1[value]))</f>
        <v>6.3409496564024987</v>
      </c>
      <c r="J8183">
        <f>(Table1[[#This Row],[value]] - Table1[[#This Row],[mean]]) / Table1[[#This Row],[std_dev]]</f>
        <v>0.52592436377820473</v>
      </c>
      <c r="K8183">
        <f>AVERAGEIF(Table1[CountryCode],Table1[[#This Row],[CountryCode]],Table1[z-score])</f>
        <v>9.5615861938696506E-2</v>
      </c>
      <c r="L8183" t="e">
        <f>VLOOKUP(Table1[[#This Row],[CountryCode]],[1]!Table1[#All],1,FALSE)</f>
        <v>#REF!</v>
      </c>
    </row>
    <row r="8184" spans="1:12" hidden="1" x14ac:dyDescent="0.3">
      <c r="A8184" t="s">
        <v>39</v>
      </c>
      <c r="B8184" t="s">
        <v>40</v>
      </c>
      <c r="C8184" t="s">
        <v>129</v>
      </c>
      <c r="D8184" t="s">
        <v>130</v>
      </c>
      <c r="E8184">
        <v>1983</v>
      </c>
      <c r="F8184" s="1">
        <v>76</v>
      </c>
      <c r="G8184">
        <v>1980</v>
      </c>
      <c r="H8184">
        <f>AVERAGEIFS(Table1[value],Table1[IndicatorCode],Table1[[#This Row],[IndicatorCode]])</f>
        <v>72.66514008620689</v>
      </c>
      <c r="I8184" cm="1">
        <f t="array" ref="I8184">_xlfn.STDEV.P(IF(Table1[IndicatorCode]=Table1[[#This Row],[IndicatorCode]],Table1[value]))</f>
        <v>6.3409496564024987</v>
      </c>
      <c r="J8184">
        <f>(Table1[[#This Row],[value]] - Table1[[#This Row],[mean]]) / Table1[[#This Row],[std_dev]]</f>
        <v>0.52592436377820473</v>
      </c>
      <c r="K8184">
        <f>AVERAGEIF(Table1[CountryCode],Table1[[#This Row],[CountryCode]],Table1[z-score])</f>
        <v>9.5615861938696506E-2</v>
      </c>
      <c r="L8184" t="e">
        <f>VLOOKUP(Table1[[#This Row],[CountryCode]],[1]!Table1[#All],1,FALSE)</f>
        <v>#REF!</v>
      </c>
    </row>
    <row r="8185" spans="1:12" hidden="1" x14ac:dyDescent="0.3">
      <c r="A8185" t="s">
        <v>39</v>
      </c>
      <c r="B8185" t="s">
        <v>40</v>
      </c>
      <c r="C8185" t="s">
        <v>129</v>
      </c>
      <c r="D8185" t="s">
        <v>130</v>
      </c>
      <c r="E8185">
        <v>1984</v>
      </c>
      <c r="F8185" s="1">
        <v>76</v>
      </c>
      <c r="G8185">
        <v>1980</v>
      </c>
      <c r="H8185">
        <f>AVERAGEIFS(Table1[value],Table1[IndicatorCode],Table1[[#This Row],[IndicatorCode]])</f>
        <v>72.66514008620689</v>
      </c>
      <c r="I8185" cm="1">
        <f t="array" ref="I8185">_xlfn.STDEV.P(IF(Table1[IndicatorCode]=Table1[[#This Row],[IndicatorCode]],Table1[value]))</f>
        <v>6.3409496564024987</v>
      </c>
      <c r="J8185">
        <f>(Table1[[#This Row],[value]] - Table1[[#This Row],[mean]]) / Table1[[#This Row],[std_dev]]</f>
        <v>0.52592436377820473</v>
      </c>
      <c r="K8185">
        <f>AVERAGEIF(Table1[CountryCode],Table1[[#This Row],[CountryCode]],Table1[z-score])</f>
        <v>9.5615861938696506E-2</v>
      </c>
      <c r="L8185" t="e">
        <f>VLOOKUP(Table1[[#This Row],[CountryCode]],[1]!Table1[#All],1,FALSE)</f>
        <v>#REF!</v>
      </c>
    </row>
    <row r="8186" spans="1:12" hidden="1" x14ac:dyDescent="0.3">
      <c r="A8186" t="s">
        <v>39</v>
      </c>
      <c r="B8186" t="s">
        <v>40</v>
      </c>
      <c r="C8186" t="s">
        <v>129</v>
      </c>
      <c r="D8186" t="s">
        <v>130</v>
      </c>
      <c r="E8186">
        <v>1985</v>
      </c>
      <c r="F8186" s="1">
        <v>76</v>
      </c>
      <c r="G8186">
        <v>1980</v>
      </c>
      <c r="H8186">
        <f>AVERAGEIFS(Table1[value],Table1[IndicatorCode],Table1[[#This Row],[IndicatorCode]])</f>
        <v>72.66514008620689</v>
      </c>
      <c r="I8186" cm="1">
        <f t="array" ref="I8186">_xlfn.STDEV.P(IF(Table1[IndicatorCode]=Table1[[#This Row],[IndicatorCode]],Table1[value]))</f>
        <v>6.3409496564024987</v>
      </c>
      <c r="J8186">
        <f>(Table1[[#This Row],[value]] - Table1[[#This Row],[mean]]) / Table1[[#This Row],[std_dev]]</f>
        <v>0.52592436377820473</v>
      </c>
      <c r="K8186">
        <f>AVERAGEIF(Table1[CountryCode],Table1[[#This Row],[CountryCode]],Table1[z-score])</f>
        <v>9.5615861938696506E-2</v>
      </c>
      <c r="L8186" t="e">
        <f>VLOOKUP(Table1[[#This Row],[CountryCode]],[1]!Table1[#All],1,FALSE)</f>
        <v>#REF!</v>
      </c>
    </row>
    <row r="8187" spans="1:12" hidden="1" x14ac:dyDescent="0.3">
      <c r="A8187" t="s">
        <v>39</v>
      </c>
      <c r="B8187" t="s">
        <v>40</v>
      </c>
      <c r="C8187" t="s">
        <v>129</v>
      </c>
      <c r="D8187" t="s">
        <v>130</v>
      </c>
      <c r="E8187">
        <v>1986</v>
      </c>
      <c r="F8187" s="1">
        <v>77</v>
      </c>
      <c r="G8187">
        <v>1980</v>
      </c>
      <c r="H8187">
        <f>AVERAGEIFS(Table1[value],Table1[IndicatorCode],Table1[[#This Row],[IndicatorCode]])</f>
        <v>72.66514008620689</v>
      </c>
      <c r="I8187" cm="1">
        <f t="array" ref="I8187">_xlfn.STDEV.P(IF(Table1[IndicatorCode]=Table1[[#This Row],[IndicatorCode]],Table1[value]))</f>
        <v>6.3409496564024987</v>
      </c>
      <c r="J8187">
        <f>(Table1[[#This Row],[value]] - Table1[[#This Row],[mean]]) / Table1[[#This Row],[std_dev]]</f>
        <v>0.68362944806164383</v>
      </c>
      <c r="K8187">
        <f>AVERAGEIF(Table1[CountryCode],Table1[[#This Row],[CountryCode]],Table1[z-score])</f>
        <v>9.5615861938696506E-2</v>
      </c>
      <c r="L8187" t="e">
        <f>VLOOKUP(Table1[[#This Row],[CountryCode]],[1]!Table1[#All],1,FALSE)</f>
        <v>#REF!</v>
      </c>
    </row>
    <row r="8188" spans="1:12" hidden="1" x14ac:dyDescent="0.3">
      <c r="A8188" t="s">
        <v>39</v>
      </c>
      <c r="B8188" t="s">
        <v>40</v>
      </c>
      <c r="C8188" t="s">
        <v>129</v>
      </c>
      <c r="D8188" t="s">
        <v>130</v>
      </c>
      <c r="E8188">
        <v>1987</v>
      </c>
      <c r="F8188" s="1">
        <v>77</v>
      </c>
      <c r="G8188">
        <v>1990</v>
      </c>
      <c r="H8188">
        <f>AVERAGEIFS(Table1[value],Table1[IndicatorCode],Table1[[#This Row],[IndicatorCode]])</f>
        <v>72.66514008620689</v>
      </c>
      <c r="I8188" cm="1">
        <f t="array" ref="I8188">_xlfn.STDEV.P(IF(Table1[IndicatorCode]=Table1[[#This Row],[IndicatorCode]],Table1[value]))</f>
        <v>6.3409496564024987</v>
      </c>
      <c r="J8188">
        <f>(Table1[[#This Row],[value]] - Table1[[#This Row],[mean]]) / Table1[[#This Row],[std_dev]]</f>
        <v>0.68362944806164383</v>
      </c>
      <c r="K8188">
        <f>AVERAGEIF(Table1[CountryCode],Table1[[#This Row],[CountryCode]],Table1[z-score])</f>
        <v>9.5615861938696506E-2</v>
      </c>
      <c r="L8188" t="e">
        <f>VLOOKUP(Table1[[#This Row],[CountryCode]],[1]!Table1[#All],1,FALSE)</f>
        <v>#REF!</v>
      </c>
    </row>
    <row r="8189" spans="1:12" hidden="1" x14ac:dyDescent="0.3">
      <c r="A8189" t="s">
        <v>39</v>
      </c>
      <c r="B8189" t="s">
        <v>40</v>
      </c>
      <c r="C8189" t="s">
        <v>129</v>
      </c>
      <c r="D8189" t="s">
        <v>130</v>
      </c>
      <c r="E8189">
        <v>1988</v>
      </c>
      <c r="F8189" s="1">
        <v>77</v>
      </c>
      <c r="G8189">
        <v>1990</v>
      </c>
      <c r="H8189">
        <f>AVERAGEIFS(Table1[value],Table1[IndicatorCode],Table1[[#This Row],[IndicatorCode]])</f>
        <v>72.66514008620689</v>
      </c>
      <c r="I8189" cm="1">
        <f t="array" ref="I8189">_xlfn.STDEV.P(IF(Table1[IndicatorCode]=Table1[[#This Row],[IndicatorCode]],Table1[value]))</f>
        <v>6.3409496564024987</v>
      </c>
      <c r="J8189">
        <f>(Table1[[#This Row],[value]] - Table1[[#This Row],[mean]]) / Table1[[#This Row],[std_dev]]</f>
        <v>0.68362944806164383</v>
      </c>
      <c r="K8189">
        <f>AVERAGEIF(Table1[CountryCode],Table1[[#This Row],[CountryCode]],Table1[z-score])</f>
        <v>9.5615861938696506E-2</v>
      </c>
      <c r="L8189" t="e">
        <f>VLOOKUP(Table1[[#This Row],[CountryCode]],[1]!Table1[#All],1,FALSE)</f>
        <v>#REF!</v>
      </c>
    </row>
    <row r="8190" spans="1:12" hidden="1" x14ac:dyDescent="0.3">
      <c r="A8190" t="s">
        <v>39</v>
      </c>
      <c r="B8190" t="s">
        <v>40</v>
      </c>
      <c r="C8190" t="s">
        <v>129</v>
      </c>
      <c r="D8190" t="s">
        <v>130</v>
      </c>
      <c r="E8190">
        <v>1989</v>
      </c>
      <c r="F8190" s="1">
        <v>77</v>
      </c>
      <c r="G8190">
        <v>1990</v>
      </c>
      <c r="H8190">
        <f>AVERAGEIFS(Table1[value],Table1[IndicatorCode],Table1[[#This Row],[IndicatorCode]])</f>
        <v>72.66514008620689</v>
      </c>
      <c r="I8190" cm="1">
        <f t="array" ref="I8190">_xlfn.STDEV.P(IF(Table1[IndicatorCode]=Table1[[#This Row],[IndicatorCode]],Table1[value]))</f>
        <v>6.3409496564024987</v>
      </c>
      <c r="J8190">
        <f>(Table1[[#This Row],[value]] - Table1[[#This Row],[mean]]) / Table1[[#This Row],[std_dev]]</f>
        <v>0.68362944806164383</v>
      </c>
      <c r="K8190">
        <f>AVERAGEIF(Table1[CountryCode],Table1[[#This Row],[CountryCode]],Table1[z-score])</f>
        <v>9.5615861938696506E-2</v>
      </c>
      <c r="L8190" t="e">
        <f>VLOOKUP(Table1[[#This Row],[CountryCode]],[1]!Table1[#All],1,FALSE)</f>
        <v>#REF!</v>
      </c>
    </row>
    <row r="8191" spans="1:12" hidden="1" x14ac:dyDescent="0.3">
      <c r="A8191" t="s">
        <v>39</v>
      </c>
      <c r="B8191" t="s">
        <v>40</v>
      </c>
      <c r="C8191" t="s">
        <v>129</v>
      </c>
      <c r="D8191" t="s">
        <v>130</v>
      </c>
      <c r="E8191">
        <v>1990</v>
      </c>
      <c r="F8191" s="1">
        <v>77</v>
      </c>
      <c r="G8191">
        <v>1990</v>
      </c>
      <c r="H8191">
        <f>AVERAGEIFS(Table1[value],Table1[IndicatorCode],Table1[[#This Row],[IndicatorCode]])</f>
        <v>72.66514008620689</v>
      </c>
      <c r="I8191" cm="1">
        <f t="array" ref="I8191">_xlfn.STDEV.P(IF(Table1[IndicatorCode]=Table1[[#This Row],[IndicatorCode]],Table1[value]))</f>
        <v>6.3409496564024987</v>
      </c>
      <c r="J8191">
        <f>(Table1[[#This Row],[value]] - Table1[[#This Row],[mean]]) / Table1[[#This Row],[std_dev]]</f>
        <v>0.68362944806164383</v>
      </c>
      <c r="K8191">
        <f>AVERAGEIF(Table1[CountryCode],Table1[[#This Row],[CountryCode]],Table1[z-score])</f>
        <v>9.5615861938696506E-2</v>
      </c>
      <c r="L8191" t="e">
        <f>VLOOKUP(Table1[[#This Row],[CountryCode]],[1]!Table1[#All],1,FALSE)</f>
        <v>#REF!</v>
      </c>
    </row>
    <row r="8192" spans="1:12" hidden="1" x14ac:dyDescent="0.3">
      <c r="A8192" t="s">
        <v>39</v>
      </c>
      <c r="B8192" t="s">
        <v>40</v>
      </c>
      <c r="C8192" t="s">
        <v>129</v>
      </c>
      <c r="D8192" t="s">
        <v>130</v>
      </c>
      <c r="E8192">
        <v>1991</v>
      </c>
      <c r="F8192" s="1">
        <v>77</v>
      </c>
      <c r="G8192">
        <v>1990</v>
      </c>
      <c r="H8192">
        <f>AVERAGEIFS(Table1[value],Table1[IndicatorCode],Table1[[#This Row],[IndicatorCode]])</f>
        <v>72.66514008620689</v>
      </c>
      <c r="I8192" cm="1">
        <f t="array" ref="I8192">_xlfn.STDEV.P(IF(Table1[IndicatorCode]=Table1[[#This Row],[IndicatorCode]],Table1[value]))</f>
        <v>6.3409496564024987</v>
      </c>
      <c r="J8192">
        <f>(Table1[[#This Row],[value]] - Table1[[#This Row],[mean]]) / Table1[[#This Row],[std_dev]]</f>
        <v>0.68362944806164383</v>
      </c>
      <c r="K8192">
        <f>AVERAGEIF(Table1[CountryCode],Table1[[#This Row],[CountryCode]],Table1[z-score])</f>
        <v>9.5615861938696506E-2</v>
      </c>
      <c r="L8192" t="e">
        <f>VLOOKUP(Table1[[#This Row],[CountryCode]],[1]!Table1[#All],1,FALSE)</f>
        <v>#REF!</v>
      </c>
    </row>
    <row r="8193" spans="1:12" hidden="1" x14ac:dyDescent="0.3">
      <c r="A8193" t="s">
        <v>39</v>
      </c>
      <c r="B8193" t="s">
        <v>40</v>
      </c>
      <c r="C8193" t="s">
        <v>129</v>
      </c>
      <c r="D8193" t="s">
        <v>130</v>
      </c>
      <c r="E8193">
        <v>1992</v>
      </c>
      <c r="F8193" s="1">
        <v>77</v>
      </c>
      <c r="G8193">
        <v>1990</v>
      </c>
      <c r="H8193">
        <f>AVERAGEIFS(Table1[value],Table1[IndicatorCode],Table1[[#This Row],[IndicatorCode]])</f>
        <v>72.66514008620689</v>
      </c>
      <c r="I8193" cm="1">
        <f t="array" ref="I8193">_xlfn.STDEV.P(IF(Table1[IndicatorCode]=Table1[[#This Row],[IndicatorCode]],Table1[value]))</f>
        <v>6.3409496564024987</v>
      </c>
      <c r="J8193">
        <f>(Table1[[#This Row],[value]] - Table1[[#This Row],[mean]]) / Table1[[#This Row],[std_dev]]</f>
        <v>0.68362944806164383</v>
      </c>
      <c r="K8193">
        <f>AVERAGEIF(Table1[CountryCode],Table1[[#This Row],[CountryCode]],Table1[z-score])</f>
        <v>9.5615861938696506E-2</v>
      </c>
      <c r="L8193" t="e">
        <f>VLOOKUP(Table1[[#This Row],[CountryCode]],[1]!Table1[#All],1,FALSE)</f>
        <v>#REF!</v>
      </c>
    </row>
    <row r="8194" spans="1:12" hidden="1" x14ac:dyDescent="0.3">
      <c r="A8194" t="s">
        <v>39</v>
      </c>
      <c r="B8194" t="s">
        <v>40</v>
      </c>
      <c r="C8194" t="s">
        <v>129</v>
      </c>
      <c r="D8194" t="s">
        <v>130</v>
      </c>
      <c r="E8194">
        <v>1993</v>
      </c>
      <c r="F8194" s="1">
        <v>78</v>
      </c>
      <c r="G8194">
        <v>1990</v>
      </c>
      <c r="H8194">
        <f>AVERAGEIFS(Table1[value],Table1[IndicatorCode],Table1[[#This Row],[IndicatorCode]])</f>
        <v>72.66514008620689</v>
      </c>
      <c r="I8194" cm="1">
        <f t="array" ref="I8194">_xlfn.STDEV.P(IF(Table1[IndicatorCode]=Table1[[#This Row],[IndicatorCode]],Table1[value]))</f>
        <v>6.3409496564024987</v>
      </c>
      <c r="J8194">
        <f>(Table1[[#This Row],[value]] - Table1[[#This Row],[mean]]) / Table1[[#This Row],[std_dev]]</f>
        <v>0.84133453234508293</v>
      </c>
      <c r="K8194">
        <f>AVERAGEIF(Table1[CountryCode],Table1[[#This Row],[CountryCode]],Table1[z-score])</f>
        <v>9.5615861938696506E-2</v>
      </c>
      <c r="L8194" t="e">
        <f>VLOOKUP(Table1[[#This Row],[CountryCode]],[1]!Table1[#All],1,FALSE)</f>
        <v>#REF!</v>
      </c>
    </row>
    <row r="8195" spans="1:12" hidden="1" x14ac:dyDescent="0.3">
      <c r="A8195" t="s">
        <v>39</v>
      </c>
      <c r="B8195" t="s">
        <v>40</v>
      </c>
      <c r="C8195" t="s">
        <v>129</v>
      </c>
      <c r="D8195" t="s">
        <v>130</v>
      </c>
      <c r="E8195">
        <v>1994</v>
      </c>
      <c r="F8195" s="1">
        <v>78</v>
      </c>
      <c r="G8195">
        <v>1990</v>
      </c>
      <c r="H8195">
        <f>AVERAGEIFS(Table1[value],Table1[IndicatorCode],Table1[[#This Row],[IndicatorCode]])</f>
        <v>72.66514008620689</v>
      </c>
      <c r="I8195" cm="1">
        <f t="array" ref="I8195">_xlfn.STDEV.P(IF(Table1[IndicatorCode]=Table1[[#This Row],[IndicatorCode]],Table1[value]))</f>
        <v>6.3409496564024987</v>
      </c>
      <c r="J8195">
        <f>(Table1[[#This Row],[value]] - Table1[[#This Row],[mean]]) / Table1[[#This Row],[std_dev]]</f>
        <v>0.84133453234508293</v>
      </c>
      <c r="K8195">
        <f>AVERAGEIF(Table1[CountryCode],Table1[[#This Row],[CountryCode]],Table1[z-score])</f>
        <v>9.5615861938696506E-2</v>
      </c>
      <c r="L8195" t="e">
        <f>VLOOKUP(Table1[[#This Row],[CountryCode]],[1]!Table1[#All],1,FALSE)</f>
        <v>#REF!</v>
      </c>
    </row>
    <row r="8196" spans="1:12" hidden="1" x14ac:dyDescent="0.3">
      <c r="A8196" t="s">
        <v>39</v>
      </c>
      <c r="B8196" t="s">
        <v>40</v>
      </c>
      <c r="C8196" t="s">
        <v>129</v>
      </c>
      <c r="D8196" t="s">
        <v>130</v>
      </c>
      <c r="E8196">
        <v>1995</v>
      </c>
      <c r="F8196" s="1">
        <v>78</v>
      </c>
      <c r="G8196">
        <v>1990</v>
      </c>
      <c r="H8196">
        <f>AVERAGEIFS(Table1[value],Table1[IndicatorCode],Table1[[#This Row],[IndicatorCode]])</f>
        <v>72.66514008620689</v>
      </c>
      <c r="I8196" cm="1">
        <f t="array" ref="I8196">_xlfn.STDEV.P(IF(Table1[IndicatorCode]=Table1[[#This Row],[IndicatorCode]],Table1[value]))</f>
        <v>6.3409496564024987</v>
      </c>
      <c r="J8196">
        <f>(Table1[[#This Row],[value]] - Table1[[#This Row],[mean]]) / Table1[[#This Row],[std_dev]]</f>
        <v>0.84133453234508293</v>
      </c>
      <c r="K8196">
        <f>AVERAGEIF(Table1[CountryCode],Table1[[#This Row],[CountryCode]],Table1[z-score])</f>
        <v>9.5615861938696506E-2</v>
      </c>
      <c r="L8196" t="e">
        <f>VLOOKUP(Table1[[#This Row],[CountryCode]],[1]!Table1[#All],1,FALSE)</f>
        <v>#REF!</v>
      </c>
    </row>
    <row r="8197" spans="1:12" hidden="1" x14ac:dyDescent="0.3">
      <c r="A8197" t="s">
        <v>39</v>
      </c>
      <c r="B8197" t="s">
        <v>40</v>
      </c>
      <c r="C8197" t="s">
        <v>129</v>
      </c>
      <c r="D8197" t="s">
        <v>130</v>
      </c>
      <c r="E8197">
        <v>1996</v>
      </c>
      <c r="F8197" s="1">
        <v>78</v>
      </c>
      <c r="G8197">
        <v>1990</v>
      </c>
      <c r="H8197">
        <f>AVERAGEIFS(Table1[value],Table1[IndicatorCode],Table1[[#This Row],[IndicatorCode]])</f>
        <v>72.66514008620689</v>
      </c>
      <c r="I8197" cm="1">
        <f t="array" ref="I8197">_xlfn.STDEV.P(IF(Table1[IndicatorCode]=Table1[[#This Row],[IndicatorCode]],Table1[value]))</f>
        <v>6.3409496564024987</v>
      </c>
      <c r="J8197">
        <f>(Table1[[#This Row],[value]] - Table1[[#This Row],[mean]]) / Table1[[#This Row],[std_dev]]</f>
        <v>0.84133453234508293</v>
      </c>
      <c r="K8197">
        <f>AVERAGEIF(Table1[CountryCode],Table1[[#This Row],[CountryCode]],Table1[z-score])</f>
        <v>9.5615861938696506E-2</v>
      </c>
      <c r="L8197" t="e">
        <f>VLOOKUP(Table1[[#This Row],[CountryCode]],[1]!Table1[#All],1,FALSE)</f>
        <v>#REF!</v>
      </c>
    </row>
    <row r="8198" spans="1:12" hidden="1" x14ac:dyDescent="0.3">
      <c r="A8198" t="s">
        <v>39</v>
      </c>
      <c r="B8198" t="s">
        <v>40</v>
      </c>
      <c r="C8198" t="s">
        <v>129</v>
      </c>
      <c r="D8198" t="s">
        <v>130</v>
      </c>
      <c r="E8198">
        <v>1997</v>
      </c>
      <c r="F8198" s="1">
        <v>79</v>
      </c>
      <c r="G8198">
        <v>2000</v>
      </c>
      <c r="H8198">
        <f>AVERAGEIFS(Table1[value],Table1[IndicatorCode],Table1[[#This Row],[IndicatorCode]])</f>
        <v>72.66514008620689</v>
      </c>
      <c r="I8198" cm="1">
        <f t="array" ref="I8198">_xlfn.STDEV.P(IF(Table1[IndicatorCode]=Table1[[#This Row],[IndicatorCode]],Table1[value]))</f>
        <v>6.3409496564024987</v>
      </c>
      <c r="J8198">
        <f>(Table1[[#This Row],[value]] - Table1[[#This Row],[mean]]) / Table1[[#This Row],[std_dev]]</f>
        <v>0.99903961662852192</v>
      </c>
      <c r="K8198">
        <f>AVERAGEIF(Table1[CountryCode],Table1[[#This Row],[CountryCode]],Table1[z-score])</f>
        <v>9.5615861938696506E-2</v>
      </c>
      <c r="L8198" t="e">
        <f>VLOOKUP(Table1[[#This Row],[CountryCode]],[1]!Table1[#All],1,FALSE)</f>
        <v>#REF!</v>
      </c>
    </row>
    <row r="8199" spans="1:12" hidden="1" x14ac:dyDescent="0.3">
      <c r="A8199" t="s">
        <v>39</v>
      </c>
      <c r="B8199" t="s">
        <v>40</v>
      </c>
      <c r="C8199" t="s">
        <v>129</v>
      </c>
      <c r="D8199" t="s">
        <v>130</v>
      </c>
      <c r="E8199">
        <v>1998</v>
      </c>
      <c r="F8199" s="1">
        <v>79</v>
      </c>
      <c r="G8199">
        <v>2000</v>
      </c>
      <c r="H8199">
        <f>AVERAGEIFS(Table1[value],Table1[IndicatorCode],Table1[[#This Row],[IndicatorCode]])</f>
        <v>72.66514008620689</v>
      </c>
      <c r="I8199" cm="1">
        <f t="array" ref="I8199">_xlfn.STDEV.P(IF(Table1[IndicatorCode]=Table1[[#This Row],[IndicatorCode]],Table1[value]))</f>
        <v>6.3409496564024987</v>
      </c>
      <c r="J8199">
        <f>(Table1[[#This Row],[value]] - Table1[[#This Row],[mean]]) / Table1[[#This Row],[std_dev]]</f>
        <v>0.99903961662852192</v>
      </c>
      <c r="K8199">
        <f>AVERAGEIF(Table1[CountryCode],Table1[[#This Row],[CountryCode]],Table1[z-score])</f>
        <v>9.5615861938696506E-2</v>
      </c>
      <c r="L8199" t="e">
        <f>VLOOKUP(Table1[[#This Row],[CountryCode]],[1]!Table1[#All],1,FALSE)</f>
        <v>#REF!</v>
      </c>
    </row>
    <row r="8200" spans="1:12" hidden="1" x14ac:dyDescent="0.3">
      <c r="A8200" t="s">
        <v>39</v>
      </c>
      <c r="B8200" t="s">
        <v>40</v>
      </c>
      <c r="C8200" t="s">
        <v>129</v>
      </c>
      <c r="D8200" t="s">
        <v>130</v>
      </c>
      <c r="E8200">
        <v>1999</v>
      </c>
      <c r="F8200" s="1">
        <v>79</v>
      </c>
      <c r="G8200">
        <v>2000</v>
      </c>
      <c r="H8200">
        <f>AVERAGEIFS(Table1[value],Table1[IndicatorCode],Table1[[#This Row],[IndicatorCode]])</f>
        <v>72.66514008620689</v>
      </c>
      <c r="I8200" cm="1">
        <f t="array" ref="I8200">_xlfn.STDEV.P(IF(Table1[IndicatorCode]=Table1[[#This Row],[IndicatorCode]],Table1[value]))</f>
        <v>6.3409496564024987</v>
      </c>
      <c r="J8200">
        <f>(Table1[[#This Row],[value]] - Table1[[#This Row],[mean]]) / Table1[[#This Row],[std_dev]]</f>
        <v>0.99903961662852192</v>
      </c>
      <c r="K8200">
        <f>AVERAGEIF(Table1[CountryCode],Table1[[#This Row],[CountryCode]],Table1[z-score])</f>
        <v>9.5615861938696506E-2</v>
      </c>
      <c r="L8200" t="e">
        <f>VLOOKUP(Table1[[#This Row],[CountryCode]],[1]!Table1[#All],1,FALSE)</f>
        <v>#REF!</v>
      </c>
    </row>
    <row r="8201" spans="1:12" hidden="1" x14ac:dyDescent="0.3">
      <c r="A8201" t="s">
        <v>39</v>
      </c>
      <c r="B8201" t="s">
        <v>40</v>
      </c>
      <c r="C8201" t="s">
        <v>129</v>
      </c>
      <c r="D8201" t="s">
        <v>130</v>
      </c>
      <c r="E8201">
        <v>2000</v>
      </c>
      <c r="F8201" s="1">
        <v>79</v>
      </c>
      <c r="G8201">
        <v>2000</v>
      </c>
      <c r="H8201">
        <f>AVERAGEIFS(Table1[value],Table1[IndicatorCode],Table1[[#This Row],[IndicatorCode]])</f>
        <v>72.66514008620689</v>
      </c>
      <c r="I8201" cm="1">
        <f t="array" ref="I8201">_xlfn.STDEV.P(IF(Table1[IndicatorCode]=Table1[[#This Row],[IndicatorCode]],Table1[value]))</f>
        <v>6.3409496564024987</v>
      </c>
      <c r="J8201">
        <f>(Table1[[#This Row],[value]] - Table1[[#This Row],[mean]]) / Table1[[#This Row],[std_dev]]</f>
        <v>0.99903961662852192</v>
      </c>
      <c r="K8201">
        <f>AVERAGEIF(Table1[CountryCode],Table1[[#This Row],[CountryCode]],Table1[z-score])</f>
        <v>9.5615861938696506E-2</v>
      </c>
      <c r="L8201" t="e">
        <f>VLOOKUP(Table1[[#This Row],[CountryCode]],[1]!Table1[#All],1,FALSE)</f>
        <v>#REF!</v>
      </c>
    </row>
    <row r="8202" spans="1:12" hidden="1" x14ac:dyDescent="0.3">
      <c r="A8202" t="s">
        <v>39</v>
      </c>
      <c r="B8202" t="s">
        <v>40</v>
      </c>
      <c r="C8202" t="s">
        <v>129</v>
      </c>
      <c r="D8202" t="s">
        <v>130</v>
      </c>
      <c r="E8202">
        <v>2001</v>
      </c>
      <c r="F8202" s="1">
        <v>79</v>
      </c>
      <c r="G8202">
        <v>2000</v>
      </c>
      <c r="H8202">
        <f>AVERAGEIFS(Table1[value],Table1[IndicatorCode],Table1[[#This Row],[IndicatorCode]])</f>
        <v>72.66514008620689</v>
      </c>
      <c r="I8202" cm="1">
        <f t="array" ref="I8202">_xlfn.STDEV.P(IF(Table1[IndicatorCode]=Table1[[#This Row],[IndicatorCode]],Table1[value]))</f>
        <v>6.3409496564024987</v>
      </c>
      <c r="J8202">
        <f>(Table1[[#This Row],[value]] - Table1[[#This Row],[mean]]) / Table1[[#This Row],[std_dev]]</f>
        <v>0.99903961662852192</v>
      </c>
      <c r="K8202">
        <f>AVERAGEIF(Table1[CountryCode],Table1[[#This Row],[CountryCode]],Table1[z-score])</f>
        <v>9.5615861938696506E-2</v>
      </c>
      <c r="L8202" t="e">
        <f>VLOOKUP(Table1[[#This Row],[CountryCode]],[1]!Table1[#All],1,FALSE)</f>
        <v>#REF!</v>
      </c>
    </row>
    <row r="8203" spans="1:12" hidden="1" x14ac:dyDescent="0.3">
      <c r="A8203" t="s">
        <v>39</v>
      </c>
      <c r="B8203" t="s">
        <v>40</v>
      </c>
      <c r="C8203" t="s">
        <v>129</v>
      </c>
      <c r="D8203" t="s">
        <v>130</v>
      </c>
      <c r="E8203">
        <v>2002</v>
      </c>
      <c r="F8203" s="1">
        <v>80</v>
      </c>
      <c r="G8203">
        <v>2000</v>
      </c>
      <c r="H8203">
        <f>AVERAGEIFS(Table1[value],Table1[IndicatorCode],Table1[[#This Row],[IndicatorCode]])</f>
        <v>72.66514008620689</v>
      </c>
      <c r="I8203" cm="1">
        <f t="array" ref="I8203">_xlfn.STDEV.P(IF(Table1[IndicatorCode]=Table1[[#This Row],[IndicatorCode]],Table1[value]))</f>
        <v>6.3409496564024987</v>
      </c>
      <c r="J8203">
        <f>(Table1[[#This Row],[value]] - Table1[[#This Row],[mean]]) / Table1[[#This Row],[std_dev]]</f>
        <v>1.1567447009119609</v>
      </c>
      <c r="K8203">
        <f>AVERAGEIF(Table1[CountryCode],Table1[[#This Row],[CountryCode]],Table1[z-score])</f>
        <v>9.5615861938696506E-2</v>
      </c>
      <c r="L8203" t="e">
        <f>VLOOKUP(Table1[[#This Row],[CountryCode]],[1]!Table1[#All],1,FALSE)</f>
        <v>#REF!</v>
      </c>
    </row>
    <row r="8204" spans="1:12" hidden="1" x14ac:dyDescent="0.3">
      <c r="A8204" t="s">
        <v>39</v>
      </c>
      <c r="B8204" t="s">
        <v>40</v>
      </c>
      <c r="C8204" t="s">
        <v>129</v>
      </c>
      <c r="D8204" t="s">
        <v>130</v>
      </c>
      <c r="E8204">
        <v>2003</v>
      </c>
      <c r="F8204" s="1">
        <v>80</v>
      </c>
      <c r="G8204">
        <v>2000</v>
      </c>
      <c r="H8204">
        <f>AVERAGEIFS(Table1[value],Table1[IndicatorCode],Table1[[#This Row],[IndicatorCode]])</f>
        <v>72.66514008620689</v>
      </c>
      <c r="I8204" cm="1">
        <f t="array" ref="I8204">_xlfn.STDEV.P(IF(Table1[IndicatorCode]=Table1[[#This Row],[IndicatorCode]],Table1[value]))</f>
        <v>6.3409496564024987</v>
      </c>
      <c r="J8204">
        <f>(Table1[[#This Row],[value]] - Table1[[#This Row],[mean]]) / Table1[[#This Row],[std_dev]]</f>
        <v>1.1567447009119609</v>
      </c>
      <c r="K8204">
        <f>AVERAGEIF(Table1[CountryCode],Table1[[#This Row],[CountryCode]],Table1[z-score])</f>
        <v>9.5615861938696506E-2</v>
      </c>
      <c r="L8204" t="e">
        <f>VLOOKUP(Table1[[#This Row],[CountryCode]],[1]!Table1[#All],1,FALSE)</f>
        <v>#REF!</v>
      </c>
    </row>
    <row r="8205" spans="1:12" hidden="1" x14ac:dyDescent="0.3">
      <c r="A8205" t="s">
        <v>39</v>
      </c>
      <c r="B8205" t="s">
        <v>40</v>
      </c>
      <c r="C8205" t="s">
        <v>129</v>
      </c>
      <c r="D8205" t="s">
        <v>130</v>
      </c>
      <c r="E8205">
        <v>2004</v>
      </c>
      <c r="F8205" s="1">
        <v>80</v>
      </c>
      <c r="G8205">
        <v>2000</v>
      </c>
      <c r="H8205">
        <f>AVERAGEIFS(Table1[value],Table1[IndicatorCode],Table1[[#This Row],[IndicatorCode]])</f>
        <v>72.66514008620689</v>
      </c>
      <c r="I8205" cm="1">
        <f t="array" ref="I8205">_xlfn.STDEV.P(IF(Table1[IndicatorCode]=Table1[[#This Row],[IndicatorCode]],Table1[value]))</f>
        <v>6.3409496564024987</v>
      </c>
      <c r="J8205">
        <f>(Table1[[#This Row],[value]] - Table1[[#This Row],[mean]]) / Table1[[#This Row],[std_dev]]</f>
        <v>1.1567447009119609</v>
      </c>
      <c r="K8205">
        <f>AVERAGEIF(Table1[CountryCode],Table1[[#This Row],[CountryCode]],Table1[z-score])</f>
        <v>9.5615861938696506E-2</v>
      </c>
      <c r="L8205" t="e">
        <f>VLOOKUP(Table1[[#This Row],[CountryCode]],[1]!Table1[#All],1,FALSE)</f>
        <v>#REF!</v>
      </c>
    </row>
    <row r="8206" spans="1:12" hidden="1" x14ac:dyDescent="0.3">
      <c r="A8206" t="s">
        <v>39</v>
      </c>
      <c r="B8206" t="s">
        <v>40</v>
      </c>
      <c r="C8206" t="s">
        <v>129</v>
      </c>
      <c r="D8206" t="s">
        <v>130</v>
      </c>
      <c r="E8206">
        <v>2005</v>
      </c>
      <c r="F8206" s="1">
        <v>80</v>
      </c>
      <c r="G8206">
        <v>2000</v>
      </c>
      <c r="H8206">
        <f>AVERAGEIFS(Table1[value],Table1[IndicatorCode],Table1[[#This Row],[IndicatorCode]])</f>
        <v>72.66514008620689</v>
      </c>
      <c r="I8206" cm="1">
        <f t="array" ref="I8206">_xlfn.STDEV.P(IF(Table1[IndicatorCode]=Table1[[#This Row],[IndicatorCode]],Table1[value]))</f>
        <v>6.3409496564024987</v>
      </c>
      <c r="J8206">
        <f>(Table1[[#This Row],[value]] - Table1[[#This Row],[mean]]) / Table1[[#This Row],[std_dev]]</f>
        <v>1.1567447009119609</v>
      </c>
      <c r="K8206">
        <f>AVERAGEIF(Table1[CountryCode],Table1[[#This Row],[CountryCode]],Table1[z-score])</f>
        <v>9.5615861938696506E-2</v>
      </c>
      <c r="L8206" t="e">
        <f>VLOOKUP(Table1[[#This Row],[CountryCode]],[1]!Table1[#All],1,FALSE)</f>
        <v>#REF!</v>
      </c>
    </row>
    <row r="8207" spans="1:12" hidden="1" x14ac:dyDescent="0.3">
      <c r="A8207" t="s">
        <v>39</v>
      </c>
      <c r="B8207" t="s">
        <v>40</v>
      </c>
      <c r="C8207" t="s">
        <v>129</v>
      </c>
      <c r="D8207" t="s">
        <v>130</v>
      </c>
      <c r="E8207">
        <v>2006</v>
      </c>
      <c r="F8207" s="1">
        <v>81</v>
      </c>
      <c r="G8207">
        <v>2000</v>
      </c>
      <c r="H8207">
        <f>AVERAGEIFS(Table1[value],Table1[IndicatorCode],Table1[[#This Row],[IndicatorCode]])</f>
        <v>72.66514008620689</v>
      </c>
      <c r="I8207" cm="1">
        <f t="array" ref="I8207">_xlfn.STDEV.P(IF(Table1[IndicatorCode]=Table1[[#This Row],[IndicatorCode]],Table1[value]))</f>
        <v>6.3409496564024987</v>
      </c>
      <c r="J8207">
        <f>(Table1[[#This Row],[value]] - Table1[[#This Row],[mean]]) / Table1[[#This Row],[std_dev]]</f>
        <v>1.3144497851954</v>
      </c>
      <c r="K8207">
        <f>AVERAGEIF(Table1[CountryCode],Table1[[#This Row],[CountryCode]],Table1[z-score])</f>
        <v>9.5615861938696506E-2</v>
      </c>
      <c r="L8207" t="e">
        <f>VLOOKUP(Table1[[#This Row],[CountryCode]],[1]!Table1[#All],1,FALSE)</f>
        <v>#REF!</v>
      </c>
    </row>
    <row r="8208" spans="1:12" hidden="1" x14ac:dyDescent="0.3">
      <c r="A8208" t="s">
        <v>39</v>
      </c>
      <c r="B8208" t="s">
        <v>40</v>
      </c>
      <c r="C8208" t="s">
        <v>129</v>
      </c>
      <c r="D8208" t="s">
        <v>130</v>
      </c>
      <c r="E8208">
        <v>2007</v>
      </c>
      <c r="F8208" s="1">
        <v>81</v>
      </c>
      <c r="G8208">
        <v>2010</v>
      </c>
      <c r="H8208">
        <f>AVERAGEIFS(Table1[value],Table1[IndicatorCode],Table1[[#This Row],[IndicatorCode]])</f>
        <v>72.66514008620689</v>
      </c>
      <c r="I8208" cm="1">
        <f t="array" ref="I8208">_xlfn.STDEV.P(IF(Table1[IndicatorCode]=Table1[[#This Row],[IndicatorCode]],Table1[value]))</f>
        <v>6.3409496564024987</v>
      </c>
      <c r="J8208">
        <f>(Table1[[#This Row],[value]] - Table1[[#This Row],[mean]]) / Table1[[#This Row],[std_dev]]</f>
        <v>1.3144497851954</v>
      </c>
      <c r="K8208">
        <f>AVERAGEIF(Table1[CountryCode],Table1[[#This Row],[CountryCode]],Table1[z-score])</f>
        <v>9.5615861938696506E-2</v>
      </c>
      <c r="L8208" t="e">
        <f>VLOOKUP(Table1[[#This Row],[CountryCode]],[1]!Table1[#All],1,FALSE)</f>
        <v>#REF!</v>
      </c>
    </row>
    <row r="8209" spans="1:12" hidden="1" x14ac:dyDescent="0.3">
      <c r="A8209" t="s">
        <v>39</v>
      </c>
      <c r="B8209" t="s">
        <v>40</v>
      </c>
      <c r="C8209" t="s">
        <v>129</v>
      </c>
      <c r="D8209" t="s">
        <v>130</v>
      </c>
      <c r="E8209">
        <v>2008</v>
      </c>
      <c r="F8209" s="1">
        <v>81</v>
      </c>
      <c r="G8209">
        <v>2010</v>
      </c>
      <c r="H8209">
        <f>AVERAGEIFS(Table1[value],Table1[IndicatorCode],Table1[[#This Row],[IndicatorCode]])</f>
        <v>72.66514008620689</v>
      </c>
      <c r="I8209" cm="1">
        <f t="array" ref="I8209">_xlfn.STDEV.P(IF(Table1[IndicatorCode]=Table1[[#This Row],[IndicatorCode]],Table1[value]))</f>
        <v>6.3409496564024987</v>
      </c>
      <c r="J8209">
        <f>(Table1[[#This Row],[value]] - Table1[[#This Row],[mean]]) / Table1[[#This Row],[std_dev]]</f>
        <v>1.3144497851954</v>
      </c>
      <c r="K8209">
        <f>AVERAGEIF(Table1[CountryCode],Table1[[#This Row],[CountryCode]],Table1[z-score])</f>
        <v>9.5615861938696506E-2</v>
      </c>
      <c r="L8209" t="e">
        <f>VLOOKUP(Table1[[#This Row],[CountryCode]],[1]!Table1[#All],1,FALSE)</f>
        <v>#REF!</v>
      </c>
    </row>
    <row r="8210" spans="1:12" hidden="1" x14ac:dyDescent="0.3">
      <c r="A8210" t="s">
        <v>39</v>
      </c>
      <c r="B8210" t="s">
        <v>40</v>
      </c>
      <c r="C8210" t="s">
        <v>129</v>
      </c>
      <c r="D8210" t="s">
        <v>130</v>
      </c>
      <c r="E8210">
        <v>2009</v>
      </c>
      <c r="F8210" s="1">
        <v>81</v>
      </c>
      <c r="G8210">
        <v>2010</v>
      </c>
      <c r="H8210">
        <f>AVERAGEIFS(Table1[value],Table1[IndicatorCode],Table1[[#This Row],[IndicatorCode]])</f>
        <v>72.66514008620689</v>
      </c>
      <c r="I8210" cm="1">
        <f t="array" ref="I8210">_xlfn.STDEV.P(IF(Table1[IndicatorCode]=Table1[[#This Row],[IndicatorCode]],Table1[value]))</f>
        <v>6.3409496564024987</v>
      </c>
      <c r="J8210">
        <f>(Table1[[#This Row],[value]] - Table1[[#This Row],[mean]]) / Table1[[#This Row],[std_dev]]</f>
        <v>1.3144497851954</v>
      </c>
      <c r="K8210">
        <f>AVERAGEIF(Table1[CountryCode],Table1[[#This Row],[CountryCode]],Table1[z-score])</f>
        <v>9.5615861938696506E-2</v>
      </c>
      <c r="L8210" t="e">
        <f>VLOOKUP(Table1[[#This Row],[CountryCode]],[1]!Table1[#All],1,FALSE)</f>
        <v>#REF!</v>
      </c>
    </row>
    <row r="8211" spans="1:12" hidden="1" x14ac:dyDescent="0.3">
      <c r="A8211" t="s">
        <v>39</v>
      </c>
      <c r="B8211" t="s">
        <v>40</v>
      </c>
      <c r="C8211" t="s">
        <v>129</v>
      </c>
      <c r="D8211" t="s">
        <v>130</v>
      </c>
      <c r="E8211">
        <v>2010</v>
      </c>
      <c r="F8211" s="1">
        <v>82</v>
      </c>
      <c r="G8211">
        <v>2010</v>
      </c>
      <c r="H8211">
        <f>AVERAGEIFS(Table1[value],Table1[IndicatorCode],Table1[[#This Row],[IndicatorCode]])</f>
        <v>72.66514008620689</v>
      </c>
      <c r="I8211" cm="1">
        <f t="array" ref="I8211">_xlfn.STDEV.P(IF(Table1[IndicatorCode]=Table1[[#This Row],[IndicatorCode]],Table1[value]))</f>
        <v>6.3409496564024987</v>
      </c>
      <c r="J8211">
        <f>(Table1[[#This Row],[value]] - Table1[[#This Row],[mean]]) / Table1[[#This Row],[std_dev]]</f>
        <v>1.4721548694788391</v>
      </c>
      <c r="K8211">
        <f>AVERAGEIF(Table1[CountryCode],Table1[[#This Row],[CountryCode]],Table1[z-score])</f>
        <v>9.5615861938696506E-2</v>
      </c>
      <c r="L8211" t="e">
        <f>VLOOKUP(Table1[[#This Row],[CountryCode]],[1]!Table1[#All],1,FALSE)</f>
        <v>#REF!</v>
      </c>
    </row>
    <row r="8212" spans="1:12" hidden="1" x14ac:dyDescent="0.3">
      <c r="A8212" t="s">
        <v>39</v>
      </c>
      <c r="B8212" t="s">
        <v>40</v>
      </c>
      <c r="C8212" t="s">
        <v>129</v>
      </c>
      <c r="D8212" t="s">
        <v>130</v>
      </c>
      <c r="E8212">
        <v>2011</v>
      </c>
      <c r="F8212" s="1">
        <v>82</v>
      </c>
      <c r="G8212">
        <v>2010</v>
      </c>
      <c r="H8212">
        <f>AVERAGEIFS(Table1[value],Table1[IndicatorCode],Table1[[#This Row],[IndicatorCode]])</f>
        <v>72.66514008620689</v>
      </c>
      <c r="I8212" cm="1">
        <f t="array" ref="I8212">_xlfn.STDEV.P(IF(Table1[IndicatorCode]=Table1[[#This Row],[IndicatorCode]],Table1[value]))</f>
        <v>6.3409496564024987</v>
      </c>
      <c r="J8212">
        <f>(Table1[[#This Row],[value]] - Table1[[#This Row],[mean]]) / Table1[[#This Row],[std_dev]]</f>
        <v>1.4721548694788391</v>
      </c>
      <c r="K8212">
        <f>AVERAGEIF(Table1[CountryCode],Table1[[#This Row],[CountryCode]],Table1[z-score])</f>
        <v>9.5615861938696506E-2</v>
      </c>
      <c r="L8212" t="e">
        <f>VLOOKUP(Table1[[#This Row],[CountryCode]],[1]!Table1[#All],1,FALSE)</f>
        <v>#REF!</v>
      </c>
    </row>
    <row r="8213" spans="1:12" hidden="1" x14ac:dyDescent="0.3">
      <c r="A8213" t="s">
        <v>39</v>
      </c>
      <c r="B8213" t="s">
        <v>40</v>
      </c>
      <c r="C8213" t="s">
        <v>129</v>
      </c>
      <c r="D8213" t="s">
        <v>130</v>
      </c>
      <c r="E8213">
        <v>2012</v>
      </c>
      <c r="F8213" s="1">
        <v>82</v>
      </c>
      <c r="G8213">
        <v>2010</v>
      </c>
      <c r="H8213">
        <f>AVERAGEIFS(Table1[value],Table1[IndicatorCode],Table1[[#This Row],[IndicatorCode]])</f>
        <v>72.66514008620689</v>
      </c>
      <c r="I8213" cm="1">
        <f t="array" ref="I8213">_xlfn.STDEV.P(IF(Table1[IndicatorCode]=Table1[[#This Row],[IndicatorCode]],Table1[value]))</f>
        <v>6.3409496564024987</v>
      </c>
      <c r="J8213">
        <f>(Table1[[#This Row],[value]] - Table1[[#This Row],[mean]]) / Table1[[#This Row],[std_dev]]</f>
        <v>1.4721548694788391</v>
      </c>
      <c r="K8213">
        <f>AVERAGEIF(Table1[CountryCode],Table1[[#This Row],[CountryCode]],Table1[z-score])</f>
        <v>9.5615861938696506E-2</v>
      </c>
      <c r="L8213" t="e">
        <f>VLOOKUP(Table1[[#This Row],[CountryCode]],[1]!Table1[#All],1,FALSE)</f>
        <v>#REF!</v>
      </c>
    </row>
    <row r="8214" spans="1:12" hidden="1" x14ac:dyDescent="0.3">
      <c r="A8214" t="s">
        <v>39</v>
      </c>
      <c r="B8214" t="s">
        <v>40</v>
      </c>
      <c r="C8214" t="s">
        <v>129</v>
      </c>
      <c r="D8214" t="s">
        <v>130</v>
      </c>
      <c r="E8214">
        <v>2013</v>
      </c>
      <c r="F8214" s="1">
        <v>83</v>
      </c>
      <c r="G8214">
        <v>2010</v>
      </c>
      <c r="H8214">
        <f>AVERAGEIFS(Table1[value],Table1[IndicatorCode],Table1[[#This Row],[IndicatorCode]])</f>
        <v>72.66514008620689</v>
      </c>
      <c r="I8214" cm="1">
        <f t="array" ref="I8214">_xlfn.STDEV.P(IF(Table1[IndicatorCode]=Table1[[#This Row],[IndicatorCode]],Table1[value]))</f>
        <v>6.3409496564024987</v>
      </c>
      <c r="J8214">
        <f>(Table1[[#This Row],[value]] - Table1[[#This Row],[mean]]) / Table1[[#This Row],[std_dev]]</f>
        <v>1.6298599537622782</v>
      </c>
      <c r="K8214">
        <f>AVERAGEIF(Table1[CountryCode],Table1[[#This Row],[CountryCode]],Table1[z-score])</f>
        <v>9.5615861938696506E-2</v>
      </c>
      <c r="L8214" t="e">
        <f>VLOOKUP(Table1[[#This Row],[CountryCode]],[1]!Table1[#All],1,FALSE)</f>
        <v>#REF!</v>
      </c>
    </row>
    <row r="8215" spans="1:12" hidden="1" x14ac:dyDescent="0.3">
      <c r="A8215" t="s">
        <v>39</v>
      </c>
      <c r="B8215" t="s">
        <v>40</v>
      </c>
      <c r="C8215" t="s">
        <v>129</v>
      </c>
      <c r="D8215" t="s">
        <v>130</v>
      </c>
      <c r="E8215">
        <v>2014</v>
      </c>
      <c r="F8215" s="1">
        <v>83</v>
      </c>
      <c r="G8215">
        <v>2010</v>
      </c>
      <c r="H8215">
        <f>AVERAGEIFS(Table1[value],Table1[IndicatorCode],Table1[[#This Row],[IndicatorCode]])</f>
        <v>72.66514008620689</v>
      </c>
      <c r="I8215" cm="1">
        <f t="array" ref="I8215">_xlfn.STDEV.P(IF(Table1[IndicatorCode]=Table1[[#This Row],[IndicatorCode]],Table1[value]))</f>
        <v>6.3409496564024987</v>
      </c>
      <c r="J8215">
        <f>(Table1[[#This Row],[value]] - Table1[[#This Row],[mean]]) / Table1[[#This Row],[std_dev]]</f>
        <v>1.6298599537622782</v>
      </c>
      <c r="K8215">
        <f>AVERAGEIF(Table1[CountryCode],Table1[[#This Row],[CountryCode]],Table1[z-score])</f>
        <v>9.5615861938696506E-2</v>
      </c>
      <c r="L8215" t="e">
        <f>VLOOKUP(Table1[[#This Row],[CountryCode]],[1]!Table1[#All],1,FALSE)</f>
        <v>#REF!</v>
      </c>
    </row>
    <row r="8216" spans="1:12" hidden="1" x14ac:dyDescent="0.3">
      <c r="A8216" t="s">
        <v>39</v>
      </c>
      <c r="B8216" t="s">
        <v>40</v>
      </c>
      <c r="C8216" t="s">
        <v>129</v>
      </c>
      <c r="D8216" t="s">
        <v>130</v>
      </c>
      <c r="E8216">
        <v>2015</v>
      </c>
      <c r="F8216" s="1">
        <v>83</v>
      </c>
      <c r="G8216">
        <v>2010</v>
      </c>
      <c r="H8216">
        <f>AVERAGEIFS(Table1[value],Table1[IndicatorCode],Table1[[#This Row],[IndicatorCode]])</f>
        <v>72.66514008620689</v>
      </c>
      <c r="I8216" cm="1">
        <f t="array" ref="I8216">_xlfn.STDEV.P(IF(Table1[IndicatorCode]=Table1[[#This Row],[IndicatorCode]],Table1[value]))</f>
        <v>6.3409496564024987</v>
      </c>
      <c r="J8216">
        <f>(Table1[[#This Row],[value]] - Table1[[#This Row],[mean]]) / Table1[[#This Row],[std_dev]]</f>
        <v>1.6298599537622782</v>
      </c>
      <c r="K8216">
        <f>AVERAGEIF(Table1[CountryCode],Table1[[#This Row],[CountryCode]],Table1[z-score])</f>
        <v>9.5615861938696506E-2</v>
      </c>
      <c r="L8216" t="e">
        <f>VLOOKUP(Table1[[#This Row],[CountryCode]],[1]!Table1[#All],1,FALSE)</f>
        <v>#REF!</v>
      </c>
    </row>
    <row r="8217" spans="1:12" hidden="1" x14ac:dyDescent="0.3">
      <c r="A8217" t="s">
        <v>39</v>
      </c>
      <c r="B8217" t="s">
        <v>40</v>
      </c>
      <c r="C8217" t="s">
        <v>129</v>
      </c>
      <c r="D8217" t="s">
        <v>130</v>
      </c>
      <c r="E8217">
        <v>2016</v>
      </c>
      <c r="F8217" s="1">
        <v>83</v>
      </c>
      <c r="G8217">
        <v>2010</v>
      </c>
      <c r="H8217">
        <f>AVERAGEIFS(Table1[value],Table1[IndicatorCode],Table1[[#This Row],[IndicatorCode]])</f>
        <v>72.66514008620689</v>
      </c>
      <c r="I8217" cm="1">
        <f t="array" ref="I8217">_xlfn.STDEV.P(IF(Table1[IndicatorCode]=Table1[[#This Row],[IndicatorCode]],Table1[value]))</f>
        <v>6.3409496564024987</v>
      </c>
      <c r="J8217">
        <f>(Table1[[#This Row],[value]] - Table1[[#This Row],[mean]]) / Table1[[#This Row],[std_dev]]</f>
        <v>1.6298599537622782</v>
      </c>
      <c r="K8217">
        <f>AVERAGEIF(Table1[CountryCode],Table1[[#This Row],[CountryCode]],Table1[z-score])</f>
        <v>9.5615861938696506E-2</v>
      </c>
      <c r="L8217" t="e">
        <f>VLOOKUP(Table1[[#This Row],[CountryCode]],[1]!Table1[#All],1,FALSE)</f>
        <v>#REF!</v>
      </c>
    </row>
    <row r="8218" spans="1:12" hidden="1" x14ac:dyDescent="0.3">
      <c r="A8218" t="s">
        <v>39</v>
      </c>
      <c r="B8218" t="s">
        <v>40</v>
      </c>
      <c r="C8218" t="s">
        <v>129</v>
      </c>
      <c r="D8218" t="s">
        <v>130</v>
      </c>
      <c r="E8218">
        <v>2017</v>
      </c>
      <c r="F8218" s="1">
        <v>83</v>
      </c>
      <c r="G8218">
        <v>2020</v>
      </c>
      <c r="H8218">
        <f>AVERAGEIFS(Table1[value],Table1[IndicatorCode],Table1[[#This Row],[IndicatorCode]])</f>
        <v>72.66514008620689</v>
      </c>
      <c r="I8218" cm="1">
        <f t="array" ref="I8218">_xlfn.STDEV.P(IF(Table1[IndicatorCode]=Table1[[#This Row],[IndicatorCode]],Table1[value]))</f>
        <v>6.3409496564024987</v>
      </c>
      <c r="J8218">
        <f>(Table1[[#This Row],[value]] - Table1[[#This Row],[mean]]) / Table1[[#This Row],[std_dev]]</f>
        <v>1.6298599537622782</v>
      </c>
      <c r="K8218">
        <f>AVERAGEIF(Table1[CountryCode],Table1[[#This Row],[CountryCode]],Table1[z-score])</f>
        <v>9.5615861938696506E-2</v>
      </c>
      <c r="L8218" t="e">
        <f>VLOOKUP(Table1[[#This Row],[CountryCode]],[1]!Table1[#All],1,FALSE)</f>
        <v>#REF!</v>
      </c>
    </row>
    <row r="8219" spans="1:12" hidden="1" x14ac:dyDescent="0.3">
      <c r="A8219" t="s">
        <v>39</v>
      </c>
      <c r="B8219" t="s">
        <v>40</v>
      </c>
      <c r="C8219" t="s">
        <v>129</v>
      </c>
      <c r="D8219" t="s">
        <v>130</v>
      </c>
      <c r="E8219">
        <v>2018</v>
      </c>
      <c r="F8219" s="1">
        <v>83</v>
      </c>
      <c r="G8219">
        <v>2020</v>
      </c>
      <c r="H8219">
        <f>AVERAGEIFS(Table1[value],Table1[IndicatorCode],Table1[[#This Row],[IndicatorCode]])</f>
        <v>72.66514008620689</v>
      </c>
      <c r="I8219" cm="1">
        <f t="array" ref="I8219">_xlfn.STDEV.P(IF(Table1[IndicatorCode]=Table1[[#This Row],[IndicatorCode]],Table1[value]))</f>
        <v>6.3409496564024987</v>
      </c>
      <c r="J8219">
        <f>(Table1[[#This Row],[value]] - Table1[[#This Row],[mean]]) / Table1[[#This Row],[std_dev]]</f>
        <v>1.6298599537622782</v>
      </c>
      <c r="K8219">
        <f>AVERAGEIF(Table1[CountryCode],Table1[[#This Row],[CountryCode]],Table1[z-score])</f>
        <v>9.5615861938696506E-2</v>
      </c>
      <c r="L8219" t="e">
        <f>VLOOKUP(Table1[[#This Row],[CountryCode]],[1]!Table1[#All],1,FALSE)</f>
        <v>#REF!</v>
      </c>
    </row>
    <row r="8220" spans="1:12" hidden="1" x14ac:dyDescent="0.3">
      <c r="A8220" t="s">
        <v>39</v>
      </c>
      <c r="B8220" t="s">
        <v>40</v>
      </c>
      <c r="C8220" t="s">
        <v>129</v>
      </c>
      <c r="D8220" t="s">
        <v>130</v>
      </c>
      <c r="E8220">
        <v>2019</v>
      </c>
      <c r="F8220" s="1">
        <v>84</v>
      </c>
      <c r="G8220">
        <v>2020</v>
      </c>
      <c r="H8220">
        <f>AVERAGEIFS(Table1[value],Table1[IndicatorCode],Table1[[#This Row],[IndicatorCode]])</f>
        <v>72.66514008620689</v>
      </c>
      <c r="I8220" cm="1">
        <f t="array" ref="I8220">_xlfn.STDEV.P(IF(Table1[IndicatorCode]=Table1[[#This Row],[IndicatorCode]],Table1[value]))</f>
        <v>6.3409496564024987</v>
      </c>
      <c r="J8220">
        <f>(Table1[[#This Row],[value]] - Table1[[#This Row],[mean]]) / Table1[[#This Row],[std_dev]]</f>
        <v>1.7875650380457173</v>
      </c>
      <c r="K8220">
        <f>AVERAGEIF(Table1[CountryCode],Table1[[#This Row],[CountryCode]],Table1[z-score])</f>
        <v>9.5615861938696506E-2</v>
      </c>
      <c r="L8220" t="e">
        <f>VLOOKUP(Table1[[#This Row],[CountryCode]],[1]!Table1[#All],1,FALSE)</f>
        <v>#REF!</v>
      </c>
    </row>
    <row r="8221" spans="1:12" x14ac:dyDescent="0.3">
      <c r="A8221" t="s">
        <v>39</v>
      </c>
      <c r="B8221" t="s">
        <v>40</v>
      </c>
      <c r="C8221" t="s">
        <v>129</v>
      </c>
      <c r="D8221" t="s">
        <v>130</v>
      </c>
      <c r="E8221">
        <v>2020</v>
      </c>
      <c r="F8221" s="1">
        <v>82</v>
      </c>
      <c r="G8221">
        <v>2020</v>
      </c>
      <c r="H8221">
        <f>AVERAGEIFS(Table1[value],Table1[IndicatorCode],Table1[[#This Row],[IndicatorCode]])</f>
        <v>72.66514008620689</v>
      </c>
      <c r="I8221" cm="1">
        <f t="array" ref="I8221">_xlfn.STDEV.P(IF(Table1[IndicatorCode]=Table1[[#This Row],[IndicatorCode]],Table1[value]))</f>
        <v>6.3409496564024987</v>
      </c>
      <c r="J8221">
        <f>(Table1[[#This Row],[value]] - Table1[[#This Row],[mean]]) / Table1[[#This Row],[std_dev]]</f>
        <v>1.4721548694788391</v>
      </c>
      <c r="K8221">
        <f>AVERAGEIF(Table1[CountryCode],Table1[[#This Row],[CountryCode]],Table1[z-score])</f>
        <v>9.5615861938696506E-2</v>
      </c>
    </row>
    <row r="8222" spans="1:12" hidden="1" x14ac:dyDescent="0.3">
      <c r="A8222" t="s">
        <v>39</v>
      </c>
      <c r="B8222" t="s">
        <v>40</v>
      </c>
      <c r="C8222" t="s">
        <v>129</v>
      </c>
      <c r="D8222" t="s">
        <v>130</v>
      </c>
      <c r="E8222">
        <v>2021</v>
      </c>
      <c r="F8222" s="1">
        <v>83</v>
      </c>
      <c r="G8222">
        <v>1960</v>
      </c>
      <c r="H8222">
        <f>AVERAGEIFS(Table1[value],Table1[IndicatorCode],Table1[[#This Row],[IndicatorCode]])</f>
        <v>72.66514008620689</v>
      </c>
      <c r="I8222" cm="1">
        <f t="array" ref="I8222">_xlfn.STDEV.P(IF(Table1[IndicatorCode]=Table1[[#This Row],[IndicatorCode]],Table1[value]))</f>
        <v>6.3409496564024987</v>
      </c>
      <c r="J8222">
        <f>(Table1[[#This Row],[value]] - Table1[[#This Row],[mean]]) / Table1[[#This Row],[std_dev]]</f>
        <v>1.6298599537622782</v>
      </c>
      <c r="K8222">
        <f>AVERAGEIF(Table1[CountryCode],Table1[[#This Row],[CountryCode]],Table1[z-score])</f>
        <v>9.5615861938696506E-2</v>
      </c>
      <c r="L8222" t="e">
        <f>VLOOKUP(Table1[[#This Row],[CountryCode]],[1]!Table1[#All],1,FALSE)</f>
        <v>#REF!</v>
      </c>
    </row>
    <row r="8223" spans="1:12" hidden="1" x14ac:dyDescent="0.3">
      <c r="A8223" t="s">
        <v>39</v>
      </c>
      <c r="B8223" t="s">
        <v>40</v>
      </c>
      <c r="C8223" t="s">
        <v>129</v>
      </c>
      <c r="D8223" t="s">
        <v>130</v>
      </c>
      <c r="E8223">
        <v>2022</v>
      </c>
      <c r="F8223" s="1">
        <v>83</v>
      </c>
      <c r="G8223">
        <v>1960</v>
      </c>
      <c r="H8223">
        <f>AVERAGEIFS(Table1[value],Table1[IndicatorCode],Table1[[#This Row],[IndicatorCode]])</f>
        <v>72.66514008620689</v>
      </c>
      <c r="I8223" cm="1">
        <f t="array" ref="I8223">_xlfn.STDEV.P(IF(Table1[IndicatorCode]=Table1[[#This Row],[IndicatorCode]],Table1[value]))</f>
        <v>6.3409496564024987</v>
      </c>
      <c r="J8223">
        <f>(Table1[[#This Row],[value]] - Table1[[#This Row],[mean]]) / Table1[[#This Row],[std_dev]]</f>
        <v>1.6298599537622782</v>
      </c>
      <c r="K8223">
        <f>AVERAGEIF(Table1[CountryCode],Table1[[#This Row],[CountryCode]],Table1[z-score])</f>
        <v>9.5615861938696506E-2</v>
      </c>
      <c r="L8223" t="e">
        <f>VLOOKUP(Table1[[#This Row],[CountryCode]],[1]!Table1[#All],1,FALSE)</f>
        <v>#REF!</v>
      </c>
    </row>
    <row r="8224" spans="1:12" hidden="1" x14ac:dyDescent="0.3">
      <c r="A8224" t="s">
        <v>39</v>
      </c>
      <c r="B8224" t="s">
        <v>40</v>
      </c>
      <c r="C8224" t="s">
        <v>129</v>
      </c>
      <c r="D8224" t="s">
        <v>130</v>
      </c>
      <c r="E8224">
        <v>2023</v>
      </c>
      <c r="F8224" s="1">
        <v>84</v>
      </c>
      <c r="G8224">
        <v>1960</v>
      </c>
      <c r="H8224">
        <f>AVERAGEIFS(Table1[value],Table1[IndicatorCode],Table1[[#This Row],[IndicatorCode]])</f>
        <v>72.66514008620689</v>
      </c>
      <c r="I8224" cm="1">
        <f t="array" ref="I8224">_xlfn.STDEV.P(IF(Table1[IndicatorCode]=Table1[[#This Row],[IndicatorCode]],Table1[value]))</f>
        <v>6.3409496564024987</v>
      </c>
      <c r="J8224">
        <f>(Table1[[#This Row],[value]] - Table1[[#This Row],[mean]]) / Table1[[#This Row],[std_dev]]</f>
        <v>1.7875650380457173</v>
      </c>
      <c r="K8224">
        <f>AVERAGEIF(Table1[CountryCode],Table1[[#This Row],[CountryCode]],Table1[z-score])</f>
        <v>9.5615861938696506E-2</v>
      </c>
      <c r="L8224" t="e">
        <f>VLOOKUP(Table1[[#This Row],[CountryCode]],[1]!Table1[#All],1,FALSE)</f>
        <v>#REF!</v>
      </c>
    </row>
    <row r="8225" spans="1:12" hidden="1" x14ac:dyDescent="0.3">
      <c r="A8225" t="s">
        <v>41</v>
      </c>
      <c r="B8225" t="s">
        <v>42</v>
      </c>
      <c r="C8225" t="s">
        <v>129</v>
      </c>
      <c r="D8225" t="s">
        <v>130</v>
      </c>
      <c r="E8225">
        <v>1960</v>
      </c>
      <c r="F8225" s="1">
        <v>69</v>
      </c>
      <c r="G8225">
        <v>1960</v>
      </c>
      <c r="H8225">
        <f>AVERAGEIFS(Table1[value],Table1[IndicatorCode],Table1[[#This Row],[IndicatorCode]])</f>
        <v>72.66514008620689</v>
      </c>
      <c r="I8225" cm="1">
        <f t="array" ref="I8225">_xlfn.STDEV.P(IF(Table1[IndicatorCode]=Table1[[#This Row],[IndicatorCode]],Table1[value]))</f>
        <v>6.3409496564024987</v>
      </c>
      <c r="J8225">
        <f>(Table1[[#This Row],[value]] - Table1[[#This Row],[mean]]) / Table1[[#This Row],[std_dev]]</f>
        <v>-0.57801122620586864</v>
      </c>
      <c r="K8225">
        <f>AVERAGEIF(Table1[CountryCode],Table1[[#This Row],[CountryCode]],Table1[z-score])</f>
        <v>0.48103769638692301</v>
      </c>
      <c r="L8225" t="e">
        <f>VLOOKUP(Table1[[#This Row],[CountryCode]],[1]!Table1[#All],1,FALSE)</f>
        <v>#REF!</v>
      </c>
    </row>
    <row r="8226" spans="1:12" hidden="1" x14ac:dyDescent="0.3">
      <c r="A8226" t="s">
        <v>41</v>
      </c>
      <c r="B8226" t="s">
        <v>42</v>
      </c>
      <c r="C8226" t="s">
        <v>129</v>
      </c>
      <c r="D8226" t="s">
        <v>130</v>
      </c>
      <c r="E8226">
        <v>1961</v>
      </c>
      <c r="F8226" s="1">
        <v>69</v>
      </c>
      <c r="G8226">
        <v>1960</v>
      </c>
      <c r="H8226">
        <f>AVERAGEIFS(Table1[value],Table1[IndicatorCode],Table1[[#This Row],[IndicatorCode]])</f>
        <v>72.66514008620689</v>
      </c>
      <c r="I8226" cm="1">
        <f t="array" ref="I8226">_xlfn.STDEV.P(IF(Table1[IndicatorCode]=Table1[[#This Row],[IndicatorCode]],Table1[value]))</f>
        <v>6.3409496564024987</v>
      </c>
      <c r="J8226">
        <f>(Table1[[#This Row],[value]] - Table1[[#This Row],[mean]]) / Table1[[#This Row],[std_dev]]</f>
        <v>-0.57801122620586864</v>
      </c>
      <c r="K8226">
        <f>AVERAGEIF(Table1[CountryCode],Table1[[#This Row],[CountryCode]],Table1[z-score])</f>
        <v>0.48103769638692301</v>
      </c>
      <c r="L8226" t="e">
        <f>VLOOKUP(Table1[[#This Row],[CountryCode]],[1]!Table1[#All],1,FALSE)</f>
        <v>#REF!</v>
      </c>
    </row>
    <row r="8227" spans="1:12" hidden="1" x14ac:dyDescent="0.3">
      <c r="A8227" t="s">
        <v>41</v>
      </c>
      <c r="B8227" t="s">
        <v>42</v>
      </c>
      <c r="C8227" t="s">
        <v>129</v>
      </c>
      <c r="D8227" t="s">
        <v>130</v>
      </c>
      <c r="E8227">
        <v>1962</v>
      </c>
      <c r="F8227" s="1">
        <v>69</v>
      </c>
      <c r="G8227">
        <v>1960</v>
      </c>
      <c r="H8227">
        <f>AVERAGEIFS(Table1[value],Table1[IndicatorCode],Table1[[#This Row],[IndicatorCode]])</f>
        <v>72.66514008620689</v>
      </c>
      <c r="I8227" cm="1">
        <f t="array" ref="I8227">_xlfn.STDEV.P(IF(Table1[IndicatorCode]=Table1[[#This Row],[IndicatorCode]],Table1[value]))</f>
        <v>6.3409496564024987</v>
      </c>
      <c r="J8227">
        <f>(Table1[[#This Row],[value]] - Table1[[#This Row],[mean]]) / Table1[[#This Row],[std_dev]]</f>
        <v>-0.57801122620586864</v>
      </c>
      <c r="K8227">
        <f>AVERAGEIF(Table1[CountryCode],Table1[[#This Row],[CountryCode]],Table1[z-score])</f>
        <v>0.48103769638692301</v>
      </c>
      <c r="L8227" t="e">
        <f>VLOOKUP(Table1[[#This Row],[CountryCode]],[1]!Table1[#All],1,FALSE)</f>
        <v>#REF!</v>
      </c>
    </row>
    <row r="8228" spans="1:12" hidden="1" x14ac:dyDescent="0.3">
      <c r="A8228" t="s">
        <v>41</v>
      </c>
      <c r="B8228" t="s">
        <v>42</v>
      </c>
      <c r="C8228" t="s">
        <v>129</v>
      </c>
      <c r="D8228" t="s">
        <v>130</v>
      </c>
      <c r="E8228">
        <v>1963</v>
      </c>
      <c r="F8228" s="1">
        <v>69</v>
      </c>
      <c r="G8228">
        <v>1960</v>
      </c>
      <c r="H8228">
        <f>AVERAGEIFS(Table1[value],Table1[IndicatorCode],Table1[[#This Row],[IndicatorCode]])</f>
        <v>72.66514008620689</v>
      </c>
      <c r="I8228" cm="1">
        <f t="array" ref="I8228">_xlfn.STDEV.P(IF(Table1[IndicatorCode]=Table1[[#This Row],[IndicatorCode]],Table1[value]))</f>
        <v>6.3409496564024987</v>
      </c>
      <c r="J8228">
        <f>(Table1[[#This Row],[value]] - Table1[[#This Row],[mean]]) / Table1[[#This Row],[std_dev]]</f>
        <v>-0.57801122620586864</v>
      </c>
      <c r="K8228">
        <f>AVERAGEIF(Table1[CountryCode],Table1[[#This Row],[CountryCode]],Table1[z-score])</f>
        <v>0.48103769638692301</v>
      </c>
      <c r="L8228" t="e">
        <f>VLOOKUP(Table1[[#This Row],[CountryCode]],[1]!Table1[#All],1,FALSE)</f>
        <v>#REF!</v>
      </c>
    </row>
    <row r="8229" spans="1:12" hidden="1" x14ac:dyDescent="0.3">
      <c r="A8229" t="s">
        <v>41</v>
      </c>
      <c r="B8229" t="s">
        <v>42</v>
      </c>
      <c r="C8229" t="s">
        <v>129</v>
      </c>
      <c r="D8229" t="s">
        <v>130</v>
      </c>
      <c r="E8229">
        <v>1964</v>
      </c>
      <c r="F8229" s="1">
        <v>70</v>
      </c>
      <c r="G8229">
        <v>1960</v>
      </c>
      <c r="H8229">
        <f>AVERAGEIFS(Table1[value],Table1[IndicatorCode],Table1[[#This Row],[IndicatorCode]])</f>
        <v>72.66514008620689</v>
      </c>
      <c r="I8229" cm="1">
        <f t="array" ref="I8229">_xlfn.STDEV.P(IF(Table1[IndicatorCode]=Table1[[#This Row],[IndicatorCode]],Table1[value]))</f>
        <v>6.3409496564024987</v>
      </c>
      <c r="J8229">
        <f>(Table1[[#This Row],[value]] - Table1[[#This Row],[mean]]) / Table1[[#This Row],[std_dev]]</f>
        <v>-0.4203061419224296</v>
      </c>
      <c r="K8229">
        <f>AVERAGEIF(Table1[CountryCode],Table1[[#This Row],[CountryCode]],Table1[z-score])</f>
        <v>0.48103769638692301</v>
      </c>
      <c r="L8229" t="e">
        <f>VLOOKUP(Table1[[#This Row],[CountryCode]],[1]!Table1[#All],1,FALSE)</f>
        <v>#REF!</v>
      </c>
    </row>
    <row r="8230" spans="1:12" hidden="1" x14ac:dyDescent="0.3">
      <c r="A8230" t="s">
        <v>41</v>
      </c>
      <c r="B8230" t="s">
        <v>42</v>
      </c>
      <c r="C8230" t="s">
        <v>129</v>
      </c>
      <c r="D8230" t="s">
        <v>130</v>
      </c>
      <c r="E8230">
        <v>1965</v>
      </c>
      <c r="F8230" s="1">
        <v>70</v>
      </c>
      <c r="G8230">
        <v>1960</v>
      </c>
      <c r="H8230">
        <f>AVERAGEIFS(Table1[value],Table1[IndicatorCode],Table1[[#This Row],[IndicatorCode]])</f>
        <v>72.66514008620689</v>
      </c>
      <c r="I8230" cm="1">
        <f t="array" ref="I8230">_xlfn.STDEV.P(IF(Table1[IndicatorCode]=Table1[[#This Row],[IndicatorCode]],Table1[value]))</f>
        <v>6.3409496564024987</v>
      </c>
      <c r="J8230">
        <f>(Table1[[#This Row],[value]] - Table1[[#This Row],[mean]]) / Table1[[#This Row],[std_dev]]</f>
        <v>-0.4203061419224296</v>
      </c>
      <c r="K8230">
        <f>AVERAGEIF(Table1[CountryCode],Table1[[#This Row],[CountryCode]],Table1[z-score])</f>
        <v>0.48103769638692301</v>
      </c>
      <c r="L8230" t="e">
        <f>VLOOKUP(Table1[[#This Row],[CountryCode]],[1]!Table1[#All],1,FALSE)</f>
        <v>#REF!</v>
      </c>
    </row>
    <row r="8231" spans="1:12" hidden="1" x14ac:dyDescent="0.3">
      <c r="A8231" t="s">
        <v>41</v>
      </c>
      <c r="B8231" t="s">
        <v>42</v>
      </c>
      <c r="C8231" t="s">
        <v>129</v>
      </c>
      <c r="D8231" t="s">
        <v>130</v>
      </c>
      <c r="E8231">
        <v>1966</v>
      </c>
      <c r="F8231" s="1">
        <v>70</v>
      </c>
      <c r="G8231">
        <v>1960</v>
      </c>
      <c r="H8231">
        <f>AVERAGEIFS(Table1[value],Table1[IndicatorCode],Table1[[#This Row],[IndicatorCode]])</f>
        <v>72.66514008620689</v>
      </c>
      <c r="I8231" cm="1">
        <f t="array" ref="I8231">_xlfn.STDEV.P(IF(Table1[IndicatorCode]=Table1[[#This Row],[IndicatorCode]],Table1[value]))</f>
        <v>6.3409496564024987</v>
      </c>
      <c r="J8231">
        <f>(Table1[[#This Row],[value]] - Table1[[#This Row],[mean]]) / Table1[[#This Row],[std_dev]]</f>
        <v>-0.4203061419224296</v>
      </c>
      <c r="K8231">
        <f>AVERAGEIF(Table1[CountryCode],Table1[[#This Row],[CountryCode]],Table1[z-score])</f>
        <v>0.48103769638692301</v>
      </c>
      <c r="L8231" t="e">
        <f>VLOOKUP(Table1[[#This Row],[CountryCode]],[1]!Table1[#All],1,FALSE)</f>
        <v>#REF!</v>
      </c>
    </row>
    <row r="8232" spans="1:12" hidden="1" x14ac:dyDescent="0.3">
      <c r="A8232" t="s">
        <v>41</v>
      </c>
      <c r="B8232" t="s">
        <v>42</v>
      </c>
      <c r="C8232" t="s">
        <v>129</v>
      </c>
      <c r="D8232" t="s">
        <v>130</v>
      </c>
      <c r="E8232">
        <v>1967</v>
      </c>
      <c r="F8232" s="1">
        <v>70</v>
      </c>
      <c r="G8232">
        <v>1970</v>
      </c>
      <c r="H8232">
        <f>AVERAGEIFS(Table1[value],Table1[IndicatorCode],Table1[[#This Row],[IndicatorCode]])</f>
        <v>72.66514008620689</v>
      </c>
      <c r="I8232" cm="1">
        <f t="array" ref="I8232">_xlfn.STDEV.P(IF(Table1[IndicatorCode]=Table1[[#This Row],[IndicatorCode]],Table1[value]))</f>
        <v>6.3409496564024987</v>
      </c>
      <c r="J8232">
        <f>(Table1[[#This Row],[value]] - Table1[[#This Row],[mean]]) / Table1[[#This Row],[std_dev]]</f>
        <v>-0.4203061419224296</v>
      </c>
      <c r="K8232">
        <f>AVERAGEIF(Table1[CountryCode],Table1[[#This Row],[CountryCode]],Table1[z-score])</f>
        <v>0.48103769638692301</v>
      </c>
      <c r="L8232" t="e">
        <f>VLOOKUP(Table1[[#This Row],[CountryCode]],[1]!Table1[#All],1,FALSE)</f>
        <v>#REF!</v>
      </c>
    </row>
    <row r="8233" spans="1:12" hidden="1" x14ac:dyDescent="0.3">
      <c r="A8233" t="s">
        <v>41</v>
      </c>
      <c r="B8233" t="s">
        <v>42</v>
      </c>
      <c r="C8233" t="s">
        <v>129</v>
      </c>
      <c r="D8233" t="s">
        <v>130</v>
      </c>
      <c r="E8233">
        <v>1968</v>
      </c>
      <c r="F8233" s="1">
        <v>70</v>
      </c>
      <c r="G8233">
        <v>1970</v>
      </c>
      <c r="H8233">
        <f>AVERAGEIFS(Table1[value],Table1[IndicatorCode],Table1[[#This Row],[IndicatorCode]])</f>
        <v>72.66514008620689</v>
      </c>
      <c r="I8233" cm="1">
        <f t="array" ref="I8233">_xlfn.STDEV.P(IF(Table1[IndicatorCode]=Table1[[#This Row],[IndicatorCode]],Table1[value]))</f>
        <v>6.3409496564024987</v>
      </c>
      <c r="J8233">
        <f>(Table1[[#This Row],[value]] - Table1[[#This Row],[mean]]) / Table1[[#This Row],[std_dev]]</f>
        <v>-0.4203061419224296</v>
      </c>
      <c r="K8233">
        <f>AVERAGEIF(Table1[CountryCode],Table1[[#This Row],[CountryCode]],Table1[z-score])</f>
        <v>0.48103769638692301</v>
      </c>
      <c r="L8233" t="e">
        <f>VLOOKUP(Table1[[#This Row],[CountryCode]],[1]!Table1[#All],1,FALSE)</f>
        <v>#REF!</v>
      </c>
    </row>
    <row r="8234" spans="1:12" hidden="1" x14ac:dyDescent="0.3">
      <c r="A8234" t="s">
        <v>41</v>
      </c>
      <c r="B8234" t="s">
        <v>42</v>
      </c>
      <c r="C8234" t="s">
        <v>129</v>
      </c>
      <c r="D8234" t="s">
        <v>130</v>
      </c>
      <c r="E8234">
        <v>1969</v>
      </c>
      <c r="F8234" s="1">
        <v>70</v>
      </c>
      <c r="G8234">
        <v>1970</v>
      </c>
      <c r="H8234">
        <f>AVERAGEIFS(Table1[value],Table1[IndicatorCode],Table1[[#This Row],[IndicatorCode]])</f>
        <v>72.66514008620689</v>
      </c>
      <c r="I8234" cm="1">
        <f t="array" ref="I8234">_xlfn.STDEV.P(IF(Table1[IndicatorCode]=Table1[[#This Row],[IndicatorCode]],Table1[value]))</f>
        <v>6.3409496564024987</v>
      </c>
      <c r="J8234">
        <f>(Table1[[#This Row],[value]] - Table1[[#This Row],[mean]]) / Table1[[#This Row],[std_dev]]</f>
        <v>-0.4203061419224296</v>
      </c>
      <c r="K8234">
        <f>AVERAGEIF(Table1[CountryCode],Table1[[#This Row],[CountryCode]],Table1[z-score])</f>
        <v>0.48103769638692301</v>
      </c>
      <c r="L8234" t="e">
        <f>VLOOKUP(Table1[[#This Row],[CountryCode]],[1]!Table1[#All],1,FALSE)</f>
        <v>#REF!</v>
      </c>
    </row>
    <row r="8235" spans="1:12" hidden="1" x14ac:dyDescent="0.3">
      <c r="A8235" t="s">
        <v>41</v>
      </c>
      <c r="B8235" t="s">
        <v>42</v>
      </c>
      <c r="C8235" t="s">
        <v>129</v>
      </c>
      <c r="D8235" t="s">
        <v>130</v>
      </c>
      <c r="E8235">
        <v>1970</v>
      </c>
      <c r="F8235" s="1">
        <v>70</v>
      </c>
      <c r="G8235">
        <v>1970</v>
      </c>
      <c r="H8235">
        <f>AVERAGEIFS(Table1[value],Table1[IndicatorCode],Table1[[#This Row],[IndicatorCode]])</f>
        <v>72.66514008620689</v>
      </c>
      <c r="I8235" cm="1">
        <f t="array" ref="I8235">_xlfn.STDEV.P(IF(Table1[IndicatorCode]=Table1[[#This Row],[IndicatorCode]],Table1[value]))</f>
        <v>6.3409496564024987</v>
      </c>
      <c r="J8235">
        <f>(Table1[[#This Row],[value]] - Table1[[#This Row],[mean]]) / Table1[[#This Row],[std_dev]]</f>
        <v>-0.4203061419224296</v>
      </c>
      <c r="K8235">
        <f>AVERAGEIF(Table1[CountryCode],Table1[[#This Row],[CountryCode]],Table1[z-score])</f>
        <v>0.48103769638692301</v>
      </c>
      <c r="L8235" t="e">
        <f>VLOOKUP(Table1[[#This Row],[CountryCode]],[1]!Table1[#All],1,FALSE)</f>
        <v>#REF!</v>
      </c>
    </row>
    <row r="8236" spans="1:12" hidden="1" x14ac:dyDescent="0.3">
      <c r="A8236" t="s">
        <v>41</v>
      </c>
      <c r="B8236" t="s">
        <v>42</v>
      </c>
      <c r="C8236" t="s">
        <v>129</v>
      </c>
      <c r="D8236" t="s">
        <v>130</v>
      </c>
      <c r="E8236">
        <v>1971</v>
      </c>
      <c r="F8236" s="1">
        <v>70</v>
      </c>
      <c r="G8236">
        <v>1970</v>
      </c>
      <c r="H8236">
        <f>AVERAGEIFS(Table1[value],Table1[IndicatorCode],Table1[[#This Row],[IndicatorCode]])</f>
        <v>72.66514008620689</v>
      </c>
      <c r="I8236" cm="1">
        <f t="array" ref="I8236">_xlfn.STDEV.P(IF(Table1[IndicatorCode]=Table1[[#This Row],[IndicatorCode]],Table1[value]))</f>
        <v>6.3409496564024987</v>
      </c>
      <c r="J8236">
        <f>(Table1[[#This Row],[value]] - Table1[[#This Row],[mean]]) / Table1[[#This Row],[std_dev]]</f>
        <v>-0.4203061419224296</v>
      </c>
      <c r="K8236">
        <f>AVERAGEIF(Table1[CountryCode],Table1[[#This Row],[CountryCode]],Table1[z-score])</f>
        <v>0.48103769638692301</v>
      </c>
      <c r="L8236" t="e">
        <f>VLOOKUP(Table1[[#This Row],[CountryCode]],[1]!Table1[#All],1,FALSE)</f>
        <v>#REF!</v>
      </c>
    </row>
    <row r="8237" spans="1:12" hidden="1" x14ac:dyDescent="0.3">
      <c r="A8237" t="s">
        <v>41</v>
      </c>
      <c r="B8237" t="s">
        <v>42</v>
      </c>
      <c r="C8237" t="s">
        <v>129</v>
      </c>
      <c r="D8237" t="s">
        <v>130</v>
      </c>
      <c r="E8237">
        <v>1972</v>
      </c>
      <c r="F8237" s="1">
        <v>70</v>
      </c>
      <c r="G8237">
        <v>1970</v>
      </c>
      <c r="H8237">
        <f>AVERAGEIFS(Table1[value],Table1[IndicatorCode],Table1[[#This Row],[IndicatorCode]])</f>
        <v>72.66514008620689</v>
      </c>
      <c r="I8237" cm="1">
        <f t="array" ref="I8237">_xlfn.STDEV.P(IF(Table1[IndicatorCode]=Table1[[#This Row],[IndicatorCode]],Table1[value]))</f>
        <v>6.3409496564024987</v>
      </c>
      <c r="J8237">
        <f>(Table1[[#This Row],[value]] - Table1[[#This Row],[mean]]) / Table1[[#This Row],[std_dev]]</f>
        <v>-0.4203061419224296</v>
      </c>
      <c r="K8237">
        <f>AVERAGEIF(Table1[CountryCode],Table1[[#This Row],[CountryCode]],Table1[z-score])</f>
        <v>0.48103769638692301</v>
      </c>
      <c r="L8237" t="e">
        <f>VLOOKUP(Table1[[#This Row],[CountryCode]],[1]!Table1[#All],1,FALSE)</f>
        <v>#REF!</v>
      </c>
    </row>
    <row r="8238" spans="1:12" hidden="1" x14ac:dyDescent="0.3">
      <c r="A8238" t="s">
        <v>41</v>
      </c>
      <c r="B8238" t="s">
        <v>42</v>
      </c>
      <c r="C8238" t="s">
        <v>129</v>
      </c>
      <c r="D8238" t="s">
        <v>130</v>
      </c>
      <c r="E8238">
        <v>1973</v>
      </c>
      <c r="F8238" s="1">
        <v>70</v>
      </c>
      <c r="G8238">
        <v>1970</v>
      </c>
      <c r="H8238">
        <f>AVERAGEIFS(Table1[value],Table1[IndicatorCode],Table1[[#This Row],[IndicatorCode]])</f>
        <v>72.66514008620689</v>
      </c>
      <c r="I8238" cm="1">
        <f t="array" ref="I8238">_xlfn.STDEV.P(IF(Table1[IndicatorCode]=Table1[[#This Row],[IndicatorCode]],Table1[value]))</f>
        <v>6.3409496564024987</v>
      </c>
      <c r="J8238">
        <f>(Table1[[#This Row],[value]] - Table1[[#This Row],[mean]]) / Table1[[#This Row],[std_dev]]</f>
        <v>-0.4203061419224296</v>
      </c>
      <c r="K8238">
        <f>AVERAGEIF(Table1[CountryCode],Table1[[#This Row],[CountryCode]],Table1[z-score])</f>
        <v>0.48103769638692301</v>
      </c>
      <c r="L8238" t="e">
        <f>VLOOKUP(Table1[[#This Row],[CountryCode]],[1]!Table1[#All],1,FALSE)</f>
        <v>#REF!</v>
      </c>
    </row>
    <row r="8239" spans="1:12" hidden="1" x14ac:dyDescent="0.3">
      <c r="A8239" t="s">
        <v>41</v>
      </c>
      <c r="B8239" t="s">
        <v>42</v>
      </c>
      <c r="C8239" t="s">
        <v>129</v>
      </c>
      <c r="D8239" t="s">
        <v>130</v>
      </c>
      <c r="E8239">
        <v>1974</v>
      </c>
      <c r="F8239" s="1">
        <v>70</v>
      </c>
      <c r="G8239">
        <v>1970</v>
      </c>
      <c r="H8239">
        <f>AVERAGEIFS(Table1[value],Table1[IndicatorCode],Table1[[#This Row],[IndicatorCode]])</f>
        <v>72.66514008620689</v>
      </c>
      <c r="I8239" cm="1">
        <f t="array" ref="I8239">_xlfn.STDEV.P(IF(Table1[IndicatorCode]=Table1[[#This Row],[IndicatorCode]],Table1[value]))</f>
        <v>6.3409496564024987</v>
      </c>
      <c r="J8239">
        <f>(Table1[[#This Row],[value]] - Table1[[#This Row],[mean]]) / Table1[[#This Row],[std_dev]]</f>
        <v>-0.4203061419224296</v>
      </c>
      <c r="K8239">
        <f>AVERAGEIF(Table1[CountryCode],Table1[[#This Row],[CountryCode]],Table1[z-score])</f>
        <v>0.48103769638692301</v>
      </c>
      <c r="L8239" t="e">
        <f>VLOOKUP(Table1[[#This Row],[CountryCode]],[1]!Table1[#All],1,FALSE)</f>
        <v>#REF!</v>
      </c>
    </row>
    <row r="8240" spans="1:12" hidden="1" x14ac:dyDescent="0.3">
      <c r="A8240" t="s">
        <v>41</v>
      </c>
      <c r="B8240" t="s">
        <v>42</v>
      </c>
      <c r="C8240" t="s">
        <v>129</v>
      </c>
      <c r="D8240" t="s">
        <v>130</v>
      </c>
      <c r="E8240">
        <v>1975</v>
      </c>
      <c r="F8240" s="1">
        <v>70</v>
      </c>
      <c r="G8240">
        <v>1970</v>
      </c>
      <c r="H8240">
        <f>AVERAGEIFS(Table1[value],Table1[IndicatorCode],Table1[[#This Row],[IndicatorCode]])</f>
        <v>72.66514008620689</v>
      </c>
      <c r="I8240" cm="1">
        <f t="array" ref="I8240">_xlfn.STDEV.P(IF(Table1[IndicatorCode]=Table1[[#This Row],[IndicatorCode]],Table1[value]))</f>
        <v>6.3409496564024987</v>
      </c>
      <c r="J8240">
        <f>(Table1[[#This Row],[value]] - Table1[[#This Row],[mean]]) / Table1[[#This Row],[std_dev]]</f>
        <v>-0.4203061419224296</v>
      </c>
      <c r="K8240">
        <f>AVERAGEIF(Table1[CountryCode],Table1[[#This Row],[CountryCode]],Table1[z-score])</f>
        <v>0.48103769638692301</v>
      </c>
      <c r="L8240" t="e">
        <f>VLOOKUP(Table1[[#This Row],[CountryCode]],[1]!Table1[#All],1,FALSE)</f>
        <v>#REF!</v>
      </c>
    </row>
    <row r="8241" spans="1:12" hidden="1" x14ac:dyDescent="0.3">
      <c r="A8241" t="s">
        <v>41</v>
      </c>
      <c r="B8241" t="s">
        <v>42</v>
      </c>
      <c r="C8241" t="s">
        <v>129</v>
      </c>
      <c r="D8241" t="s">
        <v>130</v>
      </c>
      <c r="E8241">
        <v>1976</v>
      </c>
      <c r="F8241" s="1">
        <v>69</v>
      </c>
      <c r="G8241">
        <v>1970</v>
      </c>
      <c r="H8241">
        <f>AVERAGEIFS(Table1[value],Table1[IndicatorCode],Table1[[#This Row],[IndicatorCode]])</f>
        <v>72.66514008620689</v>
      </c>
      <c r="I8241" cm="1">
        <f t="array" ref="I8241">_xlfn.STDEV.P(IF(Table1[IndicatorCode]=Table1[[#This Row],[IndicatorCode]],Table1[value]))</f>
        <v>6.3409496564024987</v>
      </c>
      <c r="J8241">
        <f>(Table1[[#This Row],[value]] - Table1[[#This Row],[mean]]) / Table1[[#This Row],[std_dev]]</f>
        <v>-0.57801122620586864</v>
      </c>
      <c r="K8241">
        <f>AVERAGEIF(Table1[CountryCode],Table1[[#This Row],[CountryCode]],Table1[z-score])</f>
        <v>0.48103769638692301</v>
      </c>
      <c r="L8241" t="e">
        <f>VLOOKUP(Table1[[#This Row],[CountryCode]],[1]!Table1[#All],1,FALSE)</f>
        <v>#REF!</v>
      </c>
    </row>
    <row r="8242" spans="1:12" hidden="1" x14ac:dyDescent="0.3">
      <c r="A8242" t="s">
        <v>41</v>
      </c>
      <c r="B8242" t="s">
        <v>42</v>
      </c>
      <c r="C8242" t="s">
        <v>129</v>
      </c>
      <c r="D8242" t="s">
        <v>130</v>
      </c>
      <c r="E8242">
        <v>1977</v>
      </c>
      <c r="F8242" s="1">
        <v>69</v>
      </c>
      <c r="G8242">
        <v>1980</v>
      </c>
      <c r="H8242">
        <f>AVERAGEIFS(Table1[value],Table1[IndicatorCode],Table1[[#This Row],[IndicatorCode]])</f>
        <v>72.66514008620689</v>
      </c>
      <c r="I8242" cm="1">
        <f t="array" ref="I8242">_xlfn.STDEV.P(IF(Table1[IndicatorCode]=Table1[[#This Row],[IndicatorCode]],Table1[value]))</f>
        <v>6.3409496564024987</v>
      </c>
      <c r="J8242">
        <f>(Table1[[#This Row],[value]] - Table1[[#This Row],[mean]]) / Table1[[#This Row],[std_dev]]</f>
        <v>-0.57801122620586864</v>
      </c>
      <c r="K8242">
        <f>AVERAGEIF(Table1[CountryCode],Table1[[#This Row],[CountryCode]],Table1[z-score])</f>
        <v>0.48103769638692301</v>
      </c>
      <c r="L8242" t="e">
        <f>VLOOKUP(Table1[[#This Row],[CountryCode]],[1]!Table1[#All],1,FALSE)</f>
        <v>#REF!</v>
      </c>
    </row>
    <row r="8243" spans="1:12" hidden="1" x14ac:dyDescent="0.3">
      <c r="A8243" t="s">
        <v>41</v>
      </c>
      <c r="B8243" t="s">
        <v>42</v>
      </c>
      <c r="C8243" t="s">
        <v>129</v>
      </c>
      <c r="D8243" t="s">
        <v>130</v>
      </c>
      <c r="E8243">
        <v>1978</v>
      </c>
      <c r="F8243" s="1">
        <v>69</v>
      </c>
      <c r="G8243">
        <v>1980</v>
      </c>
      <c r="H8243">
        <f>AVERAGEIFS(Table1[value],Table1[IndicatorCode],Table1[[#This Row],[IndicatorCode]])</f>
        <v>72.66514008620689</v>
      </c>
      <c r="I8243" cm="1">
        <f t="array" ref="I8243">_xlfn.STDEV.P(IF(Table1[IndicatorCode]=Table1[[#This Row],[IndicatorCode]],Table1[value]))</f>
        <v>6.3409496564024987</v>
      </c>
      <c r="J8243">
        <f>(Table1[[#This Row],[value]] - Table1[[#This Row],[mean]]) / Table1[[#This Row],[std_dev]]</f>
        <v>-0.57801122620586864</v>
      </c>
      <c r="K8243">
        <f>AVERAGEIF(Table1[CountryCode],Table1[[#This Row],[CountryCode]],Table1[z-score])</f>
        <v>0.48103769638692301</v>
      </c>
      <c r="L8243" t="e">
        <f>VLOOKUP(Table1[[#This Row],[CountryCode]],[1]!Table1[#All],1,FALSE)</f>
        <v>#REF!</v>
      </c>
    </row>
    <row r="8244" spans="1:12" hidden="1" x14ac:dyDescent="0.3">
      <c r="A8244" t="s">
        <v>41</v>
      </c>
      <c r="B8244" t="s">
        <v>42</v>
      </c>
      <c r="C8244" t="s">
        <v>129</v>
      </c>
      <c r="D8244" t="s">
        <v>130</v>
      </c>
      <c r="E8244">
        <v>1979</v>
      </c>
      <c r="F8244" s="1">
        <v>69</v>
      </c>
      <c r="G8244">
        <v>1980</v>
      </c>
      <c r="H8244">
        <f>AVERAGEIFS(Table1[value],Table1[IndicatorCode],Table1[[#This Row],[IndicatorCode]])</f>
        <v>72.66514008620689</v>
      </c>
      <c r="I8244" cm="1">
        <f t="array" ref="I8244">_xlfn.STDEV.P(IF(Table1[IndicatorCode]=Table1[[#This Row],[IndicatorCode]],Table1[value]))</f>
        <v>6.3409496564024987</v>
      </c>
      <c r="J8244">
        <f>(Table1[[#This Row],[value]] - Table1[[#This Row],[mean]]) / Table1[[#This Row],[std_dev]]</f>
        <v>-0.57801122620586864</v>
      </c>
      <c r="K8244">
        <f>AVERAGEIF(Table1[CountryCode],Table1[[#This Row],[CountryCode]],Table1[z-score])</f>
        <v>0.48103769638692301</v>
      </c>
      <c r="L8244" t="e">
        <f>VLOOKUP(Table1[[#This Row],[CountryCode]],[1]!Table1[#All],1,FALSE)</f>
        <v>#REF!</v>
      </c>
    </row>
    <row r="8245" spans="1:12" hidden="1" x14ac:dyDescent="0.3">
      <c r="A8245" t="s">
        <v>41</v>
      </c>
      <c r="B8245" t="s">
        <v>42</v>
      </c>
      <c r="C8245" t="s">
        <v>129</v>
      </c>
      <c r="D8245" t="s">
        <v>130</v>
      </c>
      <c r="E8245">
        <v>1980</v>
      </c>
      <c r="F8245" s="1">
        <v>69</v>
      </c>
      <c r="G8245">
        <v>1980</v>
      </c>
      <c r="H8245">
        <f>AVERAGEIFS(Table1[value],Table1[IndicatorCode],Table1[[#This Row],[IndicatorCode]])</f>
        <v>72.66514008620689</v>
      </c>
      <c r="I8245" cm="1">
        <f t="array" ref="I8245">_xlfn.STDEV.P(IF(Table1[IndicatorCode]=Table1[[#This Row],[IndicatorCode]],Table1[value]))</f>
        <v>6.3409496564024987</v>
      </c>
      <c r="J8245">
        <f>(Table1[[#This Row],[value]] - Table1[[#This Row],[mean]]) / Table1[[#This Row],[std_dev]]</f>
        <v>-0.57801122620586864</v>
      </c>
      <c r="K8245">
        <f>AVERAGEIF(Table1[CountryCode],Table1[[#This Row],[CountryCode]],Table1[z-score])</f>
        <v>0.48103769638692301</v>
      </c>
      <c r="L8245" t="e">
        <f>VLOOKUP(Table1[[#This Row],[CountryCode]],[1]!Table1[#All],1,FALSE)</f>
        <v>#REF!</v>
      </c>
    </row>
    <row r="8246" spans="1:12" hidden="1" x14ac:dyDescent="0.3">
      <c r="A8246" t="s">
        <v>41</v>
      </c>
      <c r="B8246" t="s">
        <v>42</v>
      </c>
      <c r="C8246" t="s">
        <v>129</v>
      </c>
      <c r="D8246" t="s">
        <v>130</v>
      </c>
      <c r="E8246">
        <v>1981</v>
      </c>
      <c r="F8246" s="1">
        <v>69</v>
      </c>
      <c r="G8246">
        <v>1980</v>
      </c>
      <c r="H8246">
        <f>AVERAGEIFS(Table1[value],Table1[IndicatorCode],Table1[[#This Row],[IndicatorCode]])</f>
        <v>72.66514008620689</v>
      </c>
      <c r="I8246" cm="1">
        <f t="array" ref="I8246">_xlfn.STDEV.P(IF(Table1[IndicatorCode]=Table1[[#This Row],[IndicatorCode]],Table1[value]))</f>
        <v>6.3409496564024987</v>
      </c>
      <c r="J8246">
        <f>(Table1[[#This Row],[value]] - Table1[[#This Row],[mean]]) / Table1[[#This Row],[std_dev]]</f>
        <v>-0.57801122620586864</v>
      </c>
      <c r="K8246">
        <f>AVERAGEIF(Table1[CountryCode],Table1[[#This Row],[CountryCode]],Table1[z-score])</f>
        <v>0.48103769638692301</v>
      </c>
      <c r="L8246" t="e">
        <f>VLOOKUP(Table1[[#This Row],[CountryCode]],[1]!Table1[#All],1,FALSE)</f>
        <v>#REF!</v>
      </c>
    </row>
    <row r="8247" spans="1:12" hidden="1" x14ac:dyDescent="0.3">
      <c r="A8247" t="s">
        <v>41</v>
      </c>
      <c r="B8247" t="s">
        <v>42</v>
      </c>
      <c r="C8247" t="s">
        <v>129</v>
      </c>
      <c r="D8247" t="s">
        <v>130</v>
      </c>
      <c r="E8247">
        <v>1982</v>
      </c>
      <c r="F8247" s="1">
        <v>69</v>
      </c>
      <c r="G8247">
        <v>1980</v>
      </c>
      <c r="H8247">
        <f>AVERAGEIFS(Table1[value],Table1[IndicatorCode],Table1[[#This Row],[IndicatorCode]])</f>
        <v>72.66514008620689</v>
      </c>
      <c r="I8247" cm="1">
        <f t="array" ref="I8247">_xlfn.STDEV.P(IF(Table1[IndicatorCode]=Table1[[#This Row],[IndicatorCode]],Table1[value]))</f>
        <v>6.3409496564024987</v>
      </c>
      <c r="J8247">
        <f>(Table1[[#This Row],[value]] - Table1[[#This Row],[mean]]) / Table1[[#This Row],[std_dev]]</f>
        <v>-0.57801122620586864</v>
      </c>
      <c r="K8247">
        <f>AVERAGEIF(Table1[CountryCode],Table1[[#This Row],[CountryCode]],Table1[z-score])</f>
        <v>0.48103769638692301</v>
      </c>
      <c r="L8247" t="e">
        <f>VLOOKUP(Table1[[#This Row],[CountryCode]],[1]!Table1[#All],1,FALSE)</f>
        <v>#REF!</v>
      </c>
    </row>
    <row r="8248" spans="1:12" hidden="1" x14ac:dyDescent="0.3">
      <c r="A8248" t="s">
        <v>41</v>
      </c>
      <c r="B8248" t="s">
        <v>42</v>
      </c>
      <c r="C8248" t="s">
        <v>129</v>
      </c>
      <c r="D8248" t="s">
        <v>130</v>
      </c>
      <c r="E8248">
        <v>1983</v>
      </c>
      <c r="F8248" s="1">
        <v>69</v>
      </c>
      <c r="G8248">
        <v>1980</v>
      </c>
      <c r="H8248">
        <f>AVERAGEIFS(Table1[value],Table1[IndicatorCode],Table1[[#This Row],[IndicatorCode]])</f>
        <v>72.66514008620689</v>
      </c>
      <c r="I8248" cm="1">
        <f t="array" ref="I8248">_xlfn.STDEV.P(IF(Table1[IndicatorCode]=Table1[[#This Row],[IndicatorCode]],Table1[value]))</f>
        <v>6.3409496564024987</v>
      </c>
      <c r="J8248">
        <f>(Table1[[#This Row],[value]] - Table1[[#This Row],[mean]]) / Table1[[#This Row],[std_dev]]</f>
        <v>-0.57801122620586864</v>
      </c>
      <c r="K8248">
        <f>AVERAGEIF(Table1[CountryCode],Table1[[#This Row],[CountryCode]],Table1[z-score])</f>
        <v>0.48103769638692301</v>
      </c>
      <c r="L8248" t="e">
        <f>VLOOKUP(Table1[[#This Row],[CountryCode]],[1]!Table1[#All],1,FALSE)</f>
        <v>#REF!</v>
      </c>
    </row>
    <row r="8249" spans="1:12" hidden="1" x14ac:dyDescent="0.3">
      <c r="A8249" t="s">
        <v>41</v>
      </c>
      <c r="B8249" t="s">
        <v>42</v>
      </c>
      <c r="C8249" t="s">
        <v>129</v>
      </c>
      <c r="D8249" t="s">
        <v>130</v>
      </c>
      <c r="E8249">
        <v>1984</v>
      </c>
      <c r="F8249" s="1">
        <v>69</v>
      </c>
      <c r="G8249">
        <v>1980</v>
      </c>
      <c r="H8249">
        <f>AVERAGEIFS(Table1[value],Table1[IndicatorCode],Table1[[#This Row],[IndicatorCode]])</f>
        <v>72.66514008620689</v>
      </c>
      <c r="I8249" cm="1">
        <f t="array" ref="I8249">_xlfn.STDEV.P(IF(Table1[IndicatorCode]=Table1[[#This Row],[IndicatorCode]],Table1[value]))</f>
        <v>6.3409496564024987</v>
      </c>
      <c r="J8249">
        <f>(Table1[[#This Row],[value]] - Table1[[#This Row],[mean]]) / Table1[[#This Row],[std_dev]]</f>
        <v>-0.57801122620586864</v>
      </c>
      <c r="K8249">
        <f>AVERAGEIF(Table1[CountryCode],Table1[[#This Row],[CountryCode]],Table1[z-score])</f>
        <v>0.48103769638692301</v>
      </c>
      <c r="L8249" t="e">
        <f>VLOOKUP(Table1[[#This Row],[CountryCode]],[1]!Table1[#All],1,FALSE)</f>
        <v>#REF!</v>
      </c>
    </row>
    <row r="8250" spans="1:12" hidden="1" x14ac:dyDescent="0.3">
      <c r="A8250" t="s">
        <v>41</v>
      </c>
      <c r="B8250" t="s">
        <v>42</v>
      </c>
      <c r="C8250" t="s">
        <v>129</v>
      </c>
      <c r="D8250" t="s">
        <v>130</v>
      </c>
      <c r="E8250">
        <v>1985</v>
      </c>
      <c r="F8250" s="1">
        <v>69</v>
      </c>
      <c r="G8250">
        <v>1980</v>
      </c>
      <c r="H8250">
        <f>AVERAGEIFS(Table1[value],Table1[IndicatorCode],Table1[[#This Row],[IndicatorCode]])</f>
        <v>72.66514008620689</v>
      </c>
      <c r="I8250" cm="1">
        <f t="array" ref="I8250">_xlfn.STDEV.P(IF(Table1[IndicatorCode]=Table1[[#This Row],[IndicatorCode]],Table1[value]))</f>
        <v>6.3409496564024987</v>
      </c>
      <c r="J8250">
        <f>(Table1[[#This Row],[value]] - Table1[[#This Row],[mean]]) / Table1[[#This Row],[std_dev]]</f>
        <v>-0.57801122620586864</v>
      </c>
      <c r="K8250">
        <f>AVERAGEIF(Table1[CountryCode],Table1[[#This Row],[CountryCode]],Table1[z-score])</f>
        <v>0.48103769638692301</v>
      </c>
      <c r="L8250" t="e">
        <f>VLOOKUP(Table1[[#This Row],[CountryCode]],[1]!Table1[#All],1,FALSE)</f>
        <v>#REF!</v>
      </c>
    </row>
    <row r="8251" spans="1:12" hidden="1" x14ac:dyDescent="0.3">
      <c r="A8251" t="s">
        <v>41</v>
      </c>
      <c r="B8251" t="s">
        <v>42</v>
      </c>
      <c r="C8251" t="s">
        <v>129</v>
      </c>
      <c r="D8251" t="s">
        <v>130</v>
      </c>
      <c r="E8251">
        <v>1986</v>
      </c>
      <c r="F8251" s="1">
        <v>70</v>
      </c>
      <c r="G8251">
        <v>1980</v>
      </c>
      <c r="H8251">
        <f>AVERAGEIFS(Table1[value],Table1[IndicatorCode],Table1[[#This Row],[IndicatorCode]])</f>
        <v>72.66514008620689</v>
      </c>
      <c r="I8251" cm="1">
        <f t="array" ref="I8251">_xlfn.STDEV.P(IF(Table1[IndicatorCode]=Table1[[#This Row],[IndicatorCode]],Table1[value]))</f>
        <v>6.3409496564024987</v>
      </c>
      <c r="J8251">
        <f>(Table1[[#This Row],[value]] - Table1[[#This Row],[mean]]) / Table1[[#This Row],[std_dev]]</f>
        <v>-0.4203061419224296</v>
      </c>
      <c r="K8251">
        <f>AVERAGEIF(Table1[CountryCode],Table1[[#This Row],[CountryCode]],Table1[z-score])</f>
        <v>0.48103769638692301</v>
      </c>
      <c r="L8251" t="e">
        <f>VLOOKUP(Table1[[#This Row],[CountryCode]],[1]!Table1[#All],1,FALSE)</f>
        <v>#REF!</v>
      </c>
    </row>
    <row r="8252" spans="1:12" hidden="1" x14ac:dyDescent="0.3">
      <c r="A8252" t="s">
        <v>41</v>
      </c>
      <c r="B8252" t="s">
        <v>42</v>
      </c>
      <c r="C8252" t="s">
        <v>129</v>
      </c>
      <c r="D8252" t="s">
        <v>130</v>
      </c>
      <c r="E8252">
        <v>1987</v>
      </c>
      <c r="F8252" s="1">
        <v>71</v>
      </c>
      <c r="G8252">
        <v>1990</v>
      </c>
      <c r="H8252">
        <f>AVERAGEIFS(Table1[value],Table1[IndicatorCode],Table1[[#This Row],[IndicatorCode]])</f>
        <v>72.66514008620689</v>
      </c>
      <c r="I8252" cm="1">
        <f t="array" ref="I8252">_xlfn.STDEV.P(IF(Table1[IndicatorCode]=Table1[[#This Row],[IndicatorCode]],Table1[value]))</f>
        <v>6.3409496564024987</v>
      </c>
      <c r="J8252">
        <f>(Table1[[#This Row],[value]] - Table1[[#This Row],[mean]]) / Table1[[#This Row],[std_dev]]</f>
        <v>-0.2626010576389905</v>
      </c>
      <c r="K8252">
        <f>AVERAGEIF(Table1[CountryCode],Table1[[#This Row],[CountryCode]],Table1[z-score])</f>
        <v>0.48103769638692301</v>
      </c>
      <c r="L8252" t="e">
        <f>VLOOKUP(Table1[[#This Row],[CountryCode]],[1]!Table1[#All],1,FALSE)</f>
        <v>#REF!</v>
      </c>
    </row>
    <row r="8253" spans="1:12" hidden="1" x14ac:dyDescent="0.3">
      <c r="A8253" t="s">
        <v>41</v>
      </c>
      <c r="B8253" t="s">
        <v>42</v>
      </c>
      <c r="C8253" t="s">
        <v>129</v>
      </c>
      <c r="D8253" t="s">
        <v>130</v>
      </c>
      <c r="E8253">
        <v>1988</v>
      </c>
      <c r="F8253" s="1">
        <v>71</v>
      </c>
      <c r="G8253">
        <v>1990</v>
      </c>
      <c r="H8253">
        <f>AVERAGEIFS(Table1[value],Table1[IndicatorCode],Table1[[#This Row],[IndicatorCode]])</f>
        <v>72.66514008620689</v>
      </c>
      <c r="I8253" cm="1">
        <f t="array" ref="I8253">_xlfn.STDEV.P(IF(Table1[IndicatorCode]=Table1[[#This Row],[IndicatorCode]],Table1[value]))</f>
        <v>6.3409496564024987</v>
      </c>
      <c r="J8253">
        <f>(Table1[[#This Row],[value]] - Table1[[#This Row],[mean]]) / Table1[[#This Row],[std_dev]]</f>
        <v>-0.2626010576389905</v>
      </c>
      <c r="K8253">
        <f>AVERAGEIF(Table1[CountryCode],Table1[[#This Row],[CountryCode]],Table1[z-score])</f>
        <v>0.48103769638692301</v>
      </c>
      <c r="L8253" t="e">
        <f>VLOOKUP(Table1[[#This Row],[CountryCode]],[1]!Table1[#All],1,FALSE)</f>
        <v>#REF!</v>
      </c>
    </row>
    <row r="8254" spans="1:12" hidden="1" x14ac:dyDescent="0.3">
      <c r="A8254" t="s">
        <v>41</v>
      </c>
      <c r="B8254" t="s">
        <v>42</v>
      </c>
      <c r="C8254" t="s">
        <v>129</v>
      </c>
      <c r="D8254" t="s">
        <v>130</v>
      </c>
      <c r="E8254">
        <v>1989</v>
      </c>
      <c r="F8254" s="1">
        <v>70</v>
      </c>
      <c r="G8254">
        <v>1990</v>
      </c>
      <c r="H8254">
        <f>AVERAGEIFS(Table1[value],Table1[IndicatorCode],Table1[[#This Row],[IndicatorCode]])</f>
        <v>72.66514008620689</v>
      </c>
      <c r="I8254" cm="1">
        <f t="array" ref="I8254">_xlfn.STDEV.P(IF(Table1[IndicatorCode]=Table1[[#This Row],[IndicatorCode]],Table1[value]))</f>
        <v>6.3409496564024987</v>
      </c>
      <c r="J8254">
        <f>(Table1[[#This Row],[value]] - Table1[[#This Row],[mean]]) / Table1[[#This Row],[std_dev]]</f>
        <v>-0.4203061419224296</v>
      </c>
      <c r="K8254">
        <f>AVERAGEIF(Table1[CountryCode],Table1[[#This Row],[CountryCode]],Table1[z-score])</f>
        <v>0.48103769638692301</v>
      </c>
      <c r="L8254" t="e">
        <f>VLOOKUP(Table1[[#This Row],[CountryCode]],[1]!Table1[#All],1,FALSE)</f>
        <v>#REF!</v>
      </c>
    </row>
    <row r="8255" spans="1:12" hidden="1" x14ac:dyDescent="0.3">
      <c r="A8255" t="s">
        <v>41</v>
      </c>
      <c r="B8255" t="s">
        <v>42</v>
      </c>
      <c r="C8255" t="s">
        <v>129</v>
      </c>
      <c r="D8255" t="s">
        <v>130</v>
      </c>
      <c r="E8255">
        <v>1990</v>
      </c>
      <c r="F8255" s="1">
        <v>69</v>
      </c>
      <c r="G8255">
        <v>1990</v>
      </c>
      <c r="H8255">
        <f>AVERAGEIFS(Table1[value],Table1[IndicatorCode],Table1[[#This Row],[IndicatorCode]])</f>
        <v>72.66514008620689</v>
      </c>
      <c r="I8255" cm="1">
        <f t="array" ref="I8255">_xlfn.STDEV.P(IF(Table1[IndicatorCode]=Table1[[#This Row],[IndicatorCode]],Table1[value]))</f>
        <v>6.3409496564024987</v>
      </c>
      <c r="J8255">
        <f>(Table1[[#This Row],[value]] - Table1[[#This Row],[mean]]) / Table1[[#This Row],[std_dev]]</f>
        <v>-0.57801122620586864</v>
      </c>
      <c r="K8255">
        <f>AVERAGEIF(Table1[CountryCode],Table1[[#This Row],[CountryCode]],Table1[z-score])</f>
        <v>0.48103769638692301</v>
      </c>
      <c r="L8255" t="e">
        <f>VLOOKUP(Table1[[#This Row],[CountryCode]],[1]!Table1[#All],1,FALSE)</f>
        <v>#REF!</v>
      </c>
    </row>
    <row r="8256" spans="1:12" hidden="1" x14ac:dyDescent="0.3">
      <c r="A8256" t="s">
        <v>41</v>
      </c>
      <c r="B8256" t="s">
        <v>42</v>
      </c>
      <c r="C8256" t="s">
        <v>129</v>
      </c>
      <c r="D8256" t="s">
        <v>130</v>
      </c>
      <c r="E8256">
        <v>1991</v>
      </c>
      <c r="F8256" s="1">
        <v>69</v>
      </c>
      <c r="G8256">
        <v>1990</v>
      </c>
      <c r="H8256">
        <f>AVERAGEIFS(Table1[value],Table1[IndicatorCode],Table1[[#This Row],[IndicatorCode]])</f>
        <v>72.66514008620689</v>
      </c>
      <c r="I8256" cm="1">
        <f t="array" ref="I8256">_xlfn.STDEV.P(IF(Table1[IndicatorCode]=Table1[[#This Row],[IndicatorCode]],Table1[value]))</f>
        <v>6.3409496564024987</v>
      </c>
      <c r="J8256">
        <f>(Table1[[#This Row],[value]] - Table1[[#This Row],[mean]]) / Table1[[#This Row],[std_dev]]</f>
        <v>-0.57801122620586864</v>
      </c>
      <c r="K8256">
        <f>AVERAGEIF(Table1[CountryCode],Table1[[#This Row],[CountryCode]],Table1[z-score])</f>
        <v>0.48103769638692301</v>
      </c>
      <c r="L8256" t="e">
        <f>VLOOKUP(Table1[[#This Row],[CountryCode]],[1]!Table1[#All],1,FALSE)</f>
        <v>#REF!</v>
      </c>
    </row>
    <row r="8257" spans="1:12" hidden="1" x14ac:dyDescent="0.3">
      <c r="A8257" t="s">
        <v>41</v>
      </c>
      <c r="B8257" t="s">
        <v>42</v>
      </c>
      <c r="C8257" t="s">
        <v>129</v>
      </c>
      <c r="D8257" t="s">
        <v>130</v>
      </c>
      <c r="E8257">
        <v>1992</v>
      </c>
      <c r="F8257" s="1">
        <v>69</v>
      </c>
      <c r="G8257">
        <v>1990</v>
      </c>
      <c r="H8257">
        <f>AVERAGEIFS(Table1[value],Table1[IndicatorCode],Table1[[#This Row],[IndicatorCode]])</f>
        <v>72.66514008620689</v>
      </c>
      <c r="I8257" cm="1">
        <f t="array" ref="I8257">_xlfn.STDEV.P(IF(Table1[IndicatorCode]=Table1[[#This Row],[IndicatorCode]],Table1[value]))</f>
        <v>6.3409496564024987</v>
      </c>
      <c r="J8257">
        <f>(Table1[[#This Row],[value]] - Table1[[#This Row],[mean]]) / Table1[[#This Row],[std_dev]]</f>
        <v>-0.57801122620586864</v>
      </c>
      <c r="K8257">
        <f>AVERAGEIF(Table1[CountryCode],Table1[[#This Row],[CountryCode]],Table1[z-score])</f>
        <v>0.48103769638692301</v>
      </c>
      <c r="L8257" t="e">
        <f>VLOOKUP(Table1[[#This Row],[CountryCode]],[1]!Table1[#All],1,FALSE)</f>
        <v>#REF!</v>
      </c>
    </row>
    <row r="8258" spans="1:12" hidden="1" x14ac:dyDescent="0.3">
      <c r="A8258" t="s">
        <v>41</v>
      </c>
      <c r="B8258" t="s">
        <v>42</v>
      </c>
      <c r="C8258" t="s">
        <v>129</v>
      </c>
      <c r="D8258" t="s">
        <v>130</v>
      </c>
      <c r="E8258">
        <v>1993</v>
      </c>
      <c r="F8258" s="1">
        <v>68</v>
      </c>
      <c r="G8258">
        <v>1990</v>
      </c>
      <c r="H8258">
        <f>AVERAGEIFS(Table1[value],Table1[IndicatorCode],Table1[[#This Row],[IndicatorCode]])</f>
        <v>72.66514008620689</v>
      </c>
      <c r="I8258" cm="1">
        <f t="array" ref="I8258">_xlfn.STDEV.P(IF(Table1[IndicatorCode]=Table1[[#This Row],[IndicatorCode]],Table1[value]))</f>
        <v>6.3409496564024987</v>
      </c>
      <c r="J8258">
        <f>(Table1[[#This Row],[value]] - Table1[[#This Row],[mean]]) / Table1[[#This Row],[std_dev]]</f>
        <v>-0.73571631048930775</v>
      </c>
      <c r="K8258">
        <f>AVERAGEIF(Table1[CountryCode],Table1[[#This Row],[CountryCode]],Table1[z-score])</f>
        <v>0.48103769638692301</v>
      </c>
      <c r="L8258" t="e">
        <f>VLOOKUP(Table1[[#This Row],[CountryCode]],[1]!Table1[#All],1,FALSE)</f>
        <v>#REF!</v>
      </c>
    </row>
    <row r="8259" spans="1:12" hidden="1" x14ac:dyDescent="0.3">
      <c r="A8259" t="s">
        <v>41</v>
      </c>
      <c r="B8259" t="s">
        <v>42</v>
      </c>
      <c r="C8259" t="s">
        <v>129</v>
      </c>
      <c r="D8259" t="s">
        <v>130</v>
      </c>
      <c r="E8259">
        <v>1994</v>
      </c>
      <c r="F8259" s="1">
        <v>67</v>
      </c>
      <c r="G8259">
        <v>1990</v>
      </c>
      <c r="H8259">
        <f>AVERAGEIFS(Table1[value],Table1[IndicatorCode],Table1[[#This Row],[IndicatorCode]])</f>
        <v>72.66514008620689</v>
      </c>
      <c r="I8259" cm="1">
        <f t="array" ref="I8259">_xlfn.STDEV.P(IF(Table1[IndicatorCode]=Table1[[#This Row],[IndicatorCode]],Table1[value]))</f>
        <v>6.3409496564024987</v>
      </c>
      <c r="J8259">
        <f>(Table1[[#This Row],[value]] - Table1[[#This Row],[mean]]) / Table1[[#This Row],[std_dev]]</f>
        <v>-0.89342139477274674</v>
      </c>
      <c r="K8259">
        <f>AVERAGEIF(Table1[CountryCode],Table1[[#This Row],[CountryCode]],Table1[z-score])</f>
        <v>0.48103769638692301</v>
      </c>
      <c r="L8259" t="e">
        <f>VLOOKUP(Table1[[#This Row],[CountryCode]],[1]!Table1[#All],1,FALSE)</f>
        <v>#REF!</v>
      </c>
    </row>
    <row r="8260" spans="1:12" hidden="1" x14ac:dyDescent="0.3">
      <c r="A8260" t="s">
        <v>41</v>
      </c>
      <c r="B8260" t="s">
        <v>42</v>
      </c>
      <c r="C8260" t="s">
        <v>129</v>
      </c>
      <c r="D8260" t="s">
        <v>130</v>
      </c>
      <c r="E8260">
        <v>1995</v>
      </c>
      <c r="F8260" s="1">
        <v>68</v>
      </c>
      <c r="G8260">
        <v>1990</v>
      </c>
      <c r="H8260">
        <f>AVERAGEIFS(Table1[value],Table1[IndicatorCode],Table1[[#This Row],[IndicatorCode]])</f>
        <v>72.66514008620689</v>
      </c>
      <c r="I8260" cm="1">
        <f t="array" ref="I8260">_xlfn.STDEV.P(IF(Table1[IndicatorCode]=Table1[[#This Row],[IndicatorCode]],Table1[value]))</f>
        <v>6.3409496564024987</v>
      </c>
      <c r="J8260">
        <f>(Table1[[#This Row],[value]] - Table1[[#This Row],[mean]]) / Table1[[#This Row],[std_dev]]</f>
        <v>-0.73571631048930775</v>
      </c>
      <c r="K8260">
        <f>AVERAGEIF(Table1[CountryCode],Table1[[#This Row],[CountryCode]],Table1[z-score])</f>
        <v>0.48103769638692301</v>
      </c>
      <c r="L8260" t="e">
        <f>VLOOKUP(Table1[[#This Row],[CountryCode]],[1]!Table1[#All],1,FALSE)</f>
        <v>#REF!</v>
      </c>
    </row>
    <row r="8261" spans="1:12" hidden="1" x14ac:dyDescent="0.3">
      <c r="A8261" t="s">
        <v>41</v>
      </c>
      <c r="B8261" t="s">
        <v>42</v>
      </c>
      <c r="C8261" t="s">
        <v>129</v>
      </c>
      <c r="D8261" t="s">
        <v>130</v>
      </c>
      <c r="E8261">
        <v>1996</v>
      </c>
      <c r="F8261" s="1">
        <v>70</v>
      </c>
      <c r="G8261">
        <v>1990</v>
      </c>
      <c r="H8261">
        <f>AVERAGEIFS(Table1[value],Table1[IndicatorCode],Table1[[#This Row],[IndicatorCode]])</f>
        <v>72.66514008620689</v>
      </c>
      <c r="I8261" cm="1">
        <f t="array" ref="I8261">_xlfn.STDEV.P(IF(Table1[IndicatorCode]=Table1[[#This Row],[IndicatorCode]],Table1[value]))</f>
        <v>6.3409496564024987</v>
      </c>
      <c r="J8261">
        <f>(Table1[[#This Row],[value]] - Table1[[#This Row],[mean]]) / Table1[[#This Row],[std_dev]]</f>
        <v>-0.4203061419224296</v>
      </c>
      <c r="K8261">
        <f>AVERAGEIF(Table1[CountryCode],Table1[[#This Row],[CountryCode]],Table1[z-score])</f>
        <v>0.48103769638692301</v>
      </c>
      <c r="L8261" t="e">
        <f>VLOOKUP(Table1[[#This Row],[CountryCode]],[1]!Table1[#All],1,FALSE)</f>
        <v>#REF!</v>
      </c>
    </row>
    <row r="8262" spans="1:12" hidden="1" x14ac:dyDescent="0.3">
      <c r="A8262" t="s">
        <v>41</v>
      </c>
      <c r="B8262" t="s">
        <v>42</v>
      </c>
      <c r="C8262" t="s">
        <v>129</v>
      </c>
      <c r="D8262" t="s">
        <v>130</v>
      </c>
      <c r="E8262">
        <v>1997</v>
      </c>
      <c r="F8262" s="1">
        <v>70</v>
      </c>
      <c r="G8262">
        <v>2000</v>
      </c>
      <c r="H8262">
        <f>AVERAGEIFS(Table1[value],Table1[IndicatorCode],Table1[[#This Row],[IndicatorCode]])</f>
        <v>72.66514008620689</v>
      </c>
      <c r="I8262" cm="1">
        <f t="array" ref="I8262">_xlfn.STDEV.P(IF(Table1[IndicatorCode]=Table1[[#This Row],[IndicatorCode]],Table1[value]))</f>
        <v>6.3409496564024987</v>
      </c>
      <c r="J8262">
        <f>(Table1[[#This Row],[value]] - Table1[[#This Row],[mean]]) / Table1[[#This Row],[std_dev]]</f>
        <v>-0.4203061419224296</v>
      </c>
      <c r="K8262">
        <f>AVERAGEIF(Table1[CountryCode],Table1[[#This Row],[CountryCode]],Table1[z-score])</f>
        <v>0.48103769638692301</v>
      </c>
      <c r="L8262" t="e">
        <f>VLOOKUP(Table1[[#This Row],[CountryCode]],[1]!Table1[#All],1,FALSE)</f>
        <v>#REF!</v>
      </c>
    </row>
    <row r="8263" spans="1:12" hidden="1" x14ac:dyDescent="0.3">
      <c r="A8263" t="s">
        <v>41</v>
      </c>
      <c r="B8263" t="s">
        <v>42</v>
      </c>
      <c r="C8263" t="s">
        <v>129</v>
      </c>
      <c r="D8263" t="s">
        <v>130</v>
      </c>
      <c r="E8263">
        <v>1998</v>
      </c>
      <c r="F8263" s="1">
        <v>69</v>
      </c>
      <c r="G8263">
        <v>2000</v>
      </c>
      <c r="H8263">
        <f>AVERAGEIFS(Table1[value],Table1[IndicatorCode],Table1[[#This Row],[IndicatorCode]])</f>
        <v>72.66514008620689</v>
      </c>
      <c r="I8263" cm="1">
        <f t="array" ref="I8263">_xlfn.STDEV.P(IF(Table1[IndicatorCode]=Table1[[#This Row],[IndicatorCode]],Table1[value]))</f>
        <v>6.3409496564024987</v>
      </c>
      <c r="J8263">
        <f>(Table1[[#This Row],[value]] - Table1[[#This Row],[mean]]) / Table1[[#This Row],[std_dev]]</f>
        <v>-0.57801122620586864</v>
      </c>
      <c r="K8263">
        <f>AVERAGEIF(Table1[CountryCode],Table1[[#This Row],[CountryCode]],Table1[z-score])</f>
        <v>0.48103769638692301</v>
      </c>
      <c r="L8263" t="e">
        <f>VLOOKUP(Table1[[#This Row],[CountryCode]],[1]!Table1[#All],1,FALSE)</f>
        <v>#REF!</v>
      </c>
    </row>
    <row r="8264" spans="1:12" hidden="1" x14ac:dyDescent="0.3">
      <c r="A8264" t="s">
        <v>41</v>
      </c>
      <c r="B8264" t="s">
        <v>42</v>
      </c>
      <c r="C8264" t="s">
        <v>129</v>
      </c>
      <c r="D8264" t="s">
        <v>130</v>
      </c>
      <c r="E8264">
        <v>1999</v>
      </c>
      <c r="F8264" s="1">
        <v>70</v>
      </c>
      <c r="G8264">
        <v>2000</v>
      </c>
      <c r="H8264">
        <f>AVERAGEIFS(Table1[value],Table1[IndicatorCode],Table1[[#This Row],[IndicatorCode]])</f>
        <v>72.66514008620689</v>
      </c>
      <c r="I8264" cm="1">
        <f t="array" ref="I8264">_xlfn.STDEV.P(IF(Table1[IndicatorCode]=Table1[[#This Row],[IndicatorCode]],Table1[value]))</f>
        <v>6.3409496564024987</v>
      </c>
      <c r="J8264">
        <f>(Table1[[#This Row],[value]] - Table1[[#This Row],[mean]]) / Table1[[#This Row],[std_dev]]</f>
        <v>-0.4203061419224296</v>
      </c>
      <c r="K8264">
        <f>AVERAGEIF(Table1[CountryCode],Table1[[#This Row],[CountryCode]],Table1[z-score])</f>
        <v>0.48103769638692301</v>
      </c>
      <c r="L8264" t="e">
        <f>VLOOKUP(Table1[[#This Row],[CountryCode]],[1]!Table1[#All],1,FALSE)</f>
        <v>#REF!</v>
      </c>
    </row>
    <row r="8265" spans="1:12" hidden="1" x14ac:dyDescent="0.3">
      <c r="A8265" t="s">
        <v>41</v>
      </c>
      <c r="B8265" t="s">
        <v>42</v>
      </c>
      <c r="C8265" t="s">
        <v>129</v>
      </c>
      <c r="D8265" t="s">
        <v>130</v>
      </c>
      <c r="E8265">
        <v>2000</v>
      </c>
      <c r="F8265" s="1">
        <v>70</v>
      </c>
      <c r="G8265">
        <v>2000</v>
      </c>
      <c r="H8265">
        <f>AVERAGEIFS(Table1[value],Table1[IndicatorCode],Table1[[#This Row],[IndicatorCode]])</f>
        <v>72.66514008620689</v>
      </c>
      <c r="I8265" cm="1">
        <f t="array" ref="I8265">_xlfn.STDEV.P(IF(Table1[IndicatorCode]=Table1[[#This Row],[IndicatorCode]],Table1[value]))</f>
        <v>6.3409496564024987</v>
      </c>
      <c r="J8265">
        <f>(Table1[[#This Row],[value]] - Table1[[#This Row],[mean]]) / Table1[[#This Row],[std_dev]]</f>
        <v>-0.4203061419224296</v>
      </c>
      <c r="K8265">
        <f>AVERAGEIF(Table1[CountryCode],Table1[[#This Row],[CountryCode]],Table1[z-score])</f>
        <v>0.48103769638692301</v>
      </c>
      <c r="L8265" t="e">
        <f>VLOOKUP(Table1[[#This Row],[CountryCode]],[1]!Table1[#All],1,FALSE)</f>
        <v>#REF!</v>
      </c>
    </row>
    <row r="8266" spans="1:12" hidden="1" x14ac:dyDescent="0.3">
      <c r="A8266" t="s">
        <v>41</v>
      </c>
      <c r="B8266" t="s">
        <v>42</v>
      </c>
      <c r="C8266" t="s">
        <v>129</v>
      </c>
      <c r="D8266" t="s">
        <v>130</v>
      </c>
      <c r="E8266">
        <v>2001</v>
      </c>
      <c r="F8266" s="1">
        <v>70</v>
      </c>
      <c r="G8266">
        <v>2000</v>
      </c>
      <c r="H8266">
        <f>AVERAGEIFS(Table1[value],Table1[IndicatorCode],Table1[[#This Row],[IndicatorCode]])</f>
        <v>72.66514008620689</v>
      </c>
      <c r="I8266" cm="1">
        <f t="array" ref="I8266">_xlfn.STDEV.P(IF(Table1[IndicatorCode]=Table1[[#This Row],[IndicatorCode]],Table1[value]))</f>
        <v>6.3409496564024987</v>
      </c>
      <c r="J8266">
        <f>(Table1[[#This Row],[value]] - Table1[[#This Row],[mean]]) / Table1[[#This Row],[std_dev]]</f>
        <v>-0.4203061419224296</v>
      </c>
      <c r="K8266">
        <f>AVERAGEIF(Table1[CountryCode],Table1[[#This Row],[CountryCode]],Table1[z-score])</f>
        <v>0.48103769638692301</v>
      </c>
      <c r="L8266" t="e">
        <f>VLOOKUP(Table1[[#This Row],[CountryCode]],[1]!Table1[#All],1,FALSE)</f>
        <v>#REF!</v>
      </c>
    </row>
    <row r="8267" spans="1:12" hidden="1" x14ac:dyDescent="0.3">
      <c r="A8267" t="s">
        <v>41</v>
      </c>
      <c r="B8267" t="s">
        <v>42</v>
      </c>
      <c r="C8267" t="s">
        <v>129</v>
      </c>
      <c r="D8267" t="s">
        <v>130</v>
      </c>
      <c r="E8267">
        <v>2002</v>
      </c>
      <c r="F8267" s="1">
        <v>71</v>
      </c>
      <c r="G8267">
        <v>2000</v>
      </c>
      <c r="H8267">
        <f>AVERAGEIFS(Table1[value],Table1[IndicatorCode],Table1[[#This Row],[IndicatorCode]])</f>
        <v>72.66514008620689</v>
      </c>
      <c r="I8267" cm="1">
        <f t="array" ref="I8267">_xlfn.STDEV.P(IF(Table1[IndicatorCode]=Table1[[#This Row],[IndicatorCode]],Table1[value]))</f>
        <v>6.3409496564024987</v>
      </c>
      <c r="J8267">
        <f>(Table1[[#This Row],[value]] - Table1[[#This Row],[mean]]) / Table1[[#This Row],[std_dev]]</f>
        <v>-0.2626010576389905</v>
      </c>
      <c r="K8267">
        <f>AVERAGEIF(Table1[CountryCode],Table1[[#This Row],[CountryCode]],Table1[z-score])</f>
        <v>0.48103769638692301</v>
      </c>
      <c r="L8267" t="e">
        <f>VLOOKUP(Table1[[#This Row],[CountryCode]],[1]!Table1[#All],1,FALSE)</f>
        <v>#REF!</v>
      </c>
    </row>
    <row r="8268" spans="1:12" hidden="1" x14ac:dyDescent="0.3">
      <c r="A8268" t="s">
        <v>41</v>
      </c>
      <c r="B8268" t="s">
        <v>42</v>
      </c>
      <c r="C8268" t="s">
        <v>129</v>
      </c>
      <c r="D8268" t="s">
        <v>130</v>
      </c>
      <c r="E8268">
        <v>2003</v>
      </c>
      <c r="F8268" s="1">
        <v>71</v>
      </c>
      <c r="G8268">
        <v>2000</v>
      </c>
      <c r="H8268">
        <f>AVERAGEIFS(Table1[value],Table1[IndicatorCode],Table1[[#This Row],[IndicatorCode]])</f>
        <v>72.66514008620689</v>
      </c>
      <c r="I8268" cm="1">
        <f t="array" ref="I8268">_xlfn.STDEV.P(IF(Table1[IndicatorCode]=Table1[[#This Row],[IndicatorCode]],Table1[value]))</f>
        <v>6.3409496564024987</v>
      </c>
      <c r="J8268">
        <f>(Table1[[#This Row],[value]] - Table1[[#This Row],[mean]]) / Table1[[#This Row],[std_dev]]</f>
        <v>-0.2626010576389905</v>
      </c>
      <c r="K8268">
        <f>AVERAGEIF(Table1[CountryCode],Table1[[#This Row],[CountryCode]],Table1[z-score])</f>
        <v>0.48103769638692301</v>
      </c>
      <c r="L8268" t="e">
        <f>VLOOKUP(Table1[[#This Row],[CountryCode]],[1]!Table1[#All],1,FALSE)</f>
        <v>#REF!</v>
      </c>
    </row>
    <row r="8269" spans="1:12" hidden="1" x14ac:dyDescent="0.3">
      <c r="A8269" t="s">
        <v>41</v>
      </c>
      <c r="B8269" t="s">
        <v>42</v>
      </c>
      <c r="C8269" t="s">
        <v>129</v>
      </c>
      <c r="D8269" t="s">
        <v>130</v>
      </c>
      <c r="E8269">
        <v>2004</v>
      </c>
      <c r="F8269" s="1">
        <v>72</v>
      </c>
      <c r="G8269">
        <v>2000</v>
      </c>
      <c r="H8269">
        <f>AVERAGEIFS(Table1[value],Table1[IndicatorCode],Table1[[#This Row],[IndicatorCode]])</f>
        <v>72.66514008620689</v>
      </c>
      <c r="I8269" cm="1">
        <f t="array" ref="I8269">_xlfn.STDEV.P(IF(Table1[IndicatorCode]=Table1[[#This Row],[IndicatorCode]],Table1[value]))</f>
        <v>6.3409496564024987</v>
      </c>
      <c r="J8269">
        <f>(Table1[[#This Row],[value]] - Table1[[#This Row],[mean]]) / Table1[[#This Row],[std_dev]]</f>
        <v>-0.10489597335555145</v>
      </c>
      <c r="K8269">
        <f>AVERAGEIF(Table1[CountryCode],Table1[[#This Row],[CountryCode]],Table1[z-score])</f>
        <v>0.48103769638692301</v>
      </c>
      <c r="L8269" t="e">
        <f>VLOOKUP(Table1[[#This Row],[CountryCode]],[1]!Table1[#All],1,FALSE)</f>
        <v>#REF!</v>
      </c>
    </row>
    <row r="8270" spans="1:12" hidden="1" x14ac:dyDescent="0.3">
      <c r="A8270" t="s">
        <v>41</v>
      </c>
      <c r="B8270" t="s">
        <v>42</v>
      </c>
      <c r="C8270" t="s">
        <v>129</v>
      </c>
      <c r="D8270" t="s">
        <v>130</v>
      </c>
      <c r="E8270">
        <v>2005</v>
      </c>
      <c r="F8270" s="1">
        <v>73</v>
      </c>
      <c r="G8270">
        <v>2000</v>
      </c>
      <c r="H8270">
        <f>AVERAGEIFS(Table1[value],Table1[IndicatorCode],Table1[[#This Row],[IndicatorCode]])</f>
        <v>72.66514008620689</v>
      </c>
      <c r="I8270" cm="1">
        <f t="array" ref="I8270">_xlfn.STDEV.P(IF(Table1[IndicatorCode]=Table1[[#This Row],[IndicatorCode]],Table1[value]))</f>
        <v>6.3409496564024987</v>
      </c>
      <c r="J8270">
        <f>(Table1[[#This Row],[value]] - Table1[[#This Row],[mean]]) / Table1[[#This Row],[std_dev]]</f>
        <v>5.2809110927887599E-2</v>
      </c>
      <c r="K8270">
        <f>AVERAGEIF(Table1[CountryCode],Table1[[#This Row],[CountryCode]],Table1[z-score])</f>
        <v>0.48103769638692301</v>
      </c>
      <c r="L8270" t="e">
        <f>VLOOKUP(Table1[[#This Row],[CountryCode]],[1]!Table1[#All],1,FALSE)</f>
        <v>#REF!</v>
      </c>
    </row>
    <row r="8271" spans="1:12" hidden="1" x14ac:dyDescent="0.3">
      <c r="A8271" t="s">
        <v>41</v>
      </c>
      <c r="B8271" t="s">
        <v>42</v>
      </c>
      <c r="C8271" t="s">
        <v>129</v>
      </c>
      <c r="D8271" t="s">
        <v>130</v>
      </c>
      <c r="E8271">
        <v>2006</v>
      </c>
      <c r="F8271" s="1">
        <v>73</v>
      </c>
      <c r="G8271">
        <v>2000</v>
      </c>
      <c r="H8271">
        <f>AVERAGEIFS(Table1[value],Table1[IndicatorCode],Table1[[#This Row],[IndicatorCode]])</f>
        <v>72.66514008620689</v>
      </c>
      <c r="I8271" cm="1">
        <f t="array" ref="I8271">_xlfn.STDEV.P(IF(Table1[IndicatorCode]=Table1[[#This Row],[IndicatorCode]],Table1[value]))</f>
        <v>6.3409496564024987</v>
      </c>
      <c r="J8271">
        <f>(Table1[[#This Row],[value]] - Table1[[#This Row],[mean]]) / Table1[[#This Row],[std_dev]]</f>
        <v>5.2809110927887599E-2</v>
      </c>
      <c r="K8271">
        <f>AVERAGEIF(Table1[CountryCode],Table1[[#This Row],[CountryCode]],Table1[z-score])</f>
        <v>0.48103769638692301</v>
      </c>
      <c r="L8271" t="e">
        <f>VLOOKUP(Table1[[#This Row],[CountryCode]],[1]!Table1[#All],1,FALSE)</f>
        <v>#REF!</v>
      </c>
    </row>
    <row r="8272" spans="1:12" hidden="1" x14ac:dyDescent="0.3">
      <c r="A8272" t="s">
        <v>41</v>
      </c>
      <c r="B8272" t="s">
        <v>42</v>
      </c>
      <c r="C8272" t="s">
        <v>129</v>
      </c>
      <c r="D8272" t="s">
        <v>130</v>
      </c>
      <c r="E8272">
        <v>2007</v>
      </c>
      <c r="F8272" s="1">
        <v>73</v>
      </c>
      <c r="G8272">
        <v>2010</v>
      </c>
      <c r="H8272">
        <f>AVERAGEIFS(Table1[value],Table1[IndicatorCode],Table1[[#This Row],[IndicatorCode]])</f>
        <v>72.66514008620689</v>
      </c>
      <c r="I8272" cm="1">
        <f t="array" ref="I8272">_xlfn.STDEV.P(IF(Table1[IndicatorCode]=Table1[[#This Row],[IndicatorCode]],Table1[value]))</f>
        <v>6.3409496564024987</v>
      </c>
      <c r="J8272">
        <f>(Table1[[#This Row],[value]] - Table1[[#This Row],[mean]]) / Table1[[#This Row],[std_dev]]</f>
        <v>5.2809110927887599E-2</v>
      </c>
      <c r="K8272">
        <f>AVERAGEIF(Table1[CountryCode],Table1[[#This Row],[CountryCode]],Table1[z-score])</f>
        <v>0.48103769638692301</v>
      </c>
      <c r="L8272" t="e">
        <f>VLOOKUP(Table1[[#This Row],[CountryCode]],[1]!Table1[#All],1,FALSE)</f>
        <v>#REF!</v>
      </c>
    </row>
    <row r="8273" spans="1:12" hidden="1" x14ac:dyDescent="0.3">
      <c r="A8273" t="s">
        <v>41</v>
      </c>
      <c r="B8273" t="s">
        <v>42</v>
      </c>
      <c r="C8273" t="s">
        <v>129</v>
      </c>
      <c r="D8273" t="s">
        <v>130</v>
      </c>
      <c r="E8273">
        <v>2008</v>
      </c>
      <c r="F8273" s="1">
        <v>74</v>
      </c>
      <c r="G8273">
        <v>2010</v>
      </c>
      <c r="H8273">
        <f>AVERAGEIFS(Table1[value],Table1[IndicatorCode],Table1[[#This Row],[IndicatorCode]])</f>
        <v>72.66514008620689</v>
      </c>
      <c r="I8273" cm="1">
        <f t="array" ref="I8273">_xlfn.STDEV.P(IF(Table1[IndicatorCode]=Table1[[#This Row],[IndicatorCode]],Table1[value]))</f>
        <v>6.3409496564024987</v>
      </c>
      <c r="J8273">
        <f>(Table1[[#This Row],[value]] - Table1[[#This Row],[mean]]) / Table1[[#This Row],[std_dev]]</f>
        <v>0.21051419521132667</v>
      </c>
      <c r="K8273">
        <f>AVERAGEIF(Table1[CountryCode],Table1[[#This Row],[CountryCode]],Table1[z-score])</f>
        <v>0.48103769638692301</v>
      </c>
      <c r="L8273" t="e">
        <f>VLOOKUP(Table1[[#This Row],[CountryCode]],[1]!Table1[#All],1,FALSE)</f>
        <v>#REF!</v>
      </c>
    </row>
    <row r="8274" spans="1:12" hidden="1" x14ac:dyDescent="0.3">
      <c r="A8274" t="s">
        <v>41</v>
      </c>
      <c r="B8274" t="s">
        <v>42</v>
      </c>
      <c r="C8274" t="s">
        <v>129</v>
      </c>
      <c r="D8274" t="s">
        <v>130</v>
      </c>
      <c r="E8274">
        <v>2009</v>
      </c>
      <c r="F8274" s="1">
        <v>75</v>
      </c>
      <c r="G8274">
        <v>2010</v>
      </c>
      <c r="H8274">
        <f>AVERAGEIFS(Table1[value],Table1[IndicatorCode],Table1[[#This Row],[IndicatorCode]])</f>
        <v>72.66514008620689</v>
      </c>
      <c r="I8274" cm="1">
        <f t="array" ref="I8274">_xlfn.STDEV.P(IF(Table1[IndicatorCode]=Table1[[#This Row],[IndicatorCode]],Table1[value]))</f>
        <v>6.3409496564024987</v>
      </c>
      <c r="J8274">
        <f>(Table1[[#This Row],[value]] - Table1[[#This Row],[mean]]) / Table1[[#This Row],[std_dev]]</f>
        <v>0.36821927949476574</v>
      </c>
      <c r="K8274">
        <f>AVERAGEIF(Table1[CountryCode],Table1[[#This Row],[CountryCode]],Table1[z-score])</f>
        <v>0.48103769638692301</v>
      </c>
      <c r="L8274" t="e">
        <f>VLOOKUP(Table1[[#This Row],[CountryCode]],[1]!Table1[#All],1,FALSE)</f>
        <v>#REF!</v>
      </c>
    </row>
    <row r="8275" spans="1:12" hidden="1" x14ac:dyDescent="0.3">
      <c r="A8275" t="s">
        <v>41</v>
      </c>
      <c r="B8275" t="s">
        <v>42</v>
      </c>
      <c r="C8275" t="s">
        <v>129</v>
      </c>
      <c r="D8275" t="s">
        <v>130</v>
      </c>
      <c r="E8275">
        <v>2010</v>
      </c>
      <c r="F8275" s="1">
        <v>75</v>
      </c>
      <c r="G8275">
        <v>2010</v>
      </c>
      <c r="H8275">
        <f>AVERAGEIFS(Table1[value],Table1[IndicatorCode],Table1[[#This Row],[IndicatorCode]])</f>
        <v>72.66514008620689</v>
      </c>
      <c r="I8275" cm="1">
        <f t="array" ref="I8275">_xlfn.STDEV.P(IF(Table1[IndicatorCode]=Table1[[#This Row],[IndicatorCode]],Table1[value]))</f>
        <v>6.3409496564024987</v>
      </c>
      <c r="J8275">
        <f>(Table1[[#This Row],[value]] - Table1[[#This Row],[mean]]) / Table1[[#This Row],[std_dev]]</f>
        <v>0.36821927949476574</v>
      </c>
      <c r="K8275">
        <f>AVERAGEIF(Table1[CountryCode],Table1[[#This Row],[CountryCode]],Table1[z-score])</f>
        <v>0.48103769638692301</v>
      </c>
      <c r="L8275" t="e">
        <f>VLOOKUP(Table1[[#This Row],[CountryCode]],[1]!Table1[#All],1,FALSE)</f>
        <v>#REF!</v>
      </c>
    </row>
    <row r="8276" spans="1:12" hidden="1" x14ac:dyDescent="0.3">
      <c r="A8276" t="s">
        <v>41</v>
      </c>
      <c r="B8276" t="s">
        <v>42</v>
      </c>
      <c r="C8276" t="s">
        <v>129</v>
      </c>
      <c r="D8276" t="s">
        <v>130</v>
      </c>
      <c r="E8276">
        <v>2011</v>
      </c>
      <c r="F8276" s="1">
        <v>76</v>
      </c>
      <c r="G8276">
        <v>2010</v>
      </c>
      <c r="H8276">
        <f>AVERAGEIFS(Table1[value],Table1[IndicatorCode],Table1[[#This Row],[IndicatorCode]])</f>
        <v>72.66514008620689</v>
      </c>
      <c r="I8276" cm="1">
        <f t="array" ref="I8276">_xlfn.STDEV.P(IF(Table1[IndicatorCode]=Table1[[#This Row],[IndicatorCode]],Table1[value]))</f>
        <v>6.3409496564024987</v>
      </c>
      <c r="J8276">
        <f>(Table1[[#This Row],[value]] - Table1[[#This Row],[mean]]) / Table1[[#This Row],[std_dev]]</f>
        <v>0.52592436377820473</v>
      </c>
      <c r="K8276">
        <f>AVERAGEIF(Table1[CountryCode],Table1[[#This Row],[CountryCode]],Table1[z-score])</f>
        <v>0.48103769638692301</v>
      </c>
      <c r="L8276" t="e">
        <f>VLOOKUP(Table1[[#This Row],[CountryCode]],[1]!Table1[#All],1,FALSE)</f>
        <v>#REF!</v>
      </c>
    </row>
    <row r="8277" spans="1:12" hidden="1" x14ac:dyDescent="0.3">
      <c r="A8277" t="s">
        <v>41</v>
      </c>
      <c r="B8277" t="s">
        <v>42</v>
      </c>
      <c r="C8277" t="s">
        <v>129</v>
      </c>
      <c r="D8277" t="s">
        <v>130</v>
      </c>
      <c r="E8277">
        <v>2012</v>
      </c>
      <c r="F8277" s="1">
        <v>76</v>
      </c>
      <c r="G8277">
        <v>2010</v>
      </c>
      <c r="H8277">
        <f>AVERAGEIFS(Table1[value],Table1[IndicatorCode],Table1[[#This Row],[IndicatorCode]])</f>
        <v>72.66514008620689</v>
      </c>
      <c r="I8277" cm="1">
        <f t="array" ref="I8277">_xlfn.STDEV.P(IF(Table1[IndicatorCode]=Table1[[#This Row],[IndicatorCode]],Table1[value]))</f>
        <v>6.3409496564024987</v>
      </c>
      <c r="J8277">
        <f>(Table1[[#This Row],[value]] - Table1[[#This Row],[mean]]) / Table1[[#This Row],[std_dev]]</f>
        <v>0.52592436377820473</v>
      </c>
      <c r="K8277">
        <f>AVERAGEIF(Table1[CountryCode],Table1[[#This Row],[CountryCode]],Table1[z-score])</f>
        <v>0.48103769638692301</v>
      </c>
      <c r="L8277" t="e">
        <f>VLOOKUP(Table1[[#This Row],[CountryCode]],[1]!Table1[#All],1,FALSE)</f>
        <v>#REF!</v>
      </c>
    </row>
    <row r="8278" spans="1:12" hidden="1" x14ac:dyDescent="0.3">
      <c r="A8278" t="s">
        <v>41</v>
      </c>
      <c r="B8278" t="s">
        <v>42</v>
      </c>
      <c r="C8278" t="s">
        <v>129</v>
      </c>
      <c r="D8278" t="s">
        <v>130</v>
      </c>
      <c r="E8278">
        <v>2013</v>
      </c>
      <c r="F8278" s="1">
        <v>77</v>
      </c>
      <c r="G8278">
        <v>2010</v>
      </c>
      <c r="H8278">
        <f>AVERAGEIFS(Table1[value],Table1[IndicatorCode],Table1[[#This Row],[IndicatorCode]])</f>
        <v>72.66514008620689</v>
      </c>
      <c r="I8278" cm="1">
        <f t="array" ref="I8278">_xlfn.STDEV.P(IF(Table1[IndicatorCode]=Table1[[#This Row],[IndicatorCode]],Table1[value]))</f>
        <v>6.3409496564024987</v>
      </c>
      <c r="J8278">
        <f>(Table1[[#This Row],[value]] - Table1[[#This Row],[mean]]) / Table1[[#This Row],[std_dev]]</f>
        <v>0.68362944806164383</v>
      </c>
      <c r="K8278">
        <f>AVERAGEIF(Table1[CountryCode],Table1[[#This Row],[CountryCode]],Table1[z-score])</f>
        <v>0.48103769638692301</v>
      </c>
      <c r="L8278" t="e">
        <f>VLOOKUP(Table1[[#This Row],[CountryCode]],[1]!Table1[#All],1,FALSE)</f>
        <v>#REF!</v>
      </c>
    </row>
    <row r="8279" spans="1:12" hidden="1" x14ac:dyDescent="0.3">
      <c r="A8279" t="s">
        <v>41</v>
      </c>
      <c r="B8279" t="s">
        <v>42</v>
      </c>
      <c r="C8279" t="s">
        <v>129</v>
      </c>
      <c r="D8279" t="s">
        <v>130</v>
      </c>
      <c r="E8279">
        <v>2014</v>
      </c>
      <c r="F8279" s="1">
        <v>77</v>
      </c>
      <c r="G8279">
        <v>2010</v>
      </c>
      <c r="H8279">
        <f>AVERAGEIFS(Table1[value],Table1[IndicatorCode],Table1[[#This Row],[IndicatorCode]])</f>
        <v>72.66514008620689</v>
      </c>
      <c r="I8279" cm="1">
        <f t="array" ref="I8279">_xlfn.STDEV.P(IF(Table1[IndicatorCode]=Table1[[#This Row],[IndicatorCode]],Table1[value]))</f>
        <v>6.3409496564024987</v>
      </c>
      <c r="J8279">
        <f>(Table1[[#This Row],[value]] - Table1[[#This Row],[mean]]) / Table1[[#This Row],[std_dev]]</f>
        <v>0.68362944806164383</v>
      </c>
      <c r="K8279">
        <f>AVERAGEIF(Table1[CountryCode],Table1[[#This Row],[CountryCode]],Table1[z-score])</f>
        <v>0.48103769638692301</v>
      </c>
      <c r="L8279" t="e">
        <f>VLOOKUP(Table1[[#This Row],[CountryCode]],[1]!Table1[#All],1,FALSE)</f>
        <v>#REF!</v>
      </c>
    </row>
    <row r="8280" spans="1:12" hidden="1" x14ac:dyDescent="0.3">
      <c r="A8280" t="s">
        <v>41</v>
      </c>
      <c r="B8280" t="s">
        <v>42</v>
      </c>
      <c r="C8280" t="s">
        <v>129</v>
      </c>
      <c r="D8280" t="s">
        <v>130</v>
      </c>
      <c r="E8280">
        <v>2015</v>
      </c>
      <c r="F8280" s="1">
        <v>78</v>
      </c>
      <c r="G8280">
        <v>2010</v>
      </c>
      <c r="H8280">
        <f>AVERAGEIFS(Table1[value],Table1[IndicatorCode],Table1[[#This Row],[IndicatorCode]])</f>
        <v>72.66514008620689</v>
      </c>
      <c r="I8280" cm="1">
        <f t="array" ref="I8280">_xlfn.STDEV.P(IF(Table1[IndicatorCode]=Table1[[#This Row],[IndicatorCode]],Table1[value]))</f>
        <v>6.3409496564024987</v>
      </c>
      <c r="J8280">
        <f>(Table1[[#This Row],[value]] - Table1[[#This Row],[mean]]) / Table1[[#This Row],[std_dev]]</f>
        <v>0.84133453234508293</v>
      </c>
      <c r="K8280">
        <f>AVERAGEIF(Table1[CountryCode],Table1[[#This Row],[CountryCode]],Table1[z-score])</f>
        <v>0.48103769638692301</v>
      </c>
      <c r="L8280" t="e">
        <f>VLOOKUP(Table1[[#This Row],[CountryCode]],[1]!Table1[#All],1,FALSE)</f>
        <v>#REF!</v>
      </c>
    </row>
    <row r="8281" spans="1:12" hidden="1" x14ac:dyDescent="0.3">
      <c r="A8281" t="s">
        <v>41</v>
      </c>
      <c r="B8281" t="s">
        <v>42</v>
      </c>
      <c r="C8281" t="s">
        <v>129</v>
      </c>
      <c r="D8281" t="s">
        <v>130</v>
      </c>
      <c r="E8281">
        <v>2016</v>
      </c>
      <c r="F8281" s="1">
        <v>78</v>
      </c>
      <c r="G8281">
        <v>2010</v>
      </c>
      <c r="H8281">
        <f>AVERAGEIFS(Table1[value],Table1[IndicatorCode],Table1[[#This Row],[IndicatorCode]])</f>
        <v>72.66514008620689</v>
      </c>
      <c r="I8281" cm="1">
        <f t="array" ref="I8281">_xlfn.STDEV.P(IF(Table1[IndicatorCode]=Table1[[#This Row],[IndicatorCode]],Table1[value]))</f>
        <v>6.3409496564024987</v>
      </c>
      <c r="J8281">
        <f>(Table1[[#This Row],[value]] - Table1[[#This Row],[mean]]) / Table1[[#This Row],[std_dev]]</f>
        <v>0.84133453234508293</v>
      </c>
      <c r="K8281">
        <f>AVERAGEIF(Table1[CountryCode],Table1[[#This Row],[CountryCode]],Table1[z-score])</f>
        <v>0.48103769638692301</v>
      </c>
      <c r="L8281" t="e">
        <f>VLOOKUP(Table1[[#This Row],[CountryCode]],[1]!Table1[#All],1,FALSE)</f>
        <v>#REF!</v>
      </c>
    </row>
    <row r="8282" spans="1:12" hidden="1" x14ac:dyDescent="0.3">
      <c r="A8282" t="s">
        <v>41</v>
      </c>
      <c r="B8282" t="s">
        <v>42</v>
      </c>
      <c r="C8282" t="s">
        <v>129</v>
      </c>
      <c r="D8282" t="s">
        <v>130</v>
      </c>
      <c r="E8282">
        <v>2017</v>
      </c>
      <c r="F8282" s="1">
        <v>78</v>
      </c>
      <c r="G8282">
        <v>2020</v>
      </c>
      <c r="H8282">
        <f>AVERAGEIFS(Table1[value],Table1[IndicatorCode],Table1[[#This Row],[IndicatorCode]])</f>
        <v>72.66514008620689</v>
      </c>
      <c r="I8282" cm="1">
        <f t="array" ref="I8282">_xlfn.STDEV.P(IF(Table1[IndicatorCode]=Table1[[#This Row],[IndicatorCode]],Table1[value]))</f>
        <v>6.3409496564024987</v>
      </c>
      <c r="J8282">
        <f>(Table1[[#This Row],[value]] - Table1[[#This Row],[mean]]) / Table1[[#This Row],[std_dev]]</f>
        <v>0.84133453234508293</v>
      </c>
      <c r="K8282">
        <f>AVERAGEIF(Table1[CountryCode],Table1[[#This Row],[CountryCode]],Table1[z-score])</f>
        <v>0.48103769638692301</v>
      </c>
      <c r="L8282" t="e">
        <f>VLOOKUP(Table1[[#This Row],[CountryCode]],[1]!Table1[#All],1,FALSE)</f>
        <v>#REF!</v>
      </c>
    </row>
    <row r="8283" spans="1:12" hidden="1" x14ac:dyDescent="0.3">
      <c r="A8283" t="s">
        <v>41</v>
      </c>
      <c r="B8283" t="s">
        <v>42</v>
      </c>
      <c r="C8283" t="s">
        <v>129</v>
      </c>
      <c r="D8283" t="s">
        <v>130</v>
      </c>
      <c r="E8283">
        <v>2018</v>
      </c>
      <c r="F8283" s="1">
        <v>78</v>
      </c>
      <c r="G8283">
        <v>2020</v>
      </c>
      <c r="H8283">
        <f>AVERAGEIFS(Table1[value],Table1[IndicatorCode],Table1[[#This Row],[IndicatorCode]])</f>
        <v>72.66514008620689</v>
      </c>
      <c r="I8283" cm="1">
        <f t="array" ref="I8283">_xlfn.STDEV.P(IF(Table1[IndicatorCode]=Table1[[#This Row],[IndicatorCode]],Table1[value]))</f>
        <v>6.3409496564024987</v>
      </c>
      <c r="J8283">
        <f>(Table1[[#This Row],[value]] - Table1[[#This Row],[mean]]) / Table1[[#This Row],[std_dev]]</f>
        <v>0.84133453234508293</v>
      </c>
      <c r="K8283">
        <f>AVERAGEIF(Table1[CountryCode],Table1[[#This Row],[CountryCode]],Table1[z-score])</f>
        <v>0.48103769638692301</v>
      </c>
      <c r="L8283" t="e">
        <f>VLOOKUP(Table1[[#This Row],[CountryCode]],[1]!Table1[#All],1,FALSE)</f>
        <v>#REF!</v>
      </c>
    </row>
    <row r="8284" spans="1:12" hidden="1" x14ac:dyDescent="0.3">
      <c r="A8284" t="s">
        <v>41</v>
      </c>
      <c r="B8284" t="s">
        <v>42</v>
      </c>
      <c r="C8284" t="s">
        <v>129</v>
      </c>
      <c r="D8284" t="s">
        <v>130</v>
      </c>
      <c r="E8284">
        <v>2019</v>
      </c>
      <c r="F8284" s="1">
        <v>79</v>
      </c>
      <c r="G8284">
        <v>2020</v>
      </c>
      <c r="H8284">
        <f>AVERAGEIFS(Table1[value],Table1[IndicatorCode],Table1[[#This Row],[IndicatorCode]])</f>
        <v>72.66514008620689</v>
      </c>
      <c r="I8284" cm="1">
        <f t="array" ref="I8284">_xlfn.STDEV.P(IF(Table1[IndicatorCode]=Table1[[#This Row],[IndicatorCode]],Table1[value]))</f>
        <v>6.3409496564024987</v>
      </c>
      <c r="J8284">
        <f>(Table1[[#This Row],[value]] - Table1[[#This Row],[mean]]) / Table1[[#This Row],[std_dev]]</f>
        <v>0.99903961662852192</v>
      </c>
      <c r="K8284">
        <f>AVERAGEIF(Table1[CountryCode],Table1[[#This Row],[CountryCode]],Table1[z-score])</f>
        <v>0.48103769638692301</v>
      </c>
      <c r="L8284" t="e">
        <f>VLOOKUP(Table1[[#This Row],[CountryCode]],[1]!Table1[#All],1,FALSE)</f>
        <v>#REF!</v>
      </c>
    </row>
    <row r="8285" spans="1:12" x14ac:dyDescent="0.3">
      <c r="A8285" t="s">
        <v>41</v>
      </c>
      <c r="B8285" t="s">
        <v>42</v>
      </c>
      <c r="C8285" t="s">
        <v>129</v>
      </c>
      <c r="D8285" t="s">
        <v>130</v>
      </c>
      <c r="E8285">
        <v>2020</v>
      </c>
      <c r="F8285" s="1">
        <v>79</v>
      </c>
      <c r="G8285">
        <v>2020</v>
      </c>
      <c r="H8285">
        <f>AVERAGEIFS(Table1[value],Table1[IndicatorCode],Table1[[#This Row],[IndicatorCode]])</f>
        <v>72.66514008620689</v>
      </c>
      <c r="I8285" cm="1">
        <f t="array" ref="I8285">_xlfn.STDEV.P(IF(Table1[IndicatorCode]=Table1[[#This Row],[IndicatorCode]],Table1[value]))</f>
        <v>6.3409496564024987</v>
      </c>
      <c r="J8285">
        <f>(Table1[[#This Row],[value]] - Table1[[#This Row],[mean]]) / Table1[[#This Row],[std_dev]]</f>
        <v>0.99903961662852192</v>
      </c>
      <c r="K8285">
        <f>AVERAGEIF(Table1[CountryCode],Table1[[#This Row],[CountryCode]],Table1[z-score])</f>
        <v>0.48103769638692301</v>
      </c>
    </row>
    <row r="8286" spans="1:12" hidden="1" x14ac:dyDescent="0.3">
      <c r="A8286" t="s">
        <v>41</v>
      </c>
      <c r="B8286" t="s">
        <v>42</v>
      </c>
      <c r="C8286" t="s">
        <v>129</v>
      </c>
      <c r="D8286" t="s">
        <v>130</v>
      </c>
      <c r="E8286">
        <v>2021</v>
      </c>
      <c r="F8286" s="1">
        <v>77</v>
      </c>
      <c r="G8286">
        <v>1960</v>
      </c>
      <c r="H8286">
        <f>AVERAGEIFS(Table1[value],Table1[IndicatorCode],Table1[[#This Row],[IndicatorCode]])</f>
        <v>72.66514008620689</v>
      </c>
      <c r="I8286" cm="1">
        <f t="array" ref="I8286">_xlfn.STDEV.P(IF(Table1[IndicatorCode]=Table1[[#This Row],[IndicatorCode]],Table1[value]))</f>
        <v>6.3409496564024987</v>
      </c>
      <c r="J8286">
        <f>(Table1[[#This Row],[value]] - Table1[[#This Row],[mean]]) / Table1[[#This Row],[std_dev]]</f>
        <v>0.68362944806164383</v>
      </c>
      <c r="K8286">
        <f>AVERAGEIF(Table1[CountryCode],Table1[[#This Row],[CountryCode]],Table1[z-score])</f>
        <v>0.48103769638692301</v>
      </c>
      <c r="L8286" t="e">
        <f>VLOOKUP(Table1[[#This Row],[CountryCode]],[1]!Table1[#All],1,FALSE)</f>
        <v>#REF!</v>
      </c>
    </row>
    <row r="8287" spans="1:12" hidden="1" x14ac:dyDescent="0.3">
      <c r="A8287" t="s">
        <v>41</v>
      </c>
      <c r="B8287" t="s">
        <v>42</v>
      </c>
      <c r="C8287" t="s">
        <v>129</v>
      </c>
      <c r="D8287" t="s">
        <v>130</v>
      </c>
      <c r="E8287">
        <v>2022</v>
      </c>
      <c r="F8287" s="1">
        <v>78</v>
      </c>
      <c r="G8287">
        <v>1960</v>
      </c>
      <c r="H8287">
        <f>AVERAGEIFS(Table1[value],Table1[IndicatorCode],Table1[[#This Row],[IndicatorCode]])</f>
        <v>72.66514008620689</v>
      </c>
      <c r="I8287" cm="1">
        <f t="array" ref="I8287">_xlfn.STDEV.P(IF(Table1[IndicatorCode]=Table1[[#This Row],[IndicatorCode]],Table1[value]))</f>
        <v>6.3409496564024987</v>
      </c>
      <c r="J8287">
        <f>(Table1[[#This Row],[value]] - Table1[[#This Row],[mean]]) / Table1[[#This Row],[std_dev]]</f>
        <v>0.84133453234508293</v>
      </c>
      <c r="K8287">
        <f>AVERAGEIF(Table1[CountryCode],Table1[[#This Row],[CountryCode]],Table1[z-score])</f>
        <v>0.48103769638692301</v>
      </c>
      <c r="L8287" t="e">
        <f>VLOOKUP(Table1[[#This Row],[CountryCode]],[1]!Table1[#All],1,FALSE)</f>
        <v>#REF!</v>
      </c>
    </row>
    <row r="8288" spans="1:12" hidden="1" x14ac:dyDescent="0.3">
      <c r="A8288" t="s">
        <v>41</v>
      </c>
      <c r="B8288" t="s">
        <v>42</v>
      </c>
      <c r="C8288" t="s">
        <v>129</v>
      </c>
      <c r="D8288" t="s">
        <v>130</v>
      </c>
      <c r="E8288">
        <v>2023</v>
      </c>
      <c r="F8288" s="1">
        <v>78</v>
      </c>
      <c r="G8288">
        <v>1960</v>
      </c>
      <c r="H8288">
        <f>AVERAGEIFS(Table1[value],Table1[IndicatorCode],Table1[[#This Row],[IndicatorCode]])</f>
        <v>72.66514008620689</v>
      </c>
      <c r="I8288" cm="1">
        <f t="array" ref="I8288">_xlfn.STDEV.P(IF(Table1[IndicatorCode]=Table1[[#This Row],[IndicatorCode]],Table1[value]))</f>
        <v>6.3409496564024987</v>
      </c>
      <c r="J8288">
        <f>(Table1[[#This Row],[value]] - Table1[[#This Row],[mean]]) / Table1[[#This Row],[std_dev]]</f>
        <v>0.84133453234508293</v>
      </c>
      <c r="K8288">
        <f>AVERAGEIF(Table1[CountryCode],Table1[[#This Row],[CountryCode]],Table1[z-score])</f>
        <v>0.48103769638692301</v>
      </c>
      <c r="L8288" t="e">
        <f>VLOOKUP(Table1[[#This Row],[CountryCode]],[1]!Table1[#All],1,FALSE)</f>
        <v>#REF!</v>
      </c>
    </row>
    <row r="8289" spans="1:12" hidden="1" x14ac:dyDescent="0.3">
      <c r="A8289" t="s">
        <v>43</v>
      </c>
      <c r="B8289" t="s">
        <v>44</v>
      </c>
      <c r="C8289" t="s">
        <v>129</v>
      </c>
      <c r="D8289" t="s">
        <v>130</v>
      </c>
      <c r="E8289">
        <v>1960</v>
      </c>
      <c r="F8289" s="1">
        <v>69</v>
      </c>
      <c r="G8289">
        <v>1960</v>
      </c>
      <c r="H8289">
        <f>AVERAGEIFS(Table1[value],Table1[IndicatorCode],Table1[[#This Row],[IndicatorCode]])</f>
        <v>72.66514008620689</v>
      </c>
      <c r="I8289" cm="1">
        <f t="array" ref="I8289">_xlfn.STDEV.P(IF(Table1[IndicatorCode]=Table1[[#This Row],[IndicatorCode]],Table1[value]))</f>
        <v>6.3409496564024987</v>
      </c>
      <c r="J8289">
        <f>(Table1[[#This Row],[value]] - Table1[[#This Row],[mean]]) / Table1[[#This Row],[std_dev]]</f>
        <v>-0.57801122620586864</v>
      </c>
      <c r="K8289">
        <f>AVERAGEIF(Table1[CountryCode],Table1[[#This Row],[CountryCode]],Table1[z-score])</f>
        <v>0.36646997985615637</v>
      </c>
      <c r="L8289" t="e">
        <f>VLOOKUP(Table1[[#This Row],[CountryCode]],[1]!Table1[#All],1,FALSE)</f>
        <v>#REF!</v>
      </c>
    </row>
    <row r="8290" spans="1:12" hidden="1" x14ac:dyDescent="0.3">
      <c r="A8290" t="s">
        <v>43</v>
      </c>
      <c r="B8290" t="s">
        <v>44</v>
      </c>
      <c r="C8290" t="s">
        <v>129</v>
      </c>
      <c r="D8290" t="s">
        <v>130</v>
      </c>
      <c r="E8290">
        <v>1961</v>
      </c>
      <c r="F8290" s="1">
        <v>69</v>
      </c>
      <c r="G8290">
        <v>1960</v>
      </c>
      <c r="H8290">
        <f>AVERAGEIFS(Table1[value],Table1[IndicatorCode],Table1[[#This Row],[IndicatorCode]])</f>
        <v>72.66514008620689</v>
      </c>
      <c r="I8290" cm="1">
        <f t="array" ref="I8290">_xlfn.STDEV.P(IF(Table1[IndicatorCode]=Table1[[#This Row],[IndicatorCode]],Table1[value]))</f>
        <v>6.3409496564024987</v>
      </c>
      <c r="J8290">
        <f>(Table1[[#This Row],[value]] - Table1[[#This Row],[mean]]) / Table1[[#This Row],[std_dev]]</f>
        <v>-0.57801122620586864</v>
      </c>
      <c r="K8290">
        <f>AVERAGEIF(Table1[CountryCode],Table1[[#This Row],[CountryCode]],Table1[z-score])</f>
        <v>0.36646997985615637</v>
      </c>
      <c r="L8290" t="e">
        <f>VLOOKUP(Table1[[#This Row],[CountryCode]],[1]!Table1[#All],1,FALSE)</f>
        <v>#REF!</v>
      </c>
    </row>
    <row r="8291" spans="1:12" hidden="1" x14ac:dyDescent="0.3">
      <c r="A8291" t="s">
        <v>43</v>
      </c>
      <c r="B8291" t="s">
        <v>44</v>
      </c>
      <c r="C8291" t="s">
        <v>129</v>
      </c>
      <c r="D8291" t="s">
        <v>130</v>
      </c>
      <c r="E8291">
        <v>1962</v>
      </c>
      <c r="F8291" s="1">
        <v>69</v>
      </c>
      <c r="G8291">
        <v>1960</v>
      </c>
      <c r="H8291">
        <f>AVERAGEIFS(Table1[value],Table1[IndicatorCode],Table1[[#This Row],[IndicatorCode]])</f>
        <v>72.66514008620689</v>
      </c>
      <c r="I8291" cm="1">
        <f t="array" ref="I8291">_xlfn.STDEV.P(IF(Table1[IndicatorCode]=Table1[[#This Row],[IndicatorCode]],Table1[value]))</f>
        <v>6.3409496564024987</v>
      </c>
      <c r="J8291">
        <f>(Table1[[#This Row],[value]] - Table1[[#This Row],[mean]]) / Table1[[#This Row],[std_dev]]</f>
        <v>-0.57801122620586864</v>
      </c>
      <c r="K8291">
        <f>AVERAGEIF(Table1[CountryCode],Table1[[#This Row],[CountryCode]],Table1[z-score])</f>
        <v>0.36646997985615637</v>
      </c>
      <c r="L8291" t="e">
        <f>VLOOKUP(Table1[[#This Row],[CountryCode]],[1]!Table1[#All],1,FALSE)</f>
        <v>#REF!</v>
      </c>
    </row>
    <row r="8292" spans="1:12" hidden="1" x14ac:dyDescent="0.3">
      <c r="A8292" t="s">
        <v>43</v>
      </c>
      <c r="B8292" t="s">
        <v>44</v>
      </c>
      <c r="C8292" t="s">
        <v>129</v>
      </c>
      <c r="D8292" t="s">
        <v>130</v>
      </c>
      <c r="E8292">
        <v>1963</v>
      </c>
      <c r="F8292" s="1">
        <v>69</v>
      </c>
      <c r="G8292">
        <v>1960</v>
      </c>
      <c r="H8292">
        <f>AVERAGEIFS(Table1[value],Table1[IndicatorCode],Table1[[#This Row],[IndicatorCode]])</f>
        <v>72.66514008620689</v>
      </c>
      <c r="I8292" cm="1">
        <f t="array" ref="I8292">_xlfn.STDEV.P(IF(Table1[IndicatorCode]=Table1[[#This Row],[IndicatorCode]],Table1[value]))</f>
        <v>6.3409496564024987</v>
      </c>
      <c r="J8292">
        <f>(Table1[[#This Row],[value]] - Table1[[#This Row],[mean]]) / Table1[[#This Row],[std_dev]]</f>
        <v>-0.57801122620586864</v>
      </c>
      <c r="K8292">
        <f>AVERAGEIF(Table1[CountryCode],Table1[[#This Row],[CountryCode]],Table1[z-score])</f>
        <v>0.36646997985615637</v>
      </c>
      <c r="L8292" t="e">
        <f>VLOOKUP(Table1[[#This Row],[CountryCode]],[1]!Table1[#All],1,FALSE)</f>
        <v>#REF!</v>
      </c>
    </row>
    <row r="8293" spans="1:12" hidden="1" x14ac:dyDescent="0.3">
      <c r="A8293" t="s">
        <v>43</v>
      </c>
      <c r="B8293" t="s">
        <v>44</v>
      </c>
      <c r="C8293" t="s">
        <v>129</v>
      </c>
      <c r="D8293" t="s">
        <v>130</v>
      </c>
      <c r="E8293">
        <v>1964</v>
      </c>
      <c r="F8293" s="1">
        <v>69</v>
      </c>
      <c r="G8293">
        <v>1960</v>
      </c>
      <c r="H8293">
        <f>AVERAGEIFS(Table1[value],Table1[IndicatorCode],Table1[[#This Row],[IndicatorCode]])</f>
        <v>72.66514008620689</v>
      </c>
      <c r="I8293" cm="1">
        <f t="array" ref="I8293">_xlfn.STDEV.P(IF(Table1[IndicatorCode]=Table1[[#This Row],[IndicatorCode]],Table1[value]))</f>
        <v>6.3409496564024987</v>
      </c>
      <c r="J8293">
        <f>(Table1[[#This Row],[value]] - Table1[[#This Row],[mean]]) / Table1[[#This Row],[std_dev]]</f>
        <v>-0.57801122620586864</v>
      </c>
      <c r="K8293">
        <f>AVERAGEIF(Table1[CountryCode],Table1[[#This Row],[CountryCode]],Table1[z-score])</f>
        <v>0.36646997985615637</v>
      </c>
      <c r="L8293" t="e">
        <f>VLOOKUP(Table1[[#This Row],[CountryCode]],[1]!Table1[#All],1,FALSE)</f>
        <v>#REF!</v>
      </c>
    </row>
    <row r="8294" spans="1:12" hidden="1" x14ac:dyDescent="0.3">
      <c r="A8294" t="s">
        <v>43</v>
      </c>
      <c r="B8294" t="s">
        <v>44</v>
      </c>
      <c r="C8294" t="s">
        <v>129</v>
      </c>
      <c r="D8294" t="s">
        <v>130</v>
      </c>
      <c r="E8294">
        <v>1965</v>
      </c>
      <c r="F8294" s="1">
        <v>69</v>
      </c>
      <c r="G8294">
        <v>1960</v>
      </c>
      <c r="H8294">
        <f>AVERAGEIFS(Table1[value],Table1[IndicatorCode],Table1[[#This Row],[IndicatorCode]])</f>
        <v>72.66514008620689</v>
      </c>
      <c r="I8294" cm="1">
        <f t="array" ref="I8294">_xlfn.STDEV.P(IF(Table1[IndicatorCode]=Table1[[#This Row],[IndicatorCode]],Table1[value]))</f>
        <v>6.3409496564024987</v>
      </c>
      <c r="J8294">
        <f>(Table1[[#This Row],[value]] - Table1[[#This Row],[mean]]) / Table1[[#This Row],[std_dev]]</f>
        <v>-0.57801122620586864</v>
      </c>
      <c r="K8294">
        <f>AVERAGEIF(Table1[CountryCode],Table1[[#This Row],[CountryCode]],Table1[z-score])</f>
        <v>0.36646997985615637</v>
      </c>
      <c r="L8294" t="e">
        <f>VLOOKUP(Table1[[#This Row],[CountryCode]],[1]!Table1[#All],1,FALSE)</f>
        <v>#REF!</v>
      </c>
    </row>
    <row r="8295" spans="1:12" hidden="1" x14ac:dyDescent="0.3">
      <c r="A8295" t="s">
        <v>43</v>
      </c>
      <c r="B8295" t="s">
        <v>44</v>
      </c>
      <c r="C8295" t="s">
        <v>129</v>
      </c>
      <c r="D8295" t="s">
        <v>130</v>
      </c>
      <c r="E8295">
        <v>1966</v>
      </c>
      <c r="F8295" s="1">
        <v>69</v>
      </c>
      <c r="G8295">
        <v>1960</v>
      </c>
      <c r="H8295">
        <f>AVERAGEIFS(Table1[value],Table1[IndicatorCode],Table1[[#This Row],[IndicatorCode]])</f>
        <v>72.66514008620689</v>
      </c>
      <c r="I8295" cm="1">
        <f t="array" ref="I8295">_xlfn.STDEV.P(IF(Table1[IndicatorCode]=Table1[[#This Row],[IndicatorCode]],Table1[value]))</f>
        <v>6.3409496564024987</v>
      </c>
      <c r="J8295">
        <f>(Table1[[#This Row],[value]] - Table1[[#This Row],[mean]]) / Table1[[#This Row],[std_dev]]</f>
        <v>-0.57801122620586864</v>
      </c>
      <c r="K8295">
        <f>AVERAGEIF(Table1[CountryCode],Table1[[#This Row],[CountryCode]],Table1[z-score])</f>
        <v>0.36646997985615637</v>
      </c>
      <c r="L8295" t="e">
        <f>VLOOKUP(Table1[[#This Row],[CountryCode]],[1]!Table1[#All],1,FALSE)</f>
        <v>#REF!</v>
      </c>
    </row>
    <row r="8296" spans="1:12" hidden="1" x14ac:dyDescent="0.3">
      <c r="A8296" t="s">
        <v>43</v>
      </c>
      <c r="B8296" t="s">
        <v>44</v>
      </c>
      <c r="C8296" t="s">
        <v>129</v>
      </c>
      <c r="D8296" t="s">
        <v>130</v>
      </c>
      <c r="E8296">
        <v>1967</v>
      </c>
      <c r="F8296" s="1">
        <v>70</v>
      </c>
      <c r="G8296">
        <v>1970</v>
      </c>
      <c r="H8296">
        <f>AVERAGEIFS(Table1[value],Table1[IndicatorCode],Table1[[#This Row],[IndicatorCode]])</f>
        <v>72.66514008620689</v>
      </c>
      <c r="I8296" cm="1">
        <f t="array" ref="I8296">_xlfn.STDEV.P(IF(Table1[IndicatorCode]=Table1[[#This Row],[IndicatorCode]],Table1[value]))</f>
        <v>6.3409496564024987</v>
      </c>
      <c r="J8296">
        <f>(Table1[[#This Row],[value]] - Table1[[#This Row],[mean]]) / Table1[[#This Row],[std_dev]]</f>
        <v>-0.4203061419224296</v>
      </c>
      <c r="K8296">
        <f>AVERAGEIF(Table1[CountryCode],Table1[[#This Row],[CountryCode]],Table1[z-score])</f>
        <v>0.36646997985615637</v>
      </c>
      <c r="L8296" t="e">
        <f>VLOOKUP(Table1[[#This Row],[CountryCode]],[1]!Table1[#All],1,FALSE)</f>
        <v>#REF!</v>
      </c>
    </row>
    <row r="8297" spans="1:12" hidden="1" x14ac:dyDescent="0.3">
      <c r="A8297" t="s">
        <v>43</v>
      </c>
      <c r="B8297" t="s">
        <v>44</v>
      </c>
      <c r="C8297" t="s">
        <v>129</v>
      </c>
      <c r="D8297" t="s">
        <v>130</v>
      </c>
      <c r="E8297">
        <v>1968</v>
      </c>
      <c r="F8297" s="1">
        <v>70</v>
      </c>
      <c r="G8297">
        <v>1970</v>
      </c>
      <c r="H8297">
        <f>AVERAGEIFS(Table1[value],Table1[IndicatorCode],Table1[[#This Row],[IndicatorCode]])</f>
        <v>72.66514008620689</v>
      </c>
      <c r="I8297" cm="1">
        <f t="array" ref="I8297">_xlfn.STDEV.P(IF(Table1[IndicatorCode]=Table1[[#This Row],[IndicatorCode]],Table1[value]))</f>
        <v>6.3409496564024987</v>
      </c>
      <c r="J8297">
        <f>(Table1[[#This Row],[value]] - Table1[[#This Row],[mean]]) / Table1[[#This Row],[std_dev]]</f>
        <v>-0.4203061419224296</v>
      </c>
      <c r="K8297">
        <f>AVERAGEIF(Table1[CountryCode],Table1[[#This Row],[CountryCode]],Table1[z-score])</f>
        <v>0.36646997985615637</v>
      </c>
      <c r="L8297" t="e">
        <f>VLOOKUP(Table1[[#This Row],[CountryCode]],[1]!Table1[#All],1,FALSE)</f>
        <v>#REF!</v>
      </c>
    </row>
    <row r="8298" spans="1:12" hidden="1" x14ac:dyDescent="0.3">
      <c r="A8298" t="s">
        <v>43</v>
      </c>
      <c r="B8298" t="s">
        <v>44</v>
      </c>
      <c r="C8298" t="s">
        <v>129</v>
      </c>
      <c r="D8298" t="s">
        <v>130</v>
      </c>
      <c r="E8298">
        <v>1969</v>
      </c>
      <c r="F8298" s="1">
        <v>70</v>
      </c>
      <c r="G8298">
        <v>1970</v>
      </c>
      <c r="H8298">
        <f>AVERAGEIFS(Table1[value],Table1[IndicatorCode],Table1[[#This Row],[IndicatorCode]])</f>
        <v>72.66514008620689</v>
      </c>
      <c r="I8298" cm="1">
        <f t="array" ref="I8298">_xlfn.STDEV.P(IF(Table1[IndicatorCode]=Table1[[#This Row],[IndicatorCode]],Table1[value]))</f>
        <v>6.3409496564024987</v>
      </c>
      <c r="J8298">
        <f>(Table1[[#This Row],[value]] - Table1[[#This Row],[mean]]) / Table1[[#This Row],[std_dev]]</f>
        <v>-0.4203061419224296</v>
      </c>
      <c r="K8298">
        <f>AVERAGEIF(Table1[CountryCode],Table1[[#This Row],[CountryCode]],Table1[z-score])</f>
        <v>0.36646997985615637</v>
      </c>
      <c r="L8298" t="e">
        <f>VLOOKUP(Table1[[#This Row],[CountryCode]],[1]!Table1[#All],1,FALSE)</f>
        <v>#REF!</v>
      </c>
    </row>
    <row r="8299" spans="1:12" hidden="1" x14ac:dyDescent="0.3">
      <c r="A8299" t="s">
        <v>43</v>
      </c>
      <c r="B8299" t="s">
        <v>44</v>
      </c>
      <c r="C8299" t="s">
        <v>129</v>
      </c>
      <c r="D8299" t="s">
        <v>130</v>
      </c>
      <c r="E8299">
        <v>1970</v>
      </c>
      <c r="F8299" s="1">
        <v>70</v>
      </c>
      <c r="G8299">
        <v>1970</v>
      </c>
      <c r="H8299">
        <f>AVERAGEIFS(Table1[value],Table1[IndicatorCode],Table1[[#This Row],[IndicatorCode]])</f>
        <v>72.66514008620689</v>
      </c>
      <c r="I8299" cm="1">
        <f t="array" ref="I8299">_xlfn.STDEV.P(IF(Table1[IndicatorCode]=Table1[[#This Row],[IndicatorCode]],Table1[value]))</f>
        <v>6.3409496564024987</v>
      </c>
      <c r="J8299">
        <f>(Table1[[#This Row],[value]] - Table1[[#This Row],[mean]]) / Table1[[#This Row],[std_dev]]</f>
        <v>-0.4203061419224296</v>
      </c>
      <c r="K8299">
        <f>AVERAGEIF(Table1[CountryCode],Table1[[#This Row],[CountryCode]],Table1[z-score])</f>
        <v>0.36646997985615637</v>
      </c>
      <c r="L8299" t="e">
        <f>VLOOKUP(Table1[[#This Row],[CountryCode]],[1]!Table1[#All],1,FALSE)</f>
        <v>#REF!</v>
      </c>
    </row>
    <row r="8300" spans="1:12" hidden="1" x14ac:dyDescent="0.3">
      <c r="A8300" t="s">
        <v>43</v>
      </c>
      <c r="B8300" t="s">
        <v>44</v>
      </c>
      <c r="C8300" t="s">
        <v>129</v>
      </c>
      <c r="D8300" t="s">
        <v>130</v>
      </c>
      <c r="E8300">
        <v>1971</v>
      </c>
      <c r="F8300" s="1">
        <v>70</v>
      </c>
      <c r="G8300">
        <v>1970</v>
      </c>
      <c r="H8300">
        <f>AVERAGEIFS(Table1[value],Table1[IndicatorCode],Table1[[#This Row],[IndicatorCode]])</f>
        <v>72.66514008620689</v>
      </c>
      <c r="I8300" cm="1">
        <f t="array" ref="I8300">_xlfn.STDEV.P(IF(Table1[IndicatorCode]=Table1[[#This Row],[IndicatorCode]],Table1[value]))</f>
        <v>6.3409496564024987</v>
      </c>
      <c r="J8300">
        <f>(Table1[[#This Row],[value]] - Table1[[#This Row],[mean]]) / Table1[[#This Row],[std_dev]]</f>
        <v>-0.4203061419224296</v>
      </c>
      <c r="K8300">
        <f>AVERAGEIF(Table1[CountryCode],Table1[[#This Row],[CountryCode]],Table1[z-score])</f>
        <v>0.36646997985615637</v>
      </c>
      <c r="L8300" t="e">
        <f>VLOOKUP(Table1[[#This Row],[CountryCode]],[1]!Table1[#All],1,FALSE)</f>
        <v>#REF!</v>
      </c>
    </row>
    <row r="8301" spans="1:12" hidden="1" x14ac:dyDescent="0.3">
      <c r="A8301" t="s">
        <v>43</v>
      </c>
      <c r="B8301" t="s">
        <v>44</v>
      </c>
      <c r="C8301" t="s">
        <v>129</v>
      </c>
      <c r="D8301" t="s">
        <v>130</v>
      </c>
      <c r="E8301">
        <v>1972</v>
      </c>
      <c r="F8301" s="1">
        <v>71</v>
      </c>
      <c r="G8301">
        <v>1970</v>
      </c>
      <c r="H8301">
        <f>AVERAGEIFS(Table1[value],Table1[IndicatorCode],Table1[[#This Row],[IndicatorCode]])</f>
        <v>72.66514008620689</v>
      </c>
      <c r="I8301" cm="1">
        <f t="array" ref="I8301">_xlfn.STDEV.P(IF(Table1[IndicatorCode]=Table1[[#This Row],[IndicatorCode]],Table1[value]))</f>
        <v>6.3409496564024987</v>
      </c>
      <c r="J8301">
        <f>(Table1[[#This Row],[value]] - Table1[[#This Row],[mean]]) / Table1[[#This Row],[std_dev]]</f>
        <v>-0.2626010576389905</v>
      </c>
      <c r="K8301">
        <f>AVERAGEIF(Table1[CountryCode],Table1[[#This Row],[CountryCode]],Table1[z-score])</f>
        <v>0.36646997985615637</v>
      </c>
      <c r="L8301" t="e">
        <f>VLOOKUP(Table1[[#This Row],[CountryCode]],[1]!Table1[#All],1,FALSE)</f>
        <v>#REF!</v>
      </c>
    </row>
    <row r="8302" spans="1:12" hidden="1" x14ac:dyDescent="0.3">
      <c r="A8302" t="s">
        <v>43</v>
      </c>
      <c r="B8302" t="s">
        <v>44</v>
      </c>
      <c r="C8302" t="s">
        <v>129</v>
      </c>
      <c r="D8302" t="s">
        <v>130</v>
      </c>
      <c r="E8302">
        <v>1973</v>
      </c>
      <c r="F8302" s="1">
        <v>71</v>
      </c>
      <c r="G8302">
        <v>1970</v>
      </c>
      <c r="H8302">
        <f>AVERAGEIFS(Table1[value],Table1[IndicatorCode],Table1[[#This Row],[IndicatorCode]])</f>
        <v>72.66514008620689</v>
      </c>
      <c r="I8302" cm="1">
        <f t="array" ref="I8302">_xlfn.STDEV.P(IF(Table1[IndicatorCode]=Table1[[#This Row],[IndicatorCode]],Table1[value]))</f>
        <v>6.3409496564024987</v>
      </c>
      <c r="J8302">
        <f>(Table1[[#This Row],[value]] - Table1[[#This Row],[mean]]) / Table1[[#This Row],[std_dev]]</f>
        <v>-0.2626010576389905</v>
      </c>
      <c r="K8302">
        <f>AVERAGEIF(Table1[CountryCode],Table1[[#This Row],[CountryCode]],Table1[z-score])</f>
        <v>0.36646997985615637</v>
      </c>
      <c r="L8302" t="e">
        <f>VLOOKUP(Table1[[#This Row],[CountryCode]],[1]!Table1[#All],1,FALSE)</f>
        <v>#REF!</v>
      </c>
    </row>
    <row r="8303" spans="1:12" hidden="1" x14ac:dyDescent="0.3">
      <c r="A8303" t="s">
        <v>43</v>
      </c>
      <c r="B8303" t="s">
        <v>44</v>
      </c>
      <c r="C8303" t="s">
        <v>129</v>
      </c>
      <c r="D8303" t="s">
        <v>130</v>
      </c>
      <c r="E8303">
        <v>1974</v>
      </c>
      <c r="F8303" s="1">
        <v>71</v>
      </c>
      <c r="G8303">
        <v>1970</v>
      </c>
      <c r="H8303">
        <f>AVERAGEIFS(Table1[value],Table1[IndicatorCode],Table1[[#This Row],[IndicatorCode]])</f>
        <v>72.66514008620689</v>
      </c>
      <c r="I8303" cm="1">
        <f t="array" ref="I8303">_xlfn.STDEV.P(IF(Table1[IndicatorCode]=Table1[[#This Row],[IndicatorCode]],Table1[value]))</f>
        <v>6.3409496564024987</v>
      </c>
      <c r="J8303">
        <f>(Table1[[#This Row],[value]] - Table1[[#This Row],[mean]]) / Table1[[#This Row],[std_dev]]</f>
        <v>-0.2626010576389905</v>
      </c>
      <c r="K8303">
        <f>AVERAGEIF(Table1[CountryCode],Table1[[#This Row],[CountryCode]],Table1[z-score])</f>
        <v>0.36646997985615637</v>
      </c>
      <c r="L8303" t="e">
        <f>VLOOKUP(Table1[[#This Row],[CountryCode]],[1]!Table1[#All],1,FALSE)</f>
        <v>#REF!</v>
      </c>
    </row>
    <row r="8304" spans="1:12" hidden="1" x14ac:dyDescent="0.3">
      <c r="A8304" t="s">
        <v>43</v>
      </c>
      <c r="B8304" t="s">
        <v>44</v>
      </c>
      <c r="C8304" t="s">
        <v>129</v>
      </c>
      <c r="D8304" t="s">
        <v>130</v>
      </c>
      <c r="E8304">
        <v>1975</v>
      </c>
      <c r="F8304" s="1">
        <v>72</v>
      </c>
      <c r="G8304">
        <v>1970</v>
      </c>
      <c r="H8304">
        <f>AVERAGEIFS(Table1[value],Table1[IndicatorCode],Table1[[#This Row],[IndicatorCode]])</f>
        <v>72.66514008620689</v>
      </c>
      <c r="I8304" cm="1">
        <f t="array" ref="I8304">_xlfn.STDEV.P(IF(Table1[IndicatorCode]=Table1[[#This Row],[IndicatorCode]],Table1[value]))</f>
        <v>6.3409496564024987</v>
      </c>
      <c r="J8304">
        <f>(Table1[[#This Row],[value]] - Table1[[#This Row],[mean]]) / Table1[[#This Row],[std_dev]]</f>
        <v>-0.10489597335555145</v>
      </c>
      <c r="K8304">
        <f>AVERAGEIF(Table1[CountryCode],Table1[[#This Row],[CountryCode]],Table1[z-score])</f>
        <v>0.36646997985615637</v>
      </c>
      <c r="L8304" t="e">
        <f>VLOOKUP(Table1[[#This Row],[CountryCode]],[1]!Table1[#All],1,FALSE)</f>
        <v>#REF!</v>
      </c>
    </row>
    <row r="8305" spans="1:12" hidden="1" x14ac:dyDescent="0.3">
      <c r="A8305" t="s">
        <v>43</v>
      </c>
      <c r="B8305" t="s">
        <v>44</v>
      </c>
      <c r="C8305" t="s">
        <v>129</v>
      </c>
      <c r="D8305" t="s">
        <v>130</v>
      </c>
      <c r="E8305">
        <v>1976</v>
      </c>
      <c r="F8305" s="1">
        <v>72</v>
      </c>
      <c r="G8305">
        <v>1970</v>
      </c>
      <c r="H8305">
        <f>AVERAGEIFS(Table1[value],Table1[IndicatorCode],Table1[[#This Row],[IndicatorCode]])</f>
        <v>72.66514008620689</v>
      </c>
      <c r="I8305" cm="1">
        <f t="array" ref="I8305">_xlfn.STDEV.P(IF(Table1[IndicatorCode]=Table1[[#This Row],[IndicatorCode]],Table1[value]))</f>
        <v>6.3409496564024987</v>
      </c>
      <c r="J8305">
        <f>(Table1[[#This Row],[value]] - Table1[[#This Row],[mean]]) / Table1[[#This Row],[std_dev]]</f>
        <v>-0.10489597335555145</v>
      </c>
      <c r="K8305">
        <f>AVERAGEIF(Table1[CountryCode],Table1[[#This Row],[CountryCode]],Table1[z-score])</f>
        <v>0.36646997985615637</v>
      </c>
      <c r="L8305" t="e">
        <f>VLOOKUP(Table1[[#This Row],[CountryCode]],[1]!Table1[#All],1,FALSE)</f>
        <v>#REF!</v>
      </c>
    </row>
    <row r="8306" spans="1:12" hidden="1" x14ac:dyDescent="0.3">
      <c r="A8306" t="s">
        <v>43</v>
      </c>
      <c r="B8306" t="s">
        <v>44</v>
      </c>
      <c r="C8306" t="s">
        <v>129</v>
      </c>
      <c r="D8306" t="s">
        <v>130</v>
      </c>
      <c r="E8306">
        <v>1977</v>
      </c>
      <c r="F8306" s="1">
        <v>72</v>
      </c>
      <c r="G8306">
        <v>1980</v>
      </c>
      <c r="H8306">
        <f>AVERAGEIFS(Table1[value],Table1[IndicatorCode],Table1[[#This Row],[IndicatorCode]])</f>
        <v>72.66514008620689</v>
      </c>
      <c r="I8306" cm="1">
        <f t="array" ref="I8306">_xlfn.STDEV.P(IF(Table1[IndicatorCode]=Table1[[#This Row],[IndicatorCode]],Table1[value]))</f>
        <v>6.3409496564024987</v>
      </c>
      <c r="J8306">
        <f>(Table1[[#This Row],[value]] - Table1[[#This Row],[mean]]) / Table1[[#This Row],[std_dev]]</f>
        <v>-0.10489597335555145</v>
      </c>
      <c r="K8306">
        <f>AVERAGEIF(Table1[CountryCode],Table1[[#This Row],[CountryCode]],Table1[z-score])</f>
        <v>0.36646997985615637</v>
      </c>
      <c r="L8306" t="e">
        <f>VLOOKUP(Table1[[#This Row],[CountryCode]],[1]!Table1[#All],1,FALSE)</f>
        <v>#REF!</v>
      </c>
    </row>
    <row r="8307" spans="1:12" hidden="1" x14ac:dyDescent="0.3">
      <c r="A8307" t="s">
        <v>43</v>
      </c>
      <c r="B8307" t="s">
        <v>44</v>
      </c>
      <c r="C8307" t="s">
        <v>129</v>
      </c>
      <c r="D8307" t="s">
        <v>130</v>
      </c>
      <c r="E8307">
        <v>1978</v>
      </c>
      <c r="F8307" s="1">
        <v>73</v>
      </c>
      <c r="G8307">
        <v>1980</v>
      </c>
      <c r="H8307">
        <f>AVERAGEIFS(Table1[value],Table1[IndicatorCode],Table1[[#This Row],[IndicatorCode]])</f>
        <v>72.66514008620689</v>
      </c>
      <c r="I8307" cm="1">
        <f t="array" ref="I8307">_xlfn.STDEV.P(IF(Table1[IndicatorCode]=Table1[[#This Row],[IndicatorCode]],Table1[value]))</f>
        <v>6.3409496564024987</v>
      </c>
      <c r="J8307">
        <f>(Table1[[#This Row],[value]] - Table1[[#This Row],[mean]]) / Table1[[#This Row],[std_dev]]</f>
        <v>5.2809110927887599E-2</v>
      </c>
      <c r="K8307">
        <f>AVERAGEIF(Table1[CountryCode],Table1[[#This Row],[CountryCode]],Table1[z-score])</f>
        <v>0.36646997985615637</v>
      </c>
      <c r="L8307" t="e">
        <f>VLOOKUP(Table1[[#This Row],[CountryCode]],[1]!Table1[#All],1,FALSE)</f>
        <v>#REF!</v>
      </c>
    </row>
    <row r="8308" spans="1:12" hidden="1" x14ac:dyDescent="0.3">
      <c r="A8308" t="s">
        <v>43</v>
      </c>
      <c r="B8308" t="s">
        <v>44</v>
      </c>
      <c r="C8308" t="s">
        <v>129</v>
      </c>
      <c r="D8308" t="s">
        <v>130</v>
      </c>
      <c r="E8308">
        <v>1979</v>
      </c>
      <c r="F8308" s="1">
        <v>73</v>
      </c>
      <c r="G8308">
        <v>1980</v>
      </c>
      <c r="H8308">
        <f>AVERAGEIFS(Table1[value],Table1[IndicatorCode],Table1[[#This Row],[IndicatorCode]])</f>
        <v>72.66514008620689</v>
      </c>
      <c r="I8308" cm="1">
        <f t="array" ref="I8308">_xlfn.STDEV.P(IF(Table1[IndicatorCode]=Table1[[#This Row],[IndicatorCode]],Table1[value]))</f>
        <v>6.3409496564024987</v>
      </c>
      <c r="J8308">
        <f>(Table1[[#This Row],[value]] - Table1[[#This Row],[mean]]) / Table1[[#This Row],[std_dev]]</f>
        <v>5.2809110927887599E-2</v>
      </c>
      <c r="K8308">
        <f>AVERAGEIF(Table1[CountryCode],Table1[[#This Row],[CountryCode]],Table1[z-score])</f>
        <v>0.36646997985615637</v>
      </c>
      <c r="L8308" t="e">
        <f>VLOOKUP(Table1[[#This Row],[CountryCode]],[1]!Table1[#All],1,FALSE)</f>
        <v>#REF!</v>
      </c>
    </row>
    <row r="8309" spans="1:12" hidden="1" x14ac:dyDescent="0.3">
      <c r="A8309" t="s">
        <v>43</v>
      </c>
      <c r="B8309" t="s">
        <v>44</v>
      </c>
      <c r="C8309" t="s">
        <v>129</v>
      </c>
      <c r="D8309" t="s">
        <v>130</v>
      </c>
      <c r="E8309">
        <v>1980</v>
      </c>
      <c r="F8309" s="1">
        <v>73</v>
      </c>
      <c r="G8309">
        <v>1980</v>
      </c>
      <c r="H8309">
        <f>AVERAGEIFS(Table1[value],Table1[IndicatorCode],Table1[[#This Row],[IndicatorCode]])</f>
        <v>72.66514008620689</v>
      </c>
      <c r="I8309" cm="1">
        <f t="array" ref="I8309">_xlfn.STDEV.P(IF(Table1[IndicatorCode]=Table1[[#This Row],[IndicatorCode]],Table1[value]))</f>
        <v>6.3409496564024987</v>
      </c>
      <c r="J8309">
        <f>(Table1[[#This Row],[value]] - Table1[[#This Row],[mean]]) / Table1[[#This Row],[std_dev]]</f>
        <v>5.2809110927887599E-2</v>
      </c>
      <c r="K8309">
        <f>AVERAGEIF(Table1[CountryCode],Table1[[#This Row],[CountryCode]],Table1[z-score])</f>
        <v>0.36646997985615637</v>
      </c>
      <c r="L8309" t="e">
        <f>VLOOKUP(Table1[[#This Row],[CountryCode]],[1]!Table1[#All],1,FALSE)</f>
        <v>#REF!</v>
      </c>
    </row>
    <row r="8310" spans="1:12" hidden="1" x14ac:dyDescent="0.3">
      <c r="A8310" t="s">
        <v>43</v>
      </c>
      <c r="B8310" t="s">
        <v>44</v>
      </c>
      <c r="C8310" t="s">
        <v>129</v>
      </c>
      <c r="D8310" t="s">
        <v>130</v>
      </c>
      <c r="E8310">
        <v>1981</v>
      </c>
      <c r="F8310" s="1">
        <v>74</v>
      </c>
      <c r="G8310">
        <v>1980</v>
      </c>
      <c r="H8310">
        <f>AVERAGEIFS(Table1[value],Table1[IndicatorCode],Table1[[#This Row],[IndicatorCode]])</f>
        <v>72.66514008620689</v>
      </c>
      <c r="I8310" cm="1">
        <f t="array" ref="I8310">_xlfn.STDEV.P(IF(Table1[IndicatorCode]=Table1[[#This Row],[IndicatorCode]],Table1[value]))</f>
        <v>6.3409496564024987</v>
      </c>
      <c r="J8310">
        <f>(Table1[[#This Row],[value]] - Table1[[#This Row],[mean]]) / Table1[[#This Row],[std_dev]]</f>
        <v>0.21051419521132667</v>
      </c>
      <c r="K8310">
        <f>AVERAGEIF(Table1[CountryCode],Table1[[#This Row],[CountryCode]],Table1[z-score])</f>
        <v>0.36646997985615637</v>
      </c>
      <c r="L8310" t="e">
        <f>VLOOKUP(Table1[[#This Row],[CountryCode]],[1]!Table1[#All],1,FALSE)</f>
        <v>#REF!</v>
      </c>
    </row>
    <row r="8311" spans="1:12" hidden="1" x14ac:dyDescent="0.3">
      <c r="A8311" t="s">
        <v>43</v>
      </c>
      <c r="B8311" t="s">
        <v>44</v>
      </c>
      <c r="C8311" t="s">
        <v>129</v>
      </c>
      <c r="D8311" t="s">
        <v>130</v>
      </c>
      <c r="E8311">
        <v>1982</v>
      </c>
      <c r="F8311" s="1">
        <v>74</v>
      </c>
      <c r="G8311">
        <v>1980</v>
      </c>
      <c r="H8311">
        <f>AVERAGEIFS(Table1[value],Table1[IndicatorCode],Table1[[#This Row],[IndicatorCode]])</f>
        <v>72.66514008620689</v>
      </c>
      <c r="I8311" cm="1">
        <f t="array" ref="I8311">_xlfn.STDEV.P(IF(Table1[IndicatorCode]=Table1[[#This Row],[IndicatorCode]],Table1[value]))</f>
        <v>6.3409496564024987</v>
      </c>
      <c r="J8311">
        <f>(Table1[[#This Row],[value]] - Table1[[#This Row],[mean]]) / Table1[[#This Row],[std_dev]]</f>
        <v>0.21051419521132667</v>
      </c>
      <c r="K8311">
        <f>AVERAGEIF(Table1[CountryCode],Table1[[#This Row],[CountryCode]],Table1[z-score])</f>
        <v>0.36646997985615637</v>
      </c>
      <c r="L8311" t="e">
        <f>VLOOKUP(Table1[[#This Row],[CountryCode]],[1]!Table1[#All],1,FALSE)</f>
        <v>#REF!</v>
      </c>
    </row>
    <row r="8312" spans="1:12" hidden="1" x14ac:dyDescent="0.3">
      <c r="A8312" t="s">
        <v>43</v>
      </c>
      <c r="B8312" t="s">
        <v>44</v>
      </c>
      <c r="C8312" t="s">
        <v>129</v>
      </c>
      <c r="D8312" t="s">
        <v>130</v>
      </c>
      <c r="E8312">
        <v>1983</v>
      </c>
      <c r="F8312" s="1">
        <v>74</v>
      </c>
      <c r="G8312">
        <v>1980</v>
      </c>
      <c r="H8312">
        <f>AVERAGEIFS(Table1[value],Table1[IndicatorCode],Table1[[#This Row],[IndicatorCode]])</f>
        <v>72.66514008620689</v>
      </c>
      <c r="I8312" cm="1">
        <f t="array" ref="I8312">_xlfn.STDEV.P(IF(Table1[IndicatorCode]=Table1[[#This Row],[IndicatorCode]],Table1[value]))</f>
        <v>6.3409496564024987</v>
      </c>
      <c r="J8312">
        <f>(Table1[[#This Row],[value]] - Table1[[#This Row],[mean]]) / Table1[[#This Row],[std_dev]]</f>
        <v>0.21051419521132667</v>
      </c>
      <c r="K8312">
        <f>AVERAGEIF(Table1[CountryCode],Table1[[#This Row],[CountryCode]],Table1[z-score])</f>
        <v>0.36646997985615637</v>
      </c>
      <c r="L8312" t="e">
        <f>VLOOKUP(Table1[[#This Row],[CountryCode]],[1]!Table1[#All],1,FALSE)</f>
        <v>#REF!</v>
      </c>
    </row>
    <row r="8313" spans="1:12" hidden="1" x14ac:dyDescent="0.3">
      <c r="A8313" t="s">
        <v>43</v>
      </c>
      <c r="B8313" t="s">
        <v>44</v>
      </c>
      <c r="C8313" t="s">
        <v>129</v>
      </c>
      <c r="D8313" t="s">
        <v>130</v>
      </c>
      <c r="E8313">
        <v>1984</v>
      </c>
      <c r="F8313" s="1">
        <v>75</v>
      </c>
      <c r="G8313">
        <v>1980</v>
      </c>
      <c r="H8313">
        <f>AVERAGEIFS(Table1[value],Table1[IndicatorCode],Table1[[#This Row],[IndicatorCode]])</f>
        <v>72.66514008620689</v>
      </c>
      <c r="I8313" cm="1">
        <f t="array" ref="I8313">_xlfn.STDEV.P(IF(Table1[IndicatorCode]=Table1[[#This Row],[IndicatorCode]],Table1[value]))</f>
        <v>6.3409496564024987</v>
      </c>
      <c r="J8313">
        <f>(Table1[[#This Row],[value]] - Table1[[#This Row],[mean]]) / Table1[[#This Row],[std_dev]]</f>
        <v>0.36821927949476574</v>
      </c>
      <c r="K8313">
        <f>AVERAGEIF(Table1[CountryCode],Table1[[#This Row],[CountryCode]],Table1[z-score])</f>
        <v>0.36646997985615637</v>
      </c>
      <c r="L8313" t="e">
        <f>VLOOKUP(Table1[[#This Row],[CountryCode]],[1]!Table1[#All],1,FALSE)</f>
        <v>#REF!</v>
      </c>
    </row>
    <row r="8314" spans="1:12" hidden="1" x14ac:dyDescent="0.3">
      <c r="A8314" t="s">
        <v>43</v>
      </c>
      <c r="B8314" t="s">
        <v>44</v>
      </c>
      <c r="C8314" t="s">
        <v>129</v>
      </c>
      <c r="D8314" t="s">
        <v>130</v>
      </c>
      <c r="E8314">
        <v>1985</v>
      </c>
      <c r="F8314" s="1">
        <v>74</v>
      </c>
      <c r="G8314">
        <v>1980</v>
      </c>
      <c r="H8314">
        <f>AVERAGEIFS(Table1[value],Table1[IndicatorCode],Table1[[#This Row],[IndicatorCode]])</f>
        <v>72.66514008620689</v>
      </c>
      <c r="I8314" cm="1">
        <f t="array" ref="I8314">_xlfn.STDEV.P(IF(Table1[IndicatorCode]=Table1[[#This Row],[IndicatorCode]],Table1[value]))</f>
        <v>6.3409496564024987</v>
      </c>
      <c r="J8314">
        <f>(Table1[[#This Row],[value]] - Table1[[#This Row],[mean]]) / Table1[[#This Row],[std_dev]]</f>
        <v>0.21051419521132667</v>
      </c>
      <c r="K8314">
        <f>AVERAGEIF(Table1[CountryCode],Table1[[#This Row],[CountryCode]],Table1[z-score])</f>
        <v>0.36646997985615637</v>
      </c>
      <c r="L8314" t="e">
        <f>VLOOKUP(Table1[[#This Row],[CountryCode]],[1]!Table1[#All],1,FALSE)</f>
        <v>#REF!</v>
      </c>
    </row>
    <row r="8315" spans="1:12" hidden="1" x14ac:dyDescent="0.3">
      <c r="A8315" t="s">
        <v>43</v>
      </c>
      <c r="B8315" t="s">
        <v>44</v>
      </c>
      <c r="C8315" t="s">
        <v>129</v>
      </c>
      <c r="D8315" t="s">
        <v>130</v>
      </c>
      <c r="E8315">
        <v>1986</v>
      </c>
      <c r="F8315" s="1">
        <v>75</v>
      </c>
      <c r="G8315">
        <v>1980</v>
      </c>
      <c r="H8315">
        <f>AVERAGEIFS(Table1[value],Table1[IndicatorCode],Table1[[#This Row],[IndicatorCode]])</f>
        <v>72.66514008620689</v>
      </c>
      <c r="I8315" cm="1">
        <f t="array" ref="I8315">_xlfn.STDEV.P(IF(Table1[IndicatorCode]=Table1[[#This Row],[IndicatorCode]],Table1[value]))</f>
        <v>6.3409496564024987</v>
      </c>
      <c r="J8315">
        <f>(Table1[[#This Row],[value]] - Table1[[#This Row],[mean]]) / Table1[[#This Row],[std_dev]]</f>
        <v>0.36821927949476574</v>
      </c>
      <c r="K8315">
        <f>AVERAGEIF(Table1[CountryCode],Table1[[#This Row],[CountryCode]],Table1[z-score])</f>
        <v>0.36646997985615637</v>
      </c>
      <c r="L8315" t="e">
        <f>VLOOKUP(Table1[[#This Row],[CountryCode]],[1]!Table1[#All],1,FALSE)</f>
        <v>#REF!</v>
      </c>
    </row>
    <row r="8316" spans="1:12" hidden="1" x14ac:dyDescent="0.3">
      <c r="A8316" t="s">
        <v>43</v>
      </c>
      <c r="B8316" t="s">
        <v>44</v>
      </c>
      <c r="C8316" t="s">
        <v>129</v>
      </c>
      <c r="D8316" t="s">
        <v>130</v>
      </c>
      <c r="E8316">
        <v>1987</v>
      </c>
      <c r="F8316" s="1">
        <v>75</v>
      </c>
      <c r="G8316">
        <v>1990</v>
      </c>
      <c r="H8316">
        <f>AVERAGEIFS(Table1[value],Table1[IndicatorCode],Table1[[#This Row],[IndicatorCode]])</f>
        <v>72.66514008620689</v>
      </c>
      <c r="I8316" cm="1">
        <f t="array" ref="I8316">_xlfn.STDEV.P(IF(Table1[IndicatorCode]=Table1[[#This Row],[IndicatorCode]],Table1[value]))</f>
        <v>6.3409496564024987</v>
      </c>
      <c r="J8316">
        <f>(Table1[[#This Row],[value]] - Table1[[#This Row],[mean]]) / Table1[[#This Row],[std_dev]]</f>
        <v>0.36821927949476574</v>
      </c>
      <c r="K8316">
        <f>AVERAGEIF(Table1[CountryCode],Table1[[#This Row],[CountryCode]],Table1[z-score])</f>
        <v>0.36646997985615637</v>
      </c>
      <c r="L8316" t="e">
        <f>VLOOKUP(Table1[[#This Row],[CountryCode]],[1]!Table1[#All],1,FALSE)</f>
        <v>#REF!</v>
      </c>
    </row>
    <row r="8317" spans="1:12" hidden="1" x14ac:dyDescent="0.3">
      <c r="A8317" t="s">
        <v>43</v>
      </c>
      <c r="B8317" t="s">
        <v>44</v>
      </c>
      <c r="C8317" t="s">
        <v>129</v>
      </c>
      <c r="D8317" t="s">
        <v>130</v>
      </c>
      <c r="E8317">
        <v>1988</v>
      </c>
      <c r="F8317" s="1">
        <v>75</v>
      </c>
      <c r="G8317">
        <v>1990</v>
      </c>
      <c r="H8317">
        <f>AVERAGEIFS(Table1[value],Table1[IndicatorCode],Table1[[#This Row],[IndicatorCode]])</f>
        <v>72.66514008620689</v>
      </c>
      <c r="I8317" cm="1">
        <f t="array" ref="I8317">_xlfn.STDEV.P(IF(Table1[IndicatorCode]=Table1[[#This Row],[IndicatorCode]],Table1[value]))</f>
        <v>6.3409496564024987</v>
      </c>
      <c r="J8317">
        <f>(Table1[[#This Row],[value]] - Table1[[#This Row],[mean]]) / Table1[[#This Row],[std_dev]]</f>
        <v>0.36821927949476574</v>
      </c>
      <c r="K8317">
        <f>AVERAGEIF(Table1[CountryCode],Table1[[#This Row],[CountryCode]],Table1[z-score])</f>
        <v>0.36646997985615637</v>
      </c>
      <c r="L8317" t="e">
        <f>VLOOKUP(Table1[[#This Row],[CountryCode]],[1]!Table1[#All],1,FALSE)</f>
        <v>#REF!</v>
      </c>
    </row>
    <row r="8318" spans="1:12" hidden="1" x14ac:dyDescent="0.3">
      <c r="A8318" t="s">
        <v>43</v>
      </c>
      <c r="B8318" t="s">
        <v>44</v>
      </c>
      <c r="C8318" t="s">
        <v>129</v>
      </c>
      <c r="D8318" t="s">
        <v>130</v>
      </c>
      <c r="E8318">
        <v>1989</v>
      </c>
      <c r="F8318" s="1">
        <v>75</v>
      </c>
      <c r="G8318">
        <v>1990</v>
      </c>
      <c r="H8318">
        <f>AVERAGEIFS(Table1[value],Table1[IndicatorCode],Table1[[#This Row],[IndicatorCode]])</f>
        <v>72.66514008620689</v>
      </c>
      <c r="I8318" cm="1">
        <f t="array" ref="I8318">_xlfn.STDEV.P(IF(Table1[IndicatorCode]=Table1[[#This Row],[IndicatorCode]],Table1[value]))</f>
        <v>6.3409496564024987</v>
      </c>
      <c r="J8318">
        <f>(Table1[[#This Row],[value]] - Table1[[#This Row],[mean]]) / Table1[[#This Row],[std_dev]]</f>
        <v>0.36821927949476574</v>
      </c>
      <c r="K8318">
        <f>AVERAGEIF(Table1[CountryCode],Table1[[#This Row],[CountryCode]],Table1[z-score])</f>
        <v>0.36646997985615637</v>
      </c>
      <c r="L8318" t="e">
        <f>VLOOKUP(Table1[[#This Row],[CountryCode]],[1]!Table1[#All],1,FALSE)</f>
        <v>#REF!</v>
      </c>
    </row>
    <row r="8319" spans="1:12" hidden="1" x14ac:dyDescent="0.3">
      <c r="A8319" t="s">
        <v>43</v>
      </c>
      <c r="B8319" t="s">
        <v>44</v>
      </c>
      <c r="C8319" t="s">
        <v>129</v>
      </c>
      <c r="D8319" t="s">
        <v>130</v>
      </c>
      <c r="E8319">
        <v>1990</v>
      </c>
      <c r="F8319" s="1">
        <v>75</v>
      </c>
      <c r="G8319">
        <v>1990</v>
      </c>
      <c r="H8319">
        <f>AVERAGEIFS(Table1[value],Table1[IndicatorCode],Table1[[#This Row],[IndicatorCode]])</f>
        <v>72.66514008620689</v>
      </c>
      <c r="I8319" cm="1">
        <f t="array" ref="I8319">_xlfn.STDEV.P(IF(Table1[IndicatorCode]=Table1[[#This Row],[IndicatorCode]],Table1[value]))</f>
        <v>6.3409496564024987</v>
      </c>
      <c r="J8319">
        <f>(Table1[[#This Row],[value]] - Table1[[#This Row],[mean]]) / Table1[[#This Row],[std_dev]]</f>
        <v>0.36821927949476574</v>
      </c>
      <c r="K8319">
        <f>AVERAGEIF(Table1[CountryCode],Table1[[#This Row],[CountryCode]],Table1[z-score])</f>
        <v>0.36646997985615637</v>
      </c>
      <c r="L8319" t="e">
        <f>VLOOKUP(Table1[[#This Row],[CountryCode]],[1]!Table1[#All],1,FALSE)</f>
        <v>#REF!</v>
      </c>
    </row>
    <row r="8320" spans="1:12" hidden="1" x14ac:dyDescent="0.3">
      <c r="A8320" t="s">
        <v>43</v>
      </c>
      <c r="B8320" t="s">
        <v>44</v>
      </c>
      <c r="C8320" t="s">
        <v>129</v>
      </c>
      <c r="D8320" t="s">
        <v>130</v>
      </c>
      <c r="E8320">
        <v>1991</v>
      </c>
      <c r="F8320" s="1">
        <v>75</v>
      </c>
      <c r="G8320">
        <v>1990</v>
      </c>
      <c r="H8320">
        <f>AVERAGEIFS(Table1[value],Table1[IndicatorCode],Table1[[#This Row],[IndicatorCode]])</f>
        <v>72.66514008620689</v>
      </c>
      <c r="I8320" cm="1">
        <f t="array" ref="I8320">_xlfn.STDEV.P(IF(Table1[IndicatorCode]=Table1[[#This Row],[IndicatorCode]],Table1[value]))</f>
        <v>6.3409496564024987</v>
      </c>
      <c r="J8320">
        <f>(Table1[[#This Row],[value]] - Table1[[#This Row],[mean]]) / Table1[[#This Row],[std_dev]]</f>
        <v>0.36821927949476574</v>
      </c>
      <c r="K8320">
        <f>AVERAGEIF(Table1[CountryCode],Table1[[#This Row],[CountryCode]],Table1[z-score])</f>
        <v>0.36646997985615637</v>
      </c>
      <c r="L8320" t="e">
        <f>VLOOKUP(Table1[[#This Row],[CountryCode]],[1]!Table1[#All],1,FALSE)</f>
        <v>#REF!</v>
      </c>
    </row>
    <row r="8321" spans="1:12" hidden="1" x14ac:dyDescent="0.3">
      <c r="A8321" t="s">
        <v>43</v>
      </c>
      <c r="B8321" t="s">
        <v>44</v>
      </c>
      <c r="C8321" t="s">
        <v>129</v>
      </c>
      <c r="D8321" t="s">
        <v>130</v>
      </c>
      <c r="E8321">
        <v>1992</v>
      </c>
      <c r="F8321" s="1">
        <v>75</v>
      </c>
      <c r="G8321">
        <v>1990</v>
      </c>
      <c r="H8321">
        <f>AVERAGEIFS(Table1[value],Table1[IndicatorCode],Table1[[#This Row],[IndicatorCode]])</f>
        <v>72.66514008620689</v>
      </c>
      <c r="I8321" cm="1">
        <f t="array" ref="I8321">_xlfn.STDEV.P(IF(Table1[IndicatorCode]=Table1[[#This Row],[IndicatorCode]],Table1[value]))</f>
        <v>6.3409496564024987</v>
      </c>
      <c r="J8321">
        <f>(Table1[[#This Row],[value]] - Table1[[#This Row],[mean]]) / Table1[[#This Row],[std_dev]]</f>
        <v>0.36821927949476574</v>
      </c>
      <c r="K8321">
        <f>AVERAGEIF(Table1[CountryCode],Table1[[#This Row],[CountryCode]],Table1[z-score])</f>
        <v>0.36646997985615637</v>
      </c>
      <c r="L8321" t="e">
        <f>VLOOKUP(Table1[[#This Row],[CountryCode]],[1]!Table1[#All],1,FALSE)</f>
        <v>#REF!</v>
      </c>
    </row>
    <row r="8322" spans="1:12" hidden="1" x14ac:dyDescent="0.3">
      <c r="A8322" t="s">
        <v>43</v>
      </c>
      <c r="B8322" t="s">
        <v>44</v>
      </c>
      <c r="C8322" t="s">
        <v>129</v>
      </c>
      <c r="D8322" t="s">
        <v>130</v>
      </c>
      <c r="E8322">
        <v>1993</v>
      </c>
      <c r="F8322" s="1">
        <v>76</v>
      </c>
      <c r="G8322">
        <v>1990</v>
      </c>
      <c r="H8322">
        <f>AVERAGEIFS(Table1[value],Table1[IndicatorCode],Table1[[#This Row],[IndicatorCode]])</f>
        <v>72.66514008620689</v>
      </c>
      <c r="I8322" cm="1">
        <f t="array" ref="I8322">_xlfn.STDEV.P(IF(Table1[IndicatorCode]=Table1[[#This Row],[IndicatorCode]],Table1[value]))</f>
        <v>6.3409496564024987</v>
      </c>
      <c r="J8322">
        <f>(Table1[[#This Row],[value]] - Table1[[#This Row],[mean]]) / Table1[[#This Row],[std_dev]]</f>
        <v>0.52592436377820473</v>
      </c>
      <c r="K8322">
        <f>AVERAGEIF(Table1[CountryCode],Table1[[#This Row],[CountryCode]],Table1[z-score])</f>
        <v>0.36646997985615637</v>
      </c>
      <c r="L8322" t="e">
        <f>VLOOKUP(Table1[[#This Row],[CountryCode]],[1]!Table1[#All],1,FALSE)</f>
        <v>#REF!</v>
      </c>
    </row>
    <row r="8323" spans="1:12" hidden="1" x14ac:dyDescent="0.3">
      <c r="A8323" t="s">
        <v>43</v>
      </c>
      <c r="B8323" t="s">
        <v>44</v>
      </c>
      <c r="C8323" t="s">
        <v>129</v>
      </c>
      <c r="D8323" t="s">
        <v>130</v>
      </c>
      <c r="E8323">
        <v>1994</v>
      </c>
      <c r="F8323" s="1">
        <v>76</v>
      </c>
      <c r="G8323">
        <v>1990</v>
      </c>
      <c r="H8323">
        <f>AVERAGEIFS(Table1[value],Table1[IndicatorCode],Table1[[#This Row],[IndicatorCode]])</f>
        <v>72.66514008620689</v>
      </c>
      <c r="I8323" cm="1">
        <f t="array" ref="I8323">_xlfn.STDEV.P(IF(Table1[IndicatorCode]=Table1[[#This Row],[IndicatorCode]],Table1[value]))</f>
        <v>6.3409496564024987</v>
      </c>
      <c r="J8323">
        <f>(Table1[[#This Row],[value]] - Table1[[#This Row],[mean]]) / Table1[[#This Row],[std_dev]]</f>
        <v>0.52592436377820473</v>
      </c>
      <c r="K8323">
        <f>AVERAGEIF(Table1[CountryCode],Table1[[#This Row],[CountryCode]],Table1[z-score])</f>
        <v>0.36646997985615637</v>
      </c>
      <c r="L8323" t="e">
        <f>VLOOKUP(Table1[[#This Row],[CountryCode]],[1]!Table1[#All],1,FALSE)</f>
        <v>#REF!</v>
      </c>
    </row>
    <row r="8324" spans="1:12" hidden="1" x14ac:dyDescent="0.3">
      <c r="A8324" t="s">
        <v>43</v>
      </c>
      <c r="B8324" t="s">
        <v>44</v>
      </c>
      <c r="C8324" t="s">
        <v>129</v>
      </c>
      <c r="D8324" t="s">
        <v>130</v>
      </c>
      <c r="E8324">
        <v>1995</v>
      </c>
      <c r="F8324" s="1">
        <v>76</v>
      </c>
      <c r="G8324">
        <v>1990</v>
      </c>
      <c r="H8324">
        <f>AVERAGEIFS(Table1[value],Table1[IndicatorCode],Table1[[#This Row],[IndicatorCode]])</f>
        <v>72.66514008620689</v>
      </c>
      <c r="I8324" cm="1">
        <f t="array" ref="I8324">_xlfn.STDEV.P(IF(Table1[IndicatorCode]=Table1[[#This Row],[IndicatorCode]],Table1[value]))</f>
        <v>6.3409496564024987</v>
      </c>
      <c r="J8324">
        <f>(Table1[[#This Row],[value]] - Table1[[#This Row],[mean]]) / Table1[[#This Row],[std_dev]]</f>
        <v>0.52592436377820473</v>
      </c>
      <c r="K8324">
        <f>AVERAGEIF(Table1[CountryCode],Table1[[#This Row],[CountryCode]],Table1[z-score])</f>
        <v>0.36646997985615637</v>
      </c>
      <c r="L8324" t="e">
        <f>VLOOKUP(Table1[[#This Row],[CountryCode]],[1]!Table1[#All],1,FALSE)</f>
        <v>#REF!</v>
      </c>
    </row>
    <row r="8325" spans="1:12" hidden="1" x14ac:dyDescent="0.3">
      <c r="A8325" t="s">
        <v>43</v>
      </c>
      <c r="B8325" t="s">
        <v>44</v>
      </c>
      <c r="C8325" t="s">
        <v>129</v>
      </c>
      <c r="D8325" t="s">
        <v>130</v>
      </c>
      <c r="E8325">
        <v>1996</v>
      </c>
      <c r="F8325" s="1">
        <v>77</v>
      </c>
      <c r="G8325">
        <v>1990</v>
      </c>
      <c r="H8325">
        <f>AVERAGEIFS(Table1[value],Table1[IndicatorCode],Table1[[#This Row],[IndicatorCode]])</f>
        <v>72.66514008620689</v>
      </c>
      <c r="I8325" cm="1">
        <f t="array" ref="I8325">_xlfn.STDEV.P(IF(Table1[IndicatorCode]=Table1[[#This Row],[IndicatorCode]],Table1[value]))</f>
        <v>6.3409496564024987</v>
      </c>
      <c r="J8325">
        <f>(Table1[[#This Row],[value]] - Table1[[#This Row],[mean]]) / Table1[[#This Row],[std_dev]]</f>
        <v>0.68362944806164383</v>
      </c>
      <c r="K8325">
        <f>AVERAGEIF(Table1[CountryCode],Table1[[#This Row],[CountryCode]],Table1[z-score])</f>
        <v>0.36646997985615637</v>
      </c>
      <c r="L8325" t="e">
        <f>VLOOKUP(Table1[[#This Row],[CountryCode]],[1]!Table1[#All],1,FALSE)</f>
        <v>#REF!</v>
      </c>
    </row>
    <row r="8326" spans="1:12" hidden="1" x14ac:dyDescent="0.3">
      <c r="A8326" t="s">
        <v>43</v>
      </c>
      <c r="B8326" t="s">
        <v>44</v>
      </c>
      <c r="C8326" t="s">
        <v>129</v>
      </c>
      <c r="D8326" t="s">
        <v>130</v>
      </c>
      <c r="E8326">
        <v>1997</v>
      </c>
      <c r="F8326" s="1">
        <v>77</v>
      </c>
      <c r="G8326">
        <v>2000</v>
      </c>
      <c r="H8326">
        <f>AVERAGEIFS(Table1[value],Table1[IndicatorCode],Table1[[#This Row],[IndicatorCode]])</f>
        <v>72.66514008620689</v>
      </c>
      <c r="I8326" cm="1">
        <f t="array" ref="I8326">_xlfn.STDEV.P(IF(Table1[IndicatorCode]=Table1[[#This Row],[IndicatorCode]],Table1[value]))</f>
        <v>6.3409496564024987</v>
      </c>
      <c r="J8326">
        <f>(Table1[[#This Row],[value]] - Table1[[#This Row],[mean]]) / Table1[[#This Row],[std_dev]]</f>
        <v>0.68362944806164383</v>
      </c>
      <c r="K8326">
        <f>AVERAGEIF(Table1[CountryCode],Table1[[#This Row],[CountryCode]],Table1[z-score])</f>
        <v>0.36646997985615637</v>
      </c>
      <c r="L8326" t="e">
        <f>VLOOKUP(Table1[[#This Row],[CountryCode]],[1]!Table1[#All],1,FALSE)</f>
        <v>#REF!</v>
      </c>
    </row>
    <row r="8327" spans="1:12" hidden="1" x14ac:dyDescent="0.3">
      <c r="A8327" t="s">
        <v>43</v>
      </c>
      <c r="B8327" t="s">
        <v>44</v>
      </c>
      <c r="C8327" t="s">
        <v>129</v>
      </c>
      <c r="D8327" t="s">
        <v>130</v>
      </c>
      <c r="E8327">
        <v>1998</v>
      </c>
      <c r="F8327" s="1">
        <v>77</v>
      </c>
      <c r="G8327">
        <v>2000</v>
      </c>
      <c r="H8327">
        <f>AVERAGEIFS(Table1[value],Table1[IndicatorCode],Table1[[#This Row],[IndicatorCode]])</f>
        <v>72.66514008620689</v>
      </c>
      <c r="I8327" cm="1">
        <f t="array" ref="I8327">_xlfn.STDEV.P(IF(Table1[IndicatorCode]=Table1[[#This Row],[IndicatorCode]],Table1[value]))</f>
        <v>6.3409496564024987</v>
      </c>
      <c r="J8327">
        <f>(Table1[[#This Row],[value]] - Table1[[#This Row],[mean]]) / Table1[[#This Row],[std_dev]]</f>
        <v>0.68362944806164383</v>
      </c>
      <c r="K8327">
        <f>AVERAGEIF(Table1[CountryCode],Table1[[#This Row],[CountryCode]],Table1[z-score])</f>
        <v>0.36646997985615637</v>
      </c>
      <c r="L8327" t="e">
        <f>VLOOKUP(Table1[[#This Row],[CountryCode]],[1]!Table1[#All],1,FALSE)</f>
        <v>#REF!</v>
      </c>
    </row>
    <row r="8328" spans="1:12" hidden="1" x14ac:dyDescent="0.3">
      <c r="A8328" t="s">
        <v>43</v>
      </c>
      <c r="B8328" t="s">
        <v>44</v>
      </c>
      <c r="C8328" t="s">
        <v>129</v>
      </c>
      <c r="D8328" t="s">
        <v>130</v>
      </c>
      <c r="E8328">
        <v>1999</v>
      </c>
      <c r="F8328" s="1">
        <v>77</v>
      </c>
      <c r="G8328">
        <v>2000</v>
      </c>
      <c r="H8328">
        <f>AVERAGEIFS(Table1[value],Table1[IndicatorCode],Table1[[#This Row],[IndicatorCode]])</f>
        <v>72.66514008620689</v>
      </c>
      <c r="I8328" cm="1">
        <f t="array" ref="I8328">_xlfn.STDEV.P(IF(Table1[IndicatorCode]=Table1[[#This Row],[IndicatorCode]],Table1[value]))</f>
        <v>6.3409496564024987</v>
      </c>
      <c r="J8328">
        <f>(Table1[[#This Row],[value]] - Table1[[#This Row],[mean]]) / Table1[[#This Row],[std_dev]]</f>
        <v>0.68362944806164383</v>
      </c>
      <c r="K8328">
        <f>AVERAGEIF(Table1[CountryCode],Table1[[#This Row],[CountryCode]],Table1[z-score])</f>
        <v>0.36646997985615637</v>
      </c>
      <c r="L8328" t="e">
        <f>VLOOKUP(Table1[[#This Row],[CountryCode]],[1]!Table1[#All],1,FALSE)</f>
        <v>#REF!</v>
      </c>
    </row>
    <row r="8329" spans="1:12" hidden="1" x14ac:dyDescent="0.3">
      <c r="A8329" t="s">
        <v>43</v>
      </c>
      <c r="B8329" t="s">
        <v>44</v>
      </c>
      <c r="C8329" t="s">
        <v>129</v>
      </c>
      <c r="D8329" t="s">
        <v>130</v>
      </c>
      <c r="E8329">
        <v>2000</v>
      </c>
      <c r="F8329" s="1">
        <v>77</v>
      </c>
      <c r="G8329">
        <v>2000</v>
      </c>
      <c r="H8329">
        <f>AVERAGEIFS(Table1[value],Table1[IndicatorCode],Table1[[#This Row],[IndicatorCode]])</f>
        <v>72.66514008620689</v>
      </c>
      <c r="I8329" cm="1">
        <f t="array" ref="I8329">_xlfn.STDEV.P(IF(Table1[IndicatorCode]=Table1[[#This Row],[IndicatorCode]],Table1[value]))</f>
        <v>6.3409496564024987</v>
      </c>
      <c r="J8329">
        <f>(Table1[[#This Row],[value]] - Table1[[#This Row],[mean]]) / Table1[[#This Row],[std_dev]]</f>
        <v>0.68362944806164383</v>
      </c>
      <c r="K8329">
        <f>AVERAGEIF(Table1[CountryCode],Table1[[#This Row],[CountryCode]],Table1[z-score])</f>
        <v>0.36646997985615637</v>
      </c>
      <c r="L8329" t="e">
        <f>VLOOKUP(Table1[[#This Row],[CountryCode]],[1]!Table1[#All],1,FALSE)</f>
        <v>#REF!</v>
      </c>
    </row>
    <row r="8330" spans="1:12" hidden="1" x14ac:dyDescent="0.3">
      <c r="A8330" t="s">
        <v>43</v>
      </c>
      <c r="B8330" t="s">
        <v>44</v>
      </c>
      <c r="C8330" t="s">
        <v>129</v>
      </c>
      <c r="D8330" t="s">
        <v>130</v>
      </c>
      <c r="E8330">
        <v>2001</v>
      </c>
      <c r="F8330" s="1">
        <v>78</v>
      </c>
      <c r="G8330">
        <v>2000</v>
      </c>
      <c r="H8330">
        <f>AVERAGEIFS(Table1[value],Table1[IndicatorCode],Table1[[#This Row],[IndicatorCode]])</f>
        <v>72.66514008620689</v>
      </c>
      <c r="I8330" cm="1">
        <f t="array" ref="I8330">_xlfn.STDEV.P(IF(Table1[IndicatorCode]=Table1[[#This Row],[IndicatorCode]],Table1[value]))</f>
        <v>6.3409496564024987</v>
      </c>
      <c r="J8330">
        <f>(Table1[[#This Row],[value]] - Table1[[#This Row],[mean]]) / Table1[[#This Row],[std_dev]]</f>
        <v>0.84133453234508293</v>
      </c>
      <c r="K8330">
        <f>AVERAGEIF(Table1[CountryCode],Table1[[#This Row],[CountryCode]],Table1[z-score])</f>
        <v>0.36646997985615637</v>
      </c>
      <c r="L8330" t="e">
        <f>VLOOKUP(Table1[[#This Row],[CountryCode]],[1]!Table1[#All],1,FALSE)</f>
        <v>#REF!</v>
      </c>
    </row>
    <row r="8331" spans="1:12" hidden="1" x14ac:dyDescent="0.3">
      <c r="A8331" t="s">
        <v>43</v>
      </c>
      <c r="B8331" t="s">
        <v>44</v>
      </c>
      <c r="C8331" t="s">
        <v>129</v>
      </c>
      <c r="D8331" t="s">
        <v>130</v>
      </c>
      <c r="E8331">
        <v>2002</v>
      </c>
      <c r="F8331" s="1">
        <v>78</v>
      </c>
      <c r="G8331">
        <v>2000</v>
      </c>
      <c r="H8331">
        <f>AVERAGEIFS(Table1[value],Table1[IndicatorCode],Table1[[#This Row],[IndicatorCode]])</f>
        <v>72.66514008620689</v>
      </c>
      <c r="I8331" cm="1">
        <f t="array" ref="I8331">_xlfn.STDEV.P(IF(Table1[IndicatorCode]=Table1[[#This Row],[IndicatorCode]],Table1[value]))</f>
        <v>6.3409496564024987</v>
      </c>
      <c r="J8331">
        <f>(Table1[[#This Row],[value]] - Table1[[#This Row],[mean]]) / Table1[[#This Row],[std_dev]]</f>
        <v>0.84133453234508293</v>
      </c>
      <c r="K8331">
        <f>AVERAGEIF(Table1[CountryCode],Table1[[#This Row],[CountryCode]],Table1[z-score])</f>
        <v>0.36646997985615637</v>
      </c>
      <c r="L8331" t="e">
        <f>VLOOKUP(Table1[[#This Row],[CountryCode]],[1]!Table1[#All],1,FALSE)</f>
        <v>#REF!</v>
      </c>
    </row>
    <row r="8332" spans="1:12" hidden="1" x14ac:dyDescent="0.3">
      <c r="A8332" t="s">
        <v>43</v>
      </c>
      <c r="B8332" t="s">
        <v>44</v>
      </c>
      <c r="C8332" t="s">
        <v>129</v>
      </c>
      <c r="D8332" t="s">
        <v>130</v>
      </c>
      <c r="E8332">
        <v>2003</v>
      </c>
      <c r="F8332" s="1">
        <v>78</v>
      </c>
      <c r="G8332">
        <v>2000</v>
      </c>
      <c r="H8332">
        <f>AVERAGEIFS(Table1[value],Table1[IndicatorCode],Table1[[#This Row],[IndicatorCode]])</f>
        <v>72.66514008620689</v>
      </c>
      <c r="I8332" cm="1">
        <f t="array" ref="I8332">_xlfn.STDEV.P(IF(Table1[IndicatorCode]=Table1[[#This Row],[IndicatorCode]],Table1[value]))</f>
        <v>6.3409496564024987</v>
      </c>
      <c r="J8332">
        <f>(Table1[[#This Row],[value]] - Table1[[#This Row],[mean]]) / Table1[[#This Row],[std_dev]]</f>
        <v>0.84133453234508293</v>
      </c>
      <c r="K8332">
        <f>AVERAGEIF(Table1[CountryCode],Table1[[#This Row],[CountryCode]],Table1[z-score])</f>
        <v>0.36646997985615637</v>
      </c>
      <c r="L8332" t="e">
        <f>VLOOKUP(Table1[[#This Row],[CountryCode]],[1]!Table1[#All],1,FALSE)</f>
        <v>#REF!</v>
      </c>
    </row>
    <row r="8333" spans="1:12" hidden="1" x14ac:dyDescent="0.3">
      <c r="A8333" t="s">
        <v>43</v>
      </c>
      <c r="B8333" t="s">
        <v>44</v>
      </c>
      <c r="C8333" t="s">
        <v>129</v>
      </c>
      <c r="D8333" t="s">
        <v>130</v>
      </c>
      <c r="E8333">
        <v>2004</v>
      </c>
      <c r="F8333" s="1">
        <v>79</v>
      </c>
      <c r="G8333">
        <v>2000</v>
      </c>
      <c r="H8333">
        <f>AVERAGEIFS(Table1[value],Table1[IndicatorCode],Table1[[#This Row],[IndicatorCode]])</f>
        <v>72.66514008620689</v>
      </c>
      <c r="I8333" cm="1">
        <f t="array" ref="I8333">_xlfn.STDEV.P(IF(Table1[IndicatorCode]=Table1[[#This Row],[IndicatorCode]],Table1[value]))</f>
        <v>6.3409496564024987</v>
      </c>
      <c r="J8333">
        <f>(Table1[[#This Row],[value]] - Table1[[#This Row],[mean]]) / Table1[[#This Row],[std_dev]]</f>
        <v>0.99903961662852192</v>
      </c>
      <c r="K8333">
        <f>AVERAGEIF(Table1[CountryCode],Table1[[#This Row],[CountryCode]],Table1[z-score])</f>
        <v>0.36646997985615637</v>
      </c>
      <c r="L8333" t="e">
        <f>VLOOKUP(Table1[[#This Row],[CountryCode]],[1]!Table1[#All],1,FALSE)</f>
        <v>#REF!</v>
      </c>
    </row>
    <row r="8334" spans="1:12" hidden="1" x14ac:dyDescent="0.3">
      <c r="A8334" t="s">
        <v>43</v>
      </c>
      <c r="B8334" t="s">
        <v>44</v>
      </c>
      <c r="C8334" t="s">
        <v>129</v>
      </c>
      <c r="D8334" t="s">
        <v>130</v>
      </c>
      <c r="E8334">
        <v>2005</v>
      </c>
      <c r="F8334" s="1">
        <v>79</v>
      </c>
      <c r="G8334">
        <v>2000</v>
      </c>
      <c r="H8334">
        <f>AVERAGEIFS(Table1[value],Table1[IndicatorCode],Table1[[#This Row],[IndicatorCode]])</f>
        <v>72.66514008620689</v>
      </c>
      <c r="I8334" cm="1">
        <f t="array" ref="I8334">_xlfn.STDEV.P(IF(Table1[IndicatorCode]=Table1[[#This Row],[IndicatorCode]],Table1[value]))</f>
        <v>6.3409496564024987</v>
      </c>
      <c r="J8334">
        <f>(Table1[[#This Row],[value]] - Table1[[#This Row],[mean]]) / Table1[[#This Row],[std_dev]]</f>
        <v>0.99903961662852192</v>
      </c>
      <c r="K8334">
        <f>AVERAGEIF(Table1[CountryCode],Table1[[#This Row],[CountryCode]],Table1[z-score])</f>
        <v>0.36646997985615637</v>
      </c>
      <c r="L8334" t="e">
        <f>VLOOKUP(Table1[[#This Row],[CountryCode]],[1]!Table1[#All],1,FALSE)</f>
        <v>#REF!</v>
      </c>
    </row>
    <row r="8335" spans="1:12" hidden="1" x14ac:dyDescent="0.3">
      <c r="A8335" t="s">
        <v>43</v>
      </c>
      <c r="B8335" t="s">
        <v>44</v>
      </c>
      <c r="C8335" t="s">
        <v>129</v>
      </c>
      <c r="D8335" t="s">
        <v>130</v>
      </c>
      <c r="E8335">
        <v>2006</v>
      </c>
      <c r="F8335" s="1">
        <v>79</v>
      </c>
      <c r="G8335">
        <v>2000</v>
      </c>
      <c r="H8335">
        <f>AVERAGEIFS(Table1[value],Table1[IndicatorCode],Table1[[#This Row],[IndicatorCode]])</f>
        <v>72.66514008620689</v>
      </c>
      <c r="I8335" cm="1">
        <f t="array" ref="I8335">_xlfn.STDEV.P(IF(Table1[IndicatorCode]=Table1[[#This Row],[IndicatorCode]],Table1[value]))</f>
        <v>6.3409496564024987</v>
      </c>
      <c r="J8335">
        <f>(Table1[[#This Row],[value]] - Table1[[#This Row],[mean]]) / Table1[[#This Row],[std_dev]]</f>
        <v>0.99903961662852192</v>
      </c>
      <c r="K8335">
        <f>AVERAGEIF(Table1[CountryCode],Table1[[#This Row],[CountryCode]],Table1[z-score])</f>
        <v>0.36646997985615637</v>
      </c>
      <c r="L8335" t="e">
        <f>VLOOKUP(Table1[[#This Row],[CountryCode]],[1]!Table1[#All],1,FALSE)</f>
        <v>#REF!</v>
      </c>
    </row>
    <row r="8336" spans="1:12" hidden="1" x14ac:dyDescent="0.3">
      <c r="A8336" t="s">
        <v>43</v>
      </c>
      <c r="B8336" t="s">
        <v>44</v>
      </c>
      <c r="C8336" t="s">
        <v>129</v>
      </c>
      <c r="D8336" t="s">
        <v>130</v>
      </c>
      <c r="E8336">
        <v>2007</v>
      </c>
      <c r="F8336" s="1">
        <v>79</v>
      </c>
      <c r="G8336">
        <v>2010</v>
      </c>
      <c r="H8336">
        <f>AVERAGEIFS(Table1[value],Table1[IndicatorCode],Table1[[#This Row],[IndicatorCode]])</f>
        <v>72.66514008620689</v>
      </c>
      <c r="I8336" cm="1">
        <f t="array" ref="I8336">_xlfn.STDEV.P(IF(Table1[IndicatorCode]=Table1[[#This Row],[IndicatorCode]],Table1[value]))</f>
        <v>6.3409496564024987</v>
      </c>
      <c r="J8336">
        <f>(Table1[[#This Row],[value]] - Table1[[#This Row],[mean]]) / Table1[[#This Row],[std_dev]]</f>
        <v>0.99903961662852192</v>
      </c>
      <c r="K8336">
        <f>AVERAGEIF(Table1[CountryCode],Table1[[#This Row],[CountryCode]],Table1[z-score])</f>
        <v>0.36646997985615637</v>
      </c>
      <c r="L8336" t="e">
        <f>VLOOKUP(Table1[[#This Row],[CountryCode]],[1]!Table1[#All],1,FALSE)</f>
        <v>#REF!</v>
      </c>
    </row>
    <row r="8337" spans="1:12" hidden="1" x14ac:dyDescent="0.3">
      <c r="A8337" t="s">
        <v>43</v>
      </c>
      <c r="B8337" t="s">
        <v>44</v>
      </c>
      <c r="C8337" t="s">
        <v>129</v>
      </c>
      <c r="D8337" t="s">
        <v>130</v>
      </c>
      <c r="E8337">
        <v>2008</v>
      </c>
      <c r="F8337" s="1">
        <v>80</v>
      </c>
      <c r="G8337">
        <v>2010</v>
      </c>
      <c r="H8337">
        <f>AVERAGEIFS(Table1[value],Table1[IndicatorCode],Table1[[#This Row],[IndicatorCode]])</f>
        <v>72.66514008620689</v>
      </c>
      <c r="I8337" cm="1">
        <f t="array" ref="I8337">_xlfn.STDEV.P(IF(Table1[IndicatorCode]=Table1[[#This Row],[IndicatorCode]],Table1[value]))</f>
        <v>6.3409496564024987</v>
      </c>
      <c r="J8337">
        <f>(Table1[[#This Row],[value]] - Table1[[#This Row],[mean]]) / Table1[[#This Row],[std_dev]]</f>
        <v>1.1567447009119609</v>
      </c>
      <c r="K8337">
        <f>AVERAGEIF(Table1[CountryCode],Table1[[#This Row],[CountryCode]],Table1[z-score])</f>
        <v>0.36646997985615637</v>
      </c>
      <c r="L8337" t="e">
        <f>VLOOKUP(Table1[[#This Row],[CountryCode]],[1]!Table1[#All],1,FALSE)</f>
        <v>#REF!</v>
      </c>
    </row>
    <row r="8338" spans="1:12" hidden="1" x14ac:dyDescent="0.3">
      <c r="A8338" t="s">
        <v>43</v>
      </c>
      <c r="B8338" t="s">
        <v>44</v>
      </c>
      <c r="C8338" t="s">
        <v>129</v>
      </c>
      <c r="D8338" t="s">
        <v>130</v>
      </c>
      <c r="E8338">
        <v>2009</v>
      </c>
      <c r="F8338" s="1">
        <v>80</v>
      </c>
      <c r="G8338">
        <v>2010</v>
      </c>
      <c r="H8338">
        <f>AVERAGEIFS(Table1[value],Table1[IndicatorCode],Table1[[#This Row],[IndicatorCode]])</f>
        <v>72.66514008620689</v>
      </c>
      <c r="I8338" cm="1">
        <f t="array" ref="I8338">_xlfn.STDEV.P(IF(Table1[IndicatorCode]=Table1[[#This Row],[IndicatorCode]],Table1[value]))</f>
        <v>6.3409496564024987</v>
      </c>
      <c r="J8338">
        <f>(Table1[[#This Row],[value]] - Table1[[#This Row],[mean]]) / Table1[[#This Row],[std_dev]]</f>
        <v>1.1567447009119609</v>
      </c>
      <c r="K8338">
        <f>AVERAGEIF(Table1[CountryCode],Table1[[#This Row],[CountryCode]],Table1[z-score])</f>
        <v>0.36646997985615637</v>
      </c>
      <c r="L8338" t="e">
        <f>VLOOKUP(Table1[[#This Row],[CountryCode]],[1]!Table1[#All],1,FALSE)</f>
        <v>#REF!</v>
      </c>
    </row>
    <row r="8339" spans="1:12" hidden="1" x14ac:dyDescent="0.3">
      <c r="A8339" t="s">
        <v>43</v>
      </c>
      <c r="B8339" t="s">
        <v>44</v>
      </c>
      <c r="C8339" t="s">
        <v>129</v>
      </c>
      <c r="D8339" t="s">
        <v>130</v>
      </c>
      <c r="E8339">
        <v>2010</v>
      </c>
      <c r="F8339" s="1">
        <v>80</v>
      </c>
      <c r="G8339">
        <v>2010</v>
      </c>
      <c r="H8339">
        <f>AVERAGEIFS(Table1[value],Table1[IndicatorCode],Table1[[#This Row],[IndicatorCode]])</f>
        <v>72.66514008620689</v>
      </c>
      <c r="I8339" cm="1">
        <f t="array" ref="I8339">_xlfn.STDEV.P(IF(Table1[IndicatorCode]=Table1[[#This Row],[IndicatorCode]],Table1[value]))</f>
        <v>6.3409496564024987</v>
      </c>
      <c r="J8339">
        <f>(Table1[[#This Row],[value]] - Table1[[#This Row],[mean]]) / Table1[[#This Row],[std_dev]]</f>
        <v>1.1567447009119609</v>
      </c>
      <c r="K8339">
        <f>AVERAGEIF(Table1[CountryCode],Table1[[#This Row],[CountryCode]],Table1[z-score])</f>
        <v>0.36646997985615637</v>
      </c>
      <c r="L8339" t="e">
        <f>VLOOKUP(Table1[[#This Row],[CountryCode]],[1]!Table1[#All],1,FALSE)</f>
        <v>#REF!</v>
      </c>
    </row>
    <row r="8340" spans="1:12" hidden="1" x14ac:dyDescent="0.3">
      <c r="A8340" t="s">
        <v>43</v>
      </c>
      <c r="B8340" t="s">
        <v>44</v>
      </c>
      <c r="C8340" t="s">
        <v>129</v>
      </c>
      <c r="D8340" t="s">
        <v>130</v>
      </c>
      <c r="E8340">
        <v>2011</v>
      </c>
      <c r="F8340" s="1">
        <v>80</v>
      </c>
      <c r="G8340">
        <v>2010</v>
      </c>
      <c r="H8340">
        <f>AVERAGEIFS(Table1[value],Table1[IndicatorCode],Table1[[#This Row],[IndicatorCode]])</f>
        <v>72.66514008620689</v>
      </c>
      <c r="I8340" cm="1">
        <f t="array" ref="I8340">_xlfn.STDEV.P(IF(Table1[IndicatorCode]=Table1[[#This Row],[IndicatorCode]],Table1[value]))</f>
        <v>6.3409496564024987</v>
      </c>
      <c r="J8340">
        <f>(Table1[[#This Row],[value]] - Table1[[#This Row],[mean]]) / Table1[[#This Row],[std_dev]]</f>
        <v>1.1567447009119609</v>
      </c>
      <c r="K8340">
        <f>AVERAGEIF(Table1[CountryCode],Table1[[#This Row],[CountryCode]],Table1[z-score])</f>
        <v>0.36646997985615637</v>
      </c>
      <c r="L8340" t="e">
        <f>VLOOKUP(Table1[[#This Row],[CountryCode]],[1]!Table1[#All],1,FALSE)</f>
        <v>#REF!</v>
      </c>
    </row>
    <row r="8341" spans="1:12" hidden="1" x14ac:dyDescent="0.3">
      <c r="A8341" t="s">
        <v>43</v>
      </c>
      <c r="B8341" t="s">
        <v>44</v>
      </c>
      <c r="C8341" t="s">
        <v>129</v>
      </c>
      <c r="D8341" t="s">
        <v>130</v>
      </c>
      <c r="E8341">
        <v>2012</v>
      </c>
      <c r="F8341" s="1">
        <v>81</v>
      </c>
      <c r="G8341">
        <v>2010</v>
      </c>
      <c r="H8341">
        <f>AVERAGEIFS(Table1[value],Table1[IndicatorCode],Table1[[#This Row],[IndicatorCode]])</f>
        <v>72.66514008620689</v>
      </c>
      <c r="I8341" cm="1">
        <f t="array" ref="I8341">_xlfn.STDEV.P(IF(Table1[IndicatorCode]=Table1[[#This Row],[IndicatorCode]],Table1[value]))</f>
        <v>6.3409496564024987</v>
      </c>
      <c r="J8341">
        <f>(Table1[[#This Row],[value]] - Table1[[#This Row],[mean]]) / Table1[[#This Row],[std_dev]]</f>
        <v>1.3144497851954</v>
      </c>
      <c r="K8341">
        <f>AVERAGEIF(Table1[CountryCode],Table1[[#This Row],[CountryCode]],Table1[z-score])</f>
        <v>0.36646997985615637</v>
      </c>
      <c r="L8341" t="e">
        <f>VLOOKUP(Table1[[#This Row],[CountryCode]],[1]!Table1[#All],1,FALSE)</f>
        <v>#REF!</v>
      </c>
    </row>
    <row r="8342" spans="1:12" hidden="1" x14ac:dyDescent="0.3">
      <c r="A8342" t="s">
        <v>43</v>
      </c>
      <c r="B8342" t="s">
        <v>44</v>
      </c>
      <c r="C8342" t="s">
        <v>129</v>
      </c>
      <c r="D8342" t="s">
        <v>130</v>
      </c>
      <c r="E8342">
        <v>2013</v>
      </c>
      <c r="F8342" s="1">
        <v>81</v>
      </c>
      <c r="G8342">
        <v>2010</v>
      </c>
      <c r="H8342">
        <f>AVERAGEIFS(Table1[value],Table1[IndicatorCode],Table1[[#This Row],[IndicatorCode]])</f>
        <v>72.66514008620689</v>
      </c>
      <c r="I8342" cm="1">
        <f t="array" ref="I8342">_xlfn.STDEV.P(IF(Table1[IndicatorCode]=Table1[[#This Row],[IndicatorCode]],Table1[value]))</f>
        <v>6.3409496564024987</v>
      </c>
      <c r="J8342">
        <f>(Table1[[#This Row],[value]] - Table1[[#This Row],[mean]]) / Table1[[#This Row],[std_dev]]</f>
        <v>1.3144497851954</v>
      </c>
      <c r="K8342">
        <f>AVERAGEIF(Table1[CountryCode],Table1[[#This Row],[CountryCode]],Table1[z-score])</f>
        <v>0.36646997985615637</v>
      </c>
      <c r="L8342" t="e">
        <f>VLOOKUP(Table1[[#This Row],[CountryCode]],[1]!Table1[#All],1,FALSE)</f>
        <v>#REF!</v>
      </c>
    </row>
    <row r="8343" spans="1:12" hidden="1" x14ac:dyDescent="0.3">
      <c r="A8343" t="s">
        <v>43</v>
      </c>
      <c r="B8343" t="s">
        <v>44</v>
      </c>
      <c r="C8343" t="s">
        <v>129</v>
      </c>
      <c r="D8343" t="s">
        <v>130</v>
      </c>
      <c r="E8343">
        <v>2014</v>
      </c>
      <c r="F8343" s="1">
        <v>81</v>
      </c>
      <c r="G8343">
        <v>2010</v>
      </c>
      <c r="H8343">
        <f>AVERAGEIFS(Table1[value],Table1[IndicatorCode],Table1[[#This Row],[IndicatorCode]])</f>
        <v>72.66514008620689</v>
      </c>
      <c r="I8343" cm="1">
        <f t="array" ref="I8343">_xlfn.STDEV.P(IF(Table1[IndicatorCode]=Table1[[#This Row],[IndicatorCode]],Table1[value]))</f>
        <v>6.3409496564024987</v>
      </c>
      <c r="J8343">
        <f>(Table1[[#This Row],[value]] - Table1[[#This Row],[mean]]) / Table1[[#This Row],[std_dev]]</f>
        <v>1.3144497851954</v>
      </c>
      <c r="K8343">
        <f>AVERAGEIF(Table1[CountryCode],Table1[[#This Row],[CountryCode]],Table1[z-score])</f>
        <v>0.36646997985615637</v>
      </c>
      <c r="L8343" t="e">
        <f>VLOOKUP(Table1[[#This Row],[CountryCode]],[1]!Table1[#All],1,FALSE)</f>
        <v>#REF!</v>
      </c>
    </row>
    <row r="8344" spans="1:12" hidden="1" x14ac:dyDescent="0.3">
      <c r="A8344" t="s">
        <v>43</v>
      </c>
      <c r="B8344" t="s">
        <v>44</v>
      </c>
      <c r="C8344" t="s">
        <v>129</v>
      </c>
      <c r="D8344" t="s">
        <v>130</v>
      </c>
      <c r="E8344">
        <v>2015</v>
      </c>
      <c r="F8344" s="1">
        <v>81</v>
      </c>
      <c r="G8344">
        <v>2010</v>
      </c>
      <c r="H8344">
        <f>AVERAGEIFS(Table1[value],Table1[IndicatorCode],Table1[[#This Row],[IndicatorCode]])</f>
        <v>72.66514008620689</v>
      </c>
      <c r="I8344" cm="1">
        <f t="array" ref="I8344">_xlfn.STDEV.P(IF(Table1[IndicatorCode]=Table1[[#This Row],[IndicatorCode]],Table1[value]))</f>
        <v>6.3409496564024987</v>
      </c>
      <c r="J8344">
        <f>(Table1[[#This Row],[value]] - Table1[[#This Row],[mean]]) / Table1[[#This Row],[std_dev]]</f>
        <v>1.3144497851954</v>
      </c>
      <c r="K8344">
        <f>AVERAGEIF(Table1[CountryCode],Table1[[#This Row],[CountryCode]],Table1[z-score])</f>
        <v>0.36646997985615637</v>
      </c>
      <c r="L8344" t="e">
        <f>VLOOKUP(Table1[[#This Row],[CountryCode]],[1]!Table1[#All],1,FALSE)</f>
        <v>#REF!</v>
      </c>
    </row>
    <row r="8345" spans="1:12" hidden="1" x14ac:dyDescent="0.3">
      <c r="A8345" t="s">
        <v>43</v>
      </c>
      <c r="B8345" t="s">
        <v>44</v>
      </c>
      <c r="C8345" t="s">
        <v>129</v>
      </c>
      <c r="D8345" t="s">
        <v>130</v>
      </c>
      <c r="E8345">
        <v>2016</v>
      </c>
      <c r="F8345" s="1">
        <v>81</v>
      </c>
      <c r="G8345">
        <v>2010</v>
      </c>
      <c r="H8345">
        <f>AVERAGEIFS(Table1[value],Table1[IndicatorCode],Table1[[#This Row],[IndicatorCode]])</f>
        <v>72.66514008620689</v>
      </c>
      <c r="I8345" cm="1">
        <f t="array" ref="I8345">_xlfn.STDEV.P(IF(Table1[IndicatorCode]=Table1[[#This Row],[IndicatorCode]],Table1[value]))</f>
        <v>6.3409496564024987</v>
      </c>
      <c r="J8345">
        <f>(Table1[[#This Row],[value]] - Table1[[#This Row],[mean]]) / Table1[[#This Row],[std_dev]]</f>
        <v>1.3144497851954</v>
      </c>
      <c r="K8345">
        <f>AVERAGEIF(Table1[CountryCode],Table1[[#This Row],[CountryCode]],Table1[z-score])</f>
        <v>0.36646997985615637</v>
      </c>
      <c r="L8345" t="e">
        <f>VLOOKUP(Table1[[#This Row],[CountryCode]],[1]!Table1[#All],1,FALSE)</f>
        <v>#REF!</v>
      </c>
    </row>
    <row r="8346" spans="1:12" hidden="1" x14ac:dyDescent="0.3">
      <c r="A8346" t="s">
        <v>43</v>
      </c>
      <c r="B8346" t="s">
        <v>44</v>
      </c>
      <c r="C8346" t="s">
        <v>129</v>
      </c>
      <c r="D8346" t="s">
        <v>130</v>
      </c>
      <c r="E8346">
        <v>2017</v>
      </c>
      <c r="F8346" s="1">
        <v>82</v>
      </c>
      <c r="G8346">
        <v>2020</v>
      </c>
      <c r="H8346">
        <f>AVERAGEIFS(Table1[value],Table1[IndicatorCode],Table1[[#This Row],[IndicatorCode]])</f>
        <v>72.66514008620689</v>
      </c>
      <c r="I8346" cm="1">
        <f t="array" ref="I8346">_xlfn.STDEV.P(IF(Table1[IndicatorCode]=Table1[[#This Row],[IndicatorCode]],Table1[value]))</f>
        <v>6.3409496564024987</v>
      </c>
      <c r="J8346">
        <f>(Table1[[#This Row],[value]] - Table1[[#This Row],[mean]]) / Table1[[#This Row],[std_dev]]</f>
        <v>1.4721548694788391</v>
      </c>
      <c r="K8346">
        <f>AVERAGEIF(Table1[CountryCode],Table1[[#This Row],[CountryCode]],Table1[z-score])</f>
        <v>0.36646997985615637</v>
      </c>
      <c r="L8346" t="e">
        <f>VLOOKUP(Table1[[#This Row],[CountryCode]],[1]!Table1[#All],1,FALSE)</f>
        <v>#REF!</v>
      </c>
    </row>
    <row r="8347" spans="1:12" hidden="1" x14ac:dyDescent="0.3">
      <c r="A8347" t="s">
        <v>43</v>
      </c>
      <c r="B8347" t="s">
        <v>44</v>
      </c>
      <c r="C8347" t="s">
        <v>129</v>
      </c>
      <c r="D8347" t="s">
        <v>130</v>
      </c>
      <c r="E8347">
        <v>2018</v>
      </c>
      <c r="F8347" s="1">
        <v>82</v>
      </c>
      <c r="G8347">
        <v>2020</v>
      </c>
      <c r="H8347">
        <f>AVERAGEIFS(Table1[value],Table1[IndicatorCode],Table1[[#This Row],[IndicatorCode]])</f>
        <v>72.66514008620689</v>
      </c>
      <c r="I8347" cm="1">
        <f t="array" ref="I8347">_xlfn.STDEV.P(IF(Table1[IndicatorCode]=Table1[[#This Row],[IndicatorCode]],Table1[value]))</f>
        <v>6.3409496564024987</v>
      </c>
      <c r="J8347">
        <f>(Table1[[#This Row],[value]] - Table1[[#This Row],[mean]]) / Table1[[#This Row],[std_dev]]</f>
        <v>1.4721548694788391</v>
      </c>
      <c r="K8347">
        <f>AVERAGEIF(Table1[CountryCode],Table1[[#This Row],[CountryCode]],Table1[z-score])</f>
        <v>0.36646997985615637</v>
      </c>
      <c r="L8347" t="e">
        <f>VLOOKUP(Table1[[#This Row],[CountryCode]],[1]!Table1[#All],1,FALSE)</f>
        <v>#REF!</v>
      </c>
    </row>
    <row r="8348" spans="1:12" hidden="1" x14ac:dyDescent="0.3">
      <c r="A8348" t="s">
        <v>43</v>
      </c>
      <c r="B8348" t="s">
        <v>44</v>
      </c>
      <c r="C8348" t="s">
        <v>129</v>
      </c>
      <c r="D8348" t="s">
        <v>130</v>
      </c>
      <c r="E8348">
        <v>2019</v>
      </c>
      <c r="F8348" s="1">
        <v>82</v>
      </c>
      <c r="G8348">
        <v>2020</v>
      </c>
      <c r="H8348">
        <f>AVERAGEIFS(Table1[value],Table1[IndicatorCode],Table1[[#This Row],[IndicatorCode]])</f>
        <v>72.66514008620689</v>
      </c>
      <c r="I8348" cm="1">
        <f t="array" ref="I8348">_xlfn.STDEV.P(IF(Table1[IndicatorCode]=Table1[[#This Row],[IndicatorCode]],Table1[value]))</f>
        <v>6.3409496564024987</v>
      </c>
      <c r="J8348">
        <f>(Table1[[#This Row],[value]] - Table1[[#This Row],[mean]]) / Table1[[#This Row],[std_dev]]</f>
        <v>1.4721548694788391</v>
      </c>
      <c r="K8348">
        <f>AVERAGEIF(Table1[CountryCode],Table1[[#This Row],[CountryCode]],Table1[z-score])</f>
        <v>0.36646997985615637</v>
      </c>
      <c r="L8348" t="e">
        <f>VLOOKUP(Table1[[#This Row],[CountryCode]],[1]!Table1[#All],1,FALSE)</f>
        <v>#REF!</v>
      </c>
    </row>
    <row r="8349" spans="1:12" x14ac:dyDescent="0.3">
      <c r="A8349" t="s">
        <v>43</v>
      </c>
      <c r="B8349" t="s">
        <v>44</v>
      </c>
      <c r="C8349" t="s">
        <v>129</v>
      </c>
      <c r="D8349" t="s">
        <v>130</v>
      </c>
      <c r="E8349">
        <v>2020</v>
      </c>
      <c r="F8349" s="1">
        <v>82</v>
      </c>
      <c r="G8349">
        <v>2020</v>
      </c>
      <c r="H8349">
        <f>AVERAGEIFS(Table1[value],Table1[IndicatorCode],Table1[[#This Row],[IndicatorCode]])</f>
        <v>72.66514008620689</v>
      </c>
      <c r="I8349" cm="1">
        <f t="array" ref="I8349">_xlfn.STDEV.P(IF(Table1[IndicatorCode]=Table1[[#This Row],[IndicatorCode]],Table1[value]))</f>
        <v>6.3409496564024987</v>
      </c>
      <c r="J8349">
        <f>(Table1[[#This Row],[value]] - Table1[[#This Row],[mean]]) / Table1[[#This Row],[std_dev]]</f>
        <v>1.4721548694788391</v>
      </c>
      <c r="K8349">
        <f>AVERAGEIF(Table1[CountryCode],Table1[[#This Row],[CountryCode]],Table1[z-score])</f>
        <v>0.36646997985615637</v>
      </c>
    </row>
    <row r="8350" spans="1:12" hidden="1" x14ac:dyDescent="0.3">
      <c r="A8350" t="s">
        <v>43</v>
      </c>
      <c r="B8350" t="s">
        <v>44</v>
      </c>
      <c r="C8350" t="s">
        <v>129</v>
      </c>
      <c r="D8350" t="s">
        <v>130</v>
      </c>
      <c r="E8350">
        <v>2021</v>
      </c>
      <c r="F8350" s="1">
        <v>82</v>
      </c>
      <c r="G8350">
        <v>1960</v>
      </c>
      <c r="H8350">
        <f>AVERAGEIFS(Table1[value],Table1[IndicatorCode],Table1[[#This Row],[IndicatorCode]])</f>
        <v>72.66514008620689</v>
      </c>
      <c r="I8350" cm="1">
        <f t="array" ref="I8350">_xlfn.STDEV.P(IF(Table1[IndicatorCode]=Table1[[#This Row],[IndicatorCode]],Table1[value]))</f>
        <v>6.3409496564024987</v>
      </c>
      <c r="J8350">
        <f>(Table1[[#This Row],[value]] - Table1[[#This Row],[mean]]) / Table1[[#This Row],[std_dev]]</f>
        <v>1.4721548694788391</v>
      </c>
      <c r="K8350">
        <f>AVERAGEIF(Table1[CountryCode],Table1[[#This Row],[CountryCode]],Table1[z-score])</f>
        <v>0.36646997985615637</v>
      </c>
      <c r="L8350" t="e">
        <f>VLOOKUP(Table1[[#This Row],[CountryCode]],[1]!Table1[#All],1,FALSE)</f>
        <v>#REF!</v>
      </c>
    </row>
    <row r="8351" spans="1:12" hidden="1" x14ac:dyDescent="0.3">
      <c r="A8351" t="s">
        <v>43</v>
      </c>
      <c r="B8351" t="s">
        <v>44</v>
      </c>
      <c r="C8351" t="s">
        <v>129</v>
      </c>
      <c r="D8351" t="s">
        <v>130</v>
      </c>
      <c r="E8351">
        <v>2022</v>
      </c>
      <c r="F8351" s="1">
        <v>81</v>
      </c>
      <c r="G8351">
        <v>1960</v>
      </c>
      <c r="H8351">
        <f>AVERAGEIFS(Table1[value],Table1[IndicatorCode],Table1[[#This Row],[IndicatorCode]])</f>
        <v>72.66514008620689</v>
      </c>
      <c r="I8351" cm="1">
        <f t="array" ref="I8351">_xlfn.STDEV.P(IF(Table1[IndicatorCode]=Table1[[#This Row],[IndicatorCode]],Table1[value]))</f>
        <v>6.3409496564024987</v>
      </c>
      <c r="J8351">
        <f>(Table1[[#This Row],[value]] - Table1[[#This Row],[mean]]) / Table1[[#This Row],[std_dev]]</f>
        <v>1.3144497851954</v>
      </c>
      <c r="K8351">
        <f>AVERAGEIF(Table1[CountryCode],Table1[[#This Row],[CountryCode]],Table1[z-score])</f>
        <v>0.36646997985615637</v>
      </c>
      <c r="L8351" t="e">
        <f>VLOOKUP(Table1[[#This Row],[CountryCode]],[1]!Table1[#All],1,FALSE)</f>
        <v>#REF!</v>
      </c>
    </row>
    <row r="8352" spans="1:12" hidden="1" x14ac:dyDescent="0.3">
      <c r="A8352" t="s">
        <v>43</v>
      </c>
      <c r="B8352" t="s">
        <v>44</v>
      </c>
      <c r="C8352" t="s">
        <v>129</v>
      </c>
      <c r="D8352" t="s">
        <v>130</v>
      </c>
      <c r="E8352">
        <v>2023</v>
      </c>
      <c r="F8352" s="1">
        <v>82</v>
      </c>
      <c r="G8352">
        <v>1960</v>
      </c>
      <c r="H8352">
        <f>AVERAGEIFS(Table1[value],Table1[IndicatorCode],Table1[[#This Row],[IndicatorCode]])</f>
        <v>72.66514008620689</v>
      </c>
      <c r="I8352" cm="1">
        <f t="array" ref="I8352">_xlfn.STDEV.P(IF(Table1[IndicatorCode]=Table1[[#This Row],[IndicatorCode]],Table1[value]))</f>
        <v>6.3409496564024987</v>
      </c>
      <c r="J8352">
        <f>(Table1[[#This Row],[value]] - Table1[[#This Row],[mean]]) / Table1[[#This Row],[std_dev]]</f>
        <v>1.4721548694788391</v>
      </c>
      <c r="K8352">
        <f>AVERAGEIF(Table1[CountryCode],Table1[[#This Row],[CountryCode]],Table1[z-score])</f>
        <v>0.36646997985615637</v>
      </c>
      <c r="L8352" t="e">
        <f>VLOOKUP(Table1[[#This Row],[CountryCode]],[1]!Table1[#All],1,FALSE)</f>
        <v>#REF!</v>
      </c>
    </row>
    <row r="8353" spans="1:12" hidden="1" x14ac:dyDescent="0.3">
      <c r="A8353" t="s">
        <v>45</v>
      </c>
      <c r="B8353" t="s">
        <v>46</v>
      </c>
      <c r="C8353" t="s">
        <v>129</v>
      </c>
      <c r="D8353" t="s">
        <v>130</v>
      </c>
      <c r="E8353">
        <v>1960</v>
      </c>
      <c r="F8353" s="1">
        <v>70</v>
      </c>
      <c r="G8353">
        <v>1960</v>
      </c>
      <c r="H8353">
        <f>AVERAGEIFS(Table1[value],Table1[IndicatorCode],Table1[[#This Row],[IndicatorCode]])</f>
        <v>72.66514008620689</v>
      </c>
      <c r="I8353" cm="1">
        <f t="array" ref="I8353">_xlfn.STDEV.P(IF(Table1[IndicatorCode]=Table1[[#This Row],[IndicatorCode]],Table1[value]))</f>
        <v>6.3409496564024987</v>
      </c>
      <c r="J8353">
        <f>(Table1[[#This Row],[value]] - Table1[[#This Row],[mean]]) / Table1[[#This Row],[std_dev]]</f>
        <v>-0.4203061419224296</v>
      </c>
      <c r="K8353">
        <f>AVERAGEIF(Table1[CountryCode],Table1[[#This Row],[CountryCode]],Table1[z-score])</f>
        <v>0.21233679132661218</v>
      </c>
      <c r="L8353" t="e">
        <f>VLOOKUP(Table1[[#This Row],[CountryCode]],[1]!Table1[#All],1,FALSE)</f>
        <v>#REF!</v>
      </c>
    </row>
    <row r="8354" spans="1:12" hidden="1" x14ac:dyDescent="0.3">
      <c r="A8354" t="s">
        <v>45</v>
      </c>
      <c r="B8354" t="s">
        <v>46</v>
      </c>
      <c r="C8354" t="s">
        <v>129</v>
      </c>
      <c r="D8354" t="s">
        <v>130</v>
      </c>
      <c r="E8354">
        <v>1961</v>
      </c>
      <c r="F8354" s="1">
        <v>70</v>
      </c>
      <c r="G8354">
        <v>1960</v>
      </c>
      <c r="H8354">
        <f>AVERAGEIFS(Table1[value],Table1[IndicatorCode],Table1[[#This Row],[IndicatorCode]])</f>
        <v>72.66514008620689</v>
      </c>
      <c r="I8354" cm="1">
        <f t="array" ref="I8354">_xlfn.STDEV.P(IF(Table1[IndicatorCode]=Table1[[#This Row],[IndicatorCode]],Table1[value]))</f>
        <v>6.3409496564024987</v>
      </c>
      <c r="J8354">
        <f>(Table1[[#This Row],[value]] - Table1[[#This Row],[mean]]) / Table1[[#This Row],[std_dev]]</f>
        <v>-0.4203061419224296</v>
      </c>
      <c r="K8354">
        <f>AVERAGEIF(Table1[CountryCode],Table1[[#This Row],[CountryCode]],Table1[z-score])</f>
        <v>0.21233679132661218</v>
      </c>
      <c r="L8354" t="e">
        <f>VLOOKUP(Table1[[#This Row],[CountryCode]],[1]!Table1[#All],1,FALSE)</f>
        <v>#REF!</v>
      </c>
    </row>
    <row r="8355" spans="1:12" hidden="1" x14ac:dyDescent="0.3">
      <c r="A8355" t="s">
        <v>45</v>
      </c>
      <c r="B8355" t="s">
        <v>46</v>
      </c>
      <c r="C8355" t="s">
        <v>129</v>
      </c>
      <c r="D8355" t="s">
        <v>130</v>
      </c>
      <c r="E8355">
        <v>1962</v>
      </c>
      <c r="F8355" s="1">
        <v>70</v>
      </c>
      <c r="G8355">
        <v>1960</v>
      </c>
      <c r="H8355">
        <f>AVERAGEIFS(Table1[value],Table1[IndicatorCode],Table1[[#This Row],[IndicatorCode]])</f>
        <v>72.66514008620689</v>
      </c>
      <c r="I8355" cm="1">
        <f t="array" ref="I8355">_xlfn.STDEV.P(IF(Table1[IndicatorCode]=Table1[[#This Row],[IndicatorCode]],Table1[value]))</f>
        <v>6.3409496564024987</v>
      </c>
      <c r="J8355">
        <f>(Table1[[#This Row],[value]] - Table1[[#This Row],[mean]]) / Table1[[#This Row],[std_dev]]</f>
        <v>-0.4203061419224296</v>
      </c>
      <c r="K8355">
        <f>AVERAGEIF(Table1[CountryCode],Table1[[#This Row],[CountryCode]],Table1[z-score])</f>
        <v>0.21233679132661218</v>
      </c>
      <c r="L8355" t="e">
        <f>VLOOKUP(Table1[[#This Row],[CountryCode]],[1]!Table1[#All],1,FALSE)</f>
        <v>#REF!</v>
      </c>
    </row>
    <row r="8356" spans="1:12" hidden="1" x14ac:dyDescent="0.3">
      <c r="A8356" t="s">
        <v>45</v>
      </c>
      <c r="B8356" t="s">
        <v>46</v>
      </c>
      <c r="C8356" t="s">
        <v>129</v>
      </c>
      <c r="D8356" t="s">
        <v>130</v>
      </c>
      <c r="E8356">
        <v>1963</v>
      </c>
      <c r="F8356" s="1">
        <v>71</v>
      </c>
      <c r="G8356">
        <v>1960</v>
      </c>
      <c r="H8356">
        <f>AVERAGEIFS(Table1[value],Table1[IndicatorCode],Table1[[#This Row],[IndicatorCode]])</f>
        <v>72.66514008620689</v>
      </c>
      <c r="I8356" cm="1">
        <f t="array" ref="I8356">_xlfn.STDEV.P(IF(Table1[IndicatorCode]=Table1[[#This Row],[IndicatorCode]],Table1[value]))</f>
        <v>6.3409496564024987</v>
      </c>
      <c r="J8356">
        <f>(Table1[[#This Row],[value]] - Table1[[#This Row],[mean]]) / Table1[[#This Row],[std_dev]]</f>
        <v>-0.2626010576389905</v>
      </c>
      <c r="K8356">
        <f>AVERAGEIF(Table1[CountryCode],Table1[[#This Row],[CountryCode]],Table1[z-score])</f>
        <v>0.21233679132661218</v>
      </c>
      <c r="L8356" t="e">
        <f>VLOOKUP(Table1[[#This Row],[CountryCode]],[1]!Table1[#All],1,FALSE)</f>
        <v>#REF!</v>
      </c>
    </row>
    <row r="8357" spans="1:12" hidden="1" x14ac:dyDescent="0.3">
      <c r="A8357" t="s">
        <v>45</v>
      </c>
      <c r="B8357" t="s">
        <v>46</v>
      </c>
      <c r="C8357" t="s">
        <v>129</v>
      </c>
      <c r="D8357" t="s">
        <v>130</v>
      </c>
      <c r="E8357">
        <v>1964</v>
      </c>
      <c r="F8357" s="1">
        <v>71</v>
      </c>
      <c r="G8357">
        <v>1960</v>
      </c>
      <c r="H8357">
        <f>AVERAGEIFS(Table1[value],Table1[IndicatorCode],Table1[[#This Row],[IndicatorCode]])</f>
        <v>72.66514008620689</v>
      </c>
      <c r="I8357" cm="1">
        <f t="array" ref="I8357">_xlfn.STDEV.P(IF(Table1[IndicatorCode]=Table1[[#This Row],[IndicatorCode]],Table1[value]))</f>
        <v>6.3409496564024987</v>
      </c>
      <c r="J8357">
        <f>(Table1[[#This Row],[value]] - Table1[[#This Row],[mean]]) / Table1[[#This Row],[std_dev]]</f>
        <v>-0.2626010576389905</v>
      </c>
      <c r="K8357">
        <f>AVERAGEIF(Table1[CountryCode],Table1[[#This Row],[CountryCode]],Table1[z-score])</f>
        <v>0.21233679132661218</v>
      </c>
      <c r="L8357" t="e">
        <f>VLOOKUP(Table1[[#This Row],[CountryCode]],[1]!Table1[#All],1,FALSE)</f>
        <v>#REF!</v>
      </c>
    </row>
    <row r="8358" spans="1:12" hidden="1" x14ac:dyDescent="0.3">
      <c r="A8358" t="s">
        <v>45</v>
      </c>
      <c r="B8358" t="s">
        <v>46</v>
      </c>
      <c r="C8358" t="s">
        <v>129</v>
      </c>
      <c r="D8358" t="s">
        <v>130</v>
      </c>
      <c r="E8358">
        <v>1965</v>
      </c>
      <c r="F8358" s="1">
        <v>71</v>
      </c>
      <c r="G8358">
        <v>1960</v>
      </c>
      <c r="H8358">
        <f>AVERAGEIFS(Table1[value],Table1[IndicatorCode],Table1[[#This Row],[IndicatorCode]])</f>
        <v>72.66514008620689</v>
      </c>
      <c r="I8358" cm="1">
        <f t="array" ref="I8358">_xlfn.STDEV.P(IF(Table1[IndicatorCode]=Table1[[#This Row],[IndicatorCode]],Table1[value]))</f>
        <v>6.3409496564024987</v>
      </c>
      <c r="J8358">
        <f>(Table1[[#This Row],[value]] - Table1[[#This Row],[mean]]) / Table1[[#This Row],[std_dev]]</f>
        <v>-0.2626010576389905</v>
      </c>
      <c r="K8358">
        <f>AVERAGEIF(Table1[CountryCode],Table1[[#This Row],[CountryCode]],Table1[z-score])</f>
        <v>0.21233679132661218</v>
      </c>
      <c r="L8358" t="e">
        <f>VLOOKUP(Table1[[#This Row],[CountryCode]],[1]!Table1[#All],1,FALSE)</f>
        <v>#REF!</v>
      </c>
    </row>
    <row r="8359" spans="1:12" hidden="1" x14ac:dyDescent="0.3">
      <c r="A8359" t="s">
        <v>45</v>
      </c>
      <c r="B8359" t="s">
        <v>46</v>
      </c>
      <c r="C8359" t="s">
        <v>129</v>
      </c>
      <c r="D8359" t="s">
        <v>130</v>
      </c>
      <c r="E8359">
        <v>1966</v>
      </c>
      <c r="F8359" s="1">
        <v>71</v>
      </c>
      <c r="G8359">
        <v>1960</v>
      </c>
      <c r="H8359">
        <f>AVERAGEIFS(Table1[value],Table1[IndicatorCode],Table1[[#This Row],[IndicatorCode]])</f>
        <v>72.66514008620689</v>
      </c>
      <c r="I8359" cm="1">
        <f t="array" ref="I8359">_xlfn.STDEV.P(IF(Table1[IndicatorCode]=Table1[[#This Row],[IndicatorCode]],Table1[value]))</f>
        <v>6.3409496564024987</v>
      </c>
      <c r="J8359">
        <f>(Table1[[#This Row],[value]] - Table1[[#This Row],[mean]]) / Table1[[#This Row],[std_dev]]</f>
        <v>-0.2626010576389905</v>
      </c>
      <c r="K8359">
        <f>AVERAGEIF(Table1[CountryCode],Table1[[#This Row],[CountryCode]],Table1[z-score])</f>
        <v>0.21233679132661218</v>
      </c>
      <c r="L8359" t="e">
        <f>VLOOKUP(Table1[[#This Row],[CountryCode]],[1]!Table1[#All],1,FALSE)</f>
        <v>#REF!</v>
      </c>
    </row>
    <row r="8360" spans="1:12" hidden="1" x14ac:dyDescent="0.3">
      <c r="A8360" t="s">
        <v>45</v>
      </c>
      <c r="B8360" t="s">
        <v>46</v>
      </c>
      <c r="C8360" t="s">
        <v>129</v>
      </c>
      <c r="D8360" t="s">
        <v>130</v>
      </c>
      <c r="E8360">
        <v>1967</v>
      </c>
      <c r="F8360" s="1">
        <v>71</v>
      </c>
      <c r="G8360">
        <v>1970</v>
      </c>
      <c r="H8360">
        <f>AVERAGEIFS(Table1[value],Table1[IndicatorCode],Table1[[#This Row],[IndicatorCode]])</f>
        <v>72.66514008620689</v>
      </c>
      <c r="I8360" cm="1">
        <f t="array" ref="I8360">_xlfn.STDEV.P(IF(Table1[IndicatorCode]=Table1[[#This Row],[IndicatorCode]],Table1[value]))</f>
        <v>6.3409496564024987</v>
      </c>
      <c r="J8360">
        <f>(Table1[[#This Row],[value]] - Table1[[#This Row],[mean]]) / Table1[[#This Row],[std_dev]]</f>
        <v>-0.2626010576389905</v>
      </c>
      <c r="K8360">
        <f>AVERAGEIF(Table1[CountryCode],Table1[[#This Row],[CountryCode]],Table1[z-score])</f>
        <v>0.21233679132661218</v>
      </c>
      <c r="L8360" t="e">
        <f>VLOOKUP(Table1[[#This Row],[CountryCode]],[1]!Table1[#All],1,FALSE)</f>
        <v>#REF!</v>
      </c>
    </row>
    <row r="8361" spans="1:12" hidden="1" x14ac:dyDescent="0.3">
      <c r="A8361" t="s">
        <v>45</v>
      </c>
      <c r="B8361" t="s">
        <v>46</v>
      </c>
      <c r="C8361" t="s">
        <v>129</v>
      </c>
      <c r="D8361" t="s">
        <v>130</v>
      </c>
      <c r="E8361">
        <v>1968</v>
      </c>
      <c r="F8361" s="1">
        <v>71</v>
      </c>
      <c r="G8361">
        <v>1970</v>
      </c>
      <c r="H8361">
        <f>AVERAGEIFS(Table1[value],Table1[IndicatorCode],Table1[[#This Row],[IndicatorCode]])</f>
        <v>72.66514008620689</v>
      </c>
      <c r="I8361" cm="1">
        <f t="array" ref="I8361">_xlfn.STDEV.P(IF(Table1[IndicatorCode]=Table1[[#This Row],[IndicatorCode]],Table1[value]))</f>
        <v>6.3409496564024987</v>
      </c>
      <c r="J8361">
        <f>(Table1[[#This Row],[value]] - Table1[[#This Row],[mean]]) / Table1[[#This Row],[std_dev]]</f>
        <v>-0.2626010576389905</v>
      </c>
      <c r="K8361">
        <f>AVERAGEIF(Table1[CountryCode],Table1[[#This Row],[CountryCode]],Table1[z-score])</f>
        <v>0.21233679132661218</v>
      </c>
      <c r="L8361" t="e">
        <f>VLOOKUP(Table1[[#This Row],[CountryCode]],[1]!Table1[#All],1,FALSE)</f>
        <v>#REF!</v>
      </c>
    </row>
    <row r="8362" spans="1:12" hidden="1" x14ac:dyDescent="0.3">
      <c r="A8362" t="s">
        <v>45</v>
      </c>
      <c r="B8362" t="s">
        <v>46</v>
      </c>
      <c r="C8362" t="s">
        <v>129</v>
      </c>
      <c r="D8362" t="s">
        <v>130</v>
      </c>
      <c r="E8362">
        <v>1969</v>
      </c>
      <c r="F8362" s="1">
        <v>71</v>
      </c>
      <c r="G8362">
        <v>1970</v>
      </c>
      <c r="H8362">
        <f>AVERAGEIFS(Table1[value],Table1[IndicatorCode],Table1[[#This Row],[IndicatorCode]])</f>
        <v>72.66514008620689</v>
      </c>
      <c r="I8362" cm="1">
        <f t="array" ref="I8362">_xlfn.STDEV.P(IF(Table1[IndicatorCode]=Table1[[#This Row],[IndicatorCode]],Table1[value]))</f>
        <v>6.3409496564024987</v>
      </c>
      <c r="J8362">
        <f>(Table1[[#This Row],[value]] - Table1[[#This Row],[mean]]) / Table1[[#This Row],[std_dev]]</f>
        <v>-0.2626010576389905</v>
      </c>
      <c r="K8362">
        <f>AVERAGEIF(Table1[CountryCode],Table1[[#This Row],[CountryCode]],Table1[z-score])</f>
        <v>0.21233679132661218</v>
      </c>
      <c r="L8362" t="e">
        <f>VLOOKUP(Table1[[#This Row],[CountryCode]],[1]!Table1[#All],1,FALSE)</f>
        <v>#REF!</v>
      </c>
    </row>
    <row r="8363" spans="1:12" hidden="1" x14ac:dyDescent="0.3">
      <c r="A8363" t="s">
        <v>45</v>
      </c>
      <c r="B8363" t="s">
        <v>46</v>
      </c>
      <c r="C8363" t="s">
        <v>129</v>
      </c>
      <c r="D8363" t="s">
        <v>130</v>
      </c>
      <c r="E8363">
        <v>1970</v>
      </c>
      <c r="F8363" s="1">
        <v>72</v>
      </c>
      <c r="G8363">
        <v>1970</v>
      </c>
      <c r="H8363">
        <f>AVERAGEIFS(Table1[value],Table1[IndicatorCode],Table1[[#This Row],[IndicatorCode]])</f>
        <v>72.66514008620689</v>
      </c>
      <c r="I8363" cm="1">
        <f t="array" ref="I8363">_xlfn.STDEV.P(IF(Table1[IndicatorCode]=Table1[[#This Row],[IndicatorCode]],Table1[value]))</f>
        <v>6.3409496564024987</v>
      </c>
      <c r="J8363">
        <f>(Table1[[#This Row],[value]] - Table1[[#This Row],[mean]]) / Table1[[#This Row],[std_dev]]</f>
        <v>-0.10489597335555145</v>
      </c>
      <c r="K8363">
        <f>AVERAGEIF(Table1[CountryCode],Table1[[#This Row],[CountryCode]],Table1[z-score])</f>
        <v>0.21233679132661218</v>
      </c>
      <c r="L8363" t="e">
        <f>VLOOKUP(Table1[[#This Row],[CountryCode]],[1]!Table1[#All],1,FALSE)</f>
        <v>#REF!</v>
      </c>
    </row>
    <row r="8364" spans="1:12" hidden="1" x14ac:dyDescent="0.3">
      <c r="A8364" t="s">
        <v>45</v>
      </c>
      <c r="B8364" t="s">
        <v>46</v>
      </c>
      <c r="C8364" t="s">
        <v>129</v>
      </c>
      <c r="D8364" t="s">
        <v>130</v>
      </c>
      <c r="E8364">
        <v>1971</v>
      </c>
      <c r="F8364" s="1">
        <v>72</v>
      </c>
      <c r="G8364">
        <v>1970</v>
      </c>
      <c r="H8364">
        <f>AVERAGEIFS(Table1[value],Table1[IndicatorCode],Table1[[#This Row],[IndicatorCode]])</f>
        <v>72.66514008620689</v>
      </c>
      <c r="I8364" cm="1">
        <f t="array" ref="I8364">_xlfn.STDEV.P(IF(Table1[IndicatorCode]=Table1[[#This Row],[IndicatorCode]],Table1[value]))</f>
        <v>6.3409496564024987</v>
      </c>
      <c r="J8364">
        <f>(Table1[[#This Row],[value]] - Table1[[#This Row],[mean]]) / Table1[[#This Row],[std_dev]]</f>
        <v>-0.10489597335555145</v>
      </c>
      <c r="K8364">
        <f>AVERAGEIF(Table1[CountryCode],Table1[[#This Row],[CountryCode]],Table1[z-score])</f>
        <v>0.21233679132661218</v>
      </c>
      <c r="L8364" t="e">
        <f>VLOOKUP(Table1[[#This Row],[CountryCode]],[1]!Table1[#All],1,FALSE)</f>
        <v>#REF!</v>
      </c>
    </row>
    <row r="8365" spans="1:12" hidden="1" x14ac:dyDescent="0.3">
      <c r="A8365" t="s">
        <v>45</v>
      </c>
      <c r="B8365" t="s">
        <v>46</v>
      </c>
      <c r="C8365" t="s">
        <v>129</v>
      </c>
      <c r="D8365" t="s">
        <v>130</v>
      </c>
      <c r="E8365">
        <v>1972</v>
      </c>
      <c r="F8365" s="1">
        <v>72</v>
      </c>
      <c r="G8365">
        <v>1970</v>
      </c>
      <c r="H8365">
        <f>AVERAGEIFS(Table1[value],Table1[IndicatorCode],Table1[[#This Row],[IndicatorCode]])</f>
        <v>72.66514008620689</v>
      </c>
      <c r="I8365" cm="1">
        <f t="array" ref="I8365">_xlfn.STDEV.P(IF(Table1[IndicatorCode]=Table1[[#This Row],[IndicatorCode]],Table1[value]))</f>
        <v>6.3409496564024987</v>
      </c>
      <c r="J8365">
        <f>(Table1[[#This Row],[value]] - Table1[[#This Row],[mean]]) / Table1[[#This Row],[std_dev]]</f>
        <v>-0.10489597335555145</v>
      </c>
      <c r="K8365">
        <f>AVERAGEIF(Table1[CountryCode],Table1[[#This Row],[CountryCode]],Table1[z-score])</f>
        <v>0.21233679132661218</v>
      </c>
      <c r="L8365" t="e">
        <f>VLOOKUP(Table1[[#This Row],[CountryCode]],[1]!Table1[#All],1,FALSE)</f>
        <v>#REF!</v>
      </c>
    </row>
    <row r="8366" spans="1:12" hidden="1" x14ac:dyDescent="0.3">
      <c r="A8366" t="s">
        <v>45</v>
      </c>
      <c r="B8366" t="s">
        <v>46</v>
      </c>
      <c r="C8366" t="s">
        <v>129</v>
      </c>
      <c r="D8366" t="s">
        <v>130</v>
      </c>
      <c r="E8366">
        <v>1973</v>
      </c>
      <c r="F8366" s="1">
        <v>72</v>
      </c>
      <c r="G8366">
        <v>1970</v>
      </c>
      <c r="H8366">
        <f>AVERAGEIFS(Table1[value],Table1[IndicatorCode],Table1[[#This Row],[IndicatorCode]])</f>
        <v>72.66514008620689</v>
      </c>
      <c r="I8366" cm="1">
        <f t="array" ref="I8366">_xlfn.STDEV.P(IF(Table1[IndicatorCode]=Table1[[#This Row],[IndicatorCode]],Table1[value]))</f>
        <v>6.3409496564024987</v>
      </c>
      <c r="J8366">
        <f>(Table1[[#This Row],[value]] - Table1[[#This Row],[mean]]) / Table1[[#This Row],[std_dev]]</f>
        <v>-0.10489597335555145</v>
      </c>
      <c r="K8366">
        <f>AVERAGEIF(Table1[CountryCode],Table1[[#This Row],[CountryCode]],Table1[z-score])</f>
        <v>0.21233679132661218</v>
      </c>
      <c r="L8366" t="e">
        <f>VLOOKUP(Table1[[#This Row],[CountryCode]],[1]!Table1[#All],1,FALSE)</f>
        <v>#REF!</v>
      </c>
    </row>
    <row r="8367" spans="1:12" hidden="1" x14ac:dyDescent="0.3">
      <c r="A8367" t="s">
        <v>45</v>
      </c>
      <c r="B8367" t="s">
        <v>46</v>
      </c>
      <c r="C8367" t="s">
        <v>129</v>
      </c>
      <c r="D8367" t="s">
        <v>130</v>
      </c>
      <c r="E8367">
        <v>1974</v>
      </c>
      <c r="F8367" s="1">
        <v>73</v>
      </c>
      <c r="G8367">
        <v>1970</v>
      </c>
      <c r="H8367">
        <f>AVERAGEIFS(Table1[value],Table1[IndicatorCode],Table1[[#This Row],[IndicatorCode]])</f>
        <v>72.66514008620689</v>
      </c>
      <c r="I8367" cm="1">
        <f t="array" ref="I8367">_xlfn.STDEV.P(IF(Table1[IndicatorCode]=Table1[[#This Row],[IndicatorCode]],Table1[value]))</f>
        <v>6.3409496564024987</v>
      </c>
      <c r="J8367">
        <f>(Table1[[#This Row],[value]] - Table1[[#This Row],[mean]]) / Table1[[#This Row],[std_dev]]</f>
        <v>5.2809110927887599E-2</v>
      </c>
      <c r="K8367">
        <f>AVERAGEIF(Table1[CountryCode],Table1[[#This Row],[CountryCode]],Table1[z-score])</f>
        <v>0.21233679132661218</v>
      </c>
      <c r="L8367" t="e">
        <f>VLOOKUP(Table1[[#This Row],[CountryCode]],[1]!Table1[#All],1,FALSE)</f>
        <v>#REF!</v>
      </c>
    </row>
    <row r="8368" spans="1:12" hidden="1" x14ac:dyDescent="0.3">
      <c r="A8368" t="s">
        <v>45</v>
      </c>
      <c r="B8368" t="s">
        <v>46</v>
      </c>
      <c r="C8368" t="s">
        <v>129</v>
      </c>
      <c r="D8368" t="s">
        <v>130</v>
      </c>
      <c r="E8368">
        <v>1975</v>
      </c>
      <c r="F8368" s="1">
        <v>73</v>
      </c>
      <c r="G8368">
        <v>1970</v>
      </c>
      <c r="H8368">
        <f>AVERAGEIFS(Table1[value],Table1[IndicatorCode],Table1[[#This Row],[IndicatorCode]])</f>
        <v>72.66514008620689</v>
      </c>
      <c r="I8368" cm="1">
        <f t="array" ref="I8368">_xlfn.STDEV.P(IF(Table1[IndicatorCode]=Table1[[#This Row],[IndicatorCode]],Table1[value]))</f>
        <v>6.3409496564024987</v>
      </c>
      <c r="J8368">
        <f>(Table1[[#This Row],[value]] - Table1[[#This Row],[mean]]) / Table1[[#This Row],[std_dev]]</f>
        <v>5.2809110927887599E-2</v>
      </c>
      <c r="K8368">
        <f>AVERAGEIF(Table1[CountryCode],Table1[[#This Row],[CountryCode]],Table1[z-score])</f>
        <v>0.21233679132661218</v>
      </c>
      <c r="L8368" t="e">
        <f>VLOOKUP(Table1[[#This Row],[CountryCode]],[1]!Table1[#All],1,FALSE)</f>
        <v>#REF!</v>
      </c>
    </row>
    <row r="8369" spans="1:12" hidden="1" x14ac:dyDescent="0.3">
      <c r="A8369" t="s">
        <v>45</v>
      </c>
      <c r="B8369" t="s">
        <v>46</v>
      </c>
      <c r="C8369" t="s">
        <v>129</v>
      </c>
      <c r="D8369" t="s">
        <v>130</v>
      </c>
      <c r="E8369">
        <v>1976</v>
      </c>
      <c r="F8369" s="1">
        <v>73</v>
      </c>
      <c r="G8369">
        <v>1970</v>
      </c>
      <c r="H8369">
        <f>AVERAGEIFS(Table1[value],Table1[IndicatorCode],Table1[[#This Row],[IndicatorCode]])</f>
        <v>72.66514008620689</v>
      </c>
      <c r="I8369" cm="1">
        <f t="array" ref="I8369">_xlfn.STDEV.P(IF(Table1[IndicatorCode]=Table1[[#This Row],[IndicatorCode]],Table1[value]))</f>
        <v>6.3409496564024987</v>
      </c>
      <c r="J8369">
        <f>(Table1[[#This Row],[value]] - Table1[[#This Row],[mean]]) / Table1[[#This Row],[std_dev]]</f>
        <v>5.2809110927887599E-2</v>
      </c>
      <c r="K8369">
        <f>AVERAGEIF(Table1[CountryCode],Table1[[#This Row],[CountryCode]],Table1[z-score])</f>
        <v>0.21233679132661218</v>
      </c>
      <c r="L8369" t="e">
        <f>VLOOKUP(Table1[[#This Row],[CountryCode]],[1]!Table1[#All],1,FALSE)</f>
        <v>#REF!</v>
      </c>
    </row>
    <row r="8370" spans="1:12" hidden="1" x14ac:dyDescent="0.3">
      <c r="A8370" t="s">
        <v>45</v>
      </c>
      <c r="B8370" t="s">
        <v>46</v>
      </c>
      <c r="C8370" t="s">
        <v>129</v>
      </c>
      <c r="D8370" t="s">
        <v>130</v>
      </c>
      <c r="E8370">
        <v>1977</v>
      </c>
      <c r="F8370" s="1">
        <v>73</v>
      </c>
      <c r="G8370">
        <v>1980</v>
      </c>
      <c r="H8370">
        <f>AVERAGEIFS(Table1[value],Table1[IndicatorCode],Table1[[#This Row],[IndicatorCode]])</f>
        <v>72.66514008620689</v>
      </c>
      <c r="I8370" cm="1">
        <f t="array" ref="I8370">_xlfn.STDEV.P(IF(Table1[IndicatorCode]=Table1[[#This Row],[IndicatorCode]],Table1[value]))</f>
        <v>6.3409496564024987</v>
      </c>
      <c r="J8370">
        <f>(Table1[[#This Row],[value]] - Table1[[#This Row],[mean]]) / Table1[[#This Row],[std_dev]]</f>
        <v>5.2809110927887599E-2</v>
      </c>
      <c r="K8370">
        <f>AVERAGEIF(Table1[CountryCode],Table1[[#This Row],[CountryCode]],Table1[z-score])</f>
        <v>0.21233679132661218</v>
      </c>
      <c r="L8370" t="e">
        <f>VLOOKUP(Table1[[#This Row],[CountryCode]],[1]!Table1[#All],1,FALSE)</f>
        <v>#REF!</v>
      </c>
    </row>
    <row r="8371" spans="1:12" hidden="1" x14ac:dyDescent="0.3">
      <c r="A8371" t="s">
        <v>45</v>
      </c>
      <c r="B8371" t="s">
        <v>46</v>
      </c>
      <c r="C8371" t="s">
        <v>129</v>
      </c>
      <c r="D8371" t="s">
        <v>130</v>
      </c>
      <c r="E8371">
        <v>1978</v>
      </c>
      <c r="F8371" s="1">
        <v>74</v>
      </c>
      <c r="G8371">
        <v>1980</v>
      </c>
      <c r="H8371">
        <f>AVERAGEIFS(Table1[value],Table1[IndicatorCode],Table1[[#This Row],[IndicatorCode]])</f>
        <v>72.66514008620689</v>
      </c>
      <c r="I8371" cm="1">
        <f t="array" ref="I8371">_xlfn.STDEV.P(IF(Table1[IndicatorCode]=Table1[[#This Row],[IndicatorCode]],Table1[value]))</f>
        <v>6.3409496564024987</v>
      </c>
      <c r="J8371">
        <f>(Table1[[#This Row],[value]] - Table1[[#This Row],[mean]]) / Table1[[#This Row],[std_dev]]</f>
        <v>0.21051419521132667</v>
      </c>
      <c r="K8371">
        <f>AVERAGEIF(Table1[CountryCode],Table1[[#This Row],[CountryCode]],Table1[z-score])</f>
        <v>0.21233679132661218</v>
      </c>
      <c r="L8371" t="e">
        <f>VLOOKUP(Table1[[#This Row],[CountryCode]],[1]!Table1[#All],1,FALSE)</f>
        <v>#REF!</v>
      </c>
    </row>
    <row r="8372" spans="1:12" hidden="1" x14ac:dyDescent="0.3">
      <c r="A8372" t="s">
        <v>45</v>
      </c>
      <c r="B8372" t="s">
        <v>46</v>
      </c>
      <c r="C8372" t="s">
        <v>129</v>
      </c>
      <c r="D8372" t="s">
        <v>130</v>
      </c>
      <c r="E8372">
        <v>1979</v>
      </c>
      <c r="F8372" s="1">
        <v>74</v>
      </c>
      <c r="G8372">
        <v>1980</v>
      </c>
      <c r="H8372">
        <f>AVERAGEIFS(Table1[value],Table1[IndicatorCode],Table1[[#This Row],[IndicatorCode]])</f>
        <v>72.66514008620689</v>
      </c>
      <c r="I8372" cm="1">
        <f t="array" ref="I8372">_xlfn.STDEV.P(IF(Table1[IndicatorCode]=Table1[[#This Row],[IndicatorCode]],Table1[value]))</f>
        <v>6.3409496564024987</v>
      </c>
      <c r="J8372">
        <f>(Table1[[#This Row],[value]] - Table1[[#This Row],[mean]]) / Table1[[#This Row],[std_dev]]</f>
        <v>0.21051419521132667</v>
      </c>
      <c r="K8372">
        <f>AVERAGEIF(Table1[CountryCode],Table1[[#This Row],[CountryCode]],Table1[z-score])</f>
        <v>0.21233679132661218</v>
      </c>
      <c r="L8372" t="e">
        <f>VLOOKUP(Table1[[#This Row],[CountryCode]],[1]!Table1[#All],1,FALSE)</f>
        <v>#REF!</v>
      </c>
    </row>
    <row r="8373" spans="1:12" hidden="1" x14ac:dyDescent="0.3">
      <c r="A8373" t="s">
        <v>45</v>
      </c>
      <c r="B8373" t="s">
        <v>46</v>
      </c>
      <c r="C8373" t="s">
        <v>129</v>
      </c>
      <c r="D8373" t="s">
        <v>130</v>
      </c>
      <c r="E8373">
        <v>1980</v>
      </c>
      <c r="F8373" s="1">
        <v>74</v>
      </c>
      <c r="G8373">
        <v>1980</v>
      </c>
      <c r="H8373">
        <f>AVERAGEIFS(Table1[value],Table1[IndicatorCode],Table1[[#This Row],[IndicatorCode]])</f>
        <v>72.66514008620689</v>
      </c>
      <c r="I8373" cm="1">
        <f t="array" ref="I8373">_xlfn.STDEV.P(IF(Table1[IndicatorCode]=Table1[[#This Row],[IndicatorCode]],Table1[value]))</f>
        <v>6.3409496564024987</v>
      </c>
      <c r="J8373">
        <f>(Table1[[#This Row],[value]] - Table1[[#This Row],[mean]]) / Table1[[#This Row],[std_dev]]</f>
        <v>0.21051419521132667</v>
      </c>
      <c r="K8373">
        <f>AVERAGEIF(Table1[CountryCode],Table1[[#This Row],[CountryCode]],Table1[z-score])</f>
        <v>0.21233679132661218</v>
      </c>
      <c r="L8373" t="e">
        <f>VLOOKUP(Table1[[#This Row],[CountryCode]],[1]!Table1[#All],1,FALSE)</f>
        <v>#REF!</v>
      </c>
    </row>
    <row r="8374" spans="1:12" hidden="1" x14ac:dyDescent="0.3">
      <c r="A8374" t="s">
        <v>45</v>
      </c>
      <c r="B8374" t="s">
        <v>46</v>
      </c>
      <c r="C8374" t="s">
        <v>129</v>
      </c>
      <c r="D8374" t="s">
        <v>130</v>
      </c>
      <c r="E8374">
        <v>1981</v>
      </c>
      <c r="F8374" s="1">
        <v>74</v>
      </c>
      <c r="G8374">
        <v>1980</v>
      </c>
      <c r="H8374">
        <f>AVERAGEIFS(Table1[value],Table1[IndicatorCode],Table1[[#This Row],[IndicatorCode]])</f>
        <v>72.66514008620689</v>
      </c>
      <c r="I8374" cm="1">
        <f t="array" ref="I8374">_xlfn.STDEV.P(IF(Table1[IndicatorCode]=Table1[[#This Row],[IndicatorCode]],Table1[value]))</f>
        <v>6.3409496564024987</v>
      </c>
      <c r="J8374">
        <f>(Table1[[#This Row],[value]] - Table1[[#This Row],[mean]]) / Table1[[#This Row],[std_dev]]</f>
        <v>0.21051419521132667</v>
      </c>
      <c r="K8374">
        <f>AVERAGEIF(Table1[CountryCode],Table1[[#This Row],[CountryCode]],Table1[z-score])</f>
        <v>0.21233679132661218</v>
      </c>
      <c r="L8374" t="e">
        <f>VLOOKUP(Table1[[#This Row],[CountryCode]],[1]!Table1[#All],1,FALSE)</f>
        <v>#REF!</v>
      </c>
    </row>
    <row r="8375" spans="1:12" hidden="1" x14ac:dyDescent="0.3">
      <c r="A8375" t="s">
        <v>45</v>
      </c>
      <c r="B8375" t="s">
        <v>46</v>
      </c>
      <c r="C8375" t="s">
        <v>129</v>
      </c>
      <c r="D8375" t="s">
        <v>130</v>
      </c>
      <c r="E8375">
        <v>1982</v>
      </c>
      <c r="F8375" s="1">
        <v>75</v>
      </c>
      <c r="G8375">
        <v>1980</v>
      </c>
      <c r="H8375">
        <f>AVERAGEIFS(Table1[value],Table1[IndicatorCode],Table1[[#This Row],[IndicatorCode]])</f>
        <v>72.66514008620689</v>
      </c>
      <c r="I8375" cm="1">
        <f t="array" ref="I8375">_xlfn.STDEV.P(IF(Table1[IndicatorCode]=Table1[[#This Row],[IndicatorCode]],Table1[value]))</f>
        <v>6.3409496564024987</v>
      </c>
      <c r="J8375">
        <f>(Table1[[#This Row],[value]] - Table1[[#This Row],[mean]]) / Table1[[#This Row],[std_dev]]</f>
        <v>0.36821927949476574</v>
      </c>
      <c r="K8375">
        <f>AVERAGEIF(Table1[CountryCode],Table1[[#This Row],[CountryCode]],Table1[z-score])</f>
        <v>0.21233679132661218</v>
      </c>
      <c r="L8375" t="e">
        <f>VLOOKUP(Table1[[#This Row],[CountryCode]],[1]!Table1[#All],1,FALSE)</f>
        <v>#REF!</v>
      </c>
    </row>
    <row r="8376" spans="1:12" hidden="1" x14ac:dyDescent="0.3">
      <c r="A8376" t="s">
        <v>45</v>
      </c>
      <c r="B8376" t="s">
        <v>46</v>
      </c>
      <c r="C8376" t="s">
        <v>129</v>
      </c>
      <c r="D8376" t="s">
        <v>130</v>
      </c>
      <c r="E8376">
        <v>1983</v>
      </c>
      <c r="F8376" s="1">
        <v>75</v>
      </c>
      <c r="G8376">
        <v>1980</v>
      </c>
      <c r="H8376">
        <f>AVERAGEIFS(Table1[value],Table1[IndicatorCode],Table1[[#This Row],[IndicatorCode]])</f>
        <v>72.66514008620689</v>
      </c>
      <c r="I8376" cm="1">
        <f t="array" ref="I8376">_xlfn.STDEV.P(IF(Table1[IndicatorCode]=Table1[[#This Row],[IndicatorCode]],Table1[value]))</f>
        <v>6.3409496564024987</v>
      </c>
      <c r="J8376">
        <f>(Table1[[#This Row],[value]] - Table1[[#This Row],[mean]]) / Table1[[#This Row],[std_dev]]</f>
        <v>0.36821927949476574</v>
      </c>
      <c r="K8376">
        <f>AVERAGEIF(Table1[CountryCode],Table1[[#This Row],[CountryCode]],Table1[z-score])</f>
        <v>0.21233679132661218</v>
      </c>
      <c r="L8376" t="e">
        <f>VLOOKUP(Table1[[#This Row],[CountryCode]],[1]!Table1[#All],1,FALSE)</f>
        <v>#REF!</v>
      </c>
    </row>
    <row r="8377" spans="1:12" hidden="1" x14ac:dyDescent="0.3">
      <c r="A8377" t="s">
        <v>45</v>
      </c>
      <c r="B8377" t="s">
        <v>46</v>
      </c>
      <c r="C8377" t="s">
        <v>129</v>
      </c>
      <c r="D8377" t="s">
        <v>130</v>
      </c>
      <c r="E8377">
        <v>1984</v>
      </c>
      <c r="F8377" s="1">
        <v>75</v>
      </c>
      <c r="G8377">
        <v>1980</v>
      </c>
      <c r="H8377">
        <f>AVERAGEIFS(Table1[value],Table1[IndicatorCode],Table1[[#This Row],[IndicatorCode]])</f>
        <v>72.66514008620689</v>
      </c>
      <c r="I8377" cm="1">
        <f t="array" ref="I8377">_xlfn.STDEV.P(IF(Table1[IndicatorCode]=Table1[[#This Row],[IndicatorCode]],Table1[value]))</f>
        <v>6.3409496564024987</v>
      </c>
      <c r="J8377">
        <f>(Table1[[#This Row],[value]] - Table1[[#This Row],[mean]]) / Table1[[#This Row],[std_dev]]</f>
        <v>0.36821927949476574</v>
      </c>
      <c r="K8377">
        <f>AVERAGEIF(Table1[CountryCode],Table1[[#This Row],[CountryCode]],Table1[z-score])</f>
        <v>0.21233679132661218</v>
      </c>
      <c r="L8377" t="e">
        <f>VLOOKUP(Table1[[#This Row],[CountryCode]],[1]!Table1[#All],1,FALSE)</f>
        <v>#REF!</v>
      </c>
    </row>
    <row r="8378" spans="1:12" hidden="1" x14ac:dyDescent="0.3">
      <c r="A8378" t="s">
        <v>45</v>
      </c>
      <c r="B8378" t="s">
        <v>46</v>
      </c>
      <c r="C8378" t="s">
        <v>129</v>
      </c>
      <c r="D8378" t="s">
        <v>130</v>
      </c>
      <c r="E8378">
        <v>1985</v>
      </c>
      <c r="F8378" s="1">
        <v>75</v>
      </c>
      <c r="G8378">
        <v>1980</v>
      </c>
      <c r="H8378">
        <f>AVERAGEIFS(Table1[value],Table1[IndicatorCode],Table1[[#This Row],[IndicatorCode]])</f>
        <v>72.66514008620689</v>
      </c>
      <c r="I8378" cm="1">
        <f t="array" ref="I8378">_xlfn.STDEV.P(IF(Table1[IndicatorCode]=Table1[[#This Row],[IndicatorCode]],Table1[value]))</f>
        <v>6.3409496564024987</v>
      </c>
      <c r="J8378">
        <f>(Table1[[#This Row],[value]] - Table1[[#This Row],[mean]]) / Table1[[#This Row],[std_dev]]</f>
        <v>0.36821927949476574</v>
      </c>
      <c r="K8378">
        <f>AVERAGEIF(Table1[CountryCode],Table1[[#This Row],[CountryCode]],Table1[z-score])</f>
        <v>0.21233679132661218</v>
      </c>
      <c r="L8378" t="e">
        <f>VLOOKUP(Table1[[#This Row],[CountryCode]],[1]!Table1[#All],1,FALSE)</f>
        <v>#REF!</v>
      </c>
    </row>
    <row r="8379" spans="1:12" hidden="1" x14ac:dyDescent="0.3">
      <c r="A8379" t="s">
        <v>45</v>
      </c>
      <c r="B8379" t="s">
        <v>46</v>
      </c>
      <c r="C8379" t="s">
        <v>129</v>
      </c>
      <c r="D8379" t="s">
        <v>130</v>
      </c>
      <c r="E8379">
        <v>1986</v>
      </c>
      <c r="F8379" s="1">
        <v>76</v>
      </c>
      <c r="G8379">
        <v>1980</v>
      </c>
      <c r="H8379">
        <f>AVERAGEIFS(Table1[value],Table1[IndicatorCode],Table1[[#This Row],[IndicatorCode]])</f>
        <v>72.66514008620689</v>
      </c>
      <c r="I8379" cm="1">
        <f t="array" ref="I8379">_xlfn.STDEV.P(IF(Table1[IndicatorCode]=Table1[[#This Row],[IndicatorCode]],Table1[value]))</f>
        <v>6.3409496564024987</v>
      </c>
      <c r="J8379">
        <f>(Table1[[#This Row],[value]] - Table1[[#This Row],[mean]]) / Table1[[#This Row],[std_dev]]</f>
        <v>0.52592436377820473</v>
      </c>
      <c r="K8379">
        <f>AVERAGEIF(Table1[CountryCode],Table1[[#This Row],[CountryCode]],Table1[z-score])</f>
        <v>0.21233679132661218</v>
      </c>
      <c r="L8379" t="e">
        <f>VLOOKUP(Table1[[#This Row],[CountryCode]],[1]!Table1[#All],1,FALSE)</f>
        <v>#REF!</v>
      </c>
    </row>
    <row r="8380" spans="1:12" hidden="1" x14ac:dyDescent="0.3">
      <c r="A8380" t="s">
        <v>45</v>
      </c>
      <c r="B8380" t="s">
        <v>46</v>
      </c>
      <c r="C8380" t="s">
        <v>129</v>
      </c>
      <c r="D8380" t="s">
        <v>130</v>
      </c>
      <c r="E8380">
        <v>1987</v>
      </c>
      <c r="F8380" s="1">
        <v>76</v>
      </c>
      <c r="G8380">
        <v>1990</v>
      </c>
      <c r="H8380">
        <f>AVERAGEIFS(Table1[value],Table1[IndicatorCode],Table1[[#This Row],[IndicatorCode]])</f>
        <v>72.66514008620689</v>
      </c>
      <c r="I8380" cm="1">
        <f t="array" ref="I8380">_xlfn.STDEV.P(IF(Table1[IndicatorCode]=Table1[[#This Row],[IndicatorCode]],Table1[value]))</f>
        <v>6.3409496564024987</v>
      </c>
      <c r="J8380">
        <f>(Table1[[#This Row],[value]] - Table1[[#This Row],[mean]]) / Table1[[#This Row],[std_dev]]</f>
        <v>0.52592436377820473</v>
      </c>
      <c r="K8380">
        <f>AVERAGEIF(Table1[CountryCode],Table1[[#This Row],[CountryCode]],Table1[z-score])</f>
        <v>0.21233679132661218</v>
      </c>
      <c r="L8380" t="e">
        <f>VLOOKUP(Table1[[#This Row],[CountryCode]],[1]!Table1[#All],1,FALSE)</f>
        <v>#REF!</v>
      </c>
    </row>
    <row r="8381" spans="1:12" hidden="1" x14ac:dyDescent="0.3">
      <c r="A8381" t="s">
        <v>45</v>
      </c>
      <c r="B8381" t="s">
        <v>46</v>
      </c>
      <c r="C8381" t="s">
        <v>129</v>
      </c>
      <c r="D8381" t="s">
        <v>130</v>
      </c>
      <c r="E8381">
        <v>1988</v>
      </c>
      <c r="F8381" s="1">
        <v>76</v>
      </c>
      <c r="G8381">
        <v>1990</v>
      </c>
      <c r="H8381">
        <f>AVERAGEIFS(Table1[value],Table1[IndicatorCode],Table1[[#This Row],[IndicatorCode]])</f>
        <v>72.66514008620689</v>
      </c>
      <c r="I8381" cm="1">
        <f t="array" ref="I8381">_xlfn.STDEV.P(IF(Table1[IndicatorCode]=Table1[[#This Row],[IndicatorCode]],Table1[value]))</f>
        <v>6.3409496564024987</v>
      </c>
      <c r="J8381">
        <f>(Table1[[#This Row],[value]] - Table1[[#This Row],[mean]]) / Table1[[#This Row],[std_dev]]</f>
        <v>0.52592436377820473</v>
      </c>
      <c r="K8381">
        <f>AVERAGEIF(Table1[CountryCode],Table1[[#This Row],[CountryCode]],Table1[z-score])</f>
        <v>0.21233679132661218</v>
      </c>
      <c r="L8381" t="e">
        <f>VLOOKUP(Table1[[#This Row],[CountryCode]],[1]!Table1[#All],1,FALSE)</f>
        <v>#REF!</v>
      </c>
    </row>
    <row r="8382" spans="1:12" hidden="1" x14ac:dyDescent="0.3">
      <c r="A8382" t="s">
        <v>45</v>
      </c>
      <c r="B8382" t="s">
        <v>46</v>
      </c>
      <c r="C8382" t="s">
        <v>129</v>
      </c>
      <c r="D8382" t="s">
        <v>130</v>
      </c>
      <c r="E8382">
        <v>1989</v>
      </c>
      <c r="F8382" s="1">
        <v>76</v>
      </c>
      <c r="G8382">
        <v>1990</v>
      </c>
      <c r="H8382">
        <f>AVERAGEIFS(Table1[value],Table1[IndicatorCode],Table1[[#This Row],[IndicatorCode]])</f>
        <v>72.66514008620689</v>
      </c>
      <c r="I8382" cm="1">
        <f t="array" ref="I8382">_xlfn.STDEV.P(IF(Table1[IndicatorCode]=Table1[[#This Row],[IndicatorCode]],Table1[value]))</f>
        <v>6.3409496564024987</v>
      </c>
      <c r="J8382">
        <f>(Table1[[#This Row],[value]] - Table1[[#This Row],[mean]]) / Table1[[#This Row],[std_dev]]</f>
        <v>0.52592436377820473</v>
      </c>
      <c r="K8382">
        <f>AVERAGEIF(Table1[CountryCode],Table1[[#This Row],[CountryCode]],Table1[z-score])</f>
        <v>0.21233679132661218</v>
      </c>
      <c r="L8382" t="e">
        <f>VLOOKUP(Table1[[#This Row],[CountryCode]],[1]!Table1[#All],1,FALSE)</f>
        <v>#REF!</v>
      </c>
    </row>
    <row r="8383" spans="1:12" hidden="1" x14ac:dyDescent="0.3">
      <c r="A8383" t="s">
        <v>45</v>
      </c>
      <c r="B8383" t="s">
        <v>46</v>
      </c>
      <c r="C8383" t="s">
        <v>129</v>
      </c>
      <c r="D8383" t="s">
        <v>130</v>
      </c>
      <c r="E8383">
        <v>1990</v>
      </c>
      <c r="F8383" s="1">
        <v>77</v>
      </c>
      <c r="G8383">
        <v>1990</v>
      </c>
      <c r="H8383">
        <f>AVERAGEIFS(Table1[value],Table1[IndicatorCode],Table1[[#This Row],[IndicatorCode]])</f>
        <v>72.66514008620689</v>
      </c>
      <c r="I8383" cm="1">
        <f t="array" ref="I8383">_xlfn.STDEV.P(IF(Table1[IndicatorCode]=Table1[[#This Row],[IndicatorCode]],Table1[value]))</f>
        <v>6.3409496564024987</v>
      </c>
      <c r="J8383">
        <f>(Table1[[#This Row],[value]] - Table1[[#This Row],[mean]]) / Table1[[#This Row],[std_dev]]</f>
        <v>0.68362944806164383</v>
      </c>
      <c r="K8383">
        <f>AVERAGEIF(Table1[CountryCode],Table1[[#This Row],[CountryCode]],Table1[z-score])</f>
        <v>0.21233679132661218</v>
      </c>
      <c r="L8383" t="e">
        <f>VLOOKUP(Table1[[#This Row],[CountryCode]],[1]!Table1[#All],1,FALSE)</f>
        <v>#REF!</v>
      </c>
    </row>
    <row r="8384" spans="1:12" hidden="1" x14ac:dyDescent="0.3">
      <c r="A8384" t="s">
        <v>45</v>
      </c>
      <c r="B8384" t="s">
        <v>46</v>
      </c>
      <c r="C8384" t="s">
        <v>129</v>
      </c>
      <c r="D8384" t="s">
        <v>130</v>
      </c>
      <c r="E8384">
        <v>1991</v>
      </c>
      <c r="F8384" s="1">
        <v>77</v>
      </c>
      <c r="G8384">
        <v>1990</v>
      </c>
      <c r="H8384">
        <f>AVERAGEIFS(Table1[value],Table1[IndicatorCode],Table1[[#This Row],[IndicatorCode]])</f>
        <v>72.66514008620689</v>
      </c>
      <c r="I8384" cm="1">
        <f t="array" ref="I8384">_xlfn.STDEV.P(IF(Table1[IndicatorCode]=Table1[[#This Row],[IndicatorCode]],Table1[value]))</f>
        <v>6.3409496564024987</v>
      </c>
      <c r="J8384">
        <f>(Table1[[#This Row],[value]] - Table1[[#This Row],[mean]]) / Table1[[#This Row],[std_dev]]</f>
        <v>0.68362944806164383</v>
      </c>
      <c r="K8384">
        <f>AVERAGEIF(Table1[CountryCode],Table1[[#This Row],[CountryCode]],Table1[z-score])</f>
        <v>0.21233679132661218</v>
      </c>
      <c r="L8384" t="e">
        <f>VLOOKUP(Table1[[#This Row],[CountryCode]],[1]!Table1[#All],1,FALSE)</f>
        <v>#REF!</v>
      </c>
    </row>
    <row r="8385" spans="1:12" hidden="1" x14ac:dyDescent="0.3">
      <c r="A8385" t="s">
        <v>45</v>
      </c>
      <c r="B8385" t="s">
        <v>46</v>
      </c>
      <c r="C8385" t="s">
        <v>129</v>
      </c>
      <c r="D8385" t="s">
        <v>130</v>
      </c>
      <c r="E8385">
        <v>1992</v>
      </c>
      <c r="F8385" s="1">
        <v>77</v>
      </c>
      <c r="G8385">
        <v>1990</v>
      </c>
      <c r="H8385">
        <f>AVERAGEIFS(Table1[value],Table1[IndicatorCode],Table1[[#This Row],[IndicatorCode]])</f>
        <v>72.66514008620689</v>
      </c>
      <c r="I8385" cm="1">
        <f t="array" ref="I8385">_xlfn.STDEV.P(IF(Table1[IndicatorCode]=Table1[[#This Row],[IndicatorCode]],Table1[value]))</f>
        <v>6.3409496564024987</v>
      </c>
      <c r="J8385">
        <f>(Table1[[#This Row],[value]] - Table1[[#This Row],[mean]]) / Table1[[#This Row],[std_dev]]</f>
        <v>0.68362944806164383</v>
      </c>
      <c r="K8385">
        <f>AVERAGEIF(Table1[CountryCode],Table1[[#This Row],[CountryCode]],Table1[z-score])</f>
        <v>0.21233679132661218</v>
      </c>
      <c r="L8385" t="e">
        <f>VLOOKUP(Table1[[#This Row],[CountryCode]],[1]!Table1[#All],1,FALSE)</f>
        <v>#REF!</v>
      </c>
    </row>
    <row r="8386" spans="1:12" hidden="1" x14ac:dyDescent="0.3">
      <c r="A8386" t="s">
        <v>45</v>
      </c>
      <c r="B8386" t="s">
        <v>46</v>
      </c>
      <c r="C8386" t="s">
        <v>129</v>
      </c>
      <c r="D8386" t="s">
        <v>130</v>
      </c>
      <c r="E8386">
        <v>1993</v>
      </c>
      <c r="F8386" s="1">
        <v>77</v>
      </c>
      <c r="G8386">
        <v>1990</v>
      </c>
      <c r="H8386">
        <f>AVERAGEIFS(Table1[value],Table1[IndicatorCode],Table1[[#This Row],[IndicatorCode]])</f>
        <v>72.66514008620689</v>
      </c>
      <c r="I8386" cm="1">
        <f t="array" ref="I8386">_xlfn.STDEV.P(IF(Table1[IndicatorCode]=Table1[[#This Row],[IndicatorCode]],Table1[value]))</f>
        <v>6.3409496564024987</v>
      </c>
      <c r="J8386">
        <f>(Table1[[#This Row],[value]] - Table1[[#This Row],[mean]]) / Table1[[#This Row],[std_dev]]</f>
        <v>0.68362944806164383</v>
      </c>
      <c r="K8386">
        <f>AVERAGEIF(Table1[CountryCode],Table1[[#This Row],[CountryCode]],Table1[z-score])</f>
        <v>0.21233679132661218</v>
      </c>
      <c r="L8386" t="e">
        <f>VLOOKUP(Table1[[#This Row],[CountryCode]],[1]!Table1[#All],1,FALSE)</f>
        <v>#REF!</v>
      </c>
    </row>
    <row r="8387" spans="1:12" hidden="1" x14ac:dyDescent="0.3">
      <c r="A8387" t="s">
        <v>45</v>
      </c>
      <c r="B8387" t="s">
        <v>46</v>
      </c>
      <c r="C8387" t="s">
        <v>129</v>
      </c>
      <c r="D8387" t="s">
        <v>130</v>
      </c>
      <c r="E8387">
        <v>1994</v>
      </c>
      <c r="F8387" s="1">
        <v>78</v>
      </c>
      <c r="G8387">
        <v>1990</v>
      </c>
      <c r="H8387">
        <f>AVERAGEIFS(Table1[value],Table1[IndicatorCode],Table1[[#This Row],[IndicatorCode]])</f>
        <v>72.66514008620689</v>
      </c>
      <c r="I8387" cm="1">
        <f t="array" ref="I8387">_xlfn.STDEV.P(IF(Table1[IndicatorCode]=Table1[[#This Row],[IndicatorCode]],Table1[value]))</f>
        <v>6.3409496564024987</v>
      </c>
      <c r="J8387">
        <f>(Table1[[#This Row],[value]] - Table1[[#This Row],[mean]]) / Table1[[#This Row],[std_dev]]</f>
        <v>0.84133453234508293</v>
      </c>
      <c r="K8387">
        <f>AVERAGEIF(Table1[CountryCode],Table1[[#This Row],[CountryCode]],Table1[z-score])</f>
        <v>0.21233679132661218</v>
      </c>
      <c r="L8387" t="e">
        <f>VLOOKUP(Table1[[#This Row],[CountryCode]],[1]!Table1[#All],1,FALSE)</f>
        <v>#REF!</v>
      </c>
    </row>
    <row r="8388" spans="1:12" hidden="1" x14ac:dyDescent="0.3">
      <c r="A8388" t="s">
        <v>45</v>
      </c>
      <c r="B8388" t="s">
        <v>46</v>
      </c>
      <c r="C8388" t="s">
        <v>129</v>
      </c>
      <c r="D8388" t="s">
        <v>130</v>
      </c>
      <c r="E8388">
        <v>1995</v>
      </c>
      <c r="F8388" s="1">
        <v>78</v>
      </c>
      <c r="G8388">
        <v>1990</v>
      </c>
      <c r="H8388">
        <f>AVERAGEIFS(Table1[value],Table1[IndicatorCode],Table1[[#This Row],[IndicatorCode]])</f>
        <v>72.66514008620689</v>
      </c>
      <c r="I8388" cm="1">
        <f t="array" ref="I8388">_xlfn.STDEV.P(IF(Table1[IndicatorCode]=Table1[[#This Row],[IndicatorCode]],Table1[value]))</f>
        <v>6.3409496564024987</v>
      </c>
      <c r="J8388">
        <f>(Table1[[#This Row],[value]] - Table1[[#This Row],[mean]]) / Table1[[#This Row],[std_dev]]</f>
        <v>0.84133453234508293</v>
      </c>
      <c r="K8388">
        <f>AVERAGEIF(Table1[CountryCode],Table1[[#This Row],[CountryCode]],Table1[z-score])</f>
        <v>0.21233679132661218</v>
      </c>
      <c r="L8388" t="e">
        <f>VLOOKUP(Table1[[#This Row],[CountryCode]],[1]!Table1[#All],1,FALSE)</f>
        <v>#REF!</v>
      </c>
    </row>
    <row r="8389" spans="1:12" hidden="1" x14ac:dyDescent="0.3">
      <c r="A8389" t="s">
        <v>45</v>
      </c>
      <c r="B8389" t="s">
        <v>46</v>
      </c>
      <c r="C8389" t="s">
        <v>129</v>
      </c>
      <c r="D8389" t="s">
        <v>130</v>
      </c>
      <c r="E8389">
        <v>1996</v>
      </c>
      <c r="F8389" s="1">
        <v>78</v>
      </c>
      <c r="G8389">
        <v>1990</v>
      </c>
      <c r="H8389">
        <f>AVERAGEIFS(Table1[value],Table1[IndicatorCode],Table1[[#This Row],[IndicatorCode]])</f>
        <v>72.66514008620689</v>
      </c>
      <c r="I8389" cm="1">
        <f t="array" ref="I8389">_xlfn.STDEV.P(IF(Table1[IndicatorCode]=Table1[[#This Row],[IndicatorCode]],Table1[value]))</f>
        <v>6.3409496564024987</v>
      </c>
      <c r="J8389">
        <f>(Table1[[#This Row],[value]] - Table1[[#This Row],[mean]]) / Table1[[#This Row],[std_dev]]</f>
        <v>0.84133453234508293</v>
      </c>
      <c r="K8389">
        <f>AVERAGEIF(Table1[CountryCode],Table1[[#This Row],[CountryCode]],Table1[z-score])</f>
        <v>0.21233679132661218</v>
      </c>
      <c r="L8389" t="e">
        <f>VLOOKUP(Table1[[#This Row],[CountryCode]],[1]!Table1[#All],1,FALSE)</f>
        <v>#REF!</v>
      </c>
    </row>
    <row r="8390" spans="1:12" hidden="1" x14ac:dyDescent="0.3">
      <c r="A8390" t="s">
        <v>45</v>
      </c>
      <c r="B8390" t="s">
        <v>46</v>
      </c>
      <c r="C8390" t="s">
        <v>129</v>
      </c>
      <c r="D8390" t="s">
        <v>130</v>
      </c>
      <c r="E8390">
        <v>1997</v>
      </c>
      <c r="F8390" s="1">
        <v>78</v>
      </c>
      <c r="G8390">
        <v>2000</v>
      </c>
      <c r="H8390">
        <f>AVERAGEIFS(Table1[value],Table1[IndicatorCode],Table1[[#This Row],[IndicatorCode]])</f>
        <v>72.66514008620689</v>
      </c>
      <c r="I8390" cm="1">
        <f t="array" ref="I8390">_xlfn.STDEV.P(IF(Table1[IndicatorCode]=Table1[[#This Row],[IndicatorCode]],Table1[value]))</f>
        <v>6.3409496564024987</v>
      </c>
      <c r="J8390">
        <f>(Table1[[#This Row],[value]] - Table1[[#This Row],[mean]]) / Table1[[#This Row],[std_dev]]</f>
        <v>0.84133453234508293</v>
      </c>
      <c r="K8390">
        <f>AVERAGEIF(Table1[CountryCode],Table1[[#This Row],[CountryCode]],Table1[z-score])</f>
        <v>0.21233679132661218</v>
      </c>
      <c r="L8390" t="e">
        <f>VLOOKUP(Table1[[#This Row],[CountryCode]],[1]!Table1[#All],1,FALSE)</f>
        <v>#REF!</v>
      </c>
    </row>
    <row r="8391" spans="1:12" hidden="1" x14ac:dyDescent="0.3">
      <c r="A8391" t="s">
        <v>45</v>
      </c>
      <c r="B8391" t="s">
        <v>46</v>
      </c>
      <c r="C8391" t="s">
        <v>129</v>
      </c>
      <c r="D8391" t="s">
        <v>130</v>
      </c>
      <c r="E8391">
        <v>1998</v>
      </c>
      <c r="F8391" s="1">
        <v>79</v>
      </c>
      <c r="G8391">
        <v>2000</v>
      </c>
      <c r="H8391">
        <f>AVERAGEIFS(Table1[value],Table1[IndicatorCode],Table1[[#This Row],[IndicatorCode]])</f>
        <v>72.66514008620689</v>
      </c>
      <c r="I8391" cm="1">
        <f t="array" ref="I8391">_xlfn.STDEV.P(IF(Table1[IndicatorCode]=Table1[[#This Row],[IndicatorCode]],Table1[value]))</f>
        <v>6.3409496564024987</v>
      </c>
      <c r="J8391">
        <f>(Table1[[#This Row],[value]] - Table1[[#This Row],[mean]]) / Table1[[#This Row],[std_dev]]</f>
        <v>0.99903961662852192</v>
      </c>
      <c r="K8391">
        <f>AVERAGEIF(Table1[CountryCode],Table1[[#This Row],[CountryCode]],Table1[z-score])</f>
        <v>0.21233679132661218</v>
      </c>
      <c r="L8391" t="e">
        <f>VLOOKUP(Table1[[#This Row],[CountryCode]],[1]!Table1[#All],1,FALSE)</f>
        <v>#REF!</v>
      </c>
    </row>
    <row r="8392" spans="1:12" hidden="1" x14ac:dyDescent="0.3">
      <c r="A8392" t="s">
        <v>45</v>
      </c>
      <c r="B8392" t="s">
        <v>46</v>
      </c>
      <c r="C8392" t="s">
        <v>129</v>
      </c>
      <c r="D8392" t="s">
        <v>130</v>
      </c>
      <c r="E8392">
        <v>1999</v>
      </c>
      <c r="F8392" s="1">
        <v>79</v>
      </c>
      <c r="G8392">
        <v>2000</v>
      </c>
      <c r="H8392">
        <f>AVERAGEIFS(Table1[value],Table1[IndicatorCode],Table1[[#This Row],[IndicatorCode]])</f>
        <v>72.66514008620689</v>
      </c>
      <c r="I8392" cm="1">
        <f t="array" ref="I8392">_xlfn.STDEV.P(IF(Table1[IndicatorCode]=Table1[[#This Row],[IndicatorCode]],Table1[value]))</f>
        <v>6.3409496564024987</v>
      </c>
      <c r="J8392">
        <f>(Table1[[#This Row],[value]] - Table1[[#This Row],[mean]]) / Table1[[#This Row],[std_dev]]</f>
        <v>0.99903961662852192</v>
      </c>
      <c r="K8392">
        <f>AVERAGEIF(Table1[CountryCode],Table1[[#This Row],[CountryCode]],Table1[z-score])</f>
        <v>0.21233679132661218</v>
      </c>
      <c r="L8392" t="e">
        <f>VLOOKUP(Table1[[#This Row],[CountryCode]],[1]!Table1[#All],1,FALSE)</f>
        <v>#REF!</v>
      </c>
    </row>
    <row r="8393" spans="1:12" hidden="1" x14ac:dyDescent="0.3">
      <c r="A8393" t="s">
        <v>45</v>
      </c>
      <c r="B8393" t="s">
        <v>46</v>
      </c>
      <c r="C8393" t="s">
        <v>129</v>
      </c>
      <c r="D8393" t="s">
        <v>130</v>
      </c>
      <c r="E8393">
        <v>2000</v>
      </c>
      <c r="F8393" s="1">
        <v>79</v>
      </c>
      <c r="G8393">
        <v>2000</v>
      </c>
      <c r="H8393">
        <f>AVERAGEIFS(Table1[value],Table1[IndicatorCode],Table1[[#This Row],[IndicatorCode]])</f>
        <v>72.66514008620689</v>
      </c>
      <c r="I8393" cm="1">
        <f t="array" ref="I8393">_xlfn.STDEV.P(IF(Table1[IndicatorCode]=Table1[[#This Row],[IndicatorCode]],Table1[value]))</f>
        <v>6.3409496564024987</v>
      </c>
      <c r="J8393">
        <f>(Table1[[#This Row],[value]] - Table1[[#This Row],[mean]]) / Table1[[#This Row],[std_dev]]</f>
        <v>0.99903961662852192</v>
      </c>
      <c r="K8393">
        <f>AVERAGEIF(Table1[CountryCode],Table1[[#This Row],[CountryCode]],Table1[z-score])</f>
        <v>0.21233679132661218</v>
      </c>
      <c r="L8393" t="e">
        <f>VLOOKUP(Table1[[#This Row],[CountryCode]],[1]!Table1[#All],1,FALSE)</f>
        <v>#REF!</v>
      </c>
    </row>
    <row r="8394" spans="1:12" hidden="1" x14ac:dyDescent="0.3">
      <c r="A8394" t="s">
        <v>45</v>
      </c>
      <c r="B8394" t="s">
        <v>46</v>
      </c>
      <c r="C8394" t="s">
        <v>129</v>
      </c>
      <c r="D8394" t="s">
        <v>130</v>
      </c>
      <c r="E8394">
        <v>2001</v>
      </c>
      <c r="F8394" s="1">
        <v>79</v>
      </c>
      <c r="G8394">
        <v>2000</v>
      </c>
      <c r="H8394">
        <f>AVERAGEIFS(Table1[value],Table1[IndicatorCode],Table1[[#This Row],[IndicatorCode]])</f>
        <v>72.66514008620689</v>
      </c>
      <c r="I8394" cm="1">
        <f t="array" ref="I8394">_xlfn.STDEV.P(IF(Table1[IndicatorCode]=Table1[[#This Row],[IndicatorCode]],Table1[value]))</f>
        <v>6.3409496564024987</v>
      </c>
      <c r="J8394">
        <f>(Table1[[#This Row],[value]] - Table1[[#This Row],[mean]]) / Table1[[#This Row],[std_dev]]</f>
        <v>0.99903961662852192</v>
      </c>
      <c r="K8394">
        <f>AVERAGEIF(Table1[CountryCode],Table1[[#This Row],[CountryCode]],Table1[z-score])</f>
        <v>0.21233679132661218</v>
      </c>
      <c r="L8394" t="e">
        <f>VLOOKUP(Table1[[#This Row],[CountryCode]],[1]!Table1[#All],1,FALSE)</f>
        <v>#REF!</v>
      </c>
    </row>
    <row r="8395" spans="1:12" hidden="1" x14ac:dyDescent="0.3">
      <c r="A8395" t="s">
        <v>45</v>
      </c>
      <c r="B8395" t="s">
        <v>46</v>
      </c>
      <c r="C8395" t="s">
        <v>129</v>
      </c>
      <c r="D8395" t="s">
        <v>130</v>
      </c>
      <c r="E8395">
        <v>2002</v>
      </c>
      <c r="F8395" s="1">
        <v>79</v>
      </c>
      <c r="G8395">
        <v>2000</v>
      </c>
      <c r="H8395">
        <f>AVERAGEIFS(Table1[value],Table1[IndicatorCode],Table1[[#This Row],[IndicatorCode]])</f>
        <v>72.66514008620689</v>
      </c>
      <c r="I8395" cm="1">
        <f t="array" ref="I8395">_xlfn.STDEV.P(IF(Table1[IndicatorCode]=Table1[[#This Row],[IndicatorCode]],Table1[value]))</f>
        <v>6.3409496564024987</v>
      </c>
      <c r="J8395">
        <f>(Table1[[#This Row],[value]] - Table1[[#This Row],[mean]]) / Table1[[#This Row],[std_dev]]</f>
        <v>0.99903961662852192</v>
      </c>
      <c r="K8395">
        <f>AVERAGEIF(Table1[CountryCode],Table1[[#This Row],[CountryCode]],Table1[z-score])</f>
        <v>0.21233679132661218</v>
      </c>
      <c r="L8395" t="e">
        <f>VLOOKUP(Table1[[#This Row],[CountryCode]],[1]!Table1[#All],1,FALSE)</f>
        <v>#REF!</v>
      </c>
    </row>
    <row r="8396" spans="1:12" hidden="1" x14ac:dyDescent="0.3">
      <c r="A8396" t="s">
        <v>45</v>
      </c>
      <c r="B8396" t="s">
        <v>46</v>
      </c>
      <c r="C8396" t="s">
        <v>129</v>
      </c>
      <c r="D8396" t="s">
        <v>130</v>
      </c>
      <c r="E8396">
        <v>2003</v>
      </c>
      <c r="F8396" s="1">
        <v>79</v>
      </c>
      <c r="G8396">
        <v>2000</v>
      </c>
      <c r="H8396">
        <f>AVERAGEIFS(Table1[value],Table1[IndicatorCode],Table1[[#This Row],[IndicatorCode]])</f>
        <v>72.66514008620689</v>
      </c>
      <c r="I8396" cm="1">
        <f t="array" ref="I8396">_xlfn.STDEV.P(IF(Table1[IndicatorCode]=Table1[[#This Row],[IndicatorCode]],Table1[value]))</f>
        <v>6.3409496564024987</v>
      </c>
      <c r="J8396">
        <f>(Table1[[#This Row],[value]] - Table1[[#This Row],[mean]]) / Table1[[#This Row],[std_dev]]</f>
        <v>0.99903961662852192</v>
      </c>
      <c r="K8396">
        <f>AVERAGEIF(Table1[CountryCode],Table1[[#This Row],[CountryCode]],Table1[z-score])</f>
        <v>0.21233679132661218</v>
      </c>
      <c r="L8396" t="e">
        <f>VLOOKUP(Table1[[#This Row],[CountryCode]],[1]!Table1[#All],1,FALSE)</f>
        <v>#REF!</v>
      </c>
    </row>
    <row r="8397" spans="1:12" hidden="1" x14ac:dyDescent="0.3">
      <c r="A8397" t="s">
        <v>45</v>
      </c>
      <c r="B8397" t="s">
        <v>46</v>
      </c>
      <c r="C8397" t="s">
        <v>129</v>
      </c>
      <c r="D8397" t="s">
        <v>130</v>
      </c>
      <c r="E8397">
        <v>2004</v>
      </c>
      <c r="F8397" s="1">
        <v>80</v>
      </c>
      <c r="G8397">
        <v>2000</v>
      </c>
      <c r="H8397">
        <f>AVERAGEIFS(Table1[value],Table1[IndicatorCode],Table1[[#This Row],[IndicatorCode]])</f>
        <v>72.66514008620689</v>
      </c>
      <c r="I8397" cm="1">
        <f t="array" ref="I8397">_xlfn.STDEV.P(IF(Table1[IndicatorCode]=Table1[[#This Row],[IndicatorCode]],Table1[value]))</f>
        <v>6.3409496564024987</v>
      </c>
      <c r="J8397">
        <f>(Table1[[#This Row],[value]] - Table1[[#This Row],[mean]]) / Table1[[#This Row],[std_dev]]</f>
        <v>1.1567447009119609</v>
      </c>
      <c r="K8397">
        <f>AVERAGEIF(Table1[CountryCode],Table1[[#This Row],[CountryCode]],Table1[z-score])</f>
        <v>0.21233679132661218</v>
      </c>
      <c r="L8397" t="e">
        <f>VLOOKUP(Table1[[#This Row],[CountryCode]],[1]!Table1[#All],1,FALSE)</f>
        <v>#REF!</v>
      </c>
    </row>
    <row r="8398" spans="1:12" hidden="1" x14ac:dyDescent="0.3">
      <c r="A8398" t="s">
        <v>45</v>
      </c>
      <c r="B8398" t="s">
        <v>46</v>
      </c>
      <c r="C8398" t="s">
        <v>129</v>
      </c>
      <c r="D8398" t="s">
        <v>130</v>
      </c>
      <c r="E8398">
        <v>2005</v>
      </c>
      <c r="F8398" s="1">
        <v>80</v>
      </c>
      <c r="G8398">
        <v>2000</v>
      </c>
      <c r="H8398">
        <f>AVERAGEIFS(Table1[value],Table1[IndicatorCode],Table1[[#This Row],[IndicatorCode]])</f>
        <v>72.66514008620689</v>
      </c>
      <c r="I8398" cm="1">
        <f t="array" ref="I8398">_xlfn.STDEV.P(IF(Table1[IndicatorCode]=Table1[[#This Row],[IndicatorCode]],Table1[value]))</f>
        <v>6.3409496564024987</v>
      </c>
      <c r="J8398">
        <f>(Table1[[#This Row],[value]] - Table1[[#This Row],[mean]]) / Table1[[#This Row],[std_dev]]</f>
        <v>1.1567447009119609</v>
      </c>
      <c r="K8398">
        <f>AVERAGEIF(Table1[CountryCode],Table1[[#This Row],[CountryCode]],Table1[z-score])</f>
        <v>0.21233679132661218</v>
      </c>
      <c r="L8398" t="e">
        <f>VLOOKUP(Table1[[#This Row],[CountryCode]],[1]!Table1[#All],1,FALSE)</f>
        <v>#REF!</v>
      </c>
    </row>
    <row r="8399" spans="1:12" hidden="1" x14ac:dyDescent="0.3">
      <c r="A8399" t="s">
        <v>45</v>
      </c>
      <c r="B8399" t="s">
        <v>46</v>
      </c>
      <c r="C8399" t="s">
        <v>129</v>
      </c>
      <c r="D8399" t="s">
        <v>130</v>
      </c>
      <c r="E8399">
        <v>2006</v>
      </c>
      <c r="F8399" s="1">
        <v>81</v>
      </c>
      <c r="G8399">
        <v>2000</v>
      </c>
      <c r="H8399">
        <f>AVERAGEIFS(Table1[value],Table1[IndicatorCode],Table1[[#This Row],[IndicatorCode]])</f>
        <v>72.66514008620689</v>
      </c>
      <c r="I8399" cm="1">
        <f t="array" ref="I8399">_xlfn.STDEV.P(IF(Table1[IndicatorCode]=Table1[[#This Row],[IndicatorCode]],Table1[value]))</f>
        <v>6.3409496564024987</v>
      </c>
      <c r="J8399">
        <f>(Table1[[#This Row],[value]] - Table1[[#This Row],[mean]]) / Table1[[#This Row],[std_dev]]</f>
        <v>1.3144497851954</v>
      </c>
      <c r="K8399">
        <f>AVERAGEIF(Table1[CountryCode],Table1[[#This Row],[CountryCode]],Table1[z-score])</f>
        <v>0.21233679132661218</v>
      </c>
      <c r="L8399" t="e">
        <f>VLOOKUP(Table1[[#This Row],[CountryCode]],[1]!Table1[#All],1,FALSE)</f>
        <v>#REF!</v>
      </c>
    </row>
    <row r="8400" spans="1:12" hidden="1" x14ac:dyDescent="0.3">
      <c r="A8400" t="s">
        <v>45</v>
      </c>
      <c r="B8400" t="s">
        <v>46</v>
      </c>
      <c r="C8400" t="s">
        <v>129</v>
      </c>
      <c r="D8400" t="s">
        <v>130</v>
      </c>
      <c r="E8400">
        <v>2007</v>
      </c>
      <c r="F8400" s="1">
        <v>81</v>
      </c>
      <c r="G8400">
        <v>2010</v>
      </c>
      <c r="H8400">
        <f>AVERAGEIFS(Table1[value],Table1[IndicatorCode],Table1[[#This Row],[IndicatorCode]])</f>
        <v>72.66514008620689</v>
      </c>
      <c r="I8400" cm="1">
        <f t="array" ref="I8400">_xlfn.STDEV.P(IF(Table1[IndicatorCode]=Table1[[#This Row],[IndicatorCode]],Table1[value]))</f>
        <v>6.3409496564024987</v>
      </c>
      <c r="J8400">
        <f>(Table1[[#This Row],[value]] - Table1[[#This Row],[mean]]) / Table1[[#This Row],[std_dev]]</f>
        <v>1.3144497851954</v>
      </c>
      <c r="K8400">
        <f>AVERAGEIF(Table1[CountryCode],Table1[[#This Row],[CountryCode]],Table1[z-score])</f>
        <v>0.21233679132661218</v>
      </c>
      <c r="L8400" t="e">
        <f>VLOOKUP(Table1[[#This Row],[CountryCode]],[1]!Table1[#All],1,FALSE)</f>
        <v>#REF!</v>
      </c>
    </row>
    <row r="8401" spans="1:12" hidden="1" x14ac:dyDescent="0.3">
      <c r="A8401" t="s">
        <v>45</v>
      </c>
      <c r="B8401" t="s">
        <v>46</v>
      </c>
      <c r="C8401" t="s">
        <v>129</v>
      </c>
      <c r="D8401" t="s">
        <v>130</v>
      </c>
      <c r="E8401">
        <v>2008</v>
      </c>
      <c r="F8401" s="1">
        <v>81</v>
      </c>
      <c r="G8401">
        <v>2010</v>
      </c>
      <c r="H8401">
        <f>AVERAGEIFS(Table1[value],Table1[IndicatorCode],Table1[[#This Row],[IndicatorCode]])</f>
        <v>72.66514008620689</v>
      </c>
      <c r="I8401" cm="1">
        <f t="array" ref="I8401">_xlfn.STDEV.P(IF(Table1[IndicatorCode]=Table1[[#This Row],[IndicatorCode]],Table1[value]))</f>
        <v>6.3409496564024987</v>
      </c>
      <c r="J8401">
        <f>(Table1[[#This Row],[value]] - Table1[[#This Row],[mean]]) / Table1[[#This Row],[std_dev]]</f>
        <v>1.3144497851954</v>
      </c>
      <c r="K8401">
        <f>AVERAGEIF(Table1[CountryCode],Table1[[#This Row],[CountryCode]],Table1[z-score])</f>
        <v>0.21233679132661218</v>
      </c>
      <c r="L8401" t="e">
        <f>VLOOKUP(Table1[[#This Row],[CountryCode]],[1]!Table1[#All],1,FALSE)</f>
        <v>#REF!</v>
      </c>
    </row>
    <row r="8402" spans="1:12" hidden="1" x14ac:dyDescent="0.3">
      <c r="A8402" t="s">
        <v>45</v>
      </c>
      <c r="B8402" t="s">
        <v>46</v>
      </c>
      <c r="C8402" t="s">
        <v>129</v>
      </c>
      <c r="D8402" t="s">
        <v>130</v>
      </c>
      <c r="E8402">
        <v>2009</v>
      </c>
      <c r="F8402" s="1">
        <v>81</v>
      </c>
      <c r="G8402">
        <v>2010</v>
      </c>
      <c r="H8402">
        <f>AVERAGEIFS(Table1[value],Table1[IndicatorCode],Table1[[#This Row],[IndicatorCode]])</f>
        <v>72.66514008620689</v>
      </c>
      <c r="I8402" cm="1">
        <f t="array" ref="I8402">_xlfn.STDEV.P(IF(Table1[IndicatorCode]=Table1[[#This Row],[IndicatorCode]],Table1[value]))</f>
        <v>6.3409496564024987</v>
      </c>
      <c r="J8402">
        <f>(Table1[[#This Row],[value]] - Table1[[#This Row],[mean]]) / Table1[[#This Row],[std_dev]]</f>
        <v>1.3144497851954</v>
      </c>
      <c r="K8402">
        <f>AVERAGEIF(Table1[CountryCode],Table1[[#This Row],[CountryCode]],Table1[z-score])</f>
        <v>0.21233679132661218</v>
      </c>
      <c r="L8402" t="e">
        <f>VLOOKUP(Table1[[#This Row],[CountryCode]],[1]!Table1[#All],1,FALSE)</f>
        <v>#REF!</v>
      </c>
    </row>
    <row r="8403" spans="1:12" hidden="1" x14ac:dyDescent="0.3">
      <c r="A8403" t="s">
        <v>45</v>
      </c>
      <c r="B8403" t="s">
        <v>46</v>
      </c>
      <c r="C8403" t="s">
        <v>129</v>
      </c>
      <c r="D8403" t="s">
        <v>130</v>
      </c>
      <c r="E8403">
        <v>2010</v>
      </c>
      <c r="F8403" s="1">
        <v>82</v>
      </c>
      <c r="G8403">
        <v>2010</v>
      </c>
      <c r="H8403">
        <f>AVERAGEIFS(Table1[value],Table1[IndicatorCode],Table1[[#This Row],[IndicatorCode]])</f>
        <v>72.66514008620689</v>
      </c>
      <c r="I8403" cm="1">
        <f t="array" ref="I8403">_xlfn.STDEV.P(IF(Table1[IndicatorCode]=Table1[[#This Row],[IndicatorCode]],Table1[value]))</f>
        <v>6.3409496564024987</v>
      </c>
      <c r="J8403">
        <f>(Table1[[#This Row],[value]] - Table1[[#This Row],[mean]]) / Table1[[#This Row],[std_dev]]</f>
        <v>1.4721548694788391</v>
      </c>
      <c r="K8403">
        <f>AVERAGEIF(Table1[CountryCode],Table1[[#This Row],[CountryCode]],Table1[z-score])</f>
        <v>0.21233679132661218</v>
      </c>
      <c r="L8403" t="e">
        <f>VLOOKUP(Table1[[#This Row],[CountryCode]],[1]!Table1[#All],1,FALSE)</f>
        <v>#REF!</v>
      </c>
    </row>
    <row r="8404" spans="1:12" hidden="1" x14ac:dyDescent="0.3">
      <c r="A8404" t="s">
        <v>45</v>
      </c>
      <c r="B8404" t="s">
        <v>46</v>
      </c>
      <c r="C8404" t="s">
        <v>129</v>
      </c>
      <c r="D8404" t="s">
        <v>130</v>
      </c>
      <c r="E8404">
        <v>2011</v>
      </c>
      <c r="F8404" s="1">
        <v>82</v>
      </c>
      <c r="G8404">
        <v>2010</v>
      </c>
      <c r="H8404">
        <f>AVERAGEIFS(Table1[value],Table1[IndicatorCode],Table1[[#This Row],[IndicatorCode]])</f>
        <v>72.66514008620689</v>
      </c>
      <c r="I8404" cm="1">
        <f t="array" ref="I8404">_xlfn.STDEV.P(IF(Table1[IndicatorCode]=Table1[[#This Row],[IndicatorCode]],Table1[value]))</f>
        <v>6.3409496564024987</v>
      </c>
      <c r="J8404">
        <f>(Table1[[#This Row],[value]] - Table1[[#This Row],[mean]]) / Table1[[#This Row],[std_dev]]</f>
        <v>1.4721548694788391</v>
      </c>
      <c r="K8404">
        <f>AVERAGEIF(Table1[CountryCode],Table1[[#This Row],[CountryCode]],Table1[z-score])</f>
        <v>0.21233679132661218</v>
      </c>
      <c r="L8404" t="e">
        <f>VLOOKUP(Table1[[#This Row],[CountryCode]],[1]!Table1[#All],1,FALSE)</f>
        <v>#REF!</v>
      </c>
    </row>
    <row r="8405" spans="1:12" hidden="1" x14ac:dyDescent="0.3">
      <c r="A8405" t="s">
        <v>45</v>
      </c>
      <c r="B8405" t="s">
        <v>46</v>
      </c>
      <c r="C8405" t="s">
        <v>129</v>
      </c>
      <c r="D8405" t="s">
        <v>130</v>
      </c>
      <c r="E8405">
        <v>2012</v>
      </c>
      <c r="F8405" s="1">
        <v>82</v>
      </c>
      <c r="G8405">
        <v>2010</v>
      </c>
      <c r="H8405">
        <f>AVERAGEIFS(Table1[value],Table1[IndicatorCode],Table1[[#This Row],[IndicatorCode]])</f>
        <v>72.66514008620689</v>
      </c>
      <c r="I8405" cm="1">
        <f t="array" ref="I8405">_xlfn.STDEV.P(IF(Table1[IndicatorCode]=Table1[[#This Row],[IndicatorCode]],Table1[value]))</f>
        <v>6.3409496564024987</v>
      </c>
      <c r="J8405">
        <f>(Table1[[#This Row],[value]] - Table1[[#This Row],[mean]]) / Table1[[#This Row],[std_dev]]</f>
        <v>1.4721548694788391</v>
      </c>
      <c r="K8405">
        <f>AVERAGEIF(Table1[CountryCode],Table1[[#This Row],[CountryCode]],Table1[z-score])</f>
        <v>0.21233679132661218</v>
      </c>
      <c r="L8405" t="e">
        <f>VLOOKUP(Table1[[#This Row],[CountryCode]],[1]!Table1[#All],1,FALSE)</f>
        <v>#REF!</v>
      </c>
    </row>
    <row r="8406" spans="1:12" hidden="1" x14ac:dyDescent="0.3">
      <c r="A8406" t="s">
        <v>45</v>
      </c>
      <c r="B8406" t="s">
        <v>46</v>
      </c>
      <c r="C8406" t="s">
        <v>129</v>
      </c>
      <c r="D8406" t="s">
        <v>130</v>
      </c>
      <c r="E8406">
        <v>2013</v>
      </c>
      <c r="F8406" s="1">
        <v>82</v>
      </c>
      <c r="G8406">
        <v>2010</v>
      </c>
      <c r="H8406">
        <f>AVERAGEIFS(Table1[value],Table1[IndicatorCode],Table1[[#This Row],[IndicatorCode]])</f>
        <v>72.66514008620689</v>
      </c>
      <c r="I8406" cm="1">
        <f t="array" ref="I8406">_xlfn.STDEV.P(IF(Table1[IndicatorCode]=Table1[[#This Row],[IndicatorCode]],Table1[value]))</f>
        <v>6.3409496564024987</v>
      </c>
      <c r="J8406">
        <f>(Table1[[#This Row],[value]] - Table1[[#This Row],[mean]]) / Table1[[#This Row],[std_dev]]</f>
        <v>1.4721548694788391</v>
      </c>
      <c r="K8406">
        <f>AVERAGEIF(Table1[CountryCode],Table1[[#This Row],[CountryCode]],Table1[z-score])</f>
        <v>0.21233679132661218</v>
      </c>
      <c r="L8406" t="e">
        <f>VLOOKUP(Table1[[#This Row],[CountryCode]],[1]!Table1[#All],1,FALSE)</f>
        <v>#REF!</v>
      </c>
    </row>
    <row r="8407" spans="1:12" hidden="1" x14ac:dyDescent="0.3">
      <c r="A8407" t="s">
        <v>45</v>
      </c>
      <c r="B8407" t="s">
        <v>46</v>
      </c>
      <c r="C8407" t="s">
        <v>129</v>
      </c>
      <c r="D8407" t="s">
        <v>130</v>
      </c>
      <c r="E8407">
        <v>2014</v>
      </c>
      <c r="F8407" s="1">
        <v>83</v>
      </c>
      <c r="G8407">
        <v>2010</v>
      </c>
      <c r="H8407">
        <f>AVERAGEIFS(Table1[value],Table1[IndicatorCode],Table1[[#This Row],[IndicatorCode]])</f>
        <v>72.66514008620689</v>
      </c>
      <c r="I8407" cm="1">
        <f t="array" ref="I8407">_xlfn.STDEV.P(IF(Table1[IndicatorCode]=Table1[[#This Row],[IndicatorCode]],Table1[value]))</f>
        <v>6.3409496564024987</v>
      </c>
      <c r="J8407">
        <f>(Table1[[#This Row],[value]] - Table1[[#This Row],[mean]]) / Table1[[#This Row],[std_dev]]</f>
        <v>1.6298599537622782</v>
      </c>
      <c r="K8407">
        <f>AVERAGEIF(Table1[CountryCode],Table1[[#This Row],[CountryCode]],Table1[z-score])</f>
        <v>0.21233679132661218</v>
      </c>
      <c r="L8407" t="e">
        <f>VLOOKUP(Table1[[#This Row],[CountryCode]],[1]!Table1[#All],1,FALSE)</f>
        <v>#REF!</v>
      </c>
    </row>
    <row r="8408" spans="1:12" hidden="1" x14ac:dyDescent="0.3">
      <c r="A8408" t="s">
        <v>45</v>
      </c>
      <c r="B8408" t="s">
        <v>46</v>
      </c>
      <c r="C8408" t="s">
        <v>129</v>
      </c>
      <c r="D8408" t="s">
        <v>130</v>
      </c>
      <c r="E8408">
        <v>2015</v>
      </c>
      <c r="F8408" s="1">
        <v>82</v>
      </c>
      <c r="G8408">
        <v>2010</v>
      </c>
      <c r="H8408">
        <f>AVERAGEIFS(Table1[value],Table1[IndicatorCode],Table1[[#This Row],[IndicatorCode]])</f>
        <v>72.66514008620689</v>
      </c>
      <c r="I8408" cm="1">
        <f t="array" ref="I8408">_xlfn.STDEV.P(IF(Table1[IndicatorCode]=Table1[[#This Row],[IndicatorCode]],Table1[value]))</f>
        <v>6.3409496564024987</v>
      </c>
      <c r="J8408">
        <f>(Table1[[#This Row],[value]] - Table1[[#This Row],[mean]]) / Table1[[#This Row],[std_dev]]</f>
        <v>1.4721548694788391</v>
      </c>
      <c r="K8408">
        <f>AVERAGEIF(Table1[CountryCode],Table1[[#This Row],[CountryCode]],Table1[z-score])</f>
        <v>0.21233679132661218</v>
      </c>
      <c r="L8408" t="e">
        <f>VLOOKUP(Table1[[#This Row],[CountryCode]],[1]!Table1[#All],1,FALSE)</f>
        <v>#REF!</v>
      </c>
    </row>
    <row r="8409" spans="1:12" hidden="1" x14ac:dyDescent="0.3">
      <c r="A8409" t="s">
        <v>45</v>
      </c>
      <c r="B8409" t="s">
        <v>46</v>
      </c>
      <c r="C8409" t="s">
        <v>129</v>
      </c>
      <c r="D8409" t="s">
        <v>130</v>
      </c>
      <c r="E8409">
        <v>2016</v>
      </c>
      <c r="F8409" s="1">
        <v>83</v>
      </c>
      <c r="G8409">
        <v>2010</v>
      </c>
      <c r="H8409">
        <f>AVERAGEIFS(Table1[value],Table1[IndicatorCode],Table1[[#This Row],[IndicatorCode]])</f>
        <v>72.66514008620689</v>
      </c>
      <c r="I8409" cm="1">
        <f t="array" ref="I8409">_xlfn.STDEV.P(IF(Table1[IndicatorCode]=Table1[[#This Row],[IndicatorCode]],Table1[value]))</f>
        <v>6.3409496564024987</v>
      </c>
      <c r="J8409">
        <f>(Table1[[#This Row],[value]] - Table1[[#This Row],[mean]]) / Table1[[#This Row],[std_dev]]</f>
        <v>1.6298599537622782</v>
      </c>
      <c r="K8409">
        <f>AVERAGEIF(Table1[CountryCode],Table1[[#This Row],[CountryCode]],Table1[z-score])</f>
        <v>0.21233679132661218</v>
      </c>
      <c r="L8409" t="e">
        <f>VLOOKUP(Table1[[#This Row],[CountryCode]],[1]!Table1[#All],1,FALSE)</f>
        <v>#REF!</v>
      </c>
    </row>
    <row r="8410" spans="1:12" hidden="1" x14ac:dyDescent="0.3">
      <c r="A8410" t="s">
        <v>45</v>
      </c>
      <c r="B8410" t="s">
        <v>46</v>
      </c>
      <c r="C8410" t="s">
        <v>129</v>
      </c>
      <c r="D8410" t="s">
        <v>130</v>
      </c>
      <c r="E8410">
        <v>2017</v>
      </c>
      <c r="F8410" s="1">
        <v>83</v>
      </c>
      <c r="G8410">
        <v>2020</v>
      </c>
      <c r="H8410">
        <f>AVERAGEIFS(Table1[value],Table1[IndicatorCode],Table1[[#This Row],[IndicatorCode]])</f>
        <v>72.66514008620689</v>
      </c>
      <c r="I8410" cm="1">
        <f t="array" ref="I8410">_xlfn.STDEV.P(IF(Table1[IndicatorCode]=Table1[[#This Row],[IndicatorCode]],Table1[value]))</f>
        <v>6.3409496564024987</v>
      </c>
      <c r="J8410">
        <f>(Table1[[#This Row],[value]] - Table1[[#This Row],[mean]]) / Table1[[#This Row],[std_dev]]</f>
        <v>1.6298599537622782</v>
      </c>
      <c r="K8410">
        <f>AVERAGEIF(Table1[CountryCode],Table1[[#This Row],[CountryCode]],Table1[z-score])</f>
        <v>0.21233679132661218</v>
      </c>
      <c r="L8410" t="e">
        <f>VLOOKUP(Table1[[#This Row],[CountryCode]],[1]!Table1[#All],1,FALSE)</f>
        <v>#REF!</v>
      </c>
    </row>
    <row r="8411" spans="1:12" hidden="1" x14ac:dyDescent="0.3">
      <c r="A8411" t="s">
        <v>45</v>
      </c>
      <c r="B8411" t="s">
        <v>46</v>
      </c>
      <c r="C8411" t="s">
        <v>129</v>
      </c>
      <c r="D8411" t="s">
        <v>130</v>
      </c>
      <c r="E8411">
        <v>2018</v>
      </c>
      <c r="F8411" s="1">
        <v>83</v>
      </c>
      <c r="G8411">
        <v>2020</v>
      </c>
      <c r="H8411">
        <f>AVERAGEIFS(Table1[value],Table1[IndicatorCode],Table1[[#This Row],[IndicatorCode]])</f>
        <v>72.66514008620689</v>
      </c>
      <c r="I8411" cm="1">
        <f t="array" ref="I8411">_xlfn.STDEV.P(IF(Table1[IndicatorCode]=Table1[[#This Row],[IndicatorCode]],Table1[value]))</f>
        <v>6.3409496564024987</v>
      </c>
      <c r="J8411">
        <f>(Table1[[#This Row],[value]] - Table1[[#This Row],[mean]]) / Table1[[#This Row],[std_dev]]</f>
        <v>1.6298599537622782</v>
      </c>
      <c r="K8411">
        <f>AVERAGEIF(Table1[CountryCode],Table1[[#This Row],[CountryCode]],Table1[z-score])</f>
        <v>0.21233679132661218</v>
      </c>
      <c r="L8411" t="e">
        <f>VLOOKUP(Table1[[#This Row],[CountryCode]],[1]!Table1[#All],1,FALSE)</f>
        <v>#REF!</v>
      </c>
    </row>
    <row r="8412" spans="1:12" hidden="1" x14ac:dyDescent="0.3">
      <c r="A8412" t="s">
        <v>45</v>
      </c>
      <c r="B8412" t="s">
        <v>46</v>
      </c>
      <c r="C8412" t="s">
        <v>129</v>
      </c>
      <c r="D8412" t="s">
        <v>130</v>
      </c>
      <c r="E8412">
        <v>2019</v>
      </c>
      <c r="F8412" s="1">
        <v>83</v>
      </c>
      <c r="G8412">
        <v>2020</v>
      </c>
      <c r="H8412">
        <f>AVERAGEIFS(Table1[value],Table1[IndicatorCode],Table1[[#This Row],[IndicatorCode]])</f>
        <v>72.66514008620689</v>
      </c>
      <c r="I8412" cm="1">
        <f t="array" ref="I8412">_xlfn.STDEV.P(IF(Table1[IndicatorCode]=Table1[[#This Row],[IndicatorCode]],Table1[value]))</f>
        <v>6.3409496564024987</v>
      </c>
      <c r="J8412">
        <f>(Table1[[#This Row],[value]] - Table1[[#This Row],[mean]]) / Table1[[#This Row],[std_dev]]</f>
        <v>1.6298599537622782</v>
      </c>
      <c r="K8412">
        <f>AVERAGEIF(Table1[CountryCode],Table1[[#This Row],[CountryCode]],Table1[z-score])</f>
        <v>0.21233679132661218</v>
      </c>
      <c r="L8412" t="e">
        <f>VLOOKUP(Table1[[#This Row],[CountryCode]],[1]!Table1[#All],1,FALSE)</f>
        <v>#REF!</v>
      </c>
    </row>
    <row r="8413" spans="1:12" x14ac:dyDescent="0.3">
      <c r="A8413" t="s">
        <v>45</v>
      </c>
      <c r="B8413" t="s">
        <v>46</v>
      </c>
      <c r="C8413" t="s">
        <v>129</v>
      </c>
      <c r="D8413" t="s">
        <v>130</v>
      </c>
      <c r="E8413">
        <v>2020</v>
      </c>
      <c r="F8413" s="1">
        <v>82</v>
      </c>
      <c r="G8413">
        <v>2020</v>
      </c>
      <c r="H8413">
        <f>AVERAGEIFS(Table1[value],Table1[IndicatorCode],Table1[[#This Row],[IndicatorCode]])</f>
        <v>72.66514008620689</v>
      </c>
      <c r="I8413" cm="1">
        <f t="array" ref="I8413">_xlfn.STDEV.P(IF(Table1[IndicatorCode]=Table1[[#This Row],[IndicatorCode]],Table1[value]))</f>
        <v>6.3409496564024987</v>
      </c>
      <c r="J8413">
        <f>(Table1[[#This Row],[value]] - Table1[[#This Row],[mean]]) / Table1[[#This Row],[std_dev]]</f>
        <v>1.4721548694788391</v>
      </c>
      <c r="K8413">
        <f>AVERAGEIF(Table1[CountryCode],Table1[[#This Row],[CountryCode]],Table1[z-score])</f>
        <v>0.21233679132661218</v>
      </c>
    </row>
    <row r="8414" spans="1:12" hidden="1" x14ac:dyDescent="0.3">
      <c r="A8414" t="s">
        <v>45</v>
      </c>
      <c r="B8414" t="s">
        <v>46</v>
      </c>
      <c r="C8414" t="s">
        <v>129</v>
      </c>
      <c r="D8414" t="s">
        <v>130</v>
      </c>
      <c r="E8414">
        <v>2021</v>
      </c>
      <c r="F8414" s="1">
        <v>82</v>
      </c>
      <c r="G8414">
        <v>1960</v>
      </c>
      <c r="H8414">
        <f>AVERAGEIFS(Table1[value],Table1[IndicatorCode],Table1[[#This Row],[IndicatorCode]])</f>
        <v>72.66514008620689</v>
      </c>
      <c r="I8414" cm="1">
        <f t="array" ref="I8414">_xlfn.STDEV.P(IF(Table1[IndicatorCode]=Table1[[#This Row],[IndicatorCode]],Table1[value]))</f>
        <v>6.3409496564024987</v>
      </c>
      <c r="J8414">
        <f>(Table1[[#This Row],[value]] - Table1[[#This Row],[mean]]) / Table1[[#This Row],[std_dev]]</f>
        <v>1.4721548694788391</v>
      </c>
      <c r="K8414">
        <f>AVERAGEIF(Table1[CountryCode],Table1[[#This Row],[CountryCode]],Table1[z-score])</f>
        <v>0.21233679132661218</v>
      </c>
      <c r="L8414" t="e">
        <f>VLOOKUP(Table1[[#This Row],[CountryCode]],[1]!Table1[#All],1,FALSE)</f>
        <v>#REF!</v>
      </c>
    </row>
    <row r="8415" spans="1:12" hidden="1" x14ac:dyDescent="0.3">
      <c r="A8415" t="s">
        <v>45</v>
      </c>
      <c r="B8415" t="s">
        <v>46</v>
      </c>
      <c r="C8415" t="s">
        <v>129</v>
      </c>
      <c r="D8415" t="s">
        <v>130</v>
      </c>
      <c r="E8415">
        <v>2022</v>
      </c>
      <c r="F8415" s="1">
        <v>82</v>
      </c>
      <c r="G8415">
        <v>1960</v>
      </c>
      <c r="H8415">
        <f>AVERAGEIFS(Table1[value],Table1[IndicatorCode],Table1[[#This Row],[IndicatorCode]])</f>
        <v>72.66514008620689</v>
      </c>
      <c r="I8415" cm="1">
        <f t="array" ref="I8415">_xlfn.STDEV.P(IF(Table1[IndicatorCode]=Table1[[#This Row],[IndicatorCode]],Table1[value]))</f>
        <v>6.3409496564024987</v>
      </c>
      <c r="J8415">
        <f>(Table1[[#This Row],[value]] - Table1[[#This Row],[mean]]) / Table1[[#This Row],[std_dev]]</f>
        <v>1.4721548694788391</v>
      </c>
      <c r="K8415">
        <f>AVERAGEIF(Table1[CountryCode],Table1[[#This Row],[CountryCode]],Table1[z-score])</f>
        <v>0.21233679132661218</v>
      </c>
      <c r="L8415" t="e">
        <f>VLOOKUP(Table1[[#This Row],[CountryCode]],[1]!Table1[#All],1,FALSE)</f>
        <v>#REF!</v>
      </c>
    </row>
    <row r="8416" spans="1:12" hidden="1" x14ac:dyDescent="0.3">
      <c r="A8416" t="s">
        <v>45</v>
      </c>
      <c r="B8416" t="s">
        <v>46</v>
      </c>
      <c r="C8416" t="s">
        <v>129</v>
      </c>
      <c r="D8416" t="s">
        <v>130</v>
      </c>
      <c r="E8416">
        <v>2023</v>
      </c>
      <c r="F8416" s="1">
        <v>83</v>
      </c>
      <c r="G8416">
        <v>1960</v>
      </c>
      <c r="H8416">
        <f>AVERAGEIFS(Table1[value],Table1[IndicatorCode],Table1[[#This Row],[IndicatorCode]])</f>
        <v>72.66514008620689</v>
      </c>
      <c r="I8416" cm="1">
        <f t="array" ref="I8416">_xlfn.STDEV.P(IF(Table1[IndicatorCode]=Table1[[#This Row],[IndicatorCode]],Table1[value]))</f>
        <v>6.3409496564024987</v>
      </c>
      <c r="J8416">
        <f>(Table1[[#This Row],[value]] - Table1[[#This Row],[mean]]) / Table1[[#This Row],[std_dev]]</f>
        <v>1.6298599537622782</v>
      </c>
      <c r="K8416">
        <f>AVERAGEIF(Table1[CountryCode],Table1[[#This Row],[CountryCode]],Table1[z-score])</f>
        <v>0.21233679132661218</v>
      </c>
      <c r="L8416" t="e">
        <f>VLOOKUP(Table1[[#This Row],[CountryCode]],[1]!Table1[#All],1,FALSE)</f>
        <v>#REF!</v>
      </c>
    </row>
    <row r="8417" spans="1:12" hidden="1" x14ac:dyDescent="0.3">
      <c r="A8417" t="s">
        <v>47</v>
      </c>
      <c r="B8417" t="s">
        <v>48</v>
      </c>
      <c r="C8417" t="s">
        <v>129</v>
      </c>
      <c r="D8417" t="s">
        <v>130</v>
      </c>
      <c r="E8417">
        <v>1960</v>
      </c>
      <c r="F8417" s="1">
        <v>72</v>
      </c>
      <c r="G8417">
        <v>1960</v>
      </c>
      <c r="H8417">
        <f>AVERAGEIFS(Table1[value],Table1[IndicatorCode],Table1[[#This Row],[IndicatorCode]])</f>
        <v>72.66514008620689</v>
      </c>
      <c r="I8417" cm="1">
        <f t="array" ref="I8417">_xlfn.STDEV.P(IF(Table1[IndicatorCode]=Table1[[#This Row],[IndicatorCode]],Table1[value]))</f>
        <v>6.3409496564024987</v>
      </c>
      <c r="J8417">
        <f>(Table1[[#This Row],[value]] - Table1[[#This Row],[mean]]) / Table1[[#This Row],[std_dev]]</f>
        <v>-0.10489597335555145</v>
      </c>
      <c r="K8417">
        <f>AVERAGEIF(Table1[CountryCode],Table1[[#This Row],[CountryCode]],Table1[z-score])</f>
        <v>-3.9589438634764836E-2</v>
      </c>
      <c r="L8417" t="e">
        <f>VLOOKUP(Table1[[#This Row],[CountryCode]],[1]!Table1[#All],1,FALSE)</f>
        <v>#REF!</v>
      </c>
    </row>
    <row r="8418" spans="1:12" hidden="1" x14ac:dyDescent="0.3">
      <c r="A8418" t="s">
        <v>47</v>
      </c>
      <c r="B8418" t="s">
        <v>48</v>
      </c>
      <c r="C8418" t="s">
        <v>129</v>
      </c>
      <c r="D8418" t="s">
        <v>130</v>
      </c>
      <c r="E8418">
        <v>1961</v>
      </c>
      <c r="F8418" s="1">
        <v>73</v>
      </c>
      <c r="G8418">
        <v>1960</v>
      </c>
      <c r="H8418">
        <f>AVERAGEIFS(Table1[value],Table1[IndicatorCode],Table1[[#This Row],[IndicatorCode]])</f>
        <v>72.66514008620689</v>
      </c>
      <c r="I8418" cm="1">
        <f t="array" ref="I8418">_xlfn.STDEV.P(IF(Table1[IndicatorCode]=Table1[[#This Row],[IndicatorCode]],Table1[value]))</f>
        <v>6.3409496564024987</v>
      </c>
      <c r="J8418">
        <f>(Table1[[#This Row],[value]] - Table1[[#This Row],[mean]]) / Table1[[#This Row],[std_dev]]</f>
        <v>5.2809110927887599E-2</v>
      </c>
      <c r="K8418">
        <f>AVERAGEIF(Table1[CountryCode],Table1[[#This Row],[CountryCode]],Table1[z-score])</f>
        <v>-3.9589438634764836E-2</v>
      </c>
      <c r="L8418" t="e">
        <f>VLOOKUP(Table1[[#This Row],[CountryCode]],[1]!Table1[#All],1,FALSE)</f>
        <v>#REF!</v>
      </c>
    </row>
    <row r="8419" spans="1:12" hidden="1" x14ac:dyDescent="0.3">
      <c r="A8419" t="s">
        <v>47</v>
      </c>
      <c r="B8419" t="s">
        <v>48</v>
      </c>
      <c r="C8419" t="s">
        <v>129</v>
      </c>
      <c r="D8419" t="s">
        <v>130</v>
      </c>
      <c r="E8419">
        <v>1962</v>
      </c>
      <c r="F8419" s="1">
        <v>73</v>
      </c>
      <c r="G8419">
        <v>1960</v>
      </c>
      <c r="H8419">
        <f>AVERAGEIFS(Table1[value],Table1[IndicatorCode],Table1[[#This Row],[IndicatorCode]])</f>
        <v>72.66514008620689</v>
      </c>
      <c r="I8419" cm="1">
        <f t="array" ref="I8419">_xlfn.STDEV.P(IF(Table1[IndicatorCode]=Table1[[#This Row],[IndicatorCode]],Table1[value]))</f>
        <v>6.3409496564024987</v>
      </c>
      <c r="J8419">
        <f>(Table1[[#This Row],[value]] - Table1[[#This Row],[mean]]) / Table1[[#This Row],[std_dev]]</f>
        <v>5.2809110927887599E-2</v>
      </c>
      <c r="K8419">
        <f>AVERAGEIF(Table1[CountryCode],Table1[[#This Row],[CountryCode]],Table1[z-score])</f>
        <v>-3.9589438634764836E-2</v>
      </c>
      <c r="L8419" t="e">
        <f>VLOOKUP(Table1[[#This Row],[CountryCode]],[1]!Table1[#All],1,FALSE)</f>
        <v>#REF!</v>
      </c>
    </row>
    <row r="8420" spans="1:12" hidden="1" x14ac:dyDescent="0.3">
      <c r="A8420" t="s">
        <v>47</v>
      </c>
      <c r="B8420" t="s">
        <v>48</v>
      </c>
      <c r="C8420" t="s">
        <v>129</v>
      </c>
      <c r="D8420" t="s">
        <v>130</v>
      </c>
      <c r="E8420">
        <v>1963</v>
      </c>
      <c r="F8420" s="1">
        <v>74</v>
      </c>
      <c r="G8420">
        <v>1960</v>
      </c>
      <c r="H8420">
        <f>AVERAGEIFS(Table1[value],Table1[IndicatorCode],Table1[[#This Row],[IndicatorCode]])</f>
        <v>72.66514008620689</v>
      </c>
      <c r="I8420" cm="1">
        <f t="array" ref="I8420">_xlfn.STDEV.P(IF(Table1[IndicatorCode]=Table1[[#This Row],[IndicatorCode]],Table1[value]))</f>
        <v>6.3409496564024987</v>
      </c>
      <c r="J8420">
        <f>(Table1[[#This Row],[value]] - Table1[[#This Row],[mean]]) / Table1[[#This Row],[std_dev]]</f>
        <v>0.21051419521132667</v>
      </c>
      <c r="K8420">
        <f>AVERAGEIF(Table1[CountryCode],Table1[[#This Row],[CountryCode]],Table1[z-score])</f>
        <v>-3.9589438634764836E-2</v>
      </c>
      <c r="L8420" t="e">
        <f>VLOOKUP(Table1[[#This Row],[CountryCode]],[1]!Table1[#All],1,FALSE)</f>
        <v>#REF!</v>
      </c>
    </row>
    <row r="8421" spans="1:12" hidden="1" x14ac:dyDescent="0.3">
      <c r="A8421" t="s">
        <v>47</v>
      </c>
      <c r="B8421" t="s">
        <v>48</v>
      </c>
      <c r="C8421" t="s">
        <v>129</v>
      </c>
      <c r="D8421" t="s">
        <v>130</v>
      </c>
      <c r="E8421">
        <v>1964</v>
      </c>
      <c r="F8421" s="1">
        <v>74</v>
      </c>
      <c r="G8421">
        <v>1960</v>
      </c>
      <c r="H8421">
        <f>AVERAGEIFS(Table1[value],Table1[IndicatorCode],Table1[[#This Row],[IndicatorCode]])</f>
        <v>72.66514008620689</v>
      </c>
      <c r="I8421" cm="1">
        <f t="array" ref="I8421">_xlfn.STDEV.P(IF(Table1[IndicatorCode]=Table1[[#This Row],[IndicatorCode]],Table1[value]))</f>
        <v>6.3409496564024987</v>
      </c>
      <c r="J8421">
        <f>(Table1[[#This Row],[value]] - Table1[[#This Row],[mean]]) / Table1[[#This Row],[std_dev]]</f>
        <v>0.21051419521132667</v>
      </c>
      <c r="K8421">
        <f>AVERAGEIF(Table1[CountryCode],Table1[[#This Row],[CountryCode]],Table1[z-score])</f>
        <v>-3.9589438634764836E-2</v>
      </c>
      <c r="L8421" t="e">
        <f>VLOOKUP(Table1[[#This Row],[CountryCode]],[1]!Table1[#All],1,FALSE)</f>
        <v>#REF!</v>
      </c>
    </row>
    <row r="8422" spans="1:12" hidden="1" x14ac:dyDescent="0.3">
      <c r="A8422" t="s">
        <v>47</v>
      </c>
      <c r="B8422" t="s">
        <v>48</v>
      </c>
      <c r="C8422" t="s">
        <v>129</v>
      </c>
      <c r="D8422" t="s">
        <v>130</v>
      </c>
      <c r="E8422">
        <v>1965</v>
      </c>
      <c r="F8422" s="1">
        <v>74</v>
      </c>
      <c r="G8422">
        <v>1960</v>
      </c>
      <c r="H8422">
        <f>AVERAGEIFS(Table1[value],Table1[IndicatorCode],Table1[[#This Row],[IndicatorCode]])</f>
        <v>72.66514008620689</v>
      </c>
      <c r="I8422" cm="1">
        <f t="array" ref="I8422">_xlfn.STDEV.P(IF(Table1[IndicatorCode]=Table1[[#This Row],[IndicatorCode]],Table1[value]))</f>
        <v>6.3409496564024987</v>
      </c>
      <c r="J8422">
        <f>(Table1[[#This Row],[value]] - Table1[[#This Row],[mean]]) / Table1[[#This Row],[std_dev]]</f>
        <v>0.21051419521132667</v>
      </c>
      <c r="K8422">
        <f>AVERAGEIF(Table1[CountryCode],Table1[[#This Row],[CountryCode]],Table1[z-score])</f>
        <v>-3.9589438634764836E-2</v>
      </c>
      <c r="L8422" t="e">
        <f>VLOOKUP(Table1[[#This Row],[CountryCode]],[1]!Table1[#All],1,FALSE)</f>
        <v>#REF!</v>
      </c>
    </row>
    <row r="8423" spans="1:12" hidden="1" x14ac:dyDescent="0.3">
      <c r="A8423" t="s">
        <v>47</v>
      </c>
      <c r="B8423" t="s">
        <v>48</v>
      </c>
      <c r="C8423" t="s">
        <v>129</v>
      </c>
      <c r="D8423" t="s">
        <v>130</v>
      </c>
      <c r="E8423">
        <v>1966</v>
      </c>
      <c r="F8423" s="1">
        <v>74</v>
      </c>
      <c r="G8423">
        <v>1960</v>
      </c>
      <c r="H8423">
        <f>AVERAGEIFS(Table1[value],Table1[IndicatorCode],Table1[[#This Row],[IndicatorCode]])</f>
        <v>72.66514008620689</v>
      </c>
      <c r="I8423" cm="1">
        <f t="array" ref="I8423">_xlfn.STDEV.P(IF(Table1[IndicatorCode]=Table1[[#This Row],[IndicatorCode]],Table1[value]))</f>
        <v>6.3409496564024987</v>
      </c>
      <c r="J8423">
        <f>(Table1[[#This Row],[value]] - Table1[[#This Row],[mean]]) / Table1[[#This Row],[std_dev]]</f>
        <v>0.21051419521132667</v>
      </c>
      <c r="K8423">
        <f>AVERAGEIF(Table1[CountryCode],Table1[[#This Row],[CountryCode]],Table1[z-score])</f>
        <v>-3.9589438634764836E-2</v>
      </c>
      <c r="L8423" t="e">
        <f>VLOOKUP(Table1[[#This Row],[CountryCode]],[1]!Table1[#All],1,FALSE)</f>
        <v>#REF!</v>
      </c>
    </row>
    <row r="8424" spans="1:12" hidden="1" x14ac:dyDescent="0.3">
      <c r="A8424" t="s">
        <v>47</v>
      </c>
      <c r="B8424" t="s">
        <v>48</v>
      </c>
      <c r="C8424" t="s">
        <v>129</v>
      </c>
      <c r="D8424" t="s">
        <v>130</v>
      </c>
      <c r="E8424">
        <v>1967</v>
      </c>
      <c r="F8424" s="1">
        <v>74</v>
      </c>
      <c r="G8424">
        <v>1970</v>
      </c>
      <c r="H8424">
        <f>AVERAGEIFS(Table1[value],Table1[IndicatorCode],Table1[[#This Row],[IndicatorCode]])</f>
        <v>72.66514008620689</v>
      </c>
      <c r="I8424" cm="1">
        <f t="array" ref="I8424">_xlfn.STDEV.P(IF(Table1[IndicatorCode]=Table1[[#This Row],[IndicatorCode]],Table1[value]))</f>
        <v>6.3409496564024987</v>
      </c>
      <c r="J8424">
        <f>(Table1[[#This Row],[value]] - Table1[[#This Row],[mean]]) / Table1[[#This Row],[std_dev]]</f>
        <v>0.21051419521132667</v>
      </c>
      <c r="K8424">
        <f>AVERAGEIF(Table1[CountryCode],Table1[[#This Row],[CountryCode]],Table1[z-score])</f>
        <v>-3.9589438634764836E-2</v>
      </c>
      <c r="L8424" t="e">
        <f>VLOOKUP(Table1[[#This Row],[CountryCode]],[1]!Table1[#All],1,FALSE)</f>
        <v>#REF!</v>
      </c>
    </row>
    <row r="8425" spans="1:12" hidden="1" x14ac:dyDescent="0.3">
      <c r="A8425" t="s">
        <v>47</v>
      </c>
      <c r="B8425" t="s">
        <v>48</v>
      </c>
      <c r="C8425" t="s">
        <v>129</v>
      </c>
      <c r="D8425" t="s">
        <v>130</v>
      </c>
      <c r="E8425">
        <v>1968</v>
      </c>
      <c r="F8425" s="1">
        <v>75</v>
      </c>
      <c r="G8425">
        <v>1970</v>
      </c>
      <c r="H8425">
        <f>AVERAGEIFS(Table1[value],Table1[IndicatorCode],Table1[[#This Row],[IndicatorCode]])</f>
        <v>72.66514008620689</v>
      </c>
      <c r="I8425" cm="1">
        <f t="array" ref="I8425">_xlfn.STDEV.P(IF(Table1[IndicatorCode]=Table1[[#This Row],[IndicatorCode]],Table1[value]))</f>
        <v>6.3409496564024987</v>
      </c>
      <c r="J8425">
        <f>(Table1[[#This Row],[value]] - Table1[[#This Row],[mean]]) / Table1[[#This Row],[std_dev]]</f>
        <v>0.36821927949476574</v>
      </c>
      <c r="K8425">
        <f>AVERAGEIF(Table1[CountryCode],Table1[[#This Row],[CountryCode]],Table1[z-score])</f>
        <v>-3.9589438634764836E-2</v>
      </c>
      <c r="L8425" t="e">
        <f>VLOOKUP(Table1[[#This Row],[CountryCode]],[1]!Table1[#All],1,FALSE)</f>
        <v>#REF!</v>
      </c>
    </row>
    <row r="8426" spans="1:12" hidden="1" x14ac:dyDescent="0.3">
      <c r="A8426" t="s">
        <v>47</v>
      </c>
      <c r="B8426" t="s">
        <v>48</v>
      </c>
      <c r="C8426" t="s">
        <v>129</v>
      </c>
      <c r="D8426" t="s">
        <v>130</v>
      </c>
      <c r="E8426">
        <v>1969</v>
      </c>
      <c r="F8426" s="1">
        <v>75</v>
      </c>
      <c r="G8426">
        <v>1970</v>
      </c>
      <c r="H8426">
        <f>AVERAGEIFS(Table1[value],Table1[IndicatorCode],Table1[[#This Row],[IndicatorCode]])</f>
        <v>72.66514008620689</v>
      </c>
      <c r="I8426" cm="1">
        <f t="array" ref="I8426">_xlfn.STDEV.P(IF(Table1[IndicatorCode]=Table1[[#This Row],[IndicatorCode]],Table1[value]))</f>
        <v>6.3409496564024987</v>
      </c>
      <c r="J8426">
        <f>(Table1[[#This Row],[value]] - Table1[[#This Row],[mean]]) / Table1[[#This Row],[std_dev]]</f>
        <v>0.36821927949476574</v>
      </c>
      <c r="K8426">
        <f>AVERAGEIF(Table1[CountryCode],Table1[[#This Row],[CountryCode]],Table1[z-score])</f>
        <v>-3.9589438634764836E-2</v>
      </c>
      <c r="L8426" t="e">
        <f>VLOOKUP(Table1[[#This Row],[CountryCode]],[1]!Table1[#All],1,FALSE)</f>
        <v>#REF!</v>
      </c>
    </row>
    <row r="8427" spans="1:12" hidden="1" x14ac:dyDescent="0.3">
      <c r="A8427" t="s">
        <v>47</v>
      </c>
      <c r="B8427" t="s">
        <v>48</v>
      </c>
      <c r="C8427" t="s">
        <v>129</v>
      </c>
      <c r="D8427" t="s">
        <v>130</v>
      </c>
      <c r="E8427">
        <v>1970</v>
      </c>
      <c r="F8427" s="1">
        <v>75</v>
      </c>
      <c r="G8427">
        <v>1970</v>
      </c>
      <c r="H8427">
        <f>AVERAGEIFS(Table1[value],Table1[IndicatorCode],Table1[[#This Row],[IndicatorCode]])</f>
        <v>72.66514008620689</v>
      </c>
      <c r="I8427" cm="1">
        <f t="array" ref="I8427">_xlfn.STDEV.P(IF(Table1[IndicatorCode]=Table1[[#This Row],[IndicatorCode]],Table1[value]))</f>
        <v>6.3409496564024987</v>
      </c>
      <c r="J8427">
        <f>(Table1[[#This Row],[value]] - Table1[[#This Row],[mean]]) / Table1[[#This Row],[std_dev]]</f>
        <v>0.36821927949476574</v>
      </c>
      <c r="K8427">
        <f>AVERAGEIF(Table1[CountryCode],Table1[[#This Row],[CountryCode]],Table1[z-score])</f>
        <v>-3.9589438634764836E-2</v>
      </c>
      <c r="L8427" t="e">
        <f>VLOOKUP(Table1[[#This Row],[CountryCode]],[1]!Table1[#All],1,FALSE)</f>
        <v>#REF!</v>
      </c>
    </row>
    <row r="8428" spans="1:12" hidden="1" x14ac:dyDescent="0.3">
      <c r="A8428" t="s">
        <v>47</v>
      </c>
      <c r="B8428" t="s">
        <v>48</v>
      </c>
      <c r="C8428" t="s">
        <v>129</v>
      </c>
      <c r="D8428" t="s">
        <v>130</v>
      </c>
      <c r="E8428">
        <v>1971</v>
      </c>
      <c r="F8428" s="1">
        <v>75</v>
      </c>
      <c r="G8428">
        <v>1970</v>
      </c>
      <c r="H8428">
        <f>AVERAGEIFS(Table1[value],Table1[IndicatorCode],Table1[[#This Row],[IndicatorCode]])</f>
        <v>72.66514008620689</v>
      </c>
      <c r="I8428" cm="1">
        <f t="array" ref="I8428">_xlfn.STDEV.P(IF(Table1[IndicatorCode]=Table1[[#This Row],[IndicatorCode]],Table1[value]))</f>
        <v>6.3409496564024987</v>
      </c>
      <c r="J8428">
        <f>(Table1[[#This Row],[value]] - Table1[[#This Row],[mean]]) / Table1[[#This Row],[std_dev]]</f>
        <v>0.36821927949476574</v>
      </c>
      <c r="K8428">
        <f>AVERAGEIF(Table1[CountryCode],Table1[[#This Row],[CountryCode]],Table1[z-score])</f>
        <v>-3.9589438634764836E-2</v>
      </c>
      <c r="L8428" t="e">
        <f>VLOOKUP(Table1[[#This Row],[CountryCode]],[1]!Table1[#All],1,FALSE)</f>
        <v>#REF!</v>
      </c>
    </row>
    <row r="8429" spans="1:12" hidden="1" x14ac:dyDescent="0.3">
      <c r="A8429" t="s">
        <v>47</v>
      </c>
      <c r="B8429" t="s">
        <v>48</v>
      </c>
      <c r="C8429" t="s">
        <v>129</v>
      </c>
      <c r="D8429" t="s">
        <v>130</v>
      </c>
      <c r="E8429">
        <v>1972</v>
      </c>
      <c r="F8429" s="1">
        <v>75</v>
      </c>
      <c r="G8429">
        <v>1970</v>
      </c>
      <c r="H8429">
        <f>AVERAGEIFS(Table1[value],Table1[IndicatorCode],Table1[[#This Row],[IndicatorCode]])</f>
        <v>72.66514008620689</v>
      </c>
      <c r="I8429" cm="1">
        <f t="array" ref="I8429">_xlfn.STDEV.P(IF(Table1[IndicatorCode]=Table1[[#This Row],[IndicatorCode]],Table1[value]))</f>
        <v>6.3409496564024987</v>
      </c>
      <c r="J8429">
        <f>(Table1[[#This Row],[value]] - Table1[[#This Row],[mean]]) / Table1[[#This Row],[std_dev]]</f>
        <v>0.36821927949476574</v>
      </c>
      <c r="K8429">
        <f>AVERAGEIF(Table1[CountryCode],Table1[[#This Row],[CountryCode]],Table1[z-score])</f>
        <v>-3.9589438634764836E-2</v>
      </c>
      <c r="L8429" t="e">
        <f>VLOOKUP(Table1[[#This Row],[CountryCode]],[1]!Table1[#All],1,FALSE)</f>
        <v>#REF!</v>
      </c>
    </row>
    <row r="8430" spans="1:12" hidden="1" x14ac:dyDescent="0.3">
      <c r="A8430" t="s">
        <v>47</v>
      </c>
      <c r="B8430" t="s">
        <v>48</v>
      </c>
      <c r="C8430" t="s">
        <v>129</v>
      </c>
      <c r="D8430" t="s">
        <v>130</v>
      </c>
      <c r="E8430">
        <v>1973</v>
      </c>
      <c r="F8430" s="1">
        <v>75</v>
      </c>
      <c r="G8430">
        <v>1970</v>
      </c>
      <c r="H8430">
        <f>AVERAGEIFS(Table1[value],Table1[IndicatorCode],Table1[[#This Row],[IndicatorCode]])</f>
        <v>72.66514008620689</v>
      </c>
      <c r="I8430" cm="1">
        <f t="array" ref="I8430">_xlfn.STDEV.P(IF(Table1[IndicatorCode]=Table1[[#This Row],[IndicatorCode]],Table1[value]))</f>
        <v>6.3409496564024987</v>
      </c>
      <c r="J8430">
        <f>(Table1[[#This Row],[value]] - Table1[[#This Row],[mean]]) / Table1[[#This Row],[std_dev]]</f>
        <v>0.36821927949476574</v>
      </c>
      <c r="K8430">
        <f>AVERAGEIF(Table1[CountryCode],Table1[[#This Row],[CountryCode]],Table1[z-score])</f>
        <v>-3.9589438634764836E-2</v>
      </c>
      <c r="L8430" t="e">
        <f>VLOOKUP(Table1[[#This Row],[CountryCode]],[1]!Table1[#All],1,FALSE)</f>
        <v>#REF!</v>
      </c>
    </row>
    <row r="8431" spans="1:12" hidden="1" x14ac:dyDescent="0.3">
      <c r="A8431" t="s">
        <v>47</v>
      </c>
      <c r="B8431" t="s">
        <v>48</v>
      </c>
      <c r="C8431" t="s">
        <v>129</v>
      </c>
      <c r="D8431" t="s">
        <v>130</v>
      </c>
      <c r="E8431">
        <v>1974</v>
      </c>
      <c r="F8431" s="1">
        <v>75</v>
      </c>
      <c r="G8431">
        <v>1970</v>
      </c>
      <c r="H8431">
        <f>AVERAGEIFS(Table1[value],Table1[IndicatorCode],Table1[[#This Row],[IndicatorCode]])</f>
        <v>72.66514008620689</v>
      </c>
      <c r="I8431" cm="1">
        <f t="array" ref="I8431">_xlfn.STDEV.P(IF(Table1[IndicatorCode]=Table1[[#This Row],[IndicatorCode]],Table1[value]))</f>
        <v>6.3409496564024987</v>
      </c>
      <c r="J8431">
        <f>(Table1[[#This Row],[value]] - Table1[[#This Row],[mean]]) / Table1[[#This Row],[std_dev]]</f>
        <v>0.36821927949476574</v>
      </c>
      <c r="K8431">
        <f>AVERAGEIF(Table1[CountryCode],Table1[[#This Row],[CountryCode]],Table1[z-score])</f>
        <v>-3.9589438634764836E-2</v>
      </c>
      <c r="L8431" t="e">
        <f>VLOOKUP(Table1[[#This Row],[CountryCode]],[1]!Table1[#All],1,FALSE)</f>
        <v>#REF!</v>
      </c>
    </row>
    <row r="8432" spans="1:12" hidden="1" x14ac:dyDescent="0.3">
      <c r="A8432" t="s">
        <v>47</v>
      </c>
      <c r="B8432" t="s">
        <v>48</v>
      </c>
      <c r="C8432" t="s">
        <v>129</v>
      </c>
      <c r="D8432" t="s">
        <v>130</v>
      </c>
      <c r="E8432">
        <v>1975</v>
      </c>
      <c r="F8432" s="1">
        <v>75</v>
      </c>
      <c r="G8432">
        <v>1970</v>
      </c>
      <c r="H8432">
        <f>AVERAGEIFS(Table1[value],Table1[IndicatorCode],Table1[[#This Row],[IndicatorCode]])</f>
        <v>72.66514008620689</v>
      </c>
      <c r="I8432" cm="1">
        <f t="array" ref="I8432">_xlfn.STDEV.P(IF(Table1[IndicatorCode]=Table1[[#This Row],[IndicatorCode]],Table1[value]))</f>
        <v>6.3409496564024987</v>
      </c>
      <c r="J8432">
        <f>(Table1[[#This Row],[value]] - Table1[[#This Row],[mean]]) / Table1[[#This Row],[std_dev]]</f>
        <v>0.36821927949476574</v>
      </c>
      <c r="K8432">
        <f>AVERAGEIF(Table1[CountryCode],Table1[[#This Row],[CountryCode]],Table1[z-score])</f>
        <v>-3.9589438634764836E-2</v>
      </c>
      <c r="L8432" t="e">
        <f>VLOOKUP(Table1[[#This Row],[CountryCode]],[1]!Table1[#All],1,FALSE)</f>
        <v>#REF!</v>
      </c>
    </row>
    <row r="8433" spans="1:12" hidden="1" x14ac:dyDescent="0.3">
      <c r="A8433" t="s">
        <v>47</v>
      </c>
      <c r="B8433" t="s">
        <v>48</v>
      </c>
      <c r="C8433" t="s">
        <v>129</v>
      </c>
      <c r="D8433" t="s">
        <v>130</v>
      </c>
      <c r="E8433">
        <v>1976</v>
      </c>
      <c r="F8433" s="1">
        <v>76</v>
      </c>
      <c r="G8433">
        <v>1970</v>
      </c>
      <c r="H8433">
        <f>AVERAGEIFS(Table1[value],Table1[IndicatorCode],Table1[[#This Row],[IndicatorCode]])</f>
        <v>72.66514008620689</v>
      </c>
      <c r="I8433" cm="1">
        <f t="array" ref="I8433">_xlfn.STDEV.P(IF(Table1[IndicatorCode]=Table1[[#This Row],[IndicatorCode]],Table1[value]))</f>
        <v>6.3409496564024987</v>
      </c>
      <c r="J8433">
        <f>(Table1[[#This Row],[value]] - Table1[[#This Row],[mean]]) / Table1[[#This Row],[std_dev]]</f>
        <v>0.52592436377820473</v>
      </c>
      <c r="K8433">
        <f>AVERAGEIF(Table1[CountryCode],Table1[[#This Row],[CountryCode]],Table1[z-score])</f>
        <v>-3.9589438634764836E-2</v>
      </c>
      <c r="L8433" t="e">
        <f>VLOOKUP(Table1[[#This Row],[CountryCode]],[1]!Table1[#All],1,FALSE)</f>
        <v>#REF!</v>
      </c>
    </row>
    <row r="8434" spans="1:12" hidden="1" x14ac:dyDescent="0.3">
      <c r="A8434" t="s">
        <v>47</v>
      </c>
      <c r="B8434" t="s">
        <v>48</v>
      </c>
      <c r="C8434" t="s">
        <v>129</v>
      </c>
      <c r="D8434" t="s">
        <v>130</v>
      </c>
      <c r="E8434">
        <v>1977</v>
      </c>
      <c r="F8434" s="1">
        <v>76</v>
      </c>
      <c r="G8434">
        <v>1980</v>
      </c>
      <c r="H8434">
        <f>AVERAGEIFS(Table1[value],Table1[IndicatorCode],Table1[[#This Row],[IndicatorCode]])</f>
        <v>72.66514008620689</v>
      </c>
      <c r="I8434" cm="1">
        <f t="array" ref="I8434">_xlfn.STDEV.P(IF(Table1[IndicatorCode]=Table1[[#This Row],[IndicatorCode]],Table1[value]))</f>
        <v>6.3409496564024987</v>
      </c>
      <c r="J8434">
        <f>(Table1[[#This Row],[value]] - Table1[[#This Row],[mean]]) / Table1[[#This Row],[std_dev]]</f>
        <v>0.52592436377820473</v>
      </c>
      <c r="K8434">
        <f>AVERAGEIF(Table1[CountryCode],Table1[[#This Row],[CountryCode]],Table1[z-score])</f>
        <v>-3.9589438634764836E-2</v>
      </c>
      <c r="L8434" t="e">
        <f>VLOOKUP(Table1[[#This Row],[CountryCode]],[1]!Table1[#All],1,FALSE)</f>
        <v>#REF!</v>
      </c>
    </row>
    <row r="8435" spans="1:12" hidden="1" x14ac:dyDescent="0.3">
      <c r="A8435" t="s">
        <v>47</v>
      </c>
      <c r="B8435" t="s">
        <v>48</v>
      </c>
      <c r="C8435" t="s">
        <v>129</v>
      </c>
      <c r="D8435" t="s">
        <v>130</v>
      </c>
      <c r="E8435">
        <v>1978</v>
      </c>
      <c r="F8435" s="1">
        <v>76</v>
      </c>
      <c r="G8435">
        <v>1980</v>
      </c>
      <c r="H8435">
        <f>AVERAGEIFS(Table1[value],Table1[IndicatorCode],Table1[[#This Row],[IndicatorCode]])</f>
        <v>72.66514008620689</v>
      </c>
      <c r="I8435" cm="1">
        <f t="array" ref="I8435">_xlfn.STDEV.P(IF(Table1[IndicatorCode]=Table1[[#This Row],[IndicatorCode]],Table1[value]))</f>
        <v>6.3409496564024987</v>
      </c>
      <c r="J8435">
        <f>(Table1[[#This Row],[value]] - Table1[[#This Row],[mean]]) / Table1[[#This Row],[std_dev]]</f>
        <v>0.52592436377820473</v>
      </c>
      <c r="K8435">
        <f>AVERAGEIF(Table1[CountryCode],Table1[[#This Row],[CountryCode]],Table1[z-score])</f>
        <v>-3.9589438634764836E-2</v>
      </c>
      <c r="L8435" t="e">
        <f>VLOOKUP(Table1[[#This Row],[CountryCode]],[1]!Table1[#All],1,FALSE)</f>
        <v>#REF!</v>
      </c>
    </row>
    <row r="8436" spans="1:12" hidden="1" x14ac:dyDescent="0.3">
      <c r="A8436" t="s">
        <v>47</v>
      </c>
      <c r="B8436" t="s">
        <v>48</v>
      </c>
      <c r="C8436" t="s">
        <v>129</v>
      </c>
      <c r="D8436" t="s">
        <v>130</v>
      </c>
      <c r="E8436">
        <v>1979</v>
      </c>
      <c r="F8436" s="1">
        <v>76</v>
      </c>
      <c r="G8436">
        <v>1980</v>
      </c>
      <c r="H8436">
        <f>AVERAGEIFS(Table1[value],Table1[IndicatorCode],Table1[[#This Row],[IndicatorCode]])</f>
        <v>72.66514008620689</v>
      </c>
      <c r="I8436" cm="1">
        <f t="array" ref="I8436">_xlfn.STDEV.P(IF(Table1[IndicatorCode]=Table1[[#This Row],[IndicatorCode]],Table1[value]))</f>
        <v>6.3409496564024987</v>
      </c>
      <c r="J8436">
        <f>(Table1[[#This Row],[value]] - Table1[[#This Row],[mean]]) / Table1[[#This Row],[std_dev]]</f>
        <v>0.52592436377820473</v>
      </c>
      <c r="K8436">
        <f>AVERAGEIF(Table1[CountryCode],Table1[[#This Row],[CountryCode]],Table1[z-score])</f>
        <v>-3.9589438634764836E-2</v>
      </c>
      <c r="L8436" t="e">
        <f>VLOOKUP(Table1[[#This Row],[CountryCode]],[1]!Table1[#All],1,FALSE)</f>
        <v>#REF!</v>
      </c>
    </row>
    <row r="8437" spans="1:12" hidden="1" x14ac:dyDescent="0.3">
      <c r="A8437" t="s">
        <v>47</v>
      </c>
      <c r="B8437" t="s">
        <v>48</v>
      </c>
      <c r="C8437" t="s">
        <v>129</v>
      </c>
      <c r="D8437" t="s">
        <v>130</v>
      </c>
      <c r="E8437">
        <v>1980</v>
      </c>
      <c r="F8437" s="1">
        <v>76</v>
      </c>
      <c r="G8437">
        <v>1980</v>
      </c>
      <c r="H8437">
        <f>AVERAGEIFS(Table1[value],Table1[IndicatorCode],Table1[[#This Row],[IndicatorCode]])</f>
        <v>72.66514008620689</v>
      </c>
      <c r="I8437" cm="1">
        <f t="array" ref="I8437">_xlfn.STDEV.P(IF(Table1[IndicatorCode]=Table1[[#This Row],[IndicatorCode]],Table1[value]))</f>
        <v>6.3409496564024987</v>
      </c>
      <c r="J8437">
        <f>(Table1[[#This Row],[value]] - Table1[[#This Row],[mean]]) / Table1[[#This Row],[std_dev]]</f>
        <v>0.52592436377820473</v>
      </c>
      <c r="K8437">
        <f>AVERAGEIF(Table1[CountryCode],Table1[[#This Row],[CountryCode]],Table1[z-score])</f>
        <v>-3.9589438634764836E-2</v>
      </c>
      <c r="L8437" t="e">
        <f>VLOOKUP(Table1[[#This Row],[CountryCode]],[1]!Table1[#All],1,FALSE)</f>
        <v>#REF!</v>
      </c>
    </row>
    <row r="8438" spans="1:12" hidden="1" x14ac:dyDescent="0.3">
      <c r="A8438" t="s">
        <v>47</v>
      </c>
      <c r="B8438" t="s">
        <v>48</v>
      </c>
      <c r="C8438" t="s">
        <v>129</v>
      </c>
      <c r="D8438" t="s">
        <v>130</v>
      </c>
      <c r="E8438">
        <v>1981</v>
      </c>
      <c r="F8438" s="1">
        <v>76</v>
      </c>
      <c r="G8438">
        <v>1980</v>
      </c>
      <c r="H8438">
        <f>AVERAGEIFS(Table1[value],Table1[IndicatorCode],Table1[[#This Row],[IndicatorCode]])</f>
        <v>72.66514008620689</v>
      </c>
      <c r="I8438" cm="1">
        <f t="array" ref="I8438">_xlfn.STDEV.P(IF(Table1[IndicatorCode]=Table1[[#This Row],[IndicatorCode]],Table1[value]))</f>
        <v>6.3409496564024987</v>
      </c>
      <c r="J8438">
        <f>(Table1[[#This Row],[value]] - Table1[[#This Row],[mean]]) / Table1[[#This Row],[std_dev]]</f>
        <v>0.52592436377820473</v>
      </c>
      <c r="K8438">
        <f>AVERAGEIF(Table1[CountryCode],Table1[[#This Row],[CountryCode]],Table1[z-score])</f>
        <v>-3.9589438634764836E-2</v>
      </c>
      <c r="L8438" t="e">
        <f>VLOOKUP(Table1[[#This Row],[CountryCode]],[1]!Table1[#All],1,FALSE)</f>
        <v>#REF!</v>
      </c>
    </row>
    <row r="8439" spans="1:12" hidden="1" x14ac:dyDescent="0.3">
      <c r="A8439" t="s">
        <v>47</v>
      </c>
      <c r="B8439" t="s">
        <v>48</v>
      </c>
      <c r="C8439" t="s">
        <v>129</v>
      </c>
      <c r="D8439" t="s">
        <v>130</v>
      </c>
      <c r="E8439">
        <v>1982</v>
      </c>
      <c r="F8439" s="1">
        <v>76</v>
      </c>
      <c r="G8439">
        <v>1980</v>
      </c>
      <c r="H8439">
        <f>AVERAGEIFS(Table1[value],Table1[IndicatorCode],Table1[[#This Row],[IndicatorCode]])</f>
        <v>72.66514008620689</v>
      </c>
      <c r="I8439" cm="1">
        <f t="array" ref="I8439">_xlfn.STDEV.P(IF(Table1[IndicatorCode]=Table1[[#This Row],[IndicatorCode]],Table1[value]))</f>
        <v>6.3409496564024987</v>
      </c>
      <c r="J8439">
        <f>(Table1[[#This Row],[value]] - Table1[[#This Row],[mean]]) / Table1[[#This Row],[std_dev]]</f>
        <v>0.52592436377820473</v>
      </c>
      <c r="K8439">
        <f>AVERAGEIF(Table1[CountryCode],Table1[[#This Row],[CountryCode]],Table1[z-score])</f>
        <v>-3.9589438634764836E-2</v>
      </c>
      <c r="L8439" t="e">
        <f>VLOOKUP(Table1[[#This Row],[CountryCode]],[1]!Table1[#All],1,FALSE)</f>
        <v>#REF!</v>
      </c>
    </row>
    <row r="8440" spans="1:12" hidden="1" x14ac:dyDescent="0.3">
      <c r="A8440" t="s">
        <v>47</v>
      </c>
      <c r="B8440" t="s">
        <v>48</v>
      </c>
      <c r="C8440" t="s">
        <v>129</v>
      </c>
      <c r="D8440" t="s">
        <v>130</v>
      </c>
      <c r="E8440">
        <v>1983</v>
      </c>
      <c r="F8440" s="1">
        <v>76</v>
      </c>
      <c r="G8440">
        <v>1980</v>
      </c>
      <c r="H8440">
        <f>AVERAGEIFS(Table1[value],Table1[IndicatorCode],Table1[[#This Row],[IndicatorCode]])</f>
        <v>72.66514008620689</v>
      </c>
      <c r="I8440" cm="1">
        <f t="array" ref="I8440">_xlfn.STDEV.P(IF(Table1[IndicatorCode]=Table1[[#This Row],[IndicatorCode]],Table1[value]))</f>
        <v>6.3409496564024987</v>
      </c>
      <c r="J8440">
        <f>(Table1[[#This Row],[value]] - Table1[[#This Row],[mean]]) / Table1[[#This Row],[std_dev]]</f>
        <v>0.52592436377820473</v>
      </c>
      <c r="K8440">
        <f>AVERAGEIF(Table1[CountryCode],Table1[[#This Row],[CountryCode]],Table1[z-score])</f>
        <v>-3.9589438634764836E-2</v>
      </c>
      <c r="L8440" t="e">
        <f>VLOOKUP(Table1[[#This Row],[CountryCode]],[1]!Table1[#All],1,FALSE)</f>
        <v>#REF!</v>
      </c>
    </row>
    <row r="8441" spans="1:12" hidden="1" x14ac:dyDescent="0.3">
      <c r="A8441" t="s">
        <v>47</v>
      </c>
      <c r="B8441" t="s">
        <v>48</v>
      </c>
      <c r="C8441" t="s">
        <v>129</v>
      </c>
      <c r="D8441" t="s">
        <v>130</v>
      </c>
      <c r="E8441">
        <v>1984</v>
      </c>
      <c r="F8441" s="1">
        <v>76</v>
      </c>
      <c r="G8441">
        <v>1980</v>
      </c>
      <c r="H8441">
        <f>AVERAGEIFS(Table1[value],Table1[IndicatorCode],Table1[[#This Row],[IndicatorCode]])</f>
        <v>72.66514008620689</v>
      </c>
      <c r="I8441" cm="1">
        <f t="array" ref="I8441">_xlfn.STDEV.P(IF(Table1[IndicatorCode]=Table1[[#This Row],[IndicatorCode]],Table1[value]))</f>
        <v>6.3409496564024987</v>
      </c>
      <c r="J8441">
        <f>(Table1[[#This Row],[value]] - Table1[[#This Row],[mean]]) / Table1[[#This Row],[std_dev]]</f>
        <v>0.52592436377820473</v>
      </c>
      <c r="K8441">
        <f>AVERAGEIF(Table1[CountryCode],Table1[[#This Row],[CountryCode]],Table1[z-score])</f>
        <v>-3.9589438634764836E-2</v>
      </c>
      <c r="L8441" t="e">
        <f>VLOOKUP(Table1[[#This Row],[CountryCode]],[1]!Table1[#All],1,FALSE)</f>
        <v>#REF!</v>
      </c>
    </row>
    <row r="8442" spans="1:12" hidden="1" x14ac:dyDescent="0.3">
      <c r="A8442" t="s">
        <v>47</v>
      </c>
      <c r="B8442" t="s">
        <v>48</v>
      </c>
      <c r="C8442" t="s">
        <v>129</v>
      </c>
      <c r="D8442" t="s">
        <v>130</v>
      </c>
      <c r="E8442">
        <v>1985</v>
      </c>
      <c r="F8442" s="1">
        <v>76</v>
      </c>
      <c r="G8442">
        <v>1980</v>
      </c>
      <c r="H8442">
        <f>AVERAGEIFS(Table1[value],Table1[IndicatorCode],Table1[[#This Row],[IndicatorCode]])</f>
        <v>72.66514008620689</v>
      </c>
      <c r="I8442" cm="1">
        <f t="array" ref="I8442">_xlfn.STDEV.P(IF(Table1[IndicatorCode]=Table1[[#This Row],[IndicatorCode]],Table1[value]))</f>
        <v>6.3409496564024987</v>
      </c>
      <c r="J8442">
        <f>(Table1[[#This Row],[value]] - Table1[[#This Row],[mean]]) / Table1[[#This Row],[std_dev]]</f>
        <v>0.52592436377820473</v>
      </c>
      <c r="K8442">
        <f>AVERAGEIF(Table1[CountryCode],Table1[[#This Row],[CountryCode]],Table1[z-score])</f>
        <v>-3.9589438634764836E-2</v>
      </c>
      <c r="L8442" t="e">
        <f>VLOOKUP(Table1[[#This Row],[CountryCode]],[1]!Table1[#All],1,FALSE)</f>
        <v>#REF!</v>
      </c>
    </row>
    <row r="8443" spans="1:12" hidden="1" x14ac:dyDescent="0.3">
      <c r="A8443" t="s">
        <v>47</v>
      </c>
      <c r="B8443" t="s">
        <v>48</v>
      </c>
      <c r="C8443" t="s">
        <v>129</v>
      </c>
      <c r="D8443" t="s">
        <v>130</v>
      </c>
      <c r="E8443">
        <v>1986</v>
      </c>
      <c r="F8443" s="1">
        <v>75</v>
      </c>
      <c r="G8443">
        <v>1980</v>
      </c>
      <c r="H8443">
        <f>AVERAGEIFS(Table1[value],Table1[IndicatorCode],Table1[[#This Row],[IndicatorCode]])</f>
        <v>72.66514008620689</v>
      </c>
      <c r="I8443" cm="1">
        <f t="array" ref="I8443">_xlfn.STDEV.P(IF(Table1[IndicatorCode]=Table1[[#This Row],[IndicatorCode]],Table1[value]))</f>
        <v>6.3409496564024987</v>
      </c>
      <c r="J8443">
        <f>(Table1[[#This Row],[value]] - Table1[[#This Row],[mean]]) / Table1[[#This Row],[std_dev]]</f>
        <v>0.36821927949476574</v>
      </c>
      <c r="K8443">
        <f>AVERAGEIF(Table1[CountryCode],Table1[[#This Row],[CountryCode]],Table1[z-score])</f>
        <v>-3.9589438634764836E-2</v>
      </c>
      <c r="L8443" t="e">
        <f>VLOOKUP(Table1[[#This Row],[CountryCode]],[1]!Table1[#All],1,FALSE)</f>
        <v>#REF!</v>
      </c>
    </row>
    <row r="8444" spans="1:12" hidden="1" x14ac:dyDescent="0.3">
      <c r="A8444" t="s">
        <v>47</v>
      </c>
      <c r="B8444" t="s">
        <v>48</v>
      </c>
      <c r="C8444" t="s">
        <v>129</v>
      </c>
      <c r="D8444" t="s">
        <v>130</v>
      </c>
      <c r="E8444">
        <v>1987</v>
      </c>
      <c r="F8444" s="1">
        <v>75</v>
      </c>
      <c r="G8444">
        <v>1990</v>
      </c>
      <c r="H8444">
        <f>AVERAGEIFS(Table1[value],Table1[IndicatorCode],Table1[[#This Row],[IndicatorCode]])</f>
        <v>72.66514008620689</v>
      </c>
      <c r="I8444" cm="1">
        <f t="array" ref="I8444">_xlfn.STDEV.P(IF(Table1[IndicatorCode]=Table1[[#This Row],[IndicatorCode]],Table1[value]))</f>
        <v>6.3409496564024987</v>
      </c>
      <c r="J8444">
        <f>(Table1[[#This Row],[value]] - Table1[[#This Row],[mean]]) / Table1[[#This Row],[std_dev]]</f>
        <v>0.36821927949476574</v>
      </c>
      <c r="K8444">
        <f>AVERAGEIF(Table1[CountryCode],Table1[[#This Row],[CountryCode]],Table1[z-score])</f>
        <v>-3.9589438634764836E-2</v>
      </c>
      <c r="L8444" t="e">
        <f>VLOOKUP(Table1[[#This Row],[CountryCode]],[1]!Table1[#All],1,FALSE)</f>
        <v>#REF!</v>
      </c>
    </row>
    <row r="8445" spans="1:12" hidden="1" x14ac:dyDescent="0.3">
      <c r="A8445" t="s">
        <v>47</v>
      </c>
      <c r="B8445" t="s">
        <v>48</v>
      </c>
      <c r="C8445" t="s">
        <v>129</v>
      </c>
      <c r="D8445" t="s">
        <v>130</v>
      </c>
      <c r="E8445">
        <v>1988</v>
      </c>
      <c r="F8445" s="1">
        <v>76</v>
      </c>
      <c r="G8445">
        <v>1990</v>
      </c>
      <c r="H8445">
        <f>AVERAGEIFS(Table1[value],Table1[IndicatorCode],Table1[[#This Row],[IndicatorCode]])</f>
        <v>72.66514008620689</v>
      </c>
      <c r="I8445" cm="1">
        <f t="array" ref="I8445">_xlfn.STDEV.P(IF(Table1[IndicatorCode]=Table1[[#This Row],[IndicatorCode]],Table1[value]))</f>
        <v>6.3409496564024987</v>
      </c>
      <c r="J8445">
        <f>(Table1[[#This Row],[value]] - Table1[[#This Row],[mean]]) / Table1[[#This Row],[std_dev]]</f>
        <v>0.52592436377820473</v>
      </c>
      <c r="K8445">
        <f>AVERAGEIF(Table1[CountryCode],Table1[[#This Row],[CountryCode]],Table1[z-score])</f>
        <v>-3.9589438634764836E-2</v>
      </c>
      <c r="L8445" t="e">
        <f>VLOOKUP(Table1[[#This Row],[CountryCode]],[1]!Table1[#All],1,FALSE)</f>
        <v>#REF!</v>
      </c>
    </row>
    <row r="8446" spans="1:12" hidden="1" x14ac:dyDescent="0.3">
      <c r="A8446" t="s">
        <v>47</v>
      </c>
      <c r="B8446" t="s">
        <v>48</v>
      </c>
      <c r="C8446" t="s">
        <v>129</v>
      </c>
      <c r="D8446" t="s">
        <v>130</v>
      </c>
      <c r="E8446">
        <v>1989</v>
      </c>
      <c r="F8446" s="1">
        <v>76</v>
      </c>
      <c r="G8446">
        <v>1990</v>
      </c>
      <c r="H8446">
        <f>AVERAGEIFS(Table1[value],Table1[IndicatorCode],Table1[[#This Row],[IndicatorCode]])</f>
        <v>72.66514008620689</v>
      </c>
      <c r="I8446" cm="1">
        <f t="array" ref="I8446">_xlfn.STDEV.P(IF(Table1[IndicatorCode]=Table1[[#This Row],[IndicatorCode]],Table1[value]))</f>
        <v>6.3409496564024987</v>
      </c>
      <c r="J8446">
        <f>(Table1[[#This Row],[value]] - Table1[[#This Row],[mean]]) / Table1[[#This Row],[std_dev]]</f>
        <v>0.52592436377820473</v>
      </c>
      <c r="K8446">
        <f>AVERAGEIF(Table1[CountryCode],Table1[[#This Row],[CountryCode]],Table1[z-score])</f>
        <v>-3.9589438634764836E-2</v>
      </c>
      <c r="L8446" t="e">
        <f>VLOOKUP(Table1[[#This Row],[CountryCode]],[1]!Table1[#All],1,FALSE)</f>
        <v>#REF!</v>
      </c>
    </row>
    <row r="8447" spans="1:12" hidden="1" x14ac:dyDescent="0.3">
      <c r="A8447" t="s">
        <v>47</v>
      </c>
      <c r="B8447" t="s">
        <v>48</v>
      </c>
      <c r="C8447" t="s">
        <v>129</v>
      </c>
      <c r="D8447" t="s">
        <v>130</v>
      </c>
      <c r="E8447">
        <v>1990</v>
      </c>
      <c r="F8447" s="1">
        <v>76</v>
      </c>
      <c r="G8447">
        <v>1990</v>
      </c>
      <c r="H8447">
        <f>AVERAGEIFS(Table1[value],Table1[IndicatorCode],Table1[[#This Row],[IndicatorCode]])</f>
        <v>72.66514008620689</v>
      </c>
      <c r="I8447" cm="1">
        <f t="array" ref="I8447">_xlfn.STDEV.P(IF(Table1[IndicatorCode]=Table1[[#This Row],[IndicatorCode]],Table1[value]))</f>
        <v>6.3409496564024987</v>
      </c>
      <c r="J8447">
        <f>(Table1[[#This Row],[value]] - Table1[[#This Row],[mean]]) / Table1[[#This Row],[std_dev]]</f>
        <v>0.52592436377820473</v>
      </c>
      <c r="K8447">
        <f>AVERAGEIF(Table1[CountryCode],Table1[[#This Row],[CountryCode]],Table1[z-score])</f>
        <v>-3.9589438634764836E-2</v>
      </c>
      <c r="L8447" t="e">
        <f>VLOOKUP(Table1[[#This Row],[CountryCode]],[1]!Table1[#All],1,FALSE)</f>
        <v>#REF!</v>
      </c>
    </row>
    <row r="8448" spans="1:12" hidden="1" x14ac:dyDescent="0.3">
      <c r="A8448" t="s">
        <v>47</v>
      </c>
      <c r="B8448" t="s">
        <v>48</v>
      </c>
      <c r="C8448" t="s">
        <v>129</v>
      </c>
      <c r="D8448" t="s">
        <v>130</v>
      </c>
      <c r="E8448">
        <v>1991</v>
      </c>
      <c r="F8448" s="1">
        <v>76</v>
      </c>
      <c r="G8448">
        <v>1990</v>
      </c>
      <c r="H8448">
        <f>AVERAGEIFS(Table1[value],Table1[IndicatorCode],Table1[[#This Row],[IndicatorCode]])</f>
        <v>72.66514008620689</v>
      </c>
      <c r="I8448" cm="1">
        <f t="array" ref="I8448">_xlfn.STDEV.P(IF(Table1[IndicatorCode]=Table1[[#This Row],[IndicatorCode]],Table1[value]))</f>
        <v>6.3409496564024987</v>
      </c>
      <c r="J8448">
        <f>(Table1[[#This Row],[value]] - Table1[[#This Row],[mean]]) / Table1[[#This Row],[std_dev]]</f>
        <v>0.52592436377820473</v>
      </c>
      <c r="K8448">
        <f>AVERAGEIF(Table1[CountryCode],Table1[[#This Row],[CountryCode]],Table1[z-score])</f>
        <v>-3.9589438634764836E-2</v>
      </c>
      <c r="L8448" t="e">
        <f>VLOOKUP(Table1[[#This Row],[CountryCode]],[1]!Table1[#All],1,FALSE)</f>
        <v>#REF!</v>
      </c>
    </row>
    <row r="8449" spans="1:12" hidden="1" x14ac:dyDescent="0.3">
      <c r="A8449" t="s">
        <v>47</v>
      </c>
      <c r="B8449" t="s">
        <v>48</v>
      </c>
      <c r="C8449" t="s">
        <v>129</v>
      </c>
      <c r="D8449" t="s">
        <v>130</v>
      </c>
      <c r="E8449">
        <v>1992</v>
      </c>
      <c r="F8449" s="1">
        <v>77</v>
      </c>
      <c r="G8449">
        <v>1990</v>
      </c>
      <c r="H8449">
        <f>AVERAGEIFS(Table1[value],Table1[IndicatorCode],Table1[[#This Row],[IndicatorCode]])</f>
        <v>72.66514008620689</v>
      </c>
      <c r="I8449" cm="1">
        <f t="array" ref="I8449">_xlfn.STDEV.P(IF(Table1[IndicatorCode]=Table1[[#This Row],[IndicatorCode]],Table1[value]))</f>
        <v>6.3409496564024987</v>
      </c>
      <c r="J8449">
        <f>(Table1[[#This Row],[value]] - Table1[[#This Row],[mean]]) / Table1[[#This Row],[std_dev]]</f>
        <v>0.68362944806164383</v>
      </c>
      <c r="K8449">
        <f>AVERAGEIF(Table1[CountryCode],Table1[[#This Row],[CountryCode]],Table1[z-score])</f>
        <v>-3.9589438634764836E-2</v>
      </c>
      <c r="L8449" t="e">
        <f>VLOOKUP(Table1[[#This Row],[CountryCode]],[1]!Table1[#All],1,FALSE)</f>
        <v>#REF!</v>
      </c>
    </row>
    <row r="8450" spans="1:12" hidden="1" x14ac:dyDescent="0.3">
      <c r="A8450" t="s">
        <v>47</v>
      </c>
      <c r="B8450" t="s">
        <v>48</v>
      </c>
      <c r="C8450" t="s">
        <v>129</v>
      </c>
      <c r="D8450" t="s">
        <v>130</v>
      </c>
      <c r="E8450">
        <v>1993</v>
      </c>
      <c r="F8450" s="1">
        <v>77</v>
      </c>
      <c r="G8450">
        <v>1990</v>
      </c>
      <c r="H8450">
        <f>AVERAGEIFS(Table1[value],Table1[IndicatorCode],Table1[[#This Row],[IndicatorCode]])</f>
        <v>72.66514008620689</v>
      </c>
      <c r="I8450" cm="1">
        <f t="array" ref="I8450">_xlfn.STDEV.P(IF(Table1[IndicatorCode]=Table1[[#This Row],[IndicatorCode]],Table1[value]))</f>
        <v>6.3409496564024987</v>
      </c>
      <c r="J8450">
        <f>(Table1[[#This Row],[value]] - Table1[[#This Row],[mean]]) / Table1[[#This Row],[std_dev]]</f>
        <v>0.68362944806164383</v>
      </c>
      <c r="K8450">
        <f>AVERAGEIF(Table1[CountryCode],Table1[[#This Row],[CountryCode]],Table1[z-score])</f>
        <v>-3.9589438634764836E-2</v>
      </c>
      <c r="L8450" t="e">
        <f>VLOOKUP(Table1[[#This Row],[CountryCode]],[1]!Table1[#All],1,FALSE)</f>
        <v>#REF!</v>
      </c>
    </row>
    <row r="8451" spans="1:12" hidden="1" x14ac:dyDescent="0.3">
      <c r="A8451" t="s">
        <v>47</v>
      </c>
      <c r="B8451" t="s">
        <v>48</v>
      </c>
      <c r="C8451" t="s">
        <v>129</v>
      </c>
      <c r="D8451" t="s">
        <v>130</v>
      </c>
      <c r="E8451">
        <v>1994</v>
      </c>
      <c r="F8451" s="1">
        <v>77</v>
      </c>
      <c r="G8451">
        <v>1990</v>
      </c>
      <c r="H8451">
        <f>AVERAGEIFS(Table1[value],Table1[IndicatorCode],Table1[[#This Row],[IndicatorCode]])</f>
        <v>72.66514008620689</v>
      </c>
      <c r="I8451" cm="1">
        <f t="array" ref="I8451">_xlfn.STDEV.P(IF(Table1[IndicatorCode]=Table1[[#This Row],[IndicatorCode]],Table1[value]))</f>
        <v>6.3409496564024987</v>
      </c>
      <c r="J8451">
        <f>(Table1[[#This Row],[value]] - Table1[[#This Row],[mean]]) / Table1[[#This Row],[std_dev]]</f>
        <v>0.68362944806164383</v>
      </c>
      <c r="K8451">
        <f>AVERAGEIF(Table1[CountryCode],Table1[[#This Row],[CountryCode]],Table1[z-score])</f>
        <v>-3.9589438634764836E-2</v>
      </c>
      <c r="L8451" t="e">
        <f>VLOOKUP(Table1[[#This Row],[CountryCode]],[1]!Table1[#All],1,FALSE)</f>
        <v>#REF!</v>
      </c>
    </row>
    <row r="8452" spans="1:12" hidden="1" x14ac:dyDescent="0.3">
      <c r="A8452" t="s">
        <v>47</v>
      </c>
      <c r="B8452" t="s">
        <v>48</v>
      </c>
      <c r="C8452" t="s">
        <v>129</v>
      </c>
      <c r="D8452" t="s">
        <v>130</v>
      </c>
      <c r="E8452">
        <v>1995</v>
      </c>
      <c r="F8452" s="1">
        <v>77</v>
      </c>
      <c r="G8452">
        <v>1990</v>
      </c>
      <c r="H8452">
        <f>AVERAGEIFS(Table1[value],Table1[IndicatorCode],Table1[[#This Row],[IndicatorCode]])</f>
        <v>72.66514008620689</v>
      </c>
      <c r="I8452" cm="1">
        <f t="array" ref="I8452">_xlfn.STDEV.P(IF(Table1[IndicatorCode]=Table1[[#This Row],[IndicatorCode]],Table1[value]))</f>
        <v>6.3409496564024987</v>
      </c>
      <c r="J8452">
        <f>(Table1[[#This Row],[value]] - Table1[[#This Row],[mean]]) / Table1[[#This Row],[std_dev]]</f>
        <v>0.68362944806164383</v>
      </c>
      <c r="K8452">
        <f>AVERAGEIF(Table1[CountryCode],Table1[[#This Row],[CountryCode]],Table1[z-score])</f>
        <v>-3.9589438634764836E-2</v>
      </c>
      <c r="L8452" t="e">
        <f>VLOOKUP(Table1[[#This Row],[CountryCode]],[1]!Table1[#All],1,FALSE)</f>
        <v>#REF!</v>
      </c>
    </row>
    <row r="8453" spans="1:12" hidden="1" x14ac:dyDescent="0.3">
      <c r="A8453" t="s">
        <v>47</v>
      </c>
      <c r="B8453" t="s">
        <v>48</v>
      </c>
      <c r="C8453" t="s">
        <v>129</v>
      </c>
      <c r="D8453" t="s">
        <v>130</v>
      </c>
      <c r="E8453">
        <v>1996</v>
      </c>
      <c r="F8453" s="1">
        <v>78</v>
      </c>
      <c r="G8453">
        <v>1990</v>
      </c>
      <c r="H8453">
        <f>AVERAGEIFS(Table1[value],Table1[IndicatorCode],Table1[[#This Row],[IndicatorCode]])</f>
        <v>72.66514008620689</v>
      </c>
      <c r="I8453" cm="1">
        <f t="array" ref="I8453">_xlfn.STDEV.P(IF(Table1[IndicatorCode]=Table1[[#This Row],[IndicatorCode]],Table1[value]))</f>
        <v>6.3409496564024987</v>
      </c>
      <c r="J8453">
        <f>(Table1[[#This Row],[value]] - Table1[[#This Row],[mean]]) / Table1[[#This Row],[std_dev]]</f>
        <v>0.84133453234508293</v>
      </c>
      <c r="K8453">
        <f>AVERAGEIF(Table1[CountryCode],Table1[[#This Row],[CountryCode]],Table1[z-score])</f>
        <v>-3.9589438634764836E-2</v>
      </c>
      <c r="L8453" t="e">
        <f>VLOOKUP(Table1[[#This Row],[CountryCode]],[1]!Table1[#All],1,FALSE)</f>
        <v>#REF!</v>
      </c>
    </row>
    <row r="8454" spans="1:12" hidden="1" x14ac:dyDescent="0.3">
      <c r="A8454" t="s">
        <v>47</v>
      </c>
      <c r="B8454" t="s">
        <v>48</v>
      </c>
      <c r="C8454" t="s">
        <v>129</v>
      </c>
      <c r="D8454" t="s">
        <v>130</v>
      </c>
      <c r="E8454">
        <v>1997</v>
      </c>
      <c r="F8454" s="1">
        <v>78</v>
      </c>
      <c r="G8454">
        <v>2000</v>
      </c>
      <c r="H8454">
        <f>AVERAGEIFS(Table1[value],Table1[IndicatorCode],Table1[[#This Row],[IndicatorCode]])</f>
        <v>72.66514008620689</v>
      </c>
      <c r="I8454" cm="1">
        <f t="array" ref="I8454">_xlfn.STDEV.P(IF(Table1[IndicatorCode]=Table1[[#This Row],[IndicatorCode]],Table1[value]))</f>
        <v>6.3409496564024987</v>
      </c>
      <c r="J8454">
        <f>(Table1[[#This Row],[value]] - Table1[[#This Row],[mean]]) / Table1[[#This Row],[std_dev]]</f>
        <v>0.84133453234508293</v>
      </c>
      <c r="K8454">
        <f>AVERAGEIF(Table1[CountryCode],Table1[[#This Row],[CountryCode]],Table1[z-score])</f>
        <v>-3.9589438634764836E-2</v>
      </c>
      <c r="L8454" t="e">
        <f>VLOOKUP(Table1[[#This Row],[CountryCode]],[1]!Table1[#All],1,FALSE)</f>
        <v>#REF!</v>
      </c>
    </row>
    <row r="8455" spans="1:12" hidden="1" x14ac:dyDescent="0.3">
      <c r="A8455" t="s">
        <v>47</v>
      </c>
      <c r="B8455" t="s">
        <v>48</v>
      </c>
      <c r="C8455" t="s">
        <v>129</v>
      </c>
      <c r="D8455" t="s">
        <v>130</v>
      </c>
      <c r="E8455">
        <v>1998</v>
      </c>
      <c r="F8455" s="1">
        <v>78</v>
      </c>
      <c r="G8455">
        <v>2000</v>
      </c>
      <c r="H8455">
        <f>AVERAGEIFS(Table1[value],Table1[IndicatorCode],Table1[[#This Row],[IndicatorCode]])</f>
        <v>72.66514008620689</v>
      </c>
      <c r="I8455" cm="1">
        <f t="array" ref="I8455">_xlfn.STDEV.P(IF(Table1[IndicatorCode]=Table1[[#This Row],[IndicatorCode]],Table1[value]))</f>
        <v>6.3409496564024987</v>
      </c>
      <c r="J8455">
        <f>(Table1[[#This Row],[value]] - Table1[[#This Row],[mean]]) / Table1[[#This Row],[std_dev]]</f>
        <v>0.84133453234508293</v>
      </c>
      <c r="K8455">
        <f>AVERAGEIF(Table1[CountryCode],Table1[[#This Row],[CountryCode]],Table1[z-score])</f>
        <v>-3.9589438634764836E-2</v>
      </c>
      <c r="L8455" t="e">
        <f>VLOOKUP(Table1[[#This Row],[CountryCode]],[1]!Table1[#All],1,FALSE)</f>
        <v>#REF!</v>
      </c>
    </row>
    <row r="8456" spans="1:12" hidden="1" x14ac:dyDescent="0.3">
      <c r="A8456" t="s">
        <v>47</v>
      </c>
      <c r="B8456" t="s">
        <v>48</v>
      </c>
      <c r="C8456" t="s">
        <v>129</v>
      </c>
      <c r="D8456" t="s">
        <v>130</v>
      </c>
      <c r="E8456">
        <v>1999</v>
      </c>
      <c r="F8456" s="1">
        <v>78</v>
      </c>
      <c r="G8456">
        <v>2000</v>
      </c>
      <c r="H8456">
        <f>AVERAGEIFS(Table1[value],Table1[IndicatorCode],Table1[[#This Row],[IndicatorCode]])</f>
        <v>72.66514008620689</v>
      </c>
      <c r="I8456" cm="1">
        <f t="array" ref="I8456">_xlfn.STDEV.P(IF(Table1[IndicatorCode]=Table1[[#This Row],[IndicatorCode]],Table1[value]))</f>
        <v>6.3409496564024987</v>
      </c>
      <c r="J8456">
        <f>(Table1[[#This Row],[value]] - Table1[[#This Row],[mean]]) / Table1[[#This Row],[std_dev]]</f>
        <v>0.84133453234508293</v>
      </c>
      <c r="K8456">
        <f>AVERAGEIF(Table1[CountryCode],Table1[[#This Row],[CountryCode]],Table1[z-score])</f>
        <v>-3.9589438634764836E-2</v>
      </c>
      <c r="L8456" t="e">
        <f>VLOOKUP(Table1[[#This Row],[CountryCode]],[1]!Table1[#All],1,FALSE)</f>
        <v>#REF!</v>
      </c>
    </row>
    <row r="8457" spans="1:12" hidden="1" x14ac:dyDescent="0.3">
      <c r="A8457" t="s">
        <v>47</v>
      </c>
      <c r="B8457" t="s">
        <v>48</v>
      </c>
      <c r="C8457" t="s">
        <v>129</v>
      </c>
      <c r="D8457" t="s">
        <v>130</v>
      </c>
      <c r="E8457">
        <v>2000</v>
      </c>
      <c r="F8457" s="1">
        <v>78</v>
      </c>
      <c r="G8457">
        <v>2000</v>
      </c>
      <c r="H8457">
        <f>AVERAGEIFS(Table1[value],Table1[IndicatorCode],Table1[[#This Row],[IndicatorCode]])</f>
        <v>72.66514008620689</v>
      </c>
      <c r="I8457" cm="1">
        <f t="array" ref="I8457">_xlfn.STDEV.P(IF(Table1[IndicatorCode]=Table1[[#This Row],[IndicatorCode]],Table1[value]))</f>
        <v>6.3409496564024987</v>
      </c>
      <c r="J8457">
        <f>(Table1[[#This Row],[value]] - Table1[[#This Row],[mean]]) / Table1[[#This Row],[std_dev]]</f>
        <v>0.84133453234508293</v>
      </c>
      <c r="K8457">
        <f>AVERAGEIF(Table1[CountryCode],Table1[[#This Row],[CountryCode]],Table1[z-score])</f>
        <v>-3.9589438634764836E-2</v>
      </c>
      <c r="L8457" t="e">
        <f>VLOOKUP(Table1[[#This Row],[CountryCode]],[1]!Table1[#All],1,FALSE)</f>
        <v>#REF!</v>
      </c>
    </row>
    <row r="8458" spans="1:12" hidden="1" x14ac:dyDescent="0.3">
      <c r="A8458" t="s">
        <v>47</v>
      </c>
      <c r="B8458" t="s">
        <v>48</v>
      </c>
      <c r="C8458" t="s">
        <v>129</v>
      </c>
      <c r="D8458" t="s">
        <v>130</v>
      </c>
      <c r="E8458">
        <v>2001</v>
      </c>
      <c r="F8458" s="1">
        <v>79</v>
      </c>
      <c r="G8458">
        <v>2000</v>
      </c>
      <c r="H8458">
        <f>AVERAGEIFS(Table1[value],Table1[IndicatorCode],Table1[[#This Row],[IndicatorCode]])</f>
        <v>72.66514008620689</v>
      </c>
      <c r="I8458" cm="1">
        <f t="array" ref="I8458">_xlfn.STDEV.P(IF(Table1[IndicatorCode]=Table1[[#This Row],[IndicatorCode]],Table1[value]))</f>
        <v>6.3409496564024987</v>
      </c>
      <c r="J8458">
        <f>(Table1[[#This Row],[value]] - Table1[[#This Row],[mean]]) / Table1[[#This Row],[std_dev]]</f>
        <v>0.99903961662852192</v>
      </c>
      <c r="K8458">
        <f>AVERAGEIF(Table1[CountryCode],Table1[[#This Row],[CountryCode]],Table1[z-score])</f>
        <v>-3.9589438634764836E-2</v>
      </c>
      <c r="L8458" t="e">
        <f>VLOOKUP(Table1[[#This Row],[CountryCode]],[1]!Table1[#All],1,FALSE)</f>
        <v>#REF!</v>
      </c>
    </row>
    <row r="8459" spans="1:12" hidden="1" x14ac:dyDescent="0.3">
      <c r="A8459" t="s">
        <v>47</v>
      </c>
      <c r="B8459" t="s">
        <v>48</v>
      </c>
      <c r="C8459" t="s">
        <v>129</v>
      </c>
      <c r="D8459" t="s">
        <v>130</v>
      </c>
      <c r="E8459">
        <v>2002</v>
      </c>
      <c r="F8459" s="1">
        <v>79</v>
      </c>
      <c r="G8459">
        <v>2000</v>
      </c>
      <c r="H8459">
        <f>AVERAGEIFS(Table1[value],Table1[IndicatorCode],Table1[[#This Row],[IndicatorCode]])</f>
        <v>72.66514008620689</v>
      </c>
      <c r="I8459" cm="1">
        <f t="array" ref="I8459">_xlfn.STDEV.P(IF(Table1[IndicatorCode]=Table1[[#This Row],[IndicatorCode]],Table1[value]))</f>
        <v>6.3409496564024987</v>
      </c>
      <c r="J8459">
        <f>(Table1[[#This Row],[value]] - Table1[[#This Row],[mean]]) / Table1[[#This Row],[std_dev]]</f>
        <v>0.99903961662852192</v>
      </c>
      <c r="K8459">
        <f>AVERAGEIF(Table1[CountryCode],Table1[[#This Row],[CountryCode]],Table1[z-score])</f>
        <v>-3.9589438634764836E-2</v>
      </c>
      <c r="L8459" t="e">
        <f>VLOOKUP(Table1[[#This Row],[CountryCode]],[1]!Table1[#All],1,FALSE)</f>
        <v>#REF!</v>
      </c>
    </row>
    <row r="8460" spans="1:12" hidden="1" x14ac:dyDescent="0.3">
      <c r="A8460" t="s">
        <v>47</v>
      </c>
      <c r="B8460" t="s">
        <v>48</v>
      </c>
      <c r="C8460" t="s">
        <v>129</v>
      </c>
      <c r="D8460" t="s">
        <v>130</v>
      </c>
      <c r="E8460">
        <v>2003</v>
      </c>
      <c r="F8460" s="1">
        <v>79</v>
      </c>
      <c r="G8460">
        <v>2000</v>
      </c>
      <c r="H8460">
        <f>AVERAGEIFS(Table1[value],Table1[IndicatorCode],Table1[[#This Row],[IndicatorCode]])</f>
        <v>72.66514008620689</v>
      </c>
      <c r="I8460" cm="1">
        <f t="array" ref="I8460">_xlfn.STDEV.P(IF(Table1[IndicatorCode]=Table1[[#This Row],[IndicatorCode]],Table1[value]))</f>
        <v>6.3409496564024987</v>
      </c>
      <c r="J8460">
        <f>(Table1[[#This Row],[value]] - Table1[[#This Row],[mean]]) / Table1[[#This Row],[std_dev]]</f>
        <v>0.99903961662852192</v>
      </c>
      <c r="K8460">
        <f>AVERAGEIF(Table1[CountryCode],Table1[[#This Row],[CountryCode]],Table1[z-score])</f>
        <v>-3.9589438634764836E-2</v>
      </c>
      <c r="L8460" t="e">
        <f>VLOOKUP(Table1[[#This Row],[CountryCode]],[1]!Table1[#All],1,FALSE)</f>
        <v>#REF!</v>
      </c>
    </row>
    <row r="8461" spans="1:12" hidden="1" x14ac:dyDescent="0.3">
      <c r="A8461" t="s">
        <v>47</v>
      </c>
      <c r="B8461" t="s">
        <v>48</v>
      </c>
      <c r="C8461" t="s">
        <v>129</v>
      </c>
      <c r="D8461" t="s">
        <v>130</v>
      </c>
      <c r="E8461">
        <v>2004</v>
      </c>
      <c r="F8461" s="1">
        <v>79</v>
      </c>
      <c r="G8461">
        <v>2000</v>
      </c>
      <c r="H8461">
        <f>AVERAGEIFS(Table1[value],Table1[IndicatorCode],Table1[[#This Row],[IndicatorCode]])</f>
        <v>72.66514008620689</v>
      </c>
      <c r="I8461" cm="1">
        <f t="array" ref="I8461">_xlfn.STDEV.P(IF(Table1[IndicatorCode]=Table1[[#This Row],[IndicatorCode]],Table1[value]))</f>
        <v>6.3409496564024987</v>
      </c>
      <c r="J8461">
        <f>(Table1[[#This Row],[value]] - Table1[[#This Row],[mean]]) / Table1[[#This Row],[std_dev]]</f>
        <v>0.99903961662852192</v>
      </c>
      <c r="K8461">
        <f>AVERAGEIF(Table1[CountryCode],Table1[[#This Row],[CountryCode]],Table1[z-score])</f>
        <v>-3.9589438634764836E-2</v>
      </c>
      <c r="L8461" t="e">
        <f>VLOOKUP(Table1[[#This Row],[CountryCode]],[1]!Table1[#All],1,FALSE)</f>
        <v>#REF!</v>
      </c>
    </row>
    <row r="8462" spans="1:12" hidden="1" x14ac:dyDescent="0.3">
      <c r="A8462" t="s">
        <v>47</v>
      </c>
      <c r="B8462" t="s">
        <v>48</v>
      </c>
      <c r="C8462" t="s">
        <v>129</v>
      </c>
      <c r="D8462" t="s">
        <v>130</v>
      </c>
      <c r="E8462">
        <v>2005</v>
      </c>
      <c r="F8462" s="1">
        <v>79</v>
      </c>
      <c r="G8462">
        <v>2000</v>
      </c>
      <c r="H8462">
        <f>AVERAGEIFS(Table1[value],Table1[IndicatorCode],Table1[[#This Row],[IndicatorCode]])</f>
        <v>72.66514008620689</v>
      </c>
      <c r="I8462" cm="1">
        <f t="array" ref="I8462">_xlfn.STDEV.P(IF(Table1[IndicatorCode]=Table1[[#This Row],[IndicatorCode]],Table1[value]))</f>
        <v>6.3409496564024987</v>
      </c>
      <c r="J8462">
        <f>(Table1[[#This Row],[value]] - Table1[[#This Row],[mean]]) / Table1[[#This Row],[std_dev]]</f>
        <v>0.99903961662852192</v>
      </c>
      <c r="K8462">
        <f>AVERAGEIF(Table1[CountryCode],Table1[[#This Row],[CountryCode]],Table1[z-score])</f>
        <v>-3.9589438634764836E-2</v>
      </c>
      <c r="L8462" t="e">
        <f>VLOOKUP(Table1[[#This Row],[CountryCode]],[1]!Table1[#All],1,FALSE)</f>
        <v>#REF!</v>
      </c>
    </row>
    <row r="8463" spans="1:12" hidden="1" x14ac:dyDescent="0.3">
      <c r="A8463" t="s">
        <v>47</v>
      </c>
      <c r="B8463" t="s">
        <v>48</v>
      </c>
      <c r="C8463" t="s">
        <v>129</v>
      </c>
      <c r="D8463" t="s">
        <v>130</v>
      </c>
      <c r="E8463">
        <v>2006</v>
      </c>
      <c r="F8463" s="1">
        <v>80</v>
      </c>
      <c r="G8463">
        <v>2000</v>
      </c>
      <c r="H8463">
        <f>AVERAGEIFS(Table1[value],Table1[IndicatorCode],Table1[[#This Row],[IndicatorCode]])</f>
        <v>72.66514008620689</v>
      </c>
      <c r="I8463" cm="1">
        <f t="array" ref="I8463">_xlfn.STDEV.P(IF(Table1[IndicatorCode]=Table1[[#This Row],[IndicatorCode]],Table1[value]))</f>
        <v>6.3409496564024987</v>
      </c>
      <c r="J8463">
        <f>(Table1[[#This Row],[value]] - Table1[[#This Row],[mean]]) / Table1[[#This Row],[std_dev]]</f>
        <v>1.1567447009119609</v>
      </c>
      <c r="K8463">
        <f>AVERAGEIF(Table1[CountryCode],Table1[[#This Row],[CountryCode]],Table1[z-score])</f>
        <v>-3.9589438634764836E-2</v>
      </c>
      <c r="L8463" t="e">
        <f>VLOOKUP(Table1[[#This Row],[CountryCode]],[1]!Table1[#All],1,FALSE)</f>
        <v>#REF!</v>
      </c>
    </row>
    <row r="8464" spans="1:12" hidden="1" x14ac:dyDescent="0.3">
      <c r="A8464" t="s">
        <v>47</v>
      </c>
      <c r="B8464" t="s">
        <v>48</v>
      </c>
      <c r="C8464" t="s">
        <v>129</v>
      </c>
      <c r="D8464" t="s">
        <v>130</v>
      </c>
      <c r="E8464">
        <v>2007</v>
      </c>
      <c r="F8464" s="1">
        <v>80</v>
      </c>
      <c r="G8464">
        <v>2010</v>
      </c>
      <c r="H8464">
        <f>AVERAGEIFS(Table1[value],Table1[IndicatorCode],Table1[[#This Row],[IndicatorCode]])</f>
        <v>72.66514008620689</v>
      </c>
      <c r="I8464" cm="1">
        <f t="array" ref="I8464">_xlfn.STDEV.P(IF(Table1[IndicatorCode]=Table1[[#This Row],[IndicatorCode]],Table1[value]))</f>
        <v>6.3409496564024987</v>
      </c>
      <c r="J8464">
        <f>(Table1[[#This Row],[value]] - Table1[[#This Row],[mean]]) / Table1[[#This Row],[std_dev]]</f>
        <v>1.1567447009119609</v>
      </c>
      <c r="K8464">
        <f>AVERAGEIF(Table1[CountryCode],Table1[[#This Row],[CountryCode]],Table1[z-score])</f>
        <v>-3.9589438634764836E-2</v>
      </c>
      <c r="L8464" t="e">
        <f>VLOOKUP(Table1[[#This Row],[CountryCode]],[1]!Table1[#All],1,FALSE)</f>
        <v>#REF!</v>
      </c>
    </row>
    <row r="8465" spans="1:12" hidden="1" x14ac:dyDescent="0.3">
      <c r="A8465" t="s">
        <v>47</v>
      </c>
      <c r="B8465" t="s">
        <v>48</v>
      </c>
      <c r="C8465" t="s">
        <v>129</v>
      </c>
      <c r="D8465" t="s">
        <v>130</v>
      </c>
      <c r="E8465">
        <v>2008</v>
      </c>
      <c r="F8465" s="1">
        <v>80</v>
      </c>
      <c r="G8465">
        <v>2010</v>
      </c>
      <c r="H8465">
        <f>AVERAGEIFS(Table1[value],Table1[IndicatorCode],Table1[[#This Row],[IndicatorCode]])</f>
        <v>72.66514008620689</v>
      </c>
      <c r="I8465" cm="1">
        <f t="array" ref="I8465">_xlfn.STDEV.P(IF(Table1[IndicatorCode]=Table1[[#This Row],[IndicatorCode]],Table1[value]))</f>
        <v>6.3409496564024987</v>
      </c>
      <c r="J8465">
        <f>(Table1[[#This Row],[value]] - Table1[[#This Row],[mean]]) / Table1[[#This Row],[std_dev]]</f>
        <v>1.1567447009119609</v>
      </c>
      <c r="K8465">
        <f>AVERAGEIF(Table1[CountryCode],Table1[[#This Row],[CountryCode]],Table1[z-score])</f>
        <v>-3.9589438634764836E-2</v>
      </c>
      <c r="L8465" t="e">
        <f>VLOOKUP(Table1[[#This Row],[CountryCode]],[1]!Table1[#All],1,FALSE)</f>
        <v>#REF!</v>
      </c>
    </row>
    <row r="8466" spans="1:12" hidden="1" x14ac:dyDescent="0.3">
      <c r="A8466" t="s">
        <v>47</v>
      </c>
      <c r="B8466" t="s">
        <v>48</v>
      </c>
      <c r="C8466" t="s">
        <v>129</v>
      </c>
      <c r="D8466" t="s">
        <v>130</v>
      </c>
      <c r="E8466">
        <v>2009</v>
      </c>
      <c r="F8466" s="1">
        <v>80</v>
      </c>
      <c r="G8466">
        <v>2010</v>
      </c>
      <c r="H8466">
        <f>AVERAGEIFS(Table1[value],Table1[IndicatorCode],Table1[[#This Row],[IndicatorCode]])</f>
        <v>72.66514008620689</v>
      </c>
      <c r="I8466" cm="1">
        <f t="array" ref="I8466">_xlfn.STDEV.P(IF(Table1[IndicatorCode]=Table1[[#This Row],[IndicatorCode]],Table1[value]))</f>
        <v>6.3409496564024987</v>
      </c>
      <c r="J8466">
        <f>(Table1[[#This Row],[value]] - Table1[[#This Row],[mean]]) / Table1[[#This Row],[std_dev]]</f>
        <v>1.1567447009119609</v>
      </c>
      <c r="K8466">
        <f>AVERAGEIF(Table1[CountryCode],Table1[[#This Row],[CountryCode]],Table1[z-score])</f>
        <v>-3.9589438634764836E-2</v>
      </c>
      <c r="L8466" t="e">
        <f>VLOOKUP(Table1[[#This Row],[CountryCode]],[1]!Table1[#All],1,FALSE)</f>
        <v>#REF!</v>
      </c>
    </row>
    <row r="8467" spans="1:12" hidden="1" x14ac:dyDescent="0.3">
      <c r="A8467" t="s">
        <v>47</v>
      </c>
      <c r="B8467" t="s">
        <v>48</v>
      </c>
      <c r="C8467" t="s">
        <v>129</v>
      </c>
      <c r="D8467" t="s">
        <v>130</v>
      </c>
      <c r="E8467">
        <v>2010</v>
      </c>
      <c r="F8467" s="1">
        <v>81</v>
      </c>
      <c r="G8467">
        <v>2010</v>
      </c>
      <c r="H8467">
        <f>AVERAGEIFS(Table1[value],Table1[IndicatorCode],Table1[[#This Row],[IndicatorCode]])</f>
        <v>72.66514008620689</v>
      </c>
      <c r="I8467" cm="1">
        <f t="array" ref="I8467">_xlfn.STDEV.P(IF(Table1[IndicatorCode]=Table1[[#This Row],[IndicatorCode]],Table1[value]))</f>
        <v>6.3409496564024987</v>
      </c>
      <c r="J8467">
        <f>(Table1[[#This Row],[value]] - Table1[[#This Row],[mean]]) / Table1[[#This Row],[std_dev]]</f>
        <v>1.3144497851954</v>
      </c>
      <c r="K8467">
        <f>AVERAGEIF(Table1[CountryCode],Table1[[#This Row],[CountryCode]],Table1[z-score])</f>
        <v>-3.9589438634764836E-2</v>
      </c>
      <c r="L8467" t="e">
        <f>VLOOKUP(Table1[[#This Row],[CountryCode]],[1]!Table1[#All],1,FALSE)</f>
        <v>#REF!</v>
      </c>
    </row>
    <row r="8468" spans="1:12" hidden="1" x14ac:dyDescent="0.3">
      <c r="A8468" t="s">
        <v>47</v>
      </c>
      <c r="B8468" t="s">
        <v>48</v>
      </c>
      <c r="C8468" t="s">
        <v>129</v>
      </c>
      <c r="D8468" t="s">
        <v>130</v>
      </c>
      <c r="E8468">
        <v>2011</v>
      </c>
      <c r="F8468" s="1">
        <v>81</v>
      </c>
      <c r="G8468">
        <v>2010</v>
      </c>
      <c r="H8468">
        <f>AVERAGEIFS(Table1[value],Table1[IndicatorCode],Table1[[#This Row],[IndicatorCode]])</f>
        <v>72.66514008620689</v>
      </c>
      <c r="I8468" cm="1">
        <f t="array" ref="I8468">_xlfn.STDEV.P(IF(Table1[IndicatorCode]=Table1[[#This Row],[IndicatorCode]],Table1[value]))</f>
        <v>6.3409496564024987</v>
      </c>
      <c r="J8468">
        <f>(Table1[[#This Row],[value]] - Table1[[#This Row],[mean]]) / Table1[[#This Row],[std_dev]]</f>
        <v>1.3144497851954</v>
      </c>
      <c r="K8468">
        <f>AVERAGEIF(Table1[CountryCode],Table1[[#This Row],[CountryCode]],Table1[z-score])</f>
        <v>-3.9589438634764836E-2</v>
      </c>
      <c r="L8468" t="e">
        <f>VLOOKUP(Table1[[#This Row],[CountryCode]],[1]!Table1[#All],1,FALSE)</f>
        <v>#REF!</v>
      </c>
    </row>
    <row r="8469" spans="1:12" hidden="1" x14ac:dyDescent="0.3">
      <c r="A8469" t="s">
        <v>47</v>
      </c>
      <c r="B8469" t="s">
        <v>48</v>
      </c>
      <c r="C8469" t="s">
        <v>129</v>
      </c>
      <c r="D8469" t="s">
        <v>130</v>
      </c>
      <c r="E8469">
        <v>2012</v>
      </c>
      <c r="F8469" s="1">
        <v>81</v>
      </c>
      <c r="G8469">
        <v>2010</v>
      </c>
      <c r="H8469">
        <f>AVERAGEIFS(Table1[value],Table1[IndicatorCode],Table1[[#This Row],[IndicatorCode]])</f>
        <v>72.66514008620689</v>
      </c>
      <c r="I8469" cm="1">
        <f t="array" ref="I8469">_xlfn.STDEV.P(IF(Table1[IndicatorCode]=Table1[[#This Row],[IndicatorCode]],Table1[value]))</f>
        <v>6.3409496564024987</v>
      </c>
      <c r="J8469">
        <f>(Table1[[#This Row],[value]] - Table1[[#This Row],[mean]]) / Table1[[#This Row],[std_dev]]</f>
        <v>1.3144497851954</v>
      </c>
      <c r="K8469">
        <f>AVERAGEIF(Table1[CountryCode],Table1[[#This Row],[CountryCode]],Table1[z-score])</f>
        <v>-3.9589438634764836E-2</v>
      </c>
      <c r="L8469" t="e">
        <f>VLOOKUP(Table1[[#This Row],[CountryCode]],[1]!Table1[#All],1,FALSE)</f>
        <v>#REF!</v>
      </c>
    </row>
    <row r="8470" spans="1:12" hidden="1" x14ac:dyDescent="0.3">
      <c r="A8470" t="s">
        <v>47</v>
      </c>
      <c r="B8470" t="s">
        <v>48</v>
      </c>
      <c r="C8470" t="s">
        <v>129</v>
      </c>
      <c r="D8470" t="s">
        <v>130</v>
      </c>
      <c r="E8470">
        <v>2013</v>
      </c>
      <c r="F8470" s="1">
        <v>81</v>
      </c>
      <c r="G8470">
        <v>2010</v>
      </c>
      <c r="H8470">
        <f>AVERAGEIFS(Table1[value],Table1[IndicatorCode],Table1[[#This Row],[IndicatorCode]])</f>
        <v>72.66514008620689</v>
      </c>
      <c r="I8470" cm="1">
        <f t="array" ref="I8470">_xlfn.STDEV.P(IF(Table1[IndicatorCode]=Table1[[#This Row],[IndicatorCode]],Table1[value]))</f>
        <v>6.3409496564024987</v>
      </c>
      <c r="J8470">
        <f>(Table1[[#This Row],[value]] - Table1[[#This Row],[mean]]) / Table1[[#This Row],[std_dev]]</f>
        <v>1.3144497851954</v>
      </c>
      <c r="K8470">
        <f>AVERAGEIF(Table1[CountryCode],Table1[[#This Row],[CountryCode]],Table1[z-score])</f>
        <v>-3.9589438634764836E-2</v>
      </c>
      <c r="L8470" t="e">
        <f>VLOOKUP(Table1[[#This Row],[CountryCode]],[1]!Table1[#All],1,FALSE)</f>
        <v>#REF!</v>
      </c>
    </row>
    <row r="8471" spans="1:12" hidden="1" x14ac:dyDescent="0.3">
      <c r="A8471" t="s">
        <v>47</v>
      </c>
      <c r="B8471" t="s">
        <v>48</v>
      </c>
      <c r="C8471" t="s">
        <v>129</v>
      </c>
      <c r="D8471" t="s">
        <v>130</v>
      </c>
      <c r="E8471">
        <v>2014</v>
      </c>
      <c r="F8471" s="1">
        <v>82</v>
      </c>
      <c r="G8471">
        <v>2010</v>
      </c>
      <c r="H8471">
        <f>AVERAGEIFS(Table1[value],Table1[IndicatorCode],Table1[[#This Row],[IndicatorCode]])</f>
        <v>72.66514008620689</v>
      </c>
      <c r="I8471" cm="1">
        <f t="array" ref="I8471">_xlfn.STDEV.P(IF(Table1[IndicatorCode]=Table1[[#This Row],[IndicatorCode]],Table1[value]))</f>
        <v>6.3409496564024987</v>
      </c>
      <c r="J8471">
        <f>(Table1[[#This Row],[value]] - Table1[[#This Row],[mean]]) / Table1[[#This Row],[std_dev]]</f>
        <v>1.4721548694788391</v>
      </c>
      <c r="K8471">
        <f>AVERAGEIF(Table1[CountryCode],Table1[[#This Row],[CountryCode]],Table1[z-score])</f>
        <v>-3.9589438634764836E-2</v>
      </c>
      <c r="L8471" t="e">
        <f>VLOOKUP(Table1[[#This Row],[CountryCode]],[1]!Table1[#All],1,FALSE)</f>
        <v>#REF!</v>
      </c>
    </row>
    <row r="8472" spans="1:12" hidden="1" x14ac:dyDescent="0.3">
      <c r="A8472" t="s">
        <v>47</v>
      </c>
      <c r="B8472" t="s">
        <v>48</v>
      </c>
      <c r="C8472" t="s">
        <v>129</v>
      </c>
      <c r="D8472" t="s">
        <v>130</v>
      </c>
      <c r="E8472">
        <v>2015</v>
      </c>
      <c r="F8472" s="1">
        <v>82</v>
      </c>
      <c r="G8472">
        <v>2010</v>
      </c>
      <c r="H8472">
        <f>AVERAGEIFS(Table1[value],Table1[IndicatorCode],Table1[[#This Row],[IndicatorCode]])</f>
        <v>72.66514008620689</v>
      </c>
      <c r="I8472" cm="1">
        <f t="array" ref="I8472">_xlfn.STDEV.P(IF(Table1[IndicatorCode]=Table1[[#This Row],[IndicatorCode]],Table1[value]))</f>
        <v>6.3409496564024987</v>
      </c>
      <c r="J8472">
        <f>(Table1[[#This Row],[value]] - Table1[[#This Row],[mean]]) / Table1[[#This Row],[std_dev]]</f>
        <v>1.4721548694788391</v>
      </c>
      <c r="K8472">
        <f>AVERAGEIF(Table1[CountryCode],Table1[[#This Row],[CountryCode]],Table1[z-score])</f>
        <v>-3.9589438634764836E-2</v>
      </c>
      <c r="L8472" t="e">
        <f>VLOOKUP(Table1[[#This Row],[CountryCode]],[1]!Table1[#All],1,FALSE)</f>
        <v>#REF!</v>
      </c>
    </row>
    <row r="8473" spans="1:12" hidden="1" x14ac:dyDescent="0.3">
      <c r="A8473" t="s">
        <v>47</v>
      </c>
      <c r="B8473" t="s">
        <v>48</v>
      </c>
      <c r="C8473" t="s">
        <v>129</v>
      </c>
      <c r="D8473" t="s">
        <v>130</v>
      </c>
      <c r="E8473">
        <v>2016</v>
      </c>
      <c r="F8473" s="1">
        <v>82</v>
      </c>
      <c r="G8473">
        <v>2010</v>
      </c>
      <c r="H8473">
        <f>AVERAGEIFS(Table1[value],Table1[IndicatorCode],Table1[[#This Row],[IndicatorCode]])</f>
        <v>72.66514008620689</v>
      </c>
      <c r="I8473" cm="1">
        <f t="array" ref="I8473">_xlfn.STDEV.P(IF(Table1[IndicatorCode]=Table1[[#This Row],[IndicatorCode]],Table1[value]))</f>
        <v>6.3409496564024987</v>
      </c>
      <c r="J8473">
        <f>(Table1[[#This Row],[value]] - Table1[[#This Row],[mean]]) / Table1[[#This Row],[std_dev]]</f>
        <v>1.4721548694788391</v>
      </c>
      <c r="K8473">
        <f>AVERAGEIF(Table1[CountryCode],Table1[[#This Row],[CountryCode]],Table1[z-score])</f>
        <v>-3.9589438634764836E-2</v>
      </c>
      <c r="L8473" t="e">
        <f>VLOOKUP(Table1[[#This Row],[CountryCode]],[1]!Table1[#All],1,FALSE)</f>
        <v>#REF!</v>
      </c>
    </row>
    <row r="8474" spans="1:12" hidden="1" x14ac:dyDescent="0.3">
      <c r="A8474" t="s">
        <v>47</v>
      </c>
      <c r="B8474" t="s">
        <v>48</v>
      </c>
      <c r="C8474" t="s">
        <v>129</v>
      </c>
      <c r="D8474" t="s">
        <v>130</v>
      </c>
      <c r="E8474">
        <v>2017</v>
      </c>
      <c r="F8474" s="1">
        <v>82</v>
      </c>
      <c r="G8474">
        <v>2020</v>
      </c>
      <c r="H8474">
        <f>AVERAGEIFS(Table1[value],Table1[IndicatorCode],Table1[[#This Row],[IndicatorCode]])</f>
        <v>72.66514008620689</v>
      </c>
      <c r="I8474" cm="1">
        <f t="array" ref="I8474">_xlfn.STDEV.P(IF(Table1[IndicatorCode]=Table1[[#This Row],[IndicatorCode]],Table1[value]))</f>
        <v>6.3409496564024987</v>
      </c>
      <c r="J8474">
        <f>(Table1[[#This Row],[value]] - Table1[[#This Row],[mean]]) / Table1[[#This Row],[std_dev]]</f>
        <v>1.4721548694788391</v>
      </c>
      <c r="K8474">
        <f>AVERAGEIF(Table1[CountryCode],Table1[[#This Row],[CountryCode]],Table1[z-score])</f>
        <v>-3.9589438634764836E-2</v>
      </c>
      <c r="L8474" t="e">
        <f>VLOOKUP(Table1[[#This Row],[CountryCode]],[1]!Table1[#All],1,FALSE)</f>
        <v>#REF!</v>
      </c>
    </row>
    <row r="8475" spans="1:12" hidden="1" x14ac:dyDescent="0.3">
      <c r="A8475" t="s">
        <v>47</v>
      </c>
      <c r="B8475" t="s">
        <v>48</v>
      </c>
      <c r="C8475" t="s">
        <v>129</v>
      </c>
      <c r="D8475" t="s">
        <v>130</v>
      </c>
      <c r="E8475">
        <v>2018</v>
      </c>
      <c r="F8475" s="1">
        <v>82</v>
      </c>
      <c r="G8475">
        <v>2020</v>
      </c>
      <c r="H8475">
        <f>AVERAGEIFS(Table1[value],Table1[IndicatorCode],Table1[[#This Row],[IndicatorCode]])</f>
        <v>72.66514008620689</v>
      </c>
      <c r="I8475" cm="1">
        <f t="array" ref="I8475">_xlfn.STDEV.P(IF(Table1[IndicatorCode]=Table1[[#This Row],[IndicatorCode]],Table1[value]))</f>
        <v>6.3409496564024987</v>
      </c>
      <c r="J8475">
        <f>(Table1[[#This Row],[value]] - Table1[[#This Row],[mean]]) / Table1[[#This Row],[std_dev]]</f>
        <v>1.4721548694788391</v>
      </c>
      <c r="K8475">
        <f>AVERAGEIF(Table1[CountryCode],Table1[[#This Row],[CountryCode]],Table1[z-score])</f>
        <v>-3.9589438634764836E-2</v>
      </c>
      <c r="L8475" t="e">
        <f>VLOOKUP(Table1[[#This Row],[CountryCode]],[1]!Table1[#All],1,FALSE)</f>
        <v>#REF!</v>
      </c>
    </row>
    <row r="8476" spans="1:12" hidden="1" x14ac:dyDescent="0.3">
      <c r="A8476" t="s">
        <v>47</v>
      </c>
      <c r="B8476" t="s">
        <v>48</v>
      </c>
      <c r="C8476" t="s">
        <v>129</v>
      </c>
      <c r="D8476" t="s">
        <v>130</v>
      </c>
      <c r="E8476">
        <v>2019</v>
      </c>
      <c r="F8476" s="1">
        <v>82</v>
      </c>
      <c r="G8476">
        <v>2020</v>
      </c>
      <c r="H8476">
        <f>AVERAGEIFS(Table1[value],Table1[IndicatorCode],Table1[[#This Row],[IndicatorCode]])</f>
        <v>72.66514008620689</v>
      </c>
      <c r="I8476" cm="1">
        <f t="array" ref="I8476">_xlfn.STDEV.P(IF(Table1[IndicatorCode]=Table1[[#This Row],[IndicatorCode]],Table1[value]))</f>
        <v>6.3409496564024987</v>
      </c>
      <c r="J8476">
        <f>(Table1[[#This Row],[value]] - Table1[[#This Row],[mean]]) / Table1[[#This Row],[std_dev]]</f>
        <v>1.4721548694788391</v>
      </c>
      <c r="K8476">
        <f>AVERAGEIF(Table1[CountryCode],Table1[[#This Row],[CountryCode]],Table1[z-score])</f>
        <v>-3.9589438634764836E-2</v>
      </c>
      <c r="L8476" t="e">
        <f>VLOOKUP(Table1[[#This Row],[CountryCode]],[1]!Table1[#All],1,FALSE)</f>
        <v>#REF!</v>
      </c>
    </row>
    <row r="8477" spans="1:12" x14ac:dyDescent="0.3">
      <c r="A8477" t="s">
        <v>47</v>
      </c>
      <c r="B8477" t="s">
        <v>48</v>
      </c>
      <c r="C8477" t="s">
        <v>129</v>
      </c>
      <c r="D8477" t="s">
        <v>130</v>
      </c>
      <c r="E8477">
        <v>2020</v>
      </c>
      <c r="F8477" s="1">
        <v>83</v>
      </c>
      <c r="G8477">
        <v>2020</v>
      </c>
      <c r="H8477">
        <f>AVERAGEIFS(Table1[value],Table1[IndicatorCode],Table1[[#This Row],[IndicatorCode]])</f>
        <v>72.66514008620689</v>
      </c>
      <c r="I8477" cm="1">
        <f t="array" ref="I8477">_xlfn.STDEV.P(IF(Table1[IndicatorCode]=Table1[[#This Row],[IndicatorCode]],Table1[value]))</f>
        <v>6.3409496564024987</v>
      </c>
      <c r="J8477">
        <f>(Table1[[#This Row],[value]] - Table1[[#This Row],[mean]]) / Table1[[#This Row],[std_dev]]</f>
        <v>1.6298599537622782</v>
      </c>
      <c r="K8477">
        <f>AVERAGEIF(Table1[CountryCode],Table1[[#This Row],[CountryCode]],Table1[z-score])</f>
        <v>-3.9589438634764836E-2</v>
      </c>
    </row>
    <row r="8478" spans="1:12" hidden="1" x14ac:dyDescent="0.3">
      <c r="A8478" t="s">
        <v>47</v>
      </c>
      <c r="B8478" t="s">
        <v>48</v>
      </c>
      <c r="C8478" t="s">
        <v>129</v>
      </c>
      <c r="D8478" t="s">
        <v>130</v>
      </c>
      <c r="E8478">
        <v>2021</v>
      </c>
      <c r="F8478" s="1">
        <v>83</v>
      </c>
      <c r="G8478">
        <v>1960</v>
      </c>
      <c r="H8478">
        <f>AVERAGEIFS(Table1[value],Table1[IndicatorCode],Table1[[#This Row],[IndicatorCode]])</f>
        <v>72.66514008620689</v>
      </c>
      <c r="I8478" cm="1">
        <f t="array" ref="I8478">_xlfn.STDEV.P(IF(Table1[IndicatorCode]=Table1[[#This Row],[IndicatorCode]],Table1[value]))</f>
        <v>6.3409496564024987</v>
      </c>
      <c r="J8478">
        <f>(Table1[[#This Row],[value]] - Table1[[#This Row],[mean]]) / Table1[[#This Row],[std_dev]]</f>
        <v>1.6298599537622782</v>
      </c>
      <c r="K8478">
        <f>AVERAGEIF(Table1[CountryCode],Table1[[#This Row],[CountryCode]],Table1[z-score])</f>
        <v>-3.9589438634764836E-2</v>
      </c>
      <c r="L8478" t="e">
        <f>VLOOKUP(Table1[[#This Row],[CountryCode]],[1]!Table1[#All],1,FALSE)</f>
        <v>#REF!</v>
      </c>
    </row>
    <row r="8479" spans="1:12" hidden="1" x14ac:dyDescent="0.3">
      <c r="A8479" t="s">
        <v>47</v>
      </c>
      <c r="B8479" t="s">
        <v>48</v>
      </c>
      <c r="C8479" t="s">
        <v>129</v>
      </c>
      <c r="D8479" t="s">
        <v>130</v>
      </c>
      <c r="E8479">
        <v>2022</v>
      </c>
      <c r="F8479" s="1">
        <v>83</v>
      </c>
      <c r="G8479">
        <v>1960</v>
      </c>
      <c r="H8479">
        <f>AVERAGEIFS(Table1[value],Table1[IndicatorCode],Table1[[#This Row],[IndicatorCode]])</f>
        <v>72.66514008620689</v>
      </c>
      <c r="I8479" cm="1">
        <f t="array" ref="I8479">_xlfn.STDEV.P(IF(Table1[IndicatorCode]=Table1[[#This Row],[IndicatorCode]],Table1[value]))</f>
        <v>6.3409496564024987</v>
      </c>
      <c r="J8479">
        <f>(Table1[[#This Row],[value]] - Table1[[#This Row],[mean]]) / Table1[[#This Row],[std_dev]]</f>
        <v>1.6298599537622782</v>
      </c>
      <c r="K8479">
        <f>AVERAGEIF(Table1[CountryCode],Table1[[#This Row],[CountryCode]],Table1[z-score])</f>
        <v>-3.9589438634764836E-2</v>
      </c>
      <c r="L8479" t="e">
        <f>VLOOKUP(Table1[[#This Row],[CountryCode]],[1]!Table1[#All],1,FALSE)</f>
        <v>#REF!</v>
      </c>
    </row>
    <row r="8480" spans="1:12" hidden="1" x14ac:dyDescent="0.3">
      <c r="A8480" t="s">
        <v>47</v>
      </c>
      <c r="B8480" t="s">
        <v>48</v>
      </c>
      <c r="C8480" t="s">
        <v>129</v>
      </c>
      <c r="D8480" t="s">
        <v>130</v>
      </c>
      <c r="E8480">
        <v>2023</v>
      </c>
      <c r="F8480" s="1">
        <v>83</v>
      </c>
      <c r="G8480">
        <v>1960</v>
      </c>
      <c r="H8480">
        <f>AVERAGEIFS(Table1[value],Table1[IndicatorCode],Table1[[#This Row],[IndicatorCode]])</f>
        <v>72.66514008620689</v>
      </c>
      <c r="I8480" cm="1">
        <f t="array" ref="I8480">_xlfn.STDEV.P(IF(Table1[IndicatorCode]=Table1[[#This Row],[IndicatorCode]],Table1[value]))</f>
        <v>6.3409496564024987</v>
      </c>
      <c r="J8480">
        <f>(Table1[[#This Row],[value]] - Table1[[#This Row],[mean]]) / Table1[[#This Row],[std_dev]]</f>
        <v>1.6298599537622782</v>
      </c>
      <c r="K8480">
        <f>AVERAGEIF(Table1[CountryCode],Table1[[#This Row],[CountryCode]],Table1[z-score])</f>
        <v>-3.9589438634764836E-2</v>
      </c>
      <c r="L8480" t="e">
        <f>VLOOKUP(Table1[[#This Row],[CountryCode]],[1]!Table1[#All],1,FALSE)</f>
        <v>#REF!</v>
      </c>
    </row>
    <row r="8481" spans="1:12" hidden="1" x14ac:dyDescent="0.3">
      <c r="A8481" t="s">
        <v>49</v>
      </c>
      <c r="B8481" t="s">
        <v>50</v>
      </c>
      <c r="C8481" t="s">
        <v>129</v>
      </c>
      <c r="D8481" t="s">
        <v>130</v>
      </c>
      <c r="E8481">
        <v>1960</v>
      </c>
      <c r="F8481" s="1">
        <v>71</v>
      </c>
      <c r="G8481">
        <v>1960</v>
      </c>
      <c r="H8481">
        <f>AVERAGEIFS(Table1[value],Table1[IndicatorCode],Table1[[#This Row],[IndicatorCode]])</f>
        <v>72.66514008620689</v>
      </c>
      <c r="I8481" cm="1">
        <f t="array" ref="I8481">_xlfn.STDEV.P(IF(Table1[IndicatorCode]=Table1[[#This Row],[IndicatorCode]],Table1[value]))</f>
        <v>6.3409496564024987</v>
      </c>
      <c r="J8481">
        <f>(Table1[[#This Row],[value]] - Table1[[#This Row],[mean]]) / Table1[[#This Row],[std_dev]]</f>
        <v>-0.2626010576389905</v>
      </c>
      <c r="K8481">
        <f>AVERAGEIF(Table1[CountryCode],Table1[[#This Row],[CountryCode]],Table1[z-score])</f>
        <v>0.3375502618800939</v>
      </c>
      <c r="L8481" t="e">
        <f>VLOOKUP(Table1[[#This Row],[CountryCode]],[1]!Table1[#All],1,FALSE)</f>
        <v>#REF!</v>
      </c>
    </row>
    <row r="8482" spans="1:12" hidden="1" x14ac:dyDescent="0.3">
      <c r="A8482" t="s">
        <v>49</v>
      </c>
      <c r="B8482" t="s">
        <v>50</v>
      </c>
      <c r="C8482" t="s">
        <v>129</v>
      </c>
      <c r="D8482" t="s">
        <v>130</v>
      </c>
      <c r="E8482">
        <v>1961</v>
      </c>
      <c r="F8482" s="1">
        <v>71</v>
      </c>
      <c r="G8482">
        <v>1960</v>
      </c>
      <c r="H8482">
        <f>AVERAGEIFS(Table1[value],Table1[IndicatorCode],Table1[[#This Row],[IndicatorCode]])</f>
        <v>72.66514008620689</v>
      </c>
      <c r="I8482" cm="1">
        <f t="array" ref="I8482">_xlfn.STDEV.P(IF(Table1[IndicatorCode]=Table1[[#This Row],[IndicatorCode]],Table1[value]))</f>
        <v>6.3409496564024987</v>
      </c>
      <c r="J8482">
        <f>(Table1[[#This Row],[value]] - Table1[[#This Row],[mean]]) / Table1[[#This Row],[std_dev]]</f>
        <v>-0.2626010576389905</v>
      </c>
      <c r="K8482">
        <f>AVERAGEIF(Table1[CountryCode],Table1[[#This Row],[CountryCode]],Table1[z-score])</f>
        <v>0.3375502618800939</v>
      </c>
      <c r="L8482" t="e">
        <f>VLOOKUP(Table1[[#This Row],[CountryCode]],[1]!Table1[#All],1,FALSE)</f>
        <v>#REF!</v>
      </c>
    </row>
    <row r="8483" spans="1:12" hidden="1" x14ac:dyDescent="0.3">
      <c r="A8483" t="s">
        <v>49</v>
      </c>
      <c r="B8483" t="s">
        <v>50</v>
      </c>
      <c r="C8483" t="s">
        <v>129</v>
      </c>
      <c r="D8483" t="s">
        <v>130</v>
      </c>
      <c r="E8483">
        <v>1962</v>
      </c>
      <c r="F8483" s="1">
        <v>71</v>
      </c>
      <c r="G8483">
        <v>1960</v>
      </c>
      <c r="H8483">
        <f>AVERAGEIFS(Table1[value],Table1[IndicatorCode],Table1[[#This Row],[IndicatorCode]])</f>
        <v>72.66514008620689</v>
      </c>
      <c r="I8483" cm="1">
        <f t="array" ref="I8483">_xlfn.STDEV.P(IF(Table1[IndicatorCode]=Table1[[#This Row],[IndicatorCode]],Table1[value]))</f>
        <v>6.3409496564024987</v>
      </c>
      <c r="J8483">
        <f>(Table1[[#This Row],[value]] - Table1[[#This Row],[mean]]) / Table1[[#This Row],[std_dev]]</f>
        <v>-0.2626010576389905</v>
      </c>
      <c r="K8483">
        <f>AVERAGEIF(Table1[CountryCode],Table1[[#This Row],[CountryCode]],Table1[z-score])</f>
        <v>0.3375502618800939</v>
      </c>
      <c r="L8483" t="e">
        <f>VLOOKUP(Table1[[#This Row],[CountryCode]],[1]!Table1[#All],1,FALSE)</f>
        <v>#REF!</v>
      </c>
    </row>
    <row r="8484" spans="1:12" hidden="1" x14ac:dyDescent="0.3">
      <c r="A8484" t="s">
        <v>49</v>
      </c>
      <c r="B8484" t="s">
        <v>50</v>
      </c>
      <c r="C8484" t="s">
        <v>129</v>
      </c>
      <c r="D8484" t="s">
        <v>130</v>
      </c>
      <c r="E8484">
        <v>1963</v>
      </c>
      <c r="F8484" s="1">
        <v>71</v>
      </c>
      <c r="G8484">
        <v>1960</v>
      </c>
      <c r="H8484">
        <f>AVERAGEIFS(Table1[value],Table1[IndicatorCode],Table1[[#This Row],[IndicatorCode]])</f>
        <v>72.66514008620689</v>
      </c>
      <c r="I8484" cm="1">
        <f t="array" ref="I8484">_xlfn.STDEV.P(IF(Table1[IndicatorCode]=Table1[[#This Row],[IndicatorCode]],Table1[value]))</f>
        <v>6.3409496564024987</v>
      </c>
      <c r="J8484">
        <f>(Table1[[#This Row],[value]] - Table1[[#This Row],[mean]]) / Table1[[#This Row],[std_dev]]</f>
        <v>-0.2626010576389905</v>
      </c>
      <c r="K8484">
        <f>AVERAGEIF(Table1[CountryCode],Table1[[#This Row],[CountryCode]],Table1[z-score])</f>
        <v>0.3375502618800939</v>
      </c>
      <c r="L8484" t="e">
        <f>VLOOKUP(Table1[[#This Row],[CountryCode]],[1]!Table1[#All],1,FALSE)</f>
        <v>#REF!</v>
      </c>
    </row>
    <row r="8485" spans="1:12" hidden="1" x14ac:dyDescent="0.3">
      <c r="A8485" t="s">
        <v>49</v>
      </c>
      <c r="B8485" t="s">
        <v>50</v>
      </c>
      <c r="C8485" t="s">
        <v>129</v>
      </c>
      <c r="D8485" t="s">
        <v>130</v>
      </c>
      <c r="E8485">
        <v>1964</v>
      </c>
      <c r="F8485" s="1">
        <v>72</v>
      </c>
      <c r="G8485">
        <v>1960</v>
      </c>
      <c r="H8485">
        <f>AVERAGEIFS(Table1[value],Table1[IndicatorCode],Table1[[#This Row],[IndicatorCode]])</f>
        <v>72.66514008620689</v>
      </c>
      <c r="I8485" cm="1">
        <f t="array" ref="I8485">_xlfn.STDEV.P(IF(Table1[IndicatorCode]=Table1[[#This Row],[IndicatorCode]],Table1[value]))</f>
        <v>6.3409496564024987</v>
      </c>
      <c r="J8485">
        <f>(Table1[[#This Row],[value]] - Table1[[#This Row],[mean]]) / Table1[[#This Row],[std_dev]]</f>
        <v>-0.10489597335555145</v>
      </c>
      <c r="K8485">
        <f>AVERAGEIF(Table1[CountryCode],Table1[[#This Row],[CountryCode]],Table1[z-score])</f>
        <v>0.3375502618800939</v>
      </c>
      <c r="L8485" t="e">
        <f>VLOOKUP(Table1[[#This Row],[CountryCode]],[1]!Table1[#All],1,FALSE)</f>
        <v>#REF!</v>
      </c>
    </row>
    <row r="8486" spans="1:12" hidden="1" x14ac:dyDescent="0.3">
      <c r="A8486" t="s">
        <v>49</v>
      </c>
      <c r="B8486" t="s">
        <v>50</v>
      </c>
      <c r="C8486" t="s">
        <v>129</v>
      </c>
      <c r="D8486" t="s">
        <v>130</v>
      </c>
      <c r="E8486">
        <v>1965</v>
      </c>
      <c r="F8486" s="1">
        <v>72</v>
      </c>
      <c r="G8486">
        <v>1960</v>
      </c>
      <c r="H8486">
        <f>AVERAGEIFS(Table1[value],Table1[IndicatorCode],Table1[[#This Row],[IndicatorCode]])</f>
        <v>72.66514008620689</v>
      </c>
      <c r="I8486" cm="1">
        <f t="array" ref="I8486">_xlfn.STDEV.P(IF(Table1[IndicatorCode]=Table1[[#This Row],[IndicatorCode]],Table1[value]))</f>
        <v>6.3409496564024987</v>
      </c>
      <c r="J8486">
        <f>(Table1[[#This Row],[value]] - Table1[[#This Row],[mean]]) / Table1[[#This Row],[std_dev]]</f>
        <v>-0.10489597335555145</v>
      </c>
      <c r="K8486">
        <f>AVERAGEIF(Table1[CountryCode],Table1[[#This Row],[CountryCode]],Table1[z-score])</f>
        <v>0.3375502618800939</v>
      </c>
      <c r="L8486" t="e">
        <f>VLOOKUP(Table1[[#This Row],[CountryCode]],[1]!Table1[#All],1,FALSE)</f>
        <v>#REF!</v>
      </c>
    </row>
    <row r="8487" spans="1:12" hidden="1" x14ac:dyDescent="0.3">
      <c r="A8487" t="s">
        <v>49</v>
      </c>
      <c r="B8487" t="s">
        <v>50</v>
      </c>
      <c r="C8487" t="s">
        <v>129</v>
      </c>
      <c r="D8487" t="s">
        <v>130</v>
      </c>
      <c r="E8487">
        <v>1966</v>
      </c>
      <c r="F8487" s="1">
        <v>72</v>
      </c>
      <c r="G8487">
        <v>1960</v>
      </c>
      <c r="H8487">
        <f>AVERAGEIFS(Table1[value],Table1[IndicatorCode],Table1[[#This Row],[IndicatorCode]])</f>
        <v>72.66514008620689</v>
      </c>
      <c r="I8487" cm="1">
        <f t="array" ref="I8487">_xlfn.STDEV.P(IF(Table1[IndicatorCode]=Table1[[#This Row],[IndicatorCode]],Table1[value]))</f>
        <v>6.3409496564024987</v>
      </c>
      <c r="J8487">
        <f>(Table1[[#This Row],[value]] - Table1[[#This Row],[mean]]) / Table1[[#This Row],[std_dev]]</f>
        <v>-0.10489597335555145</v>
      </c>
      <c r="K8487">
        <f>AVERAGEIF(Table1[CountryCode],Table1[[#This Row],[CountryCode]],Table1[z-score])</f>
        <v>0.3375502618800939</v>
      </c>
      <c r="L8487" t="e">
        <f>VLOOKUP(Table1[[#This Row],[CountryCode]],[1]!Table1[#All],1,FALSE)</f>
        <v>#REF!</v>
      </c>
    </row>
    <row r="8488" spans="1:12" hidden="1" x14ac:dyDescent="0.3">
      <c r="A8488" t="s">
        <v>49</v>
      </c>
      <c r="B8488" t="s">
        <v>50</v>
      </c>
      <c r="C8488" t="s">
        <v>129</v>
      </c>
      <c r="D8488" t="s">
        <v>130</v>
      </c>
      <c r="E8488">
        <v>1967</v>
      </c>
      <c r="F8488" s="1">
        <v>72</v>
      </c>
      <c r="G8488">
        <v>1970</v>
      </c>
      <c r="H8488">
        <f>AVERAGEIFS(Table1[value],Table1[IndicatorCode],Table1[[#This Row],[IndicatorCode]])</f>
        <v>72.66514008620689</v>
      </c>
      <c r="I8488" cm="1">
        <f t="array" ref="I8488">_xlfn.STDEV.P(IF(Table1[IndicatorCode]=Table1[[#This Row],[IndicatorCode]],Table1[value]))</f>
        <v>6.3409496564024987</v>
      </c>
      <c r="J8488">
        <f>(Table1[[#This Row],[value]] - Table1[[#This Row],[mean]]) / Table1[[#This Row],[std_dev]]</f>
        <v>-0.10489597335555145</v>
      </c>
      <c r="K8488">
        <f>AVERAGEIF(Table1[CountryCode],Table1[[#This Row],[CountryCode]],Table1[z-score])</f>
        <v>0.3375502618800939</v>
      </c>
      <c r="L8488" t="e">
        <f>VLOOKUP(Table1[[#This Row],[CountryCode]],[1]!Table1[#All],1,FALSE)</f>
        <v>#REF!</v>
      </c>
    </row>
    <row r="8489" spans="1:12" hidden="1" x14ac:dyDescent="0.3">
      <c r="A8489" t="s">
        <v>49</v>
      </c>
      <c r="B8489" t="s">
        <v>50</v>
      </c>
      <c r="C8489" t="s">
        <v>129</v>
      </c>
      <c r="D8489" t="s">
        <v>130</v>
      </c>
      <c r="E8489">
        <v>1968</v>
      </c>
      <c r="F8489" s="1">
        <v>72</v>
      </c>
      <c r="G8489">
        <v>1970</v>
      </c>
      <c r="H8489">
        <f>AVERAGEIFS(Table1[value],Table1[IndicatorCode],Table1[[#This Row],[IndicatorCode]])</f>
        <v>72.66514008620689</v>
      </c>
      <c r="I8489" cm="1">
        <f t="array" ref="I8489">_xlfn.STDEV.P(IF(Table1[IndicatorCode]=Table1[[#This Row],[IndicatorCode]],Table1[value]))</f>
        <v>6.3409496564024987</v>
      </c>
      <c r="J8489">
        <f>(Table1[[#This Row],[value]] - Table1[[#This Row],[mean]]) / Table1[[#This Row],[std_dev]]</f>
        <v>-0.10489597335555145</v>
      </c>
      <c r="K8489">
        <f>AVERAGEIF(Table1[CountryCode],Table1[[#This Row],[CountryCode]],Table1[z-score])</f>
        <v>0.3375502618800939</v>
      </c>
      <c r="L8489" t="e">
        <f>VLOOKUP(Table1[[#This Row],[CountryCode]],[1]!Table1[#All],1,FALSE)</f>
        <v>#REF!</v>
      </c>
    </row>
    <row r="8490" spans="1:12" hidden="1" x14ac:dyDescent="0.3">
      <c r="A8490" t="s">
        <v>49</v>
      </c>
      <c r="B8490" t="s">
        <v>50</v>
      </c>
      <c r="C8490" t="s">
        <v>129</v>
      </c>
      <c r="D8490" t="s">
        <v>130</v>
      </c>
      <c r="E8490">
        <v>1969</v>
      </c>
      <c r="F8490" s="1">
        <v>72</v>
      </c>
      <c r="G8490">
        <v>1970</v>
      </c>
      <c r="H8490">
        <f>AVERAGEIFS(Table1[value],Table1[IndicatorCode],Table1[[#This Row],[IndicatorCode]])</f>
        <v>72.66514008620689</v>
      </c>
      <c r="I8490" cm="1">
        <f t="array" ref="I8490">_xlfn.STDEV.P(IF(Table1[IndicatorCode]=Table1[[#This Row],[IndicatorCode]],Table1[value]))</f>
        <v>6.3409496564024987</v>
      </c>
      <c r="J8490">
        <f>(Table1[[#This Row],[value]] - Table1[[#This Row],[mean]]) / Table1[[#This Row],[std_dev]]</f>
        <v>-0.10489597335555145</v>
      </c>
      <c r="K8490">
        <f>AVERAGEIF(Table1[CountryCode],Table1[[#This Row],[CountryCode]],Table1[z-score])</f>
        <v>0.3375502618800939</v>
      </c>
      <c r="L8490" t="e">
        <f>VLOOKUP(Table1[[#This Row],[CountryCode]],[1]!Table1[#All],1,FALSE)</f>
        <v>#REF!</v>
      </c>
    </row>
    <row r="8491" spans="1:12" hidden="1" x14ac:dyDescent="0.3">
      <c r="A8491" t="s">
        <v>49</v>
      </c>
      <c r="B8491" t="s">
        <v>50</v>
      </c>
      <c r="C8491" t="s">
        <v>129</v>
      </c>
      <c r="D8491" t="s">
        <v>130</v>
      </c>
      <c r="E8491">
        <v>1970</v>
      </c>
      <c r="F8491" s="1">
        <v>72</v>
      </c>
      <c r="G8491">
        <v>1970</v>
      </c>
      <c r="H8491">
        <f>AVERAGEIFS(Table1[value],Table1[IndicatorCode],Table1[[#This Row],[IndicatorCode]])</f>
        <v>72.66514008620689</v>
      </c>
      <c r="I8491" cm="1">
        <f t="array" ref="I8491">_xlfn.STDEV.P(IF(Table1[IndicatorCode]=Table1[[#This Row],[IndicatorCode]],Table1[value]))</f>
        <v>6.3409496564024987</v>
      </c>
      <c r="J8491">
        <f>(Table1[[#This Row],[value]] - Table1[[#This Row],[mean]]) / Table1[[#This Row],[std_dev]]</f>
        <v>-0.10489597335555145</v>
      </c>
      <c r="K8491">
        <f>AVERAGEIF(Table1[CountryCode],Table1[[#This Row],[CountryCode]],Table1[z-score])</f>
        <v>0.3375502618800939</v>
      </c>
      <c r="L8491" t="e">
        <f>VLOOKUP(Table1[[#This Row],[CountryCode]],[1]!Table1[#All],1,FALSE)</f>
        <v>#REF!</v>
      </c>
    </row>
    <row r="8492" spans="1:12" hidden="1" x14ac:dyDescent="0.3">
      <c r="A8492" t="s">
        <v>49</v>
      </c>
      <c r="B8492" t="s">
        <v>50</v>
      </c>
      <c r="C8492" t="s">
        <v>129</v>
      </c>
      <c r="D8492" t="s">
        <v>130</v>
      </c>
      <c r="E8492">
        <v>1971</v>
      </c>
      <c r="F8492" s="1">
        <v>72</v>
      </c>
      <c r="G8492">
        <v>1970</v>
      </c>
      <c r="H8492">
        <f>AVERAGEIFS(Table1[value],Table1[IndicatorCode],Table1[[#This Row],[IndicatorCode]])</f>
        <v>72.66514008620689</v>
      </c>
      <c r="I8492" cm="1">
        <f t="array" ref="I8492">_xlfn.STDEV.P(IF(Table1[IndicatorCode]=Table1[[#This Row],[IndicatorCode]],Table1[value]))</f>
        <v>6.3409496564024987</v>
      </c>
      <c r="J8492">
        <f>(Table1[[#This Row],[value]] - Table1[[#This Row],[mean]]) / Table1[[#This Row],[std_dev]]</f>
        <v>-0.10489597335555145</v>
      </c>
      <c r="K8492">
        <f>AVERAGEIF(Table1[CountryCode],Table1[[#This Row],[CountryCode]],Table1[z-score])</f>
        <v>0.3375502618800939</v>
      </c>
      <c r="L8492" t="e">
        <f>VLOOKUP(Table1[[#This Row],[CountryCode]],[1]!Table1[#All],1,FALSE)</f>
        <v>#REF!</v>
      </c>
    </row>
    <row r="8493" spans="1:12" hidden="1" x14ac:dyDescent="0.3">
      <c r="A8493" t="s">
        <v>49</v>
      </c>
      <c r="B8493" t="s">
        <v>50</v>
      </c>
      <c r="C8493" t="s">
        <v>129</v>
      </c>
      <c r="D8493" t="s">
        <v>130</v>
      </c>
      <c r="E8493">
        <v>1972</v>
      </c>
      <c r="F8493" s="1">
        <v>72</v>
      </c>
      <c r="G8493">
        <v>1970</v>
      </c>
      <c r="H8493">
        <f>AVERAGEIFS(Table1[value],Table1[IndicatorCode],Table1[[#This Row],[IndicatorCode]])</f>
        <v>72.66514008620689</v>
      </c>
      <c r="I8493" cm="1">
        <f t="array" ref="I8493">_xlfn.STDEV.P(IF(Table1[IndicatorCode]=Table1[[#This Row],[IndicatorCode]],Table1[value]))</f>
        <v>6.3409496564024987</v>
      </c>
      <c r="J8493">
        <f>(Table1[[#This Row],[value]] - Table1[[#This Row],[mean]]) / Table1[[#This Row],[std_dev]]</f>
        <v>-0.10489597335555145</v>
      </c>
      <c r="K8493">
        <f>AVERAGEIF(Table1[CountryCode],Table1[[#This Row],[CountryCode]],Table1[z-score])</f>
        <v>0.3375502618800939</v>
      </c>
      <c r="L8493" t="e">
        <f>VLOOKUP(Table1[[#This Row],[CountryCode]],[1]!Table1[#All],1,FALSE)</f>
        <v>#REF!</v>
      </c>
    </row>
    <row r="8494" spans="1:12" hidden="1" x14ac:dyDescent="0.3">
      <c r="A8494" t="s">
        <v>49</v>
      </c>
      <c r="B8494" t="s">
        <v>50</v>
      </c>
      <c r="C8494" t="s">
        <v>129</v>
      </c>
      <c r="D8494" t="s">
        <v>130</v>
      </c>
      <c r="E8494">
        <v>1973</v>
      </c>
      <c r="F8494" s="1">
        <v>72</v>
      </c>
      <c r="G8494">
        <v>1970</v>
      </c>
      <c r="H8494">
        <f>AVERAGEIFS(Table1[value],Table1[IndicatorCode],Table1[[#This Row],[IndicatorCode]])</f>
        <v>72.66514008620689</v>
      </c>
      <c r="I8494" cm="1">
        <f t="array" ref="I8494">_xlfn.STDEV.P(IF(Table1[IndicatorCode]=Table1[[#This Row],[IndicatorCode]],Table1[value]))</f>
        <v>6.3409496564024987</v>
      </c>
      <c r="J8494">
        <f>(Table1[[#This Row],[value]] - Table1[[#This Row],[mean]]) / Table1[[#This Row],[std_dev]]</f>
        <v>-0.10489597335555145</v>
      </c>
      <c r="K8494">
        <f>AVERAGEIF(Table1[CountryCode],Table1[[#This Row],[CountryCode]],Table1[z-score])</f>
        <v>0.3375502618800939</v>
      </c>
      <c r="L8494" t="e">
        <f>VLOOKUP(Table1[[#This Row],[CountryCode]],[1]!Table1[#All],1,FALSE)</f>
        <v>#REF!</v>
      </c>
    </row>
    <row r="8495" spans="1:12" hidden="1" x14ac:dyDescent="0.3">
      <c r="A8495" t="s">
        <v>49</v>
      </c>
      <c r="B8495" t="s">
        <v>50</v>
      </c>
      <c r="C8495" t="s">
        <v>129</v>
      </c>
      <c r="D8495" t="s">
        <v>130</v>
      </c>
      <c r="E8495">
        <v>1974</v>
      </c>
      <c r="F8495" s="1">
        <v>73</v>
      </c>
      <c r="G8495">
        <v>1970</v>
      </c>
      <c r="H8495">
        <f>AVERAGEIFS(Table1[value],Table1[IndicatorCode],Table1[[#This Row],[IndicatorCode]])</f>
        <v>72.66514008620689</v>
      </c>
      <c r="I8495" cm="1">
        <f t="array" ref="I8495">_xlfn.STDEV.P(IF(Table1[IndicatorCode]=Table1[[#This Row],[IndicatorCode]],Table1[value]))</f>
        <v>6.3409496564024987</v>
      </c>
      <c r="J8495">
        <f>(Table1[[#This Row],[value]] - Table1[[#This Row],[mean]]) / Table1[[#This Row],[std_dev]]</f>
        <v>5.2809110927887599E-2</v>
      </c>
      <c r="K8495">
        <f>AVERAGEIF(Table1[CountryCode],Table1[[#This Row],[CountryCode]],Table1[z-score])</f>
        <v>0.3375502618800939</v>
      </c>
      <c r="L8495" t="e">
        <f>VLOOKUP(Table1[[#This Row],[CountryCode]],[1]!Table1[#All],1,FALSE)</f>
        <v>#REF!</v>
      </c>
    </row>
    <row r="8496" spans="1:12" hidden="1" x14ac:dyDescent="0.3">
      <c r="A8496" t="s">
        <v>49</v>
      </c>
      <c r="B8496" t="s">
        <v>50</v>
      </c>
      <c r="C8496" t="s">
        <v>129</v>
      </c>
      <c r="D8496" t="s">
        <v>130</v>
      </c>
      <c r="E8496">
        <v>1975</v>
      </c>
      <c r="F8496" s="1">
        <v>73</v>
      </c>
      <c r="G8496">
        <v>1970</v>
      </c>
      <c r="H8496">
        <f>AVERAGEIFS(Table1[value],Table1[IndicatorCode],Table1[[#This Row],[IndicatorCode]])</f>
        <v>72.66514008620689</v>
      </c>
      <c r="I8496" cm="1">
        <f t="array" ref="I8496">_xlfn.STDEV.P(IF(Table1[IndicatorCode]=Table1[[#This Row],[IndicatorCode]],Table1[value]))</f>
        <v>6.3409496564024987</v>
      </c>
      <c r="J8496">
        <f>(Table1[[#This Row],[value]] - Table1[[#This Row],[mean]]) / Table1[[#This Row],[std_dev]]</f>
        <v>5.2809110927887599E-2</v>
      </c>
      <c r="K8496">
        <f>AVERAGEIF(Table1[CountryCode],Table1[[#This Row],[CountryCode]],Table1[z-score])</f>
        <v>0.3375502618800939</v>
      </c>
      <c r="L8496" t="e">
        <f>VLOOKUP(Table1[[#This Row],[CountryCode]],[1]!Table1[#All],1,FALSE)</f>
        <v>#REF!</v>
      </c>
    </row>
    <row r="8497" spans="1:12" hidden="1" x14ac:dyDescent="0.3">
      <c r="A8497" t="s">
        <v>49</v>
      </c>
      <c r="B8497" t="s">
        <v>50</v>
      </c>
      <c r="C8497" t="s">
        <v>129</v>
      </c>
      <c r="D8497" t="s">
        <v>130</v>
      </c>
      <c r="E8497">
        <v>1976</v>
      </c>
      <c r="F8497" s="1">
        <v>73</v>
      </c>
      <c r="G8497">
        <v>1970</v>
      </c>
      <c r="H8497">
        <f>AVERAGEIFS(Table1[value],Table1[IndicatorCode],Table1[[#This Row],[IndicatorCode]])</f>
        <v>72.66514008620689</v>
      </c>
      <c r="I8497" cm="1">
        <f t="array" ref="I8497">_xlfn.STDEV.P(IF(Table1[IndicatorCode]=Table1[[#This Row],[IndicatorCode]],Table1[value]))</f>
        <v>6.3409496564024987</v>
      </c>
      <c r="J8497">
        <f>(Table1[[#This Row],[value]] - Table1[[#This Row],[mean]]) / Table1[[#This Row],[std_dev]]</f>
        <v>5.2809110927887599E-2</v>
      </c>
      <c r="K8497">
        <f>AVERAGEIF(Table1[CountryCode],Table1[[#This Row],[CountryCode]],Table1[z-score])</f>
        <v>0.3375502618800939</v>
      </c>
      <c r="L8497" t="e">
        <f>VLOOKUP(Table1[[#This Row],[CountryCode]],[1]!Table1[#All],1,FALSE)</f>
        <v>#REF!</v>
      </c>
    </row>
    <row r="8498" spans="1:12" hidden="1" x14ac:dyDescent="0.3">
      <c r="A8498" t="s">
        <v>49</v>
      </c>
      <c r="B8498" t="s">
        <v>50</v>
      </c>
      <c r="C8498" t="s">
        <v>129</v>
      </c>
      <c r="D8498" t="s">
        <v>130</v>
      </c>
      <c r="E8498">
        <v>1977</v>
      </c>
      <c r="F8498" s="1">
        <v>73</v>
      </c>
      <c r="G8498">
        <v>1980</v>
      </c>
      <c r="H8498">
        <f>AVERAGEIFS(Table1[value],Table1[IndicatorCode],Table1[[#This Row],[IndicatorCode]])</f>
        <v>72.66514008620689</v>
      </c>
      <c r="I8498" cm="1">
        <f t="array" ref="I8498">_xlfn.STDEV.P(IF(Table1[IndicatorCode]=Table1[[#This Row],[IndicatorCode]],Table1[value]))</f>
        <v>6.3409496564024987</v>
      </c>
      <c r="J8498">
        <f>(Table1[[#This Row],[value]] - Table1[[#This Row],[mean]]) / Table1[[#This Row],[std_dev]]</f>
        <v>5.2809110927887599E-2</v>
      </c>
      <c r="K8498">
        <f>AVERAGEIF(Table1[CountryCode],Table1[[#This Row],[CountryCode]],Table1[z-score])</f>
        <v>0.3375502618800939</v>
      </c>
      <c r="L8498" t="e">
        <f>VLOOKUP(Table1[[#This Row],[CountryCode]],[1]!Table1[#All],1,FALSE)</f>
        <v>#REF!</v>
      </c>
    </row>
    <row r="8499" spans="1:12" hidden="1" x14ac:dyDescent="0.3">
      <c r="A8499" t="s">
        <v>49</v>
      </c>
      <c r="B8499" t="s">
        <v>50</v>
      </c>
      <c r="C8499" t="s">
        <v>129</v>
      </c>
      <c r="D8499" t="s">
        <v>130</v>
      </c>
      <c r="E8499">
        <v>1978</v>
      </c>
      <c r="F8499" s="1">
        <v>73</v>
      </c>
      <c r="G8499">
        <v>1980</v>
      </c>
      <c r="H8499">
        <f>AVERAGEIFS(Table1[value],Table1[IndicatorCode],Table1[[#This Row],[IndicatorCode]])</f>
        <v>72.66514008620689</v>
      </c>
      <c r="I8499" cm="1">
        <f t="array" ref="I8499">_xlfn.STDEV.P(IF(Table1[IndicatorCode]=Table1[[#This Row],[IndicatorCode]],Table1[value]))</f>
        <v>6.3409496564024987</v>
      </c>
      <c r="J8499">
        <f>(Table1[[#This Row],[value]] - Table1[[#This Row],[mean]]) / Table1[[#This Row],[std_dev]]</f>
        <v>5.2809110927887599E-2</v>
      </c>
      <c r="K8499">
        <f>AVERAGEIF(Table1[CountryCode],Table1[[#This Row],[CountryCode]],Table1[z-score])</f>
        <v>0.3375502618800939</v>
      </c>
      <c r="L8499" t="e">
        <f>VLOOKUP(Table1[[#This Row],[CountryCode]],[1]!Table1[#All],1,FALSE)</f>
        <v>#REF!</v>
      </c>
    </row>
    <row r="8500" spans="1:12" hidden="1" x14ac:dyDescent="0.3">
      <c r="A8500" t="s">
        <v>49</v>
      </c>
      <c r="B8500" t="s">
        <v>50</v>
      </c>
      <c r="C8500" t="s">
        <v>129</v>
      </c>
      <c r="D8500" t="s">
        <v>130</v>
      </c>
      <c r="E8500">
        <v>1979</v>
      </c>
      <c r="F8500" s="1">
        <v>73</v>
      </c>
      <c r="G8500">
        <v>1980</v>
      </c>
      <c r="H8500">
        <f>AVERAGEIFS(Table1[value],Table1[IndicatorCode],Table1[[#This Row],[IndicatorCode]])</f>
        <v>72.66514008620689</v>
      </c>
      <c r="I8500" cm="1">
        <f t="array" ref="I8500">_xlfn.STDEV.P(IF(Table1[IndicatorCode]=Table1[[#This Row],[IndicatorCode]],Table1[value]))</f>
        <v>6.3409496564024987</v>
      </c>
      <c r="J8500">
        <f>(Table1[[#This Row],[value]] - Table1[[#This Row],[mean]]) / Table1[[#This Row],[std_dev]]</f>
        <v>5.2809110927887599E-2</v>
      </c>
      <c r="K8500">
        <f>AVERAGEIF(Table1[CountryCode],Table1[[#This Row],[CountryCode]],Table1[z-score])</f>
        <v>0.3375502618800939</v>
      </c>
      <c r="L8500" t="e">
        <f>VLOOKUP(Table1[[#This Row],[CountryCode]],[1]!Table1[#All],1,FALSE)</f>
        <v>#REF!</v>
      </c>
    </row>
    <row r="8501" spans="1:12" hidden="1" x14ac:dyDescent="0.3">
      <c r="A8501" t="s">
        <v>49</v>
      </c>
      <c r="B8501" t="s">
        <v>50</v>
      </c>
      <c r="C8501" t="s">
        <v>129</v>
      </c>
      <c r="D8501" t="s">
        <v>130</v>
      </c>
      <c r="E8501">
        <v>1980</v>
      </c>
      <c r="F8501" s="1">
        <v>74</v>
      </c>
      <c r="G8501">
        <v>1980</v>
      </c>
      <c r="H8501">
        <f>AVERAGEIFS(Table1[value],Table1[IndicatorCode],Table1[[#This Row],[IndicatorCode]])</f>
        <v>72.66514008620689</v>
      </c>
      <c r="I8501" cm="1">
        <f t="array" ref="I8501">_xlfn.STDEV.P(IF(Table1[IndicatorCode]=Table1[[#This Row],[IndicatorCode]],Table1[value]))</f>
        <v>6.3409496564024987</v>
      </c>
      <c r="J8501">
        <f>(Table1[[#This Row],[value]] - Table1[[#This Row],[mean]]) / Table1[[#This Row],[std_dev]]</f>
        <v>0.21051419521132667</v>
      </c>
      <c r="K8501">
        <f>AVERAGEIF(Table1[CountryCode],Table1[[#This Row],[CountryCode]],Table1[z-score])</f>
        <v>0.3375502618800939</v>
      </c>
      <c r="L8501" t="e">
        <f>VLOOKUP(Table1[[#This Row],[CountryCode]],[1]!Table1[#All],1,FALSE)</f>
        <v>#REF!</v>
      </c>
    </row>
    <row r="8502" spans="1:12" hidden="1" x14ac:dyDescent="0.3">
      <c r="A8502" t="s">
        <v>49</v>
      </c>
      <c r="B8502" t="s">
        <v>50</v>
      </c>
      <c r="C8502" t="s">
        <v>129</v>
      </c>
      <c r="D8502" t="s">
        <v>130</v>
      </c>
      <c r="E8502">
        <v>1981</v>
      </c>
      <c r="F8502" s="1">
        <v>74</v>
      </c>
      <c r="G8502">
        <v>1980</v>
      </c>
      <c r="H8502">
        <f>AVERAGEIFS(Table1[value],Table1[IndicatorCode],Table1[[#This Row],[IndicatorCode]])</f>
        <v>72.66514008620689</v>
      </c>
      <c r="I8502" cm="1">
        <f t="array" ref="I8502">_xlfn.STDEV.P(IF(Table1[IndicatorCode]=Table1[[#This Row],[IndicatorCode]],Table1[value]))</f>
        <v>6.3409496564024987</v>
      </c>
      <c r="J8502">
        <f>(Table1[[#This Row],[value]] - Table1[[#This Row],[mean]]) / Table1[[#This Row],[std_dev]]</f>
        <v>0.21051419521132667</v>
      </c>
      <c r="K8502">
        <f>AVERAGEIF(Table1[CountryCode],Table1[[#This Row],[CountryCode]],Table1[z-score])</f>
        <v>0.3375502618800939</v>
      </c>
      <c r="L8502" t="e">
        <f>VLOOKUP(Table1[[#This Row],[CountryCode]],[1]!Table1[#All],1,FALSE)</f>
        <v>#REF!</v>
      </c>
    </row>
    <row r="8503" spans="1:12" hidden="1" x14ac:dyDescent="0.3">
      <c r="A8503" t="s">
        <v>49</v>
      </c>
      <c r="B8503" t="s">
        <v>50</v>
      </c>
      <c r="C8503" t="s">
        <v>129</v>
      </c>
      <c r="D8503" t="s">
        <v>130</v>
      </c>
      <c r="E8503">
        <v>1982</v>
      </c>
      <c r="F8503" s="1">
        <v>74</v>
      </c>
      <c r="G8503">
        <v>1980</v>
      </c>
      <c r="H8503">
        <f>AVERAGEIFS(Table1[value],Table1[IndicatorCode],Table1[[#This Row],[IndicatorCode]])</f>
        <v>72.66514008620689</v>
      </c>
      <c r="I8503" cm="1">
        <f t="array" ref="I8503">_xlfn.STDEV.P(IF(Table1[IndicatorCode]=Table1[[#This Row],[IndicatorCode]],Table1[value]))</f>
        <v>6.3409496564024987</v>
      </c>
      <c r="J8503">
        <f>(Table1[[#This Row],[value]] - Table1[[#This Row],[mean]]) / Table1[[#This Row],[std_dev]]</f>
        <v>0.21051419521132667</v>
      </c>
      <c r="K8503">
        <f>AVERAGEIF(Table1[CountryCode],Table1[[#This Row],[CountryCode]],Table1[z-score])</f>
        <v>0.3375502618800939</v>
      </c>
      <c r="L8503" t="e">
        <f>VLOOKUP(Table1[[#This Row],[CountryCode]],[1]!Table1[#All],1,FALSE)</f>
        <v>#REF!</v>
      </c>
    </row>
    <row r="8504" spans="1:12" hidden="1" x14ac:dyDescent="0.3">
      <c r="A8504" t="s">
        <v>49</v>
      </c>
      <c r="B8504" t="s">
        <v>50</v>
      </c>
      <c r="C8504" t="s">
        <v>129</v>
      </c>
      <c r="D8504" t="s">
        <v>130</v>
      </c>
      <c r="E8504">
        <v>1983</v>
      </c>
      <c r="F8504" s="1">
        <v>74</v>
      </c>
      <c r="G8504">
        <v>1980</v>
      </c>
      <c r="H8504">
        <f>AVERAGEIFS(Table1[value],Table1[IndicatorCode],Table1[[#This Row],[IndicatorCode]])</f>
        <v>72.66514008620689</v>
      </c>
      <c r="I8504" cm="1">
        <f t="array" ref="I8504">_xlfn.STDEV.P(IF(Table1[IndicatorCode]=Table1[[#This Row],[IndicatorCode]],Table1[value]))</f>
        <v>6.3409496564024987</v>
      </c>
      <c r="J8504">
        <f>(Table1[[#This Row],[value]] - Table1[[#This Row],[mean]]) / Table1[[#This Row],[std_dev]]</f>
        <v>0.21051419521132667</v>
      </c>
      <c r="K8504">
        <f>AVERAGEIF(Table1[CountryCode],Table1[[#This Row],[CountryCode]],Table1[z-score])</f>
        <v>0.3375502618800939</v>
      </c>
      <c r="L8504" t="e">
        <f>VLOOKUP(Table1[[#This Row],[CountryCode]],[1]!Table1[#All],1,FALSE)</f>
        <v>#REF!</v>
      </c>
    </row>
    <row r="8505" spans="1:12" hidden="1" x14ac:dyDescent="0.3">
      <c r="A8505" t="s">
        <v>49</v>
      </c>
      <c r="B8505" t="s">
        <v>50</v>
      </c>
      <c r="C8505" t="s">
        <v>129</v>
      </c>
      <c r="D8505" t="s">
        <v>130</v>
      </c>
      <c r="E8505">
        <v>1984</v>
      </c>
      <c r="F8505" s="1">
        <v>75</v>
      </c>
      <c r="G8505">
        <v>1980</v>
      </c>
      <c r="H8505">
        <f>AVERAGEIFS(Table1[value],Table1[IndicatorCode],Table1[[#This Row],[IndicatorCode]])</f>
        <v>72.66514008620689</v>
      </c>
      <c r="I8505" cm="1">
        <f t="array" ref="I8505">_xlfn.STDEV.P(IF(Table1[IndicatorCode]=Table1[[#This Row],[IndicatorCode]],Table1[value]))</f>
        <v>6.3409496564024987</v>
      </c>
      <c r="J8505">
        <f>(Table1[[#This Row],[value]] - Table1[[#This Row],[mean]]) / Table1[[#This Row],[std_dev]]</f>
        <v>0.36821927949476574</v>
      </c>
      <c r="K8505">
        <f>AVERAGEIF(Table1[CountryCode],Table1[[#This Row],[CountryCode]],Table1[z-score])</f>
        <v>0.3375502618800939</v>
      </c>
      <c r="L8505" t="e">
        <f>VLOOKUP(Table1[[#This Row],[CountryCode]],[1]!Table1[#All],1,FALSE)</f>
        <v>#REF!</v>
      </c>
    </row>
    <row r="8506" spans="1:12" hidden="1" x14ac:dyDescent="0.3">
      <c r="A8506" t="s">
        <v>49</v>
      </c>
      <c r="B8506" t="s">
        <v>50</v>
      </c>
      <c r="C8506" t="s">
        <v>129</v>
      </c>
      <c r="D8506" t="s">
        <v>130</v>
      </c>
      <c r="E8506">
        <v>1985</v>
      </c>
      <c r="F8506" s="1">
        <v>75</v>
      </c>
      <c r="G8506">
        <v>1980</v>
      </c>
      <c r="H8506">
        <f>AVERAGEIFS(Table1[value],Table1[IndicatorCode],Table1[[#This Row],[IndicatorCode]])</f>
        <v>72.66514008620689</v>
      </c>
      <c r="I8506" cm="1">
        <f t="array" ref="I8506">_xlfn.STDEV.P(IF(Table1[IndicatorCode]=Table1[[#This Row],[IndicatorCode]],Table1[value]))</f>
        <v>6.3409496564024987</v>
      </c>
      <c r="J8506">
        <f>(Table1[[#This Row],[value]] - Table1[[#This Row],[mean]]) / Table1[[#This Row],[std_dev]]</f>
        <v>0.36821927949476574</v>
      </c>
      <c r="K8506">
        <f>AVERAGEIF(Table1[CountryCode],Table1[[#This Row],[CountryCode]],Table1[z-score])</f>
        <v>0.3375502618800939</v>
      </c>
      <c r="L8506" t="e">
        <f>VLOOKUP(Table1[[#This Row],[CountryCode]],[1]!Table1[#All],1,FALSE)</f>
        <v>#REF!</v>
      </c>
    </row>
    <row r="8507" spans="1:12" hidden="1" x14ac:dyDescent="0.3">
      <c r="A8507" t="s">
        <v>49</v>
      </c>
      <c r="B8507" t="s">
        <v>50</v>
      </c>
      <c r="C8507" t="s">
        <v>129</v>
      </c>
      <c r="D8507" t="s">
        <v>130</v>
      </c>
      <c r="E8507">
        <v>1986</v>
      </c>
      <c r="F8507" s="1">
        <v>75</v>
      </c>
      <c r="G8507">
        <v>1980</v>
      </c>
      <c r="H8507">
        <f>AVERAGEIFS(Table1[value],Table1[IndicatorCode],Table1[[#This Row],[IndicatorCode]])</f>
        <v>72.66514008620689</v>
      </c>
      <c r="I8507" cm="1">
        <f t="array" ref="I8507">_xlfn.STDEV.P(IF(Table1[IndicatorCode]=Table1[[#This Row],[IndicatorCode]],Table1[value]))</f>
        <v>6.3409496564024987</v>
      </c>
      <c r="J8507">
        <f>(Table1[[#This Row],[value]] - Table1[[#This Row],[mean]]) / Table1[[#This Row],[std_dev]]</f>
        <v>0.36821927949476574</v>
      </c>
      <c r="K8507">
        <f>AVERAGEIF(Table1[CountryCode],Table1[[#This Row],[CountryCode]],Table1[z-score])</f>
        <v>0.3375502618800939</v>
      </c>
      <c r="L8507" t="e">
        <f>VLOOKUP(Table1[[#This Row],[CountryCode]],[1]!Table1[#All],1,FALSE)</f>
        <v>#REF!</v>
      </c>
    </row>
    <row r="8508" spans="1:12" hidden="1" x14ac:dyDescent="0.3">
      <c r="A8508" t="s">
        <v>49</v>
      </c>
      <c r="B8508" t="s">
        <v>50</v>
      </c>
      <c r="C8508" t="s">
        <v>129</v>
      </c>
      <c r="D8508" t="s">
        <v>130</v>
      </c>
      <c r="E8508">
        <v>1987</v>
      </c>
      <c r="F8508" s="1">
        <v>75</v>
      </c>
      <c r="G8508">
        <v>1990</v>
      </c>
      <c r="H8508">
        <f>AVERAGEIFS(Table1[value],Table1[IndicatorCode],Table1[[#This Row],[IndicatorCode]])</f>
        <v>72.66514008620689</v>
      </c>
      <c r="I8508" cm="1">
        <f t="array" ref="I8508">_xlfn.STDEV.P(IF(Table1[IndicatorCode]=Table1[[#This Row],[IndicatorCode]],Table1[value]))</f>
        <v>6.3409496564024987</v>
      </c>
      <c r="J8508">
        <f>(Table1[[#This Row],[value]] - Table1[[#This Row],[mean]]) / Table1[[#This Row],[std_dev]]</f>
        <v>0.36821927949476574</v>
      </c>
      <c r="K8508">
        <f>AVERAGEIF(Table1[CountryCode],Table1[[#This Row],[CountryCode]],Table1[z-score])</f>
        <v>0.3375502618800939</v>
      </c>
      <c r="L8508" t="e">
        <f>VLOOKUP(Table1[[#This Row],[CountryCode]],[1]!Table1[#All],1,FALSE)</f>
        <v>#REF!</v>
      </c>
    </row>
    <row r="8509" spans="1:12" hidden="1" x14ac:dyDescent="0.3">
      <c r="A8509" t="s">
        <v>49</v>
      </c>
      <c r="B8509" t="s">
        <v>50</v>
      </c>
      <c r="C8509" t="s">
        <v>129</v>
      </c>
      <c r="D8509" t="s">
        <v>130</v>
      </c>
      <c r="E8509">
        <v>1988</v>
      </c>
      <c r="F8509" s="1">
        <v>75</v>
      </c>
      <c r="G8509">
        <v>1990</v>
      </c>
      <c r="H8509">
        <f>AVERAGEIFS(Table1[value],Table1[IndicatorCode],Table1[[#This Row],[IndicatorCode]])</f>
        <v>72.66514008620689</v>
      </c>
      <c r="I8509" cm="1">
        <f t="array" ref="I8509">_xlfn.STDEV.P(IF(Table1[IndicatorCode]=Table1[[#This Row],[IndicatorCode]],Table1[value]))</f>
        <v>6.3409496564024987</v>
      </c>
      <c r="J8509">
        <f>(Table1[[#This Row],[value]] - Table1[[#This Row],[mean]]) / Table1[[#This Row],[std_dev]]</f>
        <v>0.36821927949476574</v>
      </c>
      <c r="K8509">
        <f>AVERAGEIF(Table1[CountryCode],Table1[[#This Row],[CountryCode]],Table1[z-score])</f>
        <v>0.3375502618800939</v>
      </c>
      <c r="L8509" t="e">
        <f>VLOOKUP(Table1[[#This Row],[CountryCode]],[1]!Table1[#All],1,FALSE)</f>
        <v>#REF!</v>
      </c>
    </row>
    <row r="8510" spans="1:12" hidden="1" x14ac:dyDescent="0.3">
      <c r="A8510" t="s">
        <v>49</v>
      </c>
      <c r="B8510" t="s">
        <v>50</v>
      </c>
      <c r="C8510" t="s">
        <v>129</v>
      </c>
      <c r="D8510" t="s">
        <v>130</v>
      </c>
      <c r="E8510">
        <v>1989</v>
      </c>
      <c r="F8510" s="1">
        <v>76</v>
      </c>
      <c r="G8510">
        <v>1990</v>
      </c>
      <c r="H8510">
        <f>AVERAGEIFS(Table1[value],Table1[IndicatorCode],Table1[[#This Row],[IndicatorCode]])</f>
        <v>72.66514008620689</v>
      </c>
      <c r="I8510" cm="1">
        <f t="array" ref="I8510">_xlfn.STDEV.P(IF(Table1[IndicatorCode]=Table1[[#This Row],[IndicatorCode]],Table1[value]))</f>
        <v>6.3409496564024987</v>
      </c>
      <c r="J8510">
        <f>(Table1[[#This Row],[value]] - Table1[[#This Row],[mean]]) / Table1[[#This Row],[std_dev]]</f>
        <v>0.52592436377820473</v>
      </c>
      <c r="K8510">
        <f>AVERAGEIF(Table1[CountryCode],Table1[[#This Row],[CountryCode]],Table1[z-score])</f>
        <v>0.3375502618800939</v>
      </c>
      <c r="L8510" t="e">
        <f>VLOOKUP(Table1[[#This Row],[CountryCode]],[1]!Table1[#All],1,FALSE)</f>
        <v>#REF!</v>
      </c>
    </row>
    <row r="8511" spans="1:12" hidden="1" x14ac:dyDescent="0.3">
      <c r="A8511" t="s">
        <v>49</v>
      </c>
      <c r="B8511" t="s">
        <v>50</v>
      </c>
      <c r="C8511" t="s">
        <v>129</v>
      </c>
      <c r="D8511" t="s">
        <v>130</v>
      </c>
      <c r="E8511">
        <v>1990</v>
      </c>
      <c r="F8511" s="1">
        <v>76</v>
      </c>
      <c r="G8511">
        <v>1990</v>
      </c>
      <c r="H8511">
        <f>AVERAGEIFS(Table1[value],Table1[IndicatorCode],Table1[[#This Row],[IndicatorCode]])</f>
        <v>72.66514008620689</v>
      </c>
      <c r="I8511" cm="1">
        <f t="array" ref="I8511">_xlfn.STDEV.P(IF(Table1[IndicatorCode]=Table1[[#This Row],[IndicatorCode]],Table1[value]))</f>
        <v>6.3409496564024987</v>
      </c>
      <c r="J8511">
        <f>(Table1[[#This Row],[value]] - Table1[[#This Row],[mean]]) / Table1[[#This Row],[std_dev]]</f>
        <v>0.52592436377820473</v>
      </c>
      <c r="K8511">
        <f>AVERAGEIF(Table1[CountryCode],Table1[[#This Row],[CountryCode]],Table1[z-score])</f>
        <v>0.3375502618800939</v>
      </c>
      <c r="L8511" t="e">
        <f>VLOOKUP(Table1[[#This Row],[CountryCode]],[1]!Table1[#All],1,FALSE)</f>
        <v>#REF!</v>
      </c>
    </row>
    <row r="8512" spans="1:12" hidden="1" x14ac:dyDescent="0.3">
      <c r="A8512" t="s">
        <v>49</v>
      </c>
      <c r="B8512" t="s">
        <v>50</v>
      </c>
      <c r="C8512" t="s">
        <v>129</v>
      </c>
      <c r="D8512" t="s">
        <v>130</v>
      </c>
      <c r="E8512">
        <v>1991</v>
      </c>
      <c r="F8512" s="1">
        <v>76</v>
      </c>
      <c r="G8512">
        <v>1990</v>
      </c>
      <c r="H8512">
        <f>AVERAGEIFS(Table1[value],Table1[IndicatorCode],Table1[[#This Row],[IndicatorCode]])</f>
        <v>72.66514008620689</v>
      </c>
      <c r="I8512" cm="1">
        <f t="array" ref="I8512">_xlfn.STDEV.P(IF(Table1[IndicatorCode]=Table1[[#This Row],[IndicatorCode]],Table1[value]))</f>
        <v>6.3409496564024987</v>
      </c>
      <c r="J8512">
        <f>(Table1[[#This Row],[value]] - Table1[[#This Row],[mean]]) / Table1[[#This Row],[std_dev]]</f>
        <v>0.52592436377820473</v>
      </c>
      <c r="K8512">
        <f>AVERAGEIF(Table1[CountryCode],Table1[[#This Row],[CountryCode]],Table1[z-score])</f>
        <v>0.3375502618800939</v>
      </c>
      <c r="L8512" t="e">
        <f>VLOOKUP(Table1[[#This Row],[CountryCode]],[1]!Table1[#All],1,FALSE)</f>
        <v>#REF!</v>
      </c>
    </row>
    <row r="8513" spans="1:12" hidden="1" x14ac:dyDescent="0.3">
      <c r="A8513" t="s">
        <v>49</v>
      </c>
      <c r="B8513" t="s">
        <v>50</v>
      </c>
      <c r="C8513" t="s">
        <v>129</v>
      </c>
      <c r="D8513" t="s">
        <v>130</v>
      </c>
      <c r="E8513">
        <v>1992</v>
      </c>
      <c r="F8513" s="1">
        <v>76</v>
      </c>
      <c r="G8513">
        <v>1990</v>
      </c>
      <c r="H8513">
        <f>AVERAGEIFS(Table1[value],Table1[IndicatorCode],Table1[[#This Row],[IndicatorCode]])</f>
        <v>72.66514008620689</v>
      </c>
      <c r="I8513" cm="1">
        <f t="array" ref="I8513">_xlfn.STDEV.P(IF(Table1[IndicatorCode]=Table1[[#This Row],[IndicatorCode]],Table1[value]))</f>
        <v>6.3409496564024987</v>
      </c>
      <c r="J8513">
        <f>(Table1[[#This Row],[value]] - Table1[[#This Row],[mean]]) / Table1[[#This Row],[std_dev]]</f>
        <v>0.52592436377820473</v>
      </c>
      <c r="K8513">
        <f>AVERAGEIF(Table1[CountryCode],Table1[[#This Row],[CountryCode]],Table1[z-score])</f>
        <v>0.3375502618800939</v>
      </c>
      <c r="L8513" t="e">
        <f>VLOOKUP(Table1[[#This Row],[CountryCode]],[1]!Table1[#All],1,FALSE)</f>
        <v>#REF!</v>
      </c>
    </row>
    <row r="8514" spans="1:12" hidden="1" x14ac:dyDescent="0.3">
      <c r="A8514" t="s">
        <v>49</v>
      </c>
      <c r="B8514" t="s">
        <v>50</v>
      </c>
      <c r="C8514" t="s">
        <v>129</v>
      </c>
      <c r="D8514" t="s">
        <v>130</v>
      </c>
      <c r="E8514">
        <v>1993</v>
      </c>
      <c r="F8514" s="1">
        <v>76</v>
      </c>
      <c r="G8514">
        <v>1990</v>
      </c>
      <c r="H8514">
        <f>AVERAGEIFS(Table1[value],Table1[IndicatorCode],Table1[[#This Row],[IndicatorCode]])</f>
        <v>72.66514008620689</v>
      </c>
      <c r="I8514" cm="1">
        <f t="array" ref="I8514">_xlfn.STDEV.P(IF(Table1[IndicatorCode]=Table1[[#This Row],[IndicatorCode]],Table1[value]))</f>
        <v>6.3409496564024987</v>
      </c>
      <c r="J8514">
        <f>(Table1[[#This Row],[value]] - Table1[[#This Row],[mean]]) / Table1[[#This Row],[std_dev]]</f>
        <v>0.52592436377820473</v>
      </c>
      <c r="K8514">
        <f>AVERAGEIF(Table1[CountryCode],Table1[[#This Row],[CountryCode]],Table1[z-score])</f>
        <v>0.3375502618800939</v>
      </c>
      <c r="L8514" t="e">
        <f>VLOOKUP(Table1[[#This Row],[CountryCode]],[1]!Table1[#All],1,FALSE)</f>
        <v>#REF!</v>
      </c>
    </row>
    <row r="8515" spans="1:12" hidden="1" x14ac:dyDescent="0.3">
      <c r="A8515" t="s">
        <v>49</v>
      </c>
      <c r="B8515" t="s">
        <v>50</v>
      </c>
      <c r="C8515" t="s">
        <v>129</v>
      </c>
      <c r="D8515" t="s">
        <v>130</v>
      </c>
      <c r="E8515">
        <v>1994</v>
      </c>
      <c r="F8515" s="1">
        <v>77</v>
      </c>
      <c r="G8515">
        <v>1990</v>
      </c>
      <c r="H8515">
        <f>AVERAGEIFS(Table1[value],Table1[IndicatorCode],Table1[[#This Row],[IndicatorCode]])</f>
        <v>72.66514008620689</v>
      </c>
      <c r="I8515" cm="1">
        <f t="array" ref="I8515">_xlfn.STDEV.P(IF(Table1[IndicatorCode]=Table1[[#This Row],[IndicatorCode]],Table1[value]))</f>
        <v>6.3409496564024987</v>
      </c>
      <c r="J8515">
        <f>(Table1[[#This Row],[value]] - Table1[[#This Row],[mean]]) / Table1[[#This Row],[std_dev]]</f>
        <v>0.68362944806164383</v>
      </c>
      <c r="K8515">
        <f>AVERAGEIF(Table1[CountryCode],Table1[[#This Row],[CountryCode]],Table1[z-score])</f>
        <v>0.3375502618800939</v>
      </c>
      <c r="L8515" t="e">
        <f>VLOOKUP(Table1[[#This Row],[CountryCode]],[1]!Table1[#All],1,FALSE)</f>
        <v>#REF!</v>
      </c>
    </row>
    <row r="8516" spans="1:12" hidden="1" x14ac:dyDescent="0.3">
      <c r="A8516" t="s">
        <v>49</v>
      </c>
      <c r="B8516" t="s">
        <v>50</v>
      </c>
      <c r="C8516" t="s">
        <v>129</v>
      </c>
      <c r="D8516" t="s">
        <v>130</v>
      </c>
      <c r="E8516">
        <v>1995</v>
      </c>
      <c r="F8516" s="1">
        <v>77</v>
      </c>
      <c r="G8516">
        <v>1990</v>
      </c>
      <c r="H8516">
        <f>AVERAGEIFS(Table1[value],Table1[IndicatorCode],Table1[[#This Row],[IndicatorCode]])</f>
        <v>72.66514008620689</v>
      </c>
      <c r="I8516" cm="1">
        <f t="array" ref="I8516">_xlfn.STDEV.P(IF(Table1[IndicatorCode]=Table1[[#This Row],[IndicatorCode]],Table1[value]))</f>
        <v>6.3409496564024987</v>
      </c>
      <c r="J8516">
        <f>(Table1[[#This Row],[value]] - Table1[[#This Row],[mean]]) / Table1[[#This Row],[std_dev]]</f>
        <v>0.68362944806164383</v>
      </c>
      <c r="K8516">
        <f>AVERAGEIF(Table1[CountryCode],Table1[[#This Row],[CountryCode]],Table1[z-score])</f>
        <v>0.3375502618800939</v>
      </c>
      <c r="L8516" t="e">
        <f>VLOOKUP(Table1[[#This Row],[CountryCode]],[1]!Table1[#All],1,FALSE)</f>
        <v>#REF!</v>
      </c>
    </row>
    <row r="8517" spans="1:12" hidden="1" x14ac:dyDescent="0.3">
      <c r="A8517" t="s">
        <v>49</v>
      </c>
      <c r="B8517" t="s">
        <v>50</v>
      </c>
      <c r="C8517" t="s">
        <v>129</v>
      </c>
      <c r="D8517" t="s">
        <v>130</v>
      </c>
      <c r="E8517">
        <v>1996</v>
      </c>
      <c r="F8517" s="1">
        <v>77</v>
      </c>
      <c r="G8517">
        <v>1990</v>
      </c>
      <c r="H8517">
        <f>AVERAGEIFS(Table1[value],Table1[IndicatorCode],Table1[[#This Row],[IndicatorCode]])</f>
        <v>72.66514008620689</v>
      </c>
      <c r="I8517" cm="1">
        <f t="array" ref="I8517">_xlfn.STDEV.P(IF(Table1[IndicatorCode]=Table1[[#This Row],[IndicatorCode]],Table1[value]))</f>
        <v>6.3409496564024987</v>
      </c>
      <c r="J8517">
        <f>(Table1[[#This Row],[value]] - Table1[[#This Row],[mean]]) / Table1[[#This Row],[std_dev]]</f>
        <v>0.68362944806164383</v>
      </c>
      <c r="K8517">
        <f>AVERAGEIF(Table1[CountryCode],Table1[[#This Row],[CountryCode]],Table1[z-score])</f>
        <v>0.3375502618800939</v>
      </c>
      <c r="L8517" t="e">
        <f>VLOOKUP(Table1[[#This Row],[CountryCode]],[1]!Table1[#All],1,FALSE)</f>
        <v>#REF!</v>
      </c>
    </row>
    <row r="8518" spans="1:12" hidden="1" x14ac:dyDescent="0.3">
      <c r="A8518" t="s">
        <v>49</v>
      </c>
      <c r="B8518" t="s">
        <v>50</v>
      </c>
      <c r="C8518" t="s">
        <v>129</v>
      </c>
      <c r="D8518" t="s">
        <v>130</v>
      </c>
      <c r="E8518">
        <v>1997</v>
      </c>
      <c r="F8518" s="1">
        <v>77</v>
      </c>
      <c r="G8518">
        <v>2000</v>
      </c>
      <c r="H8518">
        <f>AVERAGEIFS(Table1[value],Table1[IndicatorCode],Table1[[#This Row],[IndicatorCode]])</f>
        <v>72.66514008620689</v>
      </c>
      <c r="I8518" cm="1">
        <f t="array" ref="I8518">_xlfn.STDEV.P(IF(Table1[IndicatorCode]=Table1[[#This Row],[IndicatorCode]],Table1[value]))</f>
        <v>6.3409496564024987</v>
      </c>
      <c r="J8518">
        <f>(Table1[[#This Row],[value]] - Table1[[#This Row],[mean]]) / Table1[[#This Row],[std_dev]]</f>
        <v>0.68362944806164383</v>
      </c>
      <c r="K8518">
        <f>AVERAGEIF(Table1[CountryCode],Table1[[#This Row],[CountryCode]],Table1[z-score])</f>
        <v>0.3375502618800939</v>
      </c>
      <c r="L8518" t="e">
        <f>VLOOKUP(Table1[[#This Row],[CountryCode]],[1]!Table1[#All],1,FALSE)</f>
        <v>#REF!</v>
      </c>
    </row>
    <row r="8519" spans="1:12" hidden="1" x14ac:dyDescent="0.3">
      <c r="A8519" t="s">
        <v>49</v>
      </c>
      <c r="B8519" t="s">
        <v>50</v>
      </c>
      <c r="C8519" t="s">
        <v>129</v>
      </c>
      <c r="D8519" t="s">
        <v>130</v>
      </c>
      <c r="E8519">
        <v>1998</v>
      </c>
      <c r="F8519" s="1">
        <v>77</v>
      </c>
      <c r="G8519">
        <v>2000</v>
      </c>
      <c r="H8519">
        <f>AVERAGEIFS(Table1[value],Table1[IndicatorCode],Table1[[#This Row],[IndicatorCode]])</f>
        <v>72.66514008620689</v>
      </c>
      <c r="I8519" cm="1">
        <f t="array" ref="I8519">_xlfn.STDEV.P(IF(Table1[IndicatorCode]=Table1[[#This Row],[IndicatorCode]],Table1[value]))</f>
        <v>6.3409496564024987</v>
      </c>
      <c r="J8519">
        <f>(Table1[[#This Row],[value]] - Table1[[#This Row],[mean]]) / Table1[[#This Row],[std_dev]]</f>
        <v>0.68362944806164383</v>
      </c>
      <c r="K8519">
        <f>AVERAGEIF(Table1[CountryCode],Table1[[#This Row],[CountryCode]],Table1[z-score])</f>
        <v>0.3375502618800939</v>
      </c>
      <c r="L8519" t="e">
        <f>VLOOKUP(Table1[[#This Row],[CountryCode]],[1]!Table1[#All],1,FALSE)</f>
        <v>#REF!</v>
      </c>
    </row>
    <row r="8520" spans="1:12" hidden="1" x14ac:dyDescent="0.3">
      <c r="A8520" t="s">
        <v>49</v>
      </c>
      <c r="B8520" t="s">
        <v>50</v>
      </c>
      <c r="C8520" t="s">
        <v>129</v>
      </c>
      <c r="D8520" t="s">
        <v>130</v>
      </c>
      <c r="E8520">
        <v>1999</v>
      </c>
      <c r="F8520" s="1">
        <v>77</v>
      </c>
      <c r="G8520">
        <v>2000</v>
      </c>
      <c r="H8520">
        <f>AVERAGEIFS(Table1[value],Table1[IndicatorCode],Table1[[#This Row],[IndicatorCode]])</f>
        <v>72.66514008620689</v>
      </c>
      <c r="I8520" cm="1">
        <f t="array" ref="I8520">_xlfn.STDEV.P(IF(Table1[IndicatorCode]=Table1[[#This Row],[IndicatorCode]],Table1[value]))</f>
        <v>6.3409496564024987</v>
      </c>
      <c r="J8520">
        <f>(Table1[[#This Row],[value]] - Table1[[#This Row],[mean]]) / Table1[[#This Row],[std_dev]]</f>
        <v>0.68362944806164383</v>
      </c>
      <c r="K8520">
        <f>AVERAGEIF(Table1[CountryCode],Table1[[#This Row],[CountryCode]],Table1[z-score])</f>
        <v>0.3375502618800939</v>
      </c>
      <c r="L8520" t="e">
        <f>VLOOKUP(Table1[[#This Row],[CountryCode]],[1]!Table1[#All],1,FALSE)</f>
        <v>#REF!</v>
      </c>
    </row>
    <row r="8521" spans="1:12" hidden="1" x14ac:dyDescent="0.3">
      <c r="A8521" t="s">
        <v>49</v>
      </c>
      <c r="B8521" t="s">
        <v>50</v>
      </c>
      <c r="C8521" t="s">
        <v>129</v>
      </c>
      <c r="D8521" t="s">
        <v>130</v>
      </c>
      <c r="E8521">
        <v>2000</v>
      </c>
      <c r="F8521" s="1">
        <v>78</v>
      </c>
      <c r="G8521">
        <v>2000</v>
      </c>
      <c r="H8521">
        <f>AVERAGEIFS(Table1[value],Table1[IndicatorCode],Table1[[#This Row],[IndicatorCode]])</f>
        <v>72.66514008620689</v>
      </c>
      <c r="I8521" cm="1">
        <f t="array" ref="I8521">_xlfn.STDEV.P(IF(Table1[IndicatorCode]=Table1[[#This Row],[IndicatorCode]],Table1[value]))</f>
        <v>6.3409496564024987</v>
      </c>
      <c r="J8521">
        <f>(Table1[[#This Row],[value]] - Table1[[#This Row],[mean]]) / Table1[[#This Row],[std_dev]]</f>
        <v>0.84133453234508293</v>
      </c>
      <c r="K8521">
        <f>AVERAGEIF(Table1[CountryCode],Table1[[#This Row],[CountryCode]],Table1[z-score])</f>
        <v>0.3375502618800939</v>
      </c>
      <c r="L8521" t="e">
        <f>VLOOKUP(Table1[[#This Row],[CountryCode]],[1]!Table1[#All],1,FALSE)</f>
        <v>#REF!</v>
      </c>
    </row>
    <row r="8522" spans="1:12" hidden="1" x14ac:dyDescent="0.3">
      <c r="A8522" t="s">
        <v>49</v>
      </c>
      <c r="B8522" t="s">
        <v>50</v>
      </c>
      <c r="C8522" t="s">
        <v>129</v>
      </c>
      <c r="D8522" t="s">
        <v>130</v>
      </c>
      <c r="E8522">
        <v>2001</v>
      </c>
      <c r="F8522" s="1">
        <v>78</v>
      </c>
      <c r="G8522">
        <v>2000</v>
      </c>
      <c r="H8522">
        <f>AVERAGEIFS(Table1[value],Table1[IndicatorCode],Table1[[#This Row],[IndicatorCode]])</f>
        <v>72.66514008620689</v>
      </c>
      <c r="I8522" cm="1">
        <f t="array" ref="I8522">_xlfn.STDEV.P(IF(Table1[IndicatorCode]=Table1[[#This Row],[IndicatorCode]],Table1[value]))</f>
        <v>6.3409496564024987</v>
      </c>
      <c r="J8522">
        <f>(Table1[[#This Row],[value]] - Table1[[#This Row],[mean]]) / Table1[[#This Row],[std_dev]]</f>
        <v>0.84133453234508293</v>
      </c>
      <c r="K8522">
        <f>AVERAGEIF(Table1[CountryCode],Table1[[#This Row],[CountryCode]],Table1[z-score])</f>
        <v>0.3375502618800939</v>
      </c>
      <c r="L8522" t="e">
        <f>VLOOKUP(Table1[[#This Row],[CountryCode]],[1]!Table1[#All],1,FALSE)</f>
        <v>#REF!</v>
      </c>
    </row>
    <row r="8523" spans="1:12" hidden="1" x14ac:dyDescent="0.3">
      <c r="A8523" t="s">
        <v>49</v>
      </c>
      <c r="B8523" t="s">
        <v>50</v>
      </c>
      <c r="C8523" t="s">
        <v>129</v>
      </c>
      <c r="D8523" t="s">
        <v>130</v>
      </c>
      <c r="E8523">
        <v>2002</v>
      </c>
      <c r="F8523" s="1">
        <v>78</v>
      </c>
      <c r="G8523">
        <v>2000</v>
      </c>
      <c r="H8523">
        <f>AVERAGEIFS(Table1[value],Table1[IndicatorCode],Table1[[#This Row],[IndicatorCode]])</f>
        <v>72.66514008620689</v>
      </c>
      <c r="I8523" cm="1">
        <f t="array" ref="I8523">_xlfn.STDEV.P(IF(Table1[IndicatorCode]=Table1[[#This Row],[IndicatorCode]],Table1[value]))</f>
        <v>6.3409496564024987</v>
      </c>
      <c r="J8523">
        <f>(Table1[[#This Row],[value]] - Table1[[#This Row],[mean]]) / Table1[[#This Row],[std_dev]]</f>
        <v>0.84133453234508293</v>
      </c>
      <c r="K8523">
        <f>AVERAGEIF(Table1[CountryCode],Table1[[#This Row],[CountryCode]],Table1[z-score])</f>
        <v>0.3375502618800939</v>
      </c>
      <c r="L8523" t="e">
        <f>VLOOKUP(Table1[[#This Row],[CountryCode]],[1]!Table1[#All],1,FALSE)</f>
        <v>#REF!</v>
      </c>
    </row>
    <row r="8524" spans="1:12" hidden="1" x14ac:dyDescent="0.3">
      <c r="A8524" t="s">
        <v>49</v>
      </c>
      <c r="B8524" t="s">
        <v>50</v>
      </c>
      <c r="C8524" t="s">
        <v>129</v>
      </c>
      <c r="D8524" t="s">
        <v>130</v>
      </c>
      <c r="E8524">
        <v>2003</v>
      </c>
      <c r="F8524" s="1">
        <v>78</v>
      </c>
      <c r="G8524">
        <v>2000</v>
      </c>
      <c r="H8524">
        <f>AVERAGEIFS(Table1[value],Table1[IndicatorCode],Table1[[#This Row],[IndicatorCode]])</f>
        <v>72.66514008620689</v>
      </c>
      <c r="I8524" cm="1">
        <f t="array" ref="I8524">_xlfn.STDEV.P(IF(Table1[IndicatorCode]=Table1[[#This Row],[IndicatorCode]],Table1[value]))</f>
        <v>6.3409496564024987</v>
      </c>
      <c r="J8524">
        <f>(Table1[[#This Row],[value]] - Table1[[#This Row],[mean]]) / Table1[[#This Row],[std_dev]]</f>
        <v>0.84133453234508293</v>
      </c>
      <c r="K8524">
        <f>AVERAGEIF(Table1[CountryCode],Table1[[#This Row],[CountryCode]],Table1[z-score])</f>
        <v>0.3375502618800939</v>
      </c>
      <c r="L8524" t="e">
        <f>VLOOKUP(Table1[[#This Row],[CountryCode]],[1]!Table1[#All],1,FALSE)</f>
        <v>#REF!</v>
      </c>
    </row>
    <row r="8525" spans="1:12" hidden="1" x14ac:dyDescent="0.3">
      <c r="A8525" t="s">
        <v>49</v>
      </c>
      <c r="B8525" t="s">
        <v>50</v>
      </c>
      <c r="C8525" t="s">
        <v>129</v>
      </c>
      <c r="D8525" t="s">
        <v>130</v>
      </c>
      <c r="E8525">
        <v>2004</v>
      </c>
      <c r="F8525" s="1">
        <v>79</v>
      </c>
      <c r="G8525">
        <v>2000</v>
      </c>
      <c r="H8525">
        <f>AVERAGEIFS(Table1[value],Table1[IndicatorCode],Table1[[#This Row],[IndicatorCode]])</f>
        <v>72.66514008620689</v>
      </c>
      <c r="I8525" cm="1">
        <f t="array" ref="I8525">_xlfn.STDEV.P(IF(Table1[IndicatorCode]=Table1[[#This Row],[IndicatorCode]],Table1[value]))</f>
        <v>6.3409496564024987</v>
      </c>
      <c r="J8525">
        <f>(Table1[[#This Row],[value]] - Table1[[#This Row],[mean]]) / Table1[[#This Row],[std_dev]]</f>
        <v>0.99903961662852192</v>
      </c>
      <c r="K8525">
        <f>AVERAGEIF(Table1[CountryCode],Table1[[#This Row],[CountryCode]],Table1[z-score])</f>
        <v>0.3375502618800939</v>
      </c>
      <c r="L8525" t="e">
        <f>VLOOKUP(Table1[[#This Row],[CountryCode]],[1]!Table1[#All],1,FALSE)</f>
        <v>#REF!</v>
      </c>
    </row>
    <row r="8526" spans="1:12" hidden="1" x14ac:dyDescent="0.3">
      <c r="A8526" t="s">
        <v>49</v>
      </c>
      <c r="B8526" t="s">
        <v>50</v>
      </c>
      <c r="C8526" t="s">
        <v>129</v>
      </c>
      <c r="D8526" t="s">
        <v>130</v>
      </c>
      <c r="E8526">
        <v>2005</v>
      </c>
      <c r="F8526" s="1">
        <v>79</v>
      </c>
      <c r="G8526">
        <v>2000</v>
      </c>
      <c r="H8526">
        <f>AVERAGEIFS(Table1[value],Table1[IndicatorCode],Table1[[#This Row],[IndicatorCode]])</f>
        <v>72.66514008620689</v>
      </c>
      <c r="I8526" cm="1">
        <f t="array" ref="I8526">_xlfn.STDEV.P(IF(Table1[IndicatorCode]=Table1[[#This Row],[IndicatorCode]],Table1[value]))</f>
        <v>6.3409496564024987</v>
      </c>
      <c r="J8526">
        <f>(Table1[[#This Row],[value]] - Table1[[#This Row],[mean]]) / Table1[[#This Row],[std_dev]]</f>
        <v>0.99903961662852192</v>
      </c>
      <c r="K8526">
        <f>AVERAGEIF(Table1[CountryCode],Table1[[#This Row],[CountryCode]],Table1[z-score])</f>
        <v>0.3375502618800939</v>
      </c>
      <c r="L8526" t="e">
        <f>VLOOKUP(Table1[[#This Row],[CountryCode]],[1]!Table1[#All],1,FALSE)</f>
        <v>#REF!</v>
      </c>
    </row>
    <row r="8527" spans="1:12" hidden="1" x14ac:dyDescent="0.3">
      <c r="A8527" t="s">
        <v>49</v>
      </c>
      <c r="B8527" t="s">
        <v>50</v>
      </c>
      <c r="C8527" t="s">
        <v>129</v>
      </c>
      <c r="D8527" t="s">
        <v>130</v>
      </c>
      <c r="E8527">
        <v>2006</v>
      </c>
      <c r="F8527" s="1">
        <v>79</v>
      </c>
      <c r="G8527">
        <v>2000</v>
      </c>
      <c r="H8527">
        <f>AVERAGEIFS(Table1[value],Table1[IndicatorCode],Table1[[#This Row],[IndicatorCode]])</f>
        <v>72.66514008620689</v>
      </c>
      <c r="I8527" cm="1">
        <f t="array" ref="I8527">_xlfn.STDEV.P(IF(Table1[IndicatorCode]=Table1[[#This Row],[IndicatorCode]],Table1[value]))</f>
        <v>6.3409496564024987</v>
      </c>
      <c r="J8527">
        <f>(Table1[[#This Row],[value]] - Table1[[#This Row],[mean]]) / Table1[[#This Row],[std_dev]]</f>
        <v>0.99903961662852192</v>
      </c>
      <c r="K8527">
        <f>AVERAGEIF(Table1[CountryCode],Table1[[#This Row],[CountryCode]],Table1[z-score])</f>
        <v>0.3375502618800939</v>
      </c>
      <c r="L8527" t="e">
        <f>VLOOKUP(Table1[[#This Row],[CountryCode]],[1]!Table1[#All],1,FALSE)</f>
        <v>#REF!</v>
      </c>
    </row>
    <row r="8528" spans="1:12" hidden="1" x14ac:dyDescent="0.3">
      <c r="A8528" t="s">
        <v>49</v>
      </c>
      <c r="B8528" t="s">
        <v>50</v>
      </c>
      <c r="C8528" t="s">
        <v>129</v>
      </c>
      <c r="D8528" t="s">
        <v>130</v>
      </c>
      <c r="E8528">
        <v>2007</v>
      </c>
      <c r="F8528" s="1">
        <v>79</v>
      </c>
      <c r="G8528">
        <v>2010</v>
      </c>
      <c r="H8528">
        <f>AVERAGEIFS(Table1[value],Table1[IndicatorCode],Table1[[#This Row],[IndicatorCode]])</f>
        <v>72.66514008620689</v>
      </c>
      <c r="I8528" cm="1">
        <f t="array" ref="I8528">_xlfn.STDEV.P(IF(Table1[IndicatorCode]=Table1[[#This Row],[IndicatorCode]],Table1[value]))</f>
        <v>6.3409496564024987</v>
      </c>
      <c r="J8528">
        <f>(Table1[[#This Row],[value]] - Table1[[#This Row],[mean]]) / Table1[[#This Row],[std_dev]]</f>
        <v>0.99903961662852192</v>
      </c>
      <c r="K8528">
        <f>AVERAGEIF(Table1[CountryCode],Table1[[#This Row],[CountryCode]],Table1[z-score])</f>
        <v>0.3375502618800939</v>
      </c>
      <c r="L8528" t="e">
        <f>VLOOKUP(Table1[[#This Row],[CountryCode]],[1]!Table1[#All],1,FALSE)</f>
        <v>#REF!</v>
      </c>
    </row>
    <row r="8529" spans="1:12" hidden="1" x14ac:dyDescent="0.3">
      <c r="A8529" t="s">
        <v>49</v>
      </c>
      <c r="B8529" t="s">
        <v>50</v>
      </c>
      <c r="C8529" t="s">
        <v>129</v>
      </c>
      <c r="D8529" t="s">
        <v>130</v>
      </c>
      <c r="E8529">
        <v>2008</v>
      </c>
      <c r="F8529" s="1">
        <v>80</v>
      </c>
      <c r="G8529">
        <v>2010</v>
      </c>
      <c r="H8529">
        <f>AVERAGEIFS(Table1[value],Table1[IndicatorCode],Table1[[#This Row],[IndicatorCode]])</f>
        <v>72.66514008620689</v>
      </c>
      <c r="I8529" cm="1">
        <f t="array" ref="I8529">_xlfn.STDEV.P(IF(Table1[IndicatorCode]=Table1[[#This Row],[IndicatorCode]],Table1[value]))</f>
        <v>6.3409496564024987</v>
      </c>
      <c r="J8529">
        <f>(Table1[[#This Row],[value]] - Table1[[#This Row],[mean]]) / Table1[[#This Row],[std_dev]]</f>
        <v>1.1567447009119609</v>
      </c>
      <c r="K8529">
        <f>AVERAGEIF(Table1[CountryCode],Table1[[#This Row],[CountryCode]],Table1[z-score])</f>
        <v>0.3375502618800939</v>
      </c>
      <c r="L8529" t="e">
        <f>VLOOKUP(Table1[[#This Row],[CountryCode]],[1]!Table1[#All],1,FALSE)</f>
        <v>#REF!</v>
      </c>
    </row>
    <row r="8530" spans="1:12" hidden="1" x14ac:dyDescent="0.3">
      <c r="A8530" t="s">
        <v>49</v>
      </c>
      <c r="B8530" t="s">
        <v>50</v>
      </c>
      <c r="C8530" t="s">
        <v>129</v>
      </c>
      <c r="D8530" t="s">
        <v>130</v>
      </c>
      <c r="E8530">
        <v>2009</v>
      </c>
      <c r="F8530" s="1">
        <v>80</v>
      </c>
      <c r="G8530">
        <v>2010</v>
      </c>
      <c r="H8530">
        <f>AVERAGEIFS(Table1[value],Table1[IndicatorCode],Table1[[#This Row],[IndicatorCode]])</f>
        <v>72.66514008620689</v>
      </c>
      <c r="I8530" cm="1">
        <f t="array" ref="I8530">_xlfn.STDEV.P(IF(Table1[IndicatorCode]=Table1[[#This Row],[IndicatorCode]],Table1[value]))</f>
        <v>6.3409496564024987</v>
      </c>
      <c r="J8530">
        <f>(Table1[[#This Row],[value]] - Table1[[#This Row],[mean]]) / Table1[[#This Row],[std_dev]]</f>
        <v>1.1567447009119609</v>
      </c>
      <c r="K8530">
        <f>AVERAGEIF(Table1[CountryCode],Table1[[#This Row],[CountryCode]],Table1[z-score])</f>
        <v>0.3375502618800939</v>
      </c>
      <c r="L8530" t="e">
        <f>VLOOKUP(Table1[[#This Row],[CountryCode]],[1]!Table1[#All],1,FALSE)</f>
        <v>#REF!</v>
      </c>
    </row>
    <row r="8531" spans="1:12" hidden="1" x14ac:dyDescent="0.3">
      <c r="A8531" t="s">
        <v>49</v>
      </c>
      <c r="B8531" t="s">
        <v>50</v>
      </c>
      <c r="C8531" t="s">
        <v>129</v>
      </c>
      <c r="D8531" t="s">
        <v>130</v>
      </c>
      <c r="E8531">
        <v>2010</v>
      </c>
      <c r="F8531" s="1">
        <v>80</v>
      </c>
      <c r="G8531">
        <v>2010</v>
      </c>
      <c r="H8531">
        <f>AVERAGEIFS(Table1[value],Table1[IndicatorCode],Table1[[#This Row],[IndicatorCode]])</f>
        <v>72.66514008620689</v>
      </c>
      <c r="I8531" cm="1">
        <f t="array" ref="I8531">_xlfn.STDEV.P(IF(Table1[IndicatorCode]=Table1[[#This Row],[IndicatorCode]],Table1[value]))</f>
        <v>6.3409496564024987</v>
      </c>
      <c r="J8531">
        <f>(Table1[[#This Row],[value]] - Table1[[#This Row],[mean]]) / Table1[[#This Row],[std_dev]]</f>
        <v>1.1567447009119609</v>
      </c>
      <c r="K8531">
        <f>AVERAGEIF(Table1[CountryCode],Table1[[#This Row],[CountryCode]],Table1[z-score])</f>
        <v>0.3375502618800939</v>
      </c>
      <c r="L8531" t="e">
        <f>VLOOKUP(Table1[[#This Row],[CountryCode]],[1]!Table1[#All],1,FALSE)</f>
        <v>#REF!</v>
      </c>
    </row>
    <row r="8532" spans="1:12" hidden="1" x14ac:dyDescent="0.3">
      <c r="A8532" t="s">
        <v>49</v>
      </c>
      <c r="B8532" t="s">
        <v>50</v>
      </c>
      <c r="C8532" t="s">
        <v>129</v>
      </c>
      <c r="D8532" t="s">
        <v>130</v>
      </c>
      <c r="E8532">
        <v>2011</v>
      </c>
      <c r="F8532" s="1">
        <v>81</v>
      </c>
      <c r="G8532">
        <v>2010</v>
      </c>
      <c r="H8532">
        <f>AVERAGEIFS(Table1[value],Table1[IndicatorCode],Table1[[#This Row],[IndicatorCode]])</f>
        <v>72.66514008620689</v>
      </c>
      <c r="I8532" cm="1">
        <f t="array" ref="I8532">_xlfn.STDEV.P(IF(Table1[IndicatorCode]=Table1[[#This Row],[IndicatorCode]],Table1[value]))</f>
        <v>6.3409496564024987</v>
      </c>
      <c r="J8532">
        <f>(Table1[[#This Row],[value]] - Table1[[#This Row],[mean]]) / Table1[[#This Row],[std_dev]]</f>
        <v>1.3144497851954</v>
      </c>
      <c r="K8532">
        <f>AVERAGEIF(Table1[CountryCode],Table1[[#This Row],[CountryCode]],Table1[z-score])</f>
        <v>0.3375502618800939</v>
      </c>
      <c r="L8532" t="e">
        <f>VLOOKUP(Table1[[#This Row],[CountryCode]],[1]!Table1[#All],1,FALSE)</f>
        <v>#REF!</v>
      </c>
    </row>
    <row r="8533" spans="1:12" hidden="1" x14ac:dyDescent="0.3">
      <c r="A8533" t="s">
        <v>49</v>
      </c>
      <c r="B8533" t="s">
        <v>50</v>
      </c>
      <c r="C8533" t="s">
        <v>129</v>
      </c>
      <c r="D8533" t="s">
        <v>130</v>
      </c>
      <c r="E8533">
        <v>2012</v>
      </c>
      <c r="F8533" s="1">
        <v>81</v>
      </c>
      <c r="G8533">
        <v>2010</v>
      </c>
      <c r="H8533">
        <f>AVERAGEIFS(Table1[value],Table1[IndicatorCode],Table1[[#This Row],[IndicatorCode]])</f>
        <v>72.66514008620689</v>
      </c>
      <c r="I8533" cm="1">
        <f t="array" ref="I8533">_xlfn.STDEV.P(IF(Table1[IndicatorCode]=Table1[[#This Row],[IndicatorCode]],Table1[value]))</f>
        <v>6.3409496564024987</v>
      </c>
      <c r="J8533">
        <f>(Table1[[#This Row],[value]] - Table1[[#This Row],[mean]]) / Table1[[#This Row],[std_dev]]</f>
        <v>1.3144497851954</v>
      </c>
      <c r="K8533">
        <f>AVERAGEIF(Table1[CountryCode],Table1[[#This Row],[CountryCode]],Table1[z-score])</f>
        <v>0.3375502618800939</v>
      </c>
      <c r="L8533" t="e">
        <f>VLOOKUP(Table1[[#This Row],[CountryCode]],[1]!Table1[#All],1,FALSE)</f>
        <v>#REF!</v>
      </c>
    </row>
    <row r="8534" spans="1:12" hidden="1" x14ac:dyDescent="0.3">
      <c r="A8534" t="s">
        <v>49</v>
      </c>
      <c r="B8534" t="s">
        <v>50</v>
      </c>
      <c r="C8534" t="s">
        <v>129</v>
      </c>
      <c r="D8534" t="s">
        <v>130</v>
      </c>
      <c r="E8534">
        <v>2013</v>
      </c>
      <c r="F8534" s="1">
        <v>81</v>
      </c>
      <c r="G8534">
        <v>2010</v>
      </c>
      <c r="H8534">
        <f>AVERAGEIFS(Table1[value],Table1[IndicatorCode],Table1[[#This Row],[IndicatorCode]])</f>
        <v>72.66514008620689</v>
      </c>
      <c r="I8534" cm="1">
        <f t="array" ref="I8534">_xlfn.STDEV.P(IF(Table1[IndicatorCode]=Table1[[#This Row],[IndicatorCode]],Table1[value]))</f>
        <v>6.3409496564024987</v>
      </c>
      <c r="J8534">
        <f>(Table1[[#This Row],[value]] - Table1[[#This Row],[mean]]) / Table1[[#This Row],[std_dev]]</f>
        <v>1.3144497851954</v>
      </c>
      <c r="K8534">
        <f>AVERAGEIF(Table1[CountryCode],Table1[[#This Row],[CountryCode]],Table1[z-score])</f>
        <v>0.3375502618800939</v>
      </c>
      <c r="L8534" t="e">
        <f>VLOOKUP(Table1[[#This Row],[CountryCode]],[1]!Table1[#All],1,FALSE)</f>
        <v>#REF!</v>
      </c>
    </row>
    <row r="8535" spans="1:12" hidden="1" x14ac:dyDescent="0.3">
      <c r="A8535" t="s">
        <v>49</v>
      </c>
      <c r="B8535" t="s">
        <v>50</v>
      </c>
      <c r="C8535" t="s">
        <v>129</v>
      </c>
      <c r="D8535" t="s">
        <v>130</v>
      </c>
      <c r="E8535">
        <v>2014</v>
      </c>
      <c r="F8535" s="1">
        <v>81</v>
      </c>
      <c r="G8535">
        <v>2010</v>
      </c>
      <c r="H8535">
        <f>AVERAGEIFS(Table1[value],Table1[IndicatorCode],Table1[[#This Row],[IndicatorCode]])</f>
        <v>72.66514008620689</v>
      </c>
      <c r="I8535" cm="1">
        <f t="array" ref="I8535">_xlfn.STDEV.P(IF(Table1[IndicatorCode]=Table1[[#This Row],[IndicatorCode]],Table1[value]))</f>
        <v>6.3409496564024987</v>
      </c>
      <c r="J8535">
        <f>(Table1[[#This Row],[value]] - Table1[[#This Row],[mean]]) / Table1[[#This Row],[std_dev]]</f>
        <v>1.3144497851954</v>
      </c>
      <c r="K8535">
        <f>AVERAGEIF(Table1[CountryCode],Table1[[#This Row],[CountryCode]],Table1[z-score])</f>
        <v>0.3375502618800939</v>
      </c>
      <c r="L8535" t="e">
        <f>VLOOKUP(Table1[[#This Row],[CountryCode]],[1]!Table1[#All],1,FALSE)</f>
        <v>#REF!</v>
      </c>
    </row>
    <row r="8536" spans="1:12" hidden="1" x14ac:dyDescent="0.3">
      <c r="A8536" t="s">
        <v>49</v>
      </c>
      <c r="B8536" t="s">
        <v>50</v>
      </c>
      <c r="C8536" t="s">
        <v>129</v>
      </c>
      <c r="D8536" t="s">
        <v>130</v>
      </c>
      <c r="E8536">
        <v>2015</v>
      </c>
      <c r="F8536" s="1">
        <v>81</v>
      </c>
      <c r="G8536">
        <v>2010</v>
      </c>
      <c r="H8536">
        <f>AVERAGEIFS(Table1[value],Table1[IndicatorCode],Table1[[#This Row],[IndicatorCode]])</f>
        <v>72.66514008620689</v>
      </c>
      <c r="I8536" cm="1">
        <f t="array" ref="I8536">_xlfn.STDEV.P(IF(Table1[IndicatorCode]=Table1[[#This Row],[IndicatorCode]],Table1[value]))</f>
        <v>6.3409496564024987</v>
      </c>
      <c r="J8536">
        <f>(Table1[[#This Row],[value]] - Table1[[#This Row],[mean]]) / Table1[[#This Row],[std_dev]]</f>
        <v>1.3144497851954</v>
      </c>
      <c r="K8536">
        <f>AVERAGEIF(Table1[CountryCode],Table1[[#This Row],[CountryCode]],Table1[z-score])</f>
        <v>0.3375502618800939</v>
      </c>
      <c r="L8536" t="e">
        <f>VLOOKUP(Table1[[#This Row],[CountryCode]],[1]!Table1[#All],1,FALSE)</f>
        <v>#REF!</v>
      </c>
    </row>
    <row r="8537" spans="1:12" hidden="1" x14ac:dyDescent="0.3">
      <c r="A8537" t="s">
        <v>49</v>
      </c>
      <c r="B8537" t="s">
        <v>50</v>
      </c>
      <c r="C8537" t="s">
        <v>129</v>
      </c>
      <c r="D8537" t="s">
        <v>130</v>
      </c>
      <c r="E8537">
        <v>2016</v>
      </c>
      <c r="F8537" s="1">
        <v>81</v>
      </c>
      <c r="G8537">
        <v>2010</v>
      </c>
      <c r="H8537">
        <f>AVERAGEIFS(Table1[value],Table1[IndicatorCode],Table1[[#This Row],[IndicatorCode]])</f>
        <v>72.66514008620689</v>
      </c>
      <c r="I8537" cm="1">
        <f t="array" ref="I8537">_xlfn.STDEV.P(IF(Table1[IndicatorCode]=Table1[[#This Row],[IndicatorCode]],Table1[value]))</f>
        <v>6.3409496564024987</v>
      </c>
      <c r="J8537">
        <f>(Table1[[#This Row],[value]] - Table1[[#This Row],[mean]]) / Table1[[#This Row],[std_dev]]</f>
        <v>1.3144497851954</v>
      </c>
      <c r="K8537">
        <f>AVERAGEIF(Table1[CountryCode],Table1[[#This Row],[CountryCode]],Table1[z-score])</f>
        <v>0.3375502618800939</v>
      </c>
      <c r="L8537" t="e">
        <f>VLOOKUP(Table1[[#This Row],[CountryCode]],[1]!Table1[#All],1,FALSE)</f>
        <v>#REF!</v>
      </c>
    </row>
    <row r="8538" spans="1:12" hidden="1" x14ac:dyDescent="0.3">
      <c r="A8538" t="s">
        <v>49</v>
      </c>
      <c r="B8538" t="s">
        <v>50</v>
      </c>
      <c r="C8538" t="s">
        <v>129</v>
      </c>
      <c r="D8538" t="s">
        <v>130</v>
      </c>
      <c r="E8538">
        <v>2017</v>
      </c>
      <c r="F8538" s="1">
        <v>81</v>
      </c>
      <c r="G8538">
        <v>2020</v>
      </c>
      <c r="H8538">
        <f>AVERAGEIFS(Table1[value],Table1[IndicatorCode],Table1[[#This Row],[IndicatorCode]])</f>
        <v>72.66514008620689</v>
      </c>
      <c r="I8538" cm="1">
        <f t="array" ref="I8538">_xlfn.STDEV.P(IF(Table1[IndicatorCode]=Table1[[#This Row],[IndicatorCode]],Table1[value]))</f>
        <v>6.3409496564024987</v>
      </c>
      <c r="J8538">
        <f>(Table1[[#This Row],[value]] - Table1[[#This Row],[mean]]) / Table1[[#This Row],[std_dev]]</f>
        <v>1.3144497851954</v>
      </c>
      <c r="K8538">
        <f>AVERAGEIF(Table1[CountryCode],Table1[[#This Row],[CountryCode]],Table1[z-score])</f>
        <v>0.3375502618800939</v>
      </c>
      <c r="L8538" t="e">
        <f>VLOOKUP(Table1[[#This Row],[CountryCode]],[1]!Table1[#All],1,FALSE)</f>
        <v>#REF!</v>
      </c>
    </row>
    <row r="8539" spans="1:12" hidden="1" x14ac:dyDescent="0.3">
      <c r="A8539" t="s">
        <v>49</v>
      </c>
      <c r="B8539" t="s">
        <v>50</v>
      </c>
      <c r="C8539" t="s">
        <v>129</v>
      </c>
      <c r="D8539" t="s">
        <v>130</v>
      </c>
      <c r="E8539">
        <v>2018</v>
      </c>
      <c r="F8539" s="1">
        <v>81</v>
      </c>
      <c r="G8539">
        <v>2020</v>
      </c>
      <c r="H8539">
        <f>AVERAGEIFS(Table1[value],Table1[IndicatorCode],Table1[[#This Row],[IndicatorCode]])</f>
        <v>72.66514008620689</v>
      </c>
      <c r="I8539" cm="1">
        <f t="array" ref="I8539">_xlfn.STDEV.P(IF(Table1[IndicatorCode]=Table1[[#This Row],[IndicatorCode]],Table1[value]))</f>
        <v>6.3409496564024987</v>
      </c>
      <c r="J8539">
        <f>(Table1[[#This Row],[value]] - Table1[[#This Row],[mean]]) / Table1[[#This Row],[std_dev]]</f>
        <v>1.3144497851954</v>
      </c>
      <c r="K8539">
        <f>AVERAGEIF(Table1[CountryCode],Table1[[#This Row],[CountryCode]],Table1[z-score])</f>
        <v>0.3375502618800939</v>
      </c>
      <c r="L8539" t="e">
        <f>VLOOKUP(Table1[[#This Row],[CountryCode]],[1]!Table1[#All],1,FALSE)</f>
        <v>#REF!</v>
      </c>
    </row>
    <row r="8540" spans="1:12" hidden="1" x14ac:dyDescent="0.3">
      <c r="A8540" t="s">
        <v>49</v>
      </c>
      <c r="B8540" t="s">
        <v>50</v>
      </c>
      <c r="C8540" t="s">
        <v>129</v>
      </c>
      <c r="D8540" t="s">
        <v>130</v>
      </c>
      <c r="E8540">
        <v>2019</v>
      </c>
      <c r="F8540" s="1">
        <v>81</v>
      </c>
      <c r="G8540">
        <v>2020</v>
      </c>
      <c r="H8540">
        <f>AVERAGEIFS(Table1[value],Table1[IndicatorCode],Table1[[#This Row],[IndicatorCode]])</f>
        <v>72.66514008620689</v>
      </c>
      <c r="I8540" cm="1">
        <f t="array" ref="I8540">_xlfn.STDEV.P(IF(Table1[IndicatorCode]=Table1[[#This Row],[IndicatorCode]],Table1[value]))</f>
        <v>6.3409496564024987</v>
      </c>
      <c r="J8540">
        <f>(Table1[[#This Row],[value]] - Table1[[#This Row],[mean]]) / Table1[[#This Row],[std_dev]]</f>
        <v>1.3144497851954</v>
      </c>
      <c r="K8540">
        <f>AVERAGEIF(Table1[CountryCode],Table1[[#This Row],[CountryCode]],Table1[z-score])</f>
        <v>0.3375502618800939</v>
      </c>
      <c r="L8540" t="e">
        <f>VLOOKUP(Table1[[#This Row],[CountryCode]],[1]!Table1[#All],1,FALSE)</f>
        <v>#REF!</v>
      </c>
    </row>
    <row r="8541" spans="1:12" x14ac:dyDescent="0.3">
      <c r="A8541" t="s">
        <v>49</v>
      </c>
      <c r="B8541" t="s">
        <v>50</v>
      </c>
      <c r="C8541" t="s">
        <v>129</v>
      </c>
      <c r="D8541" t="s">
        <v>130</v>
      </c>
      <c r="E8541">
        <v>2020</v>
      </c>
      <c r="F8541" s="1">
        <v>80</v>
      </c>
      <c r="G8541">
        <v>2020</v>
      </c>
      <c r="H8541">
        <f>AVERAGEIFS(Table1[value],Table1[IndicatorCode],Table1[[#This Row],[IndicatorCode]])</f>
        <v>72.66514008620689</v>
      </c>
      <c r="I8541" cm="1">
        <f t="array" ref="I8541">_xlfn.STDEV.P(IF(Table1[IndicatorCode]=Table1[[#This Row],[IndicatorCode]],Table1[value]))</f>
        <v>6.3409496564024987</v>
      </c>
      <c r="J8541">
        <f>(Table1[[#This Row],[value]] - Table1[[#This Row],[mean]]) / Table1[[#This Row],[std_dev]]</f>
        <v>1.1567447009119609</v>
      </c>
      <c r="K8541">
        <f>AVERAGEIF(Table1[CountryCode],Table1[[#This Row],[CountryCode]],Table1[z-score])</f>
        <v>0.3375502618800939</v>
      </c>
    </row>
    <row r="8542" spans="1:12" hidden="1" x14ac:dyDescent="0.3">
      <c r="A8542" t="s">
        <v>49</v>
      </c>
      <c r="B8542" t="s">
        <v>50</v>
      </c>
      <c r="C8542" t="s">
        <v>129</v>
      </c>
      <c r="D8542" t="s">
        <v>130</v>
      </c>
      <c r="E8542">
        <v>2021</v>
      </c>
      <c r="F8542" s="1">
        <v>81</v>
      </c>
      <c r="G8542">
        <v>1960</v>
      </c>
      <c r="H8542">
        <f>AVERAGEIFS(Table1[value],Table1[IndicatorCode],Table1[[#This Row],[IndicatorCode]])</f>
        <v>72.66514008620689</v>
      </c>
      <c r="I8542" cm="1">
        <f t="array" ref="I8542">_xlfn.STDEV.P(IF(Table1[IndicatorCode]=Table1[[#This Row],[IndicatorCode]],Table1[value]))</f>
        <v>6.3409496564024987</v>
      </c>
      <c r="J8542">
        <f>(Table1[[#This Row],[value]] - Table1[[#This Row],[mean]]) / Table1[[#This Row],[std_dev]]</f>
        <v>1.3144497851954</v>
      </c>
      <c r="K8542">
        <f>AVERAGEIF(Table1[CountryCode],Table1[[#This Row],[CountryCode]],Table1[z-score])</f>
        <v>0.3375502618800939</v>
      </c>
      <c r="L8542" t="e">
        <f>VLOOKUP(Table1[[#This Row],[CountryCode]],[1]!Table1[#All],1,FALSE)</f>
        <v>#REF!</v>
      </c>
    </row>
    <row r="8543" spans="1:12" hidden="1" x14ac:dyDescent="0.3">
      <c r="A8543" t="s">
        <v>49</v>
      </c>
      <c r="B8543" t="s">
        <v>50</v>
      </c>
      <c r="C8543" t="s">
        <v>129</v>
      </c>
      <c r="D8543" t="s">
        <v>130</v>
      </c>
      <c r="E8543">
        <v>2022</v>
      </c>
      <c r="F8543" s="1">
        <v>81</v>
      </c>
      <c r="G8543">
        <v>1960</v>
      </c>
      <c r="H8543">
        <f>AVERAGEIFS(Table1[value],Table1[IndicatorCode],Table1[[#This Row],[IndicatorCode]])</f>
        <v>72.66514008620689</v>
      </c>
      <c r="I8543" cm="1">
        <f t="array" ref="I8543">_xlfn.STDEV.P(IF(Table1[IndicatorCode]=Table1[[#This Row],[IndicatorCode]],Table1[value]))</f>
        <v>6.3409496564024987</v>
      </c>
      <c r="J8543">
        <f>(Table1[[#This Row],[value]] - Table1[[#This Row],[mean]]) / Table1[[#This Row],[std_dev]]</f>
        <v>1.3144497851954</v>
      </c>
      <c r="K8543">
        <f>AVERAGEIF(Table1[CountryCode],Table1[[#This Row],[CountryCode]],Table1[z-score])</f>
        <v>0.3375502618800939</v>
      </c>
      <c r="L8543" t="e">
        <f>VLOOKUP(Table1[[#This Row],[CountryCode]],[1]!Table1[#All],1,FALSE)</f>
        <v>#REF!</v>
      </c>
    </row>
    <row r="8544" spans="1:12" hidden="1" x14ac:dyDescent="0.3">
      <c r="A8544" t="s">
        <v>49</v>
      </c>
      <c r="B8544" t="s">
        <v>50</v>
      </c>
      <c r="C8544" t="s">
        <v>129</v>
      </c>
      <c r="D8544" t="s">
        <v>130</v>
      </c>
      <c r="E8544">
        <v>2023</v>
      </c>
      <c r="F8544" s="1">
        <v>81</v>
      </c>
      <c r="G8544">
        <v>1960</v>
      </c>
      <c r="H8544">
        <f>AVERAGEIFS(Table1[value],Table1[IndicatorCode],Table1[[#This Row],[IndicatorCode]])</f>
        <v>72.66514008620689</v>
      </c>
      <c r="I8544" cm="1">
        <f t="array" ref="I8544">_xlfn.STDEV.P(IF(Table1[IndicatorCode]=Table1[[#This Row],[IndicatorCode]],Table1[value]))</f>
        <v>6.3409496564024987</v>
      </c>
      <c r="J8544">
        <f>(Table1[[#This Row],[value]] - Table1[[#This Row],[mean]]) / Table1[[#This Row],[std_dev]]</f>
        <v>1.3144497851954</v>
      </c>
      <c r="K8544">
        <f>AVERAGEIF(Table1[CountryCode],Table1[[#This Row],[CountryCode]],Table1[z-score])</f>
        <v>0.3375502618800939</v>
      </c>
      <c r="L8544" t="e">
        <f>VLOOKUP(Table1[[#This Row],[CountryCode]],[1]!Table1[#All],1,FALSE)</f>
        <v>#REF!</v>
      </c>
    </row>
    <row r="8545" spans="1:12" hidden="1" x14ac:dyDescent="0.3">
      <c r="A8545" t="s">
        <v>51</v>
      </c>
      <c r="B8545" t="s">
        <v>52</v>
      </c>
      <c r="C8545" t="s">
        <v>129</v>
      </c>
      <c r="D8545" t="s">
        <v>130</v>
      </c>
      <c r="E8545">
        <v>1960</v>
      </c>
      <c r="F8545" s="1">
        <v>61</v>
      </c>
      <c r="G8545">
        <v>1960</v>
      </c>
      <c r="H8545">
        <f>AVERAGEIFS(Table1[value],Table1[IndicatorCode],Table1[[#This Row],[IndicatorCode]])</f>
        <v>72.66514008620689</v>
      </c>
      <c r="I8545" cm="1">
        <f t="array" ref="I8545">_xlfn.STDEV.P(IF(Table1[IndicatorCode]=Table1[[#This Row],[IndicatorCode]],Table1[value]))</f>
        <v>6.3409496564024987</v>
      </c>
      <c r="J8545">
        <f>(Table1[[#This Row],[value]] - Table1[[#This Row],[mean]]) / Table1[[#This Row],[std_dev]]</f>
        <v>-1.8396519004733811</v>
      </c>
      <c r="K8545">
        <f>AVERAGEIF(Table1[CountryCode],Table1[[#This Row],[CountryCode]],Table1[z-score])</f>
        <v>-0.61446545916413864</v>
      </c>
      <c r="L8545" t="e">
        <f>VLOOKUP(Table1[[#This Row],[CountryCode]],[1]!Table1[#All],1,FALSE)</f>
        <v>#REF!</v>
      </c>
    </row>
    <row r="8546" spans="1:12" hidden="1" x14ac:dyDescent="0.3">
      <c r="A8546" t="s">
        <v>51</v>
      </c>
      <c r="B8546" t="s">
        <v>52</v>
      </c>
      <c r="C8546" t="s">
        <v>129</v>
      </c>
      <c r="D8546" t="s">
        <v>130</v>
      </c>
      <c r="E8546">
        <v>1961</v>
      </c>
      <c r="F8546" s="1">
        <v>62</v>
      </c>
      <c r="G8546">
        <v>1960</v>
      </c>
      <c r="H8546">
        <f>AVERAGEIFS(Table1[value],Table1[IndicatorCode],Table1[[#This Row],[IndicatorCode]])</f>
        <v>72.66514008620689</v>
      </c>
      <c r="I8546" cm="1">
        <f t="array" ref="I8546">_xlfn.STDEV.P(IF(Table1[IndicatorCode]=Table1[[#This Row],[IndicatorCode]],Table1[value]))</f>
        <v>6.3409496564024987</v>
      </c>
      <c r="J8546">
        <f>(Table1[[#This Row],[value]] - Table1[[#This Row],[mean]]) / Table1[[#This Row],[std_dev]]</f>
        <v>-1.681946816189942</v>
      </c>
      <c r="K8546">
        <f>AVERAGEIF(Table1[CountryCode],Table1[[#This Row],[CountryCode]],Table1[z-score])</f>
        <v>-0.61446545916413864</v>
      </c>
      <c r="L8546" t="e">
        <f>VLOOKUP(Table1[[#This Row],[CountryCode]],[1]!Table1[#All],1,FALSE)</f>
        <v>#REF!</v>
      </c>
    </row>
    <row r="8547" spans="1:12" hidden="1" x14ac:dyDescent="0.3">
      <c r="A8547" t="s">
        <v>51</v>
      </c>
      <c r="B8547" t="s">
        <v>52</v>
      </c>
      <c r="C8547" t="s">
        <v>129</v>
      </c>
      <c r="D8547" t="s">
        <v>130</v>
      </c>
      <c r="E8547">
        <v>1962</v>
      </c>
      <c r="F8547" s="1">
        <v>62</v>
      </c>
      <c r="G8547">
        <v>1960</v>
      </c>
      <c r="H8547">
        <f>AVERAGEIFS(Table1[value],Table1[IndicatorCode],Table1[[#This Row],[IndicatorCode]])</f>
        <v>72.66514008620689</v>
      </c>
      <c r="I8547" cm="1">
        <f t="array" ref="I8547">_xlfn.STDEV.P(IF(Table1[IndicatorCode]=Table1[[#This Row],[IndicatorCode]],Table1[value]))</f>
        <v>6.3409496564024987</v>
      </c>
      <c r="J8547">
        <f>(Table1[[#This Row],[value]] - Table1[[#This Row],[mean]]) / Table1[[#This Row],[std_dev]]</f>
        <v>-1.681946816189942</v>
      </c>
      <c r="K8547">
        <f>AVERAGEIF(Table1[CountryCode],Table1[[#This Row],[CountryCode]],Table1[z-score])</f>
        <v>-0.61446545916413864</v>
      </c>
      <c r="L8547" t="e">
        <f>VLOOKUP(Table1[[#This Row],[CountryCode]],[1]!Table1[#All],1,FALSE)</f>
        <v>#REF!</v>
      </c>
    </row>
    <row r="8548" spans="1:12" hidden="1" x14ac:dyDescent="0.3">
      <c r="A8548" t="s">
        <v>51</v>
      </c>
      <c r="B8548" t="s">
        <v>52</v>
      </c>
      <c r="C8548" t="s">
        <v>129</v>
      </c>
      <c r="D8548" t="s">
        <v>130</v>
      </c>
      <c r="E8548">
        <v>1963</v>
      </c>
      <c r="F8548" s="1">
        <v>62</v>
      </c>
      <c r="G8548">
        <v>1960</v>
      </c>
      <c r="H8548">
        <f>AVERAGEIFS(Table1[value],Table1[IndicatorCode],Table1[[#This Row],[IndicatorCode]])</f>
        <v>72.66514008620689</v>
      </c>
      <c r="I8548" cm="1">
        <f t="array" ref="I8548">_xlfn.STDEV.P(IF(Table1[IndicatorCode]=Table1[[#This Row],[IndicatorCode]],Table1[value]))</f>
        <v>6.3409496564024987</v>
      </c>
      <c r="J8548">
        <f>(Table1[[#This Row],[value]] - Table1[[#This Row],[mean]]) / Table1[[#This Row],[std_dev]]</f>
        <v>-1.681946816189942</v>
      </c>
      <c r="K8548">
        <f>AVERAGEIF(Table1[CountryCode],Table1[[#This Row],[CountryCode]],Table1[z-score])</f>
        <v>-0.61446545916413864</v>
      </c>
      <c r="L8548" t="e">
        <f>VLOOKUP(Table1[[#This Row],[CountryCode]],[1]!Table1[#All],1,FALSE)</f>
        <v>#REF!</v>
      </c>
    </row>
    <row r="8549" spans="1:12" hidden="1" x14ac:dyDescent="0.3">
      <c r="A8549" t="s">
        <v>51</v>
      </c>
      <c r="B8549" t="s">
        <v>52</v>
      </c>
      <c r="C8549" t="s">
        <v>129</v>
      </c>
      <c r="D8549" t="s">
        <v>130</v>
      </c>
      <c r="E8549">
        <v>1964</v>
      </c>
      <c r="F8549" s="1">
        <v>63</v>
      </c>
      <c r="G8549">
        <v>1960</v>
      </c>
      <c r="H8549">
        <f>AVERAGEIFS(Table1[value],Table1[IndicatorCode],Table1[[#This Row],[IndicatorCode]])</f>
        <v>72.66514008620689</v>
      </c>
      <c r="I8549" cm="1">
        <f t="array" ref="I8549">_xlfn.STDEV.P(IF(Table1[IndicatorCode]=Table1[[#This Row],[IndicatorCode]],Table1[value]))</f>
        <v>6.3409496564024987</v>
      </c>
      <c r="J8549">
        <f>(Table1[[#This Row],[value]] - Table1[[#This Row],[mean]]) / Table1[[#This Row],[std_dev]]</f>
        <v>-1.5242417319065029</v>
      </c>
      <c r="K8549">
        <f>AVERAGEIF(Table1[CountryCode],Table1[[#This Row],[CountryCode]],Table1[z-score])</f>
        <v>-0.61446545916413864</v>
      </c>
      <c r="L8549" t="e">
        <f>VLOOKUP(Table1[[#This Row],[CountryCode]],[1]!Table1[#All],1,FALSE)</f>
        <v>#REF!</v>
      </c>
    </row>
    <row r="8550" spans="1:12" hidden="1" x14ac:dyDescent="0.3">
      <c r="A8550" t="s">
        <v>51</v>
      </c>
      <c r="B8550" t="s">
        <v>52</v>
      </c>
      <c r="C8550" t="s">
        <v>129</v>
      </c>
      <c r="D8550" t="s">
        <v>130</v>
      </c>
      <c r="E8550">
        <v>1965</v>
      </c>
      <c r="F8550" s="1">
        <v>63</v>
      </c>
      <c r="G8550">
        <v>1960</v>
      </c>
      <c r="H8550">
        <f>AVERAGEIFS(Table1[value],Table1[IndicatorCode],Table1[[#This Row],[IndicatorCode]])</f>
        <v>72.66514008620689</v>
      </c>
      <c r="I8550" cm="1">
        <f t="array" ref="I8550">_xlfn.STDEV.P(IF(Table1[IndicatorCode]=Table1[[#This Row],[IndicatorCode]],Table1[value]))</f>
        <v>6.3409496564024987</v>
      </c>
      <c r="J8550">
        <f>(Table1[[#This Row],[value]] - Table1[[#This Row],[mean]]) / Table1[[#This Row],[std_dev]]</f>
        <v>-1.5242417319065029</v>
      </c>
      <c r="K8550">
        <f>AVERAGEIF(Table1[CountryCode],Table1[[#This Row],[CountryCode]],Table1[z-score])</f>
        <v>-0.61446545916413864</v>
      </c>
      <c r="L8550" t="e">
        <f>VLOOKUP(Table1[[#This Row],[CountryCode]],[1]!Table1[#All],1,FALSE)</f>
        <v>#REF!</v>
      </c>
    </row>
    <row r="8551" spans="1:12" hidden="1" x14ac:dyDescent="0.3">
      <c r="A8551" t="s">
        <v>51</v>
      </c>
      <c r="B8551" t="s">
        <v>52</v>
      </c>
      <c r="C8551" t="s">
        <v>129</v>
      </c>
      <c r="D8551" t="s">
        <v>130</v>
      </c>
      <c r="E8551">
        <v>1966</v>
      </c>
      <c r="F8551" s="1">
        <v>63</v>
      </c>
      <c r="G8551">
        <v>1960</v>
      </c>
      <c r="H8551">
        <f>AVERAGEIFS(Table1[value],Table1[IndicatorCode],Table1[[#This Row],[IndicatorCode]])</f>
        <v>72.66514008620689</v>
      </c>
      <c r="I8551" cm="1">
        <f t="array" ref="I8551">_xlfn.STDEV.P(IF(Table1[IndicatorCode]=Table1[[#This Row],[IndicatorCode]],Table1[value]))</f>
        <v>6.3409496564024987</v>
      </c>
      <c r="J8551">
        <f>(Table1[[#This Row],[value]] - Table1[[#This Row],[mean]]) / Table1[[#This Row],[std_dev]]</f>
        <v>-1.5242417319065029</v>
      </c>
      <c r="K8551">
        <f>AVERAGEIF(Table1[CountryCode],Table1[[#This Row],[CountryCode]],Table1[z-score])</f>
        <v>-0.61446545916413864</v>
      </c>
      <c r="L8551" t="e">
        <f>VLOOKUP(Table1[[#This Row],[CountryCode]],[1]!Table1[#All],1,FALSE)</f>
        <v>#REF!</v>
      </c>
    </row>
    <row r="8552" spans="1:12" hidden="1" x14ac:dyDescent="0.3">
      <c r="A8552" t="s">
        <v>51</v>
      </c>
      <c r="B8552" t="s">
        <v>52</v>
      </c>
      <c r="C8552" t="s">
        <v>129</v>
      </c>
      <c r="D8552" t="s">
        <v>130</v>
      </c>
      <c r="E8552">
        <v>1967</v>
      </c>
      <c r="F8552" s="1">
        <v>64</v>
      </c>
      <c r="G8552">
        <v>1970</v>
      </c>
      <c r="H8552">
        <f>AVERAGEIFS(Table1[value],Table1[IndicatorCode],Table1[[#This Row],[IndicatorCode]])</f>
        <v>72.66514008620689</v>
      </c>
      <c r="I8552" cm="1">
        <f t="array" ref="I8552">_xlfn.STDEV.P(IF(Table1[IndicatorCode]=Table1[[#This Row],[IndicatorCode]],Table1[value]))</f>
        <v>6.3409496564024987</v>
      </c>
      <c r="J8552">
        <f>(Table1[[#This Row],[value]] - Table1[[#This Row],[mean]]) / Table1[[#This Row],[std_dev]]</f>
        <v>-1.3665366476230638</v>
      </c>
      <c r="K8552">
        <f>AVERAGEIF(Table1[CountryCode],Table1[[#This Row],[CountryCode]],Table1[z-score])</f>
        <v>-0.61446545916413864</v>
      </c>
      <c r="L8552" t="e">
        <f>VLOOKUP(Table1[[#This Row],[CountryCode]],[1]!Table1[#All],1,FALSE)</f>
        <v>#REF!</v>
      </c>
    </row>
    <row r="8553" spans="1:12" hidden="1" x14ac:dyDescent="0.3">
      <c r="A8553" t="s">
        <v>51</v>
      </c>
      <c r="B8553" t="s">
        <v>52</v>
      </c>
      <c r="C8553" t="s">
        <v>129</v>
      </c>
      <c r="D8553" t="s">
        <v>130</v>
      </c>
      <c r="E8553">
        <v>1968</v>
      </c>
      <c r="F8553" s="1">
        <v>64</v>
      </c>
      <c r="G8553">
        <v>1970</v>
      </c>
      <c r="H8553">
        <f>AVERAGEIFS(Table1[value],Table1[IndicatorCode],Table1[[#This Row],[IndicatorCode]])</f>
        <v>72.66514008620689</v>
      </c>
      <c r="I8553" cm="1">
        <f t="array" ref="I8553">_xlfn.STDEV.P(IF(Table1[IndicatorCode]=Table1[[#This Row],[IndicatorCode]],Table1[value]))</f>
        <v>6.3409496564024987</v>
      </c>
      <c r="J8553">
        <f>(Table1[[#This Row],[value]] - Table1[[#This Row],[mean]]) / Table1[[#This Row],[std_dev]]</f>
        <v>-1.3665366476230638</v>
      </c>
      <c r="K8553">
        <f>AVERAGEIF(Table1[CountryCode],Table1[[#This Row],[CountryCode]],Table1[z-score])</f>
        <v>-0.61446545916413864</v>
      </c>
      <c r="L8553" t="e">
        <f>VLOOKUP(Table1[[#This Row],[CountryCode]],[1]!Table1[#All],1,FALSE)</f>
        <v>#REF!</v>
      </c>
    </row>
    <row r="8554" spans="1:12" hidden="1" x14ac:dyDescent="0.3">
      <c r="A8554" t="s">
        <v>51</v>
      </c>
      <c r="B8554" t="s">
        <v>52</v>
      </c>
      <c r="C8554" t="s">
        <v>129</v>
      </c>
      <c r="D8554" t="s">
        <v>130</v>
      </c>
      <c r="E8554">
        <v>1969</v>
      </c>
      <c r="F8554" s="1">
        <v>65</v>
      </c>
      <c r="G8554">
        <v>1970</v>
      </c>
      <c r="H8554">
        <f>AVERAGEIFS(Table1[value],Table1[IndicatorCode],Table1[[#This Row],[IndicatorCode]])</f>
        <v>72.66514008620689</v>
      </c>
      <c r="I8554" cm="1">
        <f t="array" ref="I8554">_xlfn.STDEV.P(IF(Table1[IndicatorCode]=Table1[[#This Row],[IndicatorCode]],Table1[value]))</f>
        <v>6.3409496564024987</v>
      </c>
      <c r="J8554">
        <f>(Table1[[#This Row],[value]] - Table1[[#This Row],[mean]]) / Table1[[#This Row],[std_dev]]</f>
        <v>-1.2088315633396249</v>
      </c>
      <c r="K8554">
        <f>AVERAGEIF(Table1[CountryCode],Table1[[#This Row],[CountryCode]],Table1[z-score])</f>
        <v>-0.61446545916413864</v>
      </c>
      <c r="L8554" t="e">
        <f>VLOOKUP(Table1[[#This Row],[CountryCode]],[1]!Table1[#All],1,FALSE)</f>
        <v>#REF!</v>
      </c>
    </row>
    <row r="8555" spans="1:12" hidden="1" x14ac:dyDescent="0.3">
      <c r="A8555" t="s">
        <v>51</v>
      </c>
      <c r="B8555" t="s">
        <v>52</v>
      </c>
      <c r="C8555" t="s">
        <v>129</v>
      </c>
      <c r="D8555" t="s">
        <v>130</v>
      </c>
      <c r="E8555">
        <v>1970</v>
      </c>
      <c r="F8555" s="1">
        <v>65</v>
      </c>
      <c r="G8555">
        <v>1970</v>
      </c>
      <c r="H8555">
        <f>AVERAGEIFS(Table1[value],Table1[IndicatorCode],Table1[[#This Row],[IndicatorCode]])</f>
        <v>72.66514008620689</v>
      </c>
      <c r="I8555" cm="1">
        <f t="array" ref="I8555">_xlfn.STDEV.P(IF(Table1[IndicatorCode]=Table1[[#This Row],[IndicatorCode]],Table1[value]))</f>
        <v>6.3409496564024987</v>
      </c>
      <c r="J8555">
        <f>(Table1[[#This Row],[value]] - Table1[[#This Row],[mean]]) / Table1[[#This Row],[std_dev]]</f>
        <v>-1.2088315633396249</v>
      </c>
      <c r="K8555">
        <f>AVERAGEIF(Table1[CountryCode],Table1[[#This Row],[CountryCode]],Table1[z-score])</f>
        <v>-0.61446545916413864</v>
      </c>
      <c r="L8555" t="e">
        <f>VLOOKUP(Table1[[#This Row],[CountryCode]],[1]!Table1[#All],1,FALSE)</f>
        <v>#REF!</v>
      </c>
    </row>
    <row r="8556" spans="1:12" hidden="1" x14ac:dyDescent="0.3">
      <c r="A8556" t="s">
        <v>51</v>
      </c>
      <c r="B8556" t="s">
        <v>52</v>
      </c>
      <c r="C8556" t="s">
        <v>129</v>
      </c>
      <c r="D8556" t="s">
        <v>130</v>
      </c>
      <c r="E8556">
        <v>1971</v>
      </c>
      <c r="F8556" s="1">
        <v>65</v>
      </c>
      <c r="G8556">
        <v>1970</v>
      </c>
      <c r="H8556">
        <f>AVERAGEIFS(Table1[value],Table1[IndicatorCode],Table1[[#This Row],[IndicatorCode]])</f>
        <v>72.66514008620689</v>
      </c>
      <c r="I8556" cm="1">
        <f t="array" ref="I8556">_xlfn.STDEV.P(IF(Table1[IndicatorCode]=Table1[[#This Row],[IndicatorCode]],Table1[value]))</f>
        <v>6.3409496564024987</v>
      </c>
      <c r="J8556">
        <f>(Table1[[#This Row],[value]] - Table1[[#This Row],[mean]]) / Table1[[#This Row],[std_dev]]</f>
        <v>-1.2088315633396249</v>
      </c>
      <c r="K8556">
        <f>AVERAGEIF(Table1[CountryCode],Table1[[#This Row],[CountryCode]],Table1[z-score])</f>
        <v>-0.61446545916413864</v>
      </c>
      <c r="L8556" t="e">
        <f>VLOOKUP(Table1[[#This Row],[CountryCode]],[1]!Table1[#All],1,FALSE)</f>
        <v>#REF!</v>
      </c>
    </row>
    <row r="8557" spans="1:12" hidden="1" x14ac:dyDescent="0.3">
      <c r="A8557" t="s">
        <v>51</v>
      </c>
      <c r="B8557" t="s">
        <v>52</v>
      </c>
      <c r="C8557" t="s">
        <v>129</v>
      </c>
      <c r="D8557" t="s">
        <v>130</v>
      </c>
      <c r="E8557">
        <v>1972</v>
      </c>
      <c r="F8557" s="1">
        <v>66</v>
      </c>
      <c r="G8557">
        <v>1970</v>
      </c>
      <c r="H8557">
        <f>AVERAGEIFS(Table1[value],Table1[IndicatorCode],Table1[[#This Row],[IndicatorCode]])</f>
        <v>72.66514008620689</v>
      </c>
      <c r="I8557" cm="1">
        <f t="array" ref="I8557">_xlfn.STDEV.P(IF(Table1[IndicatorCode]=Table1[[#This Row],[IndicatorCode]],Table1[value]))</f>
        <v>6.3409496564024987</v>
      </c>
      <c r="J8557">
        <f>(Table1[[#This Row],[value]] - Table1[[#This Row],[mean]]) / Table1[[#This Row],[std_dev]]</f>
        <v>-1.0511264790561858</v>
      </c>
      <c r="K8557">
        <f>AVERAGEIF(Table1[CountryCode],Table1[[#This Row],[CountryCode]],Table1[z-score])</f>
        <v>-0.61446545916413864</v>
      </c>
      <c r="L8557" t="e">
        <f>VLOOKUP(Table1[[#This Row],[CountryCode]],[1]!Table1[#All],1,FALSE)</f>
        <v>#REF!</v>
      </c>
    </row>
    <row r="8558" spans="1:12" hidden="1" x14ac:dyDescent="0.3">
      <c r="A8558" t="s">
        <v>51</v>
      </c>
      <c r="B8558" t="s">
        <v>52</v>
      </c>
      <c r="C8558" t="s">
        <v>129</v>
      </c>
      <c r="D8558" t="s">
        <v>130</v>
      </c>
      <c r="E8558">
        <v>1973</v>
      </c>
      <c r="F8558" s="1">
        <v>66</v>
      </c>
      <c r="G8558">
        <v>1970</v>
      </c>
      <c r="H8558">
        <f>AVERAGEIFS(Table1[value],Table1[IndicatorCode],Table1[[#This Row],[IndicatorCode]])</f>
        <v>72.66514008620689</v>
      </c>
      <c r="I8558" cm="1">
        <f t="array" ref="I8558">_xlfn.STDEV.P(IF(Table1[IndicatorCode]=Table1[[#This Row],[IndicatorCode]],Table1[value]))</f>
        <v>6.3409496564024987</v>
      </c>
      <c r="J8558">
        <f>(Table1[[#This Row],[value]] - Table1[[#This Row],[mean]]) / Table1[[#This Row],[std_dev]]</f>
        <v>-1.0511264790561858</v>
      </c>
      <c r="K8558">
        <f>AVERAGEIF(Table1[CountryCode],Table1[[#This Row],[CountryCode]],Table1[z-score])</f>
        <v>-0.61446545916413864</v>
      </c>
      <c r="L8558" t="e">
        <f>VLOOKUP(Table1[[#This Row],[CountryCode]],[1]!Table1[#All],1,FALSE)</f>
        <v>#REF!</v>
      </c>
    </row>
    <row r="8559" spans="1:12" hidden="1" x14ac:dyDescent="0.3">
      <c r="A8559" t="s">
        <v>51</v>
      </c>
      <c r="B8559" t="s">
        <v>52</v>
      </c>
      <c r="C8559" t="s">
        <v>129</v>
      </c>
      <c r="D8559" t="s">
        <v>130</v>
      </c>
      <c r="E8559">
        <v>1974</v>
      </c>
      <c r="F8559" s="1">
        <v>66</v>
      </c>
      <c r="G8559">
        <v>1970</v>
      </c>
      <c r="H8559">
        <f>AVERAGEIFS(Table1[value],Table1[IndicatorCode],Table1[[#This Row],[IndicatorCode]])</f>
        <v>72.66514008620689</v>
      </c>
      <c r="I8559" cm="1">
        <f t="array" ref="I8559">_xlfn.STDEV.P(IF(Table1[IndicatorCode]=Table1[[#This Row],[IndicatorCode]],Table1[value]))</f>
        <v>6.3409496564024987</v>
      </c>
      <c r="J8559">
        <f>(Table1[[#This Row],[value]] - Table1[[#This Row],[mean]]) / Table1[[#This Row],[std_dev]]</f>
        <v>-1.0511264790561858</v>
      </c>
      <c r="K8559">
        <f>AVERAGEIF(Table1[CountryCode],Table1[[#This Row],[CountryCode]],Table1[z-score])</f>
        <v>-0.61446545916413864</v>
      </c>
      <c r="L8559" t="e">
        <f>VLOOKUP(Table1[[#This Row],[CountryCode]],[1]!Table1[#All],1,FALSE)</f>
        <v>#REF!</v>
      </c>
    </row>
    <row r="8560" spans="1:12" hidden="1" x14ac:dyDescent="0.3">
      <c r="A8560" t="s">
        <v>51</v>
      </c>
      <c r="B8560" t="s">
        <v>52</v>
      </c>
      <c r="C8560" t="s">
        <v>129</v>
      </c>
      <c r="D8560" t="s">
        <v>130</v>
      </c>
      <c r="E8560">
        <v>1975</v>
      </c>
      <c r="F8560" s="1">
        <v>67</v>
      </c>
      <c r="G8560">
        <v>1970</v>
      </c>
      <c r="H8560">
        <f>AVERAGEIFS(Table1[value],Table1[IndicatorCode],Table1[[#This Row],[IndicatorCode]])</f>
        <v>72.66514008620689</v>
      </c>
      <c r="I8560" cm="1">
        <f t="array" ref="I8560">_xlfn.STDEV.P(IF(Table1[IndicatorCode]=Table1[[#This Row],[IndicatorCode]],Table1[value]))</f>
        <v>6.3409496564024987</v>
      </c>
      <c r="J8560">
        <f>(Table1[[#This Row],[value]] - Table1[[#This Row],[mean]]) / Table1[[#This Row],[std_dev]]</f>
        <v>-0.89342139477274674</v>
      </c>
      <c r="K8560">
        <f>AVERAGEIF(Table1[CountryCode],Table1[[#This Row],[CountryCode]],Table1[z-score])</f>
        <v>-0.61446545916413864</v>
      </c>
      <c r="L8560" t="e">
        <f>VLOOKUP(Table1[[#This Row],[CountryCode]],[1]!Table1[#All],1,FALSE)</f>
        <v>#REF!</v>
      </c>
    </row>
    <row r="8561" spans="1:12" hidden="1" x14ac:dyDescent="0.3">
      <c r="A8561" t="s">
        <v>51</v>
      </c>
      <c r="B8561" t="s">
        <v>52</v>
      </c>
      <c r="C8561" t="s">
        <v>129</v>
      </c>
      <c r="D8561" t="s">
        <v>130</v>
      </c>
      <c r="E8561">
        <v>1976</v>
      </c>
      <c r="F8561" s="1">
        <v>67</v>
      </c>
      <c r="G8561">
        <v>1970</v>
      </c>
      <c r="H8561">
        <f>AVERAGEIFS(Table1[value],Table1[IndicatorCode],Table1[[#This Row],[IndicatorCode]])</f>
        <v>72.66514008620689</v>
      </c>
      <c r="I8561" cm="1">
        <f t="array" ref="I8561">_xlfn.STDEV.P(IF(Table1[IndicatorCode]=Table1[[#This Row],[IndicatorCode]],Table1[value]))</f>
        <v>6.3409496564024987</v>
      </c>
      <c r="J8561">
        <f>(Table1[[#This Row],[value]] - Table1[[#This Row],[mean]]) / Table1[[#This Row],[std_dev]]</f>
        <v>-0.89342139477274674</v>
      </c>
      <c r="K8561">
        <f>AVERAGEIF(Table1[CountryCode],Table1[[#This Row],[CountryCode]],Table1[z-score])</f>
        <v>-0.61446545916413864</v>
      </c>
      <c r="L8561" t="e">
        <f>VLOOKUP(Table1[[#This Row],[CountryCode]],[1]!Table1[#All],1,FALSE)</f>
        <v>#REF!</v>
      </c>
    </row>
    <row r="8562" spans="1:12" hidden="1" x14ac:dyDescent="0.3">
      <c r="A8562" t="s">
        <v>51</v>
      </c>
      <c r="B8562" t="s">
        <v>52</v>
      </c>
      <c r="C8562" t="s">
        <v>129</v>
      </c>
      <c r="D8562" t="s">
        <v>130</v>
      </c>
      <c r="E8562">
        <v>1977</v>
      </c>
      <c r="F8562" s="1">
        <v>67</v>
      </c>
      <c r="G8562">
        <v>1980</v>
      </c>
      <c r="H8562">
        <f>AVERAGEIFS(Table1[value],Table1[IndicatorCode],Table1[[#This Row],[IndicatorCode]])</f>
        <v>72.66514008620689</v>
      </c>
      <c r="I8562" cm="1">
        <f t="array" ref="I8562">_xlfn.STDEV.P(IF(Table1[IndicatorCode]=Table1[[#This Row],[IndicatorCode]],Table1[value]))</f>
        <v>6.3409496564024987</v>
      </c>
      <c r="J8562">
        <f>(Table1[[#This Row],[value]] - Table1[[#This Row],[mean]]) / Table1[[#This Row],[std_dev]]</f>
        <v>-0.89342139477274674</v>
      </c>
      <c r="K8562">
        <f>AVERAGEIF(Table1[CountryCode],Table1[[#This Row],[CountryCode]],Table1[z-score])</f>
        <v>-0.61446545916413864</v>
      </c>
      <c r="L8562" t="e">
        <f>VLOOKUP(Table1[[#This Row],[CountryCode]],[1]!Table1[#All],1,FALSE)</f>
        <v>#REF!</v>
      </c>
    </row>
    <row r="8563" spans="1:12" hidden="1" x14ac:dyDescent="0.3">
      <c r="A8563" t="s">
        <v>51</v>
      </c>
      <c r="B8563" t="s">
        <v>52</v>
      </c>
      <c r="C8563" t="s">
        <v>129</v>
      </c>
      <c r="D8563" t="s">
        <v>130</v>
      </c>
      <c r="E8563">
        <v>1978</v>
      </c>
      <c r="F8563" s="1">
        <v>68</v>
      </c>
      <c r="G8563">
        <v>1980</v>
      </c>
      <c r="H8563">
        <f>AVERAGEIFS(Table1[value],Table1[IndicatorCode],Table1[[#This Row],[IndicatorCode]])</f>
        <v>72.66514008620689</v>
      </c>
      <c r="I8563" cm="1">
        <f t="array" ref="I8563">_xlfn.STDEV.P(IF(Table1[IndicatorCode]=Table1[[#This Row],[IndicatorCode]],Table1[value]))</f>
        <v>6.3409496564024987</v>
      </c>
      <c r="J8563">
        <f>(Table1[[#This Row],[value]] - Table1[[#This Row],[mean]]) / Table1[[#This Row],[std_dev]]</f>
        <v>-0.73571631048930775</v>
      </c>
      <c r="K8563">
        <f>AVERAGEIF(Table1[CountryCode],Table1[[#This Row],[CountryCode]],Table1[z-score])</f>
        <v>-0.61446545916413864</v>
      </c>
      <c r="L8563" t="e">
        <f>VLOOKUP(Table1[[#This Row],[CountryCode]],[1]!Table1[#All],1,FALSE)</f>
        <v>#REF!</v>
      </c>
    </row>
    <row r="8564" spans="1:12" hidden="1" x14ac:dyDescent="0.3">
      <c r="A8564" t="s">
        <v>51</v>
      </c>
      <c r="B8564" t="s">
        <v>52</v>
      </c>
      <c r="C8564" t="s">
        <v>129</v>
      </c>
      <c r="D8564" t="s">
        <v>130</v>
      </c>
      <c r="E8564">
        <v>1979</v>
      </c>
      <c r="F8564" s="1">
        <v>68</v>
      </c>
      <c r="G8564">
        <v>1980</v>
      </c>
      <c r="H8564">
        <f>AVERAGEIFS(Table1[value],Table1[IndicatorCode],Table1[[#This Row],[IndicatorCode]])</f>
        <v>72.66514008620689</v>
      </c>
      <c r="I8564" cm="1">
        <f t="array" ref="I8564">_xlfn.STDEV.P(IF(Table1[IndicatorCode]=Table1[[#This Row],[IndicatorCode]],Table1[value]))</f>
        <v>6.3409496564024987</v>
      </c>
      <c r="J8564">
        <f>(Table1[[#This Row],[value]] - Table1[[#This Row],[mean]]) / Table1[[#This Row],[std_dev]]</f>
        <v>-0.73571631048930775</v>
      </c>
      <c r="K8564">
        <f>AVERAGEIF(Table1[CountryCode],Table1[[#This Row],[CountryCode]],Table1[z-score])</f>
        <v>-0.61446545916413864</v>
      </c>
      <c r="L8564" t="e">
        <f>VLOOKUP(Table1[[#This Row],[CountryCode]],[1]!Table1[#All],1,FALSE)</f>
        <v>#REF!</v>
      </c>
    </row>
    <row r="8565" spans="1:12" hidden="1" x14ac:dyDescent="0.3">
      <c r="A8565" t="s">
        <v>51</v>
      </c>
      <c r="B8565" t="s">
        <v>52</v>
      </c>
      <c r="C8565" t="s">
        <v>129</v>
      </c>
      <c r="D8565" t="s">
        <v>130</v>
      </c>
      <c r="E8565">
        <v>1980</v>
      </c>
      <c r="F8565" s="1">
        <v>68</v>
      </c>
      <c r="G8565">
        <v>1980</v>
      </c>
      <c r="H8565">
        <f>AVERAGEIFS(Table1[value],Table1[IndicatorCode],Table1[[#This Row],[IndicatorCode]])</f>
        <v>72.66514008620689</v>
      </c>
      <c r="I8565" cm="1">
        <f t="array" ref="I8565">_xlfn.STDEV.P(IF(Table1[IndicatorCode]=Table1[[#This Row],[IndicatorCode]],Table1[value]))</f>
        <v>6.3409496564024987</v>
      </c>
      <c r="J8565">
        <f>(Table1[[#This Row],[value]] - Table1[[#This Row],[mean]]) / Table1[[#This Row],[std_dev]]</f>
        <v>-0.73571631048930775</v>
      </c>
      <c r="K8565">
        <f>AVERAGEIF(Table1[CountryCode],Table1[[#This Row],[CountryCode]],Table1[z-score])</f>
        <v>-0.61446545916413864</v>
      </c>
      <c r="L8565" t="e">
        <f>VLOOKUP(Table1[[#This Row],[CountryCode]],[1]!Table1[#All],1,FALSE)</f>
        <v>#REF!</v>
      </c>
    </row>
    <row r="8566" spans="1:12" hidden="1" x14ac:dyDescent="0.3">
      <c r="A8566" t="s">
        <v>51</v>
      </c>
      <c r="B8566" t="s">
        <v>52</v>
      </c>
      <c r="C8566" t="s">
        <v>129</v>
      </c>
      <c r="D8566" t="s">
        <v>130</v>
      </c>
      <c r="E8566">
        <v>1981</v>
      </c>
      <c r="F8566" s="1">
        <v>69</v>
      </c>
      <c r="G8566">
        <v>1980</v>
      </c>
      <c r="H8566">
        <f>AVERAGEIFS(Table1[value],Table1[IndicatorCode],Table1[[#This Row],[IndicatorCode]])</f>
        <v>72.66514008620689</v>
      </c>
      <c r="I8566" cm="1">
        <f t="array" ref="I8566">_xlfn.STDEV.P(IF(Table1[IndicatorCode]=Table1[[#This Row],[IndicatorCode]],Table1[value]))</f>
        <v>6.3409496564024987</v>
      </c>
      <c r="J8566">
        <f>(Table1[[#This Row],[value]] - Table1[[#This Row],[mean]]) / Table1[[#This Row],[std_dev]]</f>
        <v>-0.57801122620586864</v>
      </c>
      <c r="K8566">
        <f>AVERAGEIF(Table1[CountryCode],Table1[[#This Row],[CountryCode]],Table1[z-score])</f>
        <v>-0.61446545916413864</v>
      </c>
      <c r="L8566" t="e">
        <f>VLOOKUP(Table1[[#This Row],[CountryCode]],[1]!Table1[#All],1,FALSE)</f>
        <v>#REF!</v>
      </c>
    </row>
    <row r="8567" spans="1:12" hidden="1" x14ac:dyDescent="0.3">
      <c r="A8567" t="s">
        <v>51</v>
      </c>
      <c r="B8567" t="s">
        <v>52</v>
      </c>
      <c r="C8567" t="s">
        <v>129</v>
      </c>
      <c r="D8567" t="s">
        <v>130</v>
      </c>
      <c r="E8567">
        <v>1982</v>
      </c>
      <c r="F8567" s="1">
        <v>69</v>
      </c>
      <c r="G8567">
        <v>1980</v>
      </c>
      <c r="H8567">
        <f>AVERAGEIFS(Table1[value],Table1[IndicatorCode],Table1[[#This Row],[IndicatorCode]])</f>
        <v>72.66514008620689</v>
      </c>
      <c r="I8567" cm="1">
        <f t="array" ref="I8567">_xlfn.STDEV.P(IF(Table1[IndicatorCode]=Table1[[#This Row],[IndicatorCode]],Table1[value]))</f>
        <v>6.3409496564024987</v>
      </c>
      <c r="J8567">
        <f>(Table1[[#This Row],[value]] - Table1[[#This Row],[mean]]) / Table1[[#This Row],[std_dev]]</f>
        <v>-0.57801122620586864</v>
      </c>
      <c r="K8567">
        <f>AVERAGEIF(Table1[CountryCode],Table1[[#This Row],[CountryCode]],Table1[z-score])</f>
        <v>-0.61446545916413864</v>
      </c>
      <c r="L8567" t="e">
        <f>VLOOKUP(Table1[[#This Row],[CountryCode]],[1]!Table1[#All],1,FALSE)</f>
        <v>#REF!</v>
      </c>
    </row>
    <row r="8568" spans="1:12" hidden="1" x14ac:dyDescent="0.3">
      <c r="A8568" t="s">
        <v>51</v>
      </c>
      <c r="B8568" t="s">
        <v>52</v>
      </c>
      <c r="C8568" t="s">
        <v>129</v>
      </c>
      <c r="D8568" t="s">
        <v>130</v>
      </c>
      <c r="E8568">
        <v>1983</v>
      </c>
      <c r="F8568" s="1">
        <v>69</v>
      </c>
      <c r="G8568">
        <v>1980</v>
      </c>
      <c r="H8568">
        <f>AVERAGEIFS(Table1[value],Table1[IndicatorCode],Table1[[#This Row],[IndicatorCode]])</f>
        <v>72.66514008620689</v>
      </c>
      <c r="I8568" cm="1">
        <f t="array" ref="I8568">_xlfn.STDEV.P(IF(Table1[IndicatorCode]=Table1[[#This Row],[IndicatorCode]],Table1[value]))</f>
        <v>6.3409496564024987</v>
      </c>
      <c r="J8568">
        <f>(Table1[[#This Row],[value]] - Table1[[#This Row],[mean]]) / Table1[[#This Row],[std_dev]]</f>
        <v>-0.57801122620586864</v>
      </c>
      <c r="K8568">
        <f>AVERAGEIF(Table1[CountryCode],Table1[[#This Row],[CountryCode]],Table1[z-score])</f>
        <v>-0.61446545916413864</v>
      </c>
      <c r="L8568" t="e">
        <f>VLOOKUP(Table1[[#This Row],[CountryCode]],[1]!Table1[#All],1,FALSE)</f>
        <v>#REF!</v>
      </c>
    </row>
    <row r="8569" spans="1:12" hidden="1" x14ac:dyDescent="0.3">
      <c r="A8569" t="s">
        <v>51</v>
      </c>
      <c r="B8569" t="s">
        <v>52</v>
      </c>
      <c r="C8569" t="s">
        <v>129</v>
      </c>
      <c r="D8569" t="s">
        <v>130</v>
      </c>
      <c r="E8569">
        <v>1984</v>
      </c>
      <c r="F8569" s="1">
        <v>69</v>
      </c>
      <c r="G8569">
        <v>1980</v>
      </c>
      <c r="H8569">
        <f>AVERAGEIFS(Table1[value],Table1[IndicatorCode],Table1[[#This Row],[IndicatorCode]])</f>
        <v>72.66514008620689</v>
      </c>
      <c r="I8569" cm="1">
        <f t="array" ref="I8569">_xlfn.STDEV.P(IF(Table1[IndicatorCode]=Table1[[#This Row],[IndicatorCode]],Table1[value]))</f>
        <v>6.3409496564024987</v>
      </c>
      <c r="J8569">
        <f>(Table1[[#This Row],[value]] - Table1[[#This Row],[mean]]) / Table1[[#This Row],[std_dev]]</f>
        <v>-0.57801122620586864</v>
      </c>
      <c r="K8569">
        <f>AVERAGEIF(Table1[CountryCode],Table1[[#This Row],[CountryCode]],Table1[z-score])</f>
        <v>-0.61446545916413864</v>
      </c>
      <c r="L8569" t="e">
        <f>VLOOKUP(Table1[[#This Row],[CountryCode]],[1]!Table1[#All],1,FALSE)</f>
        <v>#REF!</v>
      </c>
    </row>
    <row r="8570" spans="1:12" hidden="1" x14ac:dyDescent="0.3">
      <c r="A8570" t="s">
        <v>51</v>
      </c>
      <c r="B8570" t="s">
        <v>52</v>
      </c>
      <c r="C8570" t="s">
        <v>129</v>
      </c>
      <c r="D8570" t="s">
        <v>130</v>
      </c>
      <c r="E8570">
        <v>1985</v>
      </c>
      <c r="F8570" s="1">
        <v>69</v>
      </c>
      <c r="G8570">
        <v>1980</v>
      </c>
      <c r="H8570">
        <f>AVERAGEIFS(Table1[value],Table1[IndicatorCode],Table1[[#This Row],[IndicatorCode]])</f>
        <v>72.66514008620689</v>
      </c>
      <c r="I8570" cm="1">
        <f t="array" ref="I8570">_xlfn.STDEV.P(IF(Table1[IndicatorCode]=Table1[[#This Row],[IndicatorCode]],Table1[value]))</f>
        <v>6.3409496564024987</v>
      </c>
      <c r="J8570">
        <f>(Table1[[#This Row],[value]] - Table1[[#This Row],[mean]]) / Table1[[#This Row],[std_dev]]</f>
        <v>-0.57801122620586864</v>
      </c>
      <c r="K8570">
        <f>AVERAGEIF(Table1[CountryCode],Table1[[#This Row],[CountryCode]],Table1[z-score])</f>
        <v>-0.61446545916413864</v>
      </c>
      <c r="L8570" t="e">
        <f>VLOOKUP(Table1[[#This Row],[CountryCode]],[1]!Table1[#All],1,FALSE)</f>
        <v>#REF!</v>
      </c>
    </row>
    <row r="8571" spans="1:12" hidden="1" x14ac:dyDescent="0.3">
      <c r="A8571" t="s">
        <v>51</v>
      </c>
      <c r="B8571" t="s">
        <v>52</v>
      </c>
      <c r="C8571" t="s">
        <v>129</v>
      </c>
      <c r="D8571" t="s">
        <v>130</v>
      </c>
      <c r="E8571">
        <v>1986</v>
      </c>
      <c r="F8571" s="1">
        <v>69</v>
      </c>
      <c r="G8571">
        <v>1980</v>
      </c>
      <c r="H8571">
        <f>AVERAGEIFS(Table1[value],Table1[IndicatorCode],Table1[[#This Row],[IndicatorCode]])</f>
        <v>72.66514008620689</v>
      </c>
      <c r="I8571" cm="1">
        <f t="array" ref="I8571">_xlfn.STDEV.P(IF(Table1[IndicatorCode]=Table1[[#This Row],[IndicatorCode]],Table1[value]))</f>
        <v>6.3409496564024987</v>
      </c>
      <c r="J8571">
        <f>(Table1[[#This Row],[value]] - Table1[[#This Row],[mean]]) / Table1[[#This Row],[std_dev]]</f>
        <v>-0.57801122620586864</v>
      </c>
      <c r="K8571">
        <f>AVERAGEIF(Table1[CountryCode],Table1[[#This Row],[CountryCode]],Table1[z-score])</f>
        <v>-0.61446545916413864</v>
      </c>
      <c r="L8571" t="e">
        <f>VLOOKUP(Table1[[#This Row],[CountryCode]],[1]!Table1[#All],1,FALSE)</f>
        <v>#REF!</v>
      </c>
    </row>
    <row r="8572" spans="1:12" hidden="1" x14ac:dyDescent="0.3">
      <c r="A8572" t="s">
        <v>51</v>
      </c>
      <c r="B8572" t="s">
        <v>52</v>
      </c>
      <c r="C8572" t="s">
        <v>129</v>
      </c>
      <c r="D8572" t="s">
        <v>130</v>
      </c>
      <c r="E8572">
        <v>1987</v>
      </c>
      <c r="F8572" s="1">
        <v>69</v>
      </c>
      <c r="G8572">
        <v>1990</v>
      </c>
      <c r="H8572">
        <f>AVERAGEIFS(Table1[value],Table1[IndicatorCode],Table1[[#This Row],[IndicatorCode]])</f>
        <v>72.66514008620689</v>
      </c>
      <c r="I8572" cm="1">
        <f t="array" ref="I8572">_xlfn.STDEV.P(IF(Table1[IndicatorCode]=Table1[[#This Row],[IndicatorCode]],Table1[value]))</f>
        <v>6.3409496564024987</v>
      </c>
      <c r="J8572">
        <f>(Table1[[#This Row],[value]] - Table1[[#This Row],[mean]]) / Table1[[#This Row],[std_dev]]</f>
        <v>-0.57801122620586864</v>
      </c>
      <c r="K8572">
        <f>AVERAGEIF(Table1[CountryCode],Table1[[#This Row],[CountryCode]],Table1[z-score])</f>
        <v>-0.61446545916413864</v>
      </c>
      <c r="L8572" t="e">
        <f>VLOOKUP(Table1[[#This Row],[CountryCode]],[1]!Table1[#All],1,FALSE)</f>
        <v>#REF!</v>
      </c>
    </row>
    <row r="8573" spans="1:12" hidden="1" x14ac:dyDescent="0.3">
      <c r="A8573" t="s">
        <v>51</v>
      </c>
      <c r="B8573" t="s">
        <v>52</v>
      </c>
      <c r="C8573" t="s">
        <v>129</v>
      </c>
      <c r="D8573" t="s">
        <v>130</v>
      </c>
      <c r="E8573">
        <v>1988</v>
      </c>
      <c r="F8573" s="1">
        <v>69</v>
      </c>
      <c r="G8573">
        <v>1990</v>
      </c>
      <c r="H8573">
        <f>AVERAGEIFS(Table1[value],Table1[IndicatorCode],Table1[[#This Row],[IndicatorCode]])</f>
        <v>72.66514008620689</v>
      </c>
      <c r="I8573" cm="1">
        <f t="array" ref="I8573">_xlfn.STDEV.P(IF(Table1[IndicatorCode]=Table1[[#This Row],[IndicatorCode]],Table1[value]))</f>
        <v>6.3409496564024987</v>
      </c>
      <c r="J8573">
        <f>(Table1[[#This Row],[value]] - Table1[[#This Row],[mean]]) / Table1[[#This Row],[std_dev]]</f>
        <v>-0.57801122620586864</v>
      </c>
      <c r="K8573">
        <f>AVERAGEIF(Table1[CountryCode],Table1[[#This Row],[CountryCode]],Table1[z-score])</f>
        <v>-0.61446545916413864</v>
      </c>
      <c r="L8573" t="e">
        <f>VLOOKUP(Table1[[#This Row],[CountryCode]],[1]!Table1[#All],1,FALSE)</f>
        <v>#REF!</v>
      </c>
    </row>
    <row r="8574" spans="1:12" hidden="1" x14ac:dyDescent="0.3">
      <c r="A8574" t="s">
        <v>51</v>
      </c>
      <c r="B8574" t="s">
        <v>52</v>
      </c>
      <c r="C8574" t="s">
        <v>129</v>
      </c>
      <c r="D8574" t="s">
        <v>130</v>
      </c>
      <c r="E8574">
        <v>1989</v>
      </c>
      <c r="F8574" s="1">
        <v>69</v>
      </c>
      <c r="G8574">
        <v>1990</v>
      </c>
      <c r="H8574">
        <f>AVERAGEIFS(Table1[value],Table1[IndicatorCode],Table1[[#This Row],[IndicatorCode]])</f>
        <v>72.66514008620689</v>
      </c>
      <c r="I8574" cm="1">
        <f t="array" ref="I8574">_xlfn.STDEV.P(IF(Table1[IndicatorCode]=Table1[[#This Row],[IndicatorCode]],Table1[value]))</f>
        <v>6.3409496564024987</v>
      </c>
      <c r="J8574">
        <f>(Table1[[#This Row],[value]] - Table1[[#This Row],[mean]]) / Table1[[#This Row],[std_dev]]</f>
        <v>-0.57801122620586864</v>
      </c>
      <c r="K8574">
        <f>AVERAGEIF(Table1[CountryCode],Table1[[#This Row],[CountryCode]],Table1[z-score])</f>
        <v>-0.61446545916413864</v>
      </c>
      <c r="L8574" t="e">
        <f>VLOOKUP(Table1[[#This Row],[CountryCode]],[1]!Table1[#All],1,FALSE)</f>
        <v>#REF!</v>
      </c>
    </row>
    <row r="8575" spans="1:12" hidden="1" x14ac:dyDescent="0.3">
      <c r="A8575" t="s">
        <v>51</v>
      </c>
      <c r="B8575" t="s">
        <v>52</v>
      </c>
      <c r="C8575" t="s">
        <v>129</v>
      </c>
      <c r="D8575" t="s">
        <v>130</v>
      </c>
      <c r="E8575">
        <v>1990</v>
      </c>
      <c r="F8575" s="1">
        <v>69</v>
      </c>
      <c r="G8575">
        <v>1990</v>
      </c>
      <c r="H8575">
        <f>AVERAGEIFS(Table1[value],Table1[IndicatorCode],Table1[[#This Row],[IndicatorCode]])</f>
        <v>72.66514008620689</v>
      </c>
      <c r="I8575" cm="1">
        <f t="array" ref="I8575">_xlfn.STDEV.P(IF(Table1[IndicatorCode]=Table1[[#This Row],[IndicatorCode]],Table1[value]))</f>
        <v>6.3409496564024987</v>
      </c>
      <c r="J8575">
        <f>(Table1[[#This Row],[value]] - Table1[[#This Row],[mean]]) / Table1[[#This Row],[std_dev]]</f>
        <v>-0.57801122620586864</v>
      </c>
      <c r="K8575">
        <f>AVERAGEIF(Table1[CountryCode],Table1[[#This Row],[CountryCode]],Table1[z-score])</f>
        <v>-0.61446545916413864</v>
      </c>
      <c r="L8575" t="e">
        <f>VLOOKUP(Table1[[#This Row],[CountryCode]],[1]!Table1[#All],1,FALSE)</f>
        <v>#REF!</v>
      </c>
    </row>
    <row r="8576" spans="1:12" hidden="1" x14ac:dyDescent="0.3">
      <c r="A8576" t="s">
        <v>51</v>
      </c>
      <c r="B8576" t="s">
        <v>52</v>
      </c>
      <c r="C8576" t="s">
        <v>129</v>
      </c>
      <c r="D8576" t="s">
        <v>130</v>
      </c>
      <c r="E8576">
        <v>1991</v>
      </c>
      <c r="F8576" s="1">
        <v>68</v>
      </c>
      <c r="G8576">
        <v>1990</v>
      </c>
      <c r="H8576">
        <f>AVERAGEIFS(Table1[value],Table1[IndicatorCode],Table1[[#This Row],[IndicatorCode]])</f>
        <v>72.66514008620689</v>
      </c>
      <c r="I8576" cm="1">
        <f t="array" ref="I8576">_xlfn.STDEV.P(IF(Table1[IndicatorCode]=Table1[[#This Row],[IndicatorCode]],Table1[value]))</f>
        <v>6.3409496564024987</v>
      </c>
      <c r="J8576">
        <f>(Table1[[#This Row],[value]] - Table1[[#This Row],[mean]]) / Table1[[#This Row],[std_dev]]</f>
        <v>-0.73571631048930775</v>
      </c>
      <c r="K8576">
        <f>AVERAGEIF(Table1[CountryCode],Table1[[#This Row],[CountryCode]],Table1[z-score])</f>
        <v>-0.61446545916413864</v>
      </c>
      <c r="L8576" t="e">
        <f>VLOOKUP(Table1[[#This Row],[CountryCode]],[1]!Table1[#All],1,FALSE)</f>
        <v>#REF!</v>
      </c>
    </row>
    <row r="8577" spans="1:12" hidden="1" x14ac:dyDescent="0.3">
      <c r="A8577" t="s">
        <v>51</v>
      </c>
      <c r="B8577" t="s">
        <v>52</v>
      </c>
      <c r="C8577" t="s">
        <v>129</v>
      </c>
      <c r="D8577" t="s">
        <v>130</v>
      </c>
      <c r="E8577">
        <v>1992</v>
      </c>
      <c r="F8577" s="1">
        <v>68</v>
      </c>
      <c r="G8577">
        <v>1990</v>
      </c>
      <c r="H8577">
        <f>AVERAGEIFS(Table1[value],Table1[IndicatorCode],Table1[[#This Row],[IndicatorCode]])</f>
        <v>72.66514008620689</v>
      </c>
      <c r="I8577" cm="1">
        <f t="array" ref="I8577">_xlfn.STDEV.P(IF(Table1[IndicatorCode]=Table1[[#This Row],[IndicatorCode]],Table1[value]))</f>
        <v>6.3409496564024987</v>
      </c>
      <c r="J8577">
        <f>(Table1[[#This Row],[value]] - Table1[[#This Row],[mean]]) / Table1[[#This Row],[std_dev]]</f>
        <v>-0.73571631048930775</v>
      </c>
      <c r="K8577">
        <f>AVERAGEIF(Table1[CountryCode],Table1[[#This Row],[CountryCode]],Table1[z-score])</f>
        <v>-0.61446545916413864</v>
      </c>
      <c r="L8577" t="e">
        <f>VLOOKUP(Table1[[#This Row],[CountryCode]],[1]!Table1[#All],1,FALSE)</f>
        <v>#REF!</v>
      </c>
    </row>
    <row r="8578" spans="1:12" hidden="1" x14ac:dyDescent="0.3">
      <c r="A8578" t="s">
        <v>51</v>
      </c>
      <c r="B8578" t="s">
        <v>52</v>
      </c>
      <c r="C8578" t="s">
        <v>129</v>
      </c>
      <c r="D8578" t="s">
        <v>130</v>
      </c>
      <c r="E8578">
        <v>1993</v>
      </c>
      <c r="F8578" s="1">
        <v>67</v>
      </c>
      <c r="G8578">
        <v>1990</v>
      </c>
      <c r="H8578">
        <f>AVERAGEIFS(Table1[value],Table1[IndicatorCode],Table1[[#This Row],[IndicatorCode]])</f>
        <v>72.66514008620689</v>
      </c>
      <c r="I8578" cm="1">
        <f t="array" ref="I8578">_xlfn.STDEV.P(IF(Table1[IndicatorCode]=Table1[[#This Row],[IndicatorCode]],Table1[value]))</f>
        <v>6.3409496564024987</v>
      </c>
      <c r="J8578">
        <f>(Table1[[#This Row],[value]] - Table1[[#This Row],[mean]]) / Table1[[#This Row],[std_dev]]</f>
        <v>-0.89342139477274674</v>
      </c>
      <c r="K8578">
        <f>AVERAGEIF(Table1[CountryCode],Table1[[#This Row],[CountryCode]],Table1[z-score])</f>
        <v>-0.61446545916413864</v>
      </c>
      <c r="L8578" t="e">
        <f>VLOOKUP(Table1[[#This Row],[CountryCode]],[1]!Table1[#All],1,FALSE)</f>
        <v>#REF!</v>
      </c>
    </row>
    <row r="8579" spans="1:12" hidden="1" x14ac:dyDescent="0.3">
      <c r="A8579" t="s">
        <v>51</v>
      </c>
      <c r="B8579" t="s">
        <v>52</v>
      </c>
      <c r="C8579" t="s">
        <v>129</v>
      </c>
      <c r="D8579" t="s">
        <v>130</v>
      </c>
      <c r="E8579">
        <v>1994</v>
      </c>
      <c r="F8579" s="1">
        <v>69</v>
      </c>
      <c r="G8579">
        <v>1990</v>
      </c>
      <c r="H8579">
        <f>AVERAGEIFS(Table1[value],Table1[IndicatorCode],Table1[[#This Row],[IndicatorCode]])</f>
        <v>72.66514008620689</v>
      </c>
      <c r="I8579" cm="1">
        <f t="array" ref="I8579">_xlfn.STDEV.P(IF(Table1[IndicatorCode]=Table1[[#This Row],[IndicatorCode]],Table1[value]))</f>
        <v>6.3409496564024987</v>
      </c>
      <c r="J8579">
        <f>(Table1[[#This Row],[value]] - Table1[[#This Row],[mean]]) / Table1[[#This Row],[std_dev]]</f>
        <v>-0.57801122620586864</v>
      </c>
      <c r="K8579">
        <f>AVERAGEIF(Table1[CountryCode],Table1[[#This Row],[CountryCode]],Table1[z-score])</f>
        <v>-0.61446545916413864</v>
      </c>
      <c r="L8579" t="e">
        <f>VLOOKUP(Table1[[#This Row],[CountryCode]],[1]!Table1[#All],1,FALSE)</f>
        <v>#REF!</v>
      </c>
    </row>
    <row r="8580" spans="1:12" hidden="1" x14ac:dyDescent="0.3">
      <c r="A8580" t="s">
        <v>51</v>
      </c>
      <c r="B8580" t="s">
        <v>52</v>
      </c>
      <c r="C8580" t="s">
        <v>129</v>
      </c>
      <c r="D8580" t="s">
        <v>130</v>
      </c>
      <c r="E8580">
        <v>1995</v>
      </c>
      <c r="F8580" s="1">
        <v>69</v>
      </c>
      <c r="G8580">
        <v>1990</v>
      </c>
      <c r="H8580">
        <f>AVERAGEIFS(Table1[value],Table1[IndicatorCode],Table1[[#This Row],[IndicatorCode]])</f>
        <v>72.66514008620689</v>
      </c>
      <c r="I8580" cm="1">
        <f t="array" ref="I8580">_xlfn.STDEV.P(IF(Table1[IndicatorCode]=Table1[[#This Row],[IndicatorCode]],Table1[value]))</f>
        <v>6.3409496564024987</v>
      </c>
      <c r="J8580">
        <f>(Table1[[#This Row],[value]] - Table1[[#This Row],[mean]]) / Table1[[#This Row],[std_dev]]</f>
        <v>-0.57801122620586864</v>
      </c>
      <c r="K8580">
        <f>AVERAGEIF(Table1[CountryCode],Table1[[#This Row],[CountryCode]],Table1[z-score])</f>
        <v>-0.61446545916413864</v>
      </c>
      <c r="L8580" t="e">
        <f>VLOOKUP(Table1[[#This Row],[CountryCode]],[1]!Table1[#All],1,FALSE)</f>
        <v>#REF!</v>
      </c>
    </row>
    <row r="8581" spans="1:12" hidden="1" x14ac:dyDescent="0.3">
      <c r="A8581" t="s">
        <v>51</v>
      </c>
      <c r="B8581" t="s">
        <v>52</v>
      </c>
      <c r="C8581" t="s">
        <v>129</v>
      </c>
      <c r="D8581" t="s">
        <v>130</v>
      </c>
      <c r="E8581">
        <v>1996</v>
      </c>
      <c r="F8581" s="1">
        <v>71</v>
      </c>
      <c r="G8581">
        <v>1990</v>
      </c>
      <c r="H8581">
        <f>AVERAGEIFS(Table1[value],Table1[IndicatorCode],Table1[[#This Row],[IndicatorCode]])</f>
        <v>72.66514008620689</v>
      </c>
      <c r="I8581" cm="1">
        <f t="array" ref="I8581">_xlfn.STDEV.P(IF(Table1[IndicatorCode]=Table1[[#This Row],[IndicatorCode]],Table1[value]))</f>
        <v>6.3409496564024987</v>
      </c>
      <c r="J8581">
        <f>(Table1[[#This Row],[value]] - Table1[[#This Row],[mean]]) / Table1[[#This Row],[std_dev]]</f>
        <v>-0.2626010576389905</v>
      </c>
      <c r="K8581">
        <f>AVERAGEIF(Table1[CountryCode],Table1[[#This Row],[CountryCode]],Table1[z-score])</f>
        <v>-0.61446545916413864</v>
      </c>
      <c r="L8581" t="e">
        <f>VLOOKUP(Table1[[#This Row],[CountryCode]],[1]!Table1[#All],1,FALSE)</f>
        <v>#REF!</v>
      </c>
    </row>
    <row r="8582" spans="1:12" hidden="1" x14ac:dyDescent="0.3">
      <c r="A8582" t="s">
        <v>51</v>
      </c>
      <c r="B8582" t="s">
        <v>52</v>
      </c>
      <c r="C8582" t="s">
        <v>129</v>
      </c>
      <c r="D8582" t="s">
        <v>130</v>
      </c>
      <c r="E8582">
        <v>1997</v>
      </c>
      <c r="F8582" s="1">
        <v>70</v>
      </c>
      <c r="G8582">
        <v>2000</v>
      </c>
      <c r="H8582">
        <f>AVERAGEIFS(Table1[value],Table1[IndicatorCode],Table1[[#This Row],[IndicatorCode]])</f>
        <v>72.66514008620689</v>
      </c>
      <c r="I8582" cm="1">
        <f t="array" ref="I8582">_xlfn.STDEV.P(IF(Table1[IndicatorCode]=Table1[[#This Row],[IndicatorCode]],Table1[value]))</f>
        <v>6.3409496564024987</v>
      </c>
      <c r="J8582">
        <f>(Table1[[#This Row],[value]] - Table1[[#This Row],[mean]]) / Table1[[#This Row],[std_dev]]</f>
        <v>-0.4203061419224296</v>
      </c>
      <c r="K8582">
        <f>AVERAGEIF(Table1[CountryCode],Table1[[#This Row],[CountryCode]],Table1[z-score])</f>
        <v>-0.61446545916413864</v>
      </c>
      <c r="L8582" t="e">
        <f>VLOOKUP(Table1[[#This Row],[CountryCode]],[1]!Table1[#All],1,FALSE)</f>
        <v>#REF!</v>
      </c>
    </row>
    <row r="8583" spans="1:12" hidden="1" x14ac:dyDescent="0.3">
      <c r="A8583" t="s">
        <v>51</v>
      </c>
      <c r="B8583" t="s">
        <v>52</v>
      </c>
      <c r="C8583" t="s">
        <v>129</v>
      </c>
      <c r="D8583" t="s">
        <v>130</v>
      </c>
      <c r="E8583">
        <v>1998</v>
      </c>
      <c r="F8583" s="1">
        <v>70</v>
      </c>
      <c r="G8583">
        <v>2000</v>
      </c>
      <c r="H8583">
        <f>AVERAGEIFS(Table1[value],Table1[IndicatorCode],Table1[[#This Row],[IndicatorCode]])</f>
        <v>72.66514008620689</v>
      </c>
      <c r="I8583" cm="1">
        <f t="array" ref="I8583">_xlfn.STDEV.P(IF(Table1[IndicatorCode]=Table1[[#This Row],[IndicatorCode]],Table1[value]))</f>
        <v>6.3409496564024987</v>
      </c>
      <c r="J8583">
        <f>(Table1[[#This Row],[value]] - Table1[[#This Row],[mean]]) / Table1[[#This Row],[std_dev]]</f>
        <v>-0.4203061419224296</v>
      </c>
      <c r="K8583">
        <f>AVERAGEIF(Table1[CountryCode],Table1[[#This Row],[CountryCode]],Table1[z-score])</f>
        <v>-0.61446545916413864</v>
      </c>
      <c r="L8583" t="e">
        <f>VLOOKUP(Table1[[#This Row],[CountryCode]],[1]!Table1[#All],1,FALSE)</f>
        <v>#REF!</v>
      </c>
    </row>
    <row r="8584" spans="1:12" hidden="1" x14ac:dyDescent="0.3">
      <c r="A8584" t="s">
        <v>51</v>
      </c>
      <c r="B8584" t="s">
        <v>52</v>
      </c>
      <c r="C8584" t="s">
        <v>129</v>
      </c>
      <c r="D8584" t="s">
        <v>130</v>
      </c>
      <c r="E8584">
        <v>1999</v>
      </c>
      <c r="F8584" s="1">
        <v>70</v>
      </c>
      <c r="G8584">
        <v>2000</v>
      </c>
      <c r="H8584">
        <f>AVERAGEIFS(Table1[value],Table1[IndicatorCode],Table1[[#This Row],[IndicatorCode]])</f>
        <v>72.66514008620689</v>
      </c>
      <c r="I8584" cm="1">
        <f t="array" ref="I8584">_xlfn.STDEV.P(IF(Table1[IndicatorCode]=Table1[[#This Row],[IndicatorCode]],Table1[value]))</f>
        <v>6.3409496564024987</v>
      </c>
      <c r="J8584">
        <f>(Table1[[#This Row],[value]] - Table1[[#This Row],[mean]]) / Table1[[#This Row],[std_dev]]</f>
        <v>-0.4203061419224296</v>
      </c>
      <c r="K8584">
        <f>AVERAGEIF(Table1[CountryCode],Table1[[#This Row],[CountryCode]],Table1[z-score])</f>
        <v>-0.61446545916413864</v>
      </c>
      <c r="L8584" t="e">
        <f>VLOOKUP(Table1[[#This Row],[CountryCode]],[1]!Table1[#All],1,FALSE)</f>
        <v>#REF!</v>
      </c>
    </row>
    <row r="8585" spans="1:12" hidden="1" x14ac:dyDescent="0.3">
      <c r="A8585" t="s">
        <v>51</v>
      </c>
      <c r="B8585" t="s">
        <v>52</v>
      </c>
      <c r="C8585" t="s">
        <v>129</v>
      </c>
      <c r="D8585" t="s">
        <v>130</v>
      </c>
      <c r="E8585">
        <v>2000</v>
      </c>
      <c r="F8585" s="1">
        <v>70</v>
      </c>
      <c r="G8585">
        <v>2000</v>
      </c>
      <c r="H8585">
        <f>AVERAGEIFS(Table1[value],Table1[IndicatorCode],Table1[[#This Row],[IndicatorCode]])</f>
        <v>72.66514008620689</v>
      </c>
      <c r="I8585" cm="1">
        <f t="array" ref="I8585">_xlfn.STDEV.P(IF(Table1[IndicatorCode]=Table1[[#This Row],[IndicatorCode]],Table1[value]))</f>
        <v>6.3409496564024987</v>
      </c>
      <c r="J8585">
        <f>(Table1[[#This Row],[value]] - Table1[[#This Row],[mean]]) / Table1[[#This Row],[std_dev]]</f>
        <v>-0.4203061419224296</v>
      </c>
      <c r="K8585">
        <f>AVERAGEIF(Table1[CountryCode],Table1[[#This Row],[CountryCode]],Table1[z-score])</f>
        <v>-0.61446545916413864</v>
      </c>
      <c r="L8585" t="e">
        <f>VLOOKUP(Table1[[#This Row],[CountryCode]],[1]!Table1[#All],1,FALSE)</f>
        <v>#REF!</v>
      </c>
    </row>
    <row r="8586" spans="1:12" hidden="1" x14ac:dyDescent="0.3">
      <c r="A8586" t="s">
        <v>51</v>
      </c>
      <c r="B8586" t="s">
        <v>52</v>
      </c>
      <c r="C8586" t="s">
        <v>129</v>
      </c>
      <c r="D8586" t="s">
        <v>130</v>
      </c>
      <c r="E8586">
        <v>2001</v>
      </c>
      <c r="F8586" s="1">
        <v>70</v>
      </c>
      <c r="G8586">
        <v>2000</v>
      </c>
      <c r="H8586">
        <f>AVERAGEIFS(Table1[value],Table1[IndicatorCode],Table1[[#This Row],[IndicatorCode]])</f>
        <v>72.66514008620689</v>
      </c>
      <c r="I8586" cm="1">
        <f t="array" ref="I8586">_xlfn.STDEV.P(IF(Table1[IndicatorCode]=Table1[[#This Row],[IndicatorCode]],Table1[value]))</f>
        <v>6.3409496564024987</v>
      </c>
      <c r="J8586">
        <f>(Table1[[#This Row],[value]] - Table1[[#This Row],[mean]]) / Table1[[#This Row],[std_dev]]</f>
        <v>-0.4203061419224296</v>
      </c>
      <c r="K8586">
        <f>AVERAGEIF(Table1[CountryCode],Table1[[#This Row],[CountryCode]],Table1[z-score])</f>
        <v>-0.61446545916413864</v>
      </c>
      <c r="L8586" t="e">
        <f>VLOOKUP(Table1[[#This Row],[CountryCode]],[1]!Table1[#All],1,FALSE)</f>
        <v>#REF!</v>
      </c>
    </row>
    <row r="8587" spans="1:12" hidden="1" x14ac:dyDescent="0.3">
      <c r="A8587" t="s">
        <v>51</v>
      </c>
      <c r="B8587" t="s">
        <v>52</v>
      </c>
      <c r="C8587" t="s">
        <v>129</v>
      </c>
      <c r="D8587" t="s">
        <v>130</v>
      </c>
      <c r="E8587">
        <v>2002</v>
      </c>
      <c r="F8587" s="1">
        <v>70</v>
      </c>
      <c r="G8587">
        <v>2000</v>
      </c>
      <c r="H8587">
        <f>AVERAGEIFS(Table1[value],Table1[IndicatorCode],Table1[[#This Row],[IndicatorCode]])</f>
        <v>72.66514008620689</v>
      </c>
      <c r="I8587" cm="1">
        <f t="array" ref="I8587">_xlfn.STDEV.P(IF(Table1[IndicatorCode]=Table1[[#This Row],[IndicatorCode]],Table1[value]))</f>
        <v>6.3409496564024987</v>
      </c>
      <c r="J8587">
        <f>(Table1[[#This Row],[value]] - Table1[[#This Row],[mean]]) / Table1[[#This Row],[std_dev]]</f>
        <v>-0.4203061419224296</v>
      </c>
      <c r="K8587">
        <f>AVERAGEIF(Table1[CountryCode],Table1[[#This Row],[CountryCode]],Table1[z-score])</f>
        <v>-0.61446545916413864</v>
      </c>
      <c r="L8587" t="e">
        <f>VLOOKUP(Table1[[#This Row],[CountryCode]],[1]!Table1[#All],1,FALSE)</f>
        <v>#REF!</v>
      </c>
    </row>
    <row r="8588" spans="1:12" hidden="1" x14ac:dyDescent="0.3">
      <c r="A8588" t="s">
        <v>51</v>
      </c>
      <c r="B8588" t="s">
        <v>52</v>
      </c>
      <c r="C8588" t="s">
        <v>129</v>
      </c>
      <c r="D8588" t="s">
        <v>130</v>
      </c>
      <c r="E8588">
        <v>2003</v>
      </c>
      <c r="F8588" s="1">
        <v>71</v>
      </c>
      <c r="G8588">
        <v>2000</v>
      </c>
      <c r="H8588">
        <f>AVERAGEIFS(Table1[value],Table1[IndicatorCode],Table1[[#This Row],[IndicatorCode]])</f>
        <v>72.66514008620689</v>
      </c>
      <c r="I8588" cm="1">
        <f t="array" ref="I8588">_xlfn.STDEV.P(IF(Table1[IndicatorCode]=Table1[[#This Row],[IndicatorCode]],Table1[value]))</f>
        <v>6.3409496564024987</v>
      </c>
      <c r="J8588">
        <f>(Table1[[#This Row],[value]] - Table1[[#This Row],[mean]]) / Table1[[#This Row],[std_dev]]</f>
        <v>-0.2626010576389905</v>
      </c>
      <c r="K8588">
        <f>AVERAGEIF(Table1[CountryCode],Table1[[#This Row],[CountryCode]],Table1[z-score])</f>
        <v>-0.61446545916413864</v>
      </c>
      <c r="L8588" t="e">
        <f>VLOOKUP(Table1[[#This Row],[CountryCode]],[1]!Table1[#All],1,FALSE)</f>
        <v>#REF!</v>
      </c>
    </row>
    <row r="8589" spans="1:12" hidden="1" x14ac:dyDescent="0.3">
      <c r="A8589" t="s">
        <v>51</v>
      </c>
      <c r="B8589" t="s">
        <v>52</v>
      </c>
      <c r="C8589" t="s">
        <v>129</v>
      </c>
      <c r="D8589" t="s">
        <v>130</v>
      </c>
      <c r="E8589">
        <v>2004</v>
      </c>
      <c r="F8589" s="1">
        <v>71</v>
      </c>
      <c r="G8589">
        <v>2000</v>
      </c>
      <c r="H8589">
        <f>AVERAGEIFS(Table1[value],Table1[IndicatorCode],Table1[[#This Row],[IndicatorCode]])</f>
        <v>72.66514008620689</v>
      </c>
      <c r="I8589" cm="1">
        <f t="array" ref="I8589">_xlfn.STDEV.P(IF(Table1[IndicatorCode]=Table1[[#This Row],[IndicatorCode]],Table1[value]))</f>
        <v>6.3409496564024987</v>
      </c>
      <c r="J8589">
        <f>(Table1[[#This Row],[value]] - Table1[[#This Row],[mean]]) / Table1[[#This Row],[std_dev]]</f>
        <v>-0.2626010576389905</v>
      </c>
      <c r="K8589">
        <f>AVERAGEIF(Table1[CountryCode],Table1[[#This Row],[CountryCode]],Table1[z-score])</f>
        <v>-0.61446545916413864</v>
      </c>
      <c r="L8589" t="e">
        <f>VLOOKUP(Table1[[#This Row],[CountryCode]],[1]!Table1[#All],1,FALSE)</f>
        <v>#REF!</v>
      </c>
    </row>
    <row r="8590" spans="1:12" hidden="1" x14ac:dyDescent="0.3">
      <c r="A8590" t="s">
        <v>51</v>
      </c>
      <c r="B8590" t="s">
        <v>52</v>
      </c>
      <c r="C8590" t="s">
        <v>129</v>
      </c>
      <c r="D8590" t="s">
        <v>130</v>
      </c>
      <c r="E8590">
        <v>2005</v>
      </c>
      <c r="F8590" s="1">
        <v>71</v>
      </c>
      <c r="G8590">
        <v>2000</v>
      </c>
      <c r="H8590">
        <f>AVERAGEIFS(Table1[value],Table1[IndicatorCode],Table1[[#This Row],[IndicatorCode]])</f>
        <v>72.66514008620689</v>
      </c>
      <c r="I8590" cm="1">
        <f t="array" ref="I8590">_xlfn.STDEV.P(IF(Table1[IndicatorCode]=Table1[[#This Row],[IndicatorCode]],Table1[value]))</f>
        <v>6.3409496564024987</v>
      </c>
      <c r="J8590">
        <f>(Table1[[#This Row],[value]] - Table1[[#This Row],[mean]]) / Table1[[#This Row],[std_dev]]</f>
        <v>-0.2626010576389905</v>
      </c>
      <c r="K8590">
        <f>AVERAGEIF(Table1[CountryCode],Table1[[#This Row],[CountryCode]],Table1[z-score])</f>
        <v>-0.61446545916413864</v>
      </c>
      <c r="L8590" t="e">
        <f>VLOOKUP(Table1[[#This Row],[CountryCode]],[1]!Table1[#All],1,FALSE)</f>
        <v>#REF!</v>
      </c>
    </row>
    <row r="8591" spans="1:12" hidden="1" x14ac:dyDescent="0.3">
      <c r="A8591" t="s">
        <v>51</v>
      </c>
      <c r="B8591" t="s">
        <v>52</v>
      </c>
      <c r="C8591" t="s">
        <v>129</v>
      </c>
      <c r="D8591" t="s">
        <v>130</v>
      </c>
      <c r="E8591">
        <v>2006</v>
      </c>
      <c r="F8591" s="1">
        <v>71</v>
      </c>
      <c r="G8591">
        <v>2000</v>
      </c>
      <c r="H8591">
        <f>AVERAGEIFS(Table1[value],Table1[IndicatorCode],Table1[[#This Row],[IndicatorCode]])</f>
        <v>72.66514008620689</v>
      </c>
      <c r="I8591" cm="1">
        <f t="array" ref="I8591">_xlfn.STDEV.P(IF(Table1[IndicatorCode]=Table1[[#This Row],[IndicatorCode]],Table1[value]))</f>
        <v>6.3409496564024987</v>
      </c>
      <c r="J8591">
        <f>(Table1[[#This Row],[value]] - Table1[[#This Row],[mean]]) / Table1[[#This Row],[std_dev]]</f>
        <v>-0.2626010576389905</v>
      </c>
      <c r="K8591">
        <f>AVERAGEIF(Table1[CountryCode],Table1[[#This Row],[CountryCode]],Table1[z-score])</f>
        <v>-0.61446545916413864</v>
      </c>
      <c r="L8591" t="e">
        <f>VLOOKUP(Table1[[#This Row],[CountryCode]],[1]!Table1[#All],1,FALSE)</f>
        <v>#REF!</v>
      </c>
    </row>
    <row r="8592" spans="1:12" hidden="1" x14ac:dyDescent="0.3">
      <c r="A8592" t="s">
        <v>51</v>
      </c>
      <c r="B8592" t="s">
        <v>52</v>
      </c>
      <c r="C8592" t="s">
        <v>129</v>
      </c>
      <c r="D8592" t="s">
        <v>130</v>
      </c>
      <c r="E8592">
        <v>2007</v>
      </c>
      <c r="F8592" s="1">
        <v>71</v>
      </c>
      <c r="G8592">
        <v>2010</v>
      </c>
      <c r="H8592">
        <f>AVERAGEIFS(Table1[value],Table1[IndicatorCode],Table1[[#This Row],[IndicatorCode]])</f>
        <v>72.66514008620689</v>
      </c>
      <c r="I8592" cm="1">
        <f t="array" ref="I8592">_xlfn.STDEV.P(IF(Table1[IndicatorCode]=Table1[[#This Row],[IndicatorCode]],Table1[value]))</f>
        <v>6.3409496564024987</v>
      </c>
      <c r="J8592">
        <f>(Table1[[#This Row],[value]] - Table1[[#This Row],[mean]]) / Table1[[#This Row],[std_dev]]</f>
        <v>-0.2626010576389905</v>
      </c>
      <c r="K8592">
        <f>AVERAGEIF(Table1[CountryCode],Table1[[#This Row],[CountryCode]],Table1[z-score])</f>
        <v>-0.61446545916413864</v>
      </c>
      <c r="L8592" t="e">
        <f>VLOOKUP(Table1[[#This Row],[CountryCode]],[1]!Table1[#All],1,FALSE)</f>
        <v>#REF!</v>
      </c>
    </row>
    <row r="8593" spans="1:12" hidden="1" x14ac:dyDescent="0.3">
      <c r="A8593" t="s">
        <v>51</v>
      </c>
      <c r="B8593" t="s">
        <v>52</v>
      </c>
      <c r="C8593" t="s">
        <v>129</v>
      </c>
      <c r="D8593" t="s">
        <v>130</v>
      </c>
      <c r="E8593">
        <v>2008</v>
      </c>
      <c r="F8593" s="1">
        <v>71</v>
      </c>
      <c r="G8593">
        <v>2010</v>
      </c>
      <c r="H8593">
        <f>AVERAGEIFS(Table1[value],Table1[IndicatorCode],Table1[[#This Row],[IndicatorCode]])</f>
        <v>72.66514008620689</v>
      </c>
      <c r="I8593" cm="1">
        <f t="array" ref="I8593">_xlfn.STDEV.P(IF(Table1[IndicatorCode]=Table1[[#This Row],[IndicatorCode]],Table1[value]))</f>
        <v>6.3409496564024987</v>
      </c>
      <c r="J8593">
        <f>(Table1[[#This Row],[value]] - Table1[[#This Row],[mean]]) / Table1[[#This Row],[std_dev]]</f>
        <v>-0.2626010576389905</v>
      </c>
      <c r="K8593">
        <f>AVERAGEIF(Table1[CountryCode],Table1[[#This Row],[CountryCode]],Table1[z-score])</f>
        <v>-0.61446545916413864</v>
      </c>
      <c r="L8593" t="e">
        <f>VLOOKUP(Table1[[#This Row],[CountryCode]],[1]!Table1[#All],1,FALSE)</f>
        <v>#REF!</v>
      </c>
    </row>
    <row r="8594" spans="1:12" hidden="1" x14ac:dyDescent="0.3">
      <c r="A8594" t="s">
        <v>51</v>
      </c>
      <c r="B8594" t="s">
        <v>52</v>
      </c>
      <c r="C8594" t="s">
        <v>129</v>
      </c>
      <c r="D8594" t="s">
        <v>130</v>
      </c>
      <c r="E8594">
        <v>2009</v>
      </c>
      <c r="F8594" s="1">
        <v>71</v>
      </c>
      <c r="G8594">
        <v>2010</v>
      </c>
      <c r="H8594">
        <f>AVERAGEIFS(Table1[value],Table1[IndicatorCode],Table1[[#This Row],[IndicatorCode]])</f>
        <v>72.66514008620689</v>
      </c>
      <c r="I8594" cm="1">
        <f t="array" ref="I8594">_xlfn.STDEV.P(IF(Table1[IndicatorCode]=Table1[[#This Row],[IndicatorCode]],Table1[value]))</f>
        <v>6.3409496564024987</v>
      </c>
      <c r="J8594">
        <f>(Table1[[#This Row],[value]] - Table1[[#This Row],[mean]]) / Table1[[#This Row],[std_dev]]</f>
        <v>-0.2626010576389905</v>
      </c>
      <c r="K8594">
        <f>AVERAGEIF(Table1[CountryCode],Table1[[#This Row],[CountryCode]],Table1[z-score])</f>
        <v>-0.61446545916413864</v>
      </c>
      <c r="L8594" t="e">
        <f>VLOOKUP(Table1[[#This Row],[CountryCode]],[1]!Table1[#All],1,FALSE)</f>
        <v>#REF!</v>
      </c>
    </row>
    <row r="8595" spans="1:12" hidden="1" x14ac:dyDescent="0.3">
      <c r="A8595" t="s">
        <v>51</v>
      </c>
      <c r="B8595" t="s">
        <v>52</v>
      </c>
      <c r="C8595" t="s">
        <v>129</v>
      </c>
      <c r="D8595" t="s">
        <v>130</v>
      </c>
      <c r="E8595">
        <v>2010</v>
      </c>
      <c r="F8595" s="1">
        <v>72</v>
      </c>
      <c r="G8595">
        <v>2010</v>
      </c>
      <c r="H8595">
        <f>AVERAGEIFS(Table1[value],Table1[IndicatorCode],Table1[[#This Row],[IndicatorCode]])</f>
        <v>72.66514008620689</v>
      </c>
      <c r="I8595" cm="1">
        <f t="array" ref="I8595">_xlfn.STDEV.P(IF(Table1[IndicatorCode]=Table1[[#This Row],[IndicatorCode]],Table1[value]))</f>
        <v>6.3409496564024987</v>
      </c>
      <c r="J8595">
        <f>(Table1[[#This Row],[value]] - Table1[[#This Row],[mean]]) / Table1[[#This Row],[std_dev]]</f>
        <v>-0.10489597335555145</v>
      </c>
      <c r="K8595">
        <f>AVERAGEIF(Table1[CountryCode],Table1[[#This Row],[CountryCode]],Table1[z-score])</f>
        <v>-0.61446545916413864</v>
      </c>
      <c r="L8595" t="e">
        <f>VLOOKUP(Table1[[#This Row],[CountryCode]],[1]!Table1[#All],1,FALSE)</f>
        <v>#REF!</v>
      </c>
    </row>
    <row r="8596" spans="1:12" hidden="1" x14ac:dyDescent="0.3">
      <c r="A8596" t="s">
        <v>51</v>
      </c>
      <c r="B8596" t="s">
        <v>52</v>
      </c>
      <c r="C8596" t="s">
        <v>129</v>
      </c>
      <c r="D8596" t="s">
        <v>130</v>
      </c>
      <c r="E8596">
        <v>2011</v>
      </c>
      <c r="F8596" s="1">
        <v>72</v>
      </c>
      <c r="G8596">
        <v>2010</v>
      </c>
      <c r="H8596">
        <f>AVERAGEIFS(Table1[value],Table1[IndicatorCode],Table1[[#This Row],[IndicatorCode]])</f>
        <v>72.66514008620689</v>
      </c>
      <c r="I8596" cm="1">
        <f t="array" ref="I8596">_xlfn.STDEV.P(IF(Table1[IndicatorCode]=Table1[[#This Row],[IndicatorCode]],Table1[value]))</f>
        <v>6.3409496564024987</v>
      </c>
      <c r="J8596">
        <f>(Table1[[#This Row],[value]] - Table1[[#This Row],[mean]]) / Table1[[#This Row],[std_dev]]</f>
        <v>-0.10489597335555145</v>
      </c>
      <c r="K8596">
        <f>AVERAGEIF(Table1[CountryCode],Table1[[#This Row],[CountryCode]],Table1[z-score])</f>
        <v>-0.61446545916413864</v>
      </c>
      <c r="L8596" t="e">
        <f>VLOOKUP(Table1[[#This Row],[CountryCode]],[1]!Table1[#All],1,FALSE)</f>
        <v>#REF!</v>
      </c>
    </row>
    <row r="8597" spans="1:12" hidden="1" x14ac:dyDescent="0.3">
      <c r="A8597" t="s">
        <v>51</v>
      </c>
      <c r="B8597" t="s">
        <v>52</v>
      </c>
      <c r="C8597" t="s">
        <v>129</v>
      </c>
      <c r="D8597" t="s">
        <v>130</v>
      </c>
      <c r="E8597">
        <v>2012</v>
      </c>
      <c r="F8597" s="1">
        <v>73</v>
      </c>
      <c r="G8597">
        <v>2010</v>
      </c>
      <c r="H8597">
        <f>AVERAGEIFS(Table1[value],Table1[IndicatorCode],Table1[[#This Row],[IndicatorCode]])</f>
        <v>72.66514008620689</v>
      </c>
      <c r="I8597" cm="1">
        <f t="array" ref="I8597">_xlfn.STDEV.P(IF(Table1[IndicatorCode]=Table1[[#This Row],[IndicatorCode]],Table1[value]))</f>
        <v>6.3409496564024987</v>
      </c>
      <c r="J8597">
        <f>(Table1[[#This Row],[value]] - Table1[[#This Row],[mean]]) / Table1[[#This Row],[std_dev]]</f>
        <v>5.2809110927887599E-2</v>
      </c>
      <c r="K8597">
        <f>AVERAGEIF(Table1[CountryCode],Table1[[#This Row],[CountryCode]],Table1[z-score])</f>
        <v>-0.61446545916413864</v>
      </c>
      <c r="L8597" t="e">
        <f>VLOOKUP(Table1[[#This Row],[CountryCode]],[1]!Table1[#All],1,FALSE)</f>
        <v>#REF!</v>
      </c>
    </row>
    <row r="8598" spans="1:12" hidden="1" x14ac:dyDescent="0.3">
      <c r="A8598" t="s">
        <v>51</v>
      </c>
      <c r="B8598" t="s">
        <v>52</v>
      </c>
      <c r="C8598" t="s">
        <v>129</v>
      </c>
      <c r="D8598" t="s">
        <v>130</v>
      </c>
      <c r="E8598">
        <v>2013</v>
      </c>
      <c r="F8598" s="1">
        <v>73</v>
      </c>
      <c r="G8598">
        <v>2010</v>
      </c>
      <c r="H8598">
        <f>AVERAGEIFS(Table1[value],Table1[IndicatorCode],Table1[[#This Row],[IndicatorCode]])</f>
        <v>72.66514008620689</v>
      </c>
      <c r="I8598" cm="1">
        <f t="array" ref="I8598">_xlfn.STDEV.P(IF(Table1[IndicatorCode]=Table1[[#This Row],[IndicatorCode]],Table1[value]))</f>
        <v>6.3409496564024987</v>
      </c>
      <c r="J8598">
        <f>(Table1[[#This Row],[value]] - Table1[[#This Row],[mean]]) / Table1[[#This Row],[std_dev]]</f>
        <v>5.2809110927887599E-2</v>
      </c>
      <c r="K8598">
        <f>AVERAGEIF(Table1[CountryCode],Table1[[#This Row],[CountryCode]],Table1[z-score])</f>
        <v>-0.61446545916413864</v>
      </c>
      <c r="L8598" t="e">
        <f>VLOOKUP(Table1[[#This Row],[CountryCode]],[1]!Table1[#All],1,FALSE)</f>
        <v>#REF!</v>
      </c>
    </row>
    <row r="8599" spans="1:12" hidden="1" x14ac:dyDescent="0.3">
      <c r="A8599" t="s">
        <v>51</v>
      </c>
      <c r="B8599" t="s">
        <v>52</v>
      </c>
      <c r="C8599" t="s">
        <v>129</v>
      </c>
      <c r="D8599" t="s">
        <v>130</v>
      </c>
      <c r="E8599">
        <v>2014</v>
      </c>
      <c r="F8599" s="1">
        <v>73</v>
      </c>
      <c r="G8599">
        <v>2010</v>
      </c>
      <c r="H8599">
        <f>AVERAGEIFS(Table1[value],Table1[IndicatorCode],Table1[[#This Row],[IndicatorCode]])</f>
        <v>72.66514008620689</v>
      </c>
      <c r="I8599" cm="1">
        <f t="array" ref="I8599">_xlfn.STDEV.P(IF(Table1[IndicatorCode]=Table1[[#This Row],[IndicatorCode]],Table1[value]))</f>
        <v>6.3409496564024987</v>
      </c>
      <c r="J8599">
        <f>(Table1[[#This Row],[value]] - Table1[[#This Row],[mean]]) / Table1[[#This Row],[std_dev]]</f>
        <v>5.2809110927887599E-2</v>
      </c>
      <c r="K8599">
        <f>AVERAGEIF(Table1[CountryCode],Table1[[#This Row],[CountryCode]],Table1[z-score])</f>
        <v>-0.61446545916413864</v>
      </c>
      <c r="L8599" t="e">
        <f>VLOOKUP(Table1[[#This Row],[CountryCode]],[1]!Table1[#All],1,FALSE)</f>
        <v>#REF!</v>
      </c>
    </row>
    <row r="8600" spans="1:12" hidden="1" x14ac:dyDescent="0.3">
      <c r="A8600" t="s">
        <v>51</v>
      </c>
      <c r="B8600" t="s">
        <v>52</v>
      </c>
      <c r="C8600" t="s">
        <v>129</v>
      </c>
      <c r="D8600" t="s">
        <v>130</v>
      </c>
      <c r="E8600">
        <v>2015</v>
      </c>
      <c r="F8600" s="1">
        <v>73</v>
      </c>
      <c r="G8600">
        <v>2010</v>
      </c>
      <c r="H8600">
        <f>AVERAGEIFS(Table1[value],Table1[IndicatorCode],Table1[[#This Row],[IndicatorCode]])</f>
        <v>72.66514008620689</v>
      </c>
      <c r="I8600" cm="1">
        <f t="array" ref="I8600">_xlfn.STDEV.P(IF(Table1[IndicatorCode]=Table1[[#This Row],[IndicatorCode]],Table1[value]))</f>
        <v>6.3409496564024987</v>
      </c>
      <c r="J8600">
        <f>(Table1[[#This Row],[value]] - Table1[[#This Row],[mean]]) / Table1[[#This Row],[std_dev]]</f>
        <v>5.2809110927887599E-2</v>
      </c>
      <c r="K8600">
        <f>AVERAGEIF(Table1[CountryCode],Table1[[#This Row],[CountryCode]],Table1[z-score])</f>
        <v>-0.61446545916413864</v>
      </c>
      <c r="L8600" t="e">
        <f>VLOOKUP(Table1[[#This Row],[CountryCode]],[1]!Table1[#All],1,FALSE)</f>
        <v>#REF!</v>
      </c>
    </row>
    <row r="8601" spans="1:12" hidden="1" x14ac:dyDescent="0.3">
      <c r="A8601" t="s">
        <v>51</v>
      </c>
      <c r="B8601" t="s">
        <v>52</v>
      </c>
      <c r="C8601" t="s">
        <v>129</v>
      </c>
      <c r="D8601" t="s">
        <v>130</v>
      </c>
      <c r="E8601">
        <v>2016</v>
      </c>
      <c r="F8601" s="1">
        <v>73</v>
      </c>
      <c r="G8601">
        <v>2010</v>
      </c>
      <c r="H8601">
        <f>AVERAGEIFS(Table1[value],Table1[IndicatorCode],Table1[[#This Row],[IndicatorCode]])</f>
        <v>72.66514008620689</v>
      </c>
      <c r="I8601" cm="1">
        <f t="array" ref="I8601">_xlfn.STDEV.P(IF(Table1[IndicatorCode]=Table1[[#This Row],[IndicatorCode]],Table1[value]))</f>
        <v>6.3409496564024987</v>
      </c>
      <c r="J8601">
        <f>(Table1[[#This Row],[value]] - Table1[[#This Row],[mean]]) / Table1[[#This Row],[std_dev]]</f>
        <v>5.2809110927887599E-2</v>
      </c>
      <c r="K8601">
        <f>AVERAGEIF(Table1[CountryCode],Table1[[#This Row],[CountryCode]],Table1[z-score])</f>
        <v>-0.61446545916413864</v>
      </c>
      <c r="L8601" t="e">
        <f>VLOOKUP(Table1[[#This Row],[CountryCode]],[1]!Table1[#All],1,FALSE)</f>
        <v>#REF!</v>
      </c>
    </row>
    <row r="8602" spans="1:12" hidden="1" x14ac:dyDescent="0.3">
      <c r="A8602" t="s">
        <v>51</v>
      </c>
      <c r="B8602" t="s">
        <v>52</v>
      </c>
      <c r="C8602" t="s">
        <v>129</v>
      </c>
      <c r="D8602" t="s">
        <v>130</v>
      </c>
      <c r="E8602">
        <v>2017</v>
      </c>
      <c r="F8602" s="1">
        <v>73</v>
      </c>
      <c r="G8602">
        <v>2020</v>
      </c>
      <c r="H8602">
        <f>AVERAGEIFS(Table1[value],Table1[IndicatorCode],Table1[[#This Row],[IndicatorCode]])</f>
        <v>72.66514008620689</v>
      </c>
      <c r="I8602" cm="1">
        <f t="array" ref="I8602">_xlfn.STDEV.P(IF(Table1[IndicatorCode]=Table1[[#This Row],[IndicatorCode]],Table1[value]))</f>
        <v>6.3409496564024987</v>
      </c>
      <c r="J8602">
        <f>(Table1[[#This Row],[value]] - Table1[[#This Row],[mean]]) / Table1[[#This Row],[std_dev]]</f>
        <v>5.2809110927887599E-2</v>
      </c>
      <c r="K8602">
        <f>AVERAGEIF(Table1[CountryCode],Table1[[#This Row],[CountryCode]],Table1[z-score])</f>
        <v>-0.61446545916413864</v>
      </c>
      <c r="L8602" t="e">
        <f>VLOOKUP(Table1[[#This Row],[CountryCode]],[1]!Table1[#All],1,FALSE)</f>
        <v>#REF!</v>
      </c>
    </row>
    <row r="8603" spans="1:12" hidden="1" x14ac:dyDescent="0.3">
      <c r="A8603" t="s">
        <v>51</v>
      </c>
      <c r="B8603" t="s">
        <v>52</v>
      </c>
      <c r="C8603" t="s">
        <v>129</v>
      </c>
      <c r="D8603" t="s">
        <v>130</v>
      </c>
      <c r="E8603">
        <v>2018</v>
      </c>
      <c r="F8603" s="1">
        <v>74</v>
      </c>
      <c r="G8603">
        <v>2020</v>
      </c>
      <c r="H8603">
        <f>AVERAGEIFS(Table1[value],Table1[IndicatorCode],Table1[[#This Row],[IndicatorCode]])</f>
        <v>72.66514008620689</v>
      </c>
      <c r="I8603" cm="1">
        <f t="array" ref="I8603">_xlfn.STDEV.P(IF(Table1[IndicatorCode]=Table1[[#This Row],[IndicatorCode]],Table1[value]))</f>
        <v>6.3409496564024987</v>
      </c>
      <c r="J8603">
        <f>(Table1[[#This Row],[value]] - Table1[[#This Row],[mean]]) / Table1[[#This Row],[std_dev]]</f>
        <v>0.21051419521132667</v>
      </c>
      <c r="K8603">
        <f>AVERAGEIF(Table1[CountryCode],Table1[[#This Row],[CountryCode]],Table1[z-score])</f>
        <v>-0.61446545916413864</v>
      </c>
      <c r="L8603" t="e">
        <f>VLOOKUP(Table1[[#This Row],[CountryCode]],[1]!Table1[#All],1,FALSE)</f>
        <v>#REF!</v>
      </c>
    </row>
    <row r="8604" spans="1:12" hidden="1" x14ac:dyDescent="0.3">
      <c r="A8604" t="s">
        <v>51</v>
      </c>
      <c r="B8604" t="s">
        <v>52</v>
      </c>
      <c r="C8604" t="s">
        <v>129</v>
      </c>
      <c r="D8604" t="s">
        <v>130</v>
      </c>
      <c r="E8604">
        <v>2019</v>
      </c>
      <c r="F8604" s="1">
        <v>74</v>
      </c>
      <c r="G8604">
        <v>2020</v>
      </c>
      <c r="H8604">
        <f>AVERAGEIFS(Table1[value],Table1[IndicatorCode],Table1[[#This Row],[IndicatorCode]])</f>
        <v>72.66514008620689</v>
      </c>
      <c r="I8604" cm="1">
        <f t="array" ref="I8604">_xlfn.STDEV.P(IF(Table1[IndicatorCode]=Table1[[#This Row],[IndicatorCode]],Table1[value]))</f>
        <v>6.3409496564024987</v>
      </c>
      <c r="J8604">
        <f>(Table1[[#This Row],[value]] - Table1[[#This Row],[mean]]) / Table1[[#This Row],[std_dev]]</f>
        <v>0.21051419521132667</v>
      </c>
      <c r="K8604">
        <f>AVERAGEIF(Table1[CountryCode],Table1[[#This Row],[CountryCode]],Table1[z-score])</f>
        <v>-0.61446545916413864</v>
      </c>
      <c r="L8604" t="e">
        <f>VLOOKUP(Table1[[#This Row],[CountryCode]],[1]!Table1[#All],1,FALSE)</f>
        <v>#REF!</v>
      </c>
    </row>
    <row r="8605" spans="1:12" x14ac:dyDescent="0.3">
      <c r="A8605" t="s">
        <v>51</v>
      </c>
      <c r="B8605" t="s">
        <v>52</v>
      </c>
      <c r="C8605" t="s">
        <v>129</v>
      </c>
      <c r="D8605" t="s">
        <v>130</v>
      </c>
      <c r="E8605">
        <v>2020</v>
      </c>
      <c r="F8605" s="1">
        <v>74</v>
      </c>
      <c r="G8605">
        <v>2020</v>
      </c>
      <c r="H8605">
        <f>AVERAGEIFS(Table1[value],Table1[IndicatorCode],Table1[[#This Row],[IndicatorCode]])</f>
        <v>72.66514008620689</v>
      </c>
      <c r="I8605" cm="1">
        <f t="array" ref="I8605">_xlfn.STDEV.P(IF(Table1[IndicatorCode]=Table1[[#This Row],[IndicatorCode]],Table1[value]))</f>
        <v>6.3409496564024987</v>
      </c>
      <c r="J8605">
        <f>(Table1[[#This Row],[value]] - Table1[[#This Row],[mean]]) / Table1[[#This Row],[std_dev]]</f>
        <v>0.21051419521132667</v>
      </c>
      <c r="K8605">
        <f>AVERAGEIF(Table1[CountryCode],Table1[[#This Row],[CountryCode]],Table1[z-score])</f>
        <v>-0.61446545916413864</v>
      </c>
    </row>
    <row r="8606" spans="1:12" hidden="1" x14ac:dyDescent="0.3">
      <c r="A8606" t="s">
        <v>51</v>
      </c>
      <c r="B8606" t="s">
        <v>52</v>
      </c>
      <c r="C8606" t="s">
        <v>129</v>
      </c>
      <c r="D8606" t="s">
        <v>130</v>
      </c>
      <c r="E8606">
        <v>2021</v>
      </c>
      <c r="F8606" s="1">
        <v>72</v>
      </c>
      <c r="G8606">
        <v>1960</v>
      </c>
      <c r="H8606">
        <f>AVERAGEIFS(Table1[value],Table1[IndicatorCode],Table1[[#This Row],[IndicatorCode]])</f>
        <v>72.66514008620689</v>
      </c>
      <c r="I8606" cm="1">
        <f t="array" ref="I8606">_xlfn.STDEV.P(IF(Table1[IndicatorCode]=Table1[[#This Row],[IndicatorCode]],Table1[value]))</f>
        <v>6.3409496564024987</v>
      </c>
      <c r="J8606">
        <f>(Table1[[#This Row],[value]] - Table1[[#This Row],[mean]]) / Table1[[#This Row],[std_dev]]</f>
        <v>-0.10489597335555145</v>
      </c>
      <c r="K8606">
        <f>AVERAGEIF(Table1[CountryCode],Table1[[#This Row],[CountryCode]],Table1[z-score])</f>
        <v>-0.61446545916413864</v>
      </c>
      <c r="L8606" t="e">
        <f>VLOOKUP(Table1[[#This Row],[CountryCode]],[1]!Table1[#All],1,FALSE)</f>
        <v>#REF!</v>
      </c>
    </row>
    <row r="8607" spans="1:12" hidden="1" x14ac:dyDescent="0.3">
      <c r="A8607" t="s">
        <v>51</v>
      </c>
      <c r="B8607" t="s">
        <v>52</v>
      </c>
      <c r="C8607" t="s">
        <v>129</v>
      </c>
      <c r="D8607" t="s">
        <v>130</v>
      </c>
      <c r="E8607">
        <v>2022</v>
      </c>
      <c r="F8607" s="1">
        <v>74</v>
      </c>
      <c r="G8607">
        <v>1960</v>
      </c>
      <c r="H8607">
        <f>AVERAGEIFS(Table1[value],Table1[IndicatorCode],Table1[[#This Row],[IndicatorCode]])</f>
        <v>72.66514008620689</v>
      </c>
      <c r="I8607" cm="1">
        <f t="array" ref="I8607">_xlfn.STDEV.P(IF(Table1[IndicatorCode]=Table1[[#This Row],[IndicatorCode]],Table1[value]))</f>
        <v>6.3409496564024987</v>
      </c>
      <c r="J8607">
        <f>(Table1[[#This Row],[value]] - Table1[[#This Row],[mean]]) / Table1[[#This Row],[std_dev]]</f>
        <v>0.21051419521132667</v>
      </c>
      <c r="K8607">
        <f>AVERAGEIF(Table1[CountryCode],Table1[[#This Row],[CountryCode]],Table1[z-score])</f>
        <v>-0.61446545916413864</v>
      </c>
      <c r="L8607" t="e">
        <f>VLOOKUP(Table1[[#This Row],[CountryCode]],[1]!Table1[#All],1,FALSE)</f>
        <v>#REF!</v>
      </c>
    </row>
    <row r="8608" spans="1:12" hidden="1" x14ac:dyDescent="0.3">
      <c r="A8608" t="s">
        <v>51</v>
      </c>
      <c r="B8608" t="s">
        <v>52</v>
      </c>
      <c r="C8608" t="s">
        <v>129</v>
      </c>
      <c r="D8608" t="s">
        <v>130</v>
      </c>
      <c r="E8608">
        <v>2023</v>
      </c>
      <c r="F8608" s="1">
        <v>74</v>
      </c>
      <c r="G8608">
        <v>1960</v>
      </c>
      <c r="H8608">
        <f>AVERAGEIFS(Table1[value],Table1[IndicatorCode],Table1[[#This Row],[IndicatorCode]])</f>
        <v>72.66514008620689</v>
      </c>
      <c r="I8608" cm="1">
        <f t="array" ref="I8608">_xlfn.STDEV.P(IF(Table1[IndicatorCode]=Table1[[#This Row],[IndicatorCode]],Table1[value]))</f>
        <v>6.3409496564024987</v>
      </c>
      <c r="J8608">
        <f>(Table1[[#This Row],[value]] - Table1[[#This Row],[mean]]) / Table1[[#This Row],[std_dev]]</f>
        <v>0.21051419521132667</v>
      </c>
      <c r="K8608">
        <f>AVERAGEIF(Table1[CountryCode],Table1[[#This Row],[CountryCode]],Table1[z-score])</f>
        <v>-0.61446545916413864</v>
      </c>
      <c r="L8608" t="e">
        <f>VLOOKUP(Table1[[#This Row],[CountryCode]],[1]!Table1[#All],1,FALSE)</f>
        <v>#REF!</v>
      </c>
    </row>
    <row r="8609" spans="1:12" hidden="1" x14ac:dyDescent="0.3">
      <c r="A8609" t="s">
        <v>53</v>
      </c>
      <c r="B8609" t="s">
        <v>54</v>
      </c>
      <c r="C8609" t="s">
        <v>129</v>
      </c>
      <c r="D8609" t="s">
        <v>130</v>
      </c>
      <c r="E8609">
        <v>1960</v>
      </c>
      <c r="F8609" s="1">
        <v>70</v>
      </c>
      <c r="G8609">
        <v>1960</v>
      </c>
      <c r="H8609">
        <f>AVERAGEIFS(Table1[value],Table1[IndicatorCode],Table1[[#This Row],[IndicatorCode]])</f>
        <v>72.66514008620689</v>
      </c>
      <c r="I8609" cm="1">
        <f t="array" ref="I8609">_xlfn.STDEV.P(IF(Table1[IndicatorCode]=Table1[[#This Row],[IndicatorCode]],Table1[value]))</f>
        <v>6.3409496564024987</v>
      </c>
      <c r="J8609">
        <f>(Table1[[#This Row],[value]] - Table1[[#This Row],[mean]]) / Table1[[#This Row],[std_dev]]</f>
        <v>-0.4203061419224296</v>
      </c>
      <c r="K8609">
        <f>AVERAGEIF(Table1[CountryCode],Table1[[#This Row],[CountryCode]],Table1[z-score])</f>
        <v>0.50130467154040237</v>
      </c>
      <c r="L8609" t="e">
        <f>VLOOKUP(Table1[[#This Row],[CountryCode]],[1]!Table1[#All],1,FALSE)</f>
        <v>#REF!</v>
      </c>
    </row>
    <row r="8610" spans="1:12" hidden="1" x14ac:dyDescent="0.3">
      <c r="A8610" t="s">
        <v>53</v>
      </c>
      <c r="B8610" t="s">
        <v>54</v>
      </c>
      <c r="C8610" t="s">
        <v>129</v>
      </c>
      <c r="D8610" t="s">
        <v>130</v>
      </c>
      <c r="E8610">
        <v>1961</v>
      </c>
      <c r="F8610" s="1">
        <v>70</v>
      </c>
      <c r="G8610">
        <v>1960</v>
      </c>
      <c r="H8610">
        <f>AVERAGEIFS(Table1[value],Table1[IndicatorCode],Table1[[#This Row],[IndicatorCode]])</f>
        <v>72.66514008620689</v>
      </c>
      <c r="I8610" cm="1">
        <f t="array" ref="I8610">_xlfn.STDEV.P(IF(Table1[IndicatorCode]=Table1[[#This Row],[IndicatorCode]],Table1[value]))</f>
        <v>6.3409496564024987</v>
      </c>
      <c r="J8610">
        <f>(Table1[[#This Row],[value]] - Table1[[#This Row],[mean]]) / Table1[[#This Row],[std_dev]]</f>
        <v>-0.4203061419224296</v>
      </c>
      <c r="K8610">
        <f>AVERAGEIF(Table1[CountryCode],Table1[[#This Row],[CountryCode]],Table1[z-score])</f>
        <v>0.50130467154040237</v>
      </c>
      <c r="L8610" t="e">
        <f>VLOOKUP(Table1[[#This Row],[CountryCode]],[1]!Table1[#All],1,FALSE)</f>
        <v>#REF!</v>
      </c>
    </row>
    <row r="8611" spans="1:12" hidden="1" x14ac:dyDescent="0.3">
      <c r="A8611" t="s">
        <v>53</v>
      </c>
      <c r="B8611" t="s">
        <v>54</v>
      </c>
      <c r="C8611" t="s">
        <v>129</v>
      </c>
      <c r="D8611" t="s">
        <v>130</v>
      </c>
      <c r="E8611">
        <v>1962</v>
      </c>
      <c r="F8611" s="1">
        <v>70</v>
      </c>
      <c r="G8611">
        <v>1960</v>
      </c>
      <c r="H8611">
        <f>AVERAGEIFS(Table1[value],Table1[IndicatorCode],Table1[[#This Row],[IndicatorCode]])</f>
        <v>72.66514008620689</v>
      </c>
      <c r="I8611" cm="1">
        <f t="array" ref="I8611">_xlfn.STDEV.P(IF(Table1[IndicatorCode]=Table1[[#This Row],[IndicatorCode]],Table1[value]))</f>
        <v>6.3409496564024987</v>
      </c>
      <c r="J8611">
        <f>(Table1[[#This Row],[value]] - Table1[[#This Row],[mean]]) / Table1[[#This Row],[std_dev]]</f>
        <v>-0.4203061419224296</v>
      </c>
      <c r="K8611">
        <f>AVERAGEIF(Table1[CountryCode],Table1[[#This Row],[CountryCode]],Table1[z-score])</f>
        <v>0.50130467154040237</v>
      </c>
      <c r="L8611" t="e">
        <f>VLOOKUP(Table1[[#This Row],[CountryCode]],[1]!Table1[#All],1,FALSE)</f>
        <v>#REF!</v>
      </c>
    </row>
    <row r="8612" spans="1:12" hidden="1" x14ac:dyDescent="0.3">
      <c r="A8612" t="s">
        <v>53</v>
      </c>
      <c r="B8612" t="s">
        <v>54</v>
      </c>
      <c r="C8612" t="s">
        <v>129</v>
      </c>
      <c r="D8612" t="s">
        <v>130</v>
      </c>
      <c r="E8612">
        <v>1963</v>
      </c>
      <c r="F8612" s="1">
        <v>70</v>
      </c>
      <c r="G8612">
        <v>1960</v>
      </c>
      <c r="H8612">
        <f>AVERAGEIFS(Table1[value],Table1[IndicatorCode],Table1[[#This Row],[IndicatorCode]])</f>
        <v>72.66514008620689</v>
      </c>
      <c r="I8612" cm="1">
        <f t="array" ref="I8612">_xlfn.STDEV.P(IF(Table1[IndicatorCode]=Table1[[#This Row],[IndicatorCode]],Table1[value]))</f>
        <v>6.3409496564024987</v>
      </c>
      <c r="J8612">
        <f>(Table1[[#This Row],[value]] - Table1[[#This Row],[mean]]) / Table1[[#This Row],[std_dev]]</f>
        <v>-0.4203061419224296</v>
      </c>
      <c r="K8612">
        <f>AVERAGEIF(Table1[CountryCode],Table1[[#This Row],[CountryCode]],Table1[z-score])</f>
        <v>0.50130467154040237</v>
      </c>
      <c r="L8612" t="e">
        <f>VLOOKUP(Table1[[#This Row],[CountryCode]],[1]!Table1[#All],1,FALSE)</f>
        <v>#REF!</v>
      </c>
    </row>
    <row r="8613" spans="1:12" hidden="1" x14ac:dyDescent="0.3">
      <c r="A8613" t="s">
        <v>53</v>
      </c>
      <c r="B8613" t="s">
        <v>54</v>
      </c>
      <c r="C8613" t="s">
        <v>129</v>
      </c>
      <c r="D8613" t="s">
        <v>130</v>
      </c>
      <c r="E8613">
        <v>1964</v>
      </c>
      <c r="F8613" s="1">
        <v>70</v>
      </c>
      <c r="G8613">
        <v>1960</v>
      </c>
      <c r="H8613">
        <f>AVERAGEIFS(Table1[value],Table1[IndicatorCode],Table1[[#This Row],[IndicatorCode]])</f>
        <v>72.66514008620689</v>
      </c>
      <c r="I8613" cm="1">
        <f t="array" ref="I8613">_xlfn.STDEV.P(IF(Table1[IndicatorCode]=Table1[[#This Row],[IndicatorCode]],Table1[value]))</f>
        <v>6.3409496564024987</v>
      </c>
      <c r="J8613">
        <f>(Table1[[#This Row],[value]] - Table1[[#This Row],[mean]]) / Table1[[#This Row],[std_dev]]</f>
        <v>-0.4203061419224296</v>
      </c>
      <c r="K8613">
        <f>AVERAGEIF(Table1[CountryCode],Table1[[#This Row],[CountryCode]],Table1[z-score])</f>
        <v>0.50130467154040237</v>
      </c>
      <c r="L8613" t="e">
        <f>VLOOKUP(Table1[[#This Row],[CountryCode]],[1]!Table1[#All],1,FALSE)</f>
        <v>#REF!</v>
      </c>
    </row>
    <row r="8614" spans="1:12" hidden="1" x14ac:dyDescent="0.3">
      <c r="A8614" t="s">
        <v>53</v>
      </c>
      <c r="B8614" t="s">
        <v>54</v>
      </c>
      <c r="C8614" t="s">
        <v>129</v>
      </c>
      <c r="D8614" t="s">
        <v>130</v>
      </c>
      <c r="E8614">
        <v>1965</v>
      </c>
      <c r="F8614" s="1">
        <v>71</v>
      </c>
      <c r="G8614">
        <v>1960</v>
      </c>
      <c r="H8614">
        <f>AVERAGEIFS(Table1[value],Table1[IndicatorCode],Table1[[#This Row],[IndicatorCode]])</f>
        <v>72.66514008620689</v>
      </c>
      <c r="I8614" cm="1">
        <f t="array" ref="I8614">_xlfn.STDEV.P(IF(Table1[IndicatorCode]=Table1[[#This Row],[IndicatorCode]],Table1[value]))</f>
        <v>6.3409496564024987</v>
      </c>
      <c r="J8614">
        <f>(Table1[[#This Row],[value]] - Table1[[#This Row],[mean]]) / Table1[[#This Row],[std_dev]]</f>
        <v>-0.2626010576389905</v>
      </c>
      <c r="K8614">
        <f>AVERAGEIF(Table1[CountryCode],Table1[[#This Row],[CountryCode]],Table1[z-score])</f>
        <v>0.50130467154040237</v>
      </c>
      <c r="L8614" t="e">
        <f>VLOOKUP(Table1[[#This Row],[CountryCode]],[1]!Table1[#All],1,FALSE)</f>
        <v>#REF!</v>
      </c>
    </row>
    <row r="8615" spans="1:12" hidden="1" x14ac:dyDescent="0.3">
      <c r="A8615" t="s">
        <v>53</v>
      </c>
      <c r="B8615" t="s">
        <v>54</v>
      </c>
      <c r="C8615" t="s">
        <v>129</v>
      </c>
      <c r="D8615" t="s">
        <v>130</v>
      </c>
      <c r="E8615">
        <v>1966</v>
      </c>
      <c r="F8615" s="1">
        <v>71</v>
      </c>
      <c r="G8615">
        <v>1960</v>
      </c>
      <c r="H8615">
        <f>AVERAGEIFS(Table1[value],Table1[IndicatorCode],Table1[[#This Row],[IndicatorCode]])</f>
        <v>72.66514008620689</v>
      </c>
      <c r="I8615" cm="1">
        <f t="array" ref="I8615">_xlfn.STDEV.P(IF(Table1[IndicatorCode]=Table1[[#This Row],[IndicatorCode]],Table1[value]))</f>
        <v>6.3409496564024987</v>
      </c>
      <c r="J8615">
        <f>(Table1[[#This Row],[value]] - Table1[[#This Row],[mean]]) / Table1[[#This Row],[std_dev]]</f>
        <v>-0.2626010576389905</v>
      </c>
      <c r="K8615">
        <f>AVERAGEIF(Table1[CountryCode],Table1[[#This Row],[CountryCode]],Table1[z-score])</f>
        <v>0.50130467154040237</v>
      </c>
      <c r="L8615" t="e">
        <f>VLOOKUP(Table1[[#This Row],[CountryCode]],[1]!Table1[#All],1,FALSE)</f>
        <v>#REF!</v>
      </c>
    </row>
    <row r="8616" spans="1:12" hidden="1" x14ac:dyDescent="0.3">
      <c r="A8616" t="s">
        <v>53</v>
      </c>
      <c r="B8616" t="s">
        <v>54</v>
      </c>
      <c r="C8616" t="s">
        <v>129</v>
      </c>
      <c r="D8616" t="s">
        <v>130</v>
      </c>
      <c r="E8616">
        <v>1967</v>
      </c>
      <c r="F8616" s="1">
        <v>72</v>
      </c>
      <c r="G8616">
        <v>1970</v>
      </c>
      <c r="H8616">
        <f>AVERAGEIFS(Table1[value],Table1[IndicatorCode],Table1[[#This Row],[IndicatorCode]])</f>
        <v>72.66514008620689</v>
      </c>
      <c r="I8616" cm="1">
        <f t="array" ref="I8616">_xlfn.STDEV.P(IF(Table1[IndicatorCode]=Table1[[#This Row],[IndicatorCode]],Table1[value]))</f>
        <v>6.3409496564024987</v>
      </c>
      <c r="J8616">
        <f>(Table1[[#This Row],[value]] - Table1[[#This Row],[mean]]) / Table1[[#This Row],[std_dev]]</f>
        <v>-0.10489597335555145</v>
      </c>
      <c r="K8616">
        <f>AVERAGEIF(Table1[CountryCode],Table1[[#This Row],[CountryCode]],Table1[z-score])</f>
        <v>0.50130467154040237</v>
      </c>
      <c r="L8616" t="e">
        <f>VLOOKUP(Table1[[#This Row],[CountryCode]],[1]!Table1[#All],1,FALSE)</f>
        <v>#REF!</v>
      </c>
    </row>
    <row r="8617" spans="1:12" hidden="1" x14ac:dyDescent="0.3">
      <c r="A8617" t="s">
        <v>53</v>
      </c>
      <c r="B8617" t="s">
        <v>54</v>
      </c>
      <c r="C8617" t="s">
        <v>129</v>
      </c>
      <c r="D8617" t="s">
        <v>130</v>
      </c>
      <c r="E8617">
        <v>1968</v>
      </c>
      <c r="F8617" s="1">
        <v>72</v>
      </c>
      <c r="G8617">
        <v>1970</v>
      </c>
      <c r="H8617">
        <f>AVERAGEIFS(Table1[value],Table1[IndicatorCode],Table1[[#This Row],[IndicatorCode]])</f>
        <v>72.66514008620689</v>
      </c>
      <c r="I8617" cm="1">
        <f t="array" ref="I8617">_xlfn.STDEV.P(IF(Table1[IndicatorCode]=Table1[[#This Row],[IndicatorCode]],Table1[value]))</f>
        <v>6.3409496564024987</v>
      </c>
      <c r="J8617">
        <f>(Table1[[#This Row],[value]] - Table1[[#This Row],[mean]]) / Table1[[#This Row],[std_dev]]</f>
        <v>-0.10489597335555145</v>
      </c>
      <c r="K8617">
        <f>AVERAGEIF(Table1[CountryCode],Table1[[#This Row],[CountryCode]],Table1[z-score])</f>
        <v>0.50130467154040237</v>
      </c>
      <c r="L8617" t="e">
        <f>VLOOKUP(Table1[[#This Row],[CountryCode]],[1]!Table1[#All],1,FALSE)</f>
        <v>#REF!</v>
      </c>
    </row>
    <row r="8618" spans="1:12" hidden="1" x14ac:dyDescent="0.3">
      <c r="A8618" t="s">
        <v>53</v>
      </c>
      <c r="B8618" t="s">
        <v>54</v>
      </c>
      <c r="C8618" t="s">
        <v>129</v>
      </c>
      <c r="D8618" t="s">
        <v>130</v>
      </c>
      <c r="E8618">
        <v>1969</v>
      </c>
      <c r="F8618" s="1">
        <v>72</v>
      </c>
      <c r="G8618">
        <v>1970</v>
      </c>
      <c r="H8618">
        <f>AVERAGEIFS(Table1[value],Table1[IndicatorCode],Table1[[#This Row],[IndicatorCode]])</f>
        <v>72.66514008620689</v>
      </c>
      <c r="I8618" cm="1">
        <f t="array" ref="I8618">_xlfn.STDEV.P(IF(Table1[IndicatorCode]=Table1[[#This Row],[IndicatorCode]],Table1[value]))</f>
        <v>6.3409496564024987</v>
      </c>
      <c r="J8618">
        <f>(Table1[[#This Row],[value]] - Table1[[#This Row],[mean]]) / Table1[[#This Row],[std_dev]]</f>
        <v>-0.10489597335555145</v>
      </c>
      <c r="K8618">
        <f>AVERAGEIF(Table1[CountryCode],Table1[[#This Row],[CountryCode]],Table1[z-score])</f>
        <v>0.50130467154040237</v>
      </c>
      <c r="L8618" t="e">
        <f>VLOOKUP(Table1[[#This Row],[CountryCode]],[1]!Table1[#All],1,FALSE)</f>
        <v>#REF!</v>
      </c>
    </row>
    <row r="8619" spans="1:12" hidden="1" x14ac:dyDescent="0.3">
      <c r="A8619" t="s">
        <v>53</v>
      </c>
      <c r="B8619" t="s">
        <v>54</v>
      </c>
      <c r="C8619" t="s">
        <v>129</v>
      </c>
      <c r="D8619" t="s">
        <v>130</v>
      </c>
      <c r="E8619">
        <v>1970</v>
      </c>
      <c r="F8619" s="1">
        <v>72</v>
      </c>
      <c r="G8619">
        <v>1970</v>
      </c>
      <c r="H8619">
        <f>AVERAGEIFS(Table1[value],Table1[IndicatorCode],Table1[[#This Row],[IndicatorCode]])</f>
        <v>72.66514008620689</v>
      </c>
      <c r="I8619" cm="1">
        <f t="array" ref="I8619">_xlfn.STDEV.P(IF(Table1[IndicatorCode]=Table1[[#This Row],[IndicatorCode]],Table1[value]))</f>
        <v>6.3409496564024987</v>
      </c>
      <c r="J8619">
        <f>(Table1[[#This Row],[value]] - Table1[[#This Row],[mean]]) / Table1[[#This Row],[std_dev]]</f>
        <v>-0.10489597335555145</v>
      </c>
      <c r="K8619">
        <f>AVERAGEIF(Table1[CountryCode],Table1[[#This Row],[CountryCode]],Table1[z-score])</f>
        <v>0.50130467154040237</v>
      </c>
      <c r="L8619" t="e">
        <f>VLOOKUP(Table1[[#This Row],[CountryCode]],[1]!Table1[#All],1,FALSE)</f>
        <v>#REF!</v>
      </c>
    </row>
    <row r="8620" spans="1:12" hidden="1" x14ac:dyDescent="0.3">
      <c r="A8620" t="s">
        <v>53</v>
      </c>
      <c r="B8620" t="s">
        <v>54</v>
      </c>
      <c r="C8620" t="s">
        <v>129</v>
      </c>
      <c r="D8620" t="s">
        <v>130</v>
      </c>
      <c r="E8620">
        <v>1971</v>
      </c>
      <c r="F8620" s="1">
        <v>72</v>
      </c>
      <c r="G8620">
        <v>1970</v>
      </c>
      <c r="H8620">
        <f>AVERAGEIFS(Table1[value],Table1[IndicatorCode],Table1[[#This Row],[IndicatorCode]])</f>
        <v>72.66514008620689</v>
      </c>
      <c r="I8620" cm="1">
        <f t="array" ref="I8620">_xlfn.STDEV.P(IF(Table1[IndicatorCode]=Table1[[#This Row],[IndicatorCode]],Table1[value]))</f>
        <v>6.3409496564024987</v>
      </c>
      <c r="J8620">
        <f>(Table1[[#This Row],[value]] - Table1[[#This Row],[mean]]) / Table1[[#This Row],[std_dev]]</f>
        <v>-0.10489597335555145</v>
      </c>
      <c r="K8620">
        <f>AVERAGEIF(Table1[CountryCode],Table1[[#This Row],[CountryCode]],Table1[z-score])</f>
        <v>0.50130467154040237</v>
      </c>
      <c r="L8620" t="e">
        <f>VLOOKUP(Table1[[#This Row],[CountryCode]],[1]!Table1[#All],1,FALSE)</f>
        <v>#REF!</v>
      </c>
    </row>
    <row r="8621" spans="1:12" hidden="1" x14ac:dyDescent="0.3">
      <c r="A8621" t="s">
        <v>53</v>
      </c>
      <c r="B8621" t="s">
        <v>54</v>
      </c>
      <c r="C8621" t="s">
        <v>129</v>
      </c>
      <c r="D8621" t="s">
        <v>130</v>
      </c>
      <c r="E8621">
        <v>1972</v>
      </c>
      <c r="F8621" s="1">
        <v>72</v>
      </c>
      <c r="G8621">
        <v>1970</v>
      </c>
      <c r="H8621">
        <f>AVERAGEIFS(Table1[value],Table1[IndicatorCode],Table1[[#This Row],[IndicatorCode]])</f>
        <v>72.66514008620689</v>
      </c>
      <c r="I8621" cm="1">
        <f t="array" ref="I8621">_xlfn.STDEV.P(IF(Table1[IndicatorCode]=Table1[[#This Row],[IndicatorCode]],Table1[value]))</f>
        <v>6.3409496564024987</v>
      </c>
      <c r="J8621">
        <f>(Table1[[#This Row],[value]] - Table1[[#This Row],[mean]]) / Table1[[#This Row],[std_dev]]</f>
        <v>-0.10489597335555145</v>
      </c>
      <c r="K8621">
        <f>AVERAGEIF(Table1[CountryCode],Table1[[#This Row],[CountryCode]],Table1[z-score])</f>
        <v>0.50130467154040237</v>
      </c>
      <c r="L8621" t="e">
        <f>VLOOKUP(Table1[[#This Row],[CountryCode]],[1]!Table1[#All],1,FALSE)</f>
        <v>#REF!</v>
      </c>
    </row>
    <row r="8622" spans="1:12" hidden="1" x14ac:dyDescent="0.3">
      <c r="A8622" t="s">
        <v>53</v>
      </c>
      <c r="B8622" t="s">
        <v>54</v>
      </c>
      <c r="C8622" t="s">
        <v>129</v>
      </c>
      <c r="D8622" t="s">
        <v>130</v>
      </c>
      <c r="E8622">
        <v>1973</v>
      </c>
      <c r="F8622" s="1">
        <v>73</v>
      </c>
      <c r="G8622">
        <v>1970</v>
      </c>
      <c r="H8622">
        <f>AVERAGEIFS(Table1[value],Table1[IndicatorCode],Table1[[#This Row],[IndicatorCode]])</f>
        <v>72.66514008620689</v>
      </c>
      <c r="I8622" cm="1">
        <f t="array" ref="I8622">_xlfn.STDEV.P(IF(Table1[IndicatorCode]=Table1[[#This Row],[IndicatorCode]],Table1[value]))</f>
        <v>6.3409496564024987</v>
      </c>
      <c r="J8622">
        <f>(Table1[[#This Row],[value]] - Table1[[#This Row],[mean]]) / Table1[[#This Row],[std_dev]]</f>
        <v>5.2809110927887599E-2</v>
      </c>
      <c r="K8622">
        <f>AVERAGEIF(Table1[CountryCode],Table1[[#This Row],[CountryCode]],Table1[z-score])</f>
        <v>0.50130467154040237</v>
      </c>
      <c r="L8622" t="e">
        <f>VLOOKUP(Table1[[#This Row],[CountryCode]],[1]!Table1[#All],1,FALSE)</f>
        <v>#REF!</v>
      </c>
    </row>
    <row r="8623" spans="1:12" hidden="1" x14ac:dyDescent="0.3">
      <c r="A8623" t="s">
        <v>53</v>
      </c>
      <c r="B8623" t="s">
        <v>54</v>
      </c>
      <c r="C8623" t="s">
        <v>129</v>
      </c>
      <c r="D8623" t="s">
        <v>130</v>
      </c>
      <c r="E8623">
        <v>1974</v>
      </c>
      <c r="F8623" s="1">
        <v>73</v>
      </c>
      <c r="G8623">
        <v>1970</v>
      </c>
      <c r="H8623">
        <f>AVERAGEIFS(Table1[value],Table1[IndicatorCode],Table1[[#This Row],[IndicatorCode]])</f>
        <v>72.66514008620689</v>
      </c>
      <c r="I8623" cm="1">
        <f t="array" ref="I8623">_xlfn.STDEV.P(IF(Table1[IndicatorCode]=Table1[[#This Row],[IndicatorCode]],Table1[value]))</f>
        <v>6.3409496564024987</v>
      </c>
      <c r="J8623">
        <f>(Table1[[#This Row],[value]] - Table1[[#This Row],[mean]]) / Table1[[#This Row],[std_dev]]</f>
        <v>5.2809110927887599E-2</v>
      </c>
      <c r="K8623">
        <f>AVERAGEIF(Table1[CountryCode],Table1[[#This Row],[CountryCode]],Table1[z-score])</f>
        <v>0.50130467154040237</v>
      </c>
      <c r="L8623" t="e">
        <f>VLOOKUP(Table1[[#This Row],[CountryCode]],[1]!Table1[#All],1,FALSE)</f>
        <v>#REF!</v>
      </c>
    </row>
    <row r="8624" spans="1:12" hidden="1" x14ac:dyDescent="0.3">
      <c r="A8624" t="s">
        <v>53</v>
      </c>
      <c r="B8624" t="s">
        <v>54</v>
      </c>
      <c r="C8624" t="s">
        <v>129</v>
      </c>
      <c r="D8624" t="s">
        <v>130</v>
      </c>
      <c r="E8624">
        <v>1975</v>
      </c>
      <c r="F8624" s="1">
        <v>73</v>
      </c>
      <c r="G8624">
        <v>1970</v>
      </c>
      <c r="H8624">
        <f>AVERAGEIFS(Table1[value],Table1[IndicatorCode],Table1[[#This Row],[IndicatorCode]])</f>
        <v>72.66514008620689</v>
      </c>
      <c r="I8624" cm="1">
        <f t="array" ref="I8624">_xlfn.STDEV.P(IF(Table1[IndicatorCode]=Table1[[#This Row],[IndicatorCode]],Table1[value]))</f>
        <v>6.3409496564024987</v>
      </c>
      <c r="J8624">
        <f>(Table1[[#This Row],[value]] - Table1[[#This Row],[mean]]) / Table1[[#This Row],[std_dev]]</f>
        <v>5.2809110927887599E-2</v>
      </c>
      <c r="K8624">
        <f>AVERAGEIF(Table1[CountryCode],Table1[[#This Row],[CountryCode]],Table1[z-score])</f>
        <v>0.50130467154040237</v>
      </c>
      <c r="L8624" t="e">
        <f>VLOOKUP(Table1[[#This Row],[CountryCode]],[1]!Table1[#All],1,FALSE)</f>
        <v>#REF!</v>
      </c>
    </row>
    <row r="8625" spans="1:12" hidden="1" x14ac:dyDescent="0.3">
      <c r="A8625" t="s">
        <v>53</v>
      </c>
      <c r="B8625" t="s">
        <v>54</v>
      </c>
      <c r="C8625" t="s">
        <v>129</v>
      </c>
      <c r="D8625" t="s">
        <v>130</v>
      </c>
      <c r="E8625">
        <v>1976</v>
      </c>
      <c r="F8625" s="1">
        <v>73</v>
      </c>
      <c r="G8625">
        <v>1970</v>
      </c>
      <c r="H8625">
        <f>AVERAGEIFS(Table1[value],Table1[IndicatorCode],Table1[[#This Row],[IndicatorCode]])</f>
        <v>72.66514008620689</v>
      </c>
      <c r="I8625" cm="1">
        <f t="array" ref="I8625">_xlfn.STDEV.P(IF(Table1[IndicatorCode]=Table1[[#This Row],[IndicatorCode]],Table1[value]))</f>
        <v>6.3409496564024987</v>
      </c>
      <c r="J8625">
        <f>(Table1[[#This Row],[value]] - Table1[[#This Row],[mean]]) / Table1[[#This Row],[std_dev]]</f>
        <v>5.2809110927887599E-2</v>
      </c>
      <c r="K8625">
        <f>AVERAGEIF(Table1[CountryCode],Table1[[#This Row],[CountryCode]],Table1[z-score])</f>
        <v>0.50130467154040237</v>
      </c>
      <c r="L8625" t="e">
        <f>VLOOKUP(Table1[[#This Row],[CountryCode]],[1]!Table1[#All],1,FALSE)</f>
        <v>#REF!</v>
      </c>
    </row>
    <row r="8626" spans="1:12" hidden="1" x14ac:dyDescent="0.3">
      <c r="A8626" t="s">
        <v>53</v>
      </c>
      <c r="B8626" t="s">
        <v>54</v>
      </c>
      <c r="C8626" t="s">
        <v>129</v>
      </c>
      <c r="D8626" t="s">
        <v>130</v>
      </c>
      <c r="E8626">
        <v>1977</v>
      </c>
      <c r="F8626" s="1">
        <v>73</v>
      </c>
      <c r="G8626">
        <v>1980</v>
      </c>
      <c r="H8626">
        <f>AVERAGEIFS(Table1[value],Table1[IndicatorCode],Table1[[#This Row],[IndicatorCode]])</f>
        <v>72.66514008620689</v>
      </c>
      <c r="I8626" cm="1">
        <f t="array" ref="I8626">_xlfn.STDEV.P(IF(Table1[IndicatorCode]=Table1[[#This Row],[IndicatorCode]],Table1[value]))</f>
        <v>6.3409496564024987</v>
      </c>
      <c r="J8626">
        <f>(Table1[[#This Row],[value]] - Table1[[#This Row],[mean]]) / Table1[[#This Row],[std_dev]]</f>
        <v>5.2809110927887599E-2</v>
      </c>
      <c r="K8626">
        <f>AVERAGEIF(Table1[CountryCode],Table1[[#This Row],[CountryCode]],Table1[z-score])</f>
        <v>0.50130467154040237</v>
      </c>
      <c r="L8626" t="e">
        <f>VLOOKUP(Table1[[#This Row],[CountryCode]],[1]!Table1[#All],1,FALSE)</f>
        <v>#REF!</v>
      </c>
    </row>
    <row r="8627" spans="1:12" hidden="1" x14ac:dyDescent="0.3">
      <c r="A8627" t="s">
        <v>53</v>
      </c>
      <c r="B8627" t="s">
        <v>54</v>
      </c>
      <c r="C8627" t="s">
        <v>129</v>
      </c>
      <c r="D8627" t="s">
        <v>130</v>
      </c>
      <c r="E8627">
        <v>1978</v>
      </c>
      <c r="F8627" s="1">
        <v>74</v>
      </c>
      <c r="G8627">
        <v>1980</v>
      </c>
      <c r="H8627">
        <f>AVERAGEIFS(Table1[value],Table1[IndicatorCode],Table1[[#This Row],[IndicatorCode]])</f>
        <v>72.66514008620689</v>
      </c>
      <c r="I8627" cm="1">
        <f t="array" ref="I8627">_xlfn.STDEV.P(IF(Table1[IndicatorCode]=Table1[[#This Row],[IndicatorCode]],Table1[value]))</f>
        <v>6.3409496564024987</v>
      </c>
      <c r="J8627">
        <f>(Table1[[#This Row],[value]] - Table1[[#This Row],[mean]]) / Table1[[#This Row],[std_dev]]</f>
        <v>0.21051419521132667</v>
      </c>
      <c r="K8627">
        <f>AVERAGEIF(Table1[CountryCode],Table1[[#This Row],[CountryCode]],Table1[z-score])</f>
        <v>0.50130467154040237</v>
      </c>
      <c r="L8627" t="e">
        <f>VLOOKUP(Table1[[#This Row],[CountryCode]],[1]!Table1[#All],1,FALSE)</f>
        <v>#REF!</v>
      </c>
    </row>
    <row r="8628" spans="1:12" hidden="1" x14ac:dyDescent="0.3">
      <c r="A8628" t="s">
        <v>53</v>
      </c>
      <c r="B8628" t="s">
        <v>54</v>
      </c>
      <c r="C8628" t="s">
        <v>129</v>
      </c>
      <c r="D8628" t="s">
        <v>130</v>
      </c>
      <c r="E8628">
        <v>1979</v>
      </c>
      <c r="F8628" s="1">
        <v>74</v>
      </c>
      <c r="G8628">
        <v>1980</v>
      </c>
      <c r="H8628">
        <f>AVERAGEIFS(Table1[value],Table1[IndicatorCode],Table1[[#This Row],[IndicatorCode]])</f>
        <v>72.66514008620689</v>
      </c>
      <c r="I8628" cm="1">
        <f t="array" ref="I8628">_xlfn.STDEV.P(IF(Table1[IndicatorCode]=Table1[[#This Row],[IndicatorCode]],Table1[value]))</f>
        <v>6.3409496564024987</v>
      </c>
      <c r="J8628">
        <f>(Table1[[#This Row],[value]] - Table1[[#This Row],[mean]]) / Table1[[#This Row],[std_dev]]</f>
        <v>0.21051419521132667</v>
      </c>
      <c r="K8628">
        <f>AVERAGEIF(Table1[CountryCode],Table1[[#This Row],[CountryCode]],Table1[z-score])</f>
        <v>0.50130467154040237</v>
      </c>
      <c r="L8628" t="e">
        <f>VLOOKUP(Table1[[#This Row],[CountryCode]],[1]!Table1[#All],1,FALSE)</f>
        <v>#REF!</v>
      </c>
    </row>
    <row r="8629" spans="1:12" hidden="1" x14ac:dyDescent="0.3">
      <c r="A8629" t="s">
        <v>53</v>
      </c>
      <c r="B8629" t="s">
        <v>54</v>
      </c>
      <c r="C8629" t="s">
        <v>129</v>
      </c>
      <c r="D8629" t="s">
        <v>130</v>
      </c>
      <c r="E8629">
        <v>1980</v>
      </c>
      <c r="F8629" s="1">
        <v>74</v>
      </c>
      <c r="G8629">
        <v>1980</v>
      </c>
      <c r="H8629">
        <f>AVERAGEIFS(Table1[value],Table1[IndicatorCode],Table1[[#This Row],[IndicatorCode]])</f>
        <v>72.66514008620689</v>
      </c>
      <c r="I8629" cm="1">
        <f t="array" ref="I8629">_xlfn.STDEV.P(IF(Table1[IndicatorCode]=Table1[[#This Row],[IndicatorCode]],Table1[value]))</f>
        <v>6.3409496564024987</v>
      </c>
      <c r="J8629">
        <f>(Table1[[#This Row],[value]] - Table1[[#This Row],[mean]]) / Table1[[#This Row],[std_dev]]</f>
        <v>0.21051419521132667</v>
      </c>
      <c r="K8629">
        <f>AVERAGEIF(Table1[CountryCode],Table1[[#This Row],[CountryCode]],Table1[z-score])</f>
        <v>0.50130467154040237</v>
      </c>
      <c r="L8629" t="e">
        <f>VLOOKUP(Table1[[#This Row],[CountryCode]],[1]!Table1[#All],1,FALSE)</f>
        <v>#REF!</v>
      </c>
    </row>
    <row r="8630" spans="1:12" hidden="1" x14ac:dyDescent="0.3">
      <c r="A8630" t="s">
        <v>53</v>
      </c>
      <c r="B8630" t="s">
        <v>54</v>
      </c>
      <c r="C8630" t="s">
        <v>129</v>
      </c>
      <c r="D8630" t="s">
        <v>130</v>
      </c>
      <c r="E8630">
        <v>1981</v>
      </c>
      <c r="F8630" s="1">
        <v>74</v>
      </c>
      <c r="G8630">
        <v>1980</v>
      </c>
      <c r="H8630">
        <f>AVERAGEIFS(Table1[value],Table1[IndicatorCode],Table1[[#This Row],[IndicatorCode]])</f>
        <v>72.66514008620689</v>
      </c>
      <c r="I8630" cm="1">
        <f t="array" ref="I8630">_xlfn.STDEV.P(IF(Table1[IndicatorCode]=Table1[[#This Row],[IndicatorCode]],Table1[value]))</f>
        <v>6.3409496564024987</v>
      </c>
      <c r="J8630">
        <f>(Table1[[#This Row],[value]] - Table1[[#This Row],[mean]]) / Table1[[#This Row],[std_dev]]</f>
        <v>0.21051419521132667</v>
      </c>
      <c r="K8630">
        <f>AVERAGEIF(Table1[CountryCode],Table1[[#This Row],[CountryCode]],Table1[z-score])</f>
        <v>0.50130467154040237</v>
      </c>
      <c r="L8630" t="e">
        <f>VLOOKUP(Table1[[#This Row],[CountryCode]],[1]!Table1[#All],1,FALSE)</f>
        <v>#REF!</v>
      </c>
    </row>
    <row r="8631" spans="1:12" hidden="1" x14ac:dyDescent="0.3">
      <c r="A8631" t="s">
        <v>53</v>
      </c>
      <c r="B8631" t="s">
        <v>54</v>
      </c>
      <c r="C8631" t="s">
        <v>129</v>
      </c>
      <c r="D8631" t="s">
        <v>130</v>
      </c>
      <c r="E8631">
        <v>1982</v>
      </c>
      <c r="F8631" s="1">
        <v>74</v>
      </c>
      <c r="G8631">
        <v>1980</v>
      </c>
      <c r="H8631">
        <f>AVERAGEIFS(Table1[value],Table1[IndicatorCode],Table1[[#This Row],[IndicatorCode]])</f>
        <v>72.66514008620689</v>
      </c>
      <c r="I8631" cm="1">
        <f t="array" ref="I8631">_xlfn.STDEV.P(IF(Table1[IndicatorCode]=Table1[[#This Row],[IndicatorCode]],Table1[value]))</f>
        <v>6.3409496564024987</v>
      </c>
      <c r="J8631">
        <f>(Table1[[#This Row],[value]] - Table1[[#This Row],[mean]]) / Table1[[#This Row],[std_dev]]</f>
        <v>0.21051419521132667</v>
      </c>
      <c r="K8631">
        <f>AVERAGEIF(Table1[CountryCode],Table1[[#This Row],[CountryCode]],Table1[z-score])</f>
        <v>0.50130467154040237</v>
      </c>
      <c r="L8631" t="e">
        <f>VLOOKUP(Table1[[#This Row],[CountryCode]],[1]!Table1[#All],1,FALSE)</f>
        <v>#REF!</v>
      </c>
    </row>
    <row r="8632" spans="1:12" hidden="1" x14ac:dyDescent="0.3">
      <c r="A8632" t="s">
        <v>53</v>
      </c>
      <c r="B8632" t="s">
        <v>54</v>
      </c>
      <c r="C8632" t="s">
        <v>129</v>
      </c>
      <c r="D8632" t="s">
        <v>130</v>
      </c>
      <c r="E8632">
        <v>1983</v>
      </c>
      <c r="F8632" s="1">
        <v>75</v>
      </c>
      <c r="G8632">
        <v>1980</v>
      </c>
      <c r="H8632">
        <f>AVERAGEIFS(Table1[value],Table1[IndicatorCode],Table1[[#This Row],[IndicatorCode]])</f>
        <v>72.66514008620689</v>
      </c>
      <c r="I8632" cm="1">
        <f t="array" ref="I8632">_xlfn.STDEV.P(IF(Table1[IndicatorCode]=Table1[[#This Row],[IndicatorCode]],Table1[value]))</f>
        <v>6.3409496564024987</v>
      </c>
      <c r="J8632">
        <f>(Table1[[#This Row],[value]] - Table1[[#This Row],[mean]]) / Table1[[#This Row],[std_dev]]</f>
        <v>0.36821927949476574</v>
      </c>
      <c r="K8632">
        <f>AVERAGEIF(Table1[CountryCode],Table1[[#This Row],[CountryCode]],Table1[z-score])</f>
        <v>0.50130467154040237</v>
      </c>
      <c r="L8632" t="e">
        <f>VLOOKUP(Table1[[#This Row],[CountryCode]],[1]!Table1[#All],1,FALSE)</f>
        <v>#REF!</v>
      </c>
    </row>
    <row r="8633" spans="1:12" hidden="1" x14ac:dyDescent="0.3">
      <c r="A8633" t="s">
        <v>53</v>
      </c>
      <c r="B8633" t="s">
        <v>54</v>
      </c>
      <c r="C8633" t="s">
        <v>129</v>
      </c>
      <c r="D8633" t="s">
        <v>130</v>
      </c>
      <c r="E8633">
        <v>1984</v>
      </c>
      <c r="F8633" s="1">
        <v>75</v>
      </c>
      <c r="G8633">
        <v>1980</v>
      </c>
      <c r="H8633">
        <f>AVERAGEIFS(Table1[value],Table1[IndicatorCode],Table1[[#This Row],[IndicatorCode]])</f>
        <v>72.66514008620689</v>
      </c>
      <c r="I8633" cm="1">
        <f t="array" ref="I8633">_xlfn.STDEV.P(IF(Table1[IndicatorCode]=Table1[[#This Row],[IndicatorCode]],Table1[value]))</f>
        <v>6.3409496564024987</v>
      </c>
      <c r="J8633">
        <f>(Table1[[#This Row],[value]] - Table1[[#This Row],[mean]]) / Table1[[#This Row],[std_dev]]</f>
        <v>0.36821927949476574</v>
      </c>
      <c r="K8633">
        <f>AVERAGEIF(Table1[CountryCode],Table1[[#This Row],[CountryCode]],Table1[z-score])</f>
        <v>0.50130467154040237</v>
      </c>
      <c r="L8633" t="e">
        <f>VLOOKUP(Table1[[#This Row],[CountryCode]],[1]!Table1[#All],1,FALSE)</f>
        <v>#REF!</v>
      </c>
    </row>
    <row r="8634" spans="1:12" hidden="1" x14ac:dyDescent="0.3">
      <c r="A8634" t="s">
        <v>53</v>
      </c>
      <c r="B8634" t="s">
        <v>54</v>
      </c>
      <c r="C8634" t="s">
        <v>129</v>
      </c>
      <c r="D8634" t="s">
        <v>130</v>
      </c>
      <c r="E8634">
        <v>1985</v>
      </c>
      <c r="F8634" s="1">
        <v>75</v>
      </c>
      <c r="G8634">
        <v>1980</v>
      </c>
      <c r="H8634">
        <f>AVERAGEIFS(Table1[value],Table1[IndicatorCode],Table1[[#This Row],[IndicatorCode]])</f>
        <v>72.66514008620689</v>
      </c>
      <c r="I8634" cm="1">
        <f t="array" ref="I8634">_xlfn.STDEV.P(IF(Table1[IndicatorCode]=Table1[[#This Row],[IndicatorCode]],Table1[value]))</f>
        <v>6.3409496564024987</v>
      </c>
      <c r="J8634">
        <f>(Table1[[#This Row],[value]] - Table1[[#This Row],[mean]]) / Table1[[#This Row],[std_dev]]</f>
        <v>0.36821927949476574</v>
      </c>
      <c r="K8634">
        <f>AVERAGEIF(Table1[CountryCode],Table1[[#This Row],[CountryCode]],Table1[z-score])</f>
        <v>0.50130467154040237</v>
      </c>
      <c r="L8634" t="e">
        <f>VLOOKUP(Table1[[#This Row],[CountryCode]],[1]!Table1[#All],1,FALSE)</f>
        <v>#REF!</v>
      </c>
    </row>
    <row r="8635" spans="1:12" hidden="1" x14ac:dyDescent="0.3">
      <c r="A8635" t="s">
        <v>53</v>
      </c>
      <c r="B8635" t="s">
        <v>54</v>
      </c>
      <c r="C8635" t="s">
        <v>129</v>
      </c>
      <c r="D8635" t="s">
        <v>130</v>
      </c>
      <c r="E8635">
        <v>1986</v>
      </c>
      <c r="F8635" s="1">
        <v>76</v>
      </c>
      <c r="G8635">
        <v>1980</v>
      </c>
      <c r="H8635">
        <f>AVERAGEIFS(Table1[value],Table1[IndicatorCode],Table1[[#This Row],[IndicatorCode]])</f>
        <v>72.66514008620689</v>
      </c>
      <c r="I8635" cm="1">
        <f t="array" ref="I8635">_xlfn.STDEV.P(IF(Table1[IndicatorCode]=Table1[[#This Row],[IndicatorCode]],Table1[value]))</f>
        <v>6.3409496564024987</v>
      </c>
      <c r="J8635">
        <f>(Table1[[#This Row],[value]] - Table1[[#This Row],[mean]]) / Table1[[#This Row],[std_dev]]</f>
        <v>0.52592436377820473</v>
      </c>
      <c r="K8635">
        <f>AVERAGEIF(Table1[CountryCode],Table1[[#This Row],[CountryCode]],Table1[z-score])</f>
        <v>0.50130467154040237</v>
      </c>
      <c r="L8635" t="e">
        <f>VLOOKUP(Table1[[#This Row],[CountryCode]],[1]!Table1[#All],1,FALSE)</f>
        <v>#REF!</v>
      </c>
    </row>
    <row r="8636" spans="1:12" hidden="1" x14ac:dyDescent="0.3">
      <c r="A8636" t="s">
        <v>53</v>
      </c>
      <c r="B8636" t="s">
        <v>54</v>
      </c>
      <c r="C8636" t="s">
        <v>129</v>
      </c>
      <c r="D8636" t="s">
        <v>130</v>
      </c>
      <c r="E8636">
        <v>1987</v>
      </c>
      <c r="F8636" s="1">
        <v>76</v>
      </c>
      <c r="G8636">
        <v>1990</v>
      </c>
      <c r="H8636">
        <f>AVERAGEIFS(Table1[value],Table1[IndicatorCode],Table1[[#This Row],[IndicatorCode]])</f>
        <v>72.66514008620689</v>
      </c>
      <c r="I8636" cm="1">
        <f t="array" ref="I8636">_xlfn.STDEV.P(IF(Table1[IndicatorCode]=Table1[[#This Row],[IndicatorCode]],Table1[value]))</f>
        <v>6.3409496564024987</v>
      </c>
      <c r="J8636">
        <f>(Table1[[#This Row],[value]] - Table1[[#This Row],[mean]]) / Table1[[#This Row],[std_dev]]</f>
        <v>0.52592436377820473</v>
      </c>
      <c r="K8636">
        <f>AVERAGEIF(Table1[CountryCode],Table1[[#This Row],[CountryCode]],Table1[z-score])</f>
        <v>0.50130467154040237</v>
      </c>
      <c r="L8636" t="e">
        <f>VLOOKUP(Table1[[#This Row],[CountryCode]],[1]!Table1[#All],1,FALSE)</f>
        <v>#REF!</v>
      </c>
    </row>
    <row r="8637" spans="1:12" hidden="1" x14ac:dyDescent="0.3">
      <c r="A8637" t="s">
        <v>53</v>
      </c>
      <c r="B8637" t="s">
        <v>54</v>
      </c>
      <c r="C8637" t="s">
        <v>129</v>
      </c>
      <c r="D8637" t="s">
        <v>130</v>
      </c>
      <c r="E8637">
        <v>1988</v>
      </c>
      <c r="F8637" s="1">
        <v>76</v>
      </c>
      <c r="G8637">
        <v>1990</v>
      </c>
      <c r="H8637">
        <f>AVERAGEIFS(Table1[value],Table1[IndicatorCode],Table1[[#This Row],[IndicatorCode]])</f>
        <v>72.66514008620689</v>
      </c>
      <c r="I8637" cm="1">
        <f t="array" ref="I8637">_xlfn.STDEV.P(IF(Table1[IndicatorCode]=Table1[[#This Row],[IndicatorCode]],Table1[value]))</f>
        <v>6.3409496564024987</v>
      </c>
      <c r="J8637">
        <f>(Table1[[#This Row],[value]] - Table1[[#This Row],[mean]]) / Table1[[#This Row],[std_dev]]</f>
        <v>0.52592436377820473</v>
      </c>
      <c r="K8637">
        <f>AVERAGEIF(Table1[CountryCode],Table1[[#This Row],[CountryCode]],Table1[z-score])</f>
        <v>0.50130467154040237</v>
      </c>
      <c r="L8637" t="e">
        <f>VLOOKUP(Table1[[#This Row],[CountryCode]],[1]!Table1[#All],1,FALSE)</f>
        <v>#REF!</v>
      </c>
    </row>
    <row r="8638" spans="1:12" hidden="1" x14ac:dyDescent="0.3">
      <c r="A8638" t="s">
        <v>53</v>
      </c>
      <c r="B8638" t="s">
        <v>54</v>
      </c>
      <c r="C8638" t="s">
        <v>129</v>
      </c>
      <c r="D8638" t="s">
        <v>130</v>
      </c>
      <c r="E8638">
        <v>1989</v>
      </c>
      <c r="F8638" s="1">
        <v>76</v>
      </c>
      <c r="G8638">
        <v>1990</v>
      </c>
      <c r="H8638">
        <f>AVERAGEIFS(Table1[value],Table1[IndicatorCode],Table1[[#This Row],[IndicatorCode]])</f>
        <v>72.66514008620689</v>
      </c>
      <c r="I8638" cm="1">
        <f t="array" ref="I8638">_xlfn.STDEV.P(IF(Table1[IndicatorCode]=Table1[[#This Row],[IndicatorCode]],Table1[value]))</f>
        <v>6.3409496564024987</v>
      </c>
      <c r="J8638">
        <f>(Table1[[#This Row],[value]] - Table1[[#This Row],[mean]]) / Table1[[#This Row],[std_dev]]</f>
        <v>0.52592436377820473</v>
      </c>
      <c r="K8638">
        <f>AVERAGEIF(Table1[CountryCode],Table1[[#This Row],[CountryCode]],Table1[z-score])</f>
        <v>0.50130467154040237</v>
      </c>
      <c r="L8638" t="e">
        <f>VLOOKUP(Table1[[#This Row],[CountryCode]],[1]!Table1[#All],1,FALSE)</f>
        <v>#REF!</v>
      </c>
    </row>
    <row r="8639" spans="1:12" hidden="1" x14ac:dyDescent="0.3">
      <c r="A8639" t="s">
        <v>53</v>
      </c>
      <c r="B8639" t="s">
        <v>54</v>
      </c>
      <c r="C8639" t="s">
        <v>129</v>
      </c>
      <c r="D8639" t="s">
        <v>130</v>
      </c>
      <c r="E8639">
        <v>1990</v>
      </c>
      <c r="F8639" s="1">
        <v>77</v>
      </c>
      <c r="G8639">
        <v>1990</v>
      </c>
      <c r="H8639">
        <f>AVERAGEIFS(Table1[value],Table1[IndicatorCode],Table1[[#This Row],[IndicatorCode]])</f>
        <v>72.66514008620689</v>
      </c>
      <c r="I8639" cm="1">
        <f t="array" ref="I8639">_xlfn.STDEV.P(IF(Table1[IndicatorCode]=Table1[[#This Row],[IndicatorCode]],Table1[value]))</f>
        <v>6.3409496564024987</v>
      </c>
      <c r="J8639">
        <f>(Table1[[#This Row],[value]] - Table1[[#This Row],[mean]]) / Table1[[#This Row],[std_dev]]</f>
        <v>0.68362944806164383</v>
      </c>
      <c r="K8639">
        <f>AVERAGEIF(Table1[CountryCode],Table1[[#This Row],[CountryCode]],Table1[z-score])</f>
        <v>0.50130467154040237</v>
      </c>
      <c r="L8639" t="e">
        <f>VLOOKUP(Table1[[#This Row],[CountryCode]],[1]!Table1[#All],1,FALSE)</f>
        <v>#REF!</v>
      </c>
    </row>
    <row r="8640" spans="1:12" hidden="1" x14ac:dyDescent="0.3">
      <c r="A8640" t="s">
        <v>53</v>
      </c>
      <c r="B8640" t="s">
        <v>54</v>
      </c>
      <c r="C8640" t="s">
        <v>129</v>
      </c>
      <c r="D8640" t="s">
        <v>130</v>
      </c>
      <c r="E8640">
        <v>1991</v>
      </c>
      <c r="F8640" s="1">
        <v>77</v>
      </c>
      <c r="G8640">
        <v>1990</v>
      </c>
      <c r="H8640">
        <f>AVERAGEIFS(Table1[value],Table1[IndicatorCode],Table1[[#This Row],[IndicatorCode]])</f>
        <v>72.66514008620689</v>
      </c>
      <c r="I8640" cm="1">
        <f t="array" ref="I8640">_xlfn.STDEV.P(IF(Table1[IndicatorCode]=Table1[[#This Row],[IndicatorCode]],Table1[value]))</f>
        <v>6.3409496564024987</v>
      </c>
      <c r="J8640">
        <f>(Table1[[#This Row],[value]] - Table1[[#This Row],[mean]]) / Table1[[#This Row],[std_dev]]</f>
        <v>0.68362944806164383</v>
      </c>
      <c r="K8640">
        <f>AVERAGEIF(Table1[CountryCode],Table1[[#This Row],[CountryCode]],Table1[z-score])</f>
        <v>0.50130467154040237</v>
      </c>
      <c r="L8640" t="e">
        <f>VLOOKUP(Table1[[#This Row],[CountryCode]],[1]!Table1[#All],1,FALSE)</f>
        <v>#REF!</v>
      </c>
    </row>
    <row r="8641" spans="1:12" hidden="1" x14ac:dyDescent="0.3">
      <c r="A8641" t="s">
        <v>53</v>
      </c>
      <c r="B8641" t="s">
        <v>54</v>
      </c>
      <c r="C8641" t="s">
        <v>129</v>
      </c>
      <c r="D8641" t="s">
        <v>130</v>
      </c>
      <c r="E8641">
        <v>1992</v>
      </c>
      <c r="F8641" s="1">
        <v>77</v>
      </c>
      <c r="G8641">
        <v>1990</v>
      </c>
      <c r="H8641">
        <f>AVERAGEIFS(Table1[value],Table1[IndicatorCode],Table1[[#This Row],[IndicatorCode]])</f>
        <v>72.66514008620689</v>
      </c>
      <c r="I8641" cm="1">
        <f t="array" ref="I8641">_xlfn.STDEV.P(IF(Table1[IndicatorCode]=Table1[[#This Row],[IndicatorCode]],Table1[value]))</f>
        <v>6.3409496564024987</v>
      </c>
      <c r="J8641">
        <f>(Table1[[#This Row],[value]] - Table1[[#This Row],[mean]]) / Table1[[#This Row],[std_dev]]</f>
        <v>0.68362944806164383</v>
      </c>
      <c r="K8641">
        <f>AVERAGEIF(Table1[CountryCode],Table1[[#This Row],[CountryCode]],Table1[z-score])</f>
        <v>0.50130467154040237</v>
      </c>
      <c r="L8641" t="e">
        <f>VLOOKUP(Table1[[#This Row],[CountryCode]],[1]!Table1[#All],1,FALSE)</f>
        <v>#REF!</v>
      </c>
    </row>
    <row r="8642" spans="1:12" hidden="1" x14ac:dyDescent="0.3">
      <c r="A8642" t="s">
        <v>53</v>
      </c>
      <c r="B8642" t="s">
        <v>54</v>
      </c>
      <c r="C8642" t="s">
        <v>129</v>
      </c>
      <c r="D8642" t="s">
        <v>130</v>
      </c>
      <c r="E8642">
        <v>1993</v>
      </c>
      <c r="F8642" s="1">
        <v>78</v>
      </c>
      <c r="G8642">
        <v>1990</v>
      </c>
      <c r="H8642">
        <f>AVERAGEIFS(Table1[value],Table1[IndicatorCode],Table1[[#This Row],[IndicatorCode]])</f>
        <v>72.66514008620689</v>
      </c>
      <c r="I8642" cm="1">
        <f t="array" ref="I8642">_xlfn.STDEV.P(IF(Table1[IndicatorCode]=Table1[[#This Row],[IndicatorCode]],Table1[value]))</f>
        <v>6.3409496564024987</v>
      </c>
      <c r="J8642">
        <f>(Table1[[#This Row],[value]] - Table1[[#This Row],[mean]]) / Table1[[#This Row],[std_dev]]</f>
        <v>0.84133453234508293</v>
      </c>
      <c r="K8642">
        <f>AVERAGEIF(Table1[CountryCode],Table1[[#This Row],[CountryCode]],Table1[z-score])</f>
        <v>0.50130467154040237</v>
      </c>
      <c r="L8642" t="e">
        <f>VLOOKUP(Table1[[#This Row],[CountryCode]],[1]!Table1[#All],1,FALSE)</f>
        <v>#REF!</v>
      </c>
    </row>
    <row r="8643" spans="1:12" hidden="1" x14ac:dyDescent="0.3">
      <c r="A8643" t="s">
        <v>53</v>
      </c>
      <c r="B8643" t="s">
        <v>54</v>
      </c>
      <c r="C8643" t="s">
        <v>129</v>
      </c>
      <c r="D8643" t="s">
        <v>130</v>
      </c>
      <c r="E8643">
        <v>1994</v>
      </c>
      <c r="F8643" s="1">
        <v>78</v>
      </c>
      <c r="G8643">
        <v>1990</v>
      </c>
      <c r="H8643">
        <f>AVERAGEIFS(Table1[value],Table1[IndicatorCode],Table1[[#This Row],[IndicatorCode]])</f>
        <v>72.66514008620689</v>
      </c>
      <c r="I8643" cm="1">
        <f t="array" ref="I8643">_xlfn.STDEV.P(IF(Table1[IndicatorCode]=Table1[[#This Row],[IndicatorCode]],Table1[value]))</f>
        <v>6.3409496564024987</v>
      </c>
      <c r="J8643">
        <f>(Table1[[#This Row],[value]] - Table1[[#This Row],[mean]]) / Table1[[#This Row],[std_dev]]</f>
        <v>0.84133453234508293</v>
      </c>
      <c r="K8643">
        <f>AVERAGEIF(Table1[CountryCode],Table1[[#This Row],[CountryCode]],Table1[z-score])</f>
        <v>0.50130467154040237</v>
      </c>
      <c r="L8643" t="e">
        <f>VLOOKUP(Table1[[#This Row],[CountryCode]],[1]!Table1[#All],1,FALSE)</f>
        <v>#REF!</v>
      </c>
    </row>
    <row r="8644" spans="1:12" hidden="1" x14ac:dyDescent="0.3">
      <c r="A8644" t="s">
        <v>53</v>
      </c>
      <c r="B8644" t="s">
        <v>54</v>
      </c>
      <c r="C8644" t="s">
        <v>129</v>
      </c>
      <c r="D8644" t="s">
        <v>130</v>
      </c>
      <c r="E8644">
        <v>1995</v>
      </c>
      <c r="F8644" s="1">
        <v>78</v>
      </c>
      <c r="G8644">
        <v>1990</v>
      </c>
      <c r="H8644">
        <f>AVERAGEIFS(Table1[value],Table1[IndicatorCode],Table1[[#This Row],[IndicatorCode]])</f>
        <v>72.66514008620689</v>
      </c>
      <c r="I8644" cm="1">
        <f t="array" ref="I8644">_xlfn.STDEV.P(IF(Table1[IndicatorCode]=Table1[[#This Row],[IndicatorCode]],Table1[value]))</f>
        <v>6.3409496564024987</v>
      </c>
      <c r="J8644">
        <f>(Table1[[#This Row],[value]] - Table1[[#This Row],[mean]]) / Table1[[#This Row],[std_dev]]</f>
        <v>0.84133453234508293</v>
      </c>
      <c r="K8644">
        <f>AVERAGEIF(Table1[CountryCode],Table1[[#This Row],[CountryCode]],Table1[z-score])</f>
        <v>0.50130467154040237</v>
      </c>
      <c r="L8644" t="e">
        <f>VLOOKUP(Table1[[#This Row],[CountryCode]],[1]!Table1[#All],1,FALSE)</f>
        <v>#REF!</v>
      </c>
    </row>
    <row r="8645" spans="1:12" hidden="1" x14ac:dyDescent="0.3">
      <c r="A8645" t="s">
        <v>53</v>
      </c>
      <c r="B8645" t="s">
        <v>54</v>
      </c>
      <c r="C8645" t="s">
        <v>129</v>
      </c>
      <c r="D8645" t="s">
        <v>130</v>
      </c>
      <c r="E8645">
        <v>1996</v>
      </c>
      <c r="F8645" s="1">
        <v>79</v>
      </c>
      <c r="G8645">
        <v>1990</v>
      </c>
      <c r="H8645">
        <f>AVERAGEIFS(Table1[value],Table1[IndicatorCode],Table1[[#This Row],[IndicatorCode]])</f>
        <v>72.66514008620689</v>
      </c>
      <c r="I8645" cm="1">
        <f t="array" ref="I8645">_xlfn.STDEV.P(IF(Table1[IndicatorCode]=Table1[[#This Row],[IndicatorCode]],Table1[value]))</f>
        <v>6.3409496564024987</v>
      </c>
      <c r="J8645">
        <f>(Table1[[#This Row],[value]] - Table1[[#This Row],[mean]]) / Table1[[#This Row],[std_dev]]</f>
        <v>0.99903961662852192</v>
      </c>
      <c r="K8645">
        <f>AVERAGEIF(Table1[CountryCode],Table1[[#This Row],[CountryCode]],Table1[z-score])</f>
        <v>0.50130467154040237</v>
      </c>
      <c r="L8645" t="e">
        <f>VLOOKUP(Table1[[#This Row],[CountryCode]],[1]!Table1[#All],1,FALSE)</f>
        <v>#REF!</v>
      </c>
    </row>
    <row r="8646" spans="1:12" hidden="1" x14ac:dyDescent="0.3">
      <c r="A8646" t="s">
        <v>53</v>
      </c>
      <c r="B8646" t="s">
        <v>54</v>
      </c>
      <c r="C8646" t="s">
        <v>129</v>
      </c>
      <c r="D8646" t="s">
        <v>130</v>
      </c>
      <c r="E8646">
        <v>1997</v>
      </c>
      <c r="F8646" s="1">
        <v>79</v>
      </c>
      <c r="G8646">
        <v>2000</v>
      </c>
      <c r="H8646">
        <f>AVERAGEIFS(Table1[value],Table1[IndicatorCode],Table1[[#This Row],[IndicatorCode]])</f>
        <v>72.66514008620689</v>
      </c>
      <c r="I8646" cm="1">
        <f t="array" ref="I8646">_xlfn.STDEV.P(IF(Table1[IndicatorCode]=Table1[[#This Row],[IndicatorCode]],Table1[value]))</f>
        <v>6.3409496564024987</v>
      </c>
      <c r="J8646">
        <f>(Table1[[#This Row],[value]] - Table1[[#This Row],[mean]]) / Table1[[#This Row],[std_dev]]</f>
        <v>0.99903961662852192</v>
      </c>
      <c r="K8646">
        <f>AVERAGEIF(Table1[CountryCode],Table1[[#This Row],[CountryCode]],Table1[z-score])</f>
        <v>0.50130467154040237</v>
      </c>
      <c r="L8646" t="e">
        <f>VLOOKUP(Table1[[#This Row],[CountryCode]],[1]!Table1[#All],1,FALSE)</f>
        <v>#REF!</v>
      </c>
    </row>
    <row r="8647" spans="1:12" hidden="1" x14ac:dyDescent="0.3">
      <c r="A8647" t="s">
        <v>53</v>
      </c>
      <c r="B8647" t="s">
        <v>54</v>
      </c>
      <c r="C8647" t="s">
        <v>129</v>
      </c>
      <c r="D8647" t="s">
        <v>130</v>
      </c>
      <c r="E8647">
        <v>1998</v>
      </c>
      <c r="F8647" s="1">
        <v>79</v>
      </c>
      <c r="G8647">
        <v>2000</v>
      </c>
      <c r="H8647">
        <f>AVERAGEIFS(Table1[value],Table1[IndicatorCode],Table1[[#This Row],[IndicatorCode]])</f>
        <v>72.66514008620689</v>
      </c>
      <c r="I8647" cm="1">
        <f t="array" ref="I8647">_xlfn.STDEV.P(IF(Table1[IndicatorCode]=Table1[[#This Row],[IndicatorCode]],Table1[value]))</f>
        <v>6.3409496564024987</v>
      </c>
      <c r="J8647">
        <f>(Table1[[#This Row],[value]] - Table1[[#This Row],[mean]]) / Table1[[#This Row],[std_dev]]</f>
        <v>0.99903961662852192</v>
      </c>
      <c r="K8647">
        <f>AVERAGEIF(Table1[CountryCode],Table1[[#This Row],[CountryCode]],Table1[z-score])</f>
        <v>0.50130467154040237</v>
      </c>
      <c r="L8647" t="e">
        <f>VLOOKUP(Table1[[#This Row],[CountryCode]],[1]!Table1[#All],1,FALSE)</f>
        <v>#REF!</v>
      </c>
    </row>
    <row r="8648" spans="1:12" hidden="1" x14ac:dyDescent="0.3">
      <c r="A8648" t="s">
        <v>53</v>
      </c>
      <c r="B8648" t="s">
        <v>54</v>
      </c>
      <c r="C8648" t="s">
        <v>129</v>
      </c>
      <c r="D8648" t="s">
        <v>130</v>
      </c>
      <c r="E8648">
        <v>1999</v>
      </c>
      <c r="F8648" s="1">
        <v>80</v>
      </c>
      <c r="G8648">
        <v>2000</v>
      </c>
      <c r="H8648">
        <f>AVERAGEIFS(Table1[value],Table1[IndicatorCode],Table1[[#This Row],[IndicatorCode]])</f>
        <v>72.66514008620689</v>
      </c>
      <c r="I8648" cm="1">
        <f t="array" ref="I8648">_xlfn.STDEV.P(IF(Table1[IndicatorCode]=Table1[[#This Row],[IndicatorCode]],Table1[value]))</f>
        <v>6.3409496564024987</v>
      </c>
      <c r="J8648">
        <f>(Table1[[#This Row],[value]] - Table1[[#This Row],[mean]]) / Table1[[#This Row],[std_dev]]</f>
        <v>1.1567447009119609</v>
      </c>
      <c r="K8648">
        <f>AVERAGEIF(Table1[CountryCode],Table1[[#This Row],[CountryCode]],Table1[z-score])</f>
        <v>0.50130467154040237</v>
      </c>
      <c r="L8648" t="e">
        <f>VLOOKUP(Table1[[#This Row],[CountryCode]],[1]!Table1[#All],1,FALSE)</f>
        <v>#REF!</v>
      </c>
    </row>
    <row r="8649" spans="1:12" hidden="1" x14ac:dyDescent="0.3">
      <c r="A8649" t="s">
        <v>53</v>
      </c>
      <c r="B8649" t="s">
        <v>54</v>
      </c>
      <c r="C8649" t="s">
        <v>129</v>
      </c>
      <c r="D8649" t="s">
        <v>130</v>
      </c>
      <c r="E8649">
        <v>2000</v>
      </c>
      <c r="F8649" s="1">
        <v>80</v>
      </c>
      <c r="G8649">
        <v>2000</v>
      </c>
      <c r="H8649">
        <f>AVERAGEIFS(Table1[value],Table1[IndicatorCode],Table1[[#This Row],[IndicatorCode]])</f>
        <v>72.66514008620689</v>
      </c>
      <c r="I8649" cm="1">
        <f t="array" ref="I8649">_xlfn.STDEV.P(IF(Table1[IndicatorCode]=Table1[[#This Row],[IndicatorCode]],Table1[value]))</f>
        <v>6.3409496564024987</v>
      </c>
      <c r="J8649">
        <f>(Table1[[#This Row],[value]] - Table1[[#This Row],[mean]]) / Table1[[#This Row],[std_dev]]</f>
        <v>1.1567447009119609</v>
      </c>
      <c r="K8649">
        <f>AVERAGEIF(Table1[CountryCode],Table1[[#This Row],[CountryCode]],Table1[z-score])</f>
        <v>0.50130467154040237</v>
      </c>
      <c r="L8649" t="e">
        <f>VLOOKUP(Table1[[#This Row],[CountryCode]],[1]!Table1[#All],1,FALSE)</f>
        <v>#REF!</v>
      </c>
    </row>
    <row r="8650" spans="1:12" hidden="1" x14ac:dyDescent="0.3">
      <c r="A8650" t="s">
        <v>53</v>
      </c>
      <c r="B8650" t="s">
        <v>54</v>
      </c>
      <c r="C8650" t="s">
        <v>129</v>
      </c>
      <c r="D8650" t="s">
        <v>130</v>
      </c>
      <c r="E8650">
        <v>2001</v>
      </c>
      <c r="F8650" s="1">
        <v>80</v>
      </c>
      <c r="G8650">
        <v>2000</v>
      </c>
      <c r="H8650">
        <f>AVERAGEIFS(Table1[value],Table1[IndicatorCode],Table1[[#This Row],[IndicatorCode]])</f>
        <v>72.66514008620689</v>
      </c>
      <c r="I8650" cm="1">
        <f t="array" ref="I8650">_xlfn.STDEV.P(IF(Table1[IndicatorCode]=Table1[[#This Row],[IndicatorCode]],Table1[value]))</f>
        <v>6.3409496564024987</v>
      </c>
      <c r="J8650">
        <f>(Table1[[#This Row],[value]] - Table1[[#This Row],[mean]]) / Table1[[#This Row],[std_dev]]</f>
        <v>1.1567447009119609</v>
      </c>
      <c r="K8650">
        <f>AVERAGEIF(Table1[CountryCode],Table1[[#This Row],[CountryCode]],Table1[z-score])</f>
        <v>0.50130467154040237</v>
      </c>
      <c r="L8650" t="e">
        <f>VLOOKUP(Table1[[#This Row],[CountryCode]],[1]!Table1[#All],1,FALSE)</f>
        <v>#REF!</v>
      </c>
    </row>
    <row r="8651" spans="1:12" hidden="1" x14ac:dyDescent="0.3">
      <c r="A8651" t="s">
        <v>53</v>
      </c>
      <c r="B8651" t="s">
        <v>54</v>
      </c>
      <c r="C8651" t="s">
        <v>129</v>
      </c>
      <c r="D8651" t="s">
        <v>130</v>
      </c>
      <c r="E8651">
        <v>2002</v>
      </c>
      <c r="F8651" s="1">
        <v>81</v>
      </c>
      <c r="G8651">
        <v>2000</v>
      </c>
      <c r="H8651">
        <f>AVERAGEIFS(Table1[value],Table1[IndicatorCode],Table1[[#This Row],[IndicatorCode]])</f>
        <v>72.66514008620689</v>
      </c>
      <c r="I8651" cm="1">
        <f t="array" ref="I8651">_xlfn.STDEV.P(IF(Table1[IndicatorCode]=Table1[[#This Row],[IndicatorCode]],Table1[value]))</f>
        <v>6.3409496564024987</v>
      </c>
      <c r="J8651">
        <f>(Table1[[#This Row],[value]] - Table1[[#This Row],[mean]]) / Table1[[#This Row],[std_dev]]</f>
        <v>1.3144497851954</v>
      </c>
      <c r="K8651">
        <f>AVERAGEIF(Table1[CountryCode],Table1[[#This Row],[CountryCode]],Table1[z-score])</f>
        <v>0.50130467154040237</v>
      </c>
      <c r="L8651" t="e">
        <f>VLOOKUP(Table1[[#This Row],[CountryCode]],[1]!Table1[#All],1,FALSE)</f>
        <v>#REF!</v>
      </c>
    </row>
    <row r="8652" spans="1:12" hidden="1" x14ac:dyDescent="0.3">
      <c r="A8652" t="s">
        <v>53</v>
      </c>
      <c r="B8652" t="s">
        <v>54</v>
      </c>
      <c r="C8652" t="s">
        <v>129</v>
      </c>
      <c r="D8652" t="s">
        <v>130</v>
      </c>
      <c r="E8652">
        <v>2003</v>
      </c>
      <c r="F8652" s="1">
        <v>81</v>
      </c>
      <c r="G8652">
        <v>2000</v>
      </c>
      <c r="H8652">
        <f>AVERAGEIFS(Table1[value],Table1[IndicatorCode],Table1[[#This Row],[IndicatorCode]])</f>
        <v>72.66514008620689</v>
      </c>
      <c r="I8652" cm="1">
        <f t="array" ref="I8652">_xlfn.STDEV.P(IF(Table1[IndicatorCode]=Table1[[#This Row],[IndicatorCode]],Table1[value]))</f>
        <v>6.3409496564024987</v>
      </c>
      <c r="J8652">
        <f>(Table1[[#This Row],[value]] - Table1[[#This Row],[mean]]) / Table1[[#This Row],[std_dev]]</f>
        <v>1.3144497851954</v>
      </c>
      <c r="K8652">
        <f>AVERAGEIF(Table1[CountryCode],Table1[[#This Row],[CountryCode]],Table1[z-score])</f>
        <v>0.50130467154040237</v>
      </c>
      <c r="L8652" t="e">
        <f>VLOOKUP(Table1[[#This Row],[CountryCode]],[1]!Table1[#All],1,FALSE)</f>
        <v>#REF!</v>
      </c>
    </row>
    <row r="8653" spans="1:12" hidden="1" x14ac:dyDescent="0.3">
      <c r="A8653" t="s">
        <v>53</v>
      </c>
      <c r="B8653" t="s">
        <v>54</v>
      </c>
      <c r="C8653" t="s">
        <v>129</v>
      </c>
      <c r="D8653" t="s">
        <v>130</v>
      </c>
      <c r="E8653">
        <v>2004</v>
      </c>
      <c r="F8653" s="1">
        <v>81</v>
      </c>
      <c r="G8653">
        <v>2000</v>
      </c>
      <c r="H8653">
        <f>AVERAGEIFS(Table1[value],Table1[IndicatorCode],Table1[[#This Row],[IndicatorCode]])</f>
        <v>72.66514008620689</v>
      </c>
      <c r="I8653" cm="1">
        <f t="array" ref="I8653">_xlfn.STDEV.P(IF(Table1[IndicatorCode]=Table1[[#This Row],[IndicatorCode]],Table1[value]))</f>
        <v>6.3409496564024987</v>
      </c>
      <c r="J8653">
        <f>(Table1[[#This Row],[value]] - Table1[[#This Row],[mean]]) / Table1[[#This Row],[std_dev]]</f>
        <v>1.3144497851954</v>
      </c>
      <c r="K8653">
        <f>AVERAGEIF(Table1[CountryCode],Table1[[#This Row],[CountryCode]],Table1[z-score])</f>
        <v>0.50130467154040237</v>
      </c>
      <c r="L8653" t="e">
        <f>VLOOKUP(Table1[[#This Row],[CountryCode]],[1]!Table1[#All],1,FALSE)</f>
        <v>#REF!</v>
      </c>
    </row>
    <row r="8654" spans="1:12" hidden="1" x14ac:dyDescent="0.3">
      <c r="A8654" t="s">
        <v>53</v>
      </c>
      <c r="B8654" t="s">
        <v>54</v>
      </c>
      <c r="C8654" t="s">
        <v>129</v>
      </c>
      <c r="D8654" t="s">
        <v>130</v>
      </c>
      <c r="E8654">
        <v>2005</v>
      </c>
      <c r="F8654" s="1">
        <v>81</v>
      </c>
      <c r="G8654">
        <v>2000</v>
      </c>
      <c r="H8654">
        <f>AVERAGEIFS(Table1[value],Table1[IndicatorCode],Table1[[#This Row],[IndicatorCode]])</f>
        <v>72.66514008620689</v>
      </c>
      <c r="I8654" cm="1">
        <f t="array" ref="I8654">_xlfn.STDEV.P(IF(Table1[IndicatorCode]=Table1[[#This Row],[IndicatorCode]],Table1[value]))</f>
        <v>6.3409496564024987</v>
      </c>
      <c r="J8654">
        <f>(Table1[[#This Row],[value]] - Table1[[#This Row],[mean]]) / Table1[[#This Row],[std_dev]]</f>
        <v>1.3144497851954</v>
      </c>
      <c r="K8654">
        <f>AVERAGEIF(Table1[CountryCode],Table1[[#This Row],[CountryCode]],Table1[z-score])</f>
        <v>0.50130467154040237</v>
      </c>
      <c r="L8654" t="e">
        <f>VLOOKUP(Table1[[#This Row],[CountryCode]],[1]!Table1[#All],1,FALSE)</f>
        <v>#REF!</v>
      </c>
    </row>
    <row r="8655" spans="1:12" hidden="1" x14ac:dyDescent="0.3">
      <c r="A8655" t="s">
        <v>53</v>
      </c>
      <c r="B8655" t="s">
        <v>54</v>
      </c>
      <c r="C8655" t="s">
        <v>129</v>
      </c>
      <c r="D8655" t="s">
        <v>130</v>
      </c>
      <c r="E8655">
        <v>2006</v>
      </c>
      <c r="F8655" s="1">
        <v>81</v>
      </c>
      <c r="G8655">
        <v>2000</v>
      </c>
      <c r="H8655">
        <f>AVERAGEIFS(Table1[value],Table1[IndicatorCode],Table1[[#This Row],[IndicatorCode]])</f>
        <v>72.66514008620689</v>
      </c>
      <c r="I8655" cm="1">
        <f t="array" ref="I8655">_xlfn.STDEV.P(IF(Table1[IndicatorCode]=Table1[[#This Row],[IndicatorCode]],Table1[value]))</f>
        <v>6.3409496564024987</v>
      </c>
      <c r="J8655">
        <f>(Table1[[#This Row],[value]] - Table1[[#This Row],[mean]]) / Table1[[#This Row],[std_dev]]</f>
        <v>1.3144497851954</v>
      </c>
      <c r="K8655">
        <f>AVERAGEIF(Table1[CountryCode],Table1[[#This Row],[CountryCode]],Table1[z-score])</f>
        <v>0.50130467154040237</v>
      </c>
      <c r="L8655" t="e">
        <f>VLOOKUP(Table1[[#This Row],[CountryCode]],[1]!Table1[#All],1,FALSE)</f>
        <v>#REF!</v>
      </c>
    </row>
    <row r="8656" spans="1:12" hidden="1" x14ac:dyDescent="0.3">
      <c r="A8656" t="s">
        <v>53</v>
      </c>
      <c r="B8656" t="s">
        <v>54</v>
      </c>
      <c r="C8656" t="s">
        <v>129</v>
      </c>
      <c r="D8656" t="s">
        <v>130</v>
      </c>
      <c r="E8656">
        <v>2007</v>
      </c>
      <c r="F8656" s="1">
        <v>81</v>
      </c>
      <c r="G8656">
        <v>2010</v>
      </c>
      <c r="H8656">
        <f>AVERAGEIFS(Table1[value],Table1[IndicatorCode],Table1[[#This Row],[IndicatorCode]])</f>
        <v>72.66514008620689</v>
      </c>
      <c r="I8656" cm="1">
        <f t="array" ref="I8656">_xlfn.STDEV.P(IF(Table1[IndicatorCode]=Table1[[#This Row],[IndicatorCode]],Table1[value]))</f>
        <v>6.3409496564024987</v>
      </c>
      <c r="J8656">
        <f>(Table1[[#This Row],[value]] - Table1[[#This Row],[mean]]) / Table1[[#This Row],[std_dev]]</f>
        <v>1.3144497851954</v>
      </c>
      <c r="K8656">
        <f>AVERAGEIF(Table1[CountryCode],Table1[[#This Row],[CountryCode]],Table1[z-score])</f>
        <v>0.50130467154040237</v>
      </c>
      <c r="L8656" t="e">
        <f>VLOOKUP(Table1[[#This Row],[CountryCode]],[1]!Table1[#All],1,FALSE)</f>
        <v>#REF!</v>
      </c>
    </row>
    <row r="8657" spans="1:12" hidden="1" x14ac:dyDescent="0.3">
      <c r="A8657" t="s">
        <v>53</v>
      </c>
      <c r="B8657" t="s">
        <v>54</v>
      </c>
      <c r="C8657" t="s">
        <v>129</v>
      </c>
      <c r="D8657" t="s">
        <v>130</v>
      </c>
      <c r="E8657">
        <v>2008</v>
      </c>
      <c r="F8657" s="1">
        <v>82</v>
      </c>
      <c r="G8657">
        <v>2010</v>
      </c>
      <c r="H8657">
        <f>AVERAGEIFS(Table1[value],Table1[IndicatorCode],Table1[[#This Row],[IndicatorCode]])</f>
        <v>72.66514008620689</v>
      </c>
      <c r="I8657" cm="1">
        <f t="array" ref="I8657">_xlfn.STDEV.P(IF(Table1[IndicatorCode]=Table1[[#This Row],[IndicatorCode]],Table1[value]))</f>
        <v>6.3409496564024987</v>
      </c>
      <c r="J8657">
        <f>(Table1[[#This Row],[value]] - Table1[[#This Row],[mean]]) / Table1[[#This Row],[std_dev]]</f>
        <v>1.4721548694788391</v>
      </c>
      <c r="K8657">
        <f>AVERAGEIF(Table1[CountryCode],Table1[[#This Row],[CountryCode]],Table1[z-score])</f>
        <v>0.50130467154040237</v>
      </c>
      <c r="L8657" t="e">
        <f>VLOOKUP(Table1[[#This Row],[CountryCode]],[1]!Table1[#All],1,FALSE)</f>
        <v>#REF!</v>
      </c>
    </row>
    <row r="8658" spans="1:12" hidden="1" x14ac:dyDescent="0.3">
      <c r="A8658" t="s">
        <v>53</v>
      </c>
      <c r="B8658" t="s">
        <v>54</v>
      </c>
      <c r="C8658" t="s">
        <v>129</v>
      </c>
      <c r="D8658" t="s">
        <v>130</v>
      </c>
      <c r="E8658">
        <v>2009</v>
      </c>
      <c r="F8658" s="1">
        <v>82</v>
      </c>
      <c r="G8658">
        <v>2010</v>
      </c>
      <c r="H8658">
        <f>AVERAGEIFS(Table1[value],Table1[IndicatorCode],Table1[[#This Row],[IndicatorCode]])</f>
        <v>72.66514008620689</v>
      </c>
      <c r="I8658" cm="1">
        <f t="array" ref="I8658">_xlfn.STDEV.P(IF(Table1[IndicatorCode]=Table1[[#This Row],[IndicatorCode]],Table1[value]))</f>
        <v>6.3409496564024987</v>
      </c>
      <c r="J8658">
        <f>(Table1[[#This Row],[value]] - Table1[[#This Row],[mean]]) / Table1[[#This Row],[std_dev]]</f>
        <v>1.4721548694788391</v>
      </c>
      <c r="K8658">
        <f>AVERAGEIF(Table1[CountryCode],Table1[[#This Row],[CountryCode]],Table1[z-score])</f>
        <v>0.50130467154040237</v>
      </c>
      <c r="L8658" t="e">
        <f>VLOOKUP(Table1[[#This Row],[CountryCode]],[1]!Table1[#All],1,FALSE)</f>
        <v>#REF!</v>
      </c>
    </row>
    <row r="8659" spans="1:12" hidden="1" x14ac:dyDescent="0.3">
      <c r="A8659" t="s">
        <v>53</v>
      </c>
      <c r="B8659" t="s">
        <v>54</v>
      </c>
      <c r="C8659" t="s">
        <v>129</v>
      </c>
      <c r="D8659" t="s">
        <v>130</v>
      </c>
      <c r="E8659">
        <v>2010</v>
      </c>
      <c r="F8659" s="1">
        <v>82</v>
      </c>
      <c r="G8659">
        <v>2010</v>
      </c>
      <c r="H8659">
        <f>AVERAGEIFS(Table1[value],Table1[IndicatorCode],Table1[[#This Row],[IndicatorCode]])</f>
        <v>72.66514008620689</v>
      </c>
      <c r="I8659" cm="1">
        <f t="array" ref="I8659">_xlfn.STDEV.P(IF(Table1[IndicatorCode]=Table1[[#This Row],[IndicatorCode]],Table1[value]))</f>
        <v>6.3409496564024987</v>
      </c>
      <c r="J8659">
        <f>(Table1[[#This Row],[value]] - Table1[[#This Row],[mean]]) / Table1[[#This Row],[std_dev]]</f>
        <v>1.4721548694788391</v>
      </c>
      <c r="K8659">
        <f>AVERAGEIF(Table1[CountryCode],Table1[[#This Row],[CountryCode]],Table1[z-score])</f>
        <v>0.50130467154040237</v>
      </c>
      <c r="L8659" t="e">
        <f>VLOOKUP(Table1[[#This Row],[CountryCode]],[1]!Table1[#All],1,FALSE)</f>
        <v>#REF!</v>
      </c>
    </row>
    <row r="8660" spans="1:12" hidden="1" x14ac:dyDescent="0.3">
      <c r="A8660" t="s">
        <v>53</v>
      </c>
      <c r="B8660" t="s">
        <v>54</v>
      </c>
      <c r="C8660" t="s">
        <v>129</v>
      </c>
      <c r="D8660" t="s">
        <v>130</v>
      </c>
      <c r="E8660">
        <v>2011</v>
      </c>
      <c r="F8660" s="1">
        <v>82</v>
      </c>
      <c r="G8660">
        <v>2010</v>
      </c>
      <c r="H8660">
        <f>AVERAGEIFS(Table1[value],Table1[IndicatorCode],Table1[[#This Row],[IndicatorCode]])</f>
        <v>72.66514008620689</v>
      </c>
      <c r="I8660" cm="1">
        <f t="array" ref="I8660">_xlfn.STDEV.P(IF(Table1[IndicatorCode]=Table1[[#This Row],[IndicatorCode]],Table1[value]))</f>
        <v>6.3409496564024987</v>
      </c>
      <c r="J8660">
        <f>(Table1[[#This Row],[value]] - Table1[[#This Row],[mean]]) / Table1[[#This Row],[std_dev]]</f>
        <v>1.4721548694788391</v>
      </c>
      <c r="K8660">
        <f>AVERAGEIF(Table1[CountryCode],Table1[[#This Row],[CountryCode]],Table1[z-score])</f>
        <v>0.50130467154040237</v>
      </c>
      <c r="L8660" t="e">
        <f>VLOOKUP(Table1[[#This Row],[CountryCode]],[1]!Table1[#All],1,FALSE)</f>
        <v>#REF!</v>
      </c>
    </row>
    <row r="8661" spans="1:12" hidden="1" x14ac:dyDescent="0.3">
      <c r="A8661" t="s">
        <v>53</v>
      </c>
      <c r="B8661" t="s">
        <v>54</v>
      </c>
      <c r="C8661" t="s">
        <v>129</v>
      </c>
      <c r="D8661" t="s">
        <v>130</v>
      </c>
      <c r="E8661">
        <v>2012</v>
      </c>
      <c r="F8661" s="1">
        <v>83</v>
      </c>
      <c r="G8661">
        <v>2010</v>
      </c>
      <c r="H8661">
        <f>AVERAGEIFS(Table1[value],Table1[IndicatorCode],Table1[[#This Row],[IndicatorCode]])</f>
        <v>72.66514008620689</v>
      </c>
      <c r="I8661" cm="1">
        <f t="array" ref="I8661">_xlfn.STDEV.P(IF(Table1[IndicatorCode]=Table1[[#This Row],[IndicatorCode]],Table1[value]))</f>
        <v>6.3409496564024987</v>
      </c>
      <c r="J8661">
        <f>(Table1[[#This Row],[value]] - Table1[[#This Row],[mean]]) / Table1[[#This Row],[std_dev]]</f>
        <v>1.6298599537622782</v>
      </c>
      <c r="K8661">
        <f>AVERAGEIF(Table1[CountryCode],Table1[[#This Row],[CountryCode]],Table1[z-score])</f>
        <v>0.50130467154040237</v>
      </c>
      <c r="L8661" t="e">
        <f>VLOOKUP(Table1[[#This Row],[CountryCode]],[1]!Table1[#All],1,FALSE)</f>
        <v>#REF!</v>
      </c>
    </row>
    <row r="8662" spans="1:12" hidden="1" x14ac:dyDescent="0.3">
      <c r="A8662" t="s">
        <v>53</v>
      </c>
      <c r="B8662" t="s">
        <v>54</v>
      </c>
      <c r="C8662" t="s">
        <v>129</v>
      </c>
      <c r="D8662" t="s">
        <v>130</v>
      </c>
      <c r="E8662">
        <v>2013</v>
      </c>
      <c r="F8662" s="1">
        <v>83</v>
      </c>
      <c r="G8662">
        <v>2010</v>
      </c>
      <c r="H8662">
        <f>AVERAGEIFS(Table1[value],Table1[IndicatorCode],Table1[[#This Row],[IndicatorCode]])</f>
        <v>72.66514008620689</v>
      </c>
      <c r="I8662" cm="1">
        <f t="array" ref="I8662">_xlfn.STDEV.P(IF(Table1[IndicatorCode]=Table1[[#This Row],[IndicatorCode]],Table1[value]))</f>
        <v>6.3409496564024987</v>
      </c>
      <c r="J8662">
        <f>(Table1[[#This Row],[value]] - Table1[[#This Row],[mean]]) / Table1[[#This Row],[std_dev]]</f>
        <v>1.6298599537622782</v>
      </c>
      <c r="K8662">
        <f>AVERAGEIF(Table1[CountryCode],Table1[[#This Row],[CountryCode]],Table1[z-score])</f>
        <v>0.50130467154040237</v>
      </c>
      <c r="L8662" t="e">
        <f>VLOOKUP(Table1[[#This Row],[CountryCode]],[1]!Table1[#All],1,FALSE)</f>
        <v>#REF!</v>
      </c>
    </row>
    <row r="8663" spans="1:12" hidden="1" x14ac:dyDescent="0.3">
      <c r="A8663" t="s">
        <v>53</v>
      </c>
      <c r="B8663" t="s">
        <v>54</v>
      </c>
      <c r="C8663" t="s">
        <v>129</v>
      </c>
      <c r="D8663" t="s">
        <v>130</v>
      </c>
      <c r="E8663">
        <v>2014</v>
      </c>
      <c r="F8663" s="1">
        <v>83</v>
      </c>
      <c r="G8663">
        <v>2010</v>
      </c>
      <c r="H8663">
        <f>AVERAGEIFS(Table1[value],Table1[IndicatorCode],Table1[[#This Row],[IndicatorCode]])</f>
        <v>72.66514008620689</v>
      </c>
      <c r="I8663" cm="1">
        <f t="array" ref="I8663">_xlfn.STDEV.P(IF(Table1[IndicatorCode]=Table1[[#This Row],[IndicatorCode]],Table1[value]))</f>
        <v>6.3409496564024987</v>
      </c>
      <c r="J8663">
        <f>(Table1[[#This Row],[value]] - Table1[[#This Row],[mean]]) / Table1[[#This Row],[std_dev]]</f>
        <v>1.6298599537622782</v>
      </c>
      <c r="K8663">
        <f>AVERAGEIF(Table1[CountryCode],Table1[[#This Row],[CountryCode]],Table1[z-score])</f>
        <v>0.50130467154040237</v>
      </c>
      <c r="L8663" t="e">
        <f>VLOOKUP(Table1[[#This Row],[CountryCode]],[1]!Table1[#All],1,FALSE)</f>
        <v>#REF!</v>
      </c>
    </row>
    <row r="8664" spans="1:12" hidden="1" x14ac:dyDescent="0.3">
      <c r="A8664" t="s">
        <v>53</v>
      </c>
      <c r="B8664" t="s">
        <v>54</v>
      </c>
      <c r="C8664" t="s">
        <v>129</v>
      </c>
      <c r="D8664" t="s">
        <v>130</v>
      </c>
      <c r="E8664">
        <v>2015</v>
      </c>
      <c r="F8664" s="1">
        <v>83</v>
      </c>
      <c r="G8664">
        <v>2010</v>
      </c>
      <c r="H8664">
        <f>AVERAGEIFS(Table1[value],Table1[IndicatorCode],Table1[[#This Row],[IndicatorCode]])</f>
        <v>72.66514008620689</v>
      </c>
      <c r="I8664" cm="1">
        <f t="array" ref="I8664">_xlfn.STDEV.P(IF(Table1[IndicatorCode]=Table1[[#This Row],[IndicatorCode]],Table1[value]))</f>
        <v>6.3409496564024987</v>
      </c>
      <c r="J8664">
        <f>(Table1[[#This Row],[value]] - Table1[[#This Row],[mean]]) / Table1[[#This Row],[std_dev]]</f>
        <v>1.6298599537622782</v>
      </c>
      <c r="K8664">
        <f>AVERAGEIF(Table1[CountryCode],Table1[[#This Row],[CountryCode]],Table1[z-score])</f>
        <v>0.50130467154040237</v>
      </c>
      <c r="L8664" t="e">
        <f>VLOOKUP(Table1[[#This Row],[CountryCode]],[1]!Table1[#All],1,FALSE)</f>
        <v>#REF!</v>
      </c>
    </row>
    <row r="8665" spans="1:12" hidden="1" x14ac:dyDescent="0.3">
      <c r="A8665" t="s">
        <v>53</v>
      </c>
      <c r="B8665" t="s">
        <v>54</v>
      </c>
      <c r="C8665" t="s">
        <v>129</v>
      </c>
      <c r="D8665" t="s">
        <v>130</v>
      </c>
      <c r="E8665">
        <v>2016</v>
      </c>
      <c r="F8665" s="1">
        <v>83</v>
      </c>
      <c r="G8665">
        <v>2010</v>
      </c>
      <c r="H8665">
        <f>AVERAGEIFS(Table1[value],Table1[IndicatorCode],Table1[[#This Row],[IndicatorCode]])</f>
        <v>72.66514008620689</v>
      </c>
      <c r="I8665" cm="1">
        <f t="array" ref="I8665">_xlfn.STDEV.P(IF(Table1[IndicatorCode]=Table1[[#This Row],[IndicatorCode]],Table1[value]))</f>
        <v>6.3409496564024987</v>
      </c>
      <c r="J8665">
        <f>(Table1[[#This Row],[value]] - Table1[[#This Row],[mean]]) / Table1[[#This Row],[std_dev]]</f>
        <v>1.6298599537622782</v>
      </c>
      <c r="K8665">
        <f>AVERAGEIF(Table1[CountryCode],Table1[[#This Row],[CountryCode]],Table1[z-score])</f>
        <v>0.50130467154040237</v>
      </c>
      <c r="L8665" t="e">
        <f>VLOOKUP(Table1[[#This Row],[CountryCode]],[1]!Table1[#All],1,FALSE)</f>
        <v>#REF!</v>
      </c>
    </row>
    <row r="8666" spans="1:12" hidden="1" x14ac:dyDescent="0.3">
      <c r="A8666" t="s">
        <v>53</v>
      </c>
      <c r="B8666" t="s">
        <v>54</v>
      </c>
      <c r="C8666" t="s">
        <v>129</v>
      </c>
      <c r="D8666" t="s">
        <v>130</v>
      </c>
      <c r="E8666">
        <v>2017</v>
      </c>
      <c r="F8666" s="1">
        <v>83</v>
      </c>
      <c r="G8666">
        <v>2020</v>
      </c>
      <c r="H8666">
        <f>AVERAGEIFS(Table1[value],Table1[IndicatorCode],Table1[[#This Row],[IndicatorCode]])</f>
        <v>72.66514008620689</v>
      </c>
      <c r="I8666" cm="1">
        <f t="array" ref="I8666">_xlfn.STDEV.P(IF(Table1[IndicatorCode]=Table1[[#This Row],[IndicatorCode]],Table1[value]))</f>
        <v>6.3409496564024987</v>
      </c>
      <c r="J8666">
        <f>(Table1[[#This Row],[value]] - Table1[[#This Row],[mean]]) / Table1[[#This Row],[std_dev]]</f>
        <v>1.6298599537622782</v>
      </c>
      <c r="K8666">
        <f>AVERAGEIF(Table1[CountryCode],Table1[[#This Row],[CountryCode]],Table1[z-score])</f>
        <v>0.50130467154040237</v>
      </c>
      <c r="L8666" t="e">
        <f>VLOOKUP(Table1[[#This Row],[CountryCode]],[1]!Table1[#All],1,FALSE)</f>
        <v>#REF!</v>
      </c>
    </row>
    <row r="8667" spans="1:12" hidden="1" x14ac:dyDescent="0.3">
      <c r="A8667" t="s">
        <v>53</v>
      </c>
      <c r="B8667" t="s">
        <v>54</v>
      </c>
      <c r="C8667" t="s">
        <v>129</v>
      </c>
      <c r="D8667" t="s">
        <v>130</v>
      </c>
      <c r="E8667">
        <v>2018</v>
      </c>
      <c r="F8667" s="1">
        <v>83</v>
      </c>
      <c r="G8667">
        <v>2020</v>
      </c>
      <c r="H8667">
        <f>AVERAGEIFS(Table1[value],Table1[IndicatorCode],Table1[[#This Row],[IndicatorCode]])</f>
        <v>72.66514008620689</v>
      </c>
      <c r="I8667" cm="1">
        <f t="array" ref="I8667">_xlfn.STDEV.P(IF(Table1[IndicatorCode]=Table1[[#This Row],[IndicatorCode]],Table1[value]))</f>
        <v>6.3409496564024987</v>
      </c>
      <c r="J8667">
        <f>(Table1[[#This Row],[value]] - Table1[[#This Row],[mean]]) / Table1[[#This Row],[std_dev]]</f>
        <v>1.6298599537622782</v>
      </c>
      <c r="K8667">
        <f>AVERAGEIF(Table1[CountryCode],Table1[[#This Row],[CountryCode]],Table1[z-score])</f>
        <v>0.50130467154040237</v>
      </c>
      <c r="L8667" t="e">
        <f>VLOOKUP(Table1[[#This Row],[CountryCode]],[1]!Table1[#All],1,FALSE)</f>
        <v>#REF!</v>
      </c>
    </row>
    <row r="8668" spans="1:12" hidden="1" x14ac:dyDescent="0.3">
      <c r="A8668" t="s">
        <v>53</v>
      </c>
      <c r="B8668" t="s">
        <v>54</v>
      </c>
      <c r="C8668" t="s">
        <v>129</v>
      </c>
      <c r="D8668" t="s">
        <v>130</v>
      </c>
      <c r="E8668">
        <v>2019</v>
      </c>
      <c r="F8668" s="1">
        <v>83</v>
      </c>
      <c r="G8668">
        <v>2020</v>
      </c>
      <c r="H8668">
        <f>AVERAGEIFS(Table1[value],Table1[IndicatorCode],Table1[[#This Row],[IndicatorCode]])</f>
        <v>72.66514008620689</v>
      </c>
      <c r="I8668" cm="1">
        <f t="array" ref="I8668">_xlfn.STDEV.P(IF(Table1[IndicatorCode]=Table1[[#This Row],[IndicatorCode]],Table1[value]))</f>
        <v>6.3409496564024987</v>
      </c>
      <c r="J8668">
        <f>(Table1[[#This Row],[value]] - Table1[[#This Row],[mean]]) / Table1[[#This Row],[std_dev]]</f>
        <v>1.6298599537622782</v>
      </c>
      <c r="K8668">
        <f>AVERAGEIF(Table1[CountryCode],Table1[[#This Row],[CountryCode]],Table1[z-score])</f>
        <v>0.50130467154040237</v>
      </c>
      <c r="L8668" t="e">
        <f>VLOOKUP(Table1[[#This Row],[CountryCode]],[1]!Table1[#All],1,FALSE)</f>
        <v>#REF!</v>
      </c>
    </row>
    <row r="8669" spans="1:12" x14ac:dyDescent="0.3">
      <c r="A8669" t="s">
        <v>53</v>
      </c>
      <c r="B8669" t="s">
        <v>54</v>
      </c>
      <c r="C8669" t="s">
        <v>129</v>
      </c>
      <c r="D8669" t="s">
        <v>130</v>
      </c>
      <c r="E8669">
        <v>2020</v>
      </c>
      <c r="F8669" s="1">
        <v>83</v>
      </c>
      <c r="G8669">
        <v>2020</v>
      </c>
      <c r="H8669">
        <f>AVERAGEIFS(Table1[value],Table1[IndicatorCode],Table1[[#This Row],[IndicatorCode]])</f>
        <v>72.66514008620689</v>
      </c>
      <c r="I8669" cm="1">
        <f t="array" ref="I8669">_xlfn.STDEV.P(IF(Table1[IndicatorCode]=Table1[[#This Row],[IndicatorCode]],Table1[value]))</f>
        <v>6.3409496564024987</v>
      </c>
      <c r="J8669">
        <f>(Table1[[#This Row],[value]] - Table1[[#This Row],[mean]]) / Table1[[#This Row],[std_dev]]</f>
        <v>1.6298599537622782</v>
      </c>
      <c r="K8669">
        <f>AVERAGEIF(Table1[CountryCode],Table1[[#This Row],[CountryCode]],Table1[z-score])</f>
        <v>0.50130467154040237</v>
      </c>
    </row>
    <row r="8670" spans="1:12" hidden="1" x14ac:dyDescent="0.3">
      <c r="A8670" t="s">
        <v>53</v>
      </c>
      <c r="B8670" t="s">
        <v>54</v>
      </c>
      <c r="C8670" t="s">
        <v>129</v>
      </c>
      <c r="D8670" t="s">
        <v>130</v>
      </c>
      <c r="E8670">
        <v>2021</v>
      </c>
      <c r="F8670" s="1">
        <v>80</v>
      </c>
      <c r="G8670">
        <v>1960</v>
      </c>
      <c r="H8670">
        <f>AVERAGEIFS(Table1[value],Table1[IndicatorCode],Table1[[#This Row],[IndicatorCode]])</f>
        <v>72.66514008620689</v>
      </c>
      <c r="I8670" cm="1">
        <f t="array" ref="I8670">_xlfn.STDEV.P(IF(Table1[IndicatorCode]=Table1[[#This Row],[IndicatorCode]],Table1[value]))</f>
        <v>6.3409496564024987</v>
      </c>
      <c r="J8670">
        <f>(Table1[[#This Row],[value]] - Table1[[#This Row],[mean]]) / Table1[[#This Row],[std_dev]]</f>
        <v>1.1567447009119609</v>
      </c>
      <c r="K8670">
        <f>AVERAGEIF(Table1[CountryCode],Table1[[#This Row],[CountryCode]],Table1[z-score])</f>
        <v>0.50130467154040237</v>
      </c>
      <c r="L8670" t="e">
        <f>VLOOKUP(Table1[[#This Row],[CountryCode]],[1]!Table1[#All],1,FALSE)</f>
        <v>#REF!</v>
      </c>
    </row>
    <row r="8671" spans="1:12" hidden="1" x14ac:dyDescent="0.3">
      <c r="A8671" t="s">
        <v>53</v>
      </c>
      <c r="B8671" t="s">
        <v>54</v>
      </c>
      <c r="C8671" t="s">
        <v>129</v>
      </c>
      <c r="D8671" t="s">
        <v>130</v>
      </c>
      <c r="E8671">
        <v>2022</v>
      </c>
      <c r="F8671" s="1">
        <v>84</v>
      </c>
      <c r="G8671">
        <v>1960</v>
      </c>
      <c r="H8671">
        <f>AVERAGEIFS(Table1[value],Table1[IndicatorCode],Table1[[#This Row],[IndicatorCode]])</f>
        <v>72.66514008620689</v>
      </c>
      <c r="I8671" cm="1">
        <f t="array" ref="I8671">_xlfn.STDEV.P(IF(Table1[IndicatorCode]=Table1[[#This Row],[IndicatorCode]],Table1[value]))</f>
        <v>6.3409496564024987</v>
      </c>
      <c r="J8671">
        <f>(Table1[[#This Row],[value]] - Table1[[#This Row],[mean]]) / Table1[[#This Row],[std_dev]]</f>
        <v>1.7875650380457173</v>
      </c>
      <c r="K8671">
        <f>AVERAGEIF(Table1[CountryCode],Table1[[#This Row],[CountryCode]],Table1[z-score])</f>
        <v>0.50130467154040237</v>
      </c>
      <c r="L8671" t="e">
        <f>VLOOKUP(Table1[[#This Row],[CountryCode]],[1]!Table1[#All],1,FALSE)</f>
        <v>#REF!</v>
      </c>
    </row>
    <row r="8672" spans="1:12" hidden="1" x14ac:dyDescent="0.3">
      <c r="A8672" t="s">
        <v>53</v>
      </c>
      <c r="B8672" t="s">
        <v>54</v>
      </c>
      <c r="C8672" t="s">
        <v>129</v>
      </c>
      <c r="D8672" t="s">
        <v>130</v>
      </c>
      <c r="E8672">
        <v>2023</v>
      </c>
      <c r="F8672" s="1">
        <v>84</v>
      </c>
      <c r="G8672">
        <v>1960</v>
      </c>
      <c r="H8672">
        <f>AVERAGEIFS(Table1[value],Table1[IndicatorCode],Table1[[#This Row],[IndicatorCode]])</f>
        <v>72.66514008620689</v>
      </c>
      <c r="I8672" cm="1">
        <f t="array" ref="I8672">_xlfn.STDEV.P(IF(Table1[IndicatorCode]=Table1[[#This Row],[IndicatorCode]],Table1[value]))</f>
        <v>6.3409496564024987</v>
      </c>
      <c r="J8672">
        <f>(Table1[[#This Row],[value]] - Table1[[#This Row],[mean]]) / Table1[[#This Row],[std_dev]]</f>
        <v>1.7875650380457173</v>
      </c>
      <c r="K8672">
        <f>AVERAGEIF(Table1[CountryCode],Table1[[#This Row],[CountryCode]],Table1[z-score])</f>
        <v>0.50130467154040237</v>
      </c>
      <c r="L8672" t="e">
        <f>VLOOKUP(Table1[[#This Row],[CountryCode]],[1]!Table1[#All],1,FALSE)</f>
        <v>#REF!</v>
      </c>
    </row>
    <row r="8673" spans="1:12" hidden="1" x14ac:dyDescent="0.3">
      <c r="A8673" t="s">
        <v>55</v>
      </c>
      <c r="B8673" t="s">
        <v>56</v>
      </c>
      <c r="C8673" t="s">
        <v>129</v>
      </c>
      <c r="D8673" t="s">
        <v>130</v>
      </c>
      <c r="E8673">
        <v>1960</v>
      </c>
      <c r="F8673" s="1">
        <v>70</v>
      </c>
      <c r="G8673">
        <v>1960</v>
      </c>
      <c r="H8673">
        <f>AVERAGEIFS(Table1[value],Table1[IndicatorCode],Table1[[#This Row],[IndicatorCode]])</f>
        <v>72.66514008620689</v>
      </c>
      <c r="I8673" cm="1">
        <f t="array" ref="I8673">_xlfn.STDEV.P(IF(Table1[IndicatorCode]=Table1[[#This Row],[IndicatorCode]],Table1[value]))</f>
        <v>6.3409496564024987</v>
      </c>
      <c r="J8673">
        <f>(Table1[[#This Row],[value]] - Table1[[#This Row],[mean]]) / Table1[[#This Row],[std_dev]]</f>
        <v>-0.4203061419224296</v>
      </c>
      <c r="K8673">
        <f>AVERAGEIF(Table1[CountryCode],Table1[[#This Row],[CountryCode]],Table1[z-score])</f>
        <v>6.3697920427276927E-2</v>
      </c>
      <c r="L8673" t="e">
        <f>VLOOKUP(Table1[[#This Row],[CountryCode]],[1]!Table1[#All],1,FALSE)</f>
        <v>#REF!</v>
      </c>
    </row>
    <row r="8674" spans="1:12" hidden="1" x14ac:dyDescent="0.3">
      <c r="A8674" t="s">
        <v>55</v>
      </c>
      <c r="B8674" t="s">
        <v>56</v>
      </c>
      <c r="C8674" t="s">
        <v>129</v>
      </c>
      <c r="D8674" t="s">
        <v>130</v>
      </c>
      <c r="E8674">
        <v>1961</v>
      </c>
      <c r="F8674" s="1">
        <v>70</v>
      </c>
      <c r="G8674">
        <v>1960</v>
      </c>
      <c r="H8674">
        <f>AVERAGEIFS(Table1[value],Table1[IndicatorCode],Table1[[#This Row],[IndicatorCode]])</f>
        <v>72.66514008620689</v>
      </c>
      <c r="I8674" cm="1">
        <f t="array" ref="I8674">_xlfn.STDEV.P(IF(Table1[IndicatorCode]=Table1[[#This Row],[IndicatorCode]],Table1[value]))</f>
        <v>6.3409496564024987</v>
      </c>
      <c r="J8674">
        <f>(Table1[[#This Row],[value]] - Table1[[#This Row],[mean]]) / Table1[[#This Row],[std_dev]]</f>
        <v>-0.4203061419224296</v>
      </c>
      <c r="K8674">
        <f>AVERAGEIF(Table1[CountryCode],Table1[[#This Row],[CountryCode]],Table1[z-score])</f>
        <v>6.3697920427276927E-2</v>
      </c>
      <c r="L8674" t="e">
        <f>VLOOKUP(Table1[[#This Row],[CountryCode]],[1]!Table1[#All],1,FALSE)</f>
        <v>#REF!</v>
      </c>
    </row>
    <row r="8675" spans="1:12" hidden="1" x14ac:dyDescent="0.3">
      <c r="A8675" t="s">
        <v>55</v>
      </c>
      <c r="B8675" t="s">
        <v>56</v>
      </c>
      <c r="C8675" t="s">
        <v>129</v>
      </c>
      <c r="D8675" t="s">
        <v>130</v>
      </c>
      <c r="E8675">
        <v>1962</v>
      </c>
      <c r="F8675" s="1">
        <v>70</v>
      </c>
      <c r="G8675">
        <v>1960</v>
      </c>
      <c r="H8675">
        <f>AVERAGEIFS(Table1[value],Table1[IndicatorCode],Table1[[#This Row],[IndicatorCode]])</f>
        <v>72.66514008620689</v>
      </c>
      <c r="I8675" cm="1">
        <f t="array" ref="I8675">_xlfn.STDEV.P(IF(Table1[IndicatorCode]=Table1[[#This Row],[IndicatorCode]],Table1[value]))</f>
        <v>6.3409496564024987</v>
      </c>
      <c r="J8675">
        <f>(Table1[[#This Row],[value]] - Table1[[#This Row],[mean]]) / Table1[[#This Row],[std_dev]]</f>
        <v>-0.4203061419224296</v>
      </c>
      <c r="K8675">
        <f>AVERAGEIF(Table1[CountryCode],Table1[[#This Row],[CountryCode]],Table1[z-score])</f>
        <v>6.3697920427276927E-2</v>
      </c>
      <c r="L8675" t="e">
        <f>VLOOKUP(Table1[[#This Row],[CountryCode]],[1]!Table1[#All],1,FALSE)</f>
        <v>#REF!</v>
      </c>
    </row>
    <row r="8676" spans="1:12" hidden="1" x14ac:dyDescent="0.3">
      <c r="A8676" t="s">
        <v>55</v>
      </c>
      <c r="B8676" t="s">
        <v>56</v>
      </c>
      <c r="C8676" t="s">
        <v>129</v>
      </c>
      <c r="D8676" t="s">
        <v>130</v>
      </c>
      <c r="E8676">
        <v>1963</v>
      </c>
      <c r="F8676" s="1">
        <v>71</v>
      </c>
      <c r="G8676">
        <v>1960</v>
      </c>
      <c r="H8676">
        <f>AVERAGEIFS(Table1[value],Table1[IndicatorCode],Table1[[#This Row],[IndicatorCode]])</f>
        <v>72.66514008620689</v>
      </c>
      <c r="I8676" cm="1">
        <f t="array" ref="I8676">_xlfn.STDEV.P(IF(Table1[IndicatorCode]=Table1[[#This Row],[IndicatorCode]],Table1[value]))</f>
        <v>6.3409496564024987</v>
      </c>
      <c r="J8676">
        <f>(Table1[[#This Row],[value]] - Table1[[#This Row],[mean]]) / Table1[[#This Row],[std_dev]]</f>
        <v>-0.2626010576389905</v>
      </c>
      <c r="K8676">
        <f>AVERAGEIF(Table1[CountryCode],Table1[[#This Row],[CountryCode]],Table1[z-score])</f>
        <v>6.3697920427276927E-2</v>
      </c>
      <c r="L8676" t="e">
        <f>VLOOKUP(Table1[[#This Row],[CountryCode]],[1]!Table1[#All],1,FALSE)</f>
        <v>#REF!</v>
      </c>
    </row>
    <row r="8677" spans="1:12" hidden="1" x14ac:dyDescent="0.3">
      <c r="A8677" t="s">
        <v>55</v>
      </c>
      <c r="B8677" t="s">
        <v>56</v>
      </c>
      <c r="C8677" t="s">
        <v>129</v>
      </c>
      <c r="D8677" t="s">
        <v>130</v>
      </c>
      <c r="E8677">
        <v>1964</v>
      </c>
      <c r="F8677" s="1">
        <v>70</v>
      </c>
      <c r="G8677">
        <v>1960</v>
      </c>
      <c r="H8677">
        <f>AVERAGEIFS(Table1[value],Table1[IndicatorCode],Table1[[#This Row],[IndicatorCode]])</f>
        <v>72.66514008620689</v>
      </c>
      <c r="I8677" cm="1">
        <f t="array" ref="I8677">_xlfn.STDEV.P(IF(Table1[IndicatorCode]=Table1[[#This Row],[IndicatorCode]],Table1[value]))</f>
        <v>6.3409496564024987</v>
      </c>
      <c r="J8677">
        <f>(Table1[[#This Row],[value]] - Table1[[#This Row],[mean]]) / Table1[[#This Row],[std_dev]]</f>
        <v>-0.4203061419224296</v>
      </c>
      <c r="K8677">
        <f>AVERAGEIF(Table1[CountryCode],Table1[[#This Row],[CountryCode]],Table1[z-score])</f>
        <v>6.3697920427276927E-2</v>
      </c>
      <c r="L8677" t="e">
        <f>VLOOKUP(Table1[[#This Row],[CountryCode]],[1]!Table1[#All],1,FALSE)</f>
        <v>#REF!</v>
      </c>
    </row>
    <row r="8678" spans="1:12" hidden="1" x14ac:dyDescent="0.3">
      <c r="A8678" t="s">
        <v>55</v>
      </c>
      <c r="B8678" t="s">
        <v>56</v>
      </c>
      <c r="C8678" t="s">
        <v>129</v>
      </c>
      <c r="D8678" t="s">
        <v>130</v>
      </c>
      <c r="E8678">
        <v>1965</v>
      </c>
      <c r="F8678" s="1">
        <v>71</v>
      </c>
      <c r="G8678">
        <v>1960</v>
      </c>
      <c r="H8678">
        <f>AVERAGEIFS(Table1[value],Table1[IndicatorCode],Table1[[#This Row],[IndicatorCode]])</f>
        <v>72.66514008620689</v>
      </c>
      <c r="I8678" cm="1">
        <f t="array" ref="I8678">_xlfn.STDEV.P(IF(Table1[IndicatorCode]=Table1[[#This Row],[IndicatorCode]],Table1[value]))</f>
        <v>6.3409496564024987</v>
      </c>
      <c r="J8678">
        <f>(Table1[[#This Row],[value]] - Table1[[#This Row],[mean]]) / Table1[[#This Row],[std_dev]]</f>
        <v>-0.2626010576389905</v>
      </c>
      <c r="K8678">
        <f>AVERAGEIF(Table1[CountryCode],Table1[[#This Row],[CountryCode]],Table1[z-score])</f>
        <v>6.3697920427276927E-2</v>
      </c>
      <c r="L8678" t="e">
        <f>VLOOKUP(Table1[[#This Row],[CountryCode]],[1]!Table1[#All],1,FALSE)</f>
        <v>#REF!</v>
      </c>
    </row>
    <row r="8679" spans="1:12" hidden="1" x14ac:dyDescent="0.3">
      <c r="A8679" t="s">
        <v>55</v>
      </c>
      <c r="B8679" t="s">
        <v>56</v>
      </c>
      <c r="C8679" t="s">
        <v>129</v>
      </c>
      <c r="D8679" t="s">
        <v>130</v>
      </c>
      <c r="E8679">
        <v>1966</v>
      </c>
      <c r="F8679" s="1">
        <v>72</v>
      </c>
      <c r="G8679">
        <v>1960</v>
      </c>
      <c r="H8679">
        <f>AVERAGEIFS(Table1[value],Table1[IndicatorCode],Table1[[#This Row],[IndicatorCode]])</f>
        <v>72.66514008620689</v>
      </c>
      <c r="I8679" cm="1">
        <f t="array" ref="I8679">_xlfn.STDEV.P(IF(Table1[IndicatorCode]=Table1[[#This Row],[IndicatorCode]],Table1[value]))</f>
        <v>6.3409496564024987</v>
      </c>
      <c r="J8679">
        <f>(Table1[[#This Row],[value]] - Table1[[#This Row],[mean]]) / Table1[[#This Row],[std_dev]]</f>
        <v>-0.10489597335555145</v>
      </c>
      <c r="K8679">
        <f>AVERAGEIF(Table1[CountryCode],Table1[[#This Row],[CountryCode]],Table1[z-score])</f>
        <v>6.3697920427276927E-2</v>
      </c>
      <c r="L8679" t="e">
        <f>VLOOKUP(Table1[[#This Row],[CountryCode]],[1]!Table1[#All],1,FALSE)</f>
        <v>#REF!</v>
      </c>
    </row>
    <row r="8680" spans="1:12" hidden="1" x14ac:dyDescent="0.3">
      <c r="A8680" t="s">
        <v>55</v>
      </c>
      <c r="B8680" t="s">
        <v>56</v>
      </c>
      <c r="C8680" t="s">
        <v>129</v>
      </c>
      <c r="D8680" t="s">
        <v>130</v>
      </c>
      <c r="E8680">
        <v>1967</v>
      </c>
      <c r="F8680" s="1">
        <v>71</v>
      </c>
      <c r="G8680">
        <v>1970</v>
      </c>
      <c r="H8680">
        <f>AVERAGEIFS(Table1[value],Table1[IndicatorCode],Table1[[#This Row],[IndicatorCode]])</f>
        <v>72.66514008620689</v>
      </c>
      <c r="I8680" cm="1">
        <f t="array" ref="I8680">_xlfn.STDEV.P(IF(Table1[IndicatorCode]=Table1[[#This Row],[IndicatorCode]],Table1[value]))</f>
        <v>6.3409496564024987</v>
      </c>
      <c r="J8680">
        <f>(Table1[[#This Row],[value]] - Table1[[#This Row],[mean]]) / Table1[[#This Row],[std_dev]]</f>
        <v>-0.2626010576389905</v>
      </c>
      <c r="K8680">
        <f>AVERAGEIF(Table1[CountryCode],Table1[[#This Row],[CountryCode]],Table1[z-score])</f>
        <v>6.3697920427276927E-2</v>
      </c>
      <c r="L8680" t="e">
        <f>VLOOKUP(Table1[[#This Row],[CountryCode]],[1]!Table1[#All],1,FALSE)</f>
        <v>#REF!</v>
      </c>
    </row>
    <row r="8681" spans="1:12" hidden="1" x14ac:dyDescent="0.3">
      <c r="A8681" t="s">
        <v>55</v>
      </c>
      <c r="B8681" t="s">
        <v>56</v>
      </c>
      <c r="C8681" t="s">
        <v>129</v>
      </c>
      <c r="D8681" t="s">
        <v>130</v>
      </c>
      <c r="E8681">
        <v>1968</v>
      </c>
      <c r="F8681" s="1">
        <v>71</v>
      </c>
      <c r="G8681">
        <v>1970</v>
      </c>
      <c r="H8681">
        <f>AVERAGEIFS(Table1[value],Table1[IndicatorCode],Table1[[#This Row],[IndicatorCode]])</f>
        <v>72.66514008620689</v>
      </c>
      <c r="I8681" cm="1">
        <f t="array" ref="I8681">_xlfn.STDEV.P(IF(Table1[IndicatorCode]=Table1[[#This Row],[IndicatorCode]],Table1[value]))</f>
        <v>6.3409496564024987</v>
      </c>
      <c r="J8681">
        <f>(Table1[[#This Row],[value]] - Table1[[#This Row],[mean]]) / Table1[[#This Row],[std_dev]]</f>
        <v>-0.2626010576389905</v>
      </c>
      <c r="K8681">
        <f>AVERAGEIF(Table1[CountryCode],Table1[[#This Row],[CountryCode]],Table1[z-score])</f>
        <v>6.3697920427276927E-2</v>
      </c>
      <c r="L8681" t="e">
        <f>VLOOKUP(Table1[[#This Row],[CountryCode]],[1]!Table1[#All],1,FALSE)</f>
        <v>#REF!</v>
      </c>
    </row>
    <row r="8682" spans="1:12" hidden="1" x14ac:dyDescent="0.3">
      <c r="A8682" t="s">
        <v>55</v>
      </c>
      <c r="B8682" t="s">
        <v>56</v>
      </c>
      <c r="C8682" t="s">
        <v>129</v>
      </c>
      <c r="D8682" t="s">
        <v>130</v>
      </c>
      <c r="E8682">
        <v>1969</v>
      </c>
      <c r="F8682" s="1">
        <v>72</v>
      </c>
      <c r="G8682">
        <v>1970</v>
      </c>
      <c r="H8682">
        <f>AVERAGEIFS(Table1[value],Table1[IndicatorCode],Table1[[#This Row],[IndicatorCode]])</f>
        <v>72.66514008620689</v>
      </c>
      <c r="I8682" cm="1">
        <f t="array" ref="I8682">_xlfn.STDEV.P(IF(Table1[IndicatorCode]=Table1[[#This Row],[IndicatorCode]],Table1[value]))</f>
        <v>6.3409496564024987</v>
      </c>
      <c r="J8682">
        <f>(Table1[[#This Row],[value]] - Table1[[#This Row],[mean]]) / Table1[[#This Row],[std_dev]]</f>
        <v>-0.10489597335555145</v>
      </c>
      <c r="K8682">
        <f>AVERAGEIF(Table1[CountryCode],Table1[[#This Row],[CountryCode]],Table1[z-score])</f>
        <v>6.3697920427276927E-2</v>
      </c>
      <c r="L8682" t="e">
        <f>VLOOKUP(Table1[[#This Row],[CountryCode]],[1]!Table1[#All],1,FALSE)</f>
        <v>#REF!</v>
      </c>
    </row>
    <row r="8683" spans="1:12" hidden="1" x14ac:dyDescent="0.3">
      <c r="A8683" t="s">
        <v>55</v>
      </c>
      <c r="B8683" t="s">
        <v>56</v>
      </c>
      <c r="C8683" t="s">
        <v>129</v>
      </c>
      <c r="D8683" t="s">
        <v>130</v>
      </c>
      <c r="E8683">
        <v>1970</v>
      </c>
      <c r="F8683" s="1">
        <v>73</v>
      </c>
      <c r="G8683">
        <v>1970</v>
      </c>
      <c r="H8683">
        <f>AVERAGEIFS(Table1[value],Table1[IndicatorCode],Table1[[#This Row],[IndicatorCode]])</f>
        <v>72.66514008620689</v>
      </c>
      <c r="I8683" cm="1">
        <f t="array" ref="I8683">_xlfn.STDEV.P(IF(Table1[IndicatorCode]=Table1[[#This Row],[IndicatorCode]],Table1[value]))</f>
        <v>6.3409496564024987</v>
      </c>
      <c r="J8683">
        <f>(Table1[[#This Row],[value]] - Table1[[#This Row],[mean]]) / Table1[[#This Row],[std_dev]]</f>
        <v>5.2809110927887599E-2</v>
      </c>
      <c r="K8683">
        <f>AVERAGEIF(Table1[CountryCode],Table1[[#This Row],[CountryCode]],Table1[z-score])</f>
        <v>6.3697920427276927E-2</v>
      </c>
      <c r="L8683" t="e">
        <f>VLOOKUP(Table1[[#This Row],[CountryCode]],[1]!Table1[#All],1,FALSE)</f>
        <v>#REF!</v>
      </c>
    </row>
    <row r="8684" spans="1:12" hidden="1" x14ac:dyDescent="0.3">
      <c r="A8684" t="s">
        <v>55</v>
      </c>
      <c r="B8684" t="s">
        <v>56</v>
      </c>
      <c r="C8684" t="s">
        <v>129</v>
      </c>
      <c r="D8684" t="s">
        <v>130</v>
      </c>
      <c r="E8684">
        <v>1971</v>
      </c>
      <c r="F8684" s="1">
        <v>73</v>
      </c>
      <c r="G8684">
        <v>1970</v>
      </c>
      <c r="H8684">
        <f>AVERAGEIFS(Table1[value],Table1[IndicatorCode],Table1[[#This Row],[IndicatorCode]])</f>
        <v>72.66514008620689</v>
      </c>
      <c r="I8684" cm="1">
        <f t="array" ref="I8684">_xlfn.STDEV.P(IF(Table1[IndicatorCode]=Table1[[#This Row],[IndicatorCode]],Table1[value]))</f>
        <v>6.3409496564024987</v>
      </c>
      <c r="J8684">
        <f>(Table1[[#This Row],[value]] - Table1[[#This Row],[mean]]) / Table1[[#This Row],[std_dev]]</f>
        <v>5.2809110927887599E-2</v>
      </c>
      <c r="K8684">
        <f>AVERAGEIF(Table1[CountryCode],Table1[[#This Row],[CountryCode]],Table1[z-score])</f>
        <v>6.3697920427276927E-2</v>
      </c>
      <c r="L8684" t="e">
        <f>VLOOKUP(Table1[[#This Row],[CountryCode]],[1]!Table1[#All],1,FALSE)</f>
        <v>#REF!</v>
      </c>
    </row>
    <row r="8685" spans="1:12" hidden="1" x14ac:dyDescent="0.3">
      <c r="A8685" t="s">
        <v>55</v>
      </c>
      <c r="B8685" t="s">
        <v>56</v>
      </c>
      <c r="C8685" t="s">
        <v>129</v>
      </c>
      <c r="D8685" t="s">
        <v>130</v>
      </c>
      <c r="E8685">
        <v>1972</v>
      </c>
      <c r="F8685" s="1">
        <v>73</v>
      </c>
      <c r="G8685">
        <v>1970</v>
      </c>
      <c r="H8685">
        <f>AVERAGEIFS(Table1[value],Table1[IndicatorCode],Table1[[#This Row],[IndicatorCode]])</f>
        <v>72.66514008620689</v>
      </c>
      <c r="I8685" cm="1">
        <f t="array" ref="I8685">_xlfn.STDEV.P(IF(Table1[IndicatorCode]=Table1[[#This Row],[IndicatorCode]],Table1[value]))</f>
        <v>6.3409496564024987</v>
      </c>
      <c r="J8685">
        <f>(Table1[[#This Row],[value]] - Table1[[#This Row],[mean]]) / Table1[[#This Row],[std_dev]]</f>
        <v>5.2809110927887599E-2</v>
      </c>
      <c r="K8685">
        <f>AVERAGEIF(Table1[CountryCode],Table1[[#This Row],[CountryCode]],Table1[z-score])</f>
        <v>6.3697920427276927E-2</v>
      </c>
      <c r="L8685" t="e">
        <f>VLOOKUP(Table1[[#This Row],[CountryCode]],[1]!Table1[#All],1,FALSE)</f>
        <v>#REF!</v>
      </c>
    </row>
    <row r="8686" spans="1:12" hidden="1" x14ac:dyDescent="0.3">
      <c r="A8686" t="s">
        <v>55</v>
      </c>
      <c r="B8686" t="s">
        <v>56</v>
      </c>
      <c r="C8686" t="s">
        <v>129</v>
      </c>
      <c r="D8686" t="s">
        <v>130</v>
      </c>
      <c r="E8686">
        <v>1973</v>
      </c>
      <c r="F8686" s="1">
        <v>73</v>
      </c>
      <c r="G8686">
        <v>1970</v>
      </c>
      <c r="H8686">
        <f>AVERAGEIFS(Table1[value],Table1[IndicatorCode],Table1[[#This Row],[IndicatorCode]])</f>
        <v>72.66514008620689</v>
      </c>
      <c r="I8686" cm="1">
        <f t="array" ref="I8686">_xlfn.STDEV.P(IF(Table1[IndicatorCode]=Table1[[#This Row],[IndicatorCode]],Table1[value]))</f>
        <v>6.3409496564024987</v>
      </c>
      <c r="J8686">
        <f>(Table1[[#This Row],[value]] - Table1[[#This Row],[mean]]) / Table1[[#This Row],[std_dev]]</f>
        <v>5.2809110927887599E-2</v>
      </c>
      <c r="K8686">
        <f>AVERAGEIF(Table1[CountryCode],Table1[[#This Row],[CountryCode]],Table1[z-score])</f>
        <v>6.3697920427276927E-2</v>
      </c>
      <c r="L8686" t="e">
        <f>VLOOKUP(Table1[[#This Row],[CountryCode]],[1]!Table1[#All],1,FALSE)</f>
        <v>#REF!</v>
      </c>
    </row>
    <row r="8687" spans="1:12" hidden="1" x14ac:dyDescent="0.3">
      <c r="A8687" t="s">
        <v>55</v>
      </c>
      <c r="B8687" t="s">
        <v>56</v>
      </c>
      <c r="C8687" t="s">
        <v>129</v>
      </c>
      <c r="D8687" t="s">
        <v>130</v>
      </c>
      <c r="E8687">
        <v>1974</v>
      </c>
      <c r="F8687" s="1">
        <v>73</v>
      </c>
      <c r="G8687">
        <v>1970</v>
      </c>
      <c r="H8687">
        <f>AVERAGEIFS(Table1[value],Table1[IndicatorCode],Table1[[#This Row],[IndicatorCode]])</f>
        <v>72.66514008620689</v>
      </c>
      <c r="I8687" cm="1">
        <f t="array" ref="I8687">_xlfn.STDEV.P(IF(Table1[IndicatorCode]=Table1[[#This Row],[IndicatorCode]],Table1[value]))</f>
        <v>6.3409496564024987</v>
      </c>
      <c r="J8687">
        <f>(Table1[[#This Row],[value]] - Table1[[#This Row],[mean]]) / Table1[[#This Row],[std_dev]]</f>
        <v>5.2809110927887599E-2</v>
      </c>
      <c r="K8687">
        <f>AVERAGEIF(Table1[CountryCode],Table1[[#This Row],[CountryCode]],Table1[z-score])</f>
        <v>6.3697920427276927E-2</v>
      </c>
      <c r="L8687" t="e">
        <f>VLOOKUP(Table1[[#This Row],[CountryCode]],[1]!Table1[#All],1,FALSE)</f>
        <v>#REF!</v>
      </c>
    </row>
    <row r="8688" spans="1:12" hidden="1" x14ac:dyDescent="0.3">
      <c r="A8688" t="s">
        <v>55</v>
      </c>
      <c r="B8688" t="s">
        <v>56</v>
      </c>
      <c r="C8688" t="s">
        <v>129</v>
      </c>
      <c r="D8688" t="s">
        <v>130</v>
      </c>
      <c r="E8688">
        <v>1975</v>
      </c>
      <c r="F8688" s="1">
        <v>73</v>
      </c>
      <c r="G8688">
        <v>1970</v>
      </c>
      <c r="H8688">
        <f>AVERAGEIFS(Table1[value],Table1[IndicatorCode],Table1[[#This Row],[IndicatorCode]])</f>
        <v>72.66514008620689</v>
      </c>
      <c r="I8688" cm="1">
        <f t="array" ref="I8688">_xlfn.STDEV.P(IF(Table1[IndicatorCode]=Table1[[#This Row],[IndicatorCode]],Table1[value]))</f>
        <v>6.3409496564024987</v>
      </c>
      <c r="J8688">
        <f>(Table1[[#This Row],[value]] - Table1[[#This Row],[mean]]) / Table1[[#This Row],[std_dev]]</f>
        <v>5.2809110927887599E-2</v>
      </c>
      <c r="K8688">
        <f>AVERAGEIF(Table1[CountryCode],Table1[[#This Row],[CountryCode]],Table1[z-score])</f>
        <v>6.3697920427276927E-2</v>
      </c>
      <c r="L8688" t="e">
        <f>VLOOKUP(Table1[[#This Row],[CountryCode]],[1]!Table1[#All],1,FALSE)</f>
        <v>#REF!</v>
      </c>
    </row>
    <row r="8689" spans="1:12" hidden="1" x14ac:dyDescent="0.3">
      <c r="A8689" t="s">
        <v>55</v>
      </c>
      <c r="B8689" t="s">
        <v>56</v>
      </c>
      <c r="C8689" t="s">
        <v>129</v>
      </c>
      <c r="D8689" t="s">
        <v>130</v>
      </c>
      <c r="E8689">
        <v>1976</v>
      </c>
      <c r="F8689" s="1">
        <v>74</v>
      </c>
      <c r="G8689">
        <v>1970</v>
      </c>
      <c r="H8689">
        <f>AVERAGEIFS(Table1[value],Table1[IndicatorCode],Table1[[#This Row],[IndicatorCode]])</f>
        <v>72.66514008620689</v>
      </c>
      <c r="I8689" cm="1">
        <f t="array" ref="I8689">_xlfn.STDEV.P(IF(Table1[IndicatorCode]=Table1[[#This Row],[IndicatorCode]],Table1[value]))</f>
        <v>6.3409496564024987</v>
      </c>
      <c r="J8689">
        <f>(Table1[[#This Row],[value]] - Table1[[#This Row],[mean]]) / Table1[[#This Row],[std_dev]]</f>
        <v>0.21051419521132667</v>
      </c>
      <c r="K8689">
        <f>AVERAGEIF(Table1[CountryCode],Table1[[#This Row],[CountryCode]],Table1[z-score])</f>
        <v>6.3697920427276927E-2</v>
      </c>
      <c r="L8689" t="e">
        <f>VLOOKUP(Table1[[#This Row],[CountryCode]],[1]!Table1[#All],1,FALSE)</f>
        <v>#REF!</v>
      </c>
    </row>
    <row r="8690" spans="1:12" hidden="1" x14ac:dyDescent="0.3">
      <c r="A8690" t="s">
        <v>55</v>
      </c>
      <c r="B8690" t="s">
        <v>56</v>
      </c>
      <c r="C8690" t="s">
        <v>129</v>
      </c>
      <c r="D8690" t="s">
        <v>130</v>
      </c>
      <c r="E8690">
        <v>1977</v>
      </c>
      <c r="F8690" s="1">
        <v>74</v>
      </c>
      <c r="G8690">
        <v>1980</v>
      </c>
      <c r="H8690">
        <f>AVERAGEIFS(Table1[value],Table1[IndicatorCode],Table1[[#This Row],[IndicatorCode]])</f>
        <v>72.66514008620689</v>
      </c>
      <c r="I8690" cm="1">
        <f t="array" ref="I8690">_xlfn.STDEV.P(IF(Table1[IndicatorCode]=Table1[[#This Row],[IndicatorCode]],Table1[value]))</f>
        <v>6.3409496564024987</v>
      </c>
      <c r="J8690">
        <f>(Table1[[#This Row],[value]] - Table1[[#This Row],[mean]]) / Table1[[#This Row],[std_dev]]</f>
        <v>0.21051419521132667</v>
      </c>
      <c r="K8690">
        <f>AVERAGEIF(Table1[CountryCode],Table1[[#This Row],[CountryCode]],Table1[z-score])</f>
        <v>6.3697920427276927E-2</v>
      </c>
      <c r="L8690" t="e">
        <f>VLOOKUP(Table1[[#This Row],[CountryCode]],[1]!Table1[#All],1,FALSE)</f>
        <v>#REF!</v>
      </c>
    </row>
    <row r="8691" spans="1:12" hidden="1" x14ac:dyDescent="0.3">
      <c r="A8691" t="s">
        <v>55</v>
      </c>
      <c r="B8691" t="s">
        <v>56</v>
      </c>
      <c r="C8691" t="s">
        <v>129</v>
      </c>
      <c r="D8691" t="s">
        <v>130</v>
      </c>
      <c r="E8691">
        <v>1978</v>
      </c>
      <c r="F8691" s="1">
        <v>74</v>
      </c>
      <c r="G8691">
        <v>1980</v>
      </c>
      <c r="H8691">
        <f>AVERAGEIFS(Table1[value],Table1[IndicatorCode],Table1[[#This Row],[IndicatorCode]])</f>
        <v>72.66514008620689</v>
      </c>
      <c r="I8691" cm="1">
        <f t="array" ref="I8691">_xlfn.STDEV.P(IF(Table1[IndicatorCode]=Table1[[#This Row],[IndicatorCode]],Table1[value]))</f>
        <v>6.3409496564024987</v>
      </c>
      <c r="J8691">
        <f>(Table1[[#This Row],[value]] - Table1[[#This Row],[mean]]) / Table1[[#This Row],[std_dev]]</f>
        <v>0.21051419521132667</v>
      </c>
      <c r="K8691">
        <f>AVERAGEIF(Table1[CountryCode],Table1[[#This Row],[CountryCode]],Table1[z-score])</f>
        <v>6.3697920427276927E-2</v>
      </c>
      <c r="L8691" t="e">
        <f>VLOOKUP(Table1[[#This Row],[CountryCode]],[1]!Table1[#All],1,FALSE)</f>
        <v>#REF!</v>
      </c>
    </row>
    <row r="8692" spans="1:12" hidden="1" x14ac:dyDescent="0.3">
      <c r="A8692" t="s">
        <v>55</v>
      </c>
      <c r="B8692" t="s">
        <v>56</v>
      </c>
      <c r="C8692" t="s">
        <v>129</v>
      </c>
      <c r="D8692" t="s">
        <v>130</v>
      </c>
      <c r="E8692">
        <v>1979</v>
      </c>
      <c r="F8692" s="1">
        <v>75</v>
      </c>
      <c r="G8692">
        <v>1980</v>
      </c>
      <c r="H8692">
        <f>AVERAGEIFS(Table1[value],Table1[IndicatorCode],Table1[[#This Row],[IndicatorCode]])</f>
        <v>72.66514008620689</v>
      </c>
      <c r="I8692" cm="1">
        <f t="array" ref="I8692">_xlfn.STDEV.P(IF(Table1[IndicatorCode]=Table1[[#This Row],[IndicatorCode]],Table1[value]))</f>
        <v>6.3409496564024987</v>
      </c>
      <c r="J8692">
        <f>(Table1[[#This Row],[value]] - Table1[[#This Row],[mean]]) / Table1[[#This Row],[std_dev]]</f>
        <v>0.36821927949476574</v>
      </c>
      <c r="K8692">
        <f>AVERAGEIF(Table1[CountryCode],Table1[[#This Row],[CountryCode]],Table1[z-score])</f>
        <v>6.3697920427276927E-2</v>
      </c>
      <c r="L8692" t="e">
        <f>VLOOKUP(Table1[[#This Row],[CountryCode]],[1]!Table1[#All],1,FALSE)</f>
        <v>#REF!</v>
      </c>
    </row>
    <row r="8693" spans="1:12" hidden="1" x14ac:dyDescent="0.3">
      <c r="A8693" t="s">
        <v>55</v>
      </c>
      <c r="B8693" t="s">
        <v>56</v>
      </c>
      <c r="C8693" t="s">
        <v>129</v>
      </c>
      <c r="D8693" t="s">
        <v>130</v>
      </c>
      <c r="E8693">
        <v>1980</v>
      </c>
      <c r="F8693" s="1">
        <v>75</v>
      </c>
      <c r="G8693">
        <v>1980</v>
      </c>
      <c r="H8693">
        <f>AVERAGEIFS(Table1[value],Table1[IndicatorCode],Table1[[#This Row],[IndicatorCode]])</f>
        <v>72.66514008620689</v>
      </c>
      <c r="I8693" cm="1">
        <f t="array" ref="I8693">_xlfn.STDEV.P(IF(Table1[IndicatorCode]=Table1[[#This Row],[IndicatorCode]],Table1[value]))</f>
        <v>6.3409496564024987</v>
      </c>
      <c r="J8693">
        <f>(Table1[[#This Row],[value]] - Table1[[#This Row],[mean]]) / Table1[[#This Row],[std_dev]]</f>
        <v>0.36821927949476574</v>
      </c>
      <c r="K8693">
        <f>AVERAGEIF(Table1[CountryCode],Table1[[#This Row],[CountryCode]],Table1[z-score])</f>
        <v>6.3697920427276927E-2</v>
      </c>
      <c r="L8693" t="e">
        <f>VLOOKUP(Table1[[#This Row],[CountryCode]],[1]!Table1[#All],1,FALSE)</f>
        <v>#REF!</v>
      </c>
    </row>
    <row r="8694" spans="1:12" hidden="1" x14ac:dyDescent="0.3">
      <c r="A8694" t="s">
        <v>55</v>
      </c>
      <c r="B8694" t="s">
        <v>56</v>
      </c>
      <c r="C8694" t="s">
        <v>129</v>
      </c>
      <c r="D8694" t="s">
        <v>130</v>
      </c>
      <c r="E8694">
        <v>1981</v>
      </c>
      <c r="F8694" s="1">
        <v>75</v>
      </c>
      <c r="G8694">
        <v>1980</v>
      </c>
      <c r="H8694">
        <f>AVERAGEIFS(Table1[value],Table1[IndicatorCode],Table1[[#This Row],[IndicatorCode]])</f>
        <v>72.66514008620689</v>
      </c>
      <c r="I8694" cm="1">
        <f t="array" ref="I8694">_xlfn.STDEV.P(IF(Table1[IndicatorCode]=Table1[[#This Row],[IndicatorCode]],Table1[value]))</f>
        <v>6.3409496564024987</v>
      </c>
      <c r="J8694">
        <f>(Table1[[#This Row],[value]] - Table1[[#This Row],[mean]]) / Table1[[#This Row],[std_dev]]</f>
        <v>0.36821927949476574</v>
      </c>
      <c r="K8694">
        <f>AVERAGEIF(Table1[CountryCode],Table1[[#This Row],[CountryCode]],Table1[z-score])</f>
        <v>6.3697920427276927E-2</v>
      </c>
      <c r="L8694" t="e">
        <f>VLOOKUP(Table1[[#This Row],[CountryCode]],[1]!Table1[#All],1,FALSE)</f>
        <v>#REF!</v>
      </c>
    </row>
    <row r="8695" spans="1:12" hidden="1" x14ac:dyDescent="0.3">
      <c r="A8695" t="s">
        <v>55</v>
      </c>
      <c r="B8695" t="s">
        <v>56</v>
      </c>
      <c r="C8695" t="s">
        <v>129</v>
      </c>
      <c r="D8695" t="s">
        <v>130</v>
      </c>
      <c r="E8695">
        <v>1982</v>
      </c>
      <c r="F8695" s="1">
        <v>75</v>
      </c>
      <c r="G8695">
        <v>1980</v>
      </c>
      <c r="H8695">
        <f>AVERAGEIFS(Table1[value],Table1[IndicatorCode],Table1[[#This Row],[IndicatorCode]])</f>
        <v>72.66514008620689</v>
      </c>
      <c r="I8695" cm="1">
        <f t="array" ref="I8695">_xlfn.STDEV.P(IF(Table1[IndicatorCode]=Table1[[#This Row],[IndicatorCode]],Table1[value]))</f>
        <v>6.3409496564024987</v>
      </c>
      <c r="J8695">
        <f>(Table1[[#This Row],[value]] - Table1[[#This Row],[mean]]) / Table1[[#This Row],[std_dev]]</f>
        <v>0.36821927949476574</v>
      </c>
      <c r="K8695">
        <f>AVERAGEIF(Table1[CountryCode],Table1[[#This Row],[CountryCode]],Table1[z-score])</f>
        <v>6.3697920427276927E-2</v>
      </c>
      <c r="L8695" t="e">
        <f>VLOOKUP(Table1[[#This Row],[CountryCode]],[1]!Table1[#All],1,FALSE)</f>
        <v>#REF!</v>
      </c>
    </row>
    <row r="8696" spans="1:12" hidden="1" x14ac:dyDescent="0.3">
      <c r="A8696" t="s">
        <v>55</v>
      </c>
      <c r="B8696" t="s">
        <v>56</v>
      </c>
      <c r="C8696" t="s">
        <v>129</v>
      </c>
      <c r="D8696" t="s">
        <v>130</v>
      </c>
      <c r="E8696">
        <v>1983</v>
      </c>
      <c r="F8696" s="1">
        <v>75</v>
      </c>
      <c r="G8696">
        <v>1980</v>
      </c>
      <c r="H8696">
        <f>AVERAGEIFS(Table1[value],Table1[IndicatorCode],Table1[[#This Row],[IndicatorCode]])</f>
        <v>72.66514008620689</v>
      </c>
      <c r="I8696" cm="1">
        <f t="array" ref="I8696">_xlfn.STDEV.P(IF(Table1[IndicatorCode]=Table1[[#This Row],[IndicatorCode]],Table1[value]))</f>
        <v>6.3409496564024987</v>
      </c>
      <c r="J8696">
        <f>(Table1[[#This Row],[value]] - Table1[[#This Row],[mean]]) / Table1[[#This Row],[std_dev]]</f>
        <v>0.36821927949476574</v>
      </c>
      <c r="K8696">
        <f>AVERAGEIF(Table1[CountryCode],Table1[[#This Row],[CountryCode]],Table1[z-score])</f>
        <v>6.3697920427276927E-2</v>
      </c>
      <c r="L8696" t="e">
        <f>VLOOKUP(Table1[[#This Row],[CountryCode]],[1]!Table1[#All],1,FALSE)</f>
        <v>#REF!</v>
      </c>
    </row>
    <row r="8697" spans="1:12" hidden="1" x14ac:dyDescent="0.3">
      <c r="A8697" t="s">
        <v>55</v>
      </c>
      <c r="B8697" t="s">
        <v>56</v>
      </c>
      <c r="C8697" t="s">
        <v>129</v>
      </c>
      <c r="D8697" t="s">
        <v>130</v>
      </c>
      <c r="E8697">
        <v>1984</v>
      </c>
      <c r="F8697" s="1">
        <v>76</v>
      </c>
      <c r="G8697">
        <v>1980</v>
      </c>
      <c r="H8697">
        <f>AVERAGEIFS(Table1[value],Table1[IndicatorCode],Table1[[#This Row],[IndicatorCode]])</f>
        <v>72.66514008620689</v>
      </c>
      <c r="I8697" cm="1">
        <f t="array" ref="I8697">_xlfn.STDEV.P(IF(Table1[IndicatorCode]=Table1[[#This Row],[IndicatorCode]],Table1[value]))</f>
        <v>6.3409496564024987</v>
      </c>
      <c r="J8697">
        <f>(Table1[[#This Row],[value]] - Table1[[#This Row],[mean]]) / Table1[[#This Row],[std_dev]]</f>
        <v>0.52592436377820473</v>
      </c>
      <c r="K8697">
        <f>AVERAGEIF(Table1[CountryCode],Table1[[#This Row],[CountryCode]],Table1[z-score])</f>
        <v>6.3697920427276927E-2</v>
      </c>
      <c r="L8697" t="e">
        <f>VLOOKUP(Table1[[#This Row],[CountryCode]],[1]!Table1[#All],1,FALSE)</f>
        <v>#REF!</v>
      </c>
    </row>
    <row r="8698" spans="1:12" hidden="1" x14ac:dyDescent="0.3">
      <c r="A8698" t="s">
        <v>55</v>
      </c>
      <c r="B8698" t="s">
        <v>56</v>
      </c>
      <c r="C8698" t="s">
        <v>129</v>
      </c>
      <c r="D8698" t="s">
        <v>130</v>
      </c>
      <c r="E8698">
        <v>1985</v>
      </c>
      <c r="F8698" s="1">
        <v>76</v>
      </c>
      <c r="G8698">
        <v>1980</v>
      </c>
      <c r="H8698">
        <f>AVERAGEIFS(Table1[value],Table1[IndicatorCode],Table1[[#This Row],[IndicatorCode]])</f>
        <v>72.66514008620689</v>
      </c>
      <c r="I8698" cm="1">
        <f t="array" ref="I8698">_xlfn.STDEV.P(IF(Table1[IndicatorCode]=Table1[[#This Row],[IndicatorCode]],Table1[value]))</f>
        <v>6.3409496564024987</v>
      </c>
      <c r="J8698">
        <f>(Table1[[#This Row],[value]] - Table1[[#This Row],[mean]]) / Table1[[#This Row],[std_dev]]</f>
        <v>0.52592436377820473</v>
      </c>
      <c r="K8698">
        <f>AVERAGEIF(Table1[CountryCode],Table1[[#This Row],[CountryCode]],Table1[z-score])</f>
        <v>6.3697920427276927E-2</v>
      </c>
      <c r="L8698" t="e">
        <f>VLOOKUP(Table1[[#This Row],[CountryCode]],[1]!Table1[#All],1,FALSE)</f>
        <v>#REF!</v>
      </c>
    </row>
    <row r="8699" spans="1:12" hidden="1" x14ac:dyDescent="0.3">
      <c r="A8699" t="s">
        <v>55</v>
      </c>
      <c r="B8699" t="s">
        <v>56</v>
      </c>
      <c r="C8699" t="s">
        <v>129</v>
      </c>
      <c r="D8699" t="s">
        <v>130</v>
      </c>
      <c r="E8699">
        <v>1986</v>
      </c>
      <c r="F8699" s="1">
        <v>76</v>
      </c>
      <c r="G8699">
        <v>1980</v>
      </c>
      <c r="H8699">
        <f>AVERAGEIFS(Table1[value],Table1[IndicatorCode],Table1[[#This Row],[IndicatorCode]])</f>
        <v>72.66514008620689</v>
      </c>
      <c r="I8699" cm="1">
        <f t="array" ref="I8699">_xlfn.STDEV.P(IF(Table1[IndicatorCode]=Table1[[#This Row],[IndicatorCode]],Table1[value]))</f>
        <v>6.3409496564024987</v>
      </c>
      <c r="J8699">
        <f>(Table1[[#This Row],[value]] - Table1[[#This Row],[mean]]) / Table1[[#This Row],[std_dev]]</f>
        <v>0.52592436377820473</v>
      </c>
      <c r="K8699">
        <f>AVERAGEIF(Table1[CountryCode],Table1[[#This Row],[CountryCode]],Table1[z-score])</f>
        <v>6.3697920427276927E-2</v>
      </c>
      <c r="L8699" t="e">
        <f>VLOOKUP(Table1[[#This Row],[CountryCode]],[1]!Table1[#All],1,FALSE)</f>
        <v>#REF!</v>
      </c>
    </row>
    <row r="8700" spans="1:12" hidden="1" x14ac:dyDescent="0.3">
      <c r="A8700" t="s">
        <v>55</v>
      </c>
      <c r="B8700" t="s">
        <v>56</v>
      </c>
      <c r="C8700" t="s">
        <v>129</v>
      </c>
      <c r="D8700" t="s">
        <v>130</v>
      </c>
      <c r="E8700">
        <v>1987</v>
      </c>
      <c r="F8700" s="1">
        <v>76</v>
      </c>
      <c r="G8700">
        <v>1990</v>
      </c>
      <c r="H8700">
        <f>AVERAGEIFS(Table1[value],Table1[IndicatorCode],Table1[[#This Row],[IndicatorCode]])</f>
        <v>72.66514008620689</v>
      </c>
      <c r="I8700" cm="1">
        <f t="array" ref="I8700">_xlfn.STDEV.P(IF(Table1[IndicatorCode]=Table1[[#This Row],[IndicatorCode]],Table1[value]))</f>
        <v>6.3409496564024987</v>
      </c>
      <c r="J8700">
        <f>(Table1[[#This Row],[value]] - Table1[[#This Row],[mean]]) / Table1[[#This Row],[std_dev]]</f>
        <v>0.52592436377820473</v>
      </c>
      <c r="K8700">
        <f>AVERAGEIF(Table1[CountryCode],Table1[[#This Row],[CountryCode]],Table1[z-score])</f>
        <v>6.3697920427276927E-2</v>
      </c>
      <c r="L8700" t="e">
        <f>VLOOKUP(Table1[[#This Row],[CountryCode]],[1]!Table1[#All],1,FALSE)</f>
        <v>#REF!</v>
      </c>
    </row>
    <row r="8701" spans="1:12" hidden="1" x14ac:dyDescent="0.3">
      <c r="A8701" t="s">
        <v>55</v>
      </c>
      <c r="B8701" t="s">
        <v>56</v>
      </c>
      <c r="C8701" t="s">
        <v>129</v>
      </c>
      <c r="D8701" t="s">
        <v>130</v>
      </c>
      <c r="E8701">
        <v>1988</v>
      </c>
      <c r="F8701" s="1">
        <v>77</v>
      </c>
      <c r="G8701">
        <v>1990</v>
      </c>
      <c r="H8701">
        <f>AVERAGEIFS(Table1[value],Table1[IndicatorCode],Table1[[#This Row],[IndicatorCode]])</f>
        <v>72.66514008620689</v>
      </c>
      <c r="I8701" cm="1">
        <f t="array" ref="I8701">_xlfn.STDEV.P(IF(Table1[IndicatorCode]=Table1[[#This Row],[IndicatorCode]],Table1[value]))</f>
        <v>6.3409496564024987</v>
      </c>
      <c r="J8701">
        <f>(Table1[[#This Row],[value]] - Table1[[#This Row],[mean]]) / Table1[[#This Row],[std_dev]]</f>
        <v>0.68362944806164383</v>
      </c>
      <c r="K8701">
        <f>AVERAGEIF(Table1[CountryCode],Table1[[#This Row],[CountryCode]],Table1[z-score])</f>
        <v>6.3697920427276927E-2</v>
      </c>
      <c r="L8701" t="e">
        <f>VLOOKUP(Table1[[#This Row],[CountryCode]],[1]!Table1[#All],1,FALSE)</f>
        <v>#REF!</v>
      </c>
    </row>
    <row r="8702" spans="1:12" hidden="1" x14ac:dyDescent="0.3">
      <c r="A8702" t="s">
        <v>55</v>
      </c>
      <c r="B8702" t="s">
        <v>56</v>
      </c>
      <c r="C8702" t="s">
        <v>129</v>
      </c>
      <c r="D8702" t="s">
        <v>130</v>
      </c>
      <c r="E8702">
        <v>1989</v>
      </c>
      <c r="F8702" s="1">
        <v>77</v>
      </c>
      <c r="G8702">
        <v>1990</v>
      </c>
      <c r="H8702">
        <f>AVERAGEIFS(Table1[value],Table1[IndicatorCode],Table1[[#This Row],[IndicatorCode]])</f>
        <v>72.66514008620689</v>
      </c>
      <c r="I8702" cm="1">
        <f t="array" ref="I8702">_xlfn.STDEV.P(IF(Table1[IndicatorCode]=Table1[[#This Row],[IndicatorCode]],Table1[value]))</f>
        <v>6.3409496564024987</v>
      </c>
      <c r="J8702">
        <f>(Table1[[#This Row],[value]] - Table1[[#This Row],[mean]]) / Table1[[#This Row],[std_dev]]</f>
        <v>0.68362944806164383</v>
      </c>
      <c r="K8702">
        <f>AVERAGEIF(Table1[CountryCode],Table1[[#This Row],[CountryCode]],Table1[z-score])</f>
        <v>6.3697920427276927E-2</v>
      </c>
      <c r="L8702" t="e">
        <f>VLOOKUP(Table1[[#This Row],[CountryCode]],[1]!Table1[#All],1,FALSE)</f>
        <v>#REF!</v>
      </c>
    </row>
    <row r="8703" spans="1:12" hidden="1" x14ac:dyDescent="0.3">
      <c r="A8703" t="s">
        <v>55</v>
      </c>
      <c r="B8703" t="s">
        <v>56</v>
      </c>
      <c r="C8703" t="s">
        <v>129</v>
      </c>
      <c r="D8703" t="s">
        <v>130</v>
      </c>
      <c r="E8703">
        <v>1990</v>
      </c>
      <c r="F8703" s="1">
        <v>77</v>
      </c>
      <c r="G8703">
        <v>1990</v>
      </c>
      <c r="H8703">
        <f>AVERAGEIFS(Table1[value],Table1[IndicatorCode],Table1[[#This Row],[IndicatorCode]])</f>
        <v>72.66514008620689</v>
      </c>
      <c r="I8703" cm="1">
        <f t="array" ref="I8703">_xlfn.STDEV.P(IF(Table1[IndicatorCode]=Table1[[#This Row],[IndicatorCode]],Table1[value]))</f>
        <v>6.3409496564024987</v>
      </c>
      <c r="J8703">
        <f>(Table1[[#This Row],[value]] - Table1[[#This Row],[mean]]) / Table1[[#This Row],[std_dev]]</f>
        <v>0.68362944806164383</v>
      </c>
      <c r="K8703">
        <f>AVERAGEIF(Table1[CountryCode],Table1[[#This Row],[CountryCode]],Table1[z-score])</f>
        <v>6.3697920427276927E-2</v>
      </c>
      <c r="L8703" t="e">
        <f>VLOOKUP(Table1[[#This Row],[CountryCode]],[1]!Table1[#All],1,FALSE)</f>
        <v>#REF!</v>
      </c>
    </row>
    <row r="8704" spans="1:12" hidden="1" x14ac:dyDescent="0.3">
      <c r="A8704" t="s">
        <v>55</v>
      </c>
      <c r="B8704" t="s">
        <v>56</v>
      </c>
      <c r="C8704" t="s">
        <v>129</v>
      </c>
      <c r="D8704" t="s">
        <v>130</v>
      </c>
      <c r="E8704">
        <v>1991</v>
      </c>
      <c r="F8704" s="1">
        <v>77</v>
      </c>
      <c r="G8704">
        <v>1990</v>
      </c>
      <c r="H8704">
        <f>AVERAGEIFS(Table1[value],Table1[IndicatorCode],Table1[[#This Row],[IndicatorCode]])</f>
        <v>72.66514008620689</v>
      </c>
      <c r="I8704" cm="1">
        <f t="array" ref="I8704">_xlfn.STDEV.P(IF(Table1[IndicatorCode]=Table1[[#This Row],[IndicatorCode]],Table1[value]))</f>
        <v>6.3409496564024987</v>
      </c>
      <c r="J8704">
        <f>(Table1[[#This Row],[value]] - Table1[[#This Row],[mean]]) / Table1[[#This Row],[std_dev]]</f>
        <v>0.68362944806164383</v>
      </c>
      <c r="K8704">
        <f>AVERAGEIF(Table1[CountryCode],Table1[[#This Row],[CountryCode]],Table1[z-score])</f>
        <v>6.3697920427276927E-2</v>
      </c>
      <c r="L8704" t="e">
        <f>VLOOKUP(Table1[[#This Row],[CountryCode]],[1]!Table1[#All],1,FALSE)</f>
        <v>#REF!</v>
      </c>
    </row>
    <row r="8705" spans="1:12" hidden="1" x14ac:dyDescent="0.3">
      <c r="A8705" t="s">
        <v>55</v>
      </c>
      <c r="B8705" t="s">
        <v>56</v>
      </c>
      <c r="C8705" t="s">
        <v>129</v>
      </c>
      <c r="D8705" t="s">
        <v>130</v>
      </c>
      <c r="E8705">
        <v>1992</v>
      </c>
      <c r="F8705" s="1">
        <v>77</v>
      </c>
      <c r="G8705">
        <v>1990</v>
      </c>
      <c r="H8705">
        <f>AVERAGEIFS(Table1[value],Table1[IndicatorCode],Table1[[#This Row],[IndicatorCode]])</f>
        <v>72.66514008620689</v>
      </c>
      <c r="I8705" cm="1">
        <f t="array" ref="I8705">_xlfn.STDEV.P(IF(Table1[IndicatorCode]=Table1[[#This Row],[IndicatorCode]],Table1[value]))</f>
        <v>6.3409496564024987</v>
      </c>
      <c r="J8705">
        <f>(Table1[[#This Row],[value]] - Table1[[#This Row],[mean]]) / Table1[[#This Row],[std_dev]]</f>
        <v>0.68362944806164383</v>
      </c>
      <c r="K8705">
        <f>AVERAGEIF(Table1[CountryCode],Table1[[#This Row],[CountryCode]],Table1[z-score])</f>
        <v>6.3697920427276927E-2</v>
      </c>
      <c r="L8705" t="e">
        <f>VLOOKUP(Table1[[#This Row],[CountryCode]],[1]!Table1[#All],1,FALSE)</f>
        <v>#REF!</v>
      </c>
    </row>
    <row r="8706" spans="1:12" hidden="1" x14ac:dyDescent="0.3">
      <c r="A8706" t="s">
        <v>55</v>
      </c>
      <c r="B8706" t="s">
        <v>56</v>
      </c>
      <c r="C8706" t="s">
        <v>129</v>
      </c>
      <c r="D8706" t="s">
        <v>130</v>
      </c>
      <c r="E8706">
        <v>1993</v>
      </c>
      <c r="F8706" s="1">
        <v>77</v>
      </c>
      <c r="G8706">
        <v>1990</v>
      </c>
      <c r="H8706">
        <f>AVERAGEIFS(Table1[value],Table1[IndicatorCode],Table1[[#This Row],[IndicatorCode]])</f>
        <v>72.66514008620689</v>
      </c>
      <c r="I8706" cm="1">
        <f t="array" ref="I8706">_xlfn.STDEV.P(IF(Table1[IndicatorCode]=Table1[[#This Row],[IndicatorCode]],Table1[value]))</f>
        <v>6.3409496564024987</v>
      </c>
      <c r="J8706">
        <f>(Table1[[#This Row],[value]] - Table1[[#This Row],[mean]]) / Table1[[#This Row],[std_dev]]</f>
        <v>0.68362944806164383</v>
      </c>
      <c r="K8706">
        <f>AVERAGEIF(Table1[CountryCode],Table1[[#This Row],[CountryCode]],Table1[z-score])</f>
        <v>6.3697920427276927E-2</v>
      </c>
      <c r="L8706" t="e">
        <f>VLOOKUP(Table1[[#This Row],[CountryCode]],[1]!Table1[#All],1,FALSE)</f>
        <v>#REF!</v>
      </c>
    </row>
    <row r="8707" spans="1:12" hidden="1" x14ac:dyDescent="0.3">
      <c r="A8707" t="s">
        <v>55</v>
      </c>
      <c r="B8707" t="s">
        <v>56</v>
      </c>
      <c r="C8707" t="s">
        <v>129</v>
      </c>
      <c r="D8707" t="s">
        <v>130</v>
      </c>
      <c r="E8707">
        <v>1994</v>
      </c>
      <c r="F8707" s="1">
        <v>78</v>
      </c>
      <c r="G8707">
        <v>1990</v>
      </c>
      <c r="H8707">
        <f>AVERAGEIFS(Table1[value],Table1[IndicatorCode],Table1[[#This Row],[IndicatorCode]])</f>
        <v>72.66514008620689</v>
      </c>
      <c r="I8707" cm="1">
        <f t="array" ref="I8707">_xlfn.STDEV.P(IF(Table1[IndicatorCode]=Table1[[#This Row],[IndicatorCode]],Table1[value]))</f>
        <v>6.3409496564024987</v>
      </c>
      <c r="J8707">
        <f>(Table1[[#This Row],[value]] - Table1[[#This Row],[mean]]) / Table1[[#This Row],[std_dev]]</f>
        <v>0.84133453234508293</v>
      </c>
      <c r="K8707">
        <f>AVERAGEIF(Table1[CountryCode],Table1[[#This Row],[CountryCode]],Table1[z-score])</f>
        <v>6.3697920427276927E-2</v>
      </c>
      <c r="L8707" t="e">
        <f>VLOOKUP(Table1[[#This Row],[CountryCode]],[1]!Table1[#All],1,FALSE)</f>
        <v>#REF!</v>
      </c>
    </row>
    <row r="8708" spans="1:12" hidden="1" x14ac:dyDescent="0.3">
      <c r="A8708" t="s">
        <v>55</v>
      </c>
      <c r="B8708" t="s">
        <v>56</v>
      </c>
      <c r="C8708" t="s">
        <v>129</v>
      </c>
      <c r="D8708" t="s">
        <v>130</v>
      </c>
      <c r="E8708">
        <v>1995</v>
      </c>
      <c r="F8708" s="1">
        <v>78</v>
      </c>
      <c r="G8708">
        <v>1990</v>
      </c>
      <c r="H8708">
        <f>AVERAGEIFS(Table1[value],Table1[IndicatorCode],Table1[[#This Row],[IndicatorCode]])</f>
        <v>72.66514008620689</v>
      </c>
      <c r="I8708" cm="1">
        <f t="array" ref="I8708">_xlfn.STDEV.P(IF(Table1[IndicatorCode]=Table1[[#This Row],[IndicatorCode]],Table1[value]))</f>
        <v>6.3409496564024987</v>
      </c>
      <c r="J8708">
        <f>(Table1[[#This Row],[value]] - Table1[[#This Row],[mean]]) / Table1[[#This Row],[std_dev]]</f>
        <v>0.84133453234508293</v>
      </c>
      <c r="K8708">
        <f>AVERAGEIF(Table1[CountryCode],Table1[[#This Row],[CountryCode]],Table1[z-score])</f>
        <v>6.3697920427276927E-2</v>
      </c>
      <c r="L8708" t="e">
        <f>VLOOKUP(Table1[[#This Row],[CountryCode]],[1]!Table1[#All],1,FALSE)</f>
        <v>#REF!</v>
      </c>
    </row>
    <row r="8709" spans="1:12" hidden="1" x14ac:dyDescent="0.3">
      <c r="A8709" t="s">
        <v>55</v>
      </c>
      <c r="B8709" t="s">
        <v>56</v>
      </c>
      <c r="C8709" t="s">
        <v>129</v>
      </c>
      <c r="D8709" t="s">
        <v>130</v>
      </c>
      <c r="E8709">
        <v>1996</v>
      </c>
      <c r="F8709" s="1">
        <v>78</v>
      </c>
      <c r="G8709">
        <v>1990</v>
      </c>
      <c r="H8709">
        <f>AVERAGEIFS(Table1[value],Table1[IndicatorCode],Table1[[#This Row],[IndicatorCode]])</f>
        <v>72.66514008620689</v>
      </c>
      <c r="I8709" cm="1">
        <f t="array" ref="I8709">_xlfn.STDEV.P(IF(Table1[IndicatorCode]=Table1[[#This Row],[IndicatorCode]],Table1[value]))</f>
        <v>6.3409496564024987</v>
      </c>
      <c r="J8709">
        <f>(Table1[[#This Row],[value]] - Table1[[#This Row],[mean]]) / Table1[[#This Row],[std_dev]]</f>
        <v>0.84133453234508293</v>
      </c>
      <c r="K8709">
        <f>AVERAGEIF(Table1[CountryCode],Table1[[#This Row],[CountryCode]],Table1[z-score])</f>
        <v>6.3697920427276927E-2</v>
      </c>
      <c r="L8709" t="e">
        <f>VLOOKUP(Table1[[#This Row],[CountryCode]],[1]!Table1[#All],1,FALSE)</f>
        <v>#REF!</v>
      </c>
    </row>
    <row r="8710" spans="1:12" hidden="1" x14ac:dyDescent="0.3">
      <c r="A8710" t="s">
        <v>55</v>
      </c>
      <c r="B8710" t="s">
        <v>56</v>
      </c>
      <c r="C8710" t="s">
        <v>129</v>
      </c>
      <c r="D8710" t="s">
        <v>130</v>
      </c>
      <c r="E8710">
        <v>1997</v>
      </c>
      <c r="F8710" s="1">
        <v>78</v>
      </c>
      <c r="G8710">
        <v>2000</v>
      </c>
      <c r="H8710">
        <f>AVERAGEIFS(Table1[value],Table1[IndicatorCode],Table1[[#This Row],[IndicatorCode]])</f>
        <v>72.66514008620689</v>
      </c>
      <c r="I8710" cm="1">
        <f t="array" ref="I8710">_xlfn.STDEV.P(IF(Table1[IndicatorCode]=Table1[[#This Row],[IndicatorCode]],Table1[value]))</f>
        <v>6.3409496564024987</v>
      </c>
      <c r="J8710">
        <f>(Table1[[#This Row],[value]] - Table1[[#This Row],[mean]]) / Table1[[#This Row],[std_dev]]</f>
        <v>0.84133453234508293</v>
      </c>
      <c r="K8710">
        <f>AVERAGEIF(Table1[CountryCode],Table1[[#This Row],[CountryCode]],Table1[z-score])</f>
        <v>6.3697920427276927E-2</v>
      </c>
      <c r="L8710" t="e">
        <f>VLOOKUP(Table1[[#This Row],[CountryCode]],[1]!Table1[#All],1,FALSE)</f>
        <v>#REF!</v>
      </c>
    </row>
    <row r="8711" spans="1:12" hidden="1" x14ac:dyDescent="0.3">
      <c r="A8711" t="s">
        <v>55</v>
      </c>
      <c r="B8711" t="s">
        <v>56</v>
      </c>
      <c r="C8711" t="s">
        <v>129</v>
      </c>
      <c r="D8711" t="s">
        <v>130</v>
      </c>
      <c r="E8711">
        <v>1998</v>
      </c>
      <c r="F8711" s="1">
        <v>78</v>
      </c>
      <c r="G8711">
        <v>2000</v>
      </c>
      <c r="H8711">
        <f>AVERAGEIFS(Table1[value],Table1[IndicatorCode],Table1[[#This Row],[IndicatorCode]])</f>
        <v>72.66514008620689</v>
      </c>
      <c r="I8711" cm="1">
        <f t="array" ref="I8711">_xlfn.STDEV.P(IF(Table1[IndicatorCode]=Table1[[#This Row],[IndicatorCode]],Table1[value]))</f>
        <v>6.3409496564024987</v>
      </c>
      <c r="J8711">
        <f>(Table1[[#This Row],[value]] - Table1[[#This Row],[mean]]) / Table1[[#This Row],[std_dev]]</f>
        <v>0.84133453234508293</v>
      </c>
      <c r="K8711">
        <f>AVERAGEIF(Table1[CountryCode],Table1[[#This Row],[CountryCode]],Table1[z-score])</f>
        <v>6.3697920427276927E-2</v>
      </c>
      <c r="L8711" t="e">
        <f>VLOOKUP(Table1[[#This Row],[CountryCode]],[1]!Table1[#All],1,FALSE)</f>
        <v>#REF!</v>
      </c>
    </row>
    <row r="8712" spans="1:12" hidden="1" x14ac:dyDescent="0.3">
      <c r="A8712" t="s">
        <v>55</v>
      </c>
      <c r="B8712" t="s">
        <v>56</v>
      </c>
      <c r="C8712" t="s">
        <v>129</v>
      </c>
      <c r="D8712" t="s">
        <v>130</v>
      </c>
      <c r="E8712">
        <v>1999</v>
      </c>
      <c r="F8712" s="1">
        <v>78</v>
      </c>
      <c r="G8712">
        <v>2000</v>
      </c>
      <c r="H8712">
        <f>AVERAGEIFS(Table1[value],Table1[IndicatorCode],Table1[[#This Row],[IndicatorCode]])</f>
        <v>72.66514008620689</v>
      </c>
      <c r="I8712" cm="1">
        <f t="array" ref="I8712">_xlfn.STDEV.P(IF(Table1[IndicatorCode]=Table1[[#This Row],[IndicatorCode]],Table1[value]))</f>
        <v>6.3409496564024987</v>
      </c>
      <c r="J8712">
        <f>(Table1[[#This Row],[value]] - Table1[[#This Row],[mean]]) / Table1[[#This Row],[std_dev]]</f>
        <v>0.84133453234508293</v>
      </c>
      <c r="K8712">
        <f>AVERAGEIF(Table1[CountryCode],Table1[[#This Row],[CountryCode]],Table1[z-score])</f>
        <v>6.3697920427276927E-2</v>
      </c>
      <c r="L8712" t="e">
        <f>VLOOKUP(Table1[[#This Row],[CountryCode]],[1]!Table1[#All],1,FALSE)</f>
        <v>#REF!</v>
      </c>
    </row>
    <row r="8713" spans="1:12" hidden="1" x14ac:dyDescent="0.3">
      <c r="A8713" t="s">
        <v>55</v>
      </c>
      <c r="B8713" t="s">
        <v>56</v>
      </c>
      <c r="C8713" t="s">
        <v>129</v>
      </c>
      <c r="D8713" t="s">
        <v>130</v>
      </c>
      <c r="E8713">
        <v>2000</v>
      </c>
      <c r="F8713" s="1">
        <v>78</v>
      </c>
      <c r="G8713">
        <v>2000</v>
      </c>
      <c r="H8713">
        <f>AVERAGEIFS(Table1[value],Table1[IndicatorCode],Table1[[#This Row],[IndicatorCode]])</f>
        <v>72.66514008620689</v>
      </c>
      <c r="I8713" cm="1">
        <f t="array" ref="I8713">_xlfn.STDEV.P(IF(Table1[IndicatorCode]=Table1[[#This Row],[IndicatorCode]],Table1[value]))</f>
        <v>6.3409496564024987</v>
      </c>
      <c r="J8713">
        <f>(Table1[[#This Row],[value]] - Table1[[#This Row],[mean]]) / Table1[[#This Row],[std_dev]]</f>
        <v>0.84133453234508293</v>
      </c>
      <c r="K8713">
        <f>AVERAGEIF(Table1[CountryCode],Table1[[#This Row],[CountryCode]],Table1[z-score])</f>
        <v>6.3697920427276927E-2</v>
      </c>
      <c r="L8713" t="e">
        <f>VLOOKUP(Table1[[#This Row],[CountryCode]],[1]!Table1[#All],1,FALSE)</f>
        <v>#REF!</v>
      </c>
    </row>
    <row r="8714" spans="1:12" hidden="1" x14ac:dyDescent="0.3">
      <c r="A8714" t="s">
        <v>55</v>
      </c>
      <c r="B8714" t="s">
        <v>56</v>
      </c>
      <c r="C8714" t="s">
        <v>129</v>
      </c>
      <c r="D8714" t="s">
        <v>130</v>
      </c>
      <c r="E8714">
        <v>2001</v>
      </c>
      <c r="F8714" s="1">
        <v>78</v>
      </c>
      <c r="G8714">
        <v>2000</v>
      </c>
      <c r="H8714">
        <f>AVERAGEIFS(Table1[value],Table1[IndicatorCode],Table1[[#This Row],[IndicatorCode]])</f>
        <v>72.66514008620689</v>
      </c>
      <c r="I8714" cm="1">
        <f t="array" ref="I8714">_xlfn.STDEV.P(IF(Table1[IndicatorCode]=Table1[[#This Row],[IndicatorCode]],Table1[value]))</f>
        <v>6.3409496564024987</v>
      </c>
      <c r="J8714">
        <f>(Table1[[#This Row],[value]] - Table1[[#This Row],[mean]]) / Table1[[#This Row],[std_dev]]</f>
        <v>0.84133453234508293</v>
      </c>
      <c r="K8714">
        <f>AVERAGEIF(Table1[CountryCode],Table1[[#This Row],[CountryCode]],Table1[z-score])</f>
        <v>6.3697920427276927E-2</v>
      </c>
      <c r="L8714" t="e">
        <f>VLOOKUP(Table1[[#This Row],[CountryCode]],[1]!Table1[#All],1,FALSE)</f>
        <v>#REF!</v>
      </c>
    </row>
    <row r="8715" spans="1:12" hidden="1" x14ac:dyDescent="0.3">
      <c r="A8715" t="s">
        <v>55</v>
      </c>
      <c r="B8715" t="s">
        <v>56</v>
      </c>
      <c r="C8715" t="s">
        <v>129</v>
      </c>
      <c r="D8715" t="s">
        <v>130</v>
      </c>
      <c r="E8715">
        <v>2002</v>
      </c>
      <c r="F8715" s="1">
        <v>79</v>
      </c>
      <c r="G8715">
        <v>2000</v>
      </c>
      <c r="H8715">
        <f>AVERAGEIFS(Table1[value],Table1[IndicatorCode],Table1[[#This Row],[IndicatorCode]])</f>
        <v>72.66514008620689</v>
      </c>
      <c r="I8715" cm="1">
        <f t="array" ref="I8715">_xlfn.STDEV.P(IF(Table1[IndicatorCode]=Table1[[#This Row],[IndicatorCode]],Table1[value]))</f>
        <v>6.3409496564024987</v>
      </c>
      <c r="J8715">
        <f>(Table1[[#This Row],[value]] - Table1[[#This Row],[mean]]) / Table1[[#This Row],[std_dev]]</f>
        <v>0.99903961662852192</v>
      </c>
      <c r="K8715">
        <f>AVERAGEIF(Table1[CountryCode],Table1[[#This Row],[CountryCode]],Table1[z-score])</f>
        <v>6.3697920427276927E-2</v>
      </c>
      <c r="L8715" t="e">
        <f>VLOOKUP(Table1[[#This Row],[CountryCode]],[1]!Table1[#All],1,FALSE)</f>
        <v>#REF!</v>
      </c>
    </row>
    <row r="8716" spans="1:12" hidden="1" x14ac:dyDescent="0.3">
      <c r="A8716" t="s">
        <v>55</v>
      </c>
      <c r="B8716" t="s">
        <v>56</v>
      </c>
      <c r="C8716" t="s">
        <v>129</v>
      </c>
      <c r="D8716" t="s">
        <v>130</v>
      </c>
      <c r="E8716">
        <v>2003</v>
      </c>
      <c r="F8716" s="1">
        <v>79</v>
      </c>
      <c r="G8716">
        <v>2000</v>
      </c>
      <c r="H8716">
        <f>AVERAGEIFS(Table1[value],Table1[IndicatorCode],Table1[[#This Row],[IndicatorCode]])</f>
        <v>72.66514008620689</v>
      </c>
      <c r="I8716" cm="1">
        <f t="array" ref="I8716">_xlfn.STDEV.P(IF(Table1[IndicatorCode]=Table1[[#This Row],[IndicatorCode]],Table1[value]))</f>
        <v>6.3409496564024987</v>
      </c>
      <c r="J8716">
        <f>(Table1[[#This Row],[value]] - Table1[[#This Row],[mean]]) / Table1[[#This Row],[std_dev]]</f>
        <v>0.99903961662852192</v>
      </c>
      <c r="K8716">
        <f>AVERAGEIF(Table1[CountryCode],Table1[[#This Row],[CountryCode]],Table1[z-score])</f>
        <v>6.3697920427276927E-2</v>
      </c>
      <c r="L8716" t="e">
        <f>VLOOKUP(Table1[[#This Row],[CountryCode]],[1]!Table1[#All],1,FALSE)</f>
        <v>#REF!</v>
      </c>
    </row>
    <row r="8717" spans="1:12" hidden="1" x14ac:dyDescent="0.3">
      <c r="A8717" t="s">
        <v>55</v>
      </c>
      <c r="B8717" t="s">
        <v>56</v>
      </c>
      <c r="C8717" t="s">
        <v>129</v>
      </c>
      <c r="D8717" t="s">
        <v>130</v>
      </c>
      <c r="E8717">
        <v>2004</v>
      </c>
      <c r="F8717" s="1">
        <v>79</v>
      </c>
      <c r="G8717">
        <v>2000</v>
      </c>
      <c r="H8717">
        <f>AVERAGEIFS(Table1[value],Table1[IndicatorCode],Table1[[#This Row],[IndicatorCode]])</f>
        <v>72.66514008620689</v>
      </c>
      <c r="I8717" cm="1">
        <f t="array" ref="I8717">_xlfn.STDEV.P(IF(Table1[IndicatorCode]=Table1[[#This Row],[IndicatorCode]],Table1[value]))</f>
        <v>6.3409496564024987</v>
      </c>
      <c r="J8717">
        <f>(Table1[[#This Row],[value]] - Table1[[#This Row],[mean]]) / Table1[[#This Row],[std_dev]]</f>
        <v>0.99903961662852192</v>
      </c>
      <c r="K8717">
        <f>AVERAGEIF(Table1[CountryCode],Table1[[#This Row],[CountryCode]],Table1[z-score])</f>
        <v>6.3697920427276927E-2</v>
      </c>
      <c r="L8717" t="e">
        <f>VLOOKUP(Table1[[#This Row],[CountryCode]],[1]!Table1[#All],1,FALSE)</f>
        <v>#REF!</v>
      </c>
    </row>
    <row r="8718" spans="1:12" hidden="1" x14ac:dyDescent="0.3">
      <c r="A8718" t="s">
        <v>55</v>
      </c>
      <c r="B8718" t="s">
        <v>56</v>
      </c>
      <c r="C8718" t="s">
        <v>129</v>
      </c>
      <c r="D8718" t="s">
        <v>130</v>
      </c>
      <c r="E8718">
        <v>2005</v>
      </c>
      <c r="F8718" s="1">
        <v>79</v>
      </c>
      <c r="G8718">
        <v>2000</v>
      </c>
      <c r="H8718">
        <f>AVERAGEIFS(Table1[value],Table1[IndicatorCode],Table1[[#This Row],[IndicatorCode]])</f>
        <v>72.66514008620689</v>
      </c>
      <c r="I8718" cm="1">
        <f t="array" ref="I8718">_xlfn.STDEV.P(IF(Table1[IndicatorCode]=Table1[[#This Row],[IndicatorCode]],Table1[value]))</f>
        <v>6.3409496564024987</v>
      </c>
      <c r="J8718">
        <f>(Table1[[#This Row],[value]] - Table1[[#This Row],[mean]]) / Table1[[#This Row],[std_dev]]</f>
        <v>0.99903961662852192</v>
      </c>
      <c r="K8718">
        <f>AVERAGEIF(Table1[CountryCode],Table1[[#This Row],[CountryCode]],Table1[z-score])</f>
        <v>6.3697920427276927E-2</v>
      </c>
      <c r="L8718" t="e">
        <f>VLOOKUP(Table1[[#This Row],[CountryCode]],[1]!Table1[#All],1,FALSE)</f>
        <v>#REF!</v>
      </c>
    </row>
    <row r="8719" spans="1:12" hidden="1" x14ac:dyDescent="0.3">
      <c r="A8719" t="s">
        <v>55</v>
      </c>
      <c r="B8719" t="s">
        <v>56</v>
      </c>
      <c r="C8719" t="s">
        <v>129</v>
      </c>
      <c r="D8719" t="s">
        <v>130</v>
      </c>
      <c r="E8719">
        <v>2006</v>
      </c>
      <c r="F8719" s="1">
        <v>79</v>
      </c>
      <c r="G8719">
        <v>2000</v>
      </c>
      <c r="H8719">
        <f>AVERAGEIFS(Table1[value],Table1[IndicatorCode],Table1[[#This Row],[IndicatorCode]])</f>
        <v>72.66514008620689</v>
      </c>
      <c r="I8719" cm="1">
        <f t="array" ref="I8719">_xlfn.STDEV.P(IF(Table1[IndicatorCode]=Table1[[#This Row],[IndicatorCode]],Table1[value]))</f>
        <v>6.3409496564024987</v>
      </c>
      <c r="J8719">
        <f>(Table1[[#This Row],[value]] - Table1[[#This Row],[mean]]) / Table1[[#This Row],[std_dev]]</f>
        <v>0.99903961662852192</v>
      </c>
      <c r="K8719">
        <f>AVERAGEIF(Table1[CountryCode],Table1[[#This Row],[CountryCode]],Table1[z-score])</f>
        <v>6.3697920427276927E-2</v>
      </c>
      <c r="L8719" t="e">
        <f>VLOOKUP(Table1[[#This Row],[CountryCode]],[1]!Table1[#All],1,FALSE)</f>
        <v>#REF!</v>
      </c>
    </row>
    <row r="8720" spans="1:12" hidden="1" x14ac:dyDescent="0.3">
      <c r="A8720" t="s">
        <v>55</v>
      </c>
      <c r="B8720" t="s">
        <v>56</v>
      </c>
      <c r="C8720" t="s">
        <v>129</v>
      </c>
      <c r="D8720" t="s">
        <v>130</v>
      </c>
      <c r="E8720">
        <v>2007</v>
      </c>
      <c r="F8720" s="1">
        <v>79</v>
      </c>
      <c r="G8720">
        <v>2010</v>
      </c>
      <c r="H8720">
        <f>AVERAGEIFS(Table1[value],Table1[IndicatorCode],Table1[[#This Row],[IndicatorCode]])</f>
        <v>72.66514008620689</v>
      </c>
      <c r="I8720" cm="1">
        <f t="array" ref="I8720">_xlfn.STDEV.P(IF(Table1[IndicatorCode]=Table1[[#This Row],[IndicatorCode]],Table1[value]))</f>
        <v>6.3409496564024987</v>
      </c>
      <c r="J8720">
        <f>(Table1[[#This Row],[value]] - Table1[[#This Row],[mean]]) / Table1[[#This Row],[std_dev]]</f>
        <v>0.99903961662852192</v>
      </c>
      <c r="K8720">
        <f>AVERAGEIF(Table1[CountryCode],Table1[[#This Row],[CountryCode]],Table1[z-score])</f>
        <v>6.3697920427276927E-2</v>
      </c>
      <c r="L8720" t="e">
        <f>VLOOKUP(Table1[[#This Row],[CountryCode]],[1]!Table1[#All],1,FALSE)</f>
        <v>#REF!</v>
      </c>
    </row>
    <row r="8721" spans="1:12" hidden="1" x14ac:dyDescent="0.3">
      <c r="A8721" t="s">
        <v>55</v>
      </c>
      <c r="B8721" t="s">
        <v>56</v>
      </c>
      <c r="C8721" t="s">
        <v>129</v>
      </c>
      <c r="D8721" t="s">
        <v>130</v>
      </c>
      <c r="E8721">
        <v>2008</v>
      </c>
      <c r="F8721" s="1">
        <v>80</v>
      </c>
      <c r="G8721">
        <v>2010</v>
      </c>
      <c r="H8721">
        <f>AVERAGEIFS(Table1[value],Table1[IndicatorCode],Table1[[#This Row],[IndicatorCode]])</f>
        <v>72.66514008620689</v>
      </c>
      <c r="I8721" cm="1">
        <f t="array" ref="I8721">_xlfn.STDEV.P(IF(Table1[IndicatorCode]=Table1[[#This Row],[IndicatorCode]],Table1[value]))</f>
        <v>6.3409496564024987</v>
      </c>
      <c r="J8721">
        <f>(Table1[[#This Row],[value]] - Table1[[#This Row],[mean]]) / Table1[[#This Row],[std_dev]]</f>
        <v>1.1567447009119609</v>
      </c>
      <c r="K8721">
        <f>AVERAGEIF(Table1[CountryCode],Table1[[#This Row],[CountryCode]],Table1[z-score])</f>
        <v>6.3697920427276927E-2</v>
      </c>
      <c r="L8721" t="e">
        <f>VLOOKUP(Table1[[#This Row],[CountryCode]],[1]!Table1[#All],1,FALSE)</f>
        <v>#REF!</v>
      </c>
    </row>
    <row r="8722" spans="1:12" hidden="1" x14ac:dyDescent="0.3">
      <c r="A8722" t="s">
        <v>55</v>
      </c>
      <c r="B8722" t="s">
        <v>56</v>
      </c>
      <c r="C8722" t="s">
        <v>129</v>
      </c>
      <c r="D8722" t="s">
        <v>130</v>
      </c>
      <c r="E8722">
        <v>2009</v>
      </c>
      <c r="F8722" s="1">
        <v>80</v>
      </c>
      <c r="G8722">
        <v>2010</v>
      </c>
      <c r="H8722">
        <f>AVERAGEIFS(Table1[value],Table1[IndicatorCode],Table1[[#This Row],[IndicatorCode]])</f>
        <v>72.66514008620689</v>
      </c>
      <c r="I8722" cm="1">
        <f t="array" ref="I8722">_xlfn.STDEV.P(IF(Table1[IndicatorCode]=Table1[[#This Row],[IndicatorCode]],Table1[value]))</f>
        <v>6.3409496564024987</v>
      </c>
      <c r="J8722">
        <f>(Table1[[#This Row],[value]] - Table1[[#This Row],[mean]]) / Table1[[#This Row],[std_dev]]</f>
        <v>1.1567447009119609</v>
      </c>
      <c r="K8722">
        <f>AVERAGEIF(Table1[CountryCode],Table1[[#This Row],[CountryCode]],Table1[z-score])</f>
        <v>6.3697920427276927E-2</v>
      </c>
      <c r="L8722" t="e">
        <f>VLOOKUP(Table1[[#This Row],[CountryCode]],[1]!Table1[#All],1,FALSE)</f>
        <v>#REF!</v>
      </c>
    </row>
    <row r="8723" spans="1:12" hidden="1" x14ac:dyDescent="0.3">
      <c r="A8723" t="s">
        <v>55</v>
      </c>
      <c r="B8723" t="s">
        <v>56</v>
      </c>
      <c r="C8723" t="s">
        <v>129</v>
      </c>
      <c r="D8723" t="s">
        <v>130</v>
      </c>
      <c r="E8723">
        <v>2010</v>
      </c>
      <c r="F8723" s="1">
        <v>80</v>
      </c>
      <c r="G8723">
        <v>2010</v>
      </c>
      <c r="H8723">
        <f>AVERAGEIFS(Table1[value],Table1[IndicatorCode],Table1[[#This Row],[IndicatorCode]])</f>
        <v>72.66514008620689</v>
      </c>
      <c r="I8723" cm="1">
        <f t="array" ref="I8723">_xlfn.STDEV.P(IF(Table1[IndicatorCode]=Table1[[#This Row],[IndicatorCode]],Table1[value]))</f>
        <v>6.3409496564024987</v>
      </c>
      <c r="J8723">
        <f>(Table1[[#This Row],[value]] - Table1[[#This Row],[mean]]) / Table1[[#This Row],[std_dev]]</f>
        <v>1.1567447009119609</v>
      </c>
      <c r="K8723">
        <f>AVERAGEIF(Table1[CountryCode],Table1[[#This Row],[CountryCode]],Table1[z-score])</f>
        <v>6.3697920427276927E-2</v>
      </c>
      <c r="L8723" t="e">
        <f>VLOOKUP(Table1[[#This Row],[CountryCode]],[1]!Table1[#All],1,FALSE)</f>
        <v>#REF!</v>
      </c>
    </row>
    <row r="8724" spans="1:12" hidden="1" x14ac:dyDescent="0.3">
      <c r="A8724" t="s">
        <v>55</v>
      </c>
      <c r="B8724" t="s">
        <v>56</v>
      </c>
      <c r="C8724" t="s">
        <v>129</v>
      </c>
      <c r="D8724" t="s">
        <v>130</v>
      </c>
      <c r="E8724">
        <v>2011</v>
      </c>
      <c r="F8724" s="1">
        <v>81</v>
      </c>
      <c r="G8724">
        <v>2010</v>
      </c>
      <c r="H8724">
        <f>AVERAGEIFS(Table1[value],Table1[IndicatorCode],Table1[[#This Row],[IndicatorCode]])</f>
        <v>72.66514008620689</v>
      </c>
      <c r="I8724" cm="1">
        <f t="array" ref="I8724">_xlfn.STDEV.P(IF(Table1[IndicatorCode]=Table1[[#This Row],[IndicatorCode]],Table1[value]))</f>
        <v>6.3409496564024987</v>
      </c>
      <c r="J8724">
        <f>(Table1[[#This Row],[value]] - Table1[[#This Row],[mean]]) / Table1[[#This Row],[std_dev]]</f>
        <v>1.3144497851954</v>
      </c>
      <c r="K8724">
        <f>AVERAGEIF(Table1[CountryCode],Table1[[#This Row],[CountryCode]],Table1[z-score])</f>
        <v>6.3697920427276927E-2</v>
      </c>
      <c r="L8724" t="e">
        <f>VLOOKUP(Table1[[#This Row],[CountryCode]],[1]!Table1[#All],1,FALSE)</f>
        <v>#REF!</v>
      </c>
    </row>
    <row r="8725" spans="1:12" hidden="1" x14ac:dyDescent="0.3">
      <c r="A8725" t="s">
        <v>55</v>
      </c>
      <c r="B8725" t="s">
        <v>56</v>
      </c>
      <c r="C8725" t="s">
        <v>129</v>
      </c>
      <c r="D8725" t="s">
        <v>130</v>
      </c>
      <c r="E8725">
        <v>2012</v>
      </c>
      <c r="F8725" s="1">
        <v>81</v>
      </c>
      <c r="G8725">
        <v>2010</v>
      </c>
      <c r="H8725">
        <f>AVERAGEIFS(Table1[value],Table1[IndicatorCode],Table1[[#This Row],[IndicatorCode]])</f>
        <v>72.66514008620689</v>
      </c>
      <c r="I8725" cm="1">
        <f t="array" ref="I8725">_xlfn.STDEV.P(IF(Table1[IndicatorCode]=Table1[[#This Row],[IndicatorCode]],Table1[value]))</f>
        <v>6.3409496564024987</v>
      </c>
      <c r="J8725">
        <f>(Table1[[#This Row],[value]] - Table1[[#This Row],[mean]]) / Table1[[#This Row],[std_dev]]</f>
        <v>1.3144497851954</v>
      </c>
      <c r="K8725">
        <f>AVERAGEIF(Table1[CountryCode],Table1[[#This Row],[CountryCode]],Table1[z-score])</f>
        <v>6.3697920427276927E-2</v>
      </c>
      <c r="L8725" t="e">
        <f>VLOOKUP(Table1[[#This Row],[CountryCode]],[1]!Table1[#All],1,FALSE)</f>
        <v>#REF!</v>
      </c>
    </row>
    <row r="8726" spans="1:12" hidden="1" x14ac:dyDescent="0.3">
      <c r="A8726" t="s">
        <v>55</v>
      </c>
      <c r="B8726" t="s">
        <v>56</v>
      </c>
      <c r="C8726" t="s">
        <v>129</v>
      </c>
      <c r="D8726" t="s">
        <v>130</v>
      </c>
      <c r="E8726">
        <v>2013</v>
      </c>
      <c r="F8726" s="1">
        <v>81</v>
      </c>
      <c r="G8726">
        <v>2010</v>
      </c>
      <c r="H8726">
        <f>AVERAGEIFS(Table1[value],Table1[IndicatorCode],Table1[[#This Row],[IndicatorCode]])</f>
        <v>72.66514008620689</v>
      </c>
      <c r="I8726" cm="1">
        <f t="array" ref="I8726">_xlfn.STDEV.P(IF(Table1[IndicatorCode]=Table1[[#This Row],[IndicatorCode]],Table1[value]))</f>
        <v>6.3409496564024987</v>
      </c>
      <c r="J8726">
        <f>(Table1[[#This Row],[value]] - Table1[[#This Row],[mean]]) / Table1[[#This Row],[std_dev]]</f>
        <v>1.3144497851954</v>
      </c>
      <c r="K8726">
        <f>AVERAGEIF(Table1[CountryCode],Table1[[#This Row],[CountryCode]],Table1[z-score])</f>
        <v>6.3697920427276927E-2</v>
      </c>
      <c r="L8726" t="e">
        <f>VLOOKUP(Table1[[#This Row],[CountryCode]],[1]!Table1[#All],1,FALSE)</f>
        <v>#REF!</v>
      </c>
    </row>
    <row r="8727" spans="1:12" hidden="1" x14ac:dyDescent="0.3">
      <c r="A8727" t="s">
        <v>55</v>
      </c>
      <c r="B8727" t="s">
        <v>56</v>
      </c>
      <c r="C8727" t="s">
        <v>129</v>
      </c>
      <c r="D8727" t="s">
        <v>130</v>
      </c>
      <c r="E8727">
        <v>2014</v>
      </c>
      <c r="F8727" s="1">
        <v>81</v>
      </c>
      <c r="G8727">
        <v>2010</v>
      </c>
      <c r="H8727">
        <f>AVERAGEIFS(Table1[value],Table1[IndicatorCode],Table1[[#This Row],[IndicatorCode]])</f>
        <v>72.66514008620689</v>
      </c>
      <c r="I8727" cm="1">
        <f t="array" ref="I8727">_xlfn.STDEV.P(IF(Table1[IndicatorCode]=Table1[[#This Row],[IndicatorCode]],Table1[value]))</f>
        <v>6.3409496564024987</v>
      </c>
      <c r="J8727">
        <f>(Table1[[#This Row],[value]] - Table1[[#This Row],[mean]]) / Table1[[#This Row],[std_dev]]</f>
        <v>1.3144497851954</v>
      </c>
      <c r="K8727">
        <f>AVERAGEIF(Table1[CountryCode],Table1[[#This Row],[CountryCode]],Table1[z-score])</f>
        <v>6.3697920427276927E-2</v>
      </c>
      <c r="L8727" t="e">
        <f>VLOOKUP(Table1[[#This Row],[CountryCode]],[1]!Table1[#All],1,FALSE)</f>
        <v>#REF!</v>
      </c>
    </row>
    <row r="8728" spans="1:12" hidden="1" x14ac:dyDescent="0.3">
      <c r="A8728" t="s">
        <v>55</v>
      </c>
      <c r="B8728" t="s">
        <v>56</v>
      </c>
      <c r="C8728" t="s">
        <v>129</v>
      </c>
      <c r="D8728" t="s">
        <v>130</v>
      </c>
      <c r="E8728">
        <v>2015</v>
      </c>
      <c r="F8728" s="1">
        <v>81</v>
      </c>
      <c r="G8728">
        <v>2010</v>
      </c>
      <c r="H8728">
        <f>AVERAGEIFS(Table1[value],Table1[IndicatorCode],Table1[[#This Row],[IndicatorCode]])</f>
        <v>72.66514008620689</v>
      </c>
      <c r="I8728" cm="1">
        <f t="array" ref="I8728">_xlfn.STDEV.P(IF(Table1[IndicatorCode]=Table1[[#This Row],[IndicatorCode]],Table1[value]))</f>
        <v>6.3409496564024987</v>
      </c>
      <c r="J8728">
        <f>(Table1[[#This Row],[value]] - Table1[[#This Row],[mean]]) / Table1[[#This Row],[std_dev]]</f>
        <v>1.3144497851954</v>
      </c>
      <c r="K8728">
        <f>AVERAGEIF(Table1[CountryCode],Table1[[#This Row],[CountryCode]],Table1[z-score])</f>
        <v>6.3697920427276927E-2</v>
      </c>
      <c r="L8728" t="e">
        <f>VLOOKUP(Table1[[#This Row],[CountryCode]],[1]!Table1[#All],1,FALSE)</f>
        <v>#REF!</v>
      </c>
    </row>
    <row r="8729" spans="1:12" hidden="1" x14ac:dyDescent="0.3">
      <c r="A8729" t="s">
        <v>55</v>
      </c>
      <c r="B8729" t="s">
        <v>56</v>
      </c>
      <c r="C8729" t="s">
        <v>129</v>
      </c>
      <c r="D8729" t="s">
        <v>130</v>
      </c>
      <c r="E8729">
        <v>2016</v>
      </c>
      <c r="F8729" s="1">
        <v>81</v>
      </c>
      <c r="G8729">
        <v>2010</v>
      </c>
      <c r="H8729">
        <f>AVERAGEIFS(Table1[value],Table1[IndicatorCode],Table1[[#This Row],[IndicatorCode]])</f>
        <v>72.66514008620689</v>
      </c>
      <c r="I8729" cm="1">
        <f t="array" ref="I8729">_xlfn.STDEV.P(IF(Table1[IndicatorCode]=Table1[[#This Row],[IndicatorCode]],Table1[value]))</f>
        <v>6.3409496564024987</v>
      </c>
      <c r="J8729">
        <f>(Table1[[#This Row],[value]] - Table1[[#This Row],[mean]]) / Table1[[#This Row],[std_dev]]</f>
        <v>1.3144497851954</v>
      </c>
      <c r="K8729">
        <f>AVERAGEIF(Table1[CountryCode],Table1[[#This Row],[CountryCode]],Table1[z-score])</f>
        <v>6.3697920427276927E-2</v>
      </c>
      <c r="L8729" t="e">
        <f>VLOOKUP(Table1[[#This Row],[CountryCode]],[1]!Table1[#All],1,FALSE)</f>
        <v>#REF!</v>
      </c>
    </row>
    <row r="8730" spans="1:12" hidden="1" x14ac:dyDescent="0.3">
      <c r="A8730" t="s">
        <v>55</v>
      </c>
      <c r="B8730" t="s">
        <v>56</v>
      </c>
      <c r="C8730" t="s">
        <v>129</v>
      </c>
      <c r="D8730" t="s">
        <v>130</v>
      </c>
      <c r="E8730">
        <v>2017</v>
      </c>
      <c r="F8730" s="1">
        <v>81</v>
      </c>
      <c r="G8730">
        <v>2020</v>
      </c>
      <c r="H8730">
        <f>AVERAGEIFS(Table1[value],Table1[IndicatorCode],Table1[[#This Row],[IndicatorCode]])</f>
        <v>72.66514008620689</v>
      </c>
      <c r="I8730" cm="1">
        <f t="array" ref="I8730">_xlfn.STDEV.P(IF(Table1[IndicatorCode]=Table1[[#This Row],[IndicatorCode]],Table1[value]))</f>
        <v>6.3409496564024987</v>
      </c>
      <c r="J8730">
        <f>(Table1[[#This Row],[value]] - Table1[[#This Row],[mean]]) / Table1[[#This Row],[std_dev]]</f>
        <v>1.3144497851954</v>
      </c>
      <c r="K8730">
        <f>AVERAGEIF(Table1[CountryCode],Table1[[#This Row],[CountryCode]],Table1[z-score])</f>
        <v>6.3697920427276927E-2</v>
      </c>
      <c r="L8730" t="e">
        <f>VLOOKUP(Table1[[#This Row],[CountryCode]],[1]!Table1[#All],1,FALSE)</f>
        <v>#REF!</v>
      </c>
    </row>
    <row r="8731" spans="1:12" hidden="1" x14ac:dyDescent="0.3">
      <c r="A8731" t="s">
        <v>55</v>
      </c>
      <c r="B8731" t="s">
        <v>56</v>
      </c>
      <c r="C8731" t="s">
        <v>129</v>
      </c>
      <c r="D8731" t="s">
        <v>130</v>
      </c>
      <c r="E8731">
        <v>2018</v>
      </c>
      <c r="F8731" s="1">
        <v>82</v>
      </c>
      <c r="G8731">
        <v>2020</v>
      </c>
      <c r="H8731">
        <f>AVERAGEIFS(Table1[value],Table1[IndicatorCode],Table1[[#This Row],[IndicatorCode]])</f>
        <v>72.66514008620689</v>
      </c>
      <c r="I8731" cm="1">
        <f t="array" ref="I8731">_xlfn.STDEV.P(IF(Table1[IndicatorCode]=Table1[[#This Row],[IndicatorCode]],Table1[value]))</f>
        <v>6.3409496564024987</v>
      </c>
      <c r="J8731">
        <f>(Table1[[#This Row],[value]] - Table1[[#This Row],[mean]]) / Table1[[#This Row],[std_dev]]</f>
        <v>1.4721548694788391</v>
      </c>
      <c r="K8731">
        <f>AVERAGEIF(Table1[CountryCode],Table1[[#This Row],[CountryCode]],Table1[z-score])</f>
        <v>6.3697920427276927E-2</v>
      </c>
      <c r="L8731" t="e">
        <f>VLOOKUP(Table1[[#This Row],[CountryCode]],[1]!Table1[#All],1,FALSE)</f>
        <v>#REF!</v>
      </c>
    </row>
    <row r="8732" spans="1:12" hidden="1" x14ac:dyDescent="0.3">
      <c r="A8732" t="s">
        <v>55</v>
      </c>
      <c r="B8732" t="s">
        <v>56</v>
      </c>
      <c r="C8732" t="s">
        <v>129</v>
      </c>
      <c r="D8732" t="s">
        <v>130</v>
      </c>
      <c r="E8732">
        <v>2019</v>
      </c>
      <c r="F8732" s="1">
        <v>82</v>
      </c>
      <c r="G8732">
        <v>2020</v>
      </c>
      <c r="H8732">
        <f>AVERAGEIFS(Table1[value],Table1[IndicatorCode],Table1[[#This Row],[IndicatorCode]])</f>
        <v>72.66514008620689</v>
      </c>
      <c r="I8732" cm="1">
        <f t="array" ref="I8732">_xlfn.STDEV.P(IF(Table1[IndicatorCode]=Table1[[#This Row],[IndicatorCode]],Table1[value]))</f>
        <v>6.3409496564024987</v>
      </c>
      <c r="J8732">
        <f>(Table1[[#This Row],[value]] - Table1[[#This Row],[mean]]) / Table1[[#This Row],[std_dev]]</f>
        <v>1.4721548694788391</v>
      </c>
      <c r="K8732">
        <f>AVERAGEIF(Table1[CountryCode],Table1[[#This Row],[CountryCode]],Table1[z-score])</f>
        <v>6.3697920427276927E-2</v>
      </c>
      <c r="L8732" t="e">
        <f>VLOOKUP(Table1[[#This Row],[CountryCode]],[1]!Table1[#All],1,FALSE)</f>
        <v>#REF!</v>
      </c>
    </row>
    <row r="8733" spans="1:12" x14ac:dyDescent="0.3">
      <c r="A8733" t="s">
        <v>55</v>
      </c>
      <c r="B8733" t="s">
        <v>56</v>
      </c>
      <c r="C8733" t="s">
        <v>129</v>
      </c>
      <c r="D8733" t="s">
        <v>130</v>
      </c>
      <c r="E8733">
        <v>2020</v>
      </c>
      <c r="F8733" s="1">
        <v>81</v>
      </c>
      <c r="G8733">
        <v>2020</v>
      </c>
      <c r="H8733">
        <f>AVERAGEIFS(Table1[value],Table1[IndicatorCode],Table1[[#This Row],[IndicatorCode]])</f>
        <v>72.66514008620689</v>
      </c>
      <c r="I8733" cm="1">
        <f t="array" ref="I8733">_xlfn.STDEV.P(IF(Table1[IndicatorCode]=Table1[[#This Row],[IndicatorCode]],Table1[value]))</f>
        <v>6.3409496564024987</v>
      </c>
      <c r="J8733">
        <f>(Table1[[#This Row],[value]] - Table1[[#This Row],[mean]]) / Table1[[#This Row],[std_dev]]</f>
        <v>1.3144497851954</v>
      </c>
      <c r="K8733">
        <f>AVERAGEIF(Table1[CountryCode],Table1[[#This Row],[CountryCode]],Table1[z-score])</f>
        <v>6.3697920427276927E-2</v>
      </c>
    </row>
    <row r="8734" spans="1:12" hidden="1" x14ac:dyDescent="0.3">
      <c r="A8734" t="s">
        <v>55</v>
      </c>
      <c r="B8734" t="s">
        <v>56</v>
      </c>
      <c r="C8734" t="s">
        <v>129</v>
      </c>
      <c r="D8734" t="s">
        <v>130</v>
      </c>
      <c r="E8734">
        <v>2021</v>
      </c>
      <c r="F8734" s="1">
        <v>80</v>
      </c>
      <c r="G8734">
        <v>1960</v>
      </c>
      <c r="H8734">
        <f>AVERAGEIFS(Table1[value],Table1[IndicatorCode],Table1[[#This Row],[IndicatorCode]])</f>
        <v>72.66514008620689</v>
      </c>
      <c r="I8734" cm="1">
        <f t="array" ref="I8734">_xlfn.STDEV.P(IF(Table1[IndicatorCode]=Table1[[#This Row],[IndicatorCode]],Table1[value]))</f>
        <v>6.3409496564024987</v>
      </c>
      <c r="J8734">
        <f>(Table1[[#This Row],[value]] - Table1[[#This Row],[mean]]) / Table1[[#This Row],[std_dev]]</f>
        <v>1.1567447009119609</v>
      </c>
      <c r="K8734">
        <f>AVERAGEIF(Table1[CountryCode],Table1[[#This Row],[CountryCode]],Table1[z-score])</f>
        <v>6.3697920427276927E-2</v>
      </c>
      <c r="L8734" t="e">
        <f>VLOOKUP(Table1[[#This Row],[CountryCode]],[1]!Table1[#All],1,FALSE)</f>
        <v>#REF!</v>
      </c>
    </row>
    <row r="8735" spans="1:12" hidden="1" x14ac:dyDescent="0.3">
      <c r="A8735" t="s">
        <v>55</v>
      </c>
      <c r="B8735" t="s">
        <v>56</v>
      </c>
      <c r="C8735" t="s">
        <v>129</v>
      </c>
      <c r="D8735" t="s">
        <v>130</v>
      </c>
      <c r="E8735">
        <v>2022</v>
      </c>
      <c r="F8735" s="1">
        <v>81</v>
      </c>
      <c r="G8735">
        <v>1960</v>
      </c>
      <c r="H8735">
        <f>AVERAGEIFS(Table1[value],Table1[IndicatorCode],Table1[[#This Row],[IndicatorCode]])</f>
        <v>72.66514008620689</v>
      </c>
      <c r="I8735" cm="1">
        <f t="array" ref="I8735">_xlfn.STDEV.P(IF(Table1[IndicatorCode]=Table1[[#This Row],[IndicatorCode]],Table1[value]))</f>
        <v>6.3409496564024987</v>
      </c>
      <c r="J8735">
        <f>(Table1[[#This Row],[value]] - Table1[[#This Row],[mean]]) / Table1[[#This Row],[std_dev]]</f>
        <v>1.3144497851954</v>
      </c>
      <c r="K8735">
        <f>AVERAGEIF(Table1[CountryCode],Table1[[#This Row],[CountryCode]],Table1[z-score])</f>
        <v>6.3697920427276927E-2</v>
      </c>
      <c r="L8735" t="e">
        <f>VLOOKUP(Table1[[#This Row],[CountryCode]],[1]!Table1[#All],1,FALSE)</f>
        <v>#REF!</v>
      </c>
    </row>
    <row r="8736" spans="1:12" hidden="1" x14ac:dyDescent="0.3">
      <c r="A8736" t="s">
        <v>55</v>
      </c>
      <c r="B8736" t="s">
        <v>56</v>
      </c>
      <c r="C8736" t="s">
        <v>129</v>
      </c>
      <c r="D8736" t="s">
        <v>130</v>
      </c>
      <c r="E8736">
        <v>2023</v>
      </c>
      <c r="F8736" s="1">
        <v>82</v>
      </c>
      <c r="G8736">
        <v>1960</v>
      </c>
      <c r="H8736">
        <f>AVERAGEIFS(Table1[value],Table1[IndicatorCode],Table1[[#This Row],[IndicatorCode]])</f>
        <v>72.66514008620689</v>
      </c>
      <c r="I8736" cm="1">
        <f t="array" ref="I8736">_xlfn.STDEV.P(IF(Table1[IndicatorCode]=Table1[[#This Row],[IndicatorCode]],Table1[value]))</f>
        <v>6.3409496564024987</v>
      </c>
      <c r="J8736">
        <f>(Table1[[#This Row],[value]] - Table1[[#This Row],[mean]]) / Table1[[#This Row],[std_dev]]</f>
        <v>1.4721548694788391</v>
      </c>
      <c r="K8736">
        <f>AVERAGEIF(Table1[CountryCode],Table1[[#This Row],[CountryCode]],Table1[z-score])</f>
        <v>6.3697920427276927E-2</v>
      </c>
      <c r="L8736" t="e">
        <f>VLOOKUP(Table1[[#This Row],[CountryCode]],[1]!Table1[#All],1,FALSE)</f>
        <v>#REF!</v>
      </c>
    </row>
    <row r="8737" spans="1:12" hidden="1" x14ac:dyDescent="0.3">
      <c r="A8737" t="s">
        <v>57</v>
      </c>
      <c r="B8737" t="s">
        <v>58</v>
      </c>
      <c r="C8737" t="s">
        <v>129</v>
      </c>
      <c r="D8737" t="s">
        <v>130</v>
      </c>
      <c r="E8737">
        <v>1960</v>
      </c>
      <c r="F8737" s="1">
        <v>59</v>
      </c>
      <c r="G8737">
        <v>1960</v>
      </c>
      <c r="H8737">
        <f>AVERAGEIFS(Table1[value],Table1[IndicatorCode],Table1[[#This Row],[IndicatorCode]])</f>
        <v>72.66514008620689</v>
      </c>
      <c r="I8737" cm="1">
        <f t="array" ref="I8737">_xlfn.STDEV.P(IF(Table1[IndicatorCode]=Table1[[#This Row],[IndicatorCode]],Table1[value]))</f>
        <v>6.3409496564024987</v>
      </c>
      <c r="J8737">
        <f>(Table1[[#This Row],[value]] - Table1[[#This Row],[mean]]) / Table1[[#This Row],[std_dev]]</f>
        <v>-2.1550620690402593</v>
      </c>
      <c r="K8737">
        <f>AVERAGEIF(Table1[CountryCode],Table1[[#This Row],[CountryCode]],Table1[z-score])</f>
        <v>-0.42188835181926676</v>
      </c>
      <c r="L8737" t="e">
        <f>VLOOKUP(Table1[[#This Row],[CountryCode]],[1]!Table1[#All],1,FALSE)</f>
        <v>#REF!</v>
      </c>
    </row>
    <row r="8738" spans="1:12" hidden="1" x14ac:dyDescent="0.3">
      <c r="A8738" t="s">
        <v>57</v>
      </c>
      <c r="B8738" t="s">
        <v>58</v>
      </c>
      <c r="C8738" t="s">
        <v>129</v>
      </c>
      <c r="D8738" t="s">
        <v>130</v>
      </c>
      <c r="E8738">
        <v>1961</v>
      </c>
      <c r="F8738" s="1">
        <v>59</v>
      </c>
      <c r="G8738">
        <v>1960</v>
      </c>
      <c r="H8738">
        <f>AVERAGEIFS(Table1[value],Table1[IndicatorCode],Table1[[#This Row],[IndicatorCode]])</f>
        <v>72.66514008620689</v>
      </c>
      <c r="I8738" cm="1">
        <f t="array" ref="I8738">_xlfn.STDEV.P(IF(Table1[IndicatorCode]=Table1[[#This Row],[IndicatorCode]],Table1[value]))</f>
        <v>6.3409496564024987</v>
      </c>
      <c r="J8738">
        <f>(Table1[[#This Row],[value]] - Table1[[#This Row],[mean]]) / Table1[[#This Row],[std_dev]]</f>
        <v>-2.1550620690402593</v>
      </c>
      <c r="K8738">
        <f>AVERAGEIF(Table1[CountryCode],Table1[[#This Row],[CountryCode]],Table1[z-score])</f>
        <v>-0.42188835181926676</v>
      </c>
      <c r="L8738" t="e">
        <f>VLOOKUP(Table1[[#This Row],[CountryCode]],[1]!Table1[#All],1,FALSE)</f>
        <v>#REF!</v>
      </c>
    </row>
    <row r="8739" spans="1:12" hidden="1" x14ac:dyDescent="0.3">
      <c r="A8739" t="s">
        <v>57</v>
      </c>
      <c r="B8739" t="s">
        <v>58</v>
      </c>
      <c r="C8739" t="s">
        <v>129</v>
      </c>
      <c r="D8739" t="s">
        <v>130</v>
      </c>
      <c r="E8739">
        <v>1962</v>
      </c>
      <c r="F8739" s="1">
        <v>60</v>
      </c>
      <c r="G8739">
        <v>1960</v>
      </c>
      <c r="H8739">
        <f>AVERAGEIFS(Table1[value],Table1[IndicatorCode],Table1[[#This Row],[IndicatorCode]])</f>
        <v>72.66514008620689</v>
      </c>
      <c r="I8739" cm="1">
        <f t="array" ref="I8739">_xlfn.STDEV.P(IF(Table1[IndicatorCode]=Table1[[#This Row],[IndicatorCode]],Table1[value]))</f>
        <v>6.3409496564024987</v>
      </c>
      <c r="J8739">
        <f>(Table1[[#This Row],[value]] - Table1[[#This Row],[mean]]) / Table1[[#This Row],[std_dev]]</f>
        <v>-1.9973569847568202</v>
      </c>
      <c r="K8739">
        <f>AVERAGEIF(Table1[CountryCode],Table1[[#This Row],[CountryCode]],Table1[z-score])</f>
        <v>-0.42188835181926676</v>
      </c>
      <c r="L8739" t="e">
        <f>VLOOKUP(Table1[[#This Row],[CountryCode]],[1]!Table1[#All],1,FALSE)</f>
        <v>#REF!</v>
      </c>
    </row>
    <row r="8740" spans="1:12" hidden="1" x14ac:dyDescent="0.3">
      <c r="A8740" t="s">
        <v>57</v>
      </c>
      <c r="B8740" t="s">
        <v>58</v>
      </c>
      <c r="C8740" t="s">
        <v>129</v>
      </c>
      <c r="D8740" t="s">
        <v>130</v>
      </c>
      <c r="E8740">
        <v>1963</v>
      </c>
      <c r="F8740" s="1">
        <v>60</v>
      </c>
      <c r="G8740">
        <v>1960</v>
      </c>
      <c r="H8740">
        <f>AVERAGEIFS(Table1[value],Table1[IndicatorCode],Table1[[#This Row],[IndicatorCode]])</f>
        <v>72.66514008620689</v>
      </c>
      <c r="I8740" cm="1">
        <f t="array" ref="I8740">_xlfn.STDEV.P(IF(Table1[IndicatorCode]=Table1[[#This Row],[IndicatorCode]],Table1[value]))</f>
        <v>6.3409496564024987</v>
      </c>
      <c r="J8740">
        <f>(Table1[[#This Row],[value]] - Table1[[#This Row],[mean]]) / Table1[[#This Row],[std_dev]]</f>
        <v>-1.9973569847568202</v>
      </c>
      <c r="K8740">
        <f>AVERAGEIF(Table1[CountryCode],Table1[[#This Row],[CountryCode]],Table1[z-score])</f>
        <v>-0.42188835181926676</v>
      </c>
      <c r="L8740" t="e">
        <f>VLOOKUP(Table1[[#This Row],[CountryCode]],[1]!Table1[#All],1,FALSE)</f>
        <v>#REF!</v>
      </c>
    </row>
    <row r="8741" spans="1:12" hidden="1" x14ac:dyDescent="0.3">
      <c r="A8741" t="s">
        <v>57</v>
      </c>
      <c r="B8741" t="s">
        <v>58</v>
      </c>
      <c r="C8741" t="s">
        <v>129</v>
      </c>
      <c r="D8741" t="s">
        <v>130</v>
      </c>
      <c r="E8741">
        <v>1964</v>
      </c>
      <c r="F8741" s="1">
        <v>61</v>
      </c>
      <c r="G8741">
        <v>1960</v>
      </c>
      <c r="H8741">
        <f>AVERAGEIFS(Table1[value],Table1[IndicatorCode],Table1[[#This Row],[IndicatorCode]])</f>
        <v>72.66514008620689</v>
      </c>
      <c r="I8741" cm="1">
        <f t="array" ref="I8741">_xlfn.STDEV.P(IF(Table1[IndicatorCode]=Table1[[#This Row],[IndicatorCode]],Table1[value]))</f>
        <v>6.3409496564024987</v>
      </c>
      <c r="J8741">
        <f>(Table1[[#This Row],[value]] - Table1[[#This Row],[mean]]) / Table1[[#This Row],[std_dev]]</f>
        <v>-1.8396519004733811</v>
      </c>
      <c r="K8741">
        <f>AVERAGEIF(Table1[CountryCode],Table1[[#This Row],[CountryCode]],Table1[z-score])</f>
        <v>-0.42188835181926676</v>
      </c>
      <c r="L8741" t="e">
        <f>VLOOKUP(Table1[[#This Row],[CountryCode]],[1]!Table1[#All],1,FALSE)</f>
        <v>#REF!</v>
      </c>
    </row>
    <row r="8742" spans="1:12" hidden="1" x14ac:dyDescent="0.3">
      <c r="A8742" t="s">
        <v>57</v>
      </c>
      <c r="B8742" t="s">
        <v>58</v>
      </c>
      <c r="C8742" t="s">
        <v>129</v>
      </c>
      <c r="D8742" t="s">
        <v>130</v>
      </c>
      <c r="E8742">
        <v>1965</v>
      </c>
      <c r="F8742" s="1">
        <v>61</v>
      </c>
      <c r="G8742">
        <v>1960</v>
      </c>
      <c r="H8742">
        <f>AVERAGEIFS(Table1[value],Table1[IndicatorCode],Table1[[#This Row],[IndicatorCode]])</f>
        <v>72.66514008620689</v>
      </c>
      <c r="I8742" cm="1">
        <f t="array" ref="I8742">_xlfn.STDEV.P(IF(Table1[IndicatorCode]=Table1[[#This Row],[IndicatorCode]],Table1[value]))</f>
        <v>6.3409496564024987</v>
      </c>
      <c r="J8742">
        <f>(Table1[[#This Row],[value]] - Table1[[#This Row],[mean]]) / Table1[[#This Row],[std_dev]]</f>
        <v>-1.8396519004733811</v>
      </c>
      <c r="K8742">
        <f>AVERAGEIF(Table1[CountryCode],Table1[[#This Row],[CountryCode]],Table1[z-score])</f>
        <v>-0.42188835181926676</v>
      </c>
      <c r="L8742" t="e">
        <f>VLOOKUP(Table1[[#This Row],[CountryCode]],[1]!Table1[#All],1,FALSE)</f>
        <v>#REF!</v>
      </c>
    </row>
    <row r="8743" spans="1:12" hidden="1" x14ac:dyDescent="0.3">
      <c r="A8743" t="s">
        <v>57</v>
      </c>
      <c r="B8743" t="s">
        <v>58</v>
      </c>
      <c r="C8743" t="s">
        <v>129</v>
      </c>
      <c r="D8743" t="s">
        <v>130</v>
      </c>
      <c r="E8743">
        <v>1966</v>
      </c>
      <c r="F8743" s="1">
        <v>62</v>
      </c>
      <c r="G8743">
        <v>1960</v>
      </c>
      <c r="H8743">
        <f>AVERAGEIFS(Table1[value],Table1[IndicatorCode],Table1[[#This Row],[IndicatorCode]])</f>
        <v>72.66514008620689</v>
      </c>
      <c r="I8743" cm="1">
        <f t="array" ref="I8743">_xlfn.STDEV.P(IF(Table1[IndicatorCode]=Table1[[#This Row],[IndicatorCode]],Table1[value]))</f>
        <v>6.3409496564024987</v>
      </c>
      <c r="J8743">
        <f>(Table1[[#This Row],[value]] - Table1[[#This Row],[mean]]) / Table1[[#This Row],[std_dev]]</f>
        <v>-1.681946816189942</v>
      </c>
      <c r="K8743">
        <f>AVERAGEIF(Table1[CountryCode],Table1[[#This Row],[CountryCode]],Table1[z-score])</f>
        <v>-0.42188835181926676</v>
      </c>
      <c r="L8743" t="e">
        <f>VLOOKUP(Table1[[#This Row],[CountryCode]],[1]!Table1[#All],1,FALSE)</f>
        <v>#REF!</v>
      </c>
    </row>
    <row r="8744" spans="1:12" hidden="1" x14ac:dyDescent="0.3">
      <c r="A8744" t="s">
        <v>57</v>
      </c>
      <c r="B8744" t="s">
        <v>58</v>
      </c>
      <c r="C8744" t="s">
        <v>129</v>
      </c>
      <c r="D8744" t="s">
        <v>130</v>
      </c>
      <c r="E8744">
        <v>1967</v>
      </c>
      <c r="F8744" s="1">
        <v>62</v>
      </c>
      <c r="G8744">
        <v>1970</v>
      </c>
      <c r="H8744">
        <f>AVERAGEIFS(Table1[value],Table1[IndicatorCode],Table1[[#This Row],[IndicatorCode]])</f>
        <v>72.66514008620689</v>
      </c>
      <c r="I8744" cm="1">
        <f t="array" ref="I8744">_xlfn.STDEV.P(IF(Table1[IndicatorCode]=Table1[[#This Row],[IndicatorCode]],Table1[value]))</f>
        <v>6.3409496564024987</v>
      </c>
      <c r="J8744">
        <f>(Table1[[#This Row],[value]] - Table1[[#This Row],[mean]]) / Table1[[#This Row],[std_dev]]</f>
        <v>-1.681946816189942</v>
      </c>
      <c r="K8744">
        <f>AVERAGEIF(Table1[CountryCode],Table1[[#This Row],[CountryCode]],Table1[z-score])</f>
        <v>-0.42188835181926676</v>
      </c>
      <c r="L8744" t="e">
        <f>VLOOKUP(Table1[[#This Row],[CountryCode]],[1]!Table1[#All],1,FALSE)</f>
        <v>#REF!</v>
      </c>
    </row>
    <row r="8745" spans="1:12" hidden="1" x14ac:dyDescent="0.3">
      <c r="A8745" t="s">
        <v>57</v>
      </c>
      <c r="B8745" t="s">
        <v>58</v>
      </c>
      <c r="C8745" t="s">
        <v>129</v>
      </c>
      <c r="D8745" t="s">
        <v>130</v>
      </c>
      <c r="E8745">
        <v>1968</v>
      </c>
      <c r="F8745" s="1">
        <v>63</v>
      </c>
      <c r="G8745">
        <v>1970</v>
      </c>
      <c r="H8745">
        <f>AVERAGEIFS(Table1[value],Table1[IndicatorCode],Table1[[#This Row],[IndicatorCode]])</f>
        <v>72.66514008620689</v>
      </c>
      <c r="I8745" cm="1">
        <f t="array" ref="I8745">_xlfn.STDEV.P(IF(Table1[IndicatorCode]=Table1[[#This Row],[IndicatorCode]],Table1[value]))</f>
        <v>6.3409496564024987</v>
      </c>
      <c r="J8745">
        <f>(Table1[[#This Row],[value]] - Table1[[#This Row],[mean]]) / Table1[[#This Row],[std_dev]]</f>
        <v>-1.5242417319065029</v>
      </c>
      <c r="K8745">
        <f>AVERAGEIF(Table1[CountryCode],Table1[[#This Row],[CountryCode]],Table1[z-score])</f>
        <v>-0.42188835181926676</v>
      </c>
      <c r="L8745" t="e">
        <f>VLOOKUP(Table1[[#This Row],[CountryCode]],[1]!Table1[#All],1,FALSE)</f>
        <v>#REF!</v>
      </c>
    </row>
    <row r="8746" spans="1:12" hidden="1" x14ac:dyDescent="0.3">
      <c r="A8746" t="s">
        <v>57</v>
      </c>
      <c r="B8746" t="s">
        <v>58</v>
      </c>
      <c r="C8746" t="s">
        <v>129</v>
      </c>
      <c r="D8746" t="s">
        <v>130</v>
      </c>
      <c r="E8746">
        <v>1969</v>
      </c>
      <c r="F8746" s="1">
        <v>63</v>
      </c>
      <c r="G8746">
        <v>1970</v>
      </c>
      <c r="H8746">
        <f>AVERAGEIFS(Table1[value],Table1[IndicatorCode],Table1[[#This Row],[IndicatorCode]])</f>
        <v>72.66514008620689</v>
      </c>
      <c r="I8746" cm="1">
        <f t="array" ref="I8746">_xlfn.STDEV.P(IF(Table1[IndicatorCode]=Table1[[#This Row],[IndicatorCode]],Table1[value]))</f>
        <v>6.3409496564024987</v>
      </c>
      <c r="J8746">
        <f>(Table1[[#This Row],[value]] - Table1[[#This Row],[mean]]) / Table1[[#This Row],[std_dev]]</f>
        <v>-1.5242417319065029</v>
      </c>
      <c r="K8746">
        <f>AVERAGEIF(Table1[CountryCode],Table1[[#This Row],[CountryCode]],Table1[z-score])</f>
        <v>-0.42188835181926676</v>
      </c>
      <c r="L8746" t="e">
        <f>VLOOKUP(Table1[[#This Row],[CountryCode]],[1]!Table1[#All],1,FALSE)</f>
        <v>#REF!</v>
      </c>
    </row>
    <row r="8747" spans="1:12" hidden="1" x14ac:dyDescent="0.3">
      <c r="A8747" t="s">
        <v>57</v>
      </c>
      <c r="B8747" t="s">
        <v>58</v>
      </c>
      <c r="C8747" t="s">
        <v>129</v>
      </c>
      <c r="D8747" t="s">
        <v>130</v>
      </c>
      <c r="E8747">
        <v>1970</v>
      </c>
      <c r="F8747" s="1">
        <v>63</v>
      </c>
      <c r="G8747">
        <v>1970</v>
      </c>
      <c r="H8747">
        <f>AVERAGEIFS(Table1[value],Table1[IndicatorCode],Table1[[#This Row],[IndicatorCode]])</f>
        <v>72.66514008620689</v>
      </c>
      <c r="I8747" cm="1">
        <f t="array" ref="I8747">_xlfn.STDEV.P(IF(Table1[IndicatorCode]=Table1[[#This Row],[IndicatorCode]],Table1[value]))</f>
        <v>6.3409496564024987</v>
      </c>
      <c r="J8747">
        <f>(Table1[[#This Row],[value]] - Table1[[#This Row],[mean]]) / Table1[[#This Row],[std_dev]]</f>
        <v>-1.5242417319065029</v>
      </c>
      <c r="K8747">
        <f>AVERAGEIF(Table1[CountryCode],Table1[[#This Row],[CountryCode]],Table1[z-score])</f>
        <v>-0.42188835181926676</v>
      </c>
      <c r="L8747" t="e">
        <f>VLOOKUP(Table1[[#This Row],[CountryCode]],[1]!Table1[#All],1,FALSE)</f>
        <v>#REF!</v>
      </c>
    </row>
    <row r="8748" spans="1:12" hidden="1" x14ac:dyDescent="0.3">
      <c r="A8748" t="s">
        <v>57</v>
      </c>
      <c r="B8748" t="s">
        <v>58</v>
      </c>
      <c r="C8748" t="s">
        <v>129</v>
      </c>
      <c r="D8748" t="s">
        <v>130</v>
      </c>
      <c r="E8748">
        <v>1971</v>
      </c>
      <c r="F8748" s="1">
        <v>63</v>
      </c>
      <c r="G8748">
        <v>1970</v>
      </c>
      <c r="H8748">
        <f>AVERAGEIFS(Table1[value],Table1[IndicatorCode],Table1[[#This Row],[IndicatorCode]])</f>
        <v>72.66514008620689</v>
      </c>
      <c r="I8748" cm="1">
        <f t="array" ref="I8748">_xlfn.STDEV.P(IF(Table1[IndicatorCode]=Table1[[#This Row],[IndicatorCode]],Table1[value]))</f>
        <v>6.3409496564024987</v>
      </c>
      <c r="J8748">
        <f>(Table1[[#This Row],[value]] - Table1[[#This Row],[mean]]) / Table1[[#This Row],[std_dev]]</f>
        <v>-1.5242417319065029</v>
      </c>
      <c r="K8748">
        <f>AVERAGEIF(Table1[CountryCode],Table1[[#This Row],[CountryCode]],Table1[z-score])</f>
        <v>-0.42188835181926676</v>
      </c>
      <c r="L8748" t="e">
        <f>VLOOKUP(Table1[[#This Row],[CountryCode]],[1]!Table1[#All],1,FALSE)</f>
        <v>#REF!</v>
      </c>
    </row>
    <row r="8749" spans="1:12" hidden="1" x14ac:dyDescent="0.3">
      <c r="A8749" t="s">
        <v>57</v>
      </c>
      <c r="B8749" t="s">
        <v>58</v>
      </c>
      <c r="C8749" t="s">
        <v>129</v>
      </c>
      <c r="D8749" t="s">
        <v>130</v>
      </c>
      <c r="E8749">
        <v>1972</v>
      </c>
      <c r="F8749" s="1">
        <v>63</v>
      </c>
      <c r="G8749">
        <v>1970</v>
      </c>
      <c r="H8749">
        <f>AVERAGEIFS(Table1[value],Table1[IndicatorCode],Table1[[#This Row],[IndicatorCode]])</f>
        <v>72.66514008620689</v>
      </c>
      <c r="I8749" cm="1">
        <f t="array" ref="I8749">_xlfn.STDEV.P(IF(Table1[IndicatorCode]=Table1[[#This Row],[IndicatorCode]],Table1[value]))</f>
        <v>6.3409496564024987</v>
      </c>
      <c r="J8749">
        <f>(Table1[[#This Row],[value]] - Table1[[#This Row],[mean]]) / Table1[[#This Row],[std_dev]]</f>
        <v>-1.5242417319065029</v>
      </c>
      <c r="K8749">
        <f>AVERAGEIF(Table1[CountryCode],Table1[[#This Row],[CountryCode]],Table1[z-score])</f>
        <v>-0.42188835181926676</v>
      </c>
      <c r="L8749" t="e">
        <f>VLOOKUP(Table1[[#This Row],[CountryCode]],[1]!Table1[#All],1,FALSE)</f>
        <v>#REF!</v>
      </c>
    </row>
    <row r="8750" spans="1:12" hidden="1" x14ac:dyDescent="0.3">
      <c r="A8750" t="s">
        <v>57</v>
      </c>
      <c r="B8750" t="s">
        <v>58</v>
      </c>
      <c r="C8750" t="s">
        <v>129</v>
      </c>
      <c r="D8750" t="s">
        <v>130</v>
      </c>
      <c r="E8750">
        <v>1973</v>
      </c>
      <c r="F8750" s="1">
        <v>62</v>
      </c>
      <c r="G8750">
        <v>1970</v>
      </c>
      <c r="H8750">
        <f>AVERAGEIFS(Table1[value],Table1[IndicatorCode],Table1[[#This Row],[IndicatorCode]])</f>
        <v>72.66514008620689</v>
      </c>
      <c r="I8750" cm="1">
        <f t="array" ref="I8750">_xlfn.STDEV.P(IF(Table1[IndicatorCode]=Table1[[#This Row],[IndicatorCode]],Table1[value]))</f>
        <v>6.3409496564024987</v>
      </c>
      <c r="J8750">
        <f>(Table1[[#This Row],[value]] - Table1[[#This Row],[mean]]) / Table1[[#This Row],[std_dev]]</f>
        <v>-1.681946816189942</v>
      </c>
      <c r="K8750">
        <f>AVERAGEIF(Table1[CountryCode],Table1[[#This Row],[CountryCode]],Table1[z-score])</f>
        <v>-0.42188835181926676</v>
      </c>
      <c r="L8750" t="e">
        <f>VLOOKUP(Table1[[#This Row],[CountryCode]],[1]!Table1[#All],1,FALSE)</f>
        <v>#REF!</v>
      </c>
    </row>
    <row r="8751" spans="1:12" hidden="1" x14ac:dyDescent="0.3">
      <c r="A8751" t="s">
        <v>57</v>
      </c>
      <c r="B8751" t="s">
        <v>58</v>
      </c>
      <c r="C8751" t="s">
        <v>129</v>
      </c>
      <c r="D8751" t="s">
        <v>130</v>
      </c>
      <c r="E8751">
        <v>1974</v>
      </c>
      <c r="F8751" s="1">
        <v>62</v>
      </c>
      <c r="G8751">
        <v>1970</v>
      </c>
      <c r="H8751">
        <f>AVERAGEIFS(Table1[value],Table1[IndicatorCode],Table1[[#This Row],[IndicatorCode]])</f>
        <v>72.66514008620689</v>
      </c>
      <c r="I8751" cm="1">
        <f t="array" ref="I8751">_xlfn.STDEV.P(IF(Table1[IndicatorCode]=Table1[[#This Row],[IndicatorCode]],Table1[value]))</f>
        <v>6.3409496564024987</v>
      </c>
      <c r="J8751">
        <f>(Table1[[#This Row],[value]] - Table1[[#This Row],[mean]]) / Table1[[#This Row],[std_dev]]</f>
        <v>-1.681946816189942</v>
      </c>
      <c r="K8751">
        <f>AVERAGEIF(Table1[CountryCode],Table1[[#This Row],[CountryCode]],Table1[z-score])</f>
        <v>-0.42188835181926676</v>
      </c>
      <c r="L8751" t="e">
        <f>VLOOKUP(Table1[[#This Row],[CountryCode]],[1]!Table1[#All],1,FALSE)</f>
        <v>#REF!</v>
      </c>
    </row>
    <row r="8752" spans="1:12" hidden="1" x14ac:dyDescent="0.3">
      <c r="A8752" t="s">
        <v>57</v>
      </c>
      <c r="B8752" t="s">
        <v>58</v>
      </c>
      <c r="C8752" t="s">
        <v>129</v>
      </c>
      <c r="D8752" t="s">
        <v>130</v>
      </c>
      <c r="E8752">
        <v>1975</v>
      </c>
      <c r="F8752" s="1">
        <v>62</v>
      </c>
      <c r="G8752">
        <v>1970</v>
      </c>
      <c r="H8752">
        <f>AVERAGEIFS(Table1[value],Table1[IndicatorCode],Table1[[#This Row],[IndicatorCode]])</f>
        <v>72.66514008620689</v>
      </c>
      <c r="I8752" cm="1">
        <f t="array" ref="I8752">_xlfn.STDEV.P(IF(Table1[IndicatorCode]=Table1[[#This Row],[IndicatorCode]],Table1[value]))</f>
        <v>6.3409496564024987</v>
      </c>
      <c r="J8752">
        <f>(Table1[[#This Row],[value]] - Table1[[#This Row],[mean]]) / Table1[[#This Row],[std_dev]]</f>
        <v>-1.681946816189942</v>
      </c>
      <c r="K8752">
        <f>AVERAGEIF(Table1[CountryCode],Table1[[#This Row],[CountryCode]],Table1[z-score])</f>
        <v>-0.42188835181926676</v>
      </c>
      <c r="L8752" t="e">
        <f>VLOOKUP(Table1[[#This Row],[CountryCode]],[1]!Table1[#All],1,FALSE)</f>
        <v>#REF!</v>
      </c>
    </row>
    <row r="8753" spans="1:12" hidden="1" x14ac:dyDescent="0.3">
      <c r="A8753" t="s">
        <v>57</v>
      </c>
      <c r="B8753" t="s">
        <v>58</v>
      </c>
      <c r="C8753" t="s">
        <v>129</v>
      </c>
      <c r="D8753" t="s">
        <v>130</v>
      </c>
      <c r="E8753">
        <v>1976</v>
      </c>
      <c r="F8753" s="1">
        <v>62</v>
      </c>
      <c r="G8753">
        <v>1970</v>
      </c>
      <c r="H8753">
        <f>AVERAGEIFS(Table1[value],Table1[IndicatorCode],Table1[[#This Row],[IndicatorCode]])</f>
        <v>72.66514008620689</v>
      </c>
      <c r="I8753" cm="1">
        <f t="array" ref="I8753">_xlfn.STDEV.P(IF(Table1[IndicatorCode]=Table1[[#This Row],[IndicatorCode]],Table1[value]))</f>
        <v>6.3409496564024987</v>
      </c>
      <c r="J8753">
        <f>(Table1[[#This Row],[value]] - Table1[[#This Row],[mean]]) / Table1[[#This Row],[std_dev]]</f>
        <v>-1.681946816189942</v>
      </c>
      <c r="K8753">
        <f>AVERAGEIF(Table1[CountryCode],Table1[[#This Row],[CountryCode]],Table1[z-score])</f>
        <v>-0.42188835181926676</v>
      </c>
      <c r="L8753" t="e">
        <f>VLOOKUP(Table1[[#This Row],[CountryCode]],[1]!Table1[#All],1,FALSE)</f>
        <v>#REF!</v>
      </c>
    </row>
    <row r="8754" spans="1:12" hidden="1" x14ac:dyDescent="0.3">
      <c r="A8754" t="s">
        <v>57</v>
      </c>
      <c r="B8754" t="s">
        <v>58</v>
      </c>
      <c r="C8754" t="s">
        <v>129</v>
      </c>
      <c r="D8754" t="s">
        <v>130</v>
      </c>
      <c r="E8754">
        <v>1977</v>
      </c>
      <c r="F8754" s="1">
        <v>62</v>
      </c>
      <c r="G8754">
        <v>1980</v>
      </c>
      <c r="H8754">
        <f>AVERAGEIFS(Table1[value],Table1[IndicatorCode],Table1[[#This Row],[IndicatorCode]])</f>
        <v>72.66514008620689</v>
      </c>
      <c r="I8754" cm="1">
        <f t="array" ref="I8754">_xlfn.STDEV.P(IF(Table1[IndicatorCode]=Table1[[#This Row],[IndicatorCode]],Table1[value]))</f>
        <v>6.3409496564024987</v>
      </c>
      <c r="J8754">
        <f>(Table1[[#This Row],[value]] - Table1[[#This Row],[mean]]) / Table1[[#This Row],[std_dev]]</f>
        <v>-1.681946816189942</v>
      </c>
      <c r="K8754">
        <f>AVERAGEIF(Table1[CountryCode],Table1[[#This Row],[CountryCode]],Table1[z-score])</f>
        <v>-0.42188835181926676</v>
      </c>
      <c r="L8754" t="e">
        <f>VLOOKUP(Table1[[#This Row],[CountryCode]],[1]!Table1[#All],1,FALSE)</f>
        <v>#REF!</v>
      </c>
    </row>
    <row r="8755" spans="1:12" hidden="1" x14ac:dyDescent="0.3">
      <c r="A8755" t="s">
        <v>57</v>
      </c>
      <c r="B8755" t="s">
        <v>58</v>
      </c>
      <c r="C8755" t="s">
        <v>129</v>
      </c>
      <c r="D8755" t="s">
        <v>130</v>
      </c>
      <c r="E8755">
        <v>1978</v>
      </c>
      <c r="F8755" s="1">
        <v>63</v>
      </c>
      <c r="G8755">
        <v>1980</v>
      </c>
      <c r="H8755">
        <f>AVERAGEIFS(Table1[value],Table1[IndicatorCode],Table1[[#This Row],[IndicatorCode]])</f>
        <v>72.66514008620689</v>
      </c>
      <c r="I8755" cm="1">
        <f t="array" ref="I8755">_xlfn.STDEV.P(IF(Table1[IndicatorCode]=Table1[[#This Row],[IndicatorCode]],Table1[value]))</f>
        <v>6.3409496564024987</v>
      </c>
      <c r="J8755">
        <f>(Table1[[#This Row],[value]] - Table1[[#This Row],[mean]]) / Table1[[#This Row],[std_dev]]</f>
        <v>-1.5242417319065029</v>
      </c>
      <c r="K8755">
        <f>AVERAGEIF(Table1[CountryCode],Table1[[#This Row],[CountryCode]],Table1[z-score])</f>
        <v>-0.42188835181926676</v>
      </c>
      <c r="L8755" t="e">
        <f>VLOOKUP(Table1[[#This Row],[CountryCode]],[1]!Table1[#All],1,FALSE)</f>
        <v>#REF!</v>
      </c>
    </row>
    <row r="8756" spans="1:12" hidden="1" x14ac:dyDescent="0.3">
      <c r="A8756" t="s">
        <v>57</v>
      </c>
      <c r="B8756" t="s">
        <v>58</v>
      </c>
      <c r="C8756" t="s">
        <v>129</v>
      </c>
      <c r="D8756" t="s">
        <v>130</v>
      </c>
      <c r="E8756">
        <v>1979</v>
      </c>
      <c r="F8756" s="1">
        <v>64</v>
      </c>
      <c r="G8756">
        <v>1980</v>
      </c>
      <c r="H8756">
        <f>AVERAGEIFS(Table1[value],Table1[IndicatorCode],Table1[[#This Row],[IndicatorCode]])</f>
        <v>72.66514008620689</v>
      </c>
      <c r="I8756" cm="1">
        <f t="array" ref="I8756">_xlfn.STDEV.P(IF(Table1[IndicatorCode]=Table1[[#This Row],[IndicatorCode]],Table1[value]))</f>
        <v>6.3409496564024987</v>
      </c>
      <c r="J8756">
        <f>(Table1[[#This Row],[value]] - Table1[[#This Row],[mean]]) / Table1[[#This Row],[std_dev]]</f>
        <v>-1.3665366476230638</v>
      </c>
      <c r="K8756">
        <f>AVERAGEIF(Table1[CountryCode],Table1[[#This Row],[CountryCode]],Table1[z-score])</f>
        <v>-0.42188835181926676</v>
      </c>
      <c r="L8756" t="e">
        <f>VLOOKUP(Table1[[#This Row],[CountryCode]],[1]!Table1[#All],1,FALSE)</f>
        <v>#REF!</v>
      </c>
    </row>
    <row r="8757" spans="1:12" hidden="1" x14ac:dyDescent="0.3">
      <c r="A8757" t="s">
        <v>57</v>
      </c>
      <c r="B8757" t="s">
        <v>58</v>
      </c>
      <c r="C8757" t="s">
        <v>129</v>
      </c>
      <c r="D8757" t="s">
        <v>130</v>
      </c>
      <c r="E8757">
        <v>1980</v>
      </c>
      <c r="F8757" s="1">
        <v>63</v>
      </c>
      <c r="G8757">
        <v>1980</v>
      </c>
      <c r="H8757">
        <f>AVERAGEIFS(Table1[value],Table1[IndicatorCode],Table1[[#This Row],[IndicatorCode]])</f>
        <v>72.66514008620689</v>
      </c>
      <c r="I8757" cm="1">
        <f t="array" ref="I8757">_xlfn.STDEV.P(IF(Table1[IndicatorCode]=Table1[[#This Row],[IndicatorCode]],Table1[value]))</f>
        <v>6.3409496564024987</v>
      </c>
      <c r="J8757">
        <f>(Table1[[#This Row],[value]] - Table1[[#This Row],[mean]]) / Table1[[#This Row],[std_dev]]</f>
        <v>-1.5242417319065029</v>
      </c>
      <c r="K8757">
        <f>AVERAGEIF(Table1[CountryCode],Table1[[#This Row],[CountryCode]],Table1[z-score])</f>
        <v>-0.42188835181926676</v>
      </c>
      <c r="L8757" t="e">
        <f>VLOOKUP(Table1[[#This Row],[CountryCode]],[1]!Table1[#All],1,FALSE)</f>
        <v>#REF!</v>
      </c>
    </row>
    <row r="8758" spans="1:12" hidden="1" x14ac:dyDescent="0.3">
      <c r="A8758" t="s">
        <v>57</v>
      </c>
      <c r="B8758" t="s">
        <v>58</v>
      </c>
      <c r="C8758" t="s">
        <v>129</v>
      </c>
      <c r="D8758" t="s">
        <v>130</v>
      </c>
      <c r="E8758">
        <v>1981</v>
      </c>
      <c r="F8758" s="1">
        <v>63</v>
      </c>
      <c r="G8758">
        <v>1980</v>
      </c>
      <c r="H8758">
        <f>AVERAGEIFS(Table1[value],Table1[IndicatorCode],Table1[[#This Row],[IndicatorCode]])</f>
        <v>72.66514008620689</v>
      </c>
      <c r="I8758" cm="1">
        <f t="array" ref="I8758">_xlfn.STDEV.P(IF(Table1[IndicatorCode]=Table1[[#This Row],[IndicatorCode]],Table1[value]))</f>
        <v>6.3409496564024987</v>
      </c>
      <c r="J8758">
        <f>(Table1[[#This Row],[value]] - Table1[[#This Row],[mean]]) / Table1[[#This Row],[std_dev]]</f>
        <v>-1.5242417319065029</v>
      </c>
      <c r="K8758">
        <f>AVERAGEIF(Table1[CountryCode],Table1[[#This Row],[CountryCode]],Table1[z-score])</f>
        <v>-0.42188835181926676</v>
      </c>
      <c r="L8758" t="e">
        <f>VLOOKUP(Table1[[#This Row],[CountryCode]],[1]!Table1[#All],1,FALSE)</f>
        <v>#REF!</v>
      </c>
    </row>
    <row r="8759" spans="1:12" hidden="1" x14ac:dyDescent="0.3">
      <c r="A8759" t="s">
        <v>57</v>
      </c>
      <c r="B8759" t="s">
        <v>58</v>
      </c>
      <c r="C8759" t="s">
        <v>129</v>
      </c>
      <c r="D8759" t="s">
        <v>130</v>
      </c>
      <c r="E8759">
        <v>1982</v>
      </c>
      <c r="F8759" s="1">
        <v>63</v>
      </c>
      <c r="G8759">
        <v>1980</v>
      </c>
      <c r="H8759">
        <f>AVERAGEIFS(Table1[value],Table1[IndicatorCode],Table1[[#This Row],[IndicatorCode]])</f>
        <v>72.66514008620689</v>
      </c>
      <c r="I8759" cm="1">
        <f t="array" ref="I8759">_xlfn.STDEV.P(IF(Table1[IndicatorCode]=Table1[[#This Row],[IndicatorCode]],Table1[value]))</f>
        <v>6.3409496564024987</v>
      </c>
      <c r="J8759">
        <f>(Table1[[#This Row],[value]] - Table1[[#This Row],[mean]]) / Table1[[#This Row],[std_dev]]</f>
        <v>-1.5242417319065029</v>
      </c>
      <c r="K8759">
        <f>AVERAGEIF(Table1[CountryCode],Table1[[#This Row],[CountryCode]],Table1[z-score])</f>
        <v>-0.42188835181926676</v>
      </c>
      <c r="L8759" t="e">
        <f>VLOOKUP(Table1[[#This Row],[CountryCode]],[1]!Table1[#All],1,FALSE)</f>
        <v>#REF!</v>
      </c>
    </row>
    <row r="8760" spans="1:12" hidden="1" x14ac:dyDescent="0.3">
      <c r="A8760" t="s">
        <v>57</v>
      </c>
      <c r="B8760" t="s">
        <v>58</v>
      </c>
      <c r="C8760" t="s">
        <v>129</v>
      </c>
      <c r="D8760" t="s">
        <v>130</v>
      </c>
      <c r="E8760">
        <v>1983</v>
      </c>
      <c r="F8760" s="1">
        <v>63</v>
      </c>
      <c r="G8760">
        <v>1980</v>
      </c>
      <c r="H8760">
        <f>AVERAGEIFS(Table1[value],Table1[IndicatorCode],Table1[[#This Row],[IndicatorCode]])</f>
        <v>72.66514008620689</v>
      </c>
      <c r="I8760" cm="1">
        <f t="array" ref="I8760">_xlfn.STDEV.P(IF(Table1[IndicatorCode]=Table1[[#This Row],[IndicatorCode]],Table1[value]))</f>
        <v>6.3409496564024987</v>
      </c>
      <c r="J8760">
        <f>(Table1[[#This Row],[value]] - Table1[[#This Row],[mean]]) / Table1[[#This Row],[std_dev]]</f>
        <v>-1.5242417319065029</v>
      </c>
      <c r="K8760">
        <f>AVERAGEIF(Table1[CountryCode],Table1[[#This Row],[CountryCode]],Table1[z-score])</f>
        <v>-0.42188835181926676</v>
      </c>
      <c r="L8760" t="e">
        <f>VLOOKUP(Table1[[#This Row],[CountryCode]],[1]!Table1[#All],1,FALSE)</f>
        <v>#REF!</v>
      </c>
    </row>
    <row r="8761" spans="1:12" hidden="1" x14ac:dyDescent="0.3">
      <c r="A8761" t="s">
        <v>57</v>
      </c>
      <c r="B8761" t="s">
        <v>58</v>
      </c>
      <c r="C8761" t="s">
        <v>129</v>
      </c>
      <c r="D8761" t="s">
        <v>130</v>
      </c>
      <c r="E8761">
        <v>1984</v>
      </c>
      <c r="F8761" s="1">
        <v>63</v>
      </c>
      <c r="G8761">
        <v>1980</v>
      </c>
      <c r="H8761">
        <f>AVERAGEIFS(Table1[value],Table1[IndicatorCode],Table1[[#This Row],[IndicatorCode]])</f>
        <v>72.66514008620689</v>
      </c>
      <c r="I8761" cm="1">
        <f t="array" ref="I8761">_xlfn.STDEV.P(IF(Table1[IndicatorCode]=Table1[[#This Row],[IndicatorCode]],Table1[value]))</f>
        <v>6.3409496564024987</v>
      </c>
      <c r="J8761">
        <f>(Table1[[#This Row],[value]] - Table1[[#This Row],[mean]]) / Table1[[#This Row],[std_dev]]</f>
        <v>-1.5242417319065029</v>
      </c>
      <c r="K8761">
        <f>AVERAGEIF(Table1[CountryCode],Table1[[#This Row],[CountryCode]],Table1[z-score])</f>
        <v>-0.42188835181926676</v>
      </c>
      <c r="L8761" t="e">
        <f>VLOOKUP(Table1[[#This Row],[CountryCode]],[1]!Table1[#All],1,FALSE)</f>
        <v>#REF!</v>
      </c>
    </row>
    <row r="8762" spans="1:12" hidden="1" x14ac:dyDescent="0.3">
      <c r="A8762" t="s">
        <v>57</v>
      </c>
      <c r="B8762" t="s">
        <v>58</v>
      </c>
      <c r="C8762" t="s">
        <v>129</v>
      </c>
      <c r="D8762" t="s">
        <v>130</v>
      </c>
      <c r="E8762">
        <v>1985</v>
      </c>
      <c r="F8762" s="1">
        <v>64</v>
      </c>
      <c r="G8762">
        <v>1980</v>
      </c>
      <c r="H8762">
        <f>AVERAGEIFS(Table1[value],Table1[IndicatorCode],Table1[[#This Row],[IndicatorCode]])</f>
        <v>72.66514008620689</v>
      </c>
      <c r="I8762" cm="1">
        <f t="array" ref="I8762">_xlfn.STDEV.P(IF(Table1[IndicatorCode]=Table1[[#This Row],[IndicatorCode]],Table1[value]))</f>
        <v>6.3409496564024987</v>
      </c>
      <c r="J8762">
        <f>(Table1[[#This Row],[value]] - Table1[[#This Row],[mean]]) / Table1[[#This Row],[std_dev]]</f>
        <v>-1.3665366476230638</v>
      </c>
      <c r="K8762">
        <f>AVERAGEIF(Table1[CountryCode],Table1[[#This Row],[CountryCode]],Table1[z-score])</f>
        <v>-0.42188835181926676</v>
      </c>
      <c r="L8762" t="e">
        <f>VLOOKUP(Table1[[#This Row],[CountryCode]],[1]!Table1[#All],1,FALSE)</f>
        <v>#REF!</v>
      </c>
    </row>
    <row r="8763" spans="1:12" hidden="1" x14ac:dyDescent="0.3">
      <c r="A8763" t="s">
        <v>57</v>
      </c>
      <c r="B8763" t="s">
        <v>58</v>
      </c>
      <c r="C8763" t="s">
        <v>129</v>
      </c>
      <c r="D8763" t="s">
        <v>130</v>
      </c>
      <c r="E8763">
        <v>1986</v>
      </c>
      <c r="F8763" s="1">
        <v>64</v>
      </c>
      <c r="G8763">
        <v>1980</v>
      </c>
      <c r="H8763">
        <f>AVERAGEIFS(Table1[value],Table1[IndicatorCode],Table1[[#This Row],[IndicatorCode]])</f>
        <v>72.66514008620689</v>
      </c>
      <c r="I8763" cm="1">
        <f t="array" ref="I8763">_xlfn.STDEV.P(IF(Table1[IndicatorCode]=Table1[[#This Row],[IndicatorCode]],Table1[value]))</f>
        <v>6.3409496564024987</v>
      </c>
      <c r="J8763">
        <f>(Table1[[#This Row],[value]] - Table1[[#This Row],[mean]]) / Table1[[#This Row],[std_dev]]</f>
        <v>-1.3665366476230638</v>
      </c>
      <c r="K8763">
        <f>AVERAGEIF(Table1[CountryCode],Table1[[#This Row],[CountryCode]],Table1[z-score])</f>
        <v>-0.42188835181926676</v>
      </c>
      <c r="L8763" t="e">
        <f>VLOOKUP(Table1[[#This Row],[CountryCode]],[1]!Table1[#All],1,FALSE)</f>
        <v>#REF!</v>
      </c>
    </row>
    <row r="8764" spans="1:12" hidden="1" x14ac:dyDescent="0.3">
      <c r="A8764" t="s">
        <v>57</v>
      </c>
      <c r="B8764" t="s">
        <v>58</v>
      </c>
      <c r="C8764" t="s">
        <v>129</v>
      </c>
      <c r="D8764" t="s">
        <v>130</v>
      </c>
      <c r="E8764">
        <v>1987</v>
      </c>
      <c r="F8764" s="1">
        <v>65</v>
      </c>
      <c r="G8764">
        <v>1990</v>
      </c>
      <c r="H8764">
        <f>AVERAGEIFS(Table1[value],Table1[IndicatorCode],Table1[[#This Row],[IndicatorCode]])</f>
        <v>72.66514008620689</v>
      </c>
      <c r="I8764" cm="1">
        <f t="array" ref="I8764">_xlfn.STDEV.P(IF(Table1[IndicatorCode]=Table1[[#This Row],[IndicatorCode]],Table1[value]))</f>
        <v>6.3409496564024987</v>
      </c>
      <c r="J8764">
        <f>(Table1[[#This Row],[value]] - Table1[[#This Row],[mean]]) / Table1[[#This Row],[std_dev]]</f>
        <v>-1.2088315633396249</v>
      </c>
      <c r="K8764">
        <f>AVERAGEIF(Table1[CountryCode],Table1[[#This Row],[CountryCode]],Table1[z-score])</f>
        <v>-0.42188835181926676</v>
      </c>
      <c r="L8764" t="e">
        <f>VLOOKUP(Table1[[#This Row],[CountryCode]],[1]!Table1[#All],1,FALSE)</f>
        <v>#REF!</v>
      </c>
    </row>
    <row r="8765" spans="1:12" hidden="1" x14ac:dyDescent="0.3">
      <c r="A8765" t="s">
        <v>57</v>
      </c>
      <c r="B8765" t="s">
        <v>58</v>
      </c>
      <c r="C8765" t="s">
        <v>129</v>
      </c>
      <c r="D8765" t="s">
        <v>130</v>
      </c>
      <c r="E8765">
        <v>1988</v>
      </c>
      <c r="F8765" s="1">
        <v>65</v>
      </c>
      <c r="G8765">
        <v>1990</v>
      </c>
      <c r="H8765">
        <f>AVERAGEIFS(Table1[value],Table1[IndicatorCode],Table1[[#This Row],[IndicatorCode]])</f>
        <v>72.66514008620689</v>
      </c>
      <c r="I8765" cm="1">
        <f t="array" ref="I8765">_xlfn.STDEV.P(IF(Table1[IndicatorCode]=Table1[[#This Row],[IndicatorCode]],Table1[value]))</f>
        <v>6.3409496564024987</v>
      </c>
      <c r="J8765">
        <f>(Table1[[#This Row],[value]] - Table1[[#This Row],[mean]]) / Table1[[#This Row],[std_dev]]</f>
        <v>-1.2088315633396249</v>
      </c>
      <c r="K8765">
        <f>AVERAGEIF(Table1[CountryCode],Table1[[#This Row],[CountryCode]],Table1[z-score])</f>
        <v>-0.42188835181926676</v>
      </c>
      <c r="L8765" t="e">
        <f>VLOOKUP(Table1[[#This Row],[CountryCode]],[1]!Table1[#All],1,FALSE)</f>
        <v>#REF!</v>
      </c>
    </row>
    <row r="8766" spans="1:12" hidden="1" x14ac:dyDescent="0.3">
      <c r="A8766" t="s">
        <v>57</v>
      </c>
      <c r="B8766" t="s">
        <v>58</v>
      </c>
      <c r="C8766" t="s">
        <v>129</v>
      </c>
      <c r="D8766" t="s">
        <v>130</v>
      </c>
      <c r="E8766">
        <v>1989</v>
      </c>
      <c r="F8766" s="1">
        <v>65</v>
      </c>
      <c r="G8766">
        <v>1990</v>
      </c>
      <c r="H8766">
        <f>AVERAGEIFS(Table1[value],Table1[IndicatorCode],Table1[[#This Row],[IndicatorCode]])</f>
        <v>72.66514008620689</v>
      </c>
      <c r="I8766" cm="1">
        <f t="array" ref="I8766">_xlfn.STDEV.P(IF(Table1[IndicatorCode]=Table1[[#This Row],[IndicatorCode]],Table1[value]))</f>
        <v>6.3409496564024987</v>
      </c>
      <c r="J8766">
        <f>(Table1[[#This Row],[value]] - Table1[[#This Row],[mean]]) / Table1[[#This Row],[std_dev]]</f>
        <v>-1.2088315633396249</v>
      </c>
      <c r="K8766">
        <f>AVERAGEIF(Table1[CountryCode],Table1[[#This Row],[CountryCode]],Table1[z-score])</f>
        <v>-0.42188835181926676</v>
      </c>
      <c r="L8766" t="e">
        <f>VLOOKUP(Table1[[#This Row],[CountryCode]],[1]!Table1[#All],1,FALSE)</f>
        <v>#REF!</v>
      </c>
    </row>
    <row r="8767" spans="1:12" hidden="1" x14ac:dyDescent="0.3">
      <c r="A8767" t="s">
        <v>57</v>
      </c>
      <c r="B8767" t="s">
        <v>58</v>
      </c>
      <c r="C8767" t="s">
        <v>129</v>
      </c>
      <c r="D8767" t="s">
        <v>130</v>
      </c>
      <c r="E8767">
        <v>1990</v>
      </c>
      <c r="F8767" s="1">
        <v>65</v>
      </c>
      <c r="G8767">
        <v>1990</v>
      </c>
      <c r="H8767">
        <f>AVERAGEIFS(Table1[value],Table1[IndicatorCode],Table1[[#This Row],[IndicatorCode]])</f>
        <v>72.66514008620689</v>
      </c>
      <c r="I8767" cm="1">
        <f t="array" ref="I8767">_xlfn.STDEV.P(IF(Table1[IndicatorCode]=Table1[[#This Row],[IndicatorCode]],Table1[value]))</f>
        <v>6.3409496564024987</v>
      </c>
      <c r="J8767">
        <f>(Table1[[#This Row],[value]] - Table1[[#This Row],[mean]]) / Table1[[#This Row],[std_dev]]</f>
        <v>-1.2088315633396249</v>
      </c>
      <c r="K8767">
        <f>AVERAGEIF(Table1[CountryCode],Table1[[#This Row],[CountryCode]],Table1[z-score])</f>
        <v>-0.42188835181926676</v>
      </c>
      <c r="L8767" t="e">
        <f>VLOOKUP(Table1[[#This Row],[CountryCode]],[1]!Table1[#All],1,FALSE)</f>
        <v>#REF!</v>
      </c>
    </row>
    <row r="8768" spans="1:12" hidden="1" x14ac:dyDescent="0.3">
      <c r="A8768" t="s">
        <v>57</v>
      </c>
      <c r="B8768" t="s">
        <v>58</v>
      </c>
      <c r="C8768" t="s">
        <v>129</v>
      </c>
      <c r="D8768" t="s">
        <v>130</v>
      </c>
      <c r="E8768">
        <v>1991</v>
      </c>
      <c r="F8768" s="1">
        <v>65</v>
      </c>
      <c r="G8768">
        <v>1990</v>
      </c>
      <c r="H8768">
        <f>AVERAGEIFS(Table1[value],Table1[IndicatorCode],Table1[[#This Row],[IndicatorCode]])</f>
        <v>72.66514008620689</v>
      </c>
      <c r="I8768" cm="1">
        <f t="array" ref="I8768">_xlfn.STDEV.P(IF(Table1[IndicatorCode]=Table1[[#This Row],[IndicatorCode]],Table1[value]))</f>
        <v>6.3409496564024987</v>
      </c>
      <c r="J8768">
        <f>(Table1[[#This Row],[value]] - Table1[[#This Row],[mean]]) / Table1[[#This Row],[std_dev]]</f>
        <v>-1.2088315633396249</v>
      </c>
      <c r="K8768">
        <f>AVERAGEIF(Table1[CountryCode],Table1[[#This Row],[CountryCode]],Table1[z-score])</f>
        <v>-0.42188835181926676</v>
      </c>
      <c r="L8768" t="e">
        <f>VLOOKUP(Table1[[#This Row],[CountryCode]],[1]!Table1[#All],1,FALSE)</f>
        <v>#REF!</v>
      </c>
    </row>
    <row r="8769" spans="1:12" hidden="1" x14ac:dyDescent="0.3">
      <c r="A8769" t="s">
        <v>57</v>
      </c>
      <c r="B8769" t="s">
        <v>58</v>
      </c>
      <c r="C8769" t="s">
        <v>129</v>
      </c>
      <c r="D8769" t="s">
        <v>130</v>
      </c>
      <c r="E8769">
        <v>1992</v>
      </c>
      <c r="F8769" s="1">
        <v>65</v>
      </c>
      <c r="G8769">
        <v>1990</v>
      </c>
      <c r="H8769">
        <f>AVERAGEIFS(Table1[value],Table1[IndicatorCode],Table1[[#This Row],[IndicatorCode]])</f>
        <v>72.66514008620689</v>
      </c>
      <c r="I8769" cm="1">
        <f t="array" ref="I8769">_xlfn.STDEV.P(IF(Table1[IndicatorCode]=Table1[[#This Row],[IndicatorCode]],Table1[value]))</f>
        <v>6.3409496564024987</v>
      </c>
      <c r="J8769">
        <f>(Table1[[#This Row],[value]] - Table1[[#This Row],[mean]]) / Table1[[#This Row],[std_dev]]</f>
        <v>-1.2088315633396249</v>
      </c>
      <c r="K8769">
        <f>AVERAGEIF(Table1[CountryCode],Table1[[#This Row],[CountryCode]],Table1[z-score])</f>
        <v>-0.42188835181926676</v>
      </c>
      <c r="L8769" t="e">
        <f>VLOOKUP(Table1[[#This Row],[CountryCode]],[1]!Table1[#All],1,FALSE)</f>
        <v>#REF!</v>
      </c>
    </row>
    <row r="8770" spans="1:12" hidden="1" x14ac:dyDescent="0.3">
      <c r="A8770" t="s">
        <v>57</v>
      </c>
      <c r="B8770" t="s">
        <v>58</v>
      </c>
      <c r="C8770" t="s">
        <v>129</v>
      </c>
      <c r="D8770" t="s">
        <v>130</v>
      </c>
      <c r="E8770">
        <v>1993</v>
      </c>
      <c r="F8770" s="1">
        <v>66</v>
      </c>
      <c r="G8770">
        <v>1990</v>
      </c>
      <c r="H8770">
        <f>AVERAGEIFS(Table1[value],Table1[IndicatorCode],Table1[[#This Row],[IndicatorCode]])</f>
        <v>72.66514008620689</v>
      </c>
      <c r="I8770" cm="1">
        <f t="array" ref="I8770">_xlfn.STDEV.P(IF(Table1[IndicatorCode]=Table1[[#This Row],[IndicatorCode]],Table1[value]))</f>
        <v>6.3409496564024987</v>
      </c>
      <c r="J8770">
        <f>(Table1[[#This Row],[value]] - Table1[[#This Row],[mean]]) / Table1[[#This Row],[std_dev]]</f>
        <v>-1.0511264790561858</v>
      </c>
      <c r="K8770">
        <f>AVERAGEIF(Table1[CountryCode],Table1[[#This Row],[CountryCode]],Table1[z-score])</f>
        <v>-0.42188835181926676</v>
      </c>
      <c r="L8770" t="e">
        <f>VLOOKUP(Table1[[#This Row],[CountryCode]],[1]!Table1[#All],1,FALSE)</f>
        <v>#REF!</v>
      </c>
    </row>
    <row r="8771" spans="1:12" hidden="1" x14ac:dyDescent="0.3">
      <c r="A8771" t="s">
        <v>57</v>
      </c>
      <c r="B8771" t="s">
        <v>58</v>
      </c>
      <c r="C8771" t="s">
        <v>129</v>
      </c>
      <c r="D8771" t="s">
        <v>130</v>
      </c>
      <c r="E8771">
        <v>1994</v>
      </c>
      <c r="F8771" s="1">
        <v>66</v>
      </c>
      <c r="G8771">
        <v>1990</v>
      </c>
      <c r="H8771">
        <f>AVERAGEIFS(Table1[value],Table1[IndicatorCode],Table1[[#This Row],[IndicatorCode]])</f>
        <v>72.66514008620689</v>
      </c>
      <c r="I8771" cm="1">
        <f t="array" ref="I8771">_xlfn.STDEV.P(IF(Table1[IndicatorCode]=Table1[[#This Row],[IndicatorCode]],Table1[value]))</f>
        <v>6.3409496564024987</v>
      </c>
      <c r="J8771">
        <f>(Table1[[#This Row],[value]] - Table1[[#This Row],[mean]]) / Table1[[#This Row],[std_dev]]</f>
        <v>-1.0511264790561858</v>
      </c>
      <c r="K8771">
        <f>AVERAGEIF(Table1[CountryCode],Table1[[#This Row],[CountryCode]],Table1[z-score])</f>
        <v>-0.42188835181926676</v>
      </c>
      <c r="L8771" t="e">
        <f>VLOOKUP(Table1[[#This Row],[CountryCode]],[1]!Table1[#All],1,FALSE)</f>
        <v>#REF!</v>
      </c>
    </row>
    <row r="8772" spans="1:12" hidden="1" x14ac:dyDescent="0.3">
      <c r="A8772" t="s">
        <v>57</v>
      </c>
      <c r="B8772" t="s">
        <v>58</v>
      </c>
      <c r="C8772" t="s">
        <v>129</v>
      </c>
      <c r="D8772" t="s">
        <v>130</v>
      </c>
      <c r="E8772">
        <v>1995</v>
      </c>
      <c r="F8772" s="1">
        <v>66</v>
      </c>
      <c r="G8772">
        <v>1990</v>
      </c>
      <c r="H8772">
        <f>AVERAGEIFS(Table1[value],Table1[IndicatorCode],Table1[[#This Row],[IndicatorCode]])</f>
        <v>72.66514008620689</v>
      </c>
      <c r="I8772" cm="1">
        <f t="array" ref="I8772">_xlfn.STDEV.P(IF(Table1[IndicatorCode]=Table1[[#This Row],[IndicatorCode]],Table1[value]))</f>
        <v>6.3409496564024987</v>
      </c>
      <c r="J8772">
        <f>(Table1[[#This Row],[value]] - Table1[[#This Row],[mean]]) / Table1[[#This Row],[std_dev]]</f>
        <v>-1.0511264790561858</v>
      </c>
      <c r="K8772">
        <f>AVERAGEIF(Table1[CountryCode],Table1[[#This Row],[CountryCode]],Table1[z-score])</f>
        <v>-0.42188835181926676</v>
      </c>
      <c r="L8772" t="e">
        <f>VLOOKUP(Table1[[#This Row],[CountryCode]],[1]!Table1[#All],1,FALSE)</f>
        <v>#REF!</v>
      </c>
    </row>
    <row r="8773" spans="1:12" hidden="1" x14ac:dyDescent="0.3">
      <c r="A8773" t="s">
        <v>57</v>
      </c>
      <c r="B8773" t="s">
        <v>58</v>
      </c>
      <c r="C8773" t="s">
        <v>129</v>
      </c>
      <c r="D8773" t="s">
        <v>130</v>
      </c>
      <c r="E8773">
        <v>1996</v>
      </c>
      <c r="F8773" s="1">
        <v>66</v>
      </c>
      <c r="G8773">
        <v>1990</v>
      </c>
      <c r="H8773">
        <f>AVERAGEIFS(Table1[value],Table1[IndicatorCode],Table1[[#This Row],[IndicatorCode]])</f>
        <v>72.66514008620689</v>
      </c>
      <c r="I8773" cm="1">
        <f t="array" ref="I8773">_xlfn.STDEV.P(IF(Table1[IndicatorCode]=Table1[[#This Row],[IndicatorCode]],Table1[value]))</f>
        <v>6.3409496564024987</v>
      </c>
      <c r="J8773">
        <f>(Table1[[#This Row],[value]] - Table1[[#This Row],[mean]]) / Table1[[#This Row],[std_dev]]</f>
        <v>-1.0511264790561858</v>
      </c>
      <c r="K8773">
        <f>AVERAGEIF(Table1[CountryCode],Table1[[#This Row],[CountryCode]],Table1[z-score])</f>
        <v>-0.42188835181926676</v>
      </c>
      <c r="L8773" t="e">
        <f>VLOOKUP(Table1[[#This Row],[CountryCode]],[1]!Table1[#All],1,FALSE)</f>
        <v>#REF!</v>
      </c>
    </row>
    <row r="8774" spans="1:12" hidden="1" x14ac:dyDescent="0.3">
      <c r="A8774" t="s">
        <v>57</v>
      </c>
      <c r="B8774" t="s">
        <v>58</v>
      </c>
      <c r="C8774" t="s">
        <v>129</v>
      </c>
      <c r="D8774" t="s">
        <v>130</v>
      </c>
      <c r="E8774">
        <v>1997</v>
      </c>
      <c r="F8774" s="1">
        <v>66</v>
      </c>
      <c r="G8774">
        <v>2000</v>
      </c>
      <c r="H8774">
        <f>AVERAGEIFS(Table1[value],Table1[IndicatorCode],Table1[[#This Row],[IndicatorCode]])</f>
        <v>72.66514008620689</v>
      </c>
      <c r="I8774" cm="1">
        <f t="array" ref="I8774">_xlfn.STDEV.P(IF(Table1[IndicatorCode]=Table1[[#This Row],[IndicatorCode]],Table1[value]))</f>
        <v>6.3409496564024987</v>
      </c>
      <c r="J8774">
        <f>(Table1[[#This Row],[value]] - Table1[[#This Row],[mean]]) / Table1[[#This Row],[std_dev]]</f>
        <v>-1.0511264790561858</v>
      </c>
      <c r="K8774">
        <f>AVERAGEIF(Table1[CountryCode],Table1[[#This Row],[CountryCode]],Table1[z-score])</f>
        <v>-0.42188835181926676</v>
      </c>
      <c r="L8774" t="e">
        <f>VLOOKUP(Table1[[#This Row],[CountryCode]],[1]!Table1[#All],1,FALSE)</f>
        <v>#REF!</v>
      </c>
    </row>
    <row r="8775" spans="1:12" hidden="1" x14ac:dyDescent="0.3">
      <c r="A8775" t="s">
        <v>57</v>
      </c>
      <c r="B8775" t="s">
        <v>58</v>
      </c>
      <c r="C8775" t="s">
        <v>129</v>
      </c>
      <c r="D8775" t="s">
        <v>130</v>
      </c>
      <c r="E8775">
        <v>1998</v>
      </c>
      <c r="F8775" s="1">
        <v>66</v>
      </c>
      <c r="G8775">
        <v>2000</v>
      </c>
      <c r="H8775">
        <f>AVERAGEIFS(Table1[value],Table1[IndicatorCode],Table1[[#This Row],[IndicatorCode]])</f>
        <v>72.66514008620689</v>
      </c>
      <c r="I8775" cm="1">
        <f t="array" ref="I8775">_xlfn.STDEV.P(IF(Table1[IndicatorCode]=Table1[[#This Row],[IndicatorCode]],Table1[value]))</f>
        <v>6.3409496564024987</v>
      </c>
      <c r="J8775">
        <f>(Table1[[#This Row],[value]] - Table1[[#This Row],[mean]]) / Table1[[#This Row],[std_dev]]</f>
        <v>-1.0511264790561858</v>
      </c>
      <c r="K8775">
        <f>AVERAGEIF(Table1[CountryCode],Table1[[#This Row],[CountryCode]],Table1[z-score])</f>
        <v>-0.42188835181926676</v>
      </c>
      <c r="L8775" t="e">
        <f>VLOOKUP(Table1[[#This Row],[CountryCode]],[1]!Table1[#All],1,FALSE)</f>
        <v>#REF!</v>
      </c>
    </row>
    <row r="8776" spans="1:12" hidden="1" x14ac:dyDescent="0.3">
      <c r="A8776" t="s">
        <v>57</v>
      </c>
      <c r="B8776" t="s">
        <v>58</v>
      </c>
      <c r="C8776" t="s">
        <v>129</v>
      </c>
      <c r="D8776" t="s">
        <v>130</v>
      </c>
      <c r="E8776">
        <v>1999</v>
      </c>
      <c r="F8776" s="1">
        <v>66</v>
      </c>
      <c r="G8776">
        <v>2000</v>
      </c>
      <c r="H8776">
        <f>AVERAGEIFS(Table1[value],Table1[IndicatorCode],Table1[[#This Row],[IndicatorCode]])</f>
        <v>72.66514008620689</v>
      </c>
      <c r="I8776" cm="1">
        <f t="array" ref="I8776">_xlfn.STDEV.P(IF(Table1[IndicatorCode]=Table1[[#This Row],[IndicatorCode]],Table1[value]))</f>
        <v>6.3409496564024987</v>
      </c>
      <c r="J8776">
        <f>(Table1[[#This Row],[value]] - Table1[[#This Row],[mean]]) / Table1[[#This Row],[std_dev]]</f>
        <v>-1.0511264790561858</v>
      </c>
      <c r="K8776">
        <f>AVERAGEIF(Table1[CountryCode],Table1[[#This Row],[CountryCode]],Table1[z-score])</f>
        <v>-0.42188835181926676</v>
      </c>
      <c r="L8776" t="e">
        <f>VLOOKUP(Table1[[#This Row],[CountryCode]],[1]!Table1[#All],1,FALSE)</f>
        <v>#REF!</v>
      </c>
    </row>
    <row r="8777" spans="1:12" hidden="1" x14ac:dyDescent="0.3">
      <c r="A8777" t="s">
        <v>57</v>
      </c>
      <c r="B8777" t="s">
        <v>58</v>
      </c>
      <c r="C8777" t="s">
        <v>129</v>
      </c>
      <c r="D8777" t="s">
        <v>130</v>
      </c>
      <c r="E8777">
        <v>2000</v>
      </c>
      <c r="F8777" s="1">
        <v>66</v>
      </c>
      <c r="G8777">
        <v>2000</v>
      </c>
      <c r="H8777">
        <f>AVERAGEIFS(Table1[value],Table1[IndicatorCode],Table1[[#This Row],[IndicatorCode]])</f>
        <v>72.66514008620689</v>
      </c>
      <c r="I8777" cm="1">
        <f t="array" ref="I8777">_xlfn.STDEV.P(IF(Table1[IndicatorCode]=Table1[[#This Row],[IndicatorCode]],Table1[value]))</f>
        <v>6.3409496564024987</v>
      </c>
      <c r="J8777">
        <f>(Table1[[#This Row],[value]] - Table1[[#This Row],[mean]]) / Table1[[#This Row],[std_dev]]</f>
        <v>-1.0511264790561858</v>
      </c>
      <c r="K8777">
        <f>AVERAGEIF(Table1[CountryCode],Table1[[#This Row],[CountryCode]],Table1[z-score])</f>
        <v>-0.42188835181926676</v>
      </c>
      <c r="L8777" t="e">
        <f>VLOOKUP(Table1[[#This Row],[CountryCode]],[1]!Table1[#All],1,FALSE)</f>
        <v>#REF!</v>
      </c>
    </row>
    <row r="8778" spans="1:12" hidden="1" x14ac:dyDescent="0.3">
      <c r="A8778" t="s">
        <v>57</v>
      </c>
      <c r="B8778" t="s">
        <v>58</v>
      </c>
      <c r="C8778" t="s">
        <v>129</v>
      </c>
      <c r="D8778" t="s">
        <v>130</v>
      </c>
      <c r="E8778">
        <v>2001</v>
      </c>
      <c r="F8778" s="1">
        <v>66</v>
      </c>
      <c r="G8778">
        <v>2000</v>
      </c>
      <c r="H8778">
        <f>AVERAGEIFS(Table1[value],Table1[IndicatorCode],Table1[[#This Row],[IndicatorCode]])</f>
        <v>72.66514008620689</v>
      </c>
      <c r="I8778" cm="1">
        <f t="array" ref="I8778">_xlfn.STDEV.P(IF(Table1[IndicatorCode]=Table1[[#This Row],[IndicatorCode]],Table1[value]))</f>
        <v>6.3409496564024987</v>
      </c>
      <c r="J8778">
        <f>(Table1[[#This Row],[value]] - Table1[[#This Row],[mean]]) / Table1[[#This Row],[std_dev]]</f>
        <v>-1.0511264790561858</v>
      </c>
      <c r="K8778">
        <f>AVERAGEIF(Table1[CountryCode],Table1[[#This Row],[CountryCode]],Table1[z-score])</f>
        <v>-0.42188835181926676</v>
      </c>
      <c r="L8778" t="e">
        <f>VLOOKUP(Table1[[#This Row],[CountryCode]],[1]!Table1[#All],1,FALSE)</f>
        <v>#REF!</v>
      </c>
    </row>
    <row r="8779" spans="1:12" hidden="1" x14ac:dyDescent="0.3">
      <c r="A8779" t="s">
        <v>57</v>
      </c>
      <c r="B8779" t="s">
        <v>58</v>
      </c>
      <c r="C8779" t="s">
        <v>129</v>
      </c>
      <c r="D8779" t="s">
        <v>130</v>
      </c>
      <c r="E8779">
        <v>2002</v>
      </c>
      <c r="F8779" s="1">
        <v>67</v>
      </c>
      <c r="G8779">
        <v>2000</v>
      </c>
      <c r="H8779">
        <f>AVERAGEIFS(Table1[value],Table1[IndicatorCode],Table1[[#This Row],[IndicatorCode]])</f>
        <v>72.66514008620689</v>
      </c>
      <c r="I8779" cm="1">
        <f t="array" ref="I8779">_xlfn.STDEV.P(IF(Table1[IndicatorCode]=Table1[[#This Row],[IndicatorCode]],Table1[value]))</f>
        <v>6.3409496564024987</v>
      </c>
      <c r="J8779">
        <f>(Table1[[#This Row],[value]] - Table1[[#This Row],[mean]]) / Table1[[#This Row],[std_dev]]</f>
        <v>-0.89342139477274674</v>
      </c>
      <c r="K8779">
        <f>AVERAGEIF(Table1[CountryCode],Table1[[#This Row],[CountryCode]],Table1[z-score])</f>
        <v>-0.42188835181926676</v>
      </c>
      <c r="L8779" t="e">
        <f>VLOOKUP(Table1[[#This Row],[CountryCode]],[1]!Table1[#All],1,FALSE)</f>
        <v>#REF!</v>
      </c>
    </row>
    <row r="8780" spans="1:12" hidden="1" x14ac:dyDescent="0.3">
      <c r="A8780" t="s">
        <v>57</v>
      </c>
      <c r="B8780" t="s">
        <v>58</v>
      </c>
      <c r="C8780" t="s">
        <v>129</v>
      </c>
      <c r="D8780" t="s">
        <v>130</v>
      </c>
      <c r="E8780">
        <v>2003</v>
      </c>
      <c r="F8780" s="1">
        <v>67</v>
      </c>
      <c r="G8780">
        <v>2000</v>
      </c>
      <c r="H8780">
        <f>AVERAGEIFS(Table1[value],Table1[IndicatorCode],Table1[[#This Row],[IndicatorCode]])</f>
        <v>72.66514008620689</v>
      </c>
      <c r="I8780" cm="1">
        <f t="array" ref="I8780">_xlfn.STDEV.P(IF(Table1[IndicatorCode]=Table1[[#This Row],[IndicatorCode]],Table1[value]))</f>
        <v>6.3409496564024987</v>
      </c>
      <c r="J8780">
        <f>(Table1[[#This Row],[value]] - Table1[[#This Row],[mean]]) / Table1[[#This Row],[std_dev]]</f>
        <v>-0.89342139477274674</v>
      </c>
      <c r="K8780">
        <f>AVERAGEIF(Table1[CountryCode],Table1[[#This Row],[CountryCode]],Table1[z-score])</f>
        <v>-0.42188835181926676</v>
      </c>
      <c r="L8780" t="e">
        <f>VLOOKUP(Table1[[#This Row],[CountryCode]],[1]!Table1[#All],1,FALSE)</f>
        <v>#REF!</v>
      </c>
    </row>
    <row r="8781" spans="1:12" hidden="1" x14ac:dyDescent="0.3">
      <c r="A8781" t="s">
        <v>57</v>
      </c>
      <c r="B8781" t="s">
        <v>58</v>
      </c>
      <c r="C8781" t="s">
        <v>129</v>
      </c>
      <c r="D8781" t="s">
        <v>130</v>
      </c>
      <c r="E8781">
        <v>2004</v>
      </c>
      <c r="F8781" s="1">
        <v>68</v>
      </c>
      <c r="G8781">
        <v>2000</v>
      </c>
      <c r="H8781">
        <f>AVERAGEIFS(Table1[value],Table1[IndicatorCode],Table1[[#This Row],[IndicatorCode]])</f>
        <v>72.66514008620689</v>
      </c>
      <c r="I8781" cm="1">
        <f t="array" ref="I8781">_xlfn.STDEV.P(IF(Table1[IndicatorCode]=Table1[[#This Row],[IndicatorCode]],Table1[value]))</f>
        <v>6.3409496564024987</v>
      </c>
      <c r="J8781">
        <f>(Table1[[#This Row],[value]] - Table1[[#This Row],[mean]]) / Table1[[#This Row],[std_dev]]</f>
        <v>-0.73571631048930775</v>
      </c>
      <c r="K8781">
        <f>AVERAGEIF(Table1[CountryCode],Table1[[#This Row],[CountryCode]],Table1[z-score])</f>
        <v>-0.42188835181926676</v>
      </c>
      <c r="L8781" t="e">
        <f>VLOOKUP(Table1[[#This Row],[CountryCode]],[1]!Table1[#All],1,FALSE)</f>
        <v>#REF!</v>
      </c>
    </row>
    <row r="8782" spans="1:12" hidden="1" x14ac:dyDescent="0.3">
      <c r="A8782" t="s">
        <v>57</v>
      </c>
      <c r="B8782" t="s">
        <v>58</v>
      </c>
      <c r="C8782" t="s">
        <v>129</v>
      </c>
      <c r="D8782" t="s">
        <v>130</v>
      </c>
      <c r="E8782">
        <v>2005</v>
      </c>
      <c r="F8782" s="1">
        <v>68</v>
      </c>
      <c r="G8782">
        <v>2000</v>
      </c>
      <c r="H8782">
        <f>AVERAGEIFS(Table1[value],Table1[IndicatorCode],Table1[[#This Row],[IndicatorCode]])</f>
        <v>72.66514008620689</v>
      </c>
      <c r="I8782" cm="1">
        <f t="array" ref="I8782">_xlfn.STDEV.P(IF(Table1[IndicatorCode]=Table1[[#This Row],[IndicatorCode]],Table1[value]))</f>
        <v>6.3409496564024987</v>
      </c>
      <c r="J8782">
        <f>(Table1[[#This Row],[value]] - Table1[[#This Row],[mean]]) / Table1[[#This Row],[std_dev]]</f>
        <v>-0.73571631048930775</v>
      </c>
      <c r="K8782">
        <f>AVERAGEIF(Table1[CountryCode],Table1[[#This Row],[CountryCode]],Table1[z-score])</f>
        <v>-0.42188835181926676</v>
      </c>
      <c r="L8782" t="e">
        <f>VLOOKUP(Table1[[#This Row],[CountryCode]],[1]!Table1[#All],1,FALSE)</f>
        <v>#REF!</v>
      </c>
    </row>
    <row r="8783" spans="1:12" hidden="1" x14ac:dyDescent="0.3">
      <c r="A8783" t="s">
        <v>57</v>
      </c>
      <c r="B8783" t="s">
        <v>58</v>
      </c>
      <c r="C8783" t="s">
        <v>129</v>
      </c>
      <c r="D8783" t="s">
        <v>130</v>
      </c>
      <c r="E8783">
        <v>2006</v>
      </c>
      <c r="F8783" s="1">
        <v>69</v>
      </c>
      <c r="G8783">
        <v>2000</v>
      </c>
      <c r="H8783">
        <f>AVERAGEIFS(Table1[value],Table1[IndicatorCode],Table1[[#This Row],[IndicatorCode]])</f>
        <v>72.66514008620689</v>
      </c>
      <c r="I8783" cm="1">
        <f t="array" ref="I8783">_xlfn.STDEV.P(IF(Table1[IndicatorCode]=Table1[[#This Row],[IndicatorCode]],Table1[value]))</f>
        <v>6.3409496564024987</v>
      </c>
      <c r="J8783">
        <f>(Table1[[#This Row],[value]] - Table1[[#This Row],[mean]]) / Table1[[#This Row],[std_dev]]</f>
        <v>-0.57801122620586864</v>
      </c>
      <c r="K8783">
        <f>AVERAGEIF(Table1[CountryCode],Table1[[#This Row],[CountryCode]],Table1[z-score])</f>
        <v>-0.42188835181926676</v>
      </c>
      <c r="L8783" t="e">
        <f>VLOOKUP(Table1[[#This Row],[CountryCode]],[1]!Table1[#All],1,FALSE)</f>
        <v>#REF!</v>
      </c>
    </row>
    <row r="8784" spans="1:12" hidden="1" x14ac:dyDescent="0.3">
      <c r="A8784" t="s">
        <v>57</v>
      </c>
      <c r="B8784" t="s">
        <v>58</v>
      </c>
      <c r="C8784" t="s">
        <v>129</v>
      </c>
      <c r="D8784" t="s">
        <v>130</v>
      </c>
      <c r="E8784">
        <v>2007</v>
      </c>
      <c r="F8784" s="1">
        <v>69</v>
      </c>
      <c r="G8784">
        <v>2010</v>
      </c>
      <c r="H8784">
        <f>AVERAGEIFS(Table1[value],Table1[IndicatorCode],Table1[[#This Row],[IndicatorCode]])</f>
        <v>72.66514008620689</v>
      </c>
      <c r="I8784" cm="1">
        <f t="array" ref="I8784">_xlfn.STDEV.P(IF(Table1[IndicatorCode]=Table1[[#This Row],[IndicatorCode]],Table1[value]))</f>
        <v>6.3409496564024987</v>
      </c>
      <c r="J8784">
        <f>(Table1[[#This Row],[value]] - Table1[[#This Row],[mean]]) / Table1[[#This Row],[std_dev]]</f>
        <v>-0.57801122620586864</v>
      </c>
      <c r="K8784">
        <f>AVERAGEIF(Table1[CountryCode],Table1[[#This Row],[CountryCode]],Table1[z-score])</f>
        <v>-0.42188835181926676</v>
      </c>
      <c r="L8784" t="e">
        <f>VLOOKUP(Table1[[#This Row],[CountryCode]],[1]!Table1[#All],1,FALSE)</f>
        <v>#REF!</v>
      </c>
    </row>
    <row r="8785" spans="1:12" hidden="1" x14ac:dyDescent="0.3">
      <c r="A8785" t="s">
        <v>57</v>
      </c>
      <c r="B8785" t="s">
        <v>58</v>
      </c>
      <c r="C8785" t="s">
        <v>129</v>
      </c>
      <c r="D8785" t="s">
        <v>130</v>
      </c>
      <c r="E8785">
        <v>2008</v>
      </c>
      <c r="F8785" s="1">
        <v>69</v>
      </c>
      <c r="G8785">
        <v>2010</v>
      </c>
      <c r="H8785">
        <f>AVERAGEIFS(Table1[value],Table1[IndicatorCode],Table1[[#This Row],[IndicatorCode]])</f>
        <v>72.66514008620689</v>
      </c>
      <c r="I8785" cm="1">
        <f t="array" ref="I8785">_xlfn.STDEV.P(IF(Table1[IndicatorCode]=Table1[[#This Row],[IndicatorCode]],Table1[value]))</f>
        <v>6.3409496564024987</v>
      </c>
      <c r="J8785">
        <f>(Table1[[#This Row],[value]] - Table1[[#This Row],[mean]]) / Table1[[#This Row],[std_dev]]</f>
        <v>-0.57801122620586864</v>
      </c>
      <c r="K8785">
        <f>AVERAGEIF(Table1[CountryCode],Table1[[#This Row],[CountryCode]],Table1[z-score])</f>
        <v>-0.42188835181926676</v>
      </c>
      <c r="L8785" t="e">
        <f>VLOOKUP(Table1[[#This Row],[CountryCode]],[1]!Table1[#All],1,FALSE)</f>
        <v>#REF!</v>
      </c>
    </row>
    <row r="8786" spans="1:12" hidden="1" x14ac:dyDescent="0.3">
      <c r="A8786" t="s">
        <v>57</v>
      </c>
      <c r="B8786" t="s">
        <v>58</v>
      </c>
      <c r="C8786" t="s">
        <v>129</v>
      </c>
      <c r="D8786" t="s">
        <v>130</v>
      </c>
      <c r="E8786">
        <v>2009</v>
      </c>
      <c r="F8786" s="1">
        <v>70</v>
      </c>
      <c r="G8786">
        <v>2010</v>
      </c>
      <c r="H8786">
        <f>AVERAGEIFS(Table1[value],Table1[IndicatorCode],Table1[[#This Row],[IndicatorCode]])</f>
        <v>72.66514008620689</v>
      </c>
      <c r="I8786" cm="1">
        <f t="array" ref="I8786">_xlfn.STDEV.P(IF(Table1[IndicatorCode]=Table1[[#This Row],[IndicatorCode]],Table1[value]))</f>
        <v>6.3409496564024987</v>
      </c>
      <c r="J8786">
        <f>(Table1[[#This Row],[value]] - Table1[[#This Row],[mean]]) / Table1[[#This Row],[std_dev]]</f>
        <v>-0.4203061419224296</v>
      </c>
      <c r="K8786">
        <f>AVERAGEIF(Table1[CountryCode],Table1[[#This Row],[CountryCode]],Table1[z-score])</f>
        <v>-0.42188835181926676</v>
      </c>
      <c r="L8786" t="e">
        <f>VLOOKUP(Table1[[#This Row],[CountryCode]],[1]!Table1[#All],1,FALSE)</f>
        <v>#REF!</v>
      </c>
    </row>
    <row r="8787" spans="1:12" hidden="1" x14ac:dyDescent="0.3">
      <c r="A8787" t="s">
        <v>57</v>
      </c>
      <c r="B8787" t="s">
        <v>58</v>
      </c>
      <c r="C8787" t="s">
        <v>129</v>
      </c>
      <c r="D8787" t="s">
        <v>130</v>
      </c>
      <c r="E8787">
        <v>2010</v>
      </c>
      <c r="F8787" s="1">
        <v>70</v>
      </c>
      <c r="G8787">
        <v>2010</v>
      </c>
      <c r="H8787">
        <f>AVERAGEIFS(Table1[value],Table1[IndicatorCode],Table1[[#This Row],[IndicatorCode]])</f>
        <v>72.66514008620689</v>
      </c>
      <c r="I8787" cm="1">
        <f t="array" ref="I8787">_xlfn.STDEV.P(IF(Table1[IndicatorCode]=Table1[[#This Row],[IndicatorCode]],Table1[value]))</f>
        <v>6.3409496564024987</v>
      </c>
      <c r="J8787">
        <f>(Table1[[#This Row],[value]] - Table1[[#This Row],[mean]]) / Table1[[#This Row],[std_dev]]</f>
        <v>-0.4203061419224296</v>
      </c>
      <c r="K8787">
        <f>AVERAGEIF(Table1[CountryCode],Table1[[#This Row],[CountryCode]],Table1[z-score])</f>
        <v>-0.42188835181926676</v>
      </c>
      <c r="L8787" t="e">
        <f>VLOOKUP(Table1[[#This Row],[CountryCode]],[1]!Table1[#All],1,FALSE)</f>
        <v>#REF!</v>
      </c>
    </row>
    <row r="8788" spans="1:12" hidden="1" x14ac:dyDescent="0.3">
      <c r="A8788" t="s">
        <v>57</v>
      </c>
      <c r="B8788" t="s">
        <v>58</v>
      </c>
      <c r="C8788" t="s">
        <v>129</v>
      </c>
      <c r="D8788" t="s">
        <v>130</v>
      </c>
      <c r="E8788">
        <v>2011</v>
      </c>
      <c r="F8788" s="1">
        <v>70</v>
      </c>
      <c r="G8788">
        <v>2010</v>
      </c>
      <c r="H8788">
        <f>AVERAGEIFS(Table1[value],Table1[IndicatorCode],Table1[[#This Row],[IndicatorCode]])</f>
        <v>72.66514008620689</v>
      </c>
      <c r="I8788" cm="1">
        <f t="array" ref="I8788">_xlfn.STDEV.P(IF(Table1[IndicatorCode]=Table1[[#This Row],[IndicatorCode]],Table1[value]))</f>
        <v>6.3409496564024987</v>
      </c>
      <c r="J8788">
        <f>(Table1[[#This Row],[value]] - Table1[[#This Row],[mean]]) / Table1[[#This Row],[std_dev]]</f>
        <v>-0.4203061419224296</v>
      </c>
      <c r="K8788">
        <f>AVERAGEIF(Table1[CountryCode],Table1[[#This Row],[CountryCode]],Table1[z-score])</f>
        <v>-0.42188835181926676</v>
      </c>
      <c r="L8788" t="e">
        <f>VLOOKUP(Table1[[#This Row],[CountryCode]],[1]!Table1[#All],1,FALSE)</f>
        <v>#REF!</v>
      </c>
    </row>
    <row r="8789" spans="1:12" hidden="1" x14ac:dyDescent="0.3">
      <c r="A8789" t="s">
        <v>57</v>
      </c>
      <c r="B8789" t="s">
        <v>58</v>
      </c>
      <c r="C8789" t="s">
        <v>129</v>
      </c>
      <c r="D8789" t="s">
        <v>130</v>
      </c>
      <c r="E8789">
        <v>2012</v>
      </c>
      <c r="F8789" s="1">
        <v>71</v>
      </c>
      <c r="G8789">
        <v>2010</v>
      </c>
      <c r="H8789">
        <f>AVERAGEIFS(Table1[value],Table1[IndicatorCode],Table1[[#This Row],[IndicatorCode]])</f>
        <v>72.66514008620689</v>
      </c>
      <c r="I8789" cm="1">
        <f t="array" ref="I8789">_xlfn.STDEV.P(IF(Table1[IndicatorCode]=Table1[[#This Row],[IndicatorCode]],Table1[value]))</f>
        <v>6.3409496564024987</v>
      </c>
      <c r="J8789">
        <f>(Table1[[#This Row],[value]] - Table1[[#This Row],[mean]]) / Table1[[#This Row],[std_dev]]</f>
        <v>-0.2626010576389905</v>
      </c>
      <c r="K8789">
        <f>AVERAGEIF(Table1[CountryCode],Table1[[#This Row],[CountryCode]],Table1[z-score])</f>
        <v>-0.42188835181926676</v>
      </c>
      <c r="L8789" t="e">
        <f>VLOOKUP(Table1[[#This Row],[CountryCode]],[1]!Table1[#All],1,FALSE)</f>
        <v>#REF!</v>
      </c>
    </row>
    <row r="8790" spans="1:12" hidden="1" x14ac:dyDescent="0.3">
      <c r="A8790" t="s">
        <v>57</v>
      </c>
      <c r="B8790" t="s">
        <v>58</v>
      </c>
      <c r="C8790" t="s">
        <v>129</v>
      </c>
      <c r="D8790" t="s">
        <v>130</v>
      </c>
      <c r="E8790">
        <v>2013</v>
      </c>
      <c r="F8790" s="1">
        <v>71</v>
      </c>
      <c r="G8790">
        <v>2010</v>
      </c>
      <c r="H8790">
        <f>AVERAGEIFS(Table1[value],Table1[IndicatorCode],Table1[[#This Row],[IndicatorCode]])</f>
        <v>72.66514008620689</v>
      </c>
      <c r="I8790" cm="1">
        <f t="array" ref="I8790">_xlfn.STDEV.P(IF(Table1[IndicatorCode]=Table1[[#This Row],[IndicatorCode]],Table1[value]))</f>
        <v>6.3409496564024987</v>
      </c>
      <c r="J8790">
        <f>(Table1[[#This Row],[value]] - Table1[[#This Row],[mean]]) / Table1[[#This Row],[std_dev]]</f>
        <v>-0.2626010576389905</v>
      </c>
      <c r="K8790">
        <f>AVERAGEIF(Table1[CountryCode],Table1[[#This Row],[CountryCode]],Table1[z-score])</f>
        <v>-0.42188835181926676</v>
      </c>
      <c r="L8790" t="e">
        <f>VLOOKUP(Table1[[#This Row],[CountryCode]],[1]!Table1[#All],1,FALSE)</f>
        <v>#REF!</v>
      </c>
    </row>
    <row r="8791" spans="1:12" hidden="1" x14ac:dyDescent="0.3">
      <c r="A8791" t="s">
        <v>57</v>
      </c>
      <c r="B8791" t="s">
        <v>58</v>
      </c>
      <c r="C8791" t="s">
        <v>129</v>
      </c>
      <c r="D8791" t="s">
        <v>130</v>
      </c>
      <c r="E8791">
        <v>2014</v>
      </c>
      <c r="F8791" s="1">
        <v>71</v>
      </c>
      <c r="G8791">
        <v>2010</v>
      </c>
      <c r="H8791">
        <f>AVERAGEIFS(Table1[value],Table1[IndicatorCode],Table1[[#This Row],[IndicatorCode]])</f>
        <v>72.66514008620689</v>
      </c>
      <c r="I8791" cm="1">
        <f t="array" ref="I8791">_xlfn.STDEV.P(IF(Table1[IndicatorCode]=Table1[[#This Row],[IndicatorCode]],Table1[value]))</f>
        <v>6.3409496564024987</v>
      </c>
      <c r="J8791">
        <f>(Table1[[#This Row],[value]] - Table1[[#This Row],[mean]]) / Table1[[#This Row],[std_dev]]</f>
        <v>-0.2626010576389905</v>
      </c>
      <c r="K8791">
        <f>AVERAGEIF(Table1[CountryCode],Table1[[#This Row],[CountryCode]],Table1[z-score])</f>
        <v>-0.42188835181926676</v>
      </c>
      <c r="L8791" t="e">
        <f>VLOOKUP(Table1[[#This Row],[CountryCode]],[1]!Table1[#All],1,FALSE)</f>
        <v>#REF!</v>
      </c>
    </row>
    <row r="8792" spans="1:12" hidden="1" x14ac:dyDescent="0.3">
      <c r="A8792" t="s">
        <v>57</v>
      </c>
      <c r="B8792" t="s">
        <v>58</v>
      </c>
      <c r="C8792" t="s">
        <v>129</v>
      </c>
      <c r="D8792" t="s">
        <v>130</v>
      </c>
      <c r="E8792">
        <v>2015</v>
      </c>
      <c r="F8792" s="1">
        <v>71</v>
      </c>
      <c r="G8792">
        <v>2010</v>
      </c>
      <c r="H8792">
        <f>AVERAGEIFS(Table1[value],Table1[IndicatorCode],Table1[[#This Row],[IndicatorCode]])</f>
        <v>72.66514008620689</v>
      </c>
      <c r="I8792" cm="1">
        <f t="array" ref="I8792">_xlfn.STDEV.P(IF(Table1[IndicatorCode]=Table1[[#This Row],[IndicatorCode]],Table1[value]))</f>
        <v>6.3409496564024987</v>
      </c>
      <c r="J8792">
        <f>(Table1[[#This Row],[value]] - Table1[[#This Row],[mean]]) / Table1[[#This Row],[std_dev]]</f>
        <v>-0.2626010576389905</v>
      </c>
      <c r="K8792">
        <f>AVERAGEIF(Table1[CountryCode],Table1[[#This Row],[CountryCode]],Table1[z-score])</f>
        <v>-0.42188835181926676</v>
      </c>
      <c r="L8792" t="e">
        <f>VLOOKUP(Table1[[#This Row],[CountryCode]],[1]!Table1[#All],1,FALSE)</f>
        <v>#REF!</v>
      </c>
    </row>
    <row r="8793" spans="1:12" hidden="1" x14ac:dyDescent="0.3">
      <c r="A8793" t="s">
        <v>57</v>
      </c>
      <c r="B8793" t="s">
        <v>58</v>
      </c>
      <c r="C8793" t="s">
        <v>129</v>
      </c>
      <c r="D8793" t="s">
        <v>130</v>
      </c>
      <c r="E8793">
        <v>2016</v>
      </c>
      <c r="F8793" s="1">
        <v>72</v>
      </c>
      <c r="G8793">
        <v>2010</v>
      </c>
      <c r="H8793">
        <f>AVERAGEIFS(Table1[value],Table1[IndicatorCode],Table1[[#This Row],[IndicatorCode]])</f>
        <v>72.66514008620689</v>
      </c>
      <c r="I8793" cm="1">
        <f t="array" ref="I8793">_xlfn.STDEV.P(IF(Table1[IndicatorCode]=Table1[[#This Row],[IndicatorCode]],Table1[value]))</f>
        <v>6.3409496564024987</v>
      </c>
      <c r="J8793">
        <f>(Table1[[#This Row],[value]] - Table1[[#This Row],[mean]]) / Table1[[#This Row],[std_dev]]</f>
        <v>-0.10489597335555145</v>
      </c>
      <c r="K8793">
        <f>AVERAGEIF(Table1[CountryCode],Table1[[#This Row],[CountryCode]],Table1[z-score])</f>
        <v>-0.42188835181926676</v>
      </c>
      <c r="L8793" t="e">
        <f>VLOOKUP(Table1[[#This Row],[CountryCode]],[1]!Table1[#All],1,FALSE)</f>
        <v>#REF!</v>
      </c>
    </row>
    <row r="8794" spans="1:12" hidden="1" x14ac:dyDescent="0.3">
      <c r="A8794" t="s">
        <v>57</v>
      </c>
      <c r="B8794" t="s">
        <v>58</v>
      </c>
      <c r="C8794" t="s">
        <v>129</v>
      </c>
      <c r="D8794" t="s">
        <v>130</v>
      </c>
      <c r="E8794">
        <v>2017</v>
      </c>
      <c r="F8794" s="1">
        <v>72</v>
      </c>
      <c r="G8794">
        <v>2020</v>
      </c>
      <c r="H8794">
        <f>AVERAGEIFS(Table1[value],Table1[IndicatorCode],Table1[[#This Row],[IndicatorCode]])</f>
        <v>72.66514008620689</v>
      </c>
      <c r="I8794" cm="1">
        <f t="array" ref="I8794">_xlfn.STDEV.P(IF(Table1[IndicatorCode]=Table1[[#This Row],[IndicatorCode]],Table1[value]))</f>
        <v>6.3409496564024987</v>
      </c>
      <c r="J8794">
        <f>(Table1[[#This Row],[value]] - Table1[[#This Row],[mean]]) / Table1[[#This Row],[std_dev]]</f>
        <v>-0.10489597335555145</v>
      </c>
      <c r="K8794">
        <f>AVERAGEIF(Table1[CountryCode],Table1[[#This Row],[CountryCode]],Table1[z-score])</f>
        <v>-0.42188835181926676</v>
      </c>
      <c r="L8794" t="e">
        <f>VLOOKUP(Table1[[#This Row],[CountryCode]],[1]!Table1[#All],1,FALSE)</f>
        <v>#REF!</v>
      </c>
    </row>
    <row r="8795" spans="1:12" hidden="1" x14ac:dyDescent="0.3">
      <c r="A8795" t="s">
        <v>57</v>
      </c>
      <c r="B8795" t="s">
        <v>58</v>
      </c>
      <c r="C8795" t="s">
        <v>129</v>
      </c>
      <c r="D8795" t="s">
        <v>130</v>
      </c>
      <c r="E8795">
        <v>2018</v>
      </c>
      <c r="F8795" s="1">
        <v>72</v>
      </c>
      <c r="G8795">
        <v>2020</v>
      </c>
      <c r="H8795">
        <f>AVERAGEIFS(Table1[value],Table1[IndicatorCode],Table1[[#This Row],[IndicatorCode]])</f>
        <v>72.66514008620689</v>
      </c>
      <c r="I8795" cm="1">
        <f t="array" ref="I8795">_xlfn.STDEV.P(IF(Table1[IndicatorCode]=Table1[[#This Row],[IndicatorCode]],Table1[value]))</f>
        <v>6.3409496564024987</v>
      </c>
      <c r="J8795">
        <f>(Table1[[#This Row],[value]] - Table1[[#This Row],[mean]]) / Table1[[#This Row],[std_dev]]</f>
        <v>-0.10489597335555145</v>
      </c>
      <c r="K8795">
        <f>AVERAGEIF(Table1[CountryCode],Table1[[#This Row],[CountryCode]],Table1[z-score])</f>
        <v>-0.42188835181926676</v>
      </c>
      <c r="L8795" t="e">
        <f>VLOOKUP(Table1[[#This Row],[CountryCode]],[1]!Table1[#All],1,FALSE)</f>
        <v>#REF!</v>
      </c>
    </row>
    <row r="8796" spans="1:12" hidden="1" x14ac:dyDescent="0.3">
      <c r="A8796" t="s">
        <v>57</v>
      </c>
      <c r="B8796" t="s">
        <v>58</v>
      </c>
      <c r="C8796" t="s">
        <v>129</v>
      </c>
      <c r="D8796" t="s">
        <v>130</v>
      </c>
      <c r="E8796">
        <v>2019</v>
      </c>
      <c r="F8796" s="1">
        <v>72</v>
      </c>
      <c r="G8796">
        <v>2020</v>
      </c>
      <c r="H8796">
        <f>AVERAGEIFS(Table1[value],Table1[IndicatorCode],Table1[[#This Row],[IndicatorCode]])</f>
        <v>72.66514008620689</v>
      </c>
      <c r="I8796" cm="1">
        <f t="array" ref="I8796">_xlfn.STDEV.P(IF(Table1[IndicatorCode]=Table1[[#This Row],[IndicatorCode]],Table1[value]))</f>
        <v>6.3409496564024987</v>
      </c>
      <c r="J8796">
        <f>(Table1[[#This Row],[value]] - Table1[[#This Row],[mean]]) / Table1[[#This Row],[std_dev]]</f>
        <v>-0.10489597335555145</v>
      </c>
      <c r="K8796">
        <f>AVERAGEIF(Table1[CountryCode],Table1[[#This Row],[CountryCode]],Table1[z-score])</f>
        <v>-0.42188835181926676</v>
      </c>
      <c r="L8796" t="e">
        <f>VLOOKUP(Table1[[#This Row],[CountryCode]],[1]!Table1[#All],1,FALSE)</f>
        <v>#REF!</v>
      </c>
    </row>
    <row r="8797" spans="1:12" x14ac:dyDescent="0.3">
      <c r="A8797" t="s">
        <v>57</v>
      </c>
      <c r="B8797" t="s">
        <v>58</v>
      </c>
      <c r="C8797" t="s">
        <v>129</v>
      </c>
      <c r="D8797" t="s">
        <v>130</v>
      </c>
      <c r="E8797">
        <v>2020</v>
      </c>
      <c r="F8797" s="1">
        <v>72</v>
      </c>
      <c r="G8797">
        <v>2020</v>
      </c>
      <c r="H8797">
        <f>AVERAGEIFS(Table1[value],Table1[IndicatorCode],Table1[[#This Row],[IndicatorCode]])</f>
        <v>72.66514008620689</v>
      </c>
      <c r="I8797" cm="1">
        <f t="array" ref="I8797">_xlfn.STDEV.P(IF(Table1[IndicatorCode]=Table1[[#This Row],[IndicatorCode]],Table1[value]))</f>
        <v>6.3409496564024987</v>
      </c>
      <c r="J8797">
        <f>(Table1[[#This Row],[value]] - Table1[[#This Row],[mean]]) / Table1[[#This Row],[std_dev]]</f>
        <v>-0.10489597335555145</v>
      </c>
      <c r="K8797">
        <f>AVERAGEIF(Table1[CountryCode],Table1[[#This Row],[CountryCode]],Table1[z-score])</f>
        <v>-0.42188835181926676</v>
      </c>
    </row>
    <row r="8798" spans="1:12" hidden="1" x14ac:dyDescent="0.3">
      <c r="A8798" t="s">
        <v>57</v>
      </c>
      <c r="B8798" t="s">
        <v>58</v>
      </c>
      <c r="C8798" t="s">
        <v>129</v>
      </c>
      <c r="D8798" t="s">
        <v>130</v>
      </c>
      <c r="E8798">
        <v>2021</v>
      </c>
      <c r="F8798" s="1">
        <v>72</v>
      </c>
      <c r="G8798">
        <v>1960</v>
      </c>
      <c r="H8798">
        <f>AVERAGEIFS(Table1[value],Table1[IndicatorCode],Table1[[#This Row],[IndicatorCode]])</f>
        <v>72.66514008620689</v>
      </c>
      <c r="I8798" cm="1">
        <f t="array" ref="I8798">_xlfn.STDEV.P(IF(Table1[IndicatorCode]=Table1[[#This Row],[IndicatorCode]],Table1[value]))</f>
        <v>6.3409496564024987</v>
      </c>
      <c r="J8798">
        <f>(Table1[[#This Row],[value]] - Table1[[#This Row],[mean]]) / Table1[[#This Row],[std_dev]]</f>
        <v>-0.10489597335555145</v>
      </c>
      <c r="K8798">
        <f>AVERAGEIF(Table1[CountryCode],Table1[[#This Row],[CountryCode]],Table1[z-score])</f>
        <v>-0.42188835181926676</v>
      </c>
      <c r="L8798" t="e">
        <f>VLOOKUP(Table1[[#This Row],[CountryCode]],[1]!Table1[#All],1,FALSE)</f>
        <v>#REF!</v>
      </c>
    </row>
    <row r="8799" spans="1:12" hidden="1" x14ac:dyDescent="0.3">
      <c r="A8799" t="s">
        <v>57</v>
      </c>
      <c r="B8799" t="s">
        <v>58</v>
      </c>
      <c r="C8799" t="s">
        <v>129</v>
      </c>
      <c r="D8799" t="s">
        <v>130</v>
      </c>
      <c r="E8799">
        <v>2022</v>
      </c>
      <c r="F8799" s="1">
        <v>72</v>
      </c>
      <c r="G8799">
        <v>1960</v>
      </c>
      <c r="H8799">
        <f>AVERAGEIFS(Table1[value],Table1[IndicatorCode],Table1[[#This Row],[IndicatorCode]])</f>
        <v>72.66514008620689</v>
      </c>
      <c r="I8799" cm="1">
        <f t="array" ref="I8799">_xlfn.STDEV.P(IF(Table1[IndicatorCode]=Table1[[#This Row],[IndicatorCode]],Table1[value]))</f>
        <v>6.3409496564024987</v>
      </c>
      <c r="J8799">
        <f>(Table1[[#This Row],[value]] - Table1[[#This Row],[mean]]) / Table1[[#This Row],[std_dev]]</f>
        <v>-0.10489597335555145</v>
      </c>
      <c r="K8799">
        <f>AVERAGEIF(Table1[CountryCode],Table1[[#This Row],[CountryCode]],Table1[z-score])</f>
        <v>-0.42188835181926676</v>
      </c>
      <c r="L8799" t="e">
        <f>VLOOKUP(Table1[[#This Row],[CountryCode]],[1]!Table1[#All],1,FALSE)</f>
        <v>#REF!</v>
      </c>
    </row>
    <row r="8800" spans="1:12" hidden="1" x14ac:dyDescent="0.3">
      <c r="A8800" t="s">
        <v>57</v>
      </c>
      <c r="B8800" t="s">
        <v>58</v>
      </c>
      <c r="C8800" t="s">
        <v>129</v>
      </c>
      <c r="D8800" t="s">
        <v>130</v>
      </c>
      <c r="E8800">
        <v>2023</v>
      </c>
      <c r="F8800" s="1">
        <v>72</v>
      </c>
      <c r="G8800">
        <v>1960</v>
      </c>
      <c r="H8800">
        <f>AVERAGEIFS(Table1[value],Table1[IndicatorCode],Table1[[#This Row],[IndicatorCode]])</f>
        <v>72.66514008620689</v>
      </c>
      <c r="I8800" cm="1">
        <f t="array" ref="I8800">_xlfn.STDEV.P(IF(Table1[IndicatorCode]=Table1[[#This Row],[IndicatorCode]],Table1[value]))</f>
        <v>6.3409496564024987</v>
      </c>
      <c r="J8800">
        <f>(Table1[[#This Row],[value]] - Table1[[#This Row],[mean]]) / Table1[[#This Row],[std_dev]]</f>
        <v>-0.10489597335555145</v>
      </c>
      <c r="K8800">
        <f>AVERAGEIF(Table1[CountryCode],Table1[[#This Row],[CountryCode]],Table1[z-score])</f>
        <v>-0.42188835181926676</v>
      </c>
      <c r="L8800" t="e">
        <f>VLOOKUP(Table1[[#This Row],[CountryCode]],[1]!Table1[#All],1,FALSE)</f>
        <v>#REF!</v>
      </c>
    </row>
    <row r="8801" spans="1:12" hidden="1" x14ac:dyDescent="0.3">
      <c r="A8801" t="s">
        <v>59</v>
      </c>
      <c r="B8801" t="s">
        <v>60</v>
      </c>
      <c r="C8801" t="s">
        <v>129</v>
      </c>
      <c r="D8801" t="s">
        <v>130</v>
      </c>
      <c r="E8801">
        <v>1960</v>
      </c>
      <c r="F8801" s="1">
        <v>66</v>
      </c>
      <c r="G8801">
        <v>1960</v>
      </c>
      <c r="H8801">
        <f>AVERAGEIFS(Table1[value],Table1[IndicatorCode],Table1[[#This Row],[IndicatorCode]])</f>
        <v>72.66514008620689</v>
      </c>
      <c r="I8801" cm="1">
        <f t="array" ref="I8801">_xlfn.STDEV.P(IF(Table1[IndicatorCode]=Table1[[#This Row],[IndicatorCode]],Table1[value]))</f>
        <v>6.3409496564024987</v>
      </c>
      <c r="J8801">
        <f>(Table1[[#This Row],[value]] - Table1[[#This Row],[mean]]) / Table1[[#This Row],[std_dev]]</f>
        <v>-1.0511264790561858</v>
      </c>
      <c r="K8801">
        <f>AVERAGEIF(Table1[CountryCode],Table1[[#This Row],[CountryCode]],Table1[z-score])</f>
        <v>-0.22872454493605915</v>
      </c>
      <c r="L8801" t="e">
        <f>VLOOKUP(Table1[[#This Row],[CountryCode]],[1]!Table1[#All],1,FALSE)</f>
        <v>#REF!</v>
      </c>
    </row>
    <row r="8802" spans="1:12" hidden="1" x14ac:dyDescent="0.3">
      <c r="A8802" t="s">
        <v>59</v>
      </c>
      <c r="B8802" t="s">
        <v>60</v>
      </c>
      <c r="C8802" t="s">
        <v>129</v>
      </c>
      <c r="D8802" t="s">
        <v>130</v>
      </c>
      <c r="E8802">
        <v>1961</v>
      </c>
      <c r="F8802" s="1">
        <v>66</v>
      </c>
      <c r="G8802">
        <v>1960</v>
      </c>
      <c r="H8802">
        <f>AVERAGEIFS(Table1[value],Table1[IndicatorCode],Table1[[#This Row],[IndicatorCode]])</f>
        <v>72.66514008620689</v>
      </c>
      <c r="I8802" cm="1">
        <f t="array" ref="I8802">_xlfn.STDEV.P(IF(Table1[IndicatorCode]=Table1[[#This Row],[IndicatorCode]],Table1[value]))</f>
        <v>6.3409496564024987</v>
      </c>
      <c r="J8802">
        <f>(Table1[[#This Row],[value]] - Table1[[#This Row],[mean]]) / Table1[[#This Row],[std_dev]]</f>
        <v>-1.0511264790561858</v>
      </c>
      <c r="K8802">
        <f>AVERAGEIF(Table1[CountryCode],Table1[[#This Row],[CountryCode]],Table1[z-score])</f>
        <v>-0.22872454493605915</v>
      </c>
      <c r="L8802" t="e">
        <f>VLOOKUP(Table1[[#This Row],[CountryCode]],[1]!Table1[#All],1,FALSE)</f>
        <v>#REF!</v>
      </c>
    </row>
    <row r="8803" spans="1:12" hidden="1" x14ac:dyDescent="0.3">
      <c r="A8803" t="s">
        <v>59</v>
      </c>
      <c r="B8803" t="s">
        <v>60</v>
      </c>
      <c r="C8803" t="s">
        <v>129</v>
      </c>
      <c r="D8803" t="s">
        <v>130</v>
      </c>
      <c r="E8803">
        <v>1962</v>
      </c>
      <c r="F8803" s="1">
        <v>67</v>
      </c>
      <c r="G8803">
        <v>1960</v>
      </c>
      <c r="H8803">
        <f>AVERAGEIFS(Table1[value],Table1[IndicatorCode],Table1[[#This Row],[IndicatorCode]])</f>
        <v>72.66514008620689</v>
      </c>
      <c r="I8803" cm="1">
        <f t="array" ref="I8803">_xlfn.STDEV.P(IF(Table1[IndicatorCode]=Table1[[#This Row],[IndicatorCode]],Table1[value]))</f>
        <v>6.3409496564024987</v>
      </c>
      <c r="J8803">
        <f>(Table1[[#This Row],[value]] - Table1[[#This Row],[mean]]) / Table1[[#This Row],[std_dev]]</f>
        <v>-0.89342139477274674</v>
      </c>
      <c r="K8803">
        <f>AVERAGEIF(Table1[CountryCode],Table1[[#This Row],[CountryCode]],Table1[z-score])</f>
        <v>-0.22872454493605915</v>
      </c>
      <c r="L8803" t="e">
        <f>VLOOKUP(Table1[[#This Row],[CountryCode]],[1]!Table1[#All],1,FALSE)</f>
        <v>#REF!</v>
      </c>
    </row>
    <row r="8804" spans="1:12" hidden="1" x14ac:dyDescent="0.3">
      <c r="A8804" t="s">
        <v>59</v>
      </c>
      <c r="B8804" t="s">
        <v>60</v>
      </c>
      <c r="C8804" t="s">
        <v>129</v>
      </c>
      <c r="D8804" t="s">
        <v>130</v>
      </c>
      <c r="E8804">
        <v>1963</v>
      </c>
      <c r="F8804" s="1">
        <v>67</v>
      </c>
      <c r="G8804">
        <v>1960</v>
      </c>
      <c r="H8804">
        <f>AVERAGEIFS(Table1[value],Table1[IndicatorCode],Table1[[#This Row],[IndicatorCode]])</f>
        <v>72.66514008620689</v>
      </c>
      <c r="I8804" cm="1">
        <f t="array" ref="I8804">_xlfn.STDEV.P(IF(Table1[IndicatorCode]=Table1[[#This Row],[IndicatorCode]],Table1[value]))</f>
        <v>6.3409496564024987</v>
      </c>
      <c r="J8804">
        <f>(Table1[[#This Row],[value]] - Table1[[#This Row],[mean]]) / Table1[[#This Row],[std_dev]]</f>
        <v>-0.89342139477274674</v>
      </c>
      <c r="K8804">
        <f>AVERAGEIF(Table1[CountryCode],Table1[[#This Row],[CountryCode]],Table1[z-score])</f>
        <v>-0.22872454493605915</v>
      </c>
      <c r="L8804" t="e">
        <f>VLOOKUP(Table1[[#This Row],[CountryCode]],[1]!Table1[#All],1,FALSE)</f>
        <v>#REF!</v>
      </c>
    </row>
    <row r="8805" spans="1:12" hidden="1" x14ac:dyDescent="0.3">
      <c r="A8805" t="s">
        <v>59</v>
      </c>
      <c r="B8805" t="s">
        <v>60</v>
      </c>
      <c r="C8805" t="s">
        <v>129</v>
      </c>
      <c r="D8805" t="s">
        <v>130</v>
      </c>
      <c r="E8805">
        <v>1964</v>
      </c>
      <c r="F8805" s="1">
        <v>68</v>
      </c>
      <c r="G8805">
        <v>1960</v>
      </c>
      <c r="H8805">
        <f>AVERAGEIFS(Table1[value],Table1[IndicatorCode],Table1[[#This Row],[IndicatorCode]])</f>
        <v>72.66514008620689</v>
      </c>
      <c r="I8805" cm="1">
        <f t="array" ref="I8805">_xlfn.STDEV.P(IF(Table1[IndicatorCode]=Table1[[#This Row],[IndicatorCode]],Table1[value]))</f>
        <v>6.3409496564024987</v>
      </c>
      <c r="J8805">
        <f>(Table1[[#This Row],[value]] - Table1[[#This Row],[mean]]) / Table1[[#This Row],[std_dev]]</f>
        <v>-0.73571631048930775</v>
      </c>
      <c r="K8805">
        <f>AVERAGEIF(Table1[CountryCode],Table1[[#This Row],[CountryCode]],Table1[z-score])</f>
        <v>-0.22872454493605915</v>
      </c>
      <c r="L8805" t="e">
        <f>VLOOKUP(Table1[[#This Row],[CountryCode]],[1]!Table1[#All],1,FALSE)</f>
        <v>#REF!</v>
      </c>
    </row>
    <row r="8806" spans="1:12" hidden="1" x14ac:dyDescent="0.3">
      <c r="A8806" t="s">
        <v>59</v>
      </c>
      <c r="B8806" t="s">
        <v>60</v>
      </c>
      <c r="C8806" t="s">
        <v>129</v>
      </c>
      <c r="D8806" t="s">
        <v>130</v>
      </c>
      <c r="E8806">
        <v>1965</v>
      </c>
      <c r="F8806" s="1">
        <v>68</v>
      </c>
      <c r="G8806">
        <v>1960</v>
      </c>
      <c r="H8806">
        <f>AVERAGEIFS(Table1[value],Table1[IndicatorCode],Table1[[#This Row],[IndicatorCode]])</f>
        <v>72.66514008620689</v>
      </c>
      <c r="I8806" cm="1">
        <f t="array" ref="I8806">_xlfn.STDEV.P(IF(Table1[IndicatorCode]=Table1[[#This Row],[IndicatorCode]],Table1[value]))</f>
        <v>6.3409496564024987</v>
      </c>
      <c r="J8806">
        <f>(Table1[[#This Row],[value]] - Table1[[#This Row],[mean]]) / Table1[[#This Row],[std_dev]]</f>
        <v>-0.73571631048930775</v>
      </c>
      <c r="K8806">
        <f>AVERAGEIF(Table1[CountryCode],Table1[[#This Row],[CountryCode]],Table1[z-score])</f>
        <v>-0.22872454493605915</v>
      </c>
      <c r="L8806" t="e">
        <f>VLOOKUP(Table1[[#This Row],[CountryCode]],[1]!Table1[#All],1,FALSE)</f>
        <v>#REF!</v>
      </c>
    </row>
    <row r="8807" spans="1:12" hidden="1" x14ac:dyDescent="0.3">
      <c r="A8807" t="s">
        <v>59</v>
      </c>
      <c r="B8807" t="s">
        <v>60</v>
      </c>
      <c r="C8807" t="s">
        <v>129</v>
      </c>
      <c r="D8807" t="s">
        <v>130</v>
      </c>
      <c r="E8807">
        <v>1966</v>
      </c>
      <c r="F8807" s="1">
        <v>69</v>
      </c>
      <c r="G8807">
        <v>1960</v>
      </c>
      <c r="H8807">
        <f>AVERAGEIFS(Table1[value],Table1[IndicatorCode],Table1[[#This Row],[IndicatorCode]])</f>
        <v>72.66514008620689</v>
      </c>
      <c r="I8807" cm="1">
        <f t="array" ref="I8807">_xlfn.STDEV.P(IF(Table1[IndicatorCode]=Table1[[#This Row],[IndicatorCode]],Table1[value]))</f>
        <v>6.3409496564024987</v>
      </c>
      <c r="J8807">
        <f>(Table1[[#This Row],[value]] - Table1[[#This Row],[mean]]) / Table1[[#This Row],[std_dev]]</f>
        <v>-0.57801122620586864</v>
      </c>
      <c r="K8807">
        <f>AVERAGEIF(Table1[CountryCode],Table1[[#This Row],[CountryCode]],Table1[z-score])</f>
        <v>-0.22872454493605915</v>
      </c>
      <c r="L8807" t="e">
        <f>VLOOKUP(Table1[[#This Row],[CountryCode]],[1]!Table1[#All],1,FALSE)</f>
        <v>#REF!</v>
      </c>
    </row>
    <row r="8808" spans="1:12" hidden="1" x14ac:dyDescent="0.3">
      <c r="A8808" t="s">
        <v>59</v>
      </c>
      <c r="B8808" t="s">
        <v>60</v>
      </c>
      <c r="C8808" t="s">
        <v>129</v>
      </c>
      <c r="D8808" t="s">
        <v>130</v>
      </c>
      <c r="E8808">
        <v>1967</v>
      </c>
      <c r="F8808" s="1">
        <v>69</v>
      </c>
      <c r="G8808">
        <v>1970</v>
      </c>
      <c r="H8808">
        <f>AVERAGEIFS(Table1[value],Table1[IndicatorCode],Table1[[#This Row],[IndicatorCode]])</f>
        <v>72.66514008620689</v>
      </c>
      <c r="I8808" cm="1">
        <f t="array" ref="I8808">_xlfn.STDEV.P(IF(Table1[IndicatorCode]=Table1[[#This Row],[IndicatorCode]],Table1[value]))</f>
        <v>6.3409496564024987</v>
      </c>
      <c r="J8808">
        <f>(Table1[[#This Row],[value]] - Table1[[#This Row],[mean]]) / Table1[[#This Row],[std_dev]]</f>
        <v>-0.57801122620586864</v>
      </c>
      <c r="K8808">
        <f>AVERAGEIF(Table1[CountryCode],Table1[[#This Row],[CountryCode]],Table1[z-score])</f>
        <v>-0.22872454493605915</v>
      </c>
      <c r="L8808" t="e">
        <f>VLOOKUP(Table1[[#This Row],[CountryCode]],[1]!Table1[#All],1,FALSE)</f>
        <v>#REF!</v>
      </c>
    </row>
    <row r="8809" spans="1:12" hidden="1" x14ac:dyDescent="0.3">
      <c r="A8809" t="s">
        <v>59</v>
      </c>
      <c r="B8809" t="s">
        <v>60</v>
      </c>
      <c r="C8809" t="s">
        <v>129</v>
      </c>
      <c r="D8809" t="s">
        <v>130</v>
      </c>
      <c r="E8809">
        <v>1968</v>
      </c>
      <c r="F8809" s="1">
        <v>69</v>
      </c>
      <c r="G8809">
        <v>1970</v>
      </c>
      <c r="H8809">
        <f>AVERAGEIFS(Table1[value],Table1[IndicatorCode],Table1[[#This Row],[IndicatorCode]])</f>
        <v>72.66514008620689</v>
      </c>
      <c r="I8809" cm="1">
        <f t="array" ref="I8809">_xlfn.STDEV.P(IF(Table1[IndicatorCode]=Table1[[#This Row],[IndicatorCode]],Table1[value]))</f>
        <v>6.3409496564024987</v>
      </c>
      <c r="J8809">
        <f>(Table1[[#This Row],[value]] - Table1[[#This Row],[mean]]) / Table1[[#This Row],[std_dev]]</f>
        <v>-0.57801122620586864</v>
      </c>
      <c r="K8809">
        <f>AVERAGEIF(Table1[CountryCode],Table1[[#This Row],[CountryCode]],Table1[z-score])</f>
        <v>-0.22872454493605915</v>
      </c>
      <c r="L8809" t="e">
        <f>VLOOKUP(Table1[[#This Row],[CountryCode]],[1]!Table1[#All],1,FALSE)</f>
        <v>#REF!</v>
      </c>
    </row>
    <row r="8810" spans="1:12" hidden="1" x14ac:dyDescent="0.3">
      <c r="A8810" t="s">
        <v>59</v>
      </c>
      <c r="B8810" t="s">
        <v>60</v>
      </c>
      <c r="C8810" t="s">
        <v>129</v>
      </c>
      <c r="D8810" t="s">
        <v>130</v>
      </c>
      <c r="E8810">
        <v>1969</v>
      </c>
      <c r="F8810" s="1">
        <v>69</v>
      </c>
      <c r="G8810">
        <v>1970</v>
      </c>
      <c r="H8810">
        <f>AVERAGEIFS(Table1[value],Table1[IndicatorCode],Table1[[#This Row],[IndicatorCode]])</f>
        <v>72.66514008620689</v>
      </c>
      <c r="I8810" cm="1">
        <f t="array" ref="I8810">_xlfn.STDEV.P(IF(Table1[IndicatorCode]=Table1[[#This Row],[IndicatorCode]],Table1[value]))</f>
        <v>6.3409496564024987</v>
      </c>
      <c r="J8810">
        <f>(Table1[[#This Row],[value]] - Table1[[#This Row],[mean]]) / Table1[[#This Row],[std_dev]]</f>
        <v>-0.57801122620586864</v>
      </c>
      <c r="K8810">
        <f>AVERAGEIF(Table1[CountryCode],Table1[[#This Row],[CountryCode]],Table1[z-score])</f>
        <v>-0.22872454493605915</v>
      </c>
      <c r="L8810" t="e">
        <f>VLOOKUP(Table1[[#This Row],[CountryCode]],[1]!Table1[#All],1,FALSE)</f>
        <v>#REF!</v>
      </c>
    </row>
    <row r="8811" spans="1:12" hidden="1" x14ac:dyDescent="0.3">
      <c r="A8811" t="s">
        <v>59</v>
      </c>
      <c r="B8811" t="s">
        <v>60</v>
      </c>
      <c r="C8811" t="s">
        <v>129</v>
      </c>
      <c r="D8811" t="s">
        <v>130</v>
      </c>
      <c r="E8811">
        <v>1970</v>
      </c>
      <c r="F8811" s="1">
        <v>69</v>
      </c>
      <c r="G8811">
        <v>1970</v>
      </c>
      <c r="H8811">
        <f>AVERAGEIFS(Table1[value],Table1[IndicatorCode],Table1[[#This Row],[IndicatorCode]])</f>
        <v>72.66514008620689</v>
      </c>
      <c r="I8811" cm="1">
        <f t="array" ref="I8811">_xlfn.STDEV.P(IF(Table1[IndicatorCode]=Table1[[#This Row],[IndicatorCode]],Table1[value]))</f>
        <v>6.3409496564024987</v>
      </c>
      <c r="J8811">
        <f>(Table1[[#This Row],[value]] - Table1[[#This Row],[mean]]) / Table1[[#This Row],[std_dev]]</f>
        <v>-0.57801122620586864</v>
      </c>
      <c r="K8811">
        <f>AVERAGEIF(Table1[CountryCode],Table1[[#This Row],[CountryCode]],Table1[z-score])</f>
        <v>-0.22872454493605915</v>
      </c>
      <c r="L8811" t="e">
        <f>VLOOKUP(Table1[[#This Row],[CountryCode]],[1]!Table1[#All],1,FALSE)</f>
        <v>#REF!</v>
      </c>
    </row>
    <row r="8812" spans="1:12" hidden="1" x14ac:dyDescent="0.3">
      <c r="A8812" t="s">
        <v>59</v>
      </c>
      <c r="B8812" t="s">
        <v>60</v>
      </c>
      <c r="C8812" t="s">
        <v>129</v>
      </c>
      <c r="D8812" t="s">
        <v>130</v>
      </c>
      <c r="E8812">
        <v>1971</v>
      </c>
      <c r="F8812" s="1">
        <v>69</v>
      </c>
      <c r="G8812">
        <v>1970</v>
      </c>
      <c r="H8812">
        <f>AVERAGEIFS(Table1[value],Table1[IndicatorCode],Table1[[#This Row],[IndicatorCode]])</f>
        <v>72.66514008620689</v>
      </c>
      <c r="I8812" cm="1">
        <f t="array" ref="I8812">_xlfn.STDEV.P(IF(Table1[IndicatorCode]=Table1[[#This Row],[IndicatorCode]],Table1[value]))</f>
        <v>6.3409496564024987</v>
      </c>
      <c r="J8812">
        <f>(Table1[[#This Row],[value]] - Table1[[#This Row],[mean]]) / Table1[[#This Row],[std_dev]]</f>
        <v>-0.57801122620586864</v>
      </c>
      <c r="K8812">
        <f>AVERAGEIF(Table1[CountryCode],Table1[[#This Row],[CountryCode]],Table1[z-score])</f>
        <v>-0.22872454493605915</v>
      </c>
      <c r="L8812" t="e">
        <f>VLOOKUP(Table1[[#This Row],[CountryCode]],[1]!Table1[#All],1,FALSE)</f>
        <v>#REF!</v>
      </c>
    </row>
    <row r="8813" spans="1:12" hidden="1" x14ac:dyDescent="0.3">
      <c r="A8813" t="s">
        <v>59</v>
      </c>
      <c r="B8813" t="s">
        <v>60</v>
      </c>
      <c r="C8813" t="s">
        <v>129</v>
      </c>
      <c r="D8813" t="s">
        <v>130</v>
      </c>
      <c r="E8813">
        <v>1972</v>
      </c>
      <c r="F8813" s="1">
        <v>70</v>
      </c>
      <c r="G8813">
        <v>1970</v>
      </c>
      <c r="H8813">
        <f>AVERAGEIFS(Table1[value],Table1[IndicatorCode],Table1[[#This Row],[IndicatorCode]])</f>
        <v>72.66514008620689</v>
      </c>
      <c r="I8813" cm="1">
        <f t="array" ref="I8813">_xlfn.STDEV.P(IF(Table1[IndicatorCode]=Table1[[#This Row],[IndicatorCode]],Table1[value]))</f>
        <v>6.3409496564024987</v>
      </c>
      <c r="J8813">
        <f>(Table1[[#This Row],[value]] - Table1[[#This Row],[mean]]) / Table1[[#This Row],[std_dev]]</f>
        <v>-0.4203061419224296</v>
      </c>
      <c r="K8813">
        <f>AVERAGEIF(Table1[CountryCode],Table1[[#This Row],[CountryCode]],Table1[z-score])</f>
        <v>-0.22872454493605915</v>
      </c>
      <c r="L8813" t="e">
        <f>VLOOKUP(Table1[[#This Row],[CountryCode]],[1]!Table1[#All],1,FALSE)</f>
        <v>#REF!</v>
      </c>
    </row>
    <row r="8814" spans="1:12" hidden="1" x14ac:dyDescent="0.3">
      <c r="A8814" t="s">
        <v>59</v>
      </c>
      <c r="B8814" t="s">
        <v>60</v>
      </c>
      <c r="C8814" t="s">
        <v>129</v>
      </c>
      <c r="D8814" t="s">
        <v>130</v>
      </c>
      <c r="E8814">
        <v>1973</v>
      </c>
      <c r="F8814" s="1">
        <v>70</v>
      </c>
      <c r="G8814">
        <v>1970</v>
      </c>
      <c r="H8814">
        <f>AVERAGEIFS(Table1[value],Table1[IndicatorCode],Table1[[#This Row],[IndicatorCode]])</f>
        <v>72.66514008620689</v>
      </c>
      <c r="I8814" cm="1">
        <f t="array" ref="I8814">_xlfn.STDEV.P(IF(Table1[IndicatorCode]=Table1[[#This Row],[IndicatorCode]],Table1[value]))</f>
        <v>6.3409496564024987</v>
      </c>
      <c r="J8814">
        <f>(Table1[[#This Row],[value]] - Table1[[#This Row],[mean]]) / Table1[[#This Row],[std_dev]]</f>
        <v>-0.4203061419224296</v>
      </c>
      <c r="K8814">
        <f>AVERAGEIF(Table1[CountryCode],Table1[[#This Row],[CountryCode]],Table1[z-score])</f>
        <v>-0.22872454493605915</v>
      </c>
      <c r="L8814" t="e">
        <f>VLOOKUP(Table1[[#This Row],[CountryCode]],[1]!Table1[#All],1,FALSE)</f>
        <v>#REF!</v>
      </c>
    </row>
    <row r="8815" spans="1:12" hidden="1" x14ac:dyDescent="0.3">
      <c r="A8815" t="s">
        <v>59</v>
      </c>
      <c r="B8815" t="s">
        <v>60</v>
      </c>
      <c r="C8815" t="s">
        <v>129</v>
      </c>
      <c r="D8815" t="s">
        <v>130</v>
      </c>
      <c r="E8815">
        <v>1974</v>
      </c>
      <c r="F8815" s="1">
        <v>70</v>
      </c>
      <c r="G8815">
        <v>1970</v>
      </c>
      <c r="H8815">
        <f>AVERAGEIFS(Table1[value],Table1[IndicatorCode],Table1[[#This Row],[IndicatorCode]])</f>
        <v>72.66514008620689</v>
      </c>
      <c r="I8815" cm="1">
        <f t="array" ref="I8815">_xlfn.STDEV.P(IF(Table1[IndicatorCode]=Table1[[#This Row],[IndicatorCode]],Table1[value]))</f>
        <v>6.3409496564024987</v>
      </c>
      <c r="J8815">
        <f>(Table1[[#This Row],[value]] - Table1[[#This Row],[mean]]) / Table1[[#This Row],[std_dev]]</f>
        <v>-0.4203061419224296</v>
      </c>
      <c r="K8815">
        <f>AVERAGEIF(Table1[CountryCode],Table1[[#This Row],[CountryCode]],Table1[z-score])</f>
        <v>-0.22872454493605915</v>
      </c>
      <c r="L8815" t="e">
        <f>VLOOKUP(Table1[[#This Row],[CountryCode]],[1]!Table1[#All],1,FALSE)</f>
        <v>#REF!</v>
      </c>
    </row>
    <row r="8816" spans="1:12" hidden="1" x14ac:dyDescent="0.3">
      <c r="A8816" t="s">
        <v>59</v>
      </c>
      <c r="B8816" t="s">
        <v>60</v>
      </c>
      <c r="C8816" t="s">
        <v>129</v>
      </c>
      <c r="D8816" t="s">
        <v>130</v>
      </c>
      <c r="E8816">
        <v>1975</v>
      </c>
      <c r="F8816" s="1">
        <v>70</v>
      </c>
      <c r="G8816">
        <v>1970</v>
      </c>
      <c r="H8816">
        <f>AVERAGEIFS(Table1[value],Table1[IndicatorCode],Table1[[#This Row],[IndicatorCode]])</f>
        <v>72.66514008620689</v>
      </c>
      <c r="I8816" cm="1">
        <f t="array" ref="I8816">_xlfn.STDEV.P(IF(Table1[IndicatorCode]=Table1[[#This Row],[IndicatorCode]],Table1[value]))</f>
        <v>6.3409496564024987</v>
      </c>
      <c r="J8816">
        <f>(Table1[[#This Row],[value]] - Table1[[#This Row],[mean]]) / Table1[[#This Row],[std_dev]]</f>
        <v>-0.4203061419224296</v>
      </c>
      <c r="K8816">
        <f>AVERAGEIF(Table1[CountryCode],Table1[[#This Row],[CountryCode]],Table1[z-score])</f>
        <v>-0.22872454493605915</v>
      </c>
      <c r="L8816" t="e">
        <f>VLOOKUP(Table1[[#This Row],[CountryCode]],[1]!Table1[#All],1,FALSE)</f>
        <v>#REF!</v>
      </c>
    </row>
    <row r="8817" spans="1:12" hidden="1" x14ac:dyDescent="0.3">
      <c r="A8817" t="s">
        <v>59</v>
      </c>
      <c r="B8817" t="s">
        <v>60</v>
      </c>
      <c r="C8817" t="s">
        <v>129</v>
      </c>
      <c r="D8817" t="s">
        <v>130</v>
      </c>
      <c r="E8817">
        <v>1976</v>
      </c>
      <c r="F8817" s="1">
        <v>70</v>
      </c>
      <c r="G8817">
        <v>1970</v>
      </c>
      <c r="H8817">
        <f>AVERAGEIFS(Table1[value],Table1[IndicatorCode],Table1[[#This Row],[IndicatorCode]])</f>
        <v>72.66514008620689</v>
      </c>
      <c r="I8817" cm="1">
        <f t="array" ref="I8817">_xlfn.STDEV.P(IF(Table1[IndicatorCode]=Table1[[#This Row],[IndicatorCode]],Table1[value]))</f>
        <v>6.3409496564024987</v>
      </c>
      <c r="J8817">
        <f>(Table1[[#This Row],[value]] - Table1[[#This Row],[mean]]) / Table1[[#This Row],[std_dev]]</f>
        <v>-0.4203061419224296</v>
      </c>
      <c r="K8817">
        <f>AVERAGEIF(Table1[CountryCode],Table1[[#This Row],[CountryCode]],Table1[z-score])</f>
        <v>-0.22872454493605915</v>
      </c>
      <c r="L8817" t="e">
        <f>VLOOKUP(Table1[[#This Row],[CountryCode]],[1]!Table1[#All],1,FALSE)</f>
        <v>#REF!</v>
      </c>
    </row>
    <row r="8818" spans="1:12" hidden="1" x14ac:dyDescent="0.3">
      <c r="A8818" t="s">
        <v>59</v>
      </c>
      <c r="B8818" t="s">
        <v>60</v>
      </c>
      <c r="C8818" t="s">
        <v>129</v>
      </c>
      <c r="D8818" t="s">
        <v>130</v>
      </c>
      <c r="E8818">
        <v>1977</v>
      </c>
      <c r="F8818" s="1">
        <v>71</v>
      </c>
      <c r="G8818">
        <v>1980</v>
      </c>
      <c r="H8818">
        <f>AVERAGEIFS(Table1[value],Table1[IndicatorCode],Table1[[#This Row],[IndicatorCode]])</f>
        <v>72.66514008620689</v>
      </c>
      <c r="I8818" cm="1">
        <f t="array" ref="I8818">_xlfn.STDEV.P(IF(Table1[IndicatorCode]=Table1[[#This Row],[IndicatorCode]],Table1[value]))</f>
        <v>6.3409496564024987</v>
      </c>
      <c r="J8818">
        <f>(Table1[[#This Row],[value]] - Table1[[#This Row],[mean]]) / Table1[[#This Row],[std_dev]]</f>
        <v>-0.2626010576389905</v>
      </c>
      <c r="K8818">
        <f>AVERAGEIF(Table1[CountryCode],Table1[[#This Row],[CountryCode]],Table1[z-score])</f>
        <v>-0.22872454493605915</v>
      </c>
      <c r="L8818" t="e">
        <f>VLOOKUP(Table1[[#This Row],[CountryCode]],[1]!Table1[#All],1,FALSE)</f>
        <v>#REF!</v>
      </c>
    </row>
    <row r="8819" spans="1:12" hidden="1" x14ac:dyDescent="0.3">
      <c r="A8819" t="s">
        <v>59</v>
      </c>
      <c r="B8819" t="s">
        <v>60</v>
      </c>
      <c r="C8819" t="s">
        <v>129</v>
      </c>
      <c r="D8819" t="s">
        <v>130</v>
      </c>
      <c r="E8819">
        <v>1978</v>
      </c>
      <c r="F8819" s="1">
        <v>71</v>
      </c>
      <c r="G8819">
        <v>1980</v>
      </c>
      <c r="H8819">
        <f>AVERAGEIFS(Table1[value],Table1[IndicatorCode],Table1[[#This Row],[IndicatorCode]])</f>
        <v>72.66514008620689</v>
      </c>
      <c r="I8819" cm="1">
        <f t="array" ref="I8819">_xlfn.STDEV.P(IF(Table1[IndicatorCode]=Table1[[#This Row],[IndicatorCode]],Table1[value]))</f>
        <v>6.3409496564024987</v>
      </c>
      <c r="J8819">
        <f>(Table1[[#This Row],[value]] - Table1[[#This Row],[mean]]) / Table1[[#This Row],[std_dev]]</f>
        <v>-0.2626010576389905</v>
      </c>
      <c r="K8819">
        <f>AVERAGEIF(Table1[CountryCode],Table1[[#This Row],[CountryCode]],Table1[z-score])</f>
        <v>-0.22872454493605915</v>
      </c>
      <c r="L8819" t="e">
        <f>VLOOKUP(Table1[[#This Row],[CountryCode]],[1]!Table1[#All],1,FALSE)</f>
        <v>#REF!</v>
      </c>
    </row>
    <row r="8820" spans="1:12" hidden="1" x14ac:dyDescent="0.3">
      <c r="A8820" t="s">
        <v>59</v>
      </c>
      <c r="B8820" t="s">
        <v>60</v>
      </c>
      <c r="C8820" t="s">
        <v>129</v>
      </c>
      <c r="D8820" t="s">
        <v>130</v>
      </c>
      <c r="E8820">
        <v>1979</v>
      </c>
      <c r="F8820" s="1">
        <v>70</v>
      </c>
      <c r="G8820">
        <v>1980</v>
      </c>
      <c r="H8820">
        <f>AVERAGEIFS(Table1[value],Table1[IndicatorCode],Table1[[#This Row],[IndicatorCode]])</f>
        <v>72.66514008620689</v>
      </c>
      <c r="I8820" cm="1">
        <f t="array" ref="I8820">_xlfn.STDEV.P(IF(Table1[IndicatorCode]=Table1[[#This Row],[IndicatorCode]],Table1[value]))</f>
        <v>6.3409496564024987</v>
      </c>
      <c r="J8820">
        <f>(Table1[[#This Row],[value]] - Table1[[#This Row],[mean]]) / Table1[[#This Row],[std_dev]]</f>
        <v>-0.4203061419224296</v>
      </c>
      <c r="K8820">
        <f>AVERAGEIF(Table1[CountryCode],Table1[[#This Row],[CountryCode]],Table1[z-score])</f>
        <v>-0.22872454493605915</v>
      </c>
      <c r="L8820" t="e">
        <f>VLOOKUP(Table1[[#This Row],[CountryCode]],[1]!Table1[#All],1,FALSE)</f>
        <v>#REF!</v>
      </c>
    </row>
    <row r="8821" spans="1:12" hidden="1" x14ac:dyDescent="0.3">
      <c r="A8821" t="s">
        <v>59</v>
      </c>
      <c r="B8821" t="s">
        <v>60</v>
      </c>
      <c r="C8821" t="s">
        <v>129</v>
      </c>
      <c r="D8821" t="s">
        <v>130</v>
      </c>
      <c r="E8821">
        <v>1980</v>
      </c>
      <c r="F8821" s="1">
        <v>70</v>
      </c>
      <c r="G8821">
        <v>1980</v>
      </c>
      <c r="H8821">
        <f>AVERAGEIFS(Table1[value],Table1[IndicatorCode],Table1[[#This Row],[IndicatorCode]])</f>
        <v>72.66514008620689</v>
      </c>
      <c r="I8821" cm="1">
        <f t="array" ref="I8821">_xlfn.STDEV.P(IF(Table1[IndicatorCode]=Table1[[#This Row],[IndicatorCode]],Table1[value]))</f>
        <v>6.3409496564024987</v>
      </c>
      <c r="J8821">
        <f>(Table1[[#This Row],[value]] - Table1[[#This Row],[mean]]) / Table1[[#This Row],[std_dev]]</f>
        <v>-0.4203061419224296</v>
      </c>
      <c r="K8821">
        <f>AVERAGEIF(Table1[CountryCode],Table1[[#This Row],[CountryCode]],Table1[z-score])</f>
        <v>-0.22872454493605915</v>
      </c>
      <c r="L8821" t="e">
        <f>VLOOKUP(Table1[[#This Row],[CountryCode]],[1]!Table1[#All],1,FALSE)</f>
        <v>#REF!</v>
      </c>
    </row>
    <row r="8822" spans="1:12" hidden="1" x14ac:dyDescent="0.3">
      <c r="A8822" t="s">
        <v>59</v>
      </c>
      <c r="B8822" t="s">
        <v>60</v>
      </c>
      <c r="C8822" t="s">
        <v>129</v>
      </c>
      <c r="D8822" t="s">
        <v>130</v>
      </c>
      <c r="E8822">
        <v>1981</v>
      </c>
      <c r="F8822" s="1">
        <v>70</v>
      </c>
      <c r="G8822">
        <v>1980</v>
      </c>
      <c r="H8822">
        <f>AVERAGEIFS(Table1[value],Table1[IndicatorCode],Table1[[#This Row],[IndicatorCode]])</f>
        <v>72.66514008620689</v>
      </c>
      <c r="I8822" cm="1">
        <f t="array" ref="I8822">_xlfn.STDEV.P(IF(Table1[IndicatorCode]=Table1[[#This Row],[IndicatorCode]],Table1[value]))</f>
        <v>6.3409496564024987</v>
      </c>
      <c r="J8822">
        <f>(Table1[[#This Row],[value]] - Table1[[#This Row],[mean]]) / Table1[[#This Row],[std_dev]]</f>
        <v>-0.4203061419224296</v>
      </c>
      <c r="K8822">
        <f>AVERAGEIF(Table1[CountryCode],Table1[[#This Row],[CountryCode]],Table1[z-score])</f>
        <v>-0.22872454493605915</v>
      </c>
      <c r="L8822" t="e">
        <f>VLOOKUP(Table1[[#This Row],[CountryCode]],[1]!Table1[#All],1,FALSE)</f>
        <v>#REF!</v>
      </c>
    </row>
    <row r="8823" spans="1:12" hidden="1" x14ac:dyDescent="0.3">
      <c r="A8823" t="s">
        <v>59</v>
      </c>
      <c r="B8823" t="s">
        <v>60</v>
      </c>
      <c r="C8823" t="s">
        <v>129</v>
      </c>
      <c r="D8823" t="s">
        <v>130</v>
      </c>
      <c r="E8823">
        <v>1982</v>
      </c>
      <c r="F8823" s="1">
        <v>70</v>
      </c>
      <c r="G8823">
        <v>1980</v>
      </c>
      <c r="H8823">
        <f>AVERAGEIFS(Table1[value],Table1[IndicatorCode],Table1[[#This Row],[IndicatorCode]])</f>
        <v>72.66514008620689</v>
      </c>
      <c r="I8823" cm="1">
        <f t="array" ref="I8823">_xlfn.STDEV.P(IF(Table1[IndicatorCode]=Table1[[#This Row],[IndicatorCode]],Table1[value]))</f>
        <v>6.3409496564024987</v>
      </c>
      <c r="J8823">
        <f>(Table1[[#This Row],[value]] - Table1[[#This Row],[mean]]) / Table1[[#This Row],[std_dev]]</f>
        <v>-0.4203061419224296</v>
      </c>
      <c r="K8823">
        <f>AVERAGEIF(Table1[CountryCode],Table1[[#This Row],[CountryCode]],Table1[z-score])</f>
        <v>-0.22872454493605915</v>
      </c>
      <c r="L8823" t="e">
        <f>VLOOKUP(Table1[[#This Row],[CountryCode]],[1]!Table1[#All],1,FALSE)</f>
        <v>#REF!</v>
      </c>
    </row>
    <row r="8824" spans="1:12" hidden="1" x14ac:dyDescent="0.3">
      <c r="A8824" t="s">
        <v>59</v>
      </c>
      <c r="B8824" t="s">
        <v>60</v>
      </c>
      <c r="C8824" t="s">
        <v>129</v>
      </c>
      <c r="D8824" t="s">
        <v>130</v>
      </c>
      <c r="E8824">
        <v>1983</v>
      </c>
      <c r="F8824" s="1">
        <v>70</v>
      </c>
      <c r="G8824">
        <v>1980</v>
      </c>
      <c r="H8824">
        <f>AVERAGEIFS(Table1[value],Table1[IndicatorCode],Table1[[#This Row],[IndicatorCode]])</f>
        <v>72.66514008620689</v>
      </c>
      <c r="I8824" cm="1">
        <f t="array" ref="I8824">_xlfn.STDEV.P(IF(Table1[IndicatorCode]=Table1[[#This Row],[IndicatorCode]],Table1[value]))</f>
        <v>6.3409496564024987</v>
      </c>
      <c r="J8824">
        <f>(Table1[[#This Row],[value]] - Table1[[#This Row],[mean]]) / Table1[[#This Row],[std_dev]]</f>
        <v>-0.4203061419224296</v>
      </c>
      <c r="K8824">
        <f>AVERAGEIF(Table1[CountryCode],Table1[[#This Row],[CountryCode]],Table1[z-score])</f>
        <v>-0.22872454493605915</v>
      </c>
      <c r="L8824" t="e">
        <f>VLOOKUP(Table1[[#This Row],[CountryCode]],[1]!Table1[#All],1,FALSE)</f>
        <v>#REF!</v>
      </c>
    </row>
    <row r="8825" spans="1:12" hidden="1" x14ac:dyDescent="0.3">
      <c r="A8825" t="s">
        <v>59</v>
      </c>
      <c r="B8825" t="s">
        <v>60</v>
      </c>
      <c r="C8825" t="s">
        <v>129</v>
      </c>
      <c r="D8825" t="s">
        <v>130</v>
      </c>
      <c r="E8825">
        <v>1984</v>
      </c>
      <c r="F8825" s="1">
        <v>70</v>
      </c>
      <c r="G8825">
        <v>1980</v>
      </c>
      <c r="H8825">
        <f>AVERAGEIFS(Table1[value],Table1[IndicatorCode],Table1[[#This Row],[IndicatorCode]])</f>
        <v>72.66514008620689</v>
      </c>
      <c r="I8825" cm="1">
        <f t="array" ref="I8825">_xlfn.STDEV.P(IF(Table1[IndicatorCode]=Table1[[#This Row],[IndicatorCode]],Table1[value]))</f>
        <v>6.3409496564024987</v>
      </c>
      <c r="J8825">
        <f>(Table1[[#This Row],[value]] - Table1[[#This Row],[mean]]) / Table1[[#This Row],[std_dev]]</f>
        <v>-0.4203061419224296</v>
      </c>
      <c r="K8825">
        <f>AVERAGEIF(Table1[CountryCode],Table1[[#This Row],[CountryCode]],Table1[z-score])</f>
        <v>-0.22872454493605915</v>
      </c>
      <c r="L8825" t="e">
        <f>VLOOKUP(Table1[[#This Row],[CountryCode]],[1]!Table1[#All],1,FALSE)</f>
        <v>#REF!</v>
      </c>
    </row>
    <row r="8826" spans="1:12" hidden="1" x14ac:dyDescent="0.3">
      <c r="A8826" t="s">
        <v>59</v>
      </c>
      <c r="B8826" t="s">
        <v>60</v>
      </c>
      <c r="C8826" t="s">
        <v>129</v>
      </c>
      <c r="D8826" t="s">
        <v>130</v>
      </c>
      <c r="E8826">
        <v>1985</v>
      </c>
      <c r="F8826" s="1">
        <v>71</v>
      </c>
      <c r="G8826">
        <v>1980</v>
      </c>
      <c r="H8826">
        <f>AVERAGEIFS(Table1[value],Table1[IndicatorCode],Table1[[#This Row],[IndicatorCode]])</f>
        <v>72.66514008620689</v>
      </c>
      <c r="I8826" cm="1">
        <f t="array" ref="I8826">_xlfn.STDEV.P(IF(Table1[IndicatorCode]=Table1[[#This Row],[IndicatorCode]],Table1[value]))</f>
        <v>6.3409496564024987</v>
      </c>
      <c r="J8826">
        <f>(Table1[[#This Row],[value]] - Table1[[#This Row],[mean]]) / Table1[[#This Row],[std_dev]]</f>
        <v>-0.2626010576389905</v>
      </c>
      <c r="K8826">
        <f>AVERAGEIF(Table1[CountryCode],Table1[[#This Row],[CountryCode]],Table1[z-score])</f>
        <v>-0.22872454493605915</v>
      </c>
      <c r="L8826" t="e">
        <f>VLOOKUP(Table1[[#This Row],[CountryCode]],[1]!Table1[#All],1,FALSE)</f>
        <v>#REF!</v>
      </c>
    </row>
    <row r="8827" spans="1:12" hidden="1" x14ac:dyDescent="0.3">
      <c r="A8827" t="s">
        <v>59</v>
      </c>
      <c r="B8827" t="s">
        <v>60</v>
      </c>
      <c r="C8827" t="s">
        <v>129</v>
      </c>
      <c r="D8827" t="s">
        <v>130</v>
      </c>
      <c r="E8827">
        <v>1986</v>
      </c>
      <c r="F8827" s="1">
        <v>71</v>
      </c>
      <c r="G8827">
        <v>1980</v>
      </c>
      <c r="H8827">
        <f>AVERAGEIFS(Table1[value],Table1[IndicatorCode],Table1[[#This Row],[IndicatorCode]])</f>
        <v>72.66514008620689</v>
      </c>
      <c r="I8827" cm="1">
        <f t="array" ref="I8827">_xlfn.STDEV.P(IF(Table1[IndicatorCode]=Table1[[#This Row],[IndicatorCode]],Table1[value]))</f>
        <v>6.3409496564024987</v>
      </c>
      <c r="J8827">
        <f>(Table1[[#This Row],[value]] - Table1[[#This Row],[mean]]) / Table1[[#This Row],[std_dev]]</f>
        <v>-0.2626010576389905</v>
      </c>
      <c r="K8827">
        <f>AVERAGEIF(Table1[CountryCode],Table1[[#This Row],[CountryCode]],Table1[z-score])</f>
        <v>-0.22872454493605915</v>
      </c>
      <c r="L8827" t="e">
        <f>VLOOKUP(Table1[[#This Row],[CountryCode]],[1]!Table1[#All],1,FALSE)</f>
        <v>#REF!</v>
      </c>
    </row>
    <row r="8828" spans="1:12" hidden="1" x14ac:dyDescent="0.3">
      <c r="A8828" t="s">
        <v>59</v>
      </c>
      <c r="B8828" t="s">
        <v>60</v>
      </c>
      <c r="C8828" t="s">
        <v>129</v>
      </c>
      <c r="D8828" t="s">
        <v>130</v>
      </c>
      <c r="E8828">
        <v>1987</v>
      </c>
      <c r="F8828" s="1">
        <v>71</v>
      </c>
      <c r="G8828">
        <v>1990</v>
      </c>
      <c r="H8828">
        <f>AVERAGEIFS(Table1[value],Table1[IndicatorCode],Table1[[#This Row],[IndicatorCode]])</f>
        <v>72.66514008620689</v>
      </c>
      <c r="I8828" cm="1">
        <f t="array" ref="I8828">_xlfn.STDEV.P(IF(Table1[IndicatorCode]=Table1[[#This Row],[IndicatorCode]],Table1[value]))</f>
        <v>6.3409496564024987</v>
      </c>
      <c r="J8828">
        <f>(Table1[[#This Row],[value]] - Table1[[#This Row],[mean]]) / Table1[[#This Row],[std_dev]]</f>
        <v>-0.2626010576389905</v>
      </c>
      <c r="K8828">
        <f>AVERAGEIF(Table1[CountryCode],Table1[[#This Row],[CountryCode]],Table1[z-score])</f>
        <v>-0.22872454493605915</v>
      </c>
      <c r="L8828" t="e">
        <f>VLOOKUP(Table1[[#This Row],[CountryCode]],[1]!Table1[#All],1,FALSE)</f>
        <v>#REF!</v>
      </c>
    </row>
    <row r="8829" spans="1:12" hidden="1" x14ac:dyDescent="0.3">
      <c r="A8829" t="s">
        <v>59</v>
      </c>
      <c r="B8829" t="s">
        <v>60</v>
      </c>
      <c r="C8829" t="s">
        <v>129</v>
      </c>
      <c r="D8829" t="s">
        <v>130</v>
      </c>
      <c r="E8829">
        <v>1988</v>
      </c>
      <c r="F8829" s="1">
        <v>71</v>
      </c>
      <c r="G8829">
        <v>1990</v>
      </c>
      <c r="H8829">
        <f>AVERAGEIFS(Table1[value],Table1[IndicatorCode],Table1[[#This Row],[IndicatorCode]])</f>
        <v>72.66514008620689</v>
      </c>
      <c r="I8829" cm="1">
        <f t="array" ref="I8829">_xlfn.STDEV.P(IF(Table1[IndicatorCode]=Table1[[#This Row],[IndicatorCode]],Table1[value]))</f>
        <v>6.3409496564024987</v>
      </c>
      <c r="J8829">
        <f>(Table1[[#This Row],[value]] - Table1[[#This Row],[mean]]) / Table1[[#This Row],[std_dev]]</f>
        <v>-0.2626010576389905</v>
      </c>
      <c r="K8829">
        <f>AVERAGEIF(Table1[CountryCode],Table1[[#This Row],[CountryCode]],Table1[z-score])</f>
        <v>-0.22872454493605915</v>
      </c>
      <c r="L8829" t="e">
        <f>VLOOKUP(Table1[[#This Row],[CountryCode]],[1]!Table1[#All],1,FALSE)</f>
        <v>#REF!</v>
      </c>
    </row>
    <row r="8830" spans="1:12" hidden="1" x14ac:dyDescent="0.3">
      <c r="A8830" t="s">
        <v>59</v>
      </c>
      <c r="B8830" t="s">
        <v>60</v>
      </c>
      <c r="C8830" t="s">
        <v>129</v>
      </c>
      <c r="D8830" t="s">
        <v>130</v>
      </c>
      <c r="E8830">
        <v>1989</v>
      </c>
      <c r="F8830" s="1">
        <v>72</v>
      </c>
      <c r="G8830">
        <v>1990</v>
      </c>
      <c r="H8830">
        <f>AVERAGEIFS(Table1[value],Table1[IndicatorCode],Table1[[#This Row],[IndicatorCode]])</f>
        <v>72.66514008620689</v>
      </c>
      <c r="I8830" cm="1">
        <f t="array" ref="I8830">_xlfn.STDEV.P(IF(Table1[IndicatorCode]=Table1[[#This Row],[IndicatorCode]],Table1[value]))</f>
        <v>6.3409496564024987</v>
      </c>
      <c r="J8830">
        <f>(Table1[[#This Row],[value]] - Table1[[#This Row],[mean]]) / Table1[[#This Row],[std_dev]]</f>
        <v>-0.10489597335555145</v>
      </c>
      <c r="K8830">
        <f>AVERAGEIF(Table1[CountryCode],Table1[[#This Row],[CountryCode]],Table1[z-score])</f>
        <v>-0.22872454493605915</v>
      </c>
      <c r="L8830" t="e">
        <f>VLOOKUP(Table1[[#This Row],[CountryCode]],[1]!Table1[#All],1,FALSE)</f>
        <v>#REF!</v>
      </c>
    </row>
    <row r="8831" spans="1:12" hidden="1" x14ac:dyDescent="0.3">
      <c r="A8831" t="s">
        <v>59</v>
      </c>
      <c r="B8831" t="s">
        <v>60</v>
      </c>
      <c r="C8831" t="s">
        <v>129</v>
      </c>
      <c r="D8831" t="s">
        <v>130</v>
      </c>
      <c r="E8831">
        <v>1990</v>
      </c>
      <c r="F8831" s="1">
        <v>72</v>
      </c>
      <c r="G8831">
        <v>1990</v>
      </c>
      <c r="H8831">
        <f>AVERAGEIFS(Table1[value],Table1[IndicatorCode],Table1[[#This Row],[IndicatorCode]])</f>
        <v>72.66514008620689</v>
      </c>
      <c r="I8831" cm="1">
        <f t="array" ref="I8831">_xlfn.STDEV.P(IF(Table1[IndicatorCode]=Table1[[#This Row],[IndicatorCode]],Table1[value]))</f>
        <v>6.3409496564024987</v>
      </c>
      <c r="J8831">
        <f>(Table1[[#This Row],[value]] - Table1[[#This Row],[mean]]) / Table1[[#This Row],[std_dev]]</f>
        <v>-0.10489597335555145</v>
      </c>
      <c r="K8831">
        <f>AVERAGEIF(Table1[CountryCode],Table1[[#This Row],[CountryCode]],Table1[z-score])</f>
        <v>-0.22872454493605915</v>
      </c>
      <c r="L8831" t="e">
        <f>VLOOKUP(Table1[[#This Row],[CountryCode]],[1]!Table1[#All],1,FALSE)</f>
        <v>#REF!</v>
      </c>
    </row>
    <row r="8832" spans="1:12" hidden="1" x14ac:dyDescent="0.3">
      <c r="A8832" t="s">
        <v>59</v>
      </c>
      <c r="B8832" t="s">
        <v>60</v>
      </c>
      <c r="C8832" t="s">
        <v>129</v>
      </c>
      <c r="D8832" t="s">
        <v>130</v>
      </c>
      <c r="E8832">
        <v>1991</v>
      </c>
      <c r="F8832" s="1">
        <v>72</v>
      </c>
      <c r="G8832">
        <v>1990</v>
      </c>
      <c r="H8832">
        <f>AVERAGEIFS(Table1[value],Table1[IndicatorCode],Table1[[#This Row],[IndicatorCode]])</f>
        <v>72.66514008620689</v>
      </c>
      <c r="I8832" cm="1">
        <f t="array" ref="I8832">_xlfn.STDEV.P(IF(Table1[IndicatorCode]=Table1[[#This Row],[IndicatorCode]],Table1[value]))</f>
        <v>6.3409496564024987</v>
      </c>
      <c r="J8832">
        <f>(Table1[[#This Row],[value]] - Table1[[#This Row],[mean]]) / Table1[[#This Row],[std_dev]]</f>
        <v>-0.10489597335555145</v>
      </c>
      <c r="K8832">
        <f>AVERAGEIF(Table1[CountryCode],Table1[[#This Row],[CountryCode]],Table1[z-score])</f>
        <v>-0.22872454493605915</v>
      </c>
      <c r="L8832" t="e">
        <f>VLOOKUP(Table1[[#This Row],[CountryCode]],[1]!Table1[#All],1,FALSE)</f>
        <v>#REF!</v>
      </c>
    </row>
    <row r="8833" spans="1:12" hidden="1" x14ac:dyDescent="0.3">
      <c r="A8833" t="s">
        <v>59</v>
      </c>
      <c r="B8833" t="s">
        <v>60</v>
      </c>
      <c r="C8833" t="s">
        <v>129</v>
      </c>
      <c r="D8833" t="s">
        <v>130</v>
      </c>
      <c r="E8833">
        <v>1992</v>
      </c>
      <c r="F8833" s="1">
        <v>71</v>
      </c>
      <c r="G8833">
        <v>1990</v>
      </c>
      <c r="H8833">
        <f>AVERAGEIFS(Table1[value],Table1[IndicatorCode],Table1[[#This Row],[IndicatorCode]])</f>
        <v>72.66514008620689</v>
      </c>
      <c r="I8833" cm="1">
        <f t="array" ref="I8833">_xlfn.STDEV.P(IF(Table1[IndicatorCode]=Table1[[#This Row],[IndicatorCode]],Table1[value]))</f>
        <v>6.3409496564024987</v>
      </c>
      <c r="J8833">
        <f>(Table1[[#This Row],[value]] - Table1[[#This Row],[mean]]) / Table1[[#This Row],[std_dev]]</f>
        <v>-0.2626010576389905</v>
      </c>
      <c r="K8833">
        <f>AVERAGEIF(Table1[CountryCode],Table1[[#This Row],[CountryCode]],Table1[z-score])</f>
        <v>-0.22872454493605915</v>
      </c>
      <c r="L8833" t="e">
        <f>VLOOKUP(Table1[[#This Row],[CountryCode]],[1]!Table1[#All],1,FALSE)</f>
        <v>#REF!</v>
      </c>
    </row>
    <row r="8834" spans="1:12" hidden="1" x14ac:dyDescent="0.3">
      <c r="A8834" t="s">
        <v>59</v>
      </c>
      <c r="B8834" t="s">
        <v>60</v>
      </c>
      <c r="C8834" t="s">
        <v>129</v>
      </c>
      <c r="D8834" t="s">
        <v>130</v>
      </c>
      <c r="E8834">
        <v>1993</v>
      </c>
      <c r="F8834" s="1">
        <v>72</v>
      </c>
      <c r="G8834">
        <v>1990</v>
      </c>
      <c r="H8834">
        <f>AVERAGEIFS(Table1[value],Table1[IndicatorCode],Table1[[#This Row],[IndicatorCode]])</f>
        <v>72.66514008620689</v>
      </c>
      <c r="I8834" cm="1">
        <f t="array" ref="I8834">_xlfn.STDEV.P(IF(Table1[IndicatorCode]=Table1[[#This Row],[IndicatorCode]],Table1[value]))</f>
        <v>6.3409496564024987</v>
      </c>
      <c r="J8834">
        <f>(Table1[[#This Row],[value]] - Table1[[#This Row],[mean]]) / Table1[[#This Row],[std_dev]]</f>
        <v>-0.10489597335555145</v>
      </c>
      <c r="K8834">
        <f>AVERAGEIF(Table1[CountryCode],Table1[[#This Row],[CountryCode]],Table1[z-score])</f>
        <v>-0.22872454493605915</v>
      </c>
      <c r="L8834" t="e">
        <f>VLOOKUP(Table1[[#This Row],[CountryCode]],[1]!Table1[#All],1,FALSE)</f>
        <v>#REF!</v>
      </c>
    </row>
    <row r="8835" spans="1:12" hidden="1" x14ac:dyDescent="0.3">
      <c r="A8835" t="s">
        <v>59</v>
      </c>
      <c r="B8835" t="s">
        <v>60</v>
      </c>
      <c r="C8835" t="s">
        <v>129</v>
      </c>
      <c r="D8835" t="s">
        <v>130</v>
      </c>
      <c r="E8835">
        <v>1994</v>
      </c>
      <c r="F8835" s="1">
        <v>72</v>
      </c>
      <c r="G8835">
        <v>1990</v>
      </c>
      <c r="H8835">
        <f>AVERAGEIFS(Table1[value],Table1[IndicatorCode],Table1[[#This Row],[IndicatorCode]])</f>
        <v>72.66514008620689</v>
      </c>
      <c r="I8835" cm="1">
        <f t="array" ref="I8835">_xlfn.STDEV.P(IF(Table1[IndicatorCode]=Table1[[#This Row],[IndicatorCode]],Table1[value]))</f>
        <v>6.3409496564024987</v>
      </c>
      <c r="J8835">
        <f>(Table1[[#This Row],[value]] - Table1[[#This Row],[mean]]) / Table1[[#This Row],[std_dev]]</f>
        <v>-0.10489597335555145</v>
      </c>
      <c r="K8835">
        <f>AVERAGEIF(Table1[CountryCode],Table1[[#This Row],[CountryCode]],Table1[z-score])</f>
        <v>-0.22872454493605915</v>
      </c>
      <c r="L8835" t="e">
        <f>VLOOKUP(Table1[[#This Row],[CountryCode]],[1]!Table1[#All],1,FALSE)</f>
        <v>#REF!</v>
      </c>
    </row>
    <row r="8836" spans="1:12" hidden="1" x14ac:dyDescent="0.3">
      <c r="A8836" t="s">
        <v>59</v>
      </c>
      <c r="B8836" t="s">
        <v>60</v>
      </c>
      <c r="C8836" t="s">
        <v>129</v>
      </c>
      <c r="D8836" t="s">
        <v>130</v>
      </c>
      <c r="E8836">
        <v>1995</v>
      </c>
      <c r="F8836" s="1">
        <v>72</v>
      </c>
      <c r="G8836">
        <v>1990</v>
      </c>
      <c r="H8836">
        <f>AVERAGEIFS(Table1[value],Table1[IndicatorCode],Table1[[#This Row],[IndicatorCode]])</f>
        <v>72.66514008620689</v>
      </c>
      <c r="I8836" cm="1">
        <f t="array" ref="I8836">_xlfn.STDEV.P(IF(Table1[IndicatorCode]=Table1[[#This Row],[IndicatorCode]],Table1[value]))</f>
        <v>6.3409496564024987</v>
      </c>
      <c r="J8836">
        <f>(Table1[[#This Row],[value]] - Table1[[#This Row],[mean]]) / Table1[[#This Row],[std_dev]]</f>
        <v>-0.10489597335555145</v>
      </c>
      <c r="K8836">
        <f>AVERAGEIF(Table1[CountryCode],Table1[[#This Row],[CountryCode]],Table1[z-score])</f>
        <v>-0.22872454493605915</v>
      </c>
      <c r="L8836" t="e">
        <f>VLOOKUP(Table1[[#This Row],[CountryCode]],[1]!Table1[#All],1,FALSE)</f>
        <v>#REF!</v>
      </c>
    </row>
    <row r="8837" spans="1:12" hidden="1" x14ac:dyDescent="0.3">
      <c r="A8837" t="s">
        <v>59</v>
      </c>
      <c r="B8837" t="s">
        <v>60</v>
      </c>
      <c r="C8837" t="s">
        <v>129</v>
      </c>
      <c r="D8837" t="s">
        <v>130</v>
      </c>
      <c r="E8837">
        <v>1996</v>
      </c>
      <c r="F8837" s="1">
        <v>72</v>
      </c>
      <c r="G8837">
        <v>1990</v>
      </c>
      <c r="H8837">
        <f>AVERAGEIFS(Table1[value],Table1[IndicatorCode],Table1[[#This Row],[IndicatorCode]])</f>
        <v>72.66514008620689</v>
      </c>
      <c r="I8837" cm="1">
        <f t="array" ref="I8837">_xlfn.STDEV.P(IF(Table1[IndicatorCode]=Table1[[#This Row],[IndicatorCode]],Table1[value]))</f>
        <v>6.3409496564024987</v>
      </c>
      <c r="J8837">
        <f>(Table1[[#This Row],[value]] - Table1[[#This Row],[mean]]) / Table1[[#This Row],[std_dev]]</f>
        <v>-0.10489597335555145</v>
      </c>
      <c r="K8837">
        <f>AVERAGEIF(Table1[CountryCode],Table1[[#This Row],[CountryCode]],Table1[z-score])</f>
        <v>-0.22872454493605915</v>
      </c>
      <c r="L8837" t="e">
        <f>VLOOKUP(Table1[[#This Row],[CountryCode]],[1]!Table1[#All],1,FALSE)</f>
        <v>#REF!</v>
      </c>
    </row>
    <row r="8838" spans="1:12" hidden="1" x14ac:dyDescent="0.3">
      <c r="A8838" t="s">
        <v>59</v>
      </c>
      <c r="B8838" t="s">
        <v>60</v>
      </c>
      <c r="C8838" t="s">
        <v>129</v>
      </c>
      <c r="D8838" t="s">
        <v>130</v>
      </c>
      <c r="E8838">
        <v>1997</v>
      </c>
      <c r="F8838" s="1">
        <v>72</v>
      </c>
      <c r="G8838">
        <v>2000</v>
      </c>
      <c r="H8838">
        <f>AVERAGEIFS(Table1[value],Table1[IndicatorCode],Table1[[#This Row],[IndicatorCode]])</f>
        <v>72.66514008620689</v>
      </c>
      <c r="I8838" cm="1">
        <f t="array" ref="I8838">_xlfn.STDEV.P(IF(Table1[IndicatorCode]=Table1[[#This Row],[IndicatorCode]],Table1[value]))</f>
        <v>6.3409496564024987</v>
      </c>
      <c r="J8838">
        <f>(Table1[[#This Row],[value]] - Table1[[#This Row],[mean]]) / Table1[[#This Row],[std_dev]]</f>
        <v>-0.10489597335555145</v>
      </c>
      <c r="K8838">
        <f>AVERAGEIF(Table1[CountryCode],Table1[[#This Row],[CountryCode]],Table1[z-score])</f>
        <v>-0.22872454493605915</v>
      </c>
      <c r="L8838" t="e">
        <f>VLOOKUP(Table1[[#This Row],[CountryCode]],[1]!Table1[#All],1,FALSE)</f>
        <v>#REF!</v>
      </c>
    </row>
    <row r="8839" spans="1:12" hidden="1" x14ac:dyDescent="0.3">
      <c r="A8839" t="s">
        <v>59</v>
      </c>
      <c r="B8839" t="s">
        <v>60</v>
      </c>
      <c r="C8839" t="s">
        <v>129</v>
      </c>
      <c r="D8839" t="s">
        <v>130</v>
      </c>
      <c r="E8839">
        <v>1998</v>
      </c>
      <c r="F8839" s="1">
        <v>72</v>
      </c>
      <c r="G8839">
        <v>2000</v>
      </c>
      <c r="H8839">
        <f>AVERAGEIFS(Table1[value],Table1[IndicatorCode],Table1[[#This Row],[IndicatorCode]])</f>
        <v>72.66514008620689</v>
      </c>
      <c r="I8839" cm="1">
        <f t="array" ref="I8839">_xlfn.STDEV.P(IF(Table1[IndicatorCode]=Table1[[#This Row],[IndicatorCode]],Table1[value]))</f>
        <v>6.3409496564024987</v>
      </c>
      <c r="J8839">
        <f>(Table1[[#This Row],[value]] - Table1[[#This Row],[mean]]) / Table1[[#This Row],[std_dev]]</f>
        <v>-0.10489597335555145</v>
      </c>
      <c r="K8839">
        <f>AVERAGEIF(Table1[CountryCode],Table1[[#This Row],[CountryCode]],Table1[z-score])</f>
        <v>-0.22872454493605915</v>
      </c>
      <c r="L8839" t="e">
        <f>VLOOKUP(Table1[[#This Row],[CountryCode]],[1]!Table1[#All],1,FALSE)</f>
        <v>#REF!</v>
      </c>
    </row>
    <row r="8840" spans="1:12" hidden="1" x14ac:dyDescent="0.3">
      <c r="A8840" t="s">
        <v>59</v>
      </c>
      <c r="B8840" t="s">
        <v>60</v>
      </c>
      <c r="C8840" t="s">
        <v>129</v>
      </c>
      <c r="D8840" t="s">
        <v>130</v>
      </c>
      <c r="E8840">
        <v>1999</v>
      </c>
      <c r="F8840" s="1">
        <v>73</v>
      </c>
      <c r="G8840">
        <v>2000</v>
      </c>
      <c r="H8840">
        <f>AVERAGEIFS(Table1[value],Table1[IndicatorCode],Table1[[#This Row],[IndicatorCode]])</f>
        <v>72.66514008620689</v>
      </c>
      <c r="I8840" cm="1">
        <f t="array" ref="I8840">_xlfn.STDEV.P(IF(Table1[IndicatorCode]=Table1[[#This Row],[IndicatorCode]],Table1[value]))</f>
        <v>6.3409496564024987</v>
      </c>
      <c r="J8840">
        <f>(Table1[[#This Row],[value]] - Table1[[#This Row],[mean]]) / Table1[[#This Row],[std_dev]]</f>
        <v>5.2809110927887599E-2</v>
      </c>
      <c r="K8840">
        <f>AVERAGEIF(Table1[CountryCode],Table1[[#This Row],[CountryCode]],Table1[z-score])</f>
        <v>-0.22872454493605915</v>
      </c>
      <c r="L8840" t="e">
        <f>VLOOKUP(Table1[[#This Row],[CountryCode]],[1]!Table1[#All],1,FALSE)</f>
        <v>#REF!</v>
      </c>
    </row>
    <row r="8841" spans="1:12" hidden="1" x14ac:dyDescent="0.3">
      <c r="A8841" t="s">
        <v>59</v>
      </c>
      <c r="B8841" t="s">
        <v>60</v>
      </c>
      <c r="C8841" t="s">
        <v>129</v>
      </c>
      <c r="D8841" t="s">
        <v>130</v>
      </c>
      <c r="E8841">
        <v>2000</v>
      </c>
      <c r="F8841" s="1">
        <v>73</v>
      </c>
      <c r="G8841">
        <v>2000</v>
      </c>
      <c r="H8841">
        <f>AVERAGEIFS(Table1[value],Table1[IndicatorCode],Table1[[#This Row],[IndicatorCode]])</f>
        <v>72.66514008620689</v>
      </c>
      <c r="I8841" cm="1">
        <f t="array" ref="I8841">_xlfn.STDEV.P(IF(Table1[IndicatorCode]=Table1[[#This Row],[IndicatorCode]],Table1[value]))</f>
        <v>6.3409496564024987</v>
      </c>
      <c r="J8841">
        <f>(Table1[[#This Row],[value]] - Table1[[#This Row],[mean]]) / Table1[[#This Row],[std_dev]]</f>
        <v>5.2809110927887599E-2</v>
      </c>
      <c r="K8841">
        <f>AVERAGEIF(Table1[CountryCode],Table1[[#This Row],[CountryCode]],Table1[z-score])</f>
        <v>-0.22872454493605915</v>
      </c>
      <c r="L8841" t="e">
        <f>VLOOKUP(Table1[[#This Row],[CountryCode]],[1]!Table1[#All],1,FALSE)</f>
        <v>#REF!</v>
      </c>
    </row>
    <row r="8842" spans="1:12" hidden="1" x14ac:dyDescent="0.3">
      <c r="A8842" t="s">
        <v>59</v>
      </c>
      <c r="B8842" t="s">
        <v>60</v>
      </c>
      <c r="C8842" t="s">
        <v>129</v>
      </c>
      <c r="D8842" t="s">
        <v>130</v>
      </c>
      <c r="E8842">
        <v>2001</v>
      </c>
      <c r="F8842" s="1">
        <v>75</v>
      </c>
      <c r="G8842">
        <v>2000</v>
      </c>
      <c r="H8842">
        <f>AVERAGEIFS(Table1[value],Table1[IndicatorCode],Table1[[#This Row],[IndicatorCode]])</f>
        <v>72.66514008620689</v>
      </c>
      <c r="I8842" cm="1">
        <f t="array" ref="I8842">_xlfn.STDEV.P(IF(Table1[IndicatorCode]=Table1[[#This Row],[IndicatorCode]],Table1[value]))</f>
        <v>6.3409496564024987</v>
      </c>
      <c r="J8842">
        <f>(Table1[[#This Row],[value]] - Table1[[#This Row],[mean]]) / Table1[[#This Row],[std_dev]]</f>
        <v>0.36821927949476574</v>
      </c>
      <c r="K8842">
        <f>AVERAGEIF(Table1[CountryCode],Table1[[#This Row],[CountryCode]],Table1[z-score])</f>
        <v>-0.22872454493605915</v>
      </c>
      <c r="L8842" t="e">
        <f>VLOOKUP(Table1[[#This Row],[CountryCode]],[1]!Table1[#All],1,FALSE)</f>
        <v>#REF!</v>
      </c>
    </row>
    <row r="8843" spans="1:12" hidden="1" x14ac:dyDescent="0.3">
      <c r="A8843" t="s">
        <v>59</v>
      </c>
      <c r="B8843" t="s">
        <v>60</v>
      </c>
      <c r="C8843" t="s">
        <v>129</v>
      </c>
      <c r="D8843" t="s">
        <v>130</v>
      </c>
      <c r="E8843">
        <v>2002</v>
      </c>
      <c r="F8843" s="1">
        <v>75</v>
      </c>
      <c r="G8843">
        <v>2000</v>
      </c>
      <c r="H8843">
        <f>AVERAGEIFS(Table1[value],Table1[IndicatorCode],Table1[[#This Row],[IndicatorCode]])</f>
        <v>72.66514008620689</v>
      </c>
      <c r="I8843" cm="1">
        <f t="array" ref="I8843">_xlfn.STDEV.P(IF(Table1[IndicatorCode]=Table1[[#This Row],[IndicatorCode]],Table1[value]))</f>
        <v>6.3409496564024987</v>
      </c>
      <c r="J8843">
        <f>(Table1[[#This Row],[value]] - Table1[[#This Row],[mean]]) / Table1[[#This Row],[std_dev]]</f>
        <v>0.36821927949476574</v>
      </c>
      <c r="K8843">
        <f>AVERAGEIF(Table1[CountryCode],Table1[[#This Row],[CountryCode]],Table1[z-score])</f>
        <v>-0.22872454493605915</v>
      </c>
      <c r="L8843" t="e">
        <f>VLOOKUP(Table1[[#This Row],[CountryCode]],[1]!Table1[#All],1,FALSE)</f>
        <v>#REF!</v>
      </c>
    </row>
    <row r="8844" spans="1:12" hidden="1" x14ac:dyDescent="0.3">
      <c r="A8844" t="s">
        <v>59</v>
      </c>
      <c r="B8844" t="s">
        <v>60</v>
      </c>
      <c r="C8844" t="s">
        <v>129</v>
      </c>
      <c r="D8844" t="s">
        <v>130</v>
      </c>
      <c r="E8844">
        <v>2003</v>
      </c>
      <c r="F8844" s="1">
        <v>75</v>
      </c>
      <c r="G8844">
        <v>2000</v>
      </c>
      <c r="H8844">
        <f>AVERAGEIFS(Table1[value],Table1[IndicatorCode],Table1[[#This Row],[IndicatorCode]])</f>
        <v>72.66514008620689</v>
      </c>
      <c r="I8844" cm="1">
        <f t="array" ref="I8844">_xlfn.STDEV.P(IF(Table1[IndicatorCode]=Table1[[#This Row],[IndicatorCode]],Table1[value]))</f>
        <v>6.3409496564024987</v>
      </c>
      <c r="J8844">
        <f>(Table1[[#This Row],[value]] - Table1[[#This Row],[mean]]) / Table1[[#This Row],[std_dev]]</f>
        <v>0.36821927949476574</v>
      </c>
      <c r="K8844">
        <f>AVERAGEIF(Table1[CountryCode],Table1[[#This Row],[CountryCode]],Table1[z-score])</f>
        <v>-0.22872454493605915</v>
      </c>
      <c r="L8844" t="e">
        <f>VLOOKUP(Table1[[#This Row],[CountryCode]],[1]!Table1[#All],1,FALSE)</f>
        <v>#REF!</v>
      </c>
    </row>
    <row r="8845" spans="1:12" hidden="1" x14ac:dyDescent="0.3">
      <c r="A8845" t="s">
        <v>59</v>
      </c>
      <c r="B8845" t="s">
        <v>60</v>
      </c>
      <c r="C8845" t="s">
        <v>129</v>
      </c>
      <c r="D8845" t="s">
        <v>130</v>
      </c>
      <c r="E8845">
        <v>2004</v>
      </c>
      <c r="F8845" s="1">
        <v>76</v>
      </c>
      <c r="G8845">
        <v>2000</v>
      </c>
      <c r="H8845">
        <f>AVERAGEIFS(Table1[value],Table1[IndicatorCode],Table1[[#This Row],[IndicatorCode]])</f>
        <v>72.66514008620689</v>
      </c>
      <c r="I8845" cm="1">
        <f t="array" ref="I8845">_xlfn.STDEV.P(IF(Table1[IndicatorCode]=Table1[[#This Row],[IndicatorCode]],Table1[value]))</f>
        <v>6.3409496564024987</v>
      </c>
      <c r="J8845">
        <f>(Table1[[#This Row],[value]] - Table1[[#This Row],[mean]]) / Table1[[#This Row],[std_dev]]</f>
        <v>0.52592436377820473</v>
      </c>
      <c r="K8845">
        <f>AVERAGEIF(Table1[CountryCode],Table1[[#This Row],[CountryCode]],Table1[z-score])</f>
        <v>-0.22872454493605915</v>
      </c>
      <c r="L8845" t="e">
        <f>VLOOKUP(Table1[[#This Row],[CountryCode]],[1]!Table1[#All],1,FALSE)</f>
        <v>#REF!</v>
      </c>
    </row>
    <row r="8846" spans="1:12" hidden="1" x14ac:dyDescent="0.3">
      <c r="A8846" t="s">
        <v>59</v>
      </c>
      <c r="B8846" t="s">
        <v>60</v>
      </c>
      <c r="C8846" t="s">
        <v>129</v>
      </c>
      <c r="D8846" t="s">
        <v>130</v>
      </c>
      <c r="E8846">
        <v>2005</v>
      </c>
      <c r="F8846" s="1">
        <v>75</v>
      </c>
      <c r="G8846">
        <v>2000</v>
      </c>
      <c r="H8846">
        <f>AVERAGEIFS(Table1[value],Table1[IndicatorCode],Table1[[#This Row],[IndicatorCode]])</f>
        <v>72.66514008620689</v>
      </c>
      <c r="I8846" cm="1">
        <f t="array" ref="I8846">_xlfn.STDEV.P(IF(Table1[IndicatorCode]=Table1[[#This Row],[IndicatorCode]],Table1[value]))</f>
        <v>6.3409496564024987</v>
      </c>
      <c r="J8846">
        <f>(Table1[[#This Row],[value]] - Table1[[#This Row],[mean]]) / Table1[[#This Row],[std_dev]]</f>
        <v>0.36821927949476574</v>
      </c>
      <c r="K8846">
        <f>AVERAGEIF(Table1[CountryCode],Table1[[#This Row],[CountryCode]],Table1[z-score])</f>
        <v>-0.22872454493605915</v>
      </c>
      <c r="L8846" t="e">
        <f>VLOOKUP(Table1[[#This Row],[CountryCode]],[1]!Table1[#All],1,FALSE)</f>
        <v>#REF!</v>
      </c>
    </row>
    <row r="8847" spans="1:12" hidden="1" x14ac:dyDescent="0.3">
      <c r="A8847" t="s">
        <v>59</v>
      </c>
      <c r="B8847" t="s">
        <v>60</v>
      </c>
      <c r="C8847" t="s">
        <v>129</v>
      </c>
      <c r="D8847" t="s">
        <v>130</v>
      </c>
      <c r="E8847">
        <v>2006</v>
      </c>
      <c r="F8847" s="1">
        <v>76</v>
      </c>
      <c r="G8847">
        <v>2000</v>
      </c>
      <c r="H8847">
        <f>AVERAGEIFS(Table1[value],Table1[IndicatorCode],Table1[[#This Row],[IndicatorCode]])</f>
        <v>72.66514008620689</v>
      </c>
      <c r="I8847" cm="1">
        <f t="array" ref="I8847">_xlfn.STDEV.P(IF(Table1[IndicatorCode]=Table1[[#This Row],[IndicatorCode]],Table1[value]))</f>
        <v>6.3409496564024987</v>
      </c>
      <c r="J8847">
        <f>(Table1[[#This Row],[value]] - Table1[[#This Row],[mean]]) / Table1[[#This Row],[std_dev]]</f>
        <v>0.52592436377820473</v>
      </c>
      <c r="K8847">
        <f>AVERAGEIF(Table1[CountryCode],Table1[[#This Row],[CountryCode]],Table1[z-score])</f>
        <v>-0.22872454493605915</v>
      </c>
      <c r="L8847" t="e">
        <f>VLOOKUP(Table1[[#This Row],[CountryCode]],[1]!Table1[#All],1,FALSE)</f>
        <v>#REF!</v>
      </c>
    </row>
    <row r="8848" spans="1:12" hidden="1" x14ac:dyDescent="0.3">
      <c r="A8848" t="s">
        <v>59</v>
      </c>
      <c r="B8848" t="s">
        <v>60</v>
      </c>
      <c r="C8848" t="s">
        <v>129</v>
      </c>
      <c r="D8848" t="s">
        <v>130</v>
      </c>
      <c r="E8848">
        <v>2007</v>
      </c>
      <c r="F8848" s="1">
        <v>76</v>
      </c>
      <c r="G8848">
        <v>2010</v>
      </c>
      <c r="H8848">
        <f>AVERAGEIFS(Table1[value],Table1[IndicatorCode],Table1[[#This Row],[IndicatorCode]])</f>
        <v>72.66514008620689</v>
      </c>
      <c r="I8848" cm="1">
        <f t="array" ref="I8848">_xlfn.STDEV.P(IF(Table1[IndicatorCode]=Table1[[#This Row],[IndicatorCode]],Table1[value]))</f>
        <v>6.3409496564024987</v>
      </c>
      <c r="J8848">
        <f>(Table1[[#This Row],[value]] - Table1[[#This Row],[mean]]) / Table1[[#This Row],[std_dev]]</f>
        <v>0.52592436377820473</v>
      </c>
      <c r="K8848">
        <f>AVERAGEIF(Table1[CountryCode],Table1[[#This Row],[CountryCode]],Table1[z-score])</f>
        <v>-0.22872454493605915</v>
      </c>
      <c r="L8848" t="e">
        <f>VLOOKUP(Table1[[#This Row],[CountryCode]],[1]!Table1[#All],1,FALSE)</f>
        <v>#REF!</v>
      </c>
    </row>
    <row r="8849" spans="1:12" hidden="1" x14ac:dyDescent="0.3">
      <c r="A8849" t="s">
        <v>59</v>
      </c>
      <c r="B8849" t="s">
        <v>60</v>
      </c>
      <c r="C8849" t="s">
        <v>129</v>
      </c>
      <c r="D8849" t="s">
        <v>130</v>
      </c>
      <c r="E8849">
        <v>2008</v>
      </c>
      <c r="F8849" s="1">
        <v>76</v>
      </c>
      <c r="G8849">
        <v>2010</v>
      </c>
      <c r="H8849">
        <f>AVERAGEIFS(Table1[value],Table1[IndicatorCode],Table1[[#This Row],[IndicatorCode]])</f>
        <v>72.66514008620689</v>
      </c>
      <c r="I8849" cm="1">
        <f t="array" ref="I8849">_xlfn.STDEV.P(IF(Table1[IndicatorCode]=Table1[[#This Row],[IndicatorCode]],Table1[value]))</f>
        <v>6.3409496564024987</v>
      </c>
      <c r="J8849">
        <f>(Table1[[#This Row],[value]] - Table1[[#This Row],[mean]]) / Table1[[#This Row],[std_dev]]</f>
        <v>0.52592436377820473</v>
      </c>
      <c r="K8849">
        <f>AVERAGEIF(Table1[CountryCode],Table1[[#This Row],[CountryCode]],Table1[z-score])</f>
        <v>-0.22872454493605915</v>
      </c>
      <c r="L8849" t="e">
        <f>VLOOKUP(Table1[[#This Row],[CountryCode]],[1]!Table1[#All],1,FALSE)</f>
        <v>#REF!</v>
      </c>
    </row>
    <row r="8850" spans="1:12" hidden="1" x14ac:dyDescent="0.3">
      <c r="A8850" t="s">
        <v>59</v>
      </c>
      <c r="B8850" t="s">
        <v>60</v>
      </c>
      <c r="C8850" t="s">
        <v>129</v>
      </c>
      <c r="D8850" t="s">
        <v>130</v>
      </c>
      <c r="E8850">
        <v>2009</v>
      </c>
      <c r="F8850" s="1">
        <v>76</v>
      </c>
      <c r="G8850">
        <v>2010</v>
      </c>
      <c r="H8850">
        <f>AVERAGEIFS(Table1[value],Table1[IndicatorCode],Table1[[#This Row],[IndicatorCode]])</f>
        <v>72.66514008620689</v>
      </c>
      <c r="I8850" cm="1">
        <f t="array" ref="I8850">_xlfn.STDEV.P(IF(Table1[IndicatorCode]=Table1[[#This Row],[IndicatorCode]],Table1[value]))</f>
        <v>6.3409496564024987</v>
      </c>
      <c r="J8850">
        <f>(Table1[[#This Row],[value]] - Table1[[#This Row],[mean]]) / Table1[[#This Row],[std_dev]]</f>
        <v>0.52592436377820473</v>
      </c>
      <c r="K8850">
        <f>AVERAGEIF(Table1[CountryCode],Table1[[#This Row],[CountryCode]],Table1[z-score])</f>
        <v>-0.22872454493605915</v>
      </c>
      <c r="L8850" t="e">
        <f>VLOOKUP(Table1[[#This Row],[CountryCode]],[1]!Table1[#All],1,FALSE)</f>
        <v>#REF!</v>
      </c>
    </row>
    <row r="8851" spans="1:12" hidden="1" x14ac:dyDescent="0.3">
      <c r="A8851" t="s">
        <v>59</v>
      </c>
      <c r="B8851" t="s">
        <v>60</v>
      </c>
      <c r="C8851" t="s">
        <v>129</v>
      </c>
      <c r="D8851" t="s">
        <v>130</v>
      </c>
      <c r="E8851">
        <v>2010</v>
      </c>
      <c r="F8851" s="1">
        <v>76</v>
      </c>
      <c r="G8851">
        <v>2010</v>
      </c>
      <c r="H8851">
        <f>AVERAGEIFS(Table1[value],Table1[IndicatorCode],Table1[[#This Row],[IndicatorCode]])</f>
        <v>72.66514008620689</v>
      </c>
      <c r="I8851" cm="1">
        <f t="array" ref="I8851">_xlfn.STDEV.P(IF(Table1[IndicatorCode]=Table1[[#This Row],[IndicatorCode]],Table1[value]))</f>
        <v>6.3409496564024987</v>
      </c>
      <c r="J8851">
        <f>(Table1[[#This Row],[value]] - Table1[[#This Row],[mean]]) / Table1[[#This Row],[std_dev]]</f>
        <v>0.52592436377820473</v>
      </c>
      <c r="K8851">
        <f>AVERAGEIF(Table1[CountryCode],Table1[[#This Row],[CountryCode]],Table1[z-score])</f>
        <v>-0.22872454493605915</v>
      </c>
      <c r="L8851" t="e">
        <f>VLOOKUP(Table1[[#This Row],[CountryCode]],[1]!Table1[#All],1,FALSE)</f>
        <v>#REF!</v>
      </c>
    </row>
    <row r="8852" spans="1:12" hidden="1" x14ac:dyDescent="0.3">
      <c r="A8852" t="s">
        <v>59</v>
      </c>
      <c r="B8852" t="s">
        <v>60</v>
      </c>
      <c r="C8852" t="s">
        <v>129</v>
      </c>
      <c r="D8852" t="s">
        <v>130</v>
      </c>
      <c r="E8852">
        <v>2011</v>
      </c>
      <c r="F8852" s="1">
        <v>77</v>
      </c>
      <c r="G8852">
        <v>2010</v>
      </c>
      <c r="H8852">
        <f>AVERAGEIFS(Table1[value],Table1[IndicatorCode],Table1[[#This Row],[IndicatorCode]])</f>
        <v>72.66514008620689</v>
      </c>
      <c r="I8852" cm="1">
        <f t="array" ref="I8852">_xlfn.STDEV.P(IF(Table1[IndicatorCode]=Table1[[#This Row],[IndicatorCode]],Table1[value]))</f>
        <v>6.3409496564024987</v>
      </c>
      <c r="J8852">
        <f>(Table1[[#This Row],[value]] - Table1[[#This Row],[mean]]) / Table1[[#This Row],[std_dev]]</f>
        <v>0.68362944806164383</v>
      </c>
      <c r="K8852">
        <f>AVERAGEIF(Table1[CountryCode],Table1[[#This Row],[CountryCode]],Table1[z-score])</f>
        <v>-0.22872454493605915</v>
      </c>
      <c r="L8852" t="e">
        <f>VLOOKUP(Table1[[#This Row],[CountryCode]],[1]!Table1[#All],1,FALSE)</f>
        <v>#REF!</v>
      </c>
    </row>
    <row r="8853" spans="1:12" hidden="1" x14ac:dyDescent="0.3">
      <c r="A8853" t="s">
        <v>59</v>
      </c>
      <c r="B8853" t="s">
        <v>60</v>
      </c>
      <c r="C8853" t="s">
        <v>129</v>
      </c>
      <c r="D8853" t="s">
        <v>130</v>
      </c>
      <c r="E8853">
        <v>2012</v>
      </c>
      <c r="F8853" s="1">
        <v>77</v>
      </c>
      <c r="G8853">
        <v>2010</v>
      </c>
      <c r="H8853">
        <f>AVERAGEIFS(Table1[value],Table1[IndicatorCode],Table1[[#This Row],[IndicatorCode]])</f>
        <v>72.66514008620689</v>
      </c>
      <c r="I8853" cm="1">
        <f t="array" ref="I8853">_xlfn.STDEV.P(IF(Table1[IndicatorCode]=Table1[[#This Row],[IndicatorCode]],Table1[value]))</f>
        <v>6.3409496564024987</v>
      </c>
      <c r="J8853">
        <f>(Table1[[#This Row],[value]] - Table1[[#This Row],[mean]]) / Table1[[#This Row],[std_dev]]</f>
        <v>0.68362944806164383</v>
      </c>
      <c r="K8853">
        <f>AVERAGEIF(Table1[CountryCode],Table1[[#This Row],[CountryCode]],Table1[z-score])</f>
        <v>-0.22872454493605915</v>
      </c>
      <c r="L8853" t="e">
        <f>VLOOKUP(Table1[[#This Row],[CountryCode]],[1]!Table1[#All],1,FALSE)</f>
        <v>#REF!</v>
      </c>
    </row>
    <row r="8854" spans="1:12" hidden="1" x14ac:dyDescent="0.3">
      <c r="A8854" t="s">
        <v>59</v>
      </c>
      <c r="B8854" t="s">
        <v>60</v>
      </c>
      <c r="C8854" t="s">
        <v>129</v>
      </c>
      <c r="D8854" t="s">
        <v>130</v>
      </c>
      <c r="E8854">
        <v>2013</v>
      </c>
      <c r="F8854" s="1">
        <v>78</v>
      </c>
      <c r="G8854">
        <v>2010</v>
      </c>
      <c r="H8854">
        <f>AVERAGEIFS(Table1[value],Table1[IndicatorCode],Table1[[#This Row],[IndicatorCode]])</f>
        <v>72.66514008620689</v>
      </c>
      <c r="I8854" cm="1">
        <f t="array" ref="I8854">_xlfn.STDEV.P(IF(Table1[IndicatorCode]=Table1[[#This Row],[IndicatorCode]],Table1[value]))</f>
        <v>6.3409496564024987</v>
      </c>
      <c r="J8854">
        <f>(Table1[[#This Row],[value]] - Table1[[#This Row],[mean]]) / Table1[[#This Row],[std_dev]]</f>
        <v>0.84133453234508293</v>
      </c>
      <c r="K8854">
        <f>AVERAGEIF(Table1[CountryCode],Table1[[#This Row],[CountryCode]],Table1[z-score])</f>
        <v>-0.22872454493605915</v>
      </c>
      <c r="L8854" t="e">
        <f>VLOOKUP(Table1[[#This Row],[CountryCode]],[1]!Table1[#All],1,FALSE)</f>
        <v>#REF!</v>
      </c>
    </row>
    <row r="8855" spans="1:12" hidden="1" x14ac:dyDescent="0.3">
      <c r="A8855" t="s">
        <v>59</v>
      </c>
      <c r="B8855" t="s">
        <v>60</v>
      </c>
      <c r="C8855" t="s">
        <v>129</v>
      </c>
      <c r="D8855" t="s">
        <v>130</v>
      </c>
      <c r="E8855">
        <v>2014</v>
      </c>
      <c r="F8855" s="1">
        <v>78</v>
      </c>
      <c r="G8855">
        <v>2010</v>
      </c>
      <c r="H8855">
        <f>AVERAGEIFS(Table1[value],Table1[IndicatorCode],Table1[[#This Row],[IndicatorCode]])</f>
        <v>72.66514008620689</v>
      </c>
      <c r="I8855" cm="1">
        <f t="array" ref="I8855">_xlfn.STDEV.P(IF(Table1[IndicatorCode]=Table1[[#This Row],[IndicatorCode]],Table1[value]))</f>
        <v>6.3409496564024987</v>
      </c>
      <c r="J8855">
        <f>(Table1[[#This Row],[value]] - Table1[[#This Row],[mean]]) / Table1[[#This Row],[std_dev]]</f>
        <v>0.84133453234508293</v>
      </c>
      <c r="K8855">
        <f>AVERAGEIF(Table1[CountryCode],Table1[[#This Row],[CountryCode]],Table1[z-score])</f>
        <v>-0.22872454493605915</v>
      </c>
      <c r="L8855" t="e">
        <f>VLOOKUP(Table1[[#This Row],[CountryCode]],[1]!Table1[#All],1,FALSE)</f>
        <v>#REF!</v>
      </c>
    </row>
    <row r="8856" spans="1:12" hidden="1" x14ac:dyDescent="0.3">
      <c r="A8856" t="s">
        <v>59</v>
      </c>
      <c r="B8856" t="s">
        <v>60</v>
      </c>
      <c r="C8856" t="s">
        <v>129</v>
      </c>
      <c r="D8856" t="s">
        <v>130</v>
      </c>
      <c r="E8856">
        <v>2015</v>
      </c>
      <c r="F8856" s="1">
        <v>77</v>
      </c>
      <c r="G8856">
        <v>2010</v>
      </c>
      <c r="H8856">
        <f>AVERAGEIFS(Table1[value],Table1[IndicatorCode],Table1[[#This Row],[IndicatorCode]])</f>
        <v>72.66514008620689</v>
      </c>
      <c r="I8856" cm="1">
        <f t="array" ref="I8856">_xlfn.STDEV.P(IF(Table1[IndicatorCode]=Table1[[#This Row],[IndicatorCode]],Table1[value]))</f>
        <v>6.3409496564024987</v>
      </c>
      <c r="J8856">
        <f>(Table1[[#This Row],[value]] - Table1[[#This Row],[mean]]) / Table1[[#This Row],[std_dev]]</f>
        <v>0.68362944806164383</v>
      </c>
      <c r="K8856">
        <f>AVERAGEIF(Table1[CountryCode],Table1[[#This Row],[CountryCode]],Table1[z-score])</f>
        <v>-0.22872454493605915</v>
      </c>
      <c r="L8856" t="e">
        <f>VLOOKUP(Table1[[#This Row],[CountryCode]],[1]!Table1[#All],1,FALSE)</f>
        <v>#REF!</v>
      </c>
    </row>
    <row r="8857" spans="1:12" hidden="1" x14ac:dyDescent="0.3">
      <c r="A8857" t="s">
        <v>59</v>
      </c>
      <c r="B8857" t="s">
        <v>60</v>
      </c>
      <c r="C8857" t="s">
        <v>129</v>
      </c>
      <c r="D8857" t="s">
        <v>130</v>
      </c>
      <c r="E8857">
        <v>2016</v>
      </c>
      <c r="F8857" s="1">
        <v>78</v>
      </c>
      <c r="G8857">
        <v>2010</v>
      </c>
      <c r="H8857">
        <f>AVERAGEIFS(Table1[value],Table1[IndicatorCode],Table1[[#This Row],[IndicatorCode]])</f>
        <v>72.66514008620689</v>
      </c>
      <c r="I8857" cm="1">
        <f t="array" ref="I8857">_xlfn.STDEV.P(IF(Table1[IndicatorCode]=Table1[[#This Row],[IndicatorCode]],Table1[value]))</f>
        <v>6.3409496564024987</v>
      </c>
      <c r="J8857">
        <f>(Table1[[#This Row],[value]] - Table1[[#This Row],[mean]]) / Table1[[#This Row],[std_dev]]</f>
        <v>0.84133453234508293</v>
      </c>
      <c r="K8857">
        <f>AVERAGEIF(Table1[CountryCode],Table1[[#This Row],[CountryCode]],Table1[z-score])</f>
        <v>-0.22872454493605915</v>
      </c>
      <c r="L8857" t="e">
        <f>VLOOKUP(Table1[[#This Row],[CountryCode]],[1]!Table1[#All],1,FALSE)</f>
        <v>#REF!</v>
      </c>
    </row>
    <row r="8858" spans="1:12" hidden="1" x14ac:dyDescent="0.3">
      <c r="A8858" t="s">
        <v>59</v>
      </c>
      <c r="B8858" t="s">
        <v>60</v>
      </c>
      <c r="C8858" t="s">
        <v>129</v>
      </c>
      <c r="D8858" t="s">
        <v>130</v>
      </c>
      <c r="E8858">
        <v>2017</v>
      </c>
      <c r="F8858" s="1">
        <v>78</v>
      </c>
      <c r="G8858">
        <v>2020</v>
      </c>
      <c r="H8858">
        <f>AVERAGEIFS(Table1[value],Table1[IndicatorCode],Table1[[#This Row],[IndicatorCode]])</f>
        <v>72.66514008620689</v>
      </c>
      <c r="I8858" cm="1">
        <f t="array" ref="I8858">_xlfn.STDEV.P(IF(Table1[IndicatorCode]=Table1[[#This Row],[IndicatorCode]],Table1[value]))</f>
        <v>6.3409496564024987</v>
      </c>
      <c r="J8858">
        <f>(Table1[[#This Row],[value]] - Table1[[#This Row],[mean]]) / Table1[[#This Row],[std_dev]]</f>
        <v>0.84133453234508293</v>
      </c>
      <c r="K8858">
        <f>AVERAGEIF(Table1[CountryCode],Table1[[#This Row],[CountryCode]],Table1[z-score])</f>
        <v>-0.22872454493605915</v>
      </c>
      <c r="L8858" t="e">
        <f>VLOOKUP(Table1[[#This Row],[CountryCode]],[1]!Table1[#All],1,FALSE)</f>
        <v>#REF!</v>
      </c>
    </row>
    <row r="8859" spans="1:12" hidden="1" x14ac:dyDescent="0.3">
      <c r="A8859" t="s">
        <v>59</v>
      </c>
      <c r="B8859" t="s">
        <v>60</v>
      </c>
      <c r="C8859" t="s">
        <v>129</v>
      </c>
      <c r="D8859" t="s">
        <v>130</v>
      </c>
      <c r="E8859">
        <v>2018</v>
      </c>
      <c r="F8859" s="1">
        <v>78</v>
      </c>
      <c r="G8859">
        <v>2020</v>
      </c>
      <c r="H8859">
        <f>AVERAGEIFS(Table1[value],Table1[IndicatorCode],Table1[[#This Row],[IndicatorCode]])</f>
        <v>72.66514008620689</v>
      </c>
      <c r="I8859" cm="1">
        <f t="array" ref="I8859">_xlfn.STDEV.P(IF(Table1[IndicatorCode]=Table1[[#This Row],[IndicatorCode]],Table1[value]))</f>
        <v>6.3409496564024987</v>
      </c>
      <c r="J8859">
        <f>(Table1[[#This Row],[value]] - Table1[[#This Row],[mean]]) / Table1[[#This Row],[std_dev]]</f>
        <v>0.84133453234508293</v>
      </c>
      <c r="K8859">
        <f>AVERAGEIF(Table1[CountryCode],Table1[[#This Row],[CountryCode]],Table1[z-score])</f>
        <v>-0.22872454493605915</v>
      </c>
      <c r="L8859" t="e">
        <f>VLOOKUP(Table1[[#This Row],[CountryCode]],[1]!Table1[#All],1,FALSE)</f>
        <v>#REF!</v>
      </c>
    </row>
    <row r="8860" spans="1:12" hidden="1" x14ac:dyDescent="0.3">
      <c r="A8860" t="s">
        <v>59</v>
      </c>
      <c r="B8860" t="s">
        <v>60</v>
      </c>
      <c r="C8860" t="s">
        <v>129</v>
      </c>
      <c r="D8860" t="s">
        <v>130</v>
      </c>
      <c r="E8860">
        <v>2019</v>
      </c>
      <c r="F8860" s="1">
        <v>78</v>
      </c>
      <c r="G8860">
        <v>2020</v>
      </c>
      <c r="H8860">
        <f>AVERAGEIFS(Table1[value],Table1[IndicatorCode],Table1[[#This Row],[IndicatorCode]])</f>
        <v>72.66514008620689</v>
      </c>
      <c r="I8860" cm="1">
        <f t="array" ref="I8860">_xlfn.STDEV.P(IF(Table1[IndicatorCode]=Table1[[#This Row],[IndicatorCode]],Table1[value]))</f>
        <v>6.3409496564024987</v>
      </c>
      <c r="J8860">
        <f>(Table1[[#This Row],[value]] - Table1[[#This Row],[mean]]) / Table1[[#This Row],[std_dev]]</f>
        <v>0.84133453234508293</v>
      </c>
      <c r="K8860">
        <f>AVERAGEIF(Table1[CountryCode],Table1[[#This Row],[CountryCode]],Table1[z-score])</f>
        <v>-0.22872454493605915</v>
      </c>
      <c r="L8860" t="e">
        <f>VLOOKUP(Table1[[#This Row],[CountryCode]],[1]!Table1[#All],1,FALSE)</f>
        <v>#REF!</v>
      </c>
    </row>
    <row r="8861" spans="1:12" x14ac:dyDescent="0.3">
      <c r="A8861" t="s">
        <v>59</v>
      </c>
      <c r="B8861" t="s">
        <v>60</v>
      </c>
      <c r="C8861" t="s">
        <v>129</v>
      </c>
      <c r="D8861" t="s">
        <v>130</v>
      </c>
      <c r="E8861">
        <v>2020</v>
      </c>
      <c r="F8861" s="1">
        <v>78</v>
      </c>
      <c r="G8861">
        <v>2020</v>
      </c>
      <c r="H8861">
        <f>AVERAGEIFS(Table1[value],Table1[IndicatorCode],Table1[[#This Row],[IndicatorCode]])</f>
        <v>72.66514008620689</v>
      </c>
      <c r="I8861" cm="1">
        <f t="array" ref="I8861">_xlfn.STDEV.P(IF(Table1[IndicatorCode]=Table1[[#This Row],[IndicatorCode]],Table1[value]))</f>
        <v>6.3409496564024987</v>
      </c>
      <c r="J8861">
        <f>(Table1[[#This Row],[value]] - Table1[[#This Row],[mean]]) / Table1[[#This Row],[std_dev]]</f>
        <v>0.84133453234508293</v>
      </c>
      <c r="K8861">
        <f>AVERAGEIF(Table1[CountryCode],Table1[[#This Row],[CountryCode]],Table1[z-score])</f>
        <v>-0.22872454493605915</v>
      </c>
    </row>
    <row r="8862" spans="1:12" hidden="1" x14ac:dyDescent="0.3">
      <c r="A8862" t="s">
        <v>59</v>
      </c>
      <c r="B8862" t="s">
        <v>60</v>
      </c>
      <c r="C8862" t="s">
        <v>129</v>
      </c>
      <c r="D8862" t="s">
        <v>130</v>
      </c>
      <c r="E8862">
        <v>2021</v>
      </c>
      <c r="F8862" s="1">
        <v>76</v>
      </c>
      <c r="G8862">
        <v>1960</v>
      </c>
      <c r="H8862">
        <f>AVERAGEIFS(Table1[value],Table1[IndicatorCode],Table1[[#This Row],[IndicatorCode]])</f>
        <v>72.66514008620689</v>
      </c>
      <c r="I8862" cm="1">
        <f t="array" ref="I8862">_xlfn.STDEV.P(IF(Table1[IndicatorCode]=Table1[[#This Row],[IndicatorCode]],Table1[value]))</f>
        <v>6.3409496564024987</v>
      </c>
      <c r="J8862">
        <f>(Table1[[#This Row],[value]] - Table1[[#This Row],[mean]]) / Table1[[#This Row],[std_dev]]</f>
        <v>0.52592436377820473</v>
      </c>
      <c r="K8862">
        <f>AVERAGEIF(Table1[CountryCode],Table1[[#This Row],[CountryCode]],Table1[z-score])</f>
        <v>-0.22872454493605915</v>
      </c>
      <c r="L8862" t="e">
        <f>VLOOKUP(Table1[[#This Row],[CountryCode]],[1]!Table1[#All],1,FALSE)</f>
        <v>#REF!</v>
      </c>
    </row>
    <row r="8863" spans="1:12" hidden="1" x14ac:dyDescent="0.3">
      <c r="A8863" t="s">
        <v>59</v>
      </c>
      <c r="B8863" t="s">
        <v>60</v>
      </c>
      <c r="C8863" t="s">
        <v>129</v>
      </c>
      <c r="D8863" t="s">
        <v>130</v>
      </c>
      <c r="E8863">
        <v>2022</v>
      </c>
      <c r="F8863" s="1">
        <v>78</v>
      </c>
      <c r="G8863">
        <v>1960</v>
      </c>
      <c r="H8863">
        <f>AVERAGEIFS(Table1[value],Table1[IndicatorCode],Table1[[#This Row],[IndicatorCode]])</f>
        <v>72.66514008620689</v>
      </c>
      <c r="I8863" cm="1">
        <f t="array" ref="I8863">_xlfn.STDEV.P(IF(Table1[IndicatorCode]=Table1[[#This Row],[IndicatorCode]],Table1[value]))</f>
        <v>6.3409496564024987</v>
      </c>
      <c r="J8863">
        <f>(Table1[[#This Row],[value]] - Table1[[#This Row],[mean]]) / Table1[[#This Row],[std_dev]]</f>
        <v>0.84133453234508293</v>
      </c>
      <c r="K8863">
        <f>AVERAGEIF(Table1[CountryCode],Table1[[#This Row],[CountryCode]],Table1[z-score])</f>
        <v>-0.22872454493605915</v>
      </c>
      <c r="L8863" t="e">
        <f>VLOOKUP(Table1[[#This Row],[CountryCode]],[1]!Table1[#All],1,FALSE)</f>
        <v>#REF!</v>
      </c>
    </row>
    <row r="8864" spans="1:12" hidden="1" x14ac:dyDescent="0.3">
      <c r="A8864" t="s">
        <v>59</v>
      </c>
      <c r="B8864" t="s">
        <v>60</v>
      </c>
      <c r="C8864" t="s">
        <v>129</v>
      </c>
      <c r="D8864" t="s">
        <v>130</v>
      </c>
      <c r="E8864">
        <v>2023</v>
      </c>
      <c r="F8864" s="1">
        <v>78</v>
      </c>
      <c r="G8864">
        <v>1960</v>
      </c>
      <c r="H8864">
        <f>AVERAGEIFS(Table1[value],Table1[IndicatorCode],Table1[[#This Row],[IndicatorCode]])</f>
        <v>72.66514008620689</v>
      </c>
      <c r="I8864" cm="1">
        <f t="array" ref="I8864">_xlfn.STDEV.P(IF(Table1[IndicatorCode]=Table1[[#This Row],[IndicatorCode]],Table1[value]))</f>
        <v>6.3409496564024987</v>
      </c>
      <c r="J8864">
        <f>(Table1[[#This Row],[value]] - Table1[[#This Row],[mean]]) / Table1[[#This Row],[std_dev]]</f>
        <v>0.84133453234508293</v>
      </c>
      <c r="K8864">
        <f>AVERAGEIF(Table1[CountryCode],Table1[[#This Row],[CountryCode]],Table1[z-score])</f>
        <v>-0.22872454493605915</v>
      </c>
      <c r="L8864" t="e">
        <f>VLOOKUP(Table1[[#This Row],[CountryCode]],[1]!Table1[#All],1,FALSE)</f>
        <v>#REF!</v>
      </c>
    </row>
    <row r="8865" spans="1:12" hidden="1" x14ac:dyDescent="0.3">
      <c r="A8865" t="s">
        <v>61</v>
      </c>
      <c r="B8865" t="s">
        <v>62</v>
      </c>
      <c r="C8865" t="s">
        <v>129</v>
      </c>
      <c r="D8865" t="s">
        <v>130</v>
      </c>
      <c r="E8865">
        <v>1960</v>
      </c>
      <c r="F8865" s="1">
        <v>68</v>
      </c>
      <c r="G8865">
        <v>1960</v>
      </c>
      <c r="H8865">
        <f>AVERAGEIFS(Table1[value],Table1[IndicatorCode],Table1[[#This Row],[IndicatorCode]])</f>
        <v>72.66514008620689</v>
      </c>
      <c r="I8865" cm="1">
        <f t="array" ref="I8865">_xlfn.STDEV.P(IF(Table1[IndicatorCode]=Table1[[#This Row],[IndicatorCode]],Table1[value]))</f>
        <v>6.3409496564024987</v>
      </c>
      <c r="J8865">
        <f>(Table1[[#This Row],[value]] - Table1[[#This Row],[mean]]) / Table1[[#This Row],[std_dev]]</f>
        <v>-0.73571631048930775</v>
      </c>
      <c r="K8865">
        <f>AVERAGEIF(Table1[CountryCode],Table1[[#This Row],[CountryCode]],Table1[z-score])</f>
        <v>-0.27867415315004246</v>
      </c>
      <c r="L8865" t="e">
        <f>VLOOKUP(Table1[[#This Row],[CountryCode]],[1]!Table1[#All],1,FALSE)</f>
        <v>#REF!</v>
      </c>
    </row>
    <row r="8866" spans="1:12" hidden="1" x14ac:dyDescent="0.3">
      <c r="A8866" t="s">
        <v>61</v>
      </c>
      <c r="B8866" t="s">
        <v>62</v>
      </c>
      <c r="C8866" t="s">
        <v>129</v>
      </c>
      <c r="D8866" t="s">
        <v>130</v>
      </c>
      <c r="E8866">
        <v>1961</v>
      </c>
      <c r="F8866" s="1">
        <v>69</v>
      </c>
      <c r="G8866">
        <v>1960</v>
      </c>
      <c r="H8866">
        <f>AVERAGEIFS(Table1[value],Table1[IndicatorCode],Table1[[#This Row],[IndicatorCode]])</f>
        <v>72.66514008620689</v>
      </c>
      <c r="I8866" cm="1">
        <f t="array" ref="I8866">_xlfn.STDEV.P(IF(Table1[IndicatorCode]=Table1[[#This Row],[IndicatorCode]],Table1[value]))</f>
        <v>6.3409496564024987</v>
      </c>
      <c r="J8866">
        <f>(Table1[[#This Row],[value]] - Table1[[#This Row],[mean]]) / Table1[[#This Row],[std_dev]]</f>
        <v>-0.57801122620586864</v>
      </c>
      <c r="K8866">
        <f>AVERAGEIF(Table1[CountryCode],Table1[[#This Row],[CountryCode]],Table1[z-score])</f>
        <v>-0.27867415315004246</v>
      </c>
      <c r="L8866" t="e">
        <f>VLOOKUP(Table1[[#This Row],[CountryCode]],[1]!Table1[#All],1,FALSE)</f>
        <v>#REF!</v>
      </c>
    </row>
    <row r="8867" spans="1:12" hidden="1" x14ac:dyDescent="0.3">
      <c r="A8867" t="s">
        <v>61</v>
      </c>
      <c r="B8867" t="s">
        <v>62</v>
      </c>
      <c r="C8867" t="s">
        <v>129</v>
      </c>
      <c r="D8867" t="s">
        <v>130</v>
      </c>
      <c r="E8867">
        <v>1962</v>
      </c>
      <c r="F8867" s="1">
        <v>68</v>
      </c>
      <c r="G8867">
        <v>1960</v>
      </c>
      <c r="H8867">
        <f>AVERAGEIFS(Table1[value],Table1[IndicatorCode],Table1[[#This Row],[IndicatorCode]])</f>
        <v>72.66514008620689</v>
      </c>
      <c r="I8867" cm="1">
        <f t="array" ref="I8867">_xlfn.STDEV.P(IF(Table1[IndicatorCode]=Table1[[#This Row],[IndicatorCode]],Table1[value]))</f>
        <v>6.3409496564024987</v>
      </c>
      <c r="J8867">
        <f>(Table1[[#This Row],[value]] - Table1[[#This Row],[mean]]) / Table1[[#This Row],[std_dev]]</f>
        <v>-0.73571631048930775</v>
      </c>
      <c r="K8867">
        <f>AVERAGEIF(Table1[CountryCode],Table1[[#This Row],[CountryCode]],Table1[z-score])</f>
        <v>-0.27867415315004246</v>
      </c>
      <c r="L8867" t="e">
        <f>VLOOKUP(Table1[[#This Row],[CountryCode]],[1]!Table1[#All],1,FALSE)</f>
        <v>#REF!</v>
      </c>
    </row>
    <row r="8868" spans="1:12" hidden="1" x14ac:dyDescent="0.3">
      <c r="A8868" t="s">
        <v>61</v>
      </c>
      <c r="B8868" t="s">
        <v>62</v>
      </c>
      <c r="C8868" t="s">
        <v>129</v>
      </c>
      <c r="D8868" t="s">
        <v>130</v>
      </c>
      <c r="E8868">
        <v>1963</v>
      </c>
      <c r="F8868" s="1">
        <v>69</v>
      </c>
      <c r="G8868">
        <v>1960</v>
      </c>
      <c r="H8868">
        <f>AVERAGEIFS(Table1[value],Table1[IndicatorCode],Table1[[#This Row],[IndicatorCode]])</f>
        <v>72.66514008620689</v>
      </c>
      <c r="I8868" cm="1">
        <f t="array" ref="I8868">_xlfn.STDEV.P(IF(Table1[IndicatorCode]=Table1[[#This Row],[IndicatorCode]],Table1[value]))</f>
        <v>6.3409496564024987</v>
      </c>
      <c r="J8868">
        <f>(Table1[[#This Row],[value]] - Table1[[#This Row],[mean]]) / Table1[[#This Row],[std_dev]]</f>
        <v>-0.57801122620586864</v>
      </c>
      <c r="K8868">
        <f>AVERAGEIF(Table1[CountryCode],Table1[[#This Row],[CountryCode]],Table1[z-score])</f>
        <v>-0.27867415315004246</v>
      </c>
      <c r="L8868" t="e">
        <f>VLOOKUP(Table1[[#This Row],[CountryCode]],[1]!Table1[#All],1,FALSE)</f>
        <v>#REF!</v>
      </c>
    </row>
    <row r="8869" spans="1:12" hidden="1" x14ac:dyDescent="0.3">
      <c r="A8869" t="s">
        <v>61</v>
      </c>
      <c r="B8869" t="s">
        <v>62</v>
      </c>
      <c r="C8869" t="s">
        <v>129</v>
      </c>
      <c r="D8869" t="s">
        <v>130</v>
      </c>
      <c r="E8869">
        <v>1964</v>
      </c>
      <c r="F8869" s="1">
        <v>69</v>
      </c>
      <c r="G8869">
        <v>1960</v>
      </c>
      <c r="H8869">
        <f>AVERAGEIFS(Table1[value],Table1[IndicatorCode],Table1[[#This Row],[IndicatorCode]])</f>
        <v>72.66514008620689</v>
      </c>
      <c r="I8869" cm="1">
        <f t="array" ref="I8869">_xlfn.STDEV.P(IF(Table1[IndicatorCode]=Table1[[#This Row],[IndicatorCode]],Table1[value]))</f>
        <v>6.3409496564024987</v>
      </c>
      <c r="J8869">
        <f>(Table1[[#This Row],[value]] - Table1[[#This Row],[mean]]) / Table1[[#This Row],[std_dev]]</f>
        <v>-0.57801122620586864</v>
      </c>
      <c r="K8869">
        <f>AVERAGEIF(Table1[CountryCode],Table1[[#This Row],[CountryCode]],Table1[z-score])</f>
        <v>-0.27867415315004246</v>
      </c>
      <c r="L8869" t="e">
        <f>VLOOKUP(Table1[[#This Row],[CountryCode]],[1]!Table1[#All],1,FALSE)</f>
        <v>#REF!</v>
      </c>
    </row>
    <row r="8870" spans="1:12" hidden="1" x14ac:dyDescent="0.3">
      <c r="A8870" t="s">
        <v>61</v>
      </c>
      <c r="B8870" t="s">
        <v>62</v>
      </c>
      <c r="C8870" t="s">
        <v>129</v>
      </c>
      <c r="D8870" t="s">
        <v>130</v>
      </c>
      <c r="E8870">
        <v>1965</v>
      </c>
      <c r="F8870" s="1">
        <v>69</v>
      </c>
      <c r="G8870">
        <v>1960</v>
      </c>
      <c r="H8870">
        <f>AVERAGEIFS(Table1[value],Table1[IndicatorCode],Table1[[#This Row],[IndicatorCode]])</f>
        <v>72.66514008620689</v>
      </c>
      <c r="I8870" cm="1">
        <f t="array" ref="I8870">_xlfn.STDEV.P(IF(Table1[IndicatorCode]=Table1[[#This Row],[IndicatorCode]],Table1[value]))</f>
        <v>6.3409496564024987</v>
      </c>
      <c r="J8870">
        <f>(Table1[[#This Row],[value]] - Table1[[#This Row],[mean]]) / Table1[[#This Row],[std_dev]]</f>
        <v>-0.57801122620586864</v>
      </c>
      <c r="K8870">
        <f>AVERAGEIF(Table1[CountryCode],Table1[[#This Row],[CountryCode]],Table1[z-score])</f>
        <v>-0.27867415315004246</v>
      </c>
      <c r="L8870" t="e">
        <f>VLOOKUP(Table1[[#This Row],[CountryCode]],[1]!Table1[#All],1,FALSE)</f>
        <v>#REF!</v>
      </c>
    </row>
    <row r="8871" spans="1:12" hidden="1" x14ac:dyDescent="0.3">
      <c r="A8871" t="s">
        <v>61</v>
      </c>
      <c r="B8871" t="s">
        <v>62</v>
      </c>
      <c r="C8871" t="s">
        <v>129</v>
      </c>
      <c r="D8871" t="s">
        <v>130</v>
      </c>
      <c r="E8871">
        <v>1966</v>
      </c>
      <c r="F8871" s="1">
        <v>70</v>
      </c>
      <c r="G8871">
        <v>1960</v>
      </c>
      <c r="H8871">
        <f>AVERAGEIFS(Table1[value],Table1[IndicatorCode],Table1[[#This Row],[IndicatorCode]])</f>
        <v>72.66514008620689</v>
      </c>
      <c r="I8871" cm="1">
        <f t="array" ref="I8871">_xlfn.STDEV.P(IF(Table1[IndicatorCode]=Table1[[#This Row],[IndicatorCode]],Table1[value]))</f>
        <v>6.3409496564024987</v>
      </c>
      <c r="J8871">
        <f>(Table1[[#This Row],[value]] - Table1[[#This Row],[mean]]) / Table1[[#This Row],[std_dev]]</f>
        <v>-0.4203061419224296</v>
      </c>
      <c r="K8871">
        <f>AVERAGEIF(Table1[CountryCode],Table1[[#This Row],[CountryCode]],Table1[z-score])</f>
        <v>-0.27867415315004246</v>
      </c>
      <c r="L8871" t="e">
        <f>VLOOKUP(Table1[[#This Row],[CountryCode]],[1]!Table1[#All],1,FALSE)</f>
        <v>#REF!</v>
      </c>
    </row>
    <row r="8872" spans="1:12" hidden="1" x14ac:dyDescent="0.3">
      <c r="A8872" t="s">
        <v>61</v>
      </c>
      <c r="B8872" t="s">
        <v>62</v>
      </c>
      <c r="C8872" t="s">
        <v>129</v>
      </c>
      <c r="D8872" t="s">
        <v>130</v>
      </c>
      <c r="E8872">
        <v>1967</v>
      </c>
      <c r="F8872" s="1">
        <v>69</v>
      </c>
      <c r="G8872">
        <v>1970</v>
      </c>
      <c r="H8872">
        <f>AVERAGEIFS(Table1[value],Table1[IndicatorCode],Table1[[#This Row],[IndicatorCode]])</f>
        <v>72.66514008620689</v>
      </c>
      <c r="I8872" cm="1">
        <f t="array" ref="I8872">_xlfn.STDEV.P(IF(Table1[IndicatorCode]=Table1[[#This Row],[IndicatorCode]],Table1[value]))</f>
        <v>6.3409496564024987</v>
      </c>
      <c r="J8872">
        <f>(Table1[[#This Row],[value]] - Table1[[#This Row],[mean]]) / Table1[[#This Row],[std_dev]]</f>
        <v>-0.57801122620586864</v>
      </c>
      <c r="K8872">
        <f>AVERAGEIF(Table1[CountryCode],Table1[[#This Row],[CountryCode]],Table1[z-score])</f>
        <v>-0.27867415315004246</v>
      </c>
      <c r="L8872" t="e">
        <f>VLOOKUP(Table1[[#This Row],[CountryCode]],[1]!Table1[#All],1,FALSE)</f>
        <v>#REF!</v>
      </c>
    </row>
    <row r="8873" spans="1:12" hidden="1" x14ac:dyDescent="0.3">
      <c r="A8873" t="s">
        <v>61</v>
      </c>
      <c r="B8873" t="s">
        <v>62</v>
      </c>
      <c r="C8873" t="s">
        <v>129</v>
      </c>
      <c r="D8873" t="s">
        <v>130</v>
      </c>
      <c r="E8873">
        <v>1968</v>
      </c>
      <c r="F8873" s="1">
        <v>69</v>
      </c>
      <c r="G8873">
        <v>1970</v>
      </c>
      <c r="H8873">
        <f>AVERAGEIFS(Table1[value],Table1[IndicatorCode],Table1[[#This Row],[IndicatorCode]])</f>
        <v>72.66514008620689</v>
      </c>
      <c r="I8873" cm="1">
        <f t="array" ref="I8873">_xlfn.STDEV.P(IF(Table1[IndicatorCode]=Table1[[#This Row],[IndicatorCode]],Table1[value]))</f>
        <v>6.3409496564024987</v>
      </c>
      <c r="J8873">
        <f>(Table1[[#This Row],[value]] - Table1[[#This Row],[mean]]) / Table1[[#This Row],[std_dev]]</f>
        <v>-0.57801122620586864</v>
      </c>
      <c r="K8873">
        <f>AVERAGEIF(Table1[CountryCode],Table1[[#This Row],[CountryCode]],Table1[z-score])</f>
        <v>-0.27867415315004246</v>
      </c>
      <c r="L8873" t="e">
        <f>VLOOKUP(Table1[[#This Row],[CountryCode]],[1]!Table1[#All],1,FALSE)</f>
        <v>#REF!</v>
      </c>
    </row>
    <row r="8874" spans="1:12" hidden="1" x14ac:dyDescent="0.3">
      <c r="A8874" t="s">
        <v>61</v>
      </c>
      <c r="B8874" t="s">
        <v>62</v>
      </c>
      <c r="C8874" t="s">
        <v>129</v>
      </c>
      <c r="D8874" t="s">
        <v>130</v>
      </c>
      <c r="E8874">
        <v>1969</v>
      </c>
      <c r="F8874" s="1">
        <v>69</v>
      </c>
      <c r="G8874">
        <v>1970</v>
      </c>
      <c r="H8874">
        <f>AVERAGEIFS(Table1[value],Table1[IndicatorCode],Table1[[#This Row],[IndicatorCode]])</f>
        <v>72.66514008620689</v>
      </c>
      <c r="I8874" cm="1">
        <f t="array" ref="I8874">_xlfn.STDEV.P(IF(Table1[IndicatorCode]=Table1[[#This Row],[IndicatorCode]],Table1[value]))</f>
        <v>6.3409496564024987</v>
      </c>
      <c r="J8874">
        <f>(Table1[[#This Row],[value]] - Table1[[#This Row],[mean]]) / Table1[[#This Row],[std_dev]]</f>
        <v>-0.57801122620586864</v>
      </c>
      <c r="K8874">
        <f>AVERAGEIF(Table1[CountryCode],Table1[[#This Row],[CountryCode]],Table1[z-score])</f>
        <v>-0.27867415315004246</v>
      </c>
      <c r="L8874" t="e">
        <f>VLOOKUP(Table1[[#This Row],[CountryCode]],[1]!Table1[#All],1,FALSE)</f>
        <v>#REF!</v>
      </c>
    </row>
    <row r="8875" spans="1:12" hidden="1" x14ac:dyDescent="0.3">
      <c r="A8875" t="s">
        <v>61</v>
      </c>
      <c r="B8875" t="s">
        <v>62</v>
      </c>
      <c r="C8875" t="s">
        <v>129</v>
      </c>
      <c r="D8875" t="s">
        <v>130</v>
      </c>
      <c r="E8875">
        <v>1970</v>
      </c>
      <c r="F8875" s="1">
        <v>69</v>
      </c>
      <c r="G8875">
        <v>1970</v>
      </c>
      <c r="H8875">
        <f>AVERAGEIFS(Table1[value],Table1[IndicatorCode],Table1[[#This Row],[IndicatorCode]])</f>
        <v>72.66514008620689</v>
      </c>
      <c r="I8875" cm="1">
        <f t="array" ref="I8875">_xlfn.STDEV.P(IF(Table1[IndicatorCode]=Table1[[#This Row],[IndicatorCode]],Table1[value]))</f>
        <v>6.3409496564024987</v>
      </c>
      <c r="J8875">
        <f>(Table1[[#This Row],[value]] - Table1[[#This Row],[mean]]) / Table1[[#This Row],[std_dev]]</f>
        <v>-0.57801122620586864</v>
      </c>
      <c r="K8875">
        <f>AVERAGEIF(Table1[CountryCode],Table1[[#This Row],[CountryCode]],Table1[z-score])</f>
        <v>-0.27867415315004246</v>
      </c>
      <c r="L8875" t="e">
        <f>VLOOKUP(Table1[[#This Row],[CountryCode]],[1]!Table1[#All],1,FALSE)</f>
        <v>#REF!</v>
      </c>
    </row>
    <row r="8876" spans="1:12" hidden="1" x14ac:dyDescent="0.3">
      <c r="A8876" t="s">
        <v>61</v>
      </c>
      <c r="B8876" t="s">
        <v>62</v>
      </c>
      <c r="C8876" t="s">
        <v>129</v>
      </c>
      <c r="D8876" t="s">
        <v>130</v>
      </c>
      <c r="E8876">
        <v>1971</v>
      </c>
      <c r="F8876" s="1">
        <v>69</v>
      </c>
      <c r="G8876">
        <v>1970</v>
      </c>
      <c r="H8876">
        <f>AVERAGEIFS(Table1[value],Table1[IndicatorCode],Table1[[#This Row],[IndicatorCode]])</f>
        <v>72.66514008620689</v>
      </c>
      <c r="I8876" cm="1">
        <f t="array" ref="I8876">_xlfn.STDEV.P(IF(Table1[IndicatorCode]=Table1[[#This Row],[IndicatorCode]],Table1[value]))</f>
        <v>6.3409496564024987</v>
      </c>
      <c r="J8876">
        <f>(Table1[[#This Row],[value]] - Table1[[#This Row],[mean]]) / Table1[[#This Row],[std_dev]]</f>
        <v>-0.57801122620586864</v>
      </c>
      <c r="K8876">
        <f>AVERAGEIF(Table1[CountryCode],Table1[[#This Row],[CountryCode]],Table1[z-score])</f>
        <v>-0.27867415315004246</v>
      </c>
      <c r="L8876" t="e">
        <f>VLOOKUP(Table1[[#This Row],[CountryCode]],[1]!Table1[#All],1,FALSE)</f>
        <v>#REF!</v>
      </c>
    </row>
    <row r="8877" spans="1:12" hidden="1" x14ac:dyDescent="0.3">
      <c r="A8877" t="s">
        <v>61</v>
      </c>
      <c r="B8877" t="s">
        <v>62</v>
      </c>
      <c r="C8877" t="s">
        <v>129</v>
      </c>
      <c r="D8877" t="s">
        <v>130</v>
      </c>
      <c r="E8877">
        <v>1972</v>
      </c>
      <c r="F8877" s="1">
        <v>70</v>
      </c>
      <c r="G8877">
        <v>1970</v>
      </c>
      <c r="H8877">
        <f>AVERAGEIFS(Table1[value],Table1[IndicatorCode],Table1[[#This Row],[IndicatorCode]])</f>
        <v>72.66514008620689</v>
      </c>
      <c r="I8877" cm="1">
        <f t="array" ref="I8877">_xlfn.STDEV.P(IF(Table1[IndicatorCode]=Table1[[#This Row],[IndicatorCode]],Table1[value]))</f>
        <v>6.3409496564024987</v>
      </c>
      <c r="J8877">
        <f>(Table1[[#This Row],[value]] - Table1[[#This Row],[mean]]) / Table1[[#This Row],[std_dev]]</f>
        <v>-0.4203061419224296</v>
      </c>
      <c r="K8877">
        <f>AVERAGEIF(Table1[CountryCode],Table1[[#This Row],[CountryCode]],Table1[z-score])</f>
        <v>-0.27867415315004246</v>
      </c>
      <c r="L8877" t="e">
        <f>VLOOKUP(Table1[[#This Row],[CountryCode]],[1]!Table1[#All],1,FALSE)</f>
        <v>#REF!</v>
      </c>
    </row>
    <row r="8878" spans="1:12" hidden="1" x14ac:dyDescent="0.3">
      <c r="A8878" t="s">
        <v>61</v>
      </c>
      <c r="B8878" t="s">
        <v>62</v>
      </c>
      <c r="C8878" t="s">
        <v>129</v>
      </c>
      <c r="D8878" t="s">
        <v>130</v>
      </c>
      <c r="E8878">
        <v>1973</v>
      </c>
      <c r="F8878" s="1">
        <v>70</v>
      </c>
      <c r="G8878">
        <v>1970</v>
      </c>
      <c r="H8878">
        <f>AVERAGEIFS(Table1[value],Table1[IndicatorCode],Table1[[#This Row],[IndicatorCode]])</f>
        <v>72.66514008620689</v>
      </c>
      <c r="I8878" cm="1">
        <f t="array" ref="I8878">_xlfn.STDEV.P(IF(Table1[IndicatorCode]=Table1[[#This Row],[IndicatorCode]],Table1[value]))</f>
        <v>6.3409496564024987</v>
      </c>
      <c r="J8878">
        <f>(Table1[[#This Row],[value]] - Table1[[#This Row],[mean]]) / Table1[[#This Row],[std_dev]]</f>
        <v>-0.4203061419224296</v>
      </c>
      <c r="K8878">
        <f>AVERAGEIF(Table1[CountryCode],Table1[[#This Row],[CountryCode]],Table1[z-score])</f>
        <v>-0.27867415315004246</v>
      </c>
      <c r="L8878" t="e">
        <f>VLOOKUP(Table1[[#This Row],[CountryCode]],[1]!Table1[#All],1,FALSE)</f>
        <v>#REF!</v>
      </c>
    </row>
    <row r="8879" spans="1:12" hidden="1" x14ac:dyDescent="0.3">
      <c r="A8879" t="s">
        <v>61</v>
      </c>
      <c r="B8879" t="s">
        <v>62</v>
      </c>
      <c r="C8879" t="s">
        <v>129</v>
      </c>
      <c r="D8879" t="s">
        <v>130</v>
      </c>
      <c r="E8879">
        <v>1974</v>
      </c>
      <c r="F8879" s="1">
        <v>69</v>
      </c>
      <c r="G8879">
        <v>1970</v>
      </c>
      <c r="H8879">
        <f>AVERAGEIFS(Table1[value],Table1[IndicatorCode],Table1[[#This Row],[IndicatorCode]])</f>
        <v>72.66514008620689</v>
      </c>
      <c r="I8879" cm="1">
        <f t="array" ref="I8879">_xlfn.STDEV.P(IF(Table1[IndicatorCode]=Table1[[#This Row],[IndicatorCode]],Table1[value]))</f>
        <v>6.3409496564024987</v>
      </c>
      <c r="J8879">
        <f>(Table1[[#This Row],[value]] - Table1[[#This Row],[mean]]) / Table1[[#This Row],[std_dev]]</f>
        <v>-0.57801122620586864</v>
      </c>
      <c r="K8879">
        <f>AVERAGEIF(Table1[CountryCode],Table1[[#This Row],[CountryCode]],Table1[z-score])</f>
        <v>-0.27867415315004246</v>
      </c>
      <c r="L8879" t="e">
        <f>VLOOKUP(Table1[[#This Row],[CountryCode]],[1]!Table1[#All],1,FALSE)</f>
        <v>#REF!</v>
      </c>
    </row>
    <row r="8880" spans="1:12" hidden="1" x14ac:dyDescent="0.3">
      <c r="A8880" t="s">
        <v>61</v>
      </c>
      <c r="B8880" t="s">
        <v>62</v>
      </c>
      <c r="C8880" t="s">
        <v>129</v>
      </c>
      <c r="D8880" t="s">
        <v>130</v>
      </c>
      <c r="E8880">
        <v>1975</v>
      </c>
      <c r="F8880" s="1">
        <v>69</v>
      </c>
      <c r="G8880">
        <v>1970</v>
      </c>
      <c r="H8880">
        <f>AVERAGEIFS(Table1[value],Table1[IndicatorCode],Table1[[#This Row],[IndicatorCode]])</f>
        <v>72.66514008620689</v>
      </c>
      <c r="I8880" cm="1">
        <f t="array" ref="I8880">_xlfn.STDEV.P(IF(Table1[IndicatorCode]=Table1[[#This Row],[IndicatorCode]],Table1[value]))</f>
        <v>6.3409496564024987</v>
      </c>
      <c r="J8880">
        <f>(Table1[[#This Row],[value]] - Table1[[#This Row],[mean]]) / Table1[[#This Row],[std_dev]]</f>
        <v>-0.57801122620586864</v>
      </c>
      <c r="K8880">
        <f>AVERAGEIF(Table1[CountryCode],Table1[[#This Row],[CountryCode]],Table1[z-score])</f>
        <v>-0.27867415315004246</v>
      </c>
      <c r="L8880" t="e">
        <f>VLOOKUP(Table1[[#This Row],[CountryCode]],[1]!Table1[#All],1,FALSE)</f>
        <v>#REF!</v>
      </c>
    </row>
    <row r="8881" spans="1:12" hidden="1" x14ac:dyDescent="0.3">
      <c r="A8881" t="s">
        <v>61</v>
      </c>
      <c r="B8881" t="s">
        <v>62</v>
      </c>
      <c r="C8881" t="s">
        <v>129</v>
      </c>
      <c r="D8881" t="s">
        <v>130</v>
      </c>
      <c r="E8881">
        <v>1976</v>
      </c>
      <c r="F8881" s="1">
        <v>70</v>
      </c>
      <c r="G8881">
        <v>1970</v>
      </c>
      <c r="H8881">
        <f>AVERAGEIFS(Table1[value],Table1[IndicatorCode],Table1[[#This Row],[IndicatorCode]])</f>
        <v>72.66514008620689</v>
      </c>
      <c r="I8881" cm="1">
        <f t="array" ref="I8881">_xlfn.STDEV.P(IF(Table1[IndicatorCode]=Table1[[#This Row],[IndicatorCode]],Table1[value]))</f>
        <v>6.3409496564024987</v>
      </c>
      <c r="J8881">
        <f>(Table1[[#This Row],[value]] - Table1[[#This Row],[mean]]) / Table1[[#This Row],[std_dev]]</f>
        <v>-0.4203061419224296</v>
      </c>
      <c r="K8881">
        <f>AVERAGEIF(Table1[CountryCode],Table1[[#This Row],[CountryCode]],Table1[z-score])</f>
        <v>-0.27867415315004246</v>
      </c>
      <c r="L8881" t="e">
        <f>VLOOKUP(Table1[[#This Row],[CountryCode]],[1]!Table1[#All],1,FALSE)</f>
        <v>#REF!</v>
      </c>
    </row>
    <row r="8882" spans="1:12" hidden="1" x14ac:dyDescent="0.3">
      <c r="A8882" t="s">
        <v>61</v>
      </c>
      <c r="B8882" t="s">
        <v>62</v>
      </c>
      <c r="C8882" t="s">
        <v>129</v>
      </c>
      <c r="D8882" t="s">
        <v>130</v>
      </c>
      <c r="E8882">
        <v>1977</v>
      </c>
      <c r="F8882" s="1">
        <v>70</v>
      </c>
      <c r="G8882">
        <v>1980</v>
      </c>
      <c r="H8882">
        <f>AVERAGEIFS(Table1[value],Table1[IndicatorCode],Table1[[#This Row],[IndicatorCode]])</f>
        <v>72.66514008620689</v>
      </c>
      <c r="I8882" cm="1">
        <f t="array" ref="I8882">_xlfn.STDEV.P(IF(Table1[IndicatorCode]=Table1[[#This Row],[IndicatorCode]],Table1[value]))</f>
        <v>6.3409496564024987</v>
      </c>
      <c r="J8882">
        <f>(Table1[[#This Row],[value]] - Table1[[#This Row],[mean]]) / Table1[[#This Row],[std_dev]]</f>
        <v>-0.4203061419224296</v>
      </c>
      <c r="K8882">
        <f>AVERAGEIF(Table1[CountryCode],Table1[[#This Row],[CountryCode]],Table1[z-score])</f>
        <v>-0.27867415315004246</v>
      </c>
      <c r="L8882" t="e">
        <f>VLOOKUP(Table1[[#This Row],[CountryCode]],[1]!Table1[#All],1,FALSE)</f>
        <v>#REF!</v>
      </c>
    </row>
    <row r="8883" spans="1:12" hidden="1" x14ac:dyDescent="0.3">
      <c r="A8883" t="s">
        <v>61</v>
      </c>
      <c r="B8883" t="s">
        <v>62</v>
      </c>
      <c r="C8883" t="s">
        <v>129</v>
      </c>
      <c r="D8883" t="s">
        <v>130</v>
      </c>
      <c r="E8883">
        <v>1978</v>
      </c>
      <c r="F8883" s="1">
        <v>69</v>
      </c>
      <c r="G8883">
        <v>1980</v>
      </c>
      <c r="H8883">
        <f>AVERAGEIFS(Table1[value],Table1[IndicatorCode],Table1[[#This Row],[IndicatorCode]])</f>
        <v>72.66514008620689</v>
      </c>
      <c r="I8883" cm="1">
        <f t="array" ref="I8883">_xlfn.STDEV.P(IF(Table1[IndicatorCode]=Table1[[#This Row],[IndicatorCode]],Table1[value]))</f>
        <v>6.3409496564024987</v>
      </c>
      <c r="J8883">
        <f>(Table1[[#This Row],[value]] - Table1[[#This Row],[mean]]) / Table1[[#This Row],[std_dev]]</f>
        <v>-0.57801122620586864</v>
      </c>
      <c r="K8883">
        <f>AVERAGEIF(Table1[CountryCode],Table1[[#This Row],[CountryCode]],Table1[z-score])</f>
        <v>-0.27867415315004246</v>
      </c>
      <c r="L8883" t="e">
        <f>VLOOKUP(Table1[[#This Row],[CountryCode]],[1]!Table1[#All],1,FALSE)</f>
        <v>#REF!</v>
      </c>
    </row>
    <row r="8884" spans="1:12" hidden="1" x14ac:dyDescent="0.3">
      <c r="A8884" t="s">
        <v>61</v>
      </c>
      <c r="B8884" t="s">
        <v>62</v>
      </c>
      <c r="C8884" t="s">
        <v>129</v>
      </c>
      <c r="D8884" t="s">
        <v>130</v>
      </c>
      <c r="E8884">
        <v>1979</v>
      </c>
      <c r="F8884" s="1">
        <v>70</v>
      </c>
      <c r="G8884">
        <v>1980</v>
      </c>
      <c r="H8884">
        <f>AVERAGEIFS(Table1[value],Table1[IndicatorCode],Table1[[#This Row],[IndicatorCode]])</f>
        <v>72.66514008620689</v>
      </c>
      <c r="I8884" cm="1">
        <f t="array" ref="I8884">_xlfn.STDEV.P(IF(Table1[IndicatorCode]=Table1[[#This Row],[IndicatorCode]],Table1[value]))</f>
        <v>6.3409496564024987</v>
      </c>
      <c r="J8884">
        <f>(Table1[[#This Row],[value]] - Table1[[#This Row],[mean]]) / Table1[[#This Row],[std_dev]]</f>
        <v>-0.4203061419224296</v>
      </c>
      <c r="K8884">
        <f>AVERAGEIF(Table1[CountryCode],Table1[[#This Row],[CountryCode]],Table1[z-score])</f>
        <v>-0.27867415315004246</v>
      </c>
      <c r="L8884" t="e">
        <f>VLOOKUP(Table1[[#This Row],[CountryCode]],[1]!Table1[#All],1,FALSE)</f>
        <v>#REF!</v>
      </c>
    </row>
    <row r="8885" spans="1:12" hidden="1" x14ac:dyDescent="0.3">
      <c r="A8885" t="s">
        <v>61</v>
      </c>
      <c r="B8885" t="s">
        <v>62</v>
      </c>
      <c r="C8885" t="s">
        <v>129</v>
      </c>
      <c r="D8885" t="s">
        <v>130</v>
      </c>
      <c r="E8885">
        <v>1980</v>
      </c>
      <c r="F8885" s="1">
        <v>69</v>
      </c>
      <c r="G8885">
        <v>1980</v>
      </c>
      <c r="H8885">
        <f>AVERAGEIFS(Table1[value],Table1[IndicatorCode],Table1[[#This Row],[IndicatorCode]])</f>
        <v>72.66514008620689</v>
      </c>
      <c r="I8885" cm="1">
        <f t="array" ref="I8885">_xlfn.STDEV.P(IF(Table1[IndicatorCode]=Table1[[#This Row],[IndicatorCode]],Table1[value]))</f>
        <v>6.3409496564024987</v>
      </c>
      <c r="J8885">
        <f>(Table1[[#This Row],[value]] - Table1[[#This Row],[mean]]) / Table1[[#This Row],[std_dev]]</f>
        <v>-0.57801122620586864</v>
      </c>
      <c r="K8885">
        <f>AVERAGEIF(Table1[CountryCode],Table1[[#This Row],[CountryCode]],Table1[z-score])</f>
        <v>-0.27867415315004246</v>
      </c>
      <c r="L8885" t="e">
        <f>VLOOKUP(Table1[[#This Row],[CountryCode]],[1]!Table1[#All],1,FALSE)</f>
        <v>#REF!</v>
      </c>
    </row>
    <row r="8886" spans="1:12" hidden="1" x14ac:dyDescent="0.3">
      <c r="A8886" t="s">
        <v>61</v>
      </c>
      <c r="B8886" t="s">
        <v>62</v>
      </c>
      <c r="C8886" t="s">
        <v>129</v>
      </c>
      <c r="D8886" t="s">
        <v>130</v>
      </c>
      <c r="E8886">
        <v>1981</v>
      </c>
      <c r="F8886" s="1">
        <v>69</v>
      </c>
      <c r="G8886">
        <v>1980</v>
      </c>
      <c r="H8886">
        <f>AVERAGEIFS(Table1[value],Table1[IndicatorCode],Table1[[#This Row],[IndicatorCode]])</f>
        <v>72.66514008620689</v>
      </c>
      <c r="I8886" cm="1">
        <f t="array" ref="I8886">_xlfn.STDEV.P(IF(Table1[IndicatorCode]=Table1[[#This Row],[IndicatorCode]],Table1[value]))</f>
        <v>6.3409496564024987</v>
      </c>
      <c r="J8886">
        <f>(Table1[[#This Row],[value]] - Table1[[#This Row],[mean]]) / Table1[[#This Row],[std_dev]]</f>
        <v>-0.57801122620586864</v>
      </c>
      <c r="K8886">
        <f>AVERAGEIF(Table1[CountryCode],Table1[[#This Row],[CountryCode]],Table1[z-score])</f>
        <v>-0.27867415315004246</v>
      </c>
      <c r="L8886" t="e">
        <f>VLOOKUP(Table1[[#This Row],[CountryCode]],[1]!Table1[#All],1,FALSE)</f>
        <v>#REF!</v>
      </c>
    </row>
    <row r="8887" spans="1:12" hidden="1" x14ac:dyDescent="0.3">
      <c r="A8887" t="s">
        <v>61</v>
      </c>
      <c r="B8887" t="s">
        <v>62</v>
      </c>
      <c r="C8887" t="s">
        <v>129</v>
      </c>
      <c r="D8887" t="s">
        <v>130</v>
      </c>
      <c r="E8887">
        <v>1982</v>
      </c>
      <c r="F8887" s="1">
        <v>69</v>
      </c>
      <c r="G8887">
        <v>1980</v>
      </c>
      <c r="H8887">
        <f>AVERAGEIFS(Table1[value],Table1[IndicatorCode],Table1[[#This Row],[IndicatorCode]])</f>
        <v>72.66514008620689</v>
      </c>
      <c r="I8887" cm="1">
        <f t="array" ref="I8887">_xlfn.STDEV.P(IF(Table1[IndicatorCode]=Table1[[#This Row],[IndicatorCode]],Table1[value]))</f>
        <v>6.3409496564024987</v>
      </c>
      <c r="J8887">
        <f>(Table1[[#This Row],[value]] - Table1[[#This Row],[mean]]) / Table1[[#This Row],[std_dev]]</f>
        <v>-0.57801122620586864</v>
      </c>
      <c r="K8887">
        <f>AVERAGEIF(Table1[CountryCode],Table1[[#This Row],[CountryCode]],Table1[z-score])</f>
        <v>-0.27867415315004246</v>
      </c>
      <c r="L8887" t="e">
        <f>VLOOKUP(Table1[[#This Row],[CountryCode]],[1]!Table1[#All],1,FALSE)</f>
        <v>#REF!</v>
      </c>
    </row>
    <row r="8888" spans="1:12" hidden="1" x14ac:dyDescent="0.3">
      <c r="A8888" t="s">
        <v>61</v>
      </c>
      <c r="B8888" t="s">
        <v>62</v>
      </c>
      <c r="C8888" t="s">
        <v>129</v>
      </c>
      <c r="D8888" t="s">
        <v>130</v>
      </c>
      <c r="E8888">
        <v>1983</v>
      </c>
      <c r="F8888" s="1">
        <v>69</v>
      </c>
      <c r="G8888">
        <v>1980</v>
      </c>
      <c r="H8888">
        <f>AVERAGEIFS(Table1[value],Table1[IndicatorCode],Table1[[#This Row],[IndicatorCode]])</f>
        <v>72.66514008620689</v>
      </c>
      <c r="I8888" cm="1">
        <f t="array" ref="I8888">_xlfn.STDEV.P(IF(Table1[IndicatorCode]=Table1[[#This Row],[IndicatorCode]],Table1[value]))</f>
        <v>6.3409496564024987</v>
      </c>
      <c r="J8888">
        <f>(Table1[[#This Row],[value]] - Table1[[#This Row],[mean]]) / Table1[[#This Row],[std_dev]]</f>
        <v>-0.57801122620586864</v>
      </c>
      <c r="K8888">
        <f>AVERAGEIF(Table1[CountryCode],Table1[[#This Row],[CountryCode]],Table1[z-score])</f>
        <v>-0.27867415315004246</v>
      </c>
      <c r="L8888" t="e">
        <f>VLOOKUP(Table1[[#This Row],[CountryCode]],[1]!Table1[#All],1,FALSE)</f>
        <v>#REF!</v>
      </c>
    </row>
    <row r="8889" spans="1:12" hidden="1" x14ac:dyDescent="0.3">
      <c r="A8889" t="s">
        <v>61</v>
      </c>
      <c r="B8889" t="s">
        <v>62</v>
      </c>
      <c r="C8889" t="s">
        <v>129</v>
      </c>
      <c r="D8889" t="s">
        <v>130</v>
      </c>
      <c r="E8889">
        <v>1984</v>
      </c>
      <c r="F8889" s="1">
        <v>69</v>
      </c>
      <c r="G8889">
        <v>1980</v>
      </c>
      <c r="H8889">
        <f>AVERAGEIFS(Table1[value],Table1[IndicatorCode],Table1[[#This Row],[IndicatorCode]])</f>
        <v>72.66514008620689</v>
      </c>
      <c r="I8889" cm="1">
        <f t="array" ref="I8889">_xlfn.STDEV.P(IF(Table1[IndicatorCode]=Table1[[#This Row],[IndicatorCode]],Table1[value]))</f>
        <v>6.3409496564024987</v>
      </c>
      <c r="J8889">
        <f>(Table1[[#This Row],[value]] - Table1[[#This Row],[mean]]) / Table1[[#This Row],[std_dev]]</f>
        <v>-0.57801122620586864</v>
      </c>
      <c r="K8889">
        <f>AVERAGEIF(Table1[CountryCode],Table1[[#This Row],[CountryCode]],Table1[z-score])</f>
        <v>-0.27867415315004246</v>
      </c>
      <c r="L8889" t="e">
        <f>VLOOKUP(Table1[[#This Row],[CountryCode]],[1]!Table1[#All],1,FALSE)</f>
        <v>#REF!</v>
      </c>
    </row>
    <row r="8890" spans="1:12" hidden="1" x14ac:dyDescent="0.3">
      <c r="A8890" t="s">
        <v>61</v>
      </c>
      <c r="B8890" t="s">
        <v>62</v>
      </c>
      <c r="C8890" t="s">
        <v>129</v>
      </c>
      <c r="D8890" t="s">
        <v>130</v>
      </c>
      <c r="E8890">
        <v>1985</v>
      </c>
      <c r="F8890" s="1">
        <v>69</v>
      </c>
      <c r="G8890">
        <v>1980</v>
      </c>
      <c r="H8890">
        <f>AVERAGEIFS(Table1[value],Table1[IndicatorCode],Table1[[#This Row],[IndicatorCode]])</f>
        <v>72.66514008620689</v>
      </c>
      <c r="I8890" cm="1">
        <f t="array" ref="I8890">_xlfn.STDEV.P(IF(Table1[IndicatorCode]=Table1[[#This Row],[IndicatorCode]],Table1[value]))</f>
        <v>6.3409496564024987</v>
      </c>
      <c r="J8890">
        <f>(Table1[[#This Row],[value]] - Table1[[#This Row],[mean]]) / Table1[[#This Row],[std_dev]]</f>
        <v>-0.57801122620586864</v>
      </c>
      <c r="K8890">
        <f>AVERAGEIF(Table1[CountryCode],Table1[[#This Row],[CountryCode]],Table1[z-score])</f>
        <v>-0.27867415315004246</v>
      </c>
      <c r="L8890" t="e">
        <f>VLOOKUP(Table1[[#This Row],[CountryCode]],[1]!Table1[#All],1,FALSE)</f>
        <v>#REF!</v>
      </c>
    </row>
    <row r="8891" spans="1:12" hidden="1" x14ac:dyDescent="0.3">
      <c r="A8891" t="s">
        <v>61</v>
      </c>
      <c r="B8891" t="s">
        <v>62</v>
      </c>
      <c r="C8891" t="s">
        <v>129</v>
      </c>
      <c r="D8891" t="s">
        <v>130</v>
      </c>
      <c r="E8891">
        <v>1986</v>
      </c>
      <c r="F8891" s="1">
        <v>69</v>
      </c>
      <c r="G8891">
        <v>1980</v>
      </c>
      <c r="H8891">
        <f>AVERAGEIFS(Table1[value],Table1[IndicatorCode],Table1[[#This Row],[IndicatorCode]])</f>
        <v>72.66514008620689</v>
      </c>
      <c r="I8891" cm="1">
        <f t="array" ref="I8891">_xlfn.STDEV.P(IF(Table1[IndicatorCode]=Table1[[#This Row],[IndicatorCode]],Table1[value]))</f>
        <v>6.3409496564024987</v>
      </c>
      <c r="J8891">
        <f>(Table1[[#This Row],[value]] - Table1[[#This Row],[mean]]) / Table1[[#This Row],[std_dev]]</f>
        <v>-0.57801122620586864</v>
      </c>
      <c r="K8891">
        <f>AVERAGEIF(Table1[CountryCode],Table1[[#This Row],[CountryCode]],Table1[z-score])</f>
        <v>-0.27867415315004246</v>
      </c>
      <c r="L8891" t="e">
        <f>VLOOKUP(Table1[[#This Row],[CountryCode]],[1]!Table1[#All],1,FALSE)</f>
        <v>#REF!</v>
      </c>
    </row>
    <row r="8892" spans="1:12" hidden="1" x14ac:dyDescent="0.3">
      <c r="A8892" t="s">
        <v>61</v>
      </c>
      <c r="B8892" t="s">
        <v>62</v>
      </c>
      <c r="C8892" t="s">
        <v>129</v>
      </c>
      <c r="D8892" t="s">
        <v>130</v>
      </c>
      <c r="E8892">
        <v>1987</v>
      </c>
      <c r="F8892" s="1">
        <v>70</v>
      </c>
      <c r="G8892">
        <v>1990</v>
      </c>
      <c r="H8892">
        <f>AVERAGEIFS(Table1[value],Table1[IndicatorCode],Table1[[#This Row],[IndicatorCode]])</f>
        <v>72.66514008620689</v>
      </c>
      <c r="I8892" cm="1">
        <f t="array" ref="I8892">_xlfn.STDEV.P(IF(Table1[IndicatorCode]=Table1[[#This Row],[IndicatorCode]],Table1[value]))</f>
        <v>6.3409496564024987</v>
      </c>
      <c r="J8892">
        <f>(Table1[[#This Row],[value]] - Table1[[#This Row],[mean]]) / Table1[[#This Row],[std_dev]]</f>
        <v>-0.4203061419224296</v>
      </c>
      <c r="K8892">
        <f>AVERAGEIF(Table1[CountryCode],Table1[[#This Row],[CountryCode]],Table1[z-score])</f>
        <v>-0.27867415315004246</v>
      </c>
      <c r="L8892" t="e">
        <f>VLOOKUP(Table1[[#This Row],[CountryCode]],[1]!Table1[#All],1,FALSE)</f>
        <v>#REF!</v>
      </c>
    </row>
    <row r="8893" spans="1:12" hidden="1" x14ac:dyDescent="0.3">
      <c r="A8893" t="s">
        <v>61</v>
      </c>
      <c r="B8893" t="s">
        <v>62</v>
      </c>
      <c r="C8893" t="s">
        <v>129</v>
      </c>
      <c r="D8893" t="s">
        <v>130</v>
      </c>
      <c r="E8893">
        <v>1988</v>
      </c>
      <c r="F8893" s="1">
        <v>70</v>
      </c>
      <c r="G8893">
        <v>1990</v>
      </c>
      <c r="H8893">
        <f>AVERAGEIFS(Table1[value],Table1[IndicatorCode],Table1[[#This Row],[IndicatorCode]])</f>
        <v>72.66514008620689</v>
      </c>
      <c r="I8893" cm="1">
        <f t="array" ref="I8893">_xlfn.STDEV.P(IF(Table1[IndicatorCode]=Table1[[#This Row],[IndicatorCode]],Table1[value]))</f>
        <v>6.3409496564024987</v>
      </c>
      <c r="J8893">
        <f>(Table1[[#This Row],[value]] - Table1[[#This Row],[mean]]) / Table1[[#This Row],[std_dev]]</f>
        <v>-0.4203061419224296</v>
      </c>
      <c r="K8893">
        <f>AVERAGEIF(Table1[CountryCode],Table1[[#This Row],[CountryCode]],Table1[z-score])</f>
        <v>-0.27867415315004246</v>
      </c>
      <c r="L8893" t="e">
        <f>VLOOKUP(Table1[[#This Row],[CountryCode]],[1]!Table1[#All],1,FALSE)</f>
        <v>#REF!</v>
      </c>
    </row>
    <row r="8894" spans="1:12" hidden="1" x14ac:dyDescent="0.3">
      <c r="A8894" t="s">
        <v>61</v>
      </c>
      <c r="B8894" t="s">
        <v>62</v>
      </c>
      <c r="C8894" t="s">
        <v>129</v>
      </c>
      <c r="D8894" t="s">
        <v>130</v>
      </c>
      <c r="E8894">
        <v>1989</v>
      </c>
      <c r="F8894" s="1">
        <v>69</v>
      </c>
      <c r="G8894">
        <v>1990</v>
      </c>
      <c r="H8894">
        <f>AVERAGEIFS(Table1[value],Table1[IndicatorCode],Table1[[#This Row],[IndicatorCode]])</f>
        <v>72.66514008620689</v>
      </c>
      <c r="I8894" cm="1">
        <f t="array" ref="I8894">_xlfn.STDEV.P(IF(Table1[IndicatorCode]=Table1[[#This Row],[IndicatorCode]],Table1[value]))</f>
        <v>6.3409496564024987</v>
      </c>
      <c r="J8894">
        <f>(Table1[[#This Row],[value]] - Table1[[#This Row],[mean]]) / Table1[[#This Row],[std_dev]]</f>
        <v>-0.57801122620586864</v>
      </c>
      <c r="K8894">
        <f>AVERAGEIF(Table1[CountryCode],Table1[[#This Row],[CountryCode]],Table1[z-score])</f>
        <v>-0.27867415315004246</v>
      </c>
      <c r="L8894" t="e">
        <f>VLOOKUP(Table1[[#This Row],[CountryCode]],[1]!Table1[#All],1,FALSE)</f>
        <v>#REF!</v>
      </c>
    </row>
    <row r="8895" spans="1:12" hidden="1" x14ac:dyDescent="0.3">
      <c r="A8895" t="s">
        <v>61</v>
      </c>
      <c r="B8895" t="s">
        <v>62</v>
      </c>
      <c r="C8895" t="s">
        <v>129</v>
      </c>
      <c r="D8895" t="s">
        <v>130</v>
      </c>
      <c r="E8895">
        <v>1990</v>
      </c>
      <c r="F8895" s="1">
        <v>69</v>
      </c>
      <c r="G8895">
        <v>1990</v>
      </c>
      <c r="H8895">
        <f>AVERAGEIFS(Table1[value],Table1[IndicatorCode],Table1[[#This Row],[IndicatorCode]])</f>
        <v>72.66514008620689</v>
      </c>
      <c r="I8895" cm="1">
        <f t="array" ref="I8895">_xlfn.STDEV.P(IF(Table1[IndicatorCode]=Table1[[#This Row],[IndicatorCode]],Table1[value]))</f>
        <v>6.3409496564024987</v>
      </c>
      <c r="J8895">
        <f>(Table1[[#This Row],[value]] - Table1[[#This Row],[mean]]) / Table1[[#This Row],[std_dev]]</f>
        <v>-0.57801122620586864</v>
      </c>
      <c r="K8895">
        <f>AVERAGEIF(Table1[CountryCode],Table1[[#This Row],[CountryCode]],Table1[z-score])</f>
        <v>-0.27867415315004246</v>
      </c>
      <c r="L8895" t="e">
        <f>VLOOKUP(Table1[[#This Row],[CountryCode]],[1]!Table1[#All],1,FALSE)</f>
        <v>#REF!</v>
      </c>
    </row>
    <row r="8896" spans="1:12" hidden="1" x14ac:dyDescent="0.3">
      <c r="A8896" t="s">
        <v>61</v>
      </c>
      <c r="B8896" t="s">
        <v>62</v>
      </c>
      <c r="C8896" t="s">
        <v>129</v>
      </c>
      <c r="D8896" t="s">
        <v>130</v>
      </c>
      <c r="E8896">
        <v>1991</v>
      </c>
      <c r="F8896" s="1">
        <v>69</v>
      </c>
      <c r="G8896">
        <v>1990</v>
      </c>
      <c r="H8896">
        <f>AVERAGEIFS(Table1[value],Table1[IndicatorCode],Table1[[#This Row],[IndicatorCode]])</f>
        <v>72.66514008620689</v>
      </c>
      <c r="I8896" cm="1">
        <f t="array" ref="I8896">_xlfn.STDEV.P(IF(Table1[IndicatorCode]=Table1[[#This Row],[IndicatorCode]],Table1[value]))</f>
        <v>6.3409496564024987</v>
      </c>
      <c r="J8896">
        <f>(Table1[[#This Row],[value]] - Table1[[#This Row],[mean]]) / Table1[[#This Row],[std_dev]]</f>
        <v>-0.57801122620586864</v>
      </c>
      <c r="K8896">
        <f>AVERAGEIF(Table1[CountryCode],Table1[[#This Row],[CountryCode]],Table1[z-score])</f>
        <v>-0.27867415315004246</v>
      </c>
      <c r="L8896" t="e">
        <f>VLOOKUP(Table1[[#This Row],[CountryCode]],[1]!Table1[#All],1,FALSE)</f>
        <v>#REF!</v>
      </c>
    </row>
    <row r="8897" spans="1:12" hidden="1" x14ac:dyDescent="0.3">
      <c r="A8897" t="s">
        <v>61</v>
      </c>
      <c r="B8897" t="s">
        <v>62</v>
      </c>
      <c r="C8897" t="s">
        <v>129</v>
      </c>
      <c r="D8897" t="s">
        <v>130</v>
      </c>
      <c r="E8897">
        <v>1992</v>
      </c>
      <c r="F8897" s="1">
        <v>69</v>
      </c>
      <c r="G8897">
        <v>1990</v>
      </c>
      <c r="H8897">
        <f>AVERAGEIFS(Table1[value],Table1[IndicatorCode],Table1[[#This Row],[IndicatorCode]])</f>
        <v>72.66514008620689</v>
      </c>
      <c r="I8897" cm="1">
        <f t="array" ref="I8897">_xlfn.STDEV.P(IF(Table1[IndicatorCode]=Table1[[#This Row],[IndicatorCode]],Table1[value]))</f>
        <v>6.3409496564024987</v>
      </c>
      <c r="J8897">
        <f>(Table1[[#This Row],[value]] - Table1[[#This Row],[mean]]) / Table1[[#This Row],[std_dev]]</f>
        <v>-0.57801122620586864</v>
      </c>
      <c r="K8897">
        <f>AVERAGEIF(Table1[CountryCode],Table1[[#This Row],[CountryCode]],Table1[z-score])</f>
        <v>-0.27867415315004246</v>
      </c>
      <c r="L8897" t="e">
        <f>VLOOKUP(Table1[[#This Row],[CountryCode]],[1]!Table1[#All],1,FALSE)</f>
        <v>#REF!</v>
      </c>
    </row>
    <row r="8898" spans="1:12" hidden="1" x14ac:dyDescent="0.3">
      <c r="A8898" t="s">
        <v>61</v>
      </c>
      <c r="B8898" t="s">
        <v>62</v>
      </c>
      <c r="C8898" t="s">
        <v>129</v>
      </c>
      <c r="D8898" t="s">
        <v>130</v>
      </c>
      <c r="E8898">
        <v>1993</v>
      </c>
      <c r="F8898" s="1">
        <v>69</v>
      </c>
      <c r="G8898">
        <v>1990</v>
      </c>
      <c r="H8898">
        <f>AVERAGEIFS(Table1[value],Table1[IndicatorCode],Table1[[#This Row],[IndicatorCode]])</f>
        <v>72.66514008620689</v>
      </c>
      <c r="I8898" cm="1">
        <f t="array" ref="I8898">_xlfn.STDEV.P(IF(Table1[IndicatorCode]=Table1[[#This Row],[IndicatorCode]],Table1[value]))</f>
        <v>6.3409496564024987</v>
      </c>
      <c r="J8898">
        <f>(Table1[[#This Row],[value]] - Table1[[#This Row],[mean]]) / Table1[[#This Row],[std_dev]]</f>
        <v>-0.57801122620586864</v>
      </c>
      <c r="K8898">
        <f>AVERAGEIF(Table1[CountryCode],Table1[[#This Row],[CountryCode]],Table1[z-score])</f>
        <v>-0.27867415315004246</v>
      </c>
      <c r="L8898" t="e">
        <f>VLOOKUP(Table1[[#This Row],[CountryCode]],[1]!Table1[#All],1,FALSE)</f>
        <v>#REF!</v>
      </c>
    </row>
    <row r="8899" spans="1:12" hidden="1" x14ac:dyDescent="0.3">
      <c r="A8899" t="s">
        <v>61</v>
      </c>
      <c r="B8899" t="s">
        <v>62</v>
      </c>
      <c r="C8899" t="s">
        <v>129</v>
      </c>
      <c r="D8899" t="s">
        <v>130</v>
      </c>
      <c r="E8899">
        <v>1994</v>
      </c>
      <c r="F8899" s="1">
        <v>69</v>
      </c>
      <c r="G8899">
        <v>1990</v>
      </c>
      <c r="H8899">
        <f>AVERAGEIFS(Table1[value],Table1[IndicatorCode],Table1[[#This Row],[IndicatorCode]])</f>
        <v>72.66514008620689</v>
      </c>
      <c r="I8899" cm="1">
        <f t="array" ref="I8899">_xlfn.STDEV.P(IF(Table1[IndicatorCode]=Table1[[#This Row],[IndicatorCode]],Table1[value]))</f>
        <v>6.3409496564024987</v>
      </c>
      <c r="J8899">
        <f>(Table1[[#This Row],[value]] - Table1[[#This Row],[mean]]) / Table1[[#This Row],[std_dev]]</f>
        <v>-0.57801122620586864</v>
      </c>
      <c r="K8899">
        <f>AVERAGEIF(Table1[CountryCode],Table1[[#This Row],[CountryCode]],Table1[z-score])</f>
        <v>-0.27867415315004246</v>
      </c>
      <c r="L8899" t="e">
        <f>VLOOKUP(Table1[[#This Row],[CountryCode]],[1]!Table1[#All],1,FALSE)</f>
        <v>#REF!</v>
      </c>
    </row>
    <row r="8900" spans="1:12" hidden="1" x14ac:dyDescent="0.3">
      <c r="A8900" t="s">
        <v>61</v>
      </c>
      <c r="B8900" t="s">
        <v>62</v>
      </c>
      <c r="C8900" t="s">
        <v>129</v>
      </c>
      <c r="D8900" t="s">
        <v>130</v>
      </c>
      <c r="E8900">
        <v>1995</v>
      </c>
      <c r="F8900" s="1">
        <v>70</v>
      </c>
      <c r="G8900">
        <v>1990</v>
      </c>
      <c r="H8900">
        <f>AVERAGEIFS(Table1[value],Table1[IndicatorCode],Table1[[#This Row],[IndicatorCode]])</f>
        <v>72.66514008620689</v>
      </c>
      <c r="I8900" cm="1">
        <f t="array" ref="I8900">_xlfn.STDEV.P(IF(Table1[IndicatorCode]=Table1[[#This Row],[IndicatorCode]],Table1[value]))</f>
        <v>6.3409496564024987</v>
      </c>
      <c r="J8900">
        <f>(Table1[[#This Row],[value]] - Table1[[#This Row],[mean]]) / Table1[[#This Row],[std_dev]]</f>
        <v>-0.4203061419224296</v>
      </c>
      <c r="K8900">
        <f>AVERAGEIF(Table1[CountryCode],Table1[[#This Row],[CountryCode]],Table1[z-score])</f>
        <v>-0.27867415315004246</v>
      </c>
      <c r="L8900" t="e">
        <f>VLOOKUP(Table1[[#This Row],[CountryCode]],[1]!Table1[#All],1,FALSE)</f>
        <v>#REF!</v>
      </c>
    </row>
    <row r="8901" spans="1:12" hidden="1" x14ac:dyDescent="0.3">
      <c r="A8901" t="s">
        <v>61</v>
      </c>
      <c r="B8901" t="s">
        <v>62</v>
      </c>
      <c r="C8901" t="s">
        <v>129</v>
      </c>
      <c r="D8901" t="s">
        <v>130</v>
      </c>
      <c r="E8901">
        <v>1996</v>
      </c>
      <c r="F8901" s="1">
        <v>70</v>
      </c>
      <c r="G8901">
        <v>1990</v>
      </c>
      <c r="H8901">
        <f>AVERAGEIFS(Table1[value],Table1[IndicatorCode],Table1[[#This Row],[IndicatorCode]])</f>
        <v>72.66514008620689</v>
      </c>
      <c r="I8901" cm="1">
        <f t="array" ref="I8901">_xlfn.STDEV.P(IF(Table1[IndicatorCode]=Table1[[#This Row],[IndicatorCode]],Table1[value]))</f>
        <v>6.3409496564024987</v>
      </c>
      <c r="J8901">
        <f>(Table1[[#This Row],[value]] - Table1[[#This Row],[mean]]) / Table1[[#This Row],[std_dev]]</f>
        <v>-0.4203061419224296</v>
      </c>
      <c r="K8901">
        <f>AVERAGEIF(Table1[CountryCode],Table1[[#This Row],[CountryCode]],Table1[z-score])</f>
        <v>-0.27867415315004246</v>
      </c>
      <c r="L8901" t="e">
        <f>VLOOKUP(Table1[[#This Row],[CountryCode]],[1]!Table1[#All],1,FALSE)</f>
        <v>#REF!</v>
      </c>
    </row>
    <row r="8902" spans="1:12" hidden="1" x14ac:dyDescent="0.3">
      <c r="A8902" t="s">
        <v>61</v>
      </c>
      <c r="B8902" t="s">
        <v>62</v>
      </c>
      <c r="C8902" t="s">
        <v>129</v>
      </c>
      <c r="D8902" t="s">
        <v>130</v>
      </c>
      <c r="E8902">
        <v>1997</v>
      </c>
      <c r="F8902" s="1">
        <v>71</v>
      </c>
      <c r="G8902">
        <v>2000</v>
      </c>
      <c r="H8902">
        <f>AVERAGEIFS(Table1[value],Table1[IndicatorCode],Table1[[#This Row],[IndicatorCode]])</f>
        <v>72.66514008620689</v>
      </c>
      <c r="I8902" cm="1">
        <f t="array" ref="I8902">_xlfn.STDEV.P(IF(Table1[IndicatorCode]=Table1[[#This Row],[IndicatorCode]],Table1[value]))</f>
        <v>6.3409496564024987</v>
      </c>
      <c r="J8902">
        <f>(Table1[[#This Row],[value]] - Table1[[#This Row],[mean]]) / Table1[[#This Row],[std_dev]]</f>
        <v>-0.2626010576389905</v>
      </c>
      <c r="K8902">
        <f>AVERAGEIF(Table1[CountryCode],Table1[[#This Row],[CountryCode]],Table1[z-score])</f>
        <v>-0.27867415315004246</v>
      </c>
      <c r="L8902" t="e">
        <f>VLOOKUP(Table1[[#This Row],[CountryCode]],[1]!Table1[#All],1,FALSE)</f>
        <v>#REF!</v>
      </c>
    </row>
    <row r="8903" spans="1:12" hidden="1" x14ac:dyDescent="0.3">
      <c r="A8903" t="s">
        <v>61</v>
      </c>
      <c r="B8903" t="s">
        <v>62</v>
      </c>
      <c r="C8903" t="s">
        <v>129</v>
      </c>
      <c r="D8903" t="s">
        <v>130</v>
      </c>
      <c r="E8903">
        <v>1998</v>
      </c>
      <c r="F8903" s="1">
        <v>71</v>
      </c>
      <c r="G8903">
        <v>2000</v>
      </c>
      <c r="H8903">
        <f>AVERAGEIFS(Table1[value],Table1[IndicatorCode],Table1[[#This Row],[IndicatorCode]])</f>
        <v>72.66514008620689</v>
      </c>
      <c r="I8903" cm="1">
        <f t="array" ref="I8903">_xlfn.STDEV.P(IF(Table1[IndicatorCode]=Table1[[#This Row],[IndicatorCode]],Table1[value]))</f>
        <v>6.3409496564024987</v>
      </c>
      <c r="J8903">
        <f>(Table1[[#This Row],[value]] - Table1[[#This Row],[mean]]) / Table1[[#This Row],[std_dev]]</f>
        <v>-0.2626010576389905</v>
      </c>
      <c r="K8903">
        <f>AVERAGEIF(Table1[CountryCode],Table1[[#This Row],[CountryCode]],Table1[z-score])</f>
        <v>-0.27867415315004246</v>
      </c>
      <c r="L8903" t="e">
        <f>VLOOKUP(Table1[[#This Row],[CountryCode]],[1]!Table1[#All],1,FALSE)</f>
        <v>#REF!</v>
      </c>
    </row>
    <row r="8904" spans="1:12" hidden="1" x14ac:dyDescent="0.3">
      <c r="A8904" t="s">
        <v>61</v>
      </c>
      <c r="B8904" t="s">
        <v>62</v>
      </c>
      <c r="C8904" t="s">
        <v>129</v>
      </c>
      <c r="D8904" t="s">
        <v>130</v>
      </c>
      <c r="E8904">
        <v>1999</v>
      </c>
      <c r="F8904" s="1">
        <v>71</v>
      </c>
      <c r="G8904">
        <v>2000</v>
      </c>
      <c r="H8904">
        <f>AVERAGEIFS(Table1[value],Table1[IndicatorCode],Table1[[#This Row],[IndicatorCode]])</f>
        <v>72.66514008620689</v>
      </c>
      <c r="I8904" cm="1">
        <f t="array" ref="I8904">_xlfn.STDEV.P(IF(Table1[IndicatorCode]=Table1[[#This Row],[IndicatorCode]],Table1[value]))</f>
        <v>6.3409496564024987</v>
      </c>
      <c r="J8904">
        <f>(Table1[[#This Row],[value]] - Table1[[#This Row],[mean]]) / Table1[[#This Row],[std_dev]]</f>
        <v>-0.2626010576389905</v>
      </c>
      <c r="K8904">
        <f>AVERAGEIF(Table1[CountryCode],Table1[[#This Row],[CountryCode]],Table1[z-score])</f>
        <v>-0.27867415315004246</v>
      </c>
      <c r="L8904" t="e">
        <f>VLOOKUP(Table1[[#This Row],[CountryCode]],[1]!Table1[#All],1,FALSE)</f>
        <v>#REF!</v>
      </c>
    </row>
    <row r="8905" spans="1:12" hidden="1" x14ac:dyDescent="0.3">
      <c r="A8905" t="s">
        <v>61</v>
      </c>
      <c r="B8905" t="s">
        <v>62</v>
      </c>
      <c r="C8905" t="s">
        <v>129</v>
      </c>
      <c r="D8905" t="s">
        <v>130</v>
      </c>
      <c r="E8905">
        <v>2000</v>
      </c>
      <c r="F8905" s="1">
        <v>71</v>
      </c>
      <c r="G8905">
        <v>2000</v>
      </c>
      <c r="H8905">
        <f>AVERAGEIFS(Table1[value],Table1[IndicatorCode],Table1[[#This Row],[IndicatorCode]])</f>
        <v>72.66514008620689</v>
      </c>
      <c r="I8905" cm="1">
        <f t="array" ref="I8905">_xlfn.STDEV.P(IF(Table1[IndicatorCode]=Table1[[#This Row],[IndicatorCode]],Table1[value]))</f>
        <v>6.3409496564024987</v>
      </c>
      <c r="J8905">
        <f>(Table1[[#This Row],[value]] - Table1[[#This Row],[mean]]) / Table1[[#This Row],[std_dev]]</f>
        <v>-0.2626010576389905</v>
      </c>
      <c r="K8905">
        <f>AVERAGEIF(Table1[CountryCode],Table1[[#This Row],[CountryCode]],Table1[z-score])</f>
        <v>-0.27867415315004246</v>
      </c>
      <c r="L8905" t="e">
        <f>VLOOKUP(Table1[[#This Row],[CountryCode]],[1]!Table1[#All],1,FALSE)</f>
        <v>#REF!</v>
      </c>
    </row>
    <row r="8906" spans="1:12" hidden="1" x14ac:dyDescent="0.3">
      <c r="A8906" t="s">
        <v>61</v>
      </c>
      <c r="B8906" t="s">
        <v>62</v>
      </c>
      <c r="C8906" t="s">
        <v>129</v>
      </c>
      <c r="D8906" t="s">
        <v>130</v>
      </c>
      <c r="E8906">
        <v>2001</v>
      </c>
      <c r="F8906" s="1">
        <v>72</v>
      </c>
      <c r="G8906">
        <v>2000</v>
      </c>
      <c r="H8906">
        <f>AVERAGEIFS(Table1[value],Table1[IndicatorCode],Table1[[#This Row],[IndicatorCode]])</f>
        <v>72.66514008620689</v>
      </c>
      <c r="I8906" cm="1">
        <f t="array" ref="I8906">_xlfn.STDEV.P(IF(Table1[IndicatorCode]=Table1[[#This Row],[IndicatorCode]],Table1[value]))</f>
        <v>6.3409496564024987</v>
      </c>
      <c r="J8906">
        <f>(Table1[[#This Row],[value]] - Table1[[#This Row],[mean]]) / Table1[[#This Row],[std_dev]]</f>
        <v>-0.10489597335555145</v>
      </c>
      <c r="K8906">
        <f>AVERAGEIF(Table1[CountryCode],Table1[[#This Row],[CountryCode]],Table1[z-score])</f>
        <v>-0.27867415315004246</v>
      </c>
      <c r="L8906" t="e">
        <f>VLOOKUP(Table1[[#This Row],[CountryCode]],[1]!Table1[#All],1,FALSE)</f>
        <v>#REF!</v>
      </c>
    </row>
    <row r="8907" spans="1:12" hidden="1" x14ac:dyDescent="0.3">
      <c r="A8907" t="s">
        <v>61</v>
      </c>
      <c r="B8907" t="s">
        <v>62</v>
      </c>
      <c r="C8907" t="s">
        <v>129</v>
      </c>
      <c r="D8907" t="s">
        <v>130</v>
      </c>
      <c r="E8907">
        <v>2002</v>
      </c>
      <c r="F8907" s="1">
        <v>72</v>
      </c>
      <c r="G8907">
        <v>2000</v>
      </c>
      <c r="H8907">
        <f>AVERAGEIFS(Table1[value],Table1[IndicatorCode],Table1[[#This Row],[IndicatorCode]])</f>
        <v>72.66514008620689</v>
      </c>
      <c r="I8907" cm="1">
        <f t="array" ref="I8907">_xlfn.STDEV.P(IF(Table1[IndicatorCode]=Table1[[#This Row],[IndicatorCode]],Table1[value]))</f>
        <v>6.3409496564024987</v>
      </c>
      <c r="J8907">
        <f>(Table1[[#This Row],[value]] - Table1[[#This Row],[mean]]) / Table1[[#This Row],[std_dev]]</f>
        <v>-0.10489597335555145</v>
      </c>
      <c r="K8907">
        <f>AVERAGEIF(Table1[CountryCode],Table1[[#This Row],[CountryCode]],Table1[z-score])</f>
        <v>-0.27867415315004246</v>
      </c>
      <c r="L8907" t="e">
        <f>VLOOKUP(Table1[[#This Row],[CountryCode]],[1]!Table1[#All],1,FALSE)</f>
        <v>#REF!</v>
      </c>
    </row>
    <row r="8908" spans="1:12" hidden="1" x14ac:dyDescent="0.3">
      <c r="A8908" t="s">
        <v>61</v>
      </c>
      <c r="B8908" t="s">
        <v>62</v>
      </c>
      <c r="C8908" t="s">
        <v>129</v>
      </c>
      <c r="D8908" t="s">
        <v>130</v>
      </c>
      <c r="E8908">
        <v>2003</v>
      </c>
      <c r="F8908" s="1">
        <v>72</v>
      </c>
      <c r="G8908">
        <v>2000</v>
      </c>
      <c r="H8908">
        <f>AVERAGEIFS(Table1[value],Table1[IndicatorCode],Table1[[#This Row],[IndicatorCode]])</f>
        <v>72.66514008620689</v>
      </c>
      <c r="I8908" cm="1">
        <f t="array" ref="I8908">_xlfn.STDEV.P(IF(Table1[IndicatorCode]=Table1[[#This Row],[IndicatorCode]],Table1[value]))</f>
        <v>6.3409496564024987</v>
      </c>
      <c r="J8908">
        <f>(Table1[[#This Row],[value]] - Table1[[#This Row],[mean]]) / Table1[[#This Row],[std_dev]]</f>
        <v>-0.10489597335555145</v>
      </c>
      <c r="K8908">
        <f>AVERAGEIF(Table1[CountryCode],Table1[[#This Row],[CountryCode]],Table1[z-score])</f>
        <v>-0.27867415315004246</v>
      </c>
      <c r="L8908" t="e">
        <f>VLOOKUP(Table1[[#This Row],[CountryCode]],[1]!Table1[#All],1,FALSE)</f>
        <v>#REF!</v>
      </c>
    </row>
    <row r="8909" spans="1:12" hidden="1" x14ac:dyDescent="0.3">
      <c r="A8909" t="s">
        <v>61</v>
      </c>
      <c r="B8909" t="s">
        <v>62</v>
      </c>
      <c r="C8909" t="s">
        <v>129</v>
      </c>
      <c r="D8909" t="s">
        <v>130</v>
      </c>
      <c r="E8909">
        <v>2004</v>
      </c>
      <c r="F8909" s="1">
        <v>73</v>
      </c>
      <c r="G8909">
        <v>2000</v>
      </c>
      <c r="H8909">
        <f>AVERAGEIFS(Table1[value],Table1[IndicatorCode],Table1[[#This Row],[IndicatorCode]])</f>
        <v>72.66514008620689</v>
      </c>
      <c r="I8909" cm="1">
        <f t="array" ref="I8909">_xlfn.STDEV.P(IF(Table1[IndicatorCode]=Table1[[#This Row],[IndicatorCode]],Table1[value]))</f>
        <v>6.3409496564024987</v>
      </c>
      <c r="J8909">
        <f>(Table1[[#This Row],[value]] - Table1[[#This Row],[mean]]) / Table1[[#This Row],[std_dev]]</f>
        <v>5.2809110927887599E-2</v>
      </c>
      <c r="K8909">
        <f>AVERAGEIF(Table1[CountryCode],Table1[[#This Row],[CountryCode]],Table1[z-score])</f>
        <v>-0.27867415315004246</v>
      </c>
      <c r="L8909" t="e">
        <f>VLOOKUP(Table1[[#This Row],[CountryCode]],[1]!Table1[#All],1,FALSE)</f>
        <v>#REF!</v>
      </c>
    </row>
    <row r="8910" spans="1:12" hidden="1" x14ac:dyDescent="0.3">
      <c r="A8910" t="s">
        <v>61</v>
      </c>
      <c r="B8910" t="s">
        <v>62</v>
      </c>
      <c r="C8910" t="s">
        <v>129</v>
      </c>
      <c r="D8910" t="s">
        <v>130</v>
      </c>
      <c r="E8910">
        <v>2005</v>
      </c>
      <c r="F8910" s="1">
        <v>73</v>
      </c>
      <c r="G8910">
        <v>2000</v>
      </c>
      <c r="H8910">
        <f>AVERAGEIFS(Table1[value],Table1[IndicatorCode],Table1[[#This Row],[IndicatorCode]])</f>
        <v>72.66514008620689</v>
      </c>
      <c r="I8910" cm="1">
        <f t="array" ref="I8910">_xlfn.STDEV.P(IF(Table1[IndicatorCode]=Table1[[#This Row],[IndicatorCode]],Table1[value]))</f>
        <v>6.3409496564024987</v>
      </c>
      <c r="J8910">
        <f>(Table1[[#This Row],[value]] - Table1[[#This Row],[mean]]) / Table1[[#This Row],[std_dev]]</f>
        <v>5.2809110927887599E-2</v>
      </c>
      <c r="K8910">
        <f>AVERAGEIF(Table1[CountryCode],Table1[[#This Row],[CountryCode]],Table1[z-score])</f>
        <v>-0.27867415315004246</v>
      </c>
      <c r="L8910" t="e">
        <f>VLOOKUP(Table1[[#This Row],[CountryCode]],[1]!Table1[#All],1,FALSE)</f>
        <v>#REF!</v>
      </c>
    </row>
    <row r="8911" spans="1:12" hidden="1" x14ac:dyDescent="0.3">
      <c r="A8911" t="s">
        <v>61</v>
      </c>
      <c r="B8911" t="s">
        <v>62</v>
      </c>
      <c r="C8911" t="s">
        <v>129</v>
      </c>
      <c r="D8911" t="s">
        <v>130</v>
      </c>
      <c r="E8911">
        <v>2006</v>
      </c>
      <c r="F8911" s="1">
        <v>73</v>
      </c>
      <c r="G8911">
        <v>2000</v>
      </c>
      <c r="H8911">
        <f>AVERAGEIFS(Table1[value],Table1[IndicatorCode],Table1[[#This Row],[IndicatorCode]])</f>
        <v>72.66514008620689</v>
      </c>
      <c r="I8911" cm="1">
        <f t="array" ref="I8911">_xlfn.STDEV.P(IF(Table1[IndicatorCode]=Table1[[#This Row],[IndicatorCode]],Table1[value]))</f>
        <v>6.3409496564024987</v>
      </c>
      <c r="J8911">
        <f>(Table1[[#This Row],[value]] - Table1[[#This Row],[mean]]) / Table1[[#This Row],[std_dev]]</f>
        <v>5.2809110927887599E-2</v>
      </c>
      <c r="K8911">
        <f>AVERAGEIF(Table1[CountryCode],Table1[[#This Row],[CountryCode]],Table1[z-score])</f>
        <v>-0.27867415315004246</v>
      </c>
      <c r="L8911" t="e">
        <f>VLOOKUP(Table1[[#This Row],[CountryCode]],[1]!Table1[#All],1,FALSE)</f>
        <v>#REF!</v>
      </c>
    </row>
    <row r="8912" spans="1:12" hidden="1" x14ac:dyDescent="0.3">
      <c r="A8912" t="s">
        <v>61</v>
      </c>
      <c r="B8912" t="s">
        <v>62</v>
      </c>
      <c r="C8912" t="s">
        <v>129</v>
      </c>
      <c r="D8912" t="s">
        <v>130</v>
      </c>
      <c r="E8912">
        <v>2007</v>
      </c>
      <c r="F8912" s="1">
        <v>73</v>
      </c>
      <c r="G8912">
        <v>2010</v>
      </c>
      <c r="H8912">
        <f>AVERAGEIFS(Table1[value],Table1[IndicatorCode],Table1[[#This Row],[IndicatorCode]])</f>
        <v>72.66514008620689</v>
      </c>
      <c r="I8912" cm="1">
        <f t="array" ref="I8912">_xlfn.STDEV.P(IF(Table1[IndicatorCode]=Table1[[#This Row],[IndicatorCode]],Table1[value]))</f>
        <v>6.3409496564024987</v>
      </c>
      <c r="J8912">
        <f>(Table1[[#This Row],[value]] - Table1[[#This Row],[mean]]) / Table1[[#This Row],[std_dev]]</f>
        <v>5.2809110927887599E-2</v>
      </c>
      <c r="K8912">
        <f>AVERAGEIF(Table1[CountryCode],Table1[[#This Row],[CountryCode]],Table1[z-score])</f>
        <v>-0.27867415315004246</v>
      </c>
      <c r="L8912" t="e">
        <f>VLOOKUP(Table1[[#This Row],[CountryCode]],[1]!Table1[#All],1,FALSE)</f>
        <v>#REF!</v>
      </c>
    </row>
    <row r="8913" spans="1:12" hidden="1" x14ac:dyDescent="0.3">
      <c r="A8913" t="s">
        <v>61</v>
      </c>
      <c r="B8913" t="s">
        <v>62</v>
      </c>
      <c r="C8913" t="s">
        <v>129</v>
      </c>
      <c r="D8913" t="s">
        <v>130</v>
      </c>
      <c r="E8913">
        <v>2008</v>
      </c>
      <c r="F8913" s="1">
        <v>74</v>
      </c>
      <c r="G8913">
        <v>2010</v>
      </c>
      <c r="H8913">
        <f>AVERAGEIFS(Table1[value],Table1[IndicatorCode],Table1[[#This Row],[IndicatorCode]])</f>
        <v>72.66514008620689</v>
      </c>
      <c r="I8913" cm="1">
        <f t="array" ref="I8913">_xlfn.STDEV.P(IF(Table1[IndicatorCode]=Table1[[#This Row],[IndicatorCode]],Table1[value]))</f>
        <v>6.3409496564024987</v>
      </c>
      <c r="J8913">
        <f>(Table1[[#This Row],[value]] - Table1[[#This Row],[mean]]) / Table1[[#This Row],[std_dev]]</f>
        <v>0.21051419521132667</v>
      </c>
      <c r="K8913">
        <f>AVERAGEIF(Table1[CountryCode],Table1[[#This Row],[CountryCode]],Table1[z-score])</f>
        <v>-0.27867415315004246</v>
      </c>
      <c r="L8913" t="e">
        <f>VLOOKUP(Table1[[#This Row],[CountryCode]],[1]!Table1[#All],1,FALSE)</f>
        <v>#REF!</v>
      </c>
    </row>
    <row r="8914" spans="1:12" hidden="1" x14ac:dyDescent="0.3">
      <c r="A8914" t="s">
        <v>61</v>
      </c>
      <c r="B8914" t="s">
        <v>62</v>
      </c>
      <c r="C8914" t="s">
        <v>129</v>
      </c>
      <c r="D8914" t="s">
        <v>130</v>
      </c>
      <c r="E8914">
        <v>2009</v>
      </c>
      <c r="F8914" s="1">
        <v>74</v>
      </c>
      <c r="G8914">
        <v>2010</v>
      </c>
      <c r="H8914">
        <f>AVERAGEIFS(Table1[value],Table1[IndicatorCode],Table1[[#This Row],[IndicatorCode]])</f>
        <v>72.66514008620689</v>
      </c>
      <c r="I8914" cm="1">
        <f t="array" ref="I8914">_xlfn.STDEV.P(IF(Table1[IndicatorCode]=Table1[[#This Row],[IndicatorCode]],Table1[value]))</f>
        <v>6.3409496564024987</v>
      </c>
      <c r="J8914">
        <f>(Table1[[#This Row],[value]] - Table1[[#This Row],[mean]]) / Table1[[#This Row],[std_dev]]</f>
        <v>0.21051419521132667</v>
      </c>
      <c r="K8914">
        <f>AVERAGEIF(Table1[CountryCode],Table1[[#This Row],[CountryCode]],Table1[z-score])</f>
        <v>-0.27867415315004246</v>
      </c>
      <c r="L8914" t="e">
        <f>VLOOKUP(Table1[[#This Row],[CountryCode]],[1]!Table1[#All],1,FALSE)</f>
        <v>#REF!</v>
      </c>
    </row>
    <row r="8915" spans="1:12" hidden="1" x14ac:dyDescent="0.3">
      <c r="A8915" t="s">
        <v>61</v>
      </c>
      <c r="B8915" t="s">
        <v>62</v>
      </c>
      <c r="C8915" t="s">
        <v>129</v>
      </c>
      <c r="D8915" t="s">
        <v>130</v>
      </c>
      <c r="E8915">
        <v>2010</v>
      </c>
      <c r="F8915" s="1">
        <v>74</v>
      </c>
      <c r="G8915">
        <v>2010</v>
      </c>
      <c r="H8915">
        <f>AVERAGEIFS(Table1[value],Table1[IndicatorCode],Table1[[#This Row],[IndicatorCode]])</f>
        <v>72.66514008620689</v>
      </c>
      <c r="I8915" cm="1">
        <f t="array" ref="I8915">_xlfn.STDEV.P(IF(Table1[IndicatorCode]=Table1[[#This Row],[IndicatorCode]],Table1[value]))</f>
        <v>6.3409496564024987</v>
      </c>
      <c r="J8915">
        <f>(Table1[[#This Row],[value]] - Table1[[#This Row],[mean]]) / Table1[[#This Row],[std_dev]]</f>
        <v>0.21051419521132667</v>
      </c>
      <c r="K8915">
        <f>AVERAGEIF(Table1[CountryCode],Table1[[#This Row],[CountryCode]],Table1[z-score])</f>
        <v>-0.27867415315004246</v>
      </c>
      <c r="L8915" t="e">
        <f>VLOOKUP(Table1[[#This Row],[CountryCode]],[1]!Table1[#All],1,FALSE)</f>
        <v>#REF!</v>
      </c>
    </row>
    <row r="8916" spans="1:12" hidden="1" x14ac:dyDescent="0.3">
      <c r="A8916" t="s">
        <v>61</v>
      </c>
      <c r="B8916" t="s">
        <v>62</v>
      </c>
      <c r="C8916" t="s">
        <v>129</v>
      </c>
      <c r="D8916" t="s">
        <v>130</v>
      </c>
      <c r="E8916">
        <v>2011</v>
      </c>
      <c r="F8916" s="1">
        <v>75</v>
      </c>
      <c r="G8916">
        <v>2010</v>
      </c>
      <c r="H8916">
        <f>AVERAGEIFS(Table1[value],Table1[IndicatorCode],Table1[[#This Row],[IndicatorCode]])</f>
        <v>72.66514008620689</v>
      </c>
      <c r="I8916" cm="1">
        <f t="array" ref="I8916">_xlfn.STDEV.P(IF(Table1[IndicatorCode]=Table1[[#This Row],[IndicatorCode]],Table1[value]))</f>
        <v>6.3409496564024987</v>
      </c>
      <c r="J8916">
        <f>(Table1[[#This Row],[value]] - Table1[[#This Row],[mean]]) / Table1[[#This Row],[std_dev]]</f>
        <v>0.36821927949476574</v>
      </c>
      <c r="K8916">
        <f>AVERAGEIF(Table1[CountryCode],Table1[[#This Row],[CountryCode]],Table1[z-score])</f>
        <v>-0.27867415315004246</v>
      </c>
      <c r="L8916" t="e">
        <f>VLOOKUP(Table1[[#This Row],[CountryCode]],[1]!Table1[#All],1,FALSE)</f>
        <v>#REF!</v>
      </c>
    </row>
    <row r="8917" spans="1:12" hidden="1" x14ac:dyDescent="0.3">
      <c r="A8917" t="s">
        <v>61</v>
      </c>
      <c r="B8917" t="s">
        <v>62</v>
      </c>
      <c r="C8917" t="s">
        <v>129</v>
      </c>
      <c r="D8917" t="s">
        <v>130</v>
      </c>
      <c r="E8917">
        <v>2012</v>
      </c>
      <c r="F8917" s="1">
        <v>75</v>
      </c>
      <c r="G8917">
        <v>2010</v>
      </c>
      <c r="H8917">
        <f>AVERAGEIFS(Table1[value],Table1[IndicatorCode],Table1[[#This Row],[IndicatorCode]])</f>
        <v>72.66514008620689</v>
      </c>
      <c r="I8917" cm="1">
        <f t="array" ref="I8917">_xlfn.STDEV.P(IF(Table1[IndicatorCode]=Table1[[#This Row],[IndicatorCode]],Table1[value]))</f>
        <v>6.3409496564024987</v>
      </c>
      <c r="J8917">
        <f>(Table1[[#This Row],[value]] - Table1[[#This Row],[mean]]) / Table1[[#This Row],[std_dev]]</f>
        <v>0.36821927949476574</v>
      </c>
      <c r="K8917">
        <f>AVERAGEIF(Table1[CountryCode],Table1[[#This Row],[CountryCode]],Table1[z-score])</f>
        <v>-0.27867415315004246</v>
      </c>
      <c r="L8917" t="e">
        <f>VLOOKUP(Table1[[#This Row],[CountryCode]],[1]!Table1[#All],1,FALSE)</f>
        <v>#REF!</v>
      </c>
    </row>
    <row r="8918" spans="1:12" hidden="1" x14ac:dyDescent="0.3">
      <c r="A8918" t="s">
        <v>61</v>
      </c>
      <c r="B8918" t="s">
        <v>62</v>
      </c>
      <c r="C8918" t="s">
        <v>129</v>
      </c>
      <c r="D8918" t="s">
        <v>130</v>
      </c>
      <c r="E8918">
        <v>2013</v>
      </c>
      <c r="F8918" s="1">
        <v>76</v>
      </c>
      <c r="G8918">
        <v>2010</v>
      </c>
      <c r="H8918">
        <f>AVERAGEIFS(Table1[value],Table1[IndicatorCode],Table1[[#This Row],[IndicatorCode]])</f>
        <v>72.66514008620689</v>
      </c>
      <c r="I8918" cm="1">
        <f t="array" ref="I8918">_xlfn.STDEV.P(IF(Table1[IndicatorCode]=Table1[[#This Row],[IndicatorCode]],Table1[value]))</f>
        <v>6.3409496564024987</v>
      </c>
      <c r="J8918">
        <f>(Table1[[#This Row],[value]] - Table1[[#This Row],[mean]]) / Table1[[#This Row],[std_dev]]</f>
        <v>0.52592436377820473</v>
      </c>
      <c r="K8918">
        <f>AVERAGEIF(Table1[CountryCode],Table1[[#This Row],[CountryCode]],Table1[z-score])</f>
        <v>-0.27867415315004246</v>
      </c>
      <c r="L8918" t="e">
        <f>VLOOKUP(Table1[[#This Row],[CountryCode]],[1]!Table1[#All],1,FALSE)</f>
        <v>#REF!</v>
      </c>
    </row>
    <row r="8919" spans="1:12" hidden="1" x14ac:dyDescent="0.3">
      <c r="A8919" t="s">
        <v>61</v>
      </c>
      <c r="B8919" t="s">
        <v>62</v>
      </c>
      <c r="C8919" t="s">
        <v>129</v>
      </c>
      <c r="D8919" t="s">
        <v>130</v>
      </c>
      <c r="E8919">
        <v>2014</v>
      </c>
      <c r="F8919" s="1">
        <v>76</v>
      </c>
      <c r="G8919">
        <v>2010</v>
      </c>
      <c r="H8919">
        <f>AVERAGEIFS(Table1[value],Table1[IndicatorCode],Table1[[#This Row],[IndicatorCode]])</f>
        <v>72.66514008620689</v>
      </c>
      <c r="I8919" cm="1">
        <f t="array" ref="I8919">_xlfn.STDEV.P(IF(Table1[IndicatorCode]=Table1[[#This Row],[IndicatorCode]],Table1[value]))</f>
        <v>6.3409496564024987</v>
      </c>
      <c r="J8919">
        <f>(Table1[[#This Row],[value]] - Table1[[#This Row],[mean]]) / Table1[[#This Row],[std_dev]]</f>
        <v>0.52592436377820473</v>
      </c>
      <c r="K8919">
        <f>AVERAGEIF(Table1[CountryCode],Table1[[#This Row],[CountryCode]],Table1[z-score])</f>
        <v>-0.27867415315004246</v>
      </c>
      <c r="L8919" t="e">
        <f>VLOOKUP(Table1[[#This Row],[CountryCode]],[1]!Table1[#All],1,FALSE)</f>
        <v>#REF!</v>
      </c>
    </row>
    <row r="8920" spans="1:12" hidden="1" x14ac:dyDescent="0.3">
      <c r="A8920" t="s">
        <v>61</v>
      </c>
      <c r="B8920" t="s">
        <v>62</v>
      </c>
      <c r="C8920" t="s">
        <v>129</v>
      </c>
      <c r="D8920" t="s">
        <v>130</v>
      </c>
      <c r="E8920">
        <v>2015</v>
      </c>
      <c r="F8920" s="1">
        <v>76</v>
      </c>
      <c r="G8920">
        <v>2010</v>
      </c>
      <c r="H8920">
        <f>AVERAGEIFS(Table1[value],Table1[IndicatorCode],Table1[[#This Row],[IndicatorCode]])</f>
        <v>72.66514008620689</v>
      </c>
      <c r="I8920" cm="1">
        <f t="array" ref="I8920">_xlfn.STDEV.P(IF(Table1[IndicatorCode]=Table1[[#This Row],[IndicatorCode]],Table1[value]))</f>
        <v>6.3409496564024987</v>
      </c>
      <c r="J8920">
        <f>(Table1[[#This Row],[value]] - Table1[[#This Row],[mean]]) / Table1[[#This Row],[std_dev]]</f>
        <v>0.52592436377820473</v>
      </c>
      <c r="K8920">
        <f>AVERAGEIF(Table1[CountryCode],Table1[[#This Row],[CountryCode]],Table1[z-score])</f>
        <v>-0.27867415315004246</v>
      </c>
      <c r="L8920" t="e">
        <f>VLOOKUP(Table1[[#This Row],[CountryCode]],[1]!Table1[#All],1,FALSE)</f>
        <v>#REF!</v>
      </c>
    </row>
    <row r="8921" spans="1:12" hidden="1" x14ac:dyDescent="0.3">
      <c r="A8921" t="s">
        <v>61</v>
      </c>
      <c r="B8921" t="s">
        <v>62</v>
      </c>
      <c r="C8921" t="s">
        <v>129</v>
      </c>
      <c r="D8921" t="s">
        <v>130</v>
      </c>
      <c r="E8921">
        <v>2016</v>
      </c>
      <c r="F8921" s="1">
        <v>76</v>
      </c>
      <c r="G8921">
        <v>2010</v>
      </c>
      <c r="H8921">
        <f>AVERAGEIFS(Table1[value],Table1[IndicatorCode],Table1[[#This Row],[IndicatorCode]])</f>
        <v>72.66514008620689</v>
      </c>
      <c r="I8921" cm="1">
        <f t="array" ref="I8921">_xlfn.STDEV.P(IF(Table1[IndicatorCode]=Table1[[#This Row],[IndicatorCode]],Table1[value]))</f>
        <v>6.3409496564024987</v>
      </c>
      <c r="J8921">
        <f>(Table1[[#This Row],[value]] - Table1[[#This Row],[mean]]) / Table1[[#This Row],[std_dev]]</f>
        <v>0.52592436377820473</v>
      </c>
      <c r="K8921">
        <f>AVERAGEIF(Table1[CountryCode],Table1[[#This Row],[CountryCode]],Table1[z-score])</f>
        <v>-0.27867415315004246</v>
      </c>
      <c r="L8921" t="e">
        <f>VLOOKUP(Table1[[#This Row],[CountryCode]],[1]!Table1[#All],1,FALSE)</f>
        <v>#REF!</v>
      </c>
    </row>
    <row r="8922" spans="1:12" hidden="1" x14ac:dyDescent="0.3">
      <c r="A8922" t="s">
        <v>61</v>
      </c>
      <c r="B8922" t="s">
        <v>62</v>
      </c>
      <c r="C8922" t="s">
        <v>129</v>
      </c>
      <c r="D8922" t="s">
        <v>130</v>
      </c>
      <c r="E8922">
        <v>2017</v>
      </c>
      <c r="F8922" s="1">
        <v>76</v>
      </c>
      <c r="G8922">
        <v>2020</v>
      </c>
      <c r="H8922">
        <f>AVERAGEIFS(Table1[value],Table1[IndicatorCode],Table1[[#This Row],[IndicatorCode]])</f>
        <v>72.66514008620689</v>
      </c>
      <c r="I8922" cm="1">
        <f t="array" ref="I8922">_xlfn.STDEV.P(IF(Table1[IndicatorCode]=Table1[[#This Row],[IndicatorCode]],Table1[value]))</f>
        <v>6.3409496564024987</v>
      </c>
      <c r="J8922">
        <f>(Table1[[#This Row],[value]] - Table1[[#This Row],[mean]]) / Table1[[#This Row],[std_dev]]</f>
        <v>0.52592436377820473</v>
      </c>
      <c r="K8922">
        <f>AVERAGEIF(Table1[CountryCode],Table1[[#This Row],[CountryCode]],Table1[z-score])</f>
        <v>-0.27867415315004246</v>
      </c>
      <c r="L8922" t="e">
        <f>VLOOKUP(Table1[[#This Row],[CountryCode]],[1]!Table1[#All],1,FALSE)</f>
        <v>#REF!</v>
      </c>
    </row>
    <row r="8923" spans="1:12" hidden="1" x14ac:dyDescent="0.3">
      <c r="A8923" t="s">
        <v>61</v>
      </c>
      <c r="B8923" t="s">
        <v>62</v>
      </c>
      <c r="C8923" t="s">
        <v>129</v>
      </c>
      <c r="D8923" t="s">
        <v>130</v>
      </c>
      <c r="E8923">
        <v>2018</v>
      </c>
      <c r="F8923" s="1">
        <v>76</v>
      </c>
      <c r="G8923">
        <v>2020</v>
      </c>
      <c r="H8923">
        <f>AVERAGEIFS(Table1[value],Table1[IndicatorCode],Table1[[#This Row],[IndicatorCode]])</f>
        <v>72.66514008620689</v>
      </c>
      <c r="I8923" cm="1">
        <f t="array" ref="I8923">_xlfn.STDEV.P(IF(Table1[IndicatorCode]=Table1[[#This Row],[IndicatorCode]],Table1[value]))</f>
        <v>6.3409496564024987</v>
      </c>
      <c r="J8923">
        <f>(Table1[[#This Row],[value]] - Table1[[#This Row],[mean]]) / Table1[[#This Row],[std_dev]]</f>
        <v>0.52592436377820473</v>
      </c>
      <c r="K8923">
        <f>AVERAGEIF(Table1[CountryCode],Table1[[#This Row],[CountryCode]],Table1[z-score])</f>
        <v>-0.27867415315004246</v>
      </c>
      <c r="L8923" t="e">
        <f>VLOOKUP(Table1[[#This Row],[CountryCode]],[1]!Table1[#All],1,FALSE)</f>
        <v>#REF!</v>
      </c>
    </row>
    <row r="8924" spans="1:12" hidden="1" x14ac:dyDescent="0.3">
      <c r="A8924" t="s">
        <v>61</v>
      </c>
      <c r="B8924" t="s">
        <v>62</v>
      </c>
      <c r="C8924" t="s">
        <v>129</v>
      </c>
      <c r="D8924" t="s">
        <v>130</v>
      </c>
      <c r="E8924">
        <v>2019</v>
      </c>
      <c r="F8924" s="1">
        <v>76</v>
      </c>
      <c r="G8924">
        <v>2020</v>
      </c>
      <c r="H8924">
        <f>AVERAGEIFS(Table1[value],Table1[IndicatorCode],Table1[[#This Row],[IndicatorCode]])</f>
        <v>72.66514008620689</v>
      </c>
      <c r="I8924" cm="1">
        <f t="array" ref="I8924">_xlfn.STDEV.P(IF(Table1[IndicatorCode]=Table1[[#This Row],[IndicatorCode]],Table1[value]))</f>
        <v>6.3409496564024987</v>
      </c>
      <c r="J8924">
        <f>(Table1[[#This Row],[value]] - Table1[[#This Row],[mean]]) / Table1[[#This Row],[std_dev]]</f>
        <v>0.52592436377820473</v>
      </c>
      <c r="K8924">
        <f>AVERAGEIF(Table1[CountryCode],Table1[[#This Row],[CountryCode]],Table1[z-score])</f>
        <v>-0.27867415315004246</v>
      </c>
      <c r="L8924" t="e">
        <f>VLOOKUP(Table1[[#This Row],[CountryCode]],[1]!Table1[#All],1,FALSE)</f>
        <v>#REF!</v>
      </c>
    </row>
    <row r="8925" spans="1:12" x14ac:dyDescent="0.3">
      <c r="A8925" t="s">
        <v>61</v>
      </c>
      <c r="B8925" t="s">
        <v>62</v>
      </c>
      <c r="C8925" t="s">
        <v>129</v>
      </c>
      <c r="D8925" t="s">
        <v>130</v>
      </c>
      <c r="E8925">
        <v>2020</v>
      </c>
      <c r="F8925" s="1">
        <v>75</v>
      </c>
      <c r="G8925">
        <v>2020</v>
      </c>
      <c r="H8925">
        <f>AVERAGEIFS(Table1[value],Table1[IndicatorCode],Table1[[#This Row],[IndicatorCode]])</f>
        <v>72.66514008620689</v>
      </c>
      <c r="I8925" cm="1">
        <f t="array" ref="I8925">_xlfn.STDEV.P(IF(Table1[IndicatorCode]=Table1[[#This Row],[IndicatorCode]],Table1[value]))</f>
        <v>6.3409496564024987</v>
      </c>
      <c r="J8925">
        <f>(Table1[[#This Row],[value]] - Table1[[#This Row],[mean]]) / Table1[[#This Row],[std_dev]]</f>
        <v>0.36821927949476574</v>
      </c>
      <c r="K8925">
        <f>AVERAGEIF(Table1[CountryCode],Table1[[#This Row],[CountryCode]],Table1[z-score])</f>
        <v>-0.27867415315004246</v>
      </c>
    </row>
    <row r="8926" spans="1:12" hidden="1" x14ac:dyDescent="0.3">
      <c r="A8926" t="s">
        <v>61</v>
      </c>
      <c r="B8926" t="s">
        <v>62</v>
      </c>
      <c r="C8926" t="s">
        <v>129</v>
      </c>
      <c r="D8926" t="s">
        <v>130</v>
      </c>
      <c r="E8926">
        <v>2021</v>
      </c>
      <c r="F8926" s="1">
        <v>74</v>
      </c>
      <c r="G8926">
        <v>1960</v>
      </c>
      <c r="H8926">
        <f>AVERAGEIFS(Table1[value],Table1[IndicatorCode],Table1[[#This Row],[IndicatorCode]])</f>
        <v>72.66514008620689</v>
      </c>
      <c r="I8926" cm="1">
        <f t="array" ref="I8926">_xlfn.STDEV.P(IF(Table1[IndicatorCode]=Table1[[#This Row],[IndicatorCode]],Table1[value]))</f>
        <v>6.3409496564024987</v>
      </c>
      <c r="J8926">
        <f>(Table1[[#This Row],[value]] - Table1[[#This Row],[mean]]) / Table1[[#This Row],[std_dev]]</f>
        <v>0.21051419521132667</v>
      </c>
      <c r="K8926">
        <f>AVERAGEIF(Table1[CountryCode],Table1[[#This Row],[CountryCode]],Table1[z-score])</f>
        <v>-0.27867415315004246</v>
      </c>
      <c r="L8926" t="e">
        <f>VLOOKUP(Table1[[#This Row],[CountryCode]],[1]!Table1[#All],1,FALSE)</f>
        <v>#REF!</v>
      </c>
    </row>
    <row r="8927" spans="1:12" hidden="1" x14ac:dyDescent="0.3">
      <c r="A8927" t="s">
        <v>61</v>
      </c>
      <c r="B8927" t="s">
        <v>62</v>
      </c>
      <c r="C8927" t="s">
        <v>129</v>
      </c>
      <c r="D8927" t="s">
        <v>130</v>
      </c>
      <c r="E8927">
        <v>2022</v>
      </c>
      <c r="F8927" s="1">
        <v>76</v>
      </c>
      <c r="G8927">
        <v>1960</v>
      </c>
      <c r="H8927">
        <f>AVERAGEIFS(Table1[value],Table1[IndicatorCode],Table1[[#This Row],[IndicatorCode]])</f>
        <v>72.66514008620689</v>
      </c>
      <c r="I8927" cm="1">
        <f t="array" ref="I8927">_xlfn.STDEV.P(IF(Table1[IndicatorCode]=Table1[[#This Row],[IndicatorCode]],Table1[value]))</f>
        <v>6.3409496564024987</v>
      </c>
      <c r="J8927">
        <f>(Table1[[#This Row],[value]] - Table1[[#This Row],[mean]]) / Table1[[#This Row],[std_dev]]</f>
        <v>0.52592436377820473</v>
      </c>
      <c r="K8927">
        <f>AVERAGEIF(Table1[CountryCode],Table1[[#This Row],[CountryCode]],Table1[z-score])</f>
        <v>-0.27867415315004246</v>
      </c>
      <c r="L8927" t="e">
        <f>VLOOKUP(Table1[[#This Row],[CountryCode]],[1]!Table1[#All],1,FALSE)</f>
        <v>#REF!</v>
      </c>
    </row>
    <row r="8928" spans="1:12" hidden="1" x14ac:dyDescent="0.3">
      <c r="A8928" t="s">
        <v>61</v>
      </c>
      <c r="B8928" t="s">
        <v>62</v>
      </c>
      <c r="C8928" t="s">
        <v>129</v>
      </c>
      <c r="D8928" t="s">
        <v>130</v>
      </c>
      <c r="E8928">
        <v>2023</v>
      </c>
      <c r="F8928" s="1">
        <v>77</v>
      </c>
      <c r="G8928">
        <v>1960</v>
      </c>
      <c r="H8928">
        <f>AVERAGEIFS(Table1[value],Table1[IndicatorCode],Table1[[#This Row],[IndicatorCode]])</f>
        <v>72.66514008620689</v>
      </c>
      <c r="I8928" cm="1">
        <f t="array" ref="I8928">_xlfn.STDEV.P(IF(Table1[IndicatorCode]=Table1[[#This Row],[IndicatorCode]],Table1[value]))</f>
        <v>6.3409496564024987</v>
      </c>
      <c r="J8928">
        <f>(Table1[[#This Row],[value]] - Table1[[#This Row],[mean]]) / Table1[[#This Row],[std_dev]]</f>
        <v>0.68362944806164383</v>
      </c>
      <c r="K8928">
        <f>AVERAGEIF(Table1[CountryCode],Table1[[#This Row],[CountryCode]],Table1[z-score])</f>
        <v>-0.27867415315004246</v>
      </c>
      <c r="L8928" t="e">
        <f>VLOOKUP(Table1[[#This Row],[CountryCode]],[1]!Table1[#All],1,FALSE)</f>
        <v>#REF!</v>
      </c>
    </row>
    <row r="8929" spans="1:12" hidden="1" x14ac:dyDescent="0.3">
      <c r="A8929" t="s">
        <v>63</v>
      </c>
      <c r="B8929" t="s">
        <v>64</v>
      </c>
      <c r="C8929" t="s">
        <v>129</v>
      </c>
      <c r="D8929" t="s">
        <v>130</v>
      </c>
      <c r="E8929">
        <v>1960</v>
      </c>
      <c r="F8929" s="1">
        <v>65</v>
      </c>
      <c r="G8929">
        <v>1960</v>
      </c>
      <c r="H8929">
        <f>AVERAGEIFS(Table1[value],Table1[IndicatorCode],Table1[[#This Row],[IndicatorCode]])</f>
        <v>72.66514008620689</v>
      </c>
      <c r="I8929" cm="1">
        <f t="array" ref="I8929">_xlfn.STDEV.P(IF(Table1[IndicatorCode]=Table1[[#This Row],[IndicatorCode]],Table1[value]))</f>
        <v>6.3409496564024987</v>
      </c>
      <c r="J8929">
        <f>(Table1[[#This Row],[value]] - Table1[[#This Row],[mean]]) / Table1[[#This Row],[std_dev]]</f>
        <v>-1.2088315633396249</v>
      </c>
      <c r="K8929">
        <f>AVERAGEIF(Table1[CountryCode],Table1[[#This Row],[CountryCode]],Table1[z-score])</f>
        <v>0.37045001694562285</v>
      </c>
      <c r="L8929" t="e">
        <f>VLOOKUP(Table1[[#This Row],[CountryCode]],[1]!Table1[#All],1,FALSE)</f>
        <v>#REF!</v>
      </c>
    </row>
    <row r="8930" spans="1:12" hidden="1" x14ac:dyDescent="0.3">
      <c r="A8930" t="s">
        <v>63</v>
      </c>
      <c r="B8930" t="s">
        <v>64</v>
      </c>
      <c r="C8930" t="s">
        <v>129</v>
      </c>
      <c r="D8930" t="s">
        <v>130</v>
      </c>
      <c r="E8930">
        <v>1961</v>
      </c>
      <c r="F8930" s="1">
        <v>64</v>
      </c>
      <c r="G8930">
        <v>1960</v>
      </c>
      <c r="H8930">
        <f>AVERAGEIFS(Table1[value],Table1[IndicatorCode],Table1[[#This Row],[IndicatorCode]])</f>
        <v>72.66514008620689</v>
      </c>
      <c r="I8930" cm="1">
        <f t="array" ref="I8930">_xlfn.STDEV.P(IF(Table1[IndicatorCode]=Table1[[#This Row],[IndicatorCode]],Table1[value]))</f>
        <v>6.3409496564024987</v>
      </c>
      <c r="J8930">
        <f>(Table1[[#This Row],[value]] - Table1[[#This Row],[mean]]) / Table1[[#This Row],[std_dev]]</f>
        <v>-1.3665366476230638</v>
      </c>
      <c r="K8930">
        <f>AVERAGEIF(Table1[CountryCode],Table1[[#This Row],[CountryCode]],Table1[z-score])</f>
        <v>0.37045001694562285</v>
      </c>
      <c r="L8930" t="e">
        <f>VLOOKUP(Table1[[#This Row],[CountryCode]],[1]!Table1[#All],1,FALSE)</f>
        <v>#REF!</v>
      </c>
    </row>
    <row r="8931" spans="1:12" hidden="1" x14ac:dyDescent="0.3">
      <c r="A8931" t="s">
        <v>63</v>
      </c>
      <c r="B8931" t="s">
        <v>64</v>
      </c>
      <c r="C8931" t="s">
        <v>129</v>
      </c>
      <c r="D8931" t="s">
        <v>130</v>
      </c>
      <c r="E8931">
        <v>1962</v>
      </c>
      <c r="F8931" s="1">
        <v>64</v>
      </c>
      <c r="G8931">
        <v>1960</v>
      </c>
      <c r="H8931">
        <f>AVERAGEIFS(Table1[value],Table1[IndicatorCode],Table1[[#This Row],[IndicatorCode]])</f>
        <v>72.66514008620689</v>
      </c>
      <c r="I8931" cm="1">
        <f t="array" ref="I8931">_xlfn.STDEV.P(IF(Table1[IndicatorCode]=Table1[[#This Row],[IndicatorCode]],Table1[value]))</f>
        <v>6.3409496564024987</v>
      </c>
      <c r="J8931">
        <f>(Table1[[#This Row],[value]] - Table1[[#This Row],[mean]]) / Table1[[#This Row],[std_dev]]</f>
        <v>-1.3665366476230638</v>
      </c>
      <c r="K8931">
        <f>AVERAGEIF(Table1[CountryCode],Table1[[#This Row],[CountryCode]],Table1[z-score])</f>
        <v>0.37045001694562285</v>
      </c>
      <c r="L8931" t="e">
        <f>VLOOKUP(Table1[[#This Row],[CountryCode]],[1]!Table1[#All],1,FALSE)</f>
        <v>#REF!</v>
      </c>
    </row>
    <row r="8932" spans="1:12" hidden="1" x14ac:dyDescent="0.3">
      <c r="A8932" t="s">
        <v>63</v>
      </c>
      <c r="B8932" t="s">
        <v>64</v>
      </c>
      <c r="C8932" t="s">
        <v>129</v>
      </c>
      <c r="D8932" t="s">
        <v>130</v>
      </c>
      <c r="E8932">
        <v>1963</v>
      </c>
      <c r="F8932" s="1">
        <v>64</v>
      </c>
      <c r="G8932">
        <v>1960</v>
      </c>
      <c r="H8932">
        <f>AVERAGEIFS(Table1[value],Table1[IndicatorCode],Table1[[#This Row],[IndicatorCode]])</f>
        <v>72.66514008620689</v>
      </c>
      <c r="I8932" cm="1">
        <f t="array" ref="I8932">_xlfn.STDEV.P(IF(Table1[IndicatorCode]=Table1[[#This Row],[IndicatorCode]],Table1[value]))</f>
        <v>6.3409496564024987</v>
      </c>
      <c r="J8932">
        <f>(Table1[[#This Row],[value]] - Table1[[#This Row],[mean]]) / Table1[[#This Row],[std_dev]]</f>
        <v>-1.3665366476230638</v>
      </c>
      <c r="K8932">
        <f>AVERAGEIF(Table1[CountryCode],Table1[[#This Row],[CountryCode]],Table1[z-score])</f>
        <v>0.37045001694562285</v>
      </c>
      <c r="L8932" t="e">
        <f>VLOOKUP(Table1[[#This Row],[CountryCode]],[1]!Table1[#All],1,FALSE)</f>
        <v>#REF!</v>
      </c>
    </row>
    <row r="8933" spans="1:12" hidden="1" x14ac:dyDescent="0.3">
      <c r="A8933" t="s">
        <v>63</v>
      </c>
      <c r="B8933" t="s">
        <v>64</v>
      </c>
      <c r="C8933" t="s">
        <v>129</v>
      </c>
      <c r="D8933" t="s">
        <v>130</v>
      </c>
      <c r="E8933">
        <v>1964</v>
      </c>
      <c r="F8933" s="1">
        <v>65</v>
      </c>
      <c r="G8933">
        <v>1960</v>
      </c>
      <c r="H8933">
        <f>AVERAGEIFS(Table1[value],Table1[IndicatorCode],Table1[[#This Row],[IndicatorCode]])</f>
        <v>72.66514008620689</v>
      </c>
      <c r="I8933" cm="1">
        <f t="array" ref="I8933">_xlfn.STDEV.P(IF(Table1[IndicatorCode]=Table1[[#This Row],[IndicatorCode]],Table1[value]))</f>
        <v>6.3409496564024987</v>
      </c>
      <c r="J8933">
        <f>(Table1[[#This Row],[value]] - Table1[[#This Row],[mean]]) / Table1[[#This Row],[std_dev]]</f>
        <v>-1.2088315633396249</v>
      </c>
      <c r="K8933">
        <f>AVERAGEIF(Table1[CountryCode],Table1[[#This Row],[CountryCode]],Table1[z-score])</f>
        <v>0.37045001694562285</v>
      </c>
      <c r="L8933" t="e">
        <f>VLOOKUP(Table1[[#This Row],[CountryCode]],[1]!Table1[#All],1,FALSE)</f>
        <v>#REF!</v>
      </c>
    </row>
    <row r="8934" spans="1:12" hidden="1" x14ac:dyDescent="0.3">
      <c r="A8934" t="s">
        <v>63</v>
      </c>
      <c r="B8934" t="s">
        <v>64</v>
      </c>
      <c r="C8934" t="s">
        <v>129</v>
      </c>
      <c r="D8934" t="s">
        <v>130</v>
      </c>
      <c r="E8934">
        <v>1965</v>
      </c>
      <c r="F8934" s="1">
        <v>65</v>
      </c>
      <c r="G8934">
        <v>1960</v>
      </c>
      <c r="H8934">
        <f>AVERAGEIFS(Table1[value],Table1[IndicatorCode],Table1[[#This Row],[IndicatorCode]])</f>
        <v>72.66514008620689</v>
      </c>
      <c r="I8934" cm="1">
        <f t="array" ref="I8934">_xlfn.STDEV.P(IF(Table1[IndicatorCode]=Table1[[#This Row],[IndicatorCode]],Table1[value]))</f>
        <v>6.3409496564024987</v>
      </c>
      <c r="J8934">
        <f>(Table1[[#This Row],[value]] - Table1[[#This Row],[mean]]) / Table1[[#This Row],[std_dev]]</f>
        <v>-1.2088315633396249</v>
      </c>
      <c r="K8934">
        <f>AVERAGEIF(Table1[CountryCode],Table1[[#This Row],[CountryCode]],Table1[z-score])</f>
        <v>0.37045001694562285</v>
      </c>
      <c r="L8934" t="e">
        <f>VLOOKUP(Table1[[#This Row],[CountryCode]],[1]!Table1[#All],1,FALSE)</f>
        <v>#REF!</v>
      </c>
    </row>
    <row r="8935" spans="1:12" hidden="1" x14ac:dyDescent="0.3">
      <c r="A8935" t="s">
        <v>63</v>
      </c>
      <c r="B8935" t="s">
        <v>64</v>
      </c>
      <c r="C8935" t="s">
        <v>129</v>
      </c>
      <c r="D8935" t="s">
        <v>130</v>
      </c>
      <c r="E8935">
        <v>1966</v>
      </c>
      <c r="F8935" s="1">
        <v>65</v>
      </c>
      <c r="G8935">
        <v>1960</v>
      </c>
      <c r="H8935">
        <f>AVERAGEIFS(Table1[value],Table1[IndicatorCode],Table1[[#This Row],[IndicatorCode]])</f>
        <v>72.66514008620689</v>
      </c>
      <c r="I8935" cm="1">
        <f t="array" ref="I8935">_xlfn.STDEV.P(IF(Table1[IndicatorCode]=Table1[[#This Row],[IndicatorCode]],Table1[value]))</f>
        <v>6.3409496564024987</v>
      </c>
      <c r="J8935">
        <f>(Table1[[#This Row],[value]] - Table1[[#This Row],[mean]]) / Table1[[#This Row],[std_dev]]</f>
        <v>-1.2088315633396249</v>
      </c>
      <c r="K8935">
        <f>AVERAGEIF(Table1[CountryCode],Table1[[#This Row],[CountryCode]],Table1[z-score])</f>
        <v>0.37045001694562285</v>
      </c>
      <c r="L8935" t="e">
        <f>VLOOKUP(Table1[[#This Row],[CountryCode]],[1]!Table1[#All],1,FALSE)</f>
        <v>#REF!</v>
      </c>
    </row>
    <row r="8936" spans="1:12" hidden="1" x14ac:dyDescent="0.3">
      <c r="A8936" t="s">
        <v>63</v>
      </c>
      <c r="B8936" t="s">
        <v>64</v>
      </c>
      <c r="C8936" t="s">
        <v>129</v>
      </c>
      <c r="D8936" t="s">
        <v>130</v>
      </c>
      <c r="E8936">
        <v>1967</v>
      </c>
      <c r="F8936" s="1">
        <v>65</v>
      </c>
      <c r="G8936">
        <v>1970</v>
      </c>
      <c r="H8936">
        <f>AVERAGEIFS(Table1[value],Table1[IndicatorCode],Table1[[#This Row],[IndicatorCode]])</f>
        <v>72.66514008620689</v>
      </c>
      <c r="I8936" cm="1">
        <f t="array" ref="I8936">_xlfn.STDEV.P(IF(Table1[IndicatorCode]=Table1[[#This Row],[IndicatorCode]],Table1[value]))</f>
        <v>6.3409496564024987</v>
      </c>
      <c r="J8936">
        <f>(Table1[[#This Row],[value]] - Table1[[#This Row],[mean]]) / Table1[[#This Row],[std_dev]]</f>
        <v>-1.2088315633396249</v>
      </c>
      <c r="K8936">
        <f>AVERAGEIF(Table1[CountryCode],Table1[[#This Row],[CountryCode]],Table1[z-score])</f>
        <v>0.37045001694562285</v>
      </c>
      <c r="L8936" t="e">
        <f>VLOOKUP(Table1[[#This Row],[CountryCode]],[1]!Table1[#All],1,FALSE)</f>
        <v>#REF!</v>
      </c>
    </row>
    <row r="8937" spans="1:12" hidden="1" x14ac:dyDescent="0.3">
      <c r="A8937" t="s">
        <v>63</v>
      </c>
      <c r="B8937" t="s">
        <v>64</v>
      </c>
      <c r="C8937" t="s">
        <v>129</v>
      </c>
      <c r="D8937" t="s">
        <v>130</v>
      </c>
      <c r="E8937">
        <v>1968</v>
      </c>
      <c r="F8937" s="1">
        <v>66</v>
      </c>
      <c r="G8937">
        <v>1970</v>
      </c>
      <c r="H8937">
        <f>AVERAGEIFS(Table1[value],Table1[IndicatorCode],Table1[[#This Row],[IndicatorCode]])</f>
        <v>72.66514008620689</v>
      </c>
      <c r="I8937" cm="1">
        <f t="array" ref="I8937">_xlfn.STDEV.P(IF(Table1[IndicatorCode]=Table1[[#This Row],[IndicatorCode]],Table1[value]))</f>
        <v>6.3409496564024987</v>
      </c>
      <c r="J8937">
        <f>(Table1[[#This Row],[value]] - Table1[[#This Row],[mean]]) / Table1[[#This Row],[std_dev]]</f>
        <v>-1.0511264790561858</v>
      </c>
      <c r="K8937">
        <f>AVERAGEIF(Table1[CountryCode],Table1[[#This Row],[CountryCode]],Table1[z-score])</f>
        <v>0.37045001694562285</v>
      </c>
      <c r="L8937" t="e">
        <f>VLOOKUP(Table1[[#This Row],[CountryCode]],[1]!Table1[#All],1,FALSE)</f>
        <v>#REF!</v>
      </c>
    </row>
    <row r="8938" spans="1:12" hidden="1" x14ac:dyDescent="0.3">
      <c r="A8938" t="s">
        <v>63</v>
      </c>
      <c r="B8938" t="s">
        <v>64</v>
      </c>
      <c r="C8938" t="s">
        <v>129</v>
      </c>
      <c r="D8938" t="s">
        <v>130</v>
      </c>
      <c r="E8938">
        <v>1969</v>
      </c>
      <c r="F8938" s="1">
        <v>66</v>
      </c>
      <c r="G8938">
        <v>1970</v>
      </c>
      <c r="H8938">
        <f>AVERAGEIFS(Table1[value],Table1[IndicatorCode],Table1[[#This Row],[IndicatorCode]])</f>
        <v>72.66514008620689</v>
      </c>
      <c r="I8938" cm="1">
        <f t="array" ref="I8938">_xlfn.STDEV.P(IF(Table1[IndicatorCode]=Table1[[#This Row],[IndicatorCode]],Table1[value]))</f>
        <v>6.3409496564024987</v>
      </c>
      <c r="J8938">
        <f>(Table1[[#This Row],[value]] - Table1[[#This Row],[mean]]) / Table1[[#This Row],[std_dev]]</f>
        <v>-1.0511264790561858</v>
      </c>
      <c r="K8938">
        <f>AVERAGEIF(Table1[CountryCode],Table1[[#This Row],[CountryCode]],Table1[z-score])</f>
        <v>0.37045001694562285</v>
      </c>
      <c r="L8938" t="e">
        <f>VLOOKUP(Table1[[#This Row],[CountryCode]],[1]!Table1[#All],1,FALSE)</f>
        <v>#REF!</v>
      </c>
    </row>
    <row r="8939" spans="1:12" hidden="1" x14ac:dyDescent="0.3">
      <c r="A8939" t="s">
        <v>63</v>
      </c>
      <c r="B8939" t="s">
        <v>64</v>
      </c>
      <c r="C8939" t="s">
        <v>129</v>
      </c>
      <c r="D8939" t="s">
        <v>130</v>
      </c>
      <c r="E8939">
        <v>1970</v>
      </c>
      <c r="F8939" s="1">
        <v>66</v>
      </c>
      <c r="G8939">
        <v>1970</v>
      </c>
      <c r="H8939">
        <f>AVERAGEIFS(Table1[value],Table1[IndicatorCode],Table1[[#This Row],[IndicatorCode]])</f>
        <v>72.66514008620689</v>
      </c>
      <c r="I8939" cm="1">
        <f t="array" ref="I8939">_xlfn.STDEV.P(IF(Table1[IndicatorCode]=Table1[[#This Row],[IndicatorCode]],Table1[value]))</f>
        <v>6.3409496564024987</v>
      </c>
      <c r="J8939">
        <f>(Table1[[#This Row],[value]] - Table1[[#This Row],[mean]]) / Table1[[#This Row],[std_dev]]</f>
        <v>-1.0511264790561858</v>
      </c>
      <c r="K8939">
        <f>AVERAGEIF(Table1[CountryCode],Table1[[#This Row],[CountryCode]],Table1[z-score])</f>
        <v>0.37045001694562285</v>
      </c>
      <c r="L8939" t="e">
        <f>VLOOKUP(Table1[[#This Row],[CountryCode]],[1]!Table1[#All],1,FALSE)</f>
        <v>#REF!</v>
      </c>
    </row>
    <row r="8940" spans="1:12" hidden="1" x14ac:dyDescent="0.3">
      <c r="A8940" t="s">
        <v>63</v>
      </c>
      <c r="B8940" t="s">
        <v>64</v>
      </c>
      <c r="C8940" t="s">
        <v>129</v>
      </c>
      <c r="D8940" t="s">
        <v>130</v>
      </c>
      <c r="E8940">
        <v>1971</v>
      </c>
      <c r="F8940" s="1">
        <v>66</v>
      </c>
      <c r="G8940">
        <v>1970</v>
      </c>
      <c r="H8940">
        <f>AVERAGEIFS(Table1[value],Table1[IndicatorCode],Table1[[#This Row],[IndicatorCode]])</f>
        <v>72.66514008620689</v>
      </c>
      <c r="I8940" cm="1">
        <f t="array" ref="I8940">_xlfn.STDEV.P(IF(Table1[IndicatorCode]=Table1[[#This Row],[IndicatorCode]],Table1[value]))</f>
        <v>6.3409496564024987</v>
      </c>
      <c r="J8940">
        <f>(Table1[[#This Row],[value]] - Table1[[#This Row],[mean]]) / Table1[[#This Row],[std_dev]]</f>
        <v>-1.0511264790561858</v>
      </c>
      <c r="K8940">
        <f>AVERAGEIF(Table1[CountryCode],Table1[[#This Row],[CountryCode]],Table1[z-score])</f>
        <v>0.37045001694562285</v>
      </c>
      <c r="L8940" t="e">
        <f>VLOOKUP(Table1[[#This Row],[CountryCode]],[1]!Table1[#All],1,FALSE)</f>
        <v>#REF!</v>
      </c>
    </row>
    <row r="8941" spans="1:12" hidden="1" x14ac:dyDescent="0.3">
      <c r="A8941" t="s">
        <v>63</v>
      </c>
      <c r="B8941" t="s">
        <v>64</v>
      </c>
      <c r="C8941" t="s">
        <v>129</v>
      </c>
      <c r="D8941" t="s">
        <v>130</v>
      </c>
      <c r="E8941">
        <v>1972</v>
      </c>
      <c r="F8941" s="1">
        <v>66</v>
      </c>
      <c r="G8941">
        <v>1970</v>
      </c>
      <c r="H8941">
        <f>AVERAGEIFS(Table1[value],Table1[IndicatorCode],Table1[[#This Row],[IndicatorCode]])</f>
        <v>72.66514008620689</v>
      </c>
      <c r="I8941" cm="1">
        <f t="array" ref="I8941">_xlfn.STDEV.P(IF(Table1[IndicatorCode]=Table1[[#This Row],[IndicatorCode]],Table1[value]))</f>
        <v>6.3409496564024987</v>
      </c>
      <c r="J8941">
        <f>(Table1[[#This Row],[value]] - Table1[[#This Row],[mean]]) / Table1[[#This Row],[std_dev]]</f>
        <v>-1.0511264790561858</v>
      </c>
      <c r="K8941">
        <f>AVERAGEIF(Table1[CountryCode],Table1[[#This Row],[CountryCode]],Table1[z-score])</f>
        <v>0.37045001694562285</v>
      </c>
      <c r="L8941" t="e">
        <f>VLOOKUP(Table1[[#This Row],[CountryCode]],[1]!Table1[#All],1,FALSE)</f>
        <v>#REF!</v>
      </c>
    </row>
    <row r="8942" spans="1:12" hidden="1" x14ac:dyDescent="0.3">
      <c r="A8942" t="s">
        <v>63</v>
      </c>
      <c r="B8942" t="s">
        <v>64</v>
      </c>
      <c r="C8942" t="s">
        <v>129</v>
      </c>
      <c r="D8942" t="s">
        <v>130</v>
      </c>
      <c r="E8942">
        <v>1973</v>
      </c>
      <c r="F8942" s="1">
        <v>66</v>
      </c>
      <c r="G8942">
        <v>1970</v>
      </c>
      <c r="H8942">
        <f>AVERAGEIFS(Table1[value],Table1[IndicatorCode],Table1[[#This Row],[IndicatorCode]])</f>
        <v>72.66514008620689</v>
      </c>
      <c r="I8942" cm="1">
        <f t="array" ref="I8942">_xlfn.STDEV.P(IF(Table1[IndicatorCode]=Table1[[#This Row],[IndicatorCode]],Table1[value]))</f>
        <v>6.3409496564024987</v>
      </c>
      <c r="J8942">
        <f>(Table1[[#This Row],[value]] - Table1[[#This Row],[mean]]) / Table1[[#This Row],[std_dev]]</f>
        <v>-1.0511264790561858</v>
      </c>
      <c r="K8942">
        <f>AVERAGEIF(Table1[CountryCode],Table1[[#This Row],[CountryCode]],Table1[z-score])</f>
        <v>0.37045001694562285</v>
      </c>
      <c r="L8942" t="e">
        <f>VLOOKUP(Table1[[#This Row],[CountryCode]],[1]!Table1[#All],1,FALSE)</f>
        <v>#REF!</v>
      </c>
    </row>
    <row r="8943" spans="1:12" hidden="1" x14ac:dyDescent="0.3">
      <c r="A8943" t="s">
        <v>63</v>
      </c>
      <c r="B8943" t="s">
        <v>64</v>
      </c>
      <c r="C8943" t="s">
        <v>129</v>
      </c>
      <c r="D8943" t="s">
        <v>130</v>
      </c>
      <c r="E8943">
        <v>1974</v>
      </c>
      <c r="F8943" s="1">
        <v>66</v>
      </c>
      <c r="G8943">
        <v>1970</v>
      </c>
      <c r="H8943">
        <f>AVERAGEIFS(Table1[value],Table1[IndicatorCode],Table1[[#This Row],[IndicatorCode]])</f>
        <v>72.66514008620689</v>
      </c>
      <c r="I8943" cm="1">
        <f t="array" ref="I8943">_xlfn.STDEV.P(IF(Table1[IndicatorCode]=Table1[[#This Row],[IndicatorCode]],Table1[value]))</f>
        <v>6.3409496564024987</v>
      </c>
      <c r="J8943">
        <f>(Table1[[#This Row],[value]] - Table1[[#This Row],[mean]]) / Table1[[#This Row],[std_dev]]</f>
        <v>-1.0511264790561858</v>
      </c>
      <c r="K8943">
        <f>AVERAGEIF(Table1[CountryCode],Table1[[#This Row],[CountryCode]],Table1[z-score])</f>
        <v>0.37045001694562285</v>
      </c>
      <c r="L8943" t="e">
        <f>VLOOKUP(Table1[[#This Row],[CountryCode]],[1]!Table1[#All],1,FALSE)</f>
        <v>#REF!</v>
      </c>
    </row>
    <row r="8944" spans="1:12" hidden="1" x14ac:dyDescent="0.3">
      <c r="A8944" t="s">
        <v>63</v>
      </c>
      <c r="B8944" t="s">
        <v>64</v>
      </c>
      <c r="C8944" t="s">
        <v>129</v>
      </c>
      <c r="D8944" t="s">
        <v>130</v>
      </c>
      <c r="E8944">
        <v>1975</v>
      </c>
      <c r="F8944" s="1">
        <v>67</v>
      </c>
      <c r="G8944">
        <v>1970</v>
      </c>
      <c r="H8944">
        <f>AVERAGEIFS(Table1[value],Table1[IndicatorCode],Table1[[#This Row],[IndicatorCode]])</f>
        <v>72.66514008620689</v>
      </c>
      <c r="I8944" cm="1">
        <f t="array" ref="I8944">_xlfn.STDEV.P(IF(Table1[IndicatorCode]=Table1[[#This Row],[IndicatorCode]],Table1[value]))</f>
        <v>6.3409496564024987</v>
      </c>
      <c r="J8944">
        <f>(Table1[[#This Row],[value]] - Table1[[#This Row],[mean]]) / Table1[[#This Row],[std_dev]]</f>
        <v>-0.89342139477274674</v>
      </c>
      <c r="K8944">
        <f>AVERAGEIF(Table1[CountryCode],Table1[[#This Row],[CountryCode]],Table1[z-score])</f>
        <v>0.37045001694562285</v>
      </c>
      <c r="L8944" t="e">
        <f>VLOOKUP(Table1[[#This Row],[CountryCode]],[1]!Table1[#All],1,FALSE)</f>
        <v>#REF!</v>
      </c>
    </row>
    <row r="8945" spans="1:12" hidden="1" x14ac:dyDescent="0.3">
      <c r="A8945" t="s">
        <v>63</v>
      </c>
      <c r="B8945" t="s">
        <v>64</v>
      </c>
      <c r="C8945" t="s">
        <v>129</v>
      </c>
      <c r="D8945" t="s">
        <v>130</v>
      </c>
      <c r="E8945">
        <v>1976</v>
      </c>
      <c r="F8945" s="1">
        <v>67</v>
      </c>
      <c r="G8945">
        <v>1970</v>
      </c>
      <c r="H8945">
        <f>AVERAGEIFS(Table1[value],Table1[IndicatorCode],Table1[[#This Row],[IndicatorCode]])</f>
        <v>72.66514008620689</v>
      </c>
      <c r="I8945" cm="1">
        <f t="array" ref="I8945">_xlfn.STDEV.P(IF(Table1[IndicatorCode]=Table1[[#This Row],[IndicatorCode]],Table1[value]))</f>
        <v>6.3409496564024987</v>
      </c>
      <c r="J8945">
        <f>(Table1[[#This Row],[value]] - Table1[[#This Row],[mean]]) / Table1[[#This Row],[std_dev]]</f>
        <v>-0.89342139477274674</v>
      </c>
      <c r="K8945">
        <f>AVERAGEIF(Table1[CountryCode],Table1[[#This Row],[CountryCode]],Table1[z-score])</f>
        <v>0.37045001694562285</v>
      </c>
      <c r="L8945" t="e">
        <f>VLOOKUP(Table1[[#This Row],[CountryCode]],[1]!Table1[#All],1,FALSE)</f>
        <v>#REF!</v>
      </c>
    </row>
    <row r="8946" spans="1:12" hidden="1" x14ac:dyDescent="0.3">
      <c r="A8946" t="s">
        <v>63</v>
      </c>
      <c r="B8946" t="s">
        <v>64</v>
      </c>
      <c r="C8946" t="s">
        <v>129</v>
      </c>
      <c r="D8946" t="s">
        <v>130</v>
      </c>
      <c r="E8946">
        <v>1977</v>
      </c>
      <c r="F8946" s="1">
        <v>67</v>
      </c>
      <c r="G8946">
        <v>1980</v>
      </c>
      <c r="H8946">
        <f>AVERAGEIFS(Table1[value],Table1[IndicatorCode],Table1[[#This Row],[IndicatorCode]])</f>
        <v>72.66514008620689</v>
      </c>
      <c r="I8946" cm="1">
        <f t="array" ref="I8946">_xlfn.STDEV.P(IF(Table1[IndicatorCode]=Table1[[#This Row],[IndicatorCode]],Table1[value]))</f>
        <v>6.3409496564024987</v>
      </c>
      <c r="J8946">
        <f>(Table1[[#This Row],[value]] - Table1[[#This Row],[mean]]) / Table1[[#This Row],[std_dev]]</f>
        <v>-0.89342139477274674</v>
      </c>
      <c r="K8946">
        <f>AVERAGEIF(Table1[CountryCode],Table1[[#This Row],[CountryCode]],Table1[z-score])</f>
        <v>0.37045001694562285</v>
      </c>
      <c r="L8946" t="e">
        <f>VLOOKUP(Table1[[#This Row],[CountryCode]],[1]!Table1[#All],1,FALSE)</f>
        <v>#REF!</v>
      </c>
    </row>
    <row r="8947" spans="1:12" hidden="1" x14ac:dyDescent="0.3">
      <c r="A8947" t="s">
        <v>63</v>
      </c>
      <c r="B8947" t="s">
        <v>64</v>
      </c>
      <c r="C8947" t="s">
        <v>129</v>
      </c>
      <c r="D8947" t="s">
        <v>130</v>
      </c>
      <c r="E8947">
        <v>1978</v>
      </c>
      <c r="F8947" s="1">
        <v>68</v>
      </c>
      <c r="G8947">
        <v>1980</v>
      </c>
      <c r="H8947">
        <f>AVERAGEIFS(Table1[value],Table1[IndicatorCode],Table1[[#This Row],[IndicatorCode]])</f>
        <v>72.66514008620689</v>
      </c>
      <c r="I8947" cm="1">
        <f t="array" ref="I8947">_xlfn.STDEV.P(IF(Table1[IndicatorCode]=Table1[[#This Row],[IndicatorCode]],Table1[value]))</f>
        <v>6.3409496564024987</v>
      </c>
      <c r="J8947">
        <f>(Table1[[#This Row],[value]] - Table1[[#This Row],[mean]]) / Table1[[#This Row],[std_dev]]</f>
        <v>-0.73571631048930775</v>
      </c>
      <c r="K8947">
        <f>AVERAGEIF(Table1[CountryCode],Table1[[#This Row],[CountryCode]],Table1[z-score])</f>
        <v>0.37045001694562285</v>
      </c>
      <c r="L8947" t="e">
        <f>VLOOKUP(Table1[[#This Row],[CountryCode]],[1]!Table1[#All],1,FALSE)</f>
        <v>#REF!</v>
      </c>
    </row>
    <row r="8948" spans="1:12" hidden="1" x14ac:dyDescent="0.3">
      <c r="A8948" t="s">
        <v>63</v>
      </c>
      <c r="B8948" t="s">
        <v>64</v>
      </c>
      <c r="C8948" t="s">
        <v>129</v>
      </c>
      <c r="D8948" t="s">
        <v>130</v>
      </c>
      <c r="E8948">
        <v>1979</v>
      </c>
      <c r="F8948" s="1">
        <v>68</v>
      </c>
      <c r="G8948">
        <v>1980</v>
      </c>
      <c r="H8948">
        <f>AVERAGEIFS(Table1[value],Table1[IndicatorCode],Table1[[#This Row],[IndicatorCode]])</f>
        <v>72.66514008620689</v>
      </c>
      <c r="I8948" cm="1">
        <f t="array" ref="I8948">_xlfn.STDEV.P(IF(Table1[IndicatorCode]=Table1[[#This Row],[IndicatorCode]],Table1[value]))</f>
        <v>6.3409496564024987</v>
      </c>
      <c r="J8948">
        <f>(Table1[[#This Row],[value]] - Table1[[#This Row],[mean]]) / Table1[[#This Row],[std_dev]]</f>
        <v>-0.73571631048930775</v>
      </c>
      <c r="K8948">
        <f>AVERAGEIF(Table1[CountryCode],Table1[[#This Row],[CountryCode]],Table1[z-score])</f>
        <v>0.37045001694562285</v>
      </c>
      <c r="L8948" t="e">
        <f>VLOOKUP(Table1[[#This Row],[CountryCode]],[1]!Table1[#All],1,FALSE)</f>
        <v>#REF!</v>
      </c>
    </row>
    <row r="8949" spans="1:12" hidden="1" x14ac:dyDescent="0.3">
      <c r="A8949" t="s">
        <v>63</v>
      </c>
      <c r="B8949" t="s">
        <v>64</v>
      </c>
      <c r="C8949" t="s">
        <v>129</v>
      </c>
      <c r="D8949" t="s">
        <v>130</v>
      </c>
      <c r="E8949">
        <v>1980</v>
      </c>
      <c r="F8949" s="1">
        <v>68</v>
      </c>
      <c r="G8949">
        <v>1980</v>
      </c>
      <c r="H8949">
        <f>AVERAGEIFS(Table1[value],Table1[IndicatorCode],Table1[[#This Row],[IndicatorCode]])</f>
        <v>72.66514008620689</v>
      </c>
      <c r="I8949" cm="1">
        <f t="array" ref="I8949">_xlfn.STDEV.P(IF(Table1[IndicatorCode]=Table1[[#This Row],[IndicatorCode]],Table1[value]))</f>
        <v>6.3409496564024987</v>
      </c>
      <c r="J8949">
        <f>(Table1[[#This Row],[value]] - Table1[[#This Row],[mean]]) / Table1[[#This Row],[std_dev]]</f>
        <v>-0.73571631048930775</v>
      </c>
      <c r="K8949">
        <f>AVERAGEIF(Table1[CountryCode],Table1[[#This Row],[CountryCode]],Table1[z-score])</f>
        <v>0.37045001694562285</v>
      </c>
      <c r="L8949" t="e">
        <f>VLOOKUP(Table1[[#This Row],[CountryCode]],[1]!Table1[#All],1,FALSE)</f>
        <v>#REF!</v>
      </c>
    </row>
    <row r="8950" spans="1:12" hidden="1" x14ac:dyDescent="0.3">
      <c r="A8950" t="s">
        <v>63</v>
      </c>
      <c r="B8950" t="s">
        <v>64</v>
      </c>
      <c r="C8950" t="s">
        <v>129</v>
      </c>
      <c r="D8950" t="s">
        <v>130</v>
      </c>
      <c r="E8950">
        <v>1981</v>
      </c>
      <c r="F8950" s="1">
        <v>69</v>
      </c>
      <c r="G8950">
        <v>1980</v>
      </c>
      <c r="H8950">
        <f>AVERAGEIFS(Table1[value],Table1[IndicatorCode],Table1[[#This Row],[IndicatorCode]])</f>
        <v>72.66514008620689</v>
      </c>
      <c r="I8950" cm="1">
        <f t="array" ref="I8950">_xlfn.STDEV.P(IF(Table1[IndicatorCode]=Table1[[#This Row],[IndicatorCode]],Table1[value]))</f>
        <v>6.3409496564024987</v>
      </c>
      <c r="J8950">
        <f>(Table1[[#This Row],[value]] - Table1[[#This Row],[mean]]) / Table1[[#This Row],[std_dev]]</f>
        <v>-0.57801122620586864</v>
      </c>
      <c r="K8950">
        <f>AVERAGEIF(Table1[CountryCode],Table1[[#This Row],[CountryCode]],Table1[z-score])</f>
        <v>0.37045001694562285</v>
      </c>
      <c r="L8950" t="e">
        <f>VLOOKUP(Table1[[#This Row],[CountryCode]],[1]!Table1[#All],1,FALSE)</f>
        <v>#REF!</v>
      </c>
    </row>
    <row r="8951" spans="1:12" hidden="1" x14ac:dyDescent="0.3">
      <c r="A8951" t="s">
        <v>63</v>
      </c>
      <c r="B8951" t="s">
        <v>64</v>
      </c>
      <c r="C8951" t="s">
        <v>129</v>
      </c>
      <c r="D8951" t="s">
        <v>130</v>
      </c>
      <c r="E8951">
        <v>1982</v>
      </c>
      <c r="F8951" s="1">
        <v>69</v>
      </c>
      <c r="G8951">
        <v>1980</v>
      </c>
      <c r="H8951">
        <f>AVERAGEIFS(Table1[value],Table1[IndicatorCode],Table1[[#This Row],[IndicatorCode]])</f>
        <v>72.66514008620689</v>
      </c>
      <c r="I8951" cm="1">
        <f t="array" ref="I8951">_xlfn.STDEV.P(IF(Table1[IndicatorCode]=Table1[[#This Row],[IndicatorCode]],Table1[value]))</f>
        <v>6.3409496564024987</v>
      </c>
      <c r="J8951">
        <f>(Table1[[#This Row],[value]] - Table1[[#This Row],[mean]]) / Table1[[#This Row],[std_dev]]</f>
        <v>-0.57801122620586864</v>
      </c>
      <c r="K8951">
        <f>AVERAGEIF(Table1[CountryCode],Table1[[#This Row],[CountryCode]],Table1[z-score])</f>
        <v>0.37045001694562285</v>
      </c>
      <c r="L8951" t="e">
        <f>VLOOKUP(Table1[[#This Row],[CountryCode]],[1]!Table1[#All],1,FALSE)</f>
        <v>#REF!</v>
      </c>
    </row>
    <row r="8952" spans="1:12" hidden="1" x14ac:dyDescent="0.3">
      <c r="A8952" t="s">
        <v>63</v>
      </c>
      <c r="B8952" t="s">
        <v>64</v>
      </c>
      <c r="C8952" t="s">
        <v>129</v>
      </c>
      <c r="D8952" t="s">
        <v>130</v>
      </c>
      <c r="E8952">
        <v>1983</v>
      </c>
      <c r="F8952" s="1">
        <v>69</v>
      </c>
      <c r="G8952">
        <v>1980</v>
      </c>
      <c r="H8952">
        <f>AVERAGEIFS(Table1[value],Table1[IndicatorCode],Table1[[#This Row],[IndicatorCode]])</f>
        <v>72.66514008620689</v>
      </c>
      <c r="I8952" cm="1">
        <f t="array" ref="I8952">_xlfn.STDEV.P(IF(Table1[IndicatorCode]=Table1[[#This Row],[IndicatorCode]],Table1[value]))</f>
        <v>6.3409496564024987</v>
      </c>
      <c r="J8952">
        <f>(Table1[[#This Row],[value]] - Table1[[#This Row],[mean]]) / Table1[[#This Row],[std_dev]]</f>
        <v>-0.57801122620586864</v>
      </c>
      <c r="K8952">
        <f>AVERAGEIF(Table1[CountryCode],Table1[[#This Row],[CountryCode]],Table1[z-score])</f>
        <v>0.37045001694562285</v>
      </c>
      <c r="L8952" t="e">
        <f>VLOOKUP(Table1[[#This Row],[CountryCode]],[1]!Table1[#All],1,FALSE)</f>
        <v>#REF!</v>
      </c>
    </row>
    <row r="8953" spans="1:12" hidden="1" x14ac:dyDescent="0.3">
      <c r="A8953" t="s">
        <v>63</v>
      </c>
      <c r="B8953" t="s">
        <v>64</v>
      </c>
      <c r="C8953" t="s">
        <v>129</v>
      </c>
      <c r="D8953" t="s">
        <v>130</v>
      </c>
      <c r="E8953">
        <v>1984</v>
      </c>
      <c r="F8953" s="1">
        <v>70</v>
      </c>
      <c r="G8953">
        <v>1980</v>
      </c>
      <c r="H8953">
        <f>AVERAGEIFS(Table1[value],Table1[IndicatorCode],Table1[[#This Row],[IndicatorCode]])</f>
        <v>72.66514008620689</v>
      </c>
      <c r="I8953" cm="1">
        <f t="array" ref="I8953">_xlfn.STDEV.P(IF(Table1[IndicatorCode]=Table1[[#This Row],[IndicatorCode]],Table1[value]))</f>
        <v>6.3409496564024987</v>
      </c>
      <c r="J8953">
        <f>(Table1[[#This Row],[value]] - Table1[[#This Row],[mean]]) / Table1[[#This Row],[std_dev]]</f>
        <v>-0.4203061419224296</v>
      </c>
      <c r="K8953">
        <f>AVERAGEIF(Table1[CountryCode],Table1[[#This Row],[CountryCode]],Table1[z-score])</f>
        <v>0.37045001694562285</v>
      </c>
      <c r="L8953" t="e">
        <f>VLOOKUP(Table1[[#This Row],[CountryCode]],[1]!Table1[#All],1,FALSE)</f>
        <v>#REF!</v>
      </c>
    </row>
    <row r="8954" spans="1:12" hidden="1" x14ac:dyDescent="0.3">
      <c r="A8954" t="s">
        <v>63</v>
      </c>
      <c r="B8954" t="s">
        <v>64</v>
      </c>
      <c r="C8954" t="s">
        <v>129</v>
      </c>
      <c r="D8954" t="s">
        <v>130</v>
      </c>
      <c r="E8954">
        <v>1985</v>
      </c>
      <c r="F8954" s="1">
        <v>70</v>
      </c>
      <c r="G8954">
        <v>1980</v>
      </c>
      <c r="H8954">
        <f>AVERAGEIFS(Table1[value],Table1[IndicatorCode],Table1[[#This Row],[IndicatorCode]])</f>
        <v>72.66514008620689</v>
      </c>
      <c r="I8954" cm="1">
        <f t="array" ref="I8954">_xlfn.STDEV.P(IF(Table1[IndicatorCode]=Table1[[#This Row],[IndicatorCode]],Table1[value]))</f>
        <v>6.3409496564024987</v>
      </c>
      <c r="J8954">
        <f>(Table1[[#This Row],[value]] - Table1[[#This Row],[mean]]) / Table1[[#This Row],[std_dev]]</f>
        <v>-0.4203061419224296</v>
      </c>
      <c r="K8954">
        <f>AVERAGEIF(Table1[CountryCode],Table1[[#This Row],[CountryCode]],Table1[z-score])</f>
        <v>0.37045001694562285</v>
      </c>
      <c r="L8954" t="e">
        <f>VLOOKUP(Table1[[#This Row],[CountryCode]],[1]!Table1[#All],1,FALSE)</f>
        <v>#REF!</v>
      </c>
    </row>
    <row r="8955" spans="1:12" hidden="1" x14ac:dyDescent="0.3">
      <c r="A8955" t="s">
        <v>63</v>
      </c>
      <c r="B8955" t="s">
        <v>64</v>
      </c>
      <c r="C8955" t="s">
        <v>129</v>
      </c>
      <c r="D8955" t="s">
        <v>130</v>
      </c>
      <c r="E8955">
        <v>1986</v>
      </c>
      <c r="F8955" s="1">
        <v>70</v>
      </c>
      <c r="G8955">
        <v>1980</v>
      </c>
      <c r="H8955">
        <f>AVERAGEIFS(Table1[value],Table1[IndicatorCode],Table1[[#This Row],[IndicatorCode]])</f>
        <v>72.66514008620689</v>
      </c>
      <c r="I8955" cm="1">
        <f t="array" ref="I8955">_xlfn.STDEV.P(IF(Table1[IndicatorCode]=Table1[[#This Row],[IndicatorCode]],Table1[value]))</f>
        <v>6.3409496564024987</v>
      </c>
      <c r="J8955">
        <f>(Table1[[#This Row],[value]] - Table1[[#This Row],[mean]]) / Table1[[#This Row],[std_dev]]</f>
        <v>-0.4203061419224296</v>
      </c>
      <c r="K8955">
        <f>AVERAGEIF(Table1[CountryCode],Table1[[#This Row],[CountryCode]],Table1[z-score])</f>
        <v>0.37045001694562285</v>
      </c>
      <c r="L8955" t="e">
        <f>VLOOKUP(Table1[[#This Row],[CountryCode]],[1]!Table1[#All],1,FALSE)</f>
        <v>#REF!</v>
      </c>
    </row>
    <row r="8956" spans="1:12" hidden="1" x14ac:dyDescent="0.3">
      <c r="A8956" t="s">
        <v>63</v>
      </c>
      <c r="B8956" t="s">
        <v>64</v>
      </c>
      <c r="C8956" t="s">
        <v>129</v>
      </c>
      <c r="D8956" t="s">
        <v>130</v>
      </c>
      <c r="E8956">
        <v>1987</v>
      </c>
      <c r="F8956" s="1">
        <v>71</v>
      </c>
      <c r="G8956">
        <v>1990</v>
      </c>
      <c r="H8956">
        <f>AVERAGEIFS(Table1[value],Table1[IndicatorCode],Table1[[#This Row],[IndicatorCode]])</f>
        <v>72.66514008620689</v>
      </c>
      <c r="I8956" cm="1">
        <f t="array" ref="I8956">_xlfn.STDEV.P(IF(Table1[IndicatorCode]=Table1[[#This Row],[IndicatorCode]],Table1[value]))</f>
        <v>6.3409496564024987</v>
      </c>
      <c r="J8956">
        <f>(Table1[[#This Row],[value]] - Table1[[#This Row],[mean]]) / Table1[[#This Row],[std_dev]]</f>
        <v>-0.2626010576389905</v>
      </c>
      <c r="K8956">
        <f>AVERAGEIF(Table1[CountryCode],Table1[[#This Row],[CountryCode]],Table1[z-score])</f>
        <v>0.37045001694562285</v>
      </c>
      <c r="L8956" t="e">
        <f>VLOOKUP(Table1[[#This Row],[CountryCode]],[1]!Table1[#All],1,FALSE)</f>
        <v>#REF!</v>
      </c>
    </row>
    <row r="8957" spans="1:12" hidden="1" x14ac:dyDescent="0.3">
      <c r="A8957" t="s">
        <v>63</v>
      </c>
      <c r="B8957" t="s">
        <v>64</v>
      </c>
      <c r="C8957" t="s">
        <v>129</v>
      </c>
      <c r="D8957" t="s">
        <v>130</v>
      </c>
      <c r="E8957">
        <v>1988</v>
      </c>
      <c r="F8957" s="1">
        <v>71</v>
      </c>
      <c r="G8957">
        <v>1990</v>
      </c>
      <c r="H8957">
        <f>AVERAGEIFS(Table1[value],Table1[IndicatorCode],Table1[[#This Row],[IndicatorCode]])</f>
        <v>72.66514008620689</v>
      </c>
      <c r="I8957" cm="1">
        <f t="array" ref="I8957">_xlfn.STDEV.P(IF(Table1[IndicatorCode]=Table1[[#This Row],[IndicatorCode]],Table1[value]))</f>
        <v>6.3409496564024987</v>
      </c>
      <c r="J8957">
        <f>(Table1[[#This Row],[value]] - Table1[[#This Row],[mean]]) / Table1[[#This Row],[std_dev]]</f>
        <v>-0.2626010576389905</v>
      </c>
      <c r="K8957">
        <f>AVERAGEIF(Table1[CountryCode],Table1[[#This Row],[CountryCode]],Table1[z-score])</f>
        <v>0.37045001694562285</v>
      </c>
      <c r="L8957" t="e">
        <f>VLOOKUP(Table1[[#This Row],[CountryCode]],[1]!Table1[#All],1,FALSE)</f>
        <v>#REF!</v>
      </c>
    </row>
    <row r="8958" spans="1:12" hidden="1" x14ac:dyDescent="0.3">
      <c r="A8958" t="s">
        <v>63</v>
      </c>
      <c r="B8958" t="s">
        <v>64</v>
      </c>
      <c r="C8958" t="s">
        <v>129</v>
      </c>
      <c r="D8958" t="s">
        <v>130</v>
      </c>
      <c r="E8958">
        <v>1989</v>
      </c>
      <c r="F8958" s="1">
        <v>71</v>
      </c>
      <c r="G8958">
        <v>1990</v>
      </c>
      <c r="H8958">
        <f>AVERAGEIFS(Table1[value],Table1[IndicatorCode],Table1[[#This Row],[IndicatorCode]])</f>
        <v>72.66514008620689</v>
      </c>
      <c r="I8958" cm="1">
        <f t="array" ref="I8958">_xlfn.STDEV.P(IF(Table1[IndicatorCode]=Table1[[#This Row],[IndicatorCode]],Table1[value]))</f>
        <v>6.3409496564024987</v>
      </c>
      <c r="J8958">
        <f>(Table1[[#This Row],[value]] - Table1[[#This Row],[mean]]) / Table1[[#This Row],[std_dev]]</f>
        <v>-0.2626010576389905</v>
      </c>
      <c r="K8958">
        <f>AVERAGEIF(Table1[CountryCode],Table1[[#This Row],[CountryCode]],Table1[z-score])</f>
        <v>0.37045001694562285</v>
      </c>
      <c r="L8958" t="e">
        <f>VLOOKUP(Table1[[#This Row],[CountryCode]],[1]!Table1[#All],1,FALSE)</f>
        <v>#REF!</v>
      </c>
    </row>
    <row r="8959" spans="1:12" hidden="1" x14ac:dyDescent="0.3">
      <c r="A8959" t="s">
        <v>63</v>
      </c>
      <c r="B8959" t="s">
        <v>64</v>
      </c>
      <c r="C8959" t="s">
        <v>129</v>
      </c>
      <c r="D8959" t="s">
        <v>130</v>
      </c>
      <c r="E8959">
        <v>1990</v>
      </c>
      <c r="F8959" s="1">
        <v>72</v>
      </c>
      <c r="G8959">
        <v>1990</v>
      </c>
      <c r="H8959">
        <f>AVERAGEIFS(Table1[value],Table1[IndicatorCode],Table1[[#This Row],[IndicatorCode]])</f>
        <v>72.66514008620689</v>
      </c>
      <c r="I8959" cm="1">
        <f t="array" ref="I8959">_xlfn.STDEV.P(IF(Table1[IndicatorCode]=Table1[[#This Row],[IndicatorCode]],Table1[value]))</f>
        <v>6.3409496564024987</v>
      </c>
      <c r="J8959">
        <f>(Table1[[#This Row],[value]] - Table1[[#This Row],[mean]]) / Table1[[#This Row],[std_dev]]</f>
        <v>-0.10489597335555145</v>
      </c>
      <c r="K8959">
        <f>AVERAGEIF(Table1[CountryCode],Table1[[#This Row],[CountryCode]],Table1[z-score])</f>
        <v>0.37045001694562285</v>
      </c>
      <c r="L8959" t="e">
        <f>VLOOKUP(Table1[[#This Row],[CountryCode]],[1]!Table1[#All],1,FALSE)</f>
        <v>#REF!</v>
      </c>
    </row>
    <row r="8960" spans="1:12" hidden="1" x14ac:dyDescent="0.3">
      <c r="A8960" t="s">
        <v>63</v>
      </c>
      <c r="B8960" t="s">
        <v>64</v>
      </c>
      <c r="C8960" t="s">
        <v>129</v>
      </c>
      <c r="D8960" t="s">
        <v>130</v>
      </c>
      <c r="E8960">
        <v>1991</v>
      </c>
      <c r="F8960" s="1">
        <v>72</v>
      </c>
      <c r="G8960">
        <v>1990</v>
      </c>
      <c r="H8960">
        <f>AVERAGEIFS(Table1[value],Table1[IndicatorCode],Table1[[#This Row],[IndicatorCode]])</f>
        <v>72.66514008620689</v>
      </c>
      <c r="I8960" cm="1">
        <f t="array" ref="I8960">_xlfn.STDEV.P(IF(Table1[IndicatorCode]=Table1[[#This Row],[IndicatorCode]],Table1[value]))</f>
        <v>6.3409496564024987</v>
      </c>
      <c r="J8960">
        <f>(Table1[[#This Row],[value]] - Table1[[#This Row],[mean]]) / Table1[[#This Row],[std_dev]]</f>
        <v>-0.10489597335555145</v>
      </c>
      <c r="K8960">
        <f>AVERAGEIF(Table1[CountryCode],Table1[[#This Row],[CountryCode]],Table1[z-score])</f>
        <v>0.37045001694562285</v>
      </c>
      <c r="L8960" t="e">
        <f>VLOOKUP(Table1[[#This Row],[CountryCode]],[1]!Table1[#All],1,FALSE)</f>
        <v>#REF!</v>
      </c>
    </row>
    <row r="8961" spans="1:12" hidden="1" x14ac:dyDescent="0.3">
      <c r="A8961" t="s">
        <v>63</v>
      </c>
      <c r="B8961" t="s">
        <v>64</v>
      </c>
      <c r="C8961" t="s">
        <v>129</v>
      </c>
      <c r="D8961" t="s">
        <v>130</v>
      </c>
      <c r="E8961">
        <v>1992</v>
      </c>
      <c r="F8961" s="1">
        <v>73</v>
      </c>
      <c r="G8961">
        <v>1990</v>
      </c>
      <c r="H8961">
        <f>AVERAGEIFS(Table1[value],Table1[IndicatorCode],Table1[[#This Row],[IndicatorCode]])</f>
        <v>72.66514008620689</v>
      </c>
      <c r="I8961" cm="1">
        <f t="array" ref="I8961">_xlfn.STDEV.P(IF(Table1[IndicatorCode]=Table1[[#This Row],[IndicatorCode]],Table1[value]))</f>
        <v>6.3409496564024987</v>
      </c>
      <c r="J8961">
        <f>(Table1[[#This Row],[value]] - Table1[[#This Row],[mean]]) / Table1[[#This Row],[std_dev]]</f>
        <v>5.2809110927887599E-2</v>
      </c>
      <c r="K8961">
        <f>AVERAGEIF(Table1[CountryCode],Table1[[#This Row],[CountryCode]],Table1[z-score])</f>
        <v>0.37045001694562285</v>
      </c>
      <c r="L8961" t="e">
        <f>VLOOKUP(Table1[[#This Row],[CountryCode]],[1]!Table1[#All],1,FALSE)</f>
        <v>#REF!</v>
      </c>
    </row>
    <row r="8962" spans="1:12" hidden="1" x14ac:dyDescent="0.3">
      <c r="A8962" t="s">
        <v>63</v>
      </c>
      <c r="B8962" t="s">
        <v>64</v>
      </c>
      <c r="C8962" t="s">
        <v>129</v>
      </c>
      <c r="D8962" t="s">
        <v>130</v>
      </c>
      <c r="E8962">
        <v>1993</v>
      </c>
      <c r="F8962" s="1">
        <v>73</v>
      </c>
      <c r="G8962">
        <v>1990</v>
      </c>
      <c r="H8962">
        <f>AVERAGEIFS(Table1[value],Table1[IndicatorCode],Table1[[#This Row],[IndicatorCode]])</f>
        <v>72.66514008620689</v>
      </c>
      <c r="I8962" cm="1">
        <f t="array" ref="I8962">_xlfn.STDEV.P(IF(Table1[IndicatorCode]=Table1[[#This Row],[IndicatorCode]],Table1[value]))</f>
        <v>6.3409496564024987</v>
      </c>
      <c r="J8962">
        <f>(Table1[[#This Row],[value]] - Table1[[#This Row],[mean]]) / Table1[[#This Row],[std_dev]]</f>
        <v>5.2809110927887599E-2</v>
      </c>
      <c r="K8962">
        <f>AVERAGEIF(Table1[CountryCode],Table1[[#This Row],[CountryCode]],Table1[z-score])</f>
        <v>0.37045001694562285</v>
      </c>
      <c r="L8962" t="e">
        <f>VLOOKUP(Table1[[#This Row],[CountryCode]],[1]!Table1[#All],1,FALSE)</f>
        <v>#REF!</v>
      </c>
    </row>
    <row r="8963" spans="1:12" hidden="1" x14ac:dyDescent="0.3">
      <c r="A8963" t="s">
        <v>63</v>
      </c>
      <c r="B8963" t="s">
        <v>64</v>
      </c>
      <c r="C8963" t="s">
        <v>129</v>
      </c>
      <c r="D8963" t="s">
        <v>130</v>
      </c>
      <c r="E8963">
        <v>1994</v>
      </c>
      <c r="F8963" s="1">
        <v>73</v>
      </c>
      <c r="G8963">
        <v>1990</v>
      </c>
      <c r="H8963">
        <f>AVERAGEIFS(Table1[value],Table1[IndicatorCode],Table1[[#This Row],[IndicatorCode]])</f>
        <v>72.66514008620689</v>
      </c>
      <c r="I8963" cm="1">
        <f t="array" ref="I8963">_xlfn.STDEV.P(IF(Table1[IndicatorCode]=Table1[[#This Row],[IndicatorCode]],Table1[value]))</f>
        <v>6.3409496564024987</v>
      </c>
      <c r="J8963">
        <f>(Table1[[#This Row],[value]] - Table1[[#This Row],[mean]]) / Table1[[#This Row],[std_dev]]</f>
        <v>5.2809110927887599E-2</v>
      </c>
      <c r="K8963">
        <f>AVERAGEIF(Table1[CountryCode],Table1[[#This Row],[CountryCode]],Table1[z-score])</f>
        <v>0.37045001694562285</v>
      </c>
      <c r="L8963" t="e">
        <f>VLOOKUP(Table1[[#This Row],[CountryCode]],[1]!Table1[#All],1,FALSE)</f>
        <v>#REF!</v>
      </c>
    </row>
    <row r="8964" spans="1:12" hidden="1" x14ac:dyDescent="0.3">
      <c r="A8964" t="s">
        <v>63</v>
      </c>
      <c r="B8964" t="s">
        <v>64</v>
      </c>
      <c r="C8964" t="s">
        <v>129</v>
      </c>
      <c r="D8964" t="s">
        <v>130</v>
      </c>
      <c r="E8964">
        <v>1995</v>
      </c>
      <c r="F8964" s="1">
        <v>73</v>
      </c>
      <c r="G8964">
        <v>1990</v>
      </c>
      <c r="H8964">
        <f>AVERAGEIFS(Table1[value],Table1[IndicatorCode],Table1[[#This Row],[IndicatorCode]])</f>
        <v>72.66514008620689</v>
      </c>
      <c r="I8964" cm="1">
        <f t="array" ref="I8964">_xlfn.STDEV.P(IF(Table1[IndicatorCode]=Table1[[#This Row],[IndicatorCode]],Table1[value]))</f>
        <v>6.3409496564024987</v>
      </c>
      <c r="J8964">
        <f>(Table1[[#This Row],[value]] - Table1[[#This Row],[mean]]) / Table1[[#This Row],[std_dev]]</f>
        <v>5.2809110927887599E-2</v>
      </c>
      <c r="K8964">
        <f>AVERAGEIF(Table1[CountryCode],Table1[[#This Row],[CountryCode]],Table1[z-score])</f>
        <v>0.37045001694562285</v>
      </c>
      <c r="L8964" t="e">
        <f>VLOOKUP(Table1[[#This Row],[CountryCode]],[1]!Table1[#All],1,FALSE)</f>
        <v>#REF!</v>
      </c>
    </row>
    <row r="8965" spans="1:12" hidden="1" x14ac:dyDescent="0.3">
      <c r="A8965" t="s">
        <v>63</v>
      </c>
      <c r="B8965" t="s">
        <v>64</v>
      </c>
      <c r="C8965" t="s">
        <v>129</v>
      </c>
      <c r="D8965" t="s">
        <v>130</v>
      </c>
      <c r="E8965">
        <v>1996</v>
      </c>
      <c r="F8965" s="1">
        <v>74</v>
      </c>
      <c r="G8965">
        <v>1990</v>
      </c>
      <c r="H8965">
        <f>AVERAGEIFS(Table1[value],Table1[IndicatorCode],Table1[[#This Row],[IndicatorCode]])</f>
        <v>72.66514008620689</v>
      </c>
      <c r="I8965" cm="1">
        <f t="array" ref="I8965">_xlfn.STDEV.P(IF(Table1[IndicatorCode]=Table1[[#This Row],[IndicatorCode]],Table1[value]))</f>
        <v>6.3409496564024987</v>
      </c>
      <c r="J8965">
        <f>(Table1[[#This Row],[value]] - Table1[[#This Row],[mean]]) / Table1[[#This Row],[std_dev]]</f>
        <v>0.21051419521132667</v>
      </c>
      <c r="K8965">
        <f>AVERAGEIF(Table1[CountryCode],Table1[[#This Row],[CountryCode]],Table1[z-score])</f>
        <v>0.37045001694562285</v>
      </c>
      <c r="L8965" t="e">
        <f>VLOOKUP(Table1[[#This Row],[CountryCode]],[1]!Table1[#All],1,FALSE)</f>
        <v>#REF!</v>
      </c>
    </row>
    <row r="8966" spans="1:12" hidden="1" x14ac:dyDescent="0.3">
      <c r="A8966" t="s">
        <v>63</v>
      </c>
      <c r="B8966" t="s">
        <v>64</v>
      </c>
      <c r="C8966" t="s">
        <v>129</v>
      </c>
      <c r="D8966" t="s">
        <v>130</v>
      </c>
      <c r="E8966">
        <v>1997</v>
      </c>
      <c r="F8966" s="1">
        <v>74</v>
      </c>
      <c r="G8966">
        <v>2000</v>
      </c>
      <c r="H8966">
        <f>AVERAGEIFS(Table1[value],Table1[IndicatorCode],Table1[[#This Row],[IndicatorCode]])</f>
        <v>72.66514008620689</v>
      </c>
      <c r="I8966" cm="1">
        <f t="array" ref="I8966">_xlfn.STDEV.P(IF(Table1[IndicatorCode]=Table1[[#This Row],[IndicatorCode]],Table1[value]))</f>
        <v>6.3409496564024987</v>
      </c>
      <c r="J8966">
        <f>(Table1[[#This Row],[value]] - Table1[[#This Row],[mean]]) / Table1[[#This Row],[std_dev]]</f>
        <v>0.21051419521132667</v>
      </c>
      <c r="K8966">
        <f>AVERAGEIF(Table1[CountryCode],Table1[[#This Row],[CountryCode]],Table1[z-score])</f>
        <v>0.37045001694562285</v>
      </c>
      <c r="L8966" t="e">
        <f>VLOOKUP(Table1[[#This Row],[CountryCode]],[1]!Table1[#All],1,FALSE)</f>
        <v>#REF!</v>
      </c>
    </row>
    <row r="8967" spans="1:12" hidden="1" x14ac:dyDescent="0.3">
      <c r="A8967" t="s">
        <v>63</v>
      </c>
      <c r="B8967" t="s">
        <v>64</v>
      </c>
      <c r="C8967" t="s">
        <v>129</v>
      </c>
      <c r="D8967" t="s">
        <v>130</v>
      </c>
      <c r="E8967">
        <v>1998</v>
      </c>
      <c r="F8967" s="1">
        <v>74</v>
      </c>
      <c r="G8967">
        <v>2000</v>
      </c>
      <c r="H8967">
        <f>AVERAGEIFS(Table1[value],Table1[IndicatorCode],Table1[[#This Row],[IndicatorCode]])</f>
        <v>72.66514008620689</v>
      </c>
      <c r="I8967" cm="1">
        <f t="array" ref="I8967">_xlfn.STDEV.P(IF(Table1[IndicatorCode]=Table1[[#This Row],[IndicatorCode]],Table1[value]))</f>
        <v>6.3409496564024987</v>
      </c>
      <c r="J8967">
        <f>(Table1[[#This Row],[value]] - Table1[[#This Row],[mean]]) / Table1[[#This Row],[std_dev]]</f>
        <v>0.21051419521132667</v>
      </c>
      <c r="K8967">
        <f>AVERAGEIF(Table1[CountryCode],Table1[[#This Row],[CountryCode]],Table1[z-score])</f>
        <v>0.37045001694562285</v>
      </c>
      <c r="L8967" t="e">
        <f>VLOOKUP(Table1[[#This Row],[CountryCode]],[1]!Table1[#All],1,FALSE)</f>
        <v>#REF!</v>
      </c>
    </row>
    <row r="8968" spans="1:12" hidden="1" x14ac:dyDescent="0.3">
      <c r="A8968" t="s">
        <v>63</v>
      </c>
      <c r="B8968" t="s">
        <v>64</v>
      </c>
      <c r="C8968" t="s">
        <v>129</v>
      </c>
      <c r="D8968" t="s">
        <v>130</v>
      </c>
      <c r="E8968">
        <v>1999</v>
      </c>
      <c r="F8968" s="1">
        <v>74</v>
      </c>
      <c r="G8968">
        <v>2000</v>
      </c>
      <c r="H8968">
        <f>AVERAGEIFS(Table1[value],Table1[IndicatorCode],Table1[[#This Row],[IndicatorCode]])</f>
        <v>72.66514008620689</v>
      </c>
      <c r="I8968" cm="1">
        <f t="array" ref="I8968">_xlfn.STDEV.P(IF(Table1[IndicatorCode]=Table1[[#This Row],[IndicatorCode]],Table1[value]))</f>
        <v>6.3409496564024987</v>
      </c>
      <c r="J8968">
        <f>(Table1[[#This Row],[value]] - Table1[[#This Row],[mean]]) / Table1[[#This Row],[std_dev]]</f>
        <v>0.21051419521132667</v>
      </c>
      <c r="K8968">
        <f>AVERAGEIF(Table1[CountryCode],Table1[[#This Row],[CountryCode]],Table1[z-score])</f>
        <v>0.37045001694562285</v>
      </c>
      <c r="L8968" t="e">
        <f>VLOOKUP(Table1[[#This Row],[CountryCode]],[1]!Table1[#All],1,FALSE)</f>
        <v>#REF!</v>
      </c>
    </row>
    <row r="8969" spans="1:12" hidden="1" x14ac:dyDescent="0.3">
      <c r="A8969" t="s">
        <v>63</v>
      </c>
      <c r="B8969" t="s">
        <v>64</v>
      </c>
      <c r="C8969" t="s">
        <v>129</v>
      </c>
      <c r="D8969" t="s">
        <v>130</v>
      </c>
      <c r="E8969">
        <v>2000</v>
      </c>
      <c r="F8969" s="1">
        <v>75</v>
      </c>
      <c r="G8969">
        <v>2000</v>
      </c>
      <c r="H8969">
        <f>AVERAGEIFS(Table1[value],Table1[IndicatorCode],Table1[[#This Row],[IndicatorCode]])</f>
        <v>72.66514008620689</v>
      </c>
      <c r="I8969" cm="1">
        <f t="array" ref="I8969">_xlfn.STDEV.P(IF(Table1[IndicatorCode]=Table1[[#This Row],[IndicatorCode]],Table1[value]))</f>
        <v>6.3409496564024987</v>
      </c>
      <c r="J8969">
        <f>(Table1[[#This Row],[value]] - Table1[[#This Row],[mean]]) / Table1[[#This Row],[std_dev]]</f>
        <v>0.36821927949476574</v>
      </c>
      <c r="K8969">
        <f>AVERAGEIF(Table1[CountryCode],Table1[[#This Row],[CountryCode]],Table1[z-score])</f>
        <v>0.37045001694562285</v>
      </c>
      <c r="L8969" t="e">
        <f>VLOOKUP(Table1[[#This Row],[CountryCode]],[1]!Table1[#All],1,FALSE)</f>
        <v>#REF!</v>
      </c>
    </row>
    <row r="8970" spans="1:12" hidden="1" x14ac:dyDescent="0.3">
      <c r="A8970" t="s">
        <v>63</v>
      </c>
      <c r="B8970" t="s">
        <v>64</v>
      </c>
      <c r="C8970" t="s">
        <v>129</v>
      </c>
      <c r="D8970" t="s">
        <v>130</v>
      </c>
      <c r="E8970">
        <v>2001</v>
      </c>
      <c r="F8970" s="1">
        <v>75</v>
      </c>
      <c r="G8970">
        <v>2000</v>
      </c>
      <c r="H8970">
        <f>AVERAGEIFS(Table1[value],Table1[IndicatorCode],Table1[[#This Row],[IndicatorCode]])</f>
        <v>72.66514008620689</v>
      </c>
      <c r="I8970" cm="1">
        <f t="array" ref="I8970">_xlfn.STDEV.P(IF(Table1[IndicatorCode]=Table1[[#This Row],[IndicatorCode]],Table1[value]))</f>
        <v>6.3409496564024987</v>
      </c>
      <c r="J8970">
        <f>(Table1[[#This Row],[value]] - Table1[[#This Row],[mean]]) / Table1[[#This Row],[std_dev]]</f>
        <v>0.36821927949476574</v>
      </c>
      <c r="K8970">
        <f>AVERAGEIF(Table1[CountryCode],Table1[[#This Row],[CountryCode]],Table1[z-score])</f>
        <v>0.37045001694562285</v>
      </c>
      <c r="L8970" t="e">
        <f>VLOOKUP(Table1[[#This Row],[CountryCode]],[1]!Table1[#All],1,FALSE)</f>
        <v>#REF!</v>
      </c>
    </row>
    <row r="8971" spans="1:12" hidden="1" x14ac:dyDescent="0.3">
      <c r="A8971" t="s">
        <v>63</v>
      </c>
      <c r="B8971" t="s">
        <v>64</v>
      </c>
      <c r="C8971" t="s">
        <v>129</v>
      </c>
      <c r="D8971" t="s">
        <v>130</v>
      </c>
      <c r="E8971">
        <v>2002</v>
      </c>
      <c r="F8971" s="1">
        <v>76</v>
      </c>
      <c r="G8971">
        <v>2000</v>
      </c>
      <c r="H8971">
        <f>AVERAGEIFS(Table1[value],Table1[IndicatorCode],Table1[[#This Row],[IndicatorCode]])</f>
        <v>72.66514008620689</v>
      </c>
      <c r="I8971" cm="1">
        <f t="array" ref="I8971">_xlfn.STDEV.P(IF(Table1[IndicatorCode]=Table1[[#This Row],[IndicatorCode]],Table1[value]))</f>
        <v>6.3409496564024987</v>
      </c>
      <c r="J8971">
        <f>(Table1[[#This Row],[value]] - Table1[[#This Row],[mean]]) / Table1[[#This Row],[std_dev]]</f>
        <v>0.52592436377820473</v>
      </c>
      <c r="K8971">
        <f>AVERAGEIF(Table1[CountryCode],Table1[[#This Row],[CountryCode]],Table1[z-score])</f>
        <v>0.37045001694562285</v>
      </c>
      <c r="L8971" t="e">
        <f>VLOOKUP(Table1[[#This Row],[CountryCode]],[1]!Table1[#All],1,FALSE)</f>
        <v>#REF!</v>
      </c>
    </row>
    <row r="8972" spans="1:12" hidden="1" x14ac:dyDescent="0.3">
      <c r="A8972" t="s">
        <v>63</v>
      </c>
      <c r="B8972" t="s">
        <v>64</v>
      </c>
      <c r="C8972" t="s">
        <v>129</v>
      </c>
      <c r="D8972" t="s">
        <v>130</v>
      </c>
      <c r="E8972">
        <v>2003</v>
      </c>
      <c r="F8972" s="1">
        <v>76</v>
      </c>
      <c r="G8972">
        <v>2000</v>
      </c>
      <c r="H8972">
        <f>AVERAGEIFS(Table1[value],Table1[IndicatorCode],Table1[[#This Row],[IndicatorCode]])</f>
        <v>72.66514008620689</v>
      </c>
      <c r="I8972" cm="1">
        <f t="array" ref="I8972">_xlfn.STDEV.P(IF(Table1[IndicatorCode]=Table1[[#This Row],[IndicatorCode]],Table1[value]))</f>
        <v>6.3409496564024987</v>
      </c>
      <c r="J8972">
        <f>(Table1[[#This Row],[value]] - Table1[[#This Row],[mean]]) / Table1[[#This Row],[std_dev]]</f>
        <v>0.52592436377820473</v>
      </c>
      <c r="K8972">
        <f>AVERAGEIF(Table1[CountryCode],Table1[[#This Row],[CountryCode]],Table1[z-score])</f>
        <v>0.37045001694562285</v>
      </c>
      <c r="L8972" t="e">
        <f>VLOOKUP(Table1[[#This Row],[CountryCode]],[1]!Table1[#All],1,FALSE)</f>
        <v>#REF!</v>
      </c>
    </row>
    <row r="8973" spans="1:12" hidden="1" x14ac:dyDescent="0.3">
      <c r="A8973" t="s">
        <v>63</v>
      </c>
      <c r="B8973" t="s">
        <v>64</v>
      </c>
      <c r="C8973" t="s">
        <v>129</v>
      </c>
      <c r="D8973" t="s">
        <v>130</v>
      </c>
      <c r="E8973">
        <v>2004</v>
      </c>
      <c r="F8973" s="1">
        <v>77</v>
      </c>
      <c r="G8973">
        <v>2000</v>
      </c>
      <c r="H8973">
        <f>AVERAGEIFS(Table1[value],Table1[IndicatorCode],Table1[[#This Row],[IndicatorCode]])</f>
        <v>72.66514008620689</v>
      </c>
      <c r="I8973" cm="1">
        <f t="array" ref="I8973">_xlfn.STDEV.P(IF(Table1[IndicatorCode]=Table1[[#This Row],[IndicatorCode]],Table1[value]))</f>
        <v>6.3409496564024987</v>
      </c>
      <c r="J8973">
        <f>(Table1[[#This Row],[value]] - Table1[[#This Row],[mean]]) / Table1[[#This Row],[std_dev]]</f>
        <v>0.68362944806164383</v>
      </c>
      <c r="K8973">
        <f>AVERAGEIF(Table1[CountryCode],Table1[[#This Row],[CountryCode]],Table1[z-score])</f>
        <v>0.37045001694562285</v>
      </c>
      <c r="L8973" t="e">
        <f>VLOOKUP(Table1[[#This Row],[CountryCode]],[1]!Table1[#All],1,FALSE)</f>
        <v>#REF!</v>
      </c>
    </row>
    <row r="8974" spans="1:12" hidden="1" x14ac:dyDescent="0.3">
      <c r="A8974" t="s">
        <v>63</v>
      </c>
      <c r="B8974" t="s">
        <v>64</v>
      </c>
      <c r="C8974" t="s">
        <v>129</v>
      </c>
      <c r="D8974" t="s">
        <v>130</v>
      </c>
      <c r="E8974">
        <v>2005</v>
      </c>
      <c r="F8974" s="1">
        <v>77</v>
      </c>
      <c r="G8974">
        <v>2000</v>
      </c>
      <c r="H8974">
        <f>AVERAGEIFS(Table1[value],Table1[IndicatorCode],Table1[[#This Row],[IndicatorCode]])</f>
        <v>72.66514008620689</v>
      </c>
      <c r="I8974" cm="1">
        <f t="array" ref="I8974">_xlfn.STDEV.P(IF(Table1[IndicatorCode]=Table1[[#This Row],[IndicatorCode]],Table1[value]))</f>
        <v>6.3409496564024987</v>
      </c>
      <c r="J8974">
        <f>(Table1[[#This Row],[value]] - Table1[[#This Row],[mean]]) / Table1[[#This Row],[std_dev]]</f>
        <v>0.68362944806164383</v>
      </c>
      <c r="K8974">
        <f>AVERAGEIF(Table1[CountryCode],Table1[[#This Row],[CountryCode]],Table1[z-score])</f>
        <v>0.37045001694562285</v>
      </c>
      <c r="L8974" t="e">
        <f>VLOOKUP(Table1[[#This Row],[CountryCode]],[1]!Table1[#All],1,FALSE)</f>
        <v>#REF!</v>
      </c>
    </row>
    <row r="8975" spans="1:12" hidden="1" x14ac:dyDescent="0.3">
      <c r="A8975" t="s">
        <v>63</v>
      </c>
      <c r="B8975" t="s">
        <v>64</v>
      </c>
      <c r="C8975" t="s">
        <v>129</v>
      </c>
      <c r="D8975" t="s">
        <v>130</v>
      </c>
      <c r="E8975">
        <v>2006</v>
      </c>
      <c r="F8975" s="1">
        <v>78</v>
      </c>
      <c r="G8975">
        <v>2000</v>
      </c>
      <c r="H8975">
        <f>AVERAGEIFS(Table1[value],Table1[IndicatorCode],Table1[[#This Row],[IndicatorCode]])</f>
        <v>72.66514008620689</v>
      </c>
      <c r="I8975" cm="1">
        <f t="array" ref="I8975">_xlfn.STDEV.P(IF(Table1[IndicatorCode]=Table1[[#This Row],[IndicatorCode]],Table1[value]))</f>
        <v>6.3409496564024987</v>
      </c>
      <c r="J8975">
        <f>(Table1[[#This Row],[value]] - Table1[[#This Row],[mean]]) / Table1[[#This Row],[std_dev]]</f>
        <v>0.84133453234508293</v>
      </c>
      <c r="K8975">
        <f>AVERAGEIF(Table1[CountryCode],Table1[[#This Row],[CountryCode]],Table1[z-score])</f>
        <v>0.37045001694562285</v>
      </c>
      <c r="L8975" t="e">
        <f>VLOOKUP(Table1[[#This Row],[CountryCode]],[1]!Table1[#All],1,FALSE)</f>
        <v>#REF!</v>
      </c>
    </row>
    <row r="8976" spans="1:12" hidden="1" x14ac:dyDescent="0.3">
      <c r="A8976" t="s">
        <v>63</v>
      </c>
      <c r="B8976" t="s">
        <v>64</v>
      </c>
      <c r="C8976" t="s">
        <v>129</v>
      </c>
      <c r="D8976" t="s">
        <v>130</v>
      </c>
      <c r="E8976">
        <v>2007</v>
      </c>
      <c r="F8976" s="1">
        <v>78</v>
      </c>
      <c r="G8976">
        <v>2010</v>
      </c>
      <c r="H8976">
        <f>AVERAGEIFS(Table1[value],Table1[IndicatorCode],Table1[[#This Row],[IndicatorCode]])</f>
        <v>72.66514008620689</v>
      </c>
      <c r="I8976" cm="1">
        <f t="array" ref="I8976">_xlfn.STDEV.P(IF(Table1[IndicatorCode]=Table1[[#This Row],[IndicatorCode]],Table1[value]))</f>
        <v>6.3409496564024987</v>
      </c>
      <c r="J8976">
        <f>(Table1[[#This Row],[value]] - Table1[[#This Row],[mean]]) / Table1[[#This Row],[std_dev]]</f>
        <v>0.84133453234508293</v>
      </c>
      <c r="K8976">
        <f>AVERAGEIF(Table1[CountryCode],Table1[[#This Row],[CountryCode]],Table1[z-score])</f>
        <v>0.37045001694562285</v>
      </c>
      <c r="L8976" t="e">
        <f>VLOOKUP(Table1[[#This Row],[CountryCode]],[1]!Table1[#All],1,FALSE)</f>
        <v>#REF!</v>
      </c>
    </row>
    <row r="8977" spans="1:12" hidden="1" x14ac:dyDescent="0.3">
      <c r="A8977" t="s">
        <v>63</v>
      </c>
      <c r="B8977" t="s">
        <v>64</v>
      </c>
      <c r="C8977" t="s">
        <v>129</v>
      </c>
      <c r="D8977" t="s">
        <v>130</v>
      </c>
      <c r="E8977">
        <v>2008</v>
      </c>
      <c r="F8977" s="1">
        <v>79</v>
      </c>
      <c r="G8977">
        <v>2010</v>
      </c>
      <c r="H8977">
        <f>AVERAGEIFS(Table1[value],Table1[IndicatorCode],Table1[[#This Row],[IndicatorCode]])</f>
        <v>72.66514008620689</v>
      </c>
      <c r="I8977" cm="1">
        <f t="array" ref="I8977">_xlfn.STDEV.P(IF(Table1[IndicatorCode]=Table1[[#This Row],[IndicatorCode]],Table1[value]))</f>
        <v>6.3409496564024987</v>
      </c>
      <c r="J8977">
        <f>(Table1[[#This Row],[value]] - Table1[[#This Row],[mean]]) / Table1[[#This Row],[std_dev]]</f>
        <v>0.99903961662852192</v>
      </c>
      <c r="K8977">
        <f>AVERAGEIF(Table1[CountryCode],Table1[[#This Row],[CountryCode]],Table1[z-score])</f>
        <v>0.37045001694562285</v>
      </c>
      <c r="L8977" t="e">
        <f>VLOOKUP(Table1[[#This Row],[CountryCode]],[1]!Table1[#All],1,FALSE)</f>
        <v>#REF!</v>
      </c>
    </row>
    <row r="8978" spans="1:12" hidden="1" x14ac:dyDescent="0.3">
      <c r="A8978" t="s">
        <v>63</v>
      </c>
      <c r="B8978" t="s">
        <v>64</v>
      </c>
      <c r="C8978" t="s">
        <v>129</v>
      </c>
      <c r="D8978" t="s">
        <v>130</v>
      </c>
      <c r="E8978">
        <v>2009</v>
      </c>
      <c r="F8978" s="1">
        <v>79</v>
      </c>
      <c r="G8978">
        <v>2010</v>
      </c>
      <c r="H8978">
        <f>AVERAGEIFS(Table1[value],Table1[IndicatorCode],Table1[[#This Row],[IndicatorCode]])</f>
        <v>72.66514008620689</v>
      </c>
      <c r="I8978" cm="1">
        <f t="array" ref="I8978">_xlfn.STDEV.P(IF(Table1[IndicatorCode]=Table1[[#This Row],[IndicatorCode]],Table1[value]))</f>
        <v>6.3409496564024987</v>
      </c>
      <c r="J8978">
        <f>(Table1[[#This Row],[value]] - Table1[[#This Row],[mean]]) / Table1[[#This Row],[std_dev]]</f>
        <v>0.99903961662852192</v>
      </c>
      <c r="K8978">
        <f>AVERAGEIF(Table1[CountryCode],Table1[[#This Row],[CountryCode]],Table1[z-score])</f>
        <v>0.37045001694562285</v>
      </c>
      <c r="L8978" t="e">
        <f>VLOOKUP(Table1[[#This Row],[CountryCode]],[1]!Table1[#All],1,FALSE)</f>
        <v>#REF!</v>
      </c>
    </row>
    <row r="8979" spans="1:12" hidden="1" x14ac:dyDescent="0.3">
      <c r="A8979" t="s">
        <v>63</v>
      </c>
      <c r="B8979" t="s">
        <v>64</v>
      </c>
      <c r="C8979" t="s">
        <v>129</v>
      </c>
      <c r="D8979" t="s">
        <v>130</v>
      </c>
      <c r="E8979">
        <v>2010</v>
      </c>
      <c r="F8979" s="1">
        <v>80</v>
      </c>
      <c r="G8979">
        <v>2010</v>
      </c>
      <c r="H8979">
        <f>AVERAGEIFS(Table1[value],Table1[IndicatorCode],Table1[[#This Row],[IndicatorCode]])</f>
        <v>72.66514008620689</v>
      </c>
      <c r="I8979" cm="1">
        <f t="array" ref="I8979">_xlfn.STDEV.P(IF(Table1[IndicatorCode]=Table1[[#This Row],[IndicatorCode]],Table1[value]))</f>
        <v>6.3409496564024987</v>
      </c>
      <c r="J8979">
        <f>(Table1[[#This Row],[value]] - Table1[[#This Row],[mean]]) / Table1[[#This Row],[std_dev]]</f>
        <v>1.1567447009119609</v>
      </c>
      <c r="K8979">
        <f>AVERAGEIF(Table1[CountryCode],Table1[[#This Row],[CountryCode]],Table1[z-score])</f>
        <v>0.37045001694562285</v>
      </c>
      <c r="L8979" t="e">
        <f>VLOOKUP(Table1[[#This Row],[CountryCode]],[1]!Table1[#All],1,FALSE)</f>
        <v>#REF!</v>
      </c>
    </row>
    <row r="8980" spans="1:12" hidden="1" x14ac:dyDescent="0.3">
      <c r="A8980" t="s">
        <v>63</v>
      </c>
      <c r="B8980" t="s">
        <v>64</v>
      </c>
      <c r="C8980" t="s">
        <v>129</v>
      </c>
      <c r="D8980" t="s">
        <v>130</v>
      </c>
      <c r="E8980">
        <v>2011</v>
      </c>
      <c r="F8980" s="1">
        <v>80</v>
      </c>
      <c r="G8980">
        <v>2010</v>
      </c>
      <c r="H8980">
        <f>AVERAGEIFS(Table1[value],Table1[IndicatorCode],Table1[[#This Row],[IndicatorCode]])</f>
        <v>72.66514008620689</v>
      </c>
      <c r="I8980" cm="1">
        <f t="array" ref="I8980">_xlfn.STDEV.P(IF(Table1[IndicatorCode]=Table1[[#This Row],[IndicatorCode]],Table1[value]))</f>
        <v>6.3409496564024987</v>
      </c>
      <c r="J8980">
        <f>(Table1[[#This Row],[value]] - Table1[[#This Row],[mean]]) / Table1[[#This Row],[std_dev]]</f>
        <v>1.1567447009119609</v>
      </c>
      <c r="K8980">
        <f>AVERAGEIF(Table1[CountryCode],Table1[[#This Row],[CountryCode]],Table1[z-score])</f>
        <v>0.37045001694562285</v>
      </c>
      <c r="L8980" t="e">
        <f>VLOOKUP(Table1[[#This Row],[CountryCode]],[1]!Table1[#All],1,FALSE)</f>
        <v>#REF!</v>
      </c>
    </row>
    <row r="8981" spans="1:12" hidden="1" x14ac:dyDescent="0.3">
      <c r="A8981" t="s">
        <v>63</v>
      </c>
      <c r="B8981" t="s">
        <v>64</v>
      </c>
      <c r="C8981" t="s">
        <v>129</v>
      </c>
      <c r="D8981" t="s">
        <v>130</v>
      </c>
      <c r="E8981">
        <v>2012</v>
      </c>
      <c r="F8981" s="1">
        <v>80</v>
      </c>
      <c r="G8981">
        <v>2010</v>
      </c>
      <c r="H8981">
        <f>AVERAGEIFS(Table1[value],Table1[IndicatorCode],Table1[[#This Row],[IndicatorCode]])</f>
        <v>72.66514008620689</v>
      </c>
      <c r="I8981" cm="1">
        <f t="array" ref="I8981">_xlfn.STDEV.P(IF(Table1[IndicatorCode]=Table1[[#This Row],[IndicatorCode]],Table1[value]))</f>
        <v>6.3409496564024987</v>
      </c>
      <c r="J8981">
        <f>(Table1[[#This Row],[value]] - Table1[[#This Row],[mean]]) / Table1[[#This Row],[std_dev]]</f>
        <v>1.1567447009119609</v>
      </c>
      <c r="K8981">
        <f>AVERAGEIF(Table1[CountryCode],Table1[[#This Row],[CountryCode]],Table1[z-score])</f>
        <v>0.37045001694562285</v>
      </c>
      <c r="L8981" t="e">
        <f>VLOOKUP(Table1[[#This Row],[CountryCode]],[1]!Table1[#All],1,FALSE)</f>
        <v>#REF!</v>
      </c>
    </row>
    <row r="8982" spans="1:12" hidden="1" x14ac:dyDescent="0.3">
      <c r="A8982" t="s">
        <v>63</v>
      </c>
      <c r="B8982" t="s">
        <v>64</v>
      </c>
      <c r="C8982" t="s">
        <v>129</v>
      </c>
      <c r="D8982" t="s">
        <v>130</v>
      </c>
      <c r="E8982">
        <v>2013</v>
      </c>
      <c r="F8982" s="1">
        <v>80</v>
      </c>
      <c r="G8982">
        <v>2010</v>
      </c>
      <c r="H8982">
        <f>AVERAGEIFS(Table1[value],Table1[IndicatorCode],Table1[[#This Row],[IndicatorCode]])</f>
        <v>72.66514008620689</v>
      </c>
      <c r="I8982" cm="1">
        <f t="array" ref="I8982">_xlfn.STDEV.P(IF(Table1[IndicatorCode]=Table1[[#This Row],[IndicatorCode]],Table1[value]))</f>
        <v>6.3409496564024987</v>
      </c>
      <c r="J8982">
        <f>(Table1[[#This Row],[value]] - Table1[[#This Row],[mean]]) / Table1[[#This Row],[std_dev]]</f>
        <v>1.1567447009119609</v>
      </c>
      <c r="K8982">
        <f>AVERAGEIF(Table1[CountryCode],Table1[[#This Row],[CountryCode]],Table1[z-score])</f>
        <v>0.37045001694562285</v>
      </c>
      <c r="L8982" t="e">
        <f>VLOOKUP(Table1[[#This Row],[CountryCode]],[1]!Table1[#All],1,FALSE)</f>
        <v>#REF!</v>
      </c>
    </row>
    <row r="8983" spans="1:12" hidden="1" x14ac:dyDescent="0.3">
      <c r="A8983" t="s">
        <v>63</v>
      </c>
      <c r="B8983" t="s">
        <v>64</v>
      </c>
      <c r="C8983" t="s">
        <v>129</v>
      </c>
      <c r="D8983" t="s">
        <v>130</v>
      </c>
      <c r="E8983">
        <v>2014</v>
      </c>
      <c r="F8983" s="1">
        <v>80</v>
      </c>
      <c r="G8983">
        <v>2010</v>
      </c>
      <c r="H8983">
        <f>AVERAGEIFS(Table1[value],Table1[IndicatorCode],Table1[[#This Row],[IndicatorCode]])</f>
        <v>72.66514008620689</v>
      </c>
      <c r="I8983" cm="1">
        <f t="array" ref="I8983">_xlfn.STDEV.P(IF(Table1[IndicatorCode]=Table1[[#This Row],[IndicatorCode]],Table1[value]))</f>
        <v>6.3409496564024987</v>
      </c>
      <c r="J8983">
        <f>(Table1[[#This Row],[value]] - Table1[[#This Row],[mean]]) / Table1[[#This Row],[std_dev]]</f>
        <v>1.1567447009119609</v>
      </c>
      <c r="K8983">
        <f>AVERAGEIF(Table1[CountryCode],Table1[[#This Row],[CountryCode]],Table1[z-score])</f>
        <v>0.37045001694562285</v>
      </c>
      <c r="L8983" t="e">
        <f>VLOOKUP(Table1[[#This Row],[CountryCode]],[1]!Table1[#All],1,FALSE)</f>
        <v>#REF!</v>
      </c>
    </row>
    <row r="8984" spans="1:12" hidden="1" x14ac:dyDescent="0.3">
      <c r="A8984" t="s">
        <v>63</v>
      </c>
      <c r="B8984" t="s">
        <v>64</v>
      </c>
      <c r="C8984" t="s">
        <v>129</v>
      </c>
      <c r="D8984" t="s">
        <v>130</v>
      </c>
      <c r="E8984">
        <v>2015</v>
      </c>
      <c r="F8984" s="1">
        <v>80</v>
      </c>
      <c r="G8984">
        <v>2010</v>
      </c>
      <c r="H8984">
        <f>AVERAGEIFS(Table1[value],Table1[IndicatorCode],Table1[[#This Row],[IndicatorCode]])</f>
        <v>72.66514008620689</v>
      </c>
      <c r="I8984" cm="1">
        <f t="array" ref="I8984">_xlfn.STDEV.P(IF(Table1[IndicatorCode]=Table1[[#This Row],[IndicatorCode]],Table1[value]))</f>
        <v>6.3409496564024987</v>
      </c>
      <c r="J8984">
        <f>(Table1[[#This Row],[value]] - Table1[[#This Row],[mean]]) / Table1[[#This Row],[std_dev]]</f>
        <v>1.1567447009119609</v>
      </c>
      <c r="K8984">
        <f>AVERAGEIF(Table1[CountryCode],Table1[[#This Row],[CountryCode]],Table1[z-score])</f>
        <v>0.37045001694562285</v>
      </c>
      <c r="L8984" t="e">
        <f>VLOOKUP(Table1[[#This Row],[CountryCode]],[1]!Table1[#All],1,FALSE)</f>
        <v>#REF!</v>
      </c>
    </row>
    <row r="8985" spans="1:12" hidden="1" x14ac:dyDescent="0.3">
      <c r="A8985" t="s">
        <v>63</v>
      </c>
      <c r="B8985" t="s">
        <v>64</v>
      </c>
      <c r="C8985" t="s">
        <v>129</v>
      </c>
      <c r="D8985" t="s">
        <v>130</v>
      </c>
      <c r="E8985">
        <v>2016</v>
      </c>
      <c r="F8985" s="1">
        <v>80</v>
      </c>
      <c r="G8985">
        <v>2010</v>
      </c>
      <c r="H8985">
        <f>AVERAGEIFS(Table1[value],Table1[IndicatorCode],Table1[[#This Row],[IndicatorCode]])</f>
        <v>72.66514008620689</v>
      </c>
      <c r="I8985" cm="1">
        <f t="array" ref="I8985">_xlfn.STDEV.P(IF(Table1[IndicatorCode]=Table1[[#This Row],[IndicatorCode]],Table1[value]))</f>
        <v>6.3409496564024987</v>
      </c>
      <c r="J8985">
        <f>(Table1[[#This Row],[value]] - Table1[[#This Row],[mean]]) / Table1[[#This Row],[std_dev]]</f>
        <v>1.1567447009119609</v>
      </c>
      <c r="K8985">
        <f>AVERAGEIF(Table1[CountryCode],Table1[[#This Row],[CountryCode]],Table1[z-score])</f>
        <v>0.37045001694562285</v>
      </c>
      <c r="L8985" t="e">
        <f>VLOOKUP(Table1[[#This Row],[CountryCode]],[1]!Table1[#All],1,FALSE)</f>
        <v>#REF!</v>
      </c>
    </row>
    <row r="8986" spans="1:12" hidden="1" x14ac:dyDescent="0.3">
      <c r="A8986" t="s">
        <v>63</v>
      </c>
      <c r="B8986" t="s">
        <v>64</v>
      </c>
      <c r="C8986" t="s">
        <v>129</v>
      </c>
      <c r="D8986" t="s">
        <v>130</v>
      </c>
      <c r="E8986">
        <v>2017</v>
      </c>
      <c r="F8986" s="1">
        <v>81</v>
      </c>
      <c r="G8986">
        <v>2020</v>
      </c>
      <c r="H8986">
        <f>AVERAGEIFS(Table1[value],Table1[IndicatorCode],Table1[[#This Row],[IndicatorCode]])</f>
        <v>72.66514008620689</v>
      </c>
      <c r="I8986" cm="1">
        <f t="array" ref="I8986">_xlfn.STDEV.P(IF(Table1[IndicatorCode]=Table1[[#This Row],[IndicatorCode]],Table1[value]))</f>
        <v>6.3409496564024987</v>
      </c>
      <c r="J8986">
        <f>(Table1[[#This Row],[value]] - Table1[[#This Row],[mean]]) / Table1[[#This Row],[std_dev]]</f>
        <v>1.3144497851954</v>
      </c>
      <c r="K8986">
        <f>AVERAGEIF(Table1[CountryCode],Table1[[#This Row],[CountryCode]],Table1[z-score])</f>
        <v>0.37045001694562285</v>
      </c>
      <c r="L8986" t="e">
        <f>VLOOKUP(Table1[[#This Row],[CountryCode]],[1]!Table1[#All],1,FALSE)</f>
        <v>#REF!</v>
      </c>
    </row>
    <row r="8987" spans="1:12" hidden="1" x14ac:dyDescent="0.3">
      <c r="A8987" t="s">
        <v>63</v>
      </c>
      <c r="B8987" t="s">
        <v>64</v>
      </c>
      <c r="C8987" t="s">
        <v>129</v>
      </c>
      <c r="D8987" t="s">
        <v>130</v>
      </c>
      <c r="E8987">
        <v>2018</v>
      </c>
      <c r="F8987" s="1">
        <v>81</v>
      </c>
      <c r="G8987">
        <v>2020</v>
      </c>
      <c r="H8987">
        <f>AVERAGEIFS(Table1[value],Table1[IndicatorCode],Table1[[#This Row],[IndicatorCode]])</f>
        <v>72.66514008620689</v>
      </c>
      <c r="I8987" cm="1">
        <f t="array" ref="I8987">_xlfn.STDEV.P(IF(Table1[IndicatorCode]=Table1[[#This Row],[IndicatorCode]],Table1[value]))</f>
        <v>6.3409496564024987</v>
      </c>
      <c r="J8987">
        <f>(Table1[[#This Row],[value]] - Table1[[#This Row],[mean]]) / Table1[[#This Row],[std_dev]]</f>
        <v>1.3144497851954</v>
      </c>
      <c r="K8987">
        <f>AVERAGEIF(Table1[CountryCode],Table1[[#This Row],[CountryCode]],Table1[z-score])</f>
        <v>0.37045001694562285</v>
      </c>
      <c r="L8987" t="e">
        <f>VLOOKUP(Table1[[#This Row],[CountryCode]],[1]!Table1[#All],1,FALSE)</f>
        <v>#REF!</v>
      </c>
    </row>
    <row r="8988" spans="1:12" hidden="1" x14ac:dyDescent="0.3">
      <c r="A8988" t="s">
        <v>63</v>
      </c>
      <c r="B8988" t="s">
        <v>64</v>
      </c>
      <c r="C8988" t="s">
        <v>129</v>
      </c>
      <c r="D8988" t="s">
        <v>130</v>
      </c>
      <c r="E8988">
        <v>2019</v>
      </c>
      <c r="F8988" s="1">
        <v>81</v>
      </c>
      <c r="G8988">
        <v>2020</v>
      </c>
      <c r="H8988">
        <f>AVERAGEIFS(Table1[value],Table1[IndicatorCode],Table1[[#This Row],[IndicatorCode]])</f>
        <v>72.66514008620689</v>
      </c>
      <c r="I8988" cm="1">
        <f t="array" ref="I8988">_xlfn.STDEV.P(IF(Table1[IndicatorCode]=Table1[[#This Row],[IndicatorCode]],Table1[value]))</f>
        <v>6.3409496564024987</v>
      </c>
      <c r="J8988">
        <f>(Table1[[#This Row],[value]] - Table1[[#This Row],[mean]]) / Table1[[#This Row],[std_dev]]</f>
        <v>1.3144497851954</v>
      </c>
      <c r="K8988">
        <f>AVERAGEIF(Table1[CountryCode],Table1[[#This Row],[CountryCode]],Table1[z-score])</f>
        <v>0.37045001694562285</v>
      </c>
      <c r="L8988" t="e">
        <f>VLOOKUP(Table1[[#This Row],[CountryCode]],[1]!Table1[#All],1,FALSE)</f>
        <v>#REF!</v>
      </c>
    </row>
    <row r="8989" spans="1:12" x14ac:dyDescent="0.3">
      <c r="A8989" t="s">
        <v>63</v>
      </c>
      <c r="B8989" t="s">
        <v>64</v>
      </c>
      <c r="C8989" t="s">
        <v>129</v>
      </c>
      <c r="D8989" t="s">
        <v>130</v>
      </c>
      <c r="E8989">
        <v>2020</v>
      </c>
      <c r="F8989" s="1">
        <v>81</v>
      </c>
      <c r="G8989">
        <v>2020</v>
      </c>
      <c r="H8989">
        <f>AVERAGEIFS(Table1[value],Table1[IndicatorCode],Table1[[#This Row],[IndicatorCode]])</f>
        <v>72.66514008620689</v>
      </c>
      <c r="I8989" cm="1">
        <f t="array" ref="I8989">_xlfn.STDEV.P(IF(Table1[IndicatorCode]=Table1[[#This Row],[IndicatorCode]],Table1[value]))</f>
        <v>6.3409496564024987</v>
      </c>
      <c r="J8989">
        <f>(Table1[[#This Row],[value]] - Table1[[#This Row],[mean]]) / Table1[[#This Row],[std_dev]]</f>
        <v>1.3144497851954</v>
      </c>
      <c r="K8989">
        <f>AVERAGEIF(Table1[CountryCode],Table1[[#This Row],[CountryCode]],Table1[z-score])</f>
        <v>0.37045001694562285</v>
      </c>
    </row>
    <row r="8990" spans="1:12" hidden="1" x14ac:dyDescent="0.3">
      <c r="A8990" t="s">
        <v>63</v>
      </c>
      <c r="B8990" t="s">
        <v>64</v>
      </c>
      <c r="C8990" t="s">
        <v>129</v>
      </c>
      <c r="D8990" t="s">
        <v>130</v>
      </c>
      <c r="E8990">
        <v>2021</v>
      </c>
      <c r="F8990" s="1">
        <v>80</v>
      </c>
      <c r="G8990">
        <v>1960</v>
      </c>
      <c r="H8990">
        <f>AVERAGEIFS(Table1[value],Table1[IndicatorCode],Table1[[#This Row],[IndicatorCode]])</f>
        <v>72.66514008620689</v>
      </c>
      <c r="I8990" cm="1">
        <f t="array" ref="I8990">_xlfn.STDEV.P(IF(Table1[IndicatorCode]=Table1[[#This Row],[IndicatorCode]],Table1[value]))</f>
        <v>6.3409496564024987</v>
      </c>
      <c r="J8990">
        <f>(Table1[[#This Row],[value]] - Table1[[#This Row],[mean]]) / Table1[[#This Row],[std_dev]]</f>
        <v>1.1567447009119609</v>
      </c>
      <c r="K8990">
        <f>AVERAGEIF(Table1[CountryCode],Table1[[#This Row],[CountryCode]],Table1[z-score])</f>
        <v>0.37045001694562285</v>
      </c>
      <c r="L8990" t="e">
        <f>VLOOKUP(Table1[[#This Row],[CountryCode]],[1]!Table1[#All],1,FALSE)</f>
        <v>#REF!</v>
      </c>
    </row>
    <row r="8991" spans="1:12" hidden="1" x14ac:dyDescent="0.3">
      <c r="A8991" t="s">
        <v>63</v>
      </c>
      <c r="B8991" t="s">
        <v>64</v>
      </c>
      <c r="C8991" t="s">
        <v>129</v>
      </c>
      <c r="D8991" t="s">
        <v>130</v>
      </c>
      <c r="E8991">
        <v>2022</v>
      </c>
      <c r="F8991" s="1">
        <v>81</v>
      </c>
      <c r="G8991">
        <v>1960</v>
      </c>
      <c r="H8991">
        <f>AVERAGEIFS(Table1[value],Table1[IndicatorCode],Table1[[#This Row],[IndicatorCode]])</f>
        <v>72.66514008620689</v>
      </c>
      <c r="I8991" cm="1">
        <f t="array" ref="I8991">_xlfn.STDEV.P(IF(Table1[IndicatorCode]=Table1[[#This Row],[IndicatorCode]],Table1[value]))</f>
        <v>6.3409496564024987</v>
      </c>
      <c r="J8991">
        <f>(Table1[[#This Row],[value]] - Table1[[#This Row],[mean]]) / Table1[[#This Row],[std_dev]]</f>
        <v>1.3144497851954</v>
      </c>
      <c r="K8991">
        <f>AVERAGEIF(Table1[CountryCode],Table1[[#This Row],[CountryCode]],Table1[z-score])</f>
        <v>0.37045001694562285</v>
      </c>
      <c r="L8991" t="e">
        <f>VLOOKUP(Table1[[#This Row],[CountryCode]],[1]!Table1[#All],1,FALSE)</f>
        <v>#REF!</v>
      </c>
    </row>
    <row r="8992" spans="1:12" hidden="1" x14ac:dyDescent="0.3">
      <c r="A8992" t="s">
        <v>63</v>
      </c>
      <c r="B8992" t="s">
        <v>64</v>
      </c>
      <c r="C8992" t="s">
        <v>129</v>
      </c>
      <c r="D8992" t="s">
        <v>130</v>
      </c>
      <c r="E8992">
        <v>2023</v>
      </c>
      <c r="F8992" s="1">
        <v>81</v>
      </c>
      <c r="G8992">
        <v>1960</v>
      </c>
      <c r="H8992">
        <f>AVERAGEIFS(Table1[value],Table1[IndicatorCode],Table1[[#This Row],[IndicatorCode]])</f>
        <v>72.66514008620689</v>
      </c>
      <c r="I8992" cm="1">
        <f t="array" ref="I8992">_xlfn.STDEV.P(IF(Table1[IndicatorCode]=Table1[[#This Row],[IndicatorCode]],Table1[value]))</f>
        <v>6.3409496564024987</v>
      </c>
      <c r="J8992">
        <f>(Table1[[#This Row],[value]] - Table1[[#This Row],[mean]]) / Table1[[#This Row],[std_dev]]</f>
        <v>1.3144497851954</v>
      </c>
      <c r="K8992">
        <f>AVERAGEIF(Table1[CountryCode],Table1[[#This Row],[CountryCode]],Table1[z-score])</f>
        <v>0.37045001694562285</v>
      </c>
      <c r="L8992" t="e">
        <f>VLOOKUP(Table1[[#This Row],[CountryCode]],[1]!Table1[#All],1,FALSE)</f>
        <v>#REF!</v>
      </c>
    </row>
    <row r="8993" spans="1:12" hidden="1" x14ac:dyDescent="0.3">
      <c r="A8993" t="s">
        <v>65</v>
      </c>
      <c r="B8993" t="s">
        <v>66</v>
      </c>
      <c r="C8993" t="s">
        <v>129</v>
      </c>
      <c r="D8993" t="s">
        <v>130</v>
      </c>
      <c r="E8993">
        <v>1960</v>
      </c>
      <c r="F8993" s="1">
        <v>70</v>
      </c>
      <c r="G8993">
        <v>1960</v>
      </c>
      <c r="H8993">
        <f>AVERAGEIFS(Table1[value],Table1[IndicatorCode],Table1[[#This Row],[IndicatorCode]])</f>
        <v>72.66514008620689</v>
      </c>
      <c r="I8993" cm="1">
        <f t="array" ref="I8993">_xlfn.STDEV.P(IF(Table1[IndicatorCode]=Table1[[#This Row],[IndicatorCode]],Table1[value]))</f>
        <v>6.3409496564024987</v>
      </c>
      <c r="J8993">
        <f>(Table1[[#This Row],[value]] - Table1[[#This Row],[mean]]) / Table1[[#This Row],[std_dev]]</f>
        <v>-0.4203061419224296</v>
      </c>
      <c r="K8993">
        <f>AVERAGEIF(Table1[CountryCode],Table1[[#This Row],[CountryCode]],Table1[z-score])</f>
        <v>0.33171547334985529</v>
      </c>
      <c r="L8993" t="e">
        <f>VLOOKUP(Table1[[#This Row],[CountryCode]],[1]!Table1[#All],1,FALSE)</f>
        <v>#REF!</v>
      </c>
    </row>
    <row r="8994" spans="1:12" hidden="1" x14ac:dyDescent="0.3">
      <c r="A8994" t="s">
        <v>65</v>
      </c>
      <c r="B8994" t="s">
        <v>66</v>
      </c>
      <c r="C8994" t="s">
        <v>129</v>
      </c>
      <c r="D8994" t="s">
        <v>130</v>
      </c>
      <c r="E8994">
        <v>1961</v>
      </c>
      <c r="F8994" s="1">
        <v>70</v>
      </c>
      <c r="G8994">
        <v>1960</v>
      </c>
      <c r="H8994">
        <f>AVERAGEIFS(Table1[value],Table1[IndicatorCode],Table1[[#This Row],[IndicatorCode]])</f>
        <v>72.66514008620689</v>
      </c>
      <c r="I8994" cm="1">
        <f t="array" ref="I8994">_xlfn.STDEV.P(IF(Table1[IndicatorCode]=Table1[[#This Row],[IndicatorCode]],Table1[value]))</f>
        <v>6.3409496564024987</v>
      </c>
      <c r="J8994">
        <f>(Table1[[#This Row],[value]] - Table1[[#This Row],[mean]]) / Table1[[#This Row],[std_dev]]</f>
        <v>-0.4203061419224296</v>
      </c>
      <c r="K8994">
        <f>AVERAGEIF(Table1[CountryCode],Table1[[#This Row],[CountryCode]],Table1[z-score])</f>
        <v>0.33171547334985529</v>
      </c>
      <c r="L8994" t="e">
        <f>VLOOKUP(Table1[[#This Row],[CountryCode]],[1]!Table1[#All],1,FALSE)</f>
        <v>#REF!</v>
      </c>
    </row>
    <row r="8995" spans="1:12" hidden="1" x14ac:dyDescent="0.3">
      <c r="A8995" t="s">
        <v>65</v>
      </c>
      <c r="B8995" t="s">
        <v>66</v>
      </c>
      <c r="C8995" t="s">
        <v>129</v>
      </c>
      <c r="D8995" t="s">
        <v>130</v>
      </c>
      <c r="E8995">
        <v>1962</v>
      </c>
      <c r="F8995" s="1">
        <v>70</v>
      </c>
      <c r="G8995">
        <v>1960</v>
      </c>
      <c r="H8995">
        <f>AVERAGEIFS(Table1[value],Table1[IndicatorCode],Table1[[#This Row],[IndicatorCode]])</f>
        <v>72.66514008620689</v>
      </c>
      <c r="I8995" cm="1">
        <f t="array" ref="I8995">_xlfn.STDEV.P(IF(Table1[IndicatorCode]=Table1[[#This Row],[IndicatorCode]],Table1[value]))</f>
        <v>6.3409496564024987</v>
      </c>
      <c r="J8995">
        <f>(Table1[[#This Row],[value]] - Table1[[#This Row],[mean]]) / Table1[[#This Row],[std_dev]]</f>
        <v>-0.4203061419224296</v>
      </c>
      <c r="K8995">
        <f>AVERAGEIF(Table1[CountryCode],Table1[[#This Row],[CountryCode]],Table1[z-score])</f>
        <v>0.33171547334985529</v>
      </c>
      <c r="L8995" t="e">
        <f>VLOOKUP(Table1[[#This Row],[CountryCode]],[1]!Table1[#All],1,FALSE)</f>
        <v>#REF!</v>
      </c>
    </row>
    <row r="8996" spans="1:12" hidden="1" x14ac:dyDescent="0.3">
      <c r="A8996" t="s">
        <v>65</v>
      </c>
      <c r="B8996" t="s">
        <v>66</v>
      </c>
      <c r="C8996" t="s">
        <v>129</v>
      </c>
      <c r="D8996" t="s">
        <v>130</v>
      </c>
      <c r="E8996">
        <v>1963</v>
      </c>
      <c r="F8996" s="1">
        <v>70</v>
      </c>
      <c r="G8996">
        <v>1960</v>
      </c>
      <c r="H8996">
        <f>AVERAGEIFS(Table1[value],Table1[IndicatorCode],Table1[[#This Row],[IndicatorCode]])</f>
        <v>72.66514008620689</v>
      </c>
      <c r="I8996" cm="1">
        <f t="array" ref="I8996">_xlfn.STDEV.P(IF(Table1[IndicatorCode]=Table1[[#This Row],[IndicatorCode]],Table1[value]))</f>
        <v>6.3409496564024987</v>
      </c>
      <c r="J8996">
        <f>(Table1[[#This Row],[value]] - Table1[[#This Row],[mean]]) / Table1[[#This Row],[std_dev]]</f>
        <v>-0.4203061419224296</v>
      </c>
      <c r="K8996">
        <f>AVERAGEIF(Table1[CountryCode],Table1[[#This Row],[CountryCode]],Table1[z-score])</f>
        <v>0.33171547334985529</v>
      </c>
      <c r="L8996" t="e">
        <f>VLOOKUP(Table1[[#This Row],[CountryCode]],[1]!Table1[#All],1,FALSE)</f>
        <v>#REF!</v>
      </c>
    </row>
    <row r="8997" spans="1:12" hidden="1" x14ac:dyDescent="0.3">
      <c r="A8997" t="s">
        <v>65</v>
      </c>
      <c r="B8997" t="s">
        <v>66</v>
      </c>
      <c r="C8997" t="s">
        <v>129</v>
      </c>
      <c r="D8997" t="s">
        <v>130</v>
      </c>
      <c r="E8997">
        <v>1964</v>
      </c>
      <c r="F8997" s="1">
        <v>70</v>
      </c>
      <c r="G8997">
        <v>1960</v>
      </c>
      <c r="H8997">
        <f>AVERAGEIFS(Table1[value],Table1[IndicatorCode],Table1[[#This Row],[IndicatorCode]])</f>
        <v>72.66514008620689</v>
      </c>
      <c r="I8997" cm="1">
        <f t="array" ref="I8997">_xlfn.STDEV.P(IF(Table1[IndicatorCode]=Table1[[#This Row],[IndicatorCode]],Table1[value]))</f>
        <v>6.3409496564024987</v>
      </c>
      <c r="J8997">
        <f>(Table1[[#This Row],[value]] - Table1[[#This Row],[mean]]) / Table1[[#This Row],[std_dev]]</f>
        <v>-0.4203061419224296</v>
      </c>
      <c r="K8997">
        <f>AVERAGEIF(Table1[CountryCode],Table1[[#This Row],[CountryCode]],Table1[z-score])</f>
        <v>0.33171547334985529</v>
      </c>
      <c r="L8997" t="e">
        <f>VLOOKUP(Table1[[#This Row],[CountryCode]],[1]!Table1[#All],1,FALSE)</f>
        <v>#REF!</v>
      </c>
    </row>
    <row r="8998" spans="1:12" hidden="1" x14ac:dyDescent="0.3">
      <c r="A8998" t="s">
        <v>65</v>
      </c>
      <c r="B8998" t="s">
        <v>66</v>
      </c>
      <c r="C8998" t="s">
        <v>129</v>
      </c>
      <c r="D8998" t="s">
        <v>130</v>
      </c>
      <c r="E8998">
        <v>1965</v>
      </c>
      <c r="F8998" s="1">
        <v>71</v>
      </c>
      <c r="G8998">
        <v>1960</v>
      </c>
      <c r="H8998">
        <f>AVERAGEIFS(Table1[value],Table1[IndicatorCode],Table1[[#This Row],[IndicatorCode]])</f>
        <v>72.66514008620689</v>
      </c>
      <c r="I8998" cm="1">
        <f t="array" ref="I8998">_xlfn.STDEV.P(IF(Table1[IndicatorCode]=Table1[[#This Row],[IndicatorCode]],Table1[value]))</f>
        <v>6.3409496564024987</v>
      </c>
      <c r="J8998">
        <f>(Table1[[#This Row],[value]] - Table1[[#This Row],[mean]]) / Table1[[#This Row],[std_dev]]</f>
        <v>-0.2626010576389905</v>
      </c>
      <c r="K8998">
        <f>AVERAGEIF(Table1[CountryCode],Table1[[#This Row],[CountryCode]],Table1[z-score])</f>
        <v>0.33171547334985529</v>
      </c>
      <c r="L8998" t="e">
        <f>VLOOKUP(Table1[[#This Row],[CountryCode]],[1]!Table1[#All],1,FALSE)</f>
        <v>#REF!</v>
      </c>
    </row>
    <row r="8999" spans="1:12" hidden="1" x14ac:dyDescent="0.3">
      <c r="A8999" t="s">
        <v>65</v>
      </c>
      <c r="B8999" t="s">
        <v>66</v>
      </c>
      <c r="C8999" t="s">
        <v>129</v>
      </c>
      <c r="D8999" t="s">
        <v>130</v>
      </c>
      <c r="E8999">
        <v>1966</v>
      </c>
      <c r="F8999" s="1">
        <v>70</v>
      </c>
      <c r="G8999">
        <v>1960</v>
      </c>
      <c r="H8999">
        <f>AVERAGEIFS(Table1[value],Table1[IndicatorCode],Table1[[#This Row],[IndicatorCode]])</f>
        <v>72.66514008620689</v>
      </c>
      <c r="I8999" cm="1">
        <f t="array" ref="I8999">_xlfn.STDEV.P(IF(Table1[IndicatorCode]=Table1[[#This Row],[IndicatorCode]],Table1[value]))</f>
        <v>6.3409496564024987</v>
      </c>
      <c r="J8999">
        <f>(Table1[[#This Row],[value]] - Table1[[#This Row],[mean]]) / Table1[[#This Row],[std_dev]]</f>
        <v>-0.4203061419224296</v>
      </c>
      <c r="K8999">
        <f>AVERAGEIF(Table1[CountryCode],Table1[[#This Row],[CountryCode]],Table1[z-score])</f>
        <v>0.33171547334985529</v>
      </c>
      <c r="L8999" t="e">
        <f>VLOOKUP(Table1[[#This Row],[CountryCode]],[1]!Table1[#All],1,FALSE)</f>
        <v>#REF!</v>
      </c>
    </row>
    <row r="9000" spans="1:12" hidden="1" x14ac:dyDescent="0.3">
      <c r="A9000" t="s">
        <v>65</v>
      </c>
      <c r="B9000" t="s">
        <v>66</v>
      </c>
      <c r="C9000" t="s">
        <v>129</v>
      </c>
      <c r="D9000" t="s">
        <v>130</v>
      </c>
      <c r="E9000">
        <v>1967</v>
      </c>
      <c r="F9000" s="1">
        <v>71</v>
      </c>
      <c r="G9000">
        <v>1970</v>
      </c>
      <c r="H9000">
        <f>AVERAGEIFS(Table1[value],Table1[IndicatorCode],Table1[[#This Row],[IndicatorCode]])</f>
        <v>72.66514008620689</v>
      </c>
      <c r="I9000" cm="1">
        <f t="array" ref="I9000">_xlfn.STDEV.P(IF(Table1[IndicatorCode]=Table1[[#This Row],[IndicatorCode]],Table1[value]))</f>
        <v>6.3409496564024987</v>
      </c>
      <c r="J9000">
        <f>(Table1[[#This Row],[value]] - Table1[[#This Row],[mean]]) / Table1[[#This Row],[std_dev]]</f>
        <v>-0.2626010576389905</v>
      </c>
      <c r="K9000">
        <f>AVERAGEIF(Table1[CountryCode],Table1[[#This Row],[CountryCode]],Table1[z-score])</f>
        <v>0.33171547334985529</v>
      </c>
      <c r="L9000" t="e">
        <f>VLOOKUP(Table1[[#This Row],[CountryCode]],[1]!Table1[#All],1,FALSE)</f>
        <v>#REF!</v>
      </c>
    </row>
    <row r="9001" spans="1:12" hidden="1" x14ac:dyDescent="0.3">
      <c r="A9001" t="s">
        <v>65</v>
      </c>
      <c r="B9001" t="s">
        <v>66</v>
      </c>
      <c r="C9001" t="s">
        <v>129</v>
      </c>
      <c r="D9001" t="s">
        <v>130</v>
      </c>
      <c r="E9001">
        <v>1968</v>
      </c>
      <c r="F9001" s="1">
        <v>71</v>
      </c>
      <c r="G9001">
        <v>1970</v>
      </c>
      <c r="H9001">
        <f>AVERAGEIFS(Table1[value],Table1[IndicatorCode],Table1[[#This Row],[IndicatorCode]])</f>
        <v>72.66514008620689</v>
      </c>
      <c r="I9001" cm="1">
        <f t="array" ref="I9001">_xlfn.STDEV.P(IF(Table1[IndicatorCode]=Table1[[#This Row],[IndicatorCode]],Table1[value]))</f>
        <v>6.3409496564024987</v>
      </c>
      <c r="J9001">
        <f>(Table1[[#This Row],[value]] - Table1[[#This Row],[mean]]) / Table1[[#This Row],[std_dev]]</f>
        <v>-0.2626010576389905</v>
      </c>
      <c r="K9001">
        <f>AVERAGEIF(Table1[CountryCode],Table1[[#This Row],[CountryCode]],Table1[z-score])</f>
        <v>0.33171547334985529</v>
      </c>
      <c r="L9001" t="e">
        <f>VLOOKUP(Table1[[#This Row],[CountryCode]],[1]!Table1[#All],1,FALSE)</f>
        <v>#REF!</v>
      </c>
    </row>
    <row r="9002" spans="1:12" hidden="1" x14ac:dyDescent="0.3">
      <c r="A9002" t="s">
        <v>65</v>
      </c>
      <c r="B9002" t="s">
        <v>66</v>
      </c>
      <c r="C9002" t="s">
        <v>129</v>
      </c>
      <c r="D9002" t="s">
        <v>130</v>
      </c>
      <c r="E9002">
        <v>1969</v>
      </c>
      <c r="F9002" s="1">
        <v>71</v>
      </c>
      <c r="G9002">
        <v>1970</v>
      </c>
      <c r="H9002">
        <f>AVERAGEIFS(Table1[value],Table1[IndicatorCode],Table1[[#This Row],[IndicatorCode]])</f>
        <v>72.66514008620689</v>
      </c>
      <c r="I9002" cm="1">
        <f t="array" ref="I9002">_xlfn.STDEV.P(IF(Table1[IndicatorCode]=Table1[[#This Row],[IndicatorCode]],Table1[value]))</f>
        <v>6.3409496564024987</v>
      </c>
      <c r="J9002">
        <f>(Table1[[#This Row],[value]] - Table1[[#This Row],[mean]]) / Table1[[#This Row],[std_dev]]</f>
        <v>-0.2626010576389905</v>
      </c>
      <c r="K9002">
        <f>AVERAGEIF(Table1[CountryCode],Table1[[#This Row],[CountryCode]],Table1[z-score])</f>
        <v>0.33171547334985529</v>
      </c>
      <c r="L9002" t="e">
        <f>VLOOKUP(Table1[[#This Row],[CountryCode]],[1]!Table1[#All],1,FALSE)</f>
        <v>#REF!</v>
      </c>
    </row>
    <row r="9003" spans="1:12" hidden="1" x14ac:dyDescent="0.3">
      <c r="A9003" t="s">
        <v>65</v>
      </c>
      <c r="B9003" t="s">
        <v>66</v>
      </c>
      <c r="C9003" t="s">
        <v>129</v>
      </c>
      <c r="D9003" t="s">
        <v>130</v>
      </c>
      <c r="E9003">
        <v>1970</v>
      </c>
      <c r="F9003" s="1">
        <v>71</v>
      </c>
      <c r="G9003">
        <v>1970</v>
      </c>
      <c r="H9003">
        <f>AVERAGEIFS(Table1[value],Table1[IndicatorCode],Table1[[#This Row],[IndicatorCode]])</f>
        <v>72.66514008620689</v>
      </c>
      <c r="I9003" cm="1">
        <f t="array" ref="I9003">_xlfn.STDEV.P(IF(Table1[IndicatorCode]=Table1[[#This Row],[IndicatorCode]],Table1[value]))</f>
        <v>6.3409496564024987</v>
      </c>
      <c r="J9003">
        <f>(Table1[[#This Row],[value]] - Table1[[#This Row],[mean]]) / Table1[[#This Row],[std_dev]]</f>
        <v>-0.2626010576389905</v>
      </c>
      <c r="K9003">
        <f>AVERAGEIF(Table1[CountryCode],Table1[[#This Row],[CountryCode]],Table1[z-score])</f>
        <v>0.33171547334985529</v>
      </c>
      <c r="L9003" t="e">
        <f>VLOOKUP(Table1[[#This Row],[CountryCode]],[1]!Table1[#All],1,FALSE)</f>
        <v>#REF!</v>
      </c>
    </row>
    <row r="9004" spans="1:12" hidden="1" x14ac:dyDescent="0.3">
      <c r="A9004" t="s">
        <v>65</v>
      </c>
      <c r="B9004" t="s">
        <v>66</v>
      </c>
      <c r="C9004" t="s">
        <v>129</v>
      </c>
      <c r="D9004" t="s">
        <v>130</v>
      </c>
      <c r="E9004">
        <v>1971</v>
      </c>
      <c r="F9004" s="1">
        <v>72</v>
      </c>
      <c r="G9004">
        <v>1970</v>
      </c>
      <c r="H9004">
        <f>AVERAGEIFS(Table1[value],Table1[IndicatorCode],Table1[[#This Row],[IndicatorCode]])</f>
        <v>72.66514008620689</v>
      </c>
      <c r="I9004" cm="1">
        <f t="array" ref="I9004">_xlfn.STDEV.P(IF(Table1[IndicatorCode]=Table1[[#This Row],[IndicatorCode]],Table1[value]))</f>
        <v>6.3409496564024987</v>
      </c>
      <c r="J9004">
        <f>(Table1[[#This Row],[value]] - Table1[[#This Row],[mean]]) / Table1[[#This Row],[std_dev]]</f>
        <v>-0.10489597335555145</v>
      </c>
      <c r="K9004">
        <f>AVERAGEIF(Table1[CountryCode],Table1[[#This Row],[CountryCode]],Table1[z-score])</f>
        <v>0.33171547334985529</v>
      </c>
      <c r="L9004" t="e">
        <f>VLOOKUP(Table1[[#This Row],[CountryCode]],[1]!Table1[#All],1,FALSE)</f>
        <v>#REF!</v>
      </c>
    </row>
    <row r="9005" spans="1:12" hidden="1" x14ac:dyDescent="0.3">
      <c r="A9005" t="s">
        <v>65</v>
      </c>
      <c r="B9005" t="s">
        <v>66</v>
      </c>
      <c r="C9005" t="s">
        <v>129</v>
      </c>
      <c r="D9005" t="s">
        <v>130</v>
      </c>
      <c r="E9005">
        <v>1972</v>
      </c>
      <c r="F9005" s="1">
        <v>71</v>
      </c>
      <c r="G9005">
        <v>1970</v>
      </c>
      <c r="H9005">
        <f>AVERAGEIFS(Table1[value],Table1[IndicatorCode],Table1[[#This Row],[IndicatorCode]])</f>
        <v>72.66514008620689</v>
      </c>
      <c r="I9005" cm="1">
        <f t="array" ref="I9005">_xlfn.STDEV.P(IF(Table1[IndicatorCode]=Table1[[#This Row],[IndicatorCode]],Table1[value]))</f>
        <v>6.3409496564024987</v>
      </c>
      <c r="J9005">
        <f>(Table1[[#This Row],[value]] - Table1[[#This Row],[mean]]) / Table1[[#This Row],[std_dev]]</f>
        <v>-0.2626010576389905</v>
      </c>
      <c r="K9005">
        <f>AVERAGEIF(Table1[CountryCode],Table1[[#This Row],[CountryCode]],Table1[z-score])</f>
        <v>0.33171547334985529</v>
      </c>
      <c r="L9005" t="e">
        <f>VLOOKUP(Table1[[#This Row],[CountryCode]],[1]!Table1[#All],1,FALSE)</f>
        <v>#REF!</v>
      </c>
    </row>
    <row r="9006" spans="1:12" hidden="1" x14ac:dyDescent="0.3">
      <c r="A9006" t="s">
        <v>65</v>
      </c>
      <c r="B9006" t="s">
        <v>66</v>
      </c>
      <c r="C9006" t="s">
        <v>129</v>
      </c>
      <c r="D9006" t="s">
        <v>130</v>
      </c>
      <c r="E9006">
        <v>1973</v>
      </c>
      <c r="F9006" s="1">
        <v>71</v>
      </c>
      <c r="G9006">
        <v>1970</v>
      </c>
      <c r="H9006">
        <f>AVERAGEIFS(Table1[value],Table1[IndicatorCode],Table1[[#This Row],[IndicatorCode]])</f>
        <v>72.66514008620689</v>
      </c>
      <c r="I9006" cm="1">
        <f t="array" ref="I9006">_xlfn.STDEV.P(IF(Table1[IndicatorCode]=Table1[[#This Row],[IndicatorCode]],Table1[value]))</f>
        <v>6.3409496564024987</v>
      </c>
      <c r="J9006">
        <f>(Table1[[#This Row],[value]] - Table1[[#This Row],[mean]]) / Table1[[#This Row],[std_dev]]</f>
        <v>-0.2626010576389905</v>
      </c>
      <c r="K9006">
        <f>AVERAGEIF(Table1[CountryCode],Table1[[#This Row],[CountryCode]],Table1[z-score])</f>
        <v>0.33171547334985529</v>
      </c>
      <c r="L9006" t="e">
        <f>VLOOKUP(Table1[[#This Row],[CountryCode]],[1]!Table1[#All],1,FALSE)</f>
        <v>#REF!</v>
      </c>
    </row>
    <row r="9007" spans="1:12" hidden="1" x14ac:dyDescent="0.3">
      <c r="A9007" t="s">
        <v>65</v>
      </c>
      <c r="B9007" t="s">
        <v>66</v>
      </c>
      <c r="C9007" t="s">
        <v>129</v>
      </c>
      <c r="D9007" t="s">
        <v>130</v>
      </c>
      <c r="E9007">
        <v>1974</v>
      </c>
      <c r="F9007" s="1">
        <v>71</v>
      </c>
      <c r="G9007">
        <v>1970</v>
      </c>
      <c r="H9007">
        <f>AVERAGEIFS(Table1[value],Table1[IndicatorCode],Table1[[#This Row],[IndicatorCode]])</f>
        <v>72.66514008620689</v>
      </c>
      <c r="I9007" cm="1">
        <f t="array" ref="I9007">_xlfn.STDEV.P(IF(Table1[IndicatorCode]=Table1[[#This Row],[IndicatorCode]],Table1[value]))</f>
        <v>6.3409496564024987</v>
      </c>
      <c r="J9007">
        <f>(Table1[[#This Row],[value]] - Table1[[#This Row],[mean]]) / Table1[[#This Row],[std_dev]]</f>
        <v>-0.2626010576389905</v>
      </c>
      <c r="K9007">
        <f>AVERAGEIF(Table1[CountryCode],Table1[[#This Row],[CountryCode]],Table1[z-score])</f>
        <v>0.33171547334985529</v>
      </c>
      <c r="L9007" t="e">
        <f>VLOOKUP(Table1[[#This Row],[CountryCode]],[1]!Table1[#All],1,FALSE)</f>
        <v>#REF!</v>
      </c>
    </row>
    <row r="9008" spans="1:12" hidden="1" x14ac:dyDescent="0.3">
      <c r="A9008" t="s">
        <v>65</v>
      </c>
      <c r="B9008" t="s">
        <v>66</v>
      </c>
      <c r="C9008" t="s">
        <v>129</v>
      </c>
      <c r="D9008" t="s">
        <v>130</v>
      </c>
      <c r="E9008">
        <v>1975</v>
      </c>
      <c r="F9008" s="1">
        <v>72</v>
      </c>
      <c r="G9008">
        <v>1970</v>
      </c>
      <c r="H9008">
        <f>AVERAGEIFS(Table1[value],Table1[IndicatorCode],Table1[[#This Row],[IndicatorCode]])</f>
        <v>72.66514008620689</v>
      </c>
      <c r="I9008" cm="1">
        <f t="array" ref="I9008">_xlfn.STDEV.P(IF(Table1[IndicatorCode]=Table1[[#This Row],[IndicatorCode]],Table1[value]))</f>
        <v>6.3409496564024987</v>
      </c>
      <c r="J9008">
        <f>(Table1[[#This Row],[value]] - Table1[[#This Row],[mean]]) / Table1[[#This Row],[std_dev]]</f>
        <v>-0.10489597335555145</v>
      </c>
      <c r="K9008">
        <f>AVERAGEIF(Table1[CountryCode],Table1[[#This Row],[CountryCode]],Table1[z-score])</f>
        <v>0.33171547334985529</v>
      </c>
      <c r="L9008" t="e">
        <f>VLOOKUP(Table1[[#This Row],[CountryCode]],[1]!Table1[#All],1,FALSE)</f>
        <v>#REF!</v>
      </c>
    </row>
    <row r="9009" spans="1:12" hidden="1" x14ac:dyDescent="0.3">
      <c r="A9009" t="s">
        <v>65</v>
      </c>
      <c r="B9009" t="s">
        <v>66</v>
      </c>
      <c r="C9009" t="s">
        <v>129</v>
      </c>
      <c r="D9009" t="s">
        <v>130</v>
      </c>
      <c r="E9009">
        <v>1976</v>
      </c>
      <c r="F9009" s="1">
        <v>72</v>
      </c>
      <c r="G9009">
        <v>1970</v>
      </c>
      <c r="H9009">
        <f>AVERAGEIFS(Table1[value],Table1[IndicatorCode],Table1[[#This Row],[IndicatorCode]])</f>
        <v>72.66514008620689</v>
      </c>
      <c r="I9009" cm="1">
        <f t="array" ref="I9009">_xlfn.STDEV.P(IF(Table1[IndicatorCode]=Table1[[#This Row],[IndicatorCode]],Table1[value]))</f>
        <v>6.3409496564024987</v>
      </c>
      <c r="J9009">
        <f>(Table1[[#This Row],[value]] - Table1[[#This Row],[mean]]) / Table1[[#This Row],[std_dev]]</f>
        <v>-0.10489597335555145</v>
      </c>
      <c r="K9009">
        <f>AVERAGEIF(Table1[CountryCode],Table1[[#This Row],[CountryCode]],Table1[z-score])</f>
        <v>0.33171547334985529</v>
      </c>
      <c r="L9009" t="e">
        <f>VLOOKUP(Table1[[#This Row],[CountryCode]],[1]!Table1[#All],1,FALSE)</f>
        <v>#REF!</v>
      </c>
    </row>
    <row r="9010" spans="1:12" hidden="1" x14ac:dyDescent="0.3">
      <c r="A9010" t="s">
        <v>65</v>
      </c>
      <c r="B9010" t="s">
        <v>66</v>
      </c>
      <c r="C9010" t="s">
        <v>129</v>
      </c>
      <c r="D9010" t="s">
        <v>130</v>
      </c>
      <c r="E9010">
        <v>1977</v>
      </c>
      <c r="F9010" s="1">
        <v>72</v>
      </c>
      <c r="G9010">
        <v>1980</v>
      </c>
      <c r="H9010">
        <f>AVERAGEIFS(Table1[value],Table1[IndicatorCode],Table1[[#This Row],[IndicatorCode]])</f>
        <v>72.66514008620689</v>
      </c>
      <c r="I9010" cm="1">
        <f t="array" ref="I9010">_xlfn.STDEV.P(IF(Table1[IndicatorCode]=Table1[[#This Row],[IndicatorCode]],Table1[value]))</f>
        <v>6.3409496564024987</v>
      </c>
      <c r="J9010">
        <f>(Table1[[#This Row],[value]] - Table1[[#This Row],[mean]]) / Table1[[#This Row],[std_dev]]</f>
        <v>-0.10489597335555145</v>
      </c>
      <c r="K9010">
        <f>AVERAGEIF(Table1[CountryCode],Table1[[#This Row],[CountryCode]],Table1[z-score])</f>
        <v>0.33171547334985529</v>
      </c>
      <c r="L9010" t="e">
        <f>VLOOKUP(Table1[[#This Row],[CountryCode]],[1]!Table1[#All],1,FALSE)</f>
        <v>#REF!</v>
      </c>
    </row>
    <row r="9011" spans="1:12" hidden="1" x14ac:dyDescent="0.3">
      <c r="A9011" t="s">
        <v>65</v>
      </c>
      <c r="B9011" t="s">
        <v>66</v>
      </c>
      <c r="C9011" t="s">
        <v>129</v>
      </c>
      <c r="D9011" t="s">
        <v>130</v>
      </c>
      <c r="E9011">
        <v>1978</v>
      </c>
      <c r="F9011" s="1">
        <v>72</v>
      </c>
      <c r="G9011">
        <v>1980</v>
      </c>
      <c r="H9011">
        <f>AVERAGEIFS(Table1[value],Table1[IndicatorCode],Table1[[#This Row],[IndicatorCode]])</f>
        <v>72.66514008620689</v>
      </c>
      <c r="I9011" cm="1">
        <f t="array" ref="I9011">_xlfn.STDEV.P(IF(Table1[IndicatorCode]=Table1[[#This Row],[IndicatorCode]],Table1[value]))</f>
        <v>6.3409496564024987</v>
      </c>
      <c r="J9011">
        <f>(Table1[[#This Row],[value]] - Table1[[#This Row],[mean]]) / Table1[[#This Row],[std_dev]]</f>
        <v>-0.10489597335555145</v>
      </c>
      <c r="K9011">
        <f>AVERAGEIF(Table1[CountryCode],Table1[[#This Row],[CountryCode]],Table1[z-score])</f>
        <v>0.33171547334985529</v>
      </c>
      <c r="L9011" t="e">
        <f>VLOOKUP(Table1[[#This Row],[CountryCode]],[1]!Table1[#All],1,FALSE)</f>
        <v>#REF!</v>
      </c>
    </row>
    <row r="9012" spans="1:12" hidden="1" x14ac:dyDescent="0.3">
      <c r="A9012" t="s">
        <v>65</v>
      </c>
      <c r="B9012" t="s">
        <v>66</v>
      </c>
      <c r="C9012" t="s">
        <v>129</v>
      </c>
      <c r="D9012" t="s">
        <v>130</v>
      </c>
      <c r="E9012">
        <v>1979</v>
      </c>
      <c r="F9012" s="1">
        <v>72</v>
      </c>
      <c r="G9012">
        <v>1980</v>
      </c>
      <c r="H9012">
        <f>AVERAGEIFS(Table1[value],Table1[IndicatorCode],Table1[[#This Row],[IndicatorCode]])</f>
        <v>72.66514008620689</v>
      </c>
      <c r="I9012" cm="1">
        <f t="array" ref="I9012">_xlfn.STDEV.P(IF(Table1[IndicatorCode]=Table1[[#This Row],[IndicatorCode]],Table1[value]))</f>
        <v>6.3409496564024987</v>
      </c>
      <c r="J9012">
        <f>(Table1[[#This Row],[value]] - Table1[[#This Row],[mean]]) / Table1[[#This Row],[std_dev]]</f>
        <v>-0.10489597335555145</v>
      </c>
      <c r="K9012">
        <f>AVERAGEIF(Table1[CountryCode],Table1[[#This Row],[CountryCode]],Table1[z-score])</f>
        <v>0.33171547334985529</v>
      </c>
      <c r="L9012" t="e">
        <f>VLOOKUP(Table1[[#This Row],[CountryCode]],[1]!Table1[#All],1,FALSE)</f>
        <v>#REF!</v>
      </c>
    </row>
    <row r="9013" spans="1:12" hidden="1" x14ac:dyDescent="0.3">
      <c r="A9013" t="s">
        <v>65</v>
      </c>
      <c r="B9013" t="s">
        <v>66</v>
      </c>
      <c r="C9013" t="s">
        <v>129</v>
      </c>
      <c r="D9013" t="s">
        <v>130</v>
      </c>
      <c r="E9013">
        <v>1980</v>
      </c>
      <c r="F9013" s="1">
        <v>73</v>
      </c>
      <c r="G9013">
        <v>1980</v>
      </c>
      <c r="H9013">
        <f>AVERAGEIFS(Table1[value],Table1[IndicatorCode],Table1[[#This Row],[IndicatorCode]])</f>
        <v>72.66514008620689</v>
      </c>
      <c r="I9013" cm="1">
        <f t="array" ref="I9013">_xlfn.STDEV.P(IF(Table1[IndicatorCode]=Table1[[#This Row],[IndicatorCode]],Table1[value]))</f>
        <v>6.3409496564024987</v>
      </c>
      <c r="J9013">
        <f>(Table1[[#This Row],[value]] - Table1[[#This Row],[mean]]) / Table1[[#This Row],[std_dev]]</f>
        <v>5.2809110927887599E-2</v>
      </c>
      <c r="K9013">
        <f>AVERAGEIF(Table1[CountryCode],Table1[[#This Row],[CountryCode]],Table1[z-score])</f>
        <v>0.33171547334985529</v>
      </c>
      <c r="L9013" t="e">
        <f>VLOOKUP(Table1[[#This Row],[CountryCode]],[1]!Table1[#All],1,FALSE)</f>
        <v>#REF!</v>
      </c>
    </row>
    <row r="9014" spans="1:12" hidden="1" x14ac:dyDescent="0.3">
      <c r="A9014" t="s">
        <v>65</v>
      </c>
      <c r="B9014" t="s">
        <v>66</v>
      </c>
      <c r="C9014" t="s">
        <v>129</v>
      </c>
      <c r="D9014" t="s">
        <v>130</v>
      </c>
      <c r="E9014">
        <v>1981</v>
      </c>
      <c r="F9014" s="1">
        <v>73</v>
      </c>
      <c r="G9014">
        <v>1980</v>
      </c>
      <c r="H9014">
        <f>AVERAGEIFS(Table1[value],Table1[IndicatorCode],Table1[[#This Row],[IndicatorCode]])</f>
        <v>72.66514008620689</v>
      </c>
      <c r="I9014" cm="1">
        <f t="array" ref="I9014">_xlfn.STDEV.P(IF(Table1[IndicatorCode]=Table1[[#This Row],[IndicatorCode]],Table1[value]))</f>
        <v>6.3409496564024987</v>
      </c>
      <c r="J9014">
        <f>(Table1[[#This Row],[value]] - Table1[[#This Row],[mean]]) / Table1[[#This Row],[std_dev]]</f>
        <v>5.2809110927887599E-2</v>
      </c>
      <c r="K9014">
        <f>AVERAGEIF(Table1[CountryCode],Table1[[#This Row],[CountryCode]],Table1[z-score])</f>
        <v>0.33171547334985529</v>
      </c>
      <c r="L9014" t="e">
        <f>VLOOKUP(Table1[[#This Row],[CountryCode]],[1]!Table1[#All],1,FALSE)</f>
        <v>#REF!</v>
      </c>
    </row>
    <row r="9015" spans="1:12" hidden="1" x14ac:dyDescent="0.3">
      <c r="A9015" t="s">
        <v>65</v>
      </c>
      <c r="B9015" t="s">
        <v>66</v>
      </c>
      <c r="C9015" t="s">
        <v>129</v>
      </c>
      <c r="D9015" t="s">
        <v>130</v>
      </c>
      <c r="E9015">
        <v>1982</v>
      </c>
      <c r="F9015" s="1">
        <v>73</v>
      </c>
      <c r="G9015">
        <v>1980</v>
      </c>
      <c r="H9015">
        <f>AVERAGEIFS(Table1[value],Table1[IndicatorCode],Table1[[#This Row],[IndicatorCode]])</f>
        <v>72.66514008620689</v>
      </c>
      <c r="I9015" cm="1">
        <f t="array" ref="I9015">_xlfn.STDEV.P(IF(Table1[IndicatorCode]=Table1[[#This Row],[IndicatorCode]],Table1[value]))</f>
        <v>6.3409496564024987</v>
      </c>
      <c r="J9015">
        <f>(Table1[[#This Row],[value]] - Table1[[#This Row],[mean]]) / Table1[[#This Row],[std_dev]]</f>
        <v>5.2809110927887599E-2</v>
      </c>
      <c r="K9015">
        <f>AVERAGEIF(Table1[CountryCode],Table1[[#This Row],[CountryCode]],Table1[z-score])</f>
        <v>0.33171547334985529</v>
      </c>
      <c r="L9015" t="e">
        <f>VLOOKUP(Table1[[#This Row],[CountryCode]],[1]!Table1[#All],1,FALSE)</f>
        <v>#REF!</v>
      </c>
    </row>
    <row r="9016" spans="1:12" hidden="1" x14ac:dyDescent="0.3">
      <c r="A9016" t="s">
        <v>65</v>
      </c>
      <c r="B9016" t="s">
        <v>66</v>
      </c>
      <c r="C9016" t="s">
        <v>129</v>
      </c>
      <c r="D9016" t="s">
        <v>130</v>
      </c>
      <c r="E9016">
        <v>1983</v>
      </c>
      <c r="F9016" s="1">
        <v>73</v>
      </c>
      <c r="G9016">
        <v>1980</v>
      </c>
      <c r="H9016">
        <f>AVERAGEIFS(Table1[value],Table1[IndicatorCode],Table1[[#This Row],[IndicatorCode]])</f>
        <v>72.66514008620689</v>
      </c>
      <c r="I9016" cm="1">
        <f t="array" ref="I9016">_xlfn.STDEV.P(IF(Table1[IndicatorCode]=Table1[[#This Row],[IndicatorCode]],Table1[value]))</f>
        <v>6.3409496564024987</v>
      </c>
      <c r="J9016">
        <f>(Table1[[#This Row],[value]] - Table1[[#This Row],[mean]]) / Table1[[#This Row],[std_dev]]</f>
        <v>5.2809110927887599E-2</v>
      </c>
      <c r="K9016">
        <f>AVERAGEIF(Table1[CountryCode],Table1[[#This Row],[CountryCode]],Table1[z-score])</f>
        <v>0.33171547334985529</v>
      </c>
      <c r="L9016" t="e">
        <f>VLOOKUP(Table1[[#This Row],[CountryCode]],[1]!Table1[#All],1,FALSE)</f>
        <v>#REF!</v>
      </c>
    </row>
    <row r="9017" spans="1:12" hidden="1" x14ac:dyDescent="0.3">
      <c r="A9017" t="s">
        <v>65</v>
      </c>
      <c r="B9017" t="s">
        <v>66</v>
      </c>
      <c r="C9017" t="s">
        <v>129</v>
      </c>
      <c r="D9017" t="s">
        <v>130</v>
      </c>
      <c r="E9017">
        <v>1984</v>
      </c>
      <c r="F9017" s="1">
        <v>74</v>
      </c>
      <c r="G9017">
        <v>1980</v>
      </c>
      <c r="H9017">
        <f>AVERAGEIFS(Table1[value],Table1[IndicatorCode],Table1[[#This Row],[IndicatorCode]])</f>
        <v>72.66514008620689</v>
      </c>
      <c r="I9017" cm="1">
        <f t="array" ref="I9017">_xlfn.STDEV.P(IF(Table1[IndicatorCode]=Table1[[#This Row],[IndicatorCode]],Table1[value]))</f>
        <v>6.3409496564024987</v>
      </c>
      <c r="J9017">
        <f>(Table1[[#This Row],[value]] - Table1[[#This Row],[mean]]) / Table1[[#This Row],[std_dev]]</f>
        <v>0.21051419521132667</v>
      </c>
      <c r="K9017">
        <f>AVERAGEIF(Table1[CountryCode],Table1[[#This Row],[CountryCode]],Table1[z-score])</f>
        <v>0.33171547334985529</v>
      </c>
      <c r="L9017" t="e">
        <f>VLOOKUP(Table1[[#This Row],[CountryCode]],[1]!Table1[#All],1,FALSE)</f>
        <v>#REF!</v>
      </c>
    </row>
    <row r="9018" spans="1:12" hidden="1" x14ac:dyDescent="0.3">
      <c r="A9018" t="s">
        <v>65</v>
      </c>
      <c r="B9018" t="s">
        <v>66</v>
      </c>
      <c r="C9018" t="s">
        <v>129</v>
      </c>
      <c r="D9018" t="s">
        <v>130</v>
      </c>
      <c r="E9018">
        <v>1985</v>
      </c>
      <c r="F9018" s="1">
        <v>74</v>
      </c>
      <c r="G9018">
        <v>1980</v>
      </c>
      <c r="H9018">
        <f>AVERAGEIFS(Table1[value],Table1[IndicatorCode],Table1[[#This Row],[IndicatorCode]])</f>
        <v>72.66514008620689</v>
      </c>
      <c r="I9018" cm="1">
        <f t="array" ref="I9018">_xlfn.STDEV.P(IF(Table1[IndicatorCode]=Table1[[#This Row],[IndicatorCode]],Table1[value]))</f>
        <v>6.3409496564024987</v>
      </c>
      <c r="J9018">
        <f>(Table1[[#This Row],[value]] - Table1[[#This Row],[mean]]) / Table1[[#This Row],[std_dev]]</f>
        <v>0.21051419521132667</v>
      </c>
      <c r="K9018">
        <f>AVERAGEIF(Table1[CountryCode],Table1[[#This Row],[CountryCode]],Table1[z-score])</f>
        <v>0.33171547334985529</v>
      </c>
      <c r="L9018" t="e">
        <f>VLOOKUP(Table1[[#This Row],[CountryCode]],[1]!Table1[#All],1,FALSE)</f>
        <v>#REF!</v>
      </c>
    </row>
    <row r="9019" spans="1:12" hidden="1" x14ac:dyDescent="0.3">
      <c r="A9019" t="s">
        <v>65</v>
      </c>
      <c r="B9019" t="s">
        <v>66</v>
      </c>
      <c r="C9019" t="s">
        <v>129</v>
      </c>
      <c r="D9019" t="s">
        <v>130</v>
      </c>
      <c r="E9019">
        <v>1986</v>
      </c>
      <c r="F9019" s="1">
        <v>74</v>
      </c>
      <c r="G9019">
        <v>1980</v>
      </c>
      <c r="H9019">
        <f>AVERAGEIFS(Table1[value],Table1[IndicatorCode],Table1[[#This Row],[IndicatorCode]])</f>
        <v>72.66514008620689</v>
      </c>
      <c r="I9019" cm="1">
        <f t="array" ref="I9019">_xlfn.STDEV.P(IF(Table1[IndicatorCode]=Table1[[#This Row],[IndicatorCode]],Table1[value]))</f>
        <v>6.3409496564024987</v>
      </c>
      <c r="J9019">
        <f>(Table1[[#This Row],[value]] - Table1[[#This Row],[mean]]) / Table1[[#This Row],[std_dev]]</f>
        <v>0.21051419521132667</v>
      </c>
      <c r="K9019">
        <f>AVERAGEIF(Table1[CountryCode],Table1[[#This Row],[CountryCode]],Table1[z-score])</f>
        <v>0.33171547334985529</v>
      </c>
      <c r="L9019" t="e">
        <f>VLOOKUP(Table1[[#This Row],[CountryCode]],[1]!Table1[#All],1,FALSE)</f>
        <v>#REF!</v>
      </c>
    </row>
    <row r="9020" spans="1:12" hidden="1" x14ac:dyDescent="0.3">
      <c r="A9020" t="s">
        <v>65</v>
      </c>
      <c r="B9020" t="s">
        <v>66</v>
      </c>
      <c r="C9020" t="s">
        <v>129</v>
      </c>
      <c r="D9020" t="s">
        <v>130</v>
      </c>
      <c r="E9020">
        <v>1987</v>
      </c>
      <c r="F9020" s="1">
        <v>74</v>
      </c>
      <c r="G9020">
        <v>1990</v>
      </c>
      <c r="H9020">
        <f>AVERAGEIFS(Table1[value],Table1[IndicatorCode],Table1[[#This Row],[IndicatorCode]])</f>
        <v>72.66514008620689</v>
      </c>
      <c r="I9020" cm="1">
        <f t="array" ref="I9020">_xlfn.STDEV.P(IF(Table1[IndicatorCode]=Table1[[#This Row],[IndicatorCode]],Table1[value]))</f>
        <v>6.3409496564024987</v>
      </c>
      <c r="J9020">
        <f>(Table1[[#This Row],[value]] - Table1[[#This Row],[mean]]) / Table1[[#This Row],[std_dev]]</f>
        <v>0.21051419521132667</v>
      </c>
      <c r="K9020">
        <f>AVERAGEIF(Table1[CountryCode],Table1[[#This Row],[CountryCode]],Table1[z-score])</f>
        <v>0.33171547334985529</v>
      </c>
      <c r="L9020" t="e">
        <f>VLOOKUP(Table1[[#This Row],[CountryCode]],[1]!Table1[#All],1,FALSE)</f>
        <v>#REF!</v>
      </c>
    </row>
    <row r="9021" spans="1:12" hidden="1" x14ac:dyDescent="0.3">
      <c r="A9021" t="s">
        <v>65</v>
      </c>
      <c r="B9021" t="s">
        <v>66</v>
      </c>
      <c r="C9021" t="s">
        <v>129</v>
      </c>
      <c r="D9021" t="s">
        <v>130</v>
      </c>
      <c r="E9021">
        <v>1988</v>
      </c>
      <c r="F9021" s="1">
        <v>74</v>
      </c>
      <c r="G9021">
        <v>1990</v>
      </c>
      <c r="H9021">
        <f>AVERAGEIFS(Table1[value],Table1[IndicatorCode],Table1[[#This Row],[IndicatorCode]])</f>
        <v>72.66514008620689</v>
      </c>
      <c r="I9021" cm="1">
        <f t="array" ref="I9021">_xlfn.STDEV.P(IF(Table1[IndicatorCode]=Table1[[#This Row],[IndicatorCode]],Table1[value]))</f>
        <v>6.3409496564024987</v>
      </c>
      <c r="J9021">
        <f>(Table1[[#This Row],[value]] - Table1[[#This Row],[mean]]) / Table1[[#This Row],[std_dev]]</f>
        <v>0.21051419521132667</v>
      </c>
      <c r="K9021">
        <f>AVERAGEIF(Table1[CountryCode],Table1[[#This Row],[CountryCode]],Table1[z-score])</f>
        <v>0.33171547334985529</v>
      </c>
      <c r="L9021" t="e">
        <f>VLOOKUP(Table1[[#This Row],[CountryCode]],[1]!Table1[#All],1,FALSE)</f>
        <v>#REF!</v>
      </c>
    </row>
    <row r="9022" spans="1:12" hidden="1" x14ac:dyDescent="0.3">
      <c r="A9022" t="s">
        <v>65</v>
      </c>
      <c r="B9022" t="s">
        <v>66</v>
      </c>
      <c r="C9022" t="s">
        <v>129</v>
      </c>
      <c r="D9022" t="s">
        <v>130</v>
      </c>
      <c r="E9022">
        <v>1989</v>
      </c>
      <c r="F9022" s="1">
        <v>74</v>
      </c>
      <c r="G9022">
        <v>1990</v>
      </c>
      <c r="H9022">
        <f>AVERAGEIFS(Table1[value],Table1[IndicatorCode],Table1[[#This Row],[IndicatorCode]])</f>
        <v>72.66514008620689</v>
      </c>
      <c r="I9022" cm="1">
        <f t="array" ref="I9022">_xlfn.STDEV.P(IF(Table1[IndicatorCode]=Table1[[#This Row],[IndicatorCode]],Table1[value]))</f>
        <v>6.3409496564024987</v>
      </c>
      <c r="J9022">
        <f>(Table1[[#This Row],[value]] - Table1[[#This Row],[mean]]) / Table1[[#This Row],[std_dev]]</f>
        <v>0.21051419521132667</v>
      </c>
      <c r="K9022">
        <f>AVERAGEIF(Table1[CountryCode],Table1[[#This Row],[CountryCode]],Table1[z-score])</f>
        <v>0.33171547334985529</v>
      </c>
      <c r="L9022" t="e">
        <f>VLOOKUP(Table1[[#This Row],[CountryCode]],[1]!Table1[#All],1,FALSE)</f>
        <v>#REF!</v>
      </c>
    </row>
    <row r="9023" spans="1:12" hidden="1" x14ac:dyDescent="0.3">
      <c r="A9023" t="s">
        <v>65</v>
      </c>
      <c r="B9023" t="s">
        <v>66</v>
      </c>
      <c r="C9023" t="s">
        <v>129</v>
      </c>
      <c r="D9023" t="s">
        <v>130</v>
      </c>
      <c r="E9023">
        <v>1990</v>
      </c>
      <c r="F9023" s="1">
        <v>75</v>
      </c>
      <c r="G9023">
        <v>1990</v>
      </c>
      <c r="H9023">
        <f>AVERAGEIFS(Table1[value],Table1[IndicatorCode],Table1[[#This Row],[IndicatorCode]])</f>
        <v>72.66514008620689</v>
      </c>
      <c r="I9023" cm="1">
        <f t="array" ref="I9023">_xlfn.STDEV.P(IF(Table1[IndicatorCode]=Table1[[#This Row],[IndicatorCode]],Table1[value]))</f>
        <v>6.3409496564024987</v>
      </c>
      <c r="J9023">
        <f>(Table1[[#This Row],[value]] - Table1[[#This Row],[mean]]) / Table1[[#This Row],[std_dev]]</f>
        <v>0.36821927949476574</v>
      </c>
      <c r="K9023">
        <f>AVERAGEIF(Table1[CountryCode],Table1[[#This Row],[CountryCode]],Table1[z-score])</f>
        <v>0.33171547334985529</v>
      </c>
      <c r="L9023" t="e">
        <f>VLOOKUP(Table1[[#This Row],[CountryCode]],[1]!Table1[#All],1,FALSE)</f>
        <v>#REF!</v>
      </c>
    </row>
    <row r="9024" spans="1:12" hidden="1" x14ac:dyDescent="0.3">
      <c r="A9024" t="s">
        <v>65</v>
      </c>
      <c r="B9024" t="s">
        <v>66</v>
      </c>
      <c r="C9024" t="s">
        <v>129</v>
      </c>
      <c r="D9024" t="s">
        <v>130</v>
      </c>
      <c r="E9024">
        <v>1991</v>
      </c>
      <c r="F9024" s="1">
        <v>75</v>
      </c>
      <c r="G9024">
        <v>1990</v>
      </c>
      <c r="H9024">
        <f>AVERAGEIFS(Table1[value],Table1[IndicatorCode],Table1[[#This Row],[IndicatorCode]])</f>
        <v>72.66514008620689</v>
      </c>
      <c r="I9024" cm="1">
        <f t="array" ref="I9024">_xlfn.STDEV.P(IF(Table1[IndicatorCode]=Table1[[#This Row],[IndicatorCode]],Table1[value]))</f>
        <v>6.3409496564024987</v>
      </c>
      <c r="J9024">
        <f>(Table1[[#This Row],[value]] - Table1[[#This Row],[mean]]) / Table1[[#This Row],[std_dev]]</f>
        <v>0.36821927949476574</v>
      </c>
      <c r="K9024">
        <f>AVERAGEIF(Table1[CountryCode],Table1[[#This Row],[CountryCode]],Table1[z-score])</f>
        <v>0.33171547334985529</v>
      </c>
      <c r="L9024" t="e">
        <f>VLOOKUP(Table1[[#This Row],[CountryCode]],[1]!Table1[#All],1,FALSE)</f>
        <v>#REF!</v>
      </c>
    </row>
    <row r="9025" spans="1:12" hidden="1" x14ac:dyDescent="0.3">
      <c r="A9025" t="s">
        <v>65</v>
      </c>
      <c r="B9025" t="s">
        <v>66</v>
      </c>
      <c r="C9025" t="s">
        <v>129</v>
      </c>
      <c r="D9025" t="s">
        <v>130</v>
      </c>
      <c r="E9025">
        <v>1992</v>
      </c>
      <c r="F9025" s="1">
        <v>75</v>
      </c>
      <c r="G9025">
        <v>1990</v>
      </c>
      <c r="H9025">
        <f>AVERAGEIFS(Table1[value],Table1[IndicatorCode],Table1[[#This Row],[IndicatorCode]])</f>
        <v>72.66514008620689</v>
      </c>
      <c r="I9025" cm="1">
        <f t="array" ref="I9025">_xlfn.STDEV.P(IF(Table1[IndicatorCode]=Table1[[#This Row],[IndicatorCode]],Table1[value]))</f>
        <v>6.3409496564024987</v>
      </c>
      <c r="J9025">
        <f>(Table1[[#This Row],[value]] - Table1[[#This Row],[mean]]) / Table1[[#This Row],[std_dev]]</f>
        <v>0.36821927949476574</v>
      </c>
      <c r="K9025">
        <f>AVERAGEIF(Table1[CountryCode],Table1[[#This Row],[CountryCode]],Table1[z-score])</f>
        <v>0.33171547334985529</v>
      </c>
      <c r="L9025" t="e">
        <f>VLOOKUP(Table1[[#This Row],[CountryCode]],[1]!Table1[#All],1,FALSE)</f>
        <v>#REF!</v>
      </c>
    </row>
    <row r="9026" spans="1:12" hidden="1" x14ac:dyDescent="0.3">
      <c r="A9026" t="s">
        <v>65</v>
      </c>
      <c r="B9026" t="s">
        <v>66</v>
      </c>
      <c r="C9026" t="s">
        <v>129</v>
      </c>
      <c r="D9026" t="s">
        <v>130</v>
      </c>
      <c r="E9026">
        <v>1993</v>
      </c>
      <c r="F9026" s="1">
        <v>75</v>
      </c>
      <c r="G9026">
        <v>1990</v>
      </c>
      <c r="H9026">
        <f>AVERAGEIFS(Table1[value],Table1[IndicatorCode],Table1[[#This Row],[IndicatorCode]])</f>
        <v>72.66514008620689</v>
      </c>
      <c r="I9026" cm="1">
        <f t="array" ref="I9026">_xlfn.STDEV.P(IF(Table1[IndicatorCode]=Table1[[#This Row],[IndicatorCode]],Table1[value]))</f>
        <v>6.3409496564024987</v>
      </c>
      <c r="J9026">
        <f>(Table1[[#This Row],[value]] - Table1[[#This Row],[mean]]) / Table1[[#This Row],[std_dev]]</f>
        <v>0.36821927949476574</v>
      </c>
      <c r="K9026">
        <f>AVERAGEIF(Table1[CountryCode],Table1[[#This Row],[CountryCode]],Table1[z-score])</f>
        <v>0.33171547334985529</v>
      </c>
      <c r="L9026" t="e">
        <f>VLOOKUP(Table1[[#This Row],[CountryCode]],[1]!Table1[#All],1,FALSE)</f>
        <v>#REF!</v>
      </c>
    </row>
    <row r="9027" spans="1:12" hidden="1" x14ac:dyDescent="0.3">
      <c r="A9027" t="s">
        <v>65</v>
      </c>
      <c r="B9027" t="s">
        <v>66</v>
      </c>
      <c r="C9027" t="s">
        <v>129</v>
      </c>
      <c r="D9027" t="s">
        <v>130</v>
      </c>
      <c r="E9027">
        <v>1994</v>
      </c>
      <c r="F9027" s="1">
        <v>76</v>
      </c>
      <c r="G9027">
        <v>1990</v>
      </c>
      <c r="H9027">
        <f>AVERAGEIFS(Table1[value],Table1[IndicatorCode],Table1[[#This Row],[IndicatorCode]])</f>
        <v>72.66514008620689</v>
      </c>
      <c r="I9027" cm="1">
        <f t="array" ref="I9027">_xlfn.STDEV.P(IF(Table1[IndicatorCode]=Table1[[#This Row],[IndicatorCode]],Table1[value]))</f>
        <v>6.3409496564024987</v>
      </c>
      <c r="J9027">
        <f>(Table1[[#This Row],[value]] - Table1[[#This Row],[mean]]) / Table1[[#This Row],[std_dev]]</f>
        <v>0.52592436377820473</v>
      </c>
      <c r="K9027">
        <f>AVERAGEIF(Table1[CountryCode],Table1[[#This Row],[CountryCode]],Table1[z-score])</f>
        <v>0.33171547334985529</v>
      </c>
      <c r="L9027" t="e">
        <f>VLOOKUP(Table1[[#This Row],[CountryCode]],[1]!Table1[#All],1,FALSE)</f>
        <v>#REF!</v>
      </c>
    </row>
    <row r="9028" spans="1:12" hidden="1" x14ac:dyDescent="0.3">
      <c r="A9028" t="s">
        <v>65</v>
      </c>
      <c r="B9028" t="s">
        <v>66</v>
      </c>
      <c r="C9028" t="s">
        <v>129</v>
      </c>
      <c r="D9028" t="s">
        <v>130</v>
      </c>
      <c r="E9028">
        <v>1995</v>
      </c>
      <c r="F9028" s="1">
        <v>75</v>
      </c>
      <c r="G9028">
        <v>1990</v>
      </c>
      <c r="H9028">
        <f>AVERAGEIFS(Table1[value],Table1[IndicatorCode],Table1[[#This Row],[IndicatorCode]])</f>
        <v>72.66514008620689</v>
      </c>
      <c r="I9028" cm="1">
        <f t="array" ref="I9028">_xlfn.STDEV.P(IF(Table1[IndicatorCode]=Table1[[#This Row],[IndicatorCode]],Table1[value]))</f>
        <v>6.3409496564024987</v>
      </c>
      <c r="J9028">
        <f>(Table1[[#This Row],[value]] - Table1[[#This Row],[mean]]) / Table1[[#This Row],[std_dev]]</f>
        <v>0.36821927949476574</v>
      </c>
      <c r="K9028">
        <f>AVERAGEIF(Table1[CountryCode],Table1[[#This Row],[CountryCode]],Table1[z-score])</f>
        <v>0.33171547334985529</v>
      </c>
      <c r="L9028" t="e">
        <f>VLOOKUP(Table1[[#This Row],[CountryCode]],[1]!Table1[#All],1,FALSE)</f>
        <v>#REF!</v>
      </c>
    </row>
    <row r="9029" spans="1:12" hidden="1" x14ac:dyDescent="0.3">
      <c r="A9029" t="s">
        <v>65</v>
      </c>
      <c r="B9029" t="s">
        <v>66</v>
      </c>
      <c r="C9029" t="s">
        <v>129</v>
      </c>
      <c r="D9029" t="s">
        <v>130</v>
      </c>
      <c r="E9029">
        <v>1996</v>
      </c>
      <c r="F9029" s="1">
        <v>76</v>
      </c>
      <c r="G9029">
        <v>1990</v>
      </c>
      <c r="H9029">
        <f>AVERAGEIFS(Table1[value],Table1[IndicatorCode],Table1[[#This Row],[IndicatorCode]])</f>
        <v>72.66514008620689</v>
      </c>
      <c r="I9029" cm="1">
        <f t="array" ref="I9029">_xlfn.STDEV.P(IF(Table1[IndicatorCode]=Table1[[#This Row],[IndicatorCode]],Table1[value]))</f>
        <v>6.3409496564024987</v>
      </c>
      <c r="J9029">
        <f>(Table1[[#This Row],[value]] - Table1[[#This Row],[mean]]) / Table1[[#This Row],[std_dev]]</f>
        <v>0.52592436377820473</v>
      </c>
      <c r="K9029">
        <f>AVERAGEIF(Table1[CountryCode],Table1[[#This Row],[CountryCode]],Table1[z-score])</f>
        <v>0.33171547334985529</v>
      </c>
      <c r="L9029" t="e">
        <f>VLOOKUP(Table1[[#This Row],[CountryCode]],[1]!Table1[#All],1,FALSE)</f>
        <v>#REF!</v>
      </c>
    </row>
    <row r="9030" spans="1:12" hidden="1" x14ac:dyDescent="0.3">
      <c r="A9030" t="s">
        <v>65</v>
      </c>
      <c r="B9030" t="s">
        <v>66</v>
      </c>
      <c r="C9030" t="s">
        <v>129</v>
      </c>
      <c r="D9030" t="s">
        <v>130</v>
      </c>
      <c r="E9030">
        <v>1997</v>
      </c>
      <c r="F9030" s="1">
        <v>76</v>
      </c>
      <c r="G9030">
        <v>2000</v>
      </c>
      <c r="H9030">
        <f>AVERAGEIFS(Table1[value],Table1[IndicatorCode],Table1[[#This Row],[IndicatorCode]])</f>
        <v>72.66514008620689</v>
      </c>
      <c r="I9030" cm="1">
        <f t="array" ref="I9030">_xlfn.STDEV.P(IF(Table1[IndicatorCode]=Table1[[#This Row],[IndicatorCode]],Table1[value]))</f>
        <v>6.3409496564024987</v>
      </c>
      <c r="J9030">
        <f>(Table1[[#This Row],[value]] - Table1[[#This Row],[mean]]) / Table1[[#This Row],[std_dev]]</f>
        <v>0.52592436377820473</v>
      </c>
      <c r="K9030">
        <f>AVERAGEIF(Table1[CountryCode],Table1[[#This Row],[CountryCode]],Table1[z-score])</f>
        <v>0.33171547334985529</v>
      </c>
      <c r="L9030" t="e">
        <f>VLOOKUP(Table1[[#This Row],[CountryCode]],[1]!Table1[#All],1,FALSE)</f>
        <v>#REF!</v>
      </c>
    </row>
    <row r="9031" spans="1:12" hidden="1" x14ac:dyDescent="0.3">
      <c r="A9031" t="s">
        <v>65</v>
      </c>
      <c r="B9031" t="s">
        <v>66</v>
      </c>
      <c r="C9031" t="s">
        <v>129</v>
      </c>
      <c r="D9031" t="s">
        <v>130</v>
      </c>
      <c r="E9031">
        <v>1998</v>
      </c>
      <c r="F9031" s="1">
        <v>76</v>
      </c>
      <c r="G9031">
        <v>2000</v>
      </c>
      <c r="H9031">
        <f>AVERAGEIFS(Table1[value],Table1[IndicatorCode],Table1[[#This Row],[IndicatorCode]])</f>
        <v>72.66514008620689</v>
      </c>
      <c r="I9031" cm="1">
        <f t="array" ref="I9031">_xlfn.STDEV.P(IF(Table1[IndicatorCode]=Table1[[#This Row],[IndicatorCode]],Table1[value]))</f>
        <v>6.3409496564024987</v>
      </c>
      <c r="J9031">
        <f>(Table1[[#This Row],[value]] - Table1[[#This Row],[mean]]) / Table1[[#This Row],[std_dev]]</f>
        <v>0.52592436377820473</v>
      </c>
      <c r="K9031">
        <f>AVERAGEIF(Table1[CountryCode],Table1[[#This Row],[CountryCode]],Table1[z-score])</f>
        <v>0.33171547334985529</v>
      </c>
      <c r="L9031" t="e">
        <f>VLOOKUP(Table1[[#This Row],[CountryCode]],[1]!Table1[#All],1,FALSE)</f>
        <v>#REF!</v>
      </c>
    </row>
    <row r="9032" spans="1:12" hidden="1" x14ac:dyDescent="0.3">
      <c r="A9032" t="s">
        <v>65</v>
      </c>
      <c r="B9032" t="s">
        <v>66</v>
      </c>
      <c r="C9032" t="s">
        <v>129</v>
      </c>
      <c r="D9032" t="s">
        <v>130</v>
      </c>
      <c r="E9032">
        <v>1999</v>
      </c>
      <c r="F9032" s="1">
        <v>76</v>
      </c>
      <c r="G9032">
        <v>2000</v>
      </c>
      <c r="H9032">
        <f>AVERAGEIFS(Table1[value],Table1[IndicatorCode],Table1[[#This Row],[IndicatorCode]])</f>
        <v>72.66514008620689</v>
      </c>
      <c r="I9032" cm="1">
        <f t="array" ref="I9032">_xlfn.STDEV.P(IF(Table1[IndicatorCode]=Table1[[#This Row],[IndicatorCode]],Table1[value]))</f>
        <v>6.3409496564024987</v>
      </c>
      <c r="J9032">
        <f>(Table1[[#This Row],[value]] - Table1[[#This Row],[mean]]) / Table1[[#This Row],[std_dev]]</f>
        <v>0.52592436377820473</v>
      </c>
      <c r="K9032">
        <f>AVERAGEIF(Table1[CountryCode],Table1[[#This Row],[CountryCode]],Table1[z-score])</f>
        <v>0.33171547334985529</v>
      </c>
      <c r="L9032" t="e">
        <f>VLOOKUP(Table1[[#This Row],[CountryCode]],[1]!Table1[#All],1,FALSE)</f>
        <v>#REF!</v>
      </c>
    </row>
    <row r="9033" spans="1:12" hidden="1" x14ac:dyDescent="0.3">
      <c r="A9033" t="s">
        <v>65</v>
      </c>
      <c r="B9033" t="s">
        <v>66</v>
      </c>
      <c r="C9033" t="s">
        <v>129</v>
      </c>
      <c r="D9033" t="s">
        <v>130</v>
      </c>
      <c r="E9033">
        <v>2000</v>
      </c>
      <c r="F9033" s="1">
        <v>77</v>
      </c>
      <c r="G9033">
        <v>2000</v>
      </c>
      <c r="H9033">
        <f>AVERAGEIFS(Table1[value],Table1[IndicatorCode],Table1[[#This Row],[IndicatorCode]])</f>
        <v>72.66514008620689</v>
      </c>
      <c r="I9033" cm="1">
        <f t="array" ref="I9033">_xlfn.STDEV.P(IF(Table1[IndicatorCode]=Table1[[#This Row],[IndicatorCode]],Table1[value]))</f>
        <v>6.3409496564024987</v>
      </c>
      <c r="J9033">
        <f>(Table1[[#This Row],[value]] - Table1[[#This Row],[mean]]) / Table1[[#This Row],[std_dev]]</f>
        <v>0.68362944806164383</v>
      </c>
      <c r="K9033">
        <f>AVERAGEIF(Table1[CountryCode],Table1[[#This Row],[CountryCode]],Table1[z-score])</f>
        <v>0.33171547334985529</v>
      </c>
      <c r="L9033" t="e">
        <f>VLOOKUP(Table1[[#This Row],[CountryCode]],[1]!Table1[#All],1,FALSE)</f>
        <v>#REF!</v>
      </c>
    </row>
    <row r="9034" spans="1:12" hidden="1" x14ac:dyDescent="0.3">
      <c r="A9034" t="s">
        <v>65</v>
      </c>
      <c r="B9034" t="s">
        <v>66</v>
      </c>
      <c r="C9034" t="s">
        <v>129</v>
      </c>
      <c r="D9034" t="s">
        <v>130</v>
      </c>
      <c r="E9034">
        <v>2001</v>
      </c>
      <c r="F9034" s="1">
        <v>77</v>
      </c>
      <c r="G9034">
        <v>2000</v>
      </c>
      <c r="H9034">
        <f>AVERAGEIFS(Table1[value],Table1[IndicatorCode],Table1[[#This Row],[IndicatorCode]])</f>
        <v>72.66514008620689</v>
      </c>
      <c r="I9034" cm="1">
        <f t="array" ref="I9034">_xlfn.STDEV.P(IF(Table1[IndicatorCode]=Table1[[#This Row],[IndicatorCode]],Table1[value]))</f>
        <v>6.3409496564024987</v>
      </c>
      <c r="J9034">
        <f>(Table1[[#This Row],[value]] - Table1[[#This Row],[mean]]) / Table1[[#This Row],[std_dev]]</f>
        <v>0.68362944806164383</v>
      </c>
      <c r="K9034">
        <f>AVERAGEIF(Table1[CountryCode],Table1[[#This Row],[CountryCode]],Table1[z-score])</f>
        <v>0.33171547334985529</v>
      </c>
      <c r="L9034" t="e">
        <f>VLOOKUP(Table1[[#This Row],[CountryCode]],[1]!Table1[#All],1,FALSE)</f>
        <v>#REF!</v>
      </c>
    </row>
    <row r="9035" spans="1:12" hidden="1" x14ac:dyDescent="0.3">
      <c r="A9035" t="s">
        <v>65</v>
      </c>
      <c r="B9035" t="s">
        <v>66</v>
      </c>
      <c r="C9035" t="s">
        <v>129</v>
      </c>
      <c r="D9035" t="s">
        <v>130</v>
      </c>
      <c r="E9035">
        <v>2002</v>
      </c>
      <c r="F9035" s="1">
        <v>78</v>
      </c>
      <c r="G9035">
        <v>2000</v>
      </c>
      <c r="H9035">
        <f>AVERAGEIFS(Table1[value],Table1[IndicatorCode],Table1[[#This Row],[IndicatorCode]])</f>
        <v>72.66514008620689</v>
      </c>
      <c r="I9035" cm="1">
        <f t="array" ref="I9035">_xlfn.STDEV.P(IF(Table1[IndicatorCode]=Table1[[#This Row],[IndicatorCode]],Table1[value]))</f>
        <v>6.3409496564024987</v>
      </c>
      <c r="J9035">
        <f>(Table1[[#This Row],[value]] - Table1[[#This Row],[mean]]) / Table1[[#This Row],[std_dev]]</f>
        <v>0.84133453234508293</v>
      </c>
      <c r="K9035">
        <f>AVERAGEIF(Table1[CountryCode],Table1[[#This Row],[CountryCode]],Table1[z-score])</f>
        <v>0.33171547334985529</v>
      </c>
      <c r="L9035" t="e">
        <f>VLOOKUP(Table1[[#This Row],[CountryCode]],[1]!Table1[#All],1,FALSE)</f>
        <v>#REF!</v>
      </c>
    </row>
    <row r="9036" spans="1:12" hidden="1" x14ac:dyDescent="0.3">
      <c r="A9036" t="s">
        <v>65</v>
      </c>
      <c r="B9036" t="s">
        <v>66</v>
      </c>
      <c r="C9036" t="s">
        <v>129</v>
      </c>
      <c r="D9036" t="s">
        <v>130</v>
      </c>
      <c r="E9036">
        <v>2003</v>
      </c>
      <c r="F9036" s="1">
        <v>78</v>
      </c>
      <c r="G9036">
        <v>2000</v>
      </c>
      <c r="H9036">
        <f>AVERAGEIFS(Table1[value],Table1[IndicatorCode],Table1[[#This Row],[IndicatorCode]])</f>
        <v>72.66514008620689</v>
      </c>
      <c r="I9036" cm="1">
        <f t="array" ref="I9036">_xlfn.STDEV.P(IF(Table1[IndicatorCode]=Table1[[#This Row],[IndicatorCode]],Table1[value]))</f>
        <v>6.3409496564024987</v>
      </c>
      <c r="J9036">
        <f>(Table1[[#This Row],[value]] - Table1[[#This Row],[mean]]) / Table1[[#This Row],[std_dev]]</f>
        <v>0.84133453234508293</v>
      </c>
      <c r="K9036">
        <f>AVERAGEIF(Table1[CountryCode],Table1[[#This Row],[CountryCode]],Table1[z-score])</f>
        <v>0.33171547334985529</v>
      </c>
      <c r="L9036" t="e">
        <f>VLOOKUP(Table1[[#This Row],[CountryCode]],[1]!Table1[#All],1,FALSE)</f>
        <v>#REF!</v>
      </c>
    </row>
    <row r="9037" spans="1:12" hidden="1" x14ac:dyDescent="0.3">
      <c r="A9037" t="s">
        <v>65</v>
      </c>
      <c r="B9037" t="s">
        <v>66</v>
      </c>
      <c r="C9037" t="s">
        <v>129</v>
      </c>
      <c r="D9037" t="s">
        <v>130</v>
      </c>
      <c r="E9037">
        <v>2004</v>
      </c>
      <c r="F9037" s="1">
        <v>79</v>
      </c>
      <c r="G9037">
        <v>2000</v>
      </c>
      <c r="H9037">
        <f>AVERAGEIFS(Table1[value],Table1[IndicatorCode],Table1[[#This Row],[IndicatorCode]])</f>
        <v>72.66514008620689</v>
      </c>
      <c r="I9037" cm="1">
        <f t="array" ref="I9037">_xlfn.STDEV.P(IF(Table1[IndicatorCode]=Table1[[#This Row],[IndicatorCode]],Table1[value]))</f>
        <v>6.3409496564024987</v>
      </c>
      <c r="J9037">
        <f>(Table1[[#This Row],[value]] - Table1[[#This Row],[mean]]) / Table1[[#This Row],[std_dev]]</f>
        <v>0.99903961662852192</v>
      </c>
      <c r="K9037">
        <f>AVERAGEIF(Table1[CountryCode],Table1[[#This Row],[CountryCode]],Table1[z-score])</f>
        <v>0.33171547334985529</v>
      </c>
      <c r="L9037" t="e">
        <f>VLOOKUP(Table1[[#This Row],[CountryCode]],[1]!Table1[#All],1,FALSE)</f>
        <v>#REF!</v>
      </c>
    </row>
    <row r="9038" spans="1:12" hidden="1" x14ac:dyDescent="0.3">
      <c r="A9038" t="s">
        <v>65</v>
      </c>
      <c r="B9038" t="s">
        <v>66</v>
      </c>
      <c r="C9038" t="s">
        <v>129</v>
      </c>
      <c r="D9038" t="s">
        <v>130</v>
      </c>
      <c r="E9038">
        <v>2005</v>
      </c>
      <c r="F9038" s="1">
        <v>79</v>
      </c>
      <c r="G9038">
        <v>2000</v>
      </c>
      <c r="H9038">
        <f>AVERAGEIFS(Table1[value],Table1[IndicatorCode],Table1[[#This Row],[IndicatorCode]])</f>
        <v>72.66514008620689</v>
      </c>
      <c r="I9038" cm="1">
        <f t="array" ref="I9038">_xlfn.STDEV.P(IF(Table1[IndicatorCode]=Table1[[#This Row],[IndicatorCode]],Table1[value]))</f>
        <v>6.3409496564024987</v>
      </c>
      <c r="J9038">
        <f>(Table1[[#This Row],[value]] - Table1[[#This Row],[mean]]) / Table1[[#This Row],[std_dev]]</f>
        <v>0.99903961662852192</v>
      </c>
      <c r="K9038">
        <f>AVERAGEIF(Table1[CountryCode],Table1[[#This Row],[CountryCode]],Table1[z-score])</f>
        <v>0.33171547334985529</v>
      </c>
      <c r="L9038" t="e">
        <f>VLOOKUP(Table1[[#This Row],[CountryCode]],[1]!Table1[#All],1,FALSE)</f>
        <v>#REF!</v>
      </c>
    </row>
    <row r="9039" spans="1:12" hidden="1" x14ac:dyDescent="0.3">
      <c r="A9039" t="s">
        <v>65</v>
      </c>
      <c r="B9039" t="s">
        <v>66</v>
      </c>
      <c r="C9039" t="s">
        <v>129</v>
      </c>
      <c r="D9039" t="s">
        <v>130</v>
      </c>
      <c r="E9039">
        <v>2006</v>
      </c>
      <c r="F9039" s="1">
        <v>79</v>
      </c>
      <c r="G9039">
        <v>2000</v>
      </c>
      <c r="H9039">
        <f>AVERAGEIFS(Table1[value],Table1[IndicatorCode],Table1[[#This Row],[IndicatorCode]])</f>
        <v>72.66514008620689</v>
      </c>
      <c r="I9039" cm="1">
        <f t="array" ref="I9039">_xlfn.STDEV.P(IF(Table1[IndicatorCode]=Table1[[#This Row],[IndicatorCode]],Table1[value]))</f>
        <v>6.3409496564024987</v>
      </c>
      <c r="J9039">
        <f>(Table1[[#This Row],[value]] - Table1[[#This Row],[mean]]) / Table1[[#This Row],[std_dev]]</f>
        <v>0.99903961662852192</v>
      </c>
      <c r="K9039">
        <f>AVERAGEIF(Table1[CountryCode],Table1[[#This Row],[CountryCode]],Table1[z-score])</f>
        <v>0.33171547334985529</v>
      </c>
      <c r="L9039" t="e">
        <f>VLOOKUP(Table1[[#This Row],[CountryCode]],[1]!Table1[#All],1,FALSE)</f>
        <v>#REF!</v>
      </c>
    </row>
    <row r="9040" spans="1:12" hidden="1" x14ac:dyDescent="0.3">
      <c r="A9040" t="s">
        <v>65</v>
      </c>
      <c r="B9040" t="s">
        <v>66</v>
      </c>
      <c r="C9040" t="s">
        <v>129</v>
      </c>
      <c r="D9040" t="s">
        <v>130</v>
      </c>
      <c r="E9040">
        <v>2007</v>
      </c>
      <c r="F9040" s="1">
        <v>80</v>
      </c>
      <c r="G9040">
        <v>2010</v>
      </c>
      <c r="H9040">
        <f>AVERAGEIFS(Table1[value],Table1[IndicatorCode],Table1[[#This Row],[IndicatorCode]])</f>
        <v>72.66514008620689</v>
      </c>
      <c r="I9040" cm="1">
        <f t="array" ref="I9040">_xlfn.STDEV.P(IF(Table1[IndicatorCode]=Table1[[#This Row],[IndicatorCode]],Table1[value]))</f>
        <v>6.3409496564024987</v>
      </c>
      <c r="J9040">
        <f>(Table1[[#This Row],[value]] - Table1[[#This Row],[mean]]) / Table1[[#This Row],[std_dev]]</f>
        <v>1.1567447009119609</v>
      </c>
      <c r="K9040">
        <f>AVERAGEIF(Table1[CountryCode],Table1[[#This Row],[CountryCode]],Table1[z-score])</f>
        <v>0.33171547334985529</v>
      </c>
      <c r="L9040" t="e">
        <f>VLOOKUP(Table1[[#This Row],[CountryCode]],[1]!Table1[#All],1,FALSE)</f>
        <v>#REF!</v>
      </c>
    </row>
    <row r="9041" spans="1:12" hidden="1" x14ac:dyDescent="0.3">
      <c r="A9041" t="s">
        <v>65</v>
      </c>
      <c r="B9041" t="s">
        <v>66</v>
      </c>
      <c r="C9041" t="s">
        <v>129</v>
      </c>
      <c r="D9041" t="s">
        <v>130</v>
      </c>
      <c r="E9041">
        <v>2008</v>
      </c>
      <c r="F9041" s="1">
        <v>80</v>
      </c>
      <c r="G9041">
        <v>2010</v>
      </c>
      <c r="H9041">
        <f>AVERAGEIFS(Table1[value],Table1[IndicatorCode],Table1[[#This Row],[IndicatorCode]])</f>
        <v>72.66514008620689</v>
      </c>
      <c r="I9041" cm="1">
        <f t="array" ref="I9041">_xlfn.STDEV.P(IF(Table1[IndicatorCode]=Table1[[#This Row],[IndicatorCode]],Table1[value]))</f>
        <v>6.3409496564024987</v>
      </c>
      <c r="J9041">
        <f>(Table1[[#This Row],[value]] - Table1[[#This Row],[mean]]) / Table1[[#This Row],[std_dev]]</f>
        <v>1.1567447009119609</v>
      </c>
      <c r="K9041">
        <f>AVERAGEIF(Table1[CountryCode],Table1[[#This Row],[CountryCode]],Table1[z-score])</f>
        <v>0.33171547334985529</v>
      </c>
      <c r="L9041" t="e">
        <f>VLOOKUP(Table1[[#This Row],[CountryCode]],[1]!Table1[#All],1,FALSE)</f>
        <v>#REF!</v>
      </c>
    </row>
    <row r="9042" spans="1:12" hidden="1" x14ac:dyDescent="0.3">
      <c r="A9042" t="s">
        <v>65</v>
      </c>
      <c r="B9042" t="s">
        <v>66</v>
      </c>
      <c r="C9042" t="s">
        <v>129</v>
      </c>
      <c r="D9042" t="s">
        <v>130</v>
      </c>
      <c r="E9042">
        <v>2009</v>
      </c>
      <c r="F9042" s="1">
        <v>80</v>
      </c>
      <c r="G9042">
        <v>2010</v>
      </c>
      <c r="H9042">
        <f>AVERAGEIFS(Table1[value],Table1[IndicatorCode],Table1[[#This Row],[IndicatorCode]])</f>
        <v>72.66514008620689</v>
      </c>
      <c r="I9042" cm="1">
        <f t="array" ref="I9042">_xlfn.STDEV.P(IF(Table1[IndicatorCode]=Table1[[#This Row],[IndicatorCode]],Table1[value]))</f>
        <v>6.3409496564024987</v>
      </c>
      <c r="J9042">
        <f>(Table1[[#This Row],[value]] - Table1[[#This Row],[mean]]) / Table1[[#This Row],[std_dev]]</f>
        <v>1.1567447009119609</v>
      </c>
      <c r="K9042">
        <f>AVERAGEIF(Table1[CountryCode],Table1[[#This Row],[CountryCode]],Table1[z-score])</f>
        <v>0.33171547334985529</v>
      </c>
      <c r="L9042" t="e">
        <f>VLOOKUP(Table1[[#This Row],[CountryCode]],[1]!Table1[#All],1,FALSE)</f>
        <v>#REF!</v>
      </c>
    </row>
    <row r="9043" spans="1:12" hidden="1" x14ac:dyDescent="0.3">
      <c r="A9043" t="s">
        <v>65</v>
      </c>
      <c r="B9043" t="s">
        <v>66</v>
      </c>
      <c r="C9043" t="s">
        <v>129</v>
      </c>
      <c r="D9043" t="s">
        <v>130</v>
      </c>
      <c r="E9043">
        <v>2010</v>
      </c>
      <c r="F9043" s="1">
        <v>81</v>
      </c>
      <c r="G9043">
        <v>2010</v>
      </c>
      <c r="H9043">
        <f>AVERAGEIFS(Table1[value],Table1[IndicatorCode],Table1[[#This Row],[IndicatorCode]])</f>
        <v>72.66514008620689</v>
      </c>
      <c r="I9043" cm="1">
        <f t="array" ref="I9043">_xlfn.STDEV.P(IF(Table1[IndicatorCode]=Table1[[#This Row],[IndicatorCode]],Table1[value]))</f>
        <v>6.3409496564024987</v>
      </c>
      <c r="J9043">
        <f>(Table1[[#This Row],[value]] - Table1[[#This Row],[mean]]) / Table1[[#This Row],[std_dev]]</f>
        <v>1.3144497851954</v>
      </c>
      <c r="K9043">
        <f>AVERAGEIF(Table1[CountryCode],Table1[[#This Row],[CountryCode]],Table1[z-score])</f>
        <v>0.33171547334985529</v>
      </c>
      <c r="L9043" t="e">
        <f>VLOOKUP(Table1[[#This Row],[CountryCode]],[1]!Table1[#All],1,FALSE)</f>
        <v>#REF!</v>
      </c>
    </row>
    <row r="9044" spans="1:12" hidden="1" x14ac:dyDescent="0.3">
      <c r="A9044" t="s">
        <v>65</v>
      </c>
      <c r="B9044" t="s">
        <v>66</v>
      </c>
      <c r="C9044" t="s">
        <v>129</v>
      </c>
      <c r="D9044" t="s">
        <v>130</v>
      </c>
      <c r="E9044">
        <v>2011</v>
      </c>
      <c r="F9044" s="1">
        <v>81</v>
      </c>
      <c r="G9044">
        <v>2010</v>
      </c>
      <c r="H9044">
        <f>AVERAGEIFS(Table1[value],Table1[IndicatorCode],Table1[[#This Row],[IndicatorCode]])</f>
        <v>72.66514008620689</v>
      </c>
      <c r="I9044" cm="1">
        <f t="array" ref="I9044">_xlfn.STDEV.P(IF(Table1[IndicatorCode]=Table1[[#This Row],[IndicatorCode]],Table1[value]))</f>
        <v>6.3409496564024987</v>
      </c>
      <c r="J9044">
        <f>(Table1[[#This Row],[value]] - Table1[[#This Row],[mean]]) / Table1[[#This Row],[std_dev]]</f>
        <v>1.3144497851954</v>
      </c>
      <c r="K9044">
        <f>AVERAGEIF(Table1[CountryCode],Table1[[#This Row],[CountryCode]],Table1[z-score])</f>
        <v>0.33171547334985529</v>
      </c>
      <c r="L9044" t="e">
        <f>VLOOKUP(Table1[[#This Row],[CountryCode]],[1]!Table1[#All],1,FALSE)</f>
        <v>#REF!</v>
      </c>
    </row>
    <row r="9045" spans="1:12" hidden="1" x14ac:dyDescent="0.3">
      <c r="A9045" t="s">
        <v>65</v>
      </c>
      <c r="B9045" t="s">
        <v>66</v>
      </c>
      <c r="C9045" t="s">
        <v>129</v>
      </c>
      <c r="D9045" t="s">
        <v>130</v>
      </c>
      <c r="E9045">
        <v>2012</v>
      </c>
      <c r="F9045" s="1">
        <v>81</v>
      </c>
      <c r="G9045">
        <v>2010</v>
      </c>
      <c r="H9045">
        <f>AVERAGEIFS(Table1[value],Table1[IndicatorCode],Table1[[#This Row],[IndicatorCode]])</f>
        <v>72.66514008620689</v>
      </c>
      <c r="I9045" cm="1">
        <f t="array" ref="I9045">_xlfn.STDEV.P(IF(Table1[IndicatorCode]=Table1[[#This Row],[IndicatorCode]],Table1[value]))</f>
        <v>6.3409496564024987</v>
      </c>
      <c r="J9045">
        <f>(Table1[[#This Row],[value]] - Table1[[#This Row],[mean]]) / Table1[[#This Row],[std_dev]]</f>
        <v>1.3144497851954</v>
      </c>
      <c r="K9045">
        <f>AVERAGEIF(Table1[CountryCode],Table1[[#This Row],[CountryCode]],Table1[z-score])</f>
        <v>0.33171547334985529</v>
      </c>
      <c r="L9045" t="e">
        <f>VLOOKUP(Table1[[#This Row],[CountryCode]],[1]!Table1[#All],1,FALSE)</f>
        <v>#REF!</v>
      </c>
    </row>
    <row r="9046" spans="1:12" hidden="1" x14ac:dyDescent="0.3">
      <c r="A9046" t="s">
        <v>65</v>
      </c>
      <c r="B9046" t="s">
        <v>66</v>
      </c>
      <c r="C9046" t="s">
        <v>129</v>
      </c>
      <c r="D9046" t="s">
        <v>130</v>
      </c>
      <c r="E9046">
        <v>2013</v>
      </c>
      <c r="F9046" s="1">
        <v>81</v>
      </c>
      <c r="G9046">
        <v>2010</v>
      </c>
      <c r="H9046">
        <f>AVERAGEIFS(Table1[value],Table1[IndicatorCode],Table1[[#This Row],[IndicatorCode]])</f>
        <v>72.66514008620689</v>
      </c>
      <c r="I9046" cm="1">
        <f t="array" ref="I9046">_xlfn.STDEV.P(IF(Table1[IndicatorCode]=Table1[[#This Row],[IndicatorCode]],Table1[value]))</f>
        <v>6.3409496564024987</v>
      </c>
      <c r="J9046">
        <f>(Table1[[#This Row],[value]] - Table1[[#This Row],[mean]]) / Table1[[#This Row],[std_dev]]</f>
        <v>1.3144497851954</v>
      </c>
      <c r="K9046">
        <f>AVERAGEIF(Table1[CountryCode],Table1[[#This Row],[CountryCode]],Table1[z-score])</f>
        <v>0.33171547334985529</v>
      </c>
      <c r="L9046" t="e">
        <f>VLOOKUP(Table1[[#This Row],[CountryCode]],[1]!Table1[#All],1,FALSE)</f>
        <v>#REF!</v>
      </c>
    </row>
    <row r="9047" spans="1:12" hidden="1" x14ac:dyDescent="0.3">
      <c r="A9047" t="s">
        <v>65</v>
      </c>
      <c r="B9047" t="s">
        <v>66</v>
      </c>
      <c r="C9047" t="s">
        <v>129</v>
      </c>
      <c r="D9047" t="s">
        <v>130</v>
      </c>
      <c r="E9047">
        <v>2014</v>
      </c>
      <c r="F9047" s="1">
        <v>81</v>
      </c>
      <c r="G9047">
        <v>2010</v>
      </c>
      <c r="H9047">
        <f>AVERAGEIFS(Table1[value],Table1[IndicatorCode],Table1[[#This Row],[IndicatorCode]])</f>
        <v>72.66514008620689</v>
      </c>
      <c r="I9047" cm="1">
        <f t="array" ref="I9047">_xlfn.STDEV.P(IF(Table1[IndicatorCode]=Table1[[#This Row],[IndicatorCode]],Table1[value]))</f>
        <v>6.3409496564024987</v>
      </c>
      <c r="J9047">
        <f>(Table1[[#This Row],[value]] - Table1[[#This Row],[mean]]) / Table1[[#This Row],[std_dev]]</f>
        <v>1.3144497851954</v>
      </c>
      <c r="K9047">
        <f>AVERAGEIF(Table1[CountryCode],Table1[[#This Row],[CountryCode]],Table1[z-score])</f>
        <v>0.33171547334985529</v>
      </c>
      <c r="L9047" t="e">
        <f>VLOOKUP(Table1[[#This Row],[CountryCode]],[1]!Table1[#All],1,FALSE)</f>
        <v>#REF!</v>
      </c>
    </row>
    <row r="9048" spans="1:12" hidden="1" x14ac:dyDescent="0.3">
      <c r="A9048" t="s">
        <v>65</v>
      </c>
      <c r="B9048" t="s">
        <v>66</v>
      </c>
      <c r="C9048" t="s">
        <v>129</v>
      </c>
      <c r="D9048" t="s">
        <v>130</v>
      </c>
      <c r="E9048">
        <v>2015</v>
      </c>
      <c r="F9048" s="1">
        <v>81</v>
      </c>
      <c r="G9048">
        <v>2010</v>
      </c>
      <c r="H9048">
        <f>AVERAGEIFS(Table1[value],Table1[IndicatorCode],Table1[[#This Row],[IndicatorCode]])</f>
        <v>72.66514008620689</v>
      </c>
      <c r="I9048" cm="1">
        <f t="array" ref="I9048">_xlfn.STDEV.P(IF(Table1[IndicatorCode]=Table1[[#This Row],[IndicatorCode]],Table1[value]))</f>
        <v>6.3409496564024987</v>
      </c>
      <c r="J9048">
        <f>(Table1[[#This Row],[value]] - Table1[[#This Row],[mean]]) / Table1[[#This Row],[std_dev]]</f>
        <v>1.3144497851954</v>
      </c>
      <c r="K9048">
        <f>AVERAGEIF(Table1[CountryCode],Table1[[#This Row],[CountryCode]],Table1[z-score])</f>
        <v>0.33171547334985529</v>
      </c>
      <c r="L9048" t="e">
        <f>VLOOKUP(Table1[[#This Row],[CountryCode]],[1]!Table1[#All],1,FALSE)</f>
        <v>#REF!</v>
      </c>
    </row>
    <row r="9049" spans="1:12" hidden="1" x14ac:dyDescent="0.3">
      <c r="A9049" t="s">
        <v>65</v>
      </c>
      <c r="B9049" t="s">
        <v>66</v>
      </c>
      <c r="C9049" t="s">
        <v>129</v>
      </c>
      <c r="D9049" t="s">
        <v>130</v>
      </c>
      <c r="E9049">
        <v>2016</v>
      </c>
      <c r="F9049" s="1">
        <v>82</v>
      </c>
      <c r="G9049">
        <v>2010</v>
      </c>
      <c r="H9049">
        <f>AVERAGEIFS(Table1[value],Table1[IndicatorCode],Table1[[#This Row],[IndicatorCode]])</f>
        <v>72.66514008620689</v>
      </c>
      <c r="I9049" cm="1">
        <f t="array" ref="I9049">_xlfn.STDEV.P(IF(Table1[IndicatorCode]=Table1[[#This Row],[IndicatorCode]],Table1[value]))</f>
        <v>6.3409496564024987</v>
      </c>
      <c r="J9049">
        <f>(Table1[[#This Row],[value]] - Table1[[#This Row],[mean]]) / Table1[[#This Row],[std_dev]]</f>
        <v>1.4721548694788391</v>
      </c>
      <c r="K9049">
        <f>AVERAGEIF(Table1[CountryCode],Table1[[#This Row],[CountryCode]],Table1[z-score])</f>
        <v>0.33171547334985529</v>
      </c>
      <c r="L9049" t="e">
        <f>VLOOKUP(Table1[[#This Row],[CountryCode]],[1]!Table1[#All],1,FALSE)</f>
        <v>#REF!</v>
      </c>
    </row>
    <row r="9050" spans="1:12" hidden="1" x14ac:dyDescent="0.3">
      <c r="A9050" t="s">
        <v>65</v>
      </c>
      <c r="B9050" t="s">
        <v>66</v>
      </c>
      <c r="C9050" t="s">
        <v>129</v>
      </c>
      <c r="D9050" t="s">
        <v>130</v>
      </c>
      <c r="E9050">
        <v>2017</v>
      </c>
      <c r="F9050" s="1">
        <v>82</v>
      </c>
      <c r="G9050">
        <v>2020</v>
      </c>
      <c r="H9050">
        <f>AVERAGEIFS(Table1[value],Table1[IndicatorCode],Table1[[#This Row],[IndicatorCode]])</f>
        <v>72.66514008620689</v>
      </c>
      <c r="I9050" cm="1">
        <f t="array" ref="I9050">_xlfn.STDEV.P(IF(Table1[IndicatorCode]=Table1[[#This Row],[IndicatorCode]],Table1[value]))</f>
        <v>6.3409496564024987</v>
      </c>
      <c r="J9050">
        <f>(Table1[[#This Row],[value]] - Table1[[#This Row],[mean]]) / Table1[[#This Row],[std_dev]]</f>
        <v>1.4721548694788391</v>
      </c>
      <c r="K9050">
        <f>AVERAGEIF(Table1[CountryCode],Table1[[#This Row],[CountryCode]],Table1[z-score])</f>
        <v>0.33171547334985529</v>
      </c>
      <c r="L9050" t="e">
        <f>VLOOKUP(Table1[[#This Row],[CountryCode]],[1]!Table1[#All],1,FALSE)</f>
        <v>#REF!</v>
      </c>
    </row>
    <row r="9051" spans="1:12" hidden="1" x14ac:dyDescent="0.3">
      <c r="A9051" t="s">
        <v>65</v>
      </c>
      <c r="B9051" t="s">
        <v>66</v>
      </c>
      <c r="C9051" t="s">
        <v>129</v>
      </c>
      <c r="D9051" t="s">
        <v>130</v>
      </c>
      <c r="E9051">
        <v>2018</v>
      </c>
      <c r="F9051" s="1">
        <v>82</v>
      </c>
      <c r="G9051">
        <v>2020</v>
      </c>
      <c r="H9051">
        <f>AVERAGEIFS(Table1[value],Table1[IndicatorCode],Table1[[#This Row],[IndicatorCode]])</f>
        <v>72.66514008620689</v>
      </c>
      <c r="I9051" cm="1">
        <f t="array" ref="I9051">_xlfn.STDEV.P(IF(Table1[IndicatorCode]=Table1[[#This Row],[IndicatorCode]],Table1[value]))</f>
        <v>6.3409496564024987</v>
      </c>
      <c r="J9051">
        <f>(Table1[[#This Row],[value]] - Table1[[#This Row],[mean]]) / Table1[[#This Row],[std_dev]]</f>
        <v>1.4721548694788391</v>
      </c>
      <c r="K9051">
        <f>AVERAGEIF(Table1[CountryCode],Table1[[#This Row],[CountryCode]],Table1[z-score])</f>
        <v>0.33171547334985529</v>
      </c>
      <c r="L9051" t="e">
        <f>VLOOKUP(Table1[[#This Row],[CountryCode]],[1]!Table1[#All],1,FALSE)</f>
        <v>#REF!</v>
      </c>
    </row>
    <row r="9052" spans="1:12" hidden="1" x14ac:dyDescent="0.3">
      <c r="A9052" t="s">
        <v>65</v>
      </c>
      <c r="B9052" t="s">
        <v>66</v>
      </c>
      <c r="C9052" t="s">
        <v>129</v>
      </c>
      <c r="D9052" t="s">
        <v>130</v>
      </c>
      <c r="E9052">
        <v>2019</v>
      </c>
      <c r="F9052" s="1">
        <v>83</v>
      </c>
      <c r="G9052">
        <v>2020</v>
      </c>
      <c r="H9052">
        <f>AVERAGEIFS(Table1[value],Table1[IndicatorCode],Table1[[#This Row],[IndicatorCode]])</f>
        <v>72.66514008620689</v>
      </c>
      <c r="I9052" cm="1">
        <f t="array" ref="I9052">_xlfn.STDEV.P(IF(Table1[IndicatorCode]=Table1[[#This Row],[IndicatorCode]],Table1[value]))</f>
        <v>6.3409496564024987</v>
      </c>
      <c r="J9052">
        <f>(Table1[[#This Row],[value]] - Table1[[#This Row],[mean]]) / Table1[[#This Row],[std_dev]]</f>
        <v>1.6298599537622782</v>
      </c>
      <c r="K9052">
        <f>AVERAGEIF(Table1[CountryCode],Table1[[#This Row],[CountryCode]],Table1[z-score])</f>
        <v>0.33171547334985529</v>
      </c>
      <c r="L9052" t="e">
        <f>VLOOKUP(Table1[[#This Row],[CountryCode]],[1]!Table1[#All],1,FALSE)</f>
        <v>#REF!</v>
      </c>
    </row>
    <row r="9053" spans="1:12" x14ac:dyDescent="0.3">
      <c r="A9053" t="s">
        <v>65</v>
      </c>
      <c r="B9053" t="s">
        <v>66</v>
      </c>
      <c r="C9053" t="s">
        <v>129</v>
      </c>
      <c r="D9053" t="s">
        <v>130</v>
      </c>
      <c r="E9053">
        <v>2020</v>
      </c>
      <c r="F9053" s="1">
        <v>82</v>
      </c>
      <c r="G9053">
        <v>2020</v>
      </c>
      <c r="H9053">
        <f>AVERAGEIFS(Table1[value],Table1[IndicatorCode],Table1[[#This Row],[IndicatorCode]])</f>
        <v>72.66514008620689</v>
      </c>
      <c r="I9053" cm="1">
        <f t="array" ref="I9053">_xlfn.STDEV.P(IF(Table1[IndicatorCode]=Table1[[#This Row],[IndicatorCode]],Table1[value]))</f>
        <v>6.3409496564024987</v>
      </c>
      <c r="J9053">
        <f>(Table1[[#This Row],[value]] - Table1[[#This Row],[mean]]) / Table1[[#This Row],[std_dev]]</f>
        <v>1.4721548694788391</v>
      </c>
      <c r="K9053">
        <f>AVERAGEIF(Table1[CountryCode],Table1[[#This Row],[CountryCode]],Table1[z-score])</f>
        <v>0.33171547334985529</v>
      </c>
    </row>
    <row r="9054" spans="1:12" hidden="1" x14ac:dyDescent="0.3">
      <c r="A9054" t="s">
        <v>65</v>
      </c>
      <c r="B9054" t="s">
        <v>66</v>
      </c>
      <c r="C9054" t="s">
        <v>129</v>
      </c>
      <c r="D9054" t="s">
        <v>130</v>
      </c>
      <c r="E9054">
        <v>2021</v>
      </c>
      <c r="F9054" s="1">
        <v>82</v>
      </c>
      <c r="G9054">
        <v>1960</v>
      </c>
      <c r="H9054">
        <f>AVERAGEIFS(Table1[value],Table1[IndicatorCode],Table1[[#This Row],[IndicatorCode]])</f>
        <v>72.66514008620689</v>
      </c>
      <c r="I9054" cm="1">
        <f t="array" ref="I9054">_xlfn.STDEV.P(IF(Table1[IndicatorCode]=Table1[[#This Row],[IndicatorCode]],Table1[value]))</f>
        <v>6.3409496564024987</v>
      </c>
      <c r="J9054">
        <f>(Table1[[#This Row],[value]] - Table1[[#This Row],[mean]]) / Table1[[#This Row],[std_dev]]</f>
        <v>1.4721548694788391</v>
      </c>
      <c r="K9054">
        <f>AVERAGEIF(Table1[CountryCode],Table1[[#This Row],[CountryCode]],Table1[z-score])</f>
        <v>0.33171547334985529</v>
      </c>
      <c r="L9054" t="e">
        <f>VLOOKUP(Table1[[#This Row],[CountryCode]],[1]!Table1[#All],1,FALSE)</f>
        <v>#REF!</v>
      </c>
    </row>
    <row r="9055" spans="1:12" hidden="1" x14ac:dyDescent="0.3">
      <c r="A9055" t="s">
        <v>65</v>
      </c>
      <c r="B9055" t="s">
        <v>66</v>
      </c>
      <c r="C9055" t="s">
        <v>129</v>
      </c>
      <c r="D9055" t="s">
        <v>130</v>
      </c>
      <c r="E9055">
        <v>2022</v>
      </c>
      <c r="F9055" s="1">
        <v>83</v>
      </c>
      <c r="G9055">
        <v>1960</v>
      </c>
      <c r="H9055">
        <f>AVERAGEIFS(Table1[value],Table1[IndicatorCode],Table1[[#This Row],[IndicatorCode]])</f>
        <v>72.66514008620689</v>
      </c>
      <c r="I9055" cm="1">
        <f t="array" ref="I9055">_xlfn.STDEV.P(IF(Table1[IndicatorCode]=Table1[[#This Row],[IndicatorCode]],Table1[value]))</f>
        <v>6.3409496564024987</v>
      </c>
      <c r="J9055">
        <f>(Table1[[#This Row],[value]] - Table1[[#This Row],[mean]]) / Table1[[#This Row],[std_dev]]</f>
        <v>1.6298599537622782</v>
      </c>
      <c r="K9055">
        <f>AVERAGEIF(Table1[CountryCode],Table1[[#This Row],[CountryCode]],Table1[z-score])</f>
        <v>0.33171547334985529</v>
      </c>
      <c r="L9055" t="e">
        <f>VLOOKUP(Table1[[#This Row],[CountryCode]],[1]!Table1[#All],1,FALSE)</f>
        <v>#REF!</v>
      </c>
    </row>
    <row r="9056" spans="1:12" hidden="1" x14ac:dyDescent="0.3">
      <c r="A9056" t="s">
        <v>65</v>
      </c>
      <c r="B9056" t="s">
        <v>66</v>
      </c>
      <c r="C9056" t="s">
        <v>129</v>
      </c>
      <c r="D9056" t="s">
        <v>130</v>
      </c>
      <c r="E9056">
        <v>2023</v>
      </c>
      <c r="F9056" s="1">
        <v>83</v>
      </c>
      <c r="G9056">
        <v>1960</v>
      </c>
      <c r="H9056">
        <f>AVERAGEIFS(Table1[value],Table1[IndicatorCode],Table1[[#This Row],[IndicatorCode]])</f>
        <v>72.66514008620689</v>
      </c>
      <c r="I9056" cm="1">
        <f t="array" ref="I9056">_xlfn.STDEV.P(IF(Table1[IndicatorCode]=Table1[[#This Row],[IndicatorCode]],Table1[value]))</f>
        <v>6.3409496564024987</v>
      </c>
      <c r="J9056">
        <f>(Table1[[#This Row],[value]] - Table1[[#This Row],[mean]]) / Table1[[#This Row],[std_dev]]</f>
        <v>1.6298599537622782</v>
      </c>
      <c r="K9056">
        <f>AVERAGEIF(Table1[CountryCode],Table1[[#This Row],[CountryCode]],Table1[z-score])</f>
        <v>0.33171547334985529</v>
      </c>
      <c r="L9056" t="e">
        <f>VLOOKUP(Table1[[#This Row],[CountryCode]],[1]!Table1[#All],1,FALSE)</f>
        <v>#REF!</v>
      </c>
    </row>
    <row r="9057" spans="1:12" hidden="1" x14ac:dyDescent="0.3">
      <c r="A9057" t="s">
        <v>67</v>
      </c>
      <c r="B9057" t="s">
        <v>68</v>
      </c>
      <c r="C9057" t="s">
        <v>129</v>
      </c>
      <c r="D9057" t="s">
        <v>130</v>
      </c>
      <c r="E9057">
        <v>1960</v>
      </c>
      <c r="F9057" s="1">
        <v>74</v>
      </c>
      <c r="G9057">
        <v>1960</v>
      </c>
      <c r="H9057">
        <f>AVERAGEIFS(Table1[value],Table1[IndicatorCode],Table1[[#This Row],[IndicatorCode]])</f>
        <v>72.66514008620689</v>
      </c>
      <c r="I9057" cm="1">
        <f t="array" ref="I9057">_xlfn.STDEV.P(IF(Table1[IndicatorCode]=Table1[[#This Row],[IndicatorCode]],Table1[value]))</f>
        <v>6.3409496564024987</v>
      </c>
      <c r="J9057">
        <f>(Table1[[#This Row],[value]] - Table1[[#This Row],[mean]]) / Table1[[#This Row],[std_dev]]</f>
        <v>0.21051419521132667</v>
      </c>
      <c r="K9057">
        <f>AVERAGEIF(Table1[CountryCode],Table1[[#This Row],[CountryCode]],Table1[z-score])</f>
        <v>0.55967304374969629</v>
      </c>
      <c r="L9057" t="e">
        <f>VLOOKUP(Table1[[#This Row],[CountryCode]],[1]!Table1[#All],1,FALSE)</f>
        <v>#REF!</v>
      </c>
    </row>
    <row r="9058" spans="1:12" hidden="1" x14ac:dyDescent="0.3">
      <c r="A9058" t="s">
        <v>67</v>
      </c>
      <c r="B9058" t="s">
        <v>68</v>
      </c>
      <c r="C9058" t="s">
        <v>129</v>
      </c>
      <c r="D9058" t="s">
        <v>130</v>
      </c>
      <c r="E9058">
        <v>1961</v>
      </c>
      <c r="F9058" s="1">
        <v>74</v>
      </c>
      <c r="G9058">
        <v>1960</v>
      </c>
      <c r="H9058">
        <f>AVERAGEIFS(Table1[value],Table1[IndicatorCode],Table1[[#This Row],[IndicatorCode]])</f>
        <v>72.66514008620689</v>
      </c>
      <c r="I9058" cm="1">
        <f t="array" ref="I9058">_xlfn.STDEV.P(IF(Table1[IndicatorCode]=Table1[[#This Row],[IndicatorCode]],Table1[value]))</f>
        <v>6.3409496564024987</v>
      </c>
      <c r="J9058">
        <f>(Table1[[#This Row],[value]] - Table1[[#This Row],[mean]]) / Table1[[#This Row],[std_dev]]</f>
        <v>0.21051419521132667</v>
      </c>
      <c r="K9058">
        <f>AVERAGEIF(Table1[CountryCode],Table1[[#This Row],[CountryCode]],Table1[z-score])</f>
        <v>0.55967304374969629</v>
      </c>
      <c r="L9058" t="e">
        <f>VLOOKUP(Table1[[#This Row],[CountryCode]],[1]!Table1[#All],1,FALSE)</f>
        <v>#REF!</v>
      </c>
    </row>
    <row r="9059" spans="1:12" hidden="1" x14ac:dyDescent="0.3">
      <c r="A9059" t="s">
        <v>67</v>
      </c>
      <c r="B9059" t="s">
        <v>68</v>
      </c>
      <c r="C9059" t="s">
        <v>129</v>
      </c>
      <c r="D9059" t="s">
        <v>130</v>
      </c>
      <c r="E9059">
        <v>1962</v>
      </c>
      <c r="F9059" s="1">
        <v>74</v>
      </c>
      <c r="G9059">
        <v>1960</v>
      </c>
      <c r="H9059">
        <f>AVERAGEIFS(Table1[value],Table1[IndicatorCode],Table1[[#This Row],[IndicatorCode]])</f>
        <v>72.66514008620689</v>
      </c>
      <c r="I9059" cm="1">
        <f t="array" ref="I9059">_xlfn.STDEV.P(IF(Table1[IndicatorCode]=Table1[[#This Row],[IndicatorCode]],Table1[value]))</f>
        <v>6.3409496564024987</v>
      </c>
      <c r="J9059">
        <f>(Table1[[#This Row],[value]] - Table1[[#This Row],[mean]]) / Table1[[#This Row],[std_dev]]</f>
        <v>0.21051419521132667</v>
      </c>
      <c r="K9059">
        <f>AVERAGEIF(Table1[CountryCode],Table1[[#This Row],[CountryCode]],Table1[z-score])</f>
        <v>0.55967304374969629</v>
      </c>
      <c r="L9059" t="e">
        <f>VLOOKUP(Table1[[#This Row],[CountryCode]],[1]!Table1[#All],1,FALSE)</f>
        <v>#REF!</v>
      </c>
    </row>
    <row r="9060" spans="1:12" hidden="1" x14ac:dyDescent="0.3">
      <c r="A9060" t="s">
        <v>67</v>
      </c>
      <c r="B9060" t="s">
        <v>68</v>
      </c>
      <c r="C9060" t="s">
        <v>129</v>
      </c>
      <c r="D9060" t="s">
        <v>130</v>
      </c>
      <c r="E9060">
        <v>1963</v>
      </c>
      <c r="F9060" s="1">
        <v>73</v>
      </c>
      <c r="G9060">
        <v>1960</v>
      </c>
      <c r="H9060">
        <f>AVERAGEIFS(Table1[value],Table1[IndicatorCode],Table1[[#This Row],[IndicatorCode]])</f>
        <v>72.66514008620689</v>
      </c>
      <c r="I9060" cm="1">
        <f t="array" ref="I9060">_xlfn.STDEV.P(IF(Table1[IndicatorCode]=Table1[[#This Row],[IndicatorCode]],Table1[value]))</f>
        <v>6.3409496564024987</v>
      </c>
      <c r="J9060">
        <f>(Table1[[#This Row],[value]] - Table1[[#This Row],[mean]]) / Table1[[#This Row],[std_dev]]</f>
        <v>5.2809110927887599E-2</v>
      </c>
      <c r="K9060">
        <f>AVERAGEIF(Table1[CountryCode],Table1[[#This Row],[CountryCode]],Table1[z-score])</f>
        <v>0.55967304374969629</v>
      </c>
      <c r="L9060" t="e">
        <f>VLOOKUP(Table1[[#This Row],[CountryCode]],[1]!Table1[#All],1,FALSE)</f>
        <v>#REF!</v>
      </c>
    </row>
    <row r="9061" spans="1:12" hidden="1" x14ac:dyDescent="0.3">
      <c r="A9061" t="s">
        <v>67</v>
      </c>
      <c r="B9061" t="s">
        <v>68</v>
      </c>
      <c r="C9061" t="s">
        <v>129</v>
      </c>
      <c r="D9061" t="s">
        <v>130</v>
      </c>
      <c r="E9061">
        <v>1964</v>
      </c>
      <c r="F9061" s="1">
        <v>74</v>
      </c>
      <c r="G9061">
        <v>1960</v>
      </c>
      <c r="H9061">
        <f>AVERAGEIFS(Table1[value],Table1[IndicatorCode],Table1[[#This Row],[IndicatorCode]])</f>
        <v>72.66514008620689</v>
      </c>
      <c r="I9061" cm="1">
        <f t="array" ref="I9061">_xlfn.STDEV.P(IF(Table1[IndicatorCode]=Table1[[#This Row],[IndicatorCode]],Table1[value]))</f>
        <v>6.3409496564024987</v>
      </c>
      <c r="J9061">
        <f>(Table1[[#This Row],[value]] - Table1[[#This Row],[mean]]) / Table1[[#This Row],[std_dev]]</f>
        <v>0.21051419521132667</v>
      </c>
      <c r="K9061">
        <f>AVERAGEIF(Table1[CountryCode],Table1[[#This Row],[CountryCode]],Table1[z-score])</f>
        <v>0.55967304374969629</v>
      </c>
      <c r="L9061" t="e">
        <f>VLOOKUP(Table1[[#This Row],[CountryCode]],[1]!Table1[#All],1,FALSE)</f>
        <v>#REF!</v>
      </c>
    </row>
    <row r="9062" spans="1:12" hidden="1" x14ac:dyDescent="0.3">
      <c r="A9062" t="s">
        <v>67</v>
      </c>
      <c r="B9062" t="s">
        <v>68</v>
      </c>
      <c r="C9062" t="s">
        <v>129</v>
      </c>
      <c r="D9062" t="s">
        <v>130</v>
      </c>
      <c r="E9062">
        <v>1965</v>
      </c>
      <c r="F9062" s="1">
        <v>74</v>
      </c>
      <c r="G9062">
        <v>1960</v>
      </c>
      <c r="H9062">
        <f>AVERAGEIFS(Table1[value],Table1[IndicatorCode],Table1[[#This Row],[IndicatorCode]])</f>
        <v>72.66514008620689</v>
      </c>
      <c r="I9062" cm="1">
        <f t="array" ref="I9062">_xlfn.STDEV.P(IF(Table1[IndicatorCode]=Table1[[#This Row],[IndicatorCode]],Table1[value]))</f>
        <v>6.3409496564024987</v>
      </c>
      <c r="J9062">
        <f>(Table1[[#This Row],[value]] - Table1[[#This Row],[mean]]) / Table1[[#This Row],[std_dev]]</f>
        <v>0.21051419521132667</v>
      </c>
      <c r="K9062">
        <f>AVERAGEIF(Table1[CountryCode],Table1[[#This Row],[CountryCode]],Table1[z-score])</f>
        <v>0.55967304374969629</v>
      </c>
      <c r="L9062" t="e">
        <f>VLOOKUP(Table1[[#This Row],[CountryCode]],[1]!Table1[#All],1,FALSE)</f>
        <v>#REF!</v>
      </c>
    </row>
    <row r="9063" spans="1:12" hidden="1" x14ac:dyDescent="0.3">
      <c r="A9063" t="s">
        <v>67</v>
      </c>
      <c r="B9063" t="s">
        <v>68</v>
      </c>
      <c r="C9063" t="s">
        <v>129</v>
      </c>
      <c r="D9063" t="s">
        <v>130</v>
      </c>
      <c r="E9063">
        <v>1966</v>
      </c>
      <c r="F9063" s="1">
        <v>73</v>
      </c>
      <c r="G9063">
        <v>1960</v>
      </c>
      <c r="H9063">
        <f>AVERAGEIFS(Table1[value],Table1[IndicatorCode],Table1[[#This Row],[IndicatorCode]])</f>
        <v>72.66514008620689</v>
      </c>
      <c r="I9063" cm="1">
        <f t="array" ref="I9063">_xlfn.STDEV.P(IF(Table1[IndicatorCode]=Table1[[#This Row],[IndicatorCode]],Table1[value]))</f>
        <v>6.3409496564024987</v>
      </c>
      <c r="J9063">
        <f>(Table1[[#This Row],[value]] - Table1[[#This Row],[mean]]) / Table1[[#This Row],[std_dev]]</f>
        <v>5.2809110927887599E-2</v>
      </c>
      <c r="K9063">
        <f>AVERAGEIF(Table1[CountryCode],Table1[[#This Row],[CountryCode]],Table1[z-score])</f>
        <v>0.55967304374969629</v>
      </c>
      <c r="L9063" t="e">
        <f>VLOOKUP(Table1[[#This Row],[CountryCode]],[1]!Table1[#All],1,FALSE)</f>
        <v>#REF!</v>
      </c>
    </row>
    <row r="9064" spans="1:12" hidden="1" x14ac:dyDescent="0.3">
      <c r="A9064" t="s">
        <v>67</v>
      </c>
      <c r="B9064" t="s">
        <v>68</v>
      </c>
      <c r="C9064" t="s">
        <v>129</v>
      </c>
      <c r="D9064" t="s">
        <v>130</v>
      </c>
      <c r="E9064">
        <v>1967</v>
      </c>
      <c r="F9064" s="1">
        <v>74</v>
      </c>
      <c r="G9064">
        <v>1970</v>
      </c>
      <c r="H9064">
        <f>AVERAGEIFS(Table1[value],Table1[IndicatorCode],Table1[[#This Row],[IndicatorCode]])</f>
        <v>72.66514008620689</v>
      </c>
      <c r="I9064" cm="1">
        <f t="array" ref="I9064">_xlfn.STDEV.P(IF(Table1[IndicatorCode]=Table1[[#This Row],[IndicatorCode]],Table1[value]))</f>
        <v>6.3409496564024987</v>
      </c>
      <c r="J9064">
        <f>(Table1[[#This Row],[value]] - Table1[[#This Row],[mean]]) / Table1[[#This Row],[std_dev]]</f>
        <v>0.21051419521132667</v>
      </c>
      <c r="K9064">
        <f>AVERAGEIF(Table1[CountryCode],Table1[[#This Row],[CountryCode]],Table1[z-score])</f>
        <v>0.55967304374969629</v>
      </c>
      <c r="L9064" t="e">
        <f>VLOOKUP(Table1[[#This Row],[CountryCode]],[1]!Table1[#All],1,FALSE)</f>
        <v>#REF!</v>
      </c>
    </row>
    <row r="9065" spans="1:12" hidden="1" x14ac:dyDescent="0.3">
      <c r="A9065" t="s">
        <v>67</v>
      </c>
      <c r="B9065" t="s">
        <v>68</v>
      </c>
      <c r="C9065" t="s">
        <v>129</v>
      </c>
      <c r="D9065" t="s">
        <v>130</v>
      </c>
      <c r="E9065">
        <v>1968</v>
      </c>
      <c r="F9065" s="1">
        <v>74</v>
      </c>
      <c r="G9065">
        <v>1970</v>
      </c>
      <c r="H9065">
        <f>AVERAGEIFS(Table1[value],Table1[IndicatorCode],Table1[[#This Row],[IndicatorCode]])</f>
        <v>72.66514008620689</v>
      </c>
      <c r="I9065" cm="1">
        <f t="array" ref="I9065">_xlfn.STDEV.P(IF(Table1[IndicatorCode]=Table1[[#This Row],[IndicatorCode]],Table1[value]))</f>
        <v>6.3409496564024987</v>
      </c>
      <c r="J9065">
        <f>(Table1[[#This Row],[value]] - Table1[[#This Row],[mean]]) / Table1[[#This Row],[std_dev]]</f>
        <v>0.21051419521132667</v>
      </c>
      <c r="K9065">
        <f>AVERAGEIF(Table1[CountryCode],Table1[[#This Row],[CountryCode]],Table1[z-score])</f>
        <v>0.55967304374969629</v>
      </c>
      <c r="L9065" t="e">
        <f>VLOOKUP(Table1[[#This Row],[CountryCode]],[1]!Table1[#All],1,FALSE)</f>
        <v>#REF!</v>
      </c>
    </row>
    <row r="9066" spans="1:12" hidden="1" x14ac:dyDescent="0.3">
      <c r="A9066" t="s">
        <v>67</v>
      </c>
      <c r="B9066" t="s">
        <v>68</v>
      </c>
      <c r="C9066" t="s">
        <v>129</v>
      </c>
      <c r="D9066" t="s">
        <v>130</v>
      </c>
      <c r="E9066">
        <v>1969</v>
      </c>
      <c r="F9066" s="1">
        <v>74</v>
      </c>
      <c r="G9066">
        <v>1970</v>
      </c>
      <c r="H9066">
        <f>AVERAGEIFS(Table1[value],Table1[IndicatorCode],Table1[[#This Row],[IndicatorCode]])</f>
        <v>72.66514008620689</v>
      </c>
      <c r="I9066" cm="1">
        <f t="array" ref="I9066">_xlfn.STDEV.P(IF(Table1[IndicatorCode]=Table1[[#This Row],[IndicatorCode]],Table1[value]))</f>
        <v>6.3409496564024987</v>
      </c>
      <c r="J9066">
        <f>(Table1[[#This Row],[value]] - Table1[[#This Row],[mean]]) / Table1[[#This Row],[std_dev]]</f>
        <v>0.21051419521132667</v>
      </c>
      <c r="K9066">
        <f>AVERAGEIF(Table1[CountryCode],Table1[[#This Row],[CountryCode]],Table1[z-score])</f>
        <v>0.55967304374969629</v>
      </c>
      <c r="L9066" t="e">
        <f>VLOOKUP(Table1[[#This Row],[CountryCode]],[1]!Table1[#All],1,FALSE)</f>
        <v>#REF!</v>
      </c>
    </row>
    <row r="9067" spans="1:12" hidden="1" x14ac:dyDescent="0.3">
      <c r="A9067" t="s">
        <v>67</v>
      </c>
      <c r="B9067" t="s">
        <v>68</v>
      </c>
      <c r="C9067" t="s">
        <v>129</v>
      </c>
      <c r="D9067" t="s">
        <v>130</v>
      </c>
      <c r="E9067">
        <v>1970</v>
      </c>
      <c r="F9067" s="1">
        <v>74</v>
      </c>
      <c r="G9067">
        <v>1970</v>
      </c>
      <c r="H9067">
        <f>AVERAGEIFS(Table1[value],Table1[IndicatorCode],Table1[[#This Row],[IndicatorCode]])</f>
        <v>72.66514008620689</v>
      </c>
      <c r="I9067" cm="1">
        <f t="array" ref="I9067">_xlfn.STDEV.P(IF(Table1[IndicatorCode]=Table1[[#This Row],[IndicatorCode]],Table1[value]))</f>
        <v>6.3409496564024987</v>
      </c>
      <c r="J9067">
        <f>(Table1[[#This Row],[value]] - Table1[[#This Row],[mean]]) / Table1[[#This Row],[std_dev]]</f>
        <v>0.21051419521132667</v>
      </c>
      <c r="K9067">
        <f>AVERAGEIF(Table1[CountryCode],Table1[[#This Row],[CountryCode]],Table1[z-score])</f>
        <v>0.55967304374969629</v>
      </c>
      <c r="L9067" t="e">
        <f>VLOOKUP(Table1[[#This Row],[CountryCode]],[1]!Table1[#All],1,FALSE)</f>
        <v>#REF!</v>
      </c>
    </row>
    <row r="9068" spans="1:12" hidden="1" x14ac:dyDescent="0.3">
      <c r="A9068" t="s">
        <v>67</v>
      </c>
      <c r="B9068" t="s">
        <v>68</v>
      </c>
      <c r="C9068" t="s">
        <v>129</v>
      </c>
      <c r="D9068" t="s">
        <v>130</v>
      </c>
      <c r="E9068">
        <v>1971</v>
      </c>
      <c r="F9068" s="1">
        <v>74</v>
      </c>
      <c r="G9068">
        <v>1970</v>
      </c>
      <c r="H9068">
        <f>AVERAGEIFS(Table1[value],Table1[IndicatorCode],Table1[[#This Row],[IndicatorCode]])</f>
        <v>72.66514008620689</v>
      </c>
      <c r="I9068" cm="1">
        <f t="array" ref="I9068">_xlfn.STDEV.P(IF(Table1[IndicatorCode]=Table1[[#This Row],[IndicatorCode]],Table1[value]))</f>
        <v>6.3409496564024987</v>
      </c>
      <c r="J9068">
        <f>(Table1[[#This Row],[value]] - Table1[[#This Row],[mean]]) / Table1[[#This Row],[std_dev]]</f>
        <v>0.21051419521132667</v>
      </c>
      <c r="K9068">
        <f>AVERAGEIF(Table1[CountryCode],Table1[[#This Row],[CountryCode]],Table1[z-score])</f>
        <v>0.55967304374969629</v>
      </c>
      <c r="L9068" t="e">
        <f>VLOOKUP(Table1[[#This Row],[CountryCode]],[1]!Table1[#All],1,FALSE)</f>
        <v>#REF!</v>
      </c>
    </row>
    <row r="9069" spans="1:12" hidden="1" x14ac:dyDescent="0.3">
      <c r="A9069" t="s">
        <v>67</v>
      </c>
      <c r="B9069" t="s">
        <v>68</v>
      </c>
      <c r="C9069" t="s">
        <v>129</v>
      </c>
      <c r="D9069" t="s">
        <v>130</v>
      </c>
      <c r="E9069">
        <v>1972</v>
      </c>
      <c r="F9069" s="1">
        <v>74</v>
      </c>
      <c r="G9069">
        <v>1970</v>
      </c>
      <c r="H9069">
        <f>AVERAGEIFS(Table1[value],Table1[IndicatorCode],Table1[[#This Row],[IndicatorCode]])</f>
        <v>72.66514008620689</v>
      </c>
      <c r="I9069" cm="1">
        <f t="array" ref="I9069">_xlfn.STDEV.P(IF(Table1[IndicatorCode]=Table1[[#This Row],[IndicatorCode]],Table1[value]))</f>
        <v>6.3409496564024987</v>
      </c>
      <c r="J9069">
        <f>(Table1[[#This Row],[value]] - Table1[[#This Row],[mean]]) / Table1[[#This Row],[std_dev]]</f>
        <v>0.21051419521132667</v>
      </c>
      <c r="K9069">
        <f>AVERAGEIF(Table1[CountryCode],Table1[[#This Row],[CountryCode]],Table1[z-score])</f>
        <v>0.55967304374969629</v>
      </c>
      <c r="L9069" t="e">
        <f>VLOOKUP(Table1[[#This Row],[CountryCode]],[1]!Table1[#All],1,FALSE)</f>
        <v>#REF!</v>
      </c>
    </row>
    <row r="9070" spans="1:12" hidden="1" x14ac:dyDescent="0.3">
      <c r="A9070" t="s">
        <v>67</v>
      </c>
      <c r="B9070" t="s">
        <v>68</v>
      </c>
      <c r="C9070" t="s">
        <v>129</v>
      </c>
      <c r="D9070" t="s">
        <v>130</v>
      </c>
      <c r="E9070">
        <v>1973</v>
      </c>
      <c r="F9070" s="1">
        <v>74</v>
      </c>
      <c r="G9070">
        <v>1970</v>
      </c>
      <c r="H9070">
        <f>AVERAGEIFS(Table1[value],Table1[IndicatorCode],Table1[[#This Row],[IndicatorCode]])</f>
        <v>72.66514008620689</v>
      </c>
      <c r="I9070" cm="1">
        <f t="array" ref="I9070">_xlfn.STDEV.P(IF(Table1[IndicatorCode]=Table1[[#This Row],[IndicatorCode]],Table1[value]))</f>
        <v>6.3409496564024987</v>
      </c>
      <c r="J9070">
        <f>(Table1[[#This Row],[value]] - Table1[[#This Row],[mean]]) / Table1[[#This Row],[std_dev]]</f>
        <v>0.21051419521132667</v>
      </c>
      <c r="K9070">
        <f>AVERAGEIF(Table1[CountryCode],Table1[[#This Row],[CountryCode]],Table1[z-score])</f>
        <v>0.55967304374969629</v>
      </c>
      <c r="L9070" t="e">
        <f>VLOOKUP(Table1[[#This Row],[CountryCode]],[1]!Table1[#All],1,FALSE)</f>
        <v>#REF!</v>
      </c>
    </row>
    <row r="9071" spans="1:12" hidden="1" x14ac:dyDescent="0.3">
      <c r="A9071" t="s">
        <v>67</v>
      </c>
      <c r="B9071" t="s">
        <v>68</v>
      </c>
      <c r="C9071" t="s">
        <v>129</v>
      </c>
      <c r="D9071" t="s">
        <v>130</v>
      </c>
      <c r="E9071">
        <v>1974</v>
      </c>
      <c r="F9071" s="1">
        <v>75</v>
      </c>
      <c r="G9071">
        <v>1970</v>
      </c>
      <c r="H9071">
        <f>AVERAGEIFS(Table1[value],Table1[IndicatorCode],Table1[[#This Row],[IndicatorCode]])</f>
        <v>72.66514008620689</v>
      </c>
      <c r="I9071" cm="1">
        <f t="array" ref="I9071">_xlfn.STDEV.P(IF(Table1[IndicatorCode]=Table1[[#This Row],[IndicatorCode]],Table1[value]))</f>
        <v>6.3409496564024987</v>
      </c>
      <c r="J9071">
        <f>(Table1[[#This Row],[value]] - Table1[[#This Row],[mean]]) / Table1[[#This Row],[std_dev]]</f>
        <v>0.36821927949476574</v>
      </c>
      <c r="K9071">
        <f>AVERAGEIF(Table1[CountryCode],Table1[[#This Row],[CountryCode]],Table1[z-score])</f>
        <v>0.55967304374969629</v>
      </c>
      <c r="L9071" t="e">
        <f>VLOOKUP(Table1[[#This Row],[CountryCode]],[1]!Table1[#All],1,FALSE)</f>
        <v>#REF!</v>
      </c>
    </row>
    <row r="9072" spans="1:12" hidden="1" x14ac:dyDescent="0.3">
      <c r="A9072" t="s">
        <v>67</v>
      </c>
      <c r="B9072" t="s">
        <v>68</v>
      </c>
      <c r="C9072" t="s">
        <v>129</v>
      </c>
      <c r="D9072" t="s">
        <v>130</v>
      </c>
      <c r="E9072">
        <v>1975</v>
      </c>
      <c r="F9072" s="1">
        <v>76</v>
      </c>
      <c r="G9072">
        <v>1970</v>
      </c>
      <c r="H9072">
        <f>AVERAGEIFS(Table1[value],Table1[IndicatorCode],Table1[[#This Row],[IndicatorCode]])</f>
        <v>72.66514008620689</v>
      </c>
      <c r="I9072" cm="1">
        <f t="array" ref="I9072">_xlfn.STDEV.P(IF(Table1[IndicatorCode]=Table1[[#This Row],[IndicatorCode]],Table1[value]))</f>
        <v>6.3409496564024987</v>
      </c>
      <c r="J9072">
        <f>(Table1[[#This Row],[value]] - Table1[[#This Row],[mean]]) / Table1[[#This Row],[std_dev]]</f>
        <v>0.52592436377820473</v>
      </c>
      <c r="K9072">
        <f>AVERAGEIF(Table1[CountryCode],Table1[[#This Row],[CountryCode]],Table1[z-score])</f>
        <v>0.55967304374969629</v>
      </c>
      <c r="L9072" t="e">
        <f>VLOOKUP(Table1[[#This Row],[CountryCode]],[1]!Table1[#All],1,FALSE)</f>
        <v>#REF!</v>
      </c>
    </row>
    <row r="9073" spans="1:12" hidden="1" x14ac:dyDescent="0.3">
      <c r="A9073" t="s">
        <v>67</v>
      </c>
      <c r="B9073" t="s">
        <v>68</v>
      </c>
      <c r="C9073" t="s">
        <v>129</v>
      </c>
      <c r="D9073" t="s">
        <v>130</v>
      </c>
      <c r="E9073">
        <v>1976</v>
      </c>
      <c r="F9073" s="1">
        <v>77</v>
      </c>
      <c r="G9073">
        <v>1970</v>
      </c>
      <c r="H9073">
        <f>AVERAGEIFS(Table1[value],Table1[IndicatorCode],Table1[[#This Row],[IndicatorCode]])</f>
        <v>72.66514008620689</v>
      </c>
      <c r="I9073" cm="1">
        <f t="array" ref="I9073">_xlfn.STDEV.P(IF(Table1[IndicatorCode]=Table1[[#This Row],[IndicatorCode]],Table1[value]))</f>
        <v>6.3409496564024987</v>
      </c>
      <c r="J9073">
        <f>(Table1[[#This Row],[value]] - Table1[[#This Row],[mean]]) / Table1[[#This Row],[std_dev]]</f>
        <v>0.68362944806164383</v>
      </c>
      <c r="K9073">
        <f>AVERAGEIF(Table1[CountryCode],Table1[[#This Row],[CountryCode]],Table1[z-score])</f>
        <v>0.55967304374969629</v>
      </c>
      <c r="L9073" t="e">
        <f>VLOOKUP(Table1[[#This Row],[CountryCode]],[1]!Table1[#All],1,FALSE)</f>
        <v>#REF!</v>
      </c>
    </row>
    <row r="9074" spans="1:12" hidden="1" x14ac:dyDescent="0.3">
      <c r="A9074" t="s">
        <v>67</v>
      </c>
      <c r="B9074" t="s">
        <v>68</v>
      </c>
      <c r="C9074" t="s">
        <v>129</v>
      </c>
      <c r="D9074" t="s">
        <v>130</v>
      </c>
      <c r="E9074">
        <v>1977</v>
      </c>
      <c r="F9074" s="1">
        <v>76</v>
      </c>
      <c r="G9074">
        <v>1980</v>
      </c>
      <c r="H9074">
        <f>AVERAGEIFS(Table1[value],Table1[IndicatorCode],Table1[[#This Row],[IndicatorCode]])</f>
        <v>72.66514008620689</v>
      </c>
      <c r="I9074" cm="1">
        <f t="array" ref="I9074">_xlfn.STDEV.P(IF(Table1[IndicatorCode]=Table1[[#This Row],[IndicatorCode]],Table1[value]))</f>
        <v>6.3409496564024987</v>
      </c>
      <c r="J9074">
        <f>(Table1[[#This Row],[value]] - Table1[[#This Row],[mean]]) / Table1[[#This Row],[std_dev]]</f>
        <v>0.52592436377820473</v>
      </c>
      <c r="K9074">
        <f>AVERAGEIF(Table1[CountryCode],Table1[[#This Row],[CountryCode]],Table1[z-score])</f>
        <v>0.55967304374969629</v>
      </c>
      <c r="L9074" t="e">
        <f>VLOOKUP(Table1[[#This Row],[CountryCode]],[1]!Table1[#All],1,FALSE)</f>
        <v>#REF!</v>
      </c>
    </row>
    <row r="9075" spans="1:12" hidden="1" x14ac:dyDescent="0.3">
      <c r="A9075" t="s">
        <v>67</v>
      </c>
      <c r="B9075" t="s">
        <v>68</v>
      </c>
      <c r="C9075" t="s">
        <v>129</v>
      </c>
      <c r="D9075" t="s">
        <v>130</v>
      </c>
      <c r="E9075">
        <v>1978</v>
      </c>
      <c r="F9075" s="1">
        <v>77</v>
      </c>
      <c r="G9075">
        <v>1980</v>
      </c>
      <c r="H9075">
        <f>AVERAGEIFS(Table1[value],Table1[IndicatorCode],Table1[[#This Row],[IndicatorCode]])</f>
        <v>72.66514008620689</v>
      </c>
      <c r="I9075" cm="1">
        <f t="array" ref="I9075">_xlfn.STDEV.P(IF(Table1[IndicatorCode]=Table1[[#This Row],[IndicatorCode]],Table1[value]))</f>
        <v>6.3409496564024987</v>
      </c>
      <c r="J9075">
        <f>(Table1[[#This Row],[value]] - Table1[[#This Row],[mean]]) / Table1[[#This Row],[std_dev]]</f>
        <v>0.68362944806164383</v>
      </c>
      <c r="K9075">
        <f>AVERAGEIF(Table1[CountryCode],Table1[[#This Row],[CountryCode]],Table1[z-score])</f>
        <v>0.55967304374969629</v>
      </c>
      <c r="L9075" t="e">
        <f>VLOOKUP(Table1[[#This Row],[CountryCode]],[1]!Table1[#All],1,FALSE)</f>
        <v>#REF!</v>
      </c>
    </row>
    <row r="9076" spans="1:12" hidden="1" x14ac:dyDescent="0.3">
      <c r="A9076" t="s">
        <v>67</v>
      </c>
      <c r="B9076" t="s">
        <v>68</v>
      </c>
      <c r="C9076" t="s">
        <v>129</v>
      </c>
      <c r="D9076" t="s">
        <v>130</v>
      </c>
      <c r="E9076">
        <v>1979</v>
      </c>
      <c r="F9076" s="1">
        <v>77</v>
      </c>
      <c r="G9076">
        <v>1980</v>
      </c>
      <c r="H9076">
        <f>AVERAGEIFS(Table1[value],Table1[IndicatorCode],Table1[[#This Row],[IndicatorCode]])</f>
        <v>72.66514008620689</v>
      </c>
      <c r="I9076" cm="1">
        <f t="array" ref="I9076">_xlfn.STDEV.P(IF(Table1[IndicatorCode]=Table1[[#This Row],[IndicatorCode]],Table1[value]))</f>
        <v>6.3409496564024987</v>
      </c>
      <c r="J9076">
        <f>(Table1[[#This Row],[value]] - Table1[[#This Row],[mean]]) / Table1[[#This Row],[std_dev]]</f>
        <v>0.68362944806164383</v>
      </c>
      <c r="K9076">
        <f>AVERAGEIF(Table1[CountryCode],Table1[[#This Row],[CountryCode]],Table1[z-score])</f>
        <v>0.55967304374969629</v>
      </c>
      <c r="L9076" t="e">
        <f>VLOOKUP(Table1[[#This Row],[CountryCode]],[1]!Table1[#All],1,FALSE)</f>
        <v>#REF!</v>
      </c>
    </row>
    <row r="9077" spans="1:12" hidden="1" x14ac:dyDescent="0.3">
      <c r="A9077" t="s">
        <v>67</v>
      </c>
      <c r="B9077" t="s">
        <v>68</v>
      </c>
      <c r="C9077" t="s">
        <v>129</v>
      </c>
      <c r="D9077" t="s">
        <v>130</v>
      </c>
      <c r="E9077">
        <v>1980</v>
      </c>
      <c r="F9077" s="1">
        <v>77</v>
      </c>
      <c r="G9077">
        <v>1980</v>
      </c>
      <c r="H9077">
        <f>AVERAGEIFS(Table1[value],Table1[IndicatorCode],Table1[[#This Row],[IndicatorCode]])</f>
        <v>72.66514008620689</v>
      </c>
      <c r="I9077" cm="1">
        <f t="array" ref="I9077">_xlfn.STDEV.P(IF(Table1[IndicatorCode]=Table1[[#This Row],[IndicatorCode]],Table1[value]))</f>
        <v>6.3409496564024987</v>
      </c>
      <c r="J9077">
        <f>(Table1[[#This Row],[value]] - Table1[[#This Row],[mean]]) / Table1[[#This Row],[std_dev]]</f>
        <v>0.68362944806164383</v>
      </c>
      <c r="K9077">
        <f>AVERAGEIF(Table1[CountryCode],Table1[[#This Row],[CountryCode]],Table1[z-score])</f>
        <v>0.55967304374969629</v>
      </c>
      <c r="L9077" t="e">
        <f>VLOOKUP(Table1[[#This Row],[CountryCode]],[1]!Table1[#All],1,FALSE)</f>
        <v>#REF!</v>
      </c>
    </row>
    <row r="9078" spans="1:12" hidden="1" x14ac:dyDescent="0.3">
      <c r="A9078" t="s">
        <v>67</v>
      </c>
      <c r="B9078" t="s">
        <v>68</v>
      </c>
      <c r="C9078" t="s">
        <v>129</v>
      </c>
      <c r="D9078" t="s">
        <v>130</v>
      </c>
      <c r="E9078">
        <v>1981</v>
      </c>
      <c r="F9078" s="1">
        <v>77</v>
      </c>
      <c r="G9078">
        <v>1980</v>
      </c>
      <c r="H9078">
        <f>AVERAGEIFS(Table1[value],Table1[IndicatorCode],Table1[[#This Row],[IndicatorCode]])</f>
        <v>72.66514008620689</v>
      </c>
      <c r="I9078" cm="1">
        <f t="array" ref="I9078">_xlfn.STDEV.P(IF(Table1[IndicatorCode]=Table1[[#This Row],[IndicatorCode]],Table1[value]))</f>
        <v>6.3409496564024987</v>
      </c>
      <c r="J9078">
        <f>(Table1[[#This Row],[value]] - Table1[[#This Row],[mean]]) / Table1[[#This Row],[std_dev]]</f>
        <v>0.68362944806164383</v>
      </c>
      <c r="K9078">
        <f>AVERAGEIF(Table1[CountryCode],Table1[[#This Row],[CountryCode]],Table1[z-score])</f>
        <v>0.55967304374969629</v>
      </c>
      <c r="L9078" t="e">
        <f>VLOOKUP(Table1[[#This Row],[CountryCode]],[1]!Table1[#All],1,FALSE)</f>
        <v>#REF!</v>
      </c>
    </row>
    <row r="9079" spans="1:12" hidden="1" x14ac:dyDescent="0.3">
      <c r="A9079" t="s">
        <v>67</v>
      </c>
      <c r="B9079" t="s">
        <v>68</v>
      </c>
      <c r="C9079" t="s">
        <v>129</v>
      </c>
      <c r="D9079" t="s">
        <v>130</v>
      </c>
      <c r="E9079">
        <v>1982</v>
      </c>
      <c r="F9079" s="1">
        <v>77</v>
      </c>
      <c r="G9079">
        <v>1980</v>
      </c>
      <c r="H9079">
        <f>AVERAGEIFS(Table1[value],Table1[IndicatorCode],Table1[[#This Row],[IndicatorCode]])</f>
        <v>72.66514008620689</v>
      </c>
      <c r="I9079" cm="1">
        <f t="array" ref="I9079">_xlfn.STDEV.P(IF(Table1[IndicatorCode]=Table1[[#This Row],[IndicatorCode]],Table1[value]))</f>
        <v>6.3409496564024987</v>
      </c>
      <c r="J9079">
        <f>(Table1[[#This Row],[value]] - Table1[[#This Row],[mean]]) / Table1[[#This Row],[std_dev]]</f>
        <v>0.68362944806164383</v>
      </c>
      <c r="K9079">
        <f>AVERAGEIF(Table1[CountryCode],Table1[[#This Row],[CountryCode]],Table1[z-score])</f>
        <v>0.55967304374969629</v>
      </c>
      <c r="L9079" t="e">
        <f>VLOOKUP(Table1[[#This Row],[CountryCode]],[1]!Table1[#All],1,FALSE)</f>
        <v>#REF!</v>
      </c>
    </row>
    <row r="9080" spans="1:12" hidden="1" x14ac:dyDescent="0.3">
      <c r="A9080" t="s">
        <v>67</v>
      </c>
      <c r="B9080" t="s">
        <v>68</v>
      </c>
      <c r="C9080" t="s">
        <v>129</v>
      </c>
      <c r="D9080" t="s">
        <v>130</v>
      </c>
      <c r="E9080">
        <v>1983</v>
      </c>
      <c r="F9080" s="1">
        <v>77</v>
      </c>
      <c r="G9080">
        <v>1980</v>
      </c>
      <c r="H9080">
        <f>AVERAGEIFS(Table1[value],Table1[IndicatorCode],Table1[[#This Row],[IndicatorCode]])</f>
        <v>72.66514008620689</v>
      </c>
      <c r="I9080" cm="1">
        <f t="array" ref="I9080">_xlfn.STDEV.P(IF(Table1[IndicatorCode]=Table1[[#This Row],[IndicatorCode]],Table1[value]))</f>
        <v>6.3409496564024987</v>
      </c>
      <c r="J9080">
        <f>(Table1[[#This Row],[value]] - Table1[[#This Row],[mean]]) / Table1[[#This Row],[std_dev]]</f>
        <v>0.68362944806164383</v>
      </c>
      <c r="K9080">
        <f>AVERAGEIF(Table1[CountryCode],Table1[[#This Row],[CountryCode]],Table1[z-score])</f>
        <v>0.55967304374969629</v>
      </c>
      <c r="L9080" t="e">
        <f>VLOOKUP(Table1[[#This Row],[CountryCode]],[1]!Table1[#All],1,FALSE)</f>
        <v>#REF!</v>
      </c>
    </row>
    <row r="9081" spans="1:12" hidden="1" x14ac:dyDescent="0.3">
      <c r="A9081" t="s">
        <v>67</v>
      </c>
      <c r="B9081" t="s">
        <v>68</v>
      </c>
      <c r="C9081" t="s">
        <v>129</v>
      </c>
      <c r="D9081" t="s">
        <v>130</v>
      </c>
      <c r="E9081">
        <v>1984</v>
      </c>
      <c r="F9081" s="1">
        <v>78</v>
      </c>
      <c r="G9081">
        <v>1980</v>
      </c>
      <c r="H9081">
        <f>AVERAGEIFS(Table1[value],Table1[IndicatorCode],Table1[[#This Row],[IndicatorCode]])</f>
        <v>72.66514008620689</v>
      </c>
      <c r="I9081" cm="1">
        <f t="array" ref="I9081">_xlfn.STDEV.P(IF(Table1[IndicatorCode]=Table1[[#This Row],[IndicatorCode]],Table1[value]))</f>
        <v>6.3409496564024987</v>
      </c>
      <c r="J9081">
        <f>(Table1[[#This Row],[value]] - Table1[[#This Row],[mean]]) / Table1[[#This Row],[std_dev]]</f>
        <v>0.84133453234508293</v>
      </c>
      <c r="K9081">
        <f>AVERAGEIF(Table1[CountryCode],Table1[[#This Row],[CountryCode]],Table1[z-score])</f>
        <v>0.55967304374969629</v>
      </c>
      <c r="L9081" t="e">
        <f>VLOOKUP(Table1[[#This Row],[CountryCode]],[1]!Table1[#All],1,FALSE)</f>
        <v>#REF!</v>
      </c>
    </row>
    <row r="9082" spans="1:12" hidden="1" x14ac:dyDescent="0.3">
      <c r="A9082" t="s">
        <v>67</v>
      </c>
      <c r="B9082" t="s">
        <v>68</v>
      </c>
      <c r="C9082" t="s">
        <v>129</v>
      </c>
      <c r="D9082" t="s">
        <v>130</v>
      </c>
      <c r="E9082">
        <v>1985</v>
      </c>
      <c r="F9082" s="1">
        <v>78</v>
      </c>
      <c r="G9082">
        <v>1980</v>
      </c>
      <c r="H9082">
        <f>AVERAGEIFS(Table1[value],Table1[IndicatorCode],Table1[[#This Row],[IndicatorCode]])</f>
        <v>72.66514008620689</v>
      </c>
      <c r="I9082" cm="1">
        <f t="array" ref="I9082">_xlfn.STDEV.P(IF(Table1[IndicatorCode]=Table1[[#This Row],[IndicatorCode]],Table1[value]))</f>
        <v>6.3409496564024987</v>
      </c>
      <c r="J9082">
        <f>(Table1[[#This Row],[value]] - Table1[[#This Row],[mean]]) / Table1[[#This Row],[std_dev]]</f>
        <v>0.84133453234508293</v>
      </c>
      <c r="K9082">
        <f>AVERAGEIF(Table1[CountryCode],Table1[[#This Row],[CountryCode]],Table1[z-score])</f>
        <v>0.55967304374969629</v>
      </c>
      <c r="L9082" t="e">
        <f>VLOOKUP(Table1[[#This Row],[CountryCode]],[1]!Table1[#All],1,FALSE)</f>
        <v>#REF!</v>
      </c>
    </row>
    <row r="9083" spans="1:12" hidden="1" x14ac:dyDescent="0.3">
      <c r="A9083" t="s">
        <v>67</v>
      </c>
      <c r="B9083" t="s">
        <v>68</v>
      </c>
      <c r="C9083" t="s">
        <v>129</v>
      </c>
      <c r="D9083" t="s">
        <v>130</v>
      </c>
      <c r="E9083">
        <v>1986</v>
      </c>
      <c r="F9083" s="1">
        <v>78</v>
      </c>
      <c r="G9083">
        <v>1980</v>
      </c>
      <c r="H9083">
        <f>AVERAGEIFS(Table1[value],Table1[IndicatorCode],Table1[[#This Row],[IndicatorCode]])</f>
        <v>72.66514008620689</v>
      </c>
      <c r="I9083" cm="1">
        <f t="array" ref="I9083">_xlfn.STDEV.P(IF(Table1[IndicatorCode]=Table1[[#This Row],[IndicatorCode]],Table1[value]))</f>
        <v>6.3409496564024987</v>
      </c>
      <c r="J9083">
        <f>(Table1[[#This Row],[value]] - Table1[[#This Row],[mean]]) / Table1[[#This Row],[std_dev]]</f>
        <v>0.84133453234508293</v>
      </c>
      <c r="K9083">
        <f>AVERAGEIF(Table1[CountryCode],Table1[[#This Row],[CountryCode]],Table1[z-score])</f>
        <v>0.55967304374969629</v>
      </c>
      <c r="L9083" t="e">
        <f>VLOOKUP(Table1[[#This Row],[CountryCode]],[1]!Table1[#All],1,FALSE)</f>
        <v>#REF!</v>
      </c>
    </row>
    <row r="9084" spans="1:12" hidden="1" x14ac:dyDescent="0.3">
      <c r="A9084" t="s">
        <v>67</v>
      </c>
      <c r="B9084" t="s">
        <v>68</v>
      </c>
      <c r="C9084" t="s">
        <v>129</v>
      </c>
      <c r="D9084" t="s">
        <v>130</v>
      </c>
      <c r="E9084">
        <v>1987</v>
      </c>
      <c r="F9084" s="1">
        <v>77</v>
      </c>
      <c r="G9084">
        <v>1990</v>
      </c>
      <c r="H9084">
        <f>AVERAGEIFS(Table1[value],Table1[IndicatorCode],Table1[[#This Row],[IndicatorCode]])</f>
        <v>72.66514008620689</v>
      </c>
      <c r="I9084" cm="1">
        <f t="array" ref="I9084">_xlfn.STDEV.P(IF(Table1[IndicatorCode]=Table1[[#This Row],[IndicatorCode]],Table1[value]))</f>
        <v>6.3409496564024987</v>
      </c>
      <c r="J9084">
        <f>(Table1[[#This Row],[value]] - Table1[[#This Row],[mean]]) / Table1[[#This Row],[std_dev]]</f>
        <v>0.68362944806164383</v>
      </c>
      <c r="K9084">
        <f>AVERAGEIF(Table1[CountryCode],Table1[[#This Row],[CountryCode]],Table1[z-score])</f>
        <v>0.55967304374969629</v>
      </c>
      <c r="L9084" t="e">
        <f>VLOOKUP(Table1[[#This Row],[CountryCode]],[1]!Table1[#All],1,FALSE)</f>
        <v>#REF!</v>
      </c>
    </row>
    <row r="9085" spans="1:12" hidden="1" x14ac:dyDescent="0.3">
      <c r="A9085" t="s">
        <v>67</v>
      </c>
      <c r="B9085" t="s">
        <v>68</v>
      </c>
      <c r="C9085" t="s">
        <v>129</v>
      </c>
      <c r="D9085" t="s">
        <v>130</v>
      </c>
      <c r="E9085">
        <v>1988</v>
      </c>
      <c r="F9085" s="1">
        <v>77</v>
      </c>
      <c r="G9085">
        <v>1990</v>
      </c>
      <c r="H9085">
        <f>AVERAGEIFS(Table1[value],Table1[IndicatorCode],Table1[[#This Row],[IndicatorCode]])</f>
        <v>72.66514008620689</v>
      </c>
      <c r="I9085" cm="1">
        <f t="array" ref="I9085">_xlfn.STDEV.P(IF(Table1[IndicatorCode]=Table1[[#This Row],[IndicatorCode]],Table1[value]))</f>
        <v>6.3409496564024987</v>
      </c>
      <c r="J9085">
        <f>(Table1[[#This Row],[value]] - Table1[[#This Row],[mean]]) / Table1[[#This Row],[std_dev]]</f>
        <v>0.68362944806164383</v>
      </c>
      <c r="K9085">
        <f>AVERAGEIF(Table1[CountryCode],Table1[[#This Row],[CountryCode]],Table1[z-score])</f>
        <v>0.55967304374969629</v>
      </c>
      <c r="L9085" t="e">
        <f>VLOOKUP(Table1[[#This Row],[CountryCode]],[1]!Table1[#All],1,FALSE)</f>
        <v>#REF!</v>
      </c>
    </row>
    <row r="9086" spans="1:12" hidden="1" x14ac:dyDescent="0.3">
      <c r="A9086" t="s">
        <v>67</v>
      </c>
      <c r="B9086" t="s">
        <v>68</v>
      </c>
      <c r="C9086" t="s">
        <v>129</v>
      </c>
      <c r="D9086" t="s">
        <v>130</v>
      </c>
      <c r="E9086">
        <v>1989</v>
      </c>
      <c r="F9086" s="1">
        <v>78</v>
      </c>
      <c r="G9086">
        <v>1990</v>
      </c>
      <c r="H9086">
        <f>AVERAGEIFS(Table1[value],Table1[IndicatorCode],Table1[[#This Row],[IndicatorCode]])</f>
        <v>72.66514008620689</v>
      </c>
      <c r="I9086" cm="1">
        <f t="array" ref="I9086">_xlfn.STDEV.P(IF(Table1[IndicatorCode]=Table1[[#This Row],[IndicatorCode]],Table1[value]))</f>
        <v>6.3409496564024987</v>
      </c>
      <c r="J9086">
        <f>(Table1[[#This Row],[value]] - Table1[[#This Row],[mean]]) / Table1[[#This Row],[std_dev]]</f>
        <v>0.84133453234508293</v>
      </c>
      <c r="K9086">
        <f>AVERAGEIF(Table1[CountryCode],Table1[[#This Row],[CountryCode]],Table1[z-score])</f>
        <v>0.55967304374969629</v>
      </c>
      <c r="L9086" t="e">
        <f>VLOOKUP(Table1[[#This Row],[CountryCode]],[1]!Table1[#All],1,FALSE)</f>
        <v>#REF!</v>
      </c>
    </row>
    <row r="9087" spans="1:12" hidden="1" x14ac:dyDescent="0.3">
      <c r="A9087" t="s">
        <v>67</v>
      </c>
      <c r="B9087" t="s">
        <v>68</v>
      </c>
      <c r="C9087" t="s">
        <v>129</v>
      </c>
      <c r="D9087" t="s">
        <v>130</v>
      </c>
      <c r="E9087">
        <v>1990</v>
      </c>
      <c r="F9087" s="1">
        <v>78</v>
      </c>
      <c r="G9087">
        <v>1990</v>
      </c>
      <c r="H9087">
        <f>AVERAGEIFS(Table1[value],Table1[IndicatorCode],Table1[[#This Row],[IndicatorCode]])</f>
        <v>72.66514008620689</v>
      </c>
      <c r="I9087" cm="1">
        <f t="array" ref="I9087">_xlfn.STDEV.P(IF(Table1[IndicatorCode]=Table1[[#This Row],[IndicatorCode]],Table1[value]))</f>
        <v>6.3409496564024987</v>
      </c>
      <c r="J9087">
        <f>(Table1[[#This Row],[value]] - Table1[[#This Row],[mean]]) / Table1[[#This Row],[std_dev]]</f>
        <v>0.84133453234508293</v>
      </c>
      <c r="K9087">
        <f>AVERAGEIF(Table1[CountryCode],Table1[[#This Row],[CountryCode]],Table1[z-score])</f>
        <v>0.55967304374969629</v>
      </c>
      <c r="L9087" t="e">
        <f>VLOOKUP(Table1[[#This Row],[CountryCode]],[1]!Table1[#All],1,FALSE)</f>
        <v>#REF!</v>
      </c>
    </row>
    <row r="9088" spans="1:12" hidden="1" x14ac:dyDescent="0.3">
      <c r="A9088" t="s">
        <v>67</v>
      </c>
      <c r="B9088" t="s">
        <v>68</v>
      </c>
      <c r="C9088" t="s">
        <v>129</v>
      </c>
      <c r="D9088" t="s">
        <v>130</v>
      </c>
      <c r="E9088">
        <v>1991</v>
      </c>
      <c r="F9088" s="1">
        <v>78</v>
      </c>
      <c r="G9088">
        <v>1990</v>
      </c>
      <c r="H9088">
        <f>AVERAGEIFS(Table1[value],Table1[IndicatorCode],Table1[[#This Row],[IndicatorCode]])</f>
        <v>72.66514008620689</v>
      </c>
      <c r="I9088" cm="1">
        <f t="array" ref="I9088">_xlfn.STDEV.P(IF(Table1[IndicatorCode]=Table1[[#This Row],[IndicatorCode]],Table1[value]))</f>
        <v>6.3409496564024987</v>
      </c>
      <c r="J9088">
        <f>(Table1[[#This Row],[value]] - Table1[[#This Row],[mean]]) / Table1[[#This Row],[std_dev]]</f>
        <v>0.84133453234508293</v>
      </c>
      <c r="K9088">
        <f>AVERAGEIF(Table1[CountryCode],Table1[[#This Row],[CountryCode]],Table1[z-score])</f>
        <v>0.55967304374969629</v>
      </c>
      <c r="L9088" t="e">
        <f>VLOOKUP(Table1[[#This Row],[CountryCode]],[1]!Table1[#All],1,FALSE)</f>
        <v>#REF!</v>
      </c>
    </row>
    <row r="9089" spans="1:12" hidden="1" x14ac:dyDescent="0.3">
      <c r="A9089" t="s">
        <v>67</v>
      </c>
      <c r="B9089" t="s">
        <v>68</v>
      </c>
      <c r="C9089" t="s">
        <v>129</v>
      </c>
      <c r="D9089" t="s">
        <v>130</v>
      </c>
      <c r="E9089">
        <v>1992</v>
      </c>
      <c r="F9089" s="1">
        <v>79</v>
      </c>
      <c r="G9089">
        <v>1990</v>
      </c>
      <c r="H9089">
        <f>AVERAGEIFS(Table1[value],Table1[IndicatorCode],Table1[[#This Row],[IndicatorCode]])</f>
        <v>72.66514008620689</v>
      </c>
      <c r="I9089" cm="1">
        <f t="array" ref="I9089">_xlfn.STDEV.P(IF(Table1[IndicatorCode]=Table1[[#This Row],[IndicatorCode]],Table1[value]))</f>
        <v>6.3409496564024987</v>
      </c>
      <c r="J9089">
        <f>(Table1[[#This Row],[value]] - Table1[[#This Row],[mean]]) / Table1[[#This Row],[std_dev]]</f>
        <v>0.99903961662852192</v>
      </c>
      <c r="K9089">
        <f>AVERAGEIF(Table1[CountryCode],Table1[[#This Row],[CountryCode]],Table1[z-score])</f>
        <v>0.55967304374969629</v>
      </c>
      <c r="L9089" t="e">
        <f>VLOOKUP(Table1[[#This Row],[CountryCode]],[1]!Table1[#All],1,FALSE)</f>
        <v>#REF!</v>
      </c>
    </row>
    <row r="9090" spans="1:12" hidden="1" x14ac:dyDescent="0.3">
      <c r="A9090" t="s">
        <v>67</v>
      </c>
      <c r="B9090" t="s">
        <v>68</v>
      </c>
      <c r="C9090" t="s">
        <v>129</v>
      </c>
      <c r="D9090" t="s">
        <v>130</v>
      </c>
      <c r="E9090">
        <v>1993</v>
      </c>
      <c r="F9090" s="1">
        <v>79</v>
      </c>
      <c r="G9090">
        <v>1990</v>
      </c>
      <c r="H9090">
        <f>AVERAGEIFS(Table1[value],Table1[IndicatorCode],Table1[[#This Row],[IndicatorCode]])</f>
        <v>72.66514008620689</v>
      </c>
      <c r="I9090" cm="1">
        <f t="array" ref="I9090">_xlfn.STDEV.P(IF(Table1[IndicatorCode]=Table1[[#This Row],[IndicatorCode]],Table1[value]))</f>
        <v>6.3409496564024987</v>
      </c>
      <c r="J9090">
        <f>(Table1[[#This Row],[value]] - Table1[[#This Row],[mean]]) / Table1[[#This Row],[std_dev]]</f>
        <v>0.99903961662852192</v>
      </c>
      <c r="K9090">
        <f>AVERAGEIF(Table1[CountryCode],Table1[[#This Row],[CountryCode]],Table1[z-score])</f>
        <v>0.55967304374969629</v>
      </c>
      <c r="L9090" t="e">
        <f>VLOOKUP(Table1[[#This Row],[CountryCode]],[1]!Table1[#All],1,FALSE)</f>
        <v>#REF!</v>
      </c>
    </row>
    <row r="9091" spans="1:12" hidden="1" x14ac:dyDescent="0.3">
      <c r="A9091" t="s">
        <v>67</v>
      </c>
      <c r="B9091" t="s">
        <v>68</v>
      </c>
      <c r="C9091" t="s">
        <v>129</v>
      </c>
      <c r="D9091" t="s">
        <v>130</v>
      </c>
      <c r="E9091">
        <v>1994</v>
      </c>
      <c r="F9091" s="1">
        <v>79</v>
      </c>
      <c r="G9091">
        <v>1990</v>
      </c>
      <c r="H9091">
        <f>AVERAGEIFS(Table1[value],Table1[IndicatorCode],Table1[[#This Row],[IndicatorCode]])</f>
        <v>72.66514008620689</v>
      </c>
      <c r="I9091" cm="1">
        <f t="array" ref="I9091">_xlfn.STDEV.P(IF(Table1[IndicatorCode]=Table1[[#This Row],[IndicatorCode]],Table1[value]))</f>
        <v>6.3409496564024987</v>
      </c>
      <c r="J9091">
        <f>(Table1[[#This Row],[value]] - Table1[[#This Row],[mean]]) / Table1[[#This Row],[std_dev]]</f>
        <v>0.99903961662852192</v>
      </c>
      <c r="K9091">
        <f>AVERAGEIF(Table1[CountryCode],Table1[[#This Row],[CountryCode]],Table1[z-score])</f>
        <v>0.55967304374969629</v>
      </c>
      <c r="L9091" t="e">
        <f>VLOOKUP(Table1[[#This Row],[CountryCode]],[1]!Table1[#All],1,FALSE)</f>
        <v>#REF!</v>
      </c>
    </row>
    <row r="9092" spans="1:12" hidden="1" x14ac:dyDescent="0.3">
      <c r="A9092" t="s">
        <v>67</v>
      </c>
      <c r="B9092" t="s">
        <v>68</v>
      </c>
      <c r="C9092" t="s">
        <v>129</v>
      </c>
      <c r="D9092" t="s">
        <v>130</v>
      </c>
      <c r="E9092">
        <v>1995</v>
      </c>
      <c r="F9092" s="1">
        <v>78</v>
      </c>
      <c r="G9092">
        <v>1990</v>
      </c>
      <c r="H9092">
        <f>AVERAGEIFS(Table1[value],Table1[IndicatorCode],Table1[[#This Row],[IndicatorCode]])</f>
        <v>72.66514008620689</v>
      </c>
      <c r="I9092" cm="1">
        <f t="array" ref="I9092">_xlfn.STDEV.P(IF(Table1[IndicatorCode]=Table1[[#This Row],[IndicatorCode]],Table1[value]))</f>
        <v>6.3409496564024987</v>
      </c>
      <c r="J9092">
        <f>(Table1[[#This Row],[value]] - Table1[[#This Row],[mean]]) / Table1[[#This Row],[std_dev]]</f>
        <v>0.84133453234508293</v>
      </c>
      <c r="K9092">
        <f>AVERAGEIF(Table1[CountryCode],Table1[[#This Row],[CountryCode]],Table1[z-score])</f>
        <v>0.55967304374969629</v>
      </c>
      <c r="L9092" t="e">
        <f>VLOOKUP(Table1[[#This Row],[CountryCode]],[1]!Table1[#All],1,FALSE)</f>
        <v>#REF!</v>
      </c>
    </row>
    <row r="9093" spans="1:12" hidden="1" x14ac:dyDescent="0.3">
      <c r="A9093" t="s">
        <v>67</v>
      </c>
      <c r="B9093" t="s">
        <v>68</v>
      </c>
      <c r="C9093" t="s">
        <v>129</v>
      </c>
      <c r="D9093" t="s">
        <v>130</v>
      </c>
      <c r="E9093">
        <v>1996</v>
      </c>
      <c r="F9093" s="1">
        <v>79</v>
      </c>
      <c r="G9093">
        <v>1990</v>
      </c>
      <c r="H9093">
        <f>AVERAGEIFS(Table1[value],Table1[IndicatorCode],Table1[[#This Row],[IndicatorCode]])</f>
        <v>72.66514008620689</v>
      </c>
      <c r="I9093" cm="1">
        <f t="array" ref="I9093">_xlfn.STDEV.P(IF(Table1[IndicatorCode]=Table1[[#This Row],[IndicatorCode]],Table1[value]))</f>
        <v>6.3409496564024987</v>
      </c>
      <c r="J9093">
        <f>(Table1[[#This Row],[value]] - Table1[[#This Row],[mean]]) / Table1[[#This Row],[std_dev]]</f>
        <v>0.99903961662852192</v>
      </c>
      <c r="K9093">
        <f>AVERAGEIF(Table1[CountryCode],Table1[[#This Row],[CountryCode]],Table1[z-score])</f>
        <v>0.55967304374969629</v>
      </c>
      <c r="L9093" t="e">
        <f>VLOOKUP(Table1[[#This Row],[CountryCode]],[1]!Table1[#All],1,FALSE)</f>
        <v>#REF!</v>
      </c>
    </row>
    <row r="9094" spans="1:12" hidden="1" x14ac:dyDescent="0.3">
      <c r="A9094" t="s">
        <v>67</v>
      </c>
      <c r="B9094" t="s">
        <v>68</v>
      </c>
      <c r="C9094" t="s">
        <v>129</v>
      </c>
      <c r="D9094" t="s">
        <v>130</v>
      </c>
      <c r="E9094">
        <v>1997</v>
      </c>
      <c r="F9094" s="1">
        <v>79</v>
      </c>
      <c r="G9094">
        <v>2000</v>
      </c>
      <c r="H9094">
        <f>AVERAGEIFS(Table1[value],Table1[IndicatorCode],Table1[[#This Row],[IndicatorCode]])</f>
        <v>72.66514008620689</v>
      </c>
      <c r="I9094" cm="1">
        <f t="array" ref="I9094">_xlfn.STDEV.P(IF(Table1[IndicatorCode]=Table1[[#This Row],[IndicatorCode]],Table1[value]))</f>
        <v>6.3409496564024987</v>
      </c>
      <c r="J9094">
        <f>(Table1[[#This Row],[value]] - Table1[[#This Row],[mean]]) / Table1[[#This Row],[std_dev]]</f>
        <v>0.99903961662852192</v>
      </c>
      <c r="K9094">
        <f>AVERAGEIF(Table1[CountryCode],Table1[[#This Row],[CountryCode]],Table1[z-score])</f>
        <v>0.55967304374969629</v>
      </c>
      <c r="L9094" t="e">
        <f>VLOOKUP(Table1[[#This Row],[CountryCode]],[1]!Table1[#All],1,FALSE)</f>
        <v>#REF!</v>
      </c>
    </row>
    <row r="9095" spans="1:12" hidden="1" x14ac:dyDescent="0.3">
      <c r="A9095" t="s">
        <v>67</v>
      </c>
      <c r="B9095" t="s">
        <v>68</v>
      </c>
      <c r="C9095" t="s">
        <v>129</v>
      </c>
      <c r="D9095" t="s">
        <v>130</v>
      </c>
      <c r="E9095">
        <v>1998</v>
      </c>
      <c r="F9095" s="1">
        <v>80</v>
      </c>
      <c r="G9095">
        <v>2000</v>
      </c>
      <c r="H9095">
        <f>AVERAGEIFS(Table1[value],Table1[IndicatorCode],Table1[[#This Row],[IndicatorCode]])</f>
        <v>72.66514008620689</v>
      </c>
      <c r="I9095" cm="1">
        <f t="array" ref="I9095">_xlfn.STDEV.P(IF(Table1[IndicatorCode]=Table1[[#This Row],[IndicatorCode]],Table1[value]))</f>
        <v>6.3409496564024987</v>
      </c>
      <c r="J9095">
        <f>(Table1[[#This Row],[value]] - Table1[[#This Row],[mean]]) / Table1[[#This Row],[std_dev]]</f>
        <v>1.1567447009119609</v>
      </c>
      <c r="K9095">
        <f>AVERAGEIF(Table1[CountryCode],Table1[[#This Row],[CountryCode]],Table1[z-score])</f>
        <v>0.55967304374969629</v>
      </c>
      <c r="L9095" t="e">
        <f>VLOOKUP(Table1[[#This Row],[CountryCode]],[1]!Table1[#All],1,FALSE)</f>
        <v>#REF!</v>
      </c>
    </row>
    <row r="9096" spans="1:12" hidden="1" x14ac:dyDescent="0.3">
      <c r="A9096" t="s">
        <v>67</v>
      </c>
      <c r="B9096" t="s">
        <v>68</v>
      </c>
      <c r="C9096" t="s">
        <v>129</v>
      </c>
      <c r="D9096" t="s">
        <v>130</v>
      </c>
      <c r="E9096">
        <v>1999</v>
      </c>
      <c r="F9096" s="1">
        <v>79</v>
      </c>
      <c r="G9096">
        <v>2000</v>
      </c>
      <c r="H9096">
        <f>AVERAGEIFS(Table1[value],Table1[IndicatorCode],Table1[[#This Row],[IndicatorCode]])</f>
        <v>72.66514008620689</v>
      </c>
      <c r="I9096" cm="1">
        <f t="array" ref="I9096">_xlfn.STDEV.P(IF(Table1[IndicatorCode]=Table1[[#This Row],[IndicatorCode]],Table1[value]))</f>
        <v>6.3409496564024987</v>
      </c>
      <c r="J9096">
        <f>(Table1[[#This Row],[value]] - Table1[[#This Row],[mean]]) / Table1[[#This Row],[std_dev]]</f>
        <v>0.99903961662852192</v>
      </c>
      <c r="K9096">
        <f>AVERAGEIF(Table1[CountryCode],Table1[[#This Row],[CountryCode]],Table1[z-score])</f>
        <v>0.55967304374969629</v>
      </c>
      <c r="L9096" t="e">
        <f>VLOOKUP(Table1[[#This Row],[CountryCode]],[1]!Table1[#All],1,FALSE)</f>
        <v>#REF!</v>
      </c>
    </row>
    <row r="9097" spans="1:12" hidden="1" x14ac:dyDescent="0.3">
      <c r="A9097" t="s">
        <v>67</v>
      </c>
      <c r="B9097" t="s">
        <v>68</v>
      </c>
      <c r="C9097" t="s">
        <v>129</v>
      </c>
      <c r="D9097" t="s">
        <v>130</v>
      </c>
      <c r="E9097">
        <v>2000</v>
      </c>
      <c r="F9097" s="1">
        <v>80</v>
      </c>
      <c r="G9097">
        <v>2000</v>
      </c>
      <c r="H9097">
        <f>AVERAGEIFS(Table1[value],Table1[IndicatorCode],Table1[[#This Row],[IndicatorCode]])</f>
        <v>72.66514008620689</v>
      </c>
      <c r="I9097" cm="1">
        <f t="array" ref="I9097">_xlfn.STDEV.P(IF(Table1[IndicatorCode]=Table1[[#This Row],[IndicatorCode]],Table1[value]))</f>
        <v>6.3409496564024987</v>
      </c>
      <c r="J9097">
        <f>(Table1[[#This Row],[value]] - Table1[[#This Row],[mean]]) / Table1[[#This Row],[std_dev]]</f>
        <v>1.1567447009119609</v>
      </c>
      <c r="K9097">
        <f>AVERAGEIF(Table1[CountryCode],Table1[[#This Row],[CountryCode]],Table1[z-score])</f>
        <v>0.55967304374969629</v>
      </c>
      <c r="L9097" t="e">
        <f>VLOOKUP(Table1[[#This Row],[CountryCode]],[1]!Table1[#All],1,FALSE)</f>
        <v>#REF!</v>
      </c>
    </row>
    <row r="9098" spans="1:12" hidden="1" x14ac:dyDescent="0.3">
      <c r="A9098" t="s">
        <v>67</v>
      </c>
      <c r="B9098" t="s">
        <v>68</v>
      </c>
      <c r="C9098" t="s">
        <v>129</v>
      </c>
      <c r="D9098" t="s">
        <v>130</v>
      </c>
      <c r="E9098">
        <v>2001</v>
      </c>
      <c r="F9098" s="1">
        <v>81</v>
      </c>
      <c r="G9098">
        <v>2000</v>
      </c>
      <c r="H9098">
        <f>AVERAGEIFS(Table1[value],Table1[IndicatorCode],Table1[[#This Row],[IndicatorCode]])</f>
        <v>72.66514008620689</v>
      </c>
      <c r="I9098" cm="1">
        <f t="array" ref="I9098">_xlfn.STDEV.P(IF(Table1[IndicatorCode]=Table1[[#This Row],[IndicatorCode]],Table1[value]))</f>
        <v>6.3409496564024987</v>
      </c>
      <c r="J9098">
        <f>(Table1[[#This Row],[value]] - Table1[[#This Row],[mean]]) / Table1[[#This Row],[std_dev]]</f>
        <v>1.3144497851954</v>
      </c>
      <c r="K9098">
        <f>AVERAGEIF(Table1[CountryCode],Table1[[#This Row],[CountryCode]],Table1[z-score])</f>
        <v>0.55967304374969629</v>
      </c>
      <c r="L9098" t="e">
        <f>VLOOKUP(Table1[[#This Row],[CountryCode]],[1]!Table1[#All],1,FALSE)</f>
        <v>#REF!</v>
      </c>
    </row>
    <row r="9099" spans="1:12" hidden="1" x14ac:dyDescent="0.3">
      <c r="A9099" t="s">
        <v>67</v>
      </c>
      <c r="B9099" t="s">
        <v>68</v>
      </c>
      <c r="C9099" t="s">
        <v>129</v>
      </c>
      <c r="D9099" t="s">
        <v>130</v>
      </c>
      <c r="E9099">
        <v>2002</v>
      </c>
      <c r="F9099" s="1">
        <v>81</v>
      </c>
      <c r="G9099">
        <v>2000</v>
      </c>
      <c r="H9099">
        <f>AVERAGEIFS(Table1[value],Table1[IndicatorCode],Table1[[#This Row],[IndicatorCode]])</f>
        <v>72.66514008620689</v>
      </c>
      <c r="I9099" cm="1">
        <f t="array" ref="I9099">_xlfn.STDEV.P(IF(Table1[IndicatorCode]=Table1[[#This Row],[IndicatorCode]],Table1[value]))</f>
        <v>6.3409496564024987</v>
      </c>
      <c r="J9099">
        <f>(Table1[[#This Row],[value]] - Table1[[#This Row],[mean]]) / Table1[[#This Row],[std_dev]]</f>
        <v>1.3144497851954</v>
      </c>
      <c r="K9099">
        <f>AVERAGEIF(Table1[CountryCode],Table1[[#This Row],[CountryCode]],Table1[z-score])</f>
        <v>0.55967304374969629</v>
      </c>
      <c r="L9099" t="e">
        <f>VLOOKUP(Table1[[#This Row],[CountryCode]],[1]!Table1[#All],1,FALSE)</f>
        <v>#REF!</v>
      </c>
    </row>
    <row r="9100" spans="1:12" hidden="1" x14ac:dyDescent="0.3">
      <c r="A9100" t="s">
        <v>67</v>
      </c>
      <c r="B9100" t="s">
        <v>68</v>
      </c>
      <c r="C9100" t="s">
        <v>129</v>
      </c>
      <c r="D9100" t="s">
        <v>130</v>
      </c>
      <c r="E9100">
        <v>2003</v>
      </c>
      <c r="F9100" s="1">
        <v>81</v>
      </c>
      <c r="G9100">
        <v>2000</v>
      </c>
      <c r="H9100">
        <f>AVERAGEIFS(Table1[value],Table1[IndicatorCode],Table1[[#This Row],[IndicatorCode]])</f>
        <v>72.66514008620689</v>
      </c>
      <c r="I9100" cm="1">
        <f t="array" ref="I9100">_xlfn.STDEV.P(IF(Table1[IndicatorCode]=Table1[[#This Row],[IndicatorCode]],Table1[value]))</f>
        <v>6.3409496564024987</v>
      </c>
      <c r="J9100">
        <f>(Table1[[#This Row],[value]] - Table1[[#This Row],[mean]]) / Table1[[#This Row],[std_dev]]</f>
        <v>1.3144497851954</v>
      </c>
      <c r="K9100">
        <f>AVERAGEIF(Table1[CountryCode],Table1[[#This Row],[CountryCode]],Table1[z-score])</f>
        <v>0.55967304374969629</v>
      </c>
      <c r="L9100" t="e">
        <f>VLOOKUP(Table1[[#This Row],[CountryCode]],[1]!Table1[#All],1,FALSE)</f>
        <v>#REF!</v>
      </c>
    </row>
    <row r="9101" spans="1:12" hidden="1" x14ac:dyDescent="0.3">
      <c r="A9101" t="s">
        <v>67</v>
      </c>
      <c r="B9101" t="s">
        <v>68</v>
      </c>
      <c r="C9101" t="s">
        <v>129</v>
      </c>
      <c r="D9101" t="s">
        <v>130</v>
      </c>
      <c r="E9101">
        <v>2004</v>
      </c>
      <c r="F9101" s="1">
        <v>81</v>
      </c>
      <c r="G9101">
        <v>2000</v>
      </c>
      <c r="H9101">
        <f>AVERAGEIFS(Table1[value],Table1[IndicatorCode],Table1[[#This Row],[IndicatorCode]])</f>
        <v>72.66514008620689</v>
      </c>
      <c r="I9101" cm="1">
        <f t="array" ref="I9101">_xlfn.STDEV.P(IF(Table1[IndicatorCode]=Table1[[#This Row],[IndicatorCode]],Table1[value]))</f>
        <v>6.3409496564024987</v>
      </c>
      <c r="J9101">
        <f>(Table1[[#This Row],[value]] - Table1[[#This Row],[mean]]) / Table1[[#This Row],[std_dev]]</f>
        <v>1.3144497851954</v>
      </c>
      <c r="K9101">
        <f>AVERAGEIF(Table1[CountryCode],Table1[[#This Row],[CountryCode]],Table1[z-score])</f>
        <v>0.55967304374969629</v>
      </c>
      <c r="L9101" t="e">
        <f>VLOOKUP(Table1[[#This Row],[CountryCode]],[1]!Table1[#All],1,FALSE)</f>
        <v>#REF!</v>
      </c>
    </row>
    <row r="9102" spans="1:12" hidden="1" x14ac:dyDescent="0.3">
      <c r="A9102" t="s">
        <v>67</v>
      </c>
      <c r="B9102" t="s">
        <v>68</v>
      </c>
      <c r="C9102" t="s">
        <v>129</v>
      </c>
      <c r="D9102" t="s">
        <v>130</v>
      </c>
      <c r="E9102">
        <v>2005</v>
      </c>
      <c r="F9102" s="1">
        <v>82</v>
      </c>
      <c r="G9102">
        <v>2000</v>
      </c>
      <c r="H9102">
        <f>AVERAGEIFS(Table1[value],Table1[IndicatorCode],Table1[[#This Row],[IndicatorCode]])</f>
        <v>72.66514008620689</v>
      </c>
      <c r="I9102" cm="1">
        <f t="array" ref="I9102">_xlfn.STDEV.P(IF(Table1[IndicatorCode]=Table1[[#This Row],[IndicatorCode]],Table1[value]))</f>
        <v>6.3409496564024987</v>
      </c>
      <c r="J9102">
        <f>(Table1[[#This Row],[value]] - Table1[[#This Row],[mean]]) / Table1[[#This Row],[std_dev]]</f>
        <v>1.4721548694788391</v>
      </c>
      <c r="K9102">
        <f>AVERAGEIF(Table1[CountryCode],Table1[[#This Row],[CountryCode]],Table1[z-score])</f>
        <v>0.55967304374969629</v>
      </c>
      <c r="L9102" t="e">
        <f>VLOOKUP(Table1[[#This Row],[CountryCode]],[1]!Table1[#All],1,FALSE)</f>
        <v>#REF!</v>
      </c>
    </row>
    <row r="9103" spans="1:12" hidden="1" x14ac:dyDescent="0.3">
      <c r="A9103" t="s">
        <v>67</v>
      </c>
      <c r="B9103" t="s">
        <v>68</v>
      </c>
      <c r="C9103" t="s">
        <v>129</v>
      </c>
      <c r="D9103" t="s">
        <v>130</v>
      </c>
      <c r="E9103">
        <v>2006</v>
      </c>
      <c r="F9103" s="1">
        <v>81</v>
      </c>
      <c r="G9103">
        <v>2000</v>
      </c>
      <c r="H9103">
        <f>AVERAGEIFS(Table1[value],Table1[IndicatorCode],Table1[[#This Row],[IndicatorCode]])</f>
        <v>72.66514008620689</v>
      </c>
      <c r="I9103" cm="1">
        <f t="array" ref="I9103">_xlfn.STDEV.P(IF(Table1[IndicatorCode]=Table1[[#This Row],[IndicatorCode]],Table1[value]))</f>
        <v>6.3409496564024987</v>
      </c>
      <c r="J9103">
        <f>(Table1[[#This Row],[value]] - Table1[[#This Row],[mean]]) / Table1[[#This Row],[std_dev]]</f>
        <v>1.3144497851954</v>
      </c>
      <c r="K9103">
        <f>AVERAGEIF(Table1[CountryCode],Table1[[#This Row],[CountryCode]],Table1[z-score])</f>
        <v>0.55967304374969629</v>
      </c>
      <c r="L9103" t="e">
        <f>VLOOKUP(Table1[[#This Row],[CountryCode]],[1]!Table1[#All],1,FALSE)</f>
        <v>#REF!</v>
      </c>
    </row>
    <row r="9104" spans="1:12" hidden="1" x14ac:dyDescent="0.3">
      <c r="A9104" t="s">
        <v>67</v>
      </c>
      <c r="B9104" t="s">
        <v>68</v>
      </c>
      <c r="C9104" t="s">
        <v>129</v>
      </c>
      <c r="D9104" t="s">
        <v>130</v>
      </c>
      <c r="E9104">
        <v>2007</v>
      </c>
      <c r="F9104" s="1">
        <v>81</v>
      </c>
      <c r="G9104">
        <v>2010</v>
      </c>
      <c r="H9104">
        <f>AVERAGEIFS(Table1[value],Table1[IndicatorCode],Table1[[#This Row],[IndicatorCode]])</f>
        <v>72.66514008620689</v>
      </c>
      <c r="I9104" cm="1">
        <f t="array" ref="I9104">_xlfn.STDEV.P(IF(Table1[IndicatorCode]=Table1[[#This Row],[IndicatorCode]],Table1[value]))</f>
        <v>6.3409496564024987</v>
      </c>
      <c r="J9104">
        <f>(Table1[[#This Row],[value]] - Table1[[#This Row],[mean]]) / Table1[[#This Row],[std_dev]]</f>
        <v>1.3144497851954</v>
      </c>
      <c r="K9104">
        <f>AVERAGEIF(Table1[CountryCode],Table1[[#This Row],[CountryCode]],Table1[z-score])</f>
        <v>0.55967304374969629</v>
      </c>
      <c r="L9104" t="e">
        <f>VLOOKUP(Table1[[#This Row],[CountryCode]],[1]!Table1[#All],1,FALSE)</f>
        <v>#REF!</v>
      </c>
    </row>
    <row r="9105" spans="1:12" hidden="1" x14ac:dyDescent="0.3">
      <c r="A9105" t="s">
        <v>67</v>
      </c>
      <c r="B9105" t="s">
        <v>68</v>
      </c>
      <c r="C9105" t="s">
        <v>129</v>
      </c>
      <c r="D9105" t="s">
        <v>130</v>
      </c>
      <c r="E9105">
        <v>2008</v>
      </c>
      <c r="F9105" s="1">
        <v>82</v>
      </c>
      <c r="G9105">
        <v>2010</v>
      </c>
      <c r="H9105">
        <f>AVERAGEIFS(Table1[value],Table1[IndicatorCode],Table1[[#This Row],[IndicatorCode]])</f>
        <v>72.66514008620689</v>
      </c>
      <c r="I9105" cm="1">
        <f t="array" ref="I9105">_xlfn.STDEV.P(IF(Table1[IndicatorCode]=Table1[[#This Row],[IndicatorCode]],Table1[value]))</f>
        <v>6.3409496564024987</v>
      </c>
      <c r="J9105">
        <f>(Table1[[#This Row],[value]] - Table1[[#This Row],[mean]]) / Table1[[#This Row],[std_dev]]</f>
        <v>1.4721548694788391</v>
      </c>
      <c r="K9105">
        <f>AVERAGEIF(Table1[CountryCode],Table1[[#This Row],[CountryCode]],Table1[z-score])</f>
        <v>0.55967304374969629</v>
      </c>
      <c r="L9105" t="e">
        <f>VLOOKUP(Table1[[#This Row],[CountryCode]],[1]!Table1[#All],1,FALSE)</f>
        <v>#REF!</v>
      </c>
    </row>
    <row r="9106" spans="1:12" hidden="1" x14ac:dyDescent="0.3">
      <c r="A9106" t="s">
        <v>67</v>
      </c>
      <c r="B9106" t="s">
        <v>68</v>
      </c>
      <c r="C9106" t="s">
        <v>129</v>
      </c>
      <c r="D9106" t="s">
        <v>130</v>
      </c>
      <c r="E9106">
        <v>2009</v>
      </c>
      <c r="F9106" s="1">
        <v>82</v>
      </c>
      <c r="G9106">
        <v>2010</v>
      </c>
      <c r="H9106">
        <f>AVERAGEIFS(Table1[value],Table1[IndicatorCode],Table1[[#This Row],[IndicatorCode]])</f>
        <v>72.66514008620689</v>
      </c>
      <c r="I9106" cm="1">
        <f t="array" ref="I9106">_xlfn.STDEV.P(IF(Table1[IndicatorCode]=Table1[[#This Row],[IndicatorCode]],Table1[value]))</f>
        <v>6.3409496564024987</v>
      </c>
      <c r="J9106">
        <f>(Table1[[#This Row],[value]] - Table1[[#This Row],[mean]]) / Table1[[#This Row],[std_dev]]</f>
        <v>1.4721548694788391</v>
      </c>
      <c r="K9106">
        <f>AVERAGEIF(Table1[CountryCode],Table1[[#This Row],[CountryCode]],Table1[z-score])</f>
        <v>0.55967304374969629</v>
      </c>
      <c r="L9106" t="e">
        <f>VLOOKUP(Table1[[#This Row],[CountryCode]],[1]!Table1[#All],1,FALSE)</f>
        <v>#REF!</v>
      </c>
    </row>
    <row r="9107" spans="1:12" hidden="1" x14ac:dyDescent="0.3">
      <c r="A9107" t="s">
        <v>67</v>
      </c>
      <c r="B9107" t="s">
        <v>68</v>
      </c>
      <c r="C9107" t="s">
        <v>129</v>
      </c>
      <c r="D9107" t="s">
        <v>130</v>
      </c>
      <c r="E9107">
        <v>2010</v>
      </c>
      <c r="F9107" s="1">
        <v>82</v>
      </c>
      <c r="G9107">
        <v>2010</v>
      </c>
      <c r="H9107">
        <f>AVERAGEIFS(Table1[value],Table1[IndicatorCode],Table1[[#This Row],[IndicatorCode]])</f>
        <v>72.66514008620689</v>
      </c>
      <c r="I9107" cm="1">
        <f t="array" ref="I9107">_xlfn.STDEV.P(IF(Table1[IndicatorCode]=Table1[[#This Row],[IndicatorCode]],Table1[value]))</f>
        <v>6.3409496564024987</v>
      </c>
      <c r="J9107">
        <f>(Table1[[#This Row],[value]] - Table1[[#This Row],[mean]]) / Table1[[#This Row],[std_dev]]</f>
        <v>1.4721548694788391</v>
      </c>
      <c r="K9107">
        <f>AVERAGEIF(Table1[CountryCode],Table1[[#This Row],[CountryCode]],Table1[z-score])</f>
        <v>0.55967304374969629</v>
      </c>
      <c r="L9107" t="e">
        <f>VLOOKUP(Table1[[#This Row],[CountryCode]],[1]!Table1[#All],1,FALSE)</f>
        <v>#REF!</v>
      </c>
    </row>
    <row r="9108" spans="1:12" hidden="1" x14ac:dyDescent="0.3">
      <c r="A9108" t="s">
        <v>67</v>
      </c>
      <c r="B9108" t="s">
        <v>68</v>
      </c>
      <c r="C9108" t="s">
        <v>129</v>
      </c>
      <c r="D9108" t="s">
        <v>130</v>
      </c>
      <c r="E9108">
        <v>2011</v>
      </c>
      <c r="F9108" s="1">
        <v>82</v>
      </c>
      <c r="G9108">
        <v>2010</v>
      </c>
      <c r="H9108">
        <f>AVERAGEIFS(Table1[value],Table1[IndicatorCode],Table1[[#This Row],[IndicatorCode]])</f>
        <v>72.66514008620689</v>
      </c>
      <c r="I9108" cm="1">
        <f t="array" ref="I9108">_xlfn.STDEV.P(IF(Table1[IndicatorCode]=Table1[[#This Row],[IndicatorCode]],Table1[value]))</f>
        <v>6.3409496564024987</v>
      </c>
      <c r="J9108">
        <f>(Table1[[#This Row],[value]] - Table1[[#This Row],[mean]]) / Table1[[#This Row],[std_dev]]</f>
        <v>1.4721548694788391</v>
      </c>
      <c r="K9108">
        <f>AVERAGEIF(Table1[CountryCode],Table1[[#This Row],[CountryCode]],Table1[z-score])</f>
        <v>0.55967304374969629</v>
      </c>
      <c r="L9108" t="e">
        <f>VLOOKUP(Table1[[#This Row],[CountryCode]],[1]!Table1[#All],1,FALSE)</f>
        <v>#REF!</v>
      </c>
    </row>
    <row r="9109" spans="1:12" hidden="1" x14ac:dyDescent="0.3">
      <c r="A9109" t="s">
        <v>67</v>
      </c>
      <c r="B9109" t="s">
        <v>68</v>
      </c>
      <c r="C9109" t="s">
        <v>129</v>
      </c>
      <c r="D9109" t="s">
        <v>130</v>
      </c>
      <c r="E9109">
        <v>2012</v>
      </c>
      <c r="F9109" s="1">
        <v>83</v>
      </c>
      <c r="G9109">
        <v>2010</v>
      </c>
      <c r="H9109">
        <f>AVERAGEIFS(Table1[value],Table1[IndicatorCode],Table1[[#This Row],[IndicatorCode]])</f>
        <v>72.66514008620689</v>
      </c>
      <c r="I9109" cm="1">
        <f t="array" ref="I9109">_xlfn.STDEV.P(IF(Table1[IndicatorCode]=Table1[[#This Row],[IndicatorCode]],Table1[value]))</f>
        <v>6.3409496564024987</v>
      </c>
      <c r="J9109">
        <f>(Table1[[#This Row],[value]] - Table1[[#This Row],[mean]]) / Table1[[#This Row],[std_dev]]</f>
        <v>1.6298599537622782</v>
      </c>
      <c r="K9109">
        <f>AVERAGEIF(Table1[CountryCode],Table1[[#This Row],[CountryCode]],Table1[z-score])</f>
        <v>0.55967304374969629</v>
      </c>
      <c r="L9109" t="e">
        <f>VLOOKUP(Table1[[#This Row],[CountryCode]],[1]!Table1[#All],1,FALSE)</f>
        <v>#REF!</v>
      </c>
    </row>
    <row r="9110" spans="1:12" hidden="1" x14ac:dyDescent="0.3">
      <c r="A9110" t="s">
        <v>67</v>
      </c>
      <c r="B9110" t="s">
        <v>68</v>
      </c>
      <c r="C9110" t="s">
        <v>129</v>
      </c>
      <c r="D9110" t="s">
        <v>130</v>
      </c>
      <c r="E9110">
        <v>2013</v>
      </c>
      <c r="F9110" s="1">
        <v>82</v>
      </c>
      <c r="G9110">
        <v>2010</v>
      </c>
      <c r="H9110">
        <f>AVERAGEIFS(Table1[value],Table1[IndicatorCode],Table1[[#This Row],[IndicatorCode]])</f>
        <v>72.66514008620689</v>
      </c>
      <c r="I9110" cm="1">
        <f t="array" ref="I9110">_xlfn.STDEV.P(IF(Table1[IndicatorCode]=Table1[[#This Row],[IndicatorCode]],Table1[value]))</f>
        <v>6.3409496564024987</v>
      </c>
      <c r="J9110">
        <f>(Table1[[#This Row],[value]] - Table1[[#This Row],[mean]]) / Table1[[#This Row],[std_dev]]</f>
        <v>1.4721548694788391</v>
      </c>
      <c r="K9110">
        <f>AVERAGEIF(Table1[CountryCode],Table1[[#This Row],[CountryCode]],Table1[z-score])</f>
        <v>0.55967304374969629</v>
      </c>
      <c r="L9110" t="e">
        <f>VLOOKUP(Table1[[#This Row],[CountryCode]],[1]!Table1[#All],1,FALSE)</f>
        <v>#REF!</v>
      </c>
    </row>
    <row r="9111" spans="1:12" hidden="1" x14ac:dyDescent="0.3">
      <c r="A9111" t="s">
        <v>67</v>
      </c>
      <c r="B9111" t="s">
        <v>68</v>
      </c>
      <c r="C9111" t="s">
        <v>129</v>
      </c>
      <c r="D9111" t="s">
        <v>130</v>
      </c>
      <c r="E9111">
        <v>2014</v>
      </c>
      <c r="F9111" s="1">
        <v>83</v>
      </c>
      <c r="G9111">
        <v>2010</v>
      </c>
      <c r="H9111">
        <f>AVERAGEIFS(Table1[value],Table1[IndicatorCode],Table1[[#This Row],[IndicatorCode]])</f>
        <v>72.66514008620689</v>
      </c>
      <c r="I9111" cm="1">
        <f t="array" ref="I9111">_xlfn.STDEV.P(IF(Table1[IndicatorCode]=Table1[[#This Row],[IndicatorCode]],Table1[value]))</f>
        <v>6.3409496564024987</v>
      </c>
      <c r="J9111">
        <f>(Table1[[#This Row],[value]] - Table1[[#This Row],[mean]]) / Table1[[#This Row],[std_dev]]</f>
        <v>1.6298599537622782</v>
      </c>
      <c r="K9111">
        <f>AVERAGEIF(Table1[CountryCode],Table1[[#This Row],[CountryCode]],Table1[z-score])</f>
        <v>0.55967304374969629</v>
      </c>
      <c r="L9111" t="e">
        <f>VLOOKUP(Table1[[#This Row],[CountryCode]],[1]!Table1[#All],1,FALSE)</f>
        <v>#REF!</v>
      </c>
    </row>
    <row r="9112" spans="1:12" hidden="1" x14ac:dyDescent="0.3">
      <c r="A9112" t="s">
        <v>67</v>
      </c>
      <c r="B9112" t="s">
        <v>68</v>
      </c>
      <c r="C9112" t="s">
        <v>129</v>
      </c>
      <c r="D9112" t="s">
        <v>130</v>
      </c>
      <c r="E9112">
        <v>2015</v>
      </c>
      <c r="F9112" s="1">
        <v>82</v>
      </c>
      <c r="G9112">
        <v>2010</v>
      </c>
      <c r="H9112">
        <f>AVERAGEIFS(Table1[value],Table1[IndicatorCode],Table1[[#This Row],[IndicatorCode]])</f>
        <v>72.66514008620689</v>
      </c>
      <c r="I9112" cm="1">
        <f t="array" ref="I9112">_xlfn.STDEV.P(IF(Table1[IndicatorCode]=Table1[[#This Row],[IndicatorCode]],Table1[value]))</f>
        <v>6.3409496564024987</v>
      </c>
      <c r="J9112">
        <f>(Table1[[#This Row],[value]] - Table1[[#This Row],[mean]]) / Table1[[#This Row],[std_dev]]</f>
        <v>1.4721548694788391</v>
      </c>
      <c r="K9112">
        <f>AVERAGEIF(Table1[CountryCode],Table1[[#This Row],[CountryCode]],Table1[z-score])</f>
        <v>0.55967304374969629</v>
      </c>
      <c r="L9112" t="e">
        <f>VLOOKUP(Table1[[#This Row],[CountryCode]],[1]!Table1[#All],1,FALSE)</f>
        <v>#REF!</v>
      </c>
    </row>
    <row r="9113" spans="1:12" hidden="1" x14ac:dyDescent="0.3">
      <c r="A9113" t="s">
        <v>67</v>
      </c>
      <c r="B9113" t="s">
        <v>68</v>
      </c>
      <c r="C9113" t="s">
        <v>129</v>
      </c>
      <c r="D9113" t="s">
        <v>130</v>
      </c>
      <c r="E9113">
        <v>2016</v>
      </c>
      <c r="F9113" s="1">
        <v>82</v>
      </c>
      <c r="G9113">
        <v>2010</v>
      </c>
      <c r="H9113">
        <f>AVERAGEIFS(Table1[value],Table1[IndicatorCode],Table1[[#This Row],[IndicatorCode]])</f>
        <v>72.66514008620689</v>
      </c>
      <c r="I9113" cm="1">
        <f t="array" ref="I9113">_xlfn.STDEV.P(IF(Table1[IndicatorCode]=Table1[[#This Row],[IndicatorCode]],Table1[value]))</f>
        <v>6.3409496564024987</v>
      </c>
      <c r="J9113">
        <f>(Table1[[#This Row],[value]] - Table1[[#This Row],[mean]]) / Table1[[#This Row],[std_dev]]</f>
        <v>1.4721548694788391</v>
      </c>
      <c r="K9113">
        <f>AVERAGEIF(Table1[CountryCode],Table1[[#This Row],[CountryCode]],Table1[z-score])</f>
        <v>0.55967304374969629</v>
      </c>
      <c r="L9113" t="e">
        <f>VLOOKUP(Table1[[#This Row],[CountryCode]],[1]!Table1[#All],1,FALSE)</f>
        <v>#REF!</v>
      </c>
    </row>
    <row r="9114" spans="1:12" hidden="1" x14ac:dyDescent="0.3">
      <c r="A9114" t="s">
        <v>67</v>
      </c>
      <c r="B9114" t="s">
        <v>68</v>
      </c>
      <c r="C9114" t="s">
        <v>129</v>
      </c>
      <c r="D9114" t="s">
        <v>130</v>
      </c>
      <c r="E9114">
        <v>2017</v>
      </c>
      <c r="F9114" s="1">
        <v>83</v>
      </c>
      <c r="G9114">
        <v>2020</v>
      </c>
      <c r="H9114">
        <f>AVERAGEIFS(Table1[value],Table1[IndicatorCode],Table1[[#This Row],[IndicatorCode]])</f>
        <v>72.66514008620689</v>
      </c>
      <c r="I9114" cm="1">
        <f t="array" ref="I9114">_xlfn.STDEV.P(IF(Table1[IndicatorCode]=Table1[[#This Row],[IndicatorCode]],Table1[value]))</f>
        <v>6.3409496564024987</v>
      </c>
      <c r="J9114">
        <f>(Table1[[#This Row],[value]] - Table1[[#This Row],[mean]]) / Table1[[#This Row],[std_dev]]</f>
        <v>1.6298599537622782</v>
      </c>
      <c r="K9114">
        <f>AVERAGEIF(Table1[CountryCode],Table1[[#This Row],[CountryCode]],Table1[z-score])</f>
        <v>0.55967304374969629</v>
      </c>
      <c r="L9114" t="e">
        <f>VLOOKUP(Table1[[#This Row],[CountryCode]],[1]!Table1[#All],1,FALSE)</f>
        <v>#REF!</v>
      </c>
    </row>
    <row r="9115" spans="1:12" hidden="1" x14ac:dyDescent="0.3">
      <c r="A9115" t="s">
        <v>67</v>
      </c>
      <c r="B9115" t="s">
        <v>68</v>
      </c>
      <c r="C9115" t="s">
        <v>129</v>
      </c>
      <c r="D9115" t="s">
        <v>130</v>
      </c>
      <c r="E9115">
        <v>2018</v>
      </c>
      <c r="F9115" s="1">
        <v>83</v>
      </c>
      <c r="G9115">
        <v>2020</v>
      </c>
      <c r="H9115">
        <f>AVERAGEIFS(Table1[value],Table1[IndicatorCode],Table1[[#This Row],[IndicatorCode]])</f>
        <v>72.66514008620689</v>
      </c>
      <c r="I9115" cm="1">
        <f t="array" ref="I9115">_xlfn.STDEV.P(IF(Table1[IndicatorCode]=Table1[[#This Row],[IndicatorCode]],Table1[value]))</f>
        <v>6.3409496564024987</v>
      </c>
      <c r="J9115">
        <f>(Table1[[#This Row],[value]] - Table1[[#This Row],[mean]]) / Table1[[#This Row],[std_dev]]</f>
        <v>1.6298599537622782</v>
      </c>
      <c r="K9115">
        <f>AVERAGEIF(Table1[CountryCode],Table1[[#This Row],[CountryCode]],Table1[z-score])</f>
        <v>0.55967304374969629</v>
      </c>
      <c r="L9115" t="e">
        <f>VLOOKUP(Table1[[#This Row],[CountryCode]],[1]!Table1[#All],1,FALSE)</f>
        <v>#REF!</v>
      </c>
    </row>
    <row r="9116" spans="1:12" hidden="1" x14ac:dyDescent="0.3">
      <c r="A9116" t="s">
        <v>67</v>
      </c>
      <c r="B9116" t="s">
        <v>68</v>
      </c>
      <c r="C9116" t="s">
        <v>129</v>
      </c>
      <c r="D9116" t="s">
        <v>130</v>
      </c>
      <c r="E9116">
        <v>2019</v>
      </c>
      <c r="F9116" s="1">
        <v>83</v>
      </c>
      <c r="G9116">
        <v>2020</v>
      </c>
      <c r="H9116">
        <f>AVERAGEIFS(Table1[value],Table1[IndicatorCode],Table1[[#This Row],[IndicatorCode]])</f>
        <v>72.66514008620689</v>
      </c>
      <c r="I9116" cm="1">
        <f t="array" ref="I9116">_xlfn.STDEV.P(IF(Table1[IndicatorCode]=Table1[[#This Row],[IndicatorCode]],Table1[value]))</f>
        <v>6.3409496564024987</v>
      </c>
      <c r="J9116">
        <f>(Table1[[#This Row],[value]] - Table1[[#This Row],[mean]]) / Table1[[#This Row],[std_dev]]</f>
        <v>1.6298599537622782</v>
      </c>
      <c r="K9116">
        <f>AVERAGEIF(Table1[CountryCode],Table1[[#This Row],[CountryCode]],Table1[z-score])</f>
        <v>0.55967304374969629</v>
      </c>
      <c r="L9116" t="e">
        <f>VLOOKUP(Table1[[#This Row],[CountryCode]],[1]!Table1[#All],1,FALSE)</f>
        <v>#REF!</v>
      </c>
    </row>
    <row r="9117" spans="1:12" x14ac:dyDescent="0.3">
      <c r="A9117" t="s">
        <v>67</v>
      </c>
      <c r="B9117" t="s">
        <v>68</v>
      </c>
      <c r="C9117" t="s">
        <v>129</v>
      </c>
      <c r="D9117" t="s">
        <v>130</v>
      </c>
      <c r="E9117">
        <v>2020</v>
      </c>
      <c r="F9117" s="1">
        <v>83</v>
      </c>
      <c r="G9117">
        <v>2020</v>
      </c>
      <c r="H9117">
        <f>AVERAGEIFS(Table1[value],Table1[IndicatorCode],Table1[[#This Row],[IndicatorCode]])</f>
        <v>72.66514008620689</v>
      </c>
      <c r="I9117" cm="1">
        <f t="array" ref="I9117">_xlfn.STDEV.P(IF(Table1[IndicatorCode]=Table1[[#This Row],[IndicatorCode]],Table1[value]))</f>
        <v>6.3409496564024987</v>
      </c>
      <c r="J9117">
        <f>(Table1[[#This Row],[value]] - Table1[[#This Row],[mean]]) / Table1[[#This Row],[std_dev]]</f>
        <v>1.6298599537622782</v>
      </c>
      <c r="K9117">
        <f>AVERAGEIF(Table1[CountryCode],Table1[[#This Row],[CountryCode]],Table1[z-score])</f>
        <v>0.55967304374969629</v>
      </c>
    </row>
    <row r="9118" spans="1:12" hidden="1" x14ac:dyDescent="0.3">
      <c r="A9118" t="s">
        <v>67</v>
      </c>
      <c r="B9118" t="s">
        <v>68</v>
      </c>
      <c r="C9118" t="s">
        <v>129</v>
      </c>
      <c r="D9118" t="s">
        <v>130</v>
      </c>
      <c r="E9118">
        <v>2021</v>
      </c>
      <c r="F9118" s="1">
        <v>83</v>
      </c>
      <c r="G9118">
        <v>1960</v>
      </c>
      <c r="H9118">
        <f>AVERAGEIFS(Table1[value],Table1[IndicatorCode],Table1[[#This Row],[IndicatorCode]])</f>
        <v>72.66514008620689</v>
      </c>
      <c r="I9118" cm="1">
        <f t="array" ref="I9118">_xlfn.STDEV.P(IF(Table1[IndicatorCode]=Table1[[#This Row],[IndicatorCode]],Table1[value]))</f>
        <v>6.3409496564024987</v>
      </c>
      <c r="J9118">
        <f>(Table1[[#This Row],[value]] - Table1[[#This Row],[mean]]) / Table1[[#This Row],[std_dev]]</f>
        <v>1.6298599537622782</v>
      </c>
      <c r="K9118">
        <f>AVERAGEIF(Table1[CountryCode],Table1[[#This Row],[CountryCode]],Table1[z-score])</f>
        <v>0.55967304374969629</v>
      </c>
      <c r="L9118" t="e">
        <f>VLOOKUP(Table1[[#This Row],[CountryCode]],[1]!Table1[#All],1,FALSE)</f>
        <v>#REF!</v>
      </c>
    </row>
    <row r="9119" spans="1:12" hidden="1" x14ac:dyDescent="0.3">
      <c r="A9119" t="s">
        <v>67</v>
      </c>
      <c r="B9119" t="s">
        <v>68</v>
      </c>
      <c r="C9119" t="s">
        <v>129</v>
      </c>
      <c r="D9119" t="s">
        <v>130</v>
      </c>
      <c r="E9119">
        <v>2022</v>
      </c>
      <c r="F9119" s="1">
        <v>82</v>
      </c>
      <c r="G9119">
        <v>1960</v>
      </c>
      <c r="H9119">
        <f>AVERAGEIFS(Table1[value],Table1[IndicatorCode],Table1[[#This Row],[IndicatorCode]])</f>
        <v>72.66514008620689</v>
      </c>
      <c r="I9119" cm="1">
        <f t="array" ref="I9119">_xlfn.STDEV.P(IF(Table1[IndicatorCode]=Table1[[#This Row],[IndicatorCode]],Table1[value]))</f>
        <v>6.3409496564024987</v>
      </c>
      <c r="J9119">
        <f>(Table1[[#This Row],[value]] - Table1[[#This Row],[mean]]) / Table1[[#This Row],[std_dev]]</f>
        <v>1.4721548694788391</v>
      </c>
      <c r="K9119">
        <f>AVERAGEIF(Table1[CountryCode],Table1[[#This Row],[CountryCode]],Table1[z-score])</f>
        <v>0.55967304374969629</v>
      </c>
      <c r="L9119" t="e">
        <f>VLOOKUP(Table1[[#This Row],[CountryCode]],[1]!Table1[#All],1,FALSE)</f>
        <v>#REF!</v>
      </c>
    </row>
    <row r="9120" spans="1:12" hidden="1" x14ac:dyDescent="0.3">
      <c r="A9120" t="s">
        <v>67</v>
      </c>
      <c r="B9120" t="s">
        <v>68</v>
      </c>
      <c r="C9120" t="s">
        <v>129</v>
      </c>
      <c r="D9120" t="s">
        <v>130</v>
      </c>
      <c r="E9120">
        <v>2023</v>
      </c>
      <c r="F9120" s="1">
        <v>83</v>
      </c>
      <c r="G9120">
        <v>1960</v>
      </c>
      <c r="H9120">
        <f>AVERAGEIFS(Table1[value],Table1[IndicatorCode],Table1[[#This Row],[IndicatorCode]])</f>
        <v>72.66514008620689</v>
      </c>
      <c r="I9120" cm="1">
        <f t="array" ref="I9120">_xlfn.STDEV.P(IF(Table1[IndicatorCode]=Table1[[#This Row],[IndicatorCode]],Table1[value]))</f>
        <v>6.3409496564024987</v>
      </c>
      <c r="J9120">
        <f>(Table1[[#This Row],[value]] - Table1[[#This Row],[mean]]) / Table1[[#This Row],[std_dev]]</f>
        <v>1.6298599537622782</v>
      </c>
      <c r="K9120">
        <f>AVERAGEIF(Table1[CountryCode],Table1[[#This Row],[CountryCode]],Table1[z-score])</f>
        <v>0.55967304374969629</v>
      </c>
      <c r="L9120" t="e">
        <f>VLOOKUP(Table1[[#This Row],[CountryCode]],[1]!Table1[#All],1,FALSE)</f>
        <v>#REF!</v>
      </c>
    </row>
    <row r="9121" spans="1:12" hidden="1" x14ac:dyDescent="0.3">
      <c r="A9121" t="s">
        <v>69</v>
      </c>
      <c r="B9121" t="s">
        <v>70</v>
      </c>
      <c r="C9121" t="s">
        <v>129</v>
      </c>
      <c r="D9121" t="s">
        <v>130</v>
      </c>
      <c r="E9121">
        <v>1960</v>
      </c>
      <c r="F9121" s="1">
        <v>69</v>
      </c>
      <c r="G9121">
        <v>1960</v>
      </c>
      <c r="H9121">
        <f>AVERAGEIFS(Table1[value],Table1[IndicatorCode],Table1[[#This Row],[IndicatorCode]])</f>
        <v>72.66514008620689</v>
      </c>
      <c r="I9121" cm="1">
        <f t="array" ref="I9121">_xlfn.STDEV.P(IF(Table1[IndicatorCode]=Table1[[#This Row],[IndicatorCode]],Table1[value]))</f>
        <v>6.3409496564024987</v>
      </c>
      <c r="J9121">
        <f>(Table1[[#This Row],[value]] - Table1[[#This Row],[mean]]) / Table1[[#This Row],[std_dev]]</f>
        <v>-0.57801122620586864</v>
      </c>
      <c r="K9121">
        <f>AVERAGEIF(Table1[CountryCode],Table1[[#This Row],[CountryCode]],Table1[z-score])</f>
        <v>0.20445029067007053</v>
      </c>
      <c r="L9121" t="e">
        <f>VLOOKUP(Table1[[#This Row],[CountryCode]],[1]!Table1[#All],1,FALSE)</f>
        <v>#REF!</v>
      </c>
    </row>
    <row r="9122" spans="1:12" hidden="1" x14ac:dyDescent="0.3">
      <c r="A9122" t="s">
        <v>69</v>
      </c>
      <c r="B9122" t="s">
        <v>70</v>
      </c>
      <c r="C9122" t="s">
        <v>129</v>
      </c>
      <c r="D9122" t="s">
        <v>130</v>
      </c>
      <c r="E9122">
        <v>1961</v>
      </c>
      <c r="F9122" s="1">
        <v>70</v>
      </c>
      <c r="G9122">
        <v>1960</v>
      </c>
      <c r="H9122">
        <f>AVERAGEIFS(Table1[value],Table1[IndicatorCode],Table1[[#This Row],[IndicatorCode]])</f>
        <v>72.66514008620689</v>
      </c>
      <c r="I9122" cm="1">
        <f t="array" ref="I9122">_xlfn.STDEV.P(IF(Table1[IndicatorCode]=Table1[[#This Row],[IndicatorCode]],Table1[value]))</f>
        <v>6.3409496564024987</v>
      </c>
      <c r="J9122">
        <f>(Table1[[#This Row],[value]] - Table1[[#This Row],[mean]]) / Table1[[#This Row],[std_dev]]</f>
        <v>-0.4203061419224296</v>
      </c>
      <c r="K9122">
        <f>AVERAGEIF(Table1[CountryCode],Table1[[#This Row],[CountryCode]],Table1[z-score])</f>
        <v>0.20445029067007053</v>
      </c>
      <c r="L9122" t="e">
        <f>VLOOKUP(Table1[[#This Row],[CountryCode]],[1]!Table1[#All],1,FALSE)</f>
        <v>#REF!</v>
      </c>
    </row>
    <row r="9123" spans="1:12" hidden="1" x14ac:dyDescent="0.3">
      <c r="A9123" t="s">
        <v>69</v>
      </c>
      <c r="B9123" t="s">
        <v>70</v>
      </c>
      <c r="C9123" t="s">
        <v>129</v>
      </c>
      <c r="D9123" t="s">
        <v>130</v>
      </c>
      <c r="E9123">
        <v>1962</v>
      </c>
      <c r="F9123" s="1">
        <v>69</v>
      </c>
      <c r="G9123">
        <v>1960</v>
      </c>
      <c r="H9123">
        <f>AVERAGEIFS(Table1[value],Table1[IndicatorCode],Table1[[#This Row],[IndicatorCode]])</f>
        <v>72.66514008620689</v>
      </c>
      <c r="I9123" cm="1">
        <f t="array" ref="I9123">_xlfn.STDEV.P(IF(Table1[IndicatorCode]=Table1[[#This Row],[IndicatorCode]],Table1[value]))</f>
        <v>6.3409496564024987</v>
      </c>
      <c r="J9123">
        <f>(Table1[[#This Row],[value]] - Table1[[#This Row],[mean]]) / Table1[[#This Row],[std_dev]]</f>
        <v>-0.57801122620586864</v>
      </c>
      <c r="K9123">
        <f>AVERAGEIF(Table1[CountryCode],Table1[[#This Row],[CountryCode]],Table1[z-score])</f>
        <v>0.20445029067007053</v>
      </c>
      <c r="L9123" t="e">
        <f>VLOOKUP(Table1[[#This Row],[CountryCode]],[1]!Table1[#All],1,FALSE)</f>
        <v>#REF!</v>
      </c>
    </row>
    <row r="9124" spans="1:12" hidden="1" x14ac:dyDescent="0.3">
      <c r="A9124" t="s">
        <v>69</v>
      </c>
      <c r="B9124" t="s">
        <v>70</v>
      </c>
      <c r="C9124" t="s">
        <v>129</v>
      </c>
      <c r="D9124" t="s">
        <v>130</v>
      </c>
      <c r="E9124">
        <v>1963</v>
      </c>
      <c r="F9124" s="1">
        <v>69</v>
      </c>
      <c r="G9124">
        <v>1960</v>
      </c>
      <c r="H9124">
        <f>AVERAGEIFS(Table1[value],Table1[IndicatorCode],Table1[[#This Row],[IndicatorCode]])</f>
        <v>72.66514008620689</v>
      </c>
      <c r="I9124" cm="1">
        <f t="array" ref="I9124">_xlfn.STDEV.P(IF(Table1[IndicatorCode]=Table1[[#This Row],[IndicatorCode]],Table1[value]))</f>
        <v>6.3409496564024987</v>
      </c>
      <c r="J9124">
        <f>(Table1[[#This Row],[value]] - Table1[[#This Row],[mean]]) / Table1[[#This Row],[std_dev]]</f>
        <v>-0.57801122620586864</v>
      </c>
      <c r="K9124">
        <f>AVERAGEIF(Table1[CountryCode],Table1[[#This Row],[CountryCode]],Table1[z-score])</f>
        <v>0.20445029067007053</v>
      </c>
      <c r="L9124" t="e">
        <f>VLOOKUP(Table1[[#This Row],[CountryCode]],[1]!Table1[#All],1,FALSE)</f>
        <v>#REF!</v>
      </c>
    </row>
    <row r="9125" spans="1:12" hidden="1" x14ac:dyDescent="0.3">
      <c r="A9125" t="s">
        <v>69</v>
      </c>
      <c r="B9125" t="s">
        <v>70</v>
      </c>
      <c r="C9125" t="s">
        <v>129</v>
      </c>
      <c r="D9125" t="s">
        <v>130</v>
      </c>
      <c r="E9125">
        <v>1964</v>
      </c>
      <c r="F9125" s="1">
        <v>70</v>
      </c>
      <c r="G9125">
        <v>1960</v>
      </c>
      <c r="H9125">
        <f>AVERAGEIFS(Table1[value],Table1[IndicatorCode],Table1[[#This Row],[IndicatorCode]])</f>
        <v>72.66514008620689</v>
      </c>
      <c r="I9125" cm="1">
        <f t="array" ref="I9125">_xlfn.STDEV.P(IF(Table1[IndicatorCode]=Table1[[#This Row],[IndicatorCode]],Table1[value]))</f>
        <v>6.3409496564024987</v>
      </c>
      <c r="J9125">
        <f>(Table1[[#This Row],[value]] - Table1[[#This Row],[mean]]) / Table1[[#This Row],[std_dev]]</f>
        <v>-0.4203061419224296</v>
      </c>
      <c r="K9125">
        <f>AVERAGEIF(Table1[CountryCode],Table1[[#This Row],[CountryCode]],Table1[z-score])</f>
        <v>0.20445029067007053</v>
      </c>
      <c r="L9125" t="e">
        <f>VLOOKUP(Table1[[#This Row],[CountryCode]],[1]!Table1[#All],1,FALSE)</f>
        <v>#REF!</v>
      </c>
    </row>
    <row r="9126" spans="1:12" hidden="1" x14ac:dyDescent="0.3">
      <c r="A9126" t="s">
        <v>69</v>
      </c>
      <c r="B9126" t="s">
        <v>70</v>
      </c>
      <c r="C9126" t="s">
        <v>129</v>
      </c>
      <c r="D9126" t="s">
        <v>130</v>
      </c>
      <c r="E9126">
        <v>1965</v>
      </c>
      <c r="F9126" s="1">
        <v>70</v>
      </c>
      <c r="G9126">
        <v>1960</v>
      </c>
      <c r="H9126">
        <f>AVERAGEIFS(Table1[value],Table1[IndicatorCode],Table1[[#This Row],[IndicatorCode]])</f>
        <v>72.66514008620689</v>
      </c>
      <c r="I9126" cm="1">
        <f t="array" ref="I9126">_xlfn.STDEV.P(IF(Table1[IndicatorCode]=Table1[[#This Row],[IndicatorCode]],Table1[value]))</f>
        <v>6.3409496564024987</v>
      </c>
      <c r="J9126">
        <f>(Table1[[#This Row],[value]] - Table1[[#This Row],[mean]]) / Table1[[#This Row],[std_dev]]</f>
        <v>-0.4203061419224296</v>
      </c>
      <c r="K9126">
        <f>AVERAGEIF(Table1[CountryCode],Table1[[#This Row],[CountryCode]],Table1[z-score])</f>
        <v>0.20445029067007053</v>
      </c>
      <c r="L9126" t="e">
        <f>VLOOKUP(Table1[[#This Row],[CountryCode]],[1]!Table1[#All],1,FALSE)</f>
        <v>#REF!</v>
      </c>
    </row>
    <row r="9127" spans="1:12" hidden="1" x14ac:dyDescent="0.3">
      <c r="A9127" t="s">
        <v>69</v>
      </c>
      <c r="B9127" t="s">
        <v>70</v>
      </c>
      <c r="C9127" t="s">
        <v>129</v>
      </c>
      <c r="D9127" t="s">
        <v>130</v>
      </c>
      <c r="E9127">
        <v>1966</v>
      </c>
      <c r="F9127" s="1">
        <v>71</v>
      </c>
      <c r="G9127">
        <v>1960</v>
      </c>
      <c r="H9127">
        <f>AVERAGEIFS(Table1[value],Table1[IndicatorCode],Table1[[#This Row],[IndicatorCode]])</f>
        <v>72.66514008620689</v>
      </c>
      <c r="I9127" cm="1">
        <f t="array" ref="I9127">_xlfn.STDEV.P(IF(Table1[IndicatorCode]=Table1[[#This Row],[IndicatorCode]],Table1[value]))</f>
        <v>6.3409496564024987</v>
      </c>
      <c r="J9127">
        <f>(Table1[[#This Row],[value]] - Table1[[#This Row],[mean]]) / Table1[[#This Row],[std_dev]]</f>
        <v>-0.2626010576389905</v>
      </c>
      <c r="K9127">
        <f>AVERAGEIF(Table1[CountryCode],Table1[[#This Row],[CountryCode]],Table1[z-score])</f>
        <v>0.20445029067007053</v>
      </c>
      <c r="L9127" t="e">
        <f>VLOOKUP(Table1[[#This Row],[CountryCode]],[1]!Table1[#All],1,FALSE)</f>
        <v>#REF!</v>
      </c>
    </row>
    <row r="9128" spans="1:12" hidden="1" x14ac:dyDescent="0.3">
      <c r="A9128" t="s">
        <v>69</v>
      </c>
      <c r="B9128" t="s">
        <v>70</v>
      </c>
      <c r="C9128" t="s">
        <v>129</v>
      </c>
      <c r="D9128" t="s">
        <v>130</v>
      </c>
      <c r="E9128">
        <v>1967</v>
      </c>
      <c r="F9128" s="1">
        <v>71</v>
      </c>
      <c r="G9128">
        <v>1970</v>
      </c>
      <c r="H9128">
        <f>AVERAGEIFS(Table1[value],Table1[IndicatorCode],Table1[[#This Row],[IndicatorCode]])</f>
        <v>72.66514008620689</v>
      </c>
      <c r="I9128" cm="1">
        <f t="array" ref="I9128">_xlfn.STDEV.P(IF(Table1[IndicatorCode]=Table1[[#This Row],[IndicatorCode]],Table1[value]))</f>
        <v>6.3409496564024987</v>
      </c>
      <c r="J9128">
        <f>(Table1[[#This Row],[value]] - Table1[[#This Row],[mean]]) / Table1[[#This Row],[std_dev]]</f>
        <v>-0.2626010576389905</v>
      </c>
      <c r="K9128">
        <f>AVERAGEIF(Table1[CountryCode],Table1[[#This Row],[CountryCode]],Table1[z-score])</f>
        <v>0.20445029067007053</v>
      </c>
      <c r="L9128" t="e">
        <f>VLOOKUP(Table1[[#This Row],[CountryCode]],[1]!Table1[#All],1,FALSE)</f>
        <v>#REF!</v>
      </c>
    </row>
    <row r="9129" spans="1:12" hidden="1" x14ac:dyDescent="0.3">
      <c r="A9129" t="s">
        <v>69</v>
      </c>
      <c r="B9129" t="s">
        <v>70</v>
      </c>
      <c r="C9129" t="s">
        <v>129</v>
      </c>
      <c r="D9129" t="s">
        <v>130</v>
      </c>
      <c r="E9129">
        <v>1968</v>
      </c>
      <c r="F9129" s="1">
        <v>71</v>
      </c>
      <c r="G9129">
        <v>1970</v>
      </c>
      <c r="H9129">
        <f>AVERAGEIFS(Table1[value],Table1[IndicatorCode],Table1[[#This Row],[IndicatorCode]])</f>
        <v>72.66514008620689</v>
      </c>
      <c r="I9129" cm="1">
        <f t="array" ref="I9129">_xlfn.STDEV.P(IF(Table1[IndicatorCode]=Table1[[#This Row],[IndicatorCode]],Table1[value]))</f>
        <v>6.3409496564024987</v>
      </c>
      <c r="J9129">
        <f>(Table1[[#This Row],[value]] - Table1[[#This Row],[mean]]) / Table1[[#This Row],[std_dev]]</f>
        <v>-0.2626010576389905</v>
      </c>
      <c r="K9129">
        <f>AVERAGEIF(Table1[CountryCode],Table1[[#This Row],[CountryCode]],Table1[z-score])</f>
        <v>0.20445029067007053</v>
      </c>
      <c r="L9129" t="e">
        <f>VLOOKUP(Table1[[#This Row],[CountryCode]],[1]!Table1[#All],1,FALSE)</f>
        <v>#REF!</v>
      </c>
    </row>
    <row r="9130" spans="1:12" hidden="1" x14ac:dyDescent="0.3">
      <c r="A9130" t="s">
        <v>69</v>
      </c>
      <c r="B9130" t="s">
        <v>70</v>
      </c>
      <c r="C9130" t="s">
        <v>129</v>
      </c>
      <c r="D9130" t="s">
        <v>130</v>
      </c>
      <c r="E9130">
        <v>1969</v>
      </c>
      <c r="F9130" s="1">
        <v>71</v>
      </c>
      <c r="G9130">
        <v>1970</v>
      </c>
      <c r="H9130">
        <f>AVERAGEIFS(Table1[value],Table1[IndicatorCode],Table1[[#This Row],[IndicatorCode]])</f>
        <v>72.66514008620689</v>
      </c>
      <c r="I9130" cm="1">
        <f t="array" ref="I9130">_xlfn.STDEV.P(IF(Table1[IndicatorCode]=Table1[[#This Row],[IndicatorCode]],Table1[value]))</f>
        <v>6.3409496564024987</v>
      </c>
      <c r="J9130">
        <f>(Table1[[#This Row],[value]] - Table1[[#This Row],[mean]]) / Table1[[#This Row],[std_dev]]</f>
        <v>-0.2626010576389905</v>
      </c>
      <c r="K9130">
        <f>AVERAGEIF(Table1[CountryCode],Table1[[#This Row],[CountryCode]],Table1[z-score])</f>
        <v>0.20445029067007053</v>
      </c>
      <c r="L9130" t="e">
        <f>VLOOKUP(Table1[[#This Row],[CountryCode]],[1]!Table1[#All],1,FALSE)</f>
        <v>#REF!</v>
      </c>
    </row>
    <row r="9131" spans="1:12" hidden="1" x14ac:dyDescent="0.3">
      <c r="A9131" t="s">
        <v>69</v>
      </c>
      <c r="B9131" t="s">
        <v>70</v>
      </c>
      <c r="C9131" t="s">
        <v>129</v>
      </c>
      <c r="D9131" t="s">
        <v>130</v>
      </c>
      <c r="E9131">
        <v>1970</v>
      </c>
      <c r="F9131" s="1">
        <v>72</v>
      </c>
      <c r="G9131">
        <v>1970</v>
      </c>
      <c r="H9131">
        <f>AVERAGEIFS(Table1[value],Table1[IndicatorCode],Table1[[#This Row],[IndicatorCode]])</f>
        <v>72.66514008620689</v>
      </c>
      <c r="I9131" cm="1">
        <f t="array" ref="I9131">_xlfn.STDEV.P(IF(Table1[IndicatorCode]=Table1[[#This Row],[IndicatorCode]],Table1[value]))</f>
        <v>6.3409496564024987</v>
      </c>
      <c r="J9131">
        <f>(Table1[[#This Row],[value]] - Table1[[#This Row],[mean]]) / Table1[[#This Row],[std_dev]]</f>
        <v>-0.10489597335555145</v>
      </c>
      <c r="K9131">
        <f>AVERAGEIF(Table1[CountryCode],Table1[[#This Row],[CountryCode]],Table1[z-score])</f>
        <v>0.20445029067007053</v>
      </c>
      <c r="L9131" t="e">
        <f>VLOOKUP(Table1[[#This Row],[CountryCode]],[1]!Table1[#All],1,FALSE)</f>
        <v>#REF!</v>
      </c>
    </row>
    <row r="9132" spans="1:12" hidden="1" x14ac:dyDescent="0.3">
      <c r="A9132" t="s">
        <v>69</v>
      </c>
      <c r="B9132" t="s">
        <v>70</v>
      </c>
      <c r="C9132" t="s">
        <v>129</v>
      </c>
      <c r="D9132" t="s">
        <v>130</v>
      </c>
      <c r="E9132">
        <v>1971</v>
      </c>
      <c r="F9132" s="1">
        <v>72</v>
      </c>
      <c r="G9132">
        <v>1970</v>
      </c>
      <c r="H9132">
        <f>AVERAGEIFS(Table1[value],Table1[IndicatorCode],Table1[[#This Row],[IndicatorCode]])</f>
        <v>72.66514008620689</v>
      </c>
      <c r="I9132" cm="1">
        <f t="array" ref="I9132">_xlfn.STDEV.P(IF(Table1[IndicatorCode]=Table1[[#This Row],[IndicatorCode]],Table1[value]))</f>
        <v>6.3409496564024987</v>
      </c>
      <c r="J9132">
        <f>(Table1[[#This Row],[value]] - Table1[[#This Row],[mean]]) / Table1[[#This Row],[std_dev]]</f>
        <v>-0.10489597335555145</v>
      </c>
      <c r="K9132">
        <f>AVERAGEIF(Table1[CountryCode],Table1[[#This Row],[CountryCode]],Table1[z-score])</f>
        <v>0.20445029067007053</v>
      </c>
      <c r="L9132" t="e">
        <f>VLOOKUP(Table1[[#This Row],[CountryCode]],[1]!Table1[#All],1,FALSE)</f>
        <v>#REF!</v>
      </c>
    </row>
    <row r="9133" spans="1:12" hidden="1" x14ac:dyDescent="0.3">
      <c r="A9133" t="s">
        <v>69</v>
      </c>
      <c r="B9133" t="s">
        <v>70</v>
      </c>
      <c r="C9133" t="s">
        <v>129</v>
      </c>
      <c r="D9133" t="s">
        <v>130</v>
      </c>
      <c r="E9133">
        <v>1972</v>
      </c>
      <c r="F9133" s="1">
        <v>72</v>
      </c>
      <c r="G9133">
        <v>1970</v>
      </c>
      <c r="H9133">
        <f>AVERAGEIFS(Table1[value],Table1[IndicatorCode],Table1[[#This Row],[IndicatorCode]])</f>
        <v>72.66514008620689</v>
      </c>
      <c r="I9133" cm="1">
        <f t="array" ref="I9133">_xlfn.STDEV.P(IF(Table1[IndicatorCode]=Table1[[#This Row],[IndicatorCode]],Table1[value]))</f>
        <v>6.3409496564024987</v>
      </c>
      <c r="J9133">
        <f>(Table1[[#This Row],[value]] - Table1[[#This Row],[mean]]) / Table1[[#This Row],[std_dev]]</f>
        <v>-0.10489597335555145</v>
      </c>
      <c r="K9133">
        <f>AVERAGEIF(Table1[CountryCode],Table1[[#This Row],[CountryCode]],Table1[z-score])</f>
        <v>0.20445029067007053</v>
      </c>
      <c r="L9133" t="e">
        <f>VLOOKUP(Table1[[#This Row],[CountryCode]],[1]!Table1[#All],1,FALSE)</f>
        <v>#REF!</v>
      </c>
    </row>
    <row r="9134" spans="1:12" hidden="1" x14ac:dyDescent="0.3">
      <c r="A9134" t="s">
        <v>69</v>
      </c>
      <c r="B9134" t="s">
        <v>70</v>
      </c>
      <c r="C9134" t="s">
        <v>129</v>
      </c>
      <c r="D9134" t="s">
        <v>130</v>
      </c>
      <c r="E9134">
        <v>1973</v>
      </c>
      <c r="F9134" s="1">
        <v>72</v>
      </c>
      <c r="G9134">
        <v>1970</v>
      </c>
      <c r="H9134">
        <f>AVERAGEIFS(Table1[value],Table1[IndicatorCode],Table1[[#This Row],[IndicatorCode]])</f>
        <v>72.66514008620689</v>
      </c>
      <c r="I9134" cm="1">
        <f t="array" ref="I9134">_xlfn.STDEV.P(IF(Table1[IndicatorCode]=Table1[[#This Row],[IndicatorCode]],Table1[value]))</f>
        <v>6.3409496564024987</v>
      </c>
      <c r="J9134">
        <f>(Table1[[#This Row],[value]] - Table1[[#This Row],[mean]]) / Table1[[#This Row],[std_dev]]</f>
        <v>-0.10489597335555145</v>
      </c>
      <c r="K9134">
        <f>AVERAGEIF(Table1[CountryCode],Table1[[#This Row],[CountryCode]],Table1[z-score])</f>
        <v>0.20445029067007053</v>
      </c>
      <c r="L9134" t="e">
        <f>VLOOKUP(Table1[[#This Row],[CountryCode]],[1]!Table1[#All],1,FALSE)</f>
        <v>#REF!</v>
      </c>
    </row>
    <row r="9135" spans="1:12" hidden="1" x14ac:dyDescent="0.3">
      <c r="A9135" t="s">
        <v>69</v>
      </c>
      <c r="B9135" t="s">
        <v>70</v>
      </c>
      <c r="C9135" t="s">
        <v>129</v>
      </c>
      <c r="D9135" t="s">
        <v>130</v>
      </c>
      <c r="E9135">
        <v>1974</v>
      </c>
      <c r="F9135" s="1">
        <v>73</v>
      </c>
      <c r="G9135">
        <v>1970</v>
      </c>
      <c r="H9135">
        <f>AVERAGEIFS(Table1[value],Table1[IndicatorCode],Table1[[#This Row],[IndicatorCode]])</f>
        <v>72.66514008620689</v>
      </c>
      <c r="I9135" cm="1">
        <f t="array" ref="I9135">_xlfn.STDEV.P(IF(Table1[IndicatorCode]=Table1[[#This Row],[IndicatorCode]],Table1[value]))</f>
        <v>6.3409496564024987</v>
      </c>
      <c r="J9135">
        <f>(Table1[[#This Row],[value]] - Table1[[#This Row],[mean]]) / Table1[[#This Row],[std_dev]]</f>
        <v>5.2809110927887599E-2</v>
      </c>
      <c r="K9135">
        <f>AVERAGEIF(Table1[CountryCode],Table1[[#This Row],[CountryCode]],Table1[z-score])</f>
        <v>0.20445029067007053</v>
      </c>
      <c r="L9135" t="e">
        <f>VLOOKUP(Table1[[#This Row],[CountryCode]],[1]!Table1[#All],1,FALSE)</f>
        <v>#REF!</v>
      </c>
    </row>
    <row r="9136" spans="1:12" hidden="1" x14ac:dyDescent="0.3">
      <c r="A9136" t="s">
        <v>69</v>
      </c>
      <c r="B9136" t="s">
        <v>70</v>
      </c>
      <c r="C9136" t="s">
        <v>129</v>
      </c>
      <c r="D9136" t="s">
        <v>130</v>
      </c>
      <c r="E9136">
        <v>1975</v>
      </c>
      <c r="F9136" s="1">
        <v>73</v>
      </c>
      <c r="G9136">
        <v>1970</v>
      </c>
      <c r="H9136">
        <f>AVERAGEIFS(Table1[value],Table1[IndicatorCode],Table1[[#This Row],[IndicatorCode]])</f>
        <v>72.66514008620689</v>
      </c>
      <c r="I9136" cm="1">
        <f t="array" ref="I9136">_xlfn.STDEV.P(IF(Table1[IndicatorCode]=Table1[[#This Row],[IndicatorCode]],Table1[value]))</f>
        <v>6.3409496564024987</v>
      </c>
      <c r="J9136">
        <f>(Table1[[#This Row],[value]] - Table1[[#This Row],[mean]]) / Table1[[#This Row],[std_dev]]</f>
        <v>5.2809110927887599E-2</v>
      </c>
      <c r="K9136">
        <f>AVERAGEIF(Table1[CountryCode],Table1[[#This Row],[CountryCode]],Table1[z-score])</f>
        <v>0.20445029067007053</v>
      </c>
      <c r="L9136" t="e">
        <f>VLOOKUP(Table1[[#This Row],[CountryCode]],[1]!Table1[#All],1,FALSE)</f>
        <v>#REF!</v>
      </c>
    </row>
    <row r="9137" spans="1:12" hidden="1" x14ac:dyDescent="0.3">
      <c r="A9137" t="s">
        <v>69</v>
      </c>
      <c r="B9137" t="s">
        <v>70</v>
      </c>
      <c r="C9137" t="s">
        <v>129</v>
      </c>
      <c r="D9137" t="s">
        <v>130</v>
      </c>
      <c r="E9137">
        <v>1976</v>
      </c>
      <c r="F9137" s="1">
        <v>73</v>
      </c>
      <c r="G9137">
        <v>1970</v>
      </c>
      <c r="H9137">
        <f>AVERAGEIFS(Table1[value],Table1[IndicatorCode],Table1[[#This Row],[IndicatorCode]])</f>
        <v>72.66514008620689</v>
      </c>
      <c r="I9137" cm="1">
        <f t="array" ref="I9137">_xlfn.STDEV.P(IF(Table1[IndicatorCode]=Table1[[#This Row],[IndicatorCode]],Table1[value]))</f>
        <v>6.3409496564024987</v>
      </c>
      <c r="J9137">
        <f>(Table1[[#This Row],[value]] - Table1[[#This Row],[mean]]) / Table1[[#This Row],[std_dev]]</f>
        <v>5.2809110927887599E-2</v>
      </c>
      <c r="K9137">
        <f>AVERAGEIF(Table1[CountryCode],Table1[[#This Row],[CountryCode]],Table1[z-score])</f>
        <v>0.20445029067007053</v>
      </c>
      <c r="L9137" t="e">
        <f>VLOOKUP(Table1[[#This Row],[CountryCode]],[1]!Table1[#All],1,FALSE)</f>
        <v>#REF!</v>
      </c>
    </row>
    <row r="9138" spans="1:12" hidden="1" x14ac:dyDescent="0.3">
      <c r="A9138" t="s">
        <v>69</v>
      </c>
      <c r="B9138" t="s">
        <v>70</v>
      </c>
      <c r="C9138" t="s">
        <v>129</v>
      </c>
      <c r="D9138" t="s">
        <v>130</v>
      </c>
      <c r="E9138">
        <v>1977</v>
      </c>
      <c r="F9138" s="1">
        <v>73</v>
      </c>
      <c r="G9138">
        <v>1980</v>
      </c>
      <c r="H9138">
        <f>AVERAGEIFS(Table1[value],Table1[IndicatorCode],Table1[[#This Row],[IndicatorCode]])</f>
        <v>72.66514008620689</v>
      </c>
      <c r="I9138" cm="1">
        <f t="array" ref="I9138">_xlfn.STDEV.P(IF(Table1[IndicatorCode]=Table1[[#This Row],[IndicatorCode]],Table1[value]))</f>
        <v>6.3409496564024987</v>
      </c>
      <c r="J9138">
        <f>(Table1[[#This Row],[value]] - Table1[[#This Row],[mean]]) / Table1[[#This Row],[std_dev]]</f>
        <v>5.2809110927887599E-2</v>
      </c>
      <c r="K9138">
        <f>AVERAGEIF(Table1[CountryCode],Table1[[#This Row],[CountryCode]],Table1[z-score])</f>
        <v>0.20445029067007053</v>
      </c>
      <c r="L9138" t="e">
        <f>VLOOKUP(Table1[[#This Row],[CountryCode]],[1]!Table1[#All],1,FALSE)</f>
        <v>#REF!</v>
      </c>
    </row>
    <row r="9139" spans="1:12" hidden="1" x14ac:dyDescent="0.3">
      <c r="A9139" t="s">
        <v>69</v>
      </c>
      <c r="B9139" t="s">
        <v>70</v>
      </c>
      <c r="C9139" t="s">
        <v>129</v>
      </c>
      <c r="D9139" t="s">
        <v>130</v>
      </c>
      <c r="E9139">
        <v>1978</v>
      </c>
      <c r="F9139" s="1">
        <v>74</v>
      </c>
      <c r="G9139">
        <v>1980</v>
      </c>
      <c r="H9139">
        <f>AVERAGEIFS(Table1[value],Table1[IndicatorCode],Table1[[#This Row],[IndicatorCode]])</f>
        <v>72.66514008620689</v>
      </c>
      <c r="I9139" cm="1">
        <f t="array" ref="I9139">_xlfn.STDEV.P(IF(Table1[IndicatorCode]=Table1[[#This Row],[IndicatorCode]],Table1[value]))</f>
        <v>6.3409496564024987</v>
      </c>
      <c r="J9139">
        <f>(Table1[[#This Row],[value]] - Table1[[#This Row],[mean]]) / Table1[[#This Row],[std_dev]]</f>
        <v>0.21051419521132667</v>
      </c>
      <c r="K9139">
        <f>AVERAGEIF(Table1[CountryCode],Table1[[#This Row],[CountryCode]],Table1[z-score])</f>
        <v>0.20445029067007053</v>
      </c>
      <c r="L9139" t="e">
        <f>VLOOKUP(Table1[[#This Row],[CountryCode]],[1]!Table1[#All],1,FALSE)</f>
        <v>#REF!</v>
      </c>
    </row>
    <row r="9140" spans="1:12" hidden="1" x14ac:dyDescent="0.3">
      <c r="A9140" t="s">
        <v>69</v>
      </c>
      <c r="B9140" t="s">
        <v>70</v>
      </c>
      <c r="C9140" t="s">
        <v>129</v>
      </c>
      <c r="D9140" t="s">
        <v>130</v>
      </c>
      <c r="E9140">
        <v>1979</v>
      </c>
      <c r="F9140" s="1">
        <v>74</v>
      </c>
      <c r="G9140">
        <v>1980</v>
      </c>
      <c r="H9140">
        <f>AVERAGEIFS(Table1[value],Table1[IndicatorCode],Table1[[#This Row],[IndicatorCode]])</f>
        <v>72.66514008620689</v>
      </c>
      <c r="I9140" cm="1">
        <f t="array" ref="I9140">_xlfn.STDEV.P(IF(Table1[IndicatorCode]=Table1[[#This Row],[IndicatorCode]],Table1[value]))</f>
        <v>6.3409496564024987</v>
      </c>
      <c r="J9140">
        <f>(Table1[[#This Row],[value]] - Table1[[#This Row],[mean]]) / Table1[[#This Row],[std_dev]]</f>
        <v>0.21051419521132667</v>
      </c>
      <c r="K9140">
        <f>AVERAGEIF(Table1[CountryCode],Table1[[#This Row],[CountryCode]],Table1[z-score])</f>
        <v>0.20445029067007053</v>
      </c>
      <c r="L9140" t="e">
        <f>VLOOKUP(Table1[[#This Row],[CountryCode]],[1]!Table1[#All],1,FALSE)</f>
        <v>#REF!</v>
      </c>
    </row>
    <row r="9141" spans="1:12" hidden="1" x14ac:dyDescent="0.3">
      <c r="A9141" t="s">
        <v>69</v>
      </c>
      <c r="B9141" t="s">
        <v>70</v>
      </c>
      <c r="C9141" t="s">
        <v>129</v>
      </c>
      <c r="D9141" t="s">
        <v>130</v>
      </c>
      <c r="E9141">
        <v>1980</v>
      </c>
      <c r="F9141" s="1">
        <v>74</v>
      </c>
      <c r="G9141">
        <v>1980</v>
      </c>
      <c r="H9141">
        <f>AVERAGEIFS(Table1[value],Table1[IndicatorCode],Table1[[#This Row],[IndicatorCode]])</f>
        <v>72.66514008620689</v>
      </c>
      <c r="I9141" cm="1">
        <f t="array" ref="I9141">_xlfn.STDEV.P(IF(Table1[IndicatorCode]=Table1[[#This Row],[IndicatorCode]],Table1[value]))</f>
        <v>6.3409496564024987</v>
      </c>
      <c r="J9141">
        <f>(Table1[[#This Row],[value]] - Table1[[#This Row],[mean]]) / Table1[[#This Row],[std_dev]]</f>
        <v>0.21051419521132667</v>
      </c>
      <c r="K9141">
        <f>AVERAGEIF(Table1[CountryCode],Table1[[#This Row],[CountryCode]],Table1[z-score])</f>
        <v>0.20445029067007053</v>
      </c>
      <c r="L9141" t="e">
        <f>VLOOKUP(Table1[[#This Row],[CountryCode]],[1]!Table1[#All],1,FALSE)</f>
        <v>#REF!</v>
      </c>
    </row>
    <row r="9142" spans="1:12" hidden="1" x14ac:dyDescent="0.3">
      <c r="A9142" t="s">
        <v>69</v>
      </c>
      <c r="B9142" t="s">
        <v>70</v>
      </c>
      <c r="C9142" t="s">
        <v>129</v>
      </c>
      <c r="D9142" t="s">
        <v>130</v>
      </c>
      <c r="E9142">
        <v>1981</v>
      </c>
      <c r="F9142" s="1">
        <v>74</v>
      </c>
      <c r="G9142">
        <v>1980</v>
      </c>
      <c r="H9142">
        <f>AVERAGEIFS(Table1[value],Table1[IndicatorCode],Table1[[#This Row],[IndicatorCode]])</f>
        <v>72.66514008620689</v>
      </c>
      <c r="I9142" cm="1">
        <f t="array" ref="I9142">_xlfn.STDEV.P(IF(Table1[IndicatorCode]=Table1[[#This Row],[IndicatorCode]],Table1[value]))</f>
        <v>6.3409496564024987</v>
      </c>
      <c r="J9142">
        <f>(Table1[[#This Row],[value]] - Table1[[#This Row],[mean]]) / Table1[[#This Row],[std_dev]]</f>
        <v>0.21051419521132667</v>
      </c>
      <c r="K9142">
        <f>AVERAGEIF(Table1[CountryCode],Table1[[#This Row],[CountryCode]],Table1[z-score])</f>
        <v>0.20445029067007053</v>
      </c>
      <c r="L9142" t="e">
        <f>VLOOKUP(Table1[[#This Row],[CountryCode]],[1]!Table1[#All],1,FALSE)</f>
        <v>#REF!</v>
      </c>
    </row>
    <row r="9143" spans="1:12" hidden="1" x14ac:dyDescent="0.3">
      <c r="A9143" t="s">
        <v>69</v>
      </c>
      <c r="B9143" t="s">
        <v>70</v>
      </c>
      <c r="C9143" t="s">
        <v>129</v>
      </c>
      <c r="D9143" t="s">
        <v>130</v>
      </c>
      <c r="E9143">
        <v>1982</v>
      </c>
      <c r="F9143" s="1">
        <v>75</v>
      </c>
      <c r="G9143">
        <v>1980</v>
      </c>
      <c r="H9143">
        <f>AVERAGEIFS(Table1[value],Table1[IndicatorCode],Table1[[#This Row],[IndicatorCode]])</f>
        <v>72.66514008620689</v>
      </c>
      <c r="I9143" cm="1">
        <f t="array" ref="I9143">_xlfn.STDEV.P(IF(Table1[IndicatorCode]=Table1[[#This Row],[IndicatorCode]],Table1[value]))</f>
        <v>6.3409496564024987</v>
      </c>
      <c r="J9143">
        <f>(Table1[[#This Row],[value]] - Table1[[#This Row],[mean]]) / Table1[[#This Row],[std_dev]]</f>
        <v>0.36821927949476574</v>
      </c>
      <c r="K9143">
        <f>AVERAGEIF(Table1[CountryCode],Table1[[#This Row],[CountryCode]],Table1[z-score])</f>
        <v>0.20445029067007053</v>
      </c>
      <c r="L9143" t="e">
        <f>VLOOKUP(Table1[[#This Row],[CountryCode]],[1]!Table1[#All],1,FALSE)</f>
        <v>#REF!</v>
      </c>
    </row>
    <row r="9144" spans="1:12" hidden="1" x14ac:dyDescent="0.3">
      <c r="A9144" t="s">
        <v>69</v>
      </c>
      <c r="B9144" t="s">
        <v>70</v>
      </c>
      <c r="C9144" t="s">
        <v>129</v>
      </c>
      <c r="D9144" t="s">
        <v>130</v>
      </c>
      <c r="E9144">
        <v>1983</v>
      </c>
      <c r="F9144" s="1">
        <v>75</v>
      </c>
      <c r="G9144">
        <v>1980</v>
      </c>
      <c r="H9144">
        <f>AVERAGEIFS(Table1[value],Table1[IndicatorCode],Table1[[#This Row],[IndicatorCode]])</f>
        <v>72.66514008620689</v>
      </c>
      <c r="I9144" cm="1">
        <f t="array" ref="I9144">_xlfn.STDEV.P(IF(Table1[IndicatorCode]=Table1[[#This Row],[IndicatorCode]],Table1[value]))</f>
        <v>6.3409496564024987</v>
      </c>
      <c r="J9144">
        <f>(Table1[[#This Row],[value]] - Table1[[#This Row],[mean]]) / Table1[[#This Row],[std_dev]]</f>
        <v>0.36821927949476574</v>
      </c>
      <c r="K9144">
        <f>AVERAGEIF(Table1[CountryCode],Table1[[#This Row],[CountryCode]],Table1[z-score])</f>
        <v>0.20445029067007053</v>
      </c>
      <c r="L9144" t="e">
        <f>VLOOKUP(Table1[[#This Row],[CountryCode]],[1]!Table1[#All],1,FALSE)</f>
        <v>#REF!</v>
      </c>
    </row>
    <row r="9145" spans="1:12" hidden="1" x14ac:dyDescent="0.3">
      <c r="A9145" t="s">
        <v>69</v>
      </c>
      <c r="B9145" t="s">
        <v>70</v>
      </c>
      <c r="C9145" t="s">
        <v>129</v>
      </c>
      <c r="D9145" t="s">
        <v>130</v>
      </c>
      <c r="E9145">
        <v>1984</v>
      </c>
      <c r="F9145" s="1">
        <v>75</v>
      </c>
      <c r="G9145">
        <v>1980</v>
      </c>
      <c r="H9145">
        <f>AVERAGEIFS(Table1[value],Table1[IndicatorCode],Table1[[#This Row],[IndicatorCode]])</f>
        <v>72.66514008620689</v>
      </c>
      <c r="I9145" cm="1">
        <f t="array" ref="I9145">_xlfn.STDEV.P(IF(Table1[IndicatorCode]=Table1[[#This Row],[IndicatorCode]],Table1[value]))</f>
        <v>6.3409496564024987</v>
      </c>
      <c r="J9145">
        <f>(Table1[[#This Row],[value]] - Table1[[#This Row],[mean]]) / Table1[[#This Row],[std_dev]]</f>
        <v>0.36821927949476574</v>
      </c>
      <c r="K9145">
        <f>AVERAGEIF(Table1[CountryCode],Table1[[#This Row],[CountryCode]],Table1[z-score])</f>
        <v>0.20445029067007053</v>
      </c>
      <c r="L9145" t="e">
        <f>VLOOKUP(Table1[[#This Row],[CountryCode]],[1]!Table1[#All],1,FALSE)</f>
        <v>#REF!</v>
      </c>
    </row>
    <row r="9146" spans="1:12" hidden="1" x14ac:dyDescent="0.3">
      <c r="A9146" t="s">
        <v>69</v>
      </c>
      <c r="B9146" t="s">
        <v>70</v>
      </c>
      <c r="C9146" t="s">
        <v>129</v>
      </c>
      <c r="D9146" t="s">
        <v>130</v>
      </c>
      <c r="E9146">
        <v>1985</v>
      </c>
      <c r="F9146" s="1">
        <v>75</v>
      </c>
      <c r="G9146">
        <v>1980</v>
      </c>
      <c r="H9146">
        <f>AVERAGEIFS(Table1[value],Table1[IndicatorCode],Table1[[#This Row],[IndicatorCode]])</f>
        <v>72.66514008620689</v>
      </c>
      <c r="I9146" cm="1">
        <f t="array" ref="I9146">_xlfn.STDEV.P(IF(Table1[IndicatorCode]=Table1[[#This Row],[IndicatorCode]],Table1[value]))</f>
        <v>6.3409496564024987</v>
      </c>
      <c r="J9146">
        <f>(Table1[[#This Row],[value]] - Table1[[#This Row],[mean]]) / Table1[[#This Row],[std_dev]]</f>
        <v>0.36821927949476574</v>
      </c>
      <c r="K9146">
        <f>AVERAGEIF(Table1[CountryCode],Table1[[#This Row],[CountryCode]],Table1[z-score])</f>
        <v>0.20445029067007053</v>
      </c>
      <c r="L9146" t="e">
        <f>VLOOKUP(Table1[[#This Row],[CountryCode]],[1]!Table1[#All],1,FALSE)</f>
        <v>#REF!</v>
      </c>
    </row>
    <row r="9147" spans="1:12" hidden="1" x14ac:dyDescent="0.3">
      <c r="A9147" t="s">
        <v>69</v>
      </c>
      <c r="B9147" t="s">
        <v>70</v>
      </c>
      <c r="C9147" t="s">
        <v>129</v>
      </c>
      <c r="D9147" t="s">
        <v>130</v>
      </c>
      <c r="E9147">
        <v>1986</v>
      </c>
      <c r="F9147" s="1">
        <v>76</v>
      </c>
      <c r="G9147">
        <v>1980</v>
      </c>
      <c r="H9147">
        <f>AVERAGEIFS(Table1[value],Table1[IndicatorCode],Table1[[#This Row],[IndicatorCode]])</f>
        <v>72.66514008620689</v>
      </c>
      <c r="I9147" cm="1">
        <f t="array" ref="I9147">_xlfn.STDEV.P(IF(Table1[IndicatorCode]=Table1[[#This Row],[IndicatorCode]],Table1[value]))</f>
        <v>6.3409496564024987</v>
      </c>
      <c r="J9147">
        <f>(Table1[[#This Row],[value]] - Table1[[#This Row],[mean]]) / Table1[[#This Row],[std_dev]]</f>
        <v>0.52592436377820473</v>
      </c>
      <c r="K9147">
        <f>AVERAGEIF(Table1[CountryCode],Table1[[#This Row],[CountryCode]],Table1[z-score])</f>
        <v>0.20445029067007053</v>
      </c>
      <c r="L9147" t="e">
        <f>VLOOKUP(Table1[[#This Row],[CountryCode]],[1]!Table1[#All],1,FALSE)</f>
        <v>#REF!</v>
      </c>
    </row>
    <row r="9148" spans="1:12" hidden="1" x14ac:dyDescent="0.3">
      <c r="A9148" t="s">
        <v>69</v>
      </c>
      <c r="B9148" t="s">
        <v>70</v>
      </c>
      <c r="C9148" t="s">
        <v>129</v>
      </c>
      <c r="D9148" t="s">
        <v>130</v>
      </c>
      <c r="E9148">
        <v>1987</v>
      </c>
      <c r="F9148" s="1">
        <v>76</v>
      </c>
      <c r="G9148">
        <v>1990</v>
      </c>
      <c r="H9148">
        <f>AVERAGEIFS(Table1[value],Table1[IndicatorCode],Table1[[#This Row],[IndicatorCode]])</f>
        <v>72.66514008620689</v>
      </c>
      <c r="I9148" cm="1">
        <f t="array" ref="I9148">_xlfn.STDEV.P(IF(Table1[IndicatorCode]=Table1[[#This Row],[IndicatorCode]],Table1[value]))</f>
        <v>6.3409496564024987</v>
      </c>
      <c r="J9148">
        <f>(Table1[[#This Row],[value]] - Table1[[#This Row],[mean]]) / Table1[[#This Row],[std_dev]]</f>
        <v>0.52592436377820473</v>
      </c>
      <c r="K9148">
        <f>AVERAGEIF(Table1[CountryCode],Table1[[#This Row],[CountryCode]],Table1[z-score])</f>
        <v>0.20445029067007053</v>
      </c>
      <c r="L9148" t="e">
        <f>VLOOKUP(Table1[[#This Row],[CountryCode]],[1]!Table1[#All],1,FALSE)</f>
        <v>#REF!</v>
      </c>
    </row>
    <row r="9149" spans="1:12" hidden="1" x14ac:dyDescent="0.3">
      <c r="A9149" t="s">
        <v>69</v>
      </c>
      <c r="B9149" t="s">
        <v>70</v>
      </c>
      <c r="C9149" t="s">
        <v>129</v>
      </c>
      <c r="D9149" t="s">
        <v>130</v>
      </c>
      <c r="E9149">
        <v>1988</v>
      </c>
      <c r="F9149" s="1">
        <v>76</v>
      </c>
      <c r="G9149">
        <v>1990</v>
      </c>
      <c r="H9149">
        <f>AVERAGEIFS(Table1[value],Table1[IndicatorCode],Table1[[#This Row],[IndicatorCode]])</f>
        <v>72.66514008620689</v>
      </c>
      <c r="I9149" cm="1">
        <f t="array" ref="I9149">_xlfn.STDEV.P(IF(Table1[IndicatorCode]=Table1[[#This Row],[IndicatorCode]],Table1[value]))</f>
        <v>6.3409496564024987</v>
      </c>
      <c r="J9149">
        <f>(Table1[[#This Row],[value]] - Table1[[#This Row],[mean]]) / Table1[[#This Row],[std_dev]]</f>
        <v>0.52592436377820473</v>
      </c>
      <c r="K9149">
        <f>AVERAGEIF(Table1[CountryCode],Table1[[#This Row],[CountryCode]],Table1[z-score])</f>
        <v>0.20445029067007053</v>
      </c>
      <c r="L9149" t="e">
        <f>VLOOKUP(Table1[[#This Row],[CountryCode]],[1]!Table1[#All],1,FALSE)</f>
        <v>#REF!</v>
      </c>
    </row>
    <row r="9150" spans="1:12" hidden="1" x14ac:dyDescent="0.3">
      <c r="A9150" t="s">
        <v>69</v>
      </c>
      <c r="B9150" t="s">
        <v>70</v>
      </c>
      <c r="C9150" t="s">
        <v>129</v>
      </c>
      <c r="D9150" t="s">
        <v>130</v>
      </c>
      <c r="E9150">
        <v>1989</v>
      </c>
      <c r="F9150" s="1">
        <v>77</v>
      </c>
      <c r="G9150">
        <v>1990</v>
      </c>
      <c r="H9150">
        <f>AVERAGEIFS(Table1[value],Table1[IndicatorCode],Table1[[#This Row],[IndicatorCode]])</f>
        <v>72.66514008620689</v>
      </c>
      <c r="I9150" cm="1">
        <f t="array" ref="I9150">_xlfn.STDEV.P(IF(Table1[IndicatorCode]=Table1[[#This Row],[IndicatorCode]],Table1[value]))</f>
        <v>6.3409496564024987</v>
      </c>
      <c r="J9150">
        <f>(Table1[[#This Row],[value]] - Table1[[#This Row],[mean]]) / Table1[[#This Row],[std_dev]]</f>
        <v>0.68362944806164383</v>
      </c>
      <c r="K9150">
        <f>AVERAGEIF(Table1[CountryCode],Table1[[#This Row],[CountryCode]],Table1[z-score])</f>
        <v>0.20445029067007053</v>
      </c>
      <c r="L9150" t="e">
        <f>VLOOKUP(Table1[[#This Row],[CountryCode]],[1]!Table1[#All],1,FALSE)</f>
        <v>#REF!</v>
      </c>
    </row>
    <row r="9151" spans="1:12" hidden="1" x14ac:dyDescent="0.3">
      <c r="A9151" t="s">
        <v>69</v>
      </c>
      <c r="B9151" t="s">
        <v>70</v>
      </c>
      <c r="C9151" t="s">
        <v>129</v>
      </c>
      <c r="D9151" t="s">
        <v>130</v>
      </c>
      <c r="E9151">
        <v>1990</v>
      </c>
      <c r="F9151" s="1">
        <v>77</v>
      </c>
      <c r="G9151">
        <v>1990</v>
      </c>
      <c r="H9151">
        <f>AVERAGEIFS(Table1[value],Table1[IndicatorCode],Table1[[#This Row],[IndicatorCode]])</f>
        <v>72.66514008620689</v>
      </c>
      <c r="I9151" cm="1">
        <f t="array" ref="I9151">_xlfn.STDEV.P(IF(Table1[IndicatorCode]=Table1[[#This Row],[IndicatorCode]],Table1[value]))</f>
        <v>6.3409496564024987</v>
      </c>
      <c r="J9151">
        <f>(Table1[[#This Row],[value]] - Table1[[#This Row],[mean]]) / Table1[[#This Row],[std_dev]]</f>
        <v>0.68362944806164383</v>
      </c>
      <c r="K9151">
        <f>AVERAGEIF(Table1[CountryCode],Table1[[#This Row],[CountryCode]],Table1[z-score])</f>
        <v>0.20445029067007053</v>
      </c>
      <c r="L9151" t="e">
        <f>VLOOKUP(Table1[[#This Row],[CountryCode]],[1]!Table1[#All],1,FALSE)</f>
        <v>#REF!</v>
      </c>
    </row>
    <row r="9152" spans="1:12" hidden="1" x14ac:dyDescent="0.3">
      <c r="A9152" t="s">
        <v>69</v>
      </c>
      <c r="B9152" t="s">
        <v>70</v>
      </c>
      <c r="C9152" t="s">
        <v>129</v>
      </c>
      <c r="D9152" t="s">
        <v>130</v>
      </c>
      <c r="E9152">
        <v>1991</v>
      </c>
      <c r="F9152" s="1">
        <v>77</v>
      </c>
      <c r="G9152">
        <v>1990</v>
      </c>
      <c r="H9152">
        <f>AVERAGEIFS(Table1[value],Table1[IndicatorCode],Table1[[#This Row],[IndicatorCode]])</f>
        <v>72.66514008620689</v>
      </c>
      <c r="I9152" cm="1">
        <f t="array" ref="I9152">_xlfn.STDEV.P(IF(Table1[IndicatorCode]=Table1[[#This Row],[IndicatorCode]],Table1[value]))</f>
        <v>6.3409496564024987</v>
      </c>
      <c r="J9152">
        <f>(Table1[[#This Row],[value]] - Table1[[#This Row],[mean]]) / Table1[[#This Row],[std_dev]]</f>
        <v>0.68362944806164383</v>
      </c>
      <c r="K9152">
        <f>AVERAGEIF(Table1[CountryCode],Table1[[#This Row],[CountryCode]],Table1[z-score])</f>
        <v>0.20445029067007053</v>
      </c>
      <c r="L9152" t="e">
        <f>VLOOKUP(Table1[[#This Row],[CountryCode]],[1]!Table1[#All],1,FALSE)</f>
        <v>#REF!</v>
      </c>
    </row>
    <row r="9153" spans="1:12" hidden="1" x14ac:dyDescent="0.3">
      <c r="A9153" t="s">
        <v>69</v>
      </c>
      <c r="B9153" t="s">
        <v>70</v>
      </c>
      <c r="C9153" t="s">
        <v>129</v>
      </c>
      <c r="D9153" t="s">
        <v>130</v>
      </c>
      <c r="E9153">
        <v>1992</v>
      </c>
      <c r="F9153" s="1">
        <v>77</v>
      </c>
      <c r="G9153">
        <v>1990</v>
      </c>
      <c r="H9153">
        <f>AVERAGEIFS(Table1[value],Table1[IndicatorCode],Table1[[#This Row],[IndicatorCode]])</f>
        <v>72.66514008620689</v>
      </c>
      <c r="I9153" cm="1">
        <f t="array" ref="I9153">_xlfn.STDEV.P(IF(Table1[IndicatorCode]=Table1[[#This Row],[IndicatorCode]],Table1[value]))</f>
        <v>6.3409496564024987</v>
      </c>
      <c r="J9153">
        <f>(Table1[[#This Row],[value]] - Table1[[#This Row],[mean]]) / Table1[[#This Row],[std_dev]]</f>
        <v>0.68362944806164383</v>
      </c>
      <c r="K9153">
        <f>AVERAGEIF(Table1[CountryCode],Table1[[#This Row],[CountryCode]],Table1[z-score])</f>
        <v>0.20445029067007053</v>
      </c>
      <c r="L9153" t="e">
        <f>VLOOKUP(Table1[[#This Row],[CountryCode]],[1]!Table1[#All],1,FALSE)</f>
        <v>#REF!</v>
      </c>
    </row>
    <row r="9154" spans="1:12" hidden="1" x14ac:dyDescent="0.3">
      <c r="A9154" t="s">
        <v>69</v>
      </c>
      <c r="B9154" t="s">
        <v>70</v>
      </c>
      <c r="C9154" t="s">
        <v>129</v>
      </c>
      <c r="D9154" t="s">
        <v>130</v>
      </c>
      <c r="E9154">
        <v>1993</v>
      </c>
      <c r="F9154" s="1">
        <v>78</v>
      </c>
      <c r="G9154">
        <v>1990</v>
      </c>
      <c r="H9154">
        <f>AVERAGEIFS(Table1[value],Table1[IndicatorCode],Table1[[#This Row],[IndicatorCode]])</f>
        <v>72.66514008620689</v>
      </c>
      <c r="I9154" cm="1">
        <f t="array" ref="I9154">_xlfn.STDEV.P(IF(Table1[IndicatorCode]=Table1[[#This Row],[IndicatorCode]],Table1[value]))</f>
        <v>6.3409496564024987</v>
      </c>
      <c r="J9154">
        <f>(Table1[[#This Row],[value]] - Table1[[#This Row],[mean]]) / Table1[[#This Row],[std_dev]]</f>
        <v>0.84133453234508293</v>
      </c>
      <c r="K9154">
        <f>AVERAGEIF(Table1[CountryCode],Table1[[#This Row],[CountryCode]],Table1[z-score])</f>
        <v>0.20445029067007053</v>
      </c>
      <c r="L9154" t="e">
        <f>VLOOKUP(Table1[[#This Row],[CountryCode]],[1]!Table1[#All],1,FALSE)</f>
        <v>#REF!</v>
      </c>
    </row>
    <row r="9155" spans="1:12" hidden="1" x14ac:dyDescent="0.3">
      <c r="A9155" t="s">
        <v>69</v>
      </c>
      <c r="B9155" t="s">
        <v>70</v>
      </c>
      <c r="C9155" t="s">
        <v>129</v>
      </c>
      <c r="D9155" t="s">
        <v>130</v>
      </c>
      <c r="E9155">
        <v>1994</v>
      </c>
      <c r="F9155" s="1">
        <v>78</v>
      </c>
      <c r="G9155">
        <v>1990</v>
      </c>
      <c r="H9155">
        <f>AVERAGEIFS(Table1[value],Table1[IndicatorCode],Table1[[#This Row],[IndicatorCode]])</f>
        <v>72.66514008620689</v>
      </c>
      <c r="I9155" cm="1">
        <f t="array" ref="I9155">_xlfn.STDEV.P(IF(Table1[IndicatorCode]=Table1[[#This Row],[IndicatorCode]],Table1[value]))</f>
        <v>6.3409496564024987</v>
      </c>
      <c r="J9155">
        <f>(Table1[[#This Row],[value]] - Table1[[#This Row],[mean]]) / Table1[[#This Row],[std_dev]]</f>
        <v>0.84133453234508293</v>
      </c>
      <c r="K9155">
        <f>AVERAGEIF(Table1[CountryCode],Table1[[#This Row],[CountryCode]],Table1[z-score])</f>
        <v>0.20445029067007053</v>
      </c>
      <c r="L9155" t="e">
        <f>VLOOKUP(Table1[[#This Row],[CountryCode]],[1]!Table1[#All],1,FALSE)</f>
        <v>#REF!</v>
      </c>
    </row>
    <row r="9156" spans="1:12" hidden="1" x14ac:dyDescent="0.3">
      <c r="A9156" t="s">
        <v>69</v>
      </c>
      <c r="B9156" t="s">
        <v>70</v>
      </c>
      <c r="C9156" t="s">
        <v>129</v>
      </c>
      <c r="D9156" t="s">
        <v>130</v>
      </c>
      <c r="E9156">
        <v>1995</v>
      </c>
      <c r="F9156" s="1">
        <v>78</v>
      </c>
      <c r="G9156">
        <v>1990</v>
      </c>
      <c r="H9156">
        <f>AVERAGEIFS(Table1[value],Table1[IndicatorCode],Table1[[#This Row],[IndicatorCode]])</f>
        <v>72.66514008620689</v>
      </c>
      <c r="I9156" cm="1">
        <f t="array" ref="I9156">_xlfn.STDEV.P(IF(Table1[IndicatorCode]=Table1[[#This Row],[IndicatorCode]],Table1[value]))</f>
        <v>6.3409496564024987</v>
      </c>
      <c r="J9156">
        <f>(Table1[[#This Row],[value]] - Table1[[#This Row],[mean]]) / Table1[[#This Row],[std_dev]]</f>
        <v>0.84133453234508293</v>
      </c>
      <c r="K9156">
        <f>AVERAGEIF(Table1[CountryCode],Table1[[#This Row],[CountryCode]],Table1[z-score])</f>
        <v>0.20445029067007053</v>
      </c>
      <c r="L9156" t="e">
        <f>VLOOKUP(Table1[[#This Row],[CountryCode]],[1]!Table1[#All],1,FALSE)</f>
        <v>#REF!</v>
      </c>
    </row>
    <row r="9157" spans="1:12" hidden="1" x14ac:dyDescent="0.3">
      <c r="A9157" t="s">
        <v>69</v>
      </c>
      <c r="B9157" t="s">
        <v>70</v>
      </c>
      <c r="C9157" t="s">
        <v>129</v>
      </c>
      <c r="D9157" t="s">
        <v>130</v>
      </c>
      <c r="E9157">
        <v>1996</v>
      </c>
      <c r="F9157" s="1">
        <v>79</v>
      </c>
      <c r="G9157">
        <v>1990</v>
      </c>
      <c r="H9157">
        <f>AVERAGEIFS(Table1[value],Table1[IndicatorCode],Table1[[#This Row],[IndicatorCode]])</f>
        <v>72.66514008620689</v>
      </c>
      <c r="I9157" cm="1">
        <f t="array" ref="I9157">_xlfn.STDEV.P(IF(Table1[IndicatorCode]=Table1[[#This Row],[IndicatorCode]],Table1[value]))</f>
        <v>6.3409496564024987</v>
      </c>
      <c r="J9157">
        <f>(Table1[[#This Row],[value]] - Table1[[#This Row],[mean]]) / Table1[[#This Row],[std_dev]]</f>
        <v>0.99903961662852192</v>
      </c>
      <c r="K9157">
        <f>AVERAGEIF(Table1[CountryCode],Table1[[#This Row],[CountryCode]],Table1[z-score])</f>
        <v>0.20445029067007053</v>
      </c>
      <c r="L9157" t="e">
        <f>VLOOKUP(Table1[[#This Row],[CountryCode]],[1]!Table1[#All],1,FALSE)</f>
        <v>#REF!</v>
      </c>
    </row>
    <row r="9158" spans="1:12" hidden="1" x14ac:dyDescent="0.3">
      <c r="A9158" t="s">
        <v>69</v>
      </c>
      <c r="B9158" t="s">
        <v>70</v>
      </c>
      <c r="C9158" t="s">
        <v>129</v>
      </c>
      <c r="D9158" t="s">
        <v>130</v>
      </c>
      <c r="E9158">
        <v>1997</v>
      </c>
      <c r="F9158" s="1">
        <v>79</v>
      </c>
      <c r="G9158">
        <v>2000</v>
      </c>
      <c r="H9158">
        <f>AVERAGEIFS(Table1[value],Table1[IndicatorCode],Table1[[#This Row],[IndicatorCode]])</f>
        <v>72.66514008620689</v>
      </c>
      <c r="I9158" cm="1">
        <f t="array" ref="I9158">_xlfn.STDEV.P(IF(Table1[IndicatorCode]=Table1[[#This Row],[IndicatorCode]],Table1[value]))</f>
        <v>6.3409496564024987</v>
      </c>
      <c r="J9158">
        <f>(Table1[[#This Row],[value]] - Table1[[#This Row],[mean]]) / Table1[[#This Row],[std_dev]]</f>
        <v>0.99903961662852192</v>
      </c>
      <c r="K9158">
        <f>AVERAGEIF(Table1[CountryCode],Table1[[#This Row],[CountryCode]],Table1[z-score])</f>
        <v>0.20445029067007053</v>
      </c>
      <c r="L9158" t="e">
        <f>VLOOKUP(Table1[[#This Row],[CountryCode]],[1]!Table1[#All],1,FALSE)</f>
        <v>#REF!</v>
      </c>
    </row>
    <row r="9159" spans="1:12" hidden="1" x14ac:dyDescent="0.3">
      <c r="A9159" t="s">
        <v>69</v>
      </c>
      <c r="B9159" t="s">
        <v>70</v>
      </c>
      <c r="C9159" t="s">
        <v>129</v>
      </c>
      <c r="D9159" t="s">
        <v>130</v>
      </c>
      <c r="E9159">
        <v>1998</v>
      </c>
      <c r="F9159" s="1">
        <v>79</v>
      </c>
      <c r="G9159">
        <v>2000</v>
      </c>
      <c r="H9159">
        <f>AVERAGEIFS(Table1[value],Table1[IndicatorCode],Table1[[#This Row],[IndicatorCode]])</f>
        <v>72.66514008620689</v>
      </c>
      <c r="I9159" cm="1">
        <f t="array" ref="I9159">_xlfn.STDEV.P(IF(Table1[IndicatorCode]=Table1[[#This Row],[IndicatorCode]],Table1[value]))</f>
        <v>6.3409496564024987</v>
      </c>
      <c r="J9159">
        <f>(Table1[[#This Row],[value]] - Table1[[#This Row],[mean]]) / Table1[[#This Row],[std_dev]]</f>
        <v>0.99903961662852192</v>
      </c>
      <c r="K9159">
        <f>AVERAGEIF(Table1[CountryCode],Table1[[#This Row],[CountryCode]],Table1[z-score])</f>
        <v>0.20445029067007053</v>
      </c>
      <c r="L9159" t="e">
        <f>VLOOKUP(Table1[[#This Row],[CountryCode]],[1]!Table1[#All],1,FALSE)</f>
        <v>#REF!</v>
      </c>
    </row>
    <row r="9160" spans="1:12" hidden="1" x14ac:dyDescent="0.3">
      <c r="A9160" t="s">
        <v>69</v>
      </c>
      <c r="B9160" t="s">
        <v>70</v>
      </c>
      <c r="C9160" t="s">
        <v>129</v>
      </c>
      <c r="D9160" t="s">
        <v>130</v>
      </c>
      <c r="E9160">
        <v>1999</v>
      </c>
      <c r="F9160" s="1">
        <v>79</v>
      </c>
      <c r="G9160">
        <v>2000</v>
      </c>
      <c r="H9160">
        <f>AVERAGEIFS(Table1[value],Table1[IndicatorCode],Table1[[#This Row],[IndicatorCode]])</f>
        <v>72.66514008620689</v>
      </c>
      <c r="I9160" cm="1">
        <f t="array" ref="I9160">_xlfn.STDEV.P(IF(Table1[IndicatorCode]=Table1[[#This Row],[IndicatorCode]],Table1[value]))</f>
        <v>6.3409496564024987</v>
      </c>
      <c r="J9160">
        <f>(Table1[[#This Row],[value]] - Table1[[#This Row],[mean]]) / Table1[[#This Row],[std_dev]]</f>
        <v>0.99903961662852192</v>
      </c>
      <c r="K9160">
        <f>AVERAGEIF(Table1[CountryCode],Table1[[#This Row],[CountryCode]],Table1[z-score])</f>
        <v>0.20445029067007053</v>
      </c>
      <c r="L9160" t="e">
        <f>VLOOKUP(Table1[[#This Row],[CountryCode]],[1]!Table1[#All],1,FALSE)</f>
        <v>#REF!</v>
      </c>
    </row>
    <row r="9161" spans="1:12" hidden="1" x14ac:dyDescent="0.3">
      <c r="A9161" t="s">
        <v>69</v>
      </c>
      <c r="B9161" t="s">
        <v>70</v>
      </c>
      <c r="C9161" t="s">
        <v>129</v>
      </c>
      <c r="D9161" t="s">
        <v>130</v>
      </c>
      <c r="E9161">
        <v>2000</v>
      </c>
      <c r="F9161" s="1">
        <v>80</v>
      </c>
      <c r="G9161">
        <v>2000</v>
      </c>
      <c r="H9161">
        <f>AVERAGEIFS(Table1[value],Table1[IndicatorCode],Table1[[#This Row],[IndicatorCode]])</f>
        <v>72.66514008620689</v>
      </c>
      <c r="I9161" cm="1">
        <f t="array" ref="I9161">_xlfn.STDEV.P(IF(Table1[IndicatorCode]=Table1[[#This Row],[IndicatorCode]],Table1[value]))</f>
        <v>6.3409496564024987</v>
      </c>
      <c r="J9161">
        <f>(Table1[[#This Row],[value]] - Table1[[#This Row],[mean]]) / Table1[[#This Row],[std_dev]]</f>
        <v>1.1567447009119609</v>
      </c>
      <c r="K9161">
        <f>AVERAGEIF(Table1[CountryCode],Table1[[#This Row],[CountryCode]],Table1[z-score])</f>
        <v>0.20445029067007053</v>
      </c>
      <c r="L9161" t="e">
        <f>VLOOKUP(Table1[[#This Row],[CountryCode]],[1]!Table1[#All],1,FALSE)</f>
        <v>#REF!</v>
      </c>
    </row>
    <row r="9162" spans="1:12" hidden="1" x14ac:dyDescent="0.3">
      <c r="A9162" t="s">
        <v>69</v>
      </c>
      <c r="B9162" t="s">
        <v>70</v>
      </c>
      <c r="C9162" t="s">
        <v>129</v>
      </c>
      <c r="D9162" t="s">
        <v>130</v>
      </c>
      <c r="E9162">
        <v>2001</v>
      </c>
      <c r="F9162" s="1">
        <v>80</v>
      </c>
      <c r="G9162">
        <v>2000</v>
      </c>
      <c r="H9162">
        <f>AVERAGEIFS(Table1[value],Table1[IndicatorCode],Table1[[#This Row],[IndicatorCode]])</f>
        <v>72.66514008620689</v>
      </c>
      <c r="I9162" cm="1">
        <f t="array" ref="I9162">_xlfn.STDEV.P(IF(Table1[IndicatorCode]=Table1[[#This Row],[IndicatorCode]],Table1[value]))</f>
        <v>6.3409496564024987</v>
      </c>
      <c r="J9162">
        <f>(Table1[[#This Row],[value]] - Table1[[#This Row],[mean]]) / Table1[[#This Row],[std_dev]]</f>
        <v>1.1567447009119609</v>
      </c>
      <c r="K9162">
        <f>AVERAGEIF(Table1[CountryCode],Table1[[#This Row],[CountryCode]],Table1[z-score])</f>
        <v>0.20445029067007053</v>
      </c>
      <c r="L9162" t="e">
        <f>VLOOKUP(Table1[[#This Row],[CountryCode]],[1]!Table1[#All],1,FALSE)</f>
        <v>#REF!</v>
      </c>
    </row>
    <row r="9163" spans="1:12" hidden="1" x14ac:dyDescent="0.3">
      <c r="A9163" t="s">
        <v>69</v>
      </c>
      <c r="B9163" t="s">
        <v>70</v>
      </c>
      <c r="C9163" t="s">
        <v>129</v>
      </c>
      <c r="D9163" t="s">
        <v>130</v>
      </c>
      <c r="E9163">
        <v>2002</v>
      </c>
      <c r="F9163" s="1">
        <v>80</v>
      </c>
      <c r="G9163">
        <v>2000</v>
      </c>
      <c r="H9163">
        <f>AVERAGEIFS(Table1[value],Table1[IndicatorCode],Table1[[#This Row],[IndicatorCode]])</f>
        <v>72.66514008620689</v>
      </c>
      <c r="I9163" cm="1">
        <f t="array" ref="I9163">_xlfn.STDEV.P(IF(Table1[IndicatorCode]=Table1[[#This Row],[IndicatorCode]],Table1[value]))</f>
        <v>6.3409496564024987</v>
      </c>
      <c r="J9163">
        <f>(Table1[[#This Row],[value]] - Table1[[#This Row],[mean]]) / Table1[[#This Row],[std_dev]]</f>
        <v>1.1567447009119609</v>
      </c>
      <c r="K9163">
        <f>AVERAGEIF(Table1[CountryCode],Table1[[#This Row],[CountryCode]],Table1[z-score])</f>
        <v>0.20445029067007053</v>
      </c>
      <c r="L9163" t="e">
        <f>VLOOKUP(Table1[[#This Row],[CountryCode]],[1]!Table1[#All],1,FALSE)</f>
        <v>#REF!</v>
      </c>
    </row>
    <row r="9164" spans="1:12" hidden="1" x14ac:dyDescent="0.3">
      <c r="A9164" t="s">
        <v>69</v>
      </c>
      <c r="B9164" t="s">
        <v>70</v>
      </c>
      <c r="C9164" t="s">
        <v>129</v>
      </c>
      <c r="D9164" t="s">
        <v>130</v>
      </c>
      <c r="E9164">
        <v>2003</v>
      </c>
      <c r="F9164" s="1">
        <v>80</v>
      </c>
      <c r="G9164">
        <v>2000</v>
      </c>
      <c r="H9164">
        <f>AVERAGEIFS(Table1[value],Table1[IndicatorCode],Table1[[#This Row],[IndicatorCode]])</f>
        <v>72.66514008620689</v>
      </c>
      <c r="I9164" cm="1">
        <f t="array" ref="I9164">_xlfn.STDEV.P(IF(Table1[IndicatorCode]=Table1[[#This Row],[IndicatorCode]],Table1[value]))</f>
        <v>6.3409496564024987</v>
      </c>
      <c r="J9164">
        <f>(Table1[[#This Row],[value]] - Table1[[#This Row],[mean]]) / Table1[[#This Row],[std_dev]]</f>
        <v>1.1567447009119609</v>
      </c>
      <c r="K9164">
        <f>AVERAGEIF(Table1[CountryCode],Table1[[#This Row],[CountryCode]],Table1[z-score])</f>
        <v>0.20445029067007053</v>
      </c>
      <c r="L9164" t="e">
        <f>VLOOKUP(Table1[[#This Row],[CountryCode]],[1]!Table1[#All],1,FALSE)</f>
        <v>#REF!</v>
      </c>
    </row>
    <row r="9165" spans="1:12" hidden="1" x14ac:dyDescent="0.3">
      <c r="A9165" t="s">
        <v>69</v>
      </c>
      <c r="B9165" t="s">
        <v>70</v>
      </c>
      <c r="C9165" t="s">
        <v>129</v>
      </c>
      <c r="D9165" t="s">
        <v>130</v>
      </c>
      <c r="E9165">
        <v>2004</v>
      </c>
      <c r="F9165" s="1">
        <v>81</v>
      </c>
      <c r="G9165">
        <v>2000</v>
      </c>
      <c r="H9165">
        <f>AVERAGEIFS(Table1[value],Table1[IndicatorCode],Table1[[#This Row],[IndicatorCode]])</f>
        <v>72.66514008620689</v>
      </c>
      <c r="I9165" cm="1">
        <f t="array" ref="I9165">_xlfn.STDEV.P(IF(Table1[IndicatorCode]=Table1[[#This Row],[IndicatorCode]],Table1[value]))</f>
        <v>6.3409496564024987</v>
      </c>
      <c r="J9165">
        <f>(Table1[[#This Row],[value]] - Table1[[#This Row],[mean]]) / Table1[[#This Row],[std_dev]]</f>
        <v>1.3144497851954</v>
      </c>
      <c r="K9165">
        <f>AVERAGEIF(Table1[CountryCode],Table1[[#This Row],[CountryCode]],Table1[z-score])</f>
        <v>0.20445029067007053</v>
      </c>
      <c r="L9165" t="e">
        <f>VLOOKUP(Table1[[#This Row],[CountryCode]],[1]!Table1[#All],1,FALSE)</f>
        <v>#REF!</v>
      </c>
    </row>
    <row r="9166" spans="1:12" hidden="1" x14ac:dyDescent="0.3">
      <c r="A9166" t="s">
        <v>69</v>
      </c>
      <c r="B9166" t="s">
        <v>70</v>
      </c>
      <c r="C9166" t="s">
        <v>129</v>
      </c>
      <c r="D9166" t="s">
        <v>130</v>
      </c>
      <c r="E9166">
        <v>2005</v>
      </c>
      <c r="F9166" s="1">
        <v>81</v>
      </c>
      <c r="G9166">
        <v>2000</v>
      </c>
      <c r="H9166">
        <f>AVERAGEIFS(Table1[value],Table1[IndicatorCode],Table1[[#This Row],[IndicatorCode]])</f>
        <v>72.66514008620689</v>
      </c>
      <c r="I9166" cm="1">
        <f t="array" ref="I9166">_xlfn.STDEV.P(IF(Table1[IndicatorCode]=Table1[[#This Row],[IndicatorCode]],Table1[value]))</f>
        <v>6.3409496564024987</v>
      </c>
      <c r="J9166">
        <f>(Table1[[#This Row],[value]] - Table1[[#This Row],[mean]]) / Table1[[#This Row],[std_dev]]</f>
        <v>1.3144497851954</v>
      </c>
      <c r="K9166">
        <f>AVERAGEIF(Table1[CountryCode],Table1[[#This Row],[CountryCode]],Table1[z-score])</f>
        <v>0.20445029067007053</v>
      </c>
      <c r="L9166" t="e">
        <f>VLOOKUP(Table1[[#This Row],[CountryCode]],[1]!Table1[#All],1,FALSE)</f>
        <v>#REF!</v>
      </c>
    </row>
    <row r="9167" spans="1:12" hidden="1" x14ac:dyDescent="0.3">
      <c r="A9167" t="s">
        <v>69</v>
      </c>
      <c r="B9167" t="s">
        <v>70</v>
      </c>
      <c r="C9167" t="s">
        <v>129</v>
      </c>
      <c r="D9167" t="s">
        <v>130</v>
      </c>
      <c r="E9167">
        <v>2006</v>
      </c>
      <c r="F9167" s="1">
        <v>81</v>
      </c>
      <c r="G9167">
        <v>2000</v>
      </c>
      <c r="H9167">
        <f>AVERAGEIFS(Table1[value],Table1[IndicatorCode],Table1[[#This Row],[IndicatorCode]])</f>
        <v>72.66514008620689</v>
      </c>
      <c r="I9167" cm="1">
        <f t="array" ref="I9167">_xlfn.STDEV.P(IF(Table1[IndicatorCode]=Table1[[#This Row],[IndicatorCode]],Table1[value]))</f>
        <v>6.3409496564024987</v>
      </c>
      <c r="J9167">
        <f>(Table1[[#This Row],[value]] - Table1[[#This Row],[mean]]) / Table1[[#This Row],[std_dev]]</f>
        <v>1.3144497851954</v>
      </c>
      <c r="K9167">
        <f>AVERAGEIF(Table1[CountryCode],Table1[[#This Row],[CountryCode]],Table1[z-score])</f>
        <v>0.20445029067007053</v>
      </c>
      <c r="L9167" t="e">
        <f>VLOOKUP(Table1[[#This Row],[CountryCode]],[1]!Table1[#All],1,FALSE)</f>
        <v>#REF!</v>
      </c>
    </row>
    <row r="9168" spans="1:12" hidden="1" x14ac:dyDescent="0.3">
      <c r="A9168" t="s">
        <v>69</v>
      </c>
      <c r="B9168" t="s">
        <v>70</v>
      </c>
      <c r="C9168" t="s">
        <v>129</v>
      </c>
      <c r="D9168" t="s">
        <v>130</v>
      </c>
      <c r="E9168">
        <v>2007</v>
      </c>
      <c r="F9168" s="1">
        <v>81</v>
      </c>
      <c r="G9168">
        <v>2010</v>
      </c>
      <c r="H9168">
        <f>AVERAGEIFS(Table1[value],Table1[IndicatorCode],Table1[[#This Row],[IndicatorCode]])</f>
        <v>72.66514008620689</v>
      </c>
      <c r="I9168" cm="1">
        <f t="array" ref="I9168">_xlfn.STDEV.P(IF(Table1[IndicatorCode]=Table1[[#This Row],[IndicatorCode]],Table1[value]))</f>
        <v>6.3409496564024987</v>
      </c>
      <c r="J9168">
        <f>(Table1[[#This Row],[value]] - Table1[[#This Row],[mean]]) / Table1[[#This Row],[std_dev]]</f>
        <v>1.3144497851954</v>
      </c>
      <c r="K9168">
        <f>AVERAGEIF(Table1[CountryCode],Table1[[#This Row],[CountryCode]],Table1[z-score])</f>
        <v>0.20445029067007053</v>
      </c>
      <c r="L9168" t="e">
        <f>VLOOKUP(Table1[[#This Row],[CountryCode]],[1]!Table1[#All],1,FALSE)</f>
        <v>#REF!</v>
      </c>
    </row>
    <row r="9169" spans="1:12" hidden="1" x14ac:dyDescent="0.3">
      <c r="A9169" t="s">
        <v>69</v>
      </c>
      <c r="B9169" t="s">
        <v>70</v>
      </c>
      <c r="C9169" t="s">
        <v>129</v>
      </c>
      <c r="D9169" t="s">
        <v>130</v>
      </c>
      <c r="E9169">
        <v>2008</v>
      </c>
      <c r="F9169" s="1">
        <v>81</v>
      </c>
      <c r="G9169">
        <v>2010</v>
      </c>
      <c r="H9169">
        <f>AVERAGEIFS(Table1[value],Table1[IndicatorCode],Table1[[#This Row],[IndicatorCode]])</f>
        <v>72.66514008620689</v>
      </c>
      <c r="I9169" cm="1">
        <f t="array" ref="I9169">_xlfn.STDEV.P(IF(Table1[IndicatorCode]=Table1[[#This Row],[IndicatorCode]],Table1[value]))</f>
        <v>6.3409496564024987</v>
      </c>
      <c r="J9169">
        <f>(Table1[[#This Row],[value]] - Table1[[#This Row],[mean]]) / Table1[[#This Row],[std_dev]]</f>
        <v>1.3144497851954</v>
      </c>
      <c r="K9169">
        <f>AVERAGEIF(Table1[CountryCode],Table1[[#This Row],[CountryCode]],Table1[z-score])</f>
        <v>0.20445029067007053</v>
      </c>
      <c r="L9169" t="e">
        <f>VLOOKUP(Table1[[#This Row],[CountryCode]],[1]!Table1[#All],1,FALSE)</f>
        <v>#REF!</v>
      </c>
    </row>
    <row r="9170" spans="1:12" hidden="1" x14ac:dyDescent="0.3">
      <c r="A9170" t="s">
        <v>69</v>
      </c>
      <c r="B9170" t="s">
        <v>70</v>
      </c>
      <c r="C9170" t="s">
        <v>129</v>
      </c>
      <c r="D9170" t="s">
        <v>130</v>
      </c>
      <c r="E9170">
        <v>2009</v>
      </c>
      <c r="F9170" s="1">
        <v>82</v>
      </c>
      <c r="G9170">
        <v>2010</v>
      </c>
      <c r="H9170">
        <f>AVERAGEIFS(Table1[value],Table1[IndicatorCode],Table1[[#This Row],[IndicatorCode]])</f>
        <v>72.66514008620689</v>
      </c>
      <c r="I9170" cm="1">
        <f t="array" ref="I9170">_xlfn.STDEV.P(IF(Table1[IndicatorCode]=Table1[[#This Row],[IndicatorCode]],Table1[value]))</f>
        <v>6.3409496564024987</v>
      </c>
      <c r="J9170">
        <f>(Table1[[#This Row],[value]] - Table1[[#This Row],[mean]]) / Table1[[#This Row],[std_dev]]</f>
        <v>1.4721548694788391</v>
      </c>
      <c r="K9170">
        <f>AVERAGEIF(Table1[CountryCode],Table1[[#This Row],[CountryCode]],Table1[z-score])</f>
        <v>0.20445029067007053</v>
      </c>
      <c r="L9170" t="e">
        <f>VLOOKUP(Table1[[#This Row],[CountryCode]],[1]!Table1[#All],1,FALSE)</f>
        <v>#REF!</v>
      </c>
    </row>
    <row r="9171" spans="1:12" hidden="1" x14ac:dyDescent="0.3">
      <c r="A9171" t="s">
        <v>69</v>
      </c>
      <c r="B9171" t="s">
        <v>70</v>
      </c>
      <c r="C9171" t="s">
        <v>129</v>
      </c>
      <c r="D9171" t="s">
        <v>130</v>
      </c>
      <c r="E9171">
        <v>2010</v>
      </c>
      <c r="F9171" s="1">
        <v>82</v>
      </c>
      <c r="G9171">
        <v>2010</v>
      </c>
      <c r="H9171">
        <f>AVERAGEIFS(Table1[value],Table1[IndicatorCode],Table1[[#This Row],[IndicatorCode]])</f>
        <v>72.66514008620689</v>
      </c>
      <c r="I9171" cm="1">
        <f t="array" ref="I9171">_xlfn.STDEV.P(IF(Table1[IndicatorCode]=Table1[[#This Row],[IndicatorCode]],Table1[value]))</f>
        <v>6.3409496564024987</v>
      </c>
      <c r="J9171">
        <f>(Table1[[#This Row],[value]] - Table1[[#This Row],[mean]]) / Table1[[#This Row],[std_dev]]</f>
        <v>1.4721548694788391</v>
      </c>
      <c r="K9171">
        <f>AVERAGEIF(Table1[CountryCode],Table1[[#This Row],[CountryCode]],Table1[z-score])</f>
        <v>0.20445029067007053</v>
      </c>
      <c r="L9171" t="e">
        <f>VLOOKUP(Table1[[#This Row],[CountryCode]],[1]!Table1[#All],1,FALSE)</f>
        <v>#REF!</v>
      </c>
    </row>
    <row r="9172" spans="1:12" hidden="1" x14ac:dyDescent="0.3">
      <c r="A9172" t="s">
        <v>69</v>
      </c>
      <c r="B9172" t="s">
        <v>70</v>
      </c>
      <c r="C9172" t="s">
        <v>129</v>
      </c>
      <c r="D9172" t="s">
        <v>130</v>
      </c>
      <c r="E9172">
        <v>2011</v>
      </c>
      <c r="F9172" s="1">
        <v>82</v>
      </c>
      <c r="G9172">
        <v>2010</v>
      </c>
      <c r="H9172">
        <f>AVERAGEIFS(Table1[value],Table1[IndicatorCode],Table1[[#This Row],[IndicatorCode]])</f>
        <v>72.66514008620689</v>
      </c>
      <c r="I9172" cm="1">
        <f t="array" ref="I9172">_xlfn.STDEV.P(IF(Table1[IndicatorCode]=Table1[[#This Row],[IndicatorCode]],Table1[value]))</f>
        <v>6.3409496564024987</v>
      </c>
      <c r="J9172">
        <f>(Table1[[#This Row],[value]] - Table1[[#This Row],[mean]]) / Table1[[#This Row],[std_dev]]</f>
        <v>1.4721548694788391</v>
      </c>
      <c r="K9172">
        <f>AVERAGEIF(Table1[CountryCode],Table1[[#This Row],[CountryCode]],Table1[z-score])</f>
        <v>0.20445029067007053</v>
      </c>
      <c r="L9172" t="e">
        <f>VLOOKUP(Table1[[#This Row],[CountryCode]],[1]!Table1[#All],1,FALSE)</f>
        <v>#REF!</v>
      </c>
    </row>
    <row r="9173" spans="1:12" hidden="1" x14ac:dyDescent="0.3">
      <c r="A9173" t="s">
        <v>69</v>
      </c>
      <c r="B9173" t="s">
        <v>70</v>
      </c>
      <c r="C9173" t="s">
        <v>129</v>
      </c>
      <c r="D9173" t="s">
        <v>130</v>
      </c>
      <c r="E9173">
        <v>2012</v>
      </c>
      <c r="F9173" s="1">
        <v>82</v>
      </c>
      <c r="G9173">
        <v>2010</v>
      </c>
      <c r="H9173">
        <f>AVERAGEIFS(Table1[value],Table1[IndicatorCode],Table1[[#This Row],[IndicatorCode]])</f>
        <v>72.66514008620689</v>
      </c>
      <c r="I9173" cm="1">
        <f t="array" ref="I9173">_xlfn.STDEV.P(IF(Table1[IndicatorCode]=Table1[[#This Row],[IndicatorCode]],Table1[value]))</f>
        <v>6.3409496564024987</v>
      </c>
      <c r="J9173">
        <f>(Table1[[#This Row],[value]] - Table1[[#This Row],[mean]]) / Table1[[#This Row],[std_dev]]</f>
        <v>1.4721548694788391</v>
      </c>
      <c r="K9173">
        <f>AVERAGEIF(Table1[CountryCode],Table1[[#This Row],[CountryCode]],Table1[z-score])</f>
        <v>0.20445029067007053</v>
      </c>
      <c r="L9173" t="e">
        <f>VLOOKUP(Table1[[#This Row],[CountryCode]],[1]!Table1[#All],1,FALSE)</f>
        <v>#REF!</v>
      </c>
    </row>
    <row r="9174" spans="1:12" hidden="1" x14ac:dyDescent="0.3">
      <c r="A9174" t="s">
        <v>69</v>
      </c>
      <c r="B9174" t="s">
        <v>70</v>
      </c>
      <c r="C9174" t="s">
        <v>129</v>
      </c>
      <c r="D9174" t="s">
        <v>130</v>
      </c>
      <c r="E9174">
        <v>2013</v>
      </c>
      <c r="F9174" s="1">
        <v>83</v>
      </c>
      <c r="G9174">
        <v>2010</v>
      </c>
      <c r="H9174">
        <f>AVERAGEIFS(Table1[value],Table1[IndicatorCode],Table1[[#This Row],[IndicatorCode]])</f>
        <v>72.66514008620689</v>
      </c>
      <c r="I9174" cm="1">
        <f t="array" ref="I9174">_xlfn.STDEV.P(IF(Table1[IndicatorCode]=Table1[[#This Row],[IndicatorCode]],Table1[value]))</f>
        <v>6.3409496564024987</v>
      </c>
      <c r="J9174">
        <f>(Table1[[#This Row],[value]] - Table1[[#This Row],[mean]]) / Table1[[#This Row],[std_dev]]</f>
        <v>1.6298599537622782</v>
      </c>
      <c r="K9174">
        <f>AVERAGEIF(Table1[CountryCode],Table1[[#This Row],[CountryCode]],Table1[z-score])</f>
        <v>0.20445029067007053</v>
      </c>
      <c r="L9174" t="e">
        <f>VLOOKUP(Table1[[#This Row],[CountryCode]],[1]!Table1[#All],1,FALSE)</f>
        <v>#REF!</v>
      </c>
    </row>
    <row r="9175" spans="1:12" hidden="1" x14ac:dyDescent="0.3">
      <c r="A9175" t="s">
        <v>69</v>
      </c>
      <c r="B9175" t="s">
        <v>70</v>
      </c>
      <c r="C9175" t="s">
        <v>129</v>
      </c>
      <c r="D9175" t="s">
        <v>130</v>
      </c>
      <c r="E9175">
        <v>2014</v>
      </c>
      <c r="F9175" s="1">
        <v>83</v>
      </c>
      <c r="G9175">
        <v>2010</v>
      </c>
      <c r="H9175">
        <f>AVERAGEIFS(Table1[value],Table1[IndicatorCode],Table1[[#This Row],[IndicatorCode]])</f>
        <v>72.66514008620689</v>
      </c>
      <c r="I9175" cm="1">
        <f t="array" ref="I9175">_xlfn.STDEV.P(IF(Table1[IndicatorCode]=Table1[[#This Row],[IndicatorCode]],Table1[value]))</f>
        <v>6.3409496564024987</v>
      </c>
      <c r="J9175">
        <f>(Table1[[#This Row],[value]] - Table1[[#This Row],[mean]]) / Table1[[#This Row],[std_dev]]</f>
        <v>1.6298599537622782</v>
      </c>
      <c r="K9175">
        <f>AVERAGEIF(Table1[CountryCode],Table1[[#This Row],[CountryCode]],Table1[z-score])</f>
        <v>0.20445029067007053</v>
      </c>
      <c r="L9175" t="e">
        <f>VLOOKUP(Table1[[#This Row],[CountryCode]],[1]!Table1[#All],1,FALSE)</f>
        <v>#REF!</v>
      </c>
    </row>
    <row r="9176" spans="1:12" hidden="1" x14ac:dyDescent="0.3">
      <c r="A9176" t="s">
        <v>69</v>
      </c>
      <c r="B9176" t="s">
        <v>70</v>
      </c>
      <c r="C9176" t="s">
        <v>129</v>
      </c>
      <c r="D9176" t="s">
        <v>130</v>
      </c>
      <c r="E9176">
        <v>2015</v>
      </c>
      <c r="F9176" s="1">
        <v>83</v>
      </c>
      <c r="G9176">
        <v>2010</v>
      </c>
      <c r="H9176">
        <f>AVERAGEIFS(Table1[value],Table1[IndicatorCode],Table1[[#This Row],[IndicatorCode]])</f>
        <v>72.66514008620689</v>
      </c>
      <c r="I9176" cm="1">
        <f t="array" ref="I9176">_xlfn.STDEV.P(IF(Table1[IndicatorCode]=Table1[[#This Row],[IndicatorCode]],Table1[value]))</f>
        <v>6.3409496564024987</v>
      </c>
      <c r="J9176">
        <f>(Table1[[#This Row],[value]] - Table1[[#This Row],[mean]]) / Table1[[#This Row],[std_dev]]</f>
        <v>1.6298599537622782</v>
      </c>
      <c r="K9176">
        <f>AVERAGEIF(Table1[CountryCode],Table1[[#This Row],[CountryCode]],Table1[z-score])</f>
        <v>0.20445029067007053</v>
      </c>
      <c r="L9176" t="e">
        <f>VLOOKUP(Table1[[#This Row],[CountryCode]],[1]!Table1[#All],1,FALSE)</f>
        <v>#REF!</v>
      </c>
    </row>
    <row r="9177" spans="1:12" hidden="1" x14ac:dyDescent="0.3">
      <c r="A9177" t="s">
        <v>69</v>
      </c>
      <c r="B9177" t="s">
        <v>70</v>
      </c>
      <c r="C9177" t="s">
        <v>129</v>
      </c>
      <c r="D9177" t="s">
        <v>130</v>
      </c>
      <c r="E9177">
        <v>2016</v>
      </c>
      <c r="F9177" s="1">
        <v>83</v>
      </c>
      <c r="G9177">
        <v>2010</v>
      </c>
      <c r="H9177">
        <f>AVERAGEIFS(Table1[value],Table1[IndicatorCode],Table1[[#This Row],[IndicatorCode]])</f>
        <v>72.66514008620689</v>
      </c>
      <c r="I9177" cm="1">
        <f t="array" ref="I9177">_xlfn.STDEV.P(IF(Table1[IndicatorCode]=Table1[[#This Row],[IndicatorCode]],Table1[value]))</f>
        <v>6.3409496564024987</v>
      </c>
      <c r="J9177">
        <f>(Table1[[#This Row],[value]] - Table1[[#This Row],[mean]]) / Table1[[#This Row],[std_dev]]</f>
        <v>1.6298599537622782</v>
      </c>
      <c r="K9177">
        <f>AVERAGEIF(Table1[CountryCode],Table1[[#This Row],[CountryCode]],Table1[z-score])</f>
        <v>0.20445029067007053</v>
      </c>
      <c r="L9177" t="e">
        <f>VLOOKUP(Table1[[#This Row],[CountryCode]],[1]!Table1[#All],1,FALSE)</f>
        <v>#REF!</v>
      </c>
    </row>
    <row r="9178" spans="1:12" hidden="1" x14ac:dyDescent="0.3">
      <c r="A9178" t="s">
        <v>69</v>
      </c>
      <c r="B9178" t="s">
        <v>70</v>
      </c>
      <c r="C9178" t="s">
        <v>129</v>
      </c>
      <c r="D9178" t="s">
        <v>130</v>
      </c>
      <c r="E9178">
        <v>2017</v>
      </c>
      <c r="F9178" s="1">
        <v>83</v>
      </c>
      <c r="G9178">
        <v>2020</v>
      </c>
      <c r="H9178">
        <f>AVERAGEIFS(Table1[value],Table1[IndicatorCode],Table1[[#This Row],[IndicatorCode]])</f>
        <v>72.66514008620689</v>
      </c>
      <c r="I9178" cm="1">
        <f t="array" ref="I9178">_xlfn.STDEV.P(IF(Table1[IndicatorCode]=Table1[[#This Row],[IndicatorCode]],Table1[value]))</f>
        <v>6.3409496564024987</v>
      </c>
      <c r="J9178">
        <f>(Table1[[#This Row],[value]] - Table1[[#This Row],[mean]]) / Table1[[#This Row],[std_dev]]</f>
        <v>1.6298599537622782</v>
      </c>
      <c r="K9178">
        <f>AVERAGEIF(Table1[CountryCode],Table1[[#This Row],[CountryCode]],Table1[z-score])</f>
        <v>0.20445029067007053</v>
      </c>
      <c r="L9178" t="e">
        <f>VLOOKUP(Table1[[#This Row],[CountryCode]],[1]!Table1[#All],1,FALSE)</f>
        <v>#REF!</v>
      </c>
    </row>
    <row r="9179" spans="1:12" hidden="1" x14ac:dyDescent="0.3">
      <c r="A9179" t="s">
        <v>69</v>
      </c>
      <c r="B9179" t="s">
        <v>70</v>
      </c>
      <c r="C9179" t="s">
        <v>129</v>
      </c>
      <c r="D9179" t="s">
        <v>130</v>
      </c>
      <c r="E9179">
        <v>2018</v>
      </c>
      <c r="F9179" s="1">
        <v>83</v>
      </c>
      <c r="G9179">
        <v>2020</v>
      </c>
      <c r="H9179">
        <f>AVERAGEIFS(Table1[value],Table1[IndicatorCode],Table1[[#This Row],[IndicatorCode]])</f>
        <v>72.66514008620689</v>
      </c>
      <c r="I9179" cm="1">
        <f t="array" ref="I9179">_xlfn.STDEV.P(IF(Table1[IndicatorCode]=Table1[[#This Row],[IndicatorCode]],Table1[value]))</f>
        <v>6.3409496564024987</v>
      </c>
      <c r="J9179">
        <f>(Table1[[#This Row],[value]] - Table1[[#This Row],[mean]]) / Table1[[#This Row],[std_dev]]</f>
        <v>1.6298599537622782</v>
      </c>
      <c r="K9179">
        <f>AVERAGEIF(Table1[CountryCode],Table1[[#This Row],[CountryCode]],Table1[z-score])</f>
        <v>0.20445029067007053</v>
      </c>
      <c r="L9179" t="e">
        <f>VLOOKUP(Table1[[#This Row],[CountryCode]],[1]!Table1[#All],1,FALSE)</f>
        <v>#REF!</v>
      </c>
    </row>
    <row r="9180" spans="1:12" hidden="1" x14ac:dyDescent="0.3">
      <c r="A9180" t="s">
        <v>69</v>
      </c>
      <c r="B9180" t="s">
        <v>70</v>
      </c>
      <c r="C9180" t="s">
        <v>129</v>
      </c>
      <c r="D9180" t="s">
        <v>130</v>
      </c>
      <c r="E9180">
        <v>2019</v>
      </c>
      <c r="F9180" s="1">
        <v>83</v>
      </c>
      <c r="G9180">
        <v>2020</v>
      </c>
      <c r="H9180">
        <f>AVERAGEIFS(Table1[value],Table1[IndicatorCode],Table1[[#This Row],[IndicatorCode]])</f>
        <v>72.66514008620689</v>
      </c>
      <c r="I9180" cm="1">
        <f t="array" ref="I9180">_xlfn.STDEV.P(IF(Table1[IndicatorCode]=Table1[[#This Row],[IndicatorCode]],Table1[value]))</f>
        <v>6.3409496564024987</v>
      </c>
      <c r="J9180">
        <f>(Table1[[#This Row],[value]] - Table1[[#This Row],[mean]]) / Table1[[#This Row],[std_dev]]</f>
        <v>1.6298599537622782</v>
      </c>
      <c r="K9180">
        <f>AVERAGEIF(Table1[CountryCode],Table1[[#This Row],[CountryCode]],Table1[z-score])</f>
        <v>0.20445029067007053</v>
      </c>
      <c r="L9180" t="e">
        <f>VLOOKUP(Table1[[#This Row],[CountryCode]],[1]!Table1[#All],1,FALSE)</f>
        <v>#REF!</v>
      </c>
    </row>
    <row r="9181" spans="1:12" x14ac:dyDescent="0.3">
      <c r="A9181" t="s">
        <v>69</v>
      </c>
      <c r="B9181" t="s">
        <v>70</v>
      </c>
      <c r="C9181" t="s">
        <v>129</v>
      </c>
      <c r="D9181" t="s">
        <v>130</v>
      </c>
      <c r="E9181">
        <v>2020</v>
      </c>
      <c r="F9181" s="1">
        <v>82</v>
      </c>
      <c r="G9181">
        <v>2020</v>
      </c>
      <c r="H9181">
        <f>AVERAGEIFS(Table1[value],Table1[IndicatorCode],Table1[[#This Row],[IndicatorCode]])</f>
        <v>72.66514008620689</v>
      </c>
      <c r="I9181" cm="1">
        <f t="array" ref="I9181">_xlfn.STDEV.P(IF(Table1[IndicatorCode]=Table1[[#This Row],[IndicatorCode]],Table1[value]))</f>
        <v>6.3409496564024987</v>
      </c>
      <c r="J9181">
        <f>(Table1[[#This Row],[value]] - Table1[[#This Row],[mean]]) / Table1[[#This Row],[std_dev]]</f>
        <v>1.4721548694788391</v>
      </c>
      <c r="K9181">
        <f>AVERAGEIF(Table1[CountryCode],Table1[[#This Row],[CountryCode]],Table1[z-score])</f>
        <v>0.20445029067007053</v>
      </c>
    </row>
    <row r="9182" spans="1:12" hidden="1" x14ac:dyDescent="0.3">
      <c r="A9182" t="s">
        <v>69</v>
      </c>
      <c r="B9182" t="s">
        <v>70</v>
      </c>
      <c r="C9182" t="s">
        <v>129</v>
      </c>
      <c r="D9182" t="s">
        <v>130</v>
      </c>
      <c r="E9182">
        <v>2021</v>
      </c>
      <c r="F9182" s="1">
        <v>83</v>
      </c>
      <c r="G9182">
        <v>1960</v>
      </c>
      <c r="H9182">
        <f>AVERAGEIFS(Table1[value],Table1[IndicatorCode],Table1[[#This Row],[IndicatorCode]])</f>
        <v>72.66514008620689</v>
      </c>
      <c r="I9182" cm="1">
        <f t="array" ref="I9182">_xlfn.STDEV.P(IF(Table1[IndicatorCode]=Table1[[#This Row],[IndicatorCode]],Table1[value]))</f>
        <v>6.3409496564024987</v>
      </c>
      <c r="J9182">
        <f>(Table1[[#This Row],[value]] - Table1[[#This Row],[mean]]) / Table1[[#This Row],[std_dev]]</f>
        <v>1.6298599537622782</v>
      </c>
      <c r="K9182">
        <f>AVERAGEIF(Table1[CountryCode],Table1[[#This Row],[CountryCode]],Table1[z-score])</f>
        <v>0.20445029067007053</v>
      </c>
      <c r="L9182" t="e">
        <f>VLOOKUP(Table1[[#This Row],[CountryCode]],[1]!Table1[#All],1,FALSE)</f>
        <v>#REF!</v>
      </c>
    </row>
    <row r="9183" spans="1:12" hidden="1" x14ac:dyDescent="0.3">
      <c r="A9183" t="s">
        <v>69</v>
      </c>
      <c r="B9183" t="s">
        <v>70</v>
      </c>
      <c r="C9183" t="s">
        <v>129</v>
      </c>
      <c r="D9183" t="s">
        <v>130</v>
      </c>
      <c r="E9183">
        <v>2022</v>
      </c>
      <c r="F9183" s="1">
        <v>83</v>
      </c>
      <c r="G9183">
        <v>1960</v>
      </c>
      <c r="H9183">
        <f>AVERAGEIFS(Table1[value],Table1[IndicatorCode],Table1[[#This Row],[IndicatorCode]])</f>
        <v>72.66514008620689</v>
      </c>
      <c r="I9183" cm="1">
        <f t="array" ref="I9183">_xlfn.STDEV.P(IF(Table1[IndicatorCode]=Table1[[#This Row],[IndicatorCode]],Table1[value]))</f>
        <v>6.3409496564024987</v>
      </c>
      <c r="J9183">
        <f>(Table1[[#This Row],[value]] - Table1[[#This Row],[mean]]) / Table1[[#This Row],[std_dev]]</f>
        <v>1.6298599537622782</v>
      </c>
      <c r="K9183">
        <f>AVERAGEIF(Table1[CountryCode],Table1[[#This Row],[CountryCode]],Table1[z-score])</f>
        <v>0.20445029067007053</v>
      </c>
      <c r="L9183" t="e">
        <f>VLOOKUP(Table1[[#This Row],[CountryCode]],[1]!Table1[#All],1,FALSE)</f>
        <v>#REF!</v>
      </c>
    </row>
    <row r="9184" spans="1:12" hidden="1" x14ac:dyDescent="0.3">
      <c r="A9184" t="s">
        <v>69</v>
      </c>
      <c r="B9184" t="s">
        <v>70</v>
      </c>
      <c r="C9184" t="s">
        <v>129</v>
      </c>
      <c r="D9184" t="s">
        <v>130</v>
      </c>
      <c r="E9184">
        <v>2023</v>
      </c>
      <c r="F9184" s="1">
        <v>84</v>
      </c>
      <c r="G9184">
        <v>1960</v>
      </c>
      <c r="H9184">
        <f>AVERAGEIFS(Table1[value],Table1[IndicatorCode],Table1[[#This Row],[IndicatorCode]])</f>
        <v>72.66514008620689</v>
      </c>
      <c r="I9184" cm="1">
        <f t="array" ref="I9184">_xlfn.STDEV.P(IF(Table1[IndicatorCode]=Table1[[#This Row],[IndicatorCode]],Table1[value]))</f>
        <v>6.3409496564024987</v>
      </c>
      <c r="J9184">
        <f>(Table1[[#This Row],[value]] - Table1[[#This Row],[mean]]) / Table1[[#This Row],[std_dev]]</f>
        <v>1.7875650380457173</v>
      </c>
      <c r="K9184">
        <f>AVERAGEIF(Table1[CountryCode],Table1[[#This Row],[CountryCode]],Table1[z-score])</f>
        <v>0.20445029067007053</v>
      </c>
      <c r="L9184" t="e">
        <f>VLOOKUP(Table1[[#This Row],[CountryCode]],[1]!Table1[#All],1,FALSE)</f>
        <v>#REF!</v>
      </c>
    </row>
    <row r="9185" spans="1:12" hidden="1" x14ac:dyDescent="0.3">
      <c r="A9185" t="s">
        <v>71</v>
      </c>
      <c r="B9185" t="s">
        <v>72</v>
      </c>
      <c r="C9185" t="s">
        <v>129</v>
      </c>
      <c r="D9185" t="s">
        <v>130</v>
      </c>
      <c r="E9185">
        <v>1960</v>
      </c>
      <c r="F9185" s="1">
        <v>58</v>
      </c>
      <c r="G9185">
        <v>1960</v>
      </c>
      <c r="H9185">
        <f>AVERAGEIFS(Table1[value],Table1[IndicatorCode],Table1[[#This Row],[IndicatorCode]])</f>
        <v>72.66514008620689</v>
      </c>
      <c r="I9185" cm="1">
        <f t="array" ref="I9185">_xlfn.STDEV.P(IF(Table1[IndicatorCode]=Table1[[#This Row],[IndicatorCode]],Table1[value]))</f>
        <v>6.3409496564024987</v>
      </c>
      <c r="J9185">
        <f>(Table1[[#This Row],[value]] - Table1[[#This Row],[mean]]) / Table1[[#This Row],[std_dev]]</f>
        <v>-2.3127671533236982</v>
      </c>
      <c r="K9185">
        <f>AVERAGEIF(Table1[CountryCode],Table1[[#This Row],[CountryCode]],Table1[z-score])</f>
        <v>-0.23196726817462951</v>
      </c>
      <c r="L9185" t="e">
        <f>VLOOKUP(Table1[[#This Row],[CountryCode]],[1]!Table1[#All],1,FALSE)</f>
        <v>#REF!</v>
      </c>
    </row>
    <row r="9186" spans="1:12" hidden="1" x14ac:dyDescent="0.3">
      <c r="A9186" t="s">
        <v>71</v>
      </c>
      <c r="B9186" t="s">
        <v>72</v>
      </c>
      <c r="C9186" t="s">
        <v>129</v>
      </c>
      <c r="D9186" t="s">
        <v>130</v>
      </c>
      <c r="E9186">
        <v>1961</v>
      </c>
      <c r="F9186" s="1">
        <v>58</v>
      </c>
      <c r="G9186">
        <v>1960</v>
      </c>
      <c r="H9186">
        <f>AVERAGEIFS(Table1[value],Table1[IndicatorCode],Table1[[#This Row],[IndicatorCode]])</f>
        <v>72.66514008620689</v>
      </c>
      <c r="I9186" cm="1">
        <f t="array" ref="I9186">_xlfn.STDEV.P(IF(Table1[IndicatorCode]=Table1[[#This Row],[IndicatorCode]],Table1[value]))</f>
        <v>6.3409496564024987</v>
      </c>
      <c r="J9186">
        <f>(Table1[[#This Row],[value]] - Table1[[#This Row],[mean]]) / Table1[[#This Row],[std_dev]]</f>
        <v>-2.3127671533236982</v>
      </c>
      <c r="K9186">
        <f>AVERAGEIF(Table1[CountryCode],Table1[[#This Row],[CountryCode]],Table1[z-score])</f>
        <v>-0.23196726817462951</v>
      </c>
      <c r="L9186" t="e">
        <f>VLOOKUP(Table1[[#This Row],[CountryCode]],[1]!Table1[#All],1,FALSE)</f>
        <v>#REF!</v>
      </c>
    </row>
    <row r="9187" spans="1:12" hidden="1" x14ac:dyDescent="0.3">
      <c r="A9187" t="s">
        <v>71</v>
      </c>
      <c r="B9187" t="s">
        <v>72</v>
      </c>
      <c r="C9187" t="s">
        <v>129</v>
      </c>
      <c r="D9187" t="s">
        <v>130</v>
      </c>
      <c r="E9187">
        <v>1962</v>
      </c>
      <c r="F9187" s="1">
        <v>58</v>
      </c>
      <c r="G9187">
        <v>1960</v>
      </c>
      <c r="H9187">
        <f>AVERAGEIFS(Table1[value],Table1[IndicatorCode],Table1[[#This Row],[IndicatorCode]])</f>
        <v>72.66514008620689</v>
      </c>
      <c r="I9187" cm="1">
        <f t="array" ref="I9187">_xlfn.STDEV.P(IF(Table1[IndicatorCode]=Table1[[#This Row],[IndicatorCode]],Table1[value]))</f>
        <v>6.3409496564024987</v>
      </c>
      <c r="J9187">
        <f>(Table1[[#This Row],[value]] - Table1[[#This Row],[mean]]) / Table1[[#This Row],[std_dev]]</f>
        <v>-2.3127671533236982</v>
      </c>
      <c r="K9187">
        <f>AVERAGEIF(Table1[CountryCode],Table1[[#This Row],[CountryCode]],Table1[z-score])</f>
        <v>-0.23196726817462951</v>
      </c>
      <c r="L9187" t="e">
        <f>VLOOKUP(Table1[[#This Row],[CountryCode]],[1]!Table1[#All],1,FALSE)</f>
        <v>#REF!</v>
      </c>
    </row>
    <row r="9188" spans="1:12" hidden="1" x14ac:dyDescent="0.3">
      <c r="A9188" t="s">
        <v>71</v>
      </c>
      <c r="B9188" t="s">
        <v>72</v>
      </c>
      <c r="C9188" t="s">
        <v>129</v>
      </c>
      <c r="D9188" t="s">
        <v>130</v>
      </c>
      <c r="E9188">
        <v>1963</v>
      </c>
      <c r="F9188" s="1">
        <v>59</v>
      </c>
      <c r="G9188">
        <v>1960</v>
      </c>
      <c r="H9188">
        <f>AVERAGEIFS(Table1[value],Table1[IndicatorCode],Table1[[#This Row],[IndicatorCode]])</f>
        <v>72.66514008620689</v>
      </c>
      <c r="I9188" cm="1">
        <f t="array" ref="I9188">_xlfn.STDEV.P(IF(Table1[IndicatorCode]=Table1[[#This Row],[IndicatorCode]],Table1[value]))</f>
        <v>6.3409496564024987</v>
      </c>
      <c r="J9188">
        <f>(Table1[[#This Row],[value]] - Table1[[#This Row],[mean]]) / Table1[[#This Row],[std_dev]]</f>
        <v>-2.1550620690402593</v>
      </c>
      <c r="K9188">
        <f>AVERAGEIF(Table1[CountryCode],Table1[[#This Row],[CountryCode]],Table1[z-score])</f>
        <v>-0.23196726817462951</v>
      </c>
      <c r="L9188" t="e">
        <f>VLOOKUP(Table1[[#This Row],[CountryCode]],[1]!Table1[#All],1,FALSE)</f>
        <v>#REF!</v>
      </c>
    </row>
    <row r="9189" spans="1:12" hidden="1" x14ac:dyDescent="0.3">
      <c r="A9189" t="s">
        <v>71</v>
      </c>
      <c r="B9189" t="s">
        <v>72</v>
      </c>
      <c r="C9189" t="s">
        <v>129</v>
      </c>
      <c r="D9189" t="s">
        <v>130</v>
      </c>
      <c r="E9189">
        <v>1964</v>
      </c>
      <c r="F9189" s="1">
        <v>59</v>
      </c>
      <c r="G9189">
        <v>1960</v>
      </c>
      <c r="H9189">
        <f>AVERAGEIFS(Table1[value],Table1[IndicatorCode],Table1[[#This Row],[IndicatorCode]])</f>
        <v>72.66514008620689</v>
      </c>
      <c r="I9189" cm="1">
        <f t="array" ref="I9189">_xlfn.STDEV.P(IF(Table1[IndicatorCode]=Table1[[#This Row],[IndicatorCode]],Table1[value]))</f>
        <v>6.3409496564024987</v>
      </c>
      <c r="J9189">
        <f>(Table1[[#This Row],[value]] - Table1[[#This Row],[mean]]) / Table1[[#This Row],[std_dev]]</f>
        <v>-2.1550620690402593</v>
      </c>
      <c r="K9189">
        <f>AVERAGEIF(Table1[CountryCode],Table1[[#This Row],[CountryCode]],Table1[z-score])</f>
        <v>-0.23196726817462951</v>
      </c>
      <c r="L9189" t="e">
        <f>VLOOKUP(Table1[[#This Row],[CountryCode]],[1]!Table1[#All],1,FALSE)</f>
        <v>#REF!</v>
      </c>
    </row>
    <row r="9190" spans="1:12" hidden="1" x14ac:dyDescent="0.3">
      <c r="A9190" t="s">
        <v>71</v>
      </c>
      <c r="B9190" t="s">
        <v>72</v>
      </c>
      <c r="C9190" t="s">
        <v>129</v>
      </c>
      <c r="D9190" t="s">
        <v>130</v>
      </c>
      <c r="E9190">
        <v>1965</v>
      </c>
      <c r="F9190" s="1">
        <v>59</v>
      </c>
      <c r="G9190">
        <v>1960</v>
      </c>
      <c r="H9190">
        <f>AVERAGEIFS(Table1[value],Table1[IndicatorCode],Table1[[#This Row],[IndicatorCode]])</f>
        <v>72.66514008620689</v>
      </c>
      <c r="I9190" cm="1">
        <f t="array" ref="I9190">_xlfn.STDEV.P(IF(Table1[IndicatorCode]=Table1[[#This Row],[IndicatorCode]],Table1[value]))</f>
        <v>6.3409496564024987</v>
      </c>
      <c r="J9190">
        <f>(Table1[[#This Row],[value]] - Table1[[#This Row],[mean]]) / Table1[[#This Row],[std_dev]]</f>
        <v>-2.1550620690402593</v>
      </c>
      <c r="K9190">
        <f>AVERAGEIF(Table1[CountryCode],Table1[[#This Row],[CountryCode]],Table1[z-score])</f>
        <v>-0.23196726817462951</v>
      </c>
      <c r="L9190" t="e">
        <f>VLOOKUP(Table1[[#This Row],[CountryCode]],[1]!Table1[#All],1,FALSE)</f>
        <v>#REF!</v>
      </c>
    </row>
    <row r="9191" spans="1:12" hidden="1" x14ac:dyDescent="0.3">
      <c r="A9191" t="s">
        <v>71</v>
      </c>
      <c r="B9191" t="s">
        <v>72</v>
      </c>
      <c r="C9191" t="s">
        <v>129</v>
      </c>
      <c r="D9191" t="s">
        <v>130</v>
      </c>
      <c r="E9191">
        <v>1966</v>
      </c>
      <c r="F9191" s="1">
        <v>59</v>
      </c>
      <c r="G9191">
        <v>1960</v>
      </c>
      <c r="H9191">
        <f>AVERAGEIFS(Table1[value],Table1[IndicatorCode],Table1[[#This Row],[IndicatorCode]])</f>
        <v>72.66514008620689</v>
      </c>
      <c r="I9191" cm="1">
        <f t="array" ref="I9191">_xlfn.STDEV.P(IF(Table1[IndicatorCode]=Table1[[#This Row],[IndicatorCode]],Table1[value]))</f>
        <v>6.3409496564024987</v>
      </c>
      <c r="J9191">
        <f>(Table1[[#This Row],[value]] - Table1[[#This Row],[mean]]) / Table1[[#This Row],[std_dev]]</f>
        <v>-2.1550620690402593</v>
      </c>
      <c r="K9191">
        <f>AVERAGEIF(Table1[CountryCode],Table1[[#This Row],[CountryCode]],Table1[z-score])</f>
        <v>-0.23196726817462951</v>
      </c>
      <c r="L9191" t="e">
        <f>VLOOKUP(Table1[[#This Row],[CountryCode]],[1]!Table1[#All],1,FALSE)</f>
        <v>#REF!</v>
      </c>
    </row>
    <row r="9192" spans="1:12" hidden="1" x14ac:dyDescent="0.3">
      <c r="A9192" t="s">
        <v>71</v>
      </c>
      <c r="B9192" t="s">
        <v>72</v>
      </c>
      <c r="C9192" t="s">
        <v>129</v>
      </c>
      <c r="D9192" t="s">
        <v>130</v>
      </c>
      <c r="E9192">
        <v>1967</v>
      </c>
      <c r="F9192" s="1">
        <v>59</v>
      </c>
      <c r="G9192">
        <v>1970</v>
      </c>
      <c r="H9192">
        <f>AVERAGEIFS(Table1[value],Table1[IndicatorCode],Table1[[#This Row],[IndicatorCode]])</f>
        <v>72.66514008620689</v>
      </c>
      <c r="I9192" cm="1">
        <f t="array" ref="I9192">_xlfn.STDEV.P(IF(Table1[IndicatorCode]=Table1[[#This Row],[IndicatorCode]],Table1[value]))</f>
        <v>6.3409496564024987</v>
      </c>
      <c r="J9192">
        <f>(Table1[[#This Row],[value]] - Table1[[#This Row],[mean]]) / Table1[[#This Row],[std_dev]]</f>
        <v>-2.1550620690402593</v>
      </c>
      <c r="K9192">
        <f>AVERAGEIF(Table1[CountryCode],Table1[[#This Row],[CountryCode]],Table1[z-score])</f>
        <v>-0.23196726817462951</v>
      </c>
      <c r="L9192" t="e">
        <f>VLOOKUP(Table1[[#This Row],[CountryCode]],[1]!Table1[#All],1,FALSE)</f>
        <v>#REF!</v>
      </c>
    </row>
    <row r="9193" spans="1:12" hidden="1" x14ac:dyDescent="0.3">
      <c r="A9193" t="s">
        <v>71</v>
      </c>
      <c r="B9193" t="s">
        <v>72</v>
      </c>
      <c r="C9193" t="s">
        <v>129</v>
      </c>
      <c r="D9193" t="s">
        <v>130</v>
      </c>
      <c r="E9193">
        <v>1968</v>
      </c>
      <c r="F9193" s="1">
        <v>60</v>
      </c>
      <c r="G9193">
        <v>1970</v>
      </c>
      <c r="H9193">
        <f>AVERAGEIFS(Table1[value],Table1[IndicatorCode],Table1[[#This Row],[IndicatorCode]])</f>
        <v>72.66514008620689</v>
      </c>
      <c r="I9193" cm="1">
        <f t="array" ref="I9193">_xlfn.STDEV.P(IF(Table1[IndicatorCode]=Table1[[#This Row],[IndicatorCode]],Table1[value]))</f>
        <v>6.3409496564024987</v>
      </c>
      <c r="J9193">
        <f>(Table1[[#This Row],[value]] - Table1[[#This Row],[mean]]) / Table1[[#This Row],[std_dev]]</f>
        <v>-1.9973569847568202</v>
      </c>
      <c r="K9193">
        <f>AVERAGEIF(Table1[CountryCode],Table1[[#This Row],[CountryCode]],Table1[z-score])</f>
        <v>-0.23196726817462951</v>
      </c>
      <c r="L9193" t="e">
        <f>VLOOKUP(Table1[[#This Row],[CountryCode]],[1]!Table1[#All],1,FALSE)</f>
        <v>#REF!</v>
      </c>
    </row>
    <row r="9194" spans="1:12" hidden="1" x14ac:dyDescent="0.3">
      <c r="A9194" t="s">
        <v>71</v>
      </c>
      <c r="B9194" t="s">
        <v>72</v>
      </c>
      <c r="C9194" t="s">
        <v>129</v>
      </c>
      <c r="D9194" t="s">
        <v>130</v>
      </c>
      <c r="E9194">
        <v>1969</v>
      </c>
      <c r="F9194" s="1">
        <v>60</v>
      </c>
      <c r="G9194">
        <v>1970</v>
      </c>
      <c r="H9194">
        <f>AVERAGEIFS(Table1[value],Table1[IndicatorCode],Table1[[#This Row],[IndicatorCode]])</f>
        <v>72.66514008620689</v>
      </c>
      <c r="I9194" cm="1">
        <f t="array" ref="I9194">_xlfn.STDEV.P(IF(Table1[IndicatorCode]=Table1[[#This Row],[IndicatorCode]],Table1[value]))</f>
        <v>6.3409496564024987</v>
      </c>
      <c r="J9194">
        <f>(Table1[[#This Row],[value]] - Table1[[#This Row],[mean]]) / Table1[[#This Row],[std_dev]]</f>
        <v>-1.9973569847568202</v>
      </c>
      <c r="K9194">
        <f>AVERAGEIF(Table1[CountryCode],Table1[[#This Row],[CountryCode]],Table1[z-score])</f>
        <v>-0.23196726817462951</v>
      </c>
      <c r="L9194" t="e">
        <f>VLOOKUP(Table1[[#This Row],[CountryCode]],[1]!Table1[#All],1,FALSE)</f>
        <v>#REF!</v>
      </c>
    </row>
    <row r="9195" spans="1:12" hidden="1" x14ac:dyDescent="0.3">
      <c r="A9195" t="s">
        <v>71</v>
      </c>
      <c r="B9195" t="s">
        <v>72</v>
      </c>
      <c r="C9195" t="s">
        <v>129</v>
      </c>
      <c r="D9195" t="s">
        <v>130</v>
      </c>
      <c r="E9195">
        <v>1970</v>
      </c>
      <c r="F9195" s="1">
        <v>60</v>
      </c>
      <c r="G9195">
        <v>1970</v>
      </c>
      <c r="H9195">
        <f>AVERAGEIFS(Table1[value],Table1[IndicatorCode],Table1[[#This Row],[IndicatorCode]])</f>
        <v>72.66514008620689</v>
      </c>
      <c r="I9195" cm="1">
        <f t="array" ref="I9195">_xlfn.STDEV.P(IF(Table1[IndicatorCode]=Table1[[#This Row],[IndicatorCode]],Table1[value]))</f>
        <v>6.3409496564024987</v>
      </c>
      <c r="J9195">
        <f>(Table1[[#This Row],[value]] - Table1[[#This Row],[mean]]) / Table1[[#This Row],[std_dev]]</f>
        <v>-1.9973569847568202</v>
      </c>
      <c r="K9195">
        <f>AVERAGEIF(Table1[CountryCode],Table1[[#This Row],[CountryCode]],Table1[z-score])</f>
        <v>-0.23196726817462951</v>
      </c>
      <c r="L9195" t="e">
        <f>VLOOKUP(Table1[[#This Row],[CountryCode]],[1]!Table1[#All],1,FALSE)</f>
        <v>#REF!</v>
      </c>
    </row>
    <row r="9196" spans="1:12" hidden="1" x14ac:dyDescent="0.3">
      <c r="A9196" t="s">
        <v>71</v>
      </c>
      <c r="B9196" t="s">
        <v>72</v>
      </c>
      <c r="C9196" t="s">
        <v>129</v>
      </c>
      <c r="D9196" t="s">
        <v>130</v>
      </c>
      <c r="E9196">
        <v>1971</v>
      </c>
      <c r="F9196" s="1">
        <v>60</v>
      </c>
      <c r="G9196">
        <v>1970</v>
      </c>
      <c r="H9196">
        <f>AVERAGEIFS(Table1[value],Table1[IndicatorCode],Table1[[#This Row],[IndicatorCode]])</f>
        <v>72.66514008620689</v>
      </c>
      <c r="I9196" cm="1">
        <f t="array" ref="I9196">_xlfn.STDEV.P(IF(Table1[IndicatorCode]=Table1[[#This Row],[IndicatorCode]],Table1[value]))</f>
        <v>6.3409496564024987</v>
      </c>
      <c r="J9196">
        <f>(Table1[[#This Row],[value]] - Table1[[#This Row],[mean]]) / Table1[[#This Row],[std_dev]]</f>
        <v>-1.9973569847568202</v>
      </c>
      <c r="K9196">
        <f>AVERAGEIF(Table1[CountryCode],Table1[[#This Row],[CountryCode]],Table1[z-score])</f>
        <v>-0.23196726817462951</v>
      </c>
      <c r="L9196" t="e">
        <f>VLOOKUP(Table1[[#This Row],[CountryCode]],[1]!Table1[#All],1,FALSE)</f>
        <v>#REF!</v>
      </c>
    </row>
    <row r="9197" spans="1:12" hidden="1" x14ac:dyDescent="0.3">
      <c r="A9197" t="s">
        <v>71</v>
      </c>
      <c r="B9197" t="s">
        <v>72</v>
      </c>
      <c r="C9197" t="s">
        <v>129</v>
      </c>
      <c r="D9197" t="s">
        <v>130</v>
      </c>
      <c r="E9197">
        <v>1972</v>
      </c>
      <c r="F9197" s="1">
        <v>60</v>
      </c>
      <c r="G9197">
        <v>1970</v>
      </c>
      <c r="H9197">
        <f>AVERAGEIFS(Table1[value],Table1[IndicatorCode],Table1[[#This Row],[IndicatorCode]])</f>
        <v>72.66514008620689</v>
      </c>
      <c r="I9197" cm="1">
        <f t="array" ref="I9197">_xlfn.STDEV.P(IF(Table1[IndicatorCode]=Table1[[#This Row],[IndicatorCode]],Table1[value]))</f>
        <v>6.3409496564024987</v>
      </c>
      <c r="J9197">
        <f>(Table1[[#This Row],[value]] - Table1[[#This Row],[mean]]) / Table1[[#This Row],[std_dev]]</f>
        <v>-1.9973569847568202</v>
      </c>
      <c r="K9197">
        <f>AVERAGEIF(Table1[CountryCode],Table1[[#This Row],[CountryCode]],Table1[z-score])</f>
        <v>-0.23196726817462951</v>
      </c>
      <c r="L9197" t="e">
        <f>VLOOKUP(Table1[[#This Row],[CountryCode]],[1]!Table1[#All],1,FALSE)</f>
        <v>#REF!</v>
      </c>
    </row>
    <row r="9198" spans="1:12" hidden="1" x14ac:dyDescent="0.3">
      <c r="A9198" t="s">
        <v>71</v>
      </c>
      <c r="B9198" t="s">
        <v>72</v>
      </c>
      <c r="C9198" t="s">
        <v>129</v>
      </c>
      <c r="D9198" t="s">
        <v>130</v>
      </c>
      <c r="E9198">
        <v>1973</v>
      </c>
      <c r="F9198" s="1">
        <v>61</v>
      </c>
      <c r="G9198">
        <v>1970</v>
      </c>
      <c r="H9198">
        <f>AVERAGEIFS(Table1[value],Table1[IndicatorCode],Table1[[#This Row],[IndicatorCode]])</f>
        <v>72.66514008620689</v>
      </c>
      <c r="I9198" cm="1">
        <f t="array" ref="I9198">_xlfn.STDEV.P(IF(Table1[IndicatorCode]=Table1[[#This Row],[IndicatorCode]],Table1[value]))</f>
        <v>6.3409496564024987</v>
      </c>
      <c r="J9198">
        <f>(Table1[[#This Row],[value]] - Table1[[#This Row],[mean]]) / Table1[[#This Row],[std_dev]]</f>
        <v>-1.8396519004733811</v>
      </c>
      <c r="K9198">
        <f>AVERAGEIF(Table1[CountryCode],Table1[[#This Row],[CountryCode]],Table1[z-score])</f>
        <v>-0.23196726817462951</v>
      </c>
      <c r="L9198" t="e">
        <f>VLOOKUP(Table1[[#This Row],[CountryCode]],[1]!Table1[#All],1,FALSE)</f>
        <v>#REF!</v>
      </c>
    </row>
    <row r="9199" spans="1:12" hidden="1" x14ac:dyDescent="0.3">
      <c r="A9199" t="s">
        <v>71</v>
      </c>
      <c r="B9199" t="s">
        <v>72</v>
      </c>
      <c r="C9199" t="s">
        <v>129</v>
      </c>
      <c r="D9199" t="s">
        <v>130</v>
      </c>
      <c r="E9199">
        <v>1974</v>
      </c>
      <c r="F9199" s="1">
        <v>61</v>
      </c>
      <c r="G9199">
        <v>1970</v>
      </c>
      <c r="H9199">
        <f>AVERAGEIFS(Table1[value],Table1[IndicatorCode],Table1[[#This Row],[IndicatorCode]])</f>
        <v>72.66514008620689</v>
      </c>
      <c r="I9199" cm="1">
        <f t="array" ref="I9199">_xlfn.STDEV.P(IF(Table1[IndicatorCode]=Table1[[#This Row],[IndicatorCode]],Table1[value]))</f>
        <v>6.3409496564024987</v>
      </c>
      <c r="J9199">
        <f>(Table1[[#This Row],[value]] - Table1[[#This Row],[mean]]) / Table1[[#This Row],[std_dev]]</f>
        <v>-1.8396519004733811</v>
      </c>
      <c r="K9199">
        <f>AVERAGEIF(Table1[CountryCode],Table1[[#This Row],[CountryCode]],Table1[z-score])</f>
        <v>-0.23196726817462951</v>
      </c>
      <c r="L9199" t="e">
        <f>VLOOKUP(Table1[[#This Row],[CountryCode]],[1]!Table1[#All],1,FALSE)</f>
        <v>#REF!</v>
      </c>
    </row>
    <row r="9200" spans="1:12" hidden="1" x14ac:dyDescent="0.3">
      <c r="A9200" t="s">
        <v>71</v>
      </c>
      <c r="B9200" t="s">
        <v>72</v>
      </c>
      <c r="C9200" t="s">
        <v>129</v>
      </c>
      <c r="D9200" t="s">
        <v>130</v>
      </c>
      <c r="E9200">
        <v>1975</v>
      </c>
      <c r="F9200" s="1">
        <v>61</v>
      </c>
      <c r="G9200">
        <v>1970</v>
      </c>
      <c r="H9200">
        <f>AVERAGEIFS(Table1[value],Table1[IndicatorCode],Table1[[#This Row],[IndicatorCode]])</f>
        <v>72.66514008620689</v>
      </c>
      <c r="I9200" cm="1">
        <f t="array" ref="I9200">_xlfn.STDEV.P(IF(Table1[IndicatorCode]=Table1[[#This Row],[IndicatorCode]],Table1[value]))</f>
        <v>6.3409496564024987</v>
      </c>
      <c r="J9200">
        <f>(Table1[[#This Row],[value]] - Table1[[#This Row],[mean]]) / Table1[[#This Row],[std_dev]]</f>
        <v>-1.8396519004733811</v>
      </c>
      <c r="K9200">
        <f>AVERAGEIF(Table1[CountryCode],Table1[[#This Row],[CountryCode]],Table1[z-score])</f>
        <v>-0.23196726817462951</v>
      </c>
      <c r="L9200" t="e">
        <f>VLOOKUP(Table1[[#This Row],[CountryCode]],[1]!Table1[#All],1,FALSE)</f>
        <v>#REF!</v>
      </c>
    </row>
    <row r="9201" spans="1:12" hidden="1" x14ac:dyDescent="0.3">
      <c r="A9201" t="s">
        <v>71</v>
      </c>
      <c r="B9201" t="s">
        <v>72</v>
      </c>
      <c r="C9201" t="s">
        <v>129</v>
      </c>
      <c r="D9201" t="s">
        <v>130</v>
      </c>
      <c r="E9201">
        <v>1976</v>
      </c>
      <c r="F9201" s="1">
        <v>61</v>
      </c>
      <c r="G9201">
        <v>1970</v>
      </c>
      <c r="H9201">
        <f>AVERAGEIFS(Table1[value],Table1[IndicatorCode],Table1[[#This Row],[IndicatorCode]])</f>
        <v>72.66514008620689</v>
      </c>
      <c r="I9201" cm="1">
        <f t="array" ref="I9201">_xlfn.STDEV.P(IF(Table1[IndicatorCode]=Table1[[#This Row],[IndicatorCode]],Table1[value]))</f>
        <v>6.3409496564024987</v>
      </c>
      <c r="J9201">
        <f>(Table1[[#This Row],[value]] - Table1[[#This Row],[mean]]) / Table1[[#This Row],[std_dev]]</f>
        <v>-1.8396519004733811</v>
      </c>
      <c r="K9201">
        <f>AVERAGEIF(Table1[CountryCode],Table1[[#This Row],[CountryCode]],Table1[z-score])</f>
        <v>-0.23196726817462951</v>
      </c>
      <c r="L9201" t="e">
        <f>VLOOKUP(Table1[[#This Row],[CountryCode]],[1]!Table1[#All],1,FALSE)</f>
        <v>#REF!</v>
      </c>
    </row>
    <row r="9202" spans="1:12" hidden="1" x14ac:dyDescent="0.3">
      <c r="A9202" t="s">
        <v>71</v>
      </c>
      <c r="B9202" t="s">
        <v>72</v>
      </c>
      <c r="C9202" t="s">
        <v>129</v>
      </c>
      <c r="D9202" t="s">
        <v>130</v>
      </c>
      <c r="E9202">
        <v>1977</v>
      </c>
      <c r="F9202" s="1">
        <v>62</v>
      </c>
      <c r="G9202">
        <v>1980</v>
      </c>
      <c r="H9202">
        <f>AVERAGEIFS(Table1[value],Table1[IndicatorCode],Table1[[#This Row],[IndicatorCode]])</f>
        <v>72.66514008620689</v>
      </c>
      <c r="I9202" cm="1">
        <f t="array" ref="I9202">_xlfn.STDEV.P(IF(Table1[IndicatorCode]=Table1[[#This Row],[IndicatorCode]],Table1[value]))</f>
        <v>6.3409496564024987</v>
      </c>
      <c r="J9202">
        <f>(Table1[[#This Row],[value]] - Table1[[#This Row],[mean]]) / Table1[[#This Row],[std_dev]]</f>
        <v>-1.681946816189942</v>
      </c>
      <c r="K9202">
        <f>AVERAGEIF(Table1[CountryCode],Table1[[#This Row],[CountryCode]],Table1[z-score])</f>
        <v>-0.23196726817462951</v>
      </c>
      <c r="L9202" t="e">
        <f>VLOOKUP(Table1[[#This Row],[CountryCode]],[1]!Table1[#All],1,FALSE)</f>
        <v>#REF!</v>
      </c>
    </row>
    <row r="9203" spans="1:12" hidden="1" x14ac:dyDescent="0.3">
      <c r="A9203" t="s">
        <v>71</v>
      </c>
      <c r="B9203" t="s">
        <v>72</v>
      </c>
      <c r="C9203" t="s">
        <v>129</v>
      </c>
      <c r="D9203" t="s">
        <v>130</v>
      </c>
      <c r="E9203">
        <v>1978</v>
      </c>
      <c r="F9203" s="1">
        <v>62</v>
      </c>
      <c r="G9203">
        <v>1980</v>
      </c>
      <c r="H9203">
        <f>AVERAGEIFS(Table1[value],Table1[IndicatorCode],Table1[[#This Row],[IndicatorCode]])</f>
        <v>72.66514008620689</v>
      </c>
      <c r="I9203" cm="1">
        <f t="array" ref="I9203">_xlfn.STDEV.P(IF(Table1[IndicatorCode]=Table1[[#This Row],[IndicatorCode]],Table1[value]))</f>
        <v>6.3409496564024987</v>
      </c>
      <c r="J9203">
        <f>(Table1[[#This Row],[value]] - Table1[[#This Row],[mean]]) / Table1[[#This Row],[std_dev]]</f>
        <v>-1.681946816189942</v>
      </c>
      <c r="K9203">
        <f>AVERAGEIF(Table1[CountryCode],Table1[[#This Row],[CountryCode]],Table1[z-score])</f>
        <v>-0.23196726817462951</v>
      </c>
      <c r="L9203" t="e">
        <f>VLOOKUP(Table1[[#This Row],[CountryCode]],[1]!Table1[#All],1,FALSE)</f>
        <v>#REF!</v>
      </c>
    </row>
    <row r="9204" spans="1:12" hidden="1" x14ac:dyDescent="0.3">
      <c r="A9204" t="s">
        <v>71</v>
      </c>
      <c r="B9204" t="s">
        <v>72</v>
      </c>
      <c r="C9204" t="s">
        <v>129</v>
      </c>
      <c r="D9204" t="s">
        <v>130</v>
      </c>
      <c r="E9204">
        <v>1979</v>
      </c>
      <c r="F9204" s="1">
        <v>62</v>
      </c>
      <c r="G9204">
        <v>1980</v>
      </c>
      <c r="H9204">
        <f>AVERAGEIFS(Table1[value],Table1[IndicatorCode],Table1[[#This Row],[IndicatorCode]])</f>
        <v>72.66514008620689</v>
      </c>
      <c r="I9204" cm="1">
        <f t="array" ref="I9204">_xlfn.STDEV.P(IF(Table1[IndicatorCode]=Table1[[#This Row],[IndicatorCode]],Table1[value]))</f>
        <v>6.3409496564024987</v>
      </c>
      <c r="J9204">
        <f>(Table1[[#This Row],[value]] - Table1[[#This Row],[mean]]) / Table1[[#This Row],[std_dev]]</f>
        <v>-1.681946816189942</v>
      </c>
      <c r="K9204">
        <f>AVERAGEIF(Table1[CountryCode],Table1[[#This Row],[CountryCode]],Table1[z-score])</f>
        <v>-0.23196726817462951</v>
      </c>
      <c r="L9204" t="e">
        <f>VLOOKUP(Table1[[#This Row],[CountryCode]],[1]!Table1[#All],1,FALSE)</f>
        <v>#REF!</v>
      </c>
    </row>
    <row r="9205" spans="1:12" hidden="1" x14ac:dyDescent="0.3">
      <c r="A9205" t="s">
        <v>71</v>
      </c>
      <c r="B9205" t="s">
        <v>72</v>
      </c>
      <c r="C9205" t="s">
        <v>129</v>
      </c>
      <c r="D9205" t="s">
        <v>130</v>
      </c>
      <c r="E9205">
        <v>1980</v>
      </c>
      <c r="F9205" s="1">
        <v>63</v>
      </c>
      <c r="G9205">
        <v>1980</v>
      </c>
      <c r="H9205">
        <f>AVERAGEIFS(Table1[value],Table1[IndicatorCode],Table1[[#This Row],[IndicatorCode]])</f>
        <v>72.66514008620689</v>
      </c>
      <c r="I9205" cm="1">
        <f t="array" ref="I9205">_xlfn.STDEV.P(IF(Table1[IndicatorCode]=Table1[[#This Row],[IndicatorCode]],Table1[value]))</f>
        <v>6.3409496564024987</v>
      </c>
      <c r="J9205">
        <f>(Table1[[#This Row],[value]] - Table1[[#This Row],[mean]]) / Table1[[#This Row],[std_dev]]</f>
        <v>-1.5242417319065029</v>
      </c>
      <c r="K9205">
        <f>AVERAGEIF(Table1[CountryCode],Table1[[#This Row],[CountryCode]],Table1[z-score])</f>
        <v>-0.23196726817462951</v>
      </c>
      <c r="L9205" t="e">
        <f>VLOOKUP(Table1[[#This Row],[CountryCode]],[1]!Table1[#All],1,FALSE)</f>
        <v>#REF!</v>
      </c>
    </row>
    <row r="9206" spans="1:12" hidden="1" x14ac:dyDescent="0.3">
      <c r="A9206" t="s">
        <v>71</v>
      </c>
      <c r="B9206" t="s">
        <v>72</v>
      </c>
      <c r="C9206" t="s">
        <v>129</v>
      </c>
      <c r="D9206" t="s">
        <v>130</v>
      </c>
      <c r="E9206">
        <v>1981</v>
      </c>
      <c r="F9206" s="1">
        <v>63</v>
      </c>
      <c r="G9206">
        <v>1980</v>
      </c>
      <c r="H9206">
        <f>AVERAGEIFS(Table1[value],Table1[IndicatorCode],Table1[[#This Row],[IndicatorCode]])</f>
        <v>72.66514008620689</v>
      </c>
      <c r="I9206" cm="1">
        <f t="array" ref="I9206">_xlfn.STDEV.P(IF(Table1[IndicatorCode]=Table1[[#This Row],[IndicatorCode]],Table1[value]))</f>
        <v>6.3409496564024987</v>
      </c>
      <c r="J9206">
        <f>(Table1[[#This Row],[value]] - Table1[[#This Row],[mean]]) / Table1[[#This Row],[std_dev]]</f>
        <v>-1.5242417319065029</v>
      </c>
      <c r="K9206">
        <f>AVERAGEIF(Table1[CountryCode],Table1[[#This Row],[CountryCode]],Table1[z-score])</f>
        <v>-0.23196726817462951</v>
      </c>
      <c r="L9206" t="e">
        <f>VLOOKUP(Table1[[#This Row],[CountryCode]],[1]!Table1[#All],1,FALSE)</f>
        <v>#REF!</v>
      </c>
    </row>
    <row r="9207" spans="1:12" hidden="1" x14ac:dyDescent="0.3">
      <c r="A9207" t="s">
        <v>71</v>
      </c>
      <c r="B9207" t="s">
        <v>72</v>
      </c>
      <c r="C9207" t="s">
        <v>129</v>
      </c>
      <c r="D9207" t="s">
        <v>130</v>
      </c>
      <c r="E9207">
        <v>1982</v>
      </c>
      <c r="F9207" s="1">
        <v>64</v>
      </c>
      <c r="G9207">
        <v>1980</v>
      </c>
      <c r="H9207">
        <f>AVERAGEIFS(Table1[value],Table1[IndicatorCode],Table1[[#This Row],[IndicatorCode]])</f>
        <v>72.66514008620689</v>
      </c>
      <c r="I9207" cm="1">
        <f t="array" ref="I9207">_xlfn.STDEV.P(IF(Table1[IndicatorCode]=Table1[[#This Row],[IndicatorCode]],Table1[value]))</f>
        <v>6.3409496564024987</v>
      </c>
      <c r="J9207">
        <f>(Table1[[#This Row],[value]] - Table1[[#This Row],[mean]]) / Table1[[#This Row],[std_dev]]</f>
        <v>-1.3665366476230638</v>
      </c>
      <c r="K9207">
        <f>AVERAGEIF(Table1[CountryCode],Table1[[#This Row],[CountryCode]],Table1[z-score])</f>
        <v>-0.23196726817462951</v>
      </c>
      <c r="L9207" t="e">
        <f>VLOOKUP(Table1[[#This Row],[CountryCode]],[1]!Table1[#All],1,FALSE)</f>
        <v>#REF!</v>
      </c>
    </row>
    <row r="9208" spans="1:12" hidden="1" x14ac:dyDescent="0.3">
      <c r="A9208" t="s">
        <v>71</v>
      </c>
      <c r="B9208" t="s">
        <v>72</v>
      </c>
      <c r="C9208" t="s">
        <v>129</v>
      </c>
      <c r="D9208" t="s">
        <v>130</v>
      </c>
      <c r="E9208">
        <v>1983</v>
      </c>
      <c r="F9208" s="1">
        <v>64</v>
      </c>
      <c r="G9208">
        <v>1980</v>
      </c>
      <c r="H9208">
        <f>AVERAGEIFS(Table1[value],Table1[IndicatorCode],Table1[[#This Row],[IndicatorCode]])</f>
        <v>72.66514008620689</v>
      </c>
      <c r="I9208" cm="1">
        <f t="array" ref="I9208">_xlfn.STDEV.P(IF(Table1[IndicatorCode]=Table1[[#This Row],[IndicatorCode]],Table1[value]))</f>
        <v>6.3409496564024987</v>
      </c>
      <c r="J9208">
        <f>(Table1[[#This Row],[value]] - Table1[[#This Row],[mean]]) / Table1[[#This Row],[std_dev]]</f>
        <v>-1.3665366476230638</v>
      </c>
      <c r="K9208">
        <f>AVERAGEIF(Table1[CountryCode],Table1[[#This Row],[CountryCode]],Table1[z-score])</f>
        <v>-0.23196726817462951</v>
      </c>
      <c r="L9208" t="e">
        <f>VLOOKUP(Table1[[#This Row],[CountryCode]],[1]!Table1[#All],1,FALSE)</f>
        <v>#REF!</v>
      </c>
    </row>
    <row r="9209" spans="1:12" hidden="1" x14ac:dyDescent="0.3">
      <c r="A9209" t="s">
        <v>71</v>
      </c>
      <c r="B9209" t="s">
        <v>72</v>
      </c>
      <c r="C9209" t="s">
        <v>129</v>
      </c>
      <c r="D9209" t="s">
        <v>130</v>
      </c>
      <c r="E9209">
        <v>1984</v>
      </c>
      <c r="F9209" s="1">
        <v>65</v>
      </c>
      <c r="G9209">
        <v>1980</v>
      </c>
      <c r="H9209">
        <f>AVERAGEIFS(Table1[value],Table1[IndicatorCode],Table1[[#This Row],[IndicatorCode]])</f>
        <v>72.66514008620689</v>
      </c>
      <c r="I9209" cm="1">
        <f t="array" ref="I9209">_xlfn.STDEV.P(IF(Table1[IndicatorCode]=Table1[[#This Row],[IndicatorCode]],Table1[value]))</f>
        <v>6.3409496564024987</v>
      </c>
      <c r="J9209">
        <f>(Table1[[#This Row],[value]] - Table1[[#This Row],[mean]]) / Table1[[#This Row],[std_dev]]</f>
        <v>-1.2088315633396249</v>
      </c>
      <c r="K9209">
        <f>AVERAGEIF(Table1[CountryCode],Table1[[#This Row],[CountryCode]],Table1[z-score])</f>
        <v>-0.23196726817462951</v>
      </c>
      <c r="L9209" t="e">
        <f>VLOOKUP(Table1[[#This Row],[CountryCode]],[1]!Table1[#All],1,FALSE)</f>
        <v>#REF!</v>
      </c>
    </row>
    <row r="9210" spans="1:12" hidden="1" x14ac:dyDescent="0.3">
      <c r="A9210" t="s">
        <v>71</v>
      </c>
      <c r="B9210" t="s">
        <v>72</v>
      </c>
      <c r="C9210" t="s">
        <v>129</v>
      </c>
      <c r="D9210" t="s">
        <v>130</v>
      </c>
      <c r="E9210">
        <v>1985</v>
      </c>
      <c r="F9210" s="1">
        <v>65</v>
      </c>
      <c r="G9210">
        <v>1980</v>
      </c>
      <c r="H9210">
        <f>AVERAGEIFS(Table1[value],Table1[IndicatorCode],Table1[[#This Row],[IndicatorCode]])</f>
        <v>72.66514008620689</v>
      </c>
      <c r="I9210" cm="1">
        <f t="array" ref="I9210">_xlfn.STDEV.P(IF(Table1[IndicatorCode]=Table1[[#This Row],[IndicatorCode]],Table1[value]))</f>
        <v>6.3409496564024987</v>
      </c>
      <c r="J9210">
        <f>(Table1[[#This Row],[value]] - Table1[[#This Row],[mean]]) / Table1[[#This Row],[std_dev]]</f>
        <v>-1.2088315633396249</v>
      </c>
      <c r="K9210">
        <f>AVERAGEIF(Table1[CountryCode],Table1[[#This Row],[CountryCode]],Table1[z-score])</f>
        <v>-0.23196726817462951</v>
      </c>
      <c r="L9210" t="e">
        <f>VLOOKUP(Table1[[#This Row],[CountryCode]],[1]!Table1[#All],1,FALSE)</f>
        <v>#REF!</v>
      </c>
    </row>
    <row r="9211" spans="1:12" hidden="1" x14ac:dyDescent="0.3">
      <c r="A9211" t="s">
        <v>71</v>
      </c>
      <c r="B9211" t="s">
        <v>72</v>
      </c>
      <c r="C9211" t="s">
        <v>129</v>
      </c>
      <c r="D9211" t="s">
        <v>130</v>
      </c>
      <c r="E9211">
        <v>1986</v>
      </c>
      <c r="F9211" s="1">
        <v>66</v>
      </c>
      <c r="G9211">
        <v>1980</v>
      </c>
      <c r="H9211">
        <f>AVERAGEIFS(Table1[value],Table1[IndicatorCode],Table1[[#This Row],[IndicatorCode]])</f>
        <v>72.66514008620689</v>
      </c>
      <c r="I9211" cm="1">
        <f t="array" ref="I9211">_xlfn.STDEV.P(IF(Table1[IndicatorCode]=Table1[[#This Row],[IndicatorCode]],Table1[value]))</f>
        <v>6.3409496564024987</v>
      </c>
      <c r="J9211">
        <f>(Table1[[#This Row],[value]] - Table1[[#This Row],[mean]]) / Table1[[#This Row],[std_dev]]</f>
        <v>-1.0511264790561858</v>
      </c>
      <c r="K9211">
        <f>AVERAGEIF(Table1[CountryCode],Table1[[#This Row],[CountryCode]],Table1[z-score])</f>
        <v>-0.23196726817462951</v>
      </c>
      <c r="L9211" t="e">
        <f>VLOOKUP(Table1[[#This Row],[CountryCode]],[1]!Table1[#All],1,FALSE)</f>
        <v>#REF!</v>
      </c>
    </row>
    <row r="9212" spans="1:12" hidden="1" x14ac:dyDescent="0.3">
      <c r="A9212" t="s">
        <v>71</v>
      </c>
      <c r="B9212" t="s">
        <v>72</v>
      </c>
      <c r="C9212" t="s">
        <v>129</v>
      </c>
      <c r="D9212" t="s">
        <v>130</v>
      </c>
      <c r="E9212">
        <v>1987</v>
      </c>
      <c r="F9212" s="1">
        <v>66</v>
      </c>
      <c r="G9212">
        <v>1990</v>
      </c>
      <c r="H9212">
        <f>AVERAGEIFS(Table1[value],Table1[IndicatorCode],Table1[[#This Row],[IndicatorCode]])</f>
        <v>72.66514008620689</v>
      </c>
      <c r="I9212" cm="1">
        <f t="array" ref="I9212">_xlfn.STDEV.P(IF(Table1[IndicatorCode]=Table1[[#This Row],[IndicatorCode]],Table1[value]))</f>
        <v>6.3409496564024987</v>
      </c>
      <c r="J9212">
        <f>(Table1[[#This Row],[value]] - Table1[[#This Row],[mean]]) / Table1[[#This Row],[std_dev]]</f>
        <v>-1.0511264790561858</v>
      </c>
      <c r="K9212">
        <f>AVERAGEIF(Table1[CountryCode],Table1[[#This Row],[CountryCode]],Table1[z-score])</f>
        <v>-0.23196726817462951</v>
      </c>
      <c r="L9212" t="e">
        <f>VLOOKUP(Table1[[#This Row],[CountryCode]],[1]!Table1[#All],1,FALSE)</f>
        <v>#REF!</v>
      </c>
    </row>
    <row r="9213" spans="1:12" hidden="1" x14ac:dyDescent="0.3">
      <c r="A9213" t="s">
        <v>71</v>
      </c>
      <c r="B9213" t="s">
        <v>72</v>
      </c>
      <c r="C9213" t="s">
        <v>129</v>
      </c>
      <c r="D9213" t="s">
        <v>130</v>
      </c>
      <c r="E9213">
        <v>1988</v>
      </c>
      <c r="F9213" s="1">
        <v>66</v>
      </c>
      <c r="G9213">
        <v>1990</v>
      </c>
      <c r="H9213">
        <f>AVERAGEIFS(Table1[value],Table1[IndicatorCode],Table1[[#This Row],[IndicatorCode]])</f>
        <v>72.66514008620689</v>
      </c>
      <c r="I9213" cm="1">
        <f t="array" ref="I9213">_xlfn.STDEV.P(IF(Table1[IndicatorCode]=Table1[[#This Row],[IndicatorCode]],Table1[value]))</f>
        <v>6.3409496564024987</v>
      </c>
      <c r="J9213">
        <f>(Table1[[#This Row],[value]] - Table1[[#This Row],[mean]]) / Table1[[#This Row],[std_dev]]</f>
        <v>-1.0511264790561858</v>
      </c>
      <c r="K9213">
        <f>AVERAGEIF(Table1[CountryCode],Table1[[#This Row],[CountryCode]],Table1[z-score])</f>
        <v>-0.23196726817462951</v>
      </c>
      <c r="L9213" t="e">
        <f>VLOOKUP(Table1[[#This Row],[CountryCode]],[1]!Table1[#All],1,FALSE)</f>
        <v>#REF!</v>
      </c>
    </row>
    <row r="9214" spans="1:12" hidden="1" x14ac:dyDescent="0.3">
      <c r="A9214" t="s">
        <v>71</v>
      </c>
      <c r="B9214" t="s">
        <v>72</v>
      </c>
      <c r="C9214" t="s">
        <v>129</v>
      </c>
      <c r="D9214" t="s">
        <v>130</v>
      </c>
      <c r="E9214">
        <v>1989</v>
      </c>
      <c r="F9214" s="1">
        <v>66</v>
      </c>
      <c r="G9214">
        <v>1990</v>
      </c>
      <c r="H9214">
        <f>AVERAGEIFS(Table1[value],Table1[IndicatorCode],Table1[[#This Row],[IndicatorCode]])</f>
        <v>72.66514008620689</v>
      </c>
      <c r="I9214" cm="1">
        <f t="array" ref="I9214">_xlfn.STDEV.P(IF(Table1[IndicatorCode]=Table1[[#This Row],[IndicatorCode]],Table1[value]))</f>
        <v>6.3409496564024987</v>
      </c>
      <c r="J9214">
        <f>(Table1[[#This Row],[value]] - Table1[[#This Row],[mean]]) / Table1[[#This Row],[std_dev]]</f>
        <v>-1.0511264790561858</v>
      </c>
      <c r="K9214">
        <f>AVERAGEIF(Table1[CountryCode],Table1[[#This Row],[CountryCode]],Table1[z-score])</f>
        <v>-0.23196726817462951</v>
      </c>
      <c r="L9214" t="e">
        <f>VLOOKUP(Table1[[#This Row],[CountryCode]],[1]!Table1[#All],1,FALSE)</f>
        <v>#REF!</v>
      </c>
    </row>
    <row r="9215" spans="1:12" hidden="1" x14ac:dyDescent="0.3">
      <c r="A9215" t="s">
        <v>71</v>
      </c>
      <c r="B9215" t="s">
        <v>72</v>
      </c>
      <c r="C9215" t="s">
        <v>129</v>
      </c>
      <c r="D9215" t="s">
        <v>130</v>
      </c>
      <c r="E9215">
        <v>1990</v>
      </c>
      <c r="F9215" s="1">
        <v>66</v>
      </c>
      <c r="G9215">
        <v>1990</v>
      </c>
      <c r="H9215">
        <f>AVERAGEIFS(Table1[value],Table1[IndicatorCode],Table1[[#This Row],[IndicatorCode]])</f>
        <v>72.66514008620689</v>
      </c>
      <c r="I9215" cm="1">
        <f t="array" ref="I9215">_xlfn.STDEV.P(IF(Table1[IndicatorCode]=Table1[[#This Row],[IndicatorCode]],Table1[value]))</f>
        <v>6.3409496564024987</v>
      </c>
      <c r="J9215">
        <f>(Table1[[#This Row],[value]] - Table1[[#This Row],[mean]]) / Table1[[#This Row],[std_dev]]</f>
        <v>-1.0511264790561858</v>
      </c>
      <c r="K9215">
        <f>AVERAGEIF(Table1[CountryCode],Table1[[#This Row],[CountryCode]],Table1[z-score])</f>
        <v>-0.23196726817462951</v>
      </c>
      <c r="L9215" t="e">
        <f>VLOOKUP(Table1[[#This Row],[CountryCode]],[1]!Table1[#All],1,FALSE)</f>
        <v>#REF!</v>
      </c>
    </row>
    <row r="9216" spans="1:12" hidden="1" x14ac:dyDescent="0.3">
      <c r="A9216" t="s">
        <v>71</v>
      </c>
      <c r="B9216" t="s">
        <v>72</v>
      </c>
      <c r="C9216" t="s">
        <v>129</v>
      </c>
      <c r="D9216" t="s">
        <v>130</v>
      </c>
      <c r="E9216">
        <v>1991</v>
      </c>
      <c r="F9216" s="1">
        <v>65</v>
      </c>
      <c r="G9216">
        <v>1990</v>
      </c>
      <c r="H9216">
        <f>AVERAGEIFS(Table1[value],Table1[IndicatorCode],Table1[[#This Row],[IndicatorCode]])</f>
        <v>72.66514008620689</v>
      </c>
      <c r="I9216" cm="1">
        <f t="array" ref="I9216">_xlfn.STDEV.P(IF(Table1[IndicatorCode]=Table1[[#This Row],[IndicatorCode]],Table1[value]))</f>
        <v>6.3409496564024987</v>
      </c>
      <c r="J9216">
        <f>(Table1[[#This Row],[value]] - Table1[[#This Row],[mean]]) / Table1[[#This Row],[std_dev]]</f>
        <v>-1.2088315633396249</v>
      </c>
      <c r="K9216">
        <f>AVERAGEIF(Table1[CountryCode],Table1[[#This Row],[CountryCode]],Table1[z-score])</f>
        <v>-0.23196726817462951</v>
      </c>
      <c r="L9216" t="e">
        <f>VLOOKUP(Table1[[#This Row],[CountryCode]],[1]!Table1[#All],1,FALSE)</f>
        <v>#REF!</v>
      </c>
    </row>
    <row r="9217" spans="1:12" hidden="1" x14ac:dyDescent="0.3">
      <c r="A9217" t="s">
        <v>71</v>
      </c>
      <c r="B9217" t="s">
        <v>72</v>
      </c>
      <c r="C9217" t="s">
        <v>129</v>
      </c>
      <c r="D9217" t="s">
        <v>130</v>
      </c>
      <c r="E9217">
        <v>1992</v>
      </c>
      <c r="F9217" s="1">
        <v>65</v>
      </c>
      <c r="G9217">
        <v>1990</v>
      </c>
      <c r="H9217">
        <f>AVERAGEIFS(Table1[value],Table1[IndicatorCode],Table1[[#This Row],[IndicatorCode]])</f>
        <v>72.66514008620689</v>
      </c>
      <c r="I9217" cm="1">
        <f t="array" ref="I9217">_xlfn.STDEV.P(IF(Table1[IndicatorCode]=Table1[[#This Row],[IndicatorCode]],Table1[value]))</f>
        <v>6.3409496564024987</v>
      </c>
      <c r="J9217">
        <f>(Table1[[#This Row],[value]] - Table1[[#This Row],[mean]]) / Table1[[#This Row],[std_dev]]</f>
        <v>-1.2088315633396249</v>
      </c>
      <c r="K9217">
        <f>AVERAGEIF(Table1[CountryCode],Table1[[#This Row],[CountryCode]],Table1[z-score])</f>
        <v>-0.23196726817462951</v>
      </c>
      <c r="L9217" t="e">
        <f>VLOOKUP(Table1[[#This Row],[CountryCode]],[1]!Table1[#All],1,FALSE)</f>
        <v>#REF!</v>
      </c>
    </row>
    <row r="9218" spans="1:12" hidden="1" x14ac:dyDescent="0.3">
      <c r="A9218" t="s">
        <v>71</v>
      </c>
      <c r="B9218" t="s">
        <v>72</v>
      </c>
      <c r="C9218" t="s">
        <v>129</v>
      </c>
      <c r="D9218" t="s">
        <v>130</v>
      </c>
      <c r="E9218">
        <v>1993</v>
      </c>
      <c r="F9218" s="1">
        <v>65</v>
      </c>
      <c r="G9218">
        <v>1990</v>
      </c>
      <c r="H9218">
        <f>AVERAGEIFS(Table1[value],Table1[IndicatorCode],Table1[[#This Row],[IndicatorCode]])</f>
        <v>72.66514008620689</v>
      </c>
      <c r="I9218" cm="1">
        <f t="array" ref="I9218">_xlfn.STDEV.P(IF(Table1[IndicatorCode]=Table1[[#This Row],[IndicatorCode]],Table1[value]))</f>
        <v>6.3409496564024987</v>
      </c>
      <c r="J9218">
        <f>(Table1[[#This Row],[value]] - Table1[[#This Row],[mean]]) / Table1[[#This Row],[std_dev]]</f>
        <v>-1.2088315633396249</v>
      </c>
      <c r="K9218">
        <f>AVERAGEIF(Table1[CountryCode],Table1[[#This Row],[CountryCode]],Table1[z-score])</f>
        <v>-0.23196726817462951</v>
      </c>
      <c r="L9218" t="e">
        <f>VLOOKUP(Table1[[#This Row],[CountryCode]],[1]!Table1[#All],1,FALSE)</f>
        <v>#REF!</v>
      </c>
    </row>
    <row r="9219" spans="1:12" hidden="1" x14ac:dyDescent="0.3">
      <c r="A9219" t="s">
        <v>71</v>
      </c>
      <c r="B9219" t="s">
        <v>72</v>
      </c>
      <c r="C9219" t="s">
        <v>129</v>
      </c>
      <c r="D9219" t="s">
        <v>130</v>
      </c>
      <c r="E9219">
        <v>1994</v>
      </c>
      <c r="F9219" s="1">
        <v>64</v>
      </c>
      <c r="G9219">
        <v>1990</v>
      </c>
      <c r="H9219">
        <f>AVERAGEIFS(Table1[value],Table1[IndicatorCode],Table1[[#This Row],[IndicatorCode]])</f>
        <v>72.66514008620689</v>
      </c>
      <c r="I9219" cm="1">
        <f t="array" ref="I9219">_xlfn.STDEV.P(IF(Table1[IndicatorCode]=Table1[[#This Row],[IndicatorCode]],Table1[value]))</f>
        <v>6.3409496564024987</v>
      </c>
      <c r="J9219">
        <f>(Table1[[#This Row],[value]] - Table1[[#This Row],[mean]]) / Table1[[#This Row],[std_dev]]</f>
        <v>-1.3665366476230638</v>
      </c>
      <c r="K9219">
        <f>AVERAGEIF(Table1[CountryCode],Table1[[#This Row],[CountryCode]],Table1[z-score])</f>
        <v>-0.23196726817462951</v>
      </c>
      <c r="L9219" t="e">
        <f>VLOOKUP(Table1[[#This Row],[CountryCode]],[1]!Table1[#All],1,FALSE)</f>
        <v>#REF!</v>
      </c>
    </row>
    <row r="9220" spans="1:12" hidden="1" x14ac:dyDescent="0.3">
      <c r="A9220" t="s">
        <v>71</v>
      </c>
      <c r="B9220" t="s">
        <v>72</v>
      </c>
      <c r="C9220" t="s">
        <v>129</v>
      </c>
      <c r="D9220" t="s">
        <v>130</v>
      </c>
      <c r="E9220">
        <v>1995</v>
      </c>
      <c r="F9220" s="1">
        <v>64</v>
      </c>
      <c r="G9220">
        <v>1990</v>
      </c>
      <c r="H9220">
        <f>AVERAGEIFS(Table1[value],Table1[IndicatorCode],Table1[[#This Row],[IndicatorCode]])</f>
        <v>72.66514008620689</v>
      </c>
      <c r="I9220" cm="1">
        <f t="array" ref="I9220">_xlfn.STDEV.P(IF(Table1[IndicatorCode]=Table1[[#This Row],[IndicatorCode]],Table1[value]))</f>
        <v>6.3409496564024987</v>
      </c>
      <c r="J9220">
        <f>(Table1[[#This Row],[value]] - Table1[[#This Row],[mean]]) / Table1[[#This Row],[std_dev]]</f>
        <v>-1.3665366476230638</v>
      </c>
      <c r="K9220">
        <f>AVERAGEIF(Table1[CountryCode],Table1[[#This Row],[CountryCode]],Table1[z-score])</f>
        <v>-0.23196726817462951</v>
      </c>
      <c r="L9220" t="e">
        <f>VLOOKUP(Table1[[#This Row],[CountryCode]],[1]!Table1[#All],1,FALSE)</f>
        <v>#REF!</v>
      </c>
    </row>
    <row r="9221" spans="1:12" hidden="1" x14ac:dyDescent="0.3">
      <c r="A9221" t="s">
        <v>71</v>
      </c>
      <c r="B9221" t="s">
        <v>72</v>
      </c>
      <c r="C9221" t="s">
        <v>129</v>
      </c>
      <c r="D9221" t="s">
        <v>130</v>
      </c>
      <c r="E9221">
        <v>1996</v>
      </c>
      <c r="F9221" s="1">
        <v>63</v>
      </c>
      <c r="G9221">
        <v>1990</v>
      </c>
      <c r="H9221">
        <f>AVERAGEIFS(Table1[value],Table1[IndicatorCode],Table1[[#This Row],[IndicatorCode]])</f>
        <v>72.66514008620689</v>
      </c>
      <c r="I9221" cm="1">
        <f t="array" ref="I9221">_xlfn.STDEV.P(IF(Table1[IndicatorCode]=Table1[[#This Row],[IndicatorCode]],Table1[value]))</f>
        <v>6.3409496564024987</v>
      </c>
      <c r="J9221">
        <f>(Table1[[#This Row],[value]] - Table1[[#This Row],[mean]]) / Table1[[#This Row],[std_dev]]</f>
        <v>-1.5242417319065029</v>
      </c>
      <c r="K9221">
        <f>AVERAGEIF(Table1[CountryCode],Table1[[#This Row],[CountryCode]],Table1[z-score])</f>
        <v>-0.23196726817462951</v>
      </c>
      <c r="L9221" t="e">
        <f>VLOOKUP(Table1[[#This Row],[CountryCode]],[1]!Table1[#All],1,FALSE)</f>
        <v>#REF!</v>
      </c>
    </row>
    <row r="9222" spans="1:12" hidden="1" x14ac:dyDescent="0.3">
      <c r="A9222" t="s">
        <v>71</v>
      </c>
      <c r="B9222" t="s">
        <v>72</v>
      </c>
      <c r="C9222" t="s">
        <v>129</v>
      </c>
      <c r="D9222" t="s">
        <v>130</v>
      </c>
      <c r="E9222">
        <v>1997</v>
      </c>
      <c r="F9222" s="1">
        <v>63</v>
      </c>
      <c r="G9222">
        <v>2000</v>
      </c>
      <c r="H9222">
        <f>AVERAGEIFS(Table1[value],Table1[IndicatorCode],Table1[[#This Row],[IndicatorCode]])</f>
        <v>72.66514008620689</v>
      </c>
      <c r="I9222" cm="1">
        <f t="array" ref="I9222">_xlfn.STDEV.P(IF(Table1[IndicatorCode]=Table1[[#This Row],[IndicatorCode]],Table1[value]))</f>
        <v>6.3409496564024987</v>
      </c>
      <c r="J9222">
        <f>(Table1[[#This Row],[value]] - Table1[[#This Row],[mean]]) / Table1[[#This Row],[std_dev]]</f>
        <v>-1.5242417319065029</v>
      </c>
      <c r="K9222">
        <f>AVERAGEIF(Table1[CountryCode],Table1[[#This Row],[CountryCode]],Table1[z-score])</f>
        <v>-0.23196726817462951</v>
      </c>
      <c r="L9222" t="e">
        <f>VLOOKUP(Table1[[#This Row],[CountryCode]],[1]!Table1[#All],1,FALSE)</f>
        <v>#REF!</v>
      </c>
    </row>
    <row r="9223" spans="1:12" hidden="1" x14ac:dyDescent="0.3">
      <c r="A9223" t="s">
        <v>71</v>
      </c>
      <c r="B9223" t="s">
        <v>72</v>
      </c>
      <c r="C9223" t="s">
        <v>129</v>
      </c>
      <c r="D9223" t="s">
        <v>130</v>
      </c>
      <c r="E9223">
        <v>1998</v>
      </c>
      <c r="F9223" s="1">
        <v>63</v>
      </c>
      <c r="G9223">
        <v>2000</v>
      </c>
      <c r="H9223">
        <f>AVERAGEIFS(Table1[value],Table1[IndicatorCode],Table1[[#This Row],[IndicatorCode]])</f>
        <v>72.66514008620689</v>
      </c>
      <c r="I9223" cm="1">
        <f t="array" ref="I9223">_xlfn.STDEV.P(IF(Table1[IndicatorCode]=Table1[[#This Row],[IndicatorCode]],Table1[value]))</f>
        <v>6.3409496564024987</v>
      </c>
      <c r="J9223">
        <f>(Table1[[#This Row],[value]] - Table1[[#This Row],[mean]]) / Table1[[#This Row],[std_dev]]</f>
        <v>-1.5242417319065029</v>
      </c>
      <c r="K9223">
        <f>AVERAGEIF(Table1[CountryCode],Table1[[#This Row],[CountryCode]],Table1[z-score])</f>
        <v>-0.23196726817462951</v>
      </c>
      <c r="L9223" t="e">
        <f>VLOOKUP(Table1[[#This Row],[CountryCode]],[1]!Table1[#All],1,FALSE)</f>
        <v>#REF!</v>
      </c>
    </row>
    <row r="9224" spans="1:12" hidden="1" x14ac:dyDescent="0.3">
      <c r="A9224" t="s">
        <v>71</v>
      </c>
      <c r="B9224" t="s">
        <v>72</v>
      </c>
      <c r="C9224" t="s">
        <v>129</v>
      </c>
      <c r="D9224" t="s">
        <v>130</v>
      </c>
      <c r="E9224">
        <v>1999</v>
      </c>
      <c r="F9224" s="1">
        <v>64</v>
      </c>
      <c r="G9224">
        <v>2000</v>
      </c>
      <c r="H9224">
        <f>AVERAGEIFS(Table1[value],Table1[IndicatorCode],Table1[[#This Row],[IndicatorCode]])</f>
        <v>72.66514008620689</v>
      </c>
      <c r="I9224" cm="1">
        <f t="array" ref="I9224">_xlfn.STDEV.P(IF(Table1[IndicatorCode]=Table1[[#This Row],[IndicatorCode]],Table1[value]))</f>
        <v>6.3409496564024987</v>
      </c>
      <c r="J9224">
        <f>(Table1[[#This Row],[value]] - Table1[[#This Row],[mean]]) / Table1[[#This Row],[std_dev]]</f>
        <v>-1.3665366476230638</v>
      </c>
      <c r="K9224">
        <f>AVERAGEIF(Table1[CountryCode],Table1[[#This Row],[CountryCode]],Table1[z-score])</f>
        <v>-0.23196726817462951</v>
      </c>
      <c r="L9224" t="e">
        <f>VLOOKUP(Table1[[#This Row],[CountryCode]],[1]!Table1[#All],1,FALSE)</f>
        <v>#REF!</v>
      </c>
    </row>
    <row r="9225" spans="1:12" hidden="1" x14ac:dyDescent="0.3">
      <c r="A9225" t="s">
        <v>71</v>
      </c>
      <c r="B9225" t="s">
        <v>72</v>
      </c>
      <c r="C9225" t="s">
        <v>129</v>
      </c>
      <c r="D9225" t="s">
        <v>130</v>
      </c>
      <c r="E9225">
        <v>2000</v>
      </c>
      <c r="F9225" s="1">
        <v>64</v>
      </c>
      <c r="G9225">
        <v>2000</v>
      </c>
      <c r="H9225">
        <f>AVERAGEIFS(Table1[value],Table1[IndicatorCode],Table1[[#This Row],[IndicatorCode]])</f>
        <v>72.66514008620689</v>
      </c>
      <c r="I9225" cm="1">
        <f t="array" ref="I9225">_xlfn.STDEV.P(IF(Table1[IndicatorCode]=Table1[[#This Row],[IndicatorCode]],Table1[value]))</f>
        <v>6.3409496564024987</v>
      </c>
      <c r="J9225">
        <f>(Table1[[#This Row],[value]] - Table1[[#This Row],[mean]]) / Table1[[#This Row],[std_dev]]</f>
        <v>-1.3665366476230638</v>
      </c>
      <c r="K9225">
        <f>AVERAGEIF(Table1[CountryCode],Table1[[#This Row],[CountryCode]],Table1[z-score])</f>
        <v>-0.23196726817462951</v>
      </c>
      <c r="L9225" t="e">
        <f>VLOOKUP(Table1[[#This Row],[CountryCode]],[1]!Table1[#All],1,FALSE)</f>
        <v>#REF!</v>
      </c>
    </row>
    <row r="9226" spans="1:12" hidden="1" x14ac:dyDescent="0.3">
      <c r="A9226" t="s">
        <v>71</v>
      </c>
      <c r="B9226" t="s">
        <v>72</v>
      </c>
      <c r="C9226" t="s">
        <v>129</v>
      </c>
      <c r="D9226" t="s">
        <v>130</v>
      </c>
      <c r="E9226">
        <v>2001</v>
      </c>
      <c r="F9226" s="1">
        <v>64</v>
      </c>
      <c r="G9226">
        <v>2000</v>
      </c>
      <c r="H9226">
        <f>AVERAGEIFS(Table1[value],Table1[IndicatorCode],Table1[[#This Row],[IndicatorCode]])</f>
        <v>72.66514008620689</v>
      </c>
      <c r="I9226" cm="1">
        <f t="array" ref="I9226">_xlfn.STDEV.P(IF(Table1[IndicatorCode]=Table1[[#This Row],[IndicatorCode]],Table1[value]))</f>
        <v>6.3409496564024987</v>
      </c>
      <c r="J9226">
        <f>(Table1[[#This Row],[value]] - Table1[[#This Row],[mean]]) / Table1[[#This Row],[std_dev]]</f>
        <v>-1.3665366476230638</v>
      </c>
      <c r="K9226">
        <f>AVERAGEIF(Table1[CountryCode],Table1[[#This Row],[CountryCode]],Table1[z-score])</f>
        <v>-0.23196726817462951</v>
      </c>
      <c r="L9226" t="e">
        <f>VLOOKUP(Table1[[#This Row],[CountryCode]],[1]!Table1[#All],1,FALSE)</f>
        <v>#REF!</v>
      </c>
    </row>
    <row r="9227" spans="1:12" hidden="1" x14ac:dyDescent="0.3">
      <c r="A9227" t="s">
        <v>71</v>
      </c>
      <c r="B9227" t="s">
        <v>72</v>
      </c>
      <c r="C9227" t="s">
        <v>129</v>
      </c>
      <c r="D9227" t="s">
        <v>130</v>
      </c>
      <c r="E9227">
        <v>2002</v>
      </c>
      <c r="F9227" s="1">
        <v>64</v>
      </c>
      <c r="G9227">
        <v>2000</v>
      </c>
      <c r="H9227">
        <f>AVERAGEIFS(Table1[value],Table1[IndicatorCode],Table1[[#This Row],[IndicatorCode]])</f>
        <v>72.66514008620689</v>
      </c>
      <c r="I9227" cm="1">
        <f t="array" ref="I9227">_xlfn.STDEV.P(IF(Table1[IndicatorCode]=Table1[[#This Row],[IndicatorCode]],Table1[value]))</f>
        <v>6.3409496564024987</v>
      </c>
      <c r="J9227">
        <f>(Table1[[#This Row],[value]] - Table1[[#This Row],[mean]]) / Table1[[#This Row],[std_dev]]</f>
        <v>-1.3665366476230638</v>
      </c>
      <c r="K9227">
        <f>AVERAGEIF(Table1[CountryCode],Table1[[#This Row],[CountryCode]],Table1[z-score])</f>
        <v>-0.23196726817462951</v>
      </c>
      <c r="L9227" t="e">
        <f>VLOOKUP(Table1[[#This Row],[CountryCode]],[1]!Table1[#All],1,FALSE)</f>
        <v>#REF!</v>
      </c>
    </row>
    <row r="9228" spans="1:12" hidden="1" x14ac:dyDescent="0.3">
      <c r="A9228" t="s">
        <v>71</v>
      </c>
      <c r="B9228" t="s">
        <v>72</v>
      </c>
      <c r="C9228" t="s">
        <v>129</v>
      </c>
      <c r="D9228" t="s">
        <v>130</v>
      </c>
      <c r="E9228">
        <v>2003</v>
      </c>
      <c r="F9228" s="1">
        <v>65</v>
      </c>
      <c r="G9228">
        <v>2000</v>
      </c>
      <c r="H9228">
        <f>AVERAGEIFS(Table1[value],Table1[IndicatorCode],Table1[[#This Row],[IndicatorCode]])</f>
        <v>72.66514008620689</v>
      </c>
      <c r="I9228" cm="1">
        <f t="array" ref="I9228">_xlfn.STDEV.P(IF(Table1[IndicatorCode]=Table1[[#This Row],[IndicatorCode]],Table1[value]))</f>
        <v>6.3409496564024987</v>
      </c>
      <c r="J9228">
        <f>(Table1[[#This Row],[value]] - Table1[[#This Row],[mean]]) / Table1[[#This Row],[std_dev]]</f>
        <v>-1.2088315633396249</v>
      </c>
      <c r="K9228">
        <f>AVERAGEIF(Table1[CountryCode],Table1[[#This Row],[CountryCode]],Table1[z-score])</f>
        <v>-0.23196726817462951</v>
      </c>
      <c r="L9228" t="e">
        <f>VLOOKUP(Table1[[#This Row],[CountryCode]],[1]!Table1[#All],1,FALSE)</f>
        <v>#REF!</v>
      </c>
    </row>
    <row r="9229" spans="1:12" hidden="1" x14ac:dyDescent="0.3">
      <c r="A9229" t="s">
        <v>71</v>
      </c>
      <c r="B9229" t="s">
        <v>72</v>
      </c>
      <c r="C9229" t="s">
        <v>129</v>
      </c>
      <c r="D9229" t="s">
        <v>130</v>
      </c>
      <c r="E9229">
        <v>2004</v>
      </c>
      <c r="F9229" s="1">
        <v>65</v>
      </c>
      <c r="G9229">
        <v>2000</v>
      </c>
      <c r="H9229">
        <f>AVERAGEIFS(Table1[value],Table1[IndicatorCode],Table1[[#This Row],[IndicatorCode]])</f>
        <v>72.66514008620689</v>
      </c>
      <c r="I9229" cm="1">
        <f t="array" ref="I9229">_xlfn.STDEV.P(IF(Table1[IndicatorCode]=Table1[[#This Row],[IndicatorCode]],Table1[value]))</f>
        <v>6.3409496564024987</v>
      </c>
      <c r="J9229">
        <f>(Table1[[#This Row],[value]] - Table1[[#This Row],[mean]]) / Table1[[#This Row],[std_dev]]</f>
        <v>-1.2088315633396249</v>
      </c>
      <c r="K9229">
        <f>AVERAGEIF(Table1[CountryCode],Table1[[#This Row],[CountryCode]],Table1[z-score])</f>
        <v>-0.23196726817462951</v>
      </c>
      <c r="L9229" t="e">
        <f>VLOOKUP(Table1[[#This Row],[CountryCode]],[1]!Table1[#All],1,FALSE)</f>
        <v>#REF!</v>
      </c>
    </row>
    <row r="9230" spans="1:12" hidden="1" x14ac:dyDescent="0.3">
      <c r="A9230" t="s">
        <v>71</v>
      </c>
      <c r="B9230" t="s">
        <v>72</v>
      </c>
      <c r="C9230" t="s">
        <v>129</v>
      </c>
      <c r="D9230" t="s">
        <v>130</v>
      </c>
      <c r="E9230">
        <v>2005</v>
      </c>
      <c r="F9230" s="1">
        <v>65</v>
      </c>
      <c r="G9230">
        <v>2000</v>
      </c>
      <c r="H9230">
        <f>AVERAGEIFS(Table1[value],Table1[IndicatorCode],Table1[[#This Row],[IndicatorCode]])</f>
        <v>72.66514008620689</v>
      </c>
      <c r="I9230" cm="1">
        <f t="array" ref="I9230">_xlfn.STDEV.P(IF(Table1[IndicatorCode]=Table1[[#This Row],[IndicatorCode]],Table1[value]))</f>
        <v>6.3409496564024987</v>
      </c>
      <c r="J9230">
        <f>(Table1[[#This Row],[value]] - Table1[[#This Row],[mean]]) / Table1[[#This Row],[std_dev]]</f>
        <v>-1.2088315633396249</v>
      </c>
      <c r="K9230">
        <f>AVERAGEIF(Table1[CountryCode],Table1[[#This Row],[CountryCode]],Table1[z-score])</f>
        <v>-0.23196726817462951</v>
      </c>
      <c r="L9230" t="e">
        <f>VLOOKUP(Table1[[#This Row],[CountryCode]],[1]!Table1[#All],1,FALSE)</f>
        <v>#REF!</v>
      </c>
    </row>
    <row r="9231" spans="1:12" hidden="1" x14ac:dyDescent="0.3">
      <c r="A9231" t="s">
        <v>71</v>
      </c>
      <c r="B9231" t="s">
        <v>72</v>
      </c>
      <c r="C9231" t="s">
        <v>129</v>
      </c>
      <c r="D9231" t="s">
        <v>130</v>
      </c>
      <c r="E9231">
        <v>2006</v>
      </c>
      <c r="F9231" s="1">
        <v>66</v>
      </c>
      <c r="G9231">
        <v>2000</v>
      </c>
      <c r="H9231">
        <f>AVERAGEIFS(Table1[value],Table1[IndicatorCode],Table1[[#This Row],[IndicatorCode]])</f>
        <v>72.66514008620689</v>
      </c>
      <c r="I9231" cm="1">
        <f t="array" ref="I9231">_xlfn.STDEV.P(IF(Table1[IndicatorCode]=Table1[[#This Row],[IndicatorCode]],Table1[value]))</f>
        <v>6.3409496564024987</v>
      </c>
      <c r="J9231">
        <f>(Table1[[#This Row],[value]] - Table1[[#This Row],[mean]]) / Table1[[#This Row],[std_dev]]</f>
        <v>-1.0511264790561858</v>
      </c>
      <c r="K9231">
        <f>AVERAGEIF(Table1[CountryCode],Table1[[#This Row],[CountryCode]],Table1[z-score])</f>
        <v>-0.23196726817462951</v>
      </c>
      <c r="L9231" t="e">
        <f>VLOOKUP(Table1[[#This Row],[CountryCode]],[1]!Table1[#All],1,FALSE)</f>
        <v>#REF!</v>
      </c>
    </row>
    <row r="9232" spans="1:12" hidden="1" x14ac:dyDescent="0.3">
      <c r="A9232" t="s">
        <v>71</v>
      </c>
      <c r="B9232" t="s">
        <v>72</v>
      </c>
      <c r="C9232" t="s">
        <v>129</v>
      </c>
      <c r="D9232" t="s">
        <v>130</v>
      </c>
      <c r="E9232">
        <v>2007</v>
      </c>
      <c r="F9232" s="1">
        <v>66</v>
      </c>
      <c r="G9232">
        <v>2010</v>
      </c>
      <c r="H9232">
        <f>AVERAGEIFS(Table1[value],Table1[IndicatorCode],Table1[[#This Row],[IndicatorCode]])</f>
        <v>72.66514008620689</v>
      </c>
      <c r="I9232" cm="1">
        <f t="array" ref="I9232">_xlfn.STDEV.P(IF(Table1[IndicatorCode]=Table1[[#This Row],[IndicatorCode]],Table1[value]))</f>
        <v>6.3409496564024987</v>
      </c>
      <c r="J9232">
        <f>(Table1[[#This Row],[value]] - Table1[[#This Row],[mean]]) / Table1[[#This Row],[std_dev]]</f>
        <v>-1.0511264790561858</v>
      </c>
      <c r="K9232">
        <f>AVERAGEIF(Table1[CountryCode],Table1[[#This Row],[CountryCode]],Table1[z-score])</f>
        <v>-0.23196726817462951</v>
      </c>
      <c r="L9232" t="e">
        <f>VLOOKUP(Table1[[#This Row],[CountryCode]],[1]!Table1[#All],1,FALSE)</f>
        <v>#REF!</v>
      </c>
    </row>
    <row r="9233" spans="1:12" hidden="1" x14ac:dyDescent="0.3">
      <c r="A9233" t="s">
        <v>71</v>
      </c>
      <c r="B9233" t="s">
        <v>72</v>
      </c>
      <c r="C9233" t="s">
        <v>129</v>
      </c>
      <c r="D9233" t="s">
        <v>130</v>
      </c>
      <c r="E9233">
        <v>2008</v>
      </c>
      <c r="F9233" s="1">
        <v>67</v>
      </c>
      <c r="G9233">
        <v>2010</v>
      </c>
      <c r="H9233">
        <f>AVERAGEIFS(Table1[value],Table1[IndicatorCode],Table1[[#This Row],[IndicatorCode]])</f>
        <v>72.66514008620689</v>
      </c>
      <c r="I9233" cm="1">
        <f t="array" ref="I9233">_xlfn.STDEV.P(IF(Table1[IndicatorCode]=Table1[[#This Row],[IndicatorCode]],Table1[value]))</f>
        <v>6.3409496564024987</v>
      </c>
      <c r="J9233">
        <f>(Table1[[#This Row],[value]] - Table1[[#This Row],[mean]]) / Table1[[#This Row],[std_dev]]</f>
        <v>-0.89342139477274674</v>
      </c>
      <c r="K9233">
        <f>AVERAGEIF(Table1[CountryCode],Table1[[#This Row],[CountryCode]],Table1[z-score])</f>
        <v>-0.23196726817462951</v>
      </c>
      <c r="L9233" t="e">
        <f>VLOOKUP(Table1[[#This Row],[CountryCode]],[1]!Table1[#All],1,FALSE)</f>
        <v>#REF!</v>
      </c>
    </row>
    <row r="9234" spans="1:12" hidden="1" x14ac:dyDescent="0.3">
      <c r="A9234" t="s">
        <v>71</v>
      </c>
      <c r="B9234" t="s">
        <v>72</v>
      </c>
      <c r="C9234" t="s">
        <v>129</v>
      </c>
      <c r="D9234" t="s">
        <v>130</v>
      </c>
      <c r="E9234">
        <v>2009</v>
      </c>
      <c r="F9234" s="1">
        <v>67</v>
      </c>
      <c r="G9234">
        <v>2010</v>
      </c>
      <c r="H9234">
        <f>AVERAGEIFS(Table1[value],Table1[IndicatorCode],Table1[[#This Row],[IndicatorCode]])</f>
        <v>72.66514008620689</v>
      </c>
      <c r="I9234" cm="1">
        <f t="array" ref="I9234">_xlfn.STDEV.P(IF(Table1[IndicatorCode]=Table1[[#This Row],[IndicatorCode]],Table1[value]))</f>
        <v>6.3409496564024987</v>
      </c>
      <c r="J9234">
        <f>(Table1[[#This Row],[value]] - Table1[[#This Row],[mean]]) / Table1[[#This Row],[std_dev]]</f>
        <v>-0.89342139477274674</v>
      </c>
      <c r="K9234">
        <f>AVERAGEIF(Table1[CountryCode],Table1[[#This Row],[CountryCode]],Table1[z-score])</f>
        <v>-0.23196726817462951</v>
      </c>
      <c r="L9234" t="e">
        <f>VLOOKUP(Table1[[#This Row],[CountryCode]],[1]!Table1[#All],1,FALSE)</f>
        <v>#REF!</v>
      </c>
    </row>
    <row r="9235" spans="1:12" hidden="1" x14ac:dyDescent="0.3">
      <c r="A9235" t="s">
        <v>71</v>
      </c>
      <c r="B9235" t="s">
        <v>72</v>
      </c>
      <c r="C9235" t="s">
        <v>129</v>
      </c>
      <c r="D9235" t="s">
        <v>130</v>
      </c>
      <c r="E9235">
        <v>2010</v>
      </c>
      <c r="F9235" s="1">
        <v>68</v>
      </c>
      <c r="G9235">
        <v>2010</v>
      </c>
      <c r="H9235">
        <f>AVERAGEIFS(Table1[value],Table1[IndicatorCode],Table1[[#This Row],[IndicatorCode]])</f>
        <v>72.66514008620689</v>
      </c>
      <c r="I9235" cm="1">
        <f t="array" ref="I9235">_xlfn.STDEV.P(IF(Table1[IndicatorCode]=Table1[[#This Row],[IndicatorCode]],Table1[value]))</f>
        <v>6.3409496564024987</v>
      </c>
      <c r="J9235">
        <f>(Table1[[#This Row],[value]] - Table1[[#This Row],[mean]]) / Table1[[#This Row],[std_dev]]</f>
        <v>-0.73571631048930775</v>
      </c>
      <c r="K9235">
        <f>AVERAGEIF(Table1[CountryCode],Table1[[#This Row],[CountryCode]],Table1[z-score])</f>
        <v>-0.23196726817462951</v>
      </c>
      <c r="L9235" t="e">
        <f>VLOOKUP(Table1[[#This Row],[CountryCode]],[1]!Table1[#All],1,FALSE)</f>
        <v>#REF!</v>
      </c>
    </row>
    <row r="9236" spans="1:12" hidden="1" x14ac:dyDescent="0.3">
      <c r="A9236" t="s">
        <v>71</v>
      </c>
      <c r="B9236" t="s">
        <v>72</v>
      </c>
      <c r="C9236" t="s">
        <v>129</v>
      </c>
      <c r="D9236" t="s">
        <v>130</v>
      </c>
      <c r="E9236">
        <v>2011</v>
      </c>
      <c r="F9236" s="1">
        <v>69</v>
      </c>
      <c r="G9236">
        <v>2010</v>
      </c>
      <c r="H9236">
        <f>AVERAGEIFS(Table1[value],Table1[IndicatorCode],Table1[[#This Row],[IndicatorCode]])</f>
        <v>72.66514008620689</v>
      </c>
      <c r="I9236" cm="1">
        <f t="array" ref="I9236">_xlfn.STDEV.P(IF(Table1[IndicatorCode]=Table1[[#This Row],[IndicatorCode]],Table1[value]))</f>
        <v>6.3409496564024987</v>
      </c>
      <c r="J9236">
        <f>(Table1[[#This Row],[value]] - Table1[[#This Row],[mean]]) / Table1[[#This Row],[std_dev]]</f>
        <v>-0.57801122620586864</v>
      </c>
      <c r="K9236">
        <f>AVERAGEIF(Table1[CountryCode],Table1[[#This Row],[CountryCode]],Table1[z-score])</f>
        <v>-0.23196726817462951</v>
      </c>
      <c r="L9236" t="e">
        <f>VLOOKUP(Table1[[#This Row],[CountryCode]],[1]!Table1[#All],1,FALSE)</f>
        <v>#REF!</v>
      </c>
    </row>
    <row r="9237" spans="1:12" hidden="1" x14ac:dyDescent="0.3">
      <c r="A9237" t="s">
        <v>71</v>
      </c>
      <c r="B9237" t="s">
        <v>72</v>
      </c>
      <c r="C9237" t="s">
        <v>129</v>
      </c>
      <c r="D9237" t="s">
        <v>130</v>
      </c>
      <c r="E9237">
        <v>2012</v>
      </c>
      <c r="F9237" s="1">
        <v>70</v>
      </c>
      <c r="G9237">
        <v>2010</v>
      </c>
      <c r="H9237">
        <f>AVERAGEIFS(Table1[value],Table1[IndicatorCode],Table1[[#This Row],[IndicatorCode]])</f>
        <v>72.66514008620689</v>
      </c>
      <c r="I9237" cm="1">
        <f t="array" ref="I9237">_xlfn.STDEV.P(IF(Table1[IndicatorCode]=Table1[[#This Row],[IndicatorCode]],Table1[value]))</f>
        <v>6.3409496564024987</v>
      </c>
      <c r="J9237">
        <f>(Table1[[#This Row],[value]] - Table1[[#This Row],[mean]]) / Table1[[#This Row],[std_dev]]</f>
        <v>-0.4203061419224296</v>
      </c>
      <c r="K9237">
        <f>AVERAGEIF(Table1[CountryCode],Table1[[#This Row],[CountryCode]],Table1[z-score])</f>
        <v>-0.23196726817462951</v>
      </c>
      <c r="L9237" t="e">
        <f>VLOOKUP(Table1[[#This Row],[CountryCode]],[1]!Table1[#All],1,FALSE)</f>
        <v>#REF!</v>
      </c>
    </row>
    <row r="9238" spans="1:12" hidden="1" x14ac:dyDescent="0.3">
      <c r="A9238" t="s">
        <v>71</v>
      </c>
      <c r="B9238" t="s">
        <v>72</v>
      </c>
      <c r="C9238" t="s">
        <v>129</v>
      </c>
      <c r="D9238" t="s">
        <v>130</v>
      </c>
      <c r="E9238">
        <v>2013</v>
      </c>
      <c r="F9238" s="1">
        <v>71</v>
      </c>
      <c r="G9238">
        <v>2010</v>
      </c>
      <c r="H9238">
        <f>AVERAGEIFS(Table1[value],Table1[IndicatorCode],Table1[[#This Row],[IndicatorCode]])</f>
        <v>72.66514008620689</v>
      </c>
      <c r="I9238" cm="1">
        <f t="array" ref="I9238">_xlfn.STDEV.P(IF(Table1[IndicatorCode]=Table1[[#This Row],[IndicatorCode]],Table1[value]))</f>
        <v>6.3409496564024987</v>
      </c>
      <c r="J9238">
        <f>(Table1[[#This Row],[value]] - Table1[[#This Row],[mean]]) / Table1[[#This Row],[std_dev]]</f>
        <v>-0.2626010576389905</v>
      </c>
      <c r="K9238">
        <f>AVERAGEIF(Table1[CountryCode],Table1[[#This Row],[CountryCode]],Table1[z-score])</f>
        <v>-0.23196726817462951</v>
      </c>
      <c r="L9238" t="e">
        <f>VLOOKUP(Table1[[#This Row],[CountryCode]],[1]!Table1[#All],1,FALSE)</f>
        <v>#REF!</v>
      </c>
    </row>
    <row r="9239" spans="1:12" hidden="1" x14ac:dyDescent="0.3">
      <c r="A9239" t="s">
        <v>71</v>
      </c>
      <c r="B9239" t="s">
        <v>72</v>
      </c>
      <c r="C9239" t="s">
        <v>129</v>
      </c>
      <c r="D9239" t="s">
        <v>130</v>
      </c>
      <c r="E9239">
        <v>2014</v>
      </c>
      <c r="F9239" s="1">
        <v>71</v>
      </c>
      <c r="G9239">
        <v>2010</v>
      </c>
      <c r="H9239">
        <f>AVERAGEIFS(Table1[value],Table1[IndicatorCode],Table1[[#This Row],[IndicatorCode]])</f>
        <v>72.66514008620689</v>
      </c>
      <c r="I9239" cm="1">
        <f t="array" ref="I9239">_xlfn.STDEV.P(IF(Table1[IndicatorCode]=Table1[[#This Row],[IndicatorCode]],Table1[value]))</f>
        <v>6.3409496564024987</v>
      </c>
      <c r="J9239">
        <f>(Table1[[#This Row],[value]] - Table1[[#This Row],[mean]]) / Table1[[#This Row],[std_dev]]</f>
        <v>-0.2626010576389905</v>
      </c>
      <c r="K9239">
        <f>AVERAGEIF(Table1[CountryCode],Table1[[#This Row],[CountryCode]],Table1[z-score])</f>
        <v>-0.23196726817462951</v>
      </c>
      <c r="L9239" t="e">
        <f>VLOOKUP(Table1[[#This Row],[CountryCode]],[1]!Table1[#All],1,FALSE)</f>
        <v>#REF!</v>
      </c>
    </row>
    <row r="9240" spans="1:12" hidden="1" x14ac:dyDescent="0.3">
      <c r="A9240" t="s">
        <v>71</v>
      </c>
      <c r="B9240" t="s">
        <v>72</v>
      </c>
      <c r="C9240" t="s">
        <v>129</v>
      </c>
      <c r="D9240" t="s">
        <v>130</v>
      </c>
      <c r="E9240">
        <v>2015</v>
      </c>
      <c r="F9240" s="1">
        <v>72</v>
      </c>
      <c r="G9240">
        <v>2010</v>
      </c>
      <c r="H9240">
        <f>AVERAGEIFS(Table1[value],Table1[IndicatorCode],Table1[[#This Row],[IndicatorCode]])</f>
        <v>72.66514008620689</v>
      </c>
      <c r="I9240" cm="1">
        <f t="array" ref="I9240">_xlfn.STDEV.P(IF(Table1[IndicatorCode]=Table1[[#This Row],[IndicatorCode]],Table1[value]))</f>
        <v>6.3409496564024987</v>
      </c>
      <c r="J9240">
        <f>(Table1[[#This Row],[value]] - Table1[[#This Row],[mean]]) / Table1[[#This Row],[std_dev]]</f>
        <v>-0.10489597335555145</v>
      </c>
      <c r="K9240">
        <f>AVERAGEIF(Table1[CountryCode],Table1[[#This Row],[CountryCode]],Table1[z-score])</f>
        <v>-0.23196726817462951</v>
      </c>
      <c r="L9240" t="e">
        <f>VLOOKUP(Table1[[#This Row],[CountryCode]],[1]!Table1[#All],1,FALSE)</f>
        <v>#REF!</v>
      </c>
    </row>
    <row r="9241" spans="1:12" hidden="1" x14ac:dyDescent="0.3">
      <c r="A9241" t="s">
        <v>71</v>
      </c>
      <c r="B9241" t="s">
        <v>72</v>
      </c>
      <c r="C9241" t="s">
        <v>129</v>
      </c>
      <c r="D9241" t="s">
        <v>130</v>
      </c>
      <c r="E9241">
        <v>2016</v>
      </c>
      <c r="F9241" s="1">
        <v>73</v>
      </c>
      <c r="G9241">
        <v>2010</v>
      </c>
      <c r="H9241">
        <f>AVERAGEIFS(Table1[value],Table1[IndicatorCode],Table1[[#This Row],[IndicatorCode]])</f>
        <v>72.66514008620689</v>
      </c>
      <c r="I9241" cm="1">
        <f t="array" ref="I9241">_xlfn.STDEV.P(IF(Table1[IndicatorCode]=Table1[[#This Row],[IndicatorCode]],Table1[value]))</f>
        <v>6.3409496564024987</v>
      </c>
      <c r="J9241">
        <f>(Table1[[#This Row],[value]] - Table1[[#This Row],[mean]]) / Table1[[#This Row],[std_dev]]</f>
        <v>5.2809110927887599E-2</v>
      </c>
      <c r="K9241">
        <f>AVERAGEIF(Table1[CountryCode],Table1[[#This Row],[CountryCode]],Table1[z-score])</f>
        <v>-0.23196726817462951</v>
      </c>
      <c r="L9241" t="e">
        <f>VLOOKUP(Table1[[#This Row],[CountryCode]],[1]!Table1[#All],1,FALSE)</f>
        <v>#REF!</v>
      </c>
    </row>
    <row r="9242" spans="1:12" hidden="1" x14ac:dyDescent="0.3">
      <c r="A9242" t="s">
        <v>71</v>
      </c>
      <c r="B9242" t="s">
        <v>72</v>
      </c>
      <c r="C9242" t="s">
        <v>129</v>
      </c>
      <c r="D9242" t="s">
        <v>130</v>
      </c>
      <c r="E9242">
        <v>2017</v>
      </c>
      <c r="F9242" s="1">
        <v>73</v>
      </c>
      <c r="G9242">
        <v>2020</v>
      </c>
      <c r="H9242">
        <f>AVERAGEIFS(Table1[value],Table1[IndicatorCode],Table1[[#This Row],[IndicatorCode]])</f>
        <v>72.66514008620689</v>
      </c>
      <c r="I9242" cm="1">
        <f t="array" ref="I9242">_xlfn.STDEV.P(IF(Table1[IndicatorCode]=Table1[[#This Row],[IndicatorCode]],Table1[value]))</f>
        <v>6.3409496564024987</v>
      </c>
      <c r="J9242">
        <f>(Table1[[#This Row],[value]] - Table1[[#This Row],[mean]]) / Table1[[#This Row],[std_dev]]</f>
        <v>5.2809110927887599E-2</v>
      </c>
      <c r="K9242">
        <f>AVERAGEIF(Table1[CountryCode],Table1[[#This Row],[CountryCode]],Table1[z-score])</f>
        <v>-0.23196726817462951</v>
      </c>
      <c r="L9242" t="e">
        <f>VLOOKUP(Table1[[#This Row],[CountryCode]],[1]!Table1[#All],1,FALSE)</f>
        <v>#REF!</v>
      </c>
    </row>
    <row r="9243" spans="1:12" hidden="1" x14ac:dyDescent="0.3">
      <c r="A9243" t="s">
        <v>71</v>
      </c>
      <c r="B9243" t="s">
        <v>72</v>
      </c>
      <c r="C9243" t="s">
        <v>129</v>
      </c>
      <c r="D9243" t="s">
        <v>130</v>
      </c>
      <c r="E9243">
        <v>2018</v>
      </c>
      <c r="F9243" s="1">
        <v>73</v>
      </c>
      <c r="G9243">
        <v>2020</v>
      </c>
      <c r="H9243">
        <f>AVERAGEIFS(Table1[value],Table1[IndicatorCode],Table1[[#This Row],[IndicatorCode]])</f>
        <v>72.66514008620689</v>
      </c>
      <c r="I9243" cm="1">
        <f t="array" ref="I9243">_xlfn.STDEV.P(IF(Table1[IndicatorCode]=Table1[[#This Row],[IndicatorCode]],Table1[value]))</f>
        <v>6.3409496564024987</v>
      </c>
      <c r="J9243">
        <f>(Table1[[#This Row],[value]] - Table1[[#This Row],[mean]]) / Table1[[#This Row],[std_dev]]</f>
        <v>5.2809110927887599E-2</v>
      </c>
      <c r="K9243">
        <f>AVERAGEIF(Table1[CountryCode],Table1[[#This Row],[CountryCode]],Table1[z-score])</f>
        <v>-0.23196726817462951</v>
      </c>
      <c r="L9243" t="e">
        <f>VLOOKUP(Table1[[#This Row],[CountryCode]],[1]!Table1[#All],1,FALSE)</f>
        <v>#REF!</v>
      </c>
    </row>
    <row r="9244" spans="1:12" hidden="1" x14ac:dyDescent="0.3">
      <c r="A9244" t="s">
        <v>71</v>
      </c>
      <c r="B9244" t="s">
        <v>72</v>
      </c>
      <c r="C9244" t="s">
        <v>129</v>
      </c>
      <c r="D9244" t="s">
        <v>130</v>
      </c>
      <c r="E9244">
        <v>2019</v>
      </c>
      <c r="F9244" s="1">
        <v>74</v>
      </c>
      <c r="G9244">
        <v>2020</v>
      </c>
      <c r="H9244">
        <f>AVERAGEIFS(Table1[value],Table1[IndicatorCode],Table1[[#This Row],[IndicatorCode]])</f>
        <v>72.66514008620689</v>
      </c>
      <c r="I9244" cm="1">
        <f t="array" ref="I9244">_xlfn.STDEV.P(IF(Table1[IndicatorCode]=Table1[[#This Row],[IndicatorCode]],Table1[value]))</f>
        <v>6.3409496564024987</v>
      </c>
      <c r="J9244">
        <f>(Table1[[#This Row],[value]] - Table1[[#This Row],[mean]]) / Table1[[#This Row],[std_dev]]</f>
        <v>0.21051419521132667</v>
      </c>
      <c r="K9244">
        <f>AVERAGEIF(Table1[CountryCode],Table1[[#This Row],[CountryCode]],Table1[z-score])</f>
        <v>-0.23196726817462951</v>
      </c>
      <c r="L9244" t="e">
        <f>VLOOKUP(Table1[[#This Row],[CountryCode]],[1]!Table1[#All],1,FALSE)</f>
        <v>#REF!</v>
      </c>
    </row>
    <row r="9245" spans="1:12" x14ac:dyDescent="0.3">
      <c r="A9245" t="s">
        <v>71</v>
      </c>
      <c r="B9245" t="s">
        <v>72</v>
      </c>
      <c r="C9245" t="s">
        <v>129</v>
      </c>
      <c r="D9245" t="s">
        <v>130</v>
      </c>
      <c r="E9245">
        <v>2020</v>
      </c>
      <c r="F9245" s="1">
        <v>71</v>
      </c>
      <c r="G9245">
        <v>2020</v>
      </c>
      <c r="H9245">
        <f>AVERAGEIFS(Table1[value],Table1[IndicatorCode],Table1[[#This Row],[IndicatorCode]])</f>
        <v>72.66514008620689</v>
      </c>
      <c r="I9245" cm="1">
        <f t="array" ref="I9245">_xlfn.STDEV.P(IF(Table1[IndicatorCode]=Table1[[#This Row],[IndicatorCode]],Table1[value]))</f>
        <v>6.3409496564024987</v>
      </c>
      <c r="J9245">
        <f>(Table1[[#This Row],[value]] - Table1[[#This Row],[mean]]) / Table1[[#This Row],[std_dev]]</f>
        <v>-0.2626010576389905</v>
      </c>
      <c r="K9245">
        <f>AVERAGEIF(Table1[CountryCode],Table1[[#This Row],[CountryCode]],Table1[z-score])</f>
        <v>-0.23196726817462951</v>
      </c>
    </row>
    <row r="9246" spans="1:12" hidden="1" x14ac:dyDescent="0.3">
      <c r="A9246" t="s">
        <v>71</v>
      </c>
      <c r="B9246" t="s">
        <v>72</v>
      </c>
      <c r="C9246" t="s">
        <v>129</v>
      </c>
      <c r="D9246" t="s">
        <v>130</v>
      </c>
      <c r="E9246">
        <v>2021</v>
      </c>
      <c r="F9246" s="1">
        <v>70</v>
      </c>
      <c r="G9246">
        <v>1960</v>
      </c>
      <c r="H9246">
        <f>AVERAGEIFS(Table1[value],Table1[IndicatorCode],Table1[[#This Row],[IndicatorCode]])</f>
        <v>72.66514008620689</v>
      </c>
      <c r="I9246" cm="1">
        <f t="array" ref="I9246">_xlfn.STDEV.P(IF(Table1[IndicatorCode]=Table1[[#This Row],[IndicatorCode]],Table1[value]))</f>
        <v>6.3409496564024987</v>
      </c>
      <c r="J9246">
        <f>(Table1[[#This Row],[value]] - Table1[[#This Row],[mean]]) / Table1[[#This Row],[std_dev]]</f>
        <v>-0.4203061419224296</v>
      </c>
      <c r="K9246">
        <f>AVERAGEIF(Table1[CountryCode],Table1[[#This Row],[CountryCode]],Table1[z-score])</f>
        <v>-0.23196726817462951</v>
      </c>
      <c r="L9246" t="e">
        <f>VLOOKUP(Table1[[#This Row],[CountryCode]],[1]!Table1[#All],1,FALSE)</f>
        <v>#REF!</v>
      </c>
    </row>
    <row r="9247" spans="1:12" hidden="1" x14ac:dyDescent="0.3">
      <c r="A9247" t="s">
        <v>71</v>
      </c>
      <c r="B9247" t="s">
        <v>72</v>
      </c>
      <c r="C9247" t="s">
        <v>129</v>
      </c>
      <c r="D9247" t="s">
        <v>130</v>
      </c>
      <c r="E9247">
        <v>2022</v>
      </c>
      <c r="F9247" s="1">
        <v>74</v>
      </c>
      <c r="G9247">
        <v>1960</v>
      </c>
      <c r="H9247">
        <f>AVERAGEIFS(Table1[value],Table1[IndicatorCode],Table1[[#This Row],[IndicatorCode]])</f>
        <v>72.66514008620689</v>
      </c>
      <c r="I9247" cm="1">
        <f t="array" ref="I9247">_xlfn.STDEV.P(IF(Table1[IndicatorCode]=Table1[[#This Row],[IndicatorCode]],Table1[value]))</f>
        <v>6.3409496564024987</v>
      </c>
      <c r="J9247">
        <f>(Table1[[#This Row],[value]] - Table1[[#This Row],[mean]]) / Table1[[#This Row],[std_dev]]</f>
        <v>0.21051419521132667</v>
      </c>
      <c r="K9247">
        <f>AVERAGEIF(Table1[CountryCode],Table1[[#This Row],[CountryCode]],Table1[z-score])</f>
        <v>-0.23196726817462951</v>
      </c>
      <c r="L9247" t="e">
        <f>VLOOKUP(Table1[[#This Row],[CountryCode]],[1]!Table1[#All],1,FALSE)</f>
        <v>#REF!</v>
      </c>
    </row>
    <row r="9248" spans="1:12" hidden="1" x14ac:dyDescent="0.3">
      <c r="A9248" t="s">
        <v>71</v>
      </c>
      <c r="B9248" t="s">
        <v>72</v>
      </c>
      <c r="C9248" t="s">
        <v>129</v>
      </c>
      <c r="D9248" t="s">
        <v>130</v>
      </c>
      <c r="E9248">
        <v>2023</v>
      </c>
      <c r="F9248" s="1">
        <v>74</v>
      </c>
      <c r="G9248">
        <v>1960</v>
      </c>
      <c r="H9248">
        <f>AVERAGEIFS(Table1[value],Table1[IndicatorCode],Table1[[#This Row],[IndicatorCode]])</f>
        <v>72.66514008620689</v>
      </c>
      <c r="I9248" cm="1">
        <f t="array" ref="I9248">_xlfn.STDEV.P(IF(Table1[IndicatorCode]=Table1[[#This Row],[IndicatorCode]],Table1[value]))</f>
        <v>6.3409496564024987</v>
      </c>
      <c r="J9248">
        <f>(Table1[[#This Row],[value]] - Table1[[#This Row],[mean]]) / Table1[[#This Row],[std_dev]]</f>
        <v>0.21051419521132667</v>
      </c>
      <c r="K9248">
        <f>AVERAGEIF(Table1[CountryCode],Table1[[#This Row],[CountryCode]],Table1[z-score])</f>
        <v>-0.23196726817462951</v>
      </c>
      <c r="L9248" t="e">
        <f>VLOOKUP(Table1[[#This Row],[CountryCode]],[1]!Table1[#All],1,FALSE)</f>
        <v>#REF!</v>
      </c>
    </row>
    <row r="9249" spans="1:12" hidden="1" x14ac:dyDescent="0.3">
      <c r="A9249" t="s">
        <v>73</v>
      </c>
      <c r="B9249" t="s">
        <v>74</v>
      </c>
      <c r="C9249" t="s">
        <v>129</v>
      </c>
      <c r="D9249" t="s">
        <v>130</v>
      </c>
      <c r="E9249">
        <v>1960</v>
      </c>
      <c r="F9249" s="1">
        <v>55</v>
      </c>
      <c r="G9249">
        <v>1960</v>
      </c>
      <c r="H9249">
        <f>AVERAGEIFS(Table1[value],Table1[IndicatorCode],Table1[[#This Row],[IndicatorCode]])</f>
        <v>72.66514008620689</v>
      </c>
      <c r="I9249" cm="1">
        <f t="array" ref="I9249">_xlfn.STDEV.P(IF(Table1[IndicatorCode]=Table1[[#This Row],[IndicatorCode]],Table1[value]))</f>
        <v>6.3409496564024987</v>
      </c>
      <c r="J9249">
        <f>(Table1[[#This Row],[value]] - Table1[[#This Row],[mean]]) / Table1[[#This Row],[std_dev]]</f>
        <v>-2.7858824061740153</v>
      </c>
      <c r="K9249">
        <f>AVERAGEIF(Table1[CountryCode],Table1[[#This Row],[CountryCode]],Table1[z-score])</f>
        <v>-0.90374566436467785</v>
      </c>
      <c r="L9249" t="e">
        <f>VLOOKUP(Table1[[#This Row],[CountryCode]],[1]!Table1[#All],1,FALSE)</f>
        <v>#REF!</v>
      </c>
    </row>
    <row r="9250" spans="1:12" hidden="1" x14ac:dyDescent="0.3">
      <c r="A9250" t="s">
        <v>73</v>
      </c>
      <c r="B9250" t="s">
        <v>74</v>
      </c>
      <c r="C9250" t="s">
        <v>129</v>
      </c>
      <c r="D9250" t="s">
        <v>130</v>
      </c>
      <c r="E9250">
        <v>1961</v>
      </c>
      <c r="F9250" s="1">
        <v>55</v>
      </c>
      <c r="G9250">
        <v>1960</v>
      </c>
      <c r="H9250">
        <f>AVERAGEIFS(Table1[value],Table1[IndicatorCode],Table1[[#This Row],[IndicatorCode]])</f>
        <v>72.66514008620689</v>
      </c>
      <c r="I9250" cm="1">
        <f t="array" ref="I9250">_xlfn.STDEV.P(IF(Table1[IndicatorCode]=Table1[[#This Row],[IndicatorCode]],Table1[value]))</f>
        <v>6.3409496564024987</v>
      </c>
      <c r="J9250">
        <f>(Table1[[#This Row],[value]] - Table1[[#This Row],[mean]]) / Table1[[#This Row],[std_dev]]</f>
        <v>-2.7858824061740153</v>
      </c>
      <c r="K9250">
        <f>AVERAGEIF(Table1[CountryCode],Table1[[#This Row],[CountryCode]],Table1[z-score])</f>
        <v>-0.90374566436467785</v>
      </c>
      <c r="L9250" t="e">
        <f>VLOOKUP(Table1[[#This Row],[CountryCode]],[1]!Table1[#All],1,FALSE)</f>
        <v>#REF!</v>
      </c>
    </row>
    <row r="9251" spans="1:12" hidden="1" x14ac:dyDescent="0.3">
      <c r="A9251" t="s">
        <v>73</v>
      </c>
      <c r="B9251" t="s">
        <v>74</v>
      </c>
      <c r="C9251" t="s">
        <v>129</v>
      </c>
      <c r="D9251" t="s">
        <v>130</v>
      </c>
      <c r="E9251">
        <v>1962</v>
      </c>
      <c r="F9251" s="1">
        <v>56</v>
      </c>
      <c r="G9251">
        <v>1960</v>
      </c>
      <c r="H9251">
        <f>AVERAGEIFS(Table1[value],Table1[IndicatorCode],Table1[[#This Row],[IndicatorCode]])</f>
        <v>72.66514008620689</v>
      </c>
      <c r="I9251" cm="1">
        <f t="array" ref="I9251">_xlfn.STDEV.P(IF(Table1[IndicatorCode]=Table1[[#This Row],[IndicatorCode]],Table1[value]))</f>
        <v>6.3409496564024987</v>
      </c>
      <c r="J9251">
        <f>(Table1[[#This Row],[value]] - Table1[[#This Row],[mean]]) / Table1[[#This Row],[std_dev]]</f>
        <v>-2.6281773218905764</v>
      </c>
      <c r="K9251">
        <f>AVERAGEIF(Table1[CountryCode],Table1[[#This Row],[CountryCode]],Table1[z-score])</f>
        <v>-0.90374566436467785</v>
      </c>
      <c r="L9251" t="e">
        <f>VLOOKUP(Table1[[#This Row],[CountryCode]],[1]!Table1[#All],1,FALSE)</f>
        <v>#REF!</v>
      </c>
    </row>
    <row r="9252" spans="1:12" hidden="1" x14ac:dyDescent="0.3">
      <c r="A9252" t="s">
        <v>73</v>
      </c>
      <c r="B9252" t="s">
        <v>74</v>
      </c>
      <c r="C9252" t="s">
        <v>129</v>
      </c>
      <c r="D9252" t="s">
        <v>130</v>
      </c>
      <c r="E9252">
        <v>1963</v>
      </c>
      <c r="F9252" s="1">
        <v>56</v>
      </c>
      <c r="G9252">
        <v>1960</v>
      </c>
      <c r="H9252">
        <f>AVERAGEIFS(Table1[value],Table1[IndicatorCode],Table1[[#This Row],[IndicatorCode]])</f>
        <v>72.66514008620689</v>
      </c>
      <c r="I9252" cm="1">
        <f t="array" ref="I9252">_xlfn.STDEV.P(IF(Table1[IndicatorCode]=Table1[[#This Row],[IndicatorCode]],Table1[value]))</f>
        <v>6.3409496564024987</v>
      </c>
      <c r="J9252">
        <f>(Table1[[#This Row],[value]] - Table1[[#This Row],[mean]]) / Table1[[#This Row],[std_dev]]</f>
        <v>-2.6281773218905764</v>
      </c>
      <c r="K9252">
        <f>AVERAGEIF(Table1[CountryCode],Table1[[#This Row],[CountryCode]],Table1[z-score])</f>
        <v>-0.90374566436467785</v>
      </c>
      <c r="L9252" t="e">
        <f>VLOOKUP(Table1[[#This Row],[CountryCode]],[1]!Table1[#All],1,FALSE)</f>
        <v>#REF!</v>
      </c>
    </row>
    <row r="9253" spans="1:12" hidden="1" x14ac:dyDescent="0.3">
      <c r="A9253" t="s">
        <v>73</v>
      </c>
      <c r="B9253" t="s">
        <v>74</v>
      </c>
      <c r="C9253" t="s">
        <v>129</v>
      </c>
      <c r="D9253" t="s">
        <v>130</v>
      </c>
      <c r="E9253">
        <v>1964</v>
      </c>
      <c r="F9253" s="1">
        <v>56</v>
      </c>
      <c r="G9253">
        <v>1960</v>
      </c>
      <c r="H9253">
        <f>AVERAGEIFS(Table1[value],Table1[IndicatorCode],Table1[[#This Row],[IndicatorCode]])</f>
        <v>72.66514008620689</v>
      </c>
      <c r="I9253" cm="1">
        <f t="array" ref="I9253">_xlfn.STDEV.P(IF(Table1[IndicatorCode]=Table1[[#This Row],[IndicatorCode]],Table1[value]))</f>
        <v>6.3409496564024987</v>
      </c>
      <c r="J9253">
        <f>(Table1[[#This Row],[value]] - Table1[[#This Row],[mean]]) / Table1[[#This Row],[std_dev]]</f>
        <v>-2.6281773218905764</v>
      </c>
      <c r="K9253">
        <f>AVERAGEIF(Table1[CountryCode],Table1[[#This Row],[CountryCode]],Table1[z-score])</f>
        <v>-0.90374566436467785</v>
      </c>
      <c r="L9253" t="e">
        <f>VLOOKUP(Table1[[#This Row],[CountryCode]],[1]!Table1[#All],1,FALSE)</f>
        <v>#REF!</v>
      </c>
    </row>
    <row r="9254" spans="1:12" hidden="1" x14ac:dyDescent="0.3">
      <c r="A9254" t="s">
        <v>73</v>
      </c>
      <c r="B9254" t="s">
        <v>74</v>
      </c>
      <c r="C9254" t="s">
        <v>129</v>
      </c>
      <c r="D9254" t="s">
        <v>130</v>
      </c>
      <c r="E9254">
        <v>1965</v>
      </c>
      <c r="F9254" s="1">
        <v>57</v>
      </c>
      <c r="G9254">
        <v>1960</v>
      </c>
      <c r="H9254">
        <f>AVERAGEIFS(Table1[value],Table1[IndicatorCode],Table1[[#This Row],[IndicatorCode]])</f>
        <v>72.66514008620689</v>
      </c>
      <c r="I9254" cm="1">
        <f t="array" ref="I9254">_xlfn.STDEV.P(IF(Table1[IndicatorCode]=Table1[[#This Row],[IndicatorCode]],Table1[value]))</f>
        <v>6.3409496564024987</v>
      </c>
      <c r="J9254">
        <f>(Table1[[#This Row],[value]] - Table1[[#This Row],[mean]]) / Table1[[#This Row],[std_dev]]</f>
        <v>-2.4704722376071375</v>
      </c>
      <c r="K9254">
        <f>AVERAGEIF(Table1[CountryCode],Table1[[#This Row],[CountryCode]],Table1[z-score])</f>
        <v>-0.90374566436467785</v>
      </c>
      <c r="L9254" t="e">
        <f>VLOOKUP(Table1[[#This Row],[CountryCode]],[1]!Table1[#All],1,FALSE)</f>
        <v>#REF!</v>
      </c>
    </row>
    <row r="9255" spans="1:12" hidden="1" x14ac:dyDescent="0.3">
      <c r="A9255" t="s">
        <v>73</v>
      </c>
      <c r="B9255" t="s">
        <v>74</v>
      </c>
      <c r="C9255" t="s">
        <v>129</v>
      </c>
      <c r="D9255" t="s">
        <v>130</v>
      </c>
      <c r="E9255">
        <v>1966</v>
      </c>
      <c r="F9255" s="1">
        <v>57</v>
      </c>
      <c r="G9255">
        <v>1960</v>
      </c>
      <c r="H9255">
        <f>AVERAGEIFS(Table1[value],Table1[IndicatorCode],Table1[[#This Row],[IndicatorCode]])</f>
        <v>72.66514008620689</v>
      </c>
      <c r="I9255" cm="1">
        <f t="array" ref="I9255">_xlfn.STDEV.P(IF(Table1[IndicatorCode]=Table1[[#This Row],[IndicatorCode]],Table1[value]))</f>
        <v>6.3409496564024987</v>
      </c>
      <c r="J9255">
        <f>(Table1[[#This Row],[value]] - Table1[[#This Row],[mean]]) / Table1[[#This Row],[std_dev]]</f>
        <v>-2.4704722376071375</v>
      </c>
      <c r="K9255">
        <f>AVERAGEIF(Table1[CountryCode],Table1[[#This Row],[CountryCode]],Table1[z-score])</f>
        <v>-0.90374566436467785</v>
      </c>
      <c r="L9255" t="e">
        <f>VLOOKUP(Table1[[#This Row],[CountryCode]],[1]!Table1[#All],1,FALSE)</f>
        <v>#REF!</v>
      </c>
    </row>
    <row r="9256" spans="1:12" hidden="1" x14ac:dyDescent="0.3">
      <c r="A9256" t="s">
        <v>73</v>
      </c>
      <c r="B9256" t="s">
        <v>74</v>
      </c>
      <c r="C9256" t="s">
        <v>129</v>
      </c>
      <c r="D9256" t="s">
        <v>130</v>
      </c>
      <c r="E9256">
        <v>1967</v>
      </c>
      <c r="F9256" s="1">
        <v>57</v>
      </c>
      <c r="G9256">
        <v>1970</v>
      </c>
      <c r="H9256">
        <f>AVERAGEIFS(Table1[value],Table1[IndicatorCode],Table1[[#This Row],[IndicatorCode]])</f>
        <v>72.66514008620689</v>
      </c>
      <c r="I9256" cm="1">
        <f t="array" ref="I9256">_xlfn.STDEV.P(IF(Table1[IndicatorCode]=Table1[[#This Row],[IndicatorCode]],Table1[value]))</f>
        <v>6.3409496564024987</v>
      </c>
      <c r="J9256">
        <f>(Table1[[#This Row],[value]] - Table1[[#This Row],[mean]]) / Table1[[#This Row],[std_dev]]</f>
        <v>-2.4704722376071375</v>
      </c>
      <c r="K9256">
        <f>AVERAGEIF(Table1[CountryCode],Table1[[#This Row],[CountryCode]],Table1[z-score])</f>
        <v>-0.90374566436467785</v>
      </c>
      <c r="L9256" t="e">
        <f>VLOOKUP(Table1[[#This Row],[CountryCode]],[1]!Table1[#All],1,FALSE)</f>
        <v>#REF!</v>
      </c>
    </row>
    <row r="9257" spans="1:12" hidden="1" x14ac:dyDescent="0.3">
      <c r="A9257" t="s">
        <v>73</v>
      </c>
      <c r="B9257" t="s">
        <v>74</v>
      </c>
      <c r="C9257" t="s">
        <v>129</v>
      </c>
      <c r="D9257" t="s">
        <v>130</v>
      </c>
      <c r="E9257">
        <v>1968</v>
      </c>
      <c r="F9257" s="1">
        <v>57</v>
      </c>
      <c r="G9257">
        <v>1970</v>
      </c>
      <c r="H9257">
        <f>AVERAGEIFS(Table1[value],Table1[IndicatorCode],Table1[[#This Row],[IndicatorCode]])</f>
        <v>72.66514008620689</v>
      </c>
      <c r="I9257" cm="1">
        <f t="array" ref="I9257">_xlfn.STDEV.P(IF(Table1[IndicatorCode]=Table1[[#This Row],[IndicatorCode]],Table1[value]))</f>
        <v>6.3409496564024987</v>
      </c>
      <c r="J9257">
        <f>(Table1[[#This Row],[value]] - Table1[[#This Row],[mean]]) / Table1[[#This Row],[std_dev]]</f>
        <v>-2.4704722376071375</v>
      </c>
      <c r="K9257">
        <f>AVERAGEIF(Table1[CountryCode],Table1[[#This Row],[CountryCode]],Table1[z-score])</f>
        <v>-0.90374566436467785</v>
      </c>
      <c r="L9257" t="e">
        <f>VLOOKUP(Table1[[#This Row],[CountryCode]],[1]!Table1[#All],1,FALSE)</f>
        <v>#REF!</v>
      </c>
    </row>
    <row r="9258" spans="1:12" hidden="1" x14ac:dyDescent="0.3">
      <c r="A9258" t="s">
        <v>73</v>
      </c>
      <c r="B9258" t="s">
        <v>74</v>
      </c>
      <c r="C9258" t="s">
        <v>129</v>
      </c>
      <c r="D9258" t="s">
        <v>130</v>
      </c>
      <c r="E9258">
        <v>1969</v>
      </c>
      <c r="F9258" s="1">
        <v>58</v>
      </c>
      <c r="G9258">
        <v>1970</v>
      </c>
      <c r="H9258">
        <f>AVERAGEIFS(Table1[value],Table1[IndicatorCode],Table1[[#This Row],[IndicatorCode]])</f>
        <v>72.66514008620689</v>
      </c>
      <c r="I9258" cm="1">
        <f t="array" ref="I9258">_xlfn.STDEV.P(IF(Table1[IndicatorCode]=Table1[[#This Row],[IndicatorCode]],Table1[value]))</f>
        <v>6.3409496564024987</v>
      </c>
      <c r="J9258">
        <f>(Table1[[#This Row],[value]] - Table1[[#This Row],[mean]]) / Table1[[#This Row],[std_dev]]</f>
        <v>-2.3127671533236982</v>
      </c>
      <c r="K9258">
        <f>AVERAGEIF(Table1[CountryCode],Table1[[#This Row],[CountryCode]],Table1[z-score])</f>
        <v>-0.90374566436467785</v>
      </c>
      <c r="L9258" t="e">
        <f>VLOOKUP(Table1[[#This Row],[CountryCode]],[1]!Table1[#All],1,FALSE)</f>
        <v>#REF!</v>
      </c>
    </row>
    <row r="9259" spans="1:12" hidden="1" x14ac:dyDescent="0.3">
      <c r="A9259" t="s">
        <v>73</v>
      </c>
      <c r="B9259" t="s">
        <v>74</v>
      </c>
      <c r="C9259" t="s">
        <v>129</v>
      </c>
      <c r="D9259" t="s">
        <v>130</v>
      </c>
      <c r="E9259">
        <v>1970</v>
      </c>
      <c r="F9259" s="1">
        <v>58</v>
      </c>
      <c r="G9259">
        <v>1970</v>
      </c>
      <c r="H9259">
        <f>AVERAGEIFS(Table1[value],Table1[IndicatorCode],Table1[[#This Row],[IndicatorCode]])</f>
        <v>72.66514008620689</v>
      </c>
      <c r="I9259" cm="1">
        <f t="array" ref="I9259">_xlfn.STDEV.P(IF(Table1[IndicatorCode]=Table1[[#This Row],[IndicatorCode]],Table1[value]))</f>
        <v>6.3409496564024987</v>
      </c>
      <c r="J9259">
        <f>(Table1[[#This Row],[value]] - Table1[[#This Row],[mean]]) / Table1[[#This Row],[std_dev]]</f>
        <v>-2.3127671533236982</v>
      </c>
      <c r="K9259">
        <f>AVERAGEIF(Table1[CountryCode],Table1[[#This Row],[CountryCode]],Table1[z-score])</f>
        <v>-0.90374566436467785</v>
      </c>
      <c r="L9259" t="e">
        <f>VLOOKUP(Table1[[#This Row],[CountryCode]],[1]!Table1[#All],1,FALSE)</f>
        <v>#REF!</v>
      </c>
    </row>
    <row r="9260" spans="1:12" hidden="1" x14ac:dyDescent="0.3">
      <c r="A9260" t="s">
        <v>73</v>
      </c>
      <c r="B9260" t="s">
        <v>74</v>
      </c>
      <c r="C9260" t="s">
        <v>129</v>
      </c>
      <c r="D9260" t="s">
        <v>130</v>
      </c>
      <c r="E9260">
        <v>1971</v>
      </c>
      <c r="F9260" s="1">
        <v>58</v>
      </c>
      <c r="G9260">
        <v>1970</v>
      </c>
      <c r="H9260">
        <f>AVERAGEIFS(Table1[value],Table1[IndicatorCode],Table1[[#This Row],[IndicatorCode]])</f>
        <v>72.66514008620689</v>
      </c>
      <c r="I9260" cm="1">
        <f t="array" ref="I9260">_xlfn.STDEV.P(IF(Table1[IndicatorCode]=Table1[[#This Row],[IndicatorCode]],Table1[value]))</f>
        <v>6.3409496564024987</v>
      </c>
      <c r="J9260">
        <f>(Table1[[#This Row],[value]] - Table1[[#This Row],[mean]]) / Table1[[#This Row],[std_dev]]</f>
        <v>-2.3127671533236982</v>
      </c>
      <c r="K9260">
        <f>AVERAGEIF(Table1[CountryCode],Table1[[#This Row],[CountryCode]],Table1[z-score])</f>
        <v>-0.90374566436467785</v>
      </c>
      <c r="L9260" t="e">
        <f>VLOOKUP(Table1[[#This Row],[CountryCode]],[1]!Table1[#All],1,FALSE)</f>
        <v>#REF!</v>
      </c>
    </row>
    <row r="9261" spans="1:12" hidden="1" x14ac:dyDescent="0.3">
      <c r="A9261" t="s">
        <v>73</v>
      </c>
      <c r="B9261" t="s">
        <v>74</v>
      </c>
      <c r="C9261" t="s">
        <v>129</v>
      </c>
      <c r="D9261" t="s">
        <v>130</v>
      </c>
      <c r="E9261">
        <v>1972</v>
      </c>
      <c r="F9261" s="1">
        <v>59</v>
      </c>
      <c r="G9261">
        <v>1970</v>
      </c>
      <c r="H9261">
        <f>AVERAGEIFS(Table1[value],Table1[IndicatorCode],Table1[[#This Row],[IndicatorCode]])</f>
        <v>72.66514008620689</v>
      </c>
      <c r="I9261" cm="1">
        <f t="array" ref="I9261">_xlfn.STDEV.P(IF(Table1[IndicatorCode]=Table1[[#This Row],[IndicatorCode]],Table1[value]))</f>
        <v>6.3409496564024987</v>
      </c>
      <c r="J9261">
        <f>(Table1[[#This Row],[value]] - Table1[[#This Row],[mean]]) / Table1[[#This Row],[std_dev]]</f>
        <v>-2.1550620690402593</v>
      </c>
      <c r="K9261">
        <f>AVERAGEIF(Table1[CountryCode],Table1[[#This Row],[CountryCode]],Table1[z-score])</f>
        <v>-0.90374566436467785</v>
      </c>
      <c r="L9261" t="e">
        <f>VLOOKUP(Table1[[#This Row],[CountryCode]],[1]!Table1[#All],1,FALSE)</f>
        <v>#REF!</v>
      </c>
    </row>
    <row r="9262" spans="1:12" hidden="1" x14ac:dyDescent="0.3">
      <c r="A9262" t="s">
        <v>73</v>
      </c>
      <c r="B9262" t="s">
        <v>74</v>
      </c>
      <c r="C9262" t="s">
        <v>129</v>
      </c>
      <c r="D9262" t="s">
        <v>130</v>
      </c>
      <c r="E9262">
        <v>1973</v>
      </c>
      <c r="F9262" s="1">
        <v>59</v>
      </c>
      <c r="G9262">
        <v>1970</v>
      </c>
      <c r="H9262">
        <f>AVERAGEIFS(Table1[value],Table1[IndicatorCode],Table1[[#This Row],[IndicatorCode]])</f>
        <v>72.66514008620689</v>
      </c>
      <c r="I9262" cm="1">
        <f t="array" ref="I9262">_xlfn.STDEV.P(IF(Table1[IndicatorCode]=Table1[[#This Row],[IndicatorCode]],Table1[value]))</f>
        <v>6.3409496564024987</v>
      </c>
      <c r="J9262">
        <f>(Table1[[#This Row],[value]] - Table1[[#This Row],[mean]]) / Table1[[#This Row],[std_dev]]</f>
        <v>-2.1550620690402593</v>
      </c>
      <c r="K9262">
        <f>AVERAGEIF(Table1[CountryCode],Table1[[#This Row],[CountryCode]],Table1[z-score])</f>
        <v>-0.90374566436467785</v>
      </c>
      <c r="L9262" t="e">
        <f>VLOOKUP(Table1[[#This Row],[CountryCode]],[1]!Table1[#All],1,FALSE)</f>
        <v>#REF!</v>
      </c>
    </row>
    <row r="9263" spans="1:12" hidden="1" x14ac:dyDescent="0.3">
      <c r="A9263" t="s">
        <v>73</v>
      </c>
      <c r="B9263" t="s">
        <v>74</v>
      </c>
      <c r="C9263" t="s">
        <v>129</v>
      </c>
      <c r="D9263" t="s">
        <v>130</v>
      </c>
      <c r="E9263">
        <v>1974</v>
      </c>
      <c r="F9263" s="1">
        <v>59</v>
      </c>
      <c r="G9263">
        <v>1970</v>
      </c>
      <c r="H9263">
        <f>AVERAGEIFS(Table1[value],Table1[IndicatorCode],Table1[[#This Row],[IndicatorCode]])</f>
        <v>72.66514008620689</v>
      </c>
      <c r="I9263" cm="1">
        <f t="array" ref="I9263">_xlfn.STDEV.P(IF(Table1[IndicatorCode]=Table1[[#This Row],[IndicatorCode]],Table1[value]))</f>
        <v>6.3409496564024987</v>
      </c>
      <c r="J9263">
        <f>(Table1[[#This Row],[value]] - Table1[[#This Row],[mean]]) / Table1[[#This Row],[std_dev]]</f>
        <v>-2.1550620690402593</v>
      </c>
      <c r="K9263">
        <f>AVERAGEIF(Table1[CountryCode],Table1[[#This Row],[CountryCode]],Table1[z-score])</f>
        <v>-0.90374566436467785</v>
      </c>
      <c r="L9263" t="e">
        <f>VLOOKUP(Table1[[#This Row],[CountryCode]],[1]!Table1[#All],1,FALSE)</f>
        <v>#REF!</v>
      </c>
    </row>
    <row r="9264" spans="1:12" hidden="1" x14ac:dyDescent="0.3">
      <c r="A9264" t="s">
        <v>73</v>
      </c>
      <c r="B9264" t="s">
        <v>74</v>
      </c>
      <c r="C9264" t="s">
        <v>129</v>
      </c>
      <c r="D9264" t="s">
        <v>130</v>
      </c>
      <c r="E9264">
        <v>1975</v>
      </c>
      <c r="F9264" s="1">
        <v>60</v>
      </c>
      <c r="G9264">
        <v>1970</v>
      </c>
      <c r="H9264">
        <f>AVERAGEIFS(Table1[value],Table1[IndicatorCode],Table1[[#This Row],[IndicatorCode]])</f>
        <v>72.66514008620689</v>
      </c>
      <c r="I9264" cm="1">
        <f t="array" ref="I9264">_xlfn.STDEV.P(IF(Table1[IndicatorCode]=Table1[[#This Row],[IndicatorCode]],Table1[value]))</f>
        <v>6.3409496564024987</v>
      </c>
      <c r="J9264">
        <f>(Table1[[#This Row],[value]] - Table1[[#This Row],[mean]]) / Table1[[#This Row],[std_dev]]</f>
        <v>-1.9973569847568202</v>
      </c>
      <c r="K9264">
        <f>AVERAGEIF(Table1[CountryCode],Table1[[#This Row],[CountryCode]],Table1[z-score])</f>
        <v>-0.90374566436467785</v>
      </c>
      <c r="L9264" t="e">
        <f>VLOOKUP(Table1[[#This Row],[CountryCode]],[1]!Table1[#All],1,FALSE)</f>
        <v>#REF!</v>
      </c>
    </row>
    <row r="9265" spans="1:12" hidden="1" x14ac:dyDescent="0.3">
      <c r="A9265" t="s">
        <v>73</v>
      </c>
      <c r="B9265" t="s">
        <v>74</v>
      </c>
      <c r="C9265" t="s">
        <v>129</v>
      </c>
      <c r="D9265" t="s">
        <v>130</v>
      </c>
      <c r="E9265">
        <v>1976</v>
      </c>
      <c r="F9265" s="1">
        <v>60</v>
      </c>
      <c r="G9265">
        <v>1970</v>
      </c>
      <c r="H9265">
        <f>AVERAGEIFS(Table1[value],Table1[IndicatorCode],Table1[[#This Row],[IndicatorCode]])</f>
        <v>72.66514008620689</v>
      </c>
      <c r="I9265" cm="1">
        <f t="array" ref="I9265">_xlfn.STDEV.P(IF(Table1[IndicatorCode]=Table1[[#This Row],[IndicatorCode]],Table1[value]))</f>
        <v>6.3409496564024987</v>
      </c>
      <c r="J9265">
        <f>(Table1[[#This Row],[value]] - Table1[[#This Row],[mean]]) / Table1[[#This Row],[std_dev]]</f>
        <v>-1.9973569847568202</v>
      </c>
      <c r="K9265">
        <f>AVERAGEIF(Table1[CountryCode],Table1[[#This Row],[CountryCode]],Table1[z-score])</f>
        <v>-0.90374566436467785</v>
      </c>
      <c r="L9265" t="e">
        <f>VLOOKUP(Table1[[#This Row],[CountryCode]],[1]!Table1[#All],1,FALSE)</f>
        <v>#REF!</v>
      </c>
    </row>
    <row r="9266" spans="1:12" hidden="1" x14ac:dyDescent="0.3">
      <c r="A9266" t="s">
        <v>73</v>
      </c>
      <c r="B9266" t="s">
        <v>74</v>
      </c>
      <c r="C9266" t="s">
        <v>129</v>
      </c>
      <c r="D9266" t="s">
        <v>130</v>
      </c>
      <c r="E9266">
        <v>1977</v>
      </c>
      <c r="F9266" s="1">
        <v>60</v>
      </c>
      <c r="G9266">
        <v>1980</v>
      </c>
      <c r="H9266">
        <f>AVERAGEIFS(Table1[value],Table1[IndicatorCode],Table1[[#This Row],[IndicatorCode]])</f>
        <v>72.66514008620689</v>
      </c>
      <c r="I9266" cm="1">
        <f t="array" ref="I9266">_xlfn.STDEV.P(IF(Table1[IndicatorCode]=Table1[[#This Row],[IndicatorCode]],Table1[value]))</f>
        <v>6.3409496564024987</v>
      </c>
      <c r="J9266">
        <f>(Table1[[#This Row],[value]] - Table1[[#This Row],[mean]]) / Table1[[#This Row],[std_dev]]</f>
        <v>-1.9973569847568202</v>
      </c>
      <c r="K9266">
        <f>AVERAGEIF(Table1[CountryCode],Table1[[#This Row],[CountryCode]],Table1[z-score])</f>
        <v>-0.90374566436467785</v>
      </c>
      <c r="L9266" t="e">
        <f>VLOOKUP(Table1[[#This Row],[CountryCode]],[1]!Table1[#All],1,FALSE)</f>
        <v>#REF!</v>
      </c>
    </row>
    <row r="9267" spans="1:12" hidden="1" x14ac:dyDescent="0.3">
      <c r="A9267" t="s">
        <v>73</v>
      </c>
      <c r="B9267" t="s">
        <v>74</v>
      </c>
      <c r="C9267" t="s">
        <v>129</v>
      </c>
      <c r="D9267" t="s">
        <v>130</v>
      </c>
      <c r="E9267">
        <v>1978</v>
      </c>
      <c r="F9267" s="1">
        <v>60</v>
      </c>
      <c r="G9267">
        <v>1980</v>
      </c>
      <c r="H9267">
        <f>AVERAGEIFS(Table1[value],Table1[IndicatorCode],Table1[[#This Row],[IndicatorCode]])</f>
        <v>72.66514008620689</v>
      </c>
      <c r="I9267" cm="1">
        <f t="array" ref="I9267">_xlfn.STDEV.P(IF(Table1[IndicatorCode]=Table1[[#This Row],[IndicatorCode]],Table1[value]))</f>
        <v>6.3409496564024987</v>
      </c>
      <c r="J9267">
        <f>(Table1[[#This Row],[value]] - Table1[[#This Row],[mean]]) / Table1[[#This Row],[std_dev]]</f>
        <v>-1.9973569847568202</v>
      </c>
      <c r="K9267">
        <f>AVERAGEIF(Table1[CountryCode],Table1[[#This Row],[CountryCode]],Table1[z-score])</f>
        <v>-0.90374566436467785</v>
      </c>
      <c r="L9267" t="e">
        <f>VLOOKUP(Table1[[#This Row],[CountryCode]],[1]!Table1[#All],1,FALSE)</f>
        <v>#REF!</v>
      </c>
    </row>
    <row r="9268" spans="1:12" hidden="1" x14ac:dyDescent="0.3">
      <c r="A9268" t="s">
        <v>73</v>
      </c>
      <c r="B9268" t="s">
        <v>74</v>
      </c>
      <c r="C9268" t="s">
        <v>129</v>
      </c>
      <c r="D9268" t="s">
        <v>130</v>
      </c>
      <c r="E9268">
        <v>1979</v>
      </c>
      <c r="F9268" s="1">
        <v>61</v>
      </c>
      <c r="G9268">
        <v>1980</v>
      </c>
      <c r="H9268">
        <f>AVERAGEIFS(Table1[value],Table1[IndicatorCode],Table1[[#This Row],[IndicatorCode]])</f>
        <v>72.66514008620689</v>
      </c>
      <c r="I9268" cm="1">
        <f t="array" ref="I9268">_xlfn.STDEV.P(IF(Table1[IndicatorCode]=Table1[[#This Row],[IndicatorCode]],Table1[value]))</f>
        <v>6.3409496564024987</v>
      </c>
      <c r="J9268">
        <f>(Table1[[#This Row],[value]] - Table1[[#This Row],[mean]]) / Table1[[#This Row],[std_dev]]</f>
        <v>-1.8396519004733811</v>
      </c>
      <c r="K9268">
        <f>AVERAGEIF(Table1[CountryCode],Table1[[#This Row],[CountryCode]],Table1[z-score])</f>
        <v>-0.90374566436467785</v>
      </c>
      <c r="L9268" t="e">
        <f>VLOOKUP(Table1[[#This Row],[CountryCode]],[1]!Table1[#All],1,FALSE)</f>
        <v>#REF!</v>
      </c>
    </row>
    <row r="9269" spans="1:12" hidden="1" x14ac:dyDescent="0.3">
      <c r="A9269" t="s">
        <v>73</v>
      </c>
      <c r="B9269" t="s">
        <v>74</v>
      </c>
      <c r="C9269" t="s">
        <v>129</v>
      </c>
      <c r="D9269" t="s">
        <v>130</v>
      </c>
      <c r="E9269">
        <v>1980</v>
      </c>
      <c r="F9269" s="1">
        <v>61</v>
      </c>
      <c r="G9269">
        <v>1980</v>
      </c>
      <c r="H9269">
        <f>AVERAGEIFS(Table1[value],Table1[IndicatorCode],Table1[[#This Row],[IndicatorCode]])</f>
        <v>72.66514008620689</v>
      </c>
      <c r="I9269" cm="1">
        <f t="array" ref="I9269">_xlfn.STDEV.P(IF(Table1[IndicatorCode]=Table1[[#This Row],[IndicatorCode]],Table1[value]))</f>
        <v>6.3409496564024987</v>
      </c>
      <c r="J9269">
        <f>(Table1[[#This Row],[value]] - Table1[[#This Row],[mean]]) / Table1[[#This Row],[std_dev]]</f>
        <v>-1.8396519004733811</v>
      </c>
      <c r="K9269">
        <f>AVERAGEIF(Table1[CountryCode],Table1[[#This Row],[CountryCode]],Table1[z-score])</f>
        <v>-0.90374566436467785</v>
      </c>
      <c r="L9269" t="e">
        <f>VLOOKUP(Table1[[#This Row],[CountryCode]],[1]!Table1[#All],1,FALSE)</f>
        <v>#REF!</v>
      </c>
    </row>
    <row r="9270" spans="1:12" hidden="1" x14ac:dyDescent="0.3">
      <c r="A9270" t="s">
        <v>73</v>
      </c>
      <c r="B9270" t="s">
        <v>74</v>
      </c>
      <c r="C9270" t="s">
        <v>129</v>
      </c>
      <c r="D9270" t="s">
        <v>130</v>
      </c>
      <c r="E9270">
        <v>1981</v>
      </c>
      <c r="F9270" s="1">
        <v>62</v>
      </c>
      <c r="G9270">
        <v>1980</v>
      </c>
      <c r="H9270">
        <f>AVERAGEIFS(Table1[value],Table1[IndicatorCode],Table1[[#This Row],[IndicatorCode]])</f>
        <v>72.66514008620689</v>
      </c>
      <c r="I9270" cm="1">
        <f t="array" ref="I9270">_xlfn.STDEV.P(IF(Table1[IndicatorCode]=Table1[[#This Row],[IndicatorCode]],Table1[value]))</f>
        <v>6.3409496564024987</v>
      </c>
      <c r="J9270">
        <f>(Table1[[#This Row],[value]] - Table1[[#This Row],[mean]]) / Table1[[#This Row],[std_dev]]</f>
        <v>-1.681946816189942</v>
      </c>
      <c r="K9270">
        <f>AVERAGEIF(Table1[CountryCode],Table1[[#This Row],[CountryCode]],Table1[z-score])</f>
        <v>-0.90374566436467785</v>
      </c>
      <c r="L9270" t="e">
        <f>VLOOKUP(Table1[[#This Row],[CountryCode]],[1]!Table1[#All],1,FALSE)</f>
        <v>#REF!</v>
      </c>
    </row>
    <row r="9271" spans="1:12" hidden="1" x14ac:dyDescent="0.3">
      <c r="A9271" t="s">
        <v>73</v>
      </c>
      <c r="B9271" t="s">
        <v>74</v>
      </c>
      <c r="C9271" t="s">
        <v>129</v>
      </c>
      <c r="D9271" t="s">
        <v>130</v>
      </c>
      <c r="E9271">
        <v>1982</v>
      </c>
      <c r="F9271" s="1">
        <v>62</v>
      </c>
      <c r="G9271">
        <v>1980</v>
      </c>
      <c r="H9271">
        <f>AVERAGEIFS(Table1[value],Table1[IndicatorCode],Table1[[#This Row],[IndicatorCode]])</f>
        <v>72.66514008620689</v>
      </c>
      <c r="I9271" cm="1">
        <f t="array" ref="I9271">_xlfn.STDEV.P(IF(Table1[IndicatorCode]=Table1[[#This Row],[IndicatorCode]],Table1[value]))</f>
        <v>6.3409496564024987</v>
      </c>
      <c r="J9271">
        <f>(Table1[[#This Row],[value]] - Table1[[#This Row],[mean]]) / Table1[[#This Row],[std_dev]]</f>
        <v>-1.681946816189942</v>
      </c>
      <c r="K9271">
        <f>AVERAGEIF(Table1[CountryCode],Table1[[#This Row],[CountryCode]],Table1[z-score])</f>
        <v>-0.90374566436467785</v>
      </c>
      <c r="L9271" t="e">
        <f>VLOOKUP(Table1[[#This Row],[CountryCode]],[1]!Table1[#All],1,FALSE)</f>
        <v>#REF!</v>
      </c>
    </row>
    <row r="9272" spans="1:12" hidden="1" x14ac:dyDescent="0.3">
      <c r="A9272" t="s">
        <v>73</v>
      </c>
      <c r="B9272" t="s">
        <v>74</v>
      </c>
      <c r="C9272" t="s">
        <v>129</v>
      </c>
      <c r="D9272" t="s">
        <v>130</v>
      </c>
      <c r="E9272">
        <v>1983</v>
      </c>
      <c r="F9272" s="1">
        <v>62</v>
      </c>
      <c r="G9272">
        <v>1980</v>
      </c>
      <c r="H9272">
        <f>AVERAGEIFS(Table1[value],Table1[IndicatorCode],Table1[[#This Row],[IndicatorCode]])</f>
        <v>72.66514008620689</v>
      </c>
      <c r="I9272" cm="1">
        <f t="array" ref="I9272">_xlfn.STDEV.P(IF(Table1[IndicatorCode]=Table1[[#This Row],[IndicatorCode]],Table1[value]))</f>
        <v>6.3409496564024987</v>
      </c>
      <c r="J9272">
        <f>(Table1[[#This Row],[value]] - Table1[[#This Row],[mean]]) / Table1[[#This Row],[std_dev]]</f>
        <v>-1.681946816189942</v>
      </c>
      <c r="K9272">
        <f>AVERAGEIF(Table1[CountryCode],Table1[[#This Row],[CountryCode]],Table1[z-score])</f>
        <v>-0.90374566436467785</v>
      </c>
      <c r="L9272" t="e">
        <f>VLOOKUP(Table1[[#This Row],[CountryCode]],[1]!Table1[#All],1,FALSE)</f>
        <v>#REF!</v>
      </c>
    </row>
    <row r="9273" spans="1:12" hidden="1" x14ac:dyDescent="0.3">
      <c r="A9273" t="s">
        <v>73</v>
      </c>
      <c r="B9273" t="s">
        <v>74</v>
      </c>
      <c r="C9273" t="s">
        <v>129</v>
      </c>
      <c r="D9273" t="s">
        <v>130</v>
      </c>
      <c r="E9273">
        <v>1984</v>
      </c>
      <c r="F9273" s="1">
        <v>63</v>
      </c>
      <c r="G9273">
        <v>1980</v>
      </c>
      <c r="H9273">
        <f>AVERAGEIFS(Table1[value],Table1[IndicatorCode],Table1[[#This Row],[IndicatorCode]])</f>
        <v>72.66514008620689</v>
      </c>
      <c r="I9273" cm="1">
        <f t="array" ref="I9273">_xlfn.STDEV.P(IF(Table1[IndicatorCode]=Table1[[#This Row],[IndicatorCode]],Table1[value]))</f>
        <v>6.3409496564024987</v>
      </c>
      <c r="J9273">
        <f>(Table1[[#This Row],[value]] - Table1[[#This Row],[mean]]) / Table1[[#This Row],[std_dev]]</f>
        <v>-1.5242417319065029</v>
      </c>
      <c r="K9273">
        <f>AVERAGEIF(Table1[CountryCode],Table1[[#This Row],[CountryCode]],Table1[z-score])</f>
        <v>-0.90374566436467785</v>
      </c>
      <c r="L9273" t="e">
        <f>VLOOKUP(Table1[[#This Row],[CountryCode]],[1]!Table1[#All],1,FALSE)</f>
        <v>#REF!</v>
      </c>
    </row>
    <row r="9274" spans="1:12" hidden="1" x14ac:dyDescent="0.3">
      <c r="A9274" t="s">
        <v>73</v>
      </c>
      <c r="B9274" t="s">
        <v>74</v>
      </c>
      <c r="C9274" t="s">
        <v>129</v>
      </c>
      <c r="D9274" t="s">
        <v>130</v>
      </c>
      <c r="E9274">
        <v>1985</v>
      </c>
      <c r="F9274" s="1">
        <v>63</v>
      </c>
      <c r="G9274">
        <v>1980</v>
      </c>
      <c r="H9274">
        <f>AVERAGEIFS(Table1[value],Table1[IndicatorCode],Table1[[#This Row],[IndicatorCode]])</f>
        <v>72.66514008620689</v>
      </c>
      <c r="I9274" cm="1">
        <f t="array" ref="I9274">_xlfn.STDEV.P(IF(Table1[IndicatorCode]=Table1[[#This Row],[IndicatorCode]],Table1[value]))</f>
        <v>6.3409496564024987</v>
      </c>
      <c r="J9274">
        <f>(Table1[[#This Row],[value]] - Table1[[#This Row],[mean]]) / Table1[[#This Row],[std_dev]]</f>
        <v>-1.5242417319065029</v>
      </c>
      <c r="K9274">
        <f>AVERAGEIF(Table1[CountryCode],Table1[[#This Row],[CountryCode]],Table1[z-score])</f>
        <v>-0.90374566436467785</v>
      </c>
      <c r="L9274" t="e">
        <f>VLOOKUP(Table1[[#This Row],[CountryCode]],[1]!Table1[#All],1,FALSE)</f>
        <v>#REF!</v>
      </c>
    </row>
    <row r="9275" spans="1:12" hidden="1" x14ac:dyDescent="0.3">
      <c r="A9275" t="s">
        <v>73</v>
      </c>
      <c r="B9275" t="s">
        <v>74</v>
      </c>
      <c r="C9275" t="s">
        <v>129</v>
      </c>
      <c r="D9275" t="s">
        <v>130</v>
      </c>
      <c r="E9275">
        <v>1986</v>
      </c>
      <c r="F9275" s="1">
        <v>64</v>
      </c>
      <c r="G9275">
        <v>1980</v>
      </c>
      <c r="H9275">
        <f>AVERAGEIFS(Table1[value],Table1[IndicatorCode],Table1[[#This Row],[IndicatorCode]])</f>
        <v>72.66514008620689</v>
      </c>
      <c r="I9275" cm="1">
        <f t="array" ref="I9275">_xlfn.STDEV.P(IF(Table1[IndicatorCode]=Table1[[#This Row],[IndicatorCode]],Table1[value]))</f>
        <v>6.3409496564024987</v>
      </c>
      <c r="J9275">
        <f>(Table1[[#This Row],[value]] - Table1[[#This Row],[mean]]) / Table1[[#This Row],[std_dev]]</f>
        <v>-1.3665366476230638</v>
      </c>
      <c r="K9275">
        <f>AVERAGEIF(Table1[CountryCode],Table1[[#This Row],[CountryCode]],Table1[z-score])</f>
        <v>-0.90374566436467785</v>
      </c>
      <c r="L9275" t="e">
        <f>VLOOKUP(Table1[[#This Row],[CountryCode]],[1]!Table1[#All],1,FALSE)</f>
        <v>#REF!</v>
      </c>
    </row>
    <row r="9276" spans="1:12" hidden="1" x14ac:dyDescent="0.3">
      <c r="A9276" t="s">
        <v>73</v>
      </c>
      <c r="B9276" t="s">
        <v>74</v>
      </c>
      <c r="C9276" t="s">
        <v>129</v>
      </c>
      <c r="D9276" t="s">
        <v>130</v>
      </c>
      <c r="E9276">
        <v>1987</v>
      </c>
      <c r="F9276" s="1">
        <v>65</v>
      </c>
      <c r="G9276">
        <v>1990</v>
      </c>
      <c r="H9276">
        <f>AVERAGEIFS(Table1[value],Table1[IndicatorCode],Table1[[#This Row],[IndicatorCode]])</f>
        <v>72.66514008620689</v>
      </c>
      <c r="I9276" cm="1">
        <f t="array" ref="I9276">_xlfn.STDEV.P(IF(Table1[IndicatorCode]=Table1[[#This Row],[IndicatorCode]],Table1[value]))</f>
        <v>6.3409496564024987</v>
      </c>
      <c r="J9276">
        <f>(Table1[[#This Row],[value]] - Table1[[#This Row],[mean]]) / Table1[[#This Row],[std_dev]]</f>
        <v>-1.2088315633396249</v>
      </c>
      <c r="K9276">
        <f>AVERAGEIF(Table1[CountryCode],Table1[[#This Row],[CountryCode]],Table1[z-score])</f>
        <v>-0.90374566436467785</v>
      </c>
      <c r="L9276" t="e">
        <f>VLOOKUP(Table1[[#This Row],[CountryCode]],[1]!Table1[#All],1,FALSE)</f>
        <v>#REF!</v>
      </c>
    </row>
    <row r="9277" spans="1:12" hidden="1" x14ac:dyDescent="0.3">
      <c r="A9277" t="s">
        <v>73</v>
      </c>
      <c r="B9277" t="s">
        <v>74</v>
      </c>
      <c r="C9277" t="s">
        <v>129</v>
      </c>
      <c r="D9277" t="s">
        <v>130</v>
      </c>
      <c r="E9277">
        <v>1988</v>
      </c>
      <c r="F9277" s="1">
        <v>65</v>
      </c>
      <c r="G9277">
        <v>1990</v>
      </c>
      <c r="H9277">
        <f>AVERAGEIFS(Table1[value],Table1[IndicatorCode],Table1[[#This Row],[IndicatorCode]])</f>
        <v>72.66514008620689</v>
      </c>
      <c r="I9277" cm="1">
        <f t="array" ref="I9277">_xlfn.STDEV.P(IF(Table1[IndicatorCode]=Table1[[#This Row],[IndicatorCode]],Table1[value]))</f>
        <v>6.3409496564024987</v>
      </c>
      <c r="J9277">
        <f>(Table1[[#This Row],[value]] - Table1[[#This Row],[mean]]) / Table1[[#This Row],[std_dev]]</f>
        <v>-1.2088315633396249</v>
      </c>
      <c r="K9277">
        <f>AVERAGEIF(Table1[CountryCode],Table1[[#This Row],[CountryCode]],Table1[z-score])</f>
        <v>-0.90374566436467785</v>
      </c>
      <c r="L9277" t="e">
        <f>VLOOKUP(Table1[[#This Row],[CountryCode]],[1]!Table1[#All],1,FALSE)</f>
        <v>#REF!</v>
      </c>
    </row>
    <row r="9278" spans="1:12" hidden="1" x14ac:dyDescent="0.3">
      <c r="A9278" t="s">
        <v>73</v>
      </c>
      <c r="B9278" t="s">
        <v>74</v>
      </c>
      <c r="C9278" t="s">
        <v>129</v>
      </c>
      <c r="D9278" t="s">
        <v>130</v>
      </c>
      <c r="E9278">
        <v>1989</v>
      </c>
      <c r="F9278" s="1">
        <v>68</v>
      </c>
      <c r="G9278">
        <v>1990</v>
      </c>
      <c r="H9278">
        <f>AVERAGEIFS(Table1[value],Table1[IndicatorCode],Table1[[#This Row],[IndicatorCode]])</f>
        <v>72.66514008620689</v>
      </c>
      <c r="I9278" cm="1">
        <f t="array" ref="I9278">_xlfn.STDEV.P(IF(Table1[IndicatorCode]=Table1[[#This Row],[IndicatorCode]],Table1[value]))</f>
        <v>6.3409496564024987</v>
      </c>
      <c r="J9278">
        <f>(Table1[[#This Row],[value]] - Table1[[#This Row],[mean]]) / Table1[[#This Row],[std_dev]]</f>
        <v>-0.73571631048930775</v>
      </c>
      <c r="K9278">
        <f>AVERAGEIF(Table1[CountryCode],Table1[[#This Row],[CountryCode]],Table1[z-score])</f>
        <v>-0.90374566436467785</v>
      </c>
      <c r="L9278" t="e">
        <f>VLOOKUP(Table1[[#This Row],[CountryCode]],[1]!Table1[#All],1,FALSE)</f>
        <v>#REF!</v>
      </c>
    </row>
    <row r="9279" spans="1:12" hidden="1" x14ac:dyDescent="0.3">
      <c r="A9279" t="s">
        <v>73</v>
      </c>
      <c r="B9279" t="s">
        <v>74</v>
      </c>
      <c r="C9279" t="s">
        <v>129</v>
      </c>
      <c r="D9279" t="s">
        <v>130</v>
      </c>
      <c r="E9279">
        <v>1990</v>
      </c>
      <c r="F9279" s="1">
        <v>68</v>
      </c>
      <c r="G9279">
        <v>1990</v>
      </c>
      <c r="H9279">
        <f>AVERAGEIFS(Table1[value],Table1[IndicatorCode],Table1[[#This Row],[IndicatorCode]])</f>
        <v>72.66514008620689</v>
      </c>
      <c r="I9279" cm="1">
        <f t="array" ref="I9279">_xlfn.STDEV.P(IF(Table1[IndicatorCode]=Table1[[#This Row],[IndicatorCode]],Table1[value]))</f>
        <v>6.3409496564024987</v>
      </c>
      <c r="J9279">
        <f>(Table1[[#This Row],[value]] - Table1[[#This Row],[mean]]) / Table1[[#This Row],[std_dev]]</f>
        <v>-0.73571631048930775</v>
      </c>
      <c r="K9279">
        <f>AVERAGEIF(Table1[CountryCode],Table1[[#This Row],[CountryCode]],Table1[z-score])</f>
        <v>-0.90374566436467785</v>
      </c>
      <c r="L9279" t="e">
        <f>VLOOKUP(Table1[[#This Row],[CountryCode]],[1]!Table1[#All],1,FALSE)</f>
        <v>#REF!</v>
      </c>
    </row>
    <row r="9280" spans="1:12" hidden="1" x14ac:dyDescent="0.3">
      <c r="A9280" t="s">
        <v>73</v>
      </c>
      <c r="B9280" t="s">
        <v>74</v>
      </c>
      <c r="C9280" t="s">
        <v>129</v>
      </c>
      <c r="D9280" t="s">
        <v>130</v>
      </c>
      <c r="E9280">
        <v>1991</v>
      </c>
      <c r="F9280" s="1">
        <v>69</v>
      </c>
      <c r="G9280">
        <v>1990</v>
      </c>
      <c r="H9280">
        <f>AVERAGEIFS(Table1[value],Table1[IndicatorCode],Table1[[#This Row],[IndicatorCode]])</f>
        <v>72.66514008620689</v>
      </c>
      <c r="I9280" cm="1">
        <f t="array" ref="I9280">_xlfn.STDEV.P(IF(Table1[IndicatorCode]=Table1[[#This Row],[IndicatorCode]],Table1[value]))</f>
        <v>6.3409496564024987</v>
      </c>
      <c r="J9280">
        <f>(Table1[[#This Row],[value]] - Table1[[#This Row],[mean]]) / Table1[[#This Row],[std_dev]]</f>
        <v>-0.57801122620586864</v>
      </c>
      <c r="K9280">
        <f>AVERAGEIF(Table1[CountryCode],Table1[[#This Row],[CountryCode]],Table1[z-score])</f>
        <v>-0.90374566436467785</v>
      </c>
      <c r="L9280" t="e">
        <f>VLOOKUP(Table1[[#This Row],[CountryCode]],[1]!Table1[#All],1,FALSE)</f>
        <v>#REF!</v>
      </c>
    </row>
    <row r="9281" spans="1:12" hidden="1" x14ac:dyDescent="0.3">
      <c r="A9281" t="s">
        <v>73</v>
      </c>
      <c r="B9281" t="s">
        <v>74</v>
      </c>
      <c r="C9281" t="s">
        <v>129</v>
      </c>
      <c r="D9281" t="s">
        <v>130</v>
      </c>
      <c r="E9281">
        <v>1992</v>
      </c>
      <c r="F9281" s="1">
        <v>68</v>
      </c>
      <c r="G9281">
        <v>1990</v>
      </c>
      <c r="H9281">
        <f>AVERAGEIFS(Table1[value],Table1[IndicatorCode],Table1[[#This Row],[IndicatorCode]])</f>
        <v>72.66514008620689</v>
      </c>
      <c r="I9281" cm="1">
        <f t="array" ref="I9281">_xlfn.STDEV.P(IF(Table1[IndicatorCode]=Table1[[#This Row],[IndicatorCode]],Table1[value]))</f>
        <v>6.3409496564024987</v>
      </c>
      <c r="J9281">
        <f>(Table1[[#This Row],[value]] - Table1[[#This Row],[mean]]) / Table1[[#This Row],[std_dev]]</f>
        <v>-0.73571631048930775</v>
      </c>
      <c r="K9281">
        <f>AVERAGEIF(Table1[CountryCode],Table1[[#This Row],[CountryCode]],Table1[z-score])</f>
        <v>-0.90374566436467785</v>
      </c>
      <c r="L9281" t="e">
        <f>VLOOKUP(Table1[[#This Row],[CountryCode]],[1]!Table1[#All],1,FALSE)</f>
        <v>#REF!</v>
      </c>
    </row>
    <row r="9282" spans="1:12" hidden="1" x14ac:dyDescent="0.3">
      <c r="A9282" t="s">
        <v>73</v>
      </c>
      <c r="B9282" t="s">
        <v>74</v>
      </c>
      <c r="C9282" t="s">
        <v>129</v>
      </c>
      <c r="D9282" t="s">
        <v>130</v>
      </c>
      <c r="E9282">
        <v>1993</v>
      </c>
      <c r="F9282" s="1">
        <v>67</v>
      </c>
      <c r="G9282">
        <v>1990</v>
      </c>
      <c r="H9282">
        <f>AVERAGEIFS(Table1[value],Table1[IndicatorCode],Table1[[#This Row],[IndicatorCode]])</f>
        <v>72.66514008620689</v>
      </c>
      <c r="I9282" cm="1">
        <f t="array" ref="I9282">_xlfn.STDEV.P(IF(Table1[IndicatorCode]=Table1[[#This Row],[IndicatorCode]],Table1[value]))</f>
        <v>6.3409496564024987</v>
      </c>
      <c r="J9282">
        <f>(Table1[[#This Row],[value]] - Table1[[#This Row],[mean]]) / Table1[[#This Row],[std_dev]]</f>
        <v>-0.89342139477274674</v>
      </c>
      <c r="K9282">
        <f>AVERAGEIF(Table1[CountryCode],Table1[[#This Row],[CountryCode]],Table1[z-score])</f>
        <v>-0.90374566436467785</v>
      </c>
      <c r="L9282" t="e">
        <f>VLOOKUP(Table1[[#This Row],[CountryCode]],[1]!Table1[#All],1,FALSE)</f>
        <v>#REF!</v>
      </c>
    </row>
    <row r="9283" spans="1:12" hidden="1" x14ac:dyDescent="0.3">
      <c r="A9283" t="s">
        <v>73</v>
      </c>
      <c r="B9283" t="s">
        <v>74</v>
      </c>
      <c r="C9283" t="s">
        <v>129</v>
      </c>
      <c r="D9283" t="s">
        <v>130</v>
      </c>
      <c r="E9283">
        <v>1994</v>
      </c>
      <c r="F9283" s="1">
        <v>66</v>
      </c>
      <c r="G9283">
        <v>1990</v>
      </c>
      <c r="H9283">
        <f>AVERAGEIFS(Table1[value],Table1[IndicatorCode],Table1[[#This Row],[IndicatorCode]])</f>
        <v>72.66514008620689</v>
      </c>
      <c r="I9283" cm="1">
        <f t="array" ref="I9283">_xlfn.STDEV.P(IF(Table1[IndicatorCode]=Table1[[#This Row],[IndicatorCode]],Table1[value]))</f>
        <v>6.3409496564024987</v>
      </c>
      <c r="J9283">
        <f>(Table1[[#This Row],[value]] - Table1[[#This Row],[mean]]) / Table1[[#This Row],[std_dev]]</f>
        <v>-1.0511264790561858</v>
      </c>
      <c r="K9283">
        <f>AVERAGEIF(Table1[CountryCode],Table1[[#This Row],[CountryCode]],Table1[z-score])</f>
        <v>-0.90374566436467785</v>
      </c>
      <c r="L9283" t="e">
        <f>VLOOKUP(Table1[[#This Row],[CountryCode]],[1]!Table1[#All],1,FALSE)</f>
        <v>#REF!</v>
      </c>
    </row>
    <row r="9284" spans="1:12" hidden="1" x14ac:dyDescent="0.3">
      <c r="A9284" t="s">
        <v>73</v>
      </c>
      <c r="B9284" t="s">
        <v>74</v>
      </c>
      <c r="C9284" t="s">
        <v>129</v>
      </c>
      <c r="D9284" t="s">
        <v>130</v>
      </c>
      <c r="E9284">
        <v>1995</v>
      </c>
      <c r="F9284" s="1">
        <v>66</v>
      </c>
      <c r="G9284">
        <v>1990</v>
      </c>
      <c r="H9284">
        <f>AVERAGEIFS(Table1[value],Table1[IndicatorCode],Table1[[#This Row],[IndicatorCode]])</f>
        <v>72.66514008620689</v>
      </c>
      <c r="I9284" cm="1">
        <f t="array" ref="I9284">_xlfn.STDEV.P(IF(Table1[IndicatorCode]=Table1[[#This Row],[IndicatorCode]],Table1[value]))</f>
        <v>6.3409496564024987</v>
      </c>
      <c r="J9284">
        <f>(Table1[[#This Row],[value]] - Table1[[#This Row],[mean]]) / Table1[[#This Row],[std_dev]]</f>
        <v>-1.0511264790561858</v>
      </c>
      <c r="K9284">
        <f>AVERAGEIF(Table1[CountryCode],Table1[[#This Row],[CountryCode]],Table1[z-score])</f>
        <v>-0.90374566436467785</v>
      </c>
      <c r="L9284" t="e">
        <f>VLOOKUP(Table1[[#This Row],[CountryCode]],[1]!Table1[#All],1,FALSE)</f>
        <v>#REF!</v>
      </c>
    </row>
    <row r="9285" spans="1:12" hidden="1" x14ac:dyDescent="0.3">
      <c r="A9285" t="s">
        <v>73</v>
      </c>
      <c r="B9285" t="s">
        <v>74</v>
      </c>
      <c r="C9285" t="s">
        <v>129</v>
      </c>
      <c r="D9285" t="s">
        <v>130</v>
      </c>
      <c r="E9285">
        <v>1996</v>
      </c>
      <c r="F9285" s="1">
        <v>67</v>
      </c>
      <c r="G9285">
        <v>1990</v>
      </c>
      <c r="H9285">
        <f>AVERAGEIFS(Table1[value],Table1[IndicatorCode],Table1[[#This Row],[IndicatorCode]])</f>
        <v>72.66514008620689</v>
      </c>
      <c r="I9285" cm="1">
        <f t="array" ref="I9285">_xlfn.STDEV.P(IF(Table1[IndicatorCode]=Table1[[#This Row],[IndicatorCode]],Table1[value]))</f>
        <v>6.3409496564024987</v>
      </c>
      <c r="J9285">
        <f>(Table1[[#This Row],[value]] - Table1[[#This Row],[mean]]) / Table1[[#This Row],[std_dev]]</f>
        <v>-0.89342139477274674</v>
      </c>
      <c r="K9285">
        <f>AVERAGEIF(Table1[CountryCode],Table1[[#This Row],[CountryCode]],Table1[z-score])</f>
        <v>-0.90374566436467785</v>
      </c>
      <c r="L9285" t="e">
        <f>VLOOKUP(Table1[[#This Row],[CountryCode]],[1]!Table1[#All],1,FALSE)</f>
        <v>#REF!</v>
      </c>
    </row>
    <row r="9286" spans="1:12" hidden="1" x14ac:dyDescent="0.3">
      <c r="A9286" t="s">
        <v>73</v>
      </c>
      <c r="B9286" t="s">
        <v>74</v>
      </c>
      <c r="C9286" t="s">
        <v>129</v>
      </c>
      <c r="D9286" t="s">
        <v>130</v>
      </c>
      <c r="E9286">
        <v>1997</v>
      </c>
      <c r="F9286" s="1">
        <v>67</v>
      </c>
      <c r="G9286">
        <v>2000</v>
      </c>
      <c r="H9286">
        <f>AVERAGEIFS(Table1[value],Table1[IndicatorCode],Table1[[#This Row],[IndicatorCode]])</f>
        <v>72.66514008620689</v>
      </c>
      <c r="I9286" cm="1">
        <f t="array" ref="I9286">_xlfn.STDEV.P(IF(Table1[IndicatorCode]=Table1[[#This Row],[IndicatorCode]],Table1[value]))</f>
        <v>6.3409496564024987</v>
      </c>
      <c r="J9286">
        <f>(Table1[[#This Row],[value]] - Table1[[#This Row],[mean]]) / Table1[[#This Row],[std_dev]]</f>
        <v>-0.89342139477274674</v>
      </c>
      <c r="K9286">
        <f>AVERAGEIF(Table1[CountryCode],Table1[[#This Row],[CountryCode]],Table1[z-score])</f>
        <v>-0.90374566436467785</v>
      </c>
      <c r="L9286" t="e">
        <f>VLOOKUP(Table1[[#This Row],[CountryCode]],[1]!Table1[#All],1,FALSE)</f>
        <v>#REF!</v>
      </c>
    </row>
    <row r="9287" spans="1:12" hidden="1" x14ac:dyDescent="0.3">
      <c r="A9287" t="s">
        <v>73</v>
      </c>
      <c r="B9287" t="s">
        <v>74</v>
      </c>
      <c r="C9287" t="s">
        <v>129</v>
      </c>
      <c r="D9287" t="s">
        <v>130</v>
      </c>
      <c r="E9287">
        <v>1998</v>
      </c>
      <c r="F9287" s="1">
        <v>67</v>
      </c>
      <c r="G9287">
        <v>2000</v>
      </c>
      <c r="H9287">
        <f>AVERAGEIFS(Table1[value],Table1[IndicatorCode],Table1[[#This Row],[IndicatorCode]])</f>
        <v>72.66514008620689</v>
      </c>
      <c r="I9287" cm="1">
        <f t="array" ref="I9287">_xlfn.STDEV.P(IF(Table1[IndicatorCode]=Table1[[#This Row],[IndicatorCode]],Table1[value]))</f>
        <v>6.3409496564024987</v>
      </c>
      <c r="J9287">
        <f>(Table1[[#This Row],[value]] - Table1[[#This Row],[mean]]) / Table1[[#This Row],[std_dev]]</f>
        <v>-0.89342139477274674</v>
      </c>
      <c r="K9287">
        <f>AVERAGEIF(Table1[CountryCode],Table1[[#This Row],[CountryCode]],Table1[z-score])</f>
        <v>-0.90374566436467785</v>
      </c>
      <c r="L9287" t="e">
        <f>VLOOKUP(Table1[[#This Row],[CountryCode]],[1]!Table1[#All],1,FALSE)</f>
        <v>#REF!</v>
      </c>
    </row>
    <row r="9288" spans="1:12" hidden="1" x14ac:dyDescent="0.3">
      <c r="A9288" t="s">
        <v>73</v>
      </c>
      <c r="B9288" t="s">
        <v>74</v>
      </c>
      <c r="C9288" t="s">
        <v>129</v>
      </c>
      <c r="D9288" t="s">
        <v>130</v>
      </c>
      <c r="E9288">
        <v>1999</v>
      </c>
      <c r="F9288" s="1">
        <v>69</v>
      </c>
      <c r="G9288">
        <v>2000</v>
      </c>
      <c r="H9288">
        <f>AVERAGEIFS(Table1[value],Table1[IndicatorCode],Table1[[#This Row],[IndicatorCode]])</f>
        <v>72.66514008620689</v>
      </c>
      <c r="I9288" cm="1">
        <f t="array" ref="I9288">_xlfn.STDEV.P(IF(Table1[IndicatorCode]=Table1[[#This Row],[IndicatorCode]],Table1[value]))</f>
        <v>6.3409496564024987</v>
      </c>
      <c r="J9288">
        <f>(Table1[[#This Row],[value]] - Table1[[#This Row],[mean]]) / Table1[[#This Row],[std_dev]]</f>
        <v>-0.57801122620586864</v>
      </c>
      <c r="K9288">
        <f>AVERAGEIF(Table1[CountryCode],Table1[[#This Row],[CountryCode]],Table1[z-score])</f>
        <v>-0.90374566436467785</v>
      </c>
      <c r="L9288" t="e">
        <f>VLOOKUP(Table1[[#This Row],[CountryCode]],[1]!Table1[#All],1,FALSE)</f>
        <v>#REF!</v>
      </c>
    </row>
    <row r="9289" spans="1:12" hidden="1" x14ac:dyDescent="0.3">
      <c r="A9289" t="s">
        <v>73</v>
      </c>
      <c r="B9289" t="s">
        <v>74</v>
      </c>
      <c r="C9289" t="s">
        <v>129</v>
      </c>
      <c r="D9289" t="s">
        <v>130</v>
      </c>
      <c r="E9289">
        <v>2000</v>
      </c>
      <c r="F9289" s="1">
        <v>69</v>
      </c>
      <c r="G9289">
        <v>2000</v>
      </c>
      <c r="H9289">
        <f>AVERAGEIFS(Table1[value],Table1[IndicatorCode],Table1[[#This Row],[IndicatorCode]])</f>
        <v>72.66514008620689</v>
      </c>
      <c r="I9289" cm="1">
        <f t="array" ref="I9289">_xlfn.STDEV.P(IF(Table1[IndicatorCode]=Table1[[#This Row],[IndicatorCode]],Table1[value]))</f>
        <v>6.3409496564024987</v>
      </c>
      <c r="J9289">
        <f>(Table1[[#This Row],[value]] - Table1[[#This Row],[mean]]) / Table1[[#This Row],[std_dev]]</f>
        <v>-0.57801122620586864</v>
      </c>
      <c r="K9289">
        <f>AVERAGEIF(Table1[CountryCode],Table1[[#This Row],[CountryCode]],Table1[z-score])</f>
        <v>-0.90374566436467785</v>
      </c>
      <c r="L9289" t="e">
        <f>VLOOKUP(Table1[[#This Row],[CountryCode]],[1]!Table1[#All],1,FALSE)</f>
        <v>#REF!</v>
      </c>
    </row>
    <row r="9290" spans="1:12" hidden="1" x14ac:dyDescent="0.3">
      <c r="A9290" t="s">
        <v>73</v>
      </c>
      <c r="B9290" t="s">
        <v>74</v>
      </c>
      <c r="C9290" t="s">
        <v>129</v>
      </c>
      <c r="D9290" t="s">
        <v>130</v>
      </c>
      <c r="E9290">
        <v>2001</v>
      </c>
      <c r="F9290" s="1">
        <v>69</v>
      </c>
      <c r="G9290">
        <v>2000</v>
      </c>
      <c r="H9290">
        <f>AVERAGEIFS(Table1[value],Table1[IndicatorCode],Table1[[#This Row],[IndicatorCode]])</f>
        <v>72.66514008620689</v>
      </c>
      <c r="I9290" cm="1">
        <f t="array" ref="I9290">_xlfn.STDEV.P(IF(Table1[IndicatorCode]=Table1[[#This Row],[IndicatorCode]],Table1[value]))</f>
        <v>6.3409496564024987</v>
      </c>
      <c r="J9290">
        <f>(Table1[[#This Row],[value]] - Table1[[#This Row],[mean]]) / Table1[[#This Row],[std_dev]]</f>
        <v>-0.57801122620586864</v>
      </c>
      <c r="K9290">
        <f>AVERAGEIF(Table1[CountryCode],Table1[[#This Row],[CountryCode]],Table1[z-score])</f>
        <v>-0.90374566436467785</v>
      </c>
      <c r="L9290" t="e">
        <f>VLOOKUP(Table1[[#This Row],[CountryCode]],[1]!Table1[#All],1,FALSE)</f>
        <v>#REF!</v>
      </c>
    </row>
    <row r="9291" spans="1:12" hidden="1" x14ac:dyDescent="0.3">
      <c r="A9291" t="s">
        <v>73</v>
      </c>
      <c r="B9291" t="s">
        <v>74</v>
      </c>
      <c r="C9291" t="s">
        <v>129</v>
      </c>
      <c r="D9291" t="s">
        <v>130</v>
      </c>
      <c r="E9291">
        <v>2002</v>
      </c>
      <c r="F9291" s="1">
        <v>68</v>
      </c>
      <c r="G9291">
        <v>2000</v>
      </c>
      <c r="H9291">
        <f>AVERAGEIFS(Table1[value],Table1[IndicatorCode],Table1[[#This Row],[IndicatorCode]])</f>
        <v>72.66514008620689</v>
      </c>
      <c r="I9291" cm="1">
        <f t="array" ref="I9291">_xlfn.STDEV.P(IF(Table1[IndicatorCode]=Table1[[#This Row],[IndicatorCode]],Table1[value]))</f>
        <v>6.3409496564024987</v>
      </c>
      <c r="J9291">
        <f>(Table1[[#This Row],[value]] - Table1[[#This Row],[mean]]) / Table1[[#This Row],[std_dev]]</f>
        <v>-0.73571631048930775</v>
      </c>
      <c r="K9291">
        <f>AVERAGEIF(Table1[CountryCode],Table1[[#This Row],[CountryCode]],Table1[z-score])</f>
        <v>-0.90374566436467785</v>
      </c>
      <c r="L9291" t="e">
        <f>VLOOKUP(Table1[[#This Row],[CountryCode]],[1]!Table1[#All],1,FALSE)</f>
        <v>#REF!</v>
      </c>
    </row>
    <row r="9292" spans="1:12" hidden="1" x14ac:dyDescent="0.3">
      <c r="A9292" t="s">
        <v>73</v>
      </c>
      <c r="B9292" t="s">
        <v>74</v>
      </c>
      <c r="C9292" t="s">
        <v>129</v>
      </c>
      <c r="D9292" t="s">
        <v>130</v>
      </c>
      <c r="E9292">
        <v>2003</v>
      </c>
      <c r="F9292" s="1">
        <v>68</v>
      </c>
      <c r="G9292">
        <v>2000</v>
      </c>
      <c r="H9292">
        <f>AVERAGEIFS(Table1[value],Table1[IndicatorCode],Table1[[#This Row],[IndicatorCode]])</f>
        <v>72.66514008620689</v>
      </c>
      <c r="I9292" cm="1">
        <f t="array" ref="I9292">_xlfn.STDEV.P(IF(Table1[IndicatorCode]=Table1[[#This Row],[IndicatorCode]],Table1[value]))</f>
        <v>6.3409496564024987</v>
      </c>
      <c r="J9292">
        <f>(Table1[[#This Row],[value]] - Table1[[#This Row],[mean]]) / Table1[[#This Row],[std_dev]]</f>
        <v>-0.73571631048930775</v>
      </c>
      <c r="K9292">
        <f>AVERAGEIF(Table1[CountryCode],Table1[[#This Row],[CountryCode]],Table1[z-score])</f>
        <v>-0.90374566436467785</v>
      </c>
      <c r="L9292" t="e">
        <f>VLOOKUP(Table1[[#This Row],[CountryCode]],[1]!Table1[#All],1,FALSE)</f>
        <v>#REF!</v>
      </c>
    </row>
    <row r="9293" spans="1:12" hidden="1" x14ac:dyDescent="0.3">
      <c r="A9293" t="s">
        <v>73</v>
      </c>
      <c r="B9293" t="s">
        <v>74</v>
      </c>
      <c r="C9293" t="s">
        <v>129</v>
      </c>
      <c r="D9293" t="s">
        <v>130</v>
      </c>
      <c r="E9293">
        <v>2004</v>
      </c>
      <c r="F9293" s="1">
        <v>68</v>
      </c>
      <c r="G9293">
        <v>2000</v>
      </c>
      <c r="H9293">
        <f>AVERAGEIFS(Table1[value],Table1[IndicatorCode],Table1[[#This Row],[IndicatorCode]])</f>
        <v>72.66514008620689</v>
      </c>
      <c r="I9293" cm="1">
        <f t="array" ref="I9293">_xlfn.STDEV.P(IF(Table1[IndicatorCode]=Table1[[#This Row],[IndicatorCode]],Table1[value]))</f>
        <v>6.3409496564024987</v>
      </c>
      <c r="J9293">
        <f>(Table1[[#This Row],[value]] - Table1[[#This Row],[mean]]) / Table1[[#This Row],[std_dev]]</f>
        <v>-0.73571631048930775</v>
      </c>
      <c r="K9293">
        <f>AVERAGEIF(Table1[CountryCode],Table1[[#This Row],[CountryCode]],Table1[z-score])</f>
        <v>-0.90374566436467785</v>
      </c>
      <c r="L9293" t="e">
        <f>VLOOKUP(Table1[[#This Row],[CountryCode]],[1]!Table1[#All],1,FALSE)</f>
        <v>#REF!</v>
      </c>
    </row>
    <row r="9294" spans="1:12" hidden="1" x14ac:dyDescent="0.3">
      <c r="A9294" t="s">
        <v>73</v>
      </c>
      <c r="B9294" t="s">
        <v>74</v>
      </c>
      <c r="C9294" t="s">
        <v>129</v>
      </c>
      <c r="D9294" t="s">
        <v>130</v>
      </c>
      <c r="E9294">
        <v>2005</v>
      </c>
      <c r="F9294" s="1">
        <v>68</v>
      </c>
      <c r="G9294">
        <v>2000</v>
      </c>
      <c r="H9294">
        <f>AVERAGEIFS(Table1[value],Table1[IndicatorCode],Table1[[#This Row],[IndicatorCode]])</f>
        <v>72.66514008620689</v>
      </c>
      <c r="I9294" cm="1">
        <f t="array" ref="I9294">_xlfn.STDEV.P(IF(Table1[IndicatorCode]=Table1[[#This Row],[IndicatorCode]],Table1[value]))</f>
        <v>6.3409496564024987</v>
      </c>
      <c r="J9294">
        <f>(Table1[[#This Row],[value]] - Table1[[#This Row],[mean]]) / Table1[[#This Row],[std_dev]]</f>
        <v>-0.73571631048930775</v>
      </c>
      <c r="K9294">
        <f>AVERAGEIF(Table1[CountryCode],Table1[[#This Row],[CountryCode]],Table1[z-score])</f>
        <v>-0.90374566436467785</v>
      </c>
      <c r="L9294" t="e">
        <f>VLOOKUP(Table1[[#This Row],[CountryCode]],[1]!Table1[#All],1,FALSE)</f>
        <v>#REF!</v>
      </c>
    </row>
    <row r="9295" spans="1:12" hidden="1" x14ac:dyDescent="0.3">
      <c r="A9295" t="s">
        <v>73</v>
      </c>
      <c r="B9295" t="s">
        <v>74</v>
      </c>
      <c r="C9295" t="s">
        <v>129</v>
      </c>
      <c r="D9295" t="s">
        <v>130</v>
      </c>
      <c r="E9295">
        <v>2006</v>
      </c>
      <c r="F9295" s="1">
        <v>68</v>
      </c>
      <c r="G9295">
        <v>2000</v>
      </c>
      <c r="H9295">
        <f>AVERAGEIFS(Table1[value],Table1[IndicatorCode],Table1[[#This Row],[IndicatorCode]])</f>
        <v>72.66514008620689</v>
      </c>
      <c r="I9295" cm="1">
        <f t="array" ref="I9295">_xlfn.STDEV.P(IF(Table1[IndicatorCode]=Table1[[#This Row],[IndicatorCode]],Table1[value]))</f>
        <v>6.3409496564024987</v>
      </c>
      <c r="J9295">
        <f>(Table1[[#This Row],[value]] - Table1[[#This Row],[mean]]) / Table1[[#This Row],[std_dev]]</f>
        <v>-0.73571631048930775</v>
      </c>
      <c r="K9295">
        <f>AVERAGEIF(Table1[CountryCode],Table1[[#This Row],[CountryCode]],Table1[z-score])</f>
        <v>-0.90374566436467785</v>
      </c>
      <c r="L9295" t="e">
        <f>VLOOKUP(Table1[[#This Row],[CountryCode]],[1]!Table1[#All],1,FALSE)</f>
        <v>#REF!</v>
      </c>
    </row>
    <row r="9296" spans="1:12" hidden="1" x14ac:dyDescent="0.3">
      <c r="A9296" t="s">
        <v>73</v>
      </c>
      <c r="B9296" t="s">
        <v>74</v>
      </c>
      <c r="C9296" t="s">
        <v>129</v>
      </c>
      <c r="D9296" t="s">
        <v>130</v>
      </c>
      <c r="E9296">
        <v>2007</v>
      </c>
      <c r="F9296" s="1">
        <v>68</v>
      </c>
      <c r="G9296">
        <v>2010</v>
      </c>
      <c r="H9296">
        <f>AVERAGEIFS(Table1[value],Table1[IndicatorCode],Table1[[#This Row],[IndicatorCode]])</f>
        <v>72.66514008620689</v>
      </c>
      <c r="I9296" cm="1">
        <f t="array" ref="I9296">_xlfn.STDEV.P(IF(Table1[IndicatorCode]=Table1[[#This Row],[IndicatorCode]],Table1[value]))</f>
        <v>6.3409496564024987</v>
      </c>
      <c r="J9296">
        <f>(Table1[[#This Row],[value]] - Table1[[#This Row],[mean]]) / Table1[[#This Row],[std_dev]]</f>
        <v>-0.73571631048930775</v>
      </c>
      <c r="K9296">
        <f>AVERAGEIF(Table1[CountryCode],Table1[[#This Row],[CountryCode]],Table1[z-score])</f>
        <v>-0.90374566436467785</v>
      </c>
      <c r="L9296" t="e">
        <f>VLOOKUP(Table1[[#This Row],[CountryCode]],[1]!Table1[#All],1,FALSE)</f>
        <v>#REF!</v>
      </c>
    </row>
    <row r="9297" spans="1:12" hidden="1" x14ac:dyDescent="0.3">
      <c r="A9297" t="s">
        <v>73</v>
      </c>
      <c r="B9297" t="s">
        <v>74</v>
      </c>
      <c r="C9297" t="s">
        <v>129</v>
      </c>
      <c r="D9297" t="s">
        <v>130</v>
      </c>
      <c r="E9297">
        <v>2008</v>
      </c>
      <c r="F9297" s="1">
        <v>68</v>
      </c>
      <c r="G9297">
        <v>2010</v>
      </c>
      <c r="H9297">
        <f>AVERAGEIFS(Table1[value],Table1[IndicatorCode],Table1[[#This Row],[IndicatorCode]])</f>
        <v>72.66514008620689</v>
      </c>
      <c r="I9297" cm="1">
        <f t="array" ref="I9297">_xlfn.STDEV.P(IF(Table1[IndicatorCode]=Table1[[#This Row],[IndicatorCode]],Table1[value]))</f>
        <v>6.3409496564024987</v>
      </c>
      <c r="J9297">
        <f>(Table1[[#This Row],[value]] - Table1[[#This Row],[mean]]) / Table1[[#This Row],[std_dev]]</f>
        <v>-0.73571631048930775</v>
      </c>
      <c r="K9297">
        <f>AVERAGEIF(Table1[CountryCode],Table1[[#This Row],[CountryCode]],Table1[z-score])</f>
        <v>-0.90374566436467785</v>
      </c>
      <c r="L9297" t="e">
        <f>VLOOKUP(Table1[[#This Row],[CountryCode]],[1]!Table1[#All],1,FALSE)</f>
        <v>#REF!</v>
      </c>
    </row>
    <row r="9298" spans="1:12" hidden="1" x14ac:dyDescent="0.3">
      <c r="A9298" t="s">
        <v>73</v>
      </c>
      <c r="B9298" t="s">
        <v>74</v>
      </c>
      <c r="C9298" t="s">
        <v>129</v>
      </c>
      <c r="D9298" t="s">
        <v>130</v>
      </c>
      <c r="E9298">
        <v>2009</v>
      </c>
      <c r="F9298" s="1">
        <v>69</v>
      </c>
      <c r="G9298">
        <v>2010</v>
      </c>
      <c r="H9298">
        <f>AVERAGEIFS(Table1[value],Table1[IndicatorCode],Table1[[#This Row],[IndicatorCode]])</f>
        <v>72.66514008620689</v>
      </c>
      <c r="I9298" cm="1">
        <f t="array" ref="I9298">_xlfn.STDEV.P(IF(Table1[IndicatorCode]=Table1[[#This Row],[IndicatorCode]],Table1[value]))</f>
        <v>6.3409496564024987</v>
      </c>
      <c r="J9298">
        <f>(Table1[[#This Row],[value]] - Table1[[#This Row],[mean]]) / Table1[[#This Row],[std_dev]]</f>
        <v>-0.57801122620586864</v>
      </c>
      <c r="K9298">
        <f>AVERAGEIF(Table1[CountryCode],Table1[[#This Row],[CountryCode]],Table1[z-score])</f>
        <v>-0.90374566436467785</v>
      </c>
      <c r="L9298" t="e">
        <f>VLOOKUP(Table1[[#This Row],[CountryCode]],[1]!Table1[#All],1,FALSE)</f>
        <v>#REF!</v>
      </c>
    </row>
    <row r="9299" spans="1:12" hidden="1" x14ac:dyDescent="0.3">
      <c r="A9299" t="s">
        <v>73</v>
      </c>
      <c r="B9299" t="s">
        <v>74</v>
      </c>
      <c r="C9299" t="s">
        <v>129</v>
      </c>
      <c r="D9299" t="s">
        <v>130</v>
      </c>
      <c r="E9299">
        <v>2010</v>
      </c>
      <c r="F9299" s="1">
        <v>69</v>
      </c>
      <c r="G9299">
        <v>2010</v>
      </c>
      <c r="H9299">
        <f>AVERAGEIFS(Table1[value],Table1[IndicatorCode],Table1[[#This Row],[IndicatorCode]])</f>
        <v>72.66514008620689</v>
      </c>
      <c r="I9299" cm="1">
        <f t="array" ref="I9299">_xlfn.STDEV.P(IF(Table1[IndicatorCode]=Table1[[#This Row],[IndicatorCode]],Table1[value]))</f>
        <v>6.3409496564024987</v>
      </c>
      <c r="J9299">
        <f>(Table1[[#This Row],[value]] - Table1[[#This Row],[mean]]) / Table1[[#This Row],[std_dev]]</f>
        <v>-0.57801122620586864</v>
      </c>
      <c r="K9299">
        <f>AVERAGEIF(Table1[CountryCode],Table1[[#This Row],[CountryCode]],Table1[z-score])</f>
        <v>-0.90374566436467785</v>
      </c>
      <c r="L9299" t="e">
        <f>VLOOKUP(Table1[[#This Row],[CountryCode]],[1]!Table1[#All],1,FALSE)</f>
        <v>#REF!</v>
      </c>
    </row>
    <row r="9300" spans="1:12" hidden="1" x14ac:dyDescent="0.3">
      <c r="A9300" t="s">
        <v>73</v>
      </c>
      <c r="B9300" t="s">
        <v>74</v>
      </c>
      <c r="C9300" t="s">
        <v>129</v>
      </c>
      <c r="D9300" t="s">
        <v>130</v>
      </c>
      <c r="E9300">
        <v>2011</v>
      </c>
      <c r="F9300" s="1">
        <v>70</v>
      </c>
      <c r="G9300">
        <v>2010</v>
      </c>
      <c r="H9300">
        <f>AVERAGEIFS(Table1[value],Table1[IndicatorCode],Table1[[#This Row],[IndicatorCode]])</f>
        <v>72.66514008620689</v>
      </c>
      <c r="I9300" cm="1">
        <f t="array" ref="I9300">_xlfn.STDEV.P(IF(Table1[IndicatorCode]=Table1[[#This Row],[IndicatorCode]],Table1[value]))</f>
        <v>6.3409496564024987</v>
      </c>
      <c r="J9300">
        <f>(Table1[[#This Row],[value]] - Table1[[#This Row],[mean]]) / Table1[[#This Row],[std_dev]]</f>
        <v>-0.4203061419224296</v>
      </c>
      <c r="K9300">
        <f>AVERAGEIF(Table1[CountryCode],Table1[[#This Row],[CountryCode]],Table1[z-score])</f>
        <v>-0.90374566436467785</v>
      </c>
      <c r="L9300" t="e">
        <f>VLOOKUP(Table1[[#This Row],[CountryCode]],[1]!Table1[#All],1,FALSE)</f>
        <v>#REF!</v>
      </c>
    </row>
    <row r="9301" spans="1:12" hidden="1" x14ac:dyDescent="0.3">
      <c r="A9301" t="s">
        <v>73</v>
      </c>
      <c r="B9301" t="s">
        <v>74</v>
      </c>
      <c r="C9301" t="s">
        <v>129</v>
      </c>
      <c r="D9301" t="s">
        <v>130</v>
      </c>
      <c r="E9301">
        <v>2012</v>
      </c>
      <c r="F9301" s="1">
        <v>70</v>
      </c>
      <c r="G9301">
        <v>2010</v>
      </c>
      <c r="H9301">
        <f>AVERAGEIFS(Table1[value],Table1[IndicatorCode],Table1[[#This Row],[IndicatorCode]])</f>
        <v>72.66514008620689</v>
      </c>
      <c r="I9301" cm="1">
        <f t="array" ref="I9301">_xlfn.STDEV.P(IF(Table1[IndicatorCode]=Table1[[#This Row],[IndicatorCode]],Table1[value]))</f>
        <v>6.3409496564024987</v>
      </c>
      <c r="J9301">
        <f>(Table1[[#This Row],[value]] - Table1[[#This Row],[mean]]) / Table1[[#This Row],[std_dev]]</f>
        <v>-0.4203061419224296</v>
      </c>
      <c r="K9301">
        <f>AVERAGEIF(Table1[CountryCode],Table1[[#This Row],[CountryCode]],Table1[z-score])</f>
        <v>-0.90374566436467785</v>
      </c>
      <c r="L9301" t="e">
        <f>VLOOKUP(Table1[[#This Row],[CountryCode]],[1]!Table1[#All],1,FALSE)</f>
        <v>#REF!</v>
      </c>
    </row>
    <row r="9302" spans="1:12" hidden="1" x14ac:dyDescent="0.3">
      <c r="A9302" t="s">
        <v>73</v>
      </c>
      <c r="B9302" t="s">
        <v>74</v>
      </c>
      <c r="C9302" t="s">
        <v>129</v>
      </c>
      <c r="D9302" t="s">
        <v>130</v>
      </c>
      <c r="E9302">
        <v>2013</v>
      </c>
      <c r="F9302" s="1">
        <v>70</v>
      </c>
      <c r="G9302">
        <v>2010</v>
      </c>
      <c r="H9302">
        <f>AVERAGEIFS(Table1[value],Table1[IndicatorCode],Table1[[#This Row],[IndicatorCode]])</f>
        <v>72.66514008620689</v>
      </c>
      <c r="I9302" cm="1">
        <f t="array" ref="I9302">_xlfn.STDEV.P(IF(Table1[IndicatorCode]=Table1[[#This Row],[IndicatorCode]],Table1[value]))</f>
        <v>6.3409496564024987</v>
      </c>
      <c r="J9302">
        <f>(Table1[[#This Row],[value]] - Table1[[#This Row],[mean]]) / Table1[[#This Row],[std_dev]]</f>
        <v>-0.4203061419224296</v>
      </c>
      <c r="K9302">
        <f>AVERAGEIF(Table1[CountryCode],Table1[[#This Row],[CountryCode]],Table1[z-score])</f>
        <v>-0.90374566436467785</v>
      </c>
      <c r="L9302" t="e">
        <f>VLOOKUP(Table1[[#This Row],[CountryCode]],[1]!Table1[#All],1,FALSE)</f>
        <v>#REF!</v>
      </c>
    </row>
    <row r="9303" spans="1:12" hidden="1" x14ac:dyDescent="0.3">
      <c r="A9303" t="s">
        <v>73</v>
      </c>
      <c r="B9303" t="s">
        <v>74</v>
      </c>
      <c r="C9303" t="s">
        <v>129</v>
      </c>
      <c r="D9303" t="s">
        <v>130</v>
      </c>
      <c r="E9303">
        <v>2014</v>
      </c>
      <c r="F9303" s="1">
        <v>70</v>
      </c>
      <c r="G9303">
        <v>2010</v>
      </c>
      <c r="H9303">
        <f>AVERAGEIFS(Table1[value],Table1[IndicatorCode],Table1[[#This Row],[IndicatorCode]])</f>
        <v>72.66514008620689</v>
      </c>
      <c r="I9303" cm="1">
        <f t="array" ref="I9303">_xlfn.STDEV.P(IF(Table1[IndicatorCode]=Table1[[#This Row],[IndicatorCode]],Table1[value]))</f>
        <v>6.3409496564024987</v>
      </c>
      <c r="J9303">
        <f>(Table1[[#This Row],[value]] - Table1[[#This Row],[mean]]) / Table1[[#This Row],[std_dev]]</f>
        <v>-0.4203061419224296</v>
      </c>
      <c r="K9303">
        <f>AVERAGEIF(Table1[CountryCode],Table1[[#This Row],[CountryCode]],Table1[z-score])</f>
        <v>-0.90374566436467785</v>
      </c>
      <c r="L9303" t="e">
        <f>VLOOKUP(Table1[[#This Row],[CountryCode]],[1]!Table1[#All],1,FALSE)</f>
        <v>#REF!</v>
      </c>
    </row>
    <row r="9304" spans="1:12" hidden="1" x14ac:dyDescent="0.3">
      <c r="A9304" t="s">
        <v>73</v>
      </c>
      <c r="B9304" t="s">
        <v>74</v>
      </c>
      <c r="C9304" t="s">
        <v>129</v>
      </c>
      <c r="D9304" t="s">
        <v>130</v>
      </c>
      <c r="E9304">
        <v>2015</v>
      </c>
      <c r="F9304" s="1">
        <v>71</v>
      </c>
      <c r="G9304">
        <v>2010</v>
      </c>
      <c r="H9304">
        <f>AVERAGEIFS(Table1[value],Table1[IndicatorCode],Table1[[#This Row],[IndicatorCode]])</f>
        <v>72.66514008620689</v>
      </c>
      <c r="I9304" cm="1">
        <f t="array" ref="I9304">_xlfn.STDEV.P(IF(Table1[IndicatorCode]=Table1[[#This Row],[IndicatorCode]],Table1[value]))</f>
        <v>6.3409496564024987</v>
      </c>
      <c r="J9304">
        <f>(Table1[[#This Row],[value]] - Table1[[#This Row],[mean]]) / Table1[[#This Row],[std_dev]]</f>
        <v>-0.2626010576389905</v>
      </c>
      <c r="K9304">
        <f>AVERAGEIF(Table1[CountryCode],Table1[[#This Row],[CountryCode]],Table1[z-score])</f>
        <v>-0.90374566436467785</v>
      </c>
      <c r="L9304" t="e">
        <f>VLOOKUP(Table1[[#This Row],[CountryCode]],[1]!Table1[#All],1,FALSE)</f>
        <v>#REF!</v>
      </c>
    </row>
    <row r="9305" spans="1:12" hidden="1" x14ac:dyDescent="0.3">
      <c r="A9305" t="s">
        <v>73</v>
      </c>
      <c r="B9305" t="s">
        <v>74</v>
      </c>
      <c r="C9305" t="s">
        <v>129</v>
      </c>
      <c r="D9305" t="s">
        <v>130</v>
      </c>
      <c r="E9305">
        <v>2016</v>
      </c>
      <c r="F9305" s="1">
        <v>71</v>
      </c>
      <c r="G9305">
        <v>2010</v>
      </c>
      <c r="H9305">
        <f>AVERAGEIFS(Table1[value],Table1[IndicatorCode],Table1[[#This Row],[IndicatorCode]])</f>
        <v>72.66514008620689</v>
      </c>
      <c r="I9305" cm="1">
        <f t="array" ref="I9305">_xlfn.STDEV.P(IF(Table1[IndicatorCode]=Table1[[#This Row],[IndicatorCode]],Table1[value]))</f>
        <v>6.3409496564024987</v>
      </c>
      <c r="J9305">
        <f>(Table1[[#This Row],[value]] - Table1[[#This Row],[mean]]) / Table1[[#This Row],[std_dev]]</f>
        <v>-0.2626010576389905</v>
      </c>
      <c r="K9305">
        <f>AVERAGEIF(Table1[CountryCode],Table1[[#This Row],[CountryCode]],Table1[z-score])</f>
        <v>-0.90374566436467785</v>
      </c>
      <c r="L9305" t="e">
        <f>VLOOKUP(Table1[[#This Row],[CountryCode]],[1]!Table1[#All],1,FALSE)</f>
        <v>#REF!</v>
      </c>
    </row>
    <row r="9306" spans="1:12" hidden="1" x14ac:dyDescent="0.3">
      <c r="A9306" t="s">
        <v>73</v>
      </c>
      <c r="B9306" t="s">
        <v>74</v>
      </c>
      <c r="C9306" t="s">
        <v>129</v>
      </c>
      <c r="D9306" t="s">
        <v>130</v>
      </c>
      <c r="E9306">
        <v>2017</v>
      </c>
      <c r="F9306" s="1">
        <v>71</v>
      </c>
      <c r="G9306">
        <v>2020</v>
      </c>
      <c r="H9306">
        <f>AVERAGEIFS(Table1[value],Table1[IndicatorCode],Table1[[#This Row],[IndicatorCode]])</f>
        <v>72.66514008620689</v>
      </c>
      <c r="I9306" cm="1">
        <f t="array" ref="I9306">_xlfn.STDEV.P(IF(Table1[IndicatorCode]=Table1[[#This Row],[IndicatorCode]],Table1[value]))</f>
        <v>6.3409496564024987</v>
      </c>
      <c r="J9306">
        <f>(Table1[[#This Row],[value]] - Table1[[#This Row],[mean]]) / Table1[[#This Row],[std_dev]]</f>
        <v>-0.2626010576389905</v>
      </c>
      <c r="K9306">
        <f>AVERAGEIF(Table1[CountryCode],Table1[[#This Row],[CountryCode]],Table1[z-score])</f>
        <v>-0.90374566436467785</v>
      </c>
      <c r="L9306" t="e">
        <f>VLOOKUP(Table1[[#This Row],[CountryCode]],[1]!Table1[#All],1,FALSE)</f>
        <v>#REF!</v>
      </c>
    </row>
    <row r="9307" spans="1:12" hidden="1" x14ac:dyDescent="0.3">
      <c r="A9307" t="s">
        <v>73</v>
      </c>
      <c r="B9307" t="s">
        <v>74</v>
      </c>
      <c r="C9307" t="s">
        <v>129</v>
      </c>
      <c r="D9307" t="s">
        <v>130</v>
      </c>
      <c r="E9307">
        <v>2018</v>
      </c>
      <c r="F9307" s="1">
        <v>71</v>
      </c>
      <c r="G9307">
        <v>2020</v>
      </c>
      <c r="H9307">
        <f>AVERAGEIFS(Table1[value],Table1[IndicatorCode],Table1[[#This Row],[IndicatorCode]])</f>
        <v>72.66514008620689</v>
      </c>
      <c r="I9307" cm="1">
        <f t="array" ref="I9307">_xlfn.STDEV.P(IF(Table1[IndicatorCode]=Table1[[#This Row],[IndicatorCode]],Table1[value]))</f>
        <v>6.3409496564024987</v>
      </c>
      <c r="J9307">
        <f>(Table1[[#This Row],[value]] - Table1[[#This Row],[mean]]) / Table1[[#This Row],[std_dev]]</f>
        <v>-0.2626010576389905</v>
      </c>
      <c r="K9307">
        <f>AVERAGEIF(Table1[CountryCode],Table1[[#This Row],[CountryCode]],Table1[z-score])</f>
        <v>-0.90374566436467785</v>
      </c>
      <c r="L9307" t="e">
        <f>VLOOKUP(Table1[[#This Row],[CountryCode]],[1]!Table1[#All],1,FALSE)</f>
        <v>#REF!</v>
      </c>
    </row>
    <row r="9308" spans="1:12" hidden="1" x14ac:dyDescent="0.3">
      <c r="A9308" t="s">
        <v>73</v>
      </c>
      <c r="B9308" t="s">
        <v>74</v>
      </c>
      <c r="C9308" t="s">
        <v>129</v>
      </c>
      <c r="D9308" t="s">
        <v>130</v>
      </c>
      <c r="E9308">
        <v>2019</v>
      </c>
      <c r="F9308" s="1">
        <v>72</v>
      </c>
      <c r="G9308">
        <v>2020</v>
      </c>
      <c r="H9308">
        <f>AVERAGEIFS(Table1[value],Table1[IndicatorCode],Table1[[#This Row],[IndicatorCode]])</f>
        <v>72.66514008620689</v>
      </c>
      <c r="I9308" cm="1">
        <f t="array" ref="I9308">_xlfn.STDEV.P(IF(Table1[IndicatorCode]=Table1[[#This Row],[IndicatorCode]],Table1[value]))</f>
        <v>6.3409496564024987</v>
      </c>
      <c r="J9308">
        <f>(Table1[[#This Row],[value]] - Table1[[#This Row],[mean]]) / Table1[[#This Row],[std_dev]]</f>
        <v>-0.10489597335555145</v>
      </c>
      <c r="K9308">
        <f>AVERAGEIF(Table1[CountryCode],Table1[[#This Row],[CountryCode]],Table1[z-score])</f>
        <v>-0.90374566436467785</v>
      </c>
      <c r="L9308" t="e">
        <f>VLOOKUP(Table1[[#This Row],[CountryCode]],[1]!Table1[#All],1,FALSE)</f>
        <v>#REF!</v>
      </c>
    </row>
    <row r="9309" spans="1:12" x14ac:dyDescent="0.3">
      <c r="A9309" t="s">
        <v>73</v>
      </c>
      <c r="B9309" t="s">
        <v>74</v>
      </c>
      <c r="C9309" t="s">
        <v>129</v>
      </c>
      <c r="D9309" t="s">
        <v>130</v>
      </c>
      <c r="E9309">
        <v>2020</v>
      </c>
      <c r="F9309" s="1">
        <v>72</v>
      </c>
      <c r="G9309">
        <v>2020</v>
      </c>
      <c r="H9309">
        <f>AVERAGEIFS(Table1[value],Table1[IndicatorCode],Table1[[#This Row],[IndicatorCode]])</f>
        <v>72.66514008620689</v>
      </c>
      <c r="I9309" cm="1">
        <f t="array" ref="I9309">_xlfn.STDEV.P(IF(Table1[IndicatorCode]=Table1[[#This Row],[IndicatorCode]],Table1[value]))</f>
        <v>6.3409496564024987</v>
      </c>
      <c r="J9309">
        <f>(Table1[[#This Row],[value]] - Table1[[#This Row],[mean]]) / Table1[[#This Row],[std_dev]]</f>
        <v>-0.10489597335555145</v>
      </c>
      <c r="K9309">
        <f>AVERAGEIF(Table1[CountryCode],Table1[[#This Row],[CountryCode]],Table1[z-score])</f>
        <v>-0.90374566436467785</v>
      </c>
    </row>
    <row r="9310" spans="1:12" hidden="1" x14ac:dyDescent="0.3">
      <c r="A9310" t="s">
        <v>73</v>
      </c>
      <c r="B9310" t="s">
        <v>74</v>
      </c>
      <c r="C9310" t="s">
        <v>129</v>
      </c>
      <c r="D9310" t="s">
        <v>130</v>
      </c>
      <c r="E9310">
        <v>2021</v>
      </c>
      <c r="F9310" s="1">
        <v>72</v>
      </c>
      <c r="G9310">
        <v>1960</v>
      </c>
      <c r="H9310">
        <f>AVERAGEIFS(Table1[value],Table1[IndicatorCode],Table1[[#This Row],[IndicatorCode]])</f>
        <v>72.66514008620689</v>
      </c>
      <c r="I9310" cm="1">
        <f t="array" ref="I9310">_xlfn.STDEV.P(IF(Table1[IndicatorCode]=Table1[[#This Row],[IndicatorCode]],Table1[value]))</f>
        <v>6.3409496564024987</v>
      </c>
      <c r="J9310">
        <f>(Table1[[#This Row],[value]] - Table1[[#This Row],[mean]]) / Table1[[#This Row],[std_dev]]</f>
        <v>-0.10489597335555145</v>
      </c>
      <c r="K9310">
        <f>AVERAGEIF(Table1[CountryCode],Table1[[#This Row],[CountryCode]],Table1[z-score])</f>
        <v>-0.90374566436467785</v>
      </c>
      <c r="L9310" t="e">
        <f>VLOOKUP(Table1[[#This Row],[CountryCode]],[1]!Table1[#All],1,FALSE)</f>
        <v>#REF!</v>
      </c>
    </row>
    <row r="9311" spans="1:12" hidden="1" x14ac:dyDescent="0.3">
      <c r="A9311" t="s">
        <v>73</v>
      </c>
      <c r="B9311" t="s">
        <v>74</v>
      </c>
      <c r="C9311" t="s">
        <v>129</v>
      </c>
      <c r="D9311" t="s">
        <v>130</v>
      </c>
      <c r="E9311">
        <v>2022</v>
      </c>
      <c r="F9311" s="1">
        <v>72</v>
      </c>
      <c r="G9311">
        <v>1960</v>
      </c>
      <c r="H9311">
        <f>AVERAGEIFS(Table1[value],Table1[IndicatorCode],Table1[[#This Row],[IndicatorCode]])</f>
        <v>72.66514008620689</v>
      </c>
      <c r="I9311" cm="1">
        <f t="array" ref="I9311">_xlfn.STDEV.P(IF(Table1[IndicatorCode]=Table1[[#This Row],[IndicatorCode]],Table1[value]))</f>
        <v>6.3409496564024987</v>
      </c>
      <c r="J9311">
        <f>(Table1[[#This Row],[value]] - Table1[[#This Row],[mean]]) / Table1[[#This Row],[std_dev]]</f>
        <v>-0.10489597335555145</v>
      </c>
      <c r="K9311">
        <f>AVERAGEIF(Table1[CountryCode],Table1[[#This Row],[CountryCode]],Table1[z-score])</f>
        <v>-0.90374566436467785</v>
      </c>
      <c r="L9311" t="e">
        <f>VLOOKUP(Table1[[#This Row],[CountryCode]],[1]!Table1[#All],1,FALSE)</f>
        <v>#REF!</v>
      </c>
    </row>
    <row r="9312" spans="1:12" hidden="1" x14ac:dyDescent="0.3">
      <c r="A9312" t="s">
        <v>73</v>
      </c>
      <c r="B9312" t="s">
        <v>74</v>
      </c>
      <c r="C9312" t="s">
        <v>129</v>
      </c>
      <c r="D9312" t="s">
        <v>130</v>
      </c>
      <c r="E9312">
        <v>2023</v>
      </c>
      <c r="F9312" s="1">
        <v>72</v>
      </c>
      <c r="G9312">
        <v>1960</v>
      </c>
      <c r="H9312">
        <f>AVERAGEIFS(Table1[value],Table1[IndicatorCode],Table1[[#This Row],[IndicatorCode]])</f>
        <v>72.66514008620689</v>
      </c>
      <c r="I9312" cm="1">
        <f t="array" ref="I9312">_xlfn.STDEV.P(IF(Table1[IndicatorCode]=Table1[[#This Row],[IndicatorCode]],Table1[value]))</f>
        <v>6.3409496564024987</v>
      </c>
      <c r="J9312">
        <f>(Table1[[#This Row],[value]] - Table1[[#This Row],[mean]]) / Table1[[#This Row],[std_dev]]</f>
        <v>-0.10489597335555145</v>
      </c>
      <c r="K9312">
        <f>AVERAGEIF(Table1[CountryCode],Table1[[#This Row],[CountryCode]],Table1[z-score])</f>
        <v>-0.90374566436467785</v>
      </c>
      <c r="L9312" t="e">
        <f>VLOOKUP(Table1[[#This Row],[CountryCode]],[1]!Table1[#All],1,FALSE)</f>
        <v>#REF!</v>
      </c>
    </row>
    <row r="9313" spans="1:12" hidden="1" x14ac:dyDescent="0.3">
      <c r="A9313" t="s">
        <v>75</v>
      </c>
      <c r="B9313" t="s">
        <v>76</v>
      </c>
      <c r="C9313" t="s">
        <v>129</v>
      </c>
      <c r="D9313" t="s">
        <v>130</v>
      </c>
      <c r="E9313">
        <v>1960</v>
      </c>
      <c r="F9313" s="1">
        <v>71</v>
      </c>
      <c r="G9313">
        <v>1960</v>
      </c>
      <c r="H9313">
        <f>AVERAGEIFS(Table1[value],Table1[IndicatorCode],Table1[[#This Row],[IndicatorCode]])</f>
        <v>72.66514008620689</v>
      </c>
      <c r="I9313" cm="1">
        <f t="array" ref="I9313">_xlfn.STDEV.P(IF(Table1[IndicatorCode]=Table1[[#This Row],[IndicatorCode]],Table1[value]))</f>
        <v>6.3409496564024987</v>
      </c>
      <c r="J9313">
        <f>(Table1[[#This Row],[value]] - Table1[[#This Row],[mean]]) / Table1[[#This Row],[std_dev]]</f>
        <v>-0.2626010576389905</v>
      </c>
      <c r="K9313">
        <f>AVERAGEIF(Table1[CountryCode],Table1[[#This Row],[CountryCode]],Table1[z-score])</f>
        <v>0.62960664015735945</v>
      </c>
      <c r="L9313" t="e">
        <f>VLOOKUP(Table1[[#This Row],[CountryCode]],[1]!Table1[#All],1,FALSE)</f>
        <v>#REF!</v>
      </c>
    </row>
    <row r="9314" spans="1:12" hidden="1" x14ac:dyDescent="0.3">
      <c r="A9314" t="s">
        <v>75</v>
      </c>
      <c r="B9314" t="s">
        <v>76</v>
      </c>
      <c r="C9314" t="s">
        <v>129</v>
      </c>
      <c r="D9314" t="s">
        <v>130</v>
      </c>
      <c r="E9314">
        <v>1961</v>
      </c>
      <c r="F9314" s="1">
        <v>71</v>
      </c>
      <c r="G9314">
        <v>1960</v>
      </c>
      <c r="H9314">
        <f>AVERAGEIFS(Table1[value],Table1[IndicatorCode],Table1[[#This Row],[IndicatorCode]])</f>
        <v>72.66514008620689</v>
      </c>
      <c r="I9314" cm="1">
        <f t="array" ref="I9314">_xlfn.STDEV.P(IF(Table1[IndicatorCode]=Table1[[#This Row],[IndicatorCode]],Table1[value]))</f>
        <v>6.3409496564024987</v>
      </c>
      <c r="J9314">
        <f>(Table1[[#This Row],[value]] - Table1[[#This Row],[mean]]) / Table1[[#This Row],[std_dev]]</f>
        <v>-0.2626010576389905</v>
      </c>
      <c r="K9314">
        <f>AVERAGEIF(Table1[CountryCode],Table1[[#This Row],[CountryCode]],Table1[z-score])</f>
        <v>0.62960664015735945</v>
      </c>
      <c r="L9314" t="e">
        <f>VLOOKUP(Table1[[#This Row],[CountryCode]],[1]!Table1[#All],1,FALSE)</f>
        <v>#REF!</v>
      </c>
    </row>
    <row r="9315" spans="1:12" hidden="1" x14ac:dyDescent="0.3">
      <c r="A9315" t="s">
        <v>75</v>
      </c>
      <c r="B9315" t="s">
        <v>76</v>
      </c>
      <c r="C9315" t="s">
        <v>129</v>
      </c>
      <c r="D9315" t="s">
        <v>130</v>
      </c>
      <c r="E9315">
        <v>1962</v>
      </c>
      <c r="F9315" s="1">
        <v>71</v>
      </c>
      <c r="G9315">
        <v>1960</v>
      </c>
      <c r="H9315">
        <f>AVERAGEIFS(Table1[value],Table1[IndicatorCode],Table1[[#This Row],[IndicatorCode]])</f>
        <v>72.66514008620689</v>
      </c>
      <c r="I9315" cm="1">
        <f t="array" ref="I9315">_xlfn.STDEV.P(IF(Table1[IndicatorCode]=Table1[[#This Row],[IndicatorCode]],Table1[value]))</f>
        <v>6.3409496564024987</v>
      </c>
      <c r="J9315">
        <f>(Table1[[#This Row],[value]] - Table1[[#This Row],[mean]]) / Table1[[#This Row],[std_dev]]</f>
        <v>-0.2626010576389905</v>
      </c>
      <c r="K9315">
        <f>AVERAGEIF(Table1[CountryCode],Table1[[#This Row],[CountryCode]],Table1[z-score])</f>
        <v>0.62960664015735945</v>
      </c>
      <c r="L9315" t="e">
        <f>VLOOKUP(Table1[[#This Row],[CountryCode]],[1]!Table1[#All],1,FALSE)</f>
        <v>#REF!</v>
      </c>
    </row>
    <row r="9316" spans="1:12" hidden="1" x14ac:dyDescent="0.3">
      <c r="A9316" t="s">
        <v>75</v>
      </c>
      <c r="B9316" t="s">
        <v>76</v>
      </c>
      <c r="C9316" t="s">
        <v>129</v>
      </c>
      <c r="D9316" t="s">
        <v>130</v>
      </c>
      <c r="E9316">
        <v>1963</v>
      </c>
      <c r="F9316" s="1">
        <v>71</v>
      </c>
      <c r="G9316">
        <v>1960</v>
      </c>
      <c r="H9316">
        <f>AVERAGEIFS(Table1[value],Table1[IndicatorCode],Table1[[#This Row],[IndicatorCode]])</f>
        <v>72.66514008620689</v>
      </c>
      <c r="I9316" cm="1">
        <f t="array" ref="I9316">_xlfn.STDEV.P(IF(Table1[IndicatorCode]=Table1[[#This Row],[IndicatorCode]],Table1[value]))</f>
        <v>6.3409496564024987</v>
      </c>
      <c r="J9316">
        <f>(Table1[[#This Row],[value]] - Table1[[#This Row],[mean]]) / Table1[[#This Row],[std_dev]]</f>
        <v>-0.2626010576389905</v>
      </c>
      <c r="K9316">
        <f>AVERAGEIF(Table1[CountryCode],Table1[[#This Row],[CountryCode]],Table1[z-score])</f>
        <v>0.62960664015735945</v>
      </c>
      <c r="L9316" t="e">
        <f>VLOOKUP(Table1[[#This Row],[CountryCode]],[1]!Table1[#All],1,FALSE)</f>
        <v>#REF!</v>
      </c>
    </row>
    <row r="9317" spans="1:12" hidden="1" x14ac:dyDescent="0.3">
      <c r="A9317" t="s">
        <v>75</v>
      </c>
      <c r="B9317" t="s">
        <v>76</v>
      </c>
      <c r="C9317" t="s">
        <v>129</v>
      </c>
      <c r="D9317" t="s">
        <v>130</v>
      </c>
      <c r="E9317">
        <v>1964</v>
      </c>
      <c r="F9317" s="1">
        <v>71</v>
      </c>
      <c r="G9317">
        <v>1960</v>
      </c>
      <c r="H9317">
        <f>AVERAGEIFS(Table1[value],Table1[IndicatorCode],Table1[[#This Row],[IndicatorCode]])</f>
        <v>72.66514008620689</v>
      </c>
      <c r="I9317" cm="1">
        <f t="array" ref="I9317">_xlfn.STDEV.P(IF(Table1[IndicatorCode]=Table1[[#This Row],[IndicatorCode]],Table1[value]))</f>
        <v>6.3409496564024987</v>
      </c>
      <c r="J9317">
        <f>(Table1[[#This Row],[value]] - Table1[[#This Row],[mean]]) / Table1[[#This Row],[std_dev]]</f>
        <v>-0.2626010576389905</v>
      </c>
      <c r="K9317">
        <f>AVERAGEIF(Table1[CountryCode],Table1[[#This Row],[CountryCode]],Table1[z-score])</f>
        <v>0.62960664015735945</v>
      </c>
      <c r="L9317" t="e">
        <f>VLOOKUP(Table1[[#This Row],[CountryCode]],[1]!Table1[#All],1,FALSE)</f>
        <v>#REF!</v>
      </c>
    </row>
    <row r="9318" spans="1:12" hidden="1" x14ac:dyDescent="0.3">
      <c r="A9318" t="s">
        <v>75</v>
      </c>
      <c r="B9318" t="s">
        <v>76</v>
      </c>
      <c r="C9318" t="s">
        <v>129</v>
      </c>
      <c r="D9318" t="s">
        <v>130</v>
      </c>
      <c r="E9318">
        <v>1965</v>
      </c>
      <c r="F9318" s="1">
        <v>71</v>
      </c>
      <c r="G9318">
        <v>1960</v>
      </c>
      <c r="H9318">
        <f>AVERAGEIFS(Table1[value],Table1[IndicatorCode],Table1[[#This Row],[IndicatorCode]])</f>
        <v>72.66514008620689</v>
      </c>
      <c r="I9318" cm="1">
        <f t="array" ref="I9318">_xlfn.STDEV.P(IF(Table1[IndicatorCode]=Table1[[#This Row],[IndicatorCode]],Table1[value]))</f>
        <v>6.3409496564024987</v>
      </c>
      <c r="J9318">
        <f>(Table1[[#This Row],[value]] - Table1[[#This Row],[mean]]) / Table1[[#This Row],[std_dev]]</f>
        <v>-0.2626010576389905</v>
      </c>
      <c r="K9318">
        <f>AVERAGEIF(Table1[CountryCode],Table1[[#This Row],[CountryCode]],Table1[z-score])</f>
        <v>0.62960664015735945</v>
      </c>
      <c r="L9318" t="e">
        <f>VLOOKUP(Table1[[#This Row],[CountryCode]],[1]!Table1[#All],1,FALSE)</f>
        <v>#REF!</v>
      </c>
    </row>
    <row r="9319" spans="1:12" hidden="1" x14ac:dyDescent="0.3">
      <c r="A9319" t="s">
        <v>75</v>
      </c>
      <c r="B9319" t="s">
        <v>76</v>
      </c>
      <c r="C9319" t="s">
        <v>129</v>
      </c>
      <c r="D9319" t="s">
        <v>130</v>
      </c>
      <c r="E9319">
        <v>1966</v>
      </c>
      <c r="F9319" s="1">
        <v>72</v>
      </c>
      <c r="G9319">
        <v>1960</v>
      </c>
      <c r="H9319">
        <f>AVERAGEIFS(Table1[value],Table1[IndicatorCode],Table1[[#This Row],[IndicatorCode]])</f>
        <v>72.66514008620689</v>
      </c>
      <c r="I9319" cm="1">
        <f t="array" ref="I9319">_xlfn.STDEV.P(IF(Table1[IndicatorCode]=Table1[[#This Row],[IndicatorCode]],Table1[value]))</f>
        <v>6.3409496564024987</v>
      </c>
      <c r="J9319">
        <f>(Table1[[#This Row],[value]] - Table1[[#This Row],[mean]]) / Table1[[#This Row],[std_dev]]</f>
        <v>-0.10489597335555145</v>
      </c>
      <c r="K9319">
        <f>AVERAGEIF(Table1[CountryCode],Table1[[#This Row],[CountryCode]],Table1[z-score])</f>
        <v>0.62960664015735945</v>
      </c>
      <c r="L9319" t="e">
        <f>VLOOKUP(Table1[[#This Row],[CountryCode]],[1]!Table1[#All],1,FALSE)</f>
        <v>#REF!</v>
      </c>
    </row>
    <row r="9320" spans="1:12" hidden="1" x14ac:dyDescent="0.3">
      <c r="A9320" t="s">
        <v>75</v>
      </c>
      <c r="B9320" t="s">
        <v>76</v>
      </c>
      <c r="C9320" t="s">
        <v>129</v>
      </c>
      <c r="D9320" t="s">
        <v>130</v>
      </c>
      <c r="E9320">
        <v>1967</v>
      </c>
      <c r="F9320" s="1">
        <v>72</v>
      </c>
      <c r="G9320">
        <v>1970</v>
      </c>
      <c r="H9320">
        <f>AVERAGEIFS(Table1[value],Table1[IndicatorCode],Table1[[#This Row],[IndicatorCode]])</f>
        <v>72.66514008620689</v>
      </c>
      <c r="I9320" cm="1">
        <f t="array" ref="I9320">_xlfn.STDEV.P(IF(Table1[IndicatorCode]=Table1[[#This Row],[IndicatorCode]],Table1[value]))</f>
        <v>6.3409496564024987</v>
      </c>
      <c r="J9320">
        <f>(Table1[[#This Row],[value]] - Table1[[#This Row],[mean]]) / Table1[[#This Row],[std_dev]]</f>
        <v>-0.10489597335555145</v>
      </c>
      <c r="K9320">
        <f>AVERAGEIF(Table1[CountryCode],Table1[[#This Row],[CountryCode]],Table1[z-score])</f>
        <v>0.62960664015735945</v>
      </c>
      <c r="L9320" t="e">
        <f>VLOOKUP(Table1[[#This Row],[CountryCode]],[1]!Table1[#All],1,FALSE)</f>
        <v>#REF!</v>
      </c>
    </row>
    <row r="9321" spans="1:12" hidden="1" x14ac:dyDescent="0.3">
      <c r="A9321" t="s">
        <v>75</v>
      </c>
      <c r="B9321" t="s">
        <v>76</v>
      </c>
      <c r="C9321" t="s">
        <v>129</v>
      </c>
      <c r="D9321" t="s">
        <v>130</v>
      </c>
      <c r="E9321">
        <v>1968</v>
      </c>
      <c r="F9321" s="1">
        <v>72</v>
      </c>
      <c r="G9321">
        <v>1970</v>
      </c>
      <c r="H9321">
        <f>AVERAGEIFS(Table1[value],Table1[IndicatorCode],Table1[[#This Row],[IndicatorCode]])</f>
        <v>72.66514008620689</v>
      </c>
      <c r="I9321" cm="1">
        <f t="array" ref="I9321">_xlfn.STDEV.P(IF(Table1[IndicatorCode]=Table1[[#This Row],[IndicatorCode]],Table1[value]))</f>
        <v>6.3409496564024987</v>
      </c>
      <c r="J9321">
        <f>(Table1[[#This Row],[value]] - Table1[[#This Row],[mean]]) / Table1[[#This Row],[std_dev]]</f>
        <v>-0.10489597335555145</v>
      </c>
      <c r="K9321">
        <f>AVERAGEIF(Table1[CountryCode],Table1[[#This Row],[CountryCode]],Table1[z-score])</f>
        <v>0.62960664015735945</v>
      </c>
      <c r="L9321" t="e">
        <f>VLOOKUP(Table1[[#This Row],[CountryCode]],[1]!Table1[#All],1,FALSE)</f>
        <v>#REF!</v>
      </c>
    </row>
    <row r="9322" spans="1:12" hidden="1" x14ac:dyDescent="0.3">
      <c r="A9322" t="s">
        <v>75</v>
      </c>
      <c r="B9322" t="s">
        <v>76</v>
      </c>
      <c r="C9322" t="s">
        <v>129</v>
      </c>
      <c r="D9322" t="s">
        <v>130</v>
      </c>
      <c r="E9322">
        <v>1969</v>
      </c>
      <c r="F9322" s="1">
        <v>73</v>
      </c>
      <c r="G9322">
        <v>1970</v>
      </c>
      <c r="H9322">
        <f>AVERAGEIFS(Table1[value],Table1[IndicatorCode],Table1[[#This Row],[IndicatorCode]])</f>
        <v>72.66514008620689</v>
      </c>
      <c r="I9322" cm="1">
        <f t="array" ref="I9322">_xlfn.STDEV.P(IF(Table1[IndicatorCode]=Table1[[#This Row],[IndicatorCode]],Table1[value]))</f>
        <v>6.3409496564024987</v>
      </c>
      <c r="J9322">
        <f>(Table1[[#This Row],[value]] - Table1[[#This Row],[mean]]) / Table1[[#This Row],[std_dev]]</f>
        <v>5.2809110927887599E-2</v>
      </c>
      <c r="K9322">
        <f>AVERAGEIF(Table1[CountryCode],Table1[[#This Row],[CountryCode]],Table1[z-score])</f>
        <v>0.62960664015735945</v>
      </c>
      <c r="L9322" t="e">
        <f>VLOOKUP(Table1[[#This Row],[CountryCode]],[1]!Table1[#All],1,FALSE)</f>
        <v>#REF!</v>
      </c>
    </row>
    <row r="9323" spans="1:12" hidden="1" x14ac:dyDescent="0.3">
      <c r="A9323" t="s">
        <v>75</v>
      </c>
      <c r="B9323" t="s">
        <v>76</v>
      </c>
      <c r="C9323" t="s">
        <v>129</v>
      </c>
      <c r="D9323" t="s">
        <v>130</v>
      </c>
      <c r="E9323">
        <v>1970</v>
      </c>
      <c r="F9323" s="1">
        <v>73</v>
      </c>
      <c r="G9323">
        <v>1970</v>
      </c>
      <c r="H9323">
        <f>AVERAGEIFS(Table1[value],Table1[IndicatorCode],Table1[[#This Row],[IndicatorCode]])</f>
        <v>72.66514008620689</v>
      </c>
      <c r="I9323" cm="1">
        <f t="array" ref="I9323">_xlfn.STDEV.P(IF(Table1[IndicatorCode]=Table1[[#This Row],[IndicatorCode]],Table1[value]))</f>
        <v>6.3409496564024987</v>
      </c>
      <c r="J9323">
        <f>(Table1[[#This Row],[value]] - Table1[[#This Row],[mean]]) / Table1[[#This Row],[std_dev]]</f>
        <v>5.2809110927887599E-2</v>
      </c>
      <c r="K9323">
        <f>AVERAGEIF(Table1[CountryCode],Table1[[#This Row],[CountryCode]],Table1[z-score])</f>
        <v>0.62960664015735945</v>
      </c>
      <c r="L9323" t="e">
        <f>VLOOKUP(Table1[[#This Row],[CountryCode]],[1]!Table1[#All],1,FALSE)</f>
        <v>#REF!</v>
      </c>
    </row>
    <row r="9324" spans="1:12" hidden="1" x14ac:dyDescent="0.3">
      <c r="A9324" t="s">
        <v>75</v>
      </c>
      <c r="B9324" t="s">
        <v>76</v>
      </c>
      <c r="C9324" t="s">
        <v>129</v>
      </c>
      <c r="D9324" t="s">
        <v>130</v>
      </c>
      <c r="E9324">
        <v>1971</v>
      </c>
      <c r="F9324" s="1">
        <v>73</v>
      </c>
      <c r="G9324">
        <v>1970</v>
      </c>
      <c r="H9324">
        <f>AVERAGEIFS(Table1[value],Table1[IndicatorCode],Table1[[#This Row],[IndicatorCode]])</f>
        <v>72.66514008620689</v>
      </c>
      <c r="I9324" cm="1">
        <f t="array" ref="I9324">_xlfn.STDEV.P(IF(Table1[IndicatorCode]=Table1[[#This Row],[IndicatorCode]],Table1[value]))</f>
        <v>6.3409496564024987</v>
      </c>
      <c r="J9324">
        <f>(Table1[[#This Row],[value]] - Table1[[#This Row],[mean]]) / Table1[[#This Row],[std_dev]]</f>
        <v>5.2809110927887599E-2</v>
      </c>
      <c r="K9324">
        <f>AVERAGEIF(Table1[CountryCode],Table1[[#This Row],[CountryCode]],Table1[z-score])</f>
        <v>0.62960664015735945</v>
      </c>
      <c r="L9324" t="e">
        <f>VLOOKUP(Table1[[#This Row],[CountryCode]],[1]!Table1[#All],1,FALSE)</f>
        <v>#REF!</v>
      </c>
    </row>
    <row r="9325" spans="1:12" hidden="1" x14ac:dyDescent="0.3">
      <c r="A9325" t="s">
        <v>75</v>
      </c>
      <c r="B9325" t="s">
        <v>76</v>
      </c>
      <c r="C9325" t="s">
        <v>129</v>
      </c>
      <c r="D9325" t="s">
        <v>130</v>
      </c>
      <c r="E9325">
        <v>1972</v>
      </c>
      <c r="F9325" s="1">
        <v>73</v>
      </c>
      <c r="G9325">
        <v>1970</v>
      </c>
      <c r="H9325">
        <f>AVERAGEIFS(Table1[value],Table1[IndicatorCode],Table1[[#This Row],[IndicatorCode]])</f>
        <v>72.66514008620689</v>
      </c>
      <c r="I9325" cm="1">
        <f t="array" ref="I9325">_xlfn.STDEV.P(IF(Table1[IndicatorCode]=Table1[[#This Row],[IndicatorCode]],Table1[value]))</f>
        <v>6.3409496564024987</v>
      </c>
      <c r="J9325">
        <f>(Table1[[#This Row],[value]] - Table1[[#This Row],[mean]]) / Table1[[#This Row],[std_dev]]</f>
        <v>5.2809110927887599E-2</v>
      </c>
      <c r="K9325">
        <f>AVERAGEIF(Table1[CountryCode],Table1[[#This Row],[CountryCode]],Table1[z-score])</f>
        <v>0.62960664015735945</v>
      </c>
      <c r="L9325" t="e">
        <f>VLOOKUP(Table1[[#This Row],[CountryCode]],[1]!Table1[#All],1,FALSE)</f>
        <v>#REF!</v>
      </c>
    </row>
    <row r="9326" spans="1:12" hidden="1" x14ac:dyDescent="0.3">
      <c r="A9326" t="s">
        <v>75</v>
      </c>
      <c r="B9326" t="s">
        <v>76</v>
      </c>
      <c r="C9326" t="s">
        <v>129</v>
      </c>
      <c r="D9326" t="s">
        <v>130</v>
      </c>
      <c r="E9326">
        <v>1973</v>
      </c>
      <c r="F9326" s="1">
        <v>74</v>
      </c>
      <c r="G9326">
        <v>1970</v>
      </c>
      <c r="H9326">
        <f>AVERAGEIFS(Table1[value],Table1[IndicatorCode],Table1[[#This Row],[IndicatorCode]])</f>
        <v>72.66514008620689</v>
      </c>
      <c r="I9326" cm="1">
        <f t="array" ref="I9326">_xlfn.STDEV.P(IF(Table1[IndicatorCode]=Table1[[#This Row],[IndicatorCode]],Table1[value]))</f>
        <v>6.3409496564024987</v>
      </c>
      <c r="J9326">
        <f>(Table1[[#This Row],[value]] - Table1[[#This Row],[mean]]) / Table1[[#This Row],[std_dev]]</f>
        <v>0.21051419521132667</v>
      </c>
      <c r="K9326">
        <f>AVERAGEIF(Table1[CountryCode],Table1[[#This Row],[CountryCode]],Table1[z-score])</f>
        <v>0.62960664015735945</v>
      </c>
      <c r="L9326" t="e">
        <f>VLOOKUP(Table1[[#This Row],[CountryCode]],[1]!Table1[#All],1,FALSE)</f>
        <v>#REF!</v>
      </c>
    </row>
    <row r="9327" spans="1:12" hidden="1" x14ac:dyDescent="0.3">
      <c r="A9327" t="s">
        <v>75</v>
      </c>
      <c r="B9327" t="s">
        <v>76</v>
      </c>
      <c r="C9327" t="s">
        <v>129</v>
      </c>
      <c r="D9327" t="s">
        <v>130</v>
      </c>
      <c r="E9327">
        <v>1974</v>
      </c>
      <c r="F9327" s="1">
        <v>74</v>
      </c>
      <c r="G9327">
        <v>1970</v>
      </c>
      <c r="H9327">
        <f>AVERAGEIFS(Table1[value],Table1[IndicatorCode],Table1[[#This Row],[IndicatorCode]])</f>
        <v>72.66514008620689</v>
      </c>
      <c r="I9327" cm="1">
        <f t="array" ref="I9327">_xlfn.STDEV.P(IF(Table1[IndicatorCode]=Table1[[#This Row],[IndicatorCode]],Table1[value]))</f>
        <v>6.3409496564024987</v>
      </c>
      <c r="J9327">
        <f>(Table1[[#This Row],[value]] - Table1[[#This Row],[mean]]) / Table1[[#This Row],[std_dev]]</f>
        <v>0.21051419521132667</v>
      </c>
      <c r="K9327">
        <f>AVERAGEIF(Table1[CountryCode],Table1[[#This Row],[CountryCode]],Table1[z-score])</f>
        <v>0.62960664015735945</v>
      </c>
      <c r="L9327" t="e">
        <f>VLOOKUP(Table1[[#This Row],[CountryCode]],[1]!Table1[#All],1,FALSE)</f>
        <v>#REF!</v>
      </c>
    </row>
    <row r="9328" spans="1:12" hidden="1" x14ac:dyDescent="0.3">
      <c r="A9328" t="s">
        <v>75</v>
      </c>
      <c r="B9328" t="s">
        <v>76</v>
      </c>
      <c r="C9328" t="s">
        <v>129</v>
      </c>
      <c r="D9328" t="s">
        <v>130</v>
      </c>
      <c r="E9328">
        <v>1975</v>
      </c>
      <c r="F9328" s="1">
        <v>74</v>
      </c>
      <c r="G9328">
        <v>1970</v>
      </c>
      <c r="H9328">
        <f>AVERAGEIFS(Table1[value],Table1[IndicatorCode],Table1[[#This Row],[IndicatorCode]])</f>
        <v>72.66514008620689</v>
      </c>
      <c r="I9328" cm="1">
        <f t="array" ref="I9328">_xlfn.STDEV.P(IF(Table1[IndicatorCode]=Table1[[#This Row],[IndicatorCode]],Table1[value]))</f>
        <v>6.3409496564024987</v>
      </c>
      <c r="J9328">
        <f>(Table1[[#This Row],[value]] - Table1[[#This Row],[mean]]) / Table1[[#This Row],[std_dev]]</f>
        <v>0.21051419521132667</v>
      </c>
      <c r="K9328">
        <f>AVERAGEIF(Table1[CountryCode],Table1[[#This Row],[CountryCode]],Table1[z-score])</f>
        <v>0.62960664015735945</v>
      </c>
      <c r="L9328" t="e">
        <f>VLOOKUP(Table1[[#This Row],[CountryCode]],[1]!Table1[#All],1,FALSE)</f>
        <v>#REF!</v>
      </c>
    </row>
    <row r="9329" spans="1:12" hidden="1" x14ac:dyDescent="0.3">
      <c r="A9329" t="s">
        <v>75</v>
      </c>
      <c r="B9329" t="s">
        <v>76</v>
      </c>
      <c r="C9329" t="s">
        <v>129</v>
      </c>
      <c r="D9329" t="s">
        <v>130</v>
      </c>
      <c r="E9329">
        <v>1976</v>
      </c>
      <c r="F9329" s="1">
        <v>74</v>
      </c>
      <c r="G9329">
        <v>1970</v>
      </c>
      <c r="H9329">
        <f>AVERAGEIFS(Table1[value],Table1[IndicatorCode],Table1[[#This Row],[IndicatorCode]])</f>
        <v>72.66514008620689</v>
      </c>
      <c r="I9329" cm="1">
        <f t="array" ref="I9329">_xlfn.STDEV.P(IF(Table1[IndicatorCode]=Table1[[#This Row],[IndicatorCode]],Table1[value]))</f>
        <v>6.3409496564024987</v>
      </c>
      <c r="J9329">
        <f>(Table1[[#This Row],[value]] - Table1[[#This Row],[mean]]) / Table1[[#This Row],[std_dev]]</f>
        <v>0.21051419521132667</v>
      </c>
      <c r="K9329">
        <f>AVERAGEIF(Table1[CountryCode],Table1[[#This Row],[CountryCode]],Table1[z-score])</f>
        <v>0.62960664015735945</v>
      </c>
      <c r="L9329" t="e">
        <f>VLOOKUP(Table1[[#This Row],[CountryCode]],[1]!Table1[#All],1,FALSE)</f>
        <v>#REF!</v>
      </c>
    </row>
    <row r="9330" spans="1:12" hidden="1" x14ac:dyDescent="0.3">
      <c r="A9330" t="s">
        <v>75</v>
      </c>
      <c r="B9330" t="s">
        <v>76</v>
      </c>
      <c r="C9330" t="s">
        <v>129</v>
      </c>
      <c r="D9330" t="s">
        <v>130</v>
      </c>
      <c r="E9330">
        <v>1977</v>
      </c>
      <c r="F9330" s="1">
        <v>75</v>
      </c>
      <c r="G9330">
        <v>1980</v>
      </c>
      <c r="H9330">
        <f>AVERAGEIFS(Table1[value],Table1[IndicatorCode],Table1[[#This Row],[IndicatorCode]])</f>
        <v>72.66514008620689</v>
      </c>
      <c r="I9330" cm="1">
        <f t="array" ref="I9330">_xlfn.STDEV.P(IF(Table1[IndicatorCode]=Table1[[#This Row],[IndicatorCode]],Table1[value]))</f>
        <v>6.3409496564024987</v>
      </c>
      <c r="J9330">
        <f>(Table1[[#This Row],[value]] - Table1[[#This Row],[mean]]) / Table1[[#This Row],[std_dev]]</f>
        <v>0.36821927949476574</v>
      </c>
      <c r="K9330">
        <f>AVERAGEIF(Table1[CountryCode],Table1[[#This Row],[CountryCode]],Table1[z-score])</f>
        <v>0.62960664015735945</v>
      </c>
      <c r="L9330" t="e">
        <f>VLOOKUP(Table1[[#This Row],[CountryCode]],[1]!Table1[#All],1,FALSE)</f>
        <v>#REF!</v>
      </c>
    </row>
    <row r="9331" spans="1:12" hidden="1" x14ac:dyDescent="0.3">
      <c r="A9331" t="s">
        <v>75</v>
      </c>
      <c r="B9331" t="s">
        <v>76</v>
      </c>
      <c r="C9331" t="s">
        <v>129</v>
      </c>
      <c r="D9331" t="s">
        <v>130</v>
      </c>
      <c r="E9331">
        <v>1978</v>
      </c>
      <c r="F9331" s="1">
        <v>75</v>
      </c>
      <c r="G9331">
        <v>1980</v>
      </c>
      <c r="H9331">
        <f>AVERAGEIFS(Table1[value],Table1[IndicatorCode],Table1[[#This Row],[IndicatorCode]])</f>
        <v>72.66514008620689</v>
      </c>
      <c r="I9331" cm="1">
        <f t="array" ref="I9331">_xlfn.STDEV.P(IF(Table1[IndicatorCode]=Table1[[#This Row],[IndicatorCode]],Table1[value]))</f>
        <v>6.3409496564024987</v>
      </c>
      <c r="J9331">
        <f>(Table1[[#This Row],[value]] - Table1[[#This Row],[mean]]) / Table1[[#This Row],[std_dev]]</f>
        <v>0.36821927949476574</v>
      </c>
      <c r="K9331">
        <f>AVERAGEIF(Table1[CountryCode],Table1[[#This Row],[CountryCode]],Table1[z-score])</f>
        <v>0.62960664015735945</v>
      </c>
      <c r="L9331" t="e">
        <f>VLOOKUP(Table1[[#This Row],[CountryCode]],[1]!Table1[#All],1,FALSE)</f>
        <v>#REF!</v>
      </c>
    </row>
    <row r="9332" spans="1:12" hidden="1" x14ac:dyDescent="0.3">
      <c r="A9332" t="s">
        <v>75</v>
      </c>
      <c r="B9332" t="s">
        <v>76</v>
      </c>
      <c r="C9332" t="s">
        <v>129</v>
      </c>
      <c r="D9332" t="s">
        <v>130</v>
      </c>
      <c r="E9332">
        <v>1979</v>
      </c>
      <c r="F9332" s="1">
        <v>75</v>
      </c>
      <c r="G9332">
        <v>1980</v>
      </c>
      <c r="H9332">
        <f>AVERAGEIFS(Table1[value],Table1[IndicatorCode],Table1[[#This Row],[IndicatorCode]])</f>
        <v>72.66514008620689</v>
      </c>
      <c r="I9332" cm="1">
        <f t="array" ref="I9332">_xlfn.STDEV.P(IF(Table1[IndicatorCode]=Table1[[#This Row],[IndicatorCode]],Table1[value]))</f>
        <v>6.3409496564024987</v>
      </c>
      <c r="J9332">
        <f>(Table1[[#This Row],[value]] - Table1[[#This Row],[mean]]) / Table1[[#This Row],[std_dev]]</f>
        <v>0.36821927949476574</v>
      </c>
      <c r="K9332">
        <f>AVERAGEIF(Table1[CountryCode],Table1[[#This Row],[CountryCode]],Table1[z-score])</f>
        <v>0.62960664015735945</v>
      </c>
      <c r="L9332" t="e">
        <f>VLOOKUP(Table1[[#This Row],[CountryCode]],[1]!Table1[#All],1,FALSE)</f>
        <v>#REF!</v>
      </c>
    </row>
    <row r="9333" spans="1:12" hidden="1" x14ac:dyDescent="0.3">
      <c r="A9333" t="s">
        <v>75</v>
      </c>
      <c r="B9333" t="s">
        <v>76</v>
      </c>
      <c r="C9333" t="s">
        <v>129</v>
      </c>
      <c r="D9333" t="s">
        <v>130</v>
      </c>
      <c r="E9333">
        <v>1980</v>
      </c>
      <c r="F9333" s="1">
        <v>75</v>
      </c>
      <c r="G9333">
        <v>1980</v>
      </c>
      <c r="H9333">
        <f>AVERAGEIFS(Table1[value],Table1[IndicatorCode],Table1[[#This Row],[IndicatorCode]])</f>
        <v>72.66514008620689</v>
      </c>
      <c r="I9333" cm="1">
        <f t="array" ref="I9333">_xlfn.STDEV.P(IF(Table1[IndicatorCode]=Table1[[#This Row],[IndicatorCode]],Table1[value]))</f>
        <v>6.3409496564024987</v>
      </c>
      <c r="J9333">
        <f>(Table1[[#This Row],[value]] - Table1[[#This Row],[mean]]) / Table1[[#This Row],[std_dev]]</f>
        <v>0.36821927949476574</v>
      </c>
      <c r="K9333">
        <f>AVERAGEIF(Table1[CountryCode],Table1[[#This Row],[CountryCode]],Table1[z-score])</f>
        <v>0.62960664015735945</v>
      </c>
      <c r="L9333" t="e">
        <f>VLOOKUP(Table1[[#This Row],[CountryCode]],[1]!Table1[#All],1,FALSE)</f>
        <v>#REF!</v>
      </c>
    </row>
    <row r="9334" spans="1:12" hidden="1" x14ac:dyDescent="0.3">
      <c r="A9334" t="s">
        <v>75</v>
      </c>
      <c r="B9334" t="s">
        <v>76</v>
      </c>
      <c r="C9334" t="s">
        <v>129</v>
      </c>
      <c r="D9334" t="s">
        <v>130</v>
      </c>
      <c r="E9334">
        <v>1981</v>
      </c>
      <c r="F9334" s="1">
        <v>75</v>
      </c>
      <c r="G9334">
        <v>1980</v>
      </c>
      <c r="H9334">
        <f>AVERAGEIFS(Table1[value],Table1[IndicatorCode],Table1[[#This Row],[IndicatorCode]])</f>
        <v>72.66514008620689</v>
      </c>
      <c r="I9334" cm="1">
        <f t="array" ref="I9334">_xlfn.STDEV.P(IF(Table1[IndicatorCode]=Table1[[#This Row],[IndicatorCode]],Table1[value]))</f>
        <v>6.3409496564024987</v>
      </c>
      <c r="J9334">
        <f>(Table1[[#This Row],[value]] - Table1[[#This Row],[mean]]) / Table1[[#This Row],[std_dev]]</f>
        <v>0.36821927949476574</v>
      </c>
      <c r="K9334">
        <f>AVERAGEIF(Table1[CountryCode],Table1[[#This Row],[CountryCode]],Table1[z-score])</f>
        <v>0.62960664015735945</v>
      </c>
      <c r="L9334" t="e">
        <f>VLOOKUP(Table1[[#This Row],[CountryCode]],[1]!Table1[#All],1,FALSE)</f>
        <v>#REF!</v>
      </c>
    </row>
    <row r="9335" spans="1:12" hidden="1" x14ac:dyDescent="0.3">
      <c r="A9335" t="s">
        <v>75</v>
      </c>
      <c r="B9335" t="s">
        <v>76</v>
      </c>
      <c r="C9335" t="s">
        <v>129</v>
      </c>
      <c r="D9335" t="s">
        <v>130</v>
      </c>
      <c r="E9335">
        <v>1982</v>
      </c>
      <c r="F9335" s="1">
        <v>75</v>
      </c>
      <c r="G9335">
        <v>1980</v>
      </c>
      <c r="H9335">
        <f>AVERAGEIFS(Table1[value],Table1[IndicatorCode],Table1[[#This Row],[IndicatorCode]])</f>
        <v>72.66514008620689</v>
      </c>
      <c r="I9335" cm="1">
        <f t="array" ref="I9335">_xlfn.STDEV.P(IF(Table1[IndicatorCode]=Table1[[#This Row],[IndicatorCode]],Table1[value]))</f>
        <v>6.3409496564024987</v>
      </c>
      <c r="J9335">
        <f>(Table1[[#This Row],[value]] - Table1[[#This Row],[mean]]) / Table1[[#This Row],[std_dev]]</f>
        <v>0.36821927949476574</v>
      </c>
      <c r="K9335">
        <f>AVERAGEIF(Table1[CountryCode],Table1[[#This Row],[CountryCode]],Table1[z-score])</f>
        <v>0.62960664015735945</v>
      </c>
      <c r="L9335" t="e">
        <f>VLOOKUP(Table1[[#This Row],[CountryCode]],[1]!Table1[#All],1,FALSE)</f>
        <v>#REF!</v>
      </c>
    </row>
    <row r="9336" spans="1:12" hidden="1" x14ac:dyDescent="0.3">
      <c r="A9336" t="s">
        <v>75</v>
      </c>
      <c r="B9336" t="s">
        <v>76</v>
      </c>
      <c r="C9336" t="s">
        <v>129</v>
      </c>
      <c r="D9336" t="s">
        <v>130</v>
      </c>
      <c r="E9336">
        <v>1983</v>
      </c>
      <c r="F9336" s="1">
        <v>76</v>
      </c>
      <c r="G9336">
        <v>1980</v>
      </c>
      <c r="H9336">
        <f>AVERAGEIFS(Table1[value],Table1[IndicatorCode],Table1[[#This Row],[IndicatorCode]])</f>
        <v>72.66514008620689</v>
      </c>
      <c r="I9336" cm="1">
        <f t="array" ref="I9336">_xlfn.STDEV.P(IF(Table1[IndicatorCode]=Table1[[#This Row],[IndicatorCode]],Table1[value]))</f>
        <v>6.3409496564024987</v>
      </c>
      <c r="J9336">
        <f>(Table1[[#This Row],[value]] - Table1[[#This Row],[mean]]) / Table1[[#This Row],[std_dev]]</f>
        <v>0.52592436377820473</v>
      </c>
      <c r="K9336">
        <f>AVERAGEIF(Table1[CountryCode],Table1[[#This Row],[CountryCode]],Table1[z-score])</f>
        <v>0.62960664015735945</v>
      </c>
      <c r="L9336" t="e">
        <f>VLOOKUP(Table1[[#This Row],[CountryCode]],[1]!Table1[#All],1,FALSE)</f>
        <v>#REF!</v>
      </c>
    </row>
    <row r="9337" spans="1:12" hidden="1" x14ac:dyDescent="0.3">
      <c r="A9337" t="s">
        <v>75</v>
      </c>
      <c r="B9337" t="s">
        <v>76</v>
      </c>
      <c r="C9337" t="s">
        <v>129</v>
      </c>
      <c r="D9337" t="s">
        <v>130</v>
      </c>
      <c r="E9337">
        <v>1984</v>
      </c>
      <c r="F9337" s="1">
        <v>76</v>
      </c>
      <c r="G9337">
        <v>1980</v>
      </c>
      <c r="H9337">
        <f>AVERAGEIFS(Table1[value],Table1[IndicatorCode],Table1[[#This Row],[IndicatorCode]])</f>
        <v>72.66514008620689</v>
      </c>
      <c r="I9337" cm="1">
        <f t="array" ref="I9337">_xlfn.STDEV.P(IF(Table1[IndicatorCode]=Table1[[#This Row],[IndicatorCode]],Table1[value]))</f>
        <v>6.3409496564024987</v>
      </c>
      <c r="J9337">
        <f>(Table1[[#This Row],[value]] - Table1[[#This Row],[mean]]) / Table1[[#This Row],[std_dev]]</f>
        <v>0.52592436377820473</v>
      </c>
      <c r="K9337">
        <f>AVERAGEIF(Table1[CountryCode],Table1[[#This Row],[CountryCode]],Table1[z-score])</f>
        <v>0.62960664015735945</v>
      </c>
      <c r="L9337" t="e">
        <f>VLOOKUP(Table1[[#This Row],[CountryCode]],[1]!Table1[#All],1,FALSE)</f>
        <v>#REF!</v>
      </c>
    </row>
    <row r="9338" spans="1:12" hidden="1" x14ac:dyDescent="0.3">
      <c r="A9338" t="s">
        <v>75</v>
      </c>
      <c r="B9338" t="s">
        <v>76</v>
      </c>
      <c r="C9338" t="s">
        <v>129</v>
      </c>
      <c r="D9338" t="s">
        <v>130</v>
      </c>
      <c r="E9338">
        <v>1985</v>
      </c>
      <c r="F9338" s="1">
        <v>77</v>
      </c>
      <c r="G9338">
        <v>1980</v>
      </c>
      <c r="H9338">
        <f>AVERAGEIFS(Table1[value],Table1[IndicatorCode],Table1[[#This Row],[IndicatorCode]])</f>
        <v>72.66514008620689</v>
      </c>
      <c r="I9338" cm="1">
        <f t="array" ref="I9338">_xlfn.STDEV.P(IF(Table1[IndicatorCode]=Table1[[#This Row],[IndicatorCode]],Table1[value]))</f>
        <v>6.3409496564024987</v>
      </c>
      <c r="J9338">
        <f>(Table1[[#This Row],[value]] - Table1[[#This Row],[mean]]) / Table1[[#This Row],[std_dev]]</f>
        <v>0.68362944806164383</v>
      </c>
      <c r="K9338">
        <f>AVERAGEIF(Table1[CountryCode],Table1[[#This Row],[CountryCode]],Table1[z-score])</f>
        <v>0.62960664015735945</v>
      </c>
      <c r="L9338" t="e">
        <f>VLOOKUP(Table1[[#This Row],[CountryCode]],[1]!Table1[#All],1,FALSE)</f>
        <v>#REF!</v>
      </c>
    </row>
    <row r="9339" spans="1:12" hidden="1" x14ac:dyDescent="0.3">
      <c r="A9339" t="s">
        <v>75</v>
      </c>
      <c r="B9339" t="s">
        <v>76</v>
      </c>
      <c r="C9339" t="s">
        <v>129</v>
      </c>
      <c r="D9339" t="s">
        <v>130</v>
      </c>
      <c r="E9339">
        <v>1986</v>
      </c>
      <c r="F9339" s="1">
        <v>77</v>
      </c>
      <c r="G9339">
        <v>1980</v>
      </c>
      <c r="H9339">
        <f>AVERAGEIFS(Table1[value],Table1[IndicatorCode],Table1[[#This Row],[IndicatorCode]])</f>
        <v>72.66514008620689</v>
      </c>
      <c r="I9339" cm="1">
        <f t="array" ref="I9339">_xlfn.STDEV.P(IF(Table1[IndicatorCode]=Table1[[#This Row],[IndicatorCode]],Table1[value]))</f>
        <v>6.3409496564024987</v>
      </c>
      <c r="J9339">
        <f>(Table1[[#This Row],[value]] - Table1[[#This Row],[mean]]) / Table1[[#This Row],[std_dev]]</f>
        <v>0.68362944806164383</v>
      </c>
      <c r="K9339">
        <f>AVERAGEIF(Table1[CountryCode],Table1[[#This Row],[CountryCode]],Table1[z-score])</f>
        <v>0.62960664015735945</v>
      </c>
      <c r="L9339" t="e">
        <f>VLOOKUP(Table1[[#This Row],[CountryCode]],[1]!Table1[#All],1,FALSE)</f>
        <v>#REF!</v>
      </c>
    </row>
    <row r="9340" spans="1:12" hidden="1" x14ac:dyDescent="0.3">
      <c r="A9340" t="s">
        <v>75</v>
      </c>
      <c r="B9340" t="s">
        <v>76</v>
      </c>
      <c r="C9340" t="s">
        <v>129</v>
      </c>
      <c r="D9340" t="s">
        <v>130</v>
      </c>
      <c r="E9340">
        <v>1987</v>
      </c>
      <c r="F9340" s="1">
        <v>78</v>
      </c>
      <c r="G9340">
        <v>1990</v>
      </c>
      <c r="H9340">
        <f>AVERAGEIFS(Table1[value],Table1[IndicatorCode],Table1[[#This Row],[IndicatorCode]])</f>
        <v>72.66514008620689</v>
      </c>
      <c r="I9340" cm="1">
        <f t="array" ref="I9340">_xlfn.STDEV.P(IF(Table1[IndicatorCode]=Table1[[#This Row],[IndicatorCode]],Table1[value]))</f>
        <v>6.3409496564024987</v>
      </c>
      <c r="J9340">
        <f>(Table1[[#This Row],[value]] - Table1[[#This Row],[mean]]) / Table1[[#This Row],[std_dev]]</f>
        <v>0.84133453234508293</v>
      </c>
      <c r="K9340">
        <f>AVERAGEIF(Table1[CountryCode],Table1[[#This Row],[CountryCode]],Table1[z-score])</f>
        <v>0.62960664015735945</v>
      </c>
      <c r="L9340" t="e">
        <f>VLOOKUP(Table1[[#This Row],[CountryCode]],[1]!Table1[#All],1,FALSE)</f>
        <v>#REF!</v>
      </c>
    </row>
    <row r="9341" spans="1:12" hidden="1" x14ac:dyDescent="0.3">
      <c r="A9341" t="s">
        <v>75</v>
      </c>
      <c r="B9341" t="s">
        <v>76</v>
      </c>
      <c r="C9341" t="s">
        <v>129</v>
      </c>
      <c r="D9341" t="s">
        <v>130</v>
      </c>
      <c r="E9341">
        <v>1988</v>
      </c>
      <c r="F9341" s="1">
        <v>78</v>
      </c>
      <c r="G9341">
        <v>1990</v>
      </c>
      <c r="H9341">
        <f>AVERAGEIFS(Table1[value],Table1[IndicatorCode],Table1[[#This Row],[IndicatorCode]])</f>
        <v>72.66514008620689</v>
      </c>
      <c r="I9341" cm="1">
        <f t="array" ref="I9341">_xlfn.STDEV.P(IF(Table1[IndicatorCode]=Table1[[#This Row],[IndicatorCode]],Table1[value]))</f>
        <v>6.3409496564024987</v>
      </c>
      <c r="J9341">
        <f>(Table1[[#This Row],[value]] - Table1[[#This Row],[mean]]) / Table1[[#This Row],[std_dev]]</f>
        <v>0.84133453234508293</v>
      </c>
      <c r="K9341">
        <f>AVERAGEIF(Table1[CountryCode],Table1[[#This Row],[CountryCode]],Table1[z-score])</f>
        <v>0.62960664015735945</v>
      </c>
      <c r="L9341" t="e">
        <f>VLOOKUP(Table1[[#This Row],[CountryCode]],[1]!Table1[#All],1,FALSE)</f>
        <v>#REF!</v>
      </c>
    </row>
    <row r="9342" spans="1:12" hidden="1" x14ac:dyDescent="0.3">
      <c r="A9342" t="s">
        <v>75</v>
      </c>
      <c r="B9342" t="s">
        <v>76</v>
      </c>
      <c r="C9342" t="s">
        <v>129</v>
      </c>
      <c r="D9342" t="s">
        <v>130</v>
      </c>
      <c r="E9342">
        <v>1989</v>
      </c>
      <c r="F9342" s="1">
        <v>78</v>
      </c>
      <c r="G9342">
        <v>1990</v>
      </c>
      <c r="H9342">
        <f>AVERAGEIFS(Table1[value],Table1[IndicatorCode],Table1[[#This Row],[IndicatorCode]])</f>
        <v>72.66514008620689</v>
      </c>
      <c r="I9342" cm="1">
        <f t="array" ref="I9342">_xlfn.STDEV.P(IF(Table1[IndicatorCode]=Table1[[#This Row],[IndicatorCode]],Table1[value]))</f>
        <v>6.3409496564024987</v>
      </c>
      <c r="J9342">
        <f>(Table1[[#This Row],[value]] - Table1[[#This Row],[mean]]) / Table1[[#This Row],[std_dev]]</f>
        <v>0.84133453234508293</v>
      </c>
      <c r="K9342">
        <f>AVERAGEIF(Table1[CountryCode],Table1[[#This Row],[CountryCode]],Table1[z-score])</f>
        <v>0.62960664015735945</v>
      </c>
      <c r="L9342" t="e">
        <f>VLOOKUP(Table1[[#This Row],[CountryCode]],[1]!Table1[#All],1,FALSE)</f>
        <v>#REF!</v>
      </c>
    </row>
    <row r="9343" spans="1:12" hidden="1" x14ac:dyDescent="0.3">
      <c r="A9343" t="s">
        <v>75</v>
      </c>
      <c r="B9343" t="s">
        <v>76</v>
      </c>
      <c r="C9343" t="s">
        <v>129</v>
      </c>
      <c r="D9343" t="s">
        <v>130</v>
      </c>
      <c r="E9343">
        <v>1990</v>
      </c>
      <c r="F9343" s="1">
        <v>78</v>
      </c>
      <c r="G9343">
        <v>1990</v>
      </c>
      <c r="H9343">
        <f>AVERAGEIFS(Table1[value],Table1[IndicatorCode],Table1[[#This Row],[IndicatorCode]])</f>
        <v>72.66514008620689</v>
      </c>
      <c r="I9343" cm="1">
        <f t="array" ref="I9343">_xlfn.STDEV.P(IF(Table1[IndicatorCode]=Table1[[#This Row],[IndicatorCode]],Table1[value]))</f>
        <v>6.3409496564024987</v>
      </c>
      <c r="J9343">
        <f>(Table1[[#This Row],[value]] - Table1[[#This Row],[mean]]) / Table1[[#This Row],[std_dev]]</f>
        <v>0.84133453234508293</v>
      </c>
      <c r="K9343">
        <f>AVERAGEIF(Table1[CountryCode],Table1[[#This Row],[CountryCode]],Table1[z-score])</f>
        <v>0.62960664015735945</v>
      </c>
      <c r="L9343" t="e">
        <f>VLOOKUP(Table1[[#This Row],[CountryCode]],[1]!Table1[#All],1,FALSE)</f>
        <v>#REF!</v>
      </c>
    </row>
    <row r="9344" spans="1:12" hidden="1" x14ac:dyDescent="0.3">
      <c r="A9344" t="s">
        <v>75</v>
      </c>
      <c r="B9344" t="s">
        <v>76</v>
      </c>
      <c r="C9344" t="s">
        <v>129</v>
      </c>
      <c r="D9344" t="s">
        <v>130</v>
      </c>
      <c r="E9344">
        <v>1991</v>
      </c>
      <c r="F9344" s="1">
        <v>78</v>
      </c>
      <c r="G9344">
        <v>1990</v>
      </c>
      <c r="H9344">
        <f>AVERAGEIFS(Table1[value],Table1[IndicatorCode],Table1[[#This Row],[IndicatorCode]])</f>
        <v>72.66514008620689</v>
      </c>
      <c r="I9344" cm="1">
        <f t="array" ref="I9344">_xlfn.STDEV.P(IF(Table1[IndicatorCode]=Table1[[#This Row],[IndicatorCode]],Table1[value]))</f>
        <v>6.3409496564024987</v>
      </c>
      <c r="J9344">
        <f>(Table1[[#This Row],[value]] - Table1[[#This Row],[mean]]) / Table1[[#This Row],[std_dev]]</f>
        <v>0.84133453234508293</v>
      </c>
      <c r="K9344">
        <f>AVERAGEIF(Table1[CountryCode],Table1[[#This Row],[CountryCode]],Table1[z-score])</f>
        <v>0.62960664015735945</v>
      </c>
      <c r="L9344" t="e">
        <f>VLOOKUP(Table1[[#This Row],[CountryCode]],[1]!Table1[#All],1,FALSE)</f>
        <v>#REF!</v>
      </c>
    </row>
    <row r="9345" spans="1:12" hidden="1" x14ac:dyDescent="0.3">
      <c r="A9345" t="s">
        <v>75</v>
      </c>
      <c r="B9345" t="s">
        <v>76</v>
      </c>
      <c r="C9345" t="s">
        <v>129</v>
      </c>
      <c r="D9345" t="s">
        <v>130</v>
      </c>
      <c r="E9345">
        <v>1992</v>
      </c>
      <c r="F9345" s="1">
        <v>78</v>
      </c>
      <c r="G9345">
        <v>1990</v>
      </c>
      <c r="H9345">
        <f>AVERAGEIFS(Table1[value],Table1[IndicatorCode],Table1[[#This Row],[IndicatorCode]])</f>
        <v>72.66514008620689</v>
      </c>
      <c r="I9345" cm="1">
        <f t="array" ref="I9345">_xlfn.STDEV.P(IF(Table1[IndicatorCode]=Table1[[#This Row],[IndicatorCode]],Table1[value]))</f>
        <v>6.3409496564024987</v>
      </c>
      <c r="J9345">
        <f>(Table1[[#This Row],[value]] - Table1[[#This Row],[mean]]) / Table1[[#This Row],[std_dev]]</f>
        <v>0.84133453234508293</v>
      </c>
      <c r="K9345">
        <f>AVERAGEIF(Table1[CountryCode],Table1[[#This Row],[CountryCode]],Table1[z-score])</f>
        <v>0.62960664015735945</v>
      </c>
      <c r="L9345" t="e">
        <f>VLOOKUP(Table1[[#This Row],[CountryCode]],[1]!Table1[#All],1,FALSE)</f>
        <v>#REF!</v>
      </c>
    </row>
    <row r="9346" spans="1:12" hidden="1" x14ac:dyDescent="0.3">
      <c r="A9346" t="s">
        <v>75</v>
      </c>
      <c r="B9346" t="s">
        <v>76</v>
      </c>
      <c r="C9346" t="s">
        <v>129</v>
      </c>
      <c r="D9346" t="s">
        <v>130</v>
      </c>
      <c r="E9346">
        <v>1993</v>
      </c>
      <c r="F9346" s="1">
        <v>78</v>
      </c>
      <c r="G9346">
        <v>1990</v>
      </c>
      <c r="H9346">
        <f>AVERAGEIFS(Table1[value],Table1[IndicatorCode],Table1[[#This Row],[IndicatorCode]])</f>
        <v>72.66514008620689</v>
      </c>
      <c r="I9346" cm="1">
        <f t="array" ref="I9346">_xlfn.STDEV.P(IF(Table1[IndicatorCode]=Table1[[#This Row],[IndicatorCode]],Table1[value]))</f>
        <v>6.3409496564024987</v>
      </c>
      <c r="J9346">
        <f>(Table1[[#This Row],[value]] - Table1[[#This Row],[mean]]) / Table1[[#This Row],[std_dev]]</f>
        <v>0.84133453234508293</v>
      </c>
      <c r="K9346">
        <f>AVERAGEIF(Table1[CountryCode],Table1[[#This Row],[CountryCode]],Table1[z-score])</f>
        <v>0.62960664015735945</v>
      </c>
      <c r="L9346" t="e">
        <f>VLOOKUP(Table1[[#This Row],[CountryCode]],[1]!Table1[#All],1,FALSE)</f>
        <v>#REF!</v>
      </c>
    </row>
    <row r="9347" spans="1:12" hidden="1" x14ac:dyDescent="0.3">
      <c r="A9347" t="s">
        <v>75</v>
      </c>
      <c r="B9347" t="s">
        <v>76</v>
      </c>
      <c r="C9347" t="s">
        <v>129</v>
      </c>
      <c r="D9347" t="s">
        <v>130</v>
      </c>
      <c r="E9347">
        <v>1994</v>
      </c>
      <c r="F9347" s="1">
        <v>78</v>
      </c>
      <c r="G9347">
        <v>1990</v>
      </c>
      <c r="H9347">
        <f>AVERAGEIFS(Table1[value],Table1[IndicatorCode],Table1[[#This Row],[IndicatorCode]])</f>
        <v>72.66514008620689</v>
      </c>
      <c r="I9347" cm="1">
        <f t="array" ref="I9347">_xlfn.STDEV.P(IF(Table1[IndicatorCode]=Table1[[#This Row],[IndicatorCode]],Table1[value]))</f>
        <v>6.3409496564024987</v>
      </c>
      <c r="J9347">
        <f>(Table1[[#This Row],[value]] - Table1[[#This Row],[mean]]) / Table1[[#This Row],[std_dev]]</f>
        <v>0.84133453234508293</v>
      </c>
      <c r="K9347">
        <f>AVERAGEIF(Table1[CountryCode],Table1[[#This Row],[CountryCode]],Table1[z-score])</f>
        <v>0.62960664015735945</v>
      </c>
      <c r="L9347" t="e">
        <f>VLOOKUP(Table1[[#This Row],[CountryCode]],[1]!Table1[#All],1,FALSE)</f>
        <v>#REF!</v>
      </c>
    </row>
    <row r="9348" spans="1:12" hidden="1" x14ac:dyDescent="0.3">
      <c r="A9348" t="s">
        <v>75</v>
      </c>
      <c r="B9348" t="s">
        <v>76</v>
      </c>
      <c r="C9348" t="s">
        <v>129</v>
      </c>
      <c r="D9348" t="s">
        <v>130</v>
      </c>
      <c r="E9348">
        <v>1995</v>
      </c>
      <c r="F9348" s="1">
        <v>77</v>
      </c>
      <c r="G9348">
        <v>1990</v>
      </c>
      <c r="H9348">
        <f>AVERAGEIFS(Table1[value],Table1[IndicatorCode],Table1[[#This Row],[IndicatorCode]])</f>
        <v>72.66514008620689</v>
      </c>
      <c r="I9348" cm="1">
        <f t="array" ref="I9348">_xlfn.STDEV.P(IF(Table1[IndicatorCode]=Table1[[#This Row],[IndicatorCode]],Table1[value]))</f>
        <v>6.3409496564024987</v>
      </c>
      <c r="J9348">
        <f>(Table1[[#This Row],[value]] - Table1[[#This Row],[mean]]) / Table1[[#This Row],[std_dev]]</f>
        <v>0.68362944806164383</v>
      </c>
      <c r="K9348">
        <f>AVERAGEIF(Table1[CountryCode],Table1[[#This Row],[CountryCode]],Table1[z-score])</f>
        <v>0.62960664015735945</v>
      </c>
      <c r="L9348" t="e">
        <f>VLOOKUP(Table1[[#This Row],[CountryCode]],[1]!Table1[#All],1,FALSE)</f>
        <v>#REF!</v>
      </c>
    </row>
    <row r="9349" spans="1:12" hidden="1" x14ac:dyDescent="0.3">
      <c r="A9349" t="s">
        <v>75</v>
      </c>
      <c r="B9349" t="s">
        <v>76</v>
      </c>
      <c r="C9349" t="s">
        <v>129</v>
      </c>
      <c r="D9349" t="s">
        <v>130</v>
      </c>
      <c r="E9349">
        <v>1996</v>
      </c>
      <c r="F9349" s="1">
        <v>77</v>
      </c>
      <c r="G9349">
        <v>1990</v>
      </c>
      <c r="H9349">
        <f>AVERAGEIFS(Table1[value],Table1[IndicatorCode],Table1[[#This Row],[IndicatorCode]])</f>
        <v>72.66514008620689</v>
      </c>
      <c r="I9349" cm="1">
        <f t="array" ref="I9349">_xlfn.STDEV.P(IF(Table1[IndicatorCode]=Table1[[#This Row],[IndicatorCode]],Table1[value]))</f>
        <v>6.3409496564024987</v>
      </c>
      <c r="J9349">
        <f>(Table1[[#This Row],[value]] - Table1[[#This Row],[mean]]) / Table1[[#This Row],[std_dev]]</f>
        <v>0.68362944806164383</v>
      </c>
      <c r="K9349">
        <f>AVERAGEIF(Table1[CountryCode],Table1[[#This Row],[CountryCode]],Table1[z-score])</f>
        <v>0.62960664015735945</v>
      </c>
      <c r="L9349" t="e">
        <f>VLOOKUP(Table1[[#This Row],[CountryCode]],[1]!Table1[#All],1,FALSE)</f>
        <v>#REF!</v>
      </c>
    </row>
    <row r="9350" spans="1:12" hidden="1" x14ac:dyDescent="0.3">
      <c r="A9350" t="s">
        <v>75</v>
      </c>
      <c r="B9350" t="s">
        <v>76</v>
      </c>
      <c r="C9350" t="s">
        <v>129</v>
      </c>
      <c r="D9350" t="s">
        <v>130</v>
      </c>
      <c r="E9350">
        <v>1997</v>
      </c>
      <c r="F9350" s="1">
        <v>76</v>
      </c>
      <c r="G9350">
        <v>2000</v>
      </c>
      <c r="H9350">
        <f>AVERAGEIFS(Table1[value],Table1[IndicatorCode],Table1[[#This Row],[IndicatorCode]])</f>
        <v>72.66514008620689</v>
      </c>
      <c r="I9350" cm="1">
        <f t="array" ref="I9350">_xlfn.STDEV.P(IF(Table1[IndicatorCode]=Table1[[#This Row],[IndicatorCode]],Table1[value]))</f>
        <v>6.3409496564024987</v>
      </c>
      <c r="J9350">
        <f>(Table1[[#This Row],[value]] - Table1[[#This Row],[mean]]) / Table1[[#This Row],[std_dev]]</f>
        <v>0.52592436377820473</v>
      </c>
      <c r="K9350">
        <f>AVERAGEIF(Table1[CountryCode],Table1[[#This Row],[CountryCode]],Table1[z-score])</f>
        <v>0.62960664015735945</v>
      </c>
      <c r="L9350" t="e">
        <f>VLOOKUP(Table1[[#This Row],[CountryCode]],[1]!Table1[#All],1,FALSE)</f>
        <v>#REF!</v>
      </c>
    </row>
    <row r="9351" spans="1:12" hidden="1" x14ac:dyDescent="0.3">
      <c r="A9351" t="s">
        <v>75</v>
      </c>
      <c r="B9351" t="s">
        <v>76</v>
      </c>
      <c r="C9351" t="s">
        <v>129</v>
      </c>
      <c r="D9351" t="s">
        <v>130</v>
      </c>
      <c r="E9351">
        <v>1998</v>
      </c>
      <c r="F9351" s="1">
        <v>78</v>
      </c>
      <c r="G9351">
        <v>2000</v>
      </c>
      <c r="H9351">
        <f>AVERAGEIFS(Table1[value],Table1[IndicatorCode],Table1[[#This Row],[IndicatorCode]])</f>
        <v>72.66514008620689</v>
      </c>
      <c r="I9351" cm="1">
        <f t="array" ref="I9351">_xlfn.STDEV.P(IF(Table1[IndicatorCode]=Table1[[#This Row],[IndicatorCode]],Table1[value]))</f>
        <v>6.3409496564024987</v>
      </c>
      <c r="J9351">
        <f>(Table1[[#This Row],[value]] - Table1[[#This Row],[mean]]) / Table1[[#This Row],[std_dev]]</f>
        <v>0.84133453234508293</v>
      </c>
      <c r="K9351">
        <f>AVERAGEIF(Table1[CountryCode],Table1[[#This Row],[CountryCode]],Table1[z-score])</f>
        <v>0.62960664015735945</v>
      </c>
      <c r="L9351" t="e">
        <f>VLOOKUP(Table1[[#This Row],[CountryCode]],[1]!Table1[#All],1,FALSE)</f>
        <v>#REF!</v>
      </c>
    </row>
    <row r="9352" spans="1:12" hidden="1" x14ac:dyDescent="0.3">
      <c r="A9352" t="s">
        <v>75</v>
      </c>
      <c r="B9352" t="s">
        <v>76</v>
      </c>
      <c r="C9352" t="s">
        <v>129</v>
      </c>
      <c r="D9352" t="s">
        <v>130</v>
      </c>
      <c r="E9352">
        <v>1999</v>
      </c>
      <c r="F9352" s="1">
        <v>79</v>
      </c>
      <c r="G9352">
        <v>2000</v>
      </c>
      <c r="H9352">
        <f>AVERAGEIFS(Table1[value],Table1[IndicatorCode],Table1[[#This Row],[IndicatorCode]])</f>
        <v>72.66514008620689</v>
      </c>
      <c r="I9352" cm="1">
        <f t="array" ref="I9352">_xlfn.STDEV.P(IF(Table1[IndicatorCode]=Table1[[#This Row],[IndicatorCode]],Table1[value]))</f>
        <v>6.3409496564024987</v>
      </c>
      <c r="J9352">
        <f>(Table1[[#This Row],[value]] - Table1[[#This Row],[mean]]) / Table1[[#This Row],[std_dev]]</f>
        <v>0.99903961662852192</v>
      </c>
      <c r="K9352">
        <f>AVERAGEIF(Table1[CountryCode],Table1[[#This Row],[CountryCode]],Table1[z-score])</f>
        <v>0.62960664015735945</v>
      </c>
      <c r="L9352" t="e">
        <f>VLOOKUP(Table1[[#This Row],[CountryCode]],[1]!Table1[#All],1,FALSE)</f>
        <v>#REF!</v>
      </c>
    </row>
    <row r="9353" spans="1:12" hidden="1" x14ac:dyDescent="0.3">
      <c r="A9353" t="s">
        <v>75</v>
      </c>
      <c r="B9353" t="s">
        <v>76</v>
      </c>
      <c r="C9353" t="s">
        <v>129</v>
      </c>
      <c r="D9353" t="s">
        <v>130</v>
      </c>
      <c r="E9353">
        <v>2000</v>
      </c>
      <c r="F9353" s="1">
        <v>77</v>
      </c>
      <c r="G9353">
        <v>2000</v>
      </c>
      <c r="H9353">
        <f>AVERAGEIFS(Table1[value],Table1[IndicatorCode],Table1[[#This Row],[IndicatorCode]])</f>
        <v>72.66514008620689</v>
      </c>
      <c r="I9353" cm="1">
        <f t="array" ref="I9353">_xlfn.STDEV.P(IF(Table1[IndicatorCode]=Table1[[#This Row],[IndicatorCode]],Table1[value]))</f>
        <v>6.3409496564024987</v>
      </c>
      <c r="J9353">
        <f>(Table1[[#This Row],[value]] - Table1[[#This Row],[mean]]) / Table1[[#This Row],[std_dev]]</f>
        <v>0.68362944806164383</v>
      </c>
      <c r="K9353">
        <f>AVERAGEIF(Table1[CountryCode],Table1[[#This Row],[CountryCode]],Table1[z-score])</f>
        <v>0.62960664015735945</v>
      </c>
      <c r="L9353" t="e">
        <f>VLOOKUP(Table1[[#This Row],[CountryCode]],[1]!Table1[#All],1,FALSE)</f>
        <v>#REF!</v>
      </c>
    </row>
    <row r="9354" spans="1:12" hidden="1" x14ac:dyDescent="0.3">
      <c r="A9354" t="s">
        <v>75</v>
      </c>
      <c r="B9354" t="s">
        <v>76</v>
      </c>
      <c r="C9354" t="s">
        <v>129</v>
      </c>
      <c r="D9354" t="s">
        <v>130</v>
      </c>
      <c r="E9354">
        <v>2001</v>
      </c>
      <c r="F9354" s="1">
        <v>79</v>
      </c>
      <c r="G9354">
        <v>2000</v>
      </c>
      <c r="H9354">
        <f>AVERAGEIFS(Table1[value],Table1[IndicatorCode],Table1[[#This Row],[IndicatorCode]])</f>
        <v>72.66514008620689</v>
      </c>
      <c r="I9354" cm="1">
        <f t="array" ref="I9354">_xlfn.STDEV.P(IF(Table1[IndicatorCode]=Table1[[#This Row],[IndicatorCode]],Table1[value]))</f>
        <v>6.3409496564024987</v>
      </c>
      <c r="J9354">
        <f>(Table1[[#This Row],[value]] - Table1[[#This Row],[mean]]) / Table1[[#This Row],[std_dev]]</f>
        <v>0.99903961662852192</v>
      </c>
      <c r="K9354">
        <f>AVERAGEIF(Table1[CountryCode],Table1[[#This Row],[CountryCode]],Table1[z-score])</f>
        <v>0.62960664015735945</v>
      </c>
      <c r="L9354" t="e">
        <f>VLOOKUP(Table1[[#This Row],[CountryCode]],[1]!Table1[#All],1,FALSE)</f>
        <v>#REF!</v>
      </c>
    </row>
    <row r="9355" spans="1:12" hidden="1" x14ac:dyDescent="0.3">
      <c r="A9355" t="s">
        <v>75</v>
      </c>
      <c r="B9355" t="s">
        <v>76</v>
      </c>
      <c r="C9355" t="s">
        <v>129</v>
      </c>
      <c r="D9355" t="s">
        <v>130</v>
      </c>
      <c r="E9355">
        <v>2002</v>
      </c>
      <c r="F9355" s="1">
        <v>80</v>
      </c>
      <c r="G9355">
        <v>2000</v>
      </c>
      <c r="H9355">
        <f>AVERAGEIFS(Table1[value],Table1[IndicatorCode],Table1[[#This Row],[IndicatorCode]])</f>
        <v>72.66514008620689</v>
      </c>
      <c r="I9355" cm="1">
        <f t="array" ref="I9355">_xlfn.STDEV.P(IF(Table1[IndicatorCode]=Table1[[#This Row],[IndicatorCode]],Table1[value]))</f>
        <v>6.3409496564024987</v>
      </c>
      <c r="J9355">
        <f>(Table1[[#This Row],[value]] - Table1[[#This Row],[mean]]) / Table1[[#This Row],[std_dev]]</f>
        <v>1.1567447009119609</v>
      </c>
      <c r="K9355">
        <f>AVERAGEIF(Table1[CountryCode],Table1[[#This Row],[CountryCode]],Table1[z-score])</f>
        <v>0.62960664015735945</v>
      </c>
      <c r="L9355" t="e">
        <f>VLOOKUP(Table1[[#This Row],[CountryCode]],[1]!Table1[#All],1,FALSE)</f>
        <v>#REF!</v>
      </c>
    </row>
    <row r="9356" spans="1:12" hidden="1" x14ac:dyDescent="0.3">
      <c r="A9356" t="s">
        <v>75</v>
      </c>
      <c r="B9356" t="s">
        <v>76</v>
      </c>
      <c r="C9356" t="s">
        <v>129</v>
      </c>
      <c r="D9356" t="s">
        <v>130</v>
      </c>
      <c r="E9356">
        <v>2003</v>
      </c>
      <c r="F9356" s="1">
        <v>80</v>
      </c>
      <c r="G9356">
        <v>2000</v>
      </c>
      <c r="H9356">
        <f>AVERAGEIFS(Table1[value],Table1[IndicatorCode],Table1[[#This Row],[IndicatorCode]])</f>
        <v>72.66514008620689</v>
      </c>
      <c r="I9356" cm="1">
        <f t="array" ref="I9356">_xlfn.STDEV.P(IF(Table1[IndicatorCode]=Table1[[#This Row],[IndicatorCode]],Table1[value]))</f>
        <v>6.3409496564024987</v>
      </c>
      <c r="J9356">
        <f>(Table1[[#This Row],[value]] - Table1[[#This Row],[mean]]) / Table1[[#This Row],[std_dev]]</f>
        <v>1.1567447009119609</v>
      </c>
      <c r="K9356">
        <f>AVERAGEIF(Table1[CountryCode],Table1[[#This Row],[CountryCode]],Table1[z-score])</f>
        <v>0.62960664015735945</v>
      </c>
      <c r="L9356" t="e">
        <f>VLOOKUP(Table1[[#This Row],[CountryCode]],[1]!Table1[#All],1,FALSE)</f>
        <v>#REF!</v>
      </c>
    </row>
    <row r="9357" spans="1:12" hidden="1" x14ac:dyDescent="0.3">
      <c r="A9357" t="s">
        <v>75</v>
      </c>
      <c r="B9357" t="s">
        <v>76</v>
      </c>
      <c r="C9357" t="s">
        <v>129</v>
      </c>
      <c r="D9357" t="s">
        <v>130</v>
      </c>
      <c r="E9357">
        <v>2004</v>
      </c>
      <c r="F9357" s="1">
        <v>82</v>
      </c>
      <c r="G9357">
        <v>2000</v>
      </c>
      <c r="H9357">
        <f>AVERAGEIFS(Table1[value],Table1[IndicatorCode],Table1[[#This Row],[IndicatorCode]])</f>
        <v>72.66514008620689</v>
      </c>
      <c r="I9357" cm="1">
        <f t="array" ref="I9357">_xlfn.STDEV.P(IF(Table1[IndicatorCode]=Table1[[#This Row],[IndicatorCode]],Table1[value]))</f>
        <v>6.3409496564024987</v>
      </c>
      <c r="J9357">
        <f>(Table1[[#This Row],[value]] - Table1[[#This Row],[mean]]) / Table1[[#This Row],[std_dev]]</f>
        <v>1.4721548694788391</v>
      </c>
      <c r="K9357">
        <f>AVERAGEIF(Table1[CountryCode],Table1[[#This Row],[CountryCode]],Table1[z-score])</f>
        <v>0.62960664015735945</v>
      </c>
      <c r="L9357" t="e">
        <f>VLOOKUP(Table1[[#This Row],[CountryCode]],[1]!Table1[#All],1,FALSE)</f>
        <v>#REF!</v>
      </c>
    </row>
    <row r="9358" spans="1:12" hidden="1" x14ac:dyDescent="0.3">
      <c r="A9358" t="s">
        <v>75</v>
      </c>
      <c r="B9358" t="s">
        <v>76</v>
      </c>
      <c r="C9358" t="s">
        <v>129</v>
      </c>
      <c r="D9358" t="s">
        <v>130</v>
      </c>
      <c r="E9358">
        <v>2005</v>
      </c>
      <c r="F9358" s="1">
        <v>81</v>
      </c>
      <c r="G9358">
        <v>2000</v>
      </c>
      <c r="H9358">
        <f>AVERAGEIFS(Table1[value],Table1[IndicatorCode],Table1[[#This Row],[IndicatorCode]])</f>
        <v>72.66514008620689</v>
      </c>
      <c r="I9358" cm="1">
        <f t="array" ref="I9358">_xlfn.STDEV.P(IF(Table1[IndicatorCode]=Table1[[#This Row],[IndicatorCode]],Table1[value]))</f>
        <v>6.3409496564024987</v>
      </c>
      <c r="J9358">
        <f>(Table1[[#This Row],[value]] - Table1[[#This Row],[mean]]) / Table1[[#This Row],[std_dev]]</f>
        <v>1.3144497851954</v>
      </c>
      <c r="K9358">
        <f>AVERAGEIF(Table1[CountryCode],Table1[[#This Row],[CountryCode]],Table1[z-score])</f>
        <v>0.62960664015735945</v>
      </c>
      <c r="L9358" t="e">
        <f>VLOOKUP(Table1[[#This Row],[CountryCode]],[1]!Table1[#All],1,FALSE)</f>
        <v>#REF!</v>
      </c>
    </row>
    <row r="9359" spans="1:12" hidden="1" x14ac:dyDescent="0.3">
      <c r="A9359" t="s">
        <v>75</v>
      </c>
      <c r="B9359" t="s">
        <v>76</v>
      </c>
      <c r="C9359" t="s">
        <v>129</v>
      </c>
      <c r="D9359" t="s">
        <v>130</v>
      </c>
      <c r="E9359">
        <v>2006</v>
      </c>
      <c r="F9359" s="1">
        <v>81</v>
      </c>
      <c r="G9359">
        <v>2000</v>
      </c>
      <c r="H9359">
        <f>AVERAGEIFS(Table1[value],Table1[IndicatorCode],Table1[[#This Row],[IndicatorCode]])</f>
        <v>72.66514008620689</v>
      </c>
      <c r="I9359" cm="1">
        <f t="array" ref="I9359">_xlfn.STDEV.P(IF(Table1[IndicatorCode]=Table1[[#This Row],[IndicatorCode]],Table1[value]))</f>
        <v>6.3409496564024987</v>
      </c>
      <c r="J9359">
        <f>(Table1[[#This Row],[value]] - Table1[[#This Row],[mean]]) / Table1[[#This Row],[std_dev]]</f>
        <v>1.3144497851954</v>
      </c>
      <c r="K9359">
        <f>AVERAGEIF(Table1[CountryCode],Table1[[#This Row],[CountryCode]],Table1[z-score])</f>
        <v>0.62960664015735945</v>
      </c>
      <c r="L9359" t="e">
        <f>VLOOKUP(Table1[[#This Row],[CountryCode]],[1]!Table1[#All],1,FALSE)</f>
        <v>#REF!</v>
      </c>
    </row>
    <row r="9360" spans="1:12" hidden="1" x14ac:dyDescent="0.3">
      <c r="A9360" t="s">
        <v>75</v>
      </c>
      <c r="B9360" t="s">
        <v>76</v>
      </c>
      <c r="C9360" t="s">
        <v>129</v>
      </c>
      <c r="D9360" t="s">
        <v>130</v>
      </c>
      <c r="E9360">
        <v>2007</v>
      </c>
      <c r="F9360" s="1">
        <v>81</v>
      </c>
      <c r="G9360">
        <v>2010</v>
      </c>
      <c r="H9360">
        <f>AVERAGEIFS(Table1[value],Table1[IndicatorCode],Table1[[#This Row],[IndicatorCode]])</f>
        <v>72.66514008620689</v>
      </c>
      <c r="I9360" cm="1">
        <f t="array" ref="I9360">_xlfn.STDEV.P(IF(Table1[IndicatorCode]=Table1[[#This Row],[IndicatorCode]],Table1[value]))</f>
        <v>6.3409496564024987</v>
      </c>
      <c r="J9360">
        <f>(Table1[[#This Row],[value]] - Table1[[#This Row],[mean]]) / Table1[[#This Row],[std_dev]]</f>
        <v>1.3144497851954</v>
      </c>
      <c r="K9360">
        <f>AVERAGEIF(Table1[CountryCode],Table1[[#This Row],[CountryCode]],Table1[z-score])</f>
        <v>0.62960664015735945</v>
      </c>
      <c r="L9360" t="e">
        <f>VLOOKUP(Table1[[#This Row],[CountryCode]],[1]!Table1[#All],1,FALSE)</f>
        <v>#REF!</v>
      </c>
    </row>
    <row r="9361" spans="1:12" hidden="1" x14ac:dyDescent="0.3">
      <c r="A9361" t="s">
        <v>75</v>
      </c>
      <c r="B9361" t="s">
        <v>76</v>
      </c>
      <c r="C9361" t="s">
        <v>129</v>
      </c>
      <c r="D9361" t="s">
        <v>130</v>
      </c>
      <c r="E9361">
        <v>2008</v>
      </c>
      <c r="F9361" s="1">
        <v>83</v>
      </c>
      <c r="G9361">
        <v>2010</v>
      </c>
      <c r="H9361">
        <f>AVERAGEIFS(Table1[value],Table1[IndicatorCode],Table1[[#This Row],[IndicatorCode]])</f>
        <v>72.66514008620689</v>
      </c>
      <c r="I9361" cm="1">
        <f t="array" ref="I9361">_xlfn.STDEV.P(IF(Table1[IndicatorCode]=Table1[[#This Row],[IndicatorCode]],Table1[value]))</f>
        <v>6.3409496564024987</v>
      </c>
      <c r="J9361">
        <f>(Table1[[#This Row],[value]] - Table1[[#This Row],[mean]]) / Table1[[#This Row],[std_dev]]</f>
        <v>1.6298599537622782</v>
      </c>
      <c r="K9361">
        <f>AVERAGEIF(Table1[CountryCode],Table1[[#This Row],[CountryCode]],Table1[z-score])</f>
        <v>0.62960664015735945</v>
      </c>
      <c r="L9361" t="e">
        <f>VLOOKUP(Table1[[#This Row],[CountryCode]],[1]!Table1[#All],1,FALSE)</f>
        <v>#REF!</v>
      </c>
    </row>
    <row r="9362" spans="1:12" hidden="1" x14ac:dyDescent="0.3">
      <c r="A9362" t="s">
        <v>75</v>
      </c>
      <c r="B9362" t="s">
        <v>76</v>
      </c>
      <c r="C9362" t="s">
        <v>129</v>
      </c>
      <c r="D9362" t="s">
        <v>130</v>
      </c>
      <c r="E9362">
        <v>2009</v>
      </c>
      <c r="F9362" s="1">
        <v>82</v>
      </c>
      <c r="G9362">
        <v>2010</v>
      </c>
      <c r="H9362">
        <f>AVERAGEIFS(Table1[value],Table1[IndicatorCode],Table1[[#This Row],[IndicatorCode]])</f>
        <v>72.66514008620689</v>
      </c>
      <c r="I9362" cm="1">
        <f t="array" ref="I9362">_xlfn.STDEV.P(IF(Table1[IndicatorCode]=Table1[[#This Row],[IndicatorCode]],Table1[value]))</f>
        <v>6.3409496564024987</v>
      </c>
      <c r="J9362">
        <f>(Table1[[#This Row],[value]] - Table1[[#This Row],[mean]]) / Table1[[#This Row],[std_dev]]</f>
        <v>1.4721548694788391</v>
      </c>
      <c r="K9362">
        <f>AVERAGEIF(Table1[CountryCode],Table1[[#This Row],[CountryCode]],Table1[z-score])</f>
        <v>0.62960664015735945</v>
      </c>
      <c r="L9362" t="e">
        <f>VLOOKUP(Table1[[#This Row],[CountryCode]],[1]!Table1[#All],1,FALSE)</f>
        <v>#REF!</v>
      </c>
    </row>
    <row r="9363" spans="1:12" hidden="1" x14ac:dyDescent="0.3">
      <c r="A9363" t="s">
        <v>75</v>
      </c>
      <c r="B9363" t="s">
        <v>76</v>
      </c>
      <c r="C9363" t="s">
        <v>129</v>
      </c>
      <c r="D9363" t="s">
        <v>130</v>
      </c>
      <c r="E9363">
        <v>2010</v>
      </c>
      <c r="F9363" s="1">
        <v>82</v>
      </c>
      <c r="G9363">
        <v>2010</v>
      </c>
      <c r="H9363">
        <f>AVERAGEIFS(Table1[value],Table1[IndicatorCode],Table1[[#This Row],[IndicatorCode]])</f>
        <v>72.66514008620689</v>
      </c>
      <c r="I9363" cm="1">
        <f t="array" ref="I9363">_xlfn.STDEV.P(IF(Table1[IndicatorCode]=Table1[[#This Row],[IndicatorCode]],Table1[value]))</f>
        <v>6.3409496564024987</v>
      </c>
      <c r="J9363">
        <f>(Table1[[#This Row],[value]] - Table1[[#This Row],[mean]]) / Table1[[#This Row],[std_dev]]</f>
        <v>1.4721548694788391</v>
      </c>
      <c r="K9363">
        <f>AVERAGEIF(Table1[CountryCode],Table1[[#This Row],[CountryCode]],Table1[z-score])</f>
        <v>0.62960664015735945</v>
      </c>
      <c r="L9363" t="e">
        <f>VLOOKUP(Table1[[#This Row],[CountryCode]],[1]!Table1[#All],1,FALSE)</f>
        <v>#REF!</v>
      </c>
    </row>
    <row r="9364" spans="1:12" hidden="1" x14ac:dyDescent="0.3">
      <c r="A9364" t="s">
        <v>75</v>
      </c>
      <c r="B9364" t="s">
        <v>76</v>
      </c>
      <c r="C9364" t="s">
        <v>129</v>
      </c>
      <c r="D9364" t="s">
        <v>130</v>
      </c>
      <c r="E9364">
        <v>2011</v>
      </c>
      <c r="F9364" s="1">
        <v>82</v>
      </c>
      <c r="G9364">
        <v>2010</v>
      </c>
      <c r="H9364">
        <f>AVERAGEIFS(Table1[value],Table1[IndicatorCode],Table1[[#This Row],[IndicatorCode]])</f>
        <v>72.66514008620689</v>
      </c>
      <c r="I9364" cm="1">
        <f t="array" ref="I9364">_xlfn.STDEV.P(IF(Table1[IndicatorCode]=Table1[[#This Row],[IndicatorCode]],Table1[value]))</f>
        <v>6.3409496564024987</v>
      </c>
      <c r="J9364">
        <f>(Table1[[#This Row],[value]] - Table1[[#This Row],[mean]]) / Table1[[#This Row],[std_dev]]</f>
        <v>1.4721548694788391</v>
      </c>
      <c r="K9364">
        <f>AVERAGEIF(Table1[CountryCode],Table1[[#This Row],[CountryCode]],Table1[z-score])</f>
        <v>0.62960664015735945</v>
      </c>
      <c r="L9364" t="e">
        <f>VLOOKUP(Table1[[#This Row],[CountryCode]],[1]!Table1[#All],1,FALSE)</f>
        <v>#REF!</v>
      </c>
    </row>
    <row r="9365" spans="1:12" hidden="1" x14ac:dyDescent="0.3">
      <c r="A9365" t="s">
        <v>75</v>
      </c>
      <c r="B9365" t="s">
        <v>76</v>
      </c>
      <c r="C9365" t="s">
        <v>129</v>
      </c>
      <c r="D9365" t="s">
        <v>130</v>
      </c>
      <c r="E9365">
        <v>2012</v>
      </c>
      <c r="F9365" s="1">
        <v>82</v>
      </c>
      <c r="G9365">
        <v>2010</v>
      </c>
      <c r="H9365">
        <f>AVERAGEIFS(Table1[value],Table1[IndicatorCode],Table1[[#This Row],[IndicatorCode]])</f>
        <v>72.66514008620689</v>
      </c>
      <c r="I9365" cm="1">
        <f t="array" ref="I9365">_xlfn.STDEV.P(IF(Table1[IndicatorCode]=Table1[[#This Row],[IndicatorCode]],Table1[value]))</f>
        <v>6.3409496564024987</v>
      </c>
      <c r="J9365">
        <f>(Table1[[#This Row],[value]] - Table1[[#This Row],[mean]]) / Table1[[#This Row],[std_dev]]</f>
        <v>1.4721548694788391</v>
      </c>
      <c r="K9365">
        <f>AVERAGEIF(Table1[CountryCode],Table1[[#This Row],[CountryCode]],Table1[z-score])</f>
        <v>0.62960664015735945</v>
      </c>
      <c r="L9365" t="e">
        <f>VLOOKUP(Table1[[#This Row],[CountryCode]],[1]!Table1[#All],1,FALSE)</f>
        <v>#REF!</v>
      </c>
    </row>
    <row r="9366" spans="1:12" hidden="1" x14ac:dyDescent="0.3">
      <c r="A9366" t="s">
        <v>75</v>
      </c>
      <c r="B9366" t="s">
        <v>76</v>
      </c>
      <c r="C9366" t="s">
        <v>129</v>
      </c>
      <c r="D9366" t="s">
        <v>130</v>
      </c>
      <c r="E9366">
        <v>2013</v>
      </c>
      <c r="F9366" s="1">
        <v>82</v>
      </c>
      <c r="G9366">
        <v>2010</v>
      </c>
      <c r="H9366">
        <f>AVERAGEIFS(Table1[value],Table1[IndicatorCode],Table1[[#This Row],[IndicatorCode]])</f>
        <v>72.66514008620689</v>
      </c>
      <c r="I9366" cm="1">
        <f t="array" ref="I9366">_xlfn.STDEV.P(IF(Table1[IndicatorCode]=Table1[[#This Row],[IndicatorCode]],Table1[value]))</f>
        <v>6.3409496564024987</v>
      </c>
      <c r="J9366">
        <f>(Table1[[#This Row],[value]] - Table1[[#This Row],[mean]]) / Table1[[#This Row],[std_dev]]</f>
        <v>1.4721548694788391</v>
      </c>
      <c r="K9366">
        <f>AVERAGEIF(Table1[CountryCode],Table1[[#This Row],[CountryCode]],Table1[z-score])</f>
        <v>0.62960664015735945</v>
      </c>
      <c r="L9366" t="e">
        <f>VLOOKUP(Table1[[#This Row],[CountryCode]],[1]!Table1[#All],1,FALSE)</f>
        <v>#REF!</v>
      </c>
    </row>
    <row r="9367" spans="1:12" hidden="1" x14ac:dyDescent="0.3">
      <c r="A9367" t="s">
        <v>75</v>
      </c>
      <c r="B9367" t="s">
        <v>76</v>
      </c>
      <c r="C9367" t="s">
        <v>129</v>
      </c>
      <c r="D9367" t="s">
        <v>130</v>
      </c>
      <c r="E9367">
        <v>2014</v>
      </c>
      <c r="F9367" s="1">
        <v>82</v>
      </c>
      <c r="G9367">
        <v>2010</v>
      </c>
      <c r="H9367">
        <f>AVERAGEIFS(Table1[value],Table1[IndicatorCode],Table1[[#This Row],[IndicatorCode]])</f>
        <v>72.66514008620689</v>
      </c>
      <c r="I9367" cm="1">
        <f t="array" ref="I9367">_xlfn.STDEV.P(IF(Table1[IndicatorCode]=Table1[[#This Row],[IndicatorCode]],Table1[value]))</f>
        <v>6.3409496564024987</v>
      </c>
      <c r="J9367">
        <f>(Table1[[#This Row],[value]] - Table1[[#This Row],[mean]]) / Table1[[#This Row],[std_dev]]</f>
        <v>1.4721548694788391</v>
      </c>
      <c r="K9367">
        <f>AVERAGEIF(Table1[CountryCode],Table1[[#This Row],[CountryCode]],Table1[z-score])</f>
        <v>0.62960664015735945</v>
      </c>
      <c r="L9367" t="e">
        <f>VLOOKUP(Table1[[#This Row],[CountryCode]],[1]!Table1[#All],1,FALSE)</f>
        <v>#REF!</v>
      </c>
    </row>
    <row r="9368" spans="1:12" hidden="1" x14ac:dyDescent="0.3">
      <c r="A9368" t="s">
        <v>75</v>
      </c>
      <c r="B9368" t="s">
        <v>76</v>
      </c>
      <c r="C9368" t="s">
        <v>129</v>
      </c>
      <c r="D9368" t="s">
        <v>130</v>
      </c>
      <c r="E9368">
        <v>2015</v>
      </c>
      <c r="F9368" s="1">
        <v>83</v>
      </c>
      <c r="G9368">
        <v>2010</v>
      </c>
      <c r="H9368">
        <f>AVERAGEIFS(Table1[value],Table1[IndicatorCode],Table1[[#This Row],[IndicatorCode]])</f>
        <v>72.66514008620689</v>
      </c>
      <c r="I9368" cm="1">
        <f t="array" ref="I9368">_xlfn.STDEV.P(IF(Table1[IndicatorCode]=Table1[[#This Row],[IndicatorCode]],Table1[value]))</f>
        <v>6.3409496564024987</v>
      </c>
      <c r="J9368">
        <f>(Table1[[#This Row],[value]] - Table1[[#This Row],[mean]]) / Table1[[#This Row],[std_dev]]</f>
        <v>1.6298599537622782</v>
      </c>
      <c r="K9368">
        <f>AVERAGEIF(Table1[CountryCode],Table1[[#This Row],[CountryCode]],Table1[z-score])</f>
        <v>0.62960664015735945</v>
      </c>
      <c r="L9368" t="e">
        <f>VLOOKUP(Table1[[#This Row],[CountryCode]],[1]!Table1[#All],1,FALSE)</f>
        <v>#REF!</v>
      </c>
    </row>
    <row r="9369" spans="1:12" hidden="1" x14ac:dyDescent="0.3">
      <c r="A9369" t="s">
        <v>75</v>
      </c>
      <c r="B9369" t="s">
        <v>76</v>
      </c>
      <c r="C9369" t="s">
        <v>129</v>
      </c>
      <c r="D9369" t="s">
        <v>130</v>
      </c>
      <c r="E9369">
        <v>2016</v>
      </c>
      <c r="F9369" s="1">
        <v>82</v>
      </c>
      <c r="G9369">
        <v>2010</v>
      </c>
      <c r="H9369">
        <f>AVERAGEIFS(Table1[value],Table1[IndicatorCode],Table1[[#This Row],[IndicatorCode]])</f>
        <v>72.66514008620689</v>
      </c>
      <c r="I9369" cm="1">
        <f t="array" ref="I9369">_xlfn.STDEV.P(IF(Table1[IndicatorCode]=Table1[[#This Row],[IndicatorCode]],Table1[value]))</f>
        <v>6.3409496564024987</v>
      </c>
      <c r="J9369">
        <f>(Table1[[#This Row],[value]] - Table1[[#This Row],[mean]]) / Table1[[#This Row],[std_dev]]</f>
        <v>1.4721548694788391</v>
      </c>
      <c r="K9369">
        <f>AVERAGEIF(Table1[CountryCode],Table1[[#This Row],[CountryCode]],Table1[z-score])</f>
        <v>0.62960664015735945</v>
      </c>
      <c r="L9369" t="e">
        <f>VLOOKUP(Table1[[#This Row],[CountryCode]],[1]!Table1[#All],1,FALSE)</f>
        <v>#REF!</v>
      </c>
    </row>
    <row r="9370" spans="1:12" hidden="1" x14ac:dyDescent="0.3">
      <c r="A9370" t="s">
        <v>75</v>
      </c>
      <c r="B9370" t="s">
        <v>76</v>
      </c>
      <c r="C9370" t="s">
        <v>129</v>
      </c>
      <c r="D9370" t="s">
        <v>130</v>
      </c>
      <c r="E9370">
        <v>2017</v>
      </c>
      <c r="F9370" s="1">
        <v>84</v>
      </c>
      <c r="G9370">
        <v>2020</v>
      </c>
      <c r="H9370">
        <f>AVERAGEIFS(Table1[value],Table1[IndicatorCode],Table1[[#This Row],[IndicatorCode]])</f>
        <v>72.66514008620689</v>
      </c>
      <c r="I9370" cm="1">
        <f t="array" ref="I9370">_xlfn.STDEV.P(IF(Table1[IndicatorCode]=Table1[[#This Row],[IndicatorCode]],Table1[value]))</f>
        <v>6.3409496564024987</v>
      </c>
      <c r="J9370">
        <f>(Table1[[#This Row],[value]] - Table1[[#This Row],[mean]]) / Table1[[#This Row],[std_dev]]</f>
        <v>1.7875650380457173</v>
      </c>
      <c r="K9370">
        <f>AVERAGEIF(Table1[CountryCode],Table1[[#This Row],[CountryCode]],Table1[z-score])</f>
        <v>0.62960664015735945</v>
      </c>
      <c r="L9370" t="e">
        <f>VLOOKUP(Table1[[#This Row],[CountryCode]],[1]!Table1[#All],1,FALSE)</f>
        <v>#REF!</v>
      </c>
    </row>
    <row r="9371" spans="1:12" hidden="1" x14ac:dyDescent="0.3">
      <c r="A9371" t="s">
        <v>75</v>
      </c>
      <c r="B9371" t="s">
        <v>76</v>
      </c>
      <c r="C9371" t="s">
        <v>129</v>
      </c>
      <c r="D9371" t="s">
        <v>130</v>
      </c>
      <c r="E9371">
        <v>2018</v>
      </c>
      <c r="F9371" s="1">
        <v>83</v>
      </c>
      <c r="G9371">
        <v>2020</v>
      </c>
      <c r="H9371">
        <f>AVERAGEIFS(Table1[value],Table1[IndicatorCode],Table1[[#This Row],[IndicatorCode]])</f>
        <v>72.66514008620689</v>
      </c>
      <c r="I9371" cm="1">
        <f t="array" ref="I9371">_xlfn.STDEV.P(IF(Table1[IndicatorCode]=Table1[[#This Row],[IndicatorCode]],Table1[value]))</f>
        <v>6.3409496564024987</v>
      </c>
      <c r="J9371">
        <f>(Table1[[#This Row],[value]] - Table1[[#This Row],[mean]]) / Table1[[#This Row],[std_dev]]</f>
        <v>1.6298599537622782</v>
      </c>
      <c r="K9371">
        <f>AVERAGEIF(Table1[CountryCode],Table1[[#This Row],[CountryCode]],Table1[z-score])</f>
        <v>0.62960664015735945</v>
      </c>
      <c r="L9371" t="e">
        <f>VLOOKUP(Table1[[#This Row],[CountryCode]],[1]!Table1[#All],1,FALSE)</f>
        <v>#REF!</v>
      </c>
    </row>
    <row r="9372" spans="1:12" hidden="1" x14ac:dyDescent="0.3">
      <c r="A9372" t="s">
        <v>75</v>
      </c>
      <c r="B9372" t="s">
        <v>76</v>
      </c>
      <c r="C9372" t="s">
        <v>129</v>
      </c>
      <c r="D9372" t="s">
        <v>130</v>
      </c>
      <c r="E9372">
        <v>2019</v>
      </c>
      <c r="F9372" s="1">
        <v>84</v>
      </c>
      <c r="G9372">
        <v>2020</v>
      </c>
      <c r="H9372">
        <f>AVERAGEIFS(Table1[value],Table1[IndicatorCode],Table1[[#This Row],[IndicatorCode]])</f>
        <v>72.66514008620689</v>
      </c>
      <c r="I9372" cm="1">
        <f t="array" ref="I9372">_xlfn.STDEV.P(IF(Table1[IndicatorCode]=Table1[[#This Row],[IndicatorCode]],Table1[value]))</f>
        <v>6.3409496564024987</v>
      </c>
      <c r="J9372">
        <f>(Table1[[#This Row],[value]] - Table1[[#This Row],[mean]]) / Table1[[#This Row],[std_dev]]</f>
        <v>1.7875650380457173</v>
      </c>
      <c r="K9372">
        <f>AVERAGEIF(Table1[CountryCode],Table1[[#This Row],[CountryCode]],Table1[z-score])</f>
        <v>0.62960664015735945</v>
      </c>
      <c r="L9372" t="e">
        <f>VLOOKUP(Table1[[#This Row],[CountryCode]],[1]!Table1[#All],1,FALSE)</f>
        <v>#REF!</v>
      </c>
    </row>
    <row r="9373" spans="1:12" x14ac:dyDescent="0.3">
      <c r="A9373" t="s">
        <v>75</v>
      </c>
      <c r="B9373" t="s">
        <v>76</v>
      </c>
      <c r="C9373" t="s">
        <v>129</v>
      </c>
      <c r="D9373" t="s">
        <v>130</v>
      </c>
      <c r="E9373">
        <v>2020</v>
      </c>
      <c r="F9373" s="1">
        <v>82</v>
      </c>
      <c r="G9373">
        <v>2020</v>
      </c>
      <c r="H9373">
        <f>AVERAGEIFS(Table1[value],Table1[IndicatorCode],Table1[[#This Row],[IndicatorCode]])</f>
        <v>72.66514008620689</v>
      </c>
      <c r="I9373" cm="1">
        <f t="array" ref="I9373">_xlfn.STDEV.P(IF(Table1[IndicatorCode]=Table1[[#This Row],[IndicatorCode]],Table1[value]))</f>
        <v>6.3409496564024987</v>
      </c>
      <c r="J9373">
        <f>(Table1[[#This Row],[value]] - Table1[[#This Row],[mean]]) / Table1[[#This Row],[std_dev]]</f>
        <v>1.4721548694788391</v>
      </c>
      <c r="K9373">
        <f>AVERAGEIF(Table1[CountryCode],Table1[[#This Row],[CountryCode]],Table1[z-score])</f>
        <v>0.62960664015735945</v>
      </c>
    </row>
    <row r="9374" spans="1:12" hidden="1" x14ac:dyDescent="0.3">
      <c r="A9374" t="s">
        <v>75</v>
      </c>
      <c r="B9374" t="s">
        <v>76</v>
      </c>
      <c r="C9374" t="s">
        <v>129</v>
      </c>
      <c r="D9374" t="s">
        <v>130</v>
      </c>
      <c r="E9374">
        <v>2021</v>
      </c>
      <c r="F9374" s="1">
        <v>84</v>
      </c>
      <c r="G9374">
        <v>1960</v>
      </c>
      <c r="H9374">
        <f>AVERAGEIFS(Table1[value],Table1[IndicatorCode],Table1[[#This Row],[IndicatorCode]])</f>
        <v>72.66514008620689</v>
      </c>
      <c r="I9374" cm="1">
        <f t="array" ref="I9374">_xlfn.STDEV.P(IF(Table1[IndicatorCode]=Table1[[#This Row],[IndicatorCode]],Table1[value]))</f>
        <v>6.3409496564024987</v>
      </c>
      <c r="J9374">
        <f>(Table1[[#This Row],[value]] - Table1[[#This Row],[mean]]) / Table1[[#This Row],[std_dev]]</f>
        <v>1.7875650380457173</v>
      </c>
      <c r="K9374">
        <f>AVERAGEIF(Table1[CountryCode],Table1[[#This Row],[CountryCode]],Table1[z-score])</f>
        <v>0.62960664015735945</v>
      </c>
      <c r="L9374" t="e">
        <f>VLOOKUP(Table1[[#This Row],[CountryCode]],[1]!Table1[#All],1,FALSE)</f>
        <v>#REF!</v>
      </c>
    </row>
    <row r="9375" spans="1:12" hidden="1" x14ac:dyDescent="0.3">
      <c r="A9375" t="s">
        <v>75</v>
      </c>
      <c r="B9375" t="s">
        <v>76</v>
      </c>
      <c r="C9375" t="s">
        <v>129</v>
      </c>
      <c r="D9375" t="s">
        <v>130</v>
      </c>
      <c r="E9375">
        <v>2022</v>
      </c>
      <c r="F9375" s="1">
        <v>84</v>
      </c>
      <c r="G9375">
        <v>1960</v>
      </c>
      <c r="H9375">
        <f>AVERAGEIFS(Table1[value],Table1[IndicatorCode],Table1[[#This Row],[IndicatorCode]])</f>
        <v>72.66514008620689</v>
      </c>
      <c r="I9375" cm="1">
        <f t="array" ref="I9375">_xlfn.STDEV.P(IF(Table1[IndicatorCode]=Table1[[#This Row],[IndicatorCode]],Table1[value]))</f>
        <v>6.3409496564024987</v>
      </c>
      <c r="J9375">
        <f>(Table1[[#This Row],[value]] - Table1[[#This Row],[mean]]) / Table1[[#This Row],[std_dev]]</f>
        <v>1.7875650380457173</v>
      </c>
      <c r="K9375">
        <f>AVERAGEIF(Table1[CountryCode],Table1[[#This Row],[CountryCode]],Table1[z-score])</f>
        <v>0.62960664015735945</v>
      </c>
      <c r="L9375" t="e">
        <f>VLOOKUP(Table1[[#This Row],[CountryCode]],[1]!Table1[#All],1,FALSE)</f>
        <v>#REF!</v>
      </c>
    </row>
    <row r="9376" spans="1:12" hidden="1" x14ac:dyDescent="0.3">
      <c r="A9376" t="s">
        <v>75</v>
      </c>
      <c r="B9376" t="s">
        <v>76</v>
      </c>
      <c r="C9376" t="s">
        <v>129</v>
      </c>
      <c r="D9376" t="s">
        <v>130</v>
      </c>
      <c r="E9376">
        <v>2023</v>
      </c>
      <c r="F9376" s="1">
        <v>85</v>
      </c>
      <c r="G9376">
        <v>1960</v>
      </c>
      <c r="H9376">
        <f>AVERAGEIFS(Table1[value],Table1[IndicatorCode],Table1[[#This Row],[IndicatorCode]])</f>
        <v>72.66514008620689</v>
      </c>
      <c r="I9376" cm="1">
        <f t="array" ref="I9376">_xlfn.STDEV.P(IF(Table1[IndicatorCode]=Table1[[#This Row],[IndicatorCode]],Table1[value]))</f>
        <v>6.3409496564024987</v>
      </c>
      <c r="J9376">
        <f>(Table1[[#This Row],[value]] - Table1[[#This Row],[mean]]) / Table1[[#This Row],[std_dev]]</f>
        <v>1.9452701223291562</v>
      </c>
      <c r="K9376">
        <f>AVERAGEIF(Table1[CountryCode],Table1[[#This Row],[CountryCode]],Table1[z-score])</f>
        <v>0.62960664015735945</v>
      </c>
      <c r="L9376" t="e">
        <f>VLOOKUP(Table1[[#This Row],[CountryCode]],[1]!Table1[#All],1,FALSE)</f>
        <v>#REF!</v>
      </c>
    </row>
    <row r="9377" spans="1:12" hidden="1" x14ac:dyDescent="0.3">
      <c r="A9377" t="s">
        <v>77</v>
      </c>
      <c r="B9377" t="s">
        <v>78</v>
      </c>
      <c r="C9377" t="s">
        <v>129</v>
      </c>
      <c r="D9377" t="s">
        <v>130</v>
      </c>
      <c r="E9377">
        <v>1960</v>
      </c>
      <c r="F9377" s="1">
        <v>70</v>
      </c>
      <c r="G9377">
        <v>1960</v>
      </c>
      <c r="H9377">
        <f>AVERAGEIFS(Table1[value],Table1[IndicatorCode],Table1[[#This Row],[IndicatorCode]])</f>
        <v>72.66514008620689</v>
      </c>
      <c r="I9377" cm="1">
        <f t="array" ref="I9377">_xlfn.STDEV.P(IF(Table1[IndicatorCode]=Table1[[#This Row],[IndicatorCode]],Table1[value]))</f>
        <v>6.3409496564024987</v>
      </c>
      <c r="J9377">
        <f>(Table1[[#This Row],[value]] - Table1[[#This Row],[mean]]) / Table1[[#This Row],[std_dev]]</f>
        <v>-0.4203061419224296</v>
      </c>
      <c r="K9377">
        <f>AVERAGEIF(Table1[CountryCode],Table1[[#This Row],[CountryCode]],Table1[z-score])</f>
        <v>-0.22998905081420598</v>
      </c>
      <c r="L9377" t="e">
        <f>VLOOKUP(Table1[[#This Row],[CountryCode]],[1]!Table1[#All],1,FALSE)</f>
        <v>#REF!</v>
      </c>
    </row>
    <row r="9378" spans="1:12" hidden="1" x14ac:dyDescent="0.3">
      <c r="A9378" t="s">
        <v>77</v>
      </c>
      <c r="B9378" t="s">
        <v>78</v>
      </c>
      <c r="C9378" t="s">
        <v>129</v>
      </c>
      <c r="D9378" t="s">
        <v>130</v>
      </c>
      <c r="E9378">
        <v>1961</v>
      </c>
      <c r="F9378" s="1">
        <v>70</v>
      </c>
      <c r="G9378">
        <v>1960</v>
      </c>
      <c r="H9378">
        <f>AVERAGEIFS(Table1[value],Table1[IndicatorCode],Table1[[#This Row],[IndicatorCode]])</f>
        <v>72.66514008620689</v>
      </c>
      <c r="I9378" cm="1">
        <f t="array" ref="I9378">_xlfn.STDEV.P(IF(Table1[IndicatorCode]=Table1[[#This Row],[IndicatorCode]],Table1[value]))</f>
        <v>6.3409496564024987</v>
      </c>
      <c r="J9378">
        <f>(Table1[[#This Row],[value]] - Table1[[#This Row],[mean]]) / Table1[[#This Row],[std_dev]]</f>
        <v>-0.4203061419224296</v>
      </c>
      <c r="K9378">
        <f>AVERAGEIF(Table1[CountryCode],Table1[[#This Row],[CountryCode]],Table1[z-score])</f>
        <v>-0.22998905081420598</v>
      </c>
      <c r="L9378" t="e">
        <f>VLOOKUP(Table1[[#This Row],[CountryCode]],[1]!Table1[#All],1,FALSE)</f>
        <v>#REF!</v>
      </c>
    </row>
    <row r="9379" spans="1:12" hidden="1" x14ac:dyDescent="0.3">
      <c r="A9379" t="s">
        <v>77</v>
      </c>
      <c r="B9379" t="s">
        <v>78</v>
      </c>
      <c r="C9379" t="s">
        <v>129</v>
      </c>
      <c r="D9379" t="s">
        <v>130</v>
      </c>
      <c r="E9379">
        <v>1962</v>
      </c>
      <c r="F9379" s="1">
        <v>69</v>
      </c>
      <c r="G9379">
        <v>1960</v>
      </c>
      <c r="H9379">
        <f>AVERAGEIFS(Table1[value],Table1[IndicatorCode],Table1[[#This Row],[IndicatorCode]])</f>
        <v>72.66514008620689</v>
      </c>
      <c r="I9379" cm="1">
        <f t="array" ref="I9379">_xlfn.STDEV.P(IF(Table1[IndicatorCode]=Table1[[#This Row],[IndicatorCode]],Table1[value]))</f>
        <v>6.3409496564024987</v>
      </c>
      <c r="J9379">
        <f>(Table1[[#This Row],[value]] - Table1[[#This Row],[mean]]) / Table1[[#This Row],[std_dev]]</f>
        <v>-0.57801122620586864</v>
      </c>
      <c r="K9379">
        <f>AVERAGEIF(Table1[CountryCode],Table1[[#This Row],[CountryCode]],Table1[z-score])</f>
        <v>-0.22998905081420598</v>
      </c>
      <c r="L9379" t="e">
        <f>VLOOKUP(Table1[[#This Row],[CountryCode]],[1]!Table1[#All],1,FALSE)</f>
        <v>#REF!</v>
      </c>
    </row>
    <row r="9380" spans="1:12" hidden="1" x14ac:dyDescent="0.3">
      <c r="A9380" t="s">
        <v>77</v>
      </c>
      <c r="B9380" t="s">
        <v>78</v>
      </c>
      <c r="C9380" t="s">
        <v>129</v>
      </c>
      <c r="D9380" t="s">
        <v>130</v>
      </c>
      <c r="E9380">
        <v>1963</v>
      </c>
      <c r="F9380" s="1">
        <v>70</v>
      </c>
      <c r="G9380">
        <v>1960</v>
      </c>
      <c r="H9380">
        <f>AVERAGEIFS(Table1[value],Table1[IndicatorCode],Table1[[#This Row],[IndicatorCode]])</f>
        <v>72.66514008620689</v>
      </c>
      <c r="I9380" cm="1">
        <f t="array" ref="I9380">_xlfn.STDEV.P(IF(Table1[IndicatorCode]=Table1[[#This Row],[IndicatorCode]],Table1[value]))</f>
        <v>6.3409496564024987</v>
      </c>
      <c r="J9380">
        <f>(Table1[[#This Row],[value]] - Table1[[#This Row],[mean]]) / Table1[[#This Row],[std_dev]]</f>
        <v>-0.4203061419224296</v>
      </c>
      <c r="K9380">
        <f>AVERAGEIF(Table1[CountryCode],Table1[[#This Row],[CountryCode]],Table1[z-score])</f>
        <v>-0.22998905081420598</v>
      </c>
      <c r="L9380" t="e">
        <f>VLOOKUP(Table1[[#This Row],[CountryCode]],[1]!Table1[#All],1,FALSE)</f>
        <v>#REF!</v>
      </c>
    </row>
    <row r="9381" spans="1:12" hidden="1" x14ac:dyDescent="0.3">
      <c r="A9381" t="s">
        <v>77</v>
      </c>
      <c r="B9381" t="s">
        <v>78</v>
      </c>
      <c r="C9381" t="s">
        <v>129</v>
      </c>
      <c r="D9381" t="s">
        <v>130</v>
      </c>
      <c r="E9381">
        <v>1964</v>
      </c>
      <c r="F9381" s="1">
        <v>72</v>
      </c>
      <c r="G9381">
        <v>1960</v>
      </c>
      <c r="H9381">
        <f>AVERAGEIFS(Table1[value],Table1[IndicatorCode],Table1[[#This Row],[IndicatorCode]])</f>
        <v>72.66514008620689</v>
      </c>
      <c r="I9381" cm="1">
        <f t="array" ref="I9381">_xlfn.STDEV.P(IF(Table1[IndicatorCode]=Table1[[#This Row],[IndicatorCode]],Table1[value]))</f>
        <v>6.3409496564024987</v>
      </c>
      <c r="J9381">
        <f>(Table1[[#This Row],[value]] - Table1[[#This Row],[mean]]) / Table1[[#This Row],[std_dev]]</f>
        <v>-0.10489597335555145</v>
      </c>
      <c r="K9381">
        <f>AVERAGEIF(Table1[CountryCode],Table1[[#This Row],[CountryCode]],Table1[z-score])</f>
        <v>-0.22998905081420598</v>
      </c>
      <c r="L9381" t="e">
        <f>VLOOKUP(Table1[[#This Row],[CountryCode]],[1]!Table1[#All],1,FALSE)</f>
        <v>#REF!</v>
      </c>
    </row>
    <row r="9382" spans="1:12" hidden="1" x14ac:dyDescent="0.3">
      <c r="A9382" t="s">
        <v>77</v>
      </c>
      <c r="B9382" t="s">
        <v>78</v>
      </c>
      <c r="C9382" t="s">
        <v>129</v>
      </c>
      <c r="D9382" t="s">
        <v>130</v>
      </c>
      <c r="E9382">
        <v>1965</v>
      </c>
      <c r="F9382" s="1">
        <v>71</v>
      </c>
      <c r="G9382">
        <v>1960</v>
      </c>
      <c r="H9382">
        <f>AVERAGEIFS(Table1[value],Table1[IndicatorCode],Table1[[#This Row],[IndicatorCode]])</f>
        <v>72.66514008620689</v>
      </c>
      <c r="I9382" cm="1">
        <f t="array" ref="I9382">_xlfn.STDEV.P(IF(Table1[IndicatorCode]=Table1[[#This Row],[IndicatorCode]],Table1[value]))</f>
        <v>6.3409496564024987</v>
      </c>
      <c r="J9382">
        <f>(Table1[[#This Row],[value]] - Table1[[#This Row],[mean]]) / Table1[[#This Row],[std_dev]]</f>
        <v>-0.2626010576389905</v>
      </c>
      <c r="K9382">
        <f>AVERAGEIF(Table1[CountryCode],Table1[[#This Row],[CountryCode]],Table1[z-score])</f>
        <v>-0.22998905081420598</v>
      </c>
      <c r="L9382" t="e">
        <f>VLOOKUP(Table1[[#This Row],[CountryCode]],[1]!Table1[#All],1,FALSE)</f>
        <v>#REF!</v>
      </c>
    </row>
    <row r="9383" spans="1:12" hidden="1" x14ac:dyDescent="0.3">
      <c r="A9383" t="s">
        <v>77</v>
      </c>
      <c r="B9383" t="s">
        <v>78</v>
      </c>
      <c r="C9383" t="s">
        <v>129</v>
      </c>
      <c r="D9383" t="s">
        <v>130</v>
      </c>
      <c r="E9383">
        <v>1966</v>
      </c>
      <c r="F9383" s="1">
        <v>72</v>
      </c>
      <c r="G9383">
        <v>1960</v>
      </c>
      <c r="H9383">
        <f>AVERAGEIFS(Table1[value],Table1[IndicatorCode],Table1[[#This Row],[IndicatorCode]])</f>
        <v>72.66514008620689</v>
      </c>
      <c r="I9383" cm="1">
        <f t="array" ref="I9383">_xlfn.STDEV.P(IF(Table1[IndicatorCode]=Table1[[#This Row],[IndicatorCode]],Table1[value]))</f>
        <v>6.3409496564024987</v>
      </c>
      <c r="J9383">
        <f>(Table1[[#This Row],[value]] - Table1[[#This Row],[mean]]) / Table1[[#This Row],[std_dev]]</f>
        <v>-0.10489597335555145</v>
      </c>
      <c r="K9383">
        <f>AVERAGEIF(Table1[CountryCode],Table1[[#This Row],[CountryCode]],Table1[z-score])</f>
        <v>-0.22998905081420598</v>
      </c>
      <c r="L9383" t="e">
        <f>VLOOKUP(Table1[[#This Row],[CountryCode]],[1]!Table1[#All],1,FALSE)</f>
        <v>#REF!</v>
      </c>
    </row>
    <row r="9384" spans="1:12" hidden="1" x14ac:dyDescent="0.3">
      <c r="A9384" t="s">
        <v>77</v>
      </c>
      <c r="B9384" t="s">
        <v>78</v>
      </c>
      <c r="C9384" t="s">
        <v>129</v>
      </c>
      <c r="D9384" t="s">
        <v>130</v>
      </c>
      <c r="E9384">
        <v>1967</v>
      </c>
      <c r="F9384" s="1">
        <v>72</v>
      </c>
      <c r="G9384">
        <v>1970</v>
      </c>
      <c r="H9384">
        <f>AVERAGEIFS(Table1[value],Table1[IndicatorCode],Table1[[#This Row],[IndicatorCode]])</f>
        <v>72.66514008620689</v>
      </c>
      <c r="I9384" cm="1">
        <f t="array" ref="I9384">_xlfn.STDEV.P(IF(Table1[IndicatorCode]=Table1[[#This Row],[IndicatorCode]],Table1[value]))</f>
        <v>6.3409496564024987</v>
      </c>
      <c r="J9384">
        <f>(Table1[[#This Row],[value]] - Table1[[#This Row],[mean]]) / Table1[[#This Row],[std_dev]]</f>
        <v>-0.10489597335555145</v>
      </c>
      <c r="K9384">
        <f>AVERAGEIF(Table1[CountryCode],Table1[[#This Row],[CountryCode]],Table1[z-score])</f>
        <v>-0.22998905081420598</v>
      </c>
      <c r="L9384" t="e">
        <f>VLOOKUP(Table1[[#This Row],[CountryCode]],[1]!Table1[#All],1,FALSE)</f>
        <v>#REF!</v>
      </c>
    </row>
    <row r="9385" spans="1:12" hidden="1" x14ac:dyDescent="0.3">
      <c r="A9385" t="s">
        <v>77</v>
      </c>
      <c r="B9385" t="s">
        <v>78</v>
      </c>
      <c r="C9385" t="s">
        <v>129</v>
      </c>
      <c r="D9385" t="s">
        <v>130</v>
      </c>
      <c r="E9385">
        <v>1968</v>
      </c>
      <c r="F9385" s="1">
        <v>71</v>
      </c>
      <c r="G9385">
        <v>1970</v>
      </c>
      <c r="H9385">
        <f>AVERAGEIFS(Table1[value],Table1[IndicatorCode],Table1[[#This Row],[IndicatorCode]])</f>
        <v>72.66514008620689</v>
      </c>
      <c r="I9385" cm="1">
        <f t="array" ref="I9385">_xlfn.STDEV.P(IF(Table1[IndicatorCode]=Table1[[#This Row],[IndicatorCode]],Table1[value]))</f>
        <v>6.3409496564024987</v>
      </c>
      <c r="J9385">
        <f>(Table1[[#This Row],[value]] - Table1[[#This Row],[mean]]) / Table1[[#This Row],[std_dev]]</f>
        <v>-0.2626010576389905</v>
      </c>
      <c r="K9385">
        <f>AVERAGEIF(Table1[CountryCode],Table1[[#This Row],[CountryCode]],Table1[z-score])</f>
        <v>-0.22998905081420598</v>
      </c>
      <c r="L9385" t="e">
        <f>VLOOKUP(Table1[[#This Row],[CountryCode]],[1]!Table1[#All],1,FALSE)</f>
        <v>#REF!</v>
      </c>
    </row>
    <row r="9386" spans="1:12" hidden="1" x14ac:dyDescent="0.3">
      <c r="A9386" t="s">
        <v>77</v>
      </c>
      <c r="B9386" t="s">
        <v>78</v>
      </c>
      <c r="C9386" t="s">
        <v>129</v>
      </c>
      <c r="D9386" t="s">
        <v>130</v>
      </c>
      <c r="E9386">
        <v>1969</v>
      </c>
      <c r="F9386" s="1">
        <v>71</v>
      </c>
      <c r="G9386">
        <v>1970</v>
      </c>
      <c r="H9386">
        <f>AVERAGEIFS(Table1[value],Table1[IndicatorCode],Table1[[#This Row],[IndicatorCode]])</f>
        <v>72.66514008620689</v>
      </c>
      <c r="I9386" cm="1">
        <f t="array" ref="I9386">_xlfn.STDEV.P(IF(Table1[IndicatorCode]=Table1[[#This Row],[IndicatorCode]],Table1[value]))</f>
        <v>6.3409496564024987</v>
      </c>
      <c r="J9386">
        <f>(Table1[[#This Row],[value]] - Table1[[#This Row],[mean]]) / Table1[[#This Row],[std_dev]]</f>
        <v>-0.2626010576389905</v>
      </c>
      <c r="K9386">
        <f>AVERAGEIF(Table1[CountryCode],Table1[[#This Row],[CountryCode]],Table1[z-score])</f>
        <v>-0.22998905081420598</v>
      </c>
      <c r="L9386" t="e">
        <f>VLOOKUP(Table1[[#This Row],[CountryCode]],[1]!Table1[#All],1,FALSE)</f>
        <v>#REF!</v>
      </c>
    </row>
    <row r="9387" spans="1:12" hidden="1" x14ac:dyDescent="0.3">
      <c r="A9387" t="s">
        <v>77</v>
      </c>
      <c r="B9387" t="s">
        <v>78</v>
      </c>
      <c r="C9387" t="s">
        <v>129</v>
      </c>
      <c r="D9387" t="s">
        <v>130</v>
      </c>
      <c r="E9387">
        <v>1970</v>
      </c>
      <c r="F9387" s="1">
        <v>71</v>
      </c>
      <c r="G9387">
        <v>1970</v>
      </c>
      <c r="H9387">
        <f>AVERAGEIFS(Table1[value],Table1[IndicatorCode],Table1[[#This Row],[IndicatorCode]])</f>
        <v>72.66514008620689</v>
      </c>
      <c r="I9387" cm="1">
        <f t="array" ref="I9387">_xlfn.STDEV.P(IF(Table1[IndicatorCode]=Table1[[#This Row],[IndicatorCode]],Table1[value]))</f>
        <v>6.3409496564024987</v>
      </c>
      <c r="J9387">
        <f>(Table1[[#This Row],[value]] - Table1[[#This Row],[mean]]) / Table1[[#This Row],[std_dev]]</f>
        <v>-0.2626010576389905</v>
      </c>
      <c r="K9387">
        <f>AVERAGEIF(Table1[CountryCode],Table1[[#This Row],[CountryCode]],Table1[z-score])</f>
        <v>-0.22998905081420598</v>
      </c>
      <c r="L9387" t="e">
        <f>VLOOKUP(Table1[[#This Row],[CountryCode]],[1]!Table1[#All],1,FALSE)</f>
        <v>#REF!</v>
      </c>
    </row>
    <row r="9388" spans="1:12" hidden="1" x14ac:dyDescent="0.3">
      <c r="A9388" t="s">
        <v>77</v>
      </c>
      <c r="B9388" t="s">
        <v>78</v>
      </c>
      <c r="C9388" t="s">
        <v>129</v>
      </c>
      <c r="D9388" t="s">
        <v>130</v>
      </c>
      <c r="E9388">
        <v>1971</v>
      </c>
      <c r="F9388" s="1">
        <v>72</v>
      </c>
      <c r="G9388">
        <v>1970</v>
      </c>
      <c r="H9388">
        <f>AVERAGEIFS(Table1[value],Table1[IndicatorCode],Table1[[#This Row],[IndicatorCode]])</f>
        <v>72.66514008620689</v>
      </c>
      <c r="I9388" cm="1">
        <f t="array" ref="I9388">_xlfn.STDEV.P(IF(Table1[IndicatorCode]=Table1[[#This Row],[IndicatorCode]],Table1[value]))</f>
        <v>6.3409496564024987</v>
      </c>
      <c r="J9388">
        <f>(Table1[[#This Row],[value]] - Table1[[#This Row],[mean]]) / Table1[[#This Row],[std_dev]]</f>
        <v>-0.10489597335555145</v>
      </c>
      <c r="K9388">
        <f>AVERAGEIF(Table1[CountryCode],Table1[[#This Row],[CountryCode]],Table1[z-score])</f>
        <v>-0.22998905081420598</v>
      </c>
      <c r="L9388" t="e">
        <f>VLOOKUP(Table1[[#This Row],[CountryCode]],[1]!Table1[#All],1,FALSE)</f>
        <v>#REF!</v>
      </c>
    </row>
    <row r="9389" spans="1:12" hidden="1" x14ac:dyDescent="0.3">
      <c r="A9389" t="s">
        <v>77</v>
      </c>
      <c r="B9389" t="s">
        <v>78</v>
      </c>
      <c r="C9389" t="s">
        <v>129</v>
      </c>
      <c r="D9389" t="s">
        <v>130</v>
      </c>
      <c r="E9389">
        <v>1972</v>
      </c>
      <c r="F9389" s="1">
        <v>71</v>
      </c>
      <c r="G9389">
        <v>1970</v>
      </c>
      <c r="H9389">
        <f>AVERAGEIFS(Table1[value],Table1[IndicatorCode],Table1[[#This Row],[IndicatorCode]])</f>
        <v>72.66514008620689</v>
      </c>
      <c r="I9389" cm="1">
        <f t="array" ref="I9389">_xlfn.STDEV.P(IF(Table1[IndicatorCode]=Table1[[#This Row],[IndicatorCode]],Table1[value]))</f>
        <v>6.3409496564024987</v>
      </c>
      <c r="J9389">
        <f>(Table1[[#This Row],[value]] - Table1[[#This Row],[mean]]) / Table1[[#This Row],[std_dev]]</f>
        <v>-0.2626010576389905</v>
      </c>
      <c r="K9389">
        <f>AVERAGEIF(Table1[CountryCode],Table1[[#This Row],[CountryCode]],Table1[z-score])</f>
        <v>-0.22998905081420598</v>
      </c>
      <c r="L9389" t="e">
        <f>VLOOKUP(Table1[[#This Row],[CountryCode]],[1]!Table1[#All],1,FALSE)</f>
        <v>#REF!</v>
      </c>
    </row>
    <row r="9390" spans="1:12" hidden="1" x14ac:dyDescent="0.3">
      <c r="A9390" t="s">
        <v>77</v>
      </c>
      <c r="B9390" t="s">
        <v>78</v>
      </c>
      <c r="C9390" t="s">
        <v>129</v>
      </c>
      <c r="D9390" t="s">
        <v>130</v>
      </c>
      <c r="E9390">
        <v>1973</v>
      </c>
      <c r="F9390" s="1">
        <v>71</v>
      </c>
      <c r="G9390">
        <v>1970</v>
      </c>
      <c r="H9390">
        <f>AVERAGEIFS(Table1[value],Table1[IndicatorCode],Table1[[#This Row],[IndicatorCode]])</f>
        <v>72.66514008620689</v>
      </c>
      <c r="I9390" cm="1">
        <f t="array" ref="I9390">_xlfn.STDEV.P(IF(Table1[IndicatorCode]=Table1[[#This Row],[IndicatorCode]],Table1[value]))</f>
        <v>6.3409496564024987</v>
      </c>
      <c r="J9390">
        <f>(Table1[[#This Row],[value]] - Table1[[#This Row],[mean]]) / Table1[[#This Row],[std_dev]]</f>
        <v>-0.2626010576389905</v>
      </c>
      <c r="K9390">
        <f>AVERAGEIF(Table1[CountryCode],Table1[[#This Row],[CountryCode]],Table1[z-score])</f>
        <v>-0.22998905081420598</v>
      </c>
      <c r="L9390" t="e">
        <f>VLOOKUP(Table1[[#This Row],[CountryCode]],[1]!Table1[#All],1,FALSE)</f>
        <v>#REF!</v>
      </c>
    </row>
    <row r="9391" spans="1:12" hidden="1" x14ac:dyDescent="0.3">
      <c r="A9391" t="s">
        <v>77</v>
      </c>
      <c r="B9391" t="s">
        <v>78</v>
      </c>
      <c r="C9391" t="s">
        <v>129</v>
      </c>
      <c r="D9391" t="s">
        <v>130</v>
      </c>
      <c r="E9391">
        <v>1974</v>
      </c>
      <c r="F9391" s="1">
        <v>71</v>
      </c>
      <c r="G9391">
        <v>1970</v>
      </c>
      <c r="H9391">
        <f>AVERAGEIFS(Table1[value],Table1[IndicatorCode],Table1[[#This Row],[IndicatorCode]])</f>
        <v>72.66514008620689</v>
      </c>
      <c r="I9391" cm="1">
        <f t="array" ref="I9391">_xlfn.STDEV.P(IF(Table1[IndicatorCode]=Table1[[#This Row],[IndicatorCode]],Table1[value]))</f>
        <v>6.3409496564024987</v>
      </c>
      <c r="J9391">
        <f>(Table1[[#This Row],[value]] - Table1[[#This Row],[mean]]) / Table1[[#This Row],[std_dev]]</f>
        <v>-0.2626010576389905</v>
      </c>
      <c r="K9391">
        <f>AVERAGEIF(Table1[CountryCode],Table1[[#This Row],[CountryCode]],Table1[z-score])</f>
        <v>-0.22998905081420598</v>
      </c>
      <c r="L9391" t="e">
        <f>VLOOKUP(Table1[[#This Row],[CountryCode]],[1]!Table1[#All],1,FALSE)</f>
        <v>#REF!</v>
      </c>
    </row>
    <row r="9392" spans="1:12" hidden="1" x14ac:dyDescent="0.3">
      <c r="A9392" t="s">
        <v>77</v>
      </c>
      <c r="B9392" t="s">
        <v>78</v>
      </c>
      <c r="C9392" t="s">
        <v>129</v>
      </c>
      <c r="D9392" t="s">
        <v>130</v>
      </c>
      <c r="E9392">
        <v>1975</v>
      </c>
      <c r="F9392" s="1">
        <v>71</v>
      </c>
      <c r="G9392">
        <v>1970</v>
      </c>
      <c r="H9392">
        <f>AVERAGEIFS(Table1[value],Table1[IndicatorCode],Table1[[#This Row],[IndicatorCode]])</f>
        <v>72.66514008620689</v>
      </c>
      <c r="I9392" cm="1">
        <f t="array" ref="I9392">_xlfn.STDEV.P(IF(Table1[IndicatorCode]=Table1[[#This Row],[IndicatorCode]],Table1[value]))</f>
        <v>6.3409496564024987</v>
      </c>
      <c r="J9392">
        <f>(Table1[[#This Row],[value]] - Table1[[#This Row],[mean]]) / Table1[[#This Row],[std_dev]]</f>
        <v>-0.2626010576389905</v>
      </c>
      <c r="K9392">
        <f>AVERAGEIF(Table1[CountryCode],Table1[[#This Row],[CountryCode]],Table1[z-score])</f>
        <v>-0.22998905081420598</v>
      </c>
      <c r="L9392" t="e">
        <f>VLOOKUP(Table1[[#This Row],[CountryCode]],[1]!Table1[#All],1,FALSE)</f>
        <v>#REF!</v>
      </c>
    </row>
    <row r="9393" spans="1:12" hidden="1" x14ac:dyDescent="0.3">
      <c r="A9393" t="s">
        <v>77</v>
      </c>
      <c r="B9393" t="s">
        <v>78</v>
      </c>
      <c r="C9393" t="s">
        <v>129</v>
      </c>
      <c r="D9393" t="s">
        <v>130</v>
      </c>
      <c r="E9393">
        <v>1976</v>
      </c>
      <c r="F9393" s="1">
        <v>71</v>
      </c>
      <c r="G9393">
        <v>1970</v>
      </c>
      <c r="H9393">
        <f>AVERAGEIFS(Table1[value],Table1[IndicatorCode],Table1[[#This Row],[IndicatorCode]])</f>
        <v>72.66514008620689</v>
      </c>
      <c r="I9393" cm="1">
        <f t="array" ref="I9393">_xlfn.STDEV.P(IF(Table1[IndicatorCode]=Table1[[#This Row],[IndicatorCode]],Table1[value]))</f>
        <v>6.3409496564024987</v>
      </c>
      <c r="J9393">
        <f>(Table1[[#This Row],[value]] - Table1[[#This Row],[mean]]) / Table1[[#This Row],[std_dev]]</f>
        <v>-0.2626010576389905</v>
      </c>
      <c r="K9393">
        <f>AVERAGEIF(Table1[CountryCode],Table1[[#This Row],[CountryCode]],Table1[z-score])</f>
        <v>-0.22998905081420598</v>
      </c>
      <c r="L9393" t="e">
        <f>VLOOKUP(Table1[[#This Row],[CountryCode]],[1]!Table1[#All],1,FALSE)</f>
        <v>#REF!</v>
      </c>
    </row>
    <row r="9394" spans="1:12" hidden="1" x14ac:dyDescent="0.3">
      <c r="A9394" t="s">
        <v>77</v>
      </c>
      <c r="B9394" t="s">
        <v>78</v>
      </c>
      <c r="C9394" t="s">
        <v>129</v>
      </c>
      <c r="D9394" t="s">
        <v>130</v>
      </c>
      <c r="E9394">
        <v>1977</v>
      </c>
      <c r="F9394" s="1">
        <v>71</v>
      </c>
      <c r="G9394">
        <v>1980</v>
      </c>
      <c r="H9394">
        <f>AVERAGEIFS(Table1[value],Table1[IndicatorCode],Table1[[#This Row],[IndicatorCode]])</f>
        <v>72.66514008620689</v>
      </c>
      <c r="I9394" cm="1">
        <f t="array" ref="I9394">_xlfn.STDEV.P(IF(Table1[IndicatorCode]=Table1[[#This Row],[IndicatorCode]],Table1[value]))</f>
        <v>6.3409496564024987</v>
      </c>
      <c r="J9394">
        <f>(Table1[[#This Row],[value]] - Table1[[#This Row],[mean]]) / Table1[[#This Row],[std_dev]]</f>
        <v>-0.2626010576389905</v>
      </c>
      <c r="K9394">
        <f>AVERAGEIF(Table1[CountryCode],Table1[[#This Row],[CountryCode]],Table1[z-score])</f>
        <v>-0.22998905081420598</v>
      </c>
      <c r="L9394" t="e">
        <f>VLOOKUP(Table1[[#This Row],[CountryCode]],[1]!Table1[#All],1,FALSE)</f>
        <v>#REF!</v>
      </c>
    </row>
    <row r="9395" spans="1:12" hidden="1" x14ac:dyDescent="0.3">
      <c r="A9395" t="s">
        <v>77</v>
      </c>
      <c r="B9395" t="s">
        <v>78</v>
      </c>
      <c r="C9395" t="s">
        <v>129</v>
      </c>
      <c r="D9395" t="s">
        <v>130</v>
      </c>
      <c r="E9395">
        <v>1978</v>
      </c>
      <c r="F9395" s="1">
        <v>71</v>
      </c>
      <c r="G9395">
        <v>1980</v>
      </c>
      <c r="H9395">
        <f>AVERAGEIFS(Table1[value],Table1[IndicatorCode],Table1[[#This Row],[IndicatorCode]])</f>
        <v>72.66514008620689</v>
      </c>
      <c r="I9395" cm="1">
        <f t="array" ref="I9395">_xlfn.STDEV.P(IF(Table1[IndicatorCode]=Table1[[#This Row],[IndicatorCode]],Table1[value]))</f>
        <v>6.3409496564024987</v>
      </c>
      <c r="J9395">
        <f>(Table1[[#This Row],[value]] - Table1[[#This Row],[mean]]) / Table1[[#This Row],[std_dev]]</f>
        <v>-0.2626010576389905</v>
      </c>
      <c r="K9395">
        <f>AVERAGEIF(Table1[CountryCode],Table1[[#This Row],[CountryCode]],Table1[z-score])</f>
        <v>-0.22998905081420598</v>
      </c>
      <c r="L9395" t="e">
        <f>VLOOKUP(Table1[[#This Row],[CountryCode]],[1]!Table1[#All],1,FALSE)</f>
        <v>#REF!</v>
      </c>
    </row>
    <row r="9396" spans="1:12" hidden="1" x14ac:dyDescent="0.3">
      <c r="A9396" t="s">
        <v>77</v>
      </c>
      <c r="B9396" t="s">
        <v>78</v>
      </c>
      <c r="C9396" t="s">
        <v>129</v>
      </c>
      <c r="D9396" t="s">
        <v>130</v>
      </c>
      <c r="E9396">
        <v>1979</v>
      </c>
      <c r="F9396" s="1">
        <v>70</v>
      </c>
      <c r="G9396">
        <v>1980</v>
      </c>
      <c r="H9396">
        <f>AVERAGEIFS(Table1[value],Table1[IndicatorCode],Table1[[#This Row],[IndicatorCode]])</f>
        <v>72.66514008620689</v>
      </c>
      <c r="I9396" cm="1">
        <f t="array" ref="I9396">_xlfn.STDEV.P(IF(Table1[IndicatorCode]=Table1[[#This Row],[IndicatorCode]],Table1[value]))</f>
        <v>6.3409496564024987</v>
      </c>
      <c r="J9396">
        <f>(Table1[[#This Row],[value]] - Table1[[#This Row],[mean]]) / Table1[[#This Row],[std_dev]]</f>
        <v>-0.4203061419224296</v>
      </c>
      <c r="K9396">
        <f>AVERAGEIF(Table1[CountryCode],Table1[[#This Row],[CountryCode]],Table1[z-score])</f>
        <v>-0.22998905081420598</v>
      </c>
      <c r="L9396" t="e">
        <f>VLOOKUP(Table1[[#This Row],[CountryCode]],[1]!Table1[#All],1,FALSE)</f>
        <v>#REF!</v>
      </c>
    </row>
    <row r="9397" spans="1:12" hidden="1" x14ac:dyDescent="0.3">
      <c r="A9397" t="s">
        <v>77</v>
      </c>
      <c r="B9397" t="s">
        <v>78</v>
      </c>
      <c r="C9397" t="s">
        <v>129</v>
      </c>
      <c r="D9397" t="s">
        <v>130</v>
      </c>
      <c r="E9397">
        <v>1980</v>
      </c>
      <c r="F9397" s="1">
        <v>70</v>
      </c>
      <c r="G9397">
        <v>1980</v>
      </c>
      <c r="H9397">
        <f>AVERAGEIFS(Table1[value],Table1[IndicatorCode],Table1[[#This Row],[IndicatorCode]])</f>
        <v>72.66514008620689</v>
      </c>
      <c r="I9397" cm="1">
        <f t="array" ref="I9397">_xlfn.STDEV.P(IF(Table1[IndicatorCode]=Table1[[#This Row],[IndicatorCode]],Table1[value]))</f>
        <v>6.3409496564024987</v>
      </c>
      <c r="J9397">
        <f>(Table1[[#This Row],[value]] - Table1[[#This Row],[mean]]) / Table1[[#This Row],[std_dev]]</f>
        <v>-0.4203061419224296</v>
      </c>
      <c r="K9397">
        <f>AVERAGEIF(Table1[CountryCode],Table1[[#This Row],[CountryCode]],Table1[z-score])</f>
        <v>-0.22998905081420598</v>
      </c>
      <c r="L9397" t="e">
        <f>VLOOKUP(Table1[[#This Row],[CountryCode]],[1]!Table1[#All],1,FALSE)</f>
        <v>#REF!</v>
      </c>
    </row>
    <row r="9398" spans="1:12" hidden="1" x14ac:dyDescent="0.3">
      <c r="A9398" t="s">
        <v>77</v>
      </c>
      <c r="B9398" t="s">
        <v>78</v>
      </c>
      <c r="C9398" t="s">
        <v>129</v>
      </c>
      <c r="D9398" t="s">
        <v>130</v>
      </c>
      <c r="E9398">
        <v>1981</v>
      </c>
      <c r="F9398" s="1">
        <v>70</v>
      </c>
      <c r="G9398">
        <v>1980</v>
      </c>
      <c r="H9398">
        <f>AVERAGEIFS(Table1[value],Table1[IndicatorCode],Table1[[#This Row],[IndicatorCode]])</f>
        <v>72.66514008620689</v>
      </c>
      <c r="I9398" cm="1">
        <f t="array" ref="I9398">_xlfn.STDEV.P(IF(Table1[IndicatorCode]=Table1[[#This Row],[IndicatorCode]],Table1[value]))</f>
        <v>6.3409496564024987</v>
      </c>
      <c r="J9398">
        <f>(Table1[[#This Row],[value]] - Table1[[#This Row],[mean]]) / Table1[[#This Row],[std_dev]]</f>
        <v>-0.4203061419224296</v>
      </c>
      <c r="K9398">
        <f>AVERAGEIF(Table1[CountryCode],Table1[[#This Row],[CountryCode]],Table1[z-score])</f>
        <v>-0.22998905081420598</v>
      </c>
      <c r="L9398" t="e">
        <f>VLOOKUP(Table1[[#This Row],[CountryCode]],[1]!Table1[#All],1,FALSE)</f>
        <v>#REF!</v>
      </c>
    </row>
    <row r="9399" spans="1:12" hidden="1" x14ac:dyDescent="0.3">
      <c r="A9399" t="s">
        <v>77</v>
      </c>
      <c r="B9399" t="s">
        <v>78</v>
      </c>
      <c r="C9399" t="s">
        <v>129</v>
      </c>
      <c r="D9399" t="s">
        <v>130</v>
      </c>
      <c r="E9399">
        <v>1982</v>
      </c>
      <c r="F9399" s="1">
        <v>71</v>
      </c>
      <c r="G9399">
        <v>1980</v>
      </c>
      <c r="H9399">
        <f>AVERAGEIFS(Table1[value],Table1[IndicatorCode],Table1[[#This Row],[IndicatorCode]])</f>
        <v>72.66514008620689</v>
      </c>
      <c r="I9399" cm="1">
        <f t="array" ref="I9399">_xlfn.STDEV.P(IF(Table1[IndicatorCode]=Table1[[#This Row],[IndicatorCode]],Table1[value]))</f>
        <v>6.3409496564024987</v>
      </c>
      <c r="J9399">
        <f>(Table1[[#This Row],[value]] - Table1[[#This Row],[mean]]) / Table1[[#This Row],[std_dev]]</f>
        <v>-0.2626010576389905</v>
      </c>
      <c r="K9399">
        <f>AVERAGEIF(Table1[CountryCode],Table1[[#This Row],[CountryCode]],Table1[z-score])</f>
        <v>-0.22998905081420598</v>
      </c>
      <c r="L9399" t="e">
        <f>VLOOKUP(Table1[[#This Row],[CountryCode]],[1]!Table1[#All],1,FALSE)</f>
        <v>#REF!</v>
      </c>
    </row>
    <row r="9400" spans="1:12" hidden="1" x14ac:dyDescent="0.3">
      <c r="A9400" t="s">
        <v>77</v>
      </c>
      <c r="B9400" t="s">
        <v>78</v>
      </c>
      <c r="C9400" t="s">
        <v>129</v>
      </c>
      <c r="D9400" t="s">
        <v>130</v>
      </c>
      <c r="E9400">
        <v>1983</v>
      </c>
      <c r="F9400" s="1">
        <v>71</v>
      </c>
      <c r="G9400">
        <v>1980</v>
      </c>
      <c r="H9400">
        <f>AVERAGEIFS(Table1[value],Table1[IndicatorCode],Table1[[#This Row],[IndicatorCode]])</f>
        <v>72.66514008620689</v>
      </c>
      <c r="I9400" cm="1">
        <f t="array" ref="I9400">_xlfn.STDEV.P(IF(Table1[IndicatorCode]=Table1[[#This Row],[IndicatorCode]],Table1[value]))</f>
        <v>6.3409496564024987</v>
      </c>
      <c r="J9400">
        <f>(Table1[[#This Row],[value]] - Table1[[#This Row],[mean]]) / Table1[[#This Row],[std_dev]]</f>
        <v>-0.2626010576389905</v>
      </c>
      <c r="K9400">
        <f>AVERAGEIF(Table1[CountryCode],Table1[[#This Row],[CountryCode]],Table1[z-score])</f>
        <v>-0.22998905081420598</v>
      </c>
      <c r="L9400" t="e">
        <f>VLOOKUP(Table1[[#This Row],[CountryCode]],[1]!Table1[#All],1,FALSE)</f>
        <v>#REF!</v>
      </c>
    </row>
    <row r="9401" spans="1:12" hidden="1" x14ac:dyDescent="0.3">
      <c r="A9401" t="s">
        <v>77</v>
      </c>
      <c r="B9401" t="s">
        <v>78</v>
      </c>
      <c r="C9401" t="s">
        <v>129</v>
      </c>
      <c r="D9401" t="s">
        <v>130</v>
      </c>
      <c r="E9401">
        <v>1984</v>
      </c>
      <c r="F9401" s="1">
        <v>70</v>
      </c>
      <c r="G9401">
        <v>1980</v>
      </c>
      <c r="H9401">
        <f>AVERAGEIFS(Table1[value],Table1[IndicatorCode],Table1[[#This Row],[IndicatorCode]])</f>
        <v>72.66514008620689</v>
      </c>
      <c r="I9401" cm="1">
        <f t="array" ref="I9401">_xlfn.STDEV.P(IF(Table1[IndicatorCode]=Table1[[#This Row],[IndicatorCode]],Table1[value]))</f>
        <v>6.3409496564024987</v>
      </c>
      <c r="J9401">
        <f>(Table1[[#This Row],[value]] - Table1[[#This Row],[mean]]) / Table1[[#This Row],[std_dev]]</f>
        <v>-0.4203061419224296</v>
      </c>
      <c r="K9401">
        <f>AVERAGEIF(Table1[CountryCode],Table1[[#This Row],[CountryCode]],Table1[z-score])</f>
        <v>-0.22998905081420598</v>
      </c>
      <c r="L9401" t="e">
        <f>VLOOKUP(Table1[[#This Row],[CountryCode]],[1]!Table1[#All],1,FALSE)</f>
        <v>#REF!</v>
      </c>
    </row>
    <row r="9402" spans="1:12" hidden="1" x14ac:dyDescent="0.3">
      <c r="A9402" t="s">
        <v>77</v>
      </c>
      <c r="B9402" t="s">
        <v>78</v>
      </c>
      <c r="C9402" t="s">
        <v>129</v>
      </c>
      <c r="D9402" t="s">
        <v>130</v>
      </c>
      <c r="E9402">
        <v>1985</v>
      </c>
      <c r="F9402" s="1">
        <v>71</v>
      </c>
      <c r="G9402">
        <v>1980</v>
      </c>
      <c r="H9402">
        <f>AVERAGEIFS(Table1[value],Table1[IndicatorCode],Table1[[#This Row],[IndicatorCode]])</f>
        <v>72.66514008620689</v>
      </c>
      <c r="I9402" cm="1">
        <f t="array" ref="I9402">_xlfn.STDEV.P(IF(Table1[IndicatorCode]=Table1[[#This Row],[IndicatorCode]],Table1[value]))</f>
        <v>6.3409496564024987</v>
      </c>
      <c r="J9402">
        <f>(Table1[[#This Row],[value]] - Table1[[#This Row],[mean]]) / Table1[[#This Row],[std_dev]]</f>
        <v>-0.2626010576389905</v>
      </c>
      <c r="K9402">
        <f>AVERAGEIF(Table1[CountryCode],Table1[[#This Row],[CountryCode]],Table1[z-score])</f>
        <v>-0.22998905081420598</v>
      </c>
      <c r="L9402" t="e">
        <f>VLOOKUP(Table1[[#This Row],[CountryCode]],[1]!Table1[#All],1,FALSE)</f>
        <v>#REF!</v>
      </c>
    </row>
    <row r="9403" spans="1:12" hidden="1" x14ac:dyDescent="0.3">
      <c r="A9403" t="s">
        <v>77</v>
      </c>
      <c r="B9403" t="s">
        <v>78</v>
      </c>
      <c r="C9403" t="s">
        <v>129</v>
      </c>
      <c r="D9403" t="s">
        <v>130</v>
      </c>
      <c r="E9403">
        <v>1986</v>
      </c>
      <c r="F9403" s="1">
        <v>72</v>
      </c>
      <c r="G9403">
        <v>1980</v>
      </c>
      <c r="H9403">
        <f>AVERAGEIFS(Table1[value],Table1[IndicatorCode],Table1[[#This Row],[IndicatorCode]])</f>
        <v>72.66514008620689</v>
      </c>
      <c r="I9403" cm="1">
        <f t="array" ref="I9403">_xlfn.STDEV.P(IF(Table1[IndicatorCode]=Table1[[#This Row],[IndicatorCode]],Table1[value]))</f>
        <v>6.3409496564024987</v>
      </c>
      <c r="J9403">
        <f>(Table1[[#This Row],[value]] - Table1[[#This Row],[mean]]) / Table1[[#This Row],[std_dev]]</f>
        <v>-0.10489597335555145</v>
      </c>
      <c r="K9403">
        <f>AVERAGEIF(Table1[CountryCode],Table1[[#This Row],[CountryCode]],Table1[z-score])</f>
        <v>-0.22998905081420598</v>
      </c>
      <c r="L9403" t="e">
        <f>VLOOKUP(Table1[[#This Row],[CountryCode]],[1]!Table1[#All],1,FALSE)</f>
        <v>#REF!</v>
      </c>
    </row>
    <row r="9404" spans="1:12" hidden="1" x14ac:dyDescent="0.3">
      <c r="A9404" t="s">
        <v>77</v>
      </c>
      <c r="B9404" t="s">
        <v>78</v>
      </c>
      <c r="C9404" t="s">
        <v>129</v>
      </c>
      <c r="D9404" t="s">
        <v>130</v>
      </c>
      <c r="E9404">
        <v>1987</v>
      </c>
      <c r="F9404" s="1">
        <v>72</v>
      </c>
      <c r="G9404">
        <v>1990</v>
      </c>
      <c r="H9404">
        <f>AVERAGEIFS(Table1[value],Table1[IndicatorCode],Table1[[#This Row],[IndicatorCode]])</f>
        <v>72.66514008620689</v>
      </c>
      <c r="I9404" cm="1">
        <f t="array" ref="I9404">_xlfn.STDEV.P(IF(Table1[IndicatorCode]=Table1[[#This Row],[IndicatorCode]],Table1[value]))</f>
        <v>6.3409496564024987</v>
      </c>
      <c r="J9404">
        <f>(Table1[[#This Row],[value]] - Table1[[#This Row],[mean]]) / Table1[[#This Row],[std_dev]]</f>
        <v>-0.10489597335555145</v>
      </c>
      <c r="K9404">
        <f>AVERAGEIF(Table1[CountryCode],Table1[[#This Row],[CountryCode]],Table1[z-score])</f>
        <v>-0.22998905081420598</v>
      </c>
      <c r="L9404" t="e">
        <f>VLOOKUP(Table1[[#This Row],[CountryCode]],[1]!Table1[#All],1,FALSE)</f>
        <v>#REF!</v>
      </c>
    </row>
    <row r="9405" spans="1:12" hidden="1" x14ac:dyDescent="0.3">
      <c r="A9405" t="s">
        <v>77</v>
      </c>
      <c r="B9405" t="s">
        <v>78</v>
      </c>
      <c r="C9405" t="s">
        <v>129</v>
      </c>
      <c r="D9405" t="s">
        <v>130</v>
      </c>
      <c r="E9405">
        <v>1988</v>
      </c>
      <c r="F9405" s="1">
        <v>72</v>
      </c>
      <c r="G9405">
        <v>1990</v>
      </c>
      <c r="H9405">
        <f>AVERAGEIFS(Table1[value],Table1[IndicatorCode],Table1[[#This Row],[IndicatorCode]])</f>
        <v>72.66514008620689</v>
      </c>
      <c r="I9405" cm="1">
        <f t="array" ref="I9405">_xlfn.STDEV.P(IF(Table1[IndicatorCode]=Table1[[#This Row],[IndicatorCode]],Table1[value]))</f>
        <v>6.3409496564024987</v>
      </c>
      <c r="J9405">
        <f>(Table1[[#This Row],[value]] - Table1[[#This Row],[mean]]) / Table1[[#This Row],[std_dev]]</f>
        <v>-0.10489597335555145</v>
      </c>
      <c r="K9405">
        <f>AVERAGEIF(Table1[CountryCode],Table1[[#This Row],[CountryCode]],Table1[z-score])</f>
        <v>-0.22998905081420598</v>
      </c>
      <c r="L9405" t="e">
        <f>VLOOKUP(Table1[[#This Row],[CountryCode]],[1]!Table1[#All],1,FALSE)</f>
        <v>#REF!</v>
      </c>
    </row>
    <row r="9406" spans="1:12" hidden="1" x14ac:dyDescent="0.3">
      <c r="A9406" t="s">
        <v>77</v>
      </c>
      <c r="B9406" t="s">
        <v>78</v>
      </c>
      <c r="C9406" t="s">
        <v>129</v>
      </c>
      <c r="D9406" t="s">
        <v>130</v>
      </c>
      <c r="E9406">
        <v>1989</v>
      </c>
      <c r="F9406" s="1">
        <v>71</v>
      </c>
      <c r="G9406">
        <v>1990</v>
      </c>
      <c r="H9406">
        <f>AVERAGEIFS(Table1[value],Table1[IndicatorCode],Table1[[#This Row],[IndicatorCode]])</f>
        <v>72.66514008620689</v>
      </c>
      <c r="I9406" cm="1">
        <f t="array" ref="I9406">_xlfn.STDEV.P(IF(Table1[IndicatorCode]=Table1[[#This Row],[IndicatorCode]],Table1[value]))</f>
        <v>6.3409496564024987</v>
      </c>
      <c r="J9406">
        <f>(Table1[[#This Row],[value]] - Table1[[#This Row],[mean]]) / Table1[[#This Row],[std_dev]]</f>
        <v>-0.2626010576389905</v>
      </c>
      <c r="K9406">
        <f>AVERAGEIF(Table1[CountryCode],Table1[[#This Row],[CountryCode]],Table1[z-score])</f>
        <v>-0.22998905081420598</v>
      </c>
      <c r="L9406" t="e">
        <f>VLOOKUP(Table1[[#This Row],[CountryCode]],[1]!Table1[#All],1,FALSE)</f>
        <v>#REF!</v>
      </c>
    </row>
    <row r="9407" spans="1:12" hidden="1" x14ac:dyDescent="0.3">
      <c r="A9407" t="s">
        <v>77</v>
      </c>
      <c r="B9407" t="s">
        <v>78</v>
      </c>
      <c r="C9407" t="s">
        <v>129</v>
      </c>
      <c r="D9407" t="s">
        <v>130</v>
      </c>
      <c r="E9407">
        <v>1990</v>
      </c>
      <c r="F9407" s="1">
        <v>71</v>
      </c>
      <c r="G9407">
        <v>1990</v>
      </c>
      <c r="H9407">
        <f>AVERAGEIFS(Table1[value],Table1[IndicatorCode],Table1[[#This Row],[IndicatorCode]])</f>
        <v>72.66514008620689</v>
      </c>
      <c r="I9407" cm="1">
        <f t="array" ref="I9407">_xlfn.STDEV.P(IF(Table1[IndicatorCode]=Table1[[#This Row],[IndicatorCode]],Table1[value]))</f>
        <v>6.3409496564024987</v>
      </c>
      <c r="J9407">
        <f>(Table1[[#This Row],[value]] - Table1[[#This Row],[mean]]) / Table1[[#This Row],[std_dev]]</f>
        <v>-0.2626010576389905</v>
      </c>
      <c r="K9407">
        <f>AVERAGEIF(Table1[CountryCode],Table1[[#This Row],[CountryCode]],Table1[z-score])</f>
        <v>-0.22998905081420598</v>
      </c>
      <c r="L9407" t="e">
        <f>VLOOKUP(Table1[[#This Row],[CountryCode]],[1]!Table1[#All],1,FALSE)</f>
        <v>#REF!</v>
      </c>
    </row>
    <row r="9408" spans="1:12" hidden="1" x14ac:dyDescent="0.3">
      <c r="A9408" t="s">
        <v>77</v>
      </c>
      <c r="B9408" t="s">
        <v>78</v>
      </c>
      <c r="C9408" t="s">
        <v>129</v>
      </c>
      <c r="D9408" t="s">
        <v>130</v>
      </c>
      <c r="E9408">
        <v>1991</v>
      </c>
      <c r="F9408" s="1">
        <v>70</v>
      </c>
      <c r="G9408">
        <v>1990</v>
      </c>
      <c r="H9408">
        <f>AVERAGEIFS(Table1[value],Table1[IndicatorCode],Table1[[#This Row],[IndicatorCode]])</f>
        <v>72.66514008620689</v>
      </c>
      <c r="I9408" cm="1">
        <f t="array" ref="I9408">_xlfn.STDEV.P(IF(Table1[IndicatorCode]=Table1[[#This Row],[IndicatorCode]],Table1[value]))</f>
        <v>6.3409496564024987</v>
      </c>
      <c r="J9408">
        <f>(Table1[[#This Row],[value]] - Table1[[#This Row],[mean]]) / Table1[[#This Row],[std_dev]]</f>
        <v>-0.4203061419224296</v>
      </c>
      <c r="K9408">
        <f>AVERAGEIF(Table1[CountryCode],Table1[[#This Row],[CountryCode]],Table1[z-score])</f>
        <v>-0.22998905081420598</v>
      </c>
      <c r="L9408" t="e">
        <f>VLOOKUP(Table1[[#This Row],[CountryCode]],[1]!Table1[#All],1,FALSE)</f>
        <v>#REF!</v>
      </c>
    </row>
    <row r="9409" spans="1:12" hidden="1" x14ac:dyDescent="0.3">
      <c r="A9409" t="s">
        <v>77</v>
      </c>
      <c r="B9409" t="s">
        <v>78</v>
      </c>
      <c r="C9409" t="s">
        <v>129</v>
      </c>
      <c r="D9409" t="s">
        <v>130</v>
      </c>
      <c r="E9409">
        <v>1992</v>
      </c>
      <c r="F9409" s="1">
        <v>70</v>
      </c>
      <c r="G9409">
        <v>1990</v>
      </c>
      <c r="H9409">
        <f>AVERAGEIFS(Table1[value],Table1[IndicatorCode],Table1[[#This Row],[IndicatorCode]])</f>
        <v>72.66514008620689</v>
      </c>
      <c r="I9409" cm="1">
        <f t="array" ref="I9409">_xlfn.STDEV.P(IF(Table1[IndicatorCode]=Table1[[#This Row],[IndicatorCode]],Table1[value]))</f>
        <v>6.3409496564024987</v>
      </c>
      <c r="J9409">
        <f>(Table1[[#This Row],[value]] - Table1[[#This Row],[mean]]) / Table1[[#This Row],[std_dev]]</f>
        <v>-0.4203061419224296</v>
      </c>
      <c r="K9409">
        <f>AVERAGEIF(Table1[CountryCode],Table1[[#This Row],[CountryCode]],Table1[z-score])</f>
        <v>-0.22998905081420598</v>
      </c>
      <c r="L9409" t="e">
        <f>VLOOKUP(Table1[[#This Row],[CountryCode]],[1]!Table1[#All],1,FALSE)</f>
        <v>#REF!</v>
      </c>
    </row>
    <row r="9410" spans="1:12" hidden="1" x14ac:dyDescent="0.3">
      <c r="A9410" t="s">
        <v>77</v>
      </c>
      <c r="B9410" t="s">
        <v>78</v>
      </c>
      <c r="C9410" t="s">
        <v>129</v>
      </c>
      <c r="D9410" t="s">
        <v>130</v>
      </c>
      <c r="E9410">
        <v>1993</v>
      </c>
      <c r="F9410" s="1">
        <v>69</v>
      </c>
      <c r="G9410">
        <v>1990</v>
      </c>
      <c r="H9410">
        <f>AVERAGEIFS(Table1[value],Table1[IndicatorCode],Table1[[#This Row],[IndicatorCode]])</f>
        <v>72.66514008620689</v>
      </c>
      <c r="I9410" cm="1">
        <f t="array" ref="I9410">_xlfn.STDEV.P(IF(Table1[IndicatorCode]=Table1[[#This Row],[IndicatorCode]],Table1[value]))</f>
        <v>6.3409496564024987</v>
      </c>
      <c r="J9410">
        <f>(Table1[[#This Row],[value]] - Table1[[#This Row],[mean]]) / Table1[[#This Row],[std_dev]]</f>
        <v>-0.57801122620586864</v>
      </c>
      <c r="K9410">
        <f>AVERAGEIF(Table1[CountryCode],Table1[[#This Row],[CountryCode]],Table1[z-score])</f>
        <v>-0.22998905081420598</v>
      </c>
      <c r="L9410" t="e">
        <f>VLOOKUP(Table1[[#This Row],[CountryCode]],[1]!Table1[#All],1,FALSE)</f>
        <v>#REF!</v>
      </c>
    </row>
    <row r="9411" spans="1:12" hidden="1" x14ac:dyDescent="0.3">
      <c r="A9411" t="s">
        <v>77</v>
      </c>
      <c r="B9411" t="s">
        <v>78</v>
      </c>
      <c r="C9411" t="s">
        <v>129</v>
      </c>
      <c r="D9411" t="s">
        <v>130</v>
      </c>
      <c r="E9411">
        <v>1994</v>
      </c>
      <c r="F9411" s="1">
        <v>69</v>
      </c>
      <c r="G9411">
        <v>1990</v>
      </c>
      <c r="H9411">
        <f>AVERAGEIFS(Table1[value],Table1[IndicatorCode],Table1[[#This Row],[IndicatorCode]])</f>
        <v>72.66514008620689</v>
      </c>
      <c r="I9411" cm="1">
        <f t="array" ref="I9411">_xlfn.STDEV.P(IF(Table1[IndicatorCode]=Table1[[#This Row],[IndicatorCode]],Table1[value]))</f>
        <v>6.3409496564024987</v>
      </c>
      <c r="J9411">
        <f>(Table1[[#This Row],[value]] - Table1[[#This Row],[mean]]) / Table1[[#This Row],[std_dev]]</f>
        <v>-0.57801122620586864</v>
      </c>
      <c r="K9411">
        <f>AVERAGEIF(Table1[CountryCode],Table1[[#This Row],[CountryCode]],Table1[z-score])</f>
        <v>-0.22998905081420598</v>
      </c>
      <c r="L9411" t="e">
        <f>VLOOKUP(Table1[[#This Row],[CountryCode]],[1]!Table1[#All],1,FALSE)</f>
        <v>#REF!</v>
      </c>
    </row>
    <row r="9412" spans="1:12" hidden="1" x14ac:dyDescent="0.3">
      <c r="A9412" t="s">
        <v>77</v>
      </c>
      <c r="B9412" t="s">
        <v>78</v>
      </c>
      <c r="C9412" t="s">
        <v>129</v>
      </c>
      <c r="D9412" t="s">
        <v>130</v>
      </c>
      <c r="E9412">
        <v>1995</v>
      </c>
      <c r="F9412" s="1">
        <v>69</v>
      </c>
      <c r="G9412">
        <v>1990</v>
      </c>
      <c r="H9412">
        <f>AVERAGEIFS(Table1[value],Table1[IndicatorCode],Table1[[#This Row],[IndicatorCode]])</f>
        <v>72.66514008620689</v>
      </c>
      <c r="I9412" cm="1">
        <f t="array" ref="I9412">_xlfn.STDEV.P(IF(Table1[IndicatorCode]=Table1[[#This Row],[IndicatorCode]],Table1[value]))</f>
        <v>6.3409496564024987</v>
      </c>
      <c r="J9412">
        <f>(Table1[[#This Row],[value]] - Table1[[#This Row],[mean]]) / Table1[[#This Row],[std_dev]]</f>
        <v>-0.57801122620586864</v>
      </c>
      <c r="K9412">
        <f>AVERAGEIF(Table1[CountryCode],Table1[[#This Row],[CountryCode]],Table1[z-score])</f>
        <v>-0.22998905081420598</v>
      </c>
      <c r="L9412" t="e">
        <f>VLOOKUP(Table1[[#This Row],[CountryCode]],[1]!Table1[#All],1,FALSE)</f>
        <v>#REF!</v>
      </c>
    </row>
    <row r="9413" spans="1:12" hidden="1" x14ac:dyDescent="0.3">
      <c r="A9413" t="s">
        <v>77</v>
      </c>
      <c r="B9413" t="s">
        <v>78</v>
      </c>
      <c r="C9413" t="s">
        <v>129</v>
      </c>
      <c r="D9413" t="s">
        <v>130</v>
      </c>
      <c r="E9413">
        <v>1996</v>
      </c>
      <c r="F9413" s="1">
        <v>70</v>
      </c>
      <c r="G9413">
        <v>1990</v>
      </c>
      <c r="H9413">
        <f>AVERAGEIFS(Table1[value],Table1[IndicatorCode],Table1[[#This Row],[IndicatorCode]])</f>
        <v>72.66514008620689</v>
      </c>
      <c r="I9413" cm="1">
        <f t="array" ref="I9413">_xlfn.STDEV.P(IF(Table1[IndicatorCode]=Table1[[#This Row],[IndicatorCode]],Table1[value]))</f>
        <v>6.3409496564024987</v>
      </c>
      <c r="J9413">
        <f>(Table1[[#This Row],[value]] - Table1[[#This Row],[mean]]) / Table1[[#This Row],[std_dev]]</f>
        <v>-0.4203061419224296</v>
      </c>
      <c r="K9413">
        <f>AVERAGEIF(Table1[CountryCode],Table1[[#This Row],[CountryCode]],Table1[z-score])</f>
        <v>-0.22998905081420598</v>
      </c>
      <c r="L9413" t="e">
        <f>VLOOKUP(Table1[[#This Row],[CountryCode]],[1]!Table1[#All],1,FALSE)</f>
        <v>#REF!</v>
      </c>
    </row>
    <row r="9414" spans="1:12" hidden="1" x14ac:dyDescent="0.3">
      <c r="A9414" t="s">
        <v>77</v>
      </c>
      <c r="B9414" t="s">
        <v>78</v>
      </c>
      <c r="C9414" t="s">
        <v>129</v>
      </c>
      <c r="D9414" t="s">
        <v>130</v>
      </c>
      <c r="E9414">
        <v>1997</v>
      </c>
      <c r="F9414" s="1">
        <v>71</v>
      </c>
      <c r="G9414">
        <v>2000</v>
      </c>
      <c r="H9414">
        <f>AVERAGEIFS(Table1[value],Table1[IndicatorCode],Table1[[#This Row],[IndicatorCode]])</f>
        <v>72.66514008620689</v>
      </c>
      <c r="I9414" cm="1">
        <f t="array" ref="I9414">_xlfn.STDEV.P(IF(Table1[IndicatorCode]=Table1[[#This Row],[IndicatorCode]],Table1[value]))</f>
        <v>6.3409496564024987</v>
      </c>
      <c r="J9414">
        <f>(Table1[[#This Row],[value]] - Table1[[#This Row],[mean]]) / Table1[[#This Row],[std_dev]]</f>
        <v>-0.2626010576389905</v>
      </c>
      <c r="K9414">
        <f>AVERAGEIF(Table1[CountryCode],Table1[[#This Row],[CountryCode]],Table1[z-score])</f>
        <v>-0.22998905081420598</v>
      </c>
      <c r="L9414" t="e">
        <f>VLOOKUP(Table1[[#This Row],[CountryCode]],[1]!Table1[#All],1,FALSE)</f>
        <v>#REF!</v>
      </c>
    </row>
    <row r="9415" spans="1:12" hidden="1" x14ac:dyDescent="0.3">
      <c r="A9415" t="s">
        <v>77</v>
      </c>
      <c r="B9415" t="s">
        <v>78</v>
      </c>
      <c r="C9415" t="s">
        <v>129</v>
      </c>
      <c r="D9415" t="s">
        <v>130</v>
      </c>
      <c r="E9415">
        <v>1998</v>
      </c>
      <c r="F9415" s="1">
        <v>71</v>
      </c>
      <c r="G9415">
        <v>2000</v>
      </c>
      <c r="H9415">
        <f>AVERAGEIFS(Table1[value],Table1[IndicatorCode],Table1[[#This Row],[IndicatorCode]])</f>
        <v>72.66514008620689</v>
      </c>
      <c r="I9415" cm="1">
        <f t="array" ref="I9415">_xlfn.STDEV.P(IF(Table1[IndicatorCode]=Table1[[#This Row],[IndicatorCode]],Table1[value]))</f>
        <v>6.3409496564024987</v>
      </c>
      <c r="J9415">
        <f>(Table1[[#This Row],[value]] - Table1[[#This Row],[mean]]) / Table1[[#This Row],[std_dev]]</f>
        <v>-0.2626010576389905</v>
      </c>
      <c r="K9415">
        <f>AVERAGEIF(Table1[CountryCode],Table1[[#This Row],[CountryCode]],Table1[z-score])</f>
        <v>-0.22998905081420598</v>
      </c>
      <c r="L9415" t="e">
        <f>VLOOKUP(Table1[[#This Row],[CountryCode]],[1]!Table1[#All],1,FALSE)</f>
        <v>#REF!</v>
      </c>
    </row>
    <row r="9416" spans="1:12" hidden="1" x14ac:dyDescent="0.3">
      <c r="A9416" t="s">
        <v>77</v>
      </c>
      <c r="B9416" t="s">
        <v>78</v>
      </c>
      <c r="C9416" t="s">
        <v>129</v>
      </c>
      <c r="D9416" t="s">
        <v>130</v>
      </c>
      <c r="E9416">
        <v>1999</v>
      </c>
      <c r="F9416" s="1">
        <v>72</v>
      </c>
      <c r="G9416">
        <v>2000</v>
      </c>
      <c r="H9416">
        <f>AVERAGEIFS(Table1[value],Table1[IndicatorCode],Table1[[#This Row],[IndicatorCode]])</f>
        <v>72.66514008620689</v>
      </c>
      <c r="I9416" cm="1">
        <f t="array" ref="I9416">_xlfn.STDEV.P(IF(Table1[IndicatorCode]=Table1[[#This Row],[IndicatorCode]],Table1[value]))</f>
        <v>6.3409496564024987</v>
      </c>
      <c r="J9416">
        <f>(Table1[[#This Row],[value]] - Table1[[#This Row],[mean]]) / Table1[[#This Row],[std_dev]]</f>
        <v>-0.10489597335555145</v>
      </c>
      <c r="K9416">
        <f>AVERAGEIF(Table1[CountryCode],Table1[[#This Row],[CountryCode]],Table1[z-score])</f>
        <v>-0.22998905081420598</v>
      </c>
      <c r="L9416" t="e">
        <f>VLOOKUP(Table1[[#This Row],[CountryCode]],[1]!Table1[#All],1,FALSE)</f>
        <v>#REF!</v>
      </c>
    </row>
    <row r="9417" spans="1:12" hidden="1" x14ac:dyDescent="0.3">
      <c r="A9417" t="s">
        <v>77</v>
      </c>
      <c r="B9417" t="s">
        <v>78</v>
      </c>
      <c r="C9417" t="s">
        <v>129</v>
      </c>
      <c r="D9417" t="s">
        <v>130</v>
      </c>
      <c r="E9417">
        <v>2000</v>
      </c>
      <c r="F9417" s="1">
        <v>72</v>
      </c>
      <c r="G9417">
        <v>2000</v>
      </c>
      <c r="H9417">
        <f>AVERAGEIFS(Table1[value],Table1[IndicatorCode],Table1[[#This Row],[IndicatorCode]])</f>
        <v>72.66514008620689</v>
      </c>
      <c r="I9417" cm="1">
        <f t="array" ref="I9417">_xlfn.STDEV.P(IF(Table1[IndicatorCode]=Table1[[#This Row],[IndicatorCode]],Table1[value]))</f>
        <v>6.3409496564024987</v>
      </c>
      <c r="J9417">
        <f>(Table1[[#This Row],[value]] - Table1[[#This Row],[mean]]) / Table1[[#This Row],[std_dev]]</f>
        <v>-0.10489597335555145</v>
      </c>
      <c r="K9417">
        <f>AVERAGEIF(Table1[CountryCode],Table1[[#This Row],[CountryCode]],Table1[z-score])</f>
        <v>-0.22998905081420598</v>
      </c>
      <c r="L9417" t="e">
        <f>VLOOKUP(Table1[[#This Row],[CountryCode]],[1]!Table1[#All],1,FALSE)</f>
        <v>#REF!</v>
      </c>
    </row>
    <row r="9418" spans="1:12" hidden="1" x14ac:dyDescent="0.3">
      <c r="A9418" t="s">
        <v>77</v>
      </c>
      <c r="B9418" t="s">
        <v>78</v>
      </c>
      <c r="C9418" t="s">
        <v>129</v>
      </c>
      <c r="D9418" t="s">
        <v>130</v>
      </c>
      <c r="E9418">
        <v>2001</v>
      </c>
      <c r="F9418" s="1">
        <v>72</v>
      </c>
      <c r="G9418">
        <v>2000</v>
      </c>
      <c r="H9418">
        <f>AVERAGEIFS(Table1[value],Table1[IndicatorCode],Table1[[#This Row],[IndicatorCode]])</f>
        <v>72.66514008620689</v>
      </c>
      <c r="I9418" cm="1">
        <f t="array" ref="I9418">_xlfn.STDEV.P(IF(Table1[IndicatorCode]=Table1[[#This Row],[IndicatorCode]],Table1[value]))</f>
        <v>6.3409496564024987</v>
      </c>
      <c r="J9418">
        <f>(Table1[[#This Row],[value]] - Table1[[#This Row],[mean]]) / Table1[[#This Row],[std_dev]]</f>
        <v>-0.10489597335555145</v>
      </c>
      <c r="K9418">
        <f>AVERAGEIF(Table1[CountryCode],Table1[[#This Row],[CountryCode]],Table1[z-score])</f>
        <v>-0.22998905081420598</v>
      </c>
      <c r="L9418" t="e">
        <f>VLOOKUP(Table1[[#This Row],[CountryCode]],[1]!Table1[#All],1,FALSE)</f>
        <v>#REF!</v>
      </c>
    </row>
    <row r="9419" spans="1:12" hidden="1" x14ac:dyDescent="0.3">
      <c r="A9419" t="s">
        <v>77</v>
      </c>
      <c r="B9419" t="s">
        <v>78</v>
      </c>
      <c r="C9419" t="s">
        <v>129</v>
      </c>
      <c r="D9419" t="s">
        <v>130</v>
      </c>
      <c r="E9419">
        <v>2002</v>
      </c>
      <c r="F9419" s="1">
        <v>72</v>
      </c>
      <c r="G9419">
        <v>2000</v>
      </c>
      <c r="H9419">
        <f>AVERAGEIFS(Table1[value],Table1[IndicatorCode],Table1[[#This Row],[IndicatorCode]])</f>
        <v>72.66514008620689</v>
      </c>
      <c r="I9419" cm="1">
        <f t="array" ref="I9419">_xlfn.STDEV.P(IF(Table1[IndicatorCode]=Table1[[#This Row],[IndicatorCode]],Table1[value]))</f>
        <v>6.3409496564024987</v>
      </c>
      <c r="J9419">
        <f>(Table1[[#This Row],[value]] - Table1[[#This Row],[mean]]) / Table1[[#This Row],[std_dev]]</f>
        <v>-0.10489597335555145</v>
      </c>
      <c r="K9419">
        <f>AVERAGEIF(Table1[CountryCode],Table1[[#This Row],[CountryCode]],Table1[z-score])</f>
        <v>-0.22998905081420598</v>
      </c>
      <c r="L9419" t="e">
        <f>VLOOKUP(Table1[[#This Row],[CountryCode]],[1]!Table1[#All],1,FALSE)</f>
        <v>#REF!</v>
      </c>
    </row>
    <row r="9420" spans="1:12" hidden="1" x14ac:dyDescent="0.3">
      <c r="A9420" t="s">
        <v>77</v>
      </c>
      <c r="B9420" t="s">
        <v>78</v>
      </c>
      <c r="C9420" t="s">
        <v>129</v>
      </c>
      <c r="D9420" t="s">
        <v>130</v>
      </c>
      <c r="E9420">
        <v>2003</v>
      </c>
      <c r="F9420" s="1">
        <v>72</v>
      </c>
      <c r="G9420">
        <v>2000</v>
      </c>
      <c r="H9420">
        <f>AVERAGEIFS(Table1[value],Table1[IndicatorCode],Table1[[#This Row],[IndicatorCode]])</f>
        <v>72.66514008620689</v>
      </c>
      <c r="I9420" cm="1">
        <f t="array" ref="I9420">_xlfn.STDEV.P(IF(Table1[IndicatorCode]=Table1[[#This Row],[IndicatorCode]],Table1[value]))</f>
        <v>6.3409496564024987</v>
      </c>
      <c r="J9420">
        <f>(Table1[[#This Row],[value]] - Table1[[#This Row],[mean]]) / Table1[[#This Row],[std_dev]]</f>
        <v>-0.10489597335555145</v>
      </c>
      <c r="K9420">
        <f>AVERAGEIF(Table1[CountryCode],Table1[[#This Row],[CountryCode]],Table1[z-score])</f>
        <v>-0.22998905081420598</v>
      </c>
      <c r="L9420" t="e">
        <f>VLOOKUP(Table1[[#This Row],[CountryCode]],[1]!Table1[#All],1,FALSE)</f>
        <v>#REF!</v>
      </c>
    </row>
    <row r="9421" spans="1:12" hidden="1" x14ac:dyDescent="0.3">
      <c r="A9421" t="s">
        <v>77</v>
      </c>
      <c r="B9421" t="s">
        <v>78</v>
      </c>
      <c r="C9421" t="s">
        <v>129</v>
      </c>
      <c r="D9421" t="s">
        <v>130</v>
      </c>
      <c r="E9421">
        <v>2004</v>
      </c>
      <c r="F9421" s="1">
        <v>72</v>
      </c>
      <c r="G9421">
        <v>2000</v>
      </c>
      <c r="H9421">
        <f>AVERAGEIFS(Table1[value],Table1[IndicatorCode],Table1[[#This Row],[IndicatorCode]])</f>
        <v>72.66514008620689</v>
      </c>
      <c r="I9421" cm="1">
        <f t="array" ref="I9421">_xlfn.STDEV.P(IF(Table1[IndicatorCode]=Table1[[#This Row],[IndicatorCode]],Table1[value]))</f>
        <v>6.3409496564024987</v>
      </c>
      <c r="J9421">
        <f>(Table1[[#This Row],[value]] - Table1[[#This Row],[mean]]) / Table1[[#This Row],[std_dev]]</f>
        <v>-0.10489597335555145</v>
      </c>
      <c r="K9421">
        <f>AVERAGEIF(Table1[CountryCode],Table1[[#This Row],[CountryCode]],Table1[z-score])</f>
        <v>-0.22998905081420598</v>
      </c>
      <c r="L9421" t="e">
        <f>VLOOKUP(Table1[[#This Row],[CountryCode]],[1]!Table1[#All],1,FALSE)</f>
        <v>#REF!</v>
      </c>
    </row>
    <row r="9422" spans="1:12" hidden="1" x14ac:dyDescent="0.3">
      <c r="A9422" t="s">
        <v>77</v>
      </c>
      <c r="B9422" t="s">
        <v>78</v>
      </c>
      <c r="C9422" t="s">
        <v>129</v>
      </c>
      <c r="D9422" t="s">
        <v>130</v>
      </c>
      <c r="E9422">
        <v>2005</v>
      </c>
      <c r="F9422" s="1">
        <v>71</v>
      </c>
      <c r="G9422">
        <v>2000</v>
      </c>
      <c r="H9422">
        <f>AVERAGEIFS(Table1[value],Table1[IndicatorCode],Table1[[#This Row],[IndicatorCode]])</f>
        <v>72.66514008620689</v>
      </c>
      <c r="I9422" cm="1">
        <f t="array" ref="I9422">_xlfn.STDEV.P(IF(Table1[IndicatorCode]=Table1[[#This Row],[IndicatorCode]],Table1[value]))</f>
        <v>6.3409496564024987</v>
      </c>
      <c r="J9422">
        <f>(Table1[[#This Row],[value]] - Table1[[#This Row],[mean]]) / Table1[[#This Row],[std_dev]]</f>
        <v>-0.2626010576389905</v>
      </c>
      <c r="K9422">
        <f>AVERAGEIF(Table1[CountryCode],Table1[[#This Row],[CountryCode]],Table1[z-score])</f>
        <v>-0.22998905081420598</v>
      </c>
      <c r="L9422" t="e">
        <f>VLOOKUP(Table1[[#This Row],[CountryCode]],[1]!Table1[#All],1,FALSE)</f>
        <v>#REF!</v>
      </c>
    </row>
    <row r="9423" spans="1:12" hidden="1" x14ac:dyDescent="0.3">
      <c r="A9423" t="s">
        <v>77</v>
      </c>
      <c r="B9423" t="s">
        <v>78</v>
      </c>
      <c r="C9423" t="s">
        <v>129</v>
      </c>
      <c r="D9423" t="s">
        <v>130</v>
      </c>
      <c r="E9423">
        <v>2006</v>
      </c>
      <c r="F9423" s="1">
        <v>71</v>
      </c>
      <c r="G9423">
        <v>2000</v>
      </c>
      <c r="H9423">
        <f>AVERAGEIFS(Table1[value],Table1[IndicatorCode],Table1[[#This Row],[IndicatorCode]])</f>
        <v>72.66514008620689</v>
      </c>
      <c r="I9423" cm="1">
        <f t="array" ref="I9423">_xlfn.STDEV.P(IF(Table1[IndicatorCode]=Table1[[#This Row],[IndicatorCode]],Table1[value]))</f>
        <v>6.3409496564024987</v>
      </c>
      <c r="J9423">
        <f>(Table1[[#This Row],[value]] - Table1[[#This Row],[mean]]) / Table1[[#This Row],[std_dev]]</f>
        <v>-0.2626010576389905</v>
      </c>
      <c r="K9423">
        <f>AVERAGEIF(Table1[CountryCode],Table1[[#This Row],[CountryCode]],Table1[z-score])</f>
        <v>-0.22998905081420598</v>
      </c>
      <c r="L9423" t="e">
        <f>VLOOKUP(Table1[[#This Row],[CountryCode]],[1]!Table1[#All],1,FALSE)</f>
        <v>#REF!</v>
      </c>
    </row>
    <row r="9424" spans="1:12" hidden="1" x14ac:dyDescent="0.3">
      <c r="A9424" t="s">
        <v>77</v>
      </c>
      <c r="B9424" t="s">
        <v>78</v>
      </c>
      <c r="C9424" t="s">
        <v>129</v>
      </c>
      <c r="D9424" t="s">
        <v>130</v>
      </c>
      <c r="E9424">
        <v>2007</v>
      </c>
      <c r="F9424" s="1">
        <v>71</v>
      </c>
      <c r="G9424">
        <v>2010</v>
      </c>
      <c r="H9424">
        <f>AVERAGEIFS(Table1[value],Table1[IndicatorCode],Table1[[#This Row],[IndicatorCode]])</f>
        <v>72.66514008620689</v>
      </c>
      <c r="I9424" cm="1">
        <f t="array" ref="I9424">_xlfn.STDEV.P(IF(Table1[IndicatorCode]=Table1[[#This Row],[IndicatorCode]],Table1[value]))</f>
        <v>6.3409496564024987</v>
      </c>
      <c r="J9424">
        <f>(Table1[[#This Row],[value]] - Table1[[#This Row],[mean]]) / Table1[[#This Row],[std_dev]]</f>
        <v>-0.2626010576389905</v>
      </c>
      <c r="K9424">
        <f>AVERAGEIF(Table1[CountryCode],Table1[[#This Row],[CountryCode]],Table1[z-score])</f>
        <v>-0.22998905081420598</v>
      </c>
      <c r="L9424" t="e">
        <f>VLOOKUP(Table1[[#This Row],[CountryCode]],[1]!Table1[#All],1,FALSE)</f>
        <v>#REF!</v>
      </c>
    </row>
    <row r="9425" spans="1:12" hidden="1" x14ac:dyDescent="0.3">
      <c r="A9425" t="s">
        <v>77</v>
      </c>
      <c r="B9425" t="s">
        <v>78</v>
      </c>
      <c r="C9425" t="s">
        <v>129</v>
      </c>
      <c r="D9425" t="s">
        <v>130</v>
      </c>
      <c r="E9425">
        <v>2008</v>
      </c>
      <c r="F9425" s="1">
        <v>72</v>
      </c>
      <c r="G9425">
        <v>2010</v>
      </c>
      <c r="H9425">
        <f>AVERAGEIFS(Table1[value],Table1[IndicatorCode],Table1[[#This Row],[IndicatorCode]])</f>
        <v>72.66514008620689</v>
      </c>
      <c r="I9425" cm="1">
        <f t="array" ref="I9425">_xlfn.STDEV.P(IF(Table1[IndicatorCode]=Table1[[#This Row],[IndicatorCode]],Table1[value]))</f>
        <v>6.3409496564024987</v>
      </c>
      <c r="J9425">
        <f>(Table1[[#This Row],[value]] - Table1[[#This Row],[mean]]) / Table1[[#This Row],[std_dev]]</f>
        <v>-0.10489597335555145</v>
      </c>
      <c r="K9425">
        <f>AVERAGEIF(Table1[CountryCode],Table1[[#This Row],[CountryCode]],Table1[z-score])</f>
        <v>-0.22998905081420598</v>
      </c>
      <c r="L9425" t="e">
        <f>VLOOKUP(Table1[[#This Row],[CountryCode]],[1]!Table1[#All],1,FALSE)</f>
        <v>#REF!</v>
      </c>
    </row>
    <row r="9426" spans="1:12" hidden="1" x14ac:dyDescent="0.3">
      <c r="A9426" t="s">
        <v>77</v>
      </c>
      <c r="B9426" t="s">
        <v>78</v>
      </c>
      <c r="C9426" t="s">
        <v>129</v>
      </c>
      <c r="D9426" t="s">
        <v>130</v>
      </c>
      <c r="E9426">
        <v>2009</v>
      </c>
      <c r="F9426" s="1">
        <v>73</v>
      </c>
      <c r="G9426">
        <v>2010</v>
      </c>
      <c r="H9426">
        <f>AVERAGEIFS(Table1[value],Table1[IndicatorCode],Table1[[#This Row],[IndicatorCode]])</f>
        <v>72.66514008620689</v>
      </c>
      <c r="I9426" cm="1">
        <f t="array" ref="I9426">_xlfn.STDEV.P(IF(Table1[IndicatorCode]=Table1[[#This Row],[IndicatorCode]],Table1[value]))</f>
        <v>6.3409496564024987</v>
      </c>
      <c r="J9426">
        <f>(Table1[[#This Row],[value]] - Table1[[#This Row],[mean]]) / Table1[[#This Row],[std_dev]]</f>
        <v>5.2809110927887599E-2</v>
      </c>
      <c r="K9426">
        <f>AVERAGEIF(Table1[CountryCode],Table1[[#This Row],[CountryCode]],Table1[z-score])</f>
        <v>-0.22998905081420598</v>
      </c>
      <c r="L9426" t="e">
        <f>VLOOKUP(Table1[[#This Row],[CountryCode]],[1]!Table1[#All],1,FALSE)</f>
        <v>#REF!</v>
      </c>
    </row>
    <row r="9427" spans="1:12" hidden="1" x14ac:dyDescent="0.3">
      <c r="A9427" t="s">
        <v>77</v>
      </c>
      <c r="B9427" t="s">
        <v>78</v>
      </c>
      <c r="C9427" t="s">
        <v>129</v>
      </c>
      <c r="D9427" t="s">
        <v>130</v>
      </c>
      <c r="E9427">
        <v>2010</v>
      </c>
      <c r="F9427" s="1">
        <v>73</v>
      </c>
      <c r="G9427">
        <v>2010</v>
      </c>
      <c r="H9427">
        <f>AVERAGEIFS(Table1[value],Table1[IndicatorCode],Table1[[#This Row],[IndicatorCode]])</f>
        <v>72.66514008620689</v>
      </c>
      <c r="I9427" cm="1">
        <f t="array" ref="I9427">_xlfn.STDEV.P(IF(Table1[IndicatorCode]=Table1[[#This Row],[IndicatorCode]],Table1[value]))</f>
        <v>6.3409496564024987</v>
      </c>
      <c r="J9427">
        <f>(Table1[[#This Row],[value]] - Table1[[#This Row],[mean]]) / Table1[[#This Row],[std_dev]]</f>
        <v>5.2809110927887599E-2</v>
      </c>
      <c r="K9427">
        <f>AVERAGEIF(Table1[CountryCode],Table1[[#This Row],[CountryCode]],Table1[z-score])</f>
        <v>-0.22998905081420598</v>
      </c>
      <c r="L9427" t="e">
        <f>VLOOKUP(Table1[[#This Row],[CountryCode]],[1]!Table1[#All],1,FALSE)</f>
        <v>#REF!</v>
      </c>
    </row>
    <row r="9428" spans="1:12" hidden="1" x14ac:dyDescent="0.3">
      <c r="A9428" t="s">
        <v>77</v>
      </c>
      <c r="B9428" t="s">
        <v>78</v>
      </c>
      <c r="C9428" t="s">
        <v>129</v>
      </c>
      <c r="D9428" t="s">
        <v>130</v>
      </c>
      <c r="E9428">
        <v>2011</v>
      </c>
      <c r="F9428" s="1">
        <v>74</v>
      </c>
      <c r="G9428">
        <v>2010</v>
      </c>
      <c r="H9428">
        <f>AVERAGEIFS(Table1[value],Table1[IndicatorCode],Table1[[#This Row],[IndicatorCode]])</f>
        <v>72.66514008620689</v>
      </c>
      <c r="I9428" cm="1">
        <f t="array" ref="I9428">_xlfn.STDEV.P(IF(Table1[IndicatorCode]=Table1[[#This Row],[IndicatorCode]],Table1[value]))</f>
        <v>6.3409496564024987</v>
      </c>
      <c r="J9428">
        <f>(Table1[[#This Row],[value]] - Table1[[#This Row],[mean]]) / Table1[[#This Row],[std_dev]]</f>
        <v>0.21051419521132667</v>
      </c>
      <c r="K9428">
        <f>AVERAGEIF(Table1[CountryCode],Table1[[#This Row],[CountryCode]],Table1[z-score])</f>
        <v>-0.22998905081420598</v>
      </c>
      <c r="L9428" t="e">
        <f>VLOOKUP(Table1[[#This Row],[CountryCode]],[1]!Table1[#All],1,FALSE)</f>
        <v>#REF!</v>
      </c>
    </row>
    <row r="9429" spans="1:12" hidden="1" x14ac:dyDescent="0.3">
      <c r="A9429" t="s">
        <v>77</v>
      </c>
      <c r="B9429" t="s">
        <v>78</v>
      </c>
      <c r="C9429" t="s">
        <v>129</v>
      </c>
      <c r="D9429" t="s">
        <v>130</v>
      </c>
      <c r="E9429">
        <v>2012</v>
      </c>
      <c r="F9429" s="1">
        <v>74</v>
      </c>
      <c r="G9429">
        <v>2010</v>
      </c>
      <c r="H9429">
        <f>AVERAGEIFS(Table1[value],Table1[IndicatorCode],Table1[[#This Row],[IndicatorCode]])</f>
        <v>72.66514008620689</v>
      </c>
      <c r="I9429" cm="1">
        <f t="array" ref="I9429">_xlfn.STDEV.P(IF(Table1[IndicatorCode]=Table1[[#This Row],[IndicatorCode]],Table1[value]))</f>
        <v>6.3409496564024987</v>
      </c>
      <c r="J9429">
        <f>(Table1[[#This Row],[value]] - Table1[[#This Row],[mean]]) / Table1[[#This Row],[std_dev]]</f>
        <v>0.21051419521132667</v>
      </c>
      <c r="K9429">
        <f>AVERAGEIF(Table1[CountryCode],Table1[[#This Row],[CountryCode]],Table1[z-score])</f>
        <v>-0.22998905081420598</v>
      </c>
      <c r="L9429" t="e">
        <f>VLOOKUP(Table1[[#This Row],[CountryCode]],[1]!Table1[#All],1,FALSE)</f>
        <v>#REF!</v>
      </c>
    </row>
    <row r="9430" spans="1:12" hidden="1" x14ac:dyDescent="0.3">
      <c r="A9430" t="s">
        <v>77</v>
      </c>
      <c r="B9430" t="s">
        <v>78</v>
      </c>
      <c r="C9430" t="s">
        <v>129</v>
      </c>
      <c r="D9430" t="s">
        <v>130</v>
      </c>
      <c r="E9430">
        <v>2013</v>
      </c>
      <c r="F9430" s="1">
        <v>74</v>
      </c>
      <c r="G9430">
        <v>2010</v>
      </c>
      <c r="H9430">
        <f>AVERAGEIFS(Table1[value],Table1[IndicatorCode],Table1[[#This Row],[IndicatorCode]])</f>
        <v>72.66514008620689</v>
      </c>
      <c r="I9430" cm="1">
        <f t="array" ref="I9430">_xlfn.STDEV.P(IF(Table1[IndicatorCode]=Table1[[#This Row],[IndicatorCode]],Table1[value]))</f>
        <v>6.3409496564024987</v>
      </c>
      <c r="J9430">
        <f>(Table1[[#This Row],[value]] - Table1[[#This Row],[mean]]) / Table1[[#This Row],[std_dev]]</f>
        <v>0.21051419521132667</v>
      </c>
      <c r="K9430">
        <f>AVERAGEIF(Table1[CountryCode],Table1[[#This Row],[CountryCode]],Table1[z-score])</f>
        <v>-0.22998905081420598</v>
      </c>
      <c r="L9430" t="e">
        <f>VLOOKUP(Table1[[#This Row],[CountryCode]],[1]!Table1[#All],1,FALSE)</f>
        <v>#REF!</v>
      </c>
    </row>
    <row r="9431" spans="1:12" hidden="1" x14ac:dyDescent="0.3">
      <c r="A9431" t="s">
        <v>77</v>
      </c>
      <c r="B9431" t="s">
        <v>78</v>
      </c>
      <c r="C9431" t="s">
        <v>129</v>
      </c>
      <c r="D9431" t="s">
        <v>130</v>
      </c>
      <c r="E9431">
        <v>2014</v>
      </c>
      <c r="F9431" s="1">
        <v>75</v>
      </c>
      <c r="G9431">
        <v>2010</v>
      </c>
      <c r="H9431">
        <f>AVERAGEIFS(Table1[value],Table1[IndicatorCode],Table1[[#This Row],[IndicatorCode]])</f>
        <v>72.66514008620689</v>
      </c>
      <c r="I9431" cm="1">
        <f t="array" ref="I9431">_xlfn.STDEV.P(IF(Table1[IndicatorCode]=Table1[[#This Row],[IndicatorCode]],Table1[value]))</f>
        <v>6.3409496564024987</v>
      </c>
      <c r="J9431">
        <f>(Table1[[#This Row],[value]] - Table1[[#This Row],[mean]]) / Table1[[#This Row],[std_dev]]</f>
        <v>0.36821927949476574</v>
      </c>
      <c r="K9431">
        <f>AVERAGEIF(Table1[CountryCode],Table1[[#This Row],[CountryCode]],Table1[z-score])</f>
        <v>-0.22998905081420598</v>
      </c>
      <c r="L9431" t="e">
        <f>VLOOKUP(Table1[[#This Row],[CountryCode]],[1]!Table1[#All],1,FALSE)</f>
        <v>#REF!</v>
      </c>
    </row>
    <row r="9432" spans="1:12" hidden="1" x14ac:dyDescent="0.3">
      <c r="A9432" t="s">
        <v>77</v>
      </c>
      <c r="B9432" t="s">
        <v>78</v>
      </c>
      <c r="C9432" t="s">
        <v>129</v>
      </c>
      <c r="D9432" t="s">
        <v>130</v>
      </c>
      <c r="E9432">
        <v>2015</v>
      </c>
      <c r="F9432" s="1">
        <v>74</v>
      </c>
      <c r="G9432">
        <v>2010</v>
      </c>
      <c r="H9432">
        <f>AVERAGEIFS(Table1[value],Table1[IndicatorCode],Table1[[#This Row],[IndicatorCode]])</f>
        <v>72.66514008620689</v>
      </c>
      <c r="I9432" cm="1">
        <f t="array" ref="I9432">_xlfn.STDEV.P(IF(Table1[IndicatorCode]=Table1[[#This Row],[IndicatorCode]],Table1[value]))</f>
        <v>6.3409496564024987</v>
      </c>
      <c r="J9432">
        <f>(Table1[[#This Row],[value]] - Table1[[#This Row],[mean]]) / Table1[[#This Row],[std_dev]]</f>
        <v>0.21051419521132667</v>
      </c>
      <c r="K9432">
        <f>AVERAGEIF(Table1[CountryCode],Table1[[#This Row],[CountryCode]],Table1[z-score])</f>
        <v>-0.22998905081420598</v>
      </c>
      <c r="L9432" t="e">
        <f>VLOOKUP(Table1[[#This Row],[CountryCode]],[1]!Table1[#All],1,FALSE)</f>
        <v>#REF!</v>
      </c>
    </row>
    <row r="9433" spans="1:12" hidden="1" x14ac:dyDescent="0.3">
      <c r="A9433" t="s">
        <v>77</v>
      </c>
      <c r="B9433" t="s">
        <v>78</v>
      </c>
      <c r="C9433" t="s">
        <v>129</v>
      </c>
      <c r="D9433" t="s">
        <v>130</v>
      </c>
      <c r="E9433">
        <v>2016</v>
      </c>
      <c r="F9433" s="1">
        <v>75</v>
      </c>
      <c r="G9433">
        <v>2010</v>
      </c>
      <c r="H9433">
        <f>AVERAGEIFS(Table1[value],Table1[IndicatorCode],Table1[[#This Row],[IndicatorCode]])</f>
        <v>72.66514008620689</v>
      </c>
      <c r="I9433" cm="1">
        <f t="array" ref="I9433">_xlfn.STDEV.P(IF(Table1[IndicatorCode]=Table1[[#This Row],[IndicatorCode]],Table1[value]))</f>
        <v>6.3409496564024987</v>
      </c>
      <c r="J9433">
        <f>(Table1[[#This Row],[value]] - Table1[[#This Row],[mean]]) / Table1[[#This Row],[std_dev]]</f>
        <v>0.36821927949476574</v>
      </c>
      <c r="K9433">
        <f>AVERAGEIF(Table1[CountryCode],Table1[[#This Row],[CountryCode]],Table1[z-score])</f>
        <v>-0.22998905081420598</v>
      </c>
      <c r="L9433" t="e">
        <f>VLOOKUP(Table1[[#This Row],[CountryCode]],[1]!Table1[#All],1,FALSE)</f>
        <v>#REF!</v>
      </c>
    </row>
    <row r="9434" spans="1:12" hidden="1" x14ac:dyDescent="0.3">
      <c r="A9434" t="s">
        <v>77</v>
      </c>
      <c r="B9434" t="s">
        <v>78</v>
      </c>
      <c r="C9434" t="s">
        <v>129</v>
      </c>
      <c r="D9434" t="s">
        <v>130</v>
      </c>
      <c r="E9434">
        <v>2017</v>
      </c>
      <c r="F9434" s="1">
        <v>75</v>
      </c>
      <c r="G9434">
        <v>2020</v>
      </c>
      <c r="H9434">
        <f>AVERAGEIFS(Table1[value],Table1[IndicatorCode],Table1[[#This Row],[IndicatorCode]])</f>
        <v>72.66514008620689</v>
      </c>
      <c r="I9434" cm="1">
        <f t="array" ref="I9434">_xlfn.STDEV.P(IF(Table1[IndicatorCode]=Table1[[#This Row],[IndicatorCode]],Table1[value]))</f>
        <v>6.3409496564024987</v>
      </c>
      <c r="J9434">
        <f>(Table1[[#This Row],[value]] - Table1[[#This Row],[mean]]) / Table1[[#This Row],[std_dev]]</f>
        <v>0.36821927949476574</v>
      </c>
      <c r="K9434">
        <f>AVERAGEIF(Table1[CountryCode],Table1[[#This Row],[CountryCode]],Table1[z-score])</f>
        <v>-0.22998905081420598</v>
      </c>
      <c r="L9434" t="e">
        <f>VLOOKUP(Table1[[#This Row],[CountryCode]],[1]!Table1[#All],1,FALSE)</f>
        <v>#REF!</v>
      </c>
    </row>
    <row r="9435" spans="1:12" hidden="1" x14ac:dyDescent="0.3">
      <c r="A9435" t="s">
        <v>77</v>
      </c>
      <c r="B9435" t="s">
        <v>78</v>
      </c>
      <c r="C9435" t="s">
        <v>129</v>
      </c>
      <c r="D9435" t="s">
        <v>130</v>
      </c>
      <c r="E9435">
        <v>2018</v>
      </c>
      <c r="F9435" s="1">
        <v>76</v>
      </c>
      <c r="G9435">
        <v>2020</v>
      </c>
      <c r="H9435">
        <f>AVERAGEIFS(Table1[value],Table1[IndicatorCode],Table1[[#This Row],[IndicatorCode]])</f>
        <v>72.66514008620689</v>
      </c>
      <c r="I9435" cm="1">
        <f t="array" ref="I9435">_xlfn.STDEV.P(IF(Table1[IndicatorCode]=Table1[[#This Row],[IndicatorCode]],Table1[value]))</f>
        <v>6.3409496564024987</v>
      </c>
      <c r="J9435">
        <f>(Table1[[#This Row],[value]] - Table1[[#This Row],[mean]]) / Table1[[#This Row],[std_dev]]</f>
        <v>0.52592436377820473</v>
      </c>
      <c r="K9435">
        <f>AVERAGEIF(Table1[CountryCode],Table1[[#This Row],[CountryCode]],Table1[z-score])</f>
        <v>-0.22998905081420598</v>
      </c>
      <c r="L9435" t="e">
        <f>VLOOKUP(Table1[[#This Row],[CountryCode]],[1]!Table1[#All],1,FALSE)</f>
        <v>#REF!</v>
      </c>
    </row>
    <row r="9436" spans="1:12" hidden="1" x14ac:dyDescent="0.3">
      <c r="A9436" t="s">
        <v>77</v>
      </c>
      <c r="B9436" t="s">
        <v>78</v>
      </c>
      <c r="C9436" t="s">
        <v>129</v>
      </c>
      <c r="D9436" t="s">
        <v>130</v>
      </c>
      <c r="E9436">
        <v>2019</v>
      </c>
      <c r="F9436" s="1">
        <v>76</v>
      </c>
      <c r="G9436">
        <v>2020</v>
      </c>
      <c r="H9436">
        <f>AVERAGEIFS(Table1[value],Table1[IndicatorCode],Table1[[#This Row],[IndicatorCode]])</f>
        <v>72.66514008620689</v>
      </c>
      <c r="I9436" cm="1">
        <f t="array" ref="I9436">_xlfn.STDEV.P(IF(Table1[IndicatorCode]=Table1[[#This Row],[IndicatorCode]],Table1[value]))</f>
        <v>6.3409496564024987</v>
      </c>
      <c r="J9436">
        <f>(Table1[[#This Row],[value]] - Table1[[#This Row],[mean]]) / Table1[[#This Row],[std_dev]]</f>
        <v>0.52592436377820473</v>
      </c>
      <c r="K9436">
        <f>AVERAGEIF(Table1[CountryCode],Table1[[#This Row],[CountryCode]],Table1[z-score])</f>
        <v>-0.22998905081420598</v>
      </c>
      <c r="L9436" t="e">
        <f>VLOOKUP(Table1[[#This Row],[CountryCode]],[1]!Table1[#All],1,FALSE)</f>
        <v>#REF!</v>
      </c>
    </row>
    <row r="9437" spans="1:12" x14ac:dyDescent="0.3">
      <c r="A9437" t="s">
        <v>77</v>
      </c>
      <c r="B9437" t="s">
        <v>78</v>
      </c>
      <c r="C9437" t="s">
        <v>129</v>
      </c>
      <c r="D9437" t="s">
        <v>130</v>
      </c>
      <c r="E9437">
        <v>2020</v>
      </c>
      <c r="F9437" s="1">
        <v>75</v>
      </c>
      <c r="G9437">
        <v>2020</v>
      </c>
      <c r="H9437">
        <f>AVERAGEIFS(Table1[value],Table1[IndicatorCode],Table1[[#This Row],[IndicatorCode]])</f>
        <v>72.66514008620689</v>
      </c>
      <c r="I9437" cm="1">
        <f t="array" ref="I9437">_xlfn.STDEV.P(IF(Table1[IndicatorCode]=Table1[[#This Row],[IndicatorCode]],Table1[value]))</f>
        <v>6.3409496564024987</v>
      </c>
      <c r="J9437">
        <f>(Table1[[#This Row],[value]] - Table1[[#This Row],[mean]]) / Table1[[#This Row],[std_dev]]</f>
        <v>0.36821927949476574</v>
      </c>
      <c r="K9437">
        <f>AVERAGEIF(Table1[CountryCode],Table1[[#This Row],[CountryCode]],Table1[z-score])</f>
        <v>-0.22998905081420598</v>
      </c>
    </row>
    <row r="9438" spans="1:12" hidden="1" x14ac:dyDescent="0.3">
      <c r="A9438" t="s">
        <v>77</v>
      </c>
      <c r="B9438" t="s">
        <v>78</v>
      </c>
      <c r="C9438" t="s">
        <v>129</v>
      </c>
      <c r="D9438" t="s">
        <v>130</v>
      </c>
      <c r="E9438">
        <v>2021</v>
      </c>
      <c r="F9438" s="1">
        <v>74</v>
      </c>
      <c r="G9438">
        <v>1960</v>
      </c>
      <c r="H9438">
        <f>AVERAGEIFS(Table1[value],Table1[IndicatorCode],Table1[[#This Row],[IndicatorCode]])</f>
        <v>72.66514008620689</v>
      </c>
      <c r="I9438" cm="1">
        <f t="array" ref="I9438">_xlfn.STDEV.P(IF(Table1[IndicatorCode]=Table1[[#This Row],[IndicatorCode]],Table1[value]))</f>
        <v>6.3409496564024987</v>
      </c>
      <c r="J9438">
        <f>(Table1[[#This Row],[value]] - Table1[[#This Row],[mean]]) / Table1[[#This Row],[std_dev]]</f>
        <v>0.21051419521132667</v>
      </c>
      <c r="K9438">
        <f>AVERAGEIF(Table1[CountryCode],Table1[[#This Row],[CountryCode]],Table1[z-score])</f>
        <v>-0.22998905081420598</v>
      </c>
      <c r="L9438" t="e">
        <f>VLOOKUP(Table1[[#This Row],[CountryCode]],[1]!Table1[#All],1,FALSE)</f>
        <v>#REF!</v>
      </c>
    </row>
    <row r="9439" spans="1:12" hidden="1" x14ac:dyDescent="0.3">
      <c r="A9439" t="s">
        <v>77</v>
      </c>
      <c r="B9439" t="s">
        <v>78</v>
      </c>
      <c r="C9439" t="s">
        <v>129</v>
      </c>
      <c r="D9439" t="s">
        <v>130</v>
      </c>
      <c r="E9439">
        <v>2022</v>
      </c>
      <c r="F9439" s="1">
        <v>76</v>
      </c>
      <c r="G9439">
        <v>1960</v>
      </c>
      <c r="H9439">
        <f>AVERAGEIFS(Table1[value],Table1[IndicatorCode],Table1[[#This Row],[IndicatorCode]])</f>
        <v>72.66514008620689</v>
      </c>
      <c r="I9439" cm="1">
        <f t="array" ref="I9439">_xlfn.STDEV.P(IF(Table1[IndicatorCode]=Table1[[#This Row],[IndicatorCode]],Table1[value]))</f>
        <v>6.3409496564024987</v>
      </c>
      <c r="J9439">
        <f>(Table1[[#This Row],[value]] - Table1[[#This Row],[mean]]) / Table1[[#This Row],[std_dev]]</f>
        <v>0.52592436377820473</v>
      </c>
      <c r="K9439">
        <f>AVERAGEIF(Table1[CountryCode],Table1[[#This Row],[CountryCode]],Table1[z-score])</f>
        <v>-0.22998905081420598</v>
      </c>
      <c r="L9439" t="e">
        <f>VLOOKUP(Table1[[#This Row],[CountryCode]],[1]!Table1[#All],1,FALSE)</f>
        <v>#REF!</v>
      </c>
    </row>
    <row r="9440" spans="1:12" hidden="1" x14ac:dyDescent="0.3">
      <c r="A9440" t="s">
        <v>77</v>
      </c>
      <c r="B9440" t="s">
        <v>78</v>
      </c>
      <c r="C9440" t="s">
        <v>129</v>
      </c>
      <c r="D9440" t="s">
        <v>130</v>
      </c>
      <c r="E9440">
        <v>2023</v>
      </c>
      <c r="F9440" s="1">
        <v>77</v>
      </c>
      <c r="G9440">
        <v>1960</v>
      </c>
      <c r="H9440">
        <f>AVERAGEIFS(Table1[value],Table1[IndicatorCode],Table1[[#This Row],[IndicatorCode]])</f>
        <v>72.66514008620689</v>
      </c>
      <c r="I9440" cm="1">
        <f t="array" ref="I9440">_xlfn.STDEV.P(IF(Table1[IndicatorCode]=Table1[[#This Row],[IndicatorCode]],Table1[value]))</f>
        <v>6.3409496564024987</v>
      </c>
      <c r="J9440">
        <f>(Table1[[#This Row],[value]] - Table1[[#This Row],[mean]]) / Table1[[#This Row],[std_dev]]</f>
        <v>0.68362944806164383</v>
      </c>
      <c r="K9440">
        <f>AVERAGEIF(Table1[CountryCode],Table1[[#This Row],[CountryCode]],Table1[z-score])</f>
        <v>-0.22998905081420598</v>
      </c>
      <c r="L9440" t="e">
        <f>VLOOKUP(Table1[[#This Row],[CountryCode]],[1]!Table1[#All],1,FALSE)</f>
        <v>#REF!</v>
      </c>
    </row>
    <row r="9441" spans="1:12" hidden="1" x14ac:dyDescent="0.3">
      <c r="A9441" t="s">
        <v>79</v>
      </c>
      <c r="B9441" t="s">
        <v>80</v>
      </c>
      <c r="C9441" t="s">
        <v>129</v>
      </c>
      <c r="D9441" t="s">
        <v>130</v>
      </c>
      <c r="E9441">
        <v>1960</v>
      </c>
      <c r="F9441" s="1">
        <v>69</v>
      </c>
      <c r="G9441">
        <v>1960</v>
      </c>
      <c r="H9441">
        <f>AVERAGEIFS(Table1[value],Table1[IndicatorCode],Table1[[#This Row],[IndicatorCode]])</f>
        <v>72.66514008620689</v>
      </c>
      <c r="I9441" cm="1">
        <f t="array" ref="I9441">_xlfn.STDEV.P(IF(Table1[IndicatorCode]=Table1[[#This Row],[IndicatorCode]],Table1[value]))</f>
        <v>6.3409496564024987</v>
      </c>
      <c r="J9441">
        <f>(Table1[[#This Row],[value]] - Table1[[#This Row],[mean]]) / Table1[[#This Row],[std_dev]]</f>
        <v>-0.57801122620586864</v>
      </c>
      <c r="K9441">
        <f>AVERAGEIF(Table1[CountryCode],Table1[[#This Row],[CountryCode]],Table1[z-score])</f>
        <v>1.6213099703277349</v>
      </c>
      <c r="L9441" t="e">
        <f>VLOOKUP(Table1[[#This Row],[CountryCode]],[1]!Table1[#All],1,FALSE)</f>
        <v>#REF!</v>
      </c>
    </row>
    <row r="9442" spans="1:12" hidden="1" x14ac:dyDescent="0.3">
      <c r="A9442" t="s">
        <v>79</v>
      </c>
      <c r="B9442" t="s">
        <v>80</v>
      </c>
      <c r="C9442" t="s">
        <v>129</v>
      </c>
      <c r="D9442" t="s">
        <v>130</v>
      </c>
      <c r="E9442">
        <v>1961</v>
      </c>
      <c r="F9442" s="1">
        <v>69</v>
      </c>
      <c r="G9442">
        <v>1960</v>
      </c>
      <c r="H9442">
        <f>AVERAGEIFS(Table1[value],Table1[IndicatorCode],Table1[[#This Row],[IndicatorCode]])</f>
        <v>72.66514008620689</v>
      </c>
      <c r="I9442" cm="1">
        <f t="array" ref="I9442">_xlfn.STDEV.P(IF(Table1[IndicatorCode]=Table1[[#This Row],[IndicatorCode]],Table1[value]))</f>
        <v>6.3409496564024987</v>
      </c>
      <c r="J9442">
        <f>(Table1[[#This Row],[value]] - Table1[[#This Row],[mean]]) / Table1[[#This Row],[std_dev]]</f>
        <v>-0.57801122620586864</v>
      </c>
      <c r="K9442">
        <f>AVERAGEIF(Table1[CountryCode],Table1[[#This Row],[CountryCode]],Table1[z-score])</f>
        <v>1.6213099703277349</v>
      </c>
      <c r="L9442" t="e">
        <f>VLOOKUP(Table1[[#This Row],[CountryCode]],[1]!Table1[#All],1,FALSE)</f>
        <v>#REF!</v>
      </c>
    </row>
    <row r="9443" spans="1:12" hidden="1" x14ac:dyDescent="0.3">
      <c r="A9443" t="s">
        <v>79</v>
      </c>
      <c r="B9443" t="s">
        <v>80</v>
      </c>
      <c r="C9443" t="s">
        <v>129</v>
      </c>
      <c r="D9443" t="s">
        <v>130</v>
      </c>
      <c r="E9443">
        <v>1962</v>
      </c>
      <c r="F9443" s="1">
        <v>68</v>
      </c>
      <c r="G9443">
        <v>1960</v>
      </c>
      <c r="H9443">
        <f>AVERAGEIFS(Table1[value],Table1[IndicatorCode],Table1[[#This Row],[IndicatorCode]])</f>
        <v>72.66514008620689</v>
      </c>
      <c r="I9443" cm="1">
        <f t="array" ref="I9443">_xlfn.STDEV.P(IF(Table1[IndicatorCode]=Table1[[#This Row],[IndicatorCode]],Table1[value]))</f>
        <v>6.3409496564024987</v>
      </c>
      <c r="J9443">
        <f>(Table1[[#This Row],[value]] - Table1[[#This Row],[mean]]) / Table1[[#This Row],[std_dev]]</f>
        <v>-0.73571631048930775</v>
      </c>
      <c r="K9443">
        <f>AVERAGEIF(Table1[CountryCode],Table1[[#This Row],[CountryCode]],Table1[z-score])</f>
        <v>1.6213099703277349</v>
      </c>
      <c r="L9443" t="e">
        <f>VLOOKUP(Table1[[#This Row],[CountryCode]],[1]!Table1[#All],1,FALSE)</f>
        <v>#REF!</v>
      </c>
    </row>
    <row r="9444" spans="1:12" hidden="1" x14ac:dyDescent="0.3">
      <c r="A9444" t="s">
        <v>79</v>
      </c>
      <c r="B9444" t="s">
        <v>80</v>
      </c>
      <c r="C9444" t="s">
        <v>129</v>
      </c>
      <c r="D9444" t="s">
        <v>130</v>
      </c>
      <c r="E9444">
        <v>1963</v>
      </c>
      <c r="F9444" s="1">
        <v>69</v>
      </c>
      <c r="G9444">
        <v>1960</v>
      </c>
      <c r="H9444">
        <f>AVERAGEIFS(Table1[value],Table1[IndicatorCode],Table1[[#This Row],[IndicatorCode]])</f>
        <v>72.66514008620689</v>
      </c>
      <c r="I9444" cm="1">
        <f t="array" ref="I9444">_xlfn.STDEV.P(IF(Table1[IndicatorCode]=Table1[[#This Row],[IndicatorCode]],Table1[value]))</f>
        <v>6.3409496564024987</v>
      </c>
      <c r="J9444">
        <f>(Table1[[#This Row],[value]] - Table1[[#This Row],[mean]]) / Table1[[#This Row],[std_dev]]</f>
        <v>-0.57801122620586864</v>
      </c>
      <c r="K9444">
        <f>AVERAGEIF(Table1[CountryCode],Table1[[#This Row],[CountryCode]],Table1[z-score])</f>
        <v>1.6213099703277349</v>
      </c>
      <c r="L9444" t="e">
        <f>VLOOKUP(Table1[[#This Row],[CountryCode]],[1]!Table1[#All],1,FALSE)</f>
        <v>#REF!</v>
      </c>
    </row>
    <row r="9445" spans="1:12" hidden="1" x14ac:dyDescent="0.3">
      <c r="A9445" t="s">
        <v>79</v>
      </c>
      <c r="B9445" t="s">
        <v>80</v>
      </c>
      <c r="C9445" t="s">
        <v>129</v>
      </c>
      <c r="D9445" t="s">
        <v>130</v>
      </c>
      <c r="E9445">
        <v>1964</v>
      </c>
      <c r="F9445" s="1">
        <v>69</v>
      </c>
      <c r="G9445">
        <v>1960</v>
      </c>
      <c r="H9445">
        <f>AVERAGEIFS(Table1[value],Table1[IndicatorCode],Table1[[#This Row],[IndicatorCode]])</f>
        <v>72.66514008620689</v>
      </c>
      <c r="I9445" cm="1">
        <f t="array" ref="I9445">_xlfn.STDEV.P(IF(Table1[IndicatorCode]=Table1[[#This Row],[IndicatorCode]],Table1[value]))</f>
        <v>6.3409496564024987</v>
      </c>
      <c r="J9445">
        <f>(Table1[[#This Row],[value]] - Table1[[#This Row],[mean]]) / Table1[[#This Row],[std_dev]]</f>
        <v>-0.57801122620586864</v>
      </c>
      <c r="K9445">
        <f>AVERAGEIF(Table1[CountryCode],Table1[[#This Row],[CountryCode]],Table1[z-score])</f>
        <v>1.6213099703277349</v>
      </c>
      <c r="L9445" t="e">
        <f>VLOOKUP(Table1[[#This Row],[CountryCode]],[1]!Table1[#All],1,FALSE)</f>
        <v>#REF!</v>
      </c>
    </row>
    <row r="9446" spans="1:12" hidden="1" x14ac:dyDescent="0.3">
      <c r="A9446" t="s">
        <v>79</v>
      </c>
      <c r="B9446" t="s">
        <v>80</v>
      </c>
      <c r="C9446" t="s">
        <v>129</v>
      </c>
      <c r="D9446" t="s">
        <v>130</v>
      </c>
      <c r="E9446">
        <v>1965</v>
      </c>
      <c r="F9446" s="1">
        <v>69</v>
      </c>
      <c r="G9446">
        <v>1960</v>
      </c>
      <c r="H9446">
        <f>AVERAGEIFS(Table1[value],Table1[IndicatorCode],Table1[[#This Row],[IndicatorCode]])</f>
        <v>72.66514008620689</v>
      </c>
      <c r="I9446" cm="1">
        <f t="array" ref="I9446">_xlfn.STDEV.P(IF(Table1[IndicatorCode]=Table1[[#This Row],[IndicatorCode]],Table1[value]))</f>
        <v>6.3409496564024987</v>
      </c>
      <c r="J9446">
        <f>(Table1[[#This Row],[value]] - Table1[[#This Row],[mean]]) / Table1[[#This Row],[std_dev]]</f>
        <v>-0.57801122620586864</v>
      </c>
      <c r="K9446">
        <f>AVERAGEIF(Table1[CountryCode],Table1[[#This Row],[CountryCode]],Table1[z-score])</f>
        <v>1.6213099703277349</v>
      </c>
      <c r="L9446" t="e">
        <f>VLOOKUP(Table1[[#This Row],[CountryCode]],[1]!Table1[#All],1,FALSE)</f>
        <v>#REF!</v>
      </c>
    </row>
    <row r="9447" spans="1:12" hidden="1" x14ac:dyDescent="0.3">
      <c r="A9447" t="s">
        <v>79</v>
      </c>
      <c r="B9447" t="s">
        <v>80</v>
      </c>
      <c r="C9447" t="s">
        <v>129</v>
      </c>
      <c r="D9447" t="s">
        <v>130</v>
      </c>
      <c r="E9447">
        <v>1966</v>
      </c>
      <c r="F9447" s="1">
        <v>69</v>
      </c>
      <c r="G9447">
        <v>1960</v>
      </c>
      <c r="H9447">
        <f>AVERAGEIFS(Table1[value],Table1[IndicatorCode],Table1[[#This Row],[IndicatorCode]])</f>
        <v>72.66514008620689</v>
      </c>
      <c r="I9447" cm="1">
        <f t="array" ref="I9447">_xlfn.STDEV.P(IF(Table1[IndicatorCode]=Table1[[#This Row],[IndicatorCode]],Table1[value]))</f>
        <v>6.3409496564024987</v>
      </c>
      <c r="J9447">
        <f>(Table1[[#This Row],[value]] - Table1[[#This Row],[mean]]) / Table1[[#This Row],[std_dev]]</f>
        <v>-0.57801122620586864</v>
      </c>
      <c r="K9447">
        <f>AVERAGEIF(Table1[CountryCode],Table1[[#This Row],[CountryCode]],Table1[z-score])</f>
        <v>1.6213099703277349</v>
      </c>
      <c r="L9447" t="e">
        <f>VLOOKUP(Table1[[#This Row],[CountryCode]],[1]!Table1[#All],1,FALSE)</f>
        <v>#REF!</v>
      </c>
    </row>
    <row r="9448" spans="1:12" hidden="1" x14ac:dyDescent="0.3">
      <c r="A9448" t="s">
        <v>79</v>
      </c>
      <c r="B9448" t="s">
        <v>80</v>
      </c>
      <c r="C9448" t="s">
        <v>129</v>
      </c>
      <c r="D9448" t="s">
        <v>130</v>
      </c>
      <c r="E9448">
        <v>1967</v>
      </c>
      <c r="F9448" s="1">
        <v>69</v>
      </c>
      <c r="G9448">
        <v>1970</v>
      </c>
      <c r="H9448">
        <f>AVERAGEIFS(Table1[value],Table1[IndicatorCode],Table1[[#This Row],[IndicatorCode]])</f>
        <v>72.66514008620689</v>
      </c>
      <c r="I9448" cm="1">
        <f t="array" ref="I9448">_xlfn.STDEV.P(IF(Table1[IndicatorCode]=Table1[[#This Row],[IndicatorCode]],Table1[value]))</f>
        <v>6.3409496564024987</v>
      </c>
      <c r="J9448">
        <f>(Table1[[#This Row],[value]] - Table1[[#This Row],[mean]]) / Table1[[#This Row],[std_dev]]</f>
        <v>-0.57801122620586864</v>
      </c>
      <c r="K9448">
        <f>AVERAGEIF(Table1[CountryCode],Table1[[#This Row],[CountryCode]],Table1[z-score])</f>
        <v>1.6213099703277349</v>
      </c>
      <c r="L9448" t="e">
        <f>VLOOKUP(Table1[[#This Row],[CountryCode]],[1]!Table1[#All],1,FALSE)</f>
        <v>#REF!</v>
      </c>
    </row>
    <row r="9449" spans="1:12" hidden="1" x14ac:dyDescent="0.3">
      <c r="A9449" t="s">
        <v>79</v>
      </c>
      <c r="B9449" t="s">
        <v>80</v>
      </c>
      <c r="C9449" t="s">
        <v>129</v>
      </c>
      <c r="D9449" t="s">
        <v>130</v>
      </c>
      <c r="E9449">
        <v>1968</v>
      </c>
      <c r="F9449" s="1">
        <v>70</v>
      </c>
      <c r="G9449">
        <v>1970</v>
      </c>
      <c r="H9449">
        <f>AVERAGEIFS(Table1[value],Table1[IndicatorCode],Table1[[#This Row],[IndicatorCode]])</f>
        <v>72.66514008620689</v>
      </c>
      <c r="I9449" cm="1">
        <f t="array" ref="I9449">_xlfn.STDEV.P(IF(Table1[IndicatorCode]=Table1[[#This Row],[IndicatorCode]],Table1[value]))</f>
        <v>6.3409496564024987</v>
      </c>
      <c r="J9449">
        <f>(Table1[[#This Row],[value]] - Table1[[#This Row],[mean]]) / Table1[[#This Row],[std_dev]]</f>
        <v>-0.4203061419224296</v>
      </c>
      <c r="K9449">
        <f>AVERAGEIF(Table1[CountryCode],Table1[[#This Row],[CountryCode]],Table1[z-score])</f>
        <v>1.6213099703277349</v>
      </c>
      <c r="L9449" t="e">
        <f>VLOOKUP(Table1[[#This Row],[CountryCode]],[1]!Table1[#All],1,FALSE)</f>
        <v>#REF!</v>
      </c>
    </row>
    <row r="9450" spans="1:12" hidden="1" x14ac:dyDescent="0.3">
      <c r="A9450" t="s">
        <v>79</v>
      </c>
      <c r="B9450" t="s">
        <v>80</v>
      </c>
      <c r="C9450" t="s">
        <v>129</v>
      </c>
      <c r="D9450" t="s">
        <v>130</v>
      </c>
      <c r="E9450">
        <v>1969</v>
      </c>
      <c r="F9450" s="1">
        <v>70</v>
      </c>
      <c r="G9450">
        <v>1970</v>
      </c>
      <c r="H9450">
        <f>AVERAGEIFS(Table1[value],Table1[IndicatorCode],Table1[[#This Row],[IndicatorCode]])</f>
        <v>72.66514008620689</v>
      </c>
      <c r="I9450" cm="1">
        <f t="array" ref="I9450">_xlfn.STDEV.P(IF(Table1[IndicatorCode]=Table1[[#This Row],[IndicatorCode]],Table1[value]))</f>
        <v>6.3409496564024987</v>
      </c>
      <c r="J9450">
        <f>(Table1[[#This Row],[value]] - Table1[[#This Row],[mean]]) / Table1[[#This Row],[std_dev]]</f>
        <v>-0.4203061419224296</v>
      </c>
      <c r="K9450">
        <f>AVERAGEIF(Table1[CountryCode],Table1[[#This Row],[CountryCode]],Table1[z-score])</f>
        <v>1.6213099703277349</v>
      </c>
      <c r="L9450" t="e">
        <f>VLOOKUP(Table1[[#This Row],[CountryCode]],[1]!Table1[#All],1,FALSE)</f>
        <v>#REF!</v>
      </c>
    </row>
    <row r="9451" spans="1:12" hidden="1" x14ac:dyDescent="0.3">
      <c r="A9451" t="s">
        <v>79</v>
      </c>
      <c r="B9451" t="s">
        <v>80</v>
      </c>
      <c r="C9451" t="s">
        <v>129</v>
      </c>
      <c r="D9451" t="s">
        <v>130</v>
      </c>
      <c r="E9451">
        <v>1970</v>
      </c>
      <c r="F9451" s="1">
        <v>69</v>
      </c>
      <c r="G9451">
        <v>1970</v>
      </c>
      <c r="H9451">
        <f>AVERAGEIFS(Table1[value],Table1[IndicatorCode],Table1[[#This Row],[IndicatorCode]])</f>
        <v>72.66514008620689</v>
      </c>
      <c r="I9451" cm="1">
        <f t="array" ref="I9451">_xlfn.STDEV.P(IF(Table1[IndicatorCode]=Table1[[#This Row],[IndicatorCode]],Table1[value]))</f>
        <v>6.3409496564024987</v>
      </c>
      <c r="J9451">
        <f>(Table1[[#This Row],[value]] - Table1[[#This Row],[mean]]) / Table1[[#This Row],[std_dev]]</f>
        <v>-0.57801122620586864</v>
      </c>
      <c r="K9451">
        <f>AVERAGEIF(Table1[CountryCode],Table1[[#This Row],[CountryCode]],Table1[z-score])</f>
        <v>1.6213099703277349</v>
      </c>
      <c r="L9451" t="e">
        <f>VLOOKUP(Table1[[#This Row],[CountryCode]],[1]!Table1[#All],1,FALSE)</f>
        <v>#REF!</v>
      </c>
    </row>
    <row r="9452" spans="1:12" hidden="1" x14ac:dyDescent="0.3">
      <c r="A9452" t="s">
        <v>79</v>
      </c>
      <c r="B9452" t="s">
        <v>80</v>
      </c>
      <c r="C9452" t="s">
        <v>129</v>
      </c>
      <c r="D9452" t="s">
        <v>130</v>
      </c>
      <c r="E9452">
        <v>1971</v>
      </c>
      <c r="F9452" s="1">
        <v>69</v>
      </c>
      <c r="G9452">
        <v>1970</v>
      </c>
      <c r="H9452">
        <f>AVERAGEIFS(Table1[value],Table1[IndicatorCode],Table1[[#This Row],[IndicatorCode]])</f>
        <v>72.66514008620689</v>
      </c>
      <c r="I9452" cm="1">
        <f t="array" ref="I9452">_xlfn.STDEV.P(IF(Table1[IndicatorCode]=Table1[[#This Row],[IndicatorCode]],Table1[value]))</f>
        <v>6.3409496564024987</v>
      </c>
      <c r="J9452">
        <f>(Table1[[#This Row],[value]] - Table1[[#This Row],[mean]]) / Table1[[#This Row],[std_dev]]</f>
        <v>-0.57801122620586864</v>
      </c>
      <c r="K9452">
        <f>AVERAGEIF(Table1[CountryCode],Table1[[#This Row],[CountryCode]],Table1[z-score])</f>
        <v>1.6213099703277349</v>
      </c>
      <c r="L9452" t="e">
        <f>VLOOKUP(Table1[[#This Row],[CountryCode]],[1]!Table1[#All],1,FALSE)</f>
        <v>#REF!</v>
      </c>
    </row>
    <row r="9453" spans="1:12" hidden="1" x14ac:dyDescent="0.3">
      <c r="A9453" t="s">
        <v>79</v>
      </c>
      <c r="B9453" t="s">
        <v>80</v>
      </c>
      <c r="C9453" t="s">
        <v>129</v>
      </c>
      <c r="D9453" t="s">
        <v>130</v>
      </c>
      <c r="E9453">
        <v>1972</v>
      </c>
      <c r="F9453" s="1">
        <v>70</v>
      </c>
      <c r="G9453">
        <v>1970</v>
      </c>
      <c r="H9453">
        <f>AVERAGEIFS(Table1[value],Table1[IndicatorCode],Table1[[#This Row],[IndicatorCode]])</f>
        <v>72.66514008620689</v>
      </c>
      <c r="I9453" cm="1">
        <f t="array" ref="I9453">_xlfn.STDEV.P(IF(Table1[IndicatorCode]=Table1[[#This Row],[IndicatorCode]],Table1[value]))</f>
        <v>6.3409496564024987</v>
      </c>
      <c r="J9453">
        <f>(Table1[[#This Row],[value]] - Table1[[#This Row],[mean]]) / Table1[[#This Row],[std_dev]]</f>
        <v>-0.4203061419224296</v>
      </c>
      <c r="K9453">
        <f>AVERAGEIF(Table1[CountryCode],Table1[[#This Row],[CountryCode]],Table1[z-score])</f>
        <v>1.6213099703277349</v>
      </c>
      <c r="L9453" t="e">
        <f>VLOOKUP(Table1[[#This Row],[CountryCode]],[1]!Table1[#All],1,FALSE)</f>
        <v>#REF!</v>
      </c>
    </row>
    <row r="9454" spans="1:12" hidden="1" x14ac:dyDescent="0.3">
      <c r="A9454" t="s">
        <v>79</v>
      </c>
      <c r="B9454" t="s">
        <v>80</v>
      </c>
      <c r="C9454" t="s">
        <v>129</v>
      </c>
      <c r="D9454" t="s">
        <v>130</v>
      </c>
      <c r="E9454">
        <v>1973</v>
      </c>
      <c r="F9454" s="1">
        <v>70</v>
      </c>
      <c r="G9454">
        <v>1970</v>
      </c>
      <c r="H9454">
        <f>AVERAGEIFS(Table1[value],Table1[IndicatorCode],Table1[[#This Row],[IndicatorCode]])</f>
        <v>72.66514008620689</v>
      </c>
      <c r="I9454" cm="1">
        <f t="array" ref="I9454">_xlfn.STDEV.P(IF(Table1[IndicatorCode]=Table1[[#This Row],[IndicatorCode]],Table1[value]))</f>
        <v>6.3409496564024987</v>
      </c>
      <c r="J9454">
        <f>(Table1[[#This Row],[value]] - Table1[[#This Row],[mean]]) / Table1[[#This Row],[std_dev]]</f>
        <v>-0.4203061419224296</v>
      </c>
      <c r="K9454">
        <f>AVERAGEIF(Table1[CountryCode],Table1[[#This Row],[CountryCode]],Table1[z-score])</f>
        <v>1.6213099703277349</v>
      </c>
      <c r="L9454" t="e">
        <f>VLOOKUP(Table1[[#This Row],[CountryCode]],[1]!Table1[#All],1,FALSE)</f>
        <v>#REF!</v>
      </c>
    </row>
    <row r="9455" spans="1:12" hidden="1" x14ac:dyDescent="0.3">
      <c r="A9455" t="s">
        <v>79</v>
      </c>
      <c r="B9455" t="s">
        <v>80</v>
      </c>
      <c r="C9455" t="s">
        <v>129</v>
      </c>
      <c r="D9455" t="s">
        <v>130</v>
      </c>
      <c r="E9455">
        <v>1974</v>
      </c>
      <c r="F9455" s="1">
        <v>70</v>
      </c>
      <c r="G9455">
        <v>1970</v>
      </c>
      <c r="H9455">
        <f>AVERAGEIFS(Table1[value],Table1[IndicatorCode],Table1[[#This Row],[IndicatorCode]])</f>
        <v>72.66514008620689</v>
      </c>
      <c r="I9455" cm="1">
        <f t="array" ref="I9455">_xlfn.STDEV.P(IF(Table1[IndicatorCode]=Table1[[#This Row],[IndicatorCode]],Table1[value]))</f>
        <v>6.3409496564024987</v>
      </c>
      <c r="J9455">
        <f>(Table1[[#This Row],[value]] - Table1[[#This Row],[mean]]) / Table1[[#This Row],[std_dev]]</f>
        <v>-0.4203061419224296</v>
      </c>
      <c r="K9455">
        <f>AVERAGEIF(Table1[CountryCode],Table1[[#This Row],[CountryCode]],Table1[z-score])</f>
        <v>1.6213099703277349</v>
      </c>
      <c r="L9455" t="e">
        <f>VLOOKUP(Table1[[#This Row],[CountryCode]],[1]!Table1[#All],1,FALSE)</f>
        <v>#REF!</v>
      </c>
    </row>
    <row r="9456" spans="1:12" hidden="1" x14ac:dyDescent="0.3">
      <c r="A9456" t="s">
        <v>79</v>
      </c>
      <c r="B9456" t="s">
        <v>80</v>
      </c>
      <c r="C9456" t="s">
        <v>129</v>
      </c>
      <c r="D9456" t="s">
        <v>130</v>
      </c>
      <c r="E9456">
        <v>1975</v>
      </c>
      <c r="F9456" s="1">
        <v>70</v>
      </c>
      <c r="G9456">
        <v>1970</v>
      </c>
      <c r="H9456">
        <f>AVERAGEIFS(Table1[value],Table1[IndicatorCode],Table1[[#This Row],[IndicatorCode]])</f>
        <v>72.66514008620689</v>
      </c>
      <c r="I9456" cm="1">
        <f t="array" ref="I9456">_xlfn.STDEV.P(IF(Table1[IndicatorCode]=Table1[[#This Row],[IndicatorCode]],Table1[value]))</f>
        <v>6.3409496564024987</v>
      </c>
      <c r="J9456">
        <f>(Table1[[#This Row],[value]] - Table1[[#This Row],[mean]]) / Table1[[#This Row],[std_dev]]</f>
        <v>-0.4203061419224296</v>
      </c>
      <c r="K9456">
        <f>AVERAGEIF(Table1[CountryCode],Table1[[#This Row],[CountryCode]],Table1[z-score])</f>
        <v>1.6213099703277349</v>
      </c>
      <c r="L9456" t="e">
        <f>VLOOKUP(Table1[[#This Row],[CountryCode]],[1]!Table1[#All],1,FALSE)</f>
        <v>#REF!</v>
      </c>
    </row>
    <row r="9457" spans="1:12" hidden="1" x14ac:dyDescent="0.3">
      <c r="A9457" t="s">
        <v>79</v>
      </c>
      <c r="B9457" t="s">
        <v>80</v>
      </c>
      <c r="C9457" t="s">
        <v>129</v>
      </c>
      <c r="D9457" t="s">
        <v>130</v>
      </c>
      <c r="E9457">
        <v>1976</v>
      </c>
      <c r="F9457" s="1">
        <v>70</v>
      </c>
      <c r="G9457">
        <v>1970</v>
      </c>
      <c r="H9457">
        <f>AVERAGEIFS(Table1[value],Table1[IndicatorCode],Table1[[#This Row],[IndicatorCode]])</f>
        <v>72.66514008620689</v>
      </c>
      <c r="I9457" cm="1">
        <f t="array" ref="I9457">_xlfn.STDEV.P(IF(Table1[IndicatorCode]=Table1[[#This Row],[IndicatorCode]],Table1[value]))</f>
        <v>6.3409496564024987</v>
      </c>
      <c r="J9457">
        <f>(Table1[[#This Row],[value]] - Table1[[#This Row],[mean]]) / Table1[[#This Row],[std_dev]]</f>
        <v>-0.4203061419224296</v>
      </c>
      <c r="K9457">
        <f>AVERAGEIF(Table1[CountryCode],Table1[[#This Row],[CountryCode]],Table1[z-score])</f>
        <v>1.6213099703277349</v>
      </c>
      <c r="L9457" t="e">
        <f>VLOOKUP(Table1[[#This Row],[CountryCode]],[1]!Table1[#All],1,FALSE)</f>
        <v>#REF!</v>
      </c>
    </row>
    <row r="9458" spans="1:12" hidden="1" x14ac:dyDescent="0.3">
      <c r="A9458" t="s">
        <v>79</v>
      </c>
      <c r="B9458" t="s">
        <v>80</v>
      </c>
      <c r="C9458" t="s">
        <v>129</v>
      </c>
      <c r="D9458" t="s">
        <v>130</v>
      </c>
      <c r="E9458">
        <v>1977</v>
      </c>
      <c r="F9458" s="1">
        <v>71</v>
      </c>
      <c r="G9458">
        <v>1980</v>
      </c>
      <c r="H9458">
        <f>AVERAGEIFS(Table1[value],Table1[IndicatorCode],Table1[[#This Row],[IndicatorCode]])</f>
        <v>72.66514008620689</v>
      </c>
      <c r="I9458" cm="1">
        <f t="array" ref="I9458">_xlfn.STDEV.P(IF(Table1[IndicatorCode]=Table1[[#This Row],[IndicatorCode]],Table1[value]))</f>
        <v>6.3409496564024987</v>
      </c>
      <c r="J9458">
        <f>(Table1[[#This Row],[value]] - Table1[[#This Row],[mean]]) / Table1[[#This Row],[std_dev]]</f>
        <v>-0.2626010576389905</v>
      </c>
      <c r="K9458">
        <f>AVERAGEIF(Table1[CountryCode],Table1[[#This Row],[CountryCode]],Table1[z-score])</f>
        <v>1.6213099703277349</v>
      </c>
      <c r="L9458" t="e">
        <f>VLOOKUP(Table1[[#This Row],[CountryCode]],[1]!Table1[#All],1,FALSE)</f>
        <v>#REF!</v>
      </c>
    </row>
    <row r="9459" spans="1:12" hidden="1" x14ac:dyDescent="0.3">
      <c r="A9459" t="s">
        <v>79</v>
      </c>
      <c r="B9459" t="s">
        <v>80</v>
      </c>
      <c r="C9459" t="s">
        <v>129</v>
      </c>
      <c r="D9459" t="s">
        <v>130</v>
      </c>
      <c r="E9459">
        <v>1978</v>
      </c>
      <c r="F9459" s="1">
        <v>71</v>
      </c>
      <c r="G9459">
        <v>1980</v>
      </c>
      <c r="H9459">
        <f>AVERAGEIFS(Table1[value],Table1[IndicatorCode],Table1[[#This Row],[IndicatorCode]])</f>
        <v>72.66514008620689</v>
      </c>
      <c r="I9459" cm="1">
        <f t="array" ref="I9459">_xlfn.STDEV.P(IF(Table1[IndicatorCode]=Table1[[#This Row],[IndicatorCode]],Table1[value]))</f>
        <v>6.3409496564024987</v>
      </c>
      <c r="J9459">
        <f>(Table1[[#This Row],[value]] - Table1[[#This Row],[mean]]) / Table1[[#This Row],[std_dev]]</f>
        <v>-0.2626010576389905</v>
      </c>
      <c r="K9459">
        <f>AVERAGEIF(Table1[CountryCode],Table1[[#This Row],[CountryCode]],Table1[z-score])</f>
        <v>1.6213099703277349</v>
      </c>
      <c r="L9459" t="e">
        <f>VLOOKUP(Table1[[#This Row],[CountryCode]],[1]!Table1[#All],1,FALSE)</f>
        <v>#REF!</v>
      </c>
    </row>
    <row r="9460" spans="1:12" hidden="1" x14ac:dyDescent="0.3">
      <c r="A9460" t="s">
        <v>79</v>
      </c>
      <c r="B9460" t="s">
        <v>80</v>
      </c>
      <c r="C9460" t="s">
        <v>129</v>
      </c>
      <c r="D9460" t="s">
        <v>130</v>
      </c>
      <c r="E9460">
        <v>1979</v>
      </c>
      <c r="F9460" s="1">
        <v>72</v>
      </c>
      <c r="G9460">
        <v>1980</v>
      </c>
      <c r="H9460">
        <f>AVERAGEIFS(Table1[value],Table1[IndicatorCode],Table1[[#This Row],[IndicatorCode]])</f>
        <v>72.66514008620689</v>
      </c>
      <c r="I9460" cm="1">
        <f t="array" ref="I9460">_xlfn.STDEV.P(IF(Table1[IndicatorCode]=Table1[[#This Row],[IndicatorCode]],Table1[value]))</f>
        <v>6.3409496564024987</v>
      </c>
      <c r="J9460">
        <f>(Table1[[#This Row],[value]] - Table1[[#This Row],[mean]]) / Table1[[#This Row],[std_dev]]</f>
        <v>-0.10489597335555145</v>
      </c>
      <c r="K9460">
        <f>AVERAGEIF(Table1[CountryCode],Table1[[#This Row],[CountryCode]],Table1[z-score])</f>
        <v>1.6213099703277349</v>
      </c>
      <c r="L9460" t="e">
        <f>VLOOKUP(Table1[[#This Row],[CountryCode]],[1]!Table1[#All],1,FALSE)</f>
        <v>#REF!</v>
      </c>
    </row>
    <row r="9461" spans="1:12" hidden="1" x14ac:dyDescent="0.3">
      <c r="A9461" t="s">
        <v>79</v>
      </c>
      <c r="B9461" t="s">
        <v>80</v>
      </c>
      <c r="C9461" t="s">
        <v>129</v>
      </c>
      <c r="D9461" t="s">
        <v>130</v>
      </c>
      <c r="E9461">
        <v>1980</v>
      </c>
      <c r="F9461" s="1">
        <v>72</v>
      </c>
      <c r="G9461">
        <v>1980</v>
      </c>
      <c r="H9461">
        <f>AVERAGEIFS(Table1[value],Table1[IndicatorCode],Table1[[#This Row],[IndicatorCode]])</f>
        <v>72.66514008620689</v>
      </c>
      <c r="I9461" cm="1">
        <f t="array" ref="I9461">_xlfn.STDEV.P(IF(Table1[IndicatorCode]=Table1[[#This Row],[IndicatorCode]],Table1[value]))</f>
        <v>6.3409496564024987</v>
      </c>
      <c r="J9461">
        <f>(Table1[[#This Row],[value]] - Table1[[#This Row],[mean]]) / Table1[[#This Row],[std_dev]]</f>
        <v>-0.10489597335555145</v>
      </c>
      <c r="K9461">
        <f>AVERAGEIF(Table1[CountryCode],Table1[[#This Row],[CountryCode]],Table1[z-score])</f>
        <v>1.6213099703277349</v>
      </c>
      <c r="L9461" t="e">
        <f>VLOOKUP(Table1[[#This Row],[CountryCode]],[1]!Table1[#All],1,FALSE)</f>
        <v>#REF!</v>
      </c>
    </row>
    <row r="9462" spans="1:12" hidden="1" x14ac:dyDescent="0.3">
      <c r="A9462" t="s">
        <v>79</v>
      </c>
      <c r="B9462" t="s">
        <v>80</v>
      </c>
      <c r="C9462" t="s">
        <v>129</v>
      </c>
      <c r="D9462" t="s">
        <v>130</v>
      </c>
      <c r="E9462">
        <v>1981</v>
      </c>
      <c r="F9462" s="1">
        <v>72</v>
      </c>
      <c r="G9462">
        <v>1980</v>
      </c>
      <c r="H9462">
        <f>AVERAGEIFS(Table1[value],Table1[IndicatorCode],Table1[[#This Row],[IndicatorCode]])</f>
        <v>72.66514008620689</v>
      </c>
      <c r="I9462" cm="1">
        <f t="array" ref="I9462">_xlfn.STDEV.P(IF(Table1[IndicatorCode]=Table1[[#This Row],[IndicatorCode]],Table1[value]))</f>
        <v>6.3409496564024987</v>
      </c>
      <c r="J9462">
        <f>(Table1[[#This Row],[value]] - Table1[[#This Row],[mean]]) / Table1[[#This Row],[std_dev]]</f>
        <v>-0.10489597335555145</v>
      </c>
      <c r="K9462">
        <f>AVERAGEIF(Table1[CountryCode],Table1[[#This Row],[CountryCode]],Table1[z-score])</f>
        <v>1.6213099703277349</v>
      </c>
      <c r="L9462" t="e">
        <f>VLOOKUP(Table1[[#This Row],[CountryCode]],[1]!Table1[#All],1,FALSE)</f>
        <v>#REF!</v>
      </c>
    </row>
    <row r="9463" spans="1:12" hidden="1" x14ac:dyDescent="0.3">
      <c r="A9463" t="s">
        <v>79</v>
      </c>
      <c r="B9463" t="s">
        <v>80</v>
      </c>
      <c r="C9463" t="s">
        <v>129</v>
      </c>
      <c r="D9463" t="s">
        <v>130</v>
      </c>
      <c r="E9463">
        <v>1982</v>
      </c>
      <c r="F9463" s="1">
        <v>72</v>
      </c>
      <c r="G9463">
        <v>1980</v>
      </c>
      <c r="H9463">
        <f>AVERAGEIFS(Table1[value],Table1[IndicatorCode],Table1[[#This Row],[IndicatorCode]])</f>
        <v>72.66514008620689</v>
      </c>
      <c r="I9463" cm="1">
        <f t="array" ref="I9463">_xlfn.STDEV.P(IF(Table1[IndicatorCode]=Table1[[#This Row],[IndicatorCode]],Table1[value]))</f>
        <v>6.3409496564024987</v>
      </c>
      <c r="J9463">
        <f>(Table1[[#This Row],[value]] - Table1[[#This Row],[mean]]) / Table1[[#This Row],[std_dev]]</f>
        <v>-0.10489597335555145</v>
      </c>
      <c r="K9463">
        <f>AVERAGEIF(Table1[CountryCode],Table1[[#This Row],[CountryCode]],Table1[z-score])</f>
        <v>1.6213099703277349</v>
      </c>
      <c r="L9463" t="e">
        <f>VLOOKUP(Table1[[#This Row],[CountryCode]],[1]!Table1[#All],1,FALSE)</f>
        <v>#REF!</v>
      </c>
    </row>
    <row r="9464" spans="1:12" hidden="1" x14ac:dyDescent="0.3">
      <c r="A9464" t="s">
        <v>79</v>
      </c>
      <c r="B9464" t="s">
        <v>80</v>
      </c>
      <c r="C9464" t="s">
        <v>129</v>
      </c>
      <c r="D9464" t="s">
        <v>130</v>
      </c>
      <c r="E9464">
        <v>1983</v>
      </c>
      <c r="F9464" s="1">
        <v>73</v>
      </c>
      <c r="G9464">
        <v>1980</v>
      </c>
      <c r="H9464">
        <f>AVERAGEIFS(Table1[value],Table1[IndicatorCode],Table1[[#This Row],[IndicatorCode]])</f>
        <v>72.66514008620689</v>
      </c>
      <c r="I9464" cm="1">
        <f t="array" ref="I9464">_xlfn.STDEV.P(IF(Table1[IndicatorCode]=Table1[[#This Row],[IndicatorCode]],Table1[value]))</f>
        <v>6.3409496564024987</v>
      </c>
      <c r="J9464">
        <f>(Table1[[#This Row],[value]] - Table1[[#This Row],[mean]]) / Table1[[#This Row],[std_dev]]</f>
        <v>5.2809110927887599E-2</v>
      </c>
      <c r="K9464">
        <f>AVERAGEIF(Table1[CountryCode],Table1[[#This Row],[CountryCode]],Table1[z-score])</f>
        <v>1.6213099703277349</v>
      </c>
      <c r="L9464" t="e">
        <f>VLOOKUP(Table1[[#This Row],[CountryCode]],[1]!Table1[#All],1,FALSE)</f>
        <v>#REF!</v>
      </c>
    </row>
    <row r="9465" spans="1:12" hidden="1" x14ac:dyDescent="0.3">
      <c r="A9465" t="s">
        <v>79</v>
      </c>
      <c r="B9465" t="s">
        <v>80</v>
      </c>
      <c r="C9465" t="s">
        <v>129</v>
      </c>
      <c r="D9465" t="s">
        <v>130</v>
      </c>
      <c r="E9465">
        <v>1984</v>
      </c>
      <c r="F9465" s="1">
        <v>73</v>
      </c>
      <c r="G9465">
        <v>1980</v>
      </c>
      <c r="H9465">
        <f>AVERAGEIFS(Table1[value],Table1[IndicatorCode],Table1[[#This Row],[IndicatorCode]])</f>
        <v>72.66514008620689</v>
      </c>
      <c r="I9465" cm="1">
        <f t="array" ref="I9465">_xlfn.STDEV.P(IF(Table1[IndicatorCode]=Table1[[#This Row],[IndicatorCode]],Table1[value]))</f>
        <v>6.3409496564024987</v>
      </c>
      <c r="J9465">
        <f>(Table1[[#This Row],[value]] - Table1[[#This Row],[mean]]) / Table1[[#This Row],[std_dev]]</f>
        <v>5.2809110927887599E-2</v>
      </c>
      <c r="K9465">
        <f>AVERAGEIF(Table1[CountryCode],Table1[[#This Row],[CountryCode]],Table1[z-score])</f>
        <v>1.6213099703277349</v>
      </c>
      <c r="L9465" t="e">
        <f>VLOOKUP(Table1[[#This Row],[CountryCode]],[1]!Table1[#All],1,FALSE)</f>
        <v>#REF!</v>
      </c>
    </row>
    <row r="9466" spans="1:12" hidden="1" x14ac:dyDescent="0.3">
      <c r="A9466" t="s">
        <v>79</v>
      </c>
      <c r="B9466" t="s">
        <v>80</v>
      </c>
      <c r="C9466" t="s">
        <v>129</v>
      </c>
      <c r="D9466" t="s">
        <v>130</v>
      </c>
      <c r="E9466">
        <v>1985</v>
      </c>
      <c r="F9466" s="1">
        <v>73</v>
      </c>
      <c r="G9466">
        <v>1980</v>
      </c>
      <c r="H9466">
        <f>AVERAGEIFS(Table1[value],Table1[IndicatorCode],Table1[[#This Row],[IndicatorCode]])</f>
        <v>72.66514008620689</v>
      </c>
      <c r="I9466" cm="1">
        <f t="array" ref="I9466">_xlfn.STDEV.P(IF(Table1[IndicatorCode]=Table1[[#This Row],[IndicatorCode]],Table1[value]))</f>
        <v>6.3409496564024987</v>
      </c>
      <c r="J9466">
        <f>(Table1[[#This Row],[value]] - Table1[[#This Row],[mean]]) / Table1[[#This Row],[std_dev]]</f>
        <v>5.2809110927887599E-2</v>
      </c>
      <c r="K9466">
        <f>AVERAGEIF(Table1[CountryCode],Table1[[#This Row],[CountryCode]],Table1[z-score])</f>
        <v>1.6213099703277349</v>
      </c>
      <c r="L9466" t="e">
        <f>VLOOKUP(Table1[[#This Row],[CountryCode]],[1]!Table1[#All],1,FALSE)</f>
        <v>#REF!</v>
      </c>
    </row>
    <row r="9467" spans="1:12" hidden="1" x14ac:dyDescent="0.3">
      <c r="A9467" t="s">
        <v>79</v>
      </c>
      <c r="B9467" t="s">
        <v>80</v>
      </c>
      <c r="C9467" t="s">
        <v>129</v>
      </c>
      <c r="D9467" t="s">
        <v>130</v>
      </c>
      <c r="E9467">
        <v>1986</v>
      </c>
      <c r="F9467" s="1">
        <v>74</v>
      </c>
      <c r="G9467">
        <v>1980</v>
      </c>
      <c r="H9467">
        <f>AVERAGEIFS(Table1[value],Table1[IndicatorCode],Table1[[#This Row],[IndicatorCode]])</f>
        <v>72.66514008620689</v>
      </c>
      <c r="I9467" cm="1">
        <f t="array" ref="I9467">_xlfn.STDEV.P(IF(Table1[IndicatorCode]=Table1[[#This Row],[IndicatorCode]],Table1[value]))</f>
        <v>6.3409496564024987</v>
      </c>
      <c r="J9467">
        <f>(Table1[[#This Row],[value]] - Table1[[#This Row],[mean]]) / Table1[[#This Row],[std_dev]]</f>
        <v>0.21051419521132667</v>
      </c>
      <c r="K9467">
        <f>AVERAGEIF(Table1[CountryCode],Table1[[#This Row],[CountryCode]],Table1[z-score])</f>
        <v>1.6213099703277349</v>
      </c>
      <c r="L9467" t="e">
        <f>VLOOKUP(Table1[[#This Row],[CountryCode]],[1]!Table1[#All],1,FALSE)</f>
        <v>#REF!</v>
      </c>
    </row>
    <row r="9468" spans="1:12" hidden="1" x14ac:dyDescent="0.3">
      <c r="A9468" t="s">
        <v>79</v>
      </c>
      <c r="B9468" t="s">
        <v>80</v>
      </c>
      <c r="C9468" t="s">
        <v>129</v>
      </c>
      <c r="D9468" t="s">
        <v>130</v>
      </c>
      <c r="E9468">
        <v>1987</v>
      </c>
      <c r="F9468" s="1">
        <v>74</v>
      </c>
      <c r="G9468">
        <v>1990</v>
      </c>
      <c r="H9468">
        <f>AVERAGEIFS(Table1[value],Table1[IndicatorCode],Table1[[#This Row],[IndicatorCode]])</f>
        <v>72.66514008620689</v>
      </c>
      <c r="I9468" cm="1">
        <f t="array" ref="I9468">_xlfn.STDEV.P(IF(Table1[IndicatorCode]=Table1[[#This Row],[IndicatorCode]],Table1[value]))</f>
        <v>6.3409496564024987</v>
      </c>
      <c r="J9468">
        <f>(Table1[[#This Row],[value]] - Table1[[#This Row],[mean]]) / Table1[[#This Row],[std_dev]]</f>
        <v>0.21051419521132667</v>
      </c>
      <c r="K9468">
        <f>AVERAGEIF(Table1[CountryCode],Table1[[#This Row],[CountryCode]],Table1[z-score])</f>
        <v>1.6213099703277349</v>
      </c>
      <c r="L9468" t="e">
        <f>VLOOKUP(Table1[[#This Row],[CountryCode]],[1]!Table1[#All],1,FALSE)</f>
        <v>#REF!</v>
      </c>
    </row>
    <row r="9469" spans="1:12" hidden="1" x14ac:dyDescent="0.3">
      <c r="A9469" t="s">
        <v>79</v>
      </c>
      <c r="B9469" t="s">
        <v>80</v>
      </c>
      <c r="C9469" t="s">
        <v>129</v>
      </c>
      <c r="D9469" t="s">
        <v>130</v>
      </c>
      <c r="E9469">
        <v>1988</v>
      </c>
      <c r="F9469" s="1">
        <v>74</v>
      </c>
      <c r="G9469">
        <v>1990</v>
      </c>
      <c r="H9469">
        <f>AVERAGEIFS(Table1[value],Table1[IndicatorCode],Table1[[#This Row],[IndicatorCode]])</f>
        <v>72.66514008620689</v>
      </c>
      <c r="I9469" cm="1">
        <f t="array" ref="I9469">_xlfn.STDEV.P(IF(Table1[IndicatorCode]=Table1[[#This Row],[IndicatorCode]],Table1[value]))</f>
        <v>6.3409496564024987</v>
      </c>
      <c r="J9469">
        <f>(Table1[[#This Row],[value]] - Table1[[#This Row],[mean]]) / Table1[[#This Row],[std_dev]]</f>
        <v>0.21051419521132667</v>
      </c>
      <c r="K9469">
        <f>AVERAGEIF(Table1[CountryCode],Table1[[#This Row],[CountryCode]],Table1[z-score])</f>
        <v>1.6213099703277349</v>
      </c>
      <c r="L9469" t="e">
        <f>VLOOKUP(Table1[[#This Row],[CountryCode]],[1]!Table1[#All],1,FALSE)</f>
        <v>#REF!</v>
      </c>
    </row>
    <row r="9470" spans="1:12" hidden="1" x14ac:dyDescent="0.3">
      <c r="A9470" t="s">
        <v>79</v>
      </c>
      <c r="B9470" t="s">
        <v>80</v>
      </c>
      <c r="C9470" t="s">
        <v>129</v>
      </c>
      <c r="D9470" t="s">
        <v>130</v>
      </c>
      <c r="E9470">
        <v>1989</v>
      </c>
      <c r="F9470" s="1">
        <v>74</v>
      </c>
      <c r="G9470">
        <v>1990</v>
      </c>
      <c r="H9470">
        <f>AVERAGEIFS(Table1[value],Table1[IndicatorCode],Table1[[#This Row],[IndicatorCode]])</f>
        <v>72.66514008620689</v>
      </c>
      <c r="I9470" cm="1">
        <f t="array" ref="I9470">_xlfn.STDEV.P(IF(Table1[IndicatorCode]=Table1[[#This Row],[IndicatorCode]],Table1[value]))</f>
        <v>6.3409496564024987</v>
      </c>
      <c r="J9470">
        <f>(Table1[[#This Row],[value]] - Table1[[#This Row],[mean]]) / Table1[[#This Row],[std_dev]]</f>
        <v>0.21051419521132667</v>
      </c>
      <c r="K9470">
        <f>AVERAGEIF(Table1[CountryCode],Table1[[#This Row],[CountryCode]],Table1[z-score])</f>
        <v>1.6213099703277349</v>
      </c>
      <c r="L9470" t="e">
        <f>VLOOKUP(Table1[[#This Row],[CountryCode]],[1]!Table1[#All],1,FALSE)</f>
        <v>#REF!</v>
      </c>
    </row>
    <row r="9471" spans="1:12" hidden="1" x14ac:dyDescent="0.3">
      <c r="A9471" t="s">
        <v>79</v>
      </c>
      <c r="B9471" t="s">
        <v>80</v>
      </c>
      <c r="C9471" t="s">
        <v>129</v>
      </c>
      <c r="D9471" t="s">
        <v>130</v>
      </c>
      <c r="E9471">
        <v>1990</v>
      </c>
      <c r="F9471" s="1">
        <v>75</v>
      </c>
      <c r="G9471">
        <v>1990</v>
      </c>
      <c r="H9471">
        <f>AVERAGEIFS(Table1[value],Table1[IndicatorCode],Table1[[#This Row],[IndicatorCode]])</f>
        <v>72.66514008620689</v>
      </c>
      <c r="I9471" cm="1">
        <f t="array" ref="I9471">_xlfn.STDEV.P(IF(Table1[IndicatorCode]=Table1[[#This Row],[IndicatorCode]],Table1[value]))</f>
        <v>6.3409496564024987</v>
      </c>
      <c r="J9471">
        <f>(Table1[[#This Row],[value]] - Table1[[#This Row],[mean]]) / Table1[[#This Row],[std_dev]]</f>
        <v>0.36821927949476574</v>
      </c>
      <c r="K9471">
        <f>AVERAGEIF(Table1[CountryCode],Table1[[#This Row],[CountryCode]],Table1[z-score])</f>
        <v>1.6213099703277349</v>
      </c>
      <c r="L9471" t="e">
        <f>VLOOKUP(Table1[[#This Row],[CountryCode]],[1]!Table1[#All],1,FALSE)</f>
        <v>#REF!</v>
      </c>
    </row>
    <row r="9472" spans="1:12" hidden="1" x14ac:dyDescent="0.3">
      <c r="A9472" t="s">
        <v>79</v>
      </c>
      <c r="B9472" t="s">
        <v>80</v>
      </c>
      <c r="C9472" t="s">
        <v>129</v>
      </c>
      <c r="D9472" t="s">
        <v>130</v>
      </c>
      <c r="E9472">
        <v>1991</v>
      </c>
      <c r="F9472" s="1">
        <v>75</v>
      </c>
      <c r="G9472">
        <v>1990</v>
      </c>
      <c r="H9472">
        <f>AVERAGEIFS(Table1[value],Table1[IndicatorCode],Table1[[#This Row],[IndicatorCode]])</f>
        <v>72.66514008620689</v>
      </c>
      <c r="I9472" cm="1">
        <f t="array" ref="I9472">_xlfn.STDEV.P(IF(Table1[IndicatorCode]=Table1[[#This Row],[IndicatorCode]],Table1[value]))</f>
        <v>6.3409496564024987</v>
      </c>
      <c r="J9472">
        <f>(Table1[[#This Row],[value]] - Table1[[#This Row],[mean]]) / Table1[[#This Row],[std_dev]]</f>
        <v>0.36821927949476574</v>
      </c>
      <c r="K9472">
        <f>AVERAGEIF(Table1[CountryCode],Table1[[#This Row],[CountryCode]],Table1[z-score])</f>
        <v>1.6213099703277349</v>
      </c>
      <c r="L9472" t="e">
        <f>VLOOKUP(Table1[[#This Row],[CountryCode]],[1]!Table1[#All],1,FALSE)</f>
        <v>#REF!</v>
      </c>
    </row>
    <row r="9473" spans="1:12" hidden="1" x14ac:dyDescent="0.3">
      <c r="A9473" t="s">
        <v>79</v>
      </c>
      <c r="B9473" t="s">
        <v>80</v>
      </c>
      <c r="C9473" t="s">
        <v>129</v>
      </c>
      <c r="D9473" t="s">
        <v>130</v>
      </c>
      <c r="E9473">
        <v>1992</v>
      </c>
      <c r="F9473" s="1">
        <v>76</v>
      </c>
      <c r="G9473">
        <v>1990</v>
      </c>
      <c r="H9473">
        <f>AVERAGEIFS(Table1[value],Table1[IndicatorCode],Table1[[#This Row],[IndicatorCode]])</f>
        <v>72.66514008620689</v>
      </c>
      <c r="I9473" cm="1">
        <f t="array" ref="I9473">_xlfn.STDEV.P(IF(Table1[IndicatorCode]=Table1[[#This Row],[IndicatorCode]],Table1[value]))</f>
        <v>6.3409496564024987</v>
      </c>
      <c r="J9473">
        <f>(Table1[[#This Row],[value]] - Table1[[#This Row],[mean]]) / Table1[[#This Row],[std_dev]]</f>
        <v>0.52592436377820473</v>
      </c>
      <c r="K9473">
        <f>AVERAGEIF(Table1[CountryCode],Table1[[#This Row],[CountryCode]],Table1[z-score])</f>
        <v>1.6213099703277349</v>
      </c>
      <c r="L9473" t="e">
        <f>VLOOKUP(Table1[[#This Row],[CountryCode]],[1]!Table1[#All],1,FALSE)</f>
        <v>#REF!</v>
      </c>
    </row>
    <row r="9474" spans="1:12" hidden="1" x14ac:dyDescent="0.3">
      <c r="A9474" t="s">
        <v>79</v>
      </c>
      <c r="B9474" t="s">
        <v>80</v>
      </c>
      <c r="C9474" t="s">
        <v>129</v>
      </c>
      <c r="D9474" t="s">
        <v>130</v>
      </c>
      <c r="E9474">
        <v>1993</v>
      </c>
      <c r="F9474" s="1">
        <v>76</v>
      </c>
      <c r="G9474">
        <v>1990</v>
      </c>
      <c r="H9474">
        <f>AVERAGEIFS(Table1[value],Table1[IndicatorCode],Table1[[#This Row],[IndicatorCode]])</f>
        <v>72.66514008620689</v>
      </c>
      <c r="I9474" cm="1">
        <f t="array" ref="I9474">_xlfn.STDEV.P(IF(Table1[IndicatorCode]=Table1[[#This Row],[IndicatorCode]],Table1[value]))</f>
        <v>6.3409496564024987</v>
      </c>
      <c r="J9474">
        <f>(Table1[[#This Row],[value]] - Table1[[#This Row],[mean]]) / Table1[[#This Row],[std_dev]]</f>
        <v>0.52592436377820473</v>
      </c>
      <c r="K9474">
        <f>AVERAGEIF(Table1[CountryCode],Table1[[#This Row],[CountryCode]],Table1[z-score])</f>
        <v>1.6213099703277349</v>
      </c>
      <c r="L9474" t="e">
        <f>VLOOKUP(Table1[[#This Row],[CountryCode]],[1]!Table1[#All],1,FALSE)</f>
        <v>#REF!</v>
      </c>
    </row>
    <row r="9475" spans="1:12" hidden="1" x14ac:dyDescent="0.3">
      <c r="A9475" t="s">
        <v>79</v>
      </c>
      <c r="B9475" t="s">
        <v>80</v>
      </c>
      <c r="C9475" t="s">
        <v>129</v>
      </c>
      <c r="D9475" t="s">
        <v>130</v>
      </c>
      <c r="E9475">
        <v>1994</v>
      </c>
      <c r="F9475" s="1">
        <v>76</v>
      </c>
      <c r="G9475">
        <v>1990</v>
      </c>
      <c r="H9475">
        <f>AVERAGEIFS(Table1[value],Table1[IndicatorCode],Table1[[#This Row],[IndicatorCode]])</f>
        <v>72.66514008620689</v>
      </c>
      <c r="I9475" cm="1">
        <f t="array" ref="I9475">_xlfn.STDEV.P(IF(Table1[IndicatorCode]=Table1[[#This Row],[IndicatorCode]],Table1[value]))</f>
        <v>6.3409496564024987</v>
      </c>
      <c r="J9475">
        <f>(Table1[[#This Row],[value]] - Table1[[#This Row],[mean]]) / Table1[[#This Row],[std_dev]]</f>
        <v>0.52592436377820473</v>
      </c>
      <c r="K9475">
        <f>AVERAGEIF(Table1[CountryCode],Table1[[#This Row],[CountryCode]],Table1[z-score])</f>
        <v>1.6213099703277349</v>
      </c>
      <c r="L9475" t="e">
        <f>VLOOKUP(Table1[[#This Row],[CountryCode]],[1]!Table1[#All],1,FALSE)</f>
        <v>#REF!</v>
      </c>
    </row>
    <row r="9476" spans="1:12" hidden="1" x14ac:dyDescent="0.3">
      <c r="A9476" t="s">
        <v>79</v>
      </c>
      <c r="B9476" t="s">
        <v>80</v>
      </c>
      <c r="C9476" t="s">
        <v>129</v>
      </c>
      <c r="D9476" t="s">
        <v>130</v>
      </c>
      <c r="E9476">
        <v>1995</v>
      </c>
      <c r="F9476" s="1">
        <v>77</v>
      </c>
      <c r="G9476">
        <v>1990</v>
      </c>
      <c r="H9476">
        <f>AVERAGEIFS(Table1[value],Table1[IndicatorCode],Table1[[#This Row],[IndicatorCode]])</f>
        <v>72.66514008620689</v>
      </c>
      <c r="I9476" cm="1">
        <f t="array" ref="I9476">_xlfn.STDEV.P(IF(Table1[IndicatorCode]=Table1[[#This Row],[IndicatorCode]],Table1[value]))</f>
        <v>6.3409496564024987</v>
      </c>
      <c r="J9476">
        <f>(Table1[[#This Row],[value]] - Table1[[#This Row],[mean]]) / Table1[[#This Row],[std_dev]]</f>
        <v>0.68362944806164383</v>
      </c>
      <c r="K9476">
        <f>AVERAGEIF(Table1[CountryCode],Table1[[#This Row],[CountryCode]],Table1[z-score])</f>
        <v>1.6213099703277349</v>
      </c>
      <c r="L9476" t="e">
        <f>VLOOKUP(Table1[[#This Row],[CountryCode]],[1]!Table1[#All],1,FALSE)</f>
        <v>#REF!</v>
      </c>
    </row>
    <row r="9477" spans="1:12" hidden="1" x14ac:dyDescent="0.3">
      <c r="A9477" t="s">
        <v>79</v>
      </c>
      <c r="B9477" t="s">
        <v>80</v>
      </c>
      <c r="C9477" t="s">
        <v>129</v>
      </c>
      <c r="D9477" t="s">
        <v>130</v>
      </c>
      <c r="E9477">
        <v>1996</v>
      </c>
      <c r="F9477" s="1">
        <v>77</v>
      </c>
      <c r="G9477">
        <v>1990</v>
      </c>
      <c r="H9477">
        <f>AVERAGEIFS(Table1[value],Table1[IndicatorCode],Table1[[#This Row],[IndicatorCode]])</f>
        <v>72.66514008620689</v>
      </c>
      <c r="I9477" cm="1">
        <f t="array" ref="I9477">_xlfn.STDEV.P(IF(Table1[IndicatorCode]=Table1[[#This Row],[IndicatorCode]],Table1[value]))</f>
        <v>6.3409496564024987</v>
      </c>
      <c r="J9477">
        <f>(Table1[[#This Row],[value]] - Table1[[#This Row],[mean]]) / Table1[[#This Row],[std_dev]]</f>
        <v>0.68362944806164383</v>
      </c>
      <c r="K9477">
        <f>AVERAGEIF(Table1[CountryCode],Table1[[#This Row],[CountryCode]],Table1[z-score])</f>
        <v>1.6213099703277349</v>
      </c>
      <c r="L9477" t="e">
        <f>VLOOKUP(Table1[[#This Row],[CountryCode]],[1]!Table1[#All],1,FALSE)</f>
        <v>#REF!</v>
      </c>
    </row>
    <row r="9478" spans="1:12" hidden="1" x14ac:dyDescent="0.3">
      <c r="A9478" t="s">
        <v>79</v>
      </c>
      <c r="B9478" t="s">
        <v>80</v>
      </c>
      <c r="C9478" t="s">
        <v>129</v>
      </c>
      <c r="D9478" t="s">
        <v>130</v>
      </c>
      <c r="E9478">
        <v>1997</v>
      </c>
      <c r="F9478" s="1">
        <v>77</v>
      </c>
      <c r="G9478">
        <v>2000</v>
      </c>
      <c r="H9478">
        <f>AVERAGEIFS(Table1[value],Table1[IndicatorCode],Table1[[#This Row],[IndicatorCode]])</f>
        <v>72.66514008620689</v>
      </c>
      <c r="I9478" cm="1">
        <f t="array" ref="I9478">_xlfn.STDEV.P(IF(Table1[IndicatorCode]=Table1[[#This Row],[IndicatorCode]],Table1[value]))</f>
        <v>6.3409496564024987</v>
      </c>
      <c r="J9478">
        <f>(Table1[[#This Row],[value]] - Table1[[#This Row],[mean]]) / Table1[[#This Row],[std_dev]]</f>
        <v>0.68362944806164383</v>
      </c>
      <c r="K9478">
        <f>AVERAGEIF(Table1[CountryCode],Table1[[#This Row],[CountryCode]],Table1[z-score])</f>
        <v>1.6213099703277349</v>
      </c>
      <c r="L9478" t="e">
        <f>VLOOKUP(Table1[[#This Row],[CountryCode]],[1]!Table1[#All],1,FALSE)</f>
        <v>#REF!</v>
      </c>
    </row>
    <row r="9479" spans="1:12" hidden="1" x14ac:dyDescent="0.3">
      <c r="A9479" t="s">
        <v>79</v>
      </c>
      <c r="B9479" t="s">
        <v>80</v>
      </c>
      <c r="C9479" t="s">
        <v>129</v>
      </c>
      <c r="D9479" t="s">
        <v>130</v>
      </c>
      <c r="E9479">
        <v>1998</v>
      </c>
      <c r="F9479" s="1">
        <v>77</v>
      </c>
      <c r="G9479">
        <v>2000</v>
      </c>
      <c r="H9479">
        <f>AVERAGEIFS(Table1[value],Table1[IndicatorCode],Table1[[#This Row],[IndicatorCode]])</f>
        <v>72.66514008620689</v>
      </c>
      <c r="I9479" cm="1">
        <f t="array" ref="I9479">_xlfn.STDEV.P(IF(Table1[IndicatorCode]=Table1[[#This Row],[IndicatorCode]],Table1[value]))</f>
        <v>6.3409496564024987</v>
      </c>
      <c r="J9479">
        <f>(Table1[[#This Row],[value]] - Table1[[#This Row],[mean]]) / Table1[[#This Row],[std_dev]]</f>
        <v>0.68362944806164383</v>
      </c>
      <c r="K9479">
        <f>AVERAGEIF(Table1[CountryCode],Table1[[#This Row],[CountryCode]],Table1[z-score])</f>
        <v>1.6213099703277349</v>
      </c>
      <c r="L9479" t="e">
        <f>VLOOKUP(Table1[[#This Row],[CountryCode]],[1]!Table1[#All],1,FALSE)</f>
        <v>#REF!</v>
      </c>
    </row>
    <row r="9480" spans="1:12" hidden="1" x14ac:dyDescent="0.3">
      <c r="A9480" t="s">
        <v>79</v>
      </c>
      <c r="B9480" t="s">
        <v>80</v>
      </c>
      <c r="C9480" t="s">
        <v>129</v>
      </c>
      <c r="D9480" t="s">
        <v>130</v>
      </c>
      <c r="E9480">
        <v>1999</v>
      </c>
      <c r="F9480" s="1">
        <v>78</v>
      </c>
      <c r="G9480">
        <v>2000</v>
      </c>
      <c r="H9480">
        <f>AVERAGEIFS(Table1[value],Table1[IndicatorCode],Table1[[#This Row],[IndicatorCode]])</f>
        <v>72.66514008620689</v>
      </c>
      <c r="I9480" cm="1">
        <f t="array" ref="I9480">_xlfn.STDEV.P(IF(Table1[IndicatorCode]=Table1[[#This Row],[IndicatorCode]],Table1[value]))</f>
        <v>6.3409496564024987</v>
      </c>
      <c r="J9480">
        <f>(Table1[[#This Row],[value]] - Table1[[#This Row],[mean]]) / Table1[[#This Row],[std_dev]]</f>
        <v>0.84133453234508293</v>
      </c>
      <c r="K9480">
        <f>AVERAGEIF(Table1[CountryCode],Table1[[#This Row],[CountryCode]],Table1[z-score])</f>
        <v>1.6213099703277349</v>
      </c>
      <c r="L9480" t="e">
        <f>VLOOKUP(Table1[[#This Row],[CountryCode]],[1]!Table1[#All],1,FALSE)</f>
        <v>#REF!</v>
      </c>
    </row>
    <row r="9481" spans="1:12" hidden="1" x14ac:dyDescent="0.3">
      <c r="A9481" t="s">
        <v>79</v>
      </c>
      <c r="B9481" t="s">
        <v>80</v>
      </c>
      <c r="C9481" t="s">
        <v>129</v>
      </c>
      <c r="D9481" t="s">
        <v>130</v>
      </c>
      <c r="E9481">
        <v>2000</v>
      </c>
      <c r="F9481" s="1">
        <v>78</v>
      </c>
      <c r="G9481">
        <v>2000</v>
      </c>
      <c r="H9481">
        <f>AVERAGEIFS(Table1[value],Table1[IndicatorCode],Table1[[#This Row],[IndicatorCode]])</f>
        <v>72.66514008620689</v>
      </c>
      <c r="I9481" cm="1">
        <f t="array" ref="I9481">_xlfn.STDEV.P(IF(Table1[IndicatorCode]=Table1[[#This Row],[IndicatorCode]],Table1[value]))</f>
        <v>6.3409496564024987</v>
      </c>
      <c r="J9481">
        <f>(Table1[[#This Row],[value]] - Table1[[#This Row],[mean]]) / Table1[[#This Row],[std_dev]]</f>
        <v>0.84133453234508293</v>
      </c>
      <c r="K9481">
        <f>AVERAGEIF(Table1[CountryCode],Table1[[#This Row],[CountryCode]],Table1[z-score])</f>
        <v>1.6213099703277349</v>
      </c>
      <c r="L9481" t="e">
        <f>VLOOKUP(Table1[[#This Row],[CountryCode]],[1]!Table1[#All],1,FALSE)</f>
        <v>#REF!</v>
      </c>
    </row>
    <row r="9482" spans="1:12" hidden="1" x14ac:dyDescent="0.3">
      <c r="A9482" t="s">
        <v>79</v>
      </c>
      <c r="B9482" t="s">
        <v>80</v>
      </c>
      <c r="C9482" t="s">
        <v>129</v>
      </c>
      <c r="D9482" t="s">
        <v>130</v>
      </c>
      <c r="E9482">
        <v>2001</v>
      </c>
      <c r="F9482" s="1">
        <v>78</v>
      </c>
      <c r="G9482">
        <v>2000</v>
      </c>
      <c r="H9482">
        <f>AVERAGEIFS(Table1[value],Table1[IndicatorCode],Table1[[#This Row],[IndicatorCode]])</f>
        <v>72.66514008620689</v>
      </c>
      <c r="I9482" cm="1">
        <f t="array" ref="I9482">_xlfn.STDEV.P(IF(Table1[IndicatorCode]=Table1[[#This Row],[IndicatorCode]],Table1[value]))</f>
        <v>6.3409496564024987</v>
      </c>
      <c r="J9482">
        <f>(Table1[[#This Row],[value]] - Table1[[#This Row],[mean]]) / Table1[[#This Row],[std_dev]]</f>
        <v>0.84133453234508293</v>
      </c>
      <c r="K9482">
        <f>AVERAGEIF(Table1[CountryCode],Table1[[#This Row],[CountryCode]],Table1[z-score])</f>
        <v>1.6213099703277349</v>
      </c>
      <c r="L9482" t="e">
        <f>VLOOKUP(Table1[[#This Row],[CountryCode]],[1]!Table1[#All],1,FALSE)</f>
        <v>#REF!</v>
      </c>
    </row>
    <row r="9483" spans="1:12" hidden="1" x14ac:dyDescent="0.3">
      <c r="A9483" t="s">
        <v>79</v>
      </c>
      <c r="B9483" t="s">
        <v>80</v>
      </c>
      <c r="C9483" t="s">
        <v>129</v>
      </c>
      <c r="D9483" t="s">
        <v>130</v>
      </c>
      <c r="E9483">
        <v>2002</v>
      </c>
      <c r="F9483" s="1">
        <v>78</v>
      </c>
      <c r="G9483">
        <v>2000</v>
      </c>
      <c r="H9483">
        <f>AVERAGEIFS(Table1[value],Table1[IndicatorCode],Table1[[#This Row],[IndicatorCode]])</f>
        <v>72.66514008620689</v>
      </c>
      <c r="I9483" cm="1">
        <f t="array" ref="I9483">_xlfn.STDEV.P(IF(Table1[IndicatorCode]=Table1[[#This Row],[IndicatorCode]],Table1[value]))</f>
        <v>6.3409496564024987</v>
      </c>
      <c r="J9483">
        <f>(Table1[[#This Row],[value]] - Table1[[#This Row],[mean]]) / Table1[[#This Row],[std_dev]]</f>
        <v>0.84133453234508293</v>
      </c>
      <c r="K9483">
        <f>AVERAGEIF(Table1[CountryCode],Table1[[#This Row],[CountryCode]],Table1[z-score])</f>
        <v>1.6213099703277349</v>
      </c>
      <c r="L9483" t="e">
        <f>VLOOKUP(Table1[[#This Row],[CountryCode]],[1]!Table1[#All],1,FALSE)</f>
        <v>#REF!</v>
      </c>
    </row>
    <row r="9484" spans="1:12" hidden="1" x14ac:dyDescent="0.3">
      <c r="A9484" t="s">
        <v>79</v>
      </c>
      <c r="B9484" t="s">
        <v>80</v>
      </c>
      <c r="C9484" t="s">
        <v>129</v>
      </c>
      <c r="D9484" t="s">
        <v>130</v>
      </c>
      <c r="E9484">
        <v>2003</v>
      </c>
      <c r="F9484" s="1">
        <v>78</v>
      </c>
      <c r="G9484">
        <v>2000</v>
      </c>
      <c r="H9484">
        <f>AVERAGEIFS(Table1[value],Table1[IndicatorCode],Table1[[#This Row],[IndicatorCode]])</f>
        <v>72.66514008620689</v>
      </c>
      <c r="I9484" cm="1">
        <f t="array" ref="I9484">_xlfn.STDEV.P(IF(Table1[IndicatorCode]=Table1[[#This Row],[IndicatorCode]],Table1[value]))</f>
        <v>6.3409496564024987</v>
      </c>
      <c r="J9484">
        <f>(Table1[[#This Row],[value]] - Table1[[#This Row],[mean]]) / Table1[[#This Row],[std_dev]]</f>
        <v>0.84133453234508293</v>
      </c>
      <c r="K9484">
        <f>AVERAGEIF(Table1[CountryCode],Table1[[#This Row],[CountryCode]],Table1[z-score])</f>
        <v>1.6213099703277349</v>
      </c>
      <c r="L9484" t="e">
        <f>VLOOKUP(Table1[[#This Row],[CountryCode]],[1]!Table1[#All],1,FALSE)</f>
        <v>#REF!</v>
      </c>
    </row>
    <row r="9485" spans="1:12" hidden="1" x14ac:dyDescent="0.3">
      <c r="A9485" t="s">
        <v>79</v>
      </c>
      <c r="B9485" t="s">
        <v>80</v>
      </c>
      <c r="C9485" t="s">
        <v>129</v>
      </c>
      <c r="D9485" t="s">
        <v>130</v>
      </c>
      <c r="E9485">
        <v>2004</v>
      </c>
      <c r="F9485" s="1">
        <v>79</v>
      </c>
      <c r="G9485">
        <v>2000</v>
      </c>
      <c r="H9485">
        <f>AVERAGEIFS(Table1[value],Table1[IndicatorCode],Table1[[#This Row],[IndicatorCode]])</f>
        <v>72.66514008620689</v>
      </c>
      <c r="I9485" cm="1">
        <f t="array" ref="I9485">_xlfn.STDEV.P(IF(Table1[IndicatorCode]=Table1[[#This Row],[IndicatorCode]],Table1[value]))</f>
        <v>6.3409496564024987</v>
      </c>
      <c r="J9485">
        <f>(Table1[[#This Row],[value]] - Table1[[#This Row],[mean]]) / Table1[[#This Row],[std_dev]]</f>
        <v>0.99903961662852192</v>
      </c>
      <c r="K9485">
        <f>AVERAGEIF(Table1[CountryCode],Table1[[#This Row],[CountryCode]],Table1[z-score])</f>
        <v>1.6213099703277349</v>
      </c>
      <c r="L9485" t="e">
        <f>VLOOKUP(Table1[[#This Row],[CountryCode]],[1]!Table1[#All],1,FALSE)</f>
        <v>#REF!</v>
      </c>
    </row>
    <row r="9486" spans="1:12" hidden="1" x14ac:dyDescent="0.3">
      <c r="A9486" t="s">
        <v>79</v>
      </c>
      <c r="B9486" t="s">
        <v>80</v>
      </c>
      <c r="C9486" t="s">
        <v>129</v>
      </c>
      <c r="D9486" t="s">
        <v>130</v>
      </c>
      <c r="E9486">
        <v>2005</v>
      </c>
      <c r="F9486" s="1">
        <v>79</v>
      </c>
      <c r="G9486">
        <v>2000</v>
      </c>
      <c r="H9486">
        <f>AVERAGEIFS(Table1[value],Table1[IndicatorCode],Table1[[#This Row],[IndicatorCode]])</f>
        <v>72.66514008620689</v>
      </c>
      <c r="I9486" cm="1">
        <f t="array" ref="I9486">_xlfn.STDEV.P(IF(Table1[IndicatorCode]=Table1[[#This Row],[IndicatorCode]],Table1[value]))</f>
        <v>6.3409496564024987</v>
      </c>
      <c r="J9486">
        <f>(Table1[[#This Row],[value]] - Table1[[#This Row],[mean]]) / Table1[[#This Row],[std_dev]]</f>
        <v>0.99903961662852192</v>
      </c>
      <c r="K9486">
        <f>AVERAGEIF(Table1[CountryCode],Table1[[#This Row],[CountryCode]],Table1[z-score])</f>
        <v>1.6213099703277349</v>
      </c>
      <c r="L9486" t="e">
        <f>VLOOKUP(Table1[[#This Row],[CountryCode]],[1]!Table1[#All],1,FALSE)</f>
        <v>#REF!</v>
      </c>
    </row>
    <row r="9487" spans="1:12" hidden="1" x14ac:dyDescent="0.3">
      <c r="A9487" t="s">
        <v>79</v>
      </c>
      <c r="B9487" t="s">
        <v>80</v>
      </c>
      <c r="C9487" t="s">
        <v>129</v>
      </c>
      <c r="D9487" t="s">
        <v>130</v>
      </c>
      <c r="E9487">
        <v>2006</v>
      </c>
      <c r="F9487" s="1">
        <v>79</v>
      </c>
      <c r="G9487">
        <v>2000</v>
      </c>
      <c r="H9487">
        <f>AVERAGEIFS(Table1[value],Table1[IndicatorCode],Table1[[#This Row],[IndicatorCode]])</f>
        <v>72.66514008620689</v>
      </c>
      <c r="I9487" cm="1">
        <f t="array" ref="I9487">_xlfn.STDEV.P(IF(Table1[IndicatorCode]=Table1[[#This Row],[IndicatorCode]],Table1[value]))</f>
        <v>6.3409496564024987</v>
      </c>
      <c r="J9487">
        <f>(Table1[[#This Row],[value]] - Table1[[#This Row],[mean]]) / Table1[[#This Row],[std_dev]]</f>
        <v>0.99903961662852192</v>
      </c>
      <c r="K9487">
        <f>AVERAGEIF(Table1[CountryCode],Table1[[#This Row],[CountryCode]],Table1[z-score])</f>
        <v>1.6213099703277349</v>
      </c>
      <c r="L9487" t="e">
        <f>VLOOKUP(Table1[[#This Row],[CountryCode]],[1]!Table1[#All],1,FALSE)</f>
        <v>#REF!</v>
      </c>
    </row>
    <row r="9488" spans="1:12" hidden="1" x14ac:dyDescent="0.3">
      <c r="A9488" t="s">
        <v>79</v>
      </c>
      <c r="B9488" t="s">
        <v>80</v>
      </c>
      <c r="C9488" t="s">
        <v>129</v>
      </c>
      <c r="D9488" t="s">
        <v>130</v>
      </c>
      <c r="E9488">
        <v>2007</v>
      </c>
      <c r="F9488" s="1">
        <v>79</v>
      </c>
      <c r="G9488">
        <v>2010</v>
      </c>
      <c r="H9488">
        <f>AVERAGEIFS(Table1[value],Table1[IndicatorCode],Table1[[#This Row],[IndicatorCode]])</f>
        <v>72.66514008620689</v>
      </c>
      <c r="I9488" cm="1">
        <f t="array" ref="I9488">_xlfn.STDEV.P(IF(Table1[IndicatorCode]=Table1[[#This Row],[IndicatorCode]],Table1[value]))</f>
        <v>6.3409496564024987</v>
      </c>
      <c r="J9488">
        <f>(Table1[[#This Row],[value]] - Table1[[#This Row],[mean]]) / Table1[[#This Row],[std_dev]]</f>
        <v>0.99903961662852192</v>
      </c>
      <c r="K9488">
        <f>AVERAGEIF(Table1[CountryCode],Table1[[#This Row],[CountryCode]],Table1[z-score])</f>
        <v>1.6213099703277349</v>
      </c>
      <c r="L9488" t="e">
        <f>VLOOKUP(Table1[[#This Row],[CountryCode]],[1]!Table1[#All],1,FALSE)</f>
        <v>#REF!</v>
      </c>
    </row>
    <row r="9489" spans="1:12" hidden="1" x14ac:dyDescent="0.3">
      <c r="A9489" t="s">
        <v>79</v>
      </c>
      <c r="B9489" t="s">
        <v>80</v>
      </c>
      <c r="C9489" t="s">
        <v>129</v>
      </c>
      <c r="D9489" t="s">
        <v>130</v>
      </c>
      <c r="E9489">
        <v>2008</v>
      </c>
      <c r="F9489" s="1">
        <v>81</v>
      </c>
      <c r="G9489">
        <v>2010</v>
      </c>
      <c r="H9489">
        <f>AVERAGEIFS(Table1[value],Table1[IndicatorCode],Table1[[#This Row],[IndicatorCode]])</f>
        <v>72.66514008620689</v>
      </c>
      <c r="I9489" cm="1">
        <f t="array" ref="I9489">_xlfn.STDEV.P(IF(Table1[IndicatorCode]=Table1[[#This Row],[IndicatorCode]],Table1[value]))</f>
        <v>6.3409496564024987</v>
      </c>
      <c r="J9489">
        <f>(Table1[[#This Row],[value]] - Table1[[#This Row],[mean]]) / Table1[[#This Row],[std_dev]]</f>
        <v>1.3144497851954</v>
      </c>
      <c r="K9489">
        <f>AVERAGEIF(Table1[CountryCode],Table1[[#This Row],[CountryCode]],Table1[z-score])</f>
        <v>1.6213099703277349</v>
      </c>
      <c r="L9489" t="e">
        <f>VLOOKUP(Table1[[#This Row],[CountryCode]],[1]!Table1[#All],1,FALSE)</f>
        <v>#REF!</v>
      </c>
    </row>
    <row r="9490" spans="1:12" hidden="1" x14ac:dyDescent="0.3">
      <c r="A9490" t="s">
        <v>79</v>
      </c>
      <c r="B9490" t="s">
        <v>80</v>
      </c>
      <c r="C9490" t="s">
        <v>129</v>
      </c>
      <c r="D9490" t="s">
        <v>130</v>
      </c>
      <c r="E9490">
        <v>2009</v>
      </c>
      <c r="F9490" s="1">
        <v>81</v>
      </c>
      <c r="G9490">
        <v>2010</v>
      </c>
      <c r="H9490">
        <f>AVERAGEIFS(Table1[value],Table1[IndicatorCode],Table1[[#This Row],[IndicatorCode]])</f>
        <v>72.66514008620689</v>
      </c>
      <c r="I9490" cm="1">
        <f t="array" ref="I9490">_xlfn.STDEV.P(IF(Table1[IndicatorCode]=Table1[[#This Row],[IndicatorCode]],Table1[value]))</f>
        <v>6.3409496564024987</v>
      </c>
      <c r="J9490">
        <f>(Table1[[#This Row],[value]] - Table1[[#This Row],[mean]]) / Table1[[#This Row],[std_dev]]</f>
        <v>1.3144497851954</v>
      </c>
      <c r="K9490">
        <f>AVERAGEIF(Table1[CountryCode],Table1[[#This Row],[CountryCode]],Table1[z-score])</f>
        <v>1.6213099703277349</v>
      </c>
      <c r="L9490" t="e">
        <f>VLOOKUP(Table1[[#This Row],[CountryCode]],[1]!Table1[#All],1,FALSE)</f>
        <v>#REF!</v>
      </c>
    </row>
    <row r="9491" spans="1:12" hidden="1" x14ac:dyDescent="0.3">
      <c r="A9491" t="s">
        <v>79</v>
      </c>
      <c r="B9491" t="s">
        <v>80</v>
      </c>
      <c r="C9491" t="s">
        <v>129</v>
      </c>
      <c r="D9491" t="s">
        <v>130</v>
      </c>
      <c r="E9491">
        <v>2010</v>
      </c>
      <c r="F9491" s="1">
        <v>81</v>
      </c>
      <c r="G9491">
        <v>2010</v>
      </c>
      <c r="H9491">
        <f>AVERAGEIFS(Table1[value],Table1[IndicatorCode],Table1[[#This Row],[IndicatorCode]])</f>
        <v>72.66514008620689</v>
      </c>
      <c r="I9491" cm="1">
        <f t="array" ref="I9491">_xlfn.STDEV.P(IF(Table1[IndicatorCode]=Table1[[#This Row],[IndicatorCode]],Table1[value]))</f>
        <v>6.3409496564024987</v>
      </c>
      <c r="J9491">
        <f>(Table1[[#This Row],[value]] - Table1[[#This Row],[mean]]) / Table1[[#This Row],[std_dev]]</f>
        <v>1.3144497851954</v>
      </c>
      <c r="K9491">
        <f>AVERAGEIF(Table1[CountryCode],Table1[[#This Row],[CountryCode]],Table1[z-score])</f>
        <v>1.6213099703277349</v>
      </c>
      <c r="L9491" t="e">
        <f>VLOOKUP(Table1[[#This Row],[CountryCode]],[1]!Table1[#All],1,FALSE)</f>
        <v>#REF!</v>
      </c>
    </row>
    <row r="9492" spans="1:12" hidden="1" x14ac:dyDescent="0.3">
      <c r="A9492" t="s">
        <v>79</v>
      </c>
      <c r="B9492" t="s">
        <v>80</v>
      </c>
      <c r="C9492" t="s">
        <v>129</v>
      </c>
      <c r="D9492" t="s">
        <v>130</v>
      </c>
      <c r="E9492">
        <v>2011</v>
      </c>
      <c r="F9492" s="1">
        <v>81</v>
      </c>
      <c r="G9492">
        <v>2010</v>
      </c>
      <c r="H9492">
        <f>AVERAGEIFS(Table1[value],Table1[IndicatorCode],Table1[[#This Row],[IndicatorCode]])</f>
        <v>72.66514008620689</v>
      </c>
      <c r="I9492" cm="1">
        <f t="array" ref="I9492">_xlfn.STDEV.P(IF(Table1[IndicatorCode]=Table1[[#This Row],[IndicatorCode]],Table1[value]))</f>
        <v>6.3409496564024987</v>
      </c>
      <c r="J9492">
        <f>(Table1[[#This Row],[value]] - Table1[[#This Row],[mean]]) / Table1[[#This Row],[std_dev]]</f>
        <v>1.3144497851954</v>
      </c>
      <c r="K9492">
        <f>AVERAGEIF(Table1[CountryCode],Table1[[#This Row],[CountryCode]],Table1[z-score])</f>
        <v>1.6213099703277349</v>
      </c>
      <c r="L9492" t="e">
        <f>VLOOKUP(Table1[[#This Row],[CountryCode]],[1]!Table1[#All],1,FALSE)</f>
        <v>#REF!</v>
      </c>
    </row>
    <row r="9493" spans="1:12" hidden="1" x14ac:dyDescent="0.3">
      <c r="A9493" t="s">
        <v>79</v>
      </c>
      <c r="B9493" t="s">
        <v>80</v>
      </c>
      <c r="C9493" t="s">
        <v>129</v>
      </c>
      <c r="D9493" t="s">
        <v>130</v>
      </c>
      <c r="E9493">
        <v>2012</v>
      </c>
      <c r="F9493" s="1">
        <v>81</v>
      </c>
      <c r="G9493">
        <v>2010</v>
      </c>
      <c r="H9493">
        <f>AVERAGEIFS(Table1[value],Table1[IndicatorCode],Table1[[#This Row],[IndicatorCode]])</f>
        <v>72.66514008620689</v>
      </c>
      <c r="I9493" cm="1">
        <f t="array" ref="I9493">_xlfn.STDEV.P(IF(Table1[IndicatorCode]=Table1[[#This Row],[IndicatorCode]],Table1[value]))</f>
        <v>6.3409496564024987</v>
      </c>
      <c r="J9493">
        <f>(Table1[[#This Row],[value]] - Table1[[#This Row],[mean]]) / Table1[[#This Row],[std_dev]]</f>
        <v>1.3144497851954</v>
      </c>
      <c r="K9493">
        <f>AVERAGEIF(Table1[CountryCode],Table1[[#This Row],[CountryCode]],Table1[z-score])</f>
        <v>1.6213099703277349</v>
      </c>
      <c r="L9493" t="e">
        <f>VLOOKUP(Table1[[#This Row],[CountryCode]],[1]!Table1[#All],1,FALSE)</f>
        <v>#REF!</v>
      </c>
    </row>
    <row r="9494" spans="1:12" hidden="1" x14ac:dyDescent="0.3">
      <c r="A9494" t="s">
        <v>79</v>
      </c>
      <c r="B9494" t="s">
        <v>80</v>
      </c>
      <c r="C9494" t="s">
        <v>129</v>
      </c>
      <c r="D9494" t="s">
        <v>130</v>
      </c>
      <c r="E9494">
        <v>2013</v>
      </c>
      <c r="F9494" s="1">
        <v>82</v>
      </c>
      <c r="G9494">
        <v>2010</v>
      </c>
      <c r="H9494">
        <f>AVERAGEIFS(Table1[value],Table1[IndicatorCode],Table1[[#This Row],[IndicatorCode]])</f>
        <v>72.66514008620689</v>
      </c>
      <c r="I9494" cm="1">
        <f t="array" ref="I9494">_xlfn.STDEV.P(IF(Table1[IndicatorCode]=Table1[[#This Row],[IndicatorCode]],Table1[value]))</f>
        <v>6.3409496564024987</v>
      </c>
      <c r="J9494">
        <f>(Table1[[#This Row],[value]] - Table1[[#This Row],[mean]]) / Table1[[#This Row],[std_dev]]</f>
        <v>1.4721548694788391</v>
      </c>
      <c r="K9494">
        <f>AVERAGEIF(Table1[CountryCode],Table1[[#This Row],[CountryCode]],Table1[z-score])</f>
        <v>1.6213099703277349</v>
      </c>
      <c r="L9494" t="e">
        <f>VLOOKUP(Table1[[#This Row],[CountryCode]],[1]!Table1[#All],1,FALSE)</f>
        <v>#REF!</v>
      </c>
    </row>
    <row r="9495" spans="1:12" hidden="1" x14ac:dyDescent="0.3">
      <c r="A9495" t="s">
        <v>79</v>
      </c>
      <c r="B9495" t="s">
        <v>80</v>
      </c>
      <c r="C9495" t="s">
        <v>129</v>
      </c>
      <c r="D9495" t="s">
        <v>130</v>
      </c>
      <c r="E9495">
        <v>2014</v>
      </c>
      <c r="F9495" s="1">
        <v>82</v>
      </c>
      <c r="G9495">
        <v>2010</v>
      </c>
      <c r="H9495">
        <f>AVERAGEIFS(Table1[value],Table1[IndicatorCode],Table1[[#This Row],[IndicatorCode]])</f>
        <v>72.66514008620689</v>
      </c>
      <c r="I9495" cm="1">
        <f t="array" ref="I9495">_xlfn.STDEV.P(IF(Table1[IndicatorCode]=Table1[[#This Row],[IndicatorCode]],Table1[value]))</f>
        <v>6.3409496564024987</v>
      </c>
      <c r="J9495">
        <f>(Table1[[#This Row],[value]] - Table1[[#This Row],[mean]]) / Table1[[#This Row],[std_dev]]</f>
        <v>1.4721548694788391</v>
      </c>
      <c r="K9495">
        <f>AVERAGEIF(Table1[CountryCode],Table1[[#This Row],[CountryCode]],Table1[z-score])</f>
        <v>1.6213099703277349</v>
      </c>
      <c r="L9495" t="e">
        <f>VLOOKUP(Table1[[#This Row],[CountryCode]],[1]!Table1[#All],1,FALSE)</f>
        <v>#REF!</v>
      </c>
    </row>
    <row r="9496" spans="1:12" hidden="1" x14ac:dyDescent="0.3">
      <c r="A9496" t="s">
        <v>79</v>
      </c>
      <c r="B9496" t="s">
        <v>80</v>
      </c>
      <c r="C9496" t="s">
        <v>129</v>
      </c>
      <c r="D9496" t="s">
        <v>130</v>
      </c>
      <c r="E9496">
        <v>2015</v>
      </c>
      <c r="F9496" s="1">
        <v>82</v>
      </c>
      <c r="G9496">
        <v>2010</v>
      </c>
      <c r="H9496">
        <f>AVERAGEIFS(Table1[value],Table1[IndicatorCode],Table1[[#This Row],[IndicatorCode]])</f>
        <v>72.66514008620689</v>
      </c>
      <c r="I9496" cm="1">
        <f t="array" ref="I9496">_xlfn.STDEV.P(IF(Table1[IndicatorCode]=Table1[[#This Row],[IndicatorCode]],Table1[value]))</f>
        <v>6.3409496564024987</v>
      </c>
      <c r="J9496">
        <f>(Table1[[#This Row],[value]] - Table1[[#This Row],[mean]]) / Table1[[#This Row],[std_dev]]</f>
        <v>1.4721548694788391</v>
      </c>
      <c r="K9496">
        <f>AVERAGEIF(Table1[CountryCode],Table1[[#This Row],[CountryCode]],Table1[z-score])</f>
        <v>1.6213099703277349</v>
      </c>
      <c r="L9496" t="e">
        <f>VLOOKUP(Table1[[#This Row],[CountryCode]],[1]!Table1[#All],1,FALSE)</f>
        <v>#REF!</v>
      </c>
    </row>
    <row r="9497" spans="1:12" hidden="1" x14ac:dyDescent="0.3">
      <c r="A9497" t="s">
        <v>79</v>
      </c>
      <c r="B9497" t="s">
        <v>80</v>
      </c>
      <c r="C9497" t="s">
        <v>129</v>
      </c>
      <c r="D9497" t="s">
        <v>130</v>
      </c>
      <c r="E9497">
        <v>2016</v>
      </c>
      <c r="F9497" s="1">
        <v>83</v>
      </c>
      <c r="G9497">
        <v>2010</v>
      </c>
      <c r="H9497">
        <f>AVERAGEIFS(Table1[value],Table1[IndicatorCode],Table1[[#This Row],[IndicatorCode]])</f>
        <v>72.66514008620689</v>
      </c>
      <c r="I9497" cm="1">
        <f t="array" ref="I9497">_xlfn.STDEV.P(IF(Table1[IndicatorCode]=Table1[[#This Row],[IndicatorCode]],Table1[value]))</f>
        <v>6.3409496564024987</v>
      </c>
      <c r="J9497">
        <f>(Table1[[#This Row],[value]] - Table1[[#This Row],[mean]]) / Table1[[#This Row],[std_dev]]</f>
        <v>1.6298599537622782</v>
      </c>
      <c r="K9497">
        <f>AVERAGEIF(Table1[CountryCode],Table1[[#This Row],[CountryCode]],Table1[z-score])</f>
        <v>1.6213099703277349</v>
      </c>
      <c r="L9497" t="e">
        <f>VLOOKUP(Table1[[#This Row],[CountryCode]],[1]!Table1[#All],1,FALSE)</f>
        <v>#REF!</v>
      </c>
    </row>
    <row r="9498" spans="1:12" hidden="1" x14ac:dyDescent="0.3">
      <c r="A9498" t="s">
        <v>79</v>
      </c>
      <c r="B9498" t="s">
        <v>80</v>
      </c>
      <c r="C9498" t="s">
        <v>129</v>
      </c>
      <c r="D9498" t="s">
        <v>130</v>
      </c>
      <c r="E9498">
        <v>2017</v>
      </c>
      <c r="F9498" s="1">
        <v>82</v>
      </c>
      <c r="G9498">
        <v>2020</v>
      </c>
      <c r="H9498">
        <f>AVERAGEIFS(Table1[value],Table1[IndicatorCode],Table1[[#This Row],[IndicatorCode]])</f>
        <v>72.66514008620689</v>
      </c>
      <c r="I9498" cm="1">
        <f t="array" ref="I9498">_xlfn.STDEV.P(IF(Table1[IndicatorCode]=Table1[[#This Row],[IndicatorCode]],Table1[value]))</f>
        <v>6.3409496564024987</v>
      </c>
      <c r="J9498">
        <f>(Table1[[#This Row],[value]] - Table1[[#This Row],[mean]]) / Table1[[#This Row],[std_dev]]</f>
        <v>1.4721548694788391</v>
      </c>
      <c r="K9498">
        <f>AVERAGEIF(Table1[CountryCode],Table1[[#This Row],[CountryCode]],Table1[z-score])</f>
        <v>1.6213099703277349</v>
      </c>
      <c r="L9498" t="e">
        <f>VLOOKUP(Table1[[#This Row],[CountryCode]],[1]!Table1[#All],1,FALSE)</f>
        <v>#REF!</v>
      </c>
    </row>
    <row r="9499" spans="1:12" hidden="1" x14ac:dyDescent="0.3">
      <c r="A9499" t="s">
        <v>79</v>
      </c>
      <c r="B9499" t="s">
        <v>80</v>
      </c>
      <c r="C9499" t="s">
        <v>129</v>
      </c>
      <c r="D9499" t="s">
        <v>130</v>
      </c>
      <c r="E9499">
        <v>2018</v>
      </c>
      <c r="F9499" s="1">
        <v>82</v>
      </c>
      <c r="G9499">
        <v>2020</v>
      </c>
      <c r="H9499">
        <f>AVERAGEIFS(Table1[value],Table1[IndicatorCode],Table1[[#This Row],[IndicatorCode]])</f>
        <v>72.66514008620689</v>
      </c>
      <c r="I9499" cm="1">
        <f t="array" ref="I9499">_xlfn.STDEV.P(IF(Table1[IndicatorCode]=Table1[[#This Row],[IndicatorCode]],Table1[value]))</f>
        <v>6.3409496564024987</v>
      </c>
      <c r="J9499">
        <f>(Table1[[#This Row],[value]] - Table1[[#This Row],[mean]]) / Table1[[#This Row],[std_dev]]</f>
        <v>1.4721548694788391</v>
      </c>
      <c r="K9499">
        <f>AVERAGEIF(Table1[CountryCode],Table1[[#This Row],[CountryCode]],Table1[z-score])</f>
        <v>1.6213099703277349</v>
      </c>
      <c r="L9499" t="e">
        <f>VLOOKUP(Table1[[#This Row],[CountryCode]],[1]!Table1[#All],1,FALSE)</f>
        <v>#REF!</v>
      </c>
    </row>
    <row r="9500" spans="1:12" hidden="1" x14ac:dyDescent="0.3">
      <c r="A9500" t="s">
        <v>79</v>
      </c>
      <c r="B9500" t="s">
        <v>80</v>
      </c>
      <c r="C9500" t="s">
        <v>129</v>
      </c>
      <c r="D9500" t="s">
        <v>130</v>
      </c>
      <c r="E9500">
        <v>2019</v>
      </c>
      <c r="F9500" s="1">
        <v>83</v>
      </c>
      <c r="G9500">
        <v>2020</v>
      </c>
      <c r="H9500">
        <f>AVERAGEIFS(Table1[value],Table1[IndicatorCode],Table1[[#This Row],[IndicatorCode]])</f>
        <v>72.66514008620689</v>
      </c>
      <c r="I9500" cm="1">
        <f t="array" ref="I9500">_xlfn.STDEV.P(IF(Table1[IndicatorCode]=Table1[[#This Row],[IndicatorCode]],Table1[value]))</f>
        <v>6.3409496564024987</v>
      </c>
      <c r="J9500">
        <f>(Table1[[#This Row],[value]] - Table1[[#This Row],[mean]]) / Table1[[#This Row],[std_dev]]</f>
        <v>1.6298599537622782</v>
      </c>
      <c r="K9500">
        <f>AVERAGEIF(Table1[CountryCode],Table1[[#This Row],[CountryCode]],Table1[z-score])</f>
        <v>1.6213099703277349</v>
      </c>
      <c r="L9500" t="e">
        <f>VLOOKUP(Table1[[#This Row],[CountryCode]],[1]!Table1[#All],1,FALSE)</f>
        <v>#REF!</v>
      </c>
    </row>
    <row r="9501" spans="1:12" x14ac:dyDescent="0.3">
      <c r="A9501" t="s">
        <v>79</v>
      </c>
      <c r="B9501" t="s">
        <v>80</v>
      </c>
      <c r="C9501" t="s">
        <v>129</v>
      </c>
      <c r="D9501" t="s">
        <v>130</v>
      </c>
      <c r="E9501">
        <v>2020</v>
      </c>
      <c r="F9501" s="1">
        <v>82</v>
      </c>
      <c r="G9501">
        <v>2020</v>
      </c>
      <c r="H9501">
        <f>AVERAGEIFS(Table1[value],Table1[IndicatorCode],Table1[[#This Row],[IndicatorCode]])</f>
        <v>72.66514008620689</v>
      </c>
      <c r="I9501" cm="1">
        <f t="array" ref="I9501">_xlfn.STDEV.P(IF(Table1[IndicatorCode]=Table1[[#This Row],[IndicatorCode]],Table1[value]))</f>
        <v>6.3409496564024987</v>
      </c>
      <c r="J9501">
        <f>(Table1[[#This Row],[value]] - Table1[[#This Row],[mean]]) / Table1[[#This Row],[std_dev]]</f>
        <v>1.4721548694788391</v>
      </c>
      <c r="K9501">
        <f>AVERAGEIF(Table1[CountryCode],Table1[[#This Row],[CountryCode]],Table1[z-score])</f>
        <v>1.6213099703277349</v>
      </c>
    </row>
    <row r="9502" spans="1:12" hidden="1" x14ac:dyDescent="0.3">
      <c r="A9502" t="s">
        <v>79</v>
      </c>
      <c r="B9502" t="s">
        <v>80</v>
      </c>
      <c r="C9502" t="s">
        <v>129</v>
      </c>
      <c r="D9502" t="s">
        <v>130</v>
      </c>
      <c r="E9502">
        <v>2021</v>
      </c>
      <c r="F9502" s="1">
        <v>83</v>
      </c>
      <c r="G9502">
        <v>1960</v>
      </c>
      <c r="H9502">
        <f>AVERAGEIFS(Table1[value],Table1[IndicatorCode],Table1[[#This Row],[IndicatorCode]])</f>
        <v>72.66514008620689</v>
      </c>
      <c r="I9502" cm="1">
        <f t="array" ref="I9502">_xlfn.STDEV.P(IF(Table1[IndicatorCode]=Table1[[#This Row],[IndicatorCode]],Table1[value]))</f>
        <v>6.3409496564024987</v>
      </c>
      <c r="J9502">
        <f>(Table1[[#This Row],[value]] - Table1[[#This Row],[mean]]) / Table1[[#This Row],[std_dev]]</f>
        <v>1.6298599537622782</v>
      </c>
      <c r="K9502">
        <f>AVERAGEIF(Table1[CountryCode],Table1[[#This Row],[CountryCode]],Table1[z-score])</f>
        <v>1.6213099703277349</v>
      </c>
      <c r="L9502" t="e">
        <f>VLOOKUP(Table1[[#This Row],[CountryCode]],[1]!Table1[#All],1,FALSE)</f>
        <v>#REF!</v>
      </c>
    </row>
    <row r="9503" spans="1:12" hidden="1" x14ac:dyDescent="0.3">
      <c r="A9503" t="s">
        <v>79</v>
      </c>
      <c r="B9503" t="s">
        <v>80</v>
      </c>
      <c r="C9503" t="s">
        <v>129</v>
      </c>
      <c r="D9503" t="s">
        <v>130</v>
      </c>
      <c r="E9503">
        <v>2022</v>
      </c>
      <c r="F9503" s="1">
        <v>83</v>
      </c>
      <c r="G9503">
        <v>1960</v>
      </c>
      <c r="H9503">
        <f>AVERAGEIFS(Table1[value],Table1[IndicatorCode],Table1[[#This Row],[IndicatorCode]])</f>
        <v>72.66514008620689</v>
      </c>
      <c r="I9503" cm="1">
        <f t="array" ref="I9503">_xlfn.STDEV.P(IF(Table1[IndicatorCode]=Table1[[#This Row],[IndicatorCode]],Table1[value]))</f>
        <v>6.3409496564024987</v>
      </c>
      <c r="J9503">
        <f>(Table1[[#This Row],[value]] - Table1[[#This Row],[mean]]) / Table1[[#This Row],[std_dev]]</f>
        <v>1.6298599537622782</v>
      </c>
      <c r="K9503">
        <f>AVERAGEIF(Table1[CountryCode],Table1[[#This Row],[CountryCode]],Table1[z-score])</f>
        <v>1.6213099703277349</v>
      </c>
      <c r="L9503" t="e">
        <f>VLOOKUP(Table1[[#This Row],[CountryCode]],[1]!Table1[#All],1,FALSE)</f>
        <v>#REF!</v>
      </c>
    </row>
    <row r="9504" spans="1:12" hidden="1" x14ac:dyDescent="0.3">
      <c r="A9504" t="s">
        <v>79</v>
      </c>
      <c r="B9504" t="s">
        <v>80</v>
      </c>
      <c r="C9504" t="s">
        <v>129</v>
      </c>
      <c r="D9504" t="s">
        <v>130</v>
      </c>
      <c r="E9504">
        <v>2023</v>
      </c>
      <c r="F9504" s="1">
        <v>83</v>
      </c>
      <c r="G9504">
        <v>1960</v>
      </c>
      <c r="H9504">
        <f>AVERAGEIFS(Table1[value],Table1[IndicatorCode],Table1[[#This Row],[IndicatorCode]])</f>
        <v>72.66514008620689</v>
      </c>
      <c r="I9504" cm="1">
        <f t="array" ref="I9504">_xlfn.STDEV.P(IF(Table1[IndicatorCode]=Table1[[#This Row],[IndicatorCode]],Table1[value]))</f>
        <v>6.3409496564024987</v>
      </c>
      <c r="J9504">
        <f>(Table1[[#This Row],[value]] - Table1[[#This Row],[mean]]) / Table1[[#This Row],[std_dev]]</f>
        <v>1.6298599537622782</v>
      </c>
      <c r="K9504">
        <f>AVERAGEIF(Table1[CountryCode],Table1[[#This Row],[CountryCode]],Table1[z-score])</f>
        <v>1.6213099703277349</v>
      </c>
      <c r="L9504" t="e">
        <f>VLOOKUP(Table1[[#This Row],[CountryCode]],[1]!Table1[#All],1,FALSE)</f>
        <v>#REF!</v>
      </c>
    </row>
    <row r="9505" spans="1:12" hidden="1" x14ac:dyDescent="0.3">
      <c r="A9505" t="s">
        <v>81</v>
      </c>
      <c r="B9505" t="s">
        <v>82</v>
      </c>
      <c r="C9505" t="s">
        <v>129</v>
      </c>
      <c r="D9505" t="s">
        <v>130</v>
      </c>
      <c r="E9505">
        <v>1960</v>
      </c>
      <c r="F9505" s="1">
        <v>70</v>
      </c>
      <c r="G9505">
        <v>1960</v>
      </c>
      <c r="H9505">
        <f>AVERAGEIFS(Table1[value],Table1[IndicatorCode],Table1[[#This Row],[IndicatorCode]])</f>
        <v>72.66514008620689</v>
      </c>
      <c r="I9505" cm="1">
        <f t="array" ref="I9505">_xlfn.STDEV.P(IF(Table1[IndicatorCode]=Table1[[#This Row],[IndicatorCode]],Table1[value]))</f>
        <v>6.3409496564024987</v>
      </c>
      <c r="J9505">
        <f>(Table1[[#This Row],[value]] - Table1[[#This Row],[mean]]) / Table1[[#This Row],[std_dev]]</f>
        <v>-0.4203061419224296</v>
      </c>
      <c r="K9505">
        <f>AVERAGEIF(Table1[CountryCode],Table1[[#This Row],[CountryCode]],Table1[z-score])</f>
        <v>-0.32088063876347467</v>
      </c>
      <c r="L9505" t="e">
        <f>VLOOKUP(Table1[[#This Row],[CountryCode]],[1]!Table1[#All],1,FALSE)</f>
        <v>#REF!</v>
      </c>
    </row>
    <row r="9506" spans="1:12" hidden="1" x14ac:dyDescent="0.3">
      <c r="A9506" t="s">
        <v>81</v>
      </c>
      <c r="B9506" t="s">
        <v>82</v>
      </c>
      <c r="C9506" t="s">
        <v>129</v>
      </c>
      <c r="D9506" t="s">
        <v>130</v>
      </c>
      <c r="E9506">
        <v>1961</v>
      </c>
      <c r="F9506" s="1">
        <v>70</v>
      </c>
      <c r="G9506">
        <v>1960</v>
      </c>
      <c r="H9506">
        <f>AVERAGEIFS(Table1[value],Table1[IndicatorCode],Table1[[#This Row],[IndicatorCode]])</f>
        <v>72.66514008620689</v>
      </c>
      <c r="I9506" cm="1">
        <f t="array" ref="I9506">_xlfn.STDEV.P(IF(Table1[IndicatorCode]=Table1[[#This Row],[IndicatorCode]],Table1[value]))</f>
        <v>6.3409496564024987</v>
      </c>
      <c r="J9506">
        <f>(Table1[[#This Row],[value]] - Table1[[#This Row],[mean]]) / Table1[[#This Row],[std_dev]]</f>
        <v>-0.4203061419224296</v>
      </c>
      <c r="K9506">
        <f>AVERAGEIF(Table1[CountryCode],Table1[[#This Row],[CountryCode]],Table1[z-score])</f>
        <v>-0.32088063876347467</v>
      </c>
      <c r="L9506" t="e">
        <f>VLOOKUP(Table1[[#This Row],[CountryCode]],[1]!Table1[#All],1,FALSE)</f>
        <v>#REF!</v>
      </c>
    </row>
    <row r="9507" spans="1:12" hidden="1" x14ac:dyDescent="0.3">
      <c r="A9507" t="s">
        <v>81</v>
      </c>
      <c r="B9507" t="s">
        <v>82</v>
      </c>
      <c r="C9507" t="s">
        <v>129</v>
      </c>
      <c r="D9507" t="s">
        <v>130</v>
      </c>
      <c r="E9507">
        <v>1962</v>
      </c>
      <c r="F9507" s="1">
        <v>69</v>
      </c>
      <c r="G9507">
        <v>1960</v>
      </c>
      <c r="H9507">
        <f>AVERAGEIFS(Table1[value],Table1[IndicatorCode],Table1[[#This Row],[IndicatorCode]])</f>
        <v>72.66514008620689</v>
      </c>
      <c r="I9507" cm="1">
        <f t="array" ref="I9507">_xlfn.STDEV.P(IF(Table1[IndicatorCode]=Table1[[#This Row],[IndicatorCode]],Table1[value]))</f>
        <v>6.3409496564024987</v>
      </c>
      <c r="J9507">
        <f>(Table1[[#This Row],[value]] - Table1[[#This Row],[mean]]) / Table1[[#This Row],[std_dev]]</f>
        <v>-0.57801122620586864</v>
      </c>
      <c r="K9507">
        <f>AVERAGEIF(Table1[CountryCode],Table1[[#This Row],[CountryCode]],Table1[z-score])</f>
        <v>-0.32088063876347467</v>
      </c>
      <c r="L9507" t="e">
        <f>VLOOKUP(Table1[[#This Row],[CountryCode]],[1]!Table1[#All],1,FALSE)</f>
        <v>#REF!</v>
      </c>
    </row>
    <row r="9508" spans="1:12" hidden="1" x14ac:dyDescent="0.3">
      <c r="A9508" t="s">
        <v>81</v>
      </c>
      <c r="B9508" t="s">
        <v>82</v>
      </c>
      <c r="C9508" t="s">
        <v>129</v>
      </c>
      <c r="D9508" t="s">
        <v>130</v>
      </c>
      <c r="E9508">
        <v>1963</v>
      </c>
      <c r="F9508" s="1">
        <v>70</v>
      </c>
      <c r="G9508">
        <v>1960</v>
      </c>
      <c r="H9508">
        <f>AVERAGEIFS(Table1[value],Table1[IndicatorCode],Table1[[#This Row],[IndicatorCode]])</f>
        <v>72.66514008620689</v>
      </c>
      <c r="I9508" cm="1">
        <f t="array" ref="I9508">_xlfn.STDEV.P(IF(Table1[IndicatorCode]=Table1[[#This Row],[IndicatorCode]],Table1[value]))</f>
        <v>6.3409496564024987</v>
      </c>
      <c r="J9508">
        <f>(Table1[[#This Row],[value]] - Table1[[#This Row],[mean]]) / Table1[[#This Row],[std_dev]]</f>
        <v>-0.4203061419224296</v>
      </c>
      <c r="K9508">
        <f>AVERAGEIF(Table1[CountryCode],Table1[[#This Row],[CountryCode]],Table1[z-score])</f>
        <v>-0.32088063876347467</v>
      </c>
      <c r="L9508" t="e">
        <f>VLOOKUP(Table1[[#This Row],[CountryCode]],[1]!Table1[#All],1,FALSE)</f>
        <v>#REF!</v>
      </c>
    </row>
    <row r="9509" spans="1:12" hidden="1" x14ac:dyDescent="0.3">
      <c r="A9509" t="s">
        <v>81</v>
      </c>
      <c r="B9509" t="s">
        <v>82</v>
      </c>
      <c r="C9509" t="s">
        <v>129</v>
      </c>
      <c r="D9509" t="s">
        <v>130</v>
      </c>
      <c r="E9509">
        <v>1964</v>
      </c>
      <c r="F9509" s="1">
        <v>71</v>
      </c>
      <c r="G9509">
        <v>1960</v>
      </c>
      <c r="H9509">
        <f>AVERAGEIFS(Table1[value],Table1[IndicatorCode],Table1[[#This Row],[IndicatorCode]])</f>
        <v>72.66514008620689</v>
      </c>
      <c r="I9509" cm="1">
        <f t="array" ref="I9509">_xlfn.STDEV.P(IF(Table1[IndicatorCode]=Table1[[#This Row],[IndicatorCode]],Table1[value]))</f>
        <v>6.3409496564024987</v>
      </c>
      <c r="J9509">
        <f>(Table1[[#This Row],[value]] - Table1[[#This Row],[mean]]) / Table1[[#This Row],[std_dev]]</f>
        <v>-0.2626010576389905</v>
      </c>
      <c r="K9509">
        <f>AVERAGEIF(Table1[CountryCode],Table1[[#This Row],[CountryCode]],Table1[z-score])</f>
        <v>-0.32088063876347467</v>
      </c>
      <c r="L9509" t="e">
        <f>VLOOKUP(Table1[[#This Row],[CountryCode]],[1]!Table1[#All],1,FALSE)</f>
        <v>#REF!</v>
      </c>
    </row>
    <row r="9510" spans="1:12" hidden="1" x14ac:dyDescent="0.3">
      <c r="A9510" t="s">
        <v>81</v>
      </c>
      <c r="B9510" t="s">
        <v>82</v>
      </c>
      <c r="C9510" t="s">
        <v>129</v>
      </c>
      <c r="D9510" t="s">
        <v>130</v>
      </c>
      <c r="E9510">
        <v>1965</v>
      </c>
      <c r="F9510" s="1">
        <v>71</v>
      </c>
      <c r="G9510">
        <v>1960</v>
      </c>
      <c r="H9510">
        <f>AVERAGEIFS(Table1[value],Table1[IndicatorCode],Table1[[#This Row],[IndicatorCode]])</f>
        <v>72.66514008620689</v>
      </c>
      <c r="I9510" cm="1">
        <f t="array" ref="I9510">_xlfn.STDEV.P(IF(Table1[IndicatorCode]=Table1[[#This Row],[IndicatorCode]],Table1[value]))</f>
        <v>6.3409496564024987</v>
      </c>
      <c r="J9510">
        <f>(Table1[[#This Row],[value]] - Table1[[#This Row],[mean]]) / Table1[[#This Row],[std_dev]]</f>
        <v>-0.2626010576389905</v>
      </c>
      <c r="K9510">
        <f>AVERAGEIF(Table1[CountryCode],Table1[[#This Row],[CountryCode]],Table1[z-score])</f>
        <v>-0.32088063876347467</v>
      </c>
      <c r="L9510" t="e">
        <f>VLOOKUP(Table1[[#This Row],[CountryCode]],[1]!Table1[#All],1,FALSE)</f>
        <v>#REF!</v>
      </c>
    </row>
    <row r="9511" spans="1:12" hidden="1" x14ac:dyDescent="0.3">
      <c r="A9511" t="s">
        <v>81</v>
      </c>
      <c r="B9511" t="s">
        <v>82</v>
      </c>
      <c r="C9511" t="s">
        <v>129</v>
      </c>
      <c r="D9511" t="s">
        <v>130</v>
      </c>
      <c r="E9511">
        <v>1966</v>
      </c>
      <c r="F9511" s="1">
        <v>71</v>
      </c>
      <c r="G9511">
        <v>1960</v>
      </c>
      <c r="H9511">
        <f>AVERAGEIFS(Table1[value],Table1[IndicatorCode],Table1[[#This Row],[IndicatorCode]])</f>
        <v>72.66514008620689</v>
      </c>
      <c r="I9511" cm="1">
        <f t="array" ref="I9511">_xlfn.STDEV.P(IF(Table1[IndicatorCode]=Table1[[#This Row],[IndicatorCode]],Table1[value]))</f>
        <v>6.3409496564024987</v>
      </c>
      <c r="J9511">
        <f>(Table1[[#This Row],[value]] - Table1[[#This Row],[mean]]) / Table1[[#This Row],[std_dev]]</f>
        <v>-0.2626010576389905</v>
      </c>
      <c r="K9511">
        <f>AVERAGEIF(Table1[CountryCode],Table1[[#This Row],[CountryCode]],Table1[z-score])</f>
        <v>-0.32088063876347467</v>
      </c>
      <c r="L9511" t="e">
        <f>VLOOKUP(Table1[[#This Row],[CountryCode]],[1]!Table1[#All],1,FALSE)</f>
        <v>#REF!</v>
      </c>
    </row>
    <row r="9512" spans="1:12" hidden="1" x14ac:dyDescent="0.3">
      <c r="A9512" t="s">
        <v>81</v>
      </c>
      <c r="B9512" t="s">
        <v>82</v>
      </c>
      <c r="C9512" t="s">
        <v>129</v>
      </c>
      <c r="D9512" t="s">
        <v>130</v>
      </c>
      <c r="E9512">
        <v>1967</v>
      </c>
      <c r="F9512" s="1">
        <v>70</v>
      </c>
      <c r="G9512">
        <v>1970</v>
      </c>
      <c r="H9512">
        <f>AVERAGEIFS(Table1[value],Table1[IndicatorCode],Table1[[#This Row],[IndicatorCode]])</f>
        <v>72.66514008620689</v>
      </c>
      <c r="I9512" cm="1">
        <f t="array" ref="I9512">_xlfn.STDEV.P(IF(Table1[IndicatorCode]=Table1[[#This Row],[IndicatorCode]],Table1[value]))</f>
        <v>6.3409496564024987</v>
      </c>
      <c r="J9512">
        <f>(Table1[[#This Row],[value]] - Table1[[#This Row],[mean]]) / Table1[[#This Row],[std_dev]]</f>
        <v>-0.4203061419224296</v>
      </c>
      <c r="K9512">
        <f>AVERAGEIF(Table1[CountryCode],Table1[[#This Row],[CountryCode]],Table1[z-score])</f>
        <v>-0.32088063876347467</v>
      </c>
      <c r="L9512" t="e">
        <f>VLOOKUP(Table1[[#This Row],[CountryCode]],[1]!Table1[#All],1,FALSE)</f>
        <v>#REF!</v>
      </c>
    </row>
    <row r="9513" spans="1:12" hidden="1" x14ac:dyDescent="0.3">
      <c r="A9513" t="s">
        <v>81</v>
      </c>
      <c r="B9513" t="s">
        <v>82</v>
      </c>
      <c r="C9513" t="s">
        <v>129</v>
      </c>
      <c r="D9513" t="s">
        <v>130</v>
      </c>
      <c r="E9513">
        <v>1968</v>
      </c>
      <c r="F9513" s="1">
        <v>70</v>
      </c>
      <c r="G9513">
        <v>1970</v>
      </c>
      <c r="H9513">
        <f>AVERAGEIFS(Table1[value],Table1[IndicatorCode],Table1[[#This Row],[IndicatorCode]])</f>
        <v>72.66514008620689</v>
      </c>
      <c r="I9513" cm="1">
        <f t="array" ref="I9513">_xlfn.STDEV.P(IF(Table1[IndicatorCode]=Table1[[#This Row],[IndicatorCode]],Table1[value]))</f>
        <v>6.3409496564024987</v>
      </c>
      <c r="J9513">
        <f>(Table1[[#This Row],[value]] - Table1[[#This Row],[mean]]) / Table1[[#This Row],[std_dev]]</f>
        <v>-0.4203061419224296</v>
      </c>
      <c r="K9513">
        <f>AVERAGEIF(Table1[CountryCode],Table1[[#This Row],[CountryCode]],Table1[z-score])</f>
        <v>-0.32088063876347467</v>
      </c>
      <c r="L9513" t="e">
        <f>VLOOKUP(Table1[[#This Row],[CountryCode]],[1]!Table1[#All],1,FALSE)</f>
        <v>#REF!</v>
      </c>
    </row>
    <row r="9514" spans="1:12" hidden="1" x14ac:dyDescent="0.3">
      <c r="A9514" t="s">
        <v>81</v>
      </c>
      <c r="B9514" t="s">
        <v>82</v>
      </c>
      <c r="C9514" t="s">
        <v>129</v>
      </c>
      <c r="D9514" t="s">
        <v>130</v>
      </c>
      <c r="E9514">
        <v>1969</v>
      </c>
      <c r="F9514" s="1">
        <v>70</v>
      </c>
      <c r="G9514">
        <v>1970</v>
      </c>
      <c r="H9514">
        <f>AVERAGEIFS(Table1[value],Table1[IndicatorCode],Table1[[#This Row],[IndicatorCode]])</f>
        <v>72.66514008620689</v>
      </c>
      <c r="I9514" cm="1">
        <f t="array" ref="I9514">_xlfn.STDEV.P(IF(Table1[IndicatorCode]=Table1[[#This Row],[IndicatorCode]],Table1[value]))</f>
        <v>6.3409496564024987</v>
      </c>
      <c r="J9514">
        <f>(Table1[[#This Row],[value]] - Table1[[#This Row],[mean]]) / Table1[[#This Row],[std_dev]]</f>
        <v>-0.4203061419224296</v>
      </c>
      <c r="K9514">
        <f>AVERAGEIF(Table1[CountryCode],Table1[[#This Row],[CountryCode]],Table1[z-score])</f>
        <v>-0.32088063876347467</v>
      </c>
      <c r="L9514" t="e">
        <f>VLOOKUP(Table1[[#This Row],[CountryCode]],[1]!Table1[#All],1,FALSE)</f>
        <v>#REF!</v>
      </c>
    </row>
    <row r="9515" spans="1:12" hidden="1" x14ac:dyDescent="0.3">
      <c r="A9515" t="s">
        <v>81</v>
      </c>
      <c r="B9515" t="s">
        <v>82</v>
      </c>
      <c r="C9515" t="s">
        <v>129</v>
      </c>
      <c r="D9515" t="s">
        <v>130</v>
      </c>
      <c r="E9515">
        <v>1970</v>
      </c>
      <c r="F9515" s="1">
        <v>70</v>
      </c>
      <c r="G9515">
        <v>1970</v>
      </c>
      <c r="H9515">
        <f>AVERAGEIFS(Table1[value],Table1[IndicatorCode],Table1[[#This Row],[IndicatorCode]])</f>
        <v>72.66514008620689</v>
      </c>
      <c r="I9515" cm="1">
        <f t="array" ref="I9515">_xlfn.STDEV.P(IF(Table1[IndicatorCode]=Table1[[#This Row],[IndicatorCode]],Table1[value]))</f>
        <v>6.3409496564024987</v>
      </c>
      <c r="J9515">
        <f>(Table1[[#This Row],[value]] - Table1[[#This Row],[mean]]) / Table1[[#This Row],[std_dev]]</f>
        <v>-0.4203061419224296</v>
      </c>
      <c r="K9515">
        <f>AVERAGEIF(Table1[CountryCode],Table1[[#This Row],[CountryCode]],Table1[z-score])</f>
        <v>-0.32088063876347467</v>
      </c>
      <c r="L9515" t="e">
        <f>VLOOKUP(Table1[[#This Row],[CountryCode]],[1]!Table1[#All],1,FALSE)</f>
        <v>#REF!</v>
      </c>
    </row>
    <row r="9516" spans="1:12" hidden="1" x14ac:dyDescent="0.3">
      <c r="A9516" t="s">
        <v>81</v>
      </c>
      <c r="B9516" t="s">
        <v>82</v>
      </c>
      <c r="C9516" t="s">
        <v>129</v>
      </c>
      <c r="D9516" t="s">
        <v>130</v>
      </c>
      <c r="E9516">
        <v>1971</v>
      </c>
      <c r="F9516" s="1">
        <v>70</v>
      </c>
      <c r="G9516">
        <v>1970</v>
      </c>
      <c r="H9516">
        <f>AVERAGEIFS(Table1[value],Table1[IndicatorCode],Table1[[#This Row],[IndicatorCode]])</f>
        <v>72.66514008620689</v>
      </c>
      <c r="I9516" cm="1">
        <f t="array" ref="I9516">_xlfn.STDEV.P(IF(Table1[IndicatorCode]=Table1[[#This Row],[IndicatorCode]],Table1[value]))</f>
        <v>6.3409496564024987</v>
      </c>
      <c r="J9516">
        <f>(Table1[[#This Row],[value]] - Table1[[#This Row],[mean]]) / Table1[[#This Row],[std_dev]]</f>
        <v>-0.4203061419224296</v>
      </c>
      <c r="K9516">
        <f>AVERAGEIF(Table1[CountryCode],Table1[[#This Row],[CountryCode]],Table1[z-score])</f>
        <v>-0.32088063876347467</v>
      </c>
      <c r="L9516" t="e">
        <f>VLOOKUP(Table1[[#This Row],[CountryCode]],[1]!Table1[#All],1,FALSE)</f>
        <v>#REF!</v>
      </c>
    </row>
    <row r="9517" spans="1:12" hidden="1" x14ac:dyDescent="0.3">
      <c r="A9517" t="s">
        <v>81</v>
      </c>
      <c r="B9517" t="s">
        <v>82</v>
      </c>
      <c r="C9517" t="s">
        <v>129</v>
      </c>
      <c r="D9517" t="s">
        <v>130</v>
      </c>
      <c r="E9517">
        <v>1972</v>
      </c>
      <c r="F9517" s="1">
        <v>70</v>
      </c>
      <c r="G9517">
        <v>1970</v>
      </c>
      <c r="H9517">
        <f>AVERAGEIFS(Table1[value],Table1[IndicatorCode],Table1[[#This Row],[IndicatorCode]])</f>
        <v>72.66514008620689</v>
      </c>
      <c r="I9517" cm="1">
        <f t="array" ref="I9517">_xlfn.STDEV.P(IF(Table1[IndicatorCode]=Table1[[#This Row],[IndicatorCode]],Table1[value]))</f>
        <v>6.3409496564024987</v>
      </c>
      <c r="J9517">
        <f>(Table1[[#This Row],[value]] - Table1[[#This Row],[mean]]) / Table1[[#This Row],[std_dev]]</f>
        <v>-0.4203061419224296</v>
      </c>
      <c r="K9517">
        <f>AVERAGEIF(Table1[CountryCode],Table1[[#This Row],[CountryCode]],Table1[z-score])</f>
        <v>-0.32088063876347467</v>
      </c>
      <c r="L9517" t="e">
        <f>VLOOKUP(Table1[[#This Row],[CountryCode]],[1]!Table1[#All],1,FALSE)</f>
        <v>#REF!</v>
      </c>
    </row>
    <row r="9518" spans="1:12" hidden="1" x14ac:dyDescent="0.3">
      <c r="A9518" t="s">
        <v>81</v>
      </c>
      <c r="B9518" t="s">
        <v>82</v>
      </c>
      <c r="C9518" t="s">
        <v>129</v>
      </c>
      <c r="D9518" t="s">
        <v>130</v>
      </c>
      <c r="E9518">
        <v>1973</v>
      </c>
      <c r="F9518" s="1">
        <v>70</v>
      </c>
      <c r="G9518">
        <v>1970</v>
      </c>
      <c r="H9518">
        <f>AVERAGEIFS(Table1[value],Table1[IndicatorCode],Table1[[#This Row],[IndicatorCode]])</f>
        <v>72.66514008620689</v>
      </c>
      <c r="I9518" cm="1">
        <f t="array" ref="I9518">_xlfn.STDEV.P(IF(Table1[IndicatorCode]=Table1[[#This Row],[IndicatorCode]],Table1[value]))</f>
        <v>6.3409496564024987</v>
      </c>
      <c r="J9518">
        <f>(Table1[[#This Row],[value]] - Table1[[#This Row],[mean]]) / Table1[[#This Row],[std_dev]]</f>
        <v>-0.4203061419224296</v>
      </c>
      <c r="K9518">
        <f>AVERAGEIF(Table1[CountryCode],Table1[[#This Row],[CountryCode]],Table1[z-score])</f>
        <v>-0.32088063876347467</v>
      </c>
      <c r="L9518" t="e">
        <f>VLOOKUP(Table1[[#This Row],[CountryCode]],[1]!Table1[#All],1,FALSE)</f>
        <v>#REF!</v>
      </c>
    </row>
    <row r="9519" spans="1:12" hidden="1" x14ac:dyDescent="0.3">
      <c r="A9519" t="s">
        <v>81</v>
      </c>
      <c r="B9519" t="s">
        <v>82</v>
      </c>
      <c r="C9519" t="s">
        <v>129</v>
      </c>
      <c r="D9519" t="s">
        <v>130</v>
      </c>
      <c r="E9519">
        <v>1974</v>
      </c>
      <c r="F9519" s="1">
        <v>70</v>
      </c>
      <c r="G9519">
        <v>1970</v>
      </c>
      <c r="H9519">
        <f>AVERAGEIFS(Table1[value],Table1[IndicatorCode],Table1[[#This Row],[IndicatorCode]])</f>
        <v>72.66514008620689</v>
      </c>
      <c r="I9519" cm="1">
        <f t="array" ref="I9519">_xlfn.STDEV.P(IF(Table1[IndicatorCode]=Table1[[#This Row],[IndicatorCode]],Table1[value]))</f>
        <v>6.3409496564024987</v>
      </c>
      <c r="J9519">
        <f>(Table1[[#This Row],[value]] - Table1[[#This Row],[mean]]) / Table1[[#This Row],[std_dev]]</f>
        <v>-0.4203061419224296</v>
      </c>
      <c r="K9519">
        <f>AVERAGEIF(Table1[CountryCode],Table1[[#This Row],[CountryCode]],Table1[z-score])</f>
        <v>-0.32088063876347467</v>
      </c>
      <c r="L9519" t="e">
        <f>VLOOKUP(Table1[[#This Row],[CountryCode]],[1]!Table1[#All],1,FALSE)</f>
        <v>#REF!</v>
      </c>
    </row>
    <row r="9520" spans="1:12" hidden="1" x14ac:dyDescent="0.3">
      <c r="A9520" t="s">
        <v>81</v>
      </c>
      <c r="B9520" t="s">
        <v>82</v>
      </c>
      <c r="C9520" t="s">
        <v>129</v>
      </c>
      <c r="D9520" t="s">
        <v>130</v>
      </c>
      <c r="E9520">
        <v>1975</v>
      </c>
      <c r="F9520" s="1">
        <v>69</v>
      </c>
      <c r="G9520">
        <v>1970</v>
      </c>
      <c r="H9520">
        <f>AVERAGEIFS(Table1[value],Table1[IndicatorCode],Table1[[#This Row],[IndicatorCode]])</f>
        <v>72.66514008620689</v>
      </c>
      <c r="I9520" cm="1">
        <f t="array" ref="I9520">_xlfn.STDEV.P(IF(Table1[IndicatorCode]=Table1[[#This Row],[IndicatorCode]],Table1[value]))</f>
        <v>6.3409496564024987</v>
      </c>
      <c r="J9520">
        <f>(Table1[[#This Row],[value]] - Table1[[#This Row],[mean]]) / Table1[[#This Row],[std_dev]]</f>
        <v>-0.57801122620586864</v>
      </c>
      <c r="K9520">
        <f>AVERAGEIF(Table1[CountryCode],Table1[[#This Row],[CountryCode]],Table1[z-score])</f>
        <v>-0.32088063876347467</v>
      </c>
      <c r="L9520" t="e">
        <f>VLOOKUP(Table1[[#This Row],[CountryCode]],[1]!Table1[#All],1,FALSE)</f>
        <v>#REF!</v>
      </c>
    </row>
    <row r="9521" spans="1:12" hidden="1" x14ac:dyDescent="0.3">
      <c r="A9521" t="s">
        <v>81</v>
      </c>
      <c r="B9521" t="s">
        <v>82</v>
      </c>
      <c r="C9521" t="s">
        <v>129</v>
      </c>
      <c r="D9521" t="s">
        <v>130</v>
      </c>
      <c r="E9521">
        <v>1976</v>
      </c>
      <c r="F9521" s="1">
        <v>69</v>
      </c>
      <c r="G9521">
        <v>1970</v>
      </c>
      <c r="H9521">
        <f>AVERAGEIFS(Table1[value],Table1[IndicatorCode],Table1[[#This Row],[IndicatorCode]])</f>
        <v>72.66514008620689</v>
      </c>
      <c r="I9521" cm="1">
        <f t="array" ref="I9521">_xlfn.STDEV.P(IF(Table1[IndicatorCode]=Table1[[#This Row],[IndicatorCode]],Table1[value]))</f>
        <v>6.3409496564024987</v>
      </c>
      <c r="J9521">
        <f>(Table1[[#This Row],[value]] - Table1[[#This Row],[mean]]) / Table1[[#This Row],[std_dev]]</f>
        <v>-0.57801122620586864</v>
      </c>
      <c r="K9521">
        <f>AVERAGEIF(Table1[CountryCode],Table1[[#This Row],[CountryCode]],Table1[z-score])</f>
        <v>-0.32088063876347467</v>
      </c>
      <c r="L9521" t="e">
        <f>VLOOKUP(Table1[[#This Row],[CountryCode]],[1]!Table1[#All],1,FALSE)</f>
        <v>#REF!</v>
      </c>
    </row>
    <row r="9522" spans="1:12" hidden="1" x14ac:dyDescent="0.3">
      <c r="A9522" t="s">
        <v>81</v>
      </c>
      <c r="B9522" t="s">
        <v>82</v>
      </c>
      <c r="C9522" t="s">
        <v>129</v>
      </c>
      <c r="D9522" t="s">
        <v>130</v>
      </c>
      <c r="E9522">
        <v>1977</v>
      </c>
      <c r="F9522" s="1">
        <v>69</v>
      </c>
      <c r="G9522">
        <v>1980</v>
      </c>
      <c r="H9522">
        <f>AVERAGEIFS(Table1[value],Table1[IndicatorCode],Table1[[#This Row],[IndicatorCode]])</f>
        <v>72.66514008620689</v>
      </c>
      <c r="I9522" cm="1">
        <f t="array" ref="I9522">_xlfn.STDEV.P(IF(Table1[IndicatorCode]=Table1[[#This Row],[IndicatorCode]],Table1[value]))</f>
        <v>6.3409496564024987</v>
      </c>
      <c r="J9522">
        <f>(Table1[[#This Row],[value]] - Table1[[#This Row],[mean]]) / Table1[[#This Row],[std_dev]]</f>
        <v>-0.57801122620586864</v>
      </c>
      <c r="K9522">
        <f>AVERAGEIF(Table1[CountryCode],Table1[[#This Row],[CountryCode]],Table1[z-score])</f>
        <v>-0.32088063876347467</v>
      </c>
      <c r="L9522" t="e">
        <f>VLOOKUP(Table1[[#This Row],[CountryCode]],[1]!Table1[#All],1,FALSE)</f>
        <v>#REF!</v>
      </c>
    </row>
    <row r="9523" spans="1:12" hidden="1" x14ac:dyDescent="0.3">
      <c r="A9523" t="s">
        <v>81</v>
      </c>
      <c r="B9523" t="s">
        <v>82</v>
      </c>
      <c r="C9523" t="s">
        <v>129</v>
      </c>
      <c r="D9523" t="s">
        <v>130</v>
      </c>
      <c r="E9523">
        <v>1978</v>
      </c>
      <c r="F9523" s="1">
        <v>69</v>
      </c>
      <c r="G9523">
        <v>1980</v>
      </c>
      <c r="H9523">
        <f>AVERAGEIFS(Table1[value],Table1[IndicatorCode],Table1[[#This Row],[IndicatorCode]])</f>
        <v>72.66514008620689</v>
      </c>
      <c r="I9523" cm="1">
        <f t="array" ref="I9523">_xlfn.STDEV.P(IF(Table1[IndicatorCode]=Table1[[#This Row],[IndicatorCode]],Table1[value]))</f>
        <v>6.3409496564024987</v>
      </c>
      <c r="J9523">
        <f>(Table1[[#This Row],[value]] - Table1[[#This Row],[mean]]) / Table1[[#This Row],[std_dev]]</f>
        <v>-0.57801122620586864</v>
      </c>
      <c r="K9523">
        <f>AVERAGEIF(Table1[CountryCode],Table1[[#This Row],[CountryCode]],Table1[z-score])</f>
        <v>-0.32088063876347467</v>
      </c>
      <c r="L9523" t="e">
        <f>VLOOKUP(Table1[[#This Row],[CountryCode]],[1]!Table1[#All],1,FALSE)</f>
        <v>#REF!</v>
      </c>
    </row>
    <row r="9524" spans="1:12" hidden="1" x14ac:dyDescent="0.3">
      <c r="A9524" t="s">
        <v>81</v>
      </c>
      <c r="B9524" t="s">
        <v>82</v>
      </c>
      <c r="C9524" t="s">
        <v>129</v>
      </c>
      <c r="D9524" t="s">
        <v>130</v>
      </c>
      <c r="E9524">
        <v>1979</v>
      </c>
      <c r="F9524" s="1">
        <v>68</v>
      </c>
      <c r="G9524">
        <v>1980</v>
      </c>
      <c r="H9524">
        <f>AVERAGEIFS(Table1[value],Table1[IndicatorCode],Table1[[#This Row],[IndicatorCode]])</f>
        <v>72.66514008620689</v>
      </c>
      <c r="I9524" cm="1">
        <f t="array" ref="I9524">_xlfn.STDEV.P(IF(Table1[IndicatorCode]=Table1[[#This Row],[IndicatorCode]],Table1[value]))</f>
        <v>6.3409496564024987</v>
      </c>
      <c r="J9524">
        <f>(Table1[[#This Row],[value]] - Table1[[#This Row],[mean]]) / Table1[[#This Row],[std_dev]]</f>
        <v>-0.73571631048930775</v>
      </c>
      <c r="K9524">
        <f>AVERAGEIF(Table1[CountryCode],Table1[[#This Row],[CountryCode]],Table1[z-score])</f>
        <v>-0.32088063876347467</v>
      </c>
      <c r="L9524" t="e">
        <f>VLOOKUP(Table1[[#This Row],[CountryCode]],[1]!Table1[#All],1,FALSE)</f>
        <v>#REF!</v>
      </c>
    </row>
    <row r="9525" spans="1:12" hidden="1" x14ac:dyDescent="0.3">
      <c r="A9525" t="s">
        <v>81</v>
      </c>
      <c r="B9525" t="s">
        <v>82</v>
      </c>
      <c r="C9525" t="s">
        <v>129</v>
      </c>
      <c r="D9525" t="s">
        <v>130</v>
      </c>
      <c r="E9525">
        <v>1980</v>
      </c>
      <c r="F9525" s="1">
        <v>69</v>
      </c>
      <c r="G9525">
        <v>1980</v>
      </c>
      <c r="H9525">
        <f>AVERAGEIFS(Table1[value],Table1[IndicatorCode],Table1[[#This Row],[IndicatorCode]])</f>
        <v>72.66514008620689</v>
      </c>
      <c r="I9525" cm="1">
        <f t="array" ref="I9525">_xlfn.STDEV.P(IF(Table1[IndicatorCode]=Table1[[#This Row],[IndicatorCode]],Table1[value]))</f>
        <v>6.3409496564024987</v>
      </c>
      <c r="J9525">
        <f>(Table1[[#This Row],[value]] - Table1[[#This Row],[mean]]) / Table1[[#This Row],[std_dev]]</f>
        <v>-0.57801122620586864</v>
      </c>
      <c r="K9525">
        <f>AVERAGEIF(Table1[CountryCode],Table1[[#This Row],[CountryCode]],Table1[z-score])</f>
        <v>-0.32088063876347467</v>
      </c>
      <c r="L9525" t="e">
        <f>VLOOKUP(Table1[[#This Row],[CountryCode]],[1]!Table1[#All],1,FALSE)</f>
        <v>#REF!</v>
      </c>
    </row>
    <row r="9526" spans="1:12" hidden="1" x14ac:dyDescent="0.3">
      <c r="A9526" t="s">
        <v>81</v>
      </c>
      <c r="B9526" t="s">
        <v>82</v>
      </c>
      <c r="C9526" t="s">
        <v>129</v>
      </c>
      <c r="D9526" t="s">
        <v>130</v>
      </c>
      <c r="E9526">
        <v>1981</v>
      </c>
      <c r="F9526" s="1">
        <v>69</v>
      </c>
      <c r="G9526">
        <v>1980</v>
      </c>
      <c r="H9526">
        <f>AVERAGEIFS(Table1[value],Table1[IndicatorCode],Table1[[#This Row],[IndicatorCode]])</f>
        <v>72.66514008620689</v>
      </c>
      <c r="I9526" cm="1">
        <f t="array" ref="I9526">_xlfn.STDEV.P(IF(Table1[IndicatorCode]=Table1[[#This Row],[IndicatorCode]],Table1[value]))</f>
        <v>6.3409496564024987</v>
      </c>
      <c r="J9526">
        <f>(Table1[[#This Row],[value]] - Table1[[#This Row],[mean]]) / Table1[[#This Row],[std_dev]]</f>
        <v>-0.57801122620586864</v>
      </c>
      <c r="K9526">
        <f>AVERAGEIF(Table1[CountryCode],Table1[[#This Row],[CountryCode]],Table1[z-score])</f>
        <v>-0.32088063876347467</v>
      </c>
      <c r="L9526" t="e">
        <f>VLOOKUP(Table1[[#This Row],[CountryCode]],[1]!Table1[#All],1,FALSE)</f>
        <v>#REF!</v>
      </c>
    </row>
    <row r="9527" spans="1:12" hidden="1" x14ac:dyDescent="0.3">
      <c r="A9527" t="s">
        <v>81</v>
      </c>
      <c r="B9527" t="s">
        <v>82</v>
      </c>
      <c r="C9527" t="s">
        <v>129</v>
      </c>
      <c r="D9527" t="s">
        <v>130</v>
      </c>
      <c r="E9527">
        <v>1982</v>
      </c>
      <c r="F9527" s="1">
        <v>69</v>
      </c>
      <c r="G9527">
        <v>1980</v>
      </c>
      <c r="H9527">
        <f>AVERAGEIFS(Table1[value],Table1[IndicatorCode],Table1[[#This Row],[IndicatorCode]])</f>
        <v>72.66514008620689</v>
      </c>
      <c r="I9527" cm="1">
        <f t="array" ref="I9527">_xlfn.STDEV.P(IF(Table1[IndicatorCode]=Table1[[#This Row],[IndicatorCode]],Table1[value]))</f>
        <v>6.3409496564024987</v>
      </c>
      <c r="J9527">
        <f>(Table1[[#This Row],[value]] - Table1[[#This Row],[mean]]) / Table1[[#This Row],[std_dev]]</f>
        <v>-0.57801122620586864</v>
      </c>
      <c r="K9527">
        <f>AVERAGEIF(Table1[CountryCode],Table1[[#This Row],[CountryCode]],Table1[z-score])</f>
        <v>-0.32088063876347467</v>
      </c>
      <c r="L9527" t="e">
        <f>VLOOKUP(Table1[[#This Row],[CountryCode]],[1]!Table1[#All],1,FALSE)</f>
        <v>#REF!</v>
      </c>
    </row>
    <row r="9528" spans="1:12" hidden="1" x14ac:dyDescent="0.3">
      <c r="A9528" t="s">
        <v>81</v>
      </c>
      <c r="B9528" t="s">
        <v>82</v>
      </c>
      <c r="C9528" t="s">
        <v>129</v>
      </c>
      <c r="D9528" t="s">
        <v>130</v>
      </c>
      <c r="E9528">
        <v>1983</v>
      </c>
      <c r="F9528" s="1">
        <v>69</v>
      </c>
      <c r="G9528">
        <v>1980</v>
      </c>
      <c r="H9528">
        <f>AVERAGEIFS(Table1[value],Table1[IndicatorCode],Table1[[#This Row],[IndicatorCode]])</f>
        <v>72.66514008620689</v>
      </c>
      <c r="I9528" cm="1">
        <f t="array" ref="I9528">_xlfn.STDEV.P(IF(Table1[IndicatorCode]=Table1[[#This Row],[IndicatorCode]],Table1[value]))</f>
        <v>6.3409496564024987</v>
      </c>
      <c r="J9528">
        <f>(Table1[[#This Row],[value]] - Table1[[#This Row],[mean]]) / Table1[[#This Row],[std_dev]]</f>
        <v>-0.57801122620586864</v>
      </c>
      <c r="K9528">
        <f>AVERAGEIF(Table1[CountryCode],Table1[[#This Row],[CountryCode]],Table1[z-score])</f>
        <v>-0.32088063876347467</v>
      </c>
      <c r="L9528" t="e">
        <f>VLOOKUP(Table1[[#This Row],[CountryCode]],[1]!Table1[#All],1,FALSE)</f>
        <v>#REF!</v>
      </c>
    </row>
    <row r="9529" spans="1:12" hidden="1" x14ac:dyDescent="0.3">
      <c r="A9529" t="s">
        <v>81</v>
      </c>
      <c r="B9529" t="s">
        <v>82</v>
      </c>
      <c r="C9529" t="s">
        <v>129</v>
      </c>
      <c r="D9529" t="s">
        <v>130</v>
      </c>
      <c r="E9529">
        <v>1984</v>
      </c>
      <c r="F9529" s="1">
        <v>69</v>
      </c>
      <c r="G9529">
        <v>1980</v>
      </c>
      <c r="H9529">
        <f>AVERAGEIFS(Table1[value],Table1[IndicatorCode],Table1[[#This Row],[IndicatorCode]])</f>
        <v>72.66514008620689</v>
      </c>
      <c r="I9529" cm="1">
        <f t="array" ref="I9529">_xlfn.STDEV.P(IF(Table1[IndicatorCode]=Table1[[#This Row],[IndicatorCode]],Table1[value]))</f>
        <v>6.3409496564024987</v>
      </c>
      <c r="J9529">
        <f>(Table1[[#This Row],[value]] - Table1[[#This Row],[mean]]) / Table1[[#This Row],[std_dev]]</f>
        <v>-0.57801122620586864</v>
      </c>
      <c r="K9529">
        <f>AVERAGEIF(Table1[CountryCode],Table1[[#This Row],[CountryCode]],Table1[z-score])</f>
        <v>-0.32088063876347467</v>
      </c>
      <c r="L9529" t="e">
        <f>VLOOKUP(Table1[[#This Row],[CountryCode]],[1]!Table1[#All],1,FALSE)</f>
        <v>#REF!</v>
      </c>
    </row>
    <row r="9530" spans="1:12" hidden="1" x14ac:dyDescent="0.3">
      <c r="A9530" t="s">
        <v>81</v>
      </c>
      <c r="B9530" t="s">
        <v>82</v>
      </c>
      <c r="C9530" t="s">
        <v>129</v>
      </c>
      <c r="D9530" t="s">
        <v>130</v>
      </c>
      <c r="E9530">
        <v>1985</v>
      </c>
      <c r="F9530" s="1">
        <v>69</v>
      </c>
      <c r="G9530">
        <v>1980</v>
      </c>
      <c r="H9530">
        <f>AVERAGEIFS(Table1[value],Table1[IndicatorCode],Table1[[#This Row],[IndicatorCode]])</f>
        <v>72.66514008620689</v>
      </c>
      <c r="I9530" cm="1">
        <f t="array" ref="I9530">_xlfn.STDEV.P(IF(Table1[IndicatorCode]=Table1[[#This Row],[IndicatorCode]],Table1[value]))</f>
        <v>6.3409496564024987</v>
      </c>
      <c r="J9530">
        <f>(Table1[[#This Row],[value]] - Table1[[#This Row],[mean]]) / Table1[[#This Row],[std_dev]]</f>
        <v>-0.57801122620586864</v>
      </c>
      <c r="K9530">
        <f>AVERAGEIF(Table1[CountryCode],Table1[[#This Row],[CountryCode]],Table1[z-score])</f>
        <v>-0.32088063876347467</v>
      </c>
      <c r="L9530" t="e">
        <f>VLOOKUP(Table1[[#This Row],[CountryCode]],[1]!Table1[#All],1,FALSE)</f>
        <v>#REF!</v>
      </c>
    </row>
    <row r="9531" spans="1:12" hidden="1" x14ac:dyDescent="0.3">
      <c r="A9531" t="s">
        <v>81</v>
      </c>
      <c r="B9531" t="s">
        <v>82</v>
      </c>
      <c r="C9531" t="s">
        <v>129</v>
      </c>
      <c r="D9531" t="s">
        <v>130</v>
      </c>
      <c r="E9531">
        <v>1986</v>
      </c>
      <c r="F9531" s="1">
        <v>71</v>
      </c>
      <c r="G9531">
        <v>1980</v>
      </c>
      <c r="H9531">
        <f>AVERAGEIFS(Table1[value],Table1[IndicatorCode],Table1[[#This Row],[IndicatorCode]])</f>
        <v>72.66514008620689</v>
      </c>
      <c r="I9531" cm="1">
        <f t="array" ref="I9531">_xlfn.STDEV.P(IF(Table1[IndicatorCode]=Table1[[#This Row],[IndicatorCode]],Table1[value]))</f>
        <v>6.3409496564024987</v>
      </c>
      <c r="J9531">
        <f>(Table1[[#This Row],[value]] - Table1[[#This Row],[mean]]) / Table1[[#This Row],[std_dev]]</f>
        <v>-0.2626010576389905</v>
      </c>
      <c r="K9531">
        <f>AVERAGEIF(Table1[CountryCode],Table1[[#This Row],[CountryCode]],Table1[z-score])</f>
        <v>-0.32088063876347467</v>
      </c>
      <c r="L9531" t="e">
        <f>VLOOKUP(Table1[[#This Row],[CountryCode]],[1]!Table1[#All],1,FALSE)</f>
        <v>#REF!</v>
      </c>
    </row>
    <row r="9532" spans="1:12" hidden="1" x14ac:dyDescent="0.3">
      <c r="A9532" t="s">
        <v>81</v>
      </c>
      <c r="B9532" t="s">
        <v>82</v>
      </c>
      <c r="C9532" t="s">
        <v>129</v>
      </c>
      <c r="D9532" t="s">
        <v>130</v>
      </c>
      <c r="E9532">
        <v>1987</v>
      </c>
      <c r="F9532" s="1">
        <v>71</v>
      </c>
      <c r="G9532">
        <v>1990</v>
      </c>
      <c r="H9532">
        <f>AVERAGEIFS(Table1[value],Table1[IndicatorCode],Table1[[#This Row],[IndicatorCode]])</f>
        <v>72.66514008620689</v>
      </c>
      <c r="I9532" cm="1">
        <f t="array" ref="I9532">_xlfn.STDEV.P(IF(Table1[IndicatorCode]=Table1[[#This Row],[IndicatorCode]],Table1[value]))</f>
        <v>6.3409496564024987</v>
      </c>
      <c r="J9532">
        <f>(Table1[[#This Row],[value]] - Table1[[#This Row],[mean]]) / Table1[[#This Row],[std_dev]]</f>
        <v>-0.2626010576389905</v>
      </c>
      <c r="K9532">
        <f>AVERAGEIF(Table1[CountryCode],Table1[[#This Row],[CountryCode]],Table1[z-score])</f>
        <v>-0.32088063876347467</v>
      </c>
      <c r="L9532" t="e">
        <f>VLOOKUP(Table1[[#This Row],[CountryCode]],[1]!Table1[#All],1,FALSE)</f>
        <v>#REF!</v>
      </c>
    </row>
    <row r="9533" spans="1:12" hidden="1" x14ac:dyDescent="0.3">
      <c r="A9533" t="s">
        <v>81</v>
      </c>
      <c r="B9533" t="s">
        <v>82</v>
      </c>
      <c r="C9533" t="s">
        <v>129</v>
      </c>
      <c r="D9533" t="s">
        <v>130</v>
      </c>
      <c r="E9533">
        <v>1988</v>
      </c>
      <c r="F9533" s="1">
        <v>71</v>
      </c>
      <c r="G9533">
        <v>1990</v>
      </c>
      <c r="H9533">
        <f>AVERAGEIFS(Table1[value],Table1[IndicatorCode],Table1[[#This Row],[IndicatorCode]])</f>
        <v>72.66514008620689</v>
      </c>
      <c r="I9533" cm="1">
        <f t="array" ref="I9533">_xlfn.STDEV.P(IF(Table1[IndicatorCode]=Table1[[#This Row],[IndicatorCode]],Table1[value]))</f>
        <v>6.3409496564024987</v>
      </c>
      <c r="J9533">
        <f>(Table1[[#This Row],[value]] - Table1[[#This Row],[mean]]) / Table1[[#This Row],[std_dev]]</f>
        <v>-0.2626010576389905</v>
      </c>
      <c r="K9533">
        <f>AVERAGEIF(Table1[CountryCode],Table1[[#This Row],[CountryCode]],Table1[z-score])</f>
        <v>-0.32088063876347467</v>
      </c>
      <c r="L9533" t="e">
        <f>VLOOKUP(Table1[[#This Row],[CountryCode]],[1]!Table1[#All],1,FALSE)</f>
        <v>#REF!</v>
      </c>
    </row>
    <row r="9534" spans="1:12" hidden="1" x14ac:dyDescent="0.3">
      <c r="A9534" t="s">
        <v>81</v>
      </c>
      <c r="B9534" t="s">
        <v>82</v>
      </c>
      <c r="C9534" t="s">
        <v>129</v>
      </c>
      <c r="D9534" t="s">
        <v>130</v>
      </c>
      <c r="E9534">
        <v>1989</v>
      </c>
      <c r="F9534" s="1">
        <v>70</v>
      </c>
      <c r="G9534">
        <v>1990</v>
      </c>
      <c r="H9534">
        <f>AVERAGEIFS(Table1[value],Table1[IndicatorCode],Table1[[#This Row],[IndicatorCode]])</f>
        <v>72.66514008620689</v>
      </c>
      <c r="I9534" cm="1">
        <f t="array" ref="I9534">_xlfn.STDEV.P(IF(Table1[IndicatorCode]=Table1[[#This Row],[IndicatorCode]],Table1[value]))</f>
        <v>6.3409496564024987</v>
      </c>
      <c r="J9534">
        <f>(Table1[[#This Row],[value]] - Table1[[#This Row],[mean]]) / Table1[[#This Row],[std_dev]]</f>
        <v>-0.4203061419224296</v>
      </c>
      <c r="K9534">
        <f>AVERAGEIF(Table1[CountryCode],Table1[[#This Row],[CountryCode]],Table1[z-score])</f>
        <v>-0.32088063876347467</v>
      </c>
      <c r="L9534" t="e">
        <f>VLOOKUP(Table1[[#This Row],[CountryCode]],[1]!Table1[#All],1,FALSE)</f>
        <v>#REF!</v>
      </c>
    </row>
    <row r="9535" spans="1:12" hidden="1" x14ac:dyDescent="0.3">
      <c r="A9535" t="s">
        <v>81</v>
      </c>
      <c r="B9535" t="s">
        <v>82</v>
      </c>
      <c r="C9535" t="s">
        <v>129</v>
      </c>
      <c r="D9535" t="s">
        <v>130</v>
      </c>
      <c r="E9535">
        <v>1990</v>
      </c>
      <c r="F9535" s="1">
        <v>69</v>
      </c>
      <c r="G9535">
        <v>1990</v>
      </c>
      <c r="H9535">
        <f>AVERAGEIFS(Table1[value],Table1[IndicatorCode],Table1[[#This Row],[IndicatorCode]])</f>
        <v>72.66514008620689</v>
      </c>
      <c r="I9535" cm="1">
        <f t="array" ref="I9535">_xlfn.STDEV.P(IF(Table1[IndicatorCode]=Table1[[#This Row],[IndicatorCode]],Table1[value]))</f>
        <v>6.3409496564024987</v>
      </c>
      <c r="J9535">
        <f>(Table1[[#This Row],[value]] - Table1[[#This Row],[mean]]) / Table1[[#This Row],[std_dev]]</f>
        <v>-0.57801122620586864</v>
      </c>
      <c r="K9535">
        <f>AVERAGEIF(Table1[CountryCode],Table1[[#This Row],[CountryCode]],Table1[z-score])</f>
        <v>-0.32088063876347467</v>
      </c>
      <c r="L9535" t="e">
        <f>VLOOKUP(Table1[[#This Row],[CountryCode]],[1]!Table1[#All],1,FALSE)</f>
        <v>#REF!</v>
      </c>
    </row>
    <row r="9536" spans="1:12" hidden="1" x14ac:dyDescent="0.3">
      <c r="A9536" t="s">
        <v>81</v>
      </c>
      <c r="B9536" t="s">
        <v>82</v>
      </c>
      <c r="C9536" t="s">
        <v>129</v>
      </c>
      <c r="D9536" t="s">
        <v>130</v>
      </c>
      <c r="E9536">
        <v>1991</v>
      </c>
      <c r="F9536" s="1">
        <v>69</v>
      </c>
      <c r="G9536">
        <v>1990</v>
      </c>
      <c r="H9536">
        <f>AVERAGEIFS(Table1[value],Table1[IndicatorCode],Table1[[#This Row],[IndicatorCode]])</f>
        <v>72.66514008620689</v>
      </c>
      <c r="I9536" cm="1">
        <f t="array" ref="I9536">_xlfn.STDEV.P(IF(Table1[IndicatorCode]=Table1[[#This Row],[IndicatorCode]],Table1[value]))</f>
        <v>6.3409496564024987</v>
      </c>
      <c r="J9536">
        <f>(Table1[[#This Row],[value]] - Table1[[#This Row],[mean]]) / Table1[[#This Row],[std_dev]]</f>
        <v>-0.57801122620586864</v>
      </c>
      <c r="K9536">
        <f>AVERAGEIF(Table1[CountryCode],Table1[[#This Row],[CountryCode]],Table1[z-score])</f>
        <v>-0.32088063876347467</v>
      </c>
      <c r="L9536" t="e">
        <f>VLOOKUP(Table1[[#This Row],[CountryCode]],[1]!Table1[#All],1,FALSE)</f>
        <v>#REF!</v>
      </c>
    </row>
    <row r="9537" spans="1:12" hidden="1" x14ac:dyDescent="0.3">
      <c r="A9537" t="s">
        <v>81</v>
      </c>
      <c r="B9537" t="s">
        <v>82</v>
      </c>
      <c r="C9537" t="s">
        <v>129</v>
      </c>
      <c r="D9537" t="s">
        <v>130</v>
      </c>
      <c r="E9537">
        <v>1992</v>
      </c>
      <c r="F9537" s="1">
        <v>68</v>
      </c>
      <c r="G9537">
        <v>1990</v>
      </c>
      <c r="H9537">
        <f>AVERAGEIFS(Table1[value],Table1[IndicatorCode],Table1[[#This Row],[IndicatorCode]])</f>
        <v>72.66514008620689</v>
      </c>
      <c r="I9537" cm="1">
        <f t="array" ref="I9537">_xlfn.STDEV.P(IF(Table1[IndicatorCode]=Table1[[#This Row],[IndicatorCode]],Table1[value]))</f>
        <v>6.3409496564024987</v>
      </c>
      <c r="J9537">
        <f>(Table1[[#This Row],[value]] - Table1[[#This Row],[mean]]) / Table1[[#This Row],[std_dev]]</f>
        <v>-0.73571631048930775</v>
      </c>
      <c r="K9537">
        <f>AVERAGEIF(Table1[CountryCode],Table1[[#This Row],[CountryCode]],Table1[z-score])</f>
        <v>-0.32088063876347467</v>
      </c>
      <c r="L9537" t="e">
        <f>VLOOKUP(Table1[[#This Row],[CountryCode]],[1]!Table1[#All],1,FALSE)</f>
        <v>#REF!</v>
      </c>
    </row>
    <row r="9538" spans="1:12" hidden="1" x14ac:dyDescent="0.3">
      <c r="A9538" t="s">
        <v>81</v>
      </c>
      <c r="B9538" t="s">
        <v>82</v>
      </c>
      <c r="C9538" t="s">
        <v>129</v>
      </c>
      <c r="D9538" t="s">
        <v>130</v>
      </c>
      <c r="E9538">
        <v>1993</v>
      </c>
      <c r="F9538" s="1">
        <v>67</v>
      </c>
      <c r="G9538">
        <v>1990</v>
      </c>
      <c r="H9538">
        <f>AVERAGEIFS(Table1[value],Table1[IndicatorCode],Table1[[#This Row],[IndicatorCode]])</f>
        <v>72.66514008620689</v>
      </c>
      <c r="I9538" cm="1">
        <f t="array" ref="I9538">_xlfn.STDEV.P(IF(Table1[IndicatorCode]=Table1[[#This Row],[IndicatorCode]],Table1[value]))</f>
        <v>6.3409496564024987</v>
      </c>
      <c r="J9538">
        <f>(Table1[[#This Row],[value]] - Table1[[#This Row],[mean]]) / Table1[[#This Row],[std_dev]]</f>
        <v>-0.89342139477274674</v>
      </c>
      <c r="K9538">
        <f>AVERAGEIF(Table1[CountryCode],Table1[[#This Row],[CountryCode]],Table1[z-score])</f>
        <v>-0.32088063876347467</v>
      </c>
      <c r="L9538" t="e">
        <f>VLOOKUP(Table1[[#This Row],[CountryCode]],[1]!Table1[#All],1,FALSE)</f>
        <v>#REF!</v>
      </c>
    </row>
    <row r="9539" spans="1:12" hidden="1" x14ac:dyDescent="0.3">
      <c r="A9539" t="s">
        <v>81</v>
      </c>
      <c r="B9539" t="s">
        <v>82</v>
      </c>
      <c r="C9539" t="s">
        <v>129</v>
      </c>
      <c r="D9539" t="s">
        <v>130</v>
      </c>
      <c r="E9539">
        <v>1994</v>
      </c>
      <c r="F9539" s="1">
        <v>66</v>
      </c>
      <c r="G9539">
        <v>1990</v>
      </c>
      <c r="H9539">
        <f>AVERAGEIFS(Table1[value],Table1[IndicatorCode],Table1[[#This Row],[IndicatorCode]])</f>
        <v>72.66514008620689</v>
      </c>
      <c r="I9539" cm="1">
        <f t="array" ref="I9539">_xlfn.STDEV.P(IF(Table1[IndicatorCode]=Table1[[#This Row],[IndicatorCode]],Table1[value]))</f>
        <v>6.3409496564024987</v>
      </c>
      <c r="J9539">
        <f>(Table1[[#This Row],[value]] - Table1[[#This Row],[mean]]) / Table1[[#This Row],[std_dev]]</f>
        <v>-1.0511264790561858</v>
      </c>
      <c r="K9539">
        <f>AVERAGEIF(Table1[CountryCode],Table1[[#This Row],[CountryCode]],Table1[z-score])</f>
        <v>-0.32088063876347467</v>
      </c>
      <c r="L9539" t="e">
        <f>VLOOKUP(Table1[[#This Row],[CountryCode]],[1]!Table1[#All],1,FALSE)</f>
        <v>#REF!</v>
      </c>
    </row>
    <row r="9540" spans="1:12" hidden="1" x14ac:dyDescent="0.3">
      <c r="A9540" t="s">
        <v>81</v>
      </c>
      <c r="B9540" t="s">
        <v>82</v>
      </c>
      <c r="C9540" t="s">
        <v>129</v>
      </c>
      <c r="D9540" t="s">
        <v>130</v>
      </c>
      <c r="E9540">
        <v>1995</v>
      </c>
      <c r="F9540" s="1">
        <v>66</v>
      </c>
      <c r="G9540">
        <v>1990</v>
      </c>
      <c r="H9540">
        <f>AVERAGEIFS(Table1[value],Table1[IndicatorCode],Table1[[#This Row],[IndicatorCode]])</f>
        <v>72.66514008620689</v>
      </c>
      <c r="I9540" cm="1">
        <f t="array" ref="I9540">_xlfn.STDEV.P(IF(Table1[IndicatorCode]=Table1[[#This Row],[IndicatorCode]],Table1[value]))</f>
        <v>6.3409496564024987</v>
      </c>
      <c r="J9540">
        <f>(Table1[[#This Row],[value]] - Table1[[#This Row],[mean]]) / Table1[[#This Row],[std_dev]]</f>
        <v>-1.0511264790561858</v>
      </c>
      <c r="K9540">
        <f>AVERAGEIF(Table1[CountryCode],Table1[[#This Row],[CountryCode]],Table1[z-score])</f>
        <v>-0.32088063876347467</v>
      </c>
      <c r="L9540" t="e">
        <f>VLOOKUP(Table1[[#This Row],[CountryCode]],[1]!Table1[#All],1,FALSE)</f>
        <v>#REF!</v>
      </c>
    </row>
    <row r="9541" spans="1:12" hidden="1" x14ac:dyDescent="0.3">
      <c r="A9541" t="s">
        <v>81</v>
      </c>
      <c r="B9541" t="s">
        <v>82</v>
      </c>
      <c r="C9541" t="s">
        <v>129</v>
      </c>
      <c r="D9541" t="s">
        <v>130</v>
      </c>
      <c r="E9541">
        <v>1996</v>
      </c>
      <c r="F9541" s="1">
        <v>69</v>
      </c>
      <c r="G9541">
        <v>1990</v>
      </c>
      <c r="H9541">
        <f>AVERAGEIFS(Table1[value],Table1[IndicatorCode],Table1[[#This Row],[IndicatorCode]])</f>
        <v>72.66514008620689</v>
      </c>
      <c r="I9541" cm="1">
        <f t="array" ref="I9541">_xlfn.STDEV.P(IF(Table1[IndicatorCode]=Table1[[#This Row],[IndicatorCode]],Table1[value]))</f>
        <v>6.3409496564024987</v>
      </c>
      <c r="J9541">
        <f>(Table1[[#This Row],[value]] - Table1[[#This Row],[mean]]) / Table1[[#This Row],[std_dev]]</f>
        <v>-0.57801122620586864</v>
      </c>
      <c r="K9541">
        <f>AVERAGEIF(Table1[CountryCode],Table1[[#This Row],[CountryCode]],Table1[z-score])</f>
        <v>-0.32088063876347467</v>
      </c>
      <c r="L9541" t="e">
        <f>VLOOKUP(Table1[[#This Row],[CountryCode]],[1]!Table1[#All],1,FALSE)</f>
        <v>#REF!</v>
      </c>
    </row>
    <row r="9542" spans="1:12" hidden="1" x14ac:dyDescent="0.3">
      <c r="A9542" t="s">
        <v>81</v>
      </c>
      <c r="B9542" t="s">
        <v>82</v>
      </c>
      <c r="C9542" t="s">
        <v>129</v>
      </c>
      <c r="D9542" t="s">
        <v>130</v>
      </c>
      <c r="E9542">
        <v>1997</v>
      </c>
      <c r="F9542" s="1">
        <v>69</v>
      </c>
      <c r="G9542">
        <v>2000</v>
      </c>
      <c r="H9542">
        <f>AVERAGEIFS(Table1[value],Table1[IndicatorCode],Table1[[#This Row],[IndicatorCode]])</f>
        <v>72.66514008620689</v>
      </c>
      <c r="I9542" cm="1">
        <f t="array" ref="I9542">_xlfn.STDEV.P(IF(Table1[IndicatorCode]=Table1[[#This Row],[IndicatorCode]],Table1[value]))</f>
        <v>6.3409496564024987</v>
      </c>
      <c r="J9542">
        <f>(Table1[[#This Row],[value]] - Table1[[#This Row],[mean]]) / Table1[[#This Row],[std_dev]]</f>
        <v>-0.57801122620586864</v>
      </c>
      <c r="K9542">
        <f>AVERAGEIF(Table1[CountryCode],Table1[[#This Row],[CountryCode]],Table1[z-score])</f>
        <v>-0.32088063876347467</v>
      </c>
      <c r="L9542" t="e">
        <f>VLOOKUP(Table1[[#This Row],[CountryCode]],[1]!Table1[#All],1,FALSE)</f>
        <v>#REF!</v>
      </c>
    </row>
    <row r="9543" spans="1:12" hidden="1" x14ac:dyDescent="0.3">
      <c r="A9543" t="s">
        <v>81</v>
      </c>
      <c r="B9543" t="s">
        <v>82</v>
      </c>
      <c r="C9543" t="s">
        <v>129</v>
      </c>
      <c r="D9543" t="s">
        <v>130</v>
      </c>
      <c r="E9543">
        <v>1998</v>
      </c>
      <c r="F9543" s="1">
        <v>69</v>
      </c>
      <c r="G9543">
        <v>2000</v>
      </c>
      <c r="H9543">
        <f>AVERAGEIFS(Table1[value],Table1[IndicatorCode],Table1[[#This Row],[IndicatorCode]])</f>
        <v>72.66514008620689</v>
      </c>
      <c r="I9543" cm="1">
        <f t="array" ref="I9543">_xlfn.STDEV.P(IF(Table1[IndicatorCode]=Table1[[#This Row],[IndicatorCode]],Table1[value]))</f>
        <v>6.3409496564024987</v>
      </c>
      <c r="J9543">
        <f>(Table1[[#This Row],[value]] - Table1[[#This Row],[mean]]) / Table1[[#This Row],[std_dev]]</f>
        <v>-0.57801122620586864</v>
      </c>
      <c r="K9543">
        <f>AVERAGEIF(Table1[CountryCode],Table1[[#This Row],[CountryCode]],Table1[z-score])</f>
        <v>-0.32088063876347467</v>
      </c>
      <c r="L9543" t="e">
        <f>VLOOKUP(Table1[[#This Row],[CountryCode]],[1]!Table1[#All],1,FALSE)</f>
        <v>#REF!</v>
      </c>
    </row>
    <row r="9544" spans="1:12" hidden="1" x14ac:dyDescent="0.3">
      <c r="A9544" t="s">
        <v>81</v>
      </c>
      <c r="B9544" t="s">
        <v>82</v>
      </c>
      <c r="C9544" t="s">
        <v>129</v>
      </c>
      <c r="D9544" t="s">
        <v>130</v>
      </c>
      <c r="E9544">
        <v>1999</v>
      </c>
      <c r="F9544" s="1">
        <v>70</v>
      </c>
      <c r="G9544">
        <v>2000</v>
      </c>
      <c r="H9544">
        <f>AVERAGEIFS(Table1[value],Table1[IndicatorCode],Table1[[#This Row],[IndicatorCode]])</f>
        <v>72.66514008620689</v>
      </c>
      <c r="I9544" cm="1">
        <f t="array" ref="I9544">_xlfn.STDEV.P(IF(Table1[IndicatorCode]=Table1[[#This Row],[IndicatorCode]],Table1[value]))</f>
        <v>6.3409496564024987</v>
      </c>
      <c r="J9544">
        <f>(Table1[[#This Row],[value]] - Table1[[#This Row],[mean]]) / Table1[[#This Row],[std_dev]]</f>
        <v>-0.4203061419224296</v>
      </c>
      <c r="K9544">
        <f>AVERAGEIF(Table1[CountryCode],Table1[[#This Row],[CountryCode]],Table1[z-score])</f>
        <v>-0.32088063876347467</v>
      </c>
      <c r="L9544" t="e">
        <f>VLOOKUP(Table1[[#This Row],[CountryCode]],[1]!Table1[#All],1,FALSE)</f>
        <v>#REF!</v>
      </c>
    </row>
    <row r="9545" spans="1:12" hidden="1" x14ac:dyDescent="0.3">
      <c r="A9545" t="s">
        <v>81</v>
      </c>
      <c r="B9545" t="s">
        <v>82</v>
      </c>
      <c r="C9545" t="s">
        <v>129</v>
      </c>
      <c r="D9545" t="s">
        <v>130</v>
      </c>
      <c r="E9545">
        <v>2000</v>
      </c>
      <c r="F9545" s="1">
        <v>70</v>
      </c>
      <c r="G9545">
        <v>2000</v>
      </c>
      <c r="H9545">
        <f>AVERAGEIFS(Table1[value],Table1[IndicatorCode],Table1[[#This Row],[IndicatorCode]])</f>
        <v>72.66514008620689</v>
      </c>
      <c r="I9545" cm="1">
        <f t="array" ref="I9545">_xlfn.STDEV.P(IF(Table1[IndicatorCode]=Table1[[#This Row],[IndicatorCode]],Table1[value]))</f>
        <v>6.3409496564024987</v>
      </c>
      <c r="J9545">
        <f>(Table1[[#This Row],[value]] - Table1[[#This Row],[mean]]) / Table1[[#This Row],[std_dev]]</f>
        <v>-0.4203061419224296</v>
      </c>
      <c r="K9545">
        <f>AVERAGEIF(Table1[CountryCode],Table1[[#This Row],[CountryCode]],Table1[z-score])</f>
        <v>-0.32088063876347467</v>
      </c>
      <c r="L9545" t="e">
        <f>VLOOKUP(Table1[[#This Row],[CountryCode]],[1]!Table1[#All],1,FALSE)</f>
        <v>#REF!</v>
      </c>
    </row>
    <row r="9546" spans="1:12" hidden="1" x14ac:dyDescent="0.3">
      <c r="A9546" t="s">
        <v>81</v>
      </c>
      <c r="B9546" t="s">
        <v>82</v>
      </c>
      <c r="C9546" t="s">
        <v>129</v>
      </c>
      <c r="D9546" t="s">
        <v>130</v>
      </c>
      <c r="E9546">
        <v>2001</v>
      </c>
      <c r="F9546" s="1">
        <v>71</v>
      </c>
      <c r="G9546">
        <v>2000</v>
      </c>
      <c r="H9546">
        <f>AVERAGEIFS(Table1[value],Table1[IndicatorCode],Table1[[#This Row],[IndicatorCode]])</f>
        <v>72.66514008620689</v>
      </c>
      <c r="I9546" cm="1">
        <f t="array" ref="I9546">_xlfn.STDEV.P(IF(Table1[IndicatorCode]=Table1[[#This Row],[IndicatorCode]],Table1[value]))</f>
        <v>6.3409496564024987</v>
      </c>
      <c r="J9546">
        <f>(Table1[[#This Row],[value]] - Table1[[#This Row],[mean]]) / Table1[[#This Row],[std_dev]]</f>
        <v>-0.2626010576389905</v>
      </c>
      <c r="K9546">
        <f>AVERAGEIF(Table1[CountryCode],Table1[[#This Row],[CountryCode]],Table1[z-score])</f>
        <v>-0.32088063876347467</v>
      </c>
      <c r="L9546" t="e">
        <f>VLOOKUP(Table1[[#This Row],[CountryCode]],[1]!Table1[#All],1,FALSE)</f>
        <v>#REF!</v>
      </c>
    </row>
    <row r="9547" spans="1:12" hidden="1" x14ac:dyDescent="0.3">
      <c r="A9547" t="s">
        <v>81</v>
      </c>
      <c r="B9547" t="s">
        <v>82</v>
      </c>
      <c r="C9547" t="s">
        <v>129</v>
      </c>
      <c r="D9547" t="s">
        <v>130</v>
      </c>
      <c r="E9547">
        <v>2002</v>
      </c>
      <c r="F9547" s="1">
        <v>71</v>
      </c>
      <c r="G9547">
        <v>2000</v>
      </c>
      <c r="H9547">
        <f>AVERAGEIFS(Table1[value],Table1[IndicatorCode],Table1[[#This Row],[IndicatorCode]])</f>
        <v>72.66514008620689</v>
      </c>
      <c r="I9547" cm="1">
        <f t="array" ref="I9547">_xlfn.STDEV.P(IF(Table1[IndicatorCode]=Table1[[#This Row],[IndicatorCode]],Table1[value]))</f>
        <v>6.3409496564024987</v>
      </c>
      <c r="J9547">
        <f>(Table1[[#This Row],[value]] - Table1[[#This Row],[mean]]) / Table1[[#This Row],[std_dev]]</f>
        <v>-0.2626010576389905</v>
      </c>
      <c r="K9547">
        <f>AVERAGEIF(Table1[CountryCode],Table1[[#This Row],[CountryCode]],Table1[z-score])</f>
        <v>-0.32088063876347467</v>
      </c>
      <c r="L9547" t="e">
        <f>VLOOKUP(Table1[[#This Row],[CountryCode]],[1]!Table1[#All],1,FALSE)</f>
        <v>#REF!</v>
      </c>
    </row>
    <row r="9548" spans="1:12" hidden="1" x14ac:dyDescent="0.3">
      <c r="A9548" t="s">
        <v>81</v>
      </c>
      <c r="B9548" t="s">
        <v>82</v>
      </c>
      <c r="C9548" t="s">
        <v>129</v>
      </c>
      <c r="D9548" t="s">
        <v>130</v>
      </c>
      <c r="E9548">
        <v>2003</v>
      </c>
      <c r="F9548" s="1">
        <v>71</v>
      </c>
      <c r="G9548">
        <v>2000</v>
      </c>
      <c r="H9548">
        <f>AVERAGEIFS(Table1[value],Table1[IndicatorCode],Table1[[#This Row],[IndicatorCode]])</f>
        <v>72.66514008620689</v>
      </c>
      <c r="I9548" cm="1">
        <f t="array" ref="I9548">_xlfn.STDEV.P(IF(Table1[IndicatorCode]=Table1[[#This Row],[IndicatorCode]],Table1[value]))</f>
        <v>6.3409496564024987</v>
      </c>
      <c r="J9548">
        <f>(Table1[[#This Row],[value]] - Table1[[#This Row],[mean]]) / Table1[[#This Row],[std_dev]]</f>
        <v>-0.2626010576389905</v>
      </c>
      <c r="K9548">
        <f>AVERAGEIF(Table1[CountryCode],Table1[[#This Row],[CountryCode]],Table1[z-score])</f>
        <v>-0.32088063876347467</v>
      </c>
      <c r="L9548" t="e">
        <f>VLOOKUP(Table1[[#This Row],[CountryCode]],[1]!Table1[#All],1,FALSE)</f>
        <v>#REF!</v>
      </c>
    </row>
    <row r="9549" spans="1:12" hidden="1" x14ac:dyDescent="0.3">
      <c r="A9549" t="s">
        <v>81</v>
      </c>
      <c r="B9549" t="s">
        <v>82</v>
      </c>
      <c r="C9549" t="s">
        <v>129</v>
      </c>
      <c r="D9549" t="s">
        <v>130</v>
      </c>
      <c r="E9549">
        <v>2004</v>
      </c>
      <c r="F9549" s="1">
        <v>72</v>
      </c>
      <c r="G9549">
        <v>2000</v>
      </c>
      <c r="H9549">
        <f>AVERAGEIFS(Table1[value],Table1[IndicatorCode],Table1[[#This Row],[IndicatorCode]])</f>
        <v>72.66514008620689</v>
      </c>
      <c r="I9549" cm="1">
        <f t="array" ref="I9549">_xlfn.STDEV.P(IF(Table1[IndicatorCode]=Table1[[#This Row],[IndicatorCode]],Table1[value]))</f>
        <v>6.3409496564024987</v>
      </c>
      <c r="J9549">
        <f>(Table1[[#This Row],[value]] - Table1[[#This Row],[mean]]) / Table1[[#This Row],[std_dev]]</f>
        <v>-0.10489597335555145</v>
      </c>
      <c r="K9549">
        <f>AVERAGEIF(Table1[CountryCode],Table1[[#This Row],[CountryCode]],Table1[z-score])</f>
        <v>-0.32088063876347467</v>
      </c>
      <c r="L9549" t="e">
        <f>VLOOKUP(Table1[[#This Row],[CountryCode]],[1]!Table1[#All],1,FALSE)</f>
        <v>#REF!</v>
      </c>
    </row>
    <row r="9550" spans="1:12" hidden="1" x14ac:dyDescent="0.3">
      <c r="A9550" t="s">
        <v>81</v>
      </c>
      <c r="B9550" t="s">
        <v>82</v>
      </c>
      <c r="C9550" t="s">
        <v>129</v>
      </c>
      <c r="D9550" t="s">
        <v>130</v>
      </c>
      <c r="E9550">
        <v>2005</v>
      </c>
      <c r="F9550" s="1">
        <v>71</v>
      </c>
      <c r="G9550">
        <v>2000</v>
      </c>
      <c r="H9550">
        <f>AVERAGEIFS(Table1[value],Table1[IndicatorCode],Table1[[#This Row],[IndicatorCode]])</f>
        <v>72.66514008620689</v>
      </c>
      <c r="I9550" cm="1">
        <f t="array" ref="I9550">_xlfn.STDEV.P(IF(Table1[IndicatorCode]=Table1[[#This Row],[IndicatorCode]],Table1[value]))</f>
        <v>6.3409496564024987</v>
      </c>
      <c r="J9550">
        <f>(Table1[[#This Row],[value]] - Table1[[#This Row],[mean]]) / Table1[[#This Row],[std_dev]]</f>
        <v>-0.2626010576389905</v>
      </c>
      <c r="K9550">
        <f>AVERAGEIF(Table1[CountryCode],Table1[[#This Row],[CountryCode]],Table1[z-score])</f>
        <v>-0.32088063876347467</v>
      </c>
      <c r="L9550" t="e">
        <f>VLOOKUP(Table1[[#This Row],[CountryCode]],[1]!Table1[#All],1,FALSE)</f>
        <v>#REF!</v>
      </c>
    </row>
    <row r="9551" spans="1:12" hidden="1" x14ac:dyDescent="0.3">
      <c r="A9551" t="s">
        <v>81</v>
      </c>
      <c r="B9551" t="s">
        <v>82</v>
      </c>
      <c r="C9551" t="s">
        <v>129</v>
      </c>
      <c r="D9551" t="s">
        <v>130</v>
      </c>
      <c r="E9551">
        <v>2006</v>
      </c>
      <c r="F9551" s="1">
        <v>71</v>
      </c>
      <c r="G9551">
        <v>2000</v>
      </c>
      <c r="H9551">
        <f>AVERAGEIFS(Table1[value],Table1[IndicatorCode],Table1[[#This Row],[IndicatorCode]])</f>
        <v>72.66514008620689</v>
      </c>
      <c r="I9551" cm="1">
        <f t="array" ref="I9551">_xlfn.STDEV.P(IF(Table1[IndicatorCode]=Table1[[#This Row],[IndicatorCode]],Table1[value]))</f>
        <v>6.3409496564024987</v>
      </c>
      <c r="J9551">
        <f>(Table1[[#This Row],[value]] - Table1[[#This Row],[mean]]) / Table1[[#This Row],[std_dev]]</f>
        <v>-0.2626010576389905</v>
      </c>
      <c r="K9551">
        <f>AVERAGEIF(Table1[CountryCode],Table1[[#This Row],[CountryCode]],Table1[z-score])</f>
        <v>-0.32088063876347467</v>
      </c>
      <c r="L9551" t="e">
        <f>VLOOKUP(Table1[[#This Row],[CountryCode]],[1]!Table1[#All],1,FALSE)</f>
        <v>#REF!</v>
      </c>
    </row>
    <row r="9552" spans="1:12" hidden="1" x14ac:dyDescent="0.3">
      <c r="A9552" t="s">
        <v>81</v>
      </c>
      <c r="B9552" t="s">
        <v>82</v>
      </c>
      <c r="C9552" t="s">
        <v>129</v>
      </c>
      <c r="D9552" t="s">
        <v>130</v>
      </c>
      <c r="E9552">
        <v>2007</v>
      </c>
      <c r="F9552" s="1">
        <v>71</v>
      </c>
      <c r="G9552">
        <v>2010</v>
      </c>
      <c r="H9552">
        <f>AVERAGEIFS(Table1[value],Table1[IndicatorCode],Table1[[#This Row],[IndicatorCode]])</f>
        <v>72.66514008620689</v>
      </c>
      <c r="I9552" cm="1">
        <f t="array" ref="I9552">_xlfn.STDEV.P(IF(Table1[IndicatorCode]=Table1[[#This Row],[IndicatorCode]],Table1[value]))</f>
        <v>6.3409496564024987</v>
      </c>
      <c r="J9552">
        <f>(Table1[[#This Row],[value]] - Table1[[#This Row],[mean]]) / Table1[[#This Row],[std_dev]]</f>
        <v>-0.2626010576389905</v>
      </c>
      <c r="K9552">
        <f>AVERAGEIF(Table1[CountryCode],Table1[[#This Row],[CountryCode]],Table1[z-score])</f>
        <v>-0.32088063876347467</v>
      </c>
      <c r="L9552" t="e">
        <f>VLOOKUP(Table1[[#This Row],[CountryCode]],[1]!Table1[#All],1,FALSE)</f>
        <v>#REF!</v>
      </c>
    </row>
    <row r="9553" spans="1:12" hidden="1" x14ac:dyDescent="0.3">
      <c r="A9553" t="s">
        <v>81</v>
      </c>
      <c r="B9553" t="s">
        <v>82</v>
      </c>
      <c r="C9553" t="s">
        <v>129</v>
      </c>
      <c r="D9553" t="s">
        <v>130</v>
      </c>
      <c r="E9553">
        <v>2008</v>
      </c>
      <c r="F9553" s="1">
        <v>72</v>
      </c>
      <c r="G9553">
        <v>2010</v>
      </c>
      <c r="H9553">
        <f>AVERAGEIFS(Table1[value],Table1[IndicatorCode],Table1[[#This Row],[IndicatorCode]])</f>
        <v>72.66514008620689</v>
      </c>
      <c r="I9553" cm="1">
        <f t="array" ref="I9553">_xlfn.STDEV.P(IF(Table1[IndicatorCode]=Table1[[#This Row],[IndicatorCode]],Table1[value]))</f>
        <v>6.3409496564024987</v>
      </c>
      <c r="J9553">
        <f>(Table1[[#This Row],[value]] - Table1[[#This Row],[mean]]) / Table1[[#This Row],[std_dev]]</f>
        <v>-0.10489597335555145</v>
      </c>
      <c r="K9553">
        <f>AVERAGEIF(Table1[CountryCode],Table1[[#This Row],[CountryCode]],Table1[z-score])</f>
        <v>-0.32088063876347467</v>
      </c>
      <c r="L9553" t="e">
        <f>VLOOKUP(Table1[[#This Row],[CountryCode]],[1]!Table1[#All],1,FALSE)</f>
        <v>#REF!</v>
      </c>
    </row>
    <row r="9554" spans="1:12" hidden="1" x14ac:dyDescent="0.3">
      <c r="A9554" t="s">
        <v>81</v>
      </c>
      <c r="B9554" t="s">
        <v>82</v>
      </c>
      <c r="C9554" t="s">
        <v>129</v>
      </c>
      <c r="D9554" t="s">
        <v>130</v>
      </c>
      <c r="E9554">
        <v>2009</v>
      </c>
      <c r="F9554" s="1">
        <v>73</v>
      </c>
      <c r="G9554">
        <v>2010</v>
      </c>
      <c r="H9554">
        <f>AVERAGEIFS(Table1[value],Table1[IndicatorCode],Table1[[#This Row],[IndicatorCode]])</f>
        <v>72.66514008620689</v>
      </c>
      <c r="I9554" cm="1">
        <f t="array" ref="I9554">_xlfn.STDEV.P(IF(Table1[IndicatorCode]=Table1[[#This Row],[IndicatorCode]],Table1[value]))</f>
        <v>6.3409496564024987</v>
      </c>
      <c r="J9554">
        <f>(Table1[[#This Row],[value]] - Table1[[#This Row],[mean]]) / Table1[[#This Row],[std_dev]]</f>
        <v>5.2809110927887599E-2</v>
      </c>
      <c r="K9554">
        <f>AVERAGEIF(Table1[CountryCode],Table1[[#This Row],[CountryCode]],Table1[z-score])</f>
        <v>-0.32088063876347467</v>
      </c>
      <c r="L9554" t="e">
        <f>VLOOKUP(Table1[[#This Row],[CountryCode]],[1]!Table1[#All],1,FALSE)</f>
        <v>#REF!</v>
      </c>
    </row>
    <row r="9555" spans="1:12" hidden="1" x14ac:dyDescent="0.3">
      <c r="A9555" t="s">
        <v>81</v>
      </c>
      <c r="B9555" t="s">
        <v>82</v>
      </c>
      <c r="C9555" t="s">
        <v>129</v>
      </c>
      <c r="D9555" t="s">
        <v>130</v>
      </c>
      <c r="E9555">
        <v>2010</v>
      </c>
      <c r="F9555" s="1">
        <v>73</v>
      </c>
      <c r="G9555">
        <v>2010</v>
      </c>
      <c r="H9555">
        <f>AVERAGEIFS(Table1[value],Table1[IndicatorCode],Table1[[#This Row],[IndicatorCode]])</f>
        <v>72.66514008620689</v>
      </c>
      <c r="I9555" cm="1">
        <f t="array" ref="I9555">_xlfn.STDEV.P(IF(Table1[IndicatorCode]=Table1[[#This Row],[IndicatorCode]],Table1[value]))</f>
        <v>6.3409496564024987</v>
      </c>
      <c r="J9555">
        <f>(Table1[[#This Row],[value]] - Table1[[#This Row],[mean]]) / Table1[[#This Row],[std_dev]]</f>
        <v>5.2809110927887599E-2</v>
      </c>
      <c r="K9555">
        <f>AVERAGEIF(Table1[CountryCode],Table1[[#This Row],[CountryCode]],Table1[z-score])</f>
        <v>-0.32088063876347467</v>
      </c>
      <c r="L9555" t="e">
        <f>VLOOKUP(Table1[[#This Row],[CountryCode]],[1]!Table1[#All],1,FALSE)</f>
        <v>#REF!</v>
      </c>
    </row>
    <row r="9556" spans="1:12" hidden="1" x14ac:dyDescent="0.3">
      <c r="A9556" t="s">
        <v>81</v>
      </c>
      <c r="B9556" t="s">
        <v>82</v>
      </c>
      <c r="C9556" t="s">
        <v>129</v>
      </c>
      <c r="D9556" t="s">
        <v>130</v>
      </c>
      <c r="E9556">
        <v>2011</v>
      </c>
      <c r="F9556" s="1">
        <v>74</v>
      </c>
      <c r="G9556">
        <v>2010</v>
      </c>
      <c r="H9556">
        <f>AVERAGEIFS(Table1[value],Table1[IndicatorCode],Table1[[#This Row],[IndicatorCode]])</f>
        <v>72.66514008620689</v>
      </c>
      <c r="I9556" cm="1">
        <f t="array" ref="I9556">_xlfn.STDEV.P(IF(Table1[IndicatorCode]=Table1[[#This Row],[IndicatorCode]],Table1[value]))</f>
        <v>6.3409496564024987</v>
      </c>
      <c r="J9556">
        <f>(Table1[[#This Row],[value]] - Table1[[#This Row],[mean]]) / Table1[[#This Row],[std_dev]]</f>
        <v>0.21051419521132667</v>
      </c>
      <c r="K9556">
        <f>AVERAGEIF(Table1[CountryCode],Table1[[#This Row],[CountryCode]],Table1[z-score])</f>
        <v>-0.32088063876347467</v>
      </c>
      <c r="L9556" t="e">
        <f>VLOOKUP(Table1[[#This Row],[CountryCode]],[1]!Table1[#All],1,FALSE)</f>
        <v>#REF!</v>
      </c>
    </row>
    <row r="9557" spans="1:12" hidden="1" x14ac:dyDescent="0.3">
      <c r="A9557" t="s">
        <v>81</v>
      </c>
      <c r="B9557" t="s">
        <v>82</v>
      </c>
      <c r="C9557" t="s">
        <v>129</v>
      </c>
      <c r="D9557" t="s">
        <v>130</v>
      </c>
      <c r="E9557">
        <v>2012</v>
      </c>
      <c r="F9557" s="1">
        <v>74</v>
      </c>
      <c r="G9557">
        <v>2010</v>
      </c>
      <c r="H9557">
        <f>AVERAGEIFS(Table1[value],Table1[IndicatorCode],Table1[[#This Row],[IndicatorCode]])</f>
        <v>72.66514008620689</v>
      </c>
      <c r="I9557" cm="1">
        <f t="array" ref="I9557">_xlfn.STDEV.P(IF(Table1[IndicatorCode]=Table1[[#This Row],[IndicatorCode]],Table1[value]))</f>
        <v>6.3409496564024987</v>
      </c>
      <c r="J9557">
        <f>(Table1[[#This Row],[value]] - Table1[[#This Row],[mean]]) / Table1[[#This Row],[std_dev]]</f>
        <v>0.21051419521132667</v>
      </c>
      <c r="K9557">
        <f>AVERAGEIF(Table1[CountryCode],Table1[[#This Row],[CountryCode]],Table1[z-score])</f>
        <v>-0.32088063876347467</v>
      </c>
      <c r="L9557" t="e">
        <f>VLOOKUP(Table1[[#This Row],[CountryCode]],[1]!Table1[#All],1,FALSE)</f>
        <v>#REF!</v>
      </c>
    </row>
    <row r="9558" spans="1:12" hidden="1" x14ac:dyDescent="0.3">
      <c r="A9558" t="s">
        <v>81</v>
      </c>
      <c r="B9558" t="s">
        <v>82</v>
      </c>
      <c r="C9558" t="s">
        <v>129</v>
      </c>
      <c r="D9558" t="s">
        <v>130</v>
      </c>
      <c r="E9558">
        <v>2013</v>
      </c>
      <c r="F9558" s="1">
        <v>74</v>
      </c>
      <c r="G9558">
        <v>2010</v>
      </c>
      <c r="H9558">
        <f>AVERAGEIFS(Table1[value],Table1[IndicatorCode],Table1[[#This Row],[IndicatorCode]])</f>
        <v>72.66514008620689</v>
      </c>
      <c r="I9558" cm="1">
        <f t="array" ref="I9558">_xlfn.STDEV.P(IF(Table1[IndicatorCode]=Table1[[#This Row],[IndicatorCode]],Table1[value]))</f>
        <v>6.3409496564024987</v>
      </c>
      <c r="J9558">
        <f>(Table1[[#This Row],[value]] - Table1[[#This Row],[mean]]) / Table1[[#This Row],[std_dev]]</f>
        <v>0.21051419521132667</v>
      </c>
      <c r="K9558">
        <f>AVERAGEIF(Table1[CountryCode],Table1[[#This Row],[CountryCode]],Table1[z-score])</f>
        <v>-0.32088063876347467</v>
      </c>
      <c r="L9558" t="e">
        <f>VLOOKUP(Table1[[#This Row],[CountryCode]],[1]!Table1[#All],1,FALSE)</f>
        <v>#REF!</v>
      </c>
    </row>
    <row r="9559" spans="1:12" hidden="1" x14ac:dyDescent="0.3">
      <c r="A9559" t="s">
        <v>81</v>
      </c>
      <c r="B9559" t="s">
        <v>82</v>
      </c>
      <c r="C9559" t="s">
        <v>129</v>
      </c>
      <c r="D9559" t="s">
        <v>130</v>
      </c>
      <c r="E9559">
        <v>2014</v>
      </c>
      <c r="F9559" s="1">
        <v>74</v>
      </c>
      <c r="G9559">
        <v>2010</v>
      </c>
      <c r="H9559">
        <f>AVERAGEIFS(Table1[value],Table1[IndicatorCode],Table1[[#This Row],[IndicatorCode]])</f>
        <v>72.66514008620689</v>
      </c>
      <c r="I9559" cm="1">
        <f t="array" ref="I9559">_xlfn.STDEV.P(IF(Table1[IndicatorCode]=Table1[[#This Row],[IndicatorCode]],Table1[value]))</f>
        <v>6.3409496564024987</v>
      </c>
      <c r="J9559">
        <f>(Table1[[#This Row],[value]] - Table1[[#This Row],[mean]]) / Table1[[#This Row],[std_dev]]</f>
        <v>0.21051419521132667</v>
      </c>
      <c r="K9559">
        <f>AVERAGEIF(Table1[CountryCode],Table1[[#This Row],[CountryCode]],Table1[z-score])</f>
        <v>-0.32088063876347467</v>
      </c>
      <c r="L9559" t="e">
        <f>VLOOKUP(Table1[[#This Row],[CountryCode]],[1]!Table1[#All],1,FALSE)</f>
        <v>#REF!</v>
      </c>
    </row>
    <row r="9560" spans="1:12" hidden="1" x14ac:dyDescent="0.3">
      <c r="A9560" t="s">
        <v>81</v>
      </c>
      <c r="B9560" t="s">
        <v>82</v>
      </c>
      <c r="C9560" t="s">
        <v>129</v>
      </c>
      <c r="D9560" t="s">
        <v>130</v>
      </c>
      <c r="E9560">
        <v>2015</v>
      </c>
      <c r="F9560" s="1">
        <v>74</v>
      </c>
      <c r="G9560">
        <v>2010</v>
      </c>
      <c r="H9560">
        <f>AVERAGEIFS(Table1[value],Table1[IndicatorCode],Table1[[#This Row],[IndicatorCode]])</f>
        <v>72.66514008620689</v>
      </c>
      <c r="I9560" cm="1">
        <f t="array" ref="I9560">_xlfn.STDEV.P(IF(Table1[IndicatorCode]=Table1[[#This Row],[IndicatorCode]],Table1[value]))</f>
        <v>6.3409496564024987</v>
      </c>
      <c r="J9560">
        <f>(Table1[[#This Row],[value]] - Table1[[#This Row],[mean]]) / Table1[[#This Row],[std_dev]]</f>
        <v>0.21051419521132667</v>
      </c>
      <c r="K9560">
        <f>AVERAGEIF(Table1[CountryCode],Table1[[#This Row],[CountryCode]],Table1[z-score])</f>
        <v>-0.32088063876347467</v>
      </c>
      <c r="L9560" t="e">
        <f>VLOOKUP(Table1[[#This Row],[CountryCode]],[1]!Table1[#All],1,FALSE)</f>
        <v>#REF!</v>
      </c>
    </row>
    <row r="9561" spans="1:12" hidden="1" x14ac:dyDescent="0.3">
      <c r="A9561" t="s">
        <v>81</v>
      </c>
      <c r="B9561" t="s">
        <v>82</v>
      </c>
      <c r="C9561" t="s">
        <v>129</v>
      </c>
      <c r="D9561" t="s">
        <v>130</v>
      </c>
      <c r="E9561">
        <v>2016</v>
      </c>
      <c r="F9561" s="1">
        <v>75</v>
      </c>
      <c r="G9561">
        <v>2010</v>
      </c>
      <c r="H9561">
        <f>AVERAGEIFS(Table1[value],Table1[IndicatorCode],Table1[[#This Row],[IndicatorCode]])</f>
        <v>72.66514008620689</v>
      </c>
      <c r="I9561" cm="1">
        <f t="array" ref="I9561">_xlfn.STDEV.P(IF(Table1[IndicatorCode]=Table1[[#This Row],[IndicatorCode]],Table1[value]))</f>
        <v>6.3409496564024987</v>
      </c>
      <c r="J9561">
        <f>(Table1[[#This Row],[value]] - Table1[[#This Row],[mean]]) / Table1[[#This Row],[std_dev]]</f>
        <v>0.36821927949476574</v>
      </c>
      <c r="K9561">
        <f>AVERAGEIF(Table1[CountryCode],Table1[[#This Row],[CountryCode]],Table1[z-score])</f>
        <v>-0.32088063876347467</v>
      </c>
      <c r="L9561" t="e">
        <f>VLOOKUP(Table1[[#This Row],[CountryCode]],[1]!Table1[#All],1,FALSE)</f>
        <v>#REF!</v>
      </c>
    </row>
    <row r="9562" spans="1:12" hidden="1" x14ac:dyDescent="0.3">
      <c r="A9562" t="s">
        <v>81</v>
      </c>
      <c r="B9562" t="s">
        <v>82</v>
      </c>
      <c r="C9562" t="s">
        <v>129</v>
      </c>
      <c r="D9562" t="s">
        <v>130</v>
      </c>
      <c r="E9562">
        <v>2017</v>
      </c>
      <c r="F9562" s="1">
        <v>75</v>
      </c>
      <c r="G9562">
        <v>2020</v>
      </c>
      <c r="H9562">
        <f>AVERAGEIFS(Table1[value],Table1[IndicatorCode],Table1[[#This Row],[IndicatorCode]])</f>
        <v>72.66514008620689</v>
      </c>
      <c r="I9562" cm="1">
        <f t="array" ref="I9562">_xlfn.STDEV.P(IF(Table1[IndicatorCode]=Table1[[#This Row],[IndicatorCode]],Table1[value]))</f>
        <v>6.3409496564024987</v>
      </c>
      <c r="J9562">
        <f>(Table1[[#This Row],[value]] - Table1[[#This Row],[mean]]) / Table1[[#This Row],[std_dev]]</f>
        <v>0.36821927949476574</v>
      </c>
      <c r="K9562">
        <f>AVERAGEIF(Table1[CountryCode],Table1[[#This Row],[CountryCode]],Table1[z-score])</f>
        <v>-0.32088063876347467</v>
      </c>
      <c r="L9562" t="e">
        <f>VLOOKUP(Table1[[#This Row],[CountryCode]],[1]!Table1[#All],1,FALSE)</f>
        <v>#REF!</v>
      </c>
    </row>
    <row r="9563" spans="1:12" hidden="1" x14ac:dyDescent="0.3">
      <c r="A9563" t="s">
        <v>81</v>
      </c>
      <c r="B9563" t="s">
        <v>82</v>
      </c>
      <c r="C9563" t="s">
        <v>129</v>
      </c>
      <c r="D9563" t="s">
        <v>130</v>
      </c>
      <c r="E9563">
        <v>2018</v>
      </c>
      <c r="F9563" s="1">
        <v>75</v>
      </c>
      <c r="G9563">
        <v>2020</v>
      </c>
      <c r="H9563">
        <f>AVERAGEIFS(Table1[value],Table1[IndicatorCode],Table1[[#This Row],[IndicatorCode]])</f>
        <v>72.66514008620689</v>
      </c>
      <c r="I9563" cm="1">
        <f t="array" ref="I9563">_xlfn.STDEV.P(IF(Table1[IndicatorCode]=Table1[[#This Row],[IndicatorCode]],Table1[value]))</f>
        <v>6.3409496564024987</v>
      </c>
      <c r="J9563">
        <f>(Table1[[#This Row],[value]] - Table1[[#This Row],[mean]]) / Table1[[#This Row],[std_dev]]</f>
        <v>0.36821927949476574</v>
      </c>
      <c r="K9563">
        <f>AVERAGEIF(Table1[CountryCode],Table1[[#This Row],[CountryCode]],Table1[z-score])</f>
        <v>-0.32088063876347467</v>
      </c>
      <c r="L9563" t="e">
        <f>VLOOKUP(Table1[[#This Row],[CountryCode]],[1]!Table1[#All],1,FALSE)</f>
        <v>#REF!</v>
      </c>
    </row>
    <row r="9564" spans="1:12" hidden="1" x14ac:dyDescent="0.3">
      <c r="A9564" t="s">
        <v>81</v>
      </c>
      <c r="B9564" t="s">
        <v>82</v>
      </c>
      <c r="C9564" t="s">
        <v>129</v>
      </c>
      <c r="D9564" t="s">
        <v>130</v>
      </c>
      <c r="E9564">
        <v>2019</v>
      </c>
      <c r="F9564" s="1">
        <v>75</v>
      </c>
      <c r="G9564">
        <v>2020</v>
      </c>
      <c r="H9564">
        <f>AVERAGEIFS(Table1[value],Table1[IndicatorCode],Table1[[#This Row],[IndicatorCode]])</f>
        <v>72.66514008620689</v>
      </c>
      <c r="I9564" cm="1">
        <f t="array" ref="I9564">_xlfn.STDEV.P(IF(Table1[IndicatorCode]=Table1[[#This Row],[IndicatorCode]],Table1[value]))</f>
        <v>6.3409496564024987</v>
      </c>
      <c r="J9564">
        <f>(Table1[[#This Row],[value]] - Table1[[#This Row],[mean]]) / Table1[[#This Row],[std_dev]]</f>
        <v>0.36821927949476574</v>
      </c>
      <c r="K9564">
        <f>AVERAGEIF(Table1[CountryCode],Table1[[#This Row],[CountryCode]],Table1[z-score])</f>
        <v>-0.32088063876347467</v>
      </c>
      <c r="L9564" t="e">
        <f>VLOOKUP(Table1[[#This Row],[CountryCode]],[1]!Table1[#All],1,FALSE)</f>
        <v>#REF!</v>
      </c>
    </row>
    <row r="9565" spans="1:12" x14ac:dyDescent="0.3">
      <c r="A9565" t="s">
        <v>81</v>
      </c>
      <c r="B9565" t="s">
        <v>82</v>
      </c>
      <c r="C9565" t="s">
        <v>129</v>
      </c>
      <c r="D9565" t="s">
        <v>130</v>
      </c>
      <c r="E9565">
        <v>2020</v>
      </c>
      <c r="F9565" s="1">
        <v>75</v>
      </c>
      <c r="G9565">
        <v>2020</v>
      </c>
      <c r="H9565">
        <f>AVERAGEIFS(Table1[value],Table1[IndicatorCode],Table1[[#This Row],[IndicatorCode]])</f>
        <v>72.66514008620689</v>
      </c>
      <c r="I9565" cm="1">
        <f t="array" ref="I9565">_xlfn.STDEV.P(IF(Table1[IndicatorCode]=Table1[[#This Row],[IndicatorCode]],Table1[value]))</f>
        <v>6.3409496564024987</v>
      </c>
      <c r="J9565">
        <f>(Table1[[#This Row],[value]] - Table1[[#This Row],[mean]]) / Table1[[#This Row],[std_dev]]</f>
        <v>0.36821927949476574</v>
      </c>
      <c r="K9565">
        <f>AVERAGEIF(Table1[CountryCode],Table1[[#This Row],[CountryCode]],Table1[z-score])</f>
        <v>-0.32088063876347467</v>
      </c>
    </row>
    <row r="9566" spans="1:12" hidden="1" x14ac:dyDescent="0.3">
      <c r="A9566" t="s">
        <v>81</v>
      </c>
      <c r="B9566" t="s">
        <v>82</v>
      </c>
      <c r="C9566" t="s">
        <v>129</v>
      </c>
      <c r="D9566" t="s">
        <v>130</v>
      </c>
      <c r="E9566">
        <v>2021</v>
      </c>
      <c r="F9566" s="1">
        <v>73</v>
      </c>
      <c r="G9566">
        <v>1960</v>
      </c>
      <c r="H9566">
        <f>AVERAGEIFS(Table1[value],Table1[IndicatorCode],Table1[[#This Row],[IndicatorCode]])</f>
        <v>72.66514008620689</v>
      </c>
      <c r="I9566" cm="1">
        <f t="array" ref="I9566">_xlfn.STDEV.P(IF(Table1[IndicatorCode]=Table1[[#This Row],[IndicatorCode]],Table1[value]))</f>
        <v>6.3409496564024987</v>
      </c>
      <c r="J9566">
        <f>(Table1[[#This Row],[value]] - Table1[[#This Row],[mean]]) / Table1[[#This Row],[std_dev]]</f>
        <v>5.2809110927887599E-2</v>
      </c>
      <c r="K9566">
        <f>AVERAGEIF(Table1[CountryCode],Table1[[#This Row],[CountryCode]],Table1[z-score])</f>
        <v>-0.32088063876347467</v>
      </c>
      <c r="L9566" t="e">
        <f>VLOOKUP(Table1[[#This Row],[CountryCode]],[1]!Table1[#All],1,FALSE)</f>
        <v>#REF!</v>
      </c>
    </row>
    <row r="9567" spans="1:12" hidden="1" x14ac:dyDescent="0.3">
      <c r="A9567" t="s">
        <v>81</v>
      </c>
      <c r="B9567" t="s">
        <v>82</v>
      </c>
      <c r="C9567" t="s">
        <v>129</v>
      </c>
      <c r="D9567" t="s">
        <v>130</v>
      </c>
      <c r="E9567">
        <v>2022</v>
      </c>
      <c r="F9567" s="1">
        <v>74</v>
      </c>
      <c r="G9567">
        <v>1960</v>
      </c>
      <c r="H9567">
        <f>AVERAGEIFS(Table1[value],Table1[IndicatorCode],Table1[[#This Row],[IndicatorCode]])</f>
        <v>72.66514008620689</v>
      </c>
      <c r="I9567" cm="1">
        <f t="array" ref="I9567">_xlfn.STDEV.P(IF(Table1[IndicatorCode]=Table1[[#This Row],[IndicatorCode]],Table1[value]))</f>
        <v>6.3409496564024987</v>
      </c>
      <c r="J9567">
        <f>(Table1[[#This Row],[value]] - Table1[[#This Row],[mean]]) / Table1[[#This Row],[std_dev]]</f>
        <v>0.21051419521132667</v>
      </c>
      <c r="K9567">
        <f>AVERAGEIF(Table1[CountryCode],Table1[[#This Row],[CountryCode]],Table1[z-score])</f>
        <v>-0.32088063876347467</v>
      </c>
      <c r="L9567" t="e">
        <f>VLOOKUP(Table1[[#This Row],[CountryCode]],[1]!Table1[#All],1,FALSE)</f>
        <v>#REF!</v>
      </c>
    </row>
    <row r="9568" spans="1:12" hidden="1" x14ac:dyDescent="0.3">
      <c r="A9568" t="s">
        <v>81</v>
      </c>
      <c r="B9568" t="s">
        <v>82</v>
      </c>
      <c r="C9568" t="s">
        <v>129</v>
      </c>
      <c r="D9568" t="s">
        <v>130</v>
      </c>
      <c r="E9568">
        <v>2023</v>
      </c>
      <c r="F9568" s="1">
        <v>76</v>
      </c>
      <c r="G9568">
        <v>1960</v>
      </c>
      <c r="H9568">
        <f>AVERAGEIFS(Table1[value],Table1[IndicatorCode],Table1[[#This Row],[IndicatorCode]])</f>
        <v>72.66514008620689</v>
      </c>
      <c r="I9568" cm="1">
        <f t="array" ref="I9568">_xlfn.STDEV.P(IF(Table1[IndicatorCode]=Table1[[#This Row],[IndicatorCode]],Table1[value]))</f>
        <v>6.3409496564024987</v>
      </c>
      <c r="J9568">
        <f>(Table1[[#This Row],[value]] - Table1[[#This Row],[mean]]) / Table1[[#This Row],[std_dev]]</f>
        <v>0.52592436377820473</v>
      </c>
      <c r="K9568">
        <f>AVERAGEIF(Table1[CountryCode],Table1[[#This Row],[CountryCode]],Table1[z-score])</f>
        <v>-0.32088063876347467</v>
      </c>
      <c r="L9568" t="e">
        <f>VLOOKUP(Table1[[#This Row],[CountryCode]],[1]!Table1[#All],1,FALSE)</f>
        <v>#REF!</v>
      </c>
    </row>
    <row r="9569" spans="1:12" hidden="1" x14ac:dyDescent="0.3">
      <c r="A9569" t="s">
        <v>83</v>
      </c>
      <c r="B9569" t="s">
        <v>84</v>
      </c>
      <c r="C9569" t="s">
        <v>129</v>
      </c>
      <c r="D9569" t="s">
        <v>130</v>
      </c>
      <c r="E9569">
        <v>1960</v>
      </c>
      <c r="F9569" s="1">
        <v>72</v>
      </c>
      <c r="G9569">
        <v>1960</v>
      </c>
      <c r="H9569">
        <f>AVERAGEIFS(Table1[value],Table1[IndicatorCode],Table1[[#This Row],[IndicatorCode]])</f>
        <v>72.66514008620689</v>
      </c>
      <c r="I9569" cm="1">
        <f t="array" ref="I9569">_xlfn.STDEV.P(IF(Table1[IndicatorCode]=Table1[[#This Row],[IndicatorCode]],Table1[value]))</f>
        <v>6.3409496564024987</v>
      </c>
      <c r="J9569">
        <f>(Table1[[#This Row],[value]] - Table1[[#This Row],[mean]]) / Table1[[#This Row],[std_dev]]</f>
        <v>-0.10489597335555145</v>
      </c>
      <c r="K9569">
        <f>AVERAGEIF(Table1[CountryCode],Table1[[#This Row],[CountryCode]],Table1[z-score])</f>
        <v>1.8607276946173743</v>
      </c>
      <c r="L9569" t="e">
        <f>VLOOKUP(Table1[[#This Row],[CountryCode]],[1]!Table1[#All],1,FALSE)</f>
        <v>#REF!</v>
      </c>
    </row>
    <row r="9570" spans="1:12" hidden="1" x14ac:dyDescent="0.3">
      <c r="A9570" t="s">
        <v>83</v>
      </c>
      <c r="B9570" t="s">
        <v>84</v>
      </c>
      <c r="C9570" t="s">
        <v>129</v>
      </c>
      <c r="D9570" t="s">
        <v>130</v>
      </c>
      <c r="E9570">
        <v>1961</v>
      </c>
      <c r="F9570" s="1">
        <v>72</v>
      </c>
      <c r="G9570">
        <v>1960</v>
      </c>
      <c r="H9570">
        <f>AVERAGEIFS(Table1[value],Table1[IndicatorCode],Table1[[#This Row],[IndicatorCode]])</f>
        <v>72.66514008620689</v>
      </c>
      <c r="I9570" cm="1">
        <f t="array" ref="I9570">_xlfn.STDEV.P(IF(Table1[IndicatorCode]=Table1[[#This Row],[IndicatorCode]],Table1[value]))</f>
        <v>6.3409496564024987</v>
      </c>
      <c r="J9570">
        <f>(Table1[[#This Row],[value]] - Table1[[#This Row],[mean]]) / Table1[[#This Row],[std_dev]]</f>
        <v>-0.10489597335555145</v>
      </c>
      <c r="K9570">
        <f>AVERAGEIF(Table1[CountryCode],Table1[[#This Row],[CountryCode]],Table1[z-score])</f>
        <v>1.8607276946173743</v>
      </c>
      <c r="L9570" t="e">
        <f>VLOOKUP(Table1[[#This Row],[CountryCode]],[1]!Table1[#All],1,FALSE)</f>
        <v>#REF!</v>
      </c>
    </row>
    <row r="9571" spans="1:12" hidden="1" x14ac:dyDescent="0.3">
      <c r="A9571" t="s">
        <v>83</v>
      </c>
      <c r="B9571" t="s">
        <v>84</v>
      </c>
      <c r="C9571" t="s">
        <v>129</v>
      </c>
      <c r="D9571" t="s">
        <v>130</v>
      </c>
      <c r="E9571">
        <v>1962</v>
      </c>
      <c r="F9571" s="1">
        <v>72</v>
      </c>
      <c r="G9571">
        <v>1960</v>
      </c>
      <c r="H9571">
        <f>AVERAGEIFS(Table1[value],Table1[IndicatorCode],Table1[[#This Row],[IndicatorCode]])</f>
        <v>72.66514008620689</v>
      </c>
      <c r="I9571" cm="1">
        <f t="array" ref="I9571">_xlfn.STDEV.P(IF(Table1[IndicatorCode]=Table1[[#This Row],[IndicatorCode]],Table1[value]))</f>
        <v>6.3409496564024987</v>
      </c>
      <c r="J9571">
        <f>(Table1[[#This Row],[value]] - Table1[[#This Row],[mean]]) / Table1[[#This Row],[std_dev]]</f>
        <v>-0.10489597335555145</v>
      </c>
      <c r="K9571">
        <f>AVERAGEIF(Table1[CountryCode],Table1[[#This Row],[CountryCode]],Table1[z-score])</f>
        <v>1.8607276946173743</v>
      </c>
      <c r="L9571" t="e">
        <f>VLOOKUP(Table1[[#This Row],[CountryCode]],[1]!Table1[#All],1,FALSE)</f>
        <v>#REF!</v>
      </c>
    </row>
    <row r="9572" spans="1:12" hidden="1" x14ac:dyDescent="0.3">
      <c r="A9572" t="s">
        <v>83</v>
      </c>
      <c r="B9572" t="s">
        <v>84</v>
      </c>
      <c r="C9572" t="s">
        <v>129</v>
      </c>
      <c r="D9572" t="s">
        <v>130</v>
      </c>
      <c r="E9572">
        <v>1963</v>
      </c>
      <c r="F9572" s="1">
        <v>72</v>
      </c>
      <c r="G9572">
        <v>1960</v>
      </c>
      <c r="H9572">
        <f>AVERAGEIFS(Table1[value],Table1[IndicatorCode],Table1[[#This Row],[IndicatorCode]])</f>
        <v>72.66514008620689</v>
      </c>
      <c r="I9572" cm="1">
        <f t="array" ref="I9572">_xlfn.STDEV.P(IF(Table1[IndicatorCode]=Table1[[#This Row],[IndicatorCode]],Table1[value]))</f>
        <v>6.3409496564024987</v>
      </c>
      <c r="J9572">
        <f>(Table1[[#This Row],[value]] - Table1[[#This Row],[mean]]) / Table1[[#This Row],[std_dev]]</f>
        <v>-0.10489597335555145</v>
      </c>
      <c r="K9572">
        <f>AVERAGEIF(Table1[CountryCode],Table1[[#This Row],[CountryCode]],Table1[z-score])</f>
        <v>1.8607276946173743</v>
      </c>
      <c r="L9572" t="e">
        <f>VLOOKUP(Table1[[#This Row],[CountryCode]],[1]!Table1[#All],1,FALSE)</f>
        <v>#REF!</v>
      </c>
    </row>
    <row r="9573" spans="1:12" hidden="1" x14ac:dyDescent="0.3">
      <c r="A9573" t="s">
        <v>83</v>
      </c>
      <c r="B9573" t="s">
        <v>84</v>
      </c>
      <c r="C9573" t="s">
        <v>129</v>
      </c>
      <c r="D9573" t="s">
        <v>130</v>
      </c>
      <c r="E9573">
        <v>1964</v>
      </c>
      <c r="F9573" s="1">
        <v>73</v>
      </c>
      <c r="G9573">
        <v>1960</v>
      </c>
      <c r="H9573">
        <f>AVERAGEIFS(Table1[value],Table1[IndicatorCode],Table1[[#This Row],[IndicatorCode]])</f>
        <v>72.66514008620689</v>
      </c>
      <c r="I9573" cm="1">
        <f t="array" ref="I9573">_xlfn.STDEV.P(IF(Table1[IndicatorCode]=Table1[[#This Row],[IndicatorCode]],Table1[value]))</f>
        <v>6.3409496564024987</v>
      </c>
      <c r="J9573">
        <f>(Table1[[#This Row],[value]] - Table1[[#This Row],[mean]]) / Table1[[#This Row],[std_dev]]</f>
        <v>5.2809110927887599E-2</v>
      </c>
      <c r="K9573">
        <f>AVERAGEIF(Table1[CountryCode],Table1[[#This Row],[CountryCode]],Table1[z-score])</f>
        <v>1.8607276946173743</v>
      </c>
      <c r="L9573" t="e">
        <f>VLOOKUP(Table1[[#This Row],[CountryCode]],[1]!Table1[#All],1,FALSE)</f>
        <v>#REF!</v>
      </c>
    </row>
    <row r="9574" spans="1:12" hidden="1" x14ac:dyDescent="0.3">
      <c r="A9574" t="s">
        <v>83</v>
      </c>
      <c r="B9574" t="s">
        <v>84</v>
      </c>
      <c r="C9574" t="s">
        <v>129</v>
      </c>
      <c r="D9574" t="s">
        <v>130</v>
      </c>
      <c r="E9574">
        <v>1965</v>
      </c>
      <c r="F9574" s="1">
        <v>73</v>
      </c>
      <c r="G9574">
        <v>1960</v>
      </c>
      <c r="H9574">
        <f>AVERAGEIFS(Table1[value],Table1[IndicatorCode],Table1[[#This Row],[IndicatorCode]])</f>
        <v>72.66514008620689</v>
      </c>
      <c r="I9574" cm="1">
        <f t="array" ref="I9574">_xlfn.STDEV.P(IF(Table1[IndicatorCode]=Table1[[#This Row],[IndicatorCode]],Table1[value]))</f>
        <v>6.3409496564024987</v>
      </c>
      <c r="J9574">
        <f>(Table1[[#This Row],[value]] - Table1[[#This Row],[mean]]) / Table1[[#This Row],[std_dev]]</f>
        <v>5.2809110927887599E-2</v>
      </c>
      <c r="K9574">
        <f>AVERAGEIF(Table1[CountryCode],Table1[[#This Row],[CountryCode]],Table1[z-score])</f>
        <v>1.8607276946173743</v>
      </c>
      <c r="L9574" t="e">
        <f>VLOOKUP(Table1[[#This Row],[CountryCode]],[1]!Table1[#All],1,FALSE)</f>
        <v>#REF!</v>
      </c>
    </row>
    <row r="9575" spans="1:12" hidden="1" x14ac:dyDescent="0.3">
      <c r="A9575" t="s">
        <v>83</v>
      </c>
      <c r="B9575" t="s">
        <v>84</v>
      </c>
      <c r="C9575" t="s">
        <v>129</v>
      </c>
      <c r="D9575" t="s">
        <v>130</v>
      </c>
      <c r="E9575">
        <v>1966</v>
      </c>
      <c r="F9575" s="1">
        <v>73</v>
      </c>
      <c r="G9575">
        <v>1960</v>
      </c>
      <c r="H9575">
        <f>AVERAGEIFS(Table1[value],Table1[IndicatorCode],Table1[[#This Row],[IndicatorCode]])</f>
        <v>72.66514008620689</v>
      </c>
      <c r="I9575" cm="1">
        <f t="array" ref="I9575">_xlfn.STDEV.P(IF(Table1[IndicatorCode]=Table1[[#This Row],[IndicatorCode]],Table1[value]))</f>
        <v>6.3409496564024987</v>
      </c>
      <c r="J9575">
        <f>(Table1[[#This Row],[value]] - Table1[[#This Row],[mean]]) / Table1[[#This Row],[std_dev]]</f>
        <v>5.2809110927887599E-2</v>
      </c>
      <c r="K9575">
        <f>AVERAGEIF(Table1[CountryCode],Table1[[#This Row],[CountryCode]],Table1[z-score])</f>
        <v>1.8607276946173743</v>
      </c>
      <c r="L9575" t="e">
        <f>VLOOKUP(Table1[[#This Row],[CountryCode]],[1]!Table1[#All],1,FALSE)</f>
        <v>#REF!</v>
      </c>
    </row>
    <row r="9576" spans="1:12" hidden="1" x14ac:dyDescent="0.3">
      <c r="A9576" t="s">
        <v>83</v>
      </c>
      <c r="B9576" t="s">
        <v>84</v>
      </c>
      <c r="C9576" t="s">
        <v>129</v>
      </c>
      <c r="D9576" t="s">
        <v>130</v>
      </c>
      <c r="E9576">
        <v>1967</v>
      </c>
      <c r="F9576" s="1">
        <v>73</v>
      </c>
      <c r="G9576">
        <v>1970</v>
      </c>
      <c r="H9576">
        <f>AVERAGEIFS(Table1[value],Table1[IndicatorCode],Table1[[#This Row],[IndicatorCode]])</f>
        <v>72.66514008620689</v>
      </c>
      <c r="I9576" cm="1">
        <f t="array" ref="I9576">_xlfn.STDEV.P(IF(Table1[IndicatorCode]=Table1[[#This Row],[IndicatorCode]],Table1[value]))</f>
        <v>6.3409496564024987</v>
      </c>
      <c r="J9576">
        <f>(Table1[[#This Row],[value]] - Table1[[#This Row],[mean]]) / Table1[[#This Row],[std_dev]]</f>
        <v>5.2809110927887599E-2</v>
      </c>
      <c r="K9576">
        <f>AVERAGEIF(Table1[CountryCode],Table1[[#This Row],[CountryCode]],Table1[z-score])</f>
        <v>1.8607276946173743</v>
      </c>
      <c r="L9576" t="e">
        <f>VLOOKUP(Table1[[#This Row],[CountryCode]],[1]!Table1[#All],1,FALSE)</f>
        <v>#REF!</v>
      </c>
    </row>
    <row r="9577" spans="1:12" hidden="1" x14ac:dyDescent="0.3">
      <c r="A9577" t="s">
        <v>83</v>
      </c>
      <c r="B9577" t="s">
        <v>84</v>
      </c>
      <c r="C9577" t="s">
        <v>129</v>
      </c>
      <c r="D9577" t="s">
        <v>130</v>
      </c>
      <c r="E9577">
        <v>1968</v>
      </c>
      <c r="F9577" s="1">
        <v>73</v>
      </c>
      <c r="G9577">
        <v>1970</v>
      </c>
      <c r="H9577">
        <f>AVERAGEIFS(Table1[value],Table1[IndicatorCode],Table1[[#This Row],[IndicatorCode]])</f>
        <v>72.66514008620689</v>
      </c>
      <c r="I9577" cm="1">
        <f t="array" ref="I9577">_xlfn.STDEV.P(IF(Table1[IndicatorCode]=Table1[[#This Row],[IndicatorCode]],Table1[value]))</f>
        <v>6.3409496564024987</v>
      </c>
      <c r="J9577">
        <f>(Table1[[#This Row],[value]] - Table1[[#This Row],[mean]]) / Table1[[#This Row],[std_dev]]</f>
        <v>5.2809110927887599E-2</v>
      </c>
      <c r="K9577">
        <f>AVERAGEIF(Table1[CountryCode],Table1[[#This Row],[CountryCode]],Table1[z-score])</f>
        <v>1.8607276946173743</v>
      </c>
      <c r="L9577" t="e">
        <f>VLOOKUP(Table1[[#This Row],[CountryCode]],[1]!Table1[#All],1,FALSE)</f>
        <v>#REF!</v>
      </c>
    </row>
    <row r="9578" spans="1:12" hidden="1" x14ac:dyDescent="0.3">
      <c r="A9578" t="s">
        <v>83</v>
      </c>
      <c r="B9578" t="s">
        <v>84</v>
      </c>
      <c r="C9578" t="s">
        <v>129</v>
      </c>
      <c r="D9578" t="s">
        <v>130</v>
      </c>
      <c r="E9578">
        <v>1969</v>
      </c>
      <c r="F9578" s="1">
        <v>73</v>
      </c>
      <c r="G9578">
        <v>1970</v>
      </c>
      <c r="H9578">
        <f>AVERAGEIFS(Table1[value],Table1[IndicatorCode],Table1[[#This Row],[IndicatorCode]])</f>
        <v>72.66514008620689</v>
      </c>
      <c r="I9578" cm="1">
        <f t="array" ref="I9578">_xlfn.STDEV.P(IF(Table1[IndicatorCode]=Table1[[#This Row],[IndicatorCode]],Table1[value]))</f>
        <v>6.3409496564024987</v>
      </c>
      <c r="J9578">
        <f>(Table1[[#This Row],[value]] - Table1[[#This Row],[mean]]) / Table1[[#This Row],[std_dev]]</f>
        <v>5.2809110927887599E-2</v>
      </c>
      <c r="K9578">
        <f>AVERAGEIF(Table1[CountryCode],Table1[[#This Row],[CountryCode]],Table1[z-score])</f>
        <v>1.8607276946173743</v>
      </c>
      <c r="L9578" t="e">
        <f>VLOOKUP(Table1[[#This Row],[CountryCode]],[1]!Table1[#All],1,FALSE)</f>
        <v>#REF!</v>
      </c>
    </row>
    <row r="9579" spans="1:12" hidden="1" x14ac:dyDescent="0.3">
      <c r="A9579" t="s">
        <v>83</v>
      </c>
      <c r="B9579" t="s">
        <v>84</v>
      </c>
      <c r="C9579" t="s">
        <v>129</v>
      </c>
      <c r="D9579" t="s">
        <v>130</v>
      </c>
      <c r="E9579">
        <v>1970</v>
      </c>
      <c r="F9579" s="1">
        <v>73</v>
      </c>
      <c r="G9579">
        <v>1970</v>
      </c>
      <c r="H9579">
        <f>AVERAGEIFS(Table1[value],Table1[IndicatorCode],Table1[[#This Row],[IndicatorCode]])</f>
        <v>72.66514008620689</v>
      </c>
      <c r="I9579" cm="1">
        <f t="array" ref="I9579">_xlfn.STDEV.P(IF(Table1[IndicatorCode]=Table1[[#This Row],[IndicatorCode]],Table1[value]))</f>
        <v>6.3409496564024987</v>
      </c>
      <c r="J9579">
        <f>(Table1[[#This Row],[value]] - Table1[[#This Row],[mean]]) / Table1[[#This Row],[std_dev]]</f>
        <v>5.2809110927887599E-2</v>
      </c>
      <c r="K9579">
        <f>AVERAGEIF(Table1[CountryCode],Table1[[#This Row],[CountryCode]],Table1[z-score])</f>
        <v>1.8607276946173743</v>
      </c>
      <c r="L9579" t="e">
        <f>VLOOKUP(Table1[[#This Row],[CountryCode]],[1]!Table1[#All],1,FALSE)</f>
        <v>#REF!</v>
      </c>
    </row>
    <row r="9580" spans="1:12" hidden="1" x14ac:dyDescent="0.3">
      <c r="A9580" t="s">
        <v>83</v>
      </c>
      <c r="B9580" t="s">
        <v>84</v>
      </c>
      <c r="C9580" t="s">
        <v>129</v>
      </c>
      <c r="D9580" t="s">
        <v>130</v>
      </c>
      <c r="E9580">
        <v>1971</v>
      </c>
      <c r="F9580" s="1">
        <v>73</v>
      </c>
      <c r="G9580">
        <v>1970</v>
      </c>
      <c r="H9580">
        <f>AVERAGEIFS(Table1[value],Table1[IndicatorCode],Table1[[#This Row],[IndicatorCode]])</f>
        <v>72.66514008620689</v>
      </c>
      <c r="I9580" cm="1">
        <f t="array" ref="I9580">_xlfn.STDEV.P(IF(Table1[IndicatorCode]=Table1[[#This Row],[IndicatorCode]],Table1[value]))</f>
        <v>6.3409496564024987</v>
      </c>
      <c r="J9580">
        <f>(Table1[[#This Row],[value]] - Table1[[#This Row],[mean]]) / Table1[[#This Row],[std_dev]]</f>
        <v>5.2809110927887599E-2</v>
      </c>
      <c r="K9580">
        <f>AVERAGEIF(Table1[CountryCode],Table1[[#This Row],[CountryCode]],Table1[z-score])</f>
        <v>1.8607276946173743</v>
      </c>
      <c r="L9580" t="e">
        <f>VLOOKUP(Table1[[#This Row],[CountryCode]],[1]!Table1[#All],1,FALSE)</f>
        <v>#REF!</v>
      </c>
    </row>
    <row r="9581" spans="1:12" hidden="1" x14ac:dyDescent="0.3">
      <c r="A9581" t="s">
        <v>83</v>
      </c>
      <c r="B9581" t="s">
        <v>84</v>
      </c>
      <c r="C9581" t="s">
        <v>129</v>
      </c>
      <c r="D9581" t="s">
        <v>130</v>
      </c>
      <c r="E9581">
        <v>1972</v>
      </c>
      <c r="F9581" s="1">
        <v>73</v>
      </c>
      <c r="G9581">
        <v>1970</v>
      </c>
      <c r="H9581">
        <f>AVERAGEIFS(Table1[value],Table1[IndicatorCode],Table1[[#This Row],[IndicatorCode]])</f>
        <v>72.66514008620689</v>
      </c>
      <c r="I9581" cm="1">
        <f t="array" ref="I9581">_xlfn.STDEV.P(IF(Table1[IndicatorCode]=Table1[[#This Row],[IndicatorCode]],Table1[value]))</f>
        <v>6.3409496564024987</v>
      </c>
      <c r="J9581">
        <f>(Table1[[#This Row],[value]] - Table1[[#This Row],[mean]]) / Table1[[#This Row],[std_dev]]</f>
        <v>5.2809110927887599E-2</v>
      </c>
      <c r="K9581">
        <f>AVERAGEIF(Table1[CountryCode],Table1[[#This Row],[CountryCode]],Table1[z-score])</f>
        <v>1.8607276946173743</v>
      </c>
      <c r="L9581" t="e">
        <f>VLOOKUP(Table1[[#This Row],[CountryCode]],[1]!Table1[#All],1,FALSE)</f>
        <v>#REF!</v>
      </c>
    </row>
    <row r="9582" spans="1:12" hidden="1" x14ac:dyDescent="0.3">
      <c r="A9582" t="s">
        <v>83</v>
      </c>
      <c r="B9582" t="s">
        <v>84</v>
      </c>
      <c r="C9582" t="s">
        <v>129</v>
      </c>
      <c r="D9582" t="s">
        <v>130</v>
      </c>
      <c r="E9582">
        <v>1973</v>
      </c>
      <c r="F9582" s="1">
        <v>73</v>
      </c>
      <c r="G9582">
        <v>1970</v>
      </c>
      <c r="H9582">
        <f>AVERAGEIFS(Table1[value],Table1[IndicatorCode],Table1[[#This Row],[IndicatorCode]])</f>
        <v>72.66514008620689</v>
      </c>
      <c r="I9582" cm="1">
        <f t="array" ref="I9582">_xlfn.STDEV.P(IF(Table1[IndicatorCode]=Table1[[#This Row],[IndicatorCode]],Table1[value]))</f>
        <v>6.3409496564024987</v>
      </c>
      <c r="J9582">
        <f>(Table1[[#This Row],[value]] - Table1[[#This Row],[mean]]) / Table1[[#This Row],[std_dev]]</f>
        <v>5.2809110927887599E-2</v>
      </c>
      <c r="K9582">
        <f>AVERAGEIF(Table1[CountryCode],Table1[[#This Row],[CountryCode]],Table1[z-score])</f>
        <v>1.8607276946173743</v>
      </c>
      <c r="L9582" t="e">
        <f>VLOOKUP(Table1[[#This Row],[CountryCode]],[1]!Table1[#All],1,FALSE)</f>
        <v>#REF!</v>
      </c>
    </row>
    <row r="9583" spans="1:12" hidden="1" x14ac:dyDescent="0.3">
      <c r="A9583" t="s">
        <v>83</v>
      </c>
      <c r="B9583" t="s">
        <v>84</v>
      </c>
      <c r="C9583" t="s">
        <v>129</v>
      </c>
      <c r="D9583" t="s">
        <v>130</v>
      </c>
      <c r="E9583">
        <v>1974</v>
      </c>
      <c r="F9583" s="1">
        <v>73</v>
      </c>
      <c r="G9583">
        <v>1970</v>
      </c>
      <c r="H9583">
        <f>AVERAGEIFS(Table1[value],Table1[IndicatorCode],Table1[[#This Row],[IndicatorCode]])</f>
        <v>72.66514008620689</v>
      </c>
      <c r="I9583" cm="1">
        <f t="array" ref="I9583">_xlfn.STDEV.P(IF(Table1[IndicatorCode]=Table1[[#This Row],[IndicatorCode]],Table1[value]))</f>
        <v>6.3409496564024987</v>
      </c>
      <c r="J9583">
        <f>(Table1[[#This Row],[value]] - Table1[[#This Row],[mean]]) / Table1[[#This Row],[std_dev]]</f>
        <v>5.2809110927887599E-2</v>
      </c>
      <c r="K9583">
        <f>AVERAGEIF(Table1[CountryCode],Table1[[#This Row],[CountryCode]],Table1[z-score])</f>
        <v>1.8607276946173743</v>
      </c>
      <c r="L9583" t="e">
        <f>VLOOKUP(Table1[[#This Row],[CountryCode]],[1]!Table1[#All],1,FALSE)</f>
        <v>#REF!</v>
      </c>
    </row>
    <row r="9584" spans="1:12" hidden="1" x14ac:dyDescent="0.3">
      <c r="A9584" t="s">
        <v>83</v>
      </c>
      <c r="B9584" t="s">
        <v>84</v>
      </c>
      <c r="C9584" t="s">
        <v>129</v>
      </c>
      <c r="D9584" t="s">
        <v>130</v>
      </c>
      <c r="E9584">
        <v>1975</v>
      </c>
      <c r="F9584" s="1">
        <v>74</v>
      </c>
      <c r="G9584">
        <v>1970</v>
      </c>
      <c r="H9584">
        <f>AVERAGEIFS(Table1[value],Table1[IndicatorCode],Table1[[#This Row],[IndicatorCode]])</f>
        <v>72.66514008620689</v>
      </c>
      <c r="I9584" cm="1">
        <f t="array" ref="I9584">_xlfn.STDEV.P(IF(Table1[IndicatorCode]=Table1[[#This Row],[IndicatorCode]],Table1[value]))</f>
        <v>6.3409496564024987</v>
      </c>
      <c r="J9584">
        <f>(Table1[[#This Row],[value]] - Table1[[#This Row],[mean]]) / Table1[[#This Row],[std_dev]]</f>
        <v>0.21051419521132667</v>
      </c>
      <c r="K9584">
        <f>AVERAGEIF(Table1[CountryCode],Table1[[#This Row],[CountryCode]],Table1[z-score])</f>
        <v>1.8607276946173743</v>
      </c>
      <c r="L9584" t="e">
        <f>VLOOKUP(Table1[[#This Row],[CountryCode]],[1]!Table1[#All],1,FALSE)</f>
        <v>#REF!</v>
      </c>
    </row>
    <row r="9585" spans="1:12" hidden="1" x14ac:dyDescent="0.3">
      <c r="A9585" t="s">
        <v>83</v>
      </c>
      <c r="B9585" t="s">
        <v>84</v>
      </c>
      <c r="C9585" t="s">
        <v>129</v>
      </c>
      <c r="D9585" t="s">
        <v>130</v>
      </c>
      <c r="E9585">
        <v>1976</v>
      </c>
      <c r="F9585" s="1">
        <v>74</v>
      </c>
      <c r="G9585">
        <v>1970</v>
      </c>
      <c r="H9585">
        <f>AVERAGEIFS(Table1[value],Table1[IndicatorCode],Table1[[#This Row],[IndicatorCode]])</f>
        <v>72.66514008620689</v>
      </c>
      <c r="I9585" cm="1">
        <f t="array" ref="I9585">_xlfn.STDEV.P(IF(Table1[IndicatorCode]=Table1[[#This Row],[IndicatorCode]],Table1[value]))</f>
        <v>6.3409496564024987</v>
      </c>
      <c r="J9585">
        <f>(Table1[[#This Row],[value]] - Table1[[#This Row],[mean]]) / Table1[[#This Row],[std_dev]]</f>
        <v>0.21051419521132667</v>
      </c>
      <c r="K9585">
        <f>AVERAGEIF(Table1[CountryCode],Table1[[#This Row],[CountryCode]],Table1[z-score])</f>
        <v>1.8607276946173743</v>
      </c>
      <c r="L9585" t="e">
        <f>VLOOKUP(Table1[[#This Row],[CountryCode]],[1]!Table1[#All],1,FALSE)</f>
        <v>#REF!</v>
      </c>
    </row>
    <row r="9586" spans="1:12" hidden="1" x14ac:dyDescent="0.3">
      <c r="A9586" t="s">
        <v>83</v>
      </c>
      <c r="B9586" t="s">
        <v>84</v>
      </c>
      <c r="C9586" t="s">
        <v>129</v>
      </c>
      <c r="D9586" t="s">
        <v>130</v>
      </c>
      <c r="E9586">
        <v>1977</v>
      </c>
      <c r="F9586" s="1">
        <v>74</v>
      </c>
      <c r="G9586">
        <v>1980</v>
      </c>
      <c r="H9586">
        <f>AVERAGEIFS(Table1[value],Table1[IndicatorCode],Table1[[#This Row],[IndicatorCode]])</f>
        <v>72.66514008620689</v>
      </c>
      <c r="I9586" cm="1">
        <f t="array" ref="I9586">_xlfn.STDEV.P(IF(Table1[IndicatorCode]=Table1[[#This Row],[IndicatorCode]],Table1[value]))</f>
        <v>6.3409496564024987</v>
      </c>
      <c r="J9586">
        <f>(Table1[[#This Row],[value]] - Table1[[#This Row],[mean]]) / Table1[[#This Row],[std_dev]]</f>
        <v>0.21051419521132667</v>
      </c>
      <c r="K9586">
        <f>AVERAGEIF(Table1[CountryCode],Table1[[#This Row],[CountryCode]],Table1[z-score])</f>
        <v>1.8607276946173743</v>
      </c>
      <c r="L9586" t="e">
        <f>VLOOKUP(Table1[[#This Row],[CountryCode]],[1]!Table1[#All],1,FALSE)</f>
        <v>#REF!</v>
      </c>
    </row>
    <row r="9587" spans="1:12" hidden="1" x14ac:dyDescent="0.3">
      <c r="A9587" t="s">
        <v>83</v>
      </c>
      <c r="B9587" t="s">
        <v>84</v>
      </c>
      <c r="C9587" t="s">
        <v>129</v>
      </c>
      <c r="D9587" t="s">
        <v>130</v>
      </c>
      <c r="E9587">
        <v>1978</v>
      </c>
      <c r="F9587" s="1">
        <v>75</v>
      </c>
      <c r="G9587">
        <v>1980</v>
      </c>
      <c r="H9587">
        <f>AVERAGEIFS(Table1[value],Table1[IndicatorCode],Table1[[#This Row],[IndicatorCode]])</f>
        <v>72.66514008620689</v>
      </c>
      <c r="I9587" cm="1">
        <f t="array" ref="I9587">_xlfn.STDEV.P(IF(Table1[IndicatorCode]=Table1[[#This Row],[IndicatorCode]],Table1[value]))</f>
        <v>6.3409496564024987</v>
      </c>
      <c r="J9587">
        <f>(Table1[[#This Row],[value]] - Table1[[#This Row],[mean]]) / Table1[[#This Row],[std_dev]]</f>
        <v>0.36821927949476574</v>
      </c>
      <c r="K9587">
        <f>AVERAGEIF(Table1[CountryCode],Table1[[#This Row],[CountryCode]],Table1[z-score])</f>
        <v>1.8607276946173743</v>
      </c>
      <c r="L9587" t="e">
        <f>VLOOKUP(Table1[[#This Row],[CountryCode]],[1]!Table1[#All],1,FALSE)</f>
        <v>#REF!</v>
      </c>
    </row>
    <row r="9588" spans="1:12" hidden="1" x14ac:dyDescent="0.3">
      <c r="A9588" t="s">
        <v>83</v>
      </c>
      <c r="B9588" t="s">
        <v>84</v>
      </c>
      <c r="C9588" t="s">
        <v>129</v>
      </c>
      <c r="D9588" t="s">
        <v>130</v>
      </c>
      <c r="E9588">
        <v>1979</v>
      </c>
      <c r="F9588" s="1">
        <v>75</v>
      </c>
      <c r="G9588">
        <v>1980</v>
      </c>
      <c r="H9588">
        <f>AVERAGEIFS(Table1[value],Table1[IndicatorCode],Table1[[#This Row],[IndicatorCode]])</f>
        <v>72.66514008620689</v>
      </c>
      <c r="I9588" cm="1">
        <f t="array" ref="I9588">_xlfn.STDEV.P(IF(Table1[IndicatorCode]=Table1[[#This Row],[IndicatorCode]],Table1[value]))</f>
        <v>6.3409496564024987</v>
      </c>
      <c r="J9588">
        <f>(Table1[[#This Row],[value]] - Table1[[#This Row],[mean]]) / Table1[[#This Row],[std_dev]]</f>
        <v>0.36821927949476574</v>
      </c>
      <c r="K9588">
        <f>AVERAGEIF(Table1[CountryCode],Table1[[#This Row],[CountryCode]],Table1[z-score])</f>
        <v>1.8607276946173743</v>
      </c>
      <c r="L9588" t="e">
        <f>VLOOKUP(Table1[[#This Row],[CountryCode]],[1]!Table1[#All],1,FALSE)</f>
        <v>#REF!</v>
      </c>
    </row>
    <row r="9589" spans="1:12" hidden="1" x14ac:dyDescent="0.3">
      <c r="A9589" t="s">
        <v>83</v>
      </c>
      <c r="B9589" t="s">
        <v>84</v>
      </c>
      <c r="C9589" t="s">
        <v>129</v>
      </c>
      <c r="D9589" t="s">
        <v>130</v>
      </c>
      <c r="E9589">
        <v>1980</v>
      </c>
      <c r="F9589" s="1">
        <v>75</v>
      </c>
      <c r="G9589">
        <v>1980</v>
      </c>
      <c r="H9589">
        <f>AVERAGEIFS(Table1[value],Table1[IndicatorCode],Table1[[#This Row],[IndicatorCode]])</f>
        <v>72.66514008620689</v>
      </c>
      <c r="I9589" cm="1">
        <f t="array" ref="I9589">_xlfn.STDEV.P(IF(Table1[IndicatorCode]=Table1[[#This Row],[IndicatorCode]],Table1[value]))</f>
        <v>6.3409496564024987</v>
      </c>
      <c r="J9589">
        <f>(Table1[[#This Row],[value]] - Table1[[#This Row],[mean]]) / Table1[[#This Row],[std_dev]]</f>
        <v>0.36821927949476574</v>
      </c>
      <c r="K9589">
        <f>AVERAGEIF(Table1[CountryCode],Table1[[#This Row],[CountryCode]],Table1[z-score])</f>
        <v>1.8607276946173743</v>
      </c>
      <c r="L9589" t="e">
        <f>VLOOKUP(Table1[[#This Row],[CountryCode]],[1]!Table1[#All],1,FALSE)</f>
        <v>#REF!</v>
      </c>
    </row>
    <row r="9590" spans="1:12" hidden="1" x14ac:dyDescent="0.3">
      <c r="A9590" t="s">
        <v>83</v>
      </c>
      <c r="B9590" t="s">
        <v>84</v>
      </c>
      <c r="C9590" t="s">
        <v>129</v>
      </c>
      <c r="D9590" t="s">
        <v>130</v>
      </c>
      <c r="E9590">
        <v>1981</v>
      </c>
      <c r="F9590" s="1">
        <v>75</v>
      </c>
      <c r="G9590">
        <v>1980</v>
      </c>
      <c r="H9590">
        <f>AVERAGEIFS(Table1[value],Table1[IndicatorCode],Table1[[#This Row],[IndicatorCode]])</f>
        <v>72.66514008620689</v>
      </c>
      <c r="I9590" cm="1">
        <f t="array" ref="I9590">_xlfn.STDEV.P(IF(Table1[IndicatorCode]=Table1[[#This Row],[IndicatorCode]],Table1[value]))</f>
        <v>6.3409496564024987</v>
      </c>
      <c r="J9590">
        <f>(Table1[[#This Row],[value]] - Table1[[#This Row],[mean]]) / Table1[[#This Row],[std_dev]]</f>
        <v>0.36821927949476574</v>
      </c>
      <c r="K9590">
        <f>AVERAGEIF(Table1[CountryCode],Table1[[#This Row],[CountryCode]],Table1[z-score])</f>
        <v>1.8607276946173743</v>
      </c>
      <c r="L9590" t="e">
        <f>VLOOKUP(Table1[[#This Row],[CountryCode]],[1]!Table1[#All],1,FALSE)</f>
        <v>#REF!</v>
      </c>
    </row>
    <row r="9591" spans="1:12" hidden="1" x14ac:dyDescent="0.3">
      <c r="A9591" t="s">
        <v>83</v>
      </c>
      <c r="B9591" t="s">
        <v>84</v>
      </c>
      <c r="C9591" t="s">
        <v>129</v>
      </c>
      <c r="D9591" t="s">
        <v>130</v>
      </c>
      <c r="E9591">
        <v>1982</v>
      </c>
      <c r="F9591" s="1">
        <v>75</v>
      </c>
      <c r="G9591">
        <v>1980</v>
      </c>
      <c r="H9591">
        <f>AVERAGEIFS(Table1[value],Table1[IndicatorCode],Table1[[#This Row],[IndicatorCode]])</f>
        <v>72.66514008620689</v>
      </c>
      <c r="I9591" cm="1">
        <f t="array" ref="I9591">_xlfn.STDEV.P(IF(Table1[IndicatorCode]=Table1[[#This Row],[IndicatorCode]],Table1[value]))</f>
        <v>6.3409496564024987</v>
      </c>
      <c r="J9591">
        <f>(Table1[[#This Row],[value]] - Table1[[#This Row],[mean]]) / Table1[[#This Row],[std_dev]]</f>
        <v>0.36821927949476574</v>
      </c>
      <c r="K9591">
        <f>AVERAGEIF(Table1[CountryCode],Table1[[#This Row],[CountryCode]],Table1[z-score])</f>
        <v>1.8607276946173743</v>
      </c>
      <c r="L9591" t="e">
        <f>VLOOKUP(Table1[[#This Row],[CountryCode]],[1]!Table1[#All],1,FALSE)</f>
        <v>#REF!</v>
      </c>
    </row>
    <row r="9592" spans="1:12" hidden="1" x14ac:dyDescent="0.3">
      <c r="A9592" t="s">
        <v>83</v>
      </c>
      <c r="B9592" t="s">
        <v>84</v>
      </c>
      <c r="C9592" t="s">
        <v>129</v>
      </c>
      <c r="D9592" t="s">
        <v>130</v>
      </c>
      <c r="E9592">
        <v>1983</v>
      </c>
      <c r="F9592" s="1">
        <v>76</v>
      </c>
      <c r="G9592">
        <v>1980</v>
      </c>
      <c r="H9592">
        <f>AVERAGEIFS(Table1[value],Table1[IndicatorCode],Table1[[#This Row],[IndicatorCode]])</f>
        <v>72.66514008620689</v>
      </c>
      <c r="I9592" cm="1">
        <f t="array" ref="I9592">_xlfn.STDEV.P(IF(Table1[IndicatorCode]=Table1[[#This Row],[IndicatorCode]],Table1[value]))</f>
        <v>6.3409496564024987</v>
      </c>
      <c r="J9592">
        <f>(Table1[[#This Row],[value]] - Table1[[#This Row],[mean]]) / Table1[[#This Row],[std_dev]]</f>
        <v>0.52592436377820473</v>
      </c>
      <c r="K9592">
        <f>AVERAGEIF(Table1[CountryCode],Table1[[#This Row],[CountryCode]],Table1[z-score])</f>
        <v>1.8607276946173743</v>
      </c>
      <c r="L9592" t="e">
        <f>VLOOKUP(Table1[[#This Row],[CountryCode]],[1]!Table1[#All],1,FALSE)</f>
        <v>#REF!</v>
      </c>
    </row>
    <row r="9593" spans="1:12" hidden="1" x14ac:dyDescent="0.3">
      <c r="A9593" t="s">
        <v>83</v>
      </c>
      <c r="B9593" t="s">
        <v>84</v>
      </c>
      <c r="C9593" t="s">
        <v>129</v>
      </c>
      <c r="D9593" t="s">
        <v>130</v>
      </c>
      <c r="E9593">
        <v>1984</v>
      </c>
      <c r="F9593" s="1">
        <v>76</v>
      </c>
      <c r="G9593">
        <v>1980</v>
      </c>
      <c r="H9593">
        <f>AVERAGEIFS(Table1[value],Table1[IndicatorCode],Table1[[#This Row],[IndicatorCode]])</f>
        <v>72.66514008620689</v>
      </c>
      <c r="I9593" cm="1">
        <f t="array" ref="I9593">_xlfn.STDEV.P(IF(Table1[IndicatorCode]=Table1[[#This Row],[IndicatorCode]],Table1[value]))</f>
        <v>6.3409496564024987</v>
      </c>
      <c r="J9593">
        <f>(Table1[[#This Row],[value]] - Table1[[#This Row],[mean]]) / Table1[[#This Row],[std_dev]]</f>
        <v>0.52592436377820473</v>
      </c>
      <c r="K9593">
        <f>AVERAGEIF(Table1[CountryCode],Table1[[#This Row],[CountryCode]],Table1[z-score])</f>
        <v>1.8607276946173743</v>
      </c>
      <c r="L9593" t="e">
        <f>VLOOKUP(Table1[[#This Row],[CountryCode]],[1]!Table1[#All],1,FALSE)</f>
        <v>#REF!</v>
      </c>
    </row>
    <row r="9594" spans="1:12" hidden="1" x14ac:dyDescent="0.3">
      <c r="A9594" t="s">
        <v>83</v>
      </c>
      <c r="B9594" t="s">
        <v>84</v>
      </c>
      <c r="C9594" t="s">
        <v>129</v>
      </c>
      <c r="D9594" t="s">
        <v>130</v>
      </c>
      <c r="E9594">
        <v>1985</v>
      </c>
      <c r="F9594" s="1">
        <v>77</v>
      </c>
      <c r="G9594">
        <v>1980</v>
      </c>
      <c r="H9594">
        <f>AVERAGEIFS(Table1[value],Table1[IndicatorCode],Table1[[#This Row],[IndicatorCode]])</f>
        <v>72.66514008620689</v>
      </c>
      <c r="I9594" cm="1">
        <f t="array" ref="I9594">_xlfn.STDEV.P(IF(Table1[IndicatorCode]=Table1[[#This Row],[IndicatorCode]],Table1[value]))</f>
        <v>6.3409496564024987</v>
      </c>
      <c r="J9594">
        <f>(Table1[[#This Row],[value]] - Table1[[#This Row],[mean]]) / Table1[[#This Row],[std_dev]]</f>
        <v>0.68362944806164383</v>
      </c>
      <c r="K9594">
        <f>AVERAGEIF(Table1[CountryCode],Table1[[#This Row],[CountryCode]],Table1[z-score])</f>
        <v>1.8607276946173743</v>
      </c>
      <c r="L9594" t="e">
        <f>VLOOKUP(Table1[[#This Row],[CountryCode]],[1]!Table1[#All],1,FALSE)</f>
        <v>#REF!</v>
      </c>
    </row>
    <row r="9595" spans="1:12" hidden="1" x14ac:dyDescent="0.3">
      <c r="A9595" t="s">
        <v>83</v>
      </c>
      <c r="B9595" t="s">
        <v>84</v>
      </c>
      <c r="C9595" t="s">
        <v>129</v>
      </c>
      <c r="D9595" t="s">
        <v>130</v>
      </c>
      <c r="E9595">
        <v>1986</v>
      </c>
      <c r="F9595" s="1">
        <v>78</v>
      </c>
      <c r="G9595">
        <v>1980</v>
      </c>
      <c r="H9595">
        <f>AVERAGEIFS(Table1[value],Table1[IndicatorCode],Table1[[#This Row],[IndicatorCode]])</f>
        <v>72.66514008620689</v>
      </c>
      <c r="I9595" cm="1">
        <f t="array" ref="I9595">_xlfn.STDEV.P(IF(Table1[IndicatorCode]=Table1[[#This Row],[IndicatorCode]],Table1[value]))</f>
        <v>6.3409496564024987</v>
      </c>
      <c r="J9595">
        <f>(Table1[[#This Row],[value]] - Table1[[#This Row],[mean]]) / Table1[[#This Row],[std_dev]]</f>
        <v>0.84133453234508293</v>
      </c>
      <c r="K9595">
        <f>AVERAGEIF(Table1[CountryCode],Table1[[#This Row],[CountryCode]],Table1[z-score])</f>
        <v>1.8607276946173743</v>
      </c>
      <c r="L9595" t="e">
        <f>VLOOKUP(Table1[[#This Row],[CountryCode]],[1]!Table1[#All],1,FALSE)</f>
        <v>#REF!</v>
      </c>
    </row>
    <row r="9596" spans="1:12" hidden="1" x14ac:dyDescent="0.3">
      <c r="A9596" t="s">
        <v>83</v>
      </c>
      <c r="B9596" t="s">
        <v>84</v>
      </c>
      <c r="C9596" t="s">
        <v>129</v>
      </c>
      <c r="D9596" t="s">
        <v>130</v>
      </c>
      <c r="E9596">
        <v>1987</v>
      </c>
      <c r="F9596" s="1">
        <v>79</v>
      </c>
      <c r="G9596">
        <v>1990</v>
      </c>
      <c r="H9596">
        <f>AVERAGEIFS(Table1[value],Table1[IndicatorCode],Table1[[#This Row],[IndicatorCode]])</f>
        <v>72.66514008620689</v>
      </c>
      <c r="I9596" cm="1">
        <f t="array" ref="I9596">_xlfn.STDEV.P(IF(Table1[IndicatorCode]=Table1[[#This Row],[IndicatorCode]],Table1[value]))</f>
        <v>6.3409496564024987</v>
      </c>
      <c r="J9596">
        <f>(Table1[[#This Row],[value]] - Table1[[#This Row],[mean]]) / Table1[[#This Row],[std_dev]]</f>
        <v>0.99903961662852192</v>
      </c>
      <c r="K9596">
        <f>AVERAGEIF(Table1[CountryCode],Table1[[#This Row],[CountryCode]],Table1[z-score])</f>
        <v>1.8607276946173743</v>
      </c>
      <c r="L9596" t="e">
        <f>VLOOKUP(Table1[[#This Row],[CountryCode]],[1]!Table1[#All],1,FALSE)</f>
        <v>#REF!</v>
      </c>
    </row>
    <row r="9597" spans="1:12" hidden="1" x14ac:dyDescent="0.3">
      <c r="A9597" t="s">
        <v>83</v>
      </c>
      <c r="B9597" t="s">
        <v>84</v>
      </c>
      <c r="C9597" t="s">
        <v>129</v>
      </c>
      <c r="D9597" t="s">
        <v>130</v>
      </c>
      <c r="E9597">
        <v>1988</v>
      </c>
      <c r="F9597" s="1">
        <v>79</v>
      </c>
      <c r="G9597">
        <v>1990</v>
      </c>
      <c r="H9597">
        <f>AVERAGEIFS(Table1[value],Table1[IndicatorCode],Table1[[#This Row],[IndicatorCode]])</f>
        <v>72.66514008620689</v>
      </c>
      <c r="I9597" cm="1">
        <f t="array" ref="I9597">_xlfn.STDEV.P(IF(Table1[IndicatorCode]=Table1[[#This Row],[IndicatorCode]],Table1[value]))</f>
        <v>6.3409496564024987</v>
      </c>
      <c r="J9597">
        <f>(Table1[[#This Row],[value]] - Table1[[#This Row],[mean]]) / Table1[[#This Row],[std_dev]]</f>
        <v>0.99903961662852192</v>
      </c>
      <c r="K9597">
        <f>AVERAGEIF(Table1[CountryCode],Table1[[#This Row],[CountryCode]],Table1[z-score])</f>
        <v>1.8607276946173743</v>
      </c>
      <c r="L9597" t="e">
        <f>VLOOKUP(Table1[[#This Row],[CountryCode]],[1]!Table1[#All],1,FALSE)</f>
        <v>#REF!</v>
      </c>
    </row>
    <row r="9598" spans="1:12" hidden="1" x14ac:dyDescent="0.3">
      <c r="A9598" t="s">
        <v>83</v>
      </c>
      <c r="B9598" t="s">
        <v>84</v>
      </c>
      <c r="C9598" t="s">
        <v>129</v>
      </c>
      <c r="D9598" t="s">
        <v>130</v>
      </c>
      <c r="E9598">
        <v>1989</v>
      </c>
      <c r="F9598" s="1">
        <v>79</v>
      </c>
      <c r="G9598">
        <v>1990</v>
      </c>
      <c r="H9598">
        <f>AVERAGEIFS(Table1[value],Table1[IndicatorCode],Table1[[#This Row],[IndicatorCode]])</f>
        <v>72.66514008620689</v>
      </c>
      <c r="I9598" cm="1">
        <f t="array" ref="I9598">_xlfn.STDEV.P(IF(Table1[IndicatorCode]=Table1[[#This Row],[IndicatorCode]],Table1[value]))</f>
        <v>6.3409496564024987</v>
      </c>
      <c r="J9598">
        <f>(Table1[[#This Row],[value]] - Table1[[#This Row],[mean]]) / Table1[[#This Row],[std_dev]]</f>
        <v>0.99903961662852192</v>
      </c>
      <c r="K9598">
        <f>AVERAGEIF(Table1[CountryCode],Table1[[#This Row],[CountryCode]],Table1[z-score])</f>
        <v>1.8607276946173743</v>
      </c>
      <c r="L9598" t="e">
        <f>VLOOKUP(Table1[[#This Row],[CountryCode]],[1]!Table1[#All],1,FALSE)</f>
        <v>#REF!</v>
      </c>
    </row>
    <row r="9599" spans="1:12" hidden="1" x14ac:dyDescent="0.3">
      <c r="A9599" t="s">
        <v>83</v>
      </c>
      <c r="B9599" t="s">
        <v>84</v>
      </c>
      <c r="C9599" t="s">
        <v>129</v>
      </c>
      <c r="D9599" t="s">
        <v>130</v>
      </c>
      <c r="E9599">
        <v>1990</v>
      </c>
      <c r="F9599" s="1">
        <v>79</v>
      </c>
      <c r="G9599">
        <v>1990</v>
      </c>
      <c r="H9599">
        <f>AVERAGEIFS(Table1[value],Table1[IndicatorCode],Table1[[#This Row],[IndicatorCode]])</f>
        <v>72.66514008620689</v>
      </c>
      <c r="I9599" cm="1">
        <f t="array" ref="I9599">_xlfn.STDEV.P(IF(Table1[IndicatorCode]=Table1[[#This Row],[IndicatorCode]],Table1[value]))</f>
        <v>6.3409496564024987</v>
      </c>
      <c r="J9599">
        <f>(Table1[[#This Row],[value]] - Table1[[#This Row],[mean]]) / Table1[[#This Row],[std_dev]]</f>
        <v>0.99903961662852192</v>
      </c>
      <c r="K9599">
        <f>AVERAGEIF(Table1[CountryCode],Table1[[#This Row],[CountryCode]],Table1[z-score])</f>
        <v>1.8607276946173743</v>
      </c>
      <c r="L9599" t="e">
        <f>VLOOKUP(Table1[[#This Row],[CountryCode]],[1]!Table1[#All],1,FALSE)</f>
        <v>#REF!</v>
      </c>
    </row>
    <row r="9600" spans="1:12" hidden="1" x14ac:dyDescent="0.3">
      <c r="A9600" t="s">
        <v>83</v>
      </c>
      <c r="B9600" t="s">
        <v>84</v>
      </c>
      <c r="C9600" t="s">
        <v>129</v>
      </c>
      <c r="D9600" t="s">
        <v>130</v>
      </c>
      <c r="E9600">
        <v>1991</v>
      </c>
      <c r="F9600" s="1">
        <v>80</v>
      </c>
      <c r="G9600">
        <v>1990</v>
      </c>
      <c r="H9600">
        <f>AVERAGEIFS(Table1[value],Table1[IndicatorCode],Table1[[#This Row],[IndicatorCode]])</f>
        <v>72.66514008620689</v>
      </c>
      <c r="I9600" cm="1">
        <f t="array" ref="I9600">_xlfn.STDEV.P(IF(Table1[IndicatorCode]=Table1[[#This Row],[IndicatorCode]],Table1[value]))</f>
        <v>6.3409496564024987</v>
      </c>
      <c r="J9600">
        <f>(Table1[[#This Row],[value]] - Table1[[#This Row],[mean]]) / Table1[[#This Row],[std_dev]]</f>
        <v>1.1567447009119609</v>
      </c>
      <c r="K9600">
        <f>AVERAGEIF(Table1[CountryCode],Table1[[#This Row],[CountryCode]],Table1[z-score])</f>
        <v>1.8607276946173743</v>
      </c>
      <c r="L9600" t="e">
        <f>VLOOKUP(Table1[[#This Row],[CountryCode]],[1]!Table1[#All],1,FALSE)</f>
        <v>#REF!</v>
      </c>
    </row>
    <row r="9601" spans="1:12" hidden="1" x14ac:dyDescent="0.3">
      <c r="A9601" t="s">
        <v>83</v>
      </c>
      <c r="B9601" t="s">
        <v>84</v>
      </c>
      <c r="C9601" t="s">
        <v>129</v>
      </c>
      <c r="D9601" t="s">
        <v>130</v>
      </c>
      <c r="E9601">
        <v>1992</v>
      </c>
      <c r="F9601" s="1">
        <v>80</v>
      </c>
      <c r="G9601">
        <v>1990</v>
      </c>
      <c r="H9601">
        <f>AVERAGEIFS(Table1[value],Table1[IndicatorCode],Table1[[#This Row],[IndicatorCode]])</f>
        <v>72.66514008620689</v>
      </c>
      <c r="I9601" cm="1">
        <f t="array" ref="I9601">_xlfn.STDEV.P(IF(Table1[IndicatorCode]=Table1[[#This Row],[IndicatorCode]],Table1[value]))</f>
        <v>6.3409496564024987</v>
      </c>
      <c r="J9601">
        <f>(Table1[[#This Row],[value]] - Table1[[#This Row],[mean]]) / Table1[[#This Row],[std_dev]]</f>
        <v>1.1567447009119609</v>
      </c>
      <c r="K9601">
        <f>AVERAGEIF(Table1[CountryCode],Table1[[#This Row],[CountryCode]],Table1[z-score])</f>
        <v>1.8607276946173743</v>
      </c>
      <c r="L9601" t="e">
        <f>VLOOKUP(Table1[[#This Row],[CountryCode]],[1]!Table1[#All],1,FALSE)</f>
        <v>#REF!</v>
      </c>
    </row>
    <row r="9602" spans="1:12" hidden="1" x14ac:dyDescent="0.3">
      <c r="A9602" t="s">
        <v>83</v>
      </c>
      <c r="B9602" t="s">
        <v>84</v>
      </c>
      <c r="C9602" t="s">
        <v>129</v>
      </c>
      <c r="D9602" t="s">
        <v>130</v>
      </c>
      <c r="E9602">
        <v>1993</v>
      </c>
      <c r="F9602" s="1">
        <v>80</v>
      </c>
      <c r="G9602">
        <v>1990</v>
      </c>
      <c r="H9602">
        <f>AVERAGEIFS(Table1[value],Table1[IndicatorCode],Table1[[#This Row],[IndicatorCode]])</f>
        <v>72.66514008620689</v>
      </c>
      <c r="I9602" cm="1">
        <f t="array" ref="I9602">_xlfn.STDEV.P(IF(Table1[IndicatorCode]=Table1[[#This Row],[IndicatorCode]],Table1[value]))</f>
        <v>6.3409496564024987</v>
      </c>
      <c r="J9602">
        <f>(Table1[[#This Row],[value]] - Table1[[#This Row],[mean]]) / Table1[[#This Row],[std_dev]]</f>
        <v>1.1567447009119609</v>
      </c>
      <c r="K9602">
        <f>AVERAGEIF(Table1[CountryCode],Table1[[#This Row],[CountryCode]],Table1[z-score])</f>
        <v>1.8607276946173743</v>
      </c>
      <c r="L9602" t="e">
        <f>VLOOKUP(Table1[[#This Row],[CountryCode]],[1]!Table1[#All],1,FALSE)</f>
        <v>#REF!</v>
      </c>
    </row>
    <row r="9603" spans="1:12" hidden="1" x14ac:dyDescent="0.3">
      <c r="A9603" t="s">
        <v>83</v>
      </c>
      <c r="B9603" t="s">
        <v>84</v>
      </c>
      <c r="C9603" t="s">
        <v>129</v>
      </c>
      <c r="D9603" t="s">
        <v>130</v>
      </c>
      <c r="E9603">
        <v>1994</v>
      </c>
      <c r="F9603" s="1">
        <v>81</v>
      </c>
      <c r="G9603">
        <v>1990</v>
      </c>
      <c r="H9603">
        <f>AVERAGEIFS(Table1[value],Table1[IndicatorCode],Table1[[#This Row],[IndicatorCode]])</f>
        <v>72.66514008620689</v>
      </c>
      <c r="I9603" cm="1">
        <f t="array" ref="I9603">_xlfn.STDEV.P(IF(Table1[IndicatorCode]=Table1[[#This Row],[IndicatorCode]],Table1[value]))</f>
        <v>6.3409496564024987</v>
      </c>
      <c r="J9603">
        <f>(Table1[[#This Row],[value]] - Table1[[#This Row],[mean]]) / Table1[[#This Row],[std_dev]]</f>
        <v>1.3144497851954</v>
      </c>
      <c r="K9603">
        <f>AVERAGEIF(Table1[CountryCode],Table1[[#This Row],[CountryCode]],Table1[z-score])</f>
        <v>1.8607276946173743</v>
      </c>
      <c r="L9603" t="e">
        <f>VLOOKUP(Table1[[#This Row],[CountryCode]],[1]!Table1[#All],1,FALSE)</f>
        <v>#REF!</v>
      </c>
    </row>
    <row r="9604" spans="1:12" hidden="1" x14ac:dyDescent="0.3">
      <c r="A9604" t="s">
        <v>83</v>
      </c>
      <c r="B9604" t="s">
        <v>84</v>
      </c>
      <c r="C9604" t="s">
        <v>129</v>
      </c>
      <c r="D9604" t="s">
        <v>130</v>
      </c>
      <c r="E9604">
        <v>1995</v>
      </c>
      <c r="F9604" s="1">
        <v>81</v>
      </c>
      <c r="G9604">
        <v>1990</v>
      </c>
      <c r="H9604">
        <f>AVERAGEIFS(Table1[value],Table1[IndicatorCode],Table1[[#This Row],[IndicatorCode]])</f>
        <v>72.66514008620689</v>
      </c>
      <c r="I9604" cm="1">
        <f t="array" ref="I9604">_xlfn.STDEV.P(IF(Table1[IndicatorCode]=Table1[[#This Row],[IndicatorCode]],Table1[value]))</f>
        <v>6.3409496564024987</v>
      </c>
      <c r="J9604">
        <f>(Table1[[#This Row],[value]] - Table1[[#This Row],[mean]]) / Table1[[#This Row],[std_dev]]</f>
        <v>1.3144497851954</v>
      </c>
      <c r="K9604">
        <f>AVERAGEIF(Table1[CountryCode],Table1[[#This Row],[CountryCode]],Table1[z-score])</f>
        <v>1.8607276946173743</v>
      </c>
      <c r="L9604" t="e">
        <f>VLOOKUP(Table1[[#This Row],[CountryCode]],[1]!Table1[#All],1,FALSE)</f>
        <v>#REF!</v>
      </c>
    </row>
    <row r="9605" spans="1:12" hidden="1" x14ac:dyDescent="0.3">
      <c r="A9605" t="s">
        <v>83</v>
      </c>
      <c r="B9605" t="s">
        <v>84</v>
      </c>
      <c r="C9605" t="s">
        <v>129</v>
      </c>
      <c r="D9605" t="s">
        <v>130</v>
      </c>
      <c r="E9605">
        <v>1996</v>
      </c>
      <c r="F9605" s="1">
        <v>81</v>
      </c>
      <c r="G9605">
        <v>1990</v>
      </c>
      <c r="H9605">
        <f>AVERAGEIFS(Table1[value],Table1[IndicatorCode],Table1[[#This Row],[IndicatorCode]])</f>
        <v>72.66514008620689</v>
      </c>
      <c r="I9605" cm="1">
        <f t="array" ref="I9605">_xlfn.STDEV.P(IF(Table1[IndicatorCode]=Table1[[#This Row],[IndicatorCode]],Table1[value]))</f>
        <v>6.3409496564024987</v>
      </c>
      <c r="J9605">
        <f>(Table1[[#This Row],[value]] - Table1[[#This Row],[mean]]) / Table1[[#This Row],[std_dev]]</f>
        <v>1.3144497851954</v>
      </c>
      <c r="K9605">
        <f>AVERAGEIF(Table1[CountryCode],Table1[[#This Row],[CountryCode]],Table1[z-score])</f>
        <v>1.8607276946173743</v>
      </c>
      <c r="L9605" t="e">
        <f>VLOOKUP(Table1[[#This Row],[CountryCode]],[1]!Table1[#All],1,FALSE)</f>
        <v>#REF!</v>
      </c>
    </row>
    <row r="9606" spans="1:12" hidden="1" x14ac:dyDescent="0.3">
      <c r="A9606" t="s">
        <v>83</v>
      </c>
      <c r="B9606" t="s">
        <v>84</v>
      </c>
      <c r="C9606" t="s">
        <v>129</v>
      </c>
      <c r="D9606" t="s">
        <v>130</v>
      </c>
      <c r="E9606">
        <v>1997</v>
      </c>
      <c r="F9606" s="1">
        <v>81</v>
      </c>
      <c r="G9606">
        <v>2000</v>
      </c>
      <c r="H9606">
        <f>AVERAGEIFS(Table1[value],Table1[IndicatorCode],Table1[[#This Row],[IndicatorCode]])</f>
        <v>72.66514008620689</v>
      </c>
      <c r="I9606" cm="1">
        <f t="array" ref="I9606">_xlfn.STDEV.P(IF(Table1[IndicatorCode]=Table1[[#This Row],[IndicatorCode]],Table1[value]))</f>
        <v>6.3409496564024987</v>
      </c>
      <c r="J9606">
        <f>(Table1[[#This Row],[value]] - Table1[[#This Row],[mean]]) / Table1[[#This Row],[std_dev]]</f>
        <v>1.3144497851954</v>
      </c>
      <c r="K9606">
        <f>AVERAGEIF(Table1[CountryCode],Table1[[#This Row],[CountryCode]],Table1[z-score])</f>
        <v>1.8607276946173743</v>
      </c>
      <c r="L9606" t="e">
        <f>VLOOKUP(Table1[[#This Row],[CountryCode]],[1]!Table1[#All],1,FALSE)</f>
        <v>#REF!</v>
      </c>
    </row>
    <row r="9607" spans="1:12" hidden="1" x14ac:dyDescent="0.3">
      <c r="A9607" t="s">
        <v>83</v>
      </c>
      <c r="B9607" t="s">
        <v>84</v>
      </c>
      <c r="C9607" t="s">
        <v>129</v>
      </c>
      <c r="D9607" t="s">
        <v>130</v>
      </c>
      <c r="E9607">
        <v>1998</v>
      </c>
      <c r="F9607" s="1">
        <v>82</v>
      </c>
      <c r="G9607">
        <v>2000</v>
      </c>
      <c r="H9607">
        <f>AVERAGEIFS(Table1[value],Table1[IndicatorCode],Table1[[#This Row],[IndicatorCode]])</f>
        <v>72.66514008620689</v>
      </c>
      <c r="I9607" cm="1">
        <f t="array" ref="I9607">_xlfn.STDEV.P(IF(Table1[IndicatorCode]=Table1[[#This Row],[IndicatorCode]],Table1[value]))</f>
        <v>6.3409496564024987</v>
      </c>
      <c r="J9607">
        <f>(Table1[[#This Row],[value]] - Table1[[#This Row],[mean]]) / Table1[[#This Row],[std_dev]]</f>
        <v>1.4721548694788391</v>
      </c>
      <c r="K9607">
        <f>AVERAGEIF(Table1[CountryCode],Table1[[#This Row],[CountryCode]],Table1[z-score])</f>
        <v>1.8607276946173743</v>
      </c>
      <c r="L9607" t="e">
        <f>VLOOKUP(Table1[[#This Row],[CountryCode]],[1]!Table1[#All],1,FALSE)</f>
        <v>#REF!</v>
      </c>
    </row>
    <row r="9608" spans="1:12" hidden="1" x14ac:dyDescent="0.3">
      <c r="A9608" t="s">
        <v>83</v>
      </c>
      <c r="B9608" t="s">
        <v>84</v>
      </c>
      <c r="C9608" t="s">
        <v>129</v>
      </c>
      <c r="D9608" t="s">
        <v>130</v>
      </c>
      <c r="E9608">
        <v>1999</v>
      </c>
      <c r="F9608" s="1">
        <v>82</v>
      </c>
      <c r="G9608">
        <v>2000</v>
      </c>
      <c r="H9608">
        <f>AVERAGEIFS(Table1[value],Table1[IndicatorCode],Table1[[#This Row],[IndicatorCode]])</f>
        <v>72.66514008620689</v>
      </c>
      <c r="I9608" cm="1">
        <f t="array" ref="I9608">_xlfn.STDEV.P(IF(Table1[IndicatorCode]=Table1[[#This Row],[IndicatorCode]],Table1[value]))</f>
        <v>6.3409496564024987</v>
      </c>
      <c r="J9608">
        <f>(Table1[[#This Row],[value]] - Table1[[#This Row],[mean]]) / Table1[[#This Row],[std_dev]]</f>
        <v>1.4721548694788391</v>
      </c>
      <c r="K9608">
        <f>AVERAGEIF(Table1[CountryCode],Table1[[#This Row],[CountryCode]],Table1[z-score])</f>
        <v>1.8607276946173743</v>
      </c>
      <c r="L9608" t="e">
        <f>VLOOKUP(Table1[[#This Row],[CountryCode]],[1]!Table1[#All],1,FALSE)</f>
        <v>#REF!</v>
      </c>
    </row>
    <row r="9609" spans="1:12" hidden="1" x14ac:dyDescent="0.3">
      <c r="A9609" t="s">
        <v>83</v>
      </c>
      <c r="B9609" t="s">
        <v>84</v>
      </c>
      <c r="C9609" t="s">
        <v>129</v>
      </c>
      <c r="D9609" t="s">
        <v>130</v>
      </c>
      <c r="E9609">
        <v>2000</v>
      </c>
      <c r="F9609" s="1">
        <v>82</v>
      </c>
      <c r="G9609">
        <v>2000</v>
      </c>
      <c r="H9609">
        <f>AVERAGEIFS(Table1[value],Table1[IndicatorCode],Table1[[#This Row],[IndicatorCode]])</f>
        <v>72.66514008620689</v>
      </c>
      <c r="I9609" cm="1">
        <f t="array" ref="I9609">_xlfn.STDEV.P(IF(Table1[IndicatorCode]=Table1[[#This Row],[IndicatorCode]],Table1[value]))</f>
        <v>6.3409496564024987</v>
      </c>
      <c r="J9609">
        <f>(Table1[[#This Row],[value]] - Table1[[#This Row],[mean]]) / Table1[[#This Row],[std_dev]]</f>
        <v>1.4721548694788391</v>
      </c>
      <c r="K9609">
        <f>AVERAGEIF(Table1[CountryCode],Table1[[#This Row],[CountryCode]],Table1[z-score])</f>
        <v>1.8607276946173743</v>
      </c>
      <c r="L9609" t="e">
        <f>VLOOKUP(Table1[[#This Row],[CountryCode]],[1]!Table1[#All],1,FALSE)</f>
        <v>#REF!</v>
      </c>
    </row>
    <row r="9610" spans="1:12" hidden="1" x14ac:dyDescent="0.3">
      <c r="A9610" t="s">
        <v>83</v>
      </c>
      <c r="B9610" t="s">
        <v>84</v>
      </c>
      <c r="C9610" t="s">
        <v>129</v>
      </c>
      <c r="D9610" t="s">
        <v>130</v>
      </c>
      <c r="E9610">
        <v>2001</v>
      </c>
      <c r="F9610" s="1">
        <v>82</v>
      </c>
      <c r="G9610">
        <v>2000</v>
      </c>
      <c r="H9610">
        <f>AVERAGEIFS(Table1[value],Table1[IndicatorCode],Table1[[#This Row],[IndicatorCode]])</f>
        <v>72.66514008620689</v>
      </c>
      <c r="I9610" cm="1">
        <f t="array" ref="I9610">_xlfn.STDEV.P(IF(Table1[IndicatorCode]=Table1[[#This Row],[IndicatorCode]],Table1[value]))</f>
        <v>6.3409496564024987</v>
      </c>
      <c r="J9610">
        <f>(Table1[[#This Row],[value]] - Table1[[#This Row],[mean]]) / Table1[[#This Row],[std_dev]]</f>
        <v>1.4721548694788391</v>
      </c>
      <c r="K9610">
        <f>AVERAGEIF(Table1[CountryCode],Table1[[#This Row],[CountryCode]],Table1[z-score])</f>
        <v>1.8607276946173743</v>
      </c>
      <c r="L9610" t="e">
        <f>VLOOKUP(Table1[[#This Row],[CountryCode]],[1]!Table1[#All],1,FALSE)</f>
        <v>#REF!</v>
      </c>
    </row>
    <row r="9611" spans="1:12" hidden="1" x14ac:dyDescent="0.3">
      <c r="A9611" t="s">
        <v>83</v>
      </c>
      <c r="B9611" t="s">
        <v>84</v>
      </c>
      <c r="C9611" t="s">
        <v>129</v>
      </c>
      <c r="D9611" t="s">
        <v>130</v>
      </c>
      <c r="E9611">
        <v>2002</v>
      </c>
      <c r="F9611" s="1">
        <v>83</v>
      </c>
      <c r="G9611">
        <v>2000</v>
      </c>
      <c r="H9611">
        <f>AVERAGEIFS(Table1[value],Table1[IndicatorCode],Table1[[#This Row],[IndicatorCode]])</f>
        <v>72.66514008620689</v>
      </c>
      <c r="I9611" cm="1">
        <f t="array" ref="I9611">_xlfn.STDEV.P(IF(Table1[IndicatorCode]=Table1[[#This Row],[IndicatorCode]],Table1[value]))</f>
        <v>6.3409496564024987</v>
      </c>
      <c r="J9611">
        <f>(Table1[[#This Row],[value]] - Table1[[#This Row],[mean]]) / Table1[[#This Row],[std_dev]]</f>
        <v>1.6298599537622782</v>
      </c>
      <c r="K9611">
        <f>AVERAGEIF(Table1[CountryCode],Table1[[#This Row],[CountryCode]],Table1[z-score])</f>
        <v>1.8607276946173743</v>
      </c>
      <c r="L9611" t="e">
        <f>VLOOKUP(Table1[[#This Row],[CountryCode]],[1]!Table1[#All],1,FALSE)</f>
        <v>#REF!</v>
      </c>
    </row>
    <row r="9612" spans="1:12" hidden="1" x14ac:dyDescent="0.3">
      <c r="A9612" t="s">
        <v>83</v>
      </c>
      <c r="B9612" t="s">
        <v>84</v>
      </c>
      <c r="C9612" t="s">
        <v>129</v>
      </c>
      <c r="D9612" t="s">
        <v>130</v>
      </c>
      <c r="E9612">
        <v>2003</v>
      </c>
      <c r="F9612" s="1">
        <v>84</v>
      </c>
      <c r="G9612">
        <v>2000</v>
      </c>
      <c r="H9612">
        <f>AVERAGEIFS(Table1[value],Table1[IndicatorCode],Table1[[#This Row],[IndicatorCode]])</f>
        <v>72.66514008620689</v>
      </c>
      <c r="I9612" cm="1">
        <f t="array" ref="I9612">_xlfn.STDEV.P(IF(Table1[IndicatorCode]=Table1[[#This Row],[IndicatorCode]],Table1[value]))</f>
        <v>6.3409496564024987</v>
      </c>
      <c r="J9612">
        <f>(Table1[[#This Row],[value]] - Table1[[#This Row],[mean]]) / Table1[[#This Row],[std_dev]]</f>
        <v>1.7875650380457173</v>
      </c>
      <c r="K9612">
        <f>AVERAGEIF(Table1[CountryCode],Table1[[#This Row],[CountryCode]],Table1[z-score])</f>
        <v>1.8607276946173743</v>
      </c>
      <c r="L9612" t="e">
        <f>VLOOKUP(Table1[[#This Row],[CountryCode]],[1]!Table1[#All],1,FALSE)</f>
        <v>#REF!</v>
      </c>
    </row>
    <row r="9613" spans="1:12" hidden="1" x14ac:dyDescent="0.3">
      <c r="A9613" t="s">
        <v>83</v>
      </c>
      <c r="B9613" t="s">
        <v>84</v>
      </c>
      <c r="C9613" t="s">
        <v>129</v>
      </c>
      <c r="D9613" t="s">
        <v>130</v>
      </c>
      <c r="E9613">
        <v>2004</v>
      </c>
      <c r="F9613" s="1">
        <v>84</v>
      </c>
      <c r="G9613">
        <v>2000</v>
      </c>
      <c r="H9613">
        <f>AVERAGEIFS(Table1[value],Table1[IndicatorCode],Table1[[#This Row],[IndicatorCode]])</f>
        <v>72.66514008620689</v>
      </c>
      <c r="I9613" cm="1">
        <f t="array" ref="I9613">_xlfn.STDEV.P(IF(Table1[IndicatorCode]=Table1[[#This Row],[IndicatorCode]],Table1[value]))</f>
        <v>6.3409496564024987</v>
      </c>
      <c r="J9613">
        <f>(Table1[[#This Row],[value]] - Table1[[#This Row],[mean]]) / Table1[[#This Row],[std_dev]]</f>
        <v>1.7875650380457173</v>
      </c>
      <c r="K9613">
        <f>AVERAGEIF(Table1[CountryCode],Table1[[#This Row],[CountryCode]],Table1[z-score])</f>
        <v>1.8607276946173743</v>
      </c>
      <c r="L9613" t="e">
        <f>VLOOKUP(Table1[[#This Row],[CountryCode]],[1]!Table1[#All],1,FALSE)</f>
        <v>#REF!</v>
      </c>
    </row>
    <row r="9614" spans="1:12" hidden="1" x14ac:dyDescent="0.3">
      <c r="A9614" t="s">
        <v>83</v>
      </c>
      <c r="B9614" t="s">
        <v>84</v>
      </c>
      <c r="C9614" t="s">
        <v>129</v>
      </c>
      <c r="D9614" t="s">
        <v>130</v>
      </c>
      <c r="E9614">
        <v>2005</v>
      </c>
      <c r="F9614" s="1">
        <v>84</v>
      </c>
      <c r="G9614">
        <v>2000</v>
      </c>
      <c r="H9614">
        <f>AVERAGEIFS(Table1[value],Table1[IndicatorCode],Table1[[#This Row],[IndicatorCode]])</f>
        <v>72.66514008620689</v>
      </c>
      <c r="I9614" cm="1">
        <f t="array" ref="I9614">_xlfn.STDEV.P(IF(Table1[IndicatorCode]=Table1[[#This Row],[IndicatorCode]],Table1[value]))</f>
        <v>6.3409496564024987</v>
      </c>
      <c r="J9614">
        <f>(Table1[[#This Row],[value]] - Table1[[#This Row],[mean]]) / Table1[[#This Row],[std_dev]]</f>
        <v>1.7875650380457173</v>
      </c>
      <c r="K9614">
        <f>AVERAGEIF(Table1[CountryCode],Table1[[#This Row],[CountryCode]],Table1[z-score])</f>
        <v>1.8607276946173743</v>
      </c>
      <c r="L9614" t="e">
        <f>VLOOKUP(Table1[[#This Row],[CountryCode]],[1]!Table1[#All],1,FALSE)</f>
        <v>#REF!</v>
      </c>
    </row>
    <row r="9615" spans="1:12" hidden="1" x14ac:dyDescent="0.3">
      <c r="A9615" t="s">
        <v>83</v>
      </c>
      <c r="B9615" t="s">
        <v>84</v>
      </c>
      <c r="C9615" t="s">
        <v>129</v>
      </c>
      <c r="D9615" t="s">
        <v>130</v>
      </c>
      <c r="E9615">
        <v>2006</v>
      </c>
      <c r="F9615" s="1">
        <v>84</v>
      </c>
      <c r="G9615">
        <v>2000</v>
      </c>
      <c r="H9615">
        <f>AVERAGEIFS(Table1[value],Table1[IndicatorCode],Table1[[#This Row],[IndicatorCode]])</f>
        <v>72.66514008620689</v>
      </c>
      <c r="I9615" cm="1">
        <f t="array" ref="I9615">_xlfn.STDEV.P(IF(Table1[IndicatorCode]=Table1[[#This Row],[IndicatorCode]],Table1[value]))</f>
        <v>6.3409496564024987</v>
      </c>
      <c r="J9615">
        <f>(Table1[[#This Row],[value]] - Table1[[#This Row],[mean]]) / Table1[[#This Row],[std_dev]]</f>
        <v>1.7875650380457173</v>
      </c>
      <c r="K9615">
        <f>AVERAGEIF(Table1[CountryCode],Table1[[#This Row],[CountryCode]],Table1[z-score])</f>
        <v>1.8607276946173743</v>
      </c>
      <c r="L9615" t="e">
        <f>VLOOKUP(Table1[[#This Row],[CountryCode]],[1]!Table1[#All],1,FALSE)</f>
        <v>#REF!</v>
      </c>
    </row>
    <row r="9616" spans="1:12" hidden="1" x14ac:dyDescent="0.3">
      <c r="A9616" t="s">
        <v>83</v>
      </c>
      <c r="B9616" t="s">
        <v>84</v>
      </c>
      <c r="C9616" t="s">
        <v>129</v>
      </c>
      <c r="D9616" t="s">
        <v>130</v>
      </c>
      <c r="E9616">
        <v>2007</v>
      </c>
      <c r="F9616" s="1">
        <v>84</v>
      </c>
      <c r="G9616">
        <v>2010</v>
      </c>
      <c r="H9616">
        <f>AVERAGEIFS(Table1[value],Table1[IndicatorCode],Table1[[#This Row],[IndicatorCode]])</f>
        <v>72.66514008620689</v>
      </c>
      <c r="I9616" cm="1">
        <f t="array" ref="I9616">_xlfn.STDEV.P(IF(Table1[IndicatorCode]=Table1[[#This Row],[IndicatorCode]],Table1[value]))</f>
        <v>6.3409496564024987</v>
      </c>
      <c r="J9616">
        <f>(Table1[[#This Row],[value]] - Table1[[#This Row],[mean]]) / Table1[[#This Row],[std_dev]]</f>
        <v>1.7875650380457173</v>
      </c>
      <c r="K9616">
        <f>AVERAGEIF(Table1[CountryCode],Table1[[#This Row],[CountryCode]],Table1[z-score])</f>
        <v>1.8607276946173743</v>
      </c>
      <c r="L9616" t="e">
        <f>VLOOKUP(Table1[[#This Row],[CountryCode]],[1]!Table1[#All],1,FALSE)</f>
        <v>#REF!</v>
      </c>
    </row>
    <row r="9617" spans="1:12" hidden="1" x14ac:dyDescent="0.3">
      <c r="A9617" t="s">
        <v>83</v>
      </c>
      <c r="B9617" t="s">
        <v>84</v>
      </c>
      <c r="C9617" t="s">
        <v>129</v>
      </c>
      <c r="D9617" t="s">
        <v>130</v>
      </c>
      <c r="E9617">
        <v>2008</v>
      </c>
      <c r="F9617" s="1">
        <v>84</v>
      </c>
      <c r="G9617">
        <v>2010</v>
      </c>
      <c r="H9617">
        <f>AVERAGEIFS(Table1[value],Table1[IndicatorCode],Table1[[#This Row],[IndicatorCode]])</f>
        <v>72.66514008620689</v>
      </c>
      <c r="I9617" cm="1">
        <f t="array" ref="I9617">_xlfn.STDEV.P(IF(Table1[IndicatorCode]=Table1[[#This Row],[IndicatorCode]],Table1[value]))</f>
        <v>6.3409496564024987</v>
      </c>
      <c r="J9617">
        <f>(Table1[[#This Row],[value]] - Table1[[#This Row],[mean]]) / Table1[[#This Row],[std_dev]]</f>
        <v>1.7875650380457173</v>
      </c>
      <c r="K9617">
        <f>AVERAGEIF(Table1[CountryCode],Table1[[#This Row],[CountryCode]],Table1[z-score])</f>
        <v>1.8607276946173743</v>
      </c>
      <c r="L9617" t="e">
        <f>VLOOKUP(Table1[[#This Row],[CountryCode]],[1]!Table1[#All],1,FALSE)</f>
        <v>#REF!</v>
      </c>
    </row>
    <row r="9618" spans="1:12" hidden="1" x14ac:dyDescent="0.3">
      <c r="A9618" t="s">
        <v>83</v>
      </c>
      <c r="B9618" t="s">
        <v>84</v>
      </c>
      <c r="C9618" t="s">
        <v>129</v>
      </c>
      <c r="D9618" t="s">
        <v>130</v>
      </c>
      <c r="E9618">
        <v>2009</v>
      </c>
      <c r="F9618" s="1">
        <v>84</v>
      </c>
      <c r="G9618">
        <v>2010</v>
      </c>
      <c r="H9618">
        <f>AVERAGEIFS(Table1[value],Table1[IndicatorCode],Table1[[#This Row],[IndicatorCode]])</f>
        <v>72.66514008620689</v>
      </c>
      <c r="I9618" cm="1">
        <f t="array" ref="I9618">_xlfn.STDEV.P(IF(Table1[IndicatorCode]=Table1[[#This Row],[IndicatorCode]],Table1[value]))</f>
        <v>6.3409496564024987</v>
      </c>
      <c r="J9618">
        <f>(Table1[[#This Row],[value]] - Table1[[#This Row],[mean]]) / Table1[[#This Row],[std_dev]]</f>
        <v>1.7875650380457173</v>
      </c>
      <c r="K9618">
        <f>AVERAGEIF(Table1[CountryCode],Table1[[#This Row],[CountryCode]],Table1[z-score])</f>
        <v>1.8607276946173743</v>
      </c>
      <c r="L9618" t="e">
        <f>VLOOKUP(Table1[[#This Row],[CountryCode]],[1]!Table1[#All],1,FALSE)</f>
        <v>#REF!</v>
      </c>
    </row>
    <row r="9619" spans="1:12" hidden="1" x14ac:dyDescent="0.3">
      <c r="A9619" t="s">
        <v>83</v>
      </c>
      <c r="B9619" t="s">
        <v>84</v>
      </c>
      <c r="C9619" t="s">
        <v>129</v>
      </c>
      <c r="D9619" t="s">
        <v>130</v>
      </c>
      <c r="E9619">
        <v>2010</v>
      </c>
      <c r="F9619" s="1">
        <v>85</v>
      </c>
      <c r="G9619">
        <v>2010</v>
      </c>
      <c r="H9619">
        <f>AVERAGEIFS(Table1[value],Table1[IndicatorCode],Table1[[#This Row],[IndicatorCode]])</f>
        <v>72.66514008620689</v>
      </c>
      <c r="I9619" cm="1">
        <f t="array" ref="I9619">_xlfn.STDEV.P(IF(Table1[IndicatorCode]=Table1[[#This Row],[IndicatorCode]],Table1[value]))</f>
        <v>6.3409496564024987</v>
      </c>
      <c r="J9619">
        <f>(Table1[[#This Row],[value]] - Table1[[#This Row],[mean]]) / Table1[[#This Row],[std_dev]]</f>
        <v>1.9452701223291562</v>
      </c>
      <c r="K9619">
        <f>AVERAGEIF(Table1[CountryCode],Table1[[#This Row],[CountryCode]],Table1[z-score])</f>
        <v>1.8607276946173743</v>
      </c>
      <c r="L9619" t="e">
        <f>VLOOKUP(Table1[[#This Row],[CountryCode]],[1]!Table1[#All],1,FALSE)</f>
        <v>#REF!</v>
      </c>
    </row>
    <row r="9620" spans="1:12" hidden="1" x14ac:dyDescent="0.3">
      <c r="A9620" t="s">
        <v>83</v>
      </c>
      <c r="B9620" t="s">
        <v>84</v>
      </c>
      <c r="C9620" t="s">
        <v>129</v>
      </c>
      <c r="D9620" t="s">
        <v>130</v>
      </c>
      <c r="E9620">
        <v>2011</v>
      </c>
      <c r="F9620" s="1">
        <v>85</v>
      </c>
      <c r="G9620">
        <v>2010</v>
      </c>
      <c r="H9620">
        <f>AVERAGEIFS(Table1[value],Table1[IndicatorCode],Table1[[#This Row],[IndicatorCode]])</f>
        <v>72.66514008620689</v>
      </c>
      <c r="I9620" cm="1">
        <f t="array" ref="I9620">_xlfn.STDEV.P(IF(Table1[IndicatorCode]=Table1[[#This Row],[IndicatorCode]],Table1[value]))</f>
        <v>6.3409496564024987</v>
      </c>
      <c r="J9620">
        <f>(Table1[[#This Row],[value]] - Table1[[#This Row],[mean]]) / Table1[[#This Row],[std_dev]]</f>
        <v>1.9452701223291562</v>
      </c>
      <c r="K9620">
        <f>AVERAGEIF(Table1[CountryCode],Table1[[#This Row],[CountryCode]],Table1[z-score])</f>
        <v>1.8607276946173743</v>
      </c>
      <c r="L9620" t="e">
        <f>VLOOKUP(Table1[[#This Row],[CountryCode]],[1]!Table1[#All],1,FALSE)</f>
        <v>#REF!</v>
      </c>
    </row>
    <row r="9621" spans="1:12" hidden="1" x14ac:dyDescent="0.3">
      <c r="A9621" t="s">
        <v>83</v>
      </c>
      <c r="B9621" t="s">
        <v>84</v>
      </c>
      <c r="C9621" t="s">
        <v>129</v>
      </c>
      <c r="D9621" t="s">
        <v>130</v>
      </c>
      <c r="E9621">
        <v>2012</v>
      </c>
      <c r="F9621" s="1">
        <v>85</v>
      </c>
      <c r="G9621">
        <v>2010</v>
      </c>
      <c r="H9621">
        <f>AVERAGEIFS(Table1[value],Table1[IndicatorCode],Table1[[#This Row],[IndicatorCode]])</f>
        <v>72.66514008620689</v>
      </c>
      <c r="I9621" cm="1">
        <f t="array" ref="I9621">_xlfn.STDEV.P(IF(Table1[IndicatorCode]=Table1[[#This Row],[IndicatorCode]],Table1[value]))</f>
        <v>6.3409496564024987</v>
      </c>
      <c r="J9621">
        <f>(Table1[[#This Row],[value]] - Table1[[#This Row],[mean]]) / Table1[[#This Row],[std_dev]]</f>
        <v>1.9452701223291562</v>
      </c>
      <c r="K9621">
        <f>AVERAGEIF(Table1[CountryCode],Table1[[#This Row],[CountryCode]],Table1[z-score])</f>
        <v>1.8607276946173743</v>
      </c>
      <c r="L9621" t="e">
        <f>VLOOKUP(Table1[[#This Row],[CountryCode]],[1]!Table1[#All],1,FALSE)</f>
        <v>#REF!</v>
      </c>
    </row>
    <row r="9622" spans="1:12" hidden="1" x14ac:dyDescent="0.3">
      <c r="A9622" t="s">
        <v>83</v>
      </c>
      <c r="B9622" t="s">
        <v>84</v>
      </c>
      <c r="C9622" t="s">
        <v>129</v>
      </c>
      <c r="D9622" t="s">
        <v>130</v>
      </c>
      <c r="E9622">
        <v>2013</v>
      </c>
      <c r="F9622" s="1">
        <v>85</v>
      </c>
      <c r="G9622">
        <v>2010</v>
      </c>
      <c r="H9622">
        <f>AVERAGEIFS(Table1[value],Table1[IndicatorCode],Table1[[#This Row],[IndicatorCode]])</f>
        <v>72.66514008620689</v>
      </c>
      <c r="I9622" cm="1">
        <f t="array" ref="I9622">_xlfn.STDEV.P(IF(Table1[IndicatorCode]=Table1[[#This Row],[IndicatorCode]],Table1[value]))</f>
        <v>6.3409496564024987</v>
      </c>
      <c r="J9622">
        <f>(Table1[[#This Row],[value]] - Table1[[#This Row],[mean]]) / Table1[[#This Row],[std_dev]]</f>
        <v>1.9452701223291562</v>
      </c>
      <c r="K9622">
        <f>AVERAGEIF(Table1[CountryCode],Table1[[#This Row],[CountryCode]],Table1[z-score])</f>
        <v>1.8607276946173743</v>
      </c>
      <c r="L9622" t="e">
        <f>VLOOKUP(Table1[[#This Row],[CountryCode]],[1]!Table1[#All],1,FALSE)</f>
        <v>#REF!</v>
      </c>
    </row>
    <row r="9623" spans="1:12" hidden="1" x14ac:dyDescent="0.3">
      <c r="A9623" t="s">
        <v>83</v>
      </c>
      <c r="B9623" t="s">
        <v>84</v>
      </c>
      <c r="C9623" t="s">
        <v>129</v>
      </c>
      <c r="D9623" t="s">
        <v>130</v>
      </c>
      <c r="E9623">
        <v>2014</v>
      </c>
      <c r="F9623" s="1">
        <v>85</v>
      </c>
      <c r="G9623">
        <v>2010</v>
      </c>
      <c r="H9623">
        <f>AVERAGEIFS(Table1[value],Table1[IndicatorCode],Table1[[#This Row],[IndicatorCode]])</f>
        <v>72.66514008620689</v>
      </c>
      <c r="I9623" cm="1">
        <f t="array" ref="I9623">_xlfn.STDEV.P(IF(Table1[IndicatorCode]=Table1[[#This Row],[IndicatorCode]],Table1[value]))</f>
        <v>6.3409496564024987</v>
      </c>
      <c r="J9623">
        <f>(Table1[[#This Row],[value]] - Table1[[#This Row],[mean]]) / Table1[[#This Row],[std_dev]]</f>
        <v>1.9452701223291562</v>
      </c>
      <c r="K9623">
        <f>AVERAGEIF(Table1[CountryCode],Table1[[#This Row],[CountryCode]],Table1[z-score])</f>
        <v>1.8607276946173743</v>
      </c>
      <c r="L9623" t="e">
        <f>VLOOKUP(Table1[[#This Row],[CountryCode]],[1]!Table1[#All],1,FALSE)</f>
        <v>#REF!</v>
      </c>
    </row>
    <row r="9624" spans="1:12" hidden="1" x14ac:dyDescent="0.3">
      <c r="A9624" t="s">
        <v>83</v>
      </c>
      <c r="B9624" t="s">
        <v>84</v>
      </c>
      <c r="C9624" t="s">
        <v>129</v>
      </c>
      <c r="D9624" t="s">
        <v>130</v>
      </c>
      <c r="E9624">
        <v>2015</v>
      </c>
      <c r="F9624" s="1">
        <v>85</v>
      </c>
      <c r="G9624">
        <v>2010</v>
      </c>
      <c r="H9624">
        <f>AVERAGEIFS(Table1[value],Table1[IndicatorCode],Table1[[#This Row],[IndicatorCode]])</f>
        <v>72.66514008620689</v>
      </c>
      <c r="I9624" cm="1">
        <f t="array" ref="I9624">_xlfn.STDEV.P(IF(Table1[IndicatorCode]=Table1[[#This Row],[IndicatorCode]],Table1[value]))</f>
        <v>6.3409496564024987</v>
      </c>
      <c r="J9624">
        <f>(Table1[[#This Row],[value]] - Table1[[#This Row],[mean]]) / Table1[[#This Row],[std_dev]]</f>
        <v>1.9452701223291562</v>
      </c>
      <c r="K9624">
        <f>AVERAGEIF(Table1[CountryCode],Table1[[#This Row],[CountryCode]],Table1[z-score])</f>
        <v>1.8607276946173743</v>
      </c>
      <c r="L9624" t="e">
        <f>VLOOKUP(Table1[[#This Row],[CountryCode]],[1]!Table1[#All],1,FALSE)</f>
        <v>#REF!</v>
      </c>
    </row>
    <row r="9625" spans="1:12" hidden="1" x14ac:dyDescent="0.3">
      <c r="A9625" t="s">
        <v>83</v>
      </c>
      <c r="B9625" t="s">
        <v>84</v>
      </c>
      <c r="C9625" t="s">
        <v>129</v>
      </c>
      <c r="D9625" t="s">
        <v>130</v>
      </c>
      <c r="E9625">
        <v>2016</v>
      </c>
      <c r="F9625" s="1">
        <v>86</v>
      </c>
      <c r="G9625">
        <v>2010</v>
      </c>
      <c r="H9625">
        <f>AVERAGEIFS(Table1[value],Table1[IndicatorCode],Table1[[#This Row],[IndicatorCode]])</f>
        <v>72.66514008620689</v>
      </c>
      <c r="I9625" cm="1">
        <f t="array" ref="I9625">_xlfn.STDEV.P(IF(Table1[IndicatorCode]=Table1[[#This Row],[IndicatorCode]],Table1[value]))</f>
        <v>6.3409496564024987</v>
      </c>
      <c r="J9625">
        <f>(Table1[[#This Row],[value]] - Table1[[#This Row],[mean]]) / Table1[[#This Row],[std_dev]]</f>
        <v>2.1029752066125953</v>
      </c>
      <c r="K9625">
        <f>AVERAGEIF(Table1[CountryCode],Table1[[#This Row],[CountryCode]],Table1[z-score])</f>
        <v>1.8607276946173743</v>
      </c>
      <c r="L9625" t="e">
        <f>VLOOKUP(Table1[[#This Row],[CountryCode]],[1]!Table1[#All],1,FALSE)</f>
        <v>#REF!</v>
      </c>
    </row>
    <row r="9626" spans="1:12" hidden="1" x14ac:dyDescent="0.3">
      <c r="A9626" t="s">
        <v>83</v>
      </c>
      <c r="B9626" t="s">
        <v>84</v>
      </c>
      <c r="C9626" t="s">
        <v>129</v>
      </c>
      <c r="D9626" t="s">
        <v>130</v>
      </c>
      <c r="E9626">
        <v>2017</v>
      </c>
      <c r="F9626" s="1">
        <v>86</v>
      </c>
      <c r="G9626">
        <v>2020</v>
      </c>
      <c r="H9626">
        <f>AVERAGEIFS(Table1[value],Table1[IndicatorCode],Table1[[#This Row],[IndicatorCode]])</f>
        <v>72.66514008620689</v>
      </c>
      <c r="I9626" cm="1">
        <f t="array" ref="I9626">_xlfn.STDEV.P(IF(Table1[IndicatorCode]=Table1[[#This Row],[IndicatorCode]],Table1[value]))</f>
        <v>6.3409496564024987</v>
      </c>
      <c r="J9626">
        <f>(Table1[[#This Row],[value]] - Table1[[#This Row],[mean]]) / Table1[[#This Row],[std_dev]]</f>
        <v>2.1029752066125953</v>
      </c>
      <c r="K9626">
        <f>AVERAGEIF(Table1[CountryCode],Table1[[#This Row],[CountryCode]],Table1[z-score])</f>
        <v>1.8607276946173743</v>
      </c>
      <c r="L9626" t="e">
        <f>VLOOKUP(Table1[[#This Row],[CountryCode]],[1]!Table1[#All],1,FALSE)</f>
        <v>#REF!</v>
      </c>
    </row>
    <row r="9627" spans="1:12" hidden="1" x14ac:dyDescent="0.3">
      <c r="A9627" t="s">
        <v>83</v>
      </c>
      <c r="B9627" t="s">
        <v>84</v>
      </c>
      <c r="C9627" t="s">
        <v>129</v>
      </c>
      <c r="D9627" t="s">
        <v>130</v>
      </c>
      <c r="E9627">
        <v>2018</v>
      </c>
      <c r="F9627" s="1">
        <v>86</v>
      </c>
      <c r="G9627">
        <v>2020</v>
      </c>
      <c r="H9627">
        <f>AVERAGEIFS(Table1[value],Table1[IndicatorCode],Table1[[#This Row],[IndicatorCode]])</f>
        <v>72.66514008620689</v>
      </c>
      <c r="I9627" cm="1">
        <f t="array" ref="I9627">_xlfn.STDEV.P(IF(Table1[IndicatorCode]=Table1[[#This Row],[IndicatorCode]],Table1[value]))</f>
        <v>6.3409496564024987</v>
      </c>
      <c r="J9627">
        <f>(Table1[[#This Row],[value]] - Table1[[#This Row],[mean]]) / Table1[[#This Row],[std_dev]]</f>
        <v>2.1029752066125953</v>
      </c>
      <c r="K9627">
        <f>AVERAGEIF(Table1[CountryCode],Table1[[#This Row],[CountryCode]],Table1[z-score])</f>
        <v>1.8607276946173743</v>
      </c>
      <c r="L9627" t="e">
        <f>VLOOKUP(Table1[[#This Row],[CountryCode]],[1]!Table1[#All],1,FALSE)</f>
        <v>#REF!</v>
      </c>
    </row>
    <row r="9628" spans="1:12" hidden="1" x14ac:dyDescent="0.3">
      <c r="A9628" t="s">
        <v>83</v>
      </c>
      <c r="B9628" t="s">
        <v>84</v>
      </c>
      <c r="C9628" t="s">
        <v>129</v>
      </c>
      <c r="D9628" t="s">
        <v>130</v>
      </c>
      <c r="E9628">
        <v>2019</v>
      </c>
      <c r="F9628" s="1">
        <v>86</v>
      </c>
      <c r="G9628">
        <v>2020</v>
      </c>
      <c r="H9628">
        <f>AVERAGEIFS(Table1[value],Table1[IndicatorCode],Table1[[#This Row],[IndicatorCode]])</f>
        <v>72.66514008620689</v>
      </c>
      <c r="I9628" cm="1">
        <f t="array" ref="I9628">_xlfn.STDEV.P(IF(Table1[IndicatorCode]=Table1[[#This Row],[IndicatorCode]],Table1[value]))</f>
        <v>6.3409496564024987</v>
      </c>
      <c r="J9628">
        <f>(Table1[[#This Row],[value]] - Table1[[#This Row],[mean]]) / Table1[[#This Row],[std_dev]]</f>
        <v>2.1029752066125953</v>
      </c>
      <c r="K9628">
        <f>AVERAGEIF(Table1[CountryCode],Table1[[#This Row],[CountryCode]],Table1[z-score])</f>
        <v>1.8607276946173743</v>
      </c>
      <c r="L9628" t="e">
        <f>VLOOKUP(Table1[[#This Row],[CountryCode]],[1]!Table1[#All],1,FALSE)</f>
        <v>#REF!</v>
      </c>
    </row>
    <row r="9629" spans="1:12" x14ac:dyDescent="0.3">
      <c r="A9629" t="s">
        <v>83</v>
      </c>
      <c r="B9629" t="s">
        <v>84</v>
      </c>
      <c r="C9629" t="s">
        <v>129</v>
      </c>
      <c r="D9629" t="s">
        <v>130</v>
      </c>
      <c r="E9629">
        <v>2020</v>
      </c>
      <c r="F9629" s="1">
        <v>86</v>
      </c>
      <c r="G9629">
        <v>2020</v>
      </c>
      <c r="H9629">
        <f>AVERAGEIFS(Table1[value],Table1[IndicatorCode],Table1[[#This Row],[IndicatorCode]])</f>
        <v>72.66514008620689</v>
      </c>
      <c r="I9629" cm="1">
        <f t="array" ref="I9629">_xlfn.STDEV.P(IF(Table1[IndicatorCode]=Table1[[#This Row],[IndicatorCode]],Table1[value]))</f>
        <v>6.3409496564024987</v>
      </c>
      <c r="J9629">
        <f>(Table1[[#This Row],[value]] - Table1[[#This Row],[mean]]) / Table1[[#This Row],[std_dev]]</f>
        <v>2.1029752066125953</v>
      </c>
      <c r="K9629">
        <f>AVERAGEIF(Table1[CountryCode],Table1[[#This Row],[CountryCode]],Table1[z-score])</f>
        <v>1.8607276946173743</v>
      </c>
    </row>
    <row r="9630" spans="1:12" hidden="1" x14ac:dyDescent="0.3">
      <c r="A9630" t="s">
        <v>83</v>
      </c>
      <c r="B9630" t="s">
        <v>84</v>
      </c>
      <c r="C9630" t="s">
        <v>129</v>
      </c>
      <c r="D9630" t="s">
        <v>130</v>
      </c>
      <c r="E9630">
        <v>2021</v>
      </c>
      <c r="F9630" s="1">
        <v>85</v>
      </c>
      <c r="G9630">
        <v>1960</v>
      </c>
      <c r="H9630">
        <f>AVERAGEIFS(Table1[value],Table1[IndicatorCode],Table1[[#This Row],[IndicatorCode]])</f>
        <v>72.66514008620689</v>
      </c>
      <c r="I9630" cm="1">
        <f t="array" ref="I9630">_xlfn.STDEV.P(IF(Table1[IndicatorCode]=Table1[[#This Row],[IndicatorCode]],Table1[value]))</f>
        <v>6.3409496564024987</v>
      </c>
      <c r="J9630">
        <f>(Table1[[#This Row],[value]] - Table1[[#This Row],[mean]]) / Table1[[#This Row],[std_dev]]</f>
        <v>1.9452701223291562</v>
      </c>
      <c r="K9630">
        <f>AVERAGEIF(Table1[CountryCode],Table1[[#This Row],[CountryCode]],Table1[z-score])</f>
        <v>1.8607276946173743</v>
      </c>
      <c r="L9630" t="e">
        <f>VLOOKUP(Table1[[#This Row],[CountryCode]],[1]!Table1[#All],1,FALSE)</f>
        <v>#REF!</v>
      </c>
    </row>
    <row r="9631" spans="1:12" hidden="1" x14ac:dyDescent="0.3">
      <c r="A9631" t="s">
        <v>83</v>
      </c>
      <c r="B9631" t="s">
        <v>84</v>
      </c>
      <c r="C9631" t="s">
        <v>129</v>
      </c>
      <c r="D9631" t="s">
        <v>130</v>
      </c>
      <c r="E9631">
        <v>2022</v>
      </c>
      <c r="F9631" s="1">
        <v>86</v>
      </c>
      <c r="G9631">
        <v>1960</v>
      </c>
      <c r="H9631">
        <f>AVERAGEIFS(Table1[value],Table1[IndicatorCode],Table1[[#This Row],[IndicatorCode]])</f>
        <v>72.66514008620689</v>
      </c>
      <c r="I9631" cm="1">
        <f t="array" ref="I9631">_xlfn.STDEV.P(IF(Table1[IndicatorCode]=Table1[[#This Row],[IndicatorCode]],Table1[value]))</f>
        <v>6.3409496564024987</v>
      </c>
      <c r="J9631">
        <f>(Table1[[#This Row],[value]] - Table1[[#This Row],[mean]]) / Table1[[#This Row],[std_dev]]</f>
        <v>2.1029752066125953</v>
      </c>
      <c r="K9631">
        <f>AVERAGEIF(Table1[CountryCode],Table1[[#This Row],[CountryCode]],Table1[z-score])</f>
        <v>1.8607276946173743</v>
      </c>
      <c r="L9631" t="e">
        <f>VLOOKUP(Table1[[#This Row],[CountryCode]],[1]!Table1[#All],1,FALSE)</f>
        <v>#REF!</v>
      </c>
    </row>
    <row r="9632" spans="1:12" hidden="1" x14ac:dyDescent="0.3">
      <c r="A9632" t="s">
        <v>83</v>
      </c>
      <c r="B9632" t="s">
        <v>84</v>
      </c>
      <c r="C9632" t="s">
        <v>129</v>
      </c>
      <c r="D9632" t="s">
        <v>130</v>
      </c>
      <c r="E9632">
        <v>2023</v>
      </c>
      <c r="F9632" s="1">
        <v>86</v>
      </c>
      <c r="G9632">
        <v>1960</v>
      </c>
      <c r="H9632">
        <f>AVERAGEIFS(Table1[value],Table1[IndicatorCode],Table1[[#This Row],[IndicatorCode]])</f>
        <v>72.66514008620689</v>
      </c>
      <c r="I9632" cm="1">
        <f t="array" ref="I9632">_xlfn.STDEV.P(IF(Table1[IndicatorCode]=Table1[[#This Row],[IndicatorCode]],Table1[value]))</f>
        <v>6.3409496564024987</v>
      </c>
      <c r="J9632">
        <f>(Table1[[#This Row],[value]] - Table1[[#This Row],[mean]]) / Table1[[#This Row],[std_dev]]</f>
        <v>2.1029752066125953</v>
      </c>
      <c r="K9632">
        <f>AVERAGEIF(Table1[CountryCode],Table1[[#This Row],[CountryCode]],Table1[z-score])</f>
        <v>1.8607276946173743</v>
      </c>
      <c r="L9632" t="e">
        <f>VLOOKUP(Table1[[#This Row],[CountryCode]],[1]!Table1[#All],1,FALSE)</f>
        <v>#REF!</v>
      </c>
    </row>
    <row r="9633" spans="1:12" hidden="1" x14ac:dyDescent="0.3">
      <c r="A9633" t="s">
        <v>85</v>
      </c>
      <c r="B9633" t="s">
        <v>86</v>
      </c>
      <c r="C9633" t="s">
        <v>129</v>
      </c>
      <c r="D9633" t="s">
        <v>130</v>
      </c>
      <c r="E9633">
        <v>1960</v>
      </c>
      <c r="F9633" s="1">
        <v>59</v>
      </c>
      <c r="G9633">
        <v>1960</v>
      </c>
      <c r="H9633">
        <f>AVERAGEIFS(Table1[value],Table1[IndicatorCode],Table1[[#This Row],[IndicatorCode]])</f>
        <v>72.66514008620689</v>
      </c>
      <c r="I9633" cm="1">
        <f t="array" ref="I9633">_xlfn.STDEV.P(IF(Table1[IndicatorCode]=Table1[[#This Row],[IndicatorCode]],Table1[value]))</f>
        <v>6.3409496564024987</v>
      </c>
      <c r="J9633">
        <f>(Table1[[#This Row],[value]] - Table1[[#This Row],[mean]]) / Table1[[#This Row],[std_dev]]</f>
        <v>-2.1550620690402593</v>
      </c>
      <c r="K9633">
        <f>AVERAGEIF(Table1[CountryCode],Table1[[#This Row],[CountryCode]],Table1[z-score])</f>
        <v>-0.61357720348444234</v>
      </c>
      <c r="L9633" t="e">
        <f>VLOOKUP(Table1[[#This Row],[CountryCode]],[1]!Table1[#All],1,FALSE)</f>
        <v>#REF!</v>
      </c>
    </row>
    <row r="9634" spans="1:12" hidden="1" x14ac:dyDescent="0.3">
      <c r="A9634" t="s">
        <v>85</v>
      </c>
      <c r="B9634" t="s">
        <v>86</v>
      </c>
      <c r="C9634" t="s">
        <v>129</v>
      </c>
      <c r="D9634" t="s">
        <v>130</v>
      </c>
      <c r="E9634">
        <v>1961</v>
      </c>
      <c r="F9634" s="1">
        <v>60</v>
      </c>
      <c r="G9634">
        <v>1960</v>
      </c>
      <c r="H9634">
        <f>AVERAGEIFS(Table1[value],Table1[IndicatorCode],Table1[[#This Row],[IndicatorCode]])</f>
        <v>72.66514008620689</v>
      </c>
      <c r="I9634" cm="1">
        <f t="array" ref="I9634">_xlfn.STDEV.P(IF(Table1[IndicatorCode]=Table1[[#This Row],[IndicatorCode]],Table1[value]))</f>
        <v>6.3409496564024987</v>
      </c>
      <c r="J9634">
        <f>(Table1[[#This Row],[value]] - Table1[[#This Row],[mean]]) / Table1[[#This Row],[std_dev]]</f>
        <v>-1.9973569847568202</v>
      </c>
      <c r="K9634">
        <f>AVERAGEIF(Table1[CountryCode],Table1[[#This Row],[CountryCode]],Table1[z-score])</f>
        <v>-0.61357720348444234</v>
      </c>
      <c r="L9634" t="e">
        <f>VLOOKUP(Table1[[#This Row],[CountryCode]],[1]!Table1[#All],1,FALSE)</f>
        <v>#REF!</v>
      </c>
    </row>
    <row r="9635" spans="1:12" hidden="1" x14ac:dyDescent="0.3">
      <c r="A9635" t="s">
        <v>85</v>
      </c>
      <c r="B9635" t="s">
        <v>86</v>
      </c>
      <c r="C9635" t="s">
        <v>129</v>
      </c>
      <c r="D9635" t="s">
        <v>130</v>
      </c>
      <c r="E9635">
        <v>1962</v>
      </c>
      <c r="F9635" s="1">
        <v>60</v>
      </c>
      <c r="G9635">
        <v>1960</v>
      </c>
      <c r="H9635">
        <f>AVERAGEIFS(Table1[value],Table1[IndicatorCode],Table1[[#This Row],[IndicatorCode]])</f>
        <v>72.66514008620689</v>
      </c>
      <c r="I9635" cm="1">
        <f t="array" ref="I9635">_xlfn.STDEV.P(IF(Table1[IndicatorCode]=Table1[[#This Row],[IndicatorCode]],Table1[value]))</f>
        <v>6.3409496564024987</v>
      </c>
      <c r="J9635">
        <f>(Table1[[#This Row],[value]] - Table1[[#This Row],[mean]]) / Table1[[#This Row],[std_dev]]</f>
        <v>-1.9973569847568202</v>
      </c>
      <c r="K9635">
        <f>AVERAGEIF(Table1[CountryCode],Table1[[#This Row],[CountryCode]],Table1[z-score])</f>
        <v>-0.61357720348444234</v>
      </c>
      <c r="L9635" t="e">
        <f>VLOOKUP(Table1[[#This Row],[CountryCode]],[1]!Table1[#All],1,FALSE)</f>
        <v>#REF!</v>
      </c>
    </row>
    <row r="9636" spans="1:12" hidden="1" x14ac:dyDescent="0.3">
      <c r="A9636" t="s">
        <v>85</v>
      </c>
      <c r="B9636" t="s">
        <v>86</v>
      </c>
      <c r="C9636" t="s">
        <v>129</v>
      </c>
      <c r="D9636" t="s">
        <v>130</v>
      </c>
      <c r="E9636">
        <v>1963</v>
      </c>
      <c r="F9636" s="1">
        <v>61</v>
      </c>
      <c r="G9636">
        <v>1960</v>
      </c>
      <c r="H9636">
        <f>AVERAGEIFS(Table1[value],Table1[IndicatorCode],Table1[[#This Row],[IndicatorCode]])</f>
        <v>72.66514008620689</v>
      </c>
      <c r="I9636" cm="1">
        <f t="array" ref="I9636">_xlfn.STDEV.P(IF(Table1[IndicatorCode]=Table1[[#This Row],[IndicatorCode]],Table1[value]))</f>
        <v>6.3409496564024987</v>
      </c>
      <c r="J9636">
        <f>(Table1[[#This Row],[value]] - Table1[[#This Row],[mean]]) / Table1[[#This Row],[std_dev]]</f>
        <v>-1.8396519004733811</v>
      </c>
      <c r="K9636">
        <f>AVERAGEIF(Table1[CountryCode],Table1[[#This Row],[CountryCode]],Table1[z-score])</f>
        <v>-0.61357720348444234</v>
      </c>
      <c r="L9636" t="e">
        <f>VLOOKUP(Table1[[#This Row],[CountryCode]],[1]!Table1[#All],1,FALSE)</f>
        <v>#REF!</v>
      </c>
    </row>
    <row r="9637" spans="1:12" hidden="1" x14ac:dyDescent="0.3">
      <c r="A9637" t="s">
        <v>85</v>
      </c>
      <c r="B9637" t="s">
        <v>86</v>
      </c>
      <c r="C9637" t="s">
        <v>129</v>
      </c>
      <c r="D9637" t="s">
        <v>130</v>
      </c>
      <c r="E9637">
        <v>1964</v>
      </c>
      <c r="F9637" s="1">
        <v>61</v>
      </c>
      <c r="G9637">
        <v>1960</v>
      </c>
      <c r="H9637">
        <f>AVERAGEIFS(Table1[value],Table1[IndicatorCode],Table1[[#This Row],[IndicatorCode]])</f>
        <v>72.66514008620689</v>
      </c>
      <c r="I9637" cm="1">
        <f t="array" ref="I9637">_xlfn.STDEV.P(IF(Table1[IndicatorCode]=Table1[[#This Row],[IndicatorCode]],Table1[value]))</f>
        <v>6.3409496564024987</v>
      </c>
      <c r="J9637">
        <f>(Table1[[#This Row],[value]] - Table1[[#This Row],[mean]]) / Table1[[#This Row],[std_dev]]</f>
        <v>-1.8396519004733811</v>
      </c>
      <c r="K9637">
        <f>AVERAGEIF(Table1[CountryCode],Table1[[#This Row],[CountryCode]],Table1[z-score])</f>
        <v>-0.61357720348444234</v>
      </c>
      <c r="L9637" t="e">
        <f>VLOOKUP(Table1[[#This Row],[CountryCode]],[1]!Table1[#All],1,FALSE)</f>
        <v>#REF!</v>
      </c>
    </row>
    <row r="9638" spans="1:12" hidden="1" x14ac:dyDescent="0.3">
      <c r="A9638" t="s">
        <v>85</v>
      </c>
      <c r="B9638" t="s">
        <v>86</v>
      </c>
      <c r="C9638" t="s">
        <v>129</v>
      </c>
      <c r="D9638" t="s">
        <v>130</v>
      </c>
      <c r="E9638">
        <v>1965</v>
      </c>
      <c r="F9638" s="1">
        <v>61</v>
      </c>
      <c r="G9638">
        <v>1960</v>
      </c>
      <c r="H9638">
        <f>AVERAGEIFS(Table1[value],Table1[IndicatorCode],Table1[[#This Row],[IndicatorCode]])</f>
        <v>72.66514008620689</v>
      </c>
      <c r="I9638" cm="1">
        <f t="array" ref="I9638">_xlfn.STDEV.P(IF(Table1[IndicatorCode]=Table1[[#This Row],[IndicatorCode]],Table1[value]))</f>
        <v>6.3409496564024987</v>
      </c>
      <c r="J9638">
        <f>(Table1[[#This Row],[value]] - Table1[[#This Row],[mean]]) / Table1[[#This Row],[std_dev]]</f>
        <v>-1.8396519004733811</v>
      </c>
      <c r="K9638">
        <f>AVERAGEIF(Table1[CountryCode],Table1[[#This Row],[CountryCode]],Table1[z-score])</f>
        <v>-0.61357720348444234</v>
      </c>
      <c r="L9638" t="e">
        <f>VLOOKUP(Table1[[#This Row],[CountryCode]],[1]!Table1[#All],1,FALSE)</f>
        <v>#REF!</v>
      </c>
    </row>
    <row r="9639" spans="1:12" hidden="1" x14ac:dyDescent="0.3">
      <c r="A9639" t="s">
        <v>85</v>
      </c>
      <c r="B9639" t="s">
        <v>86</v>
      </c>
      <c r="C9639" t="s">
        <v>129</v>
      </c>
      <c r="D9639" t="s">
        <v>130</v>
      </c>
      <c r="E9639">
        <v>1966</v>
      </c>
      <c r="F9639" s="1">
        <v>62</v>
      </c>
      <c r="G9639">
        <v>1960</v>
      </c>
      <c r="H9639">
        <f>AVERAGEIFS(Table1[value],Table1[IndicatorCode],Table1[[#This Row],[IndicatorCode]])</f>
        <v>72.66514008620689</v>
      </c>
      <c r="I9639" cm="1">
        <f t="array" ref="I9639">_xlfn.STDEV.P(IF(Table1[IndicatorCode]=Table1[[#This Row],[IndicatorCode]],Table1[value]))</f>
        <v>6.3409496564024987</v>
      </c>
      <c r="J9639">
        <f>(Table1[[#This Row],[value]] - Table1[[#This Row],[mean]]) / Table1[[#This Row],[std_dev]]</f>
        <v>-1.681946816189942</v>
      </c>
      <c r="K9639">
        <f>AVERAGEIF(Table1[CountryCode],Table1[[#This Row],[CountryCode]],Table1[z-score])</f>
        <v>-0.61357720348444234</v>
      </c>
      <c r="L9639" t="e">
        <f>VLOOKUP(Table1[[#This Row],[CountryCode]],[1]!Table1[#All],1,FALSE)</f>
        <v>#REF!</v>
      </c>
    </row>
    <row r="9640" spans="1:12" hidden="1" x14ac:dyDescent="0.3">
      <c r="A9640" t="s">
        <v>85</v>
      </c>
      <c r="B9640" t="s">
        <v>86</v>
      </c>
      <c r="C9640" t="s">
        <v>129</v>
      </c>
      <c r="D9640" t="s">
        <v>130</v>
      </c>
      <c r="E9640">
        <v>1967</v>
      </c>
      <c r="F9640" s="1">
        <v>62</v>
      </c>
      <c r="G9640">
        <v>1970</v>
      </c>
      <c r="H9640">
        <f>AVERAGEIFS(Table1[value],Table1[IndicatorCode],Table1[[#This Row],[IndicatorCode]])</f>
        <v>72.66514008620689</v>
      </c>
      <c r="I9640" cm="1">
        <f t="array" ref="I9640">_xlfn.STDEV.P(IF(Table1[IndicatorCode]=Table1[[#This Row],[IndicatorCode]],Table1[value]))</f>
        <v>6.3409496564024987</v>
      </c>
      <c r="J9640">
        <f>(Table1[[#This Row],[value]] - Table1[[#This Row],[mean]]) / Table1[[#This Row],[std_dev]]</f>
        <v>-1.681946816189942</v>
      </c>
      <c r="K9640">
        <f>AVERAGEIF(Table1[CountryCode],Table1[[#This Row],[CountryCode]],Table1[z-score])</f>
        <v>-0.61357720348444234</v>
      </c>
      <c r="L9640" t="e">
        <f>VLOOKUP(Table1[[#This Row],[CountryCode]],[1]!Table1[#All],1,FALSE)</f>
        <v>#REF!</v>
      </c>
    </row>
    <row r="9641" spans="1:12" hidden="1" x14ac:dyDescent="0.3">
      <c r="A9641" t="s">
        <v>85</v>
      </c>
      <c r="B9641" t="s">
        <v>86</v>
      </c>
      <c r="C9641" t="s">
        <v>129</v>
      </c>
      <c r="D9641" t="s">
        <v>130</v>
      </c>
      <c r="E9641">
        <v>1968</v>
      </c>
      <c r="F9641" s="1">
        <v>62</v>
      </c>
      <c r="G9641">
        <v>1970</v>
      </c>
      <c r="H9641">
        <f>AVERAGEIFS(Table1[value],Table1[IndicatorCode],Table1[[#This Row],[IndicatorCode]])</f>
        <v>72.66514008620689</v>
      </c>
      <c r="I9641" cm="1">
        <f t="array" ref="I9641">_xlfn.STDEV.P(IF(Table1[IndicatorCode]=Table1[[#This Row],[IndicatorCode]],Table1[value]))</f>
        <v>6.3409496564024987</v>
      </c>
      <c r="J9641">
        <f>(Table1[[#This Row],[value]] - Table1[[#This Row],[mean]]) / Table1[[#This Row],[std_dev]]</f>
        <v>-1.681946816189942</v>
      </c>
      <c r="K9641">
        <f>AVERAGEIF(Table1[CountryCode],Table1[[#This Row],[CountryCode]],Table1[z-score])</f>
        <v>-0.61357720348444234</v>
      </c>
      <c r="L9641" t="e">
        <f>VLOOKUP(Table1[[#This Row],[CountryCode]],[1]!Table1[#All],1,FALSE)</f>
        <v>#REF!</v>
      </c>
    </row>
    <row r="9642" spans="1:12" hidden="1" x14ac:dyDescent="0.3">
      <c r="A9642" t="s">
        <v>85</v>
      </c>
      <c r="B9642" t="s">
        <v>86</v>
      </c>
      <c r="C9642" t="s">
        <v>129</v>
      </c>
      <c r="D9642" t="s">
        <v>130</v>
      </c>
      <c r="E9642">
        <v>1969</v>
      </c>
      <c r="F9642" s="1">
        <v>62</v>
      </c>
      <c r="G9642">
        <v>1970</v>
      </c>
      <c r="H9642">
        <f>AVERAGEIFS(Table1[value],Table1[IndicatorCode],Table1[[#This Row],[IndicatorCode]])</f>
        <v>72.66514008620689</v>
      </c>
      <c r="I9642" cm="1">
        <f t="array" ref="I9642">_xlfn.STDEV.P(IF(Table1[IndicatorCode]=Table1[[#This Row],[IndicatorCode]],Table1[value]))</f>
        <v>6.3409496564024987</v>
      </c>
      <c r="J9642">
        <f>(Table1[[#This Row],[value]] - Table1[[#This Row],[mean]]) / Table1[[#This Row],[std_dev]]</f>
        <v>-1.681946816189942</v>
      </c>
      <c r="K9642">
        <f>AVERAGEIF(Table1[CountryCode],Table1[[#This Row],[CountryCode]],Table1[z-score])</f>
        <v>-0.61357720348444234</v>
      </c>
      <c r="L9642" t="e">
        <f>VLOOKUP(Table1[[#This Row],[CountryCode]],[1]!Table1[#All],1,FALSE)</f>
        <v>#REF!</v>
      </c>
    </row>
    <row r="9643" spans="1:12" hidden="1" x14ac:dyDescent="0.3">
      <c r="A9643" t="s">
        <v>85</v>
      </c>
      <c r="B9643" t="s">
        <v>86</v>
      </c>
      <c r="C9643" t="s">
        <v>129</v>
      </c>
      <c r="D9643" t="s">
        <v>130</v>
      </c>
      <c r="E9643">
        <v>1970</v>
      </c>
      <c r="F9643" s="1">
        <v>62</v>
      </c>
      <c r="G9643">
        <v>1970</v>
      </c>
      <c r="H9643">
        <f>AVERAGEIFS(Table1[value],Table1[IndicatorCode],Table1[[#This Row],[IndicatorCode]])</f>
        <v>72.66514008620689</v>
      </c>
      <c r="I9643" cm="1">
        <f t="array" ref="I9643">_xlfn.STDEV.P(IF(Table1[IndicatorCode]=Table1[[#This Row],[IndicatorCode]],Table1[value]))</f>
        <v>6.3409496564024987</v>
      </c>
      <c r="J9643">
        <f>(Table1[[#This Row],[value]] - Table1[[#This Row],[mean]]) / Table1[[#This Row],[std_dev]]</f>
        <v>-1.681946816189942</v>
      </c>
      <c r="K9643">
        <f>AVERAGEIF(Table1[CountryCode],Table1[[#This Row],[CountryCode]],Table1[z-score])</f>
        <v>-0.61357720348444234</v>
      </c>
      <c r="L9643" t="e">
        <f>VLOOKUP(Table1[[#This Row],[CountryCode]],[1]!Table1[#All],1,FALSE)</f>
        <v>#REF!</v>
      </c>
    </row>
    <row r="9644" spans="1:12" hidden="1" x14ac:dyDescent="0.3">
      <c r="A9644" t="s">
        <v>85</v>
      </c>
      <c r="B9644" t="s">
        <v>86</v>
      </c>
      <c r="C9644" t="s">
        <v>129</v>
      </c>
      <c r="D9644" t="s">
        <v>130</v>
      </c>
      <c r="E9644">
        <v>1971</v>
      </c>
      <c r="F9644" s="1">
        <v>63</v>
      </c>
      <c r="G9644">
        <v>1970</v>
      </c>
      <c r="H9644">
        <f>AVERAGEIFS(Table1[value],Table1[IndicatorCode],Table1[[#This Row],[IndicatorCode]])</f>
        <v>72.66514008620689</v>
      </c>
      <c r="I9644" cm="1">
        <f t="array" ref="I9644">_xlfn.STDEV.P(IF(Table1[IndicatorCode]=Table1[[#This Row],[IndicatorCode]],Table1[value]))</f>
        <v>6.3409496564024987</v>
      </c>
      <c r="J9644">
        <f>(Table1[[#This Row],[value]] - Table1[[#This Row],[mean]]) / Table1[[#This Row],[std_dev]]</f>
        <v>-1.5242417319065029</v>
      </c>
      <c r="K9644">
        <f>AVERAGEIF(Table1[CountryCode],Table1[[#This Row],[CountryCode]],Table1[z-score])</f>
        <v>-0.61357720348444234</v>
      </c>
      <c r="L9644" t="e">
        <f>VLOOKUP(Table1[[#This Row],[CountryCode]],[1]!Table1[#All],1,FALSE)</f>
        <v>#REF!</v>
      </c>
    </row>
    <row r="9645" spans="1:12" hidden="1" x14ac:dyDescent="0.3">
      <c r="A9645" t="s">
        <v>85</v>
      </c>
      <c r="B9645" t="s">
        <v>86</v>
      </c>
      <c r="C9645" t="s">
        <v>129</v>
      </c>
      <c r="D9645" t="s">
        <v>130</v>
      </c>
      <c r="E9645">
        <v>1972</v>
      </c>
      <c r="F9645" s="1">
        <v>63</v>
      </c>
      <c r="G9645">
        <v>1970</v>
      </c>
      <c r="H9645">
        <f>AVERAGEIFS(Table1[value],Table1[IndicatorCode],Table1[[#This Row],[IndicatorCode]])</f>
        <v>72.66514008620689</v>
      </c>
      <c r="I9645" cm="1">
        <f t="array" ref="I9645">_xlfn.STDEV.P(IF(Table1[IndicatorCode]=Table1[[#This Row],[IndicatorCode]],Table1[value]))</f>
        <v>6.3409496564024987</v>
      </c>
      <c r="J9645">
        <f>(Table1[[#This Row],[value]] - Table1[[#This Row],[mean]]) / Table1[[#This Row],[std_dev]]</f>
        <v>-1.5242417319065029</v>
      </c>
      <c r="K9645">
        <f>AVERAGEIF(Table1[CountryCode],Table1[[#This Row],[CountryCode]],Table1[z-score])</f>
        <v>-0.61357720348444234</v>
      </c>
      <c r="L9645" t="e">
        <f>VLOOKUP(Table1[[#This Row],[CountryCode]],[1]!Table1[#All],1,FALSE)</f>
        <v>#REF!</v>
      </c>
    </row>
    <row r="9646" spans="1:12" hidden="1" x14ac:dyDescent="0.3">
      <c r="A9646" t="s">
        <v>85</v>
      </c>
      <c r="B9646" t="s">
        <v>86</v>
      </c>
      <c r="C9646" t="s">
        <v>129</v>
      </c>
      <c r="D9646" t="s">
        <v>130</v>
      </c>
      <c r="E9646">
        <v>1973</v>
      </c>
      <c r="F9646" s="1">
        <v>63</v>
      </c>
      <c r="G9646">
        <v>1970</v>
      </c>
      <c r="H9646">
        <f>AVERAGEIFS(Table1[value],Table1[IndicatorCode],Table1[[#This Row],[IndicatorCode]])</f>
        <v>72.66514008620689</v>
      </c>
      <c r="I9646" cm="1">
        <f t="array" ref="I9646">_xlfn.STDEV.P(IF(Table1[IndicatorCode]=Table1[[#This Row],[IndicatorCode]],Table1[value]))</f>
        <v>6.3409496564024987</v>
      </c>
      <c r="J9646">
        <f>(Table1[[#This Row],[value]] - Table1[[#This Row],[mean]]) / Table1[[#This Row],[std_dev]]</f>
        <v>-1.5242417319065029</v>
      </c>
      <c r="K9646">
        <f>AVERAGEIF(Table1[CountryCode],Table1[[#This Row],[CountryCode]],Table1[z-score])</f>
        <v>-0.61357720348444234</v>
      </c>
      <c r="L9646" t="e">
        <f>VLOOKUP(Table1[[#This Row],[CountryCode]],[1]!Table1[#All],1,FALSE)</f>
        <v>#REF!</v>
      </c>
    </row>
    <row r="9647" spans="1:12" hidden="1" x14ac:dyDescent="0.3">
      <c r="A9647" t="s">
        <v>85</v>
      </c>
      <c r="B9647" t="s">
        <v>86</v>
      </c>
      <c r="C9647" t="s">
        <v>129</v>
      </c>
      <c r="D9647" t="s">
        <v>130</v>
      </c>
      <c r="E9647">
        <v>1974</v>
      </c>
      <c r="F9647" s="1">
        <v>63</v>
      </c>
      <c r="G9647">
        <v>1970</v>
      </c>
      <c r="H9647">
        <f>AVERAGEIFS(Table1[value],Table1[IndicatorCode],Table1[[#This Row],[IndicatorCode]])</f>
        <v>72.66514008620689</v>
      </c>
      <c r="I9647" cm="1">
        <f t="array" ref="I9647">_xlfn.STDEV.P(IF(Table1[IndicatorCode]=Table1[[#This Row],[IndicatorCode]],Table1[value]))</f>
        <v>6.3409496564024987</v>
      </c>
      <c r="J9647">
        <f>(Table1[[#This Row],[value]] - Table1[[#This Row],[mean]]) / Table1[[#This Row],[std_dev]]</f>
        <v>-1.5242417319065029</v>
      </c>
      <c r="K9647">
        <f>AVERAGEIF(Table1[CountryCode],Table1[[#This Row],[CountryCode]],Table1[z-score])</f>
        <v>-0.61357720348444234</v>
      </c>
      <c r="L9647" t="e">
        <f>VLOOKUP(Table1[[#This Row],[CountryCode]],[1]!Table1[#All],1,FALSE)</f>
        <v>#REF!</v>
      </c>
    </row>
    <row r="9648" spans="1:12" hidden="1" x14ac:dyDescent="0.3">
      <c r="A9648" t="s">
        <v>85</v>
      </c>
      <c r="B9648" t="s">
        <v>86</v>
      </c>
      <c r="C9648" t="s">
        <v>129</v>
      </c>
      <c r="D9648" t="s">
        <v>130</v>
      </c>
      <c r="E9648">
        <v>1975</v>
      </c>
      <c r="F9648" s="1">
        <v>64</v>
      </c>
      <c r="G9648">
        <v>1970</v>
      </c>
      <c r="H9648">
        <f>AVERAGEIFS(Table1[value],Table1[IndicatorCode],Table1[[#This Row],[IndicatorCode]])</f>
        <v>72.66514008620689</v>
      </c>
      <c r="I9648" cm="1">
        <f t="array" ref="I9648">_xlfn.STDEV.P(IF(Table1[IndicatorCode]=Table1[[#This Row],[IndicatorCode]],Table1[value]))</f>
        <v>6.3409496564024987</v>
      </c>
      <c r="J9648">
        <f>(Table1[[#This Row],[value]] - Table1[[#This Row],[mean]]) / Table1[[#This Row],[std_dev]]</f>
        <v>-1.3665366476230638</v>
      </c>
      <c r="K9648">
        <f>AVERAGEIF(Table1[CountryCode],Table1[[#This Row],[CountryCode]],Table1[z-score])</f>
        <v>-0.61357720348444234</v>
      </c>
      <c r="L9648" t="e">
        <f>VLOOKUP(Table1[[#This Row],[CountryCode]],[1]!Table1[#All],1,FALSE)</f>
        <v>#REF!</v>
      </c>
    </row>
    <row r="9649" spans="1:12" hidden="1" x14ac:dyDescent="0.3">
      <c r="A9649" t="s">
        <v>85</v>
      </c>
      <c r="B9649" t="s">
        <v>86</v>
      </c>
      <c r="C9649" t="s">
        <v>129</v>
      </c>
      <c r="D9649" t="s">
        <v>130</v>
      </c>
      <c r="E9649">
        <v>1976</v>
      </c>
      <c r="F9649" s="1">
        <v>64</v>
      </c>
      <c r="G9649">
        <v>1970</v>
      </c>
      <c r="H9649">
        <f>AVERAGEIFS(Table1[value],Table1[IndicatorCode],Table1[[#This Row],[IndicatorCode]])</f>
        <v>72.66514008620689</v>
      </c>
      <c r="I9649" cm="1">
        <f t="array" ref="I9649">_xlfn.STDEV.P(IF(Table1[IndicatorCode]=Table1[[#This Row],[IndicatorCode]],Table1[value]))</f>
        <v>6.3409496564024987</v>
      </c>
      <c r="J9649">
        <f>(Table1[[#This Row],[value]] - Table1[[#This Row],[mean]]) / Table1[[#This Row],[std_dev]]</f>
        <v>-1.3665366476230638</v>
      </c>
      <c r="K9649">
        <f>AVERAGEIF(Table1[CountryCode],Table1[[#This Row],[CountryCode]],Table1[z-score])</f>
        <v>-0.61357720348444234</v>
      </c>
      <c r="L9649" t="e">
        <f>VLOOKUP(Table1[[#This Row],[CountryCode]],[1]!Table1[#All],1,FALSE)</f>
        <v>#REF!</v>
      </c>
    </row>
    <row r="9650" spans="1:12" hidden="1" x14ac:dyDescent="0.3">
      <c r="A9650" t="s">
        <v>85</v>
      </c>
      <c r="B9650" t="s">
        <v>86</v>
      </c>
      <c r="C9650" t="s">
        <v>129</v>
      </c>
      <c r="D9650" t="s">
        <v>130</v>
      </c>
      <c r="E9650">
        <v>1977</v>
      </c>
      <c r="F9650" s="1">
        <v>64</v>
      </c>
      <c r="G9650">
        <v>1980</v>
      </c>
      <c r="H9650">
        <f>AVERAGEIFS(Table1[value],Table1[IndicatorCode],Table1[[#This Row],[IndicatorCode]])</f>
        <v>72.66514008620689</v>
      </c>
      <c r="I9650" cm="1">
        <f t="array" ref="I9650">_xlfn.STDEV.P(IF(Table1[IndicatorCode]=Table1[[#This Row],[IndicatorCode]],Table1[value]))</f>
        <v>6.3409496564024987</v>
      </c>
      <c r="J9650">
        <f>(Table1[[#This Row],[value]] - Table1[[#This Row],[mean]]) / Table1[[#This Row],[std_dev]]</f>
        <v>-1.3665366476230638</v>
      </c>
      <c r="K9650">
        <f>AVERAGEIF(Table1[CountryCode],Table1[[#This Row],[CountryCode]],Table1[z-score])</f>
        <v>-0.61357720348444234</v>
      </c>
      <c r="L9650" t="e">
        <f>VLOOKUP(Table1[[#This Row],[CountryCode]],[1]!Table1[#All],1,FALSE)</f>
        <v>#REF!</v>
      </c>
    </row>
    <row r="9651" spans="1:12" hidden="1" x14ac:dyDescent="0.3">
      <c r="A9651" t="s">
        <v>85</v>
      </c>
      <c r="B9651" t="s">
        <v>86</v>
      </c>
      <c r="C9651" t="s">
        <v>129</v>
      </c>
      <c r="D9651" t="s">
        <v>130</v>
      </c>
      <c r="E9651">
        <v>1978</v>
      </c>
      <c r="F9651" s="1">
        <v>64</v>
      </c>
      <c r="G9651">
        <v>1980</v>
      </c>
      <c r="H9651">
        <f>AVERAGEIFS(Table1[value],Table1[IndicatorCode],Table1[[#This Row],[IndicatorCode]])</f>
        <v>72.66514008620689</v>
      </c>
      <c r="I9651" cm="1">
        <f t="array" ref="I9651">_xlfn.STDEV.P(IF(Table1[IndicatorCode]=Table1[[#This Row],[IndicatorCode]],Table1[value]))</f>
        <v>6.3409496564024987</v>
      </c>
      <c r="J9651">
        <f>(Table1[[#This Row],[value]] - Table1[[#This Row],[mean]]) / Table1[[#This Row],[std_dev]]</f>
        <v>-1.3665366476230638</v>
      </c>
      <c r="K9651">
        <f>AVERAGEIF(Table1[CountryCode],Table1[[#This Row],[CountryCode]],Table1[z-score])</f>
        <v>-0.61357720348444234</v>
      </c>
      <c r="L9651" t="e">
        <f>VLOOKUP(Table1[[#This Row],[CountryCode]],[1]!Table1[#All],1,FALSE)</f>
        <v>#REF!</v>
      </c>
    </row>
    <row r="9652" spans="1:12" hidden="1" x14ac:dyDescent="0.3">
      <c r="A9652" t="s">
        <v>85</v>
      </c>
      <c r="B9652" t="s">
        <v>86</v>
      </c>
      <c r="C9652" t="s">
        <v>129</v>
      </c>
      <c r="D9652" t="s">
        <v>130</v>
      </c>
      <c r="E9652">
        <v>1979</v>
      </c>
      <c r="F9652" s="1">
        <v>65</v>
      </c>
      <c r="G9652">
        <v>1980</v>
      </c>
      <c r="H9652">
        <f>AVERAGEIFS(Table1[value],Table1[IndicatorCode],Table1[[#This Row],[IndicatorCode]])</f>
        <v>72.66514008620689</v>
      </c>
      <c r="I9652" cm="1">
        <f t="array" ref="I9652">_xlfn.STDEV.P(IF(Table1[IndicatorCode]=Table1[[#This Row],[IndicatorCode]],Table1[value]))</f>
        <v>6.3409496564024987</v>
      </c>
      <c r="J9652">
        <f>(Table1[[#This Row],[value]] - Table1[[#This Row],[mean]]) / Table1[[#This Row],[std_dev]]</f>
        <v>-1.2088315633396249</v>
      </c>
      <c r="K9652">
        <f>AVERAGEIF(Table1[CountryCode],Table1[[#This Row],[CountryCode]],Table1[z-score])</f>
        <v>-0.61357720348444234</v>
      </c>
      <c r="L9652" t="e">
        <f>VLOOKUP(Table1[[#This Row],[CountryCode]],[1]!Table1[#All],1,FALSE)</f>
        <v>#REF!</v>
      </c>
    </row>
    <row r="9653" spans="1:12" hidden="1" x14ac:dyDescent="0.3">
      <c r="A9653" t="s">
        <v>85</v>
      </c>
      <c r="B9653" t="s">
        <v>86</v>
      </c>
      <c r="C9653" t="s">
        <v>129</v>
      </c>
      <c r="D9653" t="s">
        <v>130</v>
      </c>
      <c r="E9653">
        <v>1980</v>
      </c>
      <c r="F9653" s="1">
        <v>65</v>
      </c>
      <c r="G9653">
        <v>1980</v>
      </c>
      <c r="H9653">
        <f>AVERAGEIFS(Table1[value],Table1[IndicatorCode],Table1[[#This Row],[IndicatorCode]])</f>
        <v>72.66514008620689</v>
      </c>
      <c r="I9653" cm="1">
        <f t="array" ref="I9653">_xlfn.STDEV.P(IF(Table1[IndicatorCode]=Table1[[#This Row],[IndicatorCode]],Table1[value]))</f>
        <v>6.3409496564024987</v>
      </c>
      <c r="J9653">
        <f>(Table1[[#This Row],[value]] - Table1[[#This Row],[mean]]) / Table1[[#This Row],[std_dev]]</f>
        <v>-1.2088315633396249</v>
      </c>
      <c r="K9653">
        <f>AVERAGEIF(Table1[CountryCode],Table1[[#This Row],[CountryCode]],Table1[z-score])</f>
        <v>-0.61357720348444234</v>
      </c>
      <c r="L9653" t="e">
        <f>VLOOKUP(Table1[[#This Row],[CountryCode]],[1]!Table1[#All],1,FALSE)</f>
        <v>#REF!</v>
      </c>
    </row>
    <row r="9654" spans="1:12" hidden="1" x14ac:dyDescent="0.3">
      <c r="A9654" t="s">
        <v>85</v>
      </c>
      <c r="B9654" t="s">
        <v>86</v>
      </c>
      <c r="C9654" t="s">
        <v>129</v>
      </c>
      <c r="D9654" t="s">
        <v>130</v>
      </c>
      <c r="E9654">
        <v>1981</v>
      </c>
      <c r="F9654" s="1">
        <v>66</v>
      </c>
      <c r="G9654">
        <v>1980</v>
      </c>
      <c r="H9654">
        <f>AVERAGEIFS(Table1[value],Table1[IndicatorCode],Table1[[#This Row],[IndicatorCode]])</f>
        <v>72.66514008620689</v>
      </c>
      <c r="I9654" cm="1">
        <f t="array" ref="I9654">_xlfn.STDEV.P(IF(Table1[IndicatorCode]=Table1[[#This Row],[IndicatorCode]],Table1[value]))</f>
        <v>6.3409496564024987</v>
      </c>
      <c r="J9654">
        <f>(Table1[[#This Row],[value]] - Table1[[#This Row],[mean]]) / Table1[[#This Row],[std_dev]]</f>
        <v>-1.0511264790561858</v>
      </c>
      <c r="K9654">
        <f>AVERAGEIF(Table1[CountryCode],Table1[[#This Row],[CountryCode]],Table1[z-score])</f>
        <v>-0.61357720348444234</v>
      </c>
      <c r="L9654" t="e">
        <f>VLOOKUP(Table1[[#This Row],[CountryCode]],[1]!Table1[#All],1,FALSE)</f>
        <v>#REF!</v>
      </c>
    </row>
    <row r="9655" spans="1:12" hidden="1" x14ac:dyDescent="0.3">
      <c r="A9655" t="s">
        <v>85</v>
      </c>
      <c r="B9655" t="s">
        <v>86</v>
      </c>
      <c r="C9655" t="s">
        <v>129</v>
      </c>
      <c r="D9655" t="s">
        <v>130</v>
      </c>
      <c r="E9655">
        <v>1982</v>
      </c>
      <c r="F9655" s="1">
        <v>66</v>
      </c>
      <c r="G9655">
        <v>1980</v>
      </c>
      <c r="H9655">
        <f>AVERAGEIFS(Table1[value],Table1[IndicatorCode],Table1[[#This Row],[IndicatorCode]])</f>
        <v>72.66514008620689</v>
      </c>
      <c r="I9655" cm="1">
        <f t="array" ref="I9655">_xlfn.STDEV.P(IF(Table1[IndicatorCode]=Table1[[#This Row],[IndicatorCode]],Table1[value]))</f>
        <v>6.3409496564024987</v>
      </c>
      <c r="J9655">
        <f>(Table1[[#This Row],[value]] - Table1[[#This Row],[mean]]) / Table1[[#This Row],[std_dev]]</f>
        <v>-1.0511264790561858</v>
      </c>
      <c r="K9655">
        <f>AVERAGEIF(Table1[CountryCode],Table1[[#This Row],[CountryCode]],Table1[z-score])</f>
        <v>-0.61357720348444234</v>
      </c>
      <c r="L9655" t="e">
        <f>VLOOKUP(Table1[[#This Row],[CountryCode]],[1]!Table1[#All],1,FALSE)</f>
        <v>#REF!</v>
      </c>
    </row>
    <row r="9656" spans="1:12" hidden="1" x14ac:dyDescent="0.3">
      <c r="A9656" t="s">
        <v>85</v>
      </c>
      <c r="B9656" t="s">
        <v>86</v>
      </c>
      <c r="C9656" t="s">
        <v>129</v>
      </c>
      <c r="D9656" t="s">
        <v>130</v>
      </c>
      <c r="E9656">
        <v>1983</v>
      </c>
      <c r="F9656" s="1">
        <v>66</v>
      </c>
      <c r="G9656">
        <v>1980</v>
      </c>
      <c r="H9656">
        <f>AVERAGEIFS(Table1[value],Table1[IndicatorCode],Table1[[#This Row],[IndicatorCode]])</f>
        <v>72.66514008620689</v>
      </c>
      <c r="I9656" cm="1">
        <f t="array" ref="I9656">_xlfn.STDEV.P(IF(Table1[IndicatorCode]=Table1[[#This Row],[IndicatorCode]],Table1[value]))</f>
        <v>6.3409496564024987</v>
      </c>
      <c r="J9656">
        <f>(Table1[[#This Row],[value]] - Table1[[#This Row],[mean]]) / Table1[[#This Row],[std_dev]]</f>
        <v>-1.0511264790561858</v>
      </c>
      <c r="K9656">
        <f>AVERAGEIF(Table1[CountryCode],Table1[[#This Row],[CountryCode]],Table1[z-score])</f>
        <v>-0.61357720348444234</v>
      </c>
      <c r="L9656" t="e">
        <f>VLOOKUP(Table1[[#This Row],[CountryCode]],[1]!Table1[#All],1,FALSE)</f>
        <v>#REF!</v>
      </c>
    </row>
    <row r="9657" spans="1:12" hidden="1" x14ac:dyDescent="0.3">
      <c r="A9657" t="s">
        <v>85</v>
      </c>
      <c r="B9657" t="s">
        <v>86</v>
      </c>
      <c r="C9657" t="s">
        <v>129</v>
      </c>
      <c r="D9657" t="s">
        <v>130</v>
      </c>
      <c r="E9657">
        <v>1984</v>
      </c>
      <c r="F9657" s="1">
        <v>66</v>
      </c>
      <c r="G9657">
        <v>1980</v>
      </c>
      <c r="H9657">
        <f>AVERAGEIFS(Table1[value],Table1[IndicatorCode],Table1[[#This Row],[IndicatorCode]])</f>
        <v>72.66514008620689</v>
      </c>
      <c r="I9657" cm="1">
        <f t="array" ref="I9657">_xlfn.STDEV.P(IF(Table1[IndicatorCode]=Table1[[#This Row],[IndicatorCode]],Table1[value]))</f>
        <v>6.3409496564024987</v>
      </c>
      <c r="J9657">
        <f>(Table1[[#This Row],[value]] - Table1[[#This Row],[mean]]) / Table1[[#This Row],[std_dev]]</f>
        <v>-1.0511264790561858</v>
      </c>
      <c r="K9657">
        <f>AVERAGEIF(Table1[CountryCode],Table1[[#This Row],[CountryCode]],Table1[z-score])</f>
        <v>-0.61357720348444234</v>
      </c>
      <c r="L9657" t="e">
        <f>VLOOKUP(Table1[[#This Row],[CountryCode]],[1]!Table1[#All],1,FALSE)</f>
        <v>#REF!</v>
      </c>
    </row>
    <row r="9658" spans="1:12" hidden="1" x14ac:dyDescent="0.3">
      <c r="A9658" t="s">
        <v>85</v>
      </c>
      <c r="B9658" t="s">
        <v>86</v>
      </c>
      <c r="C9658" t="s">
        <v>129</v>
      </c>
      <c r="D9658" t="s">
        <v>130</v>
      </c>
      <c r="E9658">
        <v>1985</v>
      </c>
      <c r="F9658" s="1">
        <v>67</v>
      </c>
      <c r="G9658">
        <v>1980</v>
      </c>
      <c r="H9658">
        <f>AVERAGEIFS(Table1[value],Table1[IndicatorCode],Table1[[#This Row],[IndicatorCode]])</f>
        <v>72.66514008620689</v>
      </c>
      <c r="I9658" cm="1">
        <f t="array" ref="I9658">_xlfn.STDEV.P(IF(Table1[IndicatorCode]=Table1[[#This Row],[IndicatorCode]],Table1[value]))</f>
        <v>6.3409496564024987</v>
      </c>
      <c r="J9658">
        <f>(Table1[[#This Row],[value]] - Table1[[#This Row],[mean]]) / Table1[[#This Row],[std_dev]]</f>
        <v>-0.89342139477274674</v>
      </c>
      <c r="K9658">
        <f>AVERAGEIF(Table1[CountryCode],Table1[[#This Row],[CountryCode]],Table1[z-score])</f>
        <v>-0.61357720348444234</v>
      </c>
      <c r="L9658" t="e">
        <f>VLOOKUP(Table1[[#This Row],[CountryCode]],[1]!Table1[#All],1,FALSE)</f>
        <v>#REF!</v>
      </c>
    </row>
    <row r="9659" spans="1:12" hidden="1" x14ac:dyDescent="0.3">
      <c r="A9659" t="s">
        <v>85</v>
      </c>
      <c r="B9659" t="s">
        <v>86</v>
      </c>
      <c r="C9659" t="s">
        <v>129</v>
      </c>
      <c r="D9659" t="s">
        <v>130</v>
      </c>
      <c r="E9659">
        <v>1986</v>
      </c>
      <c r="F9659" s="1">
        <v>67</v>
      </c>
      <c r="G9659">
        <v>1980</v>
      </c>
      <c r="H9659">
        <f>AVERAGEIFS(Table1[value],Table1[IndicatorCode],Table1[[#This Row],[IndicatorCode]])</f>
        <v>72.66514008620689</v>
      </c>
      <c r="I9659" cm="1">
        <f t="array" ref="I9659">_xlfn.STDEV.P(IF(Table1[IndicatorCode]=Table1[[#This Row],[IndicatorCode]],Table1[value]))</f>
        <v>6.3409496564024987</v>
      </c>
      <c r="J9659">
        <f>(Table1[[#This Row],[value]] - Table1[[#This Row],[mean]]) / Table1[[#This Row],[std_dev]]</f>
        <v>-0.89342139477274674</v>
      </c>
      <c r="K9659">
        <f>AVERAGEIF(Table1[CountryCode],Table1[[#This Row],[CountryCode]],Table1[z-score])</f>
        <v>-0.61357720348444234</v>
      </c>
      <c r="L9659" t="e">
        <f>VLOOKUP(Table1[[#This Row],[CountryCode]],[1]!Table1[#All],1,FALSE)</f>
        <v>#REF!</v>
      </c>
    </row>
    <row r="9660" spans="1:12" hidden="1" x14ac:dyDescent="0.3">
      <c r="A9660" t="s">
        <v>85</v>
      </c>
      <c r="B9660" t="s">
        <v>86</v>
      </c>
      <c r="C9660" t="s">
        <v>129</v>
      </c>
      <c r="D9660" t="s">
        <v>130</v>
      </c>
      <c r="E9660">
        <v>1987</v>
      </c>
      <c r="F9660" s="1">
        <v>68</v>
      </c>
      <c r="G9660">
        <v>1990</v>
      </c>
      <c r="H9660">
        <f>AVERAGEIFS(Table1[value],Table1[IndicatorCode],Table1[[#This Row],[IndicatorCode]])</f>
        <v>72.66514008620689</v>
      </c>
      <c r="I9660" cm="1">
        <f t="array" ref="I9660">_xlfn.STDEV.P(IF(Table1[IndicatorCode]=Table1[[#This Row],[IndicatorCode]],Table1[value]))</f>
        <v>6.3409496564024987</v>
      </c>
      <c r="J9660">
        <f>(Table1[[#This Row],[value]] - Table1[[#This Row],[mean]]) / Table1[[#This Row],[std_dev]]</f>
        <v>-0.73571631048930775</v>
      </c>
      <c r="K9660">
        <f>AVERAGEIF(Table1[CountryCode],Table1[[#This Row],[CountryCode]],Table1[z-score])</f>
        <v>-0.61357720348444234</v>
      </c>
      <c r="L9660" t="e">
        <f>VLOOKUP(Table1[[#This Row],[CountryCode]],[1]!Table1[#All],1,FALSE)</f>
        <v>#REF!</v>
      </c>
    </row>
    <row r="9661" spans="1:12" hidden="1" x14ac:dyDescent="0.3">
      <c r="A9661" t="s">
        <v>85</v>
      </c>
      <c r="B9661" t="s">
        <v>86</v>
      </c>
      <c r="C9661" t="s">
        <v>129</v>
      </c>
      <c r="D9661" t="s">
        <v>130</v>
      </c>
      <c r="E9661">
        <v>1988</v>
      </c>
      <c r="F9661" s="1">
        <v>68</v>
      </c>
      <c r="G9661">
        <v>1990</v>
      </c>
      <c r="H9661">
        <f>AVERAGEIFS(Table1[value],Table1[IndicatorCode],Table1[[#This Row],[IndicatorCode]])</f>
        <v>72.66514008620689</v>
      </c>
      <c r="I9661" cm="1">
        <f t="array" ref="I9661">_xlfn.STDEV.P(IF(Table1[IndicatorCode]=Table1[[#This Row],[IndicatorCode]],Table1[value]))</f>
        <v>6.3409496564024987</v>
      </c>
      <c r="J9661">
        <f>(Table1[[#This Row],[value]] - Table1[[#This Row],[mean]]) / Table1[[#This Row],[std_dev]]</f>
        <v>-0.73571631048930775</v>
      </c>
      <c r="K9661">
        <f>AVERAGEIF(Table1[CountryCode],Table1[[#This Row],[CountryCode]],Table1[z-score])</f>
        <v>-0.61357720348444234</v>
      </c>
      <c r="L9661" t="e">
        <f>VLOOKUP(Table1[[#This Row],[CountryCode]],[1]!Table1[#All],1,FALSE)</f>
        <v>#REF!</v>
      </c>
    </row>
    <row r="9662" spans="1:12" hidden="1" x14ac:dyDescent="0.3">
      <c r="A9662" t="s">
        <v>85</v>
      </c>
      <c r="B9662" t="s">
        <v>86</v>
      </c>
      <c r="C9662" t="s">
        <v>129</v>
      </c>
      <c r="D9662" t="s">
        <v>130</v>
      </c>
      <c r="E9662">
        <v>1989</v>
      </c>
      <c r="F9662" s="1">
        <v>68</v>
      </c>
      <c r="G9662">
        <v>1990</v>
      </c>
      <c r="H9662">
        <f>AVERAGEIFS(Table1[value],Table1[IndicatorCode],Table1[[#This Row],[IndicatorCode]])</f>
        <v>72.66514008620689</v>
      </c>
      <c r="I9662" cm="1">
        <f t="array" ref="I9662">_xlfn.STDEV.P(IF(Table1[IndicatorCode]=Table1[[#This Row],[IndicatorCode]],Table1[value]))</f>
        <v>6.3409496564024987</v>
      </c>
      <c r="J9662">
        <f>(Table1[[#This Row],[value]] - Table1[[#This Row],[mean]]) / Table1[[#This Row],[std_dev]]</f>
        <v>-0.73571631048930775</v>
      </c>
      <c r="K9662">
        <f>AVERAGEIF(Table1[CountryCode],Table1[[#This Row],[CountryCode]],Table1[z-score])</f>
        <v>-0.61357720348444234</v>
      </c>
      <c r="L9662" t="e">
        <f>VLOOKUP(Table1[[#This Row],[CountryCode]],[1]!Table1[#All],1,FALSE)</f>
        <v>#REF!</v>
      </c>
    </row>
    <row r="9663" spans="1:12" hidden="1" x14ac:dyDescent="0.3">
      <c r="A9663" t="s">
        <v>85</v>
      </c>
      <c r="B9663" t="s">
        <v>86</v>
      </c>
      <c r="C9663" t="s">
        <v>129</v>
      </c>
      <c r="D9663" t="s">
        <v>130</v>
      </c>
      <c r="E9663">
        <v>1990</v>
      </c>
      <c r="F9663" s="1">
        <v>68</v>
      </c>
      <c r="G9663">
        <v>1990</v>
      </c>
      <c r="H9663">
        <f>AVERAGEIFS(Table1[value],Table1[IndicatorCode],Table1[[#This Row],[IndicatorCode]])</f>
        <v>72.66514008620689</v>
      </c>
      <c r="I9663" cm="1">
        <f t="array" ref="I9663">_xlfn.STDEV.P(IF(Table1[IndicatorCode]=Table1[[#This Row],[IndicatorCode]],Table1[value]))</f>
        <v>6.3409496564024987</v>
      </c>
      <c r="J9663">
        <f>(Table1[[#This Row],[value]] - Table1[[#This Row],[mean]]) / Table1[[#This Row],[std_dev]]</f>
        <v>-0.73571631048930775</v>
      </c>
      <c r="K9663">
        <f>AVERAGEIF(Table1[CountryCode],Table1[[#This Row],[CountryCode]],Table1[z-score])</f>
        <v>-0.61357720348444234</v>
      </c>
      <c r="L9663" t="e">
        <f>VLOOKUP(Table1[[#This Row],[CountryCode]],[1]!Table1[#All],1,FALSE)</f>
        <v>#REF!</v>
      </c>
    </row>
    <row r="9664" spans="1:12" hidden="1" x14ac:dyDescent="0.3">
      <c r="A9664" t="s">
        <v>85</v>
      </c>
      <c r="B9664" t="s">
        <v>86</v>
      </c>
      <c r="C9664" t="s">
        <v>129</v>
      </c>
      <c r="D9664" t="s">
        <v>130</v>
      </c>
      <c r="E9664">
        <v>1991</v>
      </c>
      <c r="F9664" s="1">
        <v>68</v>
      </c>
      <c r="G9664">
        <v>1990</v>
      </c>
      <c r="H9664">
        <f>AVERAGEIFS(Table1[value],Table1[IndicatorCode],Table1[[#This Row],[IndicatorCode]])</f>
        <v>72.66514008620689</v>
      </c>
      <c r="I9664" cm="1">
        <f t="array" ref="I9664">_xlfn.STDEV.P(IF(Table1[IndicatorCode]=Table1[[#This Row],[IndicatorCode]],Table1[value]))</f>
        <v>6.3409496564024987</v>
      </c>
      <c r="J9664">
        <f>(Table1[[#This Row],[value]] - Table1[[#This Row],[mean]]) / Table1[[#This Row],[std_dev]]</f>
        <v>-0.73571631048930775</v>
      </c>
      <c r="K9664">
        <f>AVERAGEIF(Table1[CountryCode],Table1[[#This Row],[CountryCode]],Table1[z-score])</f>
        <v>-0.61357720348444234</v>
      </c>
      <c r="L9664" t="e">
        <f>VLOOKUP(Table1[[#This Row],[CountryCode]],[1]!Table1[#All],1,FALSE)</f>
        <v>#REF!</v>
      </c>
    </row>
    <row r="9665" spans="1:12" hidden="1" x14ac:dyDescent="0.3">
      <c r="A9665" t="s">
        <v>85</v>
      </c>
      <c r="B9665" t="s">
        <v>86</v>
      </c>
      <c r="C9665" t="s">
        <v>129</v>
      </c>
      <c r="D9665" t="s">
        <v>130</v>
      </c>
      <c r="E9665">
        <v>1992</v>
      </c>
      <c r="F9665" s="1">
        <v>67</v>
      </c>
      <c r="G9665">
        <v>1990</v>
      </c>
      <c r="H9665">
        <f>AVERAGEIFS(Table1[value],Table1[IndicatorCode],Table1[[#This Row],[IndicatorCode]])</f>
        <v>72.66514008620689</v>
      </c>
      <c r="I9665" cm="1">
        <f t="array" ref="I9665">_xlfn.STDEV.P(IF(Table1[IndicatorCode]=Table1[[#This Row],[IndicatorCode]],Table1[value]))</f>
        <v>6.3409496564024987</v>
      </c>
      <c r="J9665">
        <f>(Table1[[#This Row],[value]] - Table1[[#This Row],[mean]]) / Table1[[#This Row],[std_dev]]</f>
        <v>-0.89342139477274674</v>
      </c>
      <c r="K9665">
        <f>AVERAGEIF(Table1[CountryCode],Table1[[#This Row],[CountryCode]],Table1[z-score])</f>
        <v>-0.61357720348444234</v>
      </c>
      <c r="L9665" t="e">
        <f>VLOOKUP(Table1[[#This Row],[CountryCode]],[1]!Table1[#All],1,FALSE)</f>
        <v>#REF!</v>
      </c>
    </row>
    <row r="9666" spans="1:12" hidden="1" x14ac:dyDescent="0.3">
      <c r="A9666" t="s">
        <v>85</v>
      </c>
      <c r="B9666" t="s">
        <v>86</v>
      </c>
      <c r="C9666" t="s">
        <v>129</v>
      </c>
      <c r="D9666" t="s">
        <v>130</v>
      </c>
      <c r="E9666">
        <v>1993</v>
      </c>
      <c r="F9666" s="1">
        <v>67</v>
      </c>
      <c r="G9666">
        <v>1990</v>
      </c>
      <c r="H9666">
        <f>AVERAGEIFS(Table1[value],Table1[IndicatorCode],Table1[[#This Row],[IndicatorCode]])</f>
        <v>72.66514008620689</v>
      </c>
      <c r="I9666" cm="1">
        <f t="array" ref="I9666">_xlfn.STDEV.P(IF(Table1[IndicatorCode]=Table1[[#This Row],[IndicatorCode]],Table1[value]))</f>
        <v>6.3409496564024987</v>
      </c>
      <c r="J9666">
        <f>(Table1[[#This Row],[value]] - Table1[[#This Row],[mean]]) / Table1[[#This Row],[std_dev]]</f>
        <v>-0.89342139477274674</v>
      </c>
      <c r="K9666">
        <f>AVERAGEIF(Table1[CountryCode],Table1[[#This Row],[CountryCode]],Table1[z-score])</f>
        <v>-0.61357720348444234</v>
      </c>
      <c r="L9666" t="e">
        <f>VLOOKUP(Table1[[#This Row],[CountryCode]],[1]!Table1[#All],1,FALSE)</f>
        <v>#REF!</v>
      </c>
    </row>
    <row r="9667" spans="1:12" hidden="1" x14ac:dyDescent="0.3">
      <c r="A9667" t="s">
        <v>85</v>
      </c>
      <c r="B9667" t="s">
        <v>86</v>
      </c>
      <c r="C9667" t="s">
        <v>129</v>
      </c>
      <c r="D9667" t="s">
        <v>130</v>
      </c>
      <c r="E9667">
        <v>1994</v>
      </c>
      <c r="F9667" s="1">
        <v>66</v>
      </c>
      <c r="G9667">
        <v>1990</v>
      </c>
      <c r="H9667">
        <f>AVERAGEIFS(Table1[value],Table1[IndicatorCode],Table1[[#This Row],[IndicatorCode]])</f>
        <v>72.66514008620689</v>
      </c>
      <c r="I9667" cm="1">
        <f t="array" ref="I9667">_xlfn.STDEV.P(IF(Table1[IndicatorCode]=Table1[[#This Row],[IndicatorCode]],Table1[value]))</f>
        <v>6.3409496564024987</v>
      </c>
      <c r="J9667">
        <f>(Table1[[#This Row],[value]] - Table1[[#This Row],[mean]]) / Table1[[#This Row],[std_dev]]</f>
        <v>-1.0511264790561858</v>
      </c>
      <c r="K9667">
        <f>AVERAGEIF(Table1[CountryCode],Table1[[#This Row],[CountryCode]],Table1[z-score])</f>
        <v>-0.61357720348444234</v>
      </c>
      <c r="L9667" t="e">
        <f>VLOOKUP(Table1[[#This Row],[CountryCode]],[1]!Table1[#All],1,FALSE)</f>
        <v>#REF!</v>
      </c>
    </row>
    <row r="9668" spans="1:12" hidden="1" x14ac:dyDescent="0.3">
      <c r="A9668" t="s">
        <v>85</v>
      </c>
      <c r="B9668" t="s">
        <v>86</v>
      </c>
      <c r="C9668" t="s">
        <v>129</v>
      </c>
      <c r="D9668" t="s">
        <v>130</v>
      </c>
      <c r="E9668">
        <v>1995</v>
      </c>
      <c r="F9668" s="1">
        <v>66</v>
      </c>
      <c r="G9668">
        <v>1990</v>
      </c>
      <c r="H9668">
        <f>AVERAGEIFS(Table1[value],Table1[IndicatorCode],Table1[[#This Row],[IndicatorCode]])</f>
        <v>72.66514008620689</v>
      </c>
      <c r="I9668" cm="1">
        <f t="array" ref="I9668">_xlfn.STDEV.P(IF(Table1[IndicatorCode]=Table1[[#This Row],[IndicatorCode]],Table1[value]))</f>
        <v>6.3409496564024987</v>
      </c>
      <c r="J9668">
        <f>(Table1[[#This Row],[value]] - Table1[[#This Row],[mean]]) / Table1[[#This Row],[std_dev]]</f>
        <v>-1.0511264790561858</v>
      </c>
      <c r="K9668">
        <f>AVERAGEIF(Table1[CountryCode],Table1[[#This Row],[CountryCode]],Table1[z-score])</f>
        <v>-0.61357720348444234</v>
      </c>
      <c r="L9668" t="e">
        <f>VLOOKUP(Table1[[#This Row],[CountryCode]],[1]!Table1[#All],1,FALSE)</f>
        <v>#REF!</v>
      </c>
    </row>
    <row r="9669" spans="1:12" hidden="1" x14ac:dyDescent="0.3">
      <c r="A9669" t="s">
        <v>85</v>
      </c>
      <c r="B9669" t="s">
        <v>86</v>
      </c>
      <c r="C9669" t="s">
        <v>129</v>
      </c>
      <c r="D9669" t="s">
        <v>130</v>
      </c>
      <c r="E9669">
        <v>1996</v>
      </c>
      <c r="F9669" s="1">
        <v>66</v>
      </c>
      <c r="G9669">
        <v>1990</v>
      </c>
      <c r="H9669">
        <f>AVERAGEIFS(Table1[value],Table1[IndicatorCode],Table1[[#This Row],[IndicatorCode]])</f>
        <v>72.66514008620689</v>
      </c>
      <c r="I9669" cm="1">
        <f t="array" ref="I9669">_xlfn.STDEV.P(IF(Table1[IndicatorCode]=Table1[[#This Row],[IndicatorCode]],Table1[value]))</f>
        <v>6.3409496564024987</v>
      </c>
      <c r="J9669">
        <f>(Table1[[#This Row],[value]] - Table1[[#This Row],[mean]]) / Table1[[#This Row],[std_dev]]</f>
        <v>-1.0511264790561858</v>
      </c>
      <c r="K9669">
        <f>AVERAGEIF(Table1[CountryCode],Table1[[#This Row],[CountryCode]],Table1[z-score])</f>
        <v>-0.61357720348444234</v>
      </c>
      <c r="L9669" t="e">
        <f>VLOOKUP(Table1[[#This Row],[CountryCode]],[1]!Table1[#All],1,FALSE)</f>
        <v>#REF!</v>
      </c>
    </row>
    <row r="9670" spans="1:12" hidden="1" x14ac:dyDescent="0.3">
      <c r="A9670" t="s">
        <v>85</v>
      </c>
      <c r="B9670" t="s">
        <v>86</v>
      </c>
      <c r="C9670" t="s">
        <v>129</v>
      </c>
      <c r="D9670" t="s">
        <v>130</v>
      </c>
      <c r="E9670">
        <v>1997</v>
      </c>
      <c r="F9670" s="1">
        <v>66</v>
      </c>
      <c r="G9670">
        <v>2000</v>
      </c>
      <c r="H9670">
        <f>AVERAGEIFS(Table1[value],Table1[IndicatorCode],Table1[[#This Row],[IndicatorCode]])</f>
        <v>72.66514008620689</v>
      </c>
      <c r="I9670" cm="1">
        <f t="array" ref="I9670">_xlfn.STDEV.P(IF(Table1[IndicatorCode]=Table1[[#This Row],[IndicatorCode]],Table1[value]))</f>
        <v>6.3409496564024987</v>
      </c>
      <c r="J9670">
        <f>(Table1[[#This Row],[value]] - Table1[[#This Row],[mean]]) / Table1[[#This Row],[std_dev]]</f>
        <v>-1.0511264790561858</v>
      </c>
      <c r="K9670">
        <f>AVERAGEIF(Table1[CountryCode],Table1[[#This Row],[CountryCode]],Table1[z-score])</f>
        <v>-0.61357720348444234</v>
      </c>
      <c r="L9670" t="e">
        <f>VLOOKUP(Table1[[#This Row],[CountryCode]],[1]!Table1[#All],1,FALSE)</f>
        <v>#REF!</v>
      </c>
    </row>
    <row r="9671" spans="1:12" hidden="1" x14ac:dyDescent="0.3">
      <c r="A9671" t="s">
        <v>85</v>
      </c>
      <c r="B9671" t="s">
        <v>86</v>
      </c>
      <c r="C9671" t="s">
        <v>129</v>
      </c>
      <c r="D9671" t="s">
        <v>130</v>
      </c>
      <c r="E9671">
        <v>1998</v>
      </c>
      <c r="F9671" s="1">
        <v>67</v>
      </c>
      <c r="G9671">
        <v>2000</v>
      </c>
      <c r="H9671">
        <f>AVERAGEIFS(Table1[value],Table1[IndicatorCode],Table1[[#This Row],[IndicatorCode]])</f>
        <v>72.66514008620689</v>
      </c>
      <c r="I9671" cm="1">
        <f t="array" ref="I9671">_xlfn.STDEV.P(IF(Table1[IndicatorCode]=Table1[[#This Row],[IndicatorCode]],Table1[value]))</f>
        <v>6.3409496564024987</v>
      </c>
      <c r="J9671">
        <f>(Table1[[#This Row],[value]] - Table1[[#This Row],[mean]]) / Table1[[#This Row],[std_dev]]</f>
        <v>-0.89342139477274674</v>
      </c>
      <c r="K9671">
        <f>AVERAGEIF(Table1[CountryCode],Table1[[#This Row],[CountryCode]],Table1[z-score])</f>
        <v>-0.61357720348444234</v>
      </c>
      <c r="L9671" t="e">
        <f>VLOOKUP(Table1[[#This Row],[CountryCode]],[1]!Table1[#All],1,FALSE)</f>
        <v>#REF!</v>
      </c>
    </row>
    <row r="9672" spans="1:12" hidden="1" x14ac:dyDescent="0.3">
      <c r="A9672" t="s">
        <v>85</v>
      </c>
      <c r="B9672" t="s">
        <v>86</v>
      </c>
      <c r="C9672" t="s">
        <v>129</v>
      </c>
      <c r="D9672" t="s">
        <v>130</v>
      </c>
      <c r="E9672">
        <v>1999</v>
      </c>
      <c r="F9672" s="1">
        <v>67</v>
      </c>
      <c r="G9672">
        <v>2000</v>
      </c>
      <c r="H9672">
        <f>AVERAGEIFS(Table1[value],Table1[IndicatorCode],Table1[[#This Row],[IndicatorCode]])</f>
        <v>72.66514008620689</v>
      </c>
      <c r="I9672" cm="1">
        <f t="array" ref="I9672">_xlfn.STDEV.P(IF(Table1[IndicatorCode]=Table1[[#This Row],[IndicatorCode]],Table1[value]))</f>
        <v>6.3409496564024987</v>
      </c>
      <c r="J9672">
        <f>(Table1[[#This Row],[value]] - Table1[[#This Row],[mean]]) / Table1[[#This Row],[std_dev]]</f>
        <v>-0.89342139477274674</v>
      </c>
      <c r="K9672">
        <f>AVERAGEIF(Table1[CountryCode],Table1[[#This Row],[CountryCode]],Table1[z-score])</f>
        <v>-0.61357720348444234</v>
      </c>
      <c r="L9672" t="e">
        <f>VLOOKUP(Table1[[#This Row],[CountryCode]],[1]!Table1[#All],1,FALSE)</f>
        <v>#REF!</v>
      </c>
    </row>
    <row r="9673" spans="1:12" hidden="1" x14ac:dyDescent="0.3">
      <c r="A9673" t="s">
        <v>85</v>
      </c>
      <c r="B9673" t="s">
        <v>86</v>
      </c>
      <c r="C9673" t="s">
        <v>129</v>
      </c>
      <c r="D9673" t="s">
        <v>130</v>
      </c>
      <c r="E9673">
        <v>2000</v>
      </c>
      <c r="F9673" s="1">
        <v>67</v>
      </c>
      <c r="G9673">
        <v>2000</v>
      </c>
      <c r="H9673">
        <f>AVERAGEIFS(Table1[value],Table1[IndicatorCode],Table1[[#This Row],[IndicatorCode]])</f>
        <v>72.66514008620689</v>
      </c>
      <c r="I9673" cm="1">
        <f t="array" ref="I9673">_xlfn.STDEV.P(IF(Table1[IndicatorCode]=Table1[[#This Row],[IndicatorCode]],Table1[value]))</f>
        <v>6.3409496564024987</v>
      </c>
      <c r="J9673">
        <f>(Table1[[#This Row],[value]] - Table1[[#This Row],[mean]]) / Table1[[#This Row],[std_dev]]</f>
        <v>-0.89342139477274674</v>
      </c>
      <c r="K9673">
        <f>AVERAGEIF(Table1[CountryCode],Table1[[#This Row],[CountryCode]],Table1[z-score])</f>
        <v>-0.61357720348444234</v>
      </c>
      <c r="L9673" t="e">
        <f>VLOOKUP(Table1[[#This Row],[CountryCode]],[1]!Table1[#All],1,FALSE)</f>
        <v>#REF!</v>
      </c>
    </row>
    <row r="9674" spans="1:12" hidden="1" x14ac:dyDescent="0.3">
      <c r="A9674" t="s">
        <v>85</v>
      </c>
      <c r="B9674" t="s">
        <v>86</v>
      </c>
      <c r="C9674" t="s">
        <v>129</v>
      </c>
      <c r="D9674" t="s">
        <v>130</v>
      </c>
      <c r="E9674">
        <v>2001</v>
      </c>
      <c r="F9674" s="1">
        <v>68</v>
      </c>
      <c r="G9674">
        <v>2000</v>
      </c>
      <c r="H9674">
        <f>AVERAGEIFS(Table1[value],Table1[IndicatorCode],Table1[[#This Row],[IndicatorCode]])</f>
        <v>72.66514008620689</v>
      </c>
      <c r="I9674" cm="1">
        <f t="array" ref="I9674">_xlfn.STDEV.P(IF(Table1[IndicatorCode]=Table1[[#This Row],[IndicatorCode]],Table1[value]))</f>
        <v>6.3409496564024987</v>
      </c>
      <c r="J9674">
        <f>(Table1[[#This Row],[value]] - Table1[[#This Row],[mean]]) / Table1[[#This Row],[std_dev]]</f>
        <v>-0.73571631048930775</v>
      </c>
      <c r="K9674">
        <f>AVERAGEIF(Table1[CountryCode],Table1[[#This Row],[CountryCode]],Table1[z-score])</f>
        <v>-0.61357720348444234</v>
      </c>
      <c r="L9674" t="e">
        <f>VLOOKUP(Table1[[#This Row],[CountryCode]],[1]!Table1[#All],1,FALSE)</f>
        <v>#REF!</v>
      </c>
    </row>
    <row r="9675" spans="1:12" hidden="1" x14ac:dyDescent="0.3">
      <c r="A9675" t="s">
        <v>85</v>
      </c>
      <c r="B9675" t="s">
        <v>86</v>
      </c>
      <c r="C9675" t="s">
        <v>129</v>
      </c>
      <c r="D9675" t="s">
        <v>130</v>
      </c>
      <c r="E9675">
        <v>2002</v>
      </c>
      <c r="F9675" s="1">
        <v>68</v>
      </c>
      <c r="G9675">
        <v>2000</v>
      </c>
      <c r="H9675">
        <f>AVERAGEIFS(Table1[value],Table1[IndicatorCode],Table1[[#This Row],[IndicatorCode]])</f>
        <v>72.66514008620689</v>
      </c>
      <c r="I9675" cm="1">
        <f t="array" ref="I9675">_xlfn.STDEV.P(IF(Table1[IndicatorCode]=Table1[[#This Row],[IndicatorCode]],Table1[value]))</f>
        <v>6.3409496564024987</v>
      </c>
      <c r="J9675">
        <f>(Table1[[#This Row],[value]] - Table1[[#This Row],[mean]]) / Table1[[#This Row],[std_dev]]</f>
        <v>-0.73571631048930775</v>
      </c>
      <c r="K9675">
        <f>AVERAGEIF(Table1[CountryCode],Table1[[#This Row],[CountryCode]],Table1[z-score])</f>
        <v>-0.61357720348444234</v>
      </c>
      <c r="L9675" t="e">
        <f>VLOOKUP(Table1[[#This Row],[CountryCode]],[1]!Table1[#All],1,FALSE)</f>
        <v>#REF!</v>
      </c>
    </row>
    <row r="9676" spans="1:12" hidden="1" x14ac:dyDescent="0.3">
      <c r="A9676" t="s">
        <v>85</v>
      </c>
      <c r="B9676" t="s">
        <v>86</v>
      </c>
      <c r="C9676" t="s">
        <v>129</v>
      </c>
      <c r="D9676" t="s">
        <v>130</v>
      </c>
      <c r="E9676">
        <v>2003</v>
      </c>
      <c r="F9676" s="1">
        <v>68</v>
      </c>
      <c r="G9676">
        <v>2000</v>
      </c>
      <c r="H9676">
        <f>AVERAGEIFS(Table1[value],Table1[IndicatorCode],Table1[[#This Row],[IndicatorCode]])</f>
        <v>72.66514008620689</v>
      </c>
      <c r="I9676" cm="1">
        <f t="array" ref="I9676">_xlfn.STDEV.P(IF(Table1[IndicatorCode]=Table1[[#This Row],[IndicatorCode]],Table1[value]))</f>
        <v>6.3409496564024987</v>
      </c>
      <c r="J9676">
        <f>(Table1[[#This Row],[value]] - Table1[[#This Row],[mean]]) / Table1[[#This Row],[std_dev]]</f>
        <v>-0.73571631048930775</v>
      </c>
      <c r="K9676">
        <f>AVERAGEIF(Table1[CountryCode],Table1[[#This Row],[CountryCode]],Table1[z-score])</f>
        <v>-0.61357720348444234</v>
      </c>
      <c r="L9676" t="e">
        <f>VLOOKUP(Table1[[#This Row],[CountryCode]],[1]!Table1[#All],1,FALSE)</f>
        <v>#REF!</v>
      </c>
    </row>
    <row r="9677" spans="1:12" hidden="1" x14ac:dyDescent="0.3">
      <c r="A9677" t="s">
        <v>85</v>
      </c>
      <c r="B9677" t="s">
        <v>86</v>
      </c>
      <c r="C9677" t="s">
        <v>129</v>
      </c>
      <c r="D9677" t="s">
        <v>130</v>
      </c>
      <c r="E9677">
        <v>2004</v>
      </c>
      <c r="F9677" s="1">
        <v>68</v>
      </c>
      <c r="G9677">
        <v>2000</v>
      </c>
      <c r="H9677">
        <f>AVERAGEIFS(Table1[value],Table1[IndicatorCode],Table1[[#This Row],[IndicatorCode]])</f>
        <v>72.66514008620689</v>
      </c>
      <c r="I9677" cm="1">
        <f t="array" ref="I9677">_xlfn.STDEV.P(IF(Table1[IndicatorCode]=Table1[[#This Row],[IndicatorCode]],Table1[value]))</f>
        <v>6.3409496564024987</v>
      </c>
      <c r="J9677">
        <f>(Table1[[#This Row],[value]] - Table1[[#This Row],[mean]]) / Table1[[#This Row],[std_dev]]</f>
        <v>-0.73571631048930775</v>
      </c>
      <c r="K9677">
        <f>AVERAGEIF(Table1[CountryCode],Table1[[#This Row],[CountryCode]],Table1[z-score])</f>
        <v>-0.61357720348444234</v>
      </c>
      <c r="L9677" t="e">
        <f>VLOOKUP(Table1[[#This Row],[CountryCode]],[1]!Table1[#All],1,FALSE)</f>
        <v>#REF!</v>
      </c>
    </row>
    <row r="9678" spans="1:12" hidden="1" x14ac:dyDescent="0.3">
      <c r="A9678" t="s">
        <v>85</v>
      </c>
      <c r="B9678" t="s">
        <v>86</v>
      </c>
      <c r="C9678" t="s">
        <v>129</v>
      </c>
      <c r="D9678" t="s">
        <v>130</v>
      </c>
      <c r="E9678">
        <v>2005</v>
      </c>
      <c r="F9678" s="1">
        <v>68</v>
      </c>
      <c r="G9678">
        <v>2000</v>
      </c>
      <c r="H9678">
        <f>AVERAGEIFS(Table1[value],Table1[IndicatorCode],Table1[[#This Row],[IndicatorCode]])</f>
        <v>72.66514008620689</v>
      </c>
      <c r="I9678" cm="1">
        <f t="array" ref="I9678">_xlfn.STDEV.P(IF(Table1[IndicatorCode]=Table1[[#This Row],[IndicatorCode]],Table1[value]))</f>
        <v>6.3409496564024987</v>
      </c>
      <c r="J9678">
        <f>(Table1[[#This Row],[value]] - Table1[[#This Row],[mean]]) / Table1[[#This Row],[std_dev]]</f>
        <v>-0.73571631048930775</v>
      </c>
      <c r="K9678">
        <f>AVERAGEIF(Table1[CountryCode],Table1[[#This Row],[CountryCode]],Table1[z-score])</f>
        <v>-0.61357720348444234</v>
      </c>
      <c r="L9678" t="e">
        <f>VLOOKUP(Table1[[#This Row],[CountryCode]],[1]!Table1[#All],1,FALSE)</f>
        <v>#REF!</v>
      </c>
    </row>
    <row r="9679" spans="1:12" hidden="1" x14ac:dyDescent="0.3">
      <c r="A9679" t="s">
        <v>85</v>
      </c>
      <c r="B9679" t="s">
        <v>86</v>
      </c>
      <c r="C9679" t="s">
        <v>129</v>
      </c>
      <c r="D9679" t="s">
        <v>130</v>
      </c>
      <c r="E9679">
        <v>2006</v>
      </c>
      <c r="F9679" s="1">
        <v>68</v>
      </c>
      <c r="G9679">
        <v>2000</v>
      </c>
      <c r="H9679">
        <f>AVERAGEIFS(Table1[value],Table1[IndicatorCode],Table1[[#This Row],[IndicatorCode]])</f>
        <v>72.66514008620689</v>
      </c>
      <c r="I9679" cm="1">
        <f t="array" ref="I9679">_xlfn.STDEV.P(IF(Table1[IndicatorCode]=Table1[[#This Row],[IndicatorCode]],Table1[value]))</f>
        <v>6.3409496564024987</v>
      </c>
      <c r="J9679">
        <f>(Table1[[#This Row],[value]] - Table1[[#This Row],[mean]]) / Table1[[#This Row],[std_dev]]</f>
        <v>-0.73571631048930775</v>
      </c>
      <c r="K9679">
        <f>AVERAGEIF(Table1[CountryCode],Table1[[#This Row],[CountryCode]],Table1[z-score])</f>
        <v>-0.61357720348444234</v>
      </c>
      <c r="L9679" t="e">
        <f>VLOOKUP(Table1[[#This Row],[CountryCode]],[1]!Table1[#All],1,FALSE)</f>
        <v>#REF!</v>
      </c>
    </row>
    <row r="9680" spans="1:12" hidden="1" x14ac:dyDescent="0.3">
      <c r="A9680" t="s">
        <v>85</v>
      </c>
      <c r="B9680" t="s">
        <v>86</v>
      </c>
      <c r="C9680" t="s">
        <v>129</v>
      </c>
      <c r="D9680" t="s">
        <v>130</v>
      </c>
      <c r="E9680">
        <v>2007</v>
      </c>
      <c r="F9680" s="1">
        <v>69</v>
      </c>
      <c r="G9680">
        <v>2010</v>
      </c>
      <c r="H9680">
        <f>AVERAGEIFS(Table1[value],Table1[IndicatorCode],Table1[[#This Row],[IndicatorCode]])</f>
        <v>72.66514008620689</v>
      </c>
      <c r="I9680" cm="1">
        <f t="array" ref="I9680">_xlfn.STDEV.P(IF(Table1[IndicatorCode]=Table1[[#This Row],[IndicatorCode]],Table1[value]))</f>
        <v>6.3409496564024987</v>
      </c>
      <c r="J9680">
        <f>(Table1[[#This Row],[value]] - Table1[[#This Row],[mean]]) / Table1[[#This Row],[std_dev]]</f>
        <v>-0.57801122620586864</v>
      </c>
      <c r="K9680">
        <f>AVERAGEIF(Table1[CountryCode],Table1[[#This Row],[CountryCode]],Table1[z-score])</f>
        <v>-0.61357720348444234</v>
      </c>
      <c r="L9680" t="e">
        <f>VLOOKUP(Table1[[#This Row],[CountryCode]],[1]!Table1[#All],1,FALSE)</f>
        <v>#REF!</v>
      </c>
    </row>
    <row r="9681" spans="1:12" hidden="1" x14ac:dyDescent="0.3">
      <c r="A9681" t="s">
        <v>85</v>
      </c>
      <c r="B9681" t="s">
        <v>86</v>
      </c>
      <c r="C9681" t="s">
        <v>129</v>
      </c>
      <c r="D9681" t="s">
        <v>130</v>
      </c>
      <c r="E9681">
        <v>2008</v>
      </c>
      <c r="F9681" s="1">
        <v>69</v>
      </c>
      <c r="G9681">
        <v>2010</v>
      </c>
      <c r="H9681">
        <f>AVERAGEIFS(Table1[value],Table1[IndicatorCode],Table1[[#This Row],[IndicatorCode]])</f>
        <v>72.66514008620689</v>
      </c>
      <c r="I9681" cm="1">
        <f t="array" ref="I9681">_xlfn.STDEV.P(IF(Table1[IndicatorCode]=Table1[[#This Row],[IndicatorCode]],Table1[value]))</f>
        <v>6.3409496564024987</v>
      </c>
      <c r="J9681">
        <f>(Table1[[#This Row],[value]] - Table1[[#This Row],[mean]]) / Table1[[#This Row],[std_dev]]</f>
        <v>-0.57801122620586864</v>
      </c>
      <c r="K9681">
        <f>AVERAGEIF(Table1[CountryCode],Table1[[#This Row],[CountryCode]],Table1[z-score])</f>
        <v>-0.61357720348444234</v>
      </c>
      <c r="L9681" t="e">
        <f>VLOOKUP(Table1[[#This Row],[CountryCode]],[1]!Table1[#All],1,FALSE)</f>
        <v>#REF!</v>
      </c>
    </row>
    <row r="9682" spans="1:12" hidden="1" x14ac:dyDescent="0.3">
      <c r="A9682" t="s">
        <v>85</v>
      </c>
      <c r="B9682" t="s">
        <v>86</v>
      </c>
      <c r="C9682" t="s">
        <v>129</v>
      </c>
      <c r="D9682" t="s">
        <v>130</v>
      </c>
      <c r="E9682">
        <v>2009</v>
      </c>
      <c r="F9682" s="1">
        <v>69</v>
      </c>
      <c r="G9682">
        <v>2010</v>
      </c>
      <c r="H9682">
        <f>AVERAGEIFS(Table1[value],Table1[IndicatorCode],Table1[[#This Row],[IndicatorCode]])</f>
        <v>72.66514008620689</v>
      </c>
      <c r="I9682" cm="1">
        <f t="array" ref="I9682">_xlfn.STDEV.P(IF(Table1[IndicatorCode]=Table1[[#This Row],[IndicatorCode]],Table1[value]))</f>
        <v>6.3409496564024987</v>
      </c>
      <c r="J9682">
        <f>(Table1[[#This Row],[value]] - Table1[[#This Row],[mean]]) / Table1[[#This Row],[std_dev]]</f>
        <v>-0.57801122620586864</v>
      </c>
      <c r="K9682">
        <f>AVERAGEIF(Table1[CountryCode],Table1[[#This Row],[CountryCode]],Table1[z-score])</f>
        <v>-0.61357720348444234</v>
      </c>
      <c r="L9682" t="e">
        <f>VLOOKUP(Table1[[#This Row],[CountryCode]],[1]!Table1[#All],1,FALSE)</f>
        <v>#REF!</v>
      </c>
    </row>
    <row r="9683" spans="1:12" hidden="1" x14ac:dyDescent="0.3">
      <c r="A9683" t="s">
        <v>85</v>
      </c>
      <c r="B9683" t="s">
        <v>86</v>
      </c>
      <c r="C9683" t="s">
        <v>129</v>
      </c>
      <c r="D9683" t="s">
        <v>130</v>
      </c>
      <c r="E9683">
        <v>2010</v>
      </c>
      <c r="F9683" s="1">
        <v>70</v>
      </c>
      <c r="G9683">
        <v>2010</v>
      </c>
      <c r="H9683">
        <f>AVERAGEIFS(Table1[value],Table1[IndicatorCode],Table1[[#This Row],[IndicatorCode]])</f>
        <v>72.66514008620689</v>
      </c>
      <c r="I9683" cm="1">
        <f t="array" ref="I9683">_xlfn.STDEV.P(IF(Table1[IndicatorCode]=Table1[[#This Row],[IndicatorCode]],Table1[value]))</f>
        <v>6.3409496564024987</v>
      </c>
      <c r="J9683">
        <f>(Table1[[#This Row],[value]] - Table1[[#This Row],[mean]]) / Table1[[#This Row],[std_dev]]</f>
        <v>-0.4203061419224296</v>
      </c>
      <c r="K9683">
        <f>AVERAGEIF(Table1[CountryCode],Table1[[#This Row],[CountryCode]],Table1[z-score])</f>
        <v>-0.61357720348444234</v>
      </c>
      <c r="L9683" t="e">
        <f>VLOOKUP(Table1[[#This Row],[CountryCode]],[1]!Table1[#All],1,FALSE)</f>
        <v>#REF!</v>
      </c>
    </row>
    <row r="9684" spans="1:12" hidden="1" x14ac:dyDescent="0.3">
      <c r="A9684" t="s">
        <v>85</v>
      </c>
      <c r="B9684" t="s">
        <v>86</v>
      </c>
      <c r="C9684" t="s">
        <v>129</v>
      </c>
      <c r="D9684" t="s">
        <v>130</v>
      </c>
      <c r="E9684">
        <v>2011</v>
      </c>
      <c r="F9684" s="1">
        <v>70</v>
      </c>
      <c r="G9684">
        <v>2010</v>
      </c>
      <c r="H9684">
        <f>AVERAGEIFS(Table1[value],Table1[IndicatorCode],Table1[[#This Row],[IndicatorCode]])</f>
        <v>72.66514008620689</v>
      </c>
      <c r="I9684" cm="1">
        <f t="array" ref="I9684">_xlfn.STDEV.P(IF(Table1[IndicatorCode]=Table1[[#This Row],[IndicatorCode]],Table1[value]))</f>
        <v>6.3409496564024987</v>
      </c>
      <c r="J9684">
        <f>(Table1[[#This Row],[value]] - Table1[[#This Row],[mean]]) / Table1[[#This Row],[std_dev]]</f>
        <v>-0.4203061419224296</v>
      </c>
      <c r="K9684">
        <f>AVERAGEIF(Table1[CountryCode],Table1[[#This Row],[CountryCode]],Table1[z-score])</f>
        <v>-0.61357720348444234</v>
      </c>
      <c r="L9684" t="e">
        <f>VLOOKUP(Table1[[#This Row],[CountryCode]],[1]!Table1[#All],1,FALSE)</f>
        <v>#REF!</v>
      </c>
    </row>
    <row r="9685" spans="1:12" hidden="1" x14ac:dyDescent="0.3">
      <c r="A9685" t="s">
        <v>85</v>
      </c>
      <c r="B9685" t="s">
        <v>86</v>
      </c>
      <c r="C9685" t="s">
        <v>129</v>
      </c>
      <c r="D9685" t="s">
        <v>130</v>
      </c>
      <c r="E9685">
        <v>2012</v>
      </c>
      <c r="F9685" s="1">
        <v>70</v>
      </c>
      <c r="G9685">
        <v>2010</v>
      </c>
      <c r="H9685">
        <f>AVERAGEIFS(Table1[value],Table1[IndicatorCode],Table1[[#This Row],[IndicatorCode]])</f>
        <v>72.66514008620689</v>
      </c>
      <c r="I9685" cm="1">
        <f t="array" ref="I9685">_xlfn.STDEV.P(IF(Table1[IndicatorCode]=Table1[[#This Row],[IndicatorCode]],Table1[value]))</f>
        <v>6.3409496564024987</v>
      </c>
      <c r="J9685">
        <f>(Table1[[#This Row],[value]] - Table1[[#This Row],[mean]]) / Table1[[#This Row],[std_dev]]</f>
        <v>-0.4203061419224296</v>
      </c>
      <c r="K9685">
        <f>AVERAGEIF(Table1[CountryCode],Table1[[#This Row],[CountryCode]],Table1[z-score])</f>
        <v>-0.61357720348444234</v>
      </c>
      <c r="L9685" t="e">
        <f>VLOOKUP(Table1[[#This Row],[CountryCode]],[1]!Table1[#All],1,FALSE)</f>
        <v>#REF!</v>
      </c>
    </row>
    <row r="9686" spans="1:12" hidden="1" x14ac:dyDescent="0.3">
      <c r="A9686" t="s">
        <v>85</v>
      </c>
      <c r="B9686" t="s">
        <v>86</v>
      </c>
      <c r="C9686" t="s">
        <v>129</v>
      </c>
      <c r="D9686" t="s">
        <v>130</v>
      </c>
      <c r="E9686">
        <v>2013</v>
      </c>
      <c r="F9686" s="1">
        <v>70</v>
      </c>
      <c r="G9686">
        <v>2010</v>
      </c>
      <c r="H9686">
        <f>AVERAGEIFS(Table1[value],Table1[IndicatorCode],Table1[[#This Row],[IndicatorCode]])</f>
        <v>72.66514008620689</v>
      </c>
      <c r="I9686" cm="1">
        <f t="array" ref="I9686">_xlfn.STDEV.P(IF(Table1[IndicatorCode]=Table1[[#This Row],[IndicatorCode]],Table1[value]))</f>
        <v>6.3409496564024987</v>
      </c>
      <c r="J9686">
        <f>(Table1[[#This Row],[value]] - Table1[[#This Row],[mean]]) / Table1[[#This Row],[std_dev]]</f>
        <v>-0.4203061419224296</v>
      </c>
      <c r="K9686">
        <f>AVERAGEIF(Table1[CountryCode],Table1[[#This Row],[CountryCode]],Table1[z-score])</f>
        <v>-0.61357720348444234</v>
      </c>
      <c r="L9686" t="e">
        <f>VLOOKUP(Table1[[#This Row],[CountryCode]],[1]!Table1[#All],1,FALSE)</f>
        <v>#REF!</v>
      </c>
    </row>
    <row r="9687" spans="1:12" hidden="1" x14ac:dyDescent="0.3">
      <c r="A9687" t="s">
        <v>85</v>
      </c>
      <c r="B9687" t="s">
        <v>86</v>
      </c>
      <c r="C9687" t="s">
        <v>129</v>
      </c>
      <c r="D9687" t="s">
        <v>130</v>
      </c>
      <c r="E9687">
        <v>2014</v>
      </c>
      <c r="F9687" s="1">
        <v>70</v>
      </c>
      <c r="G9687">
        <v>2010</v>
      </c>
      <c r="H9687">
        <f>AVERAGEIFS(Table1[value],Table1[IndicatorCode],Table1[[#This Row],[IndicatorCode]])</f>
        <v>72.66514008620689</v>
      </c>
      <c r="I9687" cm="1">
        <f t="array" ref="I9687">_xlfn.STDEV.P(IF(Table1[IndicatorCode]=Table1[[#This Row],[IndicatorCode]],Table1[value]))</f>
        <v>6.3409496564024987</v>
      </c>
      <c r="J9687">
        <f>(Table1[[#This Row],[value]] - Table1[[#This Row],[mean]]) / Table1[[#This Row],[std_dev]]</f>
        <v>-0.4203061419224296</v>
      </c>
      <c r="K9687">
        <f>AVERAGEIF(Table1[CountryCode],Table1[[#This Row],[CountryCode]],Table1[z-score])</f>
        <v>-0.61357720348444234</v>
      </c>
      <c r="L9687" t="e">
        <f>VLOOKUP(Table1[[#This Row],[CountryCode]],[1]!Table1[#All],1,FALSE)</f>
        <v>#REF!</v>
      </c>
    </row>
    <row r="9688" spans="1:12" hidden="1" x14ac:dyDescent="0.3">
      <c r="A9688" t="s">
        <v>85</v>
      </c>
      <c r="B9688" t="s">
        <v>86</v>
      </c>
      <c r="C9688" t="s">
        <v>129</v>
      </c>
      <c r="D9688" t="s">
        <v>130</v>
      </c>
      <c r="E9688">
        <v>2015</v>
      </c>
      <c r="F9688" s="1">
        <v>70</v>
      </c>
      <c r="G9688">
        <v>2010</v>
      </c>
      <c r="H9688">
        <f>AVERAGEIFS(Table1[value],Table1[IndicatorCode],Table1[[#This Row],[IndicatorCode]])</f>
        <v>72.66514008620689</v>
      </c>
      <c r="I9688" cm="1">
        <f t="array" ref="I9688">_xlfn.STDEV.P(IF(Table1[IndicatorCode]=Table1[[#This Row],[IndicatorCode]],Table1[value]))</f>
        <v>6.3409496564024987</v>
      </c>
      <c r="J9688">
        <f>(Table1[[#This Row],[value]] - Table1[[#This Row],[mean]]) / Table1[[#This Row],[std_dev]]</f>
        <v>-0.4203061419224296</v>
      </c>
      <c r="K9688">
        <f>AVERAGEIF(Table1[CountryCode],Table1[[#This Row],[CountryCode]],Table1[z-score])</f>
        <v>-0.61357720348444234</v>
      </c>
      <c r="L9688" t="e">
        <f>VLOOKUP(Table1[[#This Row],[CountryCode]],[1]!Table1[#All],1,FALSE)</f>
        <v>#REF!</v>
      </c>
    </row>
    <row r="9689" spans="1:12" hidden="1" x14ac:dyDescent="0.3">
      <c r="A9689" t="s">
        <v>85</v>
      </c>
      <c r="B9689" t="s">
        <v>86</v>
      </c>
      <c r="C9689" t="s">
        <v>129</v>
      </c>
      <c r="D9689" t="s">
        <v>130</v>
      </c>
      <c r="E9689">
        <v>2016</v>
      </c>
      <c r="F9689" s="1">
        <v>70</v>
      </c>
      <c r="G9689">
        <v>2010</v>
      </c>
      <c r="H9689">
        <f>AVERAGEIFS(Table1[value],Table1[IndicatorCode],Table1[[#This Row],[IndicatorCode]])</f>
        <v>72.66514008620689</v>
      </c>
      <c r="I9689" cm="1">
        <f t="array" ref="I9689">_xlfn.STDEV.P(IF(Table1[IndicatorCode]=Table1[[#This Row],[IndicatorCode]],Table1[value]))</f>
        <v>6.3409496564024987</v>
      </c>
      <c r="J9689">
        <f>(Table1[[#This Row],[value]] - Table1[[#This Row],[mean]]) / Table1[[#This Row],[std_dev]]</f>
        <v>-0.4203061419224296</v>
      </c>
      <c r="K9689">
        <f>AVERAGEIF(Table1[CountryCode],Table1[[#This Row],[CountryCode]],Table1[z-score])</f>
        <v>-0.61357720348444234</v>
      </c>
      <c r="L9689" t="e">
        <f>VLOOKUP(Table1[[#This Row],[CountryCode]],[1]!Table1[#All],1,FALSE)</f>
        <v>#REF!</v>
      </c>
    </row>
    <row r="9690" spans="1:12" hidden="1" x14ac:dyDescent="0.3">
      <c r="A9690" t="s">
        <v>85</v>
      </c>
      <c r="B9690" t="s">
        <v>86</v>
      </c>
      <c r="C9690" t="s">
        <v>129</v>
      </c>
      <c r="D9690" t="s">
        <v>130</v>
      </c>
      <c r="E9690">
        <v>2017</v>
      </c>
      <c r="F9690" s="1">
        <v>70</v>
      </c>
      <c r="G9690">
        <v>2020</v>
      </c>
      <c r="H9690">
        <f>AVERAGEIFS(Table1[value],Table1[IndicatorCode],Table1[[#This Row],[IndicatorCode]])</f>
        <v>72.66514008620689</v>
      </c>
      <c r="I9690" cm="1">
        <f t="array" ref="I9690">_xlfn.STDEV.P(IF(Table1[IndicatorCode]=Table1[[#This Row],[IndicatorCode]],Table1[value]))</f>
        <v>6.3409496564024987</v>
      </c>
      <c r="J9690">
        <f>(Table1[[#This Row],[value]] - Table1[[#This Row],[mean]]) / Table1[[#This Row],[std_dev]]</f>
        <v>-0.4203061419224296</v>
      </c>
      <c r="K9690">
        <f>AVERAGEIF(Table1[CountryCode],Table1[[#This Row],[CountryCode]],Table1[z-score])</f>
        <v>-0.61357720348444234</v>
      </c>
      <c r="L9690" t="e">
        <f>VLOOKUP(Table1[[#This Row],[CountryCode]],[1]!Table1[#All],1,FALSE)</f>
        <v>#REF!</v>
      </c>
    </row>
    <row r="9691" spans="1:12" hidden="1" x14ac:dyDescent="0.3">
      <c r="A9691" t="s">
        <v>85</v>
      </c>
      <c r="B9691" t="s">
        <v>86</v>
      </c>
      <c r="C9691" t="s">
        <v>129</v>
      </c>
      <c r="D9691" t="s">
        <v>130</v>
      </c>
      <c r="E9691">
        <v>2018</v>
      </c>
      <c r="F9691" s="1">
        <v>70</v>
      </c>
      <c r="G9691">
        <v>2020</v>
      </c>
      <c r="H9691">
        <f>AVERAGEIFS(Table1[value],Table1[IndicatorCode],Table1[[#This Row],[IndicatorCode]])</f>
        <v>72.66514008620689</v>
      </c>
      <c r="I9691" cm="1">
        <f t="array" ref="I9691">_xlfn.STDEV.P(IF(Table1[IndicatorCode]=Table1[[#This Row],[IndicatorCode]],Table1[value]))</f>
        <v>6.3409496564024987</v>
      </c>
      <c r="J9691">
        <f>(Table1[[#This Row],[value]] - Table1[[#This Row],[mean]]) / Table1[[#This Row],[std_dev]]</f>
        <v>-0.4203061419224296</v>
      </c>
      <c r="K9691">
        <f>AVERAGEIF(Table1[CountryCode],Table1[[#This Row],[CountryCode]],Table1[z-score])</f>
        <v>-0.61357720348444234</v>
      </c>
      <c r="L9691" t="e">
        <f>VLOOKUP(Table1[[#This Row],[CountryCode]],[1]!Table1[#All],1,FALSE)</f>
        <v>#REF!</v>
      </c>
    </row>
    <row r="9692" spans="1:12" hidden="1" x14ac:dyDescent="0.3">
      <c r="A9692" t="s">
        <v>85</v>
      </c>
      <c r="B9692" t="s">
        <v>86</v>
      </c>
      <c r="C9692" t="s">
        <v>129</v>
      </c>
      <c r="D9692" t="s">
        <v>130</v>
      </c>
      <c r="E9692">
        <v>2019</v>
      </c>
      <c r="F9692" s="1">
        <v>70</v>
      </c>
      <c r="G9692">
        <v>2020</v>
      </c>
      <c r="H9692">
        <f>AVERAGEIFS(Table1[value],Table1[IndicatorCode],Table1[[#This Row],[IndicatorCode]])</f>
        <v>72.66514008620689</v>
      </c>
      <c r="I9692" cm="1">
        <f t="array" ref="I9692">_xlfn.STDEV.P(IF(Table1[IndicatorCode]=Table1[[#This Row],[IndicatorCode]],Table1[value]))</f>
        <v>6.3409496564024987</v>
      </c>
      <c r="J9692">
        <f>(Table1[[#This Row],[value]] - Table1[[#This Row],[mean]]) / Table1[[#This Row],[std_dev]]</f>
        <v>-0.4203061419224296</v>
      </c>
      <c r="K9692">
        <f>AVERAGEIF(Table1[CountryCode],Table1[[#This Row],[CountryCode]],Table1[z-score])</f>
        <v>-0.61357720348444234</v>
      </c>
      <c r="L9692" t="e">
        <f>VLOOKUP(Table1[[#This Row],[CountryCode]],[1]!Table1[#All],1,FALSE)</f>
        <v>#REF!</v>
      </c>
    </row>
    <row r="9693" spans="1:12" x14ac:dyDescent="0.3">
      <c r="A9693" t="s">
        <v>85</v>
      </c>
      <c r="B9693" t="s">
        <v>86</v>
      </c>
      <c r="C9693" t="s">
        <v>129</v>
      </c>
      <c r="D9693" t="s">
        <v>130</v>
      </c>
      <c r="E9693">
        <v>2020</v>
      </c>
      <c r="F9693" s="1">
        <v>70</v>
      </c>
      <c r="G9693">
        <v>2020</v>
      </c>
      <c r="H9693">
        <f>AVERAGEIFS(Table1[value],Table1[IndicatorCode],Table1[[#This Row],[IndicatorCode]])</f>
        <v>72.66514008620689</v>
      </c>
      <c r="I9693" cm="1">
        <f t="array" ref="I9693">_xlfn.STDEV.P(IF(Table1[IndicatorCode]=Table1[[#This Row],[IndicatorCode]],Table1[value]))</f>
        <v>6.3409496564024987</v>
      </c>
      <c r="J9693">
        <f>(Table1[[#This Row],[value]] - Table1[[#This Row],[mean]]) / Table1[[#This Row],[std_dev]]</f>
        <v>-0.4203061419224296</v>
      </c>
      <c r="K9693">
        <f>AVERAGEIF(Table1[CountryCode],Table1[[#This Row],[CountryCode]],Table1[z-score])</f>
        <v>-0.61357720348444234</v>
      </c>
    </row>
    <row r="9694" spans="1:12" hidden="1" x14ac:dyDescent="0.3">
      <c r="A9694" t="s">
        <v>85</v>
      </c>
      <c r="B9694" t="s">
        <v>86</v>
      </c>
      <c r="C9694" t="s">
        <v>129</v>
      </c>
      <c r="D9694" t="s">
        <v>130</v>
      </c>
      <c r="E9694">
        <v>2021</v>
      </c>
      <c r="F9694" s="1">
        <v>69</v>
      </c>
      <c r="G9694">
        <v>1960</v>
      </c>
      <c r="H9694">
        <f>AVERAGEIFS(Table1[value],Table1[IndicatorCode],Table1[[#This Row],[IndicatorCode]])</f>
        <v>72.66514008620689</v>
      </c>
      <c r="I9694" cm="1">
        <f t="array" ref="I9694">_xlfn.STDEV.P(IF(Table1[IndicatorCode]=Table1[[#This Row],[IndicatorCode]],Table1[value]))</f>
        <v>6.3409496564024987</v>
      </c>
      <c r="J9694">
        <f>(Table1[[#This Row],[value]] - Table1[[#This Row],[mean]]) / Table1[[#This Row],[std_dev]]</f>
        <v>-0.57801122620586864</v>
      </c>
      <c r="K9694">
        <f>AVERAGEIF(Table1[CountryCode],Table1[[#This Row],[CountryCode]],Table1[z-score])</f>
        <v>-0.61357720348444234</v>
      </c>
      <c r="L9694" t="e">
        <f>VLOOKUP(Table1[[#This Row],[CountryCode]],[1]!Table1[#All],1,FALSE)</f>
        <v>#REF!</v>
      </c>
    </row>
    <row r="9695" spans="1:12" hidden="1" x14ac:dyDescent="0.3">
      <c r="A9695" t="s">
        <v>85</v>
      </c>
      <c r="B9695" t="s">
        <v>86</v>
      </c>
      <c r="C9695" t="s">
        <v>129</v>
      </c>
      <c r="D9695" t="s">
        <v>130</v>
      </c>
      <c r="E9695">
        <v>2022</v>
      </c>
      <c r="F9695" s="1">
        <v>72</v>
      </c>
      <c r="G9695">
        <v>1960</v>
      </c>
      <c r="H9695">
        <f>AVERAGEIFS(Table1[value],Table1[IndicatorCode],Table1[[#This Row],[IndicatorCode]])</f>
        <v>72.66514008620689</v>
      </c>
      <c r="I9695" cm="1">
        <f t="array" ref="I9695">_xlfn.STDEV.P(IF(Table1[IndicatorCode]=Table1[[#This Row],[IndicatorCode]],Table1[value]))</f>
        <v>6.3409496564024987</v>
      </c>
      <c r="J9695">
        <f>(Table1[[#This Row],[value]] - Table1[[#This Row],[mean]]) / Table1[[#This Row],[std_dev]]</f>
        <v>-0.10489597335555145</v>
      </c>
      <c r="K9695">
        <f>AVERAGEIF(Table1[CountryCode],Table1[[#This Row],[CountryCode]],Table1[z-score])</f>
        <v>-0.61357720348444234</v>
      </c>
      <c r="L9695" t="e">
        <f>VLOOKUP(Table1[[#This Row],[CountryCode]],[1]!Table1[#All],1,FALSE)</f>
        <v>#REF!</v>
      </c>
    </row>
    <row r="9696" spans="1:12" hidden="1" x14ac:dyDescent="0.3">
      <c r="A9696" t="s">
        <v>85</v>
      </c>
      <c r="B9696" t="s">
        <v>86</v>
      </c>
      <c r="C9696" t="s">
        <v>129</v>
      </c>
      <c r="D9696" t="s">
        <v>130</v>
      </c>
      <c r="E9696">
        <v>2023</v>
      </c>
      <c r="F9696" s="1">
        <v>71</v>
      </c>
      <c r="G9696">
        <v>1960</v>
      </c>
      <c r="H9696">
        <f>AVERAGEIFS(Table1[value],Table1[IndicatorCode],Table1[[#This Row],[IndicatorCode]])</f>
        <v>72.66514008620689</v>
      </c>
      <c r="I9696" cm="1">
        <f t="array" ref="I9696">_xlfn.STDEV.P(IF(Table1[IndicatorCode]=Table1[[#This Row],[IndicatorCode]],Table1[value]))</f>
        <v>6.3409496564024987</v>
      </c>
      <c r="J9696">
        <f>(Table1[[#This Row],[value]] - Table1[[#This Row],[mean]]) / Table1[[#This Row],[std_dev]]</f>
        <v>-0.2626010576389905</v>
      </c>
      <c r="K9696">
        <f>AVERAGEIF(Table1[CountryCode],Table1[[#This Row],[CountryCode]],Table1[z-score])</f>
        <v>-0.61357720348444234</v>
      </c>
      <c r="L9696" t="e">
        <f>VLOOKUP(Table1[[#This Row],[CountryCode]],[1]!Table1[#All],1,FALSE)</f>
        <v>#REF!</v>
      </c>
    </row>
    <row r="9697" spans="1:12" hidden="1" x14ac:dyDescent="0.3">
      <c r="A9697" t="s">
        <v>87</v>
      </c>
      <c r="B9697" t="s">
        <v>88</v>
      </c>
      <c r="C9697" t="s">
        <v>129</v>
      </c>
      <c r="D9697" t="s">
        <v>130</v>
      </c>
      <c r="E9697">
        <v>1960</v>
      </c>
      <c r="F9697" s="1">
        <v>61</v>
      </c>
      <c r="G9697">
        <v>1960</v>
      </c>
      <c r="H9697">
        <f>AVERAGEIFS(Table1[value],Table1[IndicatorCode],Table1[[#This Row],[IndicatorCode]])</f>
        <v>72.66514008620689</v>
      </c>
      <c r="I9697" cm="1">
        <f t="array" ref="I9697">_xlfn.STDEV.P(IF(Table1[IndicatorCode]=Table1[[#This Row],[IndicatorCode]],Table1[value]))</f>
        <v>6.3409496564024987</v>
      </c>
      <c r="J9697">
        <f>(Table1[[#This Row],[value]] - Table1[[#This Row],[mean]]) / Table1[[#This Row],[std_dev]]</f>
        <v>-1.8396519004733811</v>
      </c>
      <c r="K9697">
        <f>AVERAGEIF(Table1[CountryCode],Table1[[#This Row],[CountryCode]],Table1[z-score])</f>
        <v>-0.44487406992812789</v>
      </c>
      <c r="L9697" t="e">
        <f>VLOOKUP(Table1[[#This Row],[CountryCode]],[1]!Table1[#All],1,FALSE)</f>
        <v>#REF!</v>
      </c>
    </row>
    <row r="9698" spans="1:12" hidden="1" x14ac:dyDescent="0.3">
      <c r="A9698" t="s">
        <v>87</v>
      </c>
      <c r="B9698" t="s">
        <v>88</v>
      </c>
      <c r="C9698" t="s">
        <v>129</v>
      </c>
      <c r="D9698" t="s">
        <v>130</v>
      </c>
      <c r="E9698">
        <v>1961</v>
      </c>
      <c r="F9698" s="1">
        <v>62</v>
      </c>
      <c r="G9698">
        <v>1960</v>
      </c>
      <c r="H9698">
        <f>AVERAGEIFS(Table1[value],Table1[IndicatorCode],Table1[[#This Row],[IndicatorCode]])</f>
        <v>72.66514008620689</v>
      </c>
      <c r="I9698" cm="1">
        <f t="array" ref="I9698">_xlfn.STDEV.P(IF(Table1[IndicatorCode]=Table1[[#This Row],[IndicatorCode]],Table1[value]))</f>
        <v>6.3409496564024987</v>
      </c>
      <c r="J9698">
        <f>(Table1[[#This Row],[value]] - Table1[[#This Row],[mean]]) / Table1[[#This Row],[std_dev]]</f>
        <v>-1.681946816189942</v>
      </c>
      <c r="K9698">
        <f>AVERAGEIF(Table1[CountryCode],Table1[[#This Row],[CountryCode]],Table1[z-score])</f>
        <v>-0.44487406992812789</v>
      </c>
      <c r="L9698" t="e">
        <f>VLOOKUP(Table1[[#This Row],[CountryCode]],[1]!Table1[#All],1,FALSE)</f>
        <v>#REF!</v>
      </c>
    </row>
    <row r="9699" spans="1:12" hidden="1" x14ac:dyDescent="0.3">
      <c r="A9699" t="s">
        <v>87</v>
      </c>
      <c r="B9699" t="s">
        <v>88</v>
      </c>
      <c r="C9699" t="s">
        <v>129</v>
      </c>
      <c r="D9699" t="s">
        <v>130</v>
      </c>
      <c r="E9699">
        <v>1962</v>
      </c>
      <c r="F9699" s="1">
        <v>59</v>
      </c>
      <c r="G9699">
        <v>1960</v>
      </c>
      <c r="H9699">
        <f>AVERAGEIFS(Table1[value],Table1[IndicatorCode],Table1[[#This Row],[IndicatorCode]])</f>
        <v>72.66514008620689</v>
      </c>
      <c r="I9699" cm="1">
        <f t="array" ref="I9699">_xlfn.STDEV.P(IF(Table1[IndicatorCode]=Table1[[#This Row],[IndicatorCode]],Table1[value]))</f>
        <v>6.3409496564024987</v>
      </c>
      <c r="J9699">
        <f>(Table1[[#This Row],[value]] - Table1[[#This Row],[mean]]) / Table1[[#This Row],[std_dev]]</f>
        <v>-2.1550620690402593</v>
      </c>
      <c r="K9699">
        <f>AVERAGEIF(Table1[CountryCode],Table1[[#This Row],[CountryCode]],Table1[z-score])</f>
        <v>-0.44487406992812789</v>
      </c>
      <c r="L9699" t="e">
        <f>VLOOKUP(Table1[[#This Row],[CountryCode]],[1]!Table1[#All],1,FALSE)</f>
        <v>#REF!</v>
      </c>
    </row>
    <row r="9700" spans="1:12" hidden="1" x14ac:dyDescent="0.3">
      <c r="A9700" t="s">
        <v>87</v>
      </c>
      <c r="B9700" t="s">
        <v>88</v>
      </c>
      <c r="C9700" t="s">
        <v>129</v>
      </c>
      <c r="D9700" t="s">
        <v>130</v>
      </c>
      <c r="E9700">
        <v>1963</v>
      </c>
      <c r="F9700" s="1">
        <v>61</v>
      </c>
      <c r="G9700">
        <v>1960</v>
      </c>
      <c r="H9700">
        <f>AVERAGEIFS(Table1[value],Table1[IndicatorCode],Table1[[#This Row],[IndicatorCode]])</f>
        <v>72.66514008620689</v>
      </c>
      <c r="I9700" cm="1">
        <f t="array" ref="I9700">_xlfn.STDEV.P(IF(Table1[IndicatorCode]=Table1[[#This Row],[IndicatorCode]],Table1[value]))</f>
        <v>6.3409496564024987</v>
      </c>
      <c r="J9700">
        <f>(Table1[[#This Row],[value]] - Table1[[#This Row],[mean]]) / Table1[[#This Row],[std_dev]]</f>
        <v>-1.8396519004733811</v>
      </c>
      <c r="K9700">
        <f>AVERAGEIF(Table1[CountryCode],Table1[[#This Row],[CountryCode]],Table1[z-score])</f>
        <v>-0.44487406992812789</v>
      </c>
      <c r="L9700" t="e">
        <f>VLOOKUP(Table1[[#This Row],[CountryCode]],[1]!Table1[#All],1,FALSE)</f>
        <v>#REF!</v>
      </c>
    </row>
    <row r="9701" spans="1:12" hidden="1" x14ac:dyDescent="0.3">
      <c r="A9701" t="s">
        <v>87</v>
      </c>
      <c r="B9701" t="s">
        <v>88</v>
      </c>
      <c r="C9701" t="s">
        <v>129</v>
      </c>
      <c r="D9701" t="s">
        <v>130</v>
      </c>
      <c r="E9701">
        <v>1964</v>
      </c>
      <c r="F9701" s="1">
        <v>62</v>
      </c>
      <c r="G9701">
        <v>1960</v>
      </c>
      <c r="H9701">
        <f>AVERAGEIFS(Table1[value],Table1[IndicatorCode],Table1[[#This Row],[IndicatorCode]])</f>
        <v>72.66514008620689</v>
      </c>
      <c r="I9701" cm="1">
        <f t="array" ref="I9701">_xlfn.STDEV.P(IF(Table1[IndicatorCode]=Table1[[#This Row],[IndicatorCode]],Table1[value]))</f>
        <v>6.3409496564024987</v>
      </c>
      <c r="J9701">
        <f>(Table1[[#This Row],[value]] - Table1[[#This Row],[mean]]) / Table1[[#This Row],[std_dev]]</f>
        <v>-1.681946816189942</v>
      </c>
      <c r="K9701">
        <f>AVERAGEIF(Table1[CountryCode],Table1[[#This Row],[CountryCode]],Table1[z-score])</f>
        <v>-0.44487406992812789</v>
      </c>
      <c r="L9701" t="e">
        <f>VLOOKUP(Table1[[#This Row],[CountryCode]],[1]!Table1[#All],1,FALSE)</f>
        <v>#REF!</v>
      </c>
    </row>
    <row r="9702" spans="1:12" hidden="1" x14ac:dyDescent="0.3">
      <c r="A9702" t="s">
        <v>87</v>
      </c>
      <c r="B9702" t="s">
        <v>88</v>
      </c>
      <c r="C9702" t="s">
        <v>129</v>
      </c>
      <c r="D9702" t="s">
        <v>130</v>
      </c>
      <c r="E9702">
        <v>1965</v>
      </c>
      <c r="F9702" s="1">
        <v>63</v>
      </c>
      <c r="G9702">
        <v>1960</v>
      </c>
      <c r="H9702">
        <f>AVERAGEIFS(Table1[value],Table1[IndicatorCode],Table1[[#This Row],[IndicatorCode]])</f>
        <v>72.66514008620689</v>
      </c>
      <c r="I9702" cm="1">
        <f t="array" ref="I9702">_xlfn.STDEV.P(IF(Table1[IndicatorCode]=Table1[[#This Row],[IndicatorCode]],Table1[value]))</f>
        <v>6.3409496564024987</v>
      </c>
      <c r="J9702">
        <f>(Table1[[#This Row],[value]] - Table1[[#This Row],[mean]]) / Table1[[#This Row],[std_dev]]</f>
        <v>-1.5242417319065029</v>
      </c>
      <c r="K9702">
        <f>AVERAGEIF(Table1[CountryCode],Table1[[#This Row],[CountryCode]],Table1[z-score])</f>
        <v>-0.44487406992812789</v>
      </c>
      <c r="L9702" t="e">
        <f>VLOOKUP(Table1[[#This Row],[CountryCode]],[1]!Table1[#All],1,FALSE)</f>
        <v>#REF!</v>
      </c>
    </row>
    <row r="9703" spans="1:12" hidden="1" x14ac:dyDescent="0.3">
      <c r="A9703" t="s">
        <v>87</v>
      </c>
      <c r="B9703" t="s">
        <v>88</v>
      </c>
      <c r="C9703" t="s">
        <v>129</v>
      </c>
      <c r="D9703" t="s">
        <v>130</v>
      </c>
      <c r="E9703">
        <v>1966</v>
      </c>
      <c r="F9703" s="1">
        <v>63</v>
      </c>
      <c r="G9703">
        <v>1960</v>
      </c>
      <c r="H9703">
        <f>AVERAGEIFS(Table1[value],Table1[IndicatorCode],Table1[[#This Row],[IndicatorCode]])</f>
        <v>72.66514008620689</v>
      </c>
      <c r="I9703" cm="1">
        <f t="array" ref="I9703">_xlfn.STDEV.P(IF(Table1[IndicatorCode]=Table1[[#This Row],[IndicatorCode]],Table1[value]))</f>
        <v>6.3409496564024987</v>
      </c>
      <c r="J9703">
        <f>(Table1[[#This Row],[value]] - Table1[[#This Row],[mean]]) / Table1[[#This Row],[std_dev]]</f>
        <v>-1.5242417319065029</v>
      </c>
      <c r="K9703">
        <f>AVERAGEIF(Table1[CountryCode],Table1[[#This Row],[CountryCode]],Table1[z-score])</f>
        <v>-0.44487406992812789</v>
      </c>
      <c r="L9703" t="e">
        <f>VLOOKUP(Table1[[#This Row],[CountryCode]],[1]!Table1[#All],1,FALSE)</f>
        <v>#REF!</v>
      </c>
    </row>
    <row r="9704" spans="1:12" hidden="1" x14ac:dyDescent="0.3">
      <c r="A9704" t="s">
        <v>87</v>
      </c>
      <c r="B9704" t="s">
        <v>88</v>
      </c>
      <c r="C9704" t="s">
        <v>129</v>
      </c>
      <c r="D9704" t="s">
        <v>130</v>
      </c>
      <c r="E9704">
        <v>1967</v>
      </c>
      <c r="F9704" s="1">
        <v>64</v>
      </c>
      <c r="G9704">
        <v>1970</v>
      </c>
      <c r="H9704">
        <f>AVERAGEIFS(Table1[value],Table1[IndicatorCode],Table1[[#This Row],[IndicatorCode]])</f>
        <v>72.66514008620689</v>
      </c>
      <c r="I9704" cm="1">
        <f t="array" ref="I9704">_xlfn.STDEV.P(IF(Table1[IndicatorCode]=Table1[[#This Row],[IndicatorCode]],Table1[value]))</f>
        <v>6.3409496564024987</v>
      </c>
      <c r="J9704">
        <f>(Table1[[#This Row],[value]] - Table1[[#This Row],[mean]]) / Table1[[#This Row],[std_dev]]</f>
        <v>-1.3665366476230638</v>
      </c>
      <c r="K9704">
        <f>AVERAGEIF(Table1[CountryCode],Table1[[#This Row],[CountryCode]],Table1[z-score])</f>
        <v>-0.44487406992812789</v>
      </c>
      <c r="L9704" t="e">
        <f>VLOOKUP(Table1[[#This Row],[CountryCode]],[1]!Table1[#All],1,FALSE)</f>
        <v>#REF!</v>
      </c>
    </row>
    <row r="9705" spans="1:12" hidden="1" x14ac:dyDescent="0.3">
      <c r="A9705" t="s">
        <v>87</v>
      </c>
      <c r="B9705" t="s">
        <v>88</v>
      </c>
      <c r="C9705" t="s">
        <v>129</v>
      </c>
      <c r="D9705" t="s">
        <v>130</v>
      </c>
      <c r="E9705">
        <v>1968</v>
      </c>
      <c r="F9705" s="1">
        <v>65</v>
      </c>
      <c r="G9705">
        <v>1970</v>
      </c>
      <c r="H9705">
        <f>AVERAGEIFS(Table1[value],Table1[IndicatorCode],Table1[[#This Row],[IndicatorCode]])</f>
        <v>72.66514008620689</v>
      </c>
      <c r="I9705" cm="1">
        <f t="array" ref="I9705">_xlfn.STDEV.P(IF(Table1[IndicatorCode]=Table1[[#This Row],[IndicatorCode]],Table1[value]))</f>
        <v>6.3409496564024987</v>
      </c>
      <c r="J9705">
        <f>(Table1[[#This Row],[value]] - Table1[[#This Row],[mean]]) / Table1[[#This Row],[std_dev]]</f>
        <v>-1.2088315633396249</v>
      </c>
      <c r="K9705">
        <f>AVERAGEIF(Table1[CountryCode],Table1[[#This Row],[CountryCode]],Table1[z-score])</f>
        <v>-0.44487406992812789</v>
      </c>
      <c r="L9705" t="e">
        <f>VLOOKUP(Table1[[#This Row],[CountryCode]],[1]!Table1[#All],1,FALSE)</f>
        <v>#REF!</v>
      </c>
    </row>
    <row r="9706" spans="1:12" hidden="1" x14ac:dyDescent="0.3">
      <c r="A9706" t="s">
        <v>87</v>
      </c>
      <c r="B9706" t="s">
        <v>88</v>
      </c>
      <c r="C9706" t="s">
        <v>129</v>
      </c>
      <c r="D9706" t="s">
        <v>130</v>
      </c>
      <c r="E9706">
        <v>1969</v>
      </c>
      <c r="F9706" s="1">
        <v>64</v>
      </c>
      <c r="G9706">
        <v>1970</v>
      </c>
      <c r="H9706">
        <f>AVERAGEIFS(Table1[value],Table1[IndicatorCode],Table1[[#This Row],[IndicatorCode]])</f>
        <v>72.66514008620689</v>
      </c>
      <c r="I9706" cm="1">
        <f t="array" ref="I9706">_xlfn.STDEV.P(IF(Table1[IndicatorCode]=Table1[[#This Row],[IndicatorCode]],Table1[value]))</f>
        <v>6.3409496564024987</v>
      </c>
      <c r="J9706">
        <f>(Table1[[#This Row],[value]] - Table1[[#This Row],[mean]]) / Table1[[#This Row],[std_dev]]</f>
        <v>-1.3665366476230638</v>
      </c>
      <c r="K9706">
        <f>AVERAGEIF(Table1[CountryCode],Table1[[#This Row],[CountryCode]],Table1[z-score])</f>
        <v>-0.44487406992812789</v>
      </c>
      <c r="L9706" t="e">
        <f>VLOOKUP(Table1[[#This Row],[CountryCode]],[1]!Table1[#All],1,FALSE)</f>
        <v>#REF!</v>
      </c>
    </row>
    <row r="9707" spans="1:12" hidden="1" x14ac:dyDescent="0.3">
      <c r="A9707" t="s">
        <v>87</v>
      </c>
      <c r="B9707" t="s">
        <v>88</v>
      </c>
      <c r="C9707" t="s">
        <v>129</v>
      </c>
      <c r="D9707" t="s">
        <v>130</v>
      </c>
      <c r="E9707">
        <v>1970</v>
      </c>
      <c r="F9707" s="1">
        <v>65</v>
      </c>
      <c r="G9707">
        <v>1970</v>
      </c>
      <c r="H9707">
        <f>AVERAGEIFS(Table1[value],Table1[IndicatorCode],Table1[[#This Row],[IndicatorCode]])</f>
        <v>72.66514008620689</v>
      </c>
      <c r="I9707" cm="1">
        <f t="array" ref="I9707">_xlfn.STDEV.P(IF(Table1[IndicatorCode]=Table1[[#This Row],[IndicatorCode]],Table1[value]))</f>
        <v>6.3409496564024987</v>
      </c>
      <c r="J9707">
        <f>(Table1[[#This Row],[value]] - Table1[[#This Row],[mean]]) / Table1[[#This Row],[std_dev]]</f>
        <v>-1.2088315633396249</v>
      </c>
      <c r="K9707">
        <f>AVERAGEIF(Table1[CountryCode],Table1[[#This Row],[CountryCode]],Table1[z-score])</f>
        <v>-0.44487406992812789</v>
      </c>
      <c r="L9707" t="e">
        <f>VLOOKUP(Table1[[#This Row],[CountryCode]],[1]!Table1[#All],1,FALSE)</f>
        <v>#REF!</v>
      </c>
    </row>
    <row r="9708" spans="1:12" hidden="1" x14ac:dyDescent="0.3">
      <c r="A9708" t="s">
        <v>87</v>
      </c>
      <c r="B9708" t="s">
        <v>88</v>
      </c>
      <c r="C9708" t="s">
        <v>129</v>
      </c>
      <c r="D9708" t="s">
        <v>130</v>
      </c>
      <c r="E9708">
        <v>1971</v>
      </c>
      <c r="F9708" s="1">
        <v>65</v>
      </c>
      <c r="G9708">
        <v>1970</v>
      </c>
      <c r="H9708">
        <f>AVERAGEIFS(Table1[value],Table1[IndicatorCode],Table1[[#This Row],[IndicatorCode]])</f>
        <v>72.66514008620689</v>
      </c>
      <c r="I9708" cm="1">
        <f t="array" ref="I9708">_xlfn.STDEV.P(IF(Table1[IndicatorCode]=Table1[[#This Row],[IndicatorCode]],Table1[value]))</f>
        <v>6.3409496564024987</v>
      </c>
      <c r="J9708">
        <f>(Table1[[#This Row],[value]] - Table1[[#This Row],[mean]]) / Table1[[#This Row],[std_dev]]</f>
        <v>-1.2088315633396249</v>
      </c>
      <c r="K9708">
        <f>AVERAGEIF(Table1[CountryCode],Table1[[#This Row],[CountryCode]],Table1[z-score])</f>
        <v>-0.44487406992812789</v>
      </c>
      <c r="L9708" t="e">
        <f>VLOOKUP(Table1[[#This Row],[CountryCode]],[1]!Table1[#All],1,FALSE)</f>
        <v>#REF!</v>
      </c>
    </row>
    <row r="9709" spans="1:12" hidden="1" x14ac:dyDescent="0.3">
      <c r="A9709" t="s">
        <v>87</v>
      </c>
      <c r="B9709" t="s">
        <v>88</v>
      </c>
      <c r="C9709" t="s">
        <v>129</v>
      </c>
      <c r="D9709" t="s">
        <v>130</v>
      </c>
      <c r="E9709">
        <v>1972</v>
      </c>
      <c r="F9709" s="1">
        <v>66</v>
      </c>
      <c r="G9709">
        <v>1970</v>
      </c>
      <c r="H9709">
        <f>AVERAGEIFS(Table1[value],Table1[IndicatorCode],Table1[[#This Row],[IndicatorCode]])</f>
        <v>72.66514008620689</v>
      </c>
      <c r="I9709" cm="1">
        <f t="array" ref="I9709">_xlfn.STDEV.P(IF(Table1[IndicatorCode]=Table1[[#This Row],[IndicatorCode]],Table1[value]))</f>
        <v>6.3409496564024987</v>
      </c>
      <c r="J9709">
        <f>(Table1[[#This Row],[value]] - Table1[[#This Row],[mean]]) / Table1[[#This Row],[std_dev]]</f>
        <v>-1.0511264790561858</v>
      </c>
      <c r="K9709">
        <f>AVERAGEIF(Table1[CountryCode],Table1[[#This Row],[CountryCode]],Table1[z-score])</f>
        <v>-0.44487406992812789</v>
      </c>
      <c r="L9709" t="e">
        <f>VLOOKUP(Table1[[#This Row],[CountryCode]],[1]!Table1[#All],1,FALSE)</f>
        <v>#REF!</v>
      </c>
    </row>
    <row r="9710" spans="1:12" hidden="1" x14ac:dyDescent="0.3">
      <c r="A9710" t="s">
        <v>87</v>
      </c>
      <c r="B9710" t="s">
        <v>88</v>
      </c>
      <c r="C9710" t="s">
        <v>129</v>
      </c>
      <c r="D9710" t="s">
        <v>130</v>
      </c>
      <c r="E9710">
        <v>1973</v>
      </c>
      <c r="F9710" s="1">
        <v>67</v>
      </c>
      <c r="G9710">
        <v>1970</v>
      </c>
      <c r="H9710">
        <f>AVERAGEIFS(Table1[value],Table1[IndicatorCode],Table1[[#This Row],[IndicatorCode]])</f>
        <v>72.66514008620689</v>
      </c>
      <c r="I9710" cm="1">
        <f t="array" ref="I9710">_xlfn.STDEV.P(IF(Table1[IndicatorCode]=Table1[[#This Row],[IndicatorCode]],Table1[value]))</f>
        <v>6.3409496564024987</v>
      </c>
      <c r="J9710">
        <f>(Table1[[#This Row],[value]] - Table1[[#This Row],[mean]]) / Table1[[#This Row],[std_dev]]</f>
        <v>-0.89342139477274674</v>
      </c>
      <c r="K9710">
        <f>AVERAGEIF(Table1[CountryCode],Table1[[#This Row],[CountryCode]],Table1[z-score])</f>
        <v>-0.44487406992812789</v>
      </c>
      <c r="L9710" t="e">
        <f>VLOOKUP(Table1[[#This Row],[CountryCode]],[1]!Table1[#All],1,FALSE)</f>
        <v>#REF!</v>
      </c>
    </row>
    <row r="9711" spans="1:12" hidden="1" x14ac:dyDescent="0.3">
      <c r="A9711" t="s">
        <v>87</v>
      </c>
      <c r="B9711" t="s">
        <v>88</v>
      </c>
      <c r="C9711" t="s">
        <v>129</v>
      </c>
      <c r="D9711" t="s">
        <v>130</v>
      </c>
      <c r="E9711">
        <v>1974</v>
      </c>
      <c r="F9711" s="1">
        <v>67</v>
      </c>
      <c r="G9711">
        <v>1970</v>
      </c>
      <c r="H9711">
        <f>AVERAGEIFS(Table1[value],Table1[IndicatorCode],Table1[[#This Row],[IndicatorCode]])</f>
        <v>72.66514008620689</v>
      </c>
      <c r="I9711" cm="1">
        <f t="array" ref="I9711">_xlfn.STDEV.P(IF(Table1[IndicatorCode]=Table1[[#This Row],[IndicatorCode]],Table1[value]))</f>
        <v>6.3409496564024987</v>
      </c>
      <c r="J9711">
        <f>(Table1[[#This Row],[value]] - Table1[[#This Row],[mean]]) / Table1[[#This Row],[std_dev]]</f>
        <v>-0.89342139477274674</v>
      </c>
      <c r="K9711">
        <f>AVERAGEIF(Table1[CountryCode],Table1[[#This Row],[CountryCode]],Table1[z-score])</f>
        <v>-0.44487406992812789</v>
      </c>
      <c r="L9711" t="e">
        <f>VLOOKUP(Table1[[#This Row],[CountryCode]],[1]!Table1[#All],1,FALSE)</f>
        <v>#REF!</v>
      </c>
    </row>
    <row r="9712" spans="1:12" hidden="1" x14ac:dyDescent="0.3">
      <c r="A9712" t="s">
        <v>87</v>
      </c>
      <c r="B9712" t="s">
        <v>88</v>
      </c>
      <c r="C9712" t="s">
        <v>129</v>
      </c>
      <c r="D9712" t="s">
        <v>130</v>
      </c>
      <c r="E9712">
        <v>1975</v>
      </c>
      <c r="F9712" s="1">
        <v>67</v>
      </c>
      <c r="G9712">
        <v>1970</v>
      </c>
      <c r="H9712">
        <f>AVERAGEIFS(Table1[value],Table1[IndicatorCode],Table1[[#This Row],[IndicatorCode]])</f>
        <v>72.66514008620689</v>
      </c>
      <c r="I9712" cm="1">
        <f t="array" ref="I9712">_xlfn.STDEV.P(IF(Table1[IndicatorCode]=Table1[[#This Row],[IndicatorCode]],Table1[value]))</f>
        <v>6.3409496564024987</v>
      </c>
      <c r="J9712">
        <f>(Table1[[#This Row],[value]] - Table1[[#This Row],[mean]]) / Table1[[#This Row],[std_dev]]</f>
        <v>-0.89342139477274674</v>
      </c>
      <c r="K9712">
        <f>AVERAGEIF(Table1[CountryCode],Table1[[#This Row],[CountryCode]],Table1[z-score])</f>
        <v>-0.44487406992812789</v>
      </c>
      <c r="L9712" t="e">
        <f>VLOOKUP(Table1[[#This Row],[CountryCode]],[1]!Table1[#All],1,FALSE)</f>
        <v>#REF!</v>
      </c>
    </row>
    <row r="9713" spans="1:12" hidden="1" x14ac:dyDescent="0.3">
      <c r="A9713" t="s">
        <v>87</v>
      </c>
      <c r="B9713" t="s">
        <v>88</v>
      </c>
      <c r="C9713" t="s">
        <v>129</v>
      </c>
      <c r="D9713" t="s">
        <v>130</v>
      </c>
      <c r="E9713">
        <v>1976</v>
      </c>
      <c r="F9713" s="1">
        <v>68</v>
      </c>
      <c r="G9713">
        <v>1970</v>
      </c>
      <c r="H9713">
        <f>AVERAGEIFS(Table1[value],Table1[IndicatorCode],Table1[[#This Row],[IndicatorCode]])</f>
        <v>72.66514008620689</v>
      </c>
      <c r="I9713" cm="1">
        <f t="array" ref="I9713">_xlfn.STDEV.P(IF(Table1[IndicatorCode]=Table1[[#This Row],[IndicatorCode]],Table1[value]))</f>
        <v>6.3409496564024987</v>
      </c>
      <c r="J9713">
        <f>(Table1[[#This Row],[value]] - Table1[[#This Row],[mean]]) / Table1[[#This Row],[std_dev]]</f>
        <v>-0.73571631048930775</v>
      </c>
      <c r="K9713">
        <f>AVERAGEIF(Table1[CountryCode],Table1[[#This Row],[CountryCode]],Table1[z-score])</f>
        <v>-0.44487406992812789</v>
      </c>
      <c r="L9713" t="e">
        <f>VLOOKUP(Table1[[#This Row],[CountryCode]],[1]!Table1[#All],1,FALSE)</f>
        <v>#REF!</v>
      </c>
    </row>
    <row r="9714" spans="1:12" hidden="1" x14ac:dyDescent="0.3">
      <c r="A9714" t="s">
        <v>87</v>
      </c>
      <c r="B9714" t="s">
        <v>88</v>
      </c>
      <c r="C9714" t="s">
        <v>129</v>
      </c>
      <c r="D9714" t="s">
        <v>130</v>
      </c>
      <c r="E9714">
        <v>1977</v>
      </c>
      <c r="F9714" s="1">
        <v>68</v>
      </c>
      <c r="G9714">
        <v>1980</v>
      </c>
      <c r="H9714">
        <f>AVERAGEIFS(Table1[value],Table1[IndicatorCode],Table1[[#This Row],[IndicatorCode]])</f>
        <v>72.66514008620689</v>
      </c>
      <c r="I9714" cm="1">
        <f t="array" ref="I9714">_xlfn.STDEV.P(IF(Table1[IndicatorCode]=Table1[[#This Row],[IndicatorCode]],Table1[value]))</f>
        <v>6.3409496564024987</v>
      </c>
      <c r="J9714">
        <f>(Table1[[#This Row],[value]] - Table1[[#This Row],[mean]]) / Table1[[#This Row],[std_dev]]</f>
        <v>-0.73571631048930775</v>
      </c>
      <c r="K9714">
        <f>AVERAGEIF(Table1[CountryCode],Table1[[#This Row],[CountryCode]],Table1[z-score])</f>
        <v>-0.44487406992812789</v>
      </c>
      <c r="L9714" t="e">
        <f>VLOOKUP(Table1[[#This Row],[CountryCode]],[1]!Table1[#All],1,FALSE)</f>
        <v>#REF!</v>
      </c>
    </row>
    <row r="9715" spans="1:12" hidden="1" x14ac:dyDescent="0.3">
      <c r="A9715" t="s">
        <v>87</v>
      </c>
      <c r="B9715" t="s">
        <v>88</v>
      </c>
      <c r="C9715" t="s">
        <v>129</v>
      </c>
      <c r="D9715" t="s">
        <v>130</v>
      </c>
      <c r="E9715">
        <v>1978</v>
      </c>
      <c r="F9715" s="1">
        <v>69</v>
      </c>
      <c r="G9715">
        <v>1980</v>
      </c>
      <c r="H9715">
        <f>AVERAGEIFS(Table1[value],Table1[IndicatorCode],Table1[[#This Row],[IndicatorCode]])</f>
        <v>72.66514008620689</v>
      </c>
      <c r="I9715" cm="1">
        <f t="array" ref="I9715">_xlfn.STDEV.P(IF(Table1[IndicatorCode]=Table1[[#This Row],[IndicatorCode]],Table1[value]))</f>
        <v>6.3409496564024987</v>
      </c>
      <c r="J9715">
        <f>(Table1[[#This Row],[value]] - Table1[[#This Row],[mean]]) / Table1[[#This Row],[std_dev]]</f>
        <v>-0.57801122620586864</v>
      </c>
      <c r="K9715">
        <f>AVERAGEIF(Table1[CountryCode],Table1[[#This Row],[CountryCode]],Table1[z-score])</f>
        <v>-0.44487406992812789</v>
      </c>
      <c r="L9715" t="e">
        <f>VLOOKUP(Table1[[#This Row],[CountryCode]],[1]!Table1[#All],1,FALSE)</f>
        <v>#REF!</v>
      </c>
    </row>
    <row r="9716" spans="1:12" hidden="1" x14ac:dyDescent="0.3">
      <c r="A9716" t="s">
        <v>87</v>
      </c>
      <c r="B9716" t="s">
        <v>88</v>
      </c>
      <c r="C9716" t="s">
        <v>129</v>
      </c>
      <c r="D9716" t="s">
        <v>130</v>
      </c>
      <c r="E9716">
        <v>1979</v>
      </c>
      <c r="F9716" s="1">
        <v>69</v>
      </c>
      <c r="G9716">
        <v>1980</v>
      </c>
      <c r="H9716">
        <f>AVERAGEIFS(Table1[value],Table1[IndicatorCode],Table1[[#This Row],[IndicatorCode]])</f>
        <v>72.66514008620689</v>
      </c>
      <c r="I9716" cm="1">
        <f t="array" ref="I9716">_xlfn.STDEV.P(IF(Table1[IndicatorCode]=Table1[[#This Row],[IndicatorCode]],Table1[value]))</f>
        <v>6.3409496564024987</v>
      </c>
      <c r="J9716">
        <f>(Table1[[#This Row],[value]] - Table1[[#This Row],[mean]]) / Table1[[#This Row],[std_dev]]</f>
        <v>-0.57801122620586864</v>
      </c>
      <c r="K9716">
        <f>AVERAGEIF(Table1[CountryCode],Table1[[#This Row],[CountryCode]],Table1[z-score])</f>
        <v>-0.44487406992812789</v>
      </c>
      <c r="L9716" t="e">
        <f>VLOOKUP(Table1[[#This Row],[CountryCode]],[1]!Table1[#All],1,FALSE)</f>
        <v>#REF!</v>
      </c>
    </row>
    <row r="9717" spans="1:12" hidden="1" x14ac:dyDescent="0.3">
      <c r="A9717" t="s">
        <v>87</v>
      </c>
      <c r="B9717" t="s">
        <v>88</v>
      </c>
      <c r="C9717" t="s">
        <v>129</v>
      </c>
      <c r="D9717" t="s">
        <v>130</v>
      </c>
      <c r="E9717">
        <v>1980</v>
      </c>
      <c r="F9717" s="1">
        <v>69</v>
      </c>
      <c r="G9717">
        <v>1980</v>
      </c>
      <c r="H9717">
        <f>AVERAGEIFS(Table1[value],Table1[IndicatorCode],Table1[[#This Row],[IndicatorCode]])</f>
        <v>72.66514008620689</v>
      </c>
      <c r="I9717" cm="1">
        <f t="array" ref="I9717">_xlfn.STDEV.P(IF(Table1[IndicatorCode]=Table1[[#This Row],[IndicatorCode]],Table1[value]))</f>
        <v>6.3409496564024987</v>
      </c>
      <c r="J9717">
        <f>(Table1[[#This Row],[value]] - Table1[[#This Row],[mean]]) / Table1[[#This Row],[std_dev]]</f>
        <v>-0.57801122620586864</v>
      </c>
      <c r="K9717">
        <f>AVERAGEIF(Table1[CountryCode],Table1[[#This Row],[CountryCode]],Table1[z-score])</f>
        <v>-0.44487406992812789</v>
      </c>
      <c r="L9717" t="e">
        <f>VLOOKUP(Table1[[#This Row],[CountryCode]],[1]!Table1[#All],1,FALSE)</f>
        <v>#REF!</v>
      </c>
    </row>
    <row r="9718" spans="1:12" hidden="1" x14ac:dyDescent="0.3">
      <c r="A9718" t="s">
        <v>87</v>
      </c>
      <c r="B9718" t="s">
        <v>88</v>
      </c>
      <c r="C9718" t="s">
        <v>129</v>
      </c>
      <c r="D9718" t="s">
        <v>130</v>
      </c>
      <c r="E9718">
        <v>1981</v>
      </c>
      <c r="F9718" s="1">
        <v>69</v>
      </c>
      <c r="G9718">
        <v>1980</v>
      </c>
      <c r="H9718">
        <f>AVERAGEIFS(Table1[value],Table1[IndicatorCode],Table1[[#This Row],[IndicatorCode]])</f>
        <v>72.66514008620689</v>
      </c>
      <c r="I9718" cm="1">
        <f t="array" ref="I9718">_xlfn.STDEV.P(IF(Table1[IndicatorCode]=Table1[[#This Row],[IndicatorCode]],Table1[value]))</f>
        <v>6.3409496564024987</v>
      </c>
      <c r="J9718">
        <f>(Table1[[#This Row],[value]] - Table1[[#This Row],[mean]]) / Table1[[#This Row],[std_dev]]</f>
        <v>-0.57801122620586864</v>
      </c>
      <c r="K9718">
        <f>AVERAGEIF(Table1[CountryCode],Table1[[#This Row],[CountryCode]],Table1[z-score])</f>
        <v>-0.44487406992812789</v>
      </c>
      <c r="L9718" t="e">
        <f>VLOOKUP(Table1[[#This Row],[CountryCode]],[1]!Table1[#All],1,FALSE)</f>
        <v>#REF!</v>
      </c>
    </row>
    <row r="9719" spans="1:12" hidden="1" x14ac:dyDescent="0.3">
      <c r="A9719" t="s">
        <v>87</v>
      </c>
      <c r="B9719" t="s">
        <v>88</v>
      </c>
      <c r="C9719" t="s">
        <v>129</v>
      </c>
      <c r="D9719" t="s">
        <v>130</v>
      </c>
      <c r="E9719">
        <v>1982</v>
      </c>
      <c r="F9719" s="1">
        <v>70</v>
      </c>
      <c r="G9719">
        <v>1980</v>
      </c>
      <c r="H9719">
        <f>AVERAGEIFS(Table1[value],Table1[IndicatorCode],Table1[[#This Row],[IndicatorCode]])</f>
        <v>72.66514008620689</v>
      </c>
      <c r="I9719" cm="1">
        <f t="array" ref="I9719">_xlfn.STDEV.P(IF(Table1[IndicatorCode]=Table1[[#This Row],[IndicatorCode]],Table1[value]))</f>
        <v>6.3409496564024987</v>
      </c>
      <c r="J9719">
        <f>(Table1[[#This Row],[value]] - Table1[[#This Row],[mean]]) / Table1[[#This Row],[std_dev]]</f>
        <v>-0.4203061419224296</v>
      </c>
      <c r="K9719">
        <f>AVERAGEIF(Table1[CountryCode],Table1[[#This Row],[CountryCode]],Table1[z-score])</f>
        <v>-0.44487406992812789</v>
      </c>
      <c r="L9719" t="e">
        <f>VLOOKUP(Table1[[#This Row],[CountryCode]],[1]!Table1[#All],1,FALSE)</f>
        <v>#REF!</v>
      </c>
    </row>
    <row r="9720" spans="1:12" hidden="1" x14ac:dyDescent="0.3">
      <c r="A9720" t="s">
        <v>87</v>
      </c>
      <c r="B9720" t="s">
        <v>88</v>
      </c>
      <c r="C9720" t="s">
        <v>129</v>
      </c>
      <c r="D9720" t="s">
        <v>130</v>
      </c>
      <c r="E9720">
        <v>1983</v>
      </c>
      <c r="F9720" s="1">
        <v>70</v>
      </c>
      <c r="G9720">
        <v>1980</v>
      </c>
      <c r="H9720">
        <f>AVERAGEIFS(Table1[value],Table1[IndicatorCode],Table1[[#This Row],[IndicatorCode]])</f>
        <v>72.66514008620689</v>
      </c>
      <c r="I9720" cm="1">
        <f t="array" ref="I9720">_xlfn.STDEV.P(IF(Table1[IndicatorCode]=Table1[[#This Row],[IndicatorCode]],Table1[value]))</f>
        <v>6.3409496564024987</v>
      </c>
      <c r="J9720">
        <f>(Table1[[#This Row],[value]] - Table1[[#This Row],[mean]]) / Table1[[#This Row],[std_dev]]</f>
        <v>-0.4203061419224296</v>
      </c>
      <c r="K9720">
        <f>AVERAGEIF(Table1[CountryCode],Table1[[#This Row],[CountryCode]],Table1[z-score])</f>
        <v>-0.44487406992812789</v>
      </c>
      <c r="L9720" t="e">
        <f>VLOOKUP(Table1[[#This Row],[CountryCode]],[1]!Table1[#All],1,FALSE)</f>
        <v>#REF!</v>
      </c>
    </row>
    <row r="9721" spans="1:12" hidden="1" x14ac:dyDescent="0.3">
      <c r="A9721" t="s">
        <v>87</v>
      </c>
      <c r="B9721" t="s">
        <v>88</v>
      </c>
      <c r="C9721" t="s">
        <v>129</v>
      </c>
      <c r="D9721" t="s">
        <v>130</v>
      </c>
      <c r="E9721">
        <v>1984</v>
      </c>
      <c r="F9721" s="1">
        <v>70</v>
      </c>
      <c r="G9721">
        <v>1980</v>
      </c>
      <c r="H9721">
        <f>AVERAGEIFS(Table1[value],Table1[IndicatorCode],Table1[[#This Row],[IndicatorCode]])</f>
        <v>72.66514008620689</v>
      </c>
      <c r="I9721" cm="1">
        <f t="array" ref="I9721">_xlfn.STDEV.P(IF(Table1[IndicatorCode]=Table1[[#This Row],[IndicatorCode]],Table1[value]))</f>
        <v>6.3409496564024987</v>
      </c>
      <c r="J9721">
        <f>(Table1[[#This Row],[value]] - Table1[[#This Row],[mean]]) / Table1[[#This Row],[std_dev]]</f>
        <v>-0.4203061419224296</v>
      </c>
      <c r="K9721">
        <f>AVERAGEIF(Table1[CountryCode],Table1[[#This Row],[CountryCode]],Table1[z-score])</f>
        <v>-0.44487406992812789</v>
      </c>
      <c r="L9721" t="e">
        <f>VLOOKUP(Table1[[#This Row],[CountryCode]],[1]!Table1[#All],1,FALSE)</f>
        <v>#REF!</v>
      </c>
    </row>
    <row r="9722" spans="1:12" hidden="1" x14ac:dyDescent="0.3">
      <c r="A9722" t="s">
        <v>87</v>
      </c>
      <c r="B9722" t="s">
        <v>88</v>
      </c>
      <c r="C9722" t="s">
        <v>129</v>
      </c>
      <c r="D9722" t="s">
        <v>130</v>
      </c>
      <c r="E9722">
        <v>1985</v>
      </c>
      <c r="F9722" s="1">
        <v>70</v>
      </c>
      <c r="G9722">
        <v>1980</v>
      </c>
      <c r="H9722">
        <f>AVERAGEIFS(Table1[value],Table1[IndicatorCode],Table1[[#This Row],[IndicatorCode]])</f>
        <v>72.66514008620689</v>
      </c>
      <c r="I9722" cm="1">
        <f t="array" ref="I9722">_xlfn.STDEV.P(IF(Table1[IndicatorCode]=Table1[[#This Row],[IndicatorCode]],Table1[value]))</f>
        <v>6.3409496564024987</v>
      </c>
      <c r="J9722">
        <f>(Table1[[#This Row],[value]] - Table1[[#This Row],[mean]]) / Table1[[#This Row],[std_dev]]</f>
        <v>-0.4203061419224296</v>
      </c>
      <c r="K9722">
        <f>AVERAGEIF(Table1[CountryCode],Table1[[#This Row],[CountryCode]],Table1[z-score])</f>
        <v>-0.44487406992812789</v>
      </c>
      <c r="L9722" t="e">
        <f>VLOOKUP(Table1[[#This Row],[CountryCode]],[1]!Table1[#All],1,FALSE)</f>
        <v>#REF!</v>
      </c>
    </row>
    <row r="9723" spans="1:12" hidden="1" x14ac:dyDescent="0.3">
      <c r="A9723" t="s">
        <v>87</v>
      </c>
      <c r="B9723" t="s">
        <v>88</v>
      </c>
      <c r="C9723" t="s">
        <v>129</v>
      </c>
      <c r="D9723" t="s">
        <v>130</v>
      </c>
      <c r="E9723">
        <v>1986</v>
      </c>
      <c r="F9723" s="1">
        <v>70</v>
      </c>
      <c r="G9723">
        <v>1980</v>
      </c>
      <c r="H9723">
        <f>AVERAGEIFS(Table1[value],Table1[IndicatorCode],Table1[[#This Row],[IndicatorCode]])</f>
        <v>72.66514008620689</v>
      </c>
      <c r="I9723" cm="1">
        <f t="array" ref="I9723">_xlfn.STDEV.P(IF(Table1[IndicatorCode]=Table1[[#This Row],[IndicatorCode]],Table1[value]))</f>
        <v>6.3409496564024987</v>
      </c>
      <c r="J9723">
        <f>(Table1[[#This Row],[value]] - Table1[[#This Row],[mean]]) / Table1[[#This Row],[std_dev]]</f>
        <v>-0.4203061419224296</v>
      </c>
      <c r="K9723">
        <f>AVERAGEIF(Table1[CountryCode],Table1[[#This Row],[CountryCode]],Table1[z-score])</f>
        <v>-0.44487406992812789</v>
      </c>
      <c r="L9723" t="e">
        <f>VLOOKUP(Table1[[#This Row],[CountryCode]],[1]!Table1[#All],1,FALSE)</f>
        <v>#REF!</v>
      </c>
    </row>
    <row r="9724" spans="1:12" hidden="1" x14ac:dyDescent="0.3">
      <c r="A9724" t="s">
        <v>87</v>
      </c>
      <c r="B9724" t="s">
        <v>88</v>
      </c>
      <c r="C9724" t="s">
        <v>129</v>
      </c>
      <c r="D9724" t="s">
        <v>130</v>
      </c>
      <c r="E9724">
        <v>1987</v>
      </c>
      <c r="F9724" s="1">
        <v>70</v>
      </c>
      <c r="G9724">
        <v>1990</v>
      </c>
      <c r="H9724">
        <f>AVERAGEIFS(Table1[value],Table1[IndicatorCode],Table1[[#This Row],[IndicatorCode]])</f>
        <v>72.66514008620689</v>
      </c>
      <c r="I9724" cm="1">
        <f t="array" ref="I9724">_xlfn.STDEV.P(IF(Table1[IndicatorCode]=Table1[[#This Row],[IndicatorCode]],Table1[value]))</f>
        <v>6.3409496564024987</v>
      </c>
      <c r="J9724">
        <f>(Table1[[#This Row],[value]] - Table1[[#This Row],[mean]]) / Table1[[#This Row],[std_dev]]</f>
        <v>-0.4203061419224296</v>
      </c>
      <c r="K9724">
        <f>AVERAGEIF(Table1[CountryCode],Table1[[#This Row],[CountryCode]],Table1[z-score])</f>
        <v>-0.44487406992812789</v>
      </c>
      <c r="L9724" t="e">
        <f>VLOOKUP(Table1[[#This Row],[CountryCode]],[1]!Table1[#All],1,FALSE)</f>
        <v>#REF!</v>
      </c>
    </row>
    <row r="9725" spans="1:12" hidden="1" x14ac:dyDescent="0.3">
      <c r="A9725" t="s">
        <v>87</v>
      </c>
      <c r="B9725" t="s">
        <v>88</v>
      </c>
      <c r="C9725" t="s">
        <v>129</v>
      </c>
      <c r="D9725" t="s">
        <v>130</v>
      </c>
      <c r="E9725">
        <v>1988</v>
      </c>
      <c r="F9725" s="1">
        <v>70</v>
      </c>
      <c r="G9725">
        <v>1990</v>
      </c>
      <c r="H9725">
        <f>AVERAGEIFS(Table1[value],Table1[IndicatorCode],Table1[[#This Row],[IndicatorCode]])</f>
        <v>72.66514008620689</v>
      </c>
      <c r="I9725" cm="1">
        <f t="array" ref="I9725">_xlfn.STDEV.P(IF(Table1[IndicatorCode]=Table1[[#This Row],[IndicatorCode]],Table1[value]))</f>
        <v>6.3409496564024987</v>
      </c>
      <c r="J9725">
        <f>(Table1[[#This Row],[value]] - Table1[[#This Row],[mean]]) / Table1[[#This Row],[std_dev]]</f>
        <v>-0.4203061419224296</v>
      </c>
      <c r="K9725">
        <f>AVERAGEIF(Table1[CountryCode],Table1[[#This Row],[CountryCode]],Table1[z-score])</f>
        <v>-0.44487406992812789</v>
      </c>
      <c r="L9725" t="e">
        <f>VLOOKUP(Table1[[#This Row],[CountryCode]],[1]!Table1[#All],1,FALSE)</f>
        <v>#REF!</v>
      </c>
    </row>
    <row r="9726" spans="1:12" hidden="1" x14ac:dyDescent="0.3">
      <c r="A9726" t="s">
        <v>87</v>
      </c>
      <c r="B9726" t="s">
        <v>88</v>
      </c>
      <c r="C9726" t="s">
        <v>129</v>
      </c>
      <c r="D9726" t="s">
        <v>130</v>
      </c>
      <c r="E9726">
        <v>1989</v>
      </c>
      <c r="F9726" s="1">
        <v>71</v>
      </c>
      <c r="G9726">
        <v>1990</v>
      </c>
      <c r="H9726">
        <f>AVERAGEIFS(Table1[value],Table1[IndicatorCode],Table1[[#This Row],[IndicatorCode]])</f>
        <v>72.66514008620689</v>
      </c>
      <c r="I9726" cm="1">
        <f t="array" ref="I9726">_xlfn.STDEV.P(IF(Table1[IndicatorCode]=Table1[[#This Row],[IndicatorCode]],Table1[value]))</f>
        <v>6.3409496564024987</v>
      </c>
      <c r="J9726">
        <f>(Table1[[#This Row],[value]] - Table1[[#This Row],[mean]]) / Table1[[#This Row],[std_dev]]</f>
        <v>-0.2626010576389905</v>
      </c>
      <c r="K9726">
        <f>AVERAGEIF(Table1[CountryCode],Table1[[#This Row],[CountryCode]],Table1[z-score])</f>
        <v>-0.44487406992812789</v>
      </c>
      <c r="L9726" t="e">
        <f>VLOOKUP(Table1[[#This Row],[CountryCode]],[1]!Table1[#All],1,FALSE)</f>
        <v>#REF!</v>
      </c>
    </row>
    <row r="9727" spans="1:12" hidden="1" x14ac:dyDescent="0.3">
      <c r="A9727" t="s">
        <v>87</v>
      </c>
      <c r="B9727" t="s">
        <v>88</v>
      </c>
      <c r="C9727" t="s">
        <v>129</v>
      </c>
      <c r="D9727" t="s">
        <v>130</v>
      </c>
      <c r="E9727">
        <v>1990</v>
      </c>
      <c r="F9727" s="1">
        <v>71</v>
      </c>
      <c r="G9727">
        <v>1990</v>
      </c>
      <c r="H9727">
        <f>AVERAGEIFS(Table1[value],Table1[IndicatorCode],Table1[[#This Row],[IndicatorCode]])</f>
        <v>72.66514008620689</v>
      </c>
      <c r="I9727" cm="1">
        <f t="array" ref="I9727">_xlfn.STDEV.P(IF(Table1[IndicatorCode]=Table1[[#This Row],[IndicatorCode]],Table1[value]))</f>
        <v>6.3409496564024987</v>
      </c>
      <c r="J9727">
        <f>(Table1[[#This Row],[value]] - Table1[[#This Row],[mean]]) / Table1[[#This Row],[std_dev]]</f>
        <v>-0.2626010576389905</v>
      </c>
      <c r="K9727">
        <f>AVERAGEIF(Table1[CountryCode],Table1[[#This Row],[CountryCode]],Table1[z-score])</f>
        <v>-0.44487406992812789</v>
      </c>
      <c r="L9727" t="e">
        <f>VLOOKUP(Table1[[#This Row],[CountryCode]],[1]!Table1[#All],1,FALSE)</f>
        <v>#REF!</v>
      </c>
    </row>
    <row r="9728" spans="1:12" hidden="1" x14ac:dyDescent="0.3">
      <c r="A9728" t="s">
        <v>87</v>
      </c>
      <c r="B9728" t="s">
        <v>88</v>
      </c>
      <c r="C9728" t="s">
        <v>129</v>
      </c>
      <c r="D9728" t="s">
        <v>130</v>
      </c>
      <c r="E9728">
        <v>1991</v>
      </c>
      <c r="F9728" s="1">
        <v>72</v>
      </c>
      <c r="G9728">
        <v>1990</v>
      </c>
      <c r="H9728">
        <f>AVERAGEIFS(Table1[value],Table1[IndicatorCode],Table1[[#This Row],[IndicatorCode]])</f>
        <v>72.66514008620689</v>
      </c>
      <c r="I9728" cm="1">
        <f t="array" ref="I9728">_xlfn.STDEV.P(IF(Table1[IndicatorCode]=Table1[[#This Row],[IndicatorCode]],Table1[value]))</f>
        <v>6.3409496564024987</v>
      </c>
      <c r="J9728">
        <f>(Table1[[#This Row],[value]] - Table1[[#This Row],[mean]]) / Table1[[#This Row],[std_dev]]</f>
        <v>-0.10489597335555145</v>
      </c>
      <c r="K9728">
        <f>AVERAGEIF(Table1[CountryCode],Table1[[#This Row],[CountryCode]],Table1[z-score])</f>
        <v>-0.44487406992812789</v>
      </c>
      <c r="L9728" t="e">
        <f>VLOOKUP(Table1[[#This Row],[CountryCode]],[1]!Table1[#All],1,FALSE)</f>
        <v>#REF!</v>
      </c>
    </row>
    <row r="9729" spans="1:12" hidden="1" x14ac:dyDescent="0.3">
      <c r="A9729" t="s">
        <v>87</v>
      </c>
      <c r="B9729" t="s">
        <v>88</v>
      </c>
      <c r="C9729" t="s">
        <v>129</v>
      </c>
      <c r="D9729" t="s">
        <v>130</v>
      </c>
      <c r="E9729">
        <v>1992</v>
      </c>
      <c r="F9729" s="1">
        <v>71</v>
      </c>
      <c r="G9729">
        <v>1990</v>
      </c>
      <c r="H9729">
        <f>AVERAGEIFS(Table1[value],Table1[IndicatorCode],Table1[[#This Row],[IndicatorCode]])</f>
        <v>72.66514008620689</v>
      </c>
      <c r="I9729" cm="1">
        <f t="array" ref="I9729">_xlfn.STDEV.P(IF(Table1[IndicatorCode]=Table1[[#This Row],[IndicatorCode]],Table1[value]))</f>
        <v>6.3409496564024987</v>
      </c>
      <c r="J9729">
        <f>(Table1[[#This Row],[value]] - Table1[[#This Row],[mean]]) / Table1[[#This Row],[std_dev]]</f>
        <v>-0.2626010576389905</v>
      </c>
      <c r="K9729">
        <f>AVERAGEIF(Table1[CountryCode],Table1[[#This Row],[CountryCode]],Table1[z-score])</f>
        <v>-0.44487406992812789</v>
      </c>
      <c r="L9729" t="e">
        <f>VLOOKUP(Table1[[#This Row],[CountryCode]],[1]!Table1[#All],1,FALSE)</f>
        <v>#REF!</v>
      </c>
    </row>
    <row r="9730" spans="1:12" hidden="1" x14ac:dyDescent="0.3">
      <c r="A9730" t="s">
        <v>87</v>
      </c>
      <c r="B9730" t="s">
        <v>88</v>
      </c>
      <c r="C9730" t="s">
        <v>129</v>
      </c>
      <c r="D9730" t="s">
        <v>130</v>
      </c>
      <c r="E9730">
        <v>1993</v>
      </c>
      <c r="F9730" s="1">
        <v>72</v>
      </c>
      <c r="G9730">
        <v>1990</v>
      </c>
      <c r="H9730">
        <f>AVERAGEIFS(Table1[value],Table1[IndicatorCode],Table1[[#This Row],[IndicatorCode]])</f>
        <v>72.66514008620689</v>
      </c>
      <c r="I9730" cm="1">
        <f t="array" ref="I9730">_xlfn.STDEV.P(IF(Table1[IndicatorCode]=Table1[[#This Row],[IndicatorCode]],Table1[value]))</f>
        <v>6.3409496564024987</v>
      </c>
      <c r="J9730">
        <f>(Table1[[#This Row],[value]] - Table1[[#This Row],[mean]]) / Table1[[#This Row],[std_dev]]</f>
        <v>-0.10489597335555145</v>
      </c>
      <c r="K9730">
        <f>AVERAGEIF(Table1[CountryCode],Table1[[#This Row],[CountryCode]],Table1[z-score])</f>
        <v>-0.44487406992812789</v>
      </c>
      <c r="L9730" t="e">
        <f>VLOOKUP(Table1[[#This Row],[CountryCode]],[1]!Table1[#All],1,FALSE)</f>
        <v>#REF!</v>
      </c>
    </row>
    <row r="9731" spans="1:12" hidden="1" x14ac:dyDescent="0.3">
      <c r="A9731" t="s">
        <v>87</v>
      </c>
      <c r="B9731" t="s">
        <v>88</v>
      </c>
      <c r="C9731" t="s">
        <v>129</v>
      </c>
      <c r="D9731" t="s">
        <v>130</v>
      </c>
      <c r="E9731">
        <v>1994</v>
      </c>
      <c r="F9731" s="1">
        <v>72</v>
      </c>
      <c r="G9731">
        <v>1990</v>
      </c>
      <c r="H9731">
        <f>AVERAGEIFS(Table1[value],Table1[IndicatorCode],Table1[[#This Row],[IndicatorCode]])</f>
        <v>72.66514008620689</v>
      </c>
      <c r="I9731" cm="1">
        <f t="array" ref="I9731">_xlfn.STDEV.P(IF(Table1[IndicatorCode]=Table1[[#This Row],[IndicatorCode]],Table1[value]))</f>
        <v>6.3409496564024987</v>
      </c>
      <c r="J9731">
        <f>(Table1[[#This Row],[value]] - Table1[[#This Row],[mean]]) / Table1[[#This Row],[std_dev]]</f>
        <v>-0.10489597335555145</v>
      </c>
      <c r="K9731">
        <f>AVERAGEIF(Table1[CountryCode],Table1[[#This Row],[CountryCode]],Table1[z-score])</f>
        <v>-0.44487406992812789</v>
      </c>
      <c r="L9731" t="e">
        <f>VLOOKUP(Table1[[#This Row],[CountryCode]],[1]!Table1[#All],1,FALSE)</f>
        <v>#REF!</v>
      </c>
    </row>
    <row r="9732" spans="1:12" hidden="1" x14ac:dyDescent="0.3">
      <c r="A9732" t="s">
        <v>87</v>
      </c>
      <c r="B9732" t="s">
        <v>88</v>
      </c>
      <c r="C9732" t="s">
        <v>129</v>
      </c>
      <c r="D9732" t="s">
        <v>130</v>
      </c>
      <c r="E9732">
        <v>1995</v>
      </c>
      <c r="F9732" s="1">
        <v>72</v>
      </c>
      <c r="G9732">
        <v>1990</v>
      </c>
      <c r="H9732">
        <f>AVERAGEIFS(Table1[value],Table1[IndicatorCode],Table1[[#This Row],[IndicatorCode]])</f>
        <v>72.66514008620689</v>
      </c>
      <c r="I9732" cm="1">
        <f t="array" ref="I9732">_xlfn.STDEV.P(IF(Table1[IndicatorCode]=Table1[[#This Row],[IndicatorCode]],Table1[value]))</f>
        <v>6.3409496564024987</v>
      </c>
      <c r="J9732">
        <f>(Table1[[#This Row],[value]] - Table1[[#This Row],[mean]]) / Table1[[#This Row],[std_dev]]</f>
        <v>-0.10489597335555145</v>
      </c>
      <c r="K9732">
        <f>AVERAGEIF(Table1[CountryCode],Table1[[#This Row],[CountryCode]],Table1[z-score])</f>
        <v>-0.44487406992812789</v>
      </c>
      <c r="L9732" t="e">
        <f>VLOOKUP(Table1[[#This Row],[CountryCode]],[1]!Table1[#All],1,FALSE)</f>
        <v>#REF!</v>
      </c>
    </row>
    <row r="9733" spans="1:12" hidden="1" x14ac:dyDescent="0.3">
      <c r="A9733" t="s">
        <v>87</v>
      </c>
      <c r="B9733" t="s">
        <v>88</v>
      </c>
      <c r="C9733" t="s">
        <v>129</v>
      </c>
      <c r="D9733" t="s">
        <v>130</v>
      </c>
      <c r="E9733">
        <v>1996</v>
      </c>
      <c r="F9733" s="1">
        <v>72</v>
      </c>
      <c r="G9733">
        <v>1990</v>
      </c>
      <c r="H9733">
        <f>AVERAGEIFS(Table1[value],Table1[IndicatorCode],Table1[[#This Row],[IndicatorCode]])</f>
        <v>72.66514008620689</v>
      </c>
      <c r="I9733" cm="1">
        <f t="array" ref="I9733">_xlfn.STDEV.P(IF(Table1[IndicatorCode]=Table1[[#This Row],[IndicatorCode]],Table1[value]))</f>
        <v>6.3409496564024987</v>
      </c>
      <c r="J9733">
        <f>(Table1[[#This Row],[value]] - Table1[[#This Row],[mean]]) / Table1[[#This Row],[std_dev]]</f>
        <v>-0.10489597335555145</v>
      </c>
      <c r="K9733">
        <f>AVERAGEIF(Table1[CountryCode],Table1[[#This Row],[CountryCode]],Table1[z-score])</f>
        <v>-0.44487406992812789</v>
      </c>
      <c r="L9733" t="e">
        <f>VLOOKUP(Table1[[#This Row],[CountryCode]],[1]!Table1[#All],1,FALSE)</f>
        <v>#REF!</v>
      </c>
    </row>
    <row r="9734" spans="1:12" hidden="1" x14ac:dyDescent="0.3">
      <c r="A9734" t="s">
        <v>87</v>
      </c>
      <c r="B9734" t="s">
        <v>88</v>
      </c>
      <c r="C9734" t="s">
        <v>129</v>
      </c>
      <c r="D9734" t="s">
        <v>130</v>
      </c>
      <c r="E9734">
        <v>1997</v>
      </c>
      <c r="F9734" s="1">
        <v>72</v>
      </c>
      <c r="G9734">
        <v>2000</v>
      </c>
      <c r="H9734">
        <f>AVERAGEIFS(Table1[value],Table1[IndicatorCode],Table1[[#This Row],[IndicatorCode]])</f>
        <v>72.66514008620689</v>
      </c>
      <c r="I9734" cm="1">
        <f t="array" ref="I9734">_xlfn.STDEV.P(IF(Table1[IndicatorCode]=Table1[[#This Row],[IndicatorCode]],Table1[value]))</f>
        <v>6.3409496564024987</v>
      </c>
      <c r="J9734">
        <f>(Table1[[#This Row],[value]] - Table1[[#This Row],[mean]]) / Table1[[#This Row],[std_dev]]</f>
        <v>-0.10489597335555145</v>
      </c>
      <c r="K9734">
        <f>AVERAGEIF(Table1[CountryCode],Table1[[#This Row],[CountryCode]],Table1[z-score])</f>
        <v>-0.44487406992812789</v>
      </c>
      <c r="L9734" t="e">
        <f>VLOOKUP(Table1[[#This Row],[CountryCode]],[1]!Table1[#All],1,FALSE)</f>
        <v>#REF!</v>
      </c>
    </row>
    <row r="9735" spans="1:12" hidden="1" x14ac:dyDescent="0.3">
      <c r="A9735" t="s">
        <v>87</v>
      </c>
      <c r="B9735" t="s">
        <v>88</v>
      </c>
      <c r="C9735" t="s">
        <v>129</v>
      </c>
      <c r="D9735" t="s">
        <v>130</v>
      </c>
      <c r="E9735">
        <v>1998</v>
      </c>
      <c r="F9735" s="1">
        <v>72</v>
      </c>
      <c r="G9735">
        <v>2000</v>
      </c>
      <c r="H9735">
        <f>AVERAGEIFS(Table1[value],Table1[IndicatorCode],Table1[[#This Row],[IndicatorCode]])</f>
        <v>72.66514008620689</v>
      </c>
      <c r="I9735" cm="1">
        <f t="array" ref="I9735">_xlfn.STDEV.P(IF(Table1[IndicatorCode]=Table1[[#This Row],[IndicatorCode]],Table1[value]))</f>
        <v>6.3409496564024987</v>
      </c>
      <c r="J9735">
        <f>(Table1[[#This Row],[value]] - Table1[[#This Row],[mean]]) / Table1[[#This Row],[std_dev]]</f>
        <v>-0.10489597335555145</v>
      </c>
      <c r="K9735">
        <f>AVERAGEIF(Table1[CountryCode],Table1[[#This Row],[CountryCode]],Table1[z-score])</f>
        <v>-0.44487406992812789</v>
      </c>
      <c r="L9735" t="e">
        <f>VLOOKUP(Table1[[#This Row],[CountryCode]],[1]!Table1[#All],1,FALSE)</f>
        <v>#REF!</v>
      </c>
    </row>
    <row r="9736" spans="1:12" hidden="1" x14ac:dyDescent="0.3">
      <c r="A9736" t="s">
        <v>87</v>
      </c>
      <c r="B9736" t="s">
        <v>88</v>
      </c>
      <c r="C9736" t="s">
        <v>129</v>
      </c>
      <c r="D9736" t="s">
        <v>130</v>
      </c>
      <c r="E9736">
        <v>1999</v>
      </c>
      <c r="F9736" s="1">
        <v>73</v>
      </c>
      <c r="G9736">
        <v>2000</v>
      </c>
      <c r="H9736">
        <f>AVERAGEIFS(Table1[value],Table1[IndicatorCode],Table1[[#This Row],[IndicatorCode]])</f>
        <v>72.66514008620689</v>
      </c>
      <c r="I9736" cm="1">
        <f t="array" ref="I9736">_xlfn.STDEV.P(IF(Table1[IndicatorCode]=Table1[[#This Row],[IndicatorCode]],Table1[value]))</f>
        <v>6.3409496564024987</v>
      </c>
      <c r="J9736">
        <f>(Table1[[#This Row],[value]] - Table1[[#This Row],[mean]]) / Table1[[#This Row],[std_dev]]</f>
        <v>5.2809110927887599E-2</v>
      </c>
      <c r="K9736">
        <f>AVERAGEIF(Table1[CountryCode],Table1[[#This Row],[CountryCode]],Table1[z-score])</f>
        <v>-0.44487406992812789</v>
      </c>
      <c r="L9736" t="e">
        <f>VLOOKUP(Table1[[#This Row],[CountryCode]],[1]!Table1[#All],1,FALSE)</f>
        <v>#REF!</v>
      </c>
    </row>
    <row r="9737" spans="1:12" hidden="1" x14ac:dyDescent="0.3">
      <c r="A9737" t="s">
        <v>87</v>
      </c>
      <c r="B9737" t="s">
        <v>88</v>
      </c>
      <c r="C9737" t="s">
        <v>129</v>
      </c>
      <c r="D9737" t="s">
        <v>130</v>
      </c>
      <c r="E9737">
        <v>2000</v>
      </c>
      <c r="F9737" s="1">
        <v>73</v>
      </c>
      <c r="G9737">
        <v>2000</v>
      </c>
      <c r="H9737">
        <f>AVERAGEIFS(Table1[value],Table1[IndicatorCode],Table1[[#This Row],[IndicatorCode]])</f>
        <v>72.66514008620689</v>
      </c>
      <c r="I9737" cm="1">
        <f t="array" ref="I9737">_xlfn.STDEV.P(IF(Table1[IndicatorCode]=Table1[[#This Row],[IndicatorCode]],Table1[value]))</f>
        <v>6.3409496564024987</v>
      </c>
      <c r="J9737">
        <f>(Table1[[#This Row],[value]] - Table1[[#This Row],[mean]]) / Table1[[#This Row],[std_dev]]</f>
        <v>5.2809110927887599E-2</v>
      </c>
      <c r="K9737">
        <f>AVERAGEIF(Table1[CountryCode],Table1[[#This Row],[CountryCode]],Table1[z-score])</f>
        <v>-0.44487406992812789</v>
      </c>
      <c r="L9737" t="e">
        <f>VLOOKUP(Table1[[#This Row],[CountryCode]],[1]!Table1[#All],1,FALSE)</f>
        <v>#REF!</v>
      </c>
    </row>
    <row r="9738" spans="1:12" hidden="1" x14ac:dyDescent="0.3">
      <c r="A9738" t="s">
        <v>87</v>
      </c>
      <c r="B9738" t="s">
        <v>88</v>
      </c>
      <c r="C9738" t="s">
        <v>129</v>
      </c>
      <c r="D9738" t="s">
        <v>130</v>
      </c>
      <c r="E9738">
        <v>2001</v>
      </c>
      <c r="F9738" s="1">
        <v>73</v>
      </c>
      <c r="G9738">
        <v>2000</v>
      </c>
      <c r="H9738">
        <f>AVERAGEIFS(Table1[value],Table1[IndicatorCode],Table1[[#This Row],[IndicatorCode]])</f>
        <v>72.66514008620689</v>
      </c>
      <c r="I9738" cm="1">
        <f t="array" ref="I9738">_xlfn.STDEV.P(IF(Table1[IndicatorCode]=Table1[[#This Row],[IndicatorCode]],Table1[value]))</f>
        <v>6.3409496564024987</v>
      </c>
      <c r="J9738">
        <f>(Table1[[#This Row],[value]] - Table1[[#This Row],[mean]]) / Table1[[#This Row],[std_dev]]</f>
        <v>5.2809110927887599E-2</v>
      </c>
      <c r="K9738">
        <f>AVERAGEIF(Table1[CountryCode],Table1[[#This Row],[CountryCode]],Table1[z-score])</f>
        <v>-0.44487406992812789</v>
      </c>
      <c r="L9738" t="e">
        <f>VLOOKUP(Table1[[#This Row],[CountryCode]],[1]!Table1[#All],1,FALSE)</f>
        <v>#REF!</v>
      </c>
    </row>
    <row r="9739" spans="1:12" hidden="1" x14ac:dyDescent="0.3">
      <c r="A9739" t="s">
        <v>87</v>
      </c>
      <c r="B9739" t="s">
        <v>88</v>
      </c>
      <c r="C9739" t="s">
        <v>129</v>
      </c>
      <c r="D9739" t="s">
        <v>130</v>
      </c>
      <c r="E9739">
        <v>2002</v>
      </c>
      <c r="F9739" s="1">
        <v>73</v>
      </c>
      <c r="G9739">
        <v>2000</v>
      </c>
      <c r="H9739">
        <f>AVERAGEIFS(Table1[value],Table1[IndicatorCode],Table1[[#This Row],[IndicatorCode]])</f>
        <v>72.66514008620689</v>
      </c>
      <c r="I9739" cm="1">
        <f t="array" ref="I9739">_xlfn.STDEV.P(IF(Table1[IndicatorCode]=Table1[[#This Row],[IndicatorCode]],Table1[value]))</f>
        <v>6.3409496564024987</v>
      </c>
      <c r="J9739">
        <f>(Table1[[#This Row],[value]] - Table1[[#This Row],[mean]]) / Table1[[#This Row],[std_dev]]</f>
        <v>5.2809110927887599E-2</v>
      </c>
      <c r="K9739">
        <f>AVERAGEIF(Table1[CountryCode],Table1[[#This Row],[CountryCode]],Table1[z-score])</f>
        <v>-0.44487406992812789</v>
      </c>
      <c r="L9739" t="e">
        <f>VLOOKUP(Table1[[#This Row],[CountryCode]],[1]!Table1[#All],1,FALSE)</f>
        <v>#REF!</v>
      </c>
    </row>
    <row r="9740" spans="1:12" hidden="1" x14ac:dyDescent="0.3">
      <c r="A9740" t="s">
        <v>87</v>
      </c>
      <c r="B9740" t="s">
        <v>88</v>
      </c>
      <c r="C9740" t="s">
        <v>129</v>
      </c>
      <c r="D9740" t="s">
        <v>130</v>
      </c>
      <c r="E9740">
        <v>2003</v>
      </c>
      <c r="F9740" s="1">
        <v>73</v>
      </c>
      <c r="G9740">
        <v>2000</v>
      </c>
      <c r="H9740">
        <f>AVERAGEIFS(Table1[value],Table1[IndicatorCode],Table1[[#This Row],[IndicatorCode]])</f>
        <v>72.66514008620689</v>
      </c>
      <c r="I9740" cm="1">
        <f t="array" ref="I9740">_xlfn.STDEV.P(IF(Table1[IndicatorCode]=Table1[[#This Row],[IndicatorCode]],Table1[value]))</f>
        <v>6.3409496564024987</v>
      </c>
      <c r="J9740">
        <f>(Table1[[#This Row],[value]] - Table1[[#This Row],[mean]]) / Table1[[#This Row],[std_dev]]</f>
        <v>5.2809110927887599E-2</v>
      </c>
      <c r="K9740">
        <f>AVERAGEIF(Table1[CountryCode],Table1[[#This Row],[CountryCode]],Table1[z-score])</f>
        <v>-0.44487406992812789</v>
      </c>
      <c r="L9740" t="e">
        <f>VLOOKUP(Table1[[#This Row],[CountryCode]],[1]!Table1[#All],1,FALSE)</f>
        <v>#REF!</v>
      </c>
    </row>
    <row r="9741" spans="1:12" hidden="1" x14ac:dyDescent="0.3">
      <c r="A9741" t="s">
        <v>87</v>
      </c>
      <c r="B9741" t="s">
        <v>88</v>
      </c>
      <c r="C9741" t="s">
        <v>129</v>
      </c>
      <c r="D9741" t="s">
        <v>130</v>
      </c>
      <c r="E9741">
        <v>2004</v>
      </c>
      <c r="F9741" s="1">
        <v>74</v>
      </c>
      <c r="G9741">
        <v>2000</v>
      </c>
      <c r="H9741">
        <f>AVERAGEIFS(Table1[value],Table1[IndicatorCode],Table1[[#This Row],[IndicatorCode]])</f>
        <v>72.66514008620689</v>
      </c>
      <c r="I9741" cm="1">
        <f t="array" ref="I9741">_xlfn.STDEV.P(IF(Table1[IndicatorCode]=Table1[[#This Row],[IndicatorCode]],Table1[value]))</f>
        <v>6.3409496564024987</v>
      </c>
      <c r="J9741">
        <f>(Table1[[#This Row],[value]] - Table1[[#This Row],[mean]]) / Table1[[#This Row],[std_dev]]</f>
        <v>0.21051419521132667</v>
      </c>
      <c r="K9741">
        <f>AVERAGEIF(Table1[CountryCode],Table1[[#This Row],[CountryCode]],Table1[z-score])</f>
        <v>-0.44487406992812789</v>
      </c>
      <c r="L9741" t="e">
        <f>VLOOKUP(Table1[[#This Row],[CountryCode]],[1]!Table1[#All],1,FALSE)</f>
        <v>#REF!</v>
      </c>
    </row>
    <row r="9742" spans="1:12" hidden="1" x14ac:dyDescent="0.3">
      <c r="A9742" t="s">
        <v>87</v>
      </c>
      <c r="B9742" t="s">
        <v>88</v>
      </c>
      <c r="C9742" t="s">
        <v>129</v>
      </c>
      <c r="D9742" t="s">
        <v>130</v>
      </c>
      <c r="E9742">
        <v>2005</v>
      </c>
      <c r="F9742" s="1">
        <v>74</v>
      </c>
      <c r="G9742">
        <v>2000</v>
      </c>
      <c r="H9742">
        <f>AVERAGEIFS(Table1[value],Table1[IndicatorCode],Table1[[#This Row],[IndicatorCode]])</f>
        <v>72.66514008620689</v>
      </c>
      <c r="I9742" cm="1">
        <f t="array" ref="I9742">_xlfn.STDEV.P(IF(Table1[IndicatorCode]=Table1[[#This Row],[IndicatorCode]],Table1[value]))</f>
        <v>6.3409496564024987</v>
      </c>
      <c r="J9742">
        <f>(Table1[[#This Row],[value]] - Table1[[#This Row],[mean]]) / Table1[[#This Row],[std_dev]]</f>
        <v>0.21051419521132667</v>
      </c>
      <c r="K9742">
        <f>AVERAGEIF(Table1[CountryCode],Table1[[#This Row],[CountryCode]],Table1[z-score])</f>
        <v>-0.44487406992812789</v>
      </c>
      <c r="L9742" t="e">
        <f>VLOOKUP(Table1[[#This Row],[CountryCode]],[1]!Table1[#All],1,FALSE)</f>
        <v>#REF!</v>
      </c>
    </row>
    <row r="9743" spans="1:12" hidden="1" x14ac:dyDescent="0.3">
      <c r="A9743" t="s">
        <v>87</v>
      </c>
      <c r="B9743" t="s">
        <v>88</v>
      </c>
      <c r="C9743" t="s">
        <v>129</v>
      </c>
      <c r="D9743" t="s">
        <v>130</v>
      </c>
      <c r="E9743">
        <v>2006</v>
      </c>
      <c r="F9743" s="1">
        <v>74</v>
      </c>
      <c r="G9743">
        <v>2000</v>
      </c>
      <c r="H9743">
        <f>AVERAGEIFS(Table1[value],Table1[IndicatorCode],Table1[[#This Row],[IndicatorCode]])</f>
        <v>72.66514008620689</v>
      </c>
      <c r="I9743" cm="1">
        <f t="array" ref="I9743">_xlfn.STDEV.P(IF(Table1[IndicatorCode]=Table1[[#This Row],[IndicatorCode]],Table1[value]))</f>
        <v>6.3409496564024987</v>
      </c>
      <c r="J9743">
        <f>(Table1[[#This Row],[value]] - Table1[[#This Row],[mean]]) / Table1[[#This Row],[std_dev]]</f>
        <v>0.21051419521132667</v>
      </c>
      <c r="K9743">
        <f>AVERAGEIF(Table1[CountryCode],Table1[[#This Row],[CountryCode]],Table1[z-score])</f>
        <v>-0.44487406992812789</v>
      </c>
      <c r="L9743" t="e">
        <f>VLOOKUP(Table1[[#This Row],[CountryCode]],[1]!Table1[#All],1,FALSE)</f>
        <v>#REF!</v>
      </c>
    </row>
    <row r="9744" spans="1:12" hidden="1" x14ac:dyDescent="0.3">
      <c r="A9744" t="s">
        <v>87</v>
      </c>
      <c r="B9744" t="s">
        <v>88</v>
      </c>
      <c r="C9744" t="s">
        <v>129</v>
      </c>
      <c r="D9744" t="s">
        <v>130</v>
      </c>
      <c r="E9744">
        <v>2007</v>
      </c>
      <c r="F9744" s="1">
        <v>74</v>
      </c>
      <c r="G9744">
        <v>2010</v>
      </c>
      <c r="H9744">
        <f>AVERAGEIFS(Table1[value],Table1[IndicatorCode],Table1[[#This Row],[IndicatorCode]])</f>
        <v>72.66514008620689</v>
      </c>
      <c r="I9744" cm="1">
        <f t="array" ref="I9744">_xlfn.STDEV.P(IF(Table1[IndicatorCode]=Table1[[#This Row],[IndicatorCode]],Table1[value]))</f>
        <v>6.3409496564024987</v>
      </c>
      <c r="J9744">
        <f>(Table1[[#This Row],[value]] - Table1[[#This Row],[mean]]) / Table1[[#This Row],[std_dev]]</f>
        <v>0.21051419521132667</v>
      </c>
      <c r="K9744">
        <f>AVERAGEIF(Table1[CountryCode],Table1[[#This Row],[CountryCode]],Table1[z-score])</f>
        <v>-0.44487406992812789</v>
      </c>
      <c r="L9744" t="e">
        <f>VLOOKUP(Table1[[#This Row],[CountryCode]],[1]!Table1[#All],1,FALSE)</f>
        <v>#REF!</v>
      </c>
    </row>
    <row r="9745" spans="1:12" hidden="1" x14ac:dyDescent="0.3">
      <c r="A9745" t="s">
        <v>87</v>
      </c>
      <c r="B9745" t="s">
        <v>88</v>
      </c>
      <c r="C9745" t="s">
        <v>129</v>
      </c>
      <c r="D9745" t="s">
        <v>130</v>
      </c>
      <c r="E9745">
        <v>2008</v>
      </c>
      <c r="F9745" s="1">
        <v>74</v>
      </c>
      <c r="G9745">
        <v>2010</v>
      </c>
      <c r="H9745">
        <f>AVERAGEIFS(Table1[value],Table1[IndicatorCode],Table1[[#This Row],[IndicatorCode]])</f>
        <v>72.66514008620689</v>
      </c>
      <c r="I9745" cm="1">
        <f t="array" ref="I9745">_xlfn.STDEV.P(IF(Table1[IndicatorCode]=Table1[[#This Row],[IndicatorCode]],Table1[value]))</f>
        <v>6.3409496564024987</v>
      </c>
      <c r="J9745">
        <f>(Table1[[#This Row],[value]] - Table1[[#This Row],[mean]]) / Table1[[#This Row],[std_dev]]</f>
        <v>0.21051419521132667</v>
      </c>
      <c r="K9745">
        <f>AVERAGEIF(Table1[CountryCode],Table1[[#This Row],[CountryCode]],Table1[z-score])</f>
        <v>-0.44487406992812789</v>
      </c>
      <c r="L9745" t="e">
        <f>VLOOKUP(Table1[[#This Row],[CountryCode]],[1]!Table1[#All],1,FALSE)</f>
        <v>#REF!</v>
      </c>
    </row>
    <row r="9746" spans="1:12" hidden="1" x14ac:dyDescent="0.3">
      <c r="A9746" t="s">
        <v>87</v>
      </c>
      <c r="B9746" t="s">
        <v>88</v>
      </c>
      <c r="C9746" t="s">
        <v>129</v>
      </c>
      <c r="D9746" t="s">
        <v>130</v>
      </c>
      <c r="E9746">
        <v>2009</v>
      </c>
      <c r="F9746" s="1">
        <v>74</v>
      </c>
      <c r="G9746">
        <v>2010</v>
      </c>
      <c r="H9746">
        <f>AVERAGEIFS(Table1[value],Table1[IndicatorCode],Table1[[#This Row],[IndicatorCode]])</f>
        <v>72.66514008620689</v>
      </c>
      <c r="I9746" cm="1">
        <f t="array" ref="I9746">_xlfn.STDEV.P(IF(Table1[IndicatorCode]=Table1[[#This Row],[IndicatorCode]],Table1[value]))</f>
        <v>6.3409496564024987</v>
      </c>
      <c r="J9746">
        <f>(Table1[[#This Row],[value]] - Table1[[#This Row],[mean]]) / Table1[[#This Row],[std_dev]]</f>
        <v>0.21051419521132667</v>
      </c>
      <c r="K9746">
        <f>AVERAGEIF(Table1[CountryCode],Table1[[#This Row],[CountryCode]],Table1[z-score])</f>
        <v>-0.44487406992812789</v>
      </c>
      <c r="L9746" t="e">
        <f>VLOOKUP(Table1[[#This Row],[CountryCode]],[1]!Table1[#All],1,FALSE)</f>
        <v>#REF!</v>
      </c>
    </row>
    <row r="9747" spans="1:12" hidden="1" x14ac:dyDescent="0.3">
      <c r="A9747" t="s">
        <v>87</v>
      </c>
      <c r="B9747" t="s">
        <v>88</v>
      </c>
      <c r="C9747" t="s">
        <v>129</v>
      </c>
      <c r="D9747" t="s">
        <v>130</v>
      </c>
      <c r="E9747">
        <v>2010</v>
      </c>
      <c r="F9747" s="1">
        <v>75</v>
      </c>
      <c r="G9747">
        <v>2010</v>
      </c>
      <c r="H9747">
        <f>AVERAGEIFS(Table1[value],Table1[IndicatorCode],Table1[[#This Row],[IndicatorCode]])</f>
        <v>72.66514008620689</v>
      </c>
      <c r="I9747" cm="1">
        <f t="array" ref="I9747">_xlfn.STDEV.P(IF(Table1[IndicatorCode]=Table1[[#This Row],[IndicatorCode]],Table1[value]))</f>
        <v>6.3409496564024987</v>
      </c>
      <c r="J9747">
        <f>(Table1[[#This Row],[value]] - Table1[[#This Row],[mean]]) / Table1[[#This Row],[std_dev]]</f>
        <v>0.36821927949476574</v>
      </c>
      <c r="K9747">
        <f>AVERAGEIF(Table1[CountryCode],Table1[[#This Row],[CountryCode]],Table1[z-score])</f>
        <v>-0.44487406992812789</v>
      </c>
      <c r="L9747" t="e">
        <f>VLOOKUP(Table1[[#This Row],[CountryCode]],[1]!Table1[#All],1,FALSE)</f>
        <v>#REF!</v>
      </c>
    </row>
    <row r="9748" spans="1:12" hidden="1" x14ac:dyDescent="0.3">
      <c r="A9748" t="s">
        <v>87</v>
      </c>
      <c r="B9748" t="s">
        <v>88</v>
      </c>
      <c r="C9748" t="s">
        <v>129</v>
      </c>
      <c r="D9748" t="s">
        <v>130</v>
      </c>
      <c r="E9748">
        <v>2011</v>
      </c>
      <c r="F9748" s="1">
        <v>75</v>
      </c>
      <c r="G9748">
        <v>2010</v>
      </c>
      <c r="H9748">
        <f>AVERAGEIFS(Table1[value],Table1[IndicatorCode],Table1[[#This Row],[IndicatorCode]])</f>
        <v>72.66514008620689</v>
      </c>
      <c r="I9748" cm="1">
        <f t="array" ref="I9748">_xlfn.STDEV.P(IF(Table1[IndicatorCode]=Table1[[#This Row],[IndicatorCode]],Table1[value]))</f>
        <v>6.3409496564024987</v>
      </c>
      <c r="J9748">
        <f>(Table1[[#This Row],[value]] - Table1[[#This Row],[mean]]) / Table1[[#This Row],[std_dev]]</f>
        <v>0.36821927949476574</v>
      </c>
      <c r="K9748">
        <f>AVERAGEIF(Table1[CountryCode],Table1[[#This Row],[CountryCode]],Table1[z-score])</f>
        <v>-0.44487406992812789</v>
      </c>
      <c r="L9748" t="e">
        <f>VLOOKUP(Table1[[#This Row],[CountryCode]],[1]!Table1[#All],1,FALSE)</f>
        <v>#REF!</v>
      </c>
    </row>
    <row r="9749" spans="1:12" hidden="1" x14ac:dyDescent="0.3">
      <c r="A9749" t="s">
        <v>87</v>
      </c>
      <c r="B9749" t="s">
        <v>88</v>
      </c>
      <c r="C9749" t="s">
        <v>129</v>
      </c>
      <c r="D9749" t="s">
        <v>130</v>
      </c>
      <c r="E9749">
        <v>2012</v>
      </c>
      <c r="F9749" s="1">
        <v>75</v>
      </c>
      <c r="G9749">
        <v>2010</v>
      </c>
      <c r="H9749">
        <f>AVERAGEIFS(Table1[value],Table1[IndicatorCode],Table1[[#This Row],[IndicatorCode]])</f>
        <v>72.66514008620689</v>
      </c>
      <c r="I9749" cm="1">
        <f t="array" ref="I9749">_xlfn.STDEV.P(IF(Table1[IndicatorCode]=Table1[[#This Row],[IndicatorCode]],Table1[value]))</f>
        <v>6.3409496564024987</v>
      </c>
      <c r="J9749">
        <f>(Table1[[#This Row],[value]] - Table1[[#This Row],[mean]]) / Table1[[#This Row],[std_dev]]</f>
        <v>0.36821927949476574</v>
      </c>
      <c r="K9749">
        <f>AVERAGEIF(Table1[CountryCode],Table1[[#This Row],[CountryCode]],Table1[z-score])</f>
        <v>-0.44487406992812789</v>
      </c>
      <c r="L9749" t="e">
        <f>VLOOKUP(Table1[[#This Row],[CountryCode]],[1]!Table1[#All],1,FALSE)</f>
        <v>#REF!</v>
      </c>
    </row>
    <row r="9750" spans="1:12" hidden="1" x14ac:dyDescent="0.3">
      <c r="A9750" t="s">
        <v>87</v>
      </c>
      <c r="B9750" t="s">
        <v>88</v>
      </c>
      <c r="C9750" t="s">
        <v>129</v>
      </c>
      <c r="D9750" t="s">
        <v>130</v>
      </c>
      <c r="E9750">
        <v>2013</v>
      </c>
      <c r="F9750" s="1">
        <v>75</v>
      </c>
      <c r="G9750">
        <v>2010</v>
      </c>
      <c r="H9750">
        <f>AVERAGEIFS(Table1[value],Table1[IndicatorCode],Table1[[#This Row],[IndicatorCode]])</f>
        <v>72.66514008620689</v>
      </c>
      <c r="I9750" cm="1">
        <f t="array" ref="I9750">_xlfn.STDEV.P(IF(Table1[IndicatorCode]=Table1[[#This Row],[IndicatorCode]],Table1[value]))</f>
        <v>6.3409496564024987</v>
      </c>
      <c r="J9750">
        <f>(Table1[[#This Row],[value]] - Table1[[#This Row],[mean]]) / Table1[[#This Row],[std_dev]]</f>
        <v>0.36821927949476574</v>
      </c>
      <c r="K9750">
        <f>AVERAGEIF(Table1[CountryCode],Table1[[#This Row],[CountryCode]],Table1[z-score])</f>
        <v>-0.44487406992812789</v>
      </c>
      <c r="L9750" t="e">
        <f>VLOOKUP(Table1[[#This Row],[CountryCode]],[1]!Table1[#All],1,FALSE)</f>
        <v>#REF!</v>
      </c>
    </row>
    <row r="9751" spans="1:12" hidden="1" x14ac:dyDescent="0.3">
      <c r="A9751" t="s">
        <v>87</v>
      </c>
      <c r="B9751" t="s">
        <v>88</v>
      </c>
      <c r="C9751" t="s">
        <v>129</v>
      </c>
      <c r="D9751" t="s">
        <v>130</v>
      </c>
      <c r="E9751">
        <v>2014</v>
      </c>
      <c r="F9751" s="1">
        <v>75</v>
      </c>
      <c r="G9751">
        <v>2010</v>
      </c>
      <c r="H9751">
        <f>AVERAGEIFS(Table1[value],Table1[IndicatorCode],Table1[[#This Row],[IndicatorCode]])</f>
        <v>72.66514008620689</v>
      </c>
      <c r="I9751" cm="1">
        <f t="array" ref="I9751">_xlfn.STDEV.P(IF(Table1[IndicatorCode]=Table1[[#This Row],[IndicatorCode]],Table1[value]))</f>
        <v>6.3409496564024987</v>
      </c>
      <c r="J9751">
        <f>(Table1[[#This Row],[value]] - Table1[[#This Row],[mean]]) / Table1[[#This Row],[std_dev]]</f>
        <v>0.36821927949476574</v>
      </c>
      <c r="K9751">
        <f>AVERAGEIF(Table1[CountryCode],Table1[[#This Row],[CountryCode]],Table1[z-score])</f>
        <v>-0.44487406992812789</v>
      </c>
      <c r="L9751" t="e">
        <f>VLOOKUP(Table1[[#This Row],[CountryCode]],[1]!Table1[#All],1,FALSE)</f>
        <v>#REF!</v>
      </c>
    </row>
    <row r="9752" spans="1:12" hidden="1" x14ac:dyDescent="0.3">
      <c r="A9752" t="s">
        <v>87</v>
      </c>
      <c r="B9752" t="s">
        <v>88</v>
      </c>
      <c r="C9752" t="s">
        <v>129</v>
      </c>
      <c r="D9752" t="s">
        <v>130</v>
      </c>
      <c r="E9752">
        <v>2015</v>
      </c>
      <c r="F9752" s="1">
        <v>75</v>
      </c>
      <c r="G9752">
        <v>2010</v>
      </c>
      <c r="H9752">
        <f>AVERAGEIFS(Table1[value],Table1[IndicatorCode],Table1[[#This Row],[IndicatorCode]])</f>
        <v>72.66514008620689</v>
      </c>
      <c r="I9752" cm="1">
        <f t="array" ref="I9752">_xlfn.STDEV.P(IF(Table1[IndicatorCode]=Table1[[#This Row],[IndicatorCode]],Table1[value]))</f>
        <v>6.3409496564024987</v>
      </c>
      <c r="J9752">
        <f>(Table1[[#This Row],[value]] - Table1[[#This Row],[mean]]) / Table1[[#This Row],[std_dev]]</f>
        <v>0.36821927949476574</v>
      </c>
      <c r="K9752">
        <f>AVERAGEIF(Table1[CountryCode],Table1[[#This Row],[CountryCode]],Table1[z-score])</f>
        <v>-0.44487406992812789</v>
      </c>
      <c r="L9752" t="e">
        <f>VLOOKUP(Table1[[#This Row],[CountryCode]],[1]!Table1[#All],1,FALSE)</f>
        <v>#REF!</v>
      </c>
    </row>
    <row r="9753" spans="1:12" hidden="1" x14ac:dyDescent="0.3">
      <c r="A9753" t="s">
        <v>87</v>
      </c>
      <c r="B9753" t="s">
        <v>88</v>
      </c>
      <c r="C9753" t="s">
        <v>129</v>
      </c>
      <c r="D9753" t="s">
        <v>130</v>
      </c>
      <c r="E9753">
        <v>2016</v>
      </c>
      <c r="F9753" s="1">
        <v>75</v>
      </c>
      <c r="G9753">
        <v>2010</v>
      </c>
      <c r="H9753">
        <f>AVERAGEIFS(Table1[value],Table1[IndicatorCode],Table1[[#This Row],[IndicatorCode]])</f>
        <v>72.66514008620689</v>
      </c>
      <c r="I9753" cm="1">
        <f t="array" ref="I9753">_xlfn.STDEV.P(IF(Table1[IndicatorCode]=Table1[[#This Row],[IndicatorCode]],Table1[value]))</f>
        <v>6.3409496564024987</v>
      </c>
      <c r="J9753">
        <f>(Table1[[#This Row],[value]] - Table1[[#This Row],[mean]]) / Table1[[#This Row],[std_dev]]</f>
        <v>0.36821927949476574</v>
      </c>
      <c r="K9753">
        <f>AVERAGEIF(Table1[CountryCode],Table1[[#This Row],[CountryCode]],Table1[z-score])</f>
        <v>-0.44487406992812789</v>
      </c>
      <c r="L9753" t="e">
        <f>VLOOKUP(Table1[[#This Row],[CountryCode]],[1]!Table1[#All],1,FALSE)</f>
        <v>#REF!</v>
      </c>
    </row>
    <row r="9754" spans="1:12" hidden="1" x14ac:dyDescent="0.3">
      <c r="A9754" t="s">
        <v>87</v>
      </c>
      <c r="B9754" t="s">
        <v>88</v>
      </c>
      <c r="C9754" t="s">
        <v>129</v>
      </c>
      <c r="D9754" t="s">
        <v>130</v>
      </c>
      <c r="E9754">
        <v>2017</v>
      </c>
      <c r="F9754" s="1">
        <v>76</v>
      </c>
      <c r="G9754">
        <v>2020</v>
      </c>
      <c r="H9754">
        <f>AVERAGEIFS(Table1[value],Table1[IndicatorCode],Table1[[#This Row],[IndicatorCode]])</f>
        <v>72.66514008620689</v>
      </c>
      <c r="I9754" cm="1">
        <f t="array" ref="I9754">_xlfn.STDEV.P(IF(Table1[IndicatorCode]=Table1[[#This Row],[IndicatorCode]],Table1[value]))</f>
        <v>6.3409496564024987</v>
      </c>
      <c r="J9754">
        <f>(Table1[[#This Row],[value]] - Table1[[#This Row],[mean]]) / Table1[[#This Row],[std_dev]]</f>
        <v>0.52592436377820473</v>
      </c>
      <c r="K9754">
        <f>AVERAGEIF(Table1[CountryCode],Table1[[#This Row],[CountryCode]],Table1[z-score])</f>
        <v>-0.44487406992812789</v>
      </c>
      <c r="L9754" t="e">
        <f>VLOOKUP(Table1[[#This Row],[CountryCode]],[1]!Table1[#All],1,FALSE)</f>
        <v>#REF!</v>
      </c>
    </row>
    <row r="9755" spans="1:12" hidden="1" x14ac:dyDescent="0.3">
      <c r="A9755" t="s">
        <v>87</v>
      </c>
      <c r="B9755" t="s">
        <v>88</v>
      </c>
      <c r="C9755" t="s">
        <v>129</v>
      </c>
      <c r="D9755" t="s">
        <v>130</v>
      </c>
      <c r="E9755">
        <v>2018</v>
      </c>
      <c r="F9755" s="1">
        <v>77</v>
      </c>
      <c r="G9755">
        <v>2020</v>
      </c>
      <c r="H9755">
        <f>AVERAGEIFS(Table1[value],Table1[IndicatorCode],Table1[[#This Row],[IndicatorCode]])</f>
        <v>72.66514008620689</v>
      </c>
      <c r="I9755" cm="1">
        <f t="array" ref="I9755">_xlfn.STDEV.P(IF(Table1[IndicatorCode]=Table1[[#This Row],[IndicatorCode]],Table1[value]))</f>
        <v>6.3409496564024987</v>
      </c>
      <c r="J9755">
        <f>(Table1[[#This Row],[value]] - Table1[[#This Row],[mean]]) / Table1[[#This Row],[std_dev]]</f>
        <v>0.68362944806164383</v>
      </c>
      <c r="K9755">
        <f>AVERAGEIF(Table1[CountryCode],Table1[[#This Row],[CountryCode]],Table1[z-score])</f>
        <v>-0.44487406992812789</v>
      </c>
      <c r="L9755" t="e">
        <f>VLOOKUP(Table1[[#This Row],[CountryCode]],[1]!Table1[#All],1,FALSE)</f>
        <v>#REF!</v>
      </c>
    </row>
    <row r="9756" spans="1:12" hidden="1" x14ac:dyDescent="0.3">
      <c r="A9756" t="s">
        <v>87</v>
      </c>
      <c r="B9756" t="s">
        <v>88</v>
      </c>
      <c r="C9756" t="s">
        <v>129</v>
      </c>
      <c r="D9756" t="s">
        <v>130</v>
      </c>
      <c r="E9756">
        <v>2019</v>
      </c>
      <c r="F9756" s="1">
        <v>77</v>
      </c>
      <c r="G9756">
        <v>2020</v>
      </c>
      <c r="H9756">
        <f>AVERAGEIFS(Table1[value],Table1[IndicatorCode],Table1[[#This Row],[IndicatorCode]])</f>
        <v>72.66514008620689</v>
      </c>
      <c r="I9756" cm="1">
        <f t="array" ref="I9756">_xlfn.STDEV.P(IF(Table1[IndicatorCode]=Table1[[#This Row],[IndicatorCode]],Table1[value]))</f>
        <v>6.3409496564024987</v>
      </c>
      <c r="J9756">
        <f>(Table1[[#This Row],[value]] - Table1[[#This Row],[mean]]) / Table1[[#This Row],[std_dev]]</f>
        <v>0.68362944806164383</v>
      </c>
      <c r="K9756">
        <f>AVERAGEIF(Table1[CountryCode],Table1[[#This Row],[CountryCode]],Table1[z-score])</f>
        <v>-0.44487406992812789</v>
      </c>
      <c r="L9756" t="e">
        <f>VLOOKUP(Table1[[#This Row],[CountryCode]],[1]!Table1[#All],1,FALSE)</f>
        <v>#REF!</v>
      </c>
    </row>
    <row r="9757" spans="1:12" x14ac:dyDescent="0.3">
      <c r="A9757" t="s">
        <v>87</v>
      </c>
      <c r="B9757" t="s">
        <v>88</v>
      </c>
      <c r="C9757" t="s">
        <v>129</v>
      </c>
      <c r="D9757" t="s">
        <v>130</v>
      </c>
      <c r="E9757">
        <v>2020</v>
      </c>
      <c r="F9757" s="1">
        <v>74</v>
      </c>
      <c r="G9757">
        <v>2020</v>
      </c>
      <c r="H9757">
        <f>AVERAGEIFS(Table1[value],Table1[IndicatorCode],Table1[[#This Row],[IndicatorCode]])</f>
        <v>72.66514008620689</v>
      </c>
      <c r="I9757" cm="1">
        <f t="array" ref="I9757">_xlfn.STDEV.P(IF(Table1[IndicatorCode]=Table1[[#This Row],[IndicatorCode]],Table1[value]))</f>
        <v>6.3409496564024987</v>
      </c>
      <c r="J9757">
        <f>(Table1[[#This Row],[value]] - Table1[[#This Row],[mean]]) / Table1[[#This Row],[std_dev]]</f>
        <v>0.21051419521132667</v>
      </c>
      <c r="K9757">
        <f>AVERAGEIF(Table1[CountryCode],Table1[[#This Row],[CountryCode]],Table1[z-score])</f>
        <v>-0.44487406992812789</v>
      </c>
    </row>
    <row r="9758" spans="1:12" hidden="1" x14ac:dyDescent="0.3">
      <c r="A9758" t="s">
        <v>87</v>
      </c>
      <c r="B9758" t="s">
        <v>88</v>
      </c>
      <c r="C9758" t="s">
        <v>129</v>
      </c>
      <c r="D9758" t="s">
        <v>130</v>
      </c>
      <c r="E9758">
        <v>2021</v>
      </c>
      <c r="F9758" s="1">
        <v>73</v>
      </c>
      <c r="G9758">
        <v>1960</v>
      </c>
      <c r="H9758">
        <f>AVERAGEIFS(Table1[value],Table1[IndicatorCode],Table1[[#This Row],[IndicatorCode]])</f>
        <v>72.66514008620689</v>
      </c>
      <c r="I9758" cm="1">
        <f t="array" ref="I9758">_xlfn.STDEV.P(IF(Table1[IndicatorCode]=Table1[[#This Row],[IndicatorCode]],Table1[value]))</f>
        <v>6.3409496564024987</v>
      </c>
      <c r="J9758">
        <f>(Table1[[#This Row],[value]] - Table1[[#This Row],[mean]]) / Table1[[#This Row],[std_dev]]</f>
        <v>5.2809110927887599E-2</v>
      </c>
      <c r="K9758">
        <f>AVERAGEIF(Table1[CountryCode],Table1[[#This Row],[CountryCode]],Table1[z-score])</f>
        <v>-0.44487406992812789</v>
      </c>
      <c r="L9758" t="e">
        <f>VLOOKUP(Table1[[#This Row],[CountryCode]],[1]!Table1[#All],1,FALSE)</f>
        <v>#REF!</v>
      </c>
    </row>
    <row r="9759" spans="1:12" hidden="1" x14ac:dyDescent="0.3">
      <c r="A9759" t="s">
        <v>87</v>
      </c>
      <c r="B9759" t="s">
        <v>88</v>
      </c>
      <c r="C9759" t="s">
        <v>129</v>
      </c>
      <c r="D9759" t="s">
        <v>130</v>
      </c>
      <c r="E9759">
        <v>2022</v>
      </c>
      <c r="F9759" s="1">
        <v>74</v>
      </c>
      <c r="G9759">
        <v>1960</v>
      </c>
      <c r="H9759">
        <f>AVERAGEIFS(Table1[value],Table1[IndicatorCode],Table1[[#This Row],[IndicatorCode]])</f>
        <v>72.66514008620689</v>
      </c>
      <c r="I9759" cm="1">
        <f t="array" ref="I9759">_xlfn.STDEV.P(IF(Table1[IndicatorCode]=Table1[[#This Row],[IndicatorCode]],Table1[value]))</f>
        <v>6.3409496564024987</v>
      </c>
      <c r="J9759">
        <f>(Table1[[#This Row],[value]] - Table1[[#This Row],[mean]]) / Table1[[#This Row],[std_dev]]</f>
        <v>0.21051419521132667</v>
      </c>
      <c r="K9759">
        <f>AVERAGEIF(Table1[CountryCode],Table1[[#This Row],[CountryCode]],Table1[z-score])</f>
        <v>-0.44487406992812789</v>
      </c>
      <c r="L9759" t="e">
        <f>VLOOKUP(Table1[[#This Row],[CountryCode]],[1]!Table1[#All],1,FALSE)</f>
        <v>#REF!</v>
      </c>
    </row>
    <row r="9760" spans="1:12" hidden="1" x14ac:dyDescent="0.3">
      <c r="A9760" t="s">
        <v>87</v>
      </c>
      <c r="B9760" t="s">
        <v>88</v>
      </c>
      <c r="C9760" t="s">
        <v>129</v>
      </c>
      <c r="D9760" t="s">
        <v>130</v>
      </c>
      <c r="E9760">
        <v>2023</v>
      </c>
      <c r="F9760" s="1">
        <v>75</v>
      </c>
      <c r="G9760">
        <v>1960</v>
      </c>
      <c r="H9760">
        <f>AVERAGEIFS(Table1[value],Table1[IndicatorCode],Table1[[#This Row],[IndicatorCode]])</f>
        <v>72.66514008620689</v>
      </c>
      <c r="I9760" cm="1">
        <f t="array" ref="I9760">_xlfn.STDEV.P(IF(Table1[IndicatorCode]=Table1[[#This Row],[IndicatorCode]],Table1[value]))</f>
        <v>6.3409496564024987</v>
      </c>
      <c r="J9760">
        <f>(Table1[[#This Row],[value]] - Table1[[#This Row],[mean]]) / Table1[[#This Row],[std_dev]]</f>
        <v>0.36821927949476574</v>
      </c>
      <c r="K9760">
        <f>AVERAGEIF(Table1[CountryCode],Table1[[#This Row],[CountryCode]],Table1[z-score])</f>
        <v>-0.44487406992812789</v>
      </c>
      <c r="L9760" t="e">
        <f>VLOOKUP(Table1[[#This Row],[CountryCode]],[1]!Table1[#All],1,FALSE)</f>
        <v>#REF!</v>
      </c>
    </row>
    <row r="9761" spans="1:12" hidden="1" x14ac:dyDescent="0.3">
      <c r="A9761" t="s">
        <v>89</v>
      </c>
      <c r="B9761" t="s">
        <v>90</v>
      </c>
      <c r="C9761" t="s">
        <v>129</v>
      </c>
      <c r="D9761" t="s">
        <v>130</v>
      </c>
      <c r="E9761">
        <v>1960</v>
      </c>
      <c r="F9761" s="1">
        <v>65</v>
      </c>
      <c r="G9761">
        <v>1960</v>
      </c>
      <c r="H9761">
        <f>AVERAGEIFS(Table1[value],Table1[IndicatorCode],Table1[[#This Row],[IndicatorCode]])</f>
        <v>72.66514008620689</v>
      </c>
      <c r="I9761" cm="1">
        <f t="array" ref="I9761">_xlfn.STDEV.P(IF(Table1[IndicatorCode]=Table1[[#This Row],[IndicatorCode]],Table1[value]))</f>
        <v>6.3409496564024987</v>
      </c>
      <c r="J9761">
        <f>(Table1[[#This Row],[value]] - Table1[[#This Row],[mean]]) / Table1[[#This Row],[std_dev]]</f>
        <v>-1.2088315633396249</v>
      </c>
      <c r="K9761">
        <f>AVERAGEIF(Table1[CountryCode],Table1[[#This Row],[CountryCode]],Table1[z-score])</f>
        <v>-0.18785287830584751</v>
      </c>
      <c r="L9761" t="e">
        <f>VLOOKUP(Table1[[#This Row],[CountryCode]],[1]!Table1[#All],1,FALSE)</f>
        <v>#REF!</v>
      </c>
    </row>
    <row r="9762" spans="1:12" hidden="1" x14ac:dyDescent="0.3">
      <c r="A9762" t="s">
        <v>89</v>
      </c>
      <c r="B9762" t="s">
        <v>90</v>
      </c>
      <c r="C9762" t="s">
        <v>129</v>
      </c>
      <c r="D9762" t="s">
        <v>130</v>
      </c>
      <c r="E9762">
        <v>1961</v>
      </c>
      <c r="F9762" s="1">
        <v>66</v>
      </c>
      <c r="G9762">
        <v>1960</v>
      </c>
      <c r="H9762">
        <f>AVERAGEIFS(Table1[value],Table1[IndicatorCode],Table1[[#This Row],[IndicatorCode]])</f>
        <v>72.66514008620689</v>
      </c>
      <c r="I9762" cm="1">
        <f t="array" ref="I9762">_xlfn.STDEV.P(IF(Table1[IndicatorCode]=Table1[[#This Row],[IndicatorCode]],Table1[value]))</f>
        <v>6.3409496564024987</v>
      </c>
      <c r="J9762">
        <f>(Table1[[#This Row],[value]] - Table1[[#This Row],[mean]]) / Table1[[#This Row],[std_dev]]</f>
        <v>-1.0511264790561858</v>
      </c>
      <c r="K9762">
        <f>AVERAGEIF(Table1[CountryCode],Table1[[#This Row],[CountryCode]],Table1[z-score])</f>
        <v>-0.18785287830584751</v>
      </c>
      <c r="L9762" t="e">
        <f>VLOOKUP(Table1[[#This Row],[CountryCode]],[1]!Table1[#All],1,FALSE)</f>
        <v>#REF!</v>
      </c>
    </row>
    <row r="9763" spans="1:12" hidden="1" x14ac:dyDescent="0.3">
      <c r="A9763" t="s">
        <v>89</v>
      </c>
      <c r="B9763" t="s">
        <v>90</v>
      </c>
      <c r="C9763" t="s">
        <v>129</v>
      </c>
      <c r="D9763" t="s">
        <v>130</v>
      </c>
      <c r="E9763">
        <v>1962</v>
      </c>
      <c r="F9763" s="1">
        <v>66</v>
      </c>
      <c r="G9763">
        <v>1960</v>
      </c>
      <c r="H9763">
        <f>AVERAGEIFS(Table1[value],Table1[IndicatorCode],Table1[[#This Row],[IndicatorCode]])</f>
        <v>72.66514008620689</v>
      </c>
      <c r="I9763" cm="1">
        <f t="array" ref="I9763">_xlfn.STDEV.P(IF(Table1[IndicatorCode]=Table1[[#This Row],[IndicatorCode]],Table1[value]))</f>
        <v>6.3409496564024987</v>
      </c>
      <c r="J9763">
        <f>(Table1[[#This Row],[value]] - Table1[[#This Row],[mean]]) / Table1[[#This Row],[std_dev]]</f>
        <v>-1.0511264790561858</v>
      </c>
      <c r="K9763">
        <f>AVERAGEIF(Table1[CountryCode],Table1[[#This Row],[CountryCode]],Table1[z-score])</f>
        <v>-0.18785287830584751</v>
      </c>
      <c r="L9763" t="e">
        <f>VLOOKUP(Table1[[#This Row],[CountryCode]],[1]!Table1[#All],1,FALSE)</f>
        <v>#REF!</v>
      </c>
    </row>
    <row r="9764" spans="1:12" hidden="1" x14ac:dyDescent="0.3">
      <c r="A9764" t="s">
        <v>89</v>
      </c>
      <c r="B9764" t="s">
        <v>90</v>
      </c>
      <c r="C9764" t="s">
        <v>129</v>
      </c>
      <c r="D9764" t="s">
        <v>130</v>
      </c>
      <c r="E9764">
        <v>1963</v>
      </c>
      <c r="F9764" s="1">
        <v>67</v>
      </c>
      <c r="G9764">
        <v>1960</v>
      </c>
      <c r="H9764">
        <f>AVERAGEIFS(Table1[value],Table1[IndicatorCode],Table1[[#This Row],[IndicatorCode]])</f>
        <v>72.66514008620689</v>
      </c>
      <c r="I9764" cm="1">
        <f t="array" ref="I9764">_xlfn.STDEV.P(IF(Table1[IndicatorCode]=Table1[[#This Row],[IndicatorCode]],Table1[value]))</f>
        <v>6.3409496564024987</v>
      </c>
      <c r="J9764">
        <f>(Table1[[#This Row],[value]] - Table1[[#This Row],[mean]]) / Table1[[#This Row],[std_dev]]</f>
        <v>-0.89342139477274674</v>
      </c>
      <c r="K9764">
        <f>AVERAGEIF(Table1[CountryCode],Table1[[#This Row],[CountryCode]],Table1[z-score])</f>
        <v>-0.18785287830584751</v>
      </c>
      <c r="L9764" t="e">
        <f>VLOOKUP(Table1[[#This Row],[CountryCode]],[1]!Table1[#All],1,FALSE)</f>
        <v>#REF!</v>
      </c>
    </row>
    <row r="9765" spans="1:12" hidden="1" x14ac:dyDescent="0.3">
      <c r="A9765" t="s">
        <v>89</v>
      </c>
      <c r="B9765" t="s">
        <v>90</v>
      </c>
      <c r="C9765" t="s">
        <v>129</v>
      </c>
      <c r="D9765" t="s">
        <v>130</v>
      </c>
      <c r="E9765">
        <v>1964</v>
      </c>
      <c r="F9765" s="1">
        <v>67</v>
      </c>
      <c r="G9765">
        <v>1960</v>
      </c>
      <c r="H9765">
        <f>AVERAGEIFS(Table1[value],Table1[IndicatorCode],Table1[[#This Row],[IndicatorCode]])</f>
        <v>72.66514008620689</v>
      </c>
      <c r="I9765" cm="1">
        <f t="array" ref="I9765">_xlfn.STDEV.P(IF(Table1[IndicatorCode]=Table1[[#This Row],[IndicatorCode]],Table1[value]))</f>
        <v>6.3409496564024987</v>
      </c>
      <c r="J9765">
        <f>(Table1[[#This Row],[value]] - Table1[[#This Row],[mean]]) / Table1[[#This Row],[std_dev]]</f>
        <v>-0.89342139477274674</v>
      </c>
      <c r="K9765">
        <f>AVERAGEIF(Table1[CountryCode],Table1[[#This Row],[CountryCode]],Table1[z-score])</f>
        <v>-0.18785287830584751</v>
      </c>
      <c r="L9765" t="e">
        <f>VLOOKUP(Table1[[#This Row],[CountryCode]],[1]!Table1[#All],1,FALSE)</f>
        <v>#REF!</v>
      </c>
    </row>
    <row r="9766" spans="1:12" hidden="1" x14ac:dyDescent="0.3">
      <c r="A9766" t="s">
        <v>89</v>
      </c>
      <c r="B9766" t="s">
        <v>90</v>
      </c>
      <c r="C9766" t="s">
        <v>129</v>
      </c>
      <c r="D9766" t="s">
        <v>130</v>
      </c>
      <c r="E9766">
        <v>1965</v>
      </c>
      <c r="F9766" s="1">
        <v>68</v>
      </c>
      <c r="G9766">
        <v>1960</v>
      </c>
      <c r="H9766">
        <f>AVERAGEIFS(Table1[value],Table1[IndicatorCode],Table1[[#This Row],[IndicatorCode]])</f>
        <v>72.66514008620689</v>
      </c>
      <c r="I9766" cm="1">
        <f t="array" ref="I9766">_xlfn.STDEV.P(IF(Table1[IndicatorCode]=Table1[[#This Row],[IndicatorCode]],Table1[value]))</f>
        <v>6.3409496564024987</v>
      </c>
      <c r="J9766">
        <f>(Table1[[#This Row],[value]] - Table1[[#This Row],[mean]]) / Table1[[#This Row],[std_dev]]</f>
        <v>-0.73571631048930775</v>
      </c>
      <c r="K9766">
        <f>AVERAGEIF(Table1[CountryCode],Table1[[#This Row],[CountryCode]],Table1[z-score])</f>
        <v>-0.18785287830584751</v>
      </c>
      <c r="L9766" t="e">
        <f>VLOOKUP(Table1[[#This Row],[CountryCode]],[1]!Table1[#All],1,FALSE)</f>
        <v>#REF!</v>
      </c>
    </row>
    <row r="9767" spans="1:12" hidden="1" x14ac:dyDescent="0.3">
      <c r="A9767" t="s">
        <v>89</v>
      </c>
      <c r="B9767" t="s">
        <v>90</v>
      </c>
      <c r="C9767" t="s">
        <v>129</v>
      </c>
      <c r="D9767" t="s">
        <v>130</v>
      </c>
      <c r="E9767">
        <v>1966</v>
      </c>
      <c r="F9767" s="1">
        <v>68</v>
      </c>
      <c r="G9767">
        <v>1960</v>
      </c>
      <c r="H9767">
        <f>AVERAGEIFS(Table1[value],Table1[IndicatorCode],Table1[[#This Row],[IndicatorCode]])</f>
        <v>72.66514008620689</v>
      </c>
      <c r="I9767" cm="1">
        <f t="array" ref="I9767">_xlfn.STDEV.P(IF(Table1[IndicatorCode]=Table1[[#This Row],[IndicatorCode]],Table1[value]))</f>
        <v>6.3409496564024987</v>
      </c>
      <c r="J9767">
        <f>(Table1[[#This Row],[value]] - Table1[[#This Row],[mean]]) / Table1[[#This Row],[std_dev]]</f>
        <v>-0.73571631048930775</v>
      </c>
      <c r="K9767">
        <f>AVERAGEIF(Table1[CountryCode],Table1[[#This Row],[CountryCode]],Table1[z-score])</f>
        <v>-0.18785287830584751</v>
      </c>
      <c r="L9767" t="e">
        <f>VLOOKUP(Table1[[#This Row],[CountryCode]],[1]!Table1[#All],1,FALSE)</f>
        <v>#REF!</v>
      </c>
    </row>
    <row r="9768" spans="1:12" hidden="1" x14ac:dyDescent="0.3">
      <c r="A9768" t="s">
        <v>89</v>
      </c>
      <c r="B9768" t="s">
        <v>90</v>
      </c>
      <c r="C9768" t="s">
        <v>129</v>
      </c>
      <c r="D9768" t="s">
        <v>130</v>
      </c>
      <c r="E9768">
        <v>1967</v>
      </c>
      <c r="F9768" s="1">
        <v>69</v>
      </c>
      <c r="G9768">
        <v>1970</v>
      </c>
      <c r="H9768">
        <f>AVERAGEIFS(Table1[value],Table1[IndicatorCode],Table1[[#This Row],[IndicatorCode]])</f>
        <v>72.66514008620689</v>
      </c>
      <c r="I9768" cm="1">
        <f t="array" ref="I9768">_xlfn.STDEV.P(IF(Table1[IndicatorCode]=Table1[[#This Row],[IndicatorCode]],Table1[value]))</f>
        <v>6.3409496564024987</v>
      </c>
      <c r="J9768">
        <f>(Table1[[#This Row],[value]] - Table1[[#This Row],[mean]]) / Table1[[#This Row],[std_dev]]</f>
        <v>-0.57801122620586864</v>
      </c>
      <c r="K9768">
        <f>AVERAGEIF(Table1[CountryCode],Table1[[#This Row],[CountryCode]],Table1[z-score])</f>
        <v>-0.18785287830584751</v>
      </c>
      <c r="L9768" t="e">
        <f>VLOOKUP(Table1[[#This Row],[CountryCode]],[1]!Table1[#All],1,FALSE)</f>
        <v>#REF!</v>
      </c>
    </row>
    <row r="9769" spans="1:12" hidden="1" x14ac:dyDescent="0.3">
      <c r="A9769" t="s">
        <v>89</v>
      </c>
      <c r="B9769" t="s">
        <v>90</v>
      </c>
      <c r="C9769" t="s">
        <v>129</v>
      </c>
      <c r="D9769" t="s">
        <v>130</v>
      </c>
      <c r="E9769">
        <v>1968</v>
      </c>
      <c r="F9769" s="1">
        <v>70</v>
      </c>
      <c r="G9769">
        <v>1970</v>
      </c>
      <c r="H9769">
        <f>AVERAGEIFS(Table1[value],Table1[IndicatorCode],Table1[[#This Row],[IndicatorCode]])</f>
        <v>72.66514008620689</v>
      </c>
      <c r="I9769" cm="1">
        <f t="array" ref="I9769">_xlfn.STDEV.P(IF(Table1[IndicatorCode]=Table1[[#This Row],[IndicatorCode]],Table1[value]))</f>
        <v>6.3409496564024987</v>
      </c>
      <c r="J9769">
        <f>(Table1[[#This Row],[value]] - Table1[[#This Row],[mean]]) / Table1[[#This Row],[std_dev]]</f>
        <v>-0.4203061419224296</v>
      </c>
      <c r="K9769">
        <f>AVERAGEIF(Table1[CountryCode],Table1[[#This Row],[CountryCode]],Table1[z-score])</f>
        <v>-0.18785287830584751</v>
      </c>
      <c r="L9769" t="e">
        <f>VLOOKUP(Table1[[#This Row],[CountryCode]],[1]!Table1[#All],1,FALSE)</f>
        <v>#REF!</v>
      </c>
    </row>
    <row r="9770" spans="1:12" hidden="1" x14ac:dyDescent="0.3">
      <c r="A9770" t="s">
        <v>89</v>
      </c>
      <c r="B9770" t="s">
        <v>90</v>
      </c>
      <c r="C9770" t="s">
        <v>129</v>
      </c>
      <c r="D9770" t="s">
        <v>130</v>
      </c>
      <c r="E9770">
        <v>1969</v>
      </c>
      <c r="F9770" s="1">
        <v>70</v>
      </c>
      <c r="G9770">
        <v>1970</v>
      </c>
      <c r="H9770">
        <f>AVERAGEIFS(Table1[value],Table1[IndicatorCode],Table1[[#This Row],[IndicatorCode]])</f>
        <v>72.66514008620689</v>
      </c>
      <c r="I9770" cm="1">
        <f t="array" ref="I9770">_xlfn.STDEV.P(IF(Table1[IndicatorCode]=Table1[[#This Row],[IndicatorCode]],Table1[value]))</f>
        <v>6.3409496564024987</v>
      </c>
      <c r="J9770">
        <f>(Table1[[#This Row],[value]] - Table1[[#This Row],[mean]]) / Table1[[#This Row],[std_dev]]</f>
        <v>-0.4203061419224296</v>
      </c>
      <c r="K9770">
        <f>AVERAGEIF(Table1[CountryCode],Table1[[#This Row],[CountryCode]],Table1[z-score])</f>
        <v>-0.18785287830584751</v>
      </c>
      <c r="L9770" t="e">
        <f>VLOOKUP(Table1[[#This Row],[CountryCode]],[1]!Table1[#All],1,FALSE)</f>
        <v>#REF!</v>
      </c>
    </row>
    <row r="9771" spans="1:12" hidden="1" x14ac:dyDescent="0.3">
      <c r="A9771" t="s">
        <v>89</v>
      </c>
      <c r="B9771" t="s">
        <v>90</v>
      </c>
      <c r="C9771" t="s">
        <v>129</v>
      </c>
      <c r="D9771" t="s">
        <v>130</v>
      </c>
      <c r="E9771">
        <v>1970</v>
      </c>
      <c r="F9771" s="1">
        <v>70</v>
      </c>
      <c r="G9771">
        <v>1970</v>
      </c>
      <c r="H9771">
        <f>AVERAGEIFS(Table1[value],Table1[IndicatorCode],Table1[[#This Row],[IndicatorCode]])</f>
        <v>72.66514008620689</v>
      </c>
      <c r="I9771" cm="1">
        <f t="array" ref="I9771">_xlfn.STDEV.P(IF(Table1[IndicatorCode]=Table1[[#This Row],[IndicatorCode]],Table1[value]))</f>
        <v>6.3409496564024987</v>
      </c>
      <c r="J9771">
        <f>(Table1[[#This Row],[value]] - Table1[[#This Row],[mean]]) / Table1[[#This Row],[std_dev]]</f>
        <v>-0.4203061419224296</v>
      </c>
      <c r="K9771">
        <f>AVERAGEIF(Table1[CountryCode],Table1[[#This Row],[CountryCode]],Table1[z-score])</f>
        <v>-0.18785287830584751</v>
      </c>
      <c r="L9771" t="e">
        <f>VLOOKUP(Table1[[#This Row],[CountryCode]],[1]!Table1[#All],1,FALSE)</f>
        <v>#REF!</v>
      </c>
    </row>
    <row r="9772" spans="1:12" hidden="1" x14ac:dyDescent="0.3">
      <c r="A9772" t="s">
        <v>89</v>
      </c>
      <c r="B9772" t="s">
        <v>90</v>
      </c>
      <c r="C9772" t="s">
        <v>129</v>
      </c>
      <c r="D9772" t="s">
        <v>130</v>
      </c>
      <c r="E9772">
        <v>1971</v>
      </c>
      <c r="F9772" s="1">
        <v>71</v>
      </c>
      <c r="G9772">
        <v>1970</v>
      </c>
      <c r="H9772">
        <f>AVERAGEIFS(Table1[value],Table1[IndicatorCode],Table1[[#This Row],[IndicatorCode]])</f>
        <v>72.66514008620689</v>
      </c>
      <c r="I9772" cm="1">
        <f t="array" ref="I9772">_xlfn.STDEV.P(IF(Table1[IndicatorCode]=Table1[[#This Row],[IndicatorCode]],Table1[value]))</f>
        <v>6.3409496564024987</v>
      </c>
      <c r="J9772">
        <f>(Table1[[#This Row],[value]] - Table1[[#This Row],[mean]]) / Table1[[#This Row],[std_dev]]</f>
        <v>-0.2626010576389905</v>
      </c>
      <c r="K9772">
        <f>AVERAGEIF(Table1[CountryCode],Table1[[#This Row],[CountryCode]],Table1[z-score])</f>
        <v>-0.18785287830584751</v>
      </c>
      <c r="L9772" t="e">
        <f>VLOOKUP(Table1[[#This Row],[CountryCode]],[1]!Table1[#All],1,FALSE)</f>
        <v>#REF!</v>
      </c>
    </row>
    <row r="9773" spans="1:12" hidden="1" x14ac:dyDescent="0.3">
      <c r="A9773" t="s">
        <v>89</v>
      </c>
      <c r="B9773" t="s">
        <v>90</v>
      </c>
      <c r="C9773" t="s">
        <v>129</v>
      </c>
      <c r="D9773" t="s">
        <v>130</v>
      </c>
      <c r="E9773">
        <v>1972</v>
      </c>
      <c r="F9773" s="1">
        <v>71</v>
      </c>
      <c r="G9773">
        <v>1970</v>
      </c>
      <c r="H9773">
        <f>AVERAGEIFS(Table1[value],Table1[IndicatorCode],Table1[[#This Row],[IndicatorCode]])</f>
        <v>72.66514008620689</v>
      </c>
      <c r="I9773" cm="1">
        <f t="array" ref="I9773">_xlfn.STDEV.P(IF(Table1[IndicatorCode]=Table1[[#This Row],[IndicatorCode]],Table1[value]))</f>
        <v>6.3409496564024987</v>
      </c>
      <c r="J9773">
        <f>(Table1[[#This Row],[value]] - Table1[[#This Row],[mean]]) / Table1[[#This Row],[std_dev]]</f>
        <v>-0.2626010576389905</v>
      </c>
      <c r="K9773">
        <f>AVERAGEIF(Table1[CountryCode],Table1[[#This Row],[CountryCode]],Table1[z-score])</f>
        <v>-0.18785287830584751</v>
      </c>
      <c r="L9773" t="e">
        <f>VLOOKUP(Table1[[#This Row],[CountryCode]],[1]!Table1[#All],1,FALSE)</f>
        <v>#REF!</v>
      </c>
    </row>
    <row r="9774" spans="1:12" hidden="1" x14ac:dyDescent="0.3">
      <c r="A9774" t="s">
        <v>89</v>
      </c>
      <c r="B9774" t="s">
        <v>90</v>
      </c>
      <c r="C9774" t="s">
        <v>129</v>
      </c>
      <c r="D9774" t="s">
        <v>130</v>
      </c>
      <c r="E9774">
        <v>1973</v>
      </c>
      <c r="F9774" s="1">
        <v>71</v>
      </c>
      <c r="G9774">
        <v>1970</v>
      </c>
      <c r="H9774">
        <f>AVERAGEIFS(Table1[value],Table1[IndicatorCode],Table1[[#This Row],[IndicatorCode]])</f>
        <v>72.66514008620689</v>
      </c>
      <c r="I9774" cm="1">
        <f t="array" ref="I9774">_xlfn.STDEV.P(IF(Table1[IndicatorCode]=Table1[[#This Row],[IndicatorCode]],Table1[value]))</f>
        <v>6.3409496564024987</v>
      </c>
      <c r="J9774">
        <f>(Table1[[#This Row],[value]] - Table1[[#This Row],[mean]]) / Table1[[#This Row],[std_dev]]</f>
        <v>-0.2626010576389905</v>
      </c>
      <c r="K9774">
        <f>AVERAGEIF(Table1[CountryCode],Table1[[#This Row],[CountryCode]],Table1[z-score])</f>
        <v>-0.18785287830584751</v>
      </c>
      <c r="L9774" t="e">
        <f>VLOOKUP(Table1[[#This Row],[CountryCode]],[1]!Table1[#All],1,FALSE)</f>
        <v>#REF!</v>
      </c>
    </row>
    <row r="9775" spans="1:12" hidden="1" x14ac:dyDescent="0.3">
      <c r="A9775" t="s">
        <v>89</v>
      </c>
      <c r="B9775" t="s">
        <v>90</v>
      </c>
      <c r="C9775" t="s">
        <v>129</v>
      </c>
      <c r="D9775" t="s">
        <v>130</v>
      </c>
      <c r="E9775">
        <v>1974</v>
      </c>
      <c r="F9775" s="1">
        <v>71</v>
      </c>
      <c r="G9775">
        <v>1970</v>
      </c>
      <c r="H9775">
        <f>AVERAGEIFS(Table1[value],Table1[IndicatorCode],Table1[[#This Row],[IndicatorCode]])</f>
        <v>72.66514008620689</v>
      </c>
      <c r="I9775" cm="1">
        <f t="array" ref="I9775">_xlfn.STDEV.P(IF(Table1[IndicatorCode]=Table1[[#This Row],[IndicatorCode]],Table1[value]))</f>
        <v>6.3409496564024987</v>
      </c>
      <c r="J9775">
        <f>(Table1[[#This Row],[value]] - Table1[[#This Row],[mean]]) / Table1[[#This Row],[std_dev]]</f>
        <v>-0.2626010576389905</v>
      </c>
      <c r="K9775">
        <f>AVERAGEIF(Table1[CountryCode],Table1[[#This Row],[CountryCode]],Table1[z-score])</f>
        <v>-0.18785287830584751</v>
      </c>
      <c r="L9775" t="e">
        <f>VLOOKUP(Table1[[#This Row],[CountryCode]],[1]!Table1[#All],1,FALSE)</f>
        <v>#REF!</v>
      </c>
    </row>
    <row r="9776" spans="1:12" hidden="1" x14ac:dyDescent="0.3">
      <c r="A9776" t="s">
        <v>89</v>
      </c>
      <c r="B9776" t="s">
        <v>90</v>
      </c>
      <c r="C9776" t="s">
        <v>129</v>
      </c>
      <c r="D9776" t="s">
        <v>130</v>
      </c>
      <c r="E9776">
        <v>1975</v>
      </c>
      <c r="F9776" s="1">
        <v>72</v>
      </c>
      <c r="G9776">
        <v>1970</v>
      </c>
      <c r="H9776">
        <f>AVERAGEIFS(Table1[value],Table1[IndicatorCode],Table1[[#This Row],[IndicatorCode]])</f>
        <v>72.66514008620689</v>
      </c>
      <c r="I9776" cm="1">
        <f t="array" ref="I9776">_xlfn.STDEV.P(IF(Table1[IndicatorCode]=Table1[[#This Row],[IndicatorCode]],Table1[value]))</f>
        <v>6.3409496564024987</v>
      </c>
      <c r="J9776">
        <f>(Table1[[#This Row],[value]] - Table1[[#This Row],[mean]]) / Table1[[#This Row],[std_dev]]</f>
        <v>-0.10489597335555145</v>
      </c>
      <c r="K9776">
        <f>AVERAGEIF(Table1[CountryCode],Table1[[#This Row],[CountryCode]],Table1[z-score])</f>
        <v>-0.18785287830584751</v>
      </c>
      <c r="L9776" t="e">
        <f>VLOOKUP(Table1[[#This Row],[CountryCode]],[1]!Table1[#All],1,FALSE)</f>
        <v>#REF!</v>
      </c>
    </row>
    <row r="9777" spans="1:12" hidden="1" x14ac:dyDescent="0.3">
      <c r="A9777" t="s">
        <v>89</v>
      </c>
      <c r="B9777" t="s">
        <v>90</v>
      </c>
      <c r="C9777" t="s">
        <v>129</v>
      </c>
      <c r="D9777" t="s">
        <v>130</v>
      </c>
      <c r="E9777">
        <v>1976</v>
      </c>
      <c r="F9777" s="1">
        <v>72</v>
      </c>
      <c r="G9777">
        <v>1970</v>
      </c>
      <c r="H9777">
        <f>AVERAGEIFS(Table1[value],Table1[IndicatorCode],Table1[[#This Row],[IndicatorCode]])</f>
        <v>72.66514008620689</v>
      </c>
      <c r="I9777" cm="1">
        <f t="array" ref="I9777">_xlfn.STDEV.P(IF(Table1[IndicatorCode]=Table1[[#This Row],[IndicatorCode]],Table1[value]))</f>
        <v>6.3409496564024987</v>
      </c>
      <c r="J9777">
        <f>(Table1[[#This Row],[value]] - Table1[[#This Row],[mean]]) / Table1[[#This Row],[std_dev]]</f>
        <v>-0.10489597335555145</v>
      </c>
      <c r="K9777">
        <f>AVERAGEIF(Table1[CountryCode],Table1[[#This Row],[CountryCode]],Table1[z-score])</f>
        <v>-0.18785287830584751</v>
      </c>
      <c r="L9777" t="e">
        <f>VLOOKUP(Table1[[#This Row],[CountryCode]],[1]!Table1[#All],1,FALSE)</f>
        <v>#REF!</v>
      </c>
    </row>
    <row r="9778" spans="1:12" hidden="1" x14ac:dyDescent="0.3">
      <c r="A9778" t="s">
        <v>89</v>
      </c>
      <c r="B9778" t="s">
        <v>90</v>
      </c>
      <c r="C9778" t="s">
        <v>129</v>
      </c>
      <c r="D9778" t="s">
        <v>130</v>
      </c>
      <c r="E9778">
        <v>1977</v>
      </c>
      <c r="F9778" s="1">
        <v>72</v>
      </c>
      <c r="G9778">
        <v>1980</v>
      </c>
      <c r="H9778">
        <f>AVERAGEIFS(Table1[value],Table1[IndicatorCode],Table1[[#This Row],[IndicatorCode]])</f>
        <v>72.66514008620689</v>
      </c>
      <c r="I9778" cm="1">
        <f t="array" ref="I9778">_xlfn.STDEV.P(IF(Table1[IndicatorCode]=Table1[[#This Row],[IndicatorCode]],Table1[value]))</f>
        <v>6.3409496564024987</v>
      </c>
      <c r="J9778">
        <f>(Table1[[#This Row],[value]] - Table1[[#This Row],[mean]]) / Table1[[#This Row],[std_dev]]</f>
        <v>-0.10489597335555145</v>
      </c>
      <c r="K9778">
        <f>AVERAGEIF(Table1[CountryCode],Table1[[#This Row],[CountryCode]],Table1[z-score])</f>
        <v>-0.18785287830584751</v>
      </c>
      <c r="L9778" t="e">
        <f>VLOOKUP(Table1[[#This Row],[CountryCode]],[1]!Table1[#All],1,FALSE)</f>
        <v>#REF!</v>
      </c>
    </row>
    <row r="9779" spans="1:12" hidden="1" x14ac:dyDescent="0.3">
      <c r="A9779" t="s">
        <v>89</v>
      </c>
      <c r="B9779" t="s">
        <v>90</v>
      </c>
      <c r="C9779" t="s">
        <v>129</v>
      </c>
      <c r="D9779" t="s">
        <v>130</v>
      </c>
      <c r="E9779">
        <v>1978</v>
      </c>
      <c r="F9779" s="1">
        <v>72</v>
      </c>
      <c r="G9779">
        <v>1980</v>
      </c>
      <c r="H9779">
        <f>AVERAGEIFS(Table1[value],Table1[IndicatorCode],Table1[[#This Row],[IndicatorCode]])</f>
        <v>72.66514008620689</v>
      </c>
      <c r="I9779" cm="1">
        <f t="array" ref="I9779">_xlfn.STDEV.P(IF(Table1[IndicatorCode]=Table1[[#This Row],[IndicatorCode]],Table1[value]))</f>
        <v>6.3409496564024987</v>
      </c>
      <c r="J9779">
        <f>(Table1[[#This Row],[value]] - Table1[[#This Row],[mean]]) / Table1[[#This Row],[std_dev]]</f>
        <v>-0.10489597335555145</v>
      </c>
      <c r="K9779">
        <f>AVERAGEIF(Table1[CountryCode],Table1[[#This Row],[CountryCode]],Table1[z-score])</f>
        <v>-0.18785287830584751</v>
      </c>
      <c r="L9779" t="e">
        <f>VLOOKUP(Table1[[#This Row],[CountryCode]],[1]!Table1[#All],1,FALSE)</f>
        <v>#REF!</v>
      </c>
    </row>
    <row r="9780" spans="1:12" hidden="1" x14ac:dyDescent="0.3">
      <c r="A9780" t="s">
        <v>89</v>
      </c>
      <c r="B9780" t="s">
        <v>90</v>
      </c>
      <c r="C9780" t="s">
        <v>129</v>
      </c>
      <c r="D9780" t="s">
        <v>130</v>
      </c>
      <c r="E9780">
        <v>1979</v>
      </c>
      <c r="F9780" s="1">
        <v>71</v>
      </c>
      <c r="G9780">
        <v>1980</v>
      </c>
      <c r="H9780">
        <f>AVERAGEIFS(Table1[value],Table1[IndicatorCode],Table1[[#This Row],[IndicatorCode]])</f>
        <v>72.66514008620689</v>
      </c>
      <c r="I9780" cm="1">
        <f t="array" ref="I9780">_xlfn.STDEV.P(IF(Table1[IndicatorCode]=Table1[[#This Row],[IndicatorCode]],Table1[value]))</f>
        <v>6.3409496564024987</v>
      </c>
      <c r="J9780">
        <f>(Table1[[#This Row],[value]] - Table1[[#This Row],[mean]]) / Table1[[#This Row],[std_dev]]</f>
        <v>-0.2626010576389905</v>
      </c>
      <c r="K9780">
        <f>AVERAGEIF(Table1[CountryCode],Table1[[#This Row],[CountryCode]],Table1[z-score])</f>
        <v>-0.18785287830584751</v>
      </c>
      <c r="L9780" t="e">
        <f>VLOOKUP(Table1[[#This Row],[CountryCode]],[1]!Table1[#All],1,FALSE)</f>
        <v>#REF!</v>
      </c>
    </row>
    <row r="9781" spans="1:12" hidden="1" x14ac:dyDescent="0.3">
      <c r="A9781" t="s">
        <v>89</v>
      </c>
      <c r="B9781" t="s">
        <v>90</v>
      </c>
      <c r="C9781" t="s">
        <v>129</v>
      </c>
      <c r="D9781" t="s">
        <v>130</v>
      </c>
      <c r="E9781">
        <v>1980</v>
      </c>
      <c r="F9781" s="1">
        <v>72</v>
      </c>
      <c r="G9781">
        <v>1980</v>
      </c>
      <c r="H9781">
        <f>AVERAGEIFS(Table1[value],Table1[IndicatorCode],Table1[[#This Row],[IndicatorCode]])</f>
        <v>72.66514008620689</v>
      </c>
      <c r="I9781" cm="1">
        <f t="array" ref="I9781">_xlfn.STDEV.P(IF(Table1[IndicatorCode]=Table1[[#This Row],[IndicatorCode]],Table1[value]))</f>
        <v>6.3409496564024987</v>
      </c>
      <c r="J9781">
        <f>(Table1[[#This Row],[value]] - Table1[[#This Row],[mean]]) / Table1[[#This Row],[std_dev]]</f>
        <v>-0.10489597335555145</v>
      </c>
      <c r="K9781">
        <f>AVERAGEIF(Table1[CountryCode],Table1[[#This Row],[CountryCode]],Table1[z-score])</f>
        <v>-0.18785287830584751</v>
      </c>
      <c r="L9781" t="e">
        <f>VLOOKUP(Table1[[#This Row],[CountryCode]],[1]!Table1[#All],1,FALSE)</f>
        <v>#REF!</v>
      </c>
    </row>
    <row r="9782" spans="1:12" hidden="1" x14ac:dyDescent="0.3">
      <c r="A9782" t="s">
        <v>89</v>
      </c>
      <c r="B9782" t="s">
        <v>90</v>
      </c>
      <c r="C9782" t="s">
        <v>129</v>
      </c>
      <c r="D9782" t="s">
        <v>130</v>
      </c>
      <c r="E9782">
        <v>1981</v>
      </c>
      <c r="F9782" s="1">
        <v>72</v>
      </c>
      <c r="G9782">
        <v>1980</v>
      </c>
      <c r="H9782">
        <f>AVERAGEIFS(Table1[value],Table1[IndicatorCode],Table1[[#This Row],[IndicatorCode]])</f>
        <v>72.66514008620689</v>
      </c>
      <c r="I9782" cm="1">
        <f t="array" ref="I9782">_xlfn.STDEV.P(IF(Table1[IndicatorCode]=Table1[[#This Row],[IndicatorCode]],Table1[value]))</f>
        <v>6.3409496564024987</v>
      </c>
      <c r="J9782">
        <f>(Table1[[#This Row],[value]] - Table1[[#This Row],[mean]]) / Table1[[#This Row],[std_dev]]</f>
        <v>-0.10489597335555145</v>
      </c>
      <c r="K9782">
        <f>AVERAGEIF(Table1[CountryCode],Table1[[#This Row],[CountryCode]],Table1[z-score])</f>
        <v>-0.18785287830584751</v>
      </c>
      <c r="L9782" t="e">
        <f>VLOOKUP(Table1[[#This Row],[CountryCode]],[1]!Table1[#All],1,FALSE)</f>
        <v>#REF!</v>
      </c>
    </row>
    <row r="9783" spans="1:12" hidden="1" x14ac:dyDescent="0.3">
      <c r="A9783" t="s">
        <v>89</v>
      </c>
      <c r="B9783" t="s">
        <v>90</v>
      </c>
      <c r="C9783" t="s">
        <v>129</v>
      </c>
      <c r="D9783" t="s">
        <v>130</v>
      </c>
      <c r="E9783">
        <v>1982</v>
      </c>
      <c r="F9783" s="1">
        <v>72</v>
      </c>
      <c r="G9783">
        <v>1980</v>
      </c>
      <c r="H9783">
        <f>AVERAGEIFS(Table1[value],Table1[IndicatorCode],Table1[[#This Row],[IndicatorCode]])</f>
        <v>72.66514008620689</v>
      </c>
      <c r="I9783" cm="1">
        <f t="array" ref="I9783">_xlfn.STDEV.P(IF(Table1[IndicatorCode]=Table1[[#This Row],[IndicatorCode]],Table1[value]))</f>
        <v>6.3409496564024987</v>
      </c>
      <c r="J9783">
        <f>(Table1[[#This Row],[value]] - Table1[[#This Row],[mean]]) / Table1[[#This Row],[std_dev]]</f>
        <v>-0.10489597335555145</v>
      </c>
      <c r="K9783">
        <f>AVERAGEIF(Table1[CountryCode],Table1[[#This Row],[CountryCode]],Table1[z-score])</f>
        <v>-0.18785287830584751</v>
      </c>
      <c r="L9783" t="e">
        <f>VLOOKUP(Table1[[#This Row],[CountryCode]],[1]!Table1[#All],1,FALSE)</f>
        <v>#REF!</v>
      </c>
    </row>
    <row r="9784" spans="1:12" hidden="1" x14ac:dyDescent="0.3">
      <c r="A9784" t="s">
        <v>89</v>
      </c>
      <c r="B9784" t="s">
        <v>90</v>
      </c>
      <c r="C9784" t="s">
        <v>129</v>
      </c>
      <c r="D9784" t="s">
        <v>130</v>
      </c>
      <c r="E9784">
        <v>1983</v>
      </c>
      <c r="F9784" s="1">
        <v>72</v>
      </c>
      <c r="G9784">
        <v>1980</v>
      </c>
      <c r="H9784">
        <f>AVERAGEIFS(Table1[value],Table1[IndicatorCode],Table1[[#This Row],[IndicatorCode]])</f>
        <v>72.66514008620689</v>
      </c>
      <c r="I9784" cm="1">
        <f t="array" ref="I9784">_xlfn.STDEV.P(IF(Table1[IndicatorCode]=Table1[[#This Row],[IndicatorCode]],Table1[value]))</f>
        <v>6.3409496564024987</v>
      </c>
      <c r="J9784">
        <f>(Table1[[#This Row],[value]] - Table1[[#This Row],[mean]]) / Table1[[#This Row],[std_dev]]</f>
        <v>-0.10489597335555145</v>
      </c>
      <c r="K9784">
        <f>AVERAGEIF(Table1[CountryCode],Table1[[#This Row],[CountryCode]],Table1[z-score])</f>
        <v>-0.18785287830584751</v>
      </c>
      <c r="L9784" t="e">
        <f>VLOOKUP(Table1[[#This Row],[CountryCode]],[1]!Table1[#All],1,FALSE)</f>
        <v>#REF!</v>
      </c>
    </row>
    <row r="9785" spans="1:12" hidden="1" x14ac:dyDescent="0.3">
      <c r="A9785" t="s">
        <v>89</v>
      </c>
      <c r="B9785" t="s">
        <v>90</v>
      </c>
      <c r="C9785" t="s">
        <v>129</v>
      </c>
      <c r="D9785" t="s">
        <v>130</v>
      </c>
      <c r="E9785">
        <v>1984</v>
      </c>
      <c r="F9785" s="1">
        <v>72</v>
      </c>
      <c r="G9785">
        <v>1980</v>
      </c>
      <c r="H9785">
        <f>AVERAGEIFS(Table1[value],Table1[IndicatorCode],Table1[[#This Row],[IndicatorCode]])</f>
        <v>72.66514008620689</v>
      </c>
      <c r="I9785" cm="1">
        <f t="array" ref="I9785">_xlfn.STDEV.P(IF(Table1[IndicatorCode]=Table1[[#This Row],[IndicatorCode]],Table1[value]))</f>
        <v>6.3409496564024987</v>
      </c>
      <c r="J9785">
        <f>(Table1[[#This Row],[value]] - Table1[[#This Row],[mean]]) / Table1[[#This Row],[std_dev]]</f>
        <v>-0.10489597335555145</v>
      </c>
      <c r="K9785">
        <f>AVERAGEIF(Table1[CountryCode],Table1[[#This Row],[CountryCode]],Table1[z-score])</f>
        <v>-0.18785287830584751</v>
      </c>
      <c r="L9785" t="e">
        <f>VLOOKUP(Table1[[#This Row],[CountryCode]],[1]!Table1[#All],1,FALSE)</f>
        <v>#REF!</v>
      </c>
    </row>
    <row r="9786" spans="1:12" hidden="1" x14ac:dyDescent="0.3">
      <c r="A9786" t="s">
        <v>89</v>
      </c>
      <c r="B9786" t="s">
        <v>90</v>
      </c>
      <c r="C9786" t="s">
        <v>129</v>
      </c>
      <c r="D9786" t="s">
        <v>130</v>
      </c>
      <c r="E9786">
        <v>1985</v>
      </c>
      <c r="F9786" s="1">
        <v>72</v>
      </c>
      <c r="G9786">
        <v>1980</v>
      </c>
      <c r="H9786">
        <f>AVERAGEIFS(Table1[value],Table1[IndicatorCode],Table1[[#This Row],[IndicatorCode]])</f>
        <v>72.66514008620689</v>
      </c>
      <c r="I9786" cm="1">
        <f t="array" ref="I9786">_xlfn.STDEV.P(IF(Table1[IndicatorCode]=Table1[[#This Row],[IndicatorCode]],Table1[value]))</f>
        <v>6.3409496564024987</v>
      </c>
      <c r="J9786">
        <f>(Table1[[#This Row],[value]] - Table1[[#This Row],[mean]]) / Table1[[#This Row],[std_dev]]</f>
        <v>-0.10489597335555145</v>
      </c>
      <c r="K9786">
        <f>AVERAGEIF(Table1[CountryCode],Table1[[#This Row],[CountryCode]],Table1[z-score])</f>
        <v>-0.18785287830584751</v>
      </c>
      <c r="L9786" t="e">
        <f>VLOOKUP(Table1[[#This Row],[CountryCode]],[1]!Table1[#All],1,FALSE)</f>
        <v>#REF!</v>
      </c>
    </row>
    <row r="9787" spans="1:12" hidden="1" x14ac:dyDescent="0.3">
      <c r="A9787" t="s">
        <v>89</v>
      </c>
      <c r="B9787" t="s">
        <v>90</v>
      </c>
      <c r="C9787" t="s">
        <v>129</v>
      </c>
      <c r="D9787" t="s">
        <v>130</v>
      </c>
      <c r="E9787">
        <v>1986</v>
      </c>
      <c r="F9787" s="1">
        <v>73</v>
      </c>
      <c r="G9787">
        <v>1980</v>
      </c>
      <c r="H9787">
        <f>AVERAGEIFS(Table1[value],Table1[IndicatorCode],Table1[[#This Row],[IndicatorCode]])</f>
        <v>72.66514008620689</v>
      </c>
      <c r="I9787" cm="1">
        <f t="array" ref="I9787">_xlfn.STDEV.P(IF(Table1[IndicatorCode]=Table1[[#This Row],[IndicatorCode]],Table1[value]))</f>
        <v>6.3409496564024987</v>
      </c>
      <c r="J9787">
        <f>(Table1[[#This Row],[value]] - Table1[[#This Row],[mean]]) / Table1[[#This Row],[std_dev]]</f>
        <v>5.2809110927887599E-2</v>
      </c>
      <c r="K9787">
        <f>AVERAGEIF(Table1[CountryCode],Table1[[#This Row],[CountryCode]],Table1[z-score])</f>
        <v>-0.18785287830584751</v>
      </c>
      <c r="L9787" t="e">
        <f>VLOOKUP(Table1[[#This Row],[CountryCode]],[1]!Table1[#All],1,FALSE)</f>
        <v>#REF!</v>
      </c>
    </row>
    <row r="9788" spans="1:12" hidden="1" x14ac:dyDescent="0.3">
      <c r="A9788" t="s">
        <v>89</v>
      </c>
      <c r="B9788" t="s">
        <v>90</v>
      </c>
      <c r="C9788" t="s">
        <v>129</v>
      </c>
      <c r="D9788" t="s">
        <v>130</v>
      </c>
      <c r="E9788">
        <v>1987</v>
      </c>
      <c r="F9788" s="1">
        <v>73</v>
      </c>
      <c r="G9788">
        <v>1990</v>
      </c>
      <c r="H9788">
        <f>AVERAGEIFS(Table1[value],Table1[IndicatorCode],Table1[[#This Row],[IndicatorCode]])</f>
        <v>72.66514008620689</v>
      </c>
      <c r="I9788" cm="1">
        <f t="array" ref="I9788">_xlfn.STDEV.P(IF(Table1[IndicatorCode]=Table1[[#This Row],[IndicatorCode]],Table1[value]))</f>
        <v>6.3409496564024987</v>
      </c>
      <c r="J9788">
        <f>(Table1[[#This Row],[value]] - Table1[[#This Row],[mean]]) / Table1[[#This Row],[std_dev]]</f>
        <v>5.2809110927887599E-2</v>
      </c>
      <c r="K9788">
        <f>AVERAGEIF(Table1[CountryCode],Table1[[#This Row],[CountryCode]],Table1[z-score])</f>
        <v>-0.18785287830584751</v>
      </c>
      <c r="L9788" t="e">
        <f>VLOOKUP(Table1[[#This Row],[CountryCode]],[1]!Table1[#All],1,FALSE)</f>
        <v>#REF!</v>
      </c>
    </row>
    <row r="9789" spans="1:12" hidden="1" x14ac:dyDescent="0.3">
      <c r="A9789" t="s">
        <v>89</v>
      </c>
      <c r="B9789" t="s">
        <v>90</v>
      </c>
      <c r="C9789" t="s">
        <v>129</v>
      </c>
      <c r="D9789" t="s">
        <v>130</v>
      </c>
      <c r="E9789">
        <v>1988</v>
      </c>
      <c r="F9789" s="1">
        <v>73</v>
      </c>
      <c r="G9789">
        <v>1990</v>
      </c>
      <c r="H9789">
        <f>AVERAGEIFS(Table1[value],Table1[IndicatorCode],Table1[[#This Row],[IndicatorCode]])</f>
        <v>72.66514008620689</v>
      </c>
      <c r="I9789" cm="1">
        <f t="array" ref="I9789">_xlfn.STDEV.P(IF(Table1[IndicatorCode]=Table1[[#This Row],[IndicatorCode]],Table1[value]))</f>
        <v>6.3409496564024987</v>
      </c>
      <c r="J9789">
        <f>(Table1[[#This Row],[value]] - Table1[[#This Row],[mean]]) / Table1[[#This Row],[std_dev]]</f>
        <v>5.2809110927887599E-2</v>
      </c>
      <c r="K9789">
        <f>AVERAGEIF(Table1[CountryCode],Table1[[#This Row],[CountryCode]],Table1[z-score])</f>
        <v>-0.18785287830584751</v>
      </c>
      <c r="L9789" t="e">
        <f>VLOOKUP(Table1[[#This Row],[CountryCode]],[1]!Table1[#All],1,FALSE)</f>
        <v>#REF!</v>
      </c>
    </row>
    <row r="9790" spans="1:12" hidden="1" x14ac:dyDescent="0.3">
      <c r="A9790" t="s">
        <v>89</v>
      </c>
      <c r="B9790" t="s">
        <v>90</v>
      </c>
      <c r="C9790" t="s">
        <v>129</v>
      </c>
      <c r="D9790" t="s">
        <v>130</v>
      </c>
      <c r="E9790">
        <v>1989</v>
      </c>
      <c r="F9790" s="1">
        <v>74</v>
      </c>
      <c r="G9790">
        <v>1990</v>
      </c>
      <c r="H9790">
        <f>AVERAGEIFS(Table1[value],Table1[IndicatorCode],Table1[[#This Row],[IndicatorCode]])</f>
        <v>72.66514008620689</v>
      </c>
      <c r="I9790" cm="1">
        <f t="array" ref="I9790">_xlfn.STDEV.P(IF(Table1[IndicatorCode]=Table1[[#This Row],[IndicatorCode]],Table1[value]))</f>
        <v>6.3409496564024987</v>
      </c>
      <c r="J9790">
        <f>(Table1[[#This Row],[value]] - Table1[[#This Row],[mean]]) / Table1[[#This Row],[std_dev]]</f>
        <v>0.21051419521132667</v>
      </c>
      <c r="K9790">
        <f>AVERAGEIF(Table1[CountryCode],Table1[[#This Row],[CountryCode]],Table1[z-score])</f>
        <v>-0.18785287830584751</v>
      </c>
      <c r="L9790" t="e">
        <f>VLOOKUP(Table1[[#This Row],[CountryCode]],[1]!Table1[#All],1,FALSE)</f>
        <v>#REF!</v>
      </c>
    </row>
    <row r="9791" spans="1:12" hidden="1" x14ac:dyDescent="0.3">
      <c r="A9791" t="s">
        <v>89</v>
      </c>
      <c r="B9791" t="s">
        <v>90</v>
      </c>
      <c r="C9791" t="s">
        <v>129</v>
      </c>
      <c r="D9791" t="s">
        <v>130</v>
      </c>
      <c r="E9791">
        <v>1990</v>
      </c>
      <c r="F9791" s="1">
        <v>74</v>
      </c>
      <c r="G9791">
        <v>1990</v>
      </c>
      <c r="H9791">
        <f>AVERAGEIFS(Table1[value],Table1[IndicatorCode],Table1[[#This Row],[IndicatorCode]])</f>
        <v>72.66514008620689</v>
      </c>
      <c r="I9791" cm="1">
        <f t="array" ref="I9791">_xlfn.STDEV.P(IF(Table1[IndicatorCode]=Table1[[#This Row],[IndicatorCode]],Table1[value]))</f>
        <v>6.3409496564024987</v>
      </c>
      <c r="J9791">
        <f>(Table1[[#This Row],[value]] - Table1[[#This Row],[mean]]) / Table1[[#This Row],[std_dev]]</f>
        <v>0.21051419521132667</v>
      </c>
      <c r="K9791">
        <f>AVERAGEIF(Table1[CountryCode],Table1[[#This Row],[CountryCode]],Table1[z-score])</f>
        <v>-0.18785287830584751</v>
      </c>
      <c r="L9791" t="e">
        <f>VLOOKUP(Table1[[#This Row],[CountryCode]],[1]!Table1[#All],1,FALSE)</f>
        <v>#REF!</v>
      </c>
    </row>
    <row r="9792" spans="1:12" hidden="1" x14ac:dyDescent="0.3">
      <c r="A9792" t="s">
        <v>89</v>
      </c>
      <c r="B9792" t="s">
        <v>90</v>
      </c>
      <c r="C9792" t="s">
        <v>129</v>
      </c>
      <c r="D9792" t="s">
        <v>130</v>
      </c>
      <c r="E9792">
        <v>1991</v>
      </c>
      <c r="F9792" s="1">
        <v>74</v>
      </c>
      <c r="G9792">
        <v>1990</v>
      </c>
      <c r="H9792">
        <f>AVERAGEIFS(Table1[value],Table1[IndicatorCode],Table1[[#This Row],[IndicatorCode]])</f>
        <v>72.66514008620689</v>
      </c>
      <c r="I9792" cm="1">
        <f t="array" ref="I9792">_xlfn.STDEV.P(IF(Table1[IndicatorCode]=Table1[[#This Row],[IndicatorCode]],Table1[value]))</f>
        <v>6.3409496564024987</v>
      </c>
      <c r="J9792">
        <f>(Table1[[#This Row],[value]] - Table1[[#This Row],[mean]]) / Table1[[#This Row],[std_dev]]</f>
        <v>0.21051419521132667</v>
      </c>
      <c r="K9792">
        <f>AVERAGEIF(Table1[CountryCode],Table1[[#This Row],[CountryCode]],Table1[z-score])</f>
        <v>-0.18785287830584751</v>
      </c>
      <c r="L9792" t="e">
        <f>VLOOKUP(Table1[[#This Row],[CountryCode]],[1]!Table1[#All],1,FALSE)</f>
        <v>#REF!</v>
      </c>
    </row>
    <row r="9793" spans="1:12" hidden="1" x14ac:dyDescent="0.3">
      <c r="A9793" t="s">
        <v>89</v>
      </c>
      <c r="B9793" t="s">
        <v>90</v>
      </c>
      <c r="C9793" t="s">
        <v>129</v>
      </c>
      <c r="D9793" t="s">
        <v>130</v>
      </c>
      <c r="E9793">
        <v>1992</v>
      </c>
      <c r="F9793" s="1">
        <v>74</v>
      </c>
      <c r="G9793">
        <v>1990</v>
      </c>
      <c r="H9793">
        <f>AVERAGEIFS(Table1[value],Table1[IndicatorCode],Table1[[#This Row],[IndicatorCode]])</f>
        <v>72.66514008620689</v>
      </c>
      <c r="I9793" cm="1">
        <f t="array" ref="I9793">_xlfn.STDEV.P(IF(Table1[IndicatorCode]=Table1[[#This Row],[IndicatorCode]],Table1[value]))</f>
        <v>6.3409496564024987</v>
      </c>
      <c r="J9793">
        <f>(Table1[[#This Row],[value]] - Table1[[#This Row],[mean]]) / Table1[[#This Row],[std_dev]]</f>
        <v>0.21051419521132667</v>
      </c>
      <c r="K9793">
        <f>AVERAGEIF(Table1[CountryCode],Table1[[#This Row],[CountryCode]],Table1[z-score])</f>
        <v>-0.18785287830584751</v>
      </c>
      <c r="L9793" t="e">
        <f>VLOOKUP(Table1[[#This Row],[CountryCode]],[1]!Table1[#All],1,FALSE)</f>
        <v>#REF!</v>
      </c>
    </row>
    <row r="9794" spans="1:12" hidden="1" x14ac:dyDescent="0.3">
      <c r="A9794" t="s">
        <v>89</v>
      </c>
      <c r="B9794" t="s">
        <v>90</v>
      </c>
      <c r="C9794" t="s">
        <v>129</v>
      </c>
      <c r="D9794" t="s">
        <v>130</v>
      </c>
      <c r="E9794">
        <v>1993</v>
      </c>
      <c r="F9794" s="1">
        <v>74</v>
      </c>
      <c r="G9794">
        <v>1990</v>
      </c>
      <c r="H9794">
        <f>AVERAGEIFS(Table1[value],Table1[IndicatorCode],Table1[[#This Row],[IndicatorCode]])</f>
        <v>72.66514008620689</v>
      </c>
      <c r="I9794" cm="1">
        <f t="array" ref="I9794">_xlfn.STDEV.P(IF(Table1[IndicatorCode]=Table1[[#This Row],[IndicatorCode]],Table1[value]))</f>
        <v>6.3409496564024987</v>
      </c>
      <c r="J9794">
        <f>(Table1[[#This Row],[value]] - Table1[[#This Row],[mean]]) / Table1[[#This Row],[std_dev]]</f>
        <v>0.21051419521132667</v>
      </c>
      <c r="K9794">
        <f>AVERAGEIF(Table1[CountryCode],Table1[[#This Row],[CountryCode]],Table1[z-score])</f>
        <v>-0.18785287830584751</v>
      </c>
      <c r="L9794" t="e">
        <f>VLOOKUP(Table1[[#This Row],[CountryCode]],[1]!Table1[#All],1,FALSE)</f>
        <v>#REF!</v>
      </c>
    </row>
    <row r="9795" spans="1:12" hidden="1" x14ac:dyDescent="0.3">
      <c r="A9795" t="s">
        <v>89</v>
      </c>
      <c r="B9795" t="s">
        <v>90</v>
      </c>
      <c r="C9795" t="s">
        <v>129</v>
      </c>
      <c r="D9795" t="s">
        <v>130</v>
      </c>
      <c r="E9795">
        <v>1994</v>
      </c>
      <c r="F9795" s="1">
        <v>74</v>
      </c>
      <c r="G9795">
        <v>1990</v>
      </c>
      <c r="H9795">
        <f>AVERAGEIFS(Table1[value],Table1[IndicatorCode],Table1[[#This Row],[IndicatorCode]])</f>
        <v>72.66514008620689</v>
      </c>
      <c r="I9795" cm="1">
        <f t="array" ref="I9795">_xlfn.STDEV.P(IF(Table1[IndicatorCode]=Table1[[#This Row],[IndicatorCode]],Table1[value]))</f>
        <v>6.3409496564024987</v>
      </c>
      <c r="J9795">
        <f>(Table1[[#This Row],[value]] - Table1[[#This Row],[mean]]) / Table1[[#This Row],[std_dev]]</f>
        <v>0.21051419521132667</v>
      </c>
      <c r="K9795">
        <f>AVERAGEIF(Table1[CountryCode],Table1[[#This Row],[CountryCode]],Table1[z-score])</f>
        <v>-0.18785287830584751</v>
      </c>
      <c r="L9795" t="e">
        <f>VLOOKUP(Table1[[#This Row],[CountryCode]],[1]!Table1[#All],1,FALSE)</f>
        <v>#REF!</v>
      </c>
    </row>
    <row r="9796" spans="1:12" hidden="1" x14ac:dyDescent="0.3">
      <c r="A9796" t="s">
        <v>89</v>
      </c>
      <c r="B9796" t="s">
        <v>90</v>
      </c>
      <c r="C9796" t="s">
        <v>129</v>
      </c>
      <c r="D9796" t="s">
        <v>130</v>
      </c>
      <c r="E9796">
        <v>1995</v>
      </c>
      <c r="F9796" s="1">
        <v>74</v>
      </c>
      <c r="G9796">
        <v>1990</v>
      </c>
      <c r="H9796">
        <f>AVERAGEIFS(Table1[value],Table1[IndicatorCode],Table1[[#This Row],[IndicatorCode]])</f>
        <v>72.66514008620689</v>
      </c>
      <c r="I9796" cm="1">
        <f t="array" ref="I9796">_xlfn.STDEV.P(IF(Table1[IndicatorCode]=Table1[[#This Row],[IndicatorCode]],Table1[value]))</f>
        <v>6.3409496564024987</v>
      </c>
      <c r="J9796">
        <f>(Table1[[#This Row],[value]] - Table1[[#This Row],[mean]]) / Table1[[#This Row],[std_dev]]</f>
        <v>0.21051419521132667</v>
      </c>
      <c r="K9796">
        <f>AVERAGEIF(Table1[CountryCode],Table1[[#This Row],[CountryCode]],Table1[z-score])</f>
        <v>-0.18785287830584751</v>
      </c>
      <c r="L9796" t="e">
        <f>VLOOKUP(Table1[[#This Row],[CountryCode]],[1]!Table1[#All],1,FALSE)</f>
        <v>#REF!</v>
      </c>
    </row>
    <row r="9797" spans="1:12" hidden="1" x14ac:dyDescent="0.3">
      <c r="A9797" t="s">
        <v>89</v>
      </c>
      <c r="B9797" t="s">
        <v>90</v>
      </c>
      <c r="C9797" t="s">
        <v>129</v>
      </c>
      <c r="D9797" t="s">
        <v>130</v>
      </c>
      <c r="E9797">
        <v>1996</v>
      </c>
      <c r="F9797" s="1">
        <v>73</v>
      </c>
      <c r="G9797">
        <v>1990</v>
      </c>
      <c r="H9797">
        <f>AVERAGEIFS(Table1[value],Table1[IndicatorCode],Table1[[#This Row],[IndicatorCode]])</f>
        <v>72.66514008620689</v>
      </c>
      <c r="I9797" cm="1">
        <f t="array" ref="I9797">_xlfn.STDEV.P(IF(Table1[IndicatorCode]=Table1[[#This Row],[IndicatorCode]],Table1[value]))</f>
        <v>6.3409496564024987</v>
      </c>
      <c r="J9797">
        <f>(Table1[[#This Row],[value]] - Table1[[#This Row],[mean]]) / Table1[[#This Row],[std_dev]]</f>
        <v>5.2809110927887599E-2</v>
      </c>
      <c r="K9797">
        <f>AVERAGEIF(Table1[CountryCode],Table1[[#This Row],[CountryCode]],Table1[z-score])</f>
        <v>-0.18785287830584751</v>
      </c>
      <c r="L9797" t="e">
        <f>VLOOKUP(Table1[[#This Row],[CountryCode]],[1]!Table1[#All],1,FALSE)</f>
        <v>#REF!</v>
      </c>
    </row>
    <row r="9798" spans="1:12" hidden="1" x14ac:dyDescent="0.3">
      <c r="A9798" t="s">
        <v>89</v>
      </c>
      <c r="B9798" t="s">
        <v>90</v>
      </c>
      <c r="C9798" t="s">
        <v>129</v>
      </c>
      <c r="D9798" t="s">
        <v>130</v>
      </c>
      <c r="E9798">
        <v>1997</v>
      </c>
      <c r="F9798" s="1">
        <v>73</v>
      </c>
      <c r="G9798">
        <v>2000</v>
      </c>
      <c r="H9798">
        <f>AVERAGEIFS(Table1[value],Table1[IndicatorCode],Table1[[#This Row],[IndicatorCode]])</f>
        <v>72.66514008620689</v>
      </c>
      <c r="I9798" cm="1">
        <f t="array" ref="I9798">_xlfn.STDEV.P(IF(Table1[IndicatorCode]=Table1[[#This Row],[IndicatorCode]],Table1[value]))</f>
        <v>6.3409496564024987</v>
      </c>
      <c r="J9798">
        <f>(Table1[[#This Row],[value]] - Table1[[#This Row],[mean]]) / Table1[[#This Row],[std_dev]]</f>
        <v>5.2809110927887599E-2</v>
      </c>
      <c r="K9798">
        <f>AVERAGEIF(Table1[CountryCode],Table1[[#This Row],[CountryCode]],Table1[z-score])</f>
        <v>-0.18785287830584751</v>
      </c>
      <c r="L9798" t="e">
        <f>VLOOKUP(Table1[[#This Row],[CountryCode]],[1]!Table1[#All],1,FALSE)</f>
        <v>#REF!</v>
      </c>
    </row>
    <row r="9799" spans="1:12" hidden="1" x14ac:dyDescent="0.3">
      <c r="A9799" t="s">
        <v>89</v>
      </c>
      <c r="B9799" t="s">
        <v>90</v>
      </c>
      <c r="C9799" t="s">
        <v>129</v>
      </c>
      <c r="D9799" t="s">
        <v>130</v>
      </c>
      <c r="E9799">
        <v>1998</v>
      </c>
      <c r="F9799" s="1">
        <v>73</v>
      </c>
      <c r="G9799">
        <v>2000</v>
      </c>
      <c r="H9799">
        <f>AVERAGEIFS(Table1[value],Table1[IndicatorCode],Table1[[#This Row],[IndicatorCode]])</f>
        <v>72.66514008620689</v>
      </c>
      <c r="I9799" cm="1">
        <f t="array" ref="I9799">_xlfn.STDEV.P(IF(Table1[IndicatorCode]=Table1[[#This Row],[IndicatorCode]],Table1[value]))</f>
        <v>6.3409496564024987</v>
      </c>
      <c r="J9799">
        <f>(Table1[[#This Row],[value]] - Table1[[#This Row],[mean]]) / Table1[[#This Row],[std_dev]]</f>
        <v>5.2809110927887599E-2</v>
      </c>
      <c r="K9799">
        <f>AVERAGEIF(Table1[CountryCode],Table1[[#This Row],[CountryCode]],Table1[z-score])</f>
        <v>-0.18785287830584751</v>
      </c>
      <c r="L9799" t="e">
        <f>VLOOKUP(Table1[[#This Row],[CountryCode]],[1]!Table1[#All],1,FALSE)</f>
        <v>#REF!</v>
      </c>
    </row>
    <row r="9800" spans="1:12" hidden="1" x14ac:dyDescent="0.3">
      <c r="A9800" t="s">
        <v>89</v>
      </c>
      <c r="B9800" t="s">
        <v>90</v>
      </c>
      <c r="C9800" t="s">
        <v>129</v>
      </c>
      <c r="D9800" t="s">
        <v>130</v>
      </c>
      <c r="E9800">
        <v>1999</v>
      </c>
      <c r="F9800" s="1">
        <v>73</v>
      </c>
      <c r="G9800">
        <v>2000</v>
      </c>
      <c r="H9800">
        <f>AVERAGEIFS(Table1[value],Table1[IndicatorCode],Table1[[#This Row],[IndicatorCode]])</f>
        <v>72.66514008620689</v>
      </c>
      <c r="I9800" cm="1">
        <f t="array" ref="I9800">_xlfn.STDEV.P(IF(Table1[IndicatorCode]=Table1[[#This Row],[IndicatorCode]],Table1[value]))</f>
        <v>6.3409496564024987</v>
      </c>
      <c r="J9800">
        <f>(Table1[[#This Row],[value]] - Table1[[#This Row],[mean]]) / Table1[[#This Row],[std_dev]]</f>
        <v>5.2809110927887599E-2</v>
      </c>
      <c r="K9800">
        <f>AVERAGEIF(Table1[CountryCode],Table1[[#This Row],[CountryCode]],Table1[z-score])</f>
        <v>-0.18785287830584751</v>
      </c>
      <c r="L9800" t="e">
        <f>VLOOKUP(Table1[[#This Row],[CountryCode]],[1]!Table1[#All],1,FALSE)</f>
        <v>#REF!</v>
      </c>
    </row>
    <row r="9801" spans="1:12" hidden="1" x14ac:dyDescent="0.3">
      <c r="A9801" t="s">
        <v>89</v>
      </c>
      <c r="B9801" t="s">
        <v>90</v>
      </c>
      <c r="C9801" t="s">
        <v>129</v>
      </c>
      <c r="D9801" t="s">
        <v>130</v>
      </c>
      <c r="E9801">
        <v>2000</v>
      </c>
      <c r="F9801" s="1">
        <v>73</v>
      </c>
      <c r="G9801">
        <v>2000</v>
      </c>
      <c r="H9801">
        <f>AVERAGEIFS(Table1[value],Table1[IndicatorCode],Table1[[#This Row],[IndicatorCode]])</f>
        <v>72.66514008620689</v>
      </c>
      <c r="I9801" cm="1">
        <f t="array" ref="I9801">_xlfn.STDEV.P(IF(Table1[IndicatorCode]=Table1[[#This Row],[IndicatorCode]],Table1[value]))</f>
        <v>6.3409496564024987</v>
      </c>
      <c r="J9801">
        <f>(Table1[[#This Row],[value]] - Table1[[#This Row],[mean]]) / Table1[[#This Row],[std_dev]]</f>
        <v>5.2809110927887599E-2</v>
      </c>
      <c r="K9801">
        <f>AVERAGEIF(Table1[CountryCode],Table1[[#This Row],[CountryCode]],Table1[z-score])</f>
        <v>-0.18785287830584751</v>
      </c>
      <c r="L9801" t="e">
        <f>VLOOKUP(Table1[[#This Row],[CountryCode]],[1]!Table1[#All],1,FALSE)</f>
        <v>#REF!</v>
      </c>
    </row>
    <row r="9802" spans="1:12" hidden="1" x14ac:dyDescent="0.3">
      <c r="A9802" t="s">
        <v>89</v>
      </c>
      <c r="B9802" t="s">
        <v>90</v>
      </c>
      <c r="C9802" t="s">
        <v>129</v>
      </c>
      <c r="D9802" t="s">
        <v>130</v>
      </c>
      <c r="E9802">
        <v>2001</v>
      </c>
      <c r="F9802" s="1">
        <v>74</v>
      </c>
      <c r="G9802">
        <v>2000</v>
      </c>
      <c r="H9802">
        <f>AVERAGEIFS(Table1[value],Table1[IndicatorCode],Table1[[#This Row],[IndicatorCode]])</f>
        <v>72.66514008620689</v>
      </c>
      <c r="I9802" cm="1">
        <f t="array" ref="I9802">_xlfn.STDEV.P(IF(Table1[IndicatorCode]=Table1[[#This Row],[IndicatorCode]],Table1[value]))</f>
        <v>6.3409496564024987</v>
      </c>
      <c r="J9802">
        <f>(Table1[[#This Row],[value]] - Table1[[#This Row],[mean]]) / Table1[[#This Row],[std_dev]]</f>
        <v>0.21051419521132667</v>
      </c>
      <c r="K9802">
        <f>AVERAGEIF(Table1[CountryCode],Table1[[#This Row],[CountryCode]],Table1[z-score])</f>
        <v>-0.18785287830584751</v>
      </c>
      <c r="L9802" t="e">
        <f>VLOOKUP(Table1[[#This Row],[CountryCode]],[1]!Table1[#All],1,FALSE)</f>
        <v>#REF!</v>
      </c>
    </row>
    <row r="9803" spans="1:12" hidden="1" x14ac:dyDescent="0.3">
      <c r="A9803" t="s">
        <v>89</v>
      </c>
      <c r="B9803" t="s">
        <v>90</v>
      </c>
      <c r="C9803" t="s">
        <v>129</v>
      </c>
      <c r="D9803" t="s">
        <v>130</v>
      </c>
      <c r="E9803">
        <v>2002</v>
      </c>
      <c r="F9803" s="1">
        <v>74</v>
      </c>
      <c r="G9803">
        <v>2000</v>
      </c>
      <c r="H9803">
        <f>AVERAGEIFS(Table1[value],Table1[IndicatorCode],Table1[[#This Row],[IndicatorCode]])</f>
        <v>72.66514008620689</v>
      </c>
      <c r="I9803" cm="1">
        <f t="array" ref="I9803">_xlfn.STDEV.P(IF(Table1[IndicatorCode]=Table1[[#This Row],[IndicatorCode]],Table1[value]))</f>
        <v>6.3409496564024987</v>
      </c>
      <c r="J9803">
        <f>(Table1[[#This Row],[value]] - Table1[[#This Row],[mean]]) / Table1[[#This Row],[std_dev]]</f>
        <v>0.21051419521132667</v>
      </c>
      <c r="K9803">
        <f>AVERAGEIF(Table1[CountryCode],Table1[[#This Row],[CountryCode]],Table1[z-score])</f>
        <v>-0.18785287830584751</v>
      </c>
      <c r="L9803" t="e">
        <f>VLOOKUP(Table1[[#This Row],[CountryCode]],[1]!Table1[#All],1,FALSE)</f>
        <v>#REF!</v>
      </c>
    </row>
    <row r="9804" spans="1:12" hidden="1" x14ac:dyDescent="0.3">
      <c r="A9804" t="s">
        <v>89</v>
      </c>
      <c r="B9804" t="s">
        <v>90</v>
      </c>
      <c r="C9804" t="s">
        <v>129</v>
      </c>
      <c r="D9804" t="s">
        <v>130</v>
      </c>
      <c r="E9804">
        <v>2003</v>
      </c>
      <c r="F9804" s="1">
        <v>74</v>
      </c>
      <c r="G9804">
        <v>2000</v>
      </c>
      <c r="H9804">
        <f>AVERAGEIFS(Table1[value],Table1[IndicatorCode],Table1[[#This Row],[IndicatorCode]])</f>
        <v>72.66514008620689</v>
      </c>
      <c r="I9804" cm="1">
        <f t="array" ref="I9804">_xlfn.STDEV.P(IF(Table1[IndicatorCode]=Table1[[#This Row],[IndicatorCode]],Table1[value]))</f>
        <v>6.3409496564024987</v>
      </c>
      <c r="J9804">
        <f>(Table1[[#This Row],[value]] - Table1[[#This Row],[mean]]) / Table1[[#This Row],[std_dev]]</f>
        <v>0.21051419521132667</v>
      </c>
      <c r="K9804">
        <f>AVERAGEIF(Table1[CountryCode],Table1[[#This Row],[CountryCode]],Table1[z-score])</f>
        <v>-0.18785287830584751</v>
      </c>
      <c r="L9804" t="e">
        <f>VLOOKUP(Table1[[#This Row],[CountryCode]],[1]!Table1[#All],1,FALSE)</f>
        <v>#REF!</v>
      </c>
    </row>
    <row r="9805" spans="1:12" hidden="1" x14ac:dyDescent="0.3">
      <c r="A9805" t="s">
        <v>89</v>
      </c>
      <c r="B9805" t="s">
        <v>90</v>
      </c>
      <c r="C9805" t="s">
        <v>129</v>
      </c>
      <c r="D9805" t="s">
        <v>130</v>
      </c>
      <c r="E9805">
        <v>2004</v>
      </c>
      <c r="F9805" s="1">
        <v>74</v>
      </c>
      <c r="G9805">
        <v>2000</v>
      </c>
      <c r="H9805">
        <f>AVERAGEIFS(Table1[value],Table1[IndicatorCode],Table1[[#This Row],[IndicatorCode]])</f>
        <v>72.66514008620689</v>
      </c>
      <c r="I9805" cm="1">
        <f t="array" ref="I9805">_xlfn.STDEV.P(IF(Table1[IndicatorCode]=Table1[[#This Row],[IndicatorCode]],Table1[value]))</f>
        <v>6.3409496564024987</v>
      </c>
      <c r="J9805">
        <f>(Table1[[#This Row],[value]] - Table1[[#This Row],[mean]]) / Table1[[#This Row],[std_dev]]</f>
        <v>0.21051419521132667</v>
      </c>
      <c r="K9805">
        <f>AVERAGEIF(Table1[CountryCode],Table1[[#This Row],[CountryCode]],Table1[z-score])</f>
        <v>-0.18785287830584751</v>
      </c>
      <c r="L9805" t="e">
        <f>VLOOKUP(Table1[[#This Row],[CountryCode]],[1]!Table1[#All],1,FALSE)</f>
        <v>#REF!</v>
      </c>
    </row>
    <row r="9806" spans="1:12" hidden="1" x14ac:dyDescent="0.3">
      <c r="A9806" t="s">
        <v>89</v>
      </c>
      <c r="B9806" t="s">
        <v>90</v>
      </c>
      <c r="C9806" t="s">
        <v>129</v>
      </c>
      <c r="D9806" t="s">
        <v>130</v>
      </c>
      <c r="E9806">
        <v>2005</v>
      </c>
      <c r="F9806" s="1">
        <v>74</v>
      </c>
      <c r="G9806">
        <v>2000</v>
      </c>
      <c r="H9806">
        <f>AVERAGEIFS(Table1[value],Table1[IndicatorCode],Table1[[#This Row],[IndicatorCode]])</f>
        <v>72.66514008620689</v>
      </c>
      <c r="I9806" cm="1">
        <f t="array" ref="I9806">_xlfn.STDEV.P(IF(Table1[IndicatorCode]=Table1[[#This Row],[IndicatorCode]],Table1[value]))</f>
        <v>6.3409496564024987</v>
      </c>
      <c r="J9806">
        <f>(Table1[[#This Row],[value]] - Table1[[#This Row],[mean]]) / Table1[[#This Row],[std_dev]]</f>
        <v>0.21051419521132667</v>
      </c>
      <c r="K9806">
        <f>AVERAGEIF(Table1[CountryCode],Table1[[#This Row],[CountryCode]],Table1[z-score])</f>
        <v>-0.18785287830584751</v>
      </c>
      <c r="L9806" t="e">
        <f>VLOOKUP(Table1[[#This Row],[CountryCode]],[1]!Table1[#All],1,FALSE)</f>
        <v>#REF!</v>
      </c>
    </row>
    <row r="9807" spans="1:12" hidden="1" x14ac:dyDescent="0.3">
      <c r="A9807" t="s">
        <v>89</v>
      </c>
      <c r="B9807" t="s">
        <v>90</v>
      </c>
      <c r="C9807" t="s">
        <v>129</v>
      </c>
      <c r="D9807" t="s">
        <v>130</v>
      </c>
      <c r="E9807">
        <v>2006</v>
      </c>
      <c r="F9807" s="1">
        <v>74</v>
      </c>
      <c r="G9807">
        <v>2000</v>
      </c>
      <c r="H9807">
        <f>AVERAGEIFS(Table1[value],Table1[IndicatorCode],Table1[[#This Row],[IndicatorCode]])</f>
        <v>72.66514008620689</v>
      </c>
      <c r="I9807" cm="1">
        <f t="array" ref="I9807">_xlfn.STDEV.P(IF(Table1[IndicatorCode]=Table1[[#This Row],[IndicatorCode]],Table1[value]))</f>
        <v>6.3409496564024987</v>
      </c>
      <c r="J9807">
        <f>(Table1[[#This Row],[value]] - Table1[[#This Row],[mean]]) / Table1[[#This Row],[std_dev]]</f>
        <v>0.21051419521132667</v>
      </c>
      <c r="K9807">
        <f>AVERAGEIF(Table1[CountryCode],Table1[[#This Row],[CountryCode]],Table1[z-score])</f>
        <v>-0.18785287830584751</v>
      </c>
      <c r="L9807" t="e">
        <f>VLOOKUP(Table1[[#This Row],[CountryCode]],[1]!Table1[#All],1,FALSE)</f>
        <v>#REF!</v>
      </c>
    </row>
    <row r="9808" spans="1:12" hidden="1" x14ac:dyDescent="0.3">
      <c r="A9808" t="s">
        <v>89</v>
      </c>
      <c r="B9808" t="s">
        <v>90</v>
      </c>
      <c r="C9808" t="s">
        <v>129</v>
      </c>
      <c r="D9808" t="s">
        <v>130</v>
      </c>
      <c r="E9808">
        <v>2007</v>
      </c>
      <c r="F9808" s="1">
        <v>74</v>
      </c>
      <c r="G9808">
        <v>2010</v>
      </c>
      <c r="H9808">
        <f>AVERAGEIFS(Table1[value],Table1[IndicatorCode],Table1[[#This Row],[IndicatorCode]])</f>
        <v>72.66514008620689</v>
      </c>
      <c r="I9808" cm="1">
        <f t="array" ref="I9808">_xlfn.STDEV.P(IF(Table1[IndicatorCode]=Table1[[#This Row],[IndicatorCode]],Table1[value]))</f>
        <v>6.3409496564024987</v>
      </c>
      <c r="J9808">
        <f>(Table1[[#This Row],[value]] - Table1[[#This Row],[mean]]) / Table1[[#This Row],[std_dev]]</f>
        <v>0.21051419521132667</v>
      </c>
      <c r="K9808">
        <f>AVERAGEIF(Table1[CountryCode],Table1[[#This Row],[CountryCode]],Table1[z-score])</f>
        <v>-0.18785287830584751</v>
      </c>
      <c r="L9808" t="e">
        <f>VLOOKUP(Table1[[#This Row],[CountryCode]],[1]!Table1[#All],1,FALSE)</f>
        <v>#REF!</v>
      </c>
    </row>
    <row r="9809" spans="1:12" hidden="1" x14ac:dyDescent="0.3">
      <c r="A9809" t="s">
        <v>89</v>
      </c>
      <c r="B9809" t="s">
        <v>90</v>
      </c>
      <c r="C9809" t="s">
        <v>129</v>
      </c>
      <c r="D9809" t="s">
        <v>130</v>
      </c>
      <c r="E9809">
        <v>2008</v>
      </c>
      <c r="F9809" s="1">
        <v>75</v>
      </c>
      <c r="G9809">
        <v>2010</v>
      </c>
      <c r="H9809">
        <f>AVERAGEIFS(Table1[value],Table1[IndicatorCode],Table1[[#This Row],[IndicatorCode]])</f>
        <v>72.66514008620689</v>
      </c>
      <c r="I9809" cm="1">
        <f t="array" ref="I9809">_xlfn.STDEV.P(IF(Table1[IndicatorCode]=Table1[[#This Row],[IndicatorCode]],Table1[value]))</f>
        <v>6.3409496564024987</v>
      </c>
      <c r="J9809">
        <f>(Table1[[#This Row],[value]] - Table1[[#This Row],[mean]]) / Table1[[#This Row],[std_dev]]</f>
        <v>0.36821927949476574</v>
      </c>
      <c r="K9809">
        <f>AVERAGEIF(Table1[CountryCode],Table1[[#This Row],[CountryCode]],Table1[z-score])</f>
        <v>-0.18785287830584751</v>
      </c>
      <c r="L9809" t="e">
        <f>VLOOKUP(Table1[[#This Row],[CountryCode]],[1]!Table1[#All],1,FALSE)</f>
        <v>#REF!</v>
      </c>
    </row>
    <row r="9810" spans="1:12" hidden="1" x14ac:dyDescent="0.3">
      <c r="A9810" t="s">
        <v>89</v>
      </c>
      <c r="B9810" t="s">
        <v>90</v>
      </c>
      <c r="C9810" t="s">
        <v>129</v>
      </c>
      <c r="D9810" t="s">
        <v>130</v>
      </c>
      <c r="E9810">
        <v>2009</v>
      </c>
      <c r="F9810" s="1">
        <v>75</v>
      </c>
      <c r="G9810">
        <v>2010</v>
      </c>
      <c r="H9810">
        <f>AVERAGEIFS(Table1[value],Table1[IndicatorCode],Table1[[#This Row],[IndicatorCode]])</f>
        <v>72.66514008620689</v>
      </c>
      <c r="I9810" cm="1">
        <f t="array" ref="I9810">_xlfn.STDEV.P(IF(Table1[IndicatorCode]=Table1[[#This Row],[IndicatorCode]],Table1[value]))</f>
        <v>6.3409496564024987</v>
      </c>
      <c r="J9810">
        <f>(Table1[[#This Row],[value]] - Table1[[#This Row],[mean]]) / Table1[[#This Row],[std_dev]]</f>
        <v>0.36821927949476574</v>
      </c>
      <c r="K9810">
        <f>AVERAGEIF(Table1[CountryCode],Table1[[#This Row],[CountryCode]],Table1[z-score])</f>
        <v>-0.18785287830584751</v>
      </c>
      <c r="L9810" t="e">
        <f>VLOOKUP(Table1[[#This Row],[CountryCode]],[1]!Table1[#All],1,FALSE)</f>
        <v>#REF!</v>
      </c>
    </row>
    <row r="9811" spans="1:12" hidden="1" x14ac:dyDescent="0.3">
      <c r="A9811" t="s">
        <v>89</v>
      </c>
      <c r="B9811" t="s">
        <v>90</v>
      </c>
      <c r="C9811" t="s">
        <v>129</v>
      </c>
      <c r="D9811" t="s">
        <v>130</v>
      </c>
      <c r="E9811">
        <v>2010</v>
      </c>
      <c r="F9811" s="1">
        <v>76</v>
      </c>
      <c r="G9811">
        <v>2010</v>
      </c>
      <c r="H9811">
        <f>AVERAGEIFS(Table1[value],Table1[IndicatorCode],Table1[[#This Row],[IndicatorCode]])</f>
        <v>72.66514008620689</v>
      </c>
      <c r="I9811" cm="1">
        <f t="array" ref="I9811">_xlfn.STDEV.P(IF(Table1[IndicatorCode]=Table1[[#This Row],[IndicatorCode]],Table1[value]))</f>
        <v>6.3409496564024987</v>
      </c>
      <c r="J9811">
        <f>(Table1[[#This Row],[value]] - Table1[[#This Row],[mean]]) / Table1[[#This Row],[std_dev]]</f>
        <v>0.52592436377820473</v>
      </c>
      <c r="K9811">
        <f>AVERAGEIF(Table1[CountryCode],Table1[[#This Row],[CountryCode]],Table1[z-score])</f>
        <v>-0.18785287830584751</v>
      </c>
      <c r="L9811" t="e">
        <f>VLOOKUP(Table1[[#This Row],[CountryCode]],[1]!Table1[#All],1,FALSE)</f>
        <v>#REF!</v>
      </c>
    </row>
    <row r="9812" spans="1:12" hidden="1" x14ac:dyDescent="0.3">
      <c r="A9812" t="s">
        <v>89</v>
      </c>
      <c r="B9812" t="s">
        <v>90</v>
      </c>
      <c r="C9812" t="s">
        <v>129</v>
      </c>
      <c r="D9812" t="s">
        <v>130</v>
      </c>
      <c r="E9812">
        <v>2011</v>
      </c>
      <c r="F9812" s="1">
        <v>76</v>
      </c>
      <c r="G9812">
        <v>2010</v>
      </c>
      <c r="H9812">
        <f>AVERAGEIFS(Table1[value],Table1[IndicatorCode],Table1[[#This Row],[IndicatorCode]])</f>
        <v>72.66514008620689</v>
      </c>
      <c r="I9812" cm="1">
        <f t="array" ref="I9812">_xlfn.STDEV.P(IF(Table1[IndicatorCode]=Table1[[#This Row],[IndicatorCode]],Table1[value]))</f>
        <v>6.3409496564024987</v>
      </c>
      <c r="J9812">
        <f>(Table1[[#This Row],[value]] - Table1[[#This Row],[mean]]) / Table1[[#This Row],[std_dev]]</f>
        <v>0.52592436377820473</v>
      </c>
      <c r="K9812">
        <f>AVERAGEIF(Table1[CountryCode],Table1[[#This Row],[CountryCode]],Table1[z-score])</f>
        <v>-0.18785287830584751</v>
      </c>
      <c r="L9812" t="e">
        <f>VLOOKUP(Table1[[#This Row],[CountryCode]],[1]!Table1[#All],1,FALSE)</f>
        <v>#REF!</v>
      </c>
    </row>
    <row r="9813" spans="1:12" hidden="1" x14ac:dyDescent="0.3">
      <c r="A9813" t="s">
        <v>89</v>
      </c>
      <c r="B9813" t="s">
        <v>90</v>
      </c>
      <c r="C9813" t="s">
        <v>129</v>
      </c>
      <c r="D9813" t="s">
        <v>130</v>
      </c>
      <c r="E9813">
        <v>2012</v>
      </c>
      <c r="F9813" s="1">
        <v>76</v>
      </c>
      <c r="G9813">
        <v>2010</v>
      </c>
      <c r="H9813">
        <f>AVERAGEIFS(Table1[value],Table1[IndicatorCode],Table1[[#This Row],[IndicatorCode]])</f>
        <v>72.66514008620689</v>
      </c>
      <c r="I9813" cm="1">
        <f t="array" ref="I9813">_xlfn.STDEV.P(IF(Table1[IndicatorCode]=Table1[[#This Row],[IndicatorCode]],Table1[value]))</f>
        <v>6.3409496564024987</v>
      </c>
      <c r="J9813">
        <f>(Table1[[#This Row],[value]] - Table1[[#This Row],[mean]]) / Table1[[#This Row],[std_dev]]</f>
        <v>0.52592436377820473</v>
      </c>
      <c r="K9813">
        <f>AVERAGEIF(Table1[CountryCode],Table1[[#This Row],[CountryCode]],Table1[z-score])</f>
        <v>-0.18785287830584751</v>
      </c>
      <c r="L9813" t="e">
        <f>VLOOKUP(Table1[[#This Row],[CountryCode]],[1]!Table1[#All],1,FALSE)</f>
        <v>#REF!</v>
      </c>
    </row>
    <row r="9814" spans="1:12" hidden="1" x14ac:dyDescent="0.3">
      <c r="A9814" t="s">
        <v>89</v>
      </c>
      <c r="B9814" t="s">
        <v>90</v>
      </c>
      <c r="C9814" t="s">
        <v>129</v>
      </c>
      <c r="D9814" t="s">
        <v>130</v>
      </c>
      <c r="E9814">
        <v>2013</v>
      </c>
      <c r="F9814" s="1">
        <v>76</v>
      </c>
      <c r="G9814">
        <v>2010</v>
      </c>
      <c r="H9814">
        <f>AVERAGEIFS(Table1[value],Table1[IndicatorCode],Table1[[#This Row],[IndicatorCode]])</f>
        <v>72.66514008620689</v>
      </c>
      <c r="I9814" cm="1">
        <f t="array" ref="I9814">_xlfn.STDEV.P(IF(Table1[IndicatorCode]=Table1[[#This Row],[IndicatorCode]],Table1[value]))</f>
        <v>6.3409496564024987</v>
      </c>
      <c r="J9814">
        <f>(Table1[[#This Row],[value]] - Table1[[#This Row],[mean]]) / Table1[[#This Row],[std_dev]]</f>
        <v>0.52592436377820473</v>
      </c>
      <c r="K9814">
        <f>AVERAGEIF(Table1[CountryCode],Table1[[#This Row],[CountryCode]],Table1[z-score])</f>
        <v>-0.18785287830584751</v>
      </c>
      <c r="L9814" t="e">
        <f>VLOOKUP(Table1[[#This Row],[CountryCode]],[1]!Table1[#All],1,FALSE)</f>
        <v>#REF!</v>
      </c>
    </row>
    <row r="9815" spans="1:12" hidden="1" x14ac:dyDescent="0.3">
      <c r="A9815" t="s">
        <v>89</v>
      </c>
      <c r="B9815" t="s">
        <v>90</v>
      </c>
      <c r="C9815" t="s">
        <v>129</v>
      </c>
      <c r="D9815" t="s">
        <v>130</v>
      </c>
      <c r="E9815">
        <v>2014</v>
      </c>
      <c r="F9815" s="1">
        <v>76</v>
      </c>
      <c r="G9815">
        <v>2010</v>
      </c>
      <c r="H9815">
        <f>AVERAGEIFS(Table1[value],Table1[IndicatorCode],Table1[[#This Row],[IndicatorCode]])</f>
        <v>72.66514008620689</v>
      </c>
      <c r="I9815" cm="1">
        <f t="array" ref="I9815">_xlfn.STDEV.P(IF(Table1[IndicatorCode]=Table1[[#This Row],[IndicatorCode]],Table1[value]))</f>
        <v>6.3409496564024987</v>
      </c>
      <c r="J9815">
        <f>(Table1[[#This Row],[value]] - Table1[[#This Row],[mean]]) / Table1[[#This Row],[std_dev]]</f>
        <v>0.52592436377820473</v>
      </c>
      <c r="K9815">
        <f>AVERAGEIF(Table1[CountryCode],Table1[[#This Row],[CountryCode]],Table1[z-score])</f>
        <v>-0.18785287830584751</v>
      </c>
      <c r="L9815" t="e">
        <f>VLOOKUP(Table1[[#This Row],[CountryCode]],[1]!Table1[#All],1,FALSE)</f>
        <v>#REF!</v>
      </c>
    </row>
    <row r="9816" spans="1:12" hidden="1" x14ac:dyDescent="0.3">
      <c r="A9816" t="s">
        <v>89</v>
      </c>
      <c r="B9816" t="s">
        <v>90</v>
      </c>
      <c r="C9816" t="s">
        <v>129</v>
      </c>
      <c r="D9816" t="s">
        <v>130</v>
      </c>
      <c r="E9816">
        <v>2015</v>
      </c>
      <c r="F9816" s="1">
        <v>77</v>
      </c>
      <c r="G9816">
        <v>2010</v>
      </c>
      <c r="H9816">
        <f>AVERAGEIFS(Table1[value],Table1[IndicatorCode],Table1[[#This Row],[IndicatorCode]])</f>
        <v>72.66514008620689</v>
      </c>
      <c r="I9816" cm="1">
        <f t="array" ref="I9816">_xlfn.STDEV.P(IF(Table1[IndicatorCode]=Table1[[#This Row],[IndicatorCode]],Table1[value]))</f>
        <v>6.3409496564024987</v>
      </c>
      <c r="J9816">
        <f>(Table1[[#This Row],[value]] - Table1[[#This Row],[mean]]) / Table1[[#This Row],[std_dev]]</f>
        <v>0.68362944806164383</v>
      </c>
      <c r="K9816">
        <f>AVERAGEIF(Table1[CountryCode],Table1[[#This Row],[CountryCode]],Table1[z-score])</f>
        <v>-0.18785287830584751</v>
      </c>
      <c r="L9816" t="e">
        <f>VLOOKUP(Table1[[#This Row],[CountryCode]],[1]!Table1[#All],1,FALSE)</f>
        <v>#REF!</v>
      </c>
    </row>
    <row r="9817" spans="1:12" hidden="1" x14ac:dyDescent="0.3">
      <c r="A9817" t="s">
        <v>89</v>
      </c>
      <c r="B9817" t="s">
        <v>90</v>
      </c>
      <c r="C9817" t="s">
        <v>129</v>
      </c>
      <c r="D9817" t="s">
        <v>130</v>
      </c>
      <c r="E9817">
        <v>2016</v>
      </c>
      <c r="F9817" s="1">
        <v>77</v>
      </c>
      <c r="G9817">
        <v>2010</v>
      </c>
      <c r="H9817">
        <f>AVERAGEIFS(Table1[value],Table1[IndicatorCode],Table1[[#This Row],[IndicatorCode]])</f>
        <v>72.66514008620689</v>
      </c>
      <c r="I9817" cm="1">
        <f t="array" ref="I9817">_xlfn.STDEV.P(IF(Table1[IndicatorCode]=Table1[[#This Row],[IndicatorCode]],Table1[value]))</f>
        <v>6.3409496564024987</v>
      </c>
      <c r="J9817">
        <f>(Table1[[#This Row],[value]] - Table1[[#This Row],[mean]]) / Table1[[#This Row],[std_dev]]</f>
        <v>0.68362944806164383</v>
      </c>
      <c r="K9817">
        <f>AVERAGEIF(Table1[CountryCode],Table1[[#This Row],[CountryCode]],Table1[z-score])</f>
        <v>-0.18785287830584751</v>
      </c>
      <c r="L9817" t="e">
        <f>VLOOKUP(Table1[[#This Row],[CountryCode]],[1]!Table1[#All],1,FALSE)</f>
        <v>#REF!</v>
      </c>
    </row>
    <row r="9818" spans="1:12" hidden="1" x14ac:dyDescent="0.3">
      <c r="A9818" t="s">
        <v>89</v>
      </c>
      <c r="B9818" t="s">
        <v>90</v>
      </c>
      <c r="C9818" t="s">
        <v>129</v>
      </c>
      <c r="D9818" t="s">
        <v>130</v>
      </c>
      <c r="E9818">
        <v>2017</v>
      </c>
      <c r="F9818" s="1">
        <v>77</v>
      </c>
      <c r="G9818">
        <v>2020</v>
      </c>
      <c r="H9818">
        <f>AVERAGEIFS(Table1[value],Table1[IndicatorCode],Table1[[#This Row],[IndicatorCode]])</f>
        <v>72.66514008620689</v>
      </c>
      <c r="I9818" cm="1">
        <f t="array" ref="I9818">_xlfn.STDEV.P(IF(Table1[IndicatorCode]=Table1[[#This Row],[IndicatorCode]],Table1[value]))</f>
        <v>6.3409496564024987</v>
      </c>
      <c r="J9818">
        <f>(Table1[[#This Row],[value]] - Table1[[#This Row],[mean]]) / Table1[[#This Row],[std_dev]]</f>
        <v>0.68362944806164383</v>
      </c>
      <c r="K9818">
        <f>AVERAGEIF(Table1[CountryCode],Table1[[#This Row],[CountryCode]],Table1[z-score])</f>
        <v>-0.18785287830584751</v>
      </c>
      <c r="L9818" t="e">
        <f>VLOOKUP(Table1[[#This Row],[CountryCode]],[1]!Table1[#All],1,FALSE)</f>
        <v>#REF!</v>
      </c>
    </row>
    <row r="9819" spans="1:12" hidden="1" x14ac:dyDescent="0.3">
      <c r="A9819" t="s">
        <v>89</v>
      </c>
      <c r="B9819" t="s">
        <v>90</v>
      </c>
      <c r="C9819" t="s">
        <v>129</v>
      </c>
      <c r="D9819" t="s">
        <v>130</v>
      </c>
      <c r="E9819">
        <v>2018</v>
      </c>
      <c r="F9819" s="1">
        <v>78</v>
      </c>
      <c r="G9819">
        <v>2020</v>
      </c>
      <c r="H9819">
        <f>AVERAGEIFS(Table1[value],Table1[IndicatorCode],Table1[[#This Row],[IndicatorCode]])</f>
        <v>72.66514008620689</v>
      </c>
      <c r="I9819" cm="1">
        <f t="array" ref="I9819">_xlfn.STDEV.P(IF(Table1[IndicatorCode]=Table1[[#This Row],[IndicatorCode]],Table1[value]))</f>
        <v>6.3409496564024987</v>
      </c>
      <c r="J9819">
        <f>(Table1[[#This Row],[value]] - Table1[[#This Row],[mean]]) / Table1[[#This Row],[std_dev]]</f>
        <v>0.84133453234508293</v>
      </c>
      <c r="K9819">
        <f>AVERAGEIF(Table1[CountryCode],Table1[[#This Row],[CountryCode]],Table1[z-score])</f>
        <v>-0.18785287830584751</v>
      </c>
      <c r="L9819" t="e">
        <f>VLOOKUP(Table1[[#This Row],[CountryCode]],[1]!Table1[#All],1,FALSE)</f>
        <v>#REF!</v>
      </c>
    </row>
    <row r="9820" spans="1:12" hidden="1" x14ac:dyDescent="0.3">
      <c r="A9820" t="s">
        <v>89</v>
      </c>
      <c r="B9820" t="s">
        <v>90</v>
      </c>
      <c r="C9820" t="s">
        <v>129</v>
      </c>
      <c r="D9820" t="s">
        <v>130</v>
      </c>
      <c r="E9820">
        <v>2019</v>
      </c>
      <c r="F9820" s="1">
        <v>77</v>
      </c>
      <c r="G9820">
        <v>2020</v>
      </c>
      <c r="H9820">
        <f>AVERAGEIFS(Table1[value],Table1[IndicatorCode],Table1[[#This Row],[IndicatorCode]])</f>
        <v>72.66514008620689</v>
      </c>
      <c r="I9820" cm="1">
        <f t="array" ref="I9820">_xlfn.STDEV.P(IF(Table1[IndicatorCode]=Table1[[#This Row],[IndicatorCode]],Table1[value]))</f>
        <v>6.3409496564024987</v>
      </c>
      <c r="J9820">
        <f>(Table1[[#This Row],[value]] - Table1[[#This Row],[mean]]) / Table1[[#This Row],[std_dev]]</f>
        <v>0.68362944806164383</v>
      </c>
      <c r="K9820">
        <f>AVERAGEIF(Table1[CountryCode],Table1[[#This Row],[CountryCode]],Table1[z-score])</f>
        <v>-0.18785287830584751</v>
      </c>
      <c r="L9820" t="e">
        <f>VLOOKUP(Table1[[#This Row],[CountryCode]],[1]!Table1[#All],1,FALSE)</f>
        <v>#REF!</v>
      </c>
    </row>
    <row r="9821" spans="1:12" x14ac:dyDescent="0.3">
      <c r="A9821" t="s">
        <v>89</v>
      </c>
      <c r="B9821" t="s">
        <v>90</v>
      </c>
      <c r="C9821" t="s">
        <v>129</v>
      </c>
      <c r="D9821" t="s">
        <v>130</v>
      </c>
      <c r="E9821">
        <v>2020</v>
      </c>
      <c r="F9821" s="1">
        <v>76</v>
      </c>
      <c r="G9821">
        <v>2020</v>
      </c>
      <c r="H9821">
        <f>AVERAGEIFS(Table1[value],Table1[IndicatorCode],Table1[[#This Row],[IndicatorCode]])</f>
        <v>72.66514008620689</v>
      </c>
      <c r="I9821" cm="1">
        <f t="array" ref="I9821">_xlfn.STDEV.P(IF(Table1[IndicatorCode]=Table1[[#This Row],[IndicatorCode]],Table1[value]))</f>
        <v>6.3409496564024987</v>
      </c>
      <c r="J9821">
        <f>(Table1[[#This Row],[value]] - Table1[[#This Row],[mean]]) / Table1[[#This Row],[std_dev]]</f>
        <v>0.52592436377820473</v>
      </c>
      <c r="K9821">
        <f>AVERAGEIF(Table1[CountryCode],Table1[[#This Row],[CountryCode]],Table1[z-score])</f>
        <v>-0.18785287830584751</v>
      </c>
    </row>
    <row r="9822" spans="1:12" hidden="1" x14ac:dyDescent="0.3">
      <c r="A9822" t="s">
        <v>89</v>
      </c>
      <c r="B9822" t="s">
        <v>90</v>
      </c>
      <c r="C9822" t="s">
        <v>129</v>
      </c>
      <c r="D9822" t="s">
        <v>130</v>
      </c>
      <c r="E9822">
        <v>2021</v>
      </c>
      <c r="F9822" s="1">
        <v>74</v>
      </c>
      <c r="G9822">
        <v>1960</v>
      </c>
      <c r="H9822">
        <f>AVERAGEIFS(Table1[value],Table1[IndicatorCode],Table1[[#This Row],[IndicatorCode]])</f>
        <v>72.66514008620689</v>
      </c>
      <c r="I9822" cm="1">
        <f t="array" ref="I9822">_xlfn.STDEV.P(IF(Table1[IndicatorCode]=Table1[[#This Row],[IndicatorCode]],Table1[value]))</f>
        <v>6.3409496564024987</v>
      </c>
      <c r="J9822">
        <f>(Table1[[#This Row],[value]] - Table1[[#This Row],[mean]]) / Table1[[#This Row],[std_dev]]</f>
        <v>0.21051419521132667</v>
      </c>
      <c r="K9822">
        <f>AVERAGEIF(Table1[CountryCode],Table1[[#This Row],[CountryCode]],Table1[z-score])</f>
        <v>-0.18785287830584751</v>
      </c>
      <c r="L9822" t="e">
        <f>VLOOKUP(Table1[[#This Row],[CountryCode]],[1]!Table1[#All],1,FALSE)</f>
        <v>#REF!</v>
      </c>
    </row>
    <row r="9823" spans="1:12" hidden="1" x14ac:dyDescent="0.3">
      <c r="A9823" t="s">
        <v>89</v>
      </c>
      <c r="B9823" t="s">
        <v>90</v>
      </c>
      <c r="C9823" t="s">
        <v>129</v>
      </c>
      <c r="D9823" t="s">
        <v>130</v>
      </c>
      <c r="E9823">
        <v>2022</v>
      </c>
      <c r="F9823" s="1">
        <v>76</v>
      </c>
      <c r="G9823">
        <v>1960</v>
      </c>
      <c r="H9823">
        <f>AVERAGEIFS(Table1[value],Table1[IndicatorCode],Table1[[#This Row],[IndicatorCode]])</f>
        <v>72.66514008620689</v>
      </c>
      <c r="I9823" cm="1">
        <f t="array" ref="I9823">_xlfn.STDEV.P(IF(Table1[IndicatorCode]=Table1[[#This Row],[IndicatorCode]],Table1[value]))</f>
        <v>6.3409496564024987</v>
      </c>
      <c r="J9823">
        <f>(Table1[[#This Row],[value]] - Table1[[#This Row],[mean]]) / Table1[[#This Row],[std_dev]]</f>
        <v>0.52592436377820473</v>
      </c>
      <c r="K9823">
        <f>AVERAGEIF(Table1[CountryCode],Table1[[#This Row],[CountryCode]],Table1[z-score])</f>
        <v>-0.18785287830584751</v>
      </c>
      <c r="L9823" t="e">
        <f>VLOOKUP(Table1[[#This Row],[CountryCode]],[1]!Table1[#All],1,FALSE)</f>
        <v>#REF!</v>
      </c>
    </row>
    <row r="9824" spans="1:12" hidden="1" x14ac:dyDescent="0.3">
      <c r="A9824" t="s">
        <v>89</v>
      </c>
      <c r="B9824" t="s">
        <v>90</v>
      </c>
      <c r="C9824" t="s">
        <v>129</v>
      </c>
      <c r="D9824" t="s">
        <v>130</v>
      </c>
      <c r="E9824">
        <v>2023</v>
      </c>
      <c r="F9824" s="1">
        <v>78</v>
      </c>
      <c r="G9824">
        <v>1960</v>
      </c>
      <c r="H9824">
        <f>AVERAGEIFS(Table1[value],Table1[IndicatorCode],Table1[[#This Row],[IndicatorCode]])</f>
        <v>72.66514008620689</v>
      </c>
      <c r="I9824" cm="1">
        <f t="array" ref="I9824">_xlfn.STDEV.P(IF(Table1[IndicatorCode]=Table1[[#This Row],[IndicatorCode]],Table1[value]))</f>
        <v>6.3409496564024987</v>
      </c>
      <c r="J9824">
        <f>(Table1[[#This Row],[value]] - Table1[[#This Row],[mean]]) / Table1[[#This Row],[std_dev]]</f>
        <v>0.84133453234508293</v>
      </c>
      <c r="K9824">
        <f>AVERAGEIF(Table1[CountryCode],Table1[[#This Row],[CountryCode]],Table1[z-score])</f>
        <v>-0.18785287830584751</v>
      </c>
      <c r="L9824" t="e">
        <f>VLOOKUP(Table1[[#This Row],[CountryCode]],[1]!Table1[#All],1,FALSE)</f>
        <v>#REF!</v>
      </c>
    </row>
    <row r="9825" spans="1:12" hidden="1" x14ac:dyDescent="0.3">
      <c r="A9825" t="s">
        <v>91</v>
      </c>
      <c r="B9825" t="s">
        <v>92</v>
      </c>
      <c r="C9825" t="s">
        <v>129</v>
      </c>
      <c r="D9825" t="s">
        <v>130</v>
      </c>
      <c r="E9825">
        <v>1960</v>
      </c>
      <c r="F9825" s="1">
        <v>73</v>
      </c>
      <c r="G9825">
        <v>1960</v>
      </c>
      <c r="H9825">
        <f>AVERAGEIFS(Table1[value],Table1[IndicatorCode],Table1[[#This Row],[IndicatorCode]])</f>
        <v>72.66514008620689</v>
      </c>
      <c r="I9825" cm="1">
        <f t="array" ref="I9825">_xlfn.STDEV.P(IF(Table1[IndicatorCode]=Table1[[#This Row],[IndicatorCode]],Table1[value]))</f>
        <v>6.3409496564024987</v>
      </c>
      <c r="J9825">
        <f>(Table1[[#This Row],[value]] - Table1[[#This Row],[mean]]) / Table1[[#This Row],[std_dev]]</f>
        <v>5.2809110927887599E-2</v>
      </c>
      <c r="K9825">
        <f>AVERAGEIF(Table1[CountryCode],Table1[[#This Row],[CountryCode]],Table1[z-score])</f>
        <v>0.48073633366786628</v>
      </c>
      <c r="L9825" t="e">
        <f>VLOOKUP(Table1[[#This Row],[CountryCode]],[1]!Table1[#All],1,FALSE)</f>
        <v>#REF!</v>
      </c>
    </row>
    <row r="9826" spans="1:12" hidden="1" x14ac:dyDescent="0.3">
      <c r="A9826" t="s">
        <v>91</v>
      </c>
      <c r="B9826" t="s">
        <v>92</v>
      </c>
      <c r="C9826" t="s">
        <v>129</v>
      </c>
      <c r="D9826" t="s">
        <v>130</v>
      </c>
      <c r="E9826">
        <v>1961</v>
      </c>
      <c r="F9826" s="1">
        <v>74</v>
      </c>
      <c r="G9826">
        <v>1960</v>
      </c>
      <c r="H9826">
        <f>AVERAGEIFS(Table1[value],Table1[IndicatorCode],Table1[[#This Row],[IndicatorCode]])</f>
        <v>72.66514008620689</v>
      </c>
      <c r="I9826" cm="1">
        <f t="array" ref="I9826">_xlfn.STDEV.P(IF(Table1[IndicatorCode]=Table1[[#This Row],[IndicatorCode]],Table1[value]))</f>
        <v>6.3409496564024987</v>
      </c>
      <c r="J9826">
        <f>(Table1[[#This Row],[value]] - Table1[[#This Row],[mean]]) / Table1[[#This Row],[std_dev]]</f>
        <v>0.21051419521132667</v>
      </c>
      <c r="K9826">
        <f>AVERAGEIF(Table1[CountryCode],Table1[[#This Row],[CountryCode]],Table1[z-score])</f>
        <v>0.48073633366786628</v>
      </c>
      <c r="L9826" t="e">
        <f>VLOOKUP(Table1[[#This Row],[CountryCode]],[1]!Table1[#All],1,FALSE)</f>
        <v>#REF!</v>
      </c>
    </row>
    <row r="9827" spans="1:12" hidden="1" x14ac:dyDescent="0.3">
      <c r="A9827" t="s">
        <v>91</v>
      </c>
      <c r="B9827" t="s">
        <v>92</v>
      </c>
      <c r="C9827" t="s">
        <v>129</v>
      </c>
      <c r="D9827" t="s">
        <v>130</v>
      </c>
      <c r="E9827">
        <v>1962</v>
      </c>
      <c r="F9827" s="1">
        <v>73</v>
      </c>
      <c r="G9827">
        <v>1960</v>
      </c>
      <c r="H9827">
        <f>AVERAGEIFS(Table1[value],Table1[IndicatorCode],Table1[[#This Row],[IndicatorCode]])</f>
        <v>72.66514008620689</v>
      </c>
      <c r="I9827" cm="1">
        <f t="array" ref="I9827">_xlfn.STDEV.P(IF(Table1[IndicatorCode]=Table1[[#This Row],[IndicatorCode]],Table1[value]))</f>
        <v>6.3409496564024987</v>
      </c>
      <c r="J9827">
        <f>(Table1[[#This Row],[value]] - Table1[[#This Row],[mean]]) / Table1[[#This Row],[std_dev]]</f>
        <v>5.2809110927887599E-2</v>
      </c>
      <c r="K9827">
        <f>AVERAGEIF(Table1[CountryCode],Table1[[#This Row],[CountryCode]],Table1[z-score])</f>
        <v>0.48073633366786628</v>
      </c>
      <c r="L9827" t="e">
        <f>VLOOKUP(Table1[[#This Row],[CountryCode]],[1]!Table1[#All],1,FALSE)</f>
        <v>#REF!</v>
      </c>
    </row>
    <row r="9828" spans="1:12" hidden="1" x14ac:dyDescent="0.3">
      <c r="A9828" t="s">
        <v>91</v>
      </c>
      <c r="B9828" t="s">
        <v>92</v>
      </c>
      <c r="C9828" t="s">
        <v>129</v>
      </c>
      <c r="D9828" t="s">
        <v>130</v>
      </c>
      <c r="E9828">
        <v>1963</v>
      </c>
      <c r="F9828" s="1">
        <v>73</v>
      </c>
      <c r="G9828">
        <v>1960</v>
      </c>
      <c r="H9828">
        <f>AVERAGEIFS(Table1[value],Table1[IndicatorCode],Table1[[#This Row],[IndicatorCode]])</f>
        <v>72.66514008620689</v>
      </c>
      <c r="I9828" cm="1">
        <f t="array" ref="I9828">_xlfn.STDEV.P(IF(Table1[IndicatorCode]=Table1[[#This Row],[IndicatorCode]],Table1[value]))</f>
        <v>6.3409496564024987</v>
      </c>
      <c r="J9828">
        <f>(Table1[[#This Row],[value]] - Table1[[#This Row],[mean]]) / Table1[[#This Row],[std_dev]]</f>
        <v>5.2809110927887599E-2</v>
      </c>
      <c r="K9828">
        <f>AVERAGEIF(Table1[CountryCode],Table1[[#This Row],[CountryCode]],Table1[z-score])</f>
        <v>0.48073633366786628</v>
      </c>
      <c r="L9828" t="e">
        <f>VLOOKUP(Table1[[#This Row],[CountryCode]],[1]!Table1[#All],1,FALSE)</f>
        <v>#REF!</v>
      </c>
    </row>
    <row r="9829" spans="1:12" hidden="1" x14ac:dyDescent="0.3">
      <c r="A9829" t="s">
        <v>91</v>
      </c>
      <c r="B9829" t="s">
        <v>92</v>
      </c>
      <c r="C9829" t="s">
        <v>129</v>
      </c>
      <c r="D9829" t="s">
        <v>130</v>
      </c>
      <c r="E9829">
        <v>1964</v>
      </c>
      <c r="F9829" s="1">
        <v>74</v>
      </c>
      <c r="G9829">
        <v>1960</v>
      </c>
      <c r="H9829">
        <f>AVERAGEIFS(Table1[value],Table1[IndicatorCode],Table1[[#This Row],[IndicatorCode]])</f>
        <v>72.66514008620689</v>
      </c>
      <c r="I9829" cm="1">
        <f t="array" ref="I9829">_xlfn.STDEV.P(IF(Table1[IndicatorCode]=Table1[[#This Row],[IndicatorCode]],Table1[value]))</f>
        <v>6.3409496564024987</v>
      </c>
      <c r="J9829">
        <f>(Table1[[#This Row],[value]] - Table1[[#This Row],[mean]]) / Table1[[#This Row],[std_dev]]</f>
        <v>0.21051419521132667</v>
      </c>
      <c r="K9829">
        <f>AVERAGEIF(Table1[CountryCode],Table1[[#This Row],[CountryCode]],Table1[z-score])</f>
        <v>0.48073633366786628</v>
      </c>
      <c r="L9829" t="e">
        <f>VLOOKUP(Table1[[#This Row],[CountryCode]],[1]!Table1[#All],1,FALSE)</f>
        <v>#REF!</v>
      </c>
    </row>
    <row r="9830" spans="1:12" hidden="1" x14ac:dyDescent="0.3">
      <c r="A9830" t="s">
        <v>91</v>
      </c>
      <c r="B9830" t="s">
        <v>92</v>
      </c>
      <c r="C9830" t="s">
        <v>129</v>
      </c>
      <c r="D9830" t="s">
        <v>130</v>
      </c>
      <c r="E9830">
        <v>1965</v>
      </c>
      <c r="F9830" s="1">
        <v>74</v>
      </c>
      <c r="G9830">
        <v>1960</v>
      </c>
      <c r="H9830">
        <f>AVERAGEIFS(Table1[value],Table1[IndicatorCode],Table1[[#This Row],[IndicatorCode]])</f>
        <v>72.66514008620689</v>
      </c>
      <c r="I9830" cm="1">
        <f t="array" ref="I9830">_xlfn.STDEV.P(IF(Table1[IndicatorCode]=Table1[[#This Row],[IndicatorCode]],Table1[value]))</f>
        <v>6.3409496564024987</v>
      </c>
      <c r="J9830">
        <f>(Table1[[#This Row],[value]] - Table1[[#This Row],[mean]]) / Table1[[#This Row],[std_dev]]</f>
        <v>0.21051419521132667</v>
      </c>
      <c r="K9830">
        <f>AVERAGEIF(Table1[CountryCode],Table1[[#This Row],[CountryCode]],Table1[z-score])</f>
        <v>0.48073633366786628</v>
      </c>
      <c r="L9830" t="e">
        <f>VLOOKUP(Table1[[#This Row],[CountryCode]],[1]!Table1[#All],1,FALSE)</f>
        <v>#REF!</v>
      </c>
    </row>
    <row r="9831" spans="1:12" hidden="1" x14ac:dyDescent="0.3">
      <c r="A9831" t="s">
        <v>91</v>
      </c>
      <c r="B9831" t="s">
        <v>92</v>
      </c>
      <c r="C9831" t="s">
        <v>129</v>
      </c>
      <c r="D9831" t="s">
        <v>130</v>
      </c>
      <c r="E9831">
        <v>1966</v>
      </c>
      <c r="F9831" s="1">
        <v>74</v>
      </c>
      <c r="G9831">
        <v>1960</v>
      </c>
      <c r="H9831">
        <f>AVERAGEIFS(Table1[value],Table1[IndicatorCode],Table1[[#This Row],[IndicatorCode]])</f>
        <v>72.66514008620689</v>
      </c>
      <c r="I9831" cm="1">
        <f t="array" ref="I9831">_xlfn.STDEV.P(IF(Table1[IndicatorCode]=Table1[[#This Row],[IndicatorCode]],Table1[value]))</f>
        <v>6.3409496564024987</v>
      </c>
      <c r="J9831">
        <f>(Table1[[#This Row],[value]] - Table1[[#This Row],[mean]]) / Table1[[#This Row],[std_dev]]</f>
        <v>0.21051419521132667</v>
      </c>
      <c r="K9831">
        <f>AVERAGEIF(Table1[CountryCode],Table1[[#This Row],[CountryCode]],Table1[z-score])</f>
        <v>0.48073633366786628</v>
      </c>
      <c r="L9831" t="e">
        <f>VLOOKUP(Table1[[#This Row],[CountryCode]],[1]!Table1[#All],1,FALSE)</f>
        <v>#REF!</v>
      </c>
    </row>
    <row r="9832" spans="1:12" hidden="1" x14ac:dyDescent="0.3">
      <c r="A9832" t="s">
        <v>91</v>
      </c>
      <c r="B9832" t="s">
        <v>92</v>
      </c>
      <c r="C9832" t="s">
        <v>129</v>
      </c>
      <c r="D9832" t="s">
        <v>130</v>
      </c>
      <c r="E9832">
        <v>1967</v>
      </c>
      <c r="F9832" s="1">
        <v>74</v>
      </c>
      <c r="G9832">
        <v>1970</v>
      </c>
      <c r="H9832">
        <f>AVERAGEIFS(Table1[value],Table1[IndicatorCode],Table1[[#This Row],[IndicatorCode]])</f>
        <v>72.66514008620689</v>
      </c>
      <c r="I9832" cm="1">
        <f t="array" ref="I9832">_xlfn.STDEV.P(IF(Table1[IndicatorCode]=Table1[[#This Row],[IndicatorCode]],Table1[value]))</f>
        <v>6.3409496564024987</v>
      </c>
      <c r="J9832">
        <f>(Table1[[#This Row],[value]] - Table1[[#This Row],[mean]]) / Table1[[#This Row],[std_dev]]</f>
        <v>0.21051419521132667</v>
      </c>
      <c r="K9832">
        <f>AVERAGEIF(Table1[CountryCode],Table1[[#This Row],[CountryCode]],Table1[z-score])</f>
        <v>0.48073633366786628</v>
      </c>
      <c r="L9832" t="e">
        <f>VLOOKUP(Table1[[#This Row],[CountryCode]],[1]!Table1[#All],1,FALSE)</f>
        <v>#REF!</v>
      </c>
    </row>
    <row r="9833" spans="1:12" hidden="1" x14ac:dyDescent="0.3">
      <c r="A9833" t="s">
        <v>91</v>
      </c>
      <c r="B9833" t="s">
        <v>92</v>
      </c>
      <c r="C9833" t="s">
        <v>129</v>
      </c>
      <c r="D9833" t="s">
        <v>130</v>
      </c>
      <c r="E9833">
        <v>1968</v>
      </c>
      <c r="F9833" s="1">
        <v>74</v>
      </c>
      <c r="G9833">
        <v>1970</v>
      </c>
      <c r="H9833">
        <f>AVERAGEIFS(Table1[value],Table1[IndicatorCode],Table1[[#This Row],[IndicatorCode]])</f>
        <v>72.66514008620689</v>
      </c>
      <c r="I9833" cm="1">
        <f t="array" ref="I9833">_xlfn.STDEV.P(IF(Table1[IndicatorCode]=Table1[[#This Row],[IndicatorCode]],Table1[value]))</f>
        <v>6.3409496564024987</v>
      </c>
      <c r="J9833">
        <f>(Table1[[#This Row],[value]] - Table1[[#This Row],[mean]]) / Table1[[#This Row],[std_dev]]</f>
        <v>0.21051419521132667</v>
      </c>
      <c r="K9833">
        <f>AVERAGEIF(Table1[CountryCode],Table1[[#This Row],[CountryCode]],Table1[z-score])</f>
        <v>0.48073633366786628</v>
      </c>
      <c r="L9833" t="e">
        <f>VLOOKUP(Table1[[#This Row],[CountryCode]],[1]!Table1[#All],1,FALSE)</f>
        <v>#REF!</v>
      </c>
    </row>
    <row r="9834" spans="1:12" hidden="1" x14ac:dyDescent="0.3">
      <c r="A9834" t="s">
        <v>91</v>
      </c>
      <c r="B9834" t="s">
        <v>92</v>
      </c>
      <c r="C9834" t="s">
        <v>129</v>
      </c>
      <c r="D9834" t="s">
        <v>130</v>
      </c>
      <c r="E9834">
        <v>1969</v>
      </c>
      <c r="F9834" s="1">
        <v>74</v>
      </c>
      <c r="G9834">
        <v>1970</v>
      </c>
      <c r="H9834">
        <f>AVERAGEIFS(Table1[value],Table1[IndicatorCode],Table1[[#This Row],[IndicatorCode]])</f>
        <v>72.66514008620689</v>
      </c>
      <c r="I9834" cm="1">
        <f t="array" ref="I9834">_xlfn.STDEV.P(IF(Table1[IndicatorCode]=Table1[[#This Row],[IndicatorCode]],Table1[value]))</f>
        <v>6.3409496564024987</v>
      </c>
      <c r="J9834">
        <f>(Table1[[#This Row],[value]] - Table1[[#This Row],[mean]]) / Table1[[#This Row],[std_dev]]</f>
        <v>0.21051419521132667</v>
      </c>
      <c r="K9834">
        <f>AVERAGEIF(Table1[CountryCode],Table1[[#This Row],[CountryCode]],Table1[z-score])</f>
        <v>0.48073633366786628</v>
      </c>
      <c r="L9834" t="e">
        <f>VLOOKUP(Table1[[#This Row],[CountryCode]],[1]!Table1[#All],1,FALSE)</f>
        <v>#REF!</v>
      </c>
    </row>
    <row r="9835" spans="1:12" hidden="1" x14ac:dyDescent="0.3">
      <c r="A9835" t="s">
        <v>91</v>
      </c>
      <c r="B9835" t="s">
        <v>92</v>
      </c>
      <c r="C9835" t="s">
        <v>129</v>
      </c>
      <c r="D9835" t="s">
        <v>130</v>
      </c>
      <c r="E9835">
        <v>1970</v>
      </c>
      <c r="F9835" s="1">
        <v>74</v>
      </c>
      <c r="G9835">
        <v>1970</v>
      </c>
      <c r="H9835">
        <f>AVERAGEIFS(Table1[value],Table1[IndicatorCode],Table1[[#This Row],[IndicatorCode]])</f>
        <v>72.66514008620689</v>
      </c>
      <c r="I9835" cm="1">
        <f t="array" ref="I9835">_xlfn.STDEV.P(IF(Table1[IndicatorCode]=Table1[[#This Row],[IndicatorCode]],Table1[value]))</f>
        <v>6.3409496564024987</v>
      </c>
      <c r="J9835">
        <f>(Table1[[#This Row],[value]] - Table1[[#This Row],[mean]]) / Table1[[#This Row],[std_dev]]</f>
        <v>0.21051419521132667</v>
      </c>
      <c r="K9835">
        <f>AVERAGEIF(Table1[CountryCode],Table1[[#This Row],[CountryCode]],Table1[z-score])</f>
        <v>0.48073633366786628</v>
      </c>
      <c r="L9835" t="e">
        <f>VLOOKUP(Table1[[#This Row],[CountryCode]],[1]!Table1[#All],1,FALSE)</f>
        <v>#REF!</v>
      </c>
    </row>
    <row r="9836" spans="1:12" hidden="1" x14ac:dyDescent="0.3">
      <c r="A9836" t="s">
        <v>91</v>
      </c>
      <c r="B9836" t="s">
        <v>92</v>
      </c>
      <c r="C9836" t="s">
        <v>129</v>
      </c>
      <c r="D9836" t="s">
        <v>130</v>
      </c>
      <c r="E9836">
        <v>1971</v>
      </c>
      <c r="F9836" s="1">
        <v>74</v>
      </c>
      <c r="G9836">
        <v>1970</v>
      </c>
      <c r="H9836">
        <f>AVERAGEIFS(Table1[value],Table1[IndicatorCode],Table1[[#This Row],[IndicatorCode]])</f>
        <v>72.66514008620689</v>
      </c>
      <c r="I9836" cm="1">
        <f t="array" ref="I9836">_xlfn.STDEV.P(IF(Table1[IndicatorCode]=Table1[[#This Row],[IndicatorCode]],Table1[value]))</f>
        <v>6.3409496564024987</v>
      </c>
      <c r="J9836">
        <f>(Table1[[#This Row],[value]] - Table1[[#This Row],[mean]]) / Table1[[#This Row],[std_dev]]</f>
        <v>0.21051419521132667</v>
      </c>
      <c r="K9836">
        <f>AVERAGEIF(Table1[CountryCode],Table1[[#This Row],[CountryCode]],Table1[z-score])</f>
        <v>0.48073633366786628</v>
      </c>
      <c r="L9836" t="e">
        <f>VLOOKUP(Table1[[#This Row],[CountryCode]],[1]!Table1[#All],1,FALSE)</f>
        <v>#REF!</v>
      </c>
    </row>
    <row r="9837" spans="1:12" hidden="1" x14ac:dyDescent="0.3">
      <c r="A9837" t="s">
        <v>91</v>
      </c>
      <c r="B9837" t="s">
        <v>92</v>
      </c>
      <c r="C9837" t="s">
        <v>129</v>
      </c>
      <c r="D9837" t="s">
        <v>130</v>
      </c>
      <c r="E9837">
        <v>1972</v>
      </c>
      <c r="F9837" s="1">
        <v>74</v>
      </c>
      <c r="G9837">
        <v>1970</v>
      </c>
      <c r="H9837">
        <f>AVERAGEIFS(Table1[value],Table1[IndicatorCode],Table1[[#This Row],[IndicatorCode]])</f>
        <v>72.66514008620689</v>
      </c>
      <c r="I9837" cm="1">
        <f t="array" ref="I9837">_xlfn.STDEV.P(IF(Table1[IndicatorCode]=Table1[[#This Row],[IndicatorCode]],Table1[value]))</f>
        <v>6.3409496564024987</v>
      </c>
      <c r="J9837">
        <f>(Table1[[#This Row],[value]] - Table1[[#This Row],[mean]]) / Table1[[#This Row],[std_dev]]</f>
        <v>0.21051419521132667</v>
      </c>
      <c r="K9837">
        <f>AVERAGEIF(Table1[CountryCode],Table1[[#This Row],[CountryCode]],Table1[z-score])</f>
        <v>0.48073633366786628</v>
      </c>
      <c r="L9837" t="e">
        <f>VLOOKUP(Table1[[#This Row],[CountryCode]],[1]!Table1[#All],1,FALSE)</f>
        <v>#REF!</v>
      </c>
    </row>
    <row r="9838" spans="1:12" hidden="1" x14ac:dyDescent="0.3">
      <c r="A9838" t="s">
        <v>91</v>
      </c>
      <c r="B9838" t="s">
        <v>92</v>
      </c>
      <c r="C9838" t="s">
        <v>129</v>
      </c>
      <c r="D9838" t="s">
        <v>130</v>
      </c>
      <c r="E9838">
        <v>1973</v>
      </c>
      <c r="F9838" s="1">
        <v>74</v>
      </c>
      <c r="G9838">
        <v>1970</v>
      </c>
      <c r="H9838">
        <f>AVERAGEIFS(Table1[value],Table1[IndicatorCode],Table1[[#This Row],[IndicatorCode]])</f>
        <v>72.66514008620689</v>
      </c>
      <c r="I9838" cm="1">
        <f t="array" ref="I9838">_xlfn.STDEV.P(IF(Table1[IndicatorCode]=Table1[[#This Row],[IndicatorCode]],Table1[value]))</f>
        <v>6.3409496564024987</v>
      </c>
      <c r="J9838">
        <f>(Table1[[#This Row],[value]] - Table1[[#This Row],[mean]]) / Table1[[#This Row],[std_dev]]</f>
        <v>0.21051419521132667</v>
      </c>
      <c r="K9838">
        <f>AVERAGEIF(Table1[CountryCode],Table1[[#This Row],[CountryCode]],Table1[z-score])</f>
        <v>0.48073633366786628</v>
      </c>
      <c r="L9838" t="e">
        <f>VLOOKUP(Table1[[#This Row],[CountryCode]],[1]!Table1[#All],1,FALSE)</f>
        <v>#REF!</v>
      </c>
    </row>
    <row r="9839" spans="1:12" hidden="1" x14ac:dyDescent="0.3">
      <c r="A9839" t="s">
        <v>91</v>
      </c>
      <c r="B9839" t="s">
        <v>92</v>
      </c>
      <c r="C9839" t="s">
        <v>129</v>
      </c>
      <c r="D9839" t="s">
        <v>130</v>
      </c>
      <c r="E9839">
        <v>1974</v>
      </c>
      <c r="F9839" s="1">
        <v>75</v>
      </c>
      <c r="G9839">
        <v>1970</v>
      </c>
      <c r="H9839">
        <f>AVERAGEIFS(Table1[value],Table1[IndicatorCode],Table1[[#This Row],[IndicatorCode]])</f>
        <v>72.66514008620689</v>
      </c>
      <c r="I9839" cm="1">
        <f t="array" ref="I9839">_xlfn.STDEV.P(IF(Table1[IndicatorCode]=Table1[[#This Row],[IndicatorCode]],Table1[value]))</f>
        <v>6.3409496564024987</v>
      </c>
      <c r="J9839">
        <f>(Table1[[#This Row],[value]] - Table1[[#This Row],[mean]]) / Table1[[#This Row],[std_dev]]</f>
        <v>0.36821927949476574</v>
      </c>
      <c r="K9839">
        <f>AVERAGEIF(Table1[CountryCode],Table1[[#This Row],[CountryCode]],Table1[z-score])</f>
        <v>0.48073633366786628</v>
      </c>
      <c r="L9839" t="e">
        <f>VLOOKUP(Table1[[#This Row],[CountryCode]],[1]!Table1[#All],1,FALSE)</f>
        <v>#REF!</v>
      </c>
    </row>
    <row r="9840" spans="1:12" hidden="1" x14ac:dyDescent="0.3">
      <c r="A9840" t="s">
        <v>91</v>
      </c>
      <c r="B9840" t="s">
        <v>92</v>
      </c>
      <c r="C9840" t="s">
        <v>129</v>
      </c>
      <c r="D9840" t="s">
        <v>130</v>
      </c>
      <c r="E9840">
        <v>1975</v>
      </c>
      <c r="F9840" s="1">
        <v>74</v>
      </c>
      <c r="G9840">
        <v>1970</v>
      </c>
      <c r="H9840">
        <f>AVERAGEIFS(Table1[value],Table1[IndicatorCode],Table1[[#This Row],[IndicatorCode]])</f>
        <v>72.66514008620689</v>
      </c>
      <c r="I9840" cm="1">
        <f t="array" ref="I9840">_xlfn.STDEV.P(IF(Table1[IndicatorCode]=Table1[[#This Row],[IndicatorCode]],Table1[value]))</f>
        <v>6.3409496564024987</v>
      </c>
      <c r="J9840">
        <f>(Table1[[#This Row],[value]] - Table1[[#This Row],[mean]]) / Table1[[#This Row],[std_dev]]</f>
        <v>0.21051419521132667</v>
      </c>
      <c r="K9840">
        <f>AVERAGEIF(Table1[CountryCode],Table1[[#This Row],[CountryCode]],Table1[z-score])</f>
        <v>0.48073633366786628</v>
      </c>
      <c r="L9840" t="e">
        <f>VLOOKUP(Table1[[#This Row],[CountryCode]],[1]!Table1[#All],1,FALSE)</f>
        <v>#REF!</v>
      </c>
    </row>
    <row r="9841" spans="1:12" hidden="1" x14ac:dyDescent="0.3">
      <c r="A9841" t="s">
        <v>91</v>
      </c>
      <c r="B9841" t="s">
        <v>92</v>
      </c>
      <c r="C9841" t="s">
        <v>129</v>
      </c>
      <c r="D9841" t="s">
        <v>130</v>
      </c>
      <c r="E9841">
        <v>1976</v>
      </c>
      <c r="F9841" s="1">
        <v>75</v>
      </c>
      <c r="G9841">
        <v>1970</v>
      </c>
      <c r="H9841">
        <f>AVERAGEIFS(Table1[value],Table1[IndicatorCode],Table1[[#This Row],[IndicatorCode]])</f>
        <v>72.66514008620689</v>
      </c>
      <c r="I9841" cm="1">
        <f t="array" ref="I9841">_xlfn.STDEV.P(IF(Table1[IndicatorCode]=Table1[[#This Row],[IndicatorCode]],Table1[value]))</f>
        <v>6.3409496564024987</v>
      </c>
      <c r="J9841">
        <f>(Table1[[#This Row],[value]] - Table1[[#This Row],[mean]]) / Table1[[#This Row],[std_dev]]</f>
        <v>0.36821927949476574</v>
      </c>
      <c r="K9841">
        <f>AVERAGEIF(Table1[CountryCode],Table1[[#This Row],[CountryCode]],Table1[z-score])</f>
        <v>0.48073633366786628</v>
      </c>
      <c r="L9841" t="e">
        <f>VLOOKUP(Table1[[#This Row],[CountryCode]],[1]!Table1[#All],1,FALSE)</f>
        <v>#REF!</v>
      </c>
    </row>
    <row r="9842" spans="1:12" hidden="1" x14ac:dyDescent="0.3">
      <c r="A9842" t="s">
        <v>91</v>
      </c>
      <c r="B9842" t="s">
        <v>92</v>
      </c>
      <c r="C9842" t="s">
        <v>129</v>
      </c>
      <c r="D9842" t="s">
        <v>130</v>
      </c>
      <c r="E9842">
        <v>1977</v>
      </c>
      <c r="F9842" s="1">
        <v>75</v>
      </c>
      <c r="G9842">
        <v>1980</v>
      </c>
      <c r="H9842">
        <f>AVERAGEIFS(Table1[value],Table1[IndicatorCode],Table1[[#This Row],[IndicatorCode]])</f>
        <v>72.66514008620689</v>
      </c>
      <c r="I9842" cm="1">
        <f t="array" ref="I9842">_xlfn.STDEV.P(IF(Table1[IndicatorCode]=Table1[[#This Row],[IndicatorCode]],Table1[value]))</f>
        <v>6.3409496564024987</v>
      </c>
      <c r="J9842">
        <f>(Table1[[#This Row],[value]] - Table1[[#This Row],[mean]]) / Table1[[#This Row],[std_dev]]</f>
        <v>0.36821927949476574</v>
      </c>
      <c r="K9842">
        <f>AVERAGEIF(Table1[CountryCode],Table1[[#This Row],[CountryCode]],Table1[z-score])</f>
        <v>0.48073633366786628</v>
      </c>
      <c r="L9842" t="e">
        <f>VLOOKUP(Table1[[#This Row],[CountryCode]],[1]!Table1[#All],1,FALSE)</f>
        <v>#REF!</v>
      </c>
    </row>
    <row r="9843" spans="1:12" hidden="1" x14ac:dyDescent="0.3">
      <c r="A9843" t="s">
        <v>91</v>
      </c>
      <c r="B9843" t="s">
        <v>92</v>
      </c>
      <c r="C9843" t="s">
        <v>129</v>
      </c>
      <c r="D9843" t="s">
        <v>130</v>
      </c>
      <c r="E9843">
        <v>1978</v>
      </c>
      <c r="F9843" s="1">
        <v>75</v>
      </c>
      <c r="G9843">
        <v>1980</v>
      </c>
      <c r="H9843">
        <f>AVERAGEIFS(Table1[value],Table1[IndicatorCode],Table1[[#This Row],[IndicatorCode]])</f>
        <v>72.66514008620689</v>
      </c>
      <c r="I9843" cm="1">
        <f t="array" ref="I9843">_xlfn.STDEV.P(IF(Table1[IndicatorCode]=Table1[[#This Row],[IndicatorCode]],Table1[value]))</f>
        <v>6.3409496564024987</v>
      </c>
      <c r="J9843">
        <f>(Table1[[#This Row],[value]] - Table1[[#This Row],[mean]]) / Table1[[#This Row],[std_dev]]</f>
        <v>0.36821927949476574</v>
      </c>
      <c r="K9843">
        <f>AVERAGEIF(Table1[CountryCode],Table1[[#This Row],[CountryCode]],Table1[z-score])</f>
        <v>0.48073633366786628</v>
      </c>
      <c r="L9843" t="e">
        <f>VLOOKUP(Table1[[#This Row],[CountryCode]],[1]!Table1[#All],1,FALSE)</f>
        <v>#REF!</v>
      </c>
    </row>
    <row r="9844" spans="1:12" hidden="1" x14ac:dyDescent="0.3">
      <c r="A9844" t="s">
        <v>91</v>
      </c>
      <c r="B9844" t="s">
        <v>92</v>
      </c>
      <c r="C9844" t="s">
        <v>129</v>
      </c>
      <c r="D9844" t="s">
        <v>130</v>
      </c>
      <c r="E9844">
        <v>1979</v>
      </c>
      <c r="F9844" s="1">
        <v>76</v>
      </c>
      <c r="G9844">
        <v>1980</v>
      </c>
      <c r="H9844">
        <f>AVERAGEIFS(Table1[value],Table1[IndicatorCode],Table1[[#This Row],[IndicatorCode]])</f>
        <v>72.66514008620689</v>
      </c>
      <c r="I9844" cm="1">
        <f t="array" ref="I9844">_xlfn.STDEV.P(IF(Table1[IndicatorCode]=Table1[[#This Row],[IndicatorCode]],Table1[value]))</f>
        <v>6.3409496564024987</v>
      </c>
      <c r="J9844">
        <f>(Table1[[#This Row],[value]] - Table1[[#This Row],[mean]]) / Table1[[#This Row],[std_dev]]</f>
        <v>0.52592436377820473</v>
      </c>
      <c r="K9844">
        <f>AVERAGEIF(Table1[CountryCode],Table1[[#This Row],[CountryCode]],Table1[z-score])</f>
        <v>0.48073633366786628</v>
      </c>
      <c r="L9844" t="e">
        <f>VLOOKUP(Table1[[#This Row],[CountryCode]],[1]!Table1[#All],1,FALSE)</f>
        <v>#REF!</v>
      </c>
    </row>
    <row r="9845" spans="1:12" hidden="1" x14ac:dyDescent="0.3">
      <c r="A9845" t="s">
        <v>91</v>
      </c>
      <c r="B9845" t="s">
        <v>92</v>
      </c>
      <c r="C9845" t="s">
        <v>129</v>
      </c>
      <c r="D9845" t="s">
        <v>130</v>
      </c>
      <c r="E9845">
        <v>1980</v>
      </c>
      <c r="F9845" s="1">
        <v>76</v>
      </c>
      <c r="G9845">
        <v>1980</v>
      </c>
      <c r="H9845">
        <f>AVERAGEIFS(Table1[value],Table1[IndicatorCode],Table1[[#This Row],[IndicatorCode]])</f>
        <v>72.66514008620689</v>
      </c>
      <c r="I9845" cm="1">
        <f t="array" ref="I9845">_xlfn.STDEV.P(IF(Table1[IndicatorCode]=Table1[[#This Row],[IndicatorCode]],Table1[value]))</f>
        <v>6.3409496564024987</v>
      </c>
      <c r="J9845">
        <f>(Table1[[#This Row],[value]] - Table1[[#This Row],[mean]]) / Table1[[#This Row],[std_dev]]</f>
        <v>0.52592436377820473</v>
      </c>
      <c r="K9845">
        <f>AVERAGEIF(Table1[CountryCode],Table1[[#This Row],[CountryCode]],Table1[z-score])</f>
        <v>0.48073633366786628</v>
      </c>
      <c r="L9845" t="e">
        <f>VLOOKUP(Table1[[#This Row],[CountryCode]],[1]!Table1[#All],1,FALSE)</f>
        <v>#REF!</v>
      </c>
    </row>
    <row r="9846" spans="1:12" hidden="1" x14ac:dyDescent="0.3">
      <c r="A9846" t="s">
        <v>91</v>
      </c>
      <c r="B9846" t="s">
        <v>92</v>
      </c>
      <c r="C9846" t="s">
        <v>129</v>
      </c>
      <c r="D9846" t="s">
        <v>130</v>
      </c>
      <c r="E9846">
        <v>1981</v>
      </c>
      <c r="F9846" s="1">
        <v>76</v>
      </c>
      <c r="G9846">
        <v>1980</v>
      </c>
      <c r="H9846">
        <f>AVERAGEIFS(Table1[value],Table1[IndicatorCode],Table1[[#This Row],[IndicatorCode]])</f>
        <v>72.66514008620689</v>
      </c>
      <c r="I9846" cm="1">
        <f t="array" ref="I9846">_xlfn.STDEV.P(IF(Table1[IndicatorCode]=Table1[[#This Row],[IndicatorCode]],Table1[value]))</f>
        <v>6.3409496564024987</v>
      </c>
      <c r="J9846">
        <f>(Table1[[#This Row],[value]] - Table1[[#This Row],[mean]]) / Table1[[#This Row],[std_dev]]</f>
        <v>0.52592436377820473</v>
      </c>
      <c r="K9846">
        <f>AVERAGEIF(Table1[CountryCode],Table1[[#This Row],[CountryCode]],Table1[z-score])</f>
        <v>0.48073633366786628</v>
      </c>
      <c r="L9846" t="e">
        <f>VLOOKUP(Table1[[#This Row],[CountryCode]],[1]!Table1[#All],1,FALSE)</f>
        <v>#REF!</v>
      </c>
    </row>
    <row r="9847" spans="1:12" hidden="1" x14ac:dyDescent="0.3">
      <c r="A9847" t="s">
        <v>91</v>
      </c>
      <c r="B9847" t="s">
        <v>92</v>
      </c>
      <c r="C9847" t="s">
        <v>129</v>
      </c>
      <c r="D9847" t="s">
        <v>130</v>
      </c>
      <c r="E9847">
        <v>1982</v>
      </c>
      <c r="F9847" s="1">
        <v>76</v>
      </c>
      <c r="G9847">
        <v>1980</v>
      </c>
      <c r="H9847">
        <f>AVERAGEIFS(Table1[value],Table1[IndicatorCode],Table1[[#This Row],[IndicatorCode]])</f>
        <v>72.66514008620689</v>
      </c>
      <c r="I9847" cm="1">
        <f t="array" ref="I9847">_xlfn.STDEV.P(IF(Table1[IndicatorCode]=Table1[[#This Row],[IndicatorCode]],Table1[value]))</f>
        <v>6.3409496564024987</v>
      </c>
      <c r="J9847">
        <f>(Table1[[#This Row],[value]] - Table1[[#This Row],[mean]]) / Table1[[#This Row],[std_dev]]</f>
        <v>0.52592436377820473</v>
      </c>
      <c r="K9847">
        <f>AVERAGEIF(Table1[CountryCode],Table1[[#This Row],[CountryCode]],Table1[z-score])</f>
        <v>0.48073633366786628</v>
      </c>
      <c r="L9847" t="e">
        <f>VLOOKUP(Table1[[#This Row],[CountryCode]],[1]!Table1[#All],1,FALSE)</f>
        <v>#REF!</v>
      </c>
    </row>
    <row r="9848" spans="1:12" hidden="1" x14ac:dyDescent="0.3">
      <c r="A9848" t="s">
        <v>91</v>
      </c>
      <c r="B9848" t="s">
        <v>92</v>
      </c>
      <c r="C9848" t="s">
        <v>129</v>
      </c>
      <c r="D9848" t="s">
        <v>130</v>
      </c>
      <c r="E9848">
        <v>1983</v>
      </c>
      <c r="F9848" s="1">
        <v>76</v>
      </c>
      <c r="G9848">
        <v>1980</v>
      </c>
      <c r="H9848">
        <f>AVERAGEIFS(Table1[value],Table1[IndicatorCode],Table1[[#This Row],[IndicatorCode]])</f>
        <v>72.66514008620689</v>
      </c>
      <c r="I9848" cm="1">
        <f t="array" ref="I9848">_xlfn.STDEV.P(IF(Table1[IndicatorCode]=Table1[[#This Row],[IndicatorCode]],Table1[value]))</f>
        <v>6.3409496564024987</v>
      </c>
      <c r="J9848">
        <f>(Table1[[#This Row],[value]] - Table1[[#This Row],[mean]]) / Table1[[#This Row],[std_dev]]</f>
        <v>0.52592436377820473</v>
      </c>
      <c r="K9848">
        <f>AVERAGEIF(Table1[CountryCode],Table1[[#This Row],[CountryCode]],Table1[z-score])</f>
        <v>0.48073633366786628</v>
      </c>
      <c r="L9848" t="e">
        <f>VLOOKUP(Table1[[#This Row],[CountryCode]],[1]!Table1[#All],1,FALSE)</f>
        <v>#REF!</v>
      </c>
    </row>
    <row r="9849" spans="1:12" hidden="1" x14ac:dyDescent="0.3">
      <c r="A9849" t="s">
        <v>91</v>
      </c>
      <c r="B9849" t="s">
        <v>92</v>
      </c>
      <c r="C9849" t="s">
        <v>129</v>
      </c>
      <c r="D9849" t="s">
        <v>130</v>
      </c>
      <c r="E9849">
        <v>1984</v>
      </c>
      <c r="F9849" s="1">
        <v>76</v>
      </c>
      <c r="G9849">
        <v>1980</v>
      </c>
      <c r="H9849">
        <f>AVERAGEIFS(Table1[value],Table1[IndicatorCode],Table1[[#This Row],[IndicatorCode]])</f>
        <v>72.66514008620689</v>
      </c>
      <c r="I9849" cm="1">
        <f t="array" ref="I9849">_xlfn.STDEV.P(IF(Table1[IndicatorCode]=Table1[[#This Row],[IndicatorCode]],Table1[value]))</f>
        <v>6.3409496564024987</v>
      </c>
      <c r="J9849">
        <f>(Table1[[#This Row],[value]] - Table1[[#This Row],[mean]]) / Table1[[#This Row],[std_dev]]</f>
        <v>0.52592436377820473</v>
      </c>
      <c r="K9849">
        <f>AVERAGEIF(Table1[CountryCode],Table1[[#This Row],[CountryCode]],Table1[z-score])</f>
        <v>0.48073633366786628</v>
      </c>
      <c r="L9849" t="e">
        <f>VLOOKUP(Table1[[#This Row],[CountryCode]],[1]!Table1[#All],1,FALSE)</f>
        <v>#REF!</v>
      </c>
    </row>
    <row r="9850" spans="1:12" hidden="1" x14ac:dyDescent="0.3">
      <c r="A9850" t="s">
        <v>91</v>
      </c>
      <c r="B9850" t="s">
        <v>92</v>
      </c>
      <c r="C9850" t="s">
        <v>129</v>
      </c>
      <c r="D9850" t="s">
        <v>130</v>
      </c>
      <c r="E9850">
        <v>1985</v>
      </c>
      <c r="F9850" s="1">
        <v>76</v>
      </c>
      <c r="G9850">
        <v>1980</v>
      </c>
      <c r="H9850">
        <f>AVERAGEIFS(Table1[value],Table1[IndicatorCode],Table1[[#This Row],[IndicatorCode]])</f>
        <v>72.66514008620689</v>
      </c>
      <c r="I9850" cm="1">
        <f t="array" ref="I9850">_xlfn.STDEV.P(IF(Table1[IndicatorCode]=Table1[[#This Row],[IndicatorCode]],Table1[value]))</f>
        <v>6.3409496564024987</v>
      </c>
      <c r="J9850">
        <f>(Table1[[#This Row],[value]] - Table1[[#This Row],[mean]]) / Table1[[#This Row],[std_dev]]</f>
        <v>0.52592436377820473</v>
      </c>
      <c r="K9850">
        <f>AVERAGEIF(Table1[CountryCode],Table1[[#This Row],[CountryCode]],Table1[z-score])</f>
        <v>0.48073633366786628</v>
      </c>
      <c r="L9850" t="e">
        <f>VLOOKUP(Table1[[#This Row],[CountryCode]],[1]!Table1[#All],1,FALSE)</f>
        <v>#REF!</v>
      </c>
    </row>
    <row r="9851" spans="1:12" hidden="1" x14ac:dyDescent="0.3">
      <c r="A9851" t="s">
        <v>91</v>
      </c>
      <c r="B9851" t="s">
        <v>92</v>
      </c>
      <c r="C9851" t="s">
        <v>129</v>
      </c>
      <c r="D9851" t="s">
        <v>130</v>
      </c>
      <c r="E9851">
        <v>1986</v>
      </c>
      <c r="F9851" s="1">
        <v>76</v>
      </c>
      <c r="G9851">
        <v>1980</v>
      </c>
      <c r="H9851">
        <f>AVERAGEIFS(Table1[value],Table1[IndicatorCode],Table1[[#This Row],[IndicatorCode]])</f>
        <v>72.66514008620689</v>
      </c>
      <c r="I9851" cm="1">
        <f t="array" ref="I9851">_xlfn.STDEV.P(IF(Table1[IndicatorCode]=Table1[[#This Row],[IndicatorCode]],Table1[value]))</f>
        <v>6.3409496564024987</v>
      </c>
      <c r="J9851">
        <f>(Table1[[#This Row],[value]] - Table1[[#This Row],[mean]]) / Table1[[#This Row],[std_dev]]</f>
        <v>0.52592436377820473</v>
      </c>
      <c r="K9851">
        <f>AVERAGEIF(Table1[CountryCode],Table1[[#This Row],[CountryCode]],Table1[z-score])</f>
        <v>0.48073633366786628</v>
      </c>
      <c r="L9851" t="e">
        <f>VLOOKUP(Table1[[#This Row],[CountryCode]],[1]!Table1[#All],1,FALSE)</f>
        <v>#REF!</v>
      </c>
    </row>
    <row r="9852" spans="1:12" hidden="1" x14ac:dyDescent="0.3">
      <c r="A9852" t="s">
        <v>91</v>
      </c>
      <c r="B9852" t="s">
        <v>92</v>
      </c>
      <c r="C9852" t="s">
        <v>129</v>
      </c>
      <c r="D9852" t="s">
        <v>130</v>
      </c>
      <c r="E9852">
        <v>1987</v>
      </c>
      <c r="F9852" s="1">
        <v>77</v>
      </c>
      <c r="G9852">
        <v>1990</v>
      </c>
      <c r="H9852">
        <f>AVERAGEIFS(Table1[value],Table1[IndicatorCode],Table1[[#This Row],[IndicatorCode]])</f>
        <v>72.66514008620689</v>
      </c>
      <c r="I9852" cm="1">
        <f t="array" ref="I9852">_xlfn.STDEV.P(IF(Table1[IndicatorCode]=Table1[[#This Row],[IndicatorCode]],Table1[value]))</f>
        <v>6.3409496564024987</v>
      </c>
      <c r="J9852">
        <f>(Table1[[#This Row],[value]] - Table1[[#This Row],[mean]]) / Table1[[#This Row],[std_dev]]</f>
        <v>0.68362944806164383</v>
      </c>
      <c r="K9852">
        <f>AVERAGEIF(Table1[CountryCode],Table1[[#This Row],[CountryCode]],Table1[z-score])</f>
        <v>0.48073633366786628</v>
      </c>
      <c r="L9852" t="e">
        <f>VLOOKUP(Table1[[#This Row],[CountryCode]],[1]!Table1[#All],1,FALSE)</f>
        <v>#REF!</v>
      </c>
    </row>
    <row r="9853" spans="1:12" hidden="1" x14ac:dyDescent="0.3">
      <c r="A9853" t="s">
        <v>91</v>
      </c>
      <c r="B9853" t="s">
        <v>92</v>
      </c>
      <c r="C9853" t="s">
        <v>129</v>
      </c>
      <c r="D9853" t="s">
        <v>130</v>
      </c>
      <c r="E9853">
        <v>1988</v>
      </c>
      <c r="F9853" s="1">
        <v>77</v>
      </c>
      <c r="G9853">
        <v>1990</v>
      </c>
      <c r="H9853">
        <f>AVERAGEIFS(Table1[value],Table1[IndicatorCode],Table1[[#This Row],[IndicatorCode]])</f>
        <v>72.66514008620689</v>
      </c>
      <c r="I9853" cm="1">
        <f t="array" ref="I9853">_xlfn.STDEV.P(IF(Table1[IndicatorCode]=Table1[[#This Row],[IndicatorCode]],Table1[value]))</f>
        <v>6.3409496564024987</v>
      </c>
      <c r="J9853">
        <f>(Table1[[#This Row],[value]] - Table1[[#This Row],[mean]]) / Table1[[#This Row],[std_dev]]</f>
        <v>0.68362944806164383</v>
      </c>
      <c r="K9853">
        <f>AVERAGEIF(Table1[CountryCode],Table1[[#This Row],[CountryCode]],Table1[z-score])</f>
        <v>0.48073633366786628</v>
      </c>
      <c r="L9853" t="e">
        <f>VLOOKUP(Table1[[#This Row],[CountryCode]],[1]!Table1[#All],1,FALSE)</f>
        <v>#REF!</v>
      </c>
    </row>
    <row r="9854" spans="1:12" hidden="1" x14ac:dyDescent="0.3">
      <c r="A9854" t="s">
        <v>91</v>
      </c>
      <c r="B9854" t="s">
        <v>92</v>
      </c>
      <c r="C9854" t="s">
        <v>129</v>
      </c>
      <c r="D9854" t="s">
        <v>130</v>
      </c>
      <c r="E9854">
        <v>1989</v>
      </c>
      <c r="F9854" s="1">
        <v>77</v>
      </c>
      <c r="G9854">
        <v>1990</v>
      </c>
      <c r="H9854">
        <f>AVERAGEIFS(Table1[value],Table1[IndicatorCode],Table1[[#This Row],[IndicatorCode]])</f>
        <v>72.66514008620689</v>
      </c>
      <c r="I9854" cm="1">
        <f t="array" ref="I9854">_xlfn.STDEV.P(IF(Table1[IndicatorCode]=Table1[[#This Row],[IndicatorCode]],Table1[value]))</f>
        <v>6.3409496564024987</v>
      </c>
      <c r="J9854">
        <f>(Table1[[#This Row],[value]] - Table1[[#This Row],[mean]]) / Table1[[#This Row],[std_dev]]</f>
        <v>0.68362944806164383</v>
      </c>
      <c r="K9854">
        <f>AVERAGEIF(Table1[CountryCode],Table1[[#This Row],[CountryCode]],Table1[z-score])</f>
        <v>0.48073633366786628</v>
      </c>
      <c r="L9854" t="e">
        <f>VLOOKUP(Table1[[#This Row],[CountryCode]],[1]!Table1[#All],1,FALSE)</f>
        <v>#REF!</v>
      </c>
    </row>
    <row r="9855" spans="1:12" hidden="1" x14ac:dyDescent="0.3">
      <c r="A9855" t="s">
        <v>91</v>
      </c>
      <c r="B9855" t="s">
        <v>92</v>
      </c>
      <c r="C9855" t="s">
        <v>129</v>
      </c>
      <c r="D9855" t="s">
        <v>130</v>
      </c>
      <c r="E9855">
        <v>1990</v>
      </c>
      <c r="F9855" s="1">
        <v>77</v>
      </c>
      <c r="G9855">
        <v>1990</v>
      </c>
      <c r="H9855">
        <f>AVERAGEIFS(Table1[value],Table1[IndicatorCode],Table1[[#This Row],[IndicatorCode]])</f>
        <v>72.66514008620689</v>
      </c>
      <c r="I9855" cm="1">
        <f t="array" ref="I9855">_xlfn.STDEV.P(IF(Table1[IndicatorCode]=Table1[[#This Row],[IndicatorCode]],Table1[value]))</f>
        <v>6.3409496564024987</v>
      </c>
      <c r="J9855">
        <f>(Table1[[#This Row],[value]] - Table1[[#This Row],[mean]]) / Table1[[#This Row],[std_dev]]</f>
        <v>0.68362944806164383</v>
      </c>
      <c r="K9855">
        <f>AVERAGEIF(Table1[CountryCode],Table1[[#This Row],[CountryCode]],Table1[z-score])</f>
        <v>0.48073633366786628</v>
      </c>
      <c r="L9855" t="e">
        <f>VLOOKUP(Table1[[#This Row],[CountryCode]],[1]!Table1[#All],1,FALSE)</f>
        <v>#REF!</v>
      </c>
    </row>
    <row r="9856" spans="1:12" hidden="1" x14ac:dyDescent="0.3">
      <c r="A9856" t="s">
        <v>91</v>
      </c>
      <c r="B9856" t="s">
        <v>92</v>
      </c>
      <c r="C9856" t="s">
        <v>129</v>
      </c>
      <c r="D9856" t="s">
        <v>130</v>
      </c>
      <c r="E9856">
        <v>1991</v>
      </c>
      <c r="F9856" s="1">
        <v>77</v>
      </c>
      <c r="G9856">
        <v>1990</v>
      </c>
      <c r="H9856">
        <f>AVERAGEIFS(Table1[value],Table1[IndicatorCode],Table1[[#This Row],[IndicatorCode]])</f>
        <v>72.66514008620689</v>
      </c>
      <c r="I9856" cm="1">
        <f t="array" ref="I9856">_xlfn.STDEV.P(IF(Table1[IndicatorCode]=Table1[[#This Row],[IndicatorCode]],Table1[value]))</f>
        <v>6.3409496564024987</v>
      </c>
      <c r="J9856">
        <f>(Table1[[#This Row],[value]] - Table1[[#This Row],[mean]]) / Table1[[#This Row],[std_dev]]</f>
        <v>0.68362944806164383</v>
      </c>
      <c r="K9856">
        <f>AVERAGEIF(Table1[CountryCode],Table1[[#This Row],[CountryCode]],Table1[z-score])</f>
        <v>0.48073633366786628</v>
      </c>
      <c r="L9856" t="e">
        <f>VLOOKUP(Table1[[#This Row],[CountryCode]],[1]!Table1[#All],1,FALSE)</f>
        <v>#REF!</v>
      </c>
    </row>
    <row r="9857" spans="1:12" hidden="1" x14ac:dyDescent="0.3">
      <c r="A9857" t="s">
        <v>91</v>
      </c>
      <c r="B9857" t="s">
        <v>92</v>
      </c>
      <c r="C9857" t="s">
        <v>129</v>
      </c>
      <c r="D9857" t="s">
        <v>130</v>
      </c>
      <c r="E9857">
        <v>1992</v>
      </c>
      <c r="F9857" s="1">
        <v>77</v>
      </c>
      <c r="G9857">
        <v>1990</v>
      </c>
      <c r="H9857">
        <f>AVERAGEIFS(Table1[value],Table1[IndicatorCode],Table1[[#This Row],[IndicatorCode]])</f>
        <v>72.66514008620689</v>
      </c>
      <c r="I9857" cm="1">
        <f t="array" ref="I9857">_xlfn.STDEV.P(IF(Table1[IndicatorCode]=Table1[[#This Row],[IndicatorCode]],Table1[value]))</f>
        <v>6.3409496564024987</v>
      </c>
      <c r="J9857">
        <f>(Table1[[#This Row],[value]] - Table1[[#This Row],[mean]]) / Table1[[#This Row],[std_dev]]</f>
        <v>0.68362944806164383</v>
      </c>
      <c r="K9857">
        <f>AVERAGEIF(Table1[CountryCode],Table1[[#This Row],[CountryCode]],Table1[z-score])</f>
        <v>0.48073633366786628</v>
      </c>
      <c r="L9857" t="e">
        <f>VLOOKUP(Table1[[#This Row],[CountryCode]],[1]!Table1[#All],1,FALSE)</f>
        <v>#REF!</v>
      </c>
    </row>
    <row r="9858" spans="1:12" hidden="1" x14ac:dyDescent="0.3">
      <c r="A9858" t="s">
        <v>91</v>
      </c>
      <c r="B9858" t="s">
        <v>92</v>
      </c>
      <c r="C9858" t="s">
        <v>129</v>
      </c>
      <c r="D9858" t="s">
        <v>130</v>
      </c>
      <c r="E9858">
        <v>1993</v>
      </c>
      <c r="F9858" s="1">
        <v>77</v>
      </c>
      <c r="G9858">
        <v>1990</v>
      </c>
      <c r="H9858">
        <f>AVERAGEIFS(Table1[value],Table1[IndicatorCode],Table1[[#This Row],[IndicatorCode]])</f>
        <v>72.66514008620689</v>
      </c>
      <c r="I9858" cm="1">
        <f t="array" ref="I9858">_xlfn.STDEV.P(IF(Table1[IndicatorCode]=Table1[[#This Row],[IndicatorCode]],Table1[value]))</f>
        <v>6.3409496564024987</v>
      </c>
      <c r="J9858">
        <f>(Table1[[#This Row],[value]] - Table1[[#This Row],[mean]]) / Table1[[#This Row],[std_dev]]</f>
        <v>0.68362944806164383</v>
      </c>
      <c r="K9858">
        <f>AVERAGEIF(Table1[CountryCode],Table1[[#This Row],[CountryCode]],Table1[z-score])</f>
        <v>0.48073633366786628</v>
      </c>
      <c r="L9858" t="e">
        <f>VLOOKUP(Table1[[#This Row],[CountryCode]],[1]!Table1[#All],1,FALSE)</f>
        <v>#REF!</v>
      </c>
    </row>
    <row r="9859" spans="1:12" hidden="1" x14ac:dyDescent="0.3">
      <c r="A9859" t="s">
        <v>91</v>
      </c>
      <c r="B9859" t="s">
        <v>92</v>
      </c>
      <c r="C9859" t="s">
        <v>129</v>
      </c>
      <c r="D9859" t="s">
        <v>130</v>
      </c>
      <c r="E9859">
        <v>1994</v>
      </c>
      <c r="F9859" s="1">
        <v>77</v>
      </c>
      <c r="G9859">
        <v>1990</v>
      </c>
      <c r="H9859">
        <f>AVERAGEIFS(Table1[value],Table1[IndicatorCode],Table1[[#This Row],[IndicatorCode]])</f>
        <v>72.66514008620689</v>
      </c>
      <c r="I9859" cm="1">
        <f t="array" ref="I9859">_xlfn.STDEV.P(IF(Table1[IndicatorCode]=Table1[[#This Row],[IndicatorCode]],Table1[value]))</f>
        <v>6.3409496564024987</v>
      </c>
      <c r="J9859">
        <f>(Table1[[#This Row],[value]] - Table1[[#This Row],[mean]]) / Table1[[#This Row],[std_dev]]</f>
        <v>0.68362944806164383</v>
      </c>
      <c r="K9859">
        <f>AVERAGEIF(Table1[CountryCode],Table1[[#This Row],[CountryCode]],Table1[z-score])</f>
        <v>0.48073633366786628</v>
      </c>
      <c r="L9859" t="e">
        <f>VLOOKUP(Table1[[#This Row],[CountryCode]],[1]!Table1[#All],1,FALSE)</f>
        <v>#REF!</v>
      </c>
    </row>
    <row r="9860" spans="1:12" hidden="1" x14ac:dyDescent="0.3">
      <c r="A9860" t="s">
        <v>91</v>
      </c>
      <c r="B9860" t="s">
        <v>92</v>
      </c>
      <c r="C9860" t="s">
        <v>129</v>
      </c>
      <c r="D9860" t="s">
        <v>130</v>
      </c>
      <c r="E9860">
        <v>1995</v>
      </c>
      <c r="F9860" s="1">
        <v>77</v>
      </c>
      <c r="G9860">
        <v>1990</v>
      </c>
      <c r="H9860">
        <f>AVERAGEIFS(Table1[value],Table1[IndicatorCode],Table1[[#This Row],[IndicatorCode]])</f>
        <v>72.66514008620689</v>
      </c>
      <c r="I9860" cm="1">
        <f t="array" ref="I9860">_xlfn.STDEV.P(IF(Table1[IndicatorCode]=Table1[[#This Row],[IndicatorCode]],Table1[value]))</f>
        <v>6.3409496564024987</v>
      </c>
      <c r="J9860">
        <f>(Table1[[#This Row],[value]] - Table1[[#This Row],[mean]]) / Table1[[#This Row],[std_dev]]</f>
        <v>0.68362944806164383</v>
      </c>
      <c r="K9860">
        <f>AVERAGEIF(Table1[CountryCode],Table1[[#This Row],[CountryCode]],Table1[z-score])</f>
        <v>0.48073633366786628</v>
      </c>
      <c r="L9860" t="e">
        <f>VLOOKUP(Table1[[#This Row],[CountryCode]],[1]!Table1[#All],1,FALSE)</f>
        <v>#REF!</v>
      </c>
    </row>
    <row r="9861" spans="1:12" hidden="1" x14ac:dyDescent="0.3">
      <c r="A9861" t="s">
        <v>91</v>
      </c>
      <c r="B9861" t="s">
        <v>92</v>
      </c>
      <c r="C9861" t="s">
        <v>129</v>
      </c>
      <c r="D9861" t="s">
        <v>130</v>
      </c>
      <c r="E9861">
        <v>1996</v>
      </c>
      <c r="F9861" s="1">
        <v>77</v>
      </c>
      <c r="G9861">
        <v>1990</v>
      </c>
      <c r="H9861">
        <f>AVERAGEIFS(Table1[value],Table1[IndicatorCode],Table1[[#This Row],[IndicatorCode]])</f>
        <v>72.66514008620689</v>
      </c>
      <c r="I9861" cm="1">
        <f t="array" ref="I9861">_xlfn.STDEV.P(IF(Table1[IndicatorCode]=Table1[[#This Row],[IndicatorCode]],Table1[value]))</f>
        <v>6.3409496564024987</v>
      </c>
      <c r="J9861">
        <f>(Table1[[#This Row],[value]] - Table1[[#This Row],[mean]]) / Table1[[#This Row],[std_dev]]</f>
        <v>0.68362944806164383</v>
      </c>
      <c r="K9861">
        <f>AVERAGEIF(Table1[CountryCode],Table1[[#This Row],[CountryCode]],Table1[z-score])</f>
        <v>0.48073633366786628</v>
      </c>
      <c r="L9861" t="e">
        <f>VLOOKUP(Table1[[#This Row],[CountryCode]],[1]!Table1[#All],1,FALSE)</f>
        <v>#REF!</v>
      </c>
    </row>
    <row r="9862" spans="1:12" hidden="1" x14ac:dyDescent="0.3">
      <c r="A9862" t="s">
        <v>91</v>
      </c>
      <c r="B9862" t="s">
        <v>92</v>
      </c>
      <c r="C9862" t="s">
        <v>129</v>
      </c>
      <c r="D9862" t="s">
        <v>130</v>
      </c>
      <c r="E9862">
        <v>1997</v>
      </c>
      <c r="F9862" s="1">
        <v>78</v>
      </c>
      <c r="G9862">
        <v>2000</v>
      </c>
      <c r="H9862">
        <f>AVERAGEIFS(Table1[value],Table1[IndicatorCode],Table1[[#This Row],[IndicatorCode]])</f>
        <v>72.66514008620689</v>
      </c>
      <c r="I9862" cm="1">
        <f t="array" ref="I9862">_xlfn.STDEV.P(IF(Table1[IndicatorCode]=Table1[[#This Row],[IndicatorCode]],Table1[value]))</f>
        <v>6.3409496564024987</v>
      </c>
      <c r="J9862">
        <f>(Table1[[#This Row],[value]] - Table1[[#This Row],[mean]]) / Table1[[#This Row],[std_dev]]</f>
        <v>0.84133453234508293</v>
      </c>
      <c r="K9862">
        <f>AVERAGEIF(Table1[CountryCode],Table1[[#This Row],[CountryCode]],Table1[z-score])</f>
        <v>0.48073633366786628</v>
      </c>
      <c r="L9862" t="e">
        <f>VLOOKUP(Table1[[#This Row],[CountryCode]],[1]!Table1[#All],1,FALSE)</f>
        <v>#REF!</v>
      </c>
    </row>
    <row r="9863" spans="1:12" hidden="1" x14ac:dyDescent="0.3">
      <c r="A9863" t="s">
        <v>91</v>
      </c>
      <c r="B9863" t="s">
        <v>92</v>
      </c>
      <c r="C9863" t="s">
        <v>129</v>
      </c>
      <c r="D9863" t="s">
        <v>130</v>
      </c>
      <c r="E9863">
        <v>1998</v>
      </c>
      <c r="F9863" s="1">
        <v>78</v>
      </c>
      <c r="G9863">
        <v>2000</v>
      </c>
      <c r="H9863">
        <f>AVERAGEIFS(Table1[value],Table1[IndicatorCode],Table1[[#This Row],[IndicatorCode]])</f>
        <v>72.66514008620689</v>
      </c>
      <c r="I9863" cm="1">
        <f t="array" ref="I9863">_xlfn.STDEV.P(IF(Table1[IndicatorCode]=Table1[[#This Row],[IndicatorCode]],Table1[value]))</f>
        <v>6.3409496564024987</v>
      </c>
      <c r="J9863">
        <f>(Table1[[#This Row],[value]] - Table1[[#This Row],[mean]]) / Table1[[#This Row],[std_dev]]</f>
        <v>0.84133453234508293</v>
      </c>
      <c r="K9863">
        <f>AVERAGEIF(Table1[CountryCode],Table1[[#This Row],[CountryCode]],Table1[z-score])</f>
        <v>0.48073633366786628</v>
      </c>
      <c r="L9863" t="e">
        <f>VLOOKUP(Table1[[#This Row],[CountryCode]],[1]!Table1[#All],1,FALSE)</f>
        <v>#REF!</v>
      </c>
    </row>
    <row r="9864" spans="1:12" hidden="1" x14ac:dyDescent="0.3">
      <c r="A9864" t="s">
        <v>91</v>
      </c>
      <c r="B9864" t="s">
        <v>92</v>
      </c>
      <c r="C9864" t="s">
        <v>129</v>
      </c>
      <c r="D9864" t="s">
        <v>130</v>
      </c>
      <c r="E9864">
        <v>1999</v>
      </c>
      <c r="F9864" s="1">
        <v>78</v>
      </c>
      <c r="G9864">
        <v>2000</v>
      </c>
      <c r="H9864">
        <f>AVERAGEIFS(Table1[value],Table1[IndicatorCode],Table1[[#This Row],[IndicatorCode]])</f>
        <v>72.66514008620689</v>
      </c>
      <c r="I9864" cm="1">
        <f t="array" ref="I9864">_xlfn.STDEV.P(IF(Table1[IndicatorCode]=Table1[[#This Row],[IndicatorCode]],Table1[value]))</f>
        <v>6.3409496564024987</v>
      </c>
      <c r="J9864">
        <f>(Table1[[#This Row],[value]] - Table1[[#This Row],[mean]]) / Table1[[#This Row],[std_dev]]</f>
        <v>0.84133453234508293</v>
      </c>
      <c r="K9864">
        <f>AVERAGEIF(Table1[CountryCode],Table1[[#This Row],[CountryCode]],Table1[z-score])</f>
        <v>0.48073633366786628</v>
      </c>
      <c r="L9864" t="e">
        <f>VLOOKUP(Table1[[#This Row],[CountryCode]],[1]!Table1[#All],1,FALSE)</f>
        <v>#REF!</v>
      </c>
    </row>
    <row r="9865" spans="1:12" hidden="1" x14ac:dyDescent="0.3">
      <c r="A9865" t="s">
        <v>91</v>
      </c>
      <c r="B9865" t="s">
        <v>92</v>
      </c>
      <c r="C9865" t="s">
        <v>129</v>
      </c>
      <c r="D9865" t="s">
        <v>130</v>
      </c>
      <c r="E9865">
        <v>2000</v>
      </c>
      <c r="F9865" s="1">
        <v>78</v>
      </c>
      <c r="G9865">
        <v>2000</v>
      </c>
      <c r="H9865">
        <f>AVERAGEIFS(Table1[value],Table1[IndicatorCode],Table1[[#This Row],[IndicatorCode]])</f>
        <v>72.66514008620689</v>
      </c>
      <c r="I9865" cm="1">
        <f t="array" ref="I9865">_xlfn.STDEV.P(IF(Table1[IndicatorCode]=Table1[[#This Row],[IndicatorCode]],Table1[value]))</f>
        <v>6.3409496564024987</v>
      </c>
      <c r="J9865">
        <f>(Table1[[#This Row],[value]] - Table1[[#This Row],[mean]]) / Table1[[#This Row],[std_dev]]</f>
        <v>0.84133453234508293</v>
      </c>
      <c r="K9865">
        <f>AVERAGEIF(Table1[CountryCode],Table1[[#This Row],[CountryCode]],Table1[z-score])</f>
        <v>0.48073633366786628</v>
      </c>
      <c r="L9865" t="e">
        <f>VLOOKUP(Table1[[#This Row],[CountryCode]],[1]!Table1[#All],1,FALSE)</f>
        <v>#REF!</v>
      </c>
    </row>
    <row r="9866" spans="1:12" hidden="1" x14ac:dyDescent="0.3">
      <c r="A9866" t="s">
        <v>91</v>
      </c>
      <c r="B9866" t="s">
        <v>92</v>
      </c>
      <c r="C9866" t="s">
        <v>129</v>
      </c>
      <c r="D9866" t="s">
        <v>130</v>
      </c>
      <c r="E9866">
        <v>2001</v>
      </c>
      <c r="F9866" s="1">
        <v>78</v>
      </c>
      <c r="G9866">
        <v>2000</v>
      </c>
      <c r="H9866">
        <f>AVERAGEIFS(Table1[value],Table1[IndicatorCode],Table1[[#This Row],[IndicatorCode]])</f>
        <v>72.66514008620689</v>
      </c>
      <c r="I9866" cm="1">
        <f t="array" ref="I9866">_xlfn.STDEV.P(IF(Table1[IndicatorCode]=Table1[[#This Row],[IndicatorCode]],Table1[value]))</f>
        <v>6.3409496564024987</v>
      </c>
      <c r="J9866">
        <f>(Table1[[#This Row],[value]] - Table1[[#This Row],[mean]]) / Table1[[#This Row],[std_dev]]</f>
        <v>0.84133453234508293</v>
      </c>
      <c r="K9866">
        <f>AVERAGEIF(Table1[CountryCode],Table1[[#This Row],[CountryCode]],Table1[z-score])</f>
        <v>0.48073633366786628</v>
      </c>
      <c r="L9866" t="e">
        <f>VLOOKUP(Table1[[#This Row],[CountryCode]],[1]!Table1[#All],1,FALSE)</f>
        <v>#REF!</v>
      </c>
    </row>
    <row r="9867" spans="1:12" hidden="1" x14ac:dyDescent="0.3">
      <c r="A9867" t="s">
        <v>91</v>
      </c>
      <c r="B9867" t="s">
        <v>92</v>
      </c>
      <c r="C9867" t="s">
        <v>129</v>
      </c>
      <c r="D9867" t="s">
        <v>130</v>
      </c>
      <c r="E9867">
        <v>2002</v>
      </c>
      <c r="F9867" s="1">
        <v>78</v>
      </c>
      <c r="G9867">
        <v>2000</v>
      </c>
      <c r="H9867">
        <f>AVERAGEIFS(Table1[value],Table1[IndicatorCode],Table1[[#This Row],[IndicatorCode]])</f>
        <v>72.66514008620689</v>
      </c>
      <c r="I9867" cm="1">
        <f t="array" ref="I9867">_xlfn.STDEV.P(IF(Table1[IndicatorCode]=Table1[[#This Row],[IndicatorCode]],Table1[value]))</f>
        <v>6.3409496564024987</v>
      </c>
      <c r="J9867">
        <f>(Table1[[#This Row],[value]] - Table1[[#This Row],[mean]]) / Table1[[#This Row],[std_dev]]</f>
        <v>0.84133453234508293</v>
      </c>
      <c r="K9867">
        <f>AVERAGEIF(Table1[CountryCode],Table1[[#This Row],[CountryCode]],Table1[z-score])</f>
        <v>0.48073633366786628</v>
      </c>
      <c r="L9867" t="e">
        <f>VLOOKUP(Table1[[#This Row],[CountryCode]],[1]!Table1[#All],1,FALSE)</f>
        <v>#REF!</v>
      </c>
    </row>
    <row r="9868" spans="1:12" hidden="1" x14ac:dyDescent="0.3">
      <c r="A9868" t="s">
        <v>91</v>
      </c>
      <c r="B9868" t="s">
        <v>92</v>
      </c>
      <c r="C9868" t="s">
        <v>129</v>
      </c>
      <c r="D9868" t="s">
        <v>130</v>
      </c>
      <c r="E9868">
        <v>2003</v>
      </c>
      <c r="F9868" s="1">
        <v>78</v>
      </c>
      <c r="G9868">
        <v>2000</v>
      </c>
      <c r="H9868">
        <f>AVERAGEIFS(Table1[value],Table1[IndicatorCode],Table1[[#This Row],[IndicatorCode]])</f>
        <v>72.66514008620689</v>
      </c>
      <c r="I9868" cm="1">
        <f t="array" ref="I9868">_xlfn.STDEV.P(IF(Table1[IndicatorCode]=Table1[[#This Row],[IndicatorCode]],Table1[value]))</f>
        <v>6.3409496564024987</v>
      </c>
      <c r="J9868">
        <f>(Table1[[#This Row],[value]] - Table1[[#This Row],[mean]]) / Table1[[#This Row],[std_dev]]</f>
        <v>0.84133453234508293</v>
      </c>
      <c r="K9868">
        <f>AVERAGEIF(Table1[CountryCode],Table1[[#This Row],[CountryCode]],Table1[z-score])</f>
        <v>0.48073633366786628</v>
      </c>
      <c r="L9868" t="e">
        <f>VLOOKUP(Table1[[#This Row],[CountryCode]],[1]!Table1[#All],1,FALSE)</f>
        <v>#REF!</v>
      </c>
    </row>
    <row r="9869" spans="1:12" hidden="1" x14ac:dyDescent="0.3">
      <c r="A9869" t="s">
        <v>91</v>
      </c>
      <c r="B9869" t="s">
        <v>92</v>
      </c>
      <c r="C9869" t="s">
        <v>129</v>
      </c>
      <c r="D9869" t="s">
        <v>130</v>
      </c>
      <c r="E9869">
        <v>2004</v>
      </c>
      <c r="F9869" s="1">
        <v>79</v>
      </c>
      <c r="G9869">
        <v>2000</v>
      </c>
      <c r="H9869">
        <f>AVERAGEIFS(Table1[value],Table1[IndicatorCode],Table1[[#This Row],[IndicatorCode]])</f>
        <v>72.66514008620689</v>
      </c>
      <c r="I9869" cm="1">
        <f t="array" ref="I9869">_xlfn.STDEV.P(IF(Table1[IndicatorCode]=Table1[[#This Row],[IndicatorCode]],Table1[value]))</f>
        <v>6.3409496564024987</v>
      </c>
      <c r="J9869">
        <f>(Table1[[#This Row],[value]] - Table1[[#This Row],[mean]]) / Table1[[#This Row],[std_dev]]</f>
        <v>0.99903961662852192</v>
      </c>
      <c r="K9869">
        <f>AVERAGEIF(Table1[CountryCode],Table1[[#This Row],[CountryCode]],Table1[z-score])</f>
        <v>0.48073633366786628</v>
      </c>
      <c r="L9869" t="e">
        <f>VLOOKUP(Table1[[#This Row],[CountryCode]],[1]!Table1[#All],1,FALSE)</f>
        <v>#REF!</v>
      </c>
    </row>
    <row r="9870" spans="1:12" hidden="1" x14ac:dyDescent="0.3">
      <c r="A9870" t="s">
        <v>91</v>
      </c>
      <c r="B9870" t="s">
        <v>92</v>
      </c>
      <c r="C9870" t="s">
        <v>129</v>
      </c>
      <c r="D9870" t="s">
        <v>130</v>
      </c>
      <c r="E9870">
        <v>2005</v>
      </c>
      <c r="F9870" s="1">
        <v>79</v>
      </c>
      <c r="G9870">
        <v>2000</v>
      </c>
      <c r="H9870">
        <f>AVERAGEIFS(Table1[value],Table1[IndicatorCode],Table1[[#This Row],[IndicatorCode]])</f>
        <v>72.66514008620689</v>
      </c>
      <c r="I9870" cm="1">
        <f t="array" ref="I9870">_xlfn.STDEV.P(IF(Table1[IndicatorCode]=Table1[[#This Row],[IndicatorCode]],Table1[value]))</f>
        <v>6.3409496564024987</v>
      </c>
      <c r="J9870">
        <f>(Table1[[#This Row],[value]] - Table1[[#This Row],[mean]]) / Table1[[#This Row],[std_dev]]</f>
        <v>0.99903961662852192</v>
      </c>
      <c r="K9870">
        <f>AVERAGEIF(Table1[CountryCode],Table1[[#This Row],[CountryCode]],Table1[z-score])</f>
        <v>0.48073633366786628</v>
      </c>
      <c r="L9870" t="e">
        <f>VLOOKUP(Table1[[#This Row],[CountryCode]],[1]!Table1[#All],1,FALSE)</f>
        <v>#REF!</v>
      </c>
    </row>
    <row r="9871" spans="1:12" hidden="1" x14ac:dyDescent="0.3">
      <c r="A9871" t="s">
        <v>91</v>
      </c>
      <c r="B9871" t="s">
        <v>92</v>
      </c>
      <c r="C9871" t="s">
        <v>129</v>
      </c>
      <c r="D9871" t="s">
        <v>130</v>
      </c>
      <c r="E9871">
        <v>2006</v>
      </c>
      <c r="F9871" s="1">
        <v>80</v>
      </c>
      <c r="G9871">
        <v>2000</v>
      </c>
      <c r="H9871">
        <f>AVERAGEIFS(Table1[value],Table1[IndicatorCode],Table1[[#This Row],[IndicatorCode]])</f>
        <v>72.66514008620689</v>
      </c>
      <c r="I9871" cm="1">
        <f t="array" ref="I9871">_xlfn.STDEV.P(IF(Table1[IndicatorCode]=Table1[[#This Row],[IndicatorCode]],Table1[value]))</f>
        <v>6.3409496564024987</v>
      </c>
      <c r="J9871">
        <f>(Table1[[#This Row],[value]] - Table1[[#This Row],[mean]]) / Table1[[#This Row],[std_dev]]</f>
        <v>1.1567447009119609</v>
      </c>
      <c r="K9871">
        <f>AVERAGEIF(Table1[CountryCode],Table1[[#This Row],[CountryCode]],Table1[z-score])</f>
        <v>0.48073633366786628</v>
      </c>
      <c r="L9871" t="e">
        <f>VLOOKUP(Table1[[#This Row],[CountryCode]],[1]!Table1[#All],1,FALSE)</f>
        <v>#REF!</v>
      </c>
    </row>
    <row r="9872" spans="1:12" hidden="1" x14ac:dyDescent="0.3">
      <c r="A9872" t="s">
        <v>91</v>
      </c>
      <c r="B9872" t="s">
        <v>92</v>
      </c>
      <c r="C9872" t="s">
        <v>129</v>
      </c>
      <c r="D9872" t="s">
        <v>130</v>
      </c>
      <c r="E9872">
        <v>2007</v>
      </c>
      <c r="F9872" s="1">
        <v>80</v>
      </c>
      <c r="G9872">
        <v>2010</v>
      </c>
      <c r="H9872">
        <f>AVERAGEIFS(Table1[value],Table1[IndicatorCode],Table1[[#This Row],[IndicatorCode]])</f>
        <v>72.66514008620689</v>
      </c>
      <c r="I9872" cm="1">
        <f t="array" ref="I9872">_xlfn.STDEV.P(IF(Table1[IndicatorCode]=Table1[[#This Row],[IndicatorCode]],Table1[value]))</f>
        <v>6.3409496564024987</v>
      </c>
      <c r="J9872">
        <f>(Table1[[#This Row],[value]] - Table1[[#This Row],[mean]]) / Table1[[#This Row],[std_dev]]</f>
        <v>1.1567447009119609</v>
      </c>
      <c r="K9872">
        <f>AVERAGEIF(Table1[CountryCode],Table1[[#This Row],[CountryCode]],Table1[z-score])</f>
        <v>0.48073633366786628</v>
      </c>
      <c r="L9872" t="e">
        <f>VLOOKUP(Table1[[#This Row],[CountryCode]],[1]!Table1[#All],1,FALSE)</f>
        <v>#REF!</v>
      </c>
    </row>
    <row r="9873" spans="1:12" hidden="1" x14ac:dyDescent="0.3">
      <c r="A9873" t="s">
        <v>91</v>
      </c>
      <c r="B9873" t="s">
        <v>92</v>
      </c>
      <c r="C9873" t="s">
        <v>129</v>
      </c>
      <c r="D9873" t="s">
        <v>130</v>
      </c>
      <c r="E9873">
        <v>2008</v>
      </c>
      <c r="F9873" s="1">
        <v>80</v>
      </c>
      <c r="G9873">
        <v>2010</v>
      </c>
      <c r="H9873">
        <f>AVERAGEIFS(Table1[value],Table1[IndicatorCode],Table1[[#This Row],[IndicatorCode]])</f>
        <v>72.66514008620689</v>
      </c>
      <c r="I9873" cm="1">
        <f t="array" ref="I9873">_xlfn.STDEV.P(IF(Table1[IndicatorCode]=Table1[[#This Row],[IndicatorCode]],Table1[value]))</f>
        <v>6.3409496564024987</v>
      </c>
      <c r="J9873">
        <f>(Table1[[#This Row],[value]] - Table1[[#This Row],[mean]]) / Table1[[#This Row],[std_dev]]</f>
        <v>1.1567447009119609</v>
      </c>
      <c r="K9873">
        <f>AVERAGEIF(Table1[CountryCode],Table1[[#This Row],[CountryCode]],Table1[z-score])</f>
        <v>0.48073633366786628</v>
      </c>
      <c r="L9873" t="e">
        <f>VLOOKUP(Table1[[#This Row],[CountryCode]],[1]!Table1[#All],1,FALSE)</f>
        <v>#REF!</v>
      </c>
    </row>
    <row r="9874" spans="1:12" hidden="1" x14ac:dyDescent="0.3">
      <c r="A9874" t="s">
        <v>91</v>
      </c>
      <c r="B9874" t="s">
        <v>92</v>
      </c>
      <c r="C9874" t="s">
        <v>129</v>
      </c>
      <c r="D9874" t="s">
        <v>130</v>
      </c>
      <c r="E9874">
        <v>2009</v>
      </c>
      <c r="F9874" s="1">
        <v>81</v>
      </c>
      <c r="G9874">
        <v>2010</v>
      </c>
      <c r="H9874">
        <f>AVERAGEIFS(Table1[value],Table1[IndicatorCode],Table1[[#This Row],[IndicatorCode]])</f>
        <v>72.66514008620689</v>
      </c>
      <c r="I9874" cm="1">
        <f t="array" ref="I9874">_xlfn.STDEV.P(IF(Table1[IndicatorCode]=Table1[[#This Row],[IndicatorCode]],Table1[value]))</f>
        <v>6.3409496564024987</v>
      </c>
      <c r="J9874">
        <f>(Table1[[#This Row],[value]] - Table1[[#This Row],[mean]]) / Table1[[#This Row],[std_dev]]</f>
        <v>1.3144497851954</v>
      </c>
      <c r="K9874">
        <f>AVERAGEIF(Table1[CountryCode],Table1[[#This Row],[CountryCode]],Table1[z-score])</f>
        <v>0.48073633366786628</v>
      </c>
      <c r="L9874" t="e">
        <f>VLOOKUP(Table1[[#This Row],[CountryCode]],[1]!Table1[#All],1,FALSE)</f>
        <v>#REF!</v>
      </c>
    </row>
    <row r="9875" spans="1:12" hidden="1" x14ac:dyDescent="0.3">
      <c r="A9875" t="s">
        <v>91</v>
      </c>
      <c r="B9875" t="s">
        <v>92</v>
      </c>
      <c r="C9875" t="s">
        <v>129</v>
      </c>
      <c r="D9875" t="s">
        <v>130</v>
      </c>
      <c r="E9875">
        <v>2010</v>
      </c>
      <c r="F9875" s="1">
        <v>81</v>
      </c>
      <c r="G9875">
        <v>2010</v>
      </c>
      <c r="H9875">
        <f>AVERAGEIFS(Table1[value],Table1[IndicatorCode],Table1[[#This Row],[IndicatorCode]])</f>
        <v>72.66514008620689</v>
      </c>
      <c r="I9875" cm="1">
        <f t="array" ref="I9875">_xlfn.STDEV.P(IF(Table1[IndicatorCode]=Table1[[#This Row],[IndicatorCode]],Table1[value]))</f>
        <v>6.3409496564024987</v>
      </c>
      <c r="J9875">
        <f>(Table1[[#This Row],[value]] - Table1[[#This Row],[mean]]) / Table1[[#This Row],[std_dev]]</f>
        <v>1.3144497851954</v>
      </c>
      <c r="K9875">
        <f>AVERAGEIF(Table1[CountryCode],Table1[[#This Row],[CountryCode]],Table1[z-score])</f>
        <v>0.48073633366786628</v>
      </c>
      <c r="L9875" t="e">
        <f>VLOOKUP(Table1[[#This Row],[CountryCode]],[1]!Table1[#All],1,FALSE)</f>
        <v>#REF!</v>
      </c>
    </row>
    <row r="9876" spans="1:12" hidden="1" x14ac:dyDescent="0.3">
      <c r="A9876" t="s">
        <v>91</v>
      </c>
      <c r="B9876" t="s">
        <v>92</v>
      </c>
      <c r="C9876" t="s">
        <v>129</v>
      </c>
      <c r="D9876" t="s">
        <v>130</v>
      </c>
      <c r="E9876">
        <v>2011</v>
      </c>
      <c r="F9876" s="1">
        <v>81</v>
      </c>
      <c r="G9876">
        <v>2010</v>
      </c>
      <c r="H9876">
        <f>AVERAGEIFS(Table1[value],Table1[IndicatorCode],Table1[[#This Row],[IndicatorCode]])</f>
        <v>72.66514008620689</v>
      </c>
      <c r="I9876" cm="1">
        <f t="array" ref="I9876">_xlfn.STDEV.P(IF(Table1[IndicatorCode]=Table1[[#This Row],[IndicatorCode]],Table1[value]))</f>
        <v>6.3409496564024987</v>
      </c>
      <c r="J9876">
        <f>(Table1[[#This Row],[value]] - Table1[[#This Row],[mean]]) / Table1[[#This Row],[std_dev]]</f>
        <v>1.3144497851954</v>
      </c>
      <c r="K9876">
        <f>AVERAGEIF(Table1[CountryCode],Table1[[#This Row],[CountryCode]],Table1[z-score])</f>
        <v>0.48073633366786628</v>
      </c>
      <c r="L9876" t="e">
        <f>VLOOKUP(Table1[[#This Row],[CountryCode]],[1]!Table1[#All],1,FALSE)</f>
        <v>#REF!</v>
      </c>
    </row>
    <row r="9877" spans="1:12" hidden="1" x14ac:dyDescent="0.3">
      <c r="A9877" t="s">
        <v>91</v>
      </c>
      <c r="B9877" t="s">
        <v>92</v>
      </c>
      <c r="C9877" t="s">
        <v>129</v>
      </c>
      <c r="D9877" t="s">
        <v>130</v>
      </c>
      <c r="E9877">
        <v>2012</v>
      </c>
      <c r="F9877" s="1">
        <v>81</v>
      </c>
      <c r="G9877">
        <v>2010</v>
      </c>
      <c r="H9877">
        <f>AVERAGEIFS(Table1[value],Table1[IndicatorCode],Table1[[#This Row],[IndicatorCode]])</f>
        <v>72.66514008620689</v>
      </c>
      <c r="I9877" cm="1">
        <f t="array" ref="I9877">_xlfn.STDEV.P(IF(Table1[IndicatorCode]=Table1[[#This Row],[IndicatorCode]],Table1[value]))</f>
        <v>6.3409496564024987</v>
      </c>
      <c r="J9877">
        <f>(Table1[[#This Row],[value]] - Table1[[#This Row],[mean]]) / Table1[[#This Row],[std_dev]]</f>
        <v>1.3144497851954</v>
      </c>
      <c r="K9877">
        <f>AVERAGEIF(Table1[CountryCode],Table1[[#This Row],[CountryCode]],Table1[z-score])</f>
        <v>0.48073633366786628</v>
      </c>
      <c r="L9877" t="e">
        <f>VLOOKUP(Table1[[#This Row],[CountryCode]],[1]!Table1[#All],1,FALSE)</f>
        <v>#REF!</v>
      </c>
    </row>
    <row r="9878" spans="1:12" hidden="1" x14ac:dyDescent="0.3">
      <c r="A9878" t="s">
        <v>91</v>
      </c>
      <c r="B9878" t="s">
        <v>92</v>
      </c>
      <c r="C9878" t="s">
        <v>129</v>
      </c>
      <c r="D9878" t="s">
        <v>130</v>
      </c>
      <c r="E9878">
        <v>2013</v>
      </c>
      <c r="F9878" s="1">
        <v>81</v>
      </c>
      <c r="G9878">
        <v>2010</v>
      </c>
      <c r="H9878">
        <f>AVERAGEIFS(Table1[value],Table1[IndicatorCode],Table1[[#This Row],[IndicatorCode]])</f>
        <v>72.66514008620689</v>
      </c>
      <c r="I9878" cm="1">
        <f t="array" ref="I9878">_xlfn.STDEV.P(IF(Table1[IndicatorCode]=Table1[[#This Row],[IndicatorCode]],Table1[value]))</f>
        <v>6.3409496564024987</v>
      </c>
      <c r="J9878">
        <f>(Table1[[#This Row],[value]] - Table1[[#This Row],[mean]]) / Table1[[#This Row],[std_dev]]</f>
        <v>1.3144497851954</v>
      </c>
      <c r="K9878">
        <f>AVERAGEIF(Table1[CountryCode],Table1[[#This Row],[CountryCode]],Table1[z-score])</f>
        <v>0.48073633366786628</v>
      </c>
      <c r="L9878" t="e">
        <f>VLOOKUP(Table1[[#This Row],[CountryCode]],[1]!Table1[#All],1,FALSE)</f>
        <v>#REF!</v>
      </c>
    </row>
    <row r="9879" spans="1:12" hidden="1" x14ac:dyDescent="0.3">
      <c r="A9879" t="s">
        <v>91</v>
      </c>
      <c r="B9879" t="s">
        <v>92</v>
      </c>
      <c r="C9879" t="s">
        <v>129</v>
      </c>
      <c r="D9879" t="s">
        <v>130</v>
      </c>
      <c r="E9879">
        <v>2014</v>
      </c>
      <c r="F9879" s="1">
        <v>82</v>
      </c>
      <c r="G9879">
        <v>2010</v>
      </c>
      <c r="H9879">
        <f>AVERAGEIFS(Table1[value],Table1[IndicatorCode],Table1[[#This Row],[IndicatorCode]])</f>
        <v>72.66514008620689</v>
      </c>
      <c r="I9879" cm="1">
        <f t="array" ref="I9879">_xlfn.STDEV.P(IF(Table1[IndicatorCode]=Table1[[#This Row],[IndicatorCode]],Table1[value]))</f>
        <v>6.3409496564024987</v>
      </c>
      <c r="J9879">
        <f>(Table1[[#This Row],[value]] - Table1[[#This Row],[mean]]) / Table1[[#This Row],[std_dev]]</f>
        <v>1.4721548694788391</v>
      </c>
      <c r="K9879">
        <f>AVERAGEIF(Table1[CountryCode],Table1[[#This Row],[CountryCode]],Table1[z-score])</f>
        <v>0.48073633366786628</v>
      </c>
      <c r="L9879" t="e">
        <f>VLOOKUP(Table1[[#This Row],[CountryCode]],[1]!Table1[#All],1,FALSE)</f>
        <v>#REF!</v>
      </c>
    </row>
    <row r="9880" spans="1:12" hidden="1" x14ac:dyDescent="0.3">
      <c r="A9880" t="s">
        <v>91</v>
      </c>
      <c r="B9880" t="s">
        <v>92</v>
      </c>
      <c r="C9880" t="s">
        <v>129</v>
      </c>
      <c r="D9880" t="s">
        <v>130</v>
      </c>
      <c r="E9880">
        <v>2015</v>
      </c>
      <c r="F9880" s="1">
        <v>82</v>
      </c>
      <c r="G9880">
        <v>2010</v>
      </c>
      <c r="H9880">
        <f>AVERAGEIFS(Table1[value],Table1[IndicatorCode],Table1[[#This Row],[IndicatorCode]])</f>
        <v>72.66514008620689</v>
      </c>
      <c r="I9880" cm="1">
        <f t="array" ref="I9880">_xlfn.STDEV.P(IF(Table1[IndicatorCode]=Table1[[#This Row],[IndicatorCode]],Table1[value]))</f>
        <v>6.3409496564024987</v>
      </c>
      <c r="J9880">
        <f>(Table1[[#This Row],[value]] - Table1[[#This Row],[mean]]) / Table1[[#This Row],[std_dev]]</f>
        <v>1.4721548694788391</v>
      </c>
      <c r="K9880">
        <f>AVERAGEIF(Table1[CountryCode],Table1[[#This Row],[CountryCode]],Table1[z-score])</f>
        <v>0.48073633366786628</v>
      </c>
      <c r="L9880" t="e">
        <f>VLOOKUP(Table1[[#This Row],[CountryCode]],[1]!Table1[#All],1,FALSE)</f>
        <v>#REF!</v>
      </c>
    </row>
    <row r="9881" spans="1:12" hidden="1" x14ac:dyDescent="0.3">
      <c r="A9881" t="s">
        <v>91</v>
      </c>
      <c r="B9881" t="s">
        <v>92</v>
      </c>
      <c r="C9881" t="s">
        <v>129</v>
      </c>
      <c r="D9881" t="s">
        <v>130</v>
      </c>
      <c r="E9881">
        <v>2016</v>
      </c>
      <c r="F9881" s="1">
        <v>82</v>
      </c>
      <c r="G9881">
        <v>2010</v>
      </c>
      <c r="H9881">
        <f>AVERAGEIFS(Table1[value],Table1[IndicatorCode],Table1[[#This Row],[IndicatorCode]])</f>
        <v>72.66514008620689</v>
      </c>
      <c r="I9881" cm="1">
        <f t="array" ref="I9881">_xlfn.STDEV.P(IF(Table1[IndicatorCode]=Table1[[#This Row],[IndicatorCode]],Table1[value]))</f>
        <v>6.3409496564024987</v>
      </c>
      <c r="J9881">
        <f>(Table1[[#This Row],[value]] - Table1[[#This Row],[mean]]) / Table1[[#This Row],[std_dev]]</f>
        <v>1.4721548694788391</v>
      </c>
      <c r="K9881">
        <f>AVERAGEIF(Table1[CountryCode],Table1[[#This Row],[CountryCode]],Table1[z-score])</f>
        <v>0.48073633366786628</v>
      </c>
      <c r="L9881" t="e">
        <f>VLOOKUP(Table1[[#This Row],[CountryCode]],[1]!Table1[#All],1,FALSE)</f>
        <v>#REF!</v>
      </c>
    </row>
    <row r="9882" spans="1:12" hidden="1" x14ac:dyDescent="0.3">
      <c r="A9882" t="s">
        <v>91</v>
      </c>
      <c r="B9882" t="s">
        <v>92</v>
      </c>
      <c r="C9882" t="s">
        <v>129</v>
      </c>
      <c r="D9882" t="s">
        <v>130</v>
      </c>
      <c r="E9882">
        <v>2017</v>
      </c>
      <c r="F9882" s="1">
        <v>82</v>
      </c>
      <c r="G9882">
        <v>2020</v>
      </c>
      <c r="H9882">
        <f>AVERAGEIFS(Table1[value],Table1[IndicatorCode],Table1[[#This Row],[IndicatorCode]])</f>
        <v>72.66514008620689</v>
      </c>
      <c r="I9882" cm="1">
        <f t="array" ref="I9882">_xlfn.STDEV.P(IF(Table1[IndicatorCode]=Table1[[#This Row],[IndicatorCode]],Table1[value]))</f>
        <v>6.3409496564024987</v>
      </c>
      <c r="J9882">
        <f>(Table1[[#This Row],[value]] - Table1[[#This Row],[mean]]) / Table1[[#This Row],[std_dev]]</f>
        <v>1.4721548694788391</v>
      </c>
      <c r="K9882">
        <f>AVERAGEIF(Table1[CountryCode],Table1[[#This Row],[CountryCode]],Table1[z-score])</f>
        <v>0.48073633366786628</v>
      </c>
      <c r="L9882" t="e">
        <f>VLOOKUP(Table1[[#This Row],[CountryCode]],[1]!Table1[#All],1,FALSE)</f>
        <v>#REF!</v>
      </c>
    </row>
    <row r="9883" spans="1:12" hidden="1" x14ac:dyDescent="0.3">
      <c r="A9883" t="s">
        <v>91</v>
      </c>
      <c r="B9883" t="s">
        <v>92</v>
      </c>
      <c r="C9883" t="s">
        <v>129</v>
      </c>
      <c r="D9883" t="s">
        <v>130</v>
      </c>
      <c r="E9883">
        <v>2018</v>
      </c>
      <c r="F9883" s="1">
        <v>82</v>
      </c>
      <c r="G9883">
        <v>2020</v>
      </c>
      <c r="H9883">
        <f>AVERAGEIFS(Table1[value],Table1[IndicatorCode],Table1[[#This Row],[IndicatorCode]])</f>
        <v>72.66514008620689</v>
      </c>
      <c r="I9883" cm="1">
        <f t="array" ref="I9883">_xlfn.STDEV.P(IF(Table1[IndicatorCode]=Table1[[#This Row],[IndicatorCode]],Table1[value]))</f>
        <v>6.3409496564024987</v>
      </c>
      <c r="J9883">
        <f>(Table1[[#This Row],[value]] - Table1[[#This Row],[mean]]) / Table1[[#This Row],[std_dev]]</f>
        <v>1.4721548694788391</v>
      </c>
      <c r="K9883">
        <f>AVERAGEIF(Table1[CountryCode],Table1[[#This Row],[CountryCode]],Table1[z-score])</f>
        <v>0.48073633366786628</v>
      </c>
      <c r="L9883" t="e">
        <f>VLOOKUP(Table1[[#This Row],[CountryCode]],[1]!Table1[#All],1,FALSE)</f>
        <v>#REF!</v>
      </c>
    </row>
    <row r="9884" spans="1:12" hidden="1" x14ac:dyDescent="0.3">
      <c r="A9884" t="s">
        <v>91</v>
      </c>
      <c r="B9884" t="s">
        <v>92</v>
      </c>
      <c r="C9884" t="s">
        <v>129</v>
      </c>
      <c r="D9884" t="s">
        <v>130</v>
      </c>
      <c r="E9884">
        <v>2019</v>
      </c>
      <c r="F9884" s="1">
        <v>82</v>
      </c>
      <c r="G9884">
        <v>2020</v>
      </c>
      <c r="H9884">
        <f>AVERAGEIFS(Table1[value],Table1[IndicatorCode],Table1[[#This Row],[IndicatorCode]])</f>
        <v>72.66514008620689</v>
      </c>
      <c r="I9884" cm="1">
        <f t="array" ref="I9884">_xlfn.STDEV.P(IF(Table1[IndicatorCode]=Table1[[#This Row],[IndicatorCode]],Table1[value]))</f>
        <v>6.3409496564024987</v>
      </c>
      <c r="J9884">
        <f>(Table1[[#This Row],[value]] - Table1[[#This Row],[mean]]) / Table1[[#This Row],[std_dev]]</f>
        <v>1.4721548694788391</v>
      </c>
      <c r="K9884">
        <f>AVERAGEIF(Table1[CountryCode],Table1[[#This Row],[CountryCode]],Table1[z-score])</f>
        <v>0.48073633366786628</v>
      </c>
      <c r="L9884" t="e">
        <f>VLOOKUP(Table1[[#This Row],[CountryCode]],[1]!Table1[#All],1,FALSE)</f>
        <v>#REF!</v>
      </c>
    </row>
    <row r="9885" spans="1:12" x14ac:dyDescent="0.3">
      <c r="A9885" t="s">
        <v>91</v>
      </c>
      <c r="B9885" t="s">
        <v>92</v>
      </c>
      <c r="C9885" t="s">
        <v>129</v>
      </c>
      <c r="D9885" t="s">
        <v>130</v>
      </c>
      <c r="E9885">
        <v>2020</v>
      </c>
      <c r="F9885" s="1">
        <v>81</v>
      </c>
      <c r="G9885">
        <v>2020</v>
      </c>
      <c r="H9885">
        <f>AVERAGEIFS(Table1[value],Table1[IndicatorCode],Table1[[#This Row],[IndicatorCode]])</f>
        <v>72.66514008620689</v>
      </c>
      <c r="I9885" cm="1">
        <f t="array" ref="I9885">_xlfn.STDEV.P(IF(Table1[IndicatorCode]=Table1[[#This Row],[IndicatorCode]],Table1[value]))</f>
        <v>6.3409496564024987</v>
      </c>
      <c r="J9885">
        <f>(Table1[[#This Row],[value]] - Table1[[#This Row],[mean]]) / Table1[[#This Row],[std_dev]]</f>
        <v>1.3144497851954</v>
      </c>
      <c r="K9885">
        <f>AVERAGEIF(Table1[CountryCode],Table1[[#This Row],[CountryCode]],Table1[z-score])</f>
        <v>0.48073633366786628</v>
      </c>
    </row>
    <row r="9886" spans="1:12" hidden="1" x14ac:dyDescent="0.3">
      <c r="A9886" t="s">
        <v>91</v>
      </c>
      <c r="B9886" t="s">
        <v>92</v>
      </c>
      <c r="C9886" t="s">
        <v>129</v>
      </c>
      <c r="D9886" t="s">
        <v>130</v>
      </c>
      <c r="E9886">
        <v>2021</v>
      </c>
      <c r="F9886" s="1">
        <v>81</v>
      </c>
      <c r="G9886">
        <v>1960</v>
      </c>
      <c r="H9886">
        <f>AVERAGEIFS(Table1[value],Table1[IndicatorCode],Table1[[#This Row],[IndicatorCode]])</f>
        <v>72.66514008620689</v>
      </c>
      <c r="I9886" cm="1">
        <f t="array" ref="I9886">_xlfn.STDEV.P(IF(Table1[IndicatorCode]=Table1[[#This Row],[IndicatorCode]],Table1[value]))</f>
        <v>6.3409496564024987</v>
      </c>
      <c r="J9886">
        <f>(Table1[[#This Row],[value]] - Table1[[#This Row],[mean]]) / Table1[[#This Row],[std_dev]]</f>
        <v>1.3144497851954</v>
      </c>
      <c r="K9886">
        <f>AVERAGEIF(Table1[CountryCode],Table1[[#This Row],[CountryCode]],Table1[z-score])</f>
        <v>0.48073633366786628</v>
      </c>
      <c r="L9886" t="e">
        <f>VLOOKUP(Table1[[#This Row],[CountryCode]],[1]!Table1[#All],1,FALSE)</f>
        <v>#REF!</v>
      </c>
    </row>
    <row r="9887" spans="1:12" hidden="1" x14ac:dyDescent="0.3">
      <c r="A9887" t="s">
        <v>91</v>
      </c>
      <c r="B9887" t="s">
        <v>92</v>
      </c>
      <c r="C9887" t="s">
        <v>129</v>
      </c>
      <c r="D9887" t="s">
        <v>130</v>
      </c>
      <c r="E9887">
        <v>2022</v>
      </c>
      <c r="F9887" s="1">
        <v>82</v>
      </c>
      <c r="G9887">
        <v>1960</v>
      </c>
      <c r="H9887">
        <f>AVERAGEIFS(Table1[value],Table1[IndicatorCode],Table1[[#This Row],[IndicatorCode]])</f>
        <v>72.66514008620689</v>
      </c>
      <c r="I9887" cm="1">
        <f t="array" ref="I9887">_xlfn.STDEV.P(IF(Table1[IndicatorCode]=Table1[[#This Row],[IndicatorCode]],Table1[value]))</f>
        <v>6.3409496564024987</v>
      </c>
      <c r="J9887">
        <f>(Table1[[#This Row],[value]] - Table1[[#This Row],[mean]]) / Table1[[#This Row],[std_dev]]</f>
        <v>1.4721548694788391</v>
      </c>
      <c r="K9887">
        <f>AVERAGEIF(Table1[CountryCode],Table1[[#This Row],[CountryCode]],Table1[z-score])</f>
        <v>0.48073633366786628</v>
      </c>
      <c r="L9887" t="e">
        <f>VLOOKUP(Table1[[#This Row],[CountryCode]],[1]!Table1[#All],1,FALSE)</f>
        <v>#REF!</v>
      </c>
    </row>
    <row r="9888" spans="1:12" hidden="1" x14ac:dyDescent="0.3">
      <c r="A9888" t="s">
        <v>91</v>
      </c>
      <c r="B9888" t="s">
        <v>92</v>
      </c>
      <c r="C9888" t="s">
        <v>129</v>
      </c>
      <c r="D9888" t="s">
        <v>130</v>
      </c>
      <c r="E9888">
        <v>2023</v>
      </c>
      <c r="F9888" s="1">
        <v>82</v>
      </c>
      <c r="G9888">
        <v>1960</v>
      </c>
      <c r="H9888">
        <f>AVERAGEIFS(Table1[value],Table1[IndicatorCode],Table1[[#This Row],[IndicatorCode]])</f>
        <v>72.66514008620689</v>
      </c>
      <c r="I9888" cm="1">
        <f t="array" ref="I9888">_xlfn.STDEV.P(IF(Table1[IndicatorCode]=Table1[[#This Row],[IndicatorCode]],Table1[value]))</f>
        <v>6.3409496564024987</v>
      </c>
      <c r="J9888">
        <f>(Table1[[#This Row],[value]] - Table1[[#This Row],[mean]]) / Table1[[#This Row],[std_dev]]</f>
        <v>1.4721548694788391</v>
      </c>
      <c r="K9888">
        <f>AVERAGEIF(Table1[CountryCode],Table1[[#This Row],[CountryCode]],Table1[z-score])</f>
        <v>0.48073633366786628</v>
      </c>
      <c r="L9888" t="e">
        <f>VLOOKUP(Table1[[#This Row],[CountryCode]],[1]!Table1[#All],1,FALSE)</f>
        <v>#REF!</v>
      </c>
    </row>
    <row r="9889" spans="1:12" hidden="1" x14ac:dyDescent="0.3">
      <c r="A9889" t="s">
        <v>93</v>
      </c>
      <c r="B9889" t="s">
        <v>94</v>
      </c>
      <c r="C9889" t="s">
        <v>129</v>
      </c>
      <c r="D9889" t="s">
        <v>130</v>
      </c>
      <c r="E9889">
        <v>1960</v>
      </c>
      <c r="F9889" s="1">
        <v>74</v>
      </c>
      <c r="G9889">
        <v>1960</v>
      </c>
      <c r="H9889">
        <f>AVERAGEIFS(Table1[value],Table1[IndicatorCode],Table1[[#This Row],[IndicatorCode]])</f>
        <v>72.66514008620689</v>
      </c>
      <c r="I9889" cm="1">
        <f t="array" ref="I9889">_xlfn.STDEV.P(IF(Table1[IndicatorCode]=Table1[[#This Row],[IndicatorCode]],Table1[value]))</f>
        <v>6.3409496564024987</v>
      </c>
      <c r="J9889">
        <f>(Table1[[#This Row],[value]] - Table1[[#This Row],[mean]]) / Table1[[#This Row],[std_dev]]</f>
        <v>0.21051419521132667</v>
      </c>
      <c r="K9889">
        <f>AVERAGEIF(Table1[CountryCode],Table1[[#This Row],[CountryCode]],Table1[z-score])</f>
        <v>0.64774457538517582</v>
      </c>
      <c r="L9889" t="e">
        <f>VLOOKUP(Table1[[#This Row],[CountryCode]],[1]!Table1[#All],1,FALSE)</f>
        <v>#REF!</v>
      </c>
    </row>
    <row r="9890" spans="1:12" hidden="1" x14ac:dyDescent="0.3">
      <c r="A9890" t="s">
        <v>93</v>
      </c>
      <c r="B9890" t="s">
        <v>94</v>
      </c>
      <c r="C9890" t="s">
        <v>129</v>
      </c>
      <c r="D9890" t="s">
        <v>130</v>
      </c>
      <c r="E9890">
        <v>1961</v>
      </c>
      <c r="F9890" s="1">
        <v>74</v>
      </c>
      <c r="G9890">
        <v>1960</v>
      </c>
      <c r="H9890">
        <f>AVERAGEIFS(Table1[value],Table1[IndicatorCode],Table1[[#This Row],[IndicatorCode]])</f>
        <v>72.66514008620689</v>
      </c>
      <c r="I9890" cm="1">
        <f t="array" ref="I9890">_xlfn.STDEV.P(IF(Table1[IndicatorCode]=Table1[[#This Row],[IndicatorCode]],Table1[value]))</f>
        <v>6.3409496564024987</v>
      </c>
      <c r="J9890">
        <f>(Table1[[#This Row],[value]] - Table1[[#This Row],[mean]]) / Table1[[#This Row],[std_dev]]</f>
        <v>0.21051419521132667</v>
      </c>
      <c r="K9890">
        <f>AVERAGEIF(Table1[CountryCode],Table1[[#This Row],[CountryCode]],Table1[z-score])</f>
        <v>0.64774457538517582</v>
      </c>
      <c r="L9890" t="e">
        <f>VLOOKUP(Table1[[#This Row],[CountryCode]],[1]!Table1[#All],1,FALSE)</f>
        <v>#REF!</v>
      </c>
    </row>
    <row r="9891" spans="1:12" hidden="1" x14ac:dyDescent="0.3">
      <c r="A9891" t="s">
        <v>93</v>
      </c>
      <c r="B9891" t="s">
        <v>94</v>
      </c>
      <c r="C9891" t="s">
        <v>129</v>
      </c>
      <c r="D9891" t="s">
        <v>130</v>
      </c>
      <c r="E9891">
        <v>1962</v>
      </c>
      <c r="F9891" s="1">
        <v>73</v>
      </c>
      <c r="G9891">
        <v>1960</v>
      </c>
      <c r="H9891">
        <f>AVERAGEIFS(Table1[value],Table1[IndicatorCode],Table1[[#This Row],[IndicatorCode]])</f>
        <v>72.66514008620689</v>
      </c>
      <c r="I9891" cm="1">
        <f t="array" ref="I9891">_xlfn.STDEV.P(IF(Table1[IndicatorCode]=Table1[[#This Row],[IndicatorCode]],Table1[value]))</f>
        <v>6.3409496564024987</v>
      </c>
      <c r="J9891">
        <f>(Table1[[#This Row],[value]] - Table1[[#This Row],[mean]]) / Table1[[#This Row],[std_dev]]</f>
        <v>5.2809110927887599E-2</v>
      </c>
      <c r="K9891">
        <f>AVERAGEIF(Table1[CountryCode],Table1[[#This Row],[CountryCode]],Table1[z-score])</f>
        <v>0.64774457538517582</v>
      </c>
      <c r="L9891" t="e">
        <f>VLOOKUP(Table1[[#This Row],[CountryCode]],[1]!Table1[#All],1,FALSE)</f>
        <v>#REF!</v>
      </c>
    </row>
    <row r="9892" spans="1:12" hidden="1" x14ac:dyDescent="0.3">
      <c r="A9892" t="s">
        <v>93</v>
      </c>
      <c r="B9892" t="s">
        <v>94</v>
      </c>
      <c r="C9892" t="s">
        <v>129</v>
      </c>
      <c r="D9892" t="s">
        <v>130</v>
      </c>
      <c r="E9892">
        <v>1963</v>
      </c>
      <c r="F9892" s="1">
        <v>73</v>
      </c>
      <c r="G9892">
        <v>1960</v>
      </c>
      <c r="H9892">
        <f>AVERAGEIFS(Table1[value],Table1[IndicatorCode],Table1[[#This Row],[IndicatorCode]])</f>
        <v>72.66514008620689</v>
      </c>
      <c r="I9892" cm="1">
        <f t="array" ref="I9892">_xlfn.STDEV.P(IF(Table1[IndicatorCode]=Table1[[#This Row],[IndicatorCode]],Table1[value]))</f>
        <v>6.3409496564024987</v>
      </c>
      <c r="J9892">
        <f>(Table1[[#This Row],[value]] - Table1[[#This Row],[mean]]) / Table1[[#This Row],[std_dev]]</f>
        <v>5.2809110927887599E-2</v>
      </c>
      <c r="K9892">
        <f>AVERAGEIF(Table1[CountryCode],Table1[[#This Row],[CountryCode]],Table1[z-score])</f>
        <v>0.64774457538517582</v>
      </c>
      <c r="L9892" t="e">
        <f>VLOOKUP(Table1[[#This Row],[CountryCode]],[1]!Table1[#All],1,FALSE)</f>
        <v>#REF!</v>
      </c>
    </row>
    <row r="9893" spans="1:12" hidden="1" x14ac:dyDescent="0.3">
      <c r="A9893" t="s">
        <v>93</v>
      </c>
      <c r="B9893" t="s">
        <v>94</v>
      </c>
      <c r="C9893" t="s">
        <v>129</v>
      </c>
      <c r="D9893" t="s">
        <v>130</v>
      </c>
      <c r="E9893">
        <v>1964</v>
      </c>
      <c r="F9893" s="1">
        <v>74</v>
      </c>
      <c r="G9893">
        <v>1960</v>
      </c>
      <c r="H9893">
        <f>AVERAGEIFS(Table1[value],Table1[IndicatorCode],Table1[[#This Row],[IndicatorCode]])</f>
        <v>72.66514008620689</v>
      </c>
      <c r="I9893" cm="1">
        <f t="array" ref="I9893">_xlfn.STDEV.P(IF(Table1[IndicatorCode]=Table1[[#This Row],[IndicatorCode]],Table1[value]))</f>
        <v>6.3409496564024987</v>
      </c>
      <c r="J9893">
        <f>(Table1[[#This Row],[value]] - Table1[[#This Row],[mean]]) / Table1[[#This Row],[std_dev]]</f>
        <v>0.21051419521132667</v>
      </c>
      <c r="K9893">
        <f>AVERAGEIF(Table1[CountryCode],Table1[[#This Row],[CountryCode]],Table1[z-score])</f>
        <v>0.64774457538517582</v>
      </c>
      <c r="L9893" t="e">
        <f>VLOOKUP(Table1[[#This Row],[CountryCode]],[1]!Table1[#All],1,FALSE)</f>
        <v>#REF!</v>
      </c>
    </row>
    <row r="9894" spans="1:12" hidden="1" x14ac:dyDescent="0.3">
      <c r="A9894" t="s">
        <v>93</v>
      </c>
      <c r="B9894" t="s">
        <v>94</v>
      </c>
      <c r="C9894" t="s">
        <v>129</v>
      </c>
      <c r="D9894" t="s">
        <v>130</v>
      </c>
      <c r="E9894">
        <v>1965</v>
      </c>
      <c r="F9894" s="1">
        <v>74</v>
      </c>
      <c r="G9894">
        <v>1960</v>
      </c>
      <c r="H9894">
        <f>AVERAGEIFS(Table1[value],Table1[IndicatorCode],Table1[[#This Row],[IndicatorCode]])</f>
        <v>72.66514008620689</v>
      </c>
      <c r="I9894" cm="1">
        <f t="array" ref="I9894">_xlfn.STDEV.P(IF(Table1[IndicatorCode]=Table1[[#This Row],[IndicatorCode]],Table1[value]))</f>
        <v>6.3409496564024987</v>
      </c>
      <c r="J9894">
        <f>(Table1[[#This Row],[value]] - Table1[[#This Row],[mean]]) / Table1[[#This Row],[std_dev]]</f>
        <v>0.21051419521132667</v>
      </c>
      <c r="K9894">
        <f>AVERAGEIF(Table1[CountryCode],Table1[[#This Row],[CountryCode]],Table1[z-score])</f>
        <v>0.64774457538517582</v>
      </c>
      <c r="L9894" t="e">
        <f>VLOOKUP(Table1[[#This Row],[CountryCode]],[1]!Table1[#All],1,FALSE)</f>
        <v>#REF!</v>
      </c>
    </row>
    <row r="9895" spans="1:12" hidden="1" x14ac:dyDescent="0.3">
      <c r="A9895" t="s">
        <v>93</v>
      </c>
      <c r="B9895" t="s">
        <v>94</v>
      </c>
      <c r="C9895" t="s">
        <v>129</v>
      </c>
      <c r="D9895" t="s">
        <v>130</v>
      </c>
      <c r="E9895">
        <v>1966</v>
      </c>
      <c r="F9895" s="1">
        <v>74</v>
      </c>
      <c r="G9895">
        <v>1960</v>
      </c>
      <c r="H9895">
        <f>AVERAGEIFS(Table1[value],Table1[IndicatorCode],Table1[[#This Row],[IndicatorCode]])</f>
        <v>72.66514008620689</v>
      </c>
      <c r="I9895" cm="1">
        <f t="array" ref="I9895">_xlfn.STDEV.P(IF(Table1[IndicatorCode]=Table1[[#This Row],[IndicatorCode]],Table1[value]))</f>
        <v>6.3409496564024987</v>
      </c>
      <c r="J9895">
        <f>(Table1[[#This Row],[value]] - Table1[[#This Row],[mean]]) / Table1[[#This Row],[std_dev]]</f>
        <v>0.21051419521132667</v>
      </c>
      <c r="K9895">
        <f>AVERAGEIF(Table1[CountryCode],Table1[[#This Row],[CountryCode]],Table1[z-score])</f>
        <v>0.64774457538517582</v>
      </c>
      <c r="L9895" t="e">
        <f>VLOOKUP(Table1[[#This Row],[CountryCode]],[1]!Table1[#All],1,FALSE)</f>
        <v>#REF!</v>
      </c>
    </row>
    <row r="9896" spans="1:12" hidden="1" x14ac:dyDescent="0.3">
      <c r="A9896" t="s">
        <v>93</v>
      </c>
      <c r="B9896" t="s">
        <v>94</v>
      </c>
      <c r="C9896" t="s">
        <v>129</v>
      </c>
      <c r="D9896" t="s">
        <v>130</v>
      </c>
      <c r="E9896">
        <v>1967</v>
      </c>
      <c r="F9896" s="1">
        <v>74</v>
      </c>
      <c r="G9896">
        <v>1970</v>
      </c>
      <c r="H9896">
        <f>AVERAGEIFS(Table1[value],Table1[IndicatorCode],Table1[[#This Row],[IndicatorCode]])</f>
        <v>72.66514008620689</v>
      </c>
      <c r="I9896" cm="1">
        <f t="array" ref="I9896">_xlfn.STDEV.P(IF(Table1[IndicatorCode]=Table1[[#This Row],[IndicatorCode]],Table1[value]))</f>
        <v>6.3409496564024987</v>
      </c>
      <c r="J9896">
        <f>(Table1[[#This Row],[value]] - Table1[[#This Row],[mean]]) / Table1[[#This Row],[std_dev]]</f>
        <v>0.21051419521132667</v>
      </c>
      <c r="K9896">
        <f>AVERAGEIF(Table1[CountryCode],Table1[[#This Row],[CountryCode]],Table1[z-score])</f>
        <v>0.64774457538517582</v>
      </c>
      <c r="L9896" t="e">
        <f>VLOOKUP(Table1[[#This Row],[CountryCode]],[1]!Table1[#All],1,FALSE)</f>
        <v>#REF!</v>
      </c>
    </row>
    <row r="9897" spans="1:12" hidden="1" x14ac:dyDescent="0.3">
      <c r="A9897" t="s">
        <v>93</v>
      </c>
      <c r="B9897" t="s">
        <v>94</v>
      </c>
      <c r="C9897" t="s">
        <v>129</v>
      </c>
      <c r="D9897" t="s">
        <v>130</v>
      </c>
      <c r="E9897">
        <v>1968</v>
      </c>
      <c r="F9897" s="1">
        <v>74</v>
      </c>
      <c r="G9897">
        <v>1970</v>
      </c>
      <c r="H9897">
        <f>AVERAGEIFS(Table1[value],Table1[IndicatorCode],Table1[[#This Row],[IndicatorCode]])</f>
        <v>72.66514008620689</v>
      </c>
      <c r="I9897" cm="1">
        <f t="array" ref="I9897">_xlfn.STDEV.P(IF(Table1[IndicatorCode]=Table1[[#This Row],[IndicatorCode]],Table1[value]))</f>
        <v>6.3409496564024987</v>
      </c>
      <c r="J9897">
        <f>(Table1[[#This Row],[value]] - Table1[[#This Row],[mean]]) / Table1[[#This Row],[std_dev]]</f>
        <v>0.21051419521132667</v>
      </c>
      <c r="K9897">
        <f>AVERAGEIF(Table1[CountryCode],Table1[[#This Row],[CountryCode]],Table1[z-score])</f>
        <v>0.64774457538517582</v>
      </c>
      <c r="L9897" t="e">
        <f>VLOOKUP(Table1[[#This Row],[CountryCode]],[1]!Table1[#All],1,FALSE)</f>
        <v>#REF!</v>
      </c>
    </row>
    <row r="9898" spans="1:12" hidden="1" x14ac:dyDescent="0.3">
      <c r="A9898" t="s">
        <v>93</v>
      </c>
      <c r="B9898" t="s">
        <v>94</v>
      </c>
      <c r="C9898" t="s">
        <v>129</v>
      </c>
      <c r="D9898" t="s">
        <v>130</v>
      </c>
      <c r="E9898">
        <v>1969</v>
      </c>
      <c r="F9898" s="1">
        <v>74</v>
      </c>
      <c r="G9898">
        <v>1970</v>
      </c>
      <c r="H9898">
        <f>AVERAGEIFS(Table1[value],Table1[IndicatorCode],Table1[[#This Row],[IndicatorCode]])</f>
        <v>72.66514008620689</v>
      </c>
      <c r="I9898" cm="1">
        <f t="array" ref="I9898">_xlfn.STDEV.P(IF(Table1[IndicatorCode]=Table1[[#This Row],[IndicatorCode]],Table1[value]))</f>
        <v>6.3409496564024987</v>
      </c>
      <c r="J9898">
        <f>(Table1[[#This Row],[value]] - Table1[[#This Row],[mean]]) / Table1[[#This Row],[std_dev]]</f>
        <v>0.21051419521132667</v>
      </c>
      <c r="K9898">
        <f>AVERAGEIF(Table1[CountryCode],Table1[[#This Row],[CountryCode]],Table1[z-score])</f>
        <v>0.64774457538517582</v>
      </c>
      <c r="L9898" t="e">
        <f>VLOOKUP(Table1[[#This Row],[CountryCode]],[1]!Table1[#All],1,FALSE)</f>
        <v>#REF!</v>
      </c>
    </row>
    <row r="9899" spans="1:12" hidden="1" x14ac:dyDescent="0.3">
      <c r="A9899" t="s">
        <v>93</v>
      </c>
      <c r="B9899" t="s">
        <v>94</v>
      </c>
      <c r="C9899" t="s">
        <v>129</v>
      </c>
      <c r="D9899" t="s">
        <v>130</v>
      </c>
      <c r="E9899">
        <v>1970</v>
      </c>
      <c r="F9899" s="1">
        <v>74</v>
      </c>
      <c r="G9899">
        <v>1970</v>
      </c>
      <c r="H9899">
        <f>AVERAGEIFS(Table1[value],Table1[IndicatorCode],Table1[[#This Row],[IndicatorCode]])</f>
        <v>72.66514008620689</v>
      </c>
      <c r="I9899" cm="1">
        <f t="array" ref="I9899">_xlfn.STDEV.P(IF(Table1[IndicatorCode]=Table1[[#This Row],[IndicatorCode]],Table1[value]))</f>
        <v>6.3409496564024987</v>
      </c>
      <c r="J9899">
        <f>(Table1[[#This Row],[value]] - Table1[[#This Row],[mean]]) / Table1[[#This Row],[std_dev]]</f>
        <v>0.21051419521132667</v>
      </c>
      <c r="K9899">
        <f>AVERAGEIF(Table1[CountryCode],Table1[[#This Row],[CountryCode]],Table1[z-score])</f>
        <v>0.64774457538517582</v>
      </c>
      <c r="L9899" t="e">
        <f>VLOOKUP(Table1[[#This Row],[CountryCode]],[1]!Table1[#All],1,FALSE)</f>
        <v>#REF!</v>
      </c>
    </row>
    <row r="9900" spans="1:12" hidden="1" x14ac:dyDescent="0.3">
      <c r="A9900" t="s">
        <v>93</v>
      </c>
      <c r="B9900" t="s">
        <v>94</v>
      </c>
      <c r="C9900" t="s">
        <v>129</v>
      </c>
      <c r="D9900" t="s">
        <v>130</v>
      </c>
      <c r="E9900">
        <v>1971</v>
      </c>
      <c r="F9900" s="1">
        <v>74</v>
      </c>
      <c r="G9900">
        <v>1970</v>
      </c>
      <c r="H9900">
        <f>AVERAGEIFS(Table1[value],Table1[IndicatorCode],Table1[[#This Row],[IndicatorCode]])</f>
        <v>72.66514008620689</v>
      </c>
      <c r="I9900" cm="1">
        <f t="array" ref="I9900">_xlfn.STDEV.P(IF(Table1[IndicatorCode]=Table1[[#This Row],[IndicatorCode]],Table1[value]))</f>
        <v>6.3409496564024987</v>
      </c>
      <c r="J9900">
        <f>(Table1[[#This Row],[value]] - Table1[[#This Row],[mean]]) / Table1[[#This Row],[std_dev]]</f>
        <v>0.21051419521132667</v>
      </c>
      <c r="K9900">
        <f>AVERAGEIF(Table1[CountryCode],Table1[[#This Row],[CountryCode]],Table1[z-score])</f>
        <v>0.64774457538517582</v>
      </c>
      <c r="L9900" t="e">
        <f>VLOOKUP(Table1[[#This Row],[CountryCode]],[1]!Table1[#All],1,FALSE)</f>
        <v>#REF!</v>
      </c>
    </row>
    <row r="9901" spans="1:12" hidden="1" x14ac:dyDescent="0.3">
      <c r="A9901" t="s">
        <v>93</v>
      </c>
      <c r="B9901" t="s">
        <v>94</v>
      </c>
      <c r="C9901" t="s">
        <v>129</v>
      </c>
      <c r="D9901" t="s">
        <v>130</v>
      </c>
      <c r="E9901">
        <v>1972</v>
      </c>
      <c r="F9901" s="1">
        <v>74</v>
      </c>
      <c r="G9901">
        <v>1970</v>
      </c>
      <c r="H9901">
        <f>AVERAGEIFS(Table1[value],Table1[IndicatorCode],Table1[[#This Row],[IndicatorCode]])</f>
        <v>72.66514008620689</v>
      </c>
      <c r="I9901" cm="1">
        <f t="array" ref="I9901">_xlfn.STDEV.P(IF(Table1[IndicatorCode]=Table1[[#This Row],[IndicatorCode]],Table1[value]))</f>
        <v>6.3409496564024987</v>
      </c>
      <c r="J9901">
        <f>(Table1[[#This Row],[value]] - Table1[[#This Row],[mean]]) / Table1[[#This Row],[std_dev]]</f>
        <v>0.21051419521132667</v>
      </c>
      <c r="K9901">
        <f>AVERAGEIF(Table1[CountryCode],Table1[[#This Row],[CountryCode]],Table1[z-score])</f>
        <v>0.64774457538517582</v>
      </c>
      <c r="L9901" t="e">
        <f>VLOOKUP(Table1[[#This Row],[CountryCode]],[1]!Table1[#All],1,FALSE)</f>
        <v>#REF!</v>
      </c>
    </row>
    <row r="9902" spans="1:12" hidden="1" x14ac:dyDescent="0.3">
      <c r="A9902" t="s">
        <v>93</v>
      </c>
      <c r="B9902" t="s">
        <v>94</v>
      </c>
      <c r="C9902" t="s">
        <v>129</v>
      </c>
      <c r="D9902" t="s">
        <v>130</v>
      </c>
      <c r="E9902">
        <v>1973</v>
      </c>
      <c r="F9902" s="1">
        <v>74</v>
      </c>
      <c r="G9902">
        <v>1970</v>
      </c>
      <c r="H9902">
        <f>AVERAGEIFS(Table1[value],Table1[IndicatorCode],Table1[[#This Row],[IndicatorCode]])</f>
        <v>72.66514008620689</v>
      </c>
      <c r="I9902" cm="1">
        <f t="array" ref="I9902">_xlfn.STDEV.P(IF(Table1[IndicatorCode]=Table1[[#This Row],[IndicatorCode]],Table1[value]))</f>
        <v>6.3409496564024987</v>
      </c>
      <c r="J9902">
        <f>(Table1[[#This Row],[value]] - Table1[[#This Row],[mean]]) / Table1[[#This Row],[std_dev]]</f>
        <v>0.21051419521132667</v>
      </c>
      <c r="K9902">
        <f>AVERAGEIF(Table1[CountryCode],Table1[[#This Row],[CountryCode]],Table1[z-score])</f>
        <v>0.64774457538517582</v>
      </c>
      <c r="L9902" t="e">
        <f>VLOOKUP(Table1[[#This Row],[CountryCode]],[1]!Table1[#All],1,FALSE)</f>
        <v>#REF!</v>
      </c>
    </row>
    <row r="9903" spans="1:12" hidden="1" x14ac:dyDescent="0.3">
      <c r="A9903" t="s">
        <v>93</v>
      </c>
      <c r="B9903" t="s">
        <v>94</v>
      </c>
      <c r="C9903" t="s">
        <v>129</v>
      </c>
      <c r="D9903" t="s">
        <v>130</v>
      </c>
      <c r="E9903">
        <v>1974</v>
      </c>
      <c r="F9903" s="1">
        <v>75</v>
      </c>
      <c r="G9903">
        <v>1970</v>
      </c>
      <c r="H9903">
        <f>AVERAGEIFS(Table1[value],Table1[IndicatorCode],Table1[[#This Row],[IndicatorCode]])</f>
        <v>72.66514008620689</v>
      </c>
      <c r="I9903" cm="1">
        <f t="array" ref="I9903">_xlfn.STDEV.P(IF(Table1[IndicatorCode]=Table1[[#This Row],[IndicatorCode]],Table1[value]))</f>
        <v>6.3409496564024987</v>
      </c>
      <c r="J9903">
        <f>(Table1[[#This Row],[value]] - Table1[[#This Row],[mean]]) / Table1[[#This Row],[std_dev]]</f>
        <v>0.36821927949476574</v>
      </c>
      <c r="K9903">
        <f>AVERAGEIF(Table1[CountryCode],Table1[[#This Row],[CountryCode]],Table1[z-score])</f>
        <v>0.64774457538517582</v>
      </c>
      <c r="L9903" t="e">
        <f>VLOOKUP(Table1[[#This Row],[CountryCode]],[1]!Table1[#All],1,FALSE)</f>
        <v>#REF!</v>
      </c>
    </row>
    <row r="9904" spans="1:12" hidden="1" x14ac:dyDescent="0.3">
      <c r="A9904" t="s">
        <v>93</v>
      </c>
      <c r="B9904" t="s">
        <v>94</v>
      </c>
      <c r="C9904" t="s">
        <v>129</v>
      </c>
      <c r="D9904" t="s">
        <v>130</v>
      </c>
      <c r="E9904">
        <v>1975</v>
      </c>
      <c r="F9904" s="1">
        <v>75</v>
      </c>
      <c r="G9904">
        <v>1970</v>
      </c>
      <c r="H9904">
        <f>AVERAGEIFS(Table1[value],Table1[IndicatorCode],Table1[[#This Row],[IndicatorCode]])</f>
        <v>72.66514008620689</v>
      </c>
      <c r="I9904" cm="1">
        <f t="array" ref="I9904">_xlfn.STDEV.P(IF(Table1[IndicatorCode]=Table1[[#This Row],[IndicatorCode]],Table1[value]))</f>
        <v>6.3409496564024987</v>
      </c>
      <c r="J9904">
        <f>(Table1[[#This Row],[value]] - Table1[[#This Row],[mean]]) / Table1[[#This Row],[std_dev]]</f>
        <v>0.36821927949476574</v>
      </c>
      <c r="K9904">
        <f>AVERAGEIF(Table1[CountryCode],Table1[[#This Row],[CountryCode]],Table1[z-score])</f>
        <v>0.64774457538517582</v>
      </c>
      <c r="L9904" t="e">
        <f>VLOOKUP(Table1[[#This Row],[CountryCode]],[1]!Table1[#All],1,FALSE)</f>
        <v>#REF!</v>
      </c>
    </row>
    <row r="9905" spans="1:12" hidden="1" x14ac:dyDescent="0.3">
      <c r="A9905" t="s">
        <v>93</v>
      </c>
      <c r="B9905" t="s">
        <v>94</v>
      </c>
      <c r="C9905" t="s">
        <v>129</v>
      </c>
      <c r="D9905" t="s">
        <v>130</v>
      </c>
      <c r="E9905">
        <v>1976</v>
      </c>
      <c r="F9905" s="1">
        <v>75</v>
      </c>
      <c r="G9905">
        <v>1970</v>
      </c>
      <c r="H9905">
        <f>AVERAGEIFS(Table1[value],Table1[IndicatorCode],Table1[[#This Row],[IndicatorCode]])</f>
        <v>72.66514008620689</v>
      </c>
      <c r="I9905" cm="1">
        <f t="array" ref="I9905">_xlfn.STDEV.P(IF(Table1[IndicatorCode]=Table1[[#This Row],[IndicatorCode]],Table1[value]))</f>
        <v>6.3409496564024987</v>
      </c>
      <c r="J9905">
        <f>(Table1[[#This Row],[value]] - Table1[[#This Row],[mean]]) / Table1[[#This Row],[std_dev]]</f>
        <v>0.36821927949476574</v>
      </c>
      <c r="K9905">
        <f>AVERAGEIF(Table1[CountryCode],Table1[[#This Row],[CountryCode]],Table1[z-score])</f>
        <v>0.64774457538517582</v>
      </c>
      <c r="L9905" t="e">
        <f>VLOOKUP(Table1[[#This Row],[CountryCode]],[1]!Table1[#All],1,FALSE)</f>
        <v>#REF!</v>
      </c>
    </row>
    <row r="9906" spans="1:12" hidden="1" x14ac:dyDescent="0.3">
      <c r="A9906" t="s">
        <v>93</v>
      </c>
      <c r="B9906" t="s">
        <v>94</v>
      </c>
      <c r="C9906" t="s">
        <v>129</v>
      </c>
      <c r="D9906" t="s">
        <v>130</v>
      </c>
      <c r="E9906">
        <v>1977</v>
      </c>
      <c r="F9906" s="1">
        <v>75</v>
      </c>
      <c r="G9906">
        <v>1980</v>
      </c>
      <c r="H9906">
        <f>AVERAGEIFS(Table1[value],Table1[IndicatorCode],Table1[[#This Row],[IndicatorCode]])</f>
        <v>72.66514008620689</v>
      </c>
      <c r="I9906" cm="1">
        <f t="array" ref="I9906">_xlfn.STDEV.P(IF(Table1[IndicatorCode]=Table1[[#This Row],[IndicatorCode]],Table1[value]))</f>
        <v>6.3409496564024987</v>
      </c>
      <c r="J9906">
        <f>(Table1[[#This Row],[value]] - Table1[[#This Row],[mean]]) / Table1[[#This Row],[std_dev]]</f>
        <v>0.36821927949476574</v>
      </c>
      <c r="K9906">
        <f>AVERAGEIF(Table1[CountryCode],Table1[[#This Row],[CountryCode]],Table1[z-score])</f>
        <v>0.64774457538517582</v>
      </c>
      <c r="L9906" t="e">
        <f>VLOOKUP(Table1[[#This Row],[CountryCode]],[1]!Table1[#All],1,FALSE)</f>
        <v>#REF!</v>
      </c>
    </row>
    <row r="9907" spans="1:12" hidden="1" x14ac:dyDescent="0.3">
      <c r="A9907" t="s">
        <v>93</v>
      </c>
      <c r="B9907" t="s">
        <v>94</v>
      </c>
      <c r="C9907" t="s">
        <v>129</v>
      </c>
      <c r="D9907" t="s">
        <v>130</v>
      </c>
      <c r="E9907">
        <v>1978</v>
      </c>
      <c r="F9907" s="1">
        <v>75</v>
      </c>
      <c r="G9907">
        <v>1980</v>
      </c>
      <c r="H9907">
        <f>AVERAGEIFS(Table1[value],Table1[IndicatorCode],Table1[[#This Row],[IndicatorCode]])</f>
        <v>72.66514008620689</v>
      </c>
      <c r="I9907" cm="1">
        <f t="array" ref="I9907">_xlfn.STDEV.P(IF(Table1[IndicatorCode]=Table1[[#This Row],[IndicatorCode]],Table1[value]))</f>
        <v>6.3409496564024987</v>
      </c>
      <c r="J9907">
        <f>(Table1[[#This Row],[value]] - Table1[[#This Row],[mean]]) / Table1[[#This Row],[std_dev]]</f>
        <v>0.36821927949476574</v>
      </c>
      <c r="K9907">
        <f>AVERAGEIF(Table1[CountryCode],Table1[[#This Row],[CountryCode]],Table1[z-score])</f>
        <v>0.64774457538517582</v>
      </c>
      <c r="L9907" t="e">
        <f>VLOOKUP(Table1[[#This Row],[CountryCode]],[1]!Table1[#All],1,FALSE)</f>
        <v>#REF!</v>
      </c>
    </row>
    <row r="9908" spans="1:12" hidden="1" x14ac:dyDescent="0.3">
      <c r="A9908" t="s">
        <v>93</v>
      </c>
      <c r="B9908" t="s">
        <v>94</v>
      </c>
      <c r="C9908" t="s">
        <v>129</v>
      </c>
      <c r="D9908" t="s">
        <v>130</v>
      </c>
      <c r="E9908">
        <v>1979</v>
      </c>
      <c r="F9908" s="1">
        <v>75</v>
      </c>
      <c r="G9908">
        <v>1980</v>
      </c>
      <c r="H9908">
        <f>AVERAGEIFS(Table1[value],Table1[IndicatorCode],Table1[[#This Row],[IndicatorCode]])</f>
        <v>72.66514008620689</v>
      </c>
      <c r="I9908" cm="1">
        <f t="array" ref="I9908">_xlfn.STDEV.P(IF(Table1[IndicatorCode]=Table1[[#This Row],[IndicatorCode]],Table1[value]))</f>
        <v>6.3409496564024987</v>
      </c>
      <c r="J9908">
        <f>(Table1[[#This Row],[value]] - Table1[[#This Row],[mean]]) / Table1[[#This Row],[std_dev]]</f>
        <v>0.36821927949476574</v>
      </c>
      <c r="K9908">
        <f>AVERAGEIF(Table1[CountryCode],Table1[[#This Row],[CountryCode]],Table1[z-score])</f>
        <v>0.64774457538517582</v>
      </c>
      <c r="L9908" t="e">
        <f>VLOOKUP(Table1[[#This Row],[CountryCode]],[1]!Table1[#All],1,FALSE)</f>
        <v>#REF!</v>
      </c>
    </row>
    <row r="9909" spans="1:12" hidden="1" x14ac:dyDescent="0.3">
      <c r="A9909" t="s">
        <v>93</v>
      </c>
      <c r="B9909" t="s">
        <v>94</v>
      </c>
      <c r="C9909" t="s">
        <v>129</v>
      </c>
      <c r="D9909" t="s">
        <v>130</v>
      </c>
      <c r="E9909">
        <v>1980</v>
      </c>
      <c r="F9909" s="1">
        <v>76</v>
      </c>
      <c r="G9909">
        <v>1980</v>
      </c>
      <c r="H9909">
        <f>AVERAGEIFS(Table1[value],Table1[IndicatorCode],Table1[[#This Row],[IndicatorCode]])</f>
        <v>72.66514008620689</v>
      </c>
      <c r="I9909" cm="1">
        <f t="array" ref="I9909">_xlfn.STDEV.P(IF(Table1[IndicatorCode]=Table1[[#This Row],[IndicatorCode]],Table1[value]))</f>
        <v>6.3409496564024987</v>
      </c>
      <c r="J9909">
        <f>(Table1[[#This Row],[value]] - Table1[[#This Row],[mean]]) / Table1[[#This Row],[std_dev]]</f>
        <v>0.52592436377820473</v>
      </c>
      <c r="K9909">
        <f>AVERAGEIF(Table1[CountryCode],Table1[[#This Row],[CountryCode]],Table1[z-score])</f>
        <v>0.64774457538517582</v>
      </c>
      <c r="L9909" t="e">
        <f>VLOOKUP(Table1[[#This Row],[CountryCode]],[1]!Table1[#All],1,FALSE)</f>
        <v>#REF!</v>
      </c>
    </row>
    <row r="9910" spans="1:12" hidden="1" x14ac:dyDescent="0.3">
      <c r="A9910" t="s">
        <v>93</v>
      </c>
      <c r="B9910" t="s">
        <v>94</v>
      </c>
      <c r="C9910" t="s">
        <v>129</v>
      </c>
      <c r="D9910" t="s">
        <v>130</v>
      </c>
      <c r="E9910">
        <v>1981</v>
      </c>
      <c r="F9910" s="1">
        <v>76</v>
      </c>
      <c r="G9910">
        <v>1980</v>
      </c>
      <c r="H9910">
        <f>AVERAGEIFS(Table1[value],Table1[IndicatorCode],Table1[[#This Row],[IndicatorCode]])</f>
        <v>72.66514008620689</v>
      </c>
      <c r="I9910" cm="1">
        <f t="array" ref="I9910">_xlfn.STDEV.P(IF(Table1[IndicatorCode]=Table1[[#This Row],[IndicatorCode]],Table1[value]))</f>
        <v>6.3409496564024987</v>
      </c>
      <c r="J9910">
        <f>(Table1[[#This Row],[value]] - Table1[[#This Row],[mean]]) / Table1[[#This Row],[std_dev]]</f>
        <v>0.52592436377820473</v>
      </c>
      <c r="K9910">
        <f>AVERAGEIF(Table1[CountryCode],Table1[[#This Row],[CountryCode]],Table1[z-score])</f>
        <v>0.64774457538517582</v>
      </c>
      <c r="L9910" t="e">
        <f>VLOOKUP(Table1[[#This Row],[CountryCode]],[1]!Table1[#All],1,FALSE)</f>
        <v>#REF!</v>
      </c>
    </row>
    <row r="9911" spans="1:12" hidden="1" x14ac:dyDescent="0.3">
      <c r="A9911" t="s">
        <v>93</v>
      </c>
      <c r="B9911" t="s">
        <v>94</v>
      </c>
      <c r="C9911" t="s">
        <v>129</v>
      </c>
      <c r="D9911" t="s">
        <v>130</v>
      </c>
      <c r="E9911">
        <v>1982</v>
      </c>
      <c r="F9911" s="1">
        <v>76</v>
      </c>
      <c r="G9911">
        <v>1980</v>
      </c>
      <c r="H9911">
        <f>AVERAGEIFS(Table1[value],Table1[IndicatorCode],Table1[[#This Row],[IndicatorCode]])</f>
        <v>72.66514008620689</v>
      </c>
      <c r="I9911" cm="1">
        <f t="array" ref="I9911">_xlfn.STDEV.P(IF(Table1[IndicatorCode]=Table1[[#This Row],[IndicatorCode]],Table1[value]))</f>
        <v>6.3409496564024987</v>
      </c>
      <c r="J9911">
        <f>(Table1[[#This Row],[value]] - Table1[[#This Row],[mean]]) / Table1[[#This Row],[std_dev]]</f>
        <v>0.52592436377820473</v>
      </c>
      <c r="K9911">
        <f>AVERAGEIF(Table1[CountryCode],Table1[[#This Row],[CountryCode]],Table1[z-score])</f>
        <v>0.64774457538517582</v>
      </c>
      <c r="L9911" t="e">
        <f>VLOOKUP(Table1[[#This Row],[CountryCode]],[1]!Table1[#All],1,FALSE)</f>
        <v>#REF!</v>
      </c>
    </row>
    <row r="9912" spans="1:12" hidden="1" x14ac:dyDescent="0.3">
      <c r="A9912" t="s">
        <v>93</v>
      </c>
      <c r="B9912" t="s">
        <v>94</v>
      </c>
      <c r="C9912" t="s">
        <v>129</v>
      </c>
      <c r="D9912" t="s">
        <v>130</v>
      </c>
      <c r="E9912">
        <v>1983</v>
      </c>
      <c r="F9912" s="1">
        <v>76</v>
      </c>
      <c r="G9912">
        <v>1980</v>
      </c>
      <c r="H9912">
        <f>AVERAGEIFS(Table1[value],Table1[IndicatorCode],Table1[[#This Row],[IndicatorCode]])</f>
        <v>72.66514008620689</v>
      </c>
      <c r="I9912" cm="1">
        <f t="array" ref="I9912">_xlfn.STDEV.P(IF(Table1[IndicatorCode]=Table1[[#This Row],[IndicatorCode]],Table1[value]))</f>
        <v>6.3409496564024987</v>
      </c>
      <c r="J9912">
        <f>(Table1[[#This Row],[value]] - Table1[[#This Row],[mean]]) / Table1[[#This Row],[std_dev]]</f>
        <v>0.52592436377820473</v>
      </c>
      <c r="K9912">
        <f>AVERAGEIF(Table1[CountryCode],Table1[[#This Row],[CountryCode]],Table1[z-score])</f>
        <v>0.64774457538517582</v>
      </c>
      <c r="L9912" t="e">
        <f>VLOOKUP(Table1[[#This Row],[CountryCode]],[1]!Table1[#All],1,FALSE)</f>
        <v>#REF!</v>
      </c>
    </row>
    <row r="9913" spans="1:12" hidden="1" x14ac:dyDescent="0.3">
      <c r="A9913" t="s">
        <v>93</v>
      </c>
      <c r="B9913" t="s">
        <v>94</v>
      </c>
      <c r="C9913" t="s">
        <v>129</v>
      </c>
      <c r="D9913" t="s">
        <v>130</v>
      </c>
      <c r="E9913">
        <v>1984</v>
      </c>
      <c r="F9913" s="1">
        <v>76</v>
      </c>
      <c r="G9913">
        <v>1980</v>
      </c>
      <c r="H9913">
        <f>AVERAGEIFS(Table1[value],Table1[IndicatorCode],Table1[[#This Row],[IndicatorCode]])</f>
        <v>72.66514008620689</v>
      </c>
      <c r="I9913" cm="1">
        <f t="array" ref="I9913">_xlfn.STDEV.P(IF(Table1[IndicatorCode]=Table1[[#This Row],[IndicatorCode]],Table1[value]))</f>
        <v>6.3409496564024987</v>
      </c>
      <c r="J9913">
        <f>(Table1[[#This Row],[value]] - Table1[[#This Row],[mean]]) / Table1[[#This Row],[std_dev]]</f>
        <v>0.52592436377820473</v>
      </c>
      <c r="K9913">
        <f>AVERAGEIF(Table1[CountryCode],Table1[[#This Row],[CountryCode]],Table1[z-score])</f>
        <v>0.64774457538517582</v>
      </c>
      <c r="L9913" t="e">
        <f>VLOOKUP(Table1[[#This Row],[CountryCode]],[1]!Table1[#All],1,FALSE)</f>
        <v>#REF!</v>
      </c>
    </row>
    <row r="9914" spans="1:12" hidden="1" x14ac:dyDescent="0.3">
      <c r="A9914" t="s">
        <v>93</v>
      </c>
      <c r="B9914" t="s">
        <v>94</v>
      </c>
      <c r="C9914" t="s">
        <v>129</v>
      </c>
      <c r="D9914" t="s">
        <v>130</v>
      </c>
      <c r="E9914">
        <v>1985</v>
      </c>
      <c r="F9914" s="1">
        <v>76</v>
      </c>
      <c r="G9914">
        <v>1980</v>
      </c>
      <c r="H9914">
        <f>AVERAGEIFS(Table1[value],Table1[IndicatorCode],Table1[[#This Row],[IndicatorCode]])</f>
        <v>72.66514008620689</v>
      </c>
      <c r="I9914" cm="1">
        <f t="array" ref="I9914">_xlfn.STDEV.P(IF(Table1[IndicatorCode]=Table1[[#This Row],[IndicatorCode]],Table1[value]))</f>
        <v>6.3409496564024987</v>
      </c>
      <c r="J9914">
        <f>(Table1[[#This Row],[value]] - Table1[[#This Row],[mean]]) / Table1[[#This Row],[std_dev]]</f>
        <v>0.52592436377820473</v>
      </c>
      <c r="K9914">
        <f>AVERAGEIF(Table1[CountryCode],Table1[[#This Row],[CountryCode]],Table1[z-score])</f>
        <v>0.64774457538517582</v>
      </c>
      <c r="L9914" t="e">
        <f>VLOOKUP(Table1[[#This Row],[CountryCode]],[1]!Table1[#All],1,FALSE)</f>
        <v>#REF!</v>
      </c>
    </row>
    <row r="9915" spans="1:12" hidden="1" x14ac:dyDescent="0.3">
      <c r="A9915" t="s">
        <v>93</v>
      </c>
      <c r="B9915" t="s">
        <v>94</v>
      </c>
      <c r="C9915" t="s">
        <v>129</v>
      </c>
      <c r="D9915" t="s">
        <v>130</v>
      </c>
      <c r="E9915">
        <v>1986</v>
      </c>
      <c r="F9915" s="1">
        <v>76</v>
      </c>
      <c r="G9915">
        <v>1980</v>
      </c>
      <c r="H9915">
        <f>AVERAGEIFS(Table1[value],Table1[IndicatorCode],Table1[[#This Row],[IndicatorCode]])</f>
        <v>72.66514008620689</v>
      </c>
      <c r="I9915" cm="1">
        <f t="array" ref="I9915">_xlfn.STDEV.P(IF(Table1[IndicatorCode]=Table1[[#This Row],[IndicatorCode]],Table1[value]))</f>
        <v>6.3409496564024987</v>
      </c>
      <c r="J9915">
        <f>(Table1[[#This Row],[value]] - Table1[[#This Row],[mean]]) / Table1[[#This Row],[std_dev]]</f>
        <v>0.52592436377820473</v>
      </c>
      <c r="K9915">
        <f>AVERAGEIF(Table1[CountryCode],Table1[[#This Row],[CountryCode]],Table1[z-score])</f>
        <v>0.64774457538517582</v>
      </c>
      <c r="L9915" t="e">
        <f>VLOOKUP(Table1[[#This Row],[CountryCode]],[1]!Table1[#All],1,FALSE)</f>
        <v>#REF!</v>
      </c>
    </row>
    <row r="9916" spans="1:12" hidden="1" x14ac:dyDescent="0.3">
      <c r="A9916" t="s">
        <v>93</v>
      </c>
      <c r="B9916" t="s">
        <v>94</v>
      </c>
      <c r="C9916" t="s">
        <v>129</v>
      </c>
      <c r="D9916" t="s">
        <v>130</v>
      </c>
      <c r="E9916">
        <v>1987</v>
      </c>
      <c r="F9916" s="1">
        <v>76</v>
      </c>
      <c r="G9916">
        <v>1990</v>
      </c>
      <c r="H9916">
        <f>AVERAGEIFS(Table1[value],Table1[IndicatorCode],Table1[[#This Row],[IndicatorCode]])</f>
        <v>72.66514008620689</v>
      </c>
      <c r="I9916" cm="1">
        <f t="array" ref="I9916">_xlfn.STDEV.P(IF(Table1[IndicatorCode]=Table1[[#This Row],[IndicatorCode]],Table1[value]))</f>
        <v>6.3409496564024987</v>
      </c>
      <c r="J9916">
        <f>(Table1[[#This Row],[value]] - Table1[[#This Row],[mean]]) / Table1[[#This Row],[std_dev]]</f>
        <v>0.52592436377820473</v>
      </c>
      <c r="K9916">
        <f>AVERAGEIF(Table1[CountryCode],Table1[[#This Row],[CountryCode]],Table1[z-score])</f>
        <v>0.64774457538517582</v>
      </c>
      <c r="L9916" t="e">
        <f>VLOOKUP(Table1[[#This Row],[CountryCode]],[1]!Table1[#All],1,FALSE)</f>
        <v>#REF!</v>
      </c>
    </row>
    <row r="9917" spans="1:12" hidden="1" x14ac:dyDescent="0.3">
      <c r="A9917" t="s">
        <v>93</v>
      </c>
      <c r="B9917" t="s">
        <v>94</v>
      </c>
      <c r="C9917" t="s">
        <v>129</v>
      </c>
      <c r="D9917" t="s">
        <v>130</v>
      </c>
      <c r="E9917">
        <v>1988</v>
      </c>
      <c r="F9917" s="1">
        <v>76</v>
      </c>
      <c r="G9917">
        <v>1990</v>
      </c>
      <c r="H9917">
        <f>AVERAGEIFS(Table1[value],Table1[IndicatorCode],Table1[[#This Row],[IndicatorCode]])</f>
        <v>72.66514008620689</v>
      </c>
      <c r="I9917" cm="1">
        <f t="array" ref="I9917">_xlfn.STDEV.P(IF(Table1[IndicatorCode]=Table1[[#This Row],[IndicatorCode]],Table1[value]))</f>
        <v>6.3409496564024987</v>
      </c>
      <c r="J9917">
        <f>(Table1[[#This Row],[value]] - Table1[[#This Row],[mean]]) / Table1[[#This Row],[std_dev]]</f>
        <v>0.52592436377820473</v>
      </c>
      <c r="K9917">
        <f>AVERAGEIF(Table1[CountryCode],Table1[[#This Row],[CountryCode]],Table1[z-score])</f>
        <v>0.64774457538517582</v>
      </c>
      <c r="L9917" t="e">
        <f>VLOOKUP(Table1[[#This Row],[CountryCode]],[1]!Table1[#All],1,FALSE)</f>
        <v>#REF!</v>
      </c>
    </row>
    <row r="9918" spans="1:12" hidden="1" x14ac:dyDescent="0.3">
      <c r="A9918" t="s">
        <v>93</v>
      </c>
      <c r="B9918" t="s">
        <v>94</v>
      </c>
      <c r="C9918" t="s">
        <v>129</v>
      </c>
      <c r="D9918" t="s">
        <v>130</v>
      </c>
      <c r="E9918">
        <v>1989</v>
      </c>
      <c r="F9918" s="1">
        <v>77</v>
      </c>
      <c r="G9918">
        <v>1990</v>
      </c>
      <c r="H9918">
        <f>AVERAGEIFS(Table1[value],Table1[IndicatorCode],Table1[[#This Row],[IndicatorCode]])</f>
        <v>72.66514008620689</v>
      </c>
      <c r="I9918" cm="1">
        <f t="array" ref="I9918">_xlfn.STDEV.P(IF(Table1[IndicatorCode]=Table1[[#This Row],[IndicatorCode]],Table1[value]))</f>
        <v>6.3409496564024987</v>
      </c>
      <c r="J9918">
        <f>(Table1[[#This Row],[value]] - Table1[[#This Row],[mean]]) / Table1[[#This Row],[std_dev]]</f>
        <v>0.68362944806164383</v>
      </c>
      <c r="K9918">
        <f>AVERAGEIF(Table1[CountryCode],Table1[[#This Row],[CountryCode]],Table1[z-score])</f>
        <v>0.64774457538517582</v>
      </c>
      <c r="L9918" t="e">
        <f>VLOOKUP(Table1[[#This Row],[CountryCode]],[1]!Table1[#All],1,FALSE)</f>
        <v>#REF!</v>
      </c>
    </row>
    <row r="9919" spans="1:12" hidden="1" x14ac:dyDescent="0.3">
      <c r="A9919" t="s">
        <v>93</v>
      </c>
      <c r="B9919" t="s">
        <v>94</v>
      </c>
      <c r="C9919" t="s">
        <v>129</v>
      </c>
      <c r="D9919" t="s">
        <v>130</v>
      </c>
      <c r="E9919">
        <v>1990</v>
      </c>
      <c r="F9919" s="1">
        <v>77</v>
      </c>
      <c r="G9919">
        <v>1990</v>
      </c>
      <c r="H9919">
        <f>AVERAGEIFS(Table1[value],Table1[IndicatorCode],Table1[[#This Row],[IndicatorCode]])</f>
        <v>72.66514008620689</v>
      </c>
      <c r="I9919" cm="1">
        <f t="array" ref="I9919">_xlfn.STDEV.P(IF(Table1[IndicatorCode]=Table1[[#This Row],[IndicatorCode]],Table1[value]))</f>
        <v>6.3409496564024987</v>
      </c>
      <c r="J9919">
        <f>(Table1[[#This Row],[value]] - Table1[[#This Row],[mean]]) / Table1[[#This Row],[std_dev]]</f>
        <v>0.68362944806164383</v>
      </c>
      <c r="K9919">
        <f>AVERAGEIF(Table1[CountryCode],Table1[[#This Row],[CountryCode]],Table1[z-score])</f>
        <v>0.64774457538517582</v>
      </c>
      <c r="L9919" t="e">
        <f>VLOOKUP(Table1[[#This Row],[CountryCode]],[1]!Table1[#All],1,FALSE)</f>
        <v>#REF!</v>
      </c>
    </row>
    <row r="9920" spans="1:12" hidden="1" x14ac:dyDescent="0.3">
      <c r="A9920" t="s">
        <v>93</v>
      </c>
      <c r="B9920" t="s">
        <v>94</v>
      </c>
      <c r="C9920" t="s">
        <v>129</v>
      </c>
      <c r="D9920" t="s">
        <v>130</v>
      </c>
      <c r="E9920">
        <v>1991</v>
      </c>
      <c r="F9920" s="1">
        <v>77</v>
      </c>
      <c r="G9920">
        <v>1990</v>
      </c>
      <c r="H9920">
        <f>AVERAGEIFS(Table1[value],Table1[IndicatorCode],Table1[[#This Row],[IndicatorCode]])</f>
        <v>72.66514008620689</v>
      </c>
      <c r="I9920" cm="1">
        <f t="array" ref="I9920">_xlfn.STDEV.P(IF(Table1[IndicatorCode]=Table1[[#This Row],[IndicatorCode]],Table1[value]))</f>
        <v>6.3409496564024987</v>
      </c>
      <c r="J9920">
        <f>(Table1[[#This Row],[value]] - Table1[[#This Row],[mean]]) / Table1[[#This Row],[std_dev]]</f>
        <v>0.68362944806164383</v>
      </c>
      <c r="K9920">
        <f>AVERAGEIF(Table1[CountryCode],Table1[[#This Row],[CountryCode]],Table1[z-score])</f>
        <v>0.64774457538517582</v>
      </c>
      <c r="L9920" t="e">
        <f>VLOOKUP(Table1[[#This Row],[CountryCode]],[1]!Table1[#All],1,FALSE)</f>
        <v>#REF!</v>
      </c>
    </row>
    <row r="9921" spans="1:12" hidden="1" x14ac:dyDescent="0.3">
      <c r="A9921" t="s">
        <v>93</v>
      </c>
      <c r="B9921" t="s">
        <v>94</v>
      </c>
      <c r="C9921" t="s">
        <v>129</v>
      </c>
      <c r="D9921" t="s">
        <v>130</v>
      </c>
      <c r="E9921">
        <v>1992</v>
      </c>
      <c r="F9921" s="1">
        <v>77</v>
      </c>
      <c r="G9921">
        <v>1990</v>
      </c>
      <c r="H9921">
        <f>AVERAGEIFS(Table1[value],Table1[IndicatorCode],Table1[[#This Row],[IndicatorCode]])</f>
        <v>72.66514008620689</v>
      </c>
      <c r="I9921" cm="1">
        <f t="array" ref="I9921">_xlfn.STDEV.P(IF(Table1[IndicatorCode]=Table1[[#This Row],[IndicatorCode]],Table1[value]))</f>
        <v>6.3409496564024987</v>
      </c>
      <c r="J9921">
        <f>(Table1[[#This Row],[value]] - Table1[[#This Row],[mean]]) / Table1[[#This Row],[std_dev]]</f>
        <v>0.68362944806164383</v>
      </c>
      <c r="K9921">
        <f>AVERAGEIF(Table1[CountryCode],Table1[[#This Row],[CountryCode]],Table1[z-score])</f>
        <v>0.64774457538517582</v>
      </c>
      <c r="L9921" t="e">
        <f>VLOOKUP(Table1[[#This Row],[CountryCode]],[1]!Table1[#All],1,FALSE)</f>
        <v>#REF!</v>
      </c>
    </row>
    <row r="9922" spans="1:12" hidden="1" x14ac:dyDescent="0.3">
      <c r="A9922" t="s">
        <v>93</v>
      </c>
      <c r="B9922" t="s">
        <v>94</v>
      </c>
      <c r="C9922" t="s">
        <v>129</v>
      </c>
      <c r="D9922" t="s">
        <v>130</v>
      </c>
      <c r="E9922">
        <v>1993</v>
      </c>
      <c r="F9922" s="1">
        <v>77</v>
      </c>
      <c r="G9922">
        <v>1990</v>
      </c>
      <c r="H9922">
        <f>AVERAGEIFS(Table1[value],Table1[IndicatorCode],Table1[[#This Row],[IndicatorCode]])</f>
        <v>72.66514008620689</v>
      </c>
      <c r="I9922" cm="1">
        <f t="array" ref="I9922">_xlfn.STDEV.P(IF(Table1[IndicatorCode]=Table1[[#This Row],[IndicatorCode]],Table1[value]))</f>
        <v>6.3409496564024987</v>
      </c>
      <c r="J9922">
        <f>(Table1[[#This Row],[value]] - Table1[[#This Row],[mean]]) / Table1[[#This Row],[std_dev]]</f>
        <v>0.68362944806164383</v>
      </c>
      <c r="K9922">
        <f>AVERAGEIF(Table1[CountryCode],Table1[[#This Row],[CountryCode]],Table1[z-score])</f>
        <v>0.64774457538517582</v>
      </c>
      <c r="L9922" t="e">
        <f>VLOOKUP(Table1[[#This Row],[CountryCode]],[1]!Table1[#All],1,FALSE)</f>
        <v>#REF!</v>
      </c>
    </row>
    <row r="9923" spans="1:12" hidden="1" x14ac:dyDescent="0.3">
      <c r="A9923" t="s">
        <v>93</v>
      </c>
      <c r="B9923" t="s">
        <v>94</v>
      </c>
      <c r="C9923" t="s">
        <v>129</v>
      </c>
      <c r="D9923" t="s">
        <v>130</v>
      </c>
      <c r="E9923">
        <v>1994</v>
      </c>
      <c r="F9923" s="1">
        <v>78</v>
      </c>
      <c r="G9923">
        <v>1990</v>
      </c>
      <c r="H9923">
        <f>AVERAGEIFS(Table1[value],Table1[IndicatorCode],Table1[[#This Row],[IndicatorCode]])</f>
        <v>72.66514008620689</v>
      </c>
      <c r="I9923" cm="1">
        <f t="array" ref="I9923">_xlfn.STDEV.P(IF(Table1[IndicatorCode]=Table1[[#This Row],[IndicatorCode]],Table1[value]))</f>
        <v>6.3409496564024987</v>
      </c>
      <c r="J9923">
        <f>(Table1[[#This Row],[value]] - Table1[[#This Row],[mean]]) / Table1[[#This Row],[std_dev]]</f>
        <v>0.84133453234508293</v>
      </c>
      <c r="K9923">
        <f>AVERAGEIF(Table1[CountryCode],Table1[[#This Row],[CountryCode]],Table1[z-score])</f>
        <v>0.64774457538517582</v>
      </c>
      <c r="L9923" t="e">
        <f>VLOOKUP(Table1[[#This Row],[CountryCode]],[1]!Table1[#All],1,FALSE)</f>
        <v>#REF!</v>
      </c>
    </row>
    <row r="9924" spans="1:12" hidden="1" x14ac:dyDescent="0.3">
      <c r="A9924" t="s">
        <v>93</v>
      </c>
      <c r="B9924" t="s">
        <v>94</v>
      </c>
      <c r="C9924" t="s">
        <v>129</v>
      </c>
      <c r="D9924" t="s">
        <v>130</v>
      </c>
      <c r="E9924">
        <v>1995</v>
      </c>
      <c r="F9924" s="1">
        <v>78</v>
      </c>
      <c r="G9924">
        <v>1990</v>
      </c>
      <c r="H9924">
        <f>AVERAGEIFS(Table1[value],Table1[IndicatorCode],Table1[[#This Row],[IndicatorCode]])</f>
        <v>72.66514008620689</v>
      </c>
      <c r="I9924" cm="1">
        <f t="array" ref="I9924">_xlfn.STDEV.P(IF(Table1[IndicatorCode]=Table1[[#This Row],[IndicatorCode]],Table1[value]))</f>
        <v>6.3409496564024987</v>
      </c>
      <c r="J9924">
        <f>(Table1[[#This Row],[value]] - Table1[[#This Row],[mean]]) / Table1[[#This Row],[std_dev]]</f>
        <v>0.84133453234508293</v>
      </c>
      <c r="K9924">
        <f>AVERAGEIF(Table1[CountryCode],Table1[[#This Row],[CountryCode]],Table1[z-score])</f>
        <v>0.64774457538517582</v>
      </c>
      <c r="L9924" t="e">
        <f>VLOOKUP(Table1[[#This Row],[CountryCode]],[1]!Table1[#All],1,FALSE)</f>
        <v>#REF!</v>
      </c>
    </row>
    <row r="9925" spans="1:12" hidden="1" x14ac:dyDescent="0.3">
      <c r="A9925" t="s">
        <v>93</v>
      </c>
      <c r="B9925" t="s">
        <v>94</v>
      </c>
      <c r="C9925" t="s">
        <v>129</v>
      </c>
      <c r="D9925" t="s">
        <v>130</v>
      </c>
      <c r="E9925">
        <v>1996</v>
      </c>
      <c r="F9925" s="1">
        <v>78</v>
      </c>
      <c r="G9925">
        <v>1990</v>
      </c>
      <c r="H9925">
        <f>AVERAGEIFS(Table1[value],Table1[IndicatorCode],Table1[[#This Row],[IndicatorCode]])</f>
        <v>72.66514008620689</v>
      </c>
      <c r="I9925" cm="1">
        <f t="array" ref="I9925">_xlfn.STDEV.P(IF(Table1[IndicatorCode]=Table1[[#This Row],[IndicatorCode]],Table1[value]))</f>
        <v>6.3409496564024987</v>
      </c>
      <c r="J9925">
        <f>(Table1[[#This Row],[value]] - Table1[[#This Row],[mean]]) / Table1[[#This Row],[std_dev]]</f>
        <v>0.84133453234508293</v>
      </c>
      <c r="K9925">
        <f>AVERAGEIF(Table1[CountryCode],Table1[[#This Row],[CountryCode]],Table1[z-score])</f>
        <v>0.64774457538517582</v>
      </c>
      <c r="L9925" t="e">
        <f>VLOOKUP(Table1[[#This Row],[CountryCode]],[1]!Table1[#All],1,FALSE)</f>
        <v>#REF!</v>
      </c>
    </row>
    <row r="9926" spans="1:12" hidden="1" x14ac:dyDescent="0.3">
      <c r="A9926" t="s">
        <v>93</v>
      </c>
      <c r="B9926" t="s">
        <v>94</v>
      </c>
      <c r="C9926" t="s">
        <v>129</v>
      </c>
      <c r="D9926" t="s">
        <v>130</v>
      </c>
      <c r="E9926">
        <v>1997</v>
      </c>
      <c r="F9926" s="1">
        <v>78</v>
      </c>
      <c r="G9926">
        <v>2000</v>
      </c>
      <c r="H9926">
        <f>AVERAGEIFS(Table1[value],Table1[IndicatorCode],Table1[[#This Row],[IndicatorCode]])</f>
        <v>72.66514008620689</v>
      </c>
      <c r="I9926" cm="1">
        <f t="array" ref="I9926">_xlfn.STDEV.P(IF(Table1[IndicatorCode]=Table1[[#This Row],[IndicatorCode]],Table1[value]))</f>
        <v>6.3409496564024987</v>
      </c>
      <c r="J9926">
        <f>(Table1[[#This Row],[value]] - Table1[[#This Row],[mean]]) / Table1[[#This Row],[std_dev]]</f>
        <v>0.84133453234508293</v>
      </c>
      <c r="K9926">
        <f>AVERAGEIF(Table1[CountryCode],Table1[[#This Row],[CountryCode]],Table1[z-score])</f>
        <v>0.64774457538517582</v>
      </c>
      <c r="L9926" t="e">
        <f>VLOOKUP(Table1[[#This Row],[CountryCode]],[1]!Table1[#All],1,FALSE)</f>
        <v>#REF!</v>
      </c>
    </row>
    <row r="9927" spans="1:12" hidden="1" x14ac:dyDescent="0.3">
      <c r="A9927" t="s">
        <v>93</v>
      </c>
      <c r="B9927" t="s">
        <v>94</v>
      </c>
      <c r="C9927" t="s">
        <v>129</v>
      </c>
      <c r="D9927" t="s">
        <v>130</v>
      </c>
      <c r="E9927">
        <v>1998</v>
      </c>
      <c r="F9927" s="1">
        <v>78</v>
      </c>
      <c r="G9927">
        <v>2000</v>
      </c>
      <c r="H9927">
        <f>AVERAGEIFS(Table1[value],Table1[IndicatorCode],Table1[[#This Row],[IndicatorCode]])</f>
        <v>72.66514008620689</v>
      </c>
      <c r="I9927" cm="1">
        <f t="array" ref="I9927">_xlfn.STDEV.P(IF(Table1[IndicatorCode]=Table1[[#This Row],[IndicatorCode]],Table1[value]))</f>
        <v>6.3409496564024987</v>
      </c>
      <c r="J9927">
        <f>(Table1[[#This Row],[value]] - Table1[[#This Row],[mean]]) / Table1[[#This Row],[std_dev]]</f>
        <v>0.84133453234508293</v>
      </c>
      <c r="K9927">
        <f>AVERAGEIF(Table1[CountryCode],Table1[[#This Row],[CountryCode]],Table1[z-score])</f>
        <v>0.64774457538517582</v>
      </c>
      <c r="L9927" t="e">
        <f>VLOOKUP(Table1[[#This Row],[CountryCode]],[1]!Table1[#All],1,FALSE)</f>
        <v>#REF!</v>
      </c>
    </row>
    <row r="9928" spans="1:12" hidden="1" x14ac:dyDescent="0.3">
      <c r="A9928" t="s">
        <v>93</v>
      </c>
      <c r="B9928" t="s">
        <v>94</v>
      </c>
      <c r="C9928" t="s">
        <v>129</v>
      </c>
      <c r="D9928" t="s">
        <v>130</v>
      </c>
      <c r="E9928">
        <v>1999</v>
      </c>
      <c r="F9928" s="1">
        <v>78</v>
      </c>
      <c r="G9928">
        <v>2000</v>
      </c>
      <c r="H9928">
        <f>AVERAGEIFS(Table1[value],Table1[IndicatorCode],Table1[[#This Row],[IndicatorCode]])</f>
        <v>72.66514008620689</v>
      </c>
      <c r="I9928" cm="1">
        <f t="array" ref="I9928">_xlfn.STDEV.P(IF(Table1[IndicatorCode]=Table1[[#This Row],[IndicatorCode]],Table1[value]))</f>
        <v>6.3409496564024987</v>
      </c>
      <c r="J9928">
        <f>(Table1[[#This Row],[value]] - Table1[[#This Row],[mean]]) / Table1[[#This Row],[std_dev]]</f>
        <v>0.84133453234508293</v>
      </c>
      <c r="K9928">
        <f>AVERAGEIF(Table1[CountryCode],Table1[[#This Row],[CountryCode]],Table1[z-score])</f>
        <v>0.64774457538517582</v>
      </c>
      <c r="L9928" t="e">
        <f>VLOOKUP(Table1[[#This Row],[CountryCode]],[1]!Table1[#All],1,FALSE)</f>
        <v>#REF!</v>
      </c>
    </row>
    <row r="9929" spans="1:12" hidden="1" x14ac:dyDescent="0.3">
      <c r="A9929" t="s">
        <v>93</v>
      </c>
      <c r="B9929" t="s">
        <v>94</v>
      </c>
      <c r="C9929" t="s">
        <v>129</v>
      </c>
      <c r="D9929" t="s">
        <v>130</v>
      </c>
      <c r="E9929">
        <v>2000</v>
      </c>
      <c r="F9929" s="1">
        <v>79</v>
      </c>
      <c r="G9929">
        <v>2000</v>
      </c>
      <c r="H9929">
        <f>AVERAGEIFS(Table1[value],Table1[IndicatorCode],Table1[[#This Row],[IndicatorCode]])</f>
        <v>72.66514008620689</v>
      </c>
      <c r="I9929" cm="1">
        <f t="array" ref="I9929">_xlfn.STDEV.P(IF(Table1[IndicatorCode]=Table1[[#This Row],[IndicatorCode]],Table1[value]))</f>
        <v>6.3409496564024987</v>
      </c>
      <c r="J9929">
        <f>(Table1[[#This Row],[value]] - Table1[[#This Row],[mean]]) / Table1[[#This Row],[std_dev]]</f>
        <v>0.99903961662852192</v>
      </c>
      <c r="K9929">
        <f>AVERAGEIF(Table1[CountryCode],Table1[[#This Row],[CountryCode]],Table1[z-score])</f>
        <v>0.64774457538517582</v>
      </c>
      <c r="L9929" t="e">
        <f>VLOOKUP(Table1[[#This Row],[CountryCode]],[1]!Table1[#All],1,FALSE)</f>
        <v>#REF!</v>
      </c>
    </row>
    <row r="9930" spans="1:12" hidden="1" x14ac:dyDescent="0.3">
      <c r="A9930" t="s">
        <v>93</v>
      </c>
      <c r="B9930" t="s">
        <v>94</v>
      </c>
      <c r="C9930" t="s">
        <v>129</v>
      </c>
      <c r="D9930" t="s">
        <v>130</v>
      </c>
      <c r="E9930">
        <v>2001</v>
      </c>
      <c r="F9930" s="1">
        <v>79</v>
      </c>
      <c r="G9930">
        <v>2000</v>
      </c>
      <c r="H9930">
        <f>AVERAGEIFS(Table1[value],Table1[IndicatorCode],Table1[[#This Row],[IndicatorCode]])</f>
        <v>72.66514008620689</v>
      </c>
      <c r="I9930" cm="1">
        <f t="array" ref="I9930">_xlfn.STDEV.P(IF(Table1[IndicatorCode]=Table1[[#This Row],[IndicatorCode]],Table1[value]))</f>
        <v>6.3409496564024987</v>
      </c>
      <c r="J9930">
        <f>(Table1[[#This Row],[value]] - Table1[[#This Row],[mean]]) / Table1[[#This Row],[std_dev]]</f>
        <v>0.99903961662852192</v>
      </c>
      <c r="K9930">
        <f>AVERAGEIF(Table1[CountryCode],Table1[[#This Row],[CountryCode]],Table1[z-score])</f>
        <v>0.64774457538517582</v>
      </c>
      <c r="L9930" t="e">
        <f>VLOOKUP(Table1[[#This Row],[CountryCode]],[1]!Table1[#All],1,FALSE)</f>
        <v>#REF!</v>
      </c>
    </row>
    <row r="9931" spans="1:12" hidden="1" x14ac:dyDescent="0.3">
      <c r="A9931" t="s">
        <v>93</v>
      </c>
      <c r="B9931" t="s">
        <v>94</v>
      </c>
      <c r="C9931" t="s">
        <v>129</v>
      </c>
      <c r="D9931" t="s">
        <v>130</v>
      </c>
      <c r="E9931">
        <v>2002</v>
      </c>
      <c r="F9931" s="1">
        <v>79</v>
      </c>
      <c r="G9931">
        <v>2000</v>
      </c>
      <c r="H9931">
        <f>AVERAGEIFS(Table1[value],Table1[IndicatorCode],Table1[[#This Row],[IndicatorCode]])</f>
        <v>72.66514008620689</v>
      </c>
      <c r="I9931" cm="1">
        <f t="array" ref="I9931">_xlfn.STDEV.P(IF(Table1[IndicatorCode]=Table1[[#This Row],[IndicatorCode]],Table1[value]))</f>
        <v>6.3409496564024987</v>
      </c>
      <c r="J9931">
        <f>(Table1[[#This Row],[value]] - Table1[[#This Row],[mean]]) / Table1[[#This Row],[std_dev]]</f>
        <v>0.99903961662852192</v>
      </c>
      <c r="K9931">
        <f>AVERAGEIF(Table1[CountryCode],Table1[[#This Row],[CountryCode]],Table1[z-score])</f>
        <v>0.64774457538517582</v>
      </c>
      <c r="L9931" t="e">
        <f>VLOOKUP(Table1[[#This Row],[CountryCode]],[1]!Table1[#All],1,FALSE)</f>
        <v>#REF!</v>
      </c>
    </row>
    <row r="9932" spans="1:12" hidden="1" x14ac:dyDescent="0.3">
      <c r="A9932" t="s">
        <v>93</v>
      </c>
      <c r="B9932" t="s">
        <v>94</v>
      </c>
      <c r="C9932" t="s">
        <v>129</v>
      </c>
      <c r="D9932" t="s">
        <v>130</v>
      </c>
      <c r="E9932">
        <v>2003</v>
      </c>
      <c r="F9932" s="1">
        <v>79</v>
      </c>
      <c r="G9932">
        <v>2000</v>
      </c>
      <c r="H9932">
        <f>AVERAGEIFS(Table1[value],Table1[IndicatorCode],Table1[[#This Row],[IndicatorCode]])</f>
        <v>72.66514008620689</v>
      </c>
      <c r="I9932" cm="1">
        <f t="array" ref="I9932">_xlfn.STDEV.P(IF(Table1[IndicatorCode]=Table1[[#This Row],[IndicatorCode]],Table1[value]))</f>
        <v>6.3409496564024987</v>
      </c>
      <c r="J9932">
        <f>(Table1[[#This Row],[value]] - Table1[[#This Row],[mean]]) / Table1[[#This Row],[std_dev]]</f>
        <v>0.99903961662852192</v>
      </c>
      <c r="K9932">
        <f>AVERAGEIF(Table1[CountryCode],Table1[[#This Row],[CountryCode]],Table1[z-score])</f>
        <v>0.64774457538517582</v>
      </c>
      <c r="L9932" t="e">
        <f>VLOOKUP(Table1[[#This Row],[CountryCode]],[1]!Table1[#All],1,FALSE)</f>
        <v>#REF!</v>
      </c>
    </row>
    <row r="9933" spans="1:12" hidden="1" x14ac:dyDescent="0.3">
      <c r="A9933" t="s">
        <v>93</v>
      </c>
      <c r="B9933" t="s">
        <v>94</v>
      </c>
      <c r="C9933" t="s">
        <v>129</v>
      </c>
      <c r="D9933" t="s">
        <v>130</v>
      </c>
      <c r="E9933">
        <v>2004</v>
      </c>
      <c r="F9933" s="1">
        <v>80</v>
      </c>
      <c r="G9933">
        <v>2000</v>
      </c>
      <c r="H9933">
        <f>AVERAGEIFS(Table1[value],Table1[IndicatorCode],Table1[[#This Row],[IndicatorCode]])</f>
        <v>72.66514008620689</v>
      </c>
      <c r="I9933" cm="1">
        <f t="array" ref="I9933">_xlfn.STDEV.P(IF(Table1[IndicatorCode]=Table1[[#This Row],[IndicatorCode]],Table1[value]))</f>
        <v>6.3409496564024987</v>
      </c>
      <c r="J9933">
        <f>(Table1[[#This Row],[value]] - Table1[[#This Row],[mean]]) / Table1[[#This Row],[std_dev]]</f>
        <v>1.1567447009119609</v>
      </c>
      <c r="K9933">
        <f>AVERAGEIF(Table1[CountryCode],Table1[[#This Row],[CountryCode]],Table1[z-score])</f>
        <v>0.64774457538517582</v>
      </c>
      <c r="L9933" t="e">
        <f>VLOOKUP(Table1[[#This Row],[CountryCode]],[1]!Table1[#All],1,FALSE)</f>
        <v>#REF!</v>
      </c>
    </row>
    <row r="9934" spans="1:12" hidden="1" x14ac:dyDescent="0.3">
      <c r="A9934" t="s">
        <v>93</v>
      </c>
      <c r="B9934" t="s">
        <v>94</v>
      </c>
      <c r="C9934" t="s">
        <v>129</v>
      </c>
      <c r="D9934" t="s">
        <v>130</v>
      </c>
      <c r="E9934">
        <v>2005</v>
      </c>
      <c r="F9934" s="1">
        <v>80</v>
      </c>
      <c r="G9934">
        <v>2000</v>
      </c>
      <c r="H9934">
        <f>AVERAGEIFS(Table1[value],Table1[IndicatorCode],Table1[[#This Row],[IndicatorCode]])</f>
        <v>72.66514008620689</v>
      </c>
      <c r="I9934" cm="1">
        <f t="array" ref="I9934">_xlfn.STDEV.P(IF(Table1[IndicatorCode]=Table1[[#This Row],[IndicatorCode]],Table1[value]))</f>
        <v>6.3409496564024987</v>
      </c>
      <c r="J9934">
        <f>(Table1[[#This Row],[value]] - Table1[[#This Row],[mean]]) / Table1[[#This Row],[std_dev]]</f>
        <v>1.1567447009119609</v>
      </c>
      <c r="K9934">
        <f>AVERAGEIF(Table1[CountryCode],Table1[[#This Row],[CountryCode]],Table1[z-score])</f>
        <v>0.64774457538517582</v>
      </c>
      <c r="L9934" t="e">
        <f>VLOOKUP(Table1[[#This Row],[CountryCode]],[1]!Table1[#All],1,FALSE)</f>
        <v>#REF!</v>
      </c>
    </row>
    <row r="9935" spans="1:12" hidden="1" x14ac:dyDescent="0.3">
      <c r="A9935" t="s">
        <v>93</v>
      </c>
      <c r="B9935" t="s">
        <v>94</v>
      </c>
      <c r="C9935" t="s">
        <v>129</v>
      </c>
      <c r="D9935" t="s">
        <v>130</v>
      </c>
      <c r="E9935">
        <v>2006</v>
      </c>
      <c r="F9935" s="1">
        <v>80</v>
      </c>
      <c r="G9935">
        <v>2000</v>
      </c>
      <c r="H9935">
        <f>AVERAGEIFS(Table1[value],Table1[IndicatorCode],Table1[[#This Row],[IndicatorCode]])</f>
        <v>72.66514008620689</v>
      </c>
      <c r="I9935" cm="1">
        <f t="array" ref="I9935">_xlfn.STDEV.P(IF(Table1[IndicatorCode]=Table1[[#This Row],[IndicatorCode]],Table1[value]))</f>
        <v>6.3409496564024987</v>
      </c>
      <c r="J9935">
        <f>(Table1[[#This Row],[value]] - Table1[[#This Row],[mean]]) / Table1[[#This Row],[std_dev]]</f>
        <v>1.1567447009119609</v>
      </c>
      <c r="K9935">
        <f>AVERAGEIF(Table1[CountryCode],Table1[[#This Row],[CountryCode]],Table1[z-score])</f>
        <v>0.64774457538517582</v>
      </c>
      <c r="L9935" t="e">
        <f>VLOOKUP(Table1[[#This Row],[CountryCode]],[1]!Table1[#All],1,FALSE)</f>
        <v>#REF!</v>
      </c>
    </row>
    <row r="9936" spans="1:12" hidden="1" x14ac:dyDescent="0.3">
      <c r="A9936" t="s">
        <v>93</v>
      </c>
      <c r="B9936" t="s">
        <v>94</v>
      </c>
      <c r="C9936" t="s">
        <v>129</v>
      </c>
      <c r="D9936" t="s">
        <v>130</v>
      </c>
      <c r="E9936">
        <v>2007</v>
      </c>
      <c r="F9936" s="1">
        <v>80</v>
      </c>
      <c r="G9936">
        <v>2010</v>
      </c>
      <c r="H9936">
        <f>AVERAGEIFS(Table1[value],Table1[IndicatorCode],Table1[[#This Row],[IndicatorCode]])</f>
        <v>72.66514008620689</v>
      </c>
      <c r="I9936" cm="1">
        <f t="array" ref="I9936">_xlfn.STDEV.P(IF(Table1[IndicatorCode]=Table1[[#This Row],[IndicatorCode]],Table1[value]))</f>
        <v>6.3409496564024987</v>
      </c>
      <c r="J9936">
        <f>(Table1[[#This Row],[value]] - Table1[[#This Row],[mean]]) / Table1[[#This Row],[std_dev]]</f>
        <v>1.1567447009119609</v>
      </c>
      <c r="K9936">
        <f>AVERAGEIF(Table1[CountryCode],Table1[[#This Row],[CountryCode]],Table1[z-score])</f>
        <v>0.64774457538517582</v>
      </c>
      <c r="L9936" t="e">
        <f>VLOOKUP(Table1[[#This Row],[CountryCode]],[1]!Table1[#All],1,FALSE)</f>
        <v>#REF!</v>
      </c>
    </row>
    <row r="9937" spans="1:12" hidden="1" x14ac:dyDescent="0.3">
      <c r="A9937" t="s">
        <v>93</v>
      </c>
      <c r="B9937" t="s">
        <v>94</v>
      </c>
      <c r="C9937" t="s">
        <v>129</v>
      </c>
      <c r="D9937" t="s">
        <v>130</v>
      </c>
      <c r="E9937">
        <v>2008</v>
      </c>
      <c r="F9937" s="1">
        <v>81</v>
      </c>
      <c r="G9937">
        <v>2010</v>
      </c>
      <c r="H9937">
        <f>AVERAGEIFS(Table1[value],Table1[IndicatorCode],Table1[[#This Row],[IndicatorCode]])</f>
        <v>72.66514008620689</v>
      </c>
      <c r="I9937" cm="1">
        <f t="array" ref="I9937">_xlfn.STDEV.P(IF(Table1[IndicatorCode]=Table1[[#This Row],[IndicatorCode]],Table1[value]))</f>
        <v>6.3409496564024987</v>
      </c>
      <c r="J9937">
        <f>(Table1[[#This Row],[value]] - Table1[[#This Row],[mean]]) / Table1[[#This Row],[std_dev]]</f>
        <v>1.3144497851954</v>
      </c>
      <c r="K9937">
        <f>AVERAGEIF(Table1[CountryCode],Table1[[#This Row],[CountryCode]],Table1[z-score])</f>
        <v>0.64774457538517582</v>
      </c>
      <c r="L9937" t="e">
        <f>VLOOKUP(Table1[[#This Row],[CountryCode]],[1]!Table1[#All],1,FALSE)</f>
        <v>#REF!</v>
      </c>
    </row>
    <row r="9938" spans="1:12" hidden="1" x14ac:dyDescent="0.3">
      <c r="A9938" t="s">
        <v>93</v>
      </c>
      <c r="B9938" t="s">
        <v>94</v>
      </c>
      <c r="C9938" t="s">
        <v>129</v>
      </c>
      <c r="D9938" t="s">
        <v>130</v>
      </c>
      <c r="E9938">
        <v>2009</v>
      </c>
      <c r="F9938" s="1">
        <v>81</v>
      </c>
      <c r="G9938">
        <v>2010</v>
      </c>
      <c r="H9938">
        <f>AVERAGEIFS(Table1[value],Table1[IndicatorCode],Table1[[#This Row],[IndicatorCode]])</f>
        <v>72.66514008620689</v>
      </c>
      <c r="I9938" cm="1">
        <f t="array" ref="I9938">_xlfn.STDEV.P(IF(Table1[IndicatorCode]=Table1[[#This Row],[IndicatorCode]],Table1[value]))</f>
        <v>6.3409496564024987</v>
      </c>
      <c r="J9938">
        <f>(Table1[[#This Row],[value]] - Table1[[#This Row],[mean]]) / Table1[[#This Row],[std_dev]]</f>
        <v>1.3144497851954</v>
      </c>
      <c r="K9938">
        <f>AVERAGEIF(Table1[CountryCode],Table1[[#This Row],[CountryCode]],Table1[z-score])</f>
        <v>0.64774457538517582</v>
      </c>
      <c r="L9938" t="e">
        <f>VLOOKUP(Table1[[#This Row],[CountryCode]],[1]!Table1[#All],1,FALSE)</f>
        <v>#REF!</v>
      </c>
    </row>
    <row r="9939" spans="1:12" hidden="1" x14ac:dyDescent="0.3">
      <c r="A9939" t="s">
        <v>93</v>
      </c>
      <c r="B9939" t="s">
        <v>94</v>
      </c>
      <c r="C9939" t="s">
        <v>129</v>
      </c>
      <c r="D9939" t="s">
        <v>130</v>
      </c>
      <c r="E9939">
        <v>2010</v>
      </c>
      <c r="F9939" s="1">
        <v>81</v>
      </c>
      <c r="G9939">
        <v>2010</v>
      </c>
      <c r="H9939">
        <f>AVERAGEIFS(Table1[value],Table1[IndicatorCode],Table1[[#This Row],[IndicatorCode]])</f>
        <v>72.66514008620689</v>
      </c>
      <c r="I9939" cm="1">
        <f t="array" ref="I9939">_xlfn.STDEV.P(IF(Table1[IndicatorCode]=Table1[[#This Row],[IndicatorCode]],Table1[value]))</f>
        <v>6.3409496564024987</v>
      </c>
      <c r="J9939">
        <f>(Table1[[#This Row],[value]] - Table1[[#This Row],[mean]]) / Table1[[#This Row],[std_dev]]</f>
        <v>1.3144497851954</v>
      </c>
      <c r="K9939">
        <f>AVERAGEIF(Table1[CountryCode],Table1[[#This Row],[CountryCode]],Table1[z-score])</f>
        <v>0.64774457538517582</v>
      </c>
      <c r="L9939" t="e">
        <f>VLOOKUP(Table1[[#This Row],[CountryCode]],[1]!Table1[#All],1,FALSE)</f>
        <v>#REF!</v>
      </c>
    </row>
    <row r="9940" spans="1:12" hidden="1" x14ac:dyDescent="0.3">
      <c r="A9940" t="s">
        <v>93</v>
      </c>
      <c r="B9940" t="s">
        <v>94</v>
      </c>
      <c r="C9940" t="s">
        <v>129</v>
      </c>
      <c r="D9940" t="s">
        <v>130</v>
      </c>
      <c r="E9940">
        <v>2011</v>
      </c>
      <c r="F9940" s="1">
        <v>81</v>
      </c>
      <c r="G9940">
        <v>2010</v>
      </c>
      <c r="H9940">
        <f>AVERAGEIFS(Table1[value],Table1[IndicatorCode],Table1[[#This Row],[IndicatorCode]])</f>
        <v>72.66514008620689</v>
      </c>
      <c r="I9940" cm="1">
        <f t="array" ref="I9940">_xlfn.STDEV.P(IF(Table1[IndicatorCode]=Table1[[#This Row],[IndicatorCode]],Table1[value]))</f>
        <v>6.3409496564024987</v>
      </c>
      <c r="J9940">
        <f>(Table1[[#This Row],[value]] - Table1[[#This Row],[mean]]) / Table1[[#This Row],[std_dev]]</f>
        <v>1.3144497851954</v>
      </c>
      <c r="K9940">
        <f>AVERAGEIF(Table1[CountryCode],Table1[[#This Row],[CountryCode]],Table1[z-score])</f>
        <v>0.64774457538517582</v>
      </c>
      <c r="L9940" t="e">
        <f>VLOOKUP(Table1[[#This Row],[CountryCode]],[1]!Table1[#All],1,FALSE)</f>
        <v>#REF!</v>
      </c>
    </row>
    <row r="9941" spans="1:12" hidden="1" x14ac:dyDescent="0.3">
      <c r="A9941" t="s">
        <v>93</v>
      </c>
      <c r="B9941" t="s">
        <v>94</v>
      </c>
      <c r="C9941" t="s">
        <v>129</v>
      </c>
      <c r="D9941" t="s">
        <v>130</v>
      </c>
      <c r="E9941">
        <v>2012</v>
      </c>
      <c r="F9941" s="1">
        <v>81</v>
      </c>
      <c r="G9941">
        <v>2010</v>
      </c>
      <c r="H9941">
        <f>AVERAGEIFS(Table1[value],Table1[IndicatorCode],Table1[[#This Row],[IndicatorCode]])</f>
        <v>72.66514008620689</v>
      </c>
      <c r="I9941" cm="1">
        <f t="array" ref="I9941">_xlfn.STDEV.P(IF(Table1[IndicatorCode]=Table1[[#This Row],[IndicatorCode]],Table1[value]))</f>
        <v>6.3409496564024987</v>
      </c>
      <c r="J9941">
        <f>(Table1[[#This Row],[value]] - Table1[[#This Row],[mean]]) / Table1[[#This Row],[std_dev]]</f>
        <v>1.3144497851954</v>
      </c>
      <c r="K9941">
        <f>AVERAGEIF(Table1[CountryCode],Table1[[#This Row],[CountryCode]],Table1[z-score])</f>
        <v>0.64774457538517582</v>
      </c>
      <c r="L9941" t="e">
        <f>VLOOKUP(Table1[[#This Row],[CountryCode]],[1]!Table1[#All],1,FALSE)</f>
        <v>#REF!</v>
      </c>
    </row>
    <row r="9942" spans="1:12" hidden="1" x14ac:dyDescent="0.3">
      <c r="A9942" t="s">
        <v>93</v>
      </c>
      <c r="B9942" t="s">
        <v>94</v>
      </c>
      <c r="C9942" t="s">
        <v>129</v>
      </c>
      <c r="D9942" t="s">
        <v>130</v>
      </c>
      <c r="E9942">
        <v>2013</v>
      </c>
      <c r="F9942" s="1">
        <v>82</v>
      </c>
      <c r="G9942">
        <v>2010</v>
      </c>
      <c r="H9942">
        <f>AVERAGEIFS(Table1[value],Table1[IndicatorCode],Table1[[#This Row],[IndicatorCode]])</f>
        <v>72.66514008620689</v>
      </c>
      <c r="I9942" cm="1">
        <f t="array" ref="I9942">_xlfn.STDEV.P(IF(Table1[IndicatorCode]=Table1[[#This Row],[IndicatorCode]],Table1[value]))</f>
        <v>6.3409496564024987</v>
      </c>
      <c r="J9942">
        <f>(Table1[[#This Row],[value]] - Table1[[#This Row],[mean]]) / Table1[[#This Row],[std_dev]]</f>
        <v>1.4721548694788391</v>
      </c>
      <c r="K9942">
        <f>AVERAGEIF(Table1[CountryCode],Table1[[#This Row],[CountryCode]],Table1[z-score])</f>
        <v>0.64774457538517582</v>
      </c>
      <c r="L9942" t="e">
        <f>VLOOKUP(Table1[[#This Row],[CountryCode]],[1]!Table1[#All],1,FALSE)</f>
        <v>#REF!</v>
      </c>
    </row>
    <row r="9943" spans="1:12" hidden="1" x14ac:dyDescent="0.3">
      <c r="A9943" t="s">
        <v>93</v>
      </c>
      <c r="B9943" t="s">
        <v>94</v>
      </c>
      <c r="C9943" t="s">
        <v>129</v>
      </c>
      <c r="D9943" t="s">
        <v>130</v>
      </c>
      <c r="E9943">
        <v>2014</v>
      </c>
      <c r="F9943" s="1">
        <v>82</v>
      </c>
      <c r="G9943">
        <v>2010</v>
      </c>
      <c r="H9943">
        <f>AVERAGEIFS(Table1[value],Table1[IndicatorCode],Table1[[#This Row],[IndicatorCode]])</f>
        <v>72.66514008620689</v>
      </c>
      <c r="I9943" cm="1">
        <f t="array" ref="I9943">_xlfn.STDEV.P(IF(Table1[IndicatorCode]=Table1[[#This Row],[IndicatorCode]],Table1[value]))</f>
        <v>6.3409496564024987</v>
      </c>
      <c r="J9943">
        <f>(Table1[[#This Row],[value]] - Table1[[#This Row],[mean]]) / Table1[[#This Row],[std_dev]]</f>
        <v>1.4721548694788391</v>
      </c>
      <c r="K9943">
        <f>AVERAGEIF(Table1[CountryCode],Table1[[#This Row],[CountryCode]],Table1[z-score])</f>
        <v>0.64774457538517582</v>
      </c>
      <c r="L9943" t="e">
        <f>VLOOKUP(Table1[[#This Row],[CountryCode]],[1]!Table1[#All],1,FALSE)</f>
        <v>#REF!</v>
      </c>
    </row>
    <row r="9944" spans="1:12" hidden="1" x14ac:dyDescent="0.3">
      <c r="A9944" t="s">
        <v>93</v>
      </c>
      <c r="B9944" t="s">
        <v>94</v>
      </c>
      <c r="C9944" t="s">
        <v>129</v>
      </c>
      <c r="D9944" t="s">
        <v>130</v>
      </c>
      <c r="E9944">
        <v>2015</v>
      </c>
      <c r="F9944" s="1">
        <v>82</v>
      </c>
      <c r="G9944">
        <v>2010</v>
      </c>
      <c r="H9944">
        <f>AVERAGEIFS(Table1[value],Table1[IndicatorCode],Table1[[#This Row],[IndicatorCode]])</f>
        <v>72.66514008620689</v>
      </c>
      <c r="I9944" cm="1">
        <f t="array" ref="I9944">_xlfn.STDEV.P(IF(Table1[IndicatorCode]=Table1[[#This Row],[IndicatorCode]],Table1[value]))</f>
        <v>6.3409496564024987</v>
      </c>
      <c r="J9944">
        <f>(Table1[[#This Row],[value]] - Table1[[#This Row],[mean]]) / Table1[[#This Row],[std_dev]]</f>
        <v>1.4721548694788391</v>
      </c>
      <c r="K9944">
        <f>AVERAGEIF(Table1[CountryCode],Table1[[#This Row],[CountryCode]],Table1[z-score])</f>
        <v>0.64774457538517582</v>
      </c>
      <c r="L9944" t="e">
        <f>VLOOKUP(Table1[[#This Row],[CountryCode]],[1]!Table1[#All],1,FALSE)</f>
        <v>#REF!</v>
      </c>
    </row>
    <row r="9945" spans="1:12" hidden="1" x14ac:dyDescent="0.3">
      <c r="A9945" t="s">
        <v>93</v>
      </c>
      <c r="B9945" t="s">
        <v>94</v>
      </c>
      <c r="C9945" t="s">
        <v>129</v>
      </c>
      <c r="D9945" t="s">
        <v>130</v>
      </c>
      <c r="E9945">
        <v>2016</v>
      </c>
      <c r="F9945" s="1">
        <v>82</v>
      </c>
      <c r="G9945">
        <v>2010</v>
      </c>
      <c r="H9945">
        <f>AVERAGEIFS(Table1[value],Table1[IndicatorCode],Table1[[#This Row],[IndicatorCode]])</f>
        <v>72.66514008620689</v>
      </c>
      <c r="I9945" cm="1">
        <f t="array" ref="I9945">_xlfn.STDEV.P(IF(Table1[IndicatorCode]=Table1[[#This Row],[IndicatorCode]],Table1[value]))</f>
        <v>6.3409496564024987</v>
      </c>
      <c r="J9945">
        <f>(Table1[[#This Row],[value]] - Table1[[#This Row],[mean]]) / Table1[[#This Row],[std_dev]]</f>
        <v>1.4721548694788391</v>
      </c>
      <c r="K9945">
        <f>AVERAGEIF(Table1[CountryCode],Table1[[#This Row],[CountryCode]],Table1[z-score])</f>
        <v>0.64774457538517582</v>
      </c>
      <c r="L9945" t="e">
        <f>VLOOKUP(Table1[[#This Row],[CountryCode]],[1]!Table1[#All],1,FALSE)</f>
        <v>#REF!</v>
      </c>
    </row>
    <row r="9946" spans="1:12" hidden="1" x14ac:dyDescent="0.3">
      <c r="A9946" t="s">
        <v>93</v>
      </c>
      <c r="B9946" t="s">
        <v>94</v>
      </c>
      <c r="C9946" t="s">
        <v>129</v>
      </c>
      <c r="D9946" t="s">
        <v>130</v>
      </c>
      <c r="E9946">
        <v>2017</v>
      </c>
      <c r="F9946" s="1">
        <v>83</v>
      </c>
      <c r="G9946">
        <v>2020</v>
      </c>
      <c r="H9946">
        <f>AVERAGEIFS(Table1[value],Table1[IndicatorCode],Table1[[#This Row],[IndicatorCode]])</f>
        <v>72.66514008620689</v>
      </c>
      <c r="I9946" cm="1">
        <f t="array" ref="I9946">_xlfn.STDEV.P(IF(Table1[IndicatorCode]=Table1[[#This Row],[IndicatorCode]],Table1[value]))</f>
        <v>6.3409496564024987</v>
      </c>
      <c r="J9946">
        <f>(Table1[[#This Row],[value]] - Table1[[#This Row],[mean]]) / Table1[[#This Row],[std_dev]]</f>
        <v>1.6298599537622782</v>
      </c>
      <c r="K9946">
        <f>AVERAGEIF(Table1[CountryCode],Table1[[#This Row],[CountryCode]],Table1[z-score])</f>
        <v>0.64774457538517582</v>
      </c>
      <c r="L9946" t="e">
        <f>VLOOKUP(Table1[[#This Row],[CountryCode]],[1]!Table1[#All],1,FALSE)</f>
        <v>#REF!</v>
      </c>
    </row>
    <row r="9947" spans="1:12" hidden="1" x14ac:dyDescent="0.3">
      <c r="A9947" t="s">
        <v>93</v>
      </c>
      <c r="B9947" t="s">
        <v>94</v>
      </c>
      <c r="C9947" t="s">
        <v>129</v>
      </c>
      <c r="D9947" t="s">
        <v>130</v>
      </c>
      <c r="E9947">
        <v>2018</v>
      </c>
      <c r="F9947" s="1">
        <v>83</v>
      </c>
      <c r="G9947">
        <v>2020</v>
      </c>
      <c r="H9947">
        <f>AVERAGEIFS(Table1[value],Table1[IndicatorCode],Table1[[#This Row],[IndicatorCode]])</f>
        <v>72.66514008620689</v>
      </c>
      <c r="I9947" cm="1">
        <f t="array" ref="I9947">_xlfn.STDEV.P(IF(Table1[IndicatorCode]=Table1[[#This Row],[IndicatorCode]],Table1[value]))</f>
        <v>6.3409496564024987</v>
      </c>
      <c r="J9947">
        <f>(Table1[[#This Row],[value]] - Table1[[#This Row],[mean]]) / Table1[[#This Row],[std_dev]]</f>
        <v>1.6298599537622782</v>
      </c>
      <c r="K9947">
        <f>AVERAGEIF(Table1[CountryCode],Table1[[#This Row],[CountryCode]],Table1[z-score])</f>
        <v>0.64774457538517582</v>
      </c>
      <c r="L9947" t="e">
        <f>VLOOKUP(Table1[[#This Row],[CountryCode]],[1]!Table1[#All],1,FALSE)</f>
        <v>#REF!</v>
      </c>
    </row>
    <row r="9948" spans="1:12" hidden="1" x14ac:dyDescent="0.3">
      <c r="A9948" t="s">
        <v>93</v>
      </c>
      <c r="B9948" t="s">
        <v>94</v>
      </c>
      <c r="C9948" t="s">
        <v>129</v>
      </c>
      <c r="D9948" t="s">
        <v>130</v>
      </c>
      <c r="E9948">
        <v>2019</v>
      </c>
      <c r="F9948" s="1">
        <v>83</v>
      </c>
      <c r="G9948">
        <v>2020</v>
      </c>
      <c r="H9948">
        <f>AVERAGEIFS(Table1[value],Table1[IndicatorCode],Table1[[#This Row],[IndicatorCode]])</f>
        <v>72.66514008620689</v>
      </c>
      <c r="I9948" cm="1">
        <f t="array" ref="I9948">_xlfn.STDEV.P(IF(Table1[IndicatorCode]=Table1[[#This Row],[IndicatorCode]],Table1[value]))</f>
        <v>6.3409496564024987</v>
      </c>
      <c r="J9948">
        <f>(Table1[[#This Row],[value]] - Table1[[#This Row],[mean]]) / Table1[[#This Row],[std_dev]]</f>
        <v>1.6298599537622782</v>
      </c>
      <c r="K9948">
        <f>AVERAGEIF(Table1[CountryCode],Table1[[#This Row],[CountryCode]],Table1[z-score])</f>
        <v>0.64774457538517582</v>
      </c>
      <c r="L9948" t="e">
        <f>VLOOKUP(Table1[[#This Row],[CountryCode]],[1]!Table1[#All],1,FALSE)</f>
        <v>#REF!</v>
      </c>
    </row>
    <row r="9949" spans="1:12" x14ac:dyDescent="0.3">
      <c r="A9949" t="s">
        <v>93</v>
      </c>
      <c r="B9949" t="s">
        <v>94</v>
      </c>
      <c r="C9949" t="s">
        <v>129</v>
      </c>
      <c r="D9949" t="s">
        <v>130</v>
      </c>
      <c r="E9949">
        <v>2020</v>
      </c>
      <c r="F9949" s="1">
        <v>83</v>
      </c>
      <c r="G9949">
        <v>2020</v>
      </c>
      <c r="H9949">
        <f>AVERAGEIFS(Table1[value],Table1[IndicatorCode],Table1[[#This Row],[IndicatorCode]])</f>
        <v>72.66514008620689</v>
      </c>
      <c r="I9949" cm="1">
        <f t="array" ref="I9949">_xlfn.STDEV.P(IF(Table1[IndicatorCode]=Table1[[#This Row],[IndicatorCode]],Table1[value]))</f>
        <v>6.3409496564024987</v>
      </c>
      <c r="J9949">
        <f>(Table1[[#This Row],[value]] - Table1[[#This Row],[mean]]) / Table1[[#This Row],[std_dev]]</f>
        <v>1.6298599537622782</v>
      </c>
      <c r="K9949">
        <f>AVERAGEIF(Table1[CountryCode],Table1[[#This Row],[CountryCode]],Table1[z-score])</f>
        <v>0.64774457538517582</v>
      </c>
    </row>
    <row r="9950" spans="1:12" hidden="1" x14ac:dyDescent="0.3">
      <c r="A9950" t="s">
        <v>93</v>
      </c>
      <c r="B9950" t="s">
        <v>94</v>
      </c>
      <c r="C9950" t="s">
        <v>129</v>
      </c>
      <c r="D9950" t="s">
        <v>130</v>
      </c>
      <c r="E9950">
        <v>2021</v>
      </c>
      <c r="F9950" s="1">
        <v>83</v>
      </c>
      <c r="G9950">
        <v>1960</v>
      </c>
      <c r="H9950">
        <f>AVERAGEIFS(Table1[value],Table1[IndicatorCode],Table1[[#This Row],[IndicatorCode]])</f>
        <v>72.66514008620689</v>
      </c>
      <c r="I9950" cm="1">
        <f t="array" ref="I9950">_xlfn.STDEV.P(IF(Table1[IndicatorCode]=Table1[[#This Row],[IndicatorCode]],Table1[value]))</f>
        <v>6.3409496564024987</v>
      </c>
      <c r="J9950">
        <f>(Table1[[#This Row],[value]] - Table1[[#This Row],[mean]]) / Table1[[#This Row],[std_dev]]</f>
        <v>1.6298599537622782</v>
      </c>
      <c r="K9950">
        <f>AVERAGEIF(Table1[CountryCode],Table1[[#This Row],[CountryCode]],Table1[z-score])</f>
        <v>0.64774457538517582</v>
      </c>
      <c r="L9950" t="e">
        <f>VLOOKUP(Table1[[#This Row],[CountryCode]],[1]!Table1[#All],1,FALSE)</f>
        <v>#REF!</v>
      </c>
    </row>
    <row r="9951" spans="1:12" hidden="1" x14ac:dyDescent="0.3">
      <c r="A9951" t="s">
        <v>93</v>
      </c>
      <c r="B9951" t="s">
        <v>94</v>
      </c>
      <c r="C9951" t="s">
        <v>129</v>
      </c>
      <c r="D9951" t="s">
        <v>130</v>
      </c>
      <c r="E9951">
        <v>2022</v>
      </c>
      <c r="F9951" s="1">
        <v>83</v>
      </c>
      <c r="G9951">
        <v>1960</v>
      </c>
      <c r="H9951">
        <f>AVERAGEIFS(Table1[value],Table1[IndicatorCode],Table1[[#This Row],[IndicatorCode]])</f>
        <v>72.66514008620689</v>
      </c>
      <c r="I9951" cm="1">
        <f t="array" ref="I9951">_xlfn.STDEV.P(IF(Table1[IndicatorCode]=Table1[[#This Row],[IndicatorCode]],Table1[value]))</f>
        <v>6.3409496564024987</v>
      </c>
      <c r="J9951">
        <f>(Table1[[#This Row],[value]] - Table1[[#This Row],[mean]]) / Table1[[#This Row],[std_dev]]</f>
        <v>1.6298599537622782</v>
      </c>
      <c r="K9951">
        <f>AVERAGEIF(Table1[CountryCode],Table1[[#This Row],[CountryCode]],Table1[z-score])</f>
        <v>0.64774457538517582</v>
      </c>
      <c r="L9951" t="e">
        <f>VLOOKUP(Table1[[#This Row],[CountryCode]],[1]!Table1[#All],1,FALSE)</f>
        <v>#REF!</v>
      </c>
    </row>
    <row r="9952" spans="1:12" hidden="1" x14ac:dyDescent="0.3">
      <c r="A9952" t="s">
        <v>93</v>
      </c>
      <c r="B9952" t="s">
        <v>94</v>
      </c>
      <c r="C9952" t="s">
        <v>129</v>
      </c>
      <c r="D9952" t="s">
        <v>130</v>
      </c>
      <c r="E9952">
        <v>2023</v>
      </c>
      <c r="F9952" s="1">
        <v>83</v>
      </c>
      <c r="G9952">
        <v>1960</v>
      </c>
      <c r="H9952">
        <f>AVERAGEIFS(Table1[value],Table1[IndicatorCode],Table1[[#This Row],[IndicatorCode]])</f>
        <v>72.66514008620689</v>
      </c>
      <c r="I9952" cm="1">
        <f t="array" ref="I9952">_xlfn.STDEV.P(IF(Table1[IndicatorCode]=Table1[[#This Row],[IndicatorCode]],Table1[value]))</f>
        <v>6.3409496564024987</v>
      </c>
      <c r="J9952">
        <f>(Table1[[#This Row],[value]] - Table1[[#This Row],[mean]]) / Table1[[#This Row],[std_dev]]</f>
        <v>1.6298599537622782</v>
      </c>
      <c r="K9952">
        <f>AVERAGEIF(Table1[CountryCode],Table1[[#This Row],[CountryCode]],Table1[z-score])</f>
        <v>0.64774457538517582</v>
      </c>
      <c r="L9952" t="e">
        <f>VLOOKUP(Table1[[#This Row],[CountryCode]],[1]!Table1[#All],1,FALSE)</f>
        <v>#REF!</v>
      </c>
    </row>
    <row r="9953" spans="1:12" hidden="1" x14ac:dyDescent="0.3">
      <c r="A9953" t="s">
        <v>95</v>
      </c>
      <c r="B9953" t="s">
        <v>96</v>
      </c>
      <c r="C9953" t="s">
        <v>129</v>
      </c>
      <c r="D9953" t="s">
        <v>130</v>
      </c>
      <c r="E9953">
        <v>1960</v>
      </c>
      <c r="F9953" s="1">
        <v>68</v>
      </c>
      <c r="G9953">
        <v>1960</v>
      </c>
      <c r="H9953">
        <f>AVERAGEIFS(Table1[value],Table1[IndicatorCode],Table1[[#This Row],[IndicatorCode]])</f>
        <v>72.66514008620689</v>
      </c>
      <c r="I9953" cm="1">
        <f t="array" ref="I9953">_xlfn.STDEV.P(IF(Table1[IndicatorCode]=Table1[[#This Row],[IndicatorCode]],Table1[value]))</f>
        <v>6.3409496564024987</v>
      </c>
      <c r="J9953">
        <f>(Table1[[#This Row],[value]] - Table1[[#This Row],[mean]]) / Table1[[#This Row],[std_dev]]</f>
        <v>-0.73571631048930775</v>
      </c>
      <c r="K9953">
        <f>AVERAGEIF(Table1[CountryCode],Table1[[#This Row],[CountryCode]],Table1[z-score])</f>
        <v>4.9319686102583721E-2</v>
      </c>
      <c r="L9953" t="e">
        <f>VLOOKUP(Table1[[#This Row],[CountryCode]],[1]!Table1[#All],1,FALSE)</f>
        <v>#REF!</v>
      </c>
    </row>
    <row r="9954" spans="1:12" hidden="1" x14ac:dyDescent="0.3">
      <c r="A9954" t="s">
        <v>95</v>
      </c>
      <c r="B9954" t="s">
        <v>96</v>
      </c>
      <c r="C9954" t="s">
        <v>129</v>
      </c>
      <c r="D9954" t="s">
        <v>130</v>
      </c>
      <c r="E9954">
        <v>1961</v>
      </c>
      <c r="F9954" s="1">
        <v>68</v>
      </c>
      <c r="G9954">
        <v>1960</v>
      </c>
      <c r="H9954">
        <f>AVERAGEIFS(Table1[value],Table1[IndicatorCode],Table1[[#This Row],[IndicatorCode]])</f>
        <v>72.66514008620689</v>
      </c>
      <c r="I9954" cm="1">
        <f t="array" ref="I9954">_xlfn.STDEV.P(IF(Table1[IndicatorCode]=Table1[[#This Row],[IndicatorCode]],Table1[value]))</f>
        <v>6.3409496564024987</v>
      </c>
      <c r="J9954">
        <f>(Table1[[#This Row],[value]] - Table1[[#This Row],[mean]]) / Table1[[#This Row],[std_dev]]</f>
        <v>-0.73571631048930775</v>
      </c>
      <c r="K9954">
        <f>AVERAGEIF(Table1[CountryCode],Table1[[#This Row],[CountryCode]],Table1[z-score])</f>
        <v>4.9319686102583721E-2</v>
      </c>
      <c r="L9954" t="e">
        <f>VLOOKUP(Table1[[#This Row],[CountryCode]],[1]!Table1[#All],1,FALSE)</f>
        <v>#REF!</v>
      </c>
    </row>
    <row r="9955" spans="1:12" hidden="1" x14ac:dyDescent="0.3">
      <c r="A9955" t="s">
        <v>95</v>
      </c>
      <c r="B9955" t="s">
        <v>96</v>
      </c>
      <c r="C9955" t="s">
        <v>129</v>
      </c>
      <c r="D9955" t="s">
        <v>130</v>
      </c>
      <c r="E9955">
        <v>1962</v>
      </c>
      <c r="F9955" s="1">
        <v>67</v>
      </c>
      <c r="G9955">
        <v>1960</v>
      </c>
      <c r="H9955">
        <f>AVERAGEIFS(Table1[value],Table1[IndicatorCode],Table1[[#This Row],[IndicatorCode]])</f>
        <v>72.66514008620689</v>
      </c>
      <c r="I9955" cm="1">
        <f t="array" ref="I9955">_xlfn.STDEV.P(IF(Table1[IndicatorCode]=Table1[[#This Row],[IndicatorCode]],Table1[value]))</f>
        <v>6.3409496564024987</v>
      </c>
      <c r="J9955">
        <f>(Table1[[#This Row],[value]] - Table1[[#This Row],[mean]]) / Table1[[#This Row],[std_dev]]</f>
        <v>-0.89342139477274674</v>
      </c>
      <c r="K9955">
        <f>AVERAGEIF(Table1[CountryCode],Table1[[#This Row],[CountryCode]],Table1[z-score])</f>
        <v>4.9319686102583721E-2</v>
      </c>
      <c r="L9955" t="e">
        <f>VLOOKUP(Table1[[#This Row],[CountryCode]],[1]!Table1[#All],1,FALSE)</f>
        <v>#REF!</v>
      </c>
    </row>
    <row r="9956" spans="1:12" hidden="1" x14ac:dyDescent="0.3">
      <c r="A9956" t="s">
        <v>95</v>
      </c>
      <c r="B9956" t="s">
        <v>96</v>
      </c>
      <c r="C9956" t="s">
        <v>129</v>
      </c>
      <c r="D9956" t="s">
        <v>130</v>
      </c>
      <c r="E9956">
        <v>1963</v>
      </c>
      <c r="F9956" s="1">
        <v>68</v>
      </c>
      <c r="G9956">
        <v>1960</v>
      </c>
      <c r="H9956">
        <f>AVERAGEIFS(Table1[value],Table1[IndicatorCode],Table1[[#This Row],[IndicatorCode]])</f>
        <v>72.66514008620689</v>
      </c>
      <c r="I9956" cm="1">
        <f t="array" ref="I9956">_xlfn.STDEV.P(IF(Table1[IndicatorCode]=Table1[[#This Row],[IndicatorCode]],Table1[value]))</f>
        <v>6.3409496564024987</v>
      </c>
      <c r="J9956">
        <f>(Table1[[#This Row],[value]] - Table1[[#This Row],[mean]]) / Table1[[#This Row],[std_dev]]</f>
        <v>-0.73571631048930775</v>
      </c>
      <c r="K9956">
        <f>AVERAGEIF(Table1[CountryCode],Table1[[#This Row],[CountryCode]],Table1[z-score])</f>
        <v>4.9319686102583721E-2</v>
      </c>
      <c r="L9956" t="e">
        <f>VLOOKUP(Table1[[#This Row],[CountryCode]],[1]!Table1[#All],1,FALSE)</f>
        <v>#REF!</v>
      </c>
    </row>
    <row r="9957" spans="1:12" hidden="1" x14ac:dyDescent="0.3">
      <c r="A9957" t="s">
        <v>95</v>
      </c>
      <c r="B9957" t="s">
        <v>96</v>
      </c>
      <c r="C9957" t="s">
        <v>129</v>
      </c>
      <c r="D9957" t="s">
        <v>130</v>
      </c>
      <c r="E9957">
        <v>1964</v>
      </c>
      <c r="F9957" s="1">
        <v>69</v>
      </c>
      <c r="G9957">
        <v>1960</v>
      </c>
      <c r="H9957">
        <f>AVERAGEIFS(Table1[value],Table1[IndicatorCode],Table1[[#This Row],[IndicatorCode]])</f>
        <v>72.66514008620689</v>
      </c>
      <c r="I9957" cm="1">
        <f t="array" ref="I9957">_xlfn.STDEV.P(IF(Table1[IndicatorCode]=Table1[[#This Row],[IndicatorCode]],Table1[value]))</f>
        <v>6.3409496564024987</v>
      </c>
      <c r="J9957">
        <f>(Table1[[#This Row],[value]] - Table1[[#This Row],[mean]]) / Table1[[#This Row],[std_dev]]</f>
        <v>-0.57801122620586864</v>
      </c>
      <c r="K9957">
        <f>AVERAGEIF(Table1[CountryCode],Table1[[#This Row],[CountryCode]],Table1[z-score])</f>
        <v>4.9319686102583721E-2</v>
      </c>
      <c r="L9957" t="e">
        <f>VLOOKUP(Table1[[#This Row],[CountryCode]],[1]!Table1[#All],1,FALSE)</f>
        <v>#REF!</v>
      </c>
    </row>
    <row r="9958" spans="1:12" hidden="1" x14ac:dyDescent="0.3">
      <c r="A9958" t="s">
        <v>95</v>
      </c>
      <c r="B9958" t="s">
        <v>96</v>
      </c>
      <c r="C9958" t="s">
        <v>129</v>
      </c>
      <c r="D9958" t="s">
        <v>130</v>
      </c>
      <c r="E9958">
        <v>1965</v>
      </c>
      <c r="F9958" s="1">
        <v>69</v>
      </c>
      <c r="G9958">
        <v>1960</v>
      </c>
      <c r="H9958">
        <f>AVERAGEIFS(Table1[value],Table1[IndicatorCode],Table1[[#This Row],[IndicatorCode]])</f>
        <v>72.66514008620689</v>
      </c>
      <c r="I9958" cm="1">
        <f t="array" ref="I9958">_xlfn.STDEV.P(IF(Table1[IndicatorCode]=Table1[[#This Row],[IndicatorCode]],Table1[value]))</f>
        <v>6.3409496564024987</v>
      </c>
      <c r="J9958">
        <f>(Table1[[#This Row],[value]] - Table1[[#This Row],[mean]]) / Table1[[#This Row],[std_dev]]</f>
        <v>-0.57801122620586864</v>
      </c>
      <c r="K9958">
        <f>AVERAGEIF(Table1[CountryCode],Table1[[#This Row],[CountryCode]],Table1[z-score])</f>
        <v>4.9319686102583721E-2</v>
      </c>
      <c r="L9958" t="e">
        <f>VLOOKUP(Table1[[#This Row],[CountryCode]],[1]!Table1[#All],1,FALSE)</f>
        <v>#REF!</v>
      </c>
    </row>
    <row r="9959" spans="1:12" hidden="1" x14ac:dyDescent="0.3">
      <c r="A9959" t="s">
        <v>95</v>
      </c>
      <c r="B9959" t="s">
        <v>96</v>
      </c>
      <c r="C9959" t="s">
        <v>129</v>
      </c>
      <c r="D9959" t="s">
        <v>130</v>
      </c>
      <c r="E9959">
        <v>1966</v>
      </c>
      <c r="F9959" s="1">
        <v>70</v>
      </c>
      <c r="G9959">
        <v>1960</v>
      </c>
      <c r="H9959">
        <f>AVERAGEIFS(Table1[value],Table1[IndicatorCode],Table1[[#This Row],[IndicatorCode]])</f>
        <v>72.66514008620689</v>
      </c>
      <c r="I9959" cm="1">
        <f t="array" ref="I9959">_xlfn.STDEV.P(IF(Table1[IndicatorCode]=Table1[[#This Row],[IndicatorCode]],Table1[value]))</f>
        <v>6.3409496564024987</v>
      </c>
      <c r="J9959">
        <f>(Table1[[#This Row],[value]] - Table1[[#This Row],[mean]]) / Table1[[#This Row],[std_dev]]</f>
        <v>-0.4203061419224296</v>
      </c>
      <c r="K9959">
        <f>AVERAGEIF(Table1[CountryCode],Table1[[#This Row],[CountryCode]],Table1[z-score])</f>
        <v>4.9319686102583721E-2</v>
      </c>
      <c r="L9959" t="e">
        <f>VLOOKUP(Table1[[#This Row],[CountryCode]],[1]!Table1[#All],1,FALSE)</f>
        <v>#REF!</v>
      </c>
    </row>
    <row r="9960" spans="1:12" hidden="1" x14ac:dyDescent="0.3">
      <c r="A9960" t="s">
        <v>95</v>
      </c>
      <c r="B9960" t="s">
        <v>96</v>
      </c>
      <c r="C9960" t="s">
        <v>129</v>
      </c>
      <c r="D9960" t="s">
        <v>130</v>
      </c>
      <c r="E9960">
        <v>1967</v>
      </c>
      <c r="F9960" s="1">
        <v>69</v>
      </c>
      <c r="G9960">
        <v>1970</v>
      </c>
      <c r="H9960">
        <f>AVERAGEIFS(Table1[value],Table1[IndicatorCode],Table1[[#This Row],[IndicatorCode]])</f>
        <v>72.66514008620689</v>
      </c>
      <c r="I9960" cm="1">
        <f t="array" ref="I9960">_xlfn.STDEV.P(IF(Table1[IndicatorCode]=Table1[[#This Row],[IndicatorCode]],Table1[value]))</f>
        <v>6.3409496564024987</v>
      </c>
      <c r="J9960">
        <f>(Table1[[#This Row],[value]] - Table1[[#This Row],[mean]]) / Table1[[#This Row],[std_dev]]</f>
        <v>-0.57801122620586864</v>
      </c>
      <c r="K9960">
        <f>AVERAGEIF(Table1[CountryCode],Table1[[#This Row],[CountryCode]],Table1[z-score])</f>
        <v>4.9319686102583721E-2</v>
      </c>
      <c r="L9960" t="e">
        <f>VLOOKUP(Table1[[#This Row],[CountryCode]],[1]!Table1[#All],1,FALSE)</f>
        <v>#REF!</v>
      </c>
    </row>
    <row r="9961" spans="1:12" hidden="1" x14ac:dyDescent="0.3">
      <c r="A9961" t="s">
        <v>95</v>
      </c>
      <c r="B9961" t="s">
        <v>96</v>
      </c>
      <c r="C9961" t="s">
        <v>129</v>
      </c>
      <c r="D9961" t="s">
        <v>130</v>
      </c>
      <c r="E9961">
        <v>1968</v>
      </c>
      <c r="F9961" s="1">
        <v>70</v>
      </c>
      <c r="G9961">
        <v>1970</v>
      </c>
      <c r="H9961">
        <f>AVERAGEIFS(Table1[value],Table1[IndicatorCode],Table1[[#This Row],[IndicatorCode]])</f>
        <v>72.66514008620689</v>
      </c>
      <c r="I9961" cm="1">
        <f t="array" ref="I9961">_xlfn.STDEV.P(IF(Table1[IndicatorCode]=Table1[[#This Row],[IndicatorCode]],Table1[value]))</f>
        <v>6.3409496564024987</v>
      </c>
      <c r="J9961">
        <f>(Table1[[#This Row],[value]] - Table1[[#This Row],[mean]]) / Table1[[#This Row],[std_dev]]</f>
        <v>-0.4203061419224296</v>
      </c>
      <c r="K9961">
        <f>AVERAGEIF(Table1[CountryCode],Table1[[#This Row],[CountryCode]],Table1[z-score])</f>
        <v>4.9319686102583721E-2</v>
      </c>
      <c r="L9961" t="e">
        <f>VLOOKUP(Table1[[#This Row],[CountryCode]],[1]!Table1[#All],1,FALSE)</f>
        <v>#REF!</v>
      </c>
    </row>
    <row r="9962" spans="1:12" hidden="1" x14ac:dyDescent="0.3">
      <c r="A9962" t="s">
        <v>95</v>
      </c>
      <c r="B9962" t="s">
        <v>96</v>
      </c>
      <c r="C9962" t="s">
        <v>129</v>
      </c>
      <c r="D9962" t="s">
        <v>130</v>
      </c>
      <c r="E9962">
        <v>1969</v>
      </c>
      <c r="F9962" s="1">
        <v>70</v>
      </c>
      <c r="G9962">
        <v>1970</v>
      </c>
      <c r="H9962">
        <f>AVERAGEIFS(Table1[value],Table1[IndicatorCode],Table1[[#This Row],[IndicatorCode]])</f>
        <v>72.66514008620689</v>
      </c>
      <c r="I9962" cm="1">
        <f t="array" ref="I9962">_xlfn.STDEV.P(IF(Table1[IndicatorCode]=Table1[[#This Row],[IndicatorCode]],Table1[value]))</f>
        <v>6.3409496564024987</v>
      </c>
      <c r="J9962">
        <f>(Table1[[#This Row],[value]] - Table1[[#This Row],[mean]]) / Table1[[#This Row],[std_dev]]</f>
        <v>-0.4203061419224296</v>
      </c>
      <c r="K9962">
        <f>AVERAGEIF(Table1[CountryCode],Table1[[#This Row],[CountryCode]],Table1[z-score])</f>
        <v>4.9319686102583721E-2</v>
      </c>
      <c r="L9962" t="e">
        <f>VLOOKUP(Table1[[#This Row],[CountryCode]],[1]!Table1[#All],1,FALSE)</f>
        <v>#REF!</v>
      </c>
    </row>
    <row r="9963" spans="1:12" hidden="1" x14ac:dyDescent="0.3">
      <c r="A9963" t="s">
        <v>95</v>
      </c>
      <c r="B9963" t="s">
        <v>96</v>
      </c>
      <c r="C9963" t="s">
        <v>129</v>
      </c>
      <c r="D9963" t="s">
        <v>130</v>
      </c>
      <c r="E9963">
        <v>1970</v>
      </c>
      <c r="F9963" s="1">
        <v>70</v>
      </c>
      <c r="G9963">
        <v>1970</v>
      </c>
      <c r="H9963">
        <f>AVERAGEIFS(Table1[value],Table1[IndicatorCode],Table1[[#This Row],[IndicatorCode]])</f>
        <v>72.66514008620689</v>
      </c>
      <c r="I9963" cm="1">
        <f t="array" ref="I9963">_xlfn.STDEV.P(IF(Table1[IndicatorCode]=Table1[[#This Row],[IndicatorCode]],Table1[value]))</f>
        <v>6.3409496564024987</v>
      </c>
      <c r="J9963">
        <f>(Table1[[#This Row],[value]] - Table1[[#This Row],[mean]]) / Table1[[#This Row],[std_dev]]</f>
        <v>-0.4203061419224296</v>
      </c>
      <c r="K9963">
        <f>AVERAGEIF(Table1[CountryCode],Table1[[#This Row],[CountryCode]],Table1[z-score])</f>
        <v>4.9319686102583721E-2</v>
      </c>
      <c r="L9963" t="e">
        <f>VLOOKUP(Table1[[#This Row],[CountryCode]],[1]!Table1[#All],1,FALSE)</f>
        <v>#REF!</v>
      </c>
    </row>
    <row r="9964" spans="1:12" hidden="1" x14ac:dyDescent="0.3">
      <c r="A9964" t="s">
        <v>95</v>
      </c>
      <c r="B9964" t="s">
        <v>96</v>
      </c>
      <c r="C9964" t="s">
        <v>129</v>
      </c>
      <c r="D9964" t="s">
        <v>130</v>
      </c>
      <c r="E9964">
        <v>1971</v>
      </c>
      <c r="F9964" s="1">
        <v>70</v>
      </c>
      <c r="G9964">
        <v>1970</v>
      </c>
      <c r="H9964">
        <f>AVERAGEIFS(Table1[value],Table1[IndicatorCode],Table1[[#This Row],[IndicatorCode]])</f>
        <v>72.66514008620689</v>
      </c>
      <c r="I9964" cm="1">
        <f t="array" ref="I9964">_xlfn.STDEV.P(IF(Table1[IndicatorCode]=Table1[[#This Row],[IndicatorCode]],Table1[value]))</f>
        <v>6.3409496564024987</v>
      </c>
      <c r="J9964">
        <f>(Table1[[#This Row],[value]] - Table1[[#This Row],[mean]]) / Table1[[#This Row],[std_dev]]</f>
        <v>-0.4203061419224296</v>
      </c>
      <c r="K9964">
        <f>AVERAGEIF(Table1[CountryCode],Table1[[#This Row],[CountryCode]],Table1[z-score])</f>
        <v>4.9319686102583721E-2</v>
      </c>
      <c r="L9964" t="e">
        <f>VLOOKUP(Table1[[#This Row],[CountryCode]],[1]!Table1[#All],1,FALSE)</f>
        <v>#REF!</v>
      </c>
    </row>
    <row r="9965" spans="1:12" hidden="1" x14ac:dyDescent="0.3">
      <c r="A9965" t="s">
        <v>95</v>
      </c>
      <c r="B9965" t="s">
        <v>96</v>
      </c>
      <c r="C9965" t="s">
        <v>129</v>
      </c>
      <c r="D9965" t="s">
        <v>130</v>
      </c>
      <c r="E9965">
        <v>1972</v>
      </c>
      <c r="F9965" s="1">
        <v>71</v>
      </c>
      <c r="G9965">
        <v>1970</v>
      </c>
      <c r="H9965">
        <f>AVERAGEIFS(Table1[value],Table1[IndicatorCode],Table1[[#This Row],[IndicatorCode]])</f>
        <v>72.66514008620689</v>
      </c>
      <c r="I9965" cm="1">
        <f t="array" ref="I9965">_xlfn.STDEV.P(IF(Table1[IndicatorCode]=Table1[[#This Row],[IndicatorCode]],Table1[value]))</f>
        <v>6.3409496564024987</v>
      </c>
      <c r="J9965">
        <f>(Table1[[#This Row],[value]] - Table1[[#This Row],[mean]]) / Table1[[#This Row],[std_dev]]</f>
        <v>-0.2626010576389905</v>
      </c>
      <c r="K9965">
        <f>AVERAGEIF(Table1[CountryCode],Table1[[#This Row],[CountryCode]],Table1[z-score])</f>
        <v>4.9319686102583721E-2</v>
      </c>
      <c r="L9965" t="e">
        <f>VLOOKUP(Table1[[#This Row],[CountryCode]],[1]!Table1[#All],1,FALSE)</f>
        <v>#REF!</v>
      </c>
    </row>
    <row r="9966" spans="1:12" hidden="1" x14ac:dyDescent="0.3">
      <c r="A9966" t="s">
        <v>95</v>
      </c>
      <c r="B9966" t="s">
        <v>96</v>
      </c>
      <c r="C9966" t="s">
        <v>129</v>
      </c>
      <c r="D9966" t="s">
        <v>130</v>
      </c>
      <c r="E9966">
        <v>1973</v>
      </c>
      <c r="F9966" s="1">
        <v>71</v>
      </c>
      <c r="G9966">
        <v>1970</v>
      </c>
      <c r="H9966">
        <f>AVERAGEIFS(Table1[value],Table1[IndicatorCode],Table1[[#This Row],[IndicatorCode]])</f>
        <v>72.66514008620689</v>
      </c>
      <c r="I9966" cm="1">
        <f t="array" ref="I9966">_xlfn.STDEV.P(IF(Table1[IndicatorCode]=Table1[[#This Row],[IndicatorCode]],Table1[value]))</f>
        <v>6.3409496564024987</v>
      </c>
      <c r="J9966">
        <f>(Table1[[#This Row],[value]] - Table1[[#This Row],[mean]]) / Table1[[#This Row],[std_dev]]</f>
        <v>-0.2626010576389905</v>
      </c>
      <c r="K9966">
        <f>AVERAGEIF(Table1[CountryCode],Table1[[#This Row],[CountryCode]],Table1[z-score])</f>
        <v>4.9319686102583721E-2</v>
      </c>
      <c r="L9966" t="e">
        <f>VLOOKUP(Table1[[#This Row],[CountryCode]],[1]!Table1[#All],1,FALSE)</f>
        <v>#REF!</v>
      </c>
    </row>
    <row r="9967" spans="1:12" hidden="1" x14ac:dyDescent="0.3">
      <c r="A9967" t="s">
        <v>95</v>
      </c>
      <c r="B9967" t="s">
        <v>96</v>
      </c>
      <c r="C9967" t="s">
        <v>129</v>
      </c>
      <c r="D9967" t="s">
        <v>130</v>
      </c>
      <c r="E9967">
        <v>1974</v>
      </c>
      <c r="F9967" s="1">
        <v>71</v>
      </c>
      <c r="G9967">
        <v>1970</v>
      </c>
      <c r="H9967">
        <f>AVERAGEIFS(Table1[value],Table1[IndicatorCode],Table1[[#This Row],[IndicatorCode]])</f>
        <v>72.66514008620689</v>
      </c>
      <c r="I9967" cm="1">
        <f t="array" ref="I9967">_xlfn.STDEV.P(IF(Table1[IndicatorCode]=Table1[[#This Row],[IndicatorCode]],Table1[value]))</f>
        <v>6.3409496564024987</v>
      </c>
      <c r="J9967">
        <f>(Table1[[#This Row],[value]] - Table1[[#This Row],[mean]]) / Table1[[#This Row],[std_dev]]</f>
        <v>-0.2626010576389905</v>
      </c>
      <c r="K9967">
        <f>AVERAGEIF(Table1[CountryCode],Table1[[#This Row],[CountryCode]],Table1[z-score])</f>
        <v>4.9319686102583721E-2</v>
      </c>
      <c r="L9967" t="e">
        <f>VLOOKUP(Table1[[#This Row],[CountryCode]],[1]!Table1[#All],1,FALSE)</f>
        <v>#REF!</v>
      </c>
    </row>
    <row r="9968" spans="1:12" hidden="1" x14ac:dyDescent="0.3">
      <c r="A9968" t="s">
        <v>95</v>
      </c>
      <c r="B9968" t="s">
        <v>96</v>
      </c>
      <c r="C9968" t="s">
        <v>129</v>
      </c>
      <c r="D9968" t="s">
        <v>130</v>
      </c>
      <c r="E9968">
        <v>1975</v>
      </c>
      <c r="F9968" s="1">
        <v>71</v>
      </c>
      <c r="G9968">
        <v>1970</v>
      </c>
      <c r="H9968">
        <f>AVERAGEIFS(Table1[value],Table1[IndicatorCode],Table1[[#This Row],[IndicatorCode]])</f>
        <v>72.66514008620689</v>
      </c>
      <c r="I9968" cm="1">
        <f t="array" ref="I9968">_xlfn.STDEV.P(IF(Table1[IndicatorCode]=Table1[[#This Row],[IndicatorCode]],Table1[value]))</f>
        <v>6.3409496564024987</v>
      </c>
      <c r="J9968">
        <f>(Table1[[#This Row],[value]] - Table1[[#This Row],[mean]]) / Table1[[#This Row],[std_dev]]</f>
        <v>-0.2626010576389905</v>
      </c>
      <c r="K9968">
        <f>AVERAGEIF(Table1[CountryCode],Table1[[#This Row],[CountryCode]],Table1[z-score])</f>
        <v>4.9319686102583721E-2</v>
      </c>
      <c r="L9968" t="e">
        <f>VLOOKUP(Table1[[#This Row],[CountryCode]],[1]!Table1[#All],1,FALSE)</f>
        <v>#REF!</v>
      </c>
    </row>
    <row r="9969" spans="1:12" hidden="1" x14ac:dyDescent="0.3">
      <c r="A9969" t="s">
        <v>95</v>
      </c>
      <c r="B9969" t="s">
        <v>96</v>
      </c>
      <c r="C9969" t="s">
        <v>129</v>
      </c>
      <c r="D9969" t="s">
        <v>130</v>
      </c>
      <c r="E9969">
        <v>1976</v>
      </c>
      <c r="F9969" s="1">
        <v>71</v>
      </c>
      <c r="G9969">
        <v>1970</v>
      </c>
      <c r="H9969">
        <f>AVERAGEIFS(Table1[value],Table1[IndicatorCode],Table1[[#This Row],[IndicatorCode]])</f>
        <v>72.66514008620689</v>
      </c>
      <c r="I9969" cm="1">
        <f t="array" ref="I9969">_xlfn.STDEV.P(IF(Table1[IndicatorCode]=Table1[[#This Row],[IndicatorCode]],Table1[value]))</f>
        <v>6.3409496564024987</v>
      </c>
      <c r="J9969">
        <f>(Table1[[#This Row],[value]] - Table1[[#This Row],[mean]]) / Table1[[#This Row],[std_dev]]</f>
        <v>-0.2626010576389905</v>
      </c>
      <c r="K9969">
        <f>AVERAGEIF(Table1[CountryCode],Table1[[#This Row],[CountryCode]],Table1[z-score])</f>
        <v>4.9319686102583721E-2</v>
      </c>
      <c r="L9969" t="e">
        <f>VLOOKUP(Table1[[#This Row],[CountryCode]],[1]!Table1[#All],1,FALSE)</f>
        <v>#REF!</v>
      </c>
    </row>
    <row r="9970" spans="1:12" hidden="1" x14ac:dyDescent="0.3">
      <c r="A9970" t="s">
        <v>95</v>
      </c>
      <c r="B9970" t="s">
        <v>96</v>
      </c>
      <c r="C9970" t="s">
        <v>129</v>
      </c>
      <c r="D9970" t="s">
        <v>130</v>
      </c>
      <c r="E9970">
        <v>1977</v>
      </c>
      <c r="F9970" s="1">
        <v>70</v>
      </c>
      <c r="G9970">
        <v>1980</v>
      </c>
      <c r="H9970">
        <f>AVERAGEIFS(Table1[value],Table1[IndicatorCode],Table1[[#This Row],[IndicatorCode]])</f>
        <v>72.66514008620689</v>
      </c>
      <c r="I9970" cm="1">
        <f t="array" ref="I9970">_xlfn.STDEV.P(IF(Table1[IndicatorCode]=Table1[[#This Row],[IndicatorCode]],Table1[value]))</f>
        <v>6.3409496564024987</v>
      </c>
      <c r="J9970">
        <f>(Table1[[#This Row],[value]] - Table1[[#This Row],[mean]]) / Table1[[#This Row],[std_dev]]</f>
        <v>-0.4203061419224296</v>
      </c>
      <c r="K9970">
        <f>AVERAGEIF(Table1[CountryCode],Table1[[#This Row],[CountryCode]],Table1[z-score])</f>
        <v>4.9319686102583721E-2</v>
      </c>
      <c r="L9970" t="e">
        <f>VLOOKUP(Table1[[#This Row],[CountryCode]],[1]!Table1[#All],1,FALSE)</f>
        <v>#REF!</v>
      </c>
    </row>
    <row r="9971" spans="1:12" hidden="1" x14ac:dyDescent="0.3">
      <c r="A9971" t="s">
        <v>95</v>
      </c>
      <c r="B9971" t="s">
        <v>96</v>
      </c>
      <c r="C9971" t="s">
        <v>129</v>
      </c>
      <c r="D9971" t="s">
        <v>130</v>
      </c>
      <c r="E9971">
        <v>1978</v>
      </c>
      <c r="F9971" s="1">
        <v>70</v>
      </c>
      <c r="G9971">
        <v>1980</v>
      </c>
      <c r="H9971">
        <f>AVERAGEIFS(Table1[value],Table1[IndicatorCode],Table1[[#This Row],[IndicatorCode]])</f>
        <v>72.66514008620689</v>
      </c>
      <c r="I9971" cm="1">
        <f t="array" ref="I9971">_xlfn.STDEV.P(IF(Table1[IndicatorCode]=Table1[[#This Row],[IndicatorCode]],Table1[value]))</f>
        <v>6.3409496564024987</v>
      </c>
      <c r="J9971">
        <f>(Table1[[#This Row],[value]] - Table1[[#This Row],[mean]]) / Table1[[#This Row],[std_dev]]</f>
        <v>-0.4203061419224296</v>
      </c>
      <c r="K9971">
        <f>AVERAGEIF(Table1[CountryCode],Table1[[#This Row],[CountryCode]],Table1[z-score])</f>
        <v>4.9319686102583721E-2</v>
      </c>
      <c r="L9971" t="e">
        <f>VLOOKUP(Table1[[#This Row],[CountryCode]],[1]!Table1[#All],1,FALSE)</f>
        <v>#REF!</v>
      </c>
    </row>
    <row r="9972" spans="1:12" hidden="1" x14ac:dyDescent="0.3">
      <c r="A9972" t="s">
        <v>95</v>
      </c>
      <c r="B9972" t="s">
        <v>96</v>
      </c>
      <c r="C9972" t="s">
        <v>129</v>
      </c>
      <c r="D9972" t="s">
        <v>130</v>
      </c>
      <c r="E9972">
        <v>1979</v>
      </c>
      <c r="F9972" s="1">
        <v>71</v>
      </c>
      <c r="G9972">
        <v>1980</v>
      </c>
      <c r="H9972">
        <f>AVERAGEIFS(Table1[value],Table1[IndicatorCode],Table1[[#This Row],[IndicatorCode]])</f>
        <v>72.66514008620689</v>
      </c>
      <c r="I9972" cm="1">
        <f t="array" ref="I9972">_xlfn.STDEV.P(IF(Table1[IndicatorCode]=Table1[[#This Row],[IndicatorCode]],Table1[value]))</f>
        <v>6.3409496564024987</v>
      </c>
      <c r="J9972">
        <f>(Table1[[#This Row],[value]] - Table1[[#This Row],[mean]]) / Table1[[#This Row],[std_dev]]</f>
        <v>-0.2626010576389905</v>
      </c>
      <c r="K9972">
        <f>AVERAGEIF(Table1[CountryCode],Table1[[#This Row],[CountryCode]],Table1[z-score])</f>
        <v>4.9319686102583721E-2</v>
      </c>
      <c r="L9972" t="e">
        <f>VLOOKUP(Table1[[#This Row],[CountryCode]],[1]!Table1[#All],1,FALSE)</f>
        <v>#REF!</v>
      </c>
    </row>
    <row r="9973" spans="1:12" hidden="1" x14ac:dyDescent="0.3">
      <c r="A9973" t="s">
        <v>95</v>
      </c>
      <c r="B9973" t="s">
        <v>96</v>
      </c>
      <c r="C9973" t="s">
        <v>129</v>
      </c>
      <c r="D9973" t="s">
        <v>130</v>
      </c>
      <c r="E9973">
        <v>1980</v>
      </c>
      <c r="F9973" s="1">
        <v>70</v>
      </c>
      <c r="G9973">
        <v>1980</v>
      </c>
      <c r="H9973">
        <f>AVERAGEIFS(Table1[value],Table1[IndicatorCode],Table1[[#This Row],[IndicatorCode]])</f>
        <v>72.66514008620689</v>
      </c>
      <c r="I9973" cm="1">
        <f t="array" ref="I9973">_xlfn.STDEV.P(IF(Table1[IndicatorCode]=Table1[[#This Row],[IndicatorCode]],Table1[value]))</f>
        <v>6.3409496564024987</v>
      </c>
      <c r="J9973">
        <f>(Table1[[#This Row],[value]] - Table1[[#This Row],[mean]]) / Table1[[#This Row],[std_dev]]</f>
        <v>-0.4203061419224296</v>
      </c>
      <c r="K9973">
        <f>AVERAGEIF(Table1[CountryCode],Table1[[#This Row],[CountryCode]],Table1[z-score])</f>
        <v>4.9319686102583721E-2</v>
      </c>
      <c r="L9973" t="e">
        <f>VLOOKUP(Table1[[#This Row],[CountryCode]],[1]!Table1[#All],1,FALSE)</f>
        <v>#REF!</v>
      </c>
    </row>
    <row r="9974" spans="1:12" hidden="1" x14ac:dyDescent="0.3">
      <c r="A9974" t="s">
        <v>95</v>
      </c>
      <c r="B9974" t="s">
        <v>96</v>
      </c>
      <c r="C9974" t="s">
        <v>129</v>
      </c>
      <c r="D9974" t="s">
        <v>130</v>
      </c>
      <c r="E9974">
        <v>1981</v>
      </c>
      <c r="F9974" s="1">
        <v>71</v>
      </c>
      <c r="G9974">
        <v>1980</v>
      </c>
      <c r="H9974">
        <f>AVERAGEIFS(Table1[value],Table1[IndicatorCode],Table1[[#This Row],[IndicatorCode]])</f>
        <v>72.66514008620689</v>
      </c>
      <c r="I9974" cm="1">
        <f t="array" ref="I9974">_xlfn.STDEV.P(IF(Table1[IndicatorCode]=Table1[[#This Row],[IndicatorCode]],Table1[value]))</f>
        <v>6.3409496564024987</v>
      </c>
      <c r="J9974">
        <f>(Table1[[#This Row],[value]] - Table1[[#This Row],[mean]]) / Table1[[#This Row],[std_dev]]</f>
        <v>-0.2626010576389905</v>
      </c>
      <c r="K9974">
        <f>AVERAGEIF(Table1[CountryCode],Table1[[#This Row],[CountryCode]],Table1[z-score])</f>
        <v>4.9319686102583721E-2</v>
      </c>
      <c r="L9974" t="e">
        <f>VLOOKUP(Table1[[#This Row],[CountryCode]],[1]!Table1[#All],1,FALSE)</f>
        <v>#REF!</v>
      </c>
    </row>
    <row r="9975" spans="1:12" hidden="1" x14ac:dyDescent="0.3">
      <c r="A9975" t="s">
        <v>95</v>
      </c>
      <c r="B9975" t="s">
        <v>96</v>
      </c>
      <c r="C9975" t="s">
        <v>129</v>
      </c>
      <c r="D9975" t="s">
        <v>130</v>
      </c>
      <c r="E9975">
        <v>1982</v>
      </c>
      <c r="F9975" s="1">
        <v>71</v>
      </c>
      <c r="G9975">
        <v>1980</v>
      </c>
      <c r="H9975">
        <f>AVERAGEIFS(Table1[value],Table1[IndicatorCode],Table1[[#This Row],[IndicatorCode]])</f>
        <v>72.66514008620689</v>
      </c>
      <c r="I9975" cm="1">
        <f t="array" ref="I9975">_xlfn.STDEV.P(IF(Table1[IndicatorCode]=Table1[[#This Row],[IndicatorCode]],Table1[value]))</f>
        <v>6.3409496564024987</v>
      </c>
      <c r="J9975">
        <f>(Table1[[#This Row],[value]] - Table1[[#This Row],[mean]]) / Table1[[#This Row],[std_dev]]</f>
        <v>-0.2626010576389905</v>
      </c>
      <c r="K9975">
        <f>AVERAGEIF(Table1[CountryCode],Table1[[#This Row],[CountryCode]],Table1[z-score])</f>
        <v>4.9319686102583721E-2</v>
      </c>
      <c r="L9975" t="e">
        <f>VLOOKUP(Table1[[#This Row],[CountryCode]],[1]!Table1[#All],1,FALSE)</f>
        <v>#REF!</v>
      </c>
    </row>
    <row r="9976" spans="1:12" hidden="1" x14ac:dyDescent="0.3">
      <c r="A9976" t="s">
        <v>95</v>
      </c>
      <c r="B9976" t="s">
        <v>96</v>
      </c>
      <c r="C9976" t="s">
        <v>129</v>
      </c>
      <c r="D9976" t="s">
        <v>130</v>
      </c>
      <c r="E9976">
        <v>1983</v>
      </c>
      <c r="F9976" s="1">
        <v>71</v>
      </c>
      <c r="G9976">
        <v>1980</v>
      </c>
      <c r="H9976">
        <f>AVERAGEIFS(Table1[value],Table1[IndicatorCode],Table1[[#This Row],[IndicatorCode]])</f>
        <v>72.66514008620689</v>
      </c>
      <c r="I9976" cm="1">
        <f t="array" ref="I9976">_xlfn.STDEV.P(IF(Table1[IndicatorCode]=Table1[[#This Row],[IndicatorCode]],Table1[value]))</f>
        <v>6.3409496564024987</v>
      </c>
      <c r="J9976">
        <f>(Table1[[#This Row],[value]] - Table1[[#This Row],[mean]]) / Table1[[#This Row],[std_dev]]</f>
        <v>-0.2626010576389905</v>
      </c>
      <c r="K9976">
        <f>AVERAGEIF(Table1[CountryCode],Table1[[#This Row],[CountryCode]],Table1[z-score])</f>
        <v>4.9319686102583721E-2</v>
      </c>
      <c r="L9976" t="e">
        <f>VLOOKUP(Table1[[#This Row],[CountryCode]],[1]!Table1[#All],1,FALSE)</f>
        <v>#REF!</v>
      </c>
    </row>
    <row r="9977" spans="1:12" hidden="1" x14ac:dyDescent="0.3">
      <c r="A9977" t="s">
        <v>95</v>
      </c>
      <c r="B9977" t="s">
        <v>96</v>
      </c>
      <c r="C9977" t="s">
        <v>129</v>
      </c>
      <c r="D9977" t="s">
        <v>130</v>
      </c>
      <c r="E9977">
        <v>1984</v>
      </c>
      <c r="F9977" s="1">
        <v>71</v>
      </c>
      <c r="G9977">
        <v>1980</v>
      </c>
      <c r="H9977">
        <f>AVERAGEIFS(Table1[value],Table1[IndicatorCode],Table1[[#This Row],[IndicatorCode]])</f>
        <v>72.66514008620689</v>
      </c>
      <c r="I9977" cm="1">
        <f t="array" ref="I9977">_xlfn.STDEV.P(IF(Table1[IndicatorCode]=Table1[[#This Row],[IndicatorCode]],Table1[value]))</f>
        <v>6.3409496564024987</v>
      </c>
      <c r="J9977">
        <f>(Table1[[#This Row],[value]] - Table1[[#This Row],[mean]]) / Table1[[#This Row],[std_dev]]</f>
        <v>-0.2626010576389905</v>
      </c>
      <c r="K9977">
        <f>AVERAGEIF(Table1[CountryCode],Table1[[#This Row],[CountryCode]],Table1[z-score])</f>
        <v>4.9319686102583721E-2</v>
      </c>
      <c r="L9977" t="e">
        <f>VLOOKUP(Table1[[#This Row],[CountryCode]],[1]!Table1[#All],1,FALSE)</f>
        <v>#REF!</v>
      </c>
    </row>
    <row r="9978" spans="1:12" hidden="1" x14ac:dyDescent="0.3">
      <c r="A9978" t="s">
        <v>95</v>
      </c>
      <c r="B9978" t="s">
        <v>96</v>
      </c>
      <c r="C9978" t="s">
        <v>129</v>
      </c>
      <c r="D9978" t="s">
        <v>130</v>
      </c>
      <c r="E9978">
        <v>1985</v>
      </c>
      <c r="F9978" s="1">
        <v>71</v>
      </c>
      <c r="G9978">
        <v>1980</v>
      </c>
      <c r="H9978">
        <f>AVERAGEIFS(Table1[value],Table1[IndicatorCode],Table1[[#This Row],[IndicatorCode]])</f>
        <v>72.66514008620689</v>
      </c>
      <c r="I9978" cm="1">
        <f t="array" ref="I9978">_xlfn.STDEV.P(IF(Table1[IndicatorCode]=Table1[[#This Row],[IndicatorCode]],Table1[value]))</f>
        <v>6.3409496564024987</v>
      </c>
      <c r="J9978">
        <f>(Table1[[#This Row],[value]] - Table1[[#This Row],[mean]]) / Table1[[#This Row],[std_dev]]</f>
        <v>-0.2626010576389905</v>
      </c>
      <c r="K9978">
        <f>AVERAGEIF(Table1[CountryCode],Table1[[#This Row],[CountryCode]],Table1[z-score])</f>
        <v>4.9319686102583721E-2</v>
      </c>
      <c r="L9978" t="e">
        <f>VLOOKUP(Table1[[#This Row],[CountryCode]],[1]!Table1[#All],1,FALSE)</f>
        <v>#REF!</v>
      </c>
    </row>
    <row r="9979" spans="1:12" hidden="1" x14ac:dyDescent="0.3">
      <c r="A9979" t="s">
        <v>95</v>
      </c>
      <c r="B9979" t="s">
        <v>96</v>
      </c>
      <c r="C9979" t="s">
        <v>129</v>
      </c>
      <c r="D9979" t="s">
        <v>130</v>
      </c>
      <c r="E9979">
        <v>1986</v>
      </c>
      <c r="F9979" s="1">
        <v>71</v>
      </c>
      <c r="G9979">
        <v>1980</v>
      </c>
      <c r="H9979">
        <f>AVERAGEIFS(Table1[value],Table1[IndicatorCode],Table1[[#This Row],[IndicatorCode]])</f>
        <v>72.66514008620689</v>
      </c>
      <c r="I9979" cm="1">
        <f t="array" ref="I9979">_xlfn.STDEV.P(IF(Table1[IndicatorCode]=Table1[[#This Row],[IndicatorCode]],Table1[value]))</f>
        <v>6.3409496564024987</v>
      </c>
      <c r="J9979">
        <f>(Table1[[#This Row],[value]] - Table1[[#This Row],[mean]]) / Table1[[#This Row],[std_dev]]</f>
        <v>-0.2626010576389905</v>
      </c>
      <c r="K9979">
        <f>AVERAGEIF(Table1[CountryCode],Table1[[#This Row],[CountryCode]],Table1[z-score])</f>
        <v>4.9319686102583721E-2</v>
      </c>
      <c r="L9979" t="e">
        <f>VLOOKUP(Table1[[#This Row],[CountryCode]],[1]!Table1[#All],1,FALSE)</f>
        <v>#REF!</v>
      </c>
    </row>
    <row r="9980" spans="1:12" hidden="1" x14ac:dyDescent="0.3">
      <c r="A9980" t="s">
        <v>95</v>
      </c>
      <c r="B9980" t="s">
        <v>96</v>
      </c>
      <c r="C9980" t="s">
        <v>129</v>
      </c>
      <c r="D9980" t="s">
        <v>130</v>
      </c>
      <c r="E9980">
        <v>1987</v>
      </c>
      <c r="F9980" s="1">
        <v>71</v>
      </c>
      <c r="G9980">
        <v>1990</v>
      </c>
      <c r="H9980">
        <f>AVERAGEIFS(Table1[value],Table1[IndicatorCode],Table1[[#This Row],[IndicatorCode]])</f>
        <v>72.66514008620689</v>
      </c>
      <c r="I9980" cm="1">
        <f t="array" ref="I9980">_xlfn.STDEV.P(IF(Table1[IndicatorCode]=Table1[[#This Row],[IndicatorCode]],Table1[value]))</f>
        <v>6.3409496564024987</v>
      </c>
      <c r="J9980">
        <f>(Table1[[#This Row],[value]] - Table1[[#This Row],[mean]]) / Table1[[#This Row],[std_dev]]</f>
        <v>-0.2626010576389905</v>
      </c>
      <c r="K9980">
        <f>AVERAGEIF(Table1[CountryCode],Table1[[#This Row],[CountryCode]],Table1[z-score])</f>
        <v>4.9319686102583721E-2</v>
      </c>
      <c r="L9980" t="e">
        <f>VLOOKUP(Table1[[#This Row],[CountryCode]],[1]!Table1[#All],1,FALSE)</f>
        <v>#REF!</v>
      </c>
    </row>
    <row r="9981" spans="1:12" hidden="1" x14ac:dyDescent="0.3">
      <c r="A9981" t="s">
        <v>95</v>
      </c>
      <c r="B9981" t="s">
        <v>96</v>
      </c>
      <c r="C9981" t="s">
        <v>129</v>
      </c>
      <c r="D9981" t="s">
        <v>130</v>
      </c>
      <c r="E9981">
        <v>1988</v>
      </c>
      <c r="F9981" s="1">
        <v>71</v>
      </c>
      <c r="G9981">
        <v>1990</v>
      </c>
      <c r="H9981">
        <f>AVERAGEIFS(Table1[value],Table1[IndicatorCode],Table1[[#This Row],[IndicatorCode]])</f>
        <v>72.66514008620689</v>
      </c>
      <c r="I9981" cm="1">
        <f t="array" ref="I9981">_xlfn.STDEV.P(IF(Table1[IndicatorCode]=Table1[[#This Row],[IndicatorCode]],Table1[value]))</f>
        <v>6.3409496564024987</v>
      </c>
      <c r="J9981">
        <f>(Table1[[#This Row],[value]] - Table1[[#This Row],[mean]]) / Table1[[#This Row],[std_dev]]</f>
        <v>-0.2626010576389905</v>
      </c>
      <c r="K9981">
        <f>AVERAGEIF(Table1[CountryCode],Table1[[#This Row],[CountryCode]],Table1[z-score])</f>
        <v>4.9319686102583721E-2</v>
      </c>
      <c r="L9981" t="e">
        <f>VLOOKUP(Table1[[#This Row],[CountryCode]],[1]!Table1[#All],1,FALSE)</f>
        <v>#REF!</v>
      </c>
    </row>
    <row r="9982" spans="1:12" hidden="1" x14ac:dyDescent="0.3">
      <c r="A9982" t="s">
        <v>95</v>
      </c>
      <c r="B9982" t="s">
        <v>96</v>
      </c>
      <c r="C9982" t="s">
        <v>129</v>
      </c>
      <c r="D9982" t="s">
        <v>130</v>
      </c>
      <c r="E9982">
        <v>1989</v>
      </c>
      <c r="F9982" s="1">
        <v>71</v>
      </c>
      <c r="G9982">
        <v>1990</v>
      </c>
      <c r="H9982">
        <f>AVERAGEIFS(Table1[value],Table1[IndicatorCode],Table1[[#This Row],[IndicatorCode]])</f>
        <v>72.66514008620689</v>
      </c>
      <c r="I9982" cm="1">
        <f t="array" ref="I9982">_xlfn.STDEV.P(IF(Table1[IndicatorCode]=Table1[[#This Row],[IndicatorCode]],Table1[value]))</f>
        <v>6.3409496564024987</v>
      </c>
      <c r="J9982">
        <f>(Table1[[#This Row],[value]] - Table1[[#This Row],[mean]]) / Table1[[#This Row],[std_dev]]</f>
        <v>-0.2626010576389905</v>
      </c>
      <c r="K9982">
        <f>AVERAGEIF(Table1[CountryCode],Table1[[#This Row],[CountryCode]],Table1[z-score])</f>
        <v>4.9319686102583721E-2</v>
      </c>
      <c r="L9982" t="e">
        <f>VLOOKUP(Table1[[#This Row],[CountryCode]],[1]!Table1[#All],1,FALSE)</f>
        <v>#REF!</v>
      </c>
    </row>
    <row r="9983" spans="1:12" hidden="1" x14ac:dyDescent="0.3">
      <c r="A9983" t="s">
        <v>95</v>
      </c>
      <c r="B9983" t="s">
        <v>96</v>
      </c>
      <c r="C9983" t="s">
        <v>129</v>
      </c>
      <c r="D9983" t="s">
        <v>130</v>
      </c>
      <c r="E9983">
        <v>1990</v>
      </c>
      <c r="F9983" s="1">
        <v>71</v>
      </c>
      <c r="G9983">
        <v>1990</v>
      </c>
      <c r="H9983">
        <f>AVERAGEIFS(Table1[value],Table1[IndicatorCode],Table1[[#This Row],[IndicatorCode]])</f>
        <v>72.66514008620689</v>
      </c>
      <c r="I9983" cm="1">
        <f t="array" ref="I9983">_xlfn.STDEV.P(IF(Table1[IndicatorCode]=Table1[[#This Row],[IndicatorCode]],Table1[value]))</f>
        <v>6.3409496564024987</v>
      </c>
      <c r="J9983">
        <f>(Table1[[#This Row],[value]] - Table1[[#This Row],[mean]]) / Table1[[#This Row],[std_dev]]</f>
        <v>-0.2626010576389905</v>
      </c>
      <c r="K9983">
        <f>AVERAGEIF(Table1[CountryCode],Table1[[#This Row],[CountryCode]],Table1[z-score])</f>
        <v>4.9319686102583721E-2</v>
      </c>
      <c r="L9983" t="e">
        <f>VLOOKUP(Table1[[#This Row],[CountryCode]],[1]!Table1[#All],1,FALSE)</f>
        <v>#REF!</v>
      </c>
    </row>
    <row r="9984" spans="1:12" hidden="1" x14ac:dyDescent="0.3">
      <c r="A9984" t="s">
        <v>95</v>
      </c>
      <c r="B9984" t="s">
        <v>96</v>
      </c>
      <c r="C9984" t="s">
        <v>129</v>
      </c>
      <c r="D9984" t="s">
        <v>130</v>
      </c>
      <c r="E9984">
        <v>1991</v>
      </c>
      <c r="F9984" s="1">
        <v>71</v>
      </c>
      <c r="G9984">
        <v>1990</v>
      </c>
      <c r="H9984">
        <f>AVERAGEIFS(Table1[value],Table1[IndicatorCode],Table1[[#This Row],[IndicatorCode]])</f>
        <v>72.66514008620689</v>
      </c>
      <c r="I9984" cm="1">
        <f t="array" ref="I9984">_xlfn.STDEV.P(IF(Table1[IndicatorCode]=Table1[[#This Row],[IndicatorCode]],Table1[value]))</f>
        <v>6.3409496564024987</v>
      </c>
      <c r="J9984">
        <f>(Table1[[#This Row],[value]] - Table1[[#This Row],[mean]]) / Table1[[#This Row],[std_dev]]</f>
        <v>-0.2626010576389905</v>
      </c>
      <c r="K9984">
        <f>AVERAGEIF(Table1[CountryCode],Table1[[#This Row],[CountryCode]],Table1[z-score])</f>
        <v>4.9319686102583721E-2</v>
      </c>
      <c r="L9984" t="e">
        <f>VLOOKUP(Table1[[#This Row],[CountryCode]],[1]!Table1[#All],1,FALSE)</f>
        <v>#REF!</v>
      </c>
    </row>
    <row r="9985" spans="1:12" hidden="1" x14ac:dyDescent="0.3">
      <c r="A9985" t="s">
        <v>95</v>
      </c>
      <c r="B9985" t="s">
        <v>96</v>
      </c>
      <c r="C9985" t="s">
        <v>129</v>
      </c>
      <c r="D9985" t="s">
        <v>130</v>
      </c>
      <c r="E9985">
        <v>1992</v>
      </c>
      <c r="F9985" s="1">
        <v>71</v>
      </c>
      <c r="G9985">
        <v>1990</v>
      </c>
      <c r="H9985">
        <f>AVERAGEIFS(Table1[value],Table1[IndicatorCode],Table1[[#This Row],[IndicatorCode]])</f>
        <v>72.66514008620689</v>
      </c>
      <c r="I9985" cm="1">
        <f t="array" ref="I9985">_xlfn.STDEV.P(IF(Table1[IndicatorCode]=Table1[[#This Row],[IndicatorCode]],Table1[value]))</f>
        <v>6.3409496564024987</v>
      </c>
      <c r="J9985">
        <f>(Table1[[#This Row],[value]] - Table1[[#This Row],[mean]]) / Table1[[#This Row],[std_dev]]</f>
        <v>-0.2626010576389905</v>
      </c>
      <c r="K9985">
        <f>AVERAGEIF(Table1[CountryCode],Table1[[#This Row],[CountryCode]],Table1[z-score])</f>
        <v>4.9319686102583721E-2</v>
      </c>
      <c r="L9985" t="e">
        <f>VLOOKUP(Table1[[#This Row],[CountryCode]],[1]!Table1[#All],1,FALSE)</f>
        <v>#REF!</v>
      </c>
    </row>
    <row r="9986" spans="1:12" hidden="1" x14ac:dyDescent="0.3">
      <c r="A9986" t="s">
        <v>95</v>
      </c>
      <c r="B9986" t="s">
        <v>96</v>
      </c>
      <c r="C9986" t="s">
        <v>129</v>
      </c>
      <c r="D9986" t="s">
        <v>130</v>
      </c>
      <c r="E9986">
        <v>1993</v>
      </c>
      <c r="F9986" s="1">
        <v>72</v>
      </c>
      <c r="G9986">
        <v>1990</v>
      </c>
      <c r="H9986">
        <f>AVERAGEIFS(Table1[value],Table1[IndicatorCode],Table1[[#This Row],[IndicatorCode]])</f>
        <v>72.66514008620689</v>
      </c>
      <c r="I9986" cm="1">
        <f t="array" ref="I9986">_xlfn.STDEV.P(IF(Table1[IndicatorCode]=Table1[[#This Row],[IndicatorCode]],Table1[value]))</f>
        <v>6.3409496564024987</v>
      </c>
      <c r="J9986">
        <f>(Table1[[#This Row],[value]] - Table1[[#This Row],[mean]]) / Table1[[#This Row],[std_dev]]</f>
        <v>-0.10489597335555145</v>
      </c>
      <c r="K9986">
        <f>AVERAGEIF(Table1[CountryCode],Table1[[#This Row],[CountryCode]],Table1[z-score])</f>
        <v>4.9319686102583721E-2</v>
      </c>
      <c r="L9986" t="e">
        <f>VLOOKUP(Table1[[#This Row],[CountryCode]],[1]!Table1[#All],1,FALSE)</f>
        <v>#REF!</v>
      </c>
    </row>
    <row r="9987" spans="1:12" hidden="1" x14ac:dyDescent="0.3">
      <c r="A9987" t="s">
        <v>95</v>
      </c>
      <c r="B9987" t="s">
        <v>96</v>
      </c>
      <c r="C9987" t="s">
        <v>129</v>
      </c>
      <c r="D9987" t="s">
        <v>130</v>
      </c>
      <c r="E9987">
        <v>1994</v>
      </c>
      <c r="F9987" s="1">
        <v>72</v>
      </c>
      <c r="G9987">
        <v>1990</v>
      </c>
      <c r="H9987">
        <f>AVERAGEIFS(Table1[value],Table1[IndicatorCode],Table1[[#This Row],[IndicatorCode]])</f>
        <v>72.66514008620689</v>
      </c>
      <c r="I9987" cm="1">
        <f t="array" ref="I9987">_xlfn.STDEV.P(IF(Table1[IndicatorCode]=Table1[[#This Row],[IndicatorCode]],Table1[value]))</f>
        <v>6.3409496564024987</v>
      </c>
      <c r="J9987">
        <f>(Table1[[#This Row],[value]] - Table1[[#This Row],[mean]]) / Table1[[#This Row],[std_dev]]</f>
        <v>-0.10489597335555145</v>
      </c>
      <c r="K9987">
        <f>AVERAGEIF(Table1[CountryCode],Table1[[#This Row],[CountryCode]],Table1[z-score])</f>
        <v>4.9319686102583721E-2</v>
      </c>
      <c r="L9987" t="e">
        <f>VLOOKUP(Table1[[#This Row],[CountryCode]],[1]!Table1[#All],1,FALSE)</f>
        <v>#REF!</v>
      </c>
    </row>
    <row r="9988" spans="1:12" hidden="1" x14ac:dyDescent="0.3">
      <c r="A9988" t="s">
        <v>95</v>
      </c>
      <c r="B9988" t="s">
        <v>96</v>
      </c>
      <c r="C9988" t="s">
        <v>129</v>
      </c>
      <c r="D9988" t="s">
        <v>130</v>
      </c>
      <c r="E9988">
        <v>1995</v>
      </c>
      <c r="F9988" s="1">
        <v>72</v>
      </c>
      <c r="G9988">
        <v>1990</v>
      </c>
      <c r="H9988">
        <f>AVERAGEIFS(Table1[value],Table1[IndicatorCode],Table1[[#This Row],[IndicatorCode]])</f>
        <v>72.66514008620689</v>
      </c>
      <c r="I9988" cm="1">
        <f t="array" ref="I9988">_xlfn.STDEV.P(IF(Table1[IndicatorCode]=Table1[[#This Row],[IndicatorCode]],Table1[value]))</f>
        <v>6.3409496564024987</v>
      </c>
      <c r="J9988">
        <f>(Table1[[#This Row],[value]] - Table1[[#This Row],[mean]]) / Table1[[#This Row],[std_dev]]</f>
        <v>-0.10489597335555145</v>
      </c>
      <c r="K9988">
        <f>AVERAGEIF(Table1[CountryCode],Table1[[#This Row],[CountryCode]],Table1[z-score])</f>
        <v>4.9319686102583721E-2</v>
      </c>
      <c r="L9988" t="e">
        <f>VLOOKUP(Table1[[#This Row],[CountryCode]],[1]!Table1[#All],1,FALSE)</f>
        <v>#REF!</v>
      </c>
    </row>
    <row r="9989" spans="1:12" hidden="1" x14ac:dyDescent="0.3">
      <c r="A9989" t="s">
        <v>95</v>
      </c>
      <c r="B9989" t="s">
        <v>96</v>
      </c>
      <c r="C9989" t="s">
        <v>129</v>
      </c>
      <c r="D9989" t="s">
        <v>130</v>
      </c>
      <c r="E9989">
        <v>1996</v>
      </c>
      <c r="F9989" s="1">
        <v>72</v>
      </c>
      <c r="G9989">
        <v>1990</v>
      </c>
      <c r="H9989">
        <f>AVERAGEIFS(Table1[value],Table1[IndicatorCode],Table1[[#This Row],[IndicatorCode]])</f>
        <v>72.66514008620689</v>
      </c>
      <c r="I9989" cm="1">
        <f t="array" ref="I9989">_xlfn.STDEV.P(IF(Table1[IndicatorCode]=Table1[[#This Row],[IndicatorCode]],Table1[value]))</f>
        <v>6.3409496564024987</v>
      </c>
      <c r="J9989">
        <f>(Table1[[#This Row],[value]] - Table1[[#This Row],[mean]]) / Table1[[#This Row],[std_dev]]</f>
        <v>-0.10489597335555145</v>
      </c>
      <c r="K9989">
        <f>AVERAGEIF(Table1[CountryCode],Table1[[#This Row],[CountryCode]],Table1[z-score])</f>
        <v>4.9319686102583721E-2</v>
      </c>
      <c r="L9989" t="e">
        <f>VLOOKUP(Table1[[#This Row],[CountryCode]],[1]!Table1[#All],1,FALSE)</f>
        <v>#REF!</v>
      </c>
    </row>
    <row r="9990" spans="1:12" hidden="1" x14ac:dyDescent="0.3">
      <c r="A9990" t="s">
        <v>95</v>
      </c>
      <c r="B9990" t="s">
        <v>96</v>
      </c>
      <c r="C9990" t="s">
        <v>129</v>
      </c>
      <c r="D9990" t="s">
        <v>130</v>
      </c>
      <c r="E9990">
        <v>1997</v>
      </c>
      <c r="F9990" s="1">
        <v>73</v>
      </c>
      <c r="G9990">
        <v>2000</v>
      </c>
      <c r="H9990">
        <f>AVERAGEIFS(Table1[value],Table1[IndicatorCode],Table1[[#This Row],[IndicatorCode]])</f>
        <v>72.66514008620689</v>
      </c>
      <c r="I9990" cm="1">
        <f t="array" ref="I9990">_xlfn.STDEV.P(IF(Table1[IndicatorCode]=Table1[[#This Row],[IndicatorCode]],Table1[value]))</f>
        <v>6.3409496564024987</v>
      </c>
      <c r="J9990">
        <f>(Table1[[#This Row],[value]] - Table1[[#This Row],[mean]]) / Table1[[#This Row],[std_dev]]</f>
        <v>5.2809110927887599E-2</v>
      </c>
      <c r="K9990">
        <f>AVERAGEIF(Table1[CountryCode],Table1[[#This Row],[CountryCode]],Table1[z-score])</f>
        <v>4.9319686102583721E-2</v>
      </c>
      <c r="L9990" t="e">
        <f>VLOOKUP(Table1[[#This Row],[CountryCode]],[1]!Table1[#All],1,FALSE)</f>
        <v>#REF!</v>
      </c>
    </row>
    <row r="9991" spans="1:12" hidden="1" x14ac:dyDescent="0.3">
      <c r="A9991" t="s">
        <v>95</v>
      </c>
      <c r="B9991" t="s">
        <v>96</v>
      </c>
      <c r="C9991" t="s">
        <v>129</v>
      </c>
      <c r="D9991" t="s">
        <v>130</v>
      </c>
      <c r="E9991">
        <v>1998</v>
      </c>
      <c r="F9991" s="1">
        <v>73</v>
      </c>
      <c r="G9991">
        <v>2000</v>
      </c>
      <c r="H9991">
        <f>AVERAGEIFS(Table1[value],Table1[IndicatorCode],Table1[[#This Row],[IndicatorCode]])</f>
        <v>72.66514008620689</v>
      </c>
      <c r="I9991" cm="1">
        <f t="array" ref="I9991">_xlfn.STDEV.P(IF(Table1[IndicatorCode]=Table1[[#This Row],[IndicatorCode]],Table1[value]))</f>
        <v>6.3409496564024987</v>
      </c>
      <c r="J9991">
        <f>(Table1[[#This Row],[value]] - Table1[[#This Row],[mean]]) / Table1[[#This Row],[std_dev]]</f>
        <v>5.2809110927887599E-2</v>
      </c>
      <c r="K9991">
        <f>AVERAGEIF(Table1[CountryCode],Table1[[#This Row],[CountryCode]],Table1[z-score])</f>
        <v>4.9319686102583721E-2</v>
      </c>
      <c r="L9991" t="e">
        <f>VLOOKUP(Table1[[#This Row],[CountryCode]],[1]!Table1[#All],1,FALSE)</f>
        <v>#REF!</v>
      </c>
    </row>
    <row r="9992" spans="1:12" hidden="1" x14ac:dyDescent="0.3">
      <c r="A9992" t="s">
        <v>95</v>
      </c>
      <c r="B9992" t="s">
        <v>96</v>
      </c>
      <c r="C9992" t="s">
        <v>129</v>
      </c>
      <c r="D9992" t="s">
        <v>130</v>
      </c>
      <c r="E9992">
        <v>1999</v>
      </c>
      <c r="F9992" s="1">
        <v>73</v>
      </c>
      <c r="G9992">
        <v>2000</v>
      </c>
      <c r="H9992">
        <f>AVERAGEIFS(Table1[value],Table1[IndicatorCode],Table1[[#This Row],[IndicatorCode]])</f>
        <v>72.66514008620689</v>
      </c>
      <c r="I9992" cm="1">
        <f t="array" ref="I9992">_xlfn.STDEV.P(IF(Table1[IndicatorCode]=Table1[[#This Row],[IndicatorCode]],Table1[value]))</f>
        <v>6.3409496564024987</v>
      </c>
      <c r="J9992">
        <f>(Table1[[#This Row],[value]] - Table1[[#This Row],[mean]]) / Table1[[#This Row],[std_dev]]</f>
        <v>5.2809110927887599E-2</v>
      </c>
      <c r="K9992">
        <f>AVERAGEIF(Table1[CountryCode],Table1[[#This Row],[CountryCode]],Table1[z-score])</f>
        <v>4.9319686102583721E-2</v>
      </c>
      <c r="L9992" t="e">
        <f>VLOOKUP(Table1[[#This Row],[CountryCode]],[1]!Table1[#All],1,FALSE)</f>
        <v>#REF!</v>
      </c>
    </row>
    <row r="9993" spans="1:12" hidden="1" x14ac:dyDescent="0.3">
      <c r="A9993" t="s">
        <v>95</v>
      </c>
      <c r="B9993" t="s">
        <v>96</v>
      </c>
      <c r="C9993" t="s">
        <v>129</v>
      </c>
      <c r="D9993" t="s">
        <v>130</v>
      </c>
      <c r="E9993">
        <v>2000</v>
      </c>
      <c r="F9993" s="1">
        <v>74</v>
      </c>
      <c r="G9993">
        <v>2000</v>
      </c>
      <c r="H9993">
        <f>AVERAGEIFS(Table1[value],Table1[IndicatorCode],Table1[[#This Row],[IndicatorCode]])</f>
        <v>72.66514008620689</v>
      </c>
      <c r="I9993" cm="1">
        <f t="array" ref="I9993">_xlfn.STDEV.P(IF(Table1[IndicatorCode]=Table1[[#This Row],[IndicatorCode]],Table1[value]))</f>
        <v>6.3409496564024987</v>
      </c>
      <c r="J9993">
        <f>(Table1[[#This Row],[value]] - Table1[[#This Row],[mean]]) / Table1[[#This Row],[std_dev]]</f>
        <v>0.21051419521132667</v>
      </c>
      <c r="K9993">
        <f>AVERAGEIF(Table1[CountryCode],Table1[[#This Row],[CountryCode]],Table1[z-score])</f>
        <v>4.9319686102583721E-2</v>
      </c>
      <c r="L9993" t="e">
        <f>VLOOKUP(Table1[[#This Row],[CountryCode]],[1]!Table1[#All],1,FALSE)</f>
        <v>#REF!</v>
      </c>
    </row>
    <row r="9994" spans="1:12" hidden="1" x14ac:dyDescent="0.3">
      <c r="A9994" t="s">
        <v>95</v>
      </c>
      <c r="B9994" t="s">
        <v>96</v>
      </c>
      <c r="C9994" t="s">
        <v>129</v>
      </c>
      <c r="D9994" t="s">
        <v>130</v>
      </c>
      <c r="E9994">
        <v>2001</v>
      </c>
      <c r="F9994" s="1">
        <v>74</v>
      </c>
      <c r="G9994">
        <v>2000</v>
      </c>
      <c r="H9994">
        <f>AVERAGEIFS(Table1[value],Table1[IndicatorCode],Table1[[#This Row],[IndicatorCode]])</f>
        <v>72.66514008620689</v>
      </c>
      <c r="I9994" cm="1">
        <f t="array" ref="I9994">_xlfn.STDEV.P(IF(Table1[IndicatorCode]=Table1[[#This Row],[IndicatorCode]],Table1[value]))</f>
        <v>6.3409496564024987</v>
      </c>
      <c r="J9994">
        <f>(Table1[[#This Row],[value]] - Table1[[#This Row],[mean]]) / Table1[[#This Row],[std_dev]]</f>
        <v>0.21051419521132667</v>
      </c>
      <c r="K9994">
        <f>AVERAGEIF(Table1[CountryCode],Table1[[#This Row],[CountryCode]],Table1[z-score])</f>
        <v>4.9319686102583721E-2</v>
      </c>
      <c r="L9994" t="e">
        <f>VLOOKUP(Table1[[#This Row],[CountryCode]],[1]!Table1[#All],1,FALSE)</f>
        <v>#REF!</v>
      </c>
    </row>
    <row r="9995" spans="1:12" hidden="1" x14ac:dyDescent="0.3">
      <c r="A9995" t="s">
        <v>95</v>
      </c>
      <c r="B9995" t="s">
        <v>96</v>
      </c>
      <c r="C9995" t="s">
        <v>129</v>
      </c>
      <c r="D9995" t="s">
        <v>130</v>
      </c>
      <c r="E9995">
        <v>2002</v>
      </c>
      <c r="F9995" s="1">
        <v>74</v>
      </c>
      <c r="G9995">
        <v>2000</v>
      </c>
      <c r="H9995">
        <f>AVERAGEIFS(Table1[value],Table1[IndicatorCode],Table1[[#This Row],[IndicatorCode]])</f>
        <v>72.66514008620689</v>
      </c>
      <c r="I9995" cm="1">
        <f t="array" ref="I9995">_xlfn.STDEV.P(IF(Table1[IndicatorCode]=Table1[[#This Row],[IndicatorCode]],Table1[value]))</f>
        <v>6.3409496564024987</v>
      </c>
      <c r="J9995">
        <f>(Table1[[#This Row],[value]] - Table1[[#This Row],[mean]]) / Table1[[#This Row],[std_dev]]</f>
        <v>0.21051419521132667</v>
      </c>
      <c r="K9995">
        <f>AVERAGEIF(Table1[CountryCode],Table1[[#This Row],[CountryCode]],Table1[z-score])</f>
        <v>4.9319686102583721E-2</v>
      </c>
      <c r="L9995" t="e">
        <f>VLOOKUP(Table1[[#This Row],[CountryCode]],[1]!Table1[#All],1,FALSE)</f>
        <v>#REF!</v>
      </c>
    </row>
    <row r="9996" spans="1:12" hidden="1" x14ac:dyDescent="0.3">
      <c r="A9996" t="s">
        <v>95</v>
      </c>
      <c r="B9996" t="s">
        <v>96</v>
      </c>
      <c r="C9996" t="s">
        <v>129</v>
      </c>
      <c r="D9996" t="s">
        <v>130</v>
      </c>
      <c r="E9996">
        <v>2003</v>
      </c>
      <c r="F9996" s="1">
        <v>75</v>
      </c>
      <c r="G9996">
        <v>2000</v>
      </c>
      <c r="H9996">
        <f>AVERAGEIFS(Table1[value],Table1[IndicatorCode],Table1[[#This Row],[IndicatorCode]])</f>
        <v>72.66514008620689</v>
      </c>
      <c r="I9996" cm="1">
        <f t="array" ref="I9996">_xlfn.STDEV.P(IF(Table1[IndicatorCode]=Table1[[#This Row],[IndicatorCode]],Table1[value]))</f>
        <v>6.3409496564024987</v>
      </c>
      <c r="J9996">
        <f>(Table1[[#This Row],[value]] - Table1[[#This Row],[mean]]) / Table1[[#This Row],[std_dev]]</f>
        <v>0.36821927949476574</v>
      </c>
      <c r="K9996">
        <f>AVERAGEIF(Table1[CountryCode],Table1[[#This Row],[CountryCode]],Table1[z-score])</f>
        <v>4.9319686102583721E-2</v>
      </c>
      <c r="L9996" t="e">
        <f>VLOOKUP(Table1[[#This Row],[CountryCode]],[1]!Table1[#All],1,FALSE)</f>
        <v>#REF!</v>
      </c>
    </row>
    <row r="9997" spans="1:12" hidden="1" x14ac:dyDescent="0.3">
      <c r="A9997" t="s">
        <v>95</v>
      </c>
      <c r="B9997" t="s">
        <v>96</v>
      </c>
      <c r="C9997" t="s">
        <v>129</v>
      </c>
      <c r="D9997" t="s">
        <v>130</v>
      </c>
      <c r="E9997">
        <v>2004</v>
      </c>
      <c r="F9997" s="1">
        <v>75</v>
      </c>
      <c r="G9997">
        <v>2000</v>
      </c>
      <c r="H9997">
        <f>AVERAGEIFS(Table1[value],Table1[IndicatorCode],Table1[[#This Row],[IndicatorCode]])</f>
        <v>72.66514008620689</v>
      </c>
      <c r="I9997" cm="1">
        <f t="array" ref="I9997">_xlfn.STDEV.P(IF(Table1[IndicatorCode]=Table1[[#This Row],[IndicatorCode]],Table1[value]))</f>
        <v>6.3409496564024987</v>
      </c>
      <c r="J9997">
        <f>(Table1[[#This Row],[value]] - Table1[[#This Row],[mean]]) / Table1[[#This Row],[std_dev]]</f>
        <v>0.36821927949476574</v>
      </c>
      <c r="K9997">
        <f>AVERAGEIF(Table1[CountryCode],Table1[[#This Row],[CountryCode]],Table1[z-score])</f>
        <v>4.9319686102583721E-2</v>
      </c>
      <c r="L9997" t="e">
        <f>VLOOKUP(Table1[[#This Row],[CountryCode]],[1]!Table1[#All],1,FALSE)</f>
        <v>#REF!</v>
      </c>
    </row>
    <row r="9998" spans="1:12" hidden="1" x14ac:dyDescent="0.3">
      <c r="A9998" t="s">
        <v>95</v>
      </c>
      <c r="B9998" t="s">
        <v>96</v>
      </c>
      <c r="C9998" t="s">
        <v>129</v>
      </c>
      <c r="D9998" t="s">
        <v>130</v>
      </c>
      <c r="E9998">
        <v>2005</v>
      </c>
      <c r="F9998" s="1">
        <v>75</v>
      </c>
      <c r="G9998">
        <v>2000</v>
      </c>
      <c r="H9998">
        <f>AVERAGEIFS(Table1[value],Table1[IndicatorCode],Table1[[#This Row],[IndicatorCode]])</f>
        <v>72.66514008620689</v>
      </c>
      <c r="I9998" cm="1">
        <f t="array" ref="I9998">_xlfn.STDEV.P(IF(Table1[IndicatorCode]=Table1[[#This Row],[IndicatorCode]],Table1[value]))</f>
        <v>6.3409496564024987</v>
      </c>
      <c r="J9998">
        <f>(Table1[[#This Row],[value]] - Table1[[#This Row],[mean]]) / Table1[[#This Row],[std_dev]]</f>
        <v>0.36821927949476574</v>
      </c>
      <c r="K9998">
        <f>AVERAGEIF(Table1[CountryCode],Table1[[#This Row],[CountryCode]],Table1[z-score])</f>
        <v>4.9319686102583721E-2</v>
      </c>
      <c r="L9998" t="e">
        <f>VLOOKUP(Table1[[#This Row],[CountryCode]],[1]!Table1[#All],1,FALSE)</f>
        <v>#REF!</v>
      </c>
    </row>
    <row r="9999" spans="1:12" hidden="1" x14ac:dyDescent="0.3">
      <c r="A9999" t="s">
        <v>95</v>
      </c>
      <c r="B9999" t="s">
        <v>96</v>
      </c>
      <c r="C9999" t="s">
        <v>129</v>
      </c>
      <c r="D9999" t="s">
        <v>130</v>
      </c>
      <c r="E9999">
        <v>2006</v>
      </c>
      <c r="F9999" s="1">
        <v>75</v>
      </c>
      <c r="G9999">
        <v>2000</v>
      </c>
      <c r="H9999">
        <f>AVERAGEIFS(Table1[value],Table1[IndicatorCode],Table1[[#This Row],[IndicatorCode]])</f>
        <v>72.66514008620689</v>
      </c>
      <c r="I9999" cm="1">
        <f t="array" ref="I9999">_xlfn.STDEV.P(IF(Table1[IndicatorCode]=Table1[[#This Row],[IndicatorCode]],Table1[value]))</f>
        <v>6.3409496564024987</v>
      </c>
      <c r="J9999">
        <f>(Table1[[#This Row],[value]] - Table1[[#This Row],[mean]]) / Table1[[#This Row],[std_dev]]</f>
        <v>0.36821927949476574</v>
      </c>
      <c r="K9999">
        <f>AVERAGEIF(Table1[CountryCode],Table1[[#This Row],[CountryCode]],Table1[z-score])</f>
        <v>4.9319686102583721E-2</v>
      </c>
      <c r="L9999" t="e">
        <f>VLOOKUP(Table1[[#This Row],[CountryCode]],[1]!Table1[#All],1,FALSE)</f>
        <v>#REF!</v>
      </c>
    </row>
    <row r="10000" spans="1:12" hidden="1" x14ac:dyDescent="0.3">
      <c r="A10000" t="s">
        <v>95</v>
      </c>
      <c r="B10000" t="s">
        <v>96</v>
      </c>
      <c r="C10000" t="s">
        <v>129</v>
      </c>
      <c r="D10000" t="s">
        <v>130</v>
      </c>
      <c r="E10000">
        <v>2007</v>
      </c>
      <c r="F10000" s="1">
        <v>75</v>
      </c>
      <c r="G10000">
        <v>2010</v>
      </c>
      <c r="H10000">
        <f>AVERAGEIFS(Table1[value],Table1[IndicatorCode],Table1[[#This Row],[IndicatorCode]])</f>
        <v>72.66514008620689</v>
      </c>
      <c r="I10000" cm="1">
        <f t="array" ref="I10000">_xlfn.STDEV.P(IF(Table1[IndicatorCode]=Table1[[#This Row],[IndicatorCode]],Table1[value]))</f>
        <v>6.3409496564024987</v>
      </c>
      <c r="J10000">
        <f>(Table1[[#This Row],[value]] - Table1[[#This Row],[mean]]) / Table1[[#This Row],[std_dev]]</f>
        <v>0.36821927949476574</v>
      </c>
      <c r="K10000">
        <f>AVERAGEIF(Table1[CountryCode],Table1[[#This Row],[CountryCode]],Table1[z-score])</f>
        <v>4.9319686102583721E-2</v>
      </c>
      <c r="L10000" t="e">
        <f>VLOOKUP(Table1[[#This Row],[CountryCode]],[1]!Table1[#All],1,FALSE)</f>
        <v>#REF!</v>
      </c>
    </row>
    <row r="10001" spans="1:12" hidden="1" x14ac:dyDescent="0.3">
      <c r="A10001" t="s">
        <v>95</v>
      </c>
      <c r="B10001" t="s">
        <v>96</v>
      </c>
      <c r="C10001" t="s">
        <v>129</v>
      </c>
      <c r="D10001" t="s">
        <v>130</v>
      </c>
      <c r="E10001">
        <v>2008</v>
      </c>
      <c r="F10001" s="1">
        <v>76</v>
      </c>
      <c r="G10001">
        <v>2010</v>
      </c>
      <c r="H10001">
        <f>AVERAGEIFS(Table1[value],Table1[IndicatorCode],Table1[[#This Row],[IndicatorCode]])</f>
        <v>72.66514008620689</v>
      </c>
      <c r="I10001" cm="1">
        <f t="array" ref="I10001">_xlfn.STDEV.P(IF(Table1[IndicatorCode]=Table1[[#This Row],[IndicatorCode]],Table1[value]))</f>
        <v>6.3409496564024987</v>
      </c>
      <c r="J10001">
        <f>(Table1[[#This Row],[value]] - Table1[[#This Row],[mean]]) / Table1[[#This Row],[std_dev]]</f>
        <v>0.52592436377820473</v>
      </c>
      <c r="K10001">
        <f>AVERAGEIF(Table1[CountryCode],Table1[[#This Row],[CountryCode]],Table1[z-score])</f>
        <v>4.9319686102583721E-2</v>
      </c>
      <c r="L10001" t="e">
        <f>VLOOKUP(Table1[[#This Row],[CountryCode]],[1]!Table1[#All],1,FALSE)</f>
        <v>#REF!</v>
      </c>
    </row>
    <row r="10002" spans="1:12" hidden="1" x14ac:dyDescent="0.3">
      <c r="A10002" t="s">
        <v>95</v>
      </c>
      <c r="B10002" t="s">
        <v>96</v>
      </c>
      <c r="C10002" t="s">
        <v>129</v>
      </c>
      <c r="D10002" t="s">
        <v>130</v>
      </c>
      <c r="E10002">
        <v>2009</v>
      </c>
      <c r="F10002" s="1">
        <v>76</v>
      </c>
      <c r="G10002">
        <v>2010</v>
      </c>
      <c r="H10002">
        <f>AVERAGEIFS(Table1[value],Table1[IndicatorCode],Table1[[#This Row],[IndicatorCode]])</f>
        <v>72.66514008620689</v>
      </c>
      <c r="I10002" cm="1">
        <f t="array" ref="I10002">_xlfn.STDEV.P(IF(Table1[IndicatorCode]=Table1[[#This Row],[IndicatorCode]],Table1[value]))</f>
        <v>6.3409496564024987</v>
      </c>
      <c r="J10002">
        <f>(Table1[[#This Row],[value]] - Table1[[#This Row],[mean]]) / Table1[[#This Row],[std_dev]]</f>
        <v>0.52592436377820473</v>
      </c>
      <c r="K10002">
        <f>AVERAGEIF(Table1[CountryCode],Table1[[#This Row],[CountryCode]],Table1[z-score])</f>
        <v>4.9319686102583721E-2</v>
      </c>
      <c r="L10002" t="e">
        <f>VLOOKUP(Table1[[#This Row],[CountryCode]],[1]!Table1[#All],1,FALSE)</f>
        <v>#REF!</v>
      </c>
    </row>
    <row r="10003" spans="1:12" hidden="1" x14ac:dyDescent="0.3">
      <c r="A10003" t="s">
        <v>95</v>
      </c>
      <c r="B10003" t="s">
        <v>96</v>
      </c>
      <c r="C10003" t="s">
        <v>129</v>
      </c>
      <c r="D10003" t="s">
        <v>130</v>
      </c>
      <c r="E10003">
        <v>2010</v>
      </c>
      <c r="F10003" s="1">
        <v>76</v>
      </c>
      <c r="G10003">
        <v>2010</v>
      </c>
      <c r="H10003">
        <f>AVERAGEIFS(Table1[value],Table1[IndicatorCode],Table1[[#This Row],[IndicatorCode]])</f>
        <v>72.66514008620689</v>
      </c>
      <c r="I10003" cm="1">
        <f t="array" ref="I10003">_xlfn.STDEV.P(IF(Table1[IndicatorCode]=Table1[[#This Row],[IndicatorCode]],Table1[value]))</f>
        <v>6.3409496564024987</v>
      </c>
      <c r="J10003">
        <f>(Table1[[#This Row],[value]] - Table1[[#This Row],[mean]]) / Table1[[#This Row],[std_dev]]</f>
        <v>0.52592436377820473</v>
      </c>
      <c r="K10003">
        <f>AVERAGEIF(Table1[CountryCode],Table1[[#This Row],[CountryCode]],Table1[z-score])</f>
        <v>4.9319686102583721E-2</v>
      </c>
      <c r="L10003" t="e">
        <f>VLOOKUP(Table1[[#This Row],[CountryCode]],[1]!Table1[#All],1,FALSE)</f>
        <v>#REF!</v>
      </c>
    </row>
    <row r="10004" spans="1:12" hidden="1" x14ac:dyDescent="0.3">
      <c r="A10004" t="s">
        <v>95</v>
      </c>
      <c r="B10004" t="s">
        <v>96</v>
      </c>
      <c r="C10004" t="s">
        <v>129</v>
      </c>
      <c r="D10004" t="s">
        <v>130</v>
      </c>
      <c r="E10004">
        <v>2011</v>
      </c>
      <c r="F10004" s="1">
        <v>77</v>
      </c>
      <c r="G10004">
        <v>2010</v>
      </c>
      <c r="H10004">
        <f>AVERAGEIFS(Table1[value],Table1[IndicatorCode],Table1[[#This Row],[IndicatorCode]])</f>
        <v>72.66514008620689</v>
      </c>
      <c r="I10004" cm="1">
        <f t="array" ref="I10004">_xlfn.STDEV.P(IF(Table1[IndicatorCode]=Table1[[#This Row],[IndicatorCode]],Table1[value]))</f>
        <v>6.3409496564024987</v>
      </c>
      <c r="J10004">
        <f>(Table1[[#This Row],[value]] - Table1[[#This Row],[mean]]) / Table1[[#This Row],[std_dev]]</f>
        <v>0.68362944806164383</v>
      </c>
      <c r="K10004">
        <f>AVERAGEIF(Table1[CountryCode],Table1[[#This Row],[CountryCode]],Table1[z-score])</f>
        <v>4.9319686102583721E-2</v>
      </c>
      <c r="L10004" t="e">
        <f>VLOOKUP(Table1[[#This Row],[CountryCode]],[1]!Table1[#All],1,FALSE)</f>
        <v>#REF!</v>
      </c>
    </row>
    <row r="10005" spans="1:12" hidden="1" x14ac:dyDescent="0.3">
      <c r="A10005" t="s">
        <v>95</v>
      </c>
      <c r="B10005" t="s">
        <v>96</v>
      </c>
      <c r="C10005" t="s">
        <v>129</v>
      </c>
      <c r="D10005" t="s">
        <v>130</v>
      </c>
      <c r="E10005">
        <v>2012</v>
      </c>
      <c r="F10005" s="1">
        <v>77</v>
      </c>
      <c r="G10005">
        <v>2010</v>
      </c>
      <c r="H10005">
        <f>AVERAGEIFS(Table1[value],Table1[IndicatorCode],Table1[[#This Row],[IndicatorCode]])</f>
        <v>72.66514008620689</v>
      </c>
      <c r="I10005" cm="1">
        <f t="array" ref="I10005">_xlfn.STDEV.P(IF(Table1[IndicatorCode]=Table1[[#This Row],[IndicatorCode]],Table1[value]))</f>
        <v>6.3409496564024987</v>
      </c>
      <c r="J10005">
        <f>(Table1[[#This Row],[value]] - Table1[[#This Row],[mean]]) / Table1[[#This Row],[std_dev]]</f>
        <v>0.68362944806164383</v>
      </c>
      <c r="K10005">
        <f>AVERAGEIF(Table1[CountryCode],Table1[[#This Row],[CountryCode]],Table1[z-score])</f>
        <v>4.9319686102583721E-2</v>
      </c>
      <c r="L10005" t="e">
        <f>VLOOKUP(Table1[[#This Row],[CountryCode]],[1]!Table1[#All],1,FALSE)</f>
        <v>#REF!</v>
      </c>
    </row>
    <row r="10006" spans="1:12" hidden="1" x14ac:dyDescent="0.3">
      <c r="A10006" t="s">
        <v>95</v>
      </c>
      <c r="B10006" t="s">
        <v>96</v>
      </c>
      <c r="C10006" t="s">
        <v>129</v>
      </c>
      <c r="D10006" t="s">
        <v>130</v>
      </c>
      <c r="E10006">
        <v>2013</v>
      </c>
      <c r="F10006" s="1">
        <v>77</v>
      </c>
      <c r="G10006">
        <v>2010</v>
      </c>
      <c r="H10006">
        <f>AVERAGEIFS(Table1[value],Table1[IndicatorCode],Table1[[#This Row],[IndicatorCode]])</f>
        <v>72.66514008620689</v>
      </c>
      <c r="I10006" cm="1">
        <f t="array" ref="I10006">_xlfn.STDEV.P(IF(Table1[IndicatorCode]=Table1[[#This Row],[IndicatorCode]],Table1[value]))</f>
        <v>6.3409496564024987</v>
      </c>
      <c r="J10006">
        <f>(Table1[[#This Row],[value]] - Table1[[#This Row],[mean]]) / Table1[[#This Row],[std_dev]]</f>
        <v>0.68362944806164383</v>
      </c>
      <c r="K10006">
        <f>AVERAGEIF(Table1[CountryCode],Table1[[#This Row],[CountryCode]],Table1[z-score])</f>
        <v>4.9319686102583721E-2</v>
      </c>
      <c r="L10006" t="e">
        <f>VLOOKUP(Table1[[#This Row],[CountryCode]],[1]!Table1[#All],1,FALSE)</f>
        <v>#REF!</v>
      </c>
    </row>
    <row r="10007" spans="1:12" hidden="1" x14ac:dyDescent="0.3">
      <c r="A10007" t="s">
        <v>95</v>
      </c>
      <c r="B10007" t="s">
        <v>96</v>
      </c>
      <c r="C10007" t="s">
        <v>129</v>
      </c>
      <c r="D10007" t="s">
        <v>130</v>
      </c>
      <c r="E10007">
        <v>2014</v>
      </c>
      <c r="F10007" s="1">
        <v>78</v>
      </c>
      <c r="G10007">
        <v>2010</v>
      </c>
      <c r="H10007">
        <f>AVERAGEIFS(Table1[value],Table1[IndicatorCode],Table1[[#This Row],[IndicatorCode]])</f>
        <v>72.66514008620689</v>
      </c>
      <c r="I10007" cm="1">
        <f t="array" ref="I10007">_xlfn.STDEV.P(IF(Table1[IndicatorCode]=Table1[[#This Row],[IndicatorCode]],Table1[value]))</f>
        <v>6.3409496564024987</v>
      </c>
      <c r="J10007">
        <f>(Table1[[#This Row],[value]] - Table1[[#This Row],[mean]]) / Table1[[#This Row],[std_dev]]</f>
        <v>0.84133453234508293</v>
      </c>
      <c r="K10007">
        <f>AVERAGEIF(Table1[CountryCode],Table1[[#This Row],[CountryCode]],Table1[z-score])</f>
        <v>4.9319686102583721E-2</v>
      </c>
      <c r="L10007" t="e">
        <f>VLOOKUP(Table1[[#This Row],[CountryCode]],[1]!Table1[#All],1,FALSE)</f>
        <v>#REF!</v>
      </c>
    </row>
    <row r="10008" spans="1:12" hidden="1" x14ac:dyDescent="0.3">
      <c r="A10008" t="s">
        <v>95</v>
      </c>
      <c r="B10008" t="s">
        <v>96</v>
      </c>
      <c r="C10008" t="s">
        <v>129</v>
      </c>
      <c r="D10008" t="s">
        <v>130</v>
      </c>
      <c r="E10008">
        <v>2015</v>
      </c>
      <c r="F10008" s="1">
        <v>77</v>
      </c>
      <c r="G10008">
        <v>2010</v>
      </c>
      <c r="H10008">
        <f>AVERAGEIFS(Table1[value],Table1[IndicatorCode],Table1[[#This Row],[IndicatorCode]])</f>
        <v>72.66514008620689</v>
      </c>
      <c r="I10008" cm="1">
        <f t="array" ref="I10008">_xlfn.STDEV.P(IF(Table1[IndicatorCode]=Table1[[#This Row],[IndicatorCode]],Table1[value]))</f>
        <v>6.3409496564024987</v>
      </c>
      <c r="J10008">
        <f>(Table1[[#This Row],[value]] - Table1[[#This Row],[mean]]) / Table1[[#This Row],[std_dev]]</f>
        <v>0.68362944806164383</v>
      </c>
      <c r="K10008">
        <f>AVERAGEIF(Table1[CountryCode],Table1[[#This Row],[CountryCode]],Table1[z-score])</f>
        <v>4.9319686102583721E-2</v>
      </c>
      <c r="L10008" t="e">
        <f>VLOOKUP(Table1[[#This Row],[CountryCode]],[1]!Table1[#All],1,FALSE)</f>
        <v>#REF!</v>
      </c>
    </row>
    <row r="10009" spans="1:12" hidden="1" x14ac:dyDescent="0.3">
      <c r="A10009" t="s">
        <v>95</v>
      </c>
      <c r="B10009" t="s">
        <v>96</v>
      </c>
      <c r="C10009" t="s">
        <v>129</v>
      </c>
      <c r="D10009" t="s">
        <v>130</v>
      </c>
      <c r="E10009">
        <v>2016</v>
      </c>
      <c r="F10009" s="1">
        <v>78</v>
      </c>
      <c r="G10009">
        <v>2010</v>
      </c>
      <c r="H10009">
        <f>AVERAGEIFS(Table1[value],Table1[IndicatorCode],Table1[[#This Row],[IndicatorCode]])</f>
        <v>72.66514008620689</v>
      </c>
      <c r="I10009" cm="1">
        <f t="array" ref="I10009">_xlfn.STDEV.P(IF(Table1[IndicatorCode]=Table1[[#This Row],[IndicatorCode]],Table1[value]))</f>
        <v>6.3409496564024987</v>
      </c>
      <c r="J10009">
        <f>(Table1[[#This Row],[value]] - Table1[[#This Row],[mean]]) / Table1[[#This Row],[std_dev]]</f>
        <v>0.84133453234508293</v>
      </c>
      <c r="K10009">
        <f>AVERAGEIF(Table1[CountryCode],Table1[[#This Row],[CountryCode]],Table1[z-score])</f>
        <v>4.9319686102583721E-2</v>
      </c>
      <c r="L10009" t="e">
        <f>VLOOKUP(Table1[[#This Row],[CountryCode]],[1]!Table1[#All],1,FALSE)</f>
        <v>#REF!</v>
      </c>
    </row>
    <row r="10010" spans="1:12" hidden="1" x14ac:dyDescent="0.3">
      <c r="A10010" t="s">
        <v>95</v>
      </c>
      <c r="B10010" t="s">
        <v>96</v>
      </c>
      <c r="C10010" t="s">
        <v>129</v>
      </c>
      <c r="D10010" t="s">
        <v>130</v>
      </c>
      <c r="E10010">
        <v>2017</v>
      </c>
      <c r="F10010" s="1">
        <v>78</v>
      </c>
      <c r="G10010">
        <v>2020</v>
      </c>
      <c r="H10010">
        <f>AVERAGEIFS(Table1[value],Table1[IndicatorCode],Table1[[#This Row],[IndicatorCode]])</f>
        <v>72.66514008620689</v>
      </c>
      <c r="I10010" cm="1">
        <f t="array" ref="I10010">_xlfn.STDEV.P(IF(Table1[IndicatorCode]=Table1[[#This Row],[IndicatorCode]],Table1[value]))</f>
        <v>6.3409496564024987</v>
      </c>
      <c r="J10010">
        <f>(Table1[[#This Row],[value]] - Table1[[#This Row],[mean]]) / Table1[[#This Row],[std_dev]]</f>
        <v>0.84133453234508293</v>
      </c>
      <c r="K10010">
        <f>AVERAGEIF(Table1[CountryCode],Table1[[#This Row],[CountryCode]],Table1[z-score])</f>
        <v>4.9319686102583721E-2</v>
      </c>
      <c r="L10010" t="e">
        <f>VLOOKUP(Table1[[#This Row],[CountryCode]],[1]!Table1[#All],1,FALSE)</f>
        <v>#REF!</v>
      </c>
    </row>
    <row r="10011" spans="1:12" hidden="1" x14ac:dyDescent="0.3">
      <c r="A10011" t="s">
        <v>95</v>
      </c>
      <c r="B10011" t="s">
        <v>96</v>
      </c>
      <c r="C10011" t="s">
        <v>129</v>
      </c>
      <c r="D10011" t="s">
        <v>130</v>
      </c>
      <c r="E10011">
        <v>2018</v>
      </c>
      <c r="F10011" s="1">
        <v>78</v>
      </c>
      <c r="G10011">
        <v>2020</v>
      </c>
      <c r="H10011">
        <f>AVERAGEIFS(Table1[value],Table1[IndicatorCode],Table1[[#This Row],[IndicatorCode]])</f>
        <v>72.66514008620689</v>
      </c>
      <c r="I10011" cm="1">
        <f t="array" ref="I10011">_xlfn.STDEV.P(IF(Table1[IndicatorCode]=Table1[[#This Row],[IndicatorCode]],Table1[value]))</f>
        <v>6.3409496564024987</v>
      </c>
      <c r="J10011">
        <f>(Table1[[#This Row],[value]] - Table1[[#This Row],[mean]]) / Table1[[#This Row],[std_dev]]</f>
        <v>0.84133453234508293</v>
      </c>
      <c r="K10011">
        <f>AVERAGEIF(Table1[CountryCode],Table1[[#This Row],[CountryCode]],Table1[z-score])</f>
        <v>4.9319686102583721E-2</v>
      </c>
      <c r="L10011" t="e">
        <f>VLOOKUP(Table1[[#This Row],[CountryCode]],[1]!Table1[#All],1,FALSE)</f>
        <v>#REF!</v>
      </c>
    </row>
    <row r="10012" spans="1:12" hidden="1" x14ac:dyDescent="0.3">
      <c r="A10012" t="s">
        <v>95</v>
      </c>
      <c r="B10012" t="s">
        <v>96</v>
      </c>
      <c r="C10012" t="s">
        <v>129</v>
      </c>
      <c r="D10012" t="s">
        <v>130</v>
      </c>
      <c r="E10012">
        <v>2019</v>
      </c>
      <c r="F10012" s="1">
        <v>78</v>
      </c>
      <c r="G10012">
        <v>2020</v>
      </c>
      <c r="H10012">
        <f>AVERAGEIFS(Table1[value],Table1[IndicatorCode],Table1[[#This Row],[IndicatorCode]])</f>
        <v>72.66514008620689</v>
      </c>
      <c r="I10012" cm="1">
        <f t="array" ref="I10012">_xlfn.STDEV.P(IF(Table1[IndicatorCode]=Table1[[#This Row],[IndicatorCode]],Table1[value]))</f>
        <v>6.3409496564024987</v>
      </c>
      <c r="J10012">
        <f>(Table1[[#This Row],[value]] - Table1[[#This Row],[mean]]) / Table1[[#This Row],[std_dev]]</f>
        <v>0.84133453234508293</v>
      </c>
      <c r="K10012">
        <f>AVERAGEIF(Table1[CountryCode],Table1[[#This Row],[CountryCode]],Table1[z-score])</f>
        <v>4.9319686102583721E-2</v>
      </c>
      <c r="L10012" t="e">
        <f>VLOOKUP(Table1[[#This Row],[CountryCode]],[1]!Table1[#All],1,FALSE)</f>
        <v>#REF!</v>
      </c>
    </row>
    <row r="10013" spans="1:12" x14ac:dyDescent="0.3">
      <c r="A10013" t="s">
        <v>95</v>
      </c>
      <c r="B10013" t="s">
        <v>96</v>
      </c>
      <c r="C10013" t="s">
        <v>129</v>
      </c>
      <c r="D10013" t="s">
        <v>130</v>
      </c>
      <c r="E10013">
        <v>2020</v>
      </c>
      <c r="F10013" s="1">
        <v>76</v>
      </c>
      <c r="G10013">
        <v>2020</v>
      </c>
      <c r="H10013">
        <f>AVERAGEIFS(Table1[value],Table1[IndicatorCode],Table1[[#This Row],[IndicatorCode]])</f>
        <v>72.66514008620689</v>
      </c>
      <c r="I10013" cm="1">
        <f t="array" ref="I10013">_xlfn.STDEV.P(IF(Table1[IndicatorCode]=Table1[[#This Row],[IndicatorCode]],Table1[value]))</f>
        <v>6.3409496564024987</v>
      </c>
      <c r="J10013">
        <f>(Table1[[#This Row],[value]] - Table1[[#This Row],[mean]]) / Table1[[#This Row],[std_dev]]</f>
        <v>0.52592436377820473</v>
      </c>
      <c r="K10013">
        <f>AVERAGEIF(Table1[CountryCode],Table1[[#This Row],[CountryCode]],Table1[z-score])</f>
        <v>4.9319686102583721E-2</v>
      </c>
    </row>
    <row r="10014" spans="1:12" hidden="1" x14ac:dyDescent="0.3">
      <c r="A10014" t="s">
        <v>95</v>
      </c>
      <c r="B10014" t="s">
        <v>96</v>
      </c>
      <c r="C10014" t="s">
        <v>129</v>
      </c>
      <c r="D10014" t="s">
        <v>130</v>
      </c>
      <c r="E10014">
        <v>2021</v>
      </c>
      <c r="F10014" s="1">
        <v>75</v>
      </c>
      <c r="G10014">
        <v>1960</v>
      </c>
      <c r="H10014">
        <f>AVERAGEIFS(Table1[value],Table1[IndicatorCode],Table1[[#This Row],[IndicatorCode]])</f>
        <v>72.66514008620689</v>
      </c>
      <c r="I10014" cm="1">
        <f t="array" ref="I10014">_xlfn.STDEV.P(IF(Table1[IndicatorCode]=Table1[[#This Row],[IndicatorCode]],Table1[value]))</f>
        <v>6.3409496564024987</v>
      </c>
      <c r="J10014">
        <f>(Table1[[#This Row],[value]] - Table1[[#This Row],[mean]]) / Table1[[#This Row],[std_dev]]</f>
        <v>0.36821927949476574</v>
      </c>
      <c r="K10014">
        <f>AVERAGEIF(Table1[CountryCode],Table1[[#This Row],[CountryCode]],Table1[z-score])</f>
        <v>4.9319686102583721E-2</v>
      </c>
      <c r="L10014" t="e">
        <f>VLOOKUP(Table1[[#This Row],[CountryCode]],[1]!Table1[#All],1,FALSE)</f>
        <v>#REF!</v>
      </c>
    </row>
    <row r="10015" spans="1:12" hidden="1" x14ac:dyDescent="0.3">
      <c r="A10015" t="s">
        <v>95</v>
      </c>
      <c r="B10015" t="s">
        <v>96</v>
      </c>
      <c r="C10015" t="s">
        <v>129</v>
      </c>
      <c r="D10015" t="s">
        <v>130</v>
      </c>
      <c r="E10015">
        <v>2022</v>
      </c>
      <c r="F10015" s="1">
        <v>77</v>
      </c>
      <c r="G10015">
        <v>1960</v>
      </c>
      <c r="H10015">
        <f>AVERAGEIFS(Table1[value],Table1[IndicatorCode],Table1[[#This Row],[IndicatorCode]])</f>
        <v>72.66514008620689</v>
      </c>
      <c r="I10015" cm="1">
        <f t="array" ref="I10015">_xlfn.STDEV.P(IF(Table1[IndicatorCode]=Table1[[#This Row],[IndicatorCode]],Table1[value]))</f>
        <v>6.3409496564024987</v>
      </c>
      <c r="J10015">
        <f>(Table1[[#This Row],[value]] - Table1[[#This Row],[mean]]) / Table1[[#This Row],[std_dev]]</f>
        <v>0.68362944806164383</v>
      </c>
      <c r="K10015">
        <f>AVERAGEIF(Table1[CountryCode],Table1[[#This Row],[CountryCode]],Table1[z-score])</f>
        <v>4.9319686102583721E-2</v>
      </c>
      <c r="L10015" t="e">
        <f>VLOOKUP(Table1[[#This Row],[CountryCode]],[1]!Table1[#All],1,FALSE)</f>
        <v>#REF!</v>
      </c>
    </row>
    <row r="10016" spans="1:12" hidden="1" x14ac:dyDescent="0.3">
      <c r="A10016" t="s">
        <v>95</v>
      </c>
      <c r="B10016" t="s">
        <v>96</v>
      </c>
      <c r="C10016" t="s">
        <v>129</v>
      </c>
      <c r="D10016" t="s">
        <v>130</v>
      </c>
      <c r="E10016">
        <v>2023</v>
      </c>
      <c r="F10016" s="1">
        <v>79</v>
      </c>
      <c r="G10016">
        <v>1960</v>
      </c>
      <c r="H10016">
        <f>AVERAGEIFS(Table1[value],Table1[IndicatorCode],Table1[[#This Row],[IndicatorCode]])</f>
        <v>72.66514008620689</v>
      </c>
      <c r="I10016" cm="1">
        <f t="array" ref="I10016">_xlfn.STDEV.P(IF(Table1[IndicatorCode]=Table1[[#This Row],[IndicatorCode]],Table1[value]))</f>
        <v>6.3409496564024987</v>
      </c>
      <c r="J10016">
        <f>(Table1[[#This Row],[value]] - Table1[[#This Row],[mean]]) / Table1[[#This Row],[std_dev]]</f>
        <v>0.99903961662852192</v>
      </c>
      <c r="K10016">
        <f>AVERAGEIF(Table1[CountryCode],Table1[[#This Row],[CountryCode]],Table1[z-score])</f>
        <v>4.9319686102583721E-2</v>
      </c>
      <c r="L10016" t="e">
        <f>VLOOKUP(Table1[[#This Row],[CountryCode]],[1]!Table1[#All],1,FALSE)</f>
        <v>#REF!</v>
      </c>
    </row>
    <row r="10017" spans="1:12" hidden="1" x14ac:dyDescent="0.3">
      <c r="A10017" t="s">
        <v>97</v>
      </c>
      <c r="B10017" t="s">
        <v>98</v>
      </c>
      <c r="C10017" t="s">
        <v>129</v>
      </c>
      <c r="D10017" t="s">
        <v>130</v>
      </c>
      <c r="E10017">
        <v>1960</v>
      </c>
      <c r="F10017" s="1">
        <v>64</v>
      </c>
      <c r="G10017">
        <v>1960</v>
      </c>
      <c r="H10017">
        <f>AVERAGEIFS(Table1[value],Table1[IndicatorCode],Table1[[#This Row],[IndicatorCode]])</f>
        <v>72.66514008620689</v>
      </c>
      <c r="I10017" cm="1">
        <f t="array" ref="I10017">_xlfn.STDEV.P(IF(Table1[IndicatorCode]=Table1[[#This Row],[IndicatorCode]],Table1[value]))</f>
        <v>6.3409496564024987</v>
      </c>
      <c r="J10017">
        <f>(Table1[[#This Row],[value]] - Table1[[#This Row],[mean]]) / Table1[[#This Row],[std_dev]]</f>
        <v>-1.3665366476230638</v>
      </c>
      <c r="K10017">
        <f>AVERAGEIF(Table1[CountryCode],Table1[[#This Row],[CountryCode]],Table1[z-score])</f>
        <v>-0.19691915896687051</v>
      </c>
      <c r="L10017" t="e">
        <f>VLOOKUP(Table1[[#This Row],[CountryCode]],[1]!Table1[#All],1,FALSE)</f>
        <v>#REF!</v>
      </c>
    </row>
    <row r="10018" spans="1:12" hidden="1" x14ac:dyDescent="0.3">
      <c r="A10018" t="s">
        <v>97</v>
      </c>
      <c r="B10018" t="s">
        <v>98</v>
      </c>
      <c r="C10018" t="s">
        <v>129</v>
      </c>
      <c r="D10018" t="s">
        <v>130</v>
      </c>
      <c r="E10018">
        <v>1961</v>
      </c>
      <c r="F10018" s="1">
        <v>63</v>
      </c>
      <c r="G10018">
        <v>1960</v>
      </c>
      <c r="H10018">
        <f>AVERAGEIFS(Table1[value],Table1[IndicatorCode],Table1[[#This Row],[IndicatorCode]])</f>
        <v>72.66514008620689</v>
      </c>
      <c r="I10018" cm="1">
        <f t="array" ref="I10018">_xlfn.STDEV.P(IF(Table1[IndicatorCode]=Table1[[#This Row],[IndicatorCode]],Table1[value]))</f>
        <v>6.3409496564024987</v>
      </c>
      <c r="J10018">
        <f>(Table1[[#This Row],[value]] - Table1[[#This Row],[mean]]) / Table1[[#This Row],[std_dev]]</f>
        <v>-1.5242417319065029</v>
      </c>
      <c r="K10018">
        <f>AVERAGEIF(Table1[CountryCode],Table1[[#This Row],[CountryCode]],Table1[z-score])</f>
        <v>-0.19691915896687051</v>
      </c>
      <c r="L10018" t="e">
        <f>VLOOKUP(Table1[[#This Row],[CountryCode]],[1]!Table1[#All],1,FALSE)</f>
        <v>#REF!</v>
      </c>
    </row>
    <row r="10019" spans="1:12" hidden="1" x14ac:dyDescent="0.3">
      <c r="A10019" t="s">
        <v>97</v>
      </c>
      <c r="B10019" t="s">
        <v>98</v>
      </c>
      <c r="C10019" t="s">
        <v>129</v>
      </c>
      <c r="D10019" t="s">
        <v>130</v>
      </c>
      <c r="E10019">
        <v>1962</v>
      </c>
      <c r="F10019" s="1">
        <v>64</v>
      </c>
      <c r="G10019">
        <v>1960</v>
      </c>
      <c r="H10019">
        <f>AVERAGEIFS(Table1[value],Table1[IndicatorCode],Table1[[#This Row],[IndicatorCode]])</f>
        <v>72.66514008620689</v>
      </c>
      <c r="I10019" cm="1">
        <f t="array" ref="I10019">_xlfn.STDEV.P(IF(Table1[IndicatorCode]=Table1[[#This Row],[IndicatorCode]],Table1[value]))</f>
        <v>6.3409496564024987</v>
      </c>
      <c r="J10019">
        <f>(Table1[[#This Row],[value]] - Table1[[#This Row],[mean]]) / Table1[[#This Row],[std_dev]]</f>
        <v>-1.3665366476230638</v>
      </c>
      <c r="K10019">
        <f>AVERAGEIF(Table1[CountryCode],Table1[[#This Row],[CountryCode]],Table1[z-score])</f>
        <v>-0.19691915896687051</v>
      </c>
      <c r="L10019" t="e">
        <f>VLOOKUP(Table1[[#This Row],[CountryCode]],[1]!Table1[#All],1,FALSE)</f>
        <v>#REF!</v>
      </c>
    </row>
    <row r="10020" spans="1:12" hidden="1" x14ac:dyDescent="0.3">
      <c r="A10020" t="s">
        <v>97</v>
      </c>
      <c r="B10020" t="s">
        <v>98</v>
      </c>
      <c r="C10020" t="s">
        <v>129</v>
      </c>
      <c r="D10020" t="s">
        <v>130</v>
      </c>
      <c r="E10020">
        <v>1963</v>
      </c>
      <c r="F10020" s="1">
        <v>65</v>
      </c>
      <c r="G10020">
        <v>1960</v>
      </c>
      <c r="H10020">
        <f>AVERAGEIFS(Table1[value],Table1[IndicatorCode],Table1[[#This Row],[IndicatorCode]])</f>
        <v>72.66514008620689</v>
      </c>
      <c r="I10020" cm="1">
        <f t="array" ref="I10020">_xlfn.STDEV.P(IF(Table1[IndicatorCode]=Table1[[#This Row],[IndicatorCode]],Table1[value]))</f>
        <v>6.3409496564024987</v>
      </c>
      <c r="J10020">
        <f>(Table1[[#This Row],[value]] - Table1[[#This Row],[mean]]) / Table1[[#This Row],[std_dev]]</f>
        <v>-1.2088315633396249</v>
      </c>
      <c r="K10020">
        <f>AVERAGEIF(Table1[CountryCode],Table1[[#This Row],[CountryCode]],Table1[z-score])</f>
        <v>-0.19691915896687051</v>
      </c>
      <c r="L10020" t="e">
        <f>VLOOKUP(Table1[[#This Row],[CountryCode]],[1]!Table1[#All],1,FALSE)</f>
        <v>#REF!</v>
      </c>
    </row>
    <row r="10021" spans="1:12" hidden="1" x14ac:dyDescent="0.3">
      <c r="A10021" t="s">
        <v>97</v>
      </c>
      <c r="B10021" t="s">
        <v>98</v>
      </c>
      <c r="C10021" t="s">
        <v>129</v>
      </c>
      <c r="D10021" t="s">
        <v>130</v>
      </c>
      <c r="E10021">
        <v>1964</v>
      </c>
      <c r="F10021" s="1">
        <v>65</v>
      </c>
      <c r="G10021">
        <v>1960</v>
      </c>
      <c r="H10021">
        <f>AVERAGEIFS(Table1[value],Table1[IndicatorCode],Table1[[#This Row],[IndicatorCode]])</f>
        <v>72.66514008620689</v>
      </c>
      <c r="I10021" cm="1">
        <f t="array" ref="I10021">_xlfn.STDEV.P(IF(Table1[IndicatorCode]=Table1[[#This Row],[IndicatorCode]],Table1[value]))</f>
        <v>6.3409496564024987</v>
      </c>
      <c r="J10021">
        <f>(Table1[[#This Row],[value]] - Table1[[#This Row],[mean]]) / Table1[[#This Row],[std_dev]]</f>
        <v>-1.2088315633396249</v>
      </c>
      <c r="K10021">
        <f>AVERAGEIF(Table1[CountryCode],Table1[[#This Row],[CountryCode]],Table1[z-score])</f>
        <v>-0.19691915896687051</v>
      </c>
      <c r="L10021" t="e">
        <f>VLOOKUP(Table1[[#This Row],[CountryCode]],[1]!Table1[#All],1,FALSE)</f>
        <v>#REF!</v>
      </c>
    </row>
    <row r="10022" spans="1:12" hidden="1" x14ac:dyDescent="0.3">
      <c r="A10022" t="s">
        <v>97</v>
      </c>
      <c r="B10022" t="s">
        <v>98</v>
      </c>
      <c r="C10022" t="s">
        <v>129</v>
      </c>
      <c r="D10022" t="s">
        <v>130</v>
      </c>
      <c r="E10022">
        <v>1965</v>
      </c>
      <c r="F10022" s="1">
        <v>66</v>
      </c>
      <c r="G10022">
        <v>1960</v>
      </c>
      <c r="H10022">
        <f>AVERAGEIFS(Table1[value],Table1[IndicatorCode],Table1[[#This Row],[IndicatorCode]])</f>
        <v>72.66514008620689</v>
      </c>
      <c r="I10022" cm="1">
        <f t="array" ref="I10022">_xlfn.STDEV.P(IF(Table1[IndicatorCode]=Table1[[#This Row],[IndicatorCode]],Table1[value]))</f>
        <v>6.3409496564024987</v>
      </c>
      <c r="J10022">
        <f>(Table1[[#This Row],[value]] - Table1[[#This Row],[mean]]) / Table1[[#This Row],[std_dev]]</f>
        <v>-1.0511264790561858</v>
      </c>
      <c r="K10022">
        <f>AVERAGEIF(Table1[CountryCode],Table1[[#This Row],[CountryCode]],Table1[z-score])</f>
        <v>-0.19691915896687051</v>
      </c>
      <c r="L10022" t="e">
        <f>VLOOKUP(Table1[[#This Row],[CountryCode]],[1]!Table1[#All],1,FALSE)</f>
        <v>#REF!</v>
      </c>
    </row>
    <row r="10023" spans="1:12" hidden="1" x14ac:dyDescent="0.3">
      <c r="A10023" t="s">
        <v>97</v>
      </c>
      <c r="B10023" t="s">
        <v>98</v>
      </c>
      <c r="C10023" t="s">
        <v>129</v>
      </c>
      <c r="D10023" t="s">
        <v>130</v>
      </c>
      <c r="E10023">
        <v>1966</v>
      </c>
      <c r="F10023" s="1">
        <v>65</v>
      </c>
      <c r="G10023">
        <v>1960</v>
      </c>
      <c r="H10023">
        <f>AVERAGEIFS(Table1[value],Table1[IndicatorCode],Table1[[#This Row],[IndicatorCode]])</f>
        <v>72.66514008620689</v>
      </c>
      <c r="I10023" cm="1">
        <f t="array" ref="I10023">_xlfn.STDEV.P(IF(Table1[IndicatorCode]=Table1[[#This Row],[IndicatorCode]],Table1[value]))</f>
        <v>6.3409496564024987</v>
      </c>
      <c r="J10023">
        <f>(Table1[[#This Row],[value]] - Table1[[#This Row],[mean]]) / Table1[[#This Row],[std_dev]]</f>
        <v>-1.2088315633396249</v>
      </c>
      <c r="K10023">
        <f>AVERAGEIF(Table1[CountryCode],Table1[[#This Row],[CountryCode]],Table1[z-score])</f>
        <v>-0.19691915896687051</v>
      </c>
      <c r="L10023" t="e">
        <f>VLOOKUP(Table1[[#This Row],[CountryCode]],[1]!Table1[#All],1,FALSE)</f>
        <v>#REF!</v>
      </c>
    </row>
    <row r="10024" spans="1:12" hidden="1" x14ac:dyDescent="0.3">
      <c r="A10024" t="s">
        <v>97</v>
      </c>
      <c r="B10024" t="s">
        <v>98</v>
      </c>
      <c r="C10024" t="s">
        <v>129</v>
      </c>
      <c r="D10024" t="s">
        <v>130</v>
      </c>
      <c r="E10024">
        <v>1967</v>
      </c>
      <c r="F10024" s="1">
        <v>66</v>
      </c>
      <c r="G10024">
        <v>1970</v>
      </c>
      <c r="H10024">
        <f>AVERAGEIFS(Table1[value],Table1[IndicatorCode],Table1[[#This Row],[IndicatorCode]])</f>
        <v>72.66514008620689</v>
      </c>
      <c r="I10024" cm="1">
        <f t="array" ref="I10024">_xlfn.STDEV.P(IF(Table1[IndicatorCode]=Table1[[#This Row],[IndicatorCode]],Table1[value]))</f>
        <v>6.3409496564024987</v>
      </c>
      <c r="J10024">
        <f>(Table1[[#This Row],[value]] - Table1[[#This Row],[mean]]) / Table1[[#This Row],[std_dev]]</f>
        <v>-1.0511264790561858</v>
      </c>
      <c r="K10024">
        <f>AVERAGEIF(Table1[CountryCode],Table1[[#This Row],[CountryCode]],Table1[z-score])</f>
        <v>-0.19691915896687051</v>
      </c>
      <c r="L10024" t="e">
        <f>VLOOKUP(Table1[[#This Row],[CountryCode]],[1]!Table1[#All],1,FALSE)</f>
        <v>#REF!</v>
      </c>
    </row>
    <row r="10025" spans="1:12" hidden="1" x14ac:dyDescent="0.3">
      <c r="A10025" t="s">
        <v>97</v>
      </c>
      <c r="B10025" t="s">
        <v>98</v>
      </c>
      <c r="C10025" t="s">
        <v>129</v>
      </c>
      <c r="D10025" t="s">
        <v>130</v>
      </c>
      <c r="E10025">
        <v>1968</v>
      </c>
      <c r="F10025" s="1">
        <v>67</v>
      </c>
      <c r="G10025">
        <v>1970</v>
      </c>
      <c r="H10025">
        <f>AVERAGEIFS(Table1[value],Table1[IndicatorCode],Table1[[#This Row],[IndicatorCode]])</f>
        <v>72.66514008620689</v>
      </c>
      <c r="I10025" cm="1">
        <f t="array" ref="I10025">_xlfn.STDEV.P(IF(Table1[IndicatorCode]=Table1[[#This Row],[IndicatorCode]],Table1[value]))</f>
        <v>6.3409496564024987</v>
      </c>
      <c r="J10025">
        <f>(Table1[[#This Row],[value]] - Table1[[#This Row],[mean]]) / Table1[[#This Row],[std_dev]]</f>
        <v>-0.89342139477274674</v>
      </c>
      <c r="K10025">
        <f>AVERAGEIF(Table1[CountryCode],Table1[[#This Row],[CountryCode]],Table1[z-score])</f>
        <v>-0.19691915896687051</v>
      </c>
      <c r="L10025" t="e">
        <f>VLOOKUP(Table1[[#This Row],[CountryCode]],[1]!Table1[#All],1,FALSE)</f>
        <v>#REF!</v>
      </c>
    </row>
    <row r="10026" spans="1:12" hidden="1" x14ac:dyDescent="0.3">
      <c r="A10026" t="s">
        <v>97</v>
      </c>
      <c r="B10026" t="s">
        <v>98</v>
      </c>
      <c r="C10026" t="s">
        <v>129</v>
      </c>
      <c r="D10026" t="s">
        <v>130</v>
      </c>
      <c r="E10026">
        <v>1969</v>
      </c>
      <c r="F10026" s="1">
        <v>66</v>
      </c>
      <c r="G10026">
        <v>1970</v>
      </c>
      <c r="H10026">
        <f>AVERAGEIFS(Table1[value],Table1[IndicatorCode],Table1[[#This Row],[IndicatorCode]])</f>
        <v>72.66514008620689</v>
      </c>
      <c r="I10026" cm="1">
        <f t="array" ref="I10026">_xlfn.STDEV.P(IF(Table1[IndicatorCode]=Table1[[#This Row],[IndicatorCode]],Table1[value]))</f>
        <v>6.3409496564024987</v>
      </c>
      <c r="J10026">
        <f>(Table1[[#This Row],[value]] - Table1[[#This Row],[mean]]) / Table1[[#This Row],[std_dev]]</f>
        <v>-1.0511264790561858</v>
      </c>
      <c r="K10026">
        <f>AVERAGEIF(Table1[CountryCode],Table1[[#This Row],[CountryCode]],Table1[z-score])</f>
        <v>-0.19691915896687051</v>
      </c>
      <c r="L10026" t="e">
        <f>VLOOKUP(Table1[[#This Row],[CountryCode]],[1]!Table1[#All],1,FALSE)</f>
        <v>#REF!</v>
      </c>
    </row>
    <row r="10027" spans="1:12" hidden="1" x14ac:dyDescent="0.3">
      <c r="A10027" t="s">
        <v>97</v>
      </c>
      <c r="B10027" t="s">
        <v>98</v>
      </c>
      <c r="C10027" t="s">
        <v>129</v>
      </c>
      <c r="D10027" t="s">
        <v>130</v>
      </c>
      <c r="E10027">
        <v>1970</v>
      </c>
      <c r="F10027" s="1">
        <v>67</v>
      </c>
      <c r="G10027">
        <v>1970</v>
      </c>
      <c r="H10027">
        <f>AVERAGEIFS(Table1[value],Table1[IndicatorCode],Table1[[#This Row],[IndicatorCode]])</f>
        <v>72.66514008620689</v>
      </c>
      <c r="I10027" cm="1">
        <f t="array" ref="I10027">_xlfn.STDEV.P(IF(Table1[IndicatorCode]=Table1[[#This Row],[IndicatorCode]],Table1[value]))</f>
        <v>6.3409496564024987</v>
      </c>
      <c r="J10027">
        <f>(Table1[[#This Row],[value]] - Table1[[#This Row],[mean]]) / Table1[[#This Row],[std_dev]]</f>
        <v>-0.89342139477274674</v>
      </c>
      <c r="K10027">
        <f>AVERAGEIF(Table1[CountryCode],Table1[[#This Row],[CountryCode]],Table1[z-score])</f>
        <v>-0.19691915896687051</v>
      </c>
      <c r="L10027" t="e">
        <f>VLOOKUP(Table1[[#This Row],[CountryCode]],[1]!Table1[#All],1,FALSE)</f>
        <v>#REF!</v>
      </c>
    </row>
    <row r="10028" spans="1:12" hidden="1" x14ac:dyDescent="0.3">
      <c r="A10028" t="s">
        <v>97</v>
      </c>
      <c r="B10028" t="s">
        <v>98</v>
      </c>
      <c r="C10028" t="s">
        <v>129</v>
      </c>
      <c r="D10028" t="s">
        <v>130</v>
      </c>
      <c r="E10028">
        <v>1971</v>
      </c>
      <c r="F10028" s="1">
        <v>67</v>
      </c>
      <c r="G10028">
        <v>1970</v>
      </c>
      <c r="H10028">
        <f>AVERAGEIFS(Table1[value],Table1[IndicatorCode],Table1[[#This Row],[IndicatorCode]])</f>
        <v>72.66514008620689</v>
      </c>
      <c r="I10028" cm="1">
        <f t="array" ref="I10028">_xlfn.STDEV.P(IF(Table1[IndicatorCode]=Table1[[#This Row],[IndicatorCode]],Table1[value]))</f>
        <v>6.3409496564024987</v>
      </c>
      <c r="J10028">
        <f>(Table1[[#This Row],[value]] - Table1[[#This Row],[mean]]) / Table1[[#This Row],[std_dev]]</f>
        <v>-0.89342139477274674</v>
      </c>
      <c r="K10028">
        <f>AVERAGEIF(Table1[CountryCode],Table1[[#This Row],[CountryCode]],Table1[z-score])</f>
        <v>-0.19691915896687051</v>
      </c>
      <c r="L10028" t="e">
        <f>VLOOKUP(Table1[[#This Row],[CountryCode]],[1]!Table1[#All],1,FALSE)</f>
        <v>#REF!</v>
      </c>
    </row>
    <row r="10029" spans="1:12" hidden="1" x14ac:dyDescent="0.3">
      <c r="A10029" t="s">
        <v>97</v>
      </c>
      <c r="B10029" t="s">
        <v>98</v>
      </c>
      <c r="C10029" t="s">
        <v>129</v>
      </c>
      <c r="D10029" t="s">
        <v>130</v>
      </c>
      <c r="E10029">
        <v>1972</v>
      </c>
      <c r="F10029" s="1">
        <v>68</v>
      </c>
      <c r="G10029">
        <v>1970</v>
      </c>
      <c r="H10029">
        <f>AVERAGEIFS(Table1[value],Table1[IndicatorCode],Table1[[#This Row],[IndicatorCode]])</f>
        <v>72.66514008620689</v>
      </c>
      <c r="I10029" cm="1">
        <f t="array" ref="I10029">_xlfn.STDEV.P(IF(Table1[IndicatorCode]=Table1[[#This Row],[IndicatorCode]],Table1[value]))</f>
        <v>6.3409496564024987</v>
      </c>
      <c r="J10029">
        <f>(Table1[[#This Row],[value]] - Table1[[#This Row],[mean]]) / Table1[[#This Row],[std_dev]]</f>
        <v>-0.73571631048930775</v>
      </c>
      <c r="K10029">
        <f>AVERAGEIF(Table1[CountryCode],Table1[[#This Row],[CountryCode]],Table1[z-score])</f>
        <v>-0.19691915896687051</v>
      </c>
      <c r="L10029" t="e">
        <f>VLOOKUP(Table1[[#This Row],[CountryCode]],[1]!Table1[#All],1,FALSE)</f>
        <v>#REF!</v>
      </c>
    </row>
    <row r="10030" spans="1:12" hidden="1" x14ac:dyDescent="0.3">
      <c r="A10030" t="s">
        <v>97</v>
      </c>
      <c r="B10030" t="s">
        <v>98</v>
      </c>
      <c r="C10030" t="s">
        <v>129</v>
      </c>
      <c r="D10030" t="s">
        <v>130</v>
      </c>
      <c r="E10030">
        <v>1973</v>
      </c>
      <c r="F10030" s="1">
        <v>68</v>
      </c>
      <c r="G10030">
        <v>1970</v>
      </c>
      <c r="H10030">
        <f>AVERAGEIFS(Table1[value],Table1[IndicatorCode],Table1[[#This Row],[IndicatorCode]])</f>
        <v>72.66514008620689</v>
      </c>
      <c r="I10030" cm="1">
        <f t="array" ref="I10030">_xlfn.STDEV.P(IF(Table1[IndicatorCode]=Table1[[#This Row],[IndicatorCode]],Table1[value]))</f>
        <v>6.3409496564024987</v>
      </c>
      <c r="J10030">
        <f>(Table1[[#This Row],[value]] - Table1[[#This Row],[mean]]) / Table1[[#This Row],[std_dev]]</f>
        <v>-0.73571631048930775</v>
      </c>
      <c r="K10030">
        <f>AVERAGEIF(Table1[CountryCode],Table1[[#This Row],[CountryCode]],Table1[z-score])</f>
        <v>-0.19691915896687051</v>
      </c>
      <c r="L10030" t="e">
        <f>VLOOKUP(Table1[[#This Row],[CountryCode]],[1]!Table1[#All],1,FALSE)</f>
        <v>#REF!</v>
      </c>
    </row>
    <row r="10031" spans="1:12" hidden="1" x14ac:dyDescent="0.3">
      <c r="A10031" t="s">
        <v>97</v>
      </c>
      <c r="B10031" t="s">
        <v>98</v>
      </c>
      <c r="C10031" t="s">
        <v>129</v>
      </c>
      <c r="D10031" t="s">
        <v>130</v>
      </c>
      <c r="E10031">
        <v>1974</v>
      </c>
      <c r="F10031" s="1">
        <v>68</v>
      </c>
      <c r="G10031">
        <v>1970</v>
      </c>
      <c r="H10031">
        <f>AVERAGEIFS(Table1[value],Table1[IndicatorCode],Table1[[#This Row],[IndicatorCode]])</f>
        <v>72.66514008620689</v>
      </c>
      <c r="I10031" cm="1">
        <f t="array" ref="I10031">_xlfn.STDEV.P(IF(Table1[IndicatorCode]=Table1[[#This Row],[IndicatorCode]],Table1[value]))</f>
        <v>6.3409496564024987</v>
      </c>
      <c r="J10031">
        <f>(Table1[[#This Row],[value]] - Table1[[#This Row],[mean]]) / Table1[[#This Row],[std_dev]]</f>
        <v>-0.73571631048930775</v>
      </c>
      <c r="K10031">
        <f>AVERAGEIF(Table1[CountryCode],Table1[[#This Row],[CountryCode]],Table1[z-score])</f>
        <v>-0.19691915896687051</v>
      </c>
      <c r="L10031" t="e">
        <f>VLOOKUP(Table1[[#This Row],[CountryCode]],[1]!Table1[#All],1,FALSE)</f>
        <v>#REF!</v>
      </c>
    </row>
    <row r="10032" spans="1:12" hidden="1" x14ac:dyDescent="0.3">
      <c r="A10032" t="s">
        <v>97</v>
      </c>
      <c r="B10032" t="s">
        <v>98</v>
      </c>
      <c r="C10032" t="s">
        <v>129</v>
      </c>
      <c r="D10032" t="s">
        <v>130</v>
      </c>
      <c r="E10032">
        <v>1975</v>
      </c>
      <c r="F10032" s="1">
        <v>68</v>
      </c>
      <c r="G10032">
        <v>1970</v>
      </c>
      <c r="H10032">
        <f>AVERAGEIFS(Table1[value],Table1[IndicatorCode],Table1[[#This Row],[IndicatorCode]])</f>
        <v>72.66514008620689</v>
      </c>
      <c r="I10032" cm="1">
        <f t="array" ref="I10032">_xlfn.STDEV.P(IF(Table1[IndicatorCode]=Table1[[#This Row],[IndicatorCode]],Table1[value]))</f>
        <v>6.3409496564024987</v>
      </c>
      <c r="J10032">
        <f>(Table1[[#This Row],[value]] - Table1[[#This Row],[mean]]) / Table1[[#This Row],[std_dev]]</f>
        <v>-0.73571631048930775</v>
      </c>
      <c r="K10032">
        <f>AVERAGEIF(Table1[CountryCode],Table1[[#This Row],[CountryCode]],Table1[z-score])</f>
        <v>-0.19691915896687051</v>
      </c>
      <c r="L10032" t="e">
        <f>VLOOKUP(Table1[[#This Row],[CountryCode]],[1]!Table1[#All],1,FALSE)</f>
        <v>#REF!</v>
      </c>
    </row>
    <row r="10033" spans="1:12" hidden="1" x14ac:dyDescent="0.3">
      <c r="A10033" t="s">
        <v>97</v>
      </c>
      <c r="B10033" t="s">
        <v>98</v>
      </c>
      <c r="C10033" t="s">
        <v>129</v>
      </c>
      <c r="D10033" t="s">
        <v>130</v>
      </c>
      <c r="E10033">
        <v>1976</v>
      </c>
      <c r="F10033" s="1">
        <v>69</v>
      </c>
      <c r="G10033">
        <v>1970</v>
      </c>
      <c r="H10033">
        <f>AVERAGEIFS(Table1[value],Table1[IndicatorCode],Table1[[#This Row],[IndicatorCode]])</f>
        <v>72.66514008620689</v>
      </c>
      <c r="I10033" cm="1">
        <f t="array" ref="I10033">_xlfn.STDEV.P(IF(Table1[IndicatorCode]=Table1[[#This Row],[IndicatorCode]],Table1[value]))</f>
        <v>6.3409496564024987</v>
      </c>
      <c r="J10033">
        <f>(Table1[[#This Row],[value]] - Table1[[#This Row],[mean]]) / Table1[[#This Row],[std_dev]]</f>
        <v>-0.57801122620586864</v>
      </c>
      <c r="K10033">
        <f>AVERAGEIF(Table1[CountryCode],Table1[[#This Row],[CountryCode]],Table1[z-score])</f>
        <v>-0.19691915896687051</v>
      </c>
      <c r="L10033" t="e">
        <f>VLOOKUP(Table1[[#This Row],[CountryCode]],[1]!Table1[#All],1,FALSE)</f>
        <v>#REF!</v>
      </c>
    </row>
    <row r="10034" spans="1:12" hidden="1" x14ac:dyDescent="0.3">
      <c r="A10034" t="s">
        <v>97</v>
      </c>
      <c r="B10034" t="s">
        <v>98</v>
      </c>
      <c r="C10034" t="s">
        <v>129</v>
      </c>
      <c r="D10034" t="s">
        <v>130</v>
      </c>
      <c r="E10034">
        <v>1977</v>
      </c>
      <c r="F10034" s="1">
        <v>70</v>
      </c>
      <c r="G10034">
        <v>1980</v>
      </c>
      <c r="H10034">
        <f>AVERAGEIFS(Table1[value],Table1[IndicatorCode],Table1[[#This Row],[IndicatorCode]])</f>
        <v>72.66514008620689</v>
      </c>
      <c r="I10034" cm="1">
        <f t="array" ref="I10034">_xlfn.STDEV.P(IF(Table1[IndicatorCode]=Table1[[#This Row],[IndicatorCode]],Table1[value]))</f>
        <v>6.3409496564024987</v>
      </c>
      <c r="J10034">
        <f>(Table1[[#This Row],[value]] - Table1[[#This Row],[mean]]) / Table1[[#This Row],[std_dev]]</f>
        <v>-0.4203061419224296</v>
      </c>
      <c r="K10034">
        <f>AVERAGEIF(Table1[CountryCode],Table1[[#This Row],[CountryCode]],Table1[z-score])</f>
        <v>-0.19691915896687051</v>
      </c>
      <c r="L10034" t="e">
        <f>VLOOKUP(Table1[[#This Row],[CountryCode]],[1]!Table1[#All],1,FALSE)</f>
        <v>#REF!</v>
      </c>
    </row>
    <row r="10035" spans="1:12" hidden="1" x14ac:dyDescent="0.3">
      <c r="A10035" t="s">
        <v>97</v>
      </c>
      <c r="B10035" t="s">
        <v>98</v>
      </c>
      <c r="C10035" t="s">
        <v>129</v>
      </c>
      <c r="D10035" t="s">
        <v>130</v>
      </c>
      <c r="E10035">
        <v>1978</v>
      </c>
      <c r="F10035" s="1">
        <v>70</v>
      </c>
      <c r="G10035">
        <v>1980</v>
      </c>
      <c r="H10035">
        <f>AVERAGEIFS(Table1[value],Table1[IndicatorCode],Table1[[#This Row],[IndicatorCode]])</f>
        <v>72.66514008620689</v>
      </c>
      <c r="I10035" cm="1">
        <f t="array" ref="I10035">_xlfn.STDEV.P(IF(Table1[IndicatorCode]=Table1[[#This Row],[IndicatorCode]],Table1[value]))</f>
        <v>6.3409496564024987</v>
      </c>
      <c r="J10035">
        <f>(Table1[[#This Row],[value]] - Table1[[#This Row],[mean]]) / Table1[[#This Row],[std_dev]]</f>
        <v>-0.4203061419224296</v>
      </c>
      <c r="K10035">
        <f>AVERAGEIF(Table1[CountryCode],Table1[[#This Row],[CountryCode]],Table1[z-score])</f>
        <v>-0.19691915896687051</v>
      </c>
      <c r="L10035" t="e">
        <f>VLOOKUP(Table1[[#This Row],[CountryCode]],[1]!Table1[#All],1,FALSE)</f>
        <v>#REF!</v>
      </c>
    </row>
    <row r="10036" spans="1:12" hidden="1" x14ac:dyDescent="0.3">
      <c r="A10036" t="s">
        <v>97</v>
      </c>
      <c r="B10036" t="s">
        <v>98</v>
      </c>
      <c r="C10036" t="s">
        <v>129</v>
      </c>
      <c r="D10036" t="s">
        <v>130</v>
      </c>
      <c r="E10036">
        <v>1979</v>
      </c>
      <c r="F10036" s="1">
        <v>71</v>
      </c>
      <c r="G10036">
        <v>1980</v>
      </c>
      <c r="H10036">
        <f>AVERAGEIFS(Table1[value],Table1[IndicatorCode],Table1[[#This Row],[IndicatorCode]])</f>
        <v>72.66514008620689</v>
      </c>
      <c r="I10036" cm="1">
        <f t="array" ref="I10036">_xlfn.STDEV.P(IF(Table1[IndicatorCode]=Table1[[#This Row],[IndicatorCode]],Table1[value]))</f>
        <v>6.3409496564024987</v>
      </c>
      <c r="J10036">
        <f>(Table1[[#This Row],[value]] - Table1[[#This Row],[mean]]) / Table1[[#This Row],[std_dev]]</f>
        <v>-0.2626010576389905</v>
      </c>
      <c r="K10036">
        <f>AVERAGEIF(Table1[CountryCode],Table1[[#This Row],[CountryCode]],Table1[z-score])</f>
        <v>-0.19691915896687051</v>
      </c>
      <c r="L10036" t="e">
        <f>VLOOKUP(Table1[[#This Row],[CountryCode]],[1]!Table1[#All],1,FALSE)</f>
        <v>#REF!</v>
      </c>
    </row>
    <row r="10037" spans="1:12" hidden="1" x14ac:dyDescent="0.3">
      <c r="A10037" t="s">
        <v>97</v>
      </c>
      <c r="B10037" t="s">
        <v>98</v>
      </c>
      <c r="C10037" t="s">
        <v>129</v>
      </c>
      <c r="D10037" t="s">
        <v>130</v>
      </c>
      <c r="E10037">
        <v>1980</v>
      </c>
      <c r="F10037" s="1">
        <v>71</v>
      </c>
      <c r="G10037">
        <v>1980</v>
      </c>
      <c r="H10037">
        <f>AVERAGEIFS(Table1[value],Table1[IndicatorCode],Table1[[#This Row],[IndicatorCode]])</f>
        <v>72.66514008620689</v>
      </c>
      <c r="I10037" cm="1">
        <f t="array" ref="I10037">_xlfn.STDEV.P(IF(Table1[IndicatorCode]=Table1[[#This Row],[IndicatorCode]],Table1[value]))</f>
        <v>6.3409496564024987</v>
      </c>
      <c r="J10037">
        <f>(Table1[[#This Row],[value]] - Table1[[#This Row],[mean]]) / Table1[[#This Row],[std_dev]]</f>
        <v>-0.2626010576389905</v>
      </c>
      <c r="K10037">
        <f>AVERAGEIF(Table1[CountryCode],Table1[[#This Row],[CountryCode]],Table1[z-score])</f>
        <v>-0.19691915896687051</v>
      </c>
      <c r="L10037" t="e">
        <f>VLOOKUP(Table1[[#This Row],[CountryCode]],[1]!Table1[#All],1,FALSE)</f>
        <v>#REF!</v>
      </c>
    </row>
    <row r="10038" spans="1:12" hidden="1" x14ac:dyDescent="0.3">
      <c r="A10038" t="s">
        <v>97</v>
      </c>
      <c r="B10038" t="s">
        <v>98</v>
      </c>
      <c r="C10038" t="s">
        <v>129</v>
      </c>
      <c r="D10038" t="s">
        <v>130</v>
      </c>
      <c r="E10038">
        <v>1981</v>
      </c>
      <c r="F10038" s="1">
        <v>72</v>
      </c>
      <c r="G10038">
        <v>1980</v>
      </c>
      <c r="H10038">
        <f>AVERAGEIFS(Table1[value],Table1[IndicatorCode],Table1[[#This Row],[IndicatorCode]])</f>
        <v>72.66514008620689</v>
      </c>
      <c r="I10038" cm="1">
        <f t="array" ref="I10038">_xlfn.STDEV.P(IF(Table1[IndicatorCode]=Table1[[#This Row],[IndicatorCode]],Table1[value]))</f>
        <v>6.3409496564024987</v>
      </c>
      <c r="J10038">
        <f>(Table1[[#This Row],[value]] - Table1[[#This Row],[mean]]) / Table1[[#This Row],[std_dev]]</f>
        <v>-0.10489597335555145</v>
      </c>
      <c r="K10038">
        <f>AVERAGEIF(Table1[CountryCode],Table1[[#This Row],[CountryCode]],Table1[z-score])</f>
        <v>-0.19691915896687051</v>
      </c>
      <c r="L10038" t="e">
        <f>VLOOKUP(Table1[[#This Row],[CountryCode]],[1]!Table1[#All],1,FALSE)</f>
        <v>#REF!</v>
      </c>
    </row>
    <row r="10039" spans="1:12" hidden="1" x14ac:dyDescent="0.3">
      <c r="A10039" t="s">
        <v>97</v>
      </c>
      <c r="B10039" t="s">
        <v>98</v>
      </c>
      <c r="C10039" t="s">
        <v>129</v>
      </c>
      <c r="D10039" t="s">
        <v>130</v>
      </c>
      <c r="E10039">
        <v>1982</v>
      </c>
      <c r="F10039" s="1">
        <v>72</v>
      </c>
      <c r="G10039">
        <v>1980</v>
      </c>
      <c r="H10039">
        <f>AVERAGEIFS(Table1[value],Table1[IndicatorCode],Table1[[#This Row],[IndicatorCode]])</f>
        <v>72.66514008620689</v>
      </c>
      <c r="I10039" cm="1">
        <f t="array" ref="I10039">_xlfn.STDEV.P(IF(Table1[IndicatorCode]=Table1[[#This Row],[IndicatorCode]],Table1[value]))</f>
        <v>6.3409496564024987</v>
      </c>
      <c r="J10039">
        <f>(Table1[[#This Row],[value]] - Table1[[#This Row],[mean]]) / Table1[[#This Row],[std_dev]]</f>
        <v>-0.10489597335555145</v>
      </c>
      <c r="K10039">
        <f>AVERAGEIF(Table1[CountryCode],Table1[[#This Row],[CountryCode]],Table1[z-score])</f>
        <v>-0.19691915896687051</v>
      </c>
      <c r="L10039" t="e">
        <f>VLOOKUP(Table1[[#This Row],[CountryCode]],[1]!Table1[#All],1,FALSE)</f>
        <v>#REF!</v>
      </c>
    </row>
    <row r="10040" spans="1:12" hidden="1" x14ac:dyDescent="0.3">
      <c r="A10040" t="s">
        <v>97</v>
      </c>
      <c r="B10040" t="s">
        <v>98</v>
      </c>
      <c r="C10040" t="s">
        <v>129</v>
      </c>
      <c r="D10040" t="s">
        <v>130</v>
      </c>
      <c r="E10040">
        <v>1983</v>
      </c>
      <c r="F10040" s="1">
        <v>72</v>
      </c>
      <c r="G10040">
        <v>1980</v>
      </c>
      <c r="H10040">
        <f>AVERAGEIFS(Table1[value],Table1[IndicatorCode],Table1[[#This Row],[IndicatorCode]])</f>
        <v>72.66514008620689</v>
      </c>
      <c r="I10040" cm="1">
        <f t="array" ref="I10040">_xlfn.STDEV.P(IF(Table1[IndicatorCode]=Table1[[#This Row],[IndicatorCode]],Table1[value]))</f>
        <v>6.3409496564024987</v>
      </c>
      <c r="J10040">
        <f>(Table1[[#This Row],[value]] - Table1[[#This Row],[mean]]) / Table1[[#This Row],[std_dev]]</f>
        <v>-0.10489597335555145</v>
      </c>
      <c r="K10040">
        <f>AVERAGEIF(Table1[CountryCode],Table1[[#This Row],[CountryCode]],Table1[z-score])</f>
        <v>-0.19691915896687051</v>
      </c>
      <c r="L10040" t="e">
        <f>VLOOKUP(Table1[[#This Row],[CountryCode]],[1]!Table1[#All],1,FALSE)</f>
        <v>#REF!</v>
      </c>
    </row>
    <row r="10041" spans="1:12" hidden="1" x14ac:dyDescent="0.3">
      <c r="A10041" t="s">
        <v>97</v>
      </c>
      <c r="B10041" t="s">
        <v>98</v>
      </c>
      <c r="C10041" t="s">
        <v>129</v>
      </c>
      <c r="D10041" t="s">
        <v>130</v>
      </c>
      <c r="E10041">
        <v>1984</v>
      </c>
      <c r="F10041" s="1">
        <v>73</v>
      </c>
      <c r="G10041">
        <v>1980</v>
      </c>
      <c r="H10041">
        <f>AVERAGEIFS(Table1[value],Table1[IndicatorCode],Table1[[#This Row],[IndicatorCode]])</f>
        <v>72.66514008620689</v>
      </c>
      <c r="I10041" cm="1">
        <f t="array" ref="I10041">_xlfn.STDEV.P(IF(Table1[IndicatorCode]=Table1[[#This Row],[IndicatorCode]],Table1[value]))</f>
        <v>6.3409496564024987</v>
      </c>
      <c r="J10041">
        <f>(Table1[[#This Row],[value]] - Table1[[#This Row],[mean]]) / Table1[[#This Row],[std_dev]]</f>
        <v>5.2809110927887599E-2</v>
      </c>
      <c r="K10041">
        <f>AVERAGEIF(Table1[CountryCode],Table1[[#This Row],[CountryCode]],Table1[z-score])</f>
        <v>-0.19691915896687051</v>
      </c>
      <c r="L10041" t="e">
        <f>VLOOKUP(Table1[[#This Row],[CountryCode]],[1]!Table1[#All],1,FALSE)</f>
        <v>#REF!</v>
      </c>
    </row>
    <row r="10042" spans="1:12" hidden="1" x14ac:dyDescent="0.3">
      <c r="A10042" t="s">
        <v>97</v>
      </c>
      <c r="B10042" t="s">
        <v>98</v>
      </c>
      <c r="C10042" t="s">
        <v>129</v>
      </c>
      <c r="D10042" t="s">
        <v>130</v>
      </c>
      <c r="E10042">
        <v>1985</v>
      </c>
      <c r="F10042" s="1">
        <v>73</v>
      </c>
      <c r="G10042">
        <v>1980</v>
      </c>
      <c r="H10042">
        <f>AVERAGEIFS(Table1[value],Table1[IndicatorCode],Table1[[#This Row],[IndicatorCode]])</f>
        <v>72.66514008620689</v>
      </c>
      <c r="I10042" cm="1">
        <f t="array" ref="I10042">_xlfn.STDEV.P(IF(Table1[IndicatorCode]=Table1[[#This Row],[IndicatorCode]],Table1[value]))</f>
        <v>6.3409496564024987</v>
      </c>
      <c r="J10042">
        <f>(Table1[[#This Row],[value]] - Table1[[#This Row],[mean]]) / Table1[[#This Row],[std_dev]]</f>
        <v>5.2809110927887599E-2</v>
      </c>
      <c r="K10042">
        <f>AVERAGEIF(Table1[CountryCode],Table1[[#This Row],[CountryCode]],Table1[z-score])</f>
        <v>-0.19691915896687051</v>
      </c>
      <c r="L10042" t="e">
        <f>VLOOKUP(Table1[[#This Row],[CountryCode]],[1]!Table1[#All],1,FALSE)</f>
        <v>#REF!</v>
      </c>
    </row>
    <row r="10043" spans="1:12" hidden="1" x14ac:dyDescent="0.3">
      <c r="A10043" t="s">
        <v>97</v>
      </c>
      <c r="B10043" t="s">
        <v>98</v>
      </c>
      <c r="C10043" t="s">
        <v>129</v>
      </c>
      <c r="D10043" t="s">
        <v>130</v>
      </c>
      <c r="E10043">
        <v>1986</v>
      </c>
      <c r="F10043" s="1">
        <v>73</v>
      </c>
      <c r="G10043">
        <v>1980</v>
      </c>
      <c r="H10043">
        <f>AVERAGEIFS(Table1[value],Table1[IndicatorCode],Table1[[#This Row],[IndicatorCode]])</f>
        <v>72.66514008620689</v>
      </c>
      <c r="I10043" cm="1">
        <f t="array" ref="I10043">_xlfn.STDEV.P(IF(Table1[IndicatorCode]=Table1[[#This Row],[IndicatorCode]],Table1[value]))</f>
        <v>6.3409496564024987</v>
      </c>
      <c r="J10043">
        <f>(Table1[[#This Row],[value]] - Table1[[#This Row],[mean]]) / Table1[[#This Row],[std_dev]]</f>
        <v>5.2809110927887599E-2</v>
      </c>
      <c r="K10043">
        <f>AVERAGEIF(Table1[CountryCode],Table1[[#This Row],[CountryCode]],Table1[z-score])</f>
        <v>-0.19691915896687051</v>
      </c>
      <c r="L10043" t="e">
        <f>VLOOKUP(Table1[[#This Row],[CountryCode]],[1]!Table1[#All],1,FALSE)</f>
        <v>#REF!</v>
      </c>
    </row>
    <row r="10044" spans="1:12" hidden="1" x14ac:dyDescent="0.3">
      <c r="A10044" t="s">
        <v>97</v>
      </c>
      <c r="B10044" t="s">
        <v>98</v>
      </c>
      <c r="C10044" t="s">
        <v>129</v>
      </c>
      <c r="D10044" t="s">
        <v>130</v>
      </c>
      <c r="E10044">
        <v>1987</v>
      </c>
      <c r="F10044" s="1">
        <v>74</v>
      </c>
      <c r="G10044">
        <v>1990</v>
      </c>
      <c r="H10044">
        <f>AVERAGEIFS(Table1[value],Table1[IndicatorCode],Table1[[#This Row],[IndicatorCode]])</f>
        <v>72.66514008620689</v>
      </c>
      <c r="I10044" cm="1">
        <f t="array" ref="I10044">_xlfn.STDEV.P(IF(Table1[IndicatorCode]=Table1[[#This Row],[IndicatorCode]],Table1[value]))</f>
        <v>6.3409496564024987</v>
      </c>
      <c r="J10044">
        <f>(Table1[[#This Row],[value]] - Table1[[#This Row],[mean]]) / Table1[[#This Row],[std_dev]]</f>
        <v>0.21051419521132667</v>
      </c>
      <c r="K10044">
        <f>AVERAGEIF(Table1[CountryCode],Table1[[#This Row],[CountryCode]],Table1[z-score])</f>
        <v>-0.19691915896687051</v>
      </c>
      <c r="L10044" t="e">
        <f>VLOOKUP(Table1[[#This Row],[CountryCode]],[1]!Table1[#All],1,FALSE)</f>
        <v>#REF!</v>
      </c>
    </row>
    <row r="10045" spans="1:12" hidden="1" x14ac:dyDescent="0.3">
      <c r="A10045" t="s">
        <v>97</v>
      </c>
      <c r="B10045" t="s">
        <v>98</v>
      </c>
      <c r="C10045" t="s">
        <v>129</v>
      </c>
      <c r="D10045" t="s">
        <v>130</v>
      </c>
      <c r="E10045">
        <v>1988</v>
      </c>
      <c r="F10045" s="1">
        <v>74</v>
      </c>
      <c r="G10045">
        <v>1990</v>
      </c>
      <c r="H10045">
        <f>AVERAGEIFS(Table1[value],Table1[IndicatorCode],Table1[[#This Row],[IndicatorCode]])</f>
        <v>72.66514008620689</v>
      </c>
      <c r="I10045" cm="1">
        <f t="array" ref="I10045">_xlfn.STDEV.P(IF(Table1[IndicatorCode]=Table1[[#This Row],[IndicatorCode]],Table1[value]))</f>
        <v>6.3409496564024987</v>
      </c>
      <c r="J10045">
        <f>(Table1[[#This Row],[value]] - Table1[[#This Row],[mean]]) / Table1[[#This Row],[std_dev]]</f>
        <v>0.21051419521132667</v>
      </c>
      <c r="K10045">
        <f>AVERAGEIF(Table1[CountryCode],Table1[[#This Row],[CountryCode]],Table1[z-score])</f>
        <v>-0.19691915896687051</v>
      </c>
      <c r="L10045" t="e">
        <f>VLOOKUP(Table1[[#This Row],[CountryCode]],[1]!Table1[#All],1,FALSE)</f>
        <v>#REF!</v>
      </c>
    </row>
    <row r="10046" spans="1:12" hidden="1" x14ac:dyDescent="0.3">
      <c r="A10046" t="s">
        <v>97</v>
      </c>
      <c r="B10046" t="s">
        <v>98</v>
      </c>
      <c r="C10046" t="s">
        <v>129</v>
      </c>
      <c r="D10046" t="s">
        <v>130</v>
      </c>
      <c r="E10046">
        <v>1989</v>
      </c>
      <c r="F10046" s="1">
        <v>74</v>
      </c>
      <c r="G10046">
        <v>1990</v>
      </c>
      <c r="H10046">
        <f>AVERAGEIFS(Table1[value],Table1[IndicatorCode],Table1[[#This Row],[IndicatorCode]])</f>
        <v>72.66514008620689</v>
      </c>
      <c r="I10046" cm="1">
        <f t="array" ref="I10046">_xlfn.STDEV.P(IF(Table1[IndicatorCode]=Table1[[#This Row],[IndicatorCode]],Table1[value]))</f>
        <v>6.3409496564024987</v>
      </c>
      <c r="J10046">
        <f>(Table1[[#This Row],[value]] - Table1[[#This Row],[mean]]) / Table1[[#This Row],[std_dev]]</f>
        <v>0.21051419521132667</v>
      </c>
      <c r="K10046">
        <f>AVERAGEIF(Table1[CountryCode],Table1[[#This Row],[CountryCode]],Table1[z-score])</f>
        <v>-0.19691915896687051</v>
      </c>
      <c r="L10046" t="e">
        <f>VLOOKUP(Table1[[#This Row],[CountryCode]],[1]!Table1[#All],1,FALSE)</f>
        <v>#REF!</v>
      </c>
    </row>
    <row r="10047" spans="1:12" hidden="1" x14ac:dyDescent="0.3">
      <c r="A10047" t="s">
        <v>97</v>
      </c>
      <c r="B10047" t="s">
        <v>98</v>
      </c>
      <c r="C10047" t="s">
        <v>129</v>
      </c>
      <c r="D10047" t="s">
        <v>130</v>
      </c>
      <c r="E10047">
        <v>1990</v>
      </c>
      <c r="F10047" s="1">
        <v>74</v>
      </c>
      <c r="G10047">
        <v>1990</v>
      </c>
      <c r="H10047">
        <f>AVERAGEIFS(Table1[value],Table1[IndicatorCode],Table1[[#This Row],[IndicatorCode]])</f>
        <v>72.66514008620689</v>
      </c>
      <c r="I10047" cm="1">
        <f t="array" ref="I10047">_xlfn.STDEV.P(IF(Table1[IndicatorCode]=Table1[[#This Row],[IndicatorCode]],Table1[value]))</f>
        <v>6.3409496564024987</v>
      </c>
      <c r="J10047">
        <f>(Table1[[#This Row],[value]] - Table1[[#This Row],[mean]]) / Table1[[#This Row],[std_dev]]</f>
        <v>0.21051419521132667</v>
      </c>
      <c r="K10047">
        <f>AVERAGEIF(Table1[CountryCode],Table1[[#This Row],[CountryCode]],Table1[z-score])</f>
        <v>-0.19691915896687051</v>
      </c>
      <c r="L10047" t="e">
        <f>VLOOKUP(Table1[[#This Row],[CountryCode]],[1]!Table1[#All],1,FALSE)</f>
        <v>#REF!</v>
      </c>
    </row>
    <row r="10048" spans="1:12" hidden="1" x14ac:dyDescent="0.3">
      <c r="A10048" t="s">
        <v>97</v>
      </c>
      <c r="B10048" t="s">
        <v>98</v>
      </c>
      <c r="C10048" t="s">
        <v>129</v>
      </c>
      <c r="D10048" t="s">
        <v>130</v>
      </c>
      <c r="E10048">
        <v>1991</v>
      </c>
      <c r="F10048" s="1">
        <v>74</v>
      </c>
      <c r="G10048">
        <v>1990</v>
      </c>
      <c r="H10048">
        <f>AVERAGEIFS(Table1[value],Table1[IndicatorCode],Table1[[#This Row],[IndicatorCode]])</f>
        <v>72.66514008620689</v>
      </c>
      <c r="I10048" cm="1">
        <f t="array" ref="I10048">_xlfn.STDEV.P(IF(Table1[IndicatorCode]=Table1[[#This Row],[IndicatorCode]],Table1[value]))</f>
        <v>6.3409496564024987</v>
      </c>
      <c r="J10048">
        <f>(Table1[[#This Row],[value]] - Table1[[#This Row],[mean]]) / Table1[[#This Row],[std_dev]]</f>
        <v>0.21051419521132667</v>
      </c>
      <c r="K10048">
        <f>AVERAGEIF(Table1[CountryCode],Table1[[#This Row],[CountryCode]],Table1[z-score])</f>
        <v>-0.19691915896687051</v>
      </c>
      <c r="L10048" t="e">
        <f>VLOOKUP(Table1[[#This Row],[CountryCode]],[1]!Table1[#All],1,FALSE)</f>
        <v>#REF!</v>
      </c>
    </row>
    <row r="10049" spans="1:12" hidden="1" x14ac:dyDescent="0.3">
      <c r="A10049" t="s">
        <v>97</v>
      </c>
      <c r="B10049" t="s">
        <v>98</v>
      </c>
      <c r="C10049" t="s">
        <v>129</v>
      </c>
      <c r="D10049" t="s">
        <v>130</v>
      </c>
      <c r="E10049">
        <v>1992</v>
      </c>
      <c r="F10049" s="1">
        <v>74</v>
      </c>
      <c r="G10049">
        <v>1990</v>
      </c>
      <c r="H10049">
        <f>AVERAGEIFS(Table1[value],Table1[IndicatorCode],Table1[[#This Row],[IndicatorCode]])</f>
        <v>72.66514008620689</v>
      </c>
      <c r="I10049" cm="1">
        <f t="array" ref="I10049">_xlfn.STDEV.P(IF(Table1[IndicatorCode]=Table1[[#This Row],[IndicatorCode]],Table1[value]))</f>
        <v>6.3409496564024987</v>
      </c>
      <c r="J10049">
        <f>(Table1[[#This Row],[value]] - Table1[[#This Row],[mean]]) / Table1[[#This Row],[std_dev]]</f>
        <v>0.21051419521132667</v>
      </c>
      <c r="K10049">
        <f>AVERAGEIF(Table1[CountryCode],Table1[[#This Row],[CountryCode]],Table1[z-score])</f>
        <v>-0.19691915896687051</v>
      </c>
      <c r="L10049" t="e">
        <f>VLOOKUP(Table1[[#This Row],[CountryCode]],[1]!Table1[#All],1,FALSE)</f>
        <v>#REF!</v>
      </c>
    </row>
    <row r="10050" spans="1:12" hidden="1" x14ac:dyDescent="0.3">
      <c r="A10050" t="s">
        <v>97</v>
      </c>
      <c r="B10050" t="s">
        <v>98</v>
      </c>
      <c r="C10050" t="s">
        <v>129</v>
      </c>
      <c r="D10050" t="s">
        <v>130</v>
      </c>
      <c r="E10050">
        <v>1993</v>
      </c>
      <c r="F10050" s="1">
        <v>75</v>
      </c>
      <c r="G10050">
        <v>1990</v>
      </c>
      <c r="H10050">
        <f>AVERAGEIFS(Table1[value],Table1[IndicatorCode],Table1[[#This Row],[IndicatorCode]])</f>
        <v>72.66514008620689</v>
      </c>
      <c r="I10050" cm="1">
        <f t="array" ref="I10050">_xlfn.STDEV.P(IF(Table1[IndicatorCode]=Table1[[#This Row],[IndicatorCode]],Table1[value]))</f>
        <v>6.3409496564024987</v>
      </c>
      <c r="J10050">
        <f>(Table1[[#This Row],[value]] - Table1[[#This Row],[mean]]) / Table1[[#This Row],[std_dev]]</f>
        <v>0.36821927949476574</v>
      </c>
      <c r="K10050">
        <f>AVERAGEIF(Table1[CountryCode],Table1[[#This Row],[CountryCode]],Table1[z-score])</f>
        <v>-0.19691915896687051</v>
      </c>
      <c r="L10050" t="e">
        <f>VLOOKUP(Table1[[#This Row],[CountryCode]],[1]!Table1[#All],1,FALSE)</f>
        <v>#REF!</v>
      </c>
    </row>
    <row r="10051" spans="1:12" hidden="1" x14ac:dyDescent="0.3">
      <c r="A10051" t="s">
        <v>97</v>
      </c>
      <c r="B10051" t="s">
        <v>98</v>
      </c>
      <c r="C10051" t="s">
        <v>129</v>
      </c>
      <c r="D10051" t="s">
        <v>130</v>
      </c>
      <c r="E10051">
        <v>1994</v>
      </c>
      <c r="F10051" s="1">
        <v>75</v>
      </c>
      <c r="G10051">
        <v>1990</v>
      </c>
      <c r="H10051">
        <f>AVERAGEIFS(Table1[value],Table1[IndicatorCode],Table1[[#This Row],[IndicatorCode]])</f>
        <v>72.66514008620689</v>
      </c>
      <c r="I10051" cm="1">
        <f t="array" ref="I10051">_xlfn.STDEV.P(IF(Table1[IndicatorCode]=Table1[[#This Row],[IndicatorCode]],Table1[value]))</f>
        <v>6.3409496564024987</v>
      </c>
      <c r="J10051">
        <f>(Table1[[#This Row],[value]] - Table1[[#This Row],[mean]]) / Table1[[#This Row],[std_dev]]</f>
        <v>0.36821927949476574</v>
      </c>
      <c r="K10051">
        <f>AVERAGEIF(Table1[CountryCode],Table1[[#This Row],[CountryCode]],Table1[z-score])</f>
        <v>-0.19691915896687051</v>
      </c>
      <c r="L10051" t="e">
        <f>VLOOKUP(Table1[[#This Row],[CountryCode]],[1]!Table1[#All],1,FALSE)</f>
        <v>#REF!</v>
      </c>
    </row>
    <row r="10052" spans="1:12" hidden="1" x14ac:dyDescent="0.3">
      <c r="A10052" t="s">
        <v>97</v>
      </c>
      <c r="B10052" t="s">
        <v>98</v>
      </c>
      <c r="C10052" t="s">
        <v>129</v>
      </c>
      <c r="D10052" t="s">
        <v>130</v>
      </c>
      <c r="E10052">
        <v>1995</v>
      </c>
      <c r="F10052" s="1">
        <v>75</v>
      </c>
      <c r="G10052">
        <v>1990</v>
      </c>
      <c r="H10052">
        <f>AVERAGEIFS(Table1[value],Table1[IndicatorCode],Table1[[#This Row],[IndicatorCode]])</f>
        <v>72.66514008620689</v>
      </c>
      <c r="I10052" cm="1">
        <f t="array" ref="I10052">_xlfn.STDEV.P(IF(Table1[IndicatorCode]=Table1[[#This Row],[IndicatorCode]],Table1[value]))</f>
        <v>6.3409496564024987</v>
      </c>
      <c r="J10052">
        <f>(Table1[[#This Row],[value]] - Table1[[#This Row],[mean]]) / Table1[[#This Row],[std_dev]]</f>
        <v>0.36821927949476574</v>
      </c>
      <c r="K10052">
        <f>AVERAGEIF(Table1[CountryCode],Table1[[#This Row],[CountryCode]],Table1[z-score])</f>
        <v>-0.19691915896687051</v>
      </c>
      <c r="L10052" t="e">
        <f>VLOOKUP(Table1[[#This Row],[CountryCode]],[1]!Table1[#All],1,FALSE)</f>
        <v>#REF!</v>
      </c>
    </row>
    <row r="10053" spans="1:12" hidden="1" x14ac:dyDescent="0.3">
      <c r="A10053" t="s">
        <v>97</v>
      </c>
      <c r="B10053" t="s">
        <v>98</v>
      </c>
      <c r="C10053" t="s">
        <v>129</v>
      </c>
      <c r="D10053" t="s">
        <v>130</v>
      </c>
      <c r="E10053">
        <v>1996</v>
      </c>
      <c r="F10053" s="1">
        <v>75</v>
      </c>
      <c r="G10053">
        <v>1990</v>
      </c>
      <c r="H10053">
        <f>AVERAGEIFS(Table1[value],Table1[IndicatorCode],Table1[[#This Row],[IndicatorCode]])</f>
        <v>72.66514008620689</v>
      </c>
      <c r="I10053" cm="1">
        <f t="array" ref="I10053">_xlfn.STDEV.P(IF(Table1[IndicatorCode]=Table1[[#This Row],[IndicatorCode]],Table1[value]))</f>
        <v>6.3409496564024987</v>
      </c>
      <c r="J10053">
        <f>(Table1[[#This Row],[value]] - Table1[[#This Row],[mean]]) / Table1[[#This Row],[std_dev]]</f>
        <v>0.36821927949476574</v>
      </c>
      <c r="K10053">
        <f>AVERAGEIF(Table1[CountryCode],Table1[[#This Row],[CountryCode]],Table1[z-score])</f>
        <v>-0.19691915896687051</v>
      </c>
      <c r="L10053" t="e">
        <f>VLOOKUP(Table1[[#This Row],[CountryCode]],[1]!Table1[#All],1,FALSE)</f>
        <v>#REF!</v>
      </c>
    </row>
    <row r="10054" spans="1:12" hidden="1" x14ac:dyDescent="0.3">
      <c r="A10054" t="s">
        <v>97</v>
      </c>
      <c r="B10054" t="s">
        <v>98</v>
      </c>
      <c r="C10054" t="s">
        <v>129</v>
      </c>
      <c r="D10054" t="s">
        <v>130</v>
      </c>
      <c r="E10054">
        <v>1997</v>
      </c>
      <c r="F10054" s="1">
        <v>75</v>
      </c>
      <c r="G10054">
        <v>2000</v>
      </c>
      <c r="H10054">
        <f>AVERAGEIFS(Table1[value],Table1[IndicatorCode],Table1[[#This Row],[IndicatorCode]])</f>
        <v>72.66514008620689</v>
      </c>
      <c r="I10054" cm="1">
        <f t="array" ref="I10054">_xlfn.STDEV.P(IF(Table1[IndicatorCode]=Table1[[#This Row],[IndicatorCode]],Table1[value]))</f>
        <v>6.3409496564024987</v>
      </c>
      <c r="J10054">
        <f>(Table1[[#This Row],[value]] - Table1[[#This Row],[mean]]) / Table1[[#This Row],[std_dev]]</f>
        <v>0.36821927949476574</v>
      </c>
      <c r="K10054">
        <f>AVERAGEIF(Table1[CountryCode],Table1[[#This Row],[CountryCode]],Table1[z-score])</f>
        <v>-0.19691915896687051</v>
      </c>
      <c r="L10054" t="e">
        <f>VLOOKUP(Table1[[#This Row],[CountryCode]],[1]!Table1[#All],1,FALSE)</f>
        <v>#REF!</v>
      </c>
    </row>
    <row r="10055" spans="1:12" hidden="1" x14ac:dyDescent="0.3">
      <c r="A10055" t="s">
        <v>97</v>
      </c>
      <c r="B10055" t="s">
        <v>98</v>
      </c>
      <c r="C10055" t="s">
        <v>129</v>
      </c>
      <c r="D10055" t="s">
        <v>130</v>
      </c>
      <c r="E10055">
        <v>1998</v>
      </c>
      <c r="F10055" s="1">
        <v>76</v>
      </c>
      <c r="G10055">
        <v>2000</v>
      </c>
      <c r="H10055">
        <f>AVERAGEIFS(Table1[value],Table1[IndicatorCode],Table1[[#This Row],[IndicatorCode]])</f>
        <v>72.66514008620689</v>
      </c>
      <c r="I10055" cm="1">
        <f t="array" ref="I10055">_xlfn.STDEV.P(IF(Table1[IndicatorCode]=Table1[[#This Row],[IndicatorCode]],Table1[value]))</f>
        <v>6.3409496564024987</v>
      </c>
      <c r="J10055">
        <f>(Table1[[#This Row],[value]] - Table1[[#This Row],[mean]]) / Table1[[#This Row],[std_dev]]</f>
        <v>0.52592436377820473</v>
      </c>
      <c r="K10055">
        <f>AVERAGEIF(Table1[CountryCode],Table1[[#This Row],[CountryCode]],Table1[z-score])</f>
        <v>-0.19691915896687051</v>
      </c>
      <c r="L10055" t="e">
        <f>VLOOKUP(Table1[[#This Row],[CountryCode]],[1]!Table1[#All],1,FALSE)</f>
        <v>#REF!</v>
      </c>
    </row>
    <row r="10056" spans="1:12" hidden="1" x14ac:dyDescent="0.3">
      <c r="A10056" t="s">
        <v>97</v>
      </c>
      <c r="B10056" t="s">
        <v>98</v>
      </c>
      <c r="C10056" t="s">
        <v>129</v>
      </c>
      <c r="D10056" t="s">
        <v>130</v>
      </c>
      <c r="E10056">
        <v>1999</v>
      </c>
      <c r="F10056" s="1">
        <v>76</v>
      </c>
      <c r="G10056">
        <v>2000</v>
      </c>
      <c r="H10056">
        <f>AVERAGEIFS(Table1[value],Table1[IndicatorCode],Table1[[#This Row],[IndicatorCode]])</f>
        <v>72.66514008620689</v>
      </c>
      <c r="I10056" cm="1">
        <f t="array" ref="I10056">_xlfn.STDEV.P(IF(Table1[IndicatorCode]=Table1[[#This Row],[IndicatorCode]],Table1[value]))</f>
        <v>6.3409496564024987</v>
      </c>
      <c r="J10056">
        <f>(Table1[[#This Row],[value]] - Table1[[#This Row],[mean]]) / Table1[[#This Row],[std_dev]]</f>
        <v>0.52592436377820473</v>
      </c>
      <c r="K10056">
        <f>AVERAGEIF(Table1[CountryCode],Table1[[#This Row],[CountryCode]],Table1[z-score])</f>
        <v>-0.19691915896687051</v>
      </c>
      <c r="L10056" t="e">
        <f>VLOOKUP(Table1[[#This Row],[CountryCode]],[1]!Table1[#All],1,FALSE)</f>
        <v>#REF!</v>
      </c>
    </row>
    <row r="10057" spans="1:12" hidden="1" x14ac:dyDescent="0.3">
      <c r="A10057" t="s">
        <v>97</v>
      </c>
      <c r="B10057" t="s">
        <v>98</v>
      </c>
      <c r="C10057" t="s">
        <v>129</v>
      </c>
      <c r="D10057" t="s">
        <v>130</v>
      </c>
      <c r="E10057">
        <v>2000</v>
      </c>
      <c r="F10057" s="1">
        <v>76</v>
      </c>
      <c r="G10057">
        <v>2000</v>
      </c>
      <c r="H10057">
        <f>AVERAGEIFS(Table1[value],Table1[IndicatorCode],Table1[[#This Row],[IndicatorCode]])</f>
        <v>72.66514008620689</v>
      </c>
      <c r="I10057" cm="1">
        <f t="array" ref="I10057">_xlfn.STDEV.P(IF(Table1[IndicatorCode]=Table1[[#This Row],[IndicatorCode]],Table1[value]))</f>
        <v>6.3409496564024987</v>
      </c>
      <c r="J10057">
        <f>(Table1[[#This Row],[value]] - Table1[[#This Row],[mean]]) / Table1[[#This Row],[std_dev]]</f>
        <v>0.52592436377820473</v>
      </c>
      <c r="K10057">
        <f>AVERAGEIF(Table1[CountryCode],Table1[[#This Row],[CountryCode]],Table1[z-score])</f>
        <v>-0.19691915896687051</v>
      </c>
      <c r="L10057" t="e">
        <f>VLOOKUP(Table1[[#This Row],[CountryCode]],[1]!Table1[#All],1,FALSE)</f>
        <v>#REF!</v>
      </c>
    </row>
    <row r="10058" spans="1:12" hidden="1" x14ac:dyDescent="0.3">
      <c r="A10058" t="s">
        <v>97</v>
      </c>
      <c r="B10058" t="s">
        <v>98</v>
      </c>
      <c r="C10058" t="s">
        <v>129</v>
      </c>
      <c r="D10058" t="s">
        <v>130</v>
      </c>
      <c r="E10058">
        <v>2001</v>
      </c>
      <c r="F10058" s="1">
        <v>77</v>
      </c>
      <c r="G10058">
        <v>2000</v>
      </c>
      <c r="H10058">
        <f>AVERAGEIFS(Table1[value],Table1[IndicatorCode],Table1[[#This Row],[IndicatorCode]])</f>
        <v>72.66514008620689</v>
      </c>
      <c r="I10058" cm="1">
        <f t="array" ref="I10058">_xlfn.STDEV.P(IF(Table1[IndicatorCode]=Table1[[#This Row],[IndicatorCode]],Table1[value]))</f>
        <v>6.3409496564024987</v>
      </c>
      <c r="J10058">
        <f>(Table1[[#This Row],[value]] - Table1[[#This Row],[mean]]) / Table1[[#This Row],[std_dev]]</f>
        <v>0.68362944806164383</v>
      </c>
      <c r="K10058">
        <f>AVERAGEIF(Table1[CountryCode],Table1[[#This Row],[CountryCode]],Table1[z-score])</f>
        <v>-0.19691915896687051</v>
      </c>
      <c r="L10058" t="e">
        <f>VLOOKUP(Table1[[#This Row],[CountryCode]],[1]!Table1[#All],1,FALSE)</f>
        <v>#REF!</v>
      </c>
    </row>
    <row r="10059" spans="1:12" hidden="1" x14ac:dyDescent="0.3">
      <c r="A10059" t="s">
        <v>97</v>
      </c>
      <c r="B10059" t="s">
        <v>98</v>
      </c>
      <c r="C10059" t="s">
        <v>129</v>
      </c>
      <c r="D10059" t="s">
        <v>130</v>
      </c>
      <c r="E10059">
        <v>2002</v>
      </c>
      <c r="F10059" s="1">
        <v>77</v>
      </c>
      <c r="G10059">
        <v>2000</v>
      </c>
      <c r="H10059">
        <f>AVERAGEIFS(Table1[value],Table1[IndicatorCode],Table1[[#This Row],[IndicatorCode]])</f>
        <v>72.66514008620689</v>
      </c>
      <c r="I10059" cm="1">
        <f t="array" ref="I10059">_xlfn.STDEV.P(IF(Table1[IndicatorCode]=Table1[[#This Row],[IndicatorCode]],Table1[value]))</f>
        <v>6.3409496564024987</v>
      </c>
      <c r="J10059">
        <f>(Table1[[#This Row],[value]] - Table1[[#This Row],[mean]]) / Table1[[#This Row],[std_dev]]</f>
        <v>0.68362944806164383</v>
      </c>
      <c r="K10059">
        <f>AVERAGEIF(Table1[CountryCode],Table1[[#This Row],[CountryCode]],Table1[z-score])</f>
        <v>-0.19691915896687051</v>
      </c>
      <c r="L10059" t="e">
        <f>VLOOKUP(Table1[[#This Row],[CountryCode]],[1]!Table1[#All],1,FALSE)</f>
        <v>#REF!</v>
      </c>
    </row>
    <row r="10060" spans="1:12" hidden="1" x14ac:dyDescent="0.3">
      <c r="A10060" t="s">
        <v>97</v>
      </c>
      <c r="B10060" t="s">
        <v>98</v>
      </c>
      <c r="C10060" t="s">
        <v>129</v>
      </c>
      <c r="D10060" t="s">
        <v>130</v>
      </c>
      <c r="E10060">
        <v>2003</v>
      </c>
      <c r="F10060" s="1">
        <v>77</v>
      </c>
      <c r="G10060">
        <v>2000</v>
      </c>
      <c r="H10060">
        <f>AVERAGEIFS(Table1[value],Table1[IndicatorCode],Table1[[#This Row],[IndicatorCode]])</f>
        <v>72.66514008620689</v>
      </c>
      <c r="I10060" cm="1">
        <f t="array" ref="I10060">_xlfn.STDEV.P(IF(Table1[IndicatorCode]=Table1[[#This Row],[IndicatorCode]],Table1[value]))</f>
        <v>6.3409496564024987</v>
      </c>
      <c r="J10060">
        <f>(Table1[[#This Row],[value]] - Table1[[#This Row],[mean]]) / Table1[[#This Row],[std_dev]]</f>
        <v>0.68362944806164383</v>
      </c>
      <c r="K10060">
        <f>AVERAGEIF(Table1[CountryCode],Table1[[#This Row],[CountryCode]],Table1[z-score])</f>
        <v>-0.19691915896687051</v>
      </c>
      <c r="L10060" t="e">
        <f>VLOOKUP(Table1[[#This Row],[CountryCode]],[1]!Table1[#All],1,FALSE)</f>
        <v>#REF!</v>
      </c>
    </row>
    <row r="10061" spans="1:12" hidden="1" x14ac:dyDescent="0.3">
      <c r="A10061" t="s">
        <v>97</v>
      </c>
      <c r="B10061" t="s">
        <v>98</v>
      </c>
      <c r="C10061" t="s">
        <v>129</v>
      </c>
      <c r="D10061" t="s">
        <v>130</v>
      </c>
      <c r="E10061">
        <v>2004</v>
      </c>
      <c r="F10061" s="1">
        <v>78</v>
      </c>
      <c r="G10061">
        <v>2000</v>
      </c>
      <c r="H10061">
        <f>AVERAGEIFS(Table1[value],Table1[IndicatorCode],Table1[[#This Row],[IndicatorCode]])</f>
        <v>72.66514008620689</v>
      </c>
      <c r="I10061" cm="1">
        <f t="array" ref="I10061">_xlfn.STDEV.P(IF(Table1[IndicatorCode]=Table1[[#This Row],[IndicatorCode]],Table1[value]))</f>
        <v>6.3409496564024987</v>
      </c>
      <c r="J10061">
        <f>(Table1[[#This Row],[value]] - Table1[[#This Row],[mean]]) / Table1[[#This Row],[std_dev]]</f>
        <v>0.84133453234508293</v>
      </c>
      <c r="K10061">
        <f>AVERAGEIF(Table1[CountryCode],Table1[[#This Row],[CountryCode]],Table1[z-score])</f>
        <v>-0.19691915896687051</v>
      </c>
      <c r="L10061" t="e">
        <f>VLOOKUP(Table1[[#This Row],[CountryCode]],[1]!Table1[#All],1,FALSE)</f>
        <v>#REF!</v>
      </c>
    </row>
    <row r="10062" spans="1:12" hidden="1" x14ac:dyDescent="0.3">
      <c r="A10062" t="s">
        <v>97</v>
      </c>
      <c r="B10062" t="s">
        <v>98</v>
      </c>
      <c r="C10062" t="s">
        <v>129</v>
      </c>
      <c r="D10062" t="s">
        <v>130</v>
      </c>
      <c r="E10062">
        <v>2005</v>
      </c>
      <c r="F10062" s="1">
        <v>78</v>
      </c>
      <c r="G10062">
        <v>2000</v>
      </c>
      <c r="H10062">
        <f>AVERAGEIFS(Table1[value],Table1[IndicatorCode],Table1[[#This Row],[IndicatorCode]])</f>
        <v>72.66514008620689</v>
      </c>
      <c r="I10062" cm="1">
        <f t="array" ref="I10062">_xlfn.STDEV.P(IF(Table1[IndicatorCode]=Table1[[#This Row],[IndicatorCode]],Table1[value]))</f>
        <v>6.3409496564024987</v>
      </c>
      <c r="J10062">
        <f>(Table1[[#This Row],[value]] - Table1[[#This Row],[mean]]) / Table1[[#This Row],[std_dev]]</f>
        <v>0.84133453234508293</v>
      </c>
      <c r="K10062">
        <f>AVERAGEIF(Table1[CountryCode],Table1[[#This Row],[CountryCode]],Table1[z-score])</f>
        <v>-0.19691915896687051</v>
      </c>
      <c r="L10062" t="e">
        <f>VLOOKUP(Table1[[#This Row],[CountryCode]],[1]!Table1[#All],1,FALSE)</f>
        <v>#REF!</v>
      </c>
    </row>
    <row r="10063" spans="1:12" hidden="1" x14ac:dyDescent="0.3">
      <c r="A10063" t="s">
        <v>97</v>
      </c>
      <c r="B10063" t="s">
        <v>98</v>
      </c>
      <c r="C10063" t="s">
        <v>129</v>
      </c>
      <c r="D10063" t="s">
        <v>130</v>
      </c>
      <c r="E10063">
        <v>2006</v>
      </c>
      <c r="F10063" s="1">
        <v>78</v>
      </c>
      <c r="G10063">
        <v>2000</v>
      </c>
      <c r="H10063">
        <f>AVERAGEIFS(Table1[value],Table1[IndicatorCode],Table1[[#This Row],[IndicatorCode]])</f>
        <v>72.66514008620689</v>
      </c>
      <c r="I10063" cm="1">
        <f t="array" ref="I10063">_xlfn.STDEV.P(IF(Table1[IndicatorCode]=Table1[[#This Row],[IndicatorCode]],Table1[value]))</f>
        <v>6.3409496564024987</v>
      </c>
      <c r="J10063">
        <f>(Table1[[#This Row],[value]] - Table1[[#This Row],[mean]]) / Table1[[#This Row],[std_dev]]</f>
        <v>0.84133453234508293</v>
      </c>
      <c r="K10063">
        <f>AVERAGEIF(Table1[CountryCode],Table1[[#This Row],[CountryCode]],Table1[z-score])</f>
        <v>-0.19691915896687051</v>
      </c>
      <c r="L10063" t="e">
        <f>VLOOKUP(Table1[[#This Row],[CountryCode]],[1]!Table1[#All],1,FALSE)</f>
        <v>#REF!</v>
      </c>
    </row>
    <row r="10064" spans="1:12" hidden="1" x14ac:dyDescent="0.3">
      <c r="A10064" t="s">
        <v>97</v>
      </c>
      <c r="B10064" t="s">
        <v>98</v>
      </c>
      <c r="C10064" t="s">
        <v>129</v>
      </c>
      <c r="D10064" t="s">
        <v>130</v>
      </c>
      <c r="E10064">
        <v>2007</v>
      </c>
      <c r="F10064" s="1">
        <v>78</v>
      </c>
      <c r="G10064">
        <v>2010</v>
      </c>
      <c r="H10064">
        <f>AVERAGEIFS(Table1[value],Table1[IndicatorCode],Table1[[#This Row],[IndicatorCode]])</f>
        <v>72.66514008620689</v>
      </c>
      <c r="I10064" cm="1">
        <f t="array" ref="I10064">_xlfn.STDEV.P(IF(Table1[IndicatorCode]=Table1[[#This Row],[IndicatorCode]],Table1[value]))</f>
        <v>6.3409496564024987</v>
      </c>
      <c r="J10064">
        <f>(Table1[[#This Row],[value]] - Table1[[#This Row],[mean]]) / Table1[[#This Row],[std_dev]]</f>
        <v>0.84133453234508293</v>
      </c>
      <c r="K10064">
        <f>AVERAGEIF(Table1[CountryCode],Table1[[#This Row],[CountryCode]],Table1[z-score])</f>
        <v>-0.19691915896687051</v>
      </c>
      <c r="L10064" t="e">
        <f>VLOOKUP(Table1[[#This Row],[CountryCode]],[1]!Table1[#All],1,FALSE)</f>
        <v>#REF!</v>
      </c>
    </row>
    <row r="10065" spans="1:12" hidden="1" x14ac:dyDescent="0.3">
      <c r="A10065" t="s">
        <v>97</v>
      </c>
      <c r="B10065" t="s">
        <v>98</v>
      </c>
      <c r="C10065" t="s">
        <v>129</v>
      </c>
      <c r="D10065" t="s">
        <v>130</v>
      </c>
      <c r="E10065">
        <v>2008</v>
      </c>
      <c r="F10065" s="1">
        <v>79</v>
      </c>
      <c r="G10065">
        <v>2010</v>
      </c>
      <c r="H10065">
        <f>AVERAGEIFS(Table1[value],Table1[IndicatorCode],Table1[[#This Row],[IndicatorCode]])</f>
        <v>72.66514008620689</v>
      </c>
      <c r="I10065" cm="1">
        <f t="array" ref="I10065">_xlfn.STDEV.P(IF(Table1[IndicatorCode]=Table1[[#This Row],[IndicatorCode]],Table1[value]))</f>
        <v>6.3409496564024987</v>
      </c>
      <c r="J10065">
        <f>(Table1[[#This Row],[value]] - Table1[[#This Row],[mean]]) / Table1[[#This Row],[std_dev]]</f>
        <v>0.99903961662852192</v>
      </c>
      <c r="K10065">
        <f>AVERAGEIF(Table1[CountryCode],Table1[[#This Row],[CountryCode]],Table1[z-score])</f>
        <v>-0.19691915896687051</v>
      </c>
      <c r="L10065" t="e">
        <f>VLOOKUP(Table1[[#This Row],[CountryCode]],[1]!Table1[#All],1,FALSE)</f>
        <v>#REF!</v>
      </c>
    </row>
    <row r="10066" spans="1:12" hidden="1" x14ac:dyDescent="0.3">
      <c r="A10066" t="s">
        <v>97</v>
      </c>
      <c r="B10066" t="s">
        <v>98</v>
      </c>
      <c r="C10066" t="s">
        <v>129</v>
      </c>
      <c r="D10066" t="s">
        <v>130</v>
      </c>
      <c r="E10066">
        <v>2009</v>
      </c>
      <c r="F10066" s="1">
        <v>79</v>
      </c>
      <c r="G10066">
        <v>2010</v>
      </c>
      <c r="H10066">
        <f>AVERAGEIFS(Table1[value],Table1[IndicatorCode],Table1[[#This Row],[IndicatorCode]])</f>
        <v>72.66514008620689</v>
      </c>
      <c r="I10066" cm="1">
        <f t="array" ref="I10066">_xlfn.STDEV.P(IF(Table1[IndicatorCode]=Table1[[#This Row],[IndicatorCode]],Table1[value]))</f>
        <v>6.3409496564024987</v>
      </c>
      <c r="J10066">
        <f>(Table1[[#This Row],[value]] - Table1[[#This Row],[mean]]) / Table1[[#This Row],[std_dev]]</f>
        <v>0.99903961662852192</v>
      </c>
      <c r="K10066">
        <f>AVERAGEIF(Table1[CountryCode],Table1[[#This Row],[CountryCode]],Table1[z-score])</f>
        <v>-0.19691915896687051</v>
      </c>
      <c r="L10066" t="e">
        <f>VLOOKUP(Table1[[#This Row],[CountryCode]],[1]!Table1[#All],1,FALSE)</f>
        <v>#REF!</v>
      </c>
    </row>
    <row r="10067" spans="1:12" hidden="1" x14ac:dyDescent="0.3">
      <c r="A10067" t="s">
        <v>97</v>
      </c>
      <c r="B10067" t="s">
        <v>98</v>
      </c>
      <c r="C10067" t="s">
        <v>129</v>
      </c>
      <c r="D10067" t="s">
        <v>130</v>
      </c>
      <c r="E10067">
        <v>2010</v>
      </c>
      <c r="F10067" s="1">
        <v>79</v>
      </c>
      <c r="G10067">
        <v>2010</v>
      </c>
      <c r="H10067">
        <f>AVERAGEIFS(Table1[value],Table1[IndicatorCode],Table1[[#This Row],[IndicatorCode]])</f>
        <v>72.66514008620689</v>
      </c>
      <c r="I10067" cm="1">
        <f t="array" ref="I10067">_xlfn.STDEV.P(IF(Table1[IndicatorCode]=Table1[[#This Row],[IndicatorCode]],Table1[value]))</f>
        <v>6.3409496564024987</v>
      </c>
      <c r="J10067">
        <f>(Table1[[#This Row],[value]] - Table1[[#This Row],[mean]]) / Table1[[#This Row],[std_dev]]</f>
        <v>0.99903961662852192</v>
      </c>
      <c r="K10067">
        <f>AVERAGEIF(Table1[CountryCode],Table1[[#This Row],[CountryCode]],Table1[z-score])</f>
        <v>-0.19691915896687051</v>
      </c>
      <c r="L10067" t="e">
        <f>VLOOKUP(Table1[[#This Row],[CountryCode]],[1]!Table1[#All],1,FALSE)</f>
        <v>#REF!</v>
      </c>
    </row>
    <row r="10068" spans="1:12" hidden="1" x14ac:dyDescent="0.3">
      <c r="A10068" t="s">
        <v>97</v>
      </c>
      <c r="B10068" t="s">
        <v>98</v>
      </c>
      <c r="C10068" t="s">
        <v>129</v>
      </c>
      <c r="D10068" t="s">
        <v>130</v>
      </c>
      <c r="E10068">
        <v>2011</v>
      </c>
      <c r="F10068" s="1">
        <v>80</v>
      </c>
      <c r="G10068">
        <v>2010</v>
      </c>
      <c r="H10068">
        <f>AVERAGEIFS(Table1[value],Table1[IndicatorCode],Table1[[#This Row],[IndicatorCode]])</f>
        <v>72.66514008620689</v>
      </c>
      <c r="I10068" cm="1">
        <f t="array" ref="I10068">_xlfn.STDEV.P(IF(Table1[IndicatorCode]=Table1[[#This Row],[IndicatorCode]],Table1[value]))</f>
        <v>6.3409496564024987</v>
      </c>
      <c r="J10068">
        <f>(Table1[[#This Row],[value]] - Table1[[#This Row],[mean]]) / Table1[[#This Row],[std_dev]]</f>
        <v>1.1567447009119609</v>
      </c>
      <c r="K10068">
        <f>AVERAGEIF(Table1[CountryCode],Table1[[#This Row],[CountryCode]],Table1[z-score])</f>
        <v>-0.19691915896687051</v>
      </c>
      <c r="L10068" t="e">
        <f>VLOOKUP(Table1[[#This Row],[CountryCode]],[1]!Table1[#All],1,FALSE)</f>
        <v>#REF!</v>
      </c>
    </row>
    <row r="10069" spans="1:12" hidden="1" x14ac:dyDescent="0.3">
      <c r="A10069" t="s">
        <v>97</v>
      </c>
      <c r="B10069" t="s">
        <v>98</v>
      </c>
      <c r="C10069" t="s">
        <v>129</v>
      </c>
      <c r="D10069" t="s">
        <v>130</v>
      </c>
      <c r="E10069">
        <v>2012</v>
      </c>
      <c r="F10069" s="1">
        <v>80</v>
      </c>
      <c r="G10069">
        <v>2010</v>
      </c>
      <c r="H10069">
        <f>AVERAGEIFS(Table1[value],Table1[IndicatorCode],Table1[[#This Row],[IndicatorCode]])</f>
        <v>72.66514008620689</v>
      </c>
      <c r="I10069" cm="1">
        <f t="array" ref="I10069">_xlfn.STDEV.P(IF(Table1[IndicatorCode]=Table1[[#This Row],[IndicatorCode]],Table1[value]))</f>
        <v>6.3409496564024987</v>
      </c>
      <c r="J10069">
        <f>(Table1[[#This Row],[value]] - Table1[[#This Row],[mean]]) / Table1[[#This Row],[std_dev]]</f>
        <v>1.1567447009119609</v>
      </c>
      <c r="K10069">
        <f>AVERAGEIF(Table1[CountryCode],Table1[[#This Row],[CountryCode]],Table1[z-score])</f>
        <v>-0.19691915896687051</v>
      </c>
      <c r="L10069" t="e">
        <f>VLOOKUP(Table1[[#This Row],[CountryCode]],[1]!Table1[#All],1,FALSE)</f>
        <v>#REF!</v>
      </c>
    </row>
    <row r="10070" spans="1:12" hidden="1" x14ac:dyDescent="0.3">
      <c r="A10070" t="s">
        <v>97</v>
      </c>
      <c r="B10070" t="s">
        <v>98</v>
      </c>
      <c r="C10070" t="s">
        <v>129</v>
      </c>
      <c r="D10070" t="s">
        <v>130</v>
      </c>
      <c r="E10070">
        <v>2013</v>
      </c>
      <c r="F10070" s="1">
        <v>81</v>
      </c>
      <c r="G10070">
        <v>2010</v>
      </c>
      <c r="H10070">
        <f>AVERAGEIFS(Table1[value],Table1[IndicatorCode],Table1[[#This Row],[IndicatorCode]])</f>
        <v>72.66514008620689</v>
      </c>
      <c r="I10070" cm="1">
        <f t="array" ref="I10070">_xlfn.STDEV.P(IF(Table1[IndicatorCode]=Table1[[#This Row],[IndicatorCode]],Table1[value]))</f>
        <v>6.3409496564024987</v>
      </c>
      <c r="J10070">
        <f>(Table1[[#This Row],[value]] - Table1[[#This Row],[mean]]) / Table1[[#This Row],[std_dev]]</f>
        <v>1.3144497851954</v>
      </c>
      <c r="K10070">
        <f>AVERAGEIF(Table1[CountryCode],Table1[[#This Row],[CountryCode]],Table1[z-score])</f>
        <v>-0.19691915896687051</v>
      </c>
      <c r="L10070" t="e">
        <f>VLOOKUP(Table1[[#This Row],[CountryCode]],[1]!Table1[#All],1,FALSE)</f>
        <v>#REF!</v>
      </c>
    </row>
    <row r="10071" spans="1:12" hidden="1" x14ac:dyDescent="0.3">
      <c r="A10071" t="s">
        <v>97</v>
      </c>
      <c r="B10071" t="s">
        <v>98</v>
      </c>
      <c r="C10071" t="s">
        <v>129</v>
      </c>
      <c r="D10071" t="s">
        <v>130</v>
      </c>
      <c r="E10071">
        <v>2014</v>
      </c>
      <c r="F10071" s="1">
        <v>81</v>
      </c>
      <c r="G10071">
        <v>2010</v>
      </c>
      <c r="H10071">
        <f>AVERAGEIFS(Table1[value],Table1[IndicatorCode],Table1[[#This Row],[IndicatorCode]])</f>
        <v>72.66514008620689</v>
      </c>
      <c r="I10071" cm="1">
        <f t="array" ref="I10071">_xlfn.STDEV.P(IF(Table1[IndicatorCode]=Table1[[#This Row],[IndicatorCode]],Table1[value]))</f>
        <v>6.3409496564024987</v>
      </c>
      <c r="J10071">
        <f>(Table1[[#This Row],[value]] - Table1[[#This Row],[mean]]) / Table1[[#This Row],[std_dev]]</f>
        <v>1.3144497851954</v>
      </c>
      <c r="K10071">
        <f>AVERAGEIF(Table1[CountryCode],Table1[[#This Row],[CountryCode]],Table1[z-score])</f>
        <v>-0.19691915896687051</v>
      </c>
      <c r="L10071" t="e">
        <f>VLOOKUP(Table1[[#This Row],[CountryCode]],[1]!Table1[#All],1,FALSE)</f>
        <v>#REF!</v>
      </c>
    </row>
    <row r="10072" spans="1:12" hidden="1" x14ac:dyDescent="0.3">
      <c r="A10072" t="s">
        <v>97</v>
      </c>
      <c r="B10072" t="s">
        <v>98</v>
      </c>
      <c r="C10072" t="s">
        <v>129</v>
      </c>
      <c r="D10072" t="s">
        <v>130</v>
      </c>
      <c r="E10072">
        <v>2015</v>
      </c>
      <c r="F10072" s="1">
        <v>81</v>
      </c>
      <c r="G10072">
        <v>2010</v>
      </c>
      <c r="H10072">
        <f>AVERAGEIFS(Table1[value],Table1[IndicatorCode],Table1[[#This Row],[IndicatorCode]])</f>
        <v>72.66514008620689</v>
      </c>
      <c r="I10072" cm="1">
        <f t="array" ref="I10072">_xlfn.STDEV.P(IF(Table1[IndicatorCode]=Table1[[#This Row],[IndicatorCode]],Table1[value]))</f>
        <v>6.3409496564024987</v>
      </c>
      <c r="J10072">
        <f>(Table1[[#This Row],[value]] - Table1[[#This Row],[mean]]) / Table1[[#This Row],[std_dev]]</f>
        <v>1.3144497851954</v>
      </c>
      <c r="K10072">
        <f>AVERAGEIF(Table1[CountryCode],Table1[[#This Row],[CountryCode]],Table1[z-score])</f>
        <v>-0.19691915896687051</v>
      </c>
      <c r="L10072" t="e">
        <f>VLOOKUP(Table1[[#This Row],[CountryCode]],[1]!Table1[#All],1,FALSE)</f>
        <v>#REF!</v>
      </c>
    </row>
    <row r="10073" spans="1:12" hidden="1" x14ac:dyDescent="0.3">
      <c r="A10073" t="s">
        <v>97</v>
      </c>
      <c r="B10073" t="s">
        <v>98</v>
      </c>
      <c r="C10073" t="s">
        <v>129</v>
      </c>
      <c r="D10073" t="s">
        <v>130</v>
      </c>
      <c r="E10073">
        <v>2016</v>
      </c>
      <c r="F10073" s="1">
        <v>81</v>
      </c>
      <c r="G10073">
        <v>2010</v>
      </c>
      <c r="H10073">
        <f>AVERAGEIFS(Table1[value],Table1[IndicatorCode],Table1[[#This Row],[IndicatorCode]])</f>
        <v>72.66514008620689</v>
      </c>
      <c r="I10073" cm="1">
        <f t="array" ref="I10073">_xlfn.STDEV.P(IF(Table1[IndicatorCode]=Table1[[#This Row],[IndicatorCode]],Table1[value]))</f>
        <v>6.3409496564024987</v>
      </c>
      <c r="J10073">
        <f>(Table1[[#This Row],[value]] - Table1[[#This Row],[mean]]) / Table1[[#This Row],[std_dev]]</f>
        <v>1.3144497851954</v>
      </c>
      <c r="K10073">
        <f>AVERAGEIF(Table1[CountryCode],Table1[[#This Row],[CountryCode]],Table1[z-score])</f>
        <v>-0.19691915896687051</v>
      </c>
      <c r="L10073" t="e">
        <f>VLOOKUP(Table1[[#This Row],[CountryCode]],[1]!Table1[#All],1,FALSE)</f>
        <v>#REF!</v>
      </c>
    </row>
    <row r="10074" spans="1:12" hidden="1" x14ac:dyDescent="0.3">
      <c r="A10074" t="s">
        <v>97</v>
      </c>
      <c r="B10074" t="s">
        <v>98</v>
      </c>
      <c r="C10074" t="s">
        <v>129</v>
      </c>
      <c r="D10074" t="s">
        <v>130</v>
      </c>
      <c r="E10074">
        <v>2017</v>
      </c>
      <c r="F10074" s="1">
        <v>81</v>
      </c>
      <c r="G10074">
        <v>2020</v>
      </c>
      <c r="H10074">
        <f>AVERAGEIFS(Table1[value],Table1[IndicatorCode],Table1[[#This Row],[IndicatorCode]])</f>
        <v>72.66514008620689</v>
      </c>
      <c r="I10074" cm="1">
        <f t="array" ref="I10074">_xlfn.STDEV.P(IF(Table1[IndicatorCode]=Table1[[#This Row],[IndicatorCode]],Table1[value]))</f>
        <v>6.3409496564024987</v>
      </c>
      <c r="J10074">
        <f>(Table1[[#This Row],[value]] - Table1[[#This Row],[mean]]) / Table1[[#This Row],[std_dev]]</f>
        <v>1.3144497851954</v>
      </c>
      <c r="K10074">
        <f>AVERAGEIF(Table1[CountryCode],Table1[[#This Row],[CountryCode]],Table1[z-score])</f>
        <v>-0.19691915896687051</v>
      </c>
      <c r="L10074" t="e">
        <f>VLOOKUP(Table1[[#This Row],[CountryCode]],[1]!Table1[#All],1,FALSE)</f>
        <v>#REF!</v>
      </c>
    </row>
    <row r="10075" spans="1:12" hidden="1" x14ac:dyDescent="0.3">
      <c r="A10075" t="s">
        <v>97</v>
      </c>
      <c r="B10075" t="s">
        <v>98</v>
      </c>
      <c r="C10075" t="s">
        <v>129</v>
      </c>
      <c r="D10075" t="s">
        <v>130</v>
      </c>
      <c r="E10075">
        <v>2018</v>
      </c>
      <c r="F10075" s="1">
        <v>81</v>
      </c>
      <c r="G10075">
        <v>2020</v>
      </c>
      <c r="H10075">
        <f>AVERAGEIFS(Table1[value],Table1[IndicatorCode],Table1[[#This Row],[IndicatorCode]])</f>
        <v>72.66514008620689</v>
      </c>
      <c r="I10075" cm="1">
        <f t="array" ref="I10075">_xlfn.STDEV.P(IF(Table1[IndicatorCode]=Table1[[#This Row],[IndicatorCode]],Table1[value]))</f>
        <v>6.3409496564024987</v>
      </c>
      <c r="J10075">
        <f>(Table1[[#This Row],[value]] - Table1[[#This Row],[mean]]) / Table1[[#This Row],[std_dev]]</f>
        <v>1.3144497851954</v>
      </c>
      <c r="K10075">
        <f>AVERAGEIF(Table1[CountryCode],Table1[[#This Row],[CountryCode]],Table1[z-score])</f>
        <v>-0.19691915896687051</v>
      </c>
      <c r="L10075" t="e">
        <f>VLOOKUP(Table1[[#This Row],[CountryCode]],[1]!Table1[#All],1,FALSE)</f>
        <v>#REF!</v>
      </c>
    </row>
    <row r="10076" spans="1:12" hidden="1" x14ac:dyDescent="0.3">
      <c r="A10076" t="s">
        <v>97</v>
      </c>
      <c r="B10076" t="s">
        <v>98</v>
      </c>
      <c r="C10076" t="s">
        <v>129</v>
      </c>
      <c r="D10076" t="s">
        <v>130</v>
      </c>
      <c r="E10076">
        <v>2019</v>
      </c>
      <c r="F10076" s="1">
        <v>82</v>
      </c>
      <c r="G10076">
        <v>2020</v>
      </c>
      <c r="H10076">
        <f>AVERAGEIFS(Table1[value],Table1[IndicatorCode],Table1[[#This Row],[IndicatorCode]])</f>
        <v>72.66514008620689</v>
      </c>
      <c r="I10076" cm="1">
        <f t="array" ref="I10076">_xlfn.STDEV.P(IF(Table1[IndicatorCode]=Table1[[#This Row],[IndicatorCode]],Table1[value]))</f>
        <v>6.3409496564024987</v>
      </c>
      <c r="J10076">
        <f>(Table1[[#This Row],[value]] - Table1[[#This Row],[mean]]) / Table1[[#This Row],[std_dev]]</f>
        <v>1.4721548694788391</v>
      </c>
      <c r="K10076">
        <f>AVERAGEIF(Table1[CountryCode],Table1[[#This Row],[CountryCode]],Table1[z-score])</f>
        <v>-0.19691915896687051</v>
      </c>
      <c r="L10076" t="e">
        <f>VLOOKUP(Table1[[#This Row],[CountryCode]],[1]!Table1[#All],1,FALSE)</f>
        <v>#REF!</v>
      </c>
    </row>
    <row r="10077" spans="1:12" x14ac:dyDescent="0.3">
      <c r="A10077" t="s">
        <v>97</v>
      </c>
      <c r="B10077" t="s">
        <v>98</v>
      </c>
      <c r="C10077" t="s">
        <v>129</v>
      </c>
      <c r="D10077" t="s">
        <v>130</v>
      </c>
      <c r="E10077">
        <v>2020</v>
      </c>
      <c r="F10077" s="1">
        <v>81</v>
      </c>
      <c r="G10077">
        <v>2020</v>
      </c>
      <c r="H10077">
        <f>AVERAGEIFS(Table1[value],Table1[IndicatorCode],Table1[[#This Row],[IndicatorCode]])</f>
        <v>72.66514008620689</v>
      </c>
      <c r="I10077" cm="1">
        <f t="array" ref="I10077">_xlfn.STDEV.P(IF(Table1[IndicatorCode]=Table1[[#This Row],[IndicatorCode]],Table1[value]))</f>
        <v>6.3409496564024987</v>
      </c>
      <c r="J10077">
        <f>(Table1[[#This Row],[value]] - Table1[[#This Row],[mean]]) / Table1[[#This Row],[std_dev]]</f>
        <v>1.3144497851954</v>
      </c>
      <c r="K10077">
        <f>AVERAGEIF(Table1[CountryCode],Table1[[#This Row],[CountryCode]],Table1[z-score])</f>
        <v>-0.19691915896687051</v>
      </c>
    </row>
    <row r="10078" spans="1:12" hidden="1" x14ac:dyDescent="0.3">
      <c r="A10078" t="s">
        <v>97</v>
      </c>
      <c r="B10078" t="s">
        <v>98</v>
      </c>
      <c r="C10078" t="s">
        <v>129</v>
      </c>
      <c r="D10078" t="s">
        <v>130</v>
      </c>
      <c r="E10078">
        <v>2021</v>
      </c>
      <c r="F10078" s="1">
        <v>81</v>
      </c>
      <c r="G10078">
        <v>1960</v>
      </c>
      <c r="H10078">
        <f>AVERAGEIFS(Table1[value],Table1[IndicatorCode],Table1[[#This Row],[IndicatorCode]])</f>
        <v>72.66514008620689</v>
      </c>
      <c r="I10078" cm="1">
        <f t="array" ref="I10078">_xlfn.STDEV.P(IF(Table1[IndicatorCode]=Table1[[#This Row],[IndicatorCode]],Table1[value]))</f>
        <v>6.3409496564024987</v>
      </c>
      <c r="J10078">
        <f>(Table1[[#This Row],[value]] - Table1[[#This Row],[mean]]) / Table1[[#This Row],[std_dev]]</f>
        <v>1.3144497851954</v>
      </c>
      <c r="K10078">
        <f>AVERAGEIF(Table1[CountryCode],Table1[[#This Row],[CountryCode]],Table1[z-score])</f>
        <v>-0.19691915896687051</v>
      </c>
      <c r="L10078" t="e">
        <f>VLOOKUP(Table1[[#This Row],[CountryCode]],[1]!Table1[#All],1,FALSE)</f>
        <v>#REF!</v>
      </c>
    </row>
    <row r="10079" spans="1:12" hidden="1" x14ac:dyDescent="0.3">
      <c r="A10079" t="s">
        <v>97</v>
      </c>
      <c r="B10079" t="s">
        <v>98</v>
      </c>
      <c r="C10079" t="s">
        <v>129</v>
      </c>
      <c r="D10079" t="s">
        <v>130</v>
      </c>
      <c r="E10079">
        <v>2022</v>
      </c>
      <c r="F10079" s="1">
        <v>82</v>
      </c>
      <c r="G10079">
        <v>1960</v>
      </c>
      <c r="H10079">
        <f>AVERAGEIFS(Table1[value],Table1[IndicatorCode],Table1[[#This Row],[IndicatorCode]])</f>
        <v>72.66514008620689</v>
      </c>
      <c r="I10079" cm="1">
        <f t="array" ref="I10079">_xlfn.STDEV.P(IF(Table1[IndicatorCode]=Table1[[#This Row],[IndicatorCode]],Table1[value]))</f>
        <v>6.3409496564024987</v>
      </c>
      <c r="J10079">
        <f>(Table1[[#This Row],[value]] - Table1[[#This Row],[mean]]) / Table1[[#This Row],[std_dev]]</f>
        <v>1.4721548694788391</v>
      </c>
      <c r="K10079">
        <f>AVERAGEIF(Table1[CountryCode],Table1[[#This Row],[CountryCode]],Table1[z-score])</f>
        <v>-0.19691915896687051</v>
      </c>
      <c r="L10079" t="e">
        <f>VLOOKUP(Table1[[#This Row],[CountryCode]],[1]!Table1[#All],1,FALSE)</f>
        <v>#REF!</v>
      </c>
    </row>
    <row r="10080" spans="1:12" hidden="1" x14ac:dyDescent="0.3">
      <c r="A10080" t="s">
        <v>97</v>
      </c>
      <c r="B10080" t="s">
        <v>98</v>
      </c>
      <c r="C10080" t="s">
        <v>129</v>
      </c>
      <c r="D10080" t="s">
        <v>130</v>
      </c>
      <c r="E10080">
        <v>2023</v>
      </c>
      <c r="F10080" s="1">
        <v>82</v>
      </c>
      <c r="G10080">
        <v>1960</v>
      </c>
      <c r="H10080">
        <f>AVERAGEIFS(Table1[value],Table1[IndicatorCode],Table1[[#This Row],[IndicatorCode]])</f>
        <v>72.66514008620689</v>
      </c>
      <c r="I10080" cm="1">
        <f t="array" ref="I10080">_xlfn.STDEV.P(IF(Table1[IndicatorCode]=Table1[[#This Row],[IndicatorCode]],Table1[value]))</f>
        <v>6.3409496564024987</v>
      </c>
      <c r="J10080">
        <f>(Table1[[#This Row],[value]] - Table1[[#This Row],[mean]]) / Table1[[#This Row],[std_dev]]</f>
        <v>1.4721548694788391</v>
      </c>
      <c r="K10080">
        <f>AVERAGEIF(Table1[CountryCode],Table1[[#This Row],[CountryCode]],Table1[z-score])</f>
        <v>-0.19691915896687051</v>
      </c>
      <c r="L10080" t="e">
        <f>VLOOKUP(Table1[[#This Row],[CountryCode]],[1]!Table1[#All],1,FALSE)</f>
        <v>#REF!</v>
      </c>
    </row>
    <row r="10081" spans="1:12" hidden="1" x14ac:dyDescent="0.3">
      <c r="A10081" t="s">
        <v>99</v>
      </c>
      <c r="B10081" t="s">
        <v>100</v>
      </c>
      <c r="C10081" t="s">
        <v>129</v>
      </c>
      <c r="D10081" t="s">
        <v>130</v>
      </c>
      <c r="E10081">
        <v>1960</v>
      </c>
      <c r="F10081" s="1">
        <v>66</v>
      </c>
      <c r="G10081">
        <v>1960</v>
      </c>
      <c r="H10081">
        <f>AVERAGEIFS(Table1[value],Table1[IndicatorCode],Table1[[#This Row],[IndicatorCode]])</f>
        <v>72.66514008620689</v>
      </c>
      <c r="I10081" cm="1">
        <f t="array" ref="I10081">_xlfn.STDEV.P(IF(Table1[IndicatorCode]=Table1[[#This Row],[IndicatorCode]],Table1[value]))</f>
        <v>6.3409496564024987</v>
      </c>
      <c r="J10081">
        <f>(Table1[[#This Row],[value]] - Table1[[#This Row],[mean]]) / Table1[[#This Row],[std_dev]]</f>
        <v>-1.0511264790561858</v>
      </c>
      <c r="K10081">
        <f>AVERAGEIF(Table1[CountryCode],Table1[[#This Row],[CountryCode]],Table1[z-score])</f>
        <v>-0.56629310735046812</v>
      </c>
      <c r="L10081" t="e">
        <f>VLOOKUP(Table1[[#This Row],[CountryCode]],[1]!Table1[#All],1,FALSE)</f>
        <v>#REF!</v>
      </c>
    </row>
    <row r="10082" spans="1:12" hidden="1" x14ac:dyDescent="0.3">
      <c r="A10082" t="s">
        <v>99</v>
      </c>
      <c r="B10082" t="s">
        <v>100</v>
      </c>
      <c r="C10082" t="s">
        <v>129</v>
      </c>
      <c r="D10082" t="s">
        <v>130</v>
      </c>
      <c r="E10082">
        <v>1961</v>
      </c>
      <c r="F10082" s="1">
        <v>66</v>
      </c>
      <c r="G10082">
        <v>1960</v>
      </c>
      <c r="H10082">
        <f>AVERAGEIFS(Table1[value],Table1[IndicatorCode],Table1[[#This Row],[IndicatorCode]])</f>
        <v>72.66514008620689</v>
      </c>
      <c r="I10082" cm="1">
        <f t="array" ref="I10082">_xlfn.STDEV.P(IF(Table1[IndicatorCode]=Table1[[#This Row],[IndicatorCode]],Table1[value]))</f>
        <v>6.3409496564024987</v>
      </c>
      <c r="J10082">
        <f>(Table1[[#This Row],[value]] - Table1[[#This Row],[mean]]) / Table1[[#This Row],[std_dev]]</f>
        <v>-1.0511264790561858</v>
      </c>
      <c r="K10082">
        <f>AVERAGEIF(Table1[CountryCode],Table1[[#This Row],[CountryCode]],Table1[z-score])</f>
        <v>-0.56629310735046812</v>
      </c>
      <c r="L10082" t="e">
        <f>VLOOKUP(Table1[[#This Row],[CountryCode]],[1]!Table1[#All],1,FALSE)</f>
        <v>#REF!</v>
      </c>
    </row>
    <row r="10083" spans="1:12" hidden="1" x14ac:dyDescent="0.3">
      <c r="A10083" t="s">
        <v>99</v>
      </c>
      <c r="B10083" t="s">
        <v>100</v>
      </c>
      <c r="C10083" t="s">
        <v>129</v>
      </c>
      <c r="D10083" t="s">
        <v>130</v>
      </c>
      <c r="E10083">
        <v>1962</v>
      </c>
      <c r="F10083" s="1">
        <v>65</v>
      </c>
      <c r="G10083">
        <v>1960</v>
      </c>
      <c r="H10083">
        <f>AVERAGEIFS(Table1[value],Table1[IndicatorCode],Table1[[#This Row],[IndicatorCode]])</f>
        <v>72.66514008620689</v>
      </c>
      <c r="I10083" cm="1">
        <f t="array" ref="I10083">_xlfn.STDEV.P(IF(Table1[IndicatorCode]=Table1[[#This Row],[IndicatorCode]],Table1[value]))</f>
        <v>6.3409496564024987</v>
      </c>
      <c r="J10083">
        <f>(Table1[[#This Row],[value]] - Table1[[#This Row],[mean]]) / Table1[[#This Row],[std_dev]]</f>
        <v>-1.2088315633396249</v>
      </c>
      <c r="K10083">
        <f>AVERAGEIF(Table1[CountryCode],Table1[[#This Row],[CountryCode]],Table1[z-score])</f>
        <v>-0.56629310735046812</v>
      </c>
      <c r="L10083" t="e">
        <f>VLOOKUP(Table1[[#This Row],[CountryCode]],[1]!Table1[#All],1,FALSE)</f>
        <v>#REF!</v>
      </c>
    </row>
    <row r="10084" spans="1:12" hidden="1" x14ac:dyDescent="0.3">
      <c r="A10084" t="s">
        <v>99</v>
      </c>
      <c r="B10084" t="s">
        <v>100</v>
      </c>
      <c r="C10084" t="s">
        <v>129</v>
      </c>
      <c r="D10084" t="s">
        <v>130</v>
      </c>
      <c r="E10084">
        <v>1963</v>
      </c>
      <c r="F10084" s="1">
        <v>67</v>
      </c>
      <c r="G10084">
        <v>1960</v>
      </c>
      <c r="H10084">
        <f>AVERAGEIFS(Table1[value],Table1[IndicatorCode],Table1[[#This Row],[IndicatorCode]])</f>
        <v>72.66514008620689</v>
      </c>
      <c r="I10084" cm="1">
        <f t="array" ref="I10084">_xlfn.STDEV.P(IF(Table1[IndicatorCode]=Table1[[#This Row],[IndicatorCode]],Table1[value]))</f>
        <v>6.3409496564024987</v>
      </c>
      <c r="J10084">
        <f>(Table1[[#This Row],[value]] - Table1[[#This Row],[mean]]) / Table1[[#This Row],[std_dev]]</f>
        <v>-0.89342139477274674</v>
      </c>
      <c r="K10084">
        <f>AVERAGEIF(Table1[CountryCode],Table1[[#This Row],[CountryCode]],Table1[z-score])</f>
        <v>-0.56629310735046812</v>
      </c>
      <c r="L10084" t="e">
        <f>VLOOKUP(Table1[[#This Row],[CountryCode]],[1]!Table1[#All],1,FALSE)</f>
        <v>#REF!</v>
      </c>
    </row>
    <row r="10085" spans="1:12" hidden="1" x14ac:dyDescent="0.3">
      <c r="A10085" t="s">
        <v>99</v>
      </c>
      <c r="B10085" t="s">
        <v>100</v>
      </c>
      <c r="C10085" t="s">
        <v>129</v>
      </c>
      <c r="D10085" t="s">
        <v>130</v>
      </c>
      <c r="E10085">
        <v>1964</v>
      </c>
      <c r="F10085" s="1">
        <v>68</v>
      </c>
      <c r="G10085">
        <v>1960</v>
      </c>
      <c r="H10085">
        <f>AVERAGEIFS(Table1[value],Table1[IndicatorCode],Table1[[#This Row],[IndicatorCode]])</f>
        <v>72.66514008620689</v>
      </c>
      <c r="I10085" cm="1">
        <f t="array" ref="I10085">_xlfn.STDEV.P(IF(Table1[IndicatorCode]=Table1[[#This Row],[IndicatorCode]],Table1[value]))</f>
        <v>6.3409496564024987</v>
      </c>
      <c r="J10085">
        <f>(Table1[[#This Row],[value]] - Table1[[#This Row],[mean]]) / Table1[[#This Row],[std_dev]]</f>
        <v>-0.73571631048930775</v>
      </c>
      <c r="K10085">
        <f>AVERAGEIF(Table1[CountryCode],Table1[[#This Row],[CountryCode]],Table1[z-score])</f>
        <v>-0.56629310735046812</v>
      </c>
      <c r="L10085" t="e">
        <f>VLOOKUP(Table1[[#This Row],[CountryCode]],[1]!Table1[#All],1,FALSE)</f>
        <v>#REF!</v>
      </c>
    </row>
    <row r="10086" spans="1:12" hidden="1" x14ac:dyDescent="0.3">
      <c r="A10086" t="s">
        <v>99</v>
      </c>
      <c r="B10086" t="s">
        <v>100</v>
      </c>
      <c r="C10086" t="s">
        <v>129</v>
      </c>
      <c r="D10086" t="s">
        <v>130</v>
      </c>
      <c r="E10086">
        <v>1965</v>
      </c>
      <c r="F10086" s="1">
        <v>68</v>
      </c>
      <c r="G10086">
        <v>1960</v>
      </c>
      <c r="H10086">
        <f>AVERAGEIFS(Table1[value],Table1[IndicatorCode],Table1[[#This Row],[IndicatorCode]])</f>
        <v>72.66514008620689</v>
      </c>
      <c r="I10086" cm="1">
        <f t="array" ref="I10086">_xlfn.STDEV.P(IF(Table1[IndicatorCode]=Table1[[#This Row],[IndicatorCode]],Table1[value]))</f>
        <v>6.3409496564024987</v>
      </c>
      <c r="J10086">
        <f>(Table1[[#This Row],[value]] - Table1[[#This Row],[mean]]) / Table1[[#This Row],[std_dev]]</f>
        <v>-0.73571631048930775</v>
      </c>
      <c r="K10086">
        <f>AVERAGEIF(Table1[CountryCode],Table1[[#This Row],[CountryCode]],Table1[z-score])</f>
        <v>-0.56629310735046812</v>
      </c>
      <c r="L10086" t="e">
        <f>VLOOKUP(Table1[[#This Row],[CountryCode]],[1]!Table1[#All],1,FALSE)</f>
        <v>#REF!</v>
      </c>
    </row>
    <row r="10087" spans="1:12" hidden="1" x14ac:dyDescent="0.3">
      <c r="A10087" t="s">
        <v>99</v>
      </c>
      <c r="B10087" t="s">
        <v>100</v>
      </c>
      <c r="C10087" t="s">
        <v>129</v>
      </c>
      <c r="D10087" t="s">
        <v>130</v>
      </c>
      <c r="E10087">
        <v>1966</v>
      </c>
      <c r="F10087" s="1">
        <v>69</v>
      </c>
      <c r="G10087">
        <v>1960</v>
      </c>
      <c r="H10087">
        <f>AVERAGEIFS(Table1[value],Table1[IndicatorCode],Table1[[#This Row],[IndicatorCode]])</f>
        <v>72.66514008620689</v>
      </c>
      <c r="I10087" cm="1">
        <f t="array" ref="I10087">_xlfn.STDEV.P(IF(Table1[IndicatorCode]=Table1[[#This Row],[IndicatorCode]],Table1[value]))</f>
        <v>6.3409496564024987</v>
      </c>
      <c r="J10087">
        <f>(Table1[[#This Row],[value]] - Table1[[#This Row],[mean]]) / Table1[[#This Row],[std_dev]]</f>
        <v>-0.57801122620586864</v>
      </c>
      <c r="K10087">
        <f>AVERAGEIF(Table1[CountryCode],Table1[[#This Row],[CountryCode]],Table1[z-score])</f>
        <v>-0.56629310735046812</v>
      </c>
      <c r="L10087" t="e">
        <f>VLOOKUP(Table1[[#This Row],[CountryCode]],[1]!Table1[#All],1,FALSE)</f>
        <v>#REF!</v>
      </c>
    </row>
    <row r="10088" spans="1:12" hidden="1" x14ac:dyDescent="0.3">
      <c r="A10088" t="s">
        <v>99</v>
      </c>
      <c r="B10088" t="s">
        <v>100</v>
      </c>
      <c r="C10088" t="s">
        <v>129</v>
      </c>
      <c r="D10088" t="s">
        <v>130</v>
      </c>
      <c r="E10088">
        <v>1967</v>
      </c>
      <c r="F10088" s="1">
        <v>68</v>
      </c>
      <c r="G10088">
        <v>1970</v>
      </c>
      <c r="H10088">
        <f>AVERAGEIFS(Table1[value],Table1[IndicatorCode],Table1[[#This Row],[IndicatorCode]])</f>
        <v>72.66514008620689</v>
      </c>
      <c r="I10088" cm="1">
        <f t="array" ref="I10088">_xlfn.STDEV.P(IF(Table1[IndicatorCode]=Table1[[#This Row],[IndicatorCode]],Table1[value]))</f>
        <v>6.3409496564024987</v>
      </c>
      <c r="J10088">
        <f>(Table1[[#This Row],[value]] - Table1[[#This Row],[mean]]) / Table1[[#This Row],[std_dev]]</f>
        <v>-0.73571631048930775</v>
      </c>
      <c r="K10088">
        <f>AVERAGEIF(Table1[CountryCode],Table1[[#This Row],[CountryCode]],Table1[z-score])</f>
        <v>-0.56629310735046812</v>
      </c>
      <c r="L10088" t="e">
        <f>VLOOKUP(Table1[[#This Row],[CountryCode]],[1]!Table1[#All],1,FALSE)</f>
        <v>#REF!</v>
      </c>
    </row>
    <row r="10089" spans="1:12" hidden="1" x14ac:dyDescent="0.3">
      <c r="A10089" t="s">
        <v>99</v>
      </c>
      <c r="B10089" t="s">
        <v>100</v>
      </c>
      <c r="C10089" t="s">
        <v>129</v>
      </c>
      <c r="D10089" t="s">
        <v>130</v>
      </c>
      <c r="E10089">
        <v>1968</v>
      </c>
      <c r="F10089" s="1">
        <v>68</v>
      </c>
      <c r="G10089">
        <v>1970</v>
      </c>
      <c r="H10089">
        <f>AVERAGEIFS(Table1[value],Table1[IndicatorCode],Table1[[#This Row],[IndicatorCode]])</f>
        <v>72.66514008620689</v>
      </c>
      <c r="I10089" cm="1">
        <f t="array" ref="I10089">_xlfn.STDEV.P(IF(Table1[IndicatorCode]=Table1[[#This Row],[IndicatorCode]],Table1[value]))</f>
        <v>6.3409496564024987</v>
      </c>
      <c r="J10089">
        <f>(Table1[[#This Row],[value]] - Table1[[#This Row],[mean]]) / Table1[[#This Row],[std_dev]]</f>
        <v>-0.73571631048930775</v>
      </c>
      <c r="K10089">
        <f>AVERAGEIF(Table1[CountryCode],Table1[[#This Row],[CountryCode]],Table1[z-score])</f>
        <v>-0.56629310735046812</v>
      </c>
      <c r="L10089" t="e">
        <f>VLOOKUP(Table1[[#This Row],[CountryCode]],[1]!Table1[#All],1,FALSE)</f>
        <v>#REF!</v>
      </c>
    </row>
    <row r="10090" spans="1:12" hidden="1" x14ac:dyDescent="0.3">
      <c r="A10090" t="s">
        <v>99</v>
      </c>
      <c r="B10090" t="s">
        <v>100</v>
      </c>
      <c r="C10090" t="s">
        <v>129</v>
      </c>
      <c r="D10090" t="s">
        <v>130</v>
      </c>
      <c r="E10090">
        <v>1969</v>
      </c>
      <c r="F10090" s="1">
        <v>67</v>
      </c>
      <c r="G10090">
        <v>1970</v>
      </c>
      <c r="H10090">
        <f>AVERAGEIFS(Table1[value],Table1[IndicatorCode],Table1[[#This Row],[IndicatorCode]])</f>
        <v>72.66514008620689</v>
      </c>
      <c r="I10090" cm="1">
        <f t="array" ref="I10090">_xlfn.STDEV.P(IF(Table1[IndicatorCode]=Table1[[#This Row],[IndicatorCode]],Table1[value]))</f>
        <v>6.3409496564024987</v>
      </c>
      <c r="J10090">
        <f>(Table1[[#This Row],[value]] - Table1[[#This Row],[mean]]) / Table1[[#This Row],[std_dev]]</f>
        <v>-0.89342139477274674</v>
      </c>
      <c r="K10090">
        <f>AVERAGEIF(Table1[CountryCode],Table1[[#This Row],[CountryCode]],Table1[z-score])</f>
        <v>-0.56629310735046812</v>
      </c>
      <c r="L10090" t="e">
        <f>VLOOKUP(Table1[[#This Row],[CountryCode]],[1]!Table1[#All],1,FALSE)</f>
        <v>#REF!</v>
      </c>
    </row>
    <row r="10091" spans="1:12" hidden="1" x14ac:dyDescent="0.3">
      <c r="A10091" t="s">
        <v>99</v>
      </c>
      <c r="B10091" t="s">
        <v>100</v>
      </c>
      <c r="C10091" t="s">
        <v>129</v>
      </c>
      <c r="D10091" t="s">
        <v>130</v>
      </c>
      <c r="E10091">
        <v>1970</v>
      </c>
      <c r="F10091" s="1">
        <v>67</v>
      </c>
      <c r="G10091">
        <v>1970</v>
      </c>
      <c r="H10091">
        <f>AVERAGEIFS(Table1[value],Table1[IndicatorCode],Table1[[#This Row],[IndicatorCode]])</f>
        <v>72.66514008620689</v>
      </c>
      <c r="I10091" cm="1">
        <f t="array" ref="I10091">_xlfn.STDEV.P(IF(Table1[IndicatorCode]=Table1[[#This Row],[IndicatorCode]],Table1[value]))</f>
        <v>6.3409496564024987</v>
      </c>
      <c r="J10091">
        <f>(Table1[[#This Row],[value]] - Table1[[#This Row],[mean]]) / Table1[[#This Row],[std_dev]]</f>
        <v>-0.89342139477274674</v>
      </c>
      <c r="K10091">
        <f>AVERAGEIF(Table1[CountryCode],Table1[[#This Row],[CountryCode]],Table1[z-score])</f>
        <v>-0.56629310735046812</v>
      </c>
      <c r="L10091" t="e">
        <f>VLOOKUP(Table1[[#This Row],[CountryCode]],[1]!Table1[#All],1,FALSE)</f>
        <v>#REF!</v>
      </c>
    </row>
    <row r="10092" spans="1:12" hidden="1" x14ac:dyDescent="0.3">
      <c r="A10092" t="s">
        <v>99</v>
      </c>
      <c r="B10092" t="s">
        <v>100</v>
      </c>
      <c r="C10092" t="s">
        <v>129</v>
      </c>
      <c r="D10092" t="s">
        <v>130</v>
      </c>
      <c r="E10092">
        <v>1971</v>
      </c>
      <c r="F10092" s="1">
        <v>69</v>
      </c>
      <c r="G10092">
        <v>1970</v>
      </c>
      <c r="H10092">
        <f>AVERAGEIFS(Table1[value],Table1[IndicatorCode],Table1[[#This Row],[IndicatorCode]])</f>
        <v>72.66514008620689</v>
      </c>
      <c r="I10092" cm="1">
        <f t="array" ref="I10092">_xlfn.STDEV.P(IF(Table1[IndicatorCode]=Table1[[#This Row],[IndicatorCode]],Table1[value]))</f>
        <v>6.3409496564024987</v>
      </c>
      <c r="J10092">
        <f>(Table1[[#This Row],[value]] - Table1[[#This Row],[mean]]) / Table1[[#This Row],[std_dev]]</f>
        <v>-0.57801122620586864</v>
      </c>
      <c r="K10092">
        <f>AVERAGEIF(Table1[CountryCode],Table1[[#This Row],[CountryCode]],Table1[z-score])</f>
        <v>-0.56629310735046812</v>
      </c>
      <c r="L10092" t="e">
        <f>VLOOKUP(Table1[[#This Row],[CountryCode]],[1]!Table1[#All],1,FALSE)</f>
        <v>#REF!</v>
      </c>
    </row>
    <row r="10093" spans="1:12" hidden="1" x14ac:dyDescent="0.3">
      <c r="A10093" t="s">
        <v>99</v>
      </c>
      <c r="B10093" t="s">
        <v>100</v>
      </c>
      <c r="C10093" t="s">
        <v>129</v>
      </c>
      <c r="D10093" t="s">
        <v>130</v>
      </c>
      <c r="E10093">
        <v>1972</v>
      </c>
      <c r="F10093" s="1">
        <v>68</v>
      </c>
      <c r="G10093">
        <v>1970</v>
      </c>
      <c r="H10093">
        <f>AVERAGEIFS(Table1[value],Table1[IndicatorCode],Table1[[#This Row],[IndicatorCode]])</f>
        <v>72.66514008620689</v>
      </c>
      <c r="I10093" cm="1">
        <f t="array" ref="I10093">_xlfn.STDEV.P(IF(Table1[IndicatorCode]=Table1[[#This Row],[IndicatorCode]],Table1[value]))</f>
        <v>6.3409496564024987</v>
      </c>
      <c r="J10093">
        <f>(Table1[[#This Row],[value]] - Table1[[#This Row],[mean]]) / Table1[[#This Row],[std_dev]]</f>
        <v>-0.73571631048930775</v>
      </c>
      <c r="K10093">
        <f>AVERAGEIF(Table1[CountryCode],Table1[[#This Row],[CountryCode]],Table1[z-score])</f>
        <v>-0.56629310735046812</v>
      </c>
      <c r="L10093" t="e">
        <f>VLOOKUP(Table1[[#This Row],[CountryCode]],[1]!Table1[#All],1,FALSE)</f>
        <v>#REF!</v>
      </c>
    </row>
    <row r="10094" spans="1:12" hidden="1" x14ac:dyDescent="0.3">
      <c r="A10094" t="s">
        <v>99</v>
      </c>
      <c r="B10094" t="s">
        <v>100</v>
      </c>
      <c r="C10094" t="s">
        <v>129</v>
      </c>
      <c r="D10094" t="s">
        <v>130</v>
      </c>
      <c r="E10094">
        <v>1973</v>
      </c>
      <c r="F10094" s="1">
        <v>69</v>
      </c>
      <c r="G10094">
        <v>1970</v>
      </c>
      <c r="H10094">
        <f>AVERAGEIFS(Table1[value],Table1[IndicatorCode],Table1[[#This Row],[IndicatorCode]])</f>
        <v>72.66514008620689</v>
      </c>
      <c r="I10094" cm="1">
        <f t="array" ref="I10094">_xlfn.STDEV.P(IF(Table1[IndicatorCode]=Table1[[#This Row],[IndicatorCode]],Table1[value]))</f>
        <v>6.3409496564024987</v>
      </c>
      <c r="J10094">
        <f>(Table1[[#This Row],[value]] - Table1[[#This Row],[mean]]) / Table1[[#This Row],[std_dev]]</f>
        <v>-0.57801122620586864</v>
      </c>
      <c r="K10094">
        <f>AVERAGEIF(Table1[CountryCode],Table1[[#This Row],[CountryCode]],Table1[z-score])</f>
        <v>-0.56629310735046812</v>
      </c>
      <c r="L10094" t="e">
        <f>VLOOKUP(Table1[[#This Row],[CountryCode]],[1]!Table1[#All],1,FALSE)</f>
        <v>#REF!</v>
      </c>
    </row>
    <row r="10095" spans="1:12" hidden="1" x14ac:dyDescent="0.3">
      <c r="A10095" t="s">
        <v>99</v>
      </c>
      <c r="B10095" t="s">
        <v>100</v>
      </c>
      <c r="C10095" t="s">
        <v>129</v>
      </c>
      <c r="D10095" t="s">
        <v>130</v>
      </c>
      <c r="E10095">
        <v>1974</v>
      </c>
      <c r="F10095" s="1">
        <v>69</v>
      </c>
      <c r="G10095">
        <v>1970</v>
      </c>
      <c r="H10095">
        <f>AVERAGEIFS(Table1[value],Table1[IndicatorCode],Table1[[#This Row],[IndicatorCode]])</f>
        <v>72.66514008620689</v>
      </c>
      <c r="I10095" cm="1">
        <f t="array" ref="I10095">_xlfn.STDEV.P(IF(Table1[IndicatorCode]=Table1[[#This Row],[IndicatorCode]],Table1[value]))</f>
        <v>6.3409496564024987</v>
      </c>
      <c r="J10095">
        <f>(Table1[[#This Row],[value]] - Table1[[#This Row],[mean]]) / Table1[[#This Row],[std_dev]]</f>
        <v>-0.57801122620586864</v>
      </c>
      <c r="K10095">
        <f>AVERAGEIF(Table1[CountryCode],Table1[[#This Row],[CountryCode]],Table1[z-score])</f>
        <v>-0.56629310735046812</v>
      </c>
      <c r="L10095" t="e">
        <f>VLOOKUP(Table1[[#This Row],[CountryCode]],[1]!Table1[#All],1,FALSE)</f>
        <v>#REF!</v>
      </c>
    </row>
    <row r="10096" spans="1:12" hidden="1" x14ac:dyDescent="0.3">
      <c r="A10096" t="s">
        <v>99</v>
      </c>
      <c r="B10096" t="s">
        <v>100</v>
      </c>
      <c r="C10096" t="s">
        <v>129</v>
      </c>
      <c r="D10096" t="s">
        <v>130</v>
      </c>
      <c r="E10096">
        <v>1975</v>
      </c>
      <c r="F10096" s="1">
        <v>70</v>
      </c>
      <c r="G10096">
        <v>1970</v>
      </c>
      <c r="H10096">
        <f>AVERAGEIFS(Table1[value],Table1[IndicatorCode],Table1[[#This Row],[IndicatorCode]])</f>
        <v>72.66514008620689</v>
      </c>
      <c r="I10096" cm="1">
        <f t="array" ref="I10096">_xlfn.STDEV.P(IF(Table1[IndicatorCode]=Table1[[#This Row],[IndicatorCode]],Table1[value]))</f>
        <v>6.3409496564024987</v>
      </c>
      <c r="J10096">
        <f>(Table1[[#This Row],[value]] - Table1[[#This Row],[mean]]) / Table1[[#This Row],[std_dev]]</f>
        <v>-0.4203061419224296</v>
      </c>
      <c r="K10096">
        <f>AVERAGEIF(Table1[CountryCode],Table1[[#This Row],[CountryCode]],Table1[z-score])</f>
        <v>-0.56629310735046812</v>
      </c>
      <c r="L10096" t="e">
        <f>VLOOKUP(Table1[[#This Row],[CountryCode]],[1]!Table1[#All],1,FALSE)</f>
        <v>#REF!</v>
      </c>
    </row>
    <row r="10097" spans="1:12" hidden="1" x14ac:dyDescent="0.3">
      <c r="A10097" t="s">
        <v>99</v>
      </c>
      <c r="B10097" t="s">
        <v>100</v>
      </c>
      <c r="C10097" t="s">
        <v>129</v>
      </c>
      <c r="D10097" t="s">
        <v>130</v>
      </c>
      <c r="E10097">
        <v>1976</v>
      </c>
      <c r="F10097" s="1">
        <v>70</v>
      </c>
      <c r="G10097">
        <v>1970</v>
      </c>
      <c r="H10097">
        <f>AVERAGEIFS(Table1[value],Table1[IndicatorCode],Table1[[#This Row],[IndicatorCode]])</f>
        <v>72.66514008620689</v>
      </c>
      <c r="I10097" cm="1">
        <f t="array" ref="I10097">_xlfn.STDEV.P(IF(Table1[IndicatorCode]=Table1[[#This Row],[IndicatorCode]],Table1[value]))</f>
        <v>6.3409496564024987</v>
      </c>
      <c r="J10097">
        <f>(Table1[[#This Row],[value]] - Table1[[#This Row],[mean]]) / Table1[[#This Row],[std_dev]]</f>
        <v>-0.4203061419224296</v>
      </c>
      <c r="K10097">
        <f>AVERAGEIF(Table1[CountryCode],Table1[[#This Row],[CountryCode]],Table1[z-score])</f>
        <v>-0.56629310735046812</v>
      </c>
      <c r="L10097" t="e">
        <f>VLOOKUP(Table1[[#This Row],[CountryCode]],[1]!Table1[#All],1,FALSE)</f>
        <v>#REF!</v>
      </c>
    </row>
    <row r="10098" spans="1:12" hidden="1" x14ac:dyDescent="0.3">
      <c r="A10098" t="s">
        <v>99</v>
      </c>
      <c r="B10098" t="s">
        <v>100</v>
      </c>
      <c r="C10098" t="s">
        <v>129</v>
      </c>
      <c r="D10098" t="s">
        <v>130</v>
      </c>
      <c r="E10098">
        <v>1977</v>
      </c>
      <c r="F10098" s="1">
        <v>70</v>
      </c>
      <c r="G10098">
        <v>1980</v>
      </c>
      <c r="H10098">
        <f>AVERAGEIFS(Table1[value],Table1[IndicatorCode],Table1[[#This Row],[IndicatorCode]])</f>
        <v>72.66514008620689</v>
      </c>
      <c r="I10098" cm="1">
        <f t="array" ref="I10098">_xlfn.STDEV.P(IF(Table1[IndicatorCode]=Table1[[#This Row],[IndicatorCode]],Table1[value]))</f>
        <v>6.3409496564024987</v>
      </c>
      <c r="J10098">
        <f>(Table1[[#This Row],[value]] - Table1[[#This Row],[mean]]) / Table1[[#This Row],[std_dev]]</f>
        <v>-0.4203061419224296</v>
      </c>
      <c r="K10098">
        <f>AVERAGEIF(Table1[CountryCode],Table1[[#This Row],[CountryCode]],Table1[z-score])</f>
        <v>-0.56629310735046812</v>
      </c>
      <c r="L10098" t="e">
        <f>VLOOKUP(Table1[[#This Row],[CountryCode]],[1]!Table1[#All],1,FALSE)</f>
        <v>#REF!</v>
      </c>
    </row>
    <row r="10099" spans="1:12" hidden="1" x14ac:dyDescent="0.3">
      <c r="A10099" t="s">
        <v>99</v>
      </c>
      <c r="B10099" t="s">
        <v>100</v>
      </c>
      <c r="C10099" t="s">
        <v>129</v>
      </c>
      <c r="D10099" t="s">
        <v>130</v>
      </c>
      <c r="E10099">
        <v>1978</v>
      </c>
      <c r="F10099" s="1">
        <v>69</v>
      </c>
      <c r="G10099">
        <v>1980</v>
      </c>
      <c r="H10099">
        <f>AVERAGEIFS(Table1[value],Table1[IndicatorCode],Table1[[#This Row],[IndicatorCode]])</f>
        <v>72.66514008620689</v>
      </c>
      <c r="I10099" cm="1">
        <f t="array" ref="I10099">_xlfn.STDEV.P(IF(Table1[IndicatorCode]=Table1[[#This Row],[IndicatorCode]],Table1[value]))</f>
        <v>6.3409496564024987</v>
      </c>
      <c r="J10099">
        <f>(Table1[[#This Row],[value]] - Table1[[#This Row],[mean]]) / Table1[[#This Row],[std_dev]]</f>
        <v>-0.57801122620586864</v>
      </c>
      <c r="K10099">
        <f>AVERAGEIF(Table1[CountryCode],Table1[[#This Row],[CountryCode]],Table1[z-score])</f>
        <v>-0.56629310735046812</v>
      </c>
      <c r="L10099" t="e">
        <f>VLOOKUP(Table1[[#This Row],[CountryCode]],[1]!Table1[#All],1,FALSE)</f>
        <v>#REF!</v>
      </c>
    </row>
    <row r="10100" spans="1:12" hidden="1" x14ac:dyDescent="0.3">
      <c r="A10100" t="s">
        <v>99</v>
      </c>
      <c r="B10100" t="s">
        <v>100</v>
      </c>
      <c r="C10100" t="s">
        <v>129</v>
      </c>
      <c r="D10100" t="s">
        <v>130</v>
      </c>
      <c r="E10100">
        <v>1979</v>
      </c>
      <c r="F10100" s="1">
        <v>69</v>
      </c>
      <c r="G10100">
        <v>1980</v>
      </c>
      <c r="H10100">
        <f>AVERAGEIFS(Table1[value],Table1[IndicatorCode],Table1[[#This Row],[IndicatorCode]])</f>
        <v>72.66514008620689</v>
      </c>
      <c r="I10100" cm="1">
        <f t="array" ref="I10100">_xlfn.STDEV.P(IF(Table1[IndicatorCode]=Table1[[#This Row],[IndicatorCode]],Table1[value]))</f>
        <v>6.3409496564024987</v>
      </c>
      <c r="J10100">
        <f>(Table1[[#This Row],[value]] - Table1[[#This Row],[mean]]) / Table1[[#This Row],[std_dev]]</f>
        <v>-0.57801122620586864</v>
      </c>
      <c r="K10100">
        <f>AVERAGEIF(Table1[CountryCode],Table1[[#This Row],[CountryCode]],Table1[z-score])</f>
        <v>-0.56629310735046812</v>
      </c>
      <c r="L10100" t="e">
        <f>VLOOKUP(Table1[[#This Row],[CountryCode]],[1]!Table1[#All],1,FALSE)</f>
        <v>#REF!</v>
      </c>
    </row>
    <row r="10101" spans="1:12" hidden="1" x14ac:dyDescent="0.3">
      <c r="A10101" t="s">
        <v>99</v>
      </c>
      <c r="B10101" t="s">
        <v>100</v>
      </c>
      <c r="C10101" t="s">
        <v>129</v>
      </c>
      <c r="D10101" t="s">
        <v>130</v>
      </c>
      <c r="E10101">
        <v>1980</v>
      </c>
      <c r="F10101" s="1">
        <v>69</v>
      </c>
      <c r="G10101">
        <v>1980</v>
      </c>
      <c r="H10101">
        <f>AVERAGEIFS(Table1[value],Table1[IndicatorCode],Table1[[#This Row],[IndicatorCode]])</f>
        <v>72.66514008620689</v>
      </c>
      <c r="I10101" cm="1">
        <f t="array" ref="I10101">_xlfn.STDEV.P(IF(Table1[IndicatorCode]=Table1[[#This Row],[IndicatorCode]],Table1[value]))</f>
        <v>6.3409496564024987</v>
      </c>
      <c r="J10101">
        <f>(Table1[[#This Row],[value]] - Table1[[#This Row],[mean]]) / Table1[[#This Row],[std_dev]]</f>
        <v>-0.57801122620586864</v>
      </c>
      <c r="K10101">
        <f>AVERAGEIF(Table1[CountryCode],Table1[[#This Row],[CountryCode]],Table1[z-score])</f>
        <v>-0.56629310735046812</v>
      </c>
      <c r="L10101" t="e">
        <f>VLOOKUP(Table1[[#This Row],[CountryCode]],[1]!Table1[#All],1,FALSE)</f>
        <v>#REF!</v>
      </c>
    </row>
    <row r="10102" spans="1:12" hidden="1" x14ac:dyDescent="0.3">
      <c r="A10102" t="s">
        <v>99</v>
      </c>
      <c r="B10102" t="s">
        <v>100</v>
      </c>
      <c r="C10102" t="s">
        <v>129</v>
      </c>
      <c r="D10102" t="s">
        <v>130</v>
      </c>
      <c r="E10102">
        <v>1981</v>
      </c>
      <c r="F10102" s="1">
        <v>69</v>
      </c>
      <c r="G10102">
        <v>1980</v>
      </c>
      <c r="H10102">
        <f>AVERAGEIFS(Table1[value],Table1[IndicatorCode],Table1[[#This Row],[IndicatorCode]])</f>
        <v>72.66514008620689</v>
      </c>
      <c r="I10102" cm="1">
        <f t="array" ref="I10102">_xlfn.STDEV.P(IF(Table1[IndicatorCode]=Table1[[#This Row],[IndicatorCode]],Table1[value]))</f>
        <v>6.3409496564024987</v>
      </c>
      <c r="J10102">
        <f>(Table1[[#This Row],[value]] - Table1[[#This Row],[mean]]) / Table1[[#This Row],[std_dev]]</f>
        <v>-0.57801122620586864</v>
      </c>
      <c r="K10102">
        <f>AVERAGEIF(Table1[CountryCode],Table1[[#This Row],[CountryCode]],Table1[z-score])</f>
        <v>-0.56629310735046812</v>
      </c>
      <c r="L10102" t="e">
        <f>VLOOKUP(Table1[[#This Row],[CountryCode]],[1]!Table1[#All],1,FALSE)</f>
        <v>#REF!</v>
      </c>
    </row>
    <row r="10103" spans="1:12" hidden="1" x14ac:dyDescent="0.3">
      <c r="A10103" t="s">
        <v>99</v>
      </c>
      <c r="B10103" t="s">
        <v>100</v>
      </c>
      <c r="C10103" t="s">
        <v>129</v>
      </c>
      <c r="D10103" t="s">
        <v>130</v>
      </c>
      <c r="E10103">
        <v>1982</v>
      </c>
      <c r="F10103" s="1">
        <v>70</v>
      </c>
      <c r="G10103">
        <v>1980</v>
      </c>
      <c r="H10103">
        <f>AVERAGEIFS(Table1[value],Table1[IndicatorCode],Table1[[#This Row],[IndicatorCode]])</f>
        <v>72.66514008620689</v>
      </c>
      <c r="I10103" cm="1">
        <f t="array" ref="I10103">_xlfn.STDEV.P(IF(Table1[IndicatorCode]=Table1[[#This Row],[IndicatorCode]],Table1[value]))</f>
        <v>6.3409496564024987</v>
      </c>
      <c r="J10103">
        <f>(Table1[[#This Row],[value]] - Table1[[#This Row],[mean]]) / Table1[[#This Row],[std_dev]]</f>
        <v>-0.4203061419224296</v>
      </c>
      <c r="K10103">
        <f>AVERAGEIF(Table1[CountryCode],Table1[[#This Row],[CountryCode]],Table1[z-score])</f>
        <v>-0.56629310735046812</v>
      </c>
      <c r="L10103" t="e">
        <f>VLOOKUP(Table1[[#This Row],[CountryCode]],[1]!Table1[#All],1,FALSE)</f>
        <v>#REF!</v>
      </c>
    </row>
    <row r="10104" spans="1:12" hidden="1" x14ac:dyDescent="0.3">
      <c r="A10104" t="s">
        <v>99</v>
      </c>
      <c r="B10104" t="s">
        <v>100</v>
      </c>
      <c r="C10104" t="s">
        <v>129</v>
      </c>
      <c r="D10104" t="s">
        <v>130</v>
      </c>
      <c r="E10104">
        <v>1983</v>
      </c>
      <c r="F10104" s="1">
        <v>70</v>
      </c>
      <c r="G10104">
        <v>1980</v>
      </c>
      <c r="H10104">
        <f>AVERAGEIFS(Table1[value],Table1[IndicatorCode],Table1[[#This Row],[IndicatorCode]])</f>
        <v>72.66514008620689</v>
      </c>
      <c r="I10104" cm="1">
        <f t="array" ref="I10104">_xlfn.STDEV.P(IF(Table1[IndicatorCode]=Table1[[#This Row],[IndicatorCode]],Table1[value]))</f>
        <v>6.3409496564024987</v>
      </c>
      <c r="J10104">
        <f>(Table1[[#This Row],[value]] - Table1[[#This Row],[mean]]) / Table1[[#This Row],[std_dev]]</f>
        <v>-0.4203061419224296</v>
      </c>
      <c r="K10104">
        <f>AVERAGEIF(Table1[CountryCode],Table1[[#This Row],[CountryCode]],Table1[z-score])</f>
        <v>-0.56629310735046812</v>
      </c>
      <c r="L10104" t="e">
        <f>VLOOKUP(Table1[[#This Row],[CountryCode]],[1]!Table1[#All],1,FALSE)</f>
        <v>#REF!</v>
      </c>
    </row>
    <row r="10105" spans="1:12" hidden="1" x14ac:dyDescent="0.3">
      <c r="A10105" t="s">
        <v>99</v>
      </c>
      <c r="B10105" t="s">
        <v>100</v>
      </c>
      <c r="C10105" t="s">
        <v>129</v>
      </c>
      <c r="D10105" t="s">
        <v>130</v>
      </c>
      <c r="E10105">
        <v>1984</v>
      </c>
      <c r="F10105" s="1">
        <v>70</v>
      </c>
      <c r="G10105">
        <v>1980</v>
      </c>
      <c r="H10105">
        <f>AVERAGEIFS(Table1[value],Table1[IndicatorCode],Table1[[#This Row],[IndicatorCode]])</f>
        <v>72.66514008620689</v>
      </c>
      <c r="I10105" cm="1">
        <f t="array" ref="I10105">_xlfn.STDEV.P(IF(Table1[IndicatorCode]=Table1[[#This Row],[IndicatorCode]],Table1[value]))</f>
        <v>6.3409496564024987</v>
      </c>
      <c r="J10105">
        <f>(Table1[[#This Row],[value]] - Table1[[#This Row],[mean]]) / Table1[[#This Row],[std_dev]]</f>
        <v>-0.4203061419224296</v>
      </c>
      <c r="K10105">
        <f>AVERAGEIF(Table1[CountryCode],Table1[[#This Row],[CountryCode]],Table1[z-score])</f>
        <v>-0.56629310735046812</v>
      </c>
      <c r="L10105" t="e">
        <f>VLOOKUP(Table1[[#This Row],[CountryCode]],[1]!Table1[#All],1,FALSE)</f>
        <v>#REF!</v>
      </c>
    </row>
    <row r="10106" spans="1:12" hidden="1" x14ac:dyDescent="0.3">
      <c r="A10106" t="s">
        <v>99</v>
      </c>
      <c r="B10106" t="s">
        <v>100</v>
      </c>
      <c r="C10106" t="s">
        <v>129</v>
      </c>
      <c r="D10106" t="s">
        <v>130</v>
      </c>
      <c r="E10106">
        <v>1985</v>
      </c>
      <c r="F10106" s="1">
        <v>70</v>
      </c>
      <c r="G10106">
        <v>1980</v>
      </c>
      <c r="H10106">
        <f>AVERAGEIFS(Table1[value],Table1[IndicatorCode],Table1[[#This Row],[IndicatorCode]])</f>
        <v>72.66514008620689</v>
      </c>
      <c r="I10106" cm="1">
        <f t="array" ref="I10106">_xlfn.STDEV.P(IF(Table1[IndicatorCode]=Table1[[#This Row],[IndicatorCode]],Table1[value]))</f>
        <v>6.3409496564024987</v>
      </c>
      <c r="J10106">
        <f>(Table1[[#This Row],[value]] - Table1[[#This Row],[mean]]) / Table1[[#This Row],[std_dev]]</f>
        <v>-0.4203061419224296</v>
      </c>
      <c r="K10106">
        <f>AVERAGEIF(Table1[CountryCode],Table1[[#This Row],[CountryCode]],Table1[z-score])</f>
        <v>-0.56629310735046812</v>
      </c>
      <c r="L10106" t="e">
        <f>VLOOKUP(Table1[[#This Row],[CountryCode]],[1]!Table1[#All],1,FALSE)</f>
        <v>#REF!</v>
      </c>
    </row>
    <row r="10107" spans="1:12" hidden="1" x14ac:dyDescent="0.3">
      <c r="A10107" t="s">
        <v>99</v>
      </c>
      <c r="B10107" t="s">
        <v>100</v>
      </c>
      <c r="C10107" t="s">
        <v>129</v>
      </c>
      <c r="D10107" t="s">
        <v>130</v>
      </c>
      <c r="E10107">
        <v>1986</v>
      </c>
      <c r="F10107" s="1">
        <v>69</v>
      </c>
      <c r="G10107">
        <v>1980</v>
      </c>
      <c r="H10107">
        <f>AVERAGEIFS(Table1[value],Table1[IndicatorCode],Table1[[#This Row],[IndicatorCode]])</f>
        <v>72.66514008620689</v>
      </c>
      <c r="I10107" cm="1">
        <f t="array" ref="I10107">_xlfn.STDEV.P(IF(Table1[IndicatorCode]=Table1[[#This Row],[IndicatorCode]],Table1[value]))</f>
        <v>6.3409496564024987</v>
      </c>
      <c r="J10107">
        <f>(Table1[[#This Row],[value]] - Table1[[#This Row],[mean]]) / Table1[[#This Row],[std_dev]]</f>
        <v>-0.57801122620586864</v>
      </c>
      <c r="K10107">
        <f>AVERAGEIF(Table1[CountryCode],Table1[[#This Row],[CountryCode]],Table1[z-score])</f>
        <v>-0.56629310735046812</v>
      </c>
      <c r="L10107" t="e">
        <f>VLOOKUP(Table1[[#This Row],[CountryCode]],[1]!Table1[#All],1,FALSE)</f>
        <v>#REF!</v>
      </c>
    </row>
    <row r="10108" spans="1:12" hidden="1" x14ac:dyDescent="0.3">
      <c r="A10108" t="s">
        <v>99</v>
      </c>
      <c r="B10108" t="s">
        <v>100</v>
      </c>
      <c r="C10108" t="s">
        <v>129</v>
      </c>
      <c r="D10108" t="s">
        <v>130</v>
      </c>
      <c r="E10108">
        <v>1987</v>
      </c>
      <c r="F10108" s="1">
        <v>69</v>
      </c>
      <c r="G10108">
        <v>1990</v>
      </c>
      <c r="H10108">
        <f>AVERAGEIFS(Table1[value],Table1[IndicatorCode],Table1[[#This Row],[IndicatorCode]])</f>
        <v>72.66514008620689</v>
      </c>
      <c r="I10108" cm="1">
        <f t="array" ref="I10108">_xlfn.STDEV.P(IF(Table1[IndicatorCode]=Table1[[#This Row],[IndicatorCode]],Table1[value]))</f>
        <v>6.3409496564024987</v>
      </c>
      <c r="J10108">
        <f>(Table1[[#This Row],[value]] - Table1[[#This Row],[mean]]) / Table1[[#This Row],[std_dev]]</f>
        <v>-0.57801122620586864</v>
      </c>
      <c r="K10108">
        <f>AVERAGEIF(Table1[CountryCode],Table1[[#This Row],[CountryCode]],Table1[z-score])</f>
        <v>-0.56629310735046812</v>
      </c>
      <c r="L10108" t="e">
        <f>VLOOKUP(Table1[[#This Row],[CountryCode]],[1]!Table1[#All],1,FALSE)</f>
        <v>#REF!</v>
      </c>
    </row>
    <row r="10109" spans="1:12" hidden="1" x14ac:dyDescent="0.3">
      <c r="A10109" t="s">
        <v>99</v>
      </c>
      <c r="B10109" t="s">
        <v>100</v>
      </c>
      <c r="C10109" t="s">
        <v>129</v>
      </c>
      <c r="D10109" t="s">
        <v>130</v>
      </c>
      <c r="E10109">
        <v>1988</v>
      </c>
      <c r="F10109" s="1">
        <v>69</v>
      </c>
      <c r="G10109">
        <v>1990</v>
      </c>
      <c r="H10109">
        <f>AVERAGEIFS(Table1[value],Table1[IndicatorCode],Table1[[#This Row],[IndicatorCode]])</f>
        <v>72.66514008620689</v>
      </c>
      <c r="I10109" cm="1">
        <f t="array" ref="I10109">_xlfn.STDEV.P(IF(Table1[IndicatorCode]=Table1[[#This Row],[IndicatorCode]],Table1[value]))</f>
        <v>6.3409496564024987</v>
      </c>
      <c r="J10109">
        <f>(Table1[[#This Row],[value]] - Table1[[#This Row],[mean]]) / Table1[[#This Row],[std_dev]]</f>
        <v>-0.57801122620586864</v>
      </c>
      <c r="K10109">
        <f>AVERAGEIF(Table1[CountryCode],Table1[[#This Row],[CountryCode]],Table1[z-score])</f>
        <v>-0.56629310735046812</v>
      </c>
      <c r="L10109" t="e">
        <f>VLOOKUP(Table1[[#This Row],[CountryCode]],[1]!Table1[#All],1,FALSE)</f>
        <v>#REF!</v>
      </c>
    </row>
    <row r="10110" spans="1:12" hidden="1" x14ac:dyDescent="0.3">
      <c r="A10110" t="s">
        <v>99</v>
      </c>
      <c r="B10110" t="s">
        <v>100</v>
      </c>
      <c r="C10110" t="s">
        <v>129</v>
      </c>
      <c r="D10110" t="s">
        <v>130</v>
      </c>
      <c r="E10110">
        <v>1989</v>
      </c>
      <c r="F10110" s="1">
        <v>70</v>
      </c>
      <c r="G10110">
        <v>1990</v>
      </c>
      <c r="H10110">
        <f>AVERAGEIFS(Table1[value],Table1[IndicatorCode],Table1[[#This Row],[IndicatorCode]])</f>
        <v>72.66514008620689</v>
      </c>
      <c r="I10110" cm="1">
        <f t="array" ref="I10110">_xlfn.STDEV.P(IF(Table1[IndicatorCode]=Table1[[#This Row],[IndicatorCode]],Table1[value]))</f>
        <v>6.3409496564024987</v>
      </c>
      <c r="J10110">
        <f>(Table1[[#This Row],[value]] - Table1[[#This Row],[mean]]) / Table1[[#This Row],[std_dev]]</f>
        <v>-0.4203061419224296</v>
      </c>
      <c r="K10110">
        <f>AVERAGEIF(Table1[CountryCode],Table1[[#This Row],[CountryCode]],Table1[z-score])</f>
        <v>-0.56629310735046812</v>
      </c>
      <c r="L10110" t="e">
        <f>VLOOKUP(Table1[[#This Row],[CountryCode]],[1]!Table1[#All],1,FALSE)</f>
        <v>#REF!</v>
      </c>
    </row>
    <row r="10111" spans="1:12" hidden="1" x14ac:dyDescent="0.3">
      <c r="A10111" t="s">
        <v>99</v>
      </c>
      <c r="B10111" t="s">
        <v>100</v>
      </c>
      <c r="C10111" t="s">
        <v>129</v>
      </c>
      <c r="D10111" t="s">
        <v>130</v>
      </c>
      <c r="E10111">
        <v>1990</v>
      </c>
      <c r="F10111" s="1">
        <v>70</v>
      </c>
      <c r="G10111">
        <v>1990</v>
      </c>
      <c r="H10111">
        <f>AVERAGEIFS(Table1[value],Table1[IndicatorCode],Table1[[#This Row],[IndicatorCode]])</f>
        <v>72.66514008620689</v>
      </c>
      <c r="I10111" cm="1">
        <f t="array" ref="I10111">_xlfn.STDEV.P(IF(Table1[IndicatorCode]=Table1[[#This Row],[IndicatorCode]],Table1[value]))</f>
        <v>6.3409496564024987</v>
      </c>
      <c r="J10111">
        <f>(Table1[[#This Row],[value]] - Table1[[#This Row],[mean]]) / Table1[[#This Row],[std_dev]]</f>
        <v>-0.4203061419224296</v>
      </c>
      <c r="K10111">
        <f>AVERAGEIF(Table1[CountryCode],Table1[[#This Row],[CountryCode]],Table1[z-score])</f>
        <v>-0.56629310735046812</v>
      </c>
      <c r="L10111" t="e">
        <f>VLOOKUP(Table1[[#This Row],[CountryCode]],[1]!Table1[#All],1,FALSE)</f>
        <v>#REF!</v>
      </c>
    </row>
    <row r="10112" spans="1:12" hidden="1" x14ac:dyDescent="0.3">
      <c r="A10112" t="s">
        <v>99</v>
      </c>
      <c r="B10112" t="s">
        <v>100</v>
      </c>
      <c r="C10112" t="s">
        <v>129</v>
      </c>
      <c r="D10112" t="s">
        <v>130</v>
      </c>
      <c r="E10112">
        <v>1991</v>
      </c>
      <c r="F10112" s="1">
        <v>70</v>
      </c>
      <c r="G10112">
        <v>1990</v>
      </c>
      <c r="H10112">
        <f>AVERAGEIFS(Table1[value],Table1[IndicatorCode],Table1[[#This Row],[IndicatorCode]])</f>
        <v>72.66514008620689</v>
      </c>
      <c r="I10112" cm="1">
        <f t="array" ref="I10112">_xlfn.STDEV.P(IF(Table1[IndicatorCode]=Table1[[#This Row],[IndicatorCode]],Table1[value]))</f>
        <v>6.3409496564024987</v>
      </c>
      <c r="J10112">
        <f>(Table1[[#This Row],[value]] - Table1[[#This Row],[mean]]) / Table1[[#This Row],[std_dev]]</f>
        <v>-0.4203061419224296</v>
      </c>
      <c r="K10112">
        <f>AVERAGEIF(Table1[CountryCode],Table1[[#This Row],[CountryCode]],Table1[z-score])</f>
        <v>-0.56629310735046812</v>
      </c>
      <c r="L10112" t="e">
        <f>VLOOKUP(Table1[[#This Row],[CountryCode]],[1]!Table1[#All],1,FALSE)</f>
        <v>#REF!</v>
      </c>
    </row>
    <row r="10113" spans="1:12" hidden="1" x14ac:dyDescent="0.3">
      <c r="A10113" t="s">
        <v>99</v>
      </c>
      <c r="B10113" t="s">
        <v>100</v>
      </c>
      <c r="C10113" t="s">
        <v>129</v>
      </c>
      <c r="D10113" t="s">
        <v>130</v>
      </c>
      <c r="E10113">
        <v>1992</v>
      </c>
      <c r="F10113" s="1">
        <v>70</v>
      </c>
      <c r="G10113">
        <v>1990</v>
      </c>
      <c r="H10113">
        <f>AVERAGEIFS(Table1[value],Table1[IndicatorCode],Table1[[#This Row],[IndicatorCode]])</f>
        <v>72.66514008620689</v>
      </c>
      <c r="I10113" cm="1">
        <f t="array" ref="I10113">_xlfn.STDEV.P(IF(Table1[IndicatorCode]=Table1[[#This Row],[IndicatorCode]],Table1[value]))</f>
        <v>6.3409496564024987</v>
      </c>
      <c r="J10113">
        <f>(Table1[[#This Row],[value]] - Table1[[#This Row],[mean]]) / Table1[[#This Row],[std_dev]]</f>
        <v>-0.4203061419224296</v>
      </c>
      <c r="K10113">
        <f>AVERAGEIF(Table1[CountryCode],Table1[[#This Row],[CountryCode]],Table1[z-score])</f>
        <v>-0.56629310735046812</v>
      </c>
      <c r="L10113" t="e">
        <f>VLOOKUP(Table1[[#This Row],[CountryCode]],[1]!Table1[#All],1,FALSE)</f>
        <v>#REF!</v>
      </c>
    </row>
    <row r="10114" spans="1:12" hidden="1" x14ac:dyDescent="0.3">
      <c r="A10114" t="s">
        <v>99</v>
      </c>
      <c r="B10114" t="s">
        <v>100</v>
      </c>
      <c r="C10114" t="s">
        <v>129</v>
      </c>
      <c r="D10114" t="s">
        <v>130</v>
      </c>
      <c r="E10114">
        <v>1993</v>
      </c>
      <c r="F10114" s="1">
        <v>70</v>
      </c>
      <c r="G10114">
        <v>1990</v>
      </c>
      <c r="H10114">
        <f>AVERAGEIFS(Table1[value],Table1[IndicatorCode],Table1[[#This Row],[IndicatorCode]])</f>
        <v>72.66514008620689</v>
      </c>
      <c r="I10114" cm="1">
        <f t="array" ref="I10114">_xlfn.STDEV.P(IF(Table1[IndicatorCode]=Table1[[#This Row],[IndicatorCode]],Table1[value]))</f>
        <v>6.3409496564024987</v>
      </c>
      <c r="J10114">
        <f>(Table1[[#This Row],[value]] - Table1[[#This Row],[mean]]) / Table1[[#This Row],[std_dev]]</f>
        <v>-0.4203061419224296</v>
      </c>
      <c r="K10114">
        <f>AVERAGEIF(Table1[CountryCode],Table1[[#This Row],[CountryCode]],Table1[z-score])</f>
        <v>-0.56629310735046812</v>
      </c>
      <c r="L10114" t="e">
        <f>VLOOKUP(Table1[[#This Row],[CountryCode]],[1]!Table1[#All],1,FALSE)</f>
        <v>#REF!</v>
      </c>
    </row>
    <row r="10115" spans="1:12" hidden="1" x14ac:dyDescent="0.3">
      <c r="A10115" t="s">
        <v>99</v>
      </c>
      <c r="B10115" t="s">
        <v>100</v>
      </c>
      <c r="C10115" t="s">
        <v>129</v>
      </c>
      <c r="D10115" t="s">
        <v>130</v>
      </c>
      <c r="E10115">
        <v>1994</v>
      </c>
      <c r="F10115" s="1">
        <v>70</v>
      </c>
      <c r="G10115">
        <v>1990</v>
      </c>
      <c r="H10115">
        <f>AVERAGEIFS(Table1[value],Table1[IndicatorCode],Table1[[#This Row],[IndicatorCode]])</f>
        <v>72.66514008620689</v>
      </c>
      <c r="I10115" cm="1">
        <f t="array" ref="I10115">_xlfn.STDEV.P(IF(Table1[IndicatorCode]=Table1[[#This Row],[IndicatorCode]],Table1[value]))</f>
        <v>6.3409496564024987</v>
      </c>
      <c r="J10115">
        <f>(Table1[[#This Row],[value]] - Table1[[#This Row],[mean]]) / Table1[[#This Row],[std_dev]]</f>
        <v>-0.4203061419224296</v>
      </c>
      <c r="K10115">
        <f>AVERAGEIF(Table1[CountryCode],Table1[[#This Row],[CountryCode]],Table1[z-score])</f>
        <v>-0.56629310735046812</v>
      </c>
      <c r="L10115" t="e">
        <f>VLOOKUP(Table1[[#This Row],[CountryCode]],[1]!Table1[#All],1,FALSE)</f>
        <v>#REF!</v>
      </c>
    </row>
    <row r="10116" spans="1:12" hidden="1" x14ac:dyDescent="0.3">
      <c r="A10116" t="s">
        <v>99</v>
      </c>
      <c r="B10116" t="s">
        <v>100</v>
      </c>
      <c r="C10116" t="s">
        <v>129</v>
      </c>
      <c r="D10116" t="s">
        <v>130</v>
      </c>
      <c r="E10116">
        <v>1995</v>
      </c>
      <c r="F10116" s="1">
        <v>69</v>
      </c>
      <c r="G10116">
        <v>1990</v>
      </c>
      <c r="H10116">
        <f>AVERAGEIFS(Table1[value],Table1[IndicatorCode],Table1[[#This Row],[IndicatorCode]])</f>
        <v>72.66514008620689</v>
      </c>
      <c r="I10116" cm="1">
        <f t="array" ref="I10116">_xlfn.STDEV.P(IF(Table1[IndicatorCode]=Table1[[#This Row],[IndicatorCode]],Table1[value]))</f>
        <v>6.3409496564024987</v>
      </c>
      <c r="J10116">
        <f>(Table1[[#This Row],[value]] - Table1[[#This Row],[mean]]) / Table1[[#This Row],[std_dev]]</f>
        <v>-0.57801122620586864</v>
      </c>
      <c r="K10116">
        <f>AVERAGEIF(Table1[CountryCode],Table1[[#This Row],[CountryCode]],Table1[z-score])</f>
        <v>-0.56629310735046812</v>
      </c>
      <c r="L10116" t="e">
        <f>VLOOKUP(Table1[[#This Row],[CountryCode]],[1]!Table1[#All],1,FALSE)</f>
        <v>#REF!</v>
      </c>
    </row>
    <row r="10117" spans="1:12" hidden="1" x14ac:dyDescent="0.3">
      <c r="A10117" t="s">
        <v>99</v>
      </c>
      <c r="B10117" t="s">
        <v>100</v>
      </c>
      <c r="C10117" t="s">
        <v>129</v>
      </c>
      <c r="D10117" t="s">
        <v>130</v>
      </c>
      <c r="E10117">
        <v>1996</v>
      </c>
      <c r="F10117" s="1">
        <v>69</v>
      </c>
      <c r="G10117">
        <v>1990</v>
      </c>
      <c r="H10117">
        <f>AVERAGEIFS(Table1[value],Table1[IndicatorCode],Table1[[#This Row],[IndicatorCode]])</f>
        <v>72.66514008620689</v>
      </c>
      <c r="I10117" cm="1">
        <f t="array" ref="I10117">_xlfn.STDEV.P(IF(Table1[IndicatorCode]=Table1[[#This Row],[IndicatorCode]],Table1[value]))</f>
        <v>6.3409496564024987</v>
      </c>
      <c r="J10117">
        <f>(Table1[[#This Row],[value]] - Table1[[#This Row],[mean]]) / Table1[[#This Row],[std_dev]]</f>
        <v>-0.57801122620586864</v>
      </c>
      <c r="K10117">
        <f>AVERAGEIF(Table1[CountryCode],Table1[[#This Row],[CountryCode]],Table1[z-score])</f>
        <v>-0.56629310735046812</v>
      </c>
      <c r="L10117" t="e">
        <f>VLOOKUP(Table1[[#This Row],[CountryCode]],[1]!Table1[#All],1,FALSE)</f>
        <v>#REF!</v>
      </c>
    </row>
    <row r="10118" spans="1:12" hidden="1" x14ac:dyDescent="0.3">
      <c r="A10118" t="s">
        <v>99</v>
      </c>
      <c r="B10118" t="s">
        <v>100</v>
      </c>
      <c r="C10118" t="s">
        <v>129</v>
      </c>
      <c r="D10118" t="s">
        <v>130</v>
      </c>
      <c r="E10118">
        <v>1997</v>
      </c>
      <c r="F10118" s="1">
        <v>69</v>
      </c>
      <c r="G10118">
        <v>2000</v>
      </c>
      <c r="H10118">
        <f>AVERAGEIFS(Table1[value],Table1[IndicatorCode],Table1[[#This Row],[IndicatorCode]])</f>
        <v>72.66514008620689</v>
      </c>
      <c r="I10118" cm="1">
        <f t="array" ref="I10118">_xlfn.STDEV.P(IF(Table1[IndicatorCode]=Table1[[#This Row],[IndicatorCode]],Table1[value]))</f>
        <v>6.3409496564024987</v>
      </c>
      <c r="J10118">
        <f>(Table1[[#This Row],[value]] - Table1[[#This Row],[mean]]) / Table1[[#This Row],[std_dev]]</f>
        <v>-0.57801122620586864</v>
      </c>
      <c r="K10118">
        <f>AVERAGEIF(Table1[CountryCode],Table1[[#This Row],[CountryCode]],Table1[z-score])</f>
        <v>-0.56629310735046812</v>
      </c>
      <c r="L10118" t="e">
        <f>VLOOKUP(Table1[[#This Row],[CountryCode]],[1]!Table1[#All],1,FALSE)</f>
        <v>#REF!</v>
      </c>
    </row>
    <row r="10119" spans="1:12" hidden="1" x14ac:dyDescent="0.3">
      <c r="A10119" t="s">
        <v>99</v>
      </c>
      <c r="B10119" t="s">
        <v>100</v>
      </c>
      <c r="C10119" t="s">
        <v>129</v>
      </c>
      <c r="D10119" t="s">
        <v>130</v>
      </c>
      <c r="E10119">
        <v>1998</v>
      </c>
      <c r="F10119" s="1">
        <v>70</v>
      </c>
      <c r="G10119">
        <v>2000</v>
      </c>
      <c r="H10119">
        <f>AVERAGEIFS(Table1[value],Table1[IndicatorCode],Table1[[#This Row],[IndicatorCode]])</f>
        <v>72.66514008620689</v>
      </c>
      <c r="I10119" cm="1">
        <f t="array" ref="I10119">_xlfn.STDEV.P(IF(Table1[IndicatorCode]=Table1[[#This Row],[IndicatorCode]],Table1[value]))</f>
        <v>6.3409496564024987</v>
      </c>
      <c r="J10119">
        <f>(Table1[[#This Row],[value]] - Table1[[#This Row],[mean]]) / Table1[[#This Row],[std_dev]]</f>
        <v>-0.4203061419224296</v>
      </c>
      <c r="K10119">
        <f>AVERAGEIF(Table1[CountryCode],Table1[[#This Row],[CountryCode]],Table1[z-score])</f>
        <v>-0.56629310735046812</v>
      </c>
      <c r="L10119" t="e">
        <f>VLOOKUP(Table1[[#This Row],[CountryCode]],[1]!Table1[#All],1,FALSE)</f>
        <v>#REF!</v>
      </c>
    </row>
    <row r="10120" spans="1:12" hidden="1" x14ac:dyDescent="0.3">
      <c r="A10120" t="s">
        <v>99</v>
      </c>
      <c r="B10120" t="s">
        <v>100</v>
      </c>
      <c r="C10120" t="s">
        <v>129</v>
      </c>
      <c r="D10120" t="s">
        <v>130</v>
      </c>
      <c r="E10120">
        <v>1999</v>
      </c>
      <c r="F10120" s="1">
        <v>71</v>
      </c>
      <c r="G10120">
        <v>2000</v>
      </c>
      <c r="H10120">
        <f>AVERAGEIFS(Table1[value],Table1[IndicatorCode],Table1[[#This Row],[IndicatorCode]])</f>
        <v>72.66514008620689</v>
      </c>
      <c r="I10120" cm="1">
        <f t="array" ref="I10120">_xlfn.STDEV.P(IF(Table1[IndicatorCode]=Table1[[#This Row],[IndicatorCode]],Table1[value]))</f>
        <v>6.3409496564024987</v>
      </c>
      <c r="J10120">
        <f>(Table1[[#This Row],[value]] - Table1[[#This Row],[mean]]) / Table1[[#This Row],[std_dev]]</f>
        <v>-0.2626010576389905</v>
      </c>
      <c r="K10120">
        <f>AVERAGEIF(Table1[CountryCode],Table1[[#This Row],[CountryCode]],Table1[z-score])</f>
        <v>-0.56629310735046812</v>
      </c>
      <c r="L10120" t="e">
        <f>VLOOKUP(Table1[[#This Row],[CountryCode]],[1]!Table1[#All],1,FALSE)</f>
        <v>#REF!</v>
      </c>
    </row>
    <row r="10121" spans="1:12" hidden="1" x14ac:dyDescent="0.3">
      <c r="A10121" t="s">
        <v>99</v>
      </c>
      <c r="B10121" t="s">
        <v>100</v>
      </c>
      <c r="C10121" t="s">
        <v>129</v>
      </c>
      <c r="D10121" t="s">
        <v>130</v>
      </c>
      <c r="E10121">
        <v>2000</v>
      </c>
      <c r="F10121" s="1">
        <v>71</v>
      </c>
      <c r="G10121">
        <v>2000</v>
      </c>
      <c r="H10121">
        <f>AVERAGEIFS(Table1[value],Table1[IndicatorCode],Table1[[#This Row],[IndicatorCode]])</f>
        <v>72.66514008620689</v>
      </c>
      <c r="I10121" cm="1">
        <f t="array" ref="I10121">_xlfn.STDEV.P(IF(Table1[IndicatorCode]=Table1[[#This Row],[IndicatorCode]],Table1[value]))</f>
        <v>6.3409496564024987</v>
      </c>
      <c r="J10121">
        <f>(Table1[[#This Row],[value]] - Table1[[#This Row],[mean]]) / Table1[[#This Row],[std_dev]]</f>
        <v>-0.2626010576389905</v>
      </c>
      <c r="K10121">
        <f>AVERAGEIF(Table1[CountryCode],Table1[[#This Row],[CountryCode]],Table1[z-score])</f>
        <v>-0.56629310735046812</v>
      </c>
      <c r="L10121" t="e">
        <f>VLOOKUP(Table1[[#This Row],[CountryCode]],[1]!Table1[#All],1,FALSE)</f>
        <v>#REF!</v>
      </c>
    </row>
    <row r="10122" spans="1:12" hidden="1" x14ac:dyDescent="0.3">
      <c r="A10122" t="s">
        <v>99</v>
      </c>
      <c r="B10122" t="s">
        <v>100</v>
      </c>
      <c r="C10122" t="s">
        <v>129</v>
      </c>
      <c r="D10122" t="s">
        <v>130</v>
      </c>
      <c r="E10122">
        <v>2001</v>
      </c>
      <c r="F10122" s="1">
        <v>71</v>
      </c>
      <c r="G10122">
        <v>2000</v>
      </c>
      <c r="H10122">
        <f>AVERAGEIFS(Table1[value],Table1[IndicatorCode],Table1[[#This Row],[IndicatorCode]])</f>
        <v>72.66514008620689</v>
      </c>
      <c r="I10122" cm="1">
        <f t="array" ref="I10122">_xlfn.STDEV.P(IF(Table1[IndicatorCode]=Table1[[#This Row],[IndicatorCode]],Table1[value]))</f>
        <v>6.3409496564024987</v>
      </c>
      <c r="J10122">
        <f>(Table1[[#This Row],[value]] - Table1[[#This Row],[mean]]) / Table1[[#This Row],[std_dev]]</f>
        <v>-0.2626010576389905</v>
      </c>
      <c r="K10122">
        <f>AVERAGEIF(Table1[CountryCode],Table1[[#This Row],[CountryCode]],Table1[z-score])</f>
        <v>-0.56629310735046812</v>
      </c>
      <c r="L10122" t="e">
        <f>VLOOKUP(Table1[[#This Row],[CountryCode]],[1]!Table1[#All],1,FALSE)</f>
        <v>#REF!</v>
      </c>
    </row>
    <row r="10123" spans="1:12" hidden="1" x14ac:dyDescent="0.3">
      <c r="A10123" t="s">
        <v>99</v>
      </c>
      <c r="B10123" t="s">
        <v>100</v>
      </c>
      <c r="C10123" t="s">
        <v>129</v>
      </c>
      <c r="D10123" t="s">
        <v>130</v>
      </c>
      <c r="E10123">
        <v>2002</v>
      </c>
      <c r="F10123" s="1">
        <v>71</v>
      </c>
      <c r="G10123">
        <v>2000</v>
      </c>
      <c r="H10123">
        <f>AVERAGEIFS(Table1[value],Table1[IndicatorCode],Table1[[#This Row],[IndicatorCode]])</f>
        <v>72.66514008620689</v>
      </c>
      <c r="I10123" cm="1">
        <f t="array" ref="I10123">_xlfn.STDEV.P(IF(Table1[IndicatorCode]=Table1[[#This Row],[IndicatorCode]],Table1[value]))</f>
        <v>6.3409496564024987</v>
      </c>
      <c r="J10123">
        <f>(Table1[[#This Row],[value]] - Table1[[#This Row],[mean]]) / Table1[[#This Row],[std_dev]]</f>
        <v>-0.2626010576389905</v>
      </c>
      <c r="K10123">
        <f>AVERAGEIF(Table1[CountryCode],Table1[[#This Row],[CountryCode]],Table1[z-score])</f>
        <v>-0.56629310735046812</v>
      </c>
      <c r="L10123" t="e">
        <f>VLOOKUP(Table1[[#This Row],[CountryCode]],[1]!Table1[#All],1,FALSE)</f>
        <v>#REF!</v>
      </c>
    </row>
    <row r="10124" spans="1:12" hidden="1" x14ac:dyDescent="0.3">
      <c r="A10124" t="s">
        <v>99</v>
      </c>
      <c r="B10124" t="s">
        <v>100</v>
      </c>
      <c r="C10124" t="s">
        <v>129</v>
      </c>
      <c r="D10124" t="s">
        <v>130</v>
      </c>
      <c r="E10124">
        <v>2003</v>
      </c>
      <c r="F10124" s="1">
        <v>71</v>
      </c>
      <c r="G10124">
        <v>2000</v>
      </c>
      <c r="H10124">
        <f>AVERAGEIFS(Table1[value],Table1[IndicatorCode],Table1[[#This Row],[IndicatorCode]])</f>
        <v>72.66514008620689</v>
      </c>
      <c r="I10124" cm="1">
        <f t="array" ref="I10124">_xlfn.STDEV.P(IF(Table1[IndicatorCode]=Table1[[#This Row],[IndicatorCode]],Table1[value]))</f>
        <v>6.3409496564024987</v>
      </c>
      <c r="J10124">
        <f>(Table1[[#This Row],[value]] - Table1[[#This Row],[mean]]) / Table1[[#This Row],[std_dev]]</f>
        <v>-0.2626010576389905</v>
      </c>
      <c r="K10124">
        <f>AVERAGEIF(Table1[CountryCode],Table1[[#This Row],[CountryCode]],Table1[z-score])</f>
        <v>-0.56629310735046812</v>
      </c>
      <c r="L10124" t="e">
        <f>VLOOKUP(Table1[[#This Row],[CountryCode]],[1]!Table1[#All],1,FALSE)</f>
        <v>#REF!</v>
      </c>
    </row>
    <row r="10125" spans="1:12" hidden="1" x14ac:dyDescent="0.3">
      <c r="A10125" t="s">
        <v>99</v>
      </c>
      <c r="B10125" t="s">
        <v>100</v>
      </c>
      <c r="C10125" t="s">
        <v>129</v>
      </c>
      <c r="D10125" t="s">
        <v>130</v>
      </c>
      <c r="E10125">
        <v>2004</v>
      </c>
      <c r="F10125" s="1">
        <v>72</v>
      </c>
      <c r="G10125">
        <v>2000</v>
      </c>
      <c r="H10125">
        <f>AVERAGEIFS(Table1[value],Table1[IndicatorCode],Table1[[#This Row],[IndicatorCode]])</f>
        <v>72.66514008620689</v>
      </c>
      <c r="I10125" cm="1">
        <f t="array" ref="I10125">_xlfn.STDEV.P(IF(Table1[IndicatorCode]=Table1[[#This Row],[IndicatorCode]],Table1[value]))</f>
        <v>6.3409496564024987</v>
      </c>
      <c r="J10125">
        <f>(Table1[[#This Row],[value]] - Table1[[#This Row],[mean]]) / Table1[[#This Row],[std_dev]]</f>
        <v>-0.10489597335555145</v>
      </c>
      <c r="K10125">
        <f>AVERAGEIF(Table1[CountryCode],Table1[[#This Row],[CountryCode]],Table1[z-score])</f>
        <v>-0.56629310735046812</v>
      </c>
      <c r="L10125" t="e">
        <f>VLOOKUP(Table1[[#This Row],[CountryCode]],[1]!Table1[#All],1,FALSE)</f>
        <v>#REF!</v>
      </c>
    </row>
    <row r="10126" spans="1:12" hidden="1" x14ac:dyDescent="0.3">
      <c r="A10126" t="s">
        <v>99</v>
      </c>
      <c r="B10126" t="s">
        <v>100</v>
      </c>
      <c r="C10126" t="s">
        <v>129</v>
      </c>
      <c r="D10126" t="s">
        <v>130</v>
      </c>
      <c r="E10126">
        <v>2005</v>
      </c>
      <c r="F10126" s="1">
        <v>72</v>
      </c>
      <c r="G10126">
        <v>2000</v>
      </c>
      <c r="H10126">
        <f>AVERAGEIFS(Table1[value],Table1[IndicatorCode],Table1[[#This Row],[IndicatorCode]])</f>
        <v>72.66514008620689</v>
      </c>
      <c r="I10126" cm="1">
        <f t="array" ref="I10126">_xlfn.STDEV.P(IF(Table1[IndicatorCode]=Table1[[#This Row],[IndicatorCode]],Table1[value]))</f>
        <v>6.3409496564024987</v>
      </c>
      <c r="J10126">
        <f>(Table1[[#This Row],[value]] - Table1[[#This Row],[mean]]) / Table1[[#This Row],[std_dev]]</f>
        <v>-0.10489597335555145</v>
      </c>
      <c r="K10126">
        <f>AVERAGEIF(Table1[CountryCode],Table1[[#This Row],[CountryCode]],Table1[z-score])</f>
        <v>-0.56629310735046812</v>
      </c>
      <c r="L10126" t="e">
        <f>VLOOKUP(Table1[[#This Row],[CountryCode]],[1]!Table1[#All],1,FALSE)</f>
        <v>#REF!</v>
      </c>
    </row>
    <row r="10127" spans="1:12" hidden="1" x14ac:dyDescent="0.3">
      <c r="A10127" t="s">
        <v>99</v>
      </c>
      <c r="B10127" t="s">
        <v>100</v>
      </c>
      <c r="C10127" t="s">
        <v>129</v>
      </c>
      <c r="D10127" t="s">
        <v>130</v>
      </c>
      <c r="E10127">
        <v>2006</v>
      </c>
      <c r="F10127" s="1">
        <v>72</v>
      </c>
      <c r="G10127">
        <v>2000</v>
      </c>
      <c r="H10127">
        <f>AVERAGEIFS(Table1[value],Table1[IndicatorCode],Table1[[#This Row],[IndicatorCode]])</f>
        <v>72.66514008620689</v>
      </c>
      <c r="I10127" cm="1">
        <f t="array" ref="I10127">_xlfn.STDEV.P(IF(Table1[IndicatorCode]=Table1[[#This Row],[IndicatorCode]],Table1[value]))</f>
        <v>6.3409496564024987</v>
      </c>
      <c r="J10127">
        <f>(Table1[[#This Row],[value]] - Table1[[#This Row],[mean]]) / Table1[[#This Row],[std_dev]]</f>
        <v>-0.10489597335555145</v>
      </c>
      <c r="K10127">
        <f>AVERAGEIF(Table1[CountryCode],Table1[[#This Row],[CountryCode]],Table1[z-score])</f>
        <v>-0.56629310735046812</v>
      </c>
      <c r="L10127" t="e">
        <f>VLOOKUP(Table1[[#This Row],[CountryCode]],[1]!Table1[#All],1,FALSE)</f>
        <v>#REF!</v>
      </c>
    </row>
    <row r="10128" spans="1:12" hidden="1" x14ac:dyDescent="0.3">
      <c r="A10128" t="s">
        <v>99</v>
      </c>
      <c r="B10128" t="s">
        <v>100</v>
      </c>
      <c r="C10128" t="s">
        <v>129</v>
      </c>
      <c r="D10128" t="s">
        <v>130</v>
      </c>
      <c r="E10128">
        <v>2007</v>
      </c>
      <c r="F10128" s="1">
        <v>73</v>
      </c>
      <c r="G10128">
        <v>2010</v>
      </c>
      <c r="H10128">
        <f>AVERAGEIFS(Table1[value],Table1[IndicatorCode],Table1[[#This Row],[IndicatorCode]])</f>
        <v>72.66514008620689</v>
      </c>
      <c r="I10128" cm="1">
        <f t="array" ref="I10128">_xlfn.STDEV.P(IF(Table1[IndicatorCode]=Table1[[#This Row],[IndicatorCode]],Table1[value]))</f>
        <v>6.3409496564024987</v>
      </c>
      <c r="J10128">
        <f>(Table1[[#This Row],[value]] - Table1[[#This Row],[mean]]) / Table1[[#This Row],[std_dev]]</f>
        <v>5.2809110927887599E-2</v>
      </c>
      <c r="K10128">
        <f>AVERAGEIF(Table1[CountryCode],Table1[[#This Row],[CountryCode]],Table1[z-score])</f>
        <v>-0.56629310735046812</v>
      </c>
      <c r="L10128" t="e">
        <f>VLOOKUP(Table1[[#This Row],[CountryCode]],[1]!Table1[#All],1,FALSE)</f>
        <v>#REF!</v>
      </c>
    </row>
    <row r="10129" spans="1:12" hidden="1" x14ac:dyDescent="0.3">
      <c r="A10129" t="s">
        <v>99</v>
      </c>
      <c r="B10129" t="s">
        <v>100</v>
      </c>
      <c r="C10129" t="s">
        <v>129</v>
      </c>
      <c r="D10129" t="s">
        <v>130</v>
      </c>
      <c r="E10129">
        <v>2008</v>
      </c>
      <c r="F10129" s="1">
        <v>73</v>
      </c>
      <c r="G10129">
        <v>2010</v>
      </c>
      <c r="H10129">
        <f>AVERAGEIFS(Table1[value],Table1[IndicatorCode],Table1[[#This Row],[IndicatorCode]])</f>
        <v>72.66514008620689</v>
      </c>
      <c r="I10129" cm="1">
        <f t="array" ref="I10129">_xlfn.STDEV.P(IF(Table1[IndicatorCode]=Table1[[#This Row],[IndicatorCode]],Table1[value]))</f>
        <v>6.3409496564024987</v>
      </c>
      <c r="J10129">
        <f>(Table1[[#This Row],[value]] - Table1[[#This Row],[mean]]) / Table1[[#This Row],[std_dev]]</f>
        <v>5.2809110927887599E-2</v>
      </c>
      <c r="K10129">
        <f>AVERAGEIF(Table1[CountryCode],Table1[[#This Row],[CountryCode]],Table1[z-score])</f>
        <v>-0.56629310735046812</v>
      </c>
      <c r="L10129" t="e">
        <f>VLOOKUP(Table1[[#This Row],[CountryCode]],[1]!Table1[#All],1,FALSE)</f>
        <v>#REF!</v>
      </c>
    </row>
    <row r="10130" spans="1:12" hidden="1" x14ac:dyDescent="0.3">
      <c r="A10130" t="s">
        <v>99</v>
      </c>
      <c r="B10130" t="s">
        <v>100</v>
      </c>
      <c r="C10130" t="s">
        <v>129</v>
      </c>
      <c r="D10130" t="s">
        <v>130</v>
      </c>
      <c r="E10130">
        <v>2009</v>
      </c>
      <c r="F10130" s="1">
        <v>73</v>
      </c>
      <c r="G10130">
        <v>2010</v>
      </c>
      <c r="H10130">
        <f>AVERAGEIFS(Table1[value],Table1[IndicatorCode],Table1[[#This Row],[IndicatorCode]])</f>
        <v>72.66514008620689</v>
      </c>
      <c r="I10130" cm="1">
        <f t="array" ref="I10130">_xlfn.STDEV.P(IF(Table1[IndicatorCode]=Table1[[#This Row],[IndicatorCode]],Table1[value]))</f>
        <v>6.3409496564024987</v>
      </c>
      <c r="J10130">
        <f>(Table1[[#This Row],[value]] - Table1[[#This Row],[mean]]) / Table1[[#This Row],[std_dev]]</f>
        <v>5.2809110927887599E-2</v>
      </c>
      <c r="K10130">
        <f>AVERAGEIF(Table1[CountryCode],Table1[[#This Row],[CountryCode]],Table1[z-score])</f>
        <v>-0.56629310735046812</v>
      </c>
      <c r="L10130" t="e">
        <f>VLOOKUP(Table1[[#This Row],[CountryCode]],[1]!Table1[#All],1,FALSE)</f>
        <v>#REF!</v>
      </c>
    </row>
    <row r="10131" spans="1:12" hidden="1" x14ac:dyDescent="0.3">
      <c r="A10131" t="s">
        <v>99</v>
      </c>
      <c r="B10131" t="s">
        <v>100</v>
      </c>
      <c r="C10131" t="s">
        <v>129</v>
      </c>
      <c r="D10131" t="s">
        <v>130</v>
      </c>
      <c r="E10131">
        <v>2010</v>
      </c>
      <c r="F10131" s="1">
        <v>73</v>
      </c>
      <c r="G10131">
        <v>2010</v>
      </c>
      <c r="H10131">
        <f>AVERAGEIFS(Table1[value],Table1[IndicatorCode],Table1[[#This Row],[IndicatorCode]])</f>
        <v>72.66514008620689</v>
      </c>
      <c r="I10131" cm="1">
        <f t="array" ref="I10131">_xlfn.STDEV.P(IF(Table1[IndicatorCode]=Table1[[#This Row],[IndicatorCode]],Table1[value]))</f>
        <v>6.3409496564024987</v>
      </c>
      <c r="J10131">
        <f>(Table1[[#This Row],[value]] - Table1[[#This Row],[mean]]) / Table1[[#This Row],[std_dev]]</f>
        <v>5.2809110927887599E-2</v>
      </c>
      <c r="K10131">
        <f>AVERAGEIF(Table1[CountryCode],Table1[[#This Row],[CountryCode]],Table1[z-score])</f>
        <v>-0.56629310735046812</v>
      </c>
      <c r="L10131" t="e">
        <f>VLOOKUP(Table1[[#This Row],[CountryCode]],[1]!Table1[#All],1,FALSE)</f>
        <v>#REF!</v>
      </c>
    </row>
    <row r="10132" spans="1:12" hidden="1" x14ac:dyDescent="0.3">
      <c r="A10132" t="s">
        <v>99</v>
      </c>
      <c r="B10132" t="s">
        <v>100</v>
      </c>
      <c r="C10132" t="s">
        <v>129</v>
      </c>
      <c r="D10132" t="s">
        <v>130</v>
      </c>
      <c r="E10132">
        <v>2011</v>
      </c>
      <c r="F10132" s="1">
        <v>74</v>
      </c>
      <c r="G10132">
        <v>2010</v>
      </c>
      <c r="H10132">
        <f>AVERAGEIFS(Table1[value],Table1[IndicatorCode],Table1[[#This Row],[IndicatorCode]])</f>
        <v>72.66514008620689</v>
      </c>
      <c r="I10132" cm="1">
        <f t="array" ref="I10132">_xlfn.STDEV.P(IF(Table1[IndicatorCode]=Table1[[#This Row],[IndicatorCode]],Table1[value]))</f>
        <v>6.3409496564024987</v>
      </c>
      <c r="J10132">
        <f>(Table1[[#This Row],[value]] - Table1[[#This Row],[mean]]) / Table1[[#This Row],[std_dev]]</f>
        <v>0.21051419521132667</v>
      </c>
      <c r="K10132">
        <f>AVERAGEIF(Table1[CountryCode],Table1[[#This Row],[CountryCode]],Table1[z-score])</f>
        <v>-0.56629310735046812</v>
      </c>
      <c r="L10132" t="e">
        <f>VLOOKUP(Table1[[#This Row],[CountryCode]],[1]!Table1[#All],1,FALSE)</f>
        <v>#REF!</v>
      </c>
    </row>
    <row r="10133" spans="1:12" hidden="1" x14ac:dyDescent="0.3">
      <c r="A10133" t="s">
        <v>99</v>
      </c>
      <c r="B10133" t="s">
        <v>100</v>
      </c>
      <c r="C10133" t="s">
        <v>129</v>
      </c>
      <c r="D10133" t="s">
        <v>130</v>
      </c>
      <c r="E10133">
        <v>2012</v>
      </c>
      <c r="F10133" s="1">
        <v>74</v>
      </c>
      <c r="G10133">
        <v>2010</v>
      </c>
      <c r="H10133">
        <f>AVERAGEIFS(Table1[value],Table1[IndicatorCode],Table1[[#This Row],[IndicatorCode]])</f>
        <v>72.66514008620689</v>
      </c>
      <c r="I10133" cm="1">
        <f t="array" ref="I10133">_xlfn.STDEV.P(IF(Table1[IndicatorCode]=Table1[[#This Row],[IndicatorCode]],Table1[value]))</f>
        <v>6.3409496564024987</v>
      </c>
      <c r="J10133">
        <f>(Table1[[#This Row],[value]] - Table1[[#This Row],[mean]]) / Table1[[#This Row],[std_dev]]</f>
        <v>0.21051419521132667</v>
      </c>
      <c r="K10133">
        <f>AVERAGEIF(Table1[CountryCode],Table1[[#This Row],[CountryCode]],Table1[z-score])</f>
        <v>-0.56629310735046812</v>
      </c>
      <c r="L10133" t="e">
        <f>VLOOKUP(Table1[[#This Row],[CountryCode]],[1]!Table1[#All],1,FALSE)</f>
        <v>#REF!</v>
      </c>
    </row>
    <row r="10134" spans="1:12" hidden="1" x14ac:dyDescent="0.3">
      <c r="A10134" t="s">
        <v>99</v>
      </c>
      <c r="B10134" t="s">
        <v>100</v>
      </c>
      <c r="C10134" t="s">
        <v>129</v>
      </c>
      <c r="D10134" t="s">
        <v>130</v>
      </c>
      <c r="E10134">
        <v>2013</v>
      </c>
      <c r="F10134" s="1">
        <v>75</v>
      </c>
      <c r="G10134">
        <v>2010</v>
      </c>
      <c r="H10134">
        <f>AVERAGEIFS(Table1[value],Table1[IndicatorCode],Table1[[#This Row],[IndicatorCode]])</f>
        <v>72.66514008620689</v>
      </c>
      <c r="I10134" cm="1">
        <f t="array" ref="I10134">_xlfn.STDEV.P(IF(Table1[IndicatorCode]=Table1[[#This Row],[IndicatorCode]],Table1[value]))</f>
        <v>6.3409496564024987</v>
      </c>
      <c r="J10134">
        <f>(Table1[[#This Row],[value]] - Table1[[#This Row],[mean]]) / Table1[[#This Row],[std_dev]]</f>
        <v>0.36821927949476574</v>
      </c>
      <c r="K10134">
        <f>AVERAGEIF(Table1[CountryCode],Table1[[#This Row],[CountryCode]],Table1[z-score])</f>
        <v>-0.56629310735046812</v>
      </c>
      <c r="L10134" t="e">
        <f>VLOOKUP(Table1[[#This Row],[CountryCode]],[1]!Table1[#All],1,FALSE)</f>
        <v>#REF!</v>
      </c>
    </row>
    <row r="10135" spans="1:12" hidden="1" x14ac:dyDescent="0.3">
      <c r="A10135" t="s">
        <v>99</v>
      </c>
      <c r="B10135" t="s">
        <v>100</v>
      </c>
      <c r="C10135" t="s">
        <v>129</v>
      </c>
      <c r="D10135" t="s">
        <v>130</v>
      </c>
      <c r="E10135">
        <v>2014</v>
      </c>
      <c r="F10135" s="1">
        <v>75</v>
      </c>
      <c r="G10135">
        <v>2010</v>
      </c>
      <c r="H10135">
        <f>AVERAGEIFS(Table1[value],Table1[IndicatorCode],Table1[[#This Row],[IndicatorCode]])</f>
        <v>72.66514008620689</v>
      </c>
      <c r="I10135" cm="1">
        <f t="array" ref="I10135">_xlfn.STDEV.P(IF(Table1[IndicatorCode]=Table1[[#This Row],[IndicatorCode]],Table1[value]))</f>
        <v>6.3409496564024987</v>
      </c>
      <c r="J10135">
        <f>(Table1[[#This Row],[value]] - Table1[[#This Row],[mean]]) / Table1[[#This Row],[std_dev]]</f>
        <v>0.36821927949476574</v>
      </c>
      <c r="K10135">
        <f>AVERAGEIF(Table1[CountryCode],Table1[[#This Row],[CountryCode]],Table1[z-score])</f>
        <v>-0.56629310735046812</v>
      </c>
      <c r="L10135" t="e">
        <f>VLOOKUP(Table1[[#This Row],[CountryCode]],[1]!Table1[#All],1,FALSE)</f>
        <v>#REF!</v>
      </c>
    </row>
    <row r="10136" spans="1:12" hidden="1" x14ac:dyDescent="0.3">
      <c r="A10136" t="s">
        <v>99</v>
      </c>
      <c r="B10136" t="s">
        <v>100</v>
      </c>
      <c r="C10136" t="s">
        <v>129</v>
      </c>
      <c r="D10136" t="s">
        <v>130</v>
      </c>
      <c r="E10136">
        <v>2015</v>
      </c>
      <c r="F10136" s="1">
        <v>75</v>
      </c>
      <c r="G10136">
        <v>2010</v>
      </c>
      <c r="H10136">
        <f>AVERAGEIFS(Table1[value],Table1[IndicatorCode],Table1[[#This Row],[IndicatorCode]])</f>
        <v>72.66514008620689</v>
      </c>
      <c r="I10136" cm="1">
        <f t="array" ref="I10136">_xlfn.STDEV.P(IF(Table1[IndicatorCode]=Table1[[#This Row],[IndicatorCode]],Table1[value]))</f>
        <v>6.3409496564024987</v>
      </c>
      <c r="J10136">
        <f>(Table1[[#This Row],[value]] - Table1[[#This Row],[mean]]) / Table1[[#This Row],[std_dev]]</f>
        <v>0.36821927949476574</v>
      </c>
      <c r="K10136">
        <f>AVERAGEIF(Table1[CountryCode],Table1[[#This Row],[CountryCode]],Table1[z-score])</f>
        <v>-0.56629310735046812</v>
      </c>
      <c r="L10136" t="e">
        <f>VLOOKUP(Table1[[#This Row],[CountryCode]],[1]!Table1[#All],1,FALSE)</f>
        <v>#REF!</v>
      </c>
    </row>
    <row r="10137" spans="1:12" hidden="1" x14ac:dyDescent="0.3">
      <c r="A10137" t="s">
        <v>99</v>
      </c>
      <c r="B10137" t="s">
        <v>100</v>
      </c>
      <c r="C10137" t="s">
        <v>129</v>
      </c>
      <c r="D10137" t="s">
        <v>130</v>
      </c>
      <c r="E10137">
        <v>2016</v>
      </c>
      <c r="F10137" s="1">
        <v>75</v>
      </c>
      <c r="G10137">
        <v>2010</v>
      </c>
      <c r="H10137">
        <f>AVERAGEIFS(Table1[value],Table1[IndicatorCode],Table1[[#This Row],[IndicatorCode]])</f>
        <v>72.66514008620689</v>
      </c>
      <c r="I10137" cm="1">
        <f t="array" ref="I10137">_xlfn.STDEV.P(IF(Table1[IndicatorCode]=Table1[[#This Row],[IndicatorCode]],Table1[value]))</f>
        <v>6.3409496564024987</v>
      </c>
      <c r="J10137">
        <f>(Table1[[#This Row],[value]] - Table1[[#This Row],[mean]]) / Table1[[#This Row],[std_dev]]</f>
        <v>0.36821927949476574</v>
      </c>
      <c r="K10137">
        <f>AVERAGEIF(Table1[CountryCode],Table1[[#This Row],[CountryCode]],Table1[z-score])</f>
        <v>-0.56629310735046812</v>
      </c>
      <c r="L10137" t="e">
        <f>VLOOKUP(Table1[[#This Row],[CountryCode]],[1]!Table1[#All],1,FALSE)</f>
        <v>#REF!</v>
      </c>
    </row>
    <row r="10138" spans="1:12" hidden="1" x14ac:dyDescent="0.3">
      <c r="A10138" t="s">
        <v>99</v>
      </c>
      <c r="B10138" t="s">
        <v>100</v>
      </c>
      <c r="C10138" t="s">
        <v>129</v>
      </c>
      <c r="D10138" t="s">
        <v>130</v>
      </c>
      <c r="E10138">
        <v>2017</v>
      </c>
      <c r="F10138" s="1">
        <v>75</v>
      </c>
      <c r="G10138">
        <v>2020</v>
      </c>
      <c r="H10138">
        <f>AVERAGEIFS(Table1[value],Table1[IndicatorCode],Table1[[#This Row],[IndicatorCode]])</f>
        <v>72.66514008620689</v>
      </c>
      <c r="I10138" cm="1">
        <f t="array" ref="I10138">_xlfn.STDEV.P(IF(Table1[IndicatorCode]=Table1[[#This Row],[IndicatorCode]],Table1[value]))</f>
        <v>6.3409496564024987</v>
      </c>
      <c r="J10138">
        <f>(Table1[[#This Row],[value]] - Table1[[#This Row],[mean]]) / Table1[[#This Row],[std_dev]]</f>
        <v>0.36821927949476574</v>
      </c>
      <c r="K10138">
        <f>AVERAGEIF(Table1[CountryCode],Table1[[#This Row],[CountryCode]],Table1[z-score])</f>
        <v>-0.56629310735046812</v>
      </c>
      <c r="L10138" t="e">
        <f>VLOOKUP(Table1[[#This Row],[CountryCode]],[1]!Table1[#All],1,FALSE)</f>
        <v>#REF!</v>
      </c>
    </row>
    <row r="10139" spans="1:12" hidden="1" x14ac:dyDescent="0.3">
      <c r="A10139" t="s">
        <v>99</v>
      </c>
      <c r="B10139" t="s">
        <v>100</v>
      </c>
      <c r="C10139" t="s">
        <v>129</v>
      </c>
      <c r="D10139" t="s">
        <v>130</v>
      </c>
      <c r="E10139">
        <v>2018</v>
      </c>
      <c r="F10139" s="1">
        <v>75</v>
      </c>
      <c r="G10139">
        <v>2020</v>
      </c>
      <c r="H10139">
        <f>AVERAGEIFS(Table1[value],Table1[IndicatorCode],Table1[[#This Row],[IndicatorCode]])</f>
        <v>72.66514008620689</v>
      </c>
      <c r="I10139" cm="1">
        <f t="array" ref="I10139">_xlfn.STDEV.P(IF(Table1[IndicatorCode]=Table1[[#This Row],[IndicatorCode]],Table1[value]))</f>
        <v>6.3409496564024987</v>
      </c>
      <c r="J10139">
        <f>(Table1[[#This Row],[value]] - Table1[[#This Row],[mean]]) / Table1[[#This Row],[std_dev]]</f>
        <v>0.36821927949476574</v>
      </c>
      <c r="K10139">
        <f>AVERAGEIF(Table1[CountryCode],Table1[[#This Row],[CountryCode]],Table1[z-score])</f>
        <v>-0.56629310735046812</v>
      </c>
      <c r="L10139" t="e">
        <f>VLOOKUP(Table1[[#This Row],[CountryCode]],[1]!Table1[#All],1,FALSE)</f>
        <v>#REF!</v>
      </c>
    </row>
    <row r="10140" spans="1:12" hidden="1" x14ac:dyDescent="0.3">
      <c r="A10140" t="s">
        <v>99</v>
      </c>
      <c r="B10140" t="s">
        <v>100</v>
      </c>
      <c r="C10140" t="s">
        <v>129</v>
      </c>
      <c r="D10140" t="s">
        <v>130</v>
      </c>
      <c r="E10140">
        <v>2019</v>
      </c>
      <c r="F10140" s="1">
        <v>76</v>
      </c>
      <c r="G10140">
        <v>2020</v>
      </c>
      <c r="H10140">
        <f>AVERAGEIFS(Table1[value],Table1[IndicatorCode],Table1[[#This Row],[IndicatorCode]])</f>
        <v>72.66514008620689</v>
      </c>
      <c r="I10140" cm="1">
        <f t="array" ref="I10140">_xlfn.STDEV.P(IF(Table1[IndicatorCode]=Table1[[#This Row],[IndicatorCode]],Table1[value]))</f>
        <v>6.3409496564024987</v>
      </c>
      <c r="J10140">
        <f>(Table1[[#This Row],[value]] - Table1[[#This Row],[mean]]) / Table1[[#This Row],[std_dev]]</f>
        <v>0.52592436377820473</v>
      </c>
      <c r="K10140">
        <f>AVERAGEIF(Table1[CountryCode],Table1[[#This Row],[CountryCode]],Table1[z-score])</f>
        <v>-0.56629310735046812</v>
      </c>
      <c r="L10140" t="e">
        <f>VLOOKUP(Table1[[#This Row],[CountryCode]],[1]!Table1[#All],1,FALSE)</f>
        <v>#REF!</v>
      </c>
    </row>
    <row r="10141" spans="1:12" x14ac:dyDescent="0.3">
      <c r="A10141" t="s">
        <v>99</v>
      </c>
      <c r="B10141" t="s">
        <v>100</v>
      </c>
      <c r="C10141" t="s">
        <v>129</v>
      </c>
      <c r="D10141" t="s">
        <v>130</v>
      </c>
      <c r="E10141">
        <v>2020</v>
      </c>
      <c r="F10141" s="1">
        <v>74</v>
      </c>
      <c r="G10141">
        <v>2020</v>
      </c>
      <c r="H10141">
        <f>AVERAGEIFS(Table1[value],Table1[IndicatorCode],Table1[[#This Row],[IndicatorCode]])</f>
        <v>72.66514008620689</v>
      </c>
      <c r="I10141" cm="1">
        <f t="array" ref="I10141">_xlfn.STDEV.P(IF(Table1[IndicatorCode]=Table1[[#This Row],[IndicatorCode]],Table1[value]))</f>
        <v>6.3409496564024987</v>
      </c>
      <c r="J10141">
        <f>(Table1[[#This Row],[value]] - Table1[[#This Row],[mean]]) / Table1[[#This Row],[std_dev]]</f>
        <v>0.21051419521132667</v>
      </c>
      <c r="K10141">
        <f>AVERAGEIF(Table1[CountryCode],Table1[[#This Row],[CountryCode]],Table1[z-score])</f>
        <v>-0.56629310735046812</v>
      </c>
    </row>
    <row r="10142" spans="1:12" hidden="1" x14ac:dyDescent="0.3">
      <c r="A10142" t="s">
        <v>99</v>
      </c>
      <c r="B10142" t="s">
        <v>100</v>
      </c>
      <c r="C10142" t="s">
        <v>129</v>
      </c>
      <c r="D10142" t="s">
        <v>130</v>
      </c>
      <c r="E10142">
        <v>2021</v>
      </c>
      <c r="F10142" s="1">
        <v>73</v>
      </c>
      <c r="G10142">
        <v>1960</v>
      </c>
      <c r="H10142">
        <f>AVERAGEIFS(Table1[value],Table1[IndicatorCode],Table1[[#This Row],[IndicatorCode]])</f>
        <v>72.66514008620689</v>
      </c>
      <c r="I10142" cm="1">
        <f t="array" ref="I10142">_xlfn.STDEV.P(IF(Table1[IndicatorCode]=Table1[[#This Row],[IndicatorCode]],Table1[value]))</f>
        <v>6.3409496564024987</v>
      </c>
      <c r="J10142">
        <f>(Table1[[#This Row],[value]] - Table1[[#This Row],[mean]]) / Table1[[#This Row],[std_dev]]</f>
        <v>5.2809110927887599E-2</v>
      </c>
      <c r="K10142">
        <f>AVERAGEIF(Table1[CountryCode],Table1[[#This Row],[CountryCode]],Table1[z-score])</f>
        <v>-0.56629310735046812</v>
      </c>
      <c r="L10142" t="e">
        <f>VLOOKUP(Table1[[#This Row],[CountryCode]],[1]!Table1[#All],1,FALSE)</f>
        <v>#REF!</v>
      </c>
    </row>
    <row r="10143" spans="1:12" hidden="1" x14ac:dyDescent="0.3">
      <c r="A10143" t="s">
        <v>99</v>
      </c>
      <c r="B10143" t="s">
        <v>100</v>
      </c>
      <c r="C10143" t="s">
        <v>129</v>
      </c>
      <c r="D10143" t="s">
        <v>130</v>
      </c>
      <c r="E10143">
        <v>2022</v>
      </c>
      <c r="F10143" s="1">
        <v>75</v>
      </c>
      <c r="G10143">
        <v>1960</v>
      </c>
      <c r="H10143">
        <f>AVERAGEIFS(Table1[value],Table1[IndicatorCode],Table1[[#This Row],[IndicatorCode]])</f>
        <v>72.66514008620689</v>
      </c>
      <c r="I10143" cm="1">
        <f t="array" ref="I10143">_xlfn.STDEV.P(IF(Table1[IndicatorCode]=Table1[[#This Row],[IndicatorCode]],Table1[value]))</f>
        <v>6.3409496564024987</v>
      </c>
      <c r="J10143">
        <f>(Table1[[#This Row],[value]] - Table1[[#This Row],[mean]]) / Table1[[#This Row],[std_dev]]</f>
        <v>0.36821927949476574</v>
      </c>
      <c r="K10143">
        <f>AVERAGEIF(Table1[CountryCode],Table1[[#This Row],[CountryCode]],Table1[z-score])</f>
        <v>-0.56629310735046812</v>
      </c>
      <c r="L10143" t="e">
        <f>VLOOKUP(Table1[[#This Row],[CountryCode]],[1]!Table1[#All],1,FALSE)</f>
        <v>#REF!</v>
      </c>
    </row>
    <row r="10144" spans="1:12" hidden="1" x14ac:dyDescent="0.3">
      <c r="A10144" t="s">
        <v>99</v>
      </c>
      <c r="B10144" t="s">
        <v>100</v>
      </c>
      <c r="C10144" t="s">
        <v>129</v>
      </c>
      <c r="D10144" t="s">
        <v>130</v>
      </c>
      <c r="E10144">
        <v>2023</v>
      </c>
      <c r="F10144" s="1">
        <v>77</v>
      </c>
      <c r="G10144">
        <v>1960</v>
      </c>
      <c r="H10144">
        <f>AVERAGEIFS(Table1[value],Table1[IndicatorCode],Table1[[#This Row],[IndicatorCode]])</f>
        <v>72.66514008620689</v>
      </c>
      <c r="I10144" cm="1">
        <f t="array" ref="I10144">_xlfn.STDEV.P(IF(Table1[IndicatorCode]=Table1[[#This Row],[IndicatorCode]],Table1[value]))</f>
        <v>6.3409496564024987</v>
      </c>
      <c r="J10144">
        <f>(Table1[[#This Row],[value]] - Table1[[#This Row],[mean]]) / Table1[[#This Row],[std_dev]]</f>
        <v>0.68362944806164383</v>
      </c>
      <c r="K10144">
        <f>AVERAGEIF(Table1[CountryCode],Table1[[#This Row],[CountryCode]],Table1[z-score])</f>
        <v>-0.56629310735046812</v>
      </c>
      <c r="L10144" t="e">
        <f>VLOOKUP(Table1[[#This Row],[CountryCode]],[1]!Table1[#All],1,FALSE)</f>
        <v>#REF!</v>
      </c>
    </row>
    <row r="10145" spans="1:12" hidden="1" x14ac:dyDescent="0.3">
      <c r="A10145" t="s">
        <v>101</v>
      </c>
      <c r="B10145" t="s">
        <v>102</v>
      </c>
      <c r="C10145" t="s">
        <v>129</v>
      </c>
      <c r="D10145" t="s">
        <v>130</v>
      </c>
      <c r="E10145">
        <v>1960</v>
      </c>
      <c r="F10145" s="1">
        <v>68</v>
      </c>
      <c r="G10145">
        <v>1960</v>
      </c>
      <c r="H10145">
        <f>AVERAGEIFS(Table1[value],Table1[IndicatorCode],Table1[[#This Row],[IndicatorCode]])</f>
        <v>72.66514008620689</v>
      </c>
      <c r="I10145" cm="1">
        <f t="array" ref="I10145">_xlfn.STDEV.P(IF(Table1[IndicatorCode]=Table1[[#This Row],[IndicatorCode]],Table1[value]))</f>
        <v>6.3409496564024987</v>
      </c>
      <c r="J10145">
        <f>(Table1[[#This Row],[value]] - Table1[[#This Row],[mean]]) / Table1[[#This Row],[std_dev]]</f>
        <v>-0.73571631048930775</v>
      </c>
      <c r="K10145">
        <f>AVERAGEIF(Table1[CountryCode],Table1[[#This Row],[CountryCode]],Table1[z-score])</f>
        <v>-0.17256201820971051</v>
      </c>
      <c r="L10145" t="e">
        <f>VLOOKUP(Table1[[#This Row],[CountryCode]],[1]!Table1[#All],1,FALSE)</f>
        <v>#REF!</v>
      </c>
    </row>
    <row r="10146" spans="1:12" hidden="1" x14ac:dyDescent="0.3">
      <c r="A10146" t="s">
        <v>101</v>
      </c>
      <c r="B10146" t="s">
        <v>102</v>
      </c>
      <c r="C10146" t="s">
        <v>129</v>
      </c>
      <c r="D10146" t="s">
        <v>130</v>
      </c>
      <c r="E10146">
        <v>1961</v>
      </c>
      <c r="F10146" s="1">
        <v>68</v>
      </c>
      <c r="G10146">
        <v>1960</v>
      </c>
      <c r="H10146">
        <f>AVERAGEIFS(Table1[value],Table1[IndicatorCode],Table1[[#This Row],[IndicatorCode]])</f>
        <v>72.66514008620689</v>
      </c>
      <c r="I10146" cm="1">
        <f t="array" ref="I10146">_xlfn.STDEV.P(IF(Table1[IndicatorCode]=Table1[[#This Row],[IndicatorCode]],Table1[value]))</f>
        <v>6.3409496564024987</v>
      </c>
      <c r="J10146">
        <f>(Table1[[#This Row],[value]] - Table1[[#This Row],[mean]]) / Table1[[#This Row],[std_dev]]</f>
        <v>-0.73571631048930775</v>
      </c>
      <c r="K10146">
        <f>AVERAGEIF(Table1[CountryCode],Table1[[#This Row],[CountryCode]],Table1[z-score])</f>
        <v>-0.17256201820971051</v>
      </c>
      <c r="L10146" t="e">
        <f>VLOOKUP(Table1[[#This Row],[CountryCode]],[1]!Table1[#All],1,FALSE)</f>
        <v>#REF!</v>
      </c>
    </row>
    <row r="10147" spans="1:12" hidden="1" x14ac:dyDescent="0.3">
      <c r="A10147" t="s">
        <v>101</v>
      </c>
      <c r="B10147" t="s">
        <v>102</v>
      </c>
      <c r="C10147" t="s">
        <v>129</v>
      </c>
      <c r="D10147" t="s">
        <v>130</v>
      </c>
      <c r="E10147">
        <v>1962</v>
      </c>
      <c r="F10147" s="1">
        <v>68</v>
      </c>
      <c r="G10147">
        <v>1960</v>
      </c>
      <c r="H10147">
        <f>AVERAGEIFS(Table1[value],Table1[IndicatorCode],Table1[[#This Row],[IndicatorCode]])</f>
        <v>72.66514008620689</v>
      </c>
      <c r="I10147" cm="1">
        <f t="array" ref="I10147">_xlfn.STDEV.P(IF(Table1[IndicatorCode]=Table1[[#This Row],[IndicatorCode]],Table1[value]))</f>
        <v>6.3409496564024987</v>
      </c>
      <c r="J10147">
        <f>(Table1[[#This Row],[value]] - Table1[[#This Row],[mean]]) / Table1[[#This Row],[std_dev]]</f>
        <v>-0.73571631048930775</v>
      </c>
      <c r="K10147">
        <f>AVERAGEIF(Table1[CountryCode],Table1[[#This Row],[CountryCode]],Table1[z-score])</f>
        <v>-0.17256201820971051</v>
      </c>
      <c r="L10147" t="e">
        <f>VLOOKUP(Table1[[#This Row],[CountryCode]],[1]!Table1[#All],1,FALSE)</f>
        <v>#REF!</v>
      </c>
    </row>
    <row r="10148" spans="1:12" hidden="1" x14ac:dyDescent="0.3">
      <c r="A10148" t="s">
        <v>101</v>
      </c>
      <c r="B10148" t="s">
        <v>102</v>
      </c>
      <c r="C10148" t="s">
        <v>129</v>
      </c>
      <c r="D10148" t="s">
        <v>130</v>
      </c>
      <c r="E10148">
        <v>1963</v>
      </c>
      <c r="F10148" s="1">
        <v>68</v>
      </c>
      <c r="G10148">
        <v>1960</v>
      </c>
      <c r="H10148">
        <f>AVERAGEIFS(Table1[value],Table1[IndicatorCode],Table1[[#This Row],[IndicatorCode]])</f>
        <v>72.66514008620689</v>
      </c>
      <c r="I10148" cm="1">
        <f t="array" ref="I10148">_xlfn.STDEV.P(IF(Table1[IndicatorCode]=Table1[[#This Row],[IndicatorCode]],Table1[value]))</f>
        <v>6.3409496564024987</v>
      </c>
      <c r="J10148">
        <f>(Table1[[#This Row],[value]] - Table1[[#This Row],[mean]]) / Table1[[#This Row],[std_dev]]</f>
        <v>-0.73571631048930775</v>
      </c>
      <c r="K10148">
        <f>AVERAGEIF(Table1[CountryCode],Table1[[#This Row],[CountryCode]],Table1[z-score])</f>
        <v>-0.17256201820971051</v>
      </c>
      <c r="L10148" t="e">
        <f>VLOOKUP(Table1[[#This Row],[CountryCode]],[1]!Table1[#All],1,FALSE)</f>
        <v>#REF!</v>
      </c>
    </row>
    <row r="10149" spans="1:12" hidden="1" x14ac:dyDescent="0.3">
      <c r="A10149" t="s">
        <v>101</v>
      </c>
      <c r="B10149" t="s">
        <v>102</v>
      </c>
      <c r="C10149" t="s">
        <v>129</v>
      </c>
      <c r="D10149" t="s">
        <v>130</v>
      </c>
      <c r="E10149">
        <v>1964</v>
      </c>
      <c r="F10149" s="1">
        <v>69</v>
      </c>
      <c r="G10149">
        <v>1960</v>
      </c>
      <c r="H10149">
        <f>AVERAGEIFS(Table1[value],Table1[IndicatorCode],Table1[[#This Row],[IndicatorCode]])</f>
        <v>72.66514008620689</v>
      </c>
      <c r="I10149" cm="1">
        <f t="array" ref="I10149">_xlfn.STDEV.P(IF(Table1[IndicatorCode]=Table1[[#This Row],[IndicatorCode]],Table1[value]))</f>
        <v>6.3409496564024987</v>
      </c>
      <c r="J10149">
        <f>(Table1[[#This Row],[value]] - Table1[[#This Row],[mean]]) / Table1[[#This Row],[std_dev]]</f>
        <v>-0.57801122620586864</v>
      </c>
      <c r="K10149">
        <f>AVERAGEIF(Table1[CountryCode],Table1[[#This Row],[CountryCode]],Table1[z-score])</f>
        <v>-0.17256201820971051</v>
      </c>
      <c r="L10149" t="e">
        <f>VLOOKUP(Table1[[#This Row],[CountryCode]],[1]!Table1[#All],1,FALSE)</f>
        <v>#REF!</v>
      </c>
    </row>
    <row r="10150" spans="1:12" hidden="1" x14ac:dyDescent="0.3">
      <c r="A10150" t="s">
        <v>101</v>
      </c>
      <c r="B10150" t="s">
        <v>102</v>
      </c>
      <c r="C10150" t="s">
        <v>129</v>
      </c>
      <c r="D10150" t="s">
        <v>130</v>
      </c>
      <c r="E10150">
        <v>1965</v>
      </c>
      <c r="F10150" s="1">
        <v>69</v>
      </c>
      <c r="G10150">
        <v>1960</v>
      </c>
      <c r="H10150">
        <f>AVERAGEIFS(Table1[value],Table1[IndicatorCode],Table1[[#This Row],[IndicatorCode]])</f>
        <v>72.66514008620689</v>
      </c>
      <c r="I10150" cm="1">
        <f t="array" ref="I10150">_xlfn.STDEV.P(IF(Table1[IndicatorCode]=Table1[[#This Row],[IndicatorCode]],Table1[value]))</f>
        <v>6.3409496564024987</v>
      </c>
      <c r="J10150">
        <f>(Table1[[#This Row],[value]] - Table1[[#This Row],[mean]]) / Table1[[#This Row],[std_dev]]</f>
        <v>-0.57801122620586864</v>
      </c>
      <c r="K10150">
        <f>AVERAGEIF(Table1[CountryCode],Table1[[#This Row],[CountryCode]],Table1[z-score])</f>
        <v>-0.17256201820971051</v>
      </c>
      <c r="L10150" t="e">
        <f>VLOOKUP(Table1[[#This Row],[CountryCode]],[1]!Table1[#All],1,FALSE)</f>
        <v>#REF!</v>
      </c>
    </row>
    <row r="10151" spans="1:12" hidden="1" x14ac:dyDescent="0.3">
      <c r="A10151" t="s">
        <v>101</v>
      </c>
      <c r="B10151" t="s">
        <v>102</v>
      </c>
      <c r="C10151" t="s">
        <v>129</v>
      </c>
      <c r="D10151" t="s">
        <v>130</v>
      </c>
      <c r="E10151">
        <v>1966</v>
      </c>
      <c r="F10151" s="1">
        <v>69</v>
      </c>
      <c r="G10151">
        <v>1960</v>
      </c>
      <c r="H10151">
        <f>AVERAGEIFS(Table1[value],Table1[IndicatorCode],Table1[[#This Row],[IndicatorCode]])</f>
        <v>72.66514008620689</v>
      </c>
      <c r="I10151" cm="1">
        <f t="array" ref="I10151">_xlfn.STDEV.P(IF(Table1[IndicatorCode]=Table1[[#This Row],[IndicatorCode]],Table1[value]))</f>
        <v>6.3409496564024987</v>
      </c>
      <c r="J10151">
        <f>(Table1[[#This Row],[value]] - Table1[[#This Row],[mean]]) / Table1[[#This Row],[std_dev]]</f>
        <v>-0.57801122620586864</v>
      </c>
      <c r="K10151">
        <f>AVERAGEIF(Table1[CountryCode],Table1[[#This Row],[CountryCode]],Table1[z-score])</f>
        <v>-0.17256201820971051</v>
      </c>
      <c r="L10151" t="e">
        <f>VLOOKUP(Table1[[#This Row],[CountryCode]],[1]!Table1[#All],1,FALSE)</f>
        <v>#REF!</v>
      </c>
    </row>
    <row r="10152" spans="1:12" hidden="1" x14ac:dyDescent="0.3">
      <c r="A10152" t="s">
        <v>101</v>
      </c>
      <c r="B10152" t="s">
        <v>102</v>
      </c>
      <c r="C10152" t="s">
        <v>129</v>
      </c>
      <c r="D10152" t="s">
        <v>130</v>
      </c>
      <c r="E10152">
        <v>1967</v>
      </c>
      <c r="F10152" s="1">
        <v>68</v>
      </c>
      <c r="G10152">
        <v>1970</v>
      </c>
      <c r="H10152">
        <f>AVERAGEIFS(Table1[value],Table1[IndicatorCode],Table1[[#This Row],[IndicatorCode]])</f>
        <v>72.66514008620689</v>
      </c>
      <c r="I10152" cm="1">
        <f t="array" ref="I10152">_xlfn.STDEV.P(IF(Table1[IndicatorCode]=Table1[[#This Row],[IndicatorCode]],Table1[value]))</f>
        <v>6.3409496564024987</v>
      </c>
      <c r="J10152">
        <f>(Table1[[#This Row],[value]] - Table1[[#This Row],[mean]]) / Table1[[#This Row],[std_dev]]</f>
        <v>-0.73571631048930775</v>
      </c>
      <c r="K10152">
        <f>AVERAGEIF(Table1[CountryCode],Table1[[#This Row],[CountryCode]],Table1[z-score])</f>
        <v>-0.17256201820971051</v>
      </c>
      <c r="L10152" t="e">
        <f>VLOOKUP(Table1[[#This Row],[CountryCode]],[1]!Table1[#All],1,FALSE)</f>
        <v>#REF!</v>
      </c>
    </row>
    <row r="10153" spans="1:12" hidden="1" x14ac:dyDescent="0.3">
      <c r="A10153" t="s">
        <v>101</v>
      </c>
      <c r="B10153" t="s">
        <v>102</v>
      </c>
      <c r="C10153" t="s">
        <v>129</v>
      </c>
      <c r="D10153" t="s">
        <v>130</v>
      </c>
      <c r="E10153">
        <v>1968</v>
      </c>
      <c r="F10153" s="1">
        <v>68</v>
      </c>
      <c r="G10153">
        <v>1970</v>
      </c>
      <c r="H10153">
        <f>AVERAGEIFS(Table1[value],Table1[IndicatorCode],Table1[[#This Row],[IndicatorCode]])</f>
        <v>72.66514008620689</v>
      </c>
      <c r="I10153" cm="1">
        <f t="array" ref="I10153">_xlfn.STDEV.P(IF(Table1[IndicatorCode]=Table1[[#This Row],[IndicatorCode]],Table1[value]))</f>
        <v>6.3409496564024987</v>
      </c>
      <c r="J10153">
        <f>(Table1[[#This Row],[value]] - Table1[[#This Row],[mean]]) / Table1[[#This Row],[std_dev]]</f>
        <v>-0.73571631048930775</v>
      </c>
      <c r="K10153">
        <f>AVERAGEIF(Table1[CountryCode],Table1[[#This Row],[CountryCode]],Table1[z-score])</f>
        <v>-0.17256201820971051</v>
      </c>
      <c r="L10153" t="e">
        <f>VLOOKUP(Table1[[#This Row],[CountryCode]],[1]!Table1[#All],1,FALSE)</f>
        <v>#REF!</v>
      </c>
    </row>
    <row r="10154" spans="1:12" hidden="1" x14ac:dyDescent="0.3">
      <c r="A10154" t="s">
        <v>101</v>
      </c>
      <c r="B10154" t="s">
        <v>102</v>
      </c>
      <c r="C10154" t="s">
        <v>129</v>
      </c>
      <c r="D10154" t="s">
        <v>130</v>
      </c>
      <c r="E10154">
        <v>1969</v>
      </c>
      <c r="F10154" s="1">
        <v>68</v>
      </c>
      <c r="G10154">
        <v>1970</v>
      </c>
      <c r="H10154">
        <f>AVERAGEIFS(Table1[value],Table1[IndicatorCode],Table1[[#This Row],[IndicatorCode]])</f>
        <v>72.66514008620689</v>
      </c>
      <c r="I10154" cm="1">
        <f t="array" ref="I10154">_xlfn.STDEV.P(IF(Table1[IndicatorCode]=Table1[[#This Row],[IndicatorCode]],Table1[value]))</f>
        <v>6.3409496564024987</v>
      </c>
      <c r="J10154">
        <f>(Table1[[#This Row],[value]] - Table1[[#This Row],[mean]]) / Table1[[#This Row],[std_dev]]</f>
        <v>-0.73571631048930775</v>
      </c>
      <c r="K10154">
        <f>AVERAGEIF(Table1[CountryCode],Table1[[#This Row],[CountryCode]],Table1[z-score])</f>
        <v>-0.17256201820971051</v>
      </c>
      <c r="L10154" t="e">
        <f>VLOOKUP(Table1[[#This Row],[CountryCode]],[1]!Table1[#All],1,FALSE)</f>
        <v>#REF!</v>
      </c>
    </row>
    <row r="10155" spans="1:12" hidden="1" x14ac:dyDescent="0.3">
      <c r="A10155" t="s">
        <v>101</v>
      </c>
      <c r="B10155" t="s">
        <v>102</v>
      </c>
      <c r="C10155" t="s">
        <v>129</v>
      </c>
      <c r="D10155" t="s">
        <v>130</v>
      </c>
      <c r="E10155">
        <v>1970</v>
      </c>
      <c r="F10155" s="1">
        <v>68</v>
      </c>
      <c r="G10155">
        <v>1970</v>
      </c>
      <c r="H10155">
        <f>AVERAGEIFS(Table1[value],Table1[IndicatorCode],Table1[[#This Row],[IndicatorCode]])</f>
        <v>72.66514008620689</v>
      </c>
      <c r="I10155" cm="1">
        <f t="array" ref="I10155">_xlfn.STDEV.P(IF(Table1[IndicatorCode]=Table1[[#This Row],[IndicatorCode]],Table1[value]))</f>
        <v>6.3409496564024987</v>
      </c>
      <c r="J10155">
        <f>(Table1[[#This Row],[value]] - Table1[[#This Row],[mean]]) / Table1[[#This Row],[std_dev]]</f>
        <v>-0.73571631048930775</v>
      </c>
      <c r="K10155">
        <f>AVERAGEIF(Table1[CountryCode],Table1[[#This Row],[CountryCode]],Table1[z-score])</f>
        <v>-0.17256201820971051</v>
      </c>
      <c r="L10155" t="e">
        <f>VLOOKUP(Table1[[#This Row],[CountryCode]],[1]!Table1[#All],1,FALSE)</f>
        <v>#REF!</v>
      </c>
    </row>
    <row r="10156" spans="1:12" hidden="1" x14ac:dyDescent="0.3">
      <c r="A10156" t="s">
        <v>101</v>
      </c>
      <c r="B10156" t="s">
        <v>102</v>
      </c>
      <c r="C10156" t="s">
        <v>129</v>
      </c>
      <c r="D10156" t="s">
        <v>130</v>
      </c>
      <c r="E10156">
        <v>1971</v>
      </c>
      <c r="F10156" s="1">
        <v>68</v>
      </c>
      <c r="G10156">
        <v>1970</v>
      </c>
      <c r="H10156">
        <f>AVERAGEIFS(Table1[value],Table1[IndicatorCode],Table1[[#This Row],[IndicatorCode]])</f>
        <v>72.66514008620689</v>
      </c>
      <c r="I10156" cm="1">
        <f t="array" ref="I10156">_xlfn.STDEV.P(IF(Table1[IndicatorCode]=Table1[[#This Row],[IndicatorCode]],Table1[value]))</f>
        <v>6.3409496564024987</v>
      </c>
      <c r="J10156">
        <f>(Table1[[#This Row],[value]] - Table1[[#This Row],[mean]]) / Table1[[#This Row],[std_dev]]</f>
        <v>-0.73571631048930775</v>
      </c>
      <c r="K10156">
        <f>AVERAGEIF(Table1[CountryCode],Table1[[#This Row],[CountryCode]],Table1[z-score])</f>
        <v>-0.17256201820971051</v>
      </c>
      <c r="L10156" t="e">
        <f>VLOOKUP(Table1[[#This Row],[CountryCode]],[1]!Table1[#All],1,FALSE)</f>
        <v>#REF!</v>
      </c>
    </row>
    <row r="10157" spans="1:12" hidden="1" x14ac:dyDescent="0.3">
      <c r="A10157" t="s">
        <v>101</v>
      </c>
      <c r="B10157" t="s">
        <v>102</v>
      </c>
      <c r="C10157" t="s">
        <v>129</v>
      </c>
      <c r="D10157" t="s">
        <v>130</v>
      </c>
      <c r="E10157">
        <v>1972</v>
      </c>
      <c r="F10157" s="1">
        <v>68</v>
      </c>
      <c r="G10157">
        <v>1970</v>
      </c>
      <c r="H10157">
        <f>AVERAGEIFS(Table1[value],Table1[IndicatorCode],Table1[[#This Row],[IndicatorCode]])</f>
        <v>72.66514008620689</v>
      </c>
      <c r="I10157" cm="1">
        <f t="array" ref="I10157">_xlfn.STDEV.P(IF(Table1[IndicatorCode]=Table1[[#This Row],[IndicatorCode]],Table1[value]))</f>
        <v>6.3409496564024987</v>
      </c>
      <c r="J10157">
        <f>(Table1[[#This Row],[value]] - Table1[[#This Row],[mean]]) / Table1[[#This Row],[std_dev]]</f>
        <v>-0.73571631048930775</v>
      </c>
      <c r="K10157">
        <f>AVERAGEIF(Table1[CountryCode],Table1[[#This Row],[CountryCode]],Table1[z-score])</f>
        <v>-0.17256201820971051</v>
      </c>
      <c r="L10157" t="e">
        <f>VLOOKUP(Table1[[#This Row],[CountryCode]],[1]!Table1[#All],1,FALSE)</f>
        <v>#REF!</v>
      </c>
    </row>
    <row r="10158" spans="1:12" hidden="1" x14ac:dyDescent="0.3">
      <c r="A10158" t="s">
        <v>101</v>
      </c>
      <c r="B10158" t="s">
        <v>102</v>
      </c>
      <c r="C10158" t="s">
        <v>129</v>
      </c>
      <c r="D10158" t="s">
        <v>130</v>
      </c>
      <c r="E10158">
        <v>1973</v>
      </c>
      <c r="F10158" s="1">
        <v>68</v>
      </c>
      <c r="G10158">
        <v>1970</v>
      </c>
      <c r="H10158">
        <f>AVERAGEIFS(Table1[value],Table1[IndicatorCode],Table1[[#This Row],[IndicatorCode]])</f>
        <v>72.66514008620689</v>
      </c>
      <c r="I10158" cm="1">
        <f t="array" ref="I10158">_xlfn.STDEV.P(IF(Table1[IndicatorCode]=Table1[[#This Row],[IndicatorCode]],Table1[value]))</f>
        <v>6.3409496564024987</v>
      </c>
      <c r="J10158">
        <f>(Table1[[#This Row],[value]] - Table1[[#This Row],[mean]]) / Table1[[#This Row],[std_dev]]</f>
        <v>-0.73571631048930775</v>
      </c>
      <c r="K10158">
        <f>AVERAGEIF(Table1[CountryCode],Table1[[#This Row],[CountryCode]],Table1[z-score])</f>
        <v>-0.17256201820971051</v>
      </c>
      <c r="L10158" t="e">
        <f>VLOOKUP(Table1[[#This Row],[CountryCode]],[1]!Table1[#All],1,FALSE)</f>
        <v>#REF!</v>
      </c>
    </row>
    <row r="10159" spans="1:12" hidden="1" x14ac:dyDescent="0.3">
      <c r="A10159" t="s">
        <v>101</v>
      </c>
      <c r="B10159" t="s">
        <v>102</v>
      </c>
      <c r="C10159" t="s">
        <v>129</v>
      </c>
      <c r="D10159" t="s">
        <v>130</v>
      </c>
      <c r="E10159">
        <v>1974</v>
      </c>
      <c r="F10159" s="1">
        <v>68</v>
      </c>
      <c r="G10159">
        <v>1970</v>
      </c>
      <c r="H10159">
        <f>AVERAGEIFS(Table1[value],Table1[IndicatorCode],Table1[[#This Row],[IndicatorCode]])</f>
        <v>72.66514008620689</v>
      </c>
      <c r="I10159" cm="1">
        <f t="array" ref="I10159">_xlfn.STDEV.P(IF(Table1[IndicatorCode]=Table1[[#This Row],[IndicatorCode]],Table1[value]))</f>
        <v>6.3409496564024987</v>
      </c>
      <c r="J10159">
        <f>(Table1[[#This Row],[value]] - Table1[[#This Row],[mean]]) / Table1[[#This Row],[std_dev]]</f>
        <v>-0.73571631048930775</v>
      </c>
      <c r="K10159">
        <f>AVERAGEIF(Table1[CountryCode],Table1[[#This Row],[CountryCode]],Table1[z-score])</f>
        <v>-0.17256201820971051</v>
      </c>
      <c r="L10159" t="e">
        <f>VLOOKUP(Table1[[#This Row],[CountryCode]],[1]!Table1[#All],1,FALSE)</f>
        <v>#REF!</v>
      </c>
    </row>
    <row r="10160" spans="1:12" hidden="1" x14ac:dyDescent="0.3">
      <c r="A10160" t="s">
        <v>101</v>
      </c>
      <c r="B10160" t="s">
        <v>102</v>
      </c>
      <c r="C10160" t="s">
        <v>129</v>
      </c>
      <c r="D10160" t="s">
        <v>130</v>
      </c>
      <c r="E10160">
        <v>1975</v>
      </c>
      <c r="F10160" s="1">
        <v>68</v>
      </c>
      <c r="G10160">
        <v>1970</v>
      </c>
      <c r="H10160">
        <f>AVERAGEIFS(Table1[value],Table1[IndicatorCode],Table1[[#This Row],[IndicatorCode]])</f>
        <v>72.66514008620689</v>
      </c>
      <c r="I10160" cm="1">
        <f t="array" ref="I10160">_xlfn.STDEV.P(IF(Table1[IndicatorCode]=Table1[[#This Row],[IndicatorCode]],Table1[value]))</f>
        <v>6.3409496564024987</v>
      </c>
      <c r="J10160">
        <f>(Table1[[#This Row],[value]] - Table1[[#This Row],[mean]]) / Table1[[#This Row],[std_dev]]</f>
        <v>-0.73571631048930775</v>
      </c>
      <c r="K10160">
        <f>AVERAGEIF(Table1[CountryCode],Table1[[#This Row],[CountryCode]],Table1[z-score])</f>
        <v>-0.17256201820971051</v>
      </c>
      <c r="L10160" t="e">
        <f>VLOOKUP(Table1[[#This Row],[CountryCode]],[1]!Table1[#All],1,FALSE)</f>
        <v>#REF!</v>
      </c>
    </row>
    <row r="10161" spans="1:12" hidden="1" x14ac:dyDescent="0.3">
      <c r="A10161" t="s">
        <v>101</v>
      </c>
      <c r="B10161" t="s">
        <v>102</v>
      </c>
      <c r="C10161" t="s">
        <v>129</v>
      </c>
      <c r="D10161" t="s">
        <v>130</v>
      </c>
      <c r="E10161">
        <v>1976</v>
      </c>
      <c r="F10161" s="1">
        <v>67</v>
      </c>
      <c r="G10161">
        <v>1970</v>
      </c>
      <c r="H10161">
        <f>AVERAGEIFS(Table1[value],Table1[IndicatorCode],Table1[[#This Row],[IndicatorCode]])</f>
        <v>72.66514008620689</v>
      </c>
      <c r="I10161" cm="1">
        <f t="array" ref="I10161">_xlfn.STDEV.P(IF(Table1[IndicatorCode]=Table1[[#This Row],[IndicatorCode]],Table1[value]))</f>
        <v>6.3409496564024987</v>
      </c>
      <c r="J10161">
        <f>(Table1[[#This Row],[value]] - Table1[[#This Row],[mean]]) / Table1[[#This Row],[std_dev]]</f>
        <v>-0.89342139477274674</v>
      </c>
      <c r="K10161">
        <f>AVERAGEIF(Table1[CountryCode],Table1[[#This Row],[CountryCode]],Table1[z-score])</f>
        <v>-0.17256201820971051</v>
      </c>
      <c r="L10161" t="e">
        <f>VLOOKUP(Table1[[#This Row],[CountryCode]],[1]!Table1[#All],1,FALSE)</f>
        <v>#REF!</v>
      </c>
    </row>
    <row r="10162" spans="1:12" hidden="1" x14ac:dyDescent="0.3">
      <c r="A10162" t="s">
        <v>101</v>
      </c>
      <c r="B10162" t="s">
        <v>102</v>
      </c>
      <c r="C10162" t="s">
        <v>129</v>
      </c>
      <c r="D10162" t="s">
        <v>130</v>
      </c>
      <c r="E10162">
        <v>1977</v>
      </c>
      <c r="F10162" s="1">
        <v>67</v>
      </c>
      <c r="G10162">
        <v>1980</v>
      </c>
      <c r="H10162">
        <f>AVERAGEIFS(Table1[value],Table1[IndicatorCode],Table1[[#This Row],[IndicatorCode]])</f>
        <v>72.66514008620689</v>
      </c>
      <c r="I10162" cm="1">
        <f t="array" ref="I10162">_xlfn.STDEV.P(IF(Table1[IndicatorCode]=Table1[[#This Row],[IndicatorCode]],Table1[value]))</f>
        <v>6.3409496564024987</v>
      </c>
      <c r="J10162">
        <f>(Table1[[#This Row],[value]] - Table1[[#This Row],[mean]]) / Table1[[#This Row],[std_dev]]</f>
        <v>-0.89342139477274674</v>
      </c>
      <c r="K10162">
        <f>AVERAGEIF(Table1[CountryCode],Table1[[#This Row],[CountryCode]],Table1[z-score])</f>
        <v>-0.17256201820971051</v>
      </c>
      <c r="L10162" t="e">
        <f>VLOOKUP(Table1[[#This Row],[CountryCode]],[1]!Table1[#All],1,FALSE)</f>
        <v>#REF!</v>
      </c>
    </row>
    <row r="10163" spans="1:12" hidden="1" x14ac:dyDescent="0.3">
      <c r="A10163" t="s">
        <v>101</v>
      </c>
      <c r="B10163" t="s">
        <v>102</v>
      </c>
      <c r="C10163" t="s">
        <v>129</v>
      </c>
      <c r="D10163" t="s">
        <v>130</v>
      </c>
      <c r="E10163">
        <v>1978</v>
      </c>
      <c r="F10163" s="1">
        <v>67</v>
      </c>
      <c r="G10163">
        <v>1980</v>
      </c>
      <c r="H10163">
        <f>AVERAGEIFS(Table1[value],Table1[IndicatorCode],Table1[[#This Row],[IndicatorCode]])</f>
        <v>72.66514008620689</v>
      </c>
      <c r="I10163" cm="1">
        <f t="array" ref="I10163">_xlfn.STDEV.P(IF(Table1[IndicatorCode]=Table1[[#This Row],[IndicatorCode]],Table1[value]))</f>
        <v>6.3409496564024987</v>
      </c>
      <c r="J10163">
        <f>(Table1[[#This Row],[value]] - Table1[[#This Row],[mean]]) / Table1[[#This Row],[std_dev]]</f>
        <v>-0.89342139477274674</v>
      </c>
      <c r="K10163">
        <f>AVERAGEIF(Table1[CountryCode],Table1[[#This Row],[CountryCode]],Table1[z-score])</f>
        <v>-0.17256201820971051</v>
      </c>
      <c r="L10163" t="e">
        <f>VLOOKUP(Table1[[#This Row],[CountryCode]],[1]!Table1[#All],1,FALSE)</f>
        <v>#REF!</v>
      </c>
    </row>
    <row r="10164" spans="1:12" hidden="1" x14ac:dyDescent="0.3">
      <c r="A10164" t="s">
        <v>101</v>
      </c>
      <c r="B10164" t="s">
        <v>102</v>
      </c>
      <c r="C10164" t="s">
        <v>129</v>
      </c>
      <c r="D10164" t="s">
        <v>130</v>
      </c>
      <c r="E10164">
        <v>1979</v>
      </c>
      <c r="F10164" s="1">
        <v>67</v>
      </c>
      <c r="G10164">
        <v>1980</v>
      </c>
      <c r="H10164">
        <f>AVERAGEIFS(Table1[value],Table1[IndicatorCode],Table1[[#This Row],[IndicatorCode]])</f>
        <v>72.66514008620689</v>
      </c>
      <c r="I10164" cm="1">
        <f t="array" ref="I10164">_xlfn.STDEV.P(IF(Table1[IndicatorCode]=Table1[[#This Row],[IndicatorCode]],Table1[value]))</f>
        <v>6.3409496564024987</v>
      </c>
      <c r="J10164">
        <f>(Table1[[#This Row],[value]] - Table1[[#This Row],[mean]]) / Table1[[#This Row],[std_dev]]</f>
        <v>-0.89342139477274674</v>
      </c>
      <c r="K10164">
        <f>AVERAGEIF(Table1[CountryCode],Table1[[#This Row],[CountryCode]],Table1[z-score])</f>
        <v>-0.17256201820971051</v>
      </c>
      <c r="L10164" t="e">
        <f>VLOOKUP(Table1[[#This Row],[CountryCode]],[1]!Table1[#All],1,FALSE)</f>
        <v>#REF!</v>
      </c>
    </row>
    <row r="10165" spans="1:12" hidden="1" x14ac:dyDescent="0.3">
      <c r="A10165" t="s">
        <v>101</v>
      </c>
      <c r="B10165" t="s">
        <v>102</v>
      </c>
      <c r="C10165" t="s">
        <v>129</v>
      </c>
      <c r="D10165" t="s">
        <v>130</v>
      </c>
      <c r="E10165">
        <v>1980</v>
      </c>
      <c r="F10165" s="1">
        <v>67</v>
      </c>
      <c r="G10165">
        <v>1980</v>
      </c>
      <c r="H10165">
        <f>AVERAGEIFS(Table1[value],Table1[IndicatorCode],Table1[[#This Row],[IndicatorCode]])</f>
        <v>72.66514008620689</v>
      </c>
      <c r="I10165" cm="1">
        <f t="array" ref="I10165">_xlfn.STDEV.P(IF(Table1[IndicatorCode]=Table1[[#This Row],[IndicatorCode]],Table1[value]))</f>
        <v>6.3409496564024987</v>
      </c>
      <c r="J10165">
        <f>(Table1[[#This Row],[value]] - Table1[[#This Row],[mean]]) / Table1[[#This Row],[std_dev]]</f>
        <v>-0.89342139477274674</v>
      </c>
      <c r="K10165">
        <f>AVERAGEIF(Table1[CountryCode],Table1[[#This Row],[CountryCode]],Table1[z-score])</f>
        <v>-0.17256201820971051</v>
      </c>
      <c r="L10165" t="e">
        <f>VLOOKUP(Table1[[#This Row],[CountryCode]],[1]!Table1[#All],1,FALSE)</f>
        <v>#REF!</v>
      </c>
    </row>
    <row r="10166" spans="1:12" hidden="1" x14ac:dyDescent="0.3">
      <c r="A10166" t="s">
        <v>101</v>
      </c>
      <c r="B10166" t="s">
        <v>102</v>
      </c>
      <c r="C10166" t="s">
        <v>129</v>
      </c>
      <c r="D10166" t="s">
        <v>130</v>
      </c>
      <c r="E10166">
        <v>1981</v>
      </c>
      <c r="F10166" s="1">
        <v>67</v>
      </c>
      <c r="G10166">
        <v>1980</v>
      </c>
      <c r="H10166">
        <f>AVERAGEIFS(Table1[value],Table1[IndicatorCode],Table1[[#This Row],[IndicatorCode]])</f>
        <v>72.66514008620689</v>
      </c>
      <c r="I10166" cm="1">
        <f t="array" ref="I10166">_xlfn.STDEV.P(IF(Table1[IndicatorCode]=Table1[[#This Row],[IndicatorCode]],Table1[value]))</f>
        <v>6.3409496564024987</v>
      </c>
      <c r="J10166">
        <f>(Table1[[#This Row],[value]] - Table1[[#This Row],[mean]]) / Table1[[#This Row],[std_dev]]</f>
        <v>-0.89342139477274674</v>
      </c>
      <c r="K10166">
        <f>AVERAGEIF(Table1[CountryCode],Table1[[#This Row],[CountryCode]],Table1[z-score])</f>
        <v>-0.17256201820971051</v>
      </c>
      <c r="L10166" t="e">
        <f>VLOOKUP(Table1[[#This Row],[CountryCode]],[1]!Table1[#All],1,FALSE)</f>
        <v>#REF!</v>
      </c>
    </row>
    <row r="10167" spans="1:12" hidden="1" x14ac:dyDescent="0.3">
      <c r="A10167" t="s">
        <v>101</v>
      </c>
      <c r="B10167" t="s">
        <v>102</v>
      </c>
      <c r="C10167" t="s">
        <v>129</v>
      </c>
      <c r="D10167" t="s">
        <v>130</v>
      </c>
      <c r="E10167">
        <v>1982</v>
      </c>
      <c r="F10167" s="1">
        <v>68</v>
      </c>
      <c r="G10167">
        <v>1980</v>
      </c>
      <c r="H10167">
        <f>AVERAGEIFS(Table1[value],Table1[IndicatorCode],Table1[[#This Row],[IndicatorCode]])</f>
        <v>72.66514008620689</v>
      </c>
      <c r="I10167" cm="1">
        <f t="array" ref="I10167">_xlfn.STDEV.P(IF(Table1[IndicatorCode]=Table1[[#This Row],[IndicatorCode]],Table1[value]))</f>
        <v>6.3409496564024987</v>
      </c>
      <c r="J10167">
        <f>(Table1[[#This Row],[value]] - Table1[[#This Row],[mean]]) / Table1[[#This Row],[std_dev]]</f>
        <v>-0.73571631048930775</v>
      </c>
      <c r="K10167">
        <f>AVERAGEIF(Table1[CountryCode],Table1[[#This Row],[CountryCode]],Table1[z-score])</f>
        <v>-0.17256201820971051</v>
      </c>
      <c r="L10167" t="e">
        <f>VLOOKUP(Table1[[#This Row],[CountryCode]],[1]!Table1[#All],1,FALSE)</f>
        <v>#REF!</v>
      </c>
    </row>
    <row r="10168" spans="1:12" hidden="1" x14ac:dyDescent="0.3">
      <c r="A10168" t="s">
        <v>101</v>
      </c>
      <c r="B10168" t="s">
        <v>102</v>
      </c>
      <c r="C10168" t="s">
        <v>129</v>
      </c>
      <c r="D10168" t="s">
        <v>130</v>
      </c>
      <c r="E10168">
        <v>1983</v>
      </c>
      <c r="F10168" s="1">
        <v>68</v>
      </c>
      <c r="G10168">
        <v>1980</v>
      </c>
      <c r="H10168">
        <f>AVERAGEIFS(Table1[value],Table1[IndicatorCode],Table1[[#This Row],[IndicatorCode]])</f>
        <v>72.66514008620689</v>
      </c>
      <c r="I10168" cm="1">
        <f t="array" ref="I10168">_xlfn.STDEV.P(IF(Table1[IndicatorCode]=Table1[[#This Row],[IndicatorCode]],Table1[value]))</f>
        <v>6.3409496564024987</v>
      </c>
      <c r="J10168">
        <f>(Table1[[#This Row],[value]] - Table1[[#This Row],[mean]]) / Table1[[#This Row],[std_dev]]</f>
        <v>-0.73571631048930775</v>
      </c>
      <c r="K10168">
        <f>AVERAGEIF(Table1[CountryCode],Table1[[#This Row],[CountryCode]],Table1[z-score])</f>
        <v>-0.17256201820971051</v>
      </c>
      <c r="L10168" t="e">
        <f>VLOOKUP(Table1[[#This Row],[CountryCode]],[1]!Table1[#All],1,FALSE)</f>
        <v>#REF!</v>
      </c>
    </row>
    <row r="10169" spans="1:12" hidden="1" x14ac:dyDescent="0.3">
      <c r="A10169" t="s">
        <v>101</v>
      </c>
      <c r="B10169" t="s">
        <v>102</v>
      </c>
      <c r="C10169" t="s">
        <v>129</v>
      </c>
      <c r="D10169" t="s">
        <v>130</v>
      </c>
      <c r="E10169">
        <v>1984</v>
      </c>
      <c r="F10169" s="1">
        <v>67</v>
      </c>
      <c r="G10169">
        <v>1980</v>
      </c>
      <c r="H10169">
        <f>AVERAGEIFS(Table1[value],Table1[IndicatorCode],Table1[[#This Row],[IndicatorCode]])</f>
        <v>72.66514008620689</v>
      </c>
      <c r="I10169" cm="1">
        <f t="array" ref="I10169">_xlfn.STDEV.P(IF(Table1[IndicatorCode]=Table1[[#This Row],[IndicatorCode]],Table1[value]))</f>
        <v>6.3409496564024987</v>
      </c>
      <c r="J10169">
        <f>(Table1[[#This Row],[value]] - Table1[[#This Row],[mean]]) / Table1[[#This Row],[std_dev]]</f>
        <v>-0.89342139477274674</v>
      </c>
      <c r="K10169">
        <f>AVERAGEIF(Table1[CountryCode],Table1[[#This Row],[CountryCode]],Table1[z-score])</f>
        <v>-0.17256201820971051</v>
      </c>
      <c r="L10169" t="e">
        <f>VLOOKUP(Table1[[#This Row],[CountryCode]],[1]!Table1[#All],1,FALSE)</f>
        <v>#REF!</v>
      </c>
    </row>
    <row r="10170" spans="1:12" hidden="1" x14ac:dyDescent="0.3">
      <c r="A10170" t="s">
        <v>101</v>
      </c>
      <c r="B10170" t="s">
        <v>102</v>
      </c>
      <c r="C10170" t="s">
        <v>129</v>
      </c>
      <c r="D10170" t="s">
        <v>130</v>
      </c>
      <c r="E10170">
        <v>1985</v>
      </c>
      <c r="F10170" s="1">
        <v>68</v>
      </c>
      <c r="G10170">
        <v>1980</v>
      </c>
      <c r="H10170">
        <f>AVERAGEIFS(Table1[value],Table1[IndicatorCode],Table1[[#This Row],[IndicatorCode]])</f>
        <v>72.66514008620689</v>
      </c>
      <c r="I10170" cm="1">
        <f t="array" ref="I10170">_xlfn.STDEV.P(IF(Table1[IndicatorCode]=Table1[[#This Row],[IndicatorCode]],Table1[value]))</f>
        <v>6.3409496564024987</v>
      </c>
      <c r="J10170">
        <f>(Table1[[#This Row],[value]] - Table1[[#This Row],[mean]]) / Table1[[#This Row],[std_dev]]</f>
        <v>-0.73571631048930775</v>
      </c>
      <c r="K10170">
        <f>AVERAGEIF(Table1[CountryCode],Table1[[#This Row],[CountryCode]],Table1[z-score])</f>
        <v>-0.17256201820971051</v>
      </c>
      <c r="L10170" t="e">
        <f>VLOOKUP(Table1[[#This Row],[CountryCode]],[1]!Table1[#All],1,FALSE)</f>
        <v>#REF!</v>
      </c>
    </row>
    <row r="10171" spans="1:12" hidden="1" x14ac:dyDescent="0.3">
      <c r="A10171" t="s">
        <v>101</v>
      </c>
      <c r="B10171" t="s">
        <v>102</v>
      </c>
      <c r="C10171" t="s">
        <v>129</v>
      </c>
      <c r="D10171" t="s">
        <v>130</v>
      </c>
      <c r="E10171">
        <v>1986</v>
      </c>
      <c r="F10171" s="1">
        <v>69</v>
      </c>
      <c r="G10171">
        <v>1980</v>
      </c>
      <c r="H10171">
        <f>AVERAGEIFS(Table1[value],Table1[IndicatorCode],Table1[[#This Row],[IndicatorCode]])</f>
        <v>72.66514008620689</v>
      </c>
      <c r="I10171" cm="1">
        <f t="array" ref="I10171">_xlfn.STDEV.P(IF(Table1[IndicatorCode]=Table1[[#This Row],[IndicatorCode]],Table1[value]))</f>
        <v>6.3409496564024987</v>
      </c>
      <c r="J10171">
        <f>(Table1[[#This Row],[value]] - Table1[[#This Row],[mean]]) / Table1[[#This Row],[std_dev]]</f>
        <v>-0.57801122620586864</v>
      </c>
      <c r="K10171">
        <f>AVERAGEIF(Table1[CountryCode],Table1[[#This Row],[CountryCode]],Table1[z-score])</f>
        <v>-0.17256201820971051</v>
      </c>
      <c r="L10171" t="e">
        <f>VLOOKUP(Table1[[#This Row],[CountryCode]],[1]!Table1[#All],1,FALSE)</f>
        <v>#REF!</v>
      </c>
    </row>
    <row r="10172" spans="1:12" hidden="1" x14ac:dyDescent="0.3">
      <c r="A10172" t="s">
        <v>101</v>
      </c>
      <c r="B10172" t="s">
        <v>102</v>
      </c>
      <c r="C10172" t="s">
        <v>129</v>
      </c>
      <c r="D10172" t="s">
        <v>130</v>
      </c>
      <c r="E10172">
        <v>1987</v>
      </c>
      <c r="F10172" s="1">
        <v>69</v>
      </c>
      <c r="G10172">
        <v>1990</v>
      </c>
      <c r="H10172">
        <f>AVERAGEIFS(Table1[value],Table1[IndicatorCode],Table1[[#This Row],[IndicatorCode]])</f>
        <v>72.66514008620689</v>
      </c>
      <c r="I10172" cm="1">
        <f t="array" ref="I10172">_xlfn.STDEV.P(IF(Table1[IndicatorCode]=Table1[[#This Row],[IndicatorCode]],Table1[value]))</f>
        <v>6.3409496564024987</v>
      </c>
      <c r="J10172">
        <f>(Table1[[#This Row],[value]] - Table1[[#This Row],[mean]]) / Table1[[#This Row],[std_dev]]</f>
        <v>-0.57801122620586864</v>
      </c>
      <c r="K10172">
        <f>AVERAGEIF(Table1[CountryCode],Table1[[#This Row],[CountryCode]],Table1[z-score])</f>
        <v>-0.17256201820971051</v>
      </c>
      <c r="L10172" t="e">
        <f>VLOOKUP(Table1[[#This Row],[CountryCode]],[1]!Table1[#All],1,FALSE)</f>
        <v>#REF!</v>
      </c>
    </row>
    <row r="10173" spans="1:12" hidden="1" x14ac:dyDescent="0.3">
      <c r="A10173" t="s">
        <v>101</v>
      </c>
      <c r="B10173" t="s">
        <v>102</v>
      </c>
      <c r="C10173" t="s">
        <v>129</v>
      </c>
      <c r="D10173" t="s">
        <v>130</v>
      </c>
      <c r="E10173">
        <v>1988</v>
      </c>
      <c r="F10173" s="1">
        <v>69</v>
      </c>
      <c r="G10173">
        <v>1990</v>
      </c>
      <c r="H10173">
        <f>AVERAGEIFS(Table1[value],Table1[IndicatorCode],Table1[[#This Row],[IndicatorCode]])</f>
        <v>72.66514008620689</v>
      </c>
      <c r="I10173" cm="1">
        <f t="array" ref="I10173">_xlfn.STDEV.P(IF(Table1[IndicatorCode]=Table1[[#This Row],[IndicatorCode]],Table1[value]))</f>
        <v>6.3409496564024987</v>
      </c>
      <c r="J10173">
        <f>(Table1[[#This Row],[value]] - Table1[[#This Row],[mean]]) / Table1[[#This Row],[std_dev]]</f>
        <v>-0.57801122620586864</v>
      </c>
      <c r="K10173">
        <f>AVERAGEIF(Table1[CountryCode],Table1[[#This Row],[CountryCode]],Table1[z-score])</f>
        <v>-0.17256201820971051</v>
      </c>
      <c r="L10173" t="e">
        <f>VLOOKUP(Table1[[#This Row],[CountryCode]],[1]!Table1[#All],1,FALSE)</f>
        <v>#REF!</v>
      </c>
    </row>
    <row r="10174" spans="1:12" hidden="1" x14ac:dyDescent="0.3">
      <c r="A10174" t="s">
        <v>101</v>
      </c>
      <c r="B10174" t="s">
        <v>102</v>
      </c>
      <c r="C10174" t="s">
        <v>129</v>
      </c>
      <c r="D10174" t="s">
        <v>130</v>
      </c>
      <c r="E10174">
        <v>1989</v>
      </c>
      <c r="F10174" s="1">
        <v>69</v>
      </c>
      <c r="G10174">
        <v>1990</v>
      </c>
      <c r="H10174">
        <f>AVERAGEIFS(Table1[value],Table1[IndicatorCode],Table1[[#This Row],[IndicatorCode]])</f>
        <v>72.66514008620689</v>
      </c>
      <c r="I10174" cm="1">
        <f t="array" ref="I10174">_xlfn.STDEV.P(IF(Table1[IndicatorCode]=Table1[[#This Row],[IndicatorCode]],Table1[value]))</f>
        <v>6.3409496564024987</v>
      </c>
      <c r="J10174">
        <f>(Table1[[#This Row],[value]] - Table1[[#This Row],[mean]]) / Table1[[#This Row],[std_dev]]</f>
        <v>-0.57801122620586864</v>
      </c>
      <c r="K10174">
        <f>AVERAGEIF(Table1[CountryCode],Table1[[#This Row],[CountryCode]],Table1[z-score])</f>
        <v>-0.17256201820971051</v>
      </c>
      <c r="L10174" t="e">
        <f>VLOOKUP(Table1[[#This Row],[CountryCode]],[1]!Table1[#All],1,FALSE)</f>
        <v>#REF!</v>
      </c>
    </row>
    <row r="10175" spans="1:12" hidden="1" x14ac:dyDescent="0.3">
      <c r="A10175" t="s">
        <v>101</v>
      </c>
      <c r="B10175" t="s">
        <v>102</v>
      </c>
      <c r="C10175" t="s">
        <v>129</v>
      </c>
      <c r="D10175" t="s">
        <v>130</v>
      </c>
      <c r="E10175">
        <v>1990</v>
      </c>
      <c r="F10175" s="1">
        <v>69</v>
      </c>
      <c r="G10175">
        <v>1990</v>
      </c>
      <c r="H10175">
        <f>AVERAGEIFS(Table1[value],Table1[IndicatorCode],Table1[[#This Row],[IndicatorCode]])</f>
        <v>72.66514008620689</v>
      </c>
      <c r="I10175" cm="1">
        <f t="array" ref="I10175">_xlfn.STDEV.P(IF(Table1[IndicatorCode]=Table1[[#This Row],[IndicatorCode]],Table1[value]))</f>
        <v>6.3409496564024987</v>
      </c>
      <c r="J10175">
        <f>(Table1[[#This Row],[value]] - Table1[[#This Row],[mean]]) / Table1[[#This Row],[std_dev]]</f>
        <v>-0.57801122620586864</v>
      </c>
      <c r="K10175">
        <f>AVERAGEIF(Table1[CountryCode],Table1[[#This Row],[CountryCode]],Table1[z-score])</f>
        <v>-0.17256201820971051</v>
      </c>
      <c r="L10175" t="e">
        <f>VLOOKUP(Table1[[#This Row],[CountryCode]],[1]!Table1[#All],1,FALSE)</f>
        <v>#REF!</v>
      </c>
    </row>
    <row r="10176" spans="1:12" hidden="1" x14ac:dyDescent="0.3">
      <c r="A10176" t="s">
        <v>101</v>
      </c>
      <c r="B10176" t="s">
        <v>102</v>
      </c>
      <c r="C10176" t="s">
        <v>129</v>
      </c>
      <c r="D10176" t="s">
        <v>130</v>
      </c>
      <c r="E10176">
        <v>1991</v>
      </c>
      <c r="F10176" s="1">
        <v>68</v>
      </c>
      <c r="G10176">
        <v>1990</v>
      </c>
      <c r="H10176">
        <f>AVERAGEIFS(Table1[value],Table1[IndicatorCode],Table1[[#This Row],[IndicatorCode]])</f>
        <v>72.66514008620689</v>
      </c>
      <c r="I10176" cm="1">
        <f t="array" ref="I10176">_xlfn.STDEV.P(IF(Table1[IndicatorCode]=Table1[[#This Row],[IndicatorCode]],Table1[value]))</f>
        <v>6.3409496564024987</v>
      </c>
      <c r="J10176">
        <f>(Table1[[#This Row],[value]] - Table1[[#This Row],[mean]]) / Table1[[#This Row],[std_dev]]</f>
        <v>-0.73571631048930775</v>
      </c>
      <c r="K10176">
        <f>AVERAGEIF(Table1[CountryCode],Table1[[#This Row],[CountryCode]],Table1[z-score])</f>
        <v>-0.17256201820971051</v>
      </c>
      <c r="L10176" t="e">
        <f>VLOOKUP(Table1[[#This Row],[CountryCode]],[1]!Table1[#All],1,FALSE)</f>
        <v>#REF!</v>
      </c>
    </row>
    <row r="10177" spans="1:12" hidden="1" x14ac:dyDescent="0.3">
      <c r="A10177" t="s">
        <v>101</v>
      </c>
      <c r="B10177" t="s">
        <v>102</v>
      </c>
      <c r="C10177" t="s">
        <v>129</v>
      </c>
      <c r="D10177" t="s">
        <v>130</v>
      </c>
      <c r="E10177">
        <v>1992</v>
      </c>
      <c r="F10177" s="1">
        <v>67</v>
      </c>
      <c r="G10177">
        <v>1990</v>
      </c>
      <c r="H10177">
        <f>AVERAGEIFS(Table1[value],Table1[IndicatorCode],Table1[[#This Row],[IndicatorCode]])</f>
        <v>72.66514008620689</v>
      </c>
      <c r="I10177" cm="1">
        <f t="array" ref="I10177">_xlfn.STDEV.P(IF(Table1[IndicatorCode]=Table1[[#This Row],[IndicatorCode]],Table1[value]))</f>
        <v>6.3409496564024987</v>
      </c>
      <c r="J10177">
        <f>(Table1[[#This Row],[value]] - Table1[[#This Row],[mean]]) / Table1[[#This Row],[std_dev]]</f>
        <v>-0.89342139477274674</v>
      </c>
      <c r="K10177">
        <f>AVERAGEIF(Table1[CountryCode],Table1[[#This Row],[CountryCode]],Table1[z-score])</f>
        <v>-0.17256201820971051</v>
      </c>
      <c r="L10177" t="e">
        <f>VLOOKUP(Table1[[#This Row],[CountryCode]],[1]!Table1[#All],1,FALSE)</f>
        <v>#REF!</v>
      </c>
    </row>
    <row r="10178" spans="1:12" hidden="1" x14ac:dyDescent="0.3">
      <c r="A10178" t="s">
        <v>101</v>
      </c>
      <c r="B10178" t="s">
        <v>102</v>
      </c>
      <c r="C10178" t="s">
        <v>129</v>
      </c>
      <c r="D10178" t="s">
        <v>130</v>
      </c>
      <c r="E10178">
        <v>1993</v>
      </c>
      <c r="F10178" s="1">
        <v>65</v>
      </c>
      <c r="G10178">
        <v>1990</v>
      </c>
      <c r="H10178">
        <f>AVERAGEIFS(Table1[value],Table1[IndicatorCode],Table1[[#This Row],[IndicatorCode]])</f>
        <v>72.66514008620689</v>
      </c>
      <c r="I10178" cm="1">
        <f t="array" ref="I10178">_xlfn.STDEV.P(IF(Table1[IndicatorCode]=Table1[[#This Row],[IndicatorCode]],Table1[value]))</f>
        <v>6.3409496564024987</v>
      </c>
      <c r="J10178">
        <f>(Table1[[#This Row],[value]] - Table1[[#This Row],[mean]]) / Table1[[#This Row],[std_dev]]</f>
        <v>-1.2088315633396249</v>
      </c>
      <c r="K10178">
        <f>AVERAGEIF(Table1[CountryCode],Table1[[#This Row],[CountryCode]],Table1[z-score])</f>
        <v>-0.17256201820971051</v>
      </c>
      <c r="L10178" t="e">
        <f>VLOOKUP(Table1[[#This Row],[CountryCode]],[1]!Table1[#All],1,FALSE)</f>
        <v>#REF!</v>
      </c>
    </row>
    <row r="10179" spans="1:12" hidden="1" x14ac:dyDescent="0.3">
      <c r="A10179" t="s">
        <v>101</v>
      </c>
      <c r="B10179" t="s">
        <v>102</v>
      </c>
      <c r="C10179" t="s">
        <v>129</v>
      </c>
      <c r="D10179" t="s">
        <v>130</v>
      </c>
      <c r="E10179">
        <v>1994</v>
      </c>
      <c r="F10179" s="1">
        <v>64</v>
      </c>
      <c r="G10179">
        <v>1990</v>
      </c>
      <c r="H10179">
        <f>AVERAGEIFS(Table1[value],Table1[IndicatorCode],Table1[[#This Row],[IndicatorCode]])</f>
        <v>72.66514008620689</v>
      </c>
      <c r="I10179" cm="1">
        <f t="array" ref="I10179">_xlfn.STDEV.P(IF(Table1[IndicatorCode]=Table1[[#This Row],[IndicatorCode]],Table1[value]))</f>
        <v>6.3409496564024987</v>
      </c>
      <c r="J10179">
        <f>(Table1[[#This Row],[value]] - Table1[[#This Row],[mean]]) / Table1[[#This Row],[std_dev]]</f>
        <v>-1.3665366476230638</v>
      </c>
      <c r="K10179">
        <f>AVERAGEIF(Table1[CountryCode],Table1[[#This Row],[CountryCode]],Table1[z-score])</f>
        <v>-0.17256201820971051</v>
      </c>
      <c r="L10179" t="e">
        <f>VLOOKUP(Table1[[#This Row],[CountryCode]],[1]!Table1[#All],1,FALSE)</f>
        <v>#REF!</v>
      </c>
    </row>
    <row r="10180" spans="1:12" hidden="1" x14ac:dyDescent="0.3">
      <c r="A10180" t="s">
        <v>101</v>
      </c>
      <c r="B10180" t="s">
        <v>102</v>
      </c>
      <c r="C10180" t="s">
        <v>129</v>
      </c>
      <c r="D10180" t="s">
        <v>130</v>
      </c>
      <c r="E10180">
        <v>1995</v>
      </c>
      <c r="F10180" s="1">
        <v>65</v>
      </c>
      <c r="G10180">
        <v>1990</v>
      </c>
      <c r="H10180">
        <f>AVERAGEIFS(Table1[value],Table1[IndicatorCode],Table1[[#This Row],[IndicatorCode]])</f>
        <v>72.66514008620689</v>
      </c>
      <c r="I10180" cm="1">
        <f t="array" ref="I10180">_xlfn.STDEV.P(IF(Table1[IndicatorCode]=Table1[[#This Row],[IndicatorCode]],Table1[value]))</f>
        <v>6.3409496564024987</v>
      </c>
      <c r="J10180">
        <f>(Table1[[#This Row],[value]] - Table1[[#This Row],[mean]]) / Table1[[#This Row],[std_dev]]</f>
        <v>-1.2088315633396249</v>
      </c>
      <c r="K10180">
        <f>AVERAGEIF(Table1[CountryCode],Table1[[#This Row],[CountryCode]],Table1[z-score])</f>
        <v>-0.17256201820971051</v>
      </c>
      <c r="L10180" t="e">
        <f>VLOOKUP(Table1[[#This Row],[CountryCode]],[1]!Table1[#All],1,FALSE)</f>
        <v>#REF!</v>
      </c>
    </row>
    <row r="10181" spans="1:12" hidden="1" x14ac:dyDescent="0.3">
      <c r="A10181" t="s">
        <v>101</v>
      </c>
      <c r="B10181" t="s">
        <v>102</v>
      </c>
      <c r="C10181" t="s">
        <v>129</v>
      </c>
      <c r="D10181" t="s">
        <v>130</v>
      </c>
      <c r="E10181">
        <v>1996</v>
      </c>
      <c r="F10181" s="1">
        <v>66</v>
      </c>
      <c r="G10181">
        <v>1990</v>
      </c>
      <c r="H10181">
        <f>AVERAGEIFS(Table1[value],Table1[IndicatorCode],Table1[[#This Row],[IndicatorCode]])</f>
        <v>72.66514008620689</v>
      </c>
      <c r="I10181" cm="1">
        <f t="array" ref="I10181">_xlfn.STDEV.P(IF(Table1[IndicatorCode]=Table1[[#This Row],[IndicatorCode]],Table1[value]))</f>
        <v>6.3409496564024987</v>
      </c>
      <c r="J10181">
        <f>(Table1[[#This Row],[value]] - Table1[[#This Row],[mean]]) / Table1[[#This Row],[std_dev]]</f>
        <v>-1.0511264790561858</v>
      </c>
      <c r="K10181">
        <f>AVERAGEIF(Table1[CountryCode],Table1[[#This Row],[CountryCode]],Table1[z-score])</f>
        <v>-0.17256201820971051</v>
      </c>
      <c r="L10181" t="e">
        <f>VLOOKUP(Table1[[#This Row],[CountryCode]],[1]!Table1[#All],1,FALSE)</f>
        <v>#REF!</v>
      </c>
    </row>
    <row r="10182" spans="1:12" hidden="1" x14ac:dyDescent="0.3">
      <c r="A10182" t="s">
        <v>101</v>
      </c>
      <c r="B10182" t="s">
        <v>102</v>
      </c>
      <c r="C10182" t="s">
        <v>129</v>
      </c>
      <c r="D10182" t="s">
        <v>130</v>
      </c>
      <c r="E10182">
        <v>1997</v>
      </c>
      <c r="F10182" s="1">
        <v>67</v>
      </c>
      <c r="G10182">
        <v>2000</v>
      </c>
      <c r="H10182">
        <f>AVERAGEIFS(Table1[value],Table1[IndicatorCode],Table1[[#This Row],[IndicatorCode]])</f>
        <v>72.66514008620689</v>
      </c>
      <c r="I10182" cm="1">
        <f t="array" ref="I10182">_xlfn.STDEV.P(IF(Table1[IndicatorCode]=Table1[[#This Row],[IndicatorCode]],Table1[value]))</f>
        <v>6.3409496564024987</v>
      </c>
      <c r="J10182">
        <f>(Table1[[#This Row],[value]] - Table1[[#This Row],[mean]]) / Table1[[#This Row],[std_dev]]</f>
        <v>-0.89342139477274674</v>
      </c>
      <c r="K10182">
        <f>AVERAGEIF(Table1[CountryCode],Table1[[#This Row],[CountryCode]],Table1[z-score])</f>
        <v>-0.17256201820971051</v>
      </c>
      <c r="L10182" t="e">
        <f>VLOOKUP(Table1[[#This Row],[CountryCode]],[1]!Table1[#All],1,FALSE)</f>
        <v>#REF!</v>
      </c>
    </row>
    <row r="10183" spans="1:12" hidden="1" x14ac:dyDescent="0.3">
      <c r="A10183" t="s">
        <v>101</v>
      </c>
      <c r="B10183" t="s">
        <v>102</v>
      </c>
      <c r="C10183" t="s">
        <v>129</v>
      </c>
      <c r="D10183" t="s">
        <v>130</v>
      </c>
      <c r="E10183">
        <v>1998</v>
      </c>
      <c r="F10183" s="1">
        <v>67</v>
      </c>
      <c r="G10183">
        <v>2000</v>
      </c>
      <c r="H10183">
        <f>AVERAGEIFS(Table1[value],Table1[IndicatorCode],Table1[[#This Row],[IndicatorCode]])</f>
        <v>72.66514008620689</v>
      </c>
      <c r="I10183" cm="1">
        <f t="array" ref="I10183">_xlfn.STDEV.P(IF(Table1[IndicatorCode]=Table1[[#This Row],[IndicatorCode]],Table1[value]))</f>
        <v>6.3409496564024987</v>
      </c>
      <c r="J10183">
        <f>(Table1[[#This Row],[value]] - Table1[[#This Row],[mean]]) / Table1[[#This Row],[std_dev]]</f>
        <v>-0.89342139477274674</v>
      </c>
      <c r="K10183">
        <f>AVERAGEIF(Table1[CountryCode],Table1[[#This Row],[CountryCode]],Table1[z-score])</f>
        <v>-0.17256201820971051</v>
      </c>
      <c r="L10183" t="e">
        <f>VLOOKUP(Table1[[#This Row],[CountryCode]],[1]!Table1[#All],1,FALSE)</f>
        <v>#REF!</v>
      </c>
    </row>
    <row r="10184" spans="1:12" hidden="1" x14ac:dyDescent="0.3">
      <c r="A10184" t="s">
        <v>101</v>
      </c>
      <c r="B10184" t="s">
        <v>102</v>
      </c>
      <c r="C10184" t="s">
        <v>129</v>
      </c>
      <c r="D10184" t="s">
        <v>130</v>
      </c>
      <c r="E10184">
        <v>1999</v>
      </c>
      <c r="F10184" s="1">
        <v>66</v>
      </c>
      <c r="G10184">
        <v>2000</v>
      </c>
      <c r="H10184">
        <f>AVERAGEIFS(Table1[value],Table1[IndicatorCode],Table1[[#This Row],[IndicatorCode]])</f>
        <v>72.66514008620689</v>
      </c>
      <c r="I10184" cm="1">
        <f t="array" ref="I10184">_xlfn.STDEV.P(IF(Table1[IndicatorCode]=Table1[[#This Row],[IndicatorCode]],Table1[value]))</f>
        <v>6.3409496564024987</v>
      </c>
      <c r="J10184">
        <f>(Table1[[#This Row],[value]] - Table1[[#This Row],[mean]]) / Table1[[#This Row],[std_dev]]</f>
        <v>-1.0511264790561858</v>
      </c>
      <c r="K10184">
        <f>AVERAGEIF(Table1[CountryCode],Table1[[#This Row],[CountryCode]],Table1[z-score])</f>
        <v>-0.17256201820971051</v>
      </c>
      <c r="L10184" t="e">
        <f>VLOOKUP(Table1[[#This Row],[CountryCode]],[1]!Table1[#All],1,FALSE)</f>
        <v>#REF!</v>
      </c>
    </row>
    <row r="10185" spans="1:12" hidden="1" x14ac:dyDescent="0.3">
      <c r="A10185" t="s">
        <v>101</v>
      </c>
      <c r="B10185" t="s">
        <v>102</v>
      </c>
      <c r="C10185" t="s">
        <v>129</v>
      </c>
      <c r="D10185" t="s">
        <v>130</v>
      </c>
      <c r="E10185">
        <v>2000</v>
      </c>
      <c r="F10185" s="1">
        <v>65</v>
      </c>
      <c r="G10185">
        <v>2000</v>
      </c>
      <c r="H10185">
        <f>AVERAGEIFS(Table1[value],Table1[IndicatorCode],Table1[[#This Row],[IndicatorCode]])</f>
        <v>72.66514008620689</v>
      </c>
      <c r="I10185" cm="1">
        <f t="array" ref="I10185">_xlfn.STDEV.P(IF(Table1[IndicatorCode]=Table1[[#This Row],[IndicatorCode]],Table1[value]))</f>
        <v>6.3409496564024987</v>
      </c>
      <c r="J10185">
        <f>(Table1[[#This Row],[value]] - Table1[[#This Row],[mean]]) / Table1[[#This Row],[std_dev]]</f>
        <v>-1.2088315633396249</v>
      </c>
      <c r="K10185">
        <f>AVERAGEIF(Table1[CountryCode],Table1[[#This Row],[CountryCode]],Table1[z-score])</f>
        <v>-0.17256201820971051</v>
      </c>
      <c r="L10185" t="e">
        <f>VLOOKUP(Table1[[#This Row],[CountryCode]],[1]!Table1[#All],1,FALSE)</f>
        <v>#REF!</v>
      </c>
    </row>
    <row r="10186" spans="1:12" hidden="1" x14ac:dyDescent="0.3">
      <c r="A10186" t="s">
        <v>101</v>
      </c>
      <c r="B10186" t="s">
        <v>102</v>
      </c>
      <c r="C10186" t="s">
        <v>129</v>
      </c>
      <c r="D10186" t="s">
        <v>130</v>
      </c>
      <c r="E10186">
        <v>2001</v>
      </c>
      <c r="F10186" s="1">
        <v>65</v>
      </c>
      <c r="G10186">
        <v>2000</v>
      </c>
      <c r="H10186">
        <f>AVERAGEIFS(Table1[value],Table1[IndicatorCode],Table1[[#This Row],[IndicatorCode]])</f>
        <v>72.66514008620689</v>
      </c>
      <c r="I10186" cm="1">
        <f t="array" ref="I10186">_xlfn.STDEV.P(IF(Table1[IndicatorCode]=Table1[[#This Row],[IndicatorCode]],Table1[value]))</f>
        <v>6.3409496564024987</v>
      </c>
      <c r="J10186">
        <f>(Table1[[#This Row],[value]] - Table1[[#This Row],[mean]]) / Table1[[#This Row],[std_dev]]</f>
        <v>-1.2088315633396249</v>
      </c>
      <c r="K10186">
        <f>AVERAGEIF(Table1[CountryCode],Table1[[#This Row],[CountryCode]],Table1[z-score])</f>
        <v>-0.17256201820971051</v>
      </c>
      <c r="L10186" t="e">
        <f>VLOOKUP(Table1[[#This Row],[CountryCode]],[1]!Table1[#All],1,FALSE)</f>
        <v>#REF!</v>
      </c>
    </row>
    <row r="10187" spans="1:12" hidden="1" x14ac:dyDescent="0.3">
      <c r="A10187" t="s">
        <v>101</v>
      </c>
      <c r="B10187" t="s">
        <v>102</v>
      </c>
      <c r="C10187" t="s">
        <v>129</v>
      </c>
      <c r="D10187" t="s">
        <v>130</v>
      </c>
      <c r="E10187">
        <v>2002</v>
      </c>
      <c r="F10187" s="1">
        <v>65</v>
      </c>
      <c r="G10187">
        <v>2000</v>
      </c>
      <c r="H10187">
        <f>AVERAGEIFS(Table1[value],Table1[IndicatorCode],Table1[[#This Row],[IndicatorCode]])</f>
        <v>72.66514008620689</v>
      </c>
      <c r="I10187" cm="1">
        <f t="array" ref="I10187">_xlfn.STDEV.P(IF(Table1[IndicatorCode]=Table1[[#This Row],[IndicatorCode]],Table1[value]))</f>
        <v>6.3409496564024987</v>
      </c>
      <c r="J10187">
        <f>(Table1[[#This Row],[value]] - Table1[[#This Row],[mean]]) / Table1[[#This Row],[std_dev]]</f>
        <v>-1.2088315633396249</v>
      </c>
      <c r="K10187">
        <f>AVERAGEIF(Table1[CountryCode],Table1[[#This Row],[CountryCode]],Table1[z-score])</f>
        <v>-0.17256201820971051</v>
      </c>
      <c r="L10187" t="e">
        <f>VLOOKUP(Table1[[#This Row],[CountryCode]],[1]!Table1[#All],1,FALSE)</f>
        <v>#REF!</v>
      </c>
    </row>
    <row r="10188" spans="1:12" hidden="1" x14ac:dyDescent="0.3">
      <c r="A10188" t="s">
        <v>101</v>
      </c>
      <c r="B10188" t="s">
        <v>102</v>
      </c>
      <c r="C10188" t="s">
        <v>129</v>
      </c>
      <c r="D10188" t="s">
        <v>130</v>
      </c>
      <c r="E10188">
        <v>2003</v>
      </c>
      <c r="F10188" s="1">
        <v>65</v>
      </c>
      <c r="G10188">
        <v>2000</v>
      </c>
      <c r="H10188">
        <f>AVERAGEIFS(Table1[value],Table1[IndicatorCode],Table1[[#This Row],[IndicatorCode]])</f>
        <v>72.66514008620689</v>
      </c>
      <c r="I10188" cm="1">
        <f t="array" ref="I10188">_xlfn.STDEV.P(IF(Table1[IndicatorCode]=Table1[[#This Row],[IndicatorCode]],Table1[value]))</f>
        <v>6.3409496564024987</v>
      </c>
      <c r="J10188">
        <f>(Table1[[#This Row],[value]] - Table1[[#This Row],[mean]]) / Table1[[#This Row],[std_dev]]</f>
        <v>-1.2088315633396249</v>
      </c>
      <c r="K10188">
        <f>AVERAGEIF(Table1[CountryCode],Table1[[#This Row],[CountryCode]],Table1[z-score])</f>
        <v>-0.17256201820971051</v>
      </c>
      <c r="L10188" t="e">
        <f>VLOOKUP(Table1[[#This Row],[CountryCode]],[1]!Table1[#All],1,FALSE)</f>
        <v>#REF!</v>
      </c>
    </row>
    <row r="10189" spans="1:12" hidden="1" x14ac:dyDescent="0.3">
      <c r="A10189" t="s">
        <v>101</v>
      </c>
      <c r="B10189" t="s">
        <v>102</v>
      </c>
      <c r="C10189" t="s">
        <v>129</v>
      </c>
      <c r="D10189" t="s">
        <v>130</v>
      </c>
      <c r="E10189">
        <v>2004</v>
      </c>
      <c r="F10189" s="1">
        <v>65</v>
      </c>
      <c r="G10189">
        <v>2000</v>
      </c>
      <c r="H10189">
        <f>AVERAGEIFS(Table1[value],Table1[IndicatorCode],Table1[[#This Row],[IndicatorCode]])</f>
        <v>72.66514008620689</v>
      </c>
      <c r="I10189" cm="1">
        <f t="array" ref="I10189">_xlfn.STDEV.P(IF(Table1[IndicatorCode]=Table1[[#This Row],[IndicatorCode]],Table1[value]))</f>
        <v>6.3409496564024987</v>
      </c>
      <c r="J10189">
        <f>(Table1[[#This Row],[value]] - Table1[[#This Row],[mean]]) / Table1[[#This Row],[std_dev]]</f>
        <v>-1.2088315633396249</v>
      </c>
      <c r="K10189">
        <f>AVERAGEIF(Table1[CountryCode],Table1[[#This Row],[CountryCode]],Table1[z-score])</f>
        <v>-0.17256201820971051</v>
      </c>
      <c r="L10189" t="e">
        <f>VLOOKUP(Table1[[#This Row],[CountryCode]],[1]!Table1[#All],1,FALSE)</f>
        <v>#REF!</v>
      </c>
    </row>
    <row r="10190" spans="1:12" hidden="1" x14ac:dyDescent="0.3">
      <c r="A10190" t="s">
        <v>101</v>
      </c>
      <c r="B10190" t="s">
        <v>102</v>
      </c>
      <c r="C10190" t="s">
        <v>129</v>
      </c>
      <c r="D10190" t="s">
        <v>130</v>
      </c>
      <c r="E10190">
        <v>2005</v>
      </c>
      <c r="F10190" s="1">
        <v>66</v>
      </c>
      <c r="G10190">
        <v>2000</v>
      </c>
      <c r="H10190">
        <f>AVERAGEIFS(Table1[value],Table1[IndicatorCode],Table1[[#This Row],[IndicatorCode]])</f>
        <v>72.66514008620689</v>
      </c>
      <c r="I10190" cm="1">
        <f t="array" ref="I10190">_xlfn.STDEV.P(IF(Table1[IndicatorCode]=Table1[[#This Row],[IndicatorCode]],Table1[value]))</f>
        <v>6.3409496564024987</v>
      </c>
      <c r="J10190">
        <f>(Table1[[#This Row],[value]] - Table1[[#This Row],[mean]]) / Table1[[#This Row],[std_dev]]</f>
        <v>-1.0511264790561858</v>
      </c>
      <c r="K10190">
        <f>AVERAGEIF(Table1[CountryCode],Table1[[#This Row],[CountryCode]],Table1[z-score])</f>
        <v>-0.17256201820971051</v>
      </c>
      <c r="L10190" t="e">
        <f>VLOOKUP(Table1[[#This Row],[CountryCode]],[1]!Table1[#All],1,FALSE)</f>
        <v>#REF!</v>
      </c>
    </row>
    <row r="10191" spans="1:12" hidden="1" x14ac:dyDescent="0.3">
      <c r="A10191" t="s">
        <v>101</v>
      </c>
      <c r="B10191" t="s">
        <v>102</v>
      </c>
      <c r="C10191" t="s">
        <v>129</v>
      </c>
      <c r="D10191" t="s">
        <v>130</v>
      </c>
      <c r="E10191">
        <v>2006</v>
      </c>
      <c r="F10191" s="1">
        <v>67</v>
      </c>
      <c r="G10191">
        <v>2000</v>
      </c>
      <c r="H10191">
        <f>AVERAGEIFS(Table1[value],Table1[IndicatorCode],Table1[[#This Row],[IndicatorCode]])</f>
        <v>72.66514008620689</v>
      </c>
      <c r="I10191" cm="1">
        <f t="array" ref="I10191">_xlfn.STDEV.P(IF(Table1[IndicatorCode]=Table1[[#This Row],[IndicatorCode]],Table1[value]))</f>
        <v>6.3409496564024987</v>
      </c>
      <c r="J10191">
        <f>(Table1[[#This Row],[value]] - Table1[[#This Row],[mean]]) / Table1[[#This Row],[std_dev]]</f>
        <v>-0.89342139477274674</v>
      </c>
      <c r="K10191">
        <f>AVERAGEIF(Table1[CountryCode],Table1[[#This Row],[CountryCode]],Table1[z-score])</f>
        <v>-0.17256201820971051</v>
      </c>
      <c r="L10191" t="e">
        <f>VLOOKUP(Table1[[#This Row],[CountryCode]],[1]!Table1[#All],1,FALSE)</f>
        <v>#REF!</v>
      </c>
    </row>
    <row r="10192" spans="1:12" hidden="1" x14ac:dyDescent="0.3">
      <c r="A10192" t="s">
        <v>101</v>
      </c>
      <c r="B10192" t="s">
        <v>102</v>
      </c>
      <c r="C10192" t="s">
        <v>129</v>
      </c>
      <c r="D10192" t="s">
        <v>130</v>
      </c>
      <c r="E10192">
        <v>2007</v>
      </c>
      <c r="F10192" s="1">
        <v>68</v>
      </c>
      <c r="G10192">
        <v>2010</v>
      </c>
      <c r="H10192">
        <f>AVERAGEIFS(Table1[value],Table1[IndicatorCode],Table1[[#This Row],[IndicatorCode]])</f>
        <v>72.66514008620689</v>
      </c>
      <c r="I10192" cm="1">
        <f t="array" ref="I10192">_xlfn.STDEV.P(IF(Table1[IndicatorCode]=Table1[[#This Row],[IndicatorCode]],Table1[value]))</f>
        <v>6.3409496564024987</v>
      </c>
      <c r="J10192">
        <f>(Table1[[#This Row],[value]] - Table1[[#This Row],[mean]]) / Table1[[#This Row],[std_dev]]</f>
        <v>-0.73571631048930775</v>
      </c>
      <c r="K10192">
        <f>AVERAGEIF(Table1[CountryCode],Table1[[#This Row],[CountryCode]],Table1[z-score])</f>
        <v>-0.17256201820971051</v>
      </c>
      <c r="L10192" t="e">
        <f>VLOOKUP(Table1[[#This Row],[CountryCode]],[1]!Table1[#All],1,FALSE)</f>
        <v>#REF!</v>
      </c>
    </row>
    <row r="10193" spans="1:12" hidden="1" x14ac:dyDescent="0.3">
      <c r="A10193" t="s">
        <v>101</v>
      </c>
      <c r="B10193" t="s">
        <v>102</v>
      </c>
      <c r="C10193" t="s">
        <v>129</v>
      </c>
      <c r="D10193" t="s">
        <v>130</v>
      </c>
      <c r="E10193">
        <v>2008</v>
      </c>
      <c r="F10193" s="1">
        <v>68</v>
      </c>
      <c r="G10193">
        <v>2010</v>
      </c>
      <c r="H10193">
        <f>AVERAGEIFS(Table1[value],Table1[IndicatorCode],Table1[[#This Row],[IndicatorCode]])</f>
        <v>72.66514008620689</v>
      </c>
      <c r="I10193" cm="1">
        <f t="array" ref="I10193">_xlfn.STDEV.P(IF(Table1[IndicatorCode]=Table1[[#This Row],[IndicatorCode]],Table1[value]))</f>
        <v>6.3409496564024987</v>
      </c>
      <c r="J10193">
        <f>(Table1[[#This Row],[value]] - Table1[[#This Row],[mean]]) / Table1[[#This Row],[std_dev]]</f>
        <v>-0.73571631048930775</v>
      </c>
      <c r="K10193">
        <f>AVERAGEIF(Table1[CountryCode],Table1[[#This Row],[CountryCode]],Table1[z-score])</f>
        <v>-0.17256201820971051</v>
      </c>
      <c r="L10193" t="e">
        <f>VLOOKUP(Table1[[#This Row],[CountryCode]],[1]!Table1[#All],1,FALSE)</f>
        <v>#REF!</v>
      </c>
    </row>
    <row r="10194" spans="1:12" hidden="1" x14ac:dyDescent="0.3">
      <c r="A10194" t="s">
        <v>101</v>
      </c>
      <c r="B10194" t="s">
        <v>102</v>
      </c>
      <c r="C10194" t="s">
        <v>129</v>
      </c>
      <c r="D10194" t="s">
        <v>130</v>
      </c>
      <c r="E10194">
        <v>2009</v>
      </c>
      <c r="F10194" s="1">
        <v>69</v>
      </c>
      <c r="G10194">
        <v>2010</v>
      </c>
      <c r="H10194">
        <f>AVERAGEIFS(Table1[value],Table1[IndicatorCode],Table1[[#This Row],[IndicatorCode]])</f>
        <v>72.66514008620689</v>
      </c>
      <c r="I10194" cm="1">
        <f t="array" ref="I10194">_xlfn.STDEV.P(IF(Table1[IndicatorCode]=Table1[[#This Row],[IndicatorCode]],Table1[value]))</f>
        <v>6.3409496564024987</v>
      </c>
      <c r="J10194">
        <f>(Table1[[#This Row],[value]] - Table1[[#This Row],[mean]]) / Table1[[#This Row],[std_dev]]</f>
        <v>-0.57801122620586864</v>
      </c>
      <c r="K10194">
        <f>AVERAGEIF(Table1[CountryCode],Table1[[#This Row],[CountryCode]],Table1[z-score])</f>
        <v>-0.17256201820971051</v>
      </c>
      <c r="L10194" t="e">
        <f>VLOOKUP(Table1[[#This Row],[CountryCode]],[1]!Table1[#All],1,FALSE)</f>
        <v>#REF!</v>
      </c>
    </row>
    <row r="10195" spans="1:12" hidden="1" x14ac:dyDescent="0.3">
      <c r="A10195" t="s">
        <v>101</v>
      </c>
      <c r="B10195" t="s">
        <v>102</v>
      </c>
      <c r="C10195" t="s">
        <v>129</v>
      </c>
      <c r="D10195" t="s">
        <v>130</v>
      </c>
      <c r="E10195">
        <v>2010</v>
      </c>
      <c r="F10195" s="1">
        <v>69</v>
      </c>
      <c r="G10195">
        <v>2010</v>
      </c>
      <c r="H10195">
        <f>AVERAGEIFS(Table1[value],Table1[IndicatorCode],Table1[[#This Row],[IndicatorCode]])</f>
        <v>72.66514008620689</v>
      </c>
      <c r="I10195" cm="1">
        <f t="array" ref="I10195">_xlfn.STDEV.P(IF(Table1[IndicatorCode]=Table1[[#This Row],[IndicatorCode]],Table1[value]))</f>
        <v>6.3409496564024987</v>
      </c>
      <c r="J10195">
        <f>(Table1[[#This Row],[value]] - Table1[[#This Row],[mean]]) / Table1[[#This Row],[std_dev]]</f>
        <v>-0.57801122620586864</v>
      </c>
      <c r="K10195">
        <f>AVERAGEIF(Table1[CountryCode],Table1[[#This Row],[CountryCode]],Table1[z-score])</f>
        <v>-0.17256201820971051</v>
      </c>
      <c r="L10195" t="e">
        <f>VLOOKUP(Table1[[#This Row],[CountryCode]],[1]!Table1[#All],1,FALSE)</f>
        <v>#REF!</v>
      </c>
    </row>
    <row r="10196" spans="1:12" hidden="1" x14ac:dyDescent="0.3">
      <c r="A10196" t="s">
        <v>101</v>
      </c>
      <c r="B10196" t="s">
        <v>102</v>
      </c>
      <c r="C10196" t="s">
        <v>129</v>
      </c>
      <c r="D10196" t="s">
        <v>130</v>
      </c>
      <c r="E10196">
        <v>2011</v>
      </c>
      <c r="F10196" s="1">
        <v>70</v>
      </c>
      <c r="G10196">
        <v>2010</v>
      </c>
      <c r="H10196">
        <f>AVERAGEIFS(Table1[value],Table1[IndicatorCode],Table1[[#This Row],[IndicatorCode]])</f>
        <v>72.66514008620689</v>
      </c>
      <c r="I10196" cm="1">
        <f t="array" ref="I10196">_xlfn.STDEV.P(IF(Table1[IndicatorCode]=Table1[[#This Row],[IndicatorCode]],Table1[value]))</f>
        <v>6.3409496564024987</v>
      </c>
      <c r="J10196">
        <f>(Table1[[#This Row],[value]] - Table1[[#This Row],[mean]]) / Table1[[#This Row],[std_dev]]</f>
        <v>-0.4203061419224296</v>
      </c>
      <c r="K10196">
        <f>AVERAGEIF(Table1[CountryCode],Table1[[#This Row],[CountryCode]],Table1[z-score])</f>
        <v>-0.17256201820971051</v>
      </c>
      <c r="L10196" t="e">
        <f>VLOOKUP(Table1[[#This Row],[CountryCode]],[1]!Table1[#All],1,FALSE)</f>
        <v>#REF!</v>
      </c>
    </row>
    <row r="10197" spans="1:12" hidden="1" x14ac:dyDescent="0.3">
      <c r="A10197" t="s">
        <v>101</v>
      </c>
      <c r="B10197" t="s">
        <v>102</v>
      </c>
      <c r="C10197" t="s">
        <v>129</v>
      </c>
      <c r="D10197" t="s">
        <v>130</v>
      </c>
      <c r="E10197">
        <v>2012</v>
      </c>
      <c r="F10197" s="1">
        <v>70</v>
      </c>
      <c r="G10197">
        <v>2010</v>
      </c>
      <c r="H10197">
        <f>AVERAGEIFS(Table1[value],Table1[IndicatorCode],Table1[[#This Row],[IndicatorCode]])</f>
        <v>72.66514008620689</v>
      </c>
      <c r="I10197" cm="1">
        <f t="array" ref="I10197">_xlfn.STDEV.P(IF(Table1[IndicatorCode]=Table1[[#This Row],[IndicatorCode]],Table1[value]))</f>
        <v>6.3409496564024987</v>
      </c>
      <c r="J10197">
        <f>(Table1[[#This Row],[value]] - Table1[[#This Row],[mean]]) / Table1[[#This Row],[std_dev]]</f>
        <v>-0.4203061419224296</v>
      </c>
      <c r="K10197">
        <f>AVERAGEIF(Table1[CountryCode],Table1[[#This Row],[CountryCode]],Table1[z-score])</f>
        <v>-0.17256201820971051</v>
      </c>
      <c r="L10197" t="e">
        <f>VLOOKUP(Table1[[#This Row],[CountryCode]],[1]!Table1[#All],1,FALSE)</f>
        <v>#REF!</v>
      </c>
    </row>
    <row r="10198" spans="1:12" hidden="1" x14ac:dyDescent="0.3">
      <c r="A10198" t="s">
        <v>101</v>
      </c>
      <c r="B10198" t="s">
        <v>102</v>
      </c>
      <c r="C10198" t="s">
        <v>129</v>
      </c>
      <c r="D10198" t="s">
        <v>130</v>
      </c>
      <c r="E10198">
        <v>2013</v>
      </c>
      <c r="F10198" s="1">
        <v>71</v>
      </c>
      <c r="G10198">
        <v>2010</v>
      </c>
      <c r="H10198">
        <f>AVERAGEIFS(Table1[value],Table1[IndicatorCode],Table1[[#This Row],[IndicatorCode]])</f>
        <v>72.66514008620689</v>
      </c>
      <c r="I10198" cm="1">
        <f t="array" ref="I10198">_xlfn.STDEV.P(IF(Table1[IndicatorCode]=Table1[[#This Row],[IndicatorCode]],Table1[value]))</f>
        <v>6.3409496564024987</v>
      </c>
      <c r="J10198">
        <f>(Table1[[#This Row],[value]] - Table1[[#This Row],[mean]]) / Table1[[#This Row],[std_dev]]</f>
        <v>-0.2626010576389905</v>
      </c>
      <c r="K10198">
        <f>AVERAGEIF(Table1[CountryCode],Table1[[#This Row],[CountryCode]],Table1[z-score])</f>
        <v>-0.17256201820971051</v>
      </c>
      <c r="L10198" t="e">
        <f>VLOOKUP(Table1[[#This Row],[CountryCode]],[1]!Table1[#All],1,FALSE)</f>
        <v>#REF!</v>
      </c>
    </row>
    <row r="10199" spans="1:12" hidden="1" x14ac:dyDescent="0.3">
      <c r="A10199" t="s">
        <v>101</v>
      </c>
      <c r="B10199" t="s">
        <v>102</v>
      </c>
      <c r="C10199" t="s">
        <v>129</v>
      </c>
      <c r="D10199" t="s">
        <v>130</v>
      </c>
      <c r="E10199">
        <v>2014</v>
      </c>
      <c r="F10199" s="1">
        <v>71</v>
      </c>
      <c r="G10199">
        <v>2010</v>
      </c>
      <c r="H10199">
        <f>AVERAGEIFS(Table1[value],Table1[IndicatorCode],Table1[[#This Row],[IndicatorCode]])</f>
        <v>72.66514008620689</v>
      </c>
      <c r="I10199" cm="1">
        <f t="array" ref="I10199">_xlfn.STDEV.P(IF(Table1[IndicatorCode]=Table1[[#This Row],[IndicatorCode]],Table1[value]))</f>
        <v>6.3409496564024987</v>
      </c>
      <c r="J10199">
        <f>(Table1[[#This Row],[value]] - Table1[[#This Row],[mean]]) / Table1[[#This Row],[std_dev]]</f>
        <v>-0.2626010576389905</v>
      </c>
      <c r="K10199">
        <f>AVERAGEIF(Table1[CountryCode],Table1[[#This Row],[CountryCode]],Table1[z-score])</f>
        <v>-0.17256201820971051</v>
      </c>
      <c r="L10199" t="e">
        <f>VLOOKUP(Table1[[#This Row],[CountryCode]],[1]!Table1[#All],1,FALSE)</f>
        <v>#REF!</v>
      </c>
    </row>
    <row r="10200" spans="1:12" hidden="1" x14ac:dyDescent="0.3">
      <c r="A10200" t="s">
        <v>101</v>
      </c>
      <c r="B10200" t="s">
        <v>102</v>
      </c>
      <c r="C10200" t="s">
        <v>129</v>
      </c>
      <c r="D10200" t="s">
        <v>130</v>
      </c>
      <c r="E10200">
        <v>2015</v>
      </c>
      <c r="F10200" s="1">
        <v>71</v>
      </c>
      <c r="G10200">
        <v>2010</v>
      </c>
      <c r="H10200">
        <f>AVERAGEIFS(Table1[value],Table1[IndicatorCode],Table1[[#This Row],[IndicatorCode]])</f>
        <v>72.66514008620689</v>
      </c>
      <c r="I10200" cm="1">
        <f t="array" ref="I10200">_xlfn.STDEV.P(IF(Table1[IndicatorCode]=Table1[[#This Row],[IndicatorCode]],Table1[value]))</f>
        <v>6.3409496564024987</v>
      </c>
      <c r="J10200">
        <f>(Table1[[#This Row],[value]] - Table1[[#This Row],[mean]]) / Table1[[#This Row],[std_dev]]</f>
        <v>-0.2626010576389905</v>
      </c>
      <c r="K10200">
        <f>AVERAGEIF(Table1[CountryCode],Table1[[#This Row],[CountryCode]],Table1[z-score])</f>
        <v>-0.17256201820971051</v>
      </c>
      <c r="L10200" t="e">
        <f>VLOOKUP(Table1[[#This Row],[CountryCode]],[1]!Table1[#All],1,FALSE)</f>
        <v>#REF!</v>
      </c>
    </row>
    <row r="10201" spans="1:12" hidden="1" x14ac:dyDescent="0.3">
      <c r="A10201" t="s">
        <v>101</v>
      </c>
      <c r="B10201" t="s">
        <v>102</v>
      </c>
      <c r="C10201" t="s">
        <v>129</v>
      </c>
      <c r="D10201" t="s">
        <v>130</v>
      </c>
      <c r="E10201">
        <v>2016</v>
      </c>
      <c r="F10201" s="1">
        <v>72</v>
      </c>
      <c r="G10201">
        <v>2010</v>
      </c>
      <c r="H10201">
        <f>AVERAGEIFS(Table1[value],Table1[IndicatorCode],Table1[[#This Row],[IndicatorCode]])</f>
        <v>72.66514008620689</v>
      </c>
      <c r="I10201" cm="1">
        <f t="array" ref="I10201">_xlfn.STDEV.P(IF(Table1[IndicatorCode]=Table1[[#This Row],[IndicatorCode]],Table1[value]))</f>
        <v>6.3409496564024987</v>
      </c>
      <c r="J10201">
        <f>(Table1[[#This Row],[value]] - Table1[[#This Row],[mean]]) / Table1[[#This Row],[std_dev]]</f>
        <v>-0.10489597335555145</v>
      </c>
      <c r="K10201">
        <f>AVERAGEIF(Table1[CountryCode],Table1[[#This Row],[CountryCode]],Table1[z-score])</f>
        <v>-0.17256201820971051</v>
      </c>
      <c r="L10201" t="e">
        <f>VLOOKUP(Table1[[#This Row],[CountryCode]],[1]!Table1[#All],1,FALSE)</f>
        <v>#REF!</v>
      </c>
    </row>
    <row r="10202" spans="1:12" hidden="1" x14ac:dyDescent="0.3">
      <c r="A10202" t="s">
        <v>101</v>
      </c>
      <c r="B10202" t="s">
        <v>102</v>
      </c>
      <c r="C10202" t="s">
        <v>129</v>
      </c>
      <c r="D10202" t="s">
        <v>130</v>
      </c>
      <c r="E10202">
        <v>2017</v>
      </c>
      <c r="F10202" s="1">
        <v>72</v>
      </c>
      <c r="G10202">
        <v>2020</v>
      </c>
      <c r="H10202">
        <f>AVERAGEIFS(Table1[value],Table1[IndicatorCode],Table1[[#This Row],[IndicatorCode]])</f>
        <v>72.66514008620689</v>
      </c>
      <c r="I10202" cm="1">
        <f t="array" ref="I10202">_xlfn.STDEV.P(IF(Table1[IndicatorCode]=Table1[[#This Row],[IndicatorCode]],Table1[value]))</f>
        <v>6.3409496564024987</v>
      </c>
      <c r="J10202">
        <f>(Table1[[#This Row],[value]] - Table1[[#This Row],[mean]]) / Table1[[#This Row],[std_dev]]</f>
        <v>-0.10489597335555145</v>
      </c>
      <c r="K10202">
        <f>AVERAGEIF(Table1[CountryCode],Table1[[#This Row],[CountryCode]],Table1[z-score])</f>
        <v>-0.17256201820971051</v>
      </c>
      <c r="L10202" t="e">
        <f>VLOOKUP(Table1[[#This Row],[CountryCode]],[1]!Table1[#All],1,FALSE)</f>
        <v>#REF!</v>
      </c>
    </row>
    <row r="10203" spans="1:12" hidden="1" x14ac:dyDescent="0.3">
      <c r="A10203" t="s">
        <v>101</v>
      </c>
      <c r="B10203" t="s">
        <v>102</v>
      </c>
      <c r="C10203" t="s">
        <v>129</v>
      </c>
      <c r="D10203" t="s">
        <v>130</v>
      </c>
      <c r="E10203">
        <v>2018</v>
      </c>
      <c r="F10203" s="1">
        <v>73</v>
      </c>
      <c r="G10203">
        <v>2020</v>
      </c>
      <c r="H10203">
        <f>AVERAGEIFS(Table1[value],Table1[IndicatorCode],Table1[[#This Row],[IndicatorCode]])</f>
        <v>72.66514008620689</v>
      </c>
      <c r="I10203" cm="1">
        <f t="array" ref="I10203">_xlfn.STDEV.P(IF(Table1[IndicatorCode]=Table1[[#This Row],[IndicatorCode]],Table1[value]))</f>
        <v>6.3409496564024987</v>
      </c>
      <c r="J10203">
        <f>(Table1[[#This Row],[value]] - Table1[[#This Row],[mean]]) / Table1[[#This Row],[std_dev]]</f>
        <v>5.2809110927887599E-2</v>
      </c>
      <c r="K10203">
        <f>AVERAGEIF(Table1[CountryCode],Table1[[#This Row],[CountryCode]],Table1[z-score])</f>
        <v>-0.17256201820971051</v>
      </c>
      <c r="L10203" t="e">
        <f>VLOOKUP(Table1[[#This Row],[CountryCode]],[1]!Table1[#All],1,FALSE)</f>
        <v>#REF!</v>
      </c>
    </row>
    <row r="10204" spans="1:12" hidden="1" x14ac:dyDescent="0.3">
      <c r="A10204" t="s">
        <v>101</v>
      </c>
      <c r="B10204" t="s">
        <v>102</v>
      </c>
      <c r="C10204" t="s">
        <v>129</v>
      </c>
      <c r="D10204" t="s">
        <v>130</v>
      </c>
      <c r="E10204">
        <v>2019</v>
      </c>
      <c r="F10204" s="1">
        <v>73</v>
      </c>
      <c r="G10204">
        <v>2020</v>
      </c>
      <c r="H10204">
        <f>AVERAGEIFS(Table1[value],Table1[IndicatorCode],Table1[[#This Row],[IndicatorCode]])</f>
        <v>72.66514008620689</v>
      </c>
      <c r="I10204" cm="1">
        <f t="array" ref="I10204">_xlfn.STDEV.P(IF(Table1[IndicatorCode]=Table1[[#This Row],[IndicatorCode]],Table1[value]))</f>
        <v>6.3409496564024987</v>
      </c>
      <c r="J10204">
        <f>(Table1[[#This Row],[value]] - Table1[[#This Row],[mean]]) / Table1[[#This Row],[std_dev]]</f>
        <v>5.2809110927887599E-2</v>
      </c>
      <c r="K10204">
        <f>AVERAGEIF(Table1[CountryCode],Table1[[#This Row],[CountryCode]],Table1[z-score])</f>
        <v>-0.17256201820971051</v>
      </c>
      <c r="L10204" t="e">
        <f>VLOOKUP(Table1[[#This Row],[CountryCode]],[1]!Table1[#All],1,FALSE)</f>
        <v>#REF!</v>
      </c>
    </row>
    <row r="10205" spans="1:12" x14ac:dyDescent="0.3">
      <c r="A10205" t="s">
        <v>101</v>
      </c>
      <c r="B10205" t="s">
        <v>102</v>
      </c>
      <c r="C10205" t="s">
        <v>129</v>
      </c>
      <c r="D10205" t="s">
        <v>130</v>
      </c>
      <c r="E10205">
        <v>2020</v>
      </c>
      <c r="F10205" s="1">
        <v>71</v>
      </c>
      <c r="G10205">
        <v>2020</v>
      </c>
      <c r="H10205">
        <f>AVERAGEIFS(Table1[value],Table1[IndicatorCode],Table1[[#This Row],[IndicatorCode]])</f>
        <v>72.66514008620689</v>
      </c>
      <c r="I10205" cm="1">
        <f t="array" ref="I10205">_xlfn.STDEV.P(IF(Table1[IndicatorCode]=Table1[[#This Row],[IndicatorCode]],Table1[value]))</f>
        <v>6.3409496564024987</v>
      </c>
      <c r="J10205">
        <f>(Table1[[#This Row],[value]] - Table1[[#This Row],[mean]]) / Table1[[#This Row],[std_dev]]</f>
        <v>-0.2626010576389905</v>
      </c>
      <c r="K10205">
        <f>AVERAGEIF(Table1[CountryCode],Table1[[#This Row],[CountryCode]],Table1[z-score])</f>
        <v>-0.17256201820971051</v>
      </c>
    </row>
    <row r="10206" spans="1:12" hidden="1" x14ac:dyDescent="0.3">
      <c r="A10206" t="s">
        <v>101</v>
      </c>
      <c r="B10206" t="s">
        <v>102</v>
      </c>
      <c r="C10206" t="s">
        <v>129</v>
      </c>
      <c r="D10206" t="s">
        <v>130</v>
      </c>
      <c r="E10206">
        <v>2021</v>
      </c>
      <c r="F10206" s="1">
        <v>70</v>
      </c>
      <c r="G10206">
        <v>1960</v>
      </c>
      <c r="H10206">
        <f>AVERAGEIFS(Table1[value],Table1[IndicatorCode],Table1[[#This Row],[IndicatorCode]])</f>
        <v>72.66514008620689</v>
      </c>
      <c r="I10206" cm="1">
        <f t="array" ref="I10206">_xlfn.STDEV.P(IF(Table1[IndicatorCode]=Table1[[#This Row],[IndicatorCode]],Table1[value]))</f>
        <v>6.3409496564024987</v>
      </c>
      <c r="J10206">
        <f>(Table1[[#This Row],[value]] - Table1[[#This Row],[mean]]) / Table1[[#This Row],[std_dev]]</f>
        <v>-0.4203061419224296</v>
      </c>
      <c r="K10206">
        <f>AVERAGEIF(Table1[CountryCode],Table1[[#This Row],[CountryCode]],Table1[z-score])</f>
        <v>-0.17256201820971051</v>
      </c>
      <c r="L10206" t="e">
        <f>VLOOKUP(Table1[[#This Row],[CountryCode]],[1]!Table1[#All],1,FALSE)</f>
        <v>#REF!</v>
      </c>
    </row>
    <row r="10207" spans="1:12" hidden="1" x14ac:dyDescent="0.3">
      <c r="A10207" t="s">
        <v>101</v>
      </c>
      <c r="B10207" t="s">
        <v>102</v>
      </c>
      <c r="C10207" t="s">
        <v>129</v>
      </c>
      <c r="D10207" t="s">
        <v>130</v>
      </c>
      <c r="E10207">
        <v>2022</v>
      </c>
      <c r="F10207" s="1">
        <v>73</v>
      </c>
      <c r="G10207">
        <v>1960</v>
      </c>
      <c r="H10207">
        <f>AVERAGEIFS(Table1[value],Table1[IndicatorCode],Table1[[#This Row],[IndicatorCode]])</f>
        <v>72.66514008620689</v>
      </c>
      <c r="I10207" cm="1">
        <f t="array" ref="I10207">_xlfn.STDEV.P(IF(Table1[IndicatorCode]=Table1[[#This Row],[IndicatorCode]],Table1[value]))</f>
        <v>6.3409496564024987</v>
      </c>
      <c r="J10207">
        <f>(Table1[[#This Row],[value]] - Table1[[#This Row],[mean]]) / Table1[[#This Row],[std_dev]]</f>
        <v>5.2809110927887599E-2</v>
      </c>
      <c r="K10207">
        <f>AVERAGEIF(Table1[CountryCode],Table1[[#This Row],[CountryCode]],Table1[z-score])</f>
        <v>-0.17256201820971051</v>
      </c>
      <c r="L10207" t="e">
        <f>VLOOKUP(Table1[[#This Row],[CountryCode]],[1]!Table1[#All],1,FALSE)</f>
        <v>#REF!</v>
      </c>
    </row>
    <row r="10208" spans="1:12" hidden="1" x14ac:dyDescent="0.3">
      <c r="A10208" t="s">
        <v>101</v>
      </c>
      <c r="B10208" t="s">
        <v>102</v>
      </c>
      <c r="C10208" t="s">
        <v>129</v>
      </c>
      <c r="D10208" t="s">
        <v>130</v>
      </c>
      <c r="E10208">
        <v>2023</v>
      </c>
      <c r="F10208" s="1">
        <v>73</v>
      </c>
      <c r="G10208">
        <v>1960</v>
      </c>
      <c r="H10208">
        <f>AVERAGEIFS(Table1[value],Table1[IndicatorCode],Table1[[#This Row],[IndicatorCode]])</f>
        <v>72.66514008620689</v>
      </c>
      <c r="I10208" cm="1">
        <f t="array" ref="I10208">_xlfn.STDEV.P(IF(Table1[IndicatorCode]=Table1[[#This Row],[IndicatorCode]],Table1[value]))</f>
        <v>6.3409496564024987</v>
      </c>
      <c r="J10208">
        <f>(Table1[[#This Row],[value]] - Table1[[#This Row],[mean]]) / Table1[[#This Row],[std_dev]]</f>
        <v>5.2809110927887599E-2</v>
      </c>
      <c r="K10208">
        <f>AVERAGEIF(Table1[CountryCode],Table1[[#This Row],[CountryCode]],Table1[z-score])</f>
        <v>-0.17256201820971051</v>
      </c>
      <c r="L10208" t="e">
        <f>VLOOKUP(Table1[[#This Row],[CountryCode]],[1]!Table1[#All],1,FALSE)</f>
        <v>#REF!</v>
      </c>
    </row>
    <row r="10209" spans="1:12" hidden="1" x14ac:dyDescent="0.3">
      <c r="A10209" t="s">
        <v>103</v>
      </c>
      <c r="B10209" t="s">
        <v>104</v>
      </c>
      <c r="C10209" t="s">
        <v>129</v>
      </c>
      <c r="D10209" t="s">
        <v>130</v>
      </c>
      <c r="E10209">
        <v>1960</v>
      </c>
      <c r="F10209" s="1">
        <v>73</v>
      </c>
      <c r="G10209">
        <v>1960</v>
      </c>
      <c r="H10209">
        <f>AVERAGEIFS(Table1[value],Table1[IndicatorCode],Table1[[#This Row],[IndicatorCode]])</f>
        <v>72.66514008620689</v>
      </c>
      <c r="I10209" cm="1">
        <f t="array" ref="I10209">_xlfn.STDEV.P(IF(Table1[IndicatorCode]=Table1[[#This Row],[IndicatorCode]],Table1[value]))</f>
        <v>6.3409496564024987</v>
      </c>
      <c r="J10209">
        <f>(Table1[[#This Row],[value]] - Table1[[#This Row],[mean]]) / Table1[[#This Row],[std_dev]]</f>
        <v>5.2809110927887599E-2</v>
      </c>
      <c r="K10209">
        <f>AVERAGEIF(Table1[CountryCode],Table1[[#This Row],[CountryCode]],Table1[z-score])</f>
        <v>0.77730634815106903</v>
      </c>
      <c r="L10209" t="e">
        <f>VLOOKUP(Table1[[#This Row],[CountryCode]],[1]!Table1[#All],1,FALSE)</f>
        <v>#REF!</v>
      </c>
    </row>
    <row r="10210" spans="1:12" hidden="1" x14ac:dyDescent="0.3">
      <c r="A10210" t="s">
        <v>103</v>
      </c>
      <c r="B10210" t="s">
        <v>104</v>
      </c>
      <c r="C10210" t="s">
        <v>129</v>
      </c>
      <c r="D10210" t="s">
        <v>130</v>
      </c>
      <c r="E10210">
        <v>1961</v>
      </c>
      <c r="F10210" s="1">
        <v>73</v>
      </c>
      <c r="G10210">
        <v>1960</v>
      </c>
      <c r="H10210">
        <f>AVERAGEIFS(Table1[value],Table1[IndicatorCode],Table1[[#This Row],[IndicatorCode]])</f>
        <v>72.66514008620689</v>
      </c>
      <c r="I10210" cm="1">
        <f t="array" ref="I10210">_xlfn.STDEV.P(IF(Table1[IndicatorCode]=Table1[[#This Row],[IndicatorCode]],Table1[value]))</f>
        <v>6.3409496564024987</v>
      </c>
      <c r="J10210">
        <f>(Table1[[#This Row],[value]] - Table1[[#This Row],[mean]]) / Table1[[#This Row],[std_dev]]</f>
        <v>5.2809110927887599E-2</v>
      </c>
      <c r="K10210">
        <f>AVERAGEIF(Table1[CountryCode],Table1[[#This Row],[CountryCode]],Table1[z-score])</f>
        <v>0.77730634815106903</v>
      </c>
      <c r="L10210" t="e">
        <f>VLOOKUP(Table1[[#This Row],[CountryCode]],[1]!Table1[#All],1,FALSE)</f>
        <v>#REF!</v>
      </c>
    </row>
    <row r="10211" spans="1:12" hidden="1" x14ac:dyDescent="0.3">
      <c r="A10211" t="s">
        <v>103</v>
      </c>
      <c r="B10211" t="s">
        <v>104</v>
      </c>
      <c r="C10211" t="s">
        <v>129</v>
      </c>
      <c r="D10211" t="s">
        <v>130</v>
      </c>
      <c r="E10211">
        <v>1962</v>
      </c>
      <c r="F10211" s="1">
        <v>74</v>
      </c>
      <c r="G10211">
        <v>1960</v>
      </c>
      <c r="H10211">
        <f>AVERAGEIFS(Table1[value],Table1[IndicatorCode],Table1[[#This Row],[IndicatorCode]])</f>
        <v>72.66514008620689</v>
      </c>
      <c r="I10211" cm="1">
        <f t="array" ref="I10211">_xlfn.STDEV.P(IF(Table1[IndicatorCode]=Table1[[#This Row],[IndicatorCode]],Table1[value]))</f>
        <v>6.3409496564024987</v>
      </c>
      <c r="J10211">
        <f>(Table1[[#This Row],[value]] - Table1[[#This Row],[mean]]) / Table1[[#This Row],[std_dev]]</f>
        <v>0.21051419521132667</v>
      </c>
      <c r="K10211">
        <f>AVERAGEIF(Table1[CountryCode],Table1[[#This Row],[CountryCode]],Table1[z-score])</f>
        <v>0.77730634815106903</v>
      </c>
      <c r="L10211" t="e">
        <f>VLOOKUP(Table1[[#This Row],[CountryCode]],[1]!Table1[#All],1,FALSE)</f>
        <v>#REF!</v>
      </c>
    </row>
    <row r="10212" spans="1:12" hidden="1" x14ac:dyDescent="0.3">
      <c r="A10212" t="s">
        <v>103</v>
      </c>
      <c r="B10212" t="s">
        <v>104</v>
      </c>
      <c r="C10212" t="s">
        <v>129</v>
      </c>
      <c r="D10212" t="s">
        <v>130</v>
      </c>
      <c r="E10212">
        <v>1963</v>
      </c>
      <c r="F10212" s="1">
        <v>74</v>
      </c>
      <c r="G10212">
        <v>1960</v>
      </c>
      <c r="H10212">
        <f>AVERAGEIFS(Table1[value],Table1[IndicatorCode],Table1[[#This Row],[IndicatorCode]])</f>
        <v>72.66514008620689</v>
      </c>
      <c r="I10212" cm="1">
        <f t="array" ref="I10212">_xlfn.STDEV.P(IF(Table1[IndicatorCode]=Table1[[#This Row],[IndicatorCode]],Table1[value]))</f>
        <v>6.3409496564024987</v>
      </c>
      <c r="J10212">
        <f>(Table1[[#This Row],[value]] - Table1[[#This Row],[mean]]) / Table1[[#This Row],[std_dev]]</f>
        <v>0.21051419521132667</v>
      </c>
      <c r="K10212">
        <f>AVERAGEIF(Table1[CountryCode],Table1[[#This Row],[CountryCode]],Table1[z-score])</f>
        <v>0.77730634815106903</v>
      </c>
      <c r="L10212" t="e">
        <f>VLOOKUP(Table1[[#This Row],[CountryCode]],[1]!Table1[#All],1,FALSE)</f>
        <v>#REF!</v>
      </c>
    </row>
    <row r="10213" spans="1:12" hidden="1" x14ac:dyDescent="0.3">
      <c r="A10213" t="s">
        <v>103</v>
      </c>
      <c r="B10213" t="s">
        <v>104</v>
      </c>
      <c r="C10213" t="s">
        <v>129</v>
      </c>
      <c r="D10213" t="s">
        <v>130</v>
      </c>
      <c r="E10213">
        <v>1964</v>
      </c>
      <c r="F10213" s="1">
        <v>74</v>
      </c>
      <c r="G10213">
        <v>1960</v>
      </c>
      <c r="H10213">
        <f>AVERAGEIFS(Table1[value],Table1[IndicatorCode],Table1[[#This Row],[IndicatorCode]])</f>
        <v>72.66514008620689</v>
      </c>
      <c r="I10213" cm="1">
        <f t="array" ref="I10213">_xlfn.STDEV.P(IF(Table1[IndicatorCode]=Table1[[#This Row],[IndicatorCode]],Table1[value]))</f>
        <v>6.3409496564024987</v>
      </c>
      <c r="J10213">
        <f>(Table1[[#This Row],[value]] - Table1[[#This Row],[mean]]) / Table1[[#This Row],[std_dev]]</f>
        <v>0.21051419521132667</v>
      </c>
      <c r="K10213">
        <f>AVERAGEIF(Table1[CountryCode],Table1[[#This Row],[CountryCode]],Table1[z-score])</f>
        <v>0.77730634815106903</v>
      </c>
      <c r="L10213" t="e">
        <f>VLOOKUP(Table1[[#This Row],[CountryCode]],[1]!Table1[#All],1,FALSE)</f>
        <v>#REF!</v>
      </c>
    </row>
    <row r="10214" spans="1:12" hidden="1" x14ac:dyDescent="0.3">
      <c r="A10214" t="s">
        <v>103</v>
      </c>
      <c r="B10214" t="s">
        <v>104</v>
      </c>
      <c r="C10214" t="s">
        <v>129</v>
      </c>
      <c r="D10214" t="s">
        <v>130</v>
      </c>
      <c r="E10214">
        <v>1965</v>
      </c>
      <c r="F10214" s="1">
        <v>74</v>
      </c>
      <c r="G10214">
        <v>1960</v>
      </c>
      <c r="H10214">
        <f>AVERAGEIFS(Table1[value],Table1[IndicatorCode],Table1[[#This Row],[IndicatorCode]])</f>
        <v>72.66514008620689</v>
      </c>
      <c r="I10214" cm="1">
        <f t="array" ref="I10214">_xlfn.STDEV.P(IF(Table1[IndicatorCode]=Table1[[#This Row],[IndicatorCode]],Table1[value]))</f>
        <v>6.3409496564024987</v>
      </c>
      <c r="J10214">
        <f>(Table1[[#This Row],[value]] - Table1[[#This Row],[mean]]) / Table1[[#This Row],[std_dev]]</f>
        <v>0.21051419521132667</v>
      </c>
      <c r="K10214">
        <f>AVERAGEIF(Table1[CountryCode],Table1[[#This Row],[CountryCode]],Table1[z-score])</f>
        <v>0.77730634815106903</v>
      </c>
      <c r="L10214" t="e">
        <f>VLOOKUP(Table1[[#This Row],[CountryCode]],[1]!Table1[#All],1,FALSE)</f>
        <v>#REF!</v>
      </c>
    </row>
    <row r="10215" spans="1:12" hidden="1" x14ac:dyDescent="0.3">
      <c r="A10215" t="s">
        <v>103</v>
      </c>
      <c r="B10215" t="s">
        <v>104</v>
      </c>
      <c r="C10215" t="s">
        <v>129</v>
      </c>
      <c r="D10215" t="s">
        <v>130</v>
      </c>
      <c r="E10215">
        <v>1966</v>
      </c>
      <c r="F10215" s="1">
        <v>74</v>
      </c>
      <c r="G10215">
        <v>1960</v>
      </c>
      <c r="H10215">
        <f>AVERAGEIFS(Table1[value],Table1[IndicatorCode],Table1[[#This Row],[IndicatorCode]])</f>
        <v>72.66514008620689</v>
      </c>
      <c r="I10215" cm="1">
        <f t="array" ref="I10215">_xlfn.STDEV.P(IF(Table1[IndicatorCode]=Table1[[#This Row],[IndicatorCode]],Table1[value]))</f>
        <v>6.3409496564024987</v>
      </c>
      <c r="J10215">
        <f>(Table1[[#This Row],[value]] - Table1[[#This Row],[mean]]) / Table1[[#This Row],[std_dev]]</f>
        <v>0.21051419521132667</v>
      </c>
      <c r="K10215">
        <f>AVERAGEIF(Table1[CountryCode],Table1[[#This Row],[CountryCode]],Table1[z-score])</f>
        <v>0.77730634815106903</v>
      </c>
      <c r="L10215" t="e">
        <f>VLOOKUP(Table1[[#This Row],[CountryCode]],[1]!Table1[#All],1,FALSE)</f>
        <v>#REF!</v>
      </c>
    </row>
    <row r="10216" spans="1:12" hidden="1" x14ac:dyDescent="0.3">
      <c r="A10216" t="s">
        <v>103</v>
      </c>
      <c r="B10216" t="s">
        <v>104</v>
      </c>
      <c r="C10216" t="s">
        <v>129</v>
      </c>
      <c r="D10216" t="s">
        <v>130</v>
      </c>
      <c r="E10216">
        <v>1967</v>
      </c>
      <c r="F10216" s="1">
        <v>74</v>
      </c>
      <c r="G10216">
        <v>1970</v>
      </c>
      <c r="H10216">
        <f>AVERAGEIFS(Table1[value],Table1[IndicatorCode],Table1[[#This Row],[IndicatorCode]])</f>
        <v>72.66514008620689</v>
      </c>
      <c r="I10216" cm="1">
        <f t="array" ref="I10216">_xlfn.STDEV.P(IF(Table1[IndicatorCode]=Table1[[#This Row],[IndicatorCode]],Table1[value]))</f>
        <v>6.3409496564024987</v>
      </c>
      <c r="J10216">
        <f>(Table1[[#This Row],[value]] - Table1[[#This Row],[mean]]) / Table1[[#This Row],[std_dev]]</f>
        <v>0.21051419521132667</v>
      </c>
      <c r="K10216">
        <f>AVERAGEIF(Table1[CountryCode],Table1[[#This Row],[CountryCode]],Table1[z-score])</f>
        <v>0.77730634815106903</v>
      </c>
      <c r="L10216" t="e">
        <f>VLOOKUP(Table1[[#This Row],[CountryCode]],[1]!Table1[#All],1,FALSE)</f>
        <v>#REF!</v>
      </c>
    </row>
    <row r="10217" spans="1:12" hidden="1" x14ac:dyDescent="0.3">
      <c r="A10217" t="s">
        <v>103</v>
      </c>
      <c r="B10217" t="s">
        <v>104</v>
      </c>
      <c r="C10217" t="s">
        <v>129</v>
      </c>
      <c r="D10217" t="s">
        <v>130</v>
      </c>
      <c r="E10217">
        <v>1968</v>
      </c>
      <c r="F10217" s="1">
        <v>74</v>
      </c>
      <c r="G10217">
        <v>1970</v>
      </c>
      <c r="H10217">
        <f>AVERAGEIFS(Table1[value],Table1[IndicatorCode],Table1[[#This Row],[IndicatorCode]])</f>
        <v>72.66514008620689</v>
      </c>
      <c r="I10217" cm="1">
        <f t="array" ref="I10217">_xlfn.STDEV.P(IF(Table1[IndicatorCode]=Table1[[#This Row],[IndicatorCode]],Table1[value]))</f>
        <v>6.3409496564024987</v>
      </c>
      <c r="J10217">
        <f>(Table1[[#This Row],[value]] - Table1[[#This Row],[mean]]) / Table1[[#This Row],[std_dev]]</f>
        <v>0.21051419521132667</v>
      </c>
      <c r="K10217">
        <f>AVERAGEIF(Table1[CountryCode],Table1[[#This Row],[CountryCode]],Table1[z-score])</f>
        <v>0.77730634815106903</v>
      </c>
      <c r="L10217" t="e">
        <f>VLOOKUP(Table1[[#This Row],[CountryCode]],[1]!Table1[#All],1,FALSE)</f>
        <v>#REF!</v>
      </c>
    </row>
    <row r="10218" spans="1:12" hidden="1" x14ac:dyDescent="0.3">
      <c r="A10218" t="s">
        <v>103</v>
      </c>
      <c r="B10218" t="s">
        <v>104</v>
      </c>
      <c r="C10218" t="s">
        <v>129</v>
      </c>
      <c r="D10218" t="s">
        <v>130</v>
      </c>
      <c r="E10218">
        <v>1969</v>
      </c>
      <c r="F10218" s="1">
        <v>74</v>
      </c>
      <c r="G10218">
        <v>1970</v>
      </c>
      <c r="H10218">
        <f>AVERAGEIFS(Table1[value],Table1[IndicatorCode],Table1[[#This Row],[IndicatorCode]])</f>
        <v>72.66514008620689</v>
      </c>
      <c r="I10218" cm="1">
        <f t="array" ref="I10218">_xlfn.STDEV.P(IF(Table1[IndicatorCode]=Table1[[#This Row],[IndicatorCode]],Table1[value]))</f>
        <v>6.3409496564024987</v>
      </c>
      <c r="J10218">
        <f>(Table1[[#This Row],[value]] - Table1[[#This Row],[mean]]) / Table1[[#This Row],[std_dev]]</f>
        <v>0.21051419521132667</v>
      </c>
      <c r="K10218">
        <f>AVERAGEIF(Table1[CountryCode],Table1[[#This Row],[CountryCode]],Table1[z-score])</f>
        <v>0.77730634815106903</v>
      </c>
      <c r="L10218" t="e">
        <f>VLOOKUP(Table1[[#This Row],[CountryCode]],[1]!Table1[#All],1,FALSE)</f>
        <v>#REF!</v>
      </c>
    </row>
    <row r="10219" spans="1:12" hidden="1" x14ac:dyDescent="0.3">
      <c r="A10219" t="s">
        <v>103</v>
      </c>
      <c r="B10219" t="s">
        <v>104</v>
      </c>
      <c r="C10219" t="s">
        <v>129</v>
      </c>
      <c r="D10219" t="s">
        <v>130</v>
      </c>
      <c r="E10219">
        <v>1970</v>
      </c>
      <c r="F10219" s="1">
        <v>74</v>
      </c>
      <c r="G10219">
        <v>1970</v>
      </c>
      <c r="H10219">
        <f>AVERAGEIFS(Table1[value],Table1[IndicatorCode],Table1[[#This Row],[IndicatorCode]])</f>
        <v>72.66514008620689</v>
      </c>
      <c r="I10219" cm="1">
        <f t="array" ref="I10219">_xlfn.STDEV.P(IF(Table1[IndicatorCode]=Table1[[#This Row],[IndicatorCode]],Table1[value]))</f>
        <v>6.3409496564024987</v>
      </c>
      <c r="J10219">
        <f>(Table1[[#This Row],[value]] - Table1[[#This Row],[mean]]) / Table1[[#This Row],[std_dev]]</f>
        <v>0.21051419521132667</v>
      </c>
      <c r="K10219">
        <f>AVERAGEIF(Table1[CountryCode],Table1[[#This Row],[CountryCode]],Table1[z-score])</f>
        <v>0.77730634815106903</v>
      </c>
      <c r="L10219" t="e">
        <f>VLOOKUP(Table1[[#This Row],[CountryCode]],[1]!Table1[#All],1,FALSE)</f>
        <v>#REF!</v>
      </c>
    </row>
    <row r="10220" spans="1:12" hidden="1" x14ac:dyDescent="0.3">
      <c r="A10220" t="s">
        <v>103</v>
      </c>
      <c r="B10220" t="s">
        <v>104</v>
      </c>
      <c r="C10220" t="s">
        <v>129</v>
      </c>
      <c r="D10220" t="s">
        <v>130</v>
      </c>
      <c r="E10220">
        <v>1971</v>
      </c>
      <c r="F10220" s="1">
        <v>74</v>
      </c>
      <c r="G10220">
        <v>1970</v>
      </c>
      <c r="H10220">
        <f>AVERAGEIFS(Table1[value],Table1[IndicatorCode],Table1[[#This Row],[IndicatorCode]])</f>
        <v>72.66514008620689</v>
      </c>
      <c r="I10220" cm="1">
        <f t="array" ref="I10220">_xlfn.STDEV.P(IF(Table1[IndicatorCode]=Table1[[#This Row],[IndicatorCode]],Table1[value]))</f>
        <v>6.3409496564024987</v>
      </c>
      <c r="J10220">
        <f>(Table1[[#This Row],[value]] - Table1[[#This Row],[mean]]) / Table1[[#This Row],[std_dev]]</f>
        <v>0.21051419521132667</v>
      </c>
      <c r="K10220">
        <f>AVERAGEIF(Table1[CountryCode],Table1[[#This Row],[CountryCode]],Table1[z-score])</f>
        <v>0.77730634815106903</v>
      </c>
      <c r="L10220" t="e">
        <f>VLOOKUP(Table1[[#This Row],[CountryCode]],[1]!Table1[#All],1,FALSE)</f>
        <v>#REF!</v>
      </c>
    </row>
    <row r="10221" spans="1:12" hidden="1" x14ac:dyDescent="0.3">
      <c r="A10221" t="s">
        <v>103</v>
      </c>
      <c r="B10221" t="s">
        <v>104</v>
      </c>
      <c r="C10221" t="s">
        <v>129</v>
      </c>
      <c r="D10221" t="s">
        <v>130</v>
      </c>
      <c r="E10221">
        <v>1972</v>
      </c>
      <c r="F10221" s="1">
        <v>75</v>
      </c>
      <c r="G10221">
        <v>1970</v>
      </c>
      <c r="H10221">
        <f>AVERAGEIFS(Table1[value],Table1[IndicatorCode],Table1[[#This Row],[IndicatorCode]])</f>
        <v>72.66514008620689</v>
      </c>
      <c r="I10221" cm="1">
        <f t="array" ref="I10221">_xlfn.STDEV.P(IF(Table1[IndicatorCode]=Table1[[#This Row],[IndicatorCode]],Table1[value]))</f>
        <v>6.3409496564024987</v>
      </c>
      <c r="J10221">
        <f>(Table1[[#This Row],[value]] - Table1[[#This Row],[mean]]) / Table1[[#This Row],[std_dev]]</f>
        <v>0.36821927949476574</v>
      </c>
      <c r="K10221">
        <f>AVERAGEIF(Table1[CountryCode],Table1[[#This Row],[CountryCode]],Table1[z-score])</f>
        <v>0.77730634815106903</v>
      </c>
      <c r="L10221" t="e">
        <f>VLOOKUP(Table1[[#This Row],[CountryCode]],[1]!Table1[#All],1,FALSE)</f>
        <v>#REF!</v>
      </c>
    </row>
    <row r="10222" spans="1:12" hidden="1" x14ac:dyDescent="0.3">
      <c r="A10222" t="s">
        <v>103</v>
      </c>
      <c r="B10222" t="s">
        <v>104</v>
      </c>
      <c r="C10222" t="s">
        <v>129</v>
      </c>
      <c r="D10222" t="s">
        <v>130</v>
      </c>
      <c r="E10222">
        <v>1973</v>
      </c>
      <c r="F10222" s="1">
        <v>75</v>
      </c>
      <c r="G10222">
        <v>1970</v>
      </c>
      <c r="H10222">
        <f>AVERAGEIFS(Table1[value],Table1[IndicatorCode],Table1[[#This Row],[IndicatorCode]])</f>
        <v>72.66514008620689</v>
      </c>
      <c r="I10222" cm="1">
        <f t="array" ref="I10222">_xlfn.STDEV.P(IF(Table1[IndicatorCode]=Table1[[#This Row],[IndicatorCode]],Table1[value]))</f>
        <v>6.3409496564024987</v>
      </c>
      <c r="J10222">
        <f>(Table1[[#This Row],[value]] - Table1[[#This Row],[mean]]) / Table1[[#This Row],[std_dev]]</f>
        <v>0.36821927949476574</v>
      </c>
      <c r="K10222">
        <f>AVERAGEIF(Table1[CountryCode],Table1[[#This Row],[CountryCode]],Table1[z-score])</f>
        <v>0.77730634815106903</v>
      </c>
      <c r="L10222" t="e">
        <f>VLOOKUP(Table1[[#This Row],[CountryCode]],[1]!Table1[#All],1,FALSE)</f>
        <v>#REF!</v>
      </c>
    </row>
    <row r="10223" spans="1:12" hidden="1" x14ac:dyDescent="0.3">
      <c r="A10223" t="s">
        <v>103</v>
      </c>
      <c r="B10223" t="s">
        <v>104</v>
      </c>
      <c r="C10223" t="s">
        <v>129</v>
      </c>
      <c r="D10223" t="s">
        <v>130</v>
      </c>
      <c r="E10223">
        <v>1974</v>
      </c>
      <c r="F10223" s="1">
        <v>75</v>
      </c>
      <c r="G10223">
        <v>1970</v>
      </c>
      <c r="H10223">
        <f>AVERAGEIFS(Table1[value],Table1[IndicatorCode],Table1[[#This Row],[IndicatorCode]])</f>
        <v>72.66514008620689</v>
      </c>
      <c r="I10223" cm="1">
        <f t="array" ref="I10223">_xlfn.STDEV.P(IF(Table1[IndicatorCode]=Table1[[#This Row],[IndicatorCode]],Table1[value]))</f>
        <v>6.3409496564024987</v>
      </c>
      <c r="J10223">
        <f>(Table1[[#This Row],[value]] - Table1[[#This Row],[mean]]) / Table1[[#This Row],[std_dev]]</f>
        <v>0.36821927949476574</v>
      </c>
      <c r="K10223">
        <f>AVERAGEIF(Table1[CountryCode],Table1[[#This Row],[CountryCode]],Table1[z-score])</f>
        <v>0.77730634815106903</v>
      </c>
      <c r="L10223" t="e">
        <f>VLOOKUP(Table1[[#This Row],[CountryCode]],[1]!Table1[#All],1,FALSE)</f>
        <v>#REF!</v>
      </c>
    </row>
    <row r="10224" spans="1:12" hidden="1" x14ac:dyDescent="0.3">
      <c r="A10224" t="s">
        <v>103</v>
      </c>
      <c r="B10224" t="s">
        <v>104</v>
      </c>
      <c r="C10224" t="s">
        <v>129</v>
      </c>
      <c r="D10224" t="s">
        <v>130</v>
      </c>
      <c r="E10224">
        <v>1975</v>
      </c>
      <c r="F10224" s="1">
        <v>75</v>
      </c>
      <c r="G10224">
        <v>1970</v>
      </c>
      <c r="H10224">
        <f>AVERAGEIFS(Table1[value],Table1[IndicatorCode],Table1[[#This Row],[IndicatorCode]])</f>
        <v>72.66514008620689</v>
      </c>
      <c r="I10224" cm="1">
        <f t="array" ref="I10224">_xlfn.STDEV.P(IF(Table1[IndicatorCode]=Table1[[#This Row],[IndicatorCode]],Table1[value]))</f>
        <v>6.3409496564024987</v>
      </c>
      <c r="J10224">
        <f>(Table1[[#This Row],[value]] - Table1[[#This Row],[mean]]) / Table1[[#This Row],[std_dev]]</f>
        <v>0.36821927949476574</v>
      </c>
      <c r="K10224">
        <f>AVERAGEIF(Table1[CountryCode],Table1[[#This Row],[CountryCode]],Table1[z-score])</f>
        <v>0.77730634815106903</v>
      </c>
      <c r="L10224" t="e">
        <f>VLOOKUP(Table1[[#This Row],[CountryCode]],[1]!Table1[#All],1,FALSE)</f>
        <v>#REF!</v>
      </c>
    </row>
    <row r="10225" spans="1:12" hidden="1" x14ac:dyDescent="0.3">
      <c r="A10225" t="s">
        <v>103</v>
      </c>
      <c r="B10225" t="s">
        <v>104</v>
      </c>
      <c r="C10225" t="s">
        <v>129</v>
      </c>
      <c r="D10225" t="s">
        <v>130</v>
      </c>
      <c r="E10225">
        <v>1976</v>
      </c>
      <c r="F10225" s="1">
        <v>75</v>
      </c>
      <c r="G10225">
        <v>1970</v>
      </c>
      <c r="H10225">
        <f>AVERAGEIFS(Table1[value],Table1[IndicatorCode],Table1[[#This Row],[IndicatorCode]])</f>
        <v>72.66514008620689</v>
      </c>
      <c r="I10225" cm="1">
        <f t="array" ref="I10225">_xlfn.STDEV.P(IF(Table1[IndicatorCode]=Table1[[#This Row],[IndicatorCode]],Table1[value]))</f>
        <v>6.3409496564024987</v>
      </c>
      <c r="J10225">
        <f>(Table1[[#This Row],[value]] - Table1[[#This Row],[mean]]) / Table1[[#This Row],[std_dev]]</f>
        <v>0.36821927949476574</v>
      </c>
      <c r="K10225">
        <f>AVERAGEIF(Table1[CountryCode],Table1[[#This Row],[CountryCode]],Table1[z-score])</f>
        <v>0.77730634815106903</v>
      </c>
      <c r="L10225" t="e">
        <f>VLOOKUP(Table1[[#This Row],[CountryCode]],[1]!Table1[#All],1,FALSE)</f>
        <v>#REF!</v>
      </c>
    </row>
    <row r="10226" spans="1:12" hidden="1" x14ac:dyDescent="0.3">
      <c r="A10226" t="s">
        <v>103</v>
      </c>
      <c r="B10226" t="s">
        <v>104</v>
      </c>
      <c r="C10226" t="s">
        <v>129</v>
      </c>
      <c r="D10226" t="s">
        <v>130</v>
      </c>
      <c r="E10226">
        <v>1977</v>
      </c>
      <c r="F10226" s="1">
        <v>76</v>
      </c>
      <c r="G10226">
        <v>1980</v>
      </c>
      <c r="H10226">
        <f>AVERAGEIFS(Table1[value],Table1[IndicatorCode],Table1[[#This Row],[IndicatorCode]])</f>
        <v>72.66514008620689</v>
      </c>
      <c r="I10226" cm="1">
        <f t="array" ref="I10226">_xlfn.STDEV.P(IF(Table1[IndicatorCode]=Table1[[#This Row],[IndicatorCode]],Table1[value]))</f>
        <v>6.3409496564024987</v>
      </c>
      <c r="J10226">
        <f>(Table1[[#This Row],[value]] - Table1[[#This Row],[mean]]) / Table1[[#This Row],[std_dev]]</f>
        <v>0.52592436377820473</v>
      </c>
      <c r="K10226">
        <f>AVERAGEIF(Table1[CountryCode],Table1[[#This Row],[CountryCode]],Table1[z-score])</f>
        <v>0.77730634815106903</v>
      </c>
      <c r="L10226" t="e">
        <f>VLOOKUP(Table1[[#This Row],[CountryCode]],[1]!Table1[#All],1,FALSE)</f>
        <v>#REF!</v>
      </c>
    </row>
    <row r="10227" spans="1:12" hidden="1" x14ac:dyDescent="0.3">
      <c r="A10227" t="s">
        <v>103</v>
      </c>
      <c r="B10227" t="s">
        <v>104</v>
      </c>
      <c r="C10227" t="s">
        <v>129</v>
      </c>
      <c r="D10227" t="s">
        <v>130</v>
      </c>
      <c r="E10227">
        <v>1978</v>
      </c>
      <c r="F10227" s="1">
        <v>76</v>
      </c>
      <c r="G10227">
        <v>1980</v>
      </c>
      <c r="H10227">
        <f>AVERAGEIFS(Table1[value],Table1[IndicatorCode],Table1[[#This Row],[IndicatorCode]])</f>
        <v>72.66514008620689</v>
      </c>
      <c r="I10227" cm="1">
        <f t="array" ref="I10227">_xlfn.STDEV.P(IF(Table1[IndicatorCode]=Table1[[#This Row],[IndicatorCode]],Table1[value]))</f>
        <v>6.3409496564024987</v>
      </c>
      <c r="J10227">
        <f>(Table1[[#This Row],[value]] - Table1[[#This Row],[mean]]) / Table1[[#This Row],[std_dev]]</f>
        <v>0.52592436377820473</v>
      </c>
      <c r="K10227">
        <f>AVERAGEIF(Table1[CountryCode],Table1[[#This Row],[CountryCode]],Table1[z-score])</f>
        <v>0.77730634815106903</v>
      </c>
      <c r="L10227" t="e">
        <f>VLOOKUP(Table1[[#This Row],[CountryCode]],[1]!Table1[#All],1,FALSE)</f>
        <v>#REF!</v>
      </c>
    </row>
    <row r="10228" spans="1:12" hidden="1" x14ac:dyDescent="0.3">
      <c r="A10228" t="s">
        <v>103</v>
      </c>
      <c r="B10228" t="s">
        <v>104</v>
      </c>
      <c r="C10228" t="s">
        <v>129</v>
      </c>
      <c r="D10228" t="s">
        <v>130</v>
      </c>
      <c r="E10228">
        <v>1979</v>
      </c>
      <c r="F10228" s="1">
        <v>76</v>
      </c>
      <c r="G10228">
        <v>1980</v>
      </c>
      <c r="H10228">
        <f>AVERAGEIFS(Table1[value],Table1[IndicatorCode],Table1[[#This Row],[IndicatorCode]])</f>
        <v>72.66514008620689</v>
      </c>
      <c r="I10228" cm="1">
        <f t="array" ref="I10228">_xlfn.STDEV.P(IF(Table1[IndicatorCode]=Table1[[#This Row],[IndicatorCode]],Table1[value]))</f>
        <v>6.3409496564024987</v>
      </c>
      <c r="J10228">
        <f>(Table1[[#This Row],[value]] - Table1[[#This Row],[mean]]) / Table1[[#This Row],[std_dev]]</f>
        <v>0.52592436377820473</v>
      </c>
      <c r="K10228">
        <f>AVERAGEIF(Table1[CountryCode],Table1[[#This Row],[CountryCode]],Table1[z-score])</f>
        <v>0.77730634815106903</v>
      </c>
      <c r="L10228" t="e">
        <f>VLOOKUP(Table1[[#This Row],[CountryCode]],[1]!Table1[#All],1,FALSE)</f>
        <v>#REF!</v>
      </c>
    </row>
    <row r="10229" spans="1:12" hidden="1" x14ac:dyDescent="0.3">
      <c r="A10229" t="s">
        <v>103</v>
      </c>
      <c r="B10229" t="s">
        <v>104</v>
      </c>
      <c r="C10229" t="s">
        <v>129</v>
      </c>
      <c r="D10229" t="s">
        <v>130</v>
      </c>
      <c r="E10229">
        <v>1980</v>
      </c>
      <c r="F10229" s="1">
        <v>76</v>
      </c>
      <c r="G10229">
        <v>1980</v>
      </c>
      <c r="H10229">
        <f>AVERAGEIFS(Table1[value],Table1[IndicatorCode],Table1[[#This Row],[IndicatorCode]])</f>
        <v>72.66514008620689</v>
      </c>
      <c r="I10229" cm="1">
        <f t="array" ref="I10229">_xlfn.STDEV.P(IF(Table1[IndicatorCode]=Table1[[#This Row],[IndicatorCode]],Table1[value]))</f>
        <v>6.3409496564024987</v>
      </c>
      <c r="J10229">
        <f>(Table1[[#This Row],[value]] - Table1[[#This Row],[mean]]) / Table1[[#This Row],[std_dev]]</f>
        <v>0.52592436377820473</v>
      </c>
      <c r="K10229">
        <f>AVERAGEIF(Table1[CountryCode],Table1[[#This Row],[CountryCode]],Table1[z-score])</f>
        <v>0.77730634815106903</v>
      </c>
      <c r="L10229" t="e">
        <f>VLOOKUP(Table1[[#This Row],[CountryCode]],[1]!Table1[#All],1,FALSE)</f>
        <v>#REF!</v>
      </c>
    </row>
    <row r="10230" spans="1:12" hidden="1" x14ac:dyDescent="0.3">
      <c r="A10230" t="s">
        <v>103</v>
      </c>
      <c r="B10230" t="s">
        <v>104</v>
      </c>
      <c r="C10230" t="s">
        <v>129</v>
      </c>
      <c r="D10230" t="s">
        <v>130</v>
      </c>
      <c r="E10230">
        <v>1981</v>
      </c>
      <c r="F10230" s="1">
        <v>77</v>
      </c>
      <c r="G10230">
        <v>1980</v>
      </c>
      <c r="H10230">
        <f>AVERAGEIFS(Table1[value],Table1[IndicatorCode],Table1[[#This Row],[IndicatorCode]])</f>
        <v>72.66514008620689</v>
      </c>
      <c r="I10230" cm="1">
        <f t="array" ref="I10230">_xlfn.STDEV.P(IF(Table1[IndicatorCode]=Table1[[#This Row],[IndicatorCode]],Table1[value]))</f>
        <v>6.3409496564024987</v>
      </c>
      <c r="J10230">
        <f>(Table1[[#This Row],[value]] - Table1[[#This Row],[mean]]) / Table1[[#This Row],[std_dev]]</f>
        <v>0.68362944806164383</v>
      </c>
      <c r="K10230">
        <f>AVERAGEIF(Table1[CountryCode],Table1[[#This Row],[CountryCode]],Table1[z-score])</f>
        <v>0.77730634815106903</v>
      </c>
      <c r="L10230" t="e">
        <f>VLOOKUP(Table1[[#This Row],[CountryCode]],[1]!Table1[#All],1,FALSE)</f>
        <v>#REF!</v>
      </c>
    </row>
    <row r="10231" spans="1:12" hidden="1" x14ac:dyDescent="0.3">
      <c r="A10231" t="s">
        <v>103</v>
      </c>
      <c r="B10231" t="s">
        <v>104</v>
      </c>
      <c r="C10231" t="s">
        <v>129</v>
      </c>
      <c r="D10231" t="s">
        <v>130</v>
      </c>
      <c r="E10231">
        <v>1982</v>
      </c>
      <c r="F10231" s="1">
        <v>77</v>
      </c>
      <c r="G10231">
        <v>1980</v>
      </c>
      <c r="H10231">
        <f>AVERAGEIFS(Table1[value],Table1[IndicatorCode],Table1[[#This Row],[IndicatorCode]])</f>
        <v>72.66514008620689</v>
      </c>
      <c r="I10231" cm="1">
        <f t="array" ref="I10231">_xlfn.STDEV.P(IF(Table1[IndicatorCode]=Table1[[#This Row],[IndicatorCode]],Table1[value]))</f>
        <v>6.3409496564024987</v>
      </c>
      <c r="J10231">
        <f>(Table1[[#This Row],[value]] - Table1[[#This Row],[mean]]) / Table1[[#This Row],[std_dev]]</f>
        <v>0.68362944806164383</v>
      </c>
      <c r="K10231">
        <f>AVERAGEIF(Table1[CountryCode],Table1[[#This Row],[CountryCode]],Table1[z-score])</f>
        <v>0.77730634815106903</v>
      </c>
      <c r="L10231" t="e">
        <f>VLOOKUP(Table1[[#This Row],[CountryCode]],[1]!Table1[#All],1,FALSE)</f>
        <v>#REF!</v>
      </c>
    </row>
    <row r="10232" spans="1:12" hidden="1" x14ac:dyDescent="0.3">
      <c r="A10232" t="s">
        <v>103</v>
      </c>
      <c r="B10232" t="s">
        <v>104</v>
      </c>
      <c r="C10232" t="s">
        <v>129</v>
      </c>
      <c r="D10232" t="s">
        <v>130</v>
      </c>
      <c r="E10232">
        <v>1983</v>
      </c>
      <c r="F10232" s="1">
        <v>77</v>
      </c>
      <c r="G10232">
        <v>1980</v>
      </c>
      <c r="H10232">
        <f>AVERAGEIFS(Table1[value],Table1[IndicatorCode],Table1[[#This Row],[IndicatorCode]])</f>
        <v>72.66514008620689</v>
      </c>
      <c r="I10232" cm="1">
        <f t="array" ref="I10232">_xlfn.STDEV.P(IF(Table1[IndicatorCode]=Table1[[#This Row],[IndicatorCode]],Table1[value]))</f>
        <v>6.3409496564024987</v>
      </c>
      <c r="J10232">
        <f>(Table1[[#This Row],[value]] - Table1[[#This Row],[mean]]) / Table1[[#This Row],[std_dev]]</f>
        <v>0.68362944806164383</v>
      </c>
      <c r="K10232">
        <f>AVERAGEIF(Table1[CountryCode],Table1[[#This Row],[CountryCode]],Table1[z-score])</f>
        <v>0.77730634815106903</v>
      </c>
      <c r="L10232" t="e">
        <f>VLOOKUP(Table1[[#This Row],[CountryCode]],[1]!Table1[#All],1,FALSE)</f>
        <v>#REF!</v>
      </c>
    </row>
    <row r="10233" spans="1:12" hidden="1" x14ac:dyDescent="0.3">
      <c r="A10233" t="s">
        <v>103</v>
      </c>
      <c r="B10233" t="s">
        <v>104</v>
      </c>
      <c r="C10233" t="s">
        <v>129</v>
      </c>
      <c r="D10233" t="s">
        <v>130</v>
      </c>
      <c r="E10233">
        <v>1984</v>
      </c>
      <c r="F10233" s="1">
        <v>77</v>
      </c>
      <c r="G10233">
        <v>1980</v>
      </c>
      <c r="H10233">
        <f>AVERAGEIFS(Table1[value],Table1[IndicatorCode],Table1[[#This Row],[IndicatorCode]])</f>
        <v>72.66514008620689</v>
      </c>
      <c r="I10233" cm="1">
        <f t="array" ref="I10233">_xlfn.STDEV.P(IF(Table1[IndicatorCode]=Table1[[#This Row],[IndicatorCode]],Table1[value]))</f>
        <v>6.3409496564024987</v>
      </c>
      <c r="J10233">
        <f>(Table1[[#This Row],[value]] - Table1[[#This Row],[mean]]) / Table1[[#This Row],[std_dev]]</f>
        <v>0.68362944806164383</v>
      </c>
      <c r="K10233">
        <f>AVERAGEIF(Table1[CountryCode],Table1[[#This Row],[CountryCode]],Table1[z-score])</f>
        <v>0.77730634815106903</v>
      </c>
      <c r="L10233" t="e">
        <f>VLOOKUP(Table1[[#This Row],[CountryCode]],[1]!Table1[#All],1,FALSE)</f>
        <v>#REF!</v>
      </c>
    </row>
    <row r="10234" spans="1:12" hidden="1" x14ac:dyDescent="0.3">
      <c r="A10234" t="s">
        <v>103</v>
      </c>
      <c r="B10234" t="s">
        <v>104</v>
      </c>
      <c r="C10234" t="s">
        <v>129</v>
      </c>
      <c r="D10234" t="s">
        <v>130</v>
      </c>
      <c r="E10234">
        <v>1985</v>
      </c>
      <c r="F10234" s="1">
        <v>77</v>
      </c>
      <c r="G10234">
        <v>1980</v>
      </c>
      <c r="H10234">
        <f>AVERAGEIFS(Table1[value],Table1[IndicatorCode],Table1[[#This Row],[IndicatorCode]])</f>
        <v>72.66514008620689</v>
      </c>
      <c r="I10234" cm="1">
        <f t="array" ref="I10234">_xlfn.STDEV.P(IF(Table1[IndicatorCode]=Table1[[#This Row],[IndicatorCode]],Table1[value]))</f>
        <v>6.3409496564024987</v>
      </c>
      <c r="J10234">
        <f>(Table1[[#This Row],[value]] - Table1[[#This Row],[mean]]) / Table1[[#This Row],[std_dev]]</f>
        <v>0.68362944806164383</v>
      </c>
      <c r="K10234">
        <f>AVERAGEIF(Table1[CountryCode],Table1[[#This Row],[CountryCode]],Table1[z-score])</f>
        <v>0.77730634815106903</v>
      </c>
      <c r="L10234" t="e">
        <f>VLOOKUP(Table1[[#This Row],[CountryCode]],[1]!Table1[#All],1,FALSE)</f>
        <v>#REF!</v>
      </c>
    </row>
    <row r="10235" spans="1:12" hidden="1" x14ac:dyDescent="0.3">
      <c r="A10235" t="s">
        <v>103</v>
      </c>
      <c r="B10235" t="s">
        <v>104</v>
      </c>
      <c r="C10235" t="s">
        <v>129</v>
      </c>
      <c r="D10235" t="s">
        <v>130</v>
      </c>
      <c r="E10235">
        <v>1986</v>
      </c>
      <c r="F10235" s="1">
        <v>77</v>
      </c>
      <c r="G10235">
        <v>1980</v>
      </c>
      <c r="H10235">
        <f>AVERAGEIFS(Table1[value],Table1[IndicatorCode],Table1[[#This Row],[IndicatorCode]])</f>
        <v>72.66514008620689</v>
      </c>
      <c r="I10235" cm="1">
        <f t="array" ref="I10235">_xlfn.STDEV.P(IF(Table1[IndicatorCode]=Table1[[#This Row],[IndicatorCode]],Table1[value]))</f>
        <v>6.3409496564024987</v>
      </c>
      <c r="J10235">
        <f>(Table1[[#This Row],[value]] - Table1[[#This Row],[mean]]) / Table1[[#This Row],[std_dev]]</f>
        <v>0.68362944806164383</v>
      </c>
      <c r="K10235">
        <f>AVERAGEIF(Table1[CountryCode],Table1[[#This Row],[CountryCode]],Table1[z-score])</f>
        <v>0.77730634815106903</v>
      </c>
      <c r="L10235" t="e">
        <f>VLOOKUP(Table1[[#This Row],[CountryCode]],[1]!Table1[#All],1,FALSE)</f>
        <v>#REF!</v>
      </c>
    </row>
    <row r="10236" spans="1:12" hidden="1" x14ac:dyDescent="0.3">
      <c r="A10236" t="s">
        <v>103</v>
      </c>
      <c r="B10236" t="s">
        <v>104</v>
      </c>
      <c r="C10236" t="s">
        <v>129</v>
      </c>
      <c r="D10236" t="s">
        <v>130</v>
      </c>
      <c r="E10236">
        <v>1987</v>
      </c>
      <c r="F10236" s="1">
        <v>77</v>
      </c>
      <c r="G10236">
        <v>1990</v>
      </c>
      <c r="H10236">
        <f>AVERAGEIFS(Table1[value],Table1[IndicatorCode],Table1[[#This Row],[IndicatorCode]])</f>
        <v>72.66514008620689</v>
      </c>
      <c r="I10236" cm="1">
        <f t="array" ref="I10236">_xlfn.STDEV.P(IF(Table1[IndicatorCode]=Table1[[#This Row],[IndicatorCode]],Table1[value]))</f>
        <v>6.3409496564024987</v>
      </c>
      <c r="J10236">
        <f>(Table1[[#This Row],[value]] - Table1[[#This Row],[mean]]) / Table1[[#This Row],[std_dev]]</f>
        <v>0.68362944806164383</v>
      </c>
      <c r="K10236">
        <f>AVERAGEIF(Table1[CountryCode],Table1[[#This Row],[CountryCode]],Table1[z-score])</f>
        <v>0.77730634815106903</v>
      </c>
      <c r="L10236" t="e">
        <f>VLOOKUP(Table1[[#This Row],[CountryCode]],[1]!Table1[#All],1,FALSE)</f>
        <v>#REF!</v>
      </c>
    </row>
    <row r="10237" spans="1:12" hidden="1" x14ac:dyDescent="0.3">
      <c r="A10237" t="s">
        <v>103</v>
      </c>
      <c r="B10237" t="s">
        <v>104</v>
      </c>
      <c r="C10237" t="s">
        <v>129</v>
      </c>
      <c r="D10237" t="s">
        <v>130</v>
      </c>
      <c r="E10237">
        <v>1988</v>
      </c>
      <c r="F10237" s="1">
        <v>78</v>
      </c>
      <c r="G10237">
        <v>1990</v>
      </c>
      <c r="H10237">
        <f>AVERAGEIFS(Table1[value],Table1[IndicatorCode],Table1[[#This Row],[IndicatorCode]])</f>
        <v>72.66514008620689</v>
      </c>
      <c r="I10237" cm="1">
        <f t="array" ref="I10237">_xlfn.STDEV.P(IF(Table1[IndicatorCode]=Table1[[#This Row],[IndicatorCode]],Table1[value]))</f>
        <v>6.3409496564024987</v>
      </c>
      <c r="J10237">
        <f>(Table1[[#This Row],[value]] - Table1[[#This Row],[mean]]) / Table1[[#This Row],[std_dev]]</f>
        <v>0.84133453234508293</v>
      </c>
      <c r="K10237">
        <f>AVERAGEIF(Table1[CountryCode],Table1[[#This Row],[CountryCode]],Table1[z-score])</f>
        <v>0.77730634815106903</v>
      </c>
      <c r="L10237" t="e">
        <f>VLOOKUP(Table1[[#This Row],[CountryCode]],[1]!Table1[#All],1,FALSE)</f>
        <v>#REF!</v>
      </c>
    </row>
    <row r="10238" spans="1:12" hidden="1" x14ac:dyDescent="0.3">
      <c r="A10238" t="s">
        <v>103</v>
      </c>
      <c r="B10238" t="s">
        <v>104</v>
      </c>
      <c r="C10238" t="s">
        <v>129</v>
      </c>
      <c r="D10238" t="s">
        <v>130</v>
      </c>
      <c r="E10238">
        <v>1989</v>
      </c>
      <c r="F10238" s="1">
        <v>78</v>
      </c>
      <c r="G10238">
        <v>1990</v>
      </c>
      <c r="H10238">
        <f>AVERAGEIFS(Table1[value],Table1[IndicatorCode],Table1[[#This Row],[IndicatorCode]])</f>
        <v>72.66514008620689</v>
      </c>
      <c r="I10238" cm="1">
        <f t="array" ref="I10238">_xlfn.STDEV.P(IF(Table1[IndicatorCode]=Table1[[#This Row],[IndicatorCode]],Table1[value]))</f>
        <v>6.3409496564024987</v>
      </c>
      <c r="J10238">
        <f>(Table1[[#This Row],[value]] - Table1[[#This Row],[mean]]) / Table1[[#This Row],[std_dev]]</f>
        <v>0.84133453234508293</v>
      </c>
      <c r="K10238">
        <f>AVERAGEIF(Table1[CountryCode],Table1[[#This Row],[CountryCode]],Table1[z-score])</f>
        <v>0.77730634815106903</v>
      </c>
      <c r="L10238" t="e">
        <f>VLOOKUP(Table1[[#This Row],[CountryCode]],[1]!Table1[#All],1,FALSE)</f>
        <v>#REF!</v>
      </c>
    </row>
    <row r="10239" spans="1:12" hidden="1" x14ac:dyDescent="0.3">
      <c r="A10239" t="s">
        <v>103</v>
      </c>
      <c r="B10239" t="s">
        <v>104</v>
      </c>
      <c r="C10239" t="s">
        <v>129</v>
      </c>
      <c r="D10239" t="s">
        <v>130</v>
      </c>
      <c r="E10239">
        <v>1990</v>
      </c>
      <c r="F10239" s="1">
        <v>78</v>
      </c>
      <c r="G10239">
        <v>1990</v>
      </c>
      <c r="H10239">
        <f>AVERAGEIFS(Table1[value],Table1[IndicatorCode],Table1[[#This Row],[IndicatorCode]])</f>
        <v>72.66514008620689</v>
      </c>
      <c r="I10239" cm="1">
        <f t="array" ref="I10239">_xlfn.STDEV.P(IF(Table1[IndicatorCode]=Table1[[#This Row],[IndicatorCode]],Table1[value]))</f>
        <v>6.3409496564024987</v>
      </c>
      <c r="J10239">
        <f>(Table1[[#This Row],[value]] - Table1[[#This Row],[mean]]) / Table1[[#This Row],[std_dev]]</f>
        <v>0.84133453234508293</v>
      </c>
      <c r="K10239">
        <f>AVERAGEIF(Table1[CountryCode],Table1[[#This Row],[CountryCode]],Table1[z-score])</f>
        <v>0.77730634815106903</v>
      </c>
      <c r="L10239" t="e">
        <f>VLOOKUP(Table1[[#This Row],[CountryCode]],[1]!Table1[#All],1,FALSE)</f>
        <v>#REF!</v>
      </c>
    </row>
    <row r="10240" spans="1:12" hidden="1" x14ac:dyDescent="0.3">
      <c r="A10240" t="s">
        <v>103</v>
      </c>
      <c r="B10240" t="s">
        <v>104</v>
      </c>
      <c r="C10240" t="s">
        <v>129</v>
      </c>
      <c r="D10240" t="s">
        <v>130</v>
      </c>
      <c r="E10240">
        <v>1991</v>
      </c>
      <c r="F10240" s="1">
        <v>78</v>
      </c>
      <c r="G10240">
        <v>1990</v>
      </c>
      <c r="H10240">
        <f>AVERAGEIFS(Table1[value],Table1[IndicatorCode],Table1[[#This Row],[IndicatorCode]])</f>
        <v>72.66514008620689</v>
      </c>
      <c r="I10240" cm="1">
        <f t="array" ref="I10240">_xlfn.STDEV.P(IF(Table1[IndicatorCode]=Table1[[#This Row],[IndicatorCode]],Table1[value]))</f>
        <v>6.3409496564024987</v>
      </c>
      <c r="J10240">
        <f>(Table1[[#This Row],[value]] - Table1[[#This Row],[mean]]) / Table1[[#This Row],[std_dev]]</f>
        <v>0.84133453234508293</v>
      </c>
      <c r="K10240">
        <f>AVERAGEIF(Table1[CountryCode],Table1[[#This Row],[CountryCode]],Table1[z-score])</f>
        <v>0.77730634815106903</v>
      </c>
      <c r="L10240" t="e">
        <f>VLOOKUP(Table1[[#This Row],[CountryCode]],[1]!Table1[#All],1,FALSE)</f>
        <v>#REF!</v>
      </c>
    </row>
    <row r="10241" spans="1:12" hidden="1" x14ac:dyDescent="0.3">
      <c r="A10241" t="s">
        <v>103</v>
      </c>
      <c r="B10241" t="s">
        <v>104</v>
      </c>
      <c r="C10241" t="s">
        <v>129</v>
      </c>
      <c r="D10241" t="s">
        <v>130</v>
      </c>
      <c r="E10241">
        <v>1992</v>
      </c>
      <c r="F10241" s="1">
        <v>78</v>
      </c>
      <c r="G10241">
        <v>1990</v>
      </c>
      <c r="H10241">
        <f>AVERAGEIFS(Table1[value],Table1[IndicatorCode],Table1[[#This Row],[IndicatorCode]])</f>
        <v>72.66514008620689</v>
      </c>
      <c r="I10241" cm="1">
        <f t="array" ref="I10241">_xlfn.STDEV.P(IF(Table1[IndicatorCode]=Table1[[#This Row],[IndicatorCode]],Table1[value]))</f>
        <v>6.3409496564024987</v>
      </c>
      <c r="J10241">
        <f>(Table1[[#This Row],[value]] - Table1[[#This Row],[mean]]) / Table1[[#This Row],[std_dev]]</f>
        <v>0.84133453234508293</v>
      </c>
      <c r="K10241">
        <f>AVERAGEIF(Table1[CountryCode],Table1[[#This Row],[CountryCode]],Table1[z-score])</f>
        <v>0.77730634815106903</v>
      </c>
      <c r="L10241" t="e">
        <f>VLOOKUP(Table1[[#This Row],[CountryCode]],[1]!Table1[#All],1,FALSE)</f>
        <v>#REF!</v>
      </c>
    </row>
    <row r="10242" spans="1:12" hidden="1" x14ac:dyDescent="0.3">
      <c r="A10242" t="s">
        <v>103</v>
      </c>
      <c r="B10242" t="s">
        <v>104</v>
      </c>
      <c r="C10242" t="s">
        <v>129</v>
      </c>
      <c r="D10242" t="s">
        <v>130</v>
      </c>
      <c r="E10242">
        <v>1993</v>
      </c>
      <c r="F10242" s="1">
        <v>78</v>
      </c>
      <c r="G10242">
        <v>1990</v>
      </c>
      <c r="H10242">
        <f>AVERAGEIFS(Table1[value],Table1[IndicatorCode],Table1[[#This Row],[IndicatorCode]])</f>
        <v>72.66514008620689</v>
      </c>
      <c r="I10242" cm="1">
        <f t="array" ref="I10242">_xlfn.STDEV.P(IF(Table1[IndicatorCode]=Table1[[#This Row],[IndicatorCode]],Table1[value]))</f>
        <v>6.3409496564024987</v>
      </c>
      <c r="J10242">
        <f>(Table1[[#This Row],[value]] - Table1[[#This Row],[mean]]) / Table1[[#This Row],[std_dev]]</f>
        <v>0.84133453234508293</v>
      </c>
      <c r="K10242">
        <f>AVERAGEIF(Table1[CountryCode],Table1[[#This Row],[CountryCode]],Table1[z-score])</f>
        <v>0.77730634815106903</v>
      </c>
      <c r="L10242" t="e">
        <f>VLOOKUP(Table1[[#This Row],[CountryCode]],[1]!Table1[#All],1,FALSE)</f>
        <v>#REF!</v>
      </c>
    </row>
    <row r="10243" spans="1:12" hidden="1" x14ac:dyDescent="0.3">
      <c r="A10243" t="s">
        <v>103</v>
      </c>
      <c r="B10243" t="s">
        <v>104</v>
      </c>
      <c r="C10243" t="s">
        <v>129</v>
      </c>
      <c r="D10243" t="s">
        <v>130</v>
      </c>
      <c r="E10243">
        <v>1994</v>
      </c>
      <c r="F10243" s="1">
        <v>79</v>
      </c>
      <c r="G10243">
        <v>1990</v>
      </c>
      <c r="H10243">
        <f>AVERAGEIFS(Table1[value],Table1[IndicatorCode],Table1[[#This Row],[IndicatorCode]])</f>
        <v>72.66514008620689</v>
      </c>
      <c r="I10243" cm="1">
        <f t="array" ref="I10243">_xlfn.STDEV.P(IF(Table1[IndicatorCode]=Table1[[#This Row],[IndicatorCode]],Table1[value]))</f>
        <v>6.3409496564024987</v>
      </c>
      <c r="J10243">
        <f>(Table1[[#This Row],[value]] - Table1[[#This Row],[mean]]) / Table1[[#This Row],[std_dev]]</f>
        <v>0.99903961662852192</v>
      </c>
      <c r="K10243">
        <f>AVERAGEIF(Table1[CountryCode],Table1[[#This Row],[CountryCode]],Table1[z-score])</f>
        <v>0.77730634815106903</v>
      </c>
      <c r="L10243" t="e">
        <f>VLOOKUP(Table1[[#This Row],[CountryCode]],[1]!Table1[#All],1,FALSE)</f>
        <v>#REF!</v>
      </c>
    </row>
    <row r="10244" spans="1:12" hidden="1" x14ac:dyDescent="0.3">
      <c r="A10244" t="s">
        <v>103</v>
      </c>
      <c r="B10244" t="s">
        <v>104</v>
      </c>
      <c r="C10244" t="s">
        <v>129</v>
      </c>
      <c r="D10244" t="s">
        <v>130</v>
      </c>
      <c r="E10244">
        <v>1995</v>
      </c>
      <c r="F10244" s="1">
        <v>79</v>
      </c>
      <c r="G10244">
        <v>1990</v>
      </c>
      <c r="H10244">
        <f>AVERAGEIFS(Table1[value],Table1[IndicatorCode],Table1[[#This Row],[IndicatorCode]])</f>
        <v>72.66514008620689</v>
      </c>
      <c r="I10244" cm="1">
        <f t="array" ref="I10244">_xlfn.STDEV.P(IF(Table1[IndicatorCode]=Table1[[#This Row],[IndicatorCode]],Table1[value]))</f>
        <v>6.3409496564024987</v>
      </c>
      <c r="J10244">
        <f>(Table1[[#This Row],[value]] - Table1[[#This Row],[mean]]) / Table1[[#This Row],[std_dev]]</f>
        <v>0.99903961662852192</v>
      </c>
      <c r="K10244">
        <f>AVERAGEIF(Table1[CountryCode],Table1[[#This Row],[CountryCode]],Table1[z-score])</f>
        <v>0.77730634815106903</v>
      </c>
      <c r="L10244" t="e">
        <f>VLOOKUP(Table1[[#This Row],[CountryCode]],[1]!Table1[#All],1,FALSE)</f>
        <v>#REF!</v>
      </c>
    </row>
    <row r="10245" spans="1:12" hidden="1" x14ac:dyDescent="0.3">
      <c r="A10245" t="s">
        <v>103</v>
      </c>
      <c r="B10245" t="s">
        <v>104</v>
      </c>
      <c r="C10245" t="s">
        <v>129</v>
      </c>
      <c r="D10245" t="s">
        <v>130</v>
      </c>
      <c r="E10245">
        <v>1996</v>
      </c>
      <c r="F10245" s="1">
        <v>79</v>
      </c>
      <c r="G10245">
        <v>1990</v>
      </c>
      <c r="H10245">
        <f>AVERAGEIFS(Table1[value],Table1[IndicatorCode],Table1[[#This Row],[IndicatorCode]])</f>
        <v>72.66514008620689</v>
      </c>
      <c r="I10245" cm="1">
        <f t="array" ref="I10245">_xlfn.STDEV.P(IF(Table1[IndicatorCode]=Table1[[#This Row],[IndicatorCode]],Table1[value]))</f>
        <v>6.3409496564024987</v>
      </c>
      <c r="J10245">
        <f>(Table1[[#This Row],[value]] - Table1[[#This Row],[mean]]) / Table1[[#This Row],[std_dev]]</f>
        <v>0.99903961662852192</v>
      </c>
      <c r="K10245">
        <f>AVERAGEIF(Table1[CountryCode],Table1[[#This Row],[CountryCode]],Table1[z-score])</f>
        <v>0.77730634815106903</v>
      </c>
      <c r="L10245" t="e">
        <f>VLOOKUP(Table1[[#This Row],[CountryCode]],[1]!Table1[#All],1,FALSE)</f>
        <v>#REF!</v>
      </c>
    </row>
    <row r="10246" spans="1:12" hidden="1" x14ac:dyDescent="0.3">
      <c r="A10246" t="s">
        <v>103</v>
      </c>
      <c r="B10246" t="s">
        <v>104</v>
      </c>
      <c r="C10246" t="s">
        <v>129</v>
      </c>
      <c r="D10246" t="s">
        <v>130</v>
      </c>
      <c r="E10246">
        <v>1997</v>
      </c>
      <c r="F10246" s="1">
        <v>80</v>
      </c>
      <c r="G10246">
        <v>2000</v>
      </c>
      <c r="H10246">
        <f>AVERAGEIFS(Table1[value],Table1[IndicatorCode],Table1[[#This Row],[IndicatorCode]])</f>
        <v>72.66514008620689</v>
      </c>
      <c r="I10246" cm="1">
        <f t="array" ref="I10246">_xlfn.STDEV.P(IF(Table1[IndicatorCode]=Table1[[#This Row],[IndicatorCode]],Table1[value]))</f>
        <v>6.3409496564024987</v>
      </c>
      <c r="J10246">
        <f>(Table1[[#This Row],[value]] - Table1[[#This Row],[mean]]) / Table1[[#This Row],[std_dev]]</f>
        <v>1.1567447009119609</v>
      </c>
      <c r="K10246">
        <f>AVERAGEIF(Table1[CountryCode],Table1[[#This Row],[CountryCode]],Table1[z-score])</f>
        <v>0.77730634815106903</v>
      </c>
      <c r="L10246" t="e">
        <f>VLOOKUP(Table1[[#This Row],[CountryCode]],[1]!Table1[#All],1,FALSE)</f>
        <v>#REF!</v>
      </c>
    </row>
    <row r="10247" spans="1:12" hidden="1" x14ac:dyDescent="0.3">
      <c r="A10247" t="s">
        <v>103</v>
      </c>
      <c r="B10247" t="s">
        <v>104</v>
      </c>
      <c r="C10247" t="s">
        <v>129</v>
      </c>
      <c r="D10247" t="s">
        <v>130</v>
      </c>
      <c r="E10247">
        <v>1998</v>
      </c>
      <c r="F10247" s="1">
        <v>80</v>
      </c>
      <c r="G10247">
        <v>2000</v>
      </c>
      <c r="H10247">
        <f>AVERAGEIFS(Table1[value],Table1[IndicatorCode],Table1[[#This Row],[IndicatorCode]])</f>
        <v>72.66514008620689</v>
      </c>
      <c r="I10247" cm="1">
        <f t="array" ref="I10247">_xlfn.STDEV.P(IF(Table1[IndicatorCode]=Table1[[#This Row],[IndicatorCode]],Table1[value]))</f>
        <v>6.3409496564024987</v>
      </c>
      <c r="J10247">
        <f>(Table1[[#This Row],[value]] - Table1[[#This Row],[mean]]) / Table1[[#This Row],[std_dev]]</f>
        <v>1.1567447009119609</v>
      </c>
      <c r="K10247">
        <f>AVERAGEIF(Table1[CountryCode],Table1[[#This Row],[CountryCode]],Table1[z-score])</f>
        <v>0.77730634815106903</v>
      </c>
      <c r="L10247" t="e">
        <f>VLOOKUP(Table1[[#This Row],[CountryCode]],[1]!Table1[#All],1,FALSE)</f>
        <v>#REF!</v>
      </c>
    </row>
    <row r="10248" spans="1:12" hidden="1" x14ac:dyDescent="0.3">
      <c r="A10248" t="s">
        <v>103</v>
      </c>
      <c r="B10248" t="s">
        <v>104</v>
      </c>
      <c r="C10248" t="s">
        <v>129</v>
      </c>
      <c r="D10248" t="s">
        <v>130</v>
      </c>
      <c r="E10248">
        <v>1999</v>
      </c>
      <c r="F10248" s="1">
        <v>80</v>
      </c>
      <c r="G10248">
        <v>2000</v>
      </c>
      <c r="H10248">
        <f>AVERAGEIFS(Table1[value],Table1[IndicatorCode],Table1[[#This Row],[IndicatorCode]])</f>
        <v>72.66514008620689</v>
      </c>
      <c r="I10248" cm="1">
        <f t="array" ref="I10248">_xlfn.STDEV.P(IF(Table1[IndicatorCode]=Table1[[#This Row],[IndicatorCode]],Table1[value]))</f>
        <v>6.3409496564024987</v>
      </c>
      <c r="J10248">
        <f>(Table1[[#This Row],[value]] - Table1[[#This Row],[mean]]) / Table1[[#This Row],[std_dev]]</f>
        <v>1.1567447009119609</v>
      </c>
      <c r="K10248">
        <f>AVERAGEIF(Table1[CountryCode],Table1[[#This Row],[CountryCode]],Table1[z-score])</f>
        <v>0.77730634815106903</v>
      </c>
      <c r="L10248" t="e">
        <f>VLOOKUP(Table1[[#This Row],[CountryCode]],[1]!Table1[#All],1,FALSE)</f>
        <v>#REF!</v>
      </c>
    </row>
    <row r="10249" spans="1:12" hidden="1" x14ac:dyDescent="0.3">
      <c r="A10249" t="s">
        <v>103</v>
      </c>
      <c r="B10249" t="s">
        <v>104</v>
      </c>
      <c r="C10249" t="s">
        <v>129</v>
      </c>
      <c r="D10249" t="s">
        <v>130</v>
      </c>
      <c r="E10249">
        <v>2000</v>
      </c>
      <c r="F10249" s="1">
        <v>81</v>
      </c>
      <c r="G10249">
        <v>2000</v>
      </c>
      <c r="H10249">
        <f>AVERAGEIFS(Table1[value],Table1[IndicatorCode],Table1[[#This Row],[IndicatorCode]])</f>
        <v>72.66514008620689</v>
      </c>
      <c r="I10249" cm="1">
        <f t="array" ref="I10249">_xlfn.STDEV.P(IF(Table1[IndicatorCode]=Table1[[#This Row],[IndicatorCode]],Table1[value]))</f>
        <v>6.3409496564024987</v>
      </c>
      <c r="J10249">
        <f>(Table1[[#This Row],[value]] - Table1[[#This Row],[mean]]) / Table1[[#This Row],[std_dev]]</f>
        <v>1.3144497851954</v>
      </c>
      <c r="K10249">
        <f>AVERAGEIF(Table1[CountryCode],Table1[[#This Row],[CountryCode]],Table1[z-score])</f>
        <v>0.77730634815106903</v>
      </c>
      <c r="L10249" t="e">
        <f>VLOOKUP(Table1[[#This Row],[CountryCode]],[1]!Table1[#All],1,FALSE)</f>
        <v>#REF!</v>
      </c>
    </row>
    <row r="10250" spans="1:12" hidden="1" x14ac:dyDescent="0.3">
      <c r="A10250" t="s">
        <v>103</v>
      </c>
      <c r="B10250" t="s">
        <v>104</v>
      </c>
      <c r="C10250" t="s">
        <v>129</v>
      </c>
      <c r="D10250" t="s">
        <v>130</v>
      </c>
      <c r="E10250">
        <v>2001</v>
      </c>
      <c r="F10250" s="1">
        <v>81</v>
      </c>
      <c r="G10250">
        <v>2000</v>
      </c>
      <c r="H10250">
        <f>AVERAGEIFS(Table1[value],Table1[IndicatorCode],Table1[[#This Row],[IndicatorCode]])</f>
        <v>72.66514008620689</v>
      </c>
      <c r="I10250" cm="1">
        <f t="array" ref="I10250">_xlfn.STDEV.P(IF(Table1[IndicatorCode]=Table1[[#This Row],[IndicatorCode]],Table1[value]))</f>
        <v>6.3409496564024987</v>
      </c>
      <c r="J10250">
        <f>(Table1[[#This Row],[value]] - Table1[[#This Row],[mean]]) / Table1[[#This Row],[std_dev]]</f>
        <v>1.3144497851954</v>
      </c>
      <c r="K10250">
        <f>AVERAGEIF(Table1[CountryCode],Table1[[#This Row],[CountryCode]],Table1[z-score])</f>
        <v>0.77730634815106903</v>
      </c>
      <c r="L10250" t="e">
        <f>VLOOKUP(Table1[[#This Row],[CountryCode]],[1]!Table1[#All],1,FALSE)</f>
        <v>#REF!</v>
      </c>
    </row>
    <row r="10251" spans="1:12" hidden="1" x14ac:dyDescent="0.3">
      <c r="A10251" t="s">
        <v>103</v>
      </c>
      <c r="B10251" t="s">
        <v>104</v>
      </c>
      <c r="C10251" t="s">
        <v>129</v>
      </c>
      <c r="D10251" t="s">
        <v>130</v>
      </c>
      <c r="E10251">
        <v>2002</v>
      </c>
      <c r="F10251" s="1">
        <v>81</v>
      </c>
      <c r="G10251">
        <v>2000</v>
      </c>
      <c r="H10251">
        <f>AVERAGEIFS(Table1[value],Table1[IndicatorCode],Table1[[#This Row],[IndicatorCode]])</f>
        <v>72.66514008620689</v>
      </c>
      <c r="I10251" cm="1">
        <f t="array" ref="I10251">_xlfn.STDEV.P(IF(Table1[IndicatorCode]=Table1[[#This Row],[IndicatorCode]],Table1[value]))</f>
        <v>6.3409496564024987</v>
      </c>
      <c r="J10251">
        <f>(Table1[[#This Row],[value]] - Table1[[#This Row],[mean]]) / Table1[[#This Row],[std_dev]]</f>
        <v>1.3144497851954</v>
      </c>
      <c r="K10251">
        <f>AVERAGEIF(Table1[CountryCode],Table1[[#This Row],[CountryCode]],Table1[z-score])</f>
        <v>0.77730634815106903</v>
      </c>
      <c r="L10251" t="e">
        <f>VLOOKUP(Table1[[#This Row],[CountryCode]],[1]!Table1[#All],1,FALSE)</f>
        <v>#REF!</v>
      </c>
    </row>
    <row r="10252" spans="1:12" hidden="1" x14ac:dyDescent="0.3">
      <c r="A10252" t="s">
        <v>103</v>
      </c>
      <c r="B10252" t="s">
        <v>104</v>
      </c>
      <c r="C10252" t="s">
        <v>129</v>
      </c>
      <c r="D10252" t="s">
        <v>130</v>
      </c>
      <c r="E10252">
        <v>2003</v>
      </c>
      <c r="F10252" s="1">
        <v>81</v>
      </c>
      <c r="G10252">
        <v>2000</v>
      </c>
      <c r="H10252">
        <f>AVERAGEIFS(Table1[value],Table1[IndicatorCode],Table1[[#This Row],[IndicatorCode]])</f>
        <v>72.66514008620689</v>
      </c>
      <c r="I10252" cm="1">
        <f t="array" ref="I10252">_xlfn.STDEV.P(IF(Table1[IndicatorCode]=Table1[[#This Row],[IndicatorCode]],Table1[value]))</f>
        <v>6.3409496564024987</v>
      </c>
      <c r="J10252">
        <f>(Table1[[#This Row],[value]] - Table1[[#This Row],[mean]]) / Table1[[#This Row],[std_dev]]</f>
        <v>1.3144497851954</v>
      </c>
      <c r="K10252">
        <f>AVERAGEIF(Table1[CountryCode],Table1[[#This Row],[CountryCode]],Table1[z-score])</f>
        <v>0.77730634815106903</v>
      </c>
      <c r="L10252" t="e">
        <f>VLOOKUP(Table1[[#This Row],[CountryCode]],[1]!Table1[#All],1,FALSE)</f>
        <v>#REF!</v>
      </c>
    </row>
    <row r="10253" spans="1:12" hidden="1" x14ac:dyDescent="0.3">
      <c r="A10253" t="s">
        <v>103</v>
      </c>
      <c r="B10253" t="s">
        <v>104</v>
      </c>
      <c r="C10253" t="s">
        <v>129</v>
      </c>
      <c r="D10253" t="s">
        <v>130</v>
      </c>
      <c r="E10253">
        <v>2004</v>
      </c>
      <c r="F10253" s="1">
        <v>82</v>
      </c>
      <c r="G10253">
        <v>2000</v>
      </c>
      <c r="H10253">
        <f>AVERAGEIFS(Table1[value],Table1[IndicatorCode],Table1[[#This Row],[IndicatorCode]])</f>
        <v>72.66514008620689</v>
      </c>
      <c r="I10253" cm="1">
        <f t="array" ref="I10253">_xlfn.STDEV.P(IF(Table1[IndicatorCode]=Table1[[#This Row],[IndicatorCode]],Table1[value]))</f>
        <v>6.3409496564024987</v>
      </c>
      <c r="J10253">
        <f>(Table1[[#This Row],[value]] - Table1[[#This Row],[mean]]) / Table1[[#This Row],[std_dev]]</f>
        <v>1.4721548694788391</v>
      </c>
      <c r="K10253">
        <f>AVERAGEIF(Table1[CountryCode],Table1[[#This Row],[CountryCode]],Table1[z-score])</f>
        <v>0.77730634815106903</v>
      </c>
      <c r="L10253" t="e">
        <f>VLOOKUP(Table1[[#This Row],[CountryCode]],[1]!Table1[#All],1,FALSE)</f>
        <v>#REF!</v>
      </c>
    </row>
    <row r="10254" spans="1:12" hidden="1" x14ac:dyDescent="0.3">
      <c r="A10254" t="s">
        <v>103</v>
      </c>
      <c r="B10254" t="s">
        <v>104</v>
      </c>
      <c r="C10254" t="s">
        <v>129</v>
      </c>
      <c r="D10254" t="s">
        <v>130</v>
      </c>
      <c r="E10254">
        <v>2005</v>
      </c>
      <c r="F10254" s="1">
        <v>82</v>
      </c>
      <c r="G10254">
        <v>2000</v>
      </c>
      <c r="H10254">
        <f>AVERAGEIFS(Table1[value],Table1[IndicatorCode],Table1[[#This Row],[IndicatorCode]])</f>
        <v>72.66514008620689</v>
      </c>
      <c r="I10254" cm="1">
        <f t="array" ref="I10254">_xlfn.STDEV.P(IF(Table1[IndicatorCode]=Table1[[#This Row],[IndicatorCode]],Table1[value]))</f>
        <v>6.3409496564024987</v>
      </c>
      <c r="J10254">
        <f>(Table1[[#This Row],[value]] - Table1[[#This Row],[mean]]) / Table1[[#This Row],[std_dev]]</f>
        <v>1.4721548694788391</v>
      </c>
      <c r="K10254">
        <f>AVERAGEIF(Table1[CountryCode],Table1[[#This Row],[CountryCode]],Table1[z-score])</f>
        <v>0.77730634815106903</v>
      </c>
      <c r="L10254" t="e">
        <f>VLOOKUP(Table1[[#This Row],[CountryCode]],[1]!Table1[#All],1,FALSE)</f>
        <v>#REF!</v>
      </c>
    </row>
    <row r="10255" spans="1:12" hidden="1" x14ac:dyDescent="0.3">
      <c r="A10255" t="s">
        <v>103</v>
      </c>
      <c r="B10255" t="s">
        <v>104</v>
      </c>
      <c r="C10255" t="s">
        <v>129</v>
      </c>
      <c r="D10255" t="s">
        <v>130</v>
      </c>
      <c r="E10255">
        <v>2006</v>
      </c>
      <c r="F10255" s="1">
        <v>82</v>
      </c>
      <c r="G10255">
        <v>2000</v>
      </c>
      <c r="H10255">
        <f>AVERAGEIFS(Table1[value],Table1[IndicatorCode],Table1[[#This Row],[IndicatorCode]])</f>
        <v>72.66514008620689</v>
      </c>
      <c r="I10255" cm="1">
        <f t="array" ref="I10255">_xlfn.STDEV.P(IF(Table1[IndicatorCode]=Table1[[#This Row],[IndicatorCode]],Table1[value]))</f>
        <v>6.3409496564024987</v>
      </c>
      <c r="J10255">
        <f>(Table1[[#This Row],[value]] - Table1[[#This Row],[mean]]) / Table1[[#This Row],[std_dev]]</f>
        <v>1.4721548694788391</v>
      </c>
      <c r="K10255">
        <f>AVERAGEIF(Table1[CountryCode],Table1[[#This Row],[CountryCode]],Table1[z-score])</f>
        <v>0.77730634815106903</v>
      </c>
      <c r="L10255" t="e">
        <f>VLOOKUP(Table1[[#This Row],[CountryCode]],[1]!Table1[#All],1,FALSE)</f>
        <v>#REF!</v>
      </c>
    </row>
    <row r="10256" spans="1:12" hidden="1" x14ac:dyDescent="0.3">
      <c r="A10256" t="s">
        <v>103</v>
      </c>
      <c r="B10256" t="s">
        <v>104</v>
      </c>
      <c r="C10256" t="s">
        <v>129</v>
      </c>
      <c r="D10256" t="s">
        <v>130</v>
      </c>
      <c r="E10256">
        <v>2007</v>
      </c>
      <c r="F10256" s="1">
        <v>83</v>
      </c>
      <c r="G10256">
        <v>2010</v>
      </c>
      <c r="H10256">
        <f>AVERAGEIFS(Table1[value],Table1[IndicatorCode],Table1[[#This Row],[IndicatorCode]])</f>
        <v>72.66514008620689</v>
      </c>
      <c r="I10256" cm="1">
        <f t="array" ref="I10256">_xlfn.STDEV.P(IF(Table1[IndicatorCode]=Table1[[#This Row],[IndicatorCode]],Table1[value]))</f>
        <v>6.3409496564024987</v>
      </c>
      <c r="J10256">
        <f>(Table1[[#This Row],[value]] - Table1[[#This Row],[mean]]) / Table1[[#This Row],[std_dev]]</f>
        <v>1.6298599537622782</v>
      </c>
      <c r="K10256">
        <f>AVERAGEIF(Table1[CountryCode],Table1[[#This Row],[CountryCode]],Table1[z-score])</f>
        <v>0.77730634815106903</v>
      </c>
      <c r="L10256" t="e">
        <f>VLOOKUP(Table1[[#This Row],[CountryCode]],[1]!Table1[#All],1,FALSE)</f>
        <v>#REF!</v>
      </c>
    </row>
    <row r="10257" spans="1:12" hidden="1" x14ac:dyDescent="0.3">
      <c r="A10257" t="s">
        <v>103</v>
      </c>
      <c r="B10257" t="s">
        <v>104</v>
      </c>
      <c r="C10257" t="s">
        <v>129</v>
      </c>
      <c r="D10257" t="s">
        <v>130</v>
      </c>
      <c r="E10257">
        <v>2008</v>
      </c>
      <c r="F10257" s="1">
        <v>83</v>
      </c>
      <c r="G10257">
        <v>2010</v>
      </c>
      <c r="H10257">
        <f>AVERAGEIFS(Table1[value],Table1[IndicatorCode],Table1[[#This Row],[IndicatorCode]])</f>
        <v>72.66514008620689</v>
      </c>
      <c r="I10257" cm="1">
        <f t="array" ref="I10257">_xlfn.STDEV.P(IF(Table1[IndicatorCode]=Table1[[#This Row],[IndicatorCode]],Table1[value]))</f>
        <v>6.3409496564024987</v>
      </c>
      <c r="J10257">
        <f>(Table1[[#This Row],[value]] - Table1[[#This Row],[mean]]) / Table1[[#This Row],[std_dev]]</f>
        <v>1.6298599537622782</v>
      </c>
      <c r="K10257">
        <f>AVERAGEIF(Table1[CountryCode],Table1[[#This Row],[CountryCode]],Table1[z-score])</f>
        <v>0.77730634815106903</v>
      </c>
      <c r="L10257" t="e">
        <f>VLOOKUP(Table1[[#This Row],[CountryCode]],[1]!Table1[#All],1,FALSE)</f>
        <v>#REF!</v>
      </c>
    </row>
    <row r="10258" spans="1:12" hidden="1" x14ac:dyDescent="0.3">
      <c r="A10258" t="s">
        <v>103</v>
      </c>
      <c r="B10258" t="s">
        <v>104</v>
      </c>
      <c r="C10258" t="s">
        <v>129</v>
      </c>
      <c r="D10258" t="s">
        <v>130</v>
      </c>
      <c r="E10258">
        <v>2009</v>
      </c>
      <c r="F10258" s="1">
        <v>83</v>
      </c>
      <c r="G10258">
        <v>2010</v>
      </c>
      <c r="H10258">
        <f>AVERAGEIFS(Table1[value],Table1[IndicatorCode],Table1[[#This Row],[IndicatorCode]])</f>
        <v>72.66514008620689</v>
      </c>
      <c r="I10258" cm="1">
        <f t="array" ref="I10258">_xlfn.STDEV.P(IF(Table1[IndicatorCode]=Table1[[#This Row],[IndicatorCode]],Table1[value]))</f>
        <v>6.3409496564024987</v>
      </c>
      <c r="J10258">
        <f>(Table1[[#This Row],[value]] - Table1[[#This Row],[mean]]) / Table1[[#This Row],[std_dev]]</f>
        <v>1.6298599537622782</v>
      </c>
      <c r="K10258">
        <f>AVERAGEIF(Table1[CountryCode],Table1[[#This Row],[CountryCode]],Table1[z-score])</f>
        <v>0.77730634815106903</v>
      </c>
      <c r="L10258" t="e">
        <f>VLOOKUP(Table1[[#This Row],[CountryCode]],[1]!Table1[#All],1,FALSE)</f>
        <v>#REF!</v>
      </c>
    </row>
    <row r="10259" spans="1:12" hidden="1" x14ac:dyDescent="0.3">
      <c r="A10259" t="s">
        <v>103</v>
      </c>
      <c r="B10259" t="s">
        <v>104</v>
      </c>
      <c r="C10259" t="s">
        <v>129</v>
      </c>
      <c r="D10259" t="s">
        <v>130</v>
      </c>
      <c r="E10259">
        <v>2010</v>
      </c>
      <c r="F10259" s="1">
        <v>83</v>
      </c>
      <c r="G10259">
        <v>2010</v>
      </c>
      <c r="H10259">
        <f>AVERAGEIFS(Table1[value],Table1[IndicatorCode],Table1[[#This Row],[IndicatorCode]])</f>
        <v>72.66514008620689</v>
      </c>
      <c r="I10259" cm="1">
        <f t="array" ref="I10259">_xlfn.STDEV.P(IF(Table1[IndicatorCode]=Table1[[#This Row],[IndicatorCode]],Table1[value]))</f>
        <v>6.3409496564024987</v>
      </c>
      <c r="J10259">
        <f>(Table1[[#This Row],[value]] - Table1[[#This Row],[mean]]) / Table1[[#This Row],[std_dev]]</f>
        <v>1.6298599537622782</v>
      </c>
      <c r="K10259">
        <f>AVERAGEIF(Table1[CountryCode],Table1[[#This Row],[CountryCode]],Table1[z-score])</f>
        <v>0.77730634815106903</v>
      </c>
      <c r="L10259" t="e">
        <f>VLOOKUP(Table1[[#This Row],[CountryCode]],[1]!Table1[#All],1,FALSE)</f>
        <v>#REF!</v>
      </c>
    </row>
    <row r="10260" spans="1:12" hidden="1" x14ac:dyDescent="0.3">
      <c r="A10260" t="s">
        <v>103</v>
      </c>
      <c r="B10260" t="s">
        <v>104</v>
      </c>
      <c r="C10260" t="s">
        <v>129</v>
      </c>
      <c r="D10260" t="s">
        <v>130</v>
      </c>
      <c r="E10260">
        <v>2011</v>
      </c>
      <c r="F10260" s="1">
        <v>84</v>
      </c>
      <c r="G10260">
        <v>2010</v>
      </c>
      <c r="H10260">
        <f>AVERAGEIFS(Table1[value],Table1[IndicatorCode],Table1[[#This Row],[IndicatorCode]])</f>
        <v>72.66514008620689</v>
      </c>
      <c r="I10260" cm="1">
        <f t="array" ref="I10260">_xlfn.STDEV.P(IF(Table1[IndicatorCode]=Table1[[#This Row],[IndicatorCode]],Table1[value]))</f>
        <v>6.3409496564024987</v>
      </c>
      <c r="J10260">
        <f>(Table1[[#This Row],[value]] - Table1[[#This Row],[mean]]) / Table1[[#This Row],[std_dev]]</f>
        <v>1.7875650380457173</v>
      </c>
      <c r="K10260">
        <f>AVERAGEIF(Table1[CountryCode],Table1[[#This Row],[CountryCode]],Table1[z-score])</f>
        <v>0.77730634815106903</v>
      </c>
      <c r="L10260" t="e">
        <f>VLOOKUP(Table1[[#This Row],[CountryCode]],[1]!Table1[#All],1,FALSE)</f>
        <v>#REF!</v>
      </c>
    </row>
    <row r="10261" spans="1:12" hidden="1" x14ac:dyDescent="0.3">
      <c r="A10261" t="s">
        <v>103</v>
      </c>
      <c r="B10261" t="s">
        <v>104</v>
      </c>
      <c r="C10261" t="s">
        <v>129</v>
      </c>
      <c r="D10261" t="s">
        <v>130</v>
      </c>
      <c r="E10261">
        <v>2012</v>
      </c>
      <c r="F10261" s="1">
        <v>84</v>
      </c>
      <c r="G10261">
        <v>2010</v>
      </c>
      <c r="H10261">
        <f>AVERAGEIFS(Table1[value],Table1[IndicatorCode],Table1[[#This Row],[IndicatorCode]])</f>
        <v>72.66514008620689</v>
      </c>
      <c r="I10261" cm="1">
        <f t="array" ref="I10261">_xlfn.STDEV.P(IF(Table1[IndicatorCode]=Table1[[#This Row],[IndicatorCode]],Table1[value]))</f>
        <v>6.3409496564024987</v>
      </c>
      <c r="J10261">
        <f>(Table1[[#This Row],[value]] - Table1[[#This Row],[mean]]) / Table1[[#This Row],[std_dev]]</f>
        <v>1.7875650380457173</v>
      </c>
      <c r="K10261">
        <f>AVERAGEIF(Table1[CountryCode],Table1[[#This Row],[CountryCode]],Table1[z-score])</f>
        <v>0.77730634815106903</v>
      </c>
      <c r="L10261" t="e">
        <f>VLOOKUP(Table1[[#This Row],[CountryCode]],[1]!Table1[#All],1,FALSE)</f>
        <v>#REF!</v>
      </c>
    </row>
    <row r="10262" spans="1:12" hidden="1" x14ac:dyDescent="0.3">
      <c r="A10262" t="s">
        <v>103</v>
      </c>
      <c r="B10262" t="s">
        <v>104</v>
      </c>
      <c r="C10262" t="s">
        <v>129</v>
      </c>
      <c r="D10262" t="s">
        <v>130</v>
      </c>
      <c r="E10262">
        <v>2013</v>
      </c>
      <c r="F10262" s="1">
        <v>84</v>
      </c>
      <c r="G10262">
        <v>2010</v>
      </c>
      <c r="H10262">
        <f>AVERAGEIFS(Table1[value],Table1[IndicatorCode],Table1[[#This Row],[IndicatorCode]])</f>
        <v>72.66514008620689</v>
      </c>
      <c r="I10262" cm="1">
        <f t="array" ref="I10262">_xlfn.STDEV.P(IF(Table1[IndicatorCode]=Table1[[#This Row],[IndicatorCode]],Table1[value]))</f>
        <v>6.3409496564024987</v>
      </c>
      <c r="J10262">
        <f>(Table1[[#This Row],[value]] - Table1[[#This Row],[mean]]) / Table1[[#This Row],[std_dev]]</f>
        <v>1.7875650380457173</v>
      </c>
      <c r="K10262">
        <f>AVERAGEIF(Table1[CountryCode],Table1[[#This Row],[CountryCode]],Table1[z-score])</f>
        <v>0.77730634815106903</v>
      </c>
      <c r="L10262" t="e">
        <f>VLOOKUP(Table1[[#This Row],[CountryCode]],[1]!Table1[#All],1,FALSE)</f>
        <v>#REF!</v>
      </c>
    </row>
    <row r="10263" spans="1:12" hidden="1" x14ac:dyDescent="0.3">
      <c r="A10263" t="s">
        <v>103</v>
      </c>
      <c r="B10263" t="s">
        <v>104</v>
      </c>
      <c r="C10263" t="s">
        <v>129</v>
      </c>
      <c r="D10263" t="s">
        <v>130</v>
      </c>
      <c r="E10263">
        <v>2014</v>
      </c>
      <c r="F10263" s="1">
        <v>84</v>
      </c>
      <c r="G10263">
        <v>2010</v>
      </c>
      <c r="H10263">
        <f>AVERAGEIFS(Table1[value],Table1[IndicatorCode],Table1[[#This Row],[IndicatorCode]])</f>
        <v>72.66514008620689</v>
      </c>
      <c r="I10263" cm="1">
        <f t="array" ref="I10263">_xlfn.STDEV.P(IF(Table1[IndicatorCode]=Table1[[#This Row],[IndicatorCode]],Table1[value]))</f>
        <v>6.3409496564024987</v>
      </c>
      <c r="J10263">
        <f>(Table1[[#This Row],[value]] - Table1[[#This Row],[mean]]) / Table1[[#This Row],[std_dev]]</f>
        <v>1.7875650380457173</v>
      </c>
      <c r="K10263">
        <f>AVERAGEIF(Table1[CountryCode],Table1[[#This Row],[CountryCode]],Table1[z-score])</f>
        <v>0.77730634815106903</v>
      </c>
      <c r="L10263" t="e">
        <f>VLOOKUP(Table1[[#This Row],[CountryCode]],[1]!Table1[#All],1,FALSE)</f>
        <v>#REF!</v>
      </c>
    </row>
    <row r="10264" spans="1:12" hidden="1" x14ac:dyDescent="0.3">
      <c r="A10264" t="s">
        <v>103</v>
      </c>
      <c r="B10264" t="s">
        <v>104</v>
      </c>
      <c r="C10264" t="s">
        <v>129</v>
      </c>
      <c r="D10264" t="s">
        <v>130</v>
      </c>
      <c r="E10264">
        <v>2015</v>
      </c>
      <c r="F10264" s="1">
        <v>85</v>
      </c>
      <c r="G10264">
        <v>2010</v>
      </c>
      <c r="H10264">
        <f>AVERAGEIFS(Table1[value],Table1[IndicatorCode],Table1[[#This Row],[IndicatorCode]])</f>
        <v>72.66514008620689</v>
      </c>
      <c r="I10264" cm="1">
        <f t="array" ref="I10264">_xlfn.STDEV.P(IF(Table1[IndicatorCode]=Table1[[#This Row],[IndicatorCode]],Table1[value]))</f>
        <v>6.3409496564024987</v>
      </c>
      <c r="J10264">
        <f>(Table1[[#This Row],[value]] - Table1[[#This Row],[mean]]) / Table1[[#This Row],[std_dev]]</f>
        <v>1.9452701223291562</v>
      </c>
      <c r="K10264">
        <f>AVERAGEIF(Table1[CountryCode],Table1[[#This Row],[CountryCode]],Table1[z-score])</f>
        <v>0.77730634815106903</v>
      </c>
      <c r="L10264" t="e">
        <f>VLOOKUP(Table1[[#This Row],[CountryCode]],[1]!Table1[#All],1,FALSE)</f>
        <v>#REF!</v>
      </c>
    </row>
    <row r="10265" spans="1:12" hidden="1" x14ac:dyDescent="0.3">
      <c r="A10265" t="s">
        <v>103</v>
      </c>
      <c r="B10265" t="s">
        <v>104</v>
      </c>
      <c r="C10265" t="s">
        <v>129</v>
      </c>
      <c r="D10265" t="s">
        <v>130</v>
      </c>
      <c r="E10265">
        <v>2016</v>
      </c>
      <c r="F10265" s="1">
        <v>85</v>
      </c>
      <c r="G10265">
        <v>2010</v>
      </c>
      <c r="H10265">
        <f>AVERAGEIFS(Table1[value],Table1[IndicatorCode],Table1[[#This Row],[IndicatorCode]])</f>
        <v>72.66514008620689</v>
      </c>
      <c r="I10265" cm="1">
        <f t="array" ref="I10265">_xlfn.STDEV.P(IF(Table1[IndicatorCode]=Table1[[#This Row],[IndicatorCode]],Table1[value]))</f>
        <v>6.3409496564024987</v>
      </c>
      <c r="J10265">
        <f>(Table1[[#This Row],[value]] - Table1[[#This Row],[mean]]) / Table1[[#This Row],[std_dev]]</f>
        <v>1.9452701223291562</v>
      </c>
      <c r="K10265">
        <f>AVERAGEIF(Table1[CountryCode],Table1[[#This Row],[CountryCode]],Table1[z-score])</f>
        <v>0.77730634815106903</v>
      </c>
      <c r="L10265" t="e">
        <f>VLOOKUP(Table1[[#This Row],[CountryCode]],[1]!Table1[#All],1,FALSE)</f>
        <v>#REF!</v>
      </c>
    </row>
    <row r="10266" spans="1:12" hidden="1" x14ac:dyDescent="0.3">
      <c r="A10266" t="s">
        <v>103</v>
      </c>
      <c r="B10266" t="s">
        <v>104</v>
      </c>
      <c r="C10266" t="s">
        <v>129</v>
      </c>
      <c r="D10266" t="s">
        <v>130</v>
      </c>
      <c r="E10266">
        <v>2017</v>
      </c>
      <c r="F10266" s="1">
        <v>85</v>
      </c>
      <c r="G10266">
        <v>2020</v>
      </c>
      <c r="H10266">
        <f>AVERAGEIFS(Table1[value],Table1[IndicatorCode],Table1[[#This Row],[IndicatorCode]])</f>
        <v>72.66514008620689</v>
      </c>
      <c r="I10266" cm="1">
        <f t="array" ref="I10266">_xlfn.STDEV.P(IF(Table1[IndicatorCode]=Table1[[#This Row],[IndicatorCode]],Table1[value]))</f>
        <v>6.3409496564024987</v>
      </c>
      <c r="J10266">
        <f>(Table1[[#This Row],[value]] - Table1[[#This Row],[mean]]) / Table1[[#This Row],[std_dev]]</f>
        <v>1.9452701223291562</v>
      </c>
      <c r="K10266">
        <f>AVERAGEIF(Table1[CountryCode],Table1[[#This Row],[CountryCode]],Table1[z-score])</f>
        <v>0.77730634815106903</v>
      </c>
      <c r="L10266" t="e">
        <f>VLOOKUP(Table1[[#This Row],[CountryCode]],[1]!Table1[#All],1,FALSE)</f>
        <v>#REF!</v>
      </c>
    </row>
    <row r="10267" spans="1:12" hidden="1" x14ac:dyDescent="0.3">
      <c r="A10267" t="s">
        <v>103</v>
      </c>
      <c r="B10267" t="s">
        <v>104</v>
      </c>
      <c r="C10267" t="s">
        <v>129</v>
      </c>
      <c r="D10267" t="s">
        <v>130</v>
      </c>
      <c r="E10267">
        <v>2018</v>
      </c>
      <c r="F10267" s="1">
        <v>85</v>
      </c>
      <c r="G10267">
        <v>2020</v>
      </c>
      <c r="H10267">
        <f>AVERAGEIFS(Table1[value],Table1[IndicatorCode],Table1[[#This Row],[IndicatorCode]])</f>
        <v>72.66514008620689</v>
      </c>
      <c r="I10267" cm="1">
        <f t="array" ref="I10267">_xlfn.STDEV.P(IF(Table1[IndicatorCode]=Table1[[#This Row],[IndicatorCode]],Table1[value]))</f>
        <v>6.3409496564024987</v>
      </c>
      <c r="J10267">
        <f>(Table1[[#This Row],[value]] - Table1[[#This Row],[mean]]) / Table1[[#This Row],[std_dev]]</f>
        <v>1.9452701223291562</v>
      </c>
      <c r="K10267">
        <f>AVERAGEIF(Table1[CountryCode],Table1[[#This Row],[CountryCode]],Table1[z-score])</f>
        <v>0.77730634815106903</v>
      </c>
      <c r="L10267" t="e">
        <f>VLOOKUP(Table1[[#This Row],[CountryCode]],[1]!Table1[#All],1,FALSE)</f>
        <v>#REF!</v>
      </c>
    </row>
    <row r="10268" spans="1:12" hidden="1" x14ac:dyDescent="0.3">
      <c r="A10268" t="s">
        <v>103</v>
      </c>
      <c r="B10268" t="s">
        <v>104</v>
      </c>
      <c r="C10268" t="s">
        <v>129</v>
      </c>
      <c r="D10268" t="s">
        <v>130</v>
      </c>
      <c r="E10268">
        <v>2019</v>
      </c>
      <c r="F10268" s="1">
        <v>85</v>
      </c>
      <c r="G10268">
        <v>2020</v>
      </c>
      <c r="H10268">
        <f>AVERAGEIFS(Table1[value],Table1[IndicatorCode],Table1[[#This Row],[IndicatorCode]])</f>
        <v>72.66514008620689</v>
      </c>
      <c r="I10268" cm="1">
        <f t="array" ref="I10268">_xlfn.STDEV.P(IF(Table1[IndicatorCode]=Table1[[#This Row],[IndicatorCode]],Table1[value]))</f>
        <v>6.3409496564024987</v>
      </c>
      <c r="J10268">
        <f>(Table1[[#This Row],[value]] - Table1[[#This Row],[mean]]) / Table1[[#This Row],[std_dev]]</f>
        <v>1.9452701223291562</v>
      </c>
      <c r="K10268">
        <f>AVERAGEIF(Table1[CountryCode],Table1[[#This Row],[CountryCode]],Table1[z-score])</f>
        <v>0.77730634815106903</v>
      </c>
      <c r="L10268" t="e">
        <f>VLOOKUP(Table1[[#This Row],[CountryCode]],[1]!Table1[#All],1,FALSE)</f>
        <v>#REF!</v>
      </c>
    </row>
    <row r="10269" spans="1:12" x14ac:dyDescent="0.3">
      <c r="A10269" t="s">
        <v>103</v>
      </c>
      <c r="B10269" t="s">
        <v>104</v>
      </c>
      <c r="C10269" t="s">
        <v>129</v>
      </c>
      <c r="D10269" t="s">
        <v>130</v>
      </c>
      <c r="E10269">
        <v>2020</v>
      </c>
      <c r="F10269" s="1">
        <v>83</v>
      </c>
      <c r="G10269">
        <v>2020</v>
      </c>
      <c r="H10269">
        <f>AVERAGEIFS(Table1[value],Table1[IndicatorCode],Table1[[#This Row],[IndicatorCode]])</f>
        <v>72.66514008620689</v>
      </c>
      <c r="I10269" cm="1">
        <f t="array" ref="I10269">_xlfn.STDEV.P(IF(Table1[IndicatorCode]=Table1[[#This Row],[IndicatorCode]],Table1[value]))</f>
        <v>6.3409496564024987</v>
      </c>
      <c r="J10269">
        <f>(Table1[[#This Row],[value]] - Table1[[#This Row],[mean]]) / Table1[[#This Row],[std_dev]]</f>
        <v>1.6298599537622782</v>
      </c>
      <c r="K10269">
        <f>AVERAGEIF(Table1[CountryCode],Table1[[#This Row],[CountryCode]],Table1[z-score])</f>
        <v>0.77730634815106903</v>
      </c>
    </row>
    <row r="10270" spans="1:12" hidden="1" x14ac:dyDescent="0.3">
      <c r="A10270" t="s">
        <v>103</v>
      </c>
      <c r="B10270" t="s">
        <v>104</v>
      </c>
      <c r="C10270" t="s">
        <v>129</v>
      </c>
      <c r="D10270" t="s">
        <v>130</v>
      </c>
      <c r="E10270">
        <v>2021</v>
      </c>
      <c r="F10270" s="1">
        <v>84</v>
      </c>
      <c r="G10270">
        <v>1960</v>
      </c>
      <c r="H10270">
        <f>AVERAGEIFS(Table1[value],Table1[IndicatorCode],Table1[[#This Row],[IndicatorCode]])</f>
        <v>72.66514008620689</v>
      </c>
      <c r="I10270" cm="1">
        <f t="array" ref="I10270">_xlfn.STDEV.P(IF(Table1[IndicatorCode]=Table1[[#This Row],[IndicatorCode]],Table1[value]))</f>
        <v>6.3409496564024987</v>
      </c>
      <c r="J10270">
        <f>(Table1[[#This Row],[value]] - Table1[[#This Row],[mean]]) / Table1[[#This Row],[std_dev]]</f>
        <v>1.7875650380457173</v>
      </c>
      <c r="K10270">
        <f>AVERAGEIF(Table1[CountryCode],Table1[[#This Row],[CountryCode]],Table1[z-score])</f>
        <v>0.77730634815106903</v>
      </c>
      <c r="L10270" t="e">
        <f>VLOOKUP(Table1[[#This Row],[CountryCode]],[1]!Table1[#All],1,FALSE)</f>
        <v>#REF!</v>
      </c>
    </row>
    <row r="10271" spans="1:12" hidden="1" x14ac:dyDescent="0.3">
      <c r="A10271" t="s">
        <v>103</v>
      </c>
      <c r="B10271" t="s">
        <v>104</v>
      </c>
      <c r="C10271" t="s">
        <v>129</v>
      </c>
      <c r="D10271" t="s">
        <v>130</v>
      </c>
      <c r="E10271">
        <v>2022</v>
      </c>
      <c r="F10271" s="1">
        <v>86</v>
      </c>
      <c r="G10271">
        <v>1960</v>
      </c>
      <c r="H10271">
        <f>AVERAGEIFS(Table1[value],Table1[IndicatorCode],Table1[[#This Row],[IndicatorCode]])</f>
        <v>72.66514008620689</v>
      </c>
      <c r="I10271" cm="1">
        <f t="array" ref="I10271">_xlfn.STDEV.P(IF(Table1[IndicatorCode]=Table1[[#This Row],[IndicatorCode]],Table1[value]))</f>
        <v>6.3409496564024987</v>
      </c>
      <c r="J10271">
        <f>(Table1[[#This Row],[value]] - Table1[[#This Row],[mean]]) / Table1[[#This Row],[std_dev]]</f>
        <v>2.1029752066125953</v>
      </c>
      <c r="K10271">
        <f>AVERAGEIF(Table1[CountryCode],Table1[[#This Row],[CountryCode]],Table1[z-score])</f>
        <v>0.77730634815106903</v>
      </c>
      <c r="L10271" t="e">
        <f>VLOOKUP(Table1[[#This Row],[CountryCode]],[1]!Table1[#All],1,FALSE)</f>
        <v>#REF!</v>
      </c>
    </row>
    <row r="10272" spans="1:12" hidden="1" x14ac:dyDescent="0.3">
      <c r="A10272" t="s">
        <v>103</v>
      </c>
      <c r="B10272" t="s">
        <v>104</v>
      </c>
      <c r="C10272" t="s">
        <v>129</v>
      </c>
      <c r="D10272" t="s">
        <v>130</v>
      </c>
      <c r="E10272">
        <v>2023</v>
      </c>
      <c r="F10272" s="1">
        <v>86</v>
      </c>
      <c r="G10272">
        <v>1960</v>
      </c>
      <c r="H10272">
        <f>AVERAGEIFS(Table1[value],Table1[IndicatorCode],Table1[[#This Row],[IndicatorCode]])</f>
        <v>72.66514008620689</v>
      </c>
      <c r="I10272" cm="1">
        <f t="array" ref="I10272">_xlfn.STDEV.P(IF(Table1[IndicatorCode]=Table1[[#This Row],[IndicatorCode]],Table1[value]))</f>
        <v>6.3409496564024987</v>
      </c>
      <c r="J10272">
        <f>(Table1[[#This Row],[value]] - Table1[[#This Row],[mean]]) / Table1[[#This Row],[std_dev]]</f>
        <v>2.1029752066125953</v>
      </c>
      <c r="K10272">
        <f>AVERAGEIF(Table1[CountryCode],Table1[[#This Row],[CountryCode]],Table1[z-score])</f>
        <v>0.77730634815106903</v>
      </c>
      <c r="L10272" t="e">
        <f>VLOOKUP(Table1[[#This Row],[CountryCode]],[1]!Table1[#All],1,FALSE)</f>
        <v>#REF!</v>
      </c>
    </row>
    <row r="10273" spans="1:12" hidden="1" x14ac:dyDescent="0.3">
      <c r="A10273" t="s">
        <v>105</v>
      </c>
      <c r="B10273" t="s">
        <v>106</v>
      </c>
      <c r="C10273" t="s">
        <v>129</v>
      </c>
      <c r="D10273" t="s">
        <v>130</v>
      </c>
      <c r="E10273">
        <v>1960</v>
      </c>
      <c r="F10273" s="1">
        <v>66</v>
      </c>
      <c r="G10273">
        <v>1960</v>
      </c>
      <c r="H10273">
        <f>AVERAGEIFS(Table1[value],Table1[IndicatorCode],Table1[[#This Row],[IndicatorCode]])</f>
        <v>72.66514008620689</v>
      </c>
      <c r="I10273" cm="1">
        <f t="array" ref="I10273">_xlfn.STDEV.P(IF(Table1[IndicatorCode]=Table1[[#This Row],[IndicatorCode]],Table1[value]))</f>
        <v>6.3409496564024987</v>
      </c>
      <c r="J10273">
        <f>(Table1[[#This Row],[value]] - Table1[[#This Row],[mean]]) / Table1[[#This Row],[std_dev]]</f>
        <v>-1.0511264790561858</v>
      </c>
      <c r="K10273">
        <f>AVERAGEIF(Table1[CountryCode],Table1[[#This Row],[CountryCode]],Table1[z-score])</f>
        <v>-0.17106074072717981</v>
      </c>
      <c r="L10273" t="e">
        <f>VLOOKUP(Table1[[#This Row],[CountryCode]],[1]!Table1[#All],1,FALSE)</f>
        <v>#REF!</v>
      </c>
    </row>
    <row r="10274" spans="1:12" hidden="1" x14ac:dyDescent="0.3">
      <c r="A10274" t="s">
        <v>105</v>
      </c>
      <c r="B10274" t="s">
        <v>106</v>
      </c>
      <c r="C10274" t="s">
        <v>129</v>
      </c>
      <c r="D10274" t="s">
        <v>130</v>
      </c>
      <c r="E10274">
        <v>1961</v>
      </c>
      <c r="F10274" s="1">
        <v>66</v>
      </c>
      <c r="G10274">
        <v>1960</v>
      </c>
      <c r="H10274">
        <f>AVERAGEIFS(Table1[value],Table1[IndicatorCode],Table1[[#This Row],[IndicatorCode]])</f>
        <v>72.66514008620689</v>
      </c>
      <c r="I10274" cm="1">
        <f t="array" ref="I10274">_xlfn.STDEV.P(IF(Table1[IndicatorCode]=Table1[[#This Row],[IndicatorCode]],Table1[value]))</f>
        <v>6.3409496564024987</v>
      </c>
      <c r="J10274">
        <f>(Table1[[#This Row],[value]] - Table1[[#This Row],[mean]]) / Table1[[#This Row],[std_dev]]</f>
        <v>-1.0511264790561858</v>
      </c>
      <c r="K10274">
        <f>AVERAGEIF(Table1[CountryCode],Table1[[#This Row],[CountryCode]],Table1[z-score])</f>
        <v>-0.17106074072717981</v>
      </c>
      <c r="L10274" t="e">
        <f>VLOOKUP(Table1[[#This Row],[CountryCode]],[1]!Table1[#All],1,FALSE)</f>
        <v>#REF!</v>
      </c>
    </row>
    <row r="10275" spans="1:12" hidden="1" x14ac:dyDescent="0.3">
      <c r="A10275" t="s">
        <v>105</v>
      </c>
      <c r="B10275" t="s">
        <v>106</v>
      </c>
      <c r="C10275" t="s">
        <v>129</v>
      </c>
      <c r="D10275" t="s">
        <v>130</v>
      </c>
      <c r="E10275">
        <v>1962</v>
      </c>
      <c r="F10275" s="1">
        <v>67</v>
      </c>
      <c r="G10275">
        <v>1960</v>
      </c>
      <c r="H10275">
        <f>AVERAGEIFS(Table1[value],Table1[IndicatorCode],Table1[[#This Row],[IndicatorCode]])</f>
        <v>72.66514008620689</v>
      </c>
      <c r="I10275" cm="1">
        <f t="array" ref="I10275">_xlfn.STDEV.P(IF(Table1[IndicatorCode]=Table1[[#This Row],[IndicatorCode]],Table1[value]))</f>
        <v>6.3409496564024987</v>
      </c>
      <c r="J10275">
        <f>(Table1[[#This Row],[value]] - Table1[[#This Row],[mean]]) / Table1[[#This Row],[std_dev]]</f>
        <v>-0.89342139477274674</v>
      </c>
      <c r="K10275">
        <f>AVERAGEIF(Table1[CountryCode],Table1[[#This Row],[CountryCode]],Table1[z-score])</f>
        <v>-0.17106074072717981</v>
      </c>
      <c r="L10275" t="e">
        <f>VLOOKUP(Table1[[#This Row],[CountryCode]],[1]!Table1[#All],1,FALSE)</f>
        <v>#REF!</v>
      </c>
    </row>
    <row r="10276" spans="1:12" hidden="1" x14ac:dyDescent="0.3">
      <c r="A10276" t="s">
        <v>105</v>
      </c>
      <c r="B10276" t="s">
        <v>106</v>
      </c>
      <c r="C10276" t="s">
        <v>129</v>
      </c>
      <c r="D10276" t="s">
        <v>130</v>
      </c>
      <c r="E10276">
        <v>1963</v>
      </c>
      <c r="F10276" s="1">
        <v>67</v>
      </c>
      <c r="G10276">
        <v>1960</v>
      </c>
      <c r="H10276">
        <f>AVERAGEIFS(Table1[value],Table1[IndicatorCode],Table1[[#This Row],[IndicatorCode]])</f>
        <v>72.66514008620689</v>
      </c>
      <c r="I10276" cm="1">
        <f t="array" ref="I10276">_xlfn.STDEV.P(IF(Table1[IndicatorCode]=Table1[[#This Row],[IndicatorCode]],Table1[value]))</f>
        <v>6.3409496564024987</v>
      </c>
      <c r="J10276">
        <f>(Table1[[#This Row],[value]] - Table1[[#This Row],[mean]]) / Table1[[#This Row],[std_dev]]</f>
        <v>-0.89342139477274674</v>
      </c>
      <c r="K10276">
        <f>AVERAGEIF(Table1[CountryCode],Table1[[#This Row],[CountryCode]],Table1[z-score])</f>
        <v>-0.17106074072717981</v>
      </c>
      <c r="L10276" t="e">
        <f>VLOOKUP(Table1[[#This Row],[CountryCode]],[1]!Table1[#All],1,FALSE)</f>
        <v>#REF!</v>
      </c>
    </row>
    <row r="10277" spans="1:12" hidden="1" x14ac:dyDescent="0.3">
      <c r="A10277" t="s">
        <v>105</v>
      </c>
      <c r="B10277" t="s">
        <v>106</v>
      </c>
      <c r="C10277" t="s">
        <v>129</v>
      </c>
      <c r="D10277" t="s">
        <v>130</v>
      </c>
      <c r="E10277">
        <v>1964</v>
      </c>
      <c r="F10277" s="1">
        <v>68</v>
      </c>
      <c r="G10277">
        <v>1960</v>
      </c>
      <c r="H10277">
        <f>AVERAGEIFS(Table1[value],Table1[IndicatorCode],Table1[[#This Row],[IndicatorCode]])</f>
        <v>72.66514008620689</v>
      </c>
      <c r="I10277" cm="1">
        <f t="array" ref="I10277">_xlfn.STDEV.P(IF(Table1[IndicatorCode]=Table1[[#This Row],[IndicatorCode]],Table1[value]))</f>
        <v>6.3409496564024987</v>
      </c>
      <c r="J10277">
        <f>(Table1[[#This Row],[value]] - Table1[[#This Row],[mean]]) / Table1[[#This Row],[std_dev]]</f>
        <v>-0.73571631048930775</v>
      </c>
      <c r="K10277">
        <f>AVERAGEIF(Table1[CountryCode],Table1[[#This Row],[CountryCode]],Table1[z-score])</f>
        <v>-0.17106074072717981</v>
      </c>
      <c r="L10277" t="e">
        <f>VLOOKUP(Table1[[#This Row],[CountryCode]],[1]!Table1[#All],1,FALSE)</f>
        <v>#REF!</v>
      </c>
    </row>
    <row r="10278" spans="1:12" hidden="1" x14ac:dyDescent="0.3">
      <c r="A10278" t="s">
        <v>105</v>
      </c>
      <c r="B10278" t="s">
        <v>106</v>
      </c>
      <c r="C10278" t="s">
        <v>129</v>
      </c>
      <c r="D10278" t="s">
        <v>130</v>
      </c>
      <c r="E10278">
        <v>1965</v>
      </c>
      <c r="F10278" s="1">
        <v>69</v>
      </c>
      <c r="G10278">
        <v>1960</v>
      </c>
      <c r="H10278">
        <f>AVERAGEIFS(Table1[value],Table1[IndicatorCode],Table1[[#This Row],[IndicatorCode]])</f>
        <v>72.66514008620689</v>
      </c>
      <c r="I10278" cm="1">
        <f t="array" ref="I10278">_xlfn.STDEV.P(IF(Table1[IndicatorCode]=Table1[[#This Row],[IndicatorCode]],Table1[value]))</f>
        <v>6.3409496564024987</v>
      </c>
      <c r="J10278">
        <f>(Table1[[#This Row],[value]] - Table1[[#This Row],[mean]]) / Table1[[#This Row],[std_dev]]</f>
        <v>-0.57801122620586864</v>
      </c>
      <c r="K10278">
        <f>AVERAGEIF(Table1[CountryCode],Table1[[#This Row],[CountryCode]],Table1[z-score])</f>
        <v>-0.17106074072717981</v>
      </c>
      <c r="L10278" t="e">
        <f>VLOOKUP(Table1[[#This Row],[CountryCode]],[1]!Table1[#All],1,FALSE)</f>
        <v>#REF!</v>
      </c>
    </row>
    <row r="10279" spans="1:12" hidden="1" x14ac:dyDescent="0.3">
      <c r="A10279" t="s">
        <v>105</v>
      </c>
      <c r="B10279" t="s">
        <v>106</v>
      </c>
      <c r="C10279" t="s">
        <v>129</v>
      </c>
      <c r="D10279" t="s">
        <v>130</v>
      </c>
      <c r="E10279">
        <v>1966</v>
      </c>
      <c r="F10279" s="1">
        <v>69</v>
      </c>
      <c r="G10279">
        <v>1960</v>
      </c>
      <c r="H10279">
        <f>AVERAGEIFS(Table1[value],Table1[IndicatorCode],Table1[[#This Row],[IndicatorCode]])</f>
        <v>72.66514008620689</v>
      </c>
      <c r="I10279" cm="1">
        <f t="array" ref="I10279">_xlfn.STDEV.P(IF(Table1[IndicatorCode]=Table1[[#This Row],[IndicatorCode]],Table1[value]))</f>
        <v>6.3409496564024987</v>
      </c>
      <c r="J10279">
        <f>(Table1[[#This Row],[value]] - Table1[[#This Row],[mean]]) / Table1[[#This Row],[std_dev]]</f>
        <v>-0.57801122620586864</v>
      </c>
      <c r="K10279">
        <f>AVERAGEIF(Table1[CountryCode],Table1[[#This Row],[CountryCode]],Table1[z-score])</f>
        <v>-0.17106074072717981</v>
      </c>
      <c r="L10279" t="e">
        <f>VLOOKUP(Table1[[#This Row],[CountryCode]],[1]!Table1[#All],1,FALSE)</f>
        <v>#REF!</v>
      </c>
    </row>
    <row r="10280" spans="1:12" hidden="1" x14ac:dyDescent="0.3">
      <c r="A10280" t="s">
        <v>105</v>
      </c>
      <c r="B10280" t="s">
        <v>106</v>
      </c>
      <c r="C10280" t="s">
        <v>129</v>
      </c>
      <c r="D10280" t="s">
        <v>130</v>
      </c>
      <c r="E10280">
        <v>1967</v>
      </c>
      <c r="F10280" s="1">
        <v>70</v>
      </c>
      <c r="G10280">
        <v>1970</v>
      </c>
      <c r="H10280">
        <f>AVERAGEIFS(Table1[value],Table1[IndicatorCode],Table1[[#This Row],[IndicatorCode]])</f>
        <v>72.66514008620689</v>
      </c>
      <c r="I10280" cm="1">
        <f t="array" ref="I10280">_xlfn.STDEV.P(IF(Table1[IndicatorCode]=Table1[[#This Row],[IndicatorCode]],Table1[value]))</f>
        <v>6.3409496564024987</v>
      </c>
      <c r="J10280">
        <f>(Table1[[#This Row],[value]] - Table1[[#This Row],[mean]]) / Table1[[#This Row],[std_dev]]</f>
        <v>-0.4203061419224296</v>
      </c>
      <c r="K10280">
        <f>AVERAGEIF(Table1[CountryCode],Table1[[#This Row],[CountryCode]],Table1[z-score])</f>
        <v>-0.17106074072717981</v>
      </c>
      <c r="L10280" t="e">
        <f>VLOOKUP(Table1[[#This Row],[CountryCode]],[1]!Table1[#All],1,FALSE)</f>
        <v>#REF!</v>
      </c>
    </row>
    <row r="10281" spans="1:12" hidden="1" x14ac:dyDescent="0.3">
      <c r="A10281" t="s">
        <v>105</v>
      </c>
      <c r="B10281" t="s">
        <v>106</v>
      </c>
      <c r="C10281" t="s">
        <v>129</v>
      </c>
      <c r="D10281" t="s">
        <v>130</v>
      </c>
      <c r="E10281">
        <v>1968</v>
      </c>
      <c r="F10281" s="1">
        <v>70</v>
      </c>
      <c r="G10281">
        <v>1970</v>
      </c>
      <c r="H10281">
        <f>AVERAGEIFS(Table1[value],Table1[IndicatorCode],Table1[[#This Row],[IndicatorCode]])</f>
        <v>72.66514008620689</v>
      </c>
      <c r="I10281" cm="1">
        <f t="array" ref="I10281">_xlfn.STDEV.P(IF(Table1[IndicatorCode]=Table1[[#This Row],[IndicatorCode]],Table1[value]))</f>
        <v>6.3409496564024987</v>
      </c>
      <c r="J10281">
        <f>(Table1[[#This Row],[value]] - Table1[[#This Row],[mean]]) / Table1[[#This Row],[std_dev]]</f>
        <v>-0.4203061419224296</v>
      </c>
      <c r="K10281">
        <f>AVERAGEIF(Table1[CountryCode],Table1[[#This Row],[CountryCode]],Table1[z-score])</f>
        <v>-0.17106074072717981</v>
      </c>
      <c r="L10281" t="e">
        <f>VLOOKUP(Table1[[#This Row],[CountryCode]],[1]!Table1[#All],1,FALSE)</f>
        <v>#REF!</v>
      </c>
    </row>
    <row r="10282" spans="1:12" hidden="1" x14ac:dyDescent="0.3">
      <c r="A10282" t="s">
        <v>105</v>
      </c>
      <c r="B10282" t="s">
        <v>106</v>
      </c>
      <c r="C10282" t="s">
        <v>129</v>
      </c>
      <c r="D10282" t="s">
        <v>130</v>
      </c>
      <c r="E10282">
        <v>1969</v>
      </c>
      <c r="F10282" s="1">
        <v>70</v>
      </c>
      <c r="G10282">
        <v>1970</v>
      </c>
      <c r="H10282">
        <f>AVERAGEIFS(Table1[value],Table1[IndicatorCode],Table1[[#This Row],[IndicatorCode]])</f>
        <v>72.66514008620689</v>
      </c>
      <c r="I10282" cm="1">
        <f t="array" ref="I10282">_xlfn.STDEV.P(IF(Table1[IndicatorCode]=Table1[[#This Row],[IndicatorCode]],Table1[value]))</f>
        <v>6.3409496564024987</v>
      </c>
      <c r="J10282">
        <f>(Table1[[#This Row],[value]] - Table1[[#This Row],[mean]]) / Table1[[#This Row],[std_dev]]</f>
        <v>-0.4203061419224296</v>
      </c>
      <c r="K10282">
        <f>AVERAGEIF(Table1[CountryCode],Table1[[#This Row],[CountryCode]],Table1[z-score])</f>
        <v>-0.17106074072717981</v>
      </c>
      <c r="L10282" t="e">
        <f>VLOOKUP(Table1[[#This Row],[CountryCode]],[1]!Table1[#All],1,FALSE)</f>
        <v>#REF!</v>
      </c>
    </row>
    <row r="10283" spans="1:12" hidden="1" x14ac:dyDescent="0.3">
      <c r="A10283" t="s">
        <v>105</v>
      </c>
      <c r="B10283" t="s">
        <v>106</v>
      </c>
      <c r="C10283" t="s">
        <v>129</v>
      </c>
      <c r="D10283" t="s">
        <v>130</v>
      </c>
      <c r="E10283">
        <v>1970</v>
      </c>
      <c r="F10283" s="1">
        <v>70</v>
      </c>
      <c r="G10283">
        <v>1970</v>
      </c>
      <c r="H10283">
        <f>AVERAGEIFS(Table1[value],Table1[IndicatorCode],Table1[[#This Row],[IndicatorCode]])</f>
        <v>72.66514008620689</v>
      </c>
      <c r="I10283" cm="1">
        <f t="array" ref="I10283">_xlfn.STDEV.P(IF(Table1[IndicatorCode]=Table1[[#This Row],[IndicatorCode]],Table1[value]))</f>
        <v>6.3409496564024987</v>
      </c>
      <c r="J10283">
        <f>(Table1[[#This Row],[value]] - Table1[[#This Row],[mean]]) / Table1[[#This Row],[std_dev]]</f>
        <v>-0.4203061419224296</v>
      </c>
      <c r="K10283">
        <f>AVERAGEIF(Table1[CountryCode],Table1[[#This Row],[CountryCode]],Table1[z-score])</f>
        <v>-0.17106074072717981</v>
      </c>
      <c r="L10283" t="e">
        <f>VLOOKUP(Table1[[#This Row],[CountryCode]],[1]!Table1[#All],1,FALSE)</f>
        <v>#REF!</v>
      </c>
    </row>
    <row r="10284" spans="1:12" hidden="1" x14ac:dyDescent="0.3">
      <c r="A10284" t="s">
        <v>105</v>
      </c>
      <c r="B10284" t="s">
        <v>106</v>
      </c>
      <c r="C10284" t="s">
        <v>129</v>
      </c>
      <c r="D10284" t="s">
        <v>130</v>
      </c>
      <c r="E10284">
        <v>1971</v>
      </c>
      <c r="F10284" s="1">
        <v>70</v>
      </c>
      <c r="G10284">
        <v>1970</v>
      </c>
      <c r="H10284">
        <f>AVERAGEIFS(Table1[value],Table1[IndicatorCode],Table1[[#This Row],[IndicatorCode]])</f>
        <v>72.66514008620689</v>
      </c>
      <c r="I10284" cm="1">
        <f t="array" ref="I10284">_xlfn.STDEV.P(IF(Table1[IndicatorCode]=Table1[[#This Row],[IndicatorCode]],Table1[value]))</f>
        <v>6.3409496564024987</v>
      </c>
      <c r="J10284">
        <f>(Table1[[#This Row],[value]] - Table1[[#This Row],[mean]]) / Table1[[#This Row],[std_dev]]</f>
        <v>-0.4203061419224296</v>
      </c>
      <c r="K10284">
        <f>AVERAGEIF(Table1[CountryCode],Table1[[#This Row],[CountryCode]],Table1[z-score])</f>
        <v>-0.17106074072717981</v>
      </c>
      <c r="L10284" t="e">
        <f>VLOOKUP(Table1[[#This Row],[CountryCode]],[1]!Table1[#All],1,FALSE)</f>
        <v>#REF!</v>
      </c>
    </row>
    <row r="10285" spans="1:12" hidden="1" x14ac:dyDescent="0.3">
      <c r="A10285" t="s">
        <v>105</v>
      </c>
      <c r="B10285" t="s">
        <v>106</v>
      </c>
      <c r="C10285" t="s">
        <v>129</v>
      </c>
      <c r="D10285" t="s">
        <v>130</v>
      </c>
      <c r="E10285">
        <v>1972</v>
      </c>
      <c r="F10285" s="1">
        <v>70</v>
      </c>
      <c r="G10285">
        <v>1970</v>
      </c>
      <c r="H10285">
        <f>AVERAGEIFS(Table1[value],Table1[IndicatorCode],Table1[[#This Row],[IndicatorCode]])</f>
        <v>72.66514008620689</v>
      </c>
      <c r="I10285" cm="1">
        <f t="array" ref="I10285">_xlfn.STDEV.P(IF(Table1[IndicatorCode]=Table1[[#This Row],[IndicatorCode]],Table1[value]))</f>
        <v>6.3409496564024987</v>
      </c>
      <c r="J10285">
        <f>(Table1[[#This Row],[value]] - Table1[[#This Row],[mean]]) / Table1[[#This Row],[std_dev]]</f>
        <v>-0.4203061419224296</v>
      </c>
      <c r="K10285">
        <f>AVERAGEIF(Table1[CountryCode],Table1[[#This Row],[CountryCode]],Table1[z-score])</f>
        <v>-0.17106074072717981</v>
      </c>
      <c r="L10285" t="e">
        <f>VLOOKUP(Table1[[#This Row],[CountryCode]],[1]!Table1[#All],1,FALSE)</f>
        <v>#REF!</v>
      </c>
    </row>
    <row r="10286" spans="1:12" hidden="1" x14ac:dyDescent="0.3">
      <c r="A10286" t="s">
        <v>105</v>
      </c>
      <c r="B10286" t="s">
        <v>106</v>
      </c>
      <c r="C10286" t="s">
        <v>129</v>
      </c>
      <c r="D10286" t="s">
        <v>130</v>
      </c>
      <c r="E10286">
        <v>1973</v>
      </c>
      <c r="F10286" s="1">
        <v>70</v>
      </c>
      <c r="G10286">
        <v>1970</v>
      </c>
      <c r="H10286">
        <f>AVERAGEIFS(Table1[value],Table1[IndicatorCode],Table1[[#This Row],[IndicatorCode]])</f>
        <v>72.66514008620689</v>
      </c>
      <c r="I10286" cm="1">
        <f t="array" ref="I10286">_xlfn.STDEV.P(IF(Table1[IndicatorCode]=Table1[[#This Row],[IndicatorCode]],Table1[value]))</f>
        <v>6.3409496564024987</v>
      </c>
      <c r="J10286">
        <f>(Table1[[#This Row],[value]] - Table1[[#This Row],[mean]]) / Table1[[#This Row],[std_dev]]</f>
        <v>-0.4203061419224296</v>
      </c>
      <c r="K10286">
        <f>AVERAGEIF(Table1[CountryCode],Table1[[#This Row],[CountryCode]],Table1[z-score])</f>
        <v>-0.17106074072717981</v>
      </c>
      <c r="L10286" t="e">
        <f>VLOOKUP(Table1[[#This Row],[CountryCode]],[1]!Table1[#All],1,FALSE)</f>
        <v>#REF!</v>
      </c>
    </row>
    <row r="10287" spans="1:12" hidden="1" x14ac:dyDescent="0.3">
      <c r="A10287" t="s">
        <v>105</v>
      </c>
      <c r="B10287" t="s">
        <v>106</v>
      </c>
      <c r="C10287" t="s">
        <v>129</v>
      </c>
      <c r="D10287" t="s">
        <v>130</v>
      </c>
      <c r="E10287">
        <v>1974</v>
      </c>
      <c r="F10287" s="1">
        <v>71</v>
      </c>
      <c r="G10287">
        <v>1970</v>
      </c>
      <c r="H10287">
        <f>AVERAGEIFS(Table1[value],Table1[IndicatorCode],Table1[[#This Row],[IndicatorCode]])</f>
        <v>72.66514008620689</v>
      </c>
      <c r="I10287" cm="1">
        <f t="array" ref="I10287">_xlfn.STDEV.P(IF(Table1[IndicatorCode]=Table1[[#This Row],[IndicatorCode]],Table1[value]))</f>
        <v>6.3409496564024987</v>
      </c>
      <c r="J10287">
        <f>(Table1[[#This Row],[value]] - Table1[[#This Row],[mean]]) / Table1[[#This Row],[std_dev]]</f>
        <v>-0.2626010576389905</v>
      </c>
      <c r="K10287">
        <f>AVERAGEIF(Table1[CountryCode],Table1[[#This Row],[CountryCode]],Table1[z-score])</f>
        <v>-0.17106074072717981</v>
      </c>
      <c r="L10287" t="e">
        <f>VLOOKUP(Table1[[#This Row],[CountryCode]],[1]!Table1[#All],1,FALSE)</f>
        <v>#REF!</v>
      </c>
    </row>
    <row r="10288" spans="1:12" hidden="1" x14ac:dyDescent="0.3">
      <c r="A10288" t="s">
        <v>105</v>
      </c>
      <c r="B10288" t="s">
        <v>106</v>
      </c>
      <c r="C10288" t="s">
        <v>129</v>
      </c>
      <c r="D10288" t="s">
        <v>130</v>
      </c>
      <c r="E10288">
        <v>1975</v>
      </c>
      <c r="F10288" s="1">
        <v>71</v>
      </c>
      <c r="G10288">
        <v>1970</v>
      </c>
      <c r="H10288">
        <f>AVERAGEIFS(Table1[value],Table1[IndicatorCode],Table1[[#This Row],[IndicatorCode]])</f>
        <v>72.66514008620689</v>
      </c>
      <c r="I10288" cm="1">
        <f t="array" ref="I10288">_xlfn.STDEV.P(IF(Table1[IndicatorCode]=Table1[[#This Row],[IndicatorCode]],Table1[value]))</f>
        <v>6.3409496564024987</v>
      </c>
      <c r="J10288">
        <f>(Table1[[#This Row],[value]] - Table1[[#This Row],[mean]]) / Table1[[#This Row],[std_dev]]</f>
        <v>-0.2626010576389905</v>
      </c>
      <c r="K10288">
        <f>AVERAGEIF(Table1[CountryCode],Table1[[#This Row],[CountryCode]],Table1[z-score])</f>
        <v>-0.17106074072717981</v>
      </c>
      <c r="L10288" t="e">
        <f>VLOOKUP(Table1[[#This Row],[CountryCode]],[1]!Table1[#All],1,FALSE)</f>
        <v>#REF!</v>
      </c>
    </row>
    <row r="10289" spans="1:12" hidden="1" x14ac:dyDescent="0.3">
      <c r="A10289" t="s">
        <v>105</v>
      </c>
      <c r="B10289" t="s">
        <v>106</v>
      </c>
      <c r="C10289" t="s">
        <v>129</v>
      </c>
      <c r="D10289" t="s">
        <v>130</v>
      </c>
      <c r="E10289">
        <v>1976</v>
      </c>
      <c r="F10289" s="1">
        <v>72</v>
      </c>
      <c r="G10289">
        <v>1970</v>
      </c>
      <c r="H10289">
        <f>AVERAGEIFS(Table1[value],Table1[IndicatorCode],Table1[[#This Row],[IndicatorCode]])</f>
        <v>72.66514008620689</v>
      </c>
      <c r="I10289" cm="1">
        <f t="array" ref="I10289">_xlfn.STDEV.P(IF(Table1[IndicatorCode]=Table1[[#This Row],[IndicatorCode]],Table1[value]))</f>
        <v>6.3409496564024987</v>
      </c>
      <c r="J10289">
        <f>(Table1[[#This Row],[value]] - Table1[[#This Row],[mean]]) / Table1[[#This Row],[std_dev]]</f>
        <v>-0.10489597335555145</v>
      </c>
      <c r="K10289">
        <f>AVERAGEIF(Table1[CountryCode],Table1[[#This Row],[CountryCode]],Table1[z-score])</f>
        <v>-0.17106074072717981</v>
      </c>
      <c r="L10289" t="e">
        <f>VLOOKUP(Table1[[#This Row],[CountryCode]],[1]!Table1[#All],1,FALSE)</f>
        <v>#REF!</v>
      </c>
    </row>
    <row r="10290" spans="1:12" hidden="1" x14ac:dyDescent="0.3">
      <c r="A10290" t="s">
        <v>105</v>
      </c>
      <c r="B10290" t="s">
        <v>106</v>
      </c>
      <c r="C10290" t="s">
        <v>129</v>
      </c>
      <c r="D10290" t="s">
        <v>130</v>
      </c>
      <c r="E10290">
        <v>1977</v>
      </c>
      <c r="F10290" s="1">
        <v>72</v>
      </c>
      <c r="G10290">
        <v>1980</v>
      </c>
      <c r="H10290">
        <f>AVERAGEIFS(Table1[value],Table1[IndicatorCode],Table1[[#This Row],[IndicatorCode]])</f>
        <v>72.66514008620689</v>
      </c>
      <c r="I10290" cm="1">
        <f t="array" ref="I10290">_xlfn.STDEV.P(IF(Table1[IndicatorCode]=Table1[[#This Row],[IndicatorCode]],Table1[value]))</f>
        <v>6.3409496564024987</v>
      </c>
      <c r="J10290">
        <f>(Table1[[#This Row],[value]] - Table1[[#This Row],[mean]]) / Table1[[#This Row],[std_dev]]</f>
        <v>-0.10489597335555145</v>
      </c>
      <c r="K10290">
        <f>AVERAGEIF(Table1[CountryCode],Table1[[#This Row],[CountryCode]],Table1[z-score])</f>
        <v>-0.17106074072717981</v>
      </c>
      <c r="L10290" t="e">
        <f>VLOOKUP(Table1[[#This Row],[CountryCode]],[1]!Table1[#All],1,FALSE)</f>
        <v>#REF!</v>
      </c>
    </row>
    <row r="10291" spans="1:12" hidden="1" x14ac:dyDescent="0.3">
      <c r="A10291" t="s">
        <v>105</v>
      </c>
      <c r="B10291" t="s">
        <v>106</v>
      </c>
      <c r="C10291" t="s">
        <v>129</v>
      </c>
      <c r="D10291" t="s">
        <v>130</v>
      </c>
      <c r="E10291">
        <v>1978</v>
      </c>
      <c r="F10291" s="1">
        <v>71</v>
      </c>
      <c r="G10291">
        <v>1980</v>
      </c>
      <c r="H10291">
        <f>AVERAGEIFS(Table1[value],Table1[IndicatorCode],Table1[[#This Row],[IndicatorCode]])</f>
        <v>72.66514008620689</v>
      </c>
      <c r="I10291" cm="1">
        <f t="array" ref="I10291">_xlfn.STDEV.P(IF(Table1[IndicatorCode]=Table1[[#This Row],[IndicatorCode]],Table1[value]))</f>
        <v>6.3409496564024987</v>
      </c>
      <c r="J10291">
        <f>(Table1[[#This Row],[value]] - Table1[[#This Row],[mean]]) / Table1[[#This Row],[std_dev]]</f>
        <v>-0.2626010576389905</v>
      </c>
      <c r="K10291">
        <f>AVERAGEIF(Table1[CountryCode],Table1[[#This Row],[CountryCode]],Table1[z-score])</f>
        <v>-0.17106074072717981</v>
      </c>
      <c r="L10291" t="e">
        <f>VLOOKUP(Table1[[#This Row],[CountryCode]],[1]!Table1[#All],1,FALSE)</f>
        <v>#REF!</v>
      </c>
    </row>
    <row r="10292" spans="1:12" hidden="1" x14ac:dyDescent="0.3">
      <c r="A10292" t="s">
        <v>105</v>
      </c>
      <c r="B10292" t="s">
        <v>106</v>
      </c>
      <c r="C10292" t="s">
        <v>129</v>
      </c>
      <c r="D10292" t="s">
        <v>130</v>
      </c>
      <c r="E10292">
        <v>1979</v>
      </c>
      <c r="F10292" s="1">
        <v>71</v>
      </c>
      <c r="G10292">
        <v>1980</v>
      </c>
      <c r="H10292">
        <f>AVERAGEIFS(Table1[value],Table1[IndicatorCode],Table1[[#This Row],[IndicatorCode]])</f>
        <v>72.66514008620689</v>
      </c>
      <c r="I10292" cm="1">
        <f t="array" ref="I10292">_xlfn.STDEV.P(IF(Table1[IndicatorCode]=Table1[[#This Row],[IndicatorCode]],Table1[value]))</f>
        <v>6.3409496564024987</v>
      </c>
      <c r="J10292">
        <f>(Table1[[#This Row],[value]] - Table1[[#This Row],[mean]]) / Table1[[#This Row],[std_dev]]</f>
        <v>-0.2626010576389905</v>
      </c>
      <c r="K10292">
        <f>AVERAGEIF(Table1[CountryCode],Table1[[#This Row],[CountryCode]],Table1[z-score])</f>
        <v>-0.17106074072717981</v>
      </c>
      <c r="L10292" t="e">
        <f>VLOOKUP(Table1[[#This Row],[CountryCode]],[1]!Table1[#All],1,FALSE)</f>
        <v>#REF!</v>
      </c>
    </row>
    <row r="10293" spans="1:12" hidden="1" x14ac:dyDescent="0.3">
      <c r="A10293" t="s">
        <v>105</v>
      </c>
      <c r="B10293" t="s">
        <v>106</v>
      </c>
      <c r="C10293" t="s">
        <v>129</v>
      </c>
      <c r="D10293" t="s">
        <v>130</v>
      </c>
      <c r="E10293">
        <v>1980</v>
      </c>
      <c r="F10293" s="1">
        <v>71</v>
      </c>
      <c r="G10293">
        <v>1980</v>
      </c>
      <c r="H10293">
        <f>AVERAGEIFS(Table1[value],Table1[IndicatorCode],Table1[[#This Row],[IndicatorCode]])</f>
        <v>72.66514008620689</v>
      </c>
      <c r="I10293" cm="1">
        <f t="array" ref="I10293">_xlfn.STDEV.P(IF(Table1[IndicatorCode]=Table1[[#This Row],[IndicatorCode]],Table1[value]))</f>
        <v>6.3409496564024987</v>
      </c>
      <c r="J10293">
        <f>(Table1[[#This Row],[value]] - Table1[[#This Row],[mean]]) / Table1[[#This Row],[std_dev]]</f>
        <v>-0.2626010576389905</v>
      </c>
      <c r="K10293">
        <f>AVERAGEIF(Table1[CountryCode],Table1[[#This Row],[CountryCode]],Table1[z-score])</f>
        <v>-0.17106074072717981</v>
      </c>
      <c r="L10293" t="e">
        <f>VLOOKUP(Table1[[#This Row],[CountryCode]],[1]!Table1[#All],1,FALSE)</f>
        <v>#REF!</v>
      </c>
    </row>
    <row r="10294" spans="1:12" hidden="1" x14ac:dyDescent="0.3">
      <c r="A10294" t="s">
        <v>105</v>
      </c>
      <c r="B10294" t="s">
        <v>106</v>
      </c>
      <c r="C10294" t="s">
        <v>129</v>
      </c>
      <c r="D10294" t="s">
        <v>130</v>
      </c>
      <c r="E10294">
        <v>1981</v>
      </c>
      <c r="F10294" s="1">
        <v>71</v>
      </c>
      <c r="G10294">
        <v>1980</v>
      </c>
      <c r="H10294">
        <f>AVERAGEIFS(Table1[value],Table1[IndicatorCode],Table1[[#This Row],[IndicatorCode]])</f>
        <v>72.66514008620689</v>
      </c>
      <c r="I10294" cm="1">
        <f t="array" ref="I10294">_xlfn.STDEV.P(IF(Table1[IndicatorCode]=Table1[[#This Row],[IndicatorCode]],Table1[value]))</f>
        <v>6.3409496564024987</v>
      </c>
      <c r="J10294">
        <f>(Table1[[#This Row],[value]] - Table1[[#This Row],[mean]]) / Table1[[#This Row],[std_dev]]</f>
        <v>-0.2626010576389905</v>
      </c>
      <c r="K10294">
        <f>AVERAGEIF(Table1[CountryCode],Table1[[#This Row],[CountryCode]],Table1[z-score])</f>
        <v>-0.17106074072717981</v>
      </c>
      <c r="L10294" t="e">
        <f>VLOOKUP(Table1[[#This Row],[CountryCode]],[1]!Table1[#All],1,FALSE)</f>
        <v>#REF!</v>
      </c>
    </row>
    <row r="10295" spans="1:12" hidden="1" x14ac:dyDescent="0.3">
      <c r="A10295" t="s">
        <v>105</v>
      </c>
      <c r="B10295" t="s">
        <v>106</v>
      </c>
      <c r="C10295" t="s">
        <v>129</v>
      </c>
      <c r="D10295" t="s">
        <v>130</v>
      </c>
      <c r="E10295">
        <v>1982</v>
      </c>
      <c r="F10295" s="1">
        <v>71</v>
      </c>
      <c r="G10295">
        <v>1980</v>
      </c>
      <c r="H10295">
        <f>AVERAGEIFS(Table1[value],Table1[IndicatorCode],Table1[[#This Row],[IndicatorCode]])</f>
        <v>72.66514008620689</v>
      </c>
      <c r="I10295" cm="1">
        <f t="array" ref="I10295">_xlfn.STDEV.P(IF(Table1[IndicatorCode]=Table1[[#This Row],[IndicatorCode]],Table1[value]))</f>
        <v>6.3409496564024987</v>
      </c>
      <c r="J10295">
        <f>(Table1[[#This Row],[value]] - Table1[[#This Row],[mean]]) / Table1[[#This Row],[std_dev]]</f>
        <v>-0.2626010576389905</v>
      </c>
      <c r="K10295">
        <f>AVERAGEIF(Table1[CountryCode],Table1[[#This Row],[CountryCode]],Table1[z-score])</f>
        <v>-0.17106074072717981</v>
      </c>
      <c r="L10295" t="e">
        <f>VLOOKUP(Table1[[#This Row],[CountryCode]],[1]!Table1[#All],1,FALSE)</f>
        <v>#REF!</v>
      </c>
    </row>
    <row r="10296" spans="1:12" hidden="1" x14ac:dyDescent="0.3">
      <c r="A10296" t="s">
        <v>105</v>
      </c>
      <c r="B10296" t="s">
        <v>106</v>
      </c>
      <c r="C10296" t="s">
        <v>129</v>
      </c>
      <c r="D10296" t="s">
        <v>130</v>
      </c>
      <c r="E10296">
        <v>1983</v>
      </c>
      <c r="F10296" s="1">
        <v>71</v>
      </c>
      <c r="G10296">
        <v>1980</v>
      </c>
      <c r="H10296">
        <f>AVERAGEIFS(Table1[value],Table1[IndicatorCode],Table1[[#This Row],[IndicatorCode]])</f>
        <v>72.66514008620689</v>
      </c>
      <c r="I10296" cm="1">
        <f t="array" ref="I10296">_xlfn.STDEV.P(IF(Table1[IndicatorCode]=Table1[[#This Row],[IndicatorCode]],Table1[value]))</f>
        <v>6.3409496564024987</v>
      </c>
      <c r="J10296">
        <f>(Table1[[#This Row],[value]] - Table1[[#This Row],[mean]]) / Table1[[#This Row],[std_dev]]</f>
        <v>-0.2626010576389905</v>
      </c>
      <c r="K10296">
        <f>AVERAGEIF(Table1[CountryCode],Table1[[#This Row],[CountryCode]],Table1[z-score])</f>
        <v>-0.17106074072717981</v>
      </c>
      <c r="L10296" t="e">
        <f>VLOOKUP(Table1[[#This Row],[CountryCode]],[1]!Table1[#All],1,FALSE)</f>
        <v>#REF!</v>
      </c>
    </row>
    <row r="10297" spans="1:12" hidden="1" x14ac:dyDescent="0.3">
      <c r="A10297" t="s">
        <v>105</v>
      </c>
      <c r="B10297" t="s">
        <v>106</v>
      </c>
      <c r="C10297" t="s">
        <v>129</v>
      </c>
      <c r="D10297" t="s">
        <v>130</v>
      </c>
      <c r="E10297">
        <v>1984</v>
      </c>
      <c r="F10297" s="1">
        <v>71</v>
      </c>
      <c r="G10297">
        <v>1980</v>
      </c>
      <c r="H10297">
        <f>AVERAGEIFS(Table1[value],Table1[IndicatorCode],Table1[[#This Row],[IndicatorCode]])</f>
        <v>72.66514008620689</v>
      </c>
      <c r="I10297" cm="1">
        <f t="array" ref="I10297">_xlfn.STDEV.P(IF(Table1[IndicatorCode]=Table1[[#This Row],[IndicatorCode]],Table1[value]))</f>
        <v>6.3409496564024987</v>
      </c>
      <c r="J10297">
        <f>(Table1[[#This Row],[value]] - Table1[[#This Row],[mean]]) / Table1[[#This Row],[std_dev]]</f>
        <v>-0.2626010576389905</v>
      </c>
      <c r="K10297">
        <f>AVERAGEIF(Table1[CountryCode],Table1[[#This Row],[CountryCode]],Table1[z-score])</f>
        <v>-0.17106074072717981</v>
      </c>
      <c r="L10297" t="e">
        <f>VLOOKUP(Table1[[#This Row],[CountryCode]],[1]!Table1[#All],1,FALSE)</f>
        <v>#REF!</v>
      </c>
    </row>
    <row r="10298" spans="1:12" hidden="1" x14ac:dyDescent="0.3">
      <c r="A10298" t="s">
        <v>105</v>
      </c>
      <c r="B10298" t="s">
        <v>106</v>
      </c>
      <c r="C10298" t="s">
        <v>129</v>
      </c>
      <c r="D10298" t="s">
        <v>130</v>
      </c>
      <c r="E10298">
        <v>1985</v>
      </c>
      <c r="F10298" s="1">
        <v>71</v>
      </c>
      <c r="G10298">
        <v>1980</v>
      </c>
      <c r="H10298">
        <f>AVERAGEIFS(Table1[value],Table1[IndicatorCode],Table1[[#This Row],[IndicatorCode]])</f>
        <v>72.66514008620689</v>
      </c>
      <c r="I10298" cm="1">
        <f t="array" ref="I10298">_xlfn.STDEV.P(IF(Table1[IndicatorCode]=Table1[[#This Row],[IndicatorCode]],Table1[value]))</f>
        <v>6.3409496564024987</v>
      </c>
      <c r="J10298">
        <f>(Table1[[#This Row],[value]] - Table1[[#This Row],[mean]]) / Table1[[#This Row],[std_dev]]</f>
        <v>-0.2626010576389905</v>
      </c>
      <c r="K10298">
        <f>AVERAGEIF(Table1[CountryCode],Table1[[#This Row],[CountryCode]],Table1[z-score])</f>
        <v>-0.17106074072717981</v>
      </c>
      <c r="L10298" t="e">
        <f>VLOOKUP(Table1[[#This Row],[CountryCode]],[1]!Table1[#All],1,FALSE)</f>
        <v>#REF!</v>
      </c>
    </row>
    <row r="10299" spans="1:12" hidden="1" x14ac:dyDescent="0.3">
      <c r="A10299" t="s">
        <v>105</v>
      </c>
      <c r="B10299" t="s">
        <v>106</v>
      </c>
      <c r="C10299" t="s">
        <v>129</v>
      </c>
      <c r="D10299" t="s">
        <v>130</v>
      </c>
      <c r="E10299">
        <v>1986</v>
      </c>
      <c r="F10299" s="1">
        <v>72</v>
      </c>
      <c r="G10299">
        <v>1980</v>
      </c>
      <c r="H10299">
        <f>AVERAGEIFS(Table1[value],Table1[IndicatorCode],Table1[[#This Row],[IndicatorCode]])</f>
        <v>72.66514008620689</v>
      </c>
      <c r="I10299" cm="1">
        <f t="array" ref="I10299">_xlfn.STDEV.P(IF(Table1[IndicatorCode]=Table1[[#This Row],[IndicatorCode]],Table1[value]))</f>
        <v>6.3409496564024987</v>
      </c>
      <c r="J10299">
        <f>(Table1[[#This Row],[value]] - Table1[[#This Row],[mean]]) / Table1[[#This Row],[std_dev]]</f>
        <v>-0.10489597335555145</v>
      </c>
      <c r="K10299">
        <f>AVERAGEIF(Table1[CountryCode],Table1[[#This Row],[CountryCode]],Table1[z-score])</f>
        <v>-0.17106074072717981</v>
      </c>
      <c r="L10299" t="e">
        <f>VLOOKUP(Table1[[#This Row],[CountryCode]],[1]!Table1[#All],1,FALSE)</f>
        <v>#REF!</v>
      </c>
    </row>
    <row r="10300" spans="1:12" hidden="1" x14ac:dyDescent="0.3">
      <c r="A10300" t="s">
        <v>105</v>
      </c>
      <c r="B10300" t="s">
        <v>106</v>
      </c>
      <c r="C10300" t="s">
        <v>129</v>
      </c>
      <c r="D10300" t="s">
        <v>130</v>
      </c>
      <c r="E10300">
        <v>1987</v>
      </c>
      <c r="F10300" s="1">
        <v>72</v>
      </c>
      <c r="G10300">
        <v>1990</v>
      </c>
      <c r="H10300">
        <f>AVERAGEIFS(Table1[value],Table1[IndicatorCode],Table1[[#This Row],[IndicatorCode]])</f>
        <v>72.66514008620689</v>
      </c>
      <c r="I10300" cm="1">
        <f t="array" ref="I10300">_xlfn.STDEV.P(IF(Table1[IndicatorCode]=Table1[[#This Row],[IndicatorCode]],Table1[value]))</f>
        <v>6.3409496564024987</v>
      </c>
      <c r="J10300">
        <f>(Table1[[#This Row],[value]] - Table1[[#This Row],[mean]]) / Table1[[#This Row],[std_dev]]</f>
        <v>-0.10489597335555145</v>
      </c>
      <c r="K10300">
        <f>AVERAGEIF(Table1[CountryCode],Table1[[#This Row],[CountryCode]],Table1[z-score])</f>
        <v>-0.17106074072717981</v>
      </c>
      <c r="L10300" t="e">
        <f>VLOOKUP(Table1[[#This Row],[CountryCode]],[1]!Table1[#All],1,FALSE)</f>
        <v>#REF!</v>
      </c>
    </row>
    <row r="10301" spans="1:12" hidden="1" x14ac:dyDescent="0.3">
      <c r="A10301" t="s">
        <v>105</v>
      </c>
      <c r="B10301" t="s">
        <v>106</v>
      </c>
      <c r="C10301" t="s">
        <v>129</v>
      </c>
      <c r="D10301" t="s">
        <v>130</v>
      </c>
      <c r="E10301">
        <v>1988</v>
      </c>
      <c r="F10301" s="1">
        <v>72</v>
      </c>
      <c r="G10301">
        <v>1990</v>
      </c>
      <c r="H10301">
        <f>AVERAGEIFS(Table1[value],Table1[IndicatorCode],Table1[[#This Row],[IndicatorCode]])</f>
        <v>72.66514008620689</v>
      </c>
      <c r="I10301" cm="1">
        <f t="array" ref="I10301">_xlfn.STDEV.P(IF(Table1[IndicatorCode]=Table1[[#This Row],[IndicatorCode]],Table1[value]))</f>
        <v>6.3409496564024987</v>
      </c>
      <c r="J10301">
        <f>(Table1[[#This Row],[value]] - Table1[[#This Row],[mean]]) / Table1[[#This Row],[std_dev]]</f>
        <v>-0.10489597335555145</v>
      </c>
      <c r="K10301">
        <f>AVERAGEIF(Table1[CountryCode],Table1[[#This Row],[CountryCode]],Table1[z-score])</f>
        <v>-0.17106074072717981</v>
      </c>
      <c r="L10301" t="e">
        <f>VLOOKUP(Table1[[#This Row],[CountryCode]],[1]!Table1[#All],1,FALSE)</f>
        <v>#REF!</v>
      </c>
    </row>
    <row r="10302" spans="1:12" hidden="1" x14ac:dyDescent="0.3">
      <c r="A10302" t="s">
        <v>105</v>
      </c>
      <c r="B10302" t="s">
        <v>106</v>
      </c>
      <c r="C10302" t="s">
        <v>129</v>
      </c>
      <c r="D10302" t="s">
        <v>130</v>
      </c>
      <c r="E10302">
        <v>1989</v>
      </c>
      <c r="F10302" s="1">
        <v>72</v>
      </c>
      <c r="G10302">
        <v>1990</v>
      </c>
      <c r="H10302">
        <f>AVERAGEIFS(Table1[value],Table1[IndicatorCode],Table1[[#This Row],[IndicatorCode]])</f>
        <v>72.66514008620689</v>
      </c>
      <c r="I10302" cm="1">
        <f t="array" ref="I10302">_xlfn.STDEV.P(IF(Table1[IndicatorCode]=Table1[[#This Row],[IndicatorCode]],Table1[value]))</f>
        <v>6.3409496564024987</v>
      </c>
      <c r="J10302">
        <f>(Table1[[#This Row],[value]] - Table1[[#This Row],[mean]]) / Table1[[#This Row],[std_dev]]</f>
        <v>-0.10489597335555145</v>
      </c>
      <c r="K10302">
        <f>AVERAGEIF(Table1[CountryCode],Table1[[#This Row],[CountryCode]],Table1[z-score])</f>
        <v>-0.17106074072717981</v>
      </c>
      <c r="L10302" t="e">
        <f>VLOOKUP(Table1[[#This Row],[CountryCode]],[1]!Table1[#All],1,FALSE)</f>
        <v>#REF!</v>
      </c>
    </row>
    <row r="10303" spans="1:12" hidden="1" x14ac:dyDescent="0.3">
      <c r="A10303" t="s">
        <v>105</v>
      </c>
      <c r="B10303" t="s">
        <v>106</v>
      </c>
      <c r="C10303" t="s">
        <v>129</v>
      </c>
      <c r="D10303" t="s">
        <v>130</v>
      </c>
      <c r="E10303">
        <v>1990</v>
      </c>
      <c r="F10303" s="1">
        <v>72</v>
      </c>
      <c r="G10303">
        <v>1990</v>
      </c>
      <c r="H10303">
        <f>AVERAGEIFS(Table1[value],Table1[IndicatorCode],Table1[[#This Row],[IndicatorCode]])</f>
        <v>72.66514008620689</v>
      </c>
      <c r="I10303" cm="1">
        <f t="array" ref="I10303">_xlfn.STDEV.P(IF(Table1[IndicatorCode]=Table1[[#This Row],[IndicatorCode]],Table1[value]))</f>
        <v>6.3409496564024987</v>
      </c>
      <c r="J10303">
        <f>(Table1[[#This Row],[value]] - Table1[[#This Row],[mean]]) / Table1[[#This Row],[std_dev]]</f>
        <v>-0.10489597335555145</v>
      </c>
      <c r="K10303">
        <f>AVERAGEIF(Table1[CountryCode],Table1[[#This Row],[CountryCode]],Table1[z-score])</f>
        <v>-0.17106074072717981</v>
      </c>
      <c r="L10303" t="e">
        <f>VLOOKUP(Table1[[#This Row],[CountryCode]],[1]!Table1[#All],1,FALSE)</f>
        <v>#REF!</v>
      </c>
    </row>
    <row r="10304" spans="1:12" hidden="1" x14ac:dyDescent="0.3">
      <c r="A10304" t="s">
        <v>105</v>
      </c>
      <c r="B10304" t="s">
        <v>106</v>
      </c>
      <c r="C10304" t="s">
        <v>129</v>
      </c>
      <c r="D10304" t="s">
        <v>130</v>
      </c>
      <c r="E10304">
        <v>1991</v>
      </c>
      <c r="F10304" s="1">
        <v>72</v>
      </c>
      <c r="G10304">
        <v>1990</v>
      </c>
      <c r="H10304">
        <f>AVERAGEIFS(Table1[value],Table1[IndicatorCode],Table1[[#This Row],[IndicatorCode]])</f>
        <v>72.66514008620689</v>
      </c>
      <c r="I10304" cm="1">
        <f t="array" ref="I10304">_xlfn.STDEV.P(IF(Table1[IndicatorCode]=Table1[[#This Row],[IndicatorCode]],Table1[value]))</f>
        <v>6.3409496564024987</v>
      </c>
      <c r="J10304">
        <f>(Table1[[#This Row],[value]] - Table1[[#This Row],[mean]]) / Table1[[#This Row],[std_dev]]</f>
        <v>-0.10489597335555145</v>
      </c>
      <c r="K10304">
        <f>AVERAGEIF(Table1[CountryCode],Table1[[#This Row],[CountryCode]],Table1[z-score])</f>
        <v>-0.17106074072717981</v>
      </c>
      <c r="L10304" t="e">
        <f>VLOOKUP(Table1[[#This Row],[CountryCode]],[1]!Table1[#All],1,FALSE)</f>
        <v>#REF!</v>
      </c>
    </row>
    <row r="10305" spans="1:12" hidden="1" x14ac:dyDescent="0.3">
      <c r="A10305" t="s">
        <v>105</v>
      </c>
      <c r="B10305" t="s">
        <v>106</v>
      </c>
      <c r="C10305" t="s">
        <v>129</v>
      </c>
      <c r="D10305" t="s">
        <v>130</v>
      </c>
      <c r="E10305">
        <v>1992</v>
      </c>
      <c r="F10305" s="1">
        <v>72</v>
      </c>
      <c r="G10305">
        <v>1990</v>
      </c>
      <c r="H10305">
        <f>AVERAGEIFS(Table1[value],Table1[IndicatorCode],Table1[[#This Row],[IndicatorCode]])</f>
        <v>72.66514008620689</v>
      </c>
      <c r="I10305" cm="1">
        <f t="array" ref="I10305">_xlfn.STDEV.P(IF(Table1[IndicatorCode]=Table1[[#This Row],[IndicatorCode]],Table1[value]))</f>
        <v>6.3409496564024987</v>
      </c>
      <c r="J10305">
        <f>(Table1[[#This Row],[value]] - Table1[[#This Row],[mean]]) / Table1[[#This Row],[std_dev]]</f>
        <v>-0.10489597335555145</v>
      </c>
      <c r="K10305">
        <f>AVERAGEIF(Table1[CountryCode],Table1[[#This Row],[CountryCode]],Table1[z-score])</f>
        <v>-0.17106074072717981</v>
      </c>
      <c r="L10305" t="e">
        <f>VLOOKUP(Table1[[#This Row],[CountryCode]],[1]!Table1[#All],1,FALSE)</f>
        <v>#REF!</v>
      </c>
    </row>
    <row r="10306" spans="1:12" hidden="1" x14ac:dyDescent="0.3">
      <c r="A10306" t="s">
        <v>105</v>
      </c>
      <c r="B10306" t="s">
        <v>106</v>
      </c>
      <c r="C10306" t="s">
        <v>129</v>
      </c>
      <c r="D10306" t="s">
        <v>130</v>
      </c>
      <c r="E10306">
        <v>1993</v>
      </c>
      <c r="F10306" s="1">
        <v>72</v>
      </c>
      <c r="G10306">
        <v>1990</v>
      </c>
      <c r="H10306">
        <f>AVERAGEIFS(Table1[value],Table1[IndicatorCode],Table1[[#This Row],[IndicatorCode]])</f>
        <v>72.66514008620689</v>
      </c>
      <c r="I10306" cm="1">
        <f t="array" ref="I10306">_xlfn.STDEV.P(IF(Table1[IndicatorCode]=Table1[[#This Row],[IndicatorCode]],Table1[value]))</f>
        <v>6.3409496564024987</v>
      </c>
      <c r="J10306">
        <f>(Table1[[#This Row],[value]] - Table1[[#This Row],[mean]]) / Table1[[#This Row],[std_dev]]</f>
        <v>-0.10489597335555145</v>
      </c>
      <c r="K10306">
        <f>AVERAGEIF(Table1[CountryCode],Table1[[#This Row],[CountryCode]],Table1[z-score])</f>
        <v>-0.17106074072717981</v>
      </c>
      <c r="L10306" t="e">
        <f>VLOOKUP(Table1[[#This Row],[CountryCode]],[1]!Table1[#All],1,FALSE)</f>
        <v>#REF!</v>
      </c>
    </row>
    <row r="10307" spans="1:12" hidden="1" x14ac:dyDescent="0.3">
      <c r="A10307" t="s">
        <v>105</v>
      </c>
      <c r="B10307" t="s">
        <v>106</v>
      </c>
      <c r="C10307" t="s">
        <v>129</v>
      </c>
      <c r="D10307" t="s">
        <v>130</v>
      </c>
      <c r="E10307">
        <v>1994</v>
      </c>
      <c r="F10307" s="1">
        <v>72</v>
      </c>
      <c r="G10307">
        <v>1990</v>
      </c>
      <c r="H10307">
        <f>AVERAGEIFS(Table1[value],Table1[IndicatorCode],Table1[[#This Row],[IndicatorCode]])</f>
        <v>72.66514008620689</v>
      </c>
      <c r="I10307" cm="1">
        <f t="array" ref="I10307">_xlfn.STDEV.P(IF(Table1[IndicatorCode]=Table1[[#This Row],[IndicatorCode]],Table1[value]))</f>
        <v>6.3409496564024987</v>
      </c>
      <c r="J10307">
        <f>(Table1[[#This Row],[value]] - Table1[[#This Row],[mean]]) / Table1[[#This Row],[std_dev]]</f>
        <v>-0.10489597335555145</v>
      </c>
      <c r="K10307">
        <f>AVERAGEIF(Table1[CountryCode],Table1[[#This Row],[CountryCode]],Table1[z-score])</f>
        <v>-0.17106074072717981</v>
      </c>
      <c r="L10307" t="e">
        <f>VLOOKUP(Table1[[#This Row],[CountryCode]],[1]!Table1[#All],1,FALSE)</f>
        <v>#REF!</v>
      </c>
    </row>
    <row r="10308" spans="1:12" hidden="1" x14ac:dyDescent="0.3">
      <c r="A10308" t="s">
        <v>105</v>
      </c>
      <c r="B10308" t="s">
        <v>106</v>
      </c>
      <c r="C10308" t="s">
        <v>129</v>
      </c>
      <c r="D10308" t="s">
        <v>130</v>
      </c>
      <c r="E10308">
        <v>1995</v>
      </c>
      <c r="F10308" s="1">
        <v>73</v>
      </c>
      <c r="G10308">
        <v>1990</v>
      </c>
      <c r="H10308">
        <f>AVERAGEIFS(Table1[value],Table1[IndicatorCode],Table1[[#This Row],[IndicatorCode]])</f>
        <v>72.66514008620689</v>
      </c>
      <c r="I10308" cm="1">
        <f t="array" ref="I10308">_xlfn.STDEV.P(IF(Table1[IndicatorCode]=Table1[[#This Row],[IndicatorCode]],Table1[value]))</f>
        <v>6.3409496564024987</v>
      </c>
      <c r="J10308">
        <f>(Table1[[#This Row],[value]] - Table1[[#This Row],[mean]]) / Table1[[#This Row],[std_dev]]</f>
        <v>5.2809110927887599E-2</v>
      </c>
      <c r="K10308">
        <f>AVERAGEIF(Table1[CountryCode],Table1[[#This Row],[CountryCode]],Table1[z-score])</f>
        <v>-0.17106074072717981</v>
      </c>
      <c r="L10308" t="e">
        <f>VLOOKUP(Table1[[#This Row],[CountryCode]],[1]!Table1[#All],1,FALSE)</f>
        <v>#REF!</v>
      </c>
    </row>
    <row r="10309" spans="1:12" hidden="1" x14ac:dyDescent="0.3">
      <c r="A10309" t="s">
        <v>105</v>
      </c>
      <c r="B10309" t="s">
        <v>106</v>
      </c>
      <c r="C10309" t="s">
        <v>129</v>
      </c>
      <c r="D10309" t="s">
        <v>130</v>
      </c>
      <c r="E10309">
        <v>1996</v>
      </c>
      <c r="F10309" s="1">
        <v>73</v>
      </c>
      <c r="G10309">
        <v>1990</v>
      </c>
      <c r="H10309">
        <f>AVERAGEIFS(Table1[value],Table1[IndicatorCode],Table1[[#This Row],[IndicatorCode]])</f>
        <v>72.66514008620689</v>
      </c>
      <c r="I10309" cm="1">
        <f t="array" ref="I10309">_xlfn.STDEV.P(IF(Table1[IndicatorCode]=Table1[[#This Row],[IndicatorCode]],Table1[value]))</f>
        <v>6.3409496564024987</v>
      </c>
      <c r="J10309">
        <f>(Table1[[#This Row],[value]] - Table1[[#This Row],[mean]]) / Table1[[#This Row],[std_dev]]</f>
        <v>5.2809110927887599E-2</v>
      </c>
      <c r="K10309">
        <f>AVERAGEIF(Table1[CountryCode],Table1[[#This Row],[CountryCode]],Table1[z-score])</f>
        <v>-0.17106074072717981</v>
      </c>
      <c r="L10309" t="e">
        <f>VLOOKUP(Table1[[#This Row],[CountryCode]],[1]!Table1[#All],1,FALSE)</f>
        <v>#REF!</v>
      </c>
    </row>
    <row r="10310" spans="1:12" hidden="1" x14ac:dyDescent="0.3">
      <c r="A10310" t="s">
        <v>105</v>
      </c>
      <c r="B10310" t="s">
        <v>106</v>
      </c>
      <c r="C10310" t="s">
        <v>129</v>
      </c>
      <c r="D10310" t="s">
        <v>130</v>
      </c>
      <c r="E10310">
        <v>1997</v>
      </c>
      <c r="F10310" s="1">
        <v>73</v>
      </c>
      <c r="G10310">
        <v>2000</v>
      </c>
      <c r="H10310">
        <f>AVERAGEIFS(Table1[value],Table1[IndicatorCode],Table1[[#This Row],[IndicatorCode]])</f>
        <v>72.66514008620689</v>
      </c>
      <c r="I10310" cm="1">
        <f t="array" ref="I10310">_xlfn.STDEV.P(IF(Table1[IndicatorCode]=Table1[[#This Row],[IndicatorCode]],Table1[value]))</f>
        <v>6.3409496564024987</v>
      </c>
      <c r="J10310">
        <f>(Table1[[#This Row],[value]] - Table1[[#This Row],[mean]]) / Table1[[#This Row],[std_dev]]</f>
        <v>5.2809110927887599E-2</v>
      </c>
      <c r="K10310">
        <f>AVERAGEIF(Table1[CountryCode],Table1[[#This Row],[CountryCode]],Table1[z-score])</f>
        <v>-0.17106074072717981</v>
      </c>
      <c r="L10310" t="e">
        <f>VLOOKUP(Table1[[#This Row],[CountryCode]],[1]!Table1[#All],1,FALSE)</f>
        <v>#REF!</v>
      </c>
    </row>
    <row r="10311" spans="1:12" hidden="1" x14ac:dyDescent="0.3">
      <c r="A10311" t="s">
        <v>105</v>
      </c>
      <c r="B10311" t="s">
        <v>106</v>
      </c>
      <c r="C10311" t="s">
        <v>129</v>
      </c>
      <c r="D10311" t="s">
        <v>130</v>
      </c>
      <c r="E10311">
        <v>1998</v>
      </c>
      <c r="F10311" s="1">
        <v>72</v>
      </c>
      <c r="G10311">
        <v>2000</v>
      </c>
      <c r="H10311">
        <f>AVERAGEIFS(Table1[value],Table1[IndicatorCode],Table1[[#This Row],[IndicatorCode]])</f>
        <v>72.66514008620689</v>
      </c>
      <c r="I10311" cm="1">
        <f t="array" ref="I10311">_xlfn.STDEV.P(IF(Table1[IndicatorCode]=Table1[[#This Row],[IndicatorCode]],Table1[value]))</f>
        <v>6.3409496564024987</v>
      </c>
      <c r="J10311">
        <f>(Table1[[#This Row],[value]] - Table1[[#This Row],[mean]]) / Table1[[#This Row],[std_dev]]</f>
        <v>-0.10489597335555145</v>
      </c>
      <c r="K10311">
        <f>AVERAGEIF(Table1[CountryCode],Table1[[#This Row],[CountryCode]],Table1[z-score])</f>
        <v>-0.17106074072717981</v>
      </c>
      <c r="L10311" t="e">
        <f>VLOOKUP(Table1[[#This Row],[CountryCode]],[1]!Table1[#All],1,FALSE)</f>
        <v>#REF!</v>
      </c>
    </row>
    <row r="10312" spans="1:12" hidden="1" x14ac:dyDescent="0.3">
      <c r="A10312" t="s">
        <v>105</v>
      </c>
      <c r="B10312" t="s">
        <v>106</v>
      </c>
      <c r="C10312" t="s">
        <v>129</v>
      </c>
      <c r="D10312" t="s">
        <v>130</v>
      </c>
      <c r="E10312">
        <v>1999</v>
      </c>
      <c r="F10312" s="1">
        <v>70</v>
      </c>
      <c r="G10312">
        <v>2000</v>
      </c>
      <c r="H10312">
        <f>AVERAGEIFS(Table1[value],Table1[IndicatorCode],Table1[[#This Row],[IndicatorCode]])</f>
        <v>72.66514008620689</v>
      </c>
      <c r="I10312" cm="1">
        <f t="array" ref="I10312">_xlfn.STDEV.P(IF(Table1[IndicatorCode]=Table1[[#This Row],[IndicatorCode]],Table1[value]))</f>
        <v>6.3409496564024987</v>
      </c>
      <c r="J10312">
        <f>(Table1[[#This Row],[value]] - Table1[[#This Row],[mean]]) / Table1[[#This Row],[std_dev]]</f>
        <v>-0.4203061419224296</v>
      </c>
      <c r="K10312">
        <f>AVERAGEIF(Table1[CountryCode],Table1[[#This Row],[CountryCode]],Table1[z-score])</f>
        <v>-0.17106074072717981</v>
      </c>
      <c r="L10312" t="e">
        <f>VLOOKUP(Table1[[#This Row],[CountryCode]],[1]!Table1[#All],1,FALSE)</f>
        <v>#REF!</v>
      </c>
    </row>
    <row r="10313" spans="1:12" hidden="1" x14ac:dyDescent="0.3">
      <c r="A10313" t="s">
        <v>105</v>
      </c>
      <c r="B10313" t="s">
        <v>106</v>
      </c>
      <c r="C10313" t="s">
        <v>129</v>
      </c>
      <c r="D10313" t="s">
        <v>130</v>
      </c>
      <c r="E10313">
        <v>2000</v>
      </c>
      <c r="F10313" s="1">
        <v>72</v>
      </c>
      <c r="G10313">
        <v>2000</v>
      </c>
      <c r="H10313">
        <f>AVERAGEIFS(Table1[value],Table1[IndicatorCode],Table1[[#This Row],[IndicatorCode]])</f>
        <v>72.66514008620689</v>
      </c>
      <c r="I10313" cm="1">
        <f t="array" ref="I10313">_xlfn.STDEV.P(IF(Table1[IndicatorCode]=Table1[[#This Row],[IndicatorCode]],Table1[value]))</f>
        <v>6.3409496564024987</v>
      </c>
      <c r="J10313">
        <f>(Table1[[#This Row],[value]] - Table1[[#This Row],[mean]]) / Table1[[#This Row],[std_dev]]</f>
        <v>-0.10489597335555145</v>
      </c>
      <c r="K10313">
        <f>AVERAGEIF(Table1[CountryCode],Table1[[#This Row],[CountryCode]],Table1[z-score])</f>
        <v>-0.17106074072717981</v>
      </c>
      <c r="L10313" t="e">
        <f>VLOOKUP(Table1[[#This Row],[CountryCode]],[1]!Table1[#All],1,FALSE)</f>
        <v>#REF!</v>
      </c>
    </row>
    <row r="10314" spans="1:12" hidden="1" x14ac:dyDescent="0.3">
      <c r="A10314" t="s">
        <v>105</v>
      </c>
      <c r="B10314" t="s">
        <v>106</v>
      </c>
      <c r="C10314" t="s">
        <v>129</v>
      </c>
      <c r="D10314" t="s">
        <v>130</v>
      </c>
      <c r="E10314">
        <v>2001</v>
      </c>
      <c r="F10314" s="1">
        <v>72</v>
      </c>
      <c r="G10314">
        <v>2000</v>
      </c>
      <c r="H10314">
        <f>AVERAGEIFS(Table1[value],Table1[IndicatorCode],Table1[[#This Row],[IndicatorCode]])</f>
        <v>72.66514008620689</v>
      </c>
      <c r="I10314" cm="1">
        <f t="array" ref="I10314">_xlfn.STDEV.P(IF(Table1[IndicatorCode]=Table1[[#This Row],[IndicatorCode]],Table1[value]))</f>
        <v>6.3409496564024987</v>
      </c>
      <c r="J10314">
        <f>(Table1[[#This Row],[value]] - Table1[[#This Row],[mean]]) / Table1[[#This Row],[std_dev]]</f>
        <v>-0.10489597335555145</v>
      </c>
      <c r="K10314">
        <f>AVERAGEIF(Table1[CountryCode],Table1[[#This Row],[CountryCode]],Table1[z-score])</f>
        <v>-0.17106074072717981</v>
      </c>
      <c r="L10314" t="e">
        <f>VLOOKUP(Table1[[#This Row],[CountryCode]],[1]!Table1[#All],1,FALSE)</f>
        <v>#REF!</v>
      </c>
    </row>
    <row r="10315" spans="1:12" hidden="1" x14ac:dyDescent="0.3">
      <c r="A10315" t="s">
        <v>105</v>
      </c>
      <c r="B10315" t="s">
        <v>106</v>
      </c>
      <c r="C10315" t="s">
        <v>129</v>
      </c>
      <c r="D10315" t="s">
        <v>130</v>
      </c>
      <c r="E10315">
        <v>2002</v>
      </c>
      <c r="F10315" s="1">
        <v>72</v>
      </c>
      <c r="G10315">
        <v>2000</v>
      </c>
      <c r="H10315">
        <f>AVERAGEIFS(Table1[value],Table1[IndicatorCode],Table1[[#This Row],[IndicatorCode]])</f>
        <v>72.66514008620689</v>
      </c>
      <c r="I10315" cm="1">
        <f t="array" ref="I10315">_xlfn.STDEV.P(IF(Table1[IndicatorCode]=Table1[[#This Row],[IndicatorCode]],Table1[value]))</f>
        <v>6.3409496564024987</v>
      </c>
      <c r="J10315">
        <f>(Table1[[#This Row],[value]] - Table1[[#This Row],[mean]]) / Table1[[#This Row],[std_dev]]</f>
        <v>-0.10489597335555145</v>
      </c>
      <c r="K10315">
        <f>AVERAGEIF(Table1[CountryCode],Table1[[#This Row],[CountryCode]],Table1[z-score])</f>
        <v>-0.17106074072717981</v>
      </c>
      <c r="L10315" t="e">
        <f>VLOOKUP(Table1[[#This Row],[CountryCode]],[1]!Table1[#All],1,FALSE)</f>
        <v>#REF!</v>
      </c>
    </row>
    <row r="10316" spans="1:12" hidden="1" x14ac:dyDescent="0.3">
      <c r="A10316" t="s">
        <v>105</v>
      </c>
      <c r="B10316" t="s">
        <v>106</v>
      </c>
      <c r="C10316" t="s">
        <v>129</v>
      </c>
      <c r="D10316" t="s">
        <v>130</v>
      </c>
      <c r="E10316">
        <v>2003</v>
      </c>
      <c r="F10316" s="1">
        <v>72</v>
      </c>
      <c r="G10316">
        <v>2000</v>
      </c>
      <c r="H10316">
        <f>AVERAGEIFS(Table1[value],Table1[IndicatorCode],Table1[[#This Row],[IndicatorCode]])</f>
        <v>72.66514008620689</v>
      </c>
      <c r="I10316" cm="1">
        <f t="array" ref="I10316">_xlfn.STDEV.P(IF(Table1[IndicatorCode]=Table1[[#This Row],[IndicatorCode]],Table1[value]))</f>
        <v>6.3409496564024987</v>
      </c>
      <c r="J10316">
        <f>(Table1[[#This Row],[value]] - Table1[[#This Row],[mean]]) / Table1[[#This Row],[std_dev]]</f>
        <v>-0.10489597335555145</v>
      </c>
      <c r="K10316">
        <f>AVERAGEIF(Table1[CountryCode],Table1[[#This Row],[CountryCode]],Table1[z-score])</f>
        <v>-0.17106074072717981</v>
      </c>
      <c r="L10316" t="e">
        <f>VLOOKUP(Table1[[#This Row],[CountryCode]],[1]!Table1[#All],1,FALSE)</f>
        <v>#REF!</v>
      </c>
    </row>
    <row r="10317" spans="1:12" hidden="1" x14ac:dyDescent="0.3">
      <c r="A10317" t="s">
        <v>105</v>
      </c>
      <c r="B10317" t="s">
        <v>106</v>
      </c>
      <c r="C10317" t="s">
        <v>129</v>
      </c>
      <c r="D10317" t="s">
        <v>130</v>
      </c>
      <c r="E10317">
        <v>2004</v>
      </c>
      <c r="F10317" s="1">
        <v>73</v>
      </c>
      <c r="G10317">
        <v>2000</v>
      </c>
      <c r="H10317">
        <f>AVERAGEIFS(Table1[value],Table1[IndicatorCode],Table1[[#This Row],[IndicatorCode]])</f>
        <v>72.66514008620689</v>
      </c>
      <c r="I10317" cm="1">
        <f t="array" ref="I10317">_xlfn.STDEV.P(IF(Table1[IndicatorCode]=Table1[[#This Row],[IndicatorCode]],Table1[value]))</f>
        <v>6.3409496564024987</v>
      </c>
      <c r="J10317">
        <f>(Table1[[#This Row],[value]] - Table1[[#This Row],[mean]]) / Table1[[#This Row],[std_dev]]</f>
        <v>5.2809110927887599E-2</v>
      </c>
      <c r="K10317">
        <f>AVERAGEIF(Table1[CountryCode],Table1[[#This Row],[CountryCode]],Table1[z-score])</f>
        <v>-0.17106074072717981</v>
      </c>
      <c r="L10317" t="e">
        <f>VLOOKUP(Table1[[#This Row],[CountryCode]],[1]!Table1[#All],1,FALSE)</f>
        <v>#REF!</v>
      </c>
    </row>
    <row r="10318" spans="1:12" hidden="1" x14ac:dyDescent="0.3">
      <c r="A10318" t="s">
        <v>105</v>
      </c>
      <c r="B10318" t="s">
        <v>106</v>
      </c>
      <c r="C10318" t="s">
        <v>129</v>
      </c>
      <c r="D10318" t="s">
        <v>130</v>
      </c>
      <c r="E10318">
        <v>2005</v>
      </c>
      <c r="F10318" s="1">
        <v>73</v>
      </c>
      <c r="G10318">
        <v>2000</v>
      </c>
      <c r="H10318">
        <f>AVERAGEIFS(Table1[value],Table1[IndicatorCode],Table1[[#This Row],[IndicatorCode]])</f>
        <v>72.66514008620689</v>
      </c>
      <c r="I10318" cm="1">
        <f t="array" ref="I10318">_xlfn.STDEV.P(IF(Table1[IndicatorCode]=Table1[[#This Row],[IndicatorCode]],Table1[value]))</f>
        <v>6.3409496564024987</v>
      </c>
      <c r="J10318">
        <f>(Table1[[#This Row],[value]] - Table1[[#This Row],[mean]]) / Table1[[#This Row],[std_dev]]</f>
        <v>5.2809110927887599E-2</v>
      </c>
      <c r="K10318">
        <f>AVERAGEIF(Table1[CountryCode],Table1[[#This Row],[CountryCode]],Table1[z-score])</f>
        <v>-0.17106074072717981</v>
      </c>
      <c r="L10318" t="e">
        <f>VLOOKUP(Table1[[#This Row],[CountryCode]],[1]!Table1[#All],1,FALSE)</f>
        <v>#REF!</v>
      </c>
    </row>
    <row r="10319" spans="1:12" hidden="1" x14ac:dyDescent="0.3">
      <c r="A10319" t="s">
        <v>105</v>
      </c>
      <c r="B10319" t="s">
        <v>106</v>
      </c>
      <c r="C10319" t="s">
        <v>129</v>
      </c>
      <c r="D10319" t="s">
        <v>130</v>
      </c>
      <c r="E10319">
        <v>2006</v>
      </c>
      <c r="F10319" s="1">
        <v>73</v>
      </c>
      <c r="G10319">
        <v>2000</v>
      </c>
      <c r="H10319">
        <f>AVERAGEIFS(Table1[value],Table1[IndicatorCode],Table1[[#This Row],[IndicatorCode]])</f>
        <v>72.66514008620689</v>
      </c>
      <c r="I10319" cm="1">
        <f t="array" ref="I10319">_xlfn.STDEV.P(IF(Table1[IndicatorCode]=Table1[[#This Row],[IndicatorCode]],Table1[value]))</f>
        <v>6.3409496564024987</v>
      </c>
      <c r="J10319">
        <f>(Table1[[#This Row],[value]] - Table1[[#This Row],[mean]]) / Table1[[#This Row],[std_dev]]</f>
        <v>5.2809110927887599E-2</v>
      </c>
      <c r="K10319">
        <f>AVERAGEIF(Table1[CountryCode],Table1[[#This Row],[CountryCode]],Table1[z-score])</f>
        <v>-0.17106074072717981</v>
      </c>
      <c r="L10319" t="e">
        <f>VLOOKUP(Table1[[#This Row],[CountryCode]],[1]!Table1[#All],1,FALSE)</f>
        <v>#REF!</v>
      </c>
    </row>
    <row r="10320" spans="1:12" hidden="1" x14ac:dyDescent="0.3">
      <c r="A10320" t="s">
        <v>105</v>
      </c>
      <c r="B10320" t="s">
        <v>106</v>
      </c>
      <c r="C10320" t="s">
        <v>129</v>
      </c>
      <c r="D10320" t="s">
        <v>130</v>
      </c>
      <c r="E10320">
        <v>2007</v>
      </c>
      <c r="F10320" s="1">
        <v>74</v>
      </c>
      <c r="G10320">
        <v>2010</v>
      </c>
      <c r="H10320">
        <f>AVERAGEIFS(Table1[value],Table1[IndicatorCode],Table1[[#This Row],[IndicatorCode]])</f>
        <v>72.66514008620689</v>
      </c>
      <c r="I10320" cm="1">
        <f t="array" ref="I10320">_xlfn.STDEV.P(IF(Table1[IndicatorCode]=Table1[[#This Row],[IndicatorCode]],Table1[value]))</f>
        <v>6.3409496564024987</v>
      </c>
      <c r="J10320">
        <f>(Table1[[#This Row],[value]] - Table1[[#This Row],[mean]]) / Table1[[#This Row],[std_dev]]</f>
        <v>0.21051419521132667</v>
      </c>
      <c r="K10320">
        <f>AVERAGEIF(Table1[CountryCode],Table1[[#This Row],[CountryCode]],Table1[z-score])</f>
        <v>-0.17106074072717981</v>
      </c>
      <c r="L10320" t="e">
        <f>VLOOKUP(Table1[[#This Row],[CountryCode]],[1]!Table1[#All],1,FALSE)</f>
        <v>#REF!</v>
      </c>
    </row>
    <row r="10321" spans="1:12" hidden="1" x14ac:dyDescent="0.3">
      <c r="A10321" t="s">
        <v>105</v>
      </c>
      <c r="B10321" t="s">
        <v>106</v>
      </c>
      <c r="C10321" t="s">
        <v>129</v>
      </c>
      <c r="D10321" t="s">
        <v>130</v>
      </c>
      <c r="E10321">
        <v>2008</v>
      </c>
      <c r="F10321" s="1">
        <v>74</v>
      </c>
      <c r="G10321">
        <v>2010</v>
      </c>
      <c r="H10321">
        <f>AVERAGEIFS(Table1[value],Table1[IndicatorCode],Table1[[#This Row],[IndicatorCode]])</f>
        <v>72.66514008620689</v>
      </c>
      <c r="I10321" cm="1">
        <f t="array" ref="I10321">_xlfn.STDEV.P(IF(Table1[IndicatorCode]=Table1[[#This Row],[IndicatorCode]],Table1[value]))</f>
        <v>6.3409496564024987</v>
      </c>
      <c r="J10321">
        <f>(Table1[[#This Row],[value]] - Table1[[#This Row],[mean]]) / Table1[[#This Row],[std_dev]]</f>
        <v>0.21051419521132667</v>
      </c>
      <c r="K10321">
        <f>AVERAGEIF(Table1[CountryCode],Table1[[#This Row],[CountryCode]],Table1[z-score])</f>
        <v>-0.17106074072717981</v>
      </c>
      <c r="L10321" t="e">
        <f>VLOOKUP(Table1[[#This Row],[CountryCode]],[1]!Table1[#All],1,FALSE)</f>
        <v>#REF!</v>
      </c>
    </row>
    <row r="10322" spans="1:12" hidden="1" x14ac:dyDescent="0.3">
      <c r="A10322" t="s">
        <v>105</v>
      </c>
      <c r="B10322" t="s">
        <v>106</v>
      </c>
      <c r="C10322" t="s">
        <v>129</v>
      </c>
      <c r="D10322" t="s">
        <v>130</v>
      </c>
      <c r="E10322">
        <v>2009</v>
      </c>
      <c r="F10322" s="1">
        <v>74</v>
      </c>
      <c r="G10322">
        <v>2010</v>
      </c>
      <c r="H10322">
        <f>AVERAGEIFS(Table1[value],Table1[IndicatorCode],Table1[[#This Row],[IndicatorCode]])</f>
        <v>72.66514008620689</v>
      </c>
      <c r="I10322" cm="1">
        <f t="array" ref="I10322">_xlfn.STDEV.P(IF(Table1[IndicatorCode]=Table1[[#This Row],[IndicatorCode]],Table1[value]))</f>
        <v>6.3409496564024987</v>
      </c>
      <c r="J10322">
        <f>(Table1[[#This Row],[value]] - Table1[[#This Row],[mean]]) / Table1[[#This Row],[std_dev]]</f>
        <v>0.21051419521132667</v>
      </c>
      <c r="K10322">
        <f>AVERAGEIF(Table1[CountryCode],Table1[[#This Row],[CountryCode]],Table1[z-score])</f>
        <v>-0.17106074072717981</v>
      </c>
      <c r="L10322" t="e">
        <f>VLOOKUP(Table1[[#This Row],[CountryCode]],[1]!Table1[#All],1,FALSE)</f>
        <v>#REF!</v>
      </c>
    </row>
    <row r="10323" spans="1:12" hidden="1" x14ac:dyDescent="0.3">
      <c r="A10323" t="s">
        <v>105</v>
      </c>
      <c r="B10323" t="s">
        <v>106</v>
      </c>
      <c r="C10323" t="s">
        <v>129</v>
      </c>
      <c r="D10323" t="s">
        <v>130</v>
      </c>
      <c r="E10323">
        <v>2010</v>
      </c>
      <c r="F10323" s="1">
        <v>74</v>
      </c>
      <c r="G10323">
        <v>2010</v>
      </c>
      <c r="H10323">
        <f>AVERAGEIFS(Table1[value],Table1[IndicatorCode],Table1[[#This Row],[IndicatorCode]])</f>
        <v>72.66514008620689</v>
      </c>
      <c r="I10323" cm="1">
        <f t="array" ref="I10323">_xlfn.STDEV.P(IF(Table1[IndicatorCode]=Table1[[#This Row],[IndicatorCode]],Table1[value]))</f>
        <v>6.3409496564024987</v>
      </c>
      <c r="J10323">
        <f>(Table1[[#This Row],[value]] - Table1[[#This Row],[mean]]) / Table1[[#This Row],[std_dev]]</f>
        <v>0.21051419521132667</v>
      </c>
      <c r="K10323">
        <f>AVERAGEIF(Table1[CountryCode],Table1[[#This Row],[CountryCode]],Table1[z-score])</f>
        <v>-0.17106074072717981</v>
      </c>
      <c r="L10323" t="e">
        <f>VLOOKUP(Table1[[#This Row],[CountryCode]],[1]!Table1[#All],1,FALSE)</f>
        <v>#REF!</v>
      </c>
    </row>
    <row r="10324" spans="1:12" hidden="1" x14ac:dyDescent="0.3">
      <c r="A10324" t="s">
        <v>105</v>
      </c>
      <c r="B10324" t="s">
        <v>106</v>
      </c>
      <c r="C10324" t="s">
        <v>129</v>
      </c>
      <c r="D10324" t="s">
        <v>130</v>
      </c>
      <c r="E10324">
        <v>2011</v>
      </c>
      <c r="F10324" s="1">
        <v>75</v>
      </c>
      <c r="G10324">
        <v>2010</v>
      </c>
      <c r="H10324">
        <f>AVERAGEIFS(Table1[value],Table1[IndicatorCode],Table1[[#This Row],[IndicatorCode]])</f>
        <v>72.66514008620689</v>
      </c>
      <c r="I10324" cm="1">
        <f t="array" ref="I10324">_xlfn.STDEV.P(IF(Table1[IndicatorCode]=Table1[[#This Row],[IndicatorCode]],Table1[value]))</f>
        <v>6.3409496564024987</v>
      </c>
      <c r="J10324">
        <f>(Table1[[#This Row],[value]] - Table1[[#This Row],[mean]]) / Table1[[#This Row],[std_dev]]</f>
        <v>0.36821927949476574</v>
      </c>
      <c r="K10324">
        <f>AVERAGEIF(Table1[CountryCode],Table1[[#This Row],[CountryCode]],Table1[z-score])</f>
        <v>-0.17106074072717981</v>
      </c>
      <c r="L10324" t="e">
        <f>VLOOKUP(Table1[[#This Row],[CountryCode]],[1]!Table1[#All],1,FALSE)</f>
        <v>#REF!</v>
      </c>
    </row>
    <row r="10325" spans="1:12" hidden="1" x14ac:dyDescent="0.3">
      <c r="A10325" t="s">
        <v>105</v>
      </c>
      <c r="B10325" t="s">
        <v>106</v>
      </c>
      <c r="C10325" t="s">
        <v>129</v>
      </c>
      <c r="D10325" t="s">
        <v>130</v>
      </c>
      <c r="E10325">
        <v>2012</v>
      </c>
      <c r="F10325" s="1">
        <v>75</v>
      </c>
      <c r="G10325">
        <v>2010</v>
      </c>
      <c r="H10325">
        <f>AVERAGEIFS(Table1[value],Table1[IndicatorCode],Table1[[#This Row],[IndicatorCode]])</f>
        <v>72.66514008620689</v>
      </c>
      <c r="I10325" cm="1">
        <f t="array" ref="I10325">_xlfn.STDEV.P(IF(Table1[IndicatorCode]=Table1[[#This Row],[IndicatorCode]],Table1[value]))</f>
        <v>6.3409496564024987</v>
      </c>
      <c r="J10325">
        <f>(Table1[[#This Row],[value]] - Table1[[#This Row],[mean]]) / Table1[[#This Row],[std_dev]]</f>
        <v>0.36821927949476574</v>
      </c>
      <c r="K10325">
        <f>AVERAGEIF(Table1[CountryCode],Table1[[#This Row],[CountryCode]],Table1[z-score])</f>
        <v>-0.17106074072717981</v>
      </c>
      <c r="L10325" t="e">
        <f>VLOOKUP(Table1[[#This Row],[CountryCode]],[1]!Table1[#All],1,FALSE)</f>
        <v>#REF!</v>
      </c>
    </row>
    <row r="10326" spans="1:12" hidden="1" x14ac:dyDescent="0.3">
      <c r="A10326" t="s">
        <v>105</v>
      </c>
      <c r="B10326" t="s">
        <v>106</v>
      </c>
      <c r="C10326" t="s">
        <v>129</v>
      </c>
      <c r="D10326" t="s">
        <v>130</v>
      </c>
      <c r="E10326">
        <v>2013</v>
      </c>
      <c r="F10326" s="1">
        <v>75</v>
      </c>
      <c r="G10326">
        <v>2010</v>
      </c>
      <c r="H10326">
        <f>AVERAGEIFS(Table1[value],Table1[IndicatorCode],Table1[[#This Row],[IndicatorCode]])</f>
        <v>72.66514008620689</v>
      </c>
      <c r="I10326" cm="1">
        <f t="array" ref="I10326">_xlfn.STDEV.P(IF(Table1[IndicatorCode]=Table1[[#This Row],[IndicatorCode]],Table1[value]))</f>
        <v>6.3409496564024987</v>
      </c>
      <c r="J10326">
        <f>(Table1[[#This Row],[value]] - Table1[[#This Row],[mean]]) / Table1[[#This Row],[std_dev]]</f>
        <v>0.36821927949476574</v>
      </c>
      <c r="K10326">
        <f>AVERAGEIF(Table1[CountryCode],Table1[[#This Row],[CountryCode]],Table1[z-score])</f>
        <v>-0.17106074072717981</v>
      </c>
      <c r="L10326" t="e">
        <f>VLOOKUP(Table1[[#This Row],[CountryCode]],[1]!Table1[#All],1,FALSE)</f>
        <v>#REF!</v>
      </c>
    </row>
    <row r="10327" spans="1:12" hidden="1" x14ac:dyDescent="0.3">
      <c r="A10327" t="s">
        <v>105</v>
      </c>
      <c r="B10327" t="s">
        <v>106</v>
      </c>
      <c r="C10327" t="s">
        <v>129</v>
      </c>
      <c r="D10327" t="s">
        <v>130</v>
      </c>
      <c r="E10327">
        <v>2014</v>
      </c>
      <c r="F10327" s="1">
        <v>75</v>
      </c>
      <c r="G10327">
        <v>2010</v>
      </c>
      <c r="H10327">
        <f>AVERAGEIFS(Table1[value],Table1[IndicatorCode],Table1[[#This Row],[IndicatorCode]])</f>
        <v>72.66514008620689</v>
      </c>
      <c r="I10327" cm="1">
        <f t="array" ref="I10327">_xlfn.STDEV.P(IF(Table1[IndicatorCode]=Table1[[#This Row],[IndicatorCode]],Table1[value]))</f>
        <v>6.3409496564024987</v>
      </c>
      <c r="J10327">
        <f>(Table1[[#This Row],[value]] - Table1[[#This Row],[mean]]) / Table1[[#This Row],[std_dev]]</f>
        <v>0.36821927949476574</v>
      </c>
      <c r="K10327">
        <f>AVERAGEIF(Table1[CountryCode],Table1[[#This Row],[CountryCode]],Table1[z-score])</f>
        <v>-0.17106074072717981</v>
      </c>
      <c r="L10327" t="e">
        <f>VLOOKUP(Table1[[#This Row],[CountryCode]],[1]!Table1[#All],1,FALSE)</f>
        <v>#REF!</v>
      </c>
    </row>
    <row r="10328" spans="1:12" hidden="1" x14ac:dyDescent="0.3">
      <c r="A10328" t="s">
        <v>105</v>
      </c>
      <c r="B10328" t="s">
        <v>106</v>
      </c>
      <c r="C10328" t="s">
        <v>129</v>
      </c>
      <c r="D10328" t="s">
        <v>130</v>
      </c>
      <c r="E10328">
        <v>2015</v>
      </c>
      <c r="F10328" s="1">
        <v>75</v>
      </c>
      <c r="G10328">
        <v>2010</v>
      </c>
      <c r="H10328">
        <f>AVERAGEIFS(Table1[value],Table1[IndicatorCode],Table1[[#This Row],[IndicatorCode]])</f>
        <v>72.66514008620689</v>
      </c>
      <c r="I10328" cm="1">
        <f t="array" ref="I10328">_xlfn.STDEV.P(IF(Table1[IndicatorCode]=Table1[[#This Row],[IndicatorCode]],Table1[value]))</f>
        <v>6.3409496564024987</v>
      </c>
      <c r="J10328">
        <f>(Table1[[#This Row],[value]] - Table1[[#This Row],[mean]]) / Table1[[#This Row],[std_dev]]</f>
        <v>0.36821927949476574</v>
      </c>
      <c r="K10328">
        <f>AVERAGEIF(Table1[CountryCode],Table1[[#This Row],[CountryCode]],Table1[z-score])</f>
        <v>-0.17106074072717981</v>
      </c>
      <c r="L10328" t="e">
        <f>VLOOKUP(Table1[[#This Row],[CountryCode]],[1]!Table1[#All],1,FALSE)</f>
        <v>#REF!</v>
      </c>
    </row>
    <row r="10329" spans="1:12" hidden="1" x14ac:dyDescent="0.3">
      <c r="A10329" t="s">
        <v>105</v>
      </c>
      <c r="B10329" t="s">
        <v>106</v>
      </c>
      <c r="C10329" t="s">
        <v>129</v>
      </c>
      <c r="D10329" t="s">
        <v>130</v>
      </c>
      <c r="E10329">
        <v>2016</v>
      </c>
      <c r="F10329" s="1">
        <v>76</v>
      </c>
      <c r="G10329">
        <v>2010</v>
      </c>
      <c r="H10329">
        <f>AVERAGEIFS(Table1[value],Table1[IndicatorCode],Table1[[#This Row],[IndicatorCode]])</f>
        <v>72.66514008620689</v>
      </c>
      <c r="I10329" cm="1">
        <f t="array" ref="I10329">_xlfn.STDEV.P(IF(Table1[IndicatorCode]=Table1[[#This Row],[IndicatorCode]],Table1[value]))</f>
        <v>6.3409496564024987</v>
      </c>
      <c r="J10329">
        <f>(Table1[[#This Row],[value]] - Table1[[#This Row],[mean]]) / Table1[[#This Row],[std_dev]]</f>
        <v>0.52592436377820473</v>
      </c>
      <c r="K10329">
        <f>AVERAGEIF(Table1[CountryCode],Table1[[#This Row],[CountryCode]],Table1[z-score])</f>
        <v>-0.17106074072717981</v>
      </c>
      <c r="L10329" t="e">
        <f>VLOOKUP(Table1[[#This Row],[CountryCode]],[1]!Table1[#All],1,FALSE)</f>
        <v>#REF!</v>
      </c>
    </row>
    <row r="10330" spans="1:12" hidden="1" x14ac:dyDescent="0.3">
      <c r="A10330" t="s">
        <v>105</v>
      </c>
      <c r="B10330" t="s">
        <v>106</v>
      </c>
      <c r="C10330" t="s">
        <v>129</v>
      </c>
      <c r="D10330" t="s">
        <v>130</v>
      </c>
      <c r="E10330">
        <v>2017</v>
      </c>
      <c r="F10330" s="1">
        <v>76</v>
      </c>
      <c r="G10330">
        <v>2020</v>
      </c>
      <c r="H10330">
        <f>AVERAGEIFS(Table1[value],Table1[IndicatorCode],Table1[[#This Row],[IndicatorCode]])</f>
        <v>72.66514008620689</v>
      </c>
      <c r="I10330" cm="1">
        <f t="array" ref="I10330">_xlfn.STDEV.P(IF(Table1[IndicatorCode]=Table1[[#This Row],[IndicatorCode]],Table1[value]))</f>
        <v>6.3409496564024987</v>
      </c>
      <c r="J10330">
        <f>(Table1[[#This Row],[value]] - Table1[[#This Row],[mean]]) / Table1[[#This Row],[std_dev]]</f>
        <v>0.52592436377820473</v>
      </c>
      <c r="K10330">
        <f>AVERAGEIF(Table1[CountryCode],Table1[[#This Row],[CountryCode]],Table1[z-score])</f>
        <v>-0.17106074072717981</v>
      </c>
      <c r="L10330" t="e">
        <f>VLOOKUP(Table1[[#This Row],[CountryCode]],[1]!Table1[#All],1,FALSE)</f>
        <v>#REF!</v>
      </c>
    </row>
    <row r="10331" spans="1:12" hidden="1" x14ac:dyDescent="0.3">
      <c r="A10331" t="s">
        <v>105</v>
      </c>
      <c r="B10331" t="s">
        <v>106</v>
      </c>
      <c r="C10331" t="s">
        <v>129</v>
      </c>
      <c r="D10331" t="s">
        <v>130</v>
      </c>
      <c r="E10331">
        <v>2018</v>
      </c>
      <c r="F10331" s="1">
        <v>76</v>
      </c>
      <c r="G10331">
        <v>2020</v>
      </c>
      <c r="H10331">
        <f>AVERAGEIFS(Table1[value],Table1[IndicatorCode],Table1[[#This Row],[IndicatorCode]])</f>
        <v>72.66514008620689</v>
      </c>
      <c r="I10331" cm="1">
        <f t="array" ref="I10331">_xlfn.STDEV.P(IF(Table1[IndicatorCode]=Table1[[#This Row],[IndicatorCode]],Table1[value]))</f>
        <v>6.3409496564024987</v>
      </c>
      <c r="J10331">
        <f>(Table1[[#This Row],[value]] - Table1[[#This Row],[mean]]) / Table1[[#This Row],[std_dev]]</f>
        <v>0.52592436377820473</v>
      </c>
      <c r="K10331">
        <f>AVERAGEIF(Table1[CountryCode],Table1[[#This Row],[CountryCode]],Table1[z-score])</f>
        <v>-0.17106074072717981</v>
      </c>
      <c r="L10331" t="e">
        <f>VLOOKUP(Table1[[#This Row],[CountryCode]],[1]!Table1[#All],1,FALSE)</f>
        <v>#REF!</v>
      </c>
    </row>
    <row r="10332" spans="1:12" hidden="1" x14ac:dyDescent="0.3">
      <c r="A10332" t="s">
        <v>105</v>
      </c>
      <c r="B10332" t="s">
        <v>106</v>
      </c>
      <c r="C10332" t="s">
        <v>129</v>
      </c>
      <c r="D10332" t="s">
        <v>130</v>
      </c>
      <c r="E10332">
        <v>2019</v>
      </c>
      <c r="F10332" s="1">
        <v>76</v>
      </c>
      <c r="G10332">
        <v>2020</v>
      </c>
      <c r="H10332">
        <f>AVERAGEIFS(Table1[value],Table1[IndicatorCode],Table1[[#This Row],[IndicatorCode]])</f>
        <v>72.66514008620689</v>
      </c>
      <c r="I10332" cm="1">
        <f t="array" ref="I10332">_xlfn.STDEV.P(IF(Table1[IndicatorCode]=Table1[[#This Row],[IndicatorCode]],Table1[value]))</f>
        <v>6.3409496564024987</v>
      </c>
      <c r="J10332">
        <f>(Table1[[#This Row],[value]] - Table1[[#This Row],[mean]]) / Table1[[#This Row],[std_dev]]</f>
        <v>0.52592436377820473</v>
      </c>
      <c r="K10332">
        <f>AVERAGEIF(Table1[CountryCode],Table1[[#This Row],[CountryCode]],Table1[z-score])</f>
        <v>-0.17106074072717981</v>
      </c>
      <c r="L10332" t="e">
        <f>VLOOKUP(Table1[[#This Row],[CountryCode]],[1]!Table1[#All],1,FALSE)</f>
        <v>#REF!</v>
      </c>
    </row>
    <row r="10333" spans="1:12" x14ac:dyDescent="0.3">
      <c r="A10333" t="s">
        <v>105</v>
      </c>
      <c r="B10333" t="s">
        <v>106</v>
      </c>
      <c r="C10333" t="s">
        <v>129</v>
      </c>
      <c r="D10333" t="s">
        <v>130</v>
      </c>
      <c r="E10333">
        <v>2020</v>
      </c>
      <c r="F10333" s="1">
        <v>74</v>
      </c>
      <c r="G10333">
        <v>2020</v>
      </c>
      <c r="H10333">
        <f>AVERAGEIFS(Table1[value],Table1[IndicatorCode],Table1[[#This Row],[IndicatorCode]])</f>
        <v>72.66514008620689</v>
      </c>
      <c r="I10333" cm="1">
        <f t="array" ref="I10333">_xlfn.STDEV.P(IF(Table1[IndicatorCode]=Table1[[#This Row],[IndicatorCode]],Table1[value]))</f>
        <v>6.3409496564024987</v>
      </c>
      <c r="J10333">
        <f>(Table1[[#This Row],[value]] - Table1[[#This Row],[mean]]) / Table1[[#This Row],[std_dev]]</f>
        <v>0.21051419521132667</v>
      </c>
      <c r="K10333">
        <f>AVERAGEIF(Table1[CountryCode],Table1[[#This Row],[CountryCode]],Table1[z-score])</f>
        <v>-0.17106074072717981</v>
      </c>
    </row>
    <row r="10334" spans="1:12" hidden="1" x14ac:dyDescent="0.3">
      <c r="A10334" t="s">
        <v>105</v>
      </c>
      <c r="B10334" t="s">
        <v>106</v>
      </c>
      <c r="C10334" t="s">
        <v>129</v>
      </c>
      <c r="D10334" t="s">
        <v>130</v>
      </c>
      <c r="E10334">
        <v>2021</v>
      </c>
      <c r="F10334" s="1">
        <v>73</v>
      </c>
      <c r="G10334">
        <v>1960</v>
      </c>
      <c r="H10334">
        <f>AVERAGEIFS(Table1[value],Table1[IndicatorCode],Table1[[#This Row],[IndicatorCode]])</f>
        <v>72.66514008620689</v>
      </c>
      <c r="I10334" cm="1">
        <f t="array" ref="I10334">_xlfn.STDEV.P(IF(Table1[IndicatorCode]=Table1[[#This Row],[IndicatorCode]],Table1[value]))</f>
        <v>6.3409496564024987</v>
      </c>
      <c r="J10334">
        <f>(Table1[[#This Row],[value]] - Table1[[#This Row],[mean]]) / Table1[[#This Row],[std_dev]]</f>
        <v>5.2809110927887599E-2</v>
      </c>
      <c r="K10334">
        <f>AVERAGEIF(Table1[CountryCode],Table1[[#This Row],[CountryCode]],Table1[z-score])</f>
        <v>-0.17106074072717981</v>
      </c>
      <c r="L10334" t="e">
        <f>VLOOKUP(Table1[[#This Row],[CountryCode]],[1]!Table1[#All],1,FALSE)</f>
        <v>#REF!</v>
      </c>
    </row>
    <row r="10335" spans="1:12" hidden="1" x14ac:dyDescent="0.3">
      <c r="A10335" t="s">
        <v>105</v>
      </c>
      <c r="B10335" t="s">
        <v>106</v>
      </c>
      <c r="C10335" t="s">
        <v>129</v>
      </c>
      <c r="D10335" t="s">
        <v>130</v>
      </c>
      <c r="E10335">
        <v>2022</v>
      </c>
      <c r="F10335" s="1">
        <v>75</v>
      </c>
      <c r="G10335">
        <v>1960</v>
      </c>
      <c r="H10335">
        <f>AVERAGEIFS(Table1[value],Table1[IndicatorCode],Table1[[#This Row],[IndicatorCode]])</f>
        <v>72.66514008620689</v>
      </c>
      <c r="I10335" cm="1">
        <f t="array" ref="I10335">_xlfn.STDEV.P(IF(Table1[IndicatorCode]=Table1[[#This Row],[IndicatorCode]],Table1[value]))</f>
        <v>6.3409496564024987</v>
      </c>
      <c r="J10335">
        <f>(Table1[[#This Row],[value]] - Table1[[#This Row],[mean]]) / Table1[[#This Row],[std_dev]]</f>
        <v>0.36821927949476574</v>
      </c>
      <c r="K10335">
        <f>AVERAGEIF(Table1[CountryCode],Table1[[#This Row],[CountryCode]],Table1[z-score])</f>
        <v>-0.17106074072717981</v>
      </c>
      <c r="L10335" t="e">
        <f>VLOOKUP(Table1[[#This Row],[CountryCode]],[1]!Table1[#All],1,FALSE)</f>
        <v>#REF!</v>
      </c>
    </row>
    <row r="10336" spans="1:12" hidden="1" x14ac:dyDescent="0.3">
      <c r="A10336" t="s">
        <v>105</v>
      </c>
      <c r="B10336" t="s">
        <v>106</v>
      </c>
      <c r="C10336" t="s">
        <v>129</v>
      </c>
      <c r="D10336" t="s">
        <v>130</v>
      </c>
      <c r="E10336">
        <v>2023</v>
      </c>
      <c r="F10336" s="1">
        <v>76</v>
      </c>
      <c r="G10336">
        <v>1960</v>
      </c>
      <c r="H10336">
        <f>AVERAGEIFS(Table1[value],Table1[IndicatorCode],Table1[[#This Row],[IndicatorCode]])</f>
        <v>72.66514008620689</v>
      </c>
      <c r="I10336" cm="1">
        <f t="array" ref="I10336">_xlfn.STDEV.P(IF(Table1[IndicatorCode]=Table1[[#This Row],[IndicatorCode]],Table1[value]))</f>
        <v>6.3409496564024987</v>
      </c>
      <c r="J10336">
        <f>(Table1[[#This Row],[value]] - Table1[[#This Row],[mean]]) / Table1[[#This Row],[std_dev]]</f>
        <v>0.52592436377820473</v>
      </c>
      <c r="K10336">
        <f>AVERAGEIF(Table1[CountryCode],Table1[[#This Row],[CountryCode]],Table1[z-score])</f>
        <v>-0.17106074072717981</v>
      </c>
      <c r="L10336" t="e">
        <f>VLOOKUP(Table1[[#This Row],[CountryCode]],[1]!Table1[#All],1,FALSE)</f>
        <v>#REF!</v>
      </c>
    </row>
    <row r="10337" spans="1:12" hidden="1" x14ac:dyDescent="0.3">
      <c r="A10337" t="s">
        <v>107</v>
      </c>
      <c r="B10337" t="s">
        <v>108</v>
      </c>
      <c r="C10337" t="s">
        <v>129</v>
      </c>
      <c r="D10337" t="s">
        <v>130</v>
      </c>
      <c r="E10337">
        <v>1960</v>
      </c>
      <c r="F10337" s="1">
        <v>70</v>
      </c>
      <c r="G10337">
        <v>1960</v>
      </c>
      <c r="H10337">
        <f>AVERAGEIFS(Table1[value],Table1[IndicatorCode],Table1[[#This Row],[IndicatorCode]])</f>
        <v>72.66514008620689</v>
      </c>
      <c r="I10337" cm="1">
        <f t="array" ref="I10337">_xlfn.STDEV.P(IF(Table1[IndicatorCode]=Table1[[#This Row],[IndicatorCode]],Table1[value]))</f>
        <v>6.3409496564024987</v>
      </c>
      <c r="J10337">
        <f>(Table1[[#This Row],[value]] - Table1[[#This Row],[mean]]) / Table1[[#This Row],[std_dev]]</f>
        <v>-0.4203061419224296</v>
      </c>
      <c r="K10337">
        <f>AVERAGEIF(Table1[CountryCode],Table1[[#This Row],[CountryCode]],Table1[z-score])</f>
        <v>1.9919220601134553E-2</v>
      </c>
      <c r="L10337" t="e">
        <f>VLOOKUP(Table1[[#This Row],[CountryCode]],[1]!Table1[#All],1,FALSE)</f>
        <v>#REF!</v>
      </c>
    </row>
    <row r="10338" spans="1:12" hidden="1" x14ac:dyDescent="0.3">
      <c r="A10338" t="s">
        <v>107</v>
      </c>
      <c r="B10338" t="s">
        <v>108</v>
      </c>
      <c r="C10338" t="s">
        <v>129</v>
      </c>
      <c r="D10338" t="s">
        <v>130</v>
      </c>
      <c r="E10338">
        <v>1961</v>
      </c>
      <c r="F10338" s="1">
        <v>71</v>
      </c>
      <c r="G10338">
        <v>1960</v>
      </c>
      <c r="H10338">
        <f>AVERAGEIFS(Table1[value],Table1[IndicatorCode],Table1[[#This Row],[IndicatorCode]])</f>
        <v>72.66514008620689</v>
      </c>
      <c r="I10338" cm="1">
        <f t="array" ref="I10338">_xlfn.STDEV.P(IF(Table1[IndicatorCode]=Table1[[#This Row],[IndicatorCode]],Table1[value]))</f>
        <v>6.3409496564024987</v>
      </c>
      <c r="J10338">
        <f>(Table1[[#This Row],[value]] - Table1[[#This Row],[mean]]) / Table1[[#This Row],[std_dev]]</f>
        <v>-0.2626010576389905</v>
      </c>
      <c r="K10338">
        <f>AVERAGEIF(Table1[CountryCode],Table1[[#This Row],[CountryCode]],Table1[z-score])</f>
        <v>1.9919220601134553E-2</v>
      </c>
      <c r="L10338" t="e">
        <f>VLOOKUP(Table1[[#This Row],[CountryCode]],[1]!Table1[#All],1,FALSE)</f>
        <v>#REF!</v>
      </c>
    </row>
    <row r="10339" spans="1:12" hidden="1" x14ac:dyDescent="0.3">
      <c r="A10339" t="s">
        <v>107</v>
      </c>
      <c r="B10339" t="s">
        <v>108</v>
      </c>
      <c r="C10339" t="s">
        <v>129</v>
      </c>
      <c r="D10339" t="s">
        <v>130</v>
      </c>
      <c r="E10339">
        <v>1962</v>
      </c>
      <c r="F10339" s="1">
        <v>70</v>
      </c>
      <c r="G10339">
        <v>1960</v>
      </c>
      <c r="H10339">
        <f>AVERAGEIFS(Table1[value],Table1[IndicatorCode],Table1[[#This Row],[IndicatorCode]])</f>
        <v>72.66514008620689</v>
      </c>
      <c r="I10339" cm="1">
        <f t="array" ref="I10339">_xlfn.STDEV.P(IF(Table1[IndicatorCode]=Table1[[#This Row],[IndicatorCode]],Table1[value]))</f>
        <v>6.3409496564024987</v>
      </c>
      <c r="J10339">
        <f>(Table1[[#This Row],[value]] - Table1[[#This Row],[mean]]) / Table1[[#This Row],[std_dev]]</f>
        <v>-0.4203061419224296</v>
      </c>
      <c r="K10339">
        <f>AVERAGEIF(Table1[CountryCode],Table1[[#This Row],[CountryCode]],Table1[z-score])</f>
        <v>1.9919220601134553E-2</v>
      </c>
      <c r="L10339" t="e">
        <f>VLOOKUP(Table1[[#This Row],[CountryCode]],[1]!Table1[#All],1,FALSE)</f>
        <v>#REF!</v>
      </c>
    </row>
    <row r="10340" spans="1:12" hidden="1" x14ac:dyDescent="0.3">
      <c r="A10340" t="s">
        <v>107</v>
      </c>
      <c r="B10340" t="s">
        <v>108</v>
      </c>
      <c r="C10340" t="s">
        <v>129</v>
      </c>
      <c r="D10340" t="s">
        <v>130</v>
      </c>
      <c r="E10340">
        <v>1963</v>
      </c>
      <c r="F10340" s="1">
        <v>71</v>
      </c>
      <c r="G10340">
        <v>1960</v>
      </c>
      <c r="H10340">
        <f>AVERAGEIFS(Table1[value],Table1[IndicatorCode],Table1[[#This Row],[IndicatorCode]])</f>
        <v>72.66514008620689</v>
      </c>
      <c r="I10340" cm="1">
        <f t="array" ref="I10340">_xlfn.STDEV.P(IF(Table1[IndicatorCode]=Table1[[#This Row],[IndicatorCode]],Table1[value]))</f>
        <v>6.3409496564024987</v>
      </c>
      <c r="J10340">
        <f>(Table1[[#This Row],[value]] - Table1[[#This Row],[mean]]) / Table1[[#This Row],[std_dev]]</f>
        <v>-0.2626010576389905</v>
      </c>
      <c r="K10340">
        <f>AVERAGEIF(Table1[CountryCode],Table1[[#This Row],[CountryCode]],Table1[z-score])</f>
        <v>1.9919220601134553E-2</v>
      </c>
      <c r="L10340" t="e">
        <f>VLOOKUP(Table1[[#This Row],[CountryCode]],[1]!Table1[#All],1,FALSE)</f>
        <v>#REF!</v>
      </c>
    </row>
    <row r="10341" spans="1:12" hidden="1" x14ac:dyDescent="0.3">
      <c r="A10341" t="s">
        <v>107</v>
      </c>
      <c r="B10341" t="s">
        <v>108</v>
      </c>
      <c r="C10341" t="s">
        <v>129</v>
      </c>
      <c r="D10341" t="s">
        <v>130</v>
      </c>
      <c r="E10341">
        <v>1964</v>
      </c>
      <c r="F10341" s="1">
        <v>71</v>
      </c>
      <c r="G10341">
        <v>1960</v>
      </c>
      <c r="H10341">
        <f>AVERAGEIFS(Table1[value],Table1[IndicatorCode],Table1[[#This Row],[IndicatorCode]])</f>
        <v>72.66514008620689</v>
      </c>
      <c r="I10341" cm="1">
        <f t="array" ref="I10341">_xlfn.STDEV.P(IF(Table1[IndicatorCode]=Table1[[#This Row],[IndicatorCode]],Table1[value]))</f>
        <v>6.3409496564024987</v>
      </c>
      <c r="J10341">
        <f>(Table1[[#This Row],[value]] - Table1[[#This Row],[mean]]) / Table1[[#This Row],[std_dev]]</f>
        <v>-0.2626010576389905</v>
      </c>
      <c r="K10341">
        <f>AVERAGEIF(Table1[CountryCode],Table1[[#This Row],[CountryCode]],Table1[z-score])</f>
        <v>1.9919220601134553E-2</v>
      </c>
      <c r="L10341" t="e">
        <f>VLOOKUP(Table1[[#This Row],[CountryCode]],[1]!Table1[#All],1,FALSE)</f>
        <v>#REF!</v>
      </c>
    </row>
    <row r="10342" spans="1:12" hidden="1" x14ac:dyDescent="0.3">
      <c r="A10342" t="s">
        <v>107</v>
      </c>
      <c r="B10342" t="s">
        <v>108</v>
      </c>
      <c r="C10342" t="s">
        <v>129</v>
      </c>
      <c r="D10342" t="s">
        <v>130</v>
      </c>
      <c r="E10342">
        <v>1965</v>
      </c>
      <c r="F10342" s="1">
        <v>70</v>
      </c>
      <c r="G10342">
        <v>1960</v>
      </c>
      <c r="H10342">
        <f>AVERAGEIFS(Table1[value],Table1[IndicatorCode],Table1[[#This Row],[IndicatorCode]])</f>
        <v>72.66514008620689</v>
      </c>
      <c r="I10342" cm="1">
        <f t="array" ref="I10342">_xlfn.STDEV.P(IF(Table1[IndicatorCode]=Table1[[#This Row],[IndicatorCode]],Table1[value]))</f>
        <v>6.3409496564024987</v>
      </c>
      <c r="J10342">
        <f>(Table1[[#This Row],[value]] - Table1[[#This Row],[mean]]) / Table1[[#This Row],[std_dev]]</f>
        <v>-0.4203061419224296</v>
      </c>
      <c r="K10342">
        <f>AVERAGEIF(Table1[CountryCode],Table1[[#This Row],[CountryCode]],Table1[z-score])</f>
        <v>1.9919220601134553E-2</v>
      </c>
      <c r="L10342" t="e">
        <f>VLOOKUP(Table1[[#This Row],[CountryCode]],[1]!Table1[#All],1,FALSE)</f>
        <v>#REF!</v>
      </c>
    </row>
    <row r="10343" spans="1:12" hidden="1" x14ac:dyDescent="0.3">
      <c r="A10343" t="s">
        <v>107</v>
      </c>
      <c r="B10343" t="s">
        <v>108</v>
      </c>
      <c r="C10343" t="s">
        <v>129</v>
      </c>
      <c r="D10343" t="s">
        <v>130</v>
      </c>
      <c r="E10343">
        <v>1966</v>
      </c>
      <c r="F10343" s="1">
        <v>70</v>
      </c>
      <c r="G10343">
        <v>1960</v>
      </c>
      <c r="H10343">
        <f>AVERAGEIFS(Table1[value],Table1[IndicatorCode],Table1[[#This Row],[IndicatorCode]])</f>
        <v>72.66514008620689</v>
      </c>
      <c r="I10343" cm="1">
        <f t="array" ref="I10343">_xlfn.STDEV.P(IF(Table1[IndicatorCode]=Table1[[#This Row],[IndicatorCode]],Table1[value]))</f>
        <v>6.3409496564024987</v>
      </c>
      <c r="J10343">
        <f>(Table1[[#This Row],[value]] - Table1[[#This Row],[mean]]) / Table1[[#This Row],[std_dev]]</f>
        <v>-0.4203061419224296</v>
      </c>
      <c r="K10343">
        <f>AVERAGEIF(Table1[CountryCode],Table1[[#This Row],[CountryCode]],Table1[z-score])</f>
        <v>1.9919220601134553E-2</v>
      </c>
      <c r="L10343" t="e">
        <f>VLOOKUP(Table1[[#This Row],[CountryCode]],[1]!Table1[#All],1,FALSE)</f>
        <v>#REF!</v>
      </c>
    </row>
    <row r="10344" spans="1:12" hidden="1" x14ac:dyDescent="0.3">
      <c r="A10344" t="s">
        <v>107</v>
      </c>
      <c r="B10344" t="s">
        <v>108</v>
      </c>
      <c r="C10344" t="s">
        <v>129</v>
      </c>
      <c r="D10344" t="s">
        <v>130</v>
      </c>
      <c r="E10344">
        <v>1967</v>
      </c>
      <c r="F10344" s="1">
        <v>71</v>
      </c>
      <c r="G10344">
        <v>1970</v>
      </c>
      <c r="H10344">
        <f>AVERAGEIFS(Table1[value],Table1[IndicatorCode],Table1[[#This Row],[IndicatorCode]])</f>
        <v>72.66514008620689</v>
      </c>
      <c r="I10344" cm="1">
        <f t="array" ref="I10344">_xlfn.STDEV.P(IF(Table1[IndicatorCode]=Table1[[#This Row],[IndicatorCode]],Table1[value]))</f>
        <v>6.3409496564024987</v>
      </c>
      <c r="J10344">
        <f>(Table1[[#This Row],[value]] - Table1[[#This Row],[mean]]) / Table1[[#This Row],[std_dev]]</f>
        <v>-0.2626010576389905</v>
      </c>
      <c r="K10344">
        <f>AVERAGEIF(Table1[CountryCode],Table1[[#This Row],[CountryCode]],Table1[z-score])</f>
        <v>1.9919220601134553E-2</v>
      </c>
      <c r="L10344" t="e">
        <f>VLOOKUP(Table1[[#This Row],[CountryCode]],[1]!Table1[#All],1,FALSE)</f>
        <v>#REF!</v>
      </c>
    </row>
    <row r="10345" spans="1:12" hidden="1" x14ac:dyDescent="0.3">
      <c r="A10345" t="s">
        <v>107</v>
      </c>
      <c r="B10345" t="s">
        <v>108</v>
      </c>
      <c r="C10345" t="s">
        <v>129</v>
      </c>
      <c r="D10345" t="s">
        <v>130</v>
      </c>
      <c r="E10345">
        <v>1968</v>
      </c>
      <c r="F10345" s="1">
        <v>70</v>
      </c>
      <c r="G10345">
        <v>1970</v>
      </c>
      <c r="H10345">
        <f>AVERAGEIFS(Table1[value],Table1[IndicatorCode],Table1[[#This Row],[IndicatorCode]])</f>
        <v>72.66514008620689</v>
      </c>
      <c r="I10345" cm="1">
        <f t="array" ref="I10345">_xlfn.STDEV.P(IF(Table1[IndicatorCode]=Table1[[#This Row],[IndicatorCode]],Table1[value]))</f>
        <v>6.3409496564024987</v>
      </c>
      <c r="J10345">
        <f>(Table1[[#This Row],[value]] - Table1[[#This Row],[mean]]) / Table1[[#This Row],[std_dev]]</f>
        <v>-0.4203061419224296</v>
      </c>
      <c r="K10345">
        <f>AVERAGEIF(Table1[CountryCode],Table1[[#This Row],[CountryCode]],Table1[z-score])</f>
        <v>1.9919220601134553E-2</v>
      </c>
      <c r="L10345" t="e">
        <f>VLOOKUP(Table1[[#This Row],[CountryCode]],[1]!Table1[#All],1,FALSE)</f>
        <v>#REF!</v>
      </c>
    </row>
    <row r="10346" spans="1:12" hidden="1" x14ac:dyDescent="0.3">
      <c r="A10346" t="s">
        <v>107</v>
      </c>
      <c r="B10346" t="s">
        <v>108</v>
      </c>
      <c r="C10346" t="s">
        <v>129</v>
      </c>
      <c r="D10346" t="s">
        <v>130</v>
      </c>
      <c r="E10346">
        <v>1969</v>
      </c>
      <c r="F10346" s="1">
        <v>70</v>
      </c>
      <c r="G10346">
        <v>1970</v>
      </c>
      <c r="H10346">
        <f>AVERAGEIFS(Table1[value],Table1[IndicatorCode],Table1[[#This Row],[IndicatorCode]])</f>
        <v>72.66514008620689</v>
      </c>
      <c r="I10346" cm="1">
        <f t="array" ref="I10346">_xlfn.STDEV.P(IF(Table1[IndicatorCode]=Table1[[#This Row],[IndicatorCode]],Table1[value]))</f>
        <v>6.3409496564024987</v>
      </c>
      <c r="J10346">
        <f>(Table1[[#This Row],[value]] - Table1[[#This Row],[mean]]) / Table1[[#This Row],[std_dev]]</f>
        <v>-0.4203061419224296</v>
      </c>
      <c r="K10346">
        <f>AVERAGEIF(Table1[CountryCode],Table1[[#This Row],[CountryCode]],Table1[z-score])</f>
        <v>1.9919220601134553E-2</v>
      </c>
      <c r="L10346" t="e">
        <f>VLOOKUP(Table1[[#This Row],[CountryCode]],[1]!Table1[#All],1,FALSE)</f>
        <v>#REF!</v>
      </c>
    </row>
    <row r="10347" spans="1:12" hidden="1" x14ac:dyDescent="0.3">
      <c r="A10347" t="s">
        <v>107</v>
      </c>
      <c r="B10347" t="s">
        <v>108</v>
      </c>
      <c r="C10347" t="s">
        <v>129</v>
      </c>
      <c r="D10347" t="s">
        <v>130</v>
      </c>
      <c r="E10347">
        <v>1970</v>
      </c>
      <c r="F10347" s="1">
        <v>70</v>
      </c>
      <c r="G10347">
        <v>1970</v>
      </c>
      <c r="H10347">
        <f>AVERAGEIFS(Table1[value],Table1[IndicatorCode],Table1[[#This Row],[IndicatorCode]])</f>
        <v>72.66514008620689</v>
      </c>
      <c r="I10347" cm="1">
        <f t="array" ref="I10347">_xlfn.STDEV.P(IF(Table1[IndicatorCode]=Table1[[#This Row],[IndicatorCode]],Table1[value]))</f>
        <v>6.3409496564024987</v>
      </c>
      <c r="J10347">
        <f>(Table1[[#This Row],[value]] - Table1[[#This Row],[mean]]) / Table1[[#This Row],[std_dev]]</f>
        <v>-0.4203061419224296</v>
      </c>
      <c r="K10347">
        <f>AVERAGEIF(Table1[CountryCode],Table1[[#This Row],[CountryCode]],Table1[z-score])</f>
        <v>1.9919220601134553E-2</v>
      </c>
      <c r="L10347" t="e">
        <f>VLOOKUP(Table1[[#This Row],[CountryCode]],[1]!Table1[#All],1,FALSE)</f>
        <v>#REF!</v>
      </c>
    </row>
    <row r="10348" spans="1:12" hidden="1" x14ac:dyDescent="0.3">
      <c r="A10348" t="s">
        <v>107</v>
      </c>
      <c r="B10348" t="s">
        <v>108</v>
      </c>
      <c r="C10348" t="s">
        <v>129</v>
      </c>
      <c r="D10348" t="s">
        <v>130</v>
      </c>
      <c r="E10348">
        <v>1971</v>
      </c>
      <c r="F10348" s="1">
        <v>70</v>
      </c>
      <c r="G10348">
        <v>1970</v>
      </c>
      <c r="H10348">
        <f>AVERAGEIFS(Table1[value],Table1[IndicatorCode],Table1[[#This Row],[IndicatorCode]])</f>
        <v>72.66514008620689</v>
      </c>
      <c r="I10348" cm="1">
        <f t="array" ref="I10348">_xlfn.STDEV.P(IF(Table1[IndicatorCode]=Table1[[#This Row],[IndicatorCode]],Table1[value]))</f>
        <v>6.3409496564024987</v>
      </c>
      <c r="J10348">
        <f>(Table1[[#This Row],[value]] - Table1[[#This Row],[mean]]) / Table1[[#This Row],[std_dev]]</f>
        <v>-0.4203061419224296</v>
      </c>
      <c r="K10348">
        <f>AVERAGEIF(Table1[CountryCode],Table1[[#This Row],[CountryCode]],Table1[z-score])</f>
        <v>1.9919220601134553E-2</v>
      </c>
      <c r="L10348" t="e">
        <f>VLOOKUP(Table1[[#This Row],[CountryCode]],[1]!Table1[#All],1,FALSE)</f>
        <v>#REF!</v>
      </c>
    </row>
    <row r="10349" spans="1:12" hidden="1" x14ac:dyDescent="0.3">
      <c r="A10349" t="s">
        <v>107</v>
      </c>
      <c r="B10349" t="s">
        <v>108</v>
      </c>
      <c r="C10349" t="s">
        <v>129</v>
      </c>
      <c r="D10349" t="s">
        <v>130</v>
      </c>
      <c r="E10349">
        <v>1972</v>
      </c>
      <c r="F10349" s="1">
        <v>70</v>
      </c>
      <c r="G10349">
        <v>1970</v>
      </c>
      <c r="H10349">
        <f>AVERAGEIFS(Table1[value],Table1[IndicatorCode],Table1[[#This Row],[IndicatorCode]])</f>
        <v>72.66514008620689</v>
      </c>
      <c r="I10349" cm="1">
        <f t="array" ref="I10349">_xlfn.STDEV.P(IF(Table1[IndicatorCode]=Table1[[#This Row],[IndicatorCode]],Table1[value]))</f>
        <v>6.3409496564024987</v>
      </c>
      <c r="J10349">
        <f>(Table1[[#This Row],[value]] - Table1[[#This Row],[mean]]) / Table1[[#This Row],[std_dev]]</f>
        <v>-0.4203061419224296</v>
      </c>
      <c r="K10349">
        <f>AVERAGEIF(Table1[CountryCode],Table1[[#This Row],[CountryCode]],Table1[z-score])</f>
        <v>1.9919220601134553E-2</v>
      </c>
      <c r="L10349" t="e">
        <f>VLOOKUP(Table1[[#This Row],[CountryCode]],[1]!Table1[#All],1,FALSE)</f>
        <v>#REF!</v>
      </c>
    </row>
    <row r="10350" spans="1:12" hidden="1" x14ac:dyDescent="0.3">
      <c r="A10350" t="s">
        <v>107</v>
      </c>
      <c r="B10350" t="s">
        <v>108</v>
      </c>
      <c r="C10350" t="s">
        <v>129</v>
      </c>
      <c r="D10350" t="s">
        <v>130</v>
      </c>
      <c r="E10350">
        <v>1973</v>
      </c>
      <c r="F10350" s="1">
        <v>70</v>
      </c>
      <c r="G10350">
        <v>1970</v>
      </c>
      <c r="H10350">
        <f>AVERAGEIFS(Table1[value],Table1[IndicatorCode],Table1[[#This Row],[IndicatorCode]])</f>
        <v>72.66514008620689</v>
      </c>
      <c r="I10350" cm="1">
        <f t="array" ref="I10350">_xlfn.STDEV.P(IF(Table1[IndicatorCode]=Table1[[#This Row],[IndicatorCode]],Table1[value]))</f>
        <v>6.3409496564024987</v>
      </c>
      <c r="J10350">
        <f>(Table1[[#This Row],[value]] - Table1[[#This Row],[mean]]) / Table1[[#This Row],[std_dev]]</f>
        <v>-0.4203061419224296</v>
      </c>
      <c r="K10350">
        <f>AVERAGEIF(Table1[CountryCode],Table1[[#This Row],[CountryCode]],Table1[z-score])</f>
        <v>1.9919220601134553E-2</v>
      </c>
      <c r="L10350" t="e">
        <f>VLOOKUP(Table1[[#This Row],[CountryCode]],[1]!Table1[#All],1,FALSE)</f>
        <v>#REF!</v>
      </c>
    </row>
    <row r="10351" spans="1:12" hidden="1" x14ac:dyDescent="0.3">
      <c r="A10351" t="s">
        <v>107</v>
      </c>
      <c r="B10351" t="s">
        <v>108</v>
      </c>
      <c r="C10351" t="s">
        <v>129</v>
      </c>
      <c r="D10351" t="s">
        <v>130</v>
      </c>
      <c r="E10351">
        <v>1974</v>
      </c>
      <c r="F10351" s="1">
        <v>70</v>
      </c>
      <c r="G10351">
        <v>1970</v>
      </c>
      <c r="H10351">
        <f>AVERAGEIFS(Table1[value],Table1[IndicatorCode],Table1[[#This Row],[IndicatorCode]])</f>
        <v>72.66514008620689</v>
      </c>
      <c r="I10351" cm="1">
        <f t="array" ref="I10351">_xlfn.STDEV.P(IF(Table1[IndicatorCode]=Table1[[#This Row],[IndicatorCode]],Table1[value]))</f>
        <v>6.3409496564024987</v>
      </c>
      <c r="J10351">
        <f>(Table1[[#This Row],[value]] - Table1[[#This Row],[mean]]) / Table1[[#This Row],[std_dev]]</f>
        <v>-0.4203061419224296</v>
      </c>
      <c r="K10351">
        <f>AVERAGEIF(Table1[CountryCode],Table1[[#This Row],[CountryCode]],Table1[z-score])</f>
        <v>1.9919220601134553E-2</v>
      </c>
      <c r="L10351" t="e">
        <f>VLOOKUP(Table1[[#This Row],[CountryCode]],[1]!Table1[#All],1,FALSE)</f>
        <v>#REF!</v>
      </c>
    </row>
    <row r="10352" spans="1:12" hidden="1" x14ac:dyDescent="0.3">
      <c r="A10352" t="s">
        <v>107</v>
      </c>
      <c r="B10352" t="s">
        <v>108</v>
      </c>
      <c r="C10352" t="s">
        <v>129</v>
      </c>
      <c r="D10352" t="s">
        <v>130</v>
      </c>
      <c r="E10352">
        <v>1975</v>
      </c>
      <c r="F10352" s="1">
        <v>70</v>
      </c>
      <c r="G10352">
        <v>1970</v>
      </c>
      <c r="H10352">
        <f>AVERAGEIFS(Table1[value],Table1[IndicatorCode],Table1[[#This Row],[IndicatorCode]])</f>
        <v>72.66514008620689</v>
      </c>
      <c r="I10352" cm="1">
        <f t="array" ref="I10352">_xlfn.STDEV.P(IF(Table1[IndicatorCode]=Table1[[#This Row],[IndicatorCode]],Table1[value]))</f>
        <v>6.3409496564024987</v>
      </c>
      <c r="J10352">
        <f>(Table1[[#This Row],[value]] - Table1[[#This Row],[mean]]) / Table1[[#This Row],[std_dev]]</f>
        <v>-0.4203061419224296</v>
      </c>
      <c r="K10352">
        <f>AVERAGEIF(Table1[CountryCode],Table1[[#This Row],[CountryCode]],Table1[z-score])</f>
        <v>1.9919220601134553E-2</v>
      </c>
      <c r="L10352" t="e">
        <f>VLOOKUP(Table1[[#This Row],[CountryCode]],[1]!Table1[#All],1,FALSE)</f>
        <v>#REF!</v>
      </c>
    </row>
    <row r="10353" spans="1:12" hidden="1" x14ac:dyDescent="0.3">
      <c r="A10353" t="s">
        <v>107</v>
      </c>
      <c r="B10353" t="s">
        <v>108</v>
      </c>
      <c r="C10353" t="s">
        <v>129</v>
      </c>
      <c r="D10353" t="s">
        <v>130</v>
      </c>
      <c r="E10353">
        <v>1976</v>
      </c>
      <c r="F10353" s="1">
        <v>70</v>
      </c>
      <c r="G10353">
        <v>1970</v>
      </c>
      <c r="H10353">
        <f>AVERAGEIFS(Table1[value],Table1[IndicatorCode],Table1[[#This Row],[IndicatorCode]])</f>
        <v>72.66514008620689</v>
      </c>
      <c r="I10353" cm="1">
        <f t="array" ref="I10353">_xlfn.STDEV.P(IF(Table1[IndicatorCode]=Table1[[#This Row],[IndicatorCode]],Table1[value]))</f>
        <v>6.3409496564024987</v>
      </c>
      <c r="J10353">
        <f>(Table1[[#This Row],[value]] - Table1[[#This Row],[mean]]) / Table1[[#This Row],[std_dev]]</f>
        <v>-0.4203061419224296</v>
      </c>
      <c r="K10353">
        <f>AVERAGEIF(Table1[CountryCode],Table1[[#This Row],[CountryCode]],Table1[z-score])</f>
        <v>1.9919220601134553E-2</v>
      </c>
      <c r="L10353" t="e">
        <f>VLOOKUP(Table1[[#This Row],[CountryCode]],[1]!Table1[#All],1,FALSE)</f>
        <v>#REF!</v>
      </c>
    </row>
    <row r="10354" spans="1:12" hidden="1" x14ac:dyDescent="0.3">
      <c r="A10354" t="s">
        <v>107</v>
      </c>
      <c r="B10354" t="s">
        <v>108</v>
      </c>
      <c r="C10354" t="s">
        <v>129</v>
      </c>
      <c r="D10354" t="s">
        <v>130</v>
      </c>
      <c r="E10354">
        <v>1977</v>
      </c>
      <c r="F10354" s="1">
        <v>70</v>
      </c>
      <c r="G10354">
        <v>1980</v>
      </c>
      <c r="H10354">
        <f>AVERAGEIFS(Table1[value],Table1[IndicatorCode],Table1[[#This Row],[IndicatorCode]])</f>
        <v>72.66514008620689</v>
      </c>
      <c r="I10354" cm="1">
        <f t="array" ref="I10354">_xlfn.STDEV.P(IF(Table1[IndicatorCode]=Table1[[#This Row],[IndicatorCode]],Table1[value]))</f>
        <v>6.3409496564024987</v>
      </c>
      <c r="J10354">
        <f>(Table1[[#This Row],[value]] - Table1[[#This Row],[mean]]) / Table1[[#This Row],[std_dev]]</f>
        <v>-0.4203061419224296</v>
      </c>
      <c r="K10354">
        <f>AVERAGEIF(Table1[CountryCode],Table1[[#This Row],[CountryCode]],Table1[z-score])</f>
        <v>1.9919220601134553E-2</v>
      </c>
      <c r="L10354" t="e">
        <f>VLOOKUP(Table1[[#This Row],[CountryCode]],[1]!Table1[#All],1,FALSE)</f>
        <v>#REF!</v>
      </c>
    </row>
    <row r="10355" spans="1:12" hidden="1" x14ac:dyDescent="0.3">
      <c r="A10355" t="s">
        <v>107</v>
      </c>
      <c r="B10355" t="s">
        <v>108</v>
      </c>
      <c r="C10355" t="s">
        <v>129</v>
      </c>
      <c r="D10355" t="s">
        <v>130</v>
      </c>
      <c r="E10355">
        <v>1978</v>
      </c>
      <c r="F10355" s="1">
        <v>70</v>
      </c>
      <c r="G10355">
        <v>1980</v>
      </c>
      <c r="H10355">
        <f>AVERAGEIFS(Table1[value],Table1[IndicatorCode],Table1[[#This Row],[IndicatorCode]])</f>
        <v>72.66514008620689</v>
      </c>
      <c r="I10355" cm="1">
        <f t="array" ref="I10355">_xlfn.STDEV.P(IF(Table1[IndicatorCode]=Table1[[#This Row],[IndicatorCode]],Table1[value]))</f>
        <v>6.3409496564024987</v>
      </c>
      <c r="J10355">
        <f>(Table1[[#This Row],[value]] - Table1[[#This Row],[mean]]) / Table1[[#This Row],[std_dev]]</f>
        <v>-0.4203061419224296</v>
      </c>
      <c r="K10355">
        <f>AVERAGEIF(Table1[CountryCode],Table1[[#This Row],[CountryCode]],Table1[z-score])</f>
        <v>1.9919220601134553E-2</v>
      </c>
      <c r="L10355" t="e">
        <f>VLOOKUP(Table1[[#This Row],[CountryCode]],[1]!Table1[#All],1,FALSE)</f>
        <v>#REF!</v>
      </c>
    </row>
    <row r="10356" spans="1:12" hidden="1" x14ac:dyDescent="0.3">
      <c r="A10356" t="s">
        <v>107</v>
      </c>
      <c r="B10356" t="s">
        <v>108</v>
      </c>
      <c r="C10356" t="s">
        <v>129</v>
      </c>
      <c r="D10356" t="s">
        <v>130</v>
      </c>
      <c r="E10356">
        <v>1979</v>
      </c>
      <c r="F10356" s="1">
        <v>71</v>
      </c>
      <c r="G10356">
        <v>1980</v>
      </c>
      <c r="H10356">
        <f>AVERAGEIFS(Table1[value],Table1[IndicatorCode],Table1[[#This Row],[IndicatorCode]])</f>
        <v>72.66514008620689</v>
      </c>
      <c r="I10356" cm="1">
        <f t="array" ref="I10356">_xlfn.STDEV.P(IF(Table1[IndicatorCode]=Table1[[#This Row],[IndicatorCode]],Table1[value]))</f>
        <v>6.3409496564024987</v>
      </c>
      <c r="J10356">
        <f>(Table1[[#This Row],[value]] - Table1[[#This Row],[mean]]) / Table1[[#This Row],[std_dev]]</f>
        <v>-0.2626010576389905</v>
      </c>
      <c r="K10356">
        <f>AVERAGEIF(Table1[CountryCode],Table1[[#This Row],[CountryCode]],Table1[z-score])</f>
        <v>1.9919220601134553E-2</v>
      </c>
      <c r="L10356" t="e">
        <f>VLOOKUP(Table1[[#This Row],[CountryCode]],[1]!Table1[#All],1,FALSE)</f>
        <v>#REF!</v>
      </c>
    </row>
    <row r="10357" spans="1:12" hidden="1" x14ac:dyDescent="0.3">
      <c r="A10357" t="s">
        <v>107</v>
      </c>
      <c r="B10357" t="s">
        <v>108</v>
      </c>
      <c r="C10357" t="s">
        <v>129</v>
      </c>
      <c r="D10357" t="s">
        <v>130</v>
      </c>
      <c r="E10357">
        <v>1980</v>
      </c>
      <c r="F10357" s="1">
        <v>70</v>
      </c>
      <c r="G10357">
        <v>1980</v>
      </c>
      <c r="H10357">
        <f>AVERAGEIFS(Table1[value],Table1[IndicatorCode],Table1[[#This Row],[IndicatorCode]])</f>
        <v>72.66514008620689</v>
      </c>
      <c r="I10357" cm="1">
        <f t="array" ref="I10357">_xlfn.STDEV.P(IF(Table1[IndicatorCode]=Table1[[#This Row],[IndicatorCode]],Table1[value]))</f>
        <v>6.3409496564024987</v>
      </c>
      <c r="J10357">
        <f>(Table1[[#This Row],[value]] - Table1[[#This Row],[mean]]) / Table1[[#This Row],[std_dev]]</f>
        <v>-0.4203061419224296</v>
      </c>
      <c r="K10357">
        <f>AVERAGEIF(Table1[CountryCode],Table1[[#This Row],[CountryCode]],Table1[z-score])</f>
        <v>1.9919220601134553E-2</v>
      </c>
      <c r="L10357" t="e">
        <f>VLOOKUP(Table1[[#This Row],[CountryCode]],[1]!Table1[#All],1,FALSE)</f>
        <v>#REF!</v>
      </c>
    </row>
    <row r="10358" spans="1:12" hidden="1" x14ac:dyDescent="0.3">
      <c r="A10358" t="s">
        <v>107</v>
      </c>
      <c r="B10358" t="s">
        <v>108</v>
      </c>
      <c r="C10358" t="s">
        <v>129</v>
      </c>
      <c r="D10358" t="s">
        <v>130</v>
      </c>
      <c r="E10358">
        <v>1981</v>
      </c>
      <c r="F10358" s="1">
        <v>71</v>
      </c>
      <c r="G10358">
        <v>1980</v>
      </c>
      <c r="H10358">
        <f>AVERAGEIFS(Table1[value],Table1[IndicatorCode],Table1[[#This Row],[IndicatorCode]])</f>
        <v>72.66514008620689</v>
      </c>
      <c r="I10358" cm="1">
        <f t="array" ref="I10358">_xlfn.STDEV.P(IF(Table1[IndicatorCode]=Table1[[#This Row],[IndicatorCode]],Table1[value]))</f>
        <v>6.3409496564024987</v>
      </c>
      <c r="J10358">
        <f>(Table1[[#This Row],[value]] - Table1[[#This Row],[mean]]) / Table1[[#This Row],[std_dev]]</f>
        <v>-0.2626010576389905</v>
      </c>
      <c r="K10358">
        <f>AVERAGEIF(Table1[CountryCode],Table1[[#This Row],[CountryCode]],Table1[z-score])</f>
        <v>1.9919220601134553E-2</v>
      </c>
      <c r="L10358" t="e">
        <f>VLOOKUP(Table1[[#This Row],[CountryCode]],[1]!Table1[#All],1,FALSE)</f>
        <v>#REF!</v>
      </c>
    </row>
    <row r="10359" spans="1:12" hidden="1" x14ac:dyDescent="0.3">
      <c r="A10359" t="s">
        <v>107</v>
      </c>
      <c r="B10359" t="s">
        <v>108</v>
      </c>
      <c r="C10359" t="s">
        <v>129</v>
      </c>
      <c r="D10359" t="s">
        <v>130</v>
      </c>
      <c r="E10359">
        <v>1982</v>
      </c>
      <c r="F10359" s="1">
        <v>71</v>
      </c>
      <c r="G10359">
        <v>1980</v>
      </c>
      <c r="H10359">
        <f>AVERAGEIFS(Table1[value],Table1[IndicatorCode],Table1[[#This Row],[IndicatorCode]])</f>
        <v>72.66514008620689</v>
      </c>
      <c r="I10359" cm="1">
        <f t="array" ref="I10359">_xlfn.STDEV.P(IF(Table1[IndicatorCode]=Table1[[#This Row],[IndicatorCode]],Table1[value]))</f>
        <v>6.3409496564024987</v>
      </c>
      <c r="J10359">
        <f>(Table1[[#This Row],[value]] - Table1[[#This Row],[mean]]) / Table1[[#This Row],[std_dev]]</f>
        <v>-0.2626010576389905</v>
      </c>
      <c r="K10359">
        <f>AVERAGEIF(Table1[CountryCode],Table1[[#This Row],[CountryCode]],Table1[z-score])</f>
        <v>1.9919220601134553E-2</v>
      </c>
      <c r="L10359" t="e">
        <f>VLOOKUP(Table1[[#This Row],[CountryCode]],[1]!Table1[#All],1,FALSE)</f>
        <v>#REF!</v>
      </c>
    </row>
    <row r="10360" spans="1:12" hidden="1" x14ac:dyDescent="0.3">
      <c r="A10360" t="s">
        <v>107</v>
      </c>
      <c r="B10360" t="s">
        <v>108</v>
      </c>
      <c r="C10360" t="s">
        <v>129</v>
      </c>
      <c r="D10360" t="s">
        <v>130</v>
      </c>
      <c r="E10360">
        <v>1983</v>
      </c>
      <c r="F10360" s="1">
        <v>70</v>
      </c>
      <c r="G10360">
        <v>1980</v>
      </c>
      <c r="H10360">
        <f>AVERAGEIFS(Table1[value],Table1[IndicatorCode],Table1[[#This Row],[IndicatorCode]])</f>
        <v>72.66514008620689</v>
      </c>
      <c r="I10360" cm="1">
        <f t="array" ref="I10360">_xlfn.STDEV.P(IF(Table1[IndicatorCode]=Table1[[#This Row],[IndicatorCode]],Table1[value]))</f>
        <v>6.3409496564024987</v>
      </c>
      <c r="J10360">
        <f>(Table1[[#This Row],[value]] - Table1[[#This Row],[mean]]) / Table1[[#This Row],[std_dev]]</f>
        <v>-0.4203061419224296</v>
      </c>
      <c r="K10360">
        <f>AVERAGEIF(Table1[CountryCode],Table1[[#This Row],[CountryCode]],Table1[z-score])</f>
        <v>1.9919220601134553E-2</v>
      </c>
      <c r="L10360" t="e">
        <f>VLOOKUP(Table1[[#This Row],[CountryCode]],[1]!Table1[#All],1,FALSE)</f>
        <v>#REF!</v>
      </c>
    </row>
    <row r="10361" spans="1:12" hidden="1" x14ac:dyDescent="0.3">
      <c r="A10361" t="s">
        <v>107</v>
      </c>
      <c r="B10361" t="s">
        <v>108</v>
      </c>
      <c r="C10361" t="s">
        <v>129</v>
      </c>
      <c r="D10361" t="s">
        <v>130</v>
      </c>
      <c r="E10361">
        <v>1984</v>
      </c>
      <c r="F10361" s="1">
        <v>71</v>
      </c>
      <c r="G10361">
        <v>1980</v>
      </c>
      <c r="H10361">
        <f>AVERAGEIFS(Table1[value],Table1[IndicatorCode],Table1[[#This Row],[IndicatorCode]])</f>
        <v>72.66514008620689</v>
      </c>
      <c r="I10361" cm="1">
        <f t="array" ref="I10361">_xlfn.STDEV.P(IF(Table1[IndicatorCode]=Table1[[#This Row],[IndicatorCode]],Table1[value]))</f>
        <v>6.3409496564024987</v>
      </c>
      <c r="J10361">
        <f>(Table1[[#This Row],[value]] - Table1[[#This Row],[mean]]) / Table1[[#This Row],[std_dev]]</f>
        <v>-0.2626010576389905</v>
      </c>
      <c r="K10361">
        <f>AVERAGEIF(Table1[CountryCode],Table1[[#This Row],[CountryCode]],Table1[z-score])</f>
        <v>1.9919220601134553E-2</v>
      </c>
      <c r="L10361" t="e">
        <f>VLOOKUP(Table1[[#This Row],[CountryCode]],[1]!Table1[#All],1,FALSE)</f>
        <v>#REF!</v>
      </c>
    </row>
    <row r="10362" spans="1:12" hidden="1" x14ac:dyDescent="0.3">
      <c r="A10362" t="s">
        <v>107</v>
      </c>
      <c r="B10362" t="s">
        <v>108</v>
      </c>
      <c r="C10362" t="s">
        <v>129</v>
      </c>
      <c r="D10362" t="s">
        <v>130</v>
      </c>
      <c r="E10362">
        <v>1985</v>
      </c>
      <c r="F10362" s="1">
        <v>71</v>
      </c>
      <c r="G10362">
        <v>1980</v>
      </c>
      <c r="H10362">
        <f>AVERAGEIFS(Table1[value],Table1[IndicatorCode],Table1[[#This Row],[IndicatorCode]])</f>
        <v>72.66514008620689</v>
      </c>
      <c r="I10362" cm="1">
        <f t="array" ref="I10362">_xlfn.STDEV.P(IF(Table1[IndicatorCode]=Table1[[#This Row],[IndicatorCode]],Table1[value]))</f>
        <v>6.3409496564024987</v>
      </c>
      <c r="J10362">
        <f>(Table1[[#This Row],[value]] - Table1[[#This Row],[mean]]) / Table1[[#This Row],[std_dev]]</f>
        <v>-0.2626010576389905</v>
      </c>
      <c r="K10362">
        <f>AVERAGEIF(Table1[CountryCode],Table1[[#This Row],[CountryCode]],Table1[z-score])</f>
        <v>1.9919220601134553E-2</v>
      </c>
      <c r="L10362" t="e">
        <f>VLOOKUP(Table1[[#This Row],[CountryCode]],[1]!Table1[#All],1,FALSE)</f>
        <v>#REF!</v>
      </c>
    </row>
    <row r="10363" spans="1:12" hidden="1" x14ac:dyDescent="0.3">
      <c r="A10363" t="s">
        <v>107</v>
      </c>
      <c r="B10363" t="s">
        <v>108</v>
      </c>
      <c r="C10363" t="s">
        <v>129</v>
      </c>
      <c r="D10363" t="s">
        <v>130</v>
      </c>
      <c r="E10363">
        <v>1986</v>
      </c>
      <c r="F10363" s="1">
        <v>71</v>
      </c>
      <c r="G10363">
        <v>1980</v>
      </c>
      <c r="H10363">
        <f>AVERAGEIFS(Table1[value],Table1[IndicatorCode],Table1[[#This Row],[IndicatorCode]])</f>
        <v>72.66514008620689</v>
      </c>
      <c r="I10363" cm="1">
        <f t="array" ref="I10363">_xlfn.STDEV.P(IF(Table1[IndicatorCode]=Table1[[#This Row],[IndicatorCode]],Table1[value]))</f>
        <v>6.3409496564024987</v>
      </c>
      <c r="J10363">
        <f>(Table1[[#This Row],[value]] - Table1[[#This Row],[mean]]) / Table1[[#This Row],[std_dev]]</f>
        <v>-0.2626010576389905</v>
      </c>
      <c r="K10363">
        <f>AVERAGEIF(Table1[CountryCode],Table1[[#This Row],[CountryCode]],Table1[z-score])</f>
        <v>1.9919220601134553E-2</v>
      </c>
      <c r="L10363" t="e">
        <f>VLOOKUP(Table1[[#This Row],[CountryCode]],[1]!Table1[#All],1,FALSE)</f>
        <v>#REF!</v>
      </c>
    </row>
    <row r="10364" spans="1:12" hidden="1" x14ac:dyDescent="0.3">
      <c r="A10364" t="s">
        <v>107</v>
      </c>
      <c r="B10364" t="s">
        <v>108</v>
      </c>
      <c r="C10364" t="s">
        <v>129</v>
      </c>
      <c r="D10364" t="s">
        <v>130</v>
      </c>
      <c r="E10364">
        <v>1987</v>
      </c>
      <c r="F10364" s="1">
        <v>71</v>
      </c>
      <c r="G10364">
        <v>1990</v>
      </c>
      <c r="H10364">
        <f>AVERAGEIFS(Table1[value],Table1[IndicatorCode],Table1[[#This Row],[IndicatorCode]])</f>
        <v>72.66514008620689</v>
      </c>
      <c r="I10364" cm="1">
        <f t="array" ref="I10364">_xlfn.STDEV.P(IF(Table1[IndicatorCode]=Table1[[#This Row],[IndicatorCode]],Table1[value]))</f>
        <v>6.3409496564024987</v>
      </c>
      <c r="J10364">
        <f>(Table1[[#This Row],[value]] - Table1[[#This Row],[mean]]) / Table1[[#This Row],[std_dev]]</f>
        <v>-0.2626010576389905</v>
      </c>
      <c r="K10364">
        <f>AVERAGEIF(Table1[CountryCode],Table1[[#This Row],[CountryCode]],Table1[z-score])</f>
        <v>1.9919220601134553E-2</v>
      </c>
      <c r="L10364" t="e">
        <f>VLOOKUP(Table1[[#This Row],[CountryCode]],[1]!Table1[#All],1,FALSE)</f>
        <v>#REF!</v>
      </c>
    </row>
    <row r="10365" spans="1:12" hidden="1" x14ac:dyDescent="0.3">
      <c r="A10365" t="s">
        <v>107</v>
      </c>
      <c r="B10365" t="s">
        <v>108</v>
      </c>
      <c r="C10365" t="s">
        <v>129</v>
      </c>
      <c r="D10365" t="s">
        <v>130</v>
      </c>
      <c r="E10365">
        <v>1988</v>
      </c>
      <c r="F10365" s="1">
        <v>71</v>
      </c>
      <c r="G10365">
        <v>1990</v>
      </c>
      <c r="H10365">
        <f>AVERAGEIFS(Table1[value],Table1[IndicatorCode],Table1[[#This Row],[IndicatorCode]])</f>
        <v>72.66514008620689</v>
      </c>
      <c r="I10365" cm="1">
        <f t="array" ref="I10365">_xlfn.STDEV.P(IF(Table1[IndicatorCode]=Table1[[#This Row],[IndicatorCode]],Table1[value]))</f>
        <v>6.3409496564024987</v>
      </c>
      <c r="J10365">
        <f>(Table1[[#This Row],[value]] - Table1[[#This Row],[mean]]) / Table1[[#This Row],[std_dev]]</f>
        <v>-0.2626010576389905</v>
      </c>
      <c r="K10365">
        <f>AVERAGEIF(Table1[CountryCode],Table1[[#This Row],[CountryCode]],Table1[z-score])</f>
        <v>1.9919220601134553E-2</v>
      </c>
      <c r="L10365" t="e">
        <f>VLOOKUP(Table1[[#This Row],[CountryCode]],[1]!Table1[#All],1,FALSE)</f>
        <v>#REF!</v>
      </c>
    </row>
    <row r="10366" spans="1:12" hidden="1" x14ac:dyDescent="0.3">
      <c r="A10366" t="s">
        <v>107</v>
      </c>
      <c r="B10366" t="s">
        <v>108</v>
      </c>
      <c r="C10366" t="s">
        <v>129</v>
      </c>
      <c r="D10366" t="s">
        <v>130</v>
      </c>
      <c r="E10366">
        <v>1989</v>
      </c>
      <c r="F10366" s="1">
        <v>71</v>
      </c>
      <c r="G10366">
        <v>1990</v>
      </c>
      <c r="H10366">
        <f>AVERAGEIFS(Table1[value],Table1[IndicatorCode],Table1[[#This Row],[IndicatorCode]])</f>
        <v>72.66514008620689</v>
      </c>
      <c r="I10366" cm="1">
        <f t="array" ref="I10366">_xlfn.STDEV.P(IF(Table1[IndicatorCode]=Table1[[#This Row],[IndicatorCode]],Table1[value]))</f>
        <v>6.3409496564024987</v>
      </c>
      <c r="J10366">
        <f>(Table1[[#This Row],[value]] - Table1[[#This Row],[mean]]) / Table1[[#This Row],[std_dev]]</f>
        <v>-0.2626010576389905</v>
      </c>
      <c r="K10366">
        <f>AVERAGEIF(Table1[CountryCode],Table1[[#This Row],[CountryCode]],Table1[z-score])</f>
        <v>1.9919220601134553E-2</v>
      </c>
      <c r="L10366" t="e">
        <f>VLOOKUP(Table1[[#This Row],[CountryCode]],[1]!Table1[#All],1,FALSE)</f>
        <v>#REF!</v>
      </c>
    </row>
    <row r="10367" spans="1:12" hidden="1" x14ac:dyDescent="0.3">
      <c r="A10367" t="s">
        <v>107</v>
      </c>
      <c r="B10367" t="s">
        <v>108</v>
      </c>
      <c r="C10367" t="s">
        <v>129</v>
      </c>
      <c r="D10367" t="s">
        <v>130</v>
      </c>
      <c r="E10367">
        <v>1990</v>
      </c>
      <c r="F10367" s="1">
        <v>71</v>
      </c>
      <c r="G10367">
        <v>1990</v>
      </c>
      <c r="H10367">
        <f>AVERAGEIFS(Table1[value],Table1[IndicatorCode],Table1[[#This Row],[IndicatorCode]])</f>
        <v>72.66514008620689</v>
      </c>
      <c r="I10367" cm="1">
        <f t="array" ref="I10367">_xlfn.STDEV.P(IF(Table1[IndicatorCode]=Table1[[#This Row],[IndicatorCode]],Table1[value]))</f>
        <v>6.3409496564024987</v>
      </c>
      <c r="J10367">
        <f>(Table1[[#This Row],[value]] - Table1[[#This Row],[mean]]) / Table1[[#This Row],[std_dev]]</f>
        <v>-0.2626010576389905</v>
      </c>
      <c r="K10367">
        <f>AVERAGEIF(Table1[CountryCode],Table1[[#This Row],[CountryCode]],Table1[z-score])</f>
        <v>1.9919220601134553E-2</v>
      </c>
      <c r="L10367" t="e">
        <f>VLOOKUP(Table1[[#This Row],[CountryCode]],[1]!Table1[#All],1,FALSE)</f>
        <v>#REF!</v>
      </c>
    </row>
    <row r="10368" spans="1:12" hidden="1" x14ac:dyDescent="0.3">
      <c r="A10368" t="s">
        <v>107</v>
      </c>
      <c r="B10368" t="s">
        <v>108</v>
      </c>
      <c r="C10368" t="s">
        <v>129</v>
      </c>
      <c r="D10368" t="s">
        <v>130</v>
      </c>
      <c r="E10368">
        <v>1991</v>
      </c>
      <c r="F10368" s="1">
        <v>71</v>
      </c>
      <c r="G10368">
        <v>1990</v>
      </c>
      <c r="H10368">
        <f>AVERAGEIFS(Table1[value],Table1[IndicatorCode],Table1[[#This Row],[IndicatorCode]])</f>
        <v>72.66514008620689</v>
      </c>
      <c r="I10368" cm="1">
        <f t="array" ref="I10368">_xlfn.STDEV.P(IF(Table1[IndicatorCode]=Table1[[#This Row],[IndicatorCode]],Table1[value]))</f>
        <v>6.3409496564024987</v>
      </c>
      <c r="J10368">
        <f>(Table1[[#This Row],[value]] - Table1[[#This Row],[mean]]) / Table1[[#This Row],[std_dev]]</f>
        <v>-0.2626010576389905</v>
      </c>
      <c r="K10368">
        <f>AVERAGEIF(Table1[CountryCode],Table1[[#This Row],[CountryCode]],Table1[z-score])</f>
        <v>1.9919220601134553E-2</v>
      </c>
      <c r="L10368" t="e">
        <f>VLOOKUP(Table1[[#This Row],[CountryCode]],[1]!Table1[#All],1,FALSE)</f>
        <v>#REF!</v>
      </c>
    </row>
    <row r="10369" spans="1:12" hidden="1" x14ac:dyDescent="0.3">
      <c r="A10369" t="s">
        <v>107</v>
      </c>
      <c r="B10369" t="s">
        <v>108</v>
      </c>
      <c r="C10369" t="s">
        <v>129</v>
      </c>
      <c r="D10369" t="s">
        <v>130</v>
      </c>
      <c r="E10369">
        <v>1992</v>
      </c>
      <c r="F10369" s="1">
        <v>72</v>
      </c>
      <c r="G10369">
        <v>1990</v>
      </c>
      <c r="H10369">
        <f>AVERAGEIFS(Table1[value],Table1[IndicatorCode],Table1[[#This Row],[IndicatorCode]])</f>
        <v>72.66514008620689</v>
      </c>
      <c r="I10369" cm="1">
        <f t="array" ref="I10369">_xlfn.STDEV.P(IF(Table1[IndicatorCode]=Table1[[#This Row],[IndicatorCode]],Table1[value]))</f>
        <v>6.3409496564024987</v>
      </c>
      <c r="J10369">
        <f>(Table1[[#This Row],[value]] - Table1[[#This Row],[mean]]) / Table1[[#This Row],[std_dev]]</f>
        <v>-0.10489597335555145</v>
      </c>
      <c r="K10369">
        <f>AVERAGEIF(Table1[CountryCode],Table1[[#This Row],[CountryCode]],Table1[z-score])</f>
        <v>1.9919220601134553E-2</v>
      </c>
      <c r="L10369" t="e">
        <f>VLOOKUP(Table1[[#This Row],[CountryCode]],[1]!Table1[#All],1,FALSE)</f>
        <v>#REF!</v>
      </c>
    </row>
    <row r="10370" spans="1:12" hidden="1" x14ac:dyDescent="0.3">
      <c r="A10370" t="s">
        <v>107</v>
      </c>
      <c r="B10370" t="s">
        <v>108</v>
      </c>
      <c r="C10370" t="s">
        <v>129</v>
      </c>
      <c r="D10370" t="s">
        <v>130</v>
      </c>
      <c r="E10370">
        <v>1993</v>
      </c>
      <c r="F10370" s="1">
        <v>72</v>
      </c>
      <c r="G10370">
        <v>1990</v>
      </c>
      <c r="H10370">
        <f>AVERAGEIFS(Table1[value],Table1[IndicatorCode],Table1[[#This Row],[IndicatorCode]])</f>
        <v>72.66514008620689</v>
      </c>
      <c r="I10370" cm="1">
        <f t="array" ref="I10370">_xlfn.STDEV.P(IF(Table1[IndicatorCode]=Table1[[#This Row],[IndicatorCode]],Table1[value]))</f>
        <v>6.3409496564024987</v>
      </c>
      <c r="J10370">
        <f>(Table1[[#This Row],[value]] - Table1[[#This Row],[mean]]) / Table1[[#This Row],[std_dev]]</f>
        <v>-0.10489597335555145</v>
      </c>
      <c r="K10370">
        <f>AVERAGEIF(Table1[CountryCode],Table1[[#This Row],[CountryCode]],Table1[z-score])</f>
        <v>1.9919220601134553E-2</v>
      </c>
      <c r="L10370" t="e">
        <f>VLOOKUP(Table1[[#This Row],[CountryCode]],[1]!Table1[#All],1,FALSE)</f>
        <v>#REF!</v>
      </c>
    </row>
    <row r="10371" spans="1:12" hidden="1" x14ac:dyDescent="0.3">
      <c r="A10371" t="s">
        <v>107</v>
      </c>
      <c r="B10371" t="s">
        <v>108</v>
      </c>
      <c r="C10371" t="s">
        <v>129</v>
      </c>
      <c r="D10371" t="s">
        <v>130</v>
      </c>
      <c r="E10371">
        <v>1994</v>
      </c>
      <c r="F10371" s="1">
        <v>72</v>
      </c>
      <c r="G10371">
        <v>1990</v>
      </c>
      <c r="H10371">
        <f>AVERAGEIFS(Table1[value],Table1[IndicatorCode],Table1[[#This Row],[IndicatorCode]])</f>
        <v>72.66514008620689</v>
      </c>
      <c r="I10371" cm="1">
        <f t="array" ref="I10371">_xlfn.STDEV.P(IF(Table1[IndicatorCode]=Table1[[#This Row],[IndicatorCode]],Table1[value]))</f>
        <v>6.3409496564024987</v>
      </c>
      <c r="J10371">
        <f>(Table1[[#This Row],[value]] - Table1[[#This Row],[mean]]) / Table1[[#This Row],[std_dev]]</f>
        <v>-0.10489597335555145</v>
      </c>
      <c r="K10371">
        <f>AVERAGEIF(Table1[CountryCode],Table1[[#This Row],[CountryCode]],Table1[z-score])</f>
        <v>1.9919220601134553E-2</v>
      </c>
      <c r="L10371" t="e">
        <f>VLOOKUP(Table1[[#This Row],[CountryCode]],[1]!Table1[#All],1,FALSE)</f>
        <v>#REF!</v>
      </c>
    </row>
    <row r="10372" spans="1:12" hidden="1" x14ac:dyDescent="0.3">
      <c r="A10372" t="s">
        <v>107</v>
      </c>
      <c r="B10372" t="s">
        <v>108</v>
      </c>
      <c r="C10372" t="s">
        <v>129</v>
      </c>
      <c r="D10372" t="s">
        <v>130</v>
      </c>
      <c r="E10372">
        <v>1995</v>
      </c>
      <c r="F10372" s="1">
        <v>72</v>
      </c>
      <c r="G10372">
        <v>1990</v>
      </c>
      <c r="H10372">
        <f>AVERAGEIFS(Table1[value],Table1[IndicatorCode],Table1[[#This Row],[IndicatorCode]])</f>
        <v>72.66514008620689</v>
      </c>
      <c r="I10372" cm="1">
        <f t="array" ref="I10372">_xlfn.STDEV.P(IF(Table1[IndicatorCode]=Table1[[#This Row],[IndicatorCode]],Table1[value]))</f>
        <v>6.3409496564024987</v>
      </c>
      <c r="J10372">
        <f>(Table1[[#This Row],[value]] - Table1[[#This Row],[mean]]) / Table1[[#This Row],[std_dev]]</f>
        <v>-0.10489597335555145</v>
      </c>
      <c r="K10372">
        <f>AVERAGEIF(Table1[CountryCode],Table1[[#This Row],[CountryCode]],Table1[z-score])</f>
        <v>1.9919220601134553E-2</v>
      </c>
      <c r="L10372" t="e">
        <f>VLOOKUP(Table1[[#This Row],[CountryCode]],[1]!Table1[#All],1,FALSE)</f>
        <v>#REF!</v>
      </c>
    </row>
    <row r="10373" spans="1:12" hidden="1" x14ac:dyDescent="0.3">
      <c r="A10373" t="s">
        <v>107</v>
      </c>
      <c r="B10373" t="s">
        <v>108</v>
      </c>
      <c r="C10373" t="s">
        <v>129</v>
      </c>
      <c r="D10373" t="s">
        <v>130</v>
      </c>
      <c r="E10373">
        <v>1996</v>
      </c>
      <c r="F10373" s="1">
        <v>73</v>
      </c>
      <c r="G10373">
        <v>1990</v>
      </c>
      <c r="H10373">
        <f>AVERAGEIFS(Table1[value],Table1[IndicatorCode],Table1[[#This Row],[IndicatorCode]])</f>
        <v>72.66514008620689</v>
      </c>
      <c r="I10373" cm="1">
        <f t="array" ref="I10373">_xlfn.STDEV.P(IF(Table1[IndicatorCode]=Table1[[#This Row],[IndicatorCode]],Table1[value]))</f>
        <v>6.3409496564024987</v>
      </c>
      <c r="J10373">
        <f>(Table1[[#This Row],[value]] - Table1[[#This Row],[mean]]) / Table1[[#This Row],[std_dev]]</f>
        <v>5.2809110927887599E-2</v>
      </c>
      <c r="K10373">
        <f>AVERAGEIF(Table1[CountryCode],Table1[[#This Row],[CountryCode]],Table1[z-score])</f>
        <v>1.9919220601134553E-2</v>
      </c>
      <c r="L10373" t="e">
        <f>VLOOKUP(Table1[[#This Row],[CountryCode]],[1]!Table1[#All],1,FALSE)</f>
        <v>#REF!</v>
      </c>
    </row>
    <row r="10374" spans="1:12" hidden="1" x14ac:dyDescent="0.3">
      <c r="A10374" t="s">
        <v>107</v>
      </c>
      <c r="B10374" t="s">
        <v>108</v>
      </c>
      <c r="C10374" t="s">
        <v>129</v>
      </c>
      <c r="D10374" t="s">
        <v>130</v>
      </c>
      <c r="E10374">
        <v>1997</v>
      </c>
      <c r="F10374" s="1">
        <v>73</v>
      </c>
      <c r="G10374">
        <v>2000</v>
      </c>
      <c r="H10374">
        <f>AVERAGEIFS(Table1[value],Table1[IndicatorCode],Table1[[#This Row],[IndicatorCode]])</f>
        <v>72.66514008620689</v>
      </c>
      <c r="I10374" cm="1">
        <f t="array" ref="I10374">_xlfn.STDEV.P(IF(Table1[IndicatorCode]=Table1[[#This Row],[IndicatorCode]],Table1[value]))</f>
        <v>6.3409496564024987</v>
      </c>
      <c r="J10374">
        <f>(Table1[[#This Row],[value]] - Table1[[#This Row],[mean]]) / Table1[[#This Row],[std_dev]]</f>
        <v>5.2809110927887599E-2</v>
      </c>
      <c r="K10374">
        <f>AVERAGEIF(Table1[CountryCode],Table1[[#This Row],[CountryCode]],Table1[z-score])</f>
        <v>1.9919220601134553E-2</v>
      </c>
      <c r="L10374" t="e">
        <f>VLOOKUP(Table1[[#This Row],[CountryCode]],[1]!Table1[#All],1,FALSE)</f>
        <v>#REF!</v>
      </c>
    </row>
    <row r="10375" spans="1:12" hidden="1" x14ac:dyDescent="0.3">
      <c r="A10375" t="s">
        <v>107</v>
      </c>
      <c r="B10375" t="s">
        <v>108</v>
      </c>
      <c r="C10375" t="s">
        <v>129</v>
      </c>
      <c r="D10375" t="s">
        <v>130</v>
      </c>
      <c r="E10375">
        <v>1998</v>
      </c>
      <c r="F10375" s="1">
        <v>73</v>
      </c>
      <c r="G10375">
        <v>2000</v>
      </c>
      <c r="H10375">
        <f>AVERAGEIFS(Table1[value],Table1[IndicatorCode],Table1[[#This Row],[IndicatorCode]])</f>
        <v>72.66514008620689</v>
      </c>
      <c r="I10375" cm="1">
        <f t="array" ref="I10375">_xlfn.STDEV.P(IF(Table1[IndicatorCode]=Table1[[#This Row],[IndicatorCode]],Table1[value]))</f>
        <v>6.3409496564024987</v>
      </c>
      <c r="J10375">
        <f>(Table1[[#This Row],[value]] - Table1[[#This Row],[mean]]) / Table1[[#This Row],[std_dev]]</f>
        <v>5.2809110927887599E-2</v>
      </c>
      <c r="K10375">
        <f>AVERAGEIF(Table1[CountryCode],Table1[[#This Row],[CountryCode]],Table1[z-score])</f>
        <v>1.9919220601134553E-2</v>
      </c>
      <c r="L10375" t="e">
        <f>VLOOKUP(Table1[[#This Row],[CountryCode]],[1]!Table1[#All],1,FALSE)</f>
        <v>#REF!</v>
      </c>
    </row>
    <row r="10376" spans="1:12" hidden="1" x14ac:dyDescent="0.3">
      <c r="A10376" t="s">
        <v>107</v>
      </c>
      <c r="B10376" t="s">
        <v>108</v>
      </c>
      <c r="C10376" t="s">
        <v>129</v>
      </c>
      <c r="D10376" t="s">
        <v>130</v>
      </c>
      <c r="E10376">
        <v>1999</v>
      </c>
      <c r="F10376" s="1">
        <v>73</v>
      </c>
      <c r="G10376">
        <v>2000</v>
      </c>
      <c r="H10376">
        <f>AVERAGEIFS(Table1[value],Table1[IndicatorCode],Table1[[#This Row],[IndicatorCode]])</f>
        <v>72.66514008620689</v>
      </c>
      <c r="I10376" cm="1">
        <f t="array" ref="I10376">_xlfn.STDEV.P(IF(Table1[IndicatorCode]=Table1[[#This Row],[IndicatorCode]],Table1[value]))</f>
        <v>6.3409496564024987</v>
      </c>
      <c r="J10376">
        <f>(Table1[[#This Row],[value]] - Table1[[#This Row],[mean]]) / Table1[[#This Row],[std_dev]]</f>
        <v>5.2809110927887599E-2</v>
      </c>
      <c r="K10376">
        <f>AVERAGEIF(Table1[CountryCode],Table1[[#This Row],[CountryCode]],Table1[z-score])</f>
        <v>1.9919220601134553E-2</v>
      </c>
      <c r="L10376" t="e">
        <f>VLOOKUP(Table1[[#This Row],[CountryCode]],[1]!Table1[#All],1,FALSE)</f>
        <v>#REF!</v>
      </c>
    </row>
    <row r="10377" spans="1:12" hidden="1" x14ac:dyDescent="0.3">
      <c r="A10377" t="s">
        <v>107</v>
      </c>
      <c r="B10377" t="s">
        <v>108</v>
      </c>
      <c r="C10377" t="s">
        <v>129</v>
      </c>
      <c r="D10377" t="s">
        <v>130</v>
      </c>
      <c r="E10377">
        <v>2000</v>
      </c>
      <c r="F10377" s="1">
        <v>73</v>
      </c>
      <c r="G10377">
        <v>2000</v>
      </c>
      <c r="H10377">
        <f>AVERAGEIFS(Table1[value],Table1[IndicatorCode],Table1[[#This Row],[IndicatorCode]])</f>
        <v>72.66514008620689</v>
      </c>
      <c r="I10377" cm="1">
        <f t="array" ref="I10377">_xlfn.STDEV.P(IF(Table1[IndicatorCode]=Table1[[#This Row],[IndicatorCode]],Table1[value]))</f>
        <v>6.3409496564024987</v>
      </c>
      <c r="J10377">
        <f>(Table1[[#This Row],[value]] - Table1[[#This Row],[mean]]) / Table1[[#This Row],[std_dev]]</f>
        <v>5.2809110927887599E-2</v>
      </c>
      <c r="K10377">
        <f>AVERAGEIF(Table1[CountryCode],Table1[[#This Row],[CountryCode]],Table1[z-score])</f>
        <v>1.9919220601134553E-2</v>
      </c>
      <c r="L10377" t="e">
        <f>VLOOKUP(Table1[[#This Row],[CountryCode]],[1]!Table1[#All],1,FALSE)</f>
        <v>#REF!</v>
      </c>
    </row>
    <row r="10378" spans="1:12" hidden="1" x14ac:dyDescent="0.3">
      <c r="A10378" t="s">
        <v>107</v>
      </c>
      <c r="B10378" t="s">
        <v>108</v>
      </c>
      <c r="C10378" t="s">
        <v>129</v>
      </c>
      <c r="D10378" t="s">
        <v>130</v>
      </c>
      <c r="E10378">
        <v>2001</v>
      </c>
      <c r="F10378" s="1">
        <v>73</v>
      </c>
      <c r="G10378">
        <v>2000</v>
      </c>
      <c r="H10378">
        <f>AVERAGEIFS(Table1[value],Table1[IndicatorCode],Table1[[#This Row],[IndicatorCode]])</f>
        <v>72.66514008620689</v>
      </c>
      <c r="I10378" cm="1">
        <f t="array" ref="I10378">_xlfn.STDEV.P(IF(Table1[IndicatorCode]=Table1[[#This Row],[IndicatorCode]],Table1[value]))</f>
        <v>6.3409496564024987</v>
      </c>
      <c r="J10378">
        <f>(Table1[[#This Row],[value]] - Table1[[#This Row],[mean]]) / Table1[[#This Row],[std_dev]]</f>
        <v>5.2809110927887599E-2</v>
      </c>
      <c r="K10378">
        <f>AVERAGEIF(Table1[CountryCode],Table1[[#This Row],[CountryCode]],Table1[z-score])</f>
        <v>1.9919220601134553E-2</v>
      </c>
      <c r="L10378" t="e">
        <f>VLOOKUP(Table1[[#This Row],[CountryCode]],[1]!Table1[#All],1,FALSE)</f>
        <v>#REF!</v>
      </c>
    </row>
    <row r="10379" spans="1:12" hidden="1" x14ac:dyDescent="0.3">
      <c r="A10379" t="s">
        <v>107</v>
      </c>
      <c r="B10379" t="s">
        <v>108</v>
      </c>
      <c r="C10379" t="s">
        <v>129</v>
      </c>
      <c r="D10379" t="s">
        <v>130</v>
      </c>
      <c r="E10379">
        <v>2002</v>
      </c>
      <c r="F10379" s="1">
        <v>74</v>
      </c>
      <c r="G10379">
        <v>2000</v>
      </c>
      <c r="H10379">
        <f>AVERAGEIFS(Table1[value],Table1[IndicatorCode],Table1[[#This Row],[IndicatorCode]])</f>
        <v>72.66514008620689</v>
      </c>
      <c r="I10379" cm="1">
        <f t="array" ref="I10379">_xlfn.STDEV.P(IF(Table1[IndicatorCode]=Table1[[#This Row],[IndicatorCode]],Table1[value]))</f>
        <v>6.3409496564024987</v>
      </c>
      <c r="J10379">
        <f>(Table1[[#This Row],[value]] - Table1[[#This Row],[mean]]) / Table1[[#This Row],[std_dev]]</f>
        <v>0.21051419521132667</v>
      </c>
      <c r="K10379">
        <f>AVERAGEIF(Table1[CountryCode],Table1[[#This Row],[CountryCode]],Table1[z-score])</f>
        <v>1.9919220601134553E-2</v>
      </c>
      <c r="L10379" t="e">
        <f>VLOOKUP(Table1[[#This Row],[CountryCode]],[1]!Table1[#All],1,FALSE)</f>
        <v>#REF!</v>
      </c>
    </row>
    <row r="10380" spans="1:12" hidden="1" x14ac:dyDescent="0.3">
      <c r="A10380" t="s">
        <v>107</v>
      </c>
      <c r="B10380" t="s">
        <v>108</v>
      </c>
      <c r="C10380" t="s">
        <v>129</v>
      </c>
      <c r="D10380" t="s">
        <v>130</v>
      </c>
      <c r="E10380">
        <v>2003</v>
      </c>
      <c r="F10380" s="1">
        <v>74</v>
      </c>
      <c r="G10380">
        <v>2000</v>
      </c>
      <c r="H10380">
        <f>AVERAGEIFS(Table1[value],Table1[IndicatorCode],Table1[[#This Row],[IndicatorCode]])</f>
        <v>72.66514008620689</v>
      </c>
      <c r="I10380" cm="1">
        <f t="array" ref="I10380">_xlfn.STDEV.P(IF(Table1[IndicatorCode]=Table1[[#This Row],[IndicatorCode]],Table1[value]))</f>
        <v>6.3409496564024987</v>
      </c>
      <c r="J10380">
        <f>(Table1[[#This Row],[value]] - Table1[[#This Row],[mean]]) / Table1[[#This Row],[std_dev]]</f>
        <v>0.21051419521132667</v>
      </c>
      <c r="K10380">
        <f>AVERAGEIF(Table1[CountryCode],Table1[[#This Row],[CountryCode]],Table1[z-score])</f>
        <v>1.9919220601134553E-2</v>
      </c>
      <c r="L10380" t="e">
        <f>VLOOKUP(Table1[[#This Row],[CountryCode]],[1]!Table1[#All],1,FALSE)</f>
        <v>#REF!</v>
      </c>
    </row>
    <row r="10381" spans="1:12" hidden="1" x14ac:dyDescent="0.3">
      <c r="A10381" t="s">
        <v>107</v>
      </c>
      <c r="B10381" t="s">
        <v>108</v>
      </c>
      <c r="C10381" t="s">
        <v>129</v>
      </c>
      <c r="D10381" t="s">
        <v>130</v>
      </c>
      <c r="E10381">
        <v>2004</v>
      </c>
      <c r="F10381" s="1">
        <v>74</v>
      </c>
      <c r="G10381">
        <v>2000</v>
      </c>
      <c r="H10381">
        <f>AVERAGEIFS(Table1[value],Table1[IndicatorCode],Table1[[#This Row],[IndicatorCode]])</f>
        <v>72.66514008620689</v>
      </c>
      <c r="I10381" cm="1">
        <f t="array" ref="I10381">_xlfn.STDEV.P(IF(Table1[IndicatorCode]=Table1[[#This Row],[IndicatorCode]],Table1[value]))</f>
        <v>6.3409496564024987</v>
      </c>
      <c r="J10381">
        <f>(Table1[[#This Row],[value]] - Table1[[#This Row],[mean]]) / Table1[[#This Row],[std_dev]]</f>
        <v>0.21051419521132667</v>
      </c>
      <c r="K10381">
        <f>AVERAGEIF(Table1[CountryCode],Table1[[#This Row],[CountryCode]],Table1[z-score])</f>
        <v>1.9919220601134553E-2</v>
      </c>
      <c r="L10381" t="e">
        <f>VLOOKUP(Table1[[#This Row],[CountryCode]],[1]!Table1[#All],1,FALSE)</f>
        <v>#REF!</v>
      </c>
    </row>
    <row r="10382" spans="1:12" hidden="1" x14ac:dyDescent="0.3">
      <c r="A10382" t="s">
        <v>107</v>
      </c>
      <c r="B10382" t="s">
        <v>108</v>
      </c>
      <c r="C10382" t="s">
        <v>129</v>
      </c>
      <c r="D10382" t="s">
        <v>130</v>
      </c>
      <c r="E10382">
        <v>2005</v>
      </c>
      <c r="F10382" s="1">
        <v>74</v>
      </c>
      <c r="G10382">
        <v>2000</v>
      </c>
      <c r="H10382">
        <f>AVERAGEIFS(Table1[value],Table1[IndicatorCode],Table1[[#This Row],[IndicatorCode]])</f>
        <v>72.66514008620689</v>
      </c>
      <c r="I10382" cm="1">
        <f t="array" ref="I10382">_xlfn.STDEV.P(IF(Table1[IndicatorCode]=Table1[[#This Row],[IndicatorCode]],Table1[value]))</f>
        <v>6.3409496564024987</v>
      </c>
      <c r="J10382">
        <f>(Table1[[#This Row],[value]] - Table1[[#This Row],[mean]]) / Table1[[#This Row],[std_dev]]</f>
        <v>0.21051419521132667</v>
      </c>
      <c r="K10382">
        <f>AVERAGEIF(Table1[CountryCode],Table1[[#This Row],[CountryCode]],Table1[z-score])</f>
        <v>1.9919220601134553E-2</v>
      </c>
      <c r="L10382" t="e">
        <f>VLOOKUP(Table1[[#This Row],[CountryCode]],[1]!Table1[#All],1,FALSE)</f>
        <v>#REF!</v>
      </c>
    </row>
    <row r="10383" spans="1:12" hidden="1" x14ac:dyDescent="0.3">
      <c r="A10383" t="s">
        <v>107</v>
      </c>
      <c r="B10383" t="s">
        <v>108</v>
      </c>
      <c r="C10383" t="s">
        <v>129</v>
      </c>
      <c r="D10383" t="s">
        <v>130</v>
      </c>
      <c r="E10383">
        <v>2006</v>
      </c>
      <c r="F10383" s="1">
        <v>74</v>
      </c>
      <c r="G10383">
        <v>2000</v>
      </c>
      <c r="H10383">
        <f>AVERAGEIFS(Table1[value],Table1[IndicatorCode],Table1[[#This Row],[IndicatorCode]])</f>
        <v>72.66514008620689</v>
      </c>
      <c r="I10383" cm="1">
        <f t="array" ref="I10383">_xlfn.STDEV.P(IF(Table1[IndicatorCode]=Table1[[#This Row],[IndicatorCode]],Table1[value]))</f>
        <v>6.3409496564024987</v>
      </c>
      <c r="J10383">
        <f>(Table1[[#This Row],[value]] - Table1[[#This Row],[mean]]) / Table1[[#This Row],[std_dev]]</f>
        <v>0.21051419521132667</v>
      </c>
      <c r="K10383">
        <f>AVERAGEIF(Table1[CountryCode],Table1[[#This Row],[CountryCode]],Table1[z-score])</f>
        <v>1.9919220601134553E-2</v>
      </c>
      <c r="L10383" t="e">
        <f>VLOOKUP(Table1[[#This Row],[CountryCode]],[1]!Table1[#All],1,FALSE)</f>
        <v>#REF!</v>
      </c>
    </row>
    <row r="10384" spans="1:12" hidden="1" x14ac:dyDescent="0.3">
      <c r="A10384" t="s">
        <v>107</v>
      </c>
      <c r="B10384" t="s">
        <v>108</v>
      </c>
      <c r="C10384" t="s">
        <v>129</v>
      </c>
      <c r="D10384" t="s">
        <v>130</v>
      </c>
      <c r="E10384">
        <v>2007</v>
      </c>
      <c r="F10384" s="1">
        <v>74</v>
      </c>
      <c r="G10384">
        <v>2010</v>
      </c>
      <c r="H10384">
        <f>AVERAGEIFS(Table1[value],Table1[IndicatorCode],Table1[[#This Row],[IndicatorCode]])</f>
        <v>72.66514008620689</v>
      </c>
      <c r="I10384" cm="1">
        <f t="array" ref="I10384">_xlfn.STDEV.P(IF(Table1[IndicatorCode]=Table1[[#This Row],[IndicatorCode]],Table1[value]))</f>
        <v>6.3409496564024987</v>
      </c>
      <c r="J10384">
        <f>(Table1[[#This Row],[value]] - Table1[[#This Row],[mean]]) / Table1[[#This Row],[std_dev]]</f>
        <v>0.21051419521132667</v>
      </c>
      <c r="K10384">
        <f>AVERAGEIF(Table1[CountryCode],Table1[[#This Row],[CountryCode]],Table1[z-score])</f>
        <v>1.9919220601134553E-2</v>
      </c>
      <c r="L10384" t="e">
        <f>VLOOKUP(Table1[[#This Row],[CountryCode]],[1]!Table1[#All],1,FALSE)</f>
        <v>#REF!</v>
      </c>
    </row>
    <row r="10385" spans="1:12" hidden="1" x14ac:dyDescent="0.3">
      <c r="A10385" t="s">
        <v>107</v>
      </c>
      <c r="B10385" t="s">
        <v>108</v>
      </c>
      <c r="C10385" t="s">
        <v>129</v>
      </c>
      <c r="D10385" t="s">
        <v>130</v>
      </c>
      <c r="E10385">
        <v>2008</v>
      </c>
      <c r="F10385" s="1">
        <v>75</v>
      </c>
      <c r="G10385">
        <v>2010</v>
      </c>
      <c r="H10385">
        <f>AVERAGEIFS(Table1[value],Table1[IndicatorCode],Table1[[#This Row],[IndicatorCode]])</f>
        <v>72.66514008620689</v>
      </c>
      <c r="I10385" cm="1">
        <f t="array" ref="I10385">_xlfn.STDEV.P(IF(Table1[IndicatorCode]=Table1[[#This Row],[IndicatorCode]],Table1[value]))</f>
        <v>6.3409496564024987</v>
      </c>
      <c r="J10385">
        <f>(Table1[[#This Row],[value]] - Table1[[#This Row],[mean]]) / Table1[[#This Row],[std_dev]]</f>
        <v>0.36821927949476574</v>
      </c>
      <c r="K10385">
        <f>AVERAGEIF(Table1[CountryCode],Table1[[#This Row],[CountryCode]],Table1[z-score])</f>
        <v>1.9919220601134553E-2</v>
      </c>
      <c r="L10385" t="e">
        <f>VLOOKUP(Table1[[#This Row],[CountryCode]],[1]!Table1[#All],1,FALSE)</f>
        <v>#REF!</v>
      </c>
    </row>
    <row r="10386" spans="1:12" hidden="1" x14ac:dyDescent="0.3">
      <c r="A10386" t="s">
        <v>107</v>
      </c>
      <c r="B10386" t="s">
        <v>108</v>
      </c>
      <c r="C10386" t="s">
        <v>129</v>
      </c>
      <c r="D10386" t="s">
        <v>130</v>
      </c>
      <c r="E10386">
        <v>2009</v>
      </c>
      <c r="F10386" s="1">
        <v>75</v>
      </c>
      <c r="G10386">
        <v>2010</v>
      </c>
      <c r="H10386">
        <f>AVERAGEIFS(Table1[value],Table1[IndicatorCode],Table1[[#This Row],[IndicatorCode]])</f>
        <v>72.66514008620689</v>
      </c>
      <c r="I10386" cm="1">
        <f t="array" ref="I10386">_xlfn.STDEV.P(IF(Table1[IndicatorCode]=Table1[[#This Row],[IndicatorCode]],Table1[value]))</f>
        <v>6.3409496564024987</v>
      </c>
      <c r="J10386">
        <f>(Table1[[#This Row],[value]] - Table1[[#This Row],[mean]]) / Table1[[#This Row],[std_dev]]</f>
        <v>0.36821927949476574</v>
      </c>
      <c r="K10386">
        <f>AVERAGEIF(Table1[CountryCode],Table1[[#This Row],[CountryCode]],Table1[z-score])</f>
        <v>1.9919220601134553E-2</v>
      </c>
      <c r="L10386" t="e">
        <f>VLOOKUP(Table1[[#This Row],[CountryCode]],[1]!Table1[#All],1,FALSE)</f>
        <v>#REF!</v>
      </c>
    </row>
    <row r="10387" spans="1:12" hidden="1" x14ac:dyDescent="0.3">
      <c r="A10387" t="s">
        <v>107</v>
      </c>
      <c r="B10387" t="s">
        <v>108</v>
      </c>
      <c r="C10387" t="s">
        <v>129</v>
      </c>
      <c r="D10387" t="s">
        <v>130</v>
      </c>
      <c r="E10387">
        <v>2010</v>
      </c>
      <c r="F10387" s="1">
        <v>75</v>
      </c>
      <c r="G10387">
        <v>2010</v>
      </c>
      <c r="H10387">
        <f>AVERAGEIFS(Table1[value],Table1[IndicatorCode],Table1[[#This Row],[IndicatorCode]])</f>
        <v>72.66514008620689</v>
      </c>
      <c r="I10387" cm="1">
        <f t="array" ref="I10387">_xlfn.STDEV.P(IF(Table1[IndicatorCode]=Table1[[#This Row],[IndicatorCode]],Table1[value]))</f>
        <v>6.3409496564024987</v>
      </c>
      <c r="J10387">
        <f>(Table1[[#This Row],[value]] - Table1[[#This Row],[mean]]) / Table1[[#This Row],[std_dev]]</f>
        <v>0.36821927949476574</v>
      </c>
      <c r="K10387">
        <f>AVERAGEIF(Table1[CountryCode],Table1[[#This Row],[CountryCode]],Table1[z-score])</f>
        <v>1.9919220601134553E-2</v>
      </c>
      <c r="L10387" t="e">
        <f>VLOOKUP(Table1[[#This Row],[CountryCode]],[1]!Table1[#All],1,FALSE)</f>
        <v>#REF!</v>
      </c>
    </row>
    <row r="10388" spans="1:12" hidden="1" x14ac:dyDescent="0.3">
      <c r="A10388" t="s">
        <v>107</v>
      </c>
      <c r="B10388" t="s">
        <v>108</v>
      </c>
      <c r="C10388" t="s">
        <v>129</v>
      </c>
      <c r="D10388" t="s">
        <v>130</v>
      </c>
      <c r="E10388">
        <v>2011</v>
      </c>
      <c r="F10388" s="1">
        <v>76</v>
      </c>
      <c r="G10388">
        <v>2010</v>
      </c>
      <c r="H10388">
        <f>AVERAGEIFS(Table1[value],Table1[IndicatorCode],Table1[[#This Row],[IndicatorCode]])</f>
        <v>72.66514008620689</v>
      </c>
      <c r="I10388" cm="1">
        <f t="array" ref="I10388">_xlfn.STDEV.P(IF(Table1[IndicatorCode]=Table1[[#This Row],[IndicatorCode]],Table1[value]))</f>
        <v>6.3409496564024987</v>
      </c>
      <c r="J10388">
        <f>(Table1[[#This Row],[value]] - Table1[[#This Row],[mean]]) / Table1[[#This Row],[std_dev]]</f>
        <v>0.52592436377820473</v>
      </c>
      <c r="K10388">
        <f>AVERAGEIF(Table1[CountryCode],Table1[[#This Row],[CountryCode]],Table1[z-score])</f>
        <v>1.9919220601134553E-2</v>
      </c>
      <c r="L10388" t="e">
        <f>VLOOKUP(Table1[[#This Row],[CountryCode]],[1]!Table1[#All],1,FALSE)</f>
        <v>#REF!</v>
      </c>
    </row>
    <row r="10389" spans="1:12" hidden="1" x14ac:dyDescent="0.3">
      <c r="A10389" t="s">
        <v>107</v>
      </c>
      <c r="B10389" t="s">
        <v>108</v>
      </c>
      <c r="C10389" t="s">
        <v>129</v>
      </c>
      <c r="D10389" t="s">
        <v>130</v>
      </c>
      <c r="E10389">
        <v>2012</v>
      </c>
      <c r="F10389" s="1">
        <v>76</v>
      </c>
      <c r="G10389">
        <v>2010</v>
      </c>
      <c r="H10389">
        <f>AVERAGEIFS(Table1[value],Table1[IndicatorCode],Table1[[#This Row],[IndicatorCode]])</f>
        <v>72.66514008620689</v>
      </c>
      <c r="I10389" cm="1">
        <f t="array" ref="I10389">_xlfn.STDEV.P(IF(Table1[IndicatorCode]=Table1[[#This Row],[IndicatorCode]],Table1[value]))</f>
        <v>6.3409496564024987</v>
      </c>
      <c r="J10389">
        <f>(Table1[[#This Row],[value]] - Table1[[#This Row],[mean]]) / Table1[[#This Row],[std_dev]]</f>
        <v>0.52592436377820473</v>
      </c>
      <c r="K10389">
        <f>AVERAGEIF(Table1[CountryCode],Table1[[#This Row],[CountryCode]],Table1[z-score])</f>
        <v>1.9919220601134553E-2</v>
      </c>
      <c r="L10389" t="e">
        <f>VLOOKUP(Table1[[#This Row],[CountryCode]],[1]!Table1[#All],1,FALSE)</f>
        <v>#REF!</v>
      </c>
    </row>
    <row r="10390" spans="1:12" hidden="1" x14ac:dyDescent="0.3">
      <c r="A10390" t="s">
        <v>107</v>
      </c>
      <c r="B10390" t="s">
        <v>108</v>
      </c>
      <c r="C10390" t="s">
        <v>129</v>
      </c>
      <c r="D10390" t="s">
        <v>130</v>
      </c>
      <c r="E10390">
        <v>2013</v>
      </c>
      <c r="F10390" s="1">
        <v>76</v>
      </c>
      <c r="G10390">
        <v>2010</v>
      </c>
      <c r="H10390">
        <f>AVERAGEIFS(Table1[value],Table1[IndicatorCode],Table1[[#This Row],[IndicatorCode]])</f>
        <v>72.66514008620689</v>
      </c>
      <c r="I10390" cm="1">
        <f t="array" ref="I10390">_xlfn.STDEV.P(IF(Table1[IndicatorCode]=Table1[[#This Row],[IndicatorCode]],Table1[value]))</f>
        <v>6.3409496564024987</v>
      </c>
      <c r="J10390">
        <f>(Table1[[#This Row],[value]] - Table1[[#This Row],[mean]]) / Table1[[#This Row],[std_dev]]</f>
        <v>0.52592436377820473</v>
      </c>
      <c r="K10390">
        <f>AVERAGEIF(Table1[CountryCode],Table1[[#This Row],[CountryCode]],Table1[z-score])</f>
        <v>1.9919220601134553E-2</v>
      </c>
      <c r="L10390" t="e">
        <f>VLOOKUP(Table1[[#This Row],[CountryCode]],[1]!Table1[#All],1,FALSE)</f>
        <v>#REF!</v>
      </c>
    </row>
    <row r="10391" spans="1:12" hidden="1" x14ac:dyDescent="0.3">
      <c r="A10391" t="s">
        <v>107</v>
      </c>
      <c r="B10391" t="s">
        <v>108</v>
      </c>
      <c r="C10391" t="s">
        <v>129</v>
      </c>
      <c r="D10391" t="s">
        <v>130</v>
      </c>
      <c r="E10391">
        <v>2014</v>
      </c>
      <c r="F10391" s="1">
        <v>77</v>
      </c>
      <c r="G10391">
        <v>2010</v>
      </c>
      <c r="H10391">
        <f>AVERAGEIFS(Table1[value],Table1[IndicatorCode],Table1[[#This Row],[IndicatorCode]])</f>
        <v>72.66514008620689</v>
      </c>
      <c r="I10391" cm="1">
        <f t="array" ref="I10391">_xlfn.STDEV.P(IF(Table1[IndicatorCode]=Table1[[#This Row],[IndicatorCode]],Table1[value]))</f>
        <v>6.3409496564024987</v>
      </c>
      <c r="J10391">
        <f>(Table1[[#This Row],[value]] - Table1[[#This Row],[mean]]) / Table1[[#This Row],[std_dev]]</f>
        <v>0.68362944806164383</v>
      </c>
      <c r="K10391">
        <f>AVERAGEIF(Table1[CountryCode],Table1[[#This Row],[CountryCode]],Table1[z-score])</f>
        <v>1.9919220601134553E-2</v>
      </c>
      <c r="L10391" t="e">
        <f>VLOOKUP(Table1[[#This Row],[CountryCode]],[1]!Table1[#All],1,FALSE)</f>
        <v>#REF!</v>
      </c>
    </row>
    <row r="10392" spans="1:12" hidden="1" x14ac:dyDescent="0.3">
      <c r="A10392" t="s">
        <v>107</v>
      </c>
      <c r="B10392" t="s">
        <v>108</v>
      </c>
      <c r="C10392" t="s">
        <v>129</v>
      </c>
      <c r="D10392" t="s">
        <v>130</v>
      </c>
      <c r="E10392">
        <v>2015</v>
      </c>
      <c r="F10392" s="1">
        <v>77</v>
      </c>
      <c r="G10392">
        <v>2010</v>
      </c>
      <c r="H10392">
        <f>AVERAGEIFS(Table1[value],Table1[IndicatorCode],Table1[[#This Row],[IndicatorCode]])</f>
        <v>72.66514008620689</v>
      </c>
      <c r="I10392" cm="1">
        <f t="array" ref="I10392">_xlfn.STDEV.P(IF(Table1[IndicatorCode]=Table1[[#This Row],[IndicatorCode]],Table1[value]))</f>
        <v>6.3409496564024987</v>
      </c>
      <c r="J10392">
        <f>(Table1[[#This Row],[value]] - Table1[[#This Row],[mean]]) / Table1[[#This Row],[std_dev]]</f>
        <v>0.68362944806164383</v>
      </c>
      <c r="K10392">
        <f>AVERAGEIF(Table1[CountryCode],Table1[[#This Row],[CountryCode]],Table1[z-score])</f>
        <v>1.9919220601134553E-2</v>
      </c>
      <c r="L10392" t="e">
        <f>VLOOKUP(Table1[[#This Row],[CountryCode]],[1]!Table1[#All],1,FALSE)</f>
        <v>#REF!</v>
      </c>
    </row>
    <row r="10393" spans="1:12" hidden="1" x14ac:dyDescent="0.3">
      <c r="A10393" t="s">
        <v>107</v>
      </c>
      <c r="B10393" t="s">
        <v>108</v>
      </c>
      <c r="C10393" t="s">
        <v>129</v>
      </c>
      <c r="D10393" t="s">
        <v>130</v>
      </c>
      <c r="E10393">
        <v>2016</v>
      </c>
      <c r="F10393" s="1">
        <v>77</v>
      </c>
      <c r="G10393">
        <v>2010</v>
      </c>
      <c r="H10393">
        <f>AVERAGEIFS(Table1[value],Table1[IndicatorCode],Table1[[#This Row],[IndicatorCode]])</f>
        <v>72.66514008620689</v>
      </c>
      <c r="I10393" cm="1">
        <f t="array" ref="I10393">_xlfn.STDEV.P(IF(Table1[IndicatorCode]=Table1[[#This Row],[IndicatorCode]],Table1[value]))</f>
        <v>6.3409496564024987</v>
      </c>
      <c r="J10393">
        <f>(Table1[[#This Row],[value]] - Table1[[#This Row],[mean]]) / Table1[[#This Row],[std_dev]]</f>
        <v>0.68362944806164383</v>
      </c>
      <c r="K10393">
        <f>AVERAGEIF(Table1[CountryCode],Table1[[#This Row],[CountryCode]],Table1[z-score])</f>
        <v>1.9919220601134553E-2</v>
      </c>
      <c r="L10393" t="e">
        <f>VLOOKUP(Table1[[#This Row],[CountryCode]],[1]!Table1[#All],1,FALSE)</f>
        <v>#REF!</v>
      </c>
    </row>
    <row r="10394" spans="1:12" hidden="1" x14ac:dyDescent="0.3">
      <c r="A10394" t="s">
        <v>107</v>
      </c>
      <c r="B10394" t="s">
        <v>108</v>
      </c>
      <c r="C10394" t="s">
        <v>129</v>
      </c>
      <c r="D10394" t="s">
        <v>130</v>
      </c>
      <c r="E10394">
        <v>2017</v>
      </c>
      <c r="F10394" s="1">
        <v>77</v>
      </c>
      <c r="G10394">
        <v>2020</v>
      </c>
      <c r="H10394">
        <f>AVERAGEIFS(Table1[value],Table1[IndicatorCode],Table1[[#This Row],[IndicatorCode]])</f>
        <v>72.66514008620689</v>
      </c>
      <c r="I10394" cm="1">
        <f t="array" ref="I10394">_xlfn.STDEV.P(IF(Table1[IndicatorCode]=Table1[[#This Row],[IndicatorCode]],Table1[value]))</f>
        <v>6.3409496564024987</v>
      </c>
      <c r="J10394">
        <f>(Table1[[#This Row],[value]] - Table1[[#This Row],[mean]]) / Table1[[#This Row],[std_dev]]</f>
        <v>0.68362944806164383</v>
      </c>
      <c r="K10394">
        <f>AVERAGEIF(Table1[CountryCode],Table1[[#This Row],[CountryCode]],Table1[z-score])</f>
        <v>1.9919220601134553E-2</v>
      </c>
      <c r="L10394" t="e">
        <f>VLOOKUP(Table1[[#This Row],[CountryCode]],[1]!Table1[#All],1,FALSE)</f>
        <v>#REF!</v>
      </c>
    </row>
    <row r="10395" spans="1:12" hidden="1" x14ac:dyDescent="0.3">
      <c r="A10395" t="s">
        <v>107</v>
      </c>
      <c r="B10395" t="s">
        <v>108</v>
      </c>
      <c r="C10395" t="s">
        <v>129</v>
      </c>
      <c r="D10395" t="s">
        <v>130</v>
      </c>
      <c r="E10395">
        <v>2018</v>
      </c>
      <c r="F10395" s="1">
        <v>77</v>
      </c>
      <c r="G10395">
        <v>2020</v>
      </c>
      <c r="H10395">
        <f>AVERAGEIFS(Table1[value],Table1[IndicatorCode],Table1[[#This Row],[IndicatorCode]])</f>
        <v>72.66514008620689</v>
      </c>
      <c r="I10395" cm="1">
        <f t="array" ref="I10395">_xlfn.STDEV.P(IF(Table1[IndicatorCode]=Table1[[#This Row],[IndicatorCode]],Table1[value]))</f>
        <v>6.3409496564024987</v>
      </c>
      <c r="J10395">
        <f>(Table1[[#This Row],[value]] - Table1[[#This Row],[mean]]) / Table1[[#This Row],[std_dev]]</f>
        <v>0.68362944806164383</v>
      </c>
      <c r="K10395">
        <f>AVERAGEIF(Table1[CountryCode],Table1[[#This Row],[CountryCode]],Table1[z-score])</f>
        <v>1.9919220601134553E-2</v>
      </c>
      <c r="L10395" t="e">
        <f>VLOOKUP(Table1[[#This Row],[CountryCode]],[1]!Table1[#All],1,FALSE)</f>
        <v>#REF!</v>
      </c>
    </row>
    <row r="10396" spans="1:12" hidden="1" x14ac:dyDescent="0.3">
      <c r="A10396" t="s">
        <v>107</v>
      </c>
      <c r="B10396" t="s">
        <v>108</v>
      </c>
      <c r="C10396" t="s">
        <v>129</v>
      </c>
      <c r="D10396" t="s">
        <v>130</v>
      </c>
      <c r="E10396">
        <v>2019</v>
      </c>
      <c r="F10396" s="1">
        <v>78</v>
      </c>
      <c r="G10396">
        <v>2020</v>
      </c>
      <c r="H10396">
        <f>AVERAGEIFS(Table1[value],Table1[IndicatorCode],Table1[[#This Row],[IndicatorCode]])</f>
        <v>72.66514008620689</v>
      </c>
      <c r="I10396" cm="1">
        <f t="array" ref="I10396">_xlfn.STDEV.P(IF(Table1[IndicatorCode]=Table1[[#This Row],[IndicatorCode]],Table1[value]))</f>
        <v>6.3409496564024987</v>
      </c>
      <c r="J10396">
        <f>(Table1[[#This Row],[value]] - Table1[[#This Row],[mean]]) / Table1[[#This Row],[std_dev]]</f>
        <v>0.84133453234508293</v>
      </c>
      <c r="K10396">
        <f>AVERAGEIF(Table1[CountryCode],Table1[[#This Row],[CountryCode]],Table1[z-score])</f>
        <v>1.9919220601134553E-2</v>
      </c>
      <c r="L10396" t="e">
        <f>VLOOKUP(Table1[[#This Row],[CountryCode]],[1]!Table1[#All],1,FALSE)</f>
        <v>#REF!</v>
      </c>
    </row>
    <row r="10397" spans="1:12" x14ac:dyDescent="0.3">
      <c r="A10397" t="s">
        <v>107</v>
      </c>
      <c r="B10397" t="s">
        <v>108</v>
      </c>
      <c r="C10397" t="s">
        <v>129</v>
      </c>
      <c r="D10397" t="s">
        <v>130</v>
      </c>
      <c r="E10397">
        <v>2020</v>
      </c>
      <c r="F10397" s="1">
        <v>77</v>
      </c>
      <c r="G10397">
        <v>2020</v>
      </c>
      <c r="H10397">
        <f>AVERAGEIFS(Table1[value],Table1[IndicatorCode],Table1[[#This Row],[IndicatorCode]])</f>
        <v>72.66514008620689</v>
      </c>
      <c r="I10397" cm="1">
        <f t="array" ref="I10397">_xlfn.STDEV.P(IF(Table1[IndicatorCode]=Table1[[#This Row],[IndicatorCode]],Table1[value]))</f>
        <v>6.3409496564024987</v>
      </c>
      <c r="J10397">
        <f>(Table1[[#This Row],[value]] - Table1[[#This Row],[mean]]) / Table1[[#This Row],[std_dev]]</f>
        <v>0.68362944806164383</v>
      </c>
      <c r="K10397">
        <f>AVERAGEIF(Table1[CountryCode],Table1[[#This Row],[CountryCode]],Table1[z-score])</f>
        <v>1.9919220601134553E-2</v>
      </c>
    </row>
    <row r="10398" spans="1:12" hidden="1" x14ac:dyDescent="0.3">
      <c r="A10398" t="s">
        <v>107</v>
      </c>
      <c r="B10398" t="s">
        <v>108</v>
      </c>
      <c r="C10398" t="s">
        <v>129</v>
      </c>
      <c r="D10398" t="s">
        <v>130</v>
      </c>
      <c r="E10398">
        <v>2021</v>
      </c>
      <c r="F10398" s="1">
        <v>75</v>
      </c>
      <c r="G10398">
        <v>1960</v>
      </c>
      <c r="H10398">
        <f>AVERAGEIFS(Table1[value],Table1[IndicatorCode],Table1[[#This Row],[IndicatorCode]])</f>
        <v>72.66514008620689</v>
      </c>
      <c r="I10398" cm="1">
        <f t="array" ref="I10398">_xlfn.STDEV.P(IF(Table1[IndicatorCode]=Table1[[#This Row],[IndicatorCode]],Table1[value]))</f>
        <v>6.3409496564024987</v>
      </c>
      <c r="J10398">
        <f>(Table1[[#This Row],[value]] - Table1[[#This Row],[mean]]) / Table1[[#This Row],[std_dev]]</f>
        <v>0.36821927949476574</v>
      </c>
      <c r="K10398">
        <f>AVERAGEIF(Table1[CountryCode],Table1[[#This Row],[CountryCode]],Table1[z-score])</f>
        <v>1.9919220601134553E-2</v>
      </c>
      <c r="L10398" t="e">
        <f>VLOOKUP(Table1[[#This Row],[CountryCode]],[1]!Table1[#All],1,FALSE)</f>
        <v>#REF!</v>
      </c>
    </row>
    <row r="10399" spans="1:12" hidden="1" x14ac:dyDescent="0.3">
      <c r="A10399" t="s">
        <v>107</v>
      </c>
      <c r="B10399" t="s">
        <v>108</v>
      </c>
      <c r="C10399" t="s">
        <v>129</v>
      </c>
      <c r="D10399" t="s">
        <v>130</v>
      </c>
      <c r="E10399">
        <v>2022</v>
      </c>
      <c r="F10399" s="1">
        <v>77</v>
      </c>
      <c r="G10399">
        <v>1960</v>
      </c>
      <c r="H10399">
        <f>AVERAGEIFS(Table1[value],Table1[IndicatorCode],Table1[[#This Row],[IndicatorCode]])</f>
        <v>72.66514008620689</v>
      </c>
      <c r="I10399" cm="1">
        <f t="array" ref="I10399">_xlfn.STDEV.P(IF(Table1[IndicatorCode]=Table1[[#This Row],[IndicatorCode]],Table1[value]))</f>
        <v>6.3409496564024987</v>
      </c>
      <c r="J10399">
        <f>(Table1[[#This Row],[value]] - Table1[[#This Row],[mean]]) / Table1[[#This Row],[std_dev]]</f>
        <v>0.68362944806164383</v>
      </c>
      <c r="K10399">
        <f>AVERAGEIF(Table1[CountryCode],Table1[[#This Row],[CountryCode]],Table1[z-score])</f>
        <v>1.9919220601134553E-2</v>
      </c>
      <c r="L10399" t="e">
        <f>VLOOKUP(Table1[[#This Row],[CountryCode]],[1]!Table1[#All],1,FALSE)</f>
        <v>#REF!</v>
      </c>
    </row>
    <row r="10400" spans="1:12" hidden="1" x14ac:dyDescent="0.3">
      <c r="A10400" t="s">
        <v>107</v>
      </c>
      <c r="B10400" t="s">
        <v>108</v>
      </c>
      <c r="C10400" t="s">
        <v>129</v>
      </c>
      <c r="D10400" t="s">
        <v>130</v>
      </c>
      <c r="E10400">
        <v>2023</v>
      </c>
      <c r="F10400" s="1">
        <v>78</v>
      </c>
      <c r="G10400">
        <v>1960</v>
      </c>
      <c r="H10400">
        <f>AVERAGEIFS(Table1[value],Table1[IndicatorCode],Table1[[#This Row],[IndicatorCode]])</f>
        <v>72.66514008620689</v>
      </c>
      <c r="I10400" cm="1">
        <f t="array" ref="I10400">_xlfn.STDEV.P(IF(Table1[IndicatorCode]=Table1[[#This Row],[IndicatorCode]],Table1[value]))</f>
        <v>6.3409496564024987</v>
      </c>
      <c r="J10400">
        <f>(Table1[[#This Row],[value]] - Table1[[#This Row],[mean]]) / Table1[[#This Row],[std_dev]]</f>
        <v>0.84133453234508293</v>
      </c>
      <c r="K10400">
        <f>AVERAGEIF(Table1[CountryCode],Table1[[#This Row],[CountryCode]],Table1[z-score])</f>
        <v>1.9919220601134553E-2</v>
      </c>
      <c r="L10400" t="e">
        <f>VLOOKUP(Table1[[#This Row],[CountryCode]],[1]!Table1[#All],1,FALSE)</f>
        <v>#REF!</v>
      </c>
    </row>
    <row r="10401" spans="1:12" hidden="1" x14ac:dyDescent="0.3">
      <c r="A10401" t="s">
        <v>109</v>
      </c>
      <c r="B10401" t="s">
        <v>110</v>
      </c>
      <c r="C10401" t="s">
        <v>129</v>
      </c>
      <c r="D10401" t="s">
        <v>130</v>
      </c>
      <c r="E10401">
        <v>1960</v>
      </c>
      <c r="F10401" s="1">
        <v>69</v>
      </c>
      <c r="G10401">
        <v>1960</v>
      </c>
      <c r="H10401">
        <f>AVERAGEIFS(Table1[value],Table1[IndicatorCode],Table1[[#This Row],[IndicatorCode]])</f>
        <v>72.66514008620689</v>
      </c>
      <c r="I10401" cm="1">
        <f t="array" ref="I10401">_xlfn.STDEV.P(IF(Table1[IndicatorCode]=Table1[[#This Row],[IndicatorCode]],Table1[value]))</f>
        <v>6.3409496564024987</v>
      </c>
      <c r="J10401">
        <f>(Table1[[#This Row],[value]] - Table1[[#This Row],[mean]]) / Table1[[#This Row],[std_dev]]</f>
        <v>-0.57801122620586864</v>
      </c>
      <c r="K10401">
        <f>AVERAGEIF(Table1[CountryCode],Table1[[#This Row],[CountryCode]],Table1[z-score])</f>
        <v>5.4192965202863402E-2</v>
      </c>
      <c r="L10401" t="e">
        <f>VLOOKUP(Table1[[#This Row],[CountryCode]],[1]!Table1[#All],1,FALSE)</f>
        <v>#REF!</v>
      </c>
    </row>
    <row r="10402" spans="1:12" hidden="1" x14ac:dyDescent="0.3">
      <c r="A10402" t="s">
        <v>109</v>
      </c>
      <c r="B10402" t="s">
        <v>110</v>
      </c>
      <c r="C10402" t="s">
        <v>129</v>
      </c>
      <c r="D10402" t="s">
        <v>130</v>
      </c>
      <c r="E10402">
        <v>1961</v>
      </c>
      <c r="F10402" s="1">
        <v>69</v>
      </c>
      <c r="G10402">
        <v>1960</v>
      </c>
      <c r="H10402">
        <f>AVERAGEIFS(Table1[value],Table1[IndicatorCode],Table1[[#This Row],[IndicatorCode]])</f>
        <v>72.66514008620689</v>
      </c>
      <c r="I10402" cm="1">
        <f t="array" ref="I10402">_xlfn.STDEV.P(IF(Table1[IndicatorCode]=Table1[[#This Row],[IndicatorCode]],Table1[value]))</f>
        <v>6.3409496564024987</v>
      </c>
      <c r="J10402">
        <f>(Table1[[#This Row],[value]] - Table1[[#This Row],[mean]]) / Table1[[#This Row],[std_dev]]</f>
        <v>-0.57801122620586864</v>
      </c>
      <c r="K10402">
        <f>AVERAGEIF(Table1[CountryCode],Table1[[#This Row],[CountryCode]],Table1[z-score])</f>
        <v>5.4192965202863402E-2</v>
      </c>
      <c r="L10402" t="e">
        <f>VLOOKUP(Table1[[#This Row],[CountryCode]],[1]!Table1[#All],1,FALSE)</f>
        <v>#REF!</v>
      </c>
    </row>
    <row r="10403" spans="1:12" hidden="1" x14ac:dyDescent="0.3">
      <c r="A10403" t="s">
        <v>109</v>
      </c>
      <c r="B10403" t="s">
        <v>110</v>
      </c>
      <c r="C10403" t="s">
        <v>129</v>
      </c>
      <c r="D10403" t="s">
        <v>130</v>
      </c>
      <c r="E10403">
        <v>1962</v>
      </c>
      <c r="F10403" s="1">
        <v>69</v>
      </c>
      <c r="G10403">
        <v>1960</v>
      </c>
      <c r="H10403">
        <f>AVERAGEIFS(Table1[value],Table1[IndicatorCode],Table1[[#This Row],[IndicatorCode]])</f>
        <v>72.66514008620689</v>
      </c>
      <c r="I10403" cm="1">
        <f t="array" ref="I10403">_xlfn.STDEV.P(IF(Table1[IndicatorCode]=Table1[[#This Row],[IndicatorCode]],Table1[value]))</f>
        <v>6.3409496564024987</v>
      </c>
      <c r="J10403">
        <f>(Table1[[#This Row],[value]] - Table1[[#This Row],[mean]]) / Table1[[#This Row],[std_dev]]</f>
        <v>-0.57801122620586864</v>
      </c>
      <c r="K10403">
        <f>AVERAGEIF(Table1[CountryCode],Table1[[#This Row],[CountryCode]],Table1[z-score])</f>
        <v>5.4192965202863402E-2</v>
      </c>
      <c r="L10403" t="e">
        <f>VLOOKUP(Table1[[#This Row],[CountryCode]],[1]!Table1[#All],1,FALSE)</f>
        <v>#REF!</v>
      </c>
    </row>
    <row r="10404" spans="1:12" hidden="1" x14ac:dyDescent="0.3">
      <c r="A10404" t="s">
        <v>109</v>
      </c>
      <c r="B10404" t="s">
        <v>110</v>
      </c>
      <c r="C10404" t="s">
        <v>129</v>
      </c>
      <c r="D10404" t="s">
        <v>130</v>
      </c>
      <c r="E10404">
        <v>1963</v>
      </c>
      <c r="F10404" s="1">
        <v>69</v>
      </c>
      <c r="G10404">
        <v>1960</v>
      </c>
      <c r="H10404">
        <f>AVERAGEIFS(Table1[value],Table1[IndicatorCode],Table1[[#This Row],[IndicatorCode]])</f>
        <v>72.66514008620689</v>
      </c>
      <c r="I10404" cm="1">
        <f t="array" ref="I10404">_xlfn.STDEV.P(IF(Table1[IndicatorCode]=Table1[[#This Row],[IndicatorCode]],Table1[value]))</f>
        <v>6.3409496564024987</v>
      </c>
      <c r="J10404">
        <f>(Table1[[#This Row],[value]] - Table1[[#This Row],[mean]]) / Table1[[#This Row],[std_dev]]</f>
        <v>-0.57801122620586864</v>
      </c>
      <c r="K10404">
        <f>AVERAGEIF(Table1[CountryCode],Table1[[#This Row],[CountryCode]],Table1[z-score])</f>
        <v>5.4192965202863402E-2</v>
      </c>
      <c r="L10404" t="e">
        <f>VLOOKUP(Table1[[#This Row],[CountryCode]],[1]!Table1[#All],1,FALSE)</f>
        <v>#REF!</v>
      </c>
    </row>
    <row r="10405" spans="1:12" hidden="1" x14ac:dyDescent="0.3">
      <c r="A10405" t="s">
        <v>109</v>
      </c>
      <c r="B10405" t="s">
        <v>110</v>
      </c>
      <c r="C10405" t="s">
        <v>129</v>
      </c>
      <c r="D10405" t="s">
        <v>130</v>
      </c>
      <c r="E10405">
        <v>1964</v>
      </c>
      <c r="F10405" s="1">
        <v>69</v>
      </c>
      <c r="G10405">
        <v>1960</v>
      </c>
      <c r="H10405">
        <f>AVERAGEIFS(Table1[value],Table1[IndicatorCode],Table1[[#This Row],[IndicatorCode]])</f>
        <v>72.66514008620689</v>
      </c>
      <c r="I10405" cm="1">
        <f t="array" ref="I10405">_xlfn.STDEV.P(IF(Table1[IndicatorCode]=Table1[[#This Row],[IndicatorCode]],Table1[value]))</f>
        <v>6.3409496564024987</v>
      </c>
      <c r="J10405">
        <f>(Table1[[#This Row],[value]] - Table1[[#This Row],[mean]]) / Table1[[#This Row],[std_dev]]</f>
        <v>-0.57801122620586864</v>
      </c>
      <c r="K10405">
        <f>AVERAGEIF(Table1[CountryCode],Table1[[#This Row],[CountryCode]],Table1[z-score])</f>
        <v>5.4192965202863402E-2</v>
      </c>
      <c r="L10405" t="e">
        <f>VLOOKUP(Table1[[#This Row],[CountryCode]],[1]!Table1[#All],1,FALSE)</f>
        <v>#REF!</v>
      </c>
    </row>
    <row r="10406" spans="1:12" hidden="1" x14ac:dyDescent="0.3">
      <c r="A10406" t="s">
        <v>109</v>
      </c>
      <c r="B10406" t="s">
        <v>110</v>
      </c>
      <c r="C10406" t="s">
        <v>129</v>
      </c>
      <c r="D10406" t="s">
        <v>130</v>
      </c>
      <c r="E10406">
        <v>1965</v>
      </c>
      <c r="F10406" s="1">
        <v>68</v>
      </c>
      <c r="G10406">
        <v>1960</v>
      </c>
      <c r="H10406">
        <f>AVERAGEIFS(Table1[value],Table1[IndicatorCode],Table1[[#This Row],[IndicatorCode]])</f>
        <v>72.66514008620689</v>
      </c>
      <c r="I10406" cm="1">
        <f t="array" ref="I10406">_xlfn.STDEV.P(IF(Table1[IndicatorCode]=Table1[[#This Row],[IndicatorCode]],Table1[value]))</f>
        <v>6.3409496564024987</v>
      </c>
      <c r="J10406">
        <f>(Table1[[#This Row],[value]] - Table1[[#This Row],[mean]]) / Table1[[#This Row],[std_dev]]</f>
        <v>-0.73571631048930775</v>
      </c>
      <c r="K10406">
        <f>AVERAGEIF(Table1[CountryCode],Table1[[#This Row],[CountryCode]],Table1[z-score])</f>
        <v>5.4192965202863402E-2</v>
      </c>
      <c r="L10406" t="e">
        <f>VLOOKUP(Table1[[#This Row],[CountryCode]],[1]!Table1[#All],1,FALSE)</f>
        <v>#REF!</v>
      </c>
    </row>
    <row r="10407" spans="1:12" hidden="1" x14ac:dyDescent="0.3">
      <c r="A10407" t="s">
        <v>109</v>
      </c>
      <c r="B10407" t="s">
        <v>110</v>
      </c>
      <c r="C10407" t="s">
        <v>129</v>
      </c>
      <c r="D10407" t="s">
        <v>130</v>
      </c>
      <c r="E10407">
        <v>1966</v>
      </c>
      <c r="F10407" s="1">
        <v>69</v>
      </c>
      <c r="G10407">
        <v>1960</v>
      </c>
      <c r="H10407">
        <f>AVERAGEIFS(Table1[value],Table1[IndicatorCode],Table1[[#This Row],[IndicatorCode]])</f>
        <v>72.66514008620689</v>
      </c>
      <c r="I10407" cm="1">
        <f t="array" ref="I10407">_xlfn.STDEV.P(IF(Table1[IndicatorCode]=Table1[[#This Row],[IndicatorCode]],Table1[value]))</f>
        <v>6.3409496564024987</v>
      </c>
      <c r="J10407">
        <f>(Table1[[#This Row],[value]] - Table1[[#This Row],[mean]]) / Table1[[#This Row],[std_dev]]</f>
        <v>-0.57801122620586864</v>
      </c>
      <c r="K10407">
        <f>AVERAGEIF(Table1[CountryCode],Table1[[#This Row],[CountryCode]],Table1[z-score])</f>
        <v>5.4192965202863402E-2</v>
      </c>
      <c r="L10407" t="e">
        <f>VLOOKUP(Table1[[#This Row],[CountryCode]],[1]!Table1[#All],1,FALSE)</f>
        <v>#REF!</v>
      </c>
    </row>
    <row r="10408" spans="1:12" hidden="1" x14ac:dyDescent="0.3">
      <c r="A10408" t="s">
        <v>109</v>
      </c>
      <c r="B10408" t="s">
        <v>110</v>
      </c>
      <c r="C10408" t="s">
        <v>129</v>
      </c>
      <c r="D10408" t="s">
        <v>130</v>
      </c>
      <c r="E10408">
        <v>1967</v>
      </c>
      <c r="F10408" s="1">
        <v>69</v>
      </c>
      <c r="G10408">
        <v>1970</v>
      </c>
      <c r="H10408">
        <f>AVERAGEIFS(Table1[value],Table1[IndicatorCode],Table1[[#This Row],[IndicatorCode]])</f>
        <v>72.66514008620689</v>
      </c>
      <c r="I10408" cm="1">
        <f t="array" ref="I10408">_xlfn.STDEV.P(IF(Table1[IndicatorCode]=Table1[[#This Row],[IndicatorCode]],Table1[value]))</f>
        <v>6.3409496564024987</v>
      </c>
      <c r="J10408">
        <f>(Table1[[#This Row],[value]] - Table1[[#This Row],[mean]]) / Table1[[#This Row],[std_dev]]</f>
        <v>-0.57801122620586864</v>
      </c>
      <c r="K10408">
        <f>AVERAGEIF(Table1[CountryCode],Table1[[#This Row],[CountryCode]],Table1[z-score])</f>
        <v>5.4192965202863402E-2</v>
      </c>
      <c r="L10408" t="e">
        <f>VLOOKUP(Table1[[#This Row],[CountryCode]],[1]!Table1[#All],1,FALSE)</f>
        <v>#REF!</v>
      </c>
    </row>
    <row r="10409" spans="1:12" hidden="1" x14ac:dyDescent="0.3">
      <c r="A10409" t="s">
        <v>109</v>
      </c>
      <c r="B10409" t="s">
        <v>110</v>
      </c>
      <c r="C10409" t="s">
        <v>129</v>
      </c>
      <c r="D10409" t="s">
        <v>130</v>
      </c>
      <c r="E10409">
        <v>1968</v>
      </c>
      <c r="F10409" s="1">
        <v>69</v>
      </c>
      <c r="G10409">
        <v>1970</v>
      </c>
      <c r="H10409">
        <f>AVERAGEIFS(Table1[value],Table1[IndicatorCode],Table1[[#This Row],[IndicatorCode]])</f>
        <v>72.66514008620689</v>
      </c>
      <c r="I10409" cm="1">
        <f t="array" ref="I10409">_xlfn.STDEV.P(IF(Table1[IndicatorCode]=Table1[[#This Row],[IndicatorCode]],Table1[value]))</f>
        <v>6.3409496564024987</v>
      </c>
      <c r="J10409">
        <f>(Table1[[#This Row],[value]] - Table1[[#This Row],[mean]]) / Table1[[#This Row],[std_dev]]</f>
        <v>-0.57801122620586864</v>
      </c>
      <c r="K10409">
        <f>AVERAGEIF(Table1[CountryCode],Table1[[#This Row],[CountryCode]],Table1[z-score])</f>
        <v>5.4192965202863402E-2</v>
      </c>
      <c r="L10409" t="e">
        <f>VLOOKUP(Table1[[#This Row],[CountryCode]],[1]!Table1[#All],1,FALSE)</f>
        <v>#REF!</v>
      </c>
    </row>
    <row r="10410" spans="1:12" hidden="1" x14ac:dyDescent="0.3">
      <c r="A10410" t="s">
        <v>109</v>
      </c>
      <c r="B10410" t="s">
        <v>110</v>
      </c>
      <c r="C10410" t="s">
        <v>129</v>
      </c>
      <c r="D10410" t="s">
        <v>130</v>
      </c>
      <c r="E10410">
        <v>1969</v>
      </c>
      <c r="F10410" s="1">
        <v>68</v>
      </c>
      <c r="G10410">
        <v>1970</v>
      </c>
      <c r="H10410">
        <f>AVERAGEIFS(Table1[value],Table1[IndicatorCode],Table1[[#This Row],[IndicatorCode]])</f>
        <v>72.66514008620689</v>
      </c>
      <c r="I10410" cm="1">
        <f t="array" ref="I10410">_xlfn.STDEV.P(IF(Table1[IndicatorCode]=Table1[[#This Row],[IndicatorCode]],Table1[value]))</f>
        <v>6.3409496564024987</v>
      </c>
      <c r="J10410">
        <f>(Table1[[#This Row],[value]] - Table1[[#This Row],[mean]]) / Table1[[#This Row],[std_dev]]</f>
        <v>-0.73571631048930775</v>
      </c>
      <c r="K10410">
        <f>AVERAGEIF(Table1[CountryCode],Table1[[#This Row],[CountryCode]],Table1[z-score])</f>
        <v>5.4192965202863402E-2</v>
      </c>
      <c r="L10410" t="e">
        <f>VLOOKUP(Table1[[#This Row],[CountryCode]],[1]!Table1[#All],1,FALSE)</f>
        <v>#REF!</v>
      </c>
    </row>
    <row r="10411" spans="1:12" hidden="1" x14ac:dyDescent="0.3">
      <c r="A10411" t="s">
        <v>109</v>
      </c>
      <c r="B10411" t="s">
        <v>110</v>
      </c>
      <c r="C10411" t="s">
        <v>129</v>
      </c>
      <c r="D10411" t="s">
        <v>130</v>
      </c>
      <c r="E10411">
        <v>1970</v>
      </c>
      <c r="F10411" s="1">
        <v>69</v>
      </c>
      <c r="G10411">
        <v>1970</v>
      </c>
      <c r="H10411">
        <f>AVERAGEIFS(Table1[value],Table1[IndicatorCode],Table1[[#This Row],[IndicatorCode]])</f>
        <v>72.66514008620689</v>
      </c>
      <c r="I10411" cm="1">
        <f t="array" ref="I10411">_xlfn.STDEV.P(IF(Table1[IndicatorCode]=Table1[[#This Row],[IndicatorCode]],Table1[value]))</f>
        <v>6.3409496564024987</v>
      </c>
      <c r="J10411">
        <f>(Table1[[#This Row],[value]] - Table1[[#This Row],[mean]]) / Table1[[#This Row],[std_dev]]</f>
        <v>-0.57801122620586864</v>
      </c>
      <c r="K10411">
        <f>AVERAGEIF(Table1[CountryCode],Table1[[#This Row],[CountryCode]],Table1[z-score])</f>
        <v>5.4192965202863402E-2</v>
      </c>
      <c r="L10411" t="e">
        <f>VLOOKUP(Table1[[#This Row],[CountryCode]],[1]!Table1[#All],1,FALSE)</f>
        <v>#REF!</v>
      </c>
    </row>
    <row r="10412" spans="1:12" hidden="1" x14ac:dyDescent="0.3">
      <c r="A10412" t="s">
        <v>109</v>
      </c>
      <c r="B10412" t="s">
        <v>110</v>
      </c>
      <c r="C10412" t="s">
        <v>129</v>
      </c>
      <c r="D10412" t="s">
        <v>130</v>
      </c>
      <c r="E10412">
        <v>1971</v>
      </c>
      <c r="F10412" s="1">
        <v>69</v>
      </c>
      <c r="G10412">
        <v>1970</v>
      </c>
      <c r="H10412">
        <f>AVERAGEIFS(Table1[value],Table1[IndicatorCode],Table1[[#This Row],[IndicatorCode]])</f>
        <v>72.66514008620689</v>
      </c>
      <c r="I10412" cm="1">
        <f t="array" ref="I10412">_xlfn.STDEV.P(IF(Table1[IndicatorCode]=Table1[[#This Row],[IndicatorCode]],Table1[value]))</f>
        <v>6.3409496564024987</v>
      </c>
      <c r="J10412">
        <f>(Table1[[#This Row],[value]] - Table1[[#This Row],[mean]]) / Table1[[#This Row],[std_dev]]</f>
        <v>-0.57801122620586864</v>
      </c>
      <c r="K10412">
        <f>AVERAGEIF(Table1[CountryCode],Table1[[#This Row],[CountryCode]],Table1[z-score])</f>
        <v>5.4192965202863402E-2</v>
      </c>
      <c r="L10412" t="e">
        <f>VLOOKUP(Table1[[#This Row],[CountryCode]],[1]!Table1[#All],1,FALSE)</f>
        <v>#REF!</v>
      </c>
    </row>
    <row r="10413" spans="1:12" hidden="1" x14ac:dyDescent="0.3">
      <c r="A10413" t="s">
        <v>109</v>
      </c>
      <c r="B10413" t="s">
        <v>110</v>
      </c>
      <c r="C10413" t="s">
        <v>129</v>
      </c>
      <c r="D10413" t="s">
        <v>130</v>
      </c>
      <c r="E10413">
        <v>1972</v>
      </c>
      <c r="F10413" s="1">
        <v>69</v>
      </c>
      <c r="G10413">
        <v>1970</v>
      </c>
      <c r="H10413">
        <f>AVERAGEIFS(Table1[value],Table1[IndicatorCode],Table1[[#This Row],[IndicatorCode]])</f>
        <v>72.66514008620689</v>
      </c>
      <c r="I10413" cm="1">
        <f t="array" ref="I10413">_xlfn.STDEV.P(IF(Table1[IndicatorCode]=Table1[[#This Row],[IndicatorCode]],Table1[value]))</f>
        <v>6.3409496564024987</v>
      </c>
      <c r="J10413">
        <f>(Table1[[#This Row],[value]] - Table1[[#This Row],[mean]]) / Table1[[#This Row],[std_dev]]</f>
        <v>-0.57801122620586864</v>
      </c>
      <c r="K10413">
        <f>AVERAGEIF(Table1[CountryCode],Table1[[#This Row],[CountryCode]],Table1[z-score])</f>
        <v>5.4192965202863402E-2</v>
      </c>
      <c r="L10413" t="e">
        <f>VLOOKUP(Table1[[#This Row],[CountryCode]],[1]!Table1[#All],1,FALSE)</f>
        <v>#REF!</v>
      </c>
    </row>
    <row r="10414" spans="1:12" hidden="1" x14ac:dyDescent="0.3">
      <c r="A10414" t="s">
        <v>109</v>
      </c>
      <c r="B10414" t="s">
        <v>110</v>
      </c>
      <c r="C10414" t="s">
        <v>129</v>
      </c>
      <c r="D10414" t="s">
        <v>130</v>
      </c>
      <c r="E10414">
        <v>1973</v>
      </c>
      <c r="F10414" s="1">
        <v>69</v>
      </c>
      <c r="G10414">
        <v>1970</v>
      </c>
      <c r="H10414">
        <f>AVERAGEIFS(Table1[value],Table1[IndicatorCode],Table1[[#This Row],[IndicatorCode]])</f>
        <v>72.66514008620689</v>
      </c>
      <c r="I10414" cm="1">
        <f t="array" ref="I10414">_xlfn.STDEV.P(IF(Table1[IndicatorCode]=Table1[[#This Row],[IndicatorCode]],Table1[value]))</f>
        <v>6.3409496564024987</v>
      </c>
      <c r="J10414">
        <f>(Table1[[#This Row],[value]] - Table1[[#This Row],[mean]]) / Table1[[#This Row],[std_dev]]</f>
        <v>-0.57801122620586864</v>
      </c>
      <c r="K10414">
        <f>AVERAGEIF(Table1[CountryCode],Table1[[#This Row],[CountryCode]],Table1[z-score])</f>
        <v>5.4192965202863402E-2</v>
      </c>
      <c r="L10414" t="e">
        <f>VLOOKUP(Table1[[#This Row],[CountryCode]],[1]!Table1[#All],1,FALSE)</f>
        <v>#REF!</v>
      </c>
    </row>
    <row r="10415" spans="1:12" hidden="1" x14ac:dyDescent="0.3">
      <c r="A10415" t="s">
        <v>109</v>
      </c>
      <c r="B10415" t="s">
        <v>110</v>
      </c>
      <c r="C10415" t="s">
        <v>129</v>
      </c>
      <c r="D10415" t="s">
        <v>130</v>
      </c>
      <c r="E10415">
        <v>1974</v>
      </c>
      <c r="F10415" s="1">
        <v>70</v>
      </c>
      <c r="G10415">
        <v>1970</v>
      </c>
      <c r="H10415">
        <f>AVERAGEIFS(Table1[value],Table1[IndicatorCode],Table1[[#This Row],[IndicatorCode]])</f>
        <v>72.66514008620689</v>
      </c>
      <c r="I10415" cm="1">
        <f t="array" ref="I10415">_xlfn.STDEV.P(IF(Table1[IndicatorCode]=Table1[[#This Row],[IndicatorCode]],Table1[value]))</f>
        <v>6.3409496564024987</v>
      </c>
      <c r="J10415">
        <f>(Table1[[#This Row],[value]] - Table1[[#This Row],[mean]]) / Table1[[#This Row],[std_dev]]</f>
        <v>-0.4203061419224296</v>
      </c>
      <c r="K10415">
        <f>AVERAGEIF(Table1[CountryCode],Table1[[#This Row],[CountryCode]],Table1[z-score])</f>
        <v>5.4192965202863402E-2</v>
      </c>
      <c r="L10415" t="e">
        <f>VLOOKUP(Table1[[#This Row],[CountryCode]],[1]!Table1[#All],1,FALSE)</f>
        <v>#REF!</v>
      </c>
    </row>
    <row r="10416" spans="1:12" hidden="1" x14ac:dyDescent="0.3">
      <c r="A10416" t="s">
        <v>109</v>
      </c>
      <c r="B10416" t="s">
        <v>110</v>
      </c>
      <c r="C10416" t="s">
        <v>129</v>
      </c>
      <c r="D10416" t="s">
        <v>130</v>
      </c>
      <c r="E10416">
        <v>1975</v>
      </c>
      <c r="F10416" s="1">
        <v>70</v>
      </c>
      <c r="G10416">
        <v>1970</v>
      </c>
      <c r="H10416">
        <f>AVERAGEIFS(Table1[value],Table1[IndicatorCode],Table1[[#This Row],[IndicatorCode]])</f>
        <v>72.66514008620689</v>
      </c>
      <c r="I10416" cm="1">
        <f t="array" ref="I10416">_xlfn.STDEV.P(IF(Table1[IndicatorCode]=Table1[[#This Row],[IndicatorCode]],Table1[value]))</f>
        <v>6.3409496564024987</v>
      </c>
      <c r="J10416">
        <f>(Table1[[#This Row],[value]] - Table1[[#This Row],[mean]]) / Table1[[#This Row],[std_dev]]</f>
        <v>-0.4203061419224296</v>
      </c>
      <c r="K10416">
        <f>AVERAGEIF(Table1[CountryCode],Table1[[#This Row],[CountryCode]],Table1[z-score])</f>
        <v>5.4192965202863402E-2</v>
      </c>
      <c r="L10416" t="e">
        <f>VLOOKUP(Table1[[#This Row],[CountryCode]],[1]!Table1[#All],1,FALSE)</f>
        <v>#REF!</v>
      </c>
    </row>
    <row r="10417" spans="1:12" hidden="1" x14ac:dyDescent="0.3">
      <c r="A10417" t="s">
        <v>109</v>
      </c>
      <c r="B10417" t="s">
        <v>110</v>
      </c>
      <c r="C10417" t="s">
        <v>129</v>
      </c>
      <c r="D10417" t="s">
        <v>130</v>
      </c>
      <c r="E10417">
        <v>1976</v>
      </c>
      <c r="F10417" s="1">
        <v>70</v>
      </c>
      <c r="G10417">
        <v>1970</v>
      </c>
      <c r="H10417">
        <f>AVERAGEIFS(Table1[value],Table1[IndicatorCode],Table1[[#This Row],[IndicatorCode]])</f>
        <v>72.66514008620689</v>
      </c>
      <c r="I10417" cm="1">
        <f t="array" ref="I10417">_xlfn.STDEV.P(IF(Table1[IndicatorCode]=Table1[[#This Row],[IndicatorCode]],Table1[value]))</f>
        <v>6.3409496564024987</v>
      </c>
      <c r="J10417">
        <f>(Table1[[#This Row],[value]] - Table1[[#This Row],[mean]]) / Table1[[#This Row],[std_dev]]</f>
        <v>-0.4203061419224296</v>
      </c>
      <c r="K10417">
        <f>AVERAGEIF(Table1[CountryCode],Table1[[#This Row],[CountryCode]],Table1[z-score])</f>
        <v>5.4192965202863402E-2</v>
      </c>
      <c r="L10417" t="e">
        <f>VLOOKUP(Table1[[#This Row],[CountryCode]],[1]!Table1[#All],1,FALSE)</f>
        <v>#REF!</v>
      </c>
    </row>
    <row r="10418" spans="1:12" hidden="1" x14ac:dyDescent="0.3">
      <c r="A10418" t="s">
        <v>109</v>
      </c>
      <c r="B10418" t="s">
        <v>110</v>
      </c>
      <c r="C10418" t="s">
        <v>129</v>
      </c>
      <c r="D10418" t="s">
        <v>130</v>
      </c>
      <c r="E10418">
        <v>1977</v>
      </c>
      <c r="F10418" s="1">
        <v>71</v>
      </c>
      <c r="G10418">
        <v>1980</v>
      </c>
      <c r="H10418">
        <f>AVERAGEIFS(Table1[value],Table1[IndicatorCode],Table1[[#This Row],[IndicatorCode]])</f>
        <v>72.66514008620689</v>
      </c>
      <c r="I10418" cm="1">
        <f t="array" ref="I10418">_xlfn.STDEV.P(IF(Table1[IndicatorCode]=Table1[[#This Row],[IndicatorCode]],Table1[value]))</f>
        <v>6.3409496564024987</v>
      </c>
      <c r="J10418">
        <f>(Table1[[#This Row],[value]] - Table1[[#This Row],[mean]]) / Table1[[#This Row],[std_dev]]</f>
        <v>-0.2626010576389905</v>
      </c>
      <c r="K10418">
        <f>AVERAGEIF(Table1[CountryCode],Table1[[#This Row],[CountryCode]],Table1[z-score])</f>
        <v>5.4192965202863402E-2</v>
      </c>
      <c r="L10418" t="e">
        <f>VLOOKUP(Table1[[#This Row],[CountryCode]],[1]!Table1[#All],1,FALSE)</f>
        <v>#REF!</v>
      </c>
    </row>
    <row r="10419" spans="1:12" hidden="1" x14ac:dyDescent="0.3">
      <c r="A10419" t="s">
        <v>109</v>
      </c>
      <c r="B10419" t="s">
        <v>110</v>
      </c>
      <c r="C10419" t="s">
        <v>129</v>
      </c>
      <c r="D10419" t="s">
        <v>130</v>
      </c>
      <c r="E10419">
        <v>1978</v>
      </c>
      <c r="F10419" s="1">
        <v>71</v>
      </c>
      <c r="G10419">
        <v>1980</v>
      </c>
      <c r="H10419">
        <f>AVERAGEIFS(Table1[value],Table1[IndicatorCode],Table1[[#This Row],[IndicatorCode]])</f>
        <v>72.66514008620689</v>
      </c>
      <c r="I10419" cm="1">
        <f t="array" ref="I10419">_xlfn.STDEV.P(IF(Table1[IndicatorCode]=Table1[[#This Row],[IndicatorCode]],Table1[value]))</f>
        <v>6.3409496564024987</v>
      </c>
      <c r="J10419">
        <f>(Table1[[#This Row],[value]] - Table1[[#This Row],[mean]]) / Table1[[#This Row],[std_dev]]</f>
        <v>-0.2626010576389905</v>
      </c>
      <c r="K10419">
        <f>AVERAGEIF(Table1[CountryCode],Table1[[#This Row],[CountryCode]],Table1[z-score])</f>
        <v>5.4192965202863402E-2</v>
      </c>
      <c r="L10419" t="e">
        <f>VLOOKUP(Table1[[#This Row],[CountryCode]],[1]!Table1[#All],1,FALSE)</f>
        <v>#REF!</v>
      </c>
    </row>
    <row r="10420" spans="1:12" hidden="1" x14ac:dyDescent="0.3">
      <c r="A10420" t="s">
        <v>109</v>
      </c>
      <c r="B10420" t="s">
        <v>110</v>
      </c>
      <c r="C10420" t="s">
        <v>129</v>
      </c>
      <c r="D10420" t="s">
        <v>130</v>
      </c>
      <c r="E10420">
        <v>1979</v>
      </c>
      <c r="F10420" s="1">
        <v>71</v>
      </c>
      <c r="G10420">
        <v>1980</v>
      </c>
      <c r="H10420">
        <f>AVERAGEIFS(Table1[value],Table1[IndicatorCode],Table1[[#This Row],[IndicatorCode]])</f>
        <v>72.66514008620689</v>
      </c>
      <c r="I10420" cm="1">
        <f t="array" ref="I10420">_xlfn.STDEV.P(IF(Table1[IndicatorCode]=Table1[[#This Row],[IndicatorCode]],Table1[value]))</f>
        <v>6.3409496564024987</v>
      </c>
      <c r="J10420">
        <f>(Table1[[#This Row],[value]] - Table1[[#This Row],[mean]]) / Table1[[#This Row],[std_dev]]</f>
        <v>-0.2626010576389905</v>
      </c>
      <c r="K10420">
        <f>AVERAGEIF(Table1[CountryCode],Table1[[#This Row],[CountryCode]],Table1[z-score])</f>
        <v>5.4192965202863402E-2</v>
      </c>
      <c r="L10420" t="e">
        <f>VLOOKUP(Table1[[#This Row],[CountryCode]],[1]!Table1[#All],1,FALSE)</f>
        <v>#REF!</v>
      </c>
    </row>
    <row r="10421" spans="1:12" hidden="1" x14ac:dyDescent="0.3">
      <c r="A10421" t="s">
        <v>109</v>
      </c>
      <c r="B10421" t="s">
        <v>110</v>
      </c>
      <c r="C10421" t="s">
        <v>129</v>
      </c>
      <c r="D10421" t="s">
        <v>130</v>
      </c>
      <c r="E10421">
        <v>1980</v>
      </c>
      <c r="F10421" s="1">
        <v>71</v>
      </c>
      <c r="G10421">
        <v>1980</v>
      </c>
      <c r="H10421">
        <f>AVERAGEIFS(Table1[value],Table1[IndicatorCode],Table1[[#This Row],[IndicatorCode]])</f>
        <v>72.66514008620689</v>
      </c>
      <c r="I10421" cm="1">
        <f t="array" ref="I10421">_xlfn.STDEV.P(IF(Table1[IndicatorCode]=Table1[[#This Row],[IndicatorCode]],Table1[value]))</f>
        <v>6.3409496564024987</v>
      </c>
      <c r="J10421">
        <f>(Table1[[#This Row],[value]] - Table1[[#This Row],[mean]]) / Table1[[#This Row],[std_dev]]</f>
        <v>-0.2626010576389905</v>
      </c>
      <c r="K10421">
        <f>AVERAGEIF(Table1[CountryCode],Table1[[#This Row],[CountryCode]],Table1[z-score])</f>
        <v>5.4192965202863402E-2</v>
      </c>
      <c r="L10421" t="e">
        <f>VLOOKUP(Table1[[#This Row],[CountryCode]],[1]!Table1[#All],1,FALSE)</f>
        <v>#REF!</v>
      </c>
    </row>
    <row r="10422" spans="1:12" hidden="1" x14ac:dyDescent="0.3">
      <c r="A10422" t="s">
        <v>109</v>
      </c>
      <c r="B10422" t="s">
        <v>110</v>
      </c>
      <c r="C10422" t="s">
        <v>129</v>
      </c>
      <c r="D10422" t="s">
        <v>130</v>
      </c>
      <c r="E10422">
        <v>1981</v>
      </c>
      <c r="F10422" s="1">
        <v>71</v>
      </c>
      <c r="G10422">
        <v>1980</v>
      </c>
      <c r="H10422">
        <f>AVERAGEIFS(Table1[value],Table1[IndicatorCode],Table1[[#This Row],[IndicatorCode]])</f>
        <v>72.66514008620689</v>
      </c>
      <c r="I10422" cm="1">
        <f t="array" ref="I10422">_xlfn.STDEV.P(IF(Table1[IndicatorCode]=Table1[[#This Row],[IndicatorCode]],Table1[value]))</f>
        <v>6.3409496564024987</v>
      </c>
      <c r="J10422">
        <f>(Table1[[#This Row],[value]] - Table1[[#This Row],[mean]]) / Table1[[#This Row],[std_dev]]</f>
        <v>-0.2626010576389905</v>
      </c>
      <c r="K10422">
        <f>AVERAGEIF(Table1[CountryCode],Table1[[#This Row],[CountryCode]],Table1[z-score])</f>
        <v>5.4192965202863402E-2</v>
      </c>
      <c r="L10422" t="e">
        <f>VLOOKUP(Table1[[#This Row],[CountryCode]],[1]!Table1[#All],1,FALSE)</f>
        <v>#REF!</v>
      </c>
    </row>
    <row r="10423" spans="1:12" hidden="1" x14ac:dyDescent="0.3">
      <c r="A10423" t="s">
        <v>109</v>
      </c>
      <c r="B10423" t="s">
        <v>110</v>
      </c>
      <c r="C10423" t="s">
        <v>129</v>
      </c>
      <c r="D10423" t="s">
        <v>130</v>
      </c>
      <c r="E10423">
        <v>1982</v>
      </c>
      <c r="F10423" s="1">
        <v>71</v>
      </c>
      <c r="G10423">
        <v>1980</v>
      </c>
      <c r="H10423">
        <f>AVERAGEIFS(Table1[value],Table1[IndicatorCode],Table1[[#This Row],[IndicatorCode]])</f>
        <v>72.66514008620689</v>
      </c>
      <c r="I10423" cm="1">
        <f t="array" ref="I10423">_xlfn.STDEV.P(IF(Table1[IndicatorCode]=Table1[[#This Row],[IndicatorCode]],Table1[value]))</f>
        <v>6.3409496564024987</v>
      </c>
      <c r="J10423">
        <f>(Table1[[#This Row],[value]] - Table1[[#This Row],[mean]]) / Table1[[#This Row],[std_dev]]</f>
        <v>-0.2626010576389905</v>
      </c>
      <c r="K10423">
        <f>AVERAGEIF(Table1[CountryCode],Table1[[#This Row],[CountryCode]],Table1[z-score])</f>
        <v>5.4192965202863402E-2</v>
      </c>
      <c r="L10423" t="e">
        <f>VLOOKUP(Table1[[#This Row],[CountryCode]],[1]!Table1[#All],1,FALSE)</f>
        <v>#REF!</v>
      </c>
    </row>
    <row r="10424" spans="1:12" hidden="1" x14ac:dyDescent="0.3">
      <c r="A10424" t="s">
        <v>109</v>
      </c>
      <c r="B10424" t="s">
        <v>110</v>
      </c>
      <c r="C10424" t="s">
        <v>129</v>
      </c>
      <c r="D10424" t="s">
        <v>130</v>
      </c>
      <c r="E10424">
        <v>1983</v>
      </c>
      <c r="F10424" s="1">
        <v>71</v>
      </c>
      <c r="G10424">
        <v>1980</v>
      </c>
      <c r="H10424">
        <f>AVERAGEIFS(Table1[value],Table1[IndicatorCode],Table1[[#This Row],[IndicatorCode]])</f>
        <v>72.66514008620689</v>
      </c>
      <c r="I10424" cm="1">
        <f t="array" ref="I10424">_xlfn.STDEV.P(IF(Table1[IndicatorCode]=Table1[[#This Row],[IndicatorCode]],Table1[value]))</f>
        <v>6.3409496564024987</v>
      </c>
      <c r="J10424">
        <f>(Table1[[#This Row],[value]] - Table1[[#This Row],[mean]]) / Table1[[#This Row],[std_dev]]</f>
        <v>-0.2626010576389905</v>
      </c>
      <c r="K10424">
        <f>AVERAGEIF(Table1[CountryCode],Table1[[#This Row],[CountryCode]],Table1[z-score])</f>
        <v>5.4192965202863402E-2</v>
      </c>
      <c r="L10424" t="e">
        <f>VLOOKUP(Table1[[#This Row],[CountryCode]],[1]!Table1[#All],1,FALSE)</f>
        <v>#REF!</v>
      </c>
    </row>
    <row r="10425" spans="1:12" hidden="1" x14ac:dyDescent="0.3">
      <c r="A10425" t="s">
        <v>109</v>
      </c>
      <c r="B10425" t="s">
        <v>110</v>
      </c>
      <c r="C10425" t="s">
        <v>129</v>
      </c>
      <c r="D10425" t="s">
        <v>130</v>
      </c>
      <c r="E10425">
        <v>1984</v>
      </c>
      <c r="F10425" s="1">
        <v>71</v>
      </c>
      <c r="G10425">
        <v>1980</v>
      </c>
      <c r="H10425">
        <f>AVERAGEIFS(Table1[value],Table1[IndicatorCode],Table1[[#This Row],[IndicatorCode]])</f>
        <v>72.66514008620689</v>
      </c>
      <c r="I10425" cm="1">
        <f t="array" ref="I10425">_xlfn.STDEV.P(IF(Table1[IndicatorCode]=Table1[[#This Row],[IndicatorCode]],Table1[value]))</f>
        <v>6.3409496564024987</v>
      </c>
      <c r="J10425">
        <f>(Table1[[#This Row],[value]] - Table1[[#This Row],[mean]]) / Table1[[#This Row],[std_dev]]</f>
        <v>-0.2626010576389905</v>
      </c>
      <c r="K10425">
        <f>AVERAGEIF(Table1[CountryCode],Table1[[#This Row],[CountryCode]],Table1[z-score])</f>
        <v>5.4192965202863402E-2</v>
      </c>
      <c r="L10425" t="e">
        <f>VLOOKUP(Table1[[#This Row],[CountryCode]],[1]!Table1[#All],1,FALSE)</f>
        <v>#REF!</v>
      </c>
    </row>
    <row r="10426" spans="1:12" hidden="1" x14ac:dyDescent="0.3">
      <c r="A10426" t="s">
        <v>109</v>
      </c>
      <c r="B10426" t="s">
        <v>110</v>
      </c>
      <c r="C10426" t="s">
        <v>129</v>
      </c>
      <c r="D10426" t="s">
        <v>130</v>
      </c>
      <c r="E10426">
        <v>1985</v>
      </c>
      <c r="F10426" s="1">
        <v>71</v>
      </c>
      <c r="G10426">
        <v>1980</v>
      </c>
      <c r="H10426">
        <f>AVERAGEIFS(Table1[value],Table1[IndicatorCode],Table1[[#This Row],[IndicatorCode]])</f>
        <v>72.66514008620689</v>
      </c>
      <c r="I10426" cm="1">
        <f t="array" ref="I10426">_xlfn.STDEV.P(IF(Table1[IndicatorCode]=Table1[[#This Row],[IndicatorCode]],Table1[value]))</f>
        <v>6.3409496564024987</v>
      </c>
      <c r="J10426">
        <f>(Table1[[#This Row],[value]] - Table1[[#This Row],[mean]]) / Table1[[#This Row],[std_dev]]</f>
        <v>-0.2626010576389905</v>
      </c>
      <c r="K10426">
        <f>AVERAGEIF(Table1[CountryCode],Table1[[#This Row],[CountryCode]],Table1[z-score])</f>
        <v>5.4192965202863402E-2</v>
      </c>
      <c r="L10426" t="e">
        <f>VLOOKUP(Table1[[#This Row],[CountryCode]],[1]!Table1[#All],1,FALSE)</f>
        <v>#REF!</v>
      </c>
    </row>
    <row r="10427" spans="1:12" hidden="1" x14ac:dyDescent="0.3">
      <c r="A10427" t="s">
        <v>109</v>
      </c>
      <c r="B10427" t="s">
        <v>110</v>
      </c>
      <c r="C10427" t="s">
        <v>129</v>
      </c>
      <c r="D10427" t="s">
        <v>130</v>
      </c>
      <c r="E10427">
        <v>1986</v>
      </c>
      <c r="F10427" s="1">
        <v>72</v>
      </c>
      <c r="G10427">
        <v>1980</v>
      </c>
      <c r="H10427">
        <f>AVERAGEIFS(Table1[value],Table1[IndicatorCode],Table1[[#This Row],[IndicatorCode]])</f>
        <v>72.66514008620689</v>
      </c>
      <c r="I10427" cm="1">
        <f t="array" ref="I10427">_xlfn.STDEV.P(IF(Table1[IndicatorCode]=Table1[[#This Row],[IndicatorCode]],Table1[value]))</f>
        <v>6.3409496564024987</v>
      </c>
      <c r="J10427">
        <f>(Table1[[#This Row],[value]] - Table1[[#This Row],[mean]]) / Table1[[#This Row],[std_dev]]</f>
        <v>-0.10489597335555145</v>
      </c>
      <c r="K10427">
        <f>AVERAGEIF(Table1[CountryCode],Table1[[#This Row],[CountryCode]],Table1[z-score])</f>
        <v>5.4192965202863402E-2</v>
      </c>
      <c r="L10427" t="e">
        <f>VLOOKUP(Table1[[#This Row],[CountryCode]],[1]!Table1[#All],1,FALSE)</f>
        <v>#REF!</v>
      </c>
    </row>
    <row r="10428" spans="1:12" hidden="1" x14ac:dyDescent="0.3">
      <c r="A10428" t="s">
        <v>109</v>
      </c>
      <c r="B10428" t="s">
        <v>110</v>
      </c>
      <c r="C10428" t="s">
        <v>129</v>
      </c>
      <c r="D10428" t="s">
        <v>130</v>
      </c>
      <c r="E10428">
        <v>1987</v>
      </c>
      <c r="F10428" s="1">
        <v>72</v>
      </c>
      <c r="G10428">
        <v>1990</v>
      </c>
      <c r="H10428">
        <f>AVERAGEIFS(Table1[value],Table1[IndicatorCode],Table1[[#This Row],[IndicatorCode]])</f>
        <v>72.66514008620689</v>
      </c>
      <c r="I10428" cm="1">
        <f t="array" ref="I10428">_xlfn.STDEV.P(IF(Table1[IndicatorCode]=Table1[[#This Row],[IndicatorCode]],Table1[value]))</f>
        <v>6.3409496564024987</v>
      </c>
      <c r="J10428">
        <f>(Table1[[#This Row],[value]] - Table1[[#This Row],[mean]]) / Table1[[#This Row],[std_dev]]</f>
        <v>-0.10489597335555145</v>
      </c>
      <c r="K10428">
        <f>AVERAGEIF(Table1[CountryCode],Table1[[#This Row],[CountryCode]],Table1[z-score])</f>
        <v>5.4192965202863402E-2</v>
      </c>
      <c r="L10428" t="e">
        <f>VLOOKUP(Table1[[#This Row],[CountryCode]],[1]!Table1[#All],1,FALSE)</f>
        <v>#REF!</v>
      </c>
    </row>
    <row r="10429" spans="1:12" hidden="1" x14ac:dyDescent="0.3">
      <c r="A10429" t="s">
        <v>109</v>
      </c>
      <c r="B10429" t="s">
        <v>110</v>
      </c>
      <c r="C10429" t="s">
        <v>129</v>
      </c>
      <c r="D10429" t="s">
        <v>130</v>
      </c>
      <c r="E10429">
        <v>1988</v>
      </c>
      <c r="F10429" s="1">
        <v>72</v>
      </c>
      <c r="G10429">
        <v>1990</v>
      </c>
      <c r="H10429">
        <f>AVERAGEIFS(Table1[value],Table1[IndicatorCode],Table1[[#This Row],[IndicatorCode]])</f>
        <v>72.66514008620689</v>
      </c>
      <c r="I10429" cm="1">
        <f t="array" ref="I10429">_xlfn.STDEV.P(IF(Table1[IndicatorCode]=Table1[[#This Row],[IndicatorCode]],Table1[value]))</f>
        <v>6.3409496564024987</v>
      </c>
      <c r="J10429">
        <f>(Table1[[#This Row],[value]] - Table1[[#This Row],[mean]]) / Table1[[#This Row],[std_dev]]</f>
        <v>-0.10489597335555145</v>
      </c>
      <c r="K10429">
        <f>AVERAGEIF(Table1[CountryCode],Table1[[#This Row],[CountryCode]],Table1[z-score])</f>
        <v>5.4192965202863402E-2</v>
      </c>
      <c r="L10429" t="e">
        <f>VLOOKUP(Table1[[#This Row],[CountryCode]],[1]!Table1[#All],1,FALSE)</f>
        <v>#REF!</v>
      </c>
    </row>
    <row r="10430" spans="1:12" hidden="1" x14ac:dyDescent="0.3">
      <c r="A10430" t="s">
        <v>109</v>
      </c>
      <c r="B10430" t="s">
        <v>110</v>
      </c>
      <c r="C10430" t="s">
        <v>129</v>
      </c>
      <c r="D10430" t="s">
        <v>130</v>
      </c>
      <c r="E10430">
        <v>1989</v>
      </c>
      <c r="F10430" s="1">
        <v>73</v>
      </c>
      <c r="G10430">
        <v>1990</v>
      </c>
      <c r="H10430">
        <f>AVERAGEIFS(Table1[value],Table1[IndicatorCode],Table1[[#This Row],[IndicatorCode]])</f>
        <v>72.66514008620689</v>
      </c>
      <c r="I10430" cm="1">
        <f t="array" ref="I10430">_xlfn.STDEV.P(IF(Table1[IndicatorCode]=Table1[[#This Row],[IndicatorCode]],Table1[value]))</f>
        <v>6.3409496564024987</v>
      </c>
      <c r="J10430">
        <f>(Table1[[#This Row],[value]] - Table1[[#This Row],[mean]]) / Table1[[#This Row],[std_dev]]</f>
        <v>5.2809110927887599E-2</v>
      </c>
      <c r="K10430">
        <f>AVERAGEIF(Table1[CountryCode],Table1[[#This Row],[CountryCode]],Table1[z-score])</f>
        <v>5.4192965202863402E-2</v>
      </c>
      <c r="L10430" t="e">
        <f>VLOOKUP(Table1[[#This Row],[CountryCode]],[1]!Table1[#All],1,FALSE)</f>
        <v>#REF!</v>
      </c>
    </row>
    <row r="10431" spans="1:12" hidden="1" x14ac:dyDescent="0.3">
      <c r="A10431" t="s">
        <v>109</v>
      </c>
      <c r="B10431" t="s">
        <v>110</v>
      </c>
      <c r="C10431" t="s">
        <v>129</v>
      </c>
      <c r="D10431" t="s">
        <v>130</v>
      </c>
      <c r="E10431">
        <v>1990</v>
      </c>
      <c r="F10431" s="1">
        <v>73</v>
      </c>
      <c r="G10431">
        <v>1990</v>
      </c>
      <c r="H10431">
        <f>AVERAGEIFS(Table1[value],Table1[IndicatorCode],Table1[[#This Row],[IndicatorCode]])</f>
        <v>72.66514008620689</v>
      </c>
      <c r="I10431" cm="1">
        <f t="array" ref="I10431">_xlfn.STDEV.P(IF(Table1[IndicatorCode]=Table1[[#This Row],[IndicatorCode]],Table1[value]))</f>
        <v>6.3409496564024987</v>
      </c>
      <c r="J10431">
        <f>(Table1[[#This Row],[value]] - Table1[[#This Row],[mean]]) / Table1[[#This Row],[std_dev]]</f>
        <v>5.2809110927887599E-2</v>
      </c>
      <c r="K10431">
        <f>AVERAGEIF(Table1[CountryCode],Table1[[#This Row],[CountryCode]],Table1[z-score])</f>
        <v>5.4192965202863402E-2</v>
      </c>
      <c r="L10431" t="e">
        <f>VLOOKUP(Table1[[#This Row],[CountryCode]],[1]!Table1[#All],1,FALSE)</f>
        <v>#REF!</v>
      </c>
    </row>
    <row r="10432" spans="1:12" hidden="1" x14ac:dyDescent="0.3">
      <c r="A10432" t="s">
        <v>109</v>
      </c>
      <c r="B10432" t="s">
        <v>110</v>
      </c>
      <c r="C10432" t="s">
        <v>129</v>
      </c>
      <c r="D10432" t="s">
        <v>130</v>
      </c>
      <c r="E10432">
        <v>1991</v>
      </c>
      <c r="F10432" s="1">
        <v>73</v>
      </c>
      <c r="G10432">
        <v>1990</v>
      </c>
      <c r="H10432">
        <f>AVERAGEIFS(Table1[value],Table1[IndicatorCode],Table1[[#This Row],[IndicatorCode]])</f>
        <v>72.66514008620689</v>
      </c>
      <c r="I10432" cm="1">
        <f t="array" ref="I10432">_xlfn.STDEV.P(IF(Table1[IndicatorCode]=Table1[[#This Row],[IndicatorCode]],Table1[value]))</f>
        <v>6.3409496564024987</v>
      </c>
      <c r="J10432">
        <f>(Table1[[#This Row],[value]] - Table1[[#This Row],[mean]]) / Table1[[#This Row],[std_dev]]</f>
        <v>5.2809110927887599E-2</v>
      </c>
      <c r="K10432">
        <f>AVERAGEIF(Table1[CountryCode],Table1[[#This Row],[CountryCode]],Table1[z-score])</f>
        <v>5.4192965202863402E-2</v>
      </c>
      <c r="L10432" t="e">
        <f>VLOOKUP(Table1[[#This Row],[CountryCode]],[1]!Table1[#All],1,FALSE)</f>
        <v>#REF!</v>
      </c>
    </row>
    <row r="10433" spans="1:12" hidden="1" x14ac:dyDescent="0.3">
      <c r="A10433" t="s">
        <v>109</v>
      </c>
      <c r="B10433" t="s">
        <v>110</v>
      </c>
      <c r="C10433" t="s">
        <v>129</v>
      </c>
      <c r="D10433" t="s">
        <v>130</v>
      </c>
      <c r="E10433">
        <v>1992</v>
      </c>
      <c r="F10433" s="1">
        <v>73</v>
      </c>
      <c r="G10433">
        <v>1990</v>
      </c>
      <c r="H10433">
        <f>AVERAGEIFS(Table1[value],Table1[IndicatorCode],Table1[[#This Row],[IndicatorCode]])</f>
        <v>72.66514008620689</v>
      </c>
      <c r="I10433" cm="1">
        <f t="array" ref="I10433">_xlfn.STDEV.P(IF(Table1[IndicatorCode]=Table1[[#This Row],[IndicatorCode]],Table1[value]))</f>
        <v>6.3409496564024987</v>
      </c>
      <c r="J10433">
        <f>(Table1[[#This Row],[value]] - Table1[[#This Row],[mean]]) / Table1[[#This Row],[std_dev]]</f>
        <v>5.2809110927887599E-2</v>
      </c>
      <c r="K10433">
        <f>AVERAGEIF(Table1[CountryCode],Table1[[#This Row],[CountryCode]],Table1[z-score])</f>
        <v>5.4192965202863402E-2</v>
      </c>
      <c r="L10433" t="e">
        <f>VLOOKUP(Table1[[#This Row],[CountryCode]],[1]!Table1[#All],1,FALSE)</f>
        <v>#REF!</v>
      </c>
    </row>
    <row r="10434" spans="1:12" hidden="1" x14ac:dyDescent="0.3">
      <c r="A10434" t="s">
        <v>109</v>
      </c>
      <c r="B10434" t="s">
        <v>110</v>
      </c>
      <c r="C10434" t="s">
        <v>129</v>
      </c>
      <c r="D10434" t="s">
        <v>130</v>
      </c>
      <c r="E10434">
        <v>1993</v>
      </c>
      <c r="F10434" s="1">
        <v>73</v>
      </c>
      <c r="G10434">
        <v>1990</v>
      </c>
      <c r="H10434">
        <f>AVERAGEIFS(Table1[value],Table1[IndicatorCode],Table1[[#This Row],[IndicatorCode]])</f>
        <v>72.66514008620689</v>
      </c>
      <c r="I10434" cm="1">
        <f t="array" ref="I10434">_xlfn.STDEV.P(IF(Table1[IndicatorCode]=Table1[[#This Row],[IndicatorCode]],Table1[value]))</f>
        <v>6.3409496564024987</v>
      </c>
      <c r="J10434">
        <f>(Table1[[#This Row],[value]] - Table1[[#This Row],[mean]]) / Table1[[#This Row],[std_dev]]</f>
        <v>5.2809110927887599E-2</v>
      </c>
      <c r="K10434">
        <f>AVERAGEIF(Table1[CountryCode],Table1[[#This Row],[CountryCode]],Table1[z-score])</f>
        <v>5.4192965202863402E-2</v>
      </c>
      <c r="L10434" t="e">
        <f>VLOOKUP(Table1[[#This Row],[CountryCode]],[1]!Table1[#All],1,FALSE)</f>
        <v>#REF!</v>
      </c>
    </row>
    <row r="10435" spans="1:12" hidden="1" x14ac:dyDescent="0.3">
      <c r="A10435" t="s">
        <v>109</v>
      </c>
      <c r="B10435" t="s">
        <v>110</v>
      </c>
      <c r="C10435" t="s">
        <v>129</v>
      </c>
      <c r="D10435" t="s">
        <v>130</v>
      </c>
      <c r="E10435">
        <v>1994</v>
      </c>
      <c r="F10435" s="1">
        <v>73</v>
      </c>
      <c r="G10435">
        <v>1990</v>
      </c>
      <c r="H10435">
        <f>AVERAGEIFS(Table1[value],Table1[IndicatorCode],Table1[[#This Row],[IndicatorCode]])</f>
        <v>72.66514008620689</v>
      </c>
      <c r="I10435" cm="1">
        <f t="array" ref="I10435">_xlfn.STDEV.P(IF(Table1[IndicatorCode]=Table1[[#This Row],[IndicatorCode]],Table1[value]))</f>
        <v>6.3409496564024987</v>
      </c>
      <c r="J10435">
        <f>(Table1[[#This Row],[value]] - Table1[[#This Row],[mean]]) / Table1[[#This Row],[std_dev]]</f>
        <v>5.2809110927887599E-2</v>
      </c>
      <c r="K10435">
        <f>AVERAGEIF(Table1[CountryCode],Table1[[#This Row],[CountryCode]],Table1[z-score])</f>
        <v>5.4192965202863402E-2</v>
      </c>
      <c r="L10435" t="e">
        <f>VLOOKUP(Table1[[#This Row],[CountryCode]],[1]!Table1[#All],1,FALSE)</f>
        <v>#REF!</v>
      </c>
    </row>
    <row r="10436" spans="1:12" hidden="1" x14ac:dyDescent="0.3">
      <c r="A10436" t="s">
        <v>109</v>
      </c>
      <c r="B10436" t="s">
        <v>110</v>
      </c>
      <c r="C10436" t="s">
        <v>129</v>
      </c>
      <c r="D10436" t="s">
        <v>130</v>
      </c>
      <c r="E10436">
        <v>1995</v>
      </c>
      <c r="F10436" s="1">
        <v>74</v>
      </c>
      <c r="G10436">
        <v>1990</v>
      </c>
      <c r="H10436">
        <f>AVERAGEIFS(Table1[value],Table1[IndicatorCode],Table1[[#This Row],[IndicatorCode]])</f>
        <v>72.66514008620689</v>
      </c>
      <c r="I10436" cm="1">
        <f t="array" ref="I10436">_xlfn.STDEV.P(IF(Table1[IndicatorCode]=Table1[[#This Row],[IndicatorCode]],Table1[value]))</f>
        <v>6.3409496564024987</v>
      </c>
      <c r="J10436">
        <f>(Table1[[#This Row],[value]] - Table1[[#This Row],[mean]]) / Table1[[#This Row],[std_dev]]</f>
        <v>0.21051419521132667</v>
      </c>
      <c r="K10436">
        <f>AVERAGEIF(Table1[CountryCode],Table1[[#This Row],[CountryCode]],Table1[z-score])</f>
        <v>5.4192965202863402E-2</v>
      </c>
      <c r="L10436" t="e">
        <f>VLOOKUP(Table1[[#This Row],[CountryCode]],[1]!Table1[#All],1,FALSE)</f>
        <v>#REF!</v>
      </c>
    </row>
    <row r="10437" spans="1:12" hidden="1" x14ac:dyDescent="0.3">
      <c r="A10437" t="s">
        <v>109</v>
      </c>
      <c r="B10437" t="s">
        <v>110</v>
      </c>
      <c r="C10437" t="s">
        <v>129</v>
      </c>
      <c r="D10437" t="s">
        <v>130</v>
      </c>
      <c r="E10437">
        <v>1996</v>
      </c>
      <c r="F10437" s="1">
        <v>74</v>
      </c>
      <c r="G10437">
        <v>1990</v>
      </c>
      <c r="H10437">
        <f>AVERAGEIFS(Table1[value],Table1[IndicatorCode],Table1[[#This Row],[IndicatorCode]])</f>
        <v>72.66514008620689</v>
      </c>
      <c r="I10437" cm="1">
        <f t="array" ref="I10437">_xlfn.STDEV.P(IF(Table1[IndicatorCode]=Table1[[#This Row],[IndicatorCode]],Table1[value]))</f>
        <v>6.3409496564024987</v>
      </c>
      <c r="J10437">
        <f>(Table1[[#This Row],[value]] - Table1[[#This Row],[mean]]) / Table1[[#This Row],[std_dev]]</f>
        <v>0.21051419521132667</v>
      </c>
      <c r="K10437">
        <f>AVERAGEIF(Table1[CountryCode],Table1[[#This Row],[CountryCode]],Table1[z-score])</f>
        <v>5.4192965202863402E-2</v>
      </c>
      <c r="L10437" t="e">
        <f>VLOOKUP(Table1[[#This Row],[CountryCode]],[1]!Table1[#All],1,FALSE)</f>
        <v>#REF!</v>
      </c>
    </row>
    <row r="10438" spans="1:12" hidden="1" x14ac:dyDescent="0.3">
      <c r="A10438" t="s">
        <v>109</v>
      </c>
      <c r="B10438" t="s">
        <v>110</v>
      </c>
      <c r="C10438" t="s">
        <v>129</v>
      </c>
      <c r="D10438" t="s">
        <v>130</v>
      </c>
      <c r="E10438">
        <v>1997</v>
      </c>
      <c r="F10438" s="1">
        <v>75</v>
      </c>
      <c r="G10438">
        <v>2000</v>
      </c>
      <c r="H10438">
        <f>AVERAGEIFS(Table1[value],Table1[IndicatorCode],Table1[[#This Row],[IndicatorCode]])</f>
        <v>72.66514008620689</v>
      </c>
      <c r="I10438" cm="1">
        <f t="array" ref="I10438">_xlfn.STDEV.P(IF(Table1[IndicatorCode]=Table1[[#This Row],[IndicatorCode]],Table1[value]))</f>
        <v>6.3409496564024987</v>
      </c>
      <c r="J10438">
        <f>(Table1[[#This Row],[value]] - Table1[[#This Row],[mean]]) / Table1[[#This Row],[std_dev]]</f>
        <v>0.36821927949476574</v>
      </c>
      <c r="K10438">
        <f>AVERAGEIF(Table1[CountryCode],Table1[[#This Row],[CountryCode]],Table1[z-score])</f>
        <v>5.4192965202863402E-2</v>
      </c>
      <c r="L10438" t="e">
        <f>VLOOKUP(Table1[[#This Row],[CountryCode]],[1]!Table1[#All],1,FALSE)</f>
        <v>#REF!</v>
      </c>
    </row>
    <row r="10439" spans="1:12" hidden="1" x14ac:dyDescent="0.3">
      <c r="A10439" t="s">
        <v>109</v>
      </c>
      <c r="B10439" t="s">
        <v>110</v>
      </c>
      <c r="C10439" t="s">
        <v>129</v>
      </c>
      <c r="D10439" t="s">
        <v>130</v>
      </c>
      <c r="E10439">
        <v>1998</v>
      </c>
      <c r="F10439" s="1">
        <v>75</v>
      </c>
      <c r="G10439">
        <v>2000</v>
      </c>
      <c r="H10439">
        <f>AVERAGEIFS(Table1[value],Table1[IndicatorCode],Table1[[#This Row],[IndicatorCode]])</f>
        <v>72.66514008620689</v>
      </c>
      <c r="I10439" cm="1">
        <f t="array" ref="I10439">_xlfn.STDEV.P(IF(Table1[IndicatorCode]=Table1[[#This Row],[IndicatorCode]],Table1[value]))</f>
        <v>6.3409496564024987</v>
      </c>
      <c r="J10439">
        <f>(Table1[[#This Row],[value]] - Table1[[#This Row],[mean]]) / Table1[[#This Row],[std_dev]]</f>
        <v>0.36821927949476574</v>
      </c>
      <c r="K10439">
        <f>AVERAGEIF(Table1[CountryCode],Table1[[#This Row],[CountryCode]],Table1[z-score])</f>
        <v>5.4192965202863402E-2</v>
      </c>
      <c r="L10439" t="e">
        <f>VLOOKUP(Table1[[#This Row],[CountryCode]],[1]!Table1[#All],1,FALSE)</f>
        <v>#REF!</v>
      </c>
    </row>
    <row r="10440" spans="1:12" hidden="1" x14ac:dyDescent="0.3">
      <c r="A10440" t="s">
        <v>109</v>
      </c>
      <c r="B10440" t="s">
        <v>110</v>
      </c>
      <c r="C10440" t="s">
        <v>129</v>
      </c>
      <c r="D10440" t="s">
        <v>130</v>
      </c>
      <c r="E10440">
        <v>1999</v>
      </c>
      <c r="F10440" s="1">
        <v>75</v>
      </c>
      <c r="G10440">
        <v>2000</v>
      </c>
      <c r="H10440">
        <f>AVERAGEIFS(Table1[value],Table1[IndicatorCode],Table1[[#This Row],[IndicatorCode]])</f>
        <v>72.66514008620689</v>
      </c>
      <c r="I10440" cm="1">
        <f t="array" ref="I10440">_xlfn.STDEV.P(IF(Table1[IndicatorCode]=Table1[[#This Row],[IndicatorCode]],Table1[value]))</f>
        <v>6.3409496564024987</v>
      </c>
      <c r="J10440">
        <f>(Table1[[#This Row],[value]] - Table1[[#This Row],[mean]]) / Table1[[#This Row],[std_dev]]</f>
        <v>0.36821927949476574</v>
      </c>
      <c r="K10440">
        <f>AVERAGEIF(Table1[CountryCode],Table1[[#This Row],[CountryCode]],Table1[z-score])</f>
        <v>5.4192965202863402E-2</v>
      </c>
      <c r="L10440" t="e">
        <f>VLOOKUP(Table1[[#This Row],[CountryCode]],[1]!Table1[#All],1,FALSE)</f>
        <v>#REF!</v>
      </c>
    </row>
    <row r="10441" spans="1:12" hidden="1" x14ac:dyDescent="0.3">
      <c r="A10441" t="s">
        <v>109</v>
      </c>
      <c r="B10441" t="s">
        <v>110</v>
      </c>
      <c r="C10441" t="s">
        <v>129</v>
      </c>
      <c r="D10441" t="s">
        <v>130</v>
      </c>
      <c r="E10441">
        <v>2000</v>
      </c>
      <c r="F10441" s="1">
        <v>75</v>
      </c>
      <c r="G10441">
        <v>2000</v>
      </c>
      <c r="H10441">
        <f>AVERAGEIFS(Table1[value],Table1[IndicatorCode],Table1[[#This Row],[IndicatorCode]])</f>
        <v>72.66514008620689</v>
      </c>
      <c r="I10441" cm="1">
        <f t="array" ref="I10441">_xlfn.STDEV.P(IF(Table1[IndicatorCode]=Table1[[#This Row],[IndicatorCode]],Table1[value]))</f>
        <v>6.3409496564024987</v>
      </c>
      <c r="J10441">
        <f>(Table1[[#This Row],[value]] - Table1[[#This Row],[mean]]) / Table1[[#This Row],[std_dev]]</f>
        <v>0.36821927949476574</v>
      </c>
      <c r="K10441">
        <f>AVERAGEIF(Table1[CountryCode],Table1[[#This Row],[CountryCode]],Table1[z-score])</f>
        <v>5.4192965202863402E-2</v>
      </c>
      <c r="L10441" t="e">
        <f>VLOOKUP(Table1[[#This Row],[CountryCode]],[1]!Table1[#All],1,FALSE)</f>
        <v>#REF!</v>
      </c>
    </row>
    <row r="10442" spans="1:12" hidden="1" x14ac:dyDescent="0.3">
      <c r="A10442" t="s">
        <v>109</v>
      </c>
      <c r="B10442" t="s">
        <v>110</v>
      </c>
      <c r="C10442" t="s">
        <v>129</v>
      </c>
      <c r="D10442" t="s">
        <v>130</v>
      </c>
      <c r="E10442">
        <v>2001</v>
      </c>
      <c r="F10442" s="1">
        <v>76</v>
      </c>
      <c r="G10442">
        <v>2000</v>
      </c>
      <c r="H10442">
        <f>AVERAGEIFS(Table1[value],Table1[IndicatorCode],Table1[[#This Row],[IndicatorCode]])</f>
        <v>72.66514008620689</v>
      </c>
      <c r="I10442" cm="1">
        <f t="array" ref="I10442">_xlfn.STDEV.P(IF(Table1[IndicatorCode]=Table1[[#This Row],[IndicatorCode]],Table1[value]))</f>
        <v>6.3409496564024987</v>
      </c>
      <c r="J10442">
        <f>(Table1[[#This Row],[value]] - Table1[[#This Row],[mean]]) / Table1[[#This Row],[std_dev]]</f>
        <v>0.52592436377820473</v>
      </c>
      <c r="K10442">
        <f>AVERAGEIF(Table1[CountryCode],Table1[[#This Row],[CountryCode]],Table1[z-score])</f>
        <v>5.4192965202863402E-2</v>
      </c>
      <c r="L10442" t="e">
        <f>VLOOKUP(Table1[[#This Row],[CountryCode]],[1]!Table1[#All],1,FALSE)</f>
        <v>#REF!</v>
      </c>
    </row>
    <row r="10443" spans="1:12" hidden="1" x14ac:dyDescent="0.3">
      <c r="A10443" t="s">
        <v>109</v>
      </c>
      <c r="B10443" t="s">
        <v>110</v>
      </c>
      <c r="C10443" t="s">
        <v>129</v>
      </c>
      <c r="D10443" t="s">
        <v>130</v>
      </c>
      <c r="E10443">
        <v>2002</v>
      </c>
      <c r="F10443" s="1">
        <v>76</v>
      </c>
      <c r="G10443">
        <v>2000</v>
      </c>
      <c r="H10443">
        <f>AVERAGEIFS(Table1[value],Table1[IndicatorCode],Table1[[#This Row],[IndicatorCode]])</f>
        <v>72.66514008620689</v>
      </c>
      <c r="I10443" cm="1">
        <f t="array" ref="I10443">_xlfn.STDEV.P(IF(Table1[IndicatorCode]=Table1[[#This Row],[IndicatorCode]],Table1[value]))</f>
        <v>6.3409496564024987</v>
      </c>
      <c r="J10443">
        <f>(Table1[[#This Row],[value]] - Table1[[#This Row],[mean]]) / Table1[[#This Row],[std_dev]]</f>
        <v>0.52592436377820473</v>
      </c>
      <c r="K10443">
        <f>AVERAGEIF(Table1[CountryCode],Table1[[#This Row],[CountryCode]],Table1[z-score])</f>
        <v>5.4192965202863402E-2</v>
      </c>
      <c r="L10443" t="e">
        <f>VLOOKUP(Table1[[#This Row],[CountryCode]],[1]!Table1[#All],1,FALSE)</f>
        <v>#REF!</v>
      </c>
    </row>
    <row r="10444" spans="1:12" hidden="1" x14ac:dyDescent="0.3">
      <c r="A10444" t="s">
        <v>109</v>
      </c>
      <c r="B10444" t="s">
        <v>110</v>
      </c>
      <c r="C10444" t="s">
        <v>129</v>
      </c>
      <c r="D10444" t="s">
        <v>130</v>
      </c>
      <c r="E10444">
        <v>2003</v>
      </c>
      <c r="F10444" s="1">
        <v>77</v>
      </c>
      <c r="G10444">
        <v>2000</v>
      </c>
      <c r="H10444">
        <f>AVERAGEIFS(Table1[value],Table1[IndicatorCode],Table1[[#This Row],[IndicatorCode]])</f>
        <v>72.66514008620689</v>
      </c>
      <c r="I10444" cm="1">
        <f t="array" ref="I10444">_xlfn.STDEV.P(IF(Table1[IndicatorCode]=Table1[[#This Row],[IndicatorCode]],Table1[value]))</f>
        <v>6.3409496564024987</v>
      </c>
      <c r="J10444">
        <f>(Table1[[#This Row],[value]] - Table1[[#This Row],[mean]]) / Table1[[#This Row],[std_dev]]</f>
        <v>0.68362944806164383</v>
      </c>
      <c r="K10444">
        <f>AVERAGEIF(Table1[CountryCode],Table1[[#This Row],[CountryCode]],Table1[z-score])</f>
        <v>5.4192965202863402E-2</v>
      </c>
      <c r="L10444" t="e">
        <f>VLOOKUP(Table1[[#This Row],[CountryCode]],[1]!Table1[#All],1,FALSE)</f>
        <v>#REF!</v>
      </c>
    </row>
    <row r="10445" spans="1:12" hidden="1" x14ac:dyDescent="0.3">
      <c r="A10445" t="s">
        <v>109</v>
      </c>
      <c r="B10445" t="s">
        <v>110</v>
      </c>
      <c r="C10445" t="s">
        <v>129</v>
      </c>
      <c r="D10445" t="s">
        <v>130</v>
      </c>
      <c r="E10445">
        <v>2004</v>
      </c>
      <c r="F10445" s="1">
        <v>77</v>
      </c>
      <c r="G10445">
        <v>2000</v>
      </c>
      <c r="H10445">
        <f>AVERAGEIFS(Table1[value],Table1[IndicatorCode],Table1[[#This Row],[IndicatorCode]])</f>
        <v>72.66514008620689</v>
      </c>
      <c r="I10445" cm="1">
        <f t="array" ref="I10445">_xlfn.STDEV.P(IF(Table1[IndicatorCode]=Table1[[#This Row],[IndicatorCode]],Table1[value]))</f>
        <v>6.3409496564024987</v>
      </c>
      <c r="J10445">
        <f>(Table1[[#This Row],[value]] - Table1[[#This Row],[mean]]) / Table1[[#This Row],[std_dev]]</f>
        <v>0.68362944806164383</v>
      </c>
      <c r="K10445">
        <f>AVERAGEIF(Table1[CountryCode],Table1[[#This Row],[CountryCode]],Table1[z-score])</f>
        <v>5.4192965202863402E-2</v>
      </c>
      <c r="L10445" t="e">
        <f>VLOOKUP(Table1[[#This Row],[CountryCode]],[1]!Table1[#All],1,FALSE)</f>
        <v>#REF!</v>
      </c>
    </row>
    <row r="10446" spans="1:12" hidden="1" x14ac:dyDescent="0.3">
      <c r="A10446" t="s">
        <v>109</v>
      </c>
      <c r="B10446" t="s">
        <v>110</v>
      </c>
      <c r="C10446" t="s">
        <v>129</v>
      </c>
      <c r="D10446" t="s">
        <v>130</v>
      </c>
      <c r="E10446">
        <v>2005</v>
      </c>
      <c r="F10446" s="1">
        <v>78</v>
      </c>
      <c r="G10446">
        <v>2000</v>
      </c>
      <c r="H10446">
        <f>AVERAGEIFS(Table1[value],Table1[IndicatorCode],Table1[[#This Row],[IndicatorCode]])</f>
        <v>72.66514008620689</v>
      </c>
      <c r="I10446" cm="1">
        <f t="array" ref="I10446">_xlfn.STDEV.P(IF(Table1[IndicatorCode]=Table1[[#This Row],[IndicatorCode]],Table1[value]))</f>
        <v>6.3409496564024987</v>
      </c>
      <c r="J10446">
        <f>(Table1[[#This Row],[value]] - Table1[[#This Row],[mean]]) / Table1[[#This Row],[std_dev]]</f>
        <v>0.84133453234508293</v>
      </c>
      <c r="K10446">
        <f>AVERAGEIF(Table1[CountryCode],Table1[[#This Row],[CountryCode]],Table1[z-score])</f>
        <v>5.4192965202863402E-2</v>
      </c>
      <c r="L10446" t="e">
        <f>VLOOKUP(Table1[[#This Row],[CountryCode]],[1]!Table1[#All],1,FALSE)</f>
        <v>#REF!</v>
      </c>
    </row>
    <row r="10447" spans="1:12" hidden="1" x14ac:dyDescent="0.3">
      <c r="A10447" t="s">
        <v>109</v>
      </c>
      <c r="B10447" t="s">
        <v>110</v>
      </c>
      <c r="C10447" t="s">
        <v>129</v>
      </c>
      <c r="D10447" t="s">
        <v>130</v>
      </c>
      <c r="E10447">
        <v>2006</v>
      </c>
      <c r="F10447" s="1">
        <v>78</v>
      </c>
      <c r="G10447">
        <v>2000</v>
      </c>
      <c r="H10447">
        <f>AVERAGEIFS(Table1[value],Table1[IndicatorCode],Table1[[#This Row],[IndicatorCode]])</f>
        <v>72.66514008620689</v>
      </c>
      <c r="I10447" cm="1">
        <f t="array" ref="I10447">_xlfn.STDEV.P(IF(Table1[IndicatorCode]=Table1[[#This Row],[IndicatorCode]],Table1[value]))</f>
        <v>6.3409496564024987</v>
      </c>
      <c r="J10447">
        <f>(Table1[[#This Row],[value]] - Table1[[#This Row],[mean]]) / Table1[[#This Row],[std_dev]]</f>
        <v>0.84133453234508293</v>
      </c>
      <c r="K10447">
        <f>AVERAGEIF(Table1[CountryCode],Table1[[#This Row],[CountryCode]],Table1[z-score])</f>
        <v>5.4192965202863402E-2</v>
      </c>
      <c r="L10447" t="e">
        <f>VLOOKUP(Table1[[#This Row],[CountryCode]],[1]!Table1[#All],1,FALSE)</f>
        <v>#REF!</v>
      </c>
    </row>
    <row r="10448" spans="1:12" hidden="1" x14ac:dyDescent="0.3">
      <c r="A10448" t="s">
        <v>109</v>
      </c>
      <c r="B10448" t="s">
        <v>110</v>
      </c>
      <c r="C10448" t="s">
        <v>129</v>
      </c>
      <c r="D10448" t="s">
        <v>130</v>
      </c>
      <c r="E10448">
        <v>2007</v>
      </c>
      <c r="F10448" s="1">
        <v>79</v>
      </c>
      <c r="G10448">
        <v>2010</v>
      </c>
      <c r="H10448">
        <f>AVERAGEIFS(Table1[value],Table1[IndicatorCode],Table1[[#This Row],[IndicatorCode]])</f>
        <v>72.66514008620689</v>
      </c>
      <c r="I10448" cm="1">
        <f t="array" ref="I10448">_xlfn.STDEV.P(IF(Table1[IndicatorCode]=Table1[[#This Row],[IndicatorCode]],Table1[value]))</f>
        <v>6.3409496564024987</v>
      </c>
      <c r="J10448">
        <f>(Table1[[#This Row],[value]] - Table1[[#This Row],[mean]]) / Table1[[#This Row],[std_dev]]</f>
        <v>0.99903961662852192</v>
      </c>
      <c r="K10448">
        <f>AVERAGEIF(Table1[CountryCode],Table1[[#This Row],[CountryCode]],Table1[z-score])</f>
        <v>5.4192965202863402E-2</v>
      </c>
      <c r="L10448" t="e">
        <f>VLOOKUP(Table1[[#This Row],[CountryCode]],[1]!Table1[#All],1,FALSE)</f>
        <v>#REF!</v>
      </c>
    </row>
    <row r="10449" spans="1:12" hidden="1" x14ac:dyDescent="0.3">
      <c r="A10449" t="s">
        <v>109</v>
      </c>
      <c r="B10449" t="s">
        <v>110</v>
      </c>
      <c r="C10449" t="s">
        <v>129</v>
      </c>
      <c r="D10449" t="s">
        <v>130</v>
      </c>
      <c r="E10449">
        <v>2008</v>
      </c>
      <c r="F10449" s="1">
        <v>79</v>
      </c>
      <c r="G10449">
        <v>2010</v>
      </c>
      <c r="H10449">
        <f>AVERAGEIFS(Table1[value],Table1[IndicatorCode],Table1[[#This Row],[IndicatorCode]])</f>
        <v>72.66514008620689</v>
      </c>
      <c r="I10449" cm="1">
        <f t="array" ref="I10449">_xlfn.STDEV.P(IF(Table1[IndicatorCode]=Table1[[#This Row],[IndicatorCode]],Table1[value]))</f>
        <v>6.3409496564024987</v>
      </c>
      <c r="J10449">
        <f>(Table1[[#This Row],[value]] - Table1[[#This Row],[mean]]) / Table1[[#This Row],[std_dev]]</f>
        <v>0.99903961662852192</v>
      </c>
      <c r="K10449">
        <f>AVERAGEIF(Table1[CountryCode],Table1[[#This Row],[CountryCode]],Table1[z-score])</f>
        <v>5.4192965202863402E-2</v>
      </c>
      <c r="L10449" t="e">
        <f>VLOOKUP(Table1[[#This Row],[CountryCode]],[1]!Table1[#All],1,FALSE)</f>
        <v>#REF!</v>
      </c>
    </row>
    <row r="10450" spans="1:12" hidden="1" x14ac:dyDescent="0.3">
      <c r="A10450" t="s">
        <v>109</v>
      </c>
      <c r="B10450" t="s">
        <v>110</v>
      </c>
      <c r="C10450" t="s">
        <v>129</v>
      </c>
      <c r="D10450" t="s">
        <v>130</v>
      </c>
      <c r="E10450">
        <v>2009</v>
      </c>
      <c r="F10450" s="1">
        <v>79</v>
      </c>
      <c r="G10450">
        <v>2010</v>
      </c>
      <c r="H10450">
        <f>AVERAGEIFS(Table1[value],Table1[IndicatorCode],Table1[[#This Row],[IndicatorCode]])</f>
        <v>72.66514008620689</v>
      </c>
      <c r="I10450" cm="1">
        <f t="array" ref="I10450">_xlfn.STDEV.P(IF(Table1[IndicatorCode]=Table1[[#This Row],[IndicatorCode]],Table1[value]))</f>
        <v>6.3409496564024987</v>
      </c>
      <c r="J10450">
        <f>(Table1[[#This Row],[value]] - Table1[[#This Row],[mean]]) / Table1[[#This Row],[std_dev]]</f>
        <v>0.99903961662852192</v>
      </c>
      <c r="K10450">
        <f>AVERAGEIF(Table1[CountryCode],Table1[[#This Row],[CountryCode]],Table1[z-score])</f>
        <v>5.4192965202863402E-2</v>
      </c>
      <c r="L10450" t="e">
        <f>VLOOKUP(Table1[[#This Row],[CountryCode]],[1]!Table1[#All],1,FALSE)</f>
        <v>#REF!</v>
      </c>
    </row>
    <row r="10451" spans="1:12" hidden="1" x14ac:dyDescent="0.3">
      <c r="A10451" t="s">
        <v>109</v>
      </c>
      <c r="B10451" t="s">
        <v>110</v>
      </c>
      <c r="C10451" t="s">
        <v>129</v>
      </c>
      <c r="D10451" t="s">
        <v>130</v>
      </c>
      <c r="E10451">
        <v>2010</v>
      </c>
      <c r="F10451" s="1">
        <v>79</v>
      </c>
      <c r="G10451">
        <v>2010</v>
      </c>
      <c r="H10451">
        <f>AVERAGEIFS(Table1[value],Table1[IndicatorCode],Table1[[#This Row],[IndicatorCode]])</f>
        <v>72.66514008620689</v>
      </c>
      <c r="I10451" cm="1">
        <f t="array" ref="I10451">_xlfn.STDEV.P(IF(Table1[IndicatorCode]=Table1[[#This Row],[IndicatorCode]],Table1[value]))</f>
        <v>6.3409496564024987</v>
      </c>
      <c r="J10451">
        <f>(Table1[[#This Row],[value]] - Table1[[#This Row],[mean]]) / Table1[[#This Row],[std_dev]]</f>
        <v>0.99903961662852192</v>
      </c>
      <c r="K10451">
        <f>AVERAGEIF(Table1[CountryCode],Table1[[#This Row],[CountryCode]],Table1[z-score])</f>
        <v>5.4192965202863402E-2</v>
      </c>
      <c r="L10451" t="e">
        <f>VLOOKUP(Table1[[#This Row],[CountryCode]],[1]!Table1[#All],1,FALSE)</f>
        <v>#REF!</v>
      </c>
    </row>
    <row r="10452" spans="1:12" hidden="1" x14ac:dyDescent="0.3">
      <c r="A10452" t="s">
        <v>109</v>
      </c>
      <c r="B10452" t="s">
        <v>110</v>
      </c>
      <c r="C10452" t="s">
        <v>129</v>
      </c>
      <c r="D10452" t="s">
        <v>130</v>
      </c>
      <c r="E10452">
        <v>2011</v>
      </c>
      <c r="F10452" s="1">
        <v>80</v>
      </c>
      <c r="G10452">
        <v>2010</v>
      </c>
      <c r="H10452">
        <f>AVERAGEIFS(Table1[value],Table1[IndicatorCode],Table1[[#This Row],[IndicatorCode]])</f>
        <v>72.66514008620689</v>
      </c>
      <c r="I10452" cm="1">
        <f t="array" ref="I10452">_xlfn.STDEV.P(IF(Table1[IndicatorCode]=Table1[[#This Row],[IndicatorCode]],Table1[value]))</f>
        <v>6.3409496564024987</v>
      </c>
      <c r="J10452">
        <f>(Table1[[#This Row],[value]] - Table1[[#This Row],[mean]]) / Table1[[#This Row],[std_dev]]</f>
        <v>1.1567447009119609</v>
      </c>
      <c r="K10452">
        <f>AVERAGEIF(Table1[CountryCode],Table1[[#This Row],[CountryCode]],Table1[z-score])</f>
        <v>5.4192965202863402E-2</v>
      </c>
      <c r="L10452" t="e">
        <f>VLOOKUP(Table1[[#This Row],[CountryCode]],[1]!Table1[#All],1,FALSE)</f>
        <v>#REF!</v>
      </c>
    </row>
    <row r="10453" spans="1:12" hidden="1" x14ac:dyDescent="0.3">
      <c r="A10453" t="s">
        <v>109</v>
      </c>
      <c r="B10453" t="s">
        <v>110</v>
      </c>
      <c r="C10453" t="s">
        <v>129</v>
      </c>
      <c r="D10453" t="s">
        <v>130</v>
      </c>
      <c r="E10453">
        <v>2012</v>
      </c>
      <c r="F10453" s="1">
        <v>80</v>
      </c>
      <c r="G10453">
        <v>2010</v>
      </c>
      <c r="H10453">
        <f>AVERAGEIFS(Table1[value],Table1[IndicatorCode],Table1[[#This Row],[IndicatorCode]])</f>
        <v>72.66514008620689</v>
      </c>
      <c r="I10453" cm="1">
        <f t="array" ref="I10453">_xlfn.STDEV.P(IF(Table1[IndicatorCode]=Table1[[#This Row],[IndicatorCode]],Table1[value]))</f>
        <v>6.3409496564024987</v>
      </c>
      <c r="J10453">
        <f>(Table1[[#This Row],[value]] - Table1[[#This Row],[mean]]) / Table1[[#This Row],[std_dev]]</f>
        <v>1.1567447009119609</v>
      </c>
      <c r="K10453">
        <f>AVERAGEIF(Table1[CountryCode],Table1[[#This Row],[CountryCode]],Table1[z-score])</f>
        <v>5.4192965202863402E-2</v>
      </c>
      <c r="L10453" t="e">
        <f>VLOOKUP(Table1[[#This Row],[CountryCode]],[1]!Table1[#All],1,FALSE)</f>
        <v>#REF!</v>
      </c>
    </row>
    <row r="10454" spans="1:12" hidden="1" x14ac:dyDescent="0.3">
      <c r="A10454" t="s">
        <v>109</v>
      </c>
      <c r="B10454" t="s">
        <v>110</v>
      </c>
      <c r="C10454" t="s">
        <v>129</v>
      </c>
      <c r="D10454" t="s">
        <v>130</v>
      </c>
      <c r="E10454">
        <v>2013</v>
      </c>
      <c r="F10454" s="1">
        <v>80</v>
      </c>
      <c r="G10454">
        <v>2010</v>
      </c>
      <c r="H10454">
        <f>AVERAGEIFS(Table1[value],Table1[IndicatorCode],Table1[[#This Row],[IndicatorCode]])</f>
        <v>72.66514008620689</v>
      </c>
      <c r="I10454" cm="1">
        <f t="array" ref="I10454">_xlfn.STDEV.P(IF(Table1[IndicatorCode]=Table1[[#This Row],[IndicatorCode]],Table1[value]))</f>
        <v>6.3409496564024987</v>
      </c>
      <c r="J10454">
        <f>(Table1[[#This Row],[value]] - Table1[[#This Row],[mean]]) / Table1[[#This Row],[std_dev]]</f>
        <v>1.1567447009119609</v>
      </c>
      <c r="K10454">
        <f>AVERAGEIF(Table1[CountryCode],Table1[[#This Row],[CountryCode]],Table1[z-score])</f>
        <v>5.4192965202863402E-2</v>
      </c>
      <c r="L10454" t="e">
        <f>VLOOKUP(Table1[[#This Row],[CountryCode]],[1]!Table1[#All],1,FALSE)</f>
        <v>#REF!</v>
      </c>
    </row>
    <row r="10455" spans="1:12" hidden="1" x14ac:dyDescent="0.3">
      <c r="A10455" t="s">
        <v>109</v>
      </c>
      <c r="B10455" t="s">
        <v>110</v>
      </c>
      <c r="C10455" t="s">
        <v>129</v>
      </c>
      <c r="D10455" t="s">
        <v>130</v>
      </c>
      <c r="E10455">
        <v>2014</v>
      </c>
      <c r="F10455" s="1">
        <v>81</v>
      </c>
      <c r="G10455">
        <v>2010</v>
      </c>
      <c r="H10455">
        <f>AVERAGEIFS(Table1[value],Table1[IndicatorCode],Table1[[#This Row],[IndicatorCode]])</f>
        <v>72.66514008620689</v>
      </c>
      <c r="I10455" cm="1">
        <f t="array" ref="I10455">_xlfn.STDEV.P(IF(Table1[IndicatorCode]=Table1[[#This Row],[IndicatorCode]],Table1[value]))</f>
        <v>6.3409496564024987</v>
      </c>
      <c r="J10455">
        <f>(Table1[[#This Row],[value]] - Table1[[#This Row],[mean]]) / Table1[[#This Row],[std_dev]]</f>
        <v>1.3144497851954</v>
      </c>
      <c r="K10455">
        <f>AVERAGEIF(Table1[CountryCode],Table1[[#This Row],[CountryCode]],Table1[z-score])</f>
        <v>5.4192965202863402E-2</v>
      </c>
      <c r="L10455" t="e">
        <f>VLOOKUP(Table1[[#This Row],[CountryCode]],[1]!Table1[#All],1,FALSE)</f>
        <v>#REF!</v>
      </c>
    </row>
    <row r="10456" spans="1:12" hidden="1" x14ac:dyDescent="0.3">
      <c r="A10456" t="s">
        <v>109</v>
      </c>
      <c r="B10456" t="s">
        <v>110</v>
      </c>
      <c r="C10456" t="s">
        <v>129</v>
      </c>
      <c r="D10456" t="s">
        <v>130</v>
      </c>
      <c r="E10456">
        <v>2015</v>
      </c>
      <c r="F10456" s="1">
        <v>81</v>
      </c>
      <c r="G10456">
        <v>2010</v>
      </c>
      <c r="H10456">
        <f>AVERAGEIFS(Table1[value],Table1[IndicatorCode],Table1[[#This Row],[IndicatorCode]])</f>
        <v>72.66514008620689</v>
      </c>
      <c r="I10456" cm="1">
        <f t="array" ref="I10456">_xlfn.STDEV.P(IF(Table1[IndicatorCode]=Table1[[#This Row],[IndicatorCode]],Table1[value]))</f>
        <v>6.3409496564024987</v>
      </c>
      <c r="J10456">
        <f>(Table1[[#This Row],[value]] - Table1[[#This Row],[mean]]) / Table1[[#This Row],[std_dev]]</f>
        <v>1.3144497851954</v>
      </c>
      <c r="K10456">
        <f>AVERAGEIF(Table1[CountryCode],Table1[[#This Row],[CountryCode]],Table1[z-score])</f>
        <v>5.4192965202863402E-2</v>
      </c>
      <c r="L10456" t="e">
        <f>VLOOKUP(Table1[[#This Row],[CountryCode]],[1]!Table1[#All],1,FALSE)</f>
        <v>#REF!</v>
      </c>
    </row>
    <row r="10457" spans="1:12" hidden="1" x14ac:dyDescent="0.3">
      <c r="A10457" t="s">
        <v>109</v>
      </c>
      <c r="B10457" t="s">
        <v>110</v>
      </c>
      <c r="C10457" t="s">
        <v>129</v>
      </c>
      <c r="D10457" t="s">
        <v>130</v>
      </c>
      <c r="E10457">
        <v>2016</v>
      </c>
      <c r="F10457" s="1">
        <v>81</v>
      </c>
      <c r="G10457">
        <v>2010</v>
      </c>
      <c r="H10457">
        <f>AVERAGEIFS(Table1[value],Table1[IndicatorCode],Table1[[#This Row],[IndicatorCode]])</f>
        <v>72.66514008620689</v>
      </c>
      <c r="I10457" cm="1">
        <f t="array" ref="I10457">_xlfn.STDEV.P(IF(Table1[IndicatorCode]=Table1[[#This Row],[IndicatorCode]],Table1[value]))</f>
        <v>6.3409496564024987</v>
      </c>
      <c r="J10457">
        <f>(Table1[[#This Row],[value]] - Table1[[#This Row],[mean]]) / Table1[[#This Row],[std_dev]]</f>
        <v>1.3144497851954</v>
      </c>
      <c r="K10457">
        <f>AVERAGEIF(Table1[CountryCode],Table1[[#This Row],[CountryCode]],Table1[z-score])</f>
        <v>5.4192965202863402E-2</v>
      </c>
      <c r="L10457" t="e">
        <f>VLOOKUP(Table1[[#This Row],[CountryCode]],[1]!Table1[#All],1,FALSE)</f>
        <v>#REF!</v>
      </c>
    </row>
    <row r="10458" spans="1:12" hidden="1" x14ac:dyDescent="0.3">
      <c r="A10458" t="s">
        <v>109</v>
      </c>
      <c r="B10458" t="s">
        <v>110</v>
      </c>
      <c r="C10458" t="s">
        <v>129</v>
      </c>
      <c r="D10458" t="s">
        <v>130</v>
      </c>
      <c r="E10458">
        <v>2017</v>
      </c>
      <c r="F10458" s="1">
        <v>81</v>
      </c>
      <c r="G10458">
        <v>2020</v>
      </c>
      <c r="H10458">
        <f>AVERAGEIFS(Table1[value],Table1[IndicatorCode],Table1[[#This Row],[IndicatorCode]])</f>
        <v>72.66514008620689</v>
      </c>
      <c r="I10458" cm="1">
        <f t="array" ref="I10458">_xlfn.STDEV.P(IF(Table1[IndicatorCode]=Table1[[#This Row],[IndicatorCode]],Table1[value]))</f>
        <v>6.3409496564024987</v>
      </c>
      <c r="J10458">
        <f>(Table1[[#This Row],[value]] - Table1[[#This Row],[mean]]) / Table1[[#This Row],[std_dev]]</f>
        <v>1.3144497851954</v>
      </c>
      <c r="K10458">
        <f>AVERAGEIF(Table1[CountryCode],Table1[[#This Row],[CountryCode]],Table1[z-score])</f>
        <v>5.4192965202863402E-2</v>
      </c>
      <c r="L10458" t="e">
        <f>VLOOKUP(Table1[[#This Row],[CountryCode]],[1]!Table1[#All],1,FALSE)</f>
        <v>#REF!</v>
      </c>
    </row>
    <row r="10459" spans="1:12" hidden="1" x14ac:dyDescent="0.3">
      <c r="A10459" t="s">
        <v>109</v>
      </c>
      <c r="B10459" t="s">
        <v>110</v>
      </c>
      <c r="C10459" t="s">
        <v>129</v>
      </c>
      <c r="D10459" t="s">
        <v>130</v>
      </c>
      <c r="E10459">
        <v>2018</v>
      </c>
      <c r="F10459" s="1">
        <v>81</v>
      </c>
      <c r="G10459">
        <v>2020</v>
      </c>
      <c r="H10459">
        <f>AVERAGEIFS(Table1[value],Table1[IndicatorCode],Table1[[#This Row],[IndicatorCode]])</f>
        <v>72.66514008620689</v>
      </c>
      <c r="I10459" cm="1">
        <f t="array" ref="I10459">_xlfn.STDEV.P(IF(Table1[IndicatorCode]=Table1[[#This Row],[IndicatorCode]],Table1[value]))</f>
        <v>6.3409496564024987</v>
      </c>
      <c r="J10459">
        <f>(Table1[[#This Row],[value]] - Table1[[#This Row],[mean]]) / Table1[[#This Row],[std_dev]]</f>
        <v>1.3144497851954</v>
      </c>
      <c r="K10459">
        <f>AVERAGEIF(Table1[CountryCode],Table1[[#This Row],[CountryCode]],Table1[z-score])</f>
        <v>5.4192965202863402E-2</v>
      </c>
      <c r="L10459" t="e">
        <f>VLOOKUP(Table1[[#This Row],[CountryCode]],[1]!Table1[#All],1,FALSE)</f>
        <v>#REF!</v>
      </c>
    </row>
    <row r="10460" spans="1:12" hidden="1" x14ac:dyDescent="0.3">
      <c r="A10460" t="s">
        <v>109</v>
      </c>
      <c r="B10460" t="s">
        <v>110</v>
      </c>
      <c r="C10460" t="s">
        <v>129</v>
      </c>
      <c r="D10460" t="s">
        <v>130</v>
      </c>
      <c r="E10460">
        <v>2019</v>
      </c>
      <c r="F10460" s="1">
        <v>82</v>
      </c>
      <c r="G10460">
        <v>2020</v>
      </c>
      <c r="H10460">
        <f>AVERAGEIFS(Table1[value],Table1[IndicatorCode],Table1[[#This Row],[IndicatorCode]])</f>
        <v>72.66514008620689</v>
      </c>
      <c r="I10460" cm="1">
        <f t="array" ref="I10460">_xlfn.STDEV.P(IF(Table1[IndicatorCode]=Table1[[#This Row],[IndicatorCode]],Table1[value]))</f>
        <v>6.3409496564024987</v>
      </c>
      <c r="J10460">
        <f>(Table1[[#This Row],[value]] - Table1[[#This Row],[mean]]) / Table1[[#This Row],[std_dev]]</f>
        <v>1.4721548694788391</v>
      </c>
      <c r="K10460">
        <f>AVERAGEIF(Table1[CountryCode],Table1[[#This Row],[CountryCode]],Table1[z-score])</f>
        <v>5.4192965202863402E-2</v>
      </c>
      <c r="L10460" t="e">
        <f>VLOOKUP(Table1[[#This Row],[CountryCode]],[1]!Table1[#All],1,FALSE)</f>
        <v>#REF!</v>
      </c>
    </row>
    <row r="10461" spans="1:12" x14ac:dyDescent="0.3">
      <c r="A10461" t="s">
        <v>109</v>
      </c>
      <c r="B10461" t="s">
        <v>110</v>
      </c>
      <c r="C10461" t="s">
        <v>129</v>
      </c>
      <c r="D10461" t="s">
        <v>130</v>
      </c>
      <c r="E10461">
        <v>2020</v>
      </c>
      <c r="F10461" s="1">
        <v>81</v>
      </c>
      <c r="G10461">
        <v>2020</v>
      </c>
      <c r="H10461">
        <f>AVERAGEIFS(Table1[value],Table1[IndicatorCode],Table1[[#This Row],[IndicatorCode]])</f>
        <v>72.66514008620689</v>
      </c>
      <c r="I10461" cm="1">
        <f t="array" ref="I10461">_xlfn.STDEV.P(IF(Table1[IndicatorCode]=Table1[[#This Row],[IndicatorCode]],Table1[value]))</f>
        <v>6.3409496564024987</v>
      </c>
      <c r="J10461">
        <f>(Table1[[#This Row],[value]] - Table1[[#This Row],[mean]]) / Table1[[#This Row],[std_dev]]</f>
        <v>1.3144497851954</v>
      </c>
      <c r="K10461">
        <f>AVERAGEIF(Table1[CountryCode],Table1[[#This Row],[CountryCode]],Table1[z-score])</f>
        <v>5.4192965202863402E-2</v>
      </c>
    </row>
    <row r="10462" spans="1:12" hidden="1" x14ac:dyDescent="0.3">
      <c r="A10462" t="s">
        <v>109</v>
      </c>
      <c r="B10462" t="s">
        <v>110</v>
      </c>
      <c r="C10462" t="s">
        <v>129</v>
      </c>
      <c r="D10462" t="s">
        <v>130</v>
      </c>
      <c r="E10462">
        <v>2021</v>
      </c>
      <c r="F10462" s="1">
        <v>81</v>
      </c>
      <c r="G10462">
        <v>1960</v>
      </c>
      <c r="H10462">
        <f>AVERAGEIFS(Table1[value],Table1[IndicatorCode],Table1[[#This Row],[IndicatorCode]])</f>
        <v>72.66514008620689</v>
      </c>
      <c r="I10462" cm="1">
        <f t="array" ref="I10462">_xlfn.STDEV.P(IF(Table1[IndicatorCode]=Table1[[#This Row],[IndicatorCode]],Table1[value]))</f>
        <v>6.3409496564024987</v>
      </c>
      <c r="J10462">
        <f>(Table1[[#This Row],[value]] - Table1[[#This Row],[mean]]) / Table1[[#This Row],[std_dev]]</f>
        <v>1.3144497851954</v>
      </c>
      <c r="K10462">
        <f>AVERAGEIF(Table1[CountryCode],Table1[[#This Row],[CountryCode]],Table1[z-score])</f>
        <v>5.4192965202863402E-2</v>
      </c>
      <c r="L10462" t="e">
        <f>VLOOKUP(Table1[[#This Row],[CountryCode]],[1]!Table1[#All],1,FALSE)</f>
        <v>#REF!</v>
      </c>
    </row>
    <row r="10463" spans="1:12" hidden="1" x14ac:dyDescent="0.3">
      <c r="A10463" t="s">
        <v>109</v>
      </c>
      <c r="B10463" t="s">
        <v>110</v>
      </c>
      <c r="C10463" t="s">
        <v>129</v>
      </c>
      <c r="D10463" t="s">
        <v>130</v>
      </c>
      <c r="E10463">
        <v>2022</v>
      </c>
      <c r="F10463" s="1">
        <v>81</v>
      </c>
      <c r="G10463">
        <v>1960</v>
      </c>
      <c r="H10463">
        <f>AVERAGEIFS(Table1[value],Table1[IndicatorCode],Table1[[#This Row],[IndicatorCode]])</f>
        <v>72.66514008620689</v>
      </c>
      <c r="I10463" cm="1">
        <f t="array" ref="I10463">_xlfn.STDEV.P(IF(Table1[IndicatorCode]=Table1[[#This Row],[IndicatorCode]],Table1[value]))</f>
        <v>6.3409496564024987</v>
      </c>
      <c r="J10463">
        <f>(Table1[[#This Row],[value]] - Table1[[#This Row],[mean]]) / Table1[[#This Row],[std_dev]]</f>
        <v>1.3144497851954</v>
      </c>
      <c r="K10463">
        <f>AVERAGEIF(Table1[CountryCode],Table1[[#This Row],[CountryCode]],Table1[z-score])</f>
        <v>5.4192965202863402E-2</v>
      </c>
      <c r="L10463" t="e">
        <f>VLOOKUP(Table1[[#This Row],[CountryCode]],[1]!Table1[#All],1,FALSE)</f>
        <v>#REF!</v>
      </c>
    </row>
    <row r="10464" spans="1:12" hidden="1" x14ac:dyDescent="0.3">
      <c r="A10464" t="s">
        <v>109</v>
      </c>
      <c r="B10464" t="s">
        <v>110</v>
      </c>
      <c r="C10464" t="s">
        <v>129</v>
      </c>
      <c r="D10464" t="s">
        <v>130</v>
      </c>
      <c r="E10464">
        <v>2023</v>
      </c>
      <c r="F10464" s="1">
        <v>82</v>
      </c>
      <c r="G10464">
        <v>1960</v>
      </c>
      <c r="H10464">
        <f>AVERAGEIFS(Table1[value],Table1[IndicatorCode],Table1[[#This Row],[IndicatorCode]])</f>
        <v>72.66514008620689</v>
      </c>
      <c r="I10464" cm="1">
        <f t="array" ref="I10464">_xlfn.STDEV.P(IF(Table1[IndicatorCode]=Table1[[#This Row],[IndicatorCode]],Table1[value]))</f>
        <v>6.3409496564024987</v>
      </c>
      <c r="J10464">
        <f>(Table1[[#This Row],[value]] - Table1[[#This Row],[mean]]) / Table1[[#This Row],[std_dev]]</f>
        <v>1.4721548694788391</v>
      </c>
      <c r="K10464">
        <f>AVERAGEIF(Table1[CountryCode],Table1[[#This Row],[CountryCode]],Table1[z-score])</f>
        <v>5.4192965202863402E-2</v>
      </c>
      <c r="L10464" t="e">
        <f>VLOOKUP(Table1[[#This Row],[CountryCode]],[1]!Table1[#All],1,FALSE)</f>
        <v>#REF!</v>
      </c>
    </row>
    <row r="10465" spans="1:12" hidden="1" x14ac:dyDescent="0.3">
      <c r="A10465" t="s">
        <v>111</v>
      </c>
      <c r="B10465" t="s">
        <v>112</v>
      </c>
      <c r="C10465" t="s">
        <v>129</v>
      </c>
      <c r="D10465" t="s">
        <v>130</v>
      </c>
      <c r="E10465">
        <v>1960</v>
      </c>
      <c r="F10465" s="1">
        <v>73</v>
      </c>
      <c r="G10465">
        <v>1960</v>
      </c>
      <c r="H10465">
        <f>AVERAGEIFS(Table1[value],Table1[IndicatorCode],Table1[[#This Row],[IndicatorCode]])</f>
        <v>72.66514008620689</v>
      </c>
      <c r="I10465" cm="1">
        <f t="array" ref="I10465">_xlfn.STDEV.P(IF(Table1[IndicatorCode]=Table1[[#This Row],[IndicatorCode]],Table1[value]))</f>
        <v>6.3409496564024987</v>
      </c>
      <c r="J10465">
        <f>(Table1[[#This Row],[value]] - Table1[[#This Row],[mean]]) / Table1[[#This Row],[std_dev]]</f>
        <v>5.2809110927887599E-2</v>
      </c>
      <c r="K10465">
        <f>AVERAGEIF(Table1[CountryCode],Table1[[#This Row],[CountryCode]],Table1[z-score])</f>
        <v>0.37952535202791182</v>
      </c>
      <c r="L10465" t="e">
        <f>VLOOKUP(Table1[[#This Row],[CountryCode]],[1]!Table1[#All],1,FALSE)</f>
        <v>#REF!</v>
      </c>
    </row>
    <row r="10466" spans="1:12" hidden="1" x14ac:dyDescent="0.3">
      <c r="A10466" t="s">
        <v>111</v>
      </c>
      <c r="B10466" t="s">
        <v>112</v>
      </c>
      <c r="C10466" t="s">
        <v>129</v>
      </c>
      <c r="D10466" t="s">
        <v>130</v>
      </c>
      <c r="E10466">
        <v>1961</v>
      </c>
      <c r="F10466" s="1">
        <v>73</v>
      </c>
      <c r="G10466">
        <v>1960</v>
      </c>
      <c r="H10466">
        <f>AVERAGEIFS(Table1[value],Table1[IndicatorCode],Table1[[#This Row],[IndicatorCode]])</f>
        <v>72.66514008620689</v>
      </c>
      <c r="I10466" cm="1">
        <f t="array" ref="I10466">_xlfn.STDEV.P(IF(Table1[IndicatorCode]=Table1[[#This Row],[IndicatorCode]],Table1[value]))</f>
        <v>6.3409496564024987</v>
      </c>
      <c r="J10466">
        <f>(Table1[[#This Row],[value]] - Table1[[#This Row],[mean]]) / Table1[[#This Row],[std_dev]]</f>
        <v>5.2809110927887599E-2</v>
      </c>
      <c r="K10466">
        <f>AVERAGEIF(Table1[CountryCode],Table1[[#This Row],[CountryCode]],Table1[z-score])</f>
        <v>0.37952535202791182</v>
      </c>
      <c r="L10466" t="e">
        <f>VLOOKUP(Table1[[#This Row],[CountryCode]],[1]!Table1[#All],1,FALSE)</f>
        <v>#REF!</v>
      </c>
    </row>
    <row r="10467" spans="1:12" hidden="1" x14ac:dyDescent="0.3">
      <c r="A10467" t="s">
        <v>111</v>
      </c>
      <c r="B10467" t="s">
        <v>112</v>
      </c>
      <c r="C10467" t="s">
        <v>129</v>
      </c>
      <c r="D10467" t="s">
        <v>130</v>
      </c>
      <c r="E10467">
        <v>1962</v>
      </c>
      <c r="F10467" s="1">
        <v>73</v>
      </c>
      <c r="G10467">
        <v>1960</v>
      </c>
      <c r="H10467">
        <f>AVERAGEIFS(Table1[value],Table1[IndicatorCode],Table1[[#This Row],[IndicatorCode]])</f>
        <v>72.66514008620689</v>
      </c>
      <c r="I10467" cm="1">
        <f t="array" ref="I10467">_xlfn.STDEV.P(IF(Table1[IndicatorCode]=Table1[[#This Row],[IndicatorCode]],Table1[value]))</f>
        <v>6.3409496564024987</v>
      </c>
      <c r="J10467">
        <f>(Table1[[#This Row],[value]] - Table1[[#This Row],[mean]]) / Table1[[#This Row],[std_dev]]</f>
        <v>5.2809110927887599E-2</v>
      </c>
      <c r="K10467">
        <f>AVERAGEIF(Table1[CountryCode],Table1[[#This Row],[CountryCode]],Table1[z-score])</f>
        <v>0.37952535202791182</v>
      </c>
      <c r="L10467" t="e">
        <f>VLOOKUP(Table1[[#This Row],[CountryCode]],[1]!Table1[#All],1,FALSE)</f>
        <v>#REF!</v>
      </c>
    </row>
    <row r="10468" spans="1:12" hidden="1" x14ac:dyDescent="0.3">
      <c r="A10468" t="s">
        <v>111</v>
      </c>
      <c r="B10468" t="s">
        <v>112</v>
      </c>
      <c r="C10468" t="s">
        <v>129</v>
      </c>
      <c r="D10468" t="s">
        <v>130</v>
      </c>
      <c r="E10468">
        <v>1963</v>
      </c>
      <c r="F10468" s="1">
        <v>74</v>
      </c>
      <c r="G10468">
        <v>1960</v>
      </c>
      <c r="H10468">
        <f>AVERAGEIFS(Table1[value],Table1[IndicatorCode],Table1[[#This Row],[IndicatorCode]])</f>
        <v>72.66514008620689</v>
      </c>
      <c r="I10468" cm="1">
        <f t="array" ref="I10468">_xlfn.STDEV.P(IF(Table1[IndicatorCode]=Table1[[#This Row],[IndicatorCode]],Table1[value]))</f>
        <v>6.3409496564024987</v>
      </c>
      <c r="J10468">
        <f>(Table1[[#This Row],[value]] - Table1[[#This Row],[mean]]) / Table1[[#This Row],[std_dev]]</f>
        <v>0.21051419521132667</v>
      </c>
      <c r="K10468">
        <f>AVERAGEIF(Table1[CountryCode],Table1[[#This Row],[CountryCode]],Table1[z-score])</f>
        <v>0.37952535202791182</v>
      </c>
      <c r="L10468" t="e">
        <f>VLOOKUP(Table1[[#This Row],[CountryCode]],[1]!Table1[#All],1,FALSE)</f>
        <v>#REF!</v>
      </c>
    </row>
    <row r="10469" spans="1:12" hidden="1" x14ac:dyDescent="0.3">
      <c r="A10469" t="s">
        <v>111</v>
      </c>
      <c r="B10469" t="s">
        <v>112</v>
      </c>
      <c r="C10469" t="s">
        <v>129</v>
      </c>
      <c r="D10469" t="s">
        <v>130</v>
      </c>
      <c r="E10469">
        <v>1964</v>
      </c>
      <c r="F10469" s="1">
        <v>74</v>
      </c>
      <c r="G10469">
        <v>1960</v>
      </c>
      <c r="H10469">
        <f>AVERAGEIFS(Table1[value],Table1[IndicatorCode],Table1[[#This Row],[IndicatorCode]])</f>
        <v>72.66514008620689</v>
      </c>
      <c r="I10469" cm="1">
        <f t="array" ref="I10469">_xlfn.STDEV.P(IF(Table1[IndicatorCode]=Table1[[#This Row],[IndicatorCode]],Table1[value]))</f>
        <v>6.3409496564024987</v>
      </c>
      <c r="J10469">
        <f>(Table1[[#This Row],[value]] - Table1[[#This Row],[mean]]) / Table1[[#This Row],[std_dev]]</f>
        <v>0.21051419521132667</v>
      </c>
      <c r="K10469">
        <f>AVERAGEIF(Table1[CountryCode],Table1[[#This Row],[CountryCode]],Table1[z-score])</f>
        <v>0.37952535202791182</v>
      </c>
      <c r="L10469" t="e">
        <f>VLOOKUP(Table1[[#This Row],[CountryCode]],[1]!Table1[#All],1,FALSE)</f>
        <v>#REF!</v>
      </c>
    </row>
    <row r="10470" spans="1:12" hidden="1" x14ac:dyDescent="0.3">
      <c r="A10470" t="s">
        <v>111</v>
      </c>
      <c r="B10470" t="s">
        <v>112</v>
      </c>
      <c r="C10470" t="s">
        <v>129</v>
      </c>
      <c r="D10470" t="s">
        <v>130</v>
      </c>
      <c r="E10470">
        <v>1965</v>
      </c>
      <c r="F10470" s="1">
        <v>74</v>
      </c>
      <c r="G10470">
        <v>1960</v>
      </c>
      <c r="H10470">
        <f>AVERAGEIFS(Table1[value],Table1[IndicatorCode],Table1[[#This Row],[IndicatorCode]])</f>
        <v>72.66514008620689</v>
      </c>
      <c r="I10470" cm="1">
        <f t="array" ref="I10470">_xlfn.STDEV.P(IF(Table1[IndicatorCode]=Table1[[#This Row],[IndicatorCode]],Table1[value]))</f>
        <v>6.3409496564024987</v>
      </c>
      <c r="J10470">
        <f>(Table1[[#This Row],[value]] - Table1[[#This Row],[mean]]) / Table1[[#This Row],[std_dev]]</f>
        <v>0.21051419521132667</v>
      </c>
      <c r="K10470">
        <f>AVERAGEIF(Table1[CountryCode],Table1[[#This Row],[CountryCode]],Table1[z-score])</f>
        <v>0.37952535202791182</v>
      </c>
      <c r="L10470" t="e">
        <f>VLOOKUP(Table1[[#This Row],[CountryCode]],[1]!Table1[#All],1,FALSE)</f>
        <v>#REF!</v>
      </c>
    </row>
    <row r="10471" spans="1:12" hidden="1" x14ac:dyDescent="0.3">
      <c r="A10471" t="s">
        <v>111</v>
      </c>
      <c r="B10471" t="s">
        <v>112</v>
      </c>
      <c r="C10471" t="s">
        <v>129</v>
      </c>
      <c r="D10471" t="s">
        <v>130</v>
      </c>
      <c r="E10471">
        <v>1966</v>
      </c>
      <c r="F10471" s="1">
        <v>74</v>
      </c>
      <c r="G10471">
        <v>1960</v>
      </c>
      <c r="H10471">
        <f>AVERAGEIFS(Table1[value],Table1[IndicatorCode],Table1[[#This Row],[IndicatorCode]])</f>
        <v>72.66514008620689</v>
      </c>
      <c r="I10471" cm="1">
        <f t="array" ref="I10471">_xlfn.STDEV.P(IF(Table1[IndicatorCode]=Table1[[#This Row],[IndicatorCode]],Table1[value]))</f>
        <v>6.3409496564024987</v>
      </c>
      <c r="J10471">
        <f>(Table1[[#This Row],[value]] - Table1[[#This Row],[mean]]) / Table1[[#This Row],[std_dev]]</f>
        <v>0.21051419521132667</v>
      </c>
      <c r="K10471">
        <f>AVERAGEIF(Table1[CountryCode],Table1[[#This Row],[CountryCode]],Table1[z-score])</f>
        <v>0.37952535202791182</v>
      </c>
      <c r="L10471" t="e">
        <f>VLOOKUP(Table1[[#This Row],[CountryCode]],[1]!Table1[#All],1,FALSE)</f>
        <v>#REF!</v>
      </c>
    </row>
    <row r="10472" spans="1:12" hidden="1" x14ac:dyDescent="0.3">
      <c r="A10472" t="s">
        <v>111</v>
      </c>
      <c r="B10472" t="s">
        <v>112</v>
      </c>
      <c r="C10472" t="s">
        <v>129</v>
      </c>
      <c r="D10472" t="s">
        <v>130</v>
      </c>
      <c r="E10472">
        <v>1967</v>
      </c>
      <c r="F10472" s="1">
        <v>74</v>
      </c>
      <c r="G10472">
        <v>1970</v>
      </c>
      <c r="H10472">
        <f>AVERAGEIFS(Table1[value],Table1[IndicatorCode],Table1[[#This Row],[IndicatorCode]])</f>
        <v>72.66514008620689</v>
      </c>
      <c r="I10472" cm="1">
        <f t="array" ref="I10472">_xlfn.STDEV.P(IF(Table1[IndicatorCode]=Table1[[#This Row],[IndicatorCode]],Table1[value]))</f>
        <v>6.3409496564024987</v>
      </c>
      <c r="J10472">
        <f>(Table1[[#This Row],[value]] - Table1[[#This Row],[mean]]) / Table1[[#This Row],[std_dev]]</f>
        <v>0.21051419521132667</v>
      </c>
      <c r="K10472">
        <f>AVERAGEIF(Table1[CountryCode],Table1[[#This Row],[CountryCode]],Table1[z-score])</f>
        <v>0.37952535202791182</v>
      </c>
      <c r="L10472" t="e">
        <f>VLOOKUP(Table1[[#This Row],[CountryCode]],[1]!Table1[#All],1,FALSE)</f>
        <v>#REF!</v>
      </c>
    </row>
    <row r="10473" spans="1:12" hidden="1" x14ac:dyDescent="0.3">
      <c r="A10473" t="s">
        <v>111</v>
      </c>
      <c r="B10473" t="s">
        <v>112</v>
      </c>
      <c r="C10473" t="s">
        <v>129</v>
      </c>
      <c r="D10473" t="s">
        <v>130</v>
      </c>
      <c r="E10473">
        <v>1968</v>
      </c>
      <c r="F10473" s="1">
        <v>74</v>
      </c>
      <c r="G10473">
        <v>1970</v>
      </c>
      <c r="H10473">
        <f>AVERAGEIFS(Table1[value],Table1[IndicatorCode],Table1[[#This Row],[IndicatorCode]])</f>
        <v>72.66514008620689</v>
      </c>
      <c r="I10473" cm="1">
        <f t="array" ref="I10473">_xlfn.STDEV.P(IF(Table1[IndicatorCode]=Table1[[#This Row],[IndicatorCode]],Table1[value]))</f>
        <v>6.3409496564024987</v>
      </c>
      <c r="J10473">
        <f>(Table1[[#This Row],[value]] - Table1[[#This Row],[mean]]) / Table1[[#This Row],[std_dev]]</f>
        <v>0.21051419521132667</v>
      </c>
      <c r="K10473">
        <f>AVERAGEIF(Table1[CountryCode],Table1[[#This Row],[CountryCode]],Table1[z-score])</f>
        <v>0.37952535202791182</v>
      </c>
      <c r="L10473" t="e">
        <f>VLOOKUP(Table1[[#This Row],[CountryCode]],[1]!Table1[#All],1,FALSE)</f>
        <v>#REF!</v>
      </c>
    </row>
    <row r="10474" spans="1:12" hidden="1" x14ac:dyDescent="0.3">
      <c r="A10474" t="s">
        <v>111</v>
      </c>
      <c r="B10474" t="s">
        <v>112</v>
      </c>
      <c r="C10474" t="s">
        <v>129</v>
      </c>
      <c r="D10474" t="s">
        <v>130</v>
      </c>
      <c r="E10474">
        <v>1969</v>
      </c>
      <c r="F10474" s="1">
        <v>74</v>
      </c>
      <c r="G10474">
        <v>1970</v>
      </c>
      <c r="H10474">
        <f>AVERAGEIFS(Table1[value],Table1[IndicatorCode],Table1[[#This Row],[IndicatorCode]])</f>
        <v>72.66514008620689</v>
      </c>
      <c r="I10474" cm="1">
        <f t="array" ref="I10474">_xlfn.STDEV.P(IF(Table1[IndicatorCode]=Table1[[#This Row],[IndicatorCode]],Table1[value]))</f>
        <v>6.3409496564024987</v>
      </c>
      <c r="J10474">
        <f>(Table1[[#This Row],[value]] - Table1[[#This Row],[mean]]) / Table1[[#This Row],[std_dev]]</f>
        <v>0.21051419521132667</v>
      </c>
      <c r="K10474">
        <f>AVERAGEIF(Table1[CountryCode],Table1[[#This Row],[CountryCode]],Table1[z-score])</f>
        <v>0.37952535202791182</v>
      </c>
      <c r="L10474" t="e">
        <f>VLOOKUP(Table1[[#This Row],[CountryCode]],[1]!Table1[#All],1,FALSE)</f>
        <v>#REF!</v>
      </c>
    </row>
    <row r="10475" spans="1:12" hidden="1" x14ac:dyDescent="0.3">
      <c r="A10475" t="s">
        <v>111</v>
      </c>
      <c r="B10475" t="s">
        <v>112</v>
      </c>
      <c r="C10475" t="s">
        <v>129</v>
      </c>
      <c r="D10475" t="s">
        <v>130</v>
      </c>
      <c r="E10475">
        <v>1970</v>
      </c>
      <c r="F10475" s="1">
        <v>75</v>
      </c>
      <c r="G10475">
        <v>1970</v>
      </c>
      <c r="H10475">
        <f>AVERAGEIFS(Table1[value],Table1[IndicatorCode],Table1[[#This Row],[IndicatorCode]])</f>
        <v>72.66514008620689</v>
      </c>
      <c r="I10475" cm="1">
        <f t="array" ref="I10475">_xlfn.STDEV.P(IF(Table1[IndicatorCode]=Table1[[#This Row],[IndicatorCode]],Table1[value]))</f>
        <v>6.3409496564024987</v>
      </c>
      <c r="J10475">
        <f>(Table1[[#This Row],[value]] - Table1[[#This Row],[mean]]) / Table1[[#This Row],[std_dev]]</f>
        <v>0.36821927949476574</v>
      </c>
      <c r="K10475">
        <f>AVERAGEIF(Table1[CountryCode],Table1[[#This Row],[CountryCode]],Table1[z-score])</f>
        <v>0.37952535202791182</v>
      </c>
      <c r="L10475" t="e">
        <f>VLOOKUP(Table1[[#This Row],[CountryCode]],[1]!Table1[#All],1,FALSE)</f>
        <v>#REF!</v>
      </c>
    </row>
    <row r="10476" spans="1:12" hidden="1" x14ac:dyDescent="0.3">
      <c r="A10476" t="s">
        <v>111</v>
      </c>
      <c r="B10476" t="s">
        <v>112</v>
      </c>
      <c r="C10476" t="s">
        <v>129</v>
      </c>
      <c r="D10476" t="s">
        <v>130</v>
      </c>
      <c r="E10476">
        <v>1971</v>
      </c>
      <c r="F10476" s="1">
        <v>75</v>
      </c>
      <c r="G10476">
        <v>1970</v>
      </c>
      <c r="H10476">
        <f>AVERAGEIFS(Table1[value],Table1[IndicatorCode],Table1[[#This Row],[IndicatorCode]])</f>
        <v>72.66514008620689</v>
      </c>
      <c r="I10476" cm="1">
        <f t="array" ref="I10476">_xlfn.STDEV.P(IF(Table1[IndicatorCode]=Table1[[#This Row],[IndicatorCode]],Table1[value]))</f>
        <v>6.3409496564024987</v>
      </c>
      <c r="J10476">
        <f>(Table1[[#This Row],[value]] - Table1[[#This Row],[mean]]) / Table1[[#This Row],[std_dev]]</f>
        <v>0.36821927949476574</v>
      </c>
      <c r="K10476">
        <f>AVERAGEIF(Table1[CountryCode],Table1[[#This Row],[CountryCode]],Table1[z-score])</f>
        <v>0.37952535202791182</v>
      </c>
      <c r="L10476" t="e">
        <f>VLOOKUP(Table1[[#This Row],[CountryCode]],[1]!Table1[#All],1,FALSE)</f>
        <v>#REF!</v>
      </c>
    </row>
    <row r="10477" spans="1:12" hidden="1" x14ac:dyDescent="0.3">
      <c r="A10477" t="s">
        <v>111</v>
      </c>
      <c r="B10477" t="s">
        <v>112</v>
      </c>
      <c r="C10477" t="s">
        <v>129</v>
      </c>
      <c r="D10477" t="s">
        <v>130</v>
      </c>
      <c r="E10477">
        <v>1972</v>
      </c>
      <c r="F10477" s="1">
        <v>75</v>
      </c>
      <c r="G10477">
        <v>1970</v>
      </c>
      <c r="H10477">
        <f>AVERAGEIFS(Table1[value],Table1[IndicatorCode],Table1[[#This Row],[IndicatorCode]])</f>
        <v>72.66514008620689</v>
      </c>
      <c r="I10477" cm="1">
        <f t="array" ref="I10477">_xlfn.STDEV.P(IF(Table1[IndicatorCode]=Table1[[#This Row],[IndicatorCode]],Table1[value]))</f>
        <v>6.3409496564024987</v>
      </c>
      <c r="J10477">
        <f>(Table1[[#This Row],[value]] - Table1[[#This Row],[mean]]) / Table1[[#This Row],[std_dev]]</f>
        <v>0.36821927949476574</v>
      </c>
      <c r="K10477">
        <f>AVERAGEIF(Table1[CountryCode],Table1[[#This Row],[CountryCode]],Table1[z-score])</f>
        <v>0.37952535202791182</v>
      </c>
      <c r="L10477" t="e">
        <f>VLOOKUP(Table1[[#This Row],[CountryCode]],[1]!Table1[#All],1,FALSE)</f>
        <v>#REF!</v>
      </c>
    </row>
    <row r="10478" spans="1:12" hidden="1" x14ac:dyDescent="0.3">
      <c r="A10478" t="s">
        <v>111</v>
      </c>
      <c r="B10478" t="s">
        <v>112</v>
      </c>
      <c r="C10478" t="s">
        <v>129</v>
      </c>
      <c r="D10478" t="s">
        <v>130</v>
      </c>
      <c r="E10478">
        <v>1973</v>
      </c>
      <c r="F10478" s="1">
        <v>75</v>
      </c>
      <c r="G10478">
        <v>1970</v>
      </c>
      <c r="H10478">
        <f>AVERAGEIFS(Table1[value],Table1[IndicatorCode],Table1[[#This Row],[IndicatorCode]])</f>
        <v>72.66514008620689</v>
      </c>
      <c r="I10478" cm="1">
        <f t="array" ref="I10478">_xlfn.STDEV.P(IF(Table1[IndicatorCode]=Table1[[#This Row],[IndicatorCode]],Table1[value]))</f>
        <v>6.3409496564024987</v>
      </c>
      <c r="J10478">
        <f>(Table1[[#This Row],[value]] - Table1[[#This Row],[mean]]) / Table1[[#This Row],[std_dev]]</f>
        <v>0.36821927949476574</v>
      </c>
      <c r="K10478">
        <f>AVERAGEIF(Table1[CountryCode],Table1[[#This Row],[CountryCode]],Table1[z-score])</f>
        <v>0.37952535202791182</v>
      </c>
      <c r="L10478" t="e">
        <f>VLOOKUP(Table1[[#This Row],[CountryCode]],[1]!Table1[#All],1,FALSE)</f>
        <v>#REF!</v>
      </c>
    </row>
    <row r="10479" spans="1:12" hidden="1" x14ac:dyDescent="0.3">
      <c r="A10479" t="s">
        <v>111</v>
      </c>
      <c r="B10479" t="s">
        <v>112</v>
      </c>
      <c r="C10479" t="s">
        <v>129</v>
      </c>
      <c r="D10479" t="s">
        <v>130</v>
      </c>
      <c r="E10479">
        <v>1974</v>
      </c>
      <c r="F10479" s="1">
        <v>75</v>
      </c>
      <c r="G10479">
        <v>1970</v>
      </c>
      <c r="H10479">
        <f>AVERAGEIFS(Table1[value],Table1[IndicatorCode],Table1[[#This Row],[IndicatorCode]])</f>
        <v>72.66514008620689</v>
      </c>
      <c r="I10479" cm="1">
        <f t="array" ref="I10479">_xlfn.STDEV.P(IF(Table1[IndicatorCode]=Table1[[#This Row],[IndicatorCode]],Table1[value]))</f>
        <v>6.3409496564024987</v>
      </c>
      <c r="J10479">
        <f>(Table1[[#This Row],[value]] - Table1[[#This Row],[mean]]) / Table1[[#This Row],[std_dev]]</f>
        <v>0.36821927949476574</v>
      </c>
      <c r="K10479">
        <f>AVERAGEIF(Table1[CountryCode],Table1[[#This Row],[CountryCode]],Table1[z-score])</f>
        <v>0.37952535202791182</v>
      </c>
      <c r="L10479" t="e">
        <f>VLOOKUP(Table1[[#This Row],[CountryCode]],[1]!Table1[#All],1,FALSE)</f>
        <v>#REF!</v>
      </c>
    </row>
    <row r="10480" spans="1:12" hidden="1" x14ac:dyDescent="0.3">
      <c r="A10480" t="s">
        <v>111</v>
      </c>
      <c r="B10480" t="s">
        <v>112</v>
      </c>
      <c r="C10480" t="s">
        <v>129</v>
      </c>
      <c r="D10480" t="s">
        <v>130</v>
      </c>
      <c r="E10480">
        <v>1975</v>
      </c>
      <c r="F10480" s="1">
        <v>75</v>
      </c>
      <c r="G10480">
        <v>1970</v>
      </c>
      <c r="H10480">
        <f>AVERAGEIFS(Table1[value],Table1[IndicatorCode],Table1[[#This Row],[IndicatorCode]])</f>
        <v>72.66514008620689</v>
      </c>
      <c r="I10480" cm="1">
        <f t="array" ref="I10480">_xlfn.STDEV.P(IF(Table1[IndicatorCode]=Table1[[#This Row],[IndicatorCode]],Table1[value]))</f>
        <v>6.3409496564024987</v>
      </c>
      <c r="J10480">
        <f>(Table1[[#This Row],[value]] - Table1[[#This Row],[mean]]) / Table1[[#This Row],[std_dev]]</f>
        <v>0.36821927949476574</v>
      </c>
      <c r="K10480">
        <f>AVERAGEIF(Table1[CountryCode],Table1[[#This Row],[CountryCode]],Table1[z-score])</f>
        <v>0.37952535202791182</v>
      </c>
      <c r="L10480" t="e">
        <f>VLOOKUP(Table1[[#This Row],[CountryCode]],[1]!Table1[#All],1,FALSE)</f>
        <v>#REF!</v>
      </c>
    </row>
    <row r="10481" spans="1:12" hidden="1" x14ac:dyDescent="0.3">
      <c r="A10481" t="s">
        <v>111</v>
      </c>
      <c r="B10481" t="s">
        <v>112</v>
      </c>
      <c r="C10481" t="s">
        <v>129</v>
      </c>
      <c r="D10481" t="s">
        <v>130</v>
      </c>
      <c r="E10481">
        <v>1976</v>
      </c>
      <c r="F10481" s="1">
        <v>75</v>
      </c>
      <c r="G10481">
        <v>1970</v>
      </c>
      <c r="H10481">
        <f>AVERAGEIFS(Table1[value],Table1[IndicatorCode],Table1[[#This Row],[IndicatorCode]])</f>
        <v>72.66514008620689</v>
      </c>
      <c r="I10481" cm="1">
        <f t="array" ref="I10481">_xlfn.STDEV.P(IF(Table1[IndicatorCode]=Table1[[#This Row],[IndicatorCode]],Table1[value]))</f>
        <v>6.3409496564024987</v>
      </c>
      <c r="J10481">
        <f>(Table1[[#This Row],[value]] - Table1[[#This Row],[mean]]) / Table1[[#This Row],[std_dev]]</f>
        <v>0.36821927949476574</v>
      </c>
      <c r="K10481">
        <f>AVERAGEIF(Table1[CountryCode],Table1[[#This Row],[CountryCode]],Table1[z-score])</f>
        <v>0.37952535202791182</v>
      </c>
      <c r="L10481" t="e">
        <f>VLOOKUP(Table1[[#This Row],[CountryCode]],[1]!Table1[#All],1,FALSE)</f>
        <v>#REF!</v>
      </c>
    </row>
    <row r="10482" spans="1:12" hidden="1" x14ac:dyDescent="0.3">
      <c r="A10482" t="s">
        <v>111</v>
      </c>
      <c r="B10482" t="s">
        <v>112</v>
      </c>
      <c r="C10482" t="s">
        <v>129</v>
      </c>
      <c r="D10482" t="s">
        <v>130</v>
      </c>
      <c r="E10482">
        <v>1977</v>
      </c>
      <c r="F10482" s="1">
        <v>75</v>
      </c>
      <c r="G10482">
        <v>1980</v>
      </c>
      <c r="H10482">
        <f>AVERAGEIFS(Table1[value],Table1[IndicatorCode],Table1[[#This Row],[IndicatorCode]])</f>
        <v>72.66514008620689</v>
      </c>
      <c r="I10482" cm="1">
        <f t="array" ref="I10482">_xlfn.STDEV.P(IF(Table1[IndicatorCode]=Table1[[#This Row],[IndicatorCode]],Table1[value]))</f>
        <v>6.3409496564024987</v>
      </c>
      <c r="J10482">
        <f>(Table1[[#This Row],[value]] - Table1[[#This Row],[mean]]) / Table1[[#This Row],[std_dev]]</f>
        <v>0.36821927949476574</v>
      </c>
      <c r="K10482">
        <f>AVERAGEIF(Table1[CountryCode],Table1[[#This Row],[CountryCode]],Table1[z-score])</f>
        <v>0.37952535202791182</v>
      </c>
      <c r="L10482" t="e">
        <f>VLOOKUP(Table1[[#This Row],[CountryCode]],[1]!Table1[#All],1,FALSE)</f>
        <v>#REF!</v>
      </c>
    </row>
    <row r="10483" spans="1:12" hidden="1" x14ac:dyDescent="0.3">
      <c r="A10483" t="s">
        <v>111</v>
      </c>
      <c r="B10483" t="s">
        <v>112</v>
      </c>
      <c r="C10483" t="s">
        <v>129</v>
      </c>
      <c r="D10483" t="s">
        <v>130</v>
      </c>
      <c r="E10483">
        <v>1978</v>
      </c>
      <c r="F10483" s="1">
        <v>75</v>
      </c>
      <c r="G10483">
        <v>1980</v>
      </c>
      <c r="H10483">
        <f>AVERAGEIFS(Table1[value],Table1[IndicatorCode],Table1[[#This Row],[IndicatorCode]])</f>
        <v>72.66514008620689</v>
      </c>
      <c r="I10483" cm="1">
        <f t="array" ref="I10483">_xlfn.STDEV.P(IF(Table1[IndicatorCode]=Table1[[#This Row],[IndicatorCode]],Table1[value]))</f>
        <v>6.3409496564024987</v>
      </c>
      <c r="J10483">
        <f>(Table1[[#This Row],[value]] - Table1[[#This Row],[mean]]) / Table1[[#This Row],[std_dev]]</f>
        <v>0.36821927949476574</v>
      </c>
      <c r="K10483">
        <f>AVERAGEIF(Table1[CountryCode],Table1[[#This Row],[CountryCode]],Table1[z-score])</f>
        <v>0.37952535202791182</v>
      </c>
      <c r="L10483" t="e">
        <f>VLOOKUP(Table1[[#This Row],[CountryCode]],[1]!Table1[#All],1,FALSE)</f>
        <v>#REF!</v>
      </c>
    </row>
    <row r="10484" spans="1:12" hidden="1" x14ac:dyDescent="0.3">
      <c r="A10484" t="s">
        <v>111</v>
      </c>
      <c r="B10484" t="s">
        <v>112</v>
      </c>
      <c r="C10484" t="s">
        <v>129</v>
      </c>
      <c r="D10484" t="s">
        <v>130</v>
      </c>
      <c r="E10484">
        <v>1979</v>
      </c>
      <c r="F10484" s="1">
        <v>76</v>
      </c>
      <c r="G10484">
        <v>1980</v>
      </c>
      <c r="H10484">
        <f>AVERAGEIFS(Table1[value],Table1[IndicatorCode],Table1[[#This Row],[IndicatorCode]])</f>
        <v>72.66514008620689</v>
      </c>
      <c r="I10484" cm="1">
        <f t="array" ref="I10484">_xlfn.STDEV.P(IF(Table1[IndicatorCode]=Table1[[#This Row],[IndicatorCode]],Table1[value]))</f>
        <v>6.3409496564024987</v>
      </c>
      <c r="J10484">
        <f>(Table1[[#This Row],[value]] - Table1[[#This Row],[mean]]) / Table1[[#This Row],[std_dev]]</f>
        <v>0.52592436377820473</v>
      </c>
      <c r="K10484">
        <f>AVERAGEIF(Table1[CountryCode],Table1[[#This Row],[CountryCode]],Table1[z-score])</f>
        <v>0.37952535202791182</v>
      </c>
      <c r="L10484" t="e">
        <f>VLOOKUP(Table1[[#This Row],[CountryCode]],[1]!Table1[#All],1,FALSE)</f>
        <v>#REF!</v>
      </c>
    </row>
    <row r="10485" spans="1:12" hidden="1" x14ac:dyDescent="0.3">
      <c r="A10485" t="s">
        <v>111</v>
      </c>
      <c r="B10485" t="s">
        <v>112</v>
      </c>
      <c r="C10485" t="s">
        <v>129</v>
      </c>
      <c r="D10485" t="s">
        <v>130</v>
      </c>
      <c r="E10485">
        <v>1980</v>
      </c>
      <c r="F10485" s="1">
        <v>76</v>
      </c>
      <c r="G10485">
        <v>1980</v>
      </c>
      <c r="H10485">
        <f>AVERAGEIFS(Table1[value],Table1[IndicatorCode],Table1[[#This Row],[IndicatorCode]])</f>
        <v>72.66514008620689</v>
      </c>
      <c r="I10485" cm="1">
        <f t="array" ref="I10485">_xlfn.STDEV.P(IF(Table1[IndicatorCode]=Table1[[#This Row],[IndicatorCode]],Table1[value]))</f>
        <v>6.3409496564024987</v>
      </c>
      <c r="J10485">
        <f>(Table1[[#This Row],[value]] - Table1[[#This Row],[mean]]) / Table1[[#This Row],[std_dev]]</f>
        <v>0.52592436377820473</v>
      </c>
      <c r="K10485">
        <f>AVERAGEIF(Table1[CountryCode],Table1[[#This Row],[CountryCode]],Table1[z-score])</f>
        <v>0.37952535202791182</v>
      </c>
      <c r="L10485" t="e">
        <f>VLOOKUP(Table1[[#This Row],[CountryCode]],[1]!Table1[#All],1,FALSE)</f>
        <v>#REF!</v>
      </c>
    </row>
    <row r="10486" spans="1:12" hidden="1" x14ac:dyDescent="0.3">
      <c r="A10486" t="s">
        <v>111</v>
      </c>
      <c r="B10486" t="s">
        <v>112</v>
      </c>
      <c r="C10486" t="s">
        <v>129</v>
      </c>
      <c r="D10486" t="s">
        <v>130</v>
      </c>
      <c r="E10486">
        <v>1981</v>
      </c>
      <c r="F10486" s="1">
        <v>76</v>
      </c>
      <c r="G10486">
        <v>1980</v>
      </c>
      <c r="H10486">
        <f>AVERAGEIFS(Table1[value],Table1[IndicatorCode],Table1[[#This Row],[IndicatorCode]])</f>
        <v>72.66514008620689</v>
      </c>
      <c r="I10486" cm="1">
        <f t="array" ref="I10486">_xlfn.STDEV.P(IF(Table1[IndicatorCode]=Table1[[#This Row],[IndicatorCode]],Table1[value]))</f>
        <v>6.3409496564024987</v>
      </c>
      <c r="J10486">
        <f>(Table1[[#This Row],[value]] - Table1[[#This Row],[mean]]) / Table1[[#This Row],[std_dev]]</f>
        <v>0.52592436377820473</v>
      </c>
      <c r="K10486">
        <f>AVERAGEIF(Table1[CountryCode],Table1[[#This Row],[CountryCode]],Table1[z-score])</f>
        <v>0.37952535202791182</v>
      </c>
      <c r="L10486" t="e">
        <f>VLOOKUP(Table1[[#This Row],[CountryCode]],[1]!Table1[#All],1,FALSE)</f>
        <v>#REF!</v>
      </c>
    </row>
    <row r="10487" spans="1:12" hidden="1" x14ac:dyDescent="0.3">
      <c r="A10487" t="s">
        <v>111</v>
      </c>
      <c r="B10487" t="s">
        <v>112</v>
      </c>
      <c r="C10487" t="s">
        <v>129</v>
      </c>
      <c r="D10487" t="s">
        <v>130</v>
      </c>
      <c r="E10487">
        <v>1982</v>
      </c>
      <c r="F10487" s="1">
        <v>76</v>
      </c>
      <c r="G10487">
        <v>1980</v>
      </c>
      <c r="H10487">
        <f>AVERAGEIFS(Table1[value],Table1[IndicatorCode],Table1[[#This Row],[IndicatorCode]])</f>
        <v>72.66514008620689</v>
      </c>
      <c r="I10487" cm="1">
        <f t="array" ref="I10487">_xlfn.STDEV.P(IF(Table1[IndicatorCode]=Table1[[#This Row],[IndicatorCode]],Table1[value]))</f>
        <v>6.3409496564024987</v>
      </c>
      <c r="J10487">
        <f>(Table1[[#This Row],[value]] - Table1[[#This Row],[mean]]) / Table1[[#This Row],[std_dev]]</f>
        <v>0.52592436377820473</v>
      </c>
      <c r="K10487">
        <f>AVERAGEIF(Table1[CountryCode],Table1[[#This Row],[CountryCode]],Table1[z-score])</f>
        <v>0.37952535202791182</v>
      </c>
      <c r="L10487" t="e">
        <f>VLOOKUP(Table1[[#This Row],[CountryCode]],[1]!Table1[#All],1,FALSE)</f>
        <v>#REF!</v>
      </c>
    </row>
    <row r="10488" spans="1:12" hidden="1" x14ac:dyDescent="0.3">
      <c r="A10488" t="s">
        <v>111</v>
      </c>
      <c r="B10488" t="s">
        <v>112</v>
      </c>
      <c r="C10488" t="s">
        <v>129</v>
      </c>
      <c r="D10488" t="s">
        <v>130</v>
      </c>
      <c r="E10488">
        <v>1983</v>
      </c>
      <c r="F10488" s="1">
        <v>77</v>
      </c>
      <c r="G10488">
        <v>1980</v>
      </c>
      <c r="H10488">
        <f>AVERAGEIFS(Table1[value],Table1[IndicatorCode],Table1[[#This Row],[IndicatorCode]])</f>
        <v>72.66514008620689</v>
      </c>
      <c r="I10488" cm="1">
        <f t="array" ref="I10488">_xlfn.STDEV.P(IF(Table1[IndicatorCode]=Table1[[#This Row],[IndicatorCode]],Table1[value]))</f>
        <v>6.3409496564024987</v>
      </c>
      <c r="J10488">
        <f>(Table1[[#This Row],[value]] - Table1[[#This Row],[mean]]) / Table1[[#This Row],[std_dev]]</f>
        <v>0.68362944806164383</v>
      </c>
      <c r="K10488">
        <f>AVERAGEIF(Table1[CountryCode],Table1[[#This Row],[CountryCode]],Table1[z-score])</f>
        <v>0.37952535202791182</v>
      </c>
      <c r="L10488" t="e">
        <f>VLOOKUP(Table1[[#This Row],[CountryCode]],[1]!Table1[#All],1,FALSE)</f>
        <v>#REF!</v>
      </c>
    </row>
    <row r="10489" spans="1:12" hidden="1" x14ac:dyDescent="0.3">
      <c r="A10489" t="s">
        <v>111</v>
      </c>
      <c r="B10489" t="s">
        <v>112</v>
      </c>
      <c r="C10489" t="s">
        <v>129</v>
      </c>
      <c r="D10489" t="s">
        <v>130</v>
      </c>
      <c r="E10489">
        <v>1984</v>
      </c>
      <c r="F10489" s="1">
        <v>77</v>
      </c>
      <c r="G10489">
        <v>1980</v>
      </c>
      <c r="H10489">
        <f>AVERAGEIFS(Table1[value],Table1[IndicatorCode],Table1[[#This Row],[IndicatorCode]])</f>
        <v>72.66514008620689</v>
      </c>
      <c r="I10489" cm="1">
        <f t="array" ref="I10489">_xlfn.STDEV.P(IF(Table1[IndicatorCode]=Table1[[#This Row],[IndicatorCode]],Table1[value]))</f>
        <v>6.3409496564024987</v>
      </c>
      <c r="J10489">
        <f>(Table1[[#This Row],[value]] - Table1[[#This Row],[mean]]) / Table1[[#This Row],[std_dev]]</f>
        <v>0.68362944806164383</v>
      </c>
      <c r="K10489">
        <f>AVERAGEIF(Table1[CountryCode],Table1[[#This Row],[CountryCode]],Table1[z-score])</f>
        <v>0.37952535202791182</v>
      </c>
      <c r="L10489" t="e">
        <f>VLOOKUP(Table1[[#This Row],[CountryCode]],[1]!Table1[#All],1,FALSE)</f>
        <v>#REF!</v>
      </c>
    </row>
    <row r="10490" spans="1:12" hidden="1" x14ac:dyDescent="0.3">
      <c r="A10490" t="s">
        <v>111</v>
      </c>
      <c r="B10490" t="s">
        <v>112</v>
      </c>
      <c r="C10490" t="s">
        <v>129</v>
      </c>
      <c r="D10490" t="s">
        <v>130</v>
      </c>
      <c r="E10490">
        <v>1985</v>
      </c>
      <c r="F10490" s="1">
        <v>77</v>
      </c>
      <c r="G10490">
        <v>1980</v>
      </c>
      <c r="H10490">
        <f>AVERAGEIFS(Table1[value],Table1[IndicatorCode],Table1[[#This Row],[IndicatorCode]])</f>
        <v>72.66514008620689</v>
      </c>
      <c r="I10490" cm="1">
        <f t="array" ref="I10490">_xlfn.STDEV.P(IF(Table1[IndicatorCode]=Table1[[#This Row],[IndicatorCode]],Table1[value]))</f>
        <v>6.3409496564024987</v>
      </c>
      <c r="J10490">
        <f>(Table1[[#This Row],[value]] - Table1[[#This Row],[mean]]) / Table1[[#This Row],[std_dev]]</f>
        <v>0.68362944806164383</v>
      </c>
      <c r="K10490">
        <f>AVERAGEIF(Table1[CountryCode],Table1[[#This Row],[CountryCode]],Table1[z-score])</f>
        <v>0.37952535202791182</v>
      </c>
      <c r="L10490" t="e">
        <f>VLOOKUP(Table1[[#This Row],[CountryCode]],[1]!Table1[#All],1,FALSE)</f>
        <v>#REF!</v>
      </c>
    </row>
    <row r="10491" spans="1:12" hidden="1" x14ac:dyDescent="0.3">
      <c r="A10491" t="s">
        <v>111</v>
      </c>
      <c r="B10491" t="s">
        <v>112</v>
      </c>
      <c r="C10491" t="s">
        <v>129</v>
      </c>
      <c r="D10491" t="s">
        <v>130</v>
      </c>
      <c r="E10491">
        <v>1986</v>
      </c>
      <c r="F10491" s="1">
        <v>77</v>
      </c>
      <c r="G10491">
        <v>1980</v>
      </c>
      <c r="H10491">
        <f>AVERAGEIFS(Table1[value],Table1[IndicatorCode],Table1[[#This Row],[IndicatorCode]])</f>
        <v>72.66514008620689</v>
      </c>
      <c r="I10491" cm="1">
        <f t="array" ref="I10491">_xlfn.STDEV.P(IF(Table1[IndicatorCode]=Table1[[#This Row],[IndicatorCode]],Table1[value]))</f>
        <v>6.3409496564024987</v>
      </c>
      <c r="J10491">
        <f>(Table1[[#This Row],[value]] - Table1[[#This Row],[mean]]) / Table1[[#This Row],[std_dev]]</f>
        <v>0.68362944806164383</v>
      </c>
      <c r="K10491">
        <f>AVERAGEIF(Table1[CountryCode],Table1[[#This Row],[CountryCode]],Table1[z-score])</f>
        <v>0.37952535202791182</v>
      </c>
      <c r="L10491" t="e">
        <f>VLOOKUP(Table1[[#This Row],[CountryCode]],[1]!Table1[#All],1,FALSE)</f>
        <v>#REF!</v>
      </c>
    </row>
    <row r="10492" spans="1:12" hidden="1" x14ac:dyDescent="0.3">
      <c r="A10492" t="s">
        <v>111</v>
      </c>
      <c r="B10492" t="s">
        <v>112</v>
      </c>
      <c r="C10492" t="s">
        <v>129</v>
      </c>
      <c r="D10492" t="s">
        <v>130</v>
      </c>
      <c r="E10492">
        <v>1987</v>
      </c>
      <c r="F10492" s="1">
        <v>77</v>
      </c>
      <c r="G10492">
        <v>1990</v>
      </c>
      <c r="H10492">
        <f>AVERAGEIFS(Table1[value],Table1[IndicatorCode],Table1[[#This Row],[IndicatorCode]])</f>
        <v>72.66514008620689</v>
      </c>
      <c r="I10492" cm="1">
        <f t="array" ref="I10492">_xlfn.STDEV.P(IF(Table1[IndicatorCode]=Table1[[#This Row],[IndicatorCode]],Table1[value]))</f>
        <v>6.3409496564024987</v>
      </c>
      <c r="J10492">
        <f>(Table1[[#This Row],[value]] - Table1[[#This Row],[mean]]) / Table1[[#This Row],[std_dev]]</f>
        <v>0.68362944806164383</v>
      </c>
      <c r="K10492">
        <f>AVERAGEIF(Table1[CountryCode],Table1[[#This Row],[CountryCode]],Table1[z-score])</f>
        <v>0.37952535202791182</v>
      </c>
      <c r="L10492" t="e">
        <f>VLOOKUP(Table1[[#This Row],[CountryCode]],[1]!Table1[#All],1,FALSE)</f>
        <v>#REF!</v>
      </c>
    </row>
    <row r="10493" spans="1:12" hidden="1" x14ac:dyDescent="0.3">
      <c r="A10493" t="s">
        <v>111</v>
      </c>
      <c r="B10493" t="s">
        <v>112</v>
      </c>
      <c r="C10493" t="s">
        <v>129</v>
      </c>
      <c r="D10493" t="s">
        <v>130</v>
      </c>
      <c r="E10493">
        <v>1988</v>
      </c>
      <c r="F10493" s="1">
        <v>77</v>
      </c>
      <c r="G10493">
        <v>1990</v>
      </c>
      <c r="H10493">
        <f>AVERAGEIFS(Table1[value],Table1[IndicatorCode],Table1[[#This Row],[IndicatorCode]])</f>
        <v>72.66514008620689</v>
      </c>
      <c r="I10493" cm="1">
        <f t="array" ref="I10493">_xlfn.STDEV.P(IF(Table1[IndicatorCode]=Table1[[#This Row],[IndicatorCode]],Table1[value]))</f>
        <v>6.3409496564024987</v>
      </c>
      <c r="J10493">
        <f>(Table1[[#This Row],[value]] - Table1[[#This Row],[mean]]) / Table1[[#This Row],[std_dev]]</f>
        <v>0.68362944806164383</v>
      </c>
      <c r="K10493">
        <f>AVERAGEIF(Table1[CountryCode],Table1[[#This Row],[CountryCode]],Table1[z-score])</f>
        <v>0.37952535202791182</v>
      </c>
      <c r="L10493" t="e">
        <f>VLOOKUP(Table1[[#This Row],[CountryCode]],[1]!Table1[#All],1,FALSE)</f>
        <v>#REF!</v>
      </c>
    </row>
    <row r="10494" spans="1:12" hidden="1" x14ac:dyDescent="0.3">
      <c r="A10494" t="s">
        <v>111</v>
      </c>
      <c r="B10494" t="s">
        <v>112</v>
      </c>
      <c r="C10494" t="s">
        <v>129</v>
      </c>
      <c r="D10494" t="s">
        <v>130</v>
      </c>
      <c r="E10494">
        <v>1989</v>
      </c>
      <c r="F10494" s="1">
        <v>78</v>
      </c>
      <c r="G10494">
        <v>1990</v>
      </c>
      <c r="H10494">
        <f>AVERAGEIFS(Table1[value],Table1[IndicatorCode],Table1[[#This Row],[IndicatorCode]])</f>
        <v>72.66514008620689</v>
      </c>
      <c r="I10494" cm="1">
        <f t="array" ref="I10494">_xlfn.STDEV.P(IF(Table1[IndicatorCode]=Table1[[#This Row],[IndicatorCode]],Table1[value]))</f>
        <v>6.3409496564024987</v>
      </c>
      <c r="J10494">
        <f>(Table1[[#This Row],[value]] - Table1[[#This Row],[mean]]) / Table1[[#This Row],[std_dev]]</f>
        <v>0.84133453234508293</v>
      </c>
      <c r="K10494">
        <f>AVERAGEIF(Table1[CountryCode],Table1[[#This Row],[CountryCode]],Table1[z-score])</f>
        <v>0.37952535202791182</v>
      </c>
      <c r="L10494" t="e">
        <f>VLOOKUP(Table1[[#This Row],[CountryCode]],[1]!Table1[#All],1,FALSE)</f>
        <v>#REF!</v>
      </c>
    </row>
    <row r="10495" spans="1:12" hidden="1" x14ac:dyDescent="0.3">
      <c r="A10495" t="s">
        <v>111</v>
      </c>
      <c r="B10495" t="s">
        <v>112</v>
      </c>
      <c r="C10495" t="s">
        <v>129</v>
      </c>
      <c r="D10495" t="s">
        <v>130</v>
      </c>
      <c r="E10495">
        <v>1990</v>
      </c>
      <c r="F10495" s="1">
        <v>78</v>
      </c>
      <c r="G10495">
        <v>1990</v>
      </c>
      <c r="H10495">
        <f>AVERAGEIFS(Table1[value],Table1[IndicatorCode],Table1[[#This Row],[IndicatorCode]])</f>
        <v>72.66514008620689</v>
      </c>
      <c r="I10495" cm="1">
        <f t="array" ref="I10495">_xlfn.STDEV.P(IF(Table1[IndicatorCode]=Table1[[#This Row],[IndicatorCode]],Table1[value]))</f>
        <v>6.3409496564024987</v>
      </c>
      <c r="J10495">
        <f>(Table1[[#This Row],[value]] - Table1[[#This Row],[mean]]) / Table1[[#This Row],[std_dev]]</f>
        <v>0.84133453234508293</v>
      </c>
      <c r="K10495">
        <f>AVERAGEIF(Table1[CountryCode],Table1[[#This Row],[CountryCode]],Table1[z-score])</f>
        <v>0.37952535202791182</v>
      </c>
      <c r="L10495" t="e">
        <f>VLOOKUP(Table1[[#This Row],[CountryCode]],[1]!Table1[#All],1,FALSE)</f>
        <v>#REF!</v>
      </c>
    </row>
    <row r="10496" spans="1:12" hidden="1" x14ac:dyDescent="0.3">
      <c r="A10496" t="s">
        <v>111</v>
      </c>
      <c r="B10496" t="s">
        <v>112</v>
      </c>
      <c r="C10496" t="s">
        <v>129</v>
      </c>
      <c r="D10496" t="s">
        <v>130</v>
      </c>
      <c r="E10496">
        <v>1991</v>
      </c>
      <c r="F10496" s="1">
        <v>78</v>
      </c>
      <c r="G10496">
        <v>1990</v>
      </c>
      <c r="H10496">
        <f>AVERAGEIFS(Table1[value],Table1[IndicatorCode],Table1[[#This Row],[IndicatorCode]])</f>
        <v>72.66514008620689</v>
      </c>
      <c r="I10496" cm="1">
        <f t="array" ref="I10496">_xlfn.STDEV.P(IF(Table1[IndicatorCode]=Table1[[#This Row],[IndicatorCode]],Table1[value]))</f>
        <v>6.3409496564024987</v>
      </c>
      <c r="J10496">
        <f>(Table1[[#This Row],[value]] - Table1[[#This Row],[mean]]) / Table1[[#This Row],[std_dev]]</f>
        <v>0.84133453234508293</v>
      </c>
      <c r="K10496">
        <f>AVERAGEIF(Table1[CountryCode],Table1[[#This Row],[CountryCode]],Table1[z-score])</f>
        <v>0.37952535202791182</v>
      </c>
      <c r="L10496" t="e">
        <f>VLOOKUP(Table1[[#This Row],[CountryCode]],[1]!Table1[#All],1,FALSE)</f>
        <v>#REF!</v>
      </c>
    </row>
    <row r="10497" spans="1:12" hidden="1" x14ac:dyDescent="0.3">
      <c r="A10497" t="s">
        <v>111</v>
      </c>
      <c r="B10497" t="s">
        <v>112</v>
      </c>
      <c r="C10497" t="s">
        <v>129</v>
      </c>
      <c r="D10497" t="s">
        <v>130</v>
      </c>
      <c r="E10497">
        <v>1992</v>
      </c>
      <c r="F10497" s="1">
        <v>78</v>
      </c>
      <c r="G10497">
        <v>1990</v>
      </c>
      <c r="H10497">
        <f>AVERAGEIFS(Table1[value],Table1[IndicatorCode],Table1[[#This Row],[IndicatorCode]])</f>
        <v>72.66514008620689</v>
      </c>
      <c r="I10497" cm="1">
        <f t="array" ref="I10497">_xlfn.STDEV.P(IF(Table1[IndicatorCode]=Table1[[#This Row],[IndicatorCode]],Table1[value]))</f>
        <v>6.3409496564024987</v>
      </c>
      <c r="J10497">
        <f>(Table1[[#This Row],[value]] - Table1[[#This Row],[mean]]) / Table1[[#This Row],[std_dev]]</f>
        <v>0.84133453234508293</v>
      </c>
      <c r="K10497">
        <f>AVERAGEIF(Table1[CountryCode],Table1[[#This Row],[CountryCode]],Table1[z-score])</f>
        <v>0.37952535202791182</v>
      </c>
      <c r="L10497" t="e">
        <f>VLOOKUP(Table1[[#This Row],[CountryCode]],[1]!Table1[#All],1,FALSE)</f>
        <v>#REF!</v>
      </c>
    </row>
    <row r="10498" spans="1:12" hidden="1" x14ac:dyDescent="0.3">
      <c r="A10498" t="s">
        <v>111</v>
      </c>
      <c r="B10498" t="s">
        <v>112</v>
      </c>
      <c r="C10498" t="s">
        <v>129</v>
      </c>
      <c r="D10498" t="s">
        <v>130</v>
      </c>
      <c r="E10498">
        <v>1993</v>
      </c>
      <c r="F10498" s="1">
        <v>78</v>
      </c>
      <c r="G10498">
        <v>1990</v>
      </c>
      <c r="H10498">
        <f>AVERAGEIFS(Table1[value],Table1[IndicatorCode],Table1[[#This Row],[IndicatorCode]])</f>
        <v>72.66514008620689</v>
      </c>
      <c r="I10498" cm="1">
        <f t="array" ref="I10498">_xlfn.STDEV.P(IF(Table1[IndicatorCode]=Table1[[#This Row],[IndicatorCode]],Table1[value]))</f>
        <v>6.3409496564024987</v>
      </c>
      <c r="J10498">
        <f>(Table1[[#This Row],[value]] - Table1[[#This Row],[mean]]) / Table1[[#This Row],[std_dev]]</f>
        <v>0.84133453234508293</v>
      </c>
      <c r="K10498">
        <f>AVERAGEIF(Table1[CountryCode],Table1[[#This Row],[CountryCode]],Table1[z-score])</f>
        <v>0.37952535202791182</v>
      </c>
      <c r="L10498" t="e">
        <f>VLOOKUP(Table1[[#This Row],[CountryCode]],[1]!Table1[#All],1,FALSE)</f>
        <v>#REF!</v>
      </c>
    </row>
    <row r="10499" spans="1:12" hidden="1" x14ac:dyDescent="0.3">
      <c r="A10499" t="s">
        <v>111</v>
      </c>
      <c r="B10499" t="s">
        <v>112</v>
      </c>
      <c r="C10499" t="s">
        <v>129</v>
      </c>
      <c r="D10499" t="s">
        <v>130</v>
      </c>
      <c r="E10499">
        <v>1994</v>
      </c>
      <c r="F10499" s="1">
        <v>79</v>
      </c>
      <c r="G10499">
        <v>1990</v>
      </c>
      <c r="H10499">
        <f>AVERAGEIFS(Table1[value],Table1[IndicatorCode],Table1[[#This Row],[IndicatorCode]])</f>
        <v>72.66514008620689</v>
      </c>
      <c r="I10499" cm="1">
        <f t="array" ref="I10499">_xlfn.STDEV.P(IF(Table1[IndicatorCode]=Table1[[#This Row],[IndicatorCode]],Table1[value]))</f>
        <v>6.3409496564024987</v>
      </c>
      <c r="J10499">
        <f>(Table1[[#This Row],[value]] - Table1[[#This Row],[mean]]) / Table1[[#This Row],[std_dev]]</f>
        <v>0.99903961662852192</v>
      </c>
      <c r="K10499">
        <f>AVERAGEIF(Table1[CountryCode],Table1[[#This Row],[CountryCode]],Table1[z-score])</f>
        <v>0.37952535202791182</v>
      </c>
      <c r="L10499" t="e">
        <f>VLOOKUP(Table1[[#This Row],[CountryCode]],[1]!Table1[#All],1,FALSE)</f>
        <v>#REF!</v>
      </c>
    </row>
    <row r="10500" spans="1:12" hidden="1" x14ac:dyDescent="0.3">
      <c r="A10500" t="s">
        <v>111</v>
      </c>
      <c r="B10500" t="s">
        <v>112</v>
      </c>
      <c r="C10500" t="s">
        <v>129</v>
      </c>
      <c r="D10500" t="s">
        <v>130</v>
      </c>
      <c r="E10500">
        <v>1995</v>
      </c>
      <c r="F10500" s="1">
        <v>79</v>
      </c>
      <c r="G10500">
        <v>1990</v>
      </c>
      <c r="H10500">
        <f>AVERAGEIFS(Table1[value],Table1[IndicatorCode],Table1[[#This Row],[IndicatorCode]])</f>
        <v>72.66514008620689</v>
      </c>
      <c r="I10500" cm="1">
        <f t="array" ref="I10500">_xlfn.STDEV.P(IF(Table1[IndicatorCode]=Table1[[#This Row],[IndicatorCode]],Table1[value]))</f>
        <v>6.3409496564024987</v>
      </c>
      <c r="J10500">
        <f>(Table1[[#This Row],[value]] - Table1[[#This Row],[mean]]) / Table1[[#This Row],[std_dev]]</f>
        <v>0.99903961662852192</v>
      </c>
      <c r="K10500">
        <f>AVERAGEIF(Table1[CountryCode],Table1[[#This Row],[CountryCode]],Table1[z-score])</f>
        <v>0.37952535202791182</v>
      </c>
      <c r="L10500" t="e">
        <f>VLOOKUP(Table1[[#This Row],[CountryCode]],[1]!Table1[#All],1,FALSE)</f>
        <v>#REF!</v>
      </c>
    </row>
    <row r="10501" spans="1:12" hidden="1" x14ac:dyDescent="0.3">
      <c r="A10501" t="s">
        <v>111</v>
      </c>
      <c r="B10501" t="s">
        <v>112</v>
      </c>
      <c r="C10501" t="s">
        <v>129</v>
      </c>
      <c r="D10501" t="s">
        <v>130</v>
      </c>
      <c r="E10501">
        <v>1996</v>
      </c>
      <c r="F10501" s="1">
        <v>79</v>
      </c>
      <c r="G10501">
        <v>1990</v>
      </c>
      <c r="H10501">
        <f>AVERAGEIFS(Table1[value],Table1[IndicatorCode],Table1[[#This Row],[IndicatorCode]])</f>
        <v>72.66514008620689</v>
      </c>
      <c r="I10501" cm="1">
        <f t="array" ref="I10501">_xlfn.STDEV.P(IF(Table1[IndicatorCode]=Table1[[#This Row],[IndicatorCode]],Table1[value]))</f>
        <v>6.3409496564024987</v>
      </c>
      <c r="J10501">
        <f>(Table1[[#This Row],[value]] - Table1[[#This Row],[mean]]) / Table1[[#This Row],[std_dev]]</f>
        <v>0.99903961662852192</v>
      </c>
      <c r="K10501">
        <f>AVERAGEIF(Table1[CountryCode],Table1[[#This Row],[CountryCode]],Table1[z-score])</f>
        <v>0.37952535202791182</v>
      </c>
      <c r="L10501" t="e">
        <f>VLOOKUP(Table1[[#This Row],[CountryCode]],[1]!Table1[#All],1,FALSE)</f>
        <v>#REF!</v>
      </c>
    </row>
    <row r="10502" spans="1:12" hidden="1" x14ac:dyDescent="0.3">
      <c r="A10502" t="s">
        <v>111</v>
      </c>
      <c r="B10502" t="s">
        <v>112</v>
      </c>
      <c r="C10502" t="s">
        <v>129</v>
      </c>
      <c r="D10502" t="s">
        <v>130</v>
      </c>
      <c r="E10502">
        <v>1997</v>
      </c>
      <c r="F10502" s="1">
        <v>79</v>
      </c>
      <c r="G10502">
        <v>2000</v>
      </c>
      <c r="H10502">
        <f>AVERAGEIFS(Table1[value],Table1[IndicatorCode],Table1[[#This Row],[IndicatorCode]])</f>
        <v>72.66514008620689</v>
      </c>
      <c r="I10502" cm="1">
        <f t="array" ref="I10502">_xlfn.STDEV.P(IF(Table1[IndicatorCode]=Table1[[#This Row],[IndicatorCode]],Table1[value]))</f>
        <v>6.3409496564024987</v>
      </c>
      <c r="J10502">
        <f>(Table1[[#This Row],[value]] - Table1[[#This Row],[mean]]) / Table1[[#This Row],[std_dev]]</f>
        <v>0.99903961662852192</v>
      </c>
      <c r="K10502">
        <f>AVERAGEIF(Table1[CountryCode],Table1[[#This Row],[CountryCode]],Table1[z-score])</f>
        <v>0.37952535202791182</v>
      </c>
      <c r="L10502" t="e">
        <f>VLOOKUP(Table1[[#This Row],[CountryCode]],[1]!Table1[#All],1,FALSE)</f>
        <v>#REF!</v>
      </c>
    </row>
    <row r="10503" spans="1:12" hidden="1" x14ac:dyDescent="0.3">
      <c r="A10503" t="s">
        <v>111</v>
      </c>
      <c r="B10503" t="s">
        <v>112</v>
      </c>
      <c r="C10503" t="s">
        <v>129</v>
      </c>
      <c r="D10503" t="s">
        <v>130</v>
      </c>
      <c r="E10503">
        <v>1998</v>
      </c>
      <c r="F10503" s="1">
        <v>79</v>
      </c>
      <c r="G10503">
        <v>2000</v>
      </c>
      <c r="H10503">
        <f>AVERAGEIFS(Table1[value],Table1[IndicatorCode],Table1[[#This Row],[IndicatorCode]])</f>
        <v>72.66514008620689</v>
      </c>
      <c r="I10503" cm="1">
        <f t="array" ref="I10503">_xlfn.STDEV.P(IF(Table1[IndicatorCode]=Table1[[#This Row],[IndicatorCode]],Table1[value]))</f>
        <v>6.3409496564024987</v>
      </c>
      <c r="J10503">
        <f>(Table1[[#This Row],[value]] - Table1[[#This Row],[mean]]) / Table1[[#This Row],[std_dev]]</f>
        <v>0.99903961662852192</v>
      </c>
      <c r="K10503">
        <f>AVERAGEIF(Table1[CountryCode],Table1[[#This Row],[CountryCode]],Table1[z-score])</f>
        <v>0.37952535202791182</v>
      </c>
      <c r="L10503" t="e">
        <f>VLOOKUP(Table1[[#This Row],[CountryCode]],[1]!Table1[#All],1,FALSE)</f>
        <v>#REF!</v>
      </c>
    </row>
    <row r="10504" spans="1:12" hidden="1" x14ac:dyDescent="0.3">
      <c r="A10504" t="s">
        <v>111</v>
      </c>
      <c r="B10504" t="s">
        <v>112</v>
      </c>
      <c r="C10504" t="s">
        <v>129</v>
      </c>
      <c r="D10504" t="s">
        <v>130</v>
      </c>
      <c r="E10504">
        <v>1999</v>
      </c>
      <c r="F10504" s="1">
        <v>79</v>
      </c>
      <c r="G10504">
        <v>2000</v>
      </c>
      <c r="H10504">
        <f>AVERAGEIFS(Table1[value],Table1[IndicatorCode],Table1[[#This Row],[IndicatorCode]])</f>
        <v>72.66514008620689</v>
      </c>
      <c r="I10504" cm="1">
        <f t="array" ref="I10504">_xlfn.STDEV.P(IF(Table1[IndicatorCode]=Table1[[#This Row],[IndicatorCode]],Table1[value]))</f>
        <v>6.3409496564024987</v>
      </c>
      <c r="J10504">
        <f>(Table1[[#This Row],[value]] - Table1[[#This Row],[mean]]) / Table1[[#This Row],[std_dev]]</f>
        <v>0.99903961662852192</v>
      </c>
      <c r="K10504">
        <f>AVERAGEIF(Table1[CountryCode],Table1[[#This Row],[CountryCode]],Table1[z-score])</f>
        <v>0.37952535202791182</v>
      </c>
      <c r="L10504" t="e">
        <f>VLOOKUP(Table1[[#This Row],[CountryCode]],[1]!Table1[#All],1,FALSE)</f>
        <v>#REF!</v>
      </c>
    </row>
    <row r="10505" spans="1:12" hidden="1" x14ac:dyDescent="0.3">
      <c r="A10505" t="s">
        <v>111</v>
      </c>
      <c r="B10505" t="s">
        <v>112</v>
      </c>
      <c r="C10505" t="s">
        <v>129</v>
      </c>
      <c r="D10505" t="s">
        <v>130</v>
      </c>
      <c r="E10505">
        <v>2000</v>
      </c>
      <c r="F10505" s="1">
        <v>80</v>
      </c>
      <c r="G10505">
        <v>2000</v>
      </c>
      <c r="H10505">
        <f>AVERAGEIFS(Table1[value],Table1[IndicatorCode],Table1[[#This Row],[IndicatorCode]])</f>
        <v>72.66514008620689</v>
      </c>
      <c r="I10505" cm="1">
        <f t="array" ref="I10505">_xlfn.STDEV.P(IF(Table1[IndicatorCode]=Table1[[#This Row],[IndicatorCode]],Table1[value]))</f>
        <v>6.3409496564024987</v>
      </c>
      <c r="J10505">
        <f>(Table1[[#This Row],[value]] - Table1[[#This Row],[mean]]) / Table1[[#This Row],[std_dev]]</f>
        <v>1.1567447009119609</v>
      </c>
      <c r="K10505">
        <f>AVERAGEIF(Table1[CountryCode],Table1[[#This Row],[CountryCode]],Table1[z-score])</f>
        <v>0.37952535202791182</v>
      </c>
      <c r="L10505" t="e">
        <f>VLOOKUP(Table1[[#This Row],[CountryCode]],[1]!Table1[#All],1,FALSE)</f>
        <v>#REF!</v>
      </c>
    </row>
    <row r="10506" spans="1:12" hidden="1" x14ac:dyDescent="0.3">
      <c r="A10506" t="s">
        <v>111</v>
      </c>
      <c r="B10506" t="s">
        <v>112</v>
      </c>
      <c r="C10506" t="s">
        <v>129</v>
      </c>
      <c r="D10506" t="s">
        <v>130</v>
      </c>
      <c r="E10506">
        <v>2001</v>
      </c>
      <c r="F10506" s="1">
        <v>80</v>
      </c>
      <c r="G10506">
        <v>2000</v>
      </c>
      <c r="H10506">
        <f>AVERAGEIFS(Table1[value],Table1[IndicatorCode],Table1[[#This Row],[IndicatorCode]])</f>
        <v>72.66514008620689</v>
      </c>
      <c r="I10506" cm="1">
        <f t="array" ref="I10506">_xlfn.STDEV.P(IF(Table1[IndicatorCode]=Table1[[#This Row],[IndicatorCode]],Table1[value]))</f>
        <v>6.3409496564024987</v>
      </c>
      <c r="J10506">
        <f>(Table1[[#This Row],[value]] - Table1[[#This Row],[mean]]) / Table1[[#This Row],[std_dev]]</f>
        <v>1.1567447009119609</v>
      </c>
      <c r="K10506">
        <f>AVERAGEIF(Table1[CountryCode],Table1[[#This Row],[CountryCode]],Table1[z-score])</f>
        <v>0.37952535202791182</v>
      </c>
      <c r="L10506" t="e">
        <f>VLOOKUP(Table1[[#This Row],[CountryCode]],[1]!Table1[#All],1,FALSE)</f>
        <v>#REF!</v>
      </c>
    </row>
    <row r="10507" spans="1:12" hidden="1" x14ac:dyDescent="0.3">
      <c r="A10507" t="s">
        <v>111</v>
      </c>
      <c r="B10507" t="s">
        <v>112</v>
      </c>
      <c r="C10507" t="s">
        <v>129</v>
      </c>
      <c r="D10507" t="s">
        <v>130</v>
      </c>
      <c r="E10507">
        <v>2002</v>
      </c>
      <c r="F10507" s="1">
        <v>80</v>
      </c>
      <c r="G10507">
        <v>2000</v>
      </c>
      <c r="H10507">
        <f>AVERAGEIFS(Table1[value],Table1[IndicatorCode],Table1[[#This Row],[IndicatorCode]])</f>
        <v>72.66514008620689</v>
      </c>
      <c r="I10507" cm="1">
        <f t="array" ref="I10507">_xlfn.STDEV.P(IF(Table1[IndicatorCode]=Table1[[#This Row],[IndicatorCode]],Table1[value]))</f>
        <v>6.3409496564024987</v>
      </c>
      <c r="J10507">
        <f>(Table1[[#This Row],[value]] - Table1[[#This Row],[mean]]) / Table1[[#This Row],[std_dev]]</f>
        <v>1.1567447009119609</v>
      </c>
      <c r="K10507">
        <f>AVERAGEIF(Table1[CountryCode],Table1[[#This Row],[CountryCode]],Table1[z-score])</f>
        <v>0.37952535202791182</v>
      </c>
      <c r="L10507" t="e">
        <f>VLOOKUP(Table1[[#This Row],[CountryCode]],[1]!Table1[#All],1,FALSE)</f>
        <v>#REF!</v>
      </c>
    </row>
    <row r="10508" spans="1:12" hidden="1" x14ac:dyDescent="0.3">
      <c r="A10508" t="s">
        <v>111</v>
      </c>
      <c r="B10508" t="s">
        <v>112</v>
      </c>
      <c r="C10508" t="s">
        <v>129</v>
      </c>
      <c r="D10508" t="s">
        <v>130</v>
      </c>
      <c r="E10508">
        <v>2003</v>
      </c>
      <c r="F10508" s="1">
        <v>80</v>
      </c>
      <c r="G10508">
        <v>2000</v>
      </c>
      <c r="H10508">
        <f>AVERAGEIFS(Table1[value],Table1[IndicatorCode],Table1[[#This Row],[IndicatorCode]])</f>
        <v>72.66514008620689</v>
      </c>
      <c r="I10508" cm="1">
        <f t="array" ref="I10508">_xlfn.STDEV.P(IF(Table1[IndicatorCode]=Table1[[#This Row],[IndicatorCode]],Table1[value]))</f>
        <v>6.3409496564024987</v>
      </c>
      <c r="J10508">
        <f>(Table1[[#This Row],[value]] - Table1[[#This Row],[mean]]) / Table1[[#This Row],[std_dev]]</f>
        <v>1.1567447009119609</v>
      </c>
      <c r="K10508">
        <f>AVERAGEIF(Table1[CountryCode],Table1[[#This Row],[CountryCode]],Table1[z-score])</f>
        <v>0.37952535202791182</v>
      </c>
      <c r="L10508" t="e">
        <f>VLOOKUP(Table1[[#This Row],[CountryCode]],[1]!Table1[#All],1,FALSE)</f>
        <v>#REF!</v>
      </c>
    </row>
    <row r="10509" spans="1:12" hidden="1" x14ac:dyDescent="0.3">
      <c r="A10509" t="s">
        <v>111</v>
      </c>
      <c r="B10509" t="s">
        <v>112</v>
      </c>
      <c r="C10509" t="s">
        <v>129</v>
      </c>
      <c r="D10509" t="s">
        <v>130</v>
      </c>
      <c r="E10509">
        <v>2004</v>
      </c>
      <c r="F10509" s="1">
        <v>80</v>
      </c>
      <c r="G10509">
        <v>2000</v>
      </c>
      <c r="H10509">
        <f>AVERAGEIFS(Table1[value],Table1[IndicatorCode],Table1[[#This Row],[IndicatorCode]])</f>
        <v>72.66514008620689</v>
      </c>
      <c r="I10509" cm="1">
        <f t="array" ref="I10509">_xlfn.STDEV.P(IF(Table1[IndicatorCode]=Table1[[#This Row],[IndicatorCode]],Table1[value]))</f>
        <v>6.3409496564024987</v>
      </c>
      <c r="J10509">
        <f>(Table1[[#This Row],[value]] - Table1[[#This Row],[mean]]) / Table1[[#This Row],[std_dev]]</f>
        <v>1.1567447009119609</v>
      </c>
      <c r="K10509">
        <f>AVERAGEIF(Table1[CountryCode],Table1[[#This Row],[CountryCode]],Table1[z-score])</f>
        <v>0.37952535202791182</v>
      </c>
      <c r="L10509" t="e">
        <f>VLOOKUP(Table1[[#This Row],[CountryCode]],[1]!Table1[#All],1,FALSE)</f>
        <v>#REF!</v>
      </c>
    </row>
    <row r="10510" spans="1:12" hidden="1" x14ac:dyDescent="0.3">
      <c r="A10510" t="s">
        <v>111</v>
      </c>
      <c r="B10510" t="s">
        <v>112</v>
      </c>
      <c r="C10510" t="s">
        <v>129</v>
      </c>
      <c r="D10510" t="s">
        <v>130</v>
      </c>
      <c r="E10510">
        <v>2005</v>
      </c>
      <c r="F10510" s="1">
        <v>81</v>
      </c>
      <c r="G10510">
        <v>2000</v>
      </c>
      <c r="H10510">
        <f>AVERAGEIFS(Table1[value],Table1[IndicatorCode],Table1[[#This Row],[IndicatorCode]])</f>
        <v>72.66514008620689</v>
      </c>
      <c r="I10510" cm="1">
        <f t="array" ref="I10510">_xlfn.STDEV.P(IF(Table1[IndicatorCode]=Table1[[#This Row],[IndicatorCode]],Table1[value]))</f>
        <v>6.3409496564024987</v>
      </c>
      <c r="J10510">
        <f>(Table1[[#This Row],[value]] - Table1[[#This Row],[mean]]) / Table1[[#This Row],[std_dev]]</f>
        <v>1.3144497851954</v>
      </c>
      <c r="K10510">
        <f>AVERAGEIF(Table1[CountryCode],Table1[[#This Row],[CountryCode]],Table1[z-score])</f>
        <v>0.37952535202791182</v>
      </c>
      <c r="L10510" t="e">
        <f>VLOOKUP(Table1[[#This Row],[CountryCode]],[1]!Table1[#All],1,FALSE)</f>
        <v>#REF!</v>
      </c>
    </row>
    <row r="10511" spans="1:12" hidden="1" x14ac:dyDescent="0.3">
      <c r="A10511" t="s">
        <v>111</v>
      </c>
      <c r="B10511" t="s">
        <v>112</v>
      </c>
      <c r="C10511" t="s">
        <v>129</v>
      </c>
      <c r="D10511" t="s">
        <v>130</v>
      </c>
      <c r="E10511">
        <v>2006</v>
      </c>
      <c r="F10511" s="1">
        <v>81</v>
      </c>
      <c r="G10511">
        <v>2000</v>
      </c>
      <c r="H10511">
        <f>AVERAGEIFS(Table1[value],Table1[IndicatorCode],Table1[[#This Row],[IndicatorCode]])</f>
        <v>72.66514008620689</v>
      </c>
      <c r="I10511" cm="1">
        <f t="array" ref="I10511">_xlfn.STDEV.P(IF(Table1[IndicatorCode]=Table1[[#This Row],[IndicatorCode]],Table1[value]))</f>
        <v>6.3409496564024987</v>
      </c>
      <c r="J10511">
        <f>(Table1[[#This Row],[value]] - Table1[[#This Row],[mean]]) / Table1[[#This Row],[std_dev]]</f>
        <v>1.3144497851954</v>
      </c>
      <c r="K10511">
        <f>AVERAGEIF(Table1[CountryCode],Table1[[#This Row],[CountryCode]],Table1[z-score])</f>
        <v>0.37952535202791182</v>
      </c>
      <c r="L10511" t="e">
        <f>VLOOKUP(Table1[[#This Row],[CountryCode]],[1]!Table1[#All],1,FALSE)</f>
        <v>#REF!</v>
      </c>
    </row>
    <row r="10512" spans="1:12" hidden="1" x14ac:dyDescent="0.3">
      <c r="A10512" t="s">
        <v>111</v>
      </c>
      <c r="B10512" t="s">
        <v>112</v>
      </c>
      <c r="C10512" t="s">
        <v>129</v>
      </c>
      <c r="D10512" t="s">
        <v>130</v>
      </c>
      <c r="E10512">
        <v>2007</v>
      </c>
      <c r="F10512" s="1">
        <v>81</v>
      </c>
      <c r="G10512">
        <v>2010</v>
      </c>
      <c r="H10512">
        <f>AVERAGEIFS(Table1[value],Table1[IndicatorCode],Table1[[#This Row],[IndicatorCode]])</f>
        <v>72.66514008620689</v>
      </c>
      <c r="I10512" cm="1">
        <f t="array" ref="I10512">_xlfn.STDEV.P(IF(Table1[IndicatorCode]=Table1[[#This Row],[IndicatorCode]],Table1[value]))</f>
        <v>6.3409496564024987</v>
      </c>
      <c r="J10512">
        <f>(Table1[[#This Row],[value]] - Table1[[#This Row],[mean]]) / Table1[[#This Row],[std_dev]]</f>
        <v>1.3144497851954</v>
      </c>
      <c r="K10512">
        <f>AVERAGEIF(Table1[CountryCode],Table1[[#This Row],[CountryCode]],Table1[z-score])</f>
        <v>0.37952535202791182</v>
      </c>
      <c r="L10512" t="e">
        <f>VLOOKUP(Table1[[#This Row],[CountryCode]],[1]!Table1[#All],1,FALSE)</f>
        <v>#REF!</v>
      </c>
    </row>
    <row r="10513" spans="1:12" hidden="1" x14ac:dyDescent="0.3">
      <c r="A10513" t="s">
        <v>111</v>
      </c>
      <c r="B10513" t="s">
        <v>112</v>
      </c>
      <c r="C10513" t="s">
        <v>129</v>
      </c>
      <c r="D10513" t="s">
        <v>130</v>
      </c>
      <c r="E10513">
        <v>2008</v>
      </c>
      <c r="F10513" s="1">
        <v>81</v>
      </c>
      <c r="G10513">
        <v>2010</v>
      </c>
      <c r="H10513">
        <f>AVERAGEIFS(Table1[value],Table1[IndicatorCode],Table1[[#This Row],[IndicatorCode]])</f>
        <v>72.66514008620689</v>
      </c>
      <c r="I10513" cm="1">
        <f t="array" ref="I10513">_xlfn.STDEV.P(IF(Table1[IndicatorCode]=Table1[[#This Row],[IndicatorCode]],Table1[value]))</f>
        <v>6.3409496564024987</v>
      </c>
      <c r="J10513">
        <f>(Table1[[#This Row],[value]] - Table1[[#This Row],[mean]]) / Table1[[#This Row],[std_dev]]</f>
        <v>1.3144497851954</v>
      </c>
      <c r="K10513">
        <f>AVERAGEIF(Table1[CountryCode],Table1[[#This Row],[CountryCode]],Table1[z-score])</f>
        <v>0.37952535202791182</v>
      </c>
      <c r="L10513" t="e">
        <f>VLOOKUP(Table1[[#This Row],[CountryCode]],[1]!Table1[#All],1,FALSE)</f>
        <v>#REF!</v>
      </c>
    </row>
    <row r="10514" spans="1:12" hidden="1" x14ac:dyDescent="0.3">
      <c r="A10514" t="s">
        <v>111</v>
      </c>
      <c r="B10514" t="s">
        <v>112</v>
      </c>
      <c r="C10514" t="s">
        <v>129</v>
      </c>
      <c r="D10514" t="s">
        <v>130</v>
      </c>
      <c r="E10514">
        <v>2009</v>
      </c>
      <c r="F10514" s="1">
        <v>81</v>
      </c>
      <c r="G10514">
        <v>2010</v>
      </c>
      <c r="H10514">
        <f>AVERAGEIFS(Table1[value],Table1[IndicatorCode],Table1[[#This Row],[IndicatorCode]])</f>
        <v>72.66514008620689</v>
      </c>
      <c r="I10514" cm="1">
        <f t="array" ref="I10514">_xlfn.STDEV.P(IF(Table1[IndicatorCode]=Table1[[#This Row],[IndicatorCode]],Table1[value]))</f>
        <v>6.3409496564024987</v>
      </c>
      <c r="J10514">
        <f>(Table1[[#This Row],[value]] - Table1[[#This Row],[mean]]) / Table1[[#This Row],[std_dev]]</f>
        <v>1.3144497851954</v>
      </c>
      <c r="K10514">
        <f>AVERAGEIF(Table1[CountryCode],Table1[[#This Row],[CountryCode]],Table1[z-score])</f>
        <v>0.37952535202791182</v>
      </c>
      <c r="L10514" t="e">
        <f>VLOOKUP(Table1[[#This Row],[CountryCode]],[1]!Table1[#All],1,FALSE)</f>
        <v>#REF!</v>
      </c>
    </row>
    <row r="10515" spans="1:12" hidden="1" x14ac:dyDescent="0.3">
      <c r="A10515" t="s">
        <v>111</v>
      </c>
      <c r="B10515" t="s">
        <v>112</v>
      </c>
      <c r="C10515" t="s">
        <v>129</v>
      </c>
      <c r="D10515" t="s">
        <v>130</v>
      </c>
      <c r="E10515">
        <v>2010</v>
      </c>
      <c r="F10515" s="1">
        <v>81</v>
      </c>
      <c r="G10515">
        <v>2010</v>
      </c>
      <c r="H10515">
        <f>AVERAGEIFS(Table1[value],Table1[IndicatorCode],Table1[[#This Row],[IndicatorCode]])</f>
        <v>72.66514008620689</v>
      </c>
      <c r="I10515" cm="1">
        <f t="array" ref="I10515">_xlfn.STDEV.P(IF(Table1[IndicatorCode]=Table1[[#This Row],[IndicatorCode]],Table1[value]))</f>
        <v>6.3409496564024987</v>
      </c>
      <c r="J10515">
        <f>(Table1[[#This Row],[value]] - Table1[[#This Row],[mean]]) / Table1[[#This Row],[std_dev]]</f>
        <v>1.3144497851954</v>
      </c>
      <c r="K10515">
        <f>AVERAGEIF(Table1[CountryCode],Table1[[#This Row],[CountryCode]],Table1[z-score])</f>
        <v>0.37952535202791182</v>
      </c>
      <c r="L10515" t="e">
        <f>VLOOKUP(Table1[[#This Row],[CountryCode]],[1]!Table1[#All],1,FALSE)</f>
        <v>#REF!</v>
      </c>
    </row>
    <row r="10516" spans="1:12" hidden="1" x14ac:dyDescent="0.3">
      <c r="A10516" t="s">
        <v>111</v>
      </c>
      <c r="B10516" t="s">
        <v>112</v>
      </c>
      <c r="C10516" t="s">
        <v>129</v>
      </c>
      <c r="D10516" t="s">
        <v>130</v>
      </c>
      <c r="E10516">
        <v>2011</v>
      </c>
      <c r="F10516" s="1">
        <v>82</v>
      </c>
      <c r="G10516">
        <v>2010</v>
      </c>
      <c r="H10516">
        <f>AVERAGEIFS(Table1[value],Table1[IndicatorCode],Table1[[#This Row],[IndicatorCode]])</f>
        <v>72.66514008620689</v>
      </c>
      <c r="I10516" cm="1">
        <f t="array" ref="I10516">_xlfn.STDEV.P(IF(Table1[IndicatorCode]=Table1[[#This Row],[IndicatorCode]],Table1[value]))</f>
        <v>6.3409496564024987</v>
      </c>
      <c r="J10516">
        <f>(Table1[[#This Row],[value]] - Table1[[#This Row],[mean]]) / Table1[[#This Row],[std_dev]]</f>
        <v>1.4721548694788391</v>
      </c>
      <c r="K10516">
        <f>AVERAGEIF(Table1[CountryCode],Table1[[#This Row],[CountryCode]],Table1[z-score])</f>
        <v>0.37952535202791182</v>
      </c>
      <c r="L10516" t="e">
        <f>VLOOKUP(Table1[[#This Row],[CountryCode]],[1]!Table1[#All],1,FALSE)</f>
        <v>#REF!</v>
      </c>
    </row>
    <row r="10517" spans="1:12" hidden="1" x14ac:dyDescent="0.3">
      <c r="A10517" t="s">
        <v>111</v>
      </c>
      <c r="B10517" t="s">
        <v>112</v>
      </c>
      <c r="C10517" t="s">
        <v>129</v>
      </c>
      <c r="D10517" t="s">
        <v>130</v>
      </c>
      <c r="E10517">
        <v>2012</v>
      </c>
      <c r="F10517" s="1">
        <v>82</v>
      </c>
      <c r="G10517">
        <v>2010</v>
      </c>
      <c r="H10517">
        <f>AVERAGEIFS(Table1[value],Table1[IndicatorCode],Table1[[#This Row],[IndicatorCode]])</f>
        <v>72.66514008620689</v>
      </c>
      <c r="I10517" cm="1">
        <f t="array" ref="I10517">_xlfn.STDEV.P(IF(Table1[IndicatorCode]=Table1[[#This Row],[IndicatorCode]],Table1[value]))</f>
        <v>6.3409496564024987</v>
      </c>
      <c r="J10517">
        <f>(Table1[[#This Row],[value]] - Table1[[#This Row],[mean]]) / Table1[[#This Row],[std_dev]]</f>
        <v>1.4721548694788391</v>
      </c>
      <c r="K10517">
        <f>AVERAGEIF(Table1[CountryCode],Table1[[#This Row],[CountryCode]],Table1[z-score])</f>
        <v>0.37952535202791182</v>
      </c>
      <c r="L10517" t="e">
        <f>VLOOKUP(Table1[[#This Row],[CountryCode]],[1]!Table1[#All],1,FALSE)</f>
        <v>#REF!</v>
      </c>
    </row>
    <row r="10518" spans="1:12" hidden="1" x14ac:dyDescent="0.3">
      <c r="A10518" t="s">
        <v>111</v>
      </c>
      <c r="B10518" t="s">
        <v>112</v>
      </c>
      <c r="C10518" t="s">
        <v>129</v>
      </c>
      <c r="D10518" t="s">
        <v>130</v>
      </c>
      <c r="E10518">
        <v>2013</v>
      </c>
      <c r="F10518" s="1">
        <v>82</v>
      </c>
      <c r="G10518">
        <v>2010</v>
      </c>
      <c r="H10518">
        <f>AVERAGEIFS(Table1[value],Table1[IndicatorCode],Table1[[#This Row],[IndicatorCode]])</f>
        <v>72.66514008620689</v>
      </c>
      <c r="I10518" cm="1">
        <f t="array" ref="I10518">_xlfn.STDEV.P(IF(Table1[IndicatorCode]=Table1[[#This Row],[IndicatorCode]],Table1[value]))</f>
        <v>6.3409496564024987</v>
      </c>
      <c r="J10518">
        <f>(Table1[[#This Row],[value]] - Table1[[#This Row],[mean]]) / Table1[[#This Row],[std_dev]]</f>
        <v>1.4721548694788391</v>
      </c>
      <c r="K10518">
        <f>AVERAGEIF(Table1[CountryCode],Table1[[#This Row],[CountryCode]],Table1[z-score])</f>
        <v>0.37952535202791182</v>
      </c>
      <c r="L10518" t="e">
        <f>VLOOKUP(Table1[[#This Row],[CountryCode]],[1]!Table1[#All],1,FALSE)</f>
        <v>#REF!</v>
      </c>
    </row>
    <row r="10519" spans="1:12" hidden="1" x14ac:dyDescent="0.3">
      <c r="A10519" t="s">
        <v>111</v>
      </c>
      <c r="B10519" t="s">
        <v>112</v>
      </c>
      <c r="C10519" t="s">
        <v>129</v>
      </c>
      <c r="D10519" t="s">
        <v>130</v>
      </c>
      <c r="E10519">
        <v>2014</v>
      </c>
      <c r="F10519" s="1">
        <v>82</v>
      </c>
      <c r="G10519">
        <v>2010</v>
      </c>
      <c r="H10519">
        <f>AVERAGEIFS(Table1[value],Table1[IndicatorCode],Table1[[#This Row],[IndicatorCode]])</f>
        <v>72.66514008620689</v>
      </c>
      <c r="I10519" cm="1">
        <f t="array" ref="I10519">_xlfn.STDEV.P(IF(Table1[IndicatorCode]=Table1[[#This Row],[IndicatorCode]],Table1[value]))</f>
        <v>6.3409496564024987</v>
      </c>
      <c r="J10519">
        <f>(Table1[[#This Row],[value]] - Table1[[#This Row],[mean]]) / Table1[[#This Row],[std_dev]]</f>
        <v>1.4721548694788391</v>
      </c>
      <c r="K10519">
        <f>AVERAGEIF(Table1[CountryCode],Table1[[#This Row],[CountryCode]],Table1[z-score])</f>
        <v>0.37952535202791182</v>
      </c>
      <c r="L10519" t="e">
        <f>VLOOKUP(Table1[[#This Row],[CountryCode]],[1]!Table1[#All],1,FALSE)</f>
        <v>#REF!</v>
      </c>
    </row>
    <row r="10520" spans="1:12" hidden="1" x14ac:dyDescent="0.3">
      <c r="A10520" t="s">
        <v>111</v>
      </c>
      <c r="B10520" t="s">
        <v>112</v>
      </c>
      <c r="C10520" t="s">
        <v>129</v>
      </c>
      <c r="D10520" t="s">
        <v>130</v>
      </c>
      <c r="E10520">
        <v>2015</v>
      </c>
      <c r="F10520" s="1">
        <v>82</v>
      </c>
      <c r="G10520">
        <v>2010</v>
      </c>
      <c r="H10520">
        <f>AVERAGEIFS(Table1[value],Table1[IndicatorCode],Table1[[#This Row],[IndicatorCode]])</f>
        <v>72.66514008620689</v>
      </c>
      <c r="I10520" cm="1">
        <f t="array" ref="I10520">_xlfn.STDEV.P(IF(Table1[IndicatorCode]=Table1[[#This Row],[IndicatorCode]],Table1[value]))</f>
        <v>6.3409496564024987</v>
      </c>
      <c r="J10520">
        <f>(Table1[[#This Row],[value]] - Table1[[#This Row],[mean]]) / Table1[[#This Row],[std_dev]]</f>
        <v>1.4721548694788391</v>
      </c>
      <c r="K10520">
        <f>AVERAGEIF(Table1[CountryCode],Table1[[#This Row],[CountryCode]],Table1[z-score])</f>
        <v>0.37952535202791182</v>
      </c>
      <c r="L10520" t="e">
        <f>VLOOKUP(Table1[[#This Row],[CountryCode]],[1]!Table1[#All],1,FALSE)</f>
        <v>#REF!</v>
      </c>
    </row>
    <row r="10521" spans="1:12" hidden="1" x14ac:dyDescent="0.3">
      <c r="A10521" t="s">
        <v>111</v>
      </c>
      <c r="B10521" t="s">
        <v>112</v>
      </c>
      <c r="C10521" t="s">
        <v>129</v>
      </c>
      <c r="D10521" t="s">
        <v>130</v>
      </c>
      <c r="E10521">
        <v>2016</v>
      </c>
      <c r="F10521" s="1">
        <v>82</v>
      </c>
      <c r="G10521">
        <v>2010</v>
      </c>
      <c r="H10521">
        <f>AVERAGEIFS(Table1[value],Table1[IndicatorCode],Table1[[#This Row],[IndicatorCode]])</f>
        <v>72.66514008620689</v>
      </c>
      <c r="I10521" cm="1">
        <f t="array" ref="I10521">_xlfn.STDEV.P(IF(Table1[IndicatorCode]=Table1[[#This Row],[IndicatorCode]],Table1[value]))</f>
        <v>6.3409496564024987</v>
      </c>
      <c r="J10521">
        <f>(Table1[[#This Row],[value]] - Table1[[#This Row],[mean]]) / Table1[[#This Row],[std_dev]]</f>
        <v>1.4721548694788391</v>
      </c>
      <c r="K10521">
        <f>AVERAGEIF(Table1[CountryCode],Table1[[#This Row],[CountryCode]],Table1[z-score])</f>
        <v>0.37952535202791182</v>
      </c>
      <c r="L10521" t="e">
        <f>VLOOKUP(Table1[[#This Row],[CountryCode]],[1]!Table1[#All],1,FALSE)</f>
        <v>#REF!</v>
      </c>
    </row>
    <row r="10522" spans="1:12" hidden="1" x14ac:dyDescent="0.3">
      <c r="A10522" t="s">
        <v>111</v>
      </c>
      <c r="B10522" t="s">
        <v>112</v>
      </c>
      <c r="C10522" t="s">
        <v>129</v>
      </c>
      <c r="D10522" t="s">
        <v>130</v>
      </c>
      <c r="E10522">
        <v>2017</v>
      </c>
      <c r="F10522" s="1">
        <v>82</v>
      </c>
      <c r="G10522">
        <v>2020</v>
      </c>
      <c r="H10522">
        <f>AVERAGEIFS(Table1[value],Table1[IndicatorCode],Table1[[#This Row],[IndicatorCode]])</f>
        <v>72.66514008620689</v>
      </c>
      <c r="I10522" cm="1">
        <f t="array" ref="I10522">_xlfn.STDEV.P(IF(Table1[IndicatorCode]=Table1[[#This Row],[IndicatorCode]],Table1[value]))</f>
        <v>6.3409496564024987</v>
      </c>
      <c r="J10522">
        <f>(Table1[[#This Row],[value]] - Table1[[#This Row],[mean]]) / Table1[[#This Row],[std_dev]]</f>
        <v>1.4721548694788391</v>
      </c>
      <c r="K10522">
        <f>AVERAGEIF(Table1[CountryCode],Table1[[#This Row],[CountryCode]],Table1[z-score])</f>
        <v>0.37952535202791182</v>
      </c>
      <c r="L10522" t="e">
        <f>VLOOKUP(Table1[[#This Row],[CountryCode]],[1]!Table1[#All],1,FALSE)</f>
        <v>#REF!</v>
      </c>
    </row>
    <row r="10523" spans="1:12" hidden="1" x14ac:dyDescent="0.3">
      <c r="A10523" t="s">
        <v>111</v>
      </c>
      <c r="B10523" t="s">
        <v>112</v>
      </c>
      <c r="C10523" t="s">
        <v>129</v>
      </c>
      <c r="D10523" t="s">
        <v>130</v>
      </c>
      <c r="E10523">
        <v>2018</v>
      </c>
      <c r="F10523" s="1">
        <v>83</v>
      </c>
      <c r="G10523">
        <v>2020</v>
      </c>
      <c r="H10523">
        <f>AVERAGEIFS(Table1[value],Table1[IndicatorCode],Table1[[#This Row],[IndicatorCode]])</f>
        <v>72.66514008620689</v>
      </c>
      <c r="I10523" cm="1">
        <f t="array" ref="I10523">_xlfn.STDEV.P(IF(Table1[IndicatorCode]=Table1[[#This Row],[IndicatorCode]],Table1[value]))</f>
        <v>6.3409496564024987</v>
      </c>
      <c r="J10523">
        <f>(Table1[[#This Row],[value]] - Table1[[#This Row],[mean]]) / Table1[[#This Row],[std_dev]]</f>
        <v>1.6298599537622782</v>
      </c>
      <c r="K10523">
        <f>AVERAGEIF(Table1[CountryCode],Table1[[#This Row],[CountryCode]],Table1[z-score])</f>
        <v>0.37952535202791182</v>
      </c>
      <c r="L10523" t="e">
        <f>VLOOKUP(Table1[[#This Row],[CountryCode]],[1]!Table1[#All],1,FALSE)</f>
        <v>#REF!</v>
      </c>
    </row>
    <row r="10524" spans="1:12" hidden="1" x14ac:dyDescent="0.3">
      <c r="A10524" t="s">
        <v>111</v>
      </c>
      <c r="B10524" t="s">
        <v>112</v>
      </c>
      <c r="C10524" t="s">
        <v>129</v>
      </c>
      <c r="D10524" t="s">
        <v>130</v>
      </c>
      <c r="E10524">
        <v>2019</v>
      </c>
      <c r="F10524" s="1">
        <v>83</v>
      </c>
      <c r="G10524">
        <v>2020</v>
      </c>
      <c r="H10524">
        <f>AVERAGEIFS(Table1[value],Table1[IndicatorCode],Table1[[#This Row],[IndicatorCode]])</f>
        <v>72.66514008620689</v>
      </c>
      <c r="I10524" cm="1">
        <f t="array" ref="I10524">_xlfn.STDEV.P(IF(Table1[IndicatorCode]=Table1[[#This Row],[IndicatorCode]],Table1[value]))</f>
        <v>6.3409496564024987</v>
      </c>
      <c r="J10524">
        <f>(Table1[[#This Row],[value]] - Table1[[#This Row],[mean]]) / Table1[[#This Row],[std_dev]]</f>
        <v>1.6298599537622782</v>
      </c>
      <c r="K10524">
        <f>AVERAGEIF(Table1[CountryCode],Table1[[#This Row],[CountryCode]],Table1[z-score])</f>
        <v>0.37952535202791182</v>
      </c>
      <c r="L10524" t="e">
        <f>VLOOKUP(Table1[[#This Row],[CountryCode]],[1]!Table1[#All],1,FALSE)</f>
        <v>#REF!</v>
      </c>
    </row>
    <row r="10525" spans="1:12" x14ac:dyDescent="0.3">
      <c r="A10525" t="s">
        <v>111</v>
      </c>
      <c r="B10525" t="s">
        <v>112</v>
      </c>
      <c r="C10525" t="s">
        <v>129</v>
      </c>
      <c r="D10525" t="s">
        <v>130</v>
      </c>
      <c r="E10525">
        <v>2020</v>
      </c>
      <c r="F10525" s="1">
        <v>82</v>
      </c>
      <c r="G10525">
        <v>2020</v>
      </c>
      <c r="H10525">
        <f>AVERAGEIFS(Table1[value],Table1[IndicatorCode],Table1[[#This Row],[IndicatorCode]])</f>
        <v>72.66514008620689</v>
      </c>
      <c r="I10525" cm="1">
        <f t="array" ref="I10525">_xlfn.STDEV.P(IF(Table1[IndicatorCode]=Table1[[#This Row],[IndicatorCode]],Table1[value]))</f>
        <v>6.3409496564024987</v>
      </c>
      <c r="J10525">
        <f>(Table1[[#This Row],[value]] - Table1[[#This Row],[mean]]) / Table1[[#This Row],[std_dev]]</f>
        <v>1.4721548694788391</v>
      </c>
      <c r="K10525">
        <f>AVERAGEIF(Table1[CountryCode],Table1[[#This Row],[CountryCode]],Table1[z-score])</f>
        <v>0.37952535202791182</v>
      </c>
    </row>
    <row r="10526" spans="1:12" hidden="1" x14ac:dyDescent="0.3">
      <c r="A10526" t="s">
        <v>111</v>
      </c>
      <c r="B10526" t="s">
        <v>112</v>
      </c>
      <c r="C10526" t="s">
        <v>129</v>
      </c>
      <c r="D10526" t="s">
        <v>130</v>
      </c>
      <c r="E10526">
        <v>2021</v>
      </c>
      <c r="F10526" s="1">
        <v>83</v>
      </c>
      <c r="G10526">
        <v>1960</v>
      </c>
      <c r="H10526">
        <f>AVERAGEIFS(Table1[value],Table1[IndicatorCode],Table1[[#This Row],[IndicatorCode]])</f>
        <v>72.66514008620689</v>
      </c>
      <c r="I10526" cm="1">
        <f t="array" ref="I10526">_xlfn.STDEV.P(IF(Table1[IndicatorCode]=Table1[[#This Row],[IndicatorCode]],Table1[value]))</f>
        <v>6.3409496564024987</v>
      </c>
      <c r="J10526">
        <f>(Table1[[#This Row],[value]] - Table1[[#This Row],[mean]]) / Table1[[#This Row],[std_dev]]</f>
        <v>1.6298599537622782</v>
      </c>
      <c r="K10526">
        <f>AVERAGEIF(Table1[CountryCode],Table1[[#This Row],[CountryCode]],Table1[z-score])</f>
        <v>0.37952535202791182</v>
      </c>
      <c r="L10526" t="e">
        <f>VLOOKUP(Table1[[#This Row],[CountryCode]],[1]!Table1[#All],1,FALSE)</f>
        <v>#REF!</v>
      </c>
    </row>
    <row r="10527" spans="1:12" hidden="1" x14ac:dyDescent="0.3">
      <c r="A10527" t="s">
        <v>111</v>
      </c>
      <c r="B10527" t="s">
        <v>112</v>
      </c>
      <c r="C10527" t="s">
        <v>129</v>
      </c>
      <c r="D10527" t="s">
        <v>130</v>
      </c>
      <c r="E10527">
        <v>2022</v>
      </c>
      <c r="F10527" s="1">
        <v>83</v>
      </c>
      <c r="G10527">
        <v>1960</v>
      </c>
      <c r="H10527">
        <f>AVERAGEIFS(Table1[value],Table1[IndicatorCode],Table1[[#This Row],[IndicatorCode]])</f>
        <v>72.66514008620689</v>
      </c>
      <c r="I10527" cm="1">
        <f t="array" ref="I10527">_xlfn.STDEV.P(IF(Table1[IndicatorCode]=Table1[[#This Row],[IndicatorCode]],Table1[value]))</f>
        <v>6.3409496564024987</v>
      </c>
      <c r="J10527">
        <f>(Table1[[#This Row],[value]] - Table1[[#This Row],[mean]]) / Table1[[#This Row],[std_dev]]</f>
        <v>1.6298599537622782</v>
      </c>
      <c r="K10527">
        <f>AVERAGEIF(Table1[CountryCode],Table1[[#This Row],[CountryCode]],Table1[z-score])</f>
        <v>0.37952535202791182</v>
      </c>
      <c r="L10527" t="e">
        <f>VLOOKUP(Table1[[#This Row],[CountryCode]],[1]!Table1[#All],1,FALSE)</f>
        <v>#REF!</v>
      </c>
    </row>
    <row r="10528" spans="1:12" hidden="1" x14ac:dyDescent="0.3">
      <c r="A10528" t="s">
        <v>111</v>
      </c>
      <c r="B10528" t="s">
        <v>112</v>
      </c>
      <c r="C10528" t="s">
        <v>129</v>
      </c>
      <c r="D10528" t="s">
        <v>130</v>
      </c>
      <c r="E10528">
        <v>2023</v>
      </c>
      <c r="F10528" s="1">
        <v>83</v>
      </c>
      <c r="G10528">
        <v>1960</v>
      </c>
      <c r="H10528">
        <f>AVERAGEIFS(Table1[value],Table1[IndicatorCode],Table1[[#This Row],[IndicatorCode]])</f>
        <v>72.66514008620689</v>
      </c>
      <c r="I10528" cm="1">
        <f t="array" ref="I10528">_xlfn.STDEV.P(IF(Table1[IndicatorCode]=Table1[[#This Row],[IndicatorCode]],Table1[value]))</f>
        <v>6.3409496564024987</v>
      </c>
      <c r="J10528">
        <f>(Table1[[#This Row],[value]] - Table1[[#This Row],[mean]]) / Table1[[#This Row],[std_dev]]</f>
        <v>1.6298599537622782</v>
      </c>
      <c r="K10528">
        <f>AVERAGEIF(Table1[CountryCode],Table1[[#This Row],[CountryCode]],Table1[z-score])</f>
        <v>0.37952535202791182</v>
      </c>
      <c r="L10528" t="e">
        <f>VLOOKUP(Table1[[#This Row],[CountryCode]],[1]!Table1[#All],1,FALSE)</f>
        <v>#REF!</v>
      </c>
    </row>
    <row r="10529" spans="1:12" hidden="1" x14ac:dyDescent="0.3">
      <c r="A10529" t="s">
        <v>113</v>
      </c>
      <c r="B10529" t="s">
        <v>114</v>
      </c>
      <c r="C10529" t="s">
        <v>129</v>
      </c>
      <c r="D10529" t="s">
        <v>130</v>
      </c>
      <c r="E10529">
        <v>1960</v>
      </c>
      <c r="F10529" s="1">
        <v>53</v>
      </c>
      <c r="G10529">
        <v>1960</v>
      </c>
      <c r="H10529">
        <f>AVERAGEIFS(Table1[value],Table1[IndicatorCode],Table1[[#This Row],[IndicatorCode]])</f>
        <v>72.66514008620689</v>
      </c>
      <c r="I10529" cm="1">
        <f t="array" ref="I10529">_xlfn.STDEV.P(IF(Table1[IndicatorCode]=Table1[[#This Row],[IndicatorCode]],Table1[value]))</f>
        <v>6.3409496564024987</v>
      </c>
      <c r="J10529">
        <f>(Table1[[#This Row],[value]] - Table1[[#This Row],[mean]]) / Table1[[#This Row],[std_dev]]</f>
        <v>-3.1012925747408935</v>
      </c>
      <c r="K10529">
        <f>AVERAGEIF(Table1[CountryCode],Table1[[#This Row],[CountryCode]],Table1[z-score])</f>
        <v>-1.2093107186394518</v>
      </c>
      <c r="L10529" t="e">
        <f>VLOOKUP(Table1[[#This Row],[CountryCode]],[1]!Table1[#All],1,FALSE)</f>
        <v>#REF!</v>
      </c>
    </row>
    <row r="10530" spans="1:12" hidden="1" x14ac:dyDescent="0.3">
      <c r="A10530" t="s">
        <v>113</v>
      </c>
      <c r="B10530" t="s">
        <v>114</v>
      </c>
      <c r="C10530" t="s">
        <v>129</v>
      </c>
      <c r="D10530" t="s">
        <v>130</v>
      </c>
      <c r="E10530">
        <v>1961</v>
      </c>
      <c r="F10530" s="1">
        <v>53</v>
      </c>
      <c r="G10530">
        <v>1960</v>
      </c>
      <c r="H10530">
        <f>AVERAGEIFS(Table1[value],Table1[IndicatorCode],Table1[[#This Row],[IndicatorCode]])</f>
        <v>72.66514008620689</v>
      </c>
      <c r="I10530" cm="1">
        <f t="array" ref="I10530">_xlfn.STDEV.P(IF(Table1[IndicatorCode]=Table1[[#This Row],[IndicatorCode]],Table1[value]))</f>
        <v>6.3409496564024987</v>
      </c>
      <c r="J10530">
        <f>(Table1[[#This Row],[value]] - Table1[[#This Row],[mean]]) / Table1[[#This Row],[std_dev]]</f>
        <v>-3.1012925747408935</v>
      </c>
      <c r="K10530">
        <f>AVERAGEIF(Table1[CountryCode],Table1[[#This Row],[CountryCode]],Table1[z-score])</f>
        <v>-1.2093107186394518</v>
      </c>
      <c r="L10530" t="e">
        <f>VLOOKUP(Table1[[#This Row],[CountryCode]],[1]!Table1[#All],1,FALSE)</f>
        <v>#REF!</v>
      </c>
    </row>
    <row r="10531" spans="1:12" hidden="1" x14ac:dyDescent="0.3">
      <c r="A10531" t="s">
        <v>113</v>
      </c>
      <c r="B10531" t="s">
        <v>114</v>
      </c>
      <c r="C10531" t="s">
        <v>129</v>
      </c>
      <c r="D10531" t="s">
        <v>130</v>
      </c>
      <c r="E10531">
        <v>1962</v>
      </c>
      <c r="F10531" s="1">
        <v>53</v>
      </c>
      <c r="G10531">
        <v>1960</v>
      </c>
      <c r="H10531">
        <f>AVERAGEIFS(Table1[value],Table1[IndicatorCode],Table1[[#This Row],[IndicatorCode]])</f>
        <v>72.66514008620689</v>
      </c>
      <c r="I10531" cm="1">
        <f t="array" ref="I10531">_xlfn.STDEV.P(IF(Table1[IndicatorCode]=Table1[[#This Row],[IndicatorCode]],Table1[value]))</f>
        <v>6.3409496564024987</v>
      </c>
      <c r="J10531">
        <f>(Table1[[#This Row],[value]] - Table1[[#This Row],[mean]]) / Table1[[#This Row],[std_dev]]</f>
        <v>-3.1012925747408935</v>
      </c>
      <c r="K10531">
        <f>AVERAGEIF(Table1[CountryCode],Table1[[#This Row],[CountryCode]],Table1[z-score])</f>
        <v>-1.2093107186394518</v>
      </c>
      <c r="L10531" t="e">
        <f>VLOOKUP(Table1[[#This Row],[CountryCode]],[1]!Table1[#All],1,FALSE)</f>
        <v>#REF!</v>
      </c>
    </row>
    <row r="10532" spans="1:12" hidden="1" x14ac:dyDescent="0.3">
      <c r="A10532" t="s">
        <v>113</v>
      </c>
      <c r="B10532" t="s">
        <v>114</v>
      </c>
      <c r="C10532" t="s">
        <v>129</v>
      </c>
      <c r="D10532" t="s">
        <v>130</v>
      </c>
      <c r="E10532">
        <v>1963</v>
      </c>
      <c r="F10532" s="1">
        <v>54</v>
      </c>
      <c r="G10532">
        <v>1960</v>
      </c>
      <c r="H10532">
        <f>AVERAGEIFS(Table1[value],Table1[IndicatorCode],Table1[[#This Row],[IndicatorCode]])</f>
        <v>72.66514008620689</v>
      </c>
      <c r="I10532" cm="1">
        <f t="array" ref="I10532">_xlfn.STDEV.P(IF(Table1[IndicatorCode]=Table1[[#This Row],[IndicatorCode]],Table1[value]))</f>
        <v>6.3409496564024987</v>
      </c>
      <c r="J10532">
        <f>(Table1[[#This Row],[value]] - Table1[[#This Row],[mean]]) / Table1[[#This Row],[std_dev]]</f>
        <v>-2.9435874904574546</v>
      </c>
      <c r="K10532">
        <f>AVERAGEIF(Table1[CountryCode],Table1[[#This Row],[CountryCode]],Table1[z-score])</f>
        <v>-1.2093107186394518</v>
      </c>
      <c r="L10532" t="e">
        <f>VLOOKUP(Table1[[#This Row],[CountryCode]],[1]!Table1[#All],1,FALSE)</f>
        <v>#REF!</v>
      </c>
    </row>
    <row r="10533" spans="1:12" hidden="1" x14ac:dyDescent="0.3">
      <c r="A10533" t="s">
        <v>113</v>
      </c>
      <c r="B10533" t="s">
        <v>114</v>
      </c>
      <c r="C10533" t="s">
        <v>129</v>
      </c>
      <c r="D10533" t="s">
        <v>130</v>
      </c>
      <c r="E10533">
        <v>1964</v>
      </c>
      <c r="F10533" s="1">
        <v>54</v>
      </c>
      <c r="G10533">
        <v>1960</v>
      </c>
      <c r="H10533">
        <f>AVERAGEIFS(Table1[value],Table1[IndicatorCode],Table1[[#This Row],[IndicatorCode]])</f>
        <v>72.66514008620689</v>
      </c>
      <c r="I10533" cm="1">
        <f t="array" ref="I10533">_xlfn.STDEV.P(IF(Table1[IndicatorCode]=Table1[[#This Row],[IndicatorCode]],Table1[value]))</f>
        <v>6.3409496564024987</v>
      </c>
      <c r="J10533">
        <f>(Table1[[#This Row],[value]] - Table1[[#This Row],[mean]]) / Table1[[#This Row],[std_dev]]</f>
        <v>-2.9435874904574546</v>
      </c>
      <c r="K10533">
        <f>AVERAGEIF(Table1[CountryCode],Table1[[#This Row],[CountryCode]],Table1[z-score])</f>
        <v>-1.2093107186394518</v>
      </c>
      <c r="L10533" t="e">
        <f>VLOOKUP(Table1[[#This Row],[CountryCode]],[1]!Table1[#All],1,FALSE)</f>
        <v>#REF!</v>
      </c>
    </row>
    <row r="10534" spans="1:12" hidden="1" x14ac:dyDescent="0.3">
      <c r="A10534" t="s">
        <v>113</v>
      </c>
      <c r="B10534" t="s">
        <v>114</v>
      </c>
      <c r="C10534" t="s">
        <v>129</v>
      </c>
      <c r="D10534" t="s">
        <v>130</v>
      </c>
      <c r="E10534">
        <v>1965</v>
      </c>
      <c r="F10534" s="1">
        <v>55</v>
      </c>
      <c r="G10534">
        <v>1960</v>
      </c>
      <c r="H10534">
        <f>AVERAGEIFS(Table1[value],Table1[IndicatorCode],Table1[[#This Row],[IndicatorCode]])</f>
        <v>72.66514008620689</v>
      </c>
      <c r="I10534" cm="1">
        <f t="array" ref="I10534">_xlfn.STDEV.P(IF(Table1[IndicatorCode]=Table1[[#This Row],[IndicatorCode]],Table1[value]))</f>
        <v>6.3409496564024987</v>
      </c>
      <c r="J10534">
        <f>(Table1[[#This Row],[value]] - Table1[[#This Row],[mean]]) / Table1[[#This Row],[std_dev]]</f>
        <v>-2.7858824061740153</v>
      </c>
      <c r="K10534">
        <f>AVERAGEIF(Table1[CountryCode],Table1[[#This Row],[CountryCode]],Table1[z-score])</f>
        <v>-1.2093107186394518</v>
      </c>
      <c r="L10534" t="e">
        <f>VLOOKUP(Table1[[#This Row],[CountryCode]],[1]!Table1[#All],1,FALSE)</f>
        <v>#REF!</v>
      </c>
    </row>
    <row r="10535" spans="1:12" hidden="1" x14ac:dyDescent="0.3">
      <c r="A10535" t="s">
        <v>113</v>
      </c>
      <c r="B10535" t="s">
        <v>114</v>
      </c>
      <c r="C10535" t="s">
        <v>129</v>
      </c>
      <c r="D10535" t="s">
        <v>130</v>
      </c>
      <c r="E10535">
        <v>1966</v>
      </c>
      <c r="F10535" s="1">
        <v>55</v>
      </c>
      <c r="G10535">
        <v>1960</v>
      </c>
      <c r="H10535">
        <f>AVERAGEIFS(Table1[value],Table1[IndicatorCode],Table1[[#This Row],[IndicatorCode]])</f>
        <v>72.66514008620689</v>
      </c>
      <c r="I10535" cm="1">
        <f t="array" ref="I10535">_xlfn.STDEV.P(IF(Table1[IndicatorCode]=Table1[[#This Row],[IndicatorCode]],Table1[value]))</f>
        <v>6.3409496564024987</v>
      </c>
      <c r="J10535">
        <f>(Table1[[#This Row],[value]] - Table1[[#This Row],[mean]]) / Table1[[#This Row],[std_dev]]</f>
        <v>-2.7858824061740153</v>
      </c>
      <c r="K10535">
        <f>AVERAGEIF(Table1[CountryCode],Table1[[#This Row],[CountryCode]],Table1[z-score])</f>
        <v>-1.2093107186394518</v>
      </c>
      <c r="L10535" t="e">
        <f>VLOOKUP(Table1[[#This Row],[CountryCode]],[1]!Table1[#All],1,FALSE)</f>
        <v>#REF!</v>
      </c>
    </row>
    <row r="10536" spans="1:12" hidden="1" x14ac:dyDescent="0.3">
      <c r="A10536" t="s">
        <v>113</v>
      </c>
      <c r="B10536" t="s">
        <v>114</v>
      </c>
      <c r="C10536" t="s">
        <v>129</v>
      </c>
      <c r="D10536" t="s">
        <v>130</v>
      </c>
      <c r="E10536">
        <v>1967</v>
      </c>
      <c r="F10536" s="1">
        <v>55</v>
      </c>
      <c r="G10536">
        <v>1970</v>
      </c>
      <c r="H10536">
        <f>AVERAGEIFS(Table1[value],Table1[IndicatorCode],Table1[[#This Row],[IndicatorCode]])</f>
        <v>72.66514008620689</v>
      </c>
      <c r="I10536" cm="1">
        <f t="array" ref="I10536">_xlfn.STDEV.P(IF(Table1[IndicatorCode]=Table1[[#This Row],[IndicatorCode]],Table1[value]))</f>
        <v>6.3409496564024987</v>
      </c>
      <c r="J10536">
        <f>(Table1[[#This Row],[value]] - Table1[[#This Row],[mean]]) / Table1[[#This Row],[std_dev]]</f>
        <v>-2.7858824061740153</v>
      </c>
      <c r="K10536">
        <f>AVERAGEIF(Table1[CountryCode],Table1[[#This Row],[CountryCode]],Table1[z-score])</f>
        <v>-1.2093107186394518</v>
      </c>
      <c r="L10536" t="e">
        <f>VLOOKUP(Table1[[#This Row],[CountryCode]],[1]!Table1[#All],1,FALSE)</f>
        <v>#REF!</v>
      </c>
    </row>
    <row r="10537" spans="1:12" hidden="1" x14ac:dyDescent="0.3">
      <c r="A10537" t="s">
        <v>113</v>
      </c>
      <c r="B10537" t="s">
        <v>114</v>
      </c>
      <c r="C10537" t="s">
        <v>129</v>
      </c>
      <c r="D10537" t="s">
        <v>130</v>
      </c>
      <c r="E10537">
        <v>1968</v>
      </c>
      <c r="F10537" s="1">
        <v>56</v>
      </c>
      <c r="G10537">
        <v>1970</v>
      </c>
      <c r="H10537">
        <f>AVERAGEIFS(Table1[value],Table1[IndicatorCode],Table1[[#This Row],[IndicatorCode]])</f>
        <v>72.66514008620689</v>
      </c>
      <c r="I10537" cm="1">
        <f t="array" ref="I10537">_xlfn.STDEV.P(IF(Table1[IndicatorCode]=Table1[[#This Row],[IndicatorCode]],Table1[value]))</f>
        <v>6.3409496564024987</v>
      </c>
      <c r="J10537">
        <f>(Table1[[#This Row],[value]] - Table1[[#This Row],[mean]]) / Table1[[#This Row],[std_dev]]</f>
        <v>-2.6281773218905764</v>
      </c>
      <c r="K10537">
        <f>AVERAGEIF(Table1[CountryCode],Table1[[#This Row],[CountryCode]],Table1[z-score])</f>
        <v>-1.2093107186394518</v>
      </c>
      <c r="L10537" t="e">
        <f>VLOOKUP(Table1[[#This Row],[CountryCode]],[1]!Table1[#All],1,FALSE)</f>
        <v>#REF!</v>
      </c>
    </row>
    <row r="10538" spans="1:12" hidden="1" x14ac:dyDescent="0.3">
      <c r="A10538" t="s">
        <v>113</v>
      </c>
      <c r="B10538" t="s">
        <v>114</v>
      </c>
      <c r="C10538" t="s">
        <v>129</v>
      </c>
      <c r="D10538" t="s">
        <v>130</v>
      </c>
      <c r="E10538">
        <v>1969</v>
      </c>
      <c r="F10538" s="1">
        <v>56</v>
      </c>
      <c r="G10538">
        <v>1970</v>
      </c>
      <c r="H10538">
        <f>AVERAGEIFS(Table1[value],Table1[IndicatorCode],Table1[[#This Row],[IndicatorCode]])</f>
        <v>72.66514008620689</v>
      </c>
      <c r="I10538" cm="1">
        <f t="array" ref="I10538">_xlfn.STDEV.P(IF(Table1[IndicatorCode]=Table1[[#This Row],[IndicatorCode]],Table1[value]))</f>
        <v>6.3409496564024987</v>
      </c>
      <c r="J10538">
        <f>(Table1[[#This Row],[value]] - Table1[[#This Row],[mean]]) / Table1[[#This Row],[std_dev]]</f>
        <v>-2.6281773218905764</v>
      </c>
      <c r="K10538">
        <f>AVERAGEIF(Table1[CountryCode],Table1[[#This Row],[CountryCode]],Table1[z-score])</f>
        <v>-1.2093107186394518</v>
      </c>
      <c r="L10538" t="e">
        <f>VLOOKUP(Table1[[#This Row],[CountryCode]],[1]!Table1[#All],1,FALSE)</f>
        <v>#REF!</v>
      </c>
    </row>
    <row r="10539" spans="1:12" hidden="1" x14ac:dyDescent="0.3">
      <c r="A10539" t="s">
        <v>113</v>
      </c>
      <c r="B10539" t="s">
        <v>114</v>
      </c>
      <c r="C10539" t="s">
        <v>129</v>
      </c>
      <c r="D10539" t="s">
        <v>130</v>
      </c>
      <c r="E10539">
        <v>1970</v>
      </c>
      <c r="F10539" s="1">
        <v>57</v>
      </c>
      <c r="G10539">
        <v>1970</v>
      </c>
      <c r="H10539">
        <f>AVERAGEIFS(Table1[value],Table1[IndicatorCode],Table1[[#This Row],[IndicatorCode]])</f>
        <v>72.66514008620689</v>
      </c>
      <c r="I10539" cm="1">
        <f t="array" ref="I10539">_xlfn.STDEV.P(IF(Table1[IndicatorCode]=Table1[[#This Row],[IndicatorCode]],Table1[value]))</f>
        <v>6.3409496564024987</v>
      </c>
      <c r="J10539">
        <f>(Table1[[#This Row],[value]] - Table1[[#This Row],[mean]]) / Table1[[#This Row],[std_dev]]</f>
        <v>-2.4704722376071375</v>
      </c>
      <c r="K10539">
        <f>AVERAGEIF(Table1[CountryCode],Table1[[#This Row],[CountryCode]],Table1[z-score])</f>
        <v>-1.2093107186394518</v>
      </c>
      <c r="L10539" t="e">
        <f>VLOOKUP(Table1[[#This Row],[CountryCode]],[1]!Table1[#All],1,FALSE)</f>
        <v>#REF!</v>
      </c>
    </row>
    <row r="10540" spans="1:12" hidden="1" x14ac:dyDescent="0.3">
      <c r="A10540" t="s">
        <v>113</v>
      </c>
      <c r="B10540" t="s">
        <v>114</v>
      </c>
      <c r="C10540" t="s">
        <v>129</v>
      </c>
      <c r="D10540" t="s">
        <v>130</v>
      </c>
      <c r="E10540">
        <v>1971</v>
      </c>
      <c r="F10540" s="1">
        <v>57</v>
      </c>
      <c r="G10540">
        <v>1970</v>
      </c>
      <c r="H10540">
        <f>AVERAGEIFS(Table1[value],Table1[IndicatorCode],Table1[[#This Row],[IndicatorCode]])</f>
        <v>72.66514008620689</v>
      </c>
      <c r="I10540" cm="1">
        <f t="array" ref="I10540">_xlfn.STDEV.P(IF(Table1[IndicatorCode]=Table1[[#This Row],[IndicatorCode]],Table1[value]))</f>
        <v>6.3409496564024987</v>
      </c>
      <c r="J10540">
        <f>(Table1[[#This Row],[value]] - Table1[[#This Row],[mean]]) / Table1[[#This Row],[std_dev]]</f>
        <v>-2.4704722376071375</v>
      </c>
      <c r="K10540">
        <f>AVERAGEIF(Table1[CountryCode],Table1[[#This Row],[CountryCode]],Table1[z-score])</f>
        <v>-1.2093107186394518</v>
      </c>
      <c r="L10540" t="e">
        <f>VLOOKUP(Table1[[#This Row],[CountryCode]],[1]!Table1[#All],1,FALSE)</f>
        <v>#REF!</v>
      </c>
    </row>
    <row r="10541" spans="1:12" hidden="1" x14ac:dyDescent="0.3">
      <c r="A10541" t="s">
        <v>113</v>
      </c>
      <c r="B10541" t="s">
        <v>114</v>
      </c>
      <c r="C10541" t="s">
        <v>129</v>
      </c>
      <c r="D10541" t="s">
        <v>130</v>
      </c>
      <c r="E10541">
        <v>1972</v>
      </c>
      <c r="F10541" s="1">
        <v>57</v>
      </c>
      <c r="G10541">
        <v>1970</v>
      </c>
      <c r="H10541">
        <f>AVERAGEIFS(Table1[value],Table1[IndicatorCode],Table1[[#This Row],[IndicatorCode]])</f>
        <v>72.66514008620689</v>
      </c>
      <c r="I10541" cm="1">
        <f t="array" ref="I10541">_xlfn.STDEV.P(IF(Table1[IndicatorCode]=Table1[[#This Row],[IndicatorCode]],Table1[value]))</f>
        <v>6.3409496564024987</v>
      </c>
      <c r="J10541">
        <f>(Table1[[#This Row],[value]] - Table1[[#This Row],[mean]]) / Table1[[#This Row],[std_dev]]</f>
        <v>-2.4704722376071375</v>
      </c>
      <c r="K10541">
        <f>AVERAGEIF(Table1[CountryCode],Table1[[#This Row],[CountryCode]],Table1[z-score])</f>
        <v>-1.2093107186394518</v>
      </c>
      <c r="L10541" t="e">
        <f>VLOOKUP(Table1[[#This Row],[CountryCode]],[1]!Table1[#All],1,FALSE)</f>
        <v>#REF!</v>
      </c>
    </row>
    <row r="10542" spans="1:12" hidden="1" x14ac:dyDescent="0.3">
      <c r="A10542" t="s">
        <v>113</v>
      </c>
      <c r="B10542" t="s">
        <v>114</v>
      </c>
      <c r="C10542" t="s">
        <v>129</v>
      </c>
      <c r="D10542" t="s">
        <v>130</v>
      </c>
      <c r="E10542">
        <v>1973</v>
      </c>
      <c r="F10542" s="1">
        <v>57</v>
      </c>
      <c r="G10542">
        <v>1970</v>
      </c>
      <c r="H10542">
        <f>AVERAGEIFS(Table1[value],Table1[IndicatorCode],Table1[[#This Row],[IndicatorCode]])</f>
        <v>72.66514008620689</v>
      </c>
      <c r="I10542" cm="1">
        <f t="array" ref="I10542">_xlfn.STDEV.P(IF(Table1[IndicatorCode]=Table1[[#This Row],[IndicatorCode]],Table1[value]))</f>
        <v>6.3409496564024987</v>
      </c>
      <c r="J10542">
        <f>(Table1[[#This Row],[value]] - Table1[[#This Row],[mean]]) / Table1[[#This Row],[std_dev]]</f>
        <v>-2.4704722376071375</v>
      </c>
      <c r="K10542">
        <f>AVERAGEIF(Table1[CountryCode],Table1[[#This Row],[CountryCode]],Table1[z-score])</f>
        <v>-1.2093107186394518</v>
      </c>
      <c r="L10542" t="e">
        <f>VLOOKUP(Table1[[#This Row],[CountryCode]],[1]!Table1[#All],1,FALSE)</f>
        <v>#REF!</v>
      </c>
    </row>
    <row r="10543" spans="1:12" hidden="1" x14ac:dyDescent="0.3">
      <c r="A10543" t="s">
        <v>113</v>
      </c>
      <c r="B10543" t="s">
        <v>114</v>
      </c>
      <c r="C10543" t="s">
        <v>129</v>
      </c>
      <c r="D10543" t="s">
        <v>130</v>
      </c>
      <c r="E10543">
        <v>1974</v>
      </c>
      <c r="F10543" s="1">
        <v>58</v>
      </c>
      <c r="G10543">
        <v>1970</v>
      </c>
      <c r="H10543">
        <f>AVERAGEIFS(Table1[value],Table1[IndicatorCode],Table1[[#This Row],[IndicatorCode]])</f>
        <v>72.66514008620689</v>
      </c>
      <c r="I10543" cm="1">
        <f t="array" ref="I10543">_xlfn.STDEV.P(IF(Table1[IndicatorCode]=Table1[[#This Row],[IndicatorCode]],Table1[value]))</f>
        <v>6.3409496564024987</v>
      </c>
      <c r="J10543">
        <f>(Table1[[#This Row],[value]] - Table1[[#This Row],[mean]]) / Table1[[#This Row],[std_dev]]</f>
        <v>-2.3127671533236982</v>
      </c>
      <c r="K10543">
        <f>AVERAGEIF(Table1[CountryCode],Table1[[#This Row],[CountryCode]],Table1[z-score])</f>
        <v>-1.2093107186394518</v>
      </c>
      <c r="L10543" t="e">
        <f>VLOOKUP(Table1[[#This Row],[CountryCode]],[1]!Table1[#All],1,FALSE)</f>
        <v>#REF!</v>
      </c>
    </row>
    <row r="10544" spans="1:12" hidden="1" x14ac:dyDescent="0.3">
      <c r="A10544" t="s">
        <v>113</v>
      </c>
      <c r="B10544" t="s">
        <v>114</v>
      </c>
      <c r="C10544" t="s">
        <v>129</v>
      </c>
      <c r="D10544" t="s">
        <v>130</v>
      </c>
      <c r="E10544">
        <v>1975</v>
      </c>
      <c r="F10544" s="1">
        <v>58</v>
      </c>
      <c r="G10544">
        <v>1970</v>
      </c>
      <c r="H10544">
        <f>AVERAGEIFS(Table1[value],Table1[IndicatorCode],Table1[[#This Row],[IndicatorCode]])</f>
        <v>72.66514008620689</v>
      </c>
      <c r="I10544" cm="1">
        <f t="array" ref="I10544">_xlfn.STDEV.P(IF(Table1[IndicatorCode]=Table1[[#This Row],[IndicatorCode]],Table1[value]))</f>
        <v>6.3409496564024987</v>
      </c>
      <c r="J10544">
        <f>(Table1[[#This Row],[value]] - Table1[[#This Row],[mean]]) / Table1[[#This Row],[std_dev]]</f>
        <v>-2.3127671533236982</v>
      </c>
      <c r="K10544">
        <f>AVERAGEIF(Table1[CountryCode],Table1[[#This Row],[CountryCode]],Table1[z-score])</f>
        <v>-1.2093107186394518</v>
      </c>
      <c r="L10544" t="e">
        <f>VLOOKUP(Table1[[#This Row],[CountryCode]],[1]!Table1[#All],1,FALSE)</f>
        <v>#REF!</v>
      </c>
    </row>
    <row r="10545" spans="1:12" hidden="1" x14ac:dyDescent="0.3">
      <c r="A10545" t="s">
        <v>113</v>
      </c>
      <c r="B10545" t="s">
        <v>114</v>
      </c>
      <c r="C10545" t="s">
        <v>129</v>
      </c>
      <c r="D10545" t="s">
        <v>130</v>
      </c>
      <c r="E10545">
        <v>1976</v>
      </c>
      <c r="F10545" s="1">
        <v>58</v>
      </c>
      <c r="G10545">
        <v>1970</v>
      </c>
      <c r="H10545">
        <f>AVERAGEIFS(Table1[value],Table1[IndicatorCode],Table1[[#This Row],[IndicatorCode]])</f>
        <v>72.66514008620689</v>
      </c>
      <c r="I10545" cm="1">
        <f t="array" ref="I10545">_xlfn.STDEV.P(IF(Table1[IndicatorCode]=Table1[[#This Row],[IndicatorCode]],Table1[value]))</f>
        <v>6.3409496564024987</v>
      </c>
      <c r="J10545">
        <f>(Table1[[#This Row],[value]] - Table1[[#This Row],[mean]]) / Table1[[#This Row],[std_dev]]</f>
        <v>-2.3127671533236982</v>
      </c>
      <c r="K10545">
        <f>AVERAGEIF(Table1[CountryCode],Table1[[#This Row],[CountryCode]],Table1[z-score])</f>
        <v>-1.2093107186394518</v>
      </c>
      <c r="L10545" t="e">
        <f>VLOOKUP(Table1[[#This Row],[CountryCode]],[1]!Table1[#All],1,FALSE)</f>
        <v>#REF!</v>
      </c>
    </row>
    <row r="10546" spans="1:12" hidden="1" x14ac:dyDescent="0.3">
      <c r="A10546" t="s">
        <v>113</v>
      </c>
      <c r="B10546" t="s">
        <v>114</v>
      </c>
      <c r="C10546" t="s">
        <v>129</v>
      </c>
      <c r="D10546" t="s">
        <v>130</v>
      </c>
      <c r="E10546">
        <v>1977</v>
      </c>
      <c r="F10546" s="1">
        <v>58</v>
      </c>
      <c r="G10546">
        <v>1980</v>
      </c>
      <c r="H10546">
        <f>AVERAGEIFS(Table1[value],Table1[IndicatorCode],Table1[[#This Row],[IndicatorCode]])</f>
        <v>72.66514008620689</v>
      </c>
      <c r="I10546" cm="1">
        <f t="array" ref="I10546">_xlfn.STDEV.P(IF(Table1[IndicatorCode]=Table1[[#This Row],[IndicatorCode]],Table1[value]))</f>
        <v>6.3409496564024987</v>
      </c>
      <c r="J10546">
        <f>(Table1[[#This Row],[value]] - Table1[[#This Row],[mean]]) / Table1[[#This Row],[std_dev]]</f>
        <v>-2.3127671533236982</v>
      </c>
      <c r="K10546">
        <f>AVERAGEIF(Table1[CountryCode],Table1[[#This Row],[CountryCode]],Table1[z-score])</f>
        <v>-1.2093107186394518</v>
      </c>
      <c r="L10546" t="e">
        <f>VLOOKUP(Table1[[#This Row],[CountryCode]],[1]!Table1[#All],1,FALSE)</f>
        <v>#REF!</v>
      </c>
    </row>
    <row r="10547" spans="1:12" hidden="1" x14ac:dyDescent="0.3">
      <c r="A10547" t="s">
        <v>113</v>
      </c>
      <c r="B10547" t="s">
        <v>114</v>
      </c>
      <c r="C10547" t="s">
        <v>129</v>
      </c>
      <c r="D10547" t="s">
        <v>130</v>
      </c>
      <c r="E10547">
        <v>1978</v>
      </c>
      <c r="F10547" s="1">
        <v>58</v>
      </c>
      <c r="G10547">
        <v>1980</v>
      </c>
      <c r="H10547">
        <f>AVERAGEIFS(Table1[value],Table1[IndicatorCode],Table1[[#This Row],[IndicatorCode]])</f>
        <v>72.66514008620689</v>
      </c>
      <c r="I10547" cm="1">
        <f t="array" ref="I10547">_xlfn.STDEV.P(IF(Table1[IndicatorCode]=Table1[[#This Row],[IndicatorCode]],Table1[value]))</f>
        <v>6.3409496564024987</v>
      </c>
      <c r="J10547">
        <f>(Table1[[#This Row],[value]] - Table1[[#This Row],[mean]]) / Table1[[#This Row],[std_dev]]</f>
        <v>-2.3127671533236982</v>
      </c>
      <c r="K10547">
        <f>AVERAGEIF(Table1[CountryCode],Table1[[#This Row],[CountryCode]],Table1[z-score])</f>
        <v>-1.2093107186394518</v>
      </c>
      <c r="L10547" t="e">
        <f>VLOOKUP(Table1[[#This Row],[CountryCode]],[1]!Table1[#All],1,FALSE)</f>
        <v>#REF!</v>
      </c>
    </row>
    <row r="10548" spans="1:12" hidden="1" x14ac:dyDescent="0.3">
      <c r="A10548" t="s">
        <v>113</v>
      </c>
      <c r="B10548" t="s">
        <v>114</v>
      </c>
      <c r="C10548" t="s">
        <v>129</v>
      </c>
      <c r="D10548" t="s">
        <v>130</v>
      </c>
      <c r="E10548">
        <v>1979</v>
      </c>
      <c r="F10548" s="1">
        <v>59</v>
      </c>
      <c r="G10548">
        <v>1980</v>
      </c>
      <c r="H10548">
        <f>AVERAGEIFS(Table1[value],Table1[IndicatorCode],Table1[[#This Row],[IndicatorCode]])</f>
        <v>72.66514008620689</v>
      </c>
      <c r="I10548" cm="1">
        <f t="array" ref="I10548">_xlfn.STDEV.P(IF(Table1[IndicatorCode]=Table1[[#This Row],[IndicatorCode]],Table1[value]))</f>
        <v>6.3409496564024987</v>
      </c>
      <c r="J10548">
        <f>(Table1[[#This Row],[value]] - Table1[[#This Row],[mean]]) / Table1[[#This Row],[std_dev]]</f>
        <v>-2.1550620690402593</v>
      </c>
      <c r="K10548">
        <f>AVERAGEIF(Table1[CountryCode],Table1[[#This Row],[CountryCode]],Table1[z-score])</f>
        <v>-1.2093107186394518</v>
      </c>
      <c r="L10548" t="e">
        <f>VLOOKUP(Table1[[#This Row],[CountryCode]],[1]!Table1[#All],1,FALSE)</f>
        <v>#REF!</v>
      </c>
    </row>
    <row r="10549" spans="1:12" hidden="1" x14ac:dyDescent="0.3">
      <c r="A10549" t="s">
        <v>113</v>
      </c>
      <c r="B10549" t="s">
        <v>114</v>
      </c>
      <c r="C10549" t="s">
        <v>129</v>
      </c>
      <c r="D10549" t="s">
        <v>130</v>
      </c>
      <c r="E10549">
        <v>1980</v>
      </c>
      <c r="F10549" s="1">
        <v>59</v>
      </c>
      <c r="G10549">
        <v>1980</v>
      </c>
      <c r="H10549">
        <f>AVERAGEIFS(Table1[value],Table1[IndicatorCode],Table1[[#This Row],[IndicatorCode]])</f>
        <v>72.66514008620689</v>
      </c>
      <c r="I10549" cm="1">
        <f t="array" ref="I10549">_xlfn.STDEV.P(IF(Table1[IndicatorCode]=Table1[[#This Row],[IndicatorCode]],Table1[value]))</f>
        <v>6.3409496564024987</v>
      </c>
      <c r="J10549">
        <f>(Table1[[#This Row],[value]] - Table1[[#This Row],[mean]]) / Table1[[#This Row],[std_dev]]</f>
        <v>-2.1550620690402593</v>
      </c>
      <c r="K10549">
        <f>AVERAGEIF(Table1[CountryCode],Table1[[#This Row],[CountryCode]],Table1[z-score])</f>
        <v>-1.2093107186394518</v>
      </c>
      <c r="L10549" t="e">
        <f>VLOOKUP(Table1[[#This Row],[CountryCode]],[1]!Table1[#All],1,FALSE)</f>
        <v>#REF!</v>
      </c>
    </row>
    <row r="10550" spans="1:12" hidden="1" x14ac:dyDescent="0.3">
      <c r="A10550" t="s">
        <v>113</v>
      </c>
      <c r="B10550" t="s">
        <v>114</v>
      </c>
      <c r="C10550" t="s">
        <v>129</v>
      </c>
      <c r="D10550" t="s">
        <v>130</v>
      </c>
      <c r="E10550">
        <v>1981</v>
      </c>
      <c r="F10550" s="1">
        <v>59</v>
      </c>
      <c r="G10550">
        <v>1980</v>
      </c>
      <c r="H10550">
        <f>AVERAGEIFS(Table1[value],Table1[IndicatorCode],Table1[[#This Row],[IndicatorCode]])</f>
        <v>72.66514008620689</v>
      </c>
      <c r="I10550" cm="1">
        <f t="array" ref="I10550">_xlfn.STDEV.P(IF(Table1[IndicatorCode]=Table1[[#This Row],[IndicatorCode]],Table1[value]))</f>
        <v>6.3409496564024987</v>
      </c>
      <c r="J10550">
        <f>(Table1[[#This Row],[value]] - Table1[[#This Row],[mean]]) / Table1[[#This Row],[std_dev]]</f>
        <v>-2.1550620690402593</v>
      </c>
      <c r="K10550">
        <f>AVERAGEIF(Table1[CountryCode],Table1[[#This Row],[CountryCode]],Table1[z-score])</f>
        <v>-1.2093107186394518</v>
      </c>
      <c r="L10550" t="e">
        <f>VLOOKUP(Table1[[#This Row],[CountryCode]],[1]!Table1[#All],1,FALSE)</f>
        <v>#REF!</v>
      </c>
    </row>
    <row r="10551" spans="1:12" hidden="1" x14ac:dyDescent="0.3">
      <c r="A10551" t="s">
        <v>113</v>
      </c>
      <c r="B10551" t="s">
        <v>114</v>
      </c>
      <c r="C10551" t="s">
        <v>129</v>
      </c>
      <c r="D10551" t="s">
        <v>130</v>
      </c>
      <c r="E10551">
        <v>1982</v>
      </c>
      <c r="F10551" s="1">
        <v>60</v>
      </c>
      <c r="G10551">
        <v>1980</v>
      </c>
      <c r="H10551">
        <f>AVERAGEIFS(Table1[value],Table1[IndicatorCode],Table1[[#This Row],[IndicatorCode]])</f>
        <v>72.66514008620689</v>
      </c>
      <c r="I10551" cm="1">
        <f t="array" ref="I10551">_xlfn.STDEV.P(IF(Table1[IndicatorCode]=Table1[[#This Row],[IndicatorCode]],Table1[value]))</f>
        <v>6.3409496564024987</v>
      </c>
      <c r="J10551">
        <f>(Table1[[#This Row],[value]] - Table1[[#This Row],[mean]]) / Table1[[#This Row],[std_dev]]</f>
        <v>-1.9973569847568202</v>
      </c>
      <c r="K10551">
        <f>AVERAGEIF(Table1[CountryCode],Table1[[#This Row],[CountryCode]],Table1[z-score])</f>
        <v>-1.2093107186394518</v>
      </c>
      <c r="L10551" t="e">
        <f>VLOOKUP(Table1[[#This Row],[CountryCode]],[1]!Table1[#All],1,FALSE)</f>
        <v>#REF!</v>
      </c>
    </row>
    <row r="10552" spans="1:12" hidden="1" x14ac:dyDescent="0.3">
      <c r="A10552" t="s">
        <v>113</v>
      </c>
      <c r="B10552" t="s">
        <v>114</v>
      </c>
      <c r="C10552" t="s">
        <v>129</v>
      </c>
      <c r="D10552" t="s">
        <v>130</v>
      </c>
      <c r="E10552">
        <v>1983</v>
      </c>
      <c r="F10552" s="1">
        <v>60</v>
      </c>
      <c r="G10552">
        <v>1980</v>
      </c>
      <c r="H10552">
        <f>AVERAGEIFS(Table1[value],Table1[IndicatorCode],Table1[[#This Row],[IndicatorCode]])</f>
        <v>72.66514008620689</v>
      </c>
      <c r="I10552" cm="1">
        <f t="array" ref="I10552">_xlfn.STDEV.P(IF(Table1[IndicatorCode]=Table1[[#This Row],[IndicatorCode]],Table1[value]))</f>
        <v>6.3409496564024987</v>
      </c>
      <c r="J10552">
        <f>(Table1[[#This Row],[value]] - Table1[[#This Row],[mean]]) / Table1[[#This Row],[std_dev]]</f>
        <v>-1.9973569847568202</v>
      </c>
      <c r="K10552">
        <f>AVERAGEIF(Table1[CountryCode],Table1[[#This Row],[CountryCode]],Table1[z-score])</f>
        <v>-1.2093107186394518</v>
      </c>
      <c r="L10552" t="e">
        <f>VLOOKUP(Table1[[#This Row],[CountryCode]],[1]!Table1[#All],1,FALSE)</f>
        <v>#REF!</v>
      </c>
    </row>
    <row r="10553" spans="1:12" hidden="1" x14ac:dyDescent="0.3">
      <c r="A10553" t="s">
        <v>113</v>
      </c>
      <c r="B10553" t="s">
        <v>114</v>
      </c>
      <c r="C10553" t="s">
        <v>129</v>
      </c>
      <c r="D10553" t="s">
        <v>130</v>
      </c>
      <c r="E10553">
        <v>1984</v>
      </c>
      <c r="F10553" s="1">
        <v>61</v>
      </c>
      <c r="G10553">
        <v>1980</v>
      </c>
      <c r="H10553">
        <f>AVERAGEIFS(Table1[value],Table1[IndicatorCode],Table1[[#This Row],[IndicatorCode]])</f>
        <v>72.66514008620689</v>
      </c>
      <c r="I10553" cm="1">
        <f t="array" ref="I10553">_xlfn.STDEV.P(IF(Table1[IndicatorCode]=Table1[[#This Row],[IndicatorCode]],Table1[value]))</f>
        <v>6.3409496564024987</v>
      </c>
      <c r="J10553">
        <f>(Table1[[#This Row],[value]] - Table1[[#This Row],[mean]]) / Table1[[#This Row],[std_dev]]</f>
        <v>-1.8396519004733811</v>
      </c>
      <c r="K10553">
        <f>AVERAGEIF(Table1[CountryCode],Table1[[#This Row],[CountryCode]],Table1[z-score])</f>
        <v>-1.2093107186394518</v>
      </c>
      <c r="L10553" t="e">
        <f>VLOOKUP(Table1[[#This Row],[CountryCode]],[1]!Table1[#All],1,FALSE)</f>
        <v>#REF!</v>
      </c>
    </row>
    <row r="10554" spans="1:12" hidden="1" x14ac:dyDescent="0.3">
      <c r="A10554" t="s">
        <v>113</v>
      </c>
      <c r="B10554" t="s">
        <v>114</v>
      </c>
      <c r="C10554" t="s">
        <v>129</v>
      </c>
      <c r="D10554" t="s">
        <v>130</v>
      </c>
      <c r="E10554">
        <v>1985</v>
      </c>
      <c r="F10554" s="1">
        <v>61</v>
      </c>
      <c r="G10554">
        <v>1980</v>
      </c>
      <c r="H10554">
        <f>AVERAGEIFS(Table1[value],Table1[IndicatorCode],Table1[[#This Row],[IndicatorCode]])</f>
        <v>72.66514008620689</v>
      </c>
      <c r="I10554" cm="1">
        <f t="array" ref="I10554">_xlfn.STDEV.P(IF(Table1[IndicatorCode]=Table1[[#This Row],[IndicatorCode]],Table1[value]))</f>
        <v>6.3409496564024987</v>
      </c>
      <c r="J10554">
        <f>(Table1[[#This Row],[value]] - Table1[[#This Row],[mean]]) / Table1[[#This Row],[std_dev]]</f>
        <v>-1.8396519004733811</v>
      </c>
      <c r="K10554">
        <f>AVERAGEIF(Table1[CountryCode],Table1[[#This Row],[CountryCode]],Table1[z-score])</f>
        <v>-1.2093107186394518</v>
      </c>
      <c r="L10554" t="e">
        <f>VLOOKUP(Table1[[#This Row],[CountryCode]],[1]!Table1[#All],1,FALSE)</f>
        <v>#REF!</v>
      </c>
    </row>
    <row r="10555" spans="1:12" hidden="1" x14ac:dyDescent="0.3">
      <c r="A10555" t="s">
        <v>113</v>
      </c>
      <c r="B10555" t="s">
        <v>114</v>
      </c>
      <c r="C10555" t="s">
        <v>129</v>
      </c>
      <c r="D10555" t="s">
        <v>130</v>
      </c>
      <c r="E10555">
        <v>1986</v>
      </c>
      <c r="F10555" s="1">
        <v>62</v>
      </c>
      <c r="G10555">
        <v>1980</v>
      </c>
      <c r="H10555">
        <f>AVERAGEIFS(Table1[value],Table1[IndicatorCode],Table1[[#This Row],[IndicatorCode]])</f>
        <v>72.66514008620689</v>
      </c>
      <c r="I10555" cm="1">
        <f t="array" ref="I10555">_xlfn.STDEV.P(IF(Table1[IndicatorCode]=Table1[[#This Row],[IndicatorCode]],Table1[value]))</f>
        <v>6.3409496564024987</v>
      </c>
      <c r="J10555">
        <f>(Table1[[#This Row],[value]] - Table1[[#This Row],[mean]]) / Table1[[#This Row],[std_dev]]</f>
        <v>-1.681946816189942</v>
      </c>
      <c r="K10555">
        <f>AVERAGEIF(Table1[CountryCode],Table1[[#This Row],[CountryCode]],Table1[z-score])</f>
        <v>-1.2093107186394518</v>
      </c>
      <c r="L10555" t="e">
        <f>VLOOKUP(Table1[[#This Row],[CountryCode]],[1]!Table1[#All],1,FALSE)</f>
        <v>#REF!</v>
      </c>
    </row>
    <row r="10556" spans="1:12" hidden="1" x14ac:dyDescent="0.3">
      <c r="A10556" t="s">
        <v>113</v>
      </c>
      <c r="B10556" t="s">
        <v>114</v>
      </c>
      <c r="C10556" t="s">
        <v>129</v>
      </c>
      <c r="D10556" t="s">
        <v>130</v>
      </c>
      <c r="E10556">
        <v>1987</v>
      </c>
      <c r="F10556" s="1">
        <v>62</v>
      </c>
      <c r="G10556">
        <v>1990</v>
      </c>
      <c r="H10556">
        <f>AVERAGEIFS(Table1[value],Table1[IndicatorCode],Table1[[#This Row],[IndicatorCode]])</f>
        <v>72.66514008620689</v>
      </c>
      <c r="I10556" cm="1">
        <f t="array" ref="I10556">_xlfn.STDEV.P(IF(Table1[IndicatorCode]=Table1[[#This Row],[IndicatorCode]],Table1[value]))</f>
        <v>6.3409496564024987</v>
      </c>
      <c r="J10556">
        <f>(Table1[[#This Row],[value]] - Table1[[#This Row],[mean]]) / Table1[[#This Row],[std_dev]]</f>
        <v>-1.681946816189942</v>
      </c>
      <c r="K10556">
        <f>AVERAGEIF(Table1[CountryCode],Table1[[#This Row],[CountryCode]],Table1[z-score])</f>
        <v>-1.2093107186394518</v>
      </c>
      <c r="L10556" t="e">
        <f>VLOOKUP(Table1[[#This Row],[CountryCode]],[1]!Table1[#All],1,FALSE)</f>
        <v>#REF!</v>
      </c>
    </row>
    <row r="10557" spans="1:12" hidden="1" x14ac:dyDescent="0.3">
      <c r="A10557" t="s">
        <v>113</v>
      </c>
      <c r="B10557" t="s">
        <v>114</v>
      </c>
      <c r="C10557" t="s">
        <v>129</v>
      </c>
      <c r="D10557" t="s">
        <v>130</v>
      </c>
      <c r="E10557">
        <v>1988</v>
      </c>
      <c r="F10557" s="1">
        <v>62</v>
      </c>
      <c r="G10557">
        <v>1990</v>
      </c>
      <c r="H10557">
        <f>AVERAGEIFS(Table1[value],Table1[IndicatorCode],Table1[[#This Row],[IndicatorCode]])</f>
        <v>72.66514008620689</v>
      </c>
      <c r="I10557" cm="1">
        <f t="array" ref="I10557">_xlfn.STDEV.P(IF(Table1[IndicatorCode]=Table1[[#This Row],[IndicatorCode]],Table1[value]))</f>
        <v>6.3409496564024987</v>
      </c>
      <c r="J10557">
        <f>(Table1[[#This Row],[value]] - Table1[[#This Row],[mean]]) / Table1[[#This Row],[std_dev]]</f>
        <v>-1.681946816189942</v>
      </c>
      <c r="K10557">
        <f>AVERAGEIF(Table1[CountryCode],Table1[[#This Row],[CountryCode]],Table1[z-score])</f>
        <v>-1.2093107186394518</v>
      </c>
      <c r="L10557" t="e">
        <f>VLOOKUP(Table1[[#This Row],[CountryCode]],[1]!Table1[#All],1,FALSE)</f>
        <v>#REF!</v>
      </c>
    </row>
    <row r="10558" spans="1:12" hidden="1" x14ac:dyDescent="0.3">
      <c r="A10558" t="s">
        <v>113</v>
      </c>
      <c r="B10558" t="s">
        <v>114</v>
      </c>
      <c r="C10558" t="s">
        <v>129</v>
      </c>
      <c r="D10558" t="s">
        <v>130</v>
      </c>
      <c r="E10558">
        <v>1989</v>
      </c>
      <c r="F10558" s="1">
        <v>62</v>
      </c>
      <c r="G10558">
        <v>1990</v>
      </c>
      <c r="H10558">
        <f>AVERAGEIFS(Table1[value],Table1[IndicatorCode],Table1[[#This Row],[IndicatorCode]])</f>
        <v>72.66514008620689</v>
      </c>
      <c r="I10558" cm="1">
        <f t="array" ref="I10558">_xlfn.STDEV.P(IF(Table1[IndicatorCode]=Table1[[#This Row],[IndicatorCode]],Table1[value]))</f>
        <v>6.3409496564024987</v>
      </c>
      <c r="J10558">
        <f>(Table1[[#This Row],[value]] - Table1[[#This Row],[mean]]) / Table1[[#This Row],[std_dev]]</f>
        <v>-1.681946816189942</v>
      </c>
      <c r="K10558">
        <f>AVERAGEIF(Table1[CountryCode],Table1[[#This Row],[CountryCode]],Table1[z-score])</f>
        <v>-1.2093107186394518</v>
      </c>
      <c r="L10558" t="e">
        <f>VLOOKUP(Table1[[#This Row],[CountryCode]],[1]!Table1[#All],1,FALSE)</f>
        <v>#REF!</v>
      </c>
    </row>
    <row r="10559" spans="1:12" hidden="1" x14ac:dyDescent="0.3">
      <c r="A10559" t="s">
        <v>113</v>
      </c>
      <c r="B10559" t="s">
        <v>114</v>
      </c>
      <c r="C10559" t="s">
        <v>129</v>
      </c>
      <c r="D10559" t="s">
        <v>130</v>
      </c>
      <c r="E10559">
        <v>1990</v>
      </c>
      <c r="F10559" s="1">
        <v>62</v>
      </c>
      <c r="G10559">
        <v>1990</v>
      </c>
      <c r="H10559">
        <f>AVERAGEIFS(Table1[value],Table1[IndicatorCode],Table1[[#This Row],[IndicatorCode]])</f>
        <v>72.66514008620689</v>
      </c>
      <c r="I10559" cm="1">
        <f t="array" ref="I10559">_xlfn.STDEV.P(IF(Table1[IndicatorCode]=Table1[[#This Row],[IndicatorCode]],Table1[value]))</f>
        <v>6.3409496564024987</v>
      </c>
      <c r="J10559">
        <f>(Table1[[#This Row],[value]] - Table1[[#This Row],[mean]]) / Table1[[#This Row],[std_dev]]</f>
        <v>-1.681946816189942</v>
      </c>
      <c r="K10559">
        <f>AVERAGEIF(Table1[CountryCode],Table1[[#This Row],[CountryCode]],Table1[z-score])</f>
        <v>-1.2093107186394518</v>
      </c>
      <c r="L10559" t="e">
        <f>VLOOKUP(Table1[[#This Row],[CountryCode]],[1]!Table1[#All],1,FALSE)</f>
        <v>#REF!</v>
      </c>
    </row>
    <row r="10560" spans="1:12" hidden="1" x14ac:dyDescent="0.3">
      <c r="A10560" t="s">
        <v>113</v>
      </c>
      <c r="B10560" t="s">
        <v>114</v>
      </c>
      <c r="C10560" t="s">
        <v>129</v>
      </c>
      <c r="D10560" t="s">
        <v>130</v>
      </c>
      <c r="E10560">
        <v>1991</v>
      </c>
      <c r="F10560" s="1">
        <v>62</v>
      </c>
      <c r="G10560">
        <v>1990</v>
      </c>
      <c r="H10560">
        <f>AVERAGEIFS(Table1[value],Table1[IndicatorCode],Table1[[#This Row],[IndicatorCode]])</f>
        <v>72.66514008620689</v>
      </c>
      <c r="I10560" cm="1">
        <f t="array" ref="I10560">_xlfn.STDEV.P(IF(Table1[IndicatorCode]=Table1[[#This Row],[IndicatorCode]],Table1[value]))</f>
        <v>6.3409496564024987</v>
      </c>
      <c r="J10560">
        <f>(Table1[[#This Row],[value]] - Table1[[#This Row],[mean]]) / Table1[[#This Row],[std_dev]]</f>
        <v>-1.681946816189942</v>
      </c>
      <c r="K10560">
        <f>AVERAGEIF(Table1[CountryCode],Table1[[#This Row],[CountryCode]],Table1[z-score])</f>
        <v>-1.2093107186394518</v>
      </c>
      <c r="L10560" t="e">
        <f>VLOOKUP(Table1[[#This Row],[CountryCode]],[1]!Table1[#All],1,FALSE)</f>
        <v>#REF!</v>
      </c>
    </row>
    <row r="10561" spans="1:12" hidden="1" x14ac:dyDescent="0.3">
      <c r="A10561" t="s">
        <v>113</v>
      </c>
      <c r="B10561" t="s">
        <v>114</v>
      </c>
      <c r="C10561" t="s">
        <v>129</v>
      </c>
      <c r="D10561" t="s">
        <v>130</v>
      </c>
      <c r="E10561">
        <v>1992</v>
      </c>
      <c r="F10561" s="1">
        <v>57</v>
      </c>
      <c r="G10561">
        <v>1990</v>
      </c>
      <c r="H10561">
        <f>AVERAGEIFS(Table1[value],Table1[IndicatorCode],Table1[[#This Row],[IndicatorCode]])</f>
        <v>72.66514008620689</v>
      </c>
      <c r="I10561" cm="1">
        <f t="array" ref="I10561">_xlfn.STDEV.P(IF(Table1[IndicatorCode]=Table1[[#This Row],[IndicatorCode]],Table1[value]))</f>
        <v>6.3409496564024987</v>
      </c>
      <c r="J10561">
        <f>(Table1[[#This Row],[value]] - Table1[[#This Row],[mean]]) / Table1[[#This Row],[std_dev]]</f>
        <v>-2.4704722376071375</v>
      </c>
      <c r="K10561">
        <f>AVERAGEIF(Table1[CountryCode],Table1[[#This Row],[CountryCode]],Table1[z-score])</f>
        <v>-1.2093107186394518</v>
      </c>
      <c r="L10561" t="e">
        <f>VLOOKUP(Table1[[#This Row],[CountryCode]],[1]!Table1[#All],1,FALSE)</f>
        <v>#REF!</v>
      </c>
    </row>
    <row r="10562" spans="1:12" hidden="1" x14ac:dyDescent="0.3">
      <c r="A10562" t="s">
        <v>113</v>
      </c>
      <c r="B10562" t="s">
        <v>114</v>
      </c>
      <c r="C10562" t="s">
        <v>129</v>
      </c>
      <c r="D10562" t="s">
        <v>130</v>
      </c>
      <c r="E10562">
        <v>1993</v>
      </c>
      <c r="F10562" s="1">
        <v>56</v>
      </c>
      <c r="G10562">
        <v>1990</v>
      </c>
      <c r="H10562">
        <f>AVERAGEIFS(Table1[value],Table1[IndicatorCode],Table1[[#This Row],[IndicatorCode]])</f>
        <v>72.66514008620689</v>
      </c>
      <c r="I10562" cm="1">
        <f t="array" ref="I10562">_xlfn.STDEV.P(IF(Table1[IndicatorCode]=Table1[[#This Row],[IndicatorCode]],Table1[value]))</f>
        <v>6.3409496564024987</v>
      </c>
      <c r="J10562">
        <f>(Table1[[#This Row],[value]] - Table1[[#This Row],[mean]]) / Table1[[#This Row],[std_dev]]</f>
        <v>-2.6281773218905764</v>
      </c>
      <c r="K10562">
        <f>AVERAGEIF(Table1[CountryCode],Table1[[#This Row],[CountryCode]],Table1[z-score])</f>
        <v>-1.2093107186394518</v>
      </c>
      <c r="L10562" t="e">
        <f>VLOOKUP(Table1[[#This Row],[CountryCode]],[1]!Table1[#All],1,FALSE)</f>
        <v>#REF!</v>
      </c>
    </row>
    <row r="10563" spans="1:12" hidden="1" x14ac:dyDescent="0.3">
      <c r="A10563" t="s">
        <v>113</v>
      </c>
      <c r="B10563" t="s">
        <v>114</v>
      </c>
      <c r="C10563" t="s">
        <v>129</v>
      </c>
      <c r="D10563" t="s">
        <v>130</v>
      </c>
      <c r="E10563">
        <v>1994</v>
      </c>
      <c r="F10563" s="1">
        <v>60</v>
      </c>
      <c r="G10563">
        <v>1990</v>
      </c>
      <c r="H10563">
        <f>AVERAGEIFS(Table1[value],Table1[IndicatorCode],Table1[[#This Row],[IndicatorCode]])</f>
        <v>72.66514008620689</v>
      </c>
      <c r="I10563" cm="1">
        <f t="array" ref="I10563">_xlfn.STDEV.P(IF(Table1[IndicatorCode]=Table1[[#This Row],[IndicatorCode]],Table1[value]))</f>
        <v>6.3409496564024987</v>
      </c>
      <c r="J10563">
        <f>(Table1[[#This Row],[value]] - Table1[[#This Row],[mean]]) / Table1[[#This Row],[std_dev]]</f>
        <v>-1.9973569847568202</v>
      </c>
      <c r="K10563">
        <f>AVERAGEIF(Table1[CountryCode],Table1[[#This Row],[CountryCode]],Table1[z-score])</f>
        <v>-1.2093107186394518</v>
      </c>
      <c r="L10563" t="e">
        <f>VLOOKUP(Table1[[#This Row],[CountryCode]],[1]!Table1[#All],1,FALSE)</f>
        <v>#REF!</v>
      </c>
    </row>
    <row r="10564" spans="1:12" hidden="1" x14ac:dyDescent="0.3">
      <c r="A10564" t="s">
        <v>113</v>
      </c>
      <c r="B10564" t="s">
        <v>114</v>
      </c>
      <c r="C10564" t="s">
        <v>129</v>
      </c>
      <c r="D10564" t="s">
        <v>130</v>
      </c>
      <c r="E10564">
        <v>1995</v>
      </c>
      <c r="F10564" s="1">
        <v>61</v>
      </c>
      <c r="G10564">
        <v>1990</v>
      </c>
      <c r="H10564">
        <f>AVERAGEIFS(Table1[value],Table1[IndicatorCode],Table1[[#This Row],[IndicatorCode]])</f>
        <v>72.66514008620689</v>
      </c>
      <c r="I10564" cm="1">
        <f t="array" ref="I10564">_xlfn.STDEV.P(IF(Table1[IndicatorCode]=Table1[[#This Row],[IndicatorCode]],Table1[value]))</f>
        <v>6.3409496564024987</v>
      </c>
      <c r="J10564">
        <f>(Table1[[#This Row],[value]] - Table1[[#This Row],[mean]]) / Table1[[#This Row],[std_dev]]</f>
        <v>-1.8396519004733811</v>
      </c>
      <c r="K10564">
        <f>AVERAGEIF(Table1[CountryCode],Table1[[#This Row],[CountryCode]],Table1[z-score])</f>
        <v>-1.2093107186394518</v>
      </c>
      <c r="L10564" t="e">
        <f>VLOOKUP(Table1[[#This Row],[CountryCode]],[1]!Table1[#All],1,FALSE)</f>
        <v>#REF!</v>
      </c>
    </row>
    <row r="10565" spans="1:12" hidden="1" x14ac:dyDescent="0.3">
      <c r="A10565" t="s">
        <v>113</v>
      </c>
      <c r="B10565" t="s">
        <v>114</v>
      </c>
      <c r="C10565" t="s">
        <v>129</v>
      </c>
      <c r="D10565" t="s">
        <v>130</v>
      </c>
      <c r="E10565">
        <v>1996</v>
      </c>
      <c r="F10565" s="1">
        <v>61</v>
      </c>
      <c r="G10565">
        <v>1990</v>
      </c>
      <c r="H10565">
        <f>AVERAGEIFS(Table1[value],Table1[IndicatorCode],Table1[[#This Row],[IndicatorCode]])</f>
        <v>72.66514008620689</v>
      </c>
      <c r="I10565" cm="1">
        <f t="array" ref="I10565">_xlfn.STDEV.P(IF(Table1[IndicatorCode]=Table1[[#This Row],[IndicatorCode]],Table1[value]))</f>
        <v>6.3409496564024987</v>
      </c>
      <c r="J10565">
        <f>(Table1[[#This Row],[value]] - Table1[[#This Row],[mean]]) / Table1[[#This Row],[std_dev]]</f>
        <v>-1.8396519004733811</v>
      </c>
      <c r="K10565">
        <f>AVERAGEIF(Table1[CountryCode],Table1[[#This Row],[CountryCode]],Table1[z-score])</f>
        <v>-1.2093107186394518</v>
      </c>
      <c r="L10565" t="e">
        <f>VLOOKUP(Table1[[#This Row],[CountryCode]],[1]!Table1[#All],1,FALSE)</f>
        <v>#REF!</v>
      </c>
    </row>
    <row r="10566" spans="1:12" hidden="1" x14ac:dyDescent="0.3">
      <c r="A10566" t="s">
        <v>113</v>
      </c>
      <c r="B10566" t="s">
        <v>114</v>
      </c>
      <c r="C10566" t="s">
        <v>129</v>
      </c>
      <c r="D10566" t="s">
        <v>130</v>
      </c>
      <c r="E10566">
        <v>1997</v>
      </c>
      <c r="F10566" s="1">
        <v>62</v>
      </c>
      <c r="G10566">
        <v>2000</v>
      </c>
      <c r="H10566">
        <f>AVERAGEIFS(Table1[value],Table1[IndicatorCode],Table1[[#This Row],[IndicatorCode]])</f>
        <v>72.66514008620689</v>
      </c>
      <c r="I10566" cm="1">
        <f t="array" ref="I10566">_xlfn.STDEV.P(IF(Table1[IndicatorCode]=Table1[[#This Row],[IndicatorCode]],Table1[value]))</f>
        <v>6.3409496564024987</v>
      </c>
      <c r="J10566">
        <f>(Table1[[#This Row],[value]] - Table1[[#This Row],[mean]]) / Table1[[#This Row],[std_dev]]</f>
        <v>-1.681946816189942</v>
      </c>
      <c r="K10566">
        <f>AVERAGEIF(Table1[CountryCode],Table1[[#This Row],[CountryCode]],Table1[z-score])</f>
        <v>-1.2093107186394518</v>
      </c>
      <c r="L10566" t="e">
        <f>VLOOKUP(Table1[[#This Row],[CountryCode]],[1]!Table1[#All],1,FALSE)</f>
        <v>#REF!</v>
      </c>
    </row>
    <row r="10567" spans="1:12" hidden="1" x14ac:dyDescent="0.3">
      <c r="A10567" t="s">
        <v>113</v>
      </c>
      <c r="B10567" t="s">
        <v>114</v>
      </c>
      <c r="C10567" t="s">
        <v>129</v>
      </c>
      <c r="D10567" t="s">
        <v>130</v>
      </c>
      <c r="E10567">
        <v>1998</v>
      </c>
      <c r="F10567" s="1">
        <v>62</v>
      </c>
      <c r="G10567">
        <v>2000</v>
      </c>
      <c r="H10567">
        <f>AVERAGEIFS(Table1[value],Table1[IndicatorCode],Table1[[#This Row],[IndicatorCode]])</f>
        <v>72.66514008620689</v>
      </c>
      <c r="I10567" cm="1">
        <f t="array" ref="I10567">_xlfn.STDEV.P(IF(Table1[IndicatorCode]=Table1[[#This Row],[IndicatorCode]],Table1[value]))</f>
        <v>6.3409496564024987</v>
      </c>
      <c r="J10567">
        <f>(Table1[[#This Row],[value]] - Table1[[#This Row],[mean]]) / Table1[[#This Row],[std_dev]]</f>
        <v>-1.681946816189942</v>
      </c>
      <c r="K10567">
        <f>AVERAGEIF(Table1[CountryCode],Table1[[#This Row],[CountryCode]],Table1[z-score])</f>
        <v>-1.2093107186394518</v>
      </c>
      <c r="L10567" t="e">
        <f>VLOOKUP(Table1[[#This Row],[CountryCode]],[1]!Table1[#All],1,FALSE)</f>
        <v>#REF!</v>
      </c>
    </row>
    <row r="10568" spans="1:12" hidden="1" x14ac:dyDescent="0.3">
      <c r="A10568" t="s">
        <v>113</v>
      </c>
      <c r="B10568" t="s">
        <v>114</v>
      </c>
      <c r="C10568" t="s">
        <v>129</v>
      </c>
      <c r="D10568" t="s">
        <v>130</v>
      </c>
      <c r="E10568">
        <v>1999</v>
      </c>
      <c r="F10568" s="1">
        <v>63</v>
      </c>
      <c r="G10568">
        <v>2000</v>
      </c>
      <c r="H10568">
        <f>AVERAGEIFS(Table1[value],Table1[IndicatorCode],Table1[[#This Row],[IndicatorCode]])</f>
        <v>72.66514008620689</v>
      </c>
      <c r="I10568" cm="1">
        <f t="array" ref="I10568">_xlfn.STDEV.P(IF(Table1[IndicatorCode]=Table1[[#This Row],[IndicatorCode]],Table1[value]))</f>
        <v>6.3409496564024987</v>
      </c>
      <c r="J10568">
        <f>(Table1[[#This Row],[value]] - Table1[[#This Row],[mean]]) / Table1[[#This Row],[std_dev]]</f>
        <v>-1.5242417319065029</v>
      </c>
      <c r="K10568">
        <f>AVERAGEIF(Table1[CountryCode],Table1[[#This Row],[CountryCode]],Table1[z-score])</f>
        <v>-1.2093107186394518</v>
      </c>
      <c r="L10568" t="e">
        <f>VLOOKUP(Table1[[#This Row],[CountryCode]],[1]!Table1[#All],1,FALSE)</f>
        <v>#REF!</v>
      </c>
    </row>
    <row r="10569" spans="1:12" hidden="1" x14ac:dyDescent="0.3">
      <c r="A10569" t="s">
        <v>113</v>
      </c>
      <c r="B10569" t="s">
        <v>114</v>
      </c>
      <c r="C10569" t="s">
        <v>129</v>
      </c>
      <c r="D10569" t="s">
        <v>130</v>
      </c>
      <c r="E10569">
        <v>2000</v>
      </c>
      <c r="F10569" s="1">
        <v>64</v>
      </c>
      <c r="G10569">
        <v>2000</v>
      </c>
      <c r="H10569">
        <f>AVERAGEIFS(Table1[value],Table1[IndicatorCode],Table1[[#This Row],[IndicatorCode]])</f>
        <v>72.66514008620689</v>
      </c>
      <c r="I10569" cm="1">
        <f t="array" ref="I10569">_xlfn.STDEV.P(IF(Table1[IndicatorCode]=Table1[[#This Row],[IndicatorCode]],Table1[value]))</f>
        <v>6.3409496564024987</v>
      </c>
      <c r="J10569">
        <f>(Table1[[#This Row],[value]] - Table1[[#This Row],[mean]]) / Table1[[#This Row],[std_dev]]</f>
        <v>-1.3665366476230638</v>
      </c>
      <c r="K10569">
        <f>AVERAGEIF(Table1[CountryCode],Table1[[#This Row],[CountryCode]],Table1[z-score])</f>
        <v>-1.2093107186394518</v>
      </c>
      <c r="L10569" t="e">
        <f>VLOOKUP(Table1[[#This Row],[CountryCode]],[1]!Table1[#All],1,FALSE)</f>
        <v>#REF!</v>
      </c>
    </row>
    <row r="10570" spans="1:12" hidden="1" x14ac:dyDescent="0.3">
      <c r="A10570" t="s">
        <v>113</v>
      </c>
      <c r="B10570" t="s">
        <v>114</v>
      </c>
      <c r="C10570" t="s">
        <v>129</v>
      </c>
      <c r="D10570" t="s">
        <v>130</v>
      </c>
      <c r="E10570">
        <v>2001</v>
      </c>
      <c r="F10570" s="1">
        <v>64</v>
      </c>
      <c r="G10570">
        <v>2000</v>
      </c>
      <c r="H10570">
        <f>AVERAGEIFS(Table1[value],Table1[IndicatorCode],Table1[[#This Row],[IndicatorCode]])</f>
        <v>72.66514008620689</v>
      </c>
      <c r="I10570" cm="1">
        <f t="array" ref="I10570">_xlfn.STDEV.P(IF(Table1[IndicatorCode]=Table1[[#This Row],[IndicatorCode]],Table1[value]))</f>
        <v>6.3409496564024987</v>
      </c>
      <c r="J10570">
        <f>(Table1[[#This Row],[value]] - Table1[[#This Row],[mean]]) / Table1[[#This Row],[std_dev]]</f>
        <v>-1.3665366476230638</v>
      </c>
      <c r="K10570">
        <f>AVERAGEIF(Table1[CountryCode],Table1[[#This Row],[CountryCode]],Table1[z-score])</f>
        <v>-1.2093107186394518</v>
      </c>
      <c r="L10570" t="e">
        <f>VLOOKUP(Table1[[#This Row],[CountryCode]],[1]!Table1[#All],1,FALSE)</f>
        <v>#REF!</v>
      </c>
    </row>
    <row r="10571" spans="1:12" hidden="1" x14ac:dyDescent="0.3">
      <c r="A10571" t="s">
        <v>113</v>
      </c>
      <c r="B10571" t="s">
        <v>114</v>
      </c>
      <c r="C10571" t="s">
        <v>129</v>
      </c>
      <c r="D10571" t="s">
        <v>130</v>
      </c>
      <c r="E10571">
        <v>2002</v>
      </c>
      <c r="F10571" s="1">
        <v>65</v>
      </c>
      <c r="G10571">
        <v>2000</v>
      </c>
      <c r="H10571">
        <f>AVERAGEIFS(Table1[value],Table1[IndicatorCode],Table1[[#This Row],[IndicatorCode]])</f>
        <v>72.66514008620689</v>
      </c>
      <c r="I10571" cm="1">
        <f t="array" ref="I10571">_xlfn.STDEV.P(IF(Table1[IndicatorCode]=Table1[[#This Row],[IndicatorCode]],Table1[value]))</f>
        <v>6.3409496564024987</v>
      </c>
      <c r="J10571">
        <f>(Table1[[#This Row],[value]] - Table1[[#This Row],[mean]]) / Table1[[#This Row],[std_dev]]</f>
        <v>-1.2088315633396249</v>
      </c>
      <c r="K10571">
        <f>AVERAGEIF(Table1[CountryCode],Table1[[#This Row],[CountryCode]],Table1[z-score])</f>
        <v>-1.2093107186394518</v>
      </c>
      <c r="L10571" t="e">
        <f>VLOOKUP(Table1[[#This Row],[CountryCode]],[1]!Table1[#All],1,FALSE)</f>
        <v>#REF!</v>
      </c>
    </row>
    <row r="10572" spans="1:12" hidden="1" x14ac:dyDescent="0.3">
      <c r="A10572" t="s">
        <v>113</v>
      </c>
      <c r="B10572" t="s">
        <v>114</v>
      </c>
      <c r="C10572" t="s">
        <v>129</v>
      </c>
      <c r="D10572" t="s">
        <v>130</v>
      </c>
      <c r="E10572">
        <v>2003</v>
      </c>
      <c r="F10572" s="1">
        <v>66</v>
      </c>
      <c r="G10572">
        <v>2000</v>
      </c>
      <c r="H10572">
        <f>AVERAGEIFS(Table1[value],Table1[IndicatorCode],Table1[[#This Row],[IndicatorCode]])</f>
        <v>72.66514008620689</v>
      </c>
      <c r="I10572" cm="1">
        <f t="array" ref="I10572">_xlfn.STDEV.P(IF(Table1[IndicatorCode]=Table1[[#This Row],[IndicatorCode]],Table1[value]))</f>
        <v>6.3409496564024987</v>
      </c>
      <c r="J10572">
        <f>(Table1[[#This Row],[value]] - Table1[[#This Row],[mean]]) / Table1[[#This Row],[std_dev]]</f>
        <v>-1.0511264790561858</v>
      </c>
      <c r="K10572">
        <f>AVERAGEIF(Table1[CountryCode],Table1[[#This Row],[CountryCode]],Table1[z-score])</f>
        <v>-1.2093107186394518</v>
      </c>
      <c r="L10572" t="e">
        <f>VLOOKUP(Table1[[#This Row],[CountryCode]],[1]!Table1[#All],1,FALSE)</f>
        <v>#REF!</v>
      </c>
    </row>
    <row r="10573" spans="1:12" hidden="1" x14ac:dyDescent="0.3">
      <c r="A10573" t="s">
        <v>113</v>
      </c>
      <c r="B10573" t="s">
        <v>114</v>
      </c>
      <c r="C10573" t="s">
        <v>129</v>
      </c>
      <c r="D10573" t="s">
        <v>130</v>
      </c>
      <c r="E10573">
        <v>2004</v>
      </c>
      <c r="F10573" s="1">
        <v>67</v>
      </c>
      <c r="G10573">
        <v>2000</v>
      </c>
      <c r="H10573">
        <f>AVERAGEIFS(Table1[value],Table1[IndicatorCode],Table1[[#This Row],[IndicatorCode]])</f>
        <v>72.66514008620689</v>
      </c>
      <c r="I10573" cm="1">
        <f t="array" ref="I10573">_xlfn.STDEV.P(IF(Table1[IndicatorCode]=Table1[[#This Row],[IndicatorCode]],Table1[value]))</f>
        <v>6.3409496564024987</v>
      </c>
      <c r="J10573">
        <f>(Table1[[#This Row],[value]] - Table1[[#This Row],[mean]]) / Table1[[#This Row],[std_dev]]</f>
        <v>-0.89342139477274674</v>
      </c>
      <c r="K10573">
        <f>AVERAGEIF(Table1[CountryCode],Table1[[#This Row],[CountryCode]],Table1[z-score])</f>
        <v>-1.2093107186394518</v>
      </c>
      <c r="L10573" t="e">
        <f>VLOOKUP(Table1[[#This Row],[CountryCode]],[1]!Table1[#All],1,FALSE)</f>
        <v>#REF!</v>
      </c>
    </row>
    <row r="10574" spans="1:12" hidden="1" x14ac:dyDescent="0.3">
      <c r="A10574" t="s">
        <v>113</v>
      </c>
      <c r="B10574" t="s">
        <v>114</v>
      </c>
      <c r="C10574" t="s">
        <v>129</v>
      </c>
      <c r="D10574" t="s">
        <v>130</v>
      </c>
      <c r="E10574">
        <v>2005</v>
      </c>
      <c r="F10574" s="1">
        <v>67</v>
      </c>
      <c r="G10574">
        <v>2000</v>
      </c>
      <c r="H10574">
        <f>AVERAGEIFS(Table1[value],Table1[IndicatorCode],Table1[[#This Row],[IndicatorCode]])</f>
        <v>72.66514008620689</v>
      </c>
      <c r="I10574" cm="1">
        <f t="array" ref="I10574">_xlfn.STDEV.P(IF(Table1[IndicatorCode]=Table1[[#This Row],[IndicatorCode]],Table1[value]))</f>
        <v>6.3409496564024987</v>
      </c>
      <c r="J10574">
        <f>(Table1[[#This Row],[value]] - Table1[[#This Row],[mean]]) / Table1[[#This Row],[std_dev]]</f>
        <v>-0.89342139477274674</v>
      </c>
      <c r="K10574">
        <f>AVERAGEIF(Table1[CountryCode],Table1[[#This Row],[CountryCode]],Table1[z-score])</f>
        <v>-1.2093107186394518</v>
      </c>
      <c r="L10574" t="e">
        <f>VLOOKUP(Table1[[#This Row],[CountryCode]],[1]!Table1[#All],1,FALSE)</f>
        <v>#REF!</v>
      </c>
    </row>
    <row r="10575" spans="1:12" hidden="1" x14ac:dyDescent="0.3">
      <c r="A10575" t="s">
        <v>113</v>
      </c>
      <c r="B10575" t="s">
        <v>114</v>
      </c>
      <c r="C10575" t="s">
        <v>129</v>
      </c>
      <c r="D10575" t="s">
        <v>130</v>
      </c>
      <c r="E10575">
        <v>2006</v>
      </c>
      <c r="F10575" s="1">
        <v>67</v>
      </c>
      <c r="G10575">
        <v>2000</v>
      </c>
      <c r="H10575">
        <f>AVERAGEIFS(Table1[value],Table1[IndicatorCode],Table1[[#This Row],[IndicatorCode]])</f>
        <v>72.66514008620689</v>
      </c>
      <c r="I10575" cm="1">
        <f t="array" ref="I10575">_xlfn.STDEV.P(IF(Table1[IndicatorCode]=Table1[[#This Row],[IndicatorCode]],Table1[value]))</f>
        <v>6.3409496564024987</v>
      </c>
      <c r="J10575">
        <f>(Table1[[#This Row],[value]] - Table1[[#This Row],[mean]]) / Table1[[#This Row],[std_dev]]</f>
        <v>-0.89342139477274674</v>
      </c>
      <c r="K10575">
        <f>AVERAGEIF(Table1[CountryCode],Table1[[#This Row],[CountryCode]],Table1[z-score])</f>
        <v>-1.2093107186394518</v>
      </c>
      <c r="L10575" t="e">
        <f>VLOOKUP(Table1[[#This Row],[CountryCode]],[1]!Table1[#All],1,FALSE)</f>
        <v>#REF!</v>
      </c>
    </row>
    <row r="10576" spans="1:12" hidden="1" x14ac:dyDescent="0.3">
      <c r="A10576" t="s">
        <v>113</v>
      </c>
      <c r="B10576" t="s">
        <v>114</v>
      </c>
      <c r="C10576" t="s">
        <v>129</v>
      </c>
      <c r="D10576" t="s">
        <v>130</v>
      </c>
      <c r="E10576">
        <v>2007</v>
      </c>
      <c r="F10576" s="1">
        <v>67</v>
      </c>
      <c r="G10576">
        <v>2010</v>
      </c>
      <c r="H10576">
        <f>AVERAGEIFS(Table1[value],Table1[IndicatorCode],Table1[[#This Row],[IndicatorCode]])</f>
        <v>72.66514008620689</v>
      </c>
      <c r="I10576" cm="1">
        <f t="array" ref="I10576">_xlfn.STDEV.P(IF(Table1[IndicatorCode]=Table1[[#This Row],[IndicatorCode]],Table1[value]))</f>
        <v>6.3409496564024987</v>
      </c>
      <c r="J10576">
        <f>(Table1[[#This Row],[value]] - Table1[[#This Row],[mean]]) / Table1[[#This Row],[std_dev]]</f>
        <v>-0.89342139477274674</v>
      </c>
      <c r="K10576">
        <f>AVERAGEIF(Table1[CountryCode],Table1[[#This Row],[CountryCode]],Table1[z-score])</f>
        <v>-1.2093107186394518</v>
      </c>
      <c r="L10576" t="e">
        <f>VLOOKUP(Table1[[#This Row],[CountryCode]],[1]!Table1[#All],1,FALSE)</f>
        <v>#REF!</v>
      </c>
    </row>
    <row r="10577" spans="1:12" hidden="1" x14ac:dyDescent="0.3">
      <c r="A10577" t="s">
        <v>113</v>
      </c>
      <c r="B10577" t="s">
        <v>114</v>
      </c>
      <c r="C10577" t="s">
        <v>129</v>
      </c>
      <c r="D10577" t="s">
        <v>130</v>
      </c>
      <c r="E10577">
        <v>2008</v>
      </c>
      <c r="F10577" s="1">
        <v>68</v>
      </c>
      <c r="G10577">
        <v>2010</v>
      </c>
      <c r="H10577">
        <f>AVERAGEIFS(Table1[value],Table1[IndicatorCode],Table1[[#This Row],[IndicatorCode]])</f>
        <v>72.66514008620689</v>
      </c>
      <c r="I10577" cm="1">
        <f t="array" ref="I10577">_xlfn.STDEV.P(IF(Table1[IndicatorCode]=Table1[[#This Row],[IndicatorCode]],Table1[value]))</f>
        <v>6.3409496564024987</v>
      </c>
      <c r="J10577">
        <f>(Table1[[#This Row],[value]] - Table1[[#This Row],[mean]]) / Table1[[#This Row],[std_dev]]</f>
        <v>-0.73571631048930775</v>
      </c>
      <c r="K10577">
        <f>AVERAGEIF(Table1[CountryCode],Table1[[#This Row],[CountryCode]],Table1[z-score])</f>
        <v>-1.2093107186394518</v>
      </c>
      <c r="L10577" t="e">
        <f>VLOOKUP(Table1[[#This Row],[CountryCode]],[1]!Table1[#All],1,FALSE)</f>
        <v>#REF!</v>
      </c>
    </row>
    <row r="10578" spans="1:12" hidden="1" x14ac:dyDescent="0.3">
      <c r="A10578" t="s">
        <v>113</v>
      </c>
      <c r="B10578" t="s">
        <v>114</v>
      </c>
      <c r="C10578" t="s">
        <v>129</v>
      </c>
      <c r="D10578" t="s">
        <v>130</v>
      </c>
      <c r="E10578">
        <v>2009</v>
      </c>
      <c r="F10578" s="1">
        <v>68</v>
      </c>
      <c r="G10578">
        <v>2010</v>
      </c>
      <c r="H10578">
        <f>AVERAGEIFS(Table1[value],Table1[IndicatorCode],Table1[[#This Row],[IndicatorCode]])</f>
        <v>72.66514008620689</v>
      </c>
      <c r="I10578" cm="1">
        <f t="array" ref="I10578">_xlfn.STDEV.P(IF(Table1[IndicatorCode]=Table1[[#This Row],[IndicatorCode]],Table1[value]))</f>
        <v>6.3409496564024987</v>
      </c>
      <c r="J10578">
        <f>(Table1[[#This Row],[value]] - Table1[[#This Row],[mean]]) / Table1[[#This Row],[std_dev]]</f>
        <v>-0.73571631048930775</v>
      </c>
      <c r="K10578">
        <f>AVERAGEIF(Table1[CountryCode],Table1[[#This Row],[CountryCode]],Table1[z-score])</f>
        <v>-1.2093107186394518</v>
      </c>
      <c r="L10578" t="e">
        <f>VLOOKUP(Table1[[#This Row],[CountryCode]],[1]!Table1[#All],1,FALSE)</f>
        <v>#REF!</v>
      </c>
    </row>
    <row r="10579" spans="1:12" hidden="1" x14ac:dyDescent="0.3">
      <c r="A10579" t="s">
        <v>113</v>
      </c>
      <c r="B10579" t="s">
        <v>114</v>
      </c>
      <c r="C10579" t="s">
        <v>129</v>
      </c>
      <c r="D10579" t="s">
        <v>130</v>
      </c>
      <c r="E10579">
        <v>2010</v>
      </c>
      <c r="F10579" s="1">
        <v>68</v>
      </c>
      <c r="G10579">
        <v>2010</v>
      </c>
      <c r="H10579">
        <f>AVERAGEIFS(Table1[value],Table1[IndicatorCode],Table1[[#This Row],[IndicatorCode]])</f>
        <v>72.66514008620689</v>
      </c>
      <c r="I10579" cm="1">
        <f t="array" ref="I10579">_xlfn.STDEV.P(IF(Table1[IndicatorCode]=Table1[[#This Row],[IndicatorCode]],Table1[value]))</f>
        <v>6.3409496564024987</v>
      </c>
      <c r="J10579">
        <f>(Table1[[#This Row],[value]] - Table1[[#This Row],[mean]]) / Table1[[#This Row],[std_dev]]</f>
        <v>-0.73571631048930775</v>
      </c>
      <c r="K10579">
        <f>AVERAGEIF(Table1[CountryCode],Table1[[#This Row],[CountryCode]],Table1[z-score])</f>
        <v>-1.2093107186394518</v>
      </c>
      <c r="L10579" t="e">
        <f>VLOOKUP(Table1[[#This Row],[CountryCode]],[1]!Table1[#All],1,FALSE)</f>
        <v>#REF!</v>
      </c>
    </row>
    <row r="10580" spans="1:12" hidden="1" x14ac:dyDescent="0.3">
      <c r="A10580" t="s">
        <v>113</v>
      </c>
      <c r="B10580" t="s">
        <v>114</v>
      </c>
      <c r="C10580" t="s">
        <v>129</v>
      </c>
      <c r="D10580" t="s">
        <v>130</v>
      </c>
      <c r="E10580">
        <v>2011</v>
      </c>
      <c r="F10580" s="1">
        <v>69</v>
      </c>
      <c r="G10580">
        <v>2010</v>
      </c>
      <c r="H10580">
        <f>AVERAGEIFS(Table1[value],Table1[IndicatorCode],Table1[[#This Row],[IndicatorCode]])</f>
        <v>72.66514008620689</v>
      </c>
      <c r="I10580" cm="1">
        <f t="array" ref="I10580">_xlfn.STDEV.P(IF(Table1[IndicatorCode]=Table1[[#This Row],[IndicatorCode]],Table1[value]))</f>
        <v>6.3409496564024987</v>
      </c>
      <c r="J10580">
        <f>(Table1[[#This Row],[value]] - Table1[[#This Row],[mean]]) / Table1[[#This Row],[std_dev]]</f>
        <v>-0.57801122620586864</v>
      </c>
      <c r="K10580">
        <f>AVERAGEIF(Table1[CountryCode],Table1[[#This Row],[CountryCode]],Table1[z-score])</f>
        <v>-1.2093107186394518</v>
      </c>
      <c r="L10580" t="e">
        <f>VLOOKUP(Table1[[#This Row],[CountryCode]],[1]!Table1[#All],1,FALSE)</f>
        <v>#REF!</v>
      </c>
    </row>
    <row r="10581" spans="1:12" hidden="1" x14ac:dyDescent="0.3">
      <c r="A10581" t="s">
        <v>113</v>
      </c>
      <c r="B10581" t="s">
        <v>114</v>
      </c>
      <c r="C10581" t="s">
        <v>129</v>
      </c>
      <c r="D10581" t="s">
        <v>130</v>
      </c>
      <c r="E10581">
        <v>2012</v>
      </c>
      <c r="F10581" s="1">
        <v>69</v>
      </c>
      <c r="G10581">
        <v>2010</v>
      </c>
      <c r="H10581">
        <f>AVERAGEIFS(Table1[value],Table1[IndicatorCode],Table1[[#This Row],[IndicatorCode]])</f>
        <v>72.66514008620689</v>
      </c>
      <c r="I10581" cm="1">
        <f t="array" ref="I10581">_xlfn.STDEV.P(IF(Table1[IndicatorCode]=Table1[[#This Row],[IndicatorCode]],Table1[value]))</f>
        <v>6.3409496564024987</v>
      </c>
      <c r="J10581">
        <f>(Table1[[#This Row],[value]] - Table1[[#This Row],[mean]]) / Table1[[#This Row],[std_dev]]</f>
        <v>-0.57801122620586864</v>
      </c>
      <c r="K10581">
        <f>AVERAGEIF(Table1[CountryCode],Table1[[#This Row],[CountryCode]],Table1[z-score])</f>
        <v>-1.2093107186394518</v>
      </c>
      <c r="L10581" t="e">
        <f>VLOOKUP(Table1[[#This Row],[CountryCode]],[1]!Table1[#All],1,FALSE)</f>
        <v>#REF!</v>
      </c>
    </row>
    <row r="10582" spans="1:12" hidden="1" x14ac:dyDescent="0.3">
      <c r="A10582" t="s">
        <v>113</v>
      </c>
      <c r="B10582" t="s">
        <v>114</v>
      </c>
      <c r="C10582" t="s">
        <v>129</v>
      </c>
      <c r="D10582" t="s">
        <v>130</v>
      </c>
      <c r="E10582">
        <v>2013</v>
      </c>
      <c r="F10582" s="1">
        <v>70</v>
      </c>
      <c r="G10582">
        <v>2010</v>
      </c>
      <c r="H10582">
        <f>AVERAGEIFS(Table1[value],Table1[IndicatorCode],Table1[[#This Row],[IndicatorCode]])</f>
        <v>72.66514008620689</v>
      </c>
      <c r="I10582" cm="1">
        <f t="array" ref="I10582">_xlfn.STDEV.P(IF(Table1[IndicatorCode]=Table1[[#This Row],[IndicatorCode]],Table1[value]))</f>
        <v>6.3409496564024987</v>
      </c>
      <c r="J10582">
        <f>(Table1[[#This Row],[value]] - Table1[[#This Row],[mean]]) / Table1[[#This Row],[std_dev]]</f>
        <v>-0.4203061419224296</v>
      </c>
      <c r="K10582">
        <f>AVERAGEIF(Table1[CountryCode],Table1[[#This Row],[CountryCode]],Table1[z-score])</f>
        <v>-1.2093107186394518</v>
      </c>
      <c r="L10582" t="e">
        <f>VLOOKUP(Table1[[#This Row],[CountryCode]],[1]!Table1[#All],1,FALSE)</f>
        <v>#REF!</v>
      </c>
    </row>
    <row r="10583" spans="1:12" hidden="1" x14ac:dyDescent="0.3">
      <c r="A10583" t="s">
        <v>113</v>
      </c>
      <c r="B10583" t="s">
        <v>114</v>
      </c>
      <c r="C10583" t="s">
        <v>129</v>
      </c>
      <c r="D10583" t="s">
        <v>130</v>
      </c>
      <c r="E10583">
        <v>2014</v>
      </c>
      <c r="F10583" s="1">
        <v>70</v>
      </c>
      <c r="G10583">
        <v>2010</v>
      </c>
      <c r="H10583">
        <f>AVERAGEIFS(Table1[value],Table1[IndicatorCode],Table1[[#This Row],[IndicatorCode]])</f>
        <v>72.66514008620689</v>
      </c>
      <c r="I10583" cm="1">
        <f t="array" ref="I10583">_xlfn.STDEV.P(IF(Table1[IndicatorCode]=Table1[[#This Row],[IndicatorCode]],Table1[value]))</f>
        <v>6.3409496564024987</v>
      </c>
      <c r="J10583">
        <f>(Table1[[#This Row],[value]] - Table1[[#This Row],[mean]]) / Table1[[#This Row],[std_dev]]</f>
        <v>-0.4203061419224296</v>
      </c>
      <c r="K10583">
        <f>AVERAGEIF(Table1[CountryCode],Table1[[#This Row],[CountryCode]],Table1[z-score])</f>
        <v>-1.2093107186394518</v>
      </c>
      <c r="L10583" t="e">
        <f>VLOOKUP(Table1[[#This Row],[CountryCode]],[1]!Table1[#All],1,FALSE)</f>
        <v>#REF!</v>
      </c>
    </row>
    <row r="10584" spans="1:12" hidden="1" x14ac:dyDescent="0.3">
      <c r="A10584" t="s">
        <v>113</v>
      </c>
      <c r="B10584" t="s">
        <v>114</v>
      </c>
      <c r="C10584" t="s">
        <v>129</v>
      </c>
      <c r="D10584" t="s">
        <v>130</v>
      </c>
      <c r="E10584">
        <v>2015</v>
      </c>
      <c r="F10584" s="1">
        <v>70</v>
      </c>
      <c r="G10584">
        <v>2010</v>
      </c>
      <c r="H10584">
        <f>AVERAGEIFS(Table1[value],Table1[IndicatorCode],Table1[[#This Row],[IndicatorCode]])</f>
        <v>72.66514008620689</v>
      </c>
      <c r="I10584" cm="1">
        <f t="array" ref="I10584">_xlfn.STDEV.P(IF(Table1[IndicatorCode]=Table1[[#This Row],[IndicatorCode]],Table1[value]))</f>
        <v>6.3409496564024987</v>
      </c>
      <c r="J10584">
        <f>(Table1[[#This Row],[value]] - Table1[[#This Row],[mean]]) / Table1[[#This Row],[std_dev]]</f>
        <v>-0.4203061419224296</v>
      </c>
      <c r="K10584">
        <f>AVERAGEIF(Table1[CountryCode],Table1[[#This Row],[CountryCode]],Table1[z-score])</f>
        <v>-1.2093107186394518</v>
      </c>
      <c r="L10584" t="e">
        <f>VLOOKUP(Table1[[#This Row],[CountryCode]],[1]!Table1[#All],1,FALSE)</f>
        <v>#REF!</v>
      </c>
    </row>
    <row r="10585" spans="1:12" hidden="1" x14ac:dyDescent="0.3">
      <c r="A10585" t="s">
        <v>113</v>
      </c>
      <c r="B10585" t="s">
        <v>114</v>
      </c>
      <c r="C10585" t="s">
        <v>129</v>
      </c>
      <c r="D10585" t="s">
        <v>130</v>
      </c>
      <c r="E10585">
        <v>2016</v>
      </c>
      <c r="F10585" s="1">
        <v>70</v>
      </c>
      <c r="G10585">
        <v>2010</v>
      </c>
      <c r="H10585">
        <f>AVERAGEIFS(Table1[value],Table1[IndicatorCode],Table1[[#This Row],[IndicatorCode]])</f>
        <v>72.66514008620689</v>
      </c>
      <c r="I10585" cm="1">
        <f t="array" ref="I10585">_xlfn.STDEV.P(IF(Table1[IndicatorCode]=Table1[[#This Row],[IndicatorCode]],Table1[value]))</f>
        <v>6.3409496564024987</v>
      </c>
      <c r="J10585">
        <f>(Table1[[#This Row],[value]] - Table1[[#This Row],[mean]]) / Table1[[#This Row],[std_dev]]</f>
        <v>-0.4203061419224296</v>
      </c>
      <c r="K10585">
        <f>AVERAGEIF(Table1[CountryCode],Table1[[#This Row],[CountryCode]],Table1[z-score])</f>
        <v>-1.2093107186394518</v>
      </c>
      <c r="L10585" t="e">
        <f>VLOOKUP(Table1[[#This Row],[CountryCode]],[1]!Table1[#All],1,FALSE)</f>
        <v>#REF!</v>
      </c>
    </row>
    <row r="10586" spans="1:12" hidden="1" x14ac:dyDescent="0.3">
      <c r="A10586" t="s">
        <v>113</v>
      </c>
      <c r="B10586" t="s">
        <v>114</v>
      </c>
      <c r="C10586" t="s">
        <v>129</v>
      </c>
      <c r="D10586" t="s">
        <v>130</v>
      </c>
      <c r="E10586">
        <v>2017</v>
      </c>
      <c r="F10586" s="1">
        <v>71</v>
      </c>
      <c r="G10586">
        <v>2020</v>
      </c>
      <c r="H10586">
        <f>AVERAGEIFS(Table1[value],Table1[IndicatorCode],Table1[[#This Row],[IndicatorCode]])</f>
        <v>72.66514008620689</v>
      </c>
      <c r="I10586" cm="1">
        <f t="array" ref="I10586">_xlfn.STDEV.P(IF(Table1[IndicatorCode]=Table1[[#This Row],[IndicatorCode]],Table1[value]))</f>
        <v>6.3409496564024987</v>
      </c>
      <c r="J10586">
        <f>(Table1[[#This Row],[value]] - Table1[[#This Row],[mean]]) / Table1[[#This Row],[std_dev]]</f>
        <v>-0.2626010576389905</v>
      </c>
      <c r="K10586">
        <f>AVERAGEIF(Table1[CountryCode],Table1[[#This Row],[CountryCode]],Table1[z-score])</f>
        <v>-1.2093107186394518</v>
      </c>
      <c r="L10586" t="e">
        <f>VLOOKUP(Table1[[#This Row],[CountryCode]],[1]!Table1[#All],1,FALSE)</f>
        <v>#REF!</v>
      </c>
    </row>
    <row r="10587" spans="1:12" hidden="1" x14ac:dyDescent="0.3">
      <c r="A10587" t="s">
        <v>113</v>
      </c>
      <c r="B10587" t="s">
        <v>114</v>
      </c>
      <c r="C10587" t="s">
        <v>129</v>
      </c>
      <c r="D10587" t="s">
        <v>130</v>
      </c>
      <c r="E10587">
        <v>2018</v>
      </c>
      <c r="F10587" s="1">
        <v>71</v>
      </c>
      <c r="G10587">
        <v>2020</v>
      </c>
      <c r="H10587">
        <f>AVERAGEIFS(Table1[value],Table1[IndicatorCode],Table1[[#This Row],[IndicatorCode]])</f>
        <v>72.66514008620689</v>
      </c>
      <c r="I10587" cm="1">
        <f t="array" ref="I10587">_xlfn.STDEV.P(IF(Table1[IndicatorCode]=Table1[[#This Row],[IndicatorCode]],Table1[value]))</f>
        <v>6.3409496564024987</v>
      </c>
      <c r="J10587">
        <f>(Table1[[#This Row],[value]] - Table1[[#This Row],[mean]]) / Table1[[#This Row],[std_dev]]</f>
        <v>-0.2626010576389905</v>
      </c>
      <c r="K10587">
        <f>AVERAGEIF(Table1[CountryCode],Table1[[#This Row],[CountryCode]],Table1[z-score])</f>
        <v>-1.2093107186394518</v>
      </c>
      <c r="L10587" t="e">
        <f>VLOOKUP(Table1[[#This Row],[CountryCode]],[1]!Table1[#All],1,FALSE)</f>
        <v>#REF!</v>
      </c>
    </row>
    <row r="10588" spans="1:12" hidden="1" x14ac:dyDescent="0.3">
      <c r="A10588" t="s">
        <v>113</v>
      </c>
      <c r="B10588" t="s">
        <v>114</v>
      </c>
      <c r="C10588" t="s">
        <v>129</v>
      </c>
      <c r="D10588" t="s">
        <v>130</v>
      </c>
      <c r="E10588">
        <v>2019</v>
      </c>
      <c r="F10588" s="1">
        <v>71</v>
      </c>
      <c r="G10588">
        <v>2020</v>
      </c>
      <c r="H10588">
        <f>AVERAGEIFS(Table1[value],Table1[IndicatorCode],Table1[[#This Row],[IndicatorCode]])</f>
        <v>72.66514008620689</v>
      </c>
      <c r="I10588" cm="1">
        <f t="array" ref="I10588">_xlfn.STDEV.P(IF(Table1[IndicatorCode]=Table1[[#This Row],[IndicatorCode]],Table1[value]))</f>
        <v>6.3409496564024987</v>
      </c>
      <c r="J10588">
        <f>(Table1[[#This Row],[value]] - Table1[[#This Row],[mean]]) / Table1[[#This Row],[std_dev]]</f>
        <v>-0.2626010576389905</v>
      </c>
      <c r="K10588">
        <f>AVERAGEIF(Table1[CountryCode],Table1[[#This Row],[CountryCode]],Table1[z-score])</f>
        <v>-1.2093107186394518</v>
      </c>
      <c r="L10588" t="e">
        <f>VLOOKUP(Table1[[#This Row],[CountryCode]],[1]!Table1[#All],1,FALSE)</f>
        <v>#REF!</v>
      </c>
    </row>
    <row r="10589" spans="1:12" x14ac:dyDescent="0.3">
      <c r="A10589" t="s">
        <v>113</v>
      </c>
      <c r="B10589" t="s">
        <v>114</v>
      </c>
      <c r="C10589" t="s">
        <v>129</v>
      </c>
      <c r="D10589" t="s">
        <v>130</v>
      </c>
      <c r="E10589">
        <v>2020</v>
      </c>
      <c r="F10589" s="1">
        <v>69</v>
      </c>
      <c r="G10589">
        <v>2020</v>
      </c>
      <c r="H10589">
        <f>AVERAGEIFS(Table1[value],Table1[IndicatorCode],Table1[[#This Row],[IndicatorCode]])</f>
        <v>72.66514008620689</v>
      </c>
      <c r="I10589" cm="1">
        <f t="array" ref="I10589">_xlfn.STDEV.P(IF(Table1[IndicatorCode]=Table1[[#This Row],[IndicatorCode]],Table1[value]))</f>
        <v>6.3409496564024987</v>
      </c>
      <c r="J10589">
        <f>(Table1[[#This Row],[value]] - Table1[[#This Row],[mean]]) / Table1[[#This Row],[std_dev]]</f>
        <v>-0.57801122620586864</v>
      </c>
      <c r="K10589">
        <f>AVERAGEIF(Table1[CountryCode],Table1[[#This Row],[CountryCode]],Table1[z-score])</f>
        <v>-1.2093107186394518</v>
      </c>
    </row>
    <row r="10590" spans="1:12" hidden="1" x14ac:dyDescent="0.3">
      <c r="A10590" t="s">
        <v>113</v>
      </c>
      <c r="B10590" t="s">
        <v>114</v>
      </c>
      <c r="C10590" t="s">
        <v>129</v>
      </c>
      <c r="D10590" t="s">
        <v>130</v>
      </c>
      <c r="E10590">
        <v>2021</v>
      </c>
      <c r="F10590" s="1">
        <v>70</v>
      </c>
      <c r="G10590">
        <v>1960</v>
      </c>
      <c r="H10590">
        <f>AVERAGEIFS(Table1[value],Table1[IndicatorCode],Table1[[#This Row],[IndicatorCode]])</f>
        <v>72.66514008620689</v>
      </c>
      <c r="I10590" cm="1">
        <f t="array" ref="I10590">_xlfn.STDEV.P(IF(Table1[IndicatorCode]=Table1[[#This Row],[IndicatorCode]],Table1[value]))</f>
        <v>6.3409496564024987</v>
      </c>
      <c r="J10590">
        <f>(Table1[[#This Row],[value]] - Table1[[#This Row],[mean]]) / Table1[[#This Row],[std_dev]]</f>
        <v>-0.4203061419224296</v>
      </c>
      <c r="K10590">
        <f>AVERAGEIF(Table1[CountryCode],Table1[[#This Row],[CountryCode]],Table1[z-score])</f>
        <v>-1.2093107186394518</v>
      </c>
      <c r="L10590" t="e">
        <f>VLOOKUP(Table1[[#This Row],[CountryCode]],[1]!Table1[#All],1,FALSE)</f>
        <v>#REF!</v>
      </c>
    </row>
    <row r="10591" spans="1:12" hidden="1" x14ac:dyDescent="0.3">
      <c r="A10591" t="s">
        <v>113</v>
      </c>
      <c r="B10591" t="s">
        <v>114</v>
      </c>
      <c r="C10591" t="s">
        <v>129</v>
      </c>
      <c r="D10591" t="s">
        <v>130</v>
      </c>
      <c r="E10591">
        <v>2022</v>
      </c>
      <c r="F10591" s="1">
        <v>72</v>
      </c>
      <c r="G10591">
        <v>1960</v>
      </c>
      <c r="H10591">
        <f>AVERAGEIFS(Table1[value],Table1[IndicatorCode],Table1[[#This Row],[IndicatorCode]])</f>
        <v>72.66514008620689</v>
      </c>
      <c r="I10591" cm="1">
        <f t="array" ref="I10591">_xlfn.STDEV.P(IF(Table1[IndicatorCode]=Table1[[#This Row],[IndicatorCode]],Table1[value]))</f>
        <v>6.3409496564024987</v>
      </c>
      <c r="J10591">
        <f>(Table1[[#This Row],[value]] - Table1[[#This Row],[mean]]) / Table1[[#This Row],[std_dev]]</f>
        <v>-0.10489597335555145</v>
      </c>
      <c r="K10591">
        <f>AVERAGEIF(Table1[CountryCode],Table1[[#This Row],[CountryCode]],Table1[z-score])</f>
        <v>-1.2093107186394518</v>
      </c>
      <c r="L10591" t="e">
        <f>VLOOKUP(Table1[[#This Row],[CountryCode]],[1]!Table1[#All],1,FALSE)</f>
        <v>#REF!</v>
      </c>
    </row>
    <row r="10592" spans="1:12" hidden="1" x14ac:dyDescent="0.3">
      <c r="A10592" t="s">
        <v>113</v>
      </c>
      <c r="B10592" t="s">
        <v>114</v>
      </c>
      <c r="C10592" t="s">
        <v>129</v>
      </c>
      <c r="D10592" t="s">
        <v>130</v>
      </c>
      <c r="E10592">
        <v>2023</v>
      </c>
      <c r="F10592" s="1">
        <v>72</v>
      </c>
      <c r="G10592">
        <v>1960</v>
      </c>
      <c r="H10592">
        <f>AVERAGEIFS(Table1[value],Table1[IndicatorCode],Table1[[#This Row],[IndicatorCode]])</f>
        <v>72.66514008620689</v>
      </c>
      <c r="I10592" cm="1">
        <f t="array" ref="I10592">_xlfn.STDEV.P(IF(Table1[IndicatorCode]=Table1[[#This Row],[IndicatorCode]],Table1[value]))</f>
        <v>6.3409496564024987</v>
      </c>
      <c r="J10592">
        <f>(Table1[[#This Row],[value]] - Table1[[#This Row],[mean]]) / Table1[[#This Row],[std_dev]]</f>
        <v>-0.10489597335555145</v>
      </c>
      <c r="K10592">
        <f>AVERAGEIF(Table1[CountryCode],Table1[[#This Row],[CountryCode]],Table1[z-score])</f>
        <v>-1.2093107186394518</v>
      </c>
      <c r="L10592" t="e">
        <f>VLOOKUP(Table1[[#This Row],[CountryCode]],[1]!Table1[#All],1,FALSE)</f>
        <v>#REF!</v>
      </c>
    </row>
    <row r="10593" spans="1:12" hidden="1" x14ac:dyDescent="0.3">
      <c r="A10593" t="s">
        <v>115</v>
      </c>
      <c r="B10593" t="s">
        <v>116</v>
      </c>
      <c r="C10593" t="s">
        <v>129</v>
      </c>
      <c r="D10593" t="s">
        <v>130</v>
      </c>
      <c r="E10593">
        <v>1960</v>
      </c>
      <c r="F10593" s="1">
        <v>52</v>
      </c>
      <c r="G10593">
        <v>1960</v>
      </c>
      <c r="H10593">
        <f>AVERAGEIFS(Table1[value],Table1[IndicatorCode],Table1[[#This Row],[IndicatorCode]])</f>
        <v>72.66514008620689</v>
      </c>
      <c r="I10593" cm="1">
        <f t="array" ref="I10593">_xlfn.STDEV.P(IF(Table1[IndicatorCode]=Table1[[#This Row],[IndicatorCode]],Table1[value]))</f>
        <v>6.3409496564024987</v>
      </c>
      <c r="J10593">
        <f>(Table1[[#This Row],[value]] - Table1[[#This Row],[mean]]) / Table1[[#This Row],[std_dev]]</f>
        <v>-3.2589976590243328</v>
      </c>
      <c r="K10593">
        <f>AVERAGEIF(Table1[CountryCode],Table1[[#This Row],[CountryCode]],Table1[z-score])</f>
        <v>-0.55461759774946673</v>
      </c>
      <c r="L10593" t="e">
        <f>VLOOKUP(Table1[[#This Row],[CountryCode]],[1]!Table1[#All],1,FALSE)</f>
        <v>#REF!</v>
      </c>
    </row>
    <row r="10594" spans="1:12" hidden="1" x14ac:dyDescent="0.3">
      <c r="A10594" t="s">
        <v>115</v>
      </c>
      <c r="B10594" t="s">
        <v>116</v>
      </c>
      <c r="C10594" t="s">
        <v>129</v>
      </c>
      <c r="D10594" t="s">
        <v>130</v>
      </c>
      <c r="E10594">
        <v>1961</v>
      </c>
      <c r="F10594" s="1">
        <v>53</v>
      </c>
      <c r="G10594">
        <v>1960</v>
      </c>
      <c r="H10594">
        <f>AVERAGEIFS(Table1[value],Table1[IndicatorCode],Table1[[#This Row],[IndicatorCode]])</f>
        <v>72.66514008620689</v>
      </c>
      <c r="I10594" cm="1">
        <f t="array" ref="I10594">_xlfn.STDEV.P(IF(Table1[IndicatorCode]=Table1[[#This Row],[IndicatorCode]],Table1[value]))</f>
        <v>6.3409496564024987</v>
      </c>
      <c r="J10594">
        <f>(Table1[[#This Row],[value]] - Table1[[#This Row],[mean]]) / Table1[[#This Row],[std_dev]]</f>
        <v>-3.1012925747408935</v>
      </c>
      <c r="K10594">
        <f>AVERAGEIF(Table1[CountryCode],Table1[[#This Row],[CountryCode]],Table1[z-score])</f>
        <v>-0.55461759774946673</v>
      </c>
      <c r="L10594" t="e">
        <f>VLOOKUP(Table1[[#This Row],[CountryCode]],[1]!Table1[#All],1,FALSE)</f>
        <v>#REF!</v>
      </c>
    </row>
    <row r="10595" spans="1:12" hidden="1" x14ac:dyDescent="0.3">
      <c r="A10595" t="s">
        <v>115</v>
      </c>
      <c r="B10595" t="s">
        <v>116</v>
      </c>
      <c r="C10595" t="s">
        <v>129</v>
      </c>
      <c r="D10595" t="s">
        <v>130</v>
      </c>
      <c r="E10595">
        <v>1962</v>
      </c>
      <c r="F10595" s="1">
        <v>53</v>
      </c>
      <c r="G10595">
        <v>1960</v>
      </c>
      <c r="H10595">
        <f>AVERAGEIFS(Table1[value],Table1[IndicatorCode],Table1[[#This Row],[IndicatorCode]])</f>
        <v>72.66514008620689</v>
      </c>
      <c r="I10595" cm="1">
        <f t="array" ref="I10595">_xlfn.STDEV.P(IF(Table1[IndicatorCode]=Table1[[#This Row],[IndicatorCode]],Table1[value]))</f>
        <v>6.3409496564024987</v>
      </c>
      <c r="J10595">
        <f>(Table1[[#This Row],[value]] - Table1[[#This Row],[mean]]) / Table1[[#This Row],[std_dev]]</f>
        <v>-3.1012925747408935</v>
      </c>
      <c r="K10595">
        <f>AVERAGEIF(Table1[CountryCode],Table1[[#This Row],[CountryCode]],Table1[z-score])</f>
        <v>-0.55461759774946673</v>
      </c>
      <c r="L10595" t="e">
        <f>VLOOKUP(Table1[[#This Row],[CountryCode]],[1]!Table1[#All],1,FALSE)</f>
        <v>#REF!</v>
      </c>
    </row>
    <row r="10596" spans="1:12" hidden="1" x14ac:dyDescent="0.3">
      <c r="A10596" t="s">
        <v>115</v>
      </c>
      <c r="B10596" t="s">
        <v>116</v>
      </c>
      <c r="C10596" t="s">
        <v>129</v>
      </c>
      <c r="D10596" t="s">
        <v>130</v>
      </c>
      <c r="E10596">
        <v>1963</v>
      </c>
      <c r="F10596" s="1">
        <v>53</v>
      </c>
      <c r="G10596">
        <v>1960</v>
      </c>
      <c r="H10596">
        <f>AVERAGEIFS(Table1[value],Table1[IndicatorCode],Table1[[#This Row],[IndicatorCode]])</f>
        <v>72.66514008620689</v>
      </c>
      <c r="I10596" cm="1">
        <f t="array" ref="I10596">_xlfn.STDEV.P(IF(Table1[IndicatorCode]=Table1[[#This Row],[IndicatorCode]],Table1[value]))</f>
        <v>6.3409496564024987</v>
      </c>
      <c r="J10596">
        <f>(Table1[[#This Row],[value]] - Table1[[#This Row],[mean]]) / Table1[[#This Row],[std_dev]]</f>
        <v>-3.1012925747408935</v>
      </c>
      <c r="K10596">
        <f>AVERAGEIF(Table1[CountryCode],Table1[[#This Row],[CountryCode]],Table1[z-score])</f>
        <v>-0.55461759774946673</v>
      </c>
      <c r="L10596" t="e">
        <f>VLOOKUP(Table1[[#This Row],[CountryCode]],[1]!Table1[#All],1,FALSE)</f>
        <v>#REF!</v>
      </c>
    </row>
    <row r="10597" spans="1:12" hidden="1" x14ac:dyDescent="0.3">
      <c r="A10597" t="s">
        <v>115</v>
      </c>
      <c r="B10597" t="s">
        <v>116</v>
      </c>
      <c r="C10597" t="s">
        <v>129</v>
      </c>
      <c r="D10597" t="s">
        <v>130</v>
      </c>
      <c r="E10597">
        <v>1964</v>
      </c>
      <c r="F10597" s="1">
        <v>54</v>
      </c>
      <c r="G10597">
        <v>1960</v>
      </c>
      <c r="H10597">
        <f>AVERAGEIFS(Table1[value],Table1[IndicatorCode],Table1[[#This Row],[IndicatorCode]])</f>
        <v>72.66514008620689</v>
      </c>
      <c r="I10597" cm="1">
        <f t="array" ref="I10597">_xlfn.STDEV.P(IF(Table1[IndicatorCode]=Table1[[#This Row],[IndicatorCode]],Table1[value]))</f>
        <v>6.3409496564024987</v>
      </c>
      <c r="J10597">
        <f>(Table1[[#This Row],[value]] - Table1[[#This Row],[mean]]) / Table1[[#This Row],[std_dev]]</f>
        <v>-2.9435874904574546</v>
      </c>
      <c r="K10597">
        <f>AVERAGEIF(Table1[CountryCode],Table1[[#This Row],[CountryCode]],Table1[z-score])</f>
        <v>-0.55461759774946673</v>
      </c>
      <c r="L10597" t="e">
        <f>VLOOKUP(Table1[[#This Row],[CountryCode]],[1]!Table1[#All],1,FALSE)</f>
        <v>#REF!</v>
      </c>
    </row>
    <row r="10598" spans="1:12" hidden="1" x14ac:dyDescent="0.3">
      <c r="A10598" t="s">
        <v>115</v>
      </c>
      <c r="B10598" t="s">
        <v>116</v>
      </c>
      <c r="C10598" t="s">
        <v>129</v>
      </c>
      <c r="D10598" t="s">
        <v>130</v>
      </c>
      <c r="E10598">
        <v>1965</v>
      </c>
      <c r="F10598" s="1">
        <v>54</v>
      </c>
      <c r="G10598">
        <v>1960</v>
      </c>
      <c r="H10598">
        <f>AVERAGEIFS(Table1[value],Table1[IndicatorCode],Table1[[#This Row],[IndicatorCode]])</f>
        <v>72.66514008620689</v>
      </c>
      <c r="I10598" cm="1">
        <f t="array" ref="I10598">_xlfn.STDEV.P(IF(Table1[IndicatorCode]=Table1[[#This Row],[IndicatorCode]],Table1[value]))</f>
        <v>6.3409496564024987</v>
      </c>
      <c r="J10598">
        <f>(Table1[[#This Row],[value]] - Table1[[#This Row],[mean]]) / Table1[[#This Row],[std_dev]]</f>
        <v>-2.9435874904574546</v>
      </c>
      <c r="K10598">
        <f>AVERAGEIF(Table1[CountryCode],Table1[[#This Row],[CountryCode]],Table1[z-score])</f>
        <v>-0.55461759774946673</v>
      </c>
      <c r="L10598" t="e">
        <f>VLOOKUP(Table1[[#This Row],[CountryCode]],[1]!Table1[#All],1,FALSE)</f>
        <v>#REF!</v>
      </c>
    </row>
    <row r="10599" spans="1:12" hidden="1" x14ac:dyDescent="0.3">
      <c r="A10599" t="s">
        <v>115</v>
      </c>
      <c r="B10599" t="s">
        <v>116</v>
      </c>
      <c r="C10599" t="s">
        <v>129</v>
      </c>
      <c r="D10599" t="s">
        <v>130</v>
      </c>
      <c r="E10599">
        <v>1966</v>
      </c>
      <c r="F10599" s="1">
        <v>54</v>
      </c>
      <c r="G10599">
        <v>1960</v>
      </c>
      <c r="H10599">
        <f>AVERAGEIFS(Table1[value],Table1[IndicatorCode],Table1[[#This Row],[IndicatorCode]])</f>
        <v>72.66514008620689</v>
      </c>
      <c r="I10599" cm="1">
        <f t="array" ref="I10599">_xlfn.STDEV.P(IF(Table1[IndicatorCode]=Table1[[#This Row],[IndicatorCode]],Table1[value]))</f>
        <v>6.3409496564024987</v>
      </c>
      <c r="J10599">
        <f>(Table1[[#This Row],[value]] - Table1[[#This Row],[mean]]) / Table1[[#This Row],[std_dev]]</f>
        <v>-2.9435874904574546</v>
      </c>
      <c r="K10599">
        <f>AVERAGEIF(Table1[CountryCode],Table1[[#This Row],[CountryCode]],Table1[z-score])</f>
        <v>-0.55461759774946673</v>
      </c>
      <c r="L10599" t="e">
        <f>VLOOKUP(Table1[[#This Row],[CountryCode]],[1]!Table1[#All],1,FALSE)</f>
        <v>#REF!</v>
      </c>
    </row>
    <row r="10600" spans="1:12" hidden="1" x14ac:dyDescent="0.3">
      <c r="A10600" t="s">
        <v>115</v>
      </c>
      <c r="B10600" t="s">
        <v>116</v>
      </c>
      <c r="C10600" t="s">
        <v>129</v>
      </c>
      <c r="D10600" t="s">
        <v>130</v>
      </c>
      <c r="E10600">
        <v>1967</v>
      </c>
      <c r="F10600" s="1">
        <v>55</v>
      </c>
      <c r="G10600">
        <v>1970</v>
      </c>
      <c r="H10600">
        <f>AVERAGEIFS(Table1[value],Table1[IndicatorCode],Table1[[#This Row],[IndicatorCode]])</f>
        <v>72.66514008620689</v>
      </c>
      <c r="I10600" cm="1">
        <f t="array" ref="I10600">_xlfn.STDEV.P(IF(Table1[IndicatorCode]=Table1[[#This Row],[IndicatorCode]],Table1[value]))</f>
        <v>6.3409496564024987</v>
      </c>
      <c r="J10600">
        <f>(Table1[[#This Row],[value]] - Table1[[#This Row],[mean]]) / Table1[[#This Row],[std_dev]]</f>
        <v>-2.7858824061740153</v>
      </c>
      <c r="K10600">
        <f>AVERAGEIF(Table1[CountryCode],Table1[[#This Row],[CountryCode]],Table1[z-score])</f>
        <v>-0.55461759774946673</v>
      </c>
      <c r="L10600" t="e">
        <f>VLOOKUP(Table1[[#This Row],[CountryCode]],[1]!Table1[#All],1,FALSE)</f>
        <v>#REF!</v>
      </c>
    </row>
    <row r="10601" spans="1:12" hidden="1" x14ac:dyDescent="0.3">
      <c r="A10601" t="s">
        <v>115</v>
      </c>
      <c r="B10601" t="s">
        <v>116</v>
      </c>
      <c r="C10601" t="s">
        <v>129</v>
      </c>
      <c r="D10601" t="s">
        <v>130</v>
      </c>
      <c r="E10601">
        <v>1968</v>
      </c>
      <c r="F10601" s="1">
        <v>55</v>
      </c>
      <c r="G10601">
        <v>1970</v>
      </c>
      <c r="H10601">
        <f>AVERAGEIFS(Table1[value],Table1[IndicatorCode],Table1[[#This Row],[IndicatorCode]])</f>
        <v>72.66514008620689</v>
      </c>
      <c r="I10601" cm="1">
        <f t="array" ref="I10601">_xlfn.STDEV.P(IF(Table1[IndicatorCode]=Table1[[#This Row],[IndicatorCode]],Table1[value]))</f>
        <v>6.3409496564024987</v>
      </c>
      <c r="J10601">
        <f>(Table1[[#This Row],[value]] - Table1[[#This Row],[mean]]) / Table1[[#This Row],[std_dev]]</f>
        <v>-2.7858824061740153</v>
      </c>
      <c r="K10601">
        <f>AVERAGEIF(Table1[CountryCode],Table1[[#This Row],[CountryCode]],Table1[z-score])</f>
        <v>-0.55461759774946673</v>
      </c>
      <c r="L10601" t="e">
        <f>VLOOKUP(Table1[[#This Row],[CountryCode]],[1]!Table1[#All],1,FALSE)</f>
        <v>#REF!</v>
      </c>
    </row>
    <row r="10602" spans="1:12" hidden="1" x14ac:dyDescent="0.3">
      <c r="A10602" t="s">
        <v>115</v>
      </c>
      <c r="B10602" t="s">
        <v>116</v>
      </c>
      <c r="C10602" t="s">
        <v>129</v>
      </c>
      <c r="D10602" t="s">
        <v>130</v>
      </c>
      <c r="E10602">
        <v>1969</v>
      </c>
      <c r="F10602" s="1">
        <v>56</v>
      </c>
      <c r="G10602">
        <v>1970</v>
      </c>
      <c r="H10602">
        <f>AVERAGEIFS(Table1[value],Table1[IndicatorCode],Table1[[#This Row],[IndicatorCode]])</f>
        <v>72.66514008620689</v>
      </c>
      <c r="I10602" cm="1">
        <f t="array" ref="I10602">_xlfn.STDEV.P(IF(Table1[IndicatorCode]=Table1[[#This Row],[IndicatorCode]],Table1[value]))</f>
        <v>6.3409496564024987</v>
      </c>
      <c r="J10602">
        <f>(Table1[[#This Row],[value]] - Table1[[#This Row],[mean]]) / Table1[[#This Row],[std_dev]]</f>
        <v>-2.6281773218905764</v>
      </c>
      <c r="K10602">
        <f>AVERAGEIF(Table1[CountryCode],Table1[[#This Row],[CountryCode]],Table1[z-score])</f>
        <v>-0.55461759774946673</v>
      </c>
      <c r="L10602" t="e">
        <f>VLOOKUP(Table1[[#This Row],[CountryCode]],[1]!Table1[#All],1,FALSE)</f>
        <v>#REF!</v>
      </c>
    </row>
    <row r="10603" spans="1:12" hidden="1" x14ac:dyDescent="0.3">
      <c r="A10603" t="s">
        <v>115</v>
      </c>
      <c r="B10603" t="s">
        <v>116</v>
      </c>
      <c r="C10603" t="s">
        <v>129</v>
      </c>
      <c r="D10603" t="s">
        <v>130</v>
      </c>
      <c r="E10603">
        <v>1970</v>
      </c>
      <c r="F10603" s="1">
        <v>56</v>
      </c>
      <c r="G10603">
        <v>1970</v>
      </c>
      <c r="H10603">
        <f>AVERAGEIFS(Table1[value],Table1[IndicatorCode],Table1[[#This Row],[IndicatorCode]])</f>
        <v>72.66514008620689</v>
      </c>
      <c r="I10603" cm="1">
        <f t="array" ref="I10603">_xlfn.STDEV.P(IF(Table1[IndicatorCode]=Table1[[#This Row],[IndicatorCode]],Table1[value]))</f>
        <v>6.3409496564024987</v>
      </c>
      <c r="J10603">
        <f>(Table1[[#This Row],[value]] - Table1[[#This Row],[mean]]) / Table1[[#This Row],[std_dev]]</f>
        <v>-2.6281773218905764</v>
      </c>
      <c r="K10603">
        <f>AVERAGEIF(Table1[CountryCode],Table1[[#This Row],[CountryCode]],Table1[z-score])</f>
        <v>-0.55461759774946673</v>
      </c>
      <c r="L10603" t="e">
        <f>VLOOKUP(Table1[[#This Row],[CountryCode]],[1]!Table1[#All],1,FALSE)</f>
        <v>#REF!</v>
      </c>
    </row>
    <row r="10604" spans="1:12" hidden="1" x14ac:dyDescent="0.3">
      <c r="A10604" t="s">
        <v>115</v>
      </c>
      <c r="B10604" t="s">
        <v>116</v>
      </c>
      <c r="C10604" t="s">
        <v>129</v>
      </c>
      <c r="D10604" t="s">
        <v>130</v>
      </c>
      <c r="E10604">
        <v>1971</v>
      </c>
      <c r="F10604" s="1">
        <v>56</v>
      </c>
      <c r="G10604">
        <v>1970</v>
      </c>
      <c r="H10604">
        <f>AVERAGEIFS(Table1[value],Table1[IndicatorCode],Table1[[#This Row],[IndicatorCode]])</f>
        <v>72.66514008620689</v>
      </c>
      <c r="I10604" cm="1">
        <f t="array" ref="I10604">_xlfn.STDEV.P(IF(Table1[IndicatorCode]=Table1[[#This Row],[IndicatorCode]],Table1[value]))</f>
        <v>6.3409496564024987</v>
      </c>
      <c r="J10604">
        <f>(Table1[[#This Row],[value]] - Table1[[#This Row],[mean]]) / Table1[[#This Row],[std_dev]]</f>
        <v>-2.6281773218905764</v>
      </c>
      <c r="K10604">
        <f>AVERAGEIF(Table1[CountryCode],Table1[[#This Row],[CountryCode]],Table1[z-score])</f>
        <v>-0.55461759774946673</v>
      </c>
      <c r="L10604" t="e">
        <f>VLOOKUP(Table1[[#This Row],[CountryCode]],[1]!Table1[#All],1,FALSE)</f>
        <v>#REF!</v>
      </c>
    </row>
    <row r="10605" spans="1:12" hidden="1" x14ac:dyDescent="0.3">
      <c r="A10605" t="s">
        <v>115</v>
      </c>
      <c r="B10605" t="s">
        <v>116</v>
      </c>
      <c r="C10605" t="s">
        <v>129</v>
      </c>
      <c r="D10605" t="s">
        <v>130</v>
      </c>
      <c r="E10605">
        <v>1972</v>
      </c>
      <c r="F10605" s="1">
        <v>57</v>
      </c>
      <c r="G10605">
        <v>1970</v>
      </c>
      <c r="H10605">
        <f>AVERAGEIFS(Table1[value],Table1[IndicatorCode],Table1[[#This Row],[IndicatorCode]])</f>
        <v>72.66514008620689</v>
      </c>
      <c r="I10605" cm="1">
        <f t="array" ref="I10605">_xlfn.STDEV.P(IF(Table1[IndicatorCode]=Table1[[#This Row],[IndicatorCode]],Table1[value]))</f>
        <v>6.3409496564024987</v>
      </c>
      <c r="J10605">
        <f>(Table1[[#This Row],[value]] - Table1[[#This Row],[mean]]) / Table1[[#This Row],[std_dev]]</f>
        <v>-2.4704722376071375</v>
      </c>
      <c r="K10605">
        <f>AVERAGEIF(Table1[CountryCode],Table1[[#This Row],[CountryCode]],Table1[z-score])</f>
        <v>-0.55461759774946673</v>
      </c>
      <c r="L10605" t="e">
        <f>VLOOKUP(Table1[[#This Row],[CountryCode]],[1]!Table1[#All],1,FALSE)</f>
        <v>#REF!</v>
      </c>
    </row>
    <row r="10606" spans="1:12" hidden="1" x14ac:dyDescent="0.3">
      <c r="A10606" t="s">
        <v>115</v>
      </c>
      <c r="B10606" t="s">
        <v>116</v>
      </c>
      <c r="C10606" t="s">
        <v>129</v>
      </c>
      <c r="D10606" t="s">
        <v>130</v>
      </c>
      <c r="E10606">
        <v>1973</v>
      </c>
      <c r="F10606" s="1">
        <v>57</v>
      </c>
      <c r="G10606">
        <v>1970</v>
      </c>
      <c r="H10606">
        <f>AVERAGEIFS(Table1[value],Table1[IndicatorCode],Table1[[#This Row],[IndicatorCode]])</f>
        <v>72.66514008620689</v>
      </c>
      <c r="I10606" cm="1">
        <f t="array" ref="I10606">_xlfn.STDEV.P(IF(Table1[IndicatorCode]=Table1[[#This Row],[IndicatorCode]],Table1[value]))</f>
        <v>6.3409496564024987</v>
      </c>
      <c r="J10606">
        <f>(Table1[[#This Row],[value]] - Table1[[#This Row],[mean]]) / Table1[[#This Row],[std_dev]]</f>
        <v>-2.4704722376071375</v>
      </c>
      <c r="K10606">
        <f>AVERAGEIF(Table1[CountryCode],Table1[[#This Row],[CountryCode]],Table1[z-score])</f>
        <v>-0.55461759774946673</v>
      </c>
      <c r="L10606" t="e">
        <f>VLOOKUP(Table1[[#This Row],[CountryCode]],[1]!Table1[#All],1,FALSE)</f>
        <v>#REF!</v>
      </c>
    </row>
    <row r="10607" spans="1:12" hidden="1" x14ac:dyDescent="0.3">
      <c r="A10607" t="s">
        <v>115</v>
      </c>
      <c r="B10607" t="s">
        <v>116</v>
      </c>
      <c r="C10607" t="s">
        <v>129</v>
      </c>
      <c r="D10607" t="s">
        <v>130</v>
      </c>
      <c r="E10607">
        <v>1974</v>
      </c>
      <c r="F10607" s="1">
        <v>57</v>
      </c>
      <c r="G10607">
        <v>1970</v>
      </c>
      <c r="H10607">
        <f>AVERAGEIFS(Table1[value],Table1[IndicatorCode],Table1[[#This Row],[IndicatorCode]])</f>
        <v>72.66514008620689</v>
      </c>
      <c r="I10607" cm="1">
        <f t="array" ref="I10607">_xlfn.STDEV.P(IF(Table1[IndicatorCode]=Table1[[#This Row],[IndicatorCode]],Table1[value]))</f>
        <v>6.3409496564024987</v>
      </c>
      <c r="J10607">
        <f>(Table1[[#This Row],[value]] - Table1[[#This Row],[mean]]) / Table1[[#This Row],[std_dev]]</f>
        <v>-2.4704722376071375</v>
      </c>
      <c r="K10607">
        <f>AVERAGEIF(Table1[CountryCode],Table1[[#This Row],[CountryCode]],Table1[z-score])</f>
        <v>-0.55461759774946673</v>
      </c>
      <c r="L10607" t="e">
        <f>VLOOKUP(Table1[[#This Row],[CountryCode]],[1]!Table1[#All],1,FALSE)</f>
        <v>#REF!</v>
      </c>
    </row>
    <row r="10608" spans="1:12" hidden="1" x14ac:dyDescent="0.3">
      <c r="A10608" t="s">
        <v>115</v>
      </c>
      <c r="B10608" t="s">
        <v>116</v>
      </c>
      <c r="C10608" t="s">
        <v>129</v>
      </c>
      <c r="D10608" t="s">
        <v>130</v>
      </c>
      <c r="E10608">
        <v>1975</v>
      </c>
      <c r="F10608" s="1">
        <v>57</v>
      </c>
      <c r="G10608">
        <v>1970</v>
      </c>
      <c r="H10608">
        <f>AVERAGEIFS(Table1[value],Table1[IndicatorCode],Table1[[#This Row],[IndicatorCode]])</f>
        <v>72.66514008620689</v>
      </c>
      <c r="I10608" cm="1">
        <f t="array" ref="I10608">_xlfn.STDEV.P(IF(Table1[IndicatorCode]=Table1[[#This Row],[IndicatorCode]],Table1[value]))</f>
        <v>6.3409496564024987</v>
      </c>
      <c r="J10608">
        <f>(Table1[[#This Row],[value]] - Table1[[#This Row],[mean]]) / Table1[[#This Row],[std_dev]]</f>
        <v>-2.4704722376071375</v>
      </c>
      <c r="K10608">
        <f>AVERAGEIF(Table1[CountryCode],Table1[[#This Row],[CountryCode]],Table1[z-score])</f>
        <v>-0.55461759774946673</v>
      </c>
      <c r="L10608" t="e">
        <f>VLOOKUP(Table1[[#This Row],[CountryCode]],[1]!Table1[#All],1,FALSE)</f>
        <v>#REF!</v>
      </c>
    </row>
    <row r="10609" spans="1:12" hidden="1" x14ac:dyDescent="0.3">
      <c r="A10609" t="s">
        <v>115</v>
      </c>
      <c r="B10609" t="s">
        <v>116</v>
      </c>
      <c r="C10609" t="s">
        <v>129</v>
      </c>
      <c r="D10609" t="s">
        <v>130</v>
      </c>
      <c r="E10609">
        <v>1976</v>
      </c>
      <c r="F10609" s="1">
        <v>57</v>
      </c>
      <c r="G10609">
        <v>1970</v>
      </c>
      <c r="H10609">
        <f>AVERAGEIFS(Table1[value],Table1[IndicatorCode],Table1[[#This Row],[IndicatorCode]])</f>
        <v>72.66514008620689</v>
      </c>
      <c r="I10609" cm="1">
        <f t="array" ref="I10609">_xlfn.STDEV.P(IF(Table1[IndicatorCode]=Table1[[#This Row],[IndicatorCode]],Table1[value]))</f>
        <v>6.3409496564024987</v>
      </c>
      <c r="J10609">
        <f>(Table1[[#This Row],[value]] - Table1[[#This Row],[mean]]) / Table1[[#This Row],[std_dev]]</f>
        <v>-2.4704722376071375</v>
      </c>
      <c r="K10609">
        <f>AVERAGEIF(Table1[CountryCode],Table1[[#This Row],[CountryCode]],Table1[z-score])</f>
        <v>-0.55461759774946673</v>
      </c>
      <c r="L10609" t="e">
        <f>VLOOKUP(Table1[[#This Row],[CountryCode]],[1]!Table1[#All],1,FALSE)</f>
        <v>#REF!</v>
      </c>
    </row>
    <row r="10610" spans="1:12" hidden="1" x14ac:dyDescent="0.3">
      <c r="A10610" t="s">
        <v>115</v>
      </c>
      <c r="B10610" t="s">
        <v>116</v>
      </c>
      <c r="C10610" t="s">
        <v>129</v>
      </c>
      <c r="D10610" t="s">
        <v>130</v>
      </c>
      <c r="E10610">
        <v>1977</v>
      </c>
      <c r="F10610" s="1">
        <v>58</v>
      </c>
      <c r="G10610">
        <v>1980</v>
      </c>
      <c r="H10610">
        <f>AVERAGEIFS(Table1[value],Table1[IndicatorCode],Table1[[#This Row],[IndicatorCode]])</f>
        <v>72.66514008620689</v>
      </c>
      <c r="I10610" cm="1">
        <f t="array" ref="I10610">_xlfn.STDEV.P(IF(Table1[IndicatorCode]=Table1[[#This Row],[IndicatorCode]],Table1[value]))</f>
        <v>6.3409496564024987</v>
      </c>
      <c r="J10610">
        <f>(Table1[[#This Row],[value]] - Table1[[#This Row],[mean]]) / Table1[[#This Row],[std_dev]]</f>
        <v>-2.3127671533236982</v>
      </c>
      <c r="K10610">
        <f>AVERAGEIF(Table1[CountryCode],Table1[[#This Row],[CountryCode]],Table1[z-score])</f>
        <v>-0.55461759774946673</v>
      </c>
      <c r="L10610" t="e">
        <f>VLOOKUP(Table1[[#This Row],[CountryCode]],[1]!Table1[#All],1,FALSE)</f>
        <v>#REF!</v>
      </c>
    </row>
    <row r="10611" spans="1:12" hidden="1" x14ac:dyDescent="0.3">
      <c r="A10611" t="s">
        <v>115</v>
      </c>
      <c r="B10611" t="s">
        <v>116</v>
      </c>
      <c r="C10611" t="s">
        <v>129</v>
      </c>
      <c r="D10611" t="s">
        <v>130</v>
      </c>
      <c r="E10611">
        <v>1978</v>
      </c>
      <c r="F10611" s="1">
        <v>58</v>
      </c>
      <c r="G10611">
        <v>1980</v>
      </c>
      <c r="H10611">
        <f>AVERAGEIFS(Table1[value],Table1[IndicatorCode],Table1[[#This Row],[IndicatorCode]])</f>
        <v>72.66514008620689</v>
      </c>
      <c r="I10611" cm="1">
        <f t="array" ref="I10611">_xlfn.STDEV.P(IF(Table1[IndicatorCode]=Table1[[#This Row],[IndicatorCode]],Table1[value]))</f>
        <v>6.3409496564024987</v>
      </c>
      <c r="J10611">
        <f>(Table1[[#This Row],[value]] - Table1[[#This Row],[mean]]) / Table1[[#This Row],[std_dev]]</f>
        <v>-2.3127671533236982</v>
      </c>
      <c r="K10611">
        <f>AVERAGEIF(Table1[CountryCode],Table1[[#This Row],[CountryCode]],Table1[z-score])</f>
        <v>-0.55461759774946673</v>
      </c>
      <c r="L10611" t="e">
        <f>VLOOKUP(Table1[[#This Row],[CountryCode]],[1]!Table1[#All],1,FALSE)</f>
        <v>#REF!</v>
      </c>
    </row>
    <row r="10612" spans="1:12" hidden="1" x14ac:dyDescent="0.3">
      <c r="A10612" t="s">
        <v>115</v>
      </c>
      <c r="B10612" t="s">
        <v>116</v>
      </c>
      <c r="C10612" t="s">
        <v>129</v>
      </c>
      <c r="D10612" t="s">
        <v>130</v>
      </c>
      <c r="E10612">
        <v>1979</v>
      </c>
      <c r="F10612" s="1">
        <v>59</v>
      </c>
      <c r="G10612">
        <v>1980</v>
      </c>
      <c r="H10612">
        <f>AVERAGEIFS(Table1[value],Table1[IndicatorCode],Table1[[#This Row],[IndicatorCode]])</f>
        <v>72.66514008620689</v>
      </c>
      <c r="I10612" cm="1">
        <f t="array" ref="I10612">_xlfn.STDEV.P(IF(Table1[IndicatorCode]=Table1[[#This Row],[IndicatorCode]],Table1[value]))</f>
        <v>6.3409496564024987</v>
      </c>
      <c r="J10612">
        <f>(Table1[[#This Row],[value]] - Table1[[#This Row],[mean]]) / Table1[[#This Row],[std_dev]]</f>
        <v>-2.1550620690402593</v>
      </c>
      <c r="K10612">
        <f>AVERAGEIF(Table1[CountryCode],Table1[[#This Row],[CountryCode]],Table1[z-score])</f>
        <v>-0.55461759774946673</v>
      </c>
      <c r="L10612" t="e">
        <f>VLOOKUP(Table1[[#This Row],[CountryCode]],[1]!Table1[#All],1,FALSE)</f>
        <v>#REF!</v>
      </c>
    </row>
    <row r="10613" spans="1:12" hidden="1" x14ac:dyDescent="0.3">
      <c r="A10613" t="s">
        <v>115</v>
      </c>
      <c r="B10613" t="s">
        <v>116</v>
      </c>
      <c r="C10613" t="s">
        <v>129</v>
      </c>
      <c r="D10613" t="s">
        <v>130</v>
      </c>
      <c r="E10613">
        <v>1980</v>
      </c>
      <c r="F10613" s="1">
        <v>60</v>
      </c>
      <c r="G10613">
        <v>1980</v>
      </c>
      <c r="H10613">
        <f>AVERAGEIFS(Table1[value],Table1[IndicatorCode],Table1[[#This Row],[IndicatorCode]])</f>
        <v>72.66514008620689</v>
      </c>
      <c r="I10613" cm="1">
        <f t="array" ref="I10613">_xlfn.STDEV.P(IF(Table1[IndicatorCode]=Table1[[#This Row],[IndicatorCode]],Table1[value]))</f>
        <v>6.3409496564024987</v>
      </c>
      <c r="J10613">
        <f>(Table1[[#This Row],[value]] - Table1[[#This Row],[mean]]) / Table1[[#This Row],[std_dev]]</f>
        <v>-1.9973569847568202</v>
      </c>
      <c r="K10613">
        <f>AVERAGEIF(Table1[CountryCode],Table1[[#This Row],[CountryCode]],Table1[z-score])</f>
        <v>-0.55461759774946673</v>
      </c>
      <c r="L10613" t="e">
        <f>VLOOKUP(Table1[[#This Row],[CountryCode]],[1]!Table1[#All],1,FALSE)</f>
        <v>#REF!</v>
      </c>
    </row>
    <row r="10614" spans="1:12" hidden="1" x14ac:dyDescent="0.3">
      <c r="A10614" t="s">
        <v>115</v>
      </c>
      <c r="B10614" t="s">
        <v>116</v>
      </c>
      <c r="C10614" t="s">
        <v>129</v>
      </c>
      <c r="D10614" t="s">
        <v>130</v>
      </c>
      <c r="E10614">
        <v>1981</v>
      </c>
      <c r="F10614" s="1">
        <v>61</v>
      </c>
      <c r="G10614">
        <v>1980</v>
      </c>
      <c r="H10614">
        <f>AVERAGEIFS(Table1[value],Table1[IndicatorCode],Table1[[#This Row],[IndicatorCode]])</f>
        <v>72.66514008620689</v>
      </c>
      <c r="I10614" cm="1">
        <f t="array" ref="I10614">_xlfn.STDEV.P(IF(Table1[IndicatorCode]=Table1[[#This Row],[IndicatorCode]],Table1[value]))</f>
        <v>6.3409496564024987</v>
      </c>
      <c r="J10614">
        <f>(Table1[[#This Row],[value]] - Table1[[#This Row],[mean]]) / Table1[[#This Row],[std_dev]]</f>
        <v>-1.8396519004733811</v>
      </c>
      <c r="K10614">
        <f>AVERAGEIF(Table1[CountryCode],Table1[[#This Row],[CountryCode]],Table1[z-score])</f>
        <v>-0.55461759774946673</v>
      </c>
      <c r="L10614" t="e">
        <f>VLOOKUP(Table1[[#This Row],[CountryCode]],[1]!Table1[#All],1,FALSE)</f>
        <v>#REF!</v>
      </c>
    </row>
    <row r="10615" spans="1:12" hidden="1" x14ac:dyDescent="0.3">
      <c r="A10615" t="s">
        <v>115</v>
      </c>
      <c r="B10615" t="s">
        <v>116</v>
      </c>
      <c r="C10615" t="s">
        <v>129</v>
      </c>
      <c r="D10615" t="s">
        <v>130</v>
      </c>
      <c r="E10615">
        <v>1982</v>
      </c>
      <c r="F10615" s="1">
        <v>62</v>
      </c>
      <c r="G10615">
        <v>1980</v>
      </c>
      <c r="H10615">
        <f>AVERAGEIFS(Table1[value],Table1[IndicatorCode],Table1[[#This Row],[IndicatorCode]])</f>
        <v>72.66514008620689</v>
      </c>
      <c r="I10615" cm="1">
        <f t="array" ref="I10615">_xlfn.STDEV.P(IF(Table1[IndicatorCode]=Table1[[#This Row],[IndicatorCode]],Table1[value]))</f>
        <v>6.3409496564024987</v>
      </c>
      <c r="J10615">
        <f>(Table1[[#This Row],[value]] - Table1[[#This Row],[mean]]) / Table1[[#This Row],[std_dev]]</f>
        <v>-1.681946816189942</v>
      </c>
      <c r="K10615">
        <f>AVERAGEIF(Table1[CountryCode],Table1[[#This Row],[CountryCode]],Table1[z-score])</f>
        <v>-0.55461759774946673</v>
      </c>
      <c r="L10615" t="e">
        <f>VLOOKUP(Table1[[#This Row],[CountryCode]],[1]!Table1[#All],1,FALSE)</f>
        <v>#REF!</v>
      </c>
    </row>
    <row r="10616" spans="1:12" hidden="1" x14ac:dyDescent="0.3">
      <c r="A10616" t="s">
        <v>115</v>
      </c>
      <c r="B10616" t="s">
        <v>116</v>
      </c>
      <c r="C10616" t="s">
        <v>129</v>
      </c>
      <c r="D10616" t="s">
        <v>130</v>
      </c>
      <c r="E10616">
        <v>1983</v>
      </c>
      <c r="F10616" s="1">
        <v>62</v>
      </c>
      <c r="G10616">
        <v>1980</v>
      </c>
      <c r="H10616">
        <f>AVERAGEIFS(Table1[value],Table1[IndicatorCode],Table1[[#This Row],[IndicatorCode]])</f>
        <v>72.66514008620689</v>
      </c>
      <c r="I10616" cm="1">
        <f t="array" ref="I10616">_xlfn.STDEV.P(IF(Table1[IndicatorCode]=Table1[[#This Row],[IndicatorCode]],Table1[value]))</f>
        <v>6.3409496564024987</v>
      </c>
      <c r="J10616">
        <f>(Table1[[#This Row],[value]] - Table1[[#This Row],[mean]]) / Table1[[#This Row],[std_dev]]</f>
        <v>-1.681946816189942</v>
      </c>
      <c r="K10616">
        <f>AVERAGEIF(Table1[CountryCode],Table1[[#This Row],[CountryCode]],Table1[z-score])</f>
        <v>-0.55461759774946673</v>
      </c>
      <c r="L10616" t="e">
        <f>VLOOKUP(Table1[[#This Row],[CountryCode]],[1]!Table1[#All],1,FALSE)</f>
        <v>#REF!</v>
      </c>
    </row>
    <row r="10617" spans="1:12" hidden="1" x14ac:dyDescent="0.3">
      <c r="A10617" t="s">
        <v>115</v>
      </c>
      <c r="B10617" t="s">
        <v>116</v>
      </c>
      <c r="C10617" t="s">
        <v>129</v>
      </c>
      <c r="D10617" t="s">
        <v>130</v>
      </c>
      <c r="E10617">
        <v>1984</v>
      </c>
      <c r="F10617" s="1">
        <v>62</v>
      </c>
      <c r="G10617">
        <v>1980</v>
      </c>
      <c r="H10617">
        <f>AVERAGEIFS(Table1[value],Table1[IndicatorCode],Table1[[#This Row],[IndicatorCode]])</f>
        <v>72.66514008620689</v>
      </c>
      <c r="I10617" cm="1">
        <f t="array" ref="I10617">_xlfn.STDEV.P(IF(Table1[IndicatorCode]=Table1[[#This Row],[IndicatorCode]],Table1[value]))</f>
        <v>6.3409496564024987</v>
      </c>
      <c r="J10617">
        <f>(Table1[[#This Row],[value]] - Table1[[#This Row],[mean]]) / Table1[[#This Row],[std_dev]]</f>
        <v>-1.681946816189942</v>
      </c>
      <c r="K10617">
        <f>AVERAGEIF(Table1[CountryCode],Table1[[#This Row],[CountryCode]],Table1[z-score])</f>
        <v>-0.55461759774946673</v>
      </c>
      <c r="L10617" t="e">
        <f>VLOOKUP(Table1[[#This Row],[CountryCode]],[1]!Table1[#All],1,FALSE)</f>
        <v>#REF!</v>
      </c>
    </row>
    <row r="10618" spans="1:12" hidden="1" x14ac:dyDescent="0.3">
      <c r="A10618" t="s">
        <v>115</v>
      </c>
      <c r="B10618" t="s">
        <v>116</v>
      </c>
      <c r="C10618" t="s">
        <v>129</v>
      </c>
      <c r="D10618" t="s">
        <v>130</v>
      </c>
      <c r="E10618">
        <v>1985</v>
      </c>
      <c r="F10618" s="1">
        <v>63</v>
      </c>
      <c r="G10618">
        <v>1980</v>
      </c>
      <c r="H10618">
        <f>AVERAGEIFS(Table1[value],Table1[IndicatorCode],Table1[[#This Row],[IndicatorCode]])</f>
        <v>72.66514008620689</v>
      </c>
      <c r="I10618" cm="1">
        <f t="array" ref="I10618">_xlfn.STDEV.P(IF(Table1[IndicatorCode]=Table1[[#This Row],[IndicatorCode]],Table1[value]))</f>
        <v>6.3409496564024987</v>
      </c>
      <c r="J10618">
        <f>(Table1[[#This Row],[value]] - Table1[[#This Row],[mean]]) / Table1[[#This Row],[std_dev]]</f>
        <v>-1.5242417319065029</v>
      </c>
      <c r="K10618">
        <f>AVERAGEIF(Table1[CountryCode],Table1[[#This Row],[CountryCode]],Table1[z-score])</f>
        <v>-0.55461759774946673</v>
      </c>
      <c r="L10618" t="e">
        <f>VLOOKUP(Table1[[#This Row],[CountryCode]],[1]!Table1[#All],1,FALSE)</f>
        <v>#REF!</v>
      </c>
    </row>
    <row r="10619" spans="1:12" hidden="1" x14ac:dyDescent="0.3">
      <c r="A10619" t="s">
        <v>115</v>
      </c>
      <c r="B10619" t="s">
        <v>116</v>
      </c>
      <c r="C10619" t="s">
        <v>129</v>
      </c>
      <c r="D10619" t="s">
        <v>130</v>
      </c>
      <c r="E10619">
        <v>1986</v>
      </c>
      <c r="F10619" s="1">
        <v>63</v>
      </c>
      <c r="G10619">
        <v>1980</v>
      </c>
      <c r="H10619">
        <f>AVERAGEIFS(Table1[value],Table1[IndicatorCode],Table1[[#This Row],[IndicatorCode]])</f>
        <v>72.66514008620689</v>
      </c>
      <c r="I10619" cm="1">
        <f t="array" ref="I10619">_xlfn.STDEV.P(IF(Table1[IndicatorCode]=Table1[[#This Row],[IndicatorCode]],Table1[value]))</f>
        <v>6.3409496564024987</v>
      </c>
      <c r="J10619">
        <f>(Table1[[#This Row],[value]] - Table1[[#This Row],[mean]]) / Table1[[#This Row],[std_dev]]</f>
        <v>-1.5242417319065029</v>
      </c>
      <c r="K10619">
        <f>AVERAGEIF(Table1[CountryCode],Table1[[#This Row],[CountryCode]],Table1[z-score])</f>
        <v>-0.55461759774946673</v>
      </c>
      <c r="L10619" t="e">
        <f>VLOOKUP(Table1[[#This Row],[CountryCode]],[1]!Table1[#All],1,FALSE)</f>
        <v>#REF!</v>
      </c>
    </row>
    <row r="10620" spans="1:12" hidden="1" x14ac:dyDescent="0.3">
      <c r="A10620" t="s">
        <v>115</v>
      </c>
      <c r="B10620" t="s">
        <v>116</v>
      </c>
      <c r="C10620" t="s">
        <v>129</v>
      </c>
      <c r="D10620" t="s">
        <v>130</v>
      </c>
      <c r="E10620">
        <v>1987</v>
      </c>
      <c r="F10620" s="1">
        <v>64</v>
      </c>
      <c r="G10620">
        <v>1990</v>
      </c>
      <c r="H10620">
        <f>AVERAGEIFS(Table1[value],Table1[IndicatorCode],Table1[[#This Row],[IndicatorCode]])</f>
        <v>72.66514008620689</v>
      </c>
      <c r="I10620" cm="1">
        <f t="array" ref="I10620">_xlfn.STDEV.P(IF(Table1[IndicatorCode]=Table1[[#This Row],[IndicatorCode]],Table1[value]))</f>
        <v>6.3409496564024987</v>
      </c>
      <c r="J10620">
        <f>(Table1[[#This Row],[value]] - Table1[[#This Row],[mean]]) / Table1[[#This Row],[std_dev]]</f>
        <v>-1.3665366476230638</v>
      </c>
      <c r="K10620">
        <f>AVERAGEIF(Table1[CountryCode],Table1[[#This Row],[CountryCode]],Table1[z-score])</f>
        <v>-0.55461759774946673</v>
      </c>
      <c r="L10620" t="e">
        <f>VLOOKUP(Table1[[#This Row],[CountryCode]],[1]!Table1[#All],1,FALSE)</f>
        <v>#REF!</v>
      </c>
    </row>
    <row r="10621" spans="1:12" hidden="1" x14ac:dyDescent="0.3">
      <c r="A10621" t="s">
        <v>115</v>
      </c>
      <c r="B10621" t="s">
        <v>116</v>
      </c>
      <c r="C10621" t="s">
        <v>129</v>
      </c>
      <c r="D10621" t="s">
        <v>130</v>
      </c>
      <c r="E10621">
        <v>1988</v>
      </c>
      <c r="F10621" s="1">
        <v>64</v>
      </c>
      <c r="G10621">
        <v>1990</v>
      </c>
      <c r="H10621">
        <f>AVERAGEIFS(Table1[value],Table1[IndicatorCode],Table1[[#This Row],[IndicatorCode]])</f>
        <v>72.66514008620689</v>
      </c>
      <c r="I10621" cm="1">
        <f t="array" ref="I10621">_xlfn.STDEV.P(IF(Table1[IndicatorCode]=Table1[[#This Row],[IndicatorCode]],Table1[value]))</f>
        <v>6.3409496564024987</v>
      </c>
      <c r="J10621">
        <f>(Table1[[#This Row],[value]] - Table1[[#This Row],[mean]]) / Table1[[#This Row],[std_dev]]</f>
        <v>-1.3665366476230638</v>
      </c>
      <c r="K10621">
        <f>AVERAGEIF(Table1[CountryCode],Table1[[#This Row],[CountryCode]],Table1[z-score])</f>
        <v>-0.55461759774946673</v>
      </c>
      <c r="L10621" t="e">
        <f>VLOOKUP(Table1[[#This Row],[CountryCode]],[1]!Table1[#All],1,FALSE)</f>
        <v>#REF!</v>
      </c>
    </row>
    <row r="10622" spans="1:12" hidden="1" x14ac:dyDescent="0.3">
      <c r="A10622" t="s">
        <v>115</v>
      </c>
      <c r="B10622" t="s">
        <v>116</v>
      </c>
      <c r="C10622" t="s">
        <v>129</v>
      </c>
      <c r="D10622" t="s">
        <v>130</v>
      </c>
      <c r="E10622">
        <v>1989</v>
      </c>
      <c r="F10622" s="1">
        <v>64</v>
      </c>
      <c r="G10622">
        <v>1990</v>
      </c>
      <c r="H10622">
        <f>AVERAGEIFS(Table1[value],Table1[IndicatorCode],Table1[[#This Row],[IndicatorCode]])</f>
        <v>72.66514008620689</v>
      </c>
      <c r="I10622" cm="1">
        <f t="array" ref="I10622">_xlfn.STDEV.P(IF(Table1[IndicatorCode]=Table1[[#This Row],[IndicatorCode]],Table1[value]))</f>
        <v>6.3409496564024987</v>
      </c>
      <c r="J10622">
        <f>(Table1[[#This Row],[value]] - Table1[[#This Row],[mean]]) / Table1[[#This Row],[std_dev]]</f>
        <v>-1.3665366476230638</v>
      </c>
      <c r="K10622">
        <f>AVERAGEIF(Table1[CountryCode],Table1[[#This Row],[CountryCode]],Table1[z-score])</f>
        <v>-0.55461759774946673</v>
      </c>
      <c r="L10622" t="e">
        <f>VLOOKUP(Table1[[#This Row],[CountryCode]],[1]!Table1[#All],1,FALSE)</f>
        <v>#REF!</v>
      </c>
    </row>
    <row r="10623" spans="1:12" hidden="1" x14ac:dyDescent="0.3">
      <c r="A10623" t="s">
        <v>115</v>
      </c>
      <c r="B10623" t="s">
        <v>116</v>
      </c>
      <c r="C10623" t="s">
        <v>129</v>
      </c>
      <c r="D10623" t="s">
        <v>130</v>
      </c>
      <c r="E10623">
        <v>1990</v>
      </c>
      <c r="F10623" s="1">
        <v>64</v>
      </c>
      <c r="G10623">
        <v>1990</v>
      </c>
      <c r="H10623">
        <f>AVERAGEIFS(Table1[value],Table1[IndicatorCode],Table1[[#This Row],[IndicatorCode]])</f>
        <v>72.66514008620689</v>
      </c>
      <c r="I10623" cm="1">
        <f t="array" ref="I10623">_xlfn.STDEV.P(IF(Table1[IndicatorCode]=Table1[[#This Row],[IndicatorCode]],Table1[value]))</f>
        <v>6.3409496564024987</v>
      </c>
      <c r="J10623">
        <f>(Table1[[#This Row],[value]] - Table1[[#This Row],[mean]]) / Table1[[#This Row],[std_dev]]</f>
        <v>-1.3665366476230638</v>
      </c>
      <c r="K10623">
        <f>AVERAGEIF(Table1[CountryCode],Table1[[#This Row],[CountryCode]],Table1[z-score])</f>
        <v>-0.55461759774946673</v>
      </c>
      <c r="L10623" t="e">
        <f>VLOOKUP(Table1[[#This Row],[CountryCode]],[1]!Table1[#All],1,FALSE)</f>
        <v>#REF!</v>
      </c>
    </row>
    <row r="10624" spans="1:12" hidden="1" x14ac:dyDescent="0.3">
      <c r="A10624" t="s">
        <v>115</v>
      </c>
      <c r="B10624" t="s">
        <v>116</v>
      </c>
      <c r="C10624" t="s">
        <v>129</v>
      </c>
      <c r="D10624" t="s">
        <v>130</v>
      </c>
      <c r="E10624">
        <v>1991</v>
      </c>
      <c r="F10624" s="1">
        <v>64</v>
      </c>
      <c r="G10624">
        <v>1990</v>
      </c>
      <c r="H10624">
        <f>AVERAGEIFS(Table1[value],Table1[IndicatorCode],Table1[[#This Row],[IndicatorCode]])</f>
        <v>72.66514008620689</v>
      </c>
      <c r="I10624" cm="1">
        <f t="array" ref="I10624">_xlfn.STDEV.P(IF(Table1[IndicatorCode]=Table1[[#This Row],[IndicatorCode]],Table1[value]))</f>
        <v>6.3409496564024987</v>
      </c>
      <c r="J10624">
        <f>(Table1[[#This Row],[value]] - Table1[[#This Row],[mean]]) / Table1[[#This Row],[std_dev]]</f>
        <v>-1.3665366476230638</v>
      </c>
      <c r="K10624">
        <f>AVERAGEIF(Table1[CountryCode],Table1[[#This Row],[CountryCode]],Table1[z-score])</f>
        <v>-0.55461759774946673</v>
      </c>
      <c r="L10624" t="e">
        <f>VLOOKUP(Table1[[#This Row],[CountryCode]],[1]!Table1[#All],1,FALSE)</f>
        <v>#REF!</v>
      </c>
    </row>
    <row r="10625" spans="1:12" hidden="1" x14ac:dyDescent="0.3">
      <c r="A10625" t="s">
        <v>115</v>
      </c>
      <c r="B10625" t="s">
        <v>116</v>
      </c>
      <c r="C10625" t="s">
        <v>129</v>
      </c>
      <c r="D10625" t="s">
        <v>130</v>
      </c>
      <c r="E10625">
        <v>1992</v>
      </c>
      <c r="F10625" s="1">
        <v>64</v>
      </c>
      <c r="G10625">
        <v>1990</v>
      </c>
      <c r="H10625">
        <f>AVERAGEIFS(Table1[value],Table1[IndicatorCode],Table1[[#This Row],[IndicatorCode]])</f>
        <v>72.66514008620689</v>
      </c>
      <c r="I10625" cm="1">
        <f t="array" ref="I10625">_xlfn.STDEV.P(IF(Table1[IndicatorCode]=Table1[[#This Row],[IndicatorCode]],Table1[value]))</f>
        <v>6.3409496564024987</v>
      </c>
      <c r="J10625">
        <f>(Table1[[#This Row],[value]] - Table1[[#This Row],[mean]]) / Table1[[#This Row],[std_dev]]</f>
        <v>-1.3665366476230638</v>
      </c>
      <c r="K10625">
        <f>AVERAGEIF(Table1[CountryCode],Table1[[#This Row],[CountryCode]],Table1[z-score])</f>
        <v>-0.55461759774946673</v>
      </c>
      <c r="L10625" t="e">
        <f>VLOOKUP(Table1[[#This Row],[CountryCode]],[1]!Table1[#All],1,FALSE)</f>
        <v>#REF!</v>
      </c>
    </row>
    <row r="10626" spans="1:12" hidden="1" x14ac:dyDescent="0.3">
      <c r="A10626" t="s">
        <v>115</v>
      </c>
      <c r="B10626" t="s">
        <v>116</v>
      </c>
      <c r="C10626" t="s">
        <v>129</v>
      </c>
      <c r="D10626" t="s">
        <v>130</v>
      </c>
      <c r="E10626">
        <v>1993</v>
      </c>
      <c r="F10626" s="1">
        <v>64</v>
      </c>
      <c r="G10626">
        <v>1990</v>
      </c>
      <c r="H10626">
        <f>AVERAGEIFS(Table1[value],Table1[IndicatorCode],Table1[[#This Row],[IndicatorCode]])</f>
        <v>72.66514008620689</v>
      </c>
      <c r="I10626" cm="1">
        <f t="array" ref="I10626">_xlfn.STDEV.P(IF(Table1[IndicatorCode]=Table1[[#This Row],[IndicatorCode]],Table1[value]))</f>
        <v>6.3409496564024987</v>
      </c>
      <c r="J10626">
        <f>(Table1[[#This Row],[value]] - Table1[[#This Row],[mean]]) / Table1[[#This Row],[std_dev]]</f>
        <v>-1.3665366476230638</v>
      </c>
      <c r="K10626">
        <f>AVERAGEIF(Table1[CountryCode],Table1[[#This Row],[CountryCode]],Table1[z-score])</f>
        <v>-0.55461759774946673</v>
      </c>
      <c r="L10626" t="e">
        <f>VLOOKUP(Table1[[#This Row],[CountryCode]],[1]!Table1[#All],1,FALSE)</f>
        <v>#REF!</v>
      </c>
    </row>
    <row r="10627" spans="1:12" hidden="1" x14ac:dyDescent="0.3">
      <c r="A10627" t="s">
        <v>115</v>
      </c>
      <c r="B10627" t="s">
        <v>116</v>
      </c>
      <c r="C10627" t="s">
        <v>129</v>
      </c>
      <c r="D10627" t="s">
        <v>130</v>
      </c>
      <c r="E10627">
        <v>1994</v>
      </c>
      <c r="F10627" s="1">
        <v>64</v>
      </c>
      <c r="G10627">
        <v>1990</v>
      </c>
      <c r="H10627">
        <f>AVERAGEIFS(Table1[value],Table1[IndicatorCode],Table1[[#This Row],[IndicatorCode]])</f>
        <v>72.66514008620689</v>
      </c>
      <c r="I10627" cm="1">
        <f t="array" ref="I10627">_xlfn.STDEV.P(IF(Table1[IndicatorCode]=Table1[[#This Row],[IndicatorCode]],Table1[value]))</f>
        <v>6.3409496564024987</v>
      </c>
      <c r="J10627">
        <f>(Table1[[#This Row],[value]] - Table1[[#This Row],[mean]]) / Table1[[#This Row],[std_dev]]</f>
        <v>-1.3665366476230638</v>
      </c>
      <c r="K10627">
        <f>AVERAGEIF(Table1[CountryCode],Table1[[#This Row],[CountryCode]],Table1[z-score])</f>
        <v>-0.55461759774946673</v>
      </c>
      <c r="L10627" t="e">
        <f>VLOOKUP(Table1[[#This Row],[CountryCode]],[1]!Table1[#All],1,FALSE)</f>
        <v>#REF!</v>
      </c>
    </row>
    <row r="10628" spans="1:12" hidden="1" x14ac:dyDescent="0.3">
      <c r="A10628" t="s">
        <v>115</v>
      </c>
      <c r="B10628" t="s">
        <v>116</v>
      </c>
      <c r="C10628" t="s">
        <v>129</v>
      </c>
      <c r="D10628" t="s">
        <v>130</v>
      </c>
      <c r="E10628">
        <v>1995</v>
      </c>
      <c r="F10628" s="1">
        <v>64</v>
      </c>
      <c r="G10628">
        <v>1990</v>
      </c>
      <c r="H10628">
        <f>AVERAGEIFS(Table1[value],Table1[IndicatorCode],Table1[[#This Row],[IndicatorCode]])</f>
        <v>72.66514008620689</v>
      </c>
      <c r="I10628" cm="1">
        <f t="array" ref="I10628">_xlfn.STDEV.P(IF(Table1[IndicatorCode]=Table1[[#This Row],[IndicatorCode]],Table1[value]))</f>
        <v>6.3409496564024987</v>
      </c>
      <c r="J10628">
        <f>(Table1[[#This Row],[value]] - Table1[[#This Row],[mean]]) / Table1[[#This Row],[std_dev]]</f>
        <v>-1.3665366476230638</v>
      </c>
      <c r="K10628">
        <f>AVERAGEIF(Table1[CountryCode],Table1[[#This Row],[CountryCode]],Table1[z-score])</f>
        <v>-0.55461759774946673</v>
      </c>
      <c r="L10628" t="e">
        <f>VLOOKUP(Table1[[#This Row],[CountryCode]],[1]!Table1[#All],1,FALSE)</f>
        <v>#REF!</v>
      </c>
    </row>
    <row r="10629" spans="1:12" hidden="1" x14ac:dyDescent="0.3">
      <c r="A10629" t="s">
        <v>115</v>
      </c>
      <c r="B10629" t="s">
        <v>116</v>
      </c>
      <c r="C10629" t="s">
        <v>129</v>
      </c>
      <c r="D10629" t="s">
        <v>130</v>
      </c>
      <c r="E10629">
        <v>1996</v>
      </c>
      <c r="F10629" s="1">
        <v>64</v>
      </c>
      <c r="G10629">
        <v>1990</v>
      </c>
      <c r="H10629">
        <f>AVERAGEIFS(Table1[value],Table1[IndicatorCode],Table1[[#This Row],[IndicatorCode]])</f>
        <v>72.66514008620689</v>
      </c>
      <c r="I10629" cm="1">
        <f t="array" ref="I10629">_xlfn.STDEV.P(IF(Table1[IndicatorCode]=Table1[[#This Row],[IndicatorCode]],Table1[value]))</f>
        <v>6.3409496564024987</v>
      </c>
      <c r="J10629">
        <f>(Table1[[#This Row],[value]] - Table1[[#This Row],[mean]]) / Table1[[#This Row],[std_dev]]</f>
        <v>-1.3665366476230638</v>
      </c>
      <c r="K10629">
        <f>AVERAGEIF(Table1[CountryCode],Table1[[#This Row],[CountryCode]],Table1[z-score])</f>
        <v>-0.55461759774946673</v>
      </c>
      <c r="L10629" t="e">
        <f>VLOOKUP(Table1[[#This Row],[CountryCode]],[1]!Table1[#All],1,FALSE)</f>
        <v>#REF!</v>
      </c>
    </row>
    <row r="10630" spans="1:12" hidden="1" x14ac:dyDescent="0.3">
      <c r="A10630" t="s">
        <v>115</v>
      </c>
      <c r="B10630" t="s">
        <v>116</v>
      </c>
      <c r="C10630" t="s">
        <v>129</v>
      </c>
      <c r="D10630" t="s">
        <v>130</v>
      </c>
      <c r="E10630">
        <v>1997</v>
      </c>
      <c r="F10630" s="1">
        <v>64</v>
      </c>
      <c r="G10630">
        <v>2000</v>
      </c>
      <c r="H10630">
        <f>AVERAGEIFS(Table1[value],Table1[IndicatorCode],Table1[[#This Row],[IndicatorCode]])</f>
        <v>72.66514008620689</v>
      </c>
      <c r="I10630" cm="1">
        <f t="array" ref="I10630">_xlfn.STDEV.P(IF(Table1[IndicatorCode]=Table1[[#This Row],[IndicatorCode]],Table1[value]))</f>
        <v>6.3409496564024987</v>
      </c>
      <c r="J10630">
        <f>(Table1[[#This Row],[value]] - Table1[[#This Row],[mean]]) / Table1[[#This Row],[std_dev]]</f>
        <v>-1.3665366476230638</v>
      </c>
      <c r="K10630">
        <f>AVERAGEIF(Table1[CountryCode],Table1[[#This Row],[CountryCode]],Table1[z-score])</f>
        <v>-0.55461759774946673</v>
      </c>
      <c r="L10630" t="e">
        <f>VLOOKUP(Table1[[#This Row],[CountryCode]],[1]!Table1[#All],1,FALSE)</f>
        <v>#REF!</v>
      </c>
    </row>
    <row r="10631" spans="1:12" hidden="1" x14ac:dyDescent="0.3">
      <c r="A10631" t="s">
        <v>115</v>
      </c>
      <c r="B10631" t="s">
        <v>116</v>
      </c>
      <c r="C10631" t="s">
        <v>129</v>
      </c>
      <c r="D10631" t="s">
        <v>130</v>
      </c>
      <c r="E10631">
        <v>1998</v>
      </c>
      <c r="F10631" s="1">
        <v>64</v>
      </c>
      <c r="G10631">
        <v>2000</v>
      </c>
      <c r="H10631">
        <f>AVERAGEIFS(Table1[value],Table1[IndicatorCode],Table1[[#This Row],[IndicatorCode]])</f>
        <v>72.66514008620689</v>
      </c>
      <c r="I10631" cm="1">
        <f t="array" ref="I10631">_xlfn.STDEV.P(IF(Table1[IndicatorCode]=Table1[[#This Row],[IndicatorCode]],Table1[value]))</f>
        <v>6.3409496564024987</v>
      </c>
      <c r="J10631">
        <f>(Table1[[#This Row],[value]] - Table1[[#This Row],[mean]]) / Table1[[#This Row],[std_dev]]</f>
        <v>-1.3665366476230638</v>
      </c>
      <c r="K10631">
        <f>AVERAGEIF(Table1[CountryCode],Table1[[#This Row],[CountryCode]],Table1[z-score])</f>
        <v>-0.55461759774946673</v>
      </c>
      <c r="L10631" t="e">
        <f>VLOOKUP(Table1[[#This Row],[CountryCode]],[1]!Table1[#All],1,FALSE)</f>
        <v>#REF!</v>
      </c>
    </row>
    <row r="10632" spans="1:12" hidden="1" x14ac:dyDescent="0.3">
      <c r="A10632" t="s">
        <v>115</v>
      </c>
      <c r="B10632" t="s">
        <v>116</v>
      </c>
      <c r="C10632" t="s">
        <v>129</v>
      </c>
      <c r="D10632" t="s">
        <v>130</v>
      </c>
      <c r="E10632">
        <v>1999</v>
      </c>
      <c r="F10632" s="1">
        <v>64</v>
      </c>
      <c r="G10632">
        <v>2000</v>
      </c>
      <c r="H10632">
        <f>AVERAGEIFS(Table1[value],Table1[IndicatorCode],Table1[[#This Row],[IndicatorCode]])</f>
        <v>72.66514008620689</v>
      </c>
      <c r="I10632" cm="1">
        <f t="array" ref="I10632">_xlfn.STDEV.P(IF(Table1[IndicatorCode]=Table1[[#This Row],[IndicatorCode]],Table1[value]))</f>
        <v>6.3409496564024987</v>
      </c>
      <c r="J10632">
        <f>(Table1[[#This Row],[value]] - Table1[[#This Row],[mean]]) / Table1[[#This Row],[std_dev]]</f>
        <v>-1.3665366476230638</v>
      </c>
      <c r="K10632">
        <f>AVERAGEIF(Table1[CountryCode],Table1[[#This Row],[CountryCode]],Table1[z-score])</f>
        <v>-0.55461759774946673</v>
      </c>
      <c r="L10632" t="e">
        <f>VLOOKUP(Table1[[#This Row],[CountryCode]],[1]!Table1[#All],1,FALSE)</f>
        <v>#REF!</v>
      </c>
    </row>
    <row r="10633" spans="1:12" hidden="1" x14ac:dyDescent="0.3">
      <c r="A10633" t="s">
        <v>115</v>
      </c>
      <c r="B10633" t="s">
        <v>116</v>
      </c>
      <c r="C10633" t="s">
        <v>129</v>
      </c>
      <c r="D10633" t="s">
        <v>130</v>
      </c>
      <c r="E10633">
        <v>2000</v>
      </c>
      <c r="F10633" s="1">
        <v>65</v>
      </c>
      <c r="G10633">
        <v>2000</v>
      </c>
      <c r="H10633">
        <f>AVERAGEIFS(Table1[value],Table1[IndicatorCode],Table1[[#This Row],[IndicatorCode]])</f>
        <v>72.66514008620689</v>
      </c>
      <c r="I10633" cm="1">
        <f t="array" ref="I10633">_xlfn.STDEV.P(IF(Table1[IndicatorCode]=Table1[[#This Row],[IndicatorCode]],Table1[value]))</f>
        <v>6.3409496564024987</v>
      </c>
      <c r="J10633">
        <f>(Table1[[#This Row],[value]] - Table1[[#This Row],[mean]]) / Table1[[#This Row],[std_dev]]</f>
        <v>-1.2088315633396249</v>
      </c>
      <c r="K10633">
        <f>AVERAGEIF(Table1[CountryCode],Table1[[#This Row],[CountryCode]],Table1[z-score])</f>
        <v>-0.55461759774946673</v>
      </c>
      <c r="L10633" t="e">
        <f>VLOOKUP(Table1[[#This Row],[CountryCode]],[1]!Table1[#All],1,FALSE)</f>
        <v>#REF!</v>
      </c>
    </row>
    <row r="10634" spans="1:12" hidden="1" x14ac:dyDescent="0.3">
      <c r="A10634" t="s">
        <v>115</v>
      </c>
      <c r="B10634" t="s">
        <v>116</v>
      </c>
      <c r="C10634" t="s">
        <v>129</v>
      </c>
      <c r="D10634" t="s">
        <v>130</v>
      </c>
      <c r="E10634">
        <v>2001</v>
      </c>
      <c r="F10634" s="1">
        <v>65</v>
      </c>
      <c r="G10634">
        <v>2000</v>
      </c>
      <c r="H10634">
        <f>AVERAGEIFS(Table1[value],Table1[IndicatorCode],Table1[[#This Row],[IndicatorCode]])</f>
        <v>72.66514008620689</v>
      </c>
      <c r="I10634" cm="1">
        <f t="array" ref="I10634">_xlfn.STDEV.P(IF(Table1[IndicatorCode]=Table1[[#This Row],[IndicatorCode]],Table1[value]))</f>
        <v>6.3409496564024987</v>
      </c>
      <c r="J10634">
        <f>(Table1[[#This Row],[value]] - Table1[[#This Row],[mean]]) / Table1[[#This Row],[std_dev]]</f>
        <v>-1.2088315633396249</v>
      </c>
      <c r="K10634">
        <f>AVERAGEIF(Table1[CountryCode],Table1[[#This Row],[CountryCode]],Table1[z-score])</f>
        <v>-0.55461759774946673</v>
      </c>
      <c r="L10634" t="e">
        <f>VLOOKUP(Table1[[#This Row],[CountryCode]],[1]!Table1[#All],1,FALSE)</f>
        <v>#REF!</v>
      </c>
    </row>
    <row r="10635" spans="1:12" hidden="1" x14ac:dyDescent="0.3">
      <c r="A10635" t="s">
        <v>115</v>
      </c>
      <c r="B10635" t="s">
        <v>116</v>
      </c>
      <c r="C10635" t="s">
        <v>129</v>
      </c>
      <c r="D10635" t="s">
        <v>130</v>
      </c>
      <c r="E10635">
        <v>2002</v>
      </c>
      <c r="F10635" s="1">
        <v>66</v>
      </c>
      <c r="G10635">
        <v>2000</v>
      </c>
      <c r="H10635">
        <f>AVERAGEIFS(Table1[value],Table1[IndicatorCode],Table1[[#This Row],[IndicatorCode]])</f>
        <v>72.66514008620689</v>
      </c>
      <c r="I10635" cm="1">
        <f t="array" ref="I10635">_xlfn.STDEV.P(IF(Table1[IndicatorCode]=Table1[[#This Row],[IndicatorCode]],Table1[value]))</f>
        <v>6.3409496564024987</v>
      </c>
      <c r="J10635">
        <f>(Table1[[#This Row],[value]] - Table1[[#This Row],[mean]]) / Table1[[#This Row],[std_dev]]</f>
        <v>-1.0511264790561858</v>
      </c>
      <c r="K10635">
        <f>AVERAGEIF(Table1[CountryCode],Table1[[#This Row],[CountryCode]],Table1[z-score])</f>
        <v>-0.55461759774946673</v>
      </c>
      <c r="L10635" t="e">
        <f>VLOOKUP(Table1[[#This Row],[CountryCode]],[1]!Table1[#All],1,FALSE)</f>
        <v>#REF!</v>
      </c>
    </row>
    <row r="10636" spans="1:12" hidden="1" x14ac:dyDescent="0.3">
      <c r="A10636" t="s">
        <v>115</v>
      </c>
      <c r="B10636" t="s">
        <v>116</v>
      </c>
      <c r="C10636" t="s">
        <v>129</v>
      </c>
      <c r="D10636" t="s">
        <v>130</v>
      </c>
      <c r="E10636">
        <v>2003</v>
      </c>
      <c r="F10636" s="1">
        <v>66</v>
      </c>
      <c r="G10636">
        <v>2000</v>
      </c>
      <c r="H10636">
        <f>AVERAGEIFS(Table1[value],Table1[IndicatorCode],Table1[[#This Row],[IndicatorCode]])</f>
        <v>72.66514008620689</v>
      </c>
      <c r="I10636" cm="1">
        <f t="array" ref="I10636">_xlfn.STDEV.P(IF(Table1[IndicatorCode]=Table1[[#This Row],[IndicatorCode]],Table1[value]))</f>
        <v>6.3409496564024987</v>
      </c>
      <c r="J10636">
        <f>(Table1[[#This Row],[value]] - Table1[[#This Row],[mean]]) / Table1[[#This Row],[std_dev]]</f>
        <v>-1.0511264790561858</v>
      </c>
      <c r="K10636">
        <f>AVERAGEIF(Table1[CountryCode],Table1[[#This Row],[CountryCode]],Table1[z-score])</f>
        <v>-0.55461759774946673</v>
      </c>
      <c r="L10636" t="e">
        <f>VLOOKUP(Table1[[#This Row],[CountryCode]],[1]!Table1[#All],1,FALSE)</f>
        <v>#REF!</v>
      </c>
    </row>
    <row r="10637" spans="1:12" hidden="1" x14ac:dyDescent="0.3">
      <c r="A10637" t="s">
        <v>115</v>
      </c>
      <c r="B10637" t="s">
        <v>116</v>
      </c>
      <c r="C10637" t="s">
        <v>129</v>
      </c>
      <c r="D10637" t="s">
        <v>130</v>
      </c>
      <c r="E10637">
        <v>2004</v>
      </c>
      <c r="F10637" s="1">
        <v>66</v>
      </c>
      <c r="G10637">
        <v>2000</v>
      </c>
      <c r="H10637">
        <f>AVERAGEIFS(Table1[value],Table1[IndicatorCode],Table1[[#This Row],[IndicatorCode]])</f>
        <v>72.66514008620689</v>
      </c>
      <c r="I10637" cm="1">
        <f t="array" ref="I10637">_xlfn.STDEV.P(IF(Table1[IndicatorCode]=Table1[[#This Row],[IndicatorCode]],Table1[value]))</f>
        <v>6.3409496564024987</v>
      </c>
      <c r="J10637">
        <f>(Table1[[#This Row],[value]] - Table1[[#This Row],[mean]]) / Table1[[#This Row],[std_dev]]</f>
        <v>-1.0511264790561858</v>
      </c>
      <c r="K10637">
        <f>AVERAGEIF(Table1[CountryCode],Table1[[#This Row],[CountryCode]],Table1[z-score])</f>
        <v>-0.55461759774946673</v>
      </c>
      <c r="L10637" t="e">
        <f>VLOOKUP(Table1[[#This Row],[CountryCode]],[1]!Table1[#All],1,FALSE)</f>
        <v>#REF!</v>
      </c>
    </row>
    <row r="10638" spans="1:12" hidden="1" x14ac:dyDescent="0.3">
      <c r="A10638" t="s">
        <v>115</v>
      </c>
      <c r="B10638" t="s">
        <v>116</v>
      </c>
      <c r="C10638" t="s">
        <v>129</v>
      </c>
      <c r="D10638" t="s">
        <v>130</v>
      </c>
      <c r="E10638">
        <v>2005</v>
      </c>
      <c r="F10638" s="1">
        <v>66</v>
      </c>
      <c r="G10638">
        <v>2000</v>
      </c>
      <c r="H10638">
        <f>AVERAGEIFS(Table1[value],Table1[IndicatorCode],Table1[[#This Row],[IndicatorCode]])</f>
        <v>72.66514008620689</v>
      </c>
      <c r="I10638" cm="1">
        <f t="array" ref="I10638">_xlfn.STDEV.P(IF(Table1[IndicatorCode]=Table1[[#This Row],[IndicatorCode]],Table1[value]))</f>
        <v>6.3409496564024987</v>
      </c>
      <c r="J10638">
        <f>(Table1[[#This Row],[value]] - Table1[[#This Row],[mean]]) / Table1[[#This Row],[std_dev]]</f>
        <v>-1.0511264790561858</v>
      </c>
      <c r="K10638">
        <f>AVERAGEIF(Table1[CountryCode],Table1[[#This Row],[CountryCode]],Table1[z-score])</f>
        <v>-0.55461759774946673</v>
      </c>
      <c r="L10638" t="e">
        <f>VLOOKUP(Table1[[#This Row],[CountryCode]],[1]!Table1[#All],1,FALSE)</f>
        <v>#REF!</v>
      </c>
    </row>
    <row r="10639" spans="1:12" hidden="1" x14ac:dyDescent="0.3">
      <c r="A10639" t="s">
        <v>115</v>
      </c>
      <c r="B10639" t="s">
        <v>116</v>
      </c>
      <c r="C10639" t="s">
        <v>129</v>
      </c>
      <c r="D10639" t="s">
        <v>130</v>
      </c>
      <c r="E10639">
        <v>2006</v>
      </c>
      <c r="F10639" s="1">
        <v>67</v>
      </c>
      <c r="G10639">
        <v>2000</v>
      </c>
      <c r="H10639">
        <f>AVERAGEIFS(Table1[value],Table1[IndicatorCode],Table1[[#This Row],[IndicatorCode]])</f>
        <v>72.66514008620689</v>
      </c>
      <c r="I10639" cm="1">
        <f t="array" ref="I10639">_xlfn.STDEV.P(IF(Table1[IndicatorCode]=Table1[[#This Row],[IndicatorCode]],Table1[value]))</f>
        <v>6.3409496564024987</v>
      </c>
      <c r="J10639">
        <f>(Table1[[#This Row],[value]] - Table1[[#This Row],[mean]]) / Table1[[#This Row],[std_dev]]</f>
        <v>-0.89342139477274674</v>
      </c>
      <c r="K10639">
        <f>AVERAGEIF(Table1[CountryCode],Table1[[#This Row],[CountryCode]],Table1[z-score])</f>
        <v>-0.55461759774946673</v>
      </c>
      <c r="L10639" t="e">
        <f>VLOOKUP(Table1[[#This Row],[CountryCode]],[1]!Table1[#All],1,FALSE)</f>
        <v>#REF!</v>
      </c>
    </row>
    <row r="10640" spans="1:12" hidden="1" x14ac:dyDescent="0.3">
      <c r="A10640" t="s">
        <v>115</v>
      </c>
      <c r="B10640" t="s">
        <v>116</v>
      </c>
      <c r="C10640" t="s">
        <v>129</v>
      </c>
      <c r="D10640" t="s">
        <v>130</v>
      </c>
      <c r="E10640">
        <v>2007</v>
      </c>
      <c r="F10640" s="1">
        <v>67</v>
      </c>
      <c r="G10640">
        <v>2010</v>
      </c>
      <c r="H10640">
        <f>AVERAGEIFS(Table1[value],Table1[IndicatorCode],Table1[[#This Row],[IndicatorCode]])</f>
        <v>72.66514008620689</v>
      </c>
      <c r="I10640" cm="1">
        <f t="array" ref="I10640">_xlfn.STDEV.P(IF(Table1[IndicatorCode]=Table1[[#This Row],[IndicatorCode]],Table1[value]))</f>
        <v>6.3409496564024987</v>
      </c>
      <c r="J10640">
        <f>(Table1[[#This Row],[value]] - Table1[[#This Row],[mean]]) / Table1[[#This Row],[std_dev]]</f>
        <v>-0.89342139477274674</v>
      </c>
      <c r="K10640">
        <f>AVERAGEIF(Table1[CountryCode],Table1[[#This Row],[CountryCode]],Table1[z-score])</f>
        <v>-0.55461759774946673</v>
      </c>
      <c r="L10640" t="e">
        <f>VLOOKUP(Table1[[#This Row],[CountryCode]],[1]!Table1[#All],1,FALSE)</f>
        <v>#REF!</v>
      </c>
    </row>
    <row r="10641" spans="1:12" hidden="1" x14ac:dyDescent="0.3">
      <c r="A10641" t="s">
        <v>115</v>
      </c>
      <c r="B10641" t="s">
        <v>116</v>
      </c>
      <c r="C10641" t="s">
        <v>129</v>
      </c>
      <c r="D10641" t="s">
        <v>130</v>
      </c>
      <c r="E10641">
        <v>2008</v>
      </c>
      <c r="F10641" s="1">
        <v>68</v>
      </c>
      <c r="G10641">
        <v>2010</v>
      </c>
      <c r="H10641">
        <f>AVERAGEIFS(Table1[value],Table1[IndicatorCode],Table1[[#This Row],[IndicatorCode]])</f>
        <v>72.66514008620689</v>
      </c>
      <c r="I10641" cm="1">
        <f t="array" ref="I10641">_xlfn.STDEV.P(IF(Table1[IndicatorCode]=Table1[[#This Row],[IndicatorCode]],Table1[value]))</f>
        <v>6.3409496564024987</v>
      </c>
      <c r="J10641">
        <f>(Table1[[#This Row],[value]] - Table1[[#This Row],[mean]]) / Table1[[#This Row],[std_dev]]</f>
        <v>-0.73571631048930775</v>
      </c>
      <c r="K10641">
        <f>AVERAGEIF(Table1[CountryCode],Table1[[#This Row],[CountryCode]],Table1[z-score])</f>
        <v>-0.55461759774946673</v>
      </c>
      <c r="L10641" t="e">
        <f>VLOOKUP(Table1[[#This Row],[CountryCode]],[1]!Table1[#All],1,FALSE)</f>
        <v>#REF!</v>
      </c>
    </row>
    <row r="10642" spans="1:12" hidden="1" x14ac:dyDescent="0.3">
      <c r="A10642" t="s">
        <v>115</v>
      </c>
      <c r="B10642" t="s">
        <v>116</v>
      </c>
      <c r="C10642" t="s">
        <v>129</v>
      </c>
      <c r="D10642" t="s">
        <v>130</v>
      </c>
      <c r="E10642">
        <v>2009</v>
      </c>
      <c r="F10642" s="1">
        <v>68</v>
      </c>
      <c r="G10642">
        <v>2010</v>
      </c>
      <c r="H10642">
        <f>AVERAGEIFS(Table1[value],Table1[IndicatorCode],Table1[[#This Row],[IndicatorCode]])</f>
        <v>72.66514008620689</v>
      </c>
      <c r="I10642" cm="1">
        <f t="array" ref="I10642">_xlfn.STDEV.P(IF(Table1[IndicatorCode]=Table1[[#This Row],[IndicatorCode]],Table1[value]))</f>
        <v>6.3409496564024987</v>
      </c>
      <c r="J10642">
        <f>(Table1[[#This Row],[value]] - Table1[[#This Row],[mean]]) / Table1[[#This Row],[std_dev]]</f>
        <v>-0.73571631048930775</v>
      </c>
      <c r="K10642">
        <f>AVERAGEIF(Table1[CountryCode],Table1[[#This Row],[CountryCode]],Table1[z-score])</f>
        <v>-0.55461759774946673</v>
      </c>
      <c r="L10642" t="e">
        <f>VLOOKUP(Table1[[#This Row],[CountryCode]],[1]!Table1[#All],1,FALSE)</f>
        <v>#REF!</v>
      </c>
    </row>
    <row r="10643" spans="1:12" hidden="1" x14ac:dyDescent="0.3">
      <c r="A10643" t="s">
        <v>115</v>
      </c>
      <c r="B10643" t="s">
        <v>116</v>
      </c>
      <c r="C10643" t="s">
        <v>129</v>
      </c>
      <c r="D10643" t="s">
        <v>130</v>
      </c>
      <c r="E10643">
        <v>2010</v>
      </c>
      <c r="F10643" s="1">
        <v>69</v>
      </c>
      <c r="G10643">
        <v>2010</v>
      </c>
      <c r="H10643">
        <f>AVERAGEIFS(Table1[value],Table1[IndicatorCode],Table1[[#This Row],[IndicatorCode]])</f>
        <v>72.66514008620689</v>
      </c>
      <c r="I10643" cm="1">
        <f t="array" ref="I10643">_xlfn.STDEV.P(IF(Table1[IndicatorCode]=Table1[[#This Row],[IndicatorCode]],Table1[value]))</f>
        <v>6.3409496564024987</v>
      </c>
      <c r="J10643">
        <f>(Table1[[#This Row],[value]] - Table1[[#This Row],[mean]]) / Table1[[#This Row],[std_dev]]</f>
        <v>-0.57801122620586864</v>
      </c>
      <c r="K10643">
        <f>AVERAGEIF(Table1[CountryCode],Table1[[#This Row],[CountryCode]],Table1[z-score])</f>
        <v>-0.55461759774946673</v>
      </c>
      <c r="L10643" t="e">
        <f>VLOOKUP(Table1[[#This Row],[CountryCode]],[1]!Table1[#All],1,FALSE)</f>
        <v>#REF!</v>
      </c>
    </row>
    <row r="10644" spans="1:12" hidden="1" x14ac:dyDescent="0.3">
      <c r="A10644" t="s">
        <v>115</v>
      </c>
      <c r="B10644" t="s">
        <v>116</v>
      </c>
      <c r="C10644" t="s">
        <v>129</v>
      </c>
      <c r="D10644" t="s">
        <v>130</v>
      </c>
      <c r="E10644">
        <v>2011</v>
      </c>
      <c r="F10644" s="1">
        <v>69</v>
      </c>
      <c r="G10644">
        <v>2010</v>
      </c>
      <c r="H10644">
        <f>AVERAGEIFS(Table1[value],Table1[IndicatorCode],Table1[[#This Row],[IndicatorCode]])</f>
        <v>72.66514008620689</v>
      </c>
      <c r="I10644" cm="1">
        <f t="array" ref="I10644">_xlfn.STDEV.P(IF(Table1[IndicatorCode]=Table1[[#This Row],[IndicatorCode]],Table1[value]))</f>
        <v>6.3409496564024987</v>
      </c>
      <c r="J10644">
        <f>(Table1[[#This Row],[value]] - Table1[[#This Row],[mean]]) / Table1[[#This Row],[std_dev]]</f>
        <v>-0.57801122620586864</v>
      </c>
      <c r="K10644">
        <f>AVERAGEIF(Table1[CountryCode],Table1[[#This Row],[CountryCode]],Table1[z-score])</f>
        <v>-0.55461759774946673</v>
      </c>
      <c r="L10644" t="e">
        <f>VLOOKUP(Table1[[#This Row],[CountryCode]],[1]!Table1[#All],1,FALSE)</f>
        <v>#REF!</v>
      </c>
    </row>
    <row r="10645" spans="1:12" hidden="1" x14ac:dyDescent="0.3">
      <c r="A10645" t="s">
        <v>115</v>
      </c>
      <c r="B10645" t="s">
        <v>116</v>
      </c>
      <c r="C10645" t="s">
        <v>129</v>
      </c>
      <c r="D10645" t="s">
        <v>130</v>
      </c>
      <c r="E10645">
        <v>2012</v>
      </c>
      <c r="F10645" s="1">
        <v>69</v>
      </c>
      <c r="G10645">
        <v>2010</v>
      </c>
      <c r="H10645">
        <f>AVERAGEIFS(Table1[value],Table1[IndicatorCode],Table1[[#This Row],[IndicatorCode]])</f>
        <v>72.66514008620689</v>
      </c>
      <c r="I10645" cm="1">
        <f t="array" ref="I10645">_xlfn.STDEV.P(IF(Table1[IndicatorCode]=Table1[[#This Row],[IndicatorCode]],Table1[value]))</f>
        <v>6.3409496564024987</v>
      </c>
      <c r="J10645">
        <f>(Table1[[#This Row],[value]] - Table1[[#This Row],[mean]]) / Table1[[#This Row],[std_dev]]</f>
        <v>-0.57801122620586864</v>
      </c>
      <c r="K10645">
        <f>AVERAGEIF(Table1[CountryCode],Table1[[#This Row],[CountryCode]],Table1[z-score])</f>
        <v>-0.55461759774946673</v>
      </c>
      <c r="L10645" t="e">
        <f>VLOOKUP(Table1[[#This Row],[CountryCode]],[1]!Table1[#All],1,FALSE)</f>
        <v>#REF!</v>
      </c>
    </row>
    <row r="10646" spans="1:12" hidden="1" x14ac:dyDescent="0.3">
      <c r="A10646" t="s">
        <v>115</v>
      </c>
      <c r="B10646" t="s">
        <v>116</v>
      </c>
      <c r="C10646" t="s">
        <v>129</v>
      </c>
      <c r="D10646" t="s">
        <v>130</v>
      </c>
      <c r="E10646">
        <v>2013</v>
      </c>
      <c r="F10646" s="1">
        <v>69</v>
      </c>
      <c r="G10646">
        <v>2010</v>
      </c>
      <c r="H10646">
        <f>AVERAGEIFS(Table1[value],Table1[IndicatorCode],Table1[[#This Row],[IndicatorCode]])</f>
        <v>72.66514008620689</v>
      </c>
      <c r="I10646" cm="1">
        <f t="array" ref="I10646">_xlfn.STDEV.P(IF(Table1[IndicatorCode]=Table1[[#This Row],[IndicatorCode]],Table1[value]))</f>
        <v>6.3409496564024987</v>
      </c>
      <c r="J10646">
        <f>(Table1[[#This Row],[value]] - Table1[[#This Row],[mean]]) / Table1[[#This Row],[std_dev]]</f>
        <v>-0.57801122620586864</v>
      </c>
      <c r="K10646">
        <f>AVERAGEIF(Table1[CountryCode],Table1[[#This Row],[CountryCode]],Table1[z-score])</f>
        <v>-0.55461759774946673</v>
      </c>
      <c r="L10646" t="e">
        <f>VLOOKUP(Table1[[#This Row],[CountryCode]],[1]!Table1[#All],1,FALSE)</f>
        <v>#REF!</v>
      </c>
    </row>
    <row r="10647" spans="1:12" hidden="1" x14ac:dyDescent="0.3">
      <c r="A10647" t="s">
        <v>115</v>
      </c>
      <c r="B10647" t="s">
        <v>116</v>
      </c>
      <c r="C10647" t="s">
        <v>129</v>
      </c>
      <c r="D10647" t="s">
        <v>130</v>
      </c>
      <c r="E10647">
        <v>2014</v>
      </c>
      <c r="F10647" s="1">
        <v>69</v>
      </c>
      <c r="G10647">
        <v>2010</v>
      </c>
      <c r="H10647">
        <f>AVERAGEIFS(Table1[value],Table1[IndicatorCode],Table1[[#This Row],[IndicatorCode]])</f>
        <v>72.66514008620689</v>
      </c>
      <c r="I10647" cm="1">
        <f t="array" ref="I10647">_xlfn.STDEV.P(IF(Table1[IndicatorCode]=Table1[[#This Row],[IndicatorCode]],Table1[value]))</f>
        <v>6.3409496564024987</v>
      </c>
      <c r="J10647">
        <f>(Table1[[#This Row],[value]] - Table1[[#This Row],[mean]]) / Table1[[#This Row],[std_dev]]</f>
        <v>-0.57801122620586864</v>
      </c>
      <c r="K10647">
        <f>AVERAGEIF(Table1[CountryCode],Table1[[#This Row],[CountryCode]],Table1[z-score])</f>
        <v>-0.55461759774946673</v>
      </c>
      <c r="L10647" t="e">
        <f>VLOOKUP(Table1[[#This Row],[CountryCode]],[1]!Table1[#All],1,FALSE)</f>
        <v>#REF!</v>
      </c>
    </row>
    <row r="10648" spans="1:12" hidden="1" x14ac:dyDescent="0.3">
      <c r="A10648" t="s">
        <v>115</v>
      </c>
      <c r="B10648" t="s">
        <v>116</v>
      </c>
      <c r="C10648" t="s">
        <v>129</v>
      </c>
      <c r="D10648" t="s">
        <v>130</v>
      </c>
      <c r="E10648">
        <v>2015</v>
      </c>
      <c r="F10648" s="1">
        <v>69</v>
      </c>
      <c r="G10648">
        <v>2010</v>
      </c>
      <c r="H10648">
        <f>AVERAGEIFS(Table1[value],Table1[IndicatorCode],Table1[[#This Row],[IndicatorCode]])</f>
        <v>72.66514008620689</v>
      </c>
      <c r="I10648" cm="1">
        <f t="array" ref="I10648">_xlfn.STDEV.P(IF(Table1[IndicatorCode]=Table1[[#This Row],[IndicatorCode]],Table1[value]))</f>
        <v>6.3409496564024987</v>
      </c>
      <c r="J10648">
        <f>(Table1[[#This Row],[value]] - Table1[[#This Row],[mean]]) / Table1[[#This Row],[std_dev]]</f>
        <v>-0.57801122620586864</v>
      </c>
      <c r="K10648">
        <f>AVERAGEIF(Table1[CountryCode],Table1[[#This Row],[CountryCode]],Table1[z-score])</f>
        <v>-0.55461759774946673</v>
      </c>
      <c r="L10648" t="e">
        <f>VLOOKUP(Table1[[#This Row],[CountryCode]],[1]!Table1[#All],1,FALSE)</f>
        <v>#REF!</v>
      </c>
    </row>
    <row r="10649" spans="1:12" hidden="1" x14ac:dyDescent="0.3">
      <c r="A10649" t="s">
        <v>115</v>
      </c>
      <c r="B10649" t="s">
        <v>116</v>
      </c>
      <c r="C10649" t="s">
        <v>129</v>
      </c>
      <c r="D10649" t="s">
        <v>130</v>
      </c>
      <c r="E10649">
        <v>2016</v>
      </c>
      <c r="F10649" s="1">
        <v>69</v>
      </c>
      <c r="G10649">
        <v>2010</v>
      </c>
      <c r="H10649">
        <f>AVERAGEIFS(Table1[value],Table1[IndicatorCode],Table1[[#This Row],[IndicatorCode]])</f>
        <v>72.66514008620689</v>
      </c>
      <c r="I10649" cm="1">
        <f t="array" ref="I10649">_xlfn.STDEV.P(IF(Table1[IndicatorCode]=Table1[[#This Row],[IndicatorCode]],Table1[value]))</f>
        <v>6.3409496564024987</v>
      </c>
      <c r="J10649">
        <f>(Table1[[#This Row],[value]] - Table1[[#This Row],[mean]]) / Table1[[#This Row],[std_dev]]</f>
        <v>-0.57801122620586864</v>
      </c>
      <c r="K10649">
        <f>AVERAGEIF(Table1[CountryCode],Table1[[#This Row],[CountryCode]],Table1[z-score])</f>
        <v>-0.55461759774946673</v>
      </c>
      <c r="L10649" t="e">
        <f>VLOOKUP(Table1[[#This Row],[CountryCode]],[1]!Table1[#All],1,FALSE)</f>
        <v>#REF!</v>
      </c>
    </row>
    <row r="10650" spans="1:12" hidden="1" x14ac:dyDescent="0.3">
      <c r="A10650" t="s">
        <v>115</v>
      </c>
      <c r="B10650" t="s">
        <v>116</v>
      </c>
      <c r="C10650" t="s">
        <v>129</v>
      </c>
      <c r="D10650" t="s">
        <v>130</v>
      </c>
      <c r="E10650">
        <v>2017</v>
      </c>
      <c r="F10650" s="1">
        <v>69</v>
      </c>
      <c r="G10650">
        <v>2020</v>
      </c>
      <c r="H10650">
        <f>AVERAGEIFS(Table1[value],Table1[IndicatorCode],Table1[[#This Row],[IndicatorCode]])</f>
        <v>72.66514008620689</v>
      </c>
      <c r="I10650" cm="1">
        <f t="array" ref="I10650">_xlfn.STDEV.P(IF(Table1[IndicatorCode]=Table1[[#This Row],[IndicatorCode]],Table1[value]))</f>
        <v>6.3409496564024987</v>
      </c>
      <c r="J10650">
        <f>(Table1[[#This Row],[value]] - Table1[[#This Row],[mean]]) / Table1[[#This Row],[std_dev]]</f>
        <v>-0.57801122620586864</v>
      </c>
      <c r="K10650">
        <f>AVERAGEIF(Table1[CountryCode],Table1[[#This Row],[CountryCode]],Table1[z-score])</f>
        <v>-0.55461759774946673</v>
      </c>
      <c r="L10650" t="e">
        <f>VLOOKUP(Table1[[#This Row],[CountryCode]],[1]!Table1[#All],1,FALSE)</f>
        <v>#REF!</v>
      </c>
    </row>
    <row r="10651" spans="1:12" hidden="1" x14ac:dyDescent="0.3">
      <c r="A10651" t="s">
        <v>115</v>
      </c>
      <c r="B10651" t="s">
        <v>116</v>
      </c>
      <c r="C10651" t="s">
        <v>129</v>
      </c>
      <c r="D10651" t="s">
        <v>130</v>
      </c>
      <c r="E10651">
        <v>2018</v>
      </c>
      <c r="F10651" s="1">
        <v>69</v>
      </c>
      <c r="G10651">
        <v>2020</v>
      </c>
      <c r="H10651">
        <f>AVERAGEIFS(Table1[value],Table1[IndicatorCode],Table1[[#This Row],[IndicatorCode]])</f>
        <v>72.66514008620689</v>
      </c>
      <c r="I10651" cm="1">
        <f t="array" ref="I10651">_xlfn.STDEV.P(IF(Table1[IndicatorCode]=Table1[[#This Row],[IndicatorCode]],Table1[value]))</f>
        <v>6.3409496564024987</v>
      </c>
      <c r="J10651">
        <f>(Table1[[#This Row],[value]] - Table1[[#This Row],[mean]]) / Table1[[#This Row],[std_dev]]</f>
        <v>-0.57801122620586864</v>
      </c>
      <c r="K10651">
        <f>AVERAGEIF(Table1[CountryCode],Table1[[#This Row],[CountryCode]],Table1[z-score])</f>
        <v>-0.55461759774946673</v>
      </c>
      <c r="L10651" t="e">
        <f>VLOOKUP(Table1[[#This Row],[CountryCode]],[1]!Table1[#All],1,FALSE)</f>
        <v>#REF!</v>
      </c>
    </row>
    <row r="10652" spans="1:12" hidden="1" x14ac:dyDescent="0.3">
      <c r="A10652" t="s">
        <v>115</v>
      </c>
      <c r="B10652" t="s">
        <v>116</v>
      </c>
      <c r="C10652" t="s">
        <v>129</v>
      </c>
      <c r="D10652" t="s">
        <v>130</v>
      </c>
      <c r="E10652">
        <v>2019</v>
      </c>
      <c r="F10652" s="1">
        <v>69</v>
      </c>
      <c r="G10652">
        <v>2020</v>
      </c>
      <c r="H10652">
        <f>AVERAGEIFS(Table1[value],Table1[IndicatorCode],Table1[[#This Row],[IndicatorCode]])</f>
        <v>72.66514008620689</v>
      </c>
      <c r="I10652" cm="1">
        <f t="array" ref="I10652">_xlfn.STDEV.P(IF(Table1[IndicatorCode]=Table1[[#This Row],[IndicatorCode]],Table1[value]))</f>
        <v>6.3409496564024987</v>
      </c>
      <c r="J10652">
        <f>(Table1[[#This Row],[value]] - Table1[[#This Row],[mean]]) / Table1[[#This Row],[std_dev]]</f>
        <v>-0.57801122620586864</v>
      </c>
      <c r="K10652">
        <f>AVERAGEIF(Table1[CountryCode],Table1[[#This Row],[CountryCode]],Table1[z-score])</f>
        <v>-0.55461759774946673</v>
      </c>
      <c r="L10652" t="e">
        <f>VLOOKUP(Table1[[#This Row],[CountryCode]],[1]!Table1[#All],1,FALSE)</f>
        <v>#REF!</v>
      </c>
    </row>
    <row r="10653" spans="1:12" x14ac:dyDescent="0.3">
      <c r="A10653" t="s">
        <v>115</v>
      </c>
      <c r="B10653" t="s">
        <v>116</v>
      </c>
      <c r="C10653" t="s">
        <v>129</v>
      </c>
      <c r="D10653" t="s">
        <v>130</v>
      </c>
      <c r="E10653">
        <v>2020</v>
      </c>
      <c r="F10653" s="1">
        <v>69</v>
      </c>
      <c r="G10653">
        <v>2020</v>
      </c>
      <c r="H10653">
        <f>AVERAGEIFS(Table1[value],Table1[IndicatorCode],Table1[[#This Row],[IndicatorCode]])</f>
        <v>72.66514008620689</v>
      </c>
      <c r="I10653" cm="1">
        <f t="array" ref="I10653">_xlfn.STDEV.P(IF(Table1[IndicatorCode]=Table1[[#This Row],[IndicatorCode]],Table1[value]))</f>
        <v>6.3409496564024987</v>
      </c>
      <c r="J10653">
        <f>(Table1[[#This Row],[value]] - Table1[[#This Row],[mean]]) / Table1[[#This Row],[std_dev]]</f>
        <v>-0.57801122620586864</v>
      </c>
      <c r="K10653">
        <f>AVERAGEIF(Table1[CountryCode],Table1[[#This Row],[CountryCode]],Table1[z-score])</f>
        <v>-0.55461759774946673</v>
      </c>
    </row>
    <row r="10654" spans="1:12" hidden="1" x14ac:dyDescent="0.3">
      <c r="A10654" t="s">
        <v>115</v>
      </c>
      <c r="B10654" t="s">
        <v>116</v>
      </c>
      <c r="C10654" t="s">
        <v>129</v>
      </c>
      <c r="D10654" t="s">
        <v>130</v>
      </c>
      <c r="E10654">
        <v>2021</v>
      </c>
      <c r="F10654" s="1">
        <v>69</v>
      </c>
      <c r="G10654">
        <v>1960</v>
      </c>
      <c r="H10654">
        <f>AVERAGEIFS(Table1[value],Table1[IndicatorCode],Table1[[#This Row],[IndicatorCode]])</f>
        <v>72.66514008620689</v>
      </c>
      <c r="I10654" cm="1">
        <f t="array" ref="I10654">_xlfn.STDEV.P(IF(Table1[IndicatorCode]=Table1[[#This Row],[IndicatorCode]],Table1[value]))</f>
        <v>6.3409496564024987</v>
      </c>
      <c r="J10654">
        <f>(Table1[[#This Row],[value]] - Table1[[#This Row],[mean]]) / Table1[[#This Row],[std_dev]]</f>
        <v>-0.57801122620586864</v>
      </c>
      <c r="K10654">
        <f>AVERAGEIF(Table1[CountryCode],Table1[[#This Row],[CountryCode]],Table1[z-score])</f>
        <v>-0.55461759774946673</v>
      </c>
      <c r="L10654" t="e">
        <f>VLOOKUP(Table1[[#This Row],[CountryCode]],[1]!Table1[#All],1,FALSE)</f>
        <v>#REF!</v>
      </c>
    </row>
    <row r="10655" spans="1:12" hidden="1" x14ac:dyDescent="0.3">
      <c r="A10655" t="s">
        <v>115</v>
      </c>
      <c r="B10655" t="s">
        <v>116</v>
      </c>
      <c r="C10655" t="s">
        <v>129</v>
      </c>
      <c r="D10655" t="s">
        <v>130</v>
      </c>
      <c r="E10655">
        <v>2022</v>
      </c>
      <c r="F10655" s="1">
        <v>70</v>
      </c>
      <c r="G10655">
        <v>1960</v>
      </c>
      <c r="H10655">
        <f>AVERAGEIFS(Table1[value],Table1[IndicatorCode],Table1[[#This Row],[IndicatorCode]])</f>
        <v>72.66514008620689</v>
      </c>
      <c r="I10655" cm="1">
        <f t="array" ref="I10655">_xlfn.STDEV.P(IF(Table1[IndicatorCode]=Table1[[#This Row],[IndicatorCode]],Table1[value]))</f>
        <v>6.3409496564024987</v>
      </c>
      <c r="J10655">
        <f>(Table1[[#This Row],[value]] - Table1[[#This Row],[mean]]) / Table1[[#This Row],[std_dev]]</f>
        <v>-0.4203061419224296</v>
      </c>
      <c r="K10655">
        <f>AVERAGEIF(Table1[CountryCode],Table1[[#This Row],[CountryCode]],Table1[z-score])</f>
        <v>-0.55461759774946673</v>
      </c>
      <c r="L10655" t="e">
        <f>VLOOKUP(Table1[[#This Row],[CountryCode]],[1]!Table1[#All],1,FALSE)</f>
        <v>#REF!</v>
      </c>
    </row>
    <row r="10656" spans="1:12" hidden="1" x14ac:dyDescent="0.3">
      <c r="A10656" t="s">
        <v>115</v>
      </c>
      <c r="B10656" t="s">
        <v>116</v>
      </c>
      <c r="C10656" t="s">
        <v>129</v>
      </c>
      <c r="D10656" t="s">
        <v>130</v>
      </c>
      <c r="E10656">
        <v>2023</v>
      </c>
      <c r="F10656" s="1">
        <v>70</v>
      </c>
      <c r="G10656">
        <v>1960</v>
      </c>
      <c r="H10656">
        <f>AVERAGEIFS(Table1[value],Table1[IndicatorCode],Table1[[#This Row],[IndicatorCode]])</f>
        <v>72.66514008620689</v>
      </c>
      <c r="I10656" cm="1">
        <f t="array" ref="I10656">_xlfn.STDEV.P(IF(Table1[IndicatorCode]=Table1[[#This Row],[IndicatorCode]],Table1[value]))</f>
        <v>6.3409496564024987</v>
      </c>
      <c r="J10656">
        <f>(Table1[[#This Row],[value]] - Table1[[#This Row],[mean]]) / Table1[[#This Row],[std_dev]]</f>
        <v>-0.4203061419224296</v>
      </c>
      <c r="K10656">
        <f>AVERAGEIF(Table1[CountryCode],Table1[[#This Row],[CountryCode]],Table1[z-score])</f>
        <v>-0.55461759774946673</v>
      </c>
      <c r="L10656" t="e">
        <f>VLOOKUP(Table1[[#This Row],[CountryCode]],[1]!Table1[#All],1,FALSE)</f>
        <v>#REF!</v>
      </c>
    </row>
    <row r="10657" spans="1:12" hidden="1" x14ac:dyDescent="0.3">
      <c r="A10657" t="s">
        <v>117</v>
      </c>
      <c r="B10657" t="s">
        <v>118</v>
      </c>
      <c r="C10657" t="s">
        <v>129</v>
      </c>
      <c r="D10657" t="s">
        <v>130</v>
      </c>
      <c r="E10657">
        <v>1960</v>
      </c>
      <c r="F10657" s="1">
        <v>51</v>
      </c>
      <c r="G10657">
        <v>1960</v>
      </c>
      <c r="H10657">
        <f>AVERAGEIFS(Table1[value],Table1[IndicatorCode],Table1[[#This Row],[IndicatorCode]])</f>
        <v>72.66514008620689</v>
      </c>
      <c r="I10657" cm="1">
        <f t="array" ref="I10657">_xlfn.STDEV.P(IF(Table1[IndicatorCode]=Table1[[#This Row],[IndicatorCode]],Table1[value]))</f>
        <v>6.3409496564024987</v>
      </c>
      <c r="J10657">
        <f>(Table1[[#This Row],[value]] - Table1[[#This Row],[mean]]) / Table1[[#This Row],[std_dev]]</f>
        <v>-3.4167027433077717</v>
      </c>
      <c r="K10657">
        <f>AVERAGEIF(Table1[CountryCode],Table1[[#This Row],[CountryCode]],Table1[z-score])</f>
        <v>-0.69917556524739866</v>
      </c>
      <c r="L10657" t="e">
        <f>VLOOKUP(Table1[[#This Row],[CountryCode]],[1]!Table1[#All],1,FALSE)</f>
        <v>#REF!</v>
      </c>
    </row>
    <row r="10658" spans="1:12" hidden="1" x14ac:dyDescent="0.3">
      <c r="A10658" t="s">
        <v>117</v>
      </c>
      <c r="B10658" t="s">
        <v>118</v>
      </c>
      <c r="C10658" t="s">
        <v>129</v>
      </c>
      <c r="D10658" t="s">
        <v>130</v>
      </c>
      <c r="E10658">
        <v>1961</v>
      </c>
      <c r="F10658" s="1">
        <v>52</v>
      </c>
      <c r="G10658">
        <v>1960</v>
      </c>
      <c r="H10658">
        <f>AVERAGEIFS(Table1[value],Table1[IndicatorCode],Table1[[#This Row],[IndicatorCode]])</f>
        <v>72.66514008620689</v>
      </c>
      <c r="I10658" cm="1">
        <f t="array" ref="I10658">_xlfn.STDEV.P(IF(Table1[IndicatorCode]=Table1[[#This Row],[IndicatorCode]],Table1[value]))</f>
        <v>6.3409496564024987</v>
      </c>
      <c r="J10658">
        <f>(Table1[[#This Row],[value]] - Table1[[#This Row],[mean]]) / Table1[[#This Row],[std_dev]]</f>
        <v>-3.2589976590243328</v>
      </c>
      <c r="K10658">
        <f>AVERAGEIF(Table1[CountryCode],Table1[[#This Row],[CountryCode]],Table1[z-score])</f>
        <v>-0.69917556524739866</v>
      </c>
      <c r="L10658" t="e">
        <f>VLOOKUP(Table1[[#This Row],[CountryCode]],[1]!Table1[#All],1,FALSE)</f>
        <v>#REF!</v>
      </c>
    </row>
    <row r="10659" spans="1:12" hidden="1" x14ac:dyDescent="0.3">
      <c r="A10659" t="s">
        <v>117</v>
      </c>
      <c r="B10659" t="s">
        <v>118</v>
      </c>
      <c r="C10659" t="s">
        <v>129</v>
      </c>
      <c r="D10659" t="s">
        <v>130</v>
      </c>
      <c r="E10659">
        <v>1962</v>
      </c>
      <c r="F10659" s="1">
        <v>52</v>
      </c>
      <c r="G10659">
        <v>1960</v>
      </c>
      <c r="H10659">
        <f>AVERAGEIFS(Table1[value],Table1[IndicatorCode],Table1[[#This Row],[IndicatorCode]])</f>
        <v>72.66514008620689</v>
      </c>
      <c r="I10659" cm="1">
        <f t="array" ref="I10659">_xlfn.STDEV.P(IF(Table1[IndicatorCode]=Table1[[#This Row],[IndicatorCode]],Table1[value]))</f>
        <v>6.3409496564024987</v>
      </c>
      <c r="J10659">
        <f>(Table1[[#This Row],[value]] - Table1[[#This Row],[mean]]) / Table1[[#This Row],[std_dev]]</f>
        <v>-3.2589976590243328</v>
      </c>
      <c r="K10659">
        <f>AVERAGEIF(Table1[CountryCode],Table1[[#This Row],[CountryCode]],Table1[z-score])</f>
        <v>-0.69917556524739866</v>
      </c>
      <c r="L10659" t="e">
        <f>VLOOKUP(Table1[[#This Row],[CountryCode]],[1]!Table1[#All],1,FALSE)</f>
        <v>#REF!</v>
      </c>
    </row>
    <row r="10660" spans="1:12" hidden="1" x14ac:dyDescent="0.3">
      <c r="A10660" t="s">
        <v>117</v>
      </c>
      <c r="B10660" t="s">
        <v>118</v>
      </c>
      <c r="C10660" t="s">
        <v>129</v>
      </c>
      <c r="D10660" t="s">
        <v>130</v>
      </c>
      <c r="E10660">
        <v>1963</v>
      </c>
      <c r="F10660" s="1">
        <v>53</v>
      </c>
      <c r="G10660">
        <v>1960</v>
      </c>
      <c r="H10660">
        <f>AVERAGEIFS(Table1[value],Table1[IndicatorCode],Table1[[#This Row],[IndicatorCode]])</f>
        <v>72.66514008620689</v>
      </c>
      <c r="I10660" cm="1">
        <f t="array" ref="I10660">_xlfn.STDEV.P(IF(Table1[IndicatorCode]=Table1[[#This Row],[IndicatorCode]],Table1[value]))</f>
        <v>6.3409496564024987</v>
      </c>
      <c r="J10660">
        <f>(Table1[[#This Row],[value]] - Table1[[#This Row],[mean]]) / Table1[[#This Row],[std_dev]]</f>
        <v>-3.1012925747408935</v>
      </c>
      <c r="K10660">
        <f>AVERAGEIF(Table1[CountryCode],Table1[[#This Row],[CountryCode]],Table1[z-score])</f>
        <v>-0.69917556524739866</v>
      </c>
      <c r="L10660" t="e">
        <f>VLOOKUP(Table1[[#This Row],[CountryCode]],[1]!Table1[#All],1,FALSE)</f>
        <v>#REF!</v>
      </c>
    </row>
    <row r="10661" spans="1:12" hidden="1" x14ac:dyDescent="0.3">
      <c r="A10661" t="s">
        <v>117</v>
      </c>
      <c r="B10661" t="s">
        <v>118</v>
      </c>
      <c r="C10661" t="s">
        <v>129</v>
      </c>
      <c r="D10661" t="s">
        <v>130</v>
      </c>
      <c r="E10661">
        <v>1964</v>
      </c>
      <c r="F10661" s="1">
        <v>54</v>
      </c>
      <c r="G10661">
        <v>1960</v>
      </c>
      <c r="H10661">
        <f>AVERAGEIFS(Table1[value],Table1[IndicatorCode],Table1[[#This Row],[IndicatorCode]])</f>
        <v>72.66514008620689</v>
      </c>
      <c r="I10661" cm="1">
        <f t="array" ref="I10661">_xlfn.STDEV.P(IF(Table1[IndicatorCode]=Table1[[#This Row],[IndicatorCode]],Table1[value]))</f>
        <v>6.3409496564024987</v>
      </c>
      <c r="J10661">
        <f>(Table1[[#This Row],[value]] - Table1[[#This Row],[mean]]) / Table1[[#This Row],[std_dev]]</f>
        <v>-2.9435874904574546</v>
      </c>
      <c r="K10661">
        <f>AVERAGEIF(Table1[CountryCode],Table1[[#This Row],[CountryCode]],Table1[z-score])</f>
        <v>-0.69917556524739866</v>
      </c>
      <c r="L10661" t="e">
        <f>VLOOKUP(Table1[[#This Row],[CountryCode]],[1]!Table1[#All],1,FALSE)</f>
        <v>#REF!</v>
      </c>
    </row>
    <row r="10662" spans="1:12" hidden="1" x14ac:dyDescent="0.3">
      <c r="A10662" t="s">
        <v>117</v>
      </c>
      <c r="B10662" t="s">
        <v>118</v>
      </c>
      <c r="C10662" t="s">
        <v>129</v>
      </c>
      <c r="D10662" t="s">
        <v>130</v>
      </c>
      <c r="E10662">
        <v>1965</v>
      </c>
      <c r="F10662" s="1">
        <v>54</v>
      </c>
      <c r="G10662">
        <v>1960</v>
      </c>
      <c r="H10662">
        <f>AVERAGEIFS(Table1[value],Table1[IndicatorCode],Table1[[#This Row],[IndicatorCode]])</f>
        <v>72.66514008620689</v>
      </c>
      <c r="I10662" cm="1">
        <f t="array" ref="I10662">_xlfn.STDEV.P(IF(Table1[IndicatorCode]=Table1[[#This Row],[IndicatorCode]],Table1[value]))</f>
        <v>6.3409496564024987</v>
      </c>
      <c r="J10662">
        <f>(Table1[[#This Row],[value]] - Table1[[#This Row],[mean]]) / Table1[[#This Row],[std_dev]]</f>
        <v>-2.9435874904574546</v>
      </c>
      <c r="K10662">
        <f>AVERAGEIF(Table1[CountryCode],Table1[[#This Row],[CountryCode]],Table1[z-score])</f>
        <v>-0.69917556524739866</v>
      </c>
      <c r="L10662" t="e">
        <f>VLOOKUP(Table1[[#This Row],[CountryCode]],[1]!Table1[#All],1,FALSE)</f>
        <v>#REF!</v>
      </c>
    </row>
    <row r="10663" spans="1:12" hidden="1" x14ac:dyDescent="0.3">
      <c r="A10663" t="s">
        <v>117</v>
      </c>
      <c r="B10663" t="s">
        <v>118</v>
      </c>
      <c r="C10663" t="s">
        <v>129</v>
      </c>
      <c r="D10663" t="s">
        <v>130</v>
      </c>
      <c r="E10663">
        <v>1966</v>
      </c>
      <c r="F10663" s="1">
        <v>55</v>
      </c>
      <c r="G10663">
        <v>1960</v>
      </c>
      <c r="H10663">
        <f>AVERAGEIFS(Table1[value],Table1[IndicatorCode],Table1[[#This Row],[IndicatorCode]])</f>
        <v>72.66514008620689</v>
      </c>
      <c r="I10663" cm="1">
        <f t="array" ref="I10663">_xlfn.STDEV.P(IF(Table1[IndicatorCode]=Table1[[#This Row],[IndicatorCode]],Table1[value]))</f>
        <v>6.3409496564024987</v>
      </c>
      <c r="J10663">
        <f>(Table1[[#This Row],[value]] - Table1[[#This Row],[mean]]) / Table1[[#This Row],[std_dev]]</f>
        <v>-2.7858824061740153</v>
      </c>
      <c r="K10663">
        <f>AVERAGEIF(Table1[CountryCode],Table1[[#This Row],[CountryCode]],Table1[z-score])</f>
        <v>-0.69917556524739866</v>
      </c>
      <c r="L10663" t="e">
        <f>VLOOKUP(Table1[[#This Row],[CountryCode]],[1]!Table1[#All],1,FALSE)</f>
        <v>#REF!</v>
      </c>
    </row>
    <row r="10664" spans="1:12" hidden="1" x14ac:dyDescent="0.3">
      <c r="A10664" t="s">
        <v>117</v>
      </c>
      <c r="B10664" t="s">
        <v>118</v>
      </c>
      <c r="C10664" t="s">
        <v>129</v>
      </c>
      <c r="D10664" t="s">
        <v>130</v>
      </c>
      <c r="E10664">
        <v>1967</v>
      </c>
      <c r="F10664" s="1">
        <v>55</v>
      </c>
      <c r="G10664">
        <v>1970</v>
      </c>
      <c r="H10664">
        <f>AVERAGEIFS(Table1[value],Table1[IndicatorCode],Table1[[#This Row],[IndicatorCode]])</f>
        <v>72.66514008620689</v>
      </c>
      <c r="I10664" cm="1">
        <f t="array" ref="I10664">_xlfn.STDEV.P(IF(Table1[IndicatorCode]=Table1[[#This Row],[IndicatorCode]],Table1[value]))</f>
        <v>6.3409496564024987</v>
      </c>
      <c r="J10664">
        <f>(Table1[[#This Row],[value]] - Table1[[#This Row],[mean]]) / Table1[[#This Row],[std_dev]]</f>
        <v>-2.7858824061740153</v>
      </c>
      <c r="K10664">
        <f>AVERAGEIF(Table1[CountryCode],Table1[[#This Row],[CountryCode]],Table1[z-score])</f>
        <v>-0.69917556524739866</v>
      </c>
      <c r="L10664" t="e">
        <f>VLOOKUP(Table1[[#This Row],[CountryCode]],[1]!Table1[#All],1,FALSE)</f>
        <v>#REF!</v>
      </c>
    </row>
    <row r="10665" spans="1:12" hidden="1" x14ac:dyDescent="0.3">
      <c r="A10665" t="s">
        <v>117</v>
      </c>
      <c r="B10665" t="s">
        <v>118</v>
      </c>
      <c r="C10665" t="s">
        <v>129</v>
      </c>
      <c r="D10665" t="s">
        <v>130</v>
      </c>
      <c r="E10665">
        <v>1968</v>
      </c>
      <c r="F10665" s="1">
        <v>56</v>
      </c>
      <c r="G10665">
        <v>1970</v>
      </c>
      <c r="H10665">
        <f>AVERAGEIFS(Table1[value],Table1[IndicatorCode],Table1[[#This Row],[IndicatorCode]])</f>
        <v>72.66514008620689</v>
      </c>
      <c r="I10665" cm="1">
        <f t="array" ref="I10665">_xlfn.STDEV.P(IF(Table1[IndicatorCode]=Table1[[#This Row],[IndicatorCode]],Table1[value]))</f>
        <v>6.3409496564024987</v>
      </c>
      <c r="J10665">
        <f>(Table1[[#This Row],[value]] - Table1[[#This Row],[mean]]) / Table1[[#This Row],[std_dev]]</f>
        <v>-2.6281773218905764</v>
      </c>
      <c r="K10665">
        <f>AVERAGEIF(Table1[CountryCode],Table1[[#This Row],[CountryCode]],Table1[z-score])</f>
        <v>-0.69917556524739866</v>
      </c>
      <c r="L10665" t="e">
        <f>VLOOKUP(Table1[[#This Row],[CountryCode]],[1]!Table1[#All],1,FALSE)</f>
        <v>#REF!</v>
      </c>
    </row>
    <row r="10666" spans="1:12" hidden="1" x14ac:dyDescent="0.3">
      <c r="A10666" t="s">
        <v>117</v>
      </c>
      <c r="B10666" t="s">
        <v>118</v>
      </c>
      <c r="C10666" t="s">
        <v>129</v>
      </c>
      <c r="D10666" t="s">
        <v>130</v>
      </c>
      <c r="E10666">
        <v>1969</v>
      </c>
      <c r="F10666" s="1">
        <v>56</v>
      </c>
      <c r="G10666">
        <v>1970</v>
      </c>
      <c r="H10666">
        <f>AVERAGEIFS(Table1[value],Table1[IndicatorCode],Table1[[#This Row],[IndicatorCode]])</f>
        <v>72.66514008620689</v>
      </c>
      <c r="I10666" cm="1">
        <f t="array" ref="I10666">_xlfn.STDEV.P(IF(Table1[IndicatorCode]=Table1[[#This Row],[IndicatorCode]],Table1[value]))</f>
        <v>6.3409496564024987</v>
      </c>
      <c r="J10666">
        <f>(Table1[[#This Row],[value]] - Table1[[#This Row],[mean]]) / Table1[[#This Row],[std_dev]]</f>
        <v>-2.6281773218905764</v>
      </c>
      <c r="K10666">
        <f>AVERAGEIF(Table1[CountryCode],Table1[[#This Row],[CountryCode]],Table1[z-score])</f>
        <v>-0.69917556524739866</v>
      </c>
      <c r="L10666" t="e">
        <f>VLOOKUP(Table1[[#This Row],[CountryCode]],[1]!Table1[#All],1,FALSE)</f>
        <v>#REF!</v>
      </c>
    </row>
    <row r="10667" spans="1:12" hidden="1" x14ac:dyDescent="0.3">
      <c r="A10667" t="s">
        <v>117</v>
      </c>
      <c r="B10667" t="s">
        <v>118</v>
      </c>
      <c r="C10667" t="s">
        <v>129</v>
      </c>
      <c r="D10667" t="s">
        <v>130</v>
      </c>
      <c r="E10667">
        <v>1970</v>
      </c>
      <c r="F10667" s="1">
        <v>57</v>
      </c>
      <c r="G10667">
        <v>1970</v>
      </c>
      <c r="H10667">
        <f>AVERAGEIFS(Table1[value],Table1[IndicatorCode],Table1[[#This Row],[IndicatorCode]])</f>
        <v>72.66514008620689</v>
      </c>
      <c r="I10667" cm="1">
        <f t="array" ref="I10667">_xlfn.STDEV.P(IF(Table1[IndicatorCode]=Table1[[#This Row],[IndicatorCode]],Table1[value]))</f>
        <v>6.3409496564024987</v>
      </c>
      <c r="J10667">
        <f>(Table1[[#This Row],[value]] - Table1[[#This Row],[mean]]) / Table1[[#This Row],[std_dev]]</f>
        <v>-2.4704722376071375</v>
      </c>
      <c r="K10667">
        <f>AVERAGEIF(Table1[CountryCode],Table1[[#This Row],[CountryCode]],Table1[z-score])</f>
        <v>-0.69917556524739866</v>
      </c>
      <c r="L10667" t="e">
        <f>VLOOKUP(Table1[[#This Row],[CountryCode]],[1]!Table1[#All],1,FALSE)</f>
        <v>#REF!</v>
      </c>
    </row>
    <row r="10668" spans="1:12" hidden="1" x14ac:dyDescent="0.3">
      <c r="A10668" t="s">
        <v>117</v>
      </c>
      <c r="B10668" t="s">
        <v>118</v>
      </c>
      <c r="C10668" t="s">
        <v>129</v>
      </c>
      <c r="D10668" t="s">
        <v>130</v>
      </c>
      <c r="E10668">
        <v>1971</v>
      </c>
      <c r="F10668" s="1">
        <v>57</v>
      </c>
      <c r="G10668">
        <v>1970</v>
      </c>
      <c r="H10668">
        <f>AVERAGEIFS(Table1[value],Table1[IndicatorCode],Table1[[#This Row],[IndicatorCode]])</f>
        <v>72.66514008620689</v>
      </c>
      <c r="I10668" cm="1">
        <f t="array" ref="I10668">_xlfn.STDEV.P(IF(Table1[IndicatorCode]=Table1[[#This Row],[IndicatorCode]],Table1[value]))</f>
        <v>6.3409496564024987</v>
      </c>
      <c r="J10668">
        <f>(Table1[[#This Row],[value]] - Table1[[#This Row],[mean]]) / Table1[[#This Row],[std_dev]]</f>
        <v>-2.4704722376071375</v>
      </c>
      <c r="K10668">
        <f>AVERAGEIF(Table1[CountryCode],Table1[[#This Row],[CountryCode]],Table1[z-score])</f>
        <v>-0.69917556524739866</v>
      </c>
      <c r="L10668" t="e">
        <f>VLOOKUP(Table1[[#This Row],[CountryCode]],[1]!Table1[#All],1,FALSE)</f>
        <v>#REF!</v>
      </c>
    </row>
    <row r="10669" spans="1:12" hidden="1" x14ac:dyDescent="0.3">
      <c r="A10669" t="s">
        <v>117</v>
      </c>
      <c r="B10669" t="s">
        <v>118</v>
      </c>
      <c r="C10669" t="s">
        <v>129</v>
      </c>
      <c r="D10669" t="s">
        <v>130</v>
      </c>
      <c r="E10669">
        <v>1972</v>
      </c>
      <c r="F10669" s="1">
        <v>58</v>
      </c>
      <c r="G10669">
        <v>1970</v>
      </c>
      <c r="H10669">
        <f>AVERAGEIFS(Table1[value],Table1[IndicatorCode],Table1[[#This Row],[IndicatorCode]])</f>
        <v>72.66514008620689</v>
      </c>
      <c r="I10669" cm="1">
        <f t="array" ref="I10669">_xlfn.STDEV.P(IF(Table1[IndicatorCode]=Table1[[#This Row],[IndicatorCode]],Table1[value]))</f>
        <v>6.3409496564024987</v>
      </c>
      <c r="J10669">
        <f>(Table1[[#This Row],[value]] - Table1[[#This Row],[mean]]) / Table1[[#This Row],[std_dev]]</f>
        <v>-2.3127671533236982</v>
      </c>
      <c r="K10669">
        <f>AVERAGEIF(Table1[CountryCode],Table1[[#This Row],[CountryCode]],Table1[z-score])</f>
        <v>-0.69917556524739866</v>
      </c>
      <c r="L10669" t="e">
        <f>VLOOKUP(Table1[[#This Row],[CountryCode]],[1]!Table1[#All],1,FALSE)</f>
        <v>#REF!</v>
      </c>
    </row>
    <row r="10670" spans="1:12" hidden="1" x14ac:dyDescent="0.3">
      <c r="A10670" t="s">
        <v>117</v>
      </c>
      <c r="B10670" t="s">
        <v>118</v>
      </c>
      <c r="C10670" t="s">
        <v>129</v>
      </c>
      <c r="D10670" t="s">
        <v>130</v>
      </c>
      <c r="E10670">
        <v>1973</v>
      </c>
      <c r="F10670" s="1">
        <v>58</v>
      </c>
      <c r="G10670">
        <v>1970</v>
      </c>
      <c r="H10670">
        <f>AVERAGEIFS(Table1[value],Table1[IndicatorCode],Table1[[#This Row],[IndicatorCode]])</f>
        <v>72.66514008620689</v>
      </c>
      <c r="I10670" cm="1">
        <f t="array" ref="I10670">_xlfn.STDEV.P(IF(Table1[IndicatorCode]=Table1[[#This Row],[IndicatorCode]],Table1[value]))</f>
        <v>6.3409496564024987</v>
      </c>
      <c r="J10670">
        <f>(Table1[[#This Row],[value]] - Table1[[#This Row],[mean]]) / Table1[[#This Row],[std_dev]]</f>
        <v>-2.3127671533236982</v>
      </c>
      <c r="K10670">
        <f>AVERAGEIF(Table1[CountryCode],Table1[[#This Row],[CountryCode]],Table1[z-score])</f>
        <v>-0.69917556524739866</v>
      </c>
      <c r="L10670" t="e">
        <f>VLOOKUP(Table1[[#This Row],[CountryCode]],[1]!Table1[#All],1,FALSE)</f>
        <v>#REF!</v>
      </c>
    </row>
    <row r="10671" spans="1:12" hidden="1" x14ac:dyDescent="0.3">
      <c r="A10671" t="s">
        <v>117</v>
      </c>
      <c r="B10671" t="s">
        <v>118</v>
      </c>
      <c r="C10671" t="s">
        <v>129</v>
      </c>
      <c r="D10671" t="s">
        <v>130</v>
      </c>
      <c r="E10671">
        <v>1974</v>
      </c>
      <c r="F10671" s="1">
        <v>59</v>
      </c>
      <c r="G10671">
        <v>1970</v>
      </c>
      <c r="H10671">
        <f>AVERAGEIFS(Table1[value],Table1[IndicatorCode],Table1[[#This Row],[IndicatorCode]])</f>
        <v>72.66514008620689</v>
      </c>
      <c r="I10671" cm="1">
        <f t="array" ref="I10671">_xlfn.STDEV.P(IF(Table1[IndicatorCode]=Table1[[#This Row],[IndicatorCode]],Table1[value]))</f>
        <v>6.3409496564024987</v>
      </c>
      <c r="J10671">
        <f>(Table1[[#This Row],[value]] - Table1[[#This Row],[mean]]) / Table1[[#This Row],[std_dev]]</f>
        <v>-2.1550620690402593</v>
      </c>
      <c r="K10671">
        <f>AVERAGEIF(Table1[CountryCode],Table1[[#This Row],[CountryCode]],Table1[z-score])</f>
        <v>-0.69917556524739866</v>
      </c>
      <c r="L10671" t="e">
        <f>VLOOKUP(Table1[[#This Row],[CountryCode]],[1]!Table1[#All],1,FALSE)</f>
        <v>#REF!</v>
      </c>
    </row>
    <row r="10672" spans="1:12" hidden="1" x14ac:dyDescent="0.3">
      <c r="A10672" t="s">
        <v>117</v>
      </c>
      <c r="B10672" t="s">
        <v>118</v>
      </c>
      <c r="C10672" t="s">
        <v>129</v>
      </c>
      <c r="D10672" t="s">
        <v>130</v>
      </c>
      <c r="E10672">
        <v>1975</v>
      </c>
      <c r="F10672" s="1">
        <v>60</v>
      </c>
      <c r="G10672">
        <v>1970</v>
      </c>
      <c r="H10672">
        <f>AVERAGEIFS(Table1[value],Table1[IndicatorCode],Table1[[#This Row],[IndicatorCode]])</f>
        <v>72.66514008620689</v>
      </c>
      <c r="I10672" cm="1">
        <f t="array" ref="I10672">_xlfn.STDEV.P(IF(Table1[IndicatorCode]=Table1[[#This Row],[IndicatorCode]],Table1[value]))</f>
        <v>6.3409496564024987</v>
      </c>
      <c r="J10672">
        <f>(Table1[[#This Row],[value]] - Table1[[#This Row],[mean]]) / Table1[[#This Row],[std_dev]]</f>
        <v>-1.9973569847568202</v>
      </c>
      <c r="K10672">
        <f>AVERAGEIF(Table1[CountryCode],Table1[[#This Row],[CountryCode]],Table1[z-score])</f>
        <v>-0.69917556524739866</v>
      </c>
      <c r="L10672" t="e">
        <f>VLOOKUP(Table1[[#This Row],[CountryCode]],[1]!Table1[#All],1,FALSE)</f>
        <v>#REF!</v>
      </c>
    </row>
    <row r="10673" spans="1:12" hidden="1" x14ac:dyDescent="0.3">
      <c r="A10673" t="s">
        <v>117</v>
      </c>
      <c r="B10673" t="s">
        <v>118</v>
      </c>
      <c r="C10673" t="s">
        <v>129</v>
      </c>
      <c r="D10673" t="s">
        <v>130</v>
      </c>
      <c r="E10673">
        <v>1976</v>
      </c>
      <c r="F10673" s="1">
        <v>60</v>
      </c>
      <c r="G10673">
        <v>1970</v>
      </c>
      <c r="H10673">
        <f>AVERAGEIFS(Table1[value],Table1[IndicatorCode],Table1[[#This Row],[IndicatorCode]])</f>
        <v>72.66514008620689</v>
      </c>
      <c r="I10673" cm="1">
        <f t="array" ref="I10673">_xlfn.STDEV.P(IF(Table1[IndicatorCode]=Table1[[#This Row],[IndicatorCode]],Table1[value]))</f>
        <v>6.3409496564024987</v>
      </c>
      <c r="J10673">
        <f>(Table1[[#This Row],[value]] - Table1[[#This Row],[mean]]) / Table1[[#This Row],[std_dev]]</f>
        <v>-1.9973569847568202</v>
      </c>
      <c r="K10673">
        <f>AVERAGEIF(Table1[CountryCode],Table1[[#This Row],[CountryCode]],Table1[z-score])</f>
        <v>-0.69917556524739866</v>
      </c>
      <c r="L10673" t="e">
        <f>VLOOKUP(Table1[[#This Row],[CountryCode]],[1]!Table1[#All],1,FALSE)</f>
        <v>#REF!</v>
      </c>
    </row>
    <row r="10674" spans="1:12" hidden="1" x14ac:dyDescent="0.3">
      <c r="A10674" t="s">
        <v>117</v>
      </c>
      <c r="B10674" t="s">
        <v>118</v>
      </c>
      <c r="C10674" t="s">
        <v>129</v>
      </c>
      <c r="D10674" t="s">
        <v>130</v>
      </c>
      <c r="E10674">
        <v>1977</v>
      </c>
      <c r="F10674" s="1">
        <v>61</v>
      </c>
      <c r="G10674">
        <v>1980</v>
      </c>
      <c r="H10674">
        <f>AVERAGEIFS(Table1[value],Table1[IndicatorCode],Table1[[#This Row],[IndicatorCode]])</f>
        <v>72.66514008620689</v>
      </c>
      <c r="I10674" cm="1">
        <f t="array" ref="I10674">_xlfn.STDEV.P(IF(Table1[IndicatorCode]=Table1[[#This Row],[IndicatorCode]],Table1[value]))</f>
        <v>6.3409496564024987</v>
      </c>
      <c r="J10674">
        <f>(Table1[[#This Row],[value]] - Table1[[#This Row],[mean]]) / Table1[[#This Row],[std_dev]]</f>
        <v>-1.8396519004733811</v>
      </c>
      <c r="K10674">
        <f>AVERAGEIF(Table1[CountryCode],Table1[[#This Row],[CountryCode]],Table1[z-score])</f>
        <v>-0.69917556524739866</v>
      </c>
      <c r="L10674" t="e">
        <f>VLOOKUP(Table1[[#This Row],[CountryCode]],[1]!Table1[#All],1,FALSE)</f>
        <v>#REF!</v>
      </c>
    </row>
    <row r="10675" spans="1:12" hidden="1" x14ac:dyDescent="0.3">
      <c r="A10675" t="s">
        <v>117</v>
      </c>
      <c r="B10675" t="s">
        <v>118</v>
      </c>
      <c r="C10675" t="s">
        <v>129</v>
      </c>
      <c r="D10675" t="s">
        <v>130</v>
      </c>
      <c r="E10675">
        <v>1978</v>
      </c>
      <c r="F10675" s="1">
        <v>62</v>
      </c>
      <c r="G10675">
        <v>1980</v>
      </c>
      <c r="H10675">
        <f>AVERAGEIFS(Table1[value],Table1[IndicatorCode],Table1[[#This Row],[IndicatorCode]])</f>
        <v>72.66514008620689</v>
      </c>
      <c r="I10675" cm="1">
        <f t="array" ref="I10675">_xlfn.STDEV.P(IF(Table1[IndicatorCode]=Table1[[#This Row],[IndicatorCode]],Table1[value]))</f>
        <v>6.3409496564024987</v>
      </c>
      <c r="J10675">
        <f>(Table1[[#This Row],[value]] - Table1[[#This Row],[mean]]) / Table1[[#This Row],[std_dev]]</f>
        <v>-1.681946816189942</v>
      </c>
      <c r="K10675">
        <f>AVERAGEIF(Table1[CountryCode],Table1[[#This Row],[CountryCode]],Table1[z-score])</f>
        <v>-0.69917556524739866</v>
      </c>
      <c r="L10675" t="e">
        <f>VLOOKUP(Table1[[#This Row],[CountryCode]],[1]!Table1[#All],1,FALSE)</f>
        <v>#REF!</v>
      </c>
    </row>
    <row r="10676" spans="1:12" hidden="1" x14ac:dyDescent="0.3">
      <c r="A10676" t="s">
        <v>117</v>
      </c>
      <c r="B10676" t="s">
        <v>118</v>
      </c>
      <c r="C10676" t="s">
        <v>129</v>
      </c>
      <c r="D10676" t="s">
        <v>130</v>
      </c>
      <c r="E10676">
        <v>1979</v>
      </c>
      <c r="F10676" s="1">
        <v>62</v>
      </c>
      <c r="G10676">
        <v>1980</v>
      </c>
      <c r="H10676">
        <f>AVERAGEIFS(Table1[value],Table1[IndicatorCode],Table1[[#This Row],[IndicatorCode]])</f>
        <v>72.66514008620689</v>
      </c>
      <c r="I10676" cm="1">
        <f t="array" ref="I10676">_xlfn.STDEV.P(IF(Table1[IndicatorCode]=Table1[[#This Row],[IndicatorCode]],Table1[value]))</f>
        <v>6.3409496564024987</v>
      </c>
      <c r="J10676">
        <f>(Table1[[#This Row],[value]] - Table1[[#This Row],[mean]]) / Table1[[#This Row],[std_dev]]</f>
        <v>-1.681946816189942</v>
      </c>
      <c r="K10676">
        <f>AVERAGEIF(Table1[CountryCode],Table1[[#This Row],[CountryCode]],Table1[z-score])</f>
        <v>-0.69917556524739866</v>
      </c>
      <c r="L10676" t="e">
        <f>VLOOKUP(Table1[[#This Row],[CountryCode]],[1]!Table1[#All],1,FALSE)</f>
        <v>#REF!</v>
      </c>
    </row>
    <row r="10677" spans="1:12" hidden="1" x14ac:dyDescent="0.3">
      <c r="A10677" t="s">
        <v>117</v>
      </c>
      <c r="B10677" t="s">
        <v>118</v>
      </c>
      <c r="C10677" t="s">
        <v>129</v>
      </c>
      <c r="D10677" t="s">
        <v>130</v>
      </c>
      <c r="E10677">
        <v>1980</v>
      </c>
      <c r="F10677" s="1">
        <v>63</v>
      </c>
      <c r="G10677">
        <v>1980</v>
      </c>
      <c r="H10677">
        <f>AVERAGEIFS(Table1[value],Table1[IndicatorCode],Table1[[#This Row],[IndicatorCode]])</f>
        <v>72.66514008620689</v>
      </c>
      <c r="I10677" cm="1">
        <f t="array" ref="I10677">_xlfn.STDEV.P(IF(Table1[IndicatorCode]=Table1[[#This Row],[IndicatorCode]],Table1[value]))</f>
        <v>6.3409496564024987</v>
      </c>
      <c r="J10677">
        <f>(Table1[[#This Row],[value]] - Table1[[#This Row],[mean]]) / Table1[[#This Row],[std_dev]]</f>
        <v>-1.5242417319065029</v>
      </c>
      <c r="K10677">
        <f>AVERAGEIF(Table1[CountryCode],Table1[[#This Row],[CountryCode]],Table1[z-score])</f>
        <v>-0.69917556524739866</v>
      </c>
      <c r="L10677" t="e">
        <f>VLOOKUP(Table1[[#This Row],[CountryCode]],[1]!Table1[#All],1,FALSE)</f>
        <v>#REF!</v>
      </c>
    </row>
    <row r="10678" spans="1:12" hidden="1" x14ac:dyDescent="0.3">
      <c r="A10678" t="s">
        <v>117</v>
      </c>
      <c r="B10678" t="s">
        <v>118</v>
      </c>
      <c r="C10678" t="s">
        <v>129</v>
      </c>
      <c r="D10678" t="s">
        <v>130</v>
      </c>
      <c r="E10678">
        <v>1981</v>
      </c>
      <c r="F10678" s="1">
        <v>63</v>
      </c>
      <c r="G10678">
        <v>1980</v>
      </c>
      <c r="H10678">
        <f>AVERAGEIFS(Table1[value],Table1[IndicatorCode],Table1[[#This Row],[IndicatorCode]])</f>
        <v>72.66514008620689</v>
      </c>
      <c r="I10678" cm="1">
        <f t="array" ref="I10678">_xlfn.STDEV.P(IF(Table1[IndicatorCode]=Table1[[#This Row],[IndicatorCode]],Table1[value]))</f>
        <v>6.3409496564024987</v>
      </c>
      <c r="J10678">
        <f>(Table1[[#This Row],[value]] - Table1[[#This Row],[mean]]) / Table1[[#This Row],[std_dev]]</f>
        <v>-1.5242417319065029</v>
      </c>
      <c r="K10678">
        <f>AVERAGEIF(Table1[CountryCode],Table1[[#This Row],[CountryCode]],Table1[z-score])</f>
        <v>-0.69917556524739866</v>
      </c>
      <c r="L10678" t="e">
        <f>VLOOKUP(Table1[[#This Row],[CountryCode]],[1]!Table1[#All],1,FALSE)</f>
        <v>#REF!</v>
      </c>
    </row>
    <row r="10679" spans="1:12" hidden="1" x14ac:dyDescent="0.3">
      <c r="A10679" t="s">
        <v>117</v>
      </c>
      <c r="B10679" t="s">
        <v>118</v>
      </c>
      <c r="C10679" t="s">
        <v>129</v>
      </c>
      <c r="D10679" t="s">
        <v>130</v>
      </c>
      <c r="E10679">
        <v>1982</v>
      </c>
      <c r="F10679" s="1">
        <v>64</v>
      </c>
      <c r="G10679">
        <v>1980</v>
      </c>
      <c r="H10679">
        <f>AVERAGEIFS(Table1[value],Table1[IndicatorCode],Table1[[#This Row],[IndicatorCode]])</f>
        <v>72.66514008620689</v>
      </c>
      <c r="I10679" cm="1">
        <f t="array" ref="I10679">_xlfn.STDEV.P(IF(Table1[IndicatorCode]=Table1[[#This Row],[IndicatorCode]],Table1[value]))</f>
        <v>6.3409496564024987</v>
      </c>
      <c r="J10679">
        <f>(Table1[[#This Row],[value]] - Table1[[#This Row],[mean]]) / Table1[[#This Row],[std_dev]]</f>
        <v>-1.3665366476230638</v>
      </c>
      <c r="K10679">
        <f>AVERAGEIF(Table1[CountryCode],Table1[[#This Row],[CountryCode]],Table1[z-score])</f>
        <v>-0.69917556524739866</v>
      </c>
      <c r="L10679" t="e">
        <f>VLOOKUP(Table1[[#This Row],[CountryCode]],[1]!Table1[#All],1,FALSE)</f>
        <v>#REF!</v>
      </c>
    </row>
    <row r="10680" spans="1:12" hidden="1" x14ac:dyDescent="0.3">
      <c r="A10680" t="s">
        <v>117</v>
      </c>
      <c r="B10680" t="s">
        <v>118</v>
      </c>
      <c r="C10680" t="s">
        <v>129</v>
      </c>
      <c r="D10680" t="s">
        <v>130</v>
      </c>
      <c r="E10680">
        <v>1983</v>
      </c>
      <c r="F10680" s="1">
        <v>64</v>
      </c>
      <c r="G10680">
        <v>1980</v>
      </c>
      <c r="H10680">
        <f>AVERAGEIFS(Table1[value],Table1[IndicatorCode],Table1[[#This Row],[IndicatorCode]])</f>
        <v>72.66514008620689</v>
      </c>
      <c r="I10680" cm="1">
        <f t="array" ref="I10680">_xlfn.STDEV.P(IF(Table1[IndicatorCode]=Table1[[#This Row],[IndicatorCode]],Table1[value]))</f>
        <v>6.3409496564024987</v>
      </c>
      <c r="J10680">
        <f>(Table1[[#This Row],[value]] - Table1[[#This Row],[mean]]) / Table1[[#This Row],[std_dev]]</f>
        <v>-1.3665366476230638</v>
      </c>
      <c r="K10680">
        <f>AVERAGEIF(Table1[CountryCode],Table1[[#This Row],[CountryCode]],Table1[z-score])</f>
        <v>-0.69917556524739866</v>
      </c>
      <c r="L10680" t="e">
        <f>VLOOKUP(Table1[[#This Row],[CountryCode]],[1]!Table1[#All],1,FALSE)</f>
        <v>#REF!</v>
      </c>
    </row>
    <row r="10681" spans="1:12" hidden="1" x14ac:dyDescent="0.3">
      <c r="A10681" t="s">
        <v>117</v>
      </c>
      <c r="B10681" t="s">
        <v>118</v>
      </c>
      <c r="C10681" t="s">
        <v>129</v>
      </c>
      <c r="D10681" t="s">
        <v>130</v>
      </c>
      <c r="E10681">
        <v>1984</v>
      </c>
      <c r="F10681" s="1">
        <v>65</v>
      </c>
      <c r="G10681">
        <v>1980</v>
      </c>
      <c r="H10681">
        <f>AVERAGEIFS(Table1[value],Table1[IndicatorCode],Table1[[#This Row],[IndicatorCode]])</f>
        <v>72.66514008620689</v>
      </c>
      <c r="I10681" cm="1">
        <f t="array" ref="I10681">_xlfn.STDEV.P(IF(Table1[IndicatorCode]=Table1[[#This Row],[IndicatorCode]],Table1[value]))</f>
        <v>6.3409496564024987</v>
      </c>
      <c r="J10681">
        <f>(Table1[[#This Row],[value]] - Table1[[#This Row],[mean]]) / Table1[[#This Row],[std_dev]]</f>
        <v>-1.2088315633396249</v>
      </c>
      <c r="K10681">
        <f>AVERAGEIF(Table1[CountryCode],Table1[[#This Row],[CountryCode]],Table1[z-score])</f>
        <v>-0.69917556524739866</v>
      </c>
      <c r="L10681" t="e">
        <f>VLOOKUP(Table1[[#This Row],[CountryCode]],[1]!Table1[#All],1,FALSE)</f>
        <v>#REF!</v>
      </c>
    </row>
    <row r="10682" spans="1:12" hidden="1" x14ac:dyDescent="0.3">
      <c r="A10682" t="s">
        <v>117</v>
      </c>
      <c r="B10682" t="s">
        <v>118</v>
      </c>
      <c r="C10682" t="s">
        <v>129</v>
      </c>
      <c r="D10682" t="s">
        <v>130</v>
      </c>
      <c r="E10682">
        <v>1985</v>
      </c>
      <c r="F10682" s="1">
        <v>65</v>
      </c>
      <c r="G10682">
        <v>1980</v>
      </c>
      <c r="H10682">
        <f>AVERAGEIFS(Table1[value],Table1[IndicatorCode],Table1[[#This Row],[IndicatorCode]])</f>
        <v>72.66514008620689</v>
      </c>
      <c r="I10682" cm="1">
        <f t="array" ref="I10682">_xlfn.STDEV.P(IF(Table1[IndicatorCode]=Table1[[#This Row],[IndicatorCode]],Table1[value]))</f>
        <v>6.3409496564024987</v>
      </c>
      <c r="J10682">
        <f>(Table1[[#This Row],[value]] - Table1[[#This Row],[mean]]) / Table1[[#This Row],[std_dev]]</f>
        <v>-1.2088315633396249</v>
      </c>
      <c r="K10682">
        <f>AVERAGEIF(Table1[CountryCode],Table1[[#This Row],[CountryCode]],Table1[z-score])</f>
        <v>-0.69917556524739866</v>
      </c>
      <c r="L10682" t="e">
        <f>VLOOKUP(Table1[[#This Row],[CountryCode]],[1]!Table1[#All],1,FALSE)</f>
        <v>#REF!</v>
      </c>
    </row>
    <row r="10683" spans="1:12" hidden="1" x14ac:dyDescent="0.3">
      <c r="A10683" t="s">
        <v>117</v>
      </c>
      <c r="B10683" t="s">
        <v>118</v>
      </c>
      <c r="C10683" t="s">
        <v>129</v>
      </c>
      <c r="D10683" t="s">
        <v>130</v>
      </c>
      <c r="E10683">
        <v>1986</v>
      </c>
      <c r="F10683" s="1">
        <v>66</v>
      </c>
      <c r="G10683">
        <v>1980</v>
      </c>
      <c r="H10683">
        <f>AVERAGEIFS(Table1[value],Table1[IndicatorCode],Table1[[#This Row],[IndicatorCode]])</f>
        <v>72.66514008620689</v>
      </c>
      <c r="I10683" cm="1">
        <f t="array" ref="I10683">_xlfn.STDEV.P(IF(Table1[IndicatorCode]=Table1[[#This Row],[IndicatorCode]],Table1[value]))</f>
        <v>6.3409496564024987</v>
      </c>
      <c r="J10683">
        <f>(Table1[[#This Row],[value]] - Table1[[#This Row],[mean]]) / Table1[[#This Row],[std_dev]]</f>
        <v>-1.0511264790561858</v>
      </c>
      <c r="K10683">
        <f>AVERAGEIF(Table1[CountryCode],Table1[[#This Row],[CountryCode]],Table1[z-score])</f>
        <v>-0.69917556524739866</v>
      </c>
      <c r="L10683" t="e">
        <f>VLOOKUP(Table1[[#This Row],[CountryCode]],[1]!Table1[#All],1,FALSE)</f>
        <v>#REF!</v>
      </c>
    </row>
    <row r="10684" spans="1:12" hidden="1" x14ac:dyDescent="0.3">
      <c r="A10684" t="s">
        <v>117</v>
      </c>
      <c r="B10684" t="s">
        <v>118</v>
      </c>
      <c r="C10684" t="s">
        <v>129</v>
      </c>
      <c r="D10684" t="s">
        <v>130</v>
      </c>
      <c r="E10684">
        <v>1987</v>
      </c>
      <c r="F10684" s="1">
        <v>66</v>
      </c>
      <c r="G10684">
        <v>1990</v>
      </c>
      <c r="H10684">
        <f>AVERAGEIFS(Table1[value],Table1[IndicatorCode],Table1[[#This Row],[IndicatorCode]])</f>
        <v>72.66514008620689</v>
      </c>
      <c r="I10684" cm="1">
        <f t="array" ref="I10684">_xlfn.STDEV.P(IF(Table1[IndicatorCode]=Table1[[#This Row],[IndicatorCode]],Table1[value]))</f>
        <v>6.3409496564024987</v>
      </c>
      <c r="J10684">
        <f>(Table1[[#This Row],[value]] - Table1[[#This Row],[mean]]) / Table1[[#This Row],[std_dev]]</f>
        <v>-1.0511264790561858</v>
      </c>
      <c r="K10684">
        <f>AVERAGEIF(Table1[CountryCode],Table1[[#This Row],[CountryCode]],Table1[z-score])</f>
        <v>-0.69917556524739866</v>
      </c>
      <c r="L10684" t="e">
        <f>VLOOKUP(Table1[[#This Row],[CountryCode]],[1]!Table1[#All],1,FALSE)</f>
        <v>#REF!</v>
      </c>
    </row>
    <row r="10685" spans="1:12" hidden="1" x14ac:dyDescent="0.3">
      <c r="A10685" t="s">
        <v>117</v>
      </c>
      <c r="B10685" t="s">
        <v>118</v>
      </c>
      <c r="C10685" t="s">
        <v>129</v>
      </c>
      <c r="D10685" t="s">
        <v>130</v>
      </c>
      <c r="E10685">
        <v>1988</v>
      </c>
      <c r="F10685" s="1">
        <v>67</v>
      </c>
      <c r="G10685">
        <v>1990</v>
      </c>
      <c r="H10685">
        <f>AVERAGEIFS(Table1[value],Table1[IndicatorCode],Table1[[#This Row],[IndicatorCode]])</f>
        <v>72.66514008620689</v>
      </c>
      <c r="I10685" cm="1">
        <f t="array" ref="I10685">_xlfn.STDEV.P(IF(Table1[IndicatorCode]=Table1[[#This Row],[IndicatorCode]],Table1[value]))</f>
        <v>6.3409496564024987</v>
      </c>
      <c r="J10685">
        <f>(Table1[[#This Row],[value]] - Table1[[#This Row],[mean]]) / Table1[[#This Row],[std_dev]]</f>
        <v>-0.89342139477274674</v>
      </c>
      <c r="K10685">
        <f>AVERAGEIF(Table1[CountryCode],Table1[[#This Row],[CountryCode]],Table1[z-score])</f>
        <v>-0.69917556524739866</v>
      </c>
      <c r="L10685" t="e">
        <f>VLOOKUP(Table1[[#This Row],[CountryCode]],[1]!Table1[#All],1,FALSE)</f>
        <v>#REF!</v>
      </c>
    </row>
    <row r="10686" spans="1:12" hidden="1" x14ac:dyDescent="0.3">
      <c r="A10686" t="s">
        <v>117</v>
      </c>
      <c r="B10686" t="s">
        <v>118</v>
      </c>
      <c r="C10686" t="s">
        <v>129</v>
      </c>
      <c r="D10686" t="s">
        <v>130</v>
      </c>
      <c r="E10686">
        <v>1989</v>
      </c>
      <c r="F10686" s="1">
        <v>67</v>
      </c>
      <c r="G10686">
        <v>1990</v>
      </c>
      <c r="H10686">
        <f>AVERAGEIFS(Table1[value],Table1[IndicatorCode],Table1[[#This Row],[IndicatorCode]])</f>
        <v>72.66514008620689</v>
      </c>
      <c r="I10686" cm="1">
        <f t="array" ref="I10686">_xlfn.STDEV.P(IF(Table1[IndicatorCode]=Table1[[#This Row],[IndicatorCode]],Table1[value]))</f>
        <v>6.3409496564024987</v>
      </c>
      <c r="J10686">
        <f>(Table1[[#This Row],[value]] - Table1[[#This Row],[mean]]) / Table1[[#This Row],[std_dev]]</f>
        <v>-0.89342139477274674</v>
      </c>
      <c r="K10686">
        <f>AVERAGEIF(Table1[CountryCode],Table1[[#This Row],[CountryCode]],Table1[z-score])</f>
        <v>-0.69917556524739866</v>
      </c>
      <c r="L10686" t="e">
        <f>VLOOKUP(Table1[[#This Row],[CountryCode]],[1]!Table1[#All],1,FALSE)</f>
        <v>#REF!</v>
      </c>
    </row>
    <row r="10687" spans="1:12" hidden="1" x14ac:dyDescent="0.3">
      <c r="A10687" t="s">
        <v>117</v>
      </c>
      <c r="B10687" t="s">
        <v>118</v>
      </c>
      <c r="C10687" t="s">
        <v>129</v>
      </c>
      <c r="D10687" t="s">
        <v>130</v>
      </c>
      <c r="E10687">
        <v>1990</v>
      </c>
      <c r="F10687" s="1">
        <v>68</v>
      </c>
      <c r="G10687">
        <v>1990</v>
      </c>
      <c r="H10687">
        <f>AVERAGEIFS(Table1[value],Table1[IndicatorCode],Table1[[#This Row],[IndicatorCode]])</f>
        <v>72.66514008620689</v>
      </c>
      <c r="I10687" cm="1">
        <f t="array" ref="I10687">_xlfn.STDEV.P(IF(Table1[IndicatorCode]=Table1[[#This Row],[IndicatorCode]],Table1[value]))</f>
        <v>6.3409496564024987</v>
      </c>
      <c r="J10687">
        <f>(Table1[[#This Row],[value]] - Table1[[#This Row],[mean]]) / Table1[[#This Row],[std_dev]]</f>
        <v>-0.73571631048930775</v>
      </c>
      <c r="K10687">
        <f>AVERAGEIF(Table1[CountryCode],Table1[[#This Row],[CountryCode]],Table1[z-score])</f>
        <v>-0.69917556524739866</v>
      </c>
      <c r="L10687" t="e">
        <f>VLOOKUP(Table1[[#This Row],[CountryCode]],[1]!Table1[#All],1,FALSE)</f>
        <v>#REF!</v>
      </c>
    </row>
    <row r="10688" spans="1:12" hidden="1" x14ac:dyDescent="0.3">
      <c r="A10688" t="s">
        <v>117</v>
      </c>
      <c r="B10688" t="s">
        <v>118</v>
      </c>
      <c r="C10688" t="s">
        <v>129</v>
      </c>
      <c r="D10688" t="s">
        <v>130</v>
      </c>
      <c r="E10688">
        <v>1991</v>
      </c>
      <c r="F10688" s="1">
        <v>68</v>
      </c>
      <c r="G10688">
        <v>1990</v>
      </c>
      <c r="H10688">
        <f>AVERAGEIFS(Table1[value],Table1[IndicatorCode],Table1[[#This Row],[IndicatorCode]])</f>
        <v>72.66514008620689</v>
      </c>
      <c r="I10688" cm="1">
        <f t="array" ref="I10688">_xlfn.STDEV.P(IF(Table1[IndicatorCode]=Table1[[#This Row],[IndicatorCode]],Table1[value]))</f>
        <v>6.3409496564024987</v>
      </c>
      <c r="J10688">
        <f>(Table1[[#This Row],[value]] - Table1[[#This Row],[mean]]) / Table1[[#This Row],[std_dev]]</f>
        <v>-0.73571631048930775</v>
      </c>
      <c r="K10688">
        <f>AVERAGEIF(Table1[CountryCode],Table1[[#This Row],[CountryCode]],Table1[z-score])</f>
        <v>-0.69917556524739866</v>
      </c>
      <c r="L10688" t="e">
        <f>VLOOKUP(Table1[[#This Row],[CountryCode]],[1]!Table1[#All],1,FALSE)</f>
        <v>#REF!</v>
      </c>
    </row>
    <row r="10689" spans="1:12" hidden="1" x14ac:dyDescent="0.3">
      <c r="A10689" t="s">
        <v>117</v>
      </c>
      <c r="B10689" t="s">
        <v>118</v>
      </c>
      <c r="C10689" t="s">
        <v>129</v>
      </c>
      <c r="D10689" t="s">
        <v>130</v>
      </c>
      <c r="E10689">
        <v>1992</v>
      </c>
      <c r="F10689" s="1">
        <v>69</v>
      </c>
      <c r="G10689">
        <v>1990</v>
      </c>
      <c r="H10689">
        <f>AVERAGEIFS(Table1[value],Table1[IndicatorCode],Table1[[#This Row],[IndicatorCode]])</f>
        <v>72.66514008620689</v>
      </c>
      <c r="I10689" cm="1">
        <f t="array" ref="I10689">_xlfn.STDEV.P(IF(Table1[IndicatorCode]=Table1[[#This Row],[IndicatorCode]],Table1[value]))</f>
        <v>6.3409496564024987</v>
      </c>
      <c r="J10689">
        <f>(Table1[[#This Row],[value]] - Table1[[#This Row],[mean]]) / Table1[[#This Row],[std_dev]]</f>
        <v>-0.57801122620586864</v>
      </c>
      <c r="K10689">
        <f>AVERAGEIF(Table1[CountryCode],Table1[[#This Row],[CountryCode]],Table1[z-score])</f>
        <v>-0.69917556524739866</v>
      </c>
      <c r="L10689" t="e">
        <f>VLOOKUP(Table1[[#This Row],[CountryCode]],[1]!Table1[#All],1,FALSE)</f>
        <v>#REF!</v>
      </c>
    </row>
    <row r="10690" spans="1:12" hidden="1" x14ac:dyDescent="0.3">
      <c r="A10690" t="s">
        <v>117</v>
      </c>
      <c r="B10690" t="s">
        <v>118</v>
      </c>
      <c r="C10690" t="s">
        <v>129</v>
      </c>
      <c r="D10690" t="s">
        <v>130</v>
      </c>
      <c r="E10690">
        <v>1993</v>
      </c>
      <c r="F10690" s="1">
        <v>69</v>
      </c>
      <c r="G10690">
        <v>1990</v>
      </c>
      <c r="H10690">
        <f>AVERAGEIFS(Table1[value],Table1[IndicatorCode],Table1[[#This Row],[IndicatorCode]])</f>
        <v>72.66514008620689</v>
      </c>
      <c r="I10690" cm="1">
        <f t="array" ref="I10690">_xlfn.STDEV.P(IF(Table1[IndicatorCode]=Table1[[#This Row],[IndicatorCode]],Table1[value]))</f>
        <v>6.3409496564024987</v>
      </c>
      <c r="J10690">
        <f>(Table1[[#This Row],[value]] - Table1[[#This Row],[mean]]) / Table1[[#This Row],[std_dev]]</f>
        <v>-0.57801122620586864</v>
      </c>
      <c r="K10690">
        <f>AVERAGEIF(Table1[CountryCode],Table1[[#This Row],[CountryCode]],Table1[z-score])</f>
        <v>-0.69917556524739866</v>
      </c>
      <c r="L10690" t="e">
        <f>VLOOKUP(Table1[[#This Row],[CountryCode]],[1]!Table1[#All],1,FALSE)</f>
        <v>#REF!</v>
      </c>
    </row>
    <row r="10691" spans="1:12" hidden="1" x14ac:dyDescent="0.3">
      <c r="A10691" t="s">
        <v>117</v>
      </c>
      <c r="B10691" t="s">
        <v>118</v>
      </c>
      <c r="C10691" t="s">
        <v>129</v>
      </c>
      <c r="D10691" t="s">
        <v>130</v>
      </c>
      <c r="E10691">
        <v>1994</v>
      </c>
      <c r="F10691" s="1">
        <v>69</v>
      </c>
      <c r="G10691">
        <v>1990</v>
      </c>
      <c r="H10691">
        <f>AVERAGEIFS(Table1[value],Table1[IndicatorCode],Table1[[#This Row],[IndicatorCode]])</f>
        <v>72.66514008620689</v>
      </c>
      <c r="I10691" cm="1">
        <f t="array" ref="I10691">_xlfn.STDEV.P(IF(Table1[IndicatorCode]=Table1[[#This Row],[IndicatorCode]],Table1[value]))</f>
        <v>6.3409496564024987</v>
      </c>
      <c r="J10691">
        <f>(Table1[[#This Row],[value]] - Table1[[#This Row],[mean]]) / Table1[[#This Row],[std_dev]]</f>
        <v>-0.57801122620586864</v>
      </c>
      <c r="K10691">
        <f>AVERAGEIF(Table1[CountryCode],Table1[[#This Row],[CountryCode]],Table1[z-score])</f>
        <v>-0.69917556524739866</v>
      </c>
      <c r="L10691" t="e">
        <f>VLOOKUP(Table1[[#This Row],[CountryCode]],[1]!Table1[#All],1,FALSE)</f>
        <v>#REF!</v>
      </c>
    </row>
    <row r="10692" spans="1:12" hidden="1" x14ac:dyDescent="0.3">
      <c r="A10692" t="s">
        <v>117</v>
      </c>
      <c r="B10692" t="s">
        <v>118</v>
      </c>
      <c r="C10692" t="s">
        <v>129</v>
      </c>
      <c r="D10692" t="s">
        <v>130</v>
      </c>
      <c r="E10692">
        <v>1995</v>
      </c>
      <c r="F10692" s="1">
        <v>70</v>
      </c>
      <c r="G10692">
        <v>1990</v>
      </c>
      <c r="H10692">
        <f>AVERAGEIFS(Table1[value],Table1[IndicatorCode],Table1[[#This Row],[IndicatorCode]])</f>
        <v>72.66514008620689</v>
      </c>
      <c r="I10692" cm="1">
        <f t="array" ref="I10692">_xlfn.STDEV.P(IF(Table1[IndicatorCode]=Table1[[#This Row],[IndicatorCode]],Table1[value]))</f>
        <v>6.3409496564024987</v>
      </c>
      <c r="J10692">
        <f>(Table1[[#This Row],[value]] - Table1[[#This Row],[mean]]) / Table1[[#This Row],[std_dev]]</f>
        <v>-0.4203061419224296</v>
      </c>
      <c r="K10692">
        <f>AVERAGEIF(Table1[CountryCode],Table1[[#This Row],[CountryCode]],Table1[z-score])</f>
        <v>-0.69917556524739866</v>
      </c>
      <c r="L10692" t="e">
        <f>VLOOKUP(Table1[[#This Row],[CountryCode]],[1]!Table1[#All],1,FALSE)</f>
        <v>#REF!</v>
      </c>
    </row>
    <row r="10693" spans="1:12" hidden="1" x14ac:dyDescent="0.3">
      <c r="A10693" t="s">
        <v>117</v>
      </c>
      <c r="B10693" t="s">
        <v>118</v>
      </c>
      <c r="C10693" t="s">
        <v>129</v>
      </c>
      <c r="D10693" t="s">
        <v>130</v>
      </c>
      <c r="E10693">
        <v>1996</v>
      </c>
      <c r="F10693" s="1">
        <v>70</v>
      </c>
      <c r="G10693">
        <v>1990</v>
      </c>
      <c r="H10693">
        <f>AVERAGEIFS(Table1[value],Table1[IndicatorCode],Table1[[#This Row],[IndicatorCode]])</f>
        <v>72.66514008620689</v>
      </c>
      <c r="I10693" cm="1">
        <f t="array" ref="I10693">_xlfn.STDEV.P(IF(Table1[IndicatorCode]=Table1[[#This Row],[IndicatorCode]],Table1[value]))</f>
        <v>6.3409496564024987</v>
      </c>
      <c r="J10693">
        <f>(Table1[[#This Row],[value]] - Table1[[#This Row],[mean]]) / Table1[[#This Row],[std_dev]]</f>
        <v>-0.4203061419224296</v>
      </c>
      <c r="K10693">
        <f>AVERAGEIF(Table1[CountryCode],Table1[[#This Row],[CountryCode]],Table1[z-score])</f>
        <v>-0.69917556524739866</v>
      </c>
      <c r="L10693" t="e">
        <f>VLOOKUP(Table1[[#This Row],[CountryCode]],[1]!Table1[#All],1,FALSE)</f>
        <v>#REF!</v>
      </c>
    </row>
    <row r="10694" spans="1:12" hidden="1" x14ac:dyDescent="0.3">
      <c r="A10694" t="s">
        <v>117</v>
      </c>
      <c r="B10694" t="s">
        <v>118</v>
      </c>
      <c r="C10694" t="s">
        <v>129</v>
      </c>
      <c r="D10694" t="s">
        <v>130</v>
      </c>
      <c r="E10694">
        <v>1997</v>
      </c>
      <c r="F10694" s="1">
        <v>71</v>
      </c>
      <c r="G10694">
        <v>2000</v>
      </c>
      <c r="H10694">
        <f>AVERAGEIFS(Table1[value],Table1[IndicatorCode],Table1[[#This Row],[IndicatorCode]])</f>
        <v>72.66514008620689</v>
      </c>
      <c r="I10694" cm="1">
        <f t="array" ref="I10694">_xlfn.STDEV.P(IF(Table1[IndicatorCode]=Table1[[#This Row],[IndicatorCode]],Table1[value]))</f>
        <v>6.3409496564024987</v>
      </c>
      <c r="J10694">
        <f>(Table1[[#This Row],[value]] - Table1[[#This Row],[mean]]) / Table1[[#This Row],[std_dev]]</f>
        <v>-0.2626010576389905</v>
      </c>
      <c r="K10694">
        <f>AVERAGEIF(Table1[CountryCode],Table1[[#This Row],[CountryCode]],Table1[z-score])</f>
        <v>-0.69917556524739866</v>
      </c>
      <c r="L10694" t="e">
        <f>VLOOKUP(Table1[[#This Row],[CountryCode]],[1]!Table1[#All],1,FALSE)</f>
        <v>#REF!</v>
      </c>
    </row>
    <row r="10695" spans="1:12" hidden="1" x14ac:dyDescent="0.3">
      <c r="A10695" t="s">
        <v>117</v>
      </c>
      <c r="B10695" t="s">
        <v>118</v>
      </c>
      <c r="C10695" t="s">
        <v>129</v>
      </c>
      <c r="D10695" t="s">
        <v>130</v>
      </c>
      <c r="E10695">
        <v>1998</v>
      </c>
      <c r="F10695" s="1">
        <v>71</v>
      </c>
      <c r="G10695">
        <v>2000</v>
      </c>
      <c r="H10695">
        <f>AVERAGEIFS(Table1[value],Table1[IndicatorCode],Table1[[#This Row],[IndicatorCode]])</f>
        <v>72.66514008620689</v>
      </c>
      <c r="I10695" cm="1">
        <f t="array" ref="I10695">_xlfn.STDEV.P(IF(Table1[IndicatorCode]=Table1[[#This Row],[IndicatorCode]],Table1[value]))</f>
        <v>6.3409496564024987</v>
      </c>
      <c r="J10695">
        <f>(Table1[[#This Row],[value]] - Table1[[#This Row],[mean]]) / Table1[[#This Row],[std_dev]]</f>
        <v>-0.2626010576389905</v>
      </c>
      <c r="K10695">
        <f>AVERAGEIF(Table1[CountryCode],Table1[[#This Row],[CountryCode]],Table1[z-score])</f>
        <v>-0.69917556524739866</v>
      </c>
      <c r="L10695" t="e">
        <f>VLOOKUP(Table1[[#This Row],[CountryCode]],[1]!Table1[#All],1,FALSE)</f>
        <v>#REF!</v>
      </c>
    </row>
    <row r="10696" spans="1:12" hidden="1" x14ac:dyDescent="0.3">
      <c r="A10696" t="s">
        <v>117</v>
      </c>
      <c r="B10696" t="s">
        <v>118</v>
      </c>
      <c r="C10696" t="s">
        <v>129</v>
      </c>
      <c r="D10696" t="s">
        <v>130</v>
      </c>
      <c r="E10696">
        <v>1999</v>
      </c>
      <c r="F10696" s="1">
        <v>71</v>
      </c>
      <c r="G10696">
        <v>2000</v>
      </c>
      <c r="H10696">
        <f>AVERAGEIFS(Table1[value],Table1[IndicatorCode],Table1[[#This Row],[IndicatorCode]])</f>
        <v>72.66514008620689</v>
      </c>
      <c r="I10696" cm="1">
        <f t="array" ref="I10696">_xlfn.STDEV.P(IF(Table1[IndicatorCode]=Table1[[#This Row],[IndicatorCode]],Table1[value]))</f>
        <v>6.3409496564024987</v>
      </c>
      <c r="J10696">
        <f>(Table1[[#This Row],[value]] - Table1[[#This Row],[mean]]) / Table1[[#This Row],[std_dev]]</f>
        <v>-0.2626010576389905</v>
      </c>
      <c r="K10696">
        <f>AVERAGEIF(Table1[CountryCode],Table1[[#This Row],[CountryCode]],Table1[z-score])</f>
        <v>-0.69917556524739866</v>
      </c>
      <c r="L10696" t="e">
        <f>VLOOKUP(Table1[[#This Row],[CountryCode]],[1]!Table1[#All],1,FALSE)</f>
        <v>#REF!</v>
      </c>
    </row>
    <row r="10697" spans="1:12" hidden="1" x14ac:dyDescent="0.3">
      <c r="A10697" t="s">
        <v>117</v>
      </c>
      <c r="B10697" t="s">
        <v>118</v>
      </c>
      <c r="C10697" t="s">
        <v>129</v>
      </c>
      <c r="D10697" t="s">
        <v>130</v>
      </c>
      <c r="E10697">
        <v>2000</v>
      </c>
      <c r="F10697" s="1">
        <v>72</v>
      </c>
      <c r="G10697">
        <v>2000</v>
      </c>
      <c r="H10697">
        <f>AVERAGEIFS(Table1[value],Table1[IndicatorCode],Table1[[#This Row],[IndicatorCode]])</f>
        <v>72.66514008620689</v>
      </c>
      <c r="I10697" cm="1">
        <f t="array" ref="I10697">_xlfn.STDEV.P(IF(Table1[IndicatorCode]=Table1[[#This Row],[IndicatorCode]],Table1[value]))</f>
        <v>6.3409496564024987</v>
      </c>
      <c r="J10697">
        <f>(Table1[[#This Row],[value]] - Table1[[#This Row],[mean]]) / Table1[[#This Row],[std_dev]]</f>
        <v>-0.10489597335555145</v>
      </c>
      <c r="K10697">
        <f>AVERAGEIF(Table1[CountryCode],Table1[[#This Row],[CountryCode]],Table1[z-score])</f>
        <v>-0.69917556524739866</v>
      </c>
      <c r="L10697" t="e">
        <f>VLOOKUP(Table1[[#This Row],[CountryCode]],[1]!Table1[#All],1,FALSE)</f>
        <v>#REF!</v>
      </c>
    </row>
    <row r="10698" spans="1:12" hidden="1" x14ac:dyDescent="0.3">
      <c r="A10698" t="s">
        <v>117</v>
      </c>
      <c r="B10698" t="s">
        <v>118</v>
      </c>
      <c r="C10698" t="s">
        <v>129</v>
      </c>
      <c r="D10698" t="s">
        <v>130</v>
      </c>
      <c r="E10698">
        <v>2001</v>
      </c>
      <c r="F10698" s="1">
        <v>72</v>
      </c>
      <c r="G10698">
        <v>2000</v>
      </c>
      <c r="H10698">
        <f>AVERAGEIFS(Table1[value],Table1[IndicatorCode],Table1[[#This Row],[IndicatorCode]])</f>
        <v>72.66514008620689</v>
      </c>
      <c r="I10698" cm="1">
        <f t="array" ref="I10698">_xlfn.STDEV.P(IF(Table1[IndicatorCode]=Table1[[#This Row],[IndicatorCode]],Table1[value]))</f>
        <v>6.3409496564024987</v>
      </c>
      <c r="J10698">
        <f>(Table1[[#This Row],[value]] - Table1[[#This Row],[mean]]) / Table1[[#This Row],[std_dev]]</f>
        <v>-0.10489597335555145</v>
      </c>
      <c r="K10698">
        <f>AVERAGEIF(Table1[CountryCode],Table1[[#This Row],[CountryCode]],Table1[z-score])</f>
        <v>-0.69917556524739866</v>
      </c>
      <c r="L10698" t="e">
        <f>VLOOKUP(Table1[[#This Row],[CountryCode]],[1]!Table1[#All],1,FALSE)</f>
        <v>#REF!</v>
      </c>
    </row>
    <row r="10699" spans="1:12" hidden="1" x14ac:dyDescent="0.3">
      <c r="A10699" t="s">
        <v>117</v>
      </c>
      <c r="B10699" t="s">
        <v>118</v>
      </c>
      <c r="C10699" t="s">
        <v>129</v>
      </c>
      <c r="D10699" t="s">
        <v>130</v>
      </c>
      <c r="E10699">
        <v>2002</v>
      </c>
      <c r="F10699" s="1">
        <v>73</v>
      </c>
      <c r="G10699">
        <v>2000</v>
      </c>
      <c r="H10699">
        <f>AVERAGEIFS(Table1[value],Table1[IndicatorCode],Table1[[#This Row],[IndicatorCode]])</f>
        <v>72.66514008620689</v>
      </c>
      <c r="I10699" cm="1">
        <f t="array" ref="I10699">_xlfn.STDEV.P(IF(Table1[IndicatorCode]=Table1[[#This Row],[IndicatorCode]],Table1[value]))</f>
        <v>6.3409496564024987</v>
      </c>
      <c r="J10699">
        <f>(Table1[[#This Row],[value]] - Table1[[#This Row],[mean]]) / Table1[[#This Row],[std_dev]]</f>
        <v>5.2809110927887599E-2</v>
      </c>
      <c r="K10699">
        <f>AVERAGEIF(Table1[CountryCode],Table1[[#This Row],[CountryCode]],Table1[z-score])</f>
        <v>-0.69917556524739866</v>
      </c>
      <c r="L10699" t="e">
        <f>VLOOKUP(Table1[[#This Row],[CountryCode]],[1]!Table1[#All],1,FALSE)</f>
        <v>#REF!</v>
      </c>
    </row>
    <row r="10700" spans="1:12" hidden="1" x14ac:dyDescent="0.3">
      <c r="A10700" t="s">
        <v>117</v>
      </c>
      <c r="B10700" t="s">
        <v>118</v>
      </c>
      <c r="C10700" t="s">
        <v>129</v>
      </c>
      <c r="D10700" t="s">
        <v>130</v>
      </c>
      <c r="E10700">
        <v>2003</v>
      </c>
      <c r="F10700" s="1">
        <v>73</v>
      </c>
      <c r="G10700">
        <v>2000</v>
      </c>
      <c r="H10700">
        <f>AVERAGEIFS(Table1[value],Table1[IndicatorCode],Table1[[#This Row],[IndicatorCode]])</f>
        <v>72.66514008620689</v>
      </c>
      <c r="I10700" cm="1">
        <f t="array" ref="I10700">_xlfn.STDEV.P(IF(Table1[IndicatorCode]=Table1[[#This Row],[IndicatorCode]],Table1[value]))</f>
        <v>6.3409496564024987</v>
      </c>
      <c r="J10700">
        <f>(Table1[[#This Row],[value]] - Table1[[#This Row],[mean]]) / Table1[[#This Row],[std_dev]]</f>
        <v>5.2809110927887599E-2</v>
      </c>
      <c r="K10700">
        <f>AVERAGEIF(Table1[CountryCode],Table1[[#This Row],[CountryCode]],Table1[z-score])</f>
        <v>-0.69917556524739866</v>
      </c>
      <c r="L10700" t="e">
        <f>VLOOKUP(Table1[[#This Row],[CountryCode]],[1]!Table1[#All],1,FALSE)</f>
        <v>#REF!</v>
      </c>
    </row>
    <row r="10701" spans="1:12" hidden="1" x14ac:dyDescent="0.3">
      <c r="A10701" t="s">
        <v>117</v>
      </c>
      <c r="B10701" t="s">
        <v>118</v>
      </c>
      <c r="C10701" t="s">
        <v>129</v>
      </c>
      <c r="D10701" t="s">
        <v>130</v>
      </c>
      <c r="E10701">
        <v>2004</v>
      </c>
      <c r="F10701" s="1">
        <v>73</v>
      </c>
      <c r="G10701">
        <v>2000</v>
      </c>
      <c r="H10701">
        <f>AVERAGEIFS(Table1[value],Table1[IndicatorCode],Table1[[#This Row],[IndicatorCode]])</f>
        <v>72.66514008620689</v>
      </c>
      <c r="I10701" cm="1">
        <f t="array" ref="I10701">_xlfn.STDEV.P(IF(Table1[IndicatorCode]=Table1[[#This Row],[IndicatorCode]],Table1[value]))</f>
        <v>6.3409496564024987</v>
      </c>
      <c r="J10701">
        <f>(Table1[[#This Row],[value]] - Table1[[#This Row],[mean]]) / Table1[[#This Row],[std_dev]]</f>
        <v>5.2809110927887599E-2</v>
      </c>
      <c r="K10701">
        <f>AVERAGEIF(Table1[CountryCode],Table1[[#This Row],[CountryCode]],Table1[z-score])</f>
        <v>-0.69917556524739866</v>
      </c>
      <c r="L10701" t="e">
        <f>VLOOKUP(Table1[[#This Row],[CountryCode]],[1]!Table1[#All],1,FALSE)</f>
        <v>#REF!</v>
      </c>
    </row>
    <row r="10702" spans="1:12" hidden="1" x14ac:dyDescent="0.3">
      <c r="A10702" t="s">
        <v>117</v>
      </c>
      <c r="B10702" t="s">
        <v>118</v>
      </c>
      <c r="C10702" t="s">
        <v>129</v>
      </c>
      <c r="D10702" t="s">
        <v>130</v>
      </c>
      <c r="E10702">
        <v>2005</v>
      </c>
      <c r="F10702" s="1">
        <v>74</v>
      </c>
      <c r="G10702">
        <v>2000</v>
      </c>
      <c r="H10702">
        <f>AVERAGEIFS(Table1[value],Table1[IndicatorCode],Table1[[#This Row],[IndicatorCode]])</f>
        <v>72.66514008620689</v>
      </c>
      <c r="I10702" cm="1">
        <f t="array" ref="I10702">_xlfn.STDEV.P(IF(Table1[IndicatorCode]=Table1[[#This Row],[IndicatorCode]],Table1[value]))</f>
        <v>6.3409496564024987</v>
      </c>
      <c r="J10702">
        <f>(Table1[[#This Row],[value]] - Table1[[#This Row],[mean]]) / Table1[[#This Row],[std_dev]]</f>
        <v>0.21051419521132667</v>
      </c>
      <c r="K10702">
        <f>AVERAGEIF(Table1[CountryCode],Table1[[#This Row],[CountryCode]],Table1[z-score])</f>
        <v>-0.69917556524739866</v>
      </c>
      <c r="L10702" t="e">
        <f>VLOOKUP(Table1[[#This Row],[CountryCode]],[1]!Table1[#All],1,FALSE)</f>
        <v>#REF!</v>
      </c>
    </row>
    <row r="10703" spans="1:12" hidden="1" x14ac:dyDescent="0.3">
      <c r="A10703" t="s">
        <v>117</v>
      </c>
      <c r="B10703" t="s">
        <v>118</v>
      </c>
      <c r="C10703" t="s">
        <v>129</v>
      </c>
      <c r="D10703" t="s">
        <v>130</v>
      </c>
      <c r="E10703">
        <v>2006</v>
      </c>
      <c r="F10703" s="1">
        <v>74</v>
      </c>
      <c r="G10703">
        <v>2000</v>
      </c>
      <c r="H10703">
        <f>AVERAGEIFS(Table1[value],Table1[IndicatorCode],Table1[[#This Row],[IndicatorCode]])</f>
        <v>72.66514008620689</v>
      </c>
      <c r="I10703" cm="1">
        <f t="array" ref="I10703">_xlfn.STDEV.P(IF(Table1[IndicatorCode]=Table1[[#This Row],[IndicatorCode]],Table1[value]))</f>
        <v>6.3409496564024987</v>
      </c>
      <c r="J10703">
        <f>(Table1[[#This Row],[value]] - Table1[[#This Row],[mean]]) / Table1[[#This Row],[std_dev]]</f>
        <v>0.21051419521132667</v>
      </c>
      <c r="K10703">
        <f>AVERAGEIF(Table1[CountryCode],Table1[[#This Row],[CountryCode]],Table1[z-score])</f>
        <v>-0.69917556524739866</v>
      </c>
      <c r="L10703" t="e">
        <f>VLOOKUP(Table1[[#This Row],[CountryCode]],[1]!Table1[#All],1,FALSE)</f>
        <v>#REF!</v>
      </c>
    </row>
    <row r="10704" spans="1:12" hidden="1" x14ac:dyDescent="0.3">
      <c r="A10704" t="s">
        <v>117</v>
      </c>
      <c r="B10704" t="s">
        <v>118</v>
      </c>
      <c r="C10704" t="s">
        <v>129</v>
      </c>
      <c r="D10704" t="s">
        <v>130</v>
      </c>
      <c r="E10704">
        <v>2007</v>
      </c>
      <c r="F10704" s="1">
        <v>74</v>
      </c>
      <c r="G10704">
        <v>2010</v>
      </c>
      <c r="H10704">
        <f>AVERAGEIFS(Table1[value],Table1[IndicatorCode],Table1[[#This Row],[IndicatorCode]])</f>
        <v>72.66514008620689</v>
      </c>
      <c r="I10704" cm="1">
        <f t="array" ref="I10704">_xlfn.STDEV.P(IF(Table1[IndicatorCode]=Table1[[#This Row],[IndicatorCode]],Table1[value]))</f>
        <v>6.3409496564024987</v>
      </c>
      <c r="J10704">
        <f>(Table1[[#This Row],[value]] - Table1[[#This Row],[mean]]) / Table1[[#This Row],[std_dev]]</f>
        <v>0.21051419521132667</v>
      </c>
      <c r="K10704">
        <f>AVERAGEIF(Table1[CountryCode],Table1[[#This Row],[CountryCode]],Table1[z-score])</f>
        <v>-0.69917556524739866</v>
      </c>
      <c r="L10704" t="e">
        <f>VLOOKUP(Table1[[#This Row],[CountryCode]],[1]!Table1[#All],1,FALSE)</f>
        <v>#REF!</v>
      </c>
    </row>
    <row r="10705" spans="1:12" hidden="1" x14ac:dyDescent="0.3">
      <c r="A10705" t="s">
        <v>117</v>
      </c>
      <c r="B10705" t="s">
        <v>118</v>
      </c>
      <c r="C10705" t="s">
        <v>129</v>
      </c>
      <c r="D10705" t="s">
        <v>130</v>
      </c>
      <c r="E10705">
        <v>2008</v>
      </c>
      <c r="F10705" s="1">
        <v>74</v>
      </c>
      <c r="G10705">
        <v>2010</v>
      </c>
      <c r="H10705">
        <f>AVERAGEIFS(Table1[value],Table1[IndicatorCode],Table1[[#This Row],[IndicatorCode]])</f>
        <v>72.66514008620689</v>
      </c>
      <c r="I10705" cm="1">
        <f t="array" ref="I10705">_xlfn.STDEV.P(IF(Table1[IndicatorCode]=Table1[[#This Row],[IndicatorCode]],Table1[value]))</f>
        <v>6.3409496564024987</v>
      </c>
      <c r="J10705">
        <f>(Table1[[#This Row],[value]] - Table1[[#This Row],[mean]]) / Table1[[#This Row],[std_dev]]</f>
        <v>0.21051419521132667</v>
      </c>
      <c r="K10705">
        <f>AVERAGEIF(Table1[CountryCode],Table1[[#This Row],[CountryCode]],Table1[z-score])</f>
        <v>-0.69917556524739866</v>
      </c>
      <c r="L10705" t="e">
        <f>VLOOKUP(Table1[[#This Row],[CountryCode]],[1]!Table1[#All],1,FALSE)</f>
        <v>#REF!</v>
      </c>
    </row>
    <row r="10706" spans="1:12" hidden="1" x14ac:dyDescent="0.3">
      <c r="A10706" t="s">
        <v>117</v>
      </c>
      <c r="B10706" t="s">
        <v>118</v>
      </c>
      <c r="C10706" t="s">
        <v>129</v>
      </c>
      <c r="D10706" t="s">
        <v>130</v>
      </c>
      <c r="E10706">
        <v>2009</v>
      </c>
      <c r="F10706" s="1">
        <v>75</v>
      </c>
      <c r="G10706">
        <v>2010</v>
      </c>
      <c r="H10706">
        <f>AVERAGEIFS(Table1[value],Table1[IndicatorCode],Table1[[#This Row],[IndicatorCode]])</f>
        <v>72.66514008620689</v>
      </c>
      <c r="I10706" cm="1">
        <f t="array" ref="I10706">_xlfn.STDEV.P(IF(Table1[IndicatorCode]=Table1[[#This Row],[IndicatorCode]],Table1[value]))</f>
        <v>6.3409496564024987</v>
      </c>
      <c r="J10706">
        <f>(Table1[[#This Row],[value]] - Table1[[#This Row],[mean]]) / Table1[[#This Row],[std_dev]]</f>
        <v>0.36821927949476574</v>
      </c>
      <c r="K10706">
        <f>AVERAGEIF(Table1[CountryCode],Table1[[#This Row],[CountryCode]],Table1[z-score])</f>
        <v>-0.69917556524739866</v>
      </c>
      <c r="L10706" t="e">
        <f>VLOOKUP(Table1[[#This Row],[CountryCode]],[1]!Table1[#All],1,FALSE)</f>
        <v>#REF!</v>
      </c>
    </row>
    <row r="10707" spans="1:12" hidden="1" x14ac:dyDescent="0.3">
      <c r="A10707" t="s">
        <v>117</v>
      </c>
      <c r="B10707" t="s">
        <v>118</v>
      </c>
      <c r="C10707" t="s">
        <v>129</v>
      </c>
      <c r="D10707" t="s">
        <v>130</v>
      </c>
      <c r="E10707">
        <v>2010</v>
      </c>
      <c r="F10707" s="1">
        <v>75</v>
      </c>
      <c r="G10707">
        <v>2010</v>
      </c>
      <c r="H10707">
        <f>AVERAGEIFS(Table1[value],Table1[IndicatorCode],Table1[[#This Row],[IndicatorCode]])</f>
        <v>72.66514008620689</v>
      </c>
      <c r="I10707" cm="1">
        <f t="array" ref="I10707">_xlfn.STDEV.P(IF(Table1[IndicatorCode]=Table1[[#This Row],[IndicatorCode]],Table1[value]))</f>
        <v>6.3409496564024987</v>
      </c>
      <c r="J10707">
        <f>(Table1[[#This Row],[value]] - Table1[[#This Row],[mean]]) / Table1[[#This Row],[std_dev]]</f>
        <v>0.36821927949476574</v>
      </c>
      <c r="K10707">
        <f>AVERAGEIF(Table1[CountryCode],Table1[[#This Row],[CountryCode]],Table1[z-score])</f>
        <v>-0.69917556524739866</v>
      </c>
      <c r="L10707" t="e">
        <f>VLOOKUP(Table1[[#This Row],[CountryCode]],[1]!Table1[#All],1,FALSE)</f>
        <v>#REF!</v>
      </c>
    </row>
    <row r="10708" spans="1:12" hidden="1" x14ac:dyDescent="0.3">
      <c r="A10708" t="s">
        <v>117</v>
      </c>
      <c r="B10708" t="s">
        <v>118</v>
      </c>
      <c r="C10708" t="s">
        <v>129</v>
      </c>
      <c r="D10708" t="s">
        <v>130</v>
      </c>
      <c r="E10708">
        <v>2011</v>
      </c>
      <c r="F10708" s="1">
        <v>75</v>
      </c>
      <c r="G10708">
        <v>2010</v>
      </c>
      <c r="H10708">
        <f>AVERAGEIFS(Table1[value],Table1[IndicatorCode],Table1[[#This Row],[IndicatorCode]])</f>
        <v>72.66514008620689</v>
      </c>
      <c r="I10708" cm="1">
        <f t="array" ref="I10708">_xlfn.STDEV.P(IF(Table1[IndicatorCode]=Table1[[#This Row],[IndicatorCode]],Table1[value]))</f>
        <v>6.3409496564024987</v>
      </c>
      <c r="J10708">
        <f>(Table1[[#This Row],[value]] - Table1[[#This Row],[mean]]) / Table1[[#This Row],[std_dev]]</f>
        <v>0.36821927949476574</v>
      </c>
      <c r="K10708">
        <f>AVERAGEIF(Table1[CountryCode],Table1[[#This Row],[CountryCode]],Table1[z-score])</f>
        <v>-0.69917556524739866</v>
      </c>
      <c r="L10708" t="e">
        <f>VLOOKUP(Table1[[#This Row],[CountryCode]],[1]!Table1[#All],1,FALSE)</f>
        <v>#REF!</v>
      </c>
    </row>
    <row r="10709" spans="1:12" hidden="1" x14ac:dyDescent="0.3">
      <c r="A10709" t="s">
        <v>117</v>
      </c>
      <c r="B10709" t="s">
        <v>118</v>
      </c>
      <c r="C10709" t="s">
        <v>129</v>
      </c>
      <c r="D10709" t="s">
        <v>130</v>
      </c>
      <c r="E10709">
        <v>2012</v>
      </c>
      <c r="F10709" s="1">
        <v>76</v>
      </c>
      <c r="G10709">
        <v>2010</v>
      </c>
      <c r="H10709">
        <f>AVERAGEIFS(Table1[value],Table1[IndicatorCode],Table1[[#This Row],[IndicatorCode]])</f>
        <v>72.66514008620689</v>
      </c>
      <c r="I10709" cm="1">
        <f t="array" ref="I10709">_xlfn.STDEV.P(IF(Table1[IndicatorCode]=Table1[[#This Row],[IndicatorCode]],Table1[value]))</f>
        <v>6.3409496564024987</v>
      </c>
      <c r="J10709">
        <f>(Table1[[#This Row],[value]] - Table1[[#This Row],[mean]]) / Table1[[#This Row],[std_dev]]</f>
        <v>0.52592436377820473</v>
      </c>
      <c r="K10709">
        <f>AVERAGEIF(Table1[CountryCode],Table1[[#This Row],[CountryCode]],Table1[z-score])</f>
        <v>-0.69917556524739866</v>
      </c>
      <c r="L10709" t="e">
        <f>VLOOKUP(Table1[[#This Row],[CountryCode]],[1]!Table1[#All],1,FALSE)</f>
        <v>#REF!</v>
      </c>
    </row>
    <row r="10710" spans="1:12" hidden="1" x14ac:dyDescent="0.3">
      <c r="A10710" t="s">
        <v>117</v>
      </c>
      <c r="B10710" t="s">
        <v>118</v>
      </c>
      <c r="C10710" t="s">
        <v>129</v>
      </c>
      <c r="D10710" t="s">
        <v>130</v>
      </c>
      <c r="E10710">
        <v>2013</v>
      </c>
      <c r="F10710" s="1">
        <v>76</v>
      </c>
      <c r="G10710">
        <v>2010</v>
      </c>
      <c r="H10710">
        <f>AVERAGEIFS(Table1[value],Table1[IndicatorCode],Table1[[#This Row],[IndicatorCode]])</f>
        <v>72.66514008620689</v>
      </c>
      <c r="I10710" cm="1">
        <f t="array" ref="I10710">_xlfn.STDEV.P(IF(Table1[IndicatorCode]=Table1[[#This Row],[IndicatorCode]],Table1[value]))</f>
        <v>6.3409496564024987</v>
      </c>
      <c r="J10710">
        <f>(Table1[[#This Row],[value]] - Table1[[#This Row],[mean]]) / Table1[[#This Row],[std_dev]]</f>
        <v>0.52592436377820473</v>
      </c>
      <c r="K10710">
        <f>AVERAGEIF(Table1[CountryCode],Table1[[#This Row],[CountryCode]],Table1[z-score])</f>
        <v>-0.69917556524739866</v>
      </c>
      <c r="L10710" t="e">
        <f>VLOOKUP(Table1[[#This Row],[CountryCode]],[1]!Table1[#All],1,FALSE)</f>
        <v>#REF!</v>
      </c>
    </row>
    <row r="10711" spans="1:12" hidden="1" x14ac:dyDescent="0.3">
      <c r="A10711" t="s">
        <v>117</v>
      </c>
      <c r="B10711" t="s">
        <v>118</v>
      </c>
      <c r="C10711" t="s">
        <v>129</v>
      </c>
      <c r="D10711" t="s">
        <v>130</v>
      </c>
      <c r="E10711">
        <v>2014</v>
      </c>
      <c r="F10711" s="1">
        <v>76</v>
      </c>
      <c r="G10711">
        <v>2010</v>
      </c>
      <c r="H10711">
        <f>AVERAGEIFS(Table1[value],Table1[IndicatorCode],Table1[[#This Row],[IndicatorCode]])</f>
        <v>72.66514008620689</v>
      </c>
      <c r="I10711" cm="1">
        <f t="array" ref="I10711">_xlfn.STDEV.P(IF(Table1[IndicatorCode]=Table1[[#This Row],[IndicatorCode]],Table1[value]))</f>
        <v>6.3409496564024987</v>
      </c>
      <c r="J10711">
        <f>(Table1[[#This Row],[value]] - Table1[[#This Row],[mean]]) / Table1[[#This Row],[std_dev]]</f>
        <v>0.52592436377820473</v>
      </c>
      <c r="K10711">
        <f>AVERAGEIF(Table1[CountryCode],Table1[[#This Row],[CountryCode]],Table1[z-score])</f>
        <v>-0.69917556524739866</v>
      </c>
      <c r="L10711" t="e">
        <f>VLOOKUP(Table1[[#This Row],[CountryCode]],[1]!Table1[#All],1,FALSE)</f>
        <v>#REF!</v>
      </c>
    </row>
    <row r="10712" spans="1:12" hidden="1" x14ac:dyDescent="0.3">
      <c r="A10712" t="s">
        <v>117</v>
      </c>
      <c r="B10712" t="s">
        <v>118</v>
      </c>
      <c r="C10712" t="s">
        <v>129</v>
      </c>
      <c r="D10712" t="s">
        <v>130</v>
      </c>
      <c r="E10712">
        <v>2015</v>
      </c>
      <c r="F10712" s="1">
        <v>77</v>
      </c>
      <c r="G10712">
        <v>2010</v>
      </c>
      <c r="H10712">
        <f>AVERAGEIFS(Table1[value],Table1[IndicatorCode],Table1[[#This Row],[IndicatorCode]])</f>
        <v>72.66514008620689</v>
      </c>
      <c r="I10712" cm="1">
        <f t="array" ref="I10712">_xlfn.STDEV.P(IF(Table1[IndicatorCode]=Table1[[#This Row],[IndicatorCode]],Table1[value]))</f>
        <v>6.3409496564024987</v>
      </c>
      <c r="J10712">
        <f>(Table1[[#This Row],[value]] - Table1[[#This Row],[mean]]) / Table1[[#This Row],[std_dev]]</f>
        <v>0.68362944806164383</v>
      </c>
      <c r="K10712">
        <f>AVERAGEIF(Table1[CountryCode],Table1[[#This Row],[CountryCode]],Table1[z-score])</f>
        <v>-0.69917556524739866</v>
      </c>
      <c r="L10712" t="e">
        <f>VLOOKUP(Table1[[#This Row],[CountryCode]],[1]!Table1[#All],1,FALSE)</f>
        <v>#REF!</v>
      </c>
    </row>
    <row r="10713" spans="1:12" hidden="1" x14ac:dyDescent="0.3">
      <c r="A10713" t="s">
        <v>117</v>
      </c>
      <c r="B10713" t="s">
        <v>118</v>
      </c>
      <c r="C10713" t="s">
        <v>129</v>
      </c>
      <c r="D10713" t="s">
        <v>130</v>
      </c>
      <c r="E10713">
        <v>2016</v>
      </c>
      <c r="F10713" s="1">
        <v>77</v>
      </c>
      <c r="G10713">
        <v>2010</v>
      </c>
      <c r="H10713">
        <f>AVERAGEIFS(Table1[value],Table1[IndicatorCode],Table1[[#This Row],[IndicatorCode]])</f>
        <v>72.66514008620689</v>
      </c>
      <c r="I10713" cm="1">
        <f t="array" ref="I10713">_xlfn.STDEV.P(IF(Table1[IndicatorCode]=Table1[[#This Row],[IndicatorCode]],Table1[value]))</f>
        <v>6.3409496564024987</v>
      </c>
      <c r="J10713">
        <f>(Table1[[#This Row],[value]] - Table1[[#This Row],[mean]]) / Table1[[#This Row],[std_dev]]</f>
        <v>0.68362944806164383</v>
      </c>
      <c r="K10713">
        <f>AVERAGEIF(Table1[CountryCode],Table1[[#This Row],[CountryCode]],Table1[z-score])</f>
        <v>-0.69917556524739866</v>
      </c>
      <c r="L10713" t="e">
        <f>VLOOKUP(Table1[[#This Row],[CountryCode]],[1]!Table1[#All],1,FALSE)</f>
        <v>#REF!</v>
      </c>
    </row>
    <row r="10714" spans="1:12" hidden="1" x14ac:dyDescent="0.3">
      <c r="A10714" t="s">
        <v>117</v>
      </c>
      <c r="B10714" t="s">
        <v>118</v>
      </c>
      <c r="C10714" t="s">
        <v>129</v>
      </c>
      <c r="D10714" t="s">
        <v>130</v>
      </c>
      <c r="E10714">
        <v>2017</v>
      </c>
      <c r="F10714" s="1">
        <v>77</v>
      </c>
      <c r="G10714">
        <v>2020</v>
      </c>
      <c r="H10714">
        <f>AVERAGEIFS(Table1[value],Table1[IndicatorCode],Table1[[#This Row],[IndicatorCode]])</f>
        <v>72.66514008620689</v>
      </c>
      <c r="I10714" cm="1">
        <f t="array" ref="I10714">_xlfn.STDEV.P(IF(Table1[IndicatorCode]=Table1[[#This Row],[IndicatorCode]],Table1[value]))</f>
        <v>6.3409496564024987</v>
      </c>
      <c r="J10714">
        <f>(Table1[[#This Row],[value]] - Table1[[#This Row],[mean]]) / Table1[[#This Row],[std_dev]]</f>
        <v>0.68362944806164383</v>
      </c>
      <c r="K10714">
        <f>AVERAGEIF(Table1[CountryCode],Table1[[#This Row],[CountryCode]],Table1[z-score])</f>
        <v>-0.69917556524739866</v>
      </c>
      <c r="L10714" t="e">
        <f>VLOOKUP(Table1[[#This Row],[CountryCode]],[1]!Table1[#All],1,FALSE)</f>
        <v>#REF!</v>
      </c>
    </row>
    <row r="10715" spans="1:12" hidden="1" x14ac:dyDescent="0.3">
      <c r="A10715" t="s">
        <v>117</v>
      </c>
      <c r="B10715" t="s">
        <v>118</v>
      </c>
      <c r="C10715" t="s">
        <v>129</v>
      </c>
      <c r="D10715" t="s">
        <v>130</v>
      </c>
      <c r="E10715">
        <v>2018</v>
      </c>
      <c r="F10715" s="1">
        <v>77</v>
      </c>
      <c r="G10715">
        <v>2020</v>
      </c>
      <c r="H10715">
        <f>AVERAGEIFS(Table1[value],Table1[IndicatorCode],Table1[[#This Row],[IndicatorCode]])</f>
        <v>72.66514008620689</v>
      </c>
      <c r="I10715" cm="1">
        <f t="array" ref="I10715">_xlfn.STDEV.P(IF(Table1[IndicatorCode]=Table1[[#This Row],[IndicatorCode]],Table1[value]))</f>
        <v>6.3409496564024987</v>
      </c>
      <c r="J10715">
        <f>(Table1[[#This Row],[value]] - Table1[[#This Row],[mean]]) / Table1[[#This Row],[std_dev]]</f>
        <v>0.68362944806164383</v>
      </c>
      <c r="K10715">
        <f>AVERAGEIF(Table1[CountryCode],Table1[[#This Row],[CountryCode]],Table1[z-score])</f>
        <v>-0.69917556524739866</v>
      </c>
      <c r="L10715" t="e">
        <f>VLOOKUP(Table1[[#This Row],[CountryCode]],[1]!Table1[#All],1,FALSE)</f>
        <v>#REF!</v>
      </c>
    </row>
    <row r="10716" spans="1:12" hidden="1" x14ac:dyDescent="0.3">
      <c r="A10716" t="s">
        <v>117</v>
      </c>
      <c r="B10716" t="s">
        <v>118</v>
      </c>
      <c r="C10716" t="s">
        <v>129</v>
      </c>
      <c r="D10716" t="s">
        <v>130</v>
      </c>
      <c r="E10716">
        <v>2019</v>
      </c>
      <c r="F10716" s="1">
        <v>78</v>
      </c>
      <c r="G10716">
        <v>2020</v>
      </c>
      <c r="H10716">
        <f>AVERAGEIFS(Table1[value],Table1[IndicatorCode],Table1[[#This Row],[IndicatorCode]])</f>
        <v>72.66514008620689</v>
      </c>
      <c r="I10716" cm="1">
        <f t="array" ref="I10716">_xlfn.STDEV.P(IF(Table1[IndicatorCode]=Table1[[#This Row],[IndicatorCode]],Table1[value]))</f>
        <v>6.3409496564024987</v>
      </c>
      <c r="J10716">
        <f>(Table1[[#This Row],[value]] - Table1[[#This Row],[mean]]) / Table1[[#This Row],[std_dev]]</f>
        <v>0.84133453234508293</v>
      </c>
      <c r="K10716">
        <f>AVERAGEIF(Table1[CountryCode],Table1[[#This Row],[CountryCode]],Table1[z-score])</f>
        <v>-0.69917556524739866</v>
      </c>
      <c r="L10716" t="e">
        <f>VLOOKUP(Table1[[#This Row],[CountryCode]],[1]!Table1[#All],1,FALSE)</f>
        <v>#REF!</v>
      </c>
    </row>
    <row r="10717" spans="1:12" x14ac:dyDescent="0.3">
      <c r="A10717" t="s">
        <v>117</v>
      </c>
      <c r="B10717" t="s">
        <v>118</v>
      </c>
      <c r="C10717" t="s">
        <v>129</v>
      </c>
      <c r="D10717" t="s">
        <v>130</v>
      </c>
      <c r="E10717">
        <v>2020</v>
      </c>
      <c r="F10717" s="1">
        <v>77</v>
      </c>
      <c r="G10717">
        <v>2020</v>
      </c>
      <c r="H10717">
        <f>AVERAGEIFS(Table1[value],Table1[IndicatorCode],Table1[[#This Row],[IndicatorCode]])</f>
        <v>72.66514008620689</v>
      </c>
      <c r="I10717" cm="1">
        <f t="array" ref="I10717">_xlfn.STDEV.P(IF(Table1[IndicatorCode]=Table1[[#This Row],[IndicatorCode]],Table1[value]))</f>
        <v>6.3409496564024987</v>
      </c>
      <c r="J10717">
        <f>(Table1[[#This Row],[value]] - Table1[[#This Row],[mean]]) / Table1[[#This Row],[std_dev]]</f>
        <v>0.68362944806164383</v>
      </c>
      <c r="K10717">
        <f>AVERAGEIF(Table1[CountryCode],Table1[[#This Row],[CountryCode]],Table1[z-score])</f>
        <v>-0.69917556524739866</v>
      </c>
    </row>
    <row r="10718" spans="1:12" hidden="1" x14ac:dyDescent="0.3">
      <c r="A10718" t="s">
        <v>117</v>
      </c>
      <c r="B10718" t="s">
        <v>118</v>
      </c>
      <c r="C10718" t="s">
        <v>129</v>
      </c>
      <c r="D10718" t="s">
        <v>130</v>
      </c>
      <c r="E10718">
        <v>2021</v>
      </c>
      <c r="F10718" s="1">
        <v>76</v>
      </c>
      <c r="G10718">
        <v>1960</v>
      </c>
      <c r="H10718">
        <f>AVERAGEIFS(Table1[value],Table1[IndicatorCode],Table1[[#This Row],[IndicatorCode]])</f>
        <v>72.66514008620689</v>
      </c>
      <c r="I10718" cm="1">
        <f t="array" ref="I10718">_xlfn.STDEV.P(IF(Table1[IndicatorCode]=Table1[[#This Row],[IndicatorCode]],Table1[value]))</f>
        <v>6.3409496564024987</v>
      </c>
      <c r="J10718">
        <f>(Table1[[#This Row],[value]] - Table1[[#This Row],[mean]]) / Table1[[#This Row],[std_dev]]</f>
        <v>0.52592436377820473</v>
      </c>
      <c r="K10718">
        <f>AVERAGEIF(Table1[CountryCode],Table1[[#This Row],[CountryCode]],Table1[z-score])</f>
        <v>-0.69917556524739866</v>
      </c>
      <c r="L10718" t="e">
        <f>VLOOKUP(Table1[[#This Row],[CountryCode]],[1]!Table1[#All],1,FALSE)</f>
        <v>#REF!</v>
      </c>
    </row>
    <row r="10719" spans="1:12" hidden="1" x14ac:dyDescent="0.3">
      <c r="A10719" t="s">
        <v>117</v>
      </c>
      <c r="B10719" t="s">
        <v>118</v>
      </c>
      <c r="C10719" t="s">
        <v>129</v>
      </c>
      <c r="D10719" t="s">
        <v>130</v>
      </c>
      <c r="E10719">
        <v>2022</v>
      </c>
      <c r="F10719" s="1">
        <v>78</v>
      </c>
      <c r="G10719">
        <v>1960</v>
      </c>
      <c r="H10719">
        <f>AVERAGEIFS(Table1[value],Table1[IndicatorCode],Table1[[#This Row],[IndicatorCode]])</f>
        <v>72.66514008620689</v>
      </c>
      <c r="I10719" cm="1">
        <f t="array" ref="I10719">_xlfn.STDEV.P(IF(Table1[IndicatorCode]=Table1[[#This Row],[IndicatorCode]],Table1[value]))</f>
        <v>6.3409496564024987</v>
      </c>
      <c r="J10719">
        <f>(Table1[[#This Row],[value]] - Table1[[#This Row],[mean]]) / Table1[[#This Row],[std_dev]]</f>
        <v>0.84133453234508293</v>
      </c>
      <c r="K10719">
        <f>AVERAGEIF(Table1[CountryCode],Table1[[#This Row],[CountryCode]],Table1[z-score])</f>
        <v>-0.69917556524739866</v>
      </c>
      <c r="L10719" t="e">
        <f>VLOOKUP(Table1[[#This Row],[CountryCode]],[1]!Table1[#All],1,FALSE)</f>
        <v>#REF!</v>
      </c>
    </row>
    <row r="10720" spans="1:12" hidden="1" x14ac:dyDescent="0.3">
      <c r="A10720" t="s">
        <v>117</v>
      </c>
      <c r="B10720" t="s">
        <v>118</v>
      </c>
      <c r="C10720" t="s">
        <v>129</v>
      </c>
      <c r="D10720" t="s">
        <v>130</v>
      </c>
      <c r="E10720">
        <v>2023</v>
      </c>
      <c r="F10720" s="1">
        <v>77</v>
      </c>
      <c r="G10720">
        <v>1960</v>
      </c>
      <c r="H10720">
        <f>AVERAGEIFS(Table1[value],Table1[IndicatorCode],Table1[[#This Row],[IndicatorCode]])</f>
        <v>72.66514008620689</v>
      </c>
      <c r="I10720" cm="1">
        <f t="array" ref="I10720">_xlfn.STDEV.P(IF(Table1[IndicatorCode]=Table1[[#This Row],[IndicatorCode]],Table1[value]))</f>
        <v>6.3409496564024987</v>
      </c>
      <c r="J10720">
        <f>(Table1[[#This Row],[value]] - Table1[[#This Row],[mean]]) / Table1[[#This Row],[std_dev]]</f>
        <v>0.68362944806164383</v>
      </c>
      <c r="K10720">
        <f>AVERAGEIF(Table1[CountryCode],Table1[[#This Row],[CountryCode]],Table1[z-score])</f>
        <v>-0.69917556524739866</v>
      </c>
      <c r="L10720" t="e">
        <f>VLOOKUP(Table1[[#This Row],[CountryCode]],[1]!Table1[#All],1,FALSE)</f>
        <v>#REF!</v>
      </c>
    </row>
    <row r="10721" spans="1:12" hidden="1" x14ac:dyDescent="0.3">
      <c r="A10721" t="s">
        <v>119</v>
      </c>
      <c r="B10721" t="s">
        <v>120</v>
      </c>
      <c r="C10721" t="s">
        <v>129</v>
      </c>
      <c r="D10721" t="s">
        <v>130</v>
      </c>
      <c r="E10721">
        <v>1960</v>
      </c>
      <c r="F10721" s="1">
        <v>69</v>
      </c>
      <c r="G10721">
        <v>1960</v>
      </c>
      <c r="H10721">
        <f>AVERAGEIFS(Table1[value],Table1[IndicatorCode],Table1[[#This Row],[IndicatorCode]])</f>
        <v>72.66514008620689</v>
      </c>
      <c r="I10721" cm="1">
        <f t="array" ref="I10721">_xlfn.STDEV.P(IF(Table1[IndicatorCode]=Table1[[#This Row],[IndicatorCode]],Table1[value]))</f>
        <v>6.3409496564024987</v>
      </c>
      <c r="J10721">
        <f>(Table1[[#This Row],[value]] - Table1[[#This Row],[mean]]) / Table1[[#This Row],[std_dev]]</f>
        <v>-0.57801122620586864</v>
      </c>
      <c r="K10721">
        <f>AVERAGEIF(Table1[CountryCode],Table1[[#This Row],[CountryCode]],Table1[z-score])</f>
        <v>-0.21176470411950787</v>
      </c>
      <c r="L10721" t="e">
        <f>VLOOKUP(Table1[[#This Row],[CountryCode]],[1]!Table1[#All],1,FALSE)</f>
        <v>#REF!</v>
      </c>
    </row>
    <row r="10722" spans="1:12" hidden="1" x14ac:dyDescent="0.3">
      <c r="A10722" t="s">
        <v>119</v>
      </c>
      <c r="B10722" t="s">
        <v>120</v>
      </c>
      <c r="C10722" t="s">
        <v>129</v>
      </c>
      <c r="D10722" t="s">
        <v>130</v>
      </c>
      <c r="E10722">
        <v>1961</v>
      </c>
      <c r="F10722" s="1">
        <v>70</v>
      </c>
      <c r="G10722">
        <v>1960</v>
      </c>
      <c r="H10722">
        <f>AVERAGEIFS(Table1[value],Table1[IndicatorCode],Table1[[#This Row],[IndicatorCode]])</f>
        <v>72.66514008620689</v>
      </c>
      <c r="I10722" cm="1">
        <f t="array" ref="I10722">_xlfn.STDEV.P(IF(Table1[IndicatorCode]=Table1[[#This Row],[IndicatorCode]],Table1[value]))</f>
        <v>6.3409496564024987</v>
      </c>
      <c r="J10722">
        <f>(Table1[[#This Row],[value]] - Table1[[#This Row],[mean]]) / Table1[[#This Row],[std_dev]]</f>
        <v>-0.4203061419224296</v>
      </c>
      <c r="K10722">
        <f>AVERAGEIF(Table1[CountryCode],Table1[[#This Row],[CountryCode]],Table1[z-score])</f>
        <v>-0.21176470411950787</v>
      </c>
      <c r="L10722" t="e">
        <f>VLOOKUP(Table1[[#This Row],[CountryCode]],[1]!Table1[#All],1,FALSE)</f>
        <v>#REF!</v>
      </c>
    </row>
    <row r="10723" spans="1:12" hidden="1" x14ac:dyDescent="0.3">
      <c r="A10723" t="s">
        <v>119</v>
      </c>
      <c r="B10723" t="s">
        <v>120</v>
      </c>
      <c r="C10723" t="s">
        <v>129</v>
      </c>
      <c r="D10723" t="s">
        <v>130</v>
      </c>
      <c r="E10723">
        <v>1962</v>
      </c>
      <c r="F10723" s="1">
        <v>70</v>
      </c>
      <c r="G10723">
        <v>1960</v>
      </c>
      <c r="H10723">
        <f>AVERAGEIFS(Table1[value],Table1[IndicatorCode],Table1[[#This Row],[IndicatorCode]])</f>
        <v>72.66514008620689</v>
      </c>
      <c r="I10723" cm="1">
        <f t="array" ref="I10723">_xlfn.STDEV.P(IF(Table1[IndicatorCode]=Table1[[#This Row],[IndicatorCode]],Table1[value]))</f>
        <v>6.3409496564024987</v>
      </c>
      <c r="J10723">
        <f>(Table1[[#This Row],[value]] - Table1[[#This Row],[mean]]) / Table1[[#This Row],[std_dev]]</f>
        <v>-0.4203061419224296</v>
      </c>
      <c r="K10723">
        <f>AVERAGEIF(Table1[CountryCode],Table1[[#This Row],[CountryCode]],Table1[z-score])</f>
        <v>-0.21176470411950787</v>
      </c>
      <c r="L10723" t="e">
        <f>VLOOKUP(Table1[[#This Row],[CountryCode]],[1]!Table1[#All],1,FALSE)</f>
        <v>#REF!</v>
      </c>
    </row>
    <row r="10724" spans="1:12" hidden="1" x14ac:dyDescent="0.3">
      <c r="A10724" t="s">
        <v>119</v>
      </c>
      <c r="B10724" t="s">
        <v>120</v>
      </c>
      <c r="C10724" t="s">
        <v>129</v>
      </c>
      <c r="D10724" t="s">
        <v>130</v>
      </c>
      <c r="E10724">
        <v>1963</v>
      </c>
      <c r="F10724" s="1">
        <v>71</v>
      </c>
      <c r="G10724">
        <v>1960</v>
      </c>
      <c r="H10724">
        <f>AVERAGEIFS(Table1[value],Table1[IndicatorCode],Table1[[#This Row],[IndicatorCode]])</f>
        <v>72.66514008620689</v>
      </c>
      <c r="I10724" cm="1">
        <f t="array" ref="I10724">_xlfn.STDEV.P(IF(Table1[IndicatorCode]=Table1[[#This Row],[IndicatorCode]],Table1[value]))</f>
        <v>6.3409496564024987</v>
      </c>
      <c r="J10724">
        <f>(Table1[[#This Row],[value]] - Table1[[#This Row],[mean]]) / Table1[[#This Row],[std_dev]]</f>
        <v>-0.2626010576389905</v>
      </c>
      <c r="K10724">
        <f>AVERAGEIF(Table1[CountryCode],Table1[[#This Row],[CountryCode]],Table1[z-score])</f>
        <v>-0.21176470411950787</v>
      </c>
      <c r="L10724" t="e">
        <f>VLOOKUP(Table1[[#This Row],[CountryCode]],[1]!Table1[#All],1,FALSE)</f>
        <v>#REF!</v>
      </c>
    </row>
    <row r="10725" spans="1:12" hidden="1" x14ac:dyDescent="0.3">
      <c r="A10725" t="s">
        <v>119</v>
      </c>
      <c r="B10725" t="s">
        <v>120</v>
      </c>
      <c r="C10725" t="s">
        <v>129</v>
      </c>
      <c r="D10725" t="s">
        <v>130</v>
      </c>
      <c r="E10725">
        <v>1964</v>
      </c>
      <c r="F10725" s="1">
        <v>71</v>
      </c>
      <c r="G10725">
        <v>1960</v>
      </c>
      <c r="H10725">
        <f>AVERAGEIFS(Table1[value],Table1[IndicatorCode],Table1[[#This Row],[IndicatorCode]])</f>
        <v>72.66514008620689</v>
      </c>
      <c r="I10725" cm="1">
        <f t="array" ref="I10725">_xlfn.STDEV.P(IF(Table1[IndicatorCode]=Table1[[#This Row],[IndicatorCode]],Table1[value]))</f>
        <v>6.3409496564024987</v>
      </c>
      <c r="J10725">
        <f>(Table1[[#This Row],[value]] - Table1[[#This Row],[mean]]) / Table1[[#This Row],[std_dev]]</f>
        <v>-0.2626010576389905</v>
      </c>
      <c r="K10725">
        <f>AVERAGEIF(Table1[CountryCode],Table1[[#This Row],[CountryCode]],Table1[z-score])</f>
        <v>-0.21176470411950787</v>
      </c>
      <c r="L10725" t="e">
        <f>VLOOKUP(Table1[[#This Row],[CountryCode]],[1]!Table1[#All],1,FALSE)</f>
        <v>#REF!</v>
      </c>
    </row>
    <row r="10726" spans="1:12" hidden="1" x14ac:dyDescent="0.3">
      <c r="A10726" t="s">
        <v>119</v>
      </c>
      <c r="B10726" t="s">
        <v>120</v>
      </c>
      <c r="C10726" t="s">
        <v>129</v>
      </c>
      <c r="D10726" t="s">
        <v>130</v>
      </c>
      <c r="E10726">
        <v>1965</v>
      </c>
      <c r="F10726" s="1">
        <v>71</v>
      </c>
      <c r="G10726">
        <v>1960</v>
      </c>
      <c r="H10726">
        <f>AVERAGEIFS(Table1[value],Table1[IndicatorCode],Table1[[#This Row],[IndicatorCode]])</f>
        <v>72.66514008620689</v>
      </c>
      <c r="I10726" cm="1">
        <f t="array" ref="I10726">_xlfn.STDEV.P(IF(Table1[IndicatorCode]=Table1[[#This Row],[IndicatorCode]],Table1[value]))</f>
        <v>6.3409496564024987</v>
      </c>
      <c r="J10726">
        <f>(Table1[[#This Row],[value]] - Table1[[#This Row],[mean]]) / Table1[[#This Row],[std_dev]]</f>
        <v>-0.2626010576389905</v>
      </c>
      <c r="K10726">
        <f>AVERAGEIF(Table1[CountryCode],Table1[[#This Row],[CountryCode]],Table1[z-score])</f>
        <v>-0.21176470411950787</v>
      </c>
      <c r="L10726" t="e">
        <f>VLOOKUP(Table1[[#This Row],[CountryCode]],[1]!Table1[#All],1,FALSE)</f>
        <v>#REF!</v>
      </c>
    </row>
    <row r="10727" spans="1:12" hidden="1" x14ac:dyDescent="0.3">
      <c r="A10727" t="s">
        <v>119</v>
      </c>
      <c r="B10727" t="s">
        <v>120</v>
      </c>
      <c r="C10727" t="s">
        <v>129</v>
      </c>
      <c r="D10727" t="s">
        <v>130</v>
      </c>
      <c r="E10727">
        <v>1966</v>
      </c>
      <c r="F10727" s="1">
        <v>71</v>
      </c>
      <c r="G10727">
        <v>1960</v>
      </c>
      <c r="H10727">
        <f>AVERAGEIFS(Table1[value],Table1[IndicatorCode],Table1[[#This Row],[IndicatorCode]])</f>
        <v>72.66514008620689</v>
      </c>
      <c r="I10727" cm="1">
        <f t="array" ref="I10727">_xlfn.STDEV.P(IF(Table1[IndicatorCode]=Table1[[#This Row],[IndicatorCode]],Table1[value]))</f>
        <v>6.3409496564024987</v>
      </c>
      <c r="J10727">
        <f>(Table1[[#This Row],[value]] - Table1[[#This Row],[mean]]) / Table1[[#This Row],[std_dev]]</f>
        <v>-0.2626010576389905</v>
      </c>
      <c r="K10727">
        <f>AVERAGEIF(Table1[CountryCode],Table1[[#This Row],[CountryCode]],Table1[z-score])</f>
        <v>-0.21176470411950787</v>
      </c>
      <c r="L10727" t="e">
        <f>VLOOKUP(Table1[[#This Row],[CountryCode]],[1]!Table1[#All],1,FALSE)</f>
        <v>#REF!</v>
      </c>
    </row>
    <row r="10728" spans="1:12" hidden="1" x14ac:dyDescent="0.3">
      <c r="A10728" t="s">
        <v>119</v>
      </c>
      <c r="B10728" t="s">
        <v>120</v>
      </c>
      <c r="C10728" t="s">
        <v>129</v>
      </c>
      <c r="D10728" t="s">
        <v>130</v>
      </c>
      <c r="E10728">
        <v>1967</v>
      </c>
      <c r="F10728" s="1">
        <v>71</v>
      </c>
      <c r="G10728">
        <v>1970</v>
      </c>
      <c r="H10728">
        <f>AVERAGEIFS(Table1[value],Table1[IndicatorCode],Table1[[#This Row],[IndicatorCode]])</f>
        <v>72.66514008620689</v>
      </c>
      <c r="I10728" cm="1">
        <f t="array" ref="I10728">_xlfn.STDEV.P(IF(Table1[IndicatorCode]=Table1[[#This Row],[IndicatorCode]],Table1[value]))</f>
        <v>6.3409496564024987</v>
      </c>
      <c r="J10728">
        <f>(Table1[[#This Row],[value]] - Table1[[#This Row],[mean]]) / Table1[[#This Row],[std_dev]]</f>
        <v>-0.2626010576389905</v>
      </c>
      <c r="K10728">
        <f>AVERAGEIF(Table1[CountryCode],Table1[[#This Row],[CountryCode]],Table1[z-score])</f>
        <v>-0.21176470411950787</v>
      </c>
      <c r="L10728" t="e">
        <f>VLOOKUP(Table1[[#This Row],[CountryCode]],[1]!Table1[#All],1,FALSE)</f>
        <v>#REF!</v>
      </c>
    </row>
    <row r="10729" spans="1:12" hidden="1" x14ac:dyDescent="0.3">
      <c r="A10729" t="s">
        <v>119</v>
      </c>
      <c r="B10729" t="s">
        <v>120</v>
      </c>
      <c r="C10729" t="s">
        <v>129</v>
      </c>
      <c r="D10729" t="s">
        <v>130</v>
      </c>
      <c r="E10729">
        <v>1968</v>
      </c>
      <c r="F10729" s="1">
        <v>71</v>
      </c>
      <c r="G10729">
        <v>1970</v>
      </c>
      <c r="H10729">
        <f>AVERAGEIFS(Table1[value],Table1[IndicatorCode],Table1[[#This Row],[IndicatorCode]])</f>
        <v>72.66514008620689</v>
      </c>
      <c r="I10729" cm="1">
        <f t="array" ref="I10729">_xlfn.STDEV.P(IF(Table1[IndicatorCode]=Table1[[#This Row],[IndicatorCode]],Table1[value]))</f>
        <v>6.3409496564024987</v>
      </c>
      <c r="J10729">
        <f>(Table1[[#This Row],[value]] - Table1[[#This Row],[mean]]) / Table1[[#This Row],[std_dev]]</f>
        <v>-0.2626010576389905</v>
      </c>
      <c r="K10729">
        <f>AVERAGEIF(Table1[CountryCode],Table1[[#This Row],[CountryCode]],Table1[z-score])</f>
        <v>-0.21176470411950787</v>
      </c>
      <c r="L10729" t="e">
        <f>VLOOKUP(Table1[[#This Row],[CountryCode]],[1]!Table1[#All],1,FALSE)</f>
        <v>#REF!</v>
      </c>
    </row>
    <row r="10730" spans="1:12" hidden="1" x14ac:dyDescent="0.3">
      <c r="A10730" t="s">
        <v>119</v>
      </c>
      <c r="B10730" t="s">
        <v>120</v>
      </c>
      <c r="C10730" t="s">
        <v>129</v>
      </c>
      <c r="D10730" t="s">
        <v>130</v>
      </c>
      <c r="E10730">
        <v>1969</v>
      </c>
      <c r="F10730" s="1">
        <v>71</v>
      </c>
      <c r="G10730">
        <v>1970</v>
      </c>
      <c r="H10730">
        <f>AVERAGEIFS(Table1[value],Table1[IndicatorCode],Table1[[#This Row],[IndicatorCode]])</f>
        <v>72.66514008620689</v>
      </c>
      <c r="I10730" cm="1">
        <f t="array" ref="I10730">_xlfn.STDEV.P(IF(Table1[IndicatorCode]=Table1[[#This Row],[IndicatorCode]],Table1[value]))</f>
        <v>6.3409496564024987</v>
      </c>
      <c r="J10730">
        <f>(Table1[[#This Row],[value]] - Table1[[#This Row],[mean]]) / Table1[[#This Row],[std_dev]]</f>
        <v>-0.2626010576389905</v>
      </c>
      <c r="K10730">
        <f>AVERAGEIF(Table1[CountryCode],Table1[[#This Row],[CountryCode]],Table1[z-score])</f>
        <v>-0.21176470411950787</v>
      </c>
      <c r="L10730" t="e">
        <f>VLOOKUP(Table1[[#This Row],[CountryCode]],[1]!Table1[#All],1,FALSE)</f>
        <v>#REF!</v>
      </c>
    </row>
    <row r="10731" spans="1:12" hidden="1" x14ac:dyDescent="0.3">
      <c r="A10731" t="s">
        <v>119</v>
      </c>
      <c r="B10731" t="s">
        <v>120</v>
      </c>
      <c r="C10731" t="s">
        <v>129</v>
      </c>
      <c r="D10731" t="s">
        <v>130</v>
      </c>
      <c r="E10731">
        <v>1970</v>
      </c>
      <c r="F10731" s="1">
        <v>71</v>
      </c>
      <c r="G10731">
        <v>1970</v>
      </c>
      <c r="H10731">
        <f>AVERAGEIFS(Table1[value],Table1[IndicatorCode],Table1[[#This Row],[IndicatorCode]])</f>
        <v>72.66514008620689</v>
      </c>
      <c r="I10731" cm="1">
        <f t="array" ref="I10731">_xlfn.STDEV.P(IF(Table1[IndicatorCode]=Table1[[#This Row],[IndicatorCode]],Table1[value]))</f>
        <v>6.3409496564024987</v>
      </c>
      <c r="J10731">
        <f>(Table1[[#This Row],[value]] - Table1[[#This Row],[mean]]) / Table1[[#This Row],[std_dev]]</f>
        <v>-0.2626010576389905</v>
      </c>
      <c r="K10731">
        <f>AVERAGEIF(Table1[CountryCode],Table1[[#This Row],[CountryCode]],Table1[z-score])</f>
        <v>-0.21176470411950787</v>
      </c>
      <c r="L10731" t="e">
        <f>VLOOKUP(Table1[[#This Row],[CountryCode]],[1]!Table1[#All],1,FALSE)</f>
        <v>#REF!</v>
      </c>
    </row>
    <row r="10732" spans="1:12" hidden="1" x14ac:dyDescent="0.3">
      <c r="A10732" t="s">
        <v>119</v>
      </c>
      <c r="B10732" t="s">
        <v>120</v>
      </c>
      <c r="C10732" t="s">
        <v>129</v>
      </c>
      <c r="D10732" t="s">
        <v>130</v>
      </c>
      <c r="E10732">
        <v>1971</v>
      </c>
      <c r="F10732" s="1">
        <v>71</v>
      </c>
      <c r="G10732">
        <v>1970</v>
      </c>
      <c r="H10732">
        <f>AVERAGEIFS(Table1[value],Table1[IndicatorCode],Table1[[#This Row],[IndicatorCode]])</f>
        <v>72.66514008620689</v>
      </c>
      <c r="I10732" cm="1">
        <f t="array" ref="I10732">_xlfn.STDEV.P(IF(Table1[IndicatorCode]=Table1[[#This Row],[IndicatorCode]],Table1[value]))</f>
        <v>6.3409496564024987</v>
      </c>
      <c r="J10732">
        <f>(Table1[[#This Row],[value]] - Table1[[#This Row],[mean]]) / Table1[[#This Row],[std_dev]]</f>
        <v>-0.2626010576389905</v>
      </c>
      <c r="K10732">
        <f>AVERAGEIF(Table1[CountryCode],Table1[[#This Row],[CountryCode]],Table1[z-score])</f>
        <v>-0.21176470411950787</v>
      </c>
      <c r="L10732" t="e">
        <f>VLOOKUP(Table1[[#This Row],[CountryCode]],[1]!Table1[#All],1,FALSE)</f>
        <v>#REF!</v>
      </c>
    </row>
    <row r="10733" spans="1:12" hidden="1" x14ac:dyDescent="0.3">
      <c r="A10733" t="s">
        <v>119</v>
      </c>
      <c r="B10733" t="s">
        <v>120</v>
      </c>
      <c r="C10733" t="s">
        <v>129</v>
      </c>
      <c r="D10733" t="s">
        <v>130</v>
      </c>
      <c r="E10733">
        <v>1972</v>
      </c>
      <c r="F10733" s="1">
        <v>71</v>
      </c>
      <c r="G10733">
        <v>1970</v>
      </c>
      <c r="H10733">
        <f>AVERAGEIFS(Table1[value],Table1[IndicatorCode],Table1[[#This Row],[IndicatorCode]])</f>
        <v>72.66514008620689</v>
      </c>
      <c r="I10733" cm="1">
        <f t="array" ref="I10733">_xlfn.STDEV.P(IF(Table1[IndicatorCode]=Table1[[#This Row],[IndicatorCode]],Table1[value]))</f>
        <v>6.3409496564024987</v>
      </c>
      <c r="J10733">
        <f>(Table1[[#This Row],[value]] - Table1[[#This Row],[mean]]) / Table1[[#This Row],[std_dev]]</f>
        <v>-0.2626010576389905</v>
      </c>
      <c r="K10733">
        <f>AVERAGEIF(Table1[CountryCode],Table1[[#This Row],[CountryCode]],Table1[z-score])</f>
        <v>-0.21176470411950787</v>
      </c>
      <c r="L10733" t="e">
        <f>VLOOKUP(Table1[[#This Row],[CountryCode]],[1]!Table1[#All],1,FALSE)</f>
        <v>#REF!</v>
      </c>
    </row>
    <row r="10734" spans="1:12" hidden="1" x14ac:dyDescent="0.3">
      <c r="A10734" t="s">
        <v>119</v>
      </c>
      <c r="B10734" t="s">
        <v>120</v>
      </c>
      <c r="C10734" t="s">
        <v>129</v>
      </c>
      <c r="D10734" t="s">
        <v>130</v>
      </c>
      <c r="E10734">
        <v>1973</v>
      </c>
      <c r="F10734" s="1">
        <v>71</v>
      </c>
      <c r="G10734">
        <v>1970</v>
      </c>
      <c r="H10734">
        <f>AVERAGEIFS(Table1[value],Table1[IndicatorCode],Table1[[#This Row],[IndicatorCode]])</f>
        <v>72.66514008620689</v>
      </c>
      <c r="I10734" cm="1">
        <f t="array" ref="I10734">_xlfn.STDEV.P(IF(Table1[IndicatorCode]=Table1[[#This Row],[IndicatorCode]],Table1[value]))</f>
        <v>6.3409496564024987</v>
      </c>
      <c r="J10734">
        <f>(Table1[[#This Row],[value]] - Table1[[#This Row],[mean]]) / Table1[[#This Row],[std_dev]]</f>
        <v>-0.2626010576389905</v>
      </c>
      <c r="K10734">
        <f>AVERAGEIF(Table1[CountryCode],Table1[[#This Row],[CountryCode]],Table1[z-score])</f>
        <v>-0.21176470411950787</v>
      </c>
      <c r="L10734" t="e">
        <f>VLOOKUP(Table1[[#This Row],[CountryCode]],[1]!Table1[#All],1,FALSE)</f>
        <v>#REF!</v>
      </c>
    </row>
    <row r="10735" spans="1:12" hidden="1" x14ac:dyDescent="0.3">
      <c r="A10735" t="s">
        <v>119</v>
      </c>
      <c r="B10735" t="s">
        <v>120</v>
      </c>
      <c r="C10735" t="s">
        <v>129</v>
      </c>
      <c r="D10735" t="s">
        <v>130</v>
      </c>
      <c r="E10735">
        <v>1974</v>
      </c>
      <c r="F10735" s="1">
        <v>71</v>
      </c>
      <c r="G10735">
        <v>1970</v>
      </c>
      <c r="H10735">
        <f>AVERAGEIFS(Table1[value],Table1[IndicatorCode],Table1[[#This Row],[IndicatorCode]])</f>
        <v>72.66514008620689</v>
      </c>
      <c r="I10735" cm="1">
        <f t="array" ref="I10735">_xlfn.STDEV.P(IF(Table1[IndicatorCode]=Table1[[#This Row],[IndicatorCode]],Table1[value]))</f>
        <v>6.3409496564024987</v>
      </c>
      <c r="J10735">
        <f>(Table1[[#This Row],[value]] - Table1[[#This Row],[mean]]) / Table1[[#This Row],[std_dev]]</f>
        <v>-0.2626010576389905</v>
      </c>
      <c r="K10735">
        <f>AVERAGEIF(Table1[CountryCode],Table1[[#This Row],[CountryCode]],Table1[z-score])</f>
        <v>-0.21176470411950787</v>
      </c>
      <c r="L10735" t="e">
        <f>VLOOKUP(Table1[[#This Row],[CountryCode]],[1]!Table1[#All],1,FALSE)</f>
        <v>#REF!</v>
      </c>
    </row>
    <row r="10736" spans="1:12" hidden="1" x14ac:dyDescent="0.3">
      <c r="A10736" t="s">
        <v>119</v>
      </c>
      <c r="B10736" t="s">
        <v>120</v>
      </c>
      <c r="C10736" t="s">
        <v>129</v>
      </c>
      <c r="D10736" t="s">
        <v>130</v>
      </c>
      <c r="E10736">
        <v>1975</v>
      </c>
      <c r="F10736" s="1">
        <v>70</v>
      </c>
      <c r="G10736">
        <v>1970</v>
      </c>
      <c r="H10736">
        <f>AVERAGEIFS(Table1[value],Table1[IndicatorCode],Table1[[#This Row],[IndicatorCode]])</f>
        <v>72.66514008620689</v>
      </c>
      <c r="I10736" cm="1">
        <f t="array" ref="I10736">_xlfn.STDEV.P(IF(Table1[IndicatorCode]=Table1[[#This Row],[IndicatorCode]],Table1[value]))</f>
        <v>6.3409496564024987</v>
      </c>
      <c r="J10736">
        <f>(Table1[[#This Row],[value]] - Table1[[#This Row],[mean]]) / Table1[[#This Row],[std_dev]]</f>
        <v>-0.4203061419224296</v>
      </c>
      <c r="K10736">
        <f>AVERAGEIF(Table1[CountryCode],Table1[[#This Row],[CountryCode]],Table1[z-score])</f>
        <v>-0.21176470411950787</v>
      </c>
      <c r="L10736" t="e">
        <f>VLOOKUP(Table1[[#This Row],[CountryCode]],[1]!Table1[#All],1,FALSE)</f>
        <v>#REF!</v>
      </c>
    </row>
    <row r="10737" spans="1:12" hidden="1" x14ac:dyDescent="0.3">
      <c r="A10737" t="s">
        <v>119</v>
      </c>
      <c r="B10737" t="s">
        <v>120</v>
      </c>
      <c r="C10737" t="s">
        <v>129</v>
      </c>
      <c r="D10737" t="s">
        <v>130</v>
      </c>
      <c r="E10737">
        <v>1976</v>
      </c>
      <c r="F10737" s="1">
        <v>70</v>
      </c>
      <c r="G10737">
        <v>1970</v>
      </c>
      <c r="H10737">
        <f>AVERAGEIFS(Table1[value],Table1[IndicatorCode],Table1[[#This Row],[IndicatorCode]])</f>
        <v>72.66514008620689</v>
      </c>
      <c r="I10737" cm="1">
        <f t="array" ref="I10737">_xlfn.STDEV.P(IF(Table1[IndicatorCode]=Table1[[#This Row],[IndicatorCode]],Table1[value]))</f>
        <v>6.3409496564024987</v>
      </c>
      <c r="J10737">
        <f>(Table1[[#This Row],[value]] - Table1[[#This Row],[mean]]) / Table1[[#This Row],[std_dev]]</f>
        <v>-0.4203061419224296</v>
      </c>
      <c r="K10737">
        <f>AVERAGEIF(Table1[CountryCode],Table1[[#This Row],[CountryCode]],Table1[z-score])</f>
        <v>-0.21176470411950787</v>
      </c>
      <c r="L10737" t="e">
        <f>VLOOKUP(Table1[[#This Row],[CountryCode]],[1]!Table1[#All],1,FALSE)</f>
        <v>#REF!</v>
      </c>
    </row>
    <row r="10738" spans="1:12" hidden="1" x14ac:dyDescent="0.3">
      <c r="A10738" t="s">
        <v>119</v>
      </c>
      <c r="B10738" t="s">
        <v>120</v>
      </c>
      <c r="C10738" t="s">
        <v>129</v>
      </c>
      <c r="D10738" t="s">
        <v>130</v>
      </c>
      <c r="E10738">
        <v>1977</v>
      </c>
      <c r="F10738" s="1">
        <v>70</v>
      </c>
      <c r="G10738">
        <v>1980</v>
      </c>
      <c r="H10738">
        <f>AVERAGEIFS(Table1[value],Table1[IndicatorCode],Table1[[#This Row],[IndicatorCode]])</f>
        <v>72.66514008620689</v>
      </c>
      <c r="I10738" cm="1">
        <f t="array" ref="I10738">_xlfn.STDEV.P(IF(Table1[IndicatorCode]=Table1[[#This Row],[IndicatorCode]],Table1[value]))</f>
        <v>6.3409496564024987</v>
      </c>
      <c r="J10738">
        <f>(Table1[[#This Row],[value]] - Table1[[#This Row],[mean]]) / Table1[[#This Row],[std_dev]]</f>
        <v>-0.4203061419224296</v>
      </c>
      <c r="K10738">
        <f>AVERAGEIF(Table1[CountryCode],Table1[[#This Row],[CountryCode]],Table1[z-score])</f>
        <v>-0.21176470411950787</v>
      </c>
      <c r="L10738" t="e">
        <f>VLOOKUP(Table1[[#This Row],[CountryCode]],[1]!Table1[#All],1,FALSE)</f>
        <v>#REF!</v>
      </c>
    </row>
    <row r="10739" spans="1:12" hidden="1" x14ac:dyDescent="0.3">
      <c r="A10739" t="s">
        <v>119</v>
      </c>
      <c r="B10739" t="s">
        <v>120</v>
      </c>
      <c r="C10739" t="s">
        <v>129</v>
      </c>
      <c r="D10739" t="s">
        <v>130</v>
      </c>
      <c r="E10739">
        <v>1978</v>
      </c>
      <c r="F10739" s="1">
        <v>70</v>
      </c>
      <c r="G10739">
        <v>1980</v>
      </c>
      <c r="H10739">
        <f>AVERAGEIFS(Table1[value],Table1[IndicatorCode],Table1[[#This Row],[IndicatorCode]])</f>
        <v>72.66514008620689</v>
      </c>
      <c r="I10739" cm="1">
        <f t="array" ref="I10739">_xlfn.STDEV.P(IF(Table1[IndicatorCode]=Table1[[#This Row],[IndicatorCode]],Table1[value]))</f>
        <v>6.3409496564024987</v>
      </c>
      <c r="J10739">
        <f>(Table1[[#This Row],[value]] - Table1[[#This Row],[mean]]) / Table1[[#This Row],[std_dev]]</f>
        <v>-0.4203061419224296</v>
      </c>
      <c r="K10739">
        <f>AVERAGEIF(Table1[CountryCode],Table1[[#This Row],[CountryCode]],Table1[z-score])</f>
        <v>-0.21176470411950787</v>
      </c>
      <c r="L10739" t="e">
        <f>VLOOKUP(Table1[[#This Row],[CountryCode]],[1]!Table1[#All],1,FALSE)</f>
        <v>#REF!</v>
      </c>
    </row>
    <row r="10740" spans="1:12" hidden="1" x14ac:dyDescent="0.3">
      <c r="A10740" t="s">
        <v>119</v>
      </c>
      <c r="B10740" t="s">
        <v>120</v>
      </c>
      <c r="C10740" t="s">
        <v>129</v>
      </c>
      <c r="D10740" t="s">
        <v>130</v>
      </c>
      <c r="E10740">
        <v>1979</v>
      </c>
      <c r="F10740" s="1">
        <v>70</v>
      </c>
      <c r="G10740">
        <v>1980</v>
      </c>
      <c r="H10740">
        <f>AVERAGEIFS(Table1[value],Table1[IndicatorCode],Table1[[#This Row],[IndicatorCode]])</f>
        <v>72.66514008620689</v>
      </c>
      <c r="I10740" cm="1">
        <f t="array" ref="I10740">_xlfn.STDEV.P(IF(Table1[IndicatorCode]=Table1[[#This Row],[IndicatorCode]],Table1[value]))</f>
        <v>6.3409496564024987</v>
      </c>
      <c r="J10740">
        <f>(Table1[[#This Row],[value]] - Table1[[#This Row],[mean]]) / Table1[[#This Row],[std_dev]]</f>
        <v>-0.4203061419224296</v>
      </c>
      <c r="K10740">
        <f>AVERAGEIF(Table1[CountryCode],Table1[[#This Row],[CountryCode]],Table1[z-score])</f>
        <v>-0.21176470411950787</v>
      </c>
      <c r="L10740" t="e">
        <f>VLOOKUP(Table1[[#This Row],[CountryCode]],[1]!Table1[#All],1,FALSE)</f>
        <v>#REF!</v>
      </c>
    </row>
    <row r="10741" spans="1:12" hidden="1" x14ac:dyDescent="0.3">
      <c r="A10741" t="s">
        <v>119</v>
      </c>
      <c r="B10741" t="s">
        <v>120</v>
      </c>
      <c r="C10741" t="s">
        <v>129</v>
      </c>
      <c r="D10741" t="s">
        <v>130</v>
      </c>
      <c r="E10741">
        <v>1980</v>
      </c>
      <c r="F10741" s="1">
        <v>70</v>
      </c>
      <c r="G10741">
        <v>1980</v>
      </c>
      <c r="H10741">
        <f>AVERAGEIFS(Table1[value],Table1[IndicatorCode],Table1[[#This Row],[IndicatorCode]])</f>
        <v>72.66514008620689</v>
      </c>
      <c r="I10741" cm="1">
        <f t="array" ref="I10741">_xlfn.STDEV.P(IF(Table1[IndicatorCode]=Table1[[#This Row],[IndicatorCode]],Table1[value]))</f>
        <v>6.3409496564024987</v>
      </c>
      <c r="J10741">
        <f>(Table1[[#This Row],[value]] - Table1[[#This Row],[mean]]) / Table1[[#This Row],[std_dev]]</f>
        <v>-0.4203061419224296</v>
      </c>
      <c r="K10741">
        <f>AVERAGEIF(Table1[CountryCode],Table1[[#This Row],[CountryCode]],Table1[z-score])</f>
        <v>-0.21176470411950787</v>
      </c>
      <c r="L10741" t="e">
        <f>VLOOKUP(Table1[[#This Row],[CountryCode]],[1]!Table1[#All],1,FALSE)</f>
        <v>#REF!</v>
      </c>
    </row>
    <row r="10742" spans="1:12" hidden="1" x14ac:dyDescent="0.3">
      <c r="A10742" t="s">
        <v>119</v>
      </c>
      <c r="B10742" t="s">
        <v>120</v>
      </c>
      <c r="C10742" t="s">
        <v>129</v>
      </c>
      <c r="D10742" t="s">
        <v>130</v>
      </c>
      <c r="E10742">
        <v>1981</v>
      </c>
      <c r="F10742" s="1">
        <v>70</v>
      </c>
      <c r="G10742">
        <v>1980</v>
      </c>
      <c r="H10742">
        <f>AVERAGEIFS(Table1[value],Table1[IndicatorCode],Table1[[#This Row],[IndicatorCode]])</f>
        <v>72.66514008620689</v>
      </c>
      <c r="I10742" cm="1">
        <f t="array" ref="I10742">_xlfn.STDEV.P(IF(Table1[IndicatorCode]=Table1[[#This Row],[IndicatorCode]],Table1[value]))</f>
        <v>6.3409496564024987</v>
      </c>
      <c r="J10742">
        <f>(Table1[[#This Row],[value]] - Table1[[#This Row],[mean]]) / Table1[[#This Row],[std_dev]]</f>
        <v>-0.4203061419224296</v>
      </c>
      <c r="K10742">
        <f>AVERAGEIF(Table1[CountryCode],Table1[[#This Row],[CountryCode]],Table1[z-score])</f>
        <v>-0.21176470411950787</v>
      </c>
      <c r="L10742" t="e">
        <f>VLOOKUP(Table1[[#This Row],[CountryCode]],[1]!Table1[#All],1,FALSE)</f>
        <v>#REF!</v>
      </c>
    </row>
    <row r="10743" spans="1:12" hidden="1" x14ac:dyDescent="0.3">
      <c r="A10743" t="s">
        <v>119</v>
      </c>
      <c r="B10743" t="s">
        <v>120</v>
      </c>
      <c r="C10743" t="s">
        <v>129</v>
      </c>
      <c r="D10743" t="s">
        <v>130</v>
      </c>
      <c r="E10743">
        <v>1982</v>
      </c>
      <c r="F10743" s="1">
        <v>70</v>
      </c>
      <c r="G10743">
        <v>1980</v>
      </c>
      <c r="H10743">
        <f>AVERAGEIFS(Table1[value],Table1[IndicatorCode],Table1[[#This Row],[IndicatorCode]])</f>
        <v>72.66514008620689</v>
      </c>
      <c r="I10743" cm="1">
        <f t="array" ref="I10743">_xlfn.STDEV.P(IF(Table1[IndicatorCode]=Table1[[#This Row],[IndicatorCode]],Table1[value]))</f>
        <v>6.3409496564024987</v>
      </c>
      <c r="J10743">
        <f>(Table1[[#This Row],[value]] - Table1[[#This Row],[mean]]) / Table1[[#This Row],[std_dev]]</f>
        <v>-0.4203061419224296</v>
      </c>
      <c r="K10743">
        <f>AVERAGEIF(Table1[CountryCode],Table1[[#This Row],[CountryCode]],Table1[z-score])</f>
        <v>-0.21176470411950787</v>
      </c>
      <c r="L10743" t="e">
        <f>VLOOKUP(Table1[[#This Row],[CountryCode]],[1]!Table1[#All],1,FALSE)</f>
        <v>#REF!</v>
      </c>
    </row>
    <row r="10744" spans="1:12" hidden="1" x14ac:dyDescent="0.3">
      <c r="A10744" t="s">
        <v>119</v>
      </c>
      <c r="B10744" t="s">
        <v>120</v>
      </c>
      <c r="C10744" t="s">
        <v>129</v>
      </c>
      <c r="D10744" t="s">
        <v>130</v>
      </c>
      <c r="E10744">
        <v>1983</v>
      </c>
      <c r="F10744" s="1">
        <v>70</v>
      </c>
      <c r="G10744">
        <v>1980</v>
      </c>
      <c r="H10744">
        <f>AVERAGEIFS(Table1[value],Table1[IndicatorCode],Table1[[#This Row],[IndicatorCode]])</f>
        <v>72.66514008620689</v>
      </c>
      <c r="I10744" cm="1">
        <f t="array" ref="I10744">_xlfn.STDEV.P(IF(Table1[IndicatorCode]=Table1[[#This Row],[IndicatorCode]],Table1[value]))</f>
        <v>6.3409496564024987</v>
      </c>
      <c r="J10744">
        <f>(Table1[[#This Row],[value]] - Table1[[#This Row],[mean]]) / Table1[[#This Row],[std_dev]]</f>
        <v>-0.4203061419224296</v>
      </c>
      <c r="K10744">
        <f>AVERAGEIF(Table1[CountryCode],Table1[[#This Row],[CountryCode]],Table1[z-score])</f>
        <v>-0.21176470411950787</v>
      </c>
      <c r="L10744" t="e">
        <f>VLOOKUP(Table1[[#This Row],[CountryCode]],[1]!Table1[#All],1,FALSE)</f>
        <v>#REF!</v>
      </c>
    </row>
    <row r="10745" spans="1:12" hidden="1" x14ac:dyDescent="0.3">
      <c r="A10745" t="s">
        <v>119</v>
      </c>
      <c r="B10745" t="s">
        <v>120</v>
      </c>
      <c r="C10745" t="s">
        <v>129</v>
      </c>
      <c r="D10745" t="s">
        <v>130</v>
      </c>
      <c r="E10745">
        <v>1984</v>
      </c>
      <c r="F10745" s="1">
        <v>70</v>
      </c>
      <c r="G10745">
        <v>1980</v>
      </c>
      <c r="H10745">
        <f>AVERAGEIFS(Table1[value],Table1[IndicatorCode],Table1[[#This Row],[IndicatorCode]])</f>
        <v>72.66514008620689</v>
      </c>
      <c r="I10745" cm="1">
        <f t="array" ref="I10745">_xlfn.STDEV.P(IF(Table1[IndicatorCode]=Table1[[#This Row],[IndicatorCode]],Table1[value]))</f>
        <v>6.3409496564024987</v>
      </c>
      <c r="J10745">
        <f>(Table1[[#This Row],[value]] - Table1[[#This Row],[mean]]) / Table1[[#This Row],[std_dev]]</f>
        <v>-0.4203061419224296</v>
      </c>
      <c r="K10745">
        <f>AVERAGEIF(Table1[CountryCode],Table1[[#This Row],[CountryCode]],Table1[z-score])</f>
        <v>-0.21176470411950787</v>
      </c>
      <c r="L10745" t="e">
        <f>VLOOKUP(Table1[[#This Row],[CountryCode]],[1]!Table1[#All],1,FALSE)</f>
        <v>#REF!</v>
      </c>
    </row>
    <row r="10746" spans="1:12" hidden="1" x14ac:dyDescent="0.3">
      <c r="A10746" t="s">
        <v>119</v>
      </c>
      <c r="B10746" t="s">
        <v>120</v>
      </c>
      <c r="C10746" t="s">
        <v>129</v>
      </c>
      <c r="D10746" t="s">
        <v>130</v>
      </c>
      <c r="E10746">
        <v>1985</v>
      </c>
      <c r="F10746" s="1">
        <v>70</v>
      </c>
      <c r="G10746">
        <v>1980</v>
      </c>
      <c r="H10746">
        <f>AVERAGEIFS(Table1[value],Table1[IndicatorCode],Table1[[#This Row],[IndicatorCode]])</f>
        <v>72.66514008620689</v>
      </c>
      <c r="I10746" cm="1">
        <f t="array" ref="I10746">_xlfn.STDEV.P(IF(Table1[IndicatorCode]=Table1[[#This Row],[IndicatorCode]],Table1[value]))</f>
        <v>6.3409496564024987</v>
      </c>
      <c r="J10746">
        <f>(Table1[[#This Row],[value]] - Table1[[#This Row],[mean]]) / Table1[[#This Row],[std_dev]]</f>
        <v>-0.4203061419224296</v>
      </c>
      <c r="K10746">
        <f>AVERAGEIF(Table1[CountryCode],Table1[[#This Row],[CountryCode]],Table1[z-score])</f>
        <v>-0.21176470411950787</v>
      </c>
      <c r="L10746" t="e">
        <f>VLOOKUP(Table1[[#This Row],[CountryCode]],[1]!Table1[#All],1,FALSE)</f>
        <v>#REF!</v>
      </c>
    </row>
    <row r="10747" spans="1:12" hidden="1" x14ac:dyDescent="0.3">
      <c r="A10747" t="s">
        <v>119</v>
      </c>
      <c r="B10747" t="s">
        <v>120</v>
      </c>
      <c r="C10747" t="s">
        <v>129</v>
      </c>
      <c r="D10747" t="s">
        <v>130</v>
      </c>
      <c r="E10747">
        <v>1986</v>
      </c>
      <c r="F10747" s="1">
        <v>71</v>
      </c>
      <c r="G10747">
        <v>1980</v>
      </c>
      <c r="H10747">
        <f>AVERAGEIFS(Table1[value],Table1[IndicatorCode],Table1[[#This Row],[IndicatorCode]])</f>
        <v>72.66514008620689</v>
      </c>
      <c r="I10747" cm="1">
        <f t="array" ref="I10747">_xlfn.STDEV.P(IF(Table1[IndicatorCode]=Table1[[#This Row],[IndicatorCode]],Table1[value]))</f>
        <v>6.3409496564024987</v>
      </c>
      <c r="J10747">
        <f>(Table1[[#This Row],[value]] - Table1[[#This Row],[mean]]) / Table1[[#This Row],[std_dev]]</f>
        <v>-0.2626010576389905</v>
      </c>
      <c r="K10747">
        <f>AVERAGEIF(Table1[CountryCode],Table1[[#This Row],[CountryCode]],Table1[z-score])</f>
        <v>-0.21176470411950787</v>
      </c>
      <c r="L10747" t="e">
        <f>VLOOKUP(Table1[[#This Row],[CountryCode]],[1]!Table1[#All],1,FALSE)</f>
        <v>#REF!</v>
      </c>
    </row>
    <row r="10748" spans="1:12" hidden="1" x14ac:dyDescent="0.3">
      <c r="A10748" t="s">
        <v>119</v>
      </c>
      <c r="B10748" t="s">
        <v>120</v>
      </c>
      <c r="C10748" t="s">
        <v>129</v>
      </c>
      <c r="D10748" t="s">
        <v>130</v>
      </c>
      <c r="E10748">
        <v>1987</v>
      </c>
      <c r="F10748" s="1">
        <v>71</v>
      </c>
      <c r="G10748">
        <v>1990</v>
      </c>
      <c r="H10748">
        <f>AVERAGEIFS(Table1[value],Table1[IndicatorCode],Table1[[#This Row],[IndicatorCode]])</f>
        <v>72.66514008620689</v>
      </c>
      <c r="I10748" cm="1">
        <f t="array" ref="I10748">_xlfn.STDEV.P(IF(Table1[IndicatorCode]=Table1[[#This Row],[IndicatorCode]],Table1[value]))</f>
        <v>6.3409496564024987</v>
      </c>
      <c r="J10748">
        <f>(Table1[[#This Row],[value]] - Table1[[#This Row],[mean]]) / Table1[[#This Row],[std_dev]]</f>
        <v>-0.2626010576389905</v>
      </c>
      <c r="K10748">
        <f>AVERAGEIF(Table1[CountryCode],Table1[[#This Row],[CountryCode]],Table1[z-score])</f>
        <v>-0.21176470411950787</v>
      </c>
      <c r="L10748" t="e">
        <f>VLOOKUP(Table1[[#This Row],[CountryCode]],[1]!Table1[#All],1,FALSE)</f>
        <v>#REF!</v>
      </c>
    </row>
    <row r="10749" spans="1:12" hidden="1" x14ac:dyDescent="0.3">
      <c r="A10749" t="s">
        <v>119</v>
      </c>
      <c r="B10749" t="s">
        <v>120</v>
      </c>
      <c r="C10749" t="s">
        <v>129</v>
      </c>
      <c r="D10749" t="s">
        <v>130</v>
      </c>
      <c r="E10749">
        <v>1988</v>
      </c>
      <c r="F10749" s="1">
        <v>71</v>
      </c>
      <c r="G10749">
        <v>1990</v>
      </c>
      <c r="H10749">
        <f>AVERAGEIFS(Table1[value],Table1[IndicatorCode],Table1[[#This Row],[IndicatorCode]])</f>
        <v>72.66514008620689</v>
      </c>
      <c r="I10749" cm="1">
        <f t="array" ref="I10749">_xlfn.STDEV.P(IF(Table1[IndicatorCode]=Table1[[#This Row],[IndicatorCode]],Table1[value]))</f>
        <v>6.3409496564024987</v>
      </c>
      <c r="J10749">
        <f>(Table1[[#This Row],[value]] - Table1[[#This Row],[mean]]) / Table1[[#This Row],[std_dev]]</f>
        <v>-0.2626010576389905</v>
      </c>
      <c r="K10749">
        <f>AVERAGEIF(Table1[CountryCode],Table1[[#This Row],[CountryCode]],Table1[z-score])</f>
        <v>-0.21176470411950787</v>
      </c>
      <c r="L10749" t="e">
        <f>VLOOKUP(Table1[[#This Row],[CountryCode]],[1]!Table1[#All],1,FALSE)</f>
        <v>#REF!</v>
      </c>
    </row>
    <row r="10750" spans="1:12" hidden="1" x14ac:dyDescent="0.3">
      <c r="A10750" t="s">
        <v>119</v>
      </c>
      <c r="B10750" t="s">
        <v>120</v>
      </c>
      <c r="C10750" t="s">
        <v>129</v>
      </c>
      <c r="D10750" t="s">
        <v>130</v>
      </c>
      <c r="E10750">
        <v>1989</v>
      </c>
      <c r="F10750" s="1">
        <v>71</v>
      </c>
      <c r="G10750">
        <v>1990</v>
      </c>
      <c r="H10750">
        <f>AVERAGEIFS(Table1[value],Table1[IndicatorCode],Table1[[#This Row],[IndicatorCode]])</f>
        <v>72.66514008620689</v>
      </c>
      <c r="I10750" cm="1">
        <f t="array" ref="I10750">_xlfn.STDEV.P(IF(Table1[IndicatorCode]=Table1[[#This Row],[IndicatorCode]],Table1[value]))</f>
        <v>6.3409496564024987</v>
      </c>
      <c r="J10750">
        <f>(Table1[[#This Row],[value]] - Table1[[#This Row],[mean]]) / Table1[[#This Row],[std_dev]]</f>
        <v>-0.2626010576389905</v>
      </c>
      <c r="K10750">
        <f>AVERAGEIF(Table1[CountryCode],Table1[[#This Row],[CountryCode]],Table1[z-score])</f>
        <v>-0.21176470411950787</v>
      </c>
      <c r="L10750" t="e">
        <f>VLOOKUP(Table1[[#This Row],[CountryCode]],[1]!Table1[#All],1,FALSE)</f>
        <v>#REF!</v>
      </c>
    </row>
    <row r="10751" spans="1:12" hidden="1" x14ac:dyDescent="0.3">
      <c r="A10751" t="s">
        <v>119</v>
      </c>
      <c r="B10751" t="s">
        <v>120</v>
      </c>
      <c r="C10751" t="s">
        <v>129</v>
      </c>
      <c r="D10751" t="s">
        <v>130</v>
      </c>
      <c r="E10751">
        <v>1990</v>
      </c>
      <c r="F10751" s="1">
        <v>70</v>
      </c>
      <c r="G10751">
        <v>1990</v>
      </c>
      <c r="H10751">
        <f>AVERAGEIFS(Table1[value],Table1[IndicatorCode],Table1[[#This Row],[IndicatorCode]])</f>
        <v>72.66514008620689</v>
      </c>
      <c r="I10751" cm="1">
        <f t="array" ref="I10751">_xlfn.STDEV.P(IF(Table1[IndicatorCode]=Table1[[#This Row],[IndicatorCode]],Table1[value]))</f>
        <v>6.3409496564024987</v>
      </c>
      <c r="J10751">
        <f>(Table1[[#This Row],[value]] - Table1[[#This Row],[mean]]) / Table1[[#This Row],[std_dev]]</f>
        <v>-0.4203061419224296</v>
      </c>
      <c r="K10751">
        <f>AVERAGEIF(Table1[CountryCode],Table1[[#This Row],[CountryCode]],Table1[z-score])</f>
        <v>-0.21176470411950787</v>
      </c>
      <c r="L10751" t="e">
        <f>VLOOKUP(Table1[[#This Row],[CountryCode]],[1]!Table1[#All],1,FALSE)</f>
        <v>#REF!</v>
      </c>
    </row>
    <row r="10752" spans="1:12" hidden="1" x14ac:dyDescent="0.3">
      <c r="A10752" t="s">
        <v>119</v>
      </c>
      <c r="B10752" t="s">
        <v>120</v>
      </c>
      <c r="C10752" t="s">
        <v>129</v>
      </c>
      <c r="D10752" t="s">
        <v>130</v>
      </c>
      <c r="E10752">
        <v>1991</v>
      </c>
      <c r="F10752" s="1">
        <v>70</v>
      </c>
      <c r="G10752">
        <v>1990</v>
      </c>
      <c r="H10752">
        <f>AVERAGEIFS(Table1[value],Table1[IndicatorCode],Table1[[#This Row],[IndicatorCode]])</f>
        <v>72.66514008620689</v>
      </c>
      <c r="I10752" cm="1">
        <f t="array" ref="I10752">_xlfn.STDEV.P(IF(Table1[IndicatorCode]=Table1[[#This Row],[IndicatorCode]],Table1[value]))</f>
        <v>6.3409496564024987</v>
      </c>
      <c r="J10752">
        <f>(Table1[[#This Row],[value]] - Table1[[#This Row],[mean]]) / Table1[[#This Row],[std_dev]]</f>
        <v>-0.4203061419224296</v>
      </c>
      <c r="K10752">
        <f>AVERAGEIF(Table1[CountryCode],Table1[[#This Row],[CountryCode]],Table1[z-score])</f>
        <v>-0.21176470411950787</v>
      </c>
      <c r="L10752" t="e">
        <f>VLOOKUP(Table1[[#This Row],[CountryCode]],[1]!Table1[#All],1,FALSE)</f>
        <v>#REF!</v>
      </c>
    </row>
    <row r="10753" spans="1:12" hidden="1" x14ac:dyDescent="0.3">
      <c r="A10753" t="s">
        <v>119</v>
      </c>
      <c r="B10753" t="s">
        <v>120</v>
      </c>
      <c r="C10753" t="s">
        <v>129</v>
      </c>
      <c r="D10753" t="s">
        <v>130</v>
      </c>
      <c r="E10753">
        <v>1992</v>
      </c>
      <c r="F10753" s="1">
        <v>69</v>
      </c>
      <c r="G10753">
        <v>1990</v>
      </c>
      <c r="H10753">
        <f>AVERAGEIFS(Table1[value],Table1[IndicatorCode],Table1[[#This Row],[IndicatorCode]])</f>
        <v>72.66514008620689</v>
      </c>
      <c r="I10753" cm="1">
        <f t="array" ref="I10753">_xlfn.STDEV.P(IF(Table1[IndicatorCode]=Table1[[#This Row],[IndicatorCode]],Table1[value]))</f>
        <v>6.3409496564024987</v>
      </c>
      <c r="J10753">
        <f>(Table1[[#This Row],[value]] - Table1[[#This Row],[mean]]) / Table1[[#This Row],[std_dev]]</f>
        <v>-0.57801122620586864</v>
      </c>
      <c r="K10753">
        <f>AVERAGEIF(Table1[CountryCode],Table1[[#This Row],[CountryCode]],Table1[z-score])</f>
        <v>-0.21176470411950787</v>
      </c>
      <c r="L10753" t="e">
        <f>VLOOKUP(Table1[[#This Row],[CountryCode]],[1]!Table1[#All],1,FALSE)</f>
        <v>#REF!</v>
      </c>
    </row>
    <row r="10754" spans="1:12" hidden="1" x14ac:dyDescent="0.3">
      <c r="A10754" t="s">
        <v>119</v>
      </c>
      <c r="B10754" t="s">
        <v>120</v>
      </c>
      <c r="C10754" t="s">
        <v>129</v>
      </c>
      <c r="D10754" t="s">
        <v>130</v>
      </c>
      <c r="E10754">
        <v>1993</v>
      </c>
      <c r="F10754" s="1">
        <v>68</v>
      </c>
      <c r="G10754">
        <v>1990</v>
      </c>
      <c r="H10754">
        <f>AVERAGEIFS(Table1[value],Table1[IndicatorCode],Table1[[#This Row],[IndicatorCode]])</f>
        <v>72.66514008620689</v>
      </c>
      <c r="I10754" cm="1">
        <f t="array" ref="I10754">_xlfn.STDEV.P(IF(Table1[IndicatorCode]=Table1[[#This Row],[IndicatorCode]],Table1[value]))</f>
        <v>6.3409496564024987</v>
      </c>
      <c r="J10754">
        <f>(Table1[[#This Row],[value]] - Table1[[#This Row],[mean]]) / Table1[[#This Row],[std_dev]]</f>
        <v>-0.73571631048930775</v>
      </c>
      <c r="K10754">
        <f>AVERAGEIF(Table1[CountryCode],Table1[[#This Row],[CountryCode]],Table1[z-score])</f>
        <v>-0.21176470411950787</v>
      </c>
      <c r="L10754" t="e">
        <f>VLOOKUP(Table1[[#This Row],[CountryCode]],[1]!Table1[#All],1,FALSE)</f>
        <v>#REF!</v>
      </c>
    </row>
    <row r="10755" spans="1:12" hidden="1" x14ac:dyDescent="0.3">
      <c r="A10755" t="s">
        <v>119</v>
      </c>
      <c r="B10755" t="s">
        <v>120</v>
      </c>
      <c r="C10755" t="s">
        <v>129</v>
      </c>
      <c r="D10755" t="s">
        <v>130</v>
      </c>
      <c r="E10755">
        <v>1994</v>
      </c>
      <c r="F10755" s="1">
        <v>68</v>
      </c>
      <c r="G10755">
        <v>1990</v>
      </c>
      <c r="H10755">
        <f>AVERAGEIFS(Table1[value],Table1[IndicatorCode],Table1[[#This Row],[IndicatorCode]])</f>
        <v>72.66514008620689</v>
      </c>
      <c r="I10755" cm="1">
        <f t="array" ref="I10755">_xlfn.STDEV.P(IF(Table1[IndicatorCode]=Table1[[#This Row],[IndicatorCode]],Table1[value]))</f>
        <v>6.3409496564024987</v>
      </c>
      <c r="J10755">
        <f>(Table1[[#This Row],[value]] - Table1[[#This Row],[mean]]) / Table1[[#This Row],[std_dev]]</f>
        <v>-0.73571631048930775</v>
      </c>
      <c r="K10755">
        <f>AVERAGEIF(Table1[CountryCode],Table1[[#This Row],[CountryCode]],Table1[z-score])</f>
        <v>-0.21176470411950787</v>
      </c>
      <c r="L10755" t="e">
        <f>VLOOKUP(Table1[[#This Row],[CountryCode]],[1]!Table1[#All],1,FALSE)</f>
        <v>#REF!</v>
      </c>
    </row>
    <row r="10756" spans="1:12" hidden="1" x14ac:dyDescent="0.3">
      <c r="A10756" t="s">
        <v>119</v>
      </c>
      <c r="B10756" t="s">
        <v>120</v>
      </c>
      <c r="C10756" t="s">
        <v>129</v>
      </c>
      <c r="D10756" t="s">
        <v>130</v>
      </c>
      <c r="E10756">
        <v>1995</v>
      </c>
      <c r="F10756" s="1">
        <v>67</v>
      </c>
      <c r="G10756">
        <v>1990</v>
      </c>
      <c r="H10756">
        <f>AVERAGEIFS(Table1[value],Table1[IndicatorCode],Table1[[#This Row],[IndicatorCode]])</f>
        <v>72.66514008620689</v>
      </c>
      <c r="I10756" cm="1">
        <f t="array" ref="I10756">_xlfn.STDEV.P(IF(Table1[IndicatorCode]=Table1[[#This Row],[IndicatorCode]],Table1[value]))</f>
        <v>6.3409496564024987</v>
      </c>
      <c r="J10756">
        <f>(Table1[[#This Row],[value]] - Table1[[#This Row],[mean]]) / Table1[[#This Row],[std_dev]]</f>
        <v>-0.89342139477274674</v>
      </c>
      <c r="K10756">
        <f>AVERAGEIF(Table1[CountryCode],Table1[[#This Row],[CountryCode]],Table1[z-score])</f>
        <v>-0.21176470411950787</v>
      </c>
      <c r="L10756" t="e">
        <f>VLOOKUP(Table1[[#This Row],[CountryCode]],[1]!Table1[#All],1,FALSE)</f>
        <v>#REF!</v>
      </c>
    </row>
    <row r="10757" spans="1:12" hidden="1" x14ac:dyDescent="0.3">
      <c r="A10757" t="s">
        <v>119</v>
      </c>
      <c r="B10757" t="s">
        <v>120</v>
      </c>
      <c r="C10757" t="s">
        <v>129</v>
      </c>
      <c r="D10757" t="s">
        <v>130</v>
      </c>
      <c r="E10757">
        <v>1996</v>
      </c>
      <c r="F10757" s="1">
        <v>67</v>
      </c>
      <c r="G10757">
        <v>1990</v>
      </c>
      <c r="H10757">
        <f>AVERAGEIFS(Table1[value],Table1[IndicatorCode],Table1[[#This Row],[IndicatorCode]])</f>
        <v>72.66514008620689</v>
      </c>
      <c r="I10757" cm="1">
        <f t="array" ref="I10757">_xlfn.STDEV.P(IF(Table1[IndicatorCode]=Table1[[#This Row],[IndicatorCode]],Table1[value]))</f>
        <v>6.3409496564024987</v>
      </c>
      <c r="J10757">
        <f>(Table1[[#This Row],[value]] - Table1[[#This Row],[mean]]) / Table1[[#This Row],[std_dev]]</f>
        <v>-0.89342139477274674</v>
      </c>
      <c r="K10757">
        <f>AVERAGEIF(Table1[CountryCode],Table1[[#This Row],[CountryCode]],Table1[z-score])</f>
        <v>-0.21176470411950787</v>
      </c>
      <c r="L10757" t="e">
        <f>VLOOKUP(Table1[[#This Row],[CountryCode]],[1]!Table1[#All],1,FALSE)</f>
        <v>#REF!</v>
      </c>
    </row>
    <row r="10758" spans="1:12" hidden="1" x14ac:dyDescent="0.3">
      <c r="A10758" t="s">
        <v>119</v>
      </c>
      <c r="B10758" t="s">
        <v>120</v>
      </c>
      <c r="C10758" t="s">
        <v>129</v>
      </c>
      <c r="D10758" t="s">
        <v>130</v>
      </c>
      <c r="E10758">
        <v>1997</v>
      </c>
      <c r="F10758" s="1">
        <v>68</v>
      </c>
      <c r="G10758">
        <v>2000</v>
      </c>
      <c r="H10758">
        <f>AVERAGEIFS(Table1[value],Table1[IndicatorCode],Table1[[#This Row],[IndicatorCode]])</f>
        <v>72.66514008620689</v>
      </c>
      <c r="I10758" cm="1">
        <f t="array" ref="I10758">_xlfn.STDEV.P(IF(Table1[IndicatorCode]=Table1[[#This Row],[IndicatorCode]],Table1[value]))</f>
        <v>6.3409496564024987</v>
      </c>
      <c r="J10758">
        <f>(Table1[[#This Row],[value]] - Table1[[#This Row],[mean]]) / Table1[[#This Row],[std_dev]]</f>
        <v>-0.73571631048930775</v>
      </c>
      <c r="K10758">
        <f>AVERAGEIF(Table1[CountryCode],Table1[[#This Row],[CountryCode]],Table1[z-score])</f>
        <v>-0.21176470411950787</v>
      </c>
      <c r="L10758" t="e">
        <f>VLOOKUP(Table1[[#This Row],[CountryCode]],[1]!Table1[#All],1,FALSE)</f>
        <v>#REF!</v>
      </c>
    </row>
    <row r="10759" spans="1:12" hidden="1" x14ac:dyDescent="0.3">
      <c r="A10759" t="s">
        <v>119</v>
      </c>
      <c r="B10759" t="s">
        <v>120</v>
      </c>
      <c r="C10759" t="s">
        <v>129</v>
      </c>
      <c r="D10759" t="s">
        <v>130</v>
      </c>
      <c r="E10759">
        <v>1998</v>
      </c>
      <c r="F10759" s="1">
        <v>68</v>
      </c>
      <c r="G10759">
        <v>2000</v>
      </c>
      <c r="H10759">
        <f>AVERAGEIFS(Table1[value],Table1[IndicatorCode],Table1[[#This Row],[IndicatorCode]])</f>
        <v>72.66514008620689</v>
      </c>
      <c r="I10759" cm="1">
        <f t="array" ref="I10759">_xlfn.STDEV.P(IF(Table1[IndicatorCode]=Table1[[#This Row],[IndicatorCode]],Table1[value]))</f>
        <v>6.3409496564024987</v>
      </c>
      <c r="J10759">
        <f>(Table1[[#This Row],[value]] - Table1[[#This Row],[mean]]) / Table1[[#This Row],[std_dev]]</f>
        <v>-0.73571631048930775</v>
      </c>
      <c r="K10759">
        <f>AVERAGEIF(Table1[CountryCode],Table1[[#This Row],[CountryCode]],Table1[z-score])</f>
        <v>-0.21176470411950787</v>
      </c>
      <c r="L10759" t="e">
        <f>VLOOKUP(Table1[[#This Row],[CountryCode]],[1]!Table1[#All],1,FALSE)</f>
        <v>#REF!</v>
      </c>
    </row>
    <row r="10760" spans="1:12" hidden="1" x14ac:dyDescent="0.3">
      <c r="A10760" t="s">
        <v>119</v>
      </c>
      <c r="B10760" t="s">
        <v>120</v>
      </c>
      <c r="C10760" t="s">
        <v>129</v>
      </c>
      <c r="D10760" t="s">
        <v>130</v>
      </c>
      <c r="E10760">
        <v>1999</v>
      </c>
      <c r="F10760" s="1">
        <v>68</v>
      </c>
      <c r="G10760">
        <v>2000</v>
      </c>
      <c r="H10760">
        <f>AVERAGEIFS(Table1[value],Table1[IndicatorCode],Table1[[#This Row],[IndicatorCode]])</f>
        <v>72.66514008620689</v>
      </c>
      <c r="I10760" cm="1">
        <f t="array" ref="I10760">_xlfn.STDEV.P(IF(Table1[IndicatorCode]=Table1[[#This Row],[IndicatorCode]],Table1[value]))</f>
        <v>6.3409496564024987</v>
      </c>
      <c r="J10760">
        <f>(Table1[[#This Row],[value]] - Table1[[#This Row],[mean]]) / Table1[[#This Row],[std_dev]]</f>
        <v>-0.73571631048930775</v>
      </c>
      <c r="K10760">
        <f>AVERAGEIF(Table1[CountryCode],Table1[[#This Row],[CountryCode]],Table1[z-score])</f>
        <v>-0.21176470411950787</v>
      </c>
      <c r="L10760" t="e">
        <f>VLOOKUP(Table1[[#This Row],[CountryCode]],[1]!Table1[#All],1,FALSE)</f>
        <v>#REF!</v>
      </c>
    </row>
    <row r="10761" spans="1:12" hidden="1" x14ac:dyDescent="0.3">
      <c r="A10761" t="s">
        <v>119</v>
      </c>
      <c r="B10761" t="s">
        <v>120</v>
      </c>
      <c r="C10761" t="s">
        <v>129</v>
      </c>
      <c r="D10761" t="s">
        <v>130</v>
      </c>
      <c r="E10761">
        <v>2000</v>
      </c>
      <c r="F10761" s="1">
        <v>68</v>
      </c>
      <c r="G10761">
        <v>2000</v>
      </c>
      <c r="H10761">
        <f>AVERAGEIFS(Table1[value],Table1[IndicatorCode],Table1[[#This Row],[IndicatorCode]])</f>
        <v>72.66514008620689</v>
      </c>
      <c r="I10761" cm="1">
        <f t="array" ref="I10761">_xlfn.STDEV.P(IF(Table1[IndicatorCode]=Table1[[#This Row],[IndicatorCode]],Table1[value]))</f>
        <v>6.3409496564024987</v>
      </c>
      <c r="J10761">
        <f>(Table1[[#This Row],[value]] - Table1[[#This Row],[mean]]) / Table1[[#This Row],[std_dev]]</f>
        <v>-0.73571631048930775</v>
      </c>
      <c r="K10761">
        <f>AVERAGEIF(Table1[CountryCode],Table1[[#This Row],[CountryCode]],Table1[z-score])</f>
        <v>-0.21176470411950787</v>
      </c>
      <c r="L10761" t="e">
        <f>VLOOKUP(Table1[[#This Row],[CountryCode]],[1]!Table1[#All],1,FALSE)</f>
        <v>#REF!</v>
      </c>
    </row>
    <row r="10762" spans="1:12" hidden="1" x14ac:dyDescent="0.3">
      <c r="A10762" t="s">
        <v>119</v>
      </c>
      <c r="B10762" t="s">
        <v>120</v>
      </c>
      <c r="C10762" t="s">
        <v>129</v>
      </c>
      <c r="D10762" t="s">
        <v>130</v>
      </c>
      <c r="E10762">
        <v>2001</v>
      </c>
      <c r="F10762" s="1">
        <v>68</v>
      </c>
      <c r="G10762">
        <v>2000</v>
      </c>
      <c r="H10762">
        <f>AVERAGEIFS(Table1[value],Table1[IndicatorCode],Table1[[#This Row],[IndicatorCode]])</f>
        <v>72.66514008620689</v>
      </c>
      <c r="I10762" cm="1">
        <f t="array" ref="I10762">_xlfn.STDEV.P(IF(Table1[IndicatorCode]=Table1[[#This Row],[IndicatorCode]],Table1[value]))</f>
        <v>6.3409496564024987</v>
      </c>
      <c r="J10762">
        <f>(Table1[[#This Row],[value]] - Table1[[#This Row],[mean]]) / Table1[[#This Row],[std_dev]]</f>
        <v>-0.73571631048930775</v>
      </c>
      <c r="K10762">
        <f>AVERAGEIF(Table1[CountryCode],Table1[[#This Row],[CountryCode]],Table1[z-score])</f>
        <v>-0.21176470411950787</v>
      </c>
      <c r="L10762" t="e">
        <f>VLOOKUP(Table1[[#This Row],[CountryCode]],[1]!Table1[#All],1,FALSE)</f>
        <v>#REF!</v>
      </c>
    </row>
    <row r="10763" spans="1:12" hidden="1" x14ac:dyDescent="0.3">
      <c r="A10763" t="s">
        <v>119</v>
      </c>
      <c r="B10763" t="s">
        <v>120</v>
      </c>
      <c r="C10763" t="s">
        <v>129</v>
      </c>
      <c r="D10763" t="s">
        <v>130</v>
      </c>
      <c r="E10763">
        <v>2002</v>
      </c>
      <c r="F10763" s="1">
        <v>68</v>
      </c>
      <c r="G10763">
        <v>2000</v>
      </c>
      <c r="H10763">
        <f>AVERAGEIFS(Table1[value],Table1[IndicatorCode],Table1[[#This Row],[IndicatorCode]])</f>
        <v>72.66514008620689</v>
      </c>
      <c r="I10763" cm="1">
        <f t="array" ref="I10763">_xlfn.STDEV.P(IF(Table1[IndicatorCode]=Table1[[#This Row],[IndicatorCode]],Table1[value]))</f>
        <v>6.3409496564024987</v>
      </c>
      <c r="J10763">
        <f>(Table1[[#This Row],[value]] - Table1[[#This Row],[mean]]) / Table1[[#This Row],[std_dev]]</f>
        <v>-0.73571631048930775</v>
      </c>
      <c r="K10763">
        <f>AVERAGEIF(Table1[CountryCode],Table1[[#This Row],[CountryCode]],Table1[z-score])</f>
        <v>-0.21176470411950787</v>
      </c>
      <c r="L10763" t="e">
        <f>VLOOKUP(Table1[[#This Row],[CountryCode]],[1]!Table1[#All],1,FALSE)</f>
        <v>#REF!</v>
      </c>
    </row>
    <row r="10764" spans="1:12" hidden="1" x14ac:dyDescent="0.3">
      <c r="A10764" t="s">
        <v>119</v>
      </c>
      <c r="B10764" t="s">
        <v>120</v>
      </c>
      <c r="C10764" t="s">
        <v>129</v>
      </c>
      <c r="D10764" t="s">
        <v>130</v>
      </c>
      <c r="E10764">
        <v>2003</v>
      </c>
      <c r="F10764" s="1">
        <v>68</v>
      </c>
      <c r="G10764">
        <v>2000</v>
      </c>
      <c r="H10764">
        <f>AVERAGEIFS(Table1[value],Table1[IndicatorCode],Table1[[#This Row],[IndicatorCode]])</f>
        <v>72.66514008620689</v>
      </c>
      <c r="I10764" cm="1">
        <f t="array" ref="I10764">_xlfn.STDEV.P(IF(Table1[IndicatorCode]=Table1[[#This Row],[IndicatorCode]],Table1[value]))</f>
        <v>6.3409496564024987</v>
      </c>
      <c r="J10764">
        <f>(Table1[[#This Row],[value]] - Table1[[#This Row],[mean]]) / Table1[[#This Row],[std_dev]]</f>
        <v>-0.73571631048930775</v>
      </c>
      <c r="K10764">
        <f>AVERAGEIF(Table1[CountryCode],Table1[[#This Row],[CountryCode]],Table1[z-score])</f>
        <v>-0.21176470411950787</v>
      </c>
      <c r="L10764" t="e">
        <f>VLOOKUP(Table1[[#This Row],[CountryCode]],[1]!Table1[#All],1,FALSE)</f>
        <v>#REF!</v>
      </c>
    </row>
    <row r="10765" spans="1:12" hidden="1" x14ac:dyDescent="0.3">
      <c r="A10765" t="s">
        <v>119</v>
      </c>
      <c r="B10765" t="s">
        <v>120</v>
      </c>
      <c r="C10765" t="s">
        <v>129</v>
      </c>
      <c r="D10765" t="s">
        <v>130</v>
      </c>
      <c r="E10765">
        <v>2004</v>
      </c>
      <c r="F10765" s="1">
        <v>67</v>
      </c>
      <c r="G10765">
        <v>2000</v>
      </c>
      <c r="H10765">
        <f>AVERAGEIFS(Table1[value],Table1[IndicatorCode],Table1[[#This Row],[IndicatorCode]])</f>
        <v>72.66514008620689</v>
      </c>
      <c r="I10765" cm="1">
        <f t="array" ref="I10765">_xlfn.STDEV.P(IF(Table1[IndicatorCode]=Table1[[#This Row],[IndicatorCode]],Table1[value]))</f>
        <v>6.3409496564024987</v>
      </c>
      <c r="J10765">
        <f>(Table1[[#This Row],[value]] - Table1[[#This Row],[mean]]) / Table1[[#This Row],[std_dev]]</f>
        <v>-0.89342139477274674</v>
      </c>
      <c r="K10765">
        <f>AVERAGEIF(Table1[CountryCode],Table1[[#This Row],[CountryCode]],Table1[z-score])</f>
        <v>-0.21176470411950787</v>
      </c>
      <c r="L10765" t="e">
        <f>VLOOKUP(Table1[[#This Row],[CountryCode]],[1]!Table1[#All],1,FALSE)</f>
        <v>#REF!</v>
      </c>
    </row>
    <row r="10766" spans="1:12" hidden="1" x14ac:dyDescent="0.3">
      <c r="A10766" t="s">
        <v>119</v>
      </c>
      <c r="B10766" t="s">
        <v>120</v>
      </c>
      <c r="C10766" t="s">
        <v>129</v>
      </c>
      <c r="D10766" t="s">
        <v>130</v>
      </c>
      <c r="E10766">
        <v>2005</v>
      </c>
      <c r="F10766" s="1">
        <v>68</v>
      </c>
      <c r="G10766">
        <v>2000</v>
      </c>
      <c r="H10766">
        <f>AVERAGEIFS(Table1[value],Table1[IndicatorCode],Table1[[#This Row],[IndicatorCode]])</f>
        <v>72.66514008620689</v>
      </c>
      <c r="I10766" cm="1">
        <f t="array" ref="I10766">_xlfn.STDEV.P(IF(Table1[IndicatorCode]=Table1[[#This Row],[IndicatorCode]],Table1[value]))</f>
        <v>6.3409496564024987</v>
      </c>
      <c r="J10766">
        <f>(Table1[[#This Row],[value]] - Table1[[#This Row],[mean]]) / Table1[[#This Row],[std_dev]]</f>
        <v>-0.73571631048930775</v>
      </c>
      <c r="K10766">
        <f>AVERAGEIF(Table1[CountryCode],Table1[[#This Row],[CountryCode]],Table1[z-score])</f>
        <v>-0.21176470411950787</v>
      </c>
      <c r="L10766" t="e">
        <f>VLOOKUP(Table1[[#This Row],[CountryCode]],[1]!Table1[#All],1,FALSE)</f>
        <v>#REF!</v>
      </c>
    </row>
    <row r="10767" spans="1:12" hidden="1" x14ac:dyDescent="0.3">
      <c r="A10767" t="s">
        <v>119</v>
      </c>
      <c r="B10767" t="s">
        <v>120</v>
      </c>
      <c r="C10767" t="s">
        <v>129</v>
      </c>
      <c r="D10767" t="s">
        <v>130</v>
      </c>
      <c r="E10767">
        <v>2006</v>
      </c>
      <c r="F10767" s="1">
        <v>67</v>
      </c>
      <c r="G10767">
        <v>2000</v>
      </c>
      <c r="H10767">
        <f>AVERAGEIFS(Table1[value],Table1[IndicatorCode],Table1[[#This Row],[IndicatorCode]])</f>
        <v>72.66514008620689</v>
      </c>
      <c r="I10767" cm="1">
        <f t="array" ref="I10767">_xlfn.STDEV.P(IF(Table1[IndicatorCode]=Table1[[#This Row],[IndicatorCode]],Table1[value]))</f>
        <v>6.3409496564024987</v>
      </c>
      <c r="J10767">
        <f>(Table1[[#This Row],[value]] - Table1[[#This Row],[mean]]) / Table1[[#This Row],[std_dev]]</f>
        <v>-0.89342139477274674</v>
      </c>
      <c r="K10767">
        <f>AVERAGEIF(Table1[CountryCode],Table1[[#This Row],[CountryCode]],Table1[z-score])</f>
        <v>-0.21176470411950787</v>
      </c>
      <c r="L10767" t="e">
        <f>VLOOKUP(Table1[[#This Row],[CountryCode]],[1]!Table1[#All],1,FALSE)</f>
        <v>#REF!</v>
      </c>
    </row>
    <row r="10768" spans="1:12" hidden="1" x14ac:dyDescent="0.3">
      <c r="A10768" t="s">
        <v>119</v>
      </c>
      <c r="B10768" t="s">
        <v>120</v>
      </c>
      <c r="C10768" t="s">
        <v>129</v>
      </c>
      <c r="D10768" t="s">
        <v>130</v>
      </c>
      <c r="E10768">
        <v>2007</v>
      </c>
      <c r="F10768" s="1">
        <v>68</v>
      </c>
      <c r="G10768">
        <v>2010</v>
      </c>
      <c r="H10768">
        <f>AVERAGEIFS(Table1[value],Table1[IndicatorCode],Table1[[#This Row],[IndicatorCode]])</f>
        <v>72.66514008620689</v>
      </c>
      <c r="I10768" cm="1">
        <f t="array" ref="I10768">_xlfn.STDEV.P(IF(Table1[IndicatorCode]=Table1[[#This Row],[IndicatorCode]],Table1[value]))</f>
        <v>6.3409496564024987</v>
      </c>
      <c r="J10768">
        <f>(Table1[[#This Row],[value]] - Table1[[#This Row],[mean]]) / Table1[[#This Row],[std_dev]]</f>
        <v>-0.73571631048930775</v>
      </c>
      <c r="K10768">
        <f>AVERAGEIF(Table1[CountryCode],Table1[[#This Row],[CountryCode]],Table1[z-score])</f>
        <v>-0.21176470411950787</v>
      </c>
      <c r="L10768" t="e">
        <f>VLOOKUP(Table1[[#This Row],[CountryCode]],[1]!Table1[#All],1,FALSE)</f>
        <v>#REF!</v>
      </c>
    </row>
    <row r="10769" spans="1:12" hidden="1" x14ac:dyDescent="0.3">
      <c r="A10769" t="s">
        <v>119</v>
      </c>
      <c r="B10769" t="s">
        <v>120</v>
      </c>
      <c r="C10769" t="s">
        <v>129</v>
      </c>
      <c r="D10769" t="s">
        <v>130</v>
      </c>
      <c r="E10769">
        <v>2008</v>
      </c>
      <c r="F10769" s="1">
        <v>68</v>
      </c>
      <c r="G10769">
        <v>2010</v>
      </c>
      <c r="H10769">
        <f>AVERAGEIFS(Table1[value],Table1[IndicatorCode],Table1[[#This Row],[IndicatorCode]])</f>
        <v>72.66514008620689</v>
      </c>
      <c r="I10769" cm="1">
        <f t="array" ref="I10769">_xlfn.STDEV.P(IF(Table1[IndicatorCode]=Table1[[#This Row],[IndicatorCode]],Table1[value]))</f>
        <v>6.3409496564024987</v>
      </c>
      <c r="J10769">
        <f>(Table1[[#This Row],[value]] - Table1[[#This Row],[mean]]) / Table1[[#This Row],[std_dev]]</f>
        <v>-0.73571631048930775</v>
      </c>
      <c r="K10769">
        <f>AVERAGEIF(Table1[CountryCode],Table1[[#This Row],[CountryCode]],Table1[z-score])</f>
        <v>-0.21176470411950787</v>
      </c>
      <c r="L10769" t="e">
        <f>VLOOKUP(Table1[[#This Row],[CountryCode]],[1]!Table1[#All],1,FALSE)</f>
        <v>#REF!</v>
      </c>
    </row>
    <row r="10770" spans="1:12" hidden="1" x14ac:dyDescent="0.3">
      <c r="A10770" t="s">
        <v>119</v>
      </c>
      <c r="B10770" t="s">
        <v>120</v>
      </c>
      <c r="C10770" t="s">
        <v>129</v>
      </c>
      <c r="D10770" t="s">
        <v>130</v>
      </c>
      <c r="E10770">
        <v>2009</v>
      </c>
      <c r="F10770" s="1">
        <v>69</v>
      </c>
      <c r="G10770">
        <v>2010</v>
      </c>
      <c r="H10770">
        <f>AVERAGEIFS(Table1[value],Table1[IndicatorCode],Table1[[#This Row],[IndicatorCode]])</f>
        <v>72.66514008620689</v>
      </c>
      <c r="I10770" cm="1">
        <f t="array" ref="I10770">_xlfn.STDEV.P(IF(Table1[IndicatorCode]=Table1[[#This Row],[IndicatorCode]],Table1[value]))</f>
        <v>6.3409496564024987</v>
      </c>
      <c r="J10770">
        <f>(Table1[[#This Row],[value]] - Table1[[#This Row],[mean]]) / Table1[[#This Row],[std_dev]]</f>
        <v>-0.57801122620586864</v>
      </c>
      <c r="K10770">
        <f>AVERAGEIF(Table1[CountryCode],Table1[[#This Row],[CountryCode]],Table1[z-score])</f>
        <v>-0.21176470411950787</v>
      </c>
      <c r="L10770" t="e">
        <f>VLOOKUP(Table1[[#This Row],[CountryCode]],[1]!Table1[#All],1,FALSE)</f>
        <v>#REF!</v>
      </c>
    </row>
    <row r="10771" spans="1:12" hidden="1" x14ac:dyDescent="0.3">
      <c r="A10771" t="s">
        <v>119</v>
      </c>
      <c r="B10771" t="s">
        <v>120</v>
      </c>
      <c r="C10771" t="s">
        <v>129</v>
      </c>
      <c r="D10771" t="s">
        <v>130</v>
      </c>
      <c r="E10771">
        <v>2010</v>
      </c>
      <c r="F10771" s="1">
        <v>70</v>
      </c>
      <c r="G10771">
        <v>2010</v>
      </c>
      <c r="H10771">
        <f>AVERAGEIFS(Table1[value],Table1[IndicatorCode],Table1[[#This Row],[IndicatorCode]])</f>
        <v>72.66514008620689</v>
      </c>
      <c r="I10771" cm="1">
        <f t="array" ref="I10771">_xlfn.STDEV.P(IF(Table1[IndicatorCode]=Table1[[#This Row],[IndicatorCode]],Table1[value]))</f>
        <v>6.3409496564024987</v>
      </c>
      <c r="J10771">
        <f>(Table1[[#This Row],[value]] - Table1[[#This Row],[mean]]) / Table1[[#This Row],[std_dev]]</f>
        <v>-0.4203061419224296</v>
      </c>
      <c r="K10771">
        <f>AVERAGEIF(Table1[CountryCode],Table1[[#This Row],[CountryCode]],Table1[z-score])</f>
        <v>-0.21176470411950787</v>
      </c>
      <c r="L10771" t="e">
        <f>VLOOKUP(Table1[[#This Row],[CountryCode]],[1]!Table1[#All],1,FALSE)</f>
        <v>#REF!</v>
      </c>
    </row>
    <row r="10772" spans="1:12" hidden="1" x14ac:dyDescent="0.3">
      <c r="A10772" t="s">
        <v>119</v>
      </c>
      <c r="B10772" t="s">
        <v>120</v>
      </c>
      <c r="C10772" t="s">
        <v>129</v>
      </c>
      <c r="D10772" t="s">
        <v>130</v>
      </c>
      <c r="E10772">
        <v>2011</v>
      </c>
      <c r="F10772" s="1">
        <v>71</v>
      </c>
      <c r="G10772">
        <v>2010</v>
      </c>
      <c r="H10772">
        <f>AVERAGEIFS(Table1[value],Table1[IndicatorCode],Table1[[#This Row],[IndicatorCode]])</f>
        <v>72.66514008620689</v>
      </c>
      <c r="I10772" cm="1">
        <f t="array" ref="I10772">_xlfn.STDEV.P(IF(Table1[IndicatorCode]=Table1[[#This Row],[IndicatorCode]],Table1[value]))</f>
        <v>6.3409496564024987</v>
      </c>
      <c r="J10772">
        <f>(Table1[[#This Row],[value]] - Table1[[#This Row],[mean]]) / Table1[[#This Row],[std_dev]]</f>
        <v>-0.2626010576389905</v>
      </c>
      <c r="K10772">
        <f>AVERAGEIF(Table1[CountryCode],Table1[[#This Row],[CountryCode]],Table1[z-score])</f>
        <v>-0.21176470411950787</v>
      </c>
      <c r="L10772" t="e">
        <f>VLOOKUP(Table1[[#This Row],[CountryCode]],[1]!Table1[#All],1,FALSE)</f>
        <v>#REF!</v>
      </c>
    </row>
    <row r="10773" spans="1:12" hidden="1" x14ac:dyDescent="0.3">
      <c r="A10773" t="s">
        <v>119</v>
      </c>
      <c r="B10773" t="s">
        <v>120</v>
      </c>
      <c r="C10773" t="s">
        <v>129</v>
      </c>
      <c r="D10773" t="s">
        <v>130</v>
      </c>
      <c r="E10773">
        <v>2012</v>
      </c>
      <c r="F10773" s="1">
        <v>71</v>
      </c>
      <c r="G10773">
        <v>2010</v>
      </c>
      <c r="H10773">
        <f>AVERAGEIFS(Table1[value],Table1[IndicatorCode],Table1[[#This Row],[IndicatorCode]])</f>
        <v>72.66514008620689</v>
      </c>
      <c r="I10773" cm="1">
        <f t="array" ref="I10773">_xlfn.STDEV.P(IF(Table1[IndicatorCode]=Table1[[#This Row],[IndicatorCode]],Table1[value]))</f>
        <v>6.3409496564024987</v>
      </c>
      <c r="J10773">
        <f>(Table1[[#This Row],[value]] - Table1[[#This Row],[mean]]) / Table1[[#This Row],[std_dev]]</f>
        <v>-0.2626010576389905</v>
      </c>
      <c r="K10773">
        <f>AVERAGEIF(Table1[CountryCode],Table1[[#This Row],[CountryCode]],Table1[z-score])</f>
        <v>-0.21176470411950787</v>
      </c>
      <c r="L10773" t="e">
        <f>VLOOKUP(Table1[[#This Row],[CountryCode]],[1]!Table1[#All],1,FALSE)</f>
        <v>#REF!</v>
      </c>
    </row>
    <row r="10774" spans="1:12" hidden="1" x14ac:dyDescent="0.3">
      <c r="A10774" t="s">
        <v>119</v>
      </c>
      <c r="B10774" t="s">
        <v>120</v>
      </c>
      <c r="C10774" t="s">
        <v>129</v>
      </c>
      <c r="D10774" t="s">
        <v>130</v>
      </c>
      <c r="E10774">
        <v>2013</v>
      </c>
      <c r="F10774" s="1">
        <v>71</v>
      </c>
      <c r="G10774">
        <v>2010</v>
      </c>
      <c r="H10774">
        <f>AVERAGEIFS(Table1[value],Table1[IndicatorCode],Table1[[#This Row],[IndicatorCode]])</f>
        <v>72.66514008620689</v>
      </c>
      <c r="I10774" cm="1">
        <f t="array" ref="I10774">_xlfn.STDEV.P(IF(Table1[IndicatorCode]=Table1[[#This Row],[IndicatorCode]],Table1[value]))</f>
        <v>6.3409496564024987</v>
      </c>
      <c r="J10774">
        <f>(Table1[[#This Row],[value]] - Table1[[#This Row],[mean]]) / Table1[[#This Row],[std_dev]]</f>
        <v>-0.2626010576389905</v>
      </c>
      <c r="K10774">
        <f>AVERAGEIF(Table1[CountryCode],Table1[[#This Row],[CountryCode]],Table1[z-score])</f>
        <v>-0.21176470411950787</v>
      </c>
      <c r="L10774" t="e">
        <f>VLOOKUP(Table1[[#This Row],[CountryCode]],[1]!Table1[#All],1,FALSE)</f>
        <v>#REF!</v>
      </c>
    </row>
    <row r="10775" spans="1:12" hidden="1" x14ac:dyDescent="0.3">
      <c r="A10775" t="s">
        <v>119</v>
      </c>
      <c r="B10775" t="s">
        <v>120</v>
      </c>
      <c r="C10775" t="s">
        <v>129</v>
      </c>
      <c r="D10775" t="s">
        <v>130</v>
      </c>
      <c r="E10775">
        <v>2014</v>
      </c>
      <c r="F10775" s="1">
        <v>72</v>
      </c>
      <c r="G10775">
        <v>2010</v>
      </c>
      <c r="H10775">
        <f>AVERAGEIFS(Table1[value],Table1[IndicatorCode],Table1[[#This Row],[IndicatorCode]])</f>
        <v>72.66514008620689</v>
      </c>
      <c r="I10775" cm="1">
        <f t="array" ref="I10775">_xlfn.STDEV.P(IF(Table1[IndicatorCode]=Table1[[#This Row],[IndicatorCode]],Table1[value]))</f>
        <v>6.3409496564024987</v>
      </c>
      <c r="J10775">
        <f>(Table1[[#This Row],[value]] - Table1[[#This Row],[mean]]) / Table1[[#This Row],[std_dev]]</f>
        <v>-0.10489597335555145</v>
      </c>
      <c r="K10775">
        <f>AVERAGEIF(Table1[CountryCode],Table1[[#This Row],[CountryCode]],Table1[z-score])</f>
        <v>-0.21176470411950787</v>
      </c>
      <c r="L10775" t="e">
        <f>VLOOKUP(Table1[[#This Row],[CountryCode]],[1]!Table1[#All],1,FALSE)</f>
        <v>#REF!</v>
      </c>
    </row>
    <row r="10776" spans="1:12" hidden="1" x14ac:dyDescent="0.3">
      <c r="A10776" t="s">
        <v>119</v>
      </c>
      <c r="B10776" t="s">
        <v>120</v>
      </c>
      <c r="C10776" t="s">
        <v>129</v>
      </c>
      <c r="D10776" t="s">
        <v>130</v>
      </c>
      <c r="E10776">
        <v>2015</v>
      </c>
      <c r="F10776" s="1">
        <v>73</v>
      </c>
      <c r="G10776">
        <v>2010</v>
      </c>
      <c r="H10776">
        <f>AVERAGEIFS(Table1[value],Table1[IndicatorCode],Table1[[#This Row],[IndicatorCode]])</f>
        <v>72.66514008620689</v>
      </c>
      <c r="I10776" cm="1">
        <f t="array" ref="I10776">_xlfn.STDEV.P(IF(Table1[IndicatorCode]=Table1[[#This Row],[IndicatorCode]],Table1[value]))</f>
        <v>6.3409496564024987</v>
      </c>
      <c r="J10776">
        <f>(Table1[[#This Row],[value]] - Table1[[#This Row],[mean]]) / Table1[[#This Row],[std_dev]]</f>
        <v>5.2809110927887599E-2</v>
      </c>
      <c r="K10776">
        <f>AVERAGEIF(Table1[CountryCode],Table1[[#This Row],[CountryCode]],Table1[z-score])</f>
        <v>-0.21176470411950787</v>
      </c>
      <c r="L10776" t="e">
        <f>VLOOKUP(Table1[[#This Row],[CountryCode]],[1]!Table1[#All],1,FALSE)</f>
        <v>#REF!</v>
      </c>
    </row>
    <row r="10777" spans="1:12" hidden="1" x14ac:dyDescent="0.3">
      <c r="A10777" t="s">
        <v>119</v>
      </c>
      <c r="B10777" t="s">
        <v>120</v>
      </c>
      <c r="C10777" t="s">
        <v>129</v>
      </c>
      <c r="D10777" t="s">
        <v>130</v>
      </c>
      <c r="E10777">
        <v>2016</v>
      </c>
      <c r="F10777" s="1">
        <v>73</v>
      </c>
      <c r="G10777">
        <v>2010</v>
      </c>
      <c r="H10777">
        <f>AVERAGEIFS(Table1[value],Table1[IndicatorCode],Table1[[#This Row],[IndicatorCode]])</f>
        <v>72.66514008620689</v>
      </c>
      <c r="I10777" cm="1">
        <f t="array" ref="I10777">_xlfn.STDEV.P(IF(Table1[IndicatorCode]=Table1[[#This Row],[IndicatorCode]],Table1[value]))</f>
        <v>6.3409496564024987</v>
      </c>
      <c r="J10777">
        <f>(Table1[[#This Row],[value]] - Table1[[#This Row],[mean]]) / Table1[[#This Row],[std_dev]]</f>
        <v>5.2809110927887599E-2</v>
      </c>
      <c r="K10777">
        <f>AVERAGEIF(Table1[CountryCode],Table1[[#This Row],[CountryCode]],Table1[z-score])</f>
        <v>-0.21176470411950787</v>
      </c>
      <c r="L10777" t="e">
        <f>VLOOKUP(Table1[[#This Row],[CountryCode]],[1]!Table1[#All],1,FALSE)</f>
        <v>#REF!</v>
      </c>
    </row>
    <row r="10778" spans="1:12" hidden="1" x14ac:dyDescent="0.3">
      <c r="A10778" t="s">
        <v>119</v>
      </c>
      <c r="B10778" t="s">
        <v>120</v>
      </c>
      <c r="C10778" t="s">
        <v>129</v>
      </c>
      <c r="D10778" t="s">
        <v>130</v>
      </c>
      <c r="E10778">
        <v>2017</v>
      </c>
      <c r="F10778" s="1">
        <v>74</v>
      </c>
      <c r="G10778">
        <v>2020</v>
      </c>
      <c r="H10778">
        <f>AVERAGEIFS(Table1[value],Table1[IndicatorCode],Table1[[#This Row],[IndicatorCode]])</f>
        <v>72.66514008620689</v>
      </c>
      <c r="I10778" cm="1">
        <f t="array" ref="I10778">_xlfn.STDEV.P(IF(Table1[IndicatorCode]=Table1[[#This Row],[IndicatorCode]],Table1[value]))</f>
        <v>6.3409496564024987</v>
      </c>
      <c r="J10778">
        <f>(Table1[[#This Row],[value]] - Table1[[#This Row],[mean]]) / Table1[[#This Row],[std_dev]]</f>
        <v>0.21051419521132667</v>
      </c>
      <c r="K10778">
        <f>AVERAGEIF(Table1[CountryCode],Table1[[#This Row],[CountryCode]],Table1[z-score])</f>
        <v>-0.21176470411950787</v>
      </c>
      <c r="L10778" t="e">
        <f>VLOOKUP(Table1[[#This Row],[CountryCode]],[1]!Table1[#All],1,FALSE)</f>
        <v>#REF!</v>
      </c>
    </row>
    <row r="10779" spans="1:12" hidden="1" x14ac:dyDescent="0.3">
      <c r="A10779" t="s">
        <v>119</v>
      </c>
      <c r="B10779" t="s">
        <v>120</v>
      </c>
      <c r="C10779" t="s">
        <v>129</v>
      </c>
      <c r="D10779" t="s">
        <v>130</v>
      </c>
      <c r="E10779">
        <v>2018</v>
      </c>
      <c r="F10779" s="1">
        <v>74</v>
      </c>
      <c r="G10779">
        <v>2020</v>
      </c>
      <c r="H10779">
        <f>AVERAGEIFS(Table1[value],Table1[IndicatorCode],Table1[[#This Row],[IndicatorCode]])</f>
        <v>72.66514008620689</v>
      </c>
      <c r="I10779" cm="1">
        <f t="array" ref="I10779">_xlfn.STDEV.P(IF(Table1[IndicatorCode]=Table1[[#This Row],[IndicatorCode]],Table1[value]))</f>
        <v>6.3409496564024987</v>
      </c>
      <c r="J10779">
        <f>(Table1[[#This Row],[value]] - Table1[[#This Row],[mean]]) / Table1[[#This Row],[std_dev]]</f>
        <v>0.21051419521132667</v>
      </c>
      <c r="K10779">
        <f>AVERAGEIF(Table1[CountryCode],Table1[[#This Row],[CountryCode]],Table1[z-score])</f>
        <v>-0.21176470411950787</v>
      </c>
      <c r="L10779" t="e">
        <f>VLOOKUP(Table1[[#This Row],[CountryCode]],[1]!Table1[#All],1,FALSE)</f>
        <v>#REF!</v>
      </c>
    </row>
    <row r="10780" spans="1:12" hidden="1" x14ac:dyDescent="0.3">
      <c r="A10780" t="s">
        <v>119</v>
      </c>
      <c r="B10780" t="s">
        <v>120</v>
      </c>
      <c r="C10780" t="s">
        <v>129</v>
      </c>
      <c r="D10780" t="s">
        <v>130</v>
      </c>
      <c r="E10780">
        <v>2019</v>
      </c>
      <c r="F10780" s="1">
        <v>74</v>
      </c>
      <c r="G10780">
        <v>2020</v>
      </c>
      <c r="H10780">
        <f>AVERAGEIFS(Table1[value],Table1[IndicatorCode],Table1[[#This Row],[IndicatorCode]])</f>
        <v>72.66514008620689</v>
      </c>
      <c r="I10780" cm="1">
        <f t="array" ref="I10780">_xlfn.STDEV.P(IF(Table1[IndicatorCode]=Table1[[#This Row],[IndicatorCode]],Table1[value]))</f>
        <v>6.3409496564024987</v>
      </c>
      <c r="J10780">
        <f>(Table1[[#This Row],[value]] - Table1[[#This Row],[mean]]) / Table1[[#This Row],[std_dev]]</f>
        <v>0.21051419521132667</v>
      </c>
      <c r="K10780">
        <f>AVERAGEIF(Table1[CountryCode],Table1[[#This Row],[CountryCode]],Table1[z-score])</f>
        <v>-0.21176470411950787</v>
      </c>
      <c r="L10780" t="e">
        <f>VLOOKUP(Table1[[#This Row],[CountryCode]],[1]!Table1[#All],1,FALSE)</f>
        <v>#REF!</v>
      </c>
    </row>
    <row r="10781" spans="1:12" x14ac:dyDescent="0.3">
      <c r="A10781" t="s">
        <v>119</v>
      </c>
      <c r="B10781" t="s">
        <v>120</v>
      </c>
      <c r="C10781" t="s">
        <v>129</v>
      </c>
      <c r="D10781" t="s">
        <v>130</v>
      </c>
      <c r="E10781">
        <v>2020</v>
      </c>
      <c r="F10781" s="1">
        <v>73</v>
      </c>
      <c r="G10781">
        <v>2020</v>
      </c>
      <c r="H10781">
        <f>AVERAGEIFS(Table1[value],Table1[IndicatorCode],Table1[[#This Row],[IndicatorCode]])</f>
        <v>72.66514008620689</v>
      </c>
      <c r="I10781" cm="1">
        <f t="array" ref="I10781">_xlfn.STDEV.P(IF(Table1[IndicatorCode]=Table1[[#This Row],[IndicatorCode]],Table1[value]))</f>
        <v>6.3409496564024987</v>
      </c>
      <c r="J10781">
        <f>(Table1[[#This Row],[value]] - Table1[[#This Row],[mean]]) / Table1[[#This Row],[std_dev]]</f>
        <v>5.2809110927887599E-2</v>
      </c>
      <c r="K10781">
        <f>AVERAGEIF(Table1[CountryCode],Table1[[#This Row],[CountryCode]],Table1[z-score])</f>
        <v>-0.21176470411950787</v>
      </c>
    </row>
    <row r="10782" spans="1:12" hidden="1" x14ac:dyDescent="0.3">
      <c r="A10782" t="s">
        <v>119</v>
      </c>
      <c r="B10782" t="s">
        <v>120</v>
      </c>
      <c r="C10782" t="s">
        <v>129</v>
      </c>
      <c r="D10782" t="s">
        <v>130</v>
      </c>
      <c r="E10782">
        <v>2021</v>
      </c>
      <c r="F10782" s="1">
        <v>72</v>
      </c>
      <c r="G10782">
        <v>1960</v>
      </c>
      <c r="H10782">
        <f>AVERAGEIFS(Table1[value],Table1[IndicatorCode],Table1[[#This Row],[IndicatorCode]])</f>
        <v>72.66514008620689</v>
      </c>
      <c r="I10782" cm="1">
        <f t="array" ref="I10782">_xlfn.STDEV.P(IF(Table1[IndicatorCode]=Table1[[#This Row],[IndicatorCode]],Table1[value]))</f>
        <v>6.3409496564024987</v>
      </c>
      <c r="J10782">
        <f>(Table1[[#This Row],[value]] - Table1[[#This Row],[mean]]) / Table1[[#This Row],[std_dev]]</f>
        <v>-0.10489597335555145</v>
      </c>
      <c r="K10782">
        <f>AVERAGEIF(Table1[CountryCode],Table1[[#This Row],[CountryCode]],Table1[z-score])</f>
        <v>-0.21176470411950787</v>
      </c>
      <c r="L10782" t="e">
        <f>VLOOKUP(Table1[[#This Row],[CountryCode]],[1]!Table1[#All],1,FALSE)</f>
        <v>#REF!</v>
      </c>
    </row>
    <row r="10783" spans="1:12" hidden="1" x14ac:dyDescent="0.3">
      <c r="A10783" t="s">
        <v>119</v>
      </c>
      <c r="B10783" t="s">
        <v>120</v>
      </c>
      <c r="C10783" t="s">
        <v>129</v>
      </c>
      <c r="D10783" t="s">
        <v>130</v>
      </c>
      <c r="E10783">
        <v>2022</v>
      </c>
      <c r="F10783" s="1">
        <v>73</v>
      </c>
      <c r="G10783">
        <v>1960</v>
      </c>
      <c r="H10783">
        <f>AVERAGEIFS(Table1[value],Table1[IndicatorCode],Table1[[#This Row],[IndicatorCode]])</f>
        <v>72.66514008620689</v>
      </c>
      <c r="I10783" cm="1">
        <f t="array" ref="I10783">_xlfn.STDEV.P(IF(Table1[IndicatorCode]=Table1[[#This Row],[IndicatorCode]],Table1[value]))</f>
        <v>6.3409496564024987</v>
      </c>
      <c r="J10783">
        <f>(Table1[[#This Row],[value]] - Table1[[#This Row],[mean]]) / Table1[[#This Row],[std_dev]]</f>
        <v>5.2809110927887599E-2</v>
      </c>
      <c r="K10783">
        <f>AVERAGEIF(Table1[CountryCode],Table1[[#This Row],[CountryCode]],Table1[z-score])</f>
        <v>-0.21176470411950787</v>
      </c>
      <c r="L10783" t="e">
        <f>VLOOKUP(Table1[[#This Row],[CountryCode]],[1]!Table1[#All],1,FALSE)</f>
        <v>#REF!</v>
      </c>
    </row>
    <row r="10784" spans="1:12" hidden="1" x14ac:dyDescent="0.3">
      <c r="A10784" t="s">
        <v>119</v>
      </c>
      <c r="B10784" t="s">
        <v>120</v>
      </c>
      <c r="C10784" t="s">
        <v>129</v>
      </c>
      <c r="D10784" t="s">
        <v>130</v>
      </c>
      <c r="E10784">
        <v>2023</v>
      </c>
      <c r="F10784" s="1">
        <v>73</v>
      </c>
      <c r="G10784">
        <v>1960</v>
      </c>
      <c r="H10784">
        <f>AVERAGEIFS(Table1[value],Table1[IndicatorCode],Table1[[#This Row],[IndicatorCode]])</f>
        <v>72.66514008620689</v>
      </c>
      <c r="I10784" cm="1">
        <f t="array" ref="I10784">_xlfn.STDEV.P(IF(Table1[IndicatorCode]=Table1[[#This Row],[IndicatorCode]],Table1[value]))</f>
        <v>6.3409496564024987</v>
      </c>
      <c r="J10784">
        <f>(Table1[[#This Row],[value]] - Table1[[#This Row],[mean]]) / Table1[[#This Row],[std_dev]]</f>
        <v>5.2809110927887599E-2</v>
      </c>
      <c r="K10784">
        <f>AVERAGEIF(Table1[CountryCode],Table1[[#This Row],[CountryCode]],Table1[z-score])</f>
        <v>-0.21176470411950787</v>
      </c>
      <c r="L10784" t="e">
        <f>VLOOKUP(Table1[[#This Row],[CountryCode]],[1]!Table1[#All],1,FALSE)</f>
        <v>#REF!</v>
      </c>
    </row>
    <row r="10785" spans="1:12" hidden="1" x14ac:dyDescent="0.3">
      <c r="A10785" t="s">
        <v>121</v>
      </c>
      <c r="B10785" t="s">
        <v>122</v>
      </c>
      <c r="C10785" t="s">
        <v>129</v>
      </c>
      <c r="D10785" t="s">
        <v>130</v>
      </c>
      <c r="E10785">
        <v>1960</v>
      </c>
      <c r="F10785" s="1">
        <v>57</v>
      </c>
      <c r="G10785">
        <v>1960</v>
      </c>
      <c r="H10785">
        <f>AVERAGEIFS(Table1[value],Table1[IndicatorCode],Table1[[#This Row],[IndicatorCode]])</f>
        <v>72.66514008620689</v>
      </c>
      <c r="I10785" cm="1">
        <f t="array" ref="I10785">_xlfn.STDEV.P(IF(Table1[IndicatorCode]=Table1[[#This Row],[IndicatorCode]],Table1[value]))</f>
        <v>6.3409496564024987</v>
      </c>
      <c r="J10785">
        <f>(Table1[[#This Row],[value]] - Table1[[#This Row],[mean]]) / Table1[[#This Row],[std_dev]]</f>
        <v>-2.4704722376071375</v>
      </c>
      <c r="K10785">
        <f>AVERAGEIF(Table1[CountryCode],Table1[[#This Row],[CountryCode]],Table1[z-score])</f>
        <v>-0.73322176935075789</v>
      </c>
      <c r="L10785" t="e">
        <f>VLOOKUP(Table1[[#This Row],[CountryCode]],[1]!Table1[#All],1,FALSE)</f>
        <v>#REF!</v>
      </c>
    </row>
    <row r="10786" spans="1:12" hidden="1" x14ac:dyDescent="0.3">
      <c r="A10786" t="s">
        <v>121</v>
      </c>
      <c r="B10786" t="s">
        <v>122</v>
      </c>
      <c r="C10786" t="s">
        <v>129</v>
      </c>
      <c r="D10786" t="s">
        <v>130</v>
      </c>
      <c r="E10786">
        <v>1961</v>
      </c>
      <c r="F10786" s="1">
        <v>57</v>
      </c>
      <c r="G10786">
        <v>1960</v>
      </c>
      <c r="H10786">
        <f>AVERAGEIFS(Table1[value],Table1[IndicatorCode],Table1[[#This Row],[IndicatorCode]])</f>
        <v>72.66514008620689</v>
      </c>
      <c r="I10786" cm="1">
        <f t="array" ref="I10786">_xlfn.STDEV.P(IF(Table1[IndicatorCode]=Table1[[#This Row],[IndicatorCode]],Table1[value]))</f>
        <v>6.3409496564024987</v>
      </c>
      <c r="J10786">
        <f>(Table1[[#This Row],[value]] - Table1[[#This Row],[mean]]) / Table1[[#This Row],[std_dev]]</f>
        <v>-2.4704722376071375</v>
      </c>
      <c r="K10786">
        <f>AVERAGEIF(Table1[CountryCode],Table1[[#This Row],[CountryCode]],Table1[z-score])</f>
        <v>-0.73322176935075789</v>
      </c>
      <c r="L10786" t="e">
        <f>VLOOKUP(Table1[[#This Row],[CountryCode]],[1]!Table1[#All],1,FALSE)</f>
        <v>#REF!</v>
      </c>
    </row>
    <row r="10787" spans="1:12" hidden="1" x14ac:dyDescent="0.3">
      <c r="A10787" t="s">
        <v>121</v>
      </c>
      <c r="B10787" t="s">
        <v>122</v>
      </c>
      <c r="C10787" t="s">
        <v>129</v>
      </c>
      <c r="D10787" t="s">
        <v>130</v>
      </c>
      <c r="E10787">
        <v>1962</v>
      </c>
      <c r="F10787" s="1">
        <v>57</v>
      </c>
      <c r="G10787">
        <v>1960</v>
      </c>
      <c r="H10787">
        <f>AVERAGEIFS(Table1[value],Table1[IndicatorCode],Table1[[#This Row],[IndicatorCode]])</f>
        <v>72.66514008620689</v>
      </c>
      <c r="I10787" cm="1">
        <f t="array" ref="I10787">_xlfn.STDEV.P(IF(Table1[IndicatorCode]=Table1[[#This Row],[IndicatorCode]],Table1[value]))</f>
        <v>6.3409496564024987</v>
      </c>
      <c r="J10787">
        <f>(Table1[[#This Row],[value]] - Table1[[#This Row],[mean]]) / Table1[[#This Row],[std_dev]]</f>
        <v>-2.4704722376071375</v>
      </c>
      <c r="K10787">
        <f>AVERAGEIF(Table1[CountryCode],Table1[[#This Row],[CountryCode]],Table1[z-score])</f>
        <v>-0.73322176935075789</v>
      </c>
      <c r="L10787" t="e">
        <f>VLOOKUP(Table1[[#This Row],[CountryCode]],[1]!Table1[#All],1,FALSE)</f>
        <v>#REF!</v>
      </c>
    </row>
    <row r="10788" spans="1:12" hidden="1" x14ac:dyDescent="0.3">
      <c r="A10788" t="s">
        <v>121</v>
      </c>
      <c r="B10788" t="s">
        <v>122</v>
      </c>
      <c r="C10788" t="s">
        <v>129</v>
      </c>
      <c r="D10788" t="s">
        <v>130</v>
      </c>
      <c r="E10788">
        <v>1963</v>
      </c>
      <c r="F10788" s="1">
        <v>58</v>
      </c>
      <c r="G10788">
        <v>1960</v>
      </c>
      <c r="H10788">
        <f>AVERAGEIFS(Table1[value],Table1[IndicatorCode],Table1[[#This Row],[IndicatorCode]])</f>
        <v>72.66514008620689</v>
      </c>
      <c r="I10788" cm="1">
        <f t="array" ref="I10788">_xlfn.STDEV.P(IF(Table1[IndicatorCode]=Table1[[#This Row],[IndicatorCode]],Table1[value]))</f>
        <v>6.3409496564024987</v>
      </c>
      <c r="J10788">
        <f>(Table1[[#This Row],[value]] - Table1[[#This Row],[mean]]) / Table1[[#This Row],[std_dev]]</f>
        <v>-2.3127671533236982</v>
      </c>
      <c r="K10788">
        <f>AVERAGEIF(Table1[CountryCode],Table1[[#This Row],[CountryCode]],Table1[z-score])</f>
        <v>-0.73322176935075789</v>
      </c>
      <c r="L10788" t="e">
        <f>VLOOKUP(Table1[[#This Row],[CountryCode]],[1]!Table1[#All],1,FALSE)</f>
        <v>#REF!</v>
      </c>
    </row>
    <row r="10789" spans="1:12" hidden="1" x14ac:dyDescent="0.3">
      <c r="A10789" t="s">
        <v>121</v>
      </c>
      <c r="B10789" t="s">
        <v>122</v>
      </c>
      <c r="C10789" t="s">
        <v>129</v>
      </c>
      <c r="D10789" t="s">
        <v>130</v>
      </c>
      <c r="E10789">
        <v>1964</v>
      </c>
      <c r="F10789" s="1">
        <v>58</v>
      </c>
      <c r="G10789">
        <v>1960</v>
      </c>
      <c r="H10789">
        <f>AVERAGEIFS(Table1[value],Table1[IndicatorCode],Table1[[#This Row],[IndicatorCode]])</f>
        <v>72.66514008620689</v>
      </c>
      <c r="I10789" cm="1">
        <f t="array" ref="I10789">_xlfn.STDEV.P(IF(Table1[IndicatorCode]=Table1[[#This Row],[IndicatorCode]],Table1[value]))</f>
        <v>6.3409496564024987</v>
      </c>
      <c r="J10789">
        <f>(Table1[[#This Row],[value]] - Table1[[#This Row],[mean]]) / Table1[[#This Row],[std_dev]]</f>
        <v>-2.3127671533236982</v>
      </c>
      <c r="K10789">
        <f>AVERAGEIF(Table1[CountryCode],Table1[[#This Row],[CountryCode]],Table1[z-score])</f>
        <v>-0.73322176935075789</v>
      </c>
      <c r="L10789" t="e">
        <f>VLOOKUP(Table1[[#This Row],[CountryCode]],[1]!Table1[#All],1,FALSE)</f>
        <v>#REF!</v>
      </c>
    </row>
    <row r="10790" spans="1:12" hidden="1" x14ac:dyDescent="0.3">
      <c r="A10790" t="s">
        <v>121</v>
      </c>
      <c r="B10790" t="s">
        <v>122</v>
      </c>
      <c r="C10790" t="s">
        <v>129</v>
      </c>
      <c r="D10790" t="s">
        <v>130</v>
      </c>
      <c r="E10790">
        <v>1965</v>
      </c>
      <c r="F10790" s="1">
        <v>58</v>
      </c>
      <c r="G10790">
        <v>1960</v>
      </c>
      <c r="H10790">
        <f>AVERAGEIFS(Table1[value],Table1[IndicatorCode],Table1[[#This Row],[IndicatorCode]])</f>
        <v>72.66514008620689</v>
      </c>
      <c r="I10790" cm="1">
        <f t="array" ref="I10790">_xlfn.STDEV.P(IF(Table1[IndicatorCode]=Table1[[#This Row],[IndicatorCode]],Table1[value]))</f>
        <v>6.3409496564024987</v>
      </c>
      <c r="J10790">
        <f>(Table1[[#This Row],[value]] - Table1[[#This Row],[mean]]) / Table1[[#This Row],[std_dev]]</f>
        <v>-2.3127671533236982</v>
      </c>
      <c r="K10790">
        <f>AVERAGEIF(Table1[CountryCode],Table1[[#This Row],[CountryCode]],Table1[z-score])</f>
        <v>-0.73322176935075789</v>
      </c>
      <c r="L10790" t="e">
        <f>VLOOKUP(Table1[[#This Row],[CountryCode]],[1]!Table1[#All],1,FALSE)</f>
        <v>#REF!</v>
      </c>
    </row>
    <row r="10791" spans="1:12" hidden="1" x14ac:dyDescent="0.3">
      <c r="A10791" t="s">
        <v>121</v>
      </c>
      <c r="B10791" t="s">
        <v>122</v>
      </c>
      <c r="C10791" t="s">
        <v>129</v>
      </c>
      <c r="D10791" t="s">
        <v>130</v>
      </c>
      <c r="E10791">
        <v>1966</v>
      </c>
      <c r="F10791" s="1">
        <v>59</v>
      </c>
      <c r="G10791">
        <v>1960</v>
      </c>
      <c r="H10791">
        <f>AVERAGEIFS(Table1[value],Table1[IndicatorCode],Table1[[#This Row],[IndicatorCode]])</f>
        <v>72.66514008620689</v>
      </c>
      <c r="I10791" cm="1">
        <f t="array" ref="I10791">_xlfn.STDEV.P(IF(Table1[IndicatorCode]=Table1[[#This Row],[IndicatorCode]],Table1[value]))</f>
        <v>6.3409496564024987</v>
      </c>
      <c r="J10791">
        <f>(Table1[[#This Row],[value]] - Table1[[#This Row],[mean]]) / Table1[[#This Row],[std_dev]]</f>
        <v>-2.1550620690402593</v>
      </c>
      <c r="K10791">
        <f>AVERAGEIF(Table1[CountryCode],Table1[[#This Row],[CountryCode]],Table1[z-score])</f>
        <v>-0.73322176935075789</v>
      </c>
      <c r="L10791" t="e">
        <f>VLOOKUP(Table1[[#This Row],[CountryCode]],[1]!Table1[#All],1,FALSE)</f>
        <v>#REF!</v>
      </c>
    </row>
    <row r="10792" spans="1:12" hidden="1" x14ac:dyDescent="0.3">
      <c r="A10792" t="s">
        <v>121</v>
      </c>
      <c r="B10792" t="s">
        <v>122</v>
      </c>
      <c r="C10792" t="s">
        <v>129</v>
      </c>
      <c r="D10792" t="s">
        <v>130</v>
      </c>
      <c r="E10792">
        <v>1967</v>
      </c>
      <c r="F10792" s="1">
        <v>59</v>
      </c>
      <c r="G10792">
        <v>1970</v>
      </c>
      <c r="H10792">
        <f>AVERAGEIFS(Table1[value],Table1[IndicatorCode],Table1[[#This Row],[IndicatorCode]])</f>
        <v>72.66514008620689</v>
      </c>
      <c r="I10792" cm="1">
        <f t="array" ref="I10792">_xlfn.STDEV.P(IF(Table1[IndicatorCode]=Table1[[#This Row],[IndicatorCode]],Table1[value]))</f>
        <v>6.3409496564024987</v>
      </c>
      <c r="J10792">
        <f>(Table1[[#This Row],[value]] - Table1[[#This Row],[mean]]) / Table1[[#This Row],[std_dev]]</f>
        <v>-2.1550620690402593</v>
      </c>
      <c r="K10792">
        <f>AVERAGEIF(Table1[CountryCode],Table1[[#This Row],[CountryCode]],Table1[z-score])</f>
        <v>-0.73322176935075789</v>
      </c>
      <c r="L10792" t="e">
        <f>VLOOKUP(Table1[[#This Row],[CountryCode]],[1]!Table1[#All],1,FALSE)</f>
        <v>#REF!</v>
      </c>
    </row>
    <row r="10793" spans="1:12" hidden="1" x14ac:dyDescent="0.3">
      <c r="A10793" t="s">
        <v>121</v>
      </c>
      <c r="B10793" t="s">
        <v>122</v>
      </c>
      <c r="C10793" t="s">
        <v>129</v>
      </c>
      <c r="D10793" t="s">
        <v>130</v>
      </c>
      <c r="E10793">
        <v>1968</v>
      </c>
      <c r="F10793" s="1">
        <v>59</v>
      </c>
      <c r="G10793">
        <v>1970</v>
      </c>
      <c r="H10793">
        <f>AVERAGEIFS(Table1[value],Table1[IndicatorCode],Table1[[#This Row],[IndicatorCode]])</f>
        <v>72.66514008620689</v>
      </c>
      <c r="I10793" cm="1">
        <f t="array" ref="I10793">_xlfn.STDEV.P(IF(Table1[IndicatorCode]=Table1[[#This Row],[IndicatorCode]],Table1[value]))</f>
        <v>6.3409496564024987</v>
      </c>
      <c r="J10793">
        <f>(Table1[[#This Row],[value]] - Table1[[#This Row],[mean]]) / Table1[[#This Row],[std_dev]]</f>
        <v>-2.1550620690402593</v>
      </c>
      <c r="K10793">
        <f>AVERAGEIF(Table1[CountryCode],Table1[[#This Row],[CountryCode]],Table1[z-score])</f>
        <v>-0.73322176935075789</v>
      </c>
      <c r="L10793" t="e">
        <f>VLOOKUP(Table1[[#This Row],[CountryCode]],[1]!Table1[#All],1,FALSE)</f>
        <v>#REF!</v>
      </c>
    </row>
    <row r="10794" spans="1:12" hidden="1" x14ac:dyDescent="0.3">
      <c r="A10794" t="s">
        <v>121</v>
      </c>
      <c r="B10794" t="s">
        <v>122</v>
      </c>
      <c r="C10794" t="s">
        <v>129</v>
      </c>
      <c r="D10794" t="s">
        <v>130</v>
      </c>
      <c r="E10794">
        <v>1969</v>
      </c>
      <c r="F10794" s="1">
        <v>60</v>
      </c>
      <c r="G10794">
        <v>1970</v>
      </c>
      <c r="H10794">
        <f>AVERAGEIFS(Table1[value],Table1[IndicatorCode],Table1[[#This Row],[IndicatorCode]])</f>
        <v>72.66514008620689</v>
      </c>
      <c r="I10794" cm="1">
        <f t="array" ref="I10794">_xlfn.STDEV.P(IF(Table1[IndicatorCode]=Table1[[#This Row],[IndicatorCode]],Table1[value]))</f>
        <v>6.3409496564024987</v>
      </c>
      <c r="J10794">
        <f>(Table1[[#This Row],[value]] - Table1[[#This Row],[mean]]) / Table1[[#This Row],[std_dev]]</f>
        <v>-1.9973569847568202</v>
      </c>
      <c r="K10794">
        <f>AVERAGEIF(Table1[CountryCode],Table1[[#This Row],[CountryCode]],Table1[z-score])</f>
        <v>-0.73322176935075789</v>
      </c>
      <c r="L10794" t="e">
        <f>VLOOKUP(Table1[[#This Row],[CountryCode]],[1]!Table1[#All],1,FALSE)</f>
        <v>#REF!</v>
      </c>
    </row>
    <row r="10795" spans="1:12" hidden="1" x14ac:dyDescent="0.3">
      <c r="A10795" t="s">
        <v>121</v>
      </c>
      <c r="B10795" t="s">
        <v>122</v>
      </c>
      <c r="C10795" t="s">
        <v>129</v>
      </c>
      <c r="D10795" t="s">
        <v>130</v>
      </c>
      <c r="E10795">
        <v>1970</v>
      </c>
      <c r="F10795" s="1">
        <v>60</v>
      </c>
      <c r="G10795">
        <v>1970</v>
      </c>
      <c r="H10795">
        <f>AVERAGEIFS(Table1[value],Table1[IndicatorCode],Table1[[#This Row],[IndicatorCode]])</f>
        <v>72.66514008620689</v>
      </c>
      <c r="I10795" cm="1">
        <f t="array" ref="I10795">_xlfn.STDEV.P(IF(Table1[IndicatorCode]=Table1[[#This Row],[IndicatorCode]],Table1[value]))</f>
        <v>6.3409496564024987</v>
      </c>
      <c r="J10795">
        <f>(Table1[[#This Row],[value]] - Table1[[#This Row],[mean]]) / Table1[[#This Row],[std_dev]]</f>
        <v>-1.9973569847568202</v>
      </c>
      <c r="K10795">
        <f>AVERAGEIF(Table1[CountryCode],Table1[[#This Row],[CountryCode]],Table1[z-score])</f>
        <v>-0.73322176935075789</v>
      </c>
      <c r="L10795" t="e">
        <f>VLOOKUP(Table1[[#This Row],[CountryCode]],[1]!Table1[#All],1,FALSE)</f>
        <v>#REF!</v>
      </c>
    </row>
    <row r="10796" spans="1:12" hidden="1" x14ac:dyDescent="0.3">
      <c r="A10796" t="s">
        <v>121</v>
      </c>
      <c r="B10796" t="s">
        <v>122</v>
      </c>
      <c r="C10796" t="s">
        <v>129</v>
      </c>
      <c r="D10796" t="s">
        <v>130</v>
      </c>
      <c r="E10796">
        <v>1971</v>
      </c>
      <c r="F10796" s="1">
        <v>60</v>
      </c>
      <c r="G10796">
        <v>1970</v>
      </c>
      <c r="H10796">
        <f>AVERAGEIFS(Table1[value],Table1[IndicatorCode],Table1[[#This Row],[IndicatorCode]])</f>
        <v>72.66514008620689</v>
      </c>
      <c r="I10796" cm="1">
        <f t="array" ref="I10796">_xlfn.STDEV.P(IF(Table1[IndicatorCode]=Table1[[#This Row],[IndicatorCode]],Table1[value]))</f>
        <v>6.3409496564024987</v>
      </c>
      <c r="J10796">
        <f>(Table1[[#This Row],[value]] - Table1[[#This Row],[mean]]) / Table1[[#This Row],[std_dev]]</f>
        <v>-1.9973569847568202</v>
      </c>
      <c r="K10796">
        <f>AVERAGEIF(Table1[CountryCode],Table1[[#This Row],[CountryCode]],Table1[z-score])</f>
        <v>-0.73322176935075789</v>
      </c>
      <c r="L10796" t="e">
        <f>VLOOKUP(Table1[[#This Row],[CountryCode]],[1]!Table1[#All],1,FALSE)</f>
        <v>#REF!</v>
      </c>
    </row>
    <row r="10797" spans="1:12" hidden="1" x14ac:dyDescent="0.3">
      <c r="A10797" t="s">
        <v>121</v>
      </c>
      <c r="B10797" t="s">
        <v>122</v>
      </c>
      <c r="C10797" t="s">
        <v>129</v>
      </c>
      <c r="D10797" t="s">
        <v>130</v>
      </c>
      <c r="E10797">
        <v>1972</v>
      </c>
      <c r="F10797" s="1">
        <v>61</v>
      </c>
      <c r="G10797">
        <v>1970</v>
      </c>
      <c r="H10797">
        <f>AVERAGEIFS(Table1[value],Table1[IndicatorCode],Table1[[#This Row],[IndicatorCode]])</f>
        <v>72.66514008620689</v>
      </c>
      <c r="I10797" cm="1">
        <f t="array" ref="I10797">_xlfn.STDEV.P(IF(Table1[IndicatorCode]=Table1[[#This Row],[IndicatorCode]],Table1[value]))</f>
        <v>6.3409496564024987</v>
      </c>
      <c r="J10797">
        <f>(Table1[[#This Row],[value]] - Table1[[#This Row],[mean]]) / Table1[[#This Row],[std_dev]]</f>
        <v>-1.8396519004733811</v>
      </c>
      <c r="K10797">
        <f>AVERAGEIF(Table1[CountryCode],Table1[[#This Row],[CountryCode]],Table1[z-score])</f>
        <v>-0.73322176935075789</v>
      </c>
      <c r="L10797" t="e">
        <f>VLOOKUP(Table1[[#This Row],[CountryCode]],[1]!Table1[#All],1,FALSE)</f>
        <v>#REF!</v>
      </c>
    </row>
    <row r="10798" spans="1:12" hidden="1" x14ac:dyDescent="0.3">
      <c r="A10798" t="s">
        <v>121</v>
      </c>
      <c r="B10798" t="s">
        <v>122</v>
      </c>
      <c r="C10798" t="s">
        <v>129</v>
      </c>
      <c r="D10798" t="s">
        <v>130</v>
      </c>
      <c r="E10798">
        <v>1973</v>
      </c>
      <c r="F10798" s="1">
        <v>61</v>
      </c>
      <c r="G10798">
        <v>1970</v>
      </c>
      <c r="H10798">
        <f>AVERAGEIFS(Table1[value],Table1[IndicatorCode],Table1[[#This Row],[IndicatorCode]])</f>
        <v>72.66514008620689</v>
      </c>
      <c r="I10798" cm="1">
        <f t="array" ref="I10798">_xlfn.STDEV.P(IF(Table1[IndicatorCode]=Table1[[#This Row],[IndicatorCode]],Table1[value]))</f>
        <v>6.3409496564024987</v>
      </c>
      <c r="J10798">
        <f>(Table1[[#This Row],[value]] - Table1[[#This Row],[mean]]) / Table1[[#This Row],[std_dev]]</f>
        <v>-1.8396519004733811</v>
      </c>
      <c r="K10798">
        <f>AVERAGEIF(Table1[CountryCode],Table1[[#This Row],[CountryCode]],Table1[z-score])</f>
        <v>-0.73322176935075789</v>
      </c>
      <c r="L10798" t="e">
        <f>VLOOKUP(Table1[[#This Row],[CountryCode]],[1]!Table1[#All],1,FALSE)</f>
        <v>#REF!</v>
      </c>
    </row>
    <row r="10799" spans="1:12" hidden="1" x14ac:dyDescent="0.3">
      <c r="A10799" t="s">
        <v>121</v>
      </c>
      <c r="B10799" t="s">
        <v>122</v>
      </c>
      <c r="C10799" t="s">
        <v>129</v>
      </c>
      <c r="D10799" t="s">
        <v>130</v>
      </c>
      <c r="E10799">
        <v>1974</v>
      </c>
      <c r="F10799" s="1">
        <v>61</v>
      </c>
      <c r="G10799">
        <v>1970</v>
      </c>
      <c r="H10799">
        <f>AVERAGEIFS(Table1[value],Table1[IndicatorCode],Table1[[#This Row],[IndicatorCode]])</f>
        <v>72.66514008620689</v>
      </c>
      <c r="I10799" cm="1">
        <f t="array" ref="I10799">_xlfn.STDEV.P(IF(Table1[IndicatorCode]=Table1[[#This Row],[IndicatorCode]],Table1[value]))</f>
        <v>6.3409496564024987</v>
      </c>
      <c r="J10799">
        <f>(Table1[[#This Row],[value]] - Table1[[#This Row],[mean]]) / Table1[[#This Row],[std_dev]]</f>
        <v>-1.8396519004733811</v>
      </c>
      <c r="K10799">
        <f>AVERAGEIF(Table1[CountryCode],Table1[[#This Row],[CountryCode]],Table1[z-score])</f>
        <v>-0.73322176935075789</v>
      </c>
      <c r="L10799" t="e">
        <f>VLOOKUP(Table1[[#This Row],[CountryCode]],[1]!Table1[#All],1,FALSE)</f>
        <v>#REF!</v>
      </c>
    </row>
    <row r="10800" spans="1:12" hidden="1" x14ac:dyDescent="0.3">
      <c r="A10800" t="s">
        <v>121</v>
      </c>
      <c r="B10800" t="s">
        <v>122</v>
      </c>
      <c r="C10800" t="s">
        <v>129</v>
      </c>
      <c r="D10800" t="s">
        <v>130</v>
      </c>
      <c r="E10800">
        <v>1975</v>
      </c>
      <c r="F10800" s="1">
        <v>62</v>
      </c>
      <c r="G10800">
        <v>1970</v>
      </c>
      <c r="H10800">
        <f>AVERAGEIFS(Table1[value],Table1[IndicatorCode],Table1[[#This Row],[IndicatorCode]])</f>
        <v>72.66514008620689</v>
      </c>
      <c r="I10800" cm="1">
        <f t="array" ref="I10800">_xlfn.STDEV.P(IF(Table1[IndicatorCode]=Table1[[#This Row],[IndicatorCode]],Table1[value]))</f>
        <v>6.3409496564024987</v>
      </c>
      <c r="J10800">
        <f>(Table1[[#This Row],[value]] - Table1[[#This Row],[mean]]) / Table1[[#This Row],[std_dev]]</f>
        <v>-1.681946816189942</v>
      </c>
      <c r="K10800">
        <f>AVERAGEIF(Table1[CountryCode],Table1[[#This Row],[CountryCode]],Table1[z-score])</f>
        <v>-0.73322176935075789</v>
      </c>
      <c r="L10800" t="e">
        <f>VLOOKUP(Table1[[#This Row],[CountryCode]],[1]!Table1[#All],1,FALSE)</f>
        <v>#REF!</v>
      </c>
    </row>
    <row r="10801" spans="1:12" hidden="1" x14ac:dyDescent="0.3">
      <c r="A10801" t="s">
        <v>121</v>
      </c>
      <c r="B10801" t="s">
        <v>122</v>
      </c>
      <c r="C10801" t="s">
        <v>129</v>
      </c>
      <c r="D10801" t="s">
        <v>130</v>
      </c>
      <c r="E10801">
        <v>1976</v>
      </c>
      <c r="F10801" s="1">
        <v>62</v>
      </c>
      <c r="G10801">
        <v>1970</v>
      </c>
      <c r="H10801">
        <f>AVERAGEIFS(Table1[value],Table1[IndicatorCode],Table1[[#This Row],[IndicatorCode]])</f>
        <v>72.66514008620689</v>
      </c>
      <c r="I10801" cm="1">
        <f t="array" ref="I10801">_xlfn.STDEV.P(IF(Table1[IndicatorCode]=Table1[[#This Row],[IndicatorCode]],Table1[value]))</f>
        <v>6.3409496564024987</v>
      </c>
      <c r="J10801">
        <f>(Table1[[#This Row],[value]] - Table1[[#This Row],[mean]]) / Table1[[#This Row],[std_dev]]</f>
        <v>-1.681946816189942</v>
      </c>
      <c r="K10801">
        <f>AVERAGEIF(Table1[CountryCode],Table1[[#This Row],[CountryCode]],Table1[z-score])</f>
        <v>-0.73322176935075789</v>
      </c>
      <c r="L10801" t="e">
        <f>VLOOKUP(Table1[[#This Row],[CountryCode]],[1]!Table1[#All],1,FALSE)</f>
        <v>#REF!</v>
      </c>
    </row>
    <row r="10802" spans="1:12" hidden="1" x14ac:dyDescent="0.3">
      <c r="A10802" t="s">
        <v>121</v>
      </c>
      <c r="B10802" t="s">
        <v>122</v>
      </c>
      <c r="C10802" t="s">
        <v>129</v>
      </c>
      <c r="D10802" t="s">
        <v>130</v>
      </c>
      <c r="E10802">
        <v>1977</v>
      </c>
      <c r="F10802" s="1">
        <v>62</v>
      </c>
      <c r="G10802">
        <v>1980</v>
      </c>
      <c r="H10802">
        <f>AVERAGEIFS(Table1[value],Table1[IndicatorCode],Table1[[#This Row],[IndicatorCode]])</f>
        <v>72.66514008620689</v>
      </c>
      <c r="I10802" cm="1">
        <f t="array" ref="I10802">_xlfn.STDEV.P(IF(Table1[IndicatorCode]=Table1[[#This Row],[IndicatorCode]],Table1[value]))</f>
        <v>6.3409496564024987</v>
      </c>
      <c r="J10802">
        <f>(Table1[[#This Row],[value]] - Table1[[#This Row],[mean]]) / Table1[[#This Row],[std_dev]]</f>
        <v>-1.681946816189942</v>
      </c>
      <c r="K10802">
        <f>AVERAGEIF(Table1[CountryCode],Table1[[#This Row],[CountryCode]],Table1[z-score])</f>
        <v>-0.73322176935075789</v>
      </c>
      <c r="L10802" t="e">
        <f>VLOOKUP(Table1[[#This Row],[CountryCode]],[1]!Table1[#All],1,FALSE)</f>
        <v>#REF!</v>
      </c>
    </row>
    <row r="10803" spans="1:12" hidden="1" x14ac:dyDescent="0.3">
      <c r="A10803" t="s">
        <v>121</v>
      </c>
      <c r="B10803" t="s">
        <v>122</v>
      </c>
      <c r="C10803" t="s">
        <v>129</v>
      </c>
      <c r="D10803" t="s">
        <v>130</v>
      </c>
      <c r="E10803">
        <v>1978</v>
      </c>
      <c r="F10803" s="1">
        <v>62</v>
      </c>
      <c r="G10803">
        <v>1980</v>
      </c>
      <c r="H10803">
        <f>AVERAGEIFS(Table1[value],Table1[IndicatorCode],Table1[[#This Row],[IndicatorCode]])</f>
        <v>72.66514008620689</v>
      </c>
      <c r="I10803" cm="1">
        <f t="array" ref="I10803">_xlfn.STDEV.P(IF(Table1[IndicatorCode]=Table1[[#This Row],[IndicatorCode]],Table1[value]))</f>
        <v>6.3409496564024987</v>
      </c>
      <c r="J10803">
        <f>(Table1[[#This Row],[value]] - Table1[[#This Row],[mean]]) / Table1[[#This Row],[std_dev]]</f>
        <v>-1.681946816189942</v>
      </c>
      <c r="K10803">
        <f>AVERAGEIF(Table1[CountryCode],Table1[[#This Row],[CountryCode]],Table1[z-score])</f>
        <v>-0.73322176935075789</v>
      </c>
      <c r="L10803" t="e">
        <f>VLOOKUP(Table1[[#This Row],[CountryCode]],[1]!Table1[#All],1,FALSE)</f>
        <v>#REF!</v>
      </c>
    </row>
    <row r="10804" spans="1:12" hidden="1" x14ac:dyDescent="0.3">
      <c r="A10804" t="s">
        <v>121</v>
      </c>
      <c r="B10804" t="s">
        <v>122</v>
      </c>
      <c r="C10804" t="s">
        <v>129</v>
      </c>
      <c r="D10804" t="s">
        <v>130</v>
      </c>
      <c r="E10804">
        <v>1979</v>
      </c>
      <c r="F10804" s="1">
        <v>63</v>
      </c>
      <c r="G10804">
        <v>1980</v>
      </c>
      <c r="H10804">
        <f>AVERAGEIFS(Table1[value],Table1[IndicatorCode],Table1[[#This Row],[IndicatorCode]])</f>
        <v>72.66514008620689</v>
      </c>
      <c r="I10804" cm="1">
        <f t="array" ref="I10804">_xlfn.STDEV.P(IF(Table1[IndicatorCode]=Table1[[#This Row],[IndicatorCode]],Table1[value]))</f>
        <v>6.3409496564024987</v>
      </c>
      <c r="J10804">
        <f>(Table1[[#This Row],[value]] - Table1[[#This Row],[mean]]) / Table1[[#This Row],[std_dev]]</f>
        <v>-1.5242417319065029</v>
      </c>
      <c r="K10804">
        <f>AVERAGEIF(Table1[CountryCode],Table1[[#This Row],[CountryCode]],Table1[z-score])</f>
        <v>-0.73322176935075789</v>
      </c>
      <c r="L10804" t="e">
        <f>VLOOKUP(Table1[[#This Row],[CountryCode]],[1]!Table1[#All],1,FALSE)</f>
        <v>#REF!</v>
      </c>
    </row>
    <row r="10805" spans="1:12" hidden="1" x14ac:dyDescent="0.3">
      <c r="A10805" t="s">
        <v>121</v>
      </c>
      <c r="B10805" t="s">
        <v>122</v>
      </c>
      <c r="C10805" t="s">
        <v>129</v>
      </c>
      <c r="D10805" t="s">
        <v>130</v>
      </c>
      <c r="E10805">
        <v>1980</v>
      </c>
      <c r="F10805" s="1">
        <v>63</v>
      </c>
      <c r="G10805">
        <v>1980</v>
      </c>
      <c r="H10805">
        <f>AVERAGEIFS(Table1[value],Table1[IndicatorCode],Table1[[#This Row],[IndicatorCode]])</f>
        <v>72.66514008620689</v>
      </c>
      <c r="I10805" cm="1">
        <f t="array" ref="I10805">_xlfn.STDEV.P(IF(Table1[IndicatorCode]=Table1[[#This Row],[IndicatorCode]],Table1[value]))</f>
        <v>6.3409496564024987</v>
      </c>
      <c r="J10805">
        <f>(Table1[[#This Row],[value]] - Table1[[#This Row],[mean]]) / Table1[[#This Row],[std_dev]]</f>
        <v>-1.5242417319065029</v>
      </c>
      <c r="K10805">
        <f>AVERAGEIF(Table1[CountryCode],Table1[[#This Row],[CountryCode]],Table1[z-score])</f>
        <v>-0.73322176935075789</v>
      </c>
      <c r="L10805" t="e">
        <f>VLOOKUP(Table1[[#This Row],[CountryCode]],[1]!Table1[#All],1,FALSE)</f>
        <v>#REF!</v>
      </c>
    </row>
    <row r="10806" spans="1:12" hidden="1" x14ac:dyDescent="0.3">
      <c r="A10806" t="s">
        <v>121</v>
      </c>
      <c r="B10806" t="s">
        <v>122</v>
      </c>
      <c r="C10806" t="s">
        <v>129</v>
      </c>
      <c r="D10806" t="s">
        <v>130</v>
      </c>
      <c r="E10806">
        <v>1981</v>
      </c>
      <c r="F10806" s="1">
        <v>63</v>
      </c>
      <c r="G10806">
        <v>1980</v>
      </c>
      <c r="H10806">
        <f>AVERAGEIFS(Table1[value],Table1[IndicatorCode],Table1[[#This Row],[IndicatorCode]])</f>
        <v>72.66514008620689</v>
      </c>
      <c r="I10806" cm="1">
        <f t="array" ref="I10806">_xlfn.STDEV.P(IF(Table1[IndicatorCode]=Table1[[#This Row],[IndicatorCode]],Table1[value]))</f>
        <v>6.3409496564024987</v>
      </c>
      <c r="J10806">
        <f>(Table1[[#This Row],[value]] - Table1[[#This Row],[mean]]) / Table1[[#This Row],[std_dev]]</f>
        <v>-1.5242417319065029</v>
      </c>
      <c r="K10806">
        <f>AVERAGEIF(Table1[CountryCode],Table1[[#This Row],[CountryCode]],Table1[z-score])</f>
        <v>-0.73322176935075789</v>
      </c>
      <c r="L10806" t="e">
        <f>VLOOKUP(Table1[[#This Row],[CountryCode]],[1]!Table1[#All],1,FALSE)</f>
        <v>#REF!</v>
      </c>
    </row>
    <row r="10807" spans="1:12" hidden="1" x14ac:dyDescent="0.3">
      <c r="A10807" t="s">
        <v>121</v>
      </c>
      <c r="B10807" t="s">
        <v>122</v>
      </c>
      <c r="C10807" t="s">
        <v>129</v>
      </c>
      <c r="D10807" t="s">
        <v>130</v>
      </c>
      <c r="E10807">
        <v>1982</v>
      </c>
      <c r="F10807" s="1">
        <v>63</v>
      </c>
      <c r="G10807">
        <v>1980</v>
      </c>
      <c r="H10807">
        <f>AVERAGEIFS(Table1[value],Table1[IndicatorCode],Table1[[#This Row],[IndicatorCode]])</f>
        <v>72.66514008620689</v>
      </c>
      <c r="I10807" cm="1">
        <f t="array" ref="I10807">_xlfn.STDEV.P(IF(Table1[IndicatorCode]=Table1[[#This Row],[IndicatorCode]],Table1[value]))</f>
        <v>6.3409496564024987</v>
      </c>
      <c r="J10807">
        <f>(Table1[[#This Row],[value]] - Table1[[#This Row],[mean]]) / Table1[[#This Row],[std_dev]]</f>
        <v>-1.5242417319065029</v>
      </c>
      <c r="K10807">
        <f>AVERAGEIF(Table1[CountryCode],Table1[[#This Row],[CountryCode]],Table1[z-score])</f>
        <v>-0.73322176935075789</v>
      </c>
      <c r="L10807" t="e">
        <f>VLOOKUP(Table1[[#This Row],[CountryCode]],[1]!Table1[#All],1,FALSE)</f>
        <v>#REF!</v>
      </c>
    </row>
    <row r="10808" spans="1:12" hidden="1" x14ac:dyDescent="0.3">
      <c r="A10808" t="s">
        <v>121</v>
      </c>
      <c r="B10808" t="s">
        <v>122</v>
      </c>
      <c r="C10808" t="s">
        <v>129</v>
      </c>
      <c r="D10808" t="s">
        <v>130</v>
      </c>
      <c r="E10808">
        <v>1983</v>
      </c>
      <c r="F10808" s="1">
        <v>64</v>
      </c>
      <c r="G10808">
        <v>1980</v>
      </c>
      <c r="H10808">
        <f>AVERAGEIFS(Table1[value],Table1[IndicatorCode],Table1[[#This Row],[IndicatorCode]])</f>
        <v>72.66514008620689</v>
      </c>
      <c r="I10808" cm="1">
        <f t="array" ref="I10808">_xlfn.STDEV.P(IF(Table1[IndicatorCode]=Table1[[#This Row],[IndicatorCode]],Table1[value]))</f>
        <v>6.3409496564024987</v>
      </c>
      <c r="J10808">
        <f>(Table1[[#This Row],[value]] - Table1[[#This Row],[mean]]) / Table1[[#This Row],[std_dev]]</f>
        <v>-1.3665366476230638</v>
      </c>
      <c r="K10808">
        <f>AVERAGEIF(Table1[CountryCode],Table1[[#This Row],[CountryCode]],Table1[z-score])</f>
        <v>-0.73322176935075789</v>
      </c>
      <c r="L10808" t="e">
        <f>VLOOKUP(Table1[[#This Row],[CountryCode]],[1]!Table1[#All],1,FALSE)</f>
        <v>#REF!</v>
      </c>
    </row>
    <row r="10809" spans="1:12" hidden="1" x14ac:dyDescent="0.3">
      <c r="A10809" t="s">
        <v>121</v>
      </c>
      <c r="B10809" t="s">
        <v>122</v>
      </c>
      <c r="C10809" t="s">
        <v>129</v>
      </c>
      <c r="D10809" t="s">
        <v>130</v>
      </c>
      <c r="E10809">
        <v>1984</v>
      </c>
      <c r="F10809" s="1">
        <v>64</v>
      </c>
      <c r="G10809">
        <v>1980</v>
      </c>
      <c r="H10809">
        <f>AVERAGEIFS(Table1[value],Table1[IndicatorCode],Table1[[#This Row],[IndicatorCode]])</f>
        <v>72.66514008620689</v>
      </c>
      <c r="I10809" cm="1">
        <f t="array" ref="I10809">_xlfn.STDEV.P(IF(Table1[IndicatorCode]=Table1[[#This Row],[IndicatorCode]],Table1[value]))</f>
        <v>6.3409496564024987</v>
      </c>
      <c r="J10809">
        <f>(Table1[[#This Row],[value]] - Table1[[#This Row],[mean]]) / Table1[[#This Row],[std_dev]]</f>
        <v>-1.3665366476230638</v>
      </c>
      <c r="K10809">
        <f>AVERAGEIF(Table1[CountryCode],Table1[[#This Row],[CountryCode]],Table1[z-score])</f>
        <v>-0.73322176935075789</v>
      </c>
      <c r="L10809" t="e">
        <f>VLOOKUP(Table1[[#This Row],[CountryCode]],[1]!Table1[#All],1,FALSE)</f>
        <v>#REF!</v>
      </c>
    </row>
    <row r="10810" spans="1:12" hidden="1" x14ac:dyDescent="0.3">
      <c r="A10810" t="s">
        <v>121</v>
      </c>
      <c r="B10810" t="s">
        <v>122</v>
      </c>
      <c r="C10810" t="s">
        <v>129</v>
      </c>
      <c r="D10810" t="s">
        <v>130</v>
      </c>
      <c r="E10810">
        <v>1985</v>
      </c>
      <c r="F10810" s="1">
        <v>65</v>
      </c>
      <c r="G10810">
        <v>1980</v>
      </c>
      <c r="H10810">
        <f>AVERAGEIFS(Table1[value],Table1[IndicatorCode],Table1[[#This Row],[IndicatorCode]])</f>
        <v>72.66514008620689</v>
      </c>
      <c r="I10810" cm="1">
        <f t="array" ref="I10810">_xlfn.STDEV.P(IF(Table1[IndicatorCode]=Table1[[#This Row],[IndicatorCode]],Table1[value]))</f>
        <v>6.3409496564024987</v>
      </c>
      <c r="J10810">
        <f>(Table1[[#This Row],[value]] - Table1[[#This Row],[mean]]) / Table1[[#This Row],[std_dev]]</f>
        <v>-1.2088315633396249</v>
      </c>
      <c r="K10810">
        <f>AVERAGEIF(Table1[CountryCode],Table1[[#This Row],[CountryCode]],Table1[z-score])</f>
        <v>-0.73322176935075789</v>
      </c>
      <c r="L10810" t="e">
        <f>VLOOKUP(Table1[[#This Row],[CountryCode]],[1]!Table1[#All],1,FALSE)</f>
        <v>#REF!</v>
      </c>
    </row>
    <row r="10811" spans="1:12" hidden="1" x14ac:dyDescent="0.3">
      <c r="A10811" t="s">
        <v>121</v>
      </c>
      <c r="B10811" t="s">
        <v>122</v>
      </c>
      <c r="C10811" t="s">
        <v>129</v>
      </c>
      <c r="D10811" t="s">
        <v>130</v>
      </c>
      <c r="E10811">
        <v>1986</v>
      </c>
      <c r="F10811" s="1">
        <v>65</v>
      </c>
      <c r="G10811">
        <v>1980</v>
      </c>
      <c r="H10811">
        <f>AVERAGEIFS(Table1[value],Table1[IndicatorCode],Table1[[#This Row],[IndicatorCode]])</f>
        <v>72.66514008620689</v>
      </c>
      <c r="I10811" cm="1">
        <f t="array" ref="I10811">_xlfn.STDEV.P(IF(Table1[IndicatorCode]=Table1[[#This Row],[IndicatorCode]],Table1[value]))</f>
        <v>6.3409496564024987</v>
      </c>
      <c r="J10811">
        <f>(Table1[[#This Row],[value]] - Table1[[#This Row],[mean]]) / Table1[[#This Row],[std_dev]]</f>
        <v>-1.2088315633396249</v>
      </c>
      <c r="K10811">
        <f>AVERAGEIF(Table1[CountryCode],Table1[[#This Row],[CountryCode]],Table1[z-score])</f>
        <v>-0.73322176935075789</v>
      </c>
      <c r="L10811" t="e">
        <f>VLOOKUP(Table1[[#This Row],[CountryCode]],[1]!Table1[#All],1,FALSE)</f>
        <v>#REF!</v>
      </c>
    </row>
    <row r="10812" spans="1:12" hidden="1" x14ac:dyDescent="0.3">
      <c r="A10812" t="s">
        <v>121</v>
      </c>
      <c r="B10812" t="s">
        <v>122</v>
      </c>
      <c r="C10812" t="s">
        <v>129</v>
      </c>
      <c r="D10812" t="s">
        <v>130</v>
      </c>
      <c r="E10812">
        <v>1987</v>
      </c>
      <c r="F10812" s="1">
        <v>65</v>
      </c>
      <c r="G10812">
        <v>1990</v>
      </c>
      <c r="H10812">
        <f>AVERAGEIFS(Table1[value],Table1[IndicatorCode],Table1[[#This Row],[IndicatorCode]])</f>
        <v>72.66514008620689</v>
      </c>
      <c r="I10812" cm="1">
        <f t="array" ref="I10812">_xlfn.STDEV.P(IF(Table1[IndicatorCode]=Table1[[#This Row],[IndicatorCode]],Table1[value]))</f>
        <v>6.3409496564024987</v>
      </c>
      <c r="J10812">
        <f>(Table1[[#This Row],[value]] - Table1[[#This Row],[mean]]) / Table1[[#This Row],[std_dev]]</f>
        <v>-1.2088315633396249</v>
      </c>
      <c r="K10812">
        <f>AVERAGEIF(Table1[CountryCode],Table1[[#This Row],[CountryCode]],Table1[z-score])</f>
        <v>-0.73322176935075789</v>
      </c>
      <c r="L10812" t="e">
        <f>VLOOKUP(Table1[[#This Row],[CountryCode]],[1]!Table1[#All],1,FALSE)</f>
        <v>#REF!</v>
      </c>
    </row>
    <row r="10813" spans="1:12" hidden="1" x14ac:dyDescent="0.3">
      <c r="A10813" t="s">
        <v>121</v>
      </c>
      <c r="B10813" t="s">
        <v>122</v>
      </c>
      <c r="C10813" t="s">
        <v>129</v>
      </c>
      <c r="D10813" t="s">
        <v>130</v>
      </c>
      <c r="E10813">
        <v>1988</v>
      </c>
      <c r="F10813" s="1">
        <v>66</v>
      </c>
      <c r="G10813">
        <v>1990</v>
      </c>
      <c r="H10813">
        <f>AVERAGEIFS(Table1[value],Table1[IndicatorCode],Table1[[#This Row],[IndicatorCode]])</f>
        <v>72.66514008620689</v>
      </c>
      <c r="I10813" cm="1">
        <f t="array" ref="I10813">_xlfn.STDEV.P(IF(Table1[IndicatorCode]=Table1[[#This Row],[IndicatorCode]],Table1[value]))</f>
        <v>6.3409496564024987</v>
      </c>
      <c r="J10813">
        <f>(Table1[[#This Row],[value]] - Table1[[#This Row],[mean]]) / Table1[[#This Row],[std_dev]]</f>
        <v>-1.0511264790561858</v>
      </c>
      <c r="K10813">
        <f>AVERAGEIF(Table1[CountryCode],Table1[[#This Row],[CountryCode]],Table1[z-score])</f>
        <v>-0.73322176935075789</v>
      </c>
      <c r="L10813" t="e">
        <f>VLOOKUP(Table1[[#This Row],[CountryCode]],[1]!Table1[#All],1,FALSE)</f>
        <v>#REF!</v>
      </c>
    </row>
    <row r="10814" spans="1:12" hidden="1" x14ac:dyDescent="0.3">
      <c r="A10814" t="s">
        <v>121</v>
      </c>
      <c r="B10814" t="s">
        <v>122</v>
      </c>
      <c r="C10814" t="s">
        <v>129</v>
      </c>
      <c r="D10814" t="s">
        <v>130</v>
      </c>
      <c r="E10814">
        <v>1989</v>
      </c>
      <c r="F10814" s="1">
        <v>66</v>
      </c>
      <c r="G10814">
        <v>1990</v>
      </c>
      <c r="H10814">
        <f>AVERAGEIFS(Table1[value],Table1[IndicatorCode],Table1[[#This Row],[IndicatorCode]])</f>
        <v>72.66514008620689</v>
      </c>
      <c r="I10814" cm="1">
        <f t="array" ref="I10814">_xlfn.STDEV.P(IF(Table1[IndicatorCode]=Table1[[#This Row],[IndicatorCode]],Table1[value]))</f>
        <v>6.3409496564024987</v>
      </c>
      <c r="J10814">
        <f>(Table1[[#This Row],[value]] - Table1[[#This Row],[mean]]) / Table1[[#This Row],[std_dev]]</f>
        <v>-1.0511264790561858</v>
      </c>
      <c r="K10814">
        <f>AVERAGEIF(Table1[CountryCode],Table1[[#This Row],[CountryCode]],Table1[z-score])</f>
        <v>-0.73322176935075789</v>
      </c>
      <c r="L10814" t="e">
        <f>VLOOKUP(Table1[[#This Row],[CountryCode]],[1]!Table1[#All],1,FALSE)</f>
        <v>#REF!</v>
      </c>
    </row>
    <row r="10815" spans="1:12" hidden="1" x14ac:dyDescent="0.3">
      <c r="A10815" t="s">
        <v>121</v>
      </c>
      <c r="B10815" t="s">
        <v>122</v>
      </c>
      <c r="C10815" t="s">
        <v>129</v>
      </c>
      <c r="D10815" t="s">
        <v>130</v>
      </c>
      <c r="E10815">
        <v>1990</v>
      </c>
      <c r="F10815" s="1">
        <v>66</v>
      </c>
      <c r="G10815">
        <v>1990</v>
      </c>
      <c r="H10815">
        <f>AVERAGEIFS(Table1[value],Table1[IndicatorCode],Table1[[#This Row],[IndicatorCode]])</f>
        <v>72.66514008620689</v>
      </c>
      <c r="I10815" cm="1">
        <f t="array" ref="I10815">_xlfn.STDEV.P(IF(Table1[IndicatorCode]=Table1[[#This Row],[IndicatorCode]],Table1[value]))</f>
        <v>6.3409496564024987</v>
      </c>
      <c r="J10815">
        <f>(Table1[[#This Row],[value]] - Table1[[#This Row],[mean]]) / Table1[[#This Row],[std_dev]]</f>
        <v>-1.0511264790561858</v>
      </c>
      <c r="K10815">
        <f>AVERAGEIF(Table1[CountryCode],Table1[[#This Row],[CountryCode]],Table1[z-score])</f>
        <v>-0.73322176935075789</v>
      </c>
      <c r="L10815" t="e">
        <f>VLOOKUP(Table1[[#This Row],[CountryCode]],[1]!Table1[#All],1,FALSE)</f>
        <v>#REF!</v>
      </c>
    </row>
    <row r="10816" spans="1:12" hidden="1" x14ac:dyDescent="0.3">
      <c r="A10816" t="s">
        <v>121</v>
      </c>
      <c r="B10816" t="s">
        <v>122</v>
      </c>
      <c r="C10816" t="s">
        <v>129</v>
      </c>
      <c r="D10816" t="s">
        <v>130</v>
      </c>
      <c r="E10816">
        <v>1991</v>
      </c>
      <c r="F10816" s="1">
        <v>66</v>
      </c>
      <c r="G10816">
        <v>1990</v>
      </c>
      <c r="H10816">
        <f>AVERAGEIFS(Table1[value],Table1[IndicatorCode],Table1[[#This Row],[IndicatorCode]])</f>
        <v>72.66514008620689</v>
      </c>
      <c r="I10816" cm="1">
        <f t="array" ref="I10816">_xlfn.STDEV.P(IF(Table1[IndicatorCode]=Table1[[#This Row],[IndicatorCode]],Table1[value]))</f>
        <v>6.3409496564024987</v>
      </c>
      <c r="J10816">
        <f>(Table1[[#This Row],[value]] - Table1[[#This Row],[mean]]) / Table1[[#This Row],[std_dev]]</f>
        <v>-1.0511264790561858</v>
      </c>
      <c r="K10816">
        <f>AVERAGEIF(Table1[CountryCode],Table1[[#This Row],[CountryCode]],Table1[z-score])</f>
        <v>-0.73322176935075789</v>
      </c>
      <c r="L10816" t="e">
        <f>VLOOKUP(Table1[[#This Row],[CountryCode]],[1]!Table1[#All],1,FALSE)</f>
        <v>#REF!</v>
      </c>
    </row>
    <row r="10817" spans="1:12" hidden="1" x14ac:dyDescent="0.3">
      <c r="A10817" t="s">
        <v>121</v>
      </c>
      <c r="B10817" t="s">
        <v>122</v>
      </c>
      <c r="C10817" t="s">
        <v>129</v>
      </c>
      <c r="D10817" t="s">
        <v>130</v>
      </c>
      <c r="E10817">
        <v>1992</v>
      </c>
      <c r="F10817" s="1">
        <v>65</v>
      </c>
      <c r="G10817">
        <v>1990</v>
      </c>
      <c r="H10817">
        <f>AVERAGEIFS(Table1[value],Table1[IndicatorCode],Table1[[#This Row],[IndicatorCode]])</f>
        <v>72.66514008620689</v>
      </c>
      <c r="I10817" cm="1">
        <f t="array" ref="I10817">_xlfn.STDEV.P(IF(Table1[IndicatorCode]=Table1[[#This Row],[IndicatorCode]],Table1[value]))</f>
        <v>6.3409496564024987</v>
      </c>
      <c r="J10817">
        <f>(Table1[[#This Row],[value]] - Table1[[#This Row],[mean]]) / Table1[[#This Row],[std_dev]]</f>
        <v>-1.2088315633396249</v>
      </c>
      <c r="K10817">
        <f>AVERAGEIF(Table1[CountryCode],Table1[[#This Row],[CountryCode]],Table1[z-score])</f>
        <v>-0.73322176935075789</v>
      </c>
      <c r="L10817" t="e">
        <f>VLOOKUP(Table1[[#This Row],[CountryCode]],[1]!Table1[#All],1,FALSE)</f>
        <v>#REF!</v>
      </c>
    </row>
    <row r="10818" spans="1:12" hidden="1" x14ac:dyDescent="0.3">
      <c r="A10818" t="s">
        <v>121</v>
      </c>
      <c r="B10818" t="s">
        <v>122</v>
      </c>
      <c r="C10818" t="s">
        <v>129</v>
      </c>
      <c r="D10818" t="s">
        <v>130</v>
      </c>
      <c r="E10818">
        <v>1993</v>
      </c>
      <c r="F10818" s="1">
        <v>65</v>
      </c>
      <c r="G10818">
        <v>1990</v>
      </c>
      <c r="H10818">
        <f>AVERAGEIFS(Table1[value],Table1[IndicatorCode],Table1[[#This Row],[IndicatorCode]])</f>
        <v>72.66514008620689</v>
      </c>
      <c r="I10818" cm="1">
        <f t="array" ref="I10818">_xlfn.STDEV.P(IF(Table1[IndicatorCode]=Table1[[#This Row],[IndicatorCode]],Table1[value]))</f>
        <v>6.3409496564024987</v>
      </c>
      <c r="J10818">
        <f>(Table1[[#This Row],[value]] - Table1[[#This Row],[mean]]) / Table1[[#This Row],[std_dev]]</f>
        <v>-1.2088315633396249</v>
      </c>
      <c r="K10818">
        <f>AVERAGEIF(Table1[CountryCode],Table1[[#This Row],[CountryCode]],Table1[z-score])</f>
        <v>-0.73322176935075789</v>
      </c>
      <c r="L10818" t="e">
        <f>VLOOKUP(Table1[[#This Row],[CountryCode]],[1]!Table1[#All],1,FALSE)</f>
        <v>#REF!</v>
      </c>
    </row>
    <row r="10819" spans="1:12" hidden="1" x14ac:dyDescent="0.3">
      <c r="A10819" t="s">
        <v>121</v>
      </c>
      <c r="B10819" t="s">
        <v>122</v>
      </c>
      <c r="C10819" t="s">
        <v>129</v>
      </c>
      <c r="D10819" t="s">
        <v>130</v>
      </c>
      <c r="E10819">
        <v>1994</v>
      </c>
      <c r="F10819" s="1">
        <v>65</v>
      </c>
      <c r="G10819">
        <v>1990</v>
      </c>
      <c r="H10819">
        <f>AVERAGEIFS(Table1[value],Table1[IndicatorCode],Table1[[#This Row],[IndicatorCode]])</f>
        <v>72.66514008620689</v>
      </c>
      <c r="I10819" cm="1">
        <f t="array" ref="I10819">_xlfn.STDEV.P(IF(Table1[IndicatorCode]=Table1[[#This Row],[IndicatorCode]],Table1[value]))</f>
        <v>6.3409496564024987</v>
      </c>
      <c r="J10819">
        <f>(Table1[[#This Row],[value]] - Table1[[#This Row],[mean]]) / Table1[[#This Row],[std_dev]]</f>
        <v>-1.2088315633396249</v>
      </c>
      <c r="K10819">
        <f>AVERAGEIF(Table1[CountryCode],Table1[[#This Row],[CountryCode]],Table1[z-score])</f>
        <v>-0.73322176935075789</v>
      </c>
      <c r="L10819" t="e">
        <f>VLOOKUP(Table1[[#This Row],[CountryCode]],[1]!Table1[#All],1,FALSE)</f>
        <v>#REF!</v>
      </c>
    </row>
    <row r="10820" spans="1:12" hidden="1" x14ac:dyDescent="0.3">
      <c r="A10820" t="s">
        <v>121</v>
      </c>
      <c r="B10820" t="s">
        <v>122</v>
      </c>
      <c r="C10820" t="s">
        <v>129</v>
      </c>
      <c r="D10820" t="s">
        <v>130</v>
      </c>
      <c r="E10820">
        <v>1995</v>
      </c>
      <c r="F10820" s="1">
        <v>65</v>
      </c>
      <c r="G10820">
        <v>1990</v>
      </c>
      <c r="H10820">
        <f>AVERAGEIFS(Table1[value],Table1[IndicatorCode],Table1[[#This Row],[IndicatorCode]])</f>
        <v>72.66514008620689</v>
      </c>
      <c r="I10820" cm="1">
        <f t="array" ref="I10820">_xlfn.STDEV.P(IF(Table1[IndicatorCode]=Table1[[#This Row],[IndicatorCode]],Table1[value]))</f>
        <v>6.3409496564024987</v>
      </c>
      <c r="J10820">
        <f>(Table1[[#This Row],[value]] - Table1[[#This Row],[mean]]) / Table1[[#This Row],[std_dev]]</f>
        <v>-1.2088315633396249</v>
      </c>
      <c r="K10820">
        <f>AVERAGEIF(Table1[CountryCode],Table1[[#This Row],[CountryCode]],Table1[z-score])</f>
        <v>-0.73322176935075789</v>
      </c>
      <c r="L10820" t="e">
        <f>VLOOKUP(Table1[[#This Row],[CountryCode]],[1]!Table1[#All],1,FALSE)</f>
        <v>#REF!</v>
      </c>
    </row>
    <row r="10821" spans="1:12" hidden="1" x14ac:dyDescent="0.3">
      <c r="A10821" t="s">
        <v>121</v>
      </c>
      <c r="B10821" t="s">
        <v>122</v>
      </c>
      <c r="C10821" t="s">
        <v>129</v>
      </c>
      <c r="D10821" t="s">
        <v>130</v>
      </c>
      <c r="E10821">
        <v>1996</v>
      </c>
      <c r="F10821" s="1">
        <v>65</v>
      </c>
      <c r="G10821">
        <v>1990</v>
      </c>
      <c r="H10821">
        <f>AVERAGEIFS(Table1[value],Table1[IndicatorCode],Table1[[#This Row],[IndicatorCode]])</f>
        <v>72.66514008620689</v>
      </c>
      <c r="I10821" cm="1">
        <f t="array" ref="I10821">_xlfn.STDEV.P(IF(Table1[IndicatorCode]=Table1[[#This Row],[IndicatorCode]],Table1[value]))</f>
        <v>6.3409496564024987</v>
      </c>
      <c r="J10821">
        <f>(Table1[[#This Row],[value]] - Table1[[#This Row],[mean]]) / Table1[[#This Row],[std_dev]]</f>
        <v>-1.2088315633396249</v>
      </c>
      <c r="K10821">
        <f>AVERAGEIF(Table1[CountryCode],Table1[[#This Row],[CountryCode]],Table1[z-score])</f>
        <v>-0.73322176935075789</v>
      </c>
      <c r="L10821" t="e">
        <f>VLOOKUP(Table1[[#This Row],[CountryCode]],[1]!Table1[#All],1,FALSE)</f>
        <v>#REF!</v>
      </c>
    </row>
    <row r="10822" spans="1:12" hidden="1" x14ac:dyDescent="0.3">
      <c r="A10822" t="s">
        <v>121</v>
      </c>
      <c r="B10822" t="s">
        <v>122</v>
      </c>
      <c r="C10822" t="s">
        <v>129</v>
      </c>
      <c r="D10822" t="s">
        <v>130</v>
      </c>
      <c r="E10822">
        <v>1997</v>
      </c>
      <c r="F10822" s="1">
        <v>65</v>
      </c>
      <c r="G10822">
        <v>2000</v>
      </c>
      <c r="H10822">
        <f>AVERAGEIFS(Table1[value],Table1[IndicatorCode],Table1[[#This Row],[IndicatorCode]])</f>
        <v>72.66514008620689</v>
      </c>
      <c r="I10822" cm="1">
        <f t="array" ref="I10822">_xlfn.STDEV.P(IF(Table1[IndicatorCode]=Table1[[#This Row],[IndicatorCode]],Table1[value]))</f>
        <v>6.3409496564024987</v>
      </c>
      <c r="J10822">
        <f>(Table1[[#This Row],[value]] - Table1[[#This Row],[mean]]) / Table1[[#This Row],[std_dev]]</f>
        <v>-1.2088315633396249</v>
      </c>
      <c r="K10822">
        <f>AVERAGEIF(Table1[CountryCode],Table1[[#This Row],[CountryCode]],Table1[z-score])</f>
        <v>-0.73322176935075789</v>
      </c>
      <c r="L10822" t="e">
        <f>VLOOKUP(Table1[[#This Row],[CountryCode]],[1]!Table1[#All],1,FALSE)</f>
        <v>#REF!</v>
      </c>
    </row>
    <row r="10823" spans="1:12" hidden="1" x14ac:dyDescent="0.3">
      <c r="A10823" t="s">
        <v>121</v>
      </c>
      <c r="B10823" t="s">
        <v>122</v>
      </c>
      <c r="C10823" t="s">
        <v>129</v>
      </c>
      <c r="D10823" t="s">
        <v>130</v>
      </c>
      <c r="E10823">
        <v>1998</v>
      </c>
      <c r="F10823" s="1">
        <v>65</v>
      </c>
      <c r="G10823">
        <v>2000</v>
      </c>
      <c r="H10823">
        <f>AVERAGEIFS(Table1[value],Table1[IndicatorCode],Table1[[#This Row],[IndicatorCode]])</f>
        <v>72.66514008620689</v>
      </c>
      <c r="I10823" cm="1">
        <f t="array" ref="I10823">_xlfn.STDEV.P(IF(Table1[IndicatorCode]=Table1[[#This Row],[IndicatorCode]],Table1[value]))</f>
        <v>6.3409496564024987</v>
      </c>
      <c r="J10823">
        <f>(Table1[[#This Row],[value]] - Table1[[#This Row],[mean]]) / Table1[[#This Row],[std_dev]]</f>
        <v>-1.2088315633396249</v>
      </c>
      <c r="K10823">
        <f>AVERAGEIF(Table1[CountryCode],Table1[[#This Row],[CountryCode]],Table1[z-score])</f>
        <v>-0.73322176935075789</v>
      </c>
      <c r="L10823" t="e">
        <f>VLOOKUP(Table1[[#This Row],[CountryCode]],[1]!Table1[#All],1,FALSE)</f>
        <v>#REF!</v>
      </c>
    </row>
    <row r="10824" spans="1:12" hidden="1" x14ac:dyDescent="0.3">
      <c r="A10824" t="s">
        <v>121</v>
      </c>
      <c r="B10824" t="s">
        <v>122</v>
      </c>
      <c r="C10824" t="s">
        <v>129</v>
      </c>
      <c r="D10824" t="s">
        <v>130</v>
      </c>
      <c r="E10824">
        <v>1999</v>
      </c>
      <c r="F10824" s="1">
        <v>65</v>
      </c>
      <c r="G10824">
        <v>2000</v>
      </c>
      <c r="H10824">
        <f>AVERAGEIFS(Table1[value],Table1[IndicatorCode],Table1[[#This Row],[IndicatorCode]])</f>
        <v>72.66514008620689</v>
      </c>
      <c r="I10824" cm="1">
        <f t="array" ref="I10824">_xlfn.STDEV.P(IF(Table1[IndicatorCode]=Table1[[#This Row],[IndicatorCode]],Table1[value]))</f>
        <v>6.3409496564024987</v>
      </c>
      <c r="J10824">
        <f>(Table1[[#This Row],[value]] - Table1[[#This Row],[mean]]) / Table1[[#This Row],[std_dev]]</f>
        <v>-1.2088315633396249</v>
      </c>
      <c r="K10824">
        <f>AVERAGEIF(Table1[CountryCode],Table1[[#This Row],[CountryCode]],Table1[z-score])</f>
        <v>-0.73322176935075789</v>
      </c>
      <c r="L10824" t="e">
        <f>VLOOKUP(Table1[[#This Row],[CountryCode]],[1]!Table1[#All],1,FALSE)</f>
        <v>#REF!</v>
      </c>
    </row>
    <row r="10825" spans="1:12" hidden="1" x14ac:dyDescent="0.3">
      <c r="A10825" t="s">
        <v>121</v>
      </c>
      <c r="B10825" t="s">
        <v>122</v>
      </c>
      <c r="C10825" t="s">
        <v>129</v>
      </c>
      <c r="D10825" t="s">
        <v>130</v>
      </c>
      <c r="E10825">
        <v>2000</v>
      </c>
      <c r="F10825" s="1">
        <v>65</v>
      </c>
      <c r="G10825">
        <v>2000</v>
      </c>
      <c r="H10825">
        <f>AVERAGEIFS(Table1[value],Table1[IndicatorCode],Table1[[#This Row],[IndicatorCode]])</f>
        <v>72.66514008620689</v>
      </c>
      <c r="I10825" cm="1">
        <f t="array" ref="I10825">_xlfn.STDEV.P(IF(Table1[IndicatorCode]=Table1[[#This Row],[IndicatorCode]],Table1[value]))</f>
        <v>6.3409496564024987</v>
      </c>
      <c r="J10825">
        <f>(Table1[[#This Row],[value]] - Table1[[#This Row],[mean]]) / Table1[[#This Row],[std_dev]]</f>
        <v>-1.2088315633396249</v>
      </c>
      <c r="K10825">
        <f>AVERAGEIF(Table1[CountryCode],Table1[[#This Row],[CountryCode]],Table1[z-score])</f>
        <v>-0.73322176935075789</v>
      </c>
      <c r="L10825" t="e">
        <f>VLOOKUP(Table1[[#This Row],[CountryCode]],[1]!Table1[#All],1,FALSE)</f>
        <v>#REF!</v>
      </c>
    </row>
    <row r="10826" spans="1:12" hidden="1" x14ac:dyDescent="0.3">
      <c r="A10826" t="s">
        <v>121</v>
      </c>
      <c r="B10826" t="s">
        <v>122</v>
      </c>
      <c r="C10826" t="s">
        <v>129</v>
      </c>
      <c r="D10826" t="s">
        <v>130</v>
      </c>
      <c r="E10826">
        <v>2001</v>
      </c>
      <c r="F10826" s="1">
        <v>66</v>
      </c>
      <c r="G10826">
        <v>2000</v>
      </c>
      <c r="H10826">
        <f>AVERAGEIFS(Table1[value],Table1[IndicatorCode],Table1[[#This Row],[IndicatorCode]])</f>
        <v>72.66514008620689</v>
      </c>
      <c r="I10826" cm="1">
        <f t="array" ref="I10826">_xlfn.STDEV.P(IF(Table1[IndicatorCode]=Table1[[#This Row],[IndicatorCode]],Table1[value]))</f>
        <v>6.3409496564024987</v>
      </c>
      <c r="J10826">
        <f>(Table1[[#This Row],[value]] - Table1[[#This Row],[mean]]) / Table1[[#This Row],[std_dev]]</f>
        <v>-1.0511264790561858</v>
      </c>
      <c r="K10826">
        <f>AVERAGEIF(Table1[CountryCode],Table1[[#This Row],[CountryCode]],Table1[z-score])</f>
        <v>-0.73322176935075789</v>
      </c>
      <c r="L10826" t="e">
        <f>VLOOKUP(Table1[[#This Row],[CountryCode]],[1]!Table1[#All],1,FALSE)</f>
        <v>#REF!</v>
      </c>
    </row>
    <row r="10827" spans="1:12" hidden="1" x14ac:dyDescent="0.3">
      <c r="A10827" t="s">
        <v>121</v>
      </c>
      <c r="B10827" t="s">
        <v>122</v>
      </c>
      <c r="C10827" t="s">
        <v>129</v>
      </c>
      <c r="D10827" t="s">
        <v>130</v>
      </c>
      <c r="E10827">
        <v>2002</v>
      </c>
      <c r="F10827" s="1">
        <v>66</v>
      </c>
      <c r="G10827">
        <v>2000</v>
      </c>
      <c r="H10827">
        <f>AVERAGEIFS(Table1[value],Table1[IndicatorCode],Table1[[#This Row],[IndicatorCode]])</f>
        <v>72.66514008620689</v>
      </c>
      <c r="I10827" cm="1">
        <f t="array" ref="I10827">_xlfn.STDEV.P(IF(Table1[IndicatorCode]=Table1[[#This Row],[IndicatorCode]],Table1[value]))</f>
        <v>6.3409496564024987</v>
      </c>
      <c r="J10827">
        <f>(Table1[[#This Row],[value]] - Table1[[#This Row],[mean]]) / Table1[[#This Row],[std_dev]]</f>
        <v>-1.0511264790561858</v>
      </c>
      <c r="K10827">
        <f>AVERAGEIF(Table1[CountryCode],Table1[[#This Row],[CountryCode]],Table1[z-score])</f>
        <v>-0.73322176935075789</v>
      </c>
      <c r="L10827" t="e">
        <f>VLOOKUP(Table1[[#This Row],[CountryCode]],[1]!Table1[#All],1,FALSE)</f>
        <v>#REF!</v>
      </c>
    </row>
    <row r="10828" spans="1:12" hidden="1" x14ac:dyDescent="0.3">
      <c r="A10828" t="s">
        <v>121</v>
      </c>
      <c r="B10828" t="s">
        <v>122</v>
      </c>
      <c r="C10828" t="s">
        <v>129</v>
      </c>
      <c r="D10828" t="s">
        <v>130</v>
      </c>
      <c r="E10828">
        <v>2003</v>
      </c>
      <c r="F10828" s="1">
        <v>67</v>
      </c>
      <c r="G10828">
        <v>2000</v>
      </c>
      <c r="H10828">
        <f>AVERAGEIFS(Table1[value],Table1[IndicatorCode],Table1[[#This Row],[IndicatorCode]])</f>
        <v>72.66514008620689</v>
      </c>
      <c r="I10828" cm="1">
        <f t="array" ref="I10828">_xlfn.STDEV.P(IF(Table1[IndicatorCode]=Table1[[#This Row],[IndicatorCode]],Table1[value]))</f>
        <v>6.3409496564024987</v>
      </c>
      <c r="J10828">
        <f>(Table1[[#This Row],[value]] - Table1[[#This Row],[mean]]) / Table1[[#This Row],[std_dev]]</f>
        <v>-0.89342139477274674</v>
      </c>
      <c r="K10828">
        <f>AVERAGEIF(Table1[CountryCode],Table1[[#This Row],[CountryCode]],Table1[z-score])</f>
        <v>-0.73322176935075789</v>
      </c>
      <c r="L10828" t="e">
        <f>VLOOKUP(Table1[[#This Row],[CountryCode]],[1]!Table1[#All],1,FALSE)</f>
        <v>#REF!</v>
      </c>
    </row>
    <row r="10829" spans="1:12" hidden="1" x14ac:dyDescent="0.3">
      <c r="A10829" t="s">
        <v>121</v>
      </c>
      <c r="B10829" t="s">
        <v>122</v>
      </c>
      <c r="C10829" t="s">
        <v>129</v>
      </c>
      <c r="D10829" t="s">
        <v>130</v>
      </c>
      <c r="E10829">
        <v>2004</v>
      </c>
      <c r="F10829" s="1">
        <v>67</v>
      </c>
      <c r="G10829">
        <v>2000</v>
      </c>
      <c r="H10829">
        <f>AVERAGEIFS(Table1[value],Table1[IndicatorCode],Table1[[#This Row],[IndicatorCode]])</f>
        <v>72.66514008620689</v>
      </c>
      <c r="I10829" cm="1">
        <f t="array" ref="I10829">_xlfn.STDEV.P(IF(Table1[IndicatorCode]=Table1[[#This Row],[IndicatorCode]],Table1[value]))</f>
        <v>6.3409496564024987</v>
      </c>
      <c r="J10829">
        <f>(Table1[[#This Row],[value]] - Table1[[#This Row],[mean]]) / Table1[[#This Row],[std_dev]]</f>
        <v>-0.89342139477274674</v>
      </c>
      <c r="K10829">
        <f>AVERAGEIF(Table1[CountryCode],Table1[[#This Row],[CountryCode]],Table1[z-score])</f>
        <v>-0.73322176935075789</v>
      </c>
      <c r="L10829" t="e">
        <f>VLOOKUP(Table1[[#This Row],[CountryCode]],[1]!Table1[#All],1,FALSE)</f>
        <v>#REF!</v>
      </c>
    </row>
    <row r="10830" spans="1:12" hidden="1" x14ac:dyDescent="0.3">
      <c r="A10830" t="s">
        <v>121</v>
      </c>
      <c r="B10830" t="s">
        <v>122</v>
      </c>
      <c r="C10830" t="s">
        <v>129</v>
      </c>
      <c r="D10830" t="s">
        <v>130</v>
      </c>
      <c r="E10830">
        <v>2005</v>
      </c>
      <c r="F10830" s="1">
        <v>67</v>
      </c>
      <c r="G10830">
        <v>2000</v>
      </c>
      <c r="H10830">
        <f>AVERAGEIFS(Table1[value],Table1[IndicatorCode],Table1[[#This Row],[IndicatorCode]])</f>
        <v>72.66514008620689</v>
      </c>
      <c r="I10830" cm="1">
        <f t="array" ref="I10830">_xlfn.STDEV.P(IF(Table1[IndicatorCode]=Table1[[#This Row],[IndicatorCode]],Table1[value]))</f>
        <v>6.3409496564024987</v>
      </c>
      <c r="J10830">
        <f>(Table1[[#This Row],[value]] - Table1[[#This Row],[mean]]) / Table1[[#This Row],[std_dev]]</f>
        <v>-0.89342139477274674</v>
      </c>
      <c r="K10830">
        <f>AVERAGEIF(Table1[CountryCode],Table1[[#This Row],[CountryCode]],Table1[z-score])</f>
        <v>-0.73322176935075789</v>
      </c>
      <c r="L10830" t="e">
        <f>VLOOKUP(Table1[[#This Row],[CountryCode]],[1]!Table1[#All],1,FALSE)</f>
        <v>#REF!</v>
      </c>
    </row>
    <row r="10831" spans="1:12" hidden="1" x14ac:dyDescent="0.3">
      <c r="A10831" t="s">
        <v>121</v>
      </c>
      <c r="B10831" t="s">
        <v>122</v>
      </c>
      <c r="C10831" t="s">
        <v>129</v>
      </c>
      <c r="D10831" t="s">
        <v>130</v>
      </c>
      <c r="E10831">
        <v>2006</v>
      </c>
      <c r="F10831" s="1">
        <v>68</v>
      </c>
      <c r="G10831">
        <v>2000</v>
      </c>
      <c r="H10831">
        <f>AVERAGEIFS(Table1[value],Table1[IndicatorCode],Table1[[#This Row],[IndicatorCode]])</f>
        <v>72.66514008620689</v>
      </c>
      <c r="I10831" cm="1">
        <f t="array" ref="I10831">_xlfn.STDEV.P(IF(Table1[IndicatorCode]=Table1[[#This Row],[IndicatorCode]],Table1[value]))</f>
        <v>6.3409496564024987</v>
      </c>
      <c r="J10831">
        <f>(Table1[[#This Row],[value]] - Table1[[#This Row],[mean]]) / Table1[[#This Row],[std_dev]]</f>
        <v>-0.73571631048930775</v>
      </c>
      <c r="K10831">
        <f>AVERAGEIF(Table1[CountryCode],Table1[[#This Row],[CountryCode]],Table1[z-score])</f>
        <v>-0.73322176935075789</v>
      </c>
      <c r="L10831" t="e">
        <f>VLOOKUP(Table1[[#This Row],[CountryCode]],[1]!Table1[#All],1,FALSE)</f>
        <v>#REF!</v>
      </c>
    </row>
    <row r="10832" spans="1:12" hidden="1" x14ac:dyDescent="0.3">
      <c r="A10832" t="s">
        <v>121</v>
      </c>
      <c r="B10832" t="s">
        <v>122</v>
      </c>
      <c r="C10832" t="s">
        <v>129</v>
      </c>
      <c r="D10832" t="s">
        <v>130</v>
      </c>
      <c r="E10832">
        <v>2007</v>
      </c>
      <c r="F10832" s="1">
        <v>68</v>
      </c>
      <c r="G10832">
        <v>2010</v>
      </c>
      <c r="H10832">
        <f>AVERAGEIFS(Table1[value],Table1[IndicatorCode],Table1[[#This Row],[IndicatorCode]])</f>
        <v>72.66514008620689</v>
      </c>
      <c r="I10832" cm="1">
        <f t="array" ref="I10832">_xlfn.STDEV.P(IF(Table1[IndicatorCode]=Table1[[#This Row],[IndicatorCode]],Table1[value]))</f>
        <v>6.3409496564024987</v>
      </c>
      <c r="J10832">
        <f>(Table1[[#This Row],[value]] - Table1[[#This Row],[mean]]) / Table1[[#This Row],[std_dev]]</f>
        <v>-0.73571631048930775</v>
      </c>
      <c r="K10832">
        <f>AVERAGEIF(Table1[CountryCode],Table1[[#This Row],[CountryCode]],Table1[z-score])</f>
        <v>-0.73322176935075789</v>
      </c>
      <c r="L10832" t="e">
        <f>VLOOKUP(Table1[[#This Row],[CountryCode]],[1]!Table1[#All],1,FALSE)</f>
        <v>#REF!</v>
      </c>
    </row>
    <row r="10833" spans="1:12" hidden="1" x14ac:dyDescent="0.3">
      <c r="A10833" t="s">
        <v>121</v>
      </c>
      <c r="B10833" t="s">
        <v>122</v>
      </c>
      <c r="C10833" t="s">
        <v>129</v>
      </c>
      <c r="D10833" t="s">
        <v>130</v>
      </c>
      <c r="E10833">
        <v>2008</v>
      </c>
      <c r="F10833" s="1">
        <v>69</v>
      </c>
      <c r="G10833">
        <v>2010</v>
      </c>
      <c r="H10833">
        <f>AVERAGEIFS(Table1[value],Table1[IndicatorCode],Table1[[#This Row],[IndicatorCode]])</f>
        <v>72.66514008620689</v>
      </c>
      <c r="I10833" cm="1">
        <f t="array" ref="I10833">_xlfn.STDEV.P(IF(Table1[IndicatorCode]=Table1[[#This Row],[IndicatorCode]],Table1[value]))</f>
        <v>6.3409496564024987</v>
      </c>
      <c r="J10833">
        <f>(Table1[[#This Row],[value]] - Table1[[#This Row],[mean]]) / Table1[[#This Row],[std_dev]]</f>
        <v>-0.57801122620586864</v>
      </c>
      <c r="K10833">
        <f>AVERAGEIF(Table1[CountryCode],Table1[[#This Row],[CountryCode]],Table1[z-score])</f>
        <v>-0.73322176935075789</v>
      </c>
      <c r="L10833" t="e">
        <f>VLOOKUP(Table1[[#This Row],[CountryCode]],[1]!Table1[#All],1,FALSE)</f>
        <v>#REF!</v>
      </c>
    </row>
    <row r="10834" spans="1:12" hidden="1" x14ac:dyDescent="0.3">
      <c r="A10834" t="s">
        <v>121</v>
      </c>
      <c r="B10834" t="s">
        <v>122</v>
      </c>
      <c r="C10834" t="s">
        <v>129</v>
      </c>
      <c r="D10834" t="s">
        <v>130</v>
      </c>
      <c r="E10834">
        <v>2009</v>
      </c>
      <c r="F10834" s="1">
        <v>70</v>
      </c>
      <c r="G10834">
        <v>2010</v>
      </c>
      <c r="H10834">
        <f>AVERAGEIFS(Table1[value],Table1[IndicatorCode],Table1[[#This Row],[IndicatorCode]])</f>
        <v>72.66514008620689</v>
      </c>
      <c r="I10834" cm="1">
        <f t="array" ref="I10834">_xlfn.STDEV.P(IF(Table1[IndicatorCode]=Table1[[#This Row],[IndicatorCode]],Table1[value]))</f>
        <v>6.3409496564024987</v>
      </c>
      <c r="J10834">
        <f>(Table1[[#This Row],[value]] - Table1[[#This Row],[mean]]) / Table1[[#This Row],[std_dev]]</f>
        <v>-0.4203061419224296</v>
      </c>
      <c r="K10834">
        <f>AVERAGEIF(Table1[CountryCode],Table1[[#This Row],[CountryCode]],Table1[z-score])</f>
        <v>-0.73322176935075789</v>
      </c>
      <c r="L10834" t="e">
        <f>VLOOKUP(Table1[[#This Row],[CountryCode]],[1]!Table1[#All],1,FALSE)</f>
        <v>#REF!</v>
      </c>
    </row>
    <row r="10835" spans="1:12" hidden="1" x14ac:dyDescent="0.3">
      <c r="A10835" t="s">
        <v>121</v>
      </c>
      <c r="B10835" t="s">
        <v>122</v>
      </c>
      <c r="C10835" t="s">
        <v>129</v>
      </c>
      <c r="D10835" t="s">
        <v>130</v>
      </c>
      <c r="E10835">
        <v>2010</v>
      </c>
      <c r="F10835" s="1">
        <v>70</v>
      </c>
      <c r="G10835">
        <v>2010</v>
      </c>
      <c r="H10835">
        <f>AVERAGEIFS(Table1[value],Table1[IndicatorCode],Table1[[#This Row],[IndicatorCode]])</f>
        <v>72.66514008620689</v>
      </c>
      <c r="I10835" cm="1">
        <f t="array" ref="I10835">_xlfn.STDEV.P(IF(Table1[IndicatorCode]=Table1[[#This Row],[IndicatorCode]],Table1[value]))</f>
        <v>6.3409496564024987</v>
      </c>
      <c r="J10835">
        <f>(Table1[[#This Row],[value]] - Table1[[#This Row],[mean]]) / Table1[[#This Row],[std_dev]]</f>
        <v>-0.4203061419224296</v>
      </c>
      <c r="K10835">
        <f>AVERAGEIF(Table1[CountryCode],Table1[[#This Row],[CountryCode]],Table1[z-score])</f>
        <v>-0.73322176935075789</v>
      </c>
      <c r="L10835" t="e">
        <f>VLOOKUP(Table1[[#This Row],[CountryCode]],[1]!Table1[#All],1,FALSE)</f>
        <v>#REF!</v>
      </c>
    </row>
    <row r="10836" spans="1:12" hidden="1" x14ac:dyDescent="0.3">
      <c r="A10836" t="s">
        <v>121</v>
      </c>
      <c r="B10836" t="s">
        <v>122</v>
      </c>
      <c r="C10836" t="s">
        <v>129</v>
      </c>
      <c r="D10836" t="s">
        <v>130</v>
      </c>
      <c r="E10836">
        <v>2011</v>
      </c>
      <c r="F10836" s="1">
        <v>70</v>
      </c>
      <c r="G10836">
        <v>2010</v>
      </c>
      <c r="H10836">
        <f>AVERAGEIFS(Table1[value],Table1[IndicatorCode],Table1[[#This Row],[IndicatorCode]])</f>
        <v>72.66514008620689</v>
      </c>
      <c r="I10836" cm="1">
        <f t="array" ref="I10836">_xlfn.STDEV.P(IF(Table1[IndicatorCode]=Table1[[#This Row],[IndicatorCode]],Table1[value]))</f>
        <v>6.3409496564024987</v>
      </c>
      <c r="J10836">
        <f>(Table1[[#This Row],[value]] - Table1[[#This Row],[mean]]) / Table1[[#This Row],[std_dev]]</f>
        <v>-0.4203061419224296</v>
      </c>
      <c r="K10836">
        <f>AVERAGEIF(Table1[CountryCode],Table1[[#This Row],[CountryCode]],Table1[z-score])</f>
        <v>-0.73322176935075789</v>
      </c>
      <c r="L10836" t="e">
        <f>VLOOKUP(Table1[[#This Row],[CountryCode]],[1]!Table1[#All],1,FALSE)</f>
        <v>#REF!</v>
      </c>
    </row>
    <row r="10837" spans="1:12" hidden="1" x14ac:dyDescent="0.3">
      <c r="A10837" t="s">
        <v>121</v>
      </c>
      <c r="B10837" t="s">
        <v>122</v>
      </c>
      <c r="C10837" t="s">
        <v>129</v>
      </c>
      <c r="D10837" t="s">
        <v>130</v>
      </c>
      <c r="E10837">
        <v>2012</v>
      </c>
      <c r="F10837" s="1">
        <v>70</v>
      </c>
      <c r="G10837">
        <v>2010</v>
      </c>
      <c r="H10837">
        <f>AVERAGEIFS(Table1[value],Table1[IndicatorCode],Table1[[#This Row],[IndicatorCode]])</f>
        <v>72.66514008620689</v>
      </c>
      <c r="I10837" cm="1">
        <f t="array" ref="I10837">_xlfn.STDEV.P(IF(Table1[IndicatorCode]=Table1[[#This Row],[IndicatorCode]],Table1[value]))</f>
        <v>6.3409496564024987</v>
      </c>
      <c r="J10837">
        <f>(Table1[[#This Row],[value]] - Table1[[#This Row],[mean]]) / Table1[[#This Row],[std_dev]]</f>
        <v>-0.4203061419224296</v>
      </c>
      <c r="K10837">
        <f>AVERAGEIF(Table1[CountryCode],Table1[[#This Row],[CountryCode]],Table1[z-score])</f>
        <v>-0.73322176935075789</v>
      </c>
      <c r="L10837" t="e">
        <f>VLOOKUP(Table1[[#This Row],[CountryCode]],[1]!Table1[#All],1,FALSE)</f>
        <v>#REF!</v>
      </c>
    </row>
    <row r="10838" spans="1:12" hidden="1" x14ac:dyDescent="0.3">
      <c r="A10838" t="s">
        <v>121</v>
      </c>
      <c r="B10838" t="s">
        <v>122</v>
      </c>
      <c r="C10838" t="s">
        <v>129</v>
      </c>
      <c r="D10838" t="s">
        <v>130</v>
      </c>
      <c r="E10838">
        <v>2013</v>
      </c>
      <c r="F10838" s="1">
        <v>71</v>
      </c>
      <c r="G10838">
        <v>2010</v>
      </c>
      <c r="H10838">
        <f>AVERAGEIFS(Table1[value],Table1[IndicatorCode],Table1[[#This Row],[IndicatorCode]])</f>
        <v>72.66514008620689</v>
      </c>
      <c r="I10838" cm="1">
        <f t="array" ref="I10838">_xlfn.STDEV.P(IF(Table1[IndicatorCode]=Table1[[#This Row],[IndicatorCode]],Table1[value]))</f>
        <v>6.3409496564024987</v>
      </c>
      <c r="J10838">
        <f>(Table1[[#This Row],[value]] - Table1[[#This Row],[mean]]) / Table1[[#This Row],[std_dev]]</f>
        <v>-0.2626010576389905</v>
      </c>
      <c r="K10838">
        <f>AVERAGEIF(Table1[CountryCode],Table1[[#This Row],[CountryCode]],Table1[z-score])</f>
        <v>-0.73322176935075789</v>
      </c>
      <c r="L10838" t="e">
        <f>VLOOKUP(Table1[[#This Row],[CountryCode]],[1]!Table1[#All],1,FALSE)</f>
        <v>#REF!</v>
      </c>
    </row>
    <row r="10839" spans="1:12" hidden="1" x14ac:dyDescent="0.3">
      <c r="A10839" t="s">
        <v>121</v>
      </c>
      <c r="B10839" t="s">
        <v>122</v>
      </c>
      <c r="C10839" t="s">
        <v>129</v>
      </c>
      <c r="D10839" t="s">
        <v>130</v>
      </c>
      <c r="E10839">
        <v>2014</v>
      </c>
      <c r="F10839" s="1">
        <v>71</v>
      </c>
      <c r="G10839">
        <v>2010</v>
      </c>
      <c r="H10839">
        <f>AVERAGEIFS(Table1[value],Table1[IndicatorCode],Table1[[#This Row],[IndicatorCode]])</f>
        <v>72.66514008620689</v>
      </c>
      <c r="I10839" cm="1">
        <f t="array" ref="I10839">_xlfn.STDEV.P(IF(Table1[IndicatorCode]=Table1[[#This Row],[IndicatorCode]],Table1[value]))</f>
        <v>6.3409496564024987</v>
      </c>
      <c r="J10839">
        <f>(Table1[[#This Row],[value]] - Table1[[#This Row],[mean]]) / Table1[[#This Row],[std_dev]]</f>
        <v>-0.2626010576389905</v>
      </c>
      <c r="K10839">
        <f>AVERAGEIF(Table1[CountryCode],Table1[[#This Row],[CountryCode]],Table1[z-score])</f>
        <v>-0.73322176935075789</v>
      </c>
      <c r="L10839" t="e">
        <f>VLOOKUP(Table1[[#This Row],[CountryCode]],[1]!Table1[#All],1,FALSE)</f>
        <v>#REF!</v>
      </c>
    </row>
    <row r="10840" spans="1:12" hidden="1" x14ac:dyDescent="0.3">
      <c r="A10840" t="s">
        <v>121</v>
      </c>
      <c r="B10840" t="s">
        <v>122</v>
      </c>
      <c r="C10840" t="s">
        <v>129</v>
      </c>
      <c r="D10840" t="s">
        <v>130</v>
      </c>
      <c r="E10840">
        <v>2015</v>
      </c>
      <c r="F10840" s="1">
        <v>71</v>
      </c>
      <c r="G10840">
        <v>2010</v>
      </c>
      <c r="H10840">
        <f>AVERAGEIFS(Table1[value],Table1[IndicatorCode],Table1[[#This Row],[IndicatorCode]])</f>
        <v>72.66514008620689</v>
      </c>
      <c r="I10840" cm="1">
        <f t="array" ref="I10840">_xlfn.STDEV.P(IF(Table1[IndicatorCode]=Table1[[#This Row],[IndicatorCode]],Table1[value]))</f>
        <v>6.3409496564024987</v>
      </c>
      <c r="J10840">
        <f>(Table1[[#This Row],[value]] - Table1[[#This Row],[mean]]) / Table1[[#This Row],[std_dev]]</f>
        <v>-0.2626010576389905</v>
      </c>
      <c r="K10840">
        <f>AVERAGEIF(Table1[CountryCode],Table1[[#This Row],[CountryCode]],Table1[z-score])</f>
        <v>-0.73322176935075789</v>
      </c>
      <c r="L10840" t="e">
        <f>VLOOKUP(Table1[[#This Row],[CountryCode]],[1]!Table1[#All],1,FALSE)</f>
        <v>#REF!</v>
      </c>
    </row>
    <row r="10841" spans="1:12" hidden="1" x14ac:dyDescent="0.3">
      <c r="A10841" t="s">
        <v>121</v>
      </c>
      <c r="B10841" t="s">
        <v>122</v>
      </c>
      <c r="C10841" t="s">
        <v>129</v>
      </c>
      <c r="D10841" t="s">
        <v>130</v>
      </c>
      <c r="E10841">
        <v>2016</v>
      </c>
      <c r="F10841" s="1">
        <v>72</v>
      </c>
      <c r="G10841">
        <v>2010</v>
      </c>
      <c r="H10841">
        <f>AVERAGEIFS(Table1[value],Table1[IndicatorCode],Table1[[#This Row],[IndicatorCode]])</f>
        <v>72.66514008620689</v>
      </c>
      <c r="I10841" cm="1">
        <f t="array" ref="I10841">_xlfn.STDEV.P(IF(Table1[IndicatorCode]=Table1[[#This Row],[IndicatorCode]],Table1[value]))</f>
        <v>6.3409496564024987</v>
      </c>
      <c r="J10841">
        <f>(Table1[[#This Row],[value]] - Table1[[#This Row],[mean]]) / Table1[[#This Row],[std_dev]]</f>
        <v>-0.10489597335555145</v>
      </c>
      <c r="K10841">
        <f>AVERAGEIF(Table1[CountryCode],Table1[[#This Row],[CountryCode]],Table1[z-score])</f>
        <v>-0.73322176935075789</v>
      </c>
      <c r="L10841" t="e">
        <f>VLOOKUP(Table1[[#This Row],[CountryCode]],[1]!Table1[#All],1,FALSE)</f>
        <v>#REF!</v>
      </c>
    </row>
    <row r="10842" spans="1:12" hidden="1" x14ac:dyDescent="0.3">
      <c r="A10842" t="s">
        <v>121</v>
      </c>
      <c r="B10842" t="s">
        <v>122</v>
      </c>
      <c r="C10842" t="s">
        <v>129</v>
      </c>
      <c r="D10842" t="s">
        <v>130</v>
      </c>
      <c r="E10842">
        <v>2017</v>
      </c>
      <c r="F10842" s="1">
        <v>72</v>
      </c>
      <c r="G10842">
        <v>2020</v>
      </c>
      <c r="H10842">
        <f>AVERAGEIFS(Table1[value],Table1[IndicatorCode],Table1[[#This Row],[IndicatorCode]])</f>
        <v>72.66514008620689</v>
      </c>
      <c r="I10842" cm="1">
        <f t="array" ref="I10842">_xlfn.STDEV.P(IF(Table1[IndicatorCode]=Table1[[#This Row],[IndicatorCode]],Table1[value]))</f>
        <v>6.3409496564024987</v>
      </c>
      <c r="J10842">
        <f>(Table1[[#This Row],[value]] - Table1[[#This Row],[mean]]) / Table1[[#This Row],[std_dev]]</f>
        <v>-0.10489597335555145</v>
      </c>
      <c r="K10842">
        <f>AVERAGEIF(Table1[CountryCode],Table1[[#This Row],[CountryCode]],Table1[z-score])</f>
        <v>-0.73322176935075789</v>
      </c>
      <c r="L10842" t="e">
        <f>VLOOKUP(Table1[[#This Row],[CountryCode]],[1]!Table1[#All],1,FALSE)</f>
        <v>#REF!</v>
      </c>
    </row>
    <row r="10843" spans="1:12" hidden="1" x14ac:dyDescent="0.3">
      <c r="A10843" t="s">
        <v>121</v>
      </c>
      <c r="B10843" t="s">
        <v>122</v>
      </c>
      <c r="C10843" t="s">
        <v>129</v>
      </c>
      <c r="D10843" t="s">
        <v>130</v>
      </c>
      <c r="E10843">
        <v>2018</v>
      </c>
      <c r="F10843" s="1">
        <v>72</v>
      </c>
      <c r="G10843">
        <v>2020</v>
      </c>
      <c r="H10843">
        <f>AVERAGEIFS(Table1[value],Table1[IndicatorCode],Table1[[#This Row],[IndicatorCode]])</f>
        <v>72.66514008620689</v>
      </c>
      <c r="I10843" cm="1">
        <f t="array" ref="I10843">_xlfn.STDEV.P(IF(Table1[IndicatorCode]=Table1[[#This Row],[IndicatorCode]],Table1[value]))</f>
        <v>6.3409496564024987</v>
      </c>
      <c r="J10843">
        <f>(Table1[[#This Row],[value]] - Table1[[#This Row],[mean]]) / Table1[[#This Row],[std_dev]]</f>
        <v>-0.10489597335555145</v>
      </c>
      <c r="K10843">
        <f>AVERAGEIF(Table1[CountryCode],Table1[[#This Row],[CountryCode]],Table1[z-score])</f>
        <v>-0.73322176935075789</v>
      </c>
      <c r="L10843" t="e">
        <f>VLOOKUP(Table1[[#This Row],[CountryCode]],[1]!Table1[#All],1,FALSE)</f>
        <v>#REF!</v>
      </c>
    </row>
    <row r="10844" spans="1:12" hidden="1" x14ac:dyDescent="0.3">
      <c r="A10844" t="s">
        <v>121</v>
      </c>
      <c r="B10844" t="s">
        <v>122</v>
      </c>
      <c r="C10844" t="s">
        <v>129</v>
      </c>
      <c r="D10844" t="s">
        <v>130</v>
      </c>
      <c r="E10844">
        <v>2019</v>
      </c>
      <c r="F10844" s="1">
        <v>72</v>
      </c>
      <c r="G10844">
        <v>2020</v>
      </c>
      <c r="H10844">
        <f>AVERAGEIFS(Table1[value],Table1[IndicatorCode],Table1[[#This Row],[IndicatorCode]])</f>
        <v>72.66514008620689</v>
      </c>
      <c r="I10844" cm="1">
        <f t="array" ref="I10844">_xlfn.STDEV.P(IF(Table1[IndicatorCode]=Table1[[#This Row],[IndicatorCode]],Table1[value]))</f>
        <v>6.3409496564024987</v>
      </c>
      <c r="J10844">
        <f>(Table1[[#This Row],[value]] - Table1[[#This Row],[mean]]) / Table1[[#This Row],[std_dev]]</f>
        <v>-0.10489597335555145</v>
      </c>
      <c r="K10844">
        <f>AVERAGEIF(Table1[CountryCode],Table1[[#This Row],[CountryCode]],Table1[z-score])</f>
        <v>-0.73322176935075789</v>
      </c>
      <c r="L10844" t="e">
        <f>VLOOKUP(Table1[[#This Row],[CountryCode]],[1]!Table1[#All],1,FALSE)</f>
        <v>#REF!</v>
      </c>
    </row>
    <row r="10845" spans="1:12" x14ac:dyDescent="0.3">
      <c r="A10845" t="s">
        <v>121</v>
      </c>
      <c r="B10845" t="s">
        <v>122</v>
      </c>
      <c r="C10845" t="s">
        <v>129</v>
      </c>
      <c r="D10845" t="s">
        <v>130</v>
      </c>
      <c r="E10845">
        <v>2020</v>
      </c>
      <c r="F10845" s="1">
        <v>71</v>
      </c>
      <c r="G10845">
        <v>2020</v>
      </c>
      <c r="H10845">
        <f>AVERAGEIFS(Table1[value],Table1[IndicatorCode],Table1[[#This Row],[IndicatorCode]])</f>
        <v>72.66514008620689</v>
      </c>
      <c r="I10845" cm="1">
        <f t="array" ref="I10845">_xlfn.STDEV.P(IF(Table1[IndicatorCode]=Table1[[#This Row],[IndicatorCode]],Table1[value]))</f>
        <v>6.3409496564024987</v>
      </c>
      <c r="J10845">
        <f>(Table1[[#This Row],[value]] - Table1[[#This Row],[mean]]) / Table1[[#This Row],[std_dev]]</f>
        <v>-0.2626010576389905</v>
      </c>
      <c r="K10845">
        <f>AVERAGEIF(Table1[CountryCode],Table1[[#This Row],[CountryCode]],Table1[z-score])</f>
        <v>-0.73322176935075789</v>
      </c>
    </row>
    <row r="10846" spans="1:12" hidden="1" x14ac:dyDescent="0.3">
      <c r="A10846" t="s">
        <v>121</v>
      </c>
      <c r="B10846" t="s">
        <v>122</v>
      </c>
      <c r="C10846" t="s">
        <v>129</v>
      </c>
      <c r="D10846" t="s">
        <v>130</v>
      </c>
      <c r="E10846">
        <v>2021</v>
      </c>
      <c r="F10846" s="1">
        <v>72</v>
      </c>
      <c r="G10846">
        <v>1960</v>
      </c>
      <c r="H10846">
        <f>AVERAGEIFS(Table1[value],Table1[IndicatorCode],Table1[[#This Row],[IndicatorCode]])</f>
        <v>72.66514008620689</v>
      </c>
      <c r="I10846" cm="1">
        <f t="array" ref="I10846">_xlfn.STDEV.P(IF(Table1[IndicatorCode]=Table1[[#This Row],[IndicatorCode]],Table1[value]))</f>
        <v>6.3409496564024987</v>
      </c>
      <c r="J10846">
        <f>(Table1[[#This Row],[value]] - Table1[[#This Row],[mean]]) / Table1[[#This Row],[std_dev]]</f>
        <v>-0.10489597335555145</v>
      </c>
      <c r="K10846">
        <f>AVERAGEIF(Table1[CountryCode],Table1[[#This Row],[CountryCode]],Table1[z-score])</f>
        <v>-0.73322176935075789</v>
      </c>
      <c r="L10846" t="e">
        <f>VLOOKUP(Table1[[#This Row],[CountryCode]],[1]!Table1[#All],1,FALSE)</f>
        <v>#REF!</v>
      </c>
    </row>
    <row r="10847" spans="1:12" hidden="1" x14ac:dyDescent="0.3">
      <c r="A10847" t="s">
        <v>121</v>
      </c>
      <c r="B10847" t="s">
        <v>122</v>
      </c>
      <c r="C10847" t="s">
        <v>129</v>
      </c>
      <c r="D10847" t="s">
        <v>130</v>
      </c>
      <c r="E10847">
        <v>2022</v>
      </c>
      <c r="F10847" s="1">
        <v>72</v>
      </c>
      <c r="G10847">
        <v>1960</v>
      </c>
      <c r="H10847">
        <f>AVERAGEIFS(Table1[value],Table1[IndicatorCode],Table1[[#This Row],[IndicatorCode]])</f>
        <v>72.66514008620689</v>
      </c>
      <c r="I10847" cm="1">
        <f t="array" ref="I10847">_xlfn.STDEV.P(IF(Table1[IndicatorCode]=Table1[[#This Row],[IndicatorCode]],Table1[value]))</f>
        <v>6.3409496564024987</v>
      </c>
      <c r="J10847">
        <f>(Table1[[#This Row],[value]] - Table1[[#This Row],[mean]]) / Table1[[#This Row],[std_dev]]</f>
        <v>-0.10489597335555145</v>
      </c>
      <c r="K10847">
        <f>AVERAGEIF(Table1[CountryCode],Table1[[#This Row],[CountryCode]],Table1[z-score])</f>
        <v>-0.73322176935075789</v>
      </c>
      <c r="L10847" t="e">
        <f>VLOOKUP(Table1[[#This Row],[CountryCode]],[1]!Table1[#All],1,FALSE)</f>
        <v>#REF!</v>
      </c>
    </row>
    <row r="10848" spans="1:12" hidden="1" x14ac:dyDescent="0.3">
      <c r="A10848" t="s">
        <v>121</v>
      </c>
      <c r="B10848" t="s">
        <v>122</v>
      </c>
      <c r="C10848" t="s">
        <v>129</v>
      </c>
      <c r="D10848" t="s">
        <v>130</v>
      </c>
      <c r="E10848">
        <v>2023</v>
      </c>
      <c r="F10848" s="1">
        <v>72</v>
      </c>
      <c r="G10848">
        <v>1960</v>
      </c>
      <c r="H10848">
        <f>AVERAGEIFS(Table1[value],Table1[IndicatorCode],Table1[[#This Row],[IndicatorCode]])</f>
        <v>72.66514008620689</v>
      </c>
      <c r="I10848" cm="1">
        <f t="array" ref="I10848">_xlfn.STDEV.P(IF(Table1[IndicatorCode]=Table1[[#This Row],[IndicatorCode]],Table1[value]))</f>
        <v>6.3409496564024987</v>
      </c>
      <c r="J10848">
        <f>(Table1[[#This Row],[value]] - Table1[[#This Row],[mean]]) / Table1[[#This Row],[std_dev]]</f>
        <v>-0.10489597335555145</v>
      </c>
      <c r="K10848">
        <f>AVERAGEIF(Table1[CountryCode],Table1[[#This Row],[CountryCode]],Table1[z-score])</f>
        <v>-0.73322176935075789</v>
      </c>
      <c r="L10848" t="e">
        <f>VLOOKUP(Table1[[#This Row],[CountryCode]],[1]!Table1[#All],1,FALSE)</f>
        <v>#REF!</v>
      </c>
    </row>
    <row r="10849" spans="1:12" hidden="1" x14ac:dyDescent="0.3">
      <c r="A10849" t="s">
        <v>123</v>
      </c>
      <c r="B10849" t="s">
        <v>124</v>
      </c>
      <c r="C10849" t="s">
        <v>129</v>
      </c>
      <c r="D10849" t="s">
        <v>130</v>
      </c>
      <c r="E10849">
        <v>1960</v>
      </c>
      <c r="F10849" s="1">
        <v>49</v>
      </c>
      <c r="G10849">
        <v>1960</v>
      </c>
      <c r="H10849">
        <f>AVERAGEIFS(Table1[value],Table1[IndicatorCode],Table1[[#This Row],[IndicatorCode]])</f>
        <v>72.66514008620689</v>
      </c>
      <c r="I10849" cm="1">
        <f t="array" ref="I10849">_xlfn.STDEV.P(IF(Table1[IndicatorCode]=Table1[[#This Row],[IndicatorCode]],Table1[value]))</f>
        <v>6.3409496564024987</v>
      </c>
      <c r="J10849">
        <f>(Table1[[#This Row],[value]] - Table1[[#This Row],[mean]]) / Table1[[#This Row],[std_dev]]</f>
        <v>-3.7321129118746499</v>
      </c>
      <c r="K10849">
        <f>AVERAGEIF(Table1[CountryCode],Table1[[#This Row],[CountryCode]],Table1[z-score])</f>
        <v>-0.96047002154562466</v>
      </c>
      <c r="L10849" t="e">
        <f>VLOOKUP(Table1[[#This Row],[CountryCode]],[1]!Table1[#All],1,FALSE)</f>
        <v>#REF!</v>
      </c>
    </row>
    <row r="10850" spans="1:12" hidden="1" x14ac:dyDescent="0.3">
      <c r="A10850" t="s">
        <v>123</v>
      </c>
      <c r="B10850" t="s">
        <v>124</v>
      </c>
      <c r="C10850" t="s">
        <v>129</v>
      </c>
      <c r="D10850" t="s">
        <v>130</v>
      </c>
      <c r="E10850">
        <v>1961</v>
      </c>
      <c r="F10850" s="1">
        <v>50</v>
      </c>
      <c r="G10850">
        <v>1960</v>
      </c>
      <c r="H10850">
        <f>AVERAGEIFS(Table1[value],Table1[IndicatorCode],Table1[[#This Row],[IndicatorCode]])</f>
        <v>72.66514008620689</v>
      </c>
      <c r="I10850" cm="1">
        <f t="array" ref="I10850">_xlfn.STDEV.P(IF(Table1[IndicatorCode]=Table1[[#This Row],[IndicatorCode]],Table1[value]))</f>
        <v>6.3409496564024987</v>
      </c>
      <c r="J10850">
        <f>(Table1[[#This Row],[value]] - Table1[[#This Row],[mean]]) / Table1[[#This Row],[std_dev]]</f>
        <v>-3.5744078275912106</v>
      </c>
      <c r="K10850">
        <f>AVERAGEIF(Table1[CountryCode],Table1[[#This Row],[CountryCode]],Table1[z-score])</f>
        <v>-0.96047002154562466</v>
      </c>
      <c r="L10850" t="e">
        <f>VLOOKUP(Table1[[#This Row],[CountryCode]],[1]!Table1[#All],1,FALSE)</f>
        <v>#REF!</v>
      </c>
    </row>
    <row r="10851" spans="1:12" hidden="1" x14ac:dyDescent="0.3">
      <c r="A10851" t="s">
        <v>123</v>
      </c>
      <c r="B10851" t="s">
        <v>124</v>
      </c>
      <c r="C10851" t="s">
        <v>129</v>
      </c>
      <c r="D10851" t="s">
        <v>130</v>
      </c>
      <c r="E10851">
        <v>1962</v>
      </c>
      <c r="F10851" s="1">
        <v>48</v>
      </c>
      <c r="G10851">
        <v>1960</v>
      </c>
      <c r="H10851">
        <f>AVERAGEIFS(Table1[value],Table1[IndicatorCode],Table1[[#This Row],[IndicatorCode]])</f>
        <v>72.66514008620689</v>
      </c>
      <c r="I10851" cm="1">
        <f t="array" ref="I10851">_xlfn.STDEV.P(IF(Table1[IndicatorCode]=Table1[[#This Row],[IndicatorCode]],Table1[value]))</f>
        <v>6.3409496564024987</v>
      </c>
      <c r="J10851">
        <f>(Table1[[#This Row],[value]] - Table1[[#This Row],[mean]]) / Table1[[#This Row],[std_dev]]</f>
        <v>-3.8898179961580888</v>
      </c>
      <c r="K10851">
        <f>AVERAGEIF(Table1[CountryCode],Table1[[#This Row],[CountryCode]],Table1[z-score])</f>
        <v>-0.96047002154562466</v>
      </c>
      <c r="L10851" t="e">
        <f>VLOOKUP(Table1[[#This Row],[CountryCode]],[1]!Table1[#All],1,FALSE)</f>
        <v>#REF!</v>
      </c>
    </row>
    <row r="10852" spans="1:12" hidden="1" x14ac:dyDescent="0.3">
      <c r="A10852" t="s">
        <v>123</v>
      </c>
      <c r="B10852" t="s">
        <v>124</v>
      </c>
      <c r="C10852" t="s">
        <v>129</v>
      </c>
      <c r="D10852" t="s">
        <v>130</v>
      </c>
      <c r="E10852">
        <v>1963</v>
      </c>
      <c r="F10852" s="1">
        <v>50</v>
      </c>
      <c r="G10852">
        <v>1960</v>
      </c>
      <c r="H10852">
        <f>AVERAGEIFS(Table1[value],Table1[IndicatorCode],Table1[[#This Row],[IndicatorCode]])</f>
        <v>72.66514008620689</v>
      </c>
      <c r="I10852" cm="1">
        <f t="array" ref="I10852">_xlfn.STDEV.P(IF(Table1[IndicatorCode]=Table1[[#This Row],[IndicatorCode]],Table1[value]))</f>
        <v>6.3409496564024987</v>
      </c>
      <c r="J10852">
        <f>(Table1[[#This Row],[value]] - Table1[[#This Row],[mean]]) / Table1[[#This Row],[std_dev]]</f>
        <v>-3.5744078275912106</v>
      </c>
      <c r="K10852">
        <f>AVERAGEIF(Table1[CountryCode],Table1[[#This Row],[CountryCode]],Table1[z-score])</f>
        <v>-0.96047002154562466</v>
      </c>
      <c r="L10852" t="e">
        <f>VLOOKUP(Table1[[#This Row],[CountryCode]],[1]!Table1[#All],1,FALSE)</f>
        <v>#REF!</v>
      </c>
    </row>
    <row r="10853" spans="1:12" hidden="1" x14ac:dyDescent="0.3">
      <c r="A10853" t="s">
        <v>123</v>
      </c>
      <c r="B10853" t="s">
        <v>124</v>
      </c>
      <c r="C10853" t="s">
        <v>129</v>
      </c>
      <c r="D10853" t="s">
        <v>130</v>
      </c>
      <c r="E10853">
        <v>1964</v>
      </c>
      <c r="F10853" s="1">
        <v>51</v>
      </c>
      <c r="G10853">
        <v>1960</v>
      </c>
      <c r="H10853">
        <f>AVERAGEIFS(Table1[value],Table1[IndicatorCode],Table1[[#This Row],[IndicatorCode]])</f>
        <v>72.66514008620689</v>
      </c>
      <c r="I10853" cm="1">
        <f t="array" ref="I10853">_xlfn.STDEV.P(IF(Table1[IndicatorCode]=Table1[[#This Row],[IndicatorCode]],Table1[value]))</f>
        <v>6.3409496564024987</v>
      </c>
      <c r="J10853">
        <f>(Table1[[#This Row],[value]] - Table1[[#This Row],[mean]]) / Table1[[#This Row],[std_dev]]</f>
        <v>-3.4167027433077717</v>
      </c>
      <c r="K10853">
        <f>AVERAGEIF(Table1[CountryCode],Table1[[#This Row],[CountryCode]],Table1[z-score])</f>
        <v>-0.96047002154562466</v>
      </c>
      <c r="L10853" t="e">
        <f>VLOOKUP(Table1[[#This Row],[CountryCode]],[1]!Table1[#All],1,FALSE)</f>
        <v>#REF!</v>
      </c>
    </row>
    <row r="10854" spans="1:12" hidden="1" x14ac:dyDescent="0.3">
      <c r="A10854" t="s">
        <v>123</v>
      </c>
      <c r="B10854" t="s">
        <v>124</v>
      </c>
      <c r="C10854" t="s">
        <v>129</v>
      </c>
      <c r="D10854" t="s">
        <v>130</v>
      </c>
      <c r="E10854">
        <v>1965</v>
      </c>
      <c r="F10854" s="1">
        <v>52</v>
      </c>
      <c r="G10854">
        <v>1960</v>
      </c>
      <c r="H10854">
        <f>AVERAGEIFS(Table1[value],Table1[IndicatorCode],Table1[[#This Row],[IndicatorCode]])</f>
        <v>72.66514008620689</v>
      </c>
      <c r="I10854" cm="1">
        <f t="array" ref="I10854">_xlfn.STDEV.P(IF(Table1[IndicatorCode]=Table1[[#This Row],[IndicatorCode]],Table1[value]))</f>
        <v>6.3409496564024987</v>
      </c>
      <c r="J10854">
        <f>(Table1[[#This Row],[value]] - Table1[[#This Row],[mean]]) / Table1[[#This Row],[std_dev]]</f>
        <v>-3.2589976590243328</v>
      </c>
      <c r="K10854">
        <f>AVERAGEIF(Table1[CountryCode],Table1[[#This Row],[CountryCode]],Table1[z-score])</f>
        <v>-0.96047002154562466</v>
      </c>
      <c r="L10854" t="e">
        <f>VLOOKUP(Table1[[#This Row],[CountryCode]],[1]!Table1[#All],1,FALSE)</f>
        <v>#REF!</v>
      </c>
    </row>
    <row r="10855" spans="1:12" hidden="1" x14ac:dyDescent="0.3">
      <c r="A10855" t="s">
        <v>123</v>
      </c>
      <c r="B10855" t="s">
        <v>124</v>
      </c>
      <c r="C10855" t="s">
        <v>129</v>
      </c>
      <c r="D10855" t="s">
        <v>130</v>
      </c>
      <c r="E10855">
        <v>1966</v>
      </c>
      <c r="F10855" s="1">
        <v>52</v>
      </c>
      <c r="G10855">
        <v>1960</v>
      </c>
      <c r="H10855">
        <f>AVERAGEIFS(Table1[value],Table1[IndicatorCode],Table1[[#This Row],[IndicatorCode]])</f>
        <v>72.66514008620689</v>
      </c>
      <c r="I10855" cm="1">
        <f t="array" ref="I10855">_xlfn.STDEV.P(IF(Table1[IndicatorCode]=Table1[[#This Row],[IndicatorCode]],Table1[value]))</f>
        <v>6.3409496564024987</v>
      </c>
      <c r="J10855">
        <f>(Table1[[#This Row],[value]] - Table1[[#This Row],[mean]]) / Table1[[#This Row],[std_dev]]</f>
        <v>-3.2589976590243328</v>
      </c>
      <c r="K10855">
        <f>AVERAGEIF(Table1[CountryCode],Table1[[#This Row],[CountryCode]],Table1[z-score])</f>
        <v>-0.96047002154562466</v>
      </c>
      <c r="L10855" t="e">
        <f>VLOOKUP(Table1[[#This Row],[CountryCode]],[1]!Table1[#All],1,FALSE)</f>
        <v>#REF!</v>
      </c>
    </row>
    <row r="10856" spans="1:12" hidden="1" x14ac:dyDescent="0.3">
      <c r="A10856" t="s">
        <v>123</v>
      </c>
      <c r="B10856" t="s">
        <v>124</v>
      </c>
      <c r="C10856" t="s">
        <v>129</v>
      </c>
      <c r="D10856" t="s">
        <v>130</v>
      </c>
      <c r="E10856">
        <v>1967</v>
      </c>
      <c r="F10856" s="1">
        <v>53</v>
      </c>
      <c r="G10856">
        <v>1970</v>
      </c>
      <c r="H10856">
        <f>AVERAGEIFS(Table1[value],Table1[IndicatorCode],Table1[[#This Row],[IndicatorCode]])</f>
        <v>72.66514008620689</v>
      </c>
      <c r="I10856" cm="1">
        <f t="array" ref="I10856">_xlfn.STDEV.P(IF(Table1[IndicatorCode]=Table1[[#This Row],[IndicatorCode]],Table1[value]))</f>
        <v>6.3409496564024987</v>
      </c>
      <c r="J10856">
        <f>(Table1[[#This Row],[value]] - Table1[[#This Row],[mean]]) / Table1[[#This Row],[std_dev]]</f>
        <v>-3.1012925747408935</v>
      </c>
      <c r="K10856">
        <f>AVERAGEIF(Table1[CountryCode],Table1[[#This Row],[CountryCode]],Table1[z-score])</f>
        <v>-0.96047002154562466</v>
      </c>
      <c r="L10856" t="e">
        <f>VLOOKUP(Table1[[#This Row],[CountryCode]],[1]!Table1[#All],1,FALSE)</f>
        <v>#REF!</v>
      </c>
    </row>
    <row r="10857" spans="1:12" hidden="1" x14ac:dyDescent="0.3">
      <c r="A10857" t="s">
        <v>123</v>
      </c>
      <c r="B10857" t="s">
        <v>124</v>
      </c>
      <c r="C10857" t="s">
        <v>129</v>
      </c>
      <c r="D10857" t="s">
        <v>130</v>
      </c>
      <c r="E10857">
        <v>1968</v>
      </c>
      <c r="F10857" s="1">
        <v>54</v>
      </c>
      <c r="G10857">
        <v>1970</v>
      </c>
      <c r="H10857">
        <f>AVERAGEIFS(Table1[value],Table1[IndicatorCode],Table1[[#This Row],[IndicatorCode]])</f>
        <v>72.66514008620689</v>
      </c>
      <c r="I10857" cm="1">
        <f t="array" ref="I10857">_xlfn.STDEV.P(IF(Table1[IndicatorCode]=Table1[[#This Row],[IndicatorCode]],Table1[value]))</f>
        <v>6.3409496564024987</v>
      </c>
      <c r="J10857">
        <f>(Table1[[#This Row],[value]] - Table1[[#This Row],[mean]]) / Table1[[#This Row],[std_dev]]</f>
        <v>-2.9435874904574546</v>
      </c>
      <c r="K10857">
        <f>AVERAGEIF(Table1[CountryCode],Table1[[#This Row],[CountryCode]],Table1[z-score])</f>
        <v>-0.96047002154562466</v>
      </c>
      <c r="L10857" t="e">
        <f>VLOOKUP(Table1[[#This Row],[CountryCode]],[1]!Table1[#All],1,FALSE)</f>
        <v>#REF!</v>
      </c>
    </row>
    <row r="10858" spans="1:12" hidden="1" x14ac:dyDescent="0.3">
      <c r="A10858" t="s">
        <v>123</v>
      </c>
      <c r="B10858" t="s">
        <v>124</v>
      </c>
      <c r="C10858" t="s">
        <v>129</v>
      </c>
      <c r="D10858" t="s">
        <v>130</v>
      </c>
      <c r="E10858">
        <v>1969</v>
      </c>
      <c r="F10858" s="1">
        <v>53</v>
      </c>
      <c r="G10858">
        <v>1970</v>
      </c>
      <c r="H10858">
        <f>AVERAGEIFS(Table1[value],Table1[IndicatorCode],Table1[[#This Row],[IndicatorCode]])</f>
        <v>72.66514008620689</v>
      </c>
      <c r="I10858" cm="1">
        <f t="array" ref="I10858">_xlfn.STDEV.P(IF(Table1[IndicatorCode]=Table1[[#This Row],[IndicatorCode]],Table1[value]))</f>
        <v>6.3409496564024987</v>
      </c>
      <c r="J10858">
        <f>(Table1[[#This Row],[value]] - Table1[[#This Row],[mean]]) / Table1[[#This Row],[std_dev]]</f>
        <v>-3.1012925747408935</v>
      </c>
      <c r="K10858">
        <f>AVERAGEIF(Table1[CountryCode],Table1[[#This Row],[CountryCode]],Table1[z-score])</f>
        <v>-0.96047002154562466</v>
      </c>
      <c r="L10858" t="e">
        <f>VLOOKUP(Table1[[#This Row],[CountryCode]],[1]!Table1[#All],1,FALSE)</f>
        <v>#REF!</v>
      </c>
    </row>
    <row r="10859" spans="1:12" hidden="1" x14ac:dyDescent="0.3">
      <c r="A10859" t="s">
        <v>123</v>
      </c>
      <c r="B10859" t="s">
        <v>124</v>
      </c>
      <c r="C10859" t="s">
        <v>129</v>
      </c>
      <c r="D10859" t="s">
        <v>130</v>
      </c>
      <c r="E10859">
        <v>1970</v>
      </c>
      <c r="F10859" s="1">
        <v>54</v>
      </c>
      <c r="G10859">
        <v>1970</v>
      </c>
      <c r="H10859">
        <f>AVERAGEIFS(Table1[value],Table1[IndicatorCode],Table1[[#This Row],[IndicatorCode]])</f>
        <v>72.66514008620689</v>
      </c>
      <c r="I10859" cm="1">
        <f t="array" ref="I10859">_xlfn.STDEV.P(IF(Table1[IndicatorCode]=Table1[[#This Row],[IndicatorCode]],Table1[value]))</f>
        <v>6.3409496564024987</v>
      </c>
      <c r="J10859">
        <f>(Table1[[#This Row],[value]] - Table1[[#This Row],[mean]]) / Table1[[#This Row],[std_dev]]</f>
        <v>-2.9435874904574546</v>
      </c>
      <c r="K10859">
        <f>AVERAGEIF(Table1[CountryCode],Table1[[#This Row],[CountryCode]],Table1[z-score])</f>
        <v>-0.96047002154562466</v>
      </c>
      <c r="L10859" t="e">
        <f>VLOOKUP(Table1[[#This Row],[CountryCode]],[1]!Table1[#All],1,FALSE)</f>
        <v>#REF!</v>
      </c>
    </row>
    <row r="10860" spans="1:12" hidden="1" x14ac:dyDescent="0.3">
      <c r="A10860" t="s">
        <v>123</v>
      </c>
      <c r="B10860" t="s">
        <v>124</v>
      </c>
      <c r="C10860" t="s">
        <v>129</v>
      </c>
      <c r="D10860" t="s">
        <v>130</v>
      </c>
      <c r="E10860">
        <v>1971</v>
      </c>
      <c r="F10860" s="1">
        <v>55</v>
      </c>
      <c r="G10860">
        <v>1970</v>
      </c>
      <c r="H10860">
        <f>AVERAGEIFS(Table1[value],Table1[IndicatorCode],Table1[[#This Row],[IndicatorCode]])</f>
        <v>72.66514008620689</v>
      </c>
      <c r="I10860" cm="1">
        <f t="array" ref="I10860">_xlfn.STDEV.P(IF(Table1[IndicatorCode]=Table1[[#This Row],[IndicatorCode]],Table1[value]))</f>
        <v>6.3409496564024987</v>
      </c>
      <c r="J10860">
        <f>(Table1[[#This Row],[value]] - Table1[[#This Row],[mean]]) / Table1[[#This Row],[std_dev]]</f>
        <v>-2.7858824061740153</v>
      </c>
      <c r="K10860">
        <f>AVERAGEIF(Table1[CountryCode],Table1[[#This Row],[CountryCode]],Table1[z-score])</f>
        <v>-0.96047002154562466</v>
      </c>
      <c r="L10860" t="e">
        <f>VLOOKUP(Table1[[#This Row],[CountryCode]],[1]!Table1[#All],1,FALSE)</f>
        <v>#REF!</v>
      </c>
    </row>
    <row r="10861" spans="1:12" hidden="1" x14ac:dyDescent="0.3">
      <c r="A10861" t="s">
        <v>123</v>
      </c>
      <c r="B10861" t="s">
        <v>124</v>
      </c>
      <c r="C10861" t="s">
        <v>129</v>
      </c>
      <c r="D10861" t="s">
        <v>130</v>
      </c>
      <c r="E10861">
        <v>1972</v>
      </c>
      <c r="F10861" s="1">
        <v>55</v>
      </c>
      <c r="G10861">
        <v>1970</v>
      </c>
      <c r="H10861">
        <f>AVERAGEIFS(Table1[value],Table1[IndicatorCode],Table1[[#This Row],[IndicatorCode]])</f>
        <v>72.66514008620689</v>
      </c>
      <c r="I10861" cm="1">
        <f t="array" ref="I10861">_xlfn.STDEV.P(IF(Table1[IndicatorCode]=Table1[[#This Row],[IndicatorCode]],Table1[value]))</f>
        <v>6.3409496564024987</v>
      </c>
      <c r="J10861">
        <f>(Table1[[#This Row],[value]] - Table1[[#This Row],[mean]]) / Table1[[#This Row],[std_dev]]</f>
        <v>-2.7858824061740153</v>
      </c>
      <c r="K10861">
        <f>AVERAGEIF(Table1[CountryCode],Table1[[#This Row],[CountryCode]],Table1[z-score])</f>
        <v>-0.96047002154562466</v>
      </c>
      <c r="L10861" t="e">
        <f>VLOOKUP(Table1[[#This Row],[CountryCode]],[1]!Table1[#All],1,FALSE)</f>
        <v>#REF!</v>
      </c>
    </row>
    <row r="10862" spans="1:12" hidden="1" x14ac:dyDescent="0.3">
      <c r="A10862" t="s">
        <v>123</v>
      </c>
      <c r="B10862" t="s">
        <v>124</v>
      </c>
      <c r="C10862" t="s">
        <v>129</v>
      </c>
      <c r="D10862" t="s">
        <v>130</v>
      </c>
      <c r="E10862">
        <v>1973</v>
      </c>
      <c r="F10862" s="1">
        <v>56</v>
      </c>
      <c r="G10862">
        <v>1970</v>
      </c>
      <c r="H10862">
        <f>AVERAGEIFS(Table1[value],Table1[IndicatorCode],Table1[[#This Row],[IndicatorCode]])</f>
        <v>72.66514008620689</v>
      </c>
      <c r="I10862" cm="1">
        <f t="array" ref="I10862">_xlfn.STDEV.P(IF(Table1[IndicatorCode]=Table1[[#This Row],[IndicatorCode]],Table1[value]))</f>
        <v>6.3409496564024987</v>
      </c>
      <c r="J10862">
        <f>(Table1[[#This Row],[value]] - Table1[[#This Row],[mean]]) / Table1[[#This Row],[std_dev]]</f>
        <v>-2.6281773218905764</v>
      </c>
      <c r="K10862">
        <f>AVERAGEIF(Table1[CountryCode],Table1[[#This Row],[CountryCode]],Table1[z-score])</f>
        <v>-0.96047002154562466</v>
      </c>
      <c r="L10862" t="e">
        <f>VLOOKUP(Table1[[#This Row],[CountryCode]],[1]!Table1[#All],1,FALSE)</f>
        <v>#REF!</v>
      </c>
    </row>
    <row r="10863" spans="1:12" hidden="1" x14ac:dyDescent="0.3">
      <c r="A10863" t="s">
        <v>123</v>
      </c>
      <c r="B10863" t="s">
        <v>124</v>
      </c>
      <c r="C10863" t="s">
        <v>129</v>
      </c>
      <c r="D10863" t="s">
        <v>130</v>
      </c>
      <c r="E10863">
        <v>1974</v>
      </c>
      <c r="F10863" s="1">
        <v>56</v>
      </c>
      <c r="G10863">
        <v>1970</v>
      </c>
      <c r="H10863">
        <f>AVERAGEIFS(Table1[value],Table1[IndicatorCode],Table1[[#This Row],[IndicatorCode]])</f>
        <v>72.66514008620689</v>
      </c>
      <c r="I10863" cm="1">
        <f t="array" ref="I10863">_xlfn.STDEV.P(IF(Table1[IndicatorCode]=Table1[[#This Row],[IndicatorCode]],Table1[value]))</f>
        <v>6.3409496564024987</v>
      </c>
      <c r="J10863">
        <f>(Table1[[#This Row],[value]] - Table1[[#This Row],[mean]]) / Table1[[#This Row],[std_dev]]</f>
        <v>-2.6281773218905764</v>
      </c>
      <c r="K10863">
        <f>AVERAGEIF(Table1[CountryCode],Table1[[#This Row],[CountryCode]],Table1[z-score])</f>
        <v>-0.96047002154562466</v>
      </c>
      <c r="L10863" t="e">
        <f>VLOOKUP(Table1[[#This Row],[CountryCode]],[1]!Table1[#All],1,FALSE)</f>
        <v>#REF!</v>
      </c>
    </row>
    <row r="10864" spans="1:12" hidden="1" x14ac:dyDescent="0.3">
      <c r="A10864" t="s">
        <v>123</v>
      </c>
      <c r="B10864" t="s">
        <v>124</v>
      </c>
      <c r="C10864" t="s">
        <v>129</v>
      </c>
      <c r="D10864" t="s">
        <v>130</v>
      </c>
      <c r="E10864">
        <v>1975</v>
      </c>
      <c r="F10864" s="1">
        <v>57</v>
      </c>
      <c r="G10864">
        <v>1970</v>
      </c>
      <c r="H10864">
        <f>AVERAGEIFS(Table1[value],Table1[IndicatorCode],Table1[[#This Row],[IndicatorCode]])</f>
        <v>72.66514008620689</v>
      </c>
      <c r="I10864" cm="1">
        <f t="array" ref="I10864">_xlfn.STDEV.P(IF(Table1[IndicatorCode]=Table1[[#This Row],[IndicatorCode]],Table1[value]))</f>
        <v>6.3409496564024987</v>
      </c>
      <c r="J10864">
        <f>(Table1[[#This Row],[value]] - Table1[[#This Row],[mean]]) / Table1[[#This Row],[std_dev]]</f>
        <v>-2.4704722376071375</v>
      </c>
      <c r="K10864">
        <f>AVERAGEIF(Table1[CountryCode],Table1[[#This Row],[CountryCode]],Table1[z-score])</f>
        <v>-0.96047002154562466</v>
      </c>
      <c r="L10864" t="e">
        <f>VLOOKUP(Table1[[#This Row],[CountryCode]],[1]!Table1[#All],1,FALSE)</f>
        <v>#REF!</v>
      </c>
    </row>
    <row r="10865" spans="1:12" hidden="1" x14ac:dyDescent="0.3">
      <c r="A10865" t="s">
        <v>123</v>
      </c>
      <c r="B10865" t="s">
        <v>124</v>
      </c>
      <c r="C10865" t="s">
        <v>129</v>
      </c>
      <c r="D10865" t="s">
        <v>130</v>
      </c>
      <c r="E10865">
        <v>1976</v>
      </c>
      <c r="F10865" s="1">
        <v>58</v>
      </c>
      <c r="G10865">
        <v>1970</v>
      </c>
      <c r="H10865">
        <f>AVERAGEIFS(Table1[value],Table1[IndicatorCode],Table1[[#This Row],[IndicatorCode]])</f>
        <v>72.66514008620689</v>
      </c>
      <c r="I10865" cm="1">
        <f t="array" ref="I10865">_xlfn.STDEV.P(IF(Table1[IndicatorCode]=Table1[[#This Row],[IndicatorCode]],Table1[value]))</f>
        <v>6.3409496564024987</v>
      </c>
      <c r="J10865">
        <f>(Table1[[#This Row],[value]] - Table1[[#This Row],[mean]]) / Table1[[#This Row],[std_dev]]</f>
        <v>-2.3127671533236982</v>
      </c>
      <c r="K10865">
        <f>AVERAGEIF(Table1[CountryCode],Table1[[#This Row],[CountryCode]],Table1[z-score])</f>
        <v>-0.96047002154562466</v>
      </c>
      <c r="L10865" t="e">
        <f>VLOOKUP(Table1[[#This Row],[CountryCode]],[1]!Table1[#All],1,FALSE)</f>
        <v>#REF!</v>
      </c>
    </row>
    <row r="10866" spans="1:12" hidden="1" x14ac:dyDescent="0.3">
      <c r="A10866" t="s">
        <v>123</v>
      </c>
      <c r="B10866" t="s">
        <v>124</v>
      </c>
      <c r="C10866" t="s">
        <v>129</v>
      </c>
      <c r="D10866" t="s">
        <v>130</v>
      </c>
      <c r="E10866">
        <v>1977</v>
      </c>
      <c r="F10866" s="1">
        <v>58</v>
      </c>
      <c r="G10866">
        <v>1980</v>
      </c>
      <c r="H10866">
        <f>AVERAGEIFS(Table1[value],Table1[IndicatorCode],Table1[[#This Row],[IndicatorCode]])</f>
        <v>72.66514008620689</v>
      </c>
      <c r="I10866" cm="1">
        <f t="array" ref="I10866">_xlfn.STDEV.P(IF(Table1[IndicatorCode]=Table1[[#This Row],[IndicatorCode]],Table1[value]))</f>
        <v>6.3409496564024987</v>
      </c>
      <c r="J10866">
        <f>(Table1[[#This Row],[value]] - Table1[[#This Row],[mean]]) / Table1[[#This Row],[std_dev]]</f>
        <v>-2.3127671533236982</v>
      </c>
      <c r="K10866">
        <f>AVERAGEIF(Table1[CountryCode],Table1[[#This Row],[CountryCode]],Table1[z-score])</f>
        <v>-0.96047002154562466</v>
      </c>
      <c r="L10866" t="e">
        <f>VLOOKUP(Table1[[#This Row],[CountryCode]],[1]!Table1[#All],1,FALSE)</f>
        <v>#REF!</v>
      </c>
    </row>
    <row r="10867" spans="1:12" hidden="1" x14ac:dyDescent="0.3">
      <c r="A10867" t="s">
        <v>123</v>
      </c>
      <c r="B10867" t="s">
        <v>124</v>
      </c>
      <c r="C10867" t="s">
        <v>129</v>
      </c>
      <c r="D10867" t="s">
        <v>130</v>
      </c>
      <c r="E10867">
        <v>1978</v>
      </c>
      <c r="F10867" s="1">
        <v>59</v>
      </c>
      <c r="G10867">
        <v>1980</v>
      </c>
      <c r="H10867">
        <f>AVERAGEIFS(Table1[value],Table1[IndicatorCode],Table1[[#This Row],[IndicatorCode]])</f>
        <v>72.66514008620689</v>
      </c>
      <c r="I10867" cm="1">
        <f t="array" ref="I10867">_xlfn.STDEV.P(IF(Table1[IndicatorCode]=Table1[[#This Row],[IndicatorCode]],Table1[value]))</f>
        <v>6.3409496564024987</v>
      </c>
      <c r="J10867">
        <f>(Table1[[#This Row],[value]] - Table1[[#This Row],[mean]]) / Table1[[#This Row],[std_dev]]</f>
        <v>-2.1550620690402593</v>
      </c>
      <c r="K10867">
        <f>AVERAGEIF(Table1[CountryCode],Table1[[#This Row],[CountryCode]],Table1[z-score])</f>
        <v>-0.96047002154562466</v>
      </c>
      <c r="L10867" t="e">
        <f>VLOOKUP(Table1[[#This Row],[CountryCode]],[1]!Table1[#All],1,FALSE)</f>
        <v>#REF!</v>
      </c>
    </row>
    <row r="10868" spans="1:12" hidden="1" x14ac:dyDescent="0.3">
      <c r="A10868" t="s">
        <v>123</v>
      </c>
      <c r="B10868" t="s">
        <v>124</v>
      </c>
      <c r="C10868" t="s">
        <v>129</v>
      </c>
      <c r="D10868" t="s">
        <v>130</v>
      </c>
      <c r="E10868">
        <v>1979</v>
      </c>
      <c r="F10868" s="1">
        <v>59</v>
      </c>
      <c r="G10868">
        <v>1980</v>
      </c>
      <c r="H10868">
        <f>AVERAGEIFS(Table1[value],Table1[IndicatorCode],Table1[[#This Row],[IndicatorCode]])</f>
        <v>72.66514008620689</v>
      </c>
      <c r="I10868" cm="1">
        <f t="array" ref="I10868">_xlfn.STDEV.P(IF(Table1[IndicatorCode]=Table1[[#This Row],[IndicatorCode]],Table1[value]))</f>
        <v>6.3409496564024987</v>
      </c>
      <c r="J10868">
        <f>(Table1[[#This Row],[value]] - Table1[[#This Row],[mean]]) / Table1[[#This Row],[std_dev]]</f>
        <v>-2.1550620690402593</v>
      </c>
      <c r="K10868">
        <f>AVERAGEIF(Table1[CountryCode],Table1[[#This Row],[CountryCode]],Table1[z-score])</f>
        <v>-0.96047002154562466</v>
      </c>
      <c r="L10868" t="e">
        <f>VLOOKUP(Table1[[#This Row],[CountryCode]],[1]!Table1[#All],1,FALSE)</f>
        <v>#REF!</v>
      </c>
    </row>
    <row r="10869" spans="1:12" hidden="1" x14ac:dyDescent="0.3">
      <c r="A10869" t="s">
        <v>123</v>
      </c>
      <c r="B10869" t="s">
        <v>124</v>
      </c>
      <c r="C10869" t="s">
        <v>129</v>
      </c>
      <c r="D10869" t="s">
        <v>130</v>
      </c>
      <c r="E10869">
        <v>1980</v>
      </c>
      <c r="F10869" s="1">
        <v>60</v>
      </c>
      <c r="G10869">
        <v>1980</v>
      </c>
      <c r="H10869">
        <f>AVERAGEIFS(Table1[value],Table1[IndicatorCode],Table1[[#This Row],[IndicatorCode]])</f>
        <v>72.66514008620689</v>
      </c>
      <c r="I10869" cm="1">
        <f t="array" ref="I10869">_xlfn.STDEV.P(IF(Table1[IndicatorCode]=Table1[[#This Row],[IndicatorCode]],Table1[value]))</f>
        <v>6.3409496564024987</v>
      </c>
      <c r="J10869">
        <f>(Table1[[#This Row],[value]] - Table1[[#This Row],[mean]]) / Table1[[#This Row],[std_dev]]</f>
        <v>-1.9973569847568202</v>
      </c>
      <c r="K10869">
        <f>AVERAGEIF(Table1[CountryCode],Table1[[#This Row],[CountryCode]],Table1[z-score])</f>
        <v>-0.96047002154562466</v>
      </c>
      <c r="L10869" t="e">
        <f>VLOOKUP(Table1[[#This Row],[CountryCode]],[1]!Table1[#All],1,FALSE)</f>
        <v>#REF!</v>
      </c>
    </row>
    <row r="10870" spans="1:12" hidden="1" x14ac:dyDescent="0.3">
      <c r="A10870" t="s">
        <v>123</v>
      </c>
      <c r="B10870" t="s">
        <v>124</v>
      </c>
      <c r="C10870" t="s">
        <v>129</v>
      </c>
      <c r="D10870" t="s">
        <v>130</v>
      </c>
      <c r="E10870">
        <v>1981</v>
      </c>
      <c r="F10870" s="1">
        <v>60</v>
      </c>
      <c r="G10870">
        <v>1980</v>
      </c>
      <c r="H10870">
        <f>AVERAGEIFS(Table1[value],Table1[IndicatorCode],Table1[[#This Row],[IndicatorCode]])</f>
        <v>72.66514008620689</v>
      </c>
      <c r="I10870" cm="1">
        <f t="array" ref="I10870">_xlfn.STDEV.P(IF(Table1[IndicatorCode]=Table1[[#This Row],[IndicatorCode]],Table1[value]))</f>
        <v>6.3409496564024987</v>
      </c>
      <c r="J10870">
        <f>(Table1[[#This Row],[value]] - Table1[[#This Row],[mean]]) / Table1[[#This Row],[std_dev]]</f>
        <v>-1.9973569847568202</v>
      </c>
      <c r="K10870">
        <f>AVERAGEIF(Table1[CountryCode],Table1[[#This Row],[CountryCode]],Table1[z-score])</f>
        <v>-0.96047002154562466</v>
      </c>
      <c r="L10870" t="e">
        <f>VLOOKUP(Table1[[#This Row],[CountryCode]],[1]!Table1[#All],1,FALSE)</f>
        <v>#REF!</v>
      </c>
    </row>
    <row r="10871" spans="1:12" hidden="1" x14ac:dyDescent="0.3">
      <c r="A10871" t="s">
        <v>123</v>
      </c>
      <c r="B10871" t="s">
        <v>124</v>
      </c>
      <c r="C10871" t="s">
        <v>129</v>
      </c>
      <c r="D10871" t="s">
        <v>130</v>
      </c>
      <c r="E10871">
        <v>1982</v>
      </c>
      <c r="F10871" s="1">
        <v>60</v>
      </c>
      <c r="G10871">
        <v>1980</v>
      </c>
      <c r="H10871">
        <f>AVERAGEIFS(Table1[value],Table1[IndicatorCode],Table1[[#This Row],[IndicatorCode]])</f>
        <v>72.66514008620689</v>
      </c>
      <c r="I10871" cm="1">
        <f t="array" ref="I10871">_xlfn.STDEV.P(IF(Table1[IndicatorCode]=Table1[[#This Row],[IndicatorCode]],Table1[value]))</f>
        <v>6.3409496564024987</v>
      </c>
      <c r="J10871">
        <f>(Table1[[#This Row],[value]] - Table1[[#This Row],[mean]]) / Table1[[#This Row],[std_dev]]</f>
        <v>-1.9973569847568202</v>
      </c>
      <c r="K10871">
        <f>AVERAGEIF(Table1[CountryCode],Table1[[#This Row],[CountryCode]],Table1[z-score])</f>
        <v>-0.96047002154562466</v>
      </c>
      <c r="L10871" t="e">
        <f>VLOOKUP(Table1[[#This Row],[CountryCode]],[1]!Table1[#All],1,FALSE)</f>
        <v>#REF!</v>
      </c>
    </row>
    <row r="10872" spans="1:12" hidden="1" x14ac:dyDescent="0.3">
      <c r="A10872" t="s">
        <v>123</v>
      </c>
      <c r="B10872" t="s">
        <v>124</v>
      </c>
      <c r="C10872" t="s">
        <v>129</v>
      </c>
      <c r="D10872" t="s">
        <v>130</v>
      </c>
      <c r="E10872">
        <v>1983</v>
      </c>
      <c r="F10872" s="1">
        <v>61</v>
      </c>
      <c r="G10872">
        <v>1980</v>
      </c>
      <c r="H10872">
        <f>AVERAGEIFS(Table1[value],Table1[IndicatorCode],Table1[[#This Row],[IndicatorCode]])</f>
        <v>72.66514008620689</v>
      </c>
      <c r="I10872" cm="1">
        <f t="array" ref="I10872">_xlfn.STDEV.P(IF(Table1[IndicatorCode]=Table1[[#This Row],[IndicatorCode]],Table1[value]))</f>
        <v>6.3409496564024987</v>
      </c>
      <c r="J10872">
        <f>(Table1[[#This Row],[value]] - Table1[[#This Row],[mean]]) / Table1[[#This Row],[std_dev]]</f>
        <v>-1.8396519004733811</v>
      </c>
      <c r="K10872">
        <f>AVERAGEIF(Table1[CountryCode],Table1[[#This Row],[CountryCode]],Table1[z-score])</f>
        <v>-0.96047002154562466</v>
      </c>
      <c r="L10872" t="e">
        <f>VLOOKUP(Table1[[#This Row],[CountryCode]],[1]!Table1[#All],1,FALSE)</f>
        <v>#REF!</v>
      </c>
    </row>
    <row r="10873" spans="1:12" hidden="1" x14ac:dyDescent="0.3">
      <c r="A10873" t="s">
        <v>123</v>
      </c>
      <c r="B10873" t="s">
        <v>124</v>
      </c>
      <c r="C10873" t="s">
        <v>129</v>
      </c>
      <c r="D10873" t="s">
        <v>130</v>
      </c>
      <c r="E10873">
        <v>1984</v>
      </c>
      <c r="F10873" s="1">
        <v>61</v>
      </c>
      <c r="G10873">
        <v>1980</v>
      </c>
      <c r="H10873">
        <f>AVERAGEIFS(Table1[value],Table1[IndicatorCode],Table1[[#This Row],[IndicatorCode]])</f>
        <v>72.66514008620689</v>
      </c>
      <c r="I10873" cm="1">
        <f t="array" ref="I10873">_xlfn.STDEV.P(IF(Table1[IndicatorCode]=Table1[[#This Row],[IndicatorCode]],Table1[value]))</f>
        <v>6.3409496564024987</v>
      </c>
      <c r="J10873">
        <f>(Table1[[#This Row],[value]] - Table1[[#This Row],[mean]]) / Table1[[#This Row],[std_dev]]</f>
        <v>-1.8396519004733811</v>
      </c>
      <c r="K10873">
        <f>AVERAGEIF(Table1[CountryCode],Table1[[#This Row],[CountryCode]],Table1[z-score])</f>
        <v>-0.96047002154562466</v>
      </c>
      <c r="L10873" t="e">
        <f>VLOOKUP(Table1[[#This Row],[CountryCode]],[1]!Table1[#All],1,FALSE)</f>
        <v>#REF!</v>
      </c>
    </row>
    <row r="10874" spans="1:12" hidden="1" x14ac:dyDescent="0.3">
      <c r="A10874" t="s">
        <v>123</v>
      </c>
      <c r="B10874" t="s">
        <v>124</v>
      </c>
      <c r="C10874" t="s">
        <v>129</v>
      </c>
      <c r="D10874" t="s">
        <v>130</v>
      </c>
      <c r="E10874">
        <v>1985</v>
      </c>
      <c r="F10874" s="1">
        <v>61</v>
      </c>
      <c r="G10874">
        <v>1980</v>
      </c>
      <c r="H10874">
        <f>AVERAGEIFS(Table1[value],Table1[IndicatorCode],Table1[[#This Row],[IndicatorCode]])</f>
        <v>72.66514008620689</v>
      </c>
      <c r="I10874" cm="1">
        <f t="array" ref="I10874">_xlfn.STDEV.P(IF(Table1[IndicatorCode]=Table1[[#This Row],[IndicatorCode]],Table1[value]))</f>
        <v>6.3409496564024987</v>
      </c>
      <c r="J10874">
        <f>(Table1[[#This Row],[value]] - Table1[[#This Row],[mean]]) / Table1[[#This Row],[std_dev]]</f>
        <v>-1.8396519004733811</v>
      </c>
      <c r="K10874">
        <f>AVERAGEIF(Table1[CountryCode],Table1[[#This Row],[CountryCode]],Table1[z-score])</f>
        <v>-0.96047002154562466</v>
      </c>
      <c r="L10874" t="e">
        <f>VLOOKUP(Table1[[#This Row],[CountryCode]],[1]!Table1[#All],1,FALSE)</f>
        <v>#REF!</v>
      </c>
    </row>
    <row r="10875" spans="1:12" hidden="1" x14ac:dyDescent="0.3">
      <c r="A10875" t="s">
        <v>123</v>
      </c>
      <c r="B10875" t="s">
        <v>124</v>
      </c>
      <c r="C10875" t="s">
        <v>129</v>
      </c>
      <c r="D10875" t="s">
        <v>130</v>
      </c>
      <c r="E10875">
        <v>1986</v>
      </c>
      <c r="F10875" s="1">
        <v>63</v>
      </c>
      <c r="G10875">
        <v>1980</v>
      </c>
      <c r="H10875">
        <f>AVERAGEIFS(Table1[value],Table1[IndicatorCode],Table1[[#This Row],[IndicatorCode]])</f>
        <v>72.66514008620689</v>
      </c>
      <c r="I10875" cm="1">
        <f t="array" ref="I10875">_xlfn.STDEV.P(IF(Table1[IndicatorCode]=Table1[[#This Row],[IndicatorCode]],Table1[value]))</f>
        <v>6.3409496564024987</v>
      </c>
      <c r="J10875">
        <f>(Table1[[#This Row],[value]] - Table1[[#This Row],[mean]]) / Table1[[#This Row],[std_dev]]</f>
        <v>-1.5242417319065029</v>
      </c>
      <c r="K10875">
        <f>AVERAGEIF(Table1[CountryCode],Table1[[#This Row],[CountryCode]],Table1[z-score])</f>
        <v>-0.96047002154562466</v>
      </c>
      <c r="L10875" t="e">
        <f>VLOOKUP(Table1[[#This Row],[CountryCode]],[1]!Table1[#All],1,FALSE)</f>
        <v>#REF!</v>
      </c>
    </row>
    <row r="10876" spans="1:12" hidden="1" x14ac:dyDescent="0.3">
      <c r="A10876" t="s">
        <v>123</v>
      </c>
      <c r="B10876" t="s">
        <v>124</v>
      </c>
      <c r="C10876" t="s">
        <v>129</v>
      </c>
      <c r="D10876" t="s">
        <v>130</v>
      </c>
      <c r="E10876">
        <v>1987</v>
      </c>
      <c r="F10876" s="1">
        <v>64</v>
      </c>
      <c r="G10876">
        <v>1990</v>
      </c>
      <c r="H10876">
        <f>AVERAGEIFS(Table1[value],Table1[IndicatorCode],Table1[[#This Row],[IndicatorCode]])</f>
        <v>72.66514008620689</v>
      </c>
      <c r="I10876" cm="1">
        <f t="array" ref="I10876">_xlfn.STDEV.P(IF(Table1[IndicatorCode]=Table1[[#This Row],[IndicatorCode]],Table1[value]))</f>
        <v>6.3409496564024987</v>
      </c>
      <c r="J10876">
        <f>(Table1[[#This Row],[value]] - Table1[[#This Row],[mean]]) / Table1[[#This Row],[std_dev]]</f>
        <v>-1.3665366476230638</v>
      </c>
      <c r="K10876">
        <f>AVERAGEIF(Table1[CountryCode],Table1[[#This Row],[CountryCode]],Table1[z-score])</f>
        <v>-0.96047002154562466</v>
      </c>
      <c r="L10876" t="e">
        <f>VLOOKUP(Table1[[#This Row],[CountryCode]],[1]!Table1[#All],1,FALSE)</f>
        <v>#REF!</v>
      </c>
    </row>
    <row r="10877" spans="1:12" hidden="1" x14ac:dyDescent="0.3">
      <c r="A10877" t="s">
        <v>123</v>
      </c>
      <c r="B10877" t="s">
        <v>124</v>
      </c>
      <c r="C10877" t="s">
        <v>129</v>
      </c>
      <c r="D10877" t="s">
        <v>130</v>
      </c>
      <c r="E10877">
        <v>1988</v>
      </c>
      <c r="F10877" s="1">
        <v>64</v>
      </c>
      <c r="G10877">
        <v>1990</v>
      </c>
      <c r="H10877">
        <f>AVERAGEIFS(Table1[value],Table1[IndicatorCode],Table1[[#This Row],[IndicatorCode]])</f>
        <v>72.66514008620689</v>
      </c>
      <c r="I10877" cm="1">
        <f t="array" ref="I10877">_xlfn.STDEV.P(IF(Table1[IndicatorCode]=Table1[[#This Row],[IndicatorCode]],Table1[value]))</f>
        <v>6.3409496564024987</v>
      </c>
      <c r="J10877">
        <f>(Table1[[#This Row],[value]] - Table1[[#This Row],[mean]]) / Table1[[#This Row],[std_dev]]</f>
        <v>-1.3665366476230638</v>
      </c>
      <c r="K10877">
        <f>AVERAGEIF(Table1[CountryCode],Table1[[#This Row],[CountryCode]],Table1[z-score])</f>
        <v>-0.96047002154562466</v>
      </c>
      <c r="L10877" t="e">
        <f>VLOOKUP(Table1[[#This Row],[CountryCode]],[1]!Table1[#All],1,FALSE)</f>
        <v>#REF!</v>
      </c>
    </row>
    <row r="10878" spans="1:12" hidden="1" x14ac:dyDescent="0.3">
      <c r="A10878" t="s">
        <v>123</v>
      </c>
      <c r="B10878" t="s">
        <v>124</v>
      </c>
      <c r="C10878" t="s">
        <v>129</v>
      </c>
      <c r="D10878" t="s">
        <v>130</v>
      </c>
      <c r="E10878">
        <v>1989</v>
      </c>
      <c r="F10878" s="1">
        <v>65</v>
      </c>
      <c r="G10878">
        <v>1990</v>
      </c>
      <c r="H10878">
        <f>AVERAGEIFS(Table1[value],Table1[IndicatorCode],Table1[[#This Row],[IndicatorCode]])</f>
        <v>72.66514008620689</v>
      </c>
      <c r="I10878" cm="1">
        <f t="array" ref="I10878">_xlfn.STDEV.P(IF(Table1[IndicatorCode]=Table1[[#This Row],[IndicatorCode]],Table1[value]))</f>
        <v>6.3409496564024987</v>
      </c>
      <c r="J10878">
        <f>(Table1[[#This Row],[value]] - Table1[[#This Row],[mean]]) / Table1[[#This Row],[std_dev]]</f>
        <v>-1.2088315633396249</v>
      </c>
      <c r="K10878">
        <f>AVERAGEIF(Table1[CountryCode],Table1[[#This Row],[CountryCode]],Table1[z-score])</f>
        <v>-0.96047002154562466</v>
      </c>
      <c r="L10878" t="e">
        <f>VLOOKUP(Table1[[#This Row],[CountryCode]],[1]!Table1[#All],1,FALSE)</f>
        <v>#REF!</v>
      </c>
    </row>
    <row r="10879" spans="1:12" hidden="1" x14ac:dyDescent="0.3">
      <c r="A10879" t="s">
        <v>123</v>
      </c>
      <c r="B10879" t="s">
        <v>124</v>
      </c>
      <c r="C10879" t="s">
        <v>129</v>
      </c>
      <c r="D10879" t="s">
        <v>130</v>
      </c>
      <c r="E10879">
        <v>1990</v>
      </c>
      <c r="F10879" s="1">
        <v>67</v>
      </c>
      <c r="G10879">
        <v>1990</v>
      </c>
      <c r="H10879">
        <f>AVERAGEIFS(Table1[value],Table1[IndicatorCode],Table1[[#This Row],[IndicatorCode]])</f>
        <v>72.66514008620689</v>
      </c>
      <c r="I10879" cm="1">
        <f t="array" ref="I10879">_xlfn.STDEV.P(IF(Table1[IndicatorCode]=Table1[[#This Row],[IndicatorCode]],Table1[value]))</f>
        <v>6.3409496564024987</v>
      </c>
      <c r="J10879">
        <f>(Table1[[#This Row],[value]] - Table1[[#This Row],[mean]]) / Table1[[#This Row],[std_dev]]</f>
        <v>-0.89342139477274674</v>
      </c>
      <c r="K10879">
        <f>AVERAGEIF(Table1[CountryCode],Table1[[#This Row],[CountryCode]],Table1[z-score])</f>
        <v>-0.96047002154562466</v>
      </c>
      <c r="L10879" t="e">
        <f>VLOOKUP(Table1[[#This Row],[CountryCode]],[1]!Table1[#All],1,FALSE)</f>
        <v>#REF!</v>
      </c>
    </row>
    <row r="10880" spans="1:12" hidden="1" x14ac:dyDescent="0.3">
      <c r="A10880" t="s">
        <v>123</v>
      </c>
      <c r="B10880" t="s">
        <v>124</v>
      </c>
      <c r="C10880" t="s">
        <v>129</v>
      </c>
      <c r="D10880" t="s">
        <v>130</v>
      </c>
      <c r="E10880">
        <v>1991</v>
      </c>
      <c r="F10880" s="1">
        <v>66</v>
      </c>
      <c r="G10880">
        <v>1990</v>
      </c>
      <c r="H10880">
        <f>AVERAGEIFS(Table1[value],Table1[IndicatorCode],Table1[[#This Row],[IndicatorCode]])</f>
        <v>72.66514008620689</v>
      </c>
      <c r="I10880" cm="1">
        <f t="array" ref="I10880">_xlfn.STDEV.P(IF(Table1[IndicatorCode]=Table1[[#This Row],[IndicatorCode]],Table1[value]))</f>
        <v>6.3409496564024987</v>
      </c>
      <c r="J10880">
        <f>(Table1[[#This Row],[value]] - Table1[[#This Row],[mean]]) / Table1[[#This Row],[std_dev]]</f>
        <v>-1.0511264790561858</v>
      </c>
      <c r="K10880">
        <f>AVERAGEIF(Table1[CountryCode],Table1[[#This Row],[CountryCode]],Table1[z-score])</f>
        <v>-0.96047002154562466</v>
      </c>
      <c r="L10880" t="e">
        <f>VLOOKUP(Table1[[#This Row],[CountryCode]],[1]!Table1[#All],1,FALSE)</f>
        <v>#REF!</v>
      </c>
    </row>
    <row r="10881" spans="1:12" hidden="1" x14ac:dyDescent="0.3">
      <c r="A10881" t="s">
        <v>123</v>
      </c>
      <c r="B10881" t="s">
        <v>124</v>
      </c>
      <c r="C10881" t="s">
        <v>129</v>
      </c>
      <c r="D10881" t="s">
        <v>130</v>
      </c>
      <c r="E10881">
        <v>1992</v>
      </c>
      <c r="F10881" s="1">
        <v>67</v>
      </c>
      <c r="G10881">
        <v>1990</v>
      </c>
      <c r="H10881">
        <f>AVERAGEIFS(Table1[value],Table1[IndicatorCode],Table1[[#This Row],[IndicatorCode]])</f>
        <v>72.66514008620689</v>
      </c>
      <c r="I10881" cm="1">
        <f t="array" ref="I10881">_xlfn.STDEV.P(IF(Table1[IndicatorCode]=Table1[[#This Row],[IndicatorCode]],Table1[value]))</f>
        <v>6.3409496564024987</v>
      </c>
      <c r="J10881">
        <f>(Table1[[#This Row],[value]] - Table1[[#This Row],[mean]]) / Table1[[#This Row],[std_dev]]</f>
        <v>-0.89342139477274674</v>
      </c>
      <c r="K10881">
        <f>AVERAGEIF(Table1[CountryCode],Table1[[#This Row],[CountryCode]],Table1[z-score])</f>
        <v>-0.96047002154562466</v>
      </c>
      <c r="L10881" t="e">
        <f>VLOOKUP(Table1[[#This Row],[CountryCode]],[1]!Table1[#All],1,FALSE)</f>
        <v>#REF!</v>
      </c>
    </row>
    <row r="10882" spans="1:12" hidden="1" x14ac:dyDescent="0.3">
      <c r="A10882" t="s">
        <v>123</v>
      </c>
      <c r="B10882" t="s">
        <v>124</v>
      </c>
      <c r="C10882" t="s">
        <v>129</v>
      </c>
      <c r="D10882" t="s">
        <v>130</v>
      </c>
      <c r="E10882">
        <v>1993</v>
      </c>
      <c r="F10882" s="1">
        <v>68</v>
      </c>
      <c r="G10882">
        <v>1990</v>
      </c>
      <c r="H10882">
        <f>AVERAGEIFS(Table1[value],Table1[IndicatorCode],Table1[[#This Row],[IndicatorCode]])</f>
        <v>72.66514008620689</v>
      </c>
      <c r="I10882" cm="1">
        <f t="array" ref="I10882">_xlfn.STDEV.P(IF(Table1[IndicatorCode]=Table1[[#This Row],[IndicatorCode]],Table1[value]))</f>
        <v>6.3409496564024987</v>
      </c>
      <c r="J10882">
        <f>(Table1[[#This Row],[value]] - Table1[[#This Row],[mean]]) / Table1[[#This Row],[std_dev]]</f>
        <v>-0.73571631048930775</v>
      </c>
      <c r="K10882">
        <f>AVERAGEIF(Table1[CountryCode],Table1[[#This Row],[CountryCode]],Table1[z-score])</f>
        <v>-0.96047002154562466</v>
      </c>
      <c r="L10882" t="e">
        <f>VLOOKUP(Table1[[#This Row],[CountryCode]],[1]!Table1[#All],1,FALSE)</f>
        <v>#REF!</v>
      </c>
    </row>
    <row r="10883" spans="1:12" hidden="1" x14ac:dyDescent="0.3">
      <c r="A10883" t="s">
        <v>123</v>
      </c>
      <c r="B10883" t="s">
        <v>124</v>
      </c>
      <c r="C10883" t="s">
        <v>129</v>
      </c>
      <c r="D10883" t="s">
        <v>130</v>
      </c>
      <c r="E10883">
        <v>1994</v>
      </c>
      <c r="F10883" s="1">
        <v>69</v>
      </c>
      <c r="G10883">
        <v>1990</v>
      </c>
      <c r="H10883">
        <f>AVERAGEIFS(Table1[value],Table1[IndicatorCode],Table1[[#This Row],[IndicatorCode]])</f>
        <v>72.66514008620689</v>
      </c>
      <c r="I10883" cm="1">
        <f t="array" ref="I10883">_xlfn.STDEV.P(IF(Table1[IndicatorCode]=Table1[[#This Row],[IndicatorCode]],Table1[value]))</f>
        <v>6.3409496564024987</v>
      </c>
      <c r="J10883">
        <f>(Table1[[#This Row],[value]] - Table1[[#This Row],[mean]]) / Table1[[#This Row],[std_dev]]</f>
        <v>-0.57801122620586864</v>
      </c>
      <c r="K10883">
        <f>AVERAGEIF(Table1[CountryCode],Table1[[#This Row],[CountryCode]],Table1[z-score])</f>
        <v>-0.96047002154562466</v>
      </c>
      <c r="L10883" t="e">
        <f>VLOOKUP(Table1[[#This Row],[CountryCode]],[1]!Table1[#All],1,FALSE)</f>
        <v>#REF!</v>
      </c>
    </row>
    <row r="10884" spans="1:12" hidden="1" x14ac:dyDescent="0.3">
      <c r="A10884" t="s">
        <v>123</v>
      </c>
      <c r="B10884" t="s">
        <v>124</v>
      </c>
      <c r="C10884" t="s">
        <v>129</v>
      </c>
      <c r="D10884" t="s">
        <v>130</v>
      </c>
      <c r="E10884">
        <v>1995</v>
      </c>
      <c r="F10884" s="1">
        <v>69</v>
      </c>
      <c r="G10884">
        <v>1990</v>
      </c>
      <c r="H10884">
        <f>AVERAGEIFS(Table1[value],Table1[IndicatorCode],Table1[[#This Row],[IndicatorCode]])</f>
        <v>72.66514008620689</v>
      </c>
      <c r="I10884" cm="1">
        <f t="array" ref="I10884">_xlfn.STDEV.P(IF(Table1[IndicatorCode]=Table1[[#This Row],[IndicatorCode]],Table1[value]))</f>
        <v>6.3409496564024987</v>
      </c>
      <c r="J10884">
        <f>(Table1[[#This Row],[value]] - Table1[[#This Row],[mean]]) / Table1[[#This Row],[std_dev]]</f>
        <v>-0.57801122620586864</v>
      </c>
      <c r="K10884">
        <f>AVERAGEIF(Table1[CountryCode],Table1[[#This Row],[CountryCode]],Table1[z-score])</f>
        <v>-0.96047002154562466</v>
      </c>
      <c r="L10884" t="e">
        <f>VLOOKUP(Table1[[#This Row],[CountryCode]],[1]!Table1[#All],1,FALSE)</f>
        <v>#REF!</v>
      </c>
    </row>
    <row r="10885" spans="1:12" hidden="1" x14ac:dyDescent="0.3">
      <c r="A10885" t="s">
        <v>123</v>
      </c>
      <c r="B10885" t="s">
        <v>124</v>
      </c>
      <c r="C10885" t="s">
        <v>129</v>
      </c>
      <c r="D10885" t="s">
        <v>130</v>
      </c>
      <c r="E10885">
        <v>1996</v>
      </c>
      <c r="F10885" s="1">
        <v>69</v>
      </c>
      <c r="G10885">
        <v>1990</v>
      </c>
      <c r="H10885">
        <f>AVERAGEIFS(Table1[value],Table1[IndicatorCode],Table1[[#This Row],[IndicatorCode]])</f>
        <v>72.66514008620689</v>
      </c>
      <c r="I10885" cm="1">
        <f t="array" ref="I10885">_xlfn.STDEV.P(IF(Table1[IndicatorCode]=Table1[[#This Row],[IndicatorCode]],Table1[value]))</f>
        <v>6.3409496564024987</v>
      </c>
      <c r="J10885">
        <f>(Table1[[#This Row],[value]] - Table1[[#This Row],[mean]]) / Table1[[#This Row],[std_dev]]</f>
        <v>-0.57801122620586864</v>
      </c>
      <c r="K10885">
        <f>AVERAGEIF(Table1[CountryCode],Table1[[#This Row],[CountryCode]],Table1[z-score])</f>
        <v>-0.96047002154562466</v>
      </c>
      <c r="L10885" t="e">
        <f>VLOOKUP(Table1[[#This Row],[CountryCode]],[1]!Table1[#All],1,FALSE)</f>
        <v>#REF!</v>
      </c>
    </row>
    <row r="10886" spans="1:12" hidden="1" x14ac:dyDescent="0.3">
      <c r="A10886" t="s">
        <v>123</v>
      </c>
      <c r="B10886" t="s">
        <v>124</v>
      </c>
      <c r="C10886" t="s">
        <v>129</v>
      </c>
      <c r="D10886" t="s">
        <v>130</v>
      </c>
      <c r="E10886">
        <v>1997</v>
      </c>
      <c r="F10886" s="1">
        <v>70</v>
      </c>
      <c r="G10886">
        <v>2000</v>
      </c>
      <c r="H10886">
        <f>AVERAGEIFS(Table1[value],Table1[IndicatorCode],Table1[[#This Row],[IndicatorCode]])</f>
        <v>72.66514008620689</v>
      </c>
      <c r="I10886" cm="1">
        <f t="array" ref="I10886">_xlfn.STDEV.P(IF(Table1[IndicatorCode]=Table1[[#This Row],[IndicatorCode]],Table1[value]))</f>
        <v>6.3409496564024987</v>
      </c>
      <c r="J10886">
        <f>(Table1[[#This Row],[value]] - Table1[[#This Row],[mean]]) / Table1[[#This Row],[std_dev]]</f>
        <v>-0.4203061419224296</v>
      </c>
      <c r="K10886">
        <f>AVERAGEIF(Table1[CountryCode],Table1[[#This Row],[CountryCode]],Table1[z-score])</f>
        <v>-0.96047002154562466</v>
      </c>
      <c r="L10886" t="e">
        <f>VLOOKUP(Table1[[#This Row],[CountryCode]],[1]!Table1[#All],1,FALSE)</f>
        <v>#REF!</v>
      </c>
    </row>
    <row r="10887" spans="1:12" hidden="1" x14ac:dyDescent="0.3">
      <c r="A10887" t="s">
        <v>123</v>
      </c>
      <c r="B10887" t="s">
        <v>124</v>
      </c>
      <c r="C10887" t="s">
        <v>129</v>
      </c>
      <c r="D10887" t="s">
        <v>130</v>
      </c>
      <c r="E10887">
        <v>1998</v>
      </c>
      <c r="F10887" s="1">
        <v>69</v>
      </c>
      <c r="G10887">
        <v>2000</v>
      </c>
      <c r="H10887">
        <f>AVERAGEIFS(Table1[value],Table1[IndicatorCode],Table1[[#This Row],[IndicatorCode]])</f>
        <v>72.66514008620689</v>
      </c>
      <c r="I10887" cm="1">
        <f t="array" ref="I10887">_xlfn.STDEV.P(IF(Table1[IndicatorCode]=Table1[[#This Row],[IndicatorCode]],Table1[value]))</f>
        <v>6.3409496564024987</v>
      </c>
      <c r="J10887">
        <f>(Table1[[#This Row],[value]] - Table1[[#This Row],[mean]]) / Table1[[#This Row],[std_dev]]</f>
        <v>-0.57801122620586864</v>
      </c>
      <c r="K10887">
        <f>AVERAGEIF(Table1[CountryCode],Table1[[#This Row],[CountryCode]],Table1[z-score])</f>
        <v>-0.96047002154562466</v>
      </c>
      <c r="L10887" t="e">
        <f>VLOOKUP(Table1[[#This Row],[CountryCode]],[1]!Table1[#All],1,FALSE)</f>
        <v>#REF!</v>
      </c>
    </row>
    <row r="10888" spans="1:12" hidden="1" x14ac:dyDescent="0.3">
      <c r="A10888" t="s">
        <v>123</v>
      </c>
      <c r="B10888" t="s">
        <v>124</v>
      </c>
      <c r="C10888" t="s">
        <v>129</v>
      </c>
      <c r="D10888" t="s">
        <v>130</v>
      </c>
      <c r="E10888">
        <v>1999</v>
      </c>
      <c r="F10888" s="1">
        <v>58</v>
      </c>
      <c r="G10888">
        <v>2000</v>
      </c>
      <c r="H10888">
        <f>AVERAGEIFS(Table1[value],Table1[IndicatorCode],Table1[[#This Row],[IndicatorCode]])</f>
        <v>72.66514008620689</v>
      </c>
      <c r="I10888" cm="1">
        <f t="array" ref="I10888">_xlfn.STDEV.P(IF(Table1[IndicatorCode]=Table1[[#This Row],[IndicatorCode]],Table1[value]))</f>
        <v>6.3409496564024987</v>
      </c>
      <c r="J10888">
        <f>(Table1[[#This Row],[value]] - Table1[[#This Row],[mean]]) / Table1[[#This Row],[std_dev]]</f>
        <v>-2.3127671533236982</v>
      </c>
      <c r="K10888">
        <f>AVERAGEIF(Table1[CountryCode],Table1[[#This Row],[CountryCode]],Table1[z-score])</f>
        <v>-0.96047002154562466</v>
      </c>
      <c r="L10888" t="e">
        <f>VLOOKUP(Table1[[#This Row],[CountryCode]],[1]!Table1[#All],1,FALSE)</f>
        <v>#REF!</v>
      </c>
    </row>
    <row r="10889" spans="1:12" hidden="1" x14ac:dyDescent="0.3">
      <c r="A10889" t="s">
        <v>123</v>
      </c>
      <c r="B10889" t="s">
        <v>124</v>
      </c>
      <c r="C10889" t="s">
        <v>129</v>
      </c>
      <c r="D10889" t="s">
        <v>130</v>
      </c>
      <c r="E10889">
        <v>2000</v>
      </c>
      <c r="F10889" s="1">
        <v>71</v>
      </c>
      <c r="G10889">
        <v>2000</v>
      </c>
      <c r="H10889">
        <f>AVERAGEIFS(Table1[value],Table1[IndicatorCode],Table1[[#This Row],[IndicatorCode]])</f>
        <v>72.66514008620689</v>
      </c>
      <c r="I10889" cm="1">
        <f t="array" ref="I10889">_xlfn.STDEV.P(IF(Table1[IndicatorCode]=Table1[[#This Row],[IndicatorCode]],Table1[value]))</f>
        <v>6.3409496564024987</v>
      </c>
      <c r="J10889">
        <f>(Table1[[#This Row],[value]] - Table1[[#This Row],[mean]]) / Table1[[#This Row],[std_dev]]</f>
        <v>-0.2626010576389905</v>
      </c>
      <c r="K10889">
        <f>AVERAGEIF(Table1[CountryCode],Table1[[#This Row],[CountryCode]],Table1[z-score])</f>
        <v>-0.96047002154562466</v>
      </c>
      <c r="L10889" t="e">
        <f>VLOOKUP(Table1[[#This Row],[CountryCode]],[1]!Table1[#All],1,FALSE)</f>
        <v>#REF!</v>
      </c>
    </row>
    <row r="10890" spans="1:12" hidden="1" x14ac:dyDescent="0.3">
      <c r="A10890" t="s">
        <v>123</v>
      </c>
      <c r="B10890" t="s">
        <v>124</v>
      </c>
      <c r="C10890" t="s">
        <v>129</v>
      </c>
      <c r="D10890" t="s">
        <v>130</v>
      </c>
      <c r="E10890">
        <v>2001</v>
      </c>
      <c r="F10890" s="1">
        <v>72</v>
      </c>
      <c r="G10890">
        <v>2000</v>
      </c>
      <c r="H10890">
        <f>AVERAGEIFS(Table1[value],Table1[IndicatorCode],Table1[[#This Row],[IndicatorCode]])</f>
        <v>72.66514008620689</v>
      </c>
      <c r="I10890" cm="1">
        <f t="array" ref="I10890">_xlfn.STDEV.P(IF(Table1[IndicatorCode]=Table1[[#This Row],[IndicatorCode]],Table1[value]))</f>
        <v>6.3409496564024987</v>
      </c>
      <c r="J10890">
        <f>(Table1[[#This Row],[value]] - Table1[[#This Row],[mean]]) / Table1[[#This Row],[std_dev]]</f>
        <v>-0.10489597335555145</v>
      </c>
      <c r="K10890">
        <f>AVERAGEIF(Table1[CountryCode],Table1[[#This Row],[CountryCode]],Table1[z-score])</f>
        <v>-0.96047002154562466</v>
      </c>
      <c r="L10890" t="e">
        <f>VLOOKUP(Table1[[#This Row],[CountryCode]],[1]!Table1[#All],1,FALSE)</f>
        <v>#REF!</v>
      </c>
    </row>
    <row r="10891" spans="1:12" hidden="1" x14ac:dyDescent="0.3">
      <c r="A10891" t="s">
        <v>123</v>
      </c>
      <c r="B10891" t="s">
        <v>124</v>
      </c>
      <c r="C10891" t="s">
        <v>129</v>
      </c>
      <c r="D10891" t="s">
        <v>130</v>
      </c>
      <c r="E10891">
        <v>2002</v>
      </c>
      <c r="F10891" s="1">
        <v>72</v>
      </c>
      <c r="G10891">
        <v>2000</v>
      </c>
      <c r="H10891">
        <f>AVERAGEIFS(Table1[value],Table1[IndicatorCode],Table1[[#This Row],[IndicatorCode]])</f>
        <v>72.66514008620689</v>
      </c>
      <c r="I10891" cm="1">
        <f t="array" ref="I10891">_xlfn.STDEV.P(IF(Table1[IndicatorCode]=Table1[[#This Row],[IndicatorCode]],Table1[value]))</f>
        <v>6.3409496564024987</v>
      </c>
      <c r="J10891">
        <f>(Table1[[#This Row],[value]] - Table1[[#This Row],[mean]]) / Table1[[#This Row],[std_dev]]</f>
        <v>-0.10489597335555145</v>
      </c>
      <c r="K10891">
        <f>AVERAGEIF(Table1[CountryCode],Table1[[#This Row],[CountryCode]],Table1[z-score])</f>
        <v>-0.96047002154562466</v>
      </c>
      <c r="L10891" t="e">
        <f>VLOOKUP(Table1[[#This Row],[CountryCode]],[1]!Table1[#All],1,FALSE)</f>
        <v>#REF!</v>
      </c>
    </row>
    <row r="10892" spans="1:12" hidden="1" x14ac:dyDescent="0.3">
      <c r="A10892" t="s">
        <v>123</v>
      </c>
      <c r="B10892" t="s">
        <v>124</v>
      </c>
      <c r="C10892" t="s">
        <v>129</v>
      </c>
      <c r="D10892" t="s">
        <v>130</v>
      </c>
      <c r="E10892">
        <v>2003</v>
      </c>
      <c r="F10892" s="1">
        <v>73</v>
      </c>
      <c r="G10892">
        <v>2000</v>
      </c>
      <c r="H10892">
        <f>AVERAGEIFS(Table1[value],Table1[IndicatorCode],Table1[[#This Row],[IndicatorCode]])</f>
        <v>72.66514008620689</v>
      </c>
      <c r="I10892" cm="1">
        <f t="array" ref="I10892">_xlfn.STDEV.P(IF(Table1[IndicatorCode]=Table1[[#This Row],[IndicatorCode]],Table1[value]))</f>
        <v>6.3409496564024987</v>
      </c>
      <c r="J10892">
        <f>(Table1[[#This Row],[value]] - Table1[[#This Row],[mean]]) / Table1[[#This Row],[std_dev]]</f>
        <v>5.2809110927887599E-2</v>
      </c>
      <c r="K10892">
        <f>AVERAGEIF(Table1[CountryCode],Table1[[#This Row],[CountryCode]],Table1[z-score])</f>
        <v>-0.96047002154562466</v>
      </c>
      <c r="L10892" t="e">
        <f>VLOOKUP(Table1[[#This Row],[CountryCode]],[1]!Table1[#All],1,FALSE)</f>
        <v>#REF!</v>
      </c>
    </row>
    <row r="10893" spans="1:12" hidden="1" x14ac:dyDescent="0.3">
      <c r="A10893" t="s">
        <v>123</v>
      </c>
      <c r="B10893" t="s">
        <v>124</v>
      </c>
      <c r="C10893" t="s">
        <v>129</v>
      </c>
      <c r="D10893" t="s">
        <v>130</v>
      </c>
      <c r="E10893">
        <v>2004</v>
      </c>
      <c r="F10893" s="1">
        <v>73</v>
      </c>
      <c r="G10893">
        <v>2000</v>
      </c>
      <c r="H10893">
        <f>AVERAGEIFS(Table1[value],Table1[IndicatorCode],Table1[[#This Row],[IndicatorCode]])</f>
        <v>72.66514008620689</v>
      </c>
      <c r="I10893" cm="1">
        <f t="array" ref="I10893">_xlfn.STDEV.P(IF(Table1[IndicatorCode]=Table1[[#This Row],[IndicatorCode]],Table1[value]))</f>
        <v>6.3409496564024987</v>
      </c>
      <c r="J10893">
        <f>(Table1[[#This Row],[value]] - Table1[[#This Row],[mean]]) / Table1[[#This Row],[std_dev]]</f>
        <v>5.2809110927887599E-2</v>
      </c>
      <c r="K10893">
        <f>AVERAGEIF(Table1[CountryCode],Table1[[#This Row],[CountryCode]],Table1[z-score])</f>
        <v>-0.96047002154562466</v>
      </c>
      <c r="L10893" t="e">
        <f>VLOOKUP(Table1[[#This Row],[CountryCode]],[1]!Table1[#All],1,FALSE)</f>
        <v>#REF!</v>
      </c>
    </row>
    <row r="10894" spans="1:12" hidden="1" x14ac:dyDescent="0.3">
      <c r="A10894" t="s">
        <v>123</v>
      </c>
      <c r="B10894" t="s">
        <v>124</v>
      </c>
      <c r="C10894" t="s">
        <v>129</v>
      </c>
      <c r="D10894" t="s">
        <v>130</v>
      </c>
      <c r="E10894">
        <v>2005</v>
      </c>
      <c r="F10894" s="1">
        <v>73</v>
      </c>
      <c r="G10894">
        <v>2000</v>
      </c>
      <c r="H10894">
        <f>AVERAGEIFS(Table1[value],Table1[IndicatorCode],Table1[[#This Row],[IndicatorCode]])</f>
        <v>72.66514008620689</v>
      </c>
      <c r="I10894" cm="1">
        <f t="array" ref="I10894">_xlfn.STDEV.P(IF(Table1[IndicatorCode]=Table1[[#This Row],[IndicatorCode]],Table1[value]))</f>
        <v>6.3409496564024987</v>
      </c>
      <c r="J10894">
        <f>(Table1[[#This Row],[value]] - Table1[[#This Row],[mean]]) / Table1[[#This Row],[std_dev]]</f>
        <v>5.2809110927887599E-2</v>
      </c>
      <c r="K10894">
        <f>AVERAGEIF(Table1[CountryCode],Table1[[#This Row],[CountryCode]],Table1[z-score])</f>
        <v>-0.96047002154562466</v>
      </c>
      <c r="L10894" t="e">
        <f>VLOOKUP(Table1[[#This Row],[CountryCode]],[1]!Table1[#All],1,FALSE)</f>
        <v>#REF!</v>
      </c>
    </row>
    <row r="10895" spans="1:12" hidden="1" x14ac:dyDescent="0.3">
      <c r="A10895" t="s">
        <v>123</v>
      </c>
      <c r="B10895" t="s">
        <v>124</v>
      </c>
      <c r="C10895" t="s">
        <v>129</v>
      </c>
      <c r="D10895" t="s">
        <v>130</v>
      </c>
      <c r="E10895">
        <v>2006</v>
      </c>
      <c r="F10895" s="1">
        <v>74</v>
      </c>
      <c r="G10895">
        <v>2000</v>
      </c>
      <c r="H10895">
        <f>AVERAGEIFS(Table1[value],Table1[IndicatorCode],Table1[[#This Row],[IndicatorCode]])</f>
        <v>72.66514008620689</v>
      </c>
      <c r="I10895" cm="1">
        <f t="array" ref="I10895">_xlfn.STDEV.P(IF(Table1[IndicatorCode]=Table1[[#This Row],[IndicatorCode]],Table1[value]))</f>
        <v>6.3409496564024987</v>
      </c>
      <c r="J10895">
        <f>(Table1[[#This Row],[value]] - Table1[[#This Row],[mean]]) / Table1[[#This Row],[std_dev]]</f>
        <v>0.21051419521132667</v>
      </c>
      <c r="K10895">
        <f>AVERAGEIF(Table1[CountryCode],Table1[[#This Row],[CountryCode]],Table1[z-score])</f>
        <v>-0.96047002154562466</v>
      </c>
      <c r="L10895" t="e">
        <f>VLOOKUP(Table1[[#This Row],[CountryCode]],[1]!Table1[#All],1,FALSE)</f>
        <v>#REF!</v>
      </c>
    </row>
    <row r="10896" spans="1:12" hidden="1" x14ac:dyDescent="0.3">
      <c r="A10896" t="s">
        <v>123</v>
      </c>
      <c r="B10896" t="s">
        <v>124</v>
      </c>
      <c r="C10896" t="s">
        <v>129</v>
      </c>
      <c r="D10896" t="s">
        <v>130</v>
      </c>
      <c r="E10896">
        <v>2007</v>
      </c>
      <c r="F10896" s="1">
        <v>74</v>
      </c>
      <c r="G10896">
        <v>2010</v>
      </c>
      <c r="H10896">
        <f>AVERAGEIFS(Table1[value],Table1[IndicatorCode],Table1[[#This Row],[IndicatorCode]])</f>
        <v>72.66514008620689</v>
      </c>
      <c r="I10896" cm="1">
        <f t="array" ref="I10896">_xlfn.STDEV.P(IF(Table1[IndicatorCode]=Table1[[#This Row],[IndicatorCode]],Table1[value]))</f>
        <v>6.3409496564024987</v>
      </c>
      <c r="J10896">
        <f>(Table1[[#This Row],[value]] - Table1[[#This Row],[mean]]) / Table1[[#This Row],[std_dev]]</f>
        <v>0.21051419521132667</v>
      </c>
      <c r="K10896">
        <f>AVERAGEIF(Table1[CountryCode],Table1[[#This Row],[CountryCode]],Table1[z-score])</f>
        <v>-0.96047002154562466</v>
      </c>
      <c r="L10896" t="e">
        <f>VLOOKUP(Table1[[#This Row],[CountryCode]],[1]!Table1[#All],1,FALSE)</f>
        <v>#REF!</v>
      </c>
    </row>
    <row r="10897" spans="1:12" hidden="1" x14ac:dyDescent="0.3">
      <c r="A10897" t="s">
        <v>123</v>
      </c>
      <c r="B10897" t="s">
        <v>124</v>
      </c>
      <c r="C10897" t="s">
        <v>129</v>
      </c>
      <c r="D10897" t="s">
        <v>130</v>
      </c>
      <c r="E10897">
        <v>2008</v>
      </c>
      <c r="F10897" s="1">
        <v>75</v>
      </c>
      <c r="G10897">
        <v>2010</v>
      </c>
      <c r="H10897">
        <f>AVERAGEIFS(Table1[value],Table1[IndicatorCode],Table1[[#This Row],[IndicatorCode]])</f>
        <v>72.66514008620689</v>
      </c>
      <c r="I10897" cm="1">
        <f t="array" ref="I10897">_xlfn.STDEV.P(IF(Table1[IndicatorCode]=Table1[[#This Row],[IndicatorCode]],Table1[value]))</f>
        <v>6.3409496564024987</v>
      </c>
      <c r="J10897">
        <f>(Table1[[#This Row],[value]] - Table1[[#This Row],[mean]]) / Table1[[#This Row],[std_dev]]</f>
        <v>0.36821927949476574</v>
      </c>
      <c r="K10897">
        <f>AVERAGEIF(Table1[CountryCode],Table1[[#This Row],[CountryCode]],Table1[z-score])</f>
        <v>-0.96047002154562466</v>
      </c>
      <c r="L10897" t="e">
        <f>VLOOKUP(Table1[[#This Row],[CountryCode]],[1]!Table1[#All],1,FALSE)</f>
        <v>#REF!</v>
      </c>
    </row>
    <row r="10898" spans="1:12" hidden="1" x14ac:dyDescent="0.3">
      <c r="A10898" t="s">
        <v>123</v>
      </c>
      <c r="B10898" t="s">
        <v>124</v>
      </c>
      <c r="C10898" t="s">
        <v>129</v>
      </c>
      <c r="D10898" t="s">
        <v>130</v>
      </c>
      <c r="E10898">
        <v>2009</v>
      </c>
      <c r="F10898" s="1">
        <v>75</v>
      </c>
      <c r="G10898">
        <v>2010</v>
      </c>
      <c r="H10898">
        <f>AVERAGEIFS(Table1[value],Table1[IndicatorCode],Table1[[#This Row],[IndicatorCode]])</f>
        <v>72.66514008620689</v>
      </c>
      <c r="I10898" cm="1">
        <f t="array" ref="I10898">_xlfn.STDEV.P(IF(Table1[IndicatorCode]=Table1[[#This Row],[IndicatorCode]],Table1[value]))</f>
        <v>6.3409496564024987</v>
      </c>
      <c r="J10898">
        <f>(Table1[[#This Row],[value]] - Table1[[#This Row],[mean]]) / Table1[[#This Row],[std_dev]]</f>
        <v>0.36821927949476574</v>
      </c>
      <c r="K10898">
        <f>AVERAGEIF(Table1[CountryCode],Table1[[#This Row],[CountryCode]],Table1[z-score])</f>
        <v>-0.96047002154562466</v>
      </c>
      <c r="L10898" t="e">
        <f>VLOOKUP(Table1[[#This Row],[CountryCode]],[1]!Table1[#All],1,FALSE)</f>
        <v>#REF!</v>
      </c>
    </row>
    <row r="10899" spans="1:12" hidden="1" x14ac:dyDescent="0.3">
      <c r="A10899" t="s">
        <v>123</v>
      </c>
      <c r="B10899" t="s">
        <v>124</v>
      </c>
      <c r="C10899" t="s">
        <v>129</v>
      </c>
      <c r="D10899" t="s">
        <v>130</v>
      </c>
      <c r="E10899">
        <v>2010</v>
      </c>
      <c r="F10899" s="1">
        <v>75</v>
      </c>
      <c r="G10899">
        <v>2010</v>
      </c>
      <c r="H10899">
        <f>AVERAGEIFS(Table1[value],Table1[IndicatorCode],Table1[[#This Row],[IndicatorCode]])</f>
        <v>72.66514008620689</v>
      </c>
      <c r="I10899" cm="1">
        <f t="array" ref="I10899">_xlfn.STDEV.P(IF(Table1[IndicatorCode]=Table1[[#This Row],[IndicatorCode]],Table1[value]))</f>
        <v>6.3409496564024987</v>
      </c>
      <c r="J10899">
        <f>(Table1[[#This Row],[value]] - Table1[[#This Row],[mean]]) / Table1[[#This Row],[std_dev]]</f>
        <v>0.36821927949476574</v>
      </c>
      <c r="K10899">
        <f>AVERAGEIF(Table1[CountryCode],Table1[[#This Row],[CountryCode]],Table1[z-score])</f>
        <v>-0.96047002154562466</v>
      </c>
      <c r="L10899" t="e">
        <f>VLOOKUP(Table1[[#This Row],[CountryCode]],[1]!Table1[#All],1,FALSE)</f>
        <v>#REF!</v>
      </c>
    </row>
    <row r="10900" spans="1:12" hidden="1" x14ac:dyDescent="0.3">
      <c r="A10900" t="s">
        <v>123</v>
      </c>
      <c r="B10900" t="s">
        <v>124</v>
      </c>
      <c r="C10900" t="s">
        <v>129</v>
      </c>
      <c r="D10900" t="s">
        <v>130</v>
      </c>
      <c r="E10900">
        <v>2011</v>
      </c>
      <c r="F10900" s="1">
        <v>75</v>
      </c>
      <c r="G10900">
        <v>2010</v>
      </c>
      <c r="H10900">
        <f>AVERAGEIFS(Table1[value],Table1[IndicatorCode],Table1[[#This Row],[IndicatorCode]])</f>
        <v>72.66514008620689</v>
      </c>
      <c r="I10900" cm="1">
        <f t="array" ref="I10900">_xlfn.STDEV.P(IF(Table1[IndicatorCode]=Table1[[#This Row],[IndicatorCode]],Table1[value]))</f>
        <v>6.3409496564024987</v>
      </c>
      <c r="J10900">
        <f>(Table1[[#This Row],[value]] - Table1[[#This Row],[mean]]) / Table1[[#This Row],[std_dev]]</f>
        <v>0.36821927949476574</v>
      </c>
      <c r="K10900">
        <f>AVERAGEIF(Table1[CountryCode],Table1[[#This Row],[CountryCode]],Table1[z-score])</f>
        <v>-0.96047002154562466</v>
      </c>
      <c r="L10900" t="e">
        <f>VLOOKUP(Table1[[#This Row],[CountryCode]],[1]!Table1[#All],1,FALSE)</f>
        <v>#REF!</v>
      </c>
    </row>
    <row r="10901" spans="1:12" hidden="1" x14ac:dyDescent="0.3">
      <c r="A10901" t="s">
        <v>123</v>
      </c>
      <c r="B10901" t="s">
        <v>124</v>
      </c>
      <c r="C10901" t="s">
        <v>129</v>
      </c>
      <c r="D10901" t="s">
        <v>130</v>
      </c>
      <c r="E10901">
        <v>2012</v>
      </c>
      <c r="F10901" s="1">
        <v>76</v>
      </c>
      <c r="G10901">
        <v>2010</v>
      </c>
      <c r="H10901">
        <f>AVERAGEIFS(Table1[value],Table1[IndicatorCode],Table1[[#This Row],[IndicatorCode]])</f>
        <v>72.66514008620689</v>
      </c>
      <c r="I10901" cm="1">
        <f t="array" ref="I10901">_xlfn.STDEV.P(IF(Table1[IndicatorCode]=Table1[[#This Row],[IndicatorCode]],Table1[value]))</f>
        <v>6.3409496564024987</v>
      </c>
      <c r="J10901">
        <f>(Table1[[#This Row],[value]] - Table1[[#This Row],[mean]]) / Table1[[#This Row],[std_dev]]</f>
        <v>0.52592436377820473</v>
      </c>
      <c r="K10901">
        <f>AVERAGEIF(Table1[CountryCode],Table1[[#This Row],[CountryCode]],Table1[z-score])</f>
        <v>-0.96047002154562466</v>
      </c>
      <c r="L10901" t="e">
        <f>VLOOKUP(Table1[[#This Row],[CountryCode]],[1]!Table1[#All],1,FALSE)</f>
        <v>#REF!</v>
      </c>
    </row>
    <row r="10902" spans="1:12" hidden="1" x14ac:dyDescent="0.3">
      <c r="A10902" t="s">
        <v>123</v>
      </c>
      <c r="B10902" t="s">
        <v>124</v>
      </c>
      <c r="C10902" t="s">
        <v>129</v>
      </c>
      <c r="D10902" t="s">
        <v>130</v>
      </c>
      <c r="E10902">
        <v>2013</v>
      </c>
      <c r="F10902" s="1">
        <v>76</v>
      </c>
      <c r="G10902">
        <v>2010</v>
      </c>
      <c r="H10902">
        <f>AVERAGEIFS(Table1[value],Table1[IndicatorCode],Table1[[#This Row],[IndicatorCode]])</f>
        <v>72.66514008620689</v>
      </c>
      <c r="I10902" cm="1">
        <f t="array" ref="I10902">_xlfn.STDEV.P(IF(Table1[IndicatorCode]=Table1[[#This Row],[IndicatorCode]],Table1[value]))</f>
        <v>6.3409496564024987</v>
      </c>
      <c r="J10902">
        <f>(Table1[[#This Row],[value]] - Table1[[#This Row],[mean]]) / Table1[[#This Row],[std_dev]]</f>
        <v>0.52592436377820473</v>
      </c>
      <c r="K10902">
        <f>AVERAGEIF(Table1[CountryCode],Table1[[#This Row],[CountryCode]],Table1[z-score])</f>
        <v>-0.96047002154562466</v>
      </c>
      <c r="L10902" t="e">
        <f>VLOOKUP(Table1[[#This Row],[CountryCode]],[1]!Table1[#All],1,FALSE)</f>
        <v>#REF!</v>
      </c>
    </row>
    <row r="10903" spans="1:12" hidden="1" x14ac:dyDescent="0.3">
      <c r="A10903" t="s">
        <v>123</v>
      </c>
      <c r="B10903" t="s">
        <v>124</v>
      </c>
      <c r="C10903" t="s">
        <v>129</v>
      </c>
      <c r="D10903" t="s">
        <v>130</v>
      </c>
      <c r="E10903">
        <v>2014</v>
      </c>
      <c r="F10903" s="1">
        <v>76</v>
      </c>
      <c r="G10903">
        <v>2010</v>
      </c>
      <c r="H10903">
        <f>AVERAGEIFS(Table1[value],Table1[IndicatorCode],Table1[[#This Row],[IndicatorCode]])</f>
        <v>72.66514008620689</v>
      </c>
      <c r="I10903" cm="1">
        <f t="array" ref="I10903">_xlfn.STDEV.P(IF(Table1[IndicatorCode]=Table1[[#This Row],[IndicatorCode]],Table1[value]))</f>
        <v>6.3409496564024987</v>
      </c>
      <c r="J10903">
        <f>(Table1[[#This Row],[value]] - Table1[[#This Row],[mean]]) / Table1[[#This Row],[std_dev]]</f>
        <v>0.52592436377820473</v>
      </c>
      <c r="K10903">
        <f>AVERAGEIF(Table1[CountryCode],Table1[[#This Row],[CountryCode]],Table1[z-score])</f>
        <v>-0.96047002154562466</v>
      </c>
      <c r="L10903" t="e">
        <f>VLOOKUP(Table1[[#This Row],[CountryCode]],[1]!Table1[#All],1,FALSE)</f>
        <v>#REF!</v>
      </c>
    </row>
    <row r="10904" spans="1:12" hidden="1" x14ac:dyDescent="0.3">
      <c r="A10904" t="s">
        <v>123</v>
      </c>
      <c r="B10904" t="s">
        <v>124</v>
      </c>
      <c r="C10904" t="s">
        <v>129</v>
      </c>
      <c r="D10904" t="s">
        <v>130</v>
      </c>
      <c r="E10904">
        <v>2015</v>
      </c>
      <c r="F10904" s="1">
        <v>76</v>
      </c>
      <c r="G10904">
        <v>2010</v>
      </c>
      <c r="H10904">
        <f>AVERAGEIFS(Table1[value],Table1[IndicatorCode],Table1[[#This Row],[IndicatorCode]])</f>
        <v>72.66514008620689</v>
      </c>
      <c r="I10904" cm="1">
        <f t="array" ref="I10904">_xlfn.STDEV.P(IF(Table1[IndicatorCode]=Table1[[#This Row],[IndicatorCode]],Table1[value]))</f>
        <v>6.3409496564024987</v>
      </c>
      <c r="J10904">
        <f>(Table1[[#This Row],[value]] - Table1[[#This Row],[mean]]) / Table1[[#This Row],[std_dev]]</f>
        <v>0.52592436377820473</v>
      </c>
      <c r="K10904">
        <f>AVERAGEIF(Table1[CountryCode],Table1[[#This Row],[CountryCode]],Table1[z-score])</f>
        <v>-0.96047002154562466</v>
      </c>
      <c r="L10904" t="e">
        <f>VLOOKUP(Table1[[#This Row],[CountryCode]],[1]!Table1[#All],1,FALSE)</f>
        <v>#REF!</v>
      </c>
    </row>
    <row r="10905" spans="1:12" hidden="1" x14ac:dyDescent="0.3">
      <c r="A10905" t="s">
        <v>123</v>
      </c>
      <c r="B10905" t="s">
        <v>124</v>
      </c>
      <c r="C10905" t="s">
        <v>129</v>
      </c>
      <c r="D10905" t="s">
        <v>130</v>
      </c>
      <c r="E10905">
        <v>2016</v>
      </c>
      <c r="F10905" s="1">
        <v>77</v>
      </c>
      <c r="G10905">
        <v>2010</v>
      </c>
      <c r="H10905">
        <f>AVERAGEIFS(Table1[value],Table1[IndicatorCode],Table1[[#This Row],[IndicatorCode]])</f>
        <v>72.66514008620689</v>
      </c>
      <c r="I10905" cm="1">
        <f t="array" ref="I10905">_xlfn.STDEV.P(IF(Table1[IndicatorCode]=Table1[[#This Row],[IndicatorCode]],Table1[value]))</f>
        <v>6.3409496564024987</v>
      </c>
      <c r="J10905">
        <f>(Table1[[#This Row],[value]] - Table1[[#This Row],[mean]]) / Table1[[#This Row],[std_dev]]</f>
        <v>0.68362944806164383</v>
      </c>
      <c r="K10905">
        <f>AVERAGEIF(Table1[CountryCode],Table1[[#This Row],[CountryCode]],Table1[z-score])</f>
        <v>-0.96047002154562466</v>
      </c>
      <c r="L10905" t="e">
        <f>VLOOKUP(Table1[[#This Row],[CountryCode]],[1]!Table1[#All],1,FALSE)</f>
        <v>#REF!</v>
      </c>
    </row>
    <row r="10906" spans="1:12" hidden="1" x14ac:dyDescent="0.3">
      <c r="A10906" t="s">
        <v>123</v>
      </c>
      <c r="B10906" t="s">
        <v>124</v>
      </c>
      <c r="C10906" t="s">
        <v>129</v>
      </c>
      <c r="D10906" t="s">
        <v>130</v>
      </c>
      <c r="E10906">
        <v>2017</v>
      </c>
      <c r="F10906" s="1">
        <v>77</v>
      </c>
      <c r="G10906">
        <v>2020</v>
      </c>
      <c r="H10906">
        <f>AVERAGEIFS(Table1[value],Table1[IndicatorCode],Table1[[#This Row],[IndicatorCode]])</f>
        <v>72.66514008620689</v>
      </c>
      <c r="I10906" cm="1">
        <f t="array" ref="I10906">_xlfn.STDEV.P(IF(Table1[IndicatorCode]=Table1[[#This Row],[IndicatorCode]],Table1[value]))</f>
        <v>6.3409496564024987</v>
      </c>
      <c r="J10906">
        <f>(Table1[[#This Row],[value]] - Table1[[#This Row],[mean]]) / Table1[[#This Row],[std_dev]]</f>
        <v>0.68362944806164383</v>
      </c>
      <c r="K10906">
        <f>AVERAGEIF(Table1[CountryCode],Table1[[#This Row],[CountryCode]],Table1[z-score])</f>
        <v>-0.96047002154562466</v>
      </c>
      <c r="L10906" t="e">
        <f>VLOOKUP(Table1[[#This Row],[CountryCode]],[1]!Table1[#All],1,FALSE)</f>
        <v>#REF!</v>
      </c>
    </row>
    <row r="10907" spans="1:12" hidden="1" x14ac:dyDescent="0.3">
      <c r="A10907" t="s">
        <v>123</v>
      </c>
      <c r="B10907" t="s">
        <v>124</v>
      </c>
      <c r="C10907" t="s">
        <v>129</v>
      </c>
      <c r="D10907" t="s">
        <v>130</v>
      </c>
      <c r="E10907">
        <v>2018</v>
      </c>
      <c r="F10907" s="1">
        <v>77</v>
      </c>
      <c r="G10907">
        <v>2020</v>
      </c>
      <c r="H10907">
        <f>AVERAGEIFS(Table1[value],Table1[IndicatorCode],Table1[[#This Row],[IndicatorCode]])</f>
        <v>72.66514008620689</v>
      </c>
      <c r="I10907" cm="1">
        <f t="array" ref="I10907">_xlfn.STDEV.P(IF(Table1[IndicatorCode]=Table1[[#This Row],[IndicatorCode]],Table1[value]))</f>
        <v>6.3409496564024987</v>
      </c>
      <c r="J10907">
        <f>(Table1[[#This Row],[value]] - Table1[[#This Row],[mean]]) / Table1[[#This Row],[std_dev]]</f>
        <v>0.68362944806164383</v>
      </c>
      <c r="K10907">
        <f>AVERAGEIF(Table1[CountryCode],Table1[[#This Row],[CountryCode]],Table1[z-score])</f>
        <v>-0.96047002154562466</v>
      </c>
      <c r="L10907" t="e">
        <f>VLOOKUP(Table1[[#This Row],[CountryCode]],[1]!Table1[#All],1,FALSE)</f>
        <v>#REF!</v>
      </c>
    </row>
    <row r="10908" spans="1:12" hidden="1" x14ac:dyDescent="0.3">
      <c r="A10908" t="s">
        <v>123</v>
      </c>
      <c r="B10908" t="s">
        <v>124</v>
      </c>
      <c r="C10908" t="s">
        <v>129</v>
      </c>
      <c r="D10908" t="s">
        <v>130</v>
      </c>
      <c r="E10908">
        <v>2019</v>
      </c>
      <c r="F10908" s="1">
        <v>77</v>
      </c>
      <c r="G10908">
        <v>2020</v>
      </c>
      <c r="H10908">
        <f>AVERAGEIFS(Table1[value],Table1[IndicatorCode],Table1[[#This Row],[IndicatorCode]])</f>
        <v>72.66514008620689</v>
      </c>
      <c r="I10908" cm="1">
        <f t="array" ref="I10908">_xlfn.STDEV.P(IF(Table1[IndicatorCode]=Table1[[#This Row],[IndicatorCode]],Table1[value]))</f>
        <v>6.3409496564024987</v>
      </c>
      <c r="J10908">
        <f>(Table1[[#This Row],[value]] - Table1[[#This Row],[mean]]) / Table1[[#This Row],[std_dev]]</f>
        <v>0.68362944806164383</v>
      </c>
      <c r="K10908">
        <f>AVERAGEIF(Table1[CountryCode],Table1[[#This Row],[CountryCode]],Table1[z-score])</f>
        <v>-0.96047002154562466</v>
      </c>
      <c r="L10908" t="e">
        <f>VLOOKUP(Table1[[#This Row],[CountryCode]],[1]!Table1[#All],1,FALSE)</f>
        <v>#REF!</v>
      </c>
    </row>
    <row r="10909" spans="1:12" x14ac:dyDescent="0.3">
      <c r="A10909" t="s">
        <v>123</v>
      </c>
      <c r="B10909" t="s">
        <v>124</v>
      </c>
      <c r="C10909" t="s">
        <v>129</v>
      </c>
      <c r="D10909" t="s">
        <v>130</v>
      </c>
      <c r="E10909">
        <v>2020</v>
      </c>
      <c r="F10909" s="1">
        <v>74</v>
      </c>
      <c r="G10909">
        <v>2020</v>
      </c>
      <c r="H10909">
        <f>AVERAGEIFS(Table1[value],Table1[IndicatorCode],Table1[[#This Row],[IndicatorCode]])</f>
        <v>72.66514008620689</v>
      </c>
      <c r="I10909" cm="1">
        <f t="array" ref="I10909">_xlfn.STDEV.P(IF(Table1[IndicatorCode]=Table1[[#This Row],[IndicatorCode]],Table1[value]))</f>
        <v>6.3409496564024987</v>
      </c>
      <c r="J10909">
        <f>(Table1[[#This Row],[value]] - Table1[[#This Row],[mean]]) / Table1[[#This Row],[std_dev]]</f>
        <v>0.21051419521132667</v>
      </c>
      <c r="K10909">
        <f>AVERAGEIF(Table1[CountryCode],Table1[[#This Row],[CountryCode]],Table1[z-score])</f>
        <v>-0.96047002154562466</v>
      </c>
    </row>
    <row r="10910" spans="1:12" hidden="1" x14ac:dyDescent="0.3">
      <c r="A10910" t="s">
        <v>123</v>
      </c>
      <c r="B10910" t="s">
        <v>124</v>
      </c>
      <c r="C10910" t="s">
        <v>129</v>
      </c>
      <c r="D10910" t="s">
        <v>130</v>
      </c>
      <c r="E10910">
        <v>2021</v>
      </c>
      <c r="F10910" s="1">
        <v>75</v>
      </c>
      <c r="G10910">
        <v>0</v>
      </c>
      <c r="H10910">
        <f>AVERAGEIFS(Table1[value],Table1[IndicatorCode],Table1[[#This Row],[IndicatorCode]])</f>
        <v>72.66514008620689</v>
      </c>
      <c r="I10910" cm="1">
        <f t="array" ref="I10910">_xlfn.STDEV.P(IF(Table1[IndicatorCode]=Table1[[#This Row],[IndicatorCode]],Table1[value]))</f>
        <v>6.3409496564024987</v>
      </c>
      <c r="J10910">
        <f>(Table1[[#This Row],[value]] - Table1[[#This Row],[mean]]) / Table1[[#This Row],[std_dev]]</f>
        <v>0.36821927949476574</v>
      </c>
      <c r="K10910">
        <f>AVERAGEIF(Table1[CountryCode],Table1[[#This Row],[CountryCode]],Table1[z-score])</f>
        <v>-0.96047002154562466</v>
      </c>
      <c r="L10910" t="e">
        <f>VLOOKUP(Table1[[#This Row],[CountryCode]],[1]!Table1[#All],1,FALSE)</f>
        <v>#REF!</v>
      </c>
    </row>
    <row r="10911" spans="1:12" hidden="1" x14ac:dyDescent="0.3">
      <c r="A10911" t="s">
        <v>123</v>
      </c>
      <c r="B10911" t="s">
        <v>124</v>
      </c>
      <c r="C10911" t="s">
        <v>129</v>
      </c>
      <c r="D10911" t="s">
        <v>130</v>
      </c>
      <c r="E10911">
        <v>2022</v>
      </c>
      <c r="F10911" s="1">
        <v>78</v>
      </c>
      <c r="G10911">
        <v>0</v>
      </c>
      <c r="H10911">
        <f>AVERAGEIFS(Table1[value],Table1[IndicatorCode],Table1[[#This Row],[IndicatorCode]])</f>
        <v>72.66514008620689</v>
      </c>
      <c r="I10911" cm="1">
        <f t="array" ref="I10911">_xlfn.STDEV.P(IF(Table1[IndicatorCode]=Table1[[#This Row],[IndicatorCode]],Table1[value]))</f>
        <v>6.3409496564024987</v>
      </c>
      <c r="J10911">
        <f>(Table1[[#This Row],[value]] - Table1[[#This Row],[mean]]) / Table1[[#This Row],[std_dev]]</f>
        <v>0.84133453234508293</v>
      </c>
      <c r="K10911">
        <f>AVERAGEIF(Table1[CountryCode],Table1[[#This Row],[CountryCode]],Table1[z-score])</f>
        <v>-0.96047002154562466</v>
      </c>
      <c r="L10911" t="e">
        <f>VLOOKUP(Table1[[#This Row],[CountryCode]],[1]!Table1[#All],1,FALSE)</f>
        <v>#REF!</v>
      </c>
    </row>
    <row r="10912" spans="1:12" hidden="1" x14ac:dyDescent="0.3">
      <c r="A10912" t="s">
        <v>123</v>
      </c>
      <c r="B10912" t="s">
        <v>124</v>
      </c>
      <c r="C10912" t="s">
        <v>129</v>
      </c>
      <c r="D10912" t="s">
        <v>130</v>
      </c>
      <c r="E10912">
        <v>2023</v>
      </c>
      <c r="F10912" s="1">
        <v>78</v>
      </c>
      <c r="G10912">
        <v>0</v>
      </c>
      <c r="H10912">
        <f>AVERAGEIFS(Table1[value],Table1[IndicatorCode],Table1[[#This Row],[IndicatorCode]])</f>
        <v>72.66514008620689</v>
      </c>
      <c r="I10912" cm="1">
        <f t="array" ref="I10912">_xlfn.STDEV.P(IF(Table1[IndicatorCode]=Table1[[#This Row],[IndicatorCode]],Table1[value]))</f>
        <v>6.3409496564024987</v>
      </c>
      <c r="J10912">
        <f>(Table1[[#This Row],[value]] - Table1[[#This Row],[mean]]) / Table1[[#This Row],[std_dev]]</f>
        <v>0.84133453234508293</v>
      </c>
      <c r="K10912">
        <f>AVERAGEIF(Table1[CountryCode],Table1[[#This Row],[CountryCode]],Table1[z-score])</f>
        <v>-0.96047002154562466</v>
      </c>
      <c r="L10912" t="e">
        <f>VLOOKUP(Table1[[#This Row],[CountryCode]],[1]!Table1[#All],1,FALSE)</f>
        <v>#REF!</v>
      </c>
    </row>
  </sheetData>
  <phoneticPr fontId="18" type="noConversion"/>
  <conditionalFormatting sqref="F1:F7043">
    <cfRule type="top10" dxfId="5" priority="6" rank="5"/>
  </conditionalFormatting>
  <conditionalFormatting sqref="F1:F1048576">
    <cfRule type="top10" dxfId="4" priority="1" percent="1" rank="10"/>
    <cfRule type="top10" dxfId="3" priority="2" rank="10"/>
  </conditionalFormatting>
  <conditionalFormatting sqref="F4704:F7043">
    <cfRule type="top10" dxfId="2" priority="3" rank="10"/>
    <cfRule type="top10" dxfId="1" priority="4" rank="10"/>
    <cfRule type="top10" dxfId="0" priority="5" percent="1" rank="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LIVE_PRO(analysis)4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Chaitrali</dc:creator>
  <cp:lastModifiedBy>Chaitrali Pawar</cp:lastModifiedBy>
  <dcterms:created xsi:type="dcterms:W3CDTF">2026-01-10T09:52:43Z</dcterms:created>
  <dcterms:modified xsi:type="dcterms:W3CDTF">2026-01-17T16:52:36Z</dcterms:modified>
</cp:coreProperties>
</file>